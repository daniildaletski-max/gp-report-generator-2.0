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nalysis" sheetId="1" r:id="rId4"/>
    <sheet state="visible" name="List of Error Codes" sheetId="2" r:id="rId5"/>
    <sheet state="visible" name="Errors" sheetId="3" r:id="rId6"/>
    <sheet state="visible" name="SourceData" sheetId="4" r:id="rId7"/>
    <sheet state="visible" name="Error Count Analysis" sheetId="5" r:id="rId8"/>
    <sheet state="visible" name="Error Count" sheetId="6" r:id="rId9"/>
  </sheets>
  <externalReferences>
    <externalReference r:id="rId10"/>
    <externalReference r:id="rId11"/>
  </externalReferences>
  <definedNames/>
  <calcPr/>
  <extLst>
    <ext uri="GoogleSheetsCustomDataVersion2">
      <go:sheetsCustomData xmlns:go="http://customooxmlschemas.google.com/" r:id="rId12" roundtripDataChecksum="M3aoV1UIY1iyP/pzOPaW1pn+Pd9sxvpfyufo2KL8hS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
ID#AAABwqVN8C0
tc={7FDBAF7F-3E33-4141-8663-E7DA20E387A7}    (2025-11-24 08:30:56)
[Threaded comment]
Your version of Excel allows you to read this threaded comment; however, any edits to it will get removed if the file is opened in a newer version of Excel. Learn more: https://go.microsoft.com/fwlink/?linkid=870924
Comment:
    There are new TV Error Codes; 
TV - B = Baccarat Technical Error
TV - RO = Roulette Technical Error
TV - 1, TV - 2 &amp; TV 3 = Sic Bo Technical Errors.</t>
      </text>
    </comment>
    <comment authorId="0" ref="M2">
      <text>
        <t xml:space="preserve">======
ID#AAABwqVN8Cw
tc={7D7FEFB0-FD84-4107-94C7-B8D4AD477F9C}    (2025-11-24 08:30:56)
[Threaded comment]
Your version of Excel allows you to read this threaded comment; however, any edits to it will get removed if the file is opened in a newer version of Excel. Learn more: https://go.microsoft.com/fwlink/?linkid=870924
Comment:
    Choose appropriate comment for listed error. If no appropriate comment, use "Additional Comments" section to clarify.</t>
      </text>
    </comment>
    <comment authorId="0" ref="Q2">
      <text>
        <t xml:space="preserve">======
ID#AAABwqVN8Cs
tc={167CC899-72AA-4E84-8A6F-3E2A61FD8C0C}    (2025-11-24 08:30:56)
[Threaded comment]
Your version of Excel allows you to read this threaded comment; however, any edits to it will get removed if the file is opened in a newer version of Excel. Learn more: https://go.microsoft.com/fwlink/?linkid=870924
Comment:
    This applies in cases where the outcome of the game was incorrect; e.g. Dealer confirms wrong number on roulette; dealer enters incorrect numbers in Sic Bo; video does not match on Baccarat; Dealer failed to finish the game and started a new game; Not waiting for count down; exposed cards during betting time or any other situation where the game ends with an incorrect result.</t>
      </text>
    </comment>
    <comment authorId="0" ref="N2">
      <text>
        <t xml:space="preserve">======
ID#AAABwqVN8Co
tc={573C9C14-2169-42E3-AAA5-E68C32F442C7}    (2025-11-24 08:30:56)
[Threaded comment]
Your version of Excel allows you to read this threaded comment; however, any edits to it will get removed if the file is opened in a newer version of Excel. Learn more: https://go.microsoft.com/fwlink/?linkid=870924
Comment:
    Enter "Y" or "N" if PNF needs to be sent or you inform Shift Manager that PNF needs to be sent.</t>
      </text>
    </comment>
    <comment authorId="0" ref="P2">
      <text>
        <t xml:space="preserve">======
ID#AAABwqVN8Ck
tc={772259C1-C253-42ED-8CDF-87E59FC1AB25}    (2025-11-24 08:30:56)
[Threaded comment]
Your version of Excel allows you to read this threaded comment; however, any edits to it will get removed if the file is opened in a newer version of Excel. Learn more: https://go.microsoft.com/fwlink/?linkid=870924
Comment:
    Bonginkosi Khayalethu Nzima:
"Manual Void" - Please enter "YES" in this column if the game needs to be voided but cannot be done on the premises (email needs to be sent). Some good examples of this:
* Sic Bo when the GP enters the wrong numbers
* Roulette when the incorrect number is confirmed.
*Voided by the system.
* Hidden Mistake when the end of the game does not match the video recording.</t>
      </text>
    </comment>
    <comment authorId="0" ref="J2">
      <text>
        <t xml:space="preserve">======
ID#AAABwqVN8Cg
tc={F41382D3-57E7-4BC9-8F97-707096E8DF2A}    (2025-11-24 08:30:56)
[Threaded comment]
Your version of Excel allows you to read this threaded comment; however, any edits to it will get removed if the file is opened in a newer version of Excel. Learn more: https://go.microsoft.com/fwlink/?linkid=870924
Comment:
    Only enter Game Type if it's a "TV" error.</t>
      </text>
    </comment>
  </commentList>
  <extLst>
    <ext uri="GoogleSheetsCustomDataVersion2">
      <go:sheetsCustomData xmlns:go="http://customooxmlschemas.google.com/" r:id="rId1" roundtripDataSignature="AMtx7mijJB3wQQE9hEEF5/V+IMJdzDgzcA=="/>
    </ext>
  </extLst>
</comments>
</file>

<file path=xl/sharedStrings.xml><?xml version="1.0" encoding="utf-8"?>
<sst xmlns="http://schemas.openxmlformats.org/spreadsheetml/2006/main" count="4318" uniqueCount="1112">
  <si>
    <t>Technical Errors Breakdown</t>
  </si>
  <si>
    <t>Errors by Game</t>
  </si>
  <si>
    <t>Voided Games Breakdown</t>
  </si>
  <si>
    <t>TOTAL DAILY ERRORS BREAKDOWN</t>
  </si>
  <si>
    <t>Total Errors/Table MTD</t>
  </si>
  <si>
    <t>Ave. Daily Errors</t>
  </si>
  <si>
    <t>Total Voids/Table/MTD</t>
  </si>
  <si>
    <t>Ave. Voids/Table/Day</t>
  </si>
  <si>
    <t>Technical Error Type.</t>
  </si>
  <si>
    <t>Total Number of Errors</t>
  </si>
  <si>
    <t>Bacc Tech Errors</t>
  </si>
  <si>
    <t>Roulette Tech Errors</t>
  </si>
  <si>
    <t>Sic Bo Tech Errors</t>
  </si>
  <si>
    <t>Table No.</t>
  </si>
  <si>
    <t>Total No. of Errors</t>
  </si>
  <si>
    <t>No. of Tech. Errors</t>
  </si>
  <si>
    <t>No. of Hum. Errors</t>
  </si>
  <si>
    <t>Game Ended with wrong Result</t>
  </si>
  <si>
    <t>Total No. of Voids</t>
  </si>
  <si>
    <t>No. of Tech. Voids</t>
  </si>
  <si>
    <t>No. of Hum. Error Voids</t>
  </si>
  <si>
    <t>System Voids</t>
  </si>
  <si>
    <t>Manual Voids</t>
  </si>
  <si>
    <t>Table Code</t>
  </si>
  <si>
    <t>01.01.2025</t>
  </si>
  <si>
    <t>02.01.2025</t>
  </si>
  <si>
    <t>03.01.2025</t>
  </si>
  <si>
    <t>04.01.2025</t>
  </si>
  <si>
    <t>05.01.2025</t>
  </si>
  <si>
    <t>06.01.2025</t>
  </si>
  <si>
    <t>07.9.2025</t>
  </si>
  <si>
    <t>08.01.2025</t>
  </si>
  <si>
    <t>09.01.2025</t>
  </si>
  <si>
    <t>10.01.2025</t>
  </si>
  <si>
    <t>11.01.2025</t>
  </si>
  <si>
    <t>12.01.2025</t>
  </si>
  <si>
    <t>13.01.2025</t>
  </si>
  <si>
    <t>14.01.2025</t>
  </si>
  <si>
    <t>15.01.2025</t>
  </si>
  <si>
    <t>16.01.2025</t>
  </si>
  <si>
    <t>17.01.2025</t>
  </si>
  <si>
    <t>18.01.2025</t>
  </si>
  <si>
    <t>19.01.2025</t>
  </si>
  <si>
    <t>20.01.2025</t>
  </si>
  <si>
    <t>21.01.2025</t>
  </si>
  <si>
    <t>22.01.2025</t>
  </si>
  <si>
    <t>23.01.2025</t>
  </si>
  <si>
    <t>24.01.2025</t>
  </si>
  <si>
    <t>25.01.2025</t>
  </si>
  <si>
    <t>26.01.2025</t>
  </si>
  <si>
    <t>27.01.2025</t>
  </si>
  <si>
    <t>28.01.2025</t>
  </si>
  <si>
    <t>29.01.2025</t>
  </si>
  <si>
    <t>30.01.2025</t>
  </si>
  <si>
    <t>31.01.2025</t>
  </si>
  <si>
    <t>DAILY SYSTEM VOIDS</t>
  </si>
  <si>
    <t>TV-B</t>
  </si>
  <si>
    <t>Baccarat_E1</t>
  </si>
  <si>
    <t>TV-RO</t>
  </si>
  <si>
    <t>Baccarat_E2</t>
  </si>
  <si>
    <t>TV-1</t>
  </si>
  <si>
    <t>Baccarat_E3</t>
  </si>
  <si>
    <t>TV-2</t>
  </si>
  <si>
    <t>Baccarat_E4</t>
  </si>
  <si>
    <t>TV-3</t>
  </si>
  <si>
    <t>Baccarat_E5</t>
  </si>
  <si>
    <t>TV-HUM</t>
  </si>
  <si>
    <t>Baccarat_E6</t>
  </si>
  <si>
    <t>TV-COM</t>
  </si>
  <si>
    <t>Baccarat_E7</t>
  </si>
  <si>
    <t>Baccarat_E8</t>
  </si>
  <si>
    <t>Baccarat_E9</t>
  </si>
  <si>
    <t>Total Technical Errors By Game Type</t>
  </si>
  <si>
    <t>Baccarat_E10</t>
  </si>
  <si>
    <t>Baccarat_E11</t>
  </si>
  <si>
    <t>Baccarat_E12</t>
  </si>
  <si>
    <t>Baccarat_E13</t>
  </si>
  <si>
    <t>Baccarat_EVIP</t>
  </si>
  <si>
    <t>Baccarat_PB1</t>
  </si>
  <si>
    <t>Baccarat_PB2</t>
  </si>
  <si>
    <t>Baccarat_PB3</t>
  </si>
  <si>
    <t>Baccarat_PB4</t>
  </si>
  <si>
    <t>Roulette_PB1</t>
  </si>
  <si>
    <t>Roulette_E1</t>
  </si>
  <si>
    <t>Roulette_E2</t>
  </si>
  <si>
    <t>SicBo_E1</t>
  </si>
  <si>
    <t>Total Errors</t>
  </si>
  <si>
    <t>Total Voids</t>
  </si>
  <si>
    <t>Total Daily Errors</t>
  </si>
  <si>
    <t>Ave. Tech. Errors/Day</t>
  </si>
  <si>
    <t>Total Sys. Voids / Day</t>
  </si>
  <si>
    <t>Errors by Game type</t>
  </si>
  <si>
    <t>Average Errors/Dealer/Game Type</t>
  </si>
  <si>
    <t>Voids by Game Type</t>
  </si>
  <si>
    <t>Average Daily Errors</t>
  </si>
  <si>
    <t>Average Voids/ Day</t>
  </si>
  <si>
    <t>Game Type</t>
  </si>
  <si>
    <t>No. Of Tech. Errors</t>
  </si>
  <si>
    <t>No. Of Human Errors.</t>
  </si>
  <si>
    <t>No. Of Errors</t>
  </si>
  <si>
    <t>Ave. Errors/Dealer</t>
  </si>
  <si>
    <t>No. of Tech Voids</t>
  </si>
  <si>
    <t>No. of Hum Error Voids</t>
  </si>
  <si>
    <t>Tot.T.E. MTD</t>
  </si>
  <si>
    <t>Baccarat</t>
  </si>
  <si>
    <t>DAILY TECHNICAL ERRORS BREAKDOWN</t>
  </si>
  <si>
    <t>DAILY MANUAL VOIDS</t>
  </si>
  <si>
    <t>Roulette</t>
  </si>
  <si>
    <t>Sic Bo</t>
  </si>
  <si>
    <t>Human Errors Baccarat</t>
  </si>
  <si>
    <t>Human Errors Roulette</t>
  </si>
  <si>
    <t>Error Code</t>
  </si>
  <si>
    <t>Description</t>
  </si>
  <si>
    <t># of Errors</t>
  </si>
  <si>
    <t>B001</t>
  </si>
  <si>
    <t xml:space="preserve">Dealer exposed a card during betting time </t>
  </si>
  <si>
    <t>R01</t>
  </si>
  <si>
    <t>Ball did not make 4 revolutions</t>
  </si>
  <si>
    <t>B002</t>
  </si>
  <si>
    <t>Extra card at the end of the game (exposed)</t>
  </si>
  <si>
    <t>R02</t>
  </si>
  <si>
    <t>Drop ball</t>
  </si>
  <si>
    <t>B004</t>
  </si>
  <si>
    <t>Burn card(s) exposed - during burn procedure (during card change procedure)</t>
  </si>
  <si>
    <t>R03</t>
  </si>
  <si>
    <t>Wrong wheel direction</t>
  </si>
  <si>
    <t>B005</t>
  </si>
  <si>
    <t>Too many cards burned (during card change procedure)</t>
  </si>
  <si>
    <t>R04</t>
  </si>
  <si>
    <t>Wrong ball direction</t>
  </si>
  <si>
    <t>B008</t>
  </si>
  <si>
    <t>Scanned card falls out of camera view</t>
  </si>
  <si>
    <t>R05</t>
  </si>
  <si>
    <t xml:space="preserve">Ball falls out of the wheel </t>
  </si>
  <si>
    <t xml:space="preserve">Unscanned card falls out of camera view </t>
  </si>
  <si>
    <t>R08</t>
  </si>
  <si>
    <t>GP confirms wrong number</t>
  </si>
  <si>
    <t>Dealer failed to scan shuffle card (still using the same shoe)</t>
  </si>
  <si>
    <t xml:space="preserve">Dealer spun ball before the beginning of next round/More than 3 seconds before the end of the countdown. </t>
  </si>
  <si>
    <t>B009</t>
  </si>
  <si>
    <t xml:space="preserve">Wrong card scanned </t>
  </si>
  <si>
    <t>Dealer failed to spin the wheel before spinning the ball</t>
  </si>
  <si>
    <t>B011</t>
  </si>
  <si>
    <t xml:space="preserve">Dealer starts a new game before clearing cards from the previous game.  </t>
  </si>
  <si>
    <t>R09</t>
  </si>
  <si>
    <t>Dealer did not spin the ball and confirmed winning number of previous round</t>
  </si>
  <si>
    <t>B012</t>
  </si>
  <si>
    <t xml:space="preserve">Extra card placed wrong side. </t>
  </si>
  <si>
    <t>R10</t>
  </si>
  <si>
    <t>Dealer did not stop the wheel when needed by which caused a techincal error and interface showed wrong wheel direction</t>
  </si>
  <si>
    <t>B013</t>
  </si>
  <si>
    <t xml:space="preserve">Dealer drops cards in shoe/table while changing cards. Cards did not fall out of camera view </t>
  </si>
  <si>
    <t>R11</t>
  </si>
  <si>
    <t>Dealer puts second ball into play</t>
  </si>
  <si>
    <t>B014</t>
  </si>
  <si>
    <t xml:space="preserve">After cut card, dealer didn’t play last game and started to change  the cards </t>
  </si>
  <si>
    <t>R12</t>
  </si>
  <si>
    <t>Dealer starts new game before finishing last game (Spins the wheel/ball before confirming the previous winning number)</t>
  </si>
  <si>
    <t>B015</t>
  </si>
  <si>
    <t xml:space="preserve">Dropped cards – during card change (out from camera view) </t>
  </si>
  <si>
    <t>R13</t>
  </si>
  <si>
    <t>While stopping the wheel after dealer  confirmed the  winning number the the ball jumped from one pocket to another</t>
  </si>
  <si>
    <t>B016</t>
  </si>
  <si>
    <t>Dealer failed to finish the game and started a new game. (Dealt and discarded the cards without scanning them and similar cases)</t>
  </si>
  <si>
    <t>B018</t>
  </si>
  <si>
    <t xml:space="preserve">An extra card(s) is pulled out from the shoe. </t>
  </si>
  <si>
    <t>B020</t>
  </si>
  <si>
    <t xml:space="preserve">During card change the last card of the back is visible to the camera. </t>
  </si>
  <si>
    <t>Total Technical Errors</t>
  </si>
  <si>
    <t>Average Technical Daily Errors</t>
  </si>
  <si>
    <t>Total Man. Voids / Day</t>
  </si>
  <si>
    <t>Total Errors/Code/MTD</t>
  </si>
  <si>
    <t>Ave. Errors/Code/MTD</t>
  </si>
  <si>
    <t>DAILY ERRORS BY CODE</t>
  </si>
  <si>
    <t>SB01</t>
  </si>
  <si>
    <t>SB02</t>
  </si>
  <si>
    <t>SB03</t>
  </si>
  <si>
    <t>Error codes</t>
  </si>
  <si>
    <t>Error description</t>
  </si>
  <si>
    <t>ERROR CODE</t>
  </si>
  <si>
    <t>ERROR DESCRIPTION</t>
  </si>
  <si>
    <t>PNF/NO PNF</t>
  </si>
  <si>
    <t>VOID/NO VOID</t>
  </si>
  <si>
    <t>UPDATED ERROR TRACKING</t>
  </si>
  <si>
    <t>ACTIONS FOR BRANDED TABLES</t>
  </si>
  <si>
    <t>PNF</t>
  </si>
  <si>
    <t xml:space="preserve">NO VOID </t>
  </si>
  <si>
    <t>YES</t>
  </si>
  <si>
    <r>
      <rPr>
        <rFont val="Calibri"/>
        <color theme="1"/>
        <sz val="11.0"/>
      </rPr>
      <t xml:space="preserve">If any cards are exposed for the next round, dealer should pause the game and call Floor, explain the situation and Floor should announce a Free hand to the </t>
    </r>
    <r>
      <rPr>
        <rFont val="Calibri"/>
        <color rgb="FF1155CC"/>
        <sz val="11.0"/>
        <u/>
      </rPr>
      <t>players.FM</t>
    </r>
    <r>
      <rPr>
        <rFont val="Calibri"/>
        <color theme="1"/>
        <sz val="11.0"/>
      </rPr>
      <t xml:space="preserve"> presess the Free Hand button(the system refunds all bets) the hand will still play out as normal and be recorded on the trend. Following games continue as normal.</t>
    </r>
  </si>
  <si>
    <t>Burn card(s) exposed/too many burned - during burn procedure (during card change procedure)</t>
  </si>
  <si>
    <t>If too many cards are drawn but not exposed, use the extra cards for the next round, Manually enter the cards, put the shoe into game correction mode and continue the game. When game is finished insert the winner on the shoe and press enter, turn the key back to vertical position.
If one card is exposed, it will be flipped over and burn procedure will be finalized, no need to change the shoe.
If more than one card is exposed the shoe must be changed.</t>
  </si>
  <si>
    <t>B006</t>
  </si>
  <si>
    <t>NO PNF</t>
  </si>
  <si>
    <t>Card can be placed back and game continued, but needs to be confirmed with IT, if the logs match the actual cards. If the recording does not match with the result, inform the shift manager additionally.</t>
  </si>
  <si>
    <t>Shuffle card not scanned  (still using the same shoe)</t>
  </si>
  <si>
    <t>VOID</t>
  </si>
  <si>
    <t>Dealer needs to press PAUSE on the Dealer Interface. Shuffle mode should be requested from the DI then Game round needs to be voided on the Dealer Interface using Pitboss credentials. Does not count as an dealer error.</t>
  </si>
  <si>
    <t>NB! Can only happen due to shoe error. Does not count as a dealers mistake</t>
  </si>
  <si>
    <t>B007</t>
  </si>
  <si>
    <t>GP doesn't wait for 3 seconds after the card change which causes card not scanned/cards scanned in wrong order</t>
  </si>
  <si>
    <t>When only 1st card is not scanned enter the card manually using Dealer Interface.
When more cards are drawn and cards are scanned in wrong order use hand corretion mode with pit boss credentials.</t>
  </si>
  <si>
    <t>B010</t>
  </si>
  <si>
    <t>Card is placed but not scanned (no further cards have been scanned)</t>
  </si>
  <si>
    <t>Enter the card manually using Dealer Interface.</t>
  </si>
  <si>
    <t>NO VOID</t>
  </si>
  <si>
    <t xml:space="preserve">Finish the game according to game rules - place the card on the correct side and draw  the second extra card if game rules require. Inform IT to check if the recording matches with the result. </t>
  </si>
  <si>
    <t>Dealer drops cards in shoe/table while changing cards.</t>
  </si>
  <si>
    <t xml:space="preserve"> PNF </t>
  </si>
  <si>
    <t xml:space="preserve">Bring a new box of cards (The same colour) and verify the old cards. </t>
  </si>
  <si>
    <t xml:space="preserve">Dealer needs to press PAUSE on the Dealer Interface. Game round needs to be voided on the Dealer Interface using Pitboss credentials and Shuffle Mode requested. If the Dealer has only moved the shoe and has not proceeded - allow them to finish the last game and proceed with the card change after that.  </t>
  </si>
  <si>
    <t xml:space="preserve">Bring a new box of cards (The same colour). </t>
  </si>
  <si>
    <t xml:space="preserve"> Floor will take the cards out from the discard rack one by one, put them back into the proper spot, matching what are shown on the dealer interface and finish the game round accordingly.  When the game completes, verify with the recording to ensure everything went accordingly.  If you notice anything different notify SM, SM needs to report to the support the details immediately</t>
  </si>
  <si>
    <t>Extra card is pulled out from the shoe</t>
  </si>
  <si>
    <t>PNF if Free Hand is used</t>
  </si>
  <si>
    <t>If any cards are exposed for the next round, dealer should PAUSE the game and call Floor Manager, explain the situation and Floor should announce a Free hand for the next round, manually enter those cards, then press play to continue the game.  Finish the game and make sure the physical cards are matching with the DI, then game continue as normal.
If the cards were not exposed, it can be used for the next round. This card should be entered manually as a Player's first card, using DI.</t>
  </si>
  <si>
    <t xml:space="preserve">Interface error </t>
  </si>
  <si>
    <t>PNF if game is voided</t>
  </si>
  <si>
    <t>if adjustment is not possible, VOID</t>
  </si>
  <si>
    <t>Adjust cards using DI if you can, if not, void the game if it’s not complete (if complete SM needs to email Support with detail and request a manual void.) The shoe must be changed -  Announce to players that new cards will be offered. (less than half shoe played, change to same color, more than half shoe played change to different color)</t>
  </si>
  <si>
    <r>
      <rPr>
        <rFont val="Calibri"/>
        <b/>
        <color rgb="FFFF0000"/>
        <sz val="11.0"/>
      </rPr>
      <t>Pause the next game</t>
    </r>
    <r>
      <rPr>
        <rFont val="Calibri"/>
        <color rgb="FFFF0000"/>
        <sz val="11.0"/>
      </rPr>
      <t xml:space="preserve">.
Even if the next game has already started, you may pause it.
Turn off the scanner from the DI to prevent further card reads.
</t>
    </r>
    <r>
      <rPr>
        <rFont val="Calibri"/>
        <b/>
        <color rgb="FFFF0000"/>
        <sz val="11.0"/>
      </rPr>
      <t xml:space="preserve">Play out the hand manually.
</t>
    </r>
    <r>
      <rPr>
        <rFont val="Calibri"/>
        <color rgb="FFFF0000"/>
        <sz val="11.0"/>
      </rPr>
      <t xml:space="preserve">Pull the necessary cards (4th, 5th, or 6th card if applicable) to complete the hand as it should have been played.
Although this result will not register in the system, players will still be able to see the correct outcome, and the cards will be used appropriately.
</t>
    </r>
    <r>
      <rPr>
        <rFont val="Calibri"/>
        <b/>
        <color rgb="FFFF0000"/>
        <sz val="11.0"/>
      </rPr>
      <t xml:space="preserve">Support team reconciliation.
</t>
    </r>
    <r>
      <rPr>
        <rFont val="Calibri"/>
        <color rgb="FFFF0000"/>
        <sz val="11.0"/>
      </rPr>
      <t xml:space="preserve">As long as the hand is played out correctly, the support team will calculate and process the payouts for the players who should have won (Shift Manager sends out all necessary details to Support)
</t>
    </r>
    <r>
      <rPr>
        <rFont val="Calibri"/>
        <b/>
        <color rgb="FFFF0000"/>
        <sz val="11.0"/>
      </rPr>
      <t xml:space="preserve">Determine if the shoe can be kept.
</t>
    </r>
    <r>
      <rPr>
        <rFont val="Calibri"/>
        <color rgb="FFFF0000"/>
        <sz val="11.0"/>
      </rPr>
      <t>If the actual outcome matches the incorrectly registered outcome, you may continue using the same shoe. (Wrong result registered had a player win - manually finished result has same outcome or same  with a banker win.)
If the outcomes differ, replace the shoe before continuing.</t>
    </r>
  </si>
  <si>
    <t>The presenter will press the PAUSE button immediately. Calls a Floor manager and floor manager needs to check from recordings if the ball made lass than 4 revolutions. Then the floor manager will void the game and the ball will be placed back to the previous  winning number.</t>
  </si>
  <si>
    <t>The presenter will press the PAUSE button immediately. Calls a Floor manager and floor manager  will void the game and ball will be placed back to the previous winning number.</t>
  </si>
  <si>
    <t>VOID / NO VOID</t>
  </si>
  <si>
    <t>In a case where ball was not spun yet the dealer may quickly rotate the wheel to correct direction and spin the ball immediately. In a case where Wheel and ball was spun, void the game and start new game from the last winning number.</t>
  </si>
  <si>
    <t>The presenter will press the PAUSE button immediately. Calls a Floor manager and floor manager  will void the game. Ball will be placed back to previous winning number.</t>
  </si>
  <si>
    <t xml:space="preserve"> PNF</t>
  </si>
  <si>
    <t>R06</t>
  </si>
  <si>
    <t>Wrong number confirmed</t>
  </si>
  <si>
    <t>Nothing to do, record the error in the file, SM needs to send report to Playgon.</t>
  </si>
  <si>
    <t>R07</t>
  </si>
  <si>
    <t xml:space="preserve">if the ball was spun earlier than 3 seconds before the end of the countdown.  - Void the game round and start a new round from a previous winning number. </t>
  </si>
  <si>
    <t>GM notifies the FM, who then checks the recording of which one is the correct ball. Place the extra ball onto tower and ask the GP contunue with the original ball.</t>
  </si>
  <si>
    <t>Dealer starts new game before finishing last game</t>
  </si>
  <si>
    <t>Technical error</t>
  </si>
  <si>
    <t>Restart DI, inform IT and if nothing helps, void the game and ask GP to start new round from last winning number.</t>
  </si>
  <si>
    <t>Dealer Felt ill.</t>
  </si>
  <si>
    <t>No PNF</t>
  </si>
  <si>
    <t>Change the dealer and continue the game.</t>
  </si>
  <si>
    <t>Poor communication</t>
  </si>
  <si>
    <t>B025</t>
  </si>
  <si>
    <t>Burn card exposed</t>
  </si>
  <si>
    <t>B026</t>
  </si>
  <si>
    <t>Dealer failed to scan burn card</t>
  </si>
  <si>
    <t>B027</t>
  </si>
  <si>
    <t>Dealer scanned wrong burn card (instead of 5th card she burned 6th card)</t>
  </si>
  <si>
    <t>Please select ERROR CODE column "I"</t>
  </si>
  <si>
    <t>B028</t>
  </si>
  <si>
    <t>Dealer drops scanned burn card (out of the camera view)</t>
  </si>
  <si>
    <t>SB04</t>
  </si>
  <si>
    <t>Shaker malfunction, Dice irregularity</t>
  </si>
  <si>
    <t>SB05</t>
  </si>
  <si>
    <t>Dice lands incorrectly (Dices lies on top of each other, dice lands on corner)</t>
  </si>
  <si>
    <t>Bac TV</t>
  </si>
  <si>
    <t>Technical error (the interface 
asks to burn a card/ system 
reconnected/ intrface freezing and etc)</t>
  </si>
  <si>
    <t>Ro TV</t>
  </si>
  <si>
    <t>Technical error (The interface wrongly shows wrong wheel or ball direction/ the interface freezes wich causes the GP not to spin the ball on time and etc.</t>
  </si>
  <si>
    <t>Column1</t>
  </si>
  <si>
    <t>Column2</t>
  </si>
  <si>
    <t>Column22</t>
  </si>
  <si>
    <t>Column3</t>
  </si>
  <si>
    <t>Column4</t>
  </si>
  <si>
    <t>Column42</t>
  </si>
  <si>
    <t>Column43</t>
  </si>
  <si>
    <t>Column5</t>
  </si>
  <si>
    <t>Column6</t>
  </si>
  <si>
    <t>Column7</t>
  </si>
  <si>
    <t>Column8</t>
  </si>
  <si>
    <t>Column82</t>
  </si>
  <si>
    <t>Column9</t>
  </si>
  <si>
    <t>Column10</t>
  </si>
  <si>
    <t>Column11</t>
  </si>
  <si>
    <t>Column112</t>
  </si>
  <si>
    <t>Column113</t>
  </si>
  <si>
    <t>Column12</t>
  </si>
  <si>
    <t>Column13</t>
  </si>
  <si>
    <t>Column14</t>
  </si>
  <si>
    <t>Column15</t>
  </si>
  <si>
    <t>Column16</t>
  </si>
  <si>
    <t>&lt;</t>
  </si>
  <si>
    <t>Column17</t>
  </si>
  <si>
    <t>Column18</t>
  </si>
  <si>
    <t>Column19</t>
  </si>
  <si>
    <t>Column20</t>
  </si>
  <si>
    <t>Column21</t>
  </si>
  <si>
    <t>Column212</t>
  </si>
  <si>
    <t>Nr</t>
  </si>
  <si>
    <t>GP Name</t>
  </si>
  <si>
    <t>GP Alias</t>
  </si>
  <si>
    <t>Date</t>
  </si>
  <si>
    <t>Timestamp UTC+2</t>
  </si>
  <si>
    <t>Table ID</t>
  </si>
  <si>
    <t>Shoe ID</t>
  </si>
  <si>
    <t>SystemRound ID</t>
  </si>
  <si>
    <t>Error code</t>
  </si>
  <si>
    <t>Solution</t>
  </si>
  <si>
    <t>Technical Error Comments</t>
  </si>
  <si>
    <t>PNF (Y/N)</t>
  </si>
  <si>
    <t>System Void (Voided by FM/IT)</t>
  </si>
  <si>
    <t>Manual Void</t>
  </si>
  <si>
    <t>Game Ended with the Wrong Result</t>
  </si>
  <si>
    <t>Shift Manager on duty</t>
  </si>
  <si>
    <t>Floor Manager on duty</t>
  </si>
  <si>
    <t>Additional Comment</t>
  </si>
  <si>
    <t>Alina Jivoloup</t>
  </si>
  <si>
    <t>Alexa</t>
  </si>
  <si>
    <t>01.01.2026</t>
  </si>
  <si>
    <t>SC_RO</t>
  </si>
  <si>
    <t>NDRUZF8I</t>
  </si>
  <si>
    <t>Rou</t>
  </si>
  <si>
    <t>Yes</t>
  </si>
  <si>
    <t>No</t>
  </si>
  <si>
    <t xml:space="preserve">Alissa Allahverdjan </t>
  </si>
  <si>
    <t>Aleksandra Tarasenkova</t>
  </si>
  <si>
    <t>The GP failed to confirm that the correct number had been confirmed and spun the ball a second time in one round. The round was voided by FM.</t>
  </si>
  <si>
    <t>Kirke Kirs</t>
  </si>
  <si>
    <t>Dana</t>
  </si>
  <si>
    <t>NDQRU79W</t>
  </si>
  <si>
    <t>Uljana Tatar</t>
  </si>
  <si>
    <t>Anna Prokopieva</t>
  </si>
  <si>
    <t>No spin. Game voided by FM</t>
  </si>
  <si>
    <t>NDQRU8FL</t>
  </si>
  <si>
    <t>Elina Varivoda</t>
  </si>
  <si>
    <t>Wonyoung</t>
  </si>
  <si>
    <t>FC_RO</t>
  </si>
  <si>
    <t>NDRX8722</t>
  </si>
  <si>
    <t>Kristo Kivisild</t>
  </si>
  <si>
    <t>Kristina Bobrovskaja</t>
  </si>
  <si>
    <t>Heili Liis Kallasse</t>
  </si>
  <si>
    <t>Grace</t>
  </si>
  <si>
    <t>MBR1</t>
  </si>
  <si>
    <t>sha.1s2x</t>
  </si>
  <si>
    <t>E9Q8KZSB</t>
  </si>
  <si>
    <t>Bacc</t>
  </si>
  <si>
    <t>Cards slided down during card change, dealer managed to fix and hold them but the picture seemed suspisious and sequence might have been broken. Card were replaced with the new ones same color</t>
  </si>
  <si>
    <t>Valeria Pomerants</t>
  </si>
  <si>
    <t>Veronika</t>
  </si>
  <si>
    <t>sha.1s31</t>
  </si>
  <si>
    <t xml:space="preserve">E9Q8K738 </t>
  </si>
  <si>
    <t>Interface frozen</t>
  </si>
  <si>
    <t>Vlas Kuznetsov</t>
  </si>
  <si>
    <t>Interface frozen, app was restarted and game was continued.</t>
  </si>
  <si>
    <t>Claudine Filatov</t>
  </si>
  <si>
    <t>Kayce</t>
  </si>
  <si>
    <t>SC_BAC1</t>
  </si>
  <si>
    <t>sha.1s1p</t>
  </si>
  <si>
    <t xml:space="preserve"> E9KF2PTZ</t>
  </si>
  <si>
    <t>Alissa Gujevskaja</t>
  </si>
  <si>
    <t>Yelyzaveta Melnichenko</t>
  </si>
  <si>
    <t>Game round voided and shuffle requested manually</t>
  </si>
  <si>
    <t>Akemi Hashimura</t>
  </si>
  <si>
    <t>Noa</t>
  </si>
  <si>
    <t>02.01.2026</t>
  </si>
  <si>
    <t>SC_BAC2</t>
  </si>
  <si>
    <t>sha.1qj6</t>
  </si>
  <si>
    <t>E9KIBBCB</t>
  </si>
  <si>
    <t>Jelizaveta Venkova</t>
  </si>
  <si>
    <t>Mira</t>
  </si>
  <si>
    <t>NDRYAP8Q</t>
  </si>
  <si>
    <t>Vitaly Bayushkin</t>
  </si>
  <si>
    <t>Artemiy</t>
  </si>
  <si>
    <t>NDRYBAZX</t>
  </si>
  <si>
    <t>Gleb Protassov</t>
  </si>
  <si>
    <t>Anastassia Gritsuk</t>
  </si>
  <si>
    <t>Milena Kõiv</t>
  </si>
  <si>
    <t>Bubbles</t>
  </si>
  <si>
    <t>sha.1qju</t>
  </si>
  <si>
    <t xml:space="preserve">	E9KICQ6Q </t>
  </si>
  <si>
    <t>Sergei Tatar</t>
  </si>
  <si>
    <t xml:space="preserve"> GP revealed cards during the card change, and the cards were replaced with the same color.</t>
  </si>
  <si>
    <t>Liis-Liisa Gertsjak</t>
  </si>
  <si>
    <t>Linda</t>
  </si>
  <si>
    <t>NDQRZBPG</t>
  </si>
  <si>
    <t>No spin. But GP continued the game with re-spin procedure by herself</t>
  </si>
  <si>
    <t>NDQRZEQL</t>
  </si>
  <si>
    <t>Anastassija Fomenkova</t>
  </si>
  <si>
    <t>Monica</t>
  </si>
  <si>
    <t>CB_RO</t>
  </si>
  <si>
    <t>NDS5L99X</t>
  </si>
  <si>
    <t>Daniil Daletski</t>
  </si>
  <si>
    <t>Interface frozen, app was restarted and game was continued. Result was entered manually.</t>
  </si>
  <si>
    <t xml:space="preserve">Alicia Bel-Haj </t>
  </si>
  <si>
    <t>Layla</t>
  </si>
  <si>
    <t>NDQRZ4WD</t>
  </si>
  <si>
    <t>NDQRZ58N</t>
  </si>
  <si>
    <t>Elisabeth-Diana Tratšuk</t>
  </si>
  <si>
    <t>Lizzie</t>
  </si>
  <si>
    <t>03.01.2026</t>
  </si>
  <si>
    <t>sha.1s56</t>
  </si>
  <si>
    <t>E9JC4Y2E</t>
  </si>
  <si>
    <t>Greeteli Paama</t>
  </si>
  <si>
    <t>Cards were exposed during card change</t>
  </si>
  <si>
    <t>Lucy</t>
  </si>
  <si>
    <t>sha.1s5c</t>
  </si>
  <si>
    <t>E9JC5GEJ</t>
  </si>
  <si>
    <t xml:space="preserve">FM did not put shuffle mode manually when the yellow card was not scanned, which caused an unnecessary round to start and unnecessary void. GP- Ivanna Matukhno </t>
  </si>
  <si>
    <t>Marek Koroljov</t>
  </si>
  <si>
    <t>FC_BAC1</t>
  </si>
  <si>
    <t xml:space="preserve">sha.1ql4
</t>
  </si>
  <si>
    <t>E9LPRQR7</t>
  </si>
  <si>
    <t>During the card change, the GP did not remove the cut card, and the FM left the dealer alone with the cards. As a result, the cards were replaced with the same color. GP- Marek Koroljov</t>
  </si>
  <si>
    <t>CB_BAC1</t>
  </si>
  <si>
    <t>sha.1qlj</t>
  </si>
  <si>
    <t>E9P3GB9W</t>
  </si>
  <si>
    <t xml:space="preserve">Early pull. 1 Card was entered manually </t>
  </si>
  <si>
    <t>Karetti Sakala</t>
  </si>
  <si>
    <t xml:space="preserve">NDRYFAQY </t>
  </si>
  <si>
    <t xml:space="preserve">NDS5RPBF </t>
  </si>
  <si>
    <t xml:space="preserve">NDQR45EC </t>
  </si>
  <si>
    <t xml:space="preserve">NDQR45P8 </t>
  </si>
  <si>
    <t>Premature spin, Game voided by FM.</t>
  </si>
  <si>
    <t>Yukiko Mauer</t>
  </si>
  <si>
    <t>sha.1s66</t>
  </si>
  <si>
    <t>E9JC6KX5</t>
  </si>
  <si>
    <t>Nikita Baskir</t>
  </si>
  <si>
    <t>Diana Kuzin</t>
  </si>
  <si>
    <t>04.01.2026</t>
  </si>
  <si>
    <t>NDS5R5JK</t>
  </si>
  <si>
    <t xml:space="preserve">GP informed about wrong wheel direction after dealer change procedure when winning result was confirmed in the system </t>
  </si>
  <si>
    <t>Polina Pissareva</t>
  </si>
  <si>
    <t xml:space="preserve">NDQR5JNL </t>
  </si>
  <si>
    <t>sha.1rei</t>
  </si>
  <si>
    <t>E9JC7BN5</t>
  </si>
  <si>
    <t>sha.1rep</t>
  </si>
  <si>
    <t>E9P3H4F6</t>
  </si>
  <si>
    <t>Early pull. 1 Card was entered manually and also hand correction mode was made.</t>
  </si>
  <si>
    <t>Elena Zimarina</t>
  </si>
  <si>
    <t>NDQR6IU5</t>
  </si>
  <si>
    <t>Mariia Pozniakova</t>
  </si>
  <si>
    <t>Asia Oliinyk</t>
  </si>
  <si>
    <t>sha.1reu</t>
  </si>
  <si>
    <t>E9JC76ZY</t>
  </si>
  <si>
    <t>During the betting time GP pulled out and exposed cards. It was natural 9 so game was finished automatically and GP could not pause the game.</t>
  </si>
  <si>
    <t>E9JC762Z</t>
  </si>
  <si>
    <t>Empty game round was voided due to Shuffle Request. Previous round needed manual void and shoe should be replaced .FM voided the round and changed the shoe with same colour.</t>
  </si>
  <si>
    <t>Keitlin Gruzdova</t>
  </si>
  <si>
    <t>E9P3IN78</t>
  </si>
  <si>
    <t>Maria Vatsom</t>
  </si>
  <si>
    <t>NDS5T9ZQ</t>
  </si>
  <si>
    <t>No spin. Game round voided by FM</t>
  </si>
  <si>
    <t xml:space="preserve">NDQR7QUY </t>
  </si>
  <si>
    <t xml:space="preserve">	NDS5UFET</t>
  </si>
  <si>
    <t>Vladimir Petrov</t>
  </si>
  <si>
    <t>sha.1s7i</t>
  </si>
  <si>
    <t xml:space="preserve"> E9LPXJ4B </t>
  </si>
  <si>
    <t xml:space="preserve">GP dropped cards during the card change, cards were replaced with the same color </t>
  </si>
  <si>
    <t>Sofja Barchan</t>
  </si>
  <si>
    <t>sha.1qoa</t>
  </si>
  <si>
    <t>E9JDA3FR</t>
  </si>
  <si>
    <t>Game round voided by the system due to table closing</t>
  </si>
  <si>
    <t>Katerina Zahharova</t>
  </si>
  <si>
    <t>05.01.2026</t>
  </si>
  <si>
    <t>NDQSARSP</t>
  </si>
  <si>
    <t>Agnes Suvorov</t>
  </si>
  <si>
    <t>Maria Solovova</t>
  </si>
  <si>
    <t>sha.1qou</t>
  </si>
  <si>
    <t>E9P3NFUJ</t>
  </si>
  <si>
    <t>Interface frozen. The GP collected the cards. The FM asked to place the cards back in the correct positions, restarted the app, added four cards manually, and finished the round manually.</t>
  </si>
  <si>
    <t>NDS5YJT9</t>
  </si>
  <si>
    <t>Evita Limareva</t>
  </si>
  <si>
    <t>06.01.2026</t>
  </si>
  <si>
    <t>sha.1qoz</t>
  </si>
  <si>
    <t>E9Q8Z4CP</t>
  </si>
  <si>
    <t>Andri Saaret</t>
  </si>
  <si>
    <t>sha.1s8w</t>
  </si>
  <si>
    <t xml:space="preserve">E9LPZ6ZH </t>
  </si>
  <si>
    <t>Elizaveta Sofia Reemet</t>
  </si>
  <si>
    <t>sha.1qp1</t>
  </si>
  <si>
    <t xml:space="preserve">E9KINXUD </t>
  </si>
  <si>
    <t>Mia Murakas</t>
  </si>
  <si>
    <t xml:space="preserve">	NDS5YZUY</t>
  </si>
  <si>
    <t>Kaisa-Helena Rõngelep</t>
  </si>
  <si>
    <t>Interface frozen, app was restarted and game was voided.</t>
  </si>
  <si>
    <t>sha.1s8y</t>
  </si>
  <si>
    <t>E9P3NYNS</t>
  </si>
  <si>
    <t>NDQSBQFK</t>
  </si>
  <si>
    <t>Catsy</t>
  </si>
  <si>
    <t>sha.1rhb</t>
  </si>
  <si>
    <t>E9KIP655</t>
  </si>
  <si>
    <t xml:space="preserve">Ranjita Magar </t>
  </si>
  <si>
    <t xml:space="preserve">GP pulled the cards and it slide away out of camera view. Card was placed back and game round was continued.Vidoe matches the round confirmed by IT. </t>
  </si>
  <si>
    <t>Valeria Novikova</t>
  </si>
  <si>
    <t>NDQSCKYX</t>
  </si>
  <si>
    <t>GP dropped ball and made a respin and continued the game and notified FM after the winning number confirmation.</t>
  </si>
  <si>
    <t>sha.1rhr</t>
  </si>
  <si>
    <t>E9P3Q3JK</t>
  </si>
  <si>
    <t>Anna Ševtšenko</t>
  </si>
  <si>
    <t>sha.1sa3</t>
  </si>
  <si>
    <t>E9Q84SR2</t>
  </si>
  <si>
    <t>Valerija Sibul</t>
  </si>
  <si>
    <t>Liva Ozolina</t>
  </si>
  <si>
    <t>07.01.2026</t>
  </si>
  <si>
    <t xml:space="preserve">NDQSEYHA </t>
  </si>
  <si>
    <t>Ivanna Matukhno</t>
  </si>
  <si>
    <t>NDRYRDJ3</t>
  </si>
  <si>
    <t>NDRYSX6R</t>
  </si>
  <si>
    <t>Winning number was not confirmed and was entered manually by FM</t>
  </si>
  <si>
    <t>Caroly Lepp</t>
  </si>
  <si>
    <t>08.01.2026</t>
  </si>
  <si>
    <t xml:space="preserve">NDS56L69 </t>
  </si>
  <si>
    <t>Reeli Pao</t>
  </si>
  <si>
    <t>NDQSG35B</t>
  </si>
  <si>
    <t>sha.1qs8</t>
  </si>
  <si>
    <t xml:space="preserve">E9JDI42Y </t>
  </si>
  <si>
    <t>Vladlena Nikiforova</t>
  </si>
  <si>
    <t>sha.1rjy</t>
  </si>
  <si>
    <t>E9JDJAXA</t>
  </si>
  <si>
    <t>NDRYULW7</t>
  </si>
  <si>
    <t>Apple Jiene Doroja</t>
  </si>
  <si>
    <t>sha.1qsj</t>
  </si>
  <si>
    <t xml:space="preserve">E9KIW3RP </t>
  </si>
  <si>
    <t>Sanita Dolovac</t>
  </si>
  <si>
    <t>sha.1rke</t>
  </si>
  <si>
    <t xml:space="preserve">E9LP9KXR </t>
  </si>
  <si>
    <t>Interface freezed during the hand what caused unscanned card and broke the sequence. One card was entered mannualy, cards were adjusted using DI.</t>
  </si>
  <si>
    <t>sha.1rkb</t>
  </si>
  <si>
    <t xml:space="preserve">E9P3XAIA </t>
  </si>
  <si>
    <t>Anneli Zaitseva</t>
  </si>
  <si>
    <t>NDQSIXJJ</t>
  </si>
  <si>
    <t>Ranjita Magar</t>
  </si>
  <si>
    <t>sha.1qt0</t>
  </si>
  <si>
    <t>E9P3XZ2W</t>
  </si>
  <si>
    <t>Laurit Kurm</t>
  </si>
  <si>
    <t>NDRYWSF5</t>
  </si>
  <si>
    <t>09.01.2026</t>
  </si>
  <si>
    <t xml:space="preserve">NDQSJ32P </t>
  </si>
  <si>
    <t>Aleksandra Onri</t>
  </si>
  <si>
    <t>Tova</t>
  </si>
  <si>
    <t>sha.1rky</t>
  </si>
  <si>
    <t>E9Q9AX8R</t>
  </si>
  <si>
    <t>no void</t>
  </si>
  <si>
    <t>Karina Tarasenko</t>
  </si>
  <si>
    <t>sha.1sd0</t>
  </si>
  <si>
    <t>E9LQAZ68</t>
  </si>
  <si>
    <t>Interface frozen. App restarted and game continued as usual</t>
  </si>
  <si>
    <t>Alina Kudashova</t>
  </si>
  <si>
    <t>sha.1qti</t>
  </si>
  <si>
    <t xml:space="preserve">	E9JDLSZQ</t>
  </si>
  <si>
    <t xml:space="preserve">Interface frozen. App restarted and game continued as usual, 1 card entered manually </t>
  </si>
  <si>
    <t>Ksenia Ivanova</t>
  </si>
  <si>
    <t>Estelle</t>
  </si>
  <si>
    <t>sha.1sda</t>
  </si>
  <si>
    <t>E9KIZD6P</t>
  </si>
  <si>
    <t xml:space="preserve">Interface frozen. App restarted and game continued as usual, 3 cards entered manually </t>
  </si>
  <si>
    <t>sha.1sdj</t>
  </si>
  <si>
    <t>E9LQB6TK</t>
  </si>
  <si>
    <t>Kseniia Bukhanko</t>
  </si>
  <si>
    <t>sha.1sdr</t>
  </si>
  <si>
    <t>E9LQCKP5</t>
  </si>
  <si>
    <t>One burning card was exposed. Card was flipped over and burning procedure was finished.</t>
  </si>
  <si>
    <t>Isabel Köhler</t>
  </si>
  <si>
    <t xml:space="preserve">NDS6B84B </t>
  </si>
  <si>
    <t>E9P329HF</t>
  </si>
  <si>
    <t xml:space="preserve">NDS6CDUW </t>
  </si>
  <si>
    <t>Jekaterina Zalevskaja</t>
  </si>
  <si>
    <t>10.01.2026</t>
  </si>
  <si>
    <t xml:space="preserve">	NDS6CJ2D </t>
  </si>
  <si>
    <t>During dealer change GP pressed "CHANGE DEALER" instead of ''STOP NEXT GAME" button and the app closed, FM logged in and entered the winning number manually. GP who was playing on the table: Milena Kõiv/ Bubbles</t>
  </si>
  <si>
    <t>NDRY2ED3</t>
  </si>
  <si>
    <t>No spin. Dealer pressed pause when the next game round has started and wrong winning number got confirmed in the system. Game round needs a manual void.</t>
  </si>
  <si>
    <t>Mariia Kolbasova</t>
  </si>
  <si>
    <t xml:space="preserve">E9LQDZ9R </t>
  </si>
  <si>
    <t xml:space="preserve">Interface frozen. App restarted and game continued as usual. 1 card entered manually </t>
  </si>
  <si>
    <t>Anastasija Kalašnikova</t>
  </si>
  <si>
    <t>sha.1qus</t>
  </si>
  <si>
    <t xml:space="preserve">	E9KI35F2</t>
  </si>
  <si>
    <t xml:space="preserve">Interface frozen. App restarted and game continued as usual. 3 cards entered manually </t>
  </si>
  <si>
    <t>sha.1rmu</t>
  </si>
  <si>
    <t>E9LQEPJ9</t>
  </si>
  <si>
    <t>Interface frozen. App restarted, one card entered manually and shuffle mode requested manually.</t>
  </si>
  <si>
    <t>Kristina Derkach</t>
  </si>
  <si>
    <t>sha.1rne</t>
  </si>
  <si>
    <t>E9KI5FG3</t>
  </si>
  <si>
    <t xml:space="preserve">GP exposed cards during the card change, cards were replaced with the same color </t>
  </si>
  <si>
    <t>11.01.2026</t>
  </si>
  <si>
    <t>NDQSR2S2</t>
  </si>
  <si>
    <t>Crystal Vanessa Viba</t>
  </si>
  <si>
    <t>Velia</t>
  </si>
  <si>
    <t>NDQSR89Z</t>
  </si>
  <si>
    <t>Angelina Tuluša</t>
  </si>
  <si>
    <t>sha.1sfy</t>
  </si>
  <si>
    <t>E9P369PP</t>
  </si>
  <si>
    <t>Polina Suhhanova</t>
  </si>
  <si>
    <t>Isidora Salcedo de la O</t>
  </si>
  <si>
    <t>sha.1sg0</t>
  </si>
  <si>
    <t xml:space="preserve">E9Q9HP7Y </t>
  </si>
  <si>
    <t>Kirill Stepanenko</t>
  </si>
  <si>
    <t>sha.1qwj</t>
  </si>
  <si>
    <t>E9LQHSW6</t>
  </si>
  <si>
    <t>Interface frozen. IT closed the table and FM reopened it.</t>
  </si>
  <si>
    <t xml:space="preserve">	NDRY58D2 </t>
  </si>
  <si>
    <t>sha.1qwm</t>
  </si>
  <si>
    <t xml:space="preserve">	E9LQHWJ8</t>
  </si>
  <si>
    <t>Interface frozen. App restarted, two card entered manually .</t>
  </si>
  <si>
    <t>Alisa Alokhina</t>
  </si>
  <si>
    <t>sha.1roh</t>
  </si>
  <si>
    <t>E9LQH5TC</t>
  </si>
  <si>
    <t>NDS6HBB4</t>
  </si>
  <si>
    <t>NDQSTNZG</t>
  </si>
  <si>
    <t xml:space="preserve">	NDS6HD9Q</t>
  </si>
  <si>
    <t>NDQSTTY3</t>
  </si>
  <si>
    <t>sha.1qwt</t>
  </si>
  <si>
    <t>E9LQIBIC</t>
  </si>
  <si>
    <t>Interface frozen. IT closed the table and FM cancelled game round and reopened it.</t>
  </si>
  <si>
    <t>Louise Scarlett Vips</t>
  </si>
  <si>
    <t>12.01.2026</t>
  </si>
  <si>
    <t>sha.1sgy</t>
  </si>
  <si>
    <t>E9JDXAS5</t>
  </si>
  <si>
    <t>Interface frozen. IT restarted it, 2 cards were entered manually.</t>
  </si>
  <si>
    <t>sha.1qxr</t>
  </si>
  <si>
    <t>E9KI9U65</t>
  </si>
  <si>
    <t>Dealer exposed one card during burning procedure. The card was flipped over and continued</t>
  </si>
  <si>
    <t>NDS6I7IU</t>
  </si>
  <si>
    <t>restarted the app and entered the winning number mannualy</t>
  </si>
  <si>
    <t xml:space="preserve">Arabella Pastak </t>
  </si>
  <si>
    <t>NDS6KA4E</t>
  </si>
  <si>
    <t xml:space="preserve">	NDS6KCHW</t>
  </si>
  <si>
    <t>sha.1qym</t>
  </si>
  <si>
    <t xml:space="preserve">	E9Q9LS2S</t>
  </si>
  <si>
    <t>sha.1rq7</t>
  </si>
  <si>
    <t xml:space="preserve">	E9Q9LZ3Y</t>
  </si>
  <si>
    <t>sha.1shx</t>
  </si>
  <si>
    <t xml:space="preserve">	E9P4BN42</t>
  </si>
  <si>
    <t xml:space="preserve">Early pull. 4 Cards were entered manually </t>
  </si>
  <si>
    <t>Emilia Laanjärv</t>
  </si>
  <si>
    <t>13.01.2026</t>
  </si>
  <si>
    <t>sha.1rqj</t>
  </si>
  <si>
    <t>E9JDZXT6</t>
  </si>
  <si>
    <t>Interface frozen. App restarted by IT, cards were adjusted</t>
  </si>
  <si>
    <t>Darja Kornilova</t>
  </si>
  <si>
    <t>sha.1qz5</t>
  </si>
  <si>
    <t>E9P4CB7Z</t>
  </si>
  <si>
    <t>Interface frozen. App restarted, 5 cards entered manually</t>
  </si>
  <si>
    <t>sha.1si9</t>
  </si>
  <si>
    <t>E9JDZ7YJ</t>
  </si>
  <si>
    <t xml:space="preserve">Interface frozen. App restarted </t>
  </si>
  <si>
    <t>sha.1qzb</t>
  </si>
  <si>
    <t>E9P4CN2T</t>
  </si>
  <si>
    <t>Fjodor Leontjev</t>
  </si>
  <si>
    <t>sha.1sid</t>
  </si>
  <si>
    <t>E9LQN54Y</t>
  </si>
  <si>
    <t xml:space="preserve">NDQSZFQJ </t>
  </si>
  <si>
    <t>No spin. GP did not pause the game, Game round needs a manual void.</t>
  </si>
  <si>
    <t>Olha Kyrychenko</t>
  </si>
  <si>
    <t xml:space="preserve">	NDS6L97K</t>
  </si>
  <si>
    <t>Grettel Kaljuste</t>
  </si>
  <si>
    <t>sha.1rr1</t>
  </si>
  <si>
    <t xml:space="preserve">	E9JD2WQL</t>
  </si>
  <si>
    <t>sha.1six</t>
  </si>
  <si>
    <t>E9KJD4SC</t>
  </si>
  <si>
    <t>GP pulled out 2 additional cards, discarded them. Shoe was replaced with the new  same colour</t>
  </si>
  <si>
    <t>GP error</t>
  </si>
  <si>
    <t>Inna Tarakanova</t>
  </si>
  <si>
    <t xml:space="preserve">NDQS2IYZ </t>
  </si>
  <si>
    <t>Game round was cancelled in the middle of the game. Round was voided by the system</t>
  </si>
  <si>
    <t>14.01.2026</t>
  </si>
  <si>
    <t>sha.1r0e</t>
  </si>
  <si>
    <t>E9Q9Q93Y</t>
  </si>
  <si>
    <t>sha.1sk3</t>
  </si>
  <si>
    <t>E9LQSGWT</t>
  </si>
  <si>
    <t>Anastasiya Kurylina</t>
  </si>
  <si>
    <t>sha.1r0z</t>
  </si>
  <si>
    <t>E9KJF7GK</t>
  </si>
  <si>
    <t>sha.1r17</t>
  </si>
  <si>
    <t>E9LQSTL5</t>
  </si>
  <si>
    <t>Burn card exposed - during burn procedure. Game continued.</t>
  </si>
  <si>
    <t>w</t>
  </si>
  <si>
    <t>Danylo Baiduhanov</t>
  </si>
  <si>
    <t>NDRZFKU5</t>
  </si>
  <si>
    <t>NDS6R4AB</t>
  </si>
  <si>
    <t>sha.1r1h</t>
  </si>
  <si>
    <t>E9Q9THHN</t>
  </si>
  <si>
    <t>sha.1rsv</t>
  </si>
  <si>
    <t>E9LQTS2J</t>
  </si>
  <si>
    <t>GP made wrong card change procedure, first cut was not correct.Cards were replaced with the same color blue</t>
  </si>
  <si>
    <t>NDS6SKUA</t>
  </si>
  <si>
    <t xml:space="preserve">Interface frozen due to incorrect dealer change procedure. App restarted </t>
  </si>
  <si>
    <t>sha.1skp</t>
  </si>
  <si>
    <t>E9JD69RU</t>
  </si>
  <si>
    <t>GP forgot yellow card in old box of cards. Box was replaced and card change repeated</t>
  </si>
  <si>
    <t>15.01.2026</t>
  </si>
  <si>
    <t>sha.1skz</t>
  </si>
  <si>
    <t>E9LQUA97</t>
  </si>
  <si>
    <t>GP exposed cards during the card change, cards were replaced with the same color red</t>
  </si>
  <si>
    <t>sha.1sl8</t>
  </si>
  <si>
    <t>E9KJICRD</t>
  </si>
  <si>
    <t>Interface frozen. Tablet restarted, 4 cards added manually.</t>
  </si>
  <si>
    <t>NDRZHF7I</t>
  </si>
  <si>
    <t>Interface Error - Showed incorrect result</t>
  </si>
  <si>
    <t>Ball landed on nr 33, but it fell close to neighbour number - 1. Dealer noticed that at the start there was no winning number, dealer paused the game and called FM and then after FM asked to adjust the wheel speed, nr 1 appeared on the screen. Game was paused again . After investigation FM entered correct winning number manually (33) but in logs its still number 1. Game finished with wrong winning result.</t>
  </si>
  <si>
    <t>Liliia Vorona</t>
  </si>
  <si>
    <t>E9LQU4YB</t>
  </si>
  <si>
    <t>First card was not on the interface, but shoe scanned the card.</t>
  </si>
  <si>
    <t>sha.1r27</t>
  </si>
  <si>
    <t xml:space="preserve">E9LQU754 </t>
  </si>
  <si>
    <t>sha.1rtn</t>
  </si>
  <si>
    <t>E9KJI8TP</t>
  </si>
  <si>
    <t>System Error</t>
  </si>
  <si>
    <t>Interface error, app restarted and result was entered manually</t>
  </si>
  <si>
    <t>Samantha Paulino Mansibang</t>
  </si>
  <si>
    <t>NDS6UE9I</t>
  </si>
  <si>
    <t>Interface frozen. App restarted and winning result entered manually</t>
  </si>
  <si>
    <t>sha.1rtr</t>
  </si>
  <si>
    <t xml:space="preserve">E9Q9WW3G </t>
  </si>
  <si>
    <t>sha.1sly</t>
  </si>
  <si>
    <t>E9JD9AE2</t>
  </si>
  <si>
    <t>GP opened a shoe lid, while FM was not at the table. Cards were visible to the players and two more rounds were played after.  Shoe was changed to the new color of cards, Shoe ID did not change</t>
  </si>
  <si>
    <t>E9JD9ADU</t>
  </si>
  <si>
    <t xml:space="preserve">GP opened a shoe lid, while FM was not at the table.Manual void due to cards being visible to the players.  </t>
  </si>
  <si>
    <t>E9JD9ACE</t>
  </si>
  <si>
    <t>Kateryna Vorona</t>
  </si>
  <si>
    <t>sha.1sm2</t>
  </si>
  <si>
    <t xml:space="preserve">E9Q9W2WW </t>
  </si>
  <si>
    <t>Interface frozen. App restarted, result entered manually</t>
  </si>
  <si>
    <t>sha.1smc</t>
  </si>
  <si>
    <t xml:space="preserve">	E9KJKBFF</t>
  </si>
  <si>
    <t>sha.1r2w</t>
  </si>
  <si>
    <t xml:space="preserve">	E9JD97SJ</t>
  </si>
  <si>
    <t>sha.1rub</t>
  </si>
  <si>
    <t>E9LQXZTR</t>
  </si>
  <si>
    <t>Early pull. Cards were not exposed. Cards were adjusted.</t>
  </si>
  <si>
    <t>16.01.2026</t>
  </si>
  <si>
    <t>NDS6WT3F</t>
  </si>
  <si>
    <t>Kaire Tammoja</t>
  </si>
  <si>
    <t>NDRZJKUT</t>
  </si>
  <si>
    <t>sha.1r3a</t>
  </si>
  <si>
    <t xml:space="preserve">E9P4LE8B </t>
  </si>
  <si>
    <t>sha.1r3g</t>
  </si>
  <si>
    <t>E9P4LP4A</t>
  </si>
  <si>
    <t>Interface frozen. App restarted, 2 cards was entered manually</t>
  </si>
  <si>
    <t>Anna Maslova</t>
  </si>
  <si>
    <t>NDRZKHEQ</t>
  </si>
  <si>
    <t>sha.1r3i</t>
  </si>
  <si>
    <t>E9LQY93W</t>
  </si>
  <si>
    <t>Cards were exposed during the card change. One game round was played, and the cards were replaced with cards of the same color.</t>
  </si>
  <si>
    <t>Jana Minjailova</t>
  </si>
  <si>
    <t>sha.1rv1</t>
  </si>
  <si>
    <t>E9P4L5QI</t>
  </si>
  <si>
    <t>GP doesn't wait for 3 seconds after the card change, 1 card entered manually</t>
  </si>
  <si>
    <t>sha.1sn6</t>
  </si>
  <si>
    <t>E9JEBT9W</t>
  </si>
  <si>
    <t>Unfinished game round, cards were removed from the discard track and returned to the Player and Banker positions.</t>
  </si>
  <si>
    <t>sha.1r3s</t>
  </si>
  <si>
    <t xml:space="preserve">	E9LQZRZF</t>
  </si>
  <si>
    <t>1 card entered manually</t>
  </si>
  <si>
    <t>sha.1rvh</t>
  </si>
  <si>
    <t xml:space="preserve">E9KJNWPB </t>
  </si>
  <si>
    <t xml:space="preserve">Early pull. Cards were not exposed and adjusted in the DI. One card was entered manually </t>
  </si>
  <si>
    <t>NDQTBZCH</t>
  </si>
  <si>
    <t>17.01.2026</t>
  </si>
  <si>
    <t>sha.1snu</t>
  </si>
  <si>
    <t xml:space="preserve">E9P4P2XC </t>
  </si>
  <si>
    <t>Rajosree Das Sristy</t>
  </si>
  <si>
    <t>NDS62DRP</t>
  </si>
  <si>
    <t>GP left the table during the round, FM stayed to supervise until new GP arrived</t>
  </si>
  <si>
    <t xml:space="preserve">	NDS62UWL</t>
  </si>
  <si>
    <t>sha.1r4x</t>
  </si>
  <si>
    <t xml:space="preserve">        E9JEELQ5</t>
  </si>
  <si>
    <t>NDS623RI</t>
  </si>
  <si>
    <t>No spin. Hidden mistake. Gp dropped ball in to another pocket and made a spin during next revolution from the incorrect winning number. correct number was 29, but GP made a spin from 7 red</t>
  </si>
  <si>
    <t>NDS63E25</t>
  </si>
  <si>
    <t>After the ball had landed gp picked it up immediately and changed wheel direction. They paused the game and placed the ball back on another winning number</t>
  </si>
  <si>
    <t>Joe</t>
  </si>
  <si>
    <t>NDRZQQFY</t>
  </si>
  <si>
    <t>NDQTEPEZ</t>
  </si>
  <si>
    <t>18.01.2026</t>
  </si>
  <si>
    <t>sha.1rxb</t>
  </si>
  <si>
    <t>E9LQ5YGZ</t>
  </si>
  <si>
    <t>NDQTFD2K</t>
  </si>
  <si>
    <t>sha.1ry8</t>
  </si>
  <si>
    <t xml:space="preserve">E9P4TZC6 </t>
  </si>
  <si>
    <t>Interface frozen. App restarted, game continued</t>
  </si>
  <si>
    <t>Maria Tšekotina</t>
  </si>
  <si>
    <t>sha.1sq0</t>
  </si>
  <si>
    <t>E9P4UFPG</t>
  </si>
  <si>
    <t>GP exposed 1 burning card during the card change, cards were flipped over and continued.</t>
  </si>
  <si>
    <t>NDQTGZ9S</t>
  </si>
  <si>
    <t>Yuna</t>
  </si>
  <si>
    <t>19.01.2026</t>
  </si>
  <si>
    <t>sha.1sqs</t>
  </si>
  <si>
    <t xml:space="preserve">E9P4WYID </t>
  </si>
  <si>
    <t xml:space="preserve">Interface frozen. App restarted, game continued, 1 card entered manually </t>
  </si>
  <si>
    <t>Sumer</t>
  </si>
  <si>
    <t xml:space="preserve">NDS68EY6 </t>
  </si>
  <si>
    <t>No spin, GP not pressed pause button too late and the wrong winning number went into the system. GP: Karina Jögi 1st shift</t>
  </si>
  <si>
    <t>sha.1rzg</t>
  </si>
  <si>
    <t xml:space="preserve">E9P4XE6P </t>
  </si>
  <si>
    <t>Interface frozen. App restarted, game continued, result entered manually</t>
  </si>
  <si>
    <t>Nikol Tulaidan</t>
  </si>
  <si>
    <t>sha.1rzf</t>
  </si>
  <si>
    <t>E9Q99RE9</t>
  </si>
  <si>
    <t xml:space="preserve">NDS68JN3 </t>
  </si>
  <si>
    <t>Summer</t>
  </si>
  <si>
    <t xml:space="preserve">NDS68YXH </t>
  </si>
  <si>
    <t>No spin. Game round voided by FM, GP: Karina Jögi 1st shift</t>
  </si>
  <si>
    <t>NDS68544</t>
  </si>
  <si>
    <t>NDS69BS8</t>
  </si>
  <si>
    <t>20.01.2026</t>
  </si>
  <si>
    <t>sha.1s0j</t>
  </si>
  <si>
    <t xml:space="preserve">	E9KJZYWI </t>
  </si>
  <si>
    <t>Natalija Kravcova</t>
  </si>
  <si>
    <t xml:space="preserve">NDRZYT54 </t>
  </si>
  <si>
    <t>Early spin. Game round voided by FM</t>
  </si>
  <si>
    <t>NDS7BPCA</t>
  </si>
  <si>
    <t>Aleksandra Borovkova</t>
  </si>
  <si>
    <t>NDS7BRRC</t>
  </si>
  <si>
    <t>No spin. Game round voided by FM, First shift</t>
  </si>
  <si>
    <t>sha.1s19</t>
  </si>
  <si>
    <t>E9JEPW9H</t>
  </si>
  <si>
    <t>Interface frozen. App restarted, game continued, 1 card entered manually</t>
  </si>
  <si>
    <t>Sandra Kuulre</t>
  </si>
  <si>
    <t>NDQTNQ83</t>
  </si>
  <si>
    <t>No spin. Game round voided by FM, GP hold the ball while pausing game what caused ball out of the camera view therefore new round was started with another ball.</t>
  </si>
  <si>
    <t>NDQTNW5S</t>
  </si>
  <si>
    <t>NDS7CQXT</t>
  </si>
  <si>
    <t>Dealer did not change wheel direction before the spin.</t>
  </si>
  <si>
    <t>NDQTN6TC</t>
  </si>
  <si>
    <t>Interface frozen. App restarted by IT, result  entered manually</t>
  </si>
  <si>
    <t>21.01.2026</t>
  </si>
  <si>
    <t>sha.22us</t>
  </si>
  <si>
    <t>E9LREXNP</t>
  </si>
  <si>
    <t>Dealer exposed cards while card change. Cards were replaced with the same colour.</t>
  </si>
  <si>
    <t>sha.2236</t>
  </si>
  <si>
    <t>E9KJ4W4T</t>
  </si>
  <si>
    <t>Dealer did dealer change incorrectly which cause interface error, 1 card was entered manually and game round was continued</t>
  </si>
  <si>
    <t>NDS7D6PB</t>
  </si>
  <si>
    <t>sha.223f</t>
  </si>
  <si>
    <t xml:space="preserve">	E9LRFHCL</t>
  </si>
  <si>
    <t>Interface frozen. Card adjusted, 1 card entered manually and game round continued</t>
  </si>
  <si>
    <t>Ava</t>
  </si>
  <si>
    <t>NDQTQPBH</t>
  </si>
  <si>
    <t xml:space="preserve">GP:Kea-Lisette Toomberg 1st shift; No spin, GP took the ball out the camera view. Game round voided by FM </t>
  </si>
  <si>
    <t>Karina Jõgi</t>
  </si>
  <si>
    <t>NDS7EDGF</t>
  </si>
  <si>
    <t>sha.223g</t>
  </si>
  <si>
    <t>E9RAFLDE</t>
  </si>
  <si>
    <t xml:space="preserve">Early pull. Cards were adjusted using DI, 2 cards entered manually </t>
  </si>
  <si>
    <t>NDS7EFHX</t>
  </si>
  <si>
    <t>NDS7EH7K</t>
  </si>
  <si>
    <t xml:space="preserve">NDQTQXS4 </t>
  </si>
  <si>
    <t>GP:Kea-Lisette Toomberg 1st shift No spin. Game round voided by FM</t>
  </si>
  <si>
    <t xml:space="preserve">NDS7EQ8P </t>
  </si>
  <si>
    <t>sha.24ed</t>
  </si>
  <si>
    <t xml:space="preserve">E9P45QIW </t>
  </si>
  <si>
    <t xml:space="preserve">Early pull. Cards were adjusted using DI, 1 card was entered manually </t>
  </si>
  <si>
    <t>NDQTRBE4</t>
  </si>
  <si>
    <t>sha.24ef</t>
  </si>
  <si>
    <t>E9RAF9X4</t>
  </si>
  <si>
    <t>Elmira Kashieva</t>
  </si>
  <si>
    <t>sha.22vk</t>
  </si>
  <si>
    <t>E9KJ528I</t>
  </si>
  <si>
    <t xml:space="preserve">The shoe was plugged out, one card entered manually and GP was able to continue </t>
  </si>
  <si>
    <t xml:space="preserve">NDRZ4TA7 </t>
  </si>
  <si>
    <t>sha.223w</t>
  </si>
  <si>
    <t xml:space="preserve">E9LRGNPG </t>
  </si>
  <si>
    <t>Interface frozen. App was restarted, 4 card entered manually and game round was continued.</t>
  </si>
  <si>
    <t>sha.24ew</t>
  </si>
  <si>
    <t>E9JETR5T</t>
  </si>
  <si>
    <t>Interface frozen on the winning result. App was restarted game round was continued.</t>
  </si>
  <si>
    <t xml:space="preserve">Charlotta </t>
  </si>
  <si>
    <t>22.01.2026</t>
  </si>
  <si>
    <t>NDQTTABH</t>
  </si>
  <si>
    <t>NDQTTDS8</t>
  </si>
  <si>
    <t>sha.224t</t>
  </si>
  <si>
    <t xml:space="preserve">E9KJ75JF </t>
  </si>
  <si>
    <t xml:space="preserve">During burning procedure one card was exposed,burning procedure was finalized </t>
  </si>
  <si>
    <t xml:space="preserve">	Sumer</t>
  </si>
  <si>
    <t>sha.24fa</t>
  </si>
  <si>
    <t>E9P477BE</t>
  </si>
  <si>
    <t>Dealer exposed card during card change procedure, cards were raplaced with the same color</t>
  </si>
  <si>
    <t>Aria</t>
  </si>
  <si>
    <t>NDS7HEEL</t>
  </si>
  <si>
    <t>Wrong ball direction. FM voided game round.</t>
  </si>
  <si>
    <t>sha.22wq</t>
  </si>
  <si>
    <t>E9KJ8PH6</t>
  </si>
  <si>
    <t>GP pulled out the card during the betting time,card was not scanned nor exposed. FM entered the card manually</t>
  </si>
  <si>
    <t xml:space="preserve">NDS7HSLW </t>
  </si>
  <si>
    <t>Interface frozen,app restarted by IT,winning number added manually</t>
  </si>
  <si>
    <t>sha.22wu</t>
  </si>
  <si>
    <t xml:space="preserve">E9KJ8T4W </t>
  </si>
  <si>
    <t>Shuffle card did not scan,two rounds were already played and due to that shuffle requested and game round was voided.</t>
  </si>
  <si>
    <t>sha.22x4</t>
  </si>
  <si>
    <t>E9KJ9DX5</t>
  </si>
  <si>
    <t>Interface frozen, app restarted and game continued as usual</t>
  </si>
  <si>
    <t xml:space="preserve">NDQTUU2S </t>
  </si>
  <si>
    <t>Jekaterina Ivanova</t>
  </si>
  <si>
    <t>NDQTWBSX</t>
  </si>
  <si>
    <t>NDRZ8L92</t>
  </si>
  <si>
    <t>23.01.2026</t>
  </si>
  <si>
    <t>NDQTW5UY</t>
  </si>
  <si>
    <t>sha.22xp</t>
  </si>
  <si>
    <t>E9KKAQ5W</t>
  </si>
  <si>
    <t>Interface frozen, app restarted, two cards added manually and game continued</t>
  </si>
  <si>
    <t>NDQTXG6T</t>
  </si>
  <si>
    <t xml:space="preserve">	Taurus</t>
  </si>
  <si>
    <t>NDRZ94T7</t>
  </si>
  <si>
    <t>Milena Bayushkina</t>
  </si>
  <si>
    <t>Error Description</t>
  </si>
  <si>
    <t>Floor Mananagers &amp; back Up Floor Managers</t>
  </si>
  <si>
    <t>Shift Managers &amp; Back Up Shift Managers</t>
  </si>
  <si>
    <t>Game presenters</t>
  </si>
  <si>
    <t>Workload</t>
  </si>
  <si>
    <t>Table Codes</t>
  </si>
  <si>
    <t>Technical Error Desription</t>
  </si>
  <si>
    <t>Timestamp</t>
  </si>
  <si>
    <t>Dealer exposed a card during betting time</t>
  </si>
  <si>
    <t>Floor Manager</t>
  </si>
  <si>
    <t>Shift Manager</t>
  </si>
  <si>
    <t>Void</t>
  </si>
  <si>
    <t>Human Error - Dealer Felt Ill</t>
  </si>
  <si>
    <t>Names</t>
  </si>
  <si>
    <t>Dealer Names</t>
  </si>
  <si>
    <t>Code</t>
  </si>
  <si>
    <t>Game</t>
  </si>
  <si>
    <t>Burn card(s) exposed/too many cards burned - during burn procedure (during card change procedure)</t>
  </si>
  <si>
    <t>Alina Semjonova</t>
  </si>
  <si>
    <t>Human Error - Poor Communication which caused table to close due to inactivity</t>
  </si>
  <si>
    <t>Maddison</t>
  </si>
  <si>
    <t>Lisa</t>
  </si>
  <si>
    <t>B003</t>
  </si>
  <si>
    <t>Interface incorrectly showed "Wrong Ball Direction"</t>
  </si>
  <si>
    <t>Interface incorrectly showed "Wrong Wheel Direction"</t>
  </si>
  <si>
    <t>Maddy</t>
  </si>
  <si>
    <t>Back up Shift Manager</t>
  </si>
  <si>
    <t>Anastasia Dronova</t>
  </si>
  <si>
    <t>Interface Skipped Betting Time</t>
  </si>
  <si>
    <t>Lilith</t>
  </si>
  <si>
    <t xml:space="preserve">Dealer drops cards in shoe/table while changing cards. </t>
  </si>
  <si>
    <t>Interface skipped Count Down</t>
  </si>
  <si>
    <t>Anastassia Ivanova</t>
  </si>
  <si>
    <t>Interface skipped Game Round</t>
  </si>
  <si>
    <t>Ansi</t>
  </si>
  <si>
    <t>BUFM</t>
  </si>
  <si>
    <t>Interface skipped Prepare Card</t>
  </si>
  <si>
    <t>Lucky</t>
  </si>
  <si>
    <t>Scanner Frozen</t>
  </si>
  <si>
    <t xml:space="preserve">Anelisse </t>
  </si>
  <si>
    <t>Interface error</t>
  </si>
  <si>
    <t>Angelina Želobetski</t>
  </si>
  <si>
    <t>Skipped the end of the game, video doesn't match</t>
  </si>
  <si>
    <t>Maeve</t>
  </si>
  <si>
    <t>Minji</t>
  </si>
  <si>
    <t>Annaliisa Jerlakas</t>
  </si>
  <si>
    <t>System Reconnected</t>
  </si>
  <si>
    <t>System Void</t>
  </si>
  <si>
    <t>Akane</t>
  </si>
  <si>
    <t>Anya Kiisk</t>
  </si>
  <si>
    <t>Winning Number Changed By Interface</t>
  </si>
  <si>
    <t>Dina</t>
  </si>
  <si>
    <t>TV-B Technical error (the interface asks to burn a card/ system reconnected/ intrface freezing and etc)</t>
  </si>
  <si>
    <t>Bree</t>
  </si>
  <si>
    <t>Astrid Suvorov</t>
  </si>
  <si>
    <t>TV-RO Technical error (The interface wrongly shows wrong wheel or ball direction/ the interface freezes wich causes the GP not to spin the ball on time and etc.)</t>
  </si>
  <si>
    <t>SIenna</t>
  </si>
  <si>
    <t>B017</t>
  </si>
  <si>
    <t>Birgit Eevardi</t>
  </si>
  <si>
    <t>TV-1 - Shaker malfunction, Dice irregularity</t>
  </si>
  <si>
    <t>Irene</t>
  </si>
  <si>
    <t>TV-2 - Dice lands incorrectly (Dices lies on top of each other, dice lands on corner)</t>
  </si>
  <si>
    <t>Esther</t>
  </si>
  <si>
    <t>B019</t>
  </si>
  <si>
    <t>Daniel Pozdeev</t>
  </si>
  <si>
    <t>TV-3 Technical Error - interface error, freeze, keypad malfunction etc.</t>
  </si>
  <si>
    <t>Rae</t>
  </si>
  <si>
    <t>B021</t>
  </si>
  <si>
    <t>Dealer felt bad or unwell.</t>
  </si>
  <si>
    <t>Iris</t>
  </si>
  <si>
    <t>Poor Communication</t>
  </si>
  <si>
    <t>Dia Lee</t>
  </si>
  <si>
    <t>Larissa</t>
  </si>
  <si>
    <t>Diana Dmitrovskaya</t>
  </si>
  <si>
    <t>Carina Ysabel Sardua</t>
  </si>
  <si>
    <t>Xena</t>
  </si>
  <si>
    <t>Diana Dzitsjuk</t>
  </si>
  <si>
    <t>Diana Karataieva</t>
  </si>
  <si>
    <t>Walter</t>
  </si>
  <si>
    <t>Taurus</t>
  </si>
  <si>
    <t>Dominykas Nazarenko</t>
  </si>
  <si>
    <t>Egor Garmatyuk</t>
  </si>
  <si>
    <t>Luna</t>
  </si>
  <si>
    <t>Genie</t>
  </si>
  <si>
    <t>Elina Sahkai</t>
  </si>
  <si>
    <t>Candy</t>
  </si>
  <si>
    <t>Jess</t>
  </si>
  <si>
    <t>Luisa</t>
  </si>
  <si>
    <t>Yumi</t>
  </si>
  <si>
    <t>Eva Nasedkina</t>
  </si>
  <si>
    <t>Jaki</t>
  </si>
  <si>
    <t>Evgenia Gammer</t>
  </si>
  <si>
    <t>Emily</t>
  </si>
  <si>
    <t>Eliise Jõgar</t>
  </si>
  <si>
    <t>Emma</t>
  </si>
  <si>
    <t>Diamond</t>
  </si>
  <si>
    <t>Helina Sootalu</t>
  </si>
  <si>
    <t>Nyathera</t>
  </si>
  <si>
    <t>Adriana</t>
  </si>
  <si>
    <t>Jaanek Rits</t>
  </si>
  <si>
    <t>Jano</t>
  </si>
  <si>
    <t>Jawan Lepp</t>
  </si>
  <si>
    <t xml:space="preserve">Pearl </t>
  </si>
  <si>
    <t>Neco</t>
  </si>
  <si>
    <t>Icy</t>
  </si>
  <si>
    <t>Ruby</t>
  </si>
  <si>
    <t>Jenevive Campus</t>
  </si>
  <si>
    <t>Lumy</t>
  </si>
  <si>
    <t>Kaisa Helena Rõngelep</t>
  </si>
  <si>
    <t>Ada</t>
  </si>
  <si>
    <t>Jay</t>
  </si>
  <si>
    <t>Kateryna Hantseva</t>
  </si>
  <si>
    <t>Jin</t>
  </si>
  <si>
    <t>Kiara</t>
  </si>
  <si>
    <t>Wednesday</t>
  </si>
  <si>
    <t>Kristian Halquist</t>
  </si>
  <si>
    <t>Jasmine</t>
  </si>
  <si>
    <t>Kristjan Viisileht</t>
  </si>
  <si>
    <t>Anna</t>
  </si>
  <si>
    <t>Pamela</t>
  </si>
  <si>
    <t>Kyoma Koike</t>
  </si>
  <si>
    <t>Elyise</t>
  </si>
  <si>
    <t>Gaby</t>
  </si>
  <si>
    <t xml:space="preserve">Bronislava </t>
  </si>
  <si>
    <t>Kate</t>
  </si>
  <si>
    <t>Kitty</t>
  </si>
  <si>
    <t>Nick</t>
  </si>
  <si>
    <t>Romeo</t>
  </si>
  <si>
    <t>Marina Poleštšuk</t>
  </si>
  <si>
    <t>Merete Tarto</t>
  </si>
  <si>
    <t>Bellamy</t>
  </si>
  <si>
    <t>Nate</t>
  </si>
  <si>
    <t>Oleksandra Bubnova</t>
  </si>
  <si>
    <t>Lia</t>
  </si>
  <si>
    <t>Oleksandra Korniienko</t>
  </si>
  <si>
    <t>Polina Lillepea</t>
  </si>
  <si>
    <t>Nene</t>
  </si>
  <si>
    <t>Angeles</t>
  </si>
  <si>
    <t>Yuri</t>
  </si>
  <si>
    <t>Katie</t>
  </si>
  <si>
    <t>Reiko Koga</t>
  </si>
  <si>
    <t>Margot</t>
  </si>
  <si>
    <t>Seya</t>
  </si>
  <si>
    <t xml:space="preserve">Merete Tarto </t>
  </si>
  <si>
    <t>Evelyn</t>
  </si>
  <si>
    <t>Sigmar Sten Kõiv</t>
  </si>
  <si>
    <t>Roxy</t>
  </si>
  <si>
    <t>Taeeun Park</t>
  </si>
  <si>
    <t>Vivienne</t>
  </si>
  <si>
    <t>Tetiana Blyshchyk</t>
  </si>
  <si>
    <t>Viktoria Kulik</t>
  </si>
  <si>
    <t>Elizabeth</t>
  </si>
  <si>
    <t>Viktoriia Marchenko</t>
  </si>
  <si>
    <t>Polly</t>
  </si>
  <si>
    <t>Virginia Niitmets</t>
  </si>
  <si>
    <t>Valeria</t>
  </si>
  <si>
    <t>Irina</t>
  </si>
  <si>
    <t>Vladimir Lukašov</t>
  </si>
  <si>
    <t>Lily</t>
  </si>
  <si>
    <t>Chantell</t>
  </si>
  <si>
    <t>Erika</t>
  </si>
  <si>
    <t>Sofia</t>
  </si>
  <si>
    <t>Yusuf Turabi</t>
  </si>
  <si>
    <t>Sapphire</t>
  </si>
  <si>
    <t>Kai</t>
  </si>
  <si>
    <t>Amelie Kubi</t>
  </si>
  <si>
    <t>Samuel</t>
  </si>
  <si>
    <t>Jade</t>
  </si>
  <si>
    <t>May</t>
  </si>
  <si>
    <t>Darelyan Pähn</t>
  </si>
  <si>
    <t>Bunny</t>
  </si>
  <si>
    <t>Valeria Botova</t>
  </si>
  <si>
    <t>Amira</t>
  </si>
  <si>
    <t>Stephanie</t>
  </si>
  <si>
    <t>Cloud</t>
  </si>
  <si>
    <t>James</t>
  </si>
  <si>
    <t>Olivia</t>
  </si>
  <si>
    <t>Karin</t>
  </si>
  <si>
    <t>Carter</t>
  </si>
  <si>
    <t>Lulu</t>
  </si>
  <si>
    <t>Jenny</t>
  </si>
  <si>
    <t>Nana</t>
  </si>
  <si>
    <t>Sofiia Hrytsiuk</t>
  </si>
  <si>
    <t>Ariel</t>
  </si>
  <si>
    <t>Andrea Arsova</t>
  </si>
  <si>
    <t>Leo</t>
  </si>
  <si>
    <t>Bel</t>
  </si>
  <si>
    <t>Miyuki</t>
  </si>
  <si>
    <t>Loren</t>
  </si>
  <si>
    <t xml:space="preserve">Aleksandra Onri </t>
  </si>
  <si>
    <t>Alisija</t>
  </si>
  <si>
    <t>Miia Kerov</t>
  </si>
  <si>
    <t>Anita Medvedeva</t>
  </si>
  <si>
    <t>Amy</t>
  </si>
  <si>
    <t>Nina</t>
  </si>
  <si>
    <t>Anete Li Ljäkin</t>
  </si>
  <si>
    <t>Aleksandra Plikhta</t>
  </si>
  <si>
    <t>Clover</t>
  </si>
  <si>
    <t>Kea-Lisette Toomberg</t>
  </si>
  <si>
    <t>Isabelle</t>
  </si>
  <si>
    <t>Viktoria</t>
  </si>
  <si>
    <t>Kaya</t>
  </si>
  <si>
    <t>Cleo</t>
  </si>
  <si>
    <t>Taisija Mark</t>
  </si>
  <si>
    <t>Kadri Kalamees</t>
  </si>
  <si>
    <t>Milena Bobrova</t>
  </si>
  <si>
    <t>Natali Paavel</t>
  </si>
  <si>
    <t>Julia Umjarova</t>
  </si>
  <si>
    <t>Empl_ID</t>
  </si>
  <si>
    <t>Work load</t>
  </si>
  <si>
    <t>Employee Name</t>
  </si>
  <si>
    <t>Errors per FTE</t>
  </si>
  <si>
    <t>Name and Total Errors:</t>
  </si>
  <si>
    <t>Yellow - between 3 and 4</t>
  </si>
  <si>
    <t>Red - equals or more than 5</t>
  </si>
  <si>
    <t>Interface error - Shows incorrect result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</si>
</sst>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d\.mm\.yyyy"/>
    <numFmt numFmtId="166" formatCode="0.0"/>
    <numFmt numFmtId="167" formatCode="0.##"/>
    <numFmt numFmtId="168" formatCode="mm/dd/yyyy"/>
  </numFmts>
  <fonts count="33">
    <font>
      <sz val="11.0"/>
      <color theme="1"/>
      <name val="Calibri"/>
      <scheme val="minor"/>
    </font>
    <font>
      <b/>
      <sz val="14.0"/>
      <color theme="1"/>
      <name val="Calibri"/>
    </font>
    <font/>
    <font>
      <sz val="11.0"/>
      <color theme="1"/>
      <name val="Calibri"/>
    </font>
    <font>
      <b/>
      <sz val="11.0"/>
      <color theme="1"/>
      <name val="Calibri"/>
    </font>
    <font>
      <b/>
      <sz val="10.0"/>
      <color theme="1"/>
      <name val="Calibri"/>
    </font>
    <font>
      <sz val="9.0"/>
      <color theme="1"/>
      <name val="Calibri"/>
    </font>
    <font>
      <b/>
      <sz val="9.0"/>
      <color theme="1"/>
      <name val="Calibri"/>
    </font>
    <font>
      <sz val="11.0"/>
      <color rgb="FF000000"/>
      <name val="Calibri"/>
    </font>
    <font>
      <b/>
      <sz val="12.0"/>
      <color theme="1"/>
      <name val="Calibri"/>
    </font>
    <font>
      <b/>
      <sz val="12.0"/>
      <color rgb="FF000000"/>
      <name val="Calibri"/>
    </font>
    <font>
      <b/>
      <sz val="11.0"/>
      <color rgb="FF000000"/>
      <name val="Calibri"/>
    </font>
    <font>
      <sz val="9.0"/>
      <color rgb="FF000000"/>
      <name val="Calibri"/>
    </font>
    <font>
      <b/>
      <sz val="11.0"/>
      <color theme="0"/>
      <name val="Calibri"/>
    </font>
    <font>
      <sz val="11.0"/>
      <color theme="0"/>
      <name val="Calibri"/>
    </font>
    <font>
      <b/>
      <sz val="10.0"/>
      <color rgb="FF000000"/>
      <name val="Arial"/>
    </font>
    <font>
      <color theme="1"/>
      <name val="Calibri"/>
    </font>
    <font>
      <sz val="10.0"/>
      <color rgb="FF000000"/>
      <name val="Arial"/>
    </font>
    <font>
      <u/>
      <sz val="11.0"/>
      <color theme="1"/>
      <name val="Calibri"/>
    </font>
    <font>
      <sz val="10.0"/>
      <color theme="1"/>
      <name val="Arial"/>
    </font>
    <font>
      <sz val="11.0"/>
      <color rgb="FFFF0000"/>
      <name val="Calibri"/>
    </font>
    <font>
      <sz val="12.0"/>
      <color rgb="FF000000"/>
      <name val="Calibri"/>
    </font>
    <font>
      <b/>
      <sz val="10.0"/>
      <color rgb="FF000000"/>
      <name val="Calibri"/>
    </font>
    <font>
      <sz val="11.0"/>
      <color rgb="FFFFFFFF"/>
      <name val="Calibri"/>
    </font>
    <font>
      <sz val="11.0"/>
      <color rgb="FF333333"/>
      <name val="Sans-serif"/>
    </font>
    <font>
      <color theme="1"/>
      <name val="Calibri"/>
      <scheme val="minor"/>
    </font>
    <font>
      <sz val="12.0"/>
      <color theme="1"/>
      <name val="Calibri"/>
    </font>
    <font>
      <b/>
      <sz val="11.0"/>
      <color rgb="FF333333"/>
      <name val="Sans-serif"/>
    </font>
    <font>
      <b/>
      <sz val="11.0"/>
      <color rgb="FFC00000"/>
      <name val="Calibri"/>
    </font>
    <font>
      <b/>
      <sz val="11.0"/>
      <color rgb="FFFFFFFF"/>
      <name val="Calibri"/>
    </font>
    <font>
      <b/>
      <sz val="12.0"/>
      <color rgb="FFFFD965"/>
      <name val="Calibri"/>
    </font>
    <font>
      <b/>
      <sz val="11.0"/>
      <color rgb="FF9C5700"/>
      <name val="Calibri"/>
    </font>
    <font>
      <sz val="12.0"/>
      <color rgb="FFFFD965"/>
      <name val="Calibri"/>
    </font>
  </fonts>
  <fills count="30">
    <fill>
      <patternFill patternType="none"/>
    </fill>
    <fill>
      <patternFill patternType="lightGray"/>
    </fill>
    <fill>
      <patternFill patternType="solid">
        <fgColor rgb="FFFFE4C9"/>
        <bgColor rgb="FFFFE4C9"/>
      </patternFill>
    </fill>
    <fill>
      <patternFill patternType="solid">
        <fgColor rgb="FFB4C6E7"/>
        <bgColor rgb="FFB4C6E7"/>
      </patternFill>
    </fill>
    <fill>
      <patternFill patternType="solid">
        <fgColor rgb="FFCCFFFF"/>
        <bgColor rgb="FFCCFFFF"/>
      </patternFill>
    </fill>
    <fill>
      <patternFill patternType="solid">
        <fgColor rgb="FFFFEFDD"/>
        <bgColor rgb="FFFFEFDD"/>
      </patternFill>
    </fill>
    <fill>
      <patternFill patternType="solid">
        <fgColor rgb="FFFFFF00"/>
        <bgColor rgb="FFFFFF00"/>
      </patternFill>
    </fill>
    <fill>
      <patternFill patternType="solid">
        <fgColor rgb="FFFFFFCC"/>
        <bgColor rgb="FFFFFFCC"/>
      </patternFill>
    </fill>
    <fill>
      <patternFill patternType="solid">
        <fgColor rgb="FFFF99FF"/>
        <bgColor rgb="FFFF99FF"/>
      </patternFill>
    </fill>
    <fill>
      <patternFill patternType="solid">
        <fgColor rgb="FFFFCC99"/>
        <bgColor rgb="FFFFCC99"/>
      </patternFill>
    </fill>
    <fill>
      <patternFill patternType="solid">
        <fgColor rgb="FF00B050"/>
        <bgColor rgb="FF00B050"/>
      </patternFill>
    </fill>
    <fill>
      <patternFill patternType="solid">
        <fgColor rgb="FFFFE598"/>
        <bgColor rgb="FFFFE598"/>
      </patternFill>
    </fill>
    <fill>
      <patternFill patternType="solid">
        <fgColor theme="5"/>
        <bgColor theme="5"/>
      </patternFill>
    </fill>
    <fill>
      <patternFill patternType="solid">
        <fgColor rgb="FF8EAADB"/>
        <bgColor rgb="FF8EAADB"/>
      </patternFill>
    </fill>
    <fill>
      <patternFill patternType="solid">
        <fgColor rgb="FFD9E2F3"/>
        <bgColor rgb="FFD9E2F3"/>
      </patternFill>
    </fill>
    <fill>
      <patternFill patternType="solid">
        <fgColor rgb="FFFFFFFF"/>
        <bgColor rgb="FFFFFFFF"/>
      </patternFill>
    </fill>
    <fill>
      <patternFill patternType="solid">
        <fgColor rgb="FF2F5496"/>
        <bgColor rgb="FF2F5496"/>
      </patternFill>
    </fill>
    <fill>
      <patternFill patternType="solid">
        <fgColor rgb="FFF7CAAC"/>
        <bgColor rgb="FFF7CAAC"/>
      </patternFill>
    </fill>
    <fill>
      <patternFill patternType="solid">
        <fgColor rgb="FFC00000"/>
        <bgColor rgb="FFC00000"/>
      </patternFill>
    </fill>
    <fill>
      <patternFill patternType="solid">
        <fgColor rgb="FF3A3838"/>
        <bgColor rgb="FF3A3838"/>
      </patternFill>
    </fill>
    <fill>
      <patternFill patternType="solid">
        <fgColor rgb="FFFF0000"/>
        <bgColor rgb="FFFF0000"/>
      </patternFill>
    </fill>
    <fill>
      <patternFill patternType="solid">
        <fgColor rgb="FFF9F9F9"/>
        <bgColor rgb="FFF9F9F9"/>
      </patternFill>
    </fill>
    <fill>
      <patternFill patternType="solid">
        <fgColor rgb="FFFF9900"/>
        <bgColor rgb="FFFF9900"/>
      </patternFill>
    </fill>
    <fill>
      <patternFill patternType="solid">
        <fgColor rgb="FF4472C4"/>
        <bgColor rgb="FF4472C4"/>
      </patternFill>
    </fill>
    <fill>
      <patternFill patternType="solid">
        <fgColor rgb="FFD9E1F2"/>
        <bgColor rgb="FFD9E1F2"/>
      </patternFill>
    </fill>
    <fill>
      <patternFill patternType="solid">
        <fgColor rgb="FF757070"/>
        <bgColor rgb="FF757070"/>
      </patternFill>
    </fill>
    <fill>
      <patternFill patternType="solid">
        <fgColor rgb="FFBDD7EE"/>
        <bgColor rgb="FFBDD7EE"/>
      </patternFill>
    </fill>
    <fill>
      <patternFill patternType="solid">
        <fgColor rgb="FFDEEAF6"/>
        <bgColor rgb="FFDEEAF6"/>
      </patternFill>
    </fill>
    <fill>
      <patternFill patternType="solid">
        <fgColor rgb="FFFFEB9C"/>
        <bgColor rgb="FFFFEB9C"/>
      </patternFill>
    </fill>
    <fill>
      <patternFill patternType="solid">
        <fgColor rgb="FFFFC7CE"/>
        <bgColor rgb="FFFFC7CE"/>
      </patternFill>
    </fill>
  </fills>
  <borders count="9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medium">
        <color rgb="FF000000"/>
      </left>
      <right style="medium">
        <color rgb="FF000000"/>
      </right>
      <top style="medium">
        <color rgb="FF000000"/>
      </top>
    </border>
    <border>
      <left style="medium">
        <color rgb="FF000000"/>
      </left>
      <right/>
      <top style="medium">
        <color rgb="FF000000"/>
      </top>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rder>
    <border>
      <left style="thin">
        <color rgb="FF000000"/>
      </left>
      <right style="thin">
        <color rgb="FF000000"/>
      </right>
      <top style="thin">
        <color rgb="FF000000"/>
      </top>
    </border>
    <border>
      <left style="medium">
        <color rgb="FF000000"/>
      </left>
      <right style="medium">
        <color rgb="FF000000"/>
      </right>
      <bottom style="thin">
        <color rgb="FF000000"/>
      </bottom>
    </border>
    <border>
      <left style="medium">
        <color rgb="FF000000"/>
      </left>
      <right/>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top/>
      <bottom/>
    </border>
    <border>
      <right style="thin">
        <color rgb="FF000000"/>
      </right>
      <top style="thin">
        <color rgb="FF000000"/>
      </top>
    </border>
    <border>
      <left style="medium">
        <color rgb="FF000000"/>
      </left>
      <right style="medium">
        <color rgb="FF000000"/>
      </right>
      <top style="thin">
        <color rgb="FF000000"/>
      </top>
      <bottom style="medium">
        <color rgb="FF000000"/>
      </bottom>
    </border>
    <border>
      <left style="medium">
        <color rgb="FF000000"/>
      </left>
      <right/>
      <top style="thin">
        <color rgb="FF000000"/>
      </top>
      <bottom style="medium">
        <color rgb="FF000000"/>
      </bottom>
    </border>
    <border>
      <top style="thin">
        <color rgb="FF000000"/>
      </top>
    </border>
    <border>
      <left style="medium">
        <color rgb="FF000000"/>
      </left>
      <right style="medium">
        <color rgb="FF000000"/>
      </right>
    </border>
    <border>
      <right style="medium">
        <color rgb="FF000000"/>
      </right>
      <top style="medium">
        <color rgb="FF000000"/>
      </top>
    </border>
    <border>
      <right style="medium">
        <color rgb="FF000000"/>
      </right>
    </border>
    <border>
      <right style="medium">
        <color rgb="FF000000"/>
      </right>
      <bottom style="thin">
        <color rgb="FF000000"/>
      </bottom>
    </border>
    <border>
      <left style="medium">
        <color rgb="FF000000"/>
      </left>
      <right style="medium">
        <color rgb="FF000000"/>
      </right>
      <bottom style="medium">
        <color rgb="FF000000"/>
      </bottom>
    </border>
    <border>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right style="thin">
        <color rgb="FF000000"/>
      </right>
      <bottom style="thin">
        <color rgb="FF000000"/>
      </bottom>
    </border>
    <border>
      <right style="medium">
        <color rgb="FF000000"/>
      </right>
      <top style="thin">
        <color rgb="FF000000"/>
      </top>
      <bottom style="medium">
        <color rgb="FF000000"/>
      </bottom>
    </border>
    <border>
      <left style="medium">
        <color rgb="FF000000"/>
      </left>
      <top style="medium">
        <color rgb="FF000000"/>
      </top>
    </border>
    <border>
      <left style="thin">
        <color rgb="FF000000"/>
      </left>
      <right style="medium">
        <color rgb="FF000000"/>
      </right>
      <top style="medium">
        <color rgb="FF000000"/>
      </top>
    </border>
    <border>
      <left style="medium">
        <color rgb="FF000000"/>
      </left>
    </border>
    <border>
      <left style="thin">
        <color rgb="FF000000"/>
      </left>
      <right style="medium">
        <color rgb="FF000000"/>
      </right>
    </border>
    <border>
      <left style="medium">
        <color rgb="FF000000"/>
      </left>
      <bottom style="thin">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right/>
      <top style="thin">
        <color rgb="FF000000"/>
      </top>
      <bottom/>
    </border>
    <border>
      <left style="thin">
        <color rgb="FF000000"/>
      </left>
      <right style="medium">
        <color rgb="FF000000"/>
      </right>
      <top style="thin">
        <color rgb="FF000000"/>
      </top>
    </border>
    <border>
      <left style="medium">
        <color rgb="FF000000"/>
      </left>
      <right/>
      <top/>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thin">
        <color rgb="FF000000"/>
      </left>
    </border>
    <border>
      <left/>
      <right/>
      <top/>
      <bottom style="medium">
        <color rgb="FF000000"/>
      </bottom>
    </border>
    <border>
      <left style="medium">
        <color rgb="FF000000"/>
      </left>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left style="thin">
        <color rgb="FF1F3864"/>
      </left>
      <right style="thin">
        <color rgb="FF1F3864"/>
      </right>
      <top style="thin">
        <color rgb="FF1F3864"/>
      </top>
    </border>
    <border>
      <left style="thin">
        <color rgb="FF1F3864"/>
      </left>
      <right style="thin">
        <color rgb="FF1F3864"/>
      </right>
      <top style="thin">
        <color rgb="FF1F3864"/>
      </top>
      <bottom style="thin">
        <color rgb="FF1F3864"/>
      </bottom>
    </border>
    <border>
      <left style="thin">
        <color rgb="FF1F3864"/>
      </left>
      <top style="thin">
        <color rgb="FF1F3864"/>
      </top>
      <bottom style="thin">
        <color rgb="FF1F3864"/>
      </bottom>
    </border>
    <border>
      <left style="thin">
        <color rgb="FF1F3864"/>
      </left>
      <right style="thin">
        <color rgb="FF1F3864"/>
      </right>
    </border>
    <border>
      <right style="thin">
        <color rgb="FF1F3864"/>
      </right>
      <top style="thin">
        <color rgb="FF1F3864"/>
      </top>
      <bottom style="thin">
        <color rgb="FF1F3864"/>
      </bottom>
    </border>
    <border>
      <left style="thin">
        <color rgb="FF1F3864"/>
      </left>
      <right style="thin">
        <color rgb="FF1F3864"/>
      </right>
      <bottom style="thin">
        <color rgb="FF1F3864"/>
      </bottom>
    </border>
    <border>
      <left style="thin">
        <color rgb="FF2F5496"/>
      </left>
      <right style="thin">
        <color rgb="FF2F5496"/>
      </right>
      <bottom style="thin">
        <color rgb="FF2F5496"/>
      </bottom>
    </border>
    <border>
      <left style="thin">
        <color rgb="FF2F5496"/>
      </left>
      <right style="thin">
        <color rgb="FF2F5496"/>
      </right>
      <top style="thin">
        <color rgb="FF2F5496"/>
      </top>
      <bottom style="thin">
        <color rgb="FF2F5496"/>
      </bottom>
    </border>
    <border>
      <left style="thin">
        <color rgb="FF2F5496"/>
      </left>
      <right style="thin">
        <color rgb="FF2F5496"/>
      </right>
      <top style="thin">
        <color rgb="FF8EAADB"/>
      </top>
      <bottom style="thin">
        <color rgb="FF2F5496"/>
      </bottom>
    </border>
    <border>
      <right style="thin">
        <color rgb="FF8EAADB"/>
      </right>
      <top style="thin">
        <color rgb="FF8EAADB"/>
      </top>
      <bottom style="thin">
        <color rgb="FF8EAADB"/>
      </bottom>
    </border>
    <border>
      <left style="thin">
        <color rgb="FFDDDDDD"/>
      </left>
      <right style="thin">
        <color rgb="FFDDDDDD"/>
      </right>
      <top style="thin">
        <color rgb="FFDDDDDD"/>
      </top>
      <bottom style="thin">
        <color rgb="FFDDDDDD"/>
      </bottom>
    </border>
    <border>
      <bottom style="medium">
        <color rgb="FF000000"/>
      </bottom>
    </border>
    <border>
      <left/>
      <right/>
      <top/>
      <bottom style="thin">
        <color rgb="FF8EA9DB"/>
      </bottom>
    </border>
    <border>
      <left style="thin">
        <color rgb="FF8EAADB"/>
      </left>
      <top style="thin">
        <color rgb="FF8EAADB"/>
      </top>
      <bottom style="thin">
        <color rgb="FF8EAADB"/>
      </bottom>
    </border>
    <border>
      <left/>
      <right/>
      <top style="thin">
        <color rgb="FF8EA9DB"/>
      </top>
      <bottom style="thin">
        <color rgb="FF8EA9DB"/>
      </bottom>
    </border>
    <border>
      <top style="thin">
        <color rgb="FF8EA9DB"/>
      </top>
      <bottom style="thin">
        <color rgb="FF8EA9DB"/>
      </bottom>
    </border>
    <border>
      <left/>
      <right/>
      <top style="thin">
        <color rgb="FF8EA9DB"/>
      </top>
      <bottom/>
    </border>
    <border>
      <left/>
      <right/>
      <top/>
      <bottom/>
    </border>
    <border>
      <left style="thin">
        <color rgb="FF8EAADB"/>
      </left>
      <right/>
      <top style="thin">
        <color rgb="FF8EAADB"/>
      </top>
      <bottom style="thin">
        <color rgb="FF8EAADB"/>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top style="medium">
        <color rgb="FF000000"/>
      </top>
      <bottom style="medium">
        <color rgb="FF000000"/>
      </bottom>
    </border>
    <border>
      <left style="thin">
        <color rgb="FF000000"/>
      </left>
      <right/>
      <top/>
      <bottom style="thin">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style="medium">
        <color rgb="FF000000"/>
      </right>
      <top/>
      <bottom style="thin">
        <color rgb="FF000000"/>
      </bottom>
    </border>
    <border>
      <left/>
      <right/>
      <top/>
      <bottom style="thin">
        <color rgb="FF000000"/>
      </bottom>
    </border>
    <border>
      <left/>
      <right style="thin">
        <color rgb="FF000000"/>
      </right>
      <top/>
      <bottom style="thin">
        <color rgb="FF000000"/>
      </bottom>
    </border>
    <border>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medium">
        <color rgb="FF000000"/>
      </right>
      <top/>
      <bottom style="thin">
        <color rgb="FF000000"/>
      </bottom>
    </border>
  </borders>
  <cellStyleXfs count="1">
    <xf borderId="0" fillId="0" fontId="0" numFmtId="0" applyAlignment="1" applyFont="1"/>
  </cellStyleXfs>
  <cellXfs count="32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164" xfId="0" applyFont="1" applyNumberFormat="1"/>
    <xf borderId="4" fillId="0" fontId="4" numFmtId="0" xfId="0" applyAlignment="1" applyBorder="1" applyFont="1">
      <alignment horizontal="center" vertical="center"/>
    </xf>
    <xf borderId="4" fillId="0" fontId="2" numFmtId="0" xfId="0" applyBorder="1" applyFont="1"/>
    <xf borderId="0" fillId="0" fontId="1" numFmtId="0" xfId="0" applyAlignment="1" applyFont="1">
      <alignment vertical="center"/>
    </xf>
    <xf borderId="5" fillId="0" fontId="5" numFmtId="0" xfId="0" applyAlignment="1" applyBorder="1" applyFont="1">
      <alignment horizontal="center" textRotation="90"/>
    </xf>
    <xf borderId="6" fillId="3" fontId="4" numFmtId="2" xfId="0" applyAlignment="1" applyBorder="1" applyFill="1" applyFont="1" applyNumberFormat="1">
      <alignment horizontal="center" textRotation="90"/>
    </xf>
    <xf borderId="7" fillId="4" fontId="6" numFmtId="165" xfId="0" applyAlignment="1" applyBorder="1" applyFill="1" applyFont="1" applyNumberFormat="1">
      <alignment textRotation="90"/>
    </xf>
    <xf borderId="7" fillId="5" fontId="6" numFmtId="165" xfId="0" applyAlignment="1" applyBorder="1" applyFill="1" applyFont="1" applyNumberFormat="1">
      <alignment textRotation="90"/>
    </xf>
    <xf borderId="8" fillId="0" fontId="7" numFmtId="0" xfId="0" applyAlignment="1" applyBorder="1" applyFont="1">
      <alignment horizontal="center" textRotation="90"/>
    </xf>
    <xf borderId="6" fillId="6" fontId="7" numFmtId="2" xfId="0" applyAlignment="1" applyBorder="1" applyFill="1" applyFont="1" applyNumberFormat="1">
      <alignment horizontal="center" textRotation="90"/>
    </xf>
    <xf borderId="7" fillId="0" fontId="4" numFmtId="0" xfId="0" applyAlignment="1" applyBorder="1" applyFont="1">
      <alignment horizontal="center" vertical="center"/>
    </xf>
    <xf borderId="7" fillId="4" fontId="4" numFmtId="0" xfId="0" applyAlignment="1" applyBorder="1" applyFont="1">
      <alignment shrinkToFit="0" vertical="center" wrapText="1"/>
    </xf>
    <xf borderId="7" fillId="0" fontId="4" numFmtId="0" xfId="0" applyAlignment="1" applyBorder="1" applyFont="1">
      <alignment horizontal="center" shrinkToFit="0" vertical="center" wrapText="1"/>
    </xf>
    <xf borderId="7" fillId="0" fontId="4" numFmtId="0" xfId="0" applyAlignment="1" applyBorder="1" applyFont="1">
      <alignment horizontal="center" shrinkToFit="0" wrapText="1"/>
    </xf>
    <xf borderId="7" fillId="0" fontId="4" numFmtId="0" xfId="0" applyBorder="1" applyFont="1"/>
    <xf borderId="7" fillId="4" fontId="4" numFmtId="0" xfId="0" applyAlignment="1" applyBorder="1" applyFont="1">
      <alignment shrinkToFit="0" wrapText="1"/>
    </xf>
    <xf borderId="7" fillId="0" fontId="4" numFmtId="0" xfId="0" applyAlignment="1" applyBorder="1" applyFont="1">
      <alignment shrinkToFit="0" wrapText="1"/>
    </xf>
    <xf borderId="1" fillId="0" fontId="4" numFmtId="0" xfId="0" applyAlignment="1" applyBorder="1" applyFont="1">
      <alignment shrinkToFit="0" wrapText="1"/>
    </xf>
    <xf borderId="9" fillId="0" fontId="4" numFmtId="0" xfId="0" applyAlignment="1" applyBorder="1" applyFont="1">
      <alignment shrinkToFit="0" wrapText="1"/>
    </xf>
    <xf borderId="9" fillId="0" fontId="4" numFmtId="0" xfId="0" applyBorder="1" applyFont="1"/>
    <xf borderId="7" fillId="4" fontId="3" numFmtId="165" xfId="0" applyAlignment="1" applyBorder="1" applyFont="1" applyNumberFormat="1">
      <alignment textRotation="90"/>
    </xf>
    <xf borderId="7" fillId="5" fontId="3" numFmtId="165" xfId="0" applyAlignment="1" applyBorder="1" applyFont="1" applyNumberFormat="1">
      <alignment textRotation="90"/>
    </xf>
    <xf borderId="0" fillId="0" fontId="3" numFmtId="0" xfId="0" applyAlignment="1" applyFont="1">
      <alignment textRotation="90"/>
    </xf>
    <xf borderId="10" fillId="0" fontId="2" numFmtId="0" xfId="0" applyBorder="1" applyFont="1"/>
    <xf borderId="11" fillId="0" fontId="2" numFmtId="0" xfId="0" applyBorder="1" applyFont="1"/>
    <xf borderId="12" fillId="0" fontId="4" numFmtId="0" xfId="0" applyAlignment="1" applyBorder="1" applyFont="1">
      <alignment horizontal="center" textRotation="90" vertical="center"/>
    </xf>
    <xf borderId="1" fillId="0" fontId="4" numFmtId="0" xfId="0" applyAlignment="1" applyBorder="1" applyFont="1">
      <alignment horizontal="center" vertical="center"/>
    </xf>
    <xf borderId="12" fillId="0" fontId="4" numFmtId="0" xfId="0" applyAlignment="1" applyBorder="1" applyFont="1">
      <alignment horizontal="center" textRotation="90"/>
    </xf>
    <xf borderId="7" fillId="0" fontId="8" numFmtId="0" xfId="0" applyBorder="1" applyFont="1"/>
    <xf borderId="7" fillId="4" fontId="3" numFmtId="0" xfId="0" applyAlignment="1" applyBorder="1" applyFont="1">
      <alignment horizontal="center" vertical="center"/>
    </xf>
    <xf borderId="7" fillId="0" fontId="3" numFmtId="0" xfId="0" applyAlignment="1" applyBorder="1" applyFont="1">
      <alignment horizontal="center" vertical="center"/>
    </xf>
    <xf borderId="7" fillId="0" fontId="3" numFmtId="0" xfId="0" applyBorder="1" applyFont="1"/>
    <xf borderId="1" fillId="0" fontId="3" numFmtId="0" xfId="0" applyAlignment="1" applyBorder="1" applyFont="1">
      <alignment horizontal="center" vertical="center"/>
    </xf>
    <xf borderId="3" fillId="0" fontId="3" numFmtId="0" xfId="0" applyAlignment="1" applyBorder="1" applyFont="1">
      <alignment horizontal="center" vertical="center"/>
    </xf>
    <xf borderId="0" fillId="0" fontId="4" numFmtId="0" xfId="0" applyFont="1"/>
    <xf borderId="13" fillId="0" fontId="4" numFmtId="0" xfId="0" applyAlignment="1" applyBorder="1" applyFont="1">
      <alignment horizontal="center" vertical="center"/>
    </xf>
    <xf borderId="14" fillId="3" fontId="4" numFmtId="2" xfId="0" applyAlignment="1" applyBorder="1" applyFont="1" applyNumberFormat="1">
      <alignment horizontal="center" vertical="center"/>
    </xf>
    <xf borderId="13" fillId="0" fontId="3" numFmtId="0" xfId="0" applyBorder="1" applyFont="1"/>
    <xf borderId="15" fillId="6" fontId="4" numFmtId="2" xfId="0" applyAlignment="1" applyBorder="1" applyFont="1" applyNumberFormat="1">
      <alignment horizontal="center" vertical="center"/>
    </xf>
    <xf borderId="7" fillId="0" fontId="8" numFmtId="0" xfId="0" applyAlignment="1" applyBorder="1" applyFont="1">
      <alignment horizontal="left" vertical="center"/>
    </xf>
    <xf borderId="16" fillId="0" fontId="8" numFmtId="0" xfId="0" applyBorder="1" applyFont="1"/>
    <xf borderId="9" fillId="0" fontId="8" numFmtId="0" xfId="0" applyBorder="1" applyFont="1"/>
    <xf borderId="17" fillId="4" fontId="3" numFmtId="0" xfId="0" applyAlignment="1" applyBorder="1" applyFont="1">
      <alignment horizontal="center" vertical="center"/>
    </xf>
    <xf borderId="9" fillId="0" fontId="3" numFmtId="0" xfId="0" applyAlignment="1" applyBorder="1" applyFont="1">
      <alignment horizontal="center" vertical="center"/>
    </xf>
    <xf borderId="7" fillId="0" fontId="4" numFmtId="0" xfId="0" applyAlignment="1" applyBorder="1" applyFont="1">
      <alignment horizontal="right"/>
    </xf>
    <xf borderId="7" fillId="7" fontId="4" numFmtId="0" xfId="0" applyAlignment="1" applyBorder="1" applyFill="1" applyFont="1">
      <alignment horizontal="center" vertical="center"/>
    </xf>
    <xf borderId="0" fillId="0" fontId="3" numFmtId="0" xfId="0" applyAlignment="1" applyFont="1">
      <alignment horizontal="center" vertical="center"/>
    </xf>
    <xf borderId="0" fillId="0" fontId="8" numFmtId="0" xfId="0" applyFont="1"/>
    <xf borderId="8" fillId="0" fontId="4" numFmtId="0" xfId="0" applyAlignment="1" applyBorder="1" applyFont="1">
      <alignment horizontal="center" vertical="center"/>
    </xf>
    <xf borderId="18" fillId="6" fontId="4" numFmtId="2" xfId="0" applyAlignment="1" applyBorder="1" applyFont="1" applyNumberFormat="1">
      <alignment horizontal="center" vertical="center"/>
    </xf>
    <xf borderId="19" fillId="0" fontId="4" numFmtId="0" xfId="0" applyBorder="1" applyFont="1"/>
    <xf borderId="20" fillId="0" fontId="4" numFmtId="0" xfId="0" applyAlignment="1" applyBorder="1" applyFont="1">
      <alignment horizontal="center" vertical="center"/>
    </xf>
    <xf borderId="21" fillId="3" fontId="4" numFmtId="2" xfId="0" applyAlignment="1" applyBorder="1" applyFont="1" applyNumberFormat="1">
      <alignment horizontal="center" vertical="center"/>
    </xf>
    <xf borderId="20" fillId="0" fontId="3" numFmtId="0" xfId="0" applyAlignment="1" applyBorder="1" applyFont="1">
      <alignment horizontal="center" vertical="center"/>
    </xf>
    <xf borderId="21" fillId="6" fontId="4" numFmtId="2" xfId="0" applyAlignment="1" applyBorder="1" applyFont="1" applyNumberFormat="1">
      <alignment horizontal="center" vertical="center"/>
    </xf>
    <xf borderId="0" fillId="0" fontId="3" numFmtId="2" xfId="0" applyFont="1" applyNumberFormat="1"/>
    <xf borderId="0" fillId="0" fontId="4" numFmtId="0" xfId="0" applyAlignment="1" applyFont="1">
      <alignment horizontal="center" vertical="center"/>
    </xf>
    <xf borderId="0" fillId="0" fontId="3" numFmtId="0" xfId="0" applyAlignment="1" applyFont="1">
      <alignment horizontal="right"/>
    </xf>
    <xf borderId="17" fillId="4" fontId="4" numFmtId="0" xfId="0" applyAlignment="1" applyBorder="1" applyFont="1">
      <alignment horizontal="center" vertical="center"/>
    </xf>
    <xf borderId="5" fillId="6" fontId="7" numFmtId="2" xfId="0" applyAlignment="1" applyBorder="1" applyFont="1" applyNumberFormat="1">
      <alignment horizontal="center" textRotation="90"/>
    </xf>
    <xf borderId="7" fillId="4" fontId="4" numFmtId="0" xfId="0" applyAlignment="1" applyBorder="1" applyFont="1">
      <alignment horizontal="center" vertical="center"/>
    </xf>
    <xf borderId="22" fillId="0" fontId="3" numFmtId="0" xfId="0" applyAlignment="1" applyBorder="1" applyFont="1">
      <alignment horizontal="center" vertical="center"/>
    </xf>
    <xf borderId="23" fillId="0" fontId="2" numFmtId="0" xfId="0" applyBorder="1" applyFont="1"/>
    <xf borderId="24" fillId="0" fontId="4" numFmtId="0" xfId="0" applyAlignment="1" applyBorder="1" applyFont="1">
      <alignment horizontal="center" textRotation="90" vertical="center"/>
    </xf>
    <xf borderId="7" fillId="0" fontId="3" numFmtId="166" xfId="0" applyBorder="1" applyFont="1" applyNumberFormat="1"/>
    <xf borderId="7" fillId="4" fontId="4" numFmtId="0" xfId="0" applyAlignment="1" applyBorder="1" applyFont="1">
      <alignment vertical="center"/>
    </xf>
    <xf borderId="7" fillId="0" fontId="4" numFmtId="0" xfId="0" applyAlignment="1" applyBorder="1" applyFont="1">
      <alignment shrinkToFit="0" vertical="center" wrapText="1"/>
    </xf>
    <xf borderId="7" fillId="0" fontId="4" numFmtId="0" xfId="0" applyAlignment="1" applyBorder="1" applyFont="1">
      <alignment horizontal="center"/>
    </xf>
    <xf borderId="5" fillId="0" fontId="7" numFmtId="0" xfId="0" applyAlignment="1" applyBorder="1" applyFont="1">
      <alignment horizontal="center" textRotation="90"/>
    </xf>
    <xf borderId="25" fillId="0" fontId="2" numFmtId="0" xfId="0" applyBorder="1" applyFont="1"/>
    <xf borderId="5" fillId="0" fontId="7" numFmtId="0" xfId="0" applyAlignment="1" applyBorder="1" applyFont="1">
      <alignment horizontal="center" shrinkToFit="0" textRotation="90" wrapText="1"/>
    </xf>
    <xf borderId="5" fillId="6" fontId="7" numFmtId="2" xfId="0" applyAlignment="1" applyBorder="1" applyFont="1" applyNumberFormat="1">
      <alignment horizontal="center" shrinkToFit="0" textRotation="90" wrapText="1"/>
    </xf>
    <xf borderId="5" fillId="0" fontId="4" numFmtId="0" xfId="0" applyAlignment="1" applyBorder="1" applyFont="1">
      <alignment horizontal="center" shrinkToFit="0" textRotation="90" wrapText="1"/>
    </xf>
    <xf borderId="7" fillId="0" fontId="3" numFmtId="0" xfId="0" applyAlignment="1" applyBorder="1" applyFont="1">
      <alignment horizontal="center"/>
    </xf>
    <xf borderId="7" fillId="0" fontId="3" numFmtId="2" xfId="0" applyAlignment="1" applyBorder="1" applyFont="1" applyNumberFormat="1">
      <alignment horizontal="center" vertical="center"/>
    </xf>
    <xf borderId="26" fillId="0" fontId="2" numFmtId="0" xfId="0" applyBorder="1" applyFont="1"/>
    <xf borderId="27" fillId="0" fontId="2" numFmtId="0" xfId="0" applyBorder="1" applyFont="1"/>
    <xf borderId="9" fillId="0" fontId="3" numFmtId="0" xfId="0" applyBorder="1" applyFont="1"/>
    <xf borderId="9" fillId="0" fontId="3" numFmtId="0" xfId="0" applyAlignment="1" applyBorder="1" applyFont="1">
      <alignment horizontal="center"/>
    </xf>
    <xf borderId="13" fillId="6" fontId="4" numFmtId="2" xfId="0" applyAlignment="1" applyBorder="1" applyFont="1" applyNumberFormat="1">
      <alignment horizontal="center" vertical="center"/>
    </xf>
    <xf borderId="28" fillId="0" fontId="3" numFmtId="0" xfId="0" applyBorder="1" applyFont="1"/>
    <xf borderId="10" fillId="0" fontId="4" numFmtId="0" xfId="0" applyAlignment="1" applyBorder="1" applyFont="1">
      <alignment horizontal="center" vertical="center"/>
    </xf>
    <xf borderId="10" fillId="0" fontId="3" numFmtId="0" xfId="0" applyBorder="1" applyFont="1"/>
    <xf borderId="29" fillId="7" fontId="3" numFmtId="0" xfId="0" applyAlignment="1" applyBorder="1" applyFont="1">
      <alignment horizontal="center"/>
    </xf>
    <xf borderId="7" fillId="7" fontId="3" numFmtId="0" xfId="0" applyAlignment="1" applyBorder="1" applyFont="1">
      <alignment horizontal="center"/>
    </xf>
    <xf borderId="0" fillId="0" fontId="9" numFmtId="0" xfId="0" applyAlignment="1" applyFont="1">
      <alignment vertical="center"/>
    </xf>
    <xf borderId="0" fillId="0" fontId="4" numFmtId="0" xfId="0" applyAlignment="1" applyFont="1">
      <alignment vertical="center"/>
    </xf>
    <xf borderId="30" fillId="0" fontId="10" numFmtId="0" xfId="0" applyAlignment="1" applyBorder="1" applyFont="1">
      <alignment horizontal="center" vertical="center"/>
    </xf>
    <xf borderId="22" fillId="0" fontId="2" numFmtId="0" xfId="0" applyBorder="1" applyFont="1"/>
    <xf borderId="19" fillId="0" fontId="2" numFmtId="0" xfId="0" applyBorder="1" applyFont="1"/>
    <xf borderId="31" fillId="0" fontId="2" numFmtId="0" xfId="0" applyBorder="1" applyFont="1"/>
    <xf borderId="32" fillId="0" fontId="2" numFmtId="0" xfId="0" applyBorder="1" applyFont="1"/>
    <xf borderId="7" fillId="8" fontId="4" numFmtId="0" xfId="0" applyAlignment="1" applyBorder="1" applyFill="1" applyFont="1">
      <alignment horizontal="center" vertical="center"/>
    </xf>
    <xf borderId="7" fillId="0" fontId="4" numFmtId="0" xfId="0" applyAlignment="1" applyBorder="1" applyFont="1">
      <alignment horizontal="left" shrinkToFit="0" vertical="center" wrapText="1"/>
    </xf>
    <xf borderId="7" fillId="9" fontId="11" numFmtId="0" xfId="0" applyAlignment="1" applyBorder="1" applyFill="1" applyFont="1">
      <alignment horizontal="center" shrinkToFit="0" vertical="center" wrapText="1"/>
    </xf>
    <xf borderId="2" fillId="0" fontId="4" numFmtId="0" xfId="0" applyAlignment="1" applyBorder="1" applyFont="1">
      <alignment horizontal="center" vertical="center"/>
    </xf>
    <xf borderId="7" fillId="8" fontId="8" numFmtId="0" xfId="0" applyBorder="1" applyFont="1"/>
    <xf borderId="1" fillId="0" fontId="12" numFmtId="0" xfId="0" applyAlignment="1" applyBorder="1" applyFont="1">
      <alignment horizontal="left" vertical="center"/>
    </xf>
    <xf borderId="2" fillId="0" fontId="12" numFmtId="0" xfId="0" applyAlignment="1" applyBorder="1" applyFont="1">
      <alignment horizontal="left" vertical="center"/>
    </xf>
    <xf borderId="3" fillId="0" fontId="12" numFmtId="0" xfId="0" applyAlignment="1" applyBorder="1" applyFont="1">
      <alignment horizontal="left" vertical="center"/>
    </xf>
    <xf borderId="3" fillId="0" fontId="8" numFmtId="0" xfId="0" applyAlignment="1" applyBorder="1" applyFont="1">
      <alignment horizontal="center" vertical="center"/>
    </xf>
    <xf borderId="7" fillId="9" fontId="8" numFmtId="0" xfId="0" applyBorder="1" applyFont="1"/>
    <xf borderId="2" fillId="0" fontId="12" numFmtId="0" xfId="0" applyAlignment="1" applyBorder="1" applyFont="1">
      <alignment horizontal="center"/>
    </xf>
    <xf borderId="3" fillId="0" fontId="12" numFmtId="0" xfId="0" applyAlignment="1" applyBorder="1" applyFont="1">
      <alignment horizontal="left"/>
    </xf>
    <xf borderId="7" fillId="0" fontId="12" numFmtId="0" xfId="0" applyAlignment="1" applyBorder="1" applyFont="1">
      <alignment horizontal="left"/>
    </xf>
    <xf borderId="2" fillId="0" fontId="12" numFmtId="0" xfId="0" applyAlignment="1" applyBorder="1" applyFont="1">
      <alignment horizontal="left"/>
    </xf>
    <xf borderId="28" fillId="0" fontId="3" numFmtId="0" xfId="0" applyAlignment="1" applyBorder="1" applyFont="1">
      <alignment horizontal="center" vertical="center"/>
    </xf>
    <xf borderId="0" fillId="0" fontId="8" numFmtId="0" xfId="0" applyAlignment="1" applyFont="1">
      <alignment horizontal="center" vertical="center"/>
    </xf>
    <xf borderId="20" fillId="6" fontId="4" numFmtId="2" xfId="0" applyAlignment="1" applyBorder="1" applyFont="1" applyNumberFormat="1">
      <alignment horizontal="center" vertical="center"/>
    </xf>
    <xf borderId="33" fillId="0" fontId="3" numFmtId="0" xfId="0" applyBorder="1" applyFont="1"/>
    <xf borderId="9" fillId="0" fontId="4" numFmtId="0" xfId="0" applyAlignment="1" applyBorder="1" applyFont="1">
      <alignment horizontal="center" vertical="center"/>
    </xf>
    <xf borderId="22" fillId="0" fontId="4" numFmtId="0" xfId="0" applyAlignment="1" applyBorder="1" applyFont="1">
      <alignment horizontal="center" vertical="center"/>
    </xf>
    <xf borderId="1" fillId="10" fontId="4" numFmtId="0" xfId="0" applyAlignment="1" applyBorder="1" applyFill="1" applyFont="1">
      <alignment horizontal="center"/>
    </xf>
    <xf borderId="7" fillId="10" fontId="13" numFmtId="0" xfId="0" applyAlignment="1" applyBorder="1" applyFont="1">
      <alignment horizontal="center" vertical="center"/>
    </xf>
    <xf borderId="1" fillId="10" fontId="3" numFmtId="0" xfId="0" applyAlignment="1" applyBorder="1" applyFont="1">
      <alignment horizontal="center"/>
    </xf>
    <xf borderId="7" fillId="10" fontId="13" numFmtId="0" xfId="0" applyBorder="1" applyFont="1"/>
    <xf borderId="5" fillId="0" fontId="5" numFmtId="0" xfId="0" applyAlignment="1" applyBorder="1" applyFont="1">
      <alignment horizontal="center" shrinkToFit="0" textRotation="90" wrapText="1"/>
    </xf>
    <xf borderId="34" fillId="0" fontId="7" numFmtId="0" xfId="0" applyAlignment="1" applyBorder="1" applyFont="1">
      <alignment horizontal="center" shrinkToFit="0" textRotation="90" wrapText="1"/>
    </xf>
    <xf borderId="35" fillId="0" fontId="4" numFmtId="0" xfId="0" applyAlignment="1" applyBorder="1" applyFont="1">
      <alignment horizontal="center" shrinkToFit="0" textRotation="90" vertical="center" wrapText="1"/>
    </xf>
    <xf borderId="36" fillId="0" fontId="2" numFmtId="0" xfId="0" applyBorder="1" applyFont="1"/>
    <xf borderId="37" fillId="0" fontId="2" numFmtId="0" xfId="0" applyBorder="1" applyFont="1"/>
    <xf borderId="38" fillId="0" fontId="2" numFmtId="0" xfId="0" applyBorder="1" applyFont="1"/>
    <xf borderId="39" fillId="0" fontId="2" numFmtId="0" xfId="0" applyBorder="1" applyFont="1"/>
    <xf borderId="15" fillId="11" fontId="4" numFmtId="2" xfId="0" applyAlignment="1" applyBorder="1" applyFill="1" applyFont="1" applyNumberFormat="1">
      <alignment horizontal="center" vertical="center"/>
    </xf>
    <xf borderId="39" fillId="0" fontId="3" numFmtId="0" xfId="0" applyAlignment="1" applyBorder="1" applyFont="1">
      <alignment horizontal="center" vertical="center"/>
    </xf>
    <xf borderId="14" fillId="11" fontId="4" numFmtId="2" xfId="0" applyAlignment="1" applyBorder="1" applyFont="1" applyNumberFormat="1">
      <alignment horizontal="center" vertical="center"/>
    </xf>
    <xf borderId="40" fillId="0" fontId="3" numFmtId="0" xfId="0" applyAlignment="1" applyBorder="1" applyFont="1">
      <alignment horizontal="center" vertical="center"/>
    </xf>
    <xf borderId="7" fillId="0" fontId="3" numFmtId="0" xfId="0" applyAlignment="1" applyBorder="1" applyFont="1">
      <alignment vertical="center"/>
    </xf>
    <xf borderId="41" fillId="11" fontId="4" numFmtId="2" xfId="0" applyAlignment="1" applyBorder="1" applyFont="1" applyNumberFormat="1">
      <alignment horizontal="center" vertical="center"/>
    </xf>
    <xf borderId="42" fillId="0" fontId="3" numFmtId="0" xfId="0" applyAlignment="1" applyBorder="1" applyFont="1">
      <alignment horizontal="center" vertical="center"/>
    </xf>
    <xf borderId="23" fillId="0" fontId="4" numFmtId="0" xfId="0" applyAlignment="1" applyBorder="1" applyFont="1">
      <alignment horizontal="center" vertical="center"/>
    </xf>
    <xf borderId="18" fillId="11" fontId="4" numFmtId="2" xfId="0" applyAlignment="1" applyBorder="1" applyFont="1" applyNumberFormat="1">
      <alignment horizontal="center" vertical="center"/>
    </xf>
    <xf borderId="37" fillId="0" fontId="3" numFmtId="0" xfId="0" applyAlignment="1" applyBorder="1" applyFont="1">
      <alignment horizontal="center" vertical="center"/>
    </xf>
    <xf borderId="0" fillId="0" fontId="4" numFmtId="0" xfId="0" applyAlignment="1" applyFont="1">
      <alignment horizontal="center"/>
    </xf>
    <xf borderId="27" fillId="0" fontId="4" numFmtId="0" xfId="0" applyAlignment="1" applyBorder="1" applyFont="1">
      <alignment horizontal="center" vertical="center"/>
    </xf>
    <xf borderId="43" fillId="11" fontId="4" numFmtId="2" xfId="0" applyAlignment="1" applyBorder="1" applyFont="1" applyNumberFormat="1">
      <alignment horizontal="center" vertical="center"/>
    </xf>
    <xf borderId="44" fillId="0" fontId="3" numFmtId="0" xfId="0" applyAlignment="1" applyBorder="1" applyFont="1">
      <alignment horizontal="center" vertical="center"/>
    </xf>
    <xf borderId="45" fillId="4" fontId="4" numFmtId="0" xfId="0" applyAlignment="1" applyBorder="1" applyFont="1">
      <alignment horizontal="center" vertical="center"/>
    </xf>
    <xf borderId="0" fillId="0" fontId="10" numFmtId="0" xfId="0" applyAlignment="1" applyFont="1">
      <alignment vertical="center"/>
    </xf>
    <xf borderId="0" fillId="0" fontId="12" numFmtId="0" xfId="0" applyFont="1"/>
    <xf borderId="46" fillId="0" fontId="4" numFmtId="0" xfId="0" applyAlignment="1" applyBorder="1" applyFont="1">
      <alignment shrinkToFit="0" vertical="center" wrapText="1"/>
    </xf>
    <xf borderId="4" fillId="0" fontId="3" numFmtId="0" xfId="0" applyBorder="1" applyFont="1"/>
    <xf borderId="47" fillId="12" fontId="14" numFmtId="0" xfId="0" applyAlignment="1" applyBorder="1" applyFill="1" applyFont="1">
      <alignment horizontal="center" shrinkToFit="0" wrapText="1"/>
    </xf>
    <xf borderId="48" fillId="13" fontId="11" numFmtId="0" xfId="0" applyAlignment="1" applyBorder="1" applyFill="1" applyFont="1">
      <alignment horizontal="center" vertical="center"/>
    </xf>
    <xf borderId="45" fillId="13" fontId="15" numFmtId="167" xfId="0" applyAlignment="1" applyBorder="1" applyFont="1" applyNumberFormat="1">
      <alignment horizontal="center" shrinkToFit="0" vertical="center" wrapText="1"/>
    </xf>
    <xf borderId="45" fillId="13" fontId="11" numFmtId="0" xfId="0" applyAlignment="1" applyBorder="1" applyFont="1">
      <alignment horizontal="center" vertical="center"/>
    </xf>
    <xf borderId="0" fillId="0" fontId="16" numFmtId="0" xfId="0" applyFont="1"/>
    <xf borderId="15" fillId="14" fontId="11" numFmtId="0" xfId="0" applyAlignment="1" applyBorder="1" applyFill="1" applyFont="1">
      <alignment horizontal="center" vertical="center"/>
    </xf>
    <xf borderId="49" fillId="0" fontId="17" numFmtId="167" xfId="0" applyAlignment="1" applyBorder="1" applyFont="1" applyNumberFormat="1">
      <alignment horizontal="center" shrinkToFit="0" vertical="center" wrapText="1"/>
    </xf>
    <xf borderId="50" fillId="0" fontId="17" numFmtId="167" xfId="0" applyAlignment="1" applyBorder="1" applyFont="1" applyNumberFormat="1">
      <alignment horizontal="center" shrinkToFit="0" vertical="center" wrapText="1"/>
    </xf>
    <xf borderId="31" fillId="0" fontId="17" numFmtId="167" xfId="0" applyAlignment="1" applyBorder="1" applyFont="1" applyNumberFormat="1">
      <alignment horizontal="center" shrinkToFit="0" vertical="center" wrapText="1"/>
    </xf>
    <xf borderId="50" fillId="0" fontId="18" numFmtId="0" xfId="0" applyAlignment="1" applyBorder="1" applyFont="1">
      <alignment horizontal="center" shrinkToFit="0" vertical="center" wrapText="1"/>
    </xf>
    <xf borderId="14" fillId="14" fontId="11" numFmtId="0" xfId="0" applyAlignment="1" applyBorder="1" applyFont="1">
      <alignment horizontal="center" vertical="center"/>
    </xf>
    <xf borderId="51" fillId="0" fontId="17" numFmtId="167" xfId="0" applyAlignment="1" applyBorder="1" applyFont="1" applyNumberFormat="1">
      <alignment horizontal="center" shrinkToFit="0" vertical="center" wrapText="1"/>
    </xf>
    <xf borderId="7" fillId="0" fontId="17" numFmtId="167" xfId="0" applyAlignment="1" applyBorder="1" applyFont="1" applyNumberFormat="1">
      <alignment horizontal="center" shrinkToFit="0" vertical="center" wrapText="1"/>
    </xf>
    <xf borderId="1" fillId="0" fontId="17" numFmtId="167" xfId="0" applyAlignment="1" applyBorder="1" applyFont="1" applyNumberFormat="1">
      <alignment horizontal="center" shrinkToFit="0" vertical="center" wrapText="1"/>
    </xf>
    <xf borderId="7" fillId="0" fontId="3" numFmtId="167" xfId="0" applyAlignment="1" applyBorder="1" applyFont="1" applyNumberFormat="1">
      <alignment horizontal="center" readingOrder="0" shrinkToFit="0" vertical="center" wrapText="1"/>
    </xf>
    <xf borderId="51" fillId="0" fontId="19" numFmtId="167" xfId="0" applyAlignment="1" applyBorder="1" applyFont="1" applyNumberFormat="1">
      <alignment horizontal="center" shrinkToFit="0" vertical="center" wrapText="1"/>
    </xf>
    <xf borderId="7"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7" fillId="0" fontId="20" numFmtId="0" xfId="0" applyAlignment="1" applyBorder="1" applyFont="1">
      <alignment horizontal="center" vertical="center"/>
    </xf>
    <xf borderId="51" fillId="15" fontId="19" numFmtId="167" xfId="0" applyAlignment="1" applyBorder="1" applyFill="1" applyFont="1" applyNumberFormat="1">
      <alignment horizontal="center" shrinkToFit="0" vertical="center" wrapText="1"/>
    </xf>
    <xf borderId="7" fillId="0" fontId="19" numFmtId="167" xfId="0" applyAlignment="1" applyBorder="1" applyFont="1" applyNumberFormat="1">
      <alignment horizontal="center" shrinkToFit="0" vertical="center" wrapText="1"/>
    </xf>
    <xf borderId="1" fillId="0" fontId="19" numFmtId="167" xfId="0" applyAlignment="1" applyBorder="1" applyFont="1" applyNumberFormat="1">
      <alignment horizontal="center" shrinkToFit="0" vertical="center" wrapText="1"/>
    </xf>
    <xf borderId="51" fillId="0" fontId="3" numFmtId="0" xfId="0" applyAlignment="1" applyBorder="1" applyFont="1">
      <alignment horizontal="center" shrinkToFit="0" vertical="center" wrapText="1"/>
    </xf>
    <xf borderId="0" fillId="0" fontId="3" numFmtId="0" xfId="0" applyAlignment="1" applyFont="1">
      <alignment horizontal="center"/>
    </xf>
    <xf borderId="52" fillId="0" fontId="3" numFmtId="0" xfId="0" applyAlignment="1" applyBorder="1" applyFont="1">
      <alignment horizontal="center" shrinkToFit="0" vertical="center" wrapText="1"/>
    </xf>
    <xf borderId="9" fillId="0" fontId="3" numFmtId="0" xfId="0" applyAlignment="1" applyBorder="1" applyFont="1">
      <alignment horizontal="center" shrinkToFit="0" vertical="center" wrapText="1"/>
    </xf>
    <xf borderId="7" fillId="6" fontId="20" numFmtId="0" xfId="0" applyAlignment="1" applyBorder="1" applyFont="1">
      <alignment horizontal="center" shrinkToFit="0" vertical="center" wrapText="1"/>
    </xf>
    <xf borderId="14" fillId="13" fontId="11" numFmtId="0" xfId="0" applyAlignment="1" applyBorder="1" applyFont="1">
      <alignment horizontal="center" shrinkToFit="0" vertical="center" wrapText="1"/>
    </xf>
    <xf borderId="49" fillId="0" fontId="3" numFmtId="0" xfId="0" applyAlignment="1" applyBorder="1" applyFont="1">
      <alignment horizontal="center" shrinkToFit="0" vertical="center" wrapText="1"/>
    </xf>
    <xf borderId="30" fillId="0" fontId="3" numFmtId="0" xfId="0" applyAlignment="1" applyBorder="1" applyFont="1">
      <alignment horizontal="center" shrinkToFit="0" vertical="center" wrapText="1"/>
    </xf>
    <xf borderId="3" fillId="0" fontId="3" numFmtId="0" xfId="0" applyAlignment="1" applyBorder="1" applyFont="1">
      <alignment horizontal="left" shrinkToFit="0" vertical="center" wrapText="1"/>
    </xf>
    <xf borderId="14" fillId="13" fontId="11" numFmtId="0" xfId="0" applyAlignment="1" applyBorder="1" applyFont="1">
      <alignment horizontal="center" vertical="center"/>
    </xf>
    <xf borderId="14" fillId="14" fontId="11" numFmtId="0" xfId="0" applyAlignment="1" applyBorder="1" applyFont="1">
      <alignment horizontal="center" shrinkToFit="0" vertical="center" wrapText="1"/>
    </xf>
    <xf borderId="51" fillId="0" fontId="3" numFmtId="0" xfId="0" applyAlignment="1" applyBorder="1" applyFont="1">
      <alignment horizontal="center" vertical="center"/>
    </xf>
    <xf borderId="43" fillId="14" fontId="11" numFmtId="0" xfId="0" applyAlignment="1" applyBorder="1" applyFont="1">
      <alignment horizontal="center" shrinkToFit="0" vertical="center" wrapText="1"/>
    </xf>
    <xf borderId="53" fillId="0" fontId="3" numFmtId="0" xfId="0" applyAlignment="1" applyBorder="1" applyFont="1">
      <alignment horizontal="center" vertical="center"/>
    </xf>
    <xf borderId="54" fillId="0" fontId="3" numFmtId="0" xfId="0" applyAlignment="1" applyBorder="1" applyFont="1">
      <alignment horizontal="center" vertical="center"/>
    </xf>
    <xf borderId="55" fillId="0" fontId="3" numFmtId="0" xfId="0" applyAlignment="1" applyBorder="1" applyFont="1">
      <alignment horizontal="center" vertical="center"/>
    </xf>
    <xf borderId="0" fillId="0" fontId="16" numFmtId="0" xfId="0" applyFont="1"/>
    <xf borderId="56" fillId="0" fontId="3" numFmtId="0" xfId="0" applyAlignment="1" applyBorder="1" applyFont="1">
      <alignment horizontal="center"/>
    </xf>
    <xf borderId="56" fillId="0" fontId="3" numFmtId="165" xfId="0" applyAlignment="1" applyBorder="1" applyFont="1" applyNumberFormat="1">
      <alignment horizontal="center" vertical="center"/>
    </xf>
    <xf borderId="56" fillId="0" fontId="3" numFmtId="0" xfId="0" applyAlignment="1" applyBorder="1" applyFont="1">
      <alignment horizontal="center" shrinkToFit="0" wrapText="1"/>
    </xf>
    <xf borderId="57" fillId="0" fontId="3" numFmtId="0" xfId="0" applyAlignment="1" applyBorder="1" applyFont="1">
      <alignment horizontal="center" shrinkToFit="0" wrapText="1"/>
    </xf>
    <xf borderId="58" fillId="0" fontId="3" numFmtId="0" xfId="0" applyAlignment="1" applyBorder="1" applyFont="1">
      <alignment horizontal="center" shrinkToFit="0" wrapText="1"/>
    </xf>
    <xf borderId="59" fillId="0" fontId="3" numFmtId="0" xfId="0" applyAlignment="1" applyBorder="1" applyFont="1">
      <alignment horizontal="center" shrinkToFit="0" wrapText="1"/>
    </xf>
    <xf borderId="7" fillId="16" fontId="21" numFmtId="0" xfId="0" applyAlignment="1" applyBorder="1" applyFill="1" applyFont="1">
      <alignment horizontal="center" shrinkToFit="0" vertical="center" wrapText="1"/>
    </xf>
    <xf borderId="7" fillId="16" fontId="10" numFmtId="0" xfId="0" applyAlignment="1" applyBorder="1" applyFont="1">
      <alignment horizontal="center" shrinkToFit="0" vertical="center" wrapText="1"/>
    </xf>
    <xf borderId="7" fillId="16" fontId="10" numFmtId="165" xfId="0" applyAlignment="1" applyBorder="1" applyFont="1" applyNumberFormat="1">
      <alignment horizontal="center" shrinkToFit="0" vertical="center" wrapText="1"/>
    </xf>
    <xf borderId="7" fillId="16" fontId="22" numFmtId="0" xfId="0" applyAlignment="1" applyBorder="1" applyFont="1">
      <alignment horizontal="center" shrinkToFit="0" vertical="center" wrapText="1"/>
    </xf>
    <xf borderId="7" fillId="17" fontId="10" numFmtId="0" xfId="0" applyAlignment="1" applyBorder="1" applyFill="1" applyFont="1">
      <alignment horizontal="center" shrinkToFit="0" vertical="center" wrapText="1"/>
    </xf>
    <xf borderId="7" fillId="11" fontId="11" numFmtId="0" xfId="0" applyAlignment="1" applyBorder="1" applyFont="1">
      <alignment horizontal="center" shrinkToFit="0" vertical="center" wrapText="1"/>
    </xf>
    <xf borderId="7" fillId="18" fontId="11" numFmtId="0" xfId="0" applyAlignment="1" applyBorder="1" applyFill="1" applyFont="1">
      <alignment horizontal="center" shrinkToFit="0" vertical="center" wrapText="1"/>
    </xf>
    <xf borderId="7" fillId="19" fontId="11" numFmtId="0" xfId="0" applyAlignment="1" applyBorder="1" applyFill="1" applyFont="1">
      <alignment horizontal="center" shrinkToFit="0" vertical="center" wrapText="1"/>
    </xf>
    <xf borderId="60" fillId="0" fontId="3" numFmtId="0" xfId="0" applyBorder="1" applyFont="1"/>
    <xf borderId="57" fillId="0" fontId="3" numFmtId="0" xfId="0" applyBorder="1" applyFont="1"/>
    <xf borderId="58" fillId="0" fontId="3" numFmtId="0" xfId="0" applyBorder="1" applyFont="1"/>
    <xf borderId="61" fillId="0" fontId="3" numFmtId="0" xfId="0" applyBorder="1" applyFont="1"/>
    <xf borderId="62" fillId="0" fontId="8" numFmtId="0" xfId="0" applyBorder="1" applyFont="1"/>
    <xf borderId="63" fillId="0" fontId="3" numFmtId="0" xfId="0" applyAlignment="1" applyBorder="1" applyFont="1">
      <alignment horizontal="left" readingOrder="0" vertical="center"/>
    </xf>
    <xf borderId="63" fillId="0" fontId="3" numFmtId="0" xfId="0" applyAlignment="1" applyBorder="1" applyFont="1">
      <alignment horizontal="center" readingOrder="0" vertical="center"/>
    </xf>
    <xf borderId="63" fillId="0" fontId="3" numFmtId="20" xfId="0" applyAlignment="1" applyBorder="1" applyFont="1" applyNumberFormat="1">
      <alignment horizontal="center" readingOrder="0" vertical="center"/>
    </xf>
    <xf borderId="64" fillId="0" fontId="3" numFmtId="0" xfId="0" applyAlignment="1" applyBorder="1" applyFont="1">
      <alignment horizontal="center" vertical="center"/>
    </xf>
    <xf borderId="64" fillId="0" fontId="3" numFmtId="0" xfId="0" applyAlignment="1" applyBorder="1" applyFont="1">
      <alignment horizontal="center" shrinkToFit="0" vertical="center" wrapText="1"/>
    </xf>
    <xf borderId="63" fillId="0" fontId="3" numFmtId="0" xfId="0" applyAlignment="1" applyBorder="1" applyFont="1">
      <alignment horizontal="center" vertical="center"/>
    </xf>
    <xf borderId="63" fillId="0" fontId="3" numFmtId="0" xfId="0" applyBorder="1" applyFont="1"/>
    <xf borderId="63" fillId="20" fontId="23" numFmtId="0" xfId="0" applyAlignment="1" applyBorder="1" applyFill="1" applyFont="1">
      <alignment horizontal="center"/>
    </xf>
    <xf borderId="63" fillId="10" fontId="23" numFmtId="0" xfId="0" applyAlignment="1" applyBorder="1" applyFont="1">
      <alignment horizontal="center"/>
    </xf>
    <xf borderId="63" fillId="14" fontId="3" numFmtId="0" xfId="0" applyBorder="1" applyFont="1"/>
    <xf borderId="65" fillId="0" fontId="3" numFmtId="0" xfId="0" applyBorder="1" applyFont="1"/>
    <xf borderId="64" fillId="0" fontId="3" numFmtId="0" xfId="0" applyAlignment="1" applyBorder="1" applyFont="1">
      <alignment horizontal="center" readingOrder="0" vertical="center"/>
    </xf>
    <xf borderId="63" fillId="0" fontId="23" numFmtId="0" xfId="0" applyAlignment="1" applyBorder="1" applyFont="1">
      <alignment horizontal="center" readingOrder="0" vertical="center"/>
    </xf>
    <xf borderId="63" fillId="0" fontId="3" numFmtId="0" xfId="0" applyAlignment="1" applyBorder="1" applyFont="1">
      <alignment horizontal="left" vertical="center"/>
    </xf>
    <xf borderId="63" fillId="20" fontId="23" numFmtId="0" xfId="0" applyAlignment="1" applyBorder="1" applyFont="1">
      <alignment horizontal="center" vertical="bottom"/>
    </xf>
    <xf borderId="63" fillId="10" fontId="23" numFmtId="0" xfId="0" applyAlignment="1" applyBorder="1" applyFont="1">
      <alignment horizontal="center" vertical="bottom"/>
    </xf>
    <xf borderId="63" fillId="14" fontId="3" numFmtId="0" xfId="0" applyBorder="1" applyFont="1"/>
    <xf borderId="63" fillId="14" fontId="3" numFmtId="0" xfId="0" applyAlignment="1" applyBorder="1" applyFont="1">
      <alignment readingOrder="0"/>
    </xf>
    <xf borderId="63" fillId="0" fontId="4" numFmtId="0" xfId="0" applyBorder="1" applyFont="1"/>
    <xf borderId="63" fillId="0" fontId="3" numFmtId="0" xfId="0" applyAlignment="1" applyBorder="1" applyFont="1">
      <alignment horizontal="center" readingOrder="0" vertical="center"/>
    </xf>
    <xf borderId="57" fillId="20" fontId="3" numFmtId="0" xfId="0" applyBorder="1" applyFont="1"/>
    <xf borderId="66" fillId="21" fontId="24" numFmtId="0" xfId="0" applyAlignment="1" applyBorder="1" applyFill="1" applyFont="1">
      <alignment horizontal="left" readingOrder="0" vertical="top"/>
    </xf>
    <xf borderId="63" fillId="10" fontId="23" numFmtId="0" xfId="0" applyAlignment="1" applyBorder="1" applyFont="1">
      <alignment horizontal="center" readingOrder="0"/>
    </xf>
    <xf borderId="0" fillId="0" fontId="25" numFmtId="0" xfId="0" applyAlignment="1" applyFont="1">
      <alignment horizontal="center"/>
    </xf>
    <xf borderId="63" fillId="0" fontId="3" numFmtId="0" xfId="0" applyAlignment="1" applyBorder="1" applyFont="1">
      <alignment shrinkToFit="0" wrapText="1"/>
    </xf>
    <xf borderId="60" fillId="0" fontId="3" numFmtId="0" xfId="0" applyAlignment="1" applyBorder="1" applyFont="1">
      <alignment shrinkToFit="0" wrapText="1"/>
    </xf>
    <xf borderId="57" fillId="0" fontId="3" numFmtId="0" xfId="0" applyAlignment="1" applyBorder="1" applyFont="1">
      <alignment shrinkToFit="0" wrapText="1"/>
    </xf>
    <xf borderId="58" fillId="0" fontId="3" numFmtId="0" xfId="0" applyAlignment="1" applyBorder="1" applyFont="1">
      <alignment shrinkToFit="0" wrapText="1"/>
    </xf>
    <xf borderId="63" fillId="15" fontId="23" numFmtId="0" xfId="0" applyAlignment="1" applyBorder="1" applyFont="1">
      <alignment horizontal="center" vertical="bottom"/>
    </xf>
    <xf borderId="63" fillId="0" fontId="11" numFmtId="0" xfId="0" applyBorder="1" applyFont="1"/>
    <xf borderId="0" fillId="0" fontId="16" numFmtId="0" xfId="0" applyAlignment="1" applyFont="1">
      <alignment readingOrder="0"/>
    </xf>
    <xf borderId="63" fillId="15" fontId="3" numFmtId="0" xfId="0" applyBorder="1" applyFont="1"/>
    <xf borderId="0" fillId="0" fontId="25" numFmtId="0" xfId="0" applyAlignment="1" applyFont="1">
      <alignment horizontal="center" readingOrder="0"/>
    </xf>
    <xf borderId="7" fillId="0" fontId="3" numFmtId="0" xfId="0" applyAlignment="1" applyBorder="1" applyFont="1">
      <alignment horizontal="center" readingOrder="0" vertical="center"/>
    </xf>
    <xf borderId="63" fillId="22" fontId="3" numFmtId="0" xfId="0" applyBorder="1" applyFill="1" applyFont="1"/>
    <xf borderId="63" fillId="0" fontId="26" numFmtId="0" xfId="0" applyBorder="1" applyFont="1"/>
    <xf borderId="63" fillId="0" fontId="3" numFmtId="164" xfId="0" applyAlignment="1" applyBorder="1" applyFont="1" applyNumberFormat="1">
      <alignment horizontal="center" vertical="center"/>
    </xf>
    <xf borderId="63" fillId="0" fontId="3" numFmtId="20" xfId="0" applyAlignment="1" applyBorder="1" applyFont="1" applyNumberFormat="1">
      <alignment horizontal="center" vertical="center"/>
    </xf>
    <xf borderId="63" fillId="0" fontId="23" numFmtId="0" xfId="0" applyAlignment="1" applyBorder="1" applyFont="1">
      <alignment horizontal="center" vertical="center"/>
    </xf>
    <xf borderId="0" fillId="15" fontId="27" numFmtId="0" xfId="0" applyAlignment="1" applyFont="1">
      <alignment horizontal="center"/>
    </xf>
    <xf borderId="60" fillId="0" fontId="3" numFmtId="0" xfId="0" applyAlignment="1" applyBorder="1" applyFont="1">
      <alignment horizontal="center" vertical="center"/>
    </xf>
    <xf borderId="57" fillId="0" fontId="3" numFmtId="0" xfId="0" applyAlignment="1" applyBorder="1" applyFont="1">
      <alignment horizontal="center" vertical="center"/>
    </xf>
    <xf borderId="57" fillId="0" fontId="3" numFmtId="0" xfId="0" applyAlignment="1" applyBorder="1" applyFont="1">
      <alignment horizontal="left" shrinkToFit="0" vertical="center" wrapText="1"/>
    </xf>
    <xf borderId="66" fillId="21" fontId="24" numFmtId="0" xfId="0" applyAlignment="1" applyBorder="1" applyFont="1">
      <alignment horizontal="left" vertical="top"/>
    </xf>
    <xf borderId="63" fillId="0" fontId="3" numFmtId="21" xfId="0" applyAlignment="1" applyBorder="1" applyFont="1" applyNumberFormat="1">
      <alignment horizontal="left" vertical="center"/>
    </xf>
    <xf borderId="62" fillId="15" fontId="3" numFmtId="0" xfId="0" applyBorder="1" applyFont="1"/>
    <xf borderId="62" fillId="15" fontId="3" numFmtId="168" xfId="0" applyAlignment="1" applyBorder="1" applyFont="1" applyNumberFormat="1">
      <alignment horizontal="center"/>
    </xf>
    <xf borderId="62" fillId="15" fontId="3" numFmtId="20" xfId="0" applyBorder="1" applyFont="1" applyNumberFormat="1"/>
    <xf borderId="62" fillId="15" fontId="3" numFmtId="21" xfId="0" applyBorder="1" applyFont="1" applyNumberFormat="1"/>
    <xf borderId="62" fillId="15" fontId="3" numFmtId="0" xfId="0" applyAlignment="1" applyBorder="1" applyFont="1">
      <alignment horizontal="center"/>
    </xf>
    <xf borderId="63" fillId="15" fontId="3" numFmtId="0" xfId="0" applyAlignment="1" applyBorder="1" applyFont="1">
      <alignment horizontal="center"/>
    </xf>
    <xf borderId="62" fillId="15" fontId="3" numFmtId="0" xfId="0" applyAlignment="1" applyBorder="1" applyFont="1">
      <alignment vertical="bottom"/>
    </xf>
    <xf borderId="62" fillId="20" fontId="23" numFmtId="0" xfId="0" applyAlignment="1" applyBorder="1" applyFont="1">
      <alignment horizontal="center"/>
    </xf>
    <xf borderId="62" fillId="10" fontId="23" numFmtId="0" xfId="0" applyAlignment="1" applyBorder="1" applyFont="1">
      <alignment horizontal="center"/>
    </xf>
    <xf borderId="60" fillId="15" fontId="3" numFmtId="0" xfId="0" applyAlignment="1" applyBorder="1" applyFont="1">
      <alignment vertical="bottom"/>
    </xf>
    <xf borderId="57" fillId="15" fontId="3" numFmtId="0" xfId="0" applyAlignment="1" applyBorder="1" applyFont="1">
      <alignment vertical="bottom"/>
    </xf>
    <xf borderId="58" fillId="15" fontId="3" numFmtId="0" xfId="0" applyAlignment="1" applyBorder="1" applyFont="1">
      <alignment vertical="bottom"/>
    </xf>
    <xf borderId="58" fillId="0" fontId="8" numFmtId="0" xfId="0" applyBorder="1" applyFont="1"/>
    <xf borderId="63" fillId="0" fontId="3" numFmtId="0" xfId="0" applyAlignment="1" applyBorder="1" applyFont="1">
      <alignment horizontal="left" shrinkToFit="0" vertical="center" wrapText="1"/>
    </xf>
    <xf borderId="56" fillId="0" fontId="3" numFmtId="0" xfId="0" applyBorder="1" applyFont="1"/>
    <xf borderId="67" fillId="0" fontId="4" numFmtId="0" xfId="0" applyBorder="1" applyFont="1"/>
    <xf borderId="0" fillId="0" fontId="28" numFmtId="0" xfId="0" applyFont="1"/>
    <xf borderId="0" fillId="0" fontId="3" numFmtId="20" xfId="0" applyFont="1" applyNumberFormat="1"/>
    <xf borderId="68" fillId="23" fontId="29" numFmtId="0" xfId="0" applyBorder="1" applyFill="1" applyFont="1"/>
    <xf borderId="69" fillId="0" fontId="3" numFmtId="0" xfId="0" applyBorder="1" applyFont="1"/>
    <xf borderId="70" fillId="24" fontId="8" numFmtId="0" xfId="0" applyBorder="1" applyFill="1" applyFont="1"/>
    <xf borderId="71" fillId="0" fontId="8" numFmtId="0" xfId="0" applyBorder="1" applyFont="1"/>
    <xf borderId="0" fillId="0" fontId="8" numFmtId="0" xfId="0" applyAlignment="1" applyFont="1">
      <alignment readingOrder="0"/>
    </xf>
    <xf borderId="0" fillId="0" fontId="3" numFmtId="0" xfId="0" applyAlignment="1" applyFont="1">
      <alignment shrinkToFit="0" wrapText="1"/>
    </xf>
    <xf borderId="7" fillId="0" fontId="3" numFmtId="0" xfId="0" applyAlignment="1" applyBorder="1" applyFont="1">
      <alignment shrinkToFit="0" wrapText="1"/>
    </xf>
    <xf borderId="0" fillId="0" fontId="3" numFmtId="0" xfId="0" applyAlignment="1" applyFont="1">
      <alignment shrinkToFit="0" vertical="center" wrapText="1"/>
    </xf>
    <xf borderId="65" fillId="0" fontId="3" numFmtId="0" xfId="0" applyAlignment="1" applyBorder="1" applyFont="1">
      <alignment shrinkToFit="0" wrapText="1"/>
    </xf>
    <xf borderId="72" fillId="24" fontId="8" numFmtId="0" xfId="0" applyBorder="1" applyFont="1"/>
    <xf borderId="73" fillId="6" fontId="3" numFmtId="0" xfId="0" applyBorder="1" applyFont="1"/>
    <xf borderId="0" fillId="0" fontId="3" numFmtId="0" xfId="0" applyAlignment="1" applyFont="1">
      <alignment horizontal="center"/>
    </xf>
    <xf borderId="69" fillId="0" fontId="3" numFmtId="0" xfId="0" applyAlignment="1" applyBorder="1" applyFont="1">
      <alignment shrinkToFit="0" wrapText="1"/>
    </xf>
    <xf borderId="74" fillId="14" fontId="3" numFmtId="0" xfId="0" applyBorder="1" applyFont="1"/>
    <xf borderId="0" fillId="0" fontId="25" numFmtId="0" xfId="0" applyFont="1"/>
    <xf borderId="0" fillId="0" fontId="25" numFmtId="0" xfId="0" applyAlignment="1" applyFont="1">
      <alignment readingOrder="0"/>
    </xf>
    <xf borderId="0" fillId="0" fontId="8" numFmtId="0" xfId="0" applyAlignment="1" applyFont="1">
      <alignment readingOrder="0"/>
    </xf>
    <xf borderId="48" fillId="25" fontId="30" numFmtId="0" xfId="0" applyAlignment="1" applyBorder="1" applyFill="1" applyFont="1">
      <alignment horizontal="center" shrinkToFit="0" vertical="center" wrapText="1"/>
    </xf>
    <xf borderId="75" fillId="25" fontId="30" numFmtId="0" xfId="0" applyAlignment="1" applyBorder="1" applyFont="1">
      <alignment horizontal="center" shrinkToFit="0" vertical="center" wrapText="1"/>
    </xf>
    <xf borderId="76" fillId="25" fontId="30" numFmtId="0" xfId="0" applyAlignment="1" applyBorder="1" applyFont="1">
      <alignment horizontal="center" shrinkToFit="0" vertical="center" wrapText="1"/>
    </xf>
    <xf borderId="77" fillId="25" fontId="30" numFmtId="0" xfId="0" applyAlignment="1" applyBorder="1" applyFont="1">
      <alignment horizontal="center" shrinkToFit="0" vertical="center" wrapText="1"/>
    </xf>
    <xf borderId="78" fillId="25" fontId="30" numFmtId="0" xfId="0" applyAlignment="1" applyBorder="1" applyFont="1">
      <alignment horizontal="center" shrinkToFit="0" vertical="center" wrapText="1"/>
    </xf>
    <xf borderId="48" fillId="13" fontId="11" numFmtId="0" xfId="0" applyAlignment="1" applyBorder="1" applyFont="1">
      <alignment horizontal="center" shrinkToFit="0" vertical="center" wrapText="1"/>
    </xf>
    <xf borderId="48" fillId="14" fontId="11" numFmtId="0" xfId="0" applyAlignment="1" applyBorder="1" applyFont="1">
      <alignment horizontal="center" vertical="center"/>
    </xf>
    <xf borderId="45" fillId="14" fontId="11" numFmtId="0" xfId="0" applyAlignment="1" applyBorder="1" applyFont="1">
      <alignment horizontal="center" vertical="center"/>
    </xf>
    <xf borderId="79" fillId="26" fontId="3" numFmtId="0" xfId="0" applyBorder="1" applyFill="1" applyFont="1"/>
    <xf borderId="80" fillId="26" fontId="3" numFmtId="0" xfId="0" applyBorder="1" applyFont="1"/>
    <xf borderId="81" fillId="26" fontId="3" numFmtId="0" xfId="0" applyBorder="1" applyFont="1"/>
    <xf borderId="82" fillId="26" fontId="3" numFmtId="0" xfId="0" applyAlignment="1" applyBorder="1" applyFont="1">
      <alignment horizontal="center"/>
    </xf>
    <xf borderId="83" fillId="26" fontId="3" numFmtId="0" xfId="0" applyBorder="1" applyFont="1"/>
    <xf borderId="80" fillId="26" fontId="3" numFmtId="0" xfId="0" applyAlignment="1" applyBorder="1" applyFont="1">
      <alignment horizontal="center"/>
    </xf>
    <xf borderId="81" fillId="26" fontId="3" numFmtId="0" xfId="0" applyAlignment="1" applyBorder="1" applyFont="1">
      <alignment horizontal="center"/>
    </xf>
    <xf borderId="84" fillId="26" fontId="3" numFmtId="0" xfId="0" applyAlignment="1" applyBorder="1" applyFont="1">
      <alignment horizontal="center"/>
    </xf>
    <xf borderId="1" fillId="3" fontId="4" numFmtId="0" xfId="0" applyAlignment="1" applyBorder="1" applyFont="1">
      <alignment horizontal="center"/>
    </xf>
    <xf borderId="85" fillId="14" fontId="11" numFmtId="0" xfId="0" applyAlignment="1" applyBorder="1" applyFont="1">
      <alignment horizontal="center" vertical="center"/>
    </xf>
    <xf borderId="86" fillId="0" fontId="17" numFmtId="167" xfId="0" applyAlignment="1" applyBorder="1" applyFont="1" applyNumberFormat="1">
      <alignment horizontal="left" shrinkToFit="0" vertical="center" wrapText="1"/>
    </xf>
    <xf borderId="87" fillId="27" fontId="3" numFmtId="0" xfId="0" applyBorder="1" applyFill="1" applyFont="1"/>
    <xf borderId="51" fillId="27" fontId="3" numFmtId="0" xfId="0" applyBorder="1" applyFont="1"/>
    <xf borderId="7" fillId="27" fontId="3" numFmtId="0" xfId="0" applyBorder="1" applyFont="1"/>
    <xf borderId="82" fillId="27" fontId="3" numFmtId="0" xfId="0" applyAlignment="1" applyBorder="1" applyFont="1">
      <alignment horizontal="center"/>
    </xf>
    <xf borderId="88" fillId="27" fontId="3" numFmtId="0" xfId="0" applyBorder="1" applyFont="1"/>
    <xf borderId="51" fillId="27" fontId="3" numFmtId="0" xfId="0" applyAlignment="1" applyBorder="1" applyFont="1">
      <alignment horizontal="center"/>
    </xf>
    <xf borderId="7" fillId="27" fontId="3" numFmtId="0" xfId="0" applyAlignment="1" applyBorder="1" applyFont="1">
      <alignment horizontal="center"/>
    </xf>
    <xf borderId="29" fillId="27" fontId="3" numFmtId="0" xfId="0" applyAlignment="1" applyBorder="1" applyFont="1">
      <alignment horizontal="center"/>
    </xf>
    <xf borderId="1" fillId="28" fontId="31" numFmtId="0" xfId="0" applyAlignment="1" applyBorder="1" applyFill="1" applyFont="1">
      <alignment horizontal="left"/>
    </xf>
    <xf borderId="89" fillId="14" fontId="11" numFmtId="0" xfId="0" applyAlignment="1" applyBorder="1" applyFont="1">
      <alignment horizontal="center" vertical="center"/>
    </xf>
    <xf borderId="29" fillId="15" fontId="17" numFmtId="167" xfId="0" applyAlignment="1" applyBorder="1" applyFont="1" applyNumberFormat="1">
      <alignment horizontal="left" shrinkToFit="0" vertical="center" wrapText="1"/>
    </xf>
    <xf borderId="87" fillId="26" fontId="3" numFmtId="0" xfId="0" applyBorder="1" applyFont="1"/>
    <xf borderId="1" fillId="29" fontId="28" numFmtId="0" xfId="0" applyAlignment="1" applyBorder="1" applyFill="1" applyFont="1">
      <alignment horizontal="left"/>
    </xf>
    <xf borderId="13" fillId="14" fontId="11" numFmtId="0" xfId="0" applyAlignment="1" applyBorder="1" applyFont="1">
      <alignment horizontal="center" vertical="center"/>
    </xf>
    <xf borderId="3" fillId="0" fontId="17" numFmtId="167" xfId="0" applyAlignment="1" applyBorder="1" applyFont="1" applyNumberFormat="1">
      <alignment horizontal="left" shrinkToFit="0" vertical="center" wrapText="1"/>
    </xf>
    <xf borderId="3" fillId="0" fontId="19" numFmtId="167" xfId="0" applyAlignment="1" applyBorder="1" applyFont="1" applyNumberFormat="1">
      <alignment horizontal="left" shrinkToFit="0" vertical="center" wrapText="1"/>
    </xf>
    <xf borderId="29" fillId="15" fontId="19" numFmtId="167" xfId="0" applyAlignment="1" applyBorder="1" applyFont="1" applyNumberFormat="1">
      <alignment horizontal="left" shrinkToFit="0" vertical="center" wrapText="1"/>
    </xf>
    <xf borderId="13" fillId="14" fontId="11" numFmtId="0" xfId="0" applyAlignment="1" applyBorder="1" applyFont="1">
      <alignment horizontal="center" shrinkToFit="0" vertical="center" wrapText="1"/>
    </xf>
    <xf borderId="32" fillId="0" fontId="3" numFmtId="0" xfId="0" applyAlignment="1" applyBorder="1" applyFont="1">
      <alignment horizontal="left" shrinkToFit="0" vertical="center" wrapText="1"/>
    </xf>
    <xf borderId="90" fillId="14" fontId="11" numFmtId="0" xfId="0" applyAlignment="1" applyBorder="1" applyFont="1">
      <alignment horizontal="center" shrinkToFit="0" vertical="center" wrapText="1"/>
    </xf>
    <xf borderId="32" fillId="0" fontId="19" numFmtId="167" xfId="0" applyAlignment="1" applyBorder="1" applyFont="1" applyNumberFormat="1">
      <alignment horizontal="left" shrinkToFit="0" vertical="center" wrapText="1"/>
    </xf>
    <xf borderId="20" fillId="14" fontId="11" numFmtId="0" xfId="0" applyAlignment="1" applyBorder="1" applyFont="1">
      <alignment horizontal="center" shrinkToFit="0" vertical="center" wrapText="1"/>
    </xf>
    <xf borderId="7" fillId="26" fontId="3" numFmtId="0" xfId="0" applyBorder="1" applyFont="1"/>
    <xf borderId="7" fillId="25" fontId="32" numFmtId="0" xfId="0" applyAlignment="1" applyBorder="1" applyFont="1">
      <alignment horizontal="center" shrinkToFit="0" vertical="center" wrapText="1"/>
    </xf>
  </cellXfs>
  <cellStyles count="1">
    <cellStyle xfId="0" name="Normal" builtinId="0"/>
  </cellStyles>
  <dxfs count="13">
    <dxf>
      <font>
        <b/>
        <color theme="0"/>
      </font>
      <fill>
        <patternFill patternType="none"/>
      </fill>
      <border/>
    </dxf>
    <dxf>
      <font>
        <b/>
        <color theme="0"/>
      </font>
      <fill>
        <patternFill patternType="solid">
          <fgColor rgb="FFFF0000"/>
          <bgColor rgb="FFFF0000"/>
        </patternFill>
      </fill>
      <border/>
    </dxf>
    <dxf>
      <font>
        <color theme="0"/>
      </font>
      <fill>
        <patternFill patternType="solid">
          <fgColor rgb="FFFF0000"/>
          <bgColor rgb="FFFF0000"/>
        </patternFill>
      </fill>
      <border/>
    </dxf>
    <dxf>
      <font/>
      <fill>
        <patternFill patternType="none"/>
      </fill>
      <border/>
    </dxf>
    <dxf>
      <font/>
      <fill>
        <patternFill patternType="solid">
          <fgColor theme="0"/>
          <bgColor theme="0"/>
        </patternFill>
      </fill>
      <border/>
    </dxf>
    <dxf>
      <font/>
      <fill>
        <patternFill patternType="solid">
          <fgColor rgb="FFFEF2CB"/>
          <bgColor rgb="FFFEF2CB"/>
        </patternFill>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7E1CD"/>
          <bgColor rgb="FFB7E1CD"/>
        </patternFill>
      </fill>
      <border/>
    </dxf>
    <dxf>
      <font>
        <color theme="0"/>
      </font>
      <fill>
        <patternFill patternType="solid">
          <fgColor rgb="FF00B050"/>
          <bgColor rgb="FF00B050"/>
        </patternFill>
      </fill>
      <border/>
    </dxf>
    <dxf>
      <font>
        <b/>
        <color rgb="FF9C0006"/>
      </font>
      <fill>
        <patternFill patternType="solid">
          <fgColor rgb="FFFFC7CE"/>
          <bgColor rgb="FFFFC7CE"/>
        </patternFill>
      </fill>
      <border/>
    </dxf>
    <dxf>
      <font>
        <color rgb="FF9C5700"/>
      </font>
      <fill>
        <patternFill patternType="solid">
          <fgColor rgb="FFFFEB9C"/>
          <bgColor rgb="FFFFEB9C"/>
        </patternFill>
      </fill>
      <border/>
    </dxf>
    <dxf>
      <font>
        <b/>
        <color rgb="FFC00000"/>
      </font>
      <fill>
        <patternFill patternType="solid">
          <fgColor rgb="FFFFFDE0"/>
          <bgColor rgb="FFFFFDE0"/>
        </patternFill>
      </fill>
      <border/>
    </dxf>
  </dxfs>
  <tableStyles count="4">
    <tableStyle count="3" pivot="0" name="List of Error Codes-style">
      <tableStyleElement dxfId="4" type="headerRow"/>
      <tableStyleElement dxfId="5" type="firstRowStripe"/>
      <tableStyleElement dxfId="4" type="secondRowStripe"/>
    </tableStyle>
    <tableStyle count="3" pivot="0" name="Errors-style">
      <tableStyleElement dxfId="6" type="headerRow"/>
      <tableStyleElement dxfId="7" type="firstRowStripe"/>
      <tableStyleElement dxfId="4" type="secondRowStripe"/>
    </tableStyle>
    <tableStyle count="3" pivot="0" name="SourceData-style">
      <tableStyleElement dxfId="6" type="headerRow"/>
      <tableStyleElement dxfId="7" type="firstRowStripe"/>
      <tableStyleElement dxfId="4" type="secondRowStripe"/>
    </tableStyle>
    <tableStyle count="3" pivot="0" name="SourceData-style 2">
      <tableStyleElement dxfId="6" type="headerRow"/>
      <tableStyleElement dxfId="7" type="firstRowStripe"/>
      <tableStyleElement dxfId="4"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Error%20Count%20Analysi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tes/evaluation/Shared%20Documents/03.March/03.%20March%20Errors%20File.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Error Count Analysis"/>
    </sheetNames>
    <sheetDataSet>
      <sheetData sheetId="0"/>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Analysis"/>
      <sheetName val="SourceData"/>
      <sheetName val="Errors"/>
      <sheetName val="Error Count"/>
      <sheetName val="Error Count Analysis"/>
      <sheetName val="List of Error Codes"/>
    </sheetNames>
    <sheetDataSet>
      <sheetData sheetId="0"/>
      <sheetData sheetId="1"/>
      <sheetData sheetId="2"/>
      <sheetData sheetId="3"/>
      <sheetData sheetId="4"/>
      <sheetData sheetId="5"/>
    </sheetDataSet>
  </externalBook>
</externalLink>
</file>

<file path=xl/tables/table1.xml><?xml version="1.0" encoding="utf-8"?>
<table xmlns="http://schemas.openxmlformats.org/spreadsheetml/2006/main" ref="A1:B40" displayName="Table_1" name="Table_1" id="1">
  <tableColumns count="2">
    <tableColumn name="Error codes" id="1"/>
    <tableColumn name="Error description" id="2"/>
  </tableColumns>
  <tableStyleInfo name="List of Error Codes-style" showColumnStripes="0" showFirstColumn="1" showLastColumn="1" showRowStripes="1"/>
</table>
</file>

<file path=xl/tables/table2.xml><?xml version="1.0" encoding="utf-8"?>
<table xmlns="http://schemas.openxmlformats.org/spreadsheetml/2006/main" ref="A1:AC3008" displayName="Table_2" name="Table_2" id="2">
  <tableColumns count="29">
    <tableColumn name="Column1" id="1"/>
    <tableColumn name="Column2" id="2"/>
    <tableColumn name="Column22" id="3"/>
    <tableColumn name="Column3" id="4"/>
    <tableColumn name="Column4" id="5"/>
    <tableColumn name="Column42" id="6"/>
    <tableColumn name="Column43" id="7"/>
    <tableColumn name="Column5" id="8"/>
    <tableColumn name="Column6" id="9"/>
    <tableColumn name="Column7" id="10"/>
    <tableColumn name="Column8" id="11"/>
    <tableColumn name="Column82" id="12"/>
    <tableColumn name="Column9" id="13"/>
    <tableColumn name="Column10" id="14"/>
    <tableColumn name="Column11" id="15"/>
    <tableColumn name="Column112" id="16"/>
    <tableColumn name="Column113" id="17"/>
    <tableColumn name="Column12" id="18"/>
    <tableColumn name="Column13" id="19"/>
    <tableColumn name="Column14" id="20"/>
    <tableColumn name="Column15" id="21"/>
    <tableColumn name="Column16" id="22"/>
    <tableColumn name="&lt;" id="23"/>
    <tableColumn name="Column17" id="24"/>
    <tableColumn name="Column18" id="25"/>
    <tableColumn name="Column19" id="26"/>
    <tableColumn name="Column20" id="27"/>
    <tableColumn name="Column21" id="28"/>
    <tableColumn name="Column212" id="29"/>
  </tableColumns>
  <tableStyleInfo name="Errors-style" showColumnStripes="0" showFirstColumn="1" showLastColumn="1" showRowStripes="1"/>
</table>
</file>

<file path=xl/tables/table3.xml><?xml version="1.0" encoding="utf-8"?>
<table xmlns="http://schemas.openxmlformats.org/spreadsheetml/2006/main" ref="U2:V190" displayName="Table_3" name="Table_3" id="3">
  <tableColumns count="2">
    <tableColumn name="Names" id="1"/>
    <tableColumn name="Dealer Names" id="2"/>
  </tableColumns>
  <tableStyleInfo name="SourceData-style" showColumnStripes="0" showFirstColumn="1" showLastColumn="1" showRowStripes="1"/>
</table>
</file>

<file path=xl/tables/table4.xml><?xml version="1.0" encoding="utf-8"?>
<table xmlns="http://schemas.openxmlformats.org/spreadsheetml/2006/main" ref="Y2:Z46" displayName="Table_4" name="Table_4" id="4">
  <tableColumns count="2">
    <tableColumn name="Code" id="1"/>
    <tableColumn name="Game" id="2"/>
  </tableColumns>
  <tableStyleInfo name="SourceDat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players.fm/" TargetMode="External"/><Relationship Id="rId2" Type="http://schemas.openxmlformats.org/officeDocument/2006/relationships/drawing" Target="../drawings/drawing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3.xml"/><Relationship Id="rId5"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43"/>
    <col customWidth="1" min="2" max="5" width="12.71"/>
    <col customWidth="1" min="6" max="6" width="6.71"/>
    <col customWidth="1" min="7" max="7" width="14.71"/>
    <col customWidth="1" min="8" max="11" width="12.71"/>
    <col customWidth="1" min="12" max="12" width="6.71"/>
    <col customWidth="1" min="13" max="15" width="17.43"/>
    <col customWidth="1" min="16" max="16" width="14.14"/>
    <col customWidth="1" min="17" max="17" width="12.71"/>
    <col customWidth="1" min="18" max="18" width="12.86"/>
    <col customWidth="1" min="19" max="23" width="12.71"/>
    <col customWidth="1" min="24" max="27" width="8.71"/>
    <col customWidth="1" min="28" max="28" width="10.71"/>
    <col customWidth="1" min="29" max="30" width="8.71"/>
    <col customWidth="1" min="31" max="31" width="19.14"/>
    <col customWidth="1" min="32" max="62" width="4.71"/>
    <col customWidth="1" min="63" max="63" width="4.0"/>
    <col customWidth="1" min="64" max="64" width="6.71"/>
    <col customWidth="1" min="65" max="65" width="4.0"/>
    <col customWidth="1" min="66" max="66" width="5.86"/>
    <col customWidth="1" min="67" max="67" width="13.43"/>
    <col customWidth="1" min="68" max="69" width="4.0"/>
    <col customWidth="1" min="70" max="70" width="10.86"/>
    <col customWidth="1" min="71" max="71" width="18.57"/>
    <col customWidth="1" min="72" max="102" width="3.71"/>
    <col customWidth="1" min="103" max="106" width="8.71"/>
    <col customWidth="1" min="107" max="107" width="13.43"/>
  </cols>
  <sheetData>
    <row r="1" ht="44.25" customHeight="1">
      <c r="A1" s="1" t="s">
        <v>0</v>
      </c>
      <c r="B1" s="2"/>
      <c r="C1" s="2"/>
      <c r="D1" s="2"/>
      <c r="E1" s="3"/>
      <c r="G1" s="1" t="s">
        <v>1</v>
      </c>
      <c r="H1" s="2"/>
      <c r="I1" s="2"/>
      <c r="J1" s="2"/>
      <c r="K1" s="3"/>
      <c r="M1" s="1" t="s">
        <v>2</v>
      </c>
      <c r="N1" s="2"/>
      <c r="O1" s="2"/>
      <c r="P1" s="2"/>
      <c r="Q1" s="2"/>
      <c r="R1" s="3"/>
      <c r="AE1" s="4"/>
      <c r="AF1" s="5" t="s">
        <v>3</v>
      </c>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7"/>
      <c r="BL1" s="8" t="s">
        <v>4</v>
      </c>
      <c r="BM1" s="7"/>
      <c r="BN1" s="9" t="s">
        <v>5</v>
      </c>
      <c r="BO1" s="7"/>
      <c r="BP1" s="7"/>
      <c r="BQ1" s="7"/>
      <c r="BT1" s="10" t="str">
        <f>$AF$2</f>
        <v>01.01.2025</v>
      </c>
      <c r="BU1" s="11" t="str">
        <f>$AG$2</f>
        <v>02.01.2025</v>
      </c>
      <c r="BV1" s="10" t="str">
        <f>$AH$2</f>
        <v>03.01.2025</v>
      </c>
      <c r="BW1" s="11" t="str">
        <f>$AI$2</f>
        <v>04.01.2025</v>
      </c>
      <c r="BX1" s="10" t="str">
        <f>$AJ$2</f>
        <v>05.01.2025</v>
      </c>
      <c r="BY1" s="11" t="str">
        <f>$AK$2</f>
        <v>06.01.2025</v>
      </c>
      <c r="BZ1" s="10" t="str">
        <f>$AL$2</f>
        <v>07.9.2025</v>
      </c>
      <c r="CA1" s="11" t="str">
        <f>$AM$2</f>
        <v>08.01.2025</v>
      </c>
      <c r="CB1" s="10" t="str">
        <f>$AN$2</f>
        <v>09.01.2025</v>
      </c>
      <c r="CC1" s="11" t="str">
        <f>$AO$2</f>
        <v>10.01.2025</v>
      </c>
      <c r="CD1" s="10" t="str">
        <f>$AP$2</f>
        <v>11.01.2025</v>
      </c>
      <c r="CE1" s="11" t="str">
        <f>$AQ$2</f>
        <v>12.01.2025</v>
      </c>
      <c r="CF1" s="10" t="str">
        <f>$AR$2</f>
        <v>13.01.2025</v>
      </c>
      <c r="CG1" s="11" t="str">
        <f>$AS$2</f>
        <v>14.01.2025</v>
      </c>
      <c r="CH1" s="10" t="str">
        <f>$AT$2</f>
        <v>15.01.2025</v>
      </c>
      <c r="CI1" s="11" t="str">
        <f>$AU$2</f>
        <v>16.01.2025</v>
      </c>
      <c r="CJ1" s="10" t="str">
        <f>$AV$2</f>
        <v>17.01.2025</v>
      </c>
      <c r="CK1" s="11" t="str">
        <f>$AW$2</f>
        <v>18.01.2025</v>
      </c>
      <c r="CL1" s="10" t="str">
        <f>$AX$2</f>
        <v>19.01.2025</v>
      </c>
      <c r="CM1" s="11" t="str">
        <f>$AY$2</f>
        <v>20.01.2025</v>
      </c>
      <c r="CN1" s="10" t="str">
        <f>$AZ$2</f>
        <v>21.01.2025</v>
      </c>
      <c r="CO1" s="11" t="str">
        <f>$BA$2</f>
        <v>22.01.2025</v>
      </c>
      <c r="CP1" s="10" t="str">
        <f>$BB$2</f>
        <v>23.01.2025</v>
      </c>
      <c r="CQ1" s="11" t="str">
        <f>$BC$2</f>
        <v>24.01.2025</v>
      </c>
      <c r="CR1" s="10" t="str">
        <f>$BD$2</f>
        <v>25.01.2025</v>
      </c>
      <c r="CS1" s="11" t="str">
        <f>$BE$2</f>
        <v>26.01.2025</v>
      </c>
      <c r="CT1" s="10" t="str">
        <f>$BF$2</f>
        <v>27.01.2025</v>
      </c>
      <c r="CU1" s="11" t="str">
        <f>$BG$2</f>
        <v>28.01.2025</v>
      </c>
      <c r="CV1" s="10" t="str">
        <f>$BH$2</f>
        <v>29.01.2025</v>
      </c>
      <c r="CW1" s="11" t="str">
        <f>$BI$2</f>
        <v>30.01.2025</v>
      </c>
      <c r="CX1" s="10" t="str">
        <f>$BJ$2</f>
        <v>31.01.2025</v>
      </c>
      <c r="CZ1" s="12" t="s">
        <v>6</v>
      </c>
      <c r="DB1" s="13" t="s">
        <v>7</v>
      </c>
    </row>
    <row r="2" ht="57.75" customHeight="1">
      <c r="A2" s="14" t="s">
        <v>8</v>
      </c>
      <c r="B2" s="15" t="s">
        <v>9</v>
      </c>
      <c r="C2" s="16" t="s">
        <v>10</v>
      </c>
      <c r="D2" s="17" t="s">
        <v>11</v>
      </c>
      <c r="E2" s="17" t="s">
        <v>12</v>
      </c>
      <c r="G2" s="18" t="s">
        <v>13</v>
      </c>
      <c r="H2" s="19" t="s">
        <v>14</v>
      </c>
      <c r="I2" s="20" t="s">
        <v>15</v>
      </c>
      <c r="J2" s="20" t="s">
        <v>16</v>
      </c>
      <c r="K2" s="20" t="s">
        <v>17</v>
      </c>
      <c r="M2" s="18" t="s">
        <v>13</v>
      </c>
      <c r="N2" s="19" t="s">
        <v>18</v>
      </c>
      <c r="O2" s="21" t="s">
        <v>19</v>
      </c>
      <c r="P2" s="22" t="s">
        <v>20</v>
      </c>
      <c r="Q2" s="22" t="s">
        <v>21</v>
      </c>
      <c r="R2" s="22" t="s">
        <v>22</v>
      </c>
      <c r="AE2" s="23" t="s">
        <v>23</v>
      </c>
      <c r="AF2" s="24" t="s">
        <v>24</v>
      </c>
      <c r="AG2" s="25" t="s">
        <v>25</v>
      </c>
      <c r="AH2" s="24" t="s">
        <v>26</v>
      </c>
      <c r="AI2" s="25" t="s">
        <v>27</v>
      </c>
      <c r="AJ2" s="24" t="s">
        <v>28</v>
      </c>
      <c r="AK2" s="25" t="s">
        <v>29</v>
      </c>
      <c r="AL2" s="24" t="s">
        <v>30</v>
      </c>
      <c r="AM2" s="25" t="s">
        <v>31</v>
      </c>
      <c r="AN2" s="24" t="s">
        <v>32</v>
      </c>
      <c r="AO2" s="25" t="s">
        <v>33</v>
      </c>
      <c r="AP2" s="24" t="s">
        <v>34</v>
      </c>
      <c r="AQ2" s="25" t="s">
        <v>35</v>
      </c>
      <c r="AR2" s="24" t="s">
        <v>36</v>
      </c>
      <c r="AS2" s="25" t="s">
        <v>37</v>
      </c>
      <c r="AT2" s="24" t="s">
        <v>38</v>
      </c>
      <c r="AU2" s="25" t="s">
        <v>39</v>
      </c>
      <c r="AV2" s="24" t="s">
        <v>40</v>
      </c>
      <c r="AW2" s="25" t="s">
        <v>41</v>
      </c>
      <c r="AX2" s="24" t="s">
        <v>42</v>
      </c>
      <c r="AY2" s="25" t="s">
        <v>43</v>
      </c>
      <c r="AZ2" s="24" t="s">
        <v>44</v>
      </c>
      <c r="BA2" s="25" t="s">
        <v>45</v>
      </c>
      <c r="BB2" s="24" t="s">
        <v>46</v>
      </c>
      <c r="BC2" s="25" t="s">
        <v>47</v>
      </c>
      <c r="BD2" s="24" t="s">
        <v>48</v>
      </c>
      <c r="BE2" s="25" t="s">
        <v>49</v>
      </c>
      <c r="BF2" s="24" t="s">
        <v>50</v>
      </c>
      <c r="BG2" s="25" t="s">
        <v>51</v>
      </c>
      <c r="BH2" s="24" t="s">
        <v>52</v>
      </c>
      <c r="BI2" s="25" t="s">
        <v>53</v>
      </c>
      <c r="BJ2" s="24" t="s">
        <v>54</v>
      </c>
      <c r="BK2" s="26"/>
      <c r="BL2" s="27"/>
      <c r="BM2" s="26"/>
      <c r="BN2" s="28"/>
      <c r="BO2" s="29" t="s">
        <v>23</v>
      </c>
      <c r="BP2" s="26"/>
      <c r="BQ2" s="26"/>
      <c r="BS2" s="18" t="s">
        <v>23</v>
      </c>
      <c r="BT2" s="30" t="s">
        <v>55</v>
      </c>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Z2" s="27"/>
      <c r="DB2" s="28"/>
      <c r="DC2" s="31" t="s">
        <v>23</v>
      </c>
    </row>
    <row r="3" ht="15.0" customHeight="1">
      <c r="A3" s="32" t="s">
        <v>56</v>
      </c>
      <c r="B3" s="33">
        <f>COUNTIF(Errors!$I$3:$I$3008,$A3)</f>
        <v>45</v>
      </c>
      <c r="C3" s="34">
        <f>COUNTIFS(Errors!$I$3:$I$3008,$A3,Errors!$J$3:$J$3008,"Bacc")</f>
        <v>43</v>
      </c>
      <c r="D3" s="34">
        <f>COUNTIFS(Errors!$I$3:$I$3008,$A3,Errors!$J$3:$J$3008,"Rou")</f>
        <v>2</v>
      </c>
      <c r="E3" s="34">
        <f>COUNTIFS(Errors!$I$3:$I$3008,$A3,Errors!$J$3:$J$3008,"Sic Bo")</f>
        <v>0</v>
      </c>
      <c r="G3" s="35"/>
      <c r="H3" s="33">
        <f>COUNTIF(Errors!$F$3:$F$3008,$G3)</f>
        <v>0</v>
      </c>
      <c r="I3" s="34">
        <f>COUNTIFS(Errors!$F$3:$F$3008,$G3,Errors!$I$3:$I$3008,"TV*")</f>
        <v>0</v>
      </c>
      <c r="J3" s="34">
        <f>COUNTIFS(Errors!$F$3:$F$3008,$G3,Errors!$I$3:$I$3008,"&lt;&gt;TV*")</f>
        <v>0</v>
      </c>
      <c r="K3" s="34">
        <f>COUNTIFS(Errors!$F$3:$F$3008,$G3,Errors!$Q$3:$Q$3008,"yes")</f>
        <v>0</v>
      </c>
      <c r="M3" s="35"/>
      <c r="N3" s="33">
        <f>COUNTIFS(Errors!$O$3:$O$3008,"Yes",Errors!$F$3:$F$3008,$M3)+COUNTIFS(Errors!$P$3:$P$3008,"Yes",Errors!$F$3:$F$3008,$M3)</f>
        <v>0</v>
      </c>
      <c r="O3" s="36">
        <f>COUNTIFS(Errors!$O$3:$O$3008,"Yes",Errors!$F$3:$F$3008,$M3,Errors!$I$3:$I$3008,"TV*")+COUNTIFS(Errors!$P$3:$P$3008,"Yes",Errors!$F$3:$F$3008,$M3,Errors!$I$3:$I$3008,"TV*")</f>
        <v>0</v>
      </c>
      <c r="P3" s="34">
        <f>COUNTIFS(Errors!$O$3:$O$3008,"Yes",Errors!$F$3:$F$3008,$M3,Errors!$I$3:$I$3008,"&lt;&gt;TV*")+COUNTIFS(Errors!$P$3:$P$3008,"Yes",Errors!$F$3:$F$3008,$M3,Errors!$I$3:$I$3008,"&lt;&gt;TV*")</f>
        <v>0</v>
      </c>
      <c r="Q3" s="35">
        <f>COUNTIFS(Errors!$F$3:$F$3008,$M3,Errors!$O$3:$O$3008,"yes")</f>
        <v>0</v>
      </c>
      <c r="R3" s="35">
        <f>COUNTIFS(Errors!$F$3:$F$3008,$M3,Errors!$P$3:$P$3008,"yes")</f>
        <v>0</v>
      </c>
      <c r="AE3" s="35"/>
      <c r="AF3" s="37">
        <f>COUNTIFS(Errors!$F:$F,Analysis!$AE32,Errors!$D:$D,Analysis!$AF$2)</f>
        <v>0</v>
      </c>
      <c r="AG3" s="34">
        <f>COUNTIFS(Errors!$F:$F,Analysis!$AE32,Errors!$D:$D,Analysis!$AG$2)</f>
        <v>0</v>
      </c>
      <c r="AH3" s="34">
        <f>COUNTIFS(Errors!$F:$F,Analysis!$AE32,Errors!$D:$D,Analysis!$AH$2)</f>
        <v>0</v>
      </c>
      <c r="AI3" s="34">
        <f>COUNTIFS(Errors!$F:$F,Analysis!$AE32,Errors!$D:$D,Analysis!$AI$2)</f>
        <v>0</v>
      </c>
      <c r="AJ3" s="34">
        <f>COUNTIFS(Errors!$F:$F,Analysis!$AE32,Errors!$D:$D,Analysis!$AJ$2)</f>
        <v>0</v>
      </c>
      <c r="AK3" s="34">
        <f>COUNTIFS(Errors!$F:$F,Analysis!$AE32,Errors!$D:$D,Analysis!$AK$2)</f>
        <v>0</v>
      </c>
      <c r="AL3" s="34">
        <f>COUNTIFS(Errors!$F:$F,Analysis!$AE32,Errors!$D:$D,Analysis!$AL$2)</f>
        <v>0</v>
      </c>
      <c r="AM3" s="34">
        <f>COUNTIFS(Errors!$F:$F,Analysis!$AE32,Errors!$D:$D,Analysis!$AM$2)</f>
        <v>0</v>
      </c>
      <c r="AN3" s="34">
        <f>COUNTIFS(Errors!$F:$F,Analysis!$AE32,Errors!$D:$D,Analysis!$AN$2)</f>
        <v>0</v>
      </c>
      <c r="AO3" s="34">
        <f>COUNTIFS(Errors!$F:$F,Analysis!$AE32,Errors!$D:$D,Analysis!$AO$2)</f>
        <v>0</v>
      </c>
      <c r="AP3" s="34">
        <f>COUNTIFS(Errors!$F:$F,Analysis!$AE32,Errors!$D:$D,Analysis!$AP$2)</f>
        <v>0</v>
      </c>
      <c r="AQ3" s="34">
        <f>COUNTIFS(Errors!$F:$F,Analysis!$AE32,Errors!$D:$D,Analysis!$AQ$2)</f>
        <v>0</v>
      </c>
      <c r="AR3" s="34">
        <f>COUNTIFS(Errors!$F:$F,Analysis!$AE32,Errors!$D:$D,Analysis!$AR$2)</f>
        <v>0</v>
      </c>
      <c r="AS3" s="34">
        <f>COUNTIFS(Errors!$F:$F,Analysis!$AE32,Errors!$D:$D,Analysis!$AS$2)</f>
        <v>0</v>
      </c>
      <c r="AT3" s="34">
        <f>COUNTIFS(Errors!$F:$F,Analysis!$AE32,Errors!$D:$D,Analysis!$AT$2)</f>
        <v>0</v>
      </c>
      <c r="AU3" s="34">
        <f>COUNTIFS(Errors!$F:$F,Analysis!$AE32,Errors!$D:$D,Analysis!$AU$2)</f>
        <v>0</v>
      </c>
      <c r="AV3" s="34">
        <f>COUNTIFS(Errors!$F:$F,Analysis!$AE32,Errors!$D:$D,Analysis!$AV$2)</f>
        <v>0</v>
      </c>
      <c r="AW3" s="34">
        <f>COUNTIFS(Errors!$F:$F,Analysis!$AE32,Errors!$D:$D,Analysis!$AW$2)</f>
        <v>0</v>
      </c>
      <c r="AX3" s="34">
        <f>COUNTIFS(Errors!$F:$F,Analysis!$AE32,Errors!$D:$D,Analysis!$AX$2)</f>
        <v>0</v>
      </c>
      <c r="AY3" s="34">
        <f>COUNTIFS(Errors!$F:$F,Analysis!$AE32,Errors!$D:$D,Analysis!$AY$2)</f>
        <v>0</v>
      </c>
      <c r="AZ3" s="34">
        <f>COUNTIFS(Errors!$F:$F,Analysis!$AE32,Errors!$D:$D,Analysis!$AZ$2)</f>
        <v>0</v>
      </c>
      <c r="BA3" s="34">
        <f>COUNTIFS(Errors!$F:$F,Analysis!$AE32,Errors!$D:$D,Analysis!$BA$2)</f>
        <v>0</v>
      </c>
      <c r="BB3" s="34">
        <f>COUNTIFS(Errors!$F:$F,Analysis!$AE32,Errors!$D:$D,Analysis!$BB$2)</f>
        <v>0</v>
      </c>
      <c r="BC3" s="34">
        <f>COUNTIFS(Errors!$F:$F,Analysis!$AE32,Errors!$D:$D,Analysis!$BC$2)</f>
        <v>0</v>
      </c>
      <c r="BD3" s="34">
        <f>COUNTIFS(Errors!$F:$F,Analysis!$AE32,Errors!$D:$D,Analysis!$BD$2)</f>
        <v>0</v>
      </c>
      <c r="BE3" s="34">
        <f>COUNTIFS(Errors!$F:$F,Analysis!$AE32,Errors!$D:$D,Analysis!$BE$2)</f>
        <v>0</v>
      </c>
      <c r="BF3" s="34">
        <f>COUNTIFS(Errors!$F:$F,Analysis!$AE32,Errors!$D:$D,Analysis!$BF$2)</f>
        <v>0</v>
      </c>
      <c r="BG3" s="34">
        <f>COUNTIFS(Errors!$F:$F,Analysis!$AE32,Errors!$D:$D,Analysis!$BG$2)</f>
        <v>0</v>
      </c>
      <c r="BH3" s="34">
        <f>COUNTIFS(Errors!$F:$F,Analysis!$AE32,Errors!$D:$D,Analysis!$BH$2)</f>
        <v>0</v>
      </c>
      <c r="BI3" s="34">
        <f>COUNTIFS(Errors!$F:$F,Analysis!$AE32,Errors!$D:$D,Analysis!$BI$2)</f>
        <v>0</v>
      </c>
      <c r="BJ3" s="34">
        <f>COUNTIFS(Errors!$F:$F,Analysis!$AE32,Errors!$D:$D,Analysis!$BJ$2)</f>
        <v>0</v>
      </c>
      <c r="BK3" s="38"/>
      <c r="BL3" s="39">
        <f t="shared" ref="BL3:BL25" si="1">SUM(AF3:BJ3)</f>
        <v>0</v>
      </c>
      <c r="BM3" s="38"/>
      <c r="BN3" s="40">
        <f t="shared" ref="BN3:BN25" si="2">AVERAGE(AF3:BJ3)</f>
        <v>0</v>
      </c>
      <c r="BO3" s="41" t="s">
        <v>57</v>
      </c>
      <c r="BP3" s="38"/>
      <c r="BQ3" s="38"/>
      <c r="BS3" s="35" t="s">
        <v>57</v>
      </c>
      <c r="BT3" s="34">
        <f>COUNTIFS(Errors!$D:$D,Analysis!BT$1,Errors!$F:$F,Analysis!$BS3,Errors!$O:$O,"YES")</f>
        <v>0</v>
      </c>
      <c r="BU3" s="34">
        <f>COUNTIFS(Errors!$D:$D,Analysis!BU$1,Errors!$F:$F,Analysis!$BS3,Errors!$O:$O,"YES")</f>
        <v>0</v>
      </c>
      <c r="BV3" s="34">
        <f>COUNTIFS(Errors!$D:$D,Analysis!BV$1,Errors!$F:$F,Analysis!$BS3,Errors!$O:$O,"YES")</f>
        <v>0</v>
      </c>
      <c r="BW3" s="34">
        <f>COUNTIFS(Errors!$D:$D,Analysis!BW$1,Errors!$F:$F,Analysis!$BS3,Errors!$O:$O,"YES")</f>
        <v>0</v>
      </c>
      <c r="BX3" s="34">
        <f>COUNTIFS(Errors!$D:$D,Analysis!BX$1,Errors!$F:$F,Analysis!$BS3,Errors!$O:$O,"YES")</f>
        <v>0</v>
      </c>
      <c r="BY3" s="34">
        <f>COUNTIFS(Errors!$D:$D,Analysis!BY$1,Errors!$F:$F,Analysis!$BS3,Errors!$O:$O,"YES")</f>
        <v>0</v>
      </c>
      <c r="BZ3" s="34">
        <f>COUNTIFS(Errors!$D:$D,Analysis!BZ$1,Errors!$F:$F,Analysis!$BS3,Errors!$O:$O,"YES")</f>
        <v>0</v>
      </c>
      <c r="CA3" s="34">
        <f>COUNTIFS(Errors!$D:$D,Analysis!CA$1,Errors!$F:$F,Analysis!$BS3,Errors!$O:$O,"YES")</f>
        <v>0</v>
      </c>
      <c r="CB3" s="34">
        <f>COUNTIFS(Errors!$D:$D,Analysis!CB$1,Errors!$F:$F,Analysis!$BS3,Errors!$O:$O,"YES")</f>
        <v>0</v>
      </c>
      <c r="CC3" s="34">
        <f>COUNTIFS(Errors!$D:$D,Analysis!CC$1,Errors!$F:$F,Analysis!$BS3,Errors!$O:$O,"YES")</f>
        <v>0</v>
      </c>
      <c r="CD3" s="34">
        <f>COUNTIFS(Errors!$D:$D,Analysis!CD$1,Errors!$F:$F,Analysis!$BS3,Errors!$O:$O,"YES")</f>
        <v>0</v>
      </c>
      <c r="CE3" s="34">
        <f>COUNTIFS(Errors!$D:$D,Analysis!CE$1,Errors!$F:$F,Analysis!$BS3,Errors!$O:$O,"YES")</f>
        <v>0</v>
      </c>
      <c r="CF3" s="34">
        <f>COUNTIFS(Errors!$D:$D,Analysis!CF$1,Errors!$F:$F,Analysis!$BS3,Errors!$O:$O,"YES")</f>
        <v>0</v>
      </c>
      <c r="CG3" s="34">
        <f>COUNTIFS(Errors!$D:$D,Analysis!CG$1,Errors!$F:$F,Analysis!$BS3,Errors!$O:$O,"YES")</f>
        <v>0</v>
      </c>
      <c r="CH3" s="34">
        <f>COUNTIFS(Errors!$D:$D,Analysis!CH$1,Errors!$F:$F,Analysis!$BS3,Errors!$O:$O,"YES")</f>
        <v>0</v>
      </c>
      <c r="CI3" s="34">
        <f>COUNTIFS(Errors!$D:$D,Analysis!CI$1,Errors!$F:$F,Analysis!$BS3,Errors!$O:$O,"YES")</f>
        <v>0</v>
      </c>
      <c r="CJ3" s="34">
        <f>COUNTIFS(Errors!$D:$D,Analysis!CJ$1,Errors!$F:$F,Analysis!$BS3,Errors!$O:$O,"YES")</f>
        <v>0</v>
      </c>
      <c r="CK3" s="34">
        <f>COUNTIFS(Errors!$D:$D,Analysis!CK$1,Errors!$F:$F,Analysis!$BS3,Errors!$O:$O,"YES")</f>
        <v>0</v>
      </c>
      <c r="CL3" s="34">
        <f>COUNTIFS(Errors!$D:$D,Analysis!CL$1,Errors!$F:$F,Analysis!$BS3,Errors!$O:$O,"YES")</f>
        <v>0</v>
      </c>
      <c r="CM3" s="34">
        <f>COUNTIFS(Errors!$D:$D,Analysis!CM$1,Errors!$F:$F,Analysis!$BS3,Errors!$O:$O,"YES")</f>
        <v>0</v>
      </c>
      <c r="CN3" s="34">
        <f>COUNTIFS(Errors!$D:$D,Analysis!CN$1,Errors!$F:$F,Analysis!$BS3,Errors!$O:$O,"YES")</f>
        <v>0</v>
      </c>
      <c r="CO3" s="34">
        <f>COUNTIFS(Errors!$D:$D,Analysis!CO$1,Errors!$F:$F,Analysis!$BS3,Errors!$O:$O,"YES")</f>
        <v>0</v>
      </c>
      <c r="CP3" s="34">
        <f>COUNTIFS(Errors!$D:$D,Analysis!CP$1,Errors!$F:$F,Analysis!$BS3,Errors!$O:$O,"YES")</f>
        <v>0</v>
      </c>
      <c r="CQ3" s="34">
        <f>COUNTIFS(Errors!$D:$D,Analysis!CQ$1,Errors!$F:$F,Analysis!$BS3,Errors!$O:$O,"YES")</f>
        <v>0</v>
      </c>
      <c r="CR3" s="34">
        <f>COUNTIFS(Errors!$D:$D,Analysis!CR$1,Errors!$F:$F,Analysis!$BS3,Errors!$O:$O,"YES")</f>
        <v>0</v>
      </c>
      <c r="CS3" s="34">
        <f>COUNTIFS(Errors!$D:$D,Analysis!CS$1,Errors!$F:$F,Analysis!$BS3,Errors!$O:$O,"YES")</f>
        <v>0</v>
      </c>
      <c r="CT3" s="34">
        <f>COUNTIFS(Errors!$D:$D,Analysis!CT$1,Errors!$F:$F,Analysis!$BS3,Errors!$O:$O,"YES")</f>
        <v>0</v>
      </c>
      <c r="CU3" s="34">
        <f>COUNTIFS(Errors!$D:$D,Analysis!CU$1,Errors!$F:$F,Analysis!$BS3,Errors!$O:$O,"YES")</f>
        <v>0</v>
      </c>
      <c r="CV3" s="34">
        <f>COUNTIFS(Errors!$D:$D,Analysis!CV$1,Errors!$F:$F,Analysis!$BS3,Errors!$O:$O,"YES")</f>
        <v>0</v>
      </c>
      <c r="CW3" s="34">
        <f>COUNTIFS(Errors!$D:$D,Analysis!CW$1,Errors!$F:$F,Analysis!$BS3,Errors!$O:$O,"YES")</f>
        <v>0</v>
      </c>
      <c r="CX3" s="34">
        <f>COUNTIFS(Errors!$D:$D,Analysis!CX$1,Errors!$F:$F,Analysis!$BS3,Errors!$O:$O,"YES")</f>
        <v>0</v>
      </c>
      <c r="CZ3" s="39">
        <f t="shared" ref="CZ3:CZ25" si="3">SUM(BT3:CX3)</f>
        <v>0</v>
      </c>
      <c r="DB3" s="42">
        <f t="shared" ref="DB3:DB25" si="4">AVERAGE(BT3:CX3)</f>
        <v>0</v>
      </c>
      <c r="DC3" s="41" t="s">
        <v>57</v>
      </c>
    </row>
    <row r="4" ht="15.75" customHeight="1">
      <c r="A4" s="43" t="s">
        <v>58</v>
      </c>
      <c r="B4" s="33">
        <f>COUNTIF(Errors!$I$3:$I$3008,$A4)</f>
        <v>11</v>
      </c>
      <c r="C4" s="34">
        <f>COUNTIFS(Errors!$I$3:$I$3008,$A4,Errors!$J$3:$J$3008,"Bacc")</f>
        <v>0</v>
      </c>
      <c r="D4" s="34">
        <f>COUNTIFS(Errors!$I$3:$I$3008,$A4,Errors!$J$3:$J$3008,"Rou")</f>
        <v>11</v>
      </c>
      <c r="E4" s="34">
        <f>COUNTIFS(Errors!$I$3:$I$3008,$A4,Errors!$J$3:$J$3008,"Sic Bo")</f>
        <v>0</v>
      </c>
      <c r="G4" s="35"/>
      <c r="H4" s="33">
        <f>COUNTIF(Errors!$F$3:$F$3008,$G4)</f>
        <v>0</v>
      </c>
      <c r="I4" s="34">
        <f>COUNTIFS(Errors!$F$3:$F$3008,$G4,Errors!$I$3:$I$3008,"TV*")</f>
        <v>0</v>
      </c>
      <c r="J4" s="34">
        <f>COUNTIFS(Errors!$F$3:$F$3008,$G4,Errors!$I$3:$I$3008,"&lt;&gt;TV*")</f>
        <v>0</v>
      </c>
      <c r="K4" s="34">
        <f>COUNTIFS(Errors!$F$3:$F$3008,$G4,Errors!$Q$3:$Q$3008,"yes")</f>
        <v>0</v>
      </c>
      <c r="M4" s="35"/>
      <c r="N4" s="33">
        <f>COUNTIFS(Errors!$O$3:$O$3008,"Yes",Errors!$F$3:$F$3008,$M4)+COUNTIFS(Errors!$P$3:$P$3008,"Yes",Errors!$F$3:$F$3008,$M4)</f>
        <v>0</v>
      </c>
      <c r="O4" s="36">
        <f>COUNTIFS(Errors!$O$3:$O$3008,"Yes",Errors!$F$3:$F$3008,$M4,Errors!$I$3:$I$3008,"TV*")+COUNTIFS(Errors!$P$3:$P$3008,"Yes",Errors!$F$3:$F$3008,$M4,Errors!$I$3:$I$3008,"TV*")</f>
        <v>0</v>
      </c>
      <c r="P4" s="34">
        <f>COUNTIFS(Errors!$O$3:$O$3008,"Yes",Errors!$F$3:$F$3008,$M4,Errors!$I$3:$I$3008,"&lt;&gt;TV*")+COUNTIFS(Errors!$P$3:$P$3008,"Yes",Errors!$F$3:$F$3008,$M4,Errors!$I$3:$I$3008,"&lt;&gt;TV*")</f>
        <v>0</v>
      </c>
      <c r="Q4" s="35">
        <f>COUNTIFS(Errors!$F$3:$F$3008,$M4,Errors!$O$3:$O$3008,"yes")</f>
        <v>0</v>
      </c>
      <c r="R4" s="35">
        <f>COUNTIFS(Errors!$F$3:$F$3008,$M4,Errors!$P$3:$P$3008,"yes")</f>
        <v>0</v>
      </c>
      <c r="AE4" s="35"/>
      <c r="AF4" s="37">
        <f>COUNTIFS(Errors!$F:$F,Analysis!$AE33,Errors!$D:$D,Analysis!$AF$2)</f>
        <v>0</v>
      </c>
      <c r="AG4" s="34">
        <f>COUNTIFS(Errors!$F:$F,Analysis!$AE33,Errors!$D:$D,Analysis!$AG$2)</f>
        <v>0</v>
      </c>
      <c r="AH4" s="34">
        <f>COUNTIFS(Errors!$F:$F,Analysis!$AE33,Errors!$D:$D,Analysis!$AH$2)</f>
        <v>0</v>
      </c>
      <c r="AI4" s="34">
        <f>COUNTIFS(Errors!$F:$F,Analysis!$AE33,Errors!$D:$D,Analysis!$AI$2)</f>
        <v>0</v>
      </c>
      <c r="AJ4" s="34">
        <f>COUNTIFS(Errors!$F:$F,Analysis!$AE33,Errors!$D:$D,Analysis!$AJ$2)</f>
        <v>0</v>
      </c>
      <c r="AK4" s="34">
        <f>COUNTIFS(Errors!$F:$F,Analysis!$AE33,Errors!$D:$D,Analysis!$AK$2)</f>
        <v>0</v>
      </c>
      <c r="AL4" s="34">
        <f>COUNTIFS(Errors!$F:$F,Analysis!$AE33,Errors!$D:$D,Analysis!$AL$2)</f>
        <v>0</v>
      </c>
      <c r="AM4" s="34">
        <f>COUNTIFS(Errors!$F:$F,Analysis!$AE33,Errors!$D:$D,Analysis!$AM$2)</f>
        <v>0</v>
      </c>
      <c r="AN4" s="34">
        <f>COUNTIFS(Errors!$F:$F,Analysis!$AE33,Errors!$D:$D,Analysis!$AN$2)</f>
        <v>0</v>
      </c>
      <c r="AO4" s="34">
        <f>COUNTIFS(Errors!$F:$F,Analysis!$AE33,Errors!$D:$D,Analysis!$AO$2)</f>
        <v>0</v>
      </c>
      <c r="AP4" s="34">
        <f>COUNTIFS(Errors!$F:$F,Analysis!$AE33,Errors!$D:$D,Analysis!$AP$2)</f>
        <v>0</v>
      </c>
      <c r="AQ4" s="34">
        <f>COUNTIFS(Errors!$F:$F,Analysis!$AE33,Errors!$D:$D,Analysis!$AQ$2)</f>
        <v>0</v>
      </c>
      <c r="AR4" s="34">
        <f>COUNTIFS(Errors!$F:$F,Analysis!$AE33,Errors!$D:$D,Analysis!$AR$2)</f>
        <v>0</v>
      </c>
      <c r="AS4" s="34">
        <f>COUNTIFS(Errors!$F:$F,Analysis!$AE33,Errors!$D:$D,Analysis!$AS$2)</f>
        <v>0</v>
      </c>
      <c r="AT4" s="34">
        <f>COUNTIFS(Errors!$F:$F,Analysis!$AE33,Errors!$D:$D,Analysis!$AT$2)</f>
        <v>0</v>
      </c>
      <c r="AU4" s="34">
        <f>COUNTIFS(Errors!$F:$F,Analysis!$AE33,Errors!$D:$D,Analysis!$AU$2)</f>
        <v>0</v>
      </c>
      <c r="AV4" s="34">
        <f>COUNTIFS(Errors!$F:$F,Analysis!$AE33,Errors!$D:$D,Analysis!$AV$2)</f>
        <v>0</v>
      </c>
      <c r="AW4" s="34">
        <f>COUNTIFS(Errors!$F:$F,Analysis!$AE33,Errors!$D:$D,Analysis!$AW$2)</f>
        <v>0</v>
      </c>
      <c r="AX4" s="34">
        <f>COUNTIFS(Errors!$F:$F,Analysis!$AE33,Errors!$D:$D,Analysis!$AX$2)</f>
        <v>0</v>
      </c>
      <c r="AY4" s="34">
        <f>COUNTIFS(Errors!$F:$F,Analysis!$AE33,Errors!$D:$D,Analysis!$AY$2)</f>
        <v>0</v>
      </c>
      <c r="AZ4" s="34">
        <f>COUNTIFS(Errors!$F:$F,Analysis!$AE33,Errors!$D:$D,Analysis!$AZ$2)</f>
        <v>0</v>
      </c>
      <c r="BA4" s="34">
        <f>COUNTIFS(Errors!$F:$F,Analysis!$AE33,Errors!$D:$D,Analysis!$BA$2)</f>
        <v>0</v>
      </c>
      <c r="BB4" s="34">
        <f>COUNTIFS(Errors!$F:$F,Analysis!$AE33,Errors!$D:$D,Analysis!$BB$2)</f>
        <v>0</v>
      </c>
      <c r="BC4" s="34">
        <f>COUNTIFS(Errors!$F:$F,Analysis!$AE33,Errors!$D:$D,Analysis!$BC$2)</f>
        <v>0</v>
      </c>
      <c r="BD4" s="34">
        <f>COUNTIFS(Errors!$F:$F,Analysis!$AE33,Errors!$D:$D,Analysis!$BD$2)</f>
        <v>0</v>
      </c>
      <c r="BE4" s="34">
        <f>COUNTIFS(Errors!$F:$F,Analysis!$AE33,Errors!$D:$D,Analysis!$BE$2)</f>
        <v>0</v>
      </c>
      <c r="BF4" s="34">
        <f>COUNTIFS(Errors!$F:$F,Analysis!$AE33,Errors!$D:$D,Analysis!$BF$2)</f>
        <v>0</v>
      </c>
      <c r="BG4" s="34">
        <f>COUNTIFS(Errors!$F:$F,Analysis!$AE33,Errors!$D:$D,Analysis!$BG$2)</f>
        <v>0</v>
      </c>
      <c r="BH4" s="34">
        <f>COUNTIFS(Errors!$F:$F,Analysis!$AE33,Errors!$D:$D,Analysis!$BH$2)</f>
        <v>0</v>
      </c>
      <c r="BI4" s="34">
        <f>COUNTIFS(Errors!$F:$F,Analysis!$AE33,Errors!$D:$D,Analysis!$BI$2)</f>
        <v>0</v>
      </c>
      <c r="BJ4" s="34">
        <f>COUNTIFS(Errors!$F:$F,Analysis!$AE33,Errors!$D:$D,Analysis!$BJ$2)</f>
        <v>0</v>
      </c>
      <c r="BL4" s="39">
        <f t="shared" si="1"/>
        <v>0</v>
      </c>
      <c r="BN4" s="40">
        <f t="shared" si="2"/>
        <v>0</v>
      </c>
      <c r="BO4" s="41" t="s">
        <v>59</v>
      </c>
      <c r="BS4" s="35" t="s">
        <v>59</v>
      </c>
      <c r="BT4" s="34">
        <f>COUNTIFS(Errors!$D:$D,Analysis!BT$1,Errors!$F:$F,Analysis!$BS4,Errors!$O:$O,"YES")</f>
        <v>0</v>
      </c>
      <c r="BU4" s="34">
        <f>COUNTIFS(Errors!$D:$D,Analysis!BU$1,Errors!$F:$F,Analysis!$BS4,Errors!$O:$O,"YES")</f>
        <v>0</v>
      </c>
      <c r="BV4" s="34">
        <f>COUNTIFS(Errors!$D:$D,Analysis!BV$1,Errors!$F:$F,Analysis!$BS4,Errors!$O:$O,"YES")</f>
        <v>0</v>
      </c>
      <c r="BW4" s="34">
        <f>COUNTIFS(Errors!$D:$D,Analysis!BW$1,Errors!$F:$F,Analysis!$BS4,Errors!$O:$O,"YES")</f>
        <v>0</v>
      </c>
      <c r="BX4" s="34">
        <f>COUNTIFS(Errors!$D:$D,Analysis!BX$1,Errors!$F:$F,Analysis!$BS4,Errors!$O:$O,"YES")</f>
        <v>0</v>
      </c>
      <c r="BY4" s="34">
        <f>COUNTIFS(Errors!$D:$D,Analysis!BY$1,Errors!$F:$F,Analysis!$BS4,Errors!$O:$O,"YES")</f>
        <v>0</v>
      </c>
      <c r="BZ4" s="34">
        <f>COUNTIFS(Errors!$D:$D,Analysis!BZ$1,Errors!$F:$F,Analysis!$BS4,Errors!$O:$O,"YES")</f>
        <v>0</v>
      </c>
      <c r="CA4" s="34">
        <f>COUNTIFS(Errors!$D:$D,Analysis!CA$1,Errors!$F:$F,Analysis!$BS4,Errors!$O:$O,"YES")</f>
        <v>0</v>
      </c>
      <c r="CB4" s="34">
        <f>COUNTIFS(Errors!$D:$D,Analysis!CB$1,Errors!$F:$F,Analysis!$BS4,Errors!$O:$O,"YES")</f>
        <v>0</v>
      </c>
      <c r="CC4" s="34">
        <f>COUNTIFS(Errors!$D:$D,Analysis!CC$1,Errors!$F:$F,Analysis!$BS4,Errors!$O:$O,"YES")</f>
        <v>0</v>
      </c>
      <c r="CD4" s="34">
        <f>COUNTIFS(Errors!$D:$D,Analysis!CD$1,Errors!$F:$F,Analysis!$BS4,Errors!$O:$O,"YES")</f>
        <v>0</v>
      </c>
      <c r="CE4" s="34">
        <f>COUNTIFS(Errors!$D:$D,Analysis!CE$1,Errors!$F:$F,Analysis!$BS4,Errors!$O:$O,"YES")</f>
        <v>0</v>
      </c>
      <c r="CF4" s="34">
        <f>COUNTIFS(Errors!$D:$D,Analysis!CF$1,Errors!$F:$F,Analysis!$BS4,Errors!$O:$O,"YES")</f>
        <v>0</v>
      </c>
      <c r="CG4" s="34">
        <f>COUNTIFS(Errors!$D:$D,Analysis!CG$1,Errors!$F:$F,Analysis!$BS4,Errors!$O:$O,"YES")</f>
        <v>0</v>
      </c>
      <c r="CH4" s="34">
        <f>COUNTIFS(Errors!$D:$D,Analysis!CH$1,Errors!$F:$F,Analysis!$BS4,Errors!$O:$O,"YES")</f>
        <v>0</v>
      </c>
      <c r="CI4" s="34">
        <f>COUNTIFS(Errors!$D:$D,Analysis!CI$1,Errors!$F:$F,Analysis!$BS4,Errors!$O:$O,"YES")</f>
        <v>0</v>
      </c>
      <c r="CJ4" s="34">
        <f>COUNTIFS(Errors!$D:$D,Analysis!CJ$1,Errors!$F:$F,Analysis!$BS4,Errors!$O:$O,"YES")</f>
        <v>0</v>
      </c>
      <c r="CK4" s="34">
        <f>COUNTIFS(Errors!$D:$D,Analysis!CK$1,Errors!$F:$F,Analysis!$BS4,Errors!$O:$O,"YES")</f>
        <v>0</v>
      </c>
      <c r="CL4" s="34">
        <f>COUNTIFS(Errors!$D:$D,Analysis!CL$1,Errors!$F:$F,Analysis!$BS4,Errors!$O:$O,"YES")</f>
        <v>0</v>
      </c>
      <c r="CM4" s="34">
        <f>COUNTIFS(Errors!$D:$D,Analysis!CM$1,Errors!$F:$F,Analysis!$BS4,Errors!$O:$O,"YES")</f>
        <v>0</v>
      </c>
      <c r="CN4" s="34">
        <f>COUNTIFS(Errors!$D:$D,Analysis!CN$1,Errors!$F:$F,Analysis!$BS4,Errors!$O:$O,"YES")</f>
        <v>0</v>
      </c>
      <c r="CO4" s="34">
        <f>COUNTIFS(Errors!$D:$D,Analysis!CO$1,Errors!$F:$F,Analysis!$BS4,Errors!$O:$O,"YES")</f>
        <v>0</v>
      </c>
      <c r="CP4" s="34">
        <f>COUNTIFS(Errors!$D:$D,Analysis!CP$1,Errors!$F:$F,Analysis!$BS4,Errors!$O:$O,"YES")</f>
        <v>0</v>
      </c>
      <c r="CQ4" s="34">
        <f>COUNTIFS(Errors!$D:$D,Analysis!CQ$1,Errors!$F:$F,Analysis!$BS4,Errors!$O:$O,"YES")</f>
        <v>0</v>
      </c>
      <c r="CR4" s="34">
        <f>COUNTIFS(Errors!$D:$D,Analysis!CR$1,Errors!$F:$F,Analysis!$BS4,Errors!$O:$O,"YES")</f>
        <v>0</v>
      </c>
      <c r="CS4" s="34">
        <f>COUNTIFS(Errors!$D:$D,Analysis!CS$1,Errors!$F:$F,Analysis!$BS4,Errors!$O:$O,"YES")</f>
        <v>0</v>
      </c>
      <c r="CT4" s="34">
        <f>COUNTIFS(Errors!$D:$D,Analysis!CT$1,Errors!$F:$F,Analysis!$BS4,Errors!$O:$O,"YES")</f>
        <v>0</v>
      </c>
      <c r="CU4" s="34">
        <f>COUNTIFS(Errors!$D:$D,Analysis!CU$1,Errors!$F:$F,Analysis!$BS4,Errors!$O:$O,"YES")</f>
        <v>0</v>
      </c>
      <c r="CV4" s="34">
        <f>COUNTIFS(Errors!$D:$D,Analysis!CV$1,Errors!$F:$F,Analysis!$BS4,Errors!$O:$O,"YES")</f>
        <v>0</v>
      </c>
      <c r="CW4" s="34">
        <f>COUNTIFS(Errors!$D:$D,Analysis!CW$1,Errors!$F:$F,Analysis!$BS4,Errors!$O:$O,"YES")</f>
        <v>0</v>
      </c>
      <c r="CX4" s="34">
        <f>COUNTIFS(Errors!$D:$D,Analysis!CX$1,Errors!$F:$F,Analysis!$BS4,Errors!$O:$O,"YES")</f>
        <v>0</v>
      </c>
      <c r="CZ4" s="39">
        <f t="shared" si="3"/>
        <v>0</v>
      </c>
      <c r="DB4" s="42">
        <f t="shared" si="4"/>
        <v>0</v>
      </c>
      <c r="DC4" s="41" t="s">
        <v>59</v>
      </c>
    </row>
    <row r="5" ht="15.0" customHeight="1">
      <c r="A5" s="35" t="s">
        <v>60</v>
      </c>
      <c r="B5" s="33">
        <f>COUNTIF(Errors!$I$3:$I$3008,$A5)</f>
        <v>0</v>
      </c>
      <c r="C5" s="34">
        <f>COUNTIFS(Errors!$I$3:$I$3008,$A5,Errors!$J$3:$J$3008,"Bacc")</f>
        <v>0</v>
      </c>
      <c r="D5" s="34">
        <f>COUNTIFS(Errors!$I$3:$I$3008,$A5,Errors!$J$3:$J$3008,"Rou")</f>
        <v>0</v>
      </c>
      <c r="E5" s="34">
        <f>COUNTIFS(Errors!$I$3:$I$3008,$A5,Errors!$J$3:$J$3008,"Sic Bo")</f>
        <v>0</v>
      </c>
      <c r="G5" s="35"/>
      <c r="H5" s="33">
        <f>COUNTIF(Errors!$F$3:$F$3008,$G5)</f>
        <v>0</v>
      </c>
      <c r="I5" s="34">
        <f>COUNTIFS(Errors!$F$3:$F$3008,$G5,Errors!$I$3:$I$3008,"TV*")</f>
        <v>0</v>
      </c>
      <c r="J5" s="34">
        <f>COUNTIFS(Errors!$F$3:$F$3008,$G5,Errors!$I$3:$I$3008,"&lt;&gt;TV*")</f>
        <v>0</v>
      </c>
      <c r="K5" s="34">
        <f>COUNTIFS(Errors!$F$3:$F$3008,$G5,Errors!$Q$3:$Q$3008,"yes")</f>
        <v>0</v>
      </c>
      <c r="M5" s="35"/>
      <c r="N5" s="33">
        <f>COUNTIFS(Errors!$O$3:$O$3008,"Yes",Errors!$F$3:$F$3008,$M5)+COUNTIFS(Errors!$P$3:$P$3008,"Yes",Errors!$F$3:$F$3008,$M5)</f>
        <v>0</v>
      </c>
      <c r="O5" s="36">
        <f>COUNTIFS(Errors!$O$3:$O$3008,"Yes",Errors!$F$3:$F$3008,$M5,Errors!$I$3:$I$3008,"TV*")+COUNTIFS(Errors!$P$3:$P$3008,"Yes",Errors!$F$3:$F$3008,$M5,Errors!$I$3:$I$3008,"TV*")</f>
        <v>0</v>
      </c>
      <c r="P5" s="34">
        <f>COUNTIFS(Errors!$O$3:$O$3008,"Yes",Errors!$F$3:$F$3008,$M5,Errors!$I$3:$I$3008,"&lt;&gt;TV*")+COUNTIFS(Errors!$P$3:$P$3008,"Yes",Errors!$F$3:$F$3008,$M5,Errors!$I$3:$I$3008,"&lt;&gt;TV*")</f>
        <v>0</v>
      </c>
      <c r="Q5" s="35">
        <f>COUNTIFS(Errors!$F$3:$F$3008,$M5,Errors!$O$3:$O$3008,"yes")</f>
        <v>0</v>
      </c>
      <c r="R5" s="35">
        <f>COUNTIFS(Errors!$F$3:$F$3008,$M5,Errors!$P$3:$P$3008,"yes")</f>
        <v>0</v>
      </c>
      <c r="AE5" s="35"/>
      <c r="AF5" s="37">
        <f>COUNTIFS(Errors!$F:$F,Analysis!$AE34,Errors!$D:$D,Analysis!$AF$2)</f>
        <v>0</v>
      </c>
      <c r="AG5" s="34">
        <f>COUNTIFS(Errors!$F:$F,Analysis!$AE34,Errors!$D:$D,Analysis!$AG$2)</f>
        <v>0</v>
      </c>
      <c r="AH5" s="34">
        <f>COUNTIFS(Errors!$F:$F,Analysis!$AE34,Errors!$D:$D,Analysis!$AH$2)</f>
        <v>0</v>
      </c>
      <c r="AI5" s="34">
        <f>COUNTIFS(Errors!$F:$F,Analysis!$AE34,Errors!$D:$D,Analysis!$AI$2)</f>
        <v>0</v>
      </c>
      <c r="AJ5" s="34">
        <f>COUNTIFS(Errors!$F:$F,Analysis!$AE34,Errors!$D:$D,Analysis!$AJ$2)</f>
        <v>0</v>
      </c>
      <c r="AK5" s="34">
        <f>COUNTIFS(Errors!$F:$F,Analysis!$AE34,Errors!$D:$D,Analysis!$AK$2)</f>
        <v>0</v>
      </c>
      <c r="AL5" s="34">
        <f>COUNTIFS(Errors!$F:$F,Analysis!$AE34,Errors!$D:$D,Analysis!$AL$2)</f>
        <v>0</v>
      </c>
      <c r="AM5" s="34">
        <f>COUNTIFS(Errors!$F:$F,Analysis!$AE34,Errors!$D:$D,Analysis!$AM$2)</f>
        <v>0</v>
      </c>
      <c r="AN5" s="34">
        <f>COUNTIFS(Errors!$F:$F,Analysis!$AE34,Errors!$D:$D,Analysis!$AN$2)</f>
        <v>0</v>
      </c>
      <c r="AO5" s="34">
        <f>COUNTIFS(Errors!$F:$F,Analysis!$AE34,Errors!$D:$D,Analysis!$AO$2)</f>
        <v>0</v>
      </c>
      <c r="AP5" s="34">
        <f>COUNTIFS(Errors!$F:$F,Analysis!$AE34,Errors!$D:$D,Analysis!$AP$2)</f>
        <v>0</v>
      </c>
      <c r="AQ5" s="34">
        <f>COUNTIFS(Errors!$F:$F,Analysis!$AE34,Errors!$D:$D,Analysis!$AQ$2)</f>
        <v>0</v>
      </c>
      <c r="AR5" s="34">
        <f>COUNTIFS(Errors!$F:$F,Analysis!$AE34,Errors!$D:$D,Analysis!$AR$2)</f>
        <v>0</v>
      </c>
      <c r="AS5" s="34">
        <f>COUNTIFS(Errors!$F:$F,Analysis!$AE34,Errors!$D:$D,Analysis!$AS$2)</f>
        <v>0</v>
      </c>
      <c r="AT5" s="34">
        <f>COUNTIFS(Errors!$F:$F,Analysis!$AE34,Errors!$D:$D,Analysis!$AT$2)</f>
        <v>0</v>
      </c>
      <c r="AU5" s="34">
        <f>COUNTIFS(Errors!$F:$F,Analysis!$AE34,Errors!$D:$D,Analysis!$AU$2)</f>
        <v>0</v>
      </c>
      <c r="AV5" s="34">
        <f>COUNTIFS(Errors!$F:$F,Analysis!$AE34,Errors!$D:$D,Analysis!$AV$2)</f>
        <v>0</v>
      </c>
      <c r="AW5" s="34">
        <f>COUNTIFS(Errors!$F:$F,Analysis!$AE34,Errors!$D:$D,Analysis!$AW$2)</f>
        <v>0</v>
      </c>
      <c r="AX5" s="34">
        <f>COUNTIFS(Errors!$F:$F,Analysis!$AE34,Errors!$D:$D,Analysis!$AX$2)</f>
        <v>0</v>
      </c>
      <c r="AY5" s="34">
        <f>COUNTIFS(Errors!$F:$F,Analysis!$AE34,Errors!$D:$D,Analysis!$AY$2)</f>
        <v>0</v>
      </c>
      <c r="AZ5" s="34">
        <f>COUNTIFS(Errors!$F:$F,Analysis!$AE34,Errors!$D:$D,Analysis!$AZ$2)</f>
        <v>0</v>
      </c>
      <c r="BA5" s="34">
        <f>COUNTIFS(Errors!$F:$F,Analysis!$AE34,Errors!$D:$D,Analysis!$BA$2)</f>
        <v>0</v>
      </c>
      <c r="BB5" s="34">
        <f>COUNTIFS(Errors!$F:$F,Analysis!$AE34,Errors!$D:$D,Analysis!$BB$2)</f>
        <v>0</v>
      </c>
      <c r="BC5" s="34">
        <f>COUNTIFS(Errors!$F:$F,Analysis!$AE34,Errors!$D:$D,Analysis!$BC$2)</f>
        <v>0</v>
      </c>
      <c r="BD5" s="34">
        <f>COUNTIFS(Errors!$F:$F,Analysis!$AE34,Errors!$D:$D,Analysis!$BD$2)</f>
        <v>0</v>
      </c>
      <c r="BE5" s="34">
        <f>COUNTIFS(Errors!$F:$F,Analysis!$AE34,Errors!$D:$D,Analysis!$BE$2)</f>
        <v>0</v>
      </c>
      <c r="BF5" s="34">
        <f>COUNTIFS(Errors!$F:$F,Analysis!$AE34,Errors!$D:$D,Analysis!$BF$2)</f>
        <v>0</v>
      </c>
      <c r="BG5" s="34">
        <f>COUNTIFS(Errors!$F:$F,Analysis!$AE34,Errors!$D:$D,Analysis!$BG$2)</f>
        <v>0</v>
      </c>
      <c r="BH5" s="34">
        <f>COUNTIFS(Errors!$F:$F,Analysis!$AE34,Errors!$D:$D,Analysis!$BH$2)</f>
        <v>0</v>
      </c>
      <c r="BI5" s="34">
        <f>COUNTIFS(Errors!$F:$F,Analysis!$AE34,Errors!$D:$D,Analysis!$BI$2)</f>
        <v>0</v>
      </c>
      <c r="BJ5" s="34">
        <f>COUNTIFS(Errors!$F:$F,Analysis!$AE34,Errors!$D:$D,Analysis!$BJ$2)</f>
        <v>0</v>
      </c>
      <c r="BL5" s="39">
        <f t="shared" si="1"/>
        <v>0</v>
      </c>
      <c r="BN5" s="40">
        <f t="shared" si="2"/>
        <v>0</v>
      </c>
      <c r="BO5" s="41" t="s">
        <v>61</v>
      </c>
      <c r="BS5" s="35" t="s">
        <v>61</v>
      </c>
      <c r="BT5" s="34">
        <f>COUNTIFS(Errors!$D:$D,Analysis!BT$1,Errors!$F:$F,Analysis!$BS5,Errors!$O:$O,"YES")</f>
        <v>0</v>
      </c>
      <c r="BU5" s="34">
        <f>COUNTIFS(Errors!$D:$D,Analysis!BU$1,Errors!$F:$F,Analysis!$BS5,Errors!$O:$O,"YES")</f>
        <v>0</v>
      </c>
      <c r="BV5" s="34">
        <f>COUNTIFS(Errors!$D:$D,Analysis!BV$1,Errors!$F:$F,Analysis!$BS5,Errors!$O:$O,"YES")</f>
        <v>0</v>
      </c>
      <c r="BW5" s="34">
        <f>COUNTIFS(Errors!$D:$D,Analysis!BW$1,Errors!$F:$F,Analysis!$BS5,Errors!$O:$O,"YES")</f>
        <v>0</v>
      </c>
      <c r="BX5" s="34">
        <f>COUNTIFS(Errors!$D:$D,Analysis!BX$1,Errors!$F:$F,Analysis!$BS5,Errors!$O:$O,"YES")</f>
        <v>0</v>
      </c>
      <c r="BY5" s="34">
        <f>COUNTIFS(Errors!$D:$D,Analysis!BY$1,Errors!$F:$F,Analysis!$BS5,Errors!$O:$O,"YES")</f>
        <v>0</v>
      </c>
      <c r="BZ5" s="34">
        <f>COUNTIFS(Errors!$D:$D,Analysis!BZ$1,Errors!$F:$F,Analysis!$BS5,Errors!$O:$O,"YES")</f>
        <v>0</v>
      </c>
      <c r="CA5" s="34">
        <f>COUNTIFS(Errors!$D:$D,Analysis!CA$1,Errors!$F:$F,Analysis!$BS5,Errors!$O:$O,"YES")</f>
        <v>0</v>
      </c>
      <c r="CB5" s="34">
        <f>COUNTIFS(Errors!$D:$D,Analysis!CB$1,Errors!$F:$F,Analysis!$BS5,Errors!$O:$O,"YES")</f>
        <v>0</v>
      </c>
      <c r="CC5" s="34">
        <f>COUNTIFS(Errors!$D:$D,Analysis!CC$1,Errors!$F:$F,Analysis!$BS5,Errors!$O:$O,"YES")</f>
        <v>0</v>
      </c>
      <c r="CD5" s="34">
        <f>COUNTIFS(Errors!$D:$D,Analysis!CD$1,Errors!$F:$F,Analysis!$BS5,Errors!$O:$O,"YES")</f>
        <v>0</v>
      </c>
      <c r="CE5" s="34">
        <f>COUNTIFS(Errors!$D:$D,Analysis!CE$1,Errors!$F:$F,Analysis!$BS5,Errors!$O:$O,"YES")</f>
        <v>0</v>
      </c>
      <c r="CF5" s="34">
        <f>COUNTIFS(Errors!$D:$D,Analysis!CF$1,Errors!$F:$F,Analysis!$BS5,Errors!$O:$O,"YES")</f>
        <v>0</v>
      </c>
      <c r="CG5" s="34">
        <f>COUNTIFS(Errors!$D:$D,Analysis!CG$1,Errors!$F:$F,Analysis!$BS5,Errors!$O:$O,"YES")</f>
        <v>0</v>
      </c>
      <c r="CH5" s="34">
        <f>COUNTIFS(Errors!$D:$D,Analysis!CH$1,Errors!$F:$F,Analysis!$BS5,Errors!$O:$O,"YES")</f>
        <v>0</v>
      </c>
      <c r="CI5" s="34">
        <f>COUNTIFS(Errors!$D:$D,Analysis!CI$1,Errors!$F:$F,Analysis!$BS5,Errors!$O:$O,"YES")</f>
        <v>0</v>
      </c>
      <c r="CJ5" s="34">
        <f>COUNTIFS(Errors!$D:$D,Analysis!CJ$1,Errors!$F:$F,Analysis!$BS5,Errors!$O:$O,"YES")</f>
        <v>0</v>
      </c>
      <c r="CK5" s="34">
        <f>COUNTIFS(Errors!$D:$D,Analysis!CK$1,Errors!$F:$F,Analysis!$BS5,Errors!$O:$O,"YES")</f>
        <v>0</v>
      </c>
      <c r="CL5" s="34">
        <f>COUNTIFS(Errors!$D:$D,Analysis!CL$1,Errors!$F:$F,Analysis!$BS5,Errors!$O:$O,"YES")</f>
        <v>0</v>
      </c>
      <c r="CM5" s="34">
        <f>COUNTIFS(Errors!$D:$D,Analysis!CM$1,Errors!$F:$F,Analysis!$BS5,Errors!$O:$O,"YES")</f>
        <v>0</v>
      </c>
      <c r="CN5" s="34">
        <f>COUNTIFS(Errors!$D:$D,Analysis!CN$1,Errors!$F:$F,Analysis!$BS5,Errors!$O:$O,"YES")</f>
        <v>0</v>
      </c>
      <c r="CO5" s="34">
        <f>COUNTIFS(Errors!$D:$D,Analysis!CO$1,Errors!$F:$F,Analysis!$BS5,Errors!$O:$O,"YES")</f>
        <v>0</v>
      </c>
      <c r="CP5" s="34">
        <f>COUNTIFS(Errors!$D:$D,Analysis!CP$1,Errors!$F:$F,Analysis!$BS5,Errors!$O:$O,"YES")</f>
        <v>0</v>
      </c>
      <c r="CQ5" s="34">
        <f>COUNTIFS(Errors!$D:$D,Analysis!CQ$1,Errors!$F:$F,Analysis!$BS5,Errors!$O:$O,"YES")</f>
        <v>0</v>
      </c>
      <c r="CR5" s="34">
        <f>COUNTIFS(Errors!$D:$D,Analysis!CR$1,Errors!$F:$F,Analysis!$BS5,Errors!$O:$O,"YES")</f>
        <v>0</v>
      </c>
      <c r="CS5" s="34">
        <f>COUNTIFS(Errors!$D:$D,Analysis!CS$1,Errors!$F:$F,Analysis!$BS5,Errors!$O:$O,"YES")</f>
        <v>0</v>
      </c>
      <c r="CT5" s="34">
        <f>COUNTIFS(Errors!$D:$D,Analysis!CT$1,Errors!$F:$F,Analysis!$BS5,Errors!$O:$O,"YES")</f>
        <v>0</v>
      </c>
      <c r="CU5" s="34">
        <f>COUNTIFS(Errors!$D:$D,Analysis!CU$1,Errors!$F:$F,Analysis!$BS5,Errors!$O:$O,"YES")</f>
        <v>0</v>
      </c>
      <c r="CV5" s="34">
        <f>COUNTIFS(Errors!$D:$D,Analysis!CV$1,Errors!$F:$F,Analysis!$BS5,Errors!$O:$O,"YES")</f>
        <v>0</v>
      </c>
      <c r="CW5" s="34">
        <f>COUNTIFS(Errors!$D:$D,Analysis!CW$1,Errors!$F:$F,Analysis!$BS5,Errors!$O:$O,"YES")</f>
        <v>0</v>
      </c>
      <c r="CX5" s="34">
        <f>COUNTIFS(Errors!$D:$D,Analysis!CX$1,Errors!$F:$F,Analysis!$BS5,Errors!$O:$O,"YES")</f>
        <v>0</v>
      </c>
      <c r="CZ5" s="39">
        <f t="shared" si="3"/>
        <v>0</v>
      </c>
      <c r="DB5" s="42">
        <f t="shared" si="4"/>
        <v>0</v>
      </c>
      <c r="DC5" s="41" t="s">
        <v>61</v>
      </c>
    </row>
    <row r="6" ht="15.0" customHeight="1">
      <c r="A6" s="32" t="s">
        <v>62</v>
      </c>
      <c r="B6" s="33">
        <f>COUNTIF(Errors!$I$3:$I$3008,$A6)</f>
        <v>0</v>
      </c>
      <c r="C6" s="34">
        <f>COUNTIFS(Errors!$I$3:$I$3008,$A6,Errors!$J$3:$J$3008,"Bacc")</f>
        <v>0</v>
      </c>
      <c r="D6" s="34">
        <f>COUNTIFS(Errors!$I$3:$I$3008,$A6,Errors!$J$3:$J$3008,"Rou")</f>
        <v>0</v>
      </c>
      <c r="E6" s="34">
        <f>COUNTIFS(Errors!$I$3:$I$3008,$A6,Errors!$J$3:$J$3008,"Sic Bo")</f>
        <v>0</v>
      </c>
      <c r="G6" s="35"/>
      <c r="H6" s="33">
        <f>COUNTIF(Errors!$F$3:$F$3008,$G6)</f>
        <v>0</v>
      </c>
      <c r="I6" s="34">
        <f>COUNTIFS(Errors!$F$3:$F$3008,$G6,Errors!$I$3:$I$3008,"TV*")</f>
        <v>0</v>
      </c>
      <c r="J6" s="34">
        <f>COUNTIFS(Errors!$F$3:$F$3008,$G6,Errors!$I$3:$I$3008,"&lt;&gt;TV*")</f>
        <v>0</v>
      </c>
      <c r="K6" s="34">
        <f>COUNTIFS(Errors!$F$3:$F$3008,$G6,Errors!$Q$3:$Q$3008,"yes")</f>
        <v>0</v>
      </c>
      <c r="M6" s="35"/>
      <c r="N6" s="33">
        <f>COUNTIFS(Errors!$O$3:$O$3008,"Yes",Errors!$F$3:$F$3008,$M6)+COUNTIFS(Errors!$P$3:$P$3008,"Yes",Errors!$F$3:$F$3008,$M6)</f>
        <v>0</v>
      </c>
      <c r="O6" s="36">
        <f>COUNTIFS(Errors!$O$3:$O$3008,"Yes",Errors!$F$3:$F$3008,$M6,Errors!$I$3:$I$3008,"TV*")+COUNTIFS(Errors!$P$3:$P$3008,"Yes",Errors!$F$3:$F$3008,$M6,Errors!$I$3:$I$3008,"TV*")</f>
        <v>0</v>
      </c>
      <c r="P6" s="34">
        <f>COUNTIFS(Errors!$O$3:$O$3008,"Yes",Errors!$F$3:$F$3008,$M6,Errors!$I$3:$I$3008,"&lt;&gt;TV*")+COUNTIFS(Errors!$P$3:$P$3008,"Yes",Errors!$F$3:$F$3008,$M6,Errors!$I$3:$I$3008,"&lt;&gt;TV*")</f>
        <v>0</v>
      </c>
      <c r="Q6" s="35">
        <f>COUNTIFS(Errors!$F$3:$F$3008,$M6,Errors!$O$3:$O$3008,"yes")</f>
        <v>0</v>
      </c>
      <c r="R6" s="35">
        <f>COUNTIFS(Errors!$F$3:$F$3008,$M6,Errors!$P$3:$P$3008,"yes")</f>
        <v>0</v>
      </c>
      <c r="AE6" s="35"/>
      <c r="AF6" s="37">
        <f>COUNTIFS(Errors!$F:$F,Analysis!$AE35,Errors!$D:$D,Analysis!$AF$2)</f>
        <v>0</v>
      </c>
      <c r="AG6" s="34">
        <f>COUNTIFS(Errors!$F:$F,Analysis!$AE35,Errors!$D:$D,Analysis!$AG$2)</f>
        <v>0</v>
      </c>
      <c r="AH6" s="34">
        <f>COUNTIFS(Errors!$F:$F,Analysis!$AE35,Errors!$D:$D,Analysis!$AH$2)</f>
        <v>0</v>
      </c>
      <c r="AI6" s="34">
        <f>COUNTIFS(Errors!$F:$F,Analysis!$AE35,Errors!$D:$D,Analysis!$AI$2)</f>
        <v>0</v>
      </c>
      <c r="AJ6" s="34">
        <f>COUNTIFS(Errors!$F:$F,Analysis!$AE35,Errors!$D:$D,Analysis!$AJ$2)</f>
        <v>0</v>
      </c>
      <c r="AK6" s="34">
        <f>COUNTIFS(Errors!$F:$F,Analysis!$AE35,Errors!$D:$D,Analysis!$AK$2)</f>
        <v>0</v>
      </c>
      <c r="AL6" s="34">
        <f>COUNTIFS(Errors!$F:$F,Analysis!$AE35,Errors!$D:$D,Analysis!$AL$2)</f>
        <v>0</v>
      </c>
      <c r="AM6" s="34">
        <f>COUNTIFS(Errors!$F:$F,Analysis!$AE35,Errors!$D:$D,Analysis!$AM$2)</f>
        <v>0</v>
      </c>
      <c r="AN6" s="34">
        <f>COUNTIFS(Errors!$F:$F,Analysis!$AE35,Errors!$D:$D,Analysis!$AN$2)</f>
        <v>0</v>
      </c>
      <c r="AO6" s="34">
        <f>COUNTIFS(Errors!$F:$F,Analysis!$AE35,Errors!$D:$D,Analysis!$AO$2)</f>
        <v>0</v>
      </c>
      <c r="AP6" s="34">
        <f>COUNTIFS(Errors!$F:$F,Analysis!$AE35,Errors!$D:$D,Analysis!$AP$2)</f>
        <v>0</v>
      </c>
      <c r="AQ6" s="34">
        <f>COUNTIFS(Errors!$F:$F,Analysis!$AE35,Errors!$D:$D,Analysis!$AQ$2)</f>
        <v>0</v>
      </c>
      <c r="AR6" s="34">
        <f>COUNTIFS(Errors!$F:$F,Analysis!$AE35,Errors!$D:$D,Analysis!$AR$2)</f>
        <v>0</v>
      </c>
      <c r="AS6" s="34">
        <f>COUNTIFS(Errors!$F:$F,Analysis!$AE35,Errors!$D:$D,Analysis!$AS$2)</f>
        <v>0</v>
      </c>
      <c r="AT6" s="34">
        <f>COUNTIFS(Errors!$F:$F,Analysis!$AE35,Errors!$D:$D,Analysis!$AT$2)</f>
        <v>0</v>
      </c>
      <c r="AU6" s="34">
        <f>COUNTIFS(Errors!$F:$F,Analysis!$AE35,Errors!$D:$D,Analysis!$AU$2)</f>
        <v>0</v>
      </c>
      <c r="AV6" s="34">
        <f>COUNTIFS(Errors!$F:$F,Analysis!$AE35,Errors!$D:$D,Analysis!$AV$2)</f>
        <v>0</v>
      </c>
      <c r="AW6" s="34">
        <f>COUNTIFS(Errors!$F:$F,Analysis!$AE35,Errors!$D:$D,Analysis!$AW$2)</f>
        <v>0</v>
      </c>
      <c r="AX6" s="34">
        <f>COUNTIFS(Errors!$F:$F,Analysis!$AE35,Errors!$D:$D,Analysis!$AX$2)</f>
        <v>0</v>
      </c>
      <c r="AY6" s="34">
        <f>COUNTIFS(Errors!$F:$F,Analysis!$AE35,Errors!$D:$D,Analysis!$AY$2)</f>
        <v>0</v>
      </c>
      <c r="AZ6" s="34">
        <f>COUNTIFS(Errors!$F:$F,Analysis!$AE35,Errors!$D:$D,Analysis!$AZ$2)</f>
        <v>0</v>
      </c>
      <c r="BA6" s="34">
        <f>COUNTIFS(Errors!$F:$F,Analysis!$AE35,Errors!$D:$D,Analysis!$BA$2)</f>
        <v>0</v>
      </c>
      <c r="BB6" s="34">
        <f>COUNTIFS(Errors!$F:$F,Analysis!$AE35,Errors!$D:$D,Analysis!$BB$2)</f>
        <v>0</v>
      </c>
      <c r="BC6" s="34">
        <f>COUNTIFS(Errors!$F:$F,Analysis!$AE35,Errors!$D:$D,Analysis!$BC$2)</f>
        <v>0</v>
      </c>
      <c r="BD6" s="34">
        <f>COUNTIFS(Errors!$F:$F,Analysis!$AE35,Errors!$D:$D,Analysis!$BD$2)</f>
        <v>0</v>
      </c>
      <c r="BE6" s="34">
        <f>COUNTIFS(Errors!$F:$F,Analysis!$AE35,Errors!$D:$D,Analysis!$BE$2)</f>
        <v>0</v>
      </c>
      <c r="BF6" s="34">
        <f>COUNTIFS(Errors!$F:$F,Analysis!$AE35,Errors!$D:$D,Analysis!$BF$2)</f>
        <v>0</v>
      </c>
      <c r="BG6" s="34">
        <f>COUNTIFS(Errors!$F:$F,Analysis!$AE35,Errors!$D:$D,Analysis!$BG$2)</f>
        <v>0</v>
      </c>
      <c r="BH6" s="34">
        <f>COUNTIFS(Errors!$F:$F,Analysis!$AE35,Errors!$D:$D,Analysis!$BH$2)</f>
        <v>0</v>
      </c>
      <c r="BI6" s="34">
        <f>COUNTIFS(Errors!$F:$F,Analysis!$AE35,Errors!$D:$D,Analysis!$BI$2)</f>
        <v>0</v>
      </c>
      <c r="BJ6" s="34">
        <f>COUNTIFS(Errors!$F:$F,Analysis!$AE35,Errors!$D:$D,Analysis!$BJ$2)</f>
        <v>0</v>
      </c>
      <c r="BL6" s="39">
        <f t="shared" si="1"/>
        <v>0</v>
      </c>
      <c r="BN6" s="40">
        <f t="shared" si="2"/>
        <v>0</v>
      </c>
      <c r="BO6" s="41" t="s">
        <v>63</v>
      </c>
      <c r="BS6" s="35" t="s">
        <v>63</v>
      </c>
      <c r="BT6" s="34">
        <f>COUNTIFS(Errors!$D:$D,Analysis!BT$1,Errors!$F:$F,Analysis!$BS6,Errors!$O:$O,"YES")</f>
        <v>0</v>
      </c>
      <c r="BU6" s="34">
        <f>COUNTIFS(Errors!$D:$D,Analysis!BU$1,Errors!$F:$F,Analysis!$BS6,Errors!$O:$O,"YES")</f>
        <v>0</v>
      </c>
      <c r="BV6" s="34">
        <f>COUNTIFS(Errors!$D:$D,Analysis!BV$1,Errors!$F:$F,Analysis!$BS6,Errors!$O:$O,"YES")</f>
        <v>0</v>
      </c>
      <c r="BW6" s="34">
        <f>COUNTIFS(Errors!$D:$D,Analysis!BW$1,Errors!$F:$F,Analysis!$BS6,Errors!$O:$O,"YES")</f>
        <v>0</v>
      </c>
      <c r="BX6" s="34">
        <f>COUNTIFS(Errors!$D:$D,Analysis!BX$1,Errors!$F:$F,Analysis!$BS6,Errors!$O:$O,"YES")</f>
        <v>0</v>
      </c>
      <c r="BY6" s="34">
        <f>COUNTIFS(Errors!$D:$D,Analysis!BY$1,Errors!$F:$F,Analysis!$BS6,Errors!$O:$O,"YES")</f>
        <v>0</v>
      </c>
      <c r="BZ6" s="34">
        <f>COUNTIFS(Errors!$D:$D,Analysis!BZ$1,Errors!$F:$F,Analysis!$BS6,Errors!$O:$O,"YES")</f>
        <v>0</v>
      </c>
      <c r="CA6" s="34">
        <f>COUNTIFS(Errors!$D:$D,Analysis!CA$1,Errors!$F:$F,Analysis!$BS6,Errors!$O:$O,"YES")</f>
        <v>0</v>
      </c>
      <c r="CB6" s="34">
        <f>COUNTIFS(Errors!$D:$D,Analysis!CB$1,Errors!$F:$F,Analysis!$BS6,Errors!$O:$O,"YES")</f>
        <v>0</v>
      </c>
      <c r="CC6" s="34">
        <f>COUNTIFS(Errors!$D:$D,Analysis!CC$1,Errors!$F:$F,Analysis!$BS6,Errors!$O:$O,"YES")</f>
        <v>0</v>
      </c>
      <c r="CD6" s="34">
        <f>COUNTIFS(Errors!$D:$D,Analysis!CD$1,Errors!$F:$F,Analysis!$BS6,Errors!$O:$O,"YES")</f>
        <v>0</v>
      </c>
      <c r="CE6" s="34">
        <f>COUNTIFS(Errors!$D:$D,Analysis!CE$1,Errors!$F:$F,Analysis!$BS6,Errors!$O:$O,"YES")</f>
        <v>0</v>
      </c>
      <c r="CF6" s="34">
        <f>COUNTIFS(Errors!$D:$D,Analysis!CF$1,Errors!$F:$F,Analysis!$BS6,Errors!$O:$O,"YES")</f>
        <v>0</v>
      </c>
      <c r="CG6" s="34">
        <f>COUNTIFS(Errors!$D:$D,Analysis!CG$1,Errors!$F:$F,Analysis!$BS6,Errors!$O:$O,"YES")</f>
        <v>0</v>
      </c>
      <c r="CH6" s="34">
        <f>COUNTIFS(Errors!$D:$D,Analysis!CH$1,Errors!$F:$F,Analysis!$BS6,Errors!$O:$O,"YES")</f>
        <v>0</v>
      </c>
      <c r="CI6" s="34">
        <f>COUNTIFS(Errors!$D:$D,Analysis!CI$1,Errors!$F:$F,Analysis!$BS6,Errors!$O:$O,"YES")</f>
        <v>0</v>
      </c>
      <c r="CJ6" s="34">
        <f>COUNTIFS(Errors!$D:$D,Analysis!CJ$1,Errors!$F:$F,Analysis!$BS6,Errors!$O:$O,"YES")</f>
        <v>0</v>
      </c>
      <c r="CK6" s="34">
        <f>COUNTIFS(Errors!$D:$D,Analysis!CK$1,Errors!$F:$F,Analysis!$BS6,Errors!$O:$O,"YES")</f>
        <v>0</v>
      </c>
      <c r="CL6" s="34">
        <f>COUNTIFS(Errors!$D:$D,Analysis!CL$1,Errors!$F:$F,Analysis!$BS6,Errors!$O:$O,"YES")</f>
        <v>0</v>
      </c>
      <c r="CM6" s="34">
        <f>COUNTIFS(Errors!$D:$D,Analysis!CM$1,Errors!$F:$F,Analysis!$BS6,Errors!$O:$O,"YES")</f>
        <v>0</v>
      </c>
      <c r="CN6" s="34">
        <f>COUNTIFS(Errors!$D:$D,Analysis!CN$1,Errors!$F:$F,Analysis!$BS6,Errors!$O:$O,"YES")</f>
        <v>0</v>
      </c>
      <c r="CO6" s="34">
        <f>COUNTIFS(Errors!$D:$D,Analysis!CO$1,Errors!$F:$F,Analysis!$BS6,Errors!$O:$O,"YES")</f>
        <v>0</v>
      </c>
      <c r="CP6" s="34">
        <f>COUNTIFS(Errors!$D:$D,Analysis!CP$1,Errors!$F:$F,Analysis!$BS6,Errors!$O:$O,"YES")</f>
        <v>0</v>
      </c>
      <c r="CQ6" s="34">
        <f>COUNTIFS(Errors!$D:$D,Analysis!CQ$1,Errors!$F:$F,Analysis!$BS6,Errors!$O:$O,"YES")</f>
        <v>0</v>
      </c>
      <c r="CR6" s="34">
        <f>COUNTIFS(Errors!$D:$D,Analysis!CR$1,Errors!$F:$F,Analysis!$BS6,Errors!$O:$O,"YES")</f>
        <v>0</v>
      </c>
      <c r="CS6" s="34">
        <f>COUNTIFS(Errors!$D:$D,Analysis!CS$1,Errors!$F:$F,Analysis!$BS6,Errors!$O:$O,"YES")</f>
        <v>0</v>
      </c>
      <c r="CT6" s="34">
        <f>COUNTIFS(Errors!$D:$D,Analysis!CT$1,Errors!$F:$F,Analysis!$BS6,Errors!$O:$O,"YES")</f>
        <v>0</v>
      </c>
      <c r="CU6" s="34">
        <f>COUNTIFS(Errors!$D:$D,Analysis!CU$1,Errors!$F:$F,Analysis!$BS6,Errors!$O:$O,"YES")</f>
        <v>0</v>
      </c>
      <c r="CV6" s="34">
        <f>COUNTIFS(Errors!$D:$D,Analysis!CV$1,Errors!$F:$F,Analysis!$BS6,Errors!$O:$O,"YES")</f>
        <v>0</v>
      </c>
      <c r="CW6" s="34">
        <f>COUNTIFS(Errors!$D:$D,Analysis!CW$1,Errors!$F:$F,Analysis!$BS6,Errors!$O:$O,"YES")</f>
        <v>0</v>
      </c>
      <c r="CX6" s="34">
        <f>COUNTIFS(Errors!$D:$D,Analysis!CX$1,Errors!$F:$F,Analysis!$BS6,Errors!$O:$O,"YES")</f>
        <v>0</v>
      </c>
      <c r="CZ6" s="39">
        <f t="shared" si="3"/>
        <v>0</v>
      </c>
      <c r="DB6" s="42">
        <f t="shared" si="4"/>
        <v>0</v>
      </c>
      <c r="DC6" s="41" t="s">
        <v>63</v>
      </c>
    </row>
    <row r="7">
      <c r="A7" s="32" t="s">
        <v>64</v>
      </c>
      <c r="B7" s="33">
        <f>COUNTIF(Errors!$I$3:$I$3008,$A7)</f>
        <v>0</v>
      </c>
      <c r="C7" s="34">
        <f>COUNTIFS(Errors!$I$3:$I$3008,$A7,Errors!$J$3:$J$3008,"Bacc")</f>
        <v>0</v>
      </c>
      <c r="D7" s="34">
        <f>COUNTIFS(Errors!$I$3:$I$3008,$A7,Errors!$J$3:$J$3008,"Rou")</f>
        <v>0</v>
      </c>
      <c r="E7" s="34">
        <f>COUNTIFS(Errors!$I$3:$I$3008,$A7,Errors!$J$3:$J$3008,"Sic Bo")</f>
        <v>0</v>
      </c>
      <c r="G7" s="35"/>
      <c r="H7" s="33">
        <f>COUNTIF(Errors!$F$3:$F$3008,$G7)</f>
        <v>0</v>
      </c>
      <c r="I7" s="34">
        <f>COUNTIFS(Errors!$F$3:$F$3008,$G7,Errors!$I$3:$I$3008,"TV*")</f>
        <v>0</v>
      </c>
      <c r="J7" s="34">
        <f>COUNTIFS(Errors!$F$3:$F$3008,$G7,Errors!$I$3:$I$3008,"&lt;&gt;TV*")</f>
        <v>0</v>
      </c>
      <c r="K7" s="34">
        <f>COUNTIFS(Errors!$F$3:$F$3008,$G7,Errors!$Q$3:$Q$3008,"yes")</f>
        <v>0</v>
      </c>
      <c r="M7" s="35"/>
      <c r="N7" s="33">
        <f>COUNTIFS(Errors!$O$3:$O$3008,"Yes",Errors!$F$3:$F$3008,$M7)+COUNTIFS(Errors!$P$3:$P$3008,"Yes",Errors!$F$3:$F$3008,$M7)</f>
        <v>0</v>
      </c>
      <c r="O7" s="36">
        <f>COUNTIFS(Errors!$O$3:$O$3008,"Yes",Errors!$F$3:$F$3008,$M7,Errors!$I$3:$I$3008,"TV*")+COUNTIFS(Errors!$P$3:$P$3008,"Yes",Errors!$F$3:$F$3008,$M7,Errors!$I$3:$I$3008,"TV*")</f>
        <v>0</v>
      </c>
      <c r="P7" s="34">
        <f>COUNTIFS(Errors!$O$3:$O$3008,"Yes",Errors!$F$3:$F$3008,$M7,Errors!$I$3:$I$3008,"&lt;&gt;TV*")+COUNTIFS(Errors!$P$3:$P$3008,"Yes",Errors!$F$3:$F$3008,$M7,Errors!$I$3:$I$3008,"&lt;&gt;TV*")</f>
        <v>0</v>
      </c>
      <c r="Q7" s="35">
        <f>COUNTIFS(Errors!$F$3:$F$3008,$M7,Errors!$O$3:$O$3008,"yes")</f>
        <v>0</v>
      </c>
      <c r="R7" s="35">
        <f>COUNTIFS(Errors!$F$3:$F$3008,$M7,Errors!$P$3:$P$3008,"yes")</f>
        <v>0</v>
      </c>
      <c r="AE7" s="35"/>
      <c r="AF7" s="37">
        <f>COUNTIFS(Errors!$F:$F,Analysis!$AE36,Errors!$D:$D,Analysis!$AF$2)</f>
        <v>0</v>
      </c>
      <c r="AG7" s="34">
        <f>COUNTIFS(Errors!$F:$F,Analysis!$AE36,Errors!$D:$D,Analysis!$AG$2)</f>
        <v>0</v>
      </c>
      <c r="AH7" s="34">
        <f>COUNTIFS(Errors!$F:$F,Analysis!$AE36,Errors!$D:$D,Analysis!$AH$2)</f>
        <v>0</v>
      </c>
      <c r="AI7" s="34">
        <f>COUNTIFS(Errors!$F:$F,Analysis!$AE36,Errors!$D:$D,Analysis!$AI$2)</f>
        <v>0</v>
      </c>
      <c r="AJ7" s="34">
        <f>COUNTIFS(Errors!$F:$F,Analysis!$AE36,Errors!$D:$D,Analysis!$AJ$2)</f>
        <v>0</v>
      </c>
      <c r="AK7" s="34">
        <f>COUNTIFS(Errors!$F:$F,Analysis!$AE36,Errors!$D:$D,Analysis!$AK$2)</f>
        <v>0</v>
      </c>
      <c r="AL7" s="34">
        <f>COUNTIFS(Errors!$F:$F,Analysis!$AE36,Errors!$D:$D,Analysis!$AL$2)</f>
        <v>0</v>
      </c>
      <c r="AM7" s="34">
        <f>COUNTIFS(Errors!$F:$F,Analysis!$AE36,Errors!$D:$D,Analysis!$AM$2)</f>
        <v>0</v>
      </c>
      <c r="AN7" s="34">
        <f>COUNTIFS(Errors!$F:$F,Analysis!$AE36,Errors!$D:$D,Analysis!$AN$2)</f>
        <v>0</v>
      </c>
      <c r="AO7" s="34">
        <f>COUNTIFS(Errors!$F:$F,Analysis!$AE36,Errors!$D:$D,Analysis!$AO$2)</f>
        <v>0</v>
      </c>
      <c r="AP7" s="34">
        <f>COUNTIFS(Errors!$F:$F,Analysis!$AE36,Errors!$D:$D,Analysis!$AP$2)</f>
        <v>0</v>
      </c>
      <c r="AQ7" s="34">
        <f>COUNTIFS(Errors!$F:$F,Analysis!$AE36,Errors!$D:$D,Analysis!$AQ$2)</f>
        <v>0</v>
      </c>
      <c r="AR7" s="34">
        <f>COUNTIFS(Errors!$F:$F,Analysis!$AE36,Errors!$D:$D,Analysis!$AR$2)</f>
        <v>0</v>
      </c>
      <c r="AS7" s="34">
        <f>COUNTIFS(Errors!$F:$F,Analysis!$AE36,Errors!$D:$D,Analysis!$AS$2)</f>
        <v>0</v>
      </c>
      <c r="AT7" s="34">
        <f>COUNTIFS(Errors!$F:$F,Analysis!$AE36,Errors!$D:$D,Analysis!$AT$2)</f>
        <v>0</v>
      </c>
      <c r="AU7" s="34">
        <f>COUNTIFS(Errors!$F:$F,Analysis!$AE36,Errors!$D:$D,Analysis!$AU$2)</f>
        <v>0</v>
      </c>
      <c r="AV7" s="34">
        <f>COUNTIFS(Errors!$F:$F,Analysis!$AE36,Errors!$D:$D,Analysis!$AV$2)</f>
        <v>0</v>
      </c>
      <c r="AW7" s="34">
        <f>COUNTIFS(Errors!$F:$F,Analysis!$AE36,Errors!$D:$D,Analysis!$AW$2)</f>
        <v>0</v>
      </c>
      <c r="AX7" s="34">
        <f>COUNTIFS(Errors!$F:$F,Analysis!$AE36,Errors!$D:$D,Analysis!$AX$2)</f>
        <v>0</v>
      </c>
      <c r="AY7" s="34">
        <f>COUNTIFS(Errors!$F:$F,Analysis!$AE36,Errors!$D:$D,Analysis!$AY$2)</f>
        <v>0</v>
      </c>
      <c r="AZ7" s="34">
        <f>COUNTIFS(Errors!$F:$F,Analysis!$AE36,Errors!$D:$D,Analysis!$AZ$2)</f>
        <v>0</v>
      </c>
      <c r="BA7" s="34">
        <f>COUNTIFS(Errors!$F:$F,Analysis!$AE36,Errors!$D:$D,Analysis!$BA$2)</f>
        <v>0</v>
      </c>
      <c r="BB7" s="34">
        <f>COUNTIFS(Errors!$F:$F,Analysis!$AE36,Errors!$D:$D,Analysis!$BB$2)</f>
        <v>0</v>
      </c>
      <c r="BC7" s="34">
        <f>COUNTIFS(Errors!$F:$F,Analysis!$AE36,Errors!$D:$D,Analysis!$BC$2)</f>
        <v>0</v>
      </c>
      <c r="BD7" s="34">
        <f>COUNTIFS(Errors!$F:$F,Analysis!$AE36,Errors!$D:$D,Analysis!$BD$2)</f>
        <v>0</v>
      </c>
      <c r="BE7" s="34">
        <f>COUNTIFS(Errors!$F:$F,Analysis!$AE36,Errors!$D:$D,Analysis!$BE$2)</f>
        <v>0</v>
      </c>
      <c r="BF7" s="34">
        <f>COUNTIFS(Errors!$F:$F,Analysis!$AE36,Errors!$D:$D,Analysis!$BF$2)</f>
        <v>0</v>
      </c>
      <c r="BG7" s="34">
        <f>COUNTIFS(Errors!$F:$F,Analysis!$AE36,Errors!$D:$D,Analysis!$BG$2)</f>
        <v>0</v>
      </c>
      <c r="BH7" s="34">
        <f>COUNTIFS(Errors!$F:$F,Analysis!$AE36,Errors!$D:$D,Analysis!$BH$2)</f>
        <v>0</v>
      </c>
      <c r="BI7" s="34">
        <f>COUNTIFS(Errors!$F:$F,Analysis!$AE36,Errors!$D:$D,Analysis!$BI$2)</f>
        <v>0</v>
      </c>
      <c r="BJ7" s="34">
        <f>COUNTIFS(Errors!$F:$F,Analysis!$AE36,Errors!$D:$D,Analysis!$BJ$2)</f>
        <v>0</v>
      </c>
      <c r="BL7" s="39">
        <f t="shared" si="1"/>
        <v>0</v>
      </c>
      <c r="BN7" s="40">
        <f t="shared" si="2"/>
        <v>0</v>
      </c>
      <c r="BO7" s="41" t="s">
        <v>65</v>
      </c>
      <c r="BS7" s="35" t="s">
        <v>65</v>
      </c>
      <c r="BT7" s="34">
        <f>COUNTIFS(Errors!$D:$D,Analysis!BT$1,Errors!$F:$F,Analysis!$BS7,Errors!$O:$O,"YES")</f>
        <v>0</v>
      </c>
      <c r="BU7" s="34">
        <f>COUNTIFS(Errors!$D:$D,Analysis!BU$1,Errors!$F:$F,Analysis!$BS7,Errors!$O:$O,"YES")</f>
        <v>0</v>
      </c>
      <c r="BV7" s="34">
        <f>COUNTIFS(Errors!$D:$D,Analysis!BV$1,Errors!$F:$F,Analysis!$BS7,Errors!$O:$O,"YES")</f>
        <v>0</v>
      </c>
      <c r="BW7" s="34">
        <f>COUNTIFS(Errors!$D:$D,Analysis!BW$1,Errors!$F:$F,Analysis!$BS7,Errors!$O:$O,"YES")</f>
        <v>0</v>
      </c>
      <c r="BX7" s="34">
        <f>COUNTIFS(Errors!$D:$D,Analysis!BX$1,Errors!$F:$F,Analysis!$BS7,Errors!$O:$O,"YES")</f>
        <v>0</v>
      </c>
      <c r="BY7" s="34">
        <f>COUNTIFS(Errors!$D:$D,Analysis!BY$1,Errors!$F:$F,Analysis!$BS7,Errors!$O:$O,"YES")</f>
        <v>0</v>
      </c>
      <c r="BZ7" s="34">
        <f>COUNTIFS(Errors!$D:$D,Analysis!BZ$1,Errors!$F:$F,Analysis!$BS7,Errors!$O:$O,"YES")</f>
        <v>0</v>
      </c>
      <c r="CA7" s="34">
        <f>COUNTIFS(Errors!$D:$D,Analysis!CA$1,Errors!$F:$F,Analysis!$BS7,Errors!$O:$O,"YES")</f>
        <v>0</v>
      </c>
      <c r="CB7" s="34">
        <f>COUNTIFS(Errors!$D:$D,Analysis!CB$1,Errors!$F:$F,Analysis!$BS7,Errors!$O:$O,"YES")</f>
        <v>0</v>
      </c>
      <c r="CC7" s="34">
        <f>COUNTIFS(Errors!$D:$D,Analysis!CC$1,Errors!$F:$F,Analysis!$BS7,Errors!$O:$O,"YES")</f>
        <v>0</v>
      </c>
      <c r="CD7" s="34">
        <f>COUNTIFS(Errors!$D:$D,Analysis!CD$1,Errors!$F:$F,Analysis!$BS7,Errors!$O:$O,"YES")</f>
        <v>0</v>
      </c>
      <c r="CE7" s="34">
        <f>COUNTIFS(Errors!$D:$D,Analysis!CE$1,Errors!$F:$F,Analysis!$BS7,Errors!$O:$O,"YES")</f>
        <v>0</v>
      </c>
      <c r="CF7" s="34">
        <f>COUNTIFS(Errors!$D:$D,Analysis!CF$1,Errors!$F:$F,Analysis!$BS7,Errors!$O:$O,"YES")</f>
        <v>0</v>
      </c>
      <c r="CG7" s="34">
        <f>COUNTIFS(Errors!$D:$D,Analysis!CG$1,Errors!$F:$F,Analysis!$BS7,Errors!$O:$O,"YES")</f>
        <v>0</v>
      </c>
      <c r="CH7" s="34">
        <f>COUNTIFS(Errors!$D:$D,Analysis!CH$1,Errors!$F:$F,Analysis!$BS7,Errors!$O:$O,"YES")</f>
        <v>0</v>
      </c>
      <c r="CI7" s="34">
        <f>COUNTIFS(Errors!$D:$D,Analysis!CI$1,Errors!$F:$F,Analysis!$BS7,Errors!$O:$O,"YES")</f>
        <v>0</v>
      </c>
      <c r="CJ7" s="34">
        <f>COUNTIFS(Errors!$D:$D,Analysis!CJ$1,Errors!$F:$F,Analysis!$BS7,Errors!$O:$O,"YES")</f>
        <v>0</v>
      </c>
      <c r="CK7" s="34">
        <f>COUNTIFS(Errors!$D:$D,Analysis!CK$1,Errors!$F:$F,Analysis!$BS7,Errors!$O:$O,"YES")</f>
        <v>0</v>
      </c>
      <c r="CL7" s="34">
        <f>COUNTIFS(Errors!$D:$D,Analysis!CL$1,Errors!$F:$F,Analysis!$BS7,Errors!$O:$O,"YES")</f>
        <v>0</v>
      </c>
      <c r="CM7" s="34">
        <f>COUNTIFS(Errors!$D:$D,Analysis!CM$1,Errors!$F:$F,Analysis!$BS7,Errors!$O:$O,"YES")</f>
        <v>0</v>
      </c>
      <c r="CN7" s="34">
        <f>COUNTIFS(Errors!$D:$D,Analysis!CN$1,Errors!$F:$F,Analysis!$BS7,Errors!$O:$O,"YES")</f>
        <v>0</v>
      </c>
      <c r="CO7" s="34">
        <f>COUNTIFS(Errors!$D:$D,Analysis!CO$1,Errors!$F:$F,Analysis!$BS7,Errors!$O:$O,"YES")</f>
        <v>0</v>
      </c>
      <c r="CP7" s="34">
        <f>COUNTIFS(Errors!$D:$D,Analysis!CP$1,Errors!$F:$F,Analysis!$BS7,Errors!$O:$O,"YES")</f>
        <v>0</v>
      </c>
      <c r="CQ7" s="34">
        <f>COUNTIFS(Errors!$D:$D,Analysis!CQ$1,Errors!$F:$F,Analysis!$BS7,Errors!$O:$O,"YES")</f>
        <v>0</v>
      </c>
      <c r="CR7" s="34">
        <f>COUNTIFS(Errors!$D:$D,Analysis!CR$1,Errors!$F:$F,Analysis!$BS7,Errors!$O:$O,"YES")</f>
        <v>0</v>
      </c>
      <c r="CS7" s="34">
        <f>COUNTIFS(Errors!$D:$D,Analysis!CS$1,Errors!$F:$F,Analysis!$BS7,Errors!$O:$O,"YES")</f>
        <v>0</v>
      </c>
      <c r="CT7" s="34">
        <f>COUNTIFS(Errors!$D:$D,Analysis!CT$1,Errors!$F:$F,Analysis!$BS7,Errors!$O:$O,"YES")</f>
        <v>0</v>
      </c>
      <c r="CU7" s="34">
        <f>COUNTIFS(Errors!$D:$D,Analysis!CU$1,Errors!$F:$F,Analysis!$BS7,Errors!$O:$O,"YES")</f>
        <v>0</v>
      </c>
      <c r="CV7" s="34">
        <f>COUNTIFS(Errors!$D:$D,Analysis!CV$1,Errors!$F:$F,Analysis!$BS7,Errors!$O:$O,"YES")</f>
        <v>0</v>
      </c>
      <c r="CW7" s="34">
        <f>COUNTIFS(Errors!$D:$D,Analysis!CW$1,Errors!$F:$F,Analysis!$BS7,Errors!$O:$O,"YES")</f>
        <v>0</v>
      </c>
      <c r="CX7" s="34">
        <f>COUNTIFS(Errors!$D:$D,Analysis!CX$1,Errors!$F:$F,Analysis!$BS7,Errors!$O:$O,"YES")</f>
        <v>0</v>
      </c>
      <c r="CZ7" s="39">
        <f t="shared" si="3"/>
        <v>0</v>
      </c>
      <c r="DB7" s="42">
        <f t="shared" si="4"/>
        <v>0</v>
      </c>
      <c r="DC7" s="41" t="s">
        <v>65</v>
      </c>
    </row>
    <row r="8" ht="15.0" customHeight="1">
      <c r="A8" s="32" t="s">
        <v>66</v>
      </c>
      <c r="B8" s="33">
        <f>COUNTIF(Errors!$I$3:$I$3008,$A8)</f>
        <v>1</v>
      </c>
      <c r="C8" s="34">
        <f>COUNTIFS(Errors!$I$3:$I$3008,$A8,Errors!$J$3:$J$3008,"Bacc")</f>
        <v>0</v>
      </c>
      <c r="D8" s="34">
        <f>COUNTIFS(Errors!$I$3:$I$3008,$A8,Errors!$J$3:$J$3008,"Rou")</f>
        <v>1</v>
      </c>
      <c r="E8" s="34">
        <f>COUNTIFS(Errors!$I$3:$I$3008,$A8,Errors!$J$3:$J$3008,"Sic Bo")</f>
        <v>0</v>
      </c>
      <c r="G8" s="35"/>
      <c r="H8" s="33">
        <f>COUNTIF(Errors!$F$3:$F$3008,$G8)</f>
        <v>0</v>
      </c>
      <c r="I8" s="34">
        <f>COUNTIFS(Errors!$F$3:$F$3008,$G8,Errors!$I$3:$I$3008,"TV*")</f>
        <v>0</v>
      </c>
      <c r="J8" s="34">
        <f>COUNTIFS(Errors!$F$3:$F$3008,$G8,Errors!$I$3:$I$3008,"&lt;&gt;TV*")</f>
        <v>0</v>
      </c>
      <c r="K8" s="34">
        <f>COUNTIFS(Errors!$F$3:$F$3008,$G8,Errors!$Q$3:$Q$3008,"yes")</f>
        <v>0</v>
      </c>
      <c r="M8" s="35"/>
      <c r="N8" s="33">
        <f>COUNTIFS(Errors!$O$3:$O$3008,"Yes",Errors!$F$3:$F$3008,$M8)+COUNTIFS(Errors!$P$3:$P$3008,"Yes",Errors!$F$3:$F$3008,$M8)</f>
        <v>0</v>
      </c>
      <c r="O8" s="36">
        <f>COUNTIFS(Errors!$O$3:$O$3008,"Yes",Errors!$F$3:$F$3008,$M8,Errors!$I$3:$I$3008,"TV*")+COUNTIFS(Errors!$P$3:$P$3008,"Yes",Errors!$F$3:$F$3008,$M8,Errors!$I$3:$I$3008,"TV*")</f>
        <v>0</v>
      </c>
      <c r="P8" s="34">
        <f>COUNTIFS(Errors!$O$3:$O$3008,"Yes",Errors!$F$3:$F$3008,$M8,Errors!$I$3:$I$3008,"&lt;&gt;TV*")+COUNTIFS(Errors!$P$3:$P$3008,"Yes",Errors!$F$3:$F$3008,$M8,Errors!$I$3:$I$3008,"&lt;&gt;TV*")</f>
        <v>0</v>
      </c>
      <c r="Q8" s="35">
        <f>COUNTIFS(Errors!$F$3:$F$3008,$M8,Errors!$O$3:$O$3008,"yes")</f>
        <v>0</v>
      </c>
      <c r="R8" s="35">
        <f>COUNTIFS(Errors!$F$3:$F$3008,$M8,Errors!$P$3:$P$3008,"yes")</f>
        <v>0</v>
      </c>
      <c r="AE8" s="35"/>
      <c r="AF8" s="37">
        <f>COUNTIFS(Errors!$F:$F,Analysis!$AE37,Errors!$D:$D,Analysis!$AF$2)</f>
        <v>0</v>
      </c>
      <c r="AG8" s="34">
        <f>COUNTIFS(Errors!$F:$F,Analysis!$AE37,Errors!$D:$D,Analysis!$AG$2)</f>
        <v>0</v>
      </c>
      <c r="AH8" s="34">
        <f>COUNTIFS(Errors!$F:$F,Analysis!$AE37,Errors!$D:$D,Analysis!$AH$2)</f>
        <v>0</v>
      </c>
      <c r="AI8" s="34">
        <f>COUNTIFS(Errors!$F:$F,Analysis!$AE37,Errors!$D:$D,Analysis!$AI$2)</f>
        <v>0</v>
      </c>
      <c r="AJ8" s="34">
        <f>COUNTIFS(Errors!$F:$F,Analysis!$AE37,Errors!$D:$D,Analysis!$AJ$2)</f>
        <v>0</v>
      </c>
      <c r="AK8" s="34">
        <f>COUNTIFS(Errors!$F:$F,Analysis!$AE37,Errors!$D:$D,Analysis!$AK$2)</f>
        <v>0</v>
      </c>
      <c r="AL8" s="34">
        <f>COUNTIFS(Errors!$F:$F,Analysis!$AE37,Errors!$D:$D,Analysis!$AL$2)</f>
        <v>0</v>
      </c>
      <c r="AM8" s="34">
        <f>COUNTIFS(Errors!$F:$F,Analysis!$AE37,Errors!$D:$D,Analysis!$AM$2)</f>
        <v>0</v>
      </c>
      <c r="AN8" s="34">
        <f>COUNTIFS(Errors!$F:$F,Analysis!$AE37,Errors!$D:$D,Analysis!$AN$2)</f>
        <v>0</v>
      </c>
      <c r="AO8" s="34">
        <f>COUNTIFS(Errors!$F:$F,Analysis!$AE37,Errors!$D:$D,Analysis!$AO$2)</f>
        <v>0</v>
      </c>
      <c r="AP8" s="34">
        <f>COUNTIFS(Errors!$F:$F,Analysis!$AE37,Errors!$D:$D,Analysis!$AP$2)</f>
        <v>0</v>
      </c>
      <c r="AQ8" s="34">
        <f>COUNTIFS(Errors!$F:$F,Analysis!$AE37,Errors!$D:$D,Analysis!$AQ$2)</f>
        <v>0</v>
      </c>
      <c r="AR8" s="34">
        <f>COUNTIFS(Errors!$F:$F,Analysis!$AE37,Errors!$D:$D,Analysis!$AR$2)</f>
        <v>0</v>
      </c>
      <c r="AS8" s="34">
        <f>COUNTIFS(Errors!$F:$F,Analysis!$AE37,Errors!$D:$D,Analysis!$AS$2)</f>
        <v>0</v>
      </c>
      <c r="AT8" s="34">
        <f>COUNTIFS(Errors!$F:$F,Analysis!$AE37,Errors!$D:$D,Analysis!$AT$2)</f>
        <v>0</v>
      </c>
      <c r="AU8" s="34">
        <f>COUNTIFS(Errors!$F:$F,Analysis!$AE37,Errors!$D:$D,Analysis!$AU$2)</f>
        <v>0</v>
      </c>
      <c r="AV8" s="34">
        <f>COUNTIFS(Errors!$F:$F,Analysis!$AE37,Errors!$D:$D,Analysis!$AV$2)</f>
        <v>0</v>
      </c>
      <c r="AW8" s="34">
        <f>COUNTIFS(Errors!$F:$F,Analysis!$AE37,Errors!$D:$D,Analysis!$AW$2)</f>
        <v>0</v>
      </c>
      <c r="AX8" s="34">
        <f>COUNTIFS(Errors!$F:$F,Analysis!$AE37,Errors!$D:$D,Analysis!$AX$2)</f>
        <v>0</v>
      </c>
      <c r="AY8" s="34">
        <f>COUNTIFS(Errors!$F:$F,Analysis!$AE37,Errors!$D:$D,Analysis!$AY$2)</f>
        <v>0</v>
      </c>
      <c r="AZ8" s="34">
        <f>COUNTIFS(Errors!$F:$F,Analysis!$AE37,Errors!$D:$D,Analysis!$AZ$2)</f>
        <v>0</v>
      </c>
      <c r="BA8" s="34">
        <f>COUNTIFS(Errors!$F:$F,Analysis!$AE37,Errors!$D:$D,Analysis!$BA$2)</f>
        <v>0</v>
      </c>
      <c r="BB8" s="34">
        <f>COUNTIFS(Errors!$F:$F,Analysis!$AE37,Errors!$D:$D,Analysis!$BB$2)</f>
        <v>0</v>
      </c>
      <c r="BC8" s="34">
        <f>COUNTIFS(Errors!$F:$F,Analysis!$AE37,Errors!$D:$D,Analysis!$BC$2)</f>
        <v>0</v>
      </c>
      <c r="BD8" s="34">
        <f>COUNTIFS(Errors!$F:$F,Analysis!$AE37,Errors!$D:$D,Analysis!$BD$2)</f>
        <v>0</v>
      </c>
      <c r="BE8" s="34">
        <f>COUNTIFS(Errors!$F:$F,Analysis!$AE37,Errors!$D:$D,Analysis!$BE$2)</f>
        <v>0</v>
      </c>
      <c r="BF8" s="34">
        <f>COUNTIFS(Errors!$F:$F,Analysis!$AE37,Errors!$D:$D,Analysis!$BF$2)</f>
        <v>0</v>
      </c>
      <c r="BG8" s="34">
        <f>COUNTIFS(Errors!$F:$F,Analysis!$AE37,Errors!$D:$D,Analysis!$BG$2)</f>
        <v>0</v>
      </c>
      <c r="BH8" s="34">
        <f>COUNTIFS(Errors!$F:$F,Analysis!$AE37,Errors!$D:$D,Analysis!$BH$2)</f>
        <v>0</v>
      </c>
      <c r="BI8" s="34">
        <f>COUNTIFS(Errors!$F:$F,Analysis!$AE37,Errors!$D:$D,Analysis!$BI$2)</f>
        <v>0</v>
      </c>
      <c r="BJ8" s="34">
        <f>COUNTIFS(Errors!$F:$F,Analysis!$AE37,Errors!$D:$D,Analysis!$BJ$2)</f>
        <v>0</v>
      </c>
      <c r="BL8" s="39">
        <f t="shared" si="1"/>
        <v>0</v>
      </c>
      <c r="BN8" s="40">
        <f t="shared" si="2"/>
        <v>0</v>
      </c>
      <c r="BO8" s="41" t="s">
        <v>67</v>
      </c>
      <c r="BS8" s="35" t="s">
        <v>67</v>
      </c>
      <c r="BT8" s="34">
        <f>COUNTIFS(Errors!$D:$D,Analysis!BT$1,Errors!$F:$F,Analysis!$BS8,Errors!$O:$O,"YES")</f>
        <v>0</v>
      </c>
      <c r="BU8" s="34">
        <f>COUNTIFS(Errors!$D:$D,Analysis!BU$1,Errors!$F:$F,Analysis!$BS8,Errors!$O:$O,"YES")</f>
        <v>0</v>
      </c>
      <c r="BV8" s="34">
        <f>COUNTIFS(Errors!$D:$D,Analysis!BV$1,Errors!$F:$F,Analysis!$BS8,Errors!$O:$O,"YES")</f>
        <v>0</v>
      </c>
      <c r="BW8" s="34">
        <f>COUNTIFS(Errors!$D:$D,Analysis!BW$1,Errors!$F:$F,Analysis!$BS8,Errors!$O:$O,"YES")</f>
        <v>0</v>
      </c>
      <c r="BX8" s="34">
        <f>COUNTIFS(Errors!$D:$D,Analysis!BX$1,Errors!$F:$F,Analysis!$BS8,Errors!$O:$O,"YES")</f>
        <v>0</v>
      </c>
      <c r="BY8" s="34">
        <f>COUNTIFS(Errors!$D:$D,Analysis!BY$1,Errors!$F:$F,Analysis!$BS8,Errors!$O:$O,"YES")</f>
        <v>0</v>
      </c>
      <c r="BZ8" s="34">
        <f>COUNTIFS(Errors!$D:$D,Analysis!BZ$1,Errors!$F:$F,Analysis!$BS8,Errors!$O:$O,"YES")</f>
        <v>0</v>
      </c>
      <c r="CA8" s="34">
        <f>COUNTIFS(Errors!$D:$D,Analysis!CA$1,Errors!$F:$F,Analysis!$BS8,Errors!$O:$O,"YES")</f>
        <v>0</v>
      </c>
      <c r="CB8" s="34">
        <f>COUNTIFS(Errors!$D:$D,Analysis!CB$1,Errors!$F:$F,Analysis!$BS8,Errors!$O:$O,"YES")</f>
        <v>0</v>
      </c>
      <c r="CC8" s="34">
        <f>COUNTIFS(Errors!$D:$D,Analysis!CC$1,Errors!$F:$F,Analysis!$BS8,Errors!$O:$O,"YES")</f>
        <v>0</v>
      </c>
      <c r="CD8" s="34">
        <f>COUNTIFS(Errors!$D:$D,Analysis!CD$1,Errors!$F:$F,Analysis!$BS8,Errors!$O:$O,"YES")</f>
        <v>0</v>
      </c>
      <c r="CE8" s="34">
        <f>COUNTIFS(Errors!$D:$D,Analysis!CE$1,Errors!$F:$F,Analysis!$BS8,Errors!$O:$O,"YES")</f>
        <v>0</v>
      </c>
      <c r="CF8" s="34">
        <f>COUNTIFS(Errors!$D:$D,Analysis!CF$1,Errors!$F:$F,Analysis!$BS8,Errors!$O:$O,"YES")</f>
        <v>0</v>
      </c>
      <c r="CG8" s="34">
        <f>COUNTIFS(Errors!$D:$D,Analysis!CG$1,Errors!$F:$F,Analysis!$BS8,Errors!$O:$O,"YES")</f>
        <v>0</v>
      </c>
      <c r="CH8" s="34">
        <f>COUNTIFS(Errors!$D:$D,Analysis!CH$1,Errors!$F:$F,Analysis!$BS8,Errors!$O:$O,"YES")</f>
        <v>0</v>
      </c>
      <c r="CI8" s="34">
        <f>COUNTIFS(Errors!$D:$D,Analysis!CI$1,Errors!$F:$F,Analysis!$BS8,Errors!$O:$O,"YES")</f>
        <v>0</v>
      </c>
      <c r="CJ8" s="34">
        <f>COUNTIFS(Errors!$D:$D,Analysis!CJ$1,Errors!$F:$F,Analysis!$BS8,Errors!$O:$O,"YES")</f>
        <v>0</v>
      </c>
      <c r="CK8" s="34">
        <f>COUNTIFS(Errors!$D:$D,Analysis!CK$1,Errors!$F:$F,Analysis!$BS8,Errors!$O:$O,"YES")</f>
        <v>0</v>
      </c>
      <c r="CL8" s="34">
        <f>COUNTIFS(Errors!$D:$D,Analysis!CL$1,Errors!$F:$F,Analysis!$BS8,Errors!$O:$O,"YES")</f>
        <v>0</v>
      </c>
      <c r="CM8" s="34">
        <f>COUNTIFS(Errors!$D:$D,Analysis!CM$1,Errors!$F:$F,Analysis!$BS8,Errors!$O:$O,"YES")</f>
        <v>0</v>
      </c>
      <c r="CN8" s="34">
        <f>COUNTIFS(Errors!$D:$D,Analysis!CN$1,Errors!$F:$F,Analysis!$BS8,Errors!$O:$O,"YES")</f>
        <v>0</v>
      </c>
      <c r="CO8" s="34">
        <f>COUNTIFS(Errors!$D:$D,Analysis!CO$1,Errors!$F:$F,Analysis!$BS8,Errors!$O:$O,"YES")</f>
        <v>0</v>
      </c>
      <c r="CP8" s="34">
        <f>COUNTIFS(Errors!$D:$D,Analysis!CP$1,Errors!$F:$F,Analysis!$BS8,Errors!$O:$O,"YES")</f>
        <v>0</v>
      </c>
      <c r="CQ8" s="34">
        <f>COUNTIFS(Errors!$D:$D,Analysis!CQ$1,Errors!$F:$F,Analysis!$BS8,Errors!$O:$O,"YES")</f>
        <v>0</v>
      </c>
      <c r="CR8" s="34">
        <f>COUNTIFS(Errors!$D:$D,Analysis!CR$1,Errors!$F:$F,Analysis!$BS8,Errors!$O:$O,"YES")</f>
        <v>0</v>
      </c>
      <c r="CS8" s="34">
        <f>COUNTIFS(Errors!$D:$D,Analysis!CS$1,Errors!$F:$F,Analysis!$BS8,Errors!$O:$O,"YES")</f>
        <v>0</v>
      </c>
      <c r="CT8" s="34">
        <f>COUNTIFS(Errors!$D:$D,Analysis!CT$1,Errors!$F:$F,Analysis!$BS8,Errors!$O:$O,"YES")</f>
        <v>0</v>
      </c>
      <c r="CU8" s="34">
        <f>COUNTIFS(Errors!$D:$D,Analysis!CU$1,Errors!$F:$F,Analysis!$BS8,Errors!$O:$O,"YES")</f>
        <v>0</v>
      </c>
      <c r="CV8" s="34">
        <f>COUNTIFS(Errors!$D:$D,Analysis!CV$1,Errors!$F:$F,Analysis!$BS8,Errors!$O:$O,"YES")</f>
        <v>0</v>
      </c>
      <c r="CW8" s="34">
        <f>COUNTIFS(Errors!$D:$D,Analysis!CW$1,Errors!$F:$F,Analysis!$BS8,Errors!$O:$O,"YES")</f>
        <v>0</v>
      </c>
      <c r="CX8" s="34">
        <f>COUNTIFS(Errors!$D:$D,Analysis!CX$1,Errors!$F:$F,Analysis!$BS8,Errors!$O:$O,"YES")</f>
        <v>0</v>
      </c>
      <c r="CZ8" s="39">
        <f t="shared" si="3"/>
        <v>0</v>
      </c>
      <c r="DB8" s="42">
        <f t="shared" si="4"/>
        <v>0</v>
      </c>
      <c r="DC8" s="41" t="s">
        <v>67</v>
      </c>
    </row>
    <row r="9">
      <c r="A9" s="44" t="s">
        <v>68</v>
      </c>
      <c r="B9" s="33">
        <f>COUNTIF(Errors!$I$3:$I$3008,$A9)</f>
        <v>1</v>
      </c>
      <c r="C9" s="34">
        <f>COUNTIFS(Errors!$I$3:$I$3008,$A9,Errors!$J$3:$J$3008,"Bacc")</f>
        <v>1</v>
      </c>
      <c r="D9" s="34">
        <f>COUNTIFS(Errors!$I$3:$I$3008,$A9,Errors!$J$3:$J$3008,"Rou")</f>
        <v>0</v>
      </c>
      <c r="E9" s="34">
        <f>COUNTIFS(Errors!$I$3:$I$3008,$A9,Errors!$J$3:$J$3008,"Sic Bo")</f>
        <v>0</v>
      </c>
      <c r="G9" s="35"/>
      <c r="H9" s="33">
        <f>COUNTIF(Errors!$F$3:$F$3008,$G9)</f>
        <v>0</v>
      </c>
      <c r="I9" s="34">
        <f>COUNTIFS(Errors!$F$3:$F$3008,$G9,Errors!$I$3:$I$3008,"TV*")</f>
        <v>0</v>
      </c>
      <c r="J9" s="34">
        <f>COUNTIFS(Errors!$F$3:$F$3008,$G9,Errors!$I$3:$I$3008,"&lt;&gt;TV*")</f>
        <v>0</v>
      </c>
      <c r="K9" s="34">
        <f>COUNTIFS(Errors!$F$3:$F$3008,$G9,Errors!$Q$3:$Q$3008,"yes")</f>
        <v>0</v>
      </c>
      <c r="M9" s="35"/>
      <c r="N9" s="33">
        <f>COUNTIFS(Errors!$O$3:$O$3008,"Yes",Errors!$F$3:$F$3008,$M9)+COUNTIFS(Errors!$P$3:$P$3008,"Yes",Errors!$F$3:$F$3008,$M9)</f>
        <v>0</v>
      </c>
      <c r="O9" s="36">
        <f>COUNTIFS(Errors!$O$3:$O$3008,"Yes",Errors!$F$3:$F$3008,$M9,Errors!$I$3:$I$3008,"TV*")+COUNTIFS(Errors!$P$3:$P$3008,"Yes",Errors!$F$3:$F$3008,$M9,Errors!$I$3:$I$3008,"TV*")</f>
        <v>0</v>
      </c>
      <c r="P9" s="34">
        <f>COUNTIFS(Errors!$O$3:$O$3008,"Yes",Errors!$F$3:$F$3008,$M9,Errors!$I$3:$I$3008,"&lt;&gt;TV*")+COUNTIFS(Errors!$P$3:$P$3008,"Yes",Errors!$F$3:$F$3008,$M9,Errors!$I$3:$I$3008,"&lt;&gt;TV*")</f>
        <v>0</v>
      </c>
      <c r="Q9" s="35">
        <f>COUNTIFS(Errors!$F$3:$F$3008,$M9,Errors!$O$3:$O$3008,"yes")</f>
        <v>0</v>
      </c>
      <c r="R9" s="35">
        <f>COUNTIFS(Errors!$F$3:$F$3008,$M9,Errors!$P$3:$P$3008,"yes")</f>
        <v>0</v>
      </c>
      <c r="AE9" s="35"/>
      <c r="AF9" s="37">
        <f>COUNTIFS(Errors!$F:$F,Analysis!$AE38,Errors!$D:$D,Analysis!$AF$2)</f>
        <v>0</v>
      </c>
      <c r="AG9" s="34">
        <f>COUNTIFS(Errors!$F:$F,Analysis!$AE38,Errors!$D:$D,Analysis!$AG$2)</f>
        <v>0</v>
      </c>
      <c r="AH9" s="34">
        <f>COUNTIFS(Errors!$F:$F,Analysis!$AE38,Errors!$D:$D,Analysis!$AH$2)</f>
        <v>0</v>
      </c>
      <c r="AI9" s="34">
        <f>COUNTIFS(Errors!$F:$F,Analysis!$AE38,Errors!$D:$D,Analysis!$AI$2)</f>
        <v>0</v>
      </c>
      <c r="AJ9" s="34">
        <f>COUNTIFS(Errors!$F:$F,Analysis!$AE38,Errors!$D:$D,Analysis!$AJ$2)</f>
        <v>0</v>
      </c>
      <c r="AK9" s="34">
        <f>COUNTIFS(Errors!$F:$F,Analysis!$AE38,Errors!$D:$D,Analysis!$AK$2)</f>
        <v>0</v>
      </c>
      <c r="AL9" s="34">
        <f>COUNTIFS(Errors!$F:$F,Analysis!$AE38,Errors!$D:$D,Analysis!$AL$2)</f>
        <v>0</v>
      </c>
      <c r="AM9" s="34">
        <f>COUNTIFS(Errors!$F:$F,Analysis!$AE38,Errors!$D:$D,Analysis!$AM$2)</f>
        <v>0</v>
      </c>
      <c r="AN9" s="34">
        <f>COUNTIFS(Errors!$F:$F,Analysis!$AE38,Errors!$D:$D,Analysis!$AN$2)</f>
        <v>0</v>
      </c>
      <c r="AO9" s="34">
        <f>COUNTIFS(Errors!$F:$F,Analysis!$AE38,Errors!$D:$D,Analysis!$AO$2)</f>
        <v>0</v>
      </c>
      <c r="AP9" s="34">
        <f>COUNTIFS(Errors!$F:$F,Analysis!$AE38,Errors!$D:$D,Analysis!$AP$2)</f>
        <v>0</v>
      </c>
      <c r="AQ9" s="34">
        <f>COUNTIFS(Errors!$F:$F,Analysis!$AE38,Errors!$D:$D,Analysis!$AQ$2)</f>
        <v>0</v>
      </c>
      <c r="AR9" s="34">
        <f>COUNTIFS(Errors!$F:$F,Analysis!$AE38,Errors!$D:$D,Analysis!$AR$2)</f>
        <v>0</v>
      </c>
      <c r="AS9" s="34">
        <f>COUNTIFS(Errors!$F:$F,Analysis!$AE38,Errors!$D:$D,Analysis!$AS$2)</f>
        <v>0</v>
      </c>
      <c r="AT9" s="34">
        <f>COUNTIFS(Errors!$F:$F,Analysis!$AE38,Errors!$D:$D,Analysis!$AT$2)</f>
        <v>0</v>
      </c>
      <c r="AU9" s="34">
        <f>COUNTIFS(Errors!$F:$F,Analysis!$AE38,Errors!$D:$D,Analysis!$AU$2)</f>
        <v>0</v>
      </c>
      <c r="AV9" s="34">
        <f>COUNTIFS(Errors!$F:$F,Analysis!$AE38,Errors!$D:$D,Analysis!$AV$2)</f>
        <v>0</v>
      </c>
      <c r="AW9" s="34">
        <f>COUNTIFS(Errors!$F:$F,Analysis!$AE38,Errors!$D:$D,Analysis!$AW$2)</f>
        <v>0</v>
      </c>
      <c r="AX9" s="34">
        <f>COUNTIFS(Errors!$F:$F,Analysis!$AE38,Errors!$D:$D,Analysis!$AX$2)</f>
        <v>0</v>
      </c>
      <c r="AY9" s="34">
        <f>COUNTIFS(Errors!$F:$F,Analysis!$AE38,Errors!$D:$D,Analysis!$AY$2)</f>
        <v>0</v>
      </c>
      <c r="AZ9" s="34">
        <f>COUNTIFS(Errors!$F:$F,Analysis!$AE38,Errors!$D:$D,Analysis!$AZ$2)</f>
        <v>0</v>
      </c>
      <c r="BA9" s="34">
        <f>COUNTIFS(Errors!$F:$F,Analysis!$AE38,Errors!$D:$D,Analysis!$BA$2)</f>
        <v>0</v>
      </c>
      <c r="BB9" s="34">
        <f>COUNTIFS(Errors!$F:$F,Analysis!$AE38,Errors!$D:$D,Analysis!$BB$2)</f>
        <v>0</v>
      </c>
      <c r="BC9" s="34">
        <f>COUNTIFS(Errors!$F:$F,Analysis!$AE38,Errors!$D:$D,Analysis!$BC$2)</f>
        <v>0</v>
      </c>
      <c r="BD9" s="34">
        <f>COUNTIFS(Errors!$F:$F,Analysis!$AE38,Errors!$D:$D,Analysis!$BD$2)</f>
        <v>0</v>
      </c>
      <c r="BE9" s="34">
        <f>COUNTIFS(Errors!$F:$F,Analysis!$AE38,Errors!$D:$D,Analysis!$BE$2)</f>
        <v>0</v>
      </c>
      <c r="BF9" s="34">
        <f>COUNTIFS(Errors!$F:$F,Analysis!$AE38,Errors!$D:$D,Analysis!$BF$2)</f>
        <v>0</v>
      </c>
      <c r="BG9" s="34">
        <f>COUNTIFS(Errors!$F:$F,Analysis!$AE38,Errors!$D:$D,Analysis!$BG$2)</f>
        <v>0</v>
      </c>
      <c r="BH9" s="34">
        <f>COUNTIFS(Errors!$F:$F,Analysis!$AE38,Errors!$D:$D,Analysis!$BH$2)</f>
        <v>0</v>
      </c>
      <c r="BI9" s="34">
        <f>COUNTIFS(Errors!$F:$F,Analysis!$AE38,Errors!$D:$D,Analysis!$BI$2)</f>
        <v>0</v>
      </c>
      <c r="BJ9" s="34">
        <f>COUNTIFS(Errors!$F:$F,Analysis!$AE38,Errors!$D:$D,Analysis!$BJ$2)</f>
        <v>0</v>
      </c>
      <c r="BL9" s="39">
        <f t="shared" si="1"/>
        <v>0</v>
      </c>
      <c r="BN9" s="40">
        <f t="shared" si="2"/>
        <v>0</v>
      </c>
      <c r="BO9" s="41" t="s">
        <v>69</v>
      </c>
      <c r="BS9" s="35" t="s">
        <v>69</v>
      </c>
      <c r="BT9" s="34">
        <f>COUNTIFS(Errors!$D:$D,Analysis!BT$1,Errors!$F:$F,Analysis!$BS9,Errors!$O:$O,"YES")</f>
        <v>0</v>
      </c>
      <c r="BU9" s="34">
        <f>COUNTIFS(Errors!$D:$D,Analysis!BU$1,Errors!$F:$F,Analysis!$BS9,Errors!$O:$O,"YES")</f>
        <v>0</v>
      </c>
      <c r="BV9" s="34">
        <f>COUNTIFS(Errors!$D:$D,Analysis!BV$1,Errors!$F:$F,Analysis!$BS9,Errors!$O:$O,"YES")</f>
        <v>0</v>
      </c>
      <c r="BW9" s="34">
        <f>COUNTIFS(Errors!$D:$D,Analysis!BW$1,Errors!$F:$F,Analysis!$BS9,Errors!$O:$O,"YES")</f>
        <v>0</v>
      </c>
      <c r="BX9" s="34">
        <f>COUNTIFS(Errors!$D:$D,Analysis!BX$1,Errors!$F:$F,Analysis!$BS9,Errors!$O:$O,"YES")</f>
        <v>0</v>
      </c>
      <c r="BY9" s="34">
        <f>COUNTIFS(Errors!$D:$D,Analysis!BY$1,Errors!$F:$F,Analysis!$BS9,Errors!$O:$O,"YES")</f>
        <v>0</v>
      </c>
      <c r="BZ9" s="34">
        <f>COUNTIFS(Errors!$D:$D,Analysis!BZ$1,Errors!$F:$F,Analysis!$BS9,Errors!$O:$O,"YES")</f>
        <v>0</v>
      </c>
      <c r="CA9" s="34">
        <f>COUNTIFS(Errors!$D:$D,Analysis!CA$1,Errors!$F:$F,Analysis!$BS9,Errors!$O:$O,"YES")</f>
        <v>0</v>
      </c>
      <c r="CB9" s="34">
        <f>COUNTIFS(Errors!$D:$D,Analysis!CB$1,Errors!$F:$F,Analysis!$BS9,Errors!$O:$O,"YES")</f>
        <v>0</v>
      </c>
      <c r="CC9" s="34">
        <f>COUNTIFS(Errors!$D:$D,Analysis!CC$1,Errors!$F:$F,Analysis!$BS9,Errors!$O:$O,"YES")</f>
        <v>0</v>
      </c>
      <c r="CD9" s="34">
        <f>COUNTIFS(Errors!$D:$D,Analysis!CD$1,Errors!$F:$F,Analysis!$BS9,Errors!$O:$O,"YES")</f>
        <v>0</v>
      </c>
      <c r="CE9" s="34">
        <f>COUNTIFS(Errors!$D:$D,Analysis!CE$1,Errors!$F:$F,Analysis!$BS9,Errors!$O:$O,"YES")</f>
        <v>0</v>
      </c>
      <c r="CF9" s="34">
        <f>COUNTIFS(Errors!$D:$D,Analysis!CF$1,Errors!$F:$F,Analysis!$BS9,Errors!$O:$O,"YES")</f>
        <v>0</v>
      </c>
      <c r="CG9" s="34">
        <f>COUNTIFS(Errors!$D:$D,Analysis!CG$1,Errors!$F:$F,Analysis!$BS9,Errors!$O:$O,"YES")</f>
        <v>0</v>
      </c>
      <c r="CH9" s="34">
        <f>COUNTIFS(Errors!$D:$D,Analysis!CH$1,Errors!$F:$F,Analysis!$BS9,Errors!$O:$O,"YES")</f>
        <v>0</v>
      </c>
      <c r="CI9" s="34">
        <f>COUNTIFS(Errors!$D:$D,Analysis!CI$1,Errors!$F:$F,Analysis!$BS9,Errors!$O:$O,"YES")</f>
        <v>0</v>
      </c>
      <c r="CJ9" s="34">
        <f>COUNTIFS(Errors!$D:$D,Analysis!CJ$1,Errors!$F:$F,Analysis!$BS9,Errors!$O:$O,"YES")</f>
        <v>0</v>
      </c>
      <c r="CK9" s="34">
        <f>COUNTIFS(Errors!$D:$D,Analysis!CK$1,Errors!$F:$F,Analysis!$BS9,Errors!$O:$O,"YES")</f>
        <v>0</v>
      </c>
      <c r="CL9" s="34">
        <f>COUNTIFS(Errors!$D:$D,Analysis!CL$1,Errors!$F:$F,Analysis!$BS9,Errors!$O:$O,"YES")</f>
        <v>0</v>
      </c>
      <c r="CM9" s="34">
        <f>COUNTIFS(Errors!$D:$D,Analysis!CM$1,Errors!$F:$F,Analysis!$BS9,Errors!$O:$O,"YES")</f>
        <v>0</v>
      </c>
      <c r="CN9" s="34">
        <f>COUNTIFS(Errors!$D:$D,Analysis!CN$1,Errors!$F:$F,Analysis!$BS9,Errors!$O:$O,"YES")</f>
        <v>0</v>
      </c>
      <c r="CO9" s="34">
        <f>COUNTIFS(Errors!$D:$D,Analysis!CO$1,Errors!$F:$F,Analysis!$BS9,Errors!$O:$O,"YES")</f>
        <v>0</v>
      </c>
      <c r="CP9" s="34">
        <f>COUNTIFS(Errors!$D:$D,Analysis!CP$1,Errors!$F:$F,Analysis!$BS9,Errors!$O:$O,"YES")</f>
        <v>0</v>
      </c>
      <c r="CQ9" s="34">
        <f>COUNTIFS(Errors!$D:$D,Analysis!CQ$1,Errors!$F:$F,Analysis!$BS9,Errors!$O:$O,"YES")</f>
        <v>0</v>
      </c>
      <c r="CR9" s="34">
        <f>COUNTIFS(Errors!$D:$D,Analysis!CR$1,Errors!$F:$F,Analysis!$BS9,Errors!$O:$O,"YES")</f>
        <v>0</v>
      </c>
      <c r="CS9" s="34">
        <f>COUNTIFS(Errors!$D:$D,Analysis!CS$1,Errors!$F:$F,Analysis!$BS9,Errors!$O:$O,"YES")</f>
        <v>0</v>
      </c>
      <c r="CT9" s="34">
        <f>COUNTIFS(Errors!$D:$D,Analysis!CT$1,Errors!$F:$F,Analysis!$BS9,Errors!$O:$O,"YES")</f>
        <v>0</v>
      </c>
      <c r="CU9" s="34">
        <f>COUNTIFS(Errors!$D:$D,Analysis!CU$1,Errors!$F:$F,Analysis!$BS9,Errors!$O:$O,"YES")</f>
        <v>0</v>
      </c>
      <c r="CV9" s="34">
        <f>COUNTIFS(Errors!$D:$D,Analysis!CV$1,Errors!$F:$F,Analysis!$BS9,Errors!$O:$O,"YES")</f>
        <v>0</v>
      </c>
      <c r="CW9" s="34">
        <f>COUNTIFS(Errors!$D:$D,Analysis!CW$1,Errors!$F:$F,Analysis!$BS9,Errors!$O:$O,"YES")</f>
        <v>0</v>
      </c>
      <c r="CX9" s="34">
        <f>COUNTIFS(Errors!$D:$D,Analysis!CX$1,Errors!$F:$F,Analysis!$BS9,Errors!$O:$O,"YES")</f>
        <v>0</v>
      </c>
      <c r="CZ9" s="39">
        <f t="shared" si="3"/>
        <v>0</v>
      </c>
      <c r="DB9" s="42">
        <f t="shared" si="4"/>
        <v>0</v>
      </c>
      <c r="DC9" s="41" t="s">
        <v>69</v>
      </c>
    </row>
    <row r="10">
      <c r="A10" s="32"/>
      <c r="B10" s="33"/>
      <c r="C10" s="34"/>
      <c r="D10" s="34"/>
      <c r="E10" s="34"/>
      <c r="G10" s="35"/>
      <c r="H10" s="33">
        <f>COUNTIF(Errors!$F$3:$F$3008,$G10)</f>
        <v>0</v>
      </c>
      <c r="I10" s="34">
        <f>COUNTIFS(Errors!$F$3:$F$3008,$G10,Errors!$I$3:$I$3008,"TV*")</f>
        <v>0</v>
      </c>
      <c r="J10" s="34">
        <f>COUNTIFS(Errors!$F$3:$F$3008,$G10,Errors!$I$3:$I$3008,"&lt;&gt;TV*")</f>
        <v>0</v>
      </c>
      <c r="K10" s="34">
        <f>COUNTIFS(Errors!$F$3:$F$3008,$G10,Errors!$Q$3:$Q$3008,"yes")</f>
        <v>0</v>
      </c>
      <c r="M10" s="35"/>
      <c r="N10" s="33">
        <f>COUNTIFS(Errors!$O$3:$O$3008,"Yes",Errors!$F$3:$F$3008,$M10)+COUNTIFS(Errors!$P$3:$P$3008,"Yes",Errors!$F$3:$F$3008,$M10)</f>
        <v>0</v>
      </c>
      <c r="O10" s="36">
        <f>COUNTIFS(Errors!$O$3:$O$3008,"Yes",Errors!$F$3:$F$3008,$M10,Errors!$I$3:$I$3008,"TV*")+COUNTIFS(Errors!$P$3:$P$3008,"Yes",Errors!$F$3:$F$3008,$M10,Errors!$I$3:$I$3008,"TV*")</f>
        <v>0</v>
      </c>
      <c r="P10" s="34">
        <f>COUNTIFS(Errors!$O$3:$O$3008,"Yes",Errors!$F$3:$F$3008,$M10,Errors!$I$3:$I$3008,"&lt;&gt;TV*")+COUNTIFS(Errors!$P$3:$P$3008,"Yes",Errors!$F$3:$F$3008,$M10,Errors!$I$3:$I$3008,"&lt;&gt;TV*")</f>
        <v>0</v>
      </c>
      <c r="Q10" s="35">
        <f>COUNTIFS(Errors!$F$3:$F$3008,$M10,Errors!$O$3:$O$3008,"yes")</f>
        <v>0</v>
      </c>
      <c r="R10" s="35">
        <f>COUNTIFS(Errors!$F$3:$F$3008,$M10,Errors!$P$3:$P$3008,"yes")</f>
        <v>0</v>
      </c>
      <c r="AE10" s="35"/>
      <c r="AF10" s="37">
        <f>COUNTIFS(Errors!$F:$F,Analysis!$AE39,Errors!$D:$D,Analysis!$AF$2)</f>
        <v>0</v>
      </c>
      <c r="AG10" s="34">
        <f>COUNTIFS(Errors!$F:$F,Analysis!$AE39,Errors!$D:$D,Analysis!$AG$2)</f>
        <v>0</v>
      </c>
      <c r="AH10" s="34">
        <f>COUNTIFS(Errors!$F:$F,Analysis!$AE39,Errors!$D:$D,Analysis!$AH$2)</f>
        <v>0</v>
      </c>
      <c r="AI10" s="34">
        <f>COUNTIFS(Errors!$F:$F,Analysis!$AE39,Errors!$D:$D,Analysis!$AI$2)</f>
        <v>0</v>
      </c>
      <c r="AJ10" s="34">
        <f>COUNTIFS(Errors!$F:$F,Analysis!$AE39,Errors!$D:$D,Analysis!$AJ$2)</f>
        <v>0</v>
      </c>
      <c r="AK10" s="34">
        <f>COUNTIFS(Errors!$F:$F,Analysis!$AE39,Errors!$D:$D,Analysis!$AK$2)</f>
        <v>0</v>
      </c>
      <c r="AL10" s="34">
        <f>COUNTIFS(Errors!$F:$F,Analysis!$AE39,Errors!$D:$D,Analysis!$AL$2)</f>
        <v>0</v>
      </c>
      <c r="AM10" s="34">
        <f>COUNTIFS(Errors!$F:$F,Analysis!$AE39,Errors!$D:$D,Analysis!$AM$2)</f>
        <v>0</v>
      </c>
      <c r="AN10" s="34">
        <f>COUNTIFS(Errors!$F:$F,Analysis!$AE39,Errors!$D:$D,Analysis!$AN$2)</f>
        <v>0</v>
      </c>
      <c r="AO10" s="34">
        <f>COUNTIFS(Errors!$F:$F,Analysis!$AE39,Errors!$D:$D,Analysis!$AO$2)</f>
        <v>0</v>
      </c>
      <c r="AP10" s="34">
        <f>COUNTIFS(Errors!$F:$F,Analysis!$AE39,Errors!$D:$D,Analysis!$AP$2)</f>
        <v>0</v>
      </c>
      <c r="AQ10" s="34">
        <f>COUNTIFS(Errors!$F:$F,Analysis!$AE39,Errors!$D:$D,Analysis!$AQ$2)</f>
        <v>0</v>
      </c>
      <c r="AR10" s="34">
        <f>COUNTIFS(Errors!$F:$F,Analysis!$AE39,Errors!$D:$D,Analysis!$AR$2)</f>
        <v>0</v>
      </c>
      <c r="AS10" s="34">
        <f>COUNTIFS(Errors!$F:$F,Analysis!$AE39,Errors!$D:$D,Analysis!$AS$2)</f>
        <v>0</v>
      </c>
      <c r="AT10" s="34">
        <f>COUNTIFS(Errors!$F:$F,Analysis!$AE39,Errors!$D:$D,Analysis!$AT$2)</f>
        <v>0</v>
      </c>
      <c r="AU10" s="34">
        <f>COUNTIFS(Errors!$F:$F,Analysis!$AE39,Errors!$D:$D,Analysis!$AU$2)</f>
        <v>0</v>
      </c>
      <c r="AV10" s="34">
        <f>COUNTIFS(Errors!$F:$F,Analysis!$AE39,Errors!$D:$D,Analysis!$AV$2)</f>
        <v>0</v>
      </c>
      <c r="AW10" s="34">
        <f>COUNTIFS(Errors!$F:$F,Analysis!$AE39,Errors!$D:$D,Analysis!$AW$2)</f>
        <v>0</v>
      </c>
      <c r="AX10" s="34">
        <f>COUNTIFS(Errors!$F:$F,Analysis!$AE39,Errors!$D:$D,Analysis!$AX$2)</f>
        <v>0</v>
      </c>
      <c r="AY10" s="34">
        <f>COUNTIFS(Errors!$F:$F,Analysis!$AE39,Errors!$D:$D,Analysis!$AY$2)</f>
        <v>0</v>
      </c>
      <c r="AZ10" s="34">
        <f>COUNTIFS(Errors!$F:$F,Analysis!$AE39,Errors!$D:$D,Analysis!$AZ$2)</f>
        <v>0</v>
      </c>
      <c r="BA10" s="34">
        <f>COUNTIFS(Errors!$F:$F,Analysis!$AE39,Errors!$D:$D,Analysis!$BA$2)</f>
        <v>0</v>
      </c>
      <c r="BB10" s="34">
        <f>COUNTIFS(Errors!$F:$F,Analysis!$AE39,Errors!$D:$D,Analysis!$BB$2)</f>
        <v>0</v>
      </c>
      <c r="BC10" s="34">
        <f>COUNTIFS(Errors!$F:$F,Analysis!$AE39,Errors!$D:$D,Analysis!$BC$2)</f>
        <v>0</v>
      </c>
      <c r="BD10" s="34">
        <f>COUNTIFS(Errors!$F:$F,Analysis!$AE39,Errors!$D:$D,Analysis!$BD$2)</f>
        <v>0</v>
      </c>
      <c r="BE10" s="34">
        <f>COUNTIFS(Errors!$F:$F,Analysis!$AE39,Errors!$D:$D,Analysis!$BE$2)</f>
        <v>0</v>
      </c>
      <c r="BF10" s="34">
        <f>COUNTIFS(Errors!$F:$F,Analysis!$AE39,Errors!$D:$D,Analysis!$BF$2)</f>
        <v>0</v>
      </c>
      <c r="BG10" s="34">
        <f>COUNTIFS(Errors!$F:$F,Analysis!$AE39,Errors!$D:$D,Analysis!$BG$2)</f>
        <v>0</v>
      </c>
      <c r="BH10" s="34">
        <f>COUNTIFS(Errors!$F:$F,Analysis!$AE39,Errors!$D:$D,Analysis!$BH$2)</f>
        <v>0</v>
      </c>
      <c r="BI10" s="34">
        <f>COUNTIFS(Errors!$F:$F,Analysis!$AE39,Errors!$D:$D,Analysis!$BI$2)</f>
        <v>0</v>
      </c>
      <c r="BJ10" s="34">
        <f>COUNTIFS(Errors!$F:$F,Analysis!$AE39,Errors!$D:$D,Analysis!$BJ$2)</f>
        <v>0</v>
      </c>
      <c r="BL10" s="39">
        <f t="shared" si="1"/>
        <v>0</v>
      </c>
      <c r="BN10" s="40">
        <f t="shared" si="2"/>
        <v>0</v>
      </c>
      <c r="BO10" s="41" t="s">
        <v>70</v>
      </c>
      <c r="BS10" s="35" t="s">
        <v>70</v>
      </c>
      <c r="BT10" s="34">
        <f>COUNTIFS(Errors!$D:$D,Analysis!BT$1,Errors!$F:$F,Analysis!$BS10,Errors!$O:$O,"YES")</f>
        <v>0</v>
      </c>
      <c r="BU10" s="34">
        <f>COUNTIFS(Errors!$D:$D,Analysis!BU$1,Errors!$F:$F,Analysis!$BS10,Errors!$O:$O,"YES")</f>
        <v>0</v>
      </c>
      <c r="BV10" s="34">
        <f>COUNTIFS(Errors!$D:$D,Analysis!BV$1,Errors!$F:$F,Analysis!$BS10,Errors!$O:$O,"YES")</f>
        <v>0</v>
      </c>
      <c r="BW10" s="34">
        <f>COUNTIFS(Errors!$D:$D,Analysis!BW$1,Errors!$F:$F,Analysis!$BS10,Errors!$O:$O,"YES")</f>
        <v>0</v>
      </c>
      <c r="BX10" s="34">
        <f>COUNTIFS(Errors!$D:$D,Analysis!BX$1,Errors!$F:$F,Analysis!$BS10,Errors!$O:$O,"YES")</f>
        <v>0</v>
      </c>
      <c r="BY10" s="34">
        <f>COUNTIFS(Errors!$D:$D,Analysis!BY$1,Errors!$F:$F,Analysis!$BS10,Errors!$O:$O,"YES")</f>
        <v>0</v>
      </c>
      <c r="BZ10" s="34">
        <f>COUNTIFS(Errors!$D:$D,Analysis!BZ$1,Errors!$F:$F,Analysis!$BS10,Errors!$O:$O,"YES")</f>
        <v>0</v>
      </c>
      <c r="CA10" s="34">
        <f>COUNTIFS(Errors!$D:$D,Analysis!CA$1,Errors!$F:$F,Analysis!$BS10,Errors!$O:$O,"YES")</f>
        <v>0</v>
      </c>
      <c r="CB10" s="34">
        <f>COUNTIFS(Errors!$D:$D,Analysis!CB$1,Errors!$F:$F,Analysis!$BS10,Errors!$O:$O,"YES")</f>
        <v>0</v>
      </c>
      <c r="CC10" s="34">
        <f>COUNTIFS(Errors!$D:$D,Analysis!CC$1,Errors!$F:$F,Analysis!$BS10,Errors!$O:$O,"YES")</f>
        <v>0</v>
      </c>
      <c r="CD10" s="34">
        <f>COUNTIFS(Errors!$D:$D,Analysis!CD$1,Errors!$F:$F,Analysis!$BS10,Errors!$O:$O,"YES")</f>
        <v>0</v>
      </c>
      <c r="CE10" s="34">
        <f>COUNTIFS(Errors!$D:$D,Analysis!CE$1,Errors!$F:$F,Analysis!$BS10,Errors!$O:$O,"YES")</f>
        <v>0</v>
      </c>
      <c r="CF10" s="34">
        <f>COUNTIFS(Errors!$D:$D,Analysis!CF$1,Errors!$F:$F,Analysis!$BS10,Errors!$O:$O,"YES")</f>
        <v>0</v>
      </c>
      <c r="CG10" s="34">
        <f>COUNTIFS(Errors!$D:$D,Analysis!CG$1,Errors!$F:$F,Analysis!$BS10,Errors!$O:$O,"YES")</f>
        <v>0</v>
      </c>
      <c r="CH10" s="34">
        <f>COUNTIFS(Errors!$D:$D,Analysis!CH$1,Errors!$F:$F,Analysis!$BS10,Errors!$O:$O,"YES")</f>
        <v>0</v>
      </c>
      <c r="CI10" s="34">
        <f>COUNTIFS(Errors!$D:$D,Analysis!CI$1,Errors!$F:$F,Analysis!$BS10,Errors!$O:$O,"YES")</f>
        <v>0</v>
      </c>
      <c r="CJ10" s="34">
        <f>COUNTIFS(Errors!$D:$D,Analysis!CJ$1,Errors!$F:$F,Analysis!$BS10,Errors!$O:$O,"YES")</f>
        <v>0</v>
      </c>
      <c r="CK10" s="34">
        <f>COUNTIFS(Errors!$D:$D,Analysis!CK$1,Errors!$F:$F,Analysis!$BS10,Errors!$O:$O,"YES")</f>
        <v>0</v>
      </c>
      <c r="CL10" s="34">
        <f>COUNTIFS(Errors!$D:$D,Analysis!CL$1,Errors!$F:$F,Analysis!$BS10,Errors!$O:$O,"YES")</f>
        <v>0</v>
      </c>
      <c r="CM10" s="34">
        <f>COUNTIFS(Errors!$D:$D,Analysis!CM$1,Errors!$F:$F,Analysis!$BS10,Errors!$O:$O,"YES")</f>
        <v>0</v>
      </c>
      <c r="CN10" s="34">
        <f>COUNTIFS(Errors!$D:$D,Analysis!CN$1,Errors!$F:$F,Analysis!$BS10,Errors!$O:$O,"YES")</f>
        <v>0</v>
      </c>
      <c r="CO10" s="34">
        <f>COUNTIFS(Errors!$D:$D,Analysis!CO$1,Errors!$F:$F,Analysis!$BS10,Errors!$O:$O,"YES")</f>
        <v>0</v>
      </c>
      <c r="CP10" s="34">
        <f>COUNTIFS(Errors!$D:$D,Analysis!CP$1,Errors!$F:$F,Analysis!$BS10,Errors!$O:$O,"YES")</f>
        <v>0</v>
      </c>
      <c r="CQ10" s="34">
        <f>COUNTIFS(Errors!$D:$D,Analysis!CQ$1,Errors!$F:$F,Analysis!$BS10,Errors!$O:$O,"YES")</f>
        <v>0</v>
      </c>
      <c r="CR10" s="34">
        <f>COUNTIFS(Errors!$D:$D,Analysis!CR$1,Errors!$F:$F,Analysis!$BS10,Errors!$O:$O,"YES")</f>
        <v>0</v>
      </c>
      <c r="CS10" s="34">
        <f>COUNTIFS(Errors!$D:$D,Analysis!CS$1,Errors!$F:$F,Analysis!$BS10,Errors!$O:$O,"YES")</f>
        <v>0</v>
      </c>
      <c r="CT10" s="34">
        <f>COUNTIFS(Errors!$D:$D,Analysis!CT$1,Errors!$F:$F,Analysis!$BS10,Errors!$O:$O,"YES")</f>
        <v>0</v>
      </c>
      <c r="CU10" s="34">
        <f>COUNTIFS(Errors!$D:$D,Analysis!CU$1,Errors!$F:$F,Analysis!$BS10,Errors!$O:$O,"YES")</f>
        <v>0</v>
      </c>
      <c r="CV10" s="34">
        <f>COUNTIFS(Errors!$D:$D,Analysis!CV$1,Errors!$F:$F,Analysis!$BS10,Errors!$O:$O,"YES")</f>
        <v>0</v>
      </c>
      <c r="CW10" s="34">
        <f>COUNTIFS(Errors!$D:$D,Analysis!CW$1,Errors!$F:$F,Analysis!$BS10,Errors!$O:$O,"YES")</f>
        <v>0</v>
      </c>
      <c r="CX10" s="34">
        <f>COUNTIFS(Errors!$D:$D,Analysis!CX$1,Errors!$F:$F,Analysis!$BS10,Errors!$O:$O,"YES")</f>
        <v>0</v>
      </c>
      <c r="CZ10" s="39">
        <f t="shared" si="3"/>
        <v>0</v>
      </c>
      <c r="DB10" s="42">
        <f t="shared" si="4"/>
        <v>0</v>
      </c>
      <c r="DC10" s="41" t="s">
        <v>70</v>
      </c>
    </row>
    <row r="11">
      <c r="A11" s="45"/>
      <c r="B11" s="46"/>
      <c r="C11" s="47"/>
      <c r="D11" s="47"/>
      <c r="E11" s="47"/>
      <c r="G11" s="35"/>
      <c r="H11" s="33">
        <f>COUNTIF(Errors!$F$3:$F$3008,$G11)</f>
        <v>0</v>
      </c>
      <c r="I11" s="34">
        <f>COUNTIFS(Errors!$F$3:$F$3008,$G11,Errors!$I$3:$I$3008,"TV*")</f>
        <v>0</v>
      </c>
      <c r="J11" s="34">
        <f>COUNTIFS(Errors!$F$3:$F$3008,$G11,Errors!$I$3:$I$3008,"&lt;&gt;TV*")</f>
        <v>0</v>
      </c>
      <c r="K11" s="34">
        <f>COUNTIFS(Errors!$F$3:$F$3008,$G11,Errors!$Q$3:$Q$3008,"yes")</f>
        <v>0</v>
      </c>
      <c r="M11" s="35"/>
      <c r="N11" s="33">
        <f>COUNTIFS(Errors!$O$3:$O$3008,"Yes",Errors!$F$3:$F$3008,$M11)+COUNTIFS(Errors!$P$3:$P$3008,"Yes",Errors!$F$3:$F$3008,$M11)</f>
        <v>0</v>
      </c>
      <c r="O11" s="36">
        <f>COUNTIFS(Errors!$O$3:$O$3008,"Yes",Errors!$F$3:$F$3008,$M11,Errors!$I$3:$I$3008,"TV*")+COUNTIFS(Errors!$P$3:$P$3008,"Yes",Errors!$F$3:$F$3008,$M11,Errors!$I$3:$I$3008,"TV*")</f>
        <v>0</v>
      </c>
      <c r="P11" s="34">
        <f>COUNTIFS(Errors!$O$3:$O$3008,"Yes",Errors!$F$3:$F$3008,$M11,Errors!$I$3:$I$3008,"&lt;&gt;TV*")+COUNTIFS(Errors!$P$3:$P$3008,"Yes",Errors!$F$3:$F$3008,$M11,Errors!$I$3:$I$3008,"&lt;&gt;TV*")</f>
        <v>0</v>
      </c>
      <c r="Q11" s="35">
        <f>COUNTIFS(Errors!$F$3:$F$3008,$M11,Errors!$O$3:$O$3008,"yes")</f>
        <v>0</v>
      </c>
      <c r="R11" s="35">
        <f>COUNTIFS(Errors!$F$3:$F$3008,$M11,Errors!$P$3:$P$3008,"yes")</f>
        <v>0</v>
      </c>
      <c r="AE11" s="35"/>
      <c r="AF11" s="37">
        <f>COUNTIFS(Errors!$F:$F,Analysis!$AE40,Errors!$D:$D,Analysis!$AF$2)</f>
        <v>0</v>
      </c>
      <c r="AG11" s="34">
        <f>COUNTIFS(Errors!$F:$F,Analysis!$AE40,Errors!$D:$D,Analysis!$AG$2)</f>
        <v>0</v>
      </c>
      <c r="AH11" s="34">
        <f>COUNTIFS(Errors!$F:$F,Analysis!$AE40,Errors!$D:$D,Analysis!$AH$2)</f>
        <v>0</v>
      </c>
      <c r="AI11" s="34">
        <f>COUNTIFS(Errors!$F:$F,Analysis!$AE40,Errors!$D:$D,Analysis!$AI$2)</f>
        <v>0</v>
      </c>
      <c r="AJ11" s="34">
        <f>COUNTIFS(Errors!$F:$F,Analysis!$AE40,Errors!$D:$D,Analysis!$AJ$2)</f>
        <v>0</v>
      </c>
      <c r="AK11" s="34">
        <f>COUNTIFS(Errors!$F:$F,Analysis!$AE40,Errors!$D:$D,Analysis!$AK$2)</f>
        <v>0</v>
      </c>
      <c r="AL11" s="34">
        <f>COUNTIFS(Errors!$F:$F,Analysis!$AE40,Errors!$D:$D,Analysis!$AL$2)</f>
        <v>0</v>
      </c>
      <c r="AM11" s="34">
        <f>COUNTIFS(Errors!$F:$F,Analysis!$AE40,Errors!$D:$D,Analysis!$AM$2)</f>
        <v>0</v>
      </c>
      <c r="AN11" s="34">
        <f>COUNTIFS(Errors!$F:$F,Analysis!$AE40,Errors!$D:$D,Analysis!$AN$2)</f>
        <v>0</v>
      </c>
      <c r="AO11" s="34">
        <f>COUNTIFS(Errors!$F:$F,Analysis!$AE40,Errors!$D:$D,Analysis!$AO$2)</f>
        <v>0</v>
      </c>
      <c r="AP11" s="34">
        <f>COUNTIFS(Errors!$F:$F,Analysis!$AE40,Errors!$D:$D,Analysis!$AP$2)</f>
        <v>0</v>
      </c>
      <c r="AQ11" s="34">
        <f>COUNTIFS(Errors!$F:$F,Analysis!$AE40,Errors!$D:$D,Analysis!$AQ$2)</f>
        <v>0</v>
      </c>
      <c r="AR11" s="34">
        <f>COUNTIFS(Errors!$F:$F,Analysis!$AE40,Errors!$D:$D,Analysis!$AR$2)</f>
        <v>0</v>
      </c>
      <c r="AS11" s="34">
        <f>COUNTIFS(Errors!$F:$F,Analysis!$AE40,Errors!$D:$D,Analysis!$AS$2)</f>
        <v>0</v>
      </c>
      <c r="AT11" s="34">
        <f>COUNTIFS(Errors!$F:$F,Analysis!$AE40,Errors!$D:$D,Analysis!$AT$2)</f>
        <v>0</v>
      </c>
      <c r="AU11" s="34">
        <f>COUNTIFS(Errors!$F:$F,Analysis!$AE40,Errors!$D:$D,Analysis!$AU$2)</f>
        <v>0</v>
      </c>
      <c r="AV11" s="34">
        <f>COUNTIFS(Errors!$F:$F,Analysis!$AE40,Errors!$D:$D,Analysis!$AV$2)</f>
        <v>0</v>
      </c>
      <c r="AW11" s="34">
        <f>COUNTIFS(Errors!$F:$F,Analysis!$AE40,Errors!$D:$D,Analysis!$AW$2)</f>
        <v>0</v>
      </c>
      <c r="AX11" s="34">
        <f>COUNTIFS(Errors!$F:$F,Analysis!$AE40,Errors!$D:$D,Analysis!$AX$2)</f>
        <v>0</v>
      </c>
      <c r="AY11" s="34">
        <f>COUNTIFS(Errors!$F:$F,Analysis!$AE40,Errors!$D:$D,Analysis!$AY$2)</f>
        <v>0</v>
      </c>
      <c r="AZ11" s="34">
        <f>COUNTIFS(Errors!$F:$F,Analysis!$AE40,Errors!$D:$D,Analysis!$AZ$2)</f>
        <v>0</v>
      </c>
      <c r="BA11" s="34">
        <f>COUNTIFS(Errors!$F:$F,Analysis!$AE40,Errors!$D:$D,Analysis!$BA$2)</f>
        <v>0</v>
      </c>
      <c r="BB11" s="34">
        <f>COUNTIFS(Errors!$F:$F,Analysis!$AE40,Errors!$D:$D,Analysis!$BB$2)</f>
        <v>0</v>
      </c>
      <c r="BC11" s="34">
        <f>COUNTIFS(Errors!$F:$F,Analysis!$AE40,Errors!$D:$D,Analysis!$BC$2)</f>
        <v>0</v>
      </c>
      <c r="BD11" s="34">
        <f>COUNTIFS(Errors!$F:$F,Analysis!$AE40,Errors!$D:$D,Analysis!$BD$2)</f>
        <v>0</v>
      </c>
      <c r="BE11" s="34">
        <f>COUNTIFS(Errors!$F:$F,Analysis!$AE40,Errors!$D:$D,Analysis!$BE$2)</f>
        <v>0</v>
      </c>
      <c r="BF11" s="34">
        <f>COUNTIFS(Errors!$F:$F,Analysis!$AE40,Errors!$D:$D,Analysis!$BF$2)</f>
        <v>0</v>
      </c>
      <c r="BG11" s="34">
        <f>COUNTIFS(Errors!$F:$F,Analysis!$AE40,Errors!$D:$D,Analysis!$BG$2)</f>
        <v>0</v>
      </c>
      <c r="BH11" s="34">
        <f>COUNTIFS(Errors!$F:$F,Analysis!$AE40,Errors!$D:$D,Analysis!$BH$2)</f>
        <v>0</v>
      </c>
      <c r="BI11" s="34">
        <f>COUNTIFS(Errors!$F:$F,Analysis!$AE40,Errors!$D:$D,Analysis!$BI$2)</f>
        <v>0</v>
      </c>
      <c r="BJ11" s="34">
        <f>COUNTIFS(Errors!$F:$F,Analysis!$AE40,Errors!$D:$D,Analysis!$BJ$2)</f>
        <v>0</v>
      </c>
      <c r="BL11" s="39">
        <f t="shared" si="1"/>
        <v>0</v>
      </c>
      <c r="BN11" s="40">
        <f t="shared" si="2"/>
        <v>0</v>
      </c>
      <c r="BO11" s="41" t="s">
        <v>71</v>
      </c>
      <c r="BS11" s="35" t="s">
        <v>71</v>
      </c>
      <c r="BT11" s="34">
        <f>COUNTIFS(Errors!$D:$D,Analysis!BT$1,Errors!$F:$F,Analysis!$BS11,Errors!$O:$O,"YES")</f>
        <v>0</v>
      </c>
      <c r="BU11" s="34">
        <f>COUNTIFS(Errors!$D:$D,Analysis!BU$1,Errors!$F:$F,Analysis!$BS11,Errors!$O:$O,"YES")</f>
        <v>0</v>
      </c>
      <c r="BV11" s="34">
        <f>COUNTIFS(Errors!$D:$D,Analysis!BV$1,Errors!$F:$F,Analysis!$BS11,Errors!$O:$O,"YES")</f>
        <v>0</v>
      </c>
      <c r="BW11" s="34">
        <f>COUNTIFS(Errors!$D:$D,Analysis!BW$1,Errors!$F:$F,Analysis!$BS11,Errors!$O:$O,"YES")</f>
        <v>0</v>
      </c>
      <c r="BX11" s="34">
        <f>COUNTIFS(Errors!$D:$D,Analysis!BX$1,Errors!$F:$F,Analysis!$BS11,Errors!$O:$O,"YES")</f>
        <v>0</v>
      </c>
      <c r="BY11" s="34">
        <f>COUNTIFS(Errors!$D:$D,Analysis!BY$1,Errors!$F:$F,Analysis!$BS11,Errors!$O:$O,"YES")</f>
        <v>0</v>
      </c>
      <c r="BZ11" s="34">
        <f>COUNTIFS(Errors!$D:$D,Analysis!BZ$1,Errors!$F:$F,Analysis!$BS11,Errors!$O:$O,"YES")</f>
        <v>0</v>
      </c>
      <c r="CA11" s="34">
        <f>COUNTIFS(Errors!$D:$D,Analysis!CA$1,Errors!$F:$F,Analysis!$BS11,Errors!$O:$O,"YES")</f>
        <v>0</v>
      </c>
      <c r="CB11" s="34">
        <f>COUNTIFS(Errors!$D:$D,Analysis!CB$1,Errors!$F:$F,Analysis!$BS11,Errors!$O:$O,"YES")</f>
        <v>0</v>
      </c>
      <c r="CC11" s="34">
        <f>COUNTIFS(Errors!$D:$D,Analysis!CC$1,Errors!$F:$F,Analysis!$BS11,Errors!$O:$O,"YES")</f>
        <v>0</v>
      </c>
      <c r="CD11" s="34">
        <f>COUNTIFS(Errors!$D:$D,Analysis!CD$1,Errors!$F:$F,Analysis!$BS11,Errors!$O:$O,"YES")</f>
        <v>0</v>
      </c>
      <c r="CE11" s="34">
        <f>COUNTIFS(Errors!$D:$D,Analysis!CE$1,Errors!$F:$F,Analysis!$BS11,Errors!$O:$O,"YES")</f>
        <v>0</v>
      </c>
      <c r="CF11" s="34">
        <f>COUNTIFS(Errors!$D:$D,Analysis!CF$1,Errors!$F:$F,Analysis!$BS11,Errors!$O:$O,"YES")</f>
        <v>0</v>
      </c>
      <c r="CG11" s="34">
        <f>COUNTIFS(Errors!$D:$D,Analysis!CG$1,Errors!$F:$F,Analysis!$BS11,Errors!$O:$O,"YES")</f>
        <v>0</v>
      </c>
      <c r="CH11" s="34">
        <f>COUNTIFS(Errors!$D:$D,Analysis!CH$1,Errors!$F:$F,Analysis!$BS11,Errors!$O:$O,"YES")</f>
        <v>0</v>
      </c>
      <c r="CI11" s="34">
        <f>COUNTIFS(Errors!$D:$D,Analysis!CI$1,Errors!$F:$F,Analysis!$BS11,Errors!$O:$O,"YES")</f>
        <v>0</v>
      </c>
      <c r="CJ11" s="34">
        <f>COUNTIFS(Errors!$D:$D,Analysis!CJ$1,Errors!$F:$F,Analysis!$BS11,Errors!$O:$O,"YES")</f>
        <v>0</v>
      </c>
      <c r="CK11" s="34">
        <f>COUNTIFS(Errors!$D:$D,Analysis!CK$1,Errors!$F:$F,Analysis!$BS11,Errors!$O:$O,"YES")</f>
        <v>0</v>
      </c>
      <c r="CL11" s="34">
        <f>COUNTIFS(Errors!$D:$D,Analysis!CL$1,Errors!$F:$F,Analysis!$BS11,Errors!$O:$O,"YES")</f>
        <v>0</v>
      </c>
      <c r="CM11" s="34">
        <f>COUNTIFS(Errors!$D:$D,Analysis!CM$1,Errors!$F:$F,Analysis!$BS11,Errors!$O:$O,"YES")</f>
        <v>0</v>
      </c>
      <c r="CN11" s="34">
        <f>COUNTIFS(Errors!$D:$D,Analysis!CN$1,Errors!$F:$F,Analysis!$BS11,Errors!$O:$O,"YES")</f>
        <v>0</v>
      </c>
      <c r="CO11" s="34">
        <f>COUNTIFS(Errors!$D:$D,Analysis!CO$1,Errors!$F:$F,Analysis!$BS11,Errors!$O:$O,"YES")</f>
        <v>0</v>
      </c>
      <c r="CP11" s="34">
        <f>COUNTIFS(Errors!$D:$D,Analysis!CP$1,Errors!$F:$F,Analysis!$BS11,Errors!$O:$O,"YES")</f>
        <v>0</v>
      </c>
      <c r="CQ11" s="34">
        <f>COUNTIFS(Errors!$D:$D,Analysis!CQ$1,Errors!$F:$F,Analysis!$BS11,Errors!$O:$O,"YES")</f>
        <v>0</v>
      </c>
      <c r="CR11" s="34">
        <f>COUNTIFS(Errors!$D:$D,Analysis!CR$1,Errors!$F:$F,Analysis!$BS11,Errors!$O:$O,"YES")</f>
        <v>0</v>
      </c>
      <c r="CS11" s="34">
        <f>COUNTIFS(Errors!$D:$D,Analysis!CS$1,Errors!$F:$F,Analysis!$BS11,Errors!$O:$O,"YES")</f>
        <v>0</v>
      </c>
      <c r="CT11" s="34">
        <f>COUNTIFS(Errors!$D:$D,Analysis!CT$1,Errors!$F:$F,Analysis!$BS11,Errors!$O:$O,"YES")</f>
        <v>0</v>
      </c>
      <c r="CU11" s="34">
        <f>COUNTIFS(Errors!$D:$D,Analysis!CU$1,Errors!$F:$F,Analysis!$BS11,Errors!$O:$O,"YES")</f>
        <v>0</v>
      </c>
      <c r="CV11" s="34">
        <f>COUNTIFS(Errors!$D:$D,Analysis!CV$1,Errors!$F:$F,Analysis!$BS11,Errors!$O:$O,"YES")</f>
        <v>0</v>
      </c>
      <c r="CW11" s="34">
        <f>COUNTIFS(Errors!$D:$D,Analysis!CW$1,Errors!$F:$F,Analysis!$BS11,Errors!$O:$O,"YES")</f>
        <v>0</v>
      </c>
      <c r="CX11" s="34">
        <f>COUNTIFS(Errors!$D:$D,Analysis!CX$1,Errors!$F:$F,Analysis!$BS11,Errors!$O:$O,"YES")</f>
        <v>0</v>
      </c>
      <c r="CZ11" s="39">
        <f t="shared" si="3"/>
        <v>0</v>
      </c>
      <c r="DB11" s="42">
        <f t="shared" si="4"/>
        <v>0</v>
      </c>
      <c r="DC11" s="41" t="s">
        <v>71</v>
      </c>
    </row>
    <row r="12">
      <c r="A12" s="48" t="s">
        <v>72</v>
      </c>
      <c r="B12" s="49">
        <f>SUM($B$3:$B$9)</f>
        <v>58</v>
      </c>
      <c r="C12" s="49">
        <f>SUM($C$3:$C$9)</f>
        <v>44</v>
      </c>
      <c r="D12" s="49">
        <f>SUM($D$3:$D$9)</f>
        <v>14</v>
      </c>
      <c r="E12" s="49">
        <f>SUM($E$3:$E$9)</f>
        <v>0</v>
      </c>
      <c r="G12" s="35"/>
      <c r="H12" s="33">
        <f>COUNTIF(Errors!$F$3:$F$3008,$G12)</f>
        <v>0</v>
      </c>
      <c r="I12" s="34">
        <f>COUNTIFS(Errors!$F$3:$F$3008,$G12,Errors!$I$3:$I$3008,"TV*")</f>
        <v>0</v>
      </c>
      <c r="J12" s="34">
        <f>COUNTIFS(Errors!$F$3:$F$3008,$G12,Errors!$I$3:$I$3008,"&lt;&gt;TV*")</f>
        <v>0</v>
      </c>
      <c r="K12" s="34">
        <f>COUNTIFS(Errors!$F$3:$F$3008,$G12,Errors!$Q$3:$Q$3008,"yes")</f>
        <v>0</v>
      </c>
      <c r="M12" s="35"/>
      <c r="N12" s="33">
        <f>COUNTIFS(Errors!$O$3:$O$3008,"Yes",Errors!$F$3:$F$3008,$M12)+COUNTIFS(Errors!$P$3:$P$3008,"Yes",Errors!$F$3:$F$3008,$M12)</f>
        <v>0</v>
      </c>
      <c r="O12" s="36">
        <f>COUNTIFS(Errors!$O$3:$O$3008,"Yes",Errors!$F$3:$F$3008,$M12,Errors!$I$3:$I$3008,"TV*")+COUNTIFS(Errors!$P$3:$P$3008,"Yes",Errors!$F$3:$F$3008,$M12,Errors!$I$3:$I$3008,"TV*")</f>
        <v>0</v>
      </c>
      <c r="P12" s="34">
        <f>COUNTIFS(Errors!$O$3:$O$3008,"Yes",Errors!$F$3:$F$3008,$M12,Errors!$I$3:$I$3008,"&lt;&gt;TV*")+COUNTIFS(Errors!$P$3:$P$3008,"Yes",Errors!$F$3:$F$3008,$M12,Errors!$I$3:$I$3008,"&lt;&gt;TV*")</f>
        <v>0</v>
      </c>
      <c r="Q12" s="35">
        <f>COUNTIFS(Errors!$F$3:$F$3008,$M12,Errors!$O$3:$O$3008,"yes")</f>
        <v>0</v>
      </c>
      <c r="R12" s="35">
        <f>COUNTIFS(Errors!$F$3:$F$3008,$M12,Errors!$P$3:$P$3008,"yes")</f>
        <v>0</v>
      </c>
      <c r="AE12" s="35"/>
      <c r="AF12" s="37">
        <f>COUNTIFS(Errors!$F:$F,Analysis!$AE41,Errors!$D:$D,Analysis!$AF$2)</f>
        <v>0</v>
      </c>
      <c r="AG12" s="34">
        <f>COUNTIFS(Errors!$F:$F,Analysis!$AE41,Errors!$D:$D,Analysis!$AG$2)</f>
        <v>0</v>
      </c>
      <c r="AH12" s="34">
        <f>COUNTIFS(Errors!$F:$F,Analysis!$AE41,Errors!$D:$D,Analysis!$AH$2)</f>
        <v>0</v>
      </c>
      <c r="AI12" s="34">
        <f>COUNTIFS(Errors!$F:$F,Analysis!$AE41,Errors!$D:$D,Analysis!$AI$2)</f>
        <v>0</v>
      </c>
      <c r="AJ12" s="34">
        <f>COUNTIFS(Errors!$F:$F,Analysis!$AE41,Errors!$D:$D,Analysis!$AJ$2)</f>
        <v>0</v>
      </c>
      <c r="AK12" s="34">
        <f>COUNTIFS(Errors!$F:$F,Analysis!$AE41,Errors!$D:$D,Analysis!$AK$2)</f>
        <v>0</v>
      </c>
      <c r="AL12" s="34">
        <f>COUNTIFS(Errors!$F:$F,Analysis!$AE41,Errors!$D:$D,Analysis!$AL$2)</f>
        <v>0</v>
      </c>
      <c r="AM12" s="34">
        <f>COUNTIFS(Errors!$F:$F,Analysis!$AE41,Errors!$D:$D,Analysis!$AM$2)</f>
        <v>0</v>
      </c>
      <c r="AN12" s="34">
        <f>COUNTIFS(Errors!$F:$F,Analysis!$AE41,Errors!$D:$D,Analysis!$AN$2)</f>
        <v>0</v>
      </c>
      <c r="AO12" s="34">
        <f>COUNTIFS(Errors!$F:$F,Analysis!$AE41,Errors!$D:$D,Analysis!$AO$2)</f>
        <v>0</v>
      </c>
      <c r="AP12" s="34">
        <f>COUNTIFS(Errors!$F:$F,Analysis!$AE41,Errors!$D:$D,Analysis!$AP$2)</f>
        <v>0</v>
      </c>
      <c r="AQ12" s="34">
        <f>COUNTIFS(Errors!$F:$F,Analysis!$AE41,Errors!$D:$D,Analysis!$AQ$2)</f>
        <v>0</v>
      </c>
      <c r="AR12" s="34">
        <f>COUNTIFS(Errors!$F:$F,Analysis!$AE41,Errors!$D:$D,Analysis!$AR$2)</f>
        <v>0</v>
      </c>
      <c r="AS12" s="34">
        <f>COUNTIFS(Errors!$F:$F,Analysis!$AE41,Errors!$D:$D,Analysis!$AS$2)</f>
        <v>0</v>
      </c>
      <c r="AT12" s="34">
        <f>COUNTIFS(Errors!$F:$F,Analysis!$AE41,Errors!$D:$D,Analysis!$AT$2)</f>
        <v>0</v>
      </c>
      <c r="AU12" s="34">
        <f>COUNTIFS(Errors!$F:$F,Analysis!$AE41,Errors!$D:$D,Analysis!$AU$2)</f>
        <v>0</v>
      </c>
      <c r="AV12" s="34">
        <f>COUNTIFS(Errors!$F:$F,Analysis!$AE41,Errors!$D:$D,Analysis!$AV$2)</f>
        <v>0</v>
      </c>
      <c r="AW12" s="34">
        <f>COUNTIFS(Errors!$F:$F,Analysis!$AE41,Errors!$D:$D,Analysis!$AW$2)</f>
        <v>0</v>
      </c>
      <c r="AX12" s="34">
        <f>COUNTIFS(Errors!$F:$F,Analysis!$AE41,Errors!$D:$D,Analysis!$AX$2)</f>
        <v>0</v>
      </c>
      <c r="AY12" s="34">
        <f>COUNTIFS(Errors!$F:$F,Analysis!$AE41,Errors!$D:$D,Analysis!$AY$2)</f>
        <v>0</v>
      </c>
      <c r="AZ12" s="34">
        <f>COUNTIFS(Errors!$F:$F,Analysis!$AE41,Errors!$D:$D,Analysis!$AZ$2)</f>
        <v>0</v>
      </c>
      <c r="BA12" s="34">
        <f>COUNTIFS(Errors!$F:$F,Analysis!$AE41,Errors!$D:$D,Analysis!$BA$2)</f>
        <v>0</v>
      </c>
      <c r="BB12" s="34">
        <f>COUNTIFS(Errors!$F:$F,Analysis!$AE41,Errors!$D:$D,Analysis!$BB$2)</f>
        <v>0</v>
      </c>
      <c r="BC12" s="34">
        <f>COUNTIFS(Errors!$F:$F,Analysis!$AE41,Errors!$D:$D,Analysis!$BC$2)</f>
        <v>0</v>
      </c>
      <c r="BD12" s="34">
        <f>COUNTIFS(Errors!$F:$F,Analysis!$AE41,Errors!$D:$D,Analysis!$BD$2)</f>
        <v>0</v>
      </c>
      <c r="BE12" s="34">
        <f>COUNTIFS(Errors!$F:$F,Analysis!$AE41,Errors!$D:$D,Analysis!$BE$2)</f>
        <v>0</v>
      </c>
      <c r="BF12" s="34">
        <f>COUNTIFS(Errors!$F:$F,Analysis!$AE41,Errors!$D:$D,Analysis!$BF$2)</f>
        <v>0</v>
      </c>
      <c r="BG12" s="34">
        <f>COUNTIFS(Errors!$F:$F,Analysis!$AE41,Errors!$D:$D,Analysis!$BG$2)</f>
        <v>0</v>
      </c>
      <c r="BH12" s="34">
        <f>COUNTIFS(Errors!$F:$F,Analysis!$AE41,Errors!$D:$D,Analysis!$BH$2)</f>
        <v>0</v>
      </c>
      <c r="BI12" s="34">
        <f>COUNTIFS(Errors!$F:$F,Analysis!$AE41,Errors!$D:$D,Analysis!$BI$2)</f>
        <v>0</v>
      </c>
      <c r="BJ12" s="34">
        <f>COUNTIFS(Errors!$F:$F,Analysis!$AE41,Errors!$D:$D,Analysis!$BJ$2)</f>
        <v>0</v>
      </c>
      <c r="BL12" s="39">
        <f t="shared" si="1"/>
        <v>0</v>
      </c>
      <c r="BN12" s="40">
        <f t="shared" si="2"/>
        <v>0</v>
      </c>
      <c r="BO12" s="41" t="s">
        <v>73</v>
      </c>
      <c r="BS12" s="35" t="s">
        <v>73</v>
      </c>
      <c r="BT12" s="34">
        <f>COUNTIFS(Errors!$D:$D,Analysis!BT$1,Errors!$F:$F,Analysis!$BS12,Errors!$O:$O,"YES")</f>
        <v>0</v>
      </c>
      <c r="BU12" s="34">
        <f>COUNTIFS(Errors!$D:$D,Analysis!BU$1,Errors!$F:$F,Analysis!$BS12,Errors!$O:$O,"YES")</f>
        <v>0</v>
      </c>
      <c r="BV12" s="34">
        <f>COUNTIFS(Errors!$D:$D,Analysis!BV$1,Errors!$F:$F,Analysis!$BS12,Errors!$O:$O,"YES")</f>
        <v>0</v>
      </c>
      <c r="BW12" s="34">
        <f>COUNTIFS(Errors!$D:$D,Analysis!BW$1,Errors!$F:$F,Analysis!$BS12,Errors!$O:$O,"YES")</f>
        <v>0</v>
      </c>
      <c r="BX12" s="34">
        <f>COUNTIFS(Errors!$D:$D,Analysis!BX$1,Errors!$F:$F,Analysis!$BS12,Errors!$O:$O,"YES")</f>
        <v>0</v>
      </c>
      <c r="BY12" s="34">
        <f>COUNTIFS(Errors!$D:$D,Analysis!BY$1,Errors!$F:$F,Analysis!$BS12,Errors!$O:$O,"YES")</f>
        <v>0</v>
      </c>
      <c r="BZ12" s="34">
        <f>COUNTIFS(Errors!$D:$D,Analysis!BZ$1,Errors!$F:$F,Analysis!$BS12,Errors!$O:$O,"YES")</f>
        <v>0</v>
      </c>
      <c r="CA12" s="34">
        <f>COUNTIFS(Errors!$D:$D,Analysis!CA$1,Errors!$F:$F,Analysis!$BS12,Errors!$O:$O,"YES")</f>
        <v>0</v>
      </c>
      <c r="CB12" s="34">
        <f>COUNTIFS(Errors!$D:$D,Analysis!CB$1,Errors!$F:$F,Analysis!$BS12,Errors!$O:$O,"YES")</f>
        <v>0</v>
      </c>
      <c r="CC12" s="34">
        <f>COUNTIFS(Errors!$D:$D,Analysis!CC$1,Errors!$F:$F,Analysis!$BS12,Errors!$O:$O,"YES")</f>
        <v>0</v>
      </c>
      <c r="CD12" s="34">
        <f>COUNTIFS(Errors!$D:$D,Analysis!CD$1,Errors!$F:$F,Analysis!$BS12,Errors!$O:$O,"YES")</f>
        <v>0</v>
      </c>
      <c r="CE12" s="34">
        <f>COUNTIFS(Errors!$D:$D,Analysis!CE$1,Errors!$F:$F,Analysis!$BS12,Errors!$O:$O,"YES")</f>
        <v>0</v>
      </c>
      <c r="CF12" s="34">
        <f>COUNTIFS(Errors!$D:$D,Analysis!CF$1,Errors!$F:$F,Analysis!$BS12,Errors!$O:$O,"YES")</f>
        <v>0</v>
      </c>
      <c r="CG12" s="34">
        <f>COUNTIFS(Errors!$D:$D,Analysis!CG$1,Errors!$F:$F,Analysis!$BS12,Errors!$O:$O,"YES")</f>
        <v>0</v>
      </c>
      <c r="CH12" s="34">
        <f>COUNTIFS(Errors!$D:$D,Analysis!CH$1,Errors!$F:$F,Analysis!$BS12,Errors!$O:$O,"YES")</f>
        <v>0</v>
      </c>
      <c r="CI12" s="34">
        <f>COUNTIFS(Errors!$D:$D,Analysis!CI$1,Errors!$F:$F,Analysis!$BS12,Errors!$O:$O,"YES")</f>
        <v>0</v>
      </c>
      <c r="CJ12" s="34">
        <f>COUNTIFS(Errors!$D:$D,Analysis!CJ$1,Errors!$F:$F,Analysis!$BS12,Errors!$O:$O,"YES")</f>
        <v>0</v>
      </c>
      <c r="CK12" s="34">
        <f>COUNTIFS(Errors!$D:$D,Analysis!CK$1,Errors!$F:$F,Analysis!$BS12,Errors!$O:$O,"YES")</f>
        <v>0</v>
      </c>
      <c r="CL12" s="34">
        <f>COUNTIFS(Errors!$D:$D,Analysis!CL$1,Errors!$F:$F,Analysis!$BS12,Errors!$O:$O,"YES")</f>
        <v>0</v>
      </c>
      <c r="CM12" s="34">
        <f>COUNTIFS(Errors!$D:$D,Analysis!CM$1,Errors!$F:$F,Analysis!$BS12,Errors!$O:$O,"YES")</f>
        <v>0</v>
      </c>
      <c r="CN12" s="34">
        <f>COUNTIFS(Errors!$D:$D,Analysis!CN$1,Errors!$F:$F,Analysis!$BS12,Errors!$O:$O,"YES")</f>
        <v>0</v>
      </c>
      <c r="CO12" s="34">
        <f>COUNTIFS(Errors!$D:$D,Analysis!CO$1,Errors!$F:$F,Analysis!$BS12,Errors!$O:$O,"YES")</f>
        <v>0</v>
      </c>
      <c r="CP12" s="34">
        <f>COUNTIFS(Errors!$D:$D,Analysis!CP$1,Errors!$F:$F,Analysis!$BS12,Errors!$O:$O,"YES")</f>
        <v>0</v>
      </c>
      <c r="CQ12" s="34">
        <f>COUNTIFS(Errors!$D:$D,Analysis!CQ$1,Errors!$F:$F,Analysis!$BS12,Errors!$O:$O,"YES")</f>
        <v>0</v>
      </c>
      <c r="CR12" s="34">
        <f>COUNTIFS(Errors!$D:$D,Analysis!CR$1,Errors!$F:$F,Analysis!$BS12,Errors!$O:$O,"YES")</f>
        <v>0</v>
      </c>
      <c r="CS12" s="34">
        <f>COUNTIFS(Errors!$D:$D,Analysis!CS$1,Errors!$F:$F,Analysis!$BS12,Errors!$O:$O,"YES")</f>
        <v>0</v>
      </c>
      <c r="CT12" s="34">
        <f>COUNTIFS(Errors!$D:$D,Analysis!CT$1,Errors!$F:$F,Analysis!$BS12,Errors!$O:$O,"YES")</f>
        <v>0</v>
      </c>
      <c r="CU12" s="34">
        <f>COUNTIFS(Errors!$D:$D,Analysis!CU$1,Errors!$F:$F,Analysis!$BS12,Errors!$O:$O,"YES")</f>
        <v>0</v>
      </c>
      <c r="CV12" s="34">
        <f>COUNTIFS(Errors!$D:$D,Analysis!CV$1,Errors!$F:$F,Analysis!$BS12,Errors!$O:$O,"YES")</f>
        <v>0</v>
      </c>
      <c r="CW12" s="34">
        <f>COUNTIFS(Errors!$D:$D,Analysis!CW$1,Errors!$F:$F,Analysis!$BS12,Errors!$O:$O,"YES")</f>
        <v>0</v>
      </c>
      <c r="CX12" s="34">
        <f>COUNTIFS(Errors!$D:$D,Analysis!CX$1,Errors!$F:$F,Analysis!$BS12,Errors!$O:$O,"YES")</f>
        <v>0</v>
      </c>
      <c r="CZ12" s="39">
        <f t="shared" si="3"/>
        <v>0</v>
      </c>
      <c r="DB12" s="42">
        <f t="shared" si="4"/>
        <v>0</v>
      </c>
      <c r="DC12" s="41" t="s">
        <v>73</v>
      </c>
    </row>
    <row r="13">
      <c r="B13" s="50"/>
      <c r="C13" s="50"/>
      <c r="D13" s="50"/>
      <c r="E13" s="50"/>
      <c r="G13" s="35"/>
      <c r="H13" s="33">
        <f>COUNTIF(Errors!$F$3:$F$3008,$G13)</f>
        <v>0</v>
      </c>
      <c r="I13" s="34">
        <f>COUNTIFS(Errors!$F$3:$F$3008,$G13,Errors!$I$3:$I$3008,"TV*")</f>
        <v>0</v>
      </c>
      <c r="J13" s="34">
        <f>COUNTIFS(Errors!$F$3:$F$3008,$G13,Errors!$I$3:$I$3008,"&lt;&gt;TV*")</f>
        <v>0</v>
      </c>
      <c r="K13" s="34">
        <f>COUNTIFS(Errors!$F$3:$F$3008,$G13,Errors!$Q$3:$Q$3008,"yes")</f>
        <v>0</v>
      </c>
      <c r="M13" s="35"/>
      <c r="N13" s="33">
        <f>COUNTIFS(Errors!$O$3:$O$3008,"Yes",Errors!$F$3:$F$3008,$M13)+COUNTIFS(Errors!$P$3:$P$3008,"Yes",Errors!$F$3:$F$3008,$M13)</f>
        <v>0</v>
      </c>
      <c r="O13" s="36">
        <f>COUNTIFS(Errors!$O$3:$O$3008,"Yes",Errors!$F$3:$F$3008,$M13,Errors!$I$3:$I$3008,"TV*")+COUNTIFS(Errors!$P$3:$P$3008,"Yes",Errors!$F$3:$F$3008,$M13,Errors!$I$3:$I$3008,"TV*")</f>
        <v>0</v>
      </c>
      <c r="P13" s="34">
        <f>COUNTIFS(Errors!$O$3:$O$3008,"Yes",Errors!$F$3:$F$3008,$M13,Errors!$I$3:$I$3008,"&lt;&gt;TV*")+COUNTIFS(Errors!$P$3:$P$3008,"Yes",Errors!$F$3:$F$3008,$M13,Errors!$I$3:$I$3008,"&lt;&gt;TV*")</f>
        <v>0</v>
      </c>
      <c r="Q13" s="35">
        <f>COUNTIFS(Errors!$F$3:$F$3008,$M13,Errors!$O$3:$O$3008,"yes")</f>
        <v>0</v>
      </c>
      <c r="R13" s="35">
        <f>COUNTIFS(Errors!$F$3:$F$3008,$M13,Errors!$P$3:$P$3008,"yes")</f>
        <v>0</v>
      </c>
      <c r="AE13" s="35"/>
      <c r="AF13" s="37">
        <f>COUNTIFS(Errors!$F:$F,Analysis!$AE42,Errors!$D:$D,Analysis!$AF$2)</f>
        <v>0</v>
      </c>
      <c r="AG13" s="34">
        <f>COUNTIFS(Errors!$F:$F,Analysis!$AE42,Errors!$D:$D,Analysis!$AG$2)</f>
        <v>0</v>
      </c>
      <c r="AH13" s="34">
        <f>COUNTIFS(Errors!$F:$F,Analysis!$AE42,Errors!$D:$D,Analysis!$AH$2)</f>
        <v>0</v>
      </c>
      <c r="AI13" s="34">
        <f>COUNTIFS(Errors!$F:$F,Analysis!$AE42,Errors!$D:$D,Analysis!$AI$2)</f>
        <v>0</v>
      </c>
      <c r="AJ13" s="34">
        <f>COUNTIFS(Errors!$F:$F,Analysis!$AE42,Errors!$D:$D,Analysis!$AJ$2)</f>
        <v>0</v>
      </c>
      <c r="AK13" s="34">
        <f>COUNTIFS(Errors!$F:$F,Analysis!$AE42,Errors!$D:$D,Analysis!$AK$2)</f>
        <v>0</v>
      </c>
      <c r="AL13" s="34">
        <f>COUNTIFS(Errors!$F:$F,Analysis!$AE42,Errors!$D:$D,Analysis!$AL$2)</f>
        <v>0</v>
      </c>
      <c r="AM13" s="34">
        <f>COUNTIFS(Errors!$F:$F,Analysis!$AE42,Errors!$D:$D,Analysis!$AM$2)</f>
        <v>0</v>
      </c>
      <c r="AN13" s="34">
        <f>COUNTIFS(Errors!$F:$F,Analysis!$AE42,Errors!$D:$D,Analysis!$AN$2)</f>
        <v>0</v>
      </c>
      <c r="AO13" s="34">
        <f>COUNTIFS(Errors!$F:$F,Analysis!$AE42,Errors!$D:$D,Analysis!$AO$2)</f>
        <v>0</v>
      </c>
      <c r="AP13" s="34">
        <f>COUNTIFS(Errors!$F:$F,Analysis!$AE42,Errors!$D:$D,Analysis!$AP$2)</f>
        <v>0</v>
      </c>
      <c r="AQ13" s="34">
        <f>COUNTIFS(Errors!$F:$F,Analysis!$AE42,Errors!$D:$D,Analysis!$AQ$2)</f>
        <v>0</v>
      </c>
      <c r="AR13" s="34">
        <f>COUNTIFS(Errors!$F:$F,Analysis!$AE42,Errors!$D:$D,Analysis!$AR$2)</f>
        <v>0</v>
      </c>
      <c r="AS13" s="34">
        <f>COUNTIFS(Errors!$F:$F,Analysis!$AE42,Errors!$D:$D,Analysis!$AS$2)</f>
        <v>0</v>
      </c>
      <c r="AT13" s="34">
        <f>COUNTIFS(Errors!$F:$F,Analysis!$AE42,Errors!$D:$D,Analysis!$AT$2)</f>
        <v>0</v>
      </c>
      <c r="AU13" s="34">
        <f>COUNTIFS(Errors!$F:$F,Analysis!$AE42,Errors!$D:$D,Analysis!$AU$2)</f>
        <v>0</v>
      </c>
      <c r="AV13" s="34">
        <f>COUNTIFS(Errors!$F:$F,Analysis!$AE42,Errors!$D:$D,Analysis!$AV$2)</f>
        <v>0</v>
      </c>
      <c r="AW13" s="34">
        <f>COUNTIFS(Errors!$F:$F,Analysis!$AE42,Errors!$D:$D,Analysis!$AW$2)</f>
        <v>0</v>
      </c>
      <c r="AX13" s="34">
        <f>COUNTIFS(Errors!$F:$F,Analysis!$AE42,Errors!$D:$D,Analysis!$AX$2)</f>
        <v>0</v>
      </c>
      <c r="AY13" s="34">
        <f>COUNTIFS(Errors!$F:$F,Analysis!$AE42,Errors!$D:$D,Analysis!$AY$2)</f>
        <v>0</v>
      </c>
      <c r="AZ13" s="34">
        <f>COUNTIFS(Errors!$F:$F,Analysis!$AE42,Errors!$D:$D,Analysis!$AZ$2)</f>
        <v>0</v>
      </c>
      <c r="BA13" s="34">
        <f>COUNTIFS(Errors!$F:$F,Analysis!$AE42,Errors!$D:$D,Analysis!$BA$2)</f>
        <v>0</v>
      </c>
      <c r="BB13" s="34">
        <f>COUNTIFS(Errors!$F:$F,Analysis!$AE42,Errors!$D:$D,Analysis!$BB$2)</f>
        <v>0</v>
      </c>
      <c r="BC13" s="34">
        <f>COUNTIFS(Errors!$F:$F,Analysis!$AE42,Errors!$D:$D,Analysis!$BC$2)</f>
        <v>0</v>
      </c>
      <c r="BD13" s="34">
        <f>COUNTIFS(Errors!$F:$F,Analysis!$AE42,Errors!$D:$D,Analysis!$BD$2)</f>
        <v>0</v>
      </c>
      <c r="BE13" s="34">
        <f>COUNTIFS(Errors!$F:$F,Analysis!$AE42,Errors!$D:$D,Analysis!$BE$2)</f>
        <v>0</v>
      </c>
      <c r="BF13" s="34">
        <f>COUNTIFS(Errors!$F:$F,Analysis!$AE42,Errors!$D:$D,Analysis!$BF$2)</f>
        <v>0</v>
      </c>
      <c r="BG13" s="34">
        <f>COUNTIFS(Errors!$F:$F,Analysis!$AE42,Errors!$D:$D,Analysis!$BG$2)</f>
        <v>0</v>
      </c>
      <c r="BH13" s="34">
        <f>COUNTIFS(Errors!$F:$F,Analysis!$AE42,Errors!$D:$D,Analysis!$BH$2)</f>
        <v>0</v>
      </c>
      <c r="BI13" s="34">
        <f>COUNTIFS(Errors!$F:$F,Analysis!$AE42,Errors!$D:$D,Analysis!$BI$2)</f>
        <v>0</v>
      </c>
      <c r="BJ13" s="34">
        <f>COUNTIFS(Errors!$F:$F,Analysis!$AE42,Errors!$D:$D,Analysis!$BJ$2)</f>
        <v>0</v>
      </c>
      <c r="BL13" s="39">
        <f t="shared" si="1"/>
        <v>0</v>
      </c>
      <c r="BN13" s="40">
        <f t="shared" si="2"/>
        <v>0</v>
      </c>
      <c r="BO13" s="41" t="s">
        <v>74</v>
      </c>
      <c r="BS13" s="35" t="s">
        <v>74</v>
      </c>
      <c r="BT13" s="34">
        <f>COUNTIFS(Errors!$D:$D,Analysis!BT$1,Errors!$F:$F,Analysis!$BS13,Errors!$O:$O,"YES")</f>
        <v>0</v>
      </c>
      <c r="BU13" s="34">
        <f>COUNTIFS(Errors!$D:$D,Analysis!BU$1,Errors!$F:$F,Analysis!$BS13,Errors!$O:$O,"YES")</f>
        <v>0</v>
      </c>
      <c r="BV13" s="34">
        <f>COUNTIFS(Errors!$D:$D,Analysis!BV$1,Errors!$F:$F,Analysis!$BS13,Errors!$O:$O,"YES")</f>
        <v>0</v>
      </c>
      <c r="BW13" s="34">
        <f>COUNTIFS(Errors!$D:$D,Analysis!BW$1,Errors!$F:$F,Analysis!$BS13,Errors!$O:$O,"YES")</f>
        <v>0</v>
      </c>
      <c r="BX13" s="34">
        <f>COUNTIFS(Errors!$D:$D,Analysis!BX$1,Errors!$F:$F,Analysis!$BS13,Errors!$O:$O,"YES")</f>
        <v>0</v>
      </c>
      <c r="BY13" s="34">
        <f>COUNTIFS(Errors!$D:$D,Analysis!BY$1,Errors!$F:$F,Analysis!$BS13,Errors!$O:$O,"YES")</f>
        <v>0</v>
      </c>
      <c r="BZ13" s="34">
        <f>COUNTIFS(Errors!$D:$D,Analysis!BZ$1,Errors!$F:$F,Analysis!$BS13,Errors!$O:$O,"YES")</f>
        <v>0</v>
      </c>
      <c r="CA13" s="34">
        <f>COUNTIFS(Errors!$D:$D,Analysis!CA$1,Errors!$F:$F,Analysis!$BS13,Errors!$O:$O,"YES")</f>
        <v>0</v>
      </c>
      <c r="CB13" s="34">
        <f>COUNTIFS(Errors!$D:$D,Analysis!CB$1,Errors!$F:$F,Analysis!$BS13,Errors!$O:$O,"YES")</f>
        <v>0</v>
      </c>
      <c r="CC13" s="34">
        <f>COUNTIFS(Errors!$D:$D,Analysis!CC$1,Errors!$F:$F,Analysis!$BS13,Errors!$O:$O,"YES")</f>
        <v>0</v>
      </c>
      <c r="CD13" s="34">
        <f>COUNTIFS(Errors!$D:$D,Analysis!CD$1,Errors!$F:$F,Analysis!$BS13,Errors!$O:$O,"YES")</f>
        <v>0</v>
      </c>
      <c r="CE13" s="34">
        <f>COUNTIFS(Errors!$D:$D,Analysis!CE$1,Errors!$F:$F,Analysis!$BS13,Errors!$O:$O,"YES")</f>
        <v>0</v>
      </c>
      <c r="CF13" s="34">
        <f>COUNTIFS(Errors!$D:$D,Analysis!CF$1,Errors!$F:$F,Analysis!$BS13,Errors!$O:$O,"YES")</f>
        <v>0</v>
      </c>
      <c r="CG13" s="34">
        <f>COUNTIFS(Errors!$D:$D,Analysis!CG$1,Errors!$F:$F,Analysis!$BS13,Errors!$O:$O,"YES")</f>
        <v>0</v>
      </c>
      <c r="CH13" s="34">
        <f>COUNTIFS(Errors!$D:$D,Analysis!CH$1,Errors!$F:$F,Analysis!$BS13,Errors!$O:$O,"YES")</f>
        <v>0</v>
      </c>
      <c r="CI13" s="34">
        <f>COUNTIFS(Errors!$D:$D,Analysis!CI$1,Errors!$F:$F,Analysis!$BS13,Errors!$O:$O,"YES")</f>
        <v>0</v>
      </c>
      <c r="CJ13" s="34">
        <f>COUNTIFS(Errors!$D:$D,Analysis!CJ$1,Errors!$F:$F,Analysis!$BS13,Errors!$O:$O,"YES")</f>
        <v>0</v>
      </c>
      <c r="CK13" s="34">
        <f>COUNTIFS(Errors!$D:$D,Analysis!CK$1,Errors!$F:$F,Analysis!$BS13,Errors!$O:$O,"YES")</f>
        <v>0</v>
      </c>
      <c r="CL13" s="34">
        <f>COUNTIFS(Errors!$D:$D,Analysis!CL$1,Errors!$F:$F,Analysis!$BS13,Errors!$O:$O,"YES")</f>
        <v>0</v>
      </c>
      <c r="CM13" s="34">
        <f>COUNTIFS(Errors!$D:$D,Analysis!CM$1,Errors!$F:$F,Analysis!$BS13,Errors!$O:$O,"YES")</f>
        <v>0</v>
      </c>
      <c r="CN13" s="34">
        <f>COUNTIFS(Errors!$D:$D,Analysis!CN$1,Errors!$F:$F,Analysis!$BS13,Errors!$O:$O,"YES")</f>
        <v>0</v>
      </c>
      <c r="CO13" s="34">
        <f>COUNTIFS(Errors!$D:$D,Analysis!CO$1,Errors!$F:$F,Analysis!$BS13,Errors!$O:$O,"YES")</f>
        <v>0</v>
      </c>
      <c r="CP13" s="34">
        <f>COUNTIFS(Errors!$D:$D,Analysis!CP$1,Errors!$F:$F,Analysis!$BS13,Errors!$O:$O,"YES")</f>
        <v>0</v>
      </c>
      <c r="CQ13" s="34">
        <f>COUNTIFS(Errors!$D:$D,Analysis!CQ$1,Errors!$F:$F,Analysis!$BS13,Errors!$O:$O,"YES")</f>
        <v>0</v>
      </c>
      <c r="CR13" s="34">
        <f>COUNTIFS(Errors!$D:$D,Analysis!CR$1,Errors!$F:$F,Analysis!$BS13,Errors!$O:$O,"YES")</f>
        <v>0</v>
      </c>
      <c r="CS13" s="34">
        <f>COUNTIFS(Errors!$D:$D,Analysis!CS$1,Errors!$F:$F,Analysis!$BS13,Errors!$O:$O,"YES")</f>
        <v>0</v>
      </c>
      <c r="CT13" s="34">
        <f>COUNTIFS(Errors!$D:$D,Analysis!CT$1,Errors!$F:$F,Analysis!$BS13,Errors!$O:$O,"YES")</f>
        <v>0</v>
      </c>
      <c r="CU13" s="34">
        <f>COUNTIFS(Errors!$D:$D,Analysis!CU$1,Errors!$F:$F,Analysis!$BS13,Errors!$O:$O,"YES")</f>
        <v>0</v>
      </c>
      <c r="CV13" s="34">
        <f>COUNTIFS(Errors!$D:$D,Analysis!CV$1,Errors!$F:$F,Analysis!$BS13,Errors!$O:$O,"YES")</f>
        <v>0</v>
      </c>
      <c r="CW13" s="34">
        <f>COUNTIFS(Errors!$D:$D,Analysis!CW$1,Errors!$F:$F,Analysis!$BS13,Errors!$O:$O,"YES")</f>
        <v>0</v>
      </c>
      <c r="CX13" s="34">
        <f>COUNTIFS(Errors!$D:$D,Analysis!CX$1,Errors!$F:$F,Analysis!$BS13,Errors!$O:$O,"YES")</f>
        <v>0</v>
      </c>
      <c r="CZ13" s="39">
        <f t="shared" si="3"/>
        <v>0</v>
      </c>
      <c r="DB13" s="42">
        <f t="shared" si="4"/>
        <v>0</v>
      </c>
      <c r="DC13" s="41" t="s">
        <v>74</v>
      </c>
    </row>
    <row r="14">
      <c r="A14" s="51"/>
      <c r="B14" s="50"/>
      <c r="C14" s="50"/>
      <c r="D14" s="50"/>
      <c r="E14" s="50"/>
      <c r="G14" s="35"/>
      <c r="H14" s="33">
        <f>COUNTIF(Errors!$F$3:$F$3008,$G14)</f>
        <v>0</v>
      </c>
      <c r="I14" s="34">
        <f>COUNTIFS(Errors!$F$3:$F$3008,$G14,Errors!$I$3:$I$3008,"TV*")</f>
        <v>0</v>
      </c>
      <c r="J14" s="34">
        <f>COUNTIFS(Errors!$F$3:$F$3008,$G14,Errors!$I$3:$I$3008,"&lt;&gt;TV*")</f>
        <v>0</v>
      </c>
      <c r="K14" s="34">
        <f>COUNTIFS(Errors!$F$3:$F$3008,$G14,Errors!$Q$3:$Q$3008,"yes")</f>
        <v>0</v>
      </c>
      <c r="M14" s="35"/>
      <c r="N14" s="33">
        <f>COUNTIFS(Errors!$O$3:$O$3008,"Yes",Errors!$F$3:$F$3008,$M14)+COUNTIFS(Errors!$P$3:$P$3008,"Yes",Errors!$F$3:$F$3008,$M14)</f>
        <v>0</v>
      </c>
      <c r="O14" s="36">
        <f>COUNTIFS(Errors!$O$3:$O$3008,"Yes",Errors!$F$3:$F$3008,$M14,Errors!$I$3:$I$3008,"TV*")+COUNTIFS(Errors!$P$3:$P$3008,"Yes",Errors!$F$3:$F$3008,$M14,Errors!$I$3:$I$3008,"TV*")</f>
        <v>0</v>
      </c>
      <c r="P14" s="34">
        <f>COUNTIFS(Errors!$O$3:$O$3008,"Yes",Errors!$F$3:$F$3008,$M14,Errors!$I$3:$I$3008,"&lt;&gt;TV*")+COUNTIFS(Errors!$P$3:$P$3008,"Yes",Errors!$F$3:$F$3008,$M14,Errors!$I$3:$I$3008,"&lt;&gt;TV*")</f>
        <v>0</v>
      </c>
      <c r="Q14" s="35">
        <f>COUNTIFS(Errors!$F$3:$F$3008,$M14,Errors!$O$3:$O$3008,"yes")</f>
        <v>0</v>
      </c>
      <c r="R14" s="35">
        <f>COUNTIFS(Errors!$F$3:$F$3008,$M14,Errors!$P$3:$P$3008,"yes")</f>
        <v>0</v>
      </c>
      <c r="AE14" s="35"/>
      <c r="AF14" s="37">
        <f>COUNTIFS(Errors!$F:$F,Analysis!$AE43,Errors!$D:$D,Analysis!$AF$2)</f>
        <v>0</v>
      </c>
      <c r="AG14" s="34">
        <f>COUNTIFS(Errors!$F:$F,Analysis!$AE43,Errors!$D:$D,Analysis!$AG$2)</f>
        <v>0</v>
      </c>
      <c r="AH14" s="34">
        <f>COUNTIFS(Errors!$F:$F,Analysis!$AE43,Errors!$D:$D,Analysis!$AH$2)</f>
        <v>0</v>
      </c>
      <c r="AI14" s="34">
        <f>COUNTIFS(Errors!$F:$F,Analysis!$AE43,Errors!$D:$D,Analysis!$AI$2)</f>
        <v>0</v>
      </c>
      <c r="AJ14" s="34">
        <f>COUNTIFS(Errors!$F:$F,Analysis!$AE43,Errors!$D:$D,Analysis!$AJ$2)</f>
        <v>0</v>
      </c>
      <c r="AK14" s="34">
        <f>COUNTIFS(Errors!$F:$F,Analysis!$AE43,Errors!$D:$D,Analysis!$AK$2)</f>
        <v>0</v>
      </c>
      <c r="AL14" s="34">
        <f>COUNTIFS(Errors!$F:$F,Analysis!$AE43,Errors!$D:$D,Analysis!$AL$2)</f>
        <v>0</v>
      </c>
      <c r="AM14" s="34">
        <f>COUNTIFS(Errors!$F:$F,Analysis!$AE43,Errors!$D:$D,Analysis!$AM$2)</f>
        <v>0</v>
      </c>
      <c r="AN14" s="34">
        <f>COUNTIFS(Errors!$F:$F,Analysis!$AE43,Errors!$D:$D,Analysis!$AN$2)</f>
        <v>0</v>
      </c>
      <c r="AO14" s="34">
        <f>COUNTIFS(Errors!$F:$F,Analysis!$AE43,Errors!$D:$D,Analysis!$AO$2)</f>
        <v>0</v>
      </c>
      <c r="AP14" s="34">
        <f>COUNTIFS(Errors!$F:$F,Analysis!$AE43,Errors!$D:$D,Analysis!$AP$2)</f>
        <v>0</v>
      </c>
      <c r="AQ14" s="34">
        <f>COUNTIFS(Errors!$F:$F,Analysis!$AE43,Errors!$D:$D,Analysis!$AQ$2)</f>
        <v>0</v>
      </c>
      <c r="AR14" s="34">
        <f>COUNTIFS(Errors!$F:$F,Analysis!$AE43,Errors!$D:$D,Analysis!$AR$2)</f>
        <v>0</v>
      </c>
      <c r="AS14" s="34">
        <f>COUNTIFS(Errors!$F:$F,Analysis!$AE43,Errors!$D:$D,Analysis!$AS$2)</f>
        <v>0</v>
      </c>
      <c r="AT14" s="34">
        <f>COUNTIFS(Errors!$F:$F,Analysis!$AE43,Errors!$D:$D,Analysis!$AT$2)</f>
        <v>0</v>
      </c>
      <c r="AU14" s="34">
        <f>COUNTIFS(Errors!$F:$F,Analysis!$AE43,Errors!$D:$D,Analysis!$AU$2)</f>
        <v>0</v>
      </c>
      <c r="AV14" s="34">
        <f>COUNTIFS(Errors!$F:$F,Analysis!$AE43,Errors!$D:$D,Analysis!$AV$2)</f>
        <v>0</v>
      </c>
      <c r="AW14" s="34">
        <f>COUNTIFS(Errors!$F:$F,Analysis!$AE43,Errors!$D:$D,Analysis!$AW$2)</f>
        <v>0</v>
      </c>
      <c r="AX14" s="34">
        <f>COUNTIFS(Errors!$F:$F,Analysis!$AE43,Errors!$D:$D,Analysis!$AX$2)</f>
        <v>0</v>
      </c>
      <c r="AY14" s="34">
        <f>COUNTIFS(Errors!$F:$F,Analysis!$AE43,Errors!$D:$D,Analysis!$AY$2)</f>
        <v>0</v>
      </c>
      <c r="AZ14" s="34">
        <f>COUNTIFS(Errors!$F:$F,Analysis!$AE43,Errors!$D:$D,Analysis!$AZ$2)</f>
        <v>0</v>
      </c>
      <c r="BA14" s="34">
        <f>COUNTIFS(Errors!$F:$F,Analysis!$AE43,Errors!$D:$D,Analysis!$BA$2)</f>
        <v>0</v>
      </c>
      <c r="BB14" s="34">
        <f>COUNTIFS(Errors!$F:$F,Analysis!$AE43,Errors!$D:$D,Analysis!$BB$2)</f>
        <v>0</v>
      </c>
      <c r="BC14" s="34">
        <f>COUNTIFS(Errors!$F:$F,Analysis!$AE43,Errors!$D:$D,Analysis!$BC$2)</f>
        <v>0</v>
      </c>
      <c r="BD14" s="34">
        <f>COUNTIFS(Errors!$F:$F,Analysis!$AE43,Errors!$D:$D,Analysis!$BD$2)</f>
        <v>0</v>
      </c>
      <c r="BE14" s="34">
        <f>COUNTIFS(Errors!$F:$F,Analysis!$AE43,Errors!$D:$D,Analysis!$BE$2)</f>
        <v>0</v>
      </c>
      <c r="BF14" s="34">
        <f>COUNTIFS(Errors!$F:$F,Analysis!$AE43,Errors!$D:$D,Analysis!$BF$2)</f>
        <v>0</v>
      </c>
      <c r="BG14" s="34">
        <f>COUNTIFS(Errors!$F:$F,Analysis!$AE43,Errors!$D:$D,Analysis!$BG$2)</f>
        <v>0</v>
      </c>
      <c r="BH14" s="34">
        <f>COUNTIFS(Errors!$F:$F,Analysis!$AE43,Errors!$D:$D,Analysis!$BH$2)</f>
        <v>0</v>
      </c>
      <c r="BI14" s="34">
        <f>COUNTIFS(Errors!$F:$F,Analysis!$AE43,Errors!$D:$D,Analysis!$BI$2)</f>
        <v>0</v>
      </c>
      <c r="BJ14" s="34">
        <f>COUNTIFS(Errors!$F:$F,Analysis!$AE43,Errors!$D:$D,Analysis!$BJ$2)</f>
        <v>0</v>
      </c>
      <c r="BL14" s="39">
        <f t="shared" si="1"/>
        <v>0</v>
      </c>
      <c r="BN14" s="40">
        <f t="shared" si="2"/>
        <v>0</v>
      </c>
      <c r="BO14" s="41" t="s">
        <v>75</v>
      </c>
      <c r="BS14" s="35" t="s">
        <v>75</v>
      </c>
      <c r="BT14" s="34">
        <f>COUNTIFS(Errors!$D:$D,Analysis!BT$1,Errors!$F:$F,Analysis!$BS14,Errors!$O:$O,"YES")</f>
        <v>0</v>
      </c>
      <c r="BU14" s="34">
        <f>COUNTIFS(Errors!$D:$D,Analysis!BU$1,Errors!$F:$F,Analysis!$BS14,Errors!$O:$O,"YES")</f>
        <v>0</v>
      </c>
      <c r="BV14" s="34">
        <f>COUNTIFS(Errors!$D:$D,Analysis!BV$1,Errors!$F:$F,Analysis!$BS14,Errors!$O:$O,"YES")</f>
        <v>0</v>
      </c>
      <c r="BW14" s="34">
        <f>COUNTIFS(Errors!$D:$D,Analysis!BW$1,Errors!$F:$F,Analysis!$BS14,Errors!$O:$O,"YES")</f>
        <v>0</v>
      </c>
      <c r="BX14" s="34">
        <f>COUNTIFS(Errors!$D:$D,Analysis!BX$1,Errors!$F:$F,Analysis!$BS14,Errors!$O:$O,"YES")</f>
        <v>0</v>
      </c>
      <c r="BY14" s="34">
        <f>COUNTIFS(Errors!$D:$D,Analysis!BY$1,Errors!$F:$F,Analysis!$BS14,Errors!$O:$O,"YES")</f>
        <v>0</v>
      </c>
      <c r="BZ14" s="34">
        <f>COUNTIFS(Errors!$D:$D,Analysis!BZ$1,Errors!$F:$F,Analysis!$BS14,Errors!$O:$O,"YES")</f>
        <v>0</v>
      </c>
      <c r="CA14" s="34">
        <f>COUNTIFS(Errors!$D:$D,Analysis!CA$1,Errors!$F:$F,Analysis!$BS14,Errors!$O:$O,"YES")</f>
        <v>0</v>
      </c>
      <c r="CB14" s="34">
        <f>COUNTIFS(Errors!$D:$D,Analysis!CB$1,Errors!$F:$F,Analysis!$BS14,Errors!$O:$O,"YES")</f>
        <v>0</v>
      </c>
      <c r="CC14" s="34">
        <f>COUNTIFS(Errors!$D:$D,Analysis!CC$1,Errors!$F:$F,Analysis!$BS14,Errors!$O:$O,"YES")</f>
        <v>0</v>
      </c>
      <c r="CD14" s="34">
        <f>COUNTIFS(Errors!$D:$D,Analysis!CD$1,Errors!$F:$F,Analysis!$BS14,Errors!$O:$O,"YES")</f>
        <v>0</v>
      </c>
      <c r="CE14" s="34">
        <f>COUNTIFS(Errors!$D:$D,Analysis!CE$1,Errors!$F:$F,Analysis!$BS14,Errors!$O:$O,"YES")</f>
        <v>0</v>
      </c>
      <c r="CF14" s="34">
        <f>COUNTIFS(Errors!$D:$D,Analysis!CF$1,Errors!$F:$F,Analysis!$BS14,Errors!$O:$O,"YES")</f>
        <v>0</v>
      </c>
      <c r="CG14" s="34">
        <f>COUNTIFS(Errors!$D:$D,Analysis!CG$1,Errors!$F:$F,Analysis!$BS14,Errors!$O:$O,"YES")</f>
        <v>0</v>
      </c>
      <c r="CH14" s="34">
        <f>COUNTIFS(Errors!$D:$D,Analysis!CH$1,Errors!$F:$F,Analysis!$BS14,Errors!$O:$O,"YES")</f>
        <v>0</v>
      </c>
      <c r="CI14" s="34">
        <f>COUNTIFS(Errors!$D:$D,Analysis!CI$1,Errors!$F:$F,Analysis!$BS14,Errors!$O:$O,"YES")</f>
        <v>0</v>
      </c>
      <c r="CJ14" s="34">
        <f>COUNTIFS(Errors!$D:$D,Analysis!CJ$1,Errors!$F:$F,Analysis!$BS14,Errors!$O:$O,"YES")</f>
        <v>0</v>
      </c>
      <c r="CK14" s="34">
        <f>COUNTIFS(Errors!$D:$D,Analysis!CK$1,Errors!$F:$F,Analysis!$BS14,Errors!$O:$O,"YES")</f>
        <v>0</v>
      </c>
      <c r="CL14" s="34">
        <f>COUNTIFS(Errors!$D:$D,Analysis!CL$1,Errors!$F:$F,Analysis!$BS14,Errors!$O:$O,"YES")</f>
        <v>0</v>
      </c>
      <c r="CM14" s="34">
        <f>COUNTIFS(Errors!$D:$D,Analysis!CM$1,Errors!$F:$F,Analysis!$BS14,Errors!$O:$O,"YES")</f>
        <v>0</v>
      </c>
      <c r="CN14" s="34">
        <f>COUNTIFS(Errors!$D:$D,Analysis!CN$1,Errors!$F:$F,Analysis!$BS14,Errors!$O:$O,"YES")</f>
        <v>0</v>
      </c>
      <c r="CO14" s="34">
        <f>COUNTIFS(Errors!$D:$D,Analysis!CO$1,Errors!$F:$F,Analysis!$BS14,Errors!$O:$O,"YES")</f>
        <v>0</v>
      </c>
      <c r="CP14" s="34">
        <f>COUNTIFS(Errors!$D:$D,Analysis!CP$1,Errors!$F:$F,Analysis!$BS14,Errors!$O:$O,"YES")</f>
        <v>0</v>
      </c>
      <c r="CQ14" s="34">
        <f>COUNTIFS(Errors!$D:$D,Analysis!CQ$1,Errors!$F:$F,Analysis!$BS14,Errors!$O:$O,"YES")</f>
        <v>0</v>
      </c>
      <c r="CR14" s="34">
        <f>COUNTIFS(Errors!$D:$D,Analysis!CR$1,Errors!$F:$F,Analysis!$BS14,Errors!$O:$O,"YES")</f>
        <v>0</v>
      </c>
      <c r="CS14" s="34">
        <f>COUNTIFS(Errors!$D:$D,Analysis!CS$1,Errors!$F:$F,Analysis!$BS14,Errors!$O:$O,"YES")</f>
        <v>0</v>
      </c>
      <c r="CT14" s="34">
        <f>COUNTIFS(Errors!$D:$D,Analysis!CT$1,Errors!$F:$F,Analysis!$BS14,Errors!$O:$O,"YES")</f>
        <v>0</v>
      </c>
      <c r="CU14" s="34">
        <f>COUNTIFS(Errors!$D:$D,Analysis!CU$1,Errors!$F:$F,Analysis!$BS14,Errors!$O:$O,"YES")</f>
        <v>0</v>
      </c>
      <c r="CV14" s="34">
        <f>COUNTIFS(Errors!$D:$D,Analysis!CV$1,Errors!$F:$F,Analysis!$BS14,Errors!$O:$O,"YES")</f>
        <v>0</v>
      </c>
      <c r="CW14" s="34">
        <f>COUNTIFS(Errors!$D:$D,Analysis!CW$1,Errors!$F:$F,Analysis!$BS14,Errors!$O:$O,"YES")</f>
        <v>0</v>
      </c>
      <c r="CX14" s="34">
        <f>COUNTIFS(Errors!$D:$D,Analysis!CX$1,Errors!$F:$F,Analysis!$BS14,Errors!$O:$O,"YES")</f>
        <v>0</v>
      </c>
      <c r="CZ14" s="39">
        <f t="shared" si="3"/>
        <v>0</v>
      </c>
      <c r="DB14" s="42">
        <f t="shared" si="4"/>
        <v>0</v>
      </c>
      <c r="DC14" s="41" t="s">
        <v>75</v>
      </c>
    </row>
    <row r="15">
      <c r="A15" s="51"/>
      <c r="B15" s="50"/>
      <c r="C15" s="50"/>
      <c r="D15" s="50"/>
      <c r="E15" s="50"/>
      <c r="G15" s="35"/>
      <c r="H15" s="33">
        <f>COUNTIF(Errors!$F$3:$F$3008,$G15)</f>
        <v>0</v>
      </c>
      <c r="I15" s="34">
        <f>COUNTIFS(Errors!$F$3:$F$3008,$G15,Errors!$I$3:$I$3008,"TV*")</f>
        <v>0</v>
      </c>
      <c r="J15" s="34">
        <f>COUNTIFS(Errors!$F$3:$F$3008,$G15,Errors!$I$3:$I$3008,"&lt;&gt;TV*")</f>
        <v>0</v>
      </c>
      <c r="K15" s="34">
        <f>COUNTIFS(Errors!$F$3:$F$3008,$G15,Errors!$Q$3:$Q$3008,"yes")</f>
        <v>0</v>
      </c>
      <c r="M15" s="35"/>
      <c r="N15" s="33">
        <f>COUNTIFS(Errors!$O$3:$O$3008,"Yes",Errors!$F$3:$F$3008,$M15)+COUNTIFS(Errors!$P$3:$P$3008,"Yes",Errors!$F$3:$F$3008,$M15)</f>
        <v>0</v>
      </c>
      <c r="O15" s="36">
        <f>COUNTIFS(Errors!$O$3:$O$3008,"Yes",Errors!$F$3:$F$3008,$M15,Errors!$I$3:$I$3008,"TV*")+COUNTIFS(Errors!$P$3:$P$3008,"Yes",Errors!$F$3:$F$3008,$M15,Errors!$I$3:$I$3008,"TV*")</f>
        <v>0</v>
      </c>
      <c r="P15" s="34">
        <f>COUNTIFS(Errors!$O$3:$O$3008,"Yes",Errors!$F$3:$F$3008,$M15,Errors!$I$3:$I$3008,"&lt;&gt;TV*")+COUNTIFS(Errors!$P$3:$P$3008,"Yes",Errors!$F$3:$F$3008,$M15,Errors!$I$3:$I$3008,"&lt;&gt;TV*")</f>
        <v>0</v>
      </c>
      <c r="Q15" s="35">
        <f>COUNTIFS(Errors!$F$3:$F$3008,$M15,Errors!$O$3:$O$3008,"yes")</f>
        <v>0</v>
      </c>
      <c r="R15" s="35">
        <f>COUNTIFS(Errors!$F$3:$F$3008,$M15,Errors!$P$3:$P$3008,"yes")</f>
        <v>0</v>
      </c>
      <c r="AE15" s="35"/>
      <c r="AF15" s="37">
        <f>COUNTIFS(Errors!$F:$F,Analysis!$AE44,Errors!$D:$D,Analysis!$AF$2)</f>
        <v>0</v>
      </c>
      <c r="AG15" s="34">
        <f>COUNTIFS(Errors!$F:$F,Analysis!$AE44,Errors!$D:$D,Analysis!$AG$2)</f>
        <v>0</v>
      </c>
      <c r="AH15" s="34">
        <f>COUNTIFS(Errors!$F:$F,Analysis!$AE44,Errors!$D:$D,Analysis!$AH$2)</f>
        <v>0</v>
      </c>
      <c r="AI15" s="34">
        <f>COUNTIFS(Errors!$F:$F,Analysis!$AE44,Errors!$D:$D,Analysis!$AI$2)</f>
        <v>0</v>
      </c>
      <c r="AJ15" s="34">
        <f>COUNTIFS(Errors!$F:$F,Analysis!$AE44,Errors!$D:$D,Analysis!$AJ$2)</f>
        <v>0</v>
      </c>
      <c r="AK15" s="34">
        <f>COUNTIFS(Errors!$F:$F,Analysis!$AE44,Errors!$D:$D,Analysis!$AK$2)</f>
        <v>0</v>
      </c>
      <c r="AL15" s="34">
        <f>COUNTIFS(Errors!$F:$F,Analysis!$AE44,Errors!$D:$D,Analysis!$AL$2)</f>
        <v>0</v>
      </c>
      <c r="AM15" s="34">
        <f>COUNTIFS(Errors!$F:$F,Analysis!$AE44,Errors!$D:$D,Analysis!$AM$2)</f>
        <v>0</v>
      </c>
      <c r="AN15" s="34">
        <f>COUNTIFS(Errors!$F:$F,Analysis!$AE44,Errors!$D:$D,Analysis!$AN$2)</f>
        <v>0</v>
      </c>
      <c r="AO15" s="34">
        <f>COUNTIFS(Errors!$F:$F,Analysis!$AE44,Errors!$D:$D,Analysis!$AO$2)</f>
        <v>0</v>
      </c>
      <c r="AP15" s="34">
        <f>COUNTIFS(Errors!$F:$F,Analysis!$AE44,Errors!$D:$D,Analysis!$AP$2)</f>
        <v>0</v>
      </c>
      <c r="AQ15" s="34">
        <f>COUNTIFS(Errors!$F:$F,Analysis!$AE44,Errors!$D:$D,Analysis!$AQ$2)</f>
        <v>0</v>
      </c>
      <c r="AR15" s="34">
        <f>COUNTIFS(Errors!$F:$F,Analysis!$AE44,Errors!$D:$D,Analysis!$AR$2)</f>
        <v>0</v>
      </c>
      <c r="AS15" s="34">
        <f>COUNTIFS(Errors!$F:$F,Analysis!$AE44,Errors!$D:$D,Analysis!$AS$2)</f>
        <v>0</v>
      </c>
      <c r="AT15" s="34">
        <f>COUNTIFS(Errors!$F:$F,Analysis!$AE44,Errors!$D:$D,Analysis!$AT$2)</f>
        <v>0</v>
      </c>
      <c r="AU15" s="34">
        <f>COUNTIFS(Errors!$F:$F,Analysis!$AE44,Errors!$D:$D,Analysis!$AU$2)</f>
        <v>0</v>
      </c>
      <c r="AV15" s="34">
        <f>COUNTIFS(Errors!$F:$F,Analysis!$AE44,Errors!$D:$D,Analysis!$AV$2)</f>
        <v>0</v>
      </c>
      <c r="AW15" s="34">
        <f>COUNTIFS(Errors!$F:$F,Analysis!$AE44,Errors!$D:$D,Analysis!$AW$2)</f>
        <v>0</v>
      </c>
      <c r="AX15" s="34">
        <f>COUNTIFS(Errors!$F:$F,Analysis!$AE44,Errors!$D:$D,Analysis!$AX$2)</f>
        <v>0</v>
      </c>
      <c r="AY15" s="34">
        <f>COUNTIFS(Errors!$F:$F,Analysis!$AE44,Errors!$D:$D,Analysis!$AY$2)</f>
        <v>0</v>
      </c>
      <c r="AZ15" s="34">
        <f>COUNTIFS(Errors!$F:$F,Analysis!$AE44,Errors!$D:$D,Analysis!$AZ$2)</f>
        <v>0</v>
      </c>
      <c r="BA15" s="34">
        <f>COUNTIFS(Errors!$F:$F,Analysis!$AE44,Errors!$D:$D,Analysis!$BA$2)</f>
        <v>0</v>
      </c>
      <c r="BB15" s="34">
        <f>COUNTIFS(Errors!$F:$F,Analysis!$AE44,Errors!$D:$D,Analysis!$BB$2)</f>
        <v>0</v>
      </c>
      <c r="BC15" s="34">
        <f>COUNTIFS(Errors!$F:$F,Analysis!$AE44,Errors!$D:$D,Analysis!$BC$2)</f>
        <v>0</v>
      </c>
      <c r="BD15" s="34">
        <f>COUNTIFS(Errors!$F:$F,Analysis!$AE44,Errors!$D:$D,Analysis!$BD$2)</f>
        <v>0</v>
      </c>
      <c r="BE15" s="34">
        <f>COUNTIFS(Errors!$F:$F,Analysis!$AE44,Errors!$D:$D,Analysis!$BE$2)</f>
        <v>0</v>
      </c>
      <c r="BF15" s="34">
        <f>COUNTIFS(Errors!$F:$F,Analysis!$AE44,Errors!$D:$D,Analysis!$BF$2)</f>
        <v>0</v>
      </c>
      <c r="BG15" s="34">
        <f>COUNTIFS(Errors!$F:$F,Analysis!$AE44,Errors!$D:$D,Analysis!$BG$2)</f>
        <v>0</v>
      </c>
      <c r="BH15" s="34">
        <f>COUNTIFS(Errors!$F:$F,Analysis!$AE44,Errors!$D:$D,Analysis!$BH$2)</f>
        <v>0</v>
      </c>
      <c r="BI15" s="34">
        <f>COUNTIFS(Errors!$F:$F,Analysis!$AE44,Errors!$D:$D,Analysis!$BI$2)</f>
        <v>0</v>
      </c>
      <c r="BJ15" s="34">
        <f>COUNTIFS(Errors!$F:$F,Analysis!$AE44,Errors!$D:$D,Analysis!$BJ$2)</f>
        <v>0</v>
      </c>
      <c r="BL15" s="39">
        <f t="shared" si="1"/>
        <v>0</v>
      </c>
      <c r="BN15" s="40">
        <f t="shared" si="2"/>
        <v>0</v>
      </c>
      <c r="BO15" s="41" t="s">
        <v>76</v>
      </c>
      <c r="BS15" s="35" t="s">
        <v>76</v>
      </c>
      <c r="BT15" s="34">
        <f>COUNTIFS(Errors!$D:$D,Analysis!BT$1,Errors!$F:$F,Analysis!$BS15,Errors!$O:$O,"YES")</f>
        <v>0</v>
      </c>
      <c r="BU15" s="34">
        <f>COUNTIFS(Errors!$D:$D,Analysis!BU$1,Errors!$F:$F,Analysis!$BS15,Errors!$O:$O,"YES")</f>
        <v>0</v>
      </c>
      <c r="BV15" s="34">
        <f>COUNTIFS(Errors!$D:$D,Analysis!BV$1,Errors!$F:$F,Analysis!$BS15,Errors!$O:$O,"YES")</f>
        <v>0</v>
      </c>
      <c r="BW15" s="34">
        <f>COUNTIFS(Errors!$D:$D,Analysis!BW$1,Errors!$F:$F,Analysis!$BS15,Errors!$O:$O,"YES")</f>
        <v>0</v>
      </c>
      <c r="BX15" s="34">
        <f>COUNTIFS(Errors!$D:$D,Analysis!BX$1,Errors!$F:$F,Analysis!$BS15,Errors!$O:$O,"YES")</f>
        <v>0</v>
      </c>
      <c r="BY15" s="34">
        <f>COUNTIFS(Errors!$D:$D,Analysis!BY$1,Errors!$F:$F,Analysis!$BS15,Errors!$O:$O,"YES")</f>
        <v>0</v>
      </c>
      <c r="BZ15" s="34">
        <f>COUNTIFS(Errors!$D:$D,Analysis!BZ$1,Errors!$F:$F,Analysis!$BS15,Errors!$O:$O,"YES")</f>
        <v>0</v>
      </c>
      <c r="CA15" s="34">
        <f>COUNTIFS(Errors!$D:$D,Analysis!CA$1,Errors!$F:$F,Analysis!$BS15,Errors!$O:$O,"YES")</f>
        <v>0</v>
      </c>
      <c r="CB15" s="34">
        <f>COUNTIFS(Errors!$D:$D,Analysis!CB$1,Errors!$F:$F,Analysis!$BS15,Errors!$O:$O,"YES")</f>
        <v>0</v>
      </c>
      <c r="CC15" s="34">
        <f>COUNTIFS(Errors!$D:$D,Analysis!CC$1,Errors!$F:$F,Analysis!$BS15,Errors!$O:$O,"YES")</f>
        <v>0</v>
      </c>
      <c r="CD15" s="34">
        <f>COUNTIFS(Errors!$D:$D,Analysis!CD$1,Errors!$F:$F,Analysis!$BS15,Errors!$O:$O,"YES")</f>
        <v>0</v>
      </c>
      <c r="CE15" s="34">
        <f>COUNTIFS(Errors!$D:$D,Analysis!CE$1,Errors!$F:$F,Analysis!$BS15,Errors!$O:$O,"YES")</f>
        <v>0</v>
      </c>
      <c r="CF15" s="34">
        <f>COUNTIFS(Errors!$D:$D,Analysis!CF$1,Errors!$F:$F,Analysis!$BS15,Errors!$O:$O,"YES")</f>
        <v>0</v>
      </c>
      <c r="CG15" s="34">
        <f>COUNTIFS(Errors!$D:$D,Analysis!CG$1,Errors!$F:$F,Analysis!$BS15,Errors!$O:$O,"YES")</f>
        <v>0</v>
      </c>
      <c r="CH15" s="34">
        <f>COUNTIFS(Errors!$D:$D,Analysis!CH$1,Errors!$F:$F,Analysis!$BS15,Errors!$O:$O,"YES")</f>
        <v>0</v>
      </c>
      <c r="CI15" s="34">
        <f>COUNTIFS(Errors!$D:$D,Analysis!CI$1,Errors!$F:$F,Analysis!$BS15,Errors!$O:$O,"YES")</f>
        <v>0</v>
      </c>
      <c r="CJ15" s="34">
        <f>COUNTIFS(Errors!$D:$D,Analysis!CJ$1,Errors!$F:$F,Analysis!$BS15,Errors!$O:$O,"YES")</f>
        <v>0</v>
      </c>
      <c r="CK15" s="34">
        <f>COUNTIFS(Errors!$D:$D,Analysis!CK$1,Errors!$F:$F,Analysis!$BS15,Errors!$O:$O,"YES")</f>
        <v>0</v>
      </c>
      <c r="CL15" s="34">
        <f>COUNTIFS(Errors!$D:$D,Analysis!CL$1,Errors!$F:$F,Analysis!$BS15,Errors!$O:$O,"YES")</f>
        <v>0</v>
      </c>
      <c r="CM15" s="34">
        <f>COUNTIFS(Errors!$D:$D,Analysis!CM$1,Errors!$F:$F,Analysis!$BS15,Errors!$O:$O,"YES")</f>
        <v>0</v>
      </c>
      <c r="CN15" s="34">
        <f>COUNTIFS(Errors!$D:$D,Analysis!CN$1,Errors!$F:$F,Analysis!$BS15,Errors!$O:$O,"YES")</f>
        <v>0</v>
      </c>
      <c r="CO15" s="34">
        <f>COUNTIFS(Errors!$D:$D,Analysis!CO$1,Errors!$F:$F,Analysis!$BS15,Errors!$O:$O,"YES")</f>
        <v>0</v>
      </c>
      <c r="CP15" s="34">
        <f>COUNTIFS(Errors!$D:$D,Analysis!CP$1,Errors!$F:$F,Analysis!$BS15,Errors!$O:$O,"YES")</f>
        <v>0</v>
      </c>
      <c r="CQ15" s="34">
        <f>COUNTIFS(Errors!$D:$D,Analysis!CQ$1,Errors!$F:$F,Analysis!$BS15,Errors!$O:$O,"YES")</f>
        <v>0</v>
      </c>
      <c r="CR15" s="34">
        <f>COUNTIFS(Errors!$D:$D,Analysis!CR$1,Errors!$F:$F,Analysis!$BS15,Errors!$O:$O,"YES")</f>
        <v>0</v>
      </c>
      <c r="CS15" s="34">
        <f>COUNTIFS(Errors!$D:$D,Analysis!CS$1,Errors!$F:$F,Analysis!$BS15,Errors!$O:$O,"YES")</f>
        <v>0</v>
      </c>
      <c r="CT15" s="34">
        <f>COUNTIFS(Errors!$D:$D,Analysis!CT$1,Errors!$F:$F,Analysis!$BS15,Errors!$O:$O,"YES")</f>
        <v>0</v>
      </c>
      <c r="CU15" s="34">
        <f>COUNTIFS(Errors!$D:$D,Analysis!CU$1,Errors!$F:$F,Analysis!$BS15,Errors!$O:$O,"YES")</f>
        <v>0</v>
      </c>
      <c r="CV15" s="34">
        <f>COUNTIFS(Errors!$D:$D,Analysis!CV$1,Errors!$F:$F,Analysis!$BS15,Errors!$O:$O,"YES")</f>
        <v>0</v>
      </c>
      <c r="CW15" s="34">
        <f>COUNTIFS(Errors!$D:$D,Analysis!CW$1,Errors!$F:$F,Analysis!$BS15,Errors!$O:$O,"YES")</f>
        <v>0</v>
      </c>
      <c r="CX15" s="34">
        <f>COUNTIFS(Errors!$D:$D,Analysis!CX$1,Errors!$F:$F,Analysis!$BS15,Errors!$O:$O,"YES")</f>
        <v>0</v>
      </c>
      <c r="CZ15" s="39">
        <f t="shared" si="3"/>
        <v>0</v>
      </c>
      <c r="DB15" s="42">
        <f t="shared" si="4"/>
        <v>0</v>
      </c>
      <c r="DC15" s="41" t="s">
        <v>76</v>
      </c>
    </row>
    <row r="16">
      <c r="A16" s="51"/>
      <c r="B16" s="50"/>
      <c r="C16" s="50"/>
      <c r="D16" s="50"/>
      <c r="E16" s="50"/>
      <c r="G16" s="35"/>
      <c r="H16" s="33">
        <f>COUNTIF(Errors!$F$3:$F$3008,$G16)</f>
        <v>0</v>
      </c>
      <c r="I16" s="34">
        <f>COUNTIFS(Errors!$F$3:$F$3008,$G16,Errors!$I$3:$I$3008,"TV*")</f>
        <v>0</v>
      </c>
      <c r="J16" s="34">
        <f>COUNTIFS(Errors!$F$3:$F$3008,$G16,Errors!$I$3:$I$3008,"&lt;&gt;TV*")</f>
        <v>0</v>
      </c>
      <c r="K16" s="34">
        <f>COUNTIFS(Errors!$F$3:$F$3008,$G16,Errors!$Q$3:$Q$3008,"yes")</f>
        <v>0</v>
      </c>
      <c r="M16" s="35"/>
      <c r="N16" s="33">
        <f>COUNTIFS(Errors!$O$3:$O$3008,"Yes",Errors!$F$3:$F$3008,$M16)+COUNTIFS(Errors!$P$3:$P$3008,"Yes",Errors!$F$3:$F$3008,$M16)</f>
        <v>0</v>
      </c>
      <c r="O16" s="36">
        <f>COUNTIFS(Errors!$O$3:$O$3008,"Yes",Errors!$F$3:$F$3008,$M16,Errors!$I$3:$I$3008,"TV*")+COUNTIFS(Errors!$P$3:$P$3008,"Yes",Errors!$F$3:$F$3008,$M16,Errors!$I$3:$I$3008,"TV*")</f>
        <v>0</v>
      </c>
      <c r="P16" s="34">
        <f>COUNTIFS(Errors!$O$3:$O$3008,"Yes",Errors!$F$3:$F$3008,$M16,Errors!$I$3:$I$3008,"&lt;&gt;TV*")+COUNTIFS(Errors!$P$3:$P$3008,"Yes",Errors!$F$3:$F$3008,$M16,Errors!$I$3:$I$3008,"&lt;&gt;TV*")</f>
        <v>0</v>
      </c>
      <c r="Q16" s="35">
        <f>COUNTIFS(Errors!$F$3:$F$3008,$M16,Errors!$O$3:$O$3008,"yes")</f>
        <v>0</v>
      </c>
      <c r="R16" s="35">
        <f>COUNTIFS(Errors!$F$3:$F$3008,$M16,Errors!$P$3:$P$3008,"yes")</f>
        <v>0</v>
      </c>
      <c r="AE16" s="35"/>
      <c r="AF16" s="37">
        <f>COUNTIFS(Errors!$F:$F,Analysis!$AE45,Errors!$D:$D,Analysis!$AF$2)</f>
        <v>0</v>
      </c>
      <c r="AG16" s="34">
        <f>COUNTIFS(Errors!$F:$F,Analysis!$AE45,Errors!$D:$D,Analysis!$AG$2)</f>
        <v>0</v>
      </c>
      <c r="AH16" s="34">
        <f>COUNTIFS(Errors!$F:$F,Analysis!$AE45,Errors!$D:$D,Analysis!$AH$2)</f>
        <v>0</v>
      </c>
      <c r="AI16" s="34">
        <f>COUNTIFS(Errors!$F:$F,Analysis!$AE45,Errors!$D:$D,Analysis!$AI$2)</f>
        <v>0</v>
      </c>
      <c r="AJ16" s="34">
        <f>COUNTIFS(Errors!$F:$F,Analysis!$AE45,Errors!$D:$D,Analysis!$AJ$2)</f>
        <v>0</v>
      </c>
      <c r="AK16" s="34">
        <f>COUNTIFS(Errors!$F:$F,Analysis!$AE45,Errors!$D:$D,Analysis!$AK$2)</f>
        <v>0</v>
      </c>
      <c r="AL16" s="34">
        <f>COUNTIFS(Errors!$F:$F,Analysis!$AE45,Errors!$D:$D,Analysis!$AL$2)</f>
        <v>0</v>
      </c>
      <c r="AM16" s="34">
        <f>COUNTIFS(Errors!$F:$F,Analysis!$AE45,Errors!$D:$D,Analysis!$AM$2)</f>
        <v>0</v>
      </c>
      <c r="AN16" s="34">
        <f>COUNTIFS(Errors!$F:$F,Analysis!$AE45,Errors!$D:$D,Analysis!$AN$2)</f>
        <v>0</v>
      </c>
      <c r="AO16" s="34">
        <f>COUNTIFS(Errors!$F:$F,Analysis!$AE45,Errors!$D:$D,Analysis!$AO$2)</f>
        <v>0</v>
      </c>
      <c r="AP16" s="34">
        <f>COUNTIFS(Errors!$F:$F,Analysis!$AE45,Errors!$D:$D,Analysis!$AP$2)</f>
        <v>0</v>
      </c>
      <c r="AQ16" s="34">
        <f>COUNTIFS(Errors!$F:$F,Analysis!$AE45,Errors!$D:$D,Analysis!$AQ$2)</f>
        <v>0</v>
      </c>
      <c r="AR16" s="34">
        <f>COUNTIFS(Errors!$F:$F,Analysis!$AE45,Errors!$D:$D,Analysis!$AR$2)</f>
        <v>0</v>
      </c>
      <c r="AS16" s="34">
        <f>COUNTIFS(Errors!$F:$F,Analysis!$AE45,Errors!$D:$D,Analysis!$AS$2)</f>
        <v>0</v>
      </c>
      <c r="AT16" s="34">
        <f>COUNTIFS(Errors!$F:$F,Analysis!$AE45,Errors!$D:$D,Analysis!$AT$2)</f>
        <v>0</v>
      </c>
      <c r="AU16" s="34">
        <f>COUNTIFS(Errors!$F:$F,Analysis!$AE45,Errors!$D:$D,Analysis!$AU$2)</f>
        <v>0</v>
      </c>
      <c r="AV16" s="34">
        <f>COUNTIFS(Errors!$F:$F,Analysis!$AE45,Errors!$D:$D,Analysis!$AV$2)</f>
        <v>0</v>
      </c>
      <c r="AW16" s="34">
        <f>COUNTIFS(Errors!$F:$F,Analysis!$AE45,Errors!$D:$D,Analysis!$AW$2)</f>
        <v>0</v>
      </c>
      <c r="AX16" s="34">
        <f>COUNTIFS(Errors!$F:$F,Analysis!$AE45,Errors!$D:$D,Analysis!$AX$2)</f>
        <v>0</v>
      </c>
      <c r="AY16" s="34">
        <f>COUNTIFS(Errors!$F:$F,Analysis!$AE45,Errors!$D:$D,Analysis!$AY$2)</f>
        <v>0</v>
      </c>
      <c r="AZ16" s="34">
        <f>COUNTIFS(Errors!$F:$F,Analysis!$AE45,Errors!$D:$D,Analysis!$AZ$2)</f>
        <v>0</v>
      </c>
      <c r="BA16" s="34">
        <f>COUNTIFS(Errors!$F:$F,Analysis!$AE45,Errors!$D:$D,Analysis!$BA$2)</f>
        <v>0</v>
      </c>
      <c r="BB16" s="34">
        <f>COUNTIFS(Errors!$F:$F,Analysis!$AE45,Errors!$D:$D,Analysis!$BB$2)</f>
        <v>0</v>
      </c>
      <c r="BC16" s="34">
        <f>COUNTIFS(Errors!$F:$F,Analysis!$AE45,Errors!$D:$D,Analysis!$BC$2)</f>
        <v>0</v>
      </c>
      <c r="BD16" s="34">
        <f>COUNTIFS(Errors!$F:$F,Analysis!$AE45,Errors!$D:$D,Analysis!$BD$2)</f>
        <v>0</v>
      </c>
      <c r="BE16" s="34">
        <f>COUNTIFS(Errors!$F:$F,Analysis!$AE45,Errors!$D:$D,Analysis!$BE$2)</f>
        <v>0</v>
      </c>
      <c r="BF16" s="34">
        <f>COUNTIFS(Errors!$F:$F,Analysis!$AE45,Errors!$D:$D,Analysis!$BF$2)</f>
        <v>0</v>
      </c>
      <c r="BG16" s="34">
        <f>COUNTIFS(Errors!$F:$F,Analysis!$AE45,Errors!$D:$D,Analysis!$BG$2)</f>
        <v>0</v>
      </c>
      <c r="BH16" s="34">
        <f>COUNTIFS(Errors!$F:$F,Analysis!$AE45,Errors!$D:$D,Analysis!$BH$2)</f>
        <v>0</v>
      </c>
      <c r="BI16" s="34">
        <f>COUNTIFS(Errors!$F:$F,Analysis!$AE45,Errors!$D:$D,Analysis!$BI$2)</f>
        <v>0</v>
      </c>
      <c r="BJ16" s="34">
        <f>COUNTIFS(Errors!$F:$F,Analysis!$AE45,Errors!$D:$D,Analysis!$BJ$2)</f>
        <v>0</v>
      </c>
      <c r="BL16" s="39">
        <f t="shared" si="1"/>
        <v>0</v>
      </c>
      <c r="BN16" s="40">
        <f t="shared" si="2"/>
        <v>0</v>
      </c>
      <c r="BO16" s="41" t="s">
        <v>77</v>
      </c>
      <c r="BS16" s="35" t="s">
        <v>77</v>
      </c>
      <c r="BT16" s="34">
        <f>COUNTIFS(Errors!$D:$D,Analysis!BT$1,Errors!$F:$F,Analysis!$BS16,Errors!$O:$O,"YES")</f>
        <v>0</v>
      </c>
      <c r="BU16" s="34">
        <f>COUNTIFS(Errors!$D:$D,Analysis!BU$1,Errors!$F:$F,Analysis!$BS16,Errors!$O:$O,"YES")</f>
        <v>0</v>
      </c>
      <c r="BV16" s="34">
        <f>COUNTIFS(Errors!$D:$D,Analysis!BV$1,Errors!$F:$F,Analysis!$BS16,Errors!$O:$O,"YES")</f>
        <v>0</v>
      </c>
      <c r="BW16" s="34">
        <f>COUNTIFS(Errors!$D:$D,Analysis!BW$1,Errors!$F:$F,Analysis!$BS16,Errors!$O:$O,"YES")</f>
        <v>0</v>
      </c>
      <c r="BX16" s="34">
        <f>COUNTIFS(Errors!$D:$D,Analysis!BX$1,Errors!$F:$F,Analysis!$BS16,Errors!$O:$O,"YES")</f>
        <v>0</v>
      </c>
      <c r="BY16" s="34">
        <f>COUNTIFS(Errors!$D:$D,Analysis!BY$1,Errors!$F:$F,Analysis!$BS16,Errors!$O:$O,"YES")</f>
        <v>0</v>
      </c>
      <c r="BZ16" s="34">
        <f>COUNTIFS(Errors!$D:$D,Analysis!BZ$1,Errors!$F:$F,Analysis!$BS16,Errors!$O:$O,"YES")</f>
        <v>0</v>
      </c>
      <c r="CA16" s="34">
        <f>COUNTIFS(Errors!$D:$D,Analysis!CA$1,Errors!$F:$F,Analysis!$BS16,Errors!$O:$O,"YES")</f>
        <v>0</v>
      </c>
      <c r="CB16" s="34">
        <f>COUNTIFS(Errors!$D:$D,Analysis!CB$1,Errors!$F:$F,Analysis!$BS16,Errors!$O:$O,"YES")</f>
        <v>0</v>
      </c>
      <c r="CC16" s="34">
        <f>COUNTIFS(Errors!$D:$D,Analysis!CC$1,Errors!$F:$F,Analysis!$BS16,Errors!$O:$O,"YES")</f>
        <v>0</v>
      </c>
      <c r="CD16" s="34">
        <f>COUNTIFS(Errors!$D:$D,Analysis!CD$1,Errors!$F:$F,Analysis!$BS16,Errors!$O:$O,"YES")</f>
        <v>0</v>
      </c>
      <c r="CE16" s="34">
        <f>COUNTIFS(Errors!$D:$D,Analysis!CE$1,Errors!$F:$F,Analysis!$BS16,Errors!$O:$O,"YES")</f>
        <v>0</v>
      </c>
      <c r="CF16" s="34">
        <f>COUNTIFS(Errors!$D:$D,Analysis!CF$1,Errors!$F:$F,Analysis!$BS16,Errors!$O:$O,"YES")</f>
        <v>0</v>
      </c>
      <c r="CG16" s="34">
        <f>COUNTIFS(Errors!$D:$D,Analysis!CG$1,Errors!$F:$F,Analysis!$BS16,Errors!$O:$O,"YES")</f>
        <v>0</v>
      </c>
      <c r="CH16" s="34">
        <f>COUNTIFS(Errors!$D:$D,Analysis!CH$1,Errors!$F:$F,Analysis!$BS16,Errors!$O:$O,"YES")</f>
        <v>0</v>
      </c>
      <c r="CI16" s="34">
        <f>COUNTIFS(Errors!$D:$D,Analysis!CI$1,Errors!$F:$F,Analysis!$BS16,Errors!$O:$O,"YES")</f>
        <v>0</v>
      </c>
      <c r="CJ16" s="34">
        <f>COUNTIFS(Errors!$D:$D,Analysis!CJ$1,Errors!$F:$F,Analysis!$BS16,Errors!$O:$O,"YES")</f>
        <v>0</v>
      </c>
      <c r="CK16" s="34">
        <f>COUNTIFS(Errors!$D:$D,Analysis!CK$1,Errors!$F:$F,Analysis!$BS16,Errors!$O:$O,"YES")</f>
        <v>0</v>
      </c>
      <c r="CL16" s="34">
        <f>COUNTIFS(Errors!$D:$D,Analysis!CL$1,Errors!$F:$F,Analysis!$BS16,Errors!$O:$O,"YES")</f>
        <v>0</v>
      </c>
      <c r="CM16" s="34">
        <f>COUNTIFS(Errors!$D:$D,Analysis!CM$1,Errors!$F:$F,Analysis!$BS16,Errors!$O:$O,"YES")</f>
        <v>0</v>
      </c>
      <c r="CN16" s="34">
        <f>COUNTIFS(Errors!$D:$D,Analysis!CN$1,Errors!$F:$F,Analysis!$BS16,Errors!$O:$O,"YES")</f>
        <v>0</v>
      </c>
      <c r="CO16" s="34">
        <f>COUNTIFS(Errors!$D:$D,Analysis!CO$1,Errors!$F:$F,Analysis!$BS16,Errors!$O:$O,"YES")</f>
        <v>0</v>
      </c>
      <c r="CP16" s="34">
        <f>COUNTIFS(Errors!$D:$D,Analysis!CP$1,Errors!$F:$F,Analysis!$BS16,Errors!$O:$O,"YES")</f>
        <v>0</v>
      </c>
      <c r="CQ16" s="34">
        <f>COUNTIFS(Errors!$D:$D,Analysis!CQ$1,Errors!$F:$F,Analysis!$BS16,Errors!$O:$O,"YES")</f>
        <v>0</v>
      </c>
      <c r="CR16" s="34">
        <f>COUNTIFS(Errors!$D:$D,Analysis!CR$1,Errors!$F:$F,Analysis!$BS16,Errors!$O:$O,"YES")</f>
        <v>0</v>
      </c>
      <c r="CS16" s="34">
        <f>COUNTIFS(Errors!$D:$D,Analysis!CS$1,Errors!$F:$F,Analysis!$BS16,Errors!$O:$O,"YES")</f>
        <v>0</v>
      </c>
      <c r="CT16" s="34">
        <f>COUNTIFS(Errors!$D:$D,Analysis!CT$1,Errors!$F:$F,Analysis!$BS16,Errors!$O:$O,"YES")</f>
        <v>0</v>
      </c>
      <c r="CU16" s="34">
        <f>COUNTIFS(Errors!$D:$D,Analysis!CU$1,Errors!$F:$F,Analysis!$BS16,Errors!$O:$O,"YES")</f>
        <v>0</v>
      </c>
      <c r="CV16" s="34">
        <f>COUNTIFS(Errors!$D:$D,Analysis!CV$1,Errors!$F:$F,Analysis!$BS16,Errors!$O:$O,"YES")</f>
        <v>0</v>
      </c>
      <c r="CW16" s="34">
        <f>COUNTIFS(Errors!$D:$D,Analysis!CW$1,Errors!$F:$F,Analysis!$BS16,Errors!$O:$O,"YES")</f>
        <v>0</v>
      </c>
      <c r="CX16" s="34">
        <f>COUNTIFS(Errors!$D:$D,Analysis!CX$1,Errors!$F:$F,Analysis!$BS16,Errors!$O:$O,"YES")</f>
        <v>0</v>
      </c>
      <c r="CZ16" s="39">
        <f t="shared" si="3"/>
        <v>0</v>
      </c>
      <c r="DB16" s="42">
        <f t="shared" si="4"/>
        <v>0</v>
      </c>
      <c r="DC16" s="41" t="s">
        <v>77</v>
      </c>
    </row>
    <row r="17">
      <c r="A17" s="51"/>
      <c r="B17" s="50"/>
      <c r="C17" s="50"/>
      <c r="D17" s="50"/>
      <c r="E17" s="50"/>
      <c r="G17" s="35"/>
      <c r="H17" s="33">
        <f>COUNTIF(Errors!$F$3:$F$3008,$G17)</f>
        <v>0</v>
      </c>
      <c r="I17" s="34">
        <f>COUNTIFS(Errors!$F$3:$F$3008,$G17,Errors!$I$3:$I$3008,"TV*")</f>
        <v>0</v>
      </c>
      <c r="J17" s="34">
        <f>COUNTIFS(Errors!$F$3:$F$3008,$G17,Errors!$I$3:$I$3008,"&lt;&gt;TV*")</f>
        <v>0</v>
      </c>
      <c r="K17" s="34">
        <f>COUNTIFS(Errors!$F$3:$F$3008,$G17,Errors!$Q$3:$Q$3008,"yes")</f>
        <v>0</v>
      </c>
      <c r="M17" s="35"/>
      <c r="N17" s="33">
        <f>COUNTIFS(Errors!$O$3:$O$3008,"Yes",Errors!$F$3:$F$3008,$M17)+COUNTIFS(Errors!$P$3:$P$3008,"Yes",Errors!$F$3:$F$3008,$M17)</f>
        <v>0</v>
      </c>
      <c r="O17" s="36">
        <f>COUNTIFS(Errors!$O$3:$O$3008,"Yes",Errors!$F$3:$F$3008,$M17,Errors!$I$3:$I$3008,"TV*")+COUNTIFS(Errors!$P$3:$P$3008,"Yes",Errors!$F$3:$F$3008,$M17,Errors!$I$3:$I$3008,"TV*")</f>
        <v>0</v>
      </c>
      <c r="P17" s="34">
        <f>COUNTIFS(Errors!$O$3:$O$3008,"Yes",Errors!$F$3:$F$3008,$M17,Errors!$I$3:$I$3008,"&lt;&gt;TV*")+COUNTIFS(Errors!$P$3:$P$3008,"Yes",Errors!$F$3:$F$3008,$M17,Errors!$I$3:$I$3008,"&lt;&gt;TV*")</f>
        <v>0</v>
      </c>
      <c r="Q17" s="35">
        <f>COUNTIFS(Errors!$F$3:$F$3008,$M17,Errors!$O$3:$O$3008,"yes")</f>
        <v>0</v>
      </c>
      <c r="R17" s="35">
        <f>COUNTIFS(Errors!$F$3:$F$3008,$M17,Errors!$P$3:$P$3008,"yes")</f>
        <v>0</v>
      </c>
      <c r="AE17" s="35"/>
      <c r="AF17" s="37">
        <f>COUNTIFS(Errors!$F:$F,Analysis!$AE46,Errors!$D:$D,Analysis!$AF$2)</f>
        <v>0</v>
      </c>
      <c r="AG17" s="34">
        <f>COUNTIFS(Errors!$F:$F,Analysis!$AE46,Errors!$D:$D,Analysis!$AG$2)</f>
        <v>0</v>
      </c>
      <c r="AH17" s="34">
        <f>COUNTIFS(Errors!$F:$F,Analysis!$AE46,Errors!$D:$D,Analysis!$AH$2)</f>
        <v>0</v>
      </c>
      <c r="AI17" s="34">
        <f>COUNTIFS(Errors!$F:$F,Analysis!$AE46,Errors!$D:$D,Analysis!$AI$2)</f>
        <v>0</v>
      </c>
      <c r="AJ17" s="34">
        <f>COUNTIFS(Errors!$F:$F,Analysis!$AE46,Errors!$D:$D,Analysis!$AJ$2)</f>
        <v>0</v>
      </c>
      <c r="AK17" s="34">
        <f>COUNTIFS(Errors!$F:$F,Analysis!$AE46,Errors!$D:$D,Analysis!$AK$2)</f>
        <v>0</v>
      </c>
      <c r="AL17" s="34">
        <f>COUNTIFS(Errors!$F:$F,Analysis!$AE46,Errors!$D:$D,Analysis!$AL$2)</f>
        <v>0</v>
      </c>
      <c r="AM17" s="34">
        <f>COUNTIFS(Errors!$F:$F,Analysis!$AE46,Errors!$D:$D,Analysis!$AM$2)</f>
        <v>0</v>
      </c>
      <c r="AN17" s="34">
        <f>COUNTIFS(Errors!$F:$F,Analysis!$AE46,Errors!$D:$D,Analysis!$AN$2)</f>
        <v>0</v>
      </c>
      <c r="AO17" s="34">
        <f>COUNTIFS(Errors!$F:$F,Analysis!$AE46,Errors!$D:$D,Analysis!$AO$2)</f>
        <v>0</v>
      </c>
      <c r="AP17" s="34">
        <f>COUNTIFS(Errors!$F:$F,Analysis!$AE46,Errors!$D:$D,Analysis!$AP$2)</f>
        <v>0</v>
      </c>
      <c r="AQ17" s="34">
        <f>COUNTIFS(Errors!$F:$F,Analysis!$AE46,Errors!$D:$D,Analysis!$AQ$2)</f>
        <v>0</v>
      </c>
      <c r="AR17" s="34">
        <f>COUNTIFS(Errors!$F:$F,Analysis!$AE46,Errors!$D:$D,Analysis!$AR$2)</f>
        <v>0</v>
      </c>
      <c r="AS17" s="34">
        <f>COUNTIFS(Errors!$F:$F,Analysis!$AE46,Errors!$D:$D,Analysis!$AS$2)</f>
        <v>0</v>
      </c>
      <c r="AT17" s="34">
        <f>COUNTIFS(Errors!$F:$F,Analysis!$AE46,Errors!$D:$D,Analysis!$AT$2)</f>
        <v>0</v>
      </c>
      <c r="AU17" s="34">
        <f>COUNTIFS(Errors!$F:$F,Analysis!$AE46,Errors!$D:$D,Analysis!$AU$2)</f>
        <v>0</v>
      </c>
      <c r="AV17" s="34">
        <f>COUNTIFS(Errors!$F:$F,Analysis!$AE46,Errors!$D:$D,Analysis!$AV$2)</f>
        <v>0</v>
      </c>
      <c r="AW17" s="34">
        <f>COUNTIFS(Errors!$F:$F,Analysis!$AE46,Errors!$D:$D,Analysis!$AW$2)</f>
        <v>0</v>
      </c>
      <c r="AX17" s="34">
        <f>COUNTIFS(Errors!$F:$F,Analysis!$AE46,Errors!$D:$D,Analysis!$AX$2)</f>
        <v>0</v>
      </c>
      <c r="AY17" s="34">
        <f>COUNTIFS(Errors!$F:$F,Analysis!$AE46,Errors!$D:$D,Analysis!$AY$2)</f>
        <v>0</v>
      </c>
      <c r="AZ17" s="34">
        <f>COUNTIFS(Errors!$F:$F,Analysis!$AE46,Errors!$D:$D,Analysis!$AZ$2)</f>
        <v>0</v>
      </c>
      <c r="BA17" s="34">
        <f>COUNTIFS(Errors!$F:$F,Analysis!$AE46,Errors!$D:$D,Analysis!$BA$2)</f>
        <v>0</v>
      </c>
      <c r="BB17" s="34">
        <f>COUNTIFS(Errors!$F:$F,Analysis!$AE46,Errors!$D:$D,Analysis!$BB$2)</f>
        <v>0</v>
      </c>
      <c r="BC17" s="34">
        <f>COUNTIFS(Errors!$F:$F,Analysis!$AE46,Errors!$D:$D,Analysis!$BC$2)</f>
        <v>0</v>
      </c>
      <c r="BD17" s="34">
        <f>COUNTIFS(Errors!$F:$F,Analysis!$AE46,Errors!$D:$D,Analysis!$BD$2)</f>
        <v>0</v>
      </c>
      <c r="BE17" s="34">
        <f>COUNTIFS(Errors!$F:$F,Analysis!$AE46,Errors!$D:$D,Analysis!$BE$2)</f>
        <v>0</v>
      </c>
      <c r="BF17" s="34">
        <f>COUNTIFS(Errors!$F:$F,Analysis!$AE46,Errors!$D:$D,Analysis!$BF$2)</f>
        <v>0</v>
      </c>
      <c r="BG17" s="34">
        <f>COUNTIFS(Errors!$F:$F,Analysis!$AE46,Errors!$D:$D,Analysis!$BG$2)</f>
        <v>0</v>
      </c>
      <c r="BH17" s="34">
        <f>COUNTIFS(Errors!$F:$F,Analysis!$AE46,Errors!$D:$D,Analysis!$BH$2)</f>
        <v>0</v>
      </c>
      <c r="BI17" s="34">
        <f>COUNTIFS(Errors!$F:$F,Analysis!$AE46,Errors!$D:$D,Analysis!$BI$2)</f>
        <v>0</v>
      </c>
      <c r="BJ17" s="34">
        <f>COUNTIFS(Errors!$F:$F,Analysis!$AE46,Errors!$D:$D,Analysis!$BJ$2)</f>
        <v>0</v>
      </c>
      <c r="BL17" s="39">
        <f t="shared" si="1"/>
        <v>0</v>
      </c>
      <c r="BN17" s="40">
        <f t="shared" si="2"/>
        <v>0</v>
      </c>
      <c r="BO17" s="41" t="s">
        <v>78</v>
      </c>
      <c r="BS17" s="35" t="s">
        <v>78</v>
      </c>
      <c r="BT17" s="34">
        <f>COUNTIFS(Errors!$D:$D,Analysis!BT$1,Errors!$F:$F,Analysis!$BS17,Errors!$O:$O,"YES")</f>
        <v>0</v>
      </c>
      <c r="BU17" s="34">
        <f>COUNTIFS(Errors!$D:$D,Analysis!BU$1,Errors!$F:$F,Analysis!$BS17,Errors!$O:$O,"YES")</f>
        <v>0</v>
      </c>
      <c r="BV17" s="34">
        <f>COUNTIFS(Errors!$D:$D,Analysis!BV$1,Errors!$F:$F,Analysis!$BS17,Errors!$O:$O,"YES")</f>
        <v>0</v>
      </c>
      <c r="BW17" s="34">
        <f>COUNTIFS(Errors!$D:$D,Analysis!BW$1,Errors!$F:$F,Analysis!$BS17,Errors!$O:$O,"YES")</f>
        <v>0</v>
      </c>
      <c r="BX17" s="34">
        <f>COUNTIFS(Errors!$D:$D,Analysis!BX$1,Errors!$F:$F,Analysis!$BS17,Errors!$O:$O,"YES")</f>
        <v>0</v>
      </c>
      <c r="BY17" s="34">
        <f>COUNTIFS(Errors!$D:$D,Analysis!BY$1,Errors!$F:$F,Analysis!$BS17,Errors!$O:$O,"YES")</f>
        <v>0</v>
      </c>
      <c r="BZ17" s="34">
        <f>COUNTIFS(Errors!$D:$D,Analysis!BZ$1,Errors!$F:$F,Analysis!$BS17,Errors!$O:$O,"YES")</f>
        <v>0</v>
      </c>
      <c r="CA17" s="34">
        <f>COUNTIFS(Errors!$D:$D,Analysis!CA$1,Errors!$F:$F,Analysis!$BS17,Errors!$O:$O,"YES")</f>
        <v>0</v>
      </c>
      <c r="CB17" s="34">
        <f>COUNTIFS(Errors!$D:$D,Analysis!CB$1,Errors!$F:$F,Analysis!$BS17,Errors!$O:$O,"YES")</f>
        <v>0</v>
      </c>
      <c r="CC17" s="34">
        <f>COUNTIFS(Errors!$D:$D,Analysis!CC$1,Errors!$F:$F,Analysis!$BS17,Errors!$O:$O,"YES")</f>
        <v>0</v>
      </c>
      <c r="CD17" s="34">
        <f>COUNTIFS(Errors!$D:$D,Analysis!CD$1,Errors!$F:$F,Analysis!$BS17,Errors!$O:$O,"YES")</f>
        <v>0</v>
      </c>
      <c r="CE17" s="34">
        <f>COUNTIFS(Errors!$D:$D,Analysis!CE$1,Errors!$F:$F,Analysis!$BS17,Errors!$O:$O,"YES")</f>
        <v>0</v>
      </c>
      <c r="CF17" s="34">
        <f>COUNTIFS(Errors!$D:$D,Analysis!CF$1,Errors!$F:$F,Analysis!$BS17,Errors!$O:$O,"YES")</f>
        <v>0</v>
      </c>
      <c r="CG17" s="34">
        <f>COUNTIFS(Errors!$D:$D,Analysis!CG$1,Errors!$F:$F,Analysis!$BS17,Errors!$O:$O,"YES")</f>
        <v>0</v>
      </c>
      <c r="CH17" s="34">
        <f>COUNTIFS(Errors!$D:$D,Analysis!CH$1,Errors!$F:$F,Analysis!$BS17,Errors!$O:$O,"YES")</f>
        <v>0</v>
      </c>
      <c r="CI17" s="34">
        <f>COUNTIFS(Errors!$D:$D,Analysis!CI$1,Errors!$F:$F,Analysis!$BS17,Errors!$O:$O,"YES")</f>
        <v>0</v>
      </c>
      <c r="CJ17" s="34">
        <f>COUNTIFS(Errors!$D:$D,Analysis!CJ$1,Errors!$F:$F,Analysis!$BS17,Errors!$O:$O,"YES")</f>
        <v>0</v>
      </c>
      <c r="CK17" s="34">
        <f>COUNTIFS(Errors!$D:$D,Analysis!CK$1,Errors!$F:$F,Analysis!$BS17,Errors!$O:$O,"YES")</f>
        <v>0</v>
      </c>
      <c r="CL17" s="34">
        <f>COUNTIFS(Errors!$D:$D,Analysis!CL$1,Errors!$F:$F,Analysis!$BS17,Errors!$O:$O,"YES")</f>
        <v>0</v>
      </c>
      <c r="CM17" s="34">
        <f>COUNTIFS(Errors!$D:$D,Analysis!CM$1,Errors!$F:$F,Analysis!$BS17,Errors!$O:$O,"YES")</f>
        <v>0</v>
      </c>
      <c r="CN17" s="34">
        <f>COUNTIFS(Errors!$D:$D,Analysis!CN$1,Errors!$F:$F,Analysis!$BS17,Errors!$O:$O,"YES")</f>
        <v>0</v>
      </c>
      <c r="CO17" s="34">
        <f>COUNTIFS(Errors!$D:$D,Analysis!CO$1,Errors!$F:$F,Analysis!$BS17,Errors!$O:$O,"YES")</f>
        <v>0</v>
      </c>
      <c r="CP17" s="34">
        <f>COUNTIFS(Errors!$D:$D,Analysis!CP$1,Errors!$F:$F,Analysis!$BS17,Errors!$O:$O,"YES")</f>
        <v>0</v>
      </c>
      <c r="CQ17" s="34">
        <f>COUNTIFS(Errors!$D:$D,Analysis!CQ$1,Errors!$F:$F,Analysis!$BS17,Errors!$O:$O,"YES")</f>
        <v>0</v>
      </c>
      <c r="CR17" s="34">
        <f>COUNTIFS(Errors!$D:$D,Analysis!CR$1,Errors!$F:$F,Analysis!$BS17,Errors!$O:$O,"YES")</f>
        <v>0</v>
      </c>
      <c r="CS17" s="34">
        <f>COUNTIFS(Errors!$D:$D,Analysis!CS$1,Errors!$F:$F,Analysis!$BS17,Errors!$O:$O,"YES")</f>
        <v>0</v>
      </c>
      <c r="CT17" s="34">
        <f>COUNTIFS(Errors!$D:$D,Analysis!CT$1,Errors!$F:$F,Analysis!$BS17,Errors!$O:$O,"YES")</f>
        <v>0</v>
      </c>
      <c r="CU17" s="34">
        <f>COUNTIFS(Errors!$D:$D,Analysis!CU$1,Errors!$F:$F,Analysis!$BS17,Errors!$O:$O,"YES")</f>
        <v>0</v>
      </c>
      <c r="CV17" s="34">
        <f>COUNTIFS(Errors!$D:$D,Analysis!CV$1,Errors!$F:$F,Analysis!$BS17,Errors!$O:$O,"YES")</f>
        <v>0</v>
      </c>
      <c r="CW17" s="34">
        <f>COUNTIFS(Errors!$D:$D,Analysis!CW$1,Errors!$F:$F,Analysis!$BS17,Errors!$O:$O,"YES")</f>
        <v>0</v>
      </c>
      <c r="CX17" s="34">
        <f>COUNTIFS(Errors!$D:$D,Analysis!CX$1,Errors!$F:$F,Analysis!$BS17,Errors!$O:$O,"YES")</f>
        <v>0</v>
      </c>
      <c r="CZ17" s="39">
        <f t="shared" si="3"/>
        <v>0</v>
      </c>
      <c r="DB17" s="42">
        <f t="shared" si="4"/>
        <v>0</v>
      </c>
      <c r="DC17" s="41" t="s">
        <v>78</v>
      </c>
    </row>
    <row r="18">
      <c r="A18" s="51"/>
      <c r="B18" s="50"/>
      <c r="C18" s="50"/>
      <c r="D18" s="50"/>
      <c r="E18" s="50"/>
      <c r="G18" s="35"/>
      <c r="H18" s="33">
        <f>COUNTIF(Errors!$F$3:$F$3008,$G18)</f>
        <v>0</v>
      </c>
      <c r="I18" s="34">
        <f>COUNTIFS(Errors!$F$3:$F$3008,$G18,Errors!$I$3:$I$3008,"TV*")</f>
        <v>0</v>
      </c>
      <c r="J18" s="34">
        <f>COUNTIFS(Errors!$F$3:$F$3008,$G18,Errors!$I$3:$I$3008,"&lt;&gt;TV*")</f>
        <v>0</v>
      </c>
      <c r="K18" s="34">
        <f>COUNTIFS(Errors!$F$3:$F$3008,$G18,Errors!$Q$3:$Q$3008,"yes")</f>
        <v>0</v>
      </c>
      <c r="M18" s="35"/>
      <c r="N18" s="33">
        <f>COUNTIFS(Errors!$O$3:$O$3008,"Yes",Errors!$F$3:$F$3008,$M18)+COUNTIFS(Errors!$P$3:$P$3008,"Yes",Errors!$F$3:$F$3008,$M18)</f>
        <v>0</v>
      </c>
      <c r="O18" s="36">
        <f>COUNTIFS(Errors!$O$3:$O$3008,"Yes",Errors!$F$3:$F$3008,$M18,Errors!$I$3:$I$3008,"TV*")+COUNTIFS(Errors!$P$3:$P$3008,"Yes",Errors!$F$3:$F$3008,$M18,Errors!$I$3:$I$3008,"TV*")</f>
        <v>0</v>
      </c>
      <c r="P18" s="34">
        <f>COUNTIFS(Errors!$O$3:$O$3008,"Yes",Errors!$F$3:$F$3008,$M18,Errors!$I$3:$I$3008,"&lt;&gt;TV*")+COUNTIFS(Errors!$P$3:$P$3008,"Yes",Errors!$F$3:$F$3008,$M18,Errors!$I$3:$I$3008,"&lt;&gt;TV*")</f>
        <v>0</v>
      </c>
      <c r="Q18" s="35">
        <f>COUNTIFS(Errors!$F$3:$F$3008,$M18,Errors!$O$3:$O$3008,"yes")</f>
        <v>0</v>
      </c>
      <c r="R18" s="35">
        <f>COUNTIFS(Errors!$F$3:$F$3008,$M18,Errors!$P$3:$P$3008,"yes")</f>
        <v>0</v>
      </c>
      <c r="AE18" s="35"/>
      <c r="AF18" s="37">
        <f>COUNTIFS(Errors!$F:$F,Analysis!$AE47,Errors!$D:$D,Analysis!$AF$2)</f>
        <v>0</v>
      </c>
      <c r="AG18" s="34">
        <f>COUNTIFS(Errors!$F:$F,Analysis!$AE47,Errors!$D:$D,Analysis!$AG$2)</f>
        <v>0</v>
      </c>
      <c r="AH18" s="34">
        <f>COUNTIFS(Errors!$F:$F,Analysis!$AE47,Errors!$D:$D,Analysis!$AH$2)</f>
        <v>0</v>
      </c>
      <c r="AI18" s="34">
        <f>COUNTIFS(Errors!$F:$F,Analysis!$AE47,Errors!$D:$D,Analysis!$AI$2)</f>
        <v>0</v>
      </c>
      <c r="AJ18" s="34">
        <f>COUNTIFS(Errors!$F:$F,Analysis!$AE47,Errors!$D:$D,Analysis!$AJ$2)</f>
        <v>0</v>
      </c>
      <c r="AK18" s="34">
        <f>COUNTIFS(Errors!$F:$F,Analysis!$AE47,Errors!$D:$D,Analysis!$AK$2)</f>
        <v>0</v>
      </c>
      <c r="AL18" s="34">
        <f>COUNTIFS(Errors!$F:$F,Analysis!$AE47,Errors!$D:$D,Analysis!$AL$2)</f>
        <v>0</v>
      </c>
      <c r="AM18" s="34">
        <f>COUNTIFS(Errors!$F:$F,Analysis!$AE47,Errors!$D:$D,Analysis!$AM$2)</f>
        <v>0</v>
      </c>
      <c r="AN18" s="34">
        <f>COUNTIFS(Errors!$F:$F,Analysis!$AE47,Errors!$D:$D,Analysis!$AN$2)</f>
        <v>0</v>
      </c>
      <c r="AO18" s="34">
        <f>COUNTIFS(Errors!$F:$F,Analysis!$AE47,Errors!$D:$D,Analysis!$AO$2)</f>
        <v>0</v>
      </c>
      <c r="AP18" s="34">
        <f>COUNTIFS(Errors!$F:$F,Analysis!$AE47,Errors!$D:$D,Analysis!$AP$2)</f>
        <v>0</v>
      </c>
      <c r="AQ18" s="34">
        <f>COUNTIFS(Errors!$F:$F,Analysis!$AE47,Errors!$D:$D,Analysis!$AQ$2)</f>
        <v>0</v>
      </c>
      <c r="AR18" s="34">
        <f>COUNTIFS(Errors!$F:$F,Analysis!$AE47,Errors!$D:$D,Analysis!$AR$2)</f>
        <v>0</v>
      </c>
      <c r="AS18" s="34">
        <f>COUNTIFS(Errors!$F:$F,Analysis!$AE47,Errors!$D:$D,Analysis!$AS$2)</f>
        <v>0</v>
      </c>
      <c r="AT18" s="34">
        <f>COUNTIFS(Errors!$F:$F,Analysis!$AE47,Errors!$D:$D,Analysis!$AT$2)</f>
        <v>0</v>
      </c>
      <c r="AU18" s="34">
        <f>COUNTIFS(Errors!$F:$F,Analysis!$AE47,Errors!$D:$D,Analysis!$AU$2)</f>
        <v>0</v>
      </c>
      <c r="AV18" s="34">
        <f>COUNTIFS(Errors!$F:$F,Analysis!$AE47,Errors!$D:$D,Analysis!$AV$2)</f>
        <v>0</v>
      </c>
      <c r="AW18" s="34">
        <f>COUNTIFS(Errors!$F:$F,Analysis!$AE47,Errors!$D:$D,Analysis!$AW$2)</f>
        <v>0</v>
      </c>
      <c r="AX18" s="34">
        <f>COUNTIFS(Errors!$F:$F,Analysis!$AE47,Errors!$D:$D,Analysis!$AX$2)</f>
        <v>0</v>
      </c>
      <c r="AY18" s="34">
        <f>COUNTIFS(Errors!$F:$F,Analysis!$AE47,Errors!$D:$D,Analysis!$AY$2)</f>
        <v>0</v>
      </c>
      <c r="AZ18" s="34">
        <f>COUNTIFS(Errors!$F:$F,Analysis!$AE47,Errors!$D:$D,Analysis!$AZ$2)</f>
        <v>0</v>
      </c>
      <c r="BA18" s="34">
        <f>COUNTIFS(Errors!$F:$F,Analysis!$AE47,Errors!$D:$D,Analysis!$BA$2)</f>
        <v>0</v>
      </c>
      <c r="BB18" s="34">
        <f>COUNTIFS(Errors!$F:$F,Analysis!$AE47,Errors!$D:$D,Analysis!$BB$2)</f>
        <v>0</v>
      </c>
      <c r="BC18" s="34">
        <f>COUNTIFS(Errors!$F:$F,Analysis!$AE47,Errors!$D:$D,Analysis!$BC$2)</f>
        <v>0</v>
      </c>
      <c r="BD18" s="34">
        <f>COUNTIFS(Errors!$F:$F,Analysis!$AE47,Errors!$D:$D,Analysis!$BD$2)</f>
        <v>0</v>
      </c>
      <c r="BE18" s="34">
        <f>COUNTIFS(Errors!$F:$F,Analysis!$AE47,Errors!$D:$D,Analysis!$BE$2)</f>
        <v>0</v>
      </c>
      <c r="BF18" s="34">
        <f>COUNTIFS(Errors!$F:$F,Analysis!$AE47,Errors!$D:$D,Analysis!$BF$2)</f>
        <v>0</v>
      </c>
      <c r="BG18" s="34">
        <f>COUNTIFS(Errors!$F:$F,Analysis!$AE47,Errors!$D:$D,Analysis!$BG$2)</f>
        <v>0</v>
      </c>
      <c r="BH18" s="34">
        <f>COUNTIFS(Errors!$F:$F,Analysis!$AE47,Errors!$D:$D,Analysis!$BH$2)</f>
        <v>0</v>
      </c>
      <c r="BI18" s="34">
        <f>COUNTIFS(Errors!$F:$F,Analysis!$AE47,Errors!$D:$D,Analysis!$BI$2)</f>
        <v>0</v>
      </c>
      <c r="BJ18" s="34">
        <f>COUNTIFS(Errors!$F:$F,Analysis!$AE47,Errors!$D:$D,Analysis!$BJ$2)</f>
        <v>0</v>
      </c>
      <c r="BL18" s="39">
        <f t="shared" si="1"/>
        <v>0</v>
      </c>
      <c r="BN18" s="40">
        <f t="shared" si="2"/>
        <v>0</v>
      </c>
      <c r="BO18" s="41" t="s">
        <v>79</v>
      </c>
      <c r="BS18" s="35" t="s">
        <v>79</v>
      </c>
      <c r="BT18" s="34">
        <f>COUNTIFS(Errors!$D:$D,Analysis!BT$1,Errors!$F:$F,Analysis!$BS18,Errors!$O:$O,"YES")</f>
        <v>0</v>
      </c>
      <c r="BU18" s="34">
        <f>COUNTIFS(Errors!$D:$D,Analysis!BU$1,Errors!$F:$F,Analysis!$BS18,Errors!$O:$O,"YES")</f>
        <v>0</v>
      </c>
      <c r="BV18" s="34">
        <f>COUNTIFS(Errors!$D:$D,Analysis!BV$1,Errors!$F:$F,Analysis!$BS18,Errors!$O:$O,"YES")</f>
        <v>0</v>
      </c>
      <c r="BW18" s="34">
        <f>COUNTIFS(Errors!$D:$D,Analysis!BW$1,Errors!$F:$F,Analysis!$BS18,Errors!$O:$O,"YES")</f>
        <v>0</v>
      </c>
      <c r="BX18" s="34">
        <f>COUNTIFS(Errors!$D:$D,Analysis!BX$1,Errors!$F:$F,Analysis!$BS18,Errors!$O:$O,"YES")</f>
        <v>0</v>
      </c>
      <c r="BY18" s="34">
        <f>COUNTIFS(Errors!$D:$D,Analysis!BY$1,Errors!$F:$F,Analysis!$BS18,Errors!$O:$O,"YES")</f>
        <v>0</v>
      </c>
      <c r="BZ18" s="34">
        <f>COUNTIFS(Errors!$D:$D,Analysis!BZ$1,Errors!$F:$F,Analysis!$BS18,Errors!$O:$O,"YES")</f>
        <v>0</v>
      </c>
      <c r="CA18" s="34">
        <f>COUNTIFS(Errors!$D:$D,Analysis!CA$1,Errors!$F:$F,Analysis!$BS18,Errors!$O:$O,"YES")</f>
        <v>0</v>
      </c>
      <c r="CB18" s="34">
        <f>COUNTIFS(Errors!$D:$D,Analysis!CB$1,Errors!$F:$F,Analysis!$BS18,Errors!$O:$O,"YES")</f>
        <v>0</v>
      </c>
      <c r="CC18" s="34">
        <f>COUNTIFS(Errors!$D:$D,Analysis!CC$1,Errors!$F:$F,Analysis!$BS18,Errors!$O:$O,"YES")</f>
        <v>0</v>
      </c>
      <c r="CD18" s="34">
        <f>COUNTIFS(Errors!$D:$D,Analysis!CD$1,Errors!$F:$F,Analysis!$BS18,Errors!$O:$O,"YES")</f>
        <v>0</v>
      </c>
      <c r="CE18" s="34">
        <f>COUNTIFS(Errors!$D:$D,Analysis!CE$1,Errors!$F:$F,Analysis!$BS18,Errors!$O:$O,"YES")</f>
        <v>0</v>
      </c>
      <c r="CF18" s="34">
        <f>COUNTIFS(Errors!$D:$D,Analysis!CF$1,Errors!$F:$F,Analysis!$BS18,Errors!$O:$O,"YES")</f>
        <v>0</v>
      </c>
      <c r="CG18" s="34">
        <f>COUNTIFS(Errors!$D:$D,Analysis!CG$1,Errors!$F:$F,Analysis!$BS18,Errors!$O:$O,"YES")</f>
        <v>0</v>
      </c>
      <c r="CH18" s="34">
        <f>COUNTIFS(Errors!$D:$D,Analysis!CH$1,Errors!$F:$F,Analysis!$BS18,Errors!$O:$O,"YES")</f>
        <v>0</v>
      </c>
      <c r="CI18" s="34">
        <f>COUNTIFS(Errors!$D:$D,Analysis!CI$1,Errors!$F:$F,Analysis!$BS18,Errors!$O:$O,"YES")</f>
        <v>0</v>
      </c>
      <c r="CJ18" s="34">
        <f>COUNTIFS(Errors!$D:$D,Analysis!CJ$1,Errors!$F:$F,Analysis!$BS18,Errors!$O:$O,"YES")</f>
        <v>0</v>
      </c>
      <c r="CK18" s="34">
        <f>COUNTIFS(Errors!$D:$D,Analysis!CK$1,Errors!$F:$F,Analysis!$BS18,Errors!$O:$O,"YES")</f>
        <v>0</v>
      </c>
      <c r="CL18" s="34">
        <f>COUNTIFS(Errors!$D:$D,Analysis!CL$1,Errors!$F:$F,Analysis!$BS18,Errors!$O:$O,"YES")</f>
        <v>0</v>
      </c>
      <c r="CM18" s="34">
        <f>COUNTIFS(Errors!$D:$D,Analysis!CM$1,Errors!$F:$F,Analysis!$BS18,Errors!$O:$O,"YES")</f>
        <v>0</v>
      </c>
      <c r="CN18" s="34">
        <f>COUNTIFS(Errors!$D:$D,Analysis!CN$1,Errors!$F:$F,Analysis!$BS18,Errors!$O:$O,"YES")</f>
        <v>0</v>
      </c>
      <c r="CO18" s="34">
        <f>COUNTIFS(Errors!$D:$D,Analysis!CO$1,Errors!$F:$F,Analysis!$BS18,Errors!$O:$O,"YES")</f>
        <v>0</v>
      </c>
      <c r="CP18" s="34">
        <f>COUNTIFS(Errors!$D:$D,Analysis!CP$1,Errors!$F:$F,Analysis!$BS18,Errors!$O:$O,"YES")</f>
        <v>0</v>
      </c>
      <c r="CQ18" s="34">
        <f>COUNTIFS(Errors!$D:$D,Analysis!CQ$1,Errors!$F:$F,Analysis!$BS18,Errors!$O:$O,"YES")</f>
        <v>0</v>
      </c>
      <c r="CR18" s="34">
        <f>COUNTIFS(Errors!$D:$D,Analysis!CR$1,Errors!$F:$F,Analysis!$BS18,Errors!$O:$O,"YES")</f>
        <v>0</v>
      </c>
      <c r="CS18" s="34">
        <f>COUNTIFS(Errors!$D:$D,Analysis!CS$1,Errors!$F:$F,Analysis!$BS18,Errors!$O:$O,"YES")</f>
        <v>0</v>
      </c>
      <c r="CT18" s="34">
        <f>COUNTIFS(Errors!$D:$D,Analysis!CT$1,Errors!$F:$F,Analysis!$BS18,Errors!$O:$O,"YES")</f>
        <v>0</v>
      </c>
      <c r="CU18" s="34">
        <f>COUNTIFS(Errors!$D:$D,Analysis!CU$1,Errors!$F:$F,Analysis!$BS18,Errors!$O:$O,"YES")</f>
        <v>0</v>
      </c>
      <c r="CV18" s="34">
        <f>COUNTIFS(Errors!$D:$D,Analysis!CV$1,Errors!$F:$F,Analysis!$BS18,Errors!$O:$O,"YES")</f>
        <v>0</v>
      </c>
      <c r="CW18" s="34">
        <f>COUNTIFS(Errors!$D:$D,Analysis!CW$1,Errors!$F:$F,Analysis!$BS18,Errors!$O:$O,"YES")</f>
        <v>0</v>
      </c>
      <c r="CX18" s="34">
        <f>COUNTIFS(Errors!$D:$D,Analysis!CX$1,Errors!$F:$F,Analysis!$BS18,Errors!$O:$O,"YES")</f>
        <v>0</v>
      </c>
      <c r="CZ18" s="39">
        <f t="shared" si="3"/>
        <v>0</v>
      </c>
      <c r="DB18" s="42">
        <f t="shared" si="4"/>
        <v>0</v>
      </c>
      <c r="DC18" s="41" t="s">
        <v>79</v>
      </c>
    </row>
    <row r="19">
      <c r="B19" s="50"/>
      <c r="C19" s="50"/>
      <c r="D19" s="50"/>
      <c r="E19" s="50"/>
      <c r="G19" s="35"/>
      <c r="H19" s="33">
        <f>COUNTIF(Errors!$F$3:$F$3008,$G19)</f>
        <v>0</v>
      </c>
      <c r="I19" s="34">
        <f>COUNTIFS(Errors!$F$3:$F$3008,$G19,Errors!$I$3:$I$3008,"TV*")</f>
        <v>0</v>
      </c>
      <c r="J19" s="34">
        <f>COUNTIFS(Errors!$F$3:$F$3008,$G19,Errors!$I$3:$I$3008,"&lt;&gt;TV*")</f>
        <v>0</v>
      </c>
      <c r="K19" s="34">
        <f>COUNTIFS(Errors!$F$3:$F$3008,$G19,Errors!$Q$3:$Q$3008,"yes")</f>
        <v>0</v>
      </c>
      <c r="M19" s="35"/>
      <c r="N19" s="33">
        <f>COUNTIFS(Errors!$O$3:$O$3008,"Yes",Errors!$F$3:$F$3008,$M19)+COUNTIFS(Errors!$P$3:$P$3008,"Yes",Errors!$F$3:$F$3008,$M19)</f>
        <v>0</v>
      </c>
      <c r="O19" s="36">
        <f>COUNTIFS(Errors!$O$3:$O$3008,"Yes",Errors!$F$3:$F$3008,$M19,Errors!$I$3:$I$3008,"TV*")+COUNTIFS(Errors!$P$3:$P$3008,"Yes",Errors!$F$3:$F$3008,$M19,Errors!$I$3:$I$3008,"TV*")</f>
        <v>0</v>
      </c>
      <c r="P19" s="34">
        <f>COUNTIFS(Errors!$O$3:$O$3008,"Yes",Errors!$F$3:$F$3008,$M19,Errors!$I$3:$I$3008,"&lt;&gt;TV*")+COUNTIFS(Errors!$P$3:$P$3008,"Yes",Errors!$F$3:$F$3008,$M19,Errors!$I$3:$I$3008,"&lt;&gt;TV*")</f>
        <v>0</v>
      </c>
      <c r="Q19" s="35">
        <f>COUNTIFS(Errors!$F$3:$F$3008,$M19,Errors!$O$3:$O$3008,"yes")</f>
        <v>0</v>
      </c>
      <c r="R19" s="35">
        <f>COUNTIFS(Errors!$F$3:$F$3008,$M19,Errors!$P$3:$P$3008,"yes")</f>
        <v>0</v>
      </c>
      <c r="AE19" s="35"/>
      <c r="AF19" s="37">
        <f>COUNTIFS(Errors!$F:$F,Analysis!$AE48,Errors!$D:$D,Analysis!$AF$2)</f>
        <v>0</v>
      </c>
      <c r="AG19" s="34">
        <f>COUNTIFS(Errors!$F:$F,Analysis!$AE48,Errors!$D:$D,Analysis!$AG$2)</f>
        <v>0</v>
      </c>
      <c r="AH19" s="34">
        <f>COUNTIFS(Errors!$F:$F,Analysis!$AE48,Errors!$D:$D,Analysis!$AH$2)</f>
        <v>0</v>
      </c>
      <c r="AI19" s="34">
        <f>COUNTIFS(Errors!$F:$F,Analysis!$AE48,Errors!$D:$D,Analysis!$AI$2)</f>
        <v>0</v>
      </c>
      <c r="AJ19" s="34">
        <f>COUNTIFS(Errors!$F:$F,Analysis!$AE48,Errors!$D:$D,Analysis!$AJ$2)</f>
        <v>0</v>
      </c>
      <c r="AK19" s="34">
        <f>COUNTIFS(Errors!$F:$F,Analysis!$AE48,Errors!$D:$D,Analysis!$AK$2)</f>
        <v>0</v>
      </c>
      <c r="AL19" s="34">
        <f>COUNTIFS(Errors!$F:$F,Analysis!$AE48,Errors!$D:$D,Analysis!$AL$2)</f>
        <v>0</v>
      </c>
      <c r="AM19" s="34">
        <f>COUNTIFS(Errors!$F:$F,Analysis!$AE48,Errors!$D:$D,Analysis!$AM$2)</f>
        <v>0</v>
      </c>
      <c r="AN19" s="34">
        <f>COUNTIFS(Errors!$F:$F,Analysis!$AE48,Errors!$D:$D,Analysis!$AN$2)</f>
        <v>0</v>
      </c>
      <c r="AO19" s="34">
        <f>COUNTIFS(Errors!$F:$F,Analysis!$AE48,Errors!$D:$D,Analysis!$AO$2)</f>
        <v>0</v>
      </c>
      <c r="AP19" s="34">
        <f>COUNTIFS(Errors!$F:$F,Analysis!$AE48,Errors!$D:$D,Analysis!$AP$2)</f>
        <v>0</v>
      </c>
      <c r="AQ19" s="34">
        <f>COUNTIFS(Errors!$F:$F,Analysis!$AE48,Errors!$D:$D,Analysis!$AQ$2)</f>
        <v>0</v>
      </c>
      <c r="AR19" s="34">
        <f>COUNTIFS(Errors!$F:$F,Analysis!$AE48,Errors!$D:$D,Analysis!$AR$2)</f>
        <v>0</v>
      </c>
      <c r="AS19" s="34">
        <f>COUNTIFS(Errors!$F:$F,Analysis!$AE48,Errors!$D:$D,Analysis!$AS$2)</f>
        <v>0</v>
      </c>
      <c r="AT19" s="34">
        <f>COUNTIFS(Errors!$F:$F,Analysis!$AE48,Errors!$D:$D,Analysis!$AT$2)</f>
        <v>0</v>
      </c>
      <c r="AU19" s="34">
        <f>COUNTIFS(Errors!$F:$F,Analysis!$AE48,Errors!$D:$D,Analysis!$AU$2)</f>
        <v>0</v>
      </c>
      <c r="AV19" s="34">
        <f>COUNTIFS(Errors!$F:$F,Analysis!$AE48,Errors!$D:$D,Analysis!$AV$2)</f>
        <v>0</v>
      </c>
      <c r="AW19" s="34">
        <f>COUNTIFS(Errors!$F:$F,Analysis!$AE48,Errors!$D:$D,Analysis!$AW$2)</f>
        <v>0</v>
      </c>
      <c r="AX19" s="34">
        <f>COUNTIFS(Errors!$F:$F,Analysis!$AE48,Errors!$D:$D,Analysis!$AX$2)</f>
        <v>0</v>
      </c>
      <c r="AY19" s="34">
        <f>COUNTIFS(Errors!$F:$F,Analysis!$AE48,Errors!$D:$D,Analysis!$AY$2)</f>
        <v>0</v>
      </c>
      <c r="AZ19" s="34">
        <f>COUNTIFS(Errors!$F:$F,Analysis!$AE48,Errors!$D:$D,Analysis!$AZ$2)</f>
        <v>0</v>
      </c>
      <c r="BA19" s="34">
        <f>COUNTIFS(Errors!$F:$F,Analysis!$AE48,Errors!$D:$D,Analysis!$BA$2)</f>
        <v>0</v>
      </c>
      <c r="BB19" s="34">
        <f>COUNTIFS(Errors!$F:$F,Analysis!$AE48,Errors!$D:$D,Analysis!$BB$2)</f>
        <v>0</v>
      </c>
      <c r="BC19" s="34">
        <f>COUNTIFS(Errors!$F:$F,Analysis!$AE48,Errors!$D:$D,Analysis!$BC$2)</f>
        <v>0</v>
      </c>
      <c r="BD19" s="34">
        <f>COUNTIFS(Errors!$F:$F,Analysis!$AE48,Errors!$D:$D,Analysis!$BD$2)</f>
        <v>0</v>
      </c>
      <c r="BE19" s="34">
        <f>COUNTIFS(Errors!$F:$F,Analysis!$AE48,Errors!$D:$D,Analysis!$BE$2)</f>
        <v>0</v>
      </c>
      <c r="BF19" s="34">
        <f>COUNTIFS(Errors!$F:$F,Analysis!$AE48,Errors!$D:$D,Analysis!$BF$2)</f>
        <v>0</v>
      </c>
      <c r="BG19" s="34">
        <f>COUNTIFS(Errors!$F:$F,Analysis!$AE48,Errors!$D:$D,Analysis!$BG$2)</f>
        <v>0</v>
      </c>
      <c r="BH19" s="34">
        <f>COUNTIFS(Errors!$F:$F,Analysis!$AE48,Errors!$D:$D,Analysis!$BH$2)</f>
        <v>0</v>
      </c>
      <c r="BI19" s="34">
        <f>COUNTIFS(Errors!$F:$F,Analysis!$AE48,Errors!$D:$D,Analysis!$BI$2)</f>
        <v>0</v>
      </c>
      <c r="BJ19" s="34">
        <f>COUNTIFS(Errors!$F:$F,Analysis!$AE48,Errors!$D:$D,Analysis!$BJ$2)</f>
        <v>0</v>
      </c>
      <c r="BL19" s="39">
        <f t="shared" si="1"/>
        <v>0</v>
      </c>
      <c r="BN19" s="40">
        <f t="shared" si="2"/>
        <v>0</v>
      </c>
      <c r="BO19" s="41" t="s">
        <v>80</v>
      </c>
      <c r="BS19" s="35" t="s">
        <v>80</v>
      </c>
      <c r="BT19" s="34">
        <f>COUNTIFS(Errors!$D:$D,Analysis!BT$1,Errors!$F:$F,Analysis!$BS19,Errors!$O:$O,"YES")</f>
        <v>0</v>
      </c>
      <c r="BU19" s="34">
        <f>COUNTIFS(Errors!$D:$D,Analysis!BU$1,Errors!$F:$F,Analysis!$BS19,Errors!$O:$O,"YES")</f>
        <v>0</v>
      </c>
      <c r="BV19" s="34">
        <f>COUNTIFS(Errors!$D:$D,Analysis!BV$1,Errors!$F:$F,Analysis!$BS19,Errors!$O:$O,"YES")</f>
        <v>0</v>
      </c>
      <c r="BW19" s="34">
        <f>COUNTIFS(Errors!$D:$D,Analysis!BW$1,Errors!$F:$F,Analysis!$BS19,Errors!$O:$O,"YES")</f>
        <v>0</v>
      </c>
      <c r="BX19" s="34">
        <f>COUNTIFS(Errors!$D:$D,Analysis!BX$1,Errors!$F:$F,Analysis!$BS19,Errors!$O:$O,"YES")</f>
        <v>0</v>
      </c>
      <c r="BY19" s="34">
        <f>COUNTIFS(Errors!$D:$D,Analysis!BY$1,Errors!$F:$F,Analysis!$BS19,Errors!$O:$O,"YES")</f>
        <v>0</v>
      </c>
      <c r="BZ19" s="34">
        <f>COUNTIFS(Errors!$D:$D,Analysis!BZ$1,Errors!$F:$F,Analysis!$BS19,Errors!$O:$O,"YES")</f>
        <v>0</v>
      </c>
      <c r="CA19" s="34">
        <f>COUNTIFS(Errors!$D:$D,Analysis!CA$1,Errors!$F:$F,Analysis!$BS19,Errors!$O:$O,"YES")</f>
        <v>0</v>
      </c>
      <c r="CB19" s="34">
        <f>COUNTIFS(Errors!$D:$D,Analysis!CB$1,Errors!$F:$F,Analysis!$BS19,Errors!$O:$O,"YES")</f>
        <v>0</v>
      </c>
      <c r="CC19" s="34">
        <f>COUNTIFS(Errors!$D:$D,Analysis!CC$1,Errors!$F:$F,Analysis!$BS19,Errors!$O:$O,"YES")</f>
        <v>0</v>
      </c>
      <c r="CD19" s="34">
        <f>COUNTIFS(Errors!$D:$D,Analysis!CD$1,Errors!$F:$F,Analysis!$BS19,Errors!$O:$O,"YES")</f>
        <v>0</v>
      </c>
      <c r="CE19" s="34">
        <f>COUNTIFS(Errors!$D:$D,Analysis!CE$1,Errors!$F:$F,Analysis!$BS19,Errors!$O:$O,"YES")</f>
        <v>0</v>
      </c>
      <c r="CF19" s="34">
        <f>COUNTIFS(Errors!$D:$D,Analysis!CF$1,Errors!$F:$F,Analysis!$BS19,Errors!$O:$O,"YES")</f>
        <v>0</v>
      </c>
      <c r="CG19" s="34">
        <f>COUNTIFS(Errors!$D:$D,Analysis!CG$1,Errors!$F:$F,Analysis!$BS19,Errors!$O:$O,"YES")</f>
        <v>0</v>
      </c>
      <c r="CH19" s="34">
        <f>COUNTIFS(Errors!$D:$D,Analysis!CH$1,Errors!$F:$F,Analysis!$BS19,Errors!$O:$O,"YES")</f>
        <v>0</v>
      </c>
      <c r="CI19" s="34">
        <f>COUNTIFS(Errors!$D:$D,Analysis!CI$1,Errors!$F:$F,Analysis!$BS19,Errors!$O:$O,"YES")</f>
        <v>0</v>
      </c>
      <c r="CJ19" s="34">
        <f>COUNTIFS(Errors!$D:$D,Analysis!CJ$1,Errors!$F:$F,Analysis!$BS19,Errors!$O:$O,"YES")</f>
        <v>0</v>
      </c>
      <c r="CK19" s="34">
        <f>COUNTIFS(Errors!$D:$D,Analysis!CK$1,Errors!$F:$F,Analysis!$BS19,Errors!$O:$O,"YES")</f>
        <v>0</v>
      </c>
      <c r="CL19" s="34">
        <f>COUNTIFS(Errors!$D:$D,Analysis!CL$1,Errors!$F:$F,Analysis!$BS19,Errors!$O:$O,"YES")</f>
        <v>0</v>
      </c>
      <c r="CM19" s="34">
        <f>COUNTIFS(Errors!$D:$D,Analysis!CM$1,Errors!$F:$F,Analysis!$BS19,Errors!$O:$O,"YES")</f>
        <v>0</v>
      </c>
      <c r="CN19" s="34">
        <f>COUNTIFS(Errors!$D:$D,Analysis!CN$1,Errors!$F:$F,Analysis!$BS19,Errors!$O:$O,"YES")</f>
        <v>0</v>
      </c>
      <c r="CO19" s="34">
        <f>COUNTIFS(Errors!$D:$D,Analysis!CO$1,Errors!$F:$F,Analysis!$BS19,Errors!$O:$O,"YES")</f>
        <v>0</v>
      </c>
      <c r="CP19" s="34">
        <f>COUNTIFS(Errors!$D:$D,Analysis!CP$1,Errors!$F:$F,Analysis!$BS19,Errors!$O:$O,"YES")</f>
        <v>0</v>
      </c>
      <c r="CQ19" s="34">
        <f>COUNTIFS(Errors!$D:$D,Analysis!CQ$1,Errors!$F:$F,Analysis!$BS19,Errors!$O:$O,"YES")</f>
        <v>0</v>
      </c>
      <c r="CR19" s="34">
        <f>COUNTIFS(Errors!$D:$D,Analysis!CR$1,Errors!$F:$F,Analysis!$BS19,Errors!$O:$O,"YES")</f>
        <v>0</v>
      </c>
      <c r="CS19" s="34">
        <f>COUNTIFS(Errors!$D:$D,Analysis!CS$1,Errors!$F:$F,Analysis!$BS19,Errors!$O:$O,"YES")</f>
        <v>0</v>
      </c>
      <c r="CT19" s="34">
        <f>COUNTIFS(Errors!$D:$D,Analysis!CT$1,Errors!$F:$F,Analysis!$BS19,Errors!$O:$O,"YES")</f>
        <v>0</v>
      </c>
      <c r="CU19" s="34">
        <f>COUNTIFS(Errors!$D:$D,Analysis!CU$1,Errors!$F:$F,Analysis!$BS19,Errors!$O:$O,"YES")</f>
        <v>0</v>
      </c>
      <c r="CV19" s="34">
        <f>COUNTIFS(Errors!$D:$D,Analysis!CV$1,Errors!$F:$F,Analysis!$BS19,Errors!$O:$O,"YES")</f>
        <v>0</v>
      </c>
      <c r="CW19" s="34">
        <f>COUNTIFS(Errors!$D:$D,Analysis!CW$1,Errors!$F:$F,Analysis!$BS19,Errors!$O:$O,"YES")</f>
        <v>0</v>
      </c>
      <c r="CX19" s="34">
        <f>COUNTIFS(Errors!$D:$D,Analysis!CX$1,Errors!$F:$F,Analysis!$BS19,Errors!$O:$O,"YES")</f>
        <v>0</v>
      </c>
      <c r="CZ19" s="39">
        <f t="shared" si="3"/>
        <v>0</v>
      </c>
      <c r="DB19" s="42">
        <f t="shared" si="4"/>
        <v>0</v>
      </c>
      <c r="DC19" s="41" t="s">
        <v>80</v>
      </c>
    </row>
    <row r="20">
      <c r="B20" s="50"/>
      <c r="C20" s="50"/>
      <c r="D20" s="50"/>
      <c r="E20" s="50"/>
      <c r="H20" s="33">
        <f>COUNTIF(Errors!$F$3:$F$3008,$G20)</f>
        <v>0</v>
      </c>
      <c r="I20" s="34">
        <f>COUNTIFS(Errors!$F$3:$F$3008,$G20,Errors!$I$3:$I$3008,"TV*")</f>
        <v>0</v>
      </c>
      <c r="J20" s="34">
        <f>COUNTIFS(Errors!$F$3:$F$3008,$G20,Errors!$I$3:$I$3008,"&lt;&gt;TV*")</f>
        <v>0</v>
      </c>
      <c r="K20" s="34">
        <f>COUNTIFS(Errors!$F$3:$F$3008,$G20,Errors!$Q$3:$Q$3008,"yes")</f>
        <v>0</v>
      </c>
      <c r="N20" s="33">
        <f>COUNTIFS(Errors!$O$3:$O$3008,"Yes",Errors!$F$3:$F$3008,$M20)+COUNTIFS(Errors!$P$3:$P$3008,"Yes",Errors!$F$3:$F$3008,$M20)</f>
        <v>0</v>
      </c>
      <c r="O20" s="36">
        <f>COUNTIFS(Errors!$O$3:$O$3008,"Yes",Errors!$F$3:$F$3008,$M20,Errors!$I$3:$I$3008,"TV*")+COUNTIFS(Errors!$P$3:$P$3008,"Yes",Errors!$F$3:$F$3008,$M20,Errors!$I$3:$I$3008,"TV*")</f>
        <v>0</v>
      </c>
      <c r="P20" s="34">
        <f>COUNTIFS(Errors!$O$3:$O$3008,"Yes",Errors!$F$3:$F$3008,$M20,Errors!$I$3:$I$3008,"&lt;&gt;TV*")+COUNTIFS(Errors!$P$3:$P$3008,"Yes",Errors!$F$3:$F$3008,$M20,Errors!$I$3:$I$3008,"&lt;&gt;TV*")</f>
        <v>0</v>
      </c>
      <c r="Q20" s="35">
        <f>COUNTIFS(Errors!$F$3:$F$3008,$M20,Errors!$O$3:$O$3008,"yes")</f>
        <v>0</v>
      </c>
      <c r="R20" s="35">
        <f>COUNTIFS(Errors!$F$3:$F$3008,$M20,Errors!$P$3:$P$3008,"yes")</f>
        <v>0</v>
      </c>
      <c r="AE20" s="35"/>
      <c r="AF20" s="37">
        <f>COUNTIFS(Errors!$F:$F,Analysis!$AE49,Errors!$D:$D,Analysis!$AF$2)</f>
        <v>0</v>
      </c>
      <c r="AG20" s="34">
        <f>COUNTIFS(Errors!$F:$F,Analysis!$AE49,Errors!$D:$D,Analysis!$AG$2)</f>
        <v>0</v>
      </c>
      <c r="AH20" s="34">
        <f>COUNTIFS(Errors!$F:$F,Analysis!$AE49,Errors!$D:$D,Analysis!$AH$2)</f>
        <v>0</v>
      </c>
      <c r="AI20" s="34">
        <f>COUNTIFS(Errors!$F:$F,Analysis!$AE49,Errors!$D:$D,Analysis!$AI$2)</f>
        <v>0</v>
      </c>
      <c r="AJ20" s="34">
        <f>COUNTIFS(Errors!$F:$F,Analysis!$AE49,Errors!$D:$D,Analysis!$AJ$2)</f>
        <v>0</v>
      </c>
      <c r="AK20" s="34">
        <f>COUNTIFS(Errors!$F:$F,Analysis!$AE49,Errors!$D:$D,Analysis!$AK$2)</f>
        <v>0</v>
      </c>
      <c r="AL20" s="34">
        <f>COUNTIFS(Errors!$F:$F,Analysis!$AE49,Errors!$D:$D,Analysis!$AL$2)</f>
        <v>0</v>
      </c>
      <c r="AM20" s="34">
        <f>COUNTIFS(Errors!$F:$F,Analysis!$AE49,Errors!$D:$D,Analysis!$AM$2)</f>
        <v>0</v>
      </c>
      <c r="AN20" s="34">
        <f>COUNTIFS(Errors!$F:$F,Analysis!$AE49,Errors!$D:$D,Analysis!$AN$2)</f>
        <v>0</v>
      </c>
      <c r="AO20" s="34">
        <f>COUNTIFS(Errors!$F:$F,Analysis!$AE49,Errors!$D:$D,Analysis!$AO$2)</f>
        <v>0</v>
      </c>
      <c r="AP20" s="34">
        <f>COUNTIFS(Errors!$F:$F,Analysis!$AE49,Errors!$D:$D,Analysis!$AP$2)</f>
        <v>0</v>
      </c>
      <c r="AQ20" s="34">
        <f>COUNTIFS(Errors!$F:$F,Analysis!$AE49,Errors!$D:$D,Analysis!$AQ$2)</f>
        <v>0</v>
      </c>
      <c r="AR20" s="34">
        <f>COUNTIFS(Errors!$F:$F,Analysis!$AE49,Errors!$D:$D,Analysis!$AR$2)</f>
        <v>0</v>
      </c>
      <c r="AS20" s="34">
        <f>COUNTIFS(Errors!$F:$F,Analysis!$AE49,Errors!$D:$D,Analysis!$AS$2)</f>
        <v>0</v>
      </c>
      <c r="AT20" s="34">
        <f>COUNTIFS(Errors!$F:$F,Analysis!$AE49,Errors!$D:$D,Analysis!$AT$2)</f>
        <v>0</v>
      </c>
      <c r="AU20" s="34">
        <f>COUNTIFS(Errors!$F:$F,Analysis!$AE49,Errors!$D:$D,Analysis!$AU$2)</f>
        <v>0</v>
      </c>
      <c r="AV20" s="34">
        <f>COUNTIFS(Errors!$F:$F,Analysis!$AE49,Errors!$D:$D,Analysis!$AV$2)</f>
        <v>0</v>
      </c>
      <c r="AW20" s="34">
        <f>COUNTIFS(Errors!$F:$F,Analysis!$AE49,Errors!$D:$D,Analysis!$AW$2)</f>
        <v>0</v>
      </c>
      <c r="AX20" s="34">
        <f>COUNTIFS(Errors!$F:$F,Analysis!$AE49,Errors!$D:$D,Analysis!$AX$2)</f>
        <v>0</v>
      </c>
      <c r="AY20" s="34">
        <f>COUNTIFS(Errors!$F:$F,Analysis!$AE49,Errors!$D:$D,Analysis!$AY$2)</f>
        <v>0</v>
      </c>
      <c r="AZ20" s="34">
        <f>COUNTIFS(Errors!$F:$F,Analysis!$AE49,Errors!$D:$D,Analysis!$AZ$2)</f>
        <v>0</v>
      </c>
      <c r="BA20" s="34">
        <f>COUNTIFS(Errors!$F:$F,Analysis!$AE49,Errors!$D:$D,Analysis!$BA$2)</f>
        <v>0</v>
      </c>
      <c r="BB20" s="34">
        <f>COUNTIFS(Errors!$F:$F,Analysis!$AE49,Errors!$D:$D,Analysis!$BB$2)</f>
        <v>0</v>
      </c>
      <c r="BC20" s="34">
        <f>COUNTIFS(Errors!$F:$F,Analysis!$AE49,Errors!$D:$D,Analysis!$BC$2)</f>
        <v>0</v>
      </c>
      <c r="BD20" s="34">
        <f>COUNTIFS(Errors!$F:$F,Analysis!$AE49,Errors!$D:$D,Analysis!$BD$2)</f>
        <v>0</v>
      </c>
      <c r="BE20" s="34">
        <f>COUNTIFS(Errors!$F:$F,Analysis!$AE49,Errors!$D:$D,Analysis!$BE$2)</f>
        <v>0</v>
      </c>
      <c r="BF20" s="34">
        <f>COUNTIFS(Errors!$F:$F,Analysis!$AE49,Errors!$D:$D,Analysis!$BF$2)</f>
        <v>0</v>
      </c>
      <c r="BG20" s="34">
        <f>COUNTIFS(Errors!$F:$F,Analysis!$AE49,Errors!$D:$D,Analysis!$BG$2)</f>
        <v>0</v>
      </c>
      <c r="BH20" s="34">
        <f>COUNTIFS(Errors!$F:$F,Analysis!$AE49,Errors!$D:$D,Analysis!$BH$2)</f>
        <v>0</v>
      </c>
      <c r="BI20" s="34">
        <f>COUNTIFS(Errors!$F:$F,Analysis!$AE49,Errors!$D:$D,Analysis!$BI$2)</f>
        <v>0</v>
      </c>
      <c r="BJ20" s="34">
        <f>COUNTIFS(Errors!$F:$F,Analysis!$AE49,Errors!$D:$D,Analysis!$BJ$2)</f>
        <v>0</v>
      </c>
      <c r="BL20" s="39">
        <f t="shared" si="1"/>
        <v>0</v>
      </c>
      <c r="BN20" s="40">
        <f t="shared" si="2"/>
        <v>0</v>
      </c>
      <c r="BO20" s="41" t="s">
        <v>81</v>
      </c>
      <c r="BS20" s="35" t="s">
        <v>81</v>
      </c>
      <c r="BT20" s="34">
        <f>COUNTIFS(Errors!$D:$D,Analysis!BT$1,Errors!$F:$F,Analysis!$BS20,Errors!$O:$O,"YES")</f>
        <v>0</v>
      </c>
      <c r="BU20" s="34">
        <f>COUNTIFS(Errors!$D:$D,Analysis!BU$1,Errors!$F:$F,Analysis!$BS20,Errors!$O:$O,"YES")</f>
        <v>0</v>
      </c>
      <c r="BV20" s="34">
        <f>COUNTIFS(Errors!$D:$D,Analysis!BV$1,Errors!$F:$F,Analysis!$BS20,Errors!$O:$O,"YES")</f>
        <v>0</v>
      </c>
      <c r="BW20" s="34">
        <f>COUNTIFS(Errors!$D:$D,Analysis!BW$1,Errors!$F:$F,Analysis!$BS20,Errors!$O:$O,"YES")</f>
        <v>0</v>
      </c>
      <c r="BX20" s="34">
        <f>COUNTIFS(Errors!$D:$D,Analysis!BX$1,Errors!$F:$F,Analysis!$BS20,Errors!$O:$O,"YES")</f>
        <v>0</v>
      </c>
      <c r="BY20" s="34">
        <f>COUNTIFS(Errors!$D:$D,Analysis!BY$1,Errors!$F:$F,Analysis!$BS20,Errors!$O:$O,"YES")</f>
        <v>0</v>
      </c>
      <c r="BZ20" s="34">
        <f>COUNTIFS(Errors!$D:$D,Analysis!BZ$1,Errors!$F:$F,Analysis!$BS20,Errors!$O:$O,"YES")</f>
        <v>0</v>
      </c>
      <c r="CA20" s="34">
        <f>COUNTIFS(Errors!$D:$D,Analysis!CA$1,Errors!$F:$F,Analysis!$BS20,Errors!$O:$O,"YES")</f>
        <v>0</v>
      </c>
      <c r="CB20" s="34">
        <f>COUNTIFS(Errors!$D:$D,Analysis!CB$1,Errors!$F:$F,Analysis!$BS20,Errors!$O:$O,"YES")</f>
        <v>0</v>
      </c>
      <c r="CC20" s="34">
        <f>COUNTIFS(Errors!$D:$D,Analysis!CC$1,Errors!$F:$F,Analysis!$BS20,Errors!$O:$O,"YES")</f>
        <v>0</v>
      </c>
      <c r="CD20" s="34">
        <f>COUNTIFS(Errors!$D:$D,Analysis!CD$1,Errors!$F:$F,Analysis!$BS20,Errors!$O:$O,"YES")</f>
        <v>0</v>
      </c>
      <c r="CE20" s="34">
        <f>COUNTIFS(Errors!$D:$D,Analysis!CE$1,Errors!$F:$F,Analysis!$BS20,Errors!$O:$O,"YES")</f>
        <v>0</v>
      </c>
      <c r="CF20" s="34">
        <f>COUNTIFS(Errors!$D:$D,Analysis!CF$1,Errors!$F:$F,Analysis!$BS20,Errors!$O:$O,"YES")</f>
        <v>0</v>
      </c>
      <c r="CG20" s="34">
        <f>COUNTIFS(Errors!$D:$D,Analysis!CG$1,Errors!$F:$F,Analysis!$BS20,Errors!$O:$O,"YES")</f>
        <v>0</v>
      </c>
      <c r="CH20" s="34">
        <f>COUNTIFS(Errors!$D:$D,Analysis!CH$1,Errors!$F:$F,Analysis!$BS20,Errors!$O:$O,"YES")</f>
        <v>0</v>
      </c>
      <c r="CI20" s="34">
        <f>COUNTIFS(Errors!$D:$D,Analysis!CI$1,Errors!$F:$F,Analysis!$BS20,Errors!$O:$O,"YES")</f>
        <v>0</v>
      </c>
      <c r="CJ20" s="34">
        <f>COUNTIFS(Errors!$D:$D,Analysis!CJ$1,Errors!$F:$F,Analysis!$BS20,Errors!$O:$O,"YES")</f>
        <v>0</v>
      </c>
      <c r="CK20" s="34">
        <f>COUNTIFS(Errors!$D:$D,Analysis!CK$1,Errors!$F:$F,Analysis!$BS20,Errors!$O:$O,"YES")</f>
        <v>0</v>
      </c>
      <c r="CL20" s="34">
        <f>COUNTIFS(Errors!$D:$D,Analysis!CL$1,Errors!$F:$F,Analysis!$BS20,Errors!$O:$O,"YES")</f>
        <v>0</v>
      </c>
      <c r="CM20" s="34">
        <f>COUNTIFS(Errors!$D:$D,Analysis!CM$1,Errors!$F:$F,Analysis!$BS20,Errors!$O:$O,"YES")</f>
        <v>0</v>
      </c>
      <c r="CN20" s="34">
        <f>COUNTIFS(Errors!$D:$D,Analysis!CN$1,Errors!$F:$F,Analysis!$BS20,Errors!$O:$O,"YES")</f>
        <v>0</v>
      </c>
      <c r="CO20" s="34">
        <f>COUNTIFS(Errors!$D:$D,Analysis!CO$1,Errors!$F:$F,Analysis!$BS20,Errors!$O:$O,"YES")</f>
        <v>0</v>
      </c>
      <c r="CP20" s="34">
        <f>COUNTIFS(Errors!$D:$D,Analysis!CP$1,Errors!$F:$F,Analysis!$BS20,Errors!$O:$O,"YES")</f>
        <v>0</v>
      </c>
      <c r="CQ20" s="34">
        <f>COUNTIFS(Errors!$D:$D,Analysis!CQ$1,Errors!$F:$F,Analysis!$BS20,Errors!$O:$O,"YES")</f>
        <v>0</v>
      </c>
      <c r="CR20" s="34">
        <f>COUNTIFS(Errors!$D:$D,Analysis!CR$1,Errors!$F:$F,Analysis!$BS20,Errors!$O:$O,"YES")</f>
        <v>0</v>
      </c>
      <c r="CS20" s="34">
        <f>COUNTIFS(Errors!$D:$D,Analysis!CS$1,Errors!$F:$F,Analysis!$BS20,Errors!$O:$O,"YES")</f>
        <v>0</v>
      </c>
      <c r="CT20" s="34">
        <f>COUNTIFS(Errors!$D:$D,Analysis!CT$1,Errors!$F:$F,Analysis!$BS20,Errors!$O:$O,"YES")</f>
        <v>0</v>
      </c>
      <c r="CU20" s="34">
        <f>COUNTIFS(Errors!$D:$D,Analysis!CU$1,Errors!$F:$F,Analysis!$BS20,Errors!$O:$O,"YES")</f>
        <v>0</v>
      </c>
      <c r="CV20" s="34">
        <f>COUNTIFS(Errors!$D:$D,Analysis!CV$1,Errors!$F:$F,Analysis!$BS20,Errors!$O:$O,"YES")</f>
        <v>0</v>
      </c>
      <c r="CW20" s="34">
        <f>COUNTIFS(Errors!$D:$D,Analysis!CW$1,Errors!$F:$F,Analysis!$BS20,Errors!$O:$O,"YES")</f>
        <v>0</v>
      </c>
      <c r="CX20" s="34">
        <f>COUNTIFS(Errors!$D:$D,Analysis!CX$1,Errors!$F:$F,Analysis!$BS20,Errors!$O:$O,"YES")</f>
        <v>0</v>
      </c>
      <c r="CZ20" s="39">
        <f t="shared" si="3"/>
        <v>0</v>
      </c>
      <c r="DB20" s="42">
        <f t="shared" si="4"/>
        <v>0</v>
      </c>
      <c r="DC20" s="41" t="s">
        <v>81</v>
      </c>
    </row>
    <row r="21" ht="15.75" customHeight="1">
      <c r="B21" s="50"/>
      <c r="C21" s="50"/>
      <c r="D21" s="50"/>
      <c r="E21" s="50"/>
      <c r="H21" s="33">
        <f>COUNTIF(Errors!$F$3:$F$3008,$G21)</f>
        <v>0</v>
      </c>
      <c r="I21" s="34">
        <f>COUNTIFS(Errors!$F$3:$F$3008,$G21,Errors!$I$3:$I$3008,"TV*")</f>
        <v>0</v>
      </c>
      <c r="J21" s="34">
        <f>COUNTIFS(Errors!$F$3:$F$3008,$G21,Errors!$I$3:$I$3008,"&lt;&gt;TV*")</f>
        <v>0</v>
      </c>
      <c r="K21" s="34">
        <f>COUNTIFS(Errors!$F$3:$F$3008,$G21,Errors!$Q$3:$Q$3008,"yes")</f>
        <v>0</v>
      </c>
      <c r="N21" s="33">
        <f>COUNTIFS(Errors!$O$3:$O$3008,"Yes",Errors!$F$3:$F$3008,$M21)+COUNTIFS(Errors!$P$3:$P$3008,"Yes",Errors!$F$3:$F$3008,$M21)</f>
        <v>0</v>
      </c>
      <c r="O21" s="36">
        <f>COUNTIFS(Errors!$O$3:$O$3008,"Yes",Errors!$F$3:$F$3008,$M21,Errors!$I$3:$I$3008,"TV*")+COUNTIFS(Errors!$P$3:$P$3008,"Yes",Errors!$F$3:$F$3008,$M21,Errors!$I$3:$I$3008,"TV*")</f>
        <v>0</v>
      </c>
      <c r="P21" s="34">
        <f>COUNTIFS(Errors!$O$3:$O$3008,"Yes",Errors!$F$3:$F$3008,$M21,Errors!$I$3:$I$3008,"&lt;&gt;TV*")+COUNTIFS(Errors!$P$3:$P$3008,"Yes",Errors!$F$3:$F$3008,$M21,Errors!$I$3:$I$3008,"&lt;&gt;TV*")</f>
        <v>0</v>
      </c>
      <c r="Q21" s="35">
        <f>COUNTIFS(Errors!$F$3:$F$3008,$M21,Errors!$O$3:$O$3008,"yes")</f>
        <v>0</v>
      </c>
      <c r="R21" s="35">
        <f>COUNTIFS(Errors!$F$3:$F$3008,$M21,Errors!$P$3:$P$3008,"yes")</f>
        <v>0</v>
      </c>
      <c r="AE21" s="35"/>
      <c r="AF21" s="37">
        <f>COUNTIFS(Errors!$F:$F,Analysis!$AE50,Errors!$D:$D,Analysis!$AF$2)</f>
        <v>0</v>
      </c>
      <c r="AG21" s="34">
        <f>COUNTIFS(Errors!$F:$F,Analysis!$AE50,Errors!$D:$D,Analysis!$AG$2)</f>
        <v>0</v>
      </c>
      <c r="AH21" s="34">
        <f>COUNTIFS(Errors!$F:$F,Analysis!$AE50,Errors!$D:$D,Analysis!$AH$2)</f>
        <v>0</v>
      </c>
      <c r="AI21" s="34">
        <f>COUNTIFS(Errors!$F:$F,Analysis!$AE50,Errors!$D:$D,Analysis!$AI$2)</f>
        <v>0</v>
      </c>
      <c r="AJ21" s="34">
        <f>COUNTIFS(Errors!$F:$F,Analysis!$AE50,Errors!$D:$D,Analysis!$AJ$2)</f>
        <v>0</v>
      </c>
      <c r="AK21" s="34">
        <f>COUNTIFS(Errors!$F:$F,Analysis!$AE50,Errors!$D:$D,Analysis!$AK$2)</f>
        <v>0</v>
      </c>
      <c r="AL21" s="34">
        <f>COUNTIFS(Errors!$F:$F,Analysis!$AE50,Errors!$D:$D,Analysis!$AL$2)</f>
        <v>0</v>
      </c>
      <c r="AM21" s="34">
        <f>COUNTIFS(Errors!$F:$F,Analysis!$AE50,Errors!$D:$D,Analysis!$AM$2)</f>
        <v>0</v>
      </c>
      <c r="AN21" s="34">
        <f>COUNTIFS(Errors!$F:$F,Analysis!$AE50,Errors!$D:$D,Analysis!$AN$2)</f>
        <v>0</v>
      </c>
      <c r="AO21" s="34">
        <f>COUNTIFS(Errors!$F:$F,Analysis!$AE50,Errors!$D:$D,Analysis!$AO$2)</f>
        <v>0</v>
      </c>
      <c r="AP21" s="34">
        <f>COUNTIFS(Errors!$F:$F,Analysis!$AE50,Errors!$D:$D,Analysis!$AP$2)</f>
        <v>0</v>
      </c>
      <c r="AQ21" s="34">
        <f>COUNTIFS(Errors!$F:$F,Analysis!$AE50,Errors!$D:$D,Analysis!$AQ$2)</f>
        <v>0</v>
      </c>
      <c r="AR21" s="34">
        <f>COUNTIFS(Errors!$F:$F,Analysis!$AE50,Errors!$D:$D,Analysis!$AR$2)</f>
        <v>0</v>
      </c>
      <c r="AS21" s="34">
        <f>COUNTIFS(Errors!$F:$F,Analysis!$AE50,Errors!$D:$D,Analysis!$AS$2)</f>
        <v>0</v>
      </c>
      <c r="AT21" s="34">
        <f>COUNTIFS(Errors!$F:$F,Analysis!$AE50,Errors!$D:$D,Analysis!$AT$2)</f>
        <v>0</v>
      </c>
      <c r="AU21" s="34">
        <f>COUNTIFS(Errors!$F:$F,Analysis!$AE50,Errors!$D:$D,Analysis!$AU$2)</f>
        <v>0</v>
      </c>
      <c r="AV21" s="34">
        <f>COUNTIFS(Errors!$F:$F,Analysis!$AE50,Errors!$D:$D,Analysis!$AV$2)</f>
        <v>0</v>
      </c>
      <c r="AW21" s="34">
        <f>COUNTIFS(Errors!$F:$F,Analysis!$AE50,Errors!$D:$D,Analysis!$AW$2)</f>
        <v>0</v>
      </c>
      <c r="AX21" s="34">
        <f>COUNTIFS(Errors!$F:$F,Analysis!$AE50,Errors!$D:$D,Analysis!$AX$2)</f>
        <v>0</v>
      </c>
      <c r="AY21" s="34">
        <f>COUNTIFS(Errors!$F:$F,Analysis!$AE50,Errors!$D:$D,Analysis!$AY$2)</f>
        <v>0</v>
      </c>
      <c r="AZ21" s="34">
        <f>COUNTIFS(Errors!$F:$F,Analysis!$AE50,Errors!$D:$D,Analysis!$AZ$2)</f>
        <v>0</v>
      </c>
      <c r="BA21" s="34">
        <f>COUNTIFS(Errors!$F:$F,Analysis!$AE50,Errors!$D:$D,Analysis!$BA$2)</f>
        <v>0</v>
      </c>
      <c r="BB21" s="34">
        <f>COUNTIFS(Errors!$F:$F,Analysis!$AE50,Errors!$D:$D,Analysis!$BB$2)</f>
        <v>0</v>
      </c>
      <c r="BC21" s="34">
        <f>COUNTIFS(Errors!$F:$F,Analysis!$AE50,Errors!$D:$D,Analysis!$BC$2)</f>
        <v>0</v>
      </c>
      <c r="BD21" s="34">
        <f>COUNTIFS(Errors!$F:$F,Analysis!$AE50,Errors!$D:$D,Analysis!$BD$2)</f>
        <v>0</v>
      </c>
      <c r="BE21" s="34">
        <f>COUNTIFS(Errors!$F:$F,Analysis!$AE50,Errors!$D:$D,Analysis!$BE$2)</f>
        <v>0</v>
      </c>
      <c r="BF21" s="34">
        <f>COUNTIFS(Errors!$F:$F,Analysis!$AE50,Errors!$D:$D,Analysis!$BF$2)</f>
        <v>0</v>
      </c>
      <c r="BG21" s="34">
        <f>COUNTIFS(Errors!$F:$F,Analysis!$AE50,Errors!$D:$D,Analysis!$BG$2)</f>
        <v>0</v>
      </c>
      <c r="BH21" s="34">
        <f>COUNTIFS(Errors!$F:$F,Analysis!$AE50,Errors!$D:$D,Analysis!$BH$2)</f>
        <v>0</v>
      </c>
      <c r="BI21" s="34">
        <f>COUNTIFS(Errors!$F:$F,Analysis!$AE50,Errors!$D:$D,Analysis!$BI$2)</f>
        <v>0</v>
      </c>
      <c r="BJ21" s="34">
        <f>COUNTIFS(Errors!$F:$F,Analysis!$AE50,Errors!$D:$D,Analysis!$BJ$2)</f>
        <v>0</v>
      </c>
      <c r="BL21" s="39">
        <f t="shared" si="1"/>
        <v>0</v>
      </c>
      <c r="BN21" s="40">
        <f t="shared" si="2"/>
        <v>0</v>
      </c>
      <c r="BO21" s="41" t="s">
        <v>82</v>
      </c>
      <c r="BS21" s="35" t="s">
        <v>82</v>
      </c>
      <c r="BT21" s="34">
        <f>COUNTIFS(Errors!$D:$D,Analysis!BT$1,Errors!$F:$F,Analysis!$BS21,Errors!$O:$O,"YES")</f>
        <v>0</v>
      </c>
      <c r="BU21" s="34">
        <f>COUNTIFS(Errors!$D:$D,Analysis!BU$1,Errors!$F:$F,Analysis!$BS21,Errors!$O:$O,"YES")</f>
        <v>0</v>
      </c>
      <c r="BV21" s="34">
        <f>COUNTIFS(Errors!$D:$D,Analysis!BV$1,Errors!$F:$F,Analysis!$BS21,Errors!$O:$O,"YES")</f>
        <v>0</v>
      </c>
      <c r="BW21" s="34">
        <f>COUNTIFS(Errors!$D:$D,Analysis!BW$1,Errors!$F:$F,Analysis!$BS21,Errors!$O:$O,"YES")</f>
        <v>0</v>
      </c>
      <c r="BX21" s="34">
        <f>COUNTIFS(Errors!$D:$D,Analysis!BX$1,Errors!$F:$F,Analysis!$BS21,Errors!$O:$O,"YES")</f>
        <v>0</v>
      </c>
      <c r="BY21" s="34">
        <f>COUNTIFS(Errors!$D:$D,Analysis!BY$1,Errors!$F:$F,Analysis!$BS21,Errors!$O:$O,"YES")</f>
        <v>0</v>
      </c>
      <c r="BZ21" s="34">
        <f>COUNTIFS(Errors!$D:$D,Analysis!BZ$1,Errors!$F:$F,Analysis!$BS21,Errors!$O:$O,"YES")</f>
        <v>0</v>
      </c>
      <c r="CA21" s="34">
        <f>COUNTIFS(Errors!$D:$D,Analysis!CA$1,Errors!$F:$F,Analysis!$BS21,Errors!$O:$O,"YES")</f>
        <v>0</v>
      </c>
      <c r="CB21" s="34">
        <f>COUNTIFS(Errors!$D:$D,Analysis!CB$1,Errors!$F:$F,Analysis!$BS21,Errors!$O:$O,"YES")</f>
        <v>0</v>
      </c>
      <c r="CC21" s="34">
        <f>COUNTIFS(Errors!$D:$D,Analysis!CC$1,Errors!$F:$F,Analysis!$BS21,Errors!$O:$O,"YES")</f>
        <v>0</v>
      </c>
      <c r="CD21" s="34">
        <f>COUNTIFS(Errors!$D:$D,Analysis!CD$1,Errors!$F:$F,Analysis!$BS21,Errors!$O:$O,"YES")</f>
        <v>0</v>
      </c>
      <c r="CE21" s="34">
        <f>COUNTIFS(Errors!$D:$D,Analysis!CE$1,Errors!$F:$F,Analysis!$BS21,Errors!$O:$O,"YES")</f>
        <v>0</v>
      </c>
      <c r="CF21" s="34">
        <f>COUNTIFS(Errors!$D:$D,Analysis!CF$1,Errors!$F:$F,Analysis!$BS21,Errors!$O:$O,"YES")</f>
        <v>0</v>
      </c>
      <c r="CG21" s="34">
        <f>COUNTIFS(Errors!$D:$D,Analysis!CG$1,Errors!$F:$F,Analysis!$BS21,Errors!$O:$O,"YES")</f>
        <v>0</v>
      </c>
      <c r="CH21" s="34">
        <f>COUNTIFS(Errors!$D:$D,Analysis!CH$1,Errors!$F:$F,Analysis!$BS21,Errors!$O:$O,"YES")</f>
        <v>0</v>
      </c>
      <c r="CI21" s="34">
        <f>COUNTIFS(Errors!$D:$D,Analysis!CI$1,Errors!$F:$F,Analysis!$BS21,Errors!$O:$O,"YES")</f>
        <v>0</v>
      </c>
      <c r="CJ21" s="34">
        <f>COUNTIFS(Errors!$D:$D,Analysis!CJ$1,Errors!$F:$F,Analysis!$BS21,Errors!$O:$O,"YES")</f>
        <v>0</v>
      </c>
      <c r="CK21" s="34">
        <f>COUNTIFS(Errors!$D:$D,Analysis!CK$1,Errors!$F:$F,Analysis!$BS21,Errors!$O:$O,"YES")</f>
        <v>0</v>
      </c>
      <c r="CL21" s="34">
        <f>COUNTIFS(Errors!$D:$D,Analysis!CL$1,Errors!$F:$F,Analysis!$BS21,Errors!$O:$O,"YES")</f>
        <v>0</v>
      </c>
      <c r="CM21" s="34">
        <f>COUNTIFS(Errors!$D:$D,Analysis!CM$1,Errors!$F:$F,Analysis!$BS21,Errors!$O:$O,"YES")</f>
        <v>0</v>
      </c>
      <c r="CN21" s="34">
        <f>COUNTIFS(Errors!$D:$D,Analysis!CN$1,Errors!$F:$F,Analysis!$BS21,Errors!$O:$O,"YES")</f>
        <v>0</v>
      </c>
      <c r="CO21" s="34">
        <f>COUNTIFS(Errors!$D:$D,Analysis!CO$1,Errors!$F:$F,Analysis!$BS21,Errors!$O:$O,"YES")</f>
        <v>0</v>
      </c>
      <c r="CP21" s="34">
        <f>COUNTIFS(Errors!$D:$D,Analysis!CP$1,Errors!$F:$F,Analysis!$BS21,Errors!$O:$O,"YES")</f>
        <v>0</v>
      </c>
      <c r="CQ21" s="34">
        <f>COUNTIFS(Errors!$D:$D,Analysis!CQ$1,Errors!$F:$F,Analysis!$BS21,Errors!$O:$O,"YES")</f>
        <v>0</v>
      </c>
      <c r="CR21" s="34">
        <f>COUNTIFS(Errors!$D:$D,Analysis!CR$1,Errors!$F:$F,Analysis!$BS21,Errors!$O:$O,"YES")</f>
        <v>0</v>
      </c>
      <c r="CS21" s="34">
        <f>COUNTIFS(Errors!$D:$D,Analysis!CS$1,Errors!$F:$F,Analysis!$BS21,Errors!$O:$O,"YES")</f>
        <v>0</v>
      </c>
      <c r="CT21" s="34">
        <f>COUNTIFS(Errors!$D:$D,Analysis!CT$1,Errors!$F:$F,Analysis!$BS21,Errors!$O:$O,"YES")</f>
        <v>0</v>
      </c>
      <c r="CU21" s="34">
        <f>COUNTIFS(Errors!$D:$D,Analysis!CU$1,Errors!$F:$F,Analysis!$BS21,Errors!$O:$O,"YES")</f>
        <v>0</v>
      </c>
      <c r="CV21" s="34">
        <f>COUNTIFS(Errors!$D:$D,Analysis!CV$1,Errors!$F:$F,Analysis!$BS21,Errors!$O:$O,"YES")</f>
        <v>0</v>
      </c>
      <c r="CW21" s="34">
        <f>COUNTIFS(Errors!$D:$D,Analysis!CW$1,Errors!$F:$F,Analysis!$BS21,Errors!$O:$O,"YES")</f>
        <v>0</v>
      </c>
      <c r="CX21" s="34">
        <f>COUNTIFS(Errors!$D:$D,Analysis!CX$1,Errors!$F:$F,Analysis!$BS21,Errors!$O:$O,"YES")</f>
        <v>0</v>
      </c>
      <c r="CZ21" s="39">
        <f t="shared" si="3"/>
        <v>0</v>
      </c>
      <c r="DB21" s="42">
        <f t="shared" si="4"/>
        <v>0</v>
      </c>
      <c r="DC21" s="41" t="s">
        <v>82</v>
      </c>
    </row>
    <row r="22" ht="15.75" customHeight="1">
      <c r="B22" s="50"/>
      <c r="C22" s="50"/>
      <c r="D22" s="50"/>
      <c r="E22" s="50"/>
      <c r="G22" s="35"/>
      <c r="H22" s="33">
        <f>COUNTIF(Errors!$F$3:$F$3008,$G22)</f>
        <v>0</v>
      </c>
      <c r="I22" s="34">
        <f>COUNTIFS(Errors!$F$3:$F$3008,$G22,Errors!$I$3:$I$3008,"TV*")</f>
        <v>0</v>
      </c>
      <c r="J22" s="34">
        <f>COUNTIFS(Errors!$F$3:$F$3008,$G22,Errors!$I$3:$I$3008,"&lt;&gt;TV*")</f>
        <v>0</v>
      </c>
      <c r="K22" s="34">
        <f>COUNTIFS(Errors!$F$3:$F$3008,$G22,Errors!$Q$3:$Q$3008,"yes")</f>
        <v>0</v>
      </c>
      <c r="M22" s="35"/>
      <c r="N22" s="33">
        <f>COUNTIFS(Errors!$O$3:$O$3008,"Yes",Errors!$F$3:$F$3008,$M22)+COUNTIFS(Errors!$P$3:$P$3008,"Yes",Errors!$F$3:$F$3008,$M22)</f>
        <v>0</v>
      </c>
      <c r="O22" s="36">
        <f>COUNTIFS(Errors!$O$3:$O$3008,"Yes",Errors!$F$3:$F$3008,$M22,Errors!$I$3:$I$3008,"TV*")+COUNTIFS(Errors!$P$3:$P$3008,"Yes",Errors!$F$3:$F$3008,$M22,Errors!$I$3:$I$3008,"TV*")</f>
        <v>0</v>
      </c>
      <c r="P22" s="34">
        <f>COUNTIFS(Errors!$O$3:$O$3008,"Yes",Errors!$F$3:$F$3008,$M22,Errors!$I$3:$I$3008,"&lt;&gt;TV*")+COUNTIFS(Errors!$P$3:$P$3008,"Yes",Errors!$F$3:$F$3008,$M22,Errors!$I$3:$I$3008,"&lt;&gt;TV*")</f>
        <v>0</v>
      </c>
      <c r="Q22" s="35">
        <f>COUNTIFS(Errors!$F$3:$F$3008,$M22,Errors!$O$3:$O$3008,"yes")</f>
        <v>0</v>
      </c>
      <c r="R22" s="35">
        <f>COUNTIFS(Errors!$F$3:$F$3008,$M22,Errors!$P$3:$P$3008,"yes")</f>
        <v>0</v>
      </c>
      <c r="AE22" s="35"/>
      <c r="AF22" s="37">
        <f>COUNTIFS(Errors!$F:$F,Analysis!$AE51,Errors!$D:$D,Analysis!$AF$2)</f>
        <v>0</v>
      </c>
      <c r="AG22" s="34">
        <f>COUNTIFS(Errors!$F:$F,Analysis!$AE51,Errors!$D:$D,Analysis!$AG$2)</f>
        <v>0</v>
      </c>
      <c r="AH22" s="34">
        <f>COUNTIFS(Errors!$F:$F,Analysis!$AE51,Errors!$D:$D,Analysis!$AH$2)</f>
        <v>0</v>
      </c>
      <c r="AI22" s="34">
        <f>COUNTIFS(Errors!$F:$F,Analysis!$AE51,Errors!$D:$D,Analysis!$AI$2)</f>
        <v>0</v>
      </c>
      <c r="AJ22" s="34">
        <f>COUNTIFS(Errors!$F:$F,Analysis!$AE51,Errors!$D:$D,Analysis!$AJ$2)</f>
        <v>0</v>
      </c>
      <c r="AK22" s="34">
        <f>COUNTIFS(Errors!$F:$F,Analysis!$AE51,Errors!$D:$D,Analysis!$AK$2)</f>
        <v>0</v>
      </c>
      <c r="AL22" s="34">
        <f>COUNTIFS(Errors!$F:$F,Analysis!$AE51,Errors!$D:$D,Analysis!$AL$2)</f>
        <v>0</v>
      </c>
      <c r="AM22" s="34">
        <f>COUNTIFS(Errors!$F:$F,Analysis!$AE51,Errors!$D:$D,Analysis!$AM$2)</f>
        <v>0</v>
      </c>
      <c r="AN22" s="34">
        <f>COUNTIFS(Errors!$F:$F,Analysis!$AE51,Errors!$D:$D,Analysis!$AN$2)</f>
        <v>0</v>
      </c>
      <c r="AO22" s="34">
        <f>COUNTIFS(Errors!$F:$F,Analysis!$AE51,Errors!$D:$D,Analysis!$AO$2)</f>
        <v>0</v>
      </c>
      <c r="AP22" s="34">
        <f>COUNTIFS(Errors!$F:$F,Analysis!$AE51,Errors!$D:$D,Analysis!$AP$2)</f>
        <v>0</v>
      </c>
      <c r="AQ22" s="34">
        <f>COUNTIFS(Errors!$F:$F,Analysis!$AE51,Errors!$D:$D,Analysis!$AQ$2)</f>
        <v>0</v>
      </c>
      <c r="AR22" s="34">
        <f>COUNTIFS(Errors!$F:$F,Analysis!$AE51,Errors!$D:$D,Analysis!$AR$2)</f>
        <v>0</v>
      </c>
      <c r="AS22" s="34">
        <f>COUNTIFS(Errors!$F:$F,Analysis!$AE51,Errors!$D:$D,Analysis!$AS$2)</f>
        <v>0</v>
      </c>
      <c r="AT22" s="34">
        <f>COUNTIFS(Errors!$F:$F,Analysis!$AE51,Errors!$D:$D,Analysis!$AT$2)</f>
        <v>0</v>
      </c>
      <c r="AU22" s="34">
        <f>COUNTIFS(Errors!$F:$F,Analysis!$AE51,Errors!$D:$D,Analysis!$AU$2)</f>
        <v>0</v>
      </c>
      <c r="AV22" s="34">
        <f>COUNTIFS(Errors!$F:$F,Analysis!$AE51,Errors!$D:$D,Analysis!$AV$2)</f>
        <v>0</v>
      </c>
      <c r="AW22" s="34">
        <f>COUNTIFS(Errors!$F:$F,Analysis!$AE51,Errors!$D:$D,Analysis!$AW$2)</f>
        <v>0</v>
      </c>
      <c r="AX22" s="34">
        <f>COUNTIFS(Errors!$F:$F,Analysis!$AE51,Errors!$D:$D,Analysis!$AX$2)</f>
        <v>0</v>
      </c>
      <c r="AY22" s="34">
        <f>COUNTIFS(Errors!$F:$F,Analysis!$AE51,Errors!$D:$D,Analysis!$AY$2)</f>
        <v>0</v>
      </c>
      <c r="AZ22" s="34">
        <f>COUNTIFS(Errors!$F:$F,Analysis!$AE51,Errors!$D:$D,Analysis!$AZ$2)</f>
        <v>0</v>
      </c>
      <c r="BA22" s="34">
        <f>COUNTIFS(Errors!$F:$F,Analysis!$AE51,Errors!$D:$D,Analysis!$BA$2)</f>
        <v>0</v>
      </c>
      <c r="BB22" s="34">
        <f>COUNTIFS(Errors!$F:$F,Analysis!$AE51,Errors!$D:$D,Analysis!$BB$2)</f>
        <v>0</v>
      </c>
      <c r="BC22" s="34">
        <f>COUNTIFS(Errors!$F:$F,Analysis!$AE51,Errors!$D:$D,Analysis!$BC$2)</f>
        <v>0</v>
      </c>
      <c r="BD22" s="34">
        <f>COUNTIFS(Errors!$F:$F,Analysis!$AE51,Errors!$D:$D,Analysis!$BD$2)</f>
        <v>0</v>
      </c>
      <c r="BE22" s="34">
        <f>COUNTIFS(Errors!$F:$F,Analysis!$AE51,Errors!$D:$D,Analysis!$BE$2)</f>
        <v>0</v>
      </c>
      <c r="BF22" s="34">
        <f>COUNTIFS(Errors!$F:$F,Analysis!$AE51,Errors!$D:$D,Analysis!$BF$2)</f>
        <v>0</v>
      </c>
      <c r="BG22" s="34">
        <f>COUNTIFS(Errors!$F:$F,Analysis!$AE51,Errors!$D:$D,Analysis!$BG$2)</f>
        <v>0</v>
      </c>
      <c r="BH22" s="34">
        <f>COUNTIFS(Errors!$F:$F,Analysis!$AE51,Errors!$D:$D,Analysis!$BH$2)</f>
        <v>0</v>
      </c>
      <c r="BI22" s="34">
        <f>COUNTIFS(Errors!$F:$F,Analysis!$AE51,Errors!$D:$D,Analysis!$BI$2)</f>
        <v>0</v>
      </c>
      <c r="BJ22" s="34">
        <f>COUNTIFS(Errors!$F:$F,Analysis!$AE51,Errors!$D:$D,Analysis!$BJ$2)</f>
        <v>0</v>
      </c>
      <c r="BL22" s="39">
        <f t="shared" si="1"/>
        <v>0</v>
      </c>
      <c r="BN22" s="40">
        <f t="shared" si="2"/>
        <v>0</v>
      </c>
      <c r="BO22" s="41" t="s">
        <v>83</v>
      </c>
      <c r="BS22" s="35" t="s">
        <v>83</v>
      </c>
      <c r="BT22" s="34">
        <f>COUNTIFS(Errors!$D:$D,Analysis!BT$1,Errors!$F:$F,Analysis!$BS22,Errors!$O:$O,"YES")</f>
        <v>0</v>
      </c>
      <c r="BU22" s="34">
        <f>COUNTIFS(Errors!$D:$D,Analysis!BU$1,Errors!$F:$F,Analysis!$BS22,Errors!$O:$O,"YES")</f>
        <v>0</v>
      </c>
      <c r="BV22" s="34">
        <f>COUNTIFS(Errors!$D:$D,Analysis!BV$1,Errors!$F:$F,Analysis!$BS22,Errors!$O:$O,"YES")</f>
        <v>0</v>
      </c>
      <c r="BW22" s="34">
        <f>COUNTIFS(Errors!$D:$D,Analysis!BW$1,Errors!$F:$F,Analysis!$BS22,Errors!$O:$O,"YES")</f>
        <v>0</v>
      </c>
      <c r="BX22" s="34">
        <f>COUNTIFS(Errors!$D:$D,Analysis!BX$1,Errors!$F:$F,Analysis!$BS22,Errors!$O:$O,"YES")</f>
        <v>0</v>
      </c>
      <c r="BY22" s="34">
        <f>COUNTIFS(Errors!$D:$D,Analysis!BY$1,Errors!$F:$F,Analysis!$BS22,Errors!$O:$O,"YES")</f>
        <v>0</v>
      </c>
      <c r="BZ22" s="34">
        <f>COUNTIFS(Errors!$D:$D,Analysis!BZ$1,Errors!$F:$F,Analysis!$BS22,Errors!$O:$O,"YES")</f>
        <v>0</v>
      </c>
      <c r="CA22" s="34">
        <f>COUNTIFS(Errors!$D:$D,Analysis!CA$1,Errors!$F:$F,Analysis!$BS22,Errors!$O:$O,"YES")</f>
        <v>0</v>
      </c>
      <c r="CB22" s="34">
        <f>COUNTIFS(Errors!$D:$D,Analysis!CB$1,Errors!$F:$F,Analysis!$BS22,Errors!$O:$O,"YES")</f>
        <v>0</v>
      </c>
      <c r="CC22" s="34">
        <f>COUNTIFS(Errors!$D:$D,Analysis!CC$1,Errors!$F:$F,Analysis!$BS22,Errors!$O:$O,"YES")</f>
        <v>0</v>
      </c>
      <c r="CD22" s="34">
        <f>COUNTIFS(Errors!$D:$D,Analysis!CD$1,Errors!$F:$F,Analysis!$BS22,Errors!$O:$O,"YES")</f>
        <v>0</v>
      </c>
      <c r="CE22" s="34">
        <f>COUNTIFS(Errors!$D:$D,Analysis!CE$1,Errors!$F:$F,Analysis!$BS22,Errors!$O:$O,"YES")</f>
        <v>0</v>
      </c>
      <c r="CF22" s="34">
        <f>COUNTIFS(Errors!$D:$D,Analysis!CF$1,Errors!$F:$F,Analysis!$BS22,Errors!$O:$O,"YES")</f>
        <v>0</v>
      </c>
      <c r="CG22" s="34">
        <f>COUNTIFS(Errors!$D:$D,Analysis!CG$1,Errors!$F:$F,Analysis!$BS22,Errors!$O:$O,"YES")</f>
        <v>0</v>
      </c>
      <c r="CH22" s="34">
        <f>COUNTIFS(Errors!$D:$D,Analysis!CH$1,Errors!$F:$F,Analysis!$BS22,Errors!$O:$O,"YES")</f>
        <v>0</v>
      </c>
      <c r="CI22" s="34">
        <f>COUNTIFS(Errors!$D:$D,Analysis!CI$1,Errors!$F:$F,Analysis!$BS22,Errors!$O:$O,"YES")</f>
        <v>0</v>
      </c>
      <c r="CJ22" s="34">
        <f>COUNTIFS(Errors!$D:$D,Analysis!CJ$1,Errors!$F:$F,Analysis!$BS22,Errors!$O:$O,"YES")</f>
        <v>0</v>
      </c>
      <c r="CK22" s="34">
        <f>COUNTIFS(Errors!$D:$D,Analysis!CK$1,Errors!$F:$F,Analysis!$BS22,Errors!$O:$O,"YES")</f>
        <v>0</v>
      </c>
      <c r="CL22" s="34">
        <f>COUNTIFS(Errors!$D:$D,Analysis!CL$1,Errors!$F:$F,Analysis!$BS22,Errors!$O:$O,"YES")</f>
        <v>0</v>
      </c>
      <c r="CM22" s="34">
        <f>COUNTIFS(Errors!$D:$D,Analysis!CM$1,Errors!$F:$F,Analysis!$BS22,Errors!$O:$O,"YES")</f>
        <v>0</v>
      </c>
      <c r="CN22" s="34">
        <f>COUNTIFS(Errors!$D:$D,Analysis!CN$1,Errors!$F:$F,Analysis!$BS22,Errors!$O:$O,"YES")</f>
        <v>0</v>
      </c>
      <c r="CO22" s="34">
        <f>COUNTIFS(Errors!$D:$D,Analysis!CO$1,Errors!$F:$F,Analysis!$BS22,Errors!$O:$O,"YES")</f>
        <v>0</v>
      </c>
      <c r="CP22" s="34">
        <f>COUNTIFS(Errors!$D:$D,Analysis!CP$1,Errors!$F:$F,Analysis!$BS22,Errors!$O:$O,"YES")</f>
        <v>0</v>
      </c>
      <c r="CQ22" s="34">
        <f>COUNTIFS(Errors!$D:$D,Analysis!CQ$1,Errors!$F:$F,Analysis!$BS22,Errors!$O:$O,"YES")</f>
        <v>0</v>
      </c>
      <c r="CR22" s="34">
        <f>COUNTIFS(Errors!$D:$D,Analysis!CR$1,Errors!$F:$F,Analysis!$BS22,Errors!$O:$O,"YES")</f>
        <v>0</v>
      </c>
      <c r="CS22" s="34">
        <f>COUNTIFS(Errors!$D:$D,Analysis!CS$1,Errors!$F:$F,Analysis!$BS22,Errors!$O:$O,"YES")</f>
        <v>0</v>
      </c>
      <c r="CT22" s="34">
        <f>COUNTIFS(Errors!$D:$D,Analysis!CT$1,Errors!$F:$F,Analysis!$BS22,Errors!$O:$O,"YES")</f>
        <v>0</v>
      </c>
      <c r="CU22" s="34">
        <f>COUNTIFS(Errors!$D:$D,Analysis!CU$1,Errors!$F:$F,Analysis!$BS22,Errors!$O:$O,"YES")</f>
        <v>0</v>
      </c>
      <c r="CV22" s="34">
        <f>COUNTIFS(Errors!$D:$D,Analysis!CV$1,Errors!$F:$F,Analysis!$BS22,Errors!$O:$O,"YES")</f>
        <v>0</v>
      </c>
      <c r="CW22" s="34">
        <f>COUNTIFS(Errors!$D:$D,Analysis!CW$1,Errors!$F:$F,Analysis!$BS22,Errors!$O:$O,"YES")</f>
        <v>0</v>
      </c>
      <c r="CX22" s="34">
        <f>COUNTIFS(Errors!$D:$D,Analysis!CX$1,Errors!$F:$F,Analysis!$BS22,Errors!$O:$O,"YES")</f>
        <v>0</v>
      </c>
      <c r="CZ22" s="39">
        <f t="shared" si="3"/>
        <v>0</v>
      </c>
      <c r="DB22" s="42">
        <f t="shared" si="4"/>
        <v>0</v>
      </c>
      <c r="DC22" s="41" t="s">
        <v>83</v>
      </c>
    </row>
    <row r="23" ht="15.75" customHeight="1">
      <c r="B23" s="50"/>
      <c r="C23" s="50"/>
      <c r="D23" s="50"/>
      <c r="E23" s="50"/>
      <c r="G23" s="35"/>
      <c r="H23" s="33">
        <f>COUNTIF(Errors!$F$3:$F$3008,$G23)</f>
        <v>0</v>
      </c>
      <c r="I23" s="34">
        <f>COUNTIFS(Errors!$F$3:$F$3008,$G23,Errors!$I$3:$I$3008,"TV*")</f>
        <v>0</v>
      </c>
      <c r="J23" s="34">
        <f>COUNTIFS(Errors!$F$3:$F$3008,$G23,Errors!$I$3:$I$3008,"&lt;&gt;TV*")</f>
        <v>0</v>
      </c>
      <c r="K23" s="34">
        <f>COUNTIFS(Errors!$F$3:$F$3008,$G23,Errors!$Q$3:$Q$3008,"yes")</f>
        <v>0</v>
      </c>
      <c r="M23" s="35"/>
      <c r="N23" s="33">
        <f>COUNTIFS(Errors!$O$3:$O$3008,"Yes",Errors!$F$3:$F$3008,$M23)+COUNTIFS(Errors!$P$3:$P$3008,"Yes",Errors!$F$3:$F$3008,$M23)</f>
        <v>0</v>
      </c>
      <c r="O23" s="36">
        <f>COUNTIFS(Errors!$O$3:$O$3008,"Yes",Errors!$F$3:$F$3008,$M23,Errors!$I$3:$I$3008,"TV*")+COUNTIFS(Errors!$P$3:$P$3008,"Yes",Errors!$F$3:$F$3008,$M23,Errors!$I$3:$I$3008,"TV*")</f>
        <v>0</v>
      </c>
      <c r="P23" s="34">
        <f>COUNTIFS(Errors!$O$3:$O$3008,"Yes",Errors!$F$3:$F$3008,$M23,Errors!$I$3:$I$3008,"&lt;&gt;TV*")+COUNTIFS(Errors!$P$3:$P$3008,"Yes",Errors!$F$3:$F$3008,$M23,Errors!$I$3:$I$3008,"&lt;&gt;TV*")</f>
        <v>0</v>
      </c>
      <c r="Q23" s="35">
        <f>COUNTIFS(Errors!$F$3:$F$3008,$M23,Errors!$O$3:$O$3008,"yes")</f>
        <v>0</v>
      </c>
      <c r="R23" s="35">
        <f>COUNTIFS(Errors!$F$3:$F$3008,$M23,Errors!$P$3:$P$3008,"yes")</f>
        <v>0</v>
      </c>
      <c r="AE23" s="35"/>
      <c r="AF23" s="37">
        <f>COUNTIFS(Errors!$F:$F,Analysis!$AE52,Errors!$D:$D,Analysis!$AF$2)</f>
        <v>0</v>
      </c>
      <c r="AG23" s="34">
        <f>COUNTIFS(Errors!$F:$F,Analysis!$AE52,Errors!$D:$D,Analysis!$AG$2)</f>
        <v>0</v>
      </c>
      <c r="AH23" s="34">
        <f>COUNTIFS(Errors!$F:$F,Analysis!$AE52,Errors!$D:$D,Analysis!$AH$2)</f>
        <v>0</v>
      </c>
      <c r="AI23" s="34">
        <f>COUNTIFS(Errors!$F:$F,Analysis!$AE52,Errors!$D:$D,Analysis!$AI$2)</f>
        <v>0</v>
      </c>
      <c r="AJ23" s="34">
        <f>COUNTIFS(Errors!$F:$F,Analysis!$AE52,Errors!$D:$D,Analysis!$AJ$2)</f>
        <v>0</v>
      </c>
      <c r="AK23" s="34">
        <f>COUNTIFS(Errors!$F:$F,Analysis!$AE52,Errors!$D:$D,Analysis!$AK$2)</f>
        <v>0</v>
      </c>
      <c r="AL23" s="34">
        <f>COUNTIFS(Errors!$F:$F,Analysis!$AE52,Errors!$D:$D,Analysis!$AL$2)</f>
        <v>0</v>
      </c>
      <c r="AM23" s="34">
        <f>COUNTIFS(Errors!$F:$F,Analysis!$AE52,Errors!$D:$D,Analysis!$AM$2)</f>
        <v>0</v>
      </c>
      <c r="AN23" s="34">
        <f>COUNTIFS(Errors!$F:$F,Analysis!$AE52,Errors!$D:$D,Analysis!$AN$2)</f>
        <v>0</v>
      </c>
      <c r="AO23" s="34">
        <f>COUNTIFS(Errors!$F:$F,Analysis!$AE52,Errors!$D:$D,Analysis!$AO$2)</f>
        <v>0</v>
      </c>
      <c r="AP23" s="34">
        <f>COUNTIFS(Errors!$F:$F,Analysis!$AE52,Errors!$D:$D,Analysis!$AP$2)</f>
        <v>0</v>
      </c>
      <c r="AQ23" s="34">
        <f>COUNTIFS(Errors!$F:$F,Analysis!$AE52,Errors!$D:$D,Analysis!$AQ$2)</f>
        <v>0</v>
      </c>
      <c r="AR23" s="34">
        <f>COUNTIFS(Errors!$F:$F,Analysis!$AE52,Errors!$D:$D,Analysis!$AR$2)</f>
        <v>0</v>
      </c>
      <c r="AS23" s="34">
        <f>COUNTIFS(Errors!$F:$F,Analysis!$AE52,Errors!$D:$D,Analysis!$AS$2)</f>
        <v>0</v>
      </c>
      <c r="AT23" s="34">
        <f>COUNTIFS(Errors!$F:$F,Analysis!$AE52,Errors!$D:$D,Analysis!$AT$2)</f>
        <v>0</v>
      </c>
      <c r="AU23" s="34">
        <f>COUNTIFS(Errors!$F:$F,Analysis!$AE52,Errors!$D:$D,Analysis!$AU$2)</f>
        <v>0</v>
      </c>
      <c r="AV23" s="34">
        <f>COUNTIFS(Errors!$F:$F,Analysis!$AE52,Errors!$D:$D,Analysis!$AV$2)</f>
        <v>0</v>
      </c>
      <c r="AW23" s="34">
        <f>COUNTIFS(Errors!$F:$F,Analysis!$AE52,Errors!$D:$D,Analysis!$AW$2)</f>
        <v>0</v>
      </c>
      <c r="AX23" s="34">
        <f>COUNTIFS(Errors!$F:$F,Analysis!$AE52,Errors!$D:$D,Analysis!$AX$2)</f>
        <v>0</v>
      </c>
      <c r="AY23" s="34">
        <f>COUNTIFS(Errors!$F:$F,Analysis!$AE52,Errors!$D:$D,Analysis!$AY$2)</f>
        <v>0</v>
      </c>
      <c r="AZ23" s="34">
        <f>COUNTIFS(Errors!$F:$F,Analysis!$AE52,Errors!$D:$D,Analysis!$AZ$2)</f>
        <v>0</v>
      </c>
      <c r="BA23" s="34">
        <f>COUNTIFS(Errors!$F:$F,Analysis!$AE52,Errors!$D:$D,Analysis!$BA$2)</f>
        <v>0</v>
      </c>
      <c r="BB23" s="34">
        <f>COUNTIFS(Errors!$F:$F,Analysis!$AE52,Errors!$D:$D,Analysis!$BB$2)</f>
        <v>0</v>
      </c>
      <c r="BC23" s="34">
        <f>COUNTIFS(Errors!$F:$F,Analysis!$AE52,Errors!$D:$D,Analysis!$BC$2)</f>
        <v>0</v>
      </c>
      <c r="BD23" s="34">
        <f>COUNTIFS(Errors!$F:$F,Analysis!$AE52,Errors!$D:$D,Analysis!$BD$2)</f>
        <v>0</v>
      </c>
      <c r="BE23" s="34">
        <f>COUNTIFS(Errors!$F:$F,Analysis!$AE52,Errors!$D:$D,Analysis!$BE$2)</f>
        <v>0</v>
      </c>
      <c r="BF23" s="34">
        <f>COUNTIFS(Errors!$F:$F,Analysis!$AE52,Errors!$D:$D,Analysis!$BF$2)</f>
        <v>0</v>
      </c>
      <c r="BG23" s="34">
        <f>COUNTIFS(Errors!$F:$F,Analysis!$AE52,Errors!$D:$D,Analysis!$BG$2)</f>
        <v>0</v>
      </c>
      <c r="BH23" s="34">
        <f>COUNTIFS(Errors!$F:$F,Analysis!$AE52,Errors!$D:$D,Analysis!$BH$2)</f>
        <v>0</v>
      </c>
      <c r="BI23" s="34">
        <f>COUNTIFS(Errors!$F:$F,Analysis!$AE52,Errors!$D:$D,Analysis!$BI$2)</f>
        <v>0</v>
      </c>
      <c r="BJ23" s="34">
        <f>COUNTIFS(Errors!$F:$F,Analysis!$AE52,Errors!$D:$D,Analysis!$BJ$2)</f>
        <v>0</v>
      </c>
      <c r="BL23" s="39">
        <f t="shared" si="1"/>
        <v>0</v>
      </c>
      <c r="BN23" s="40">
        <f t="shared" si="2"/>
        <v>0</v>
      </c>
      <c r="BO23" s="41" t="s">
        <v>84</v>
      </c>
      <c r="BS23" s="35" t="s">
        <v>84</v>
      </c>
      <c r="BT23" s="34">
        <f>COUNTIFS(Errors!$D:$D,Analysis!BT$1,Errors!$F:$F,Analysis!$BS23,Errors!$O:$O,"YES")</f>
        <v>0</v>
      </c>
      <c r="BU23" s="34">
        <f>COUNTIFS(Errors!$D:$D,Analysis!BU$1,Errors!$F:$F,Analysis!$BS23,Errors!$O:$O,"YES")</f>
        <v>0</v>
      </c>
      <c r="BV23" s="34">
        <f>COUNTIFS(Errors!$D:$D,Analysis!BV$1,Errors!$F:$F,Analysis!$BS23,Errors!$O:$O,"YES")</f>
        <v>0</v>
      </c>
      <c r="BW23" s="34">
        <f>COUNTIFS(Errors!$D:$D,Analysis!BW$1,Errors!$F:$F,Analysis!$BS23,Errors!$O:$O,"YES")</f>
        <v>0</v>
      </c>
      <c r="BX23" s="34">
        <f>COUNTIFS(Errors!$D:$D,Analysis!BX$1,Errors!$F:$F,Analysis!$BS23,Errors!$O:$O,"YES")</f>
        <v>0</v>
      </c>
      <c r="BY23" s="34">
        <f>COUNTIFS(Errors!$D:$D,Analysis!BY$1,Errors!$F:$F,Analysis!$BS23,Errors!$O:$O,"YES")</f>
        <v>0</v>
      </c>
      <c r="BZ23" s="34">
        <f>COUNTIFS(Errors!$D:$D,Analysis!BZ$1,Errors!$F:$F,Analysis!$BS23,Errors!$O:$O,"YES")</f>
        <v>0</v>
      </c>
      <c r="CA23" s="34">
        <f>COUNTIFS(Errors!$D:$D,Analysis!CA$1,Errors!$F:$F,Analysis!$BS23,Errors!$O:$O,"YES")</f>
        <v>0</v>
      </c>
      <c r="CB23" s="34">
        <f>COUNTIFS(Errors!$D:$D,Analysis!CB$1,Errors!$F:$F,Analysis!$BS23,Errors!$O:$O,"YES")</f>
        <v>0</v>
      </c>
      <c r="CC23" s="34">
        <f>COUNTIFS(Errors!$D:$D,Analysis!CC$1,Errors!$F:$F,Analysis!$BS23,Errors!$O:$O,"YES")</f>
        <v>0</v>
      </c>
      <c r="CD23" s="34">
        <f>COUNTIFS(Errors!$D:$D,Analysis!CD$1,Errors!$F:$F,Analysis!$BS23,Errors!$O:$O,"YES")</f>
        <v>0</v>
      </c>
      <c r="CE23" s="34">
        <f>COUNTIFS(Errors!$D:$D,Analysis!CE$1,Errors!$F:$F,Analysis!$BS23,Errors!$O:$O,"YES")</f>
        <v>0</v>
      </c>
      <c r="CF23" s="34">
        <f>COUNTIFS(Errors!$D:$D,Analysis!CF$1,Errors!$F:$F,Analysis!$BS23,Errors!$O:$O,"YES")</f>
        <v>0</v>
      </c>
      <c r="CG23" s="34">
        <f>COUNTIFS(Errors!$D:$D,Analysis!CG$1,Errors!$F:$F,Analysis!$BS23,Errors!$O:$O,"YES")</f>
        <v>0</v>
      </c>
      <c r="CH23" s="34">
        <f>COUNTIFS(Errors!$D:$D,Analysis!CH$1,Errors!$F:$F,Analysis!$BS23,Errors!$O:$O,"YES")</f>
        <v>0</v>
      </c>
      <c r="CI23" s="34">
        <f>COUNTIFS(Errors!$D:$D,Analysis!CI$1,Errors!$F:$F,Analysis!$BS23,Errors!$O:$O,"YES")</f>
        <v>0</v>
      </c>
      <c r="CJ23" s="34">
        <f>COUNTIFS(Errors!$D:$D,Analysis!CJ$1,Errors!$F:$F,Analysis!$BS23,Errors!$O:$O,"YES")</f>
        <v>0</v>
      </c>
      <c r="CK23" s="34">
        <f>COUNTIFS(Errors!$D:$D,Analysis!CK$1,Errors!$F:$F,Analysis!$BS23,Errors!$O:$O,"YES")</f>
        <v>0</v>
      </c>
      <c r="CL23" s="34">
        <f>COUNTIFS(Errors!$D:$D,Analysis!CL$1,Errors!$F:$F,Analysis!$BS23,Errors!$O:$O,"YES")</f>
        <v>0</v>
      </c>
      <c r="CM23" s="34">
        <f>COUNTIFS(Errors!$D:$D,Analysis!CM$1,Errors!$F:$F,Analysis!$BS23,Errors!$O:$O,"YES")</f>
        <v>0</v>
      </c>
      <c r="CN23" s="34">
        <f>COUNTIFS(Errors!$D:$D,Analysis!CN$1,Errors!$F:$F,Analysis!$BS23,Errors!$O:$O,"YES")</f>
        <v>0</v>
      </c>
      <c r="CO23" s="34">
        <f>COUNTIFS(Errors!$D:$D,Analysis!CO$1,Errors!$F:$F,Analysis!$BS23,Errors!$O:$O,"YES")</f>
        <v>0</v>
      </c>
      <c r="CP23" s="34">
        <f>COUNTIFS(Errors!$D:$D,Analysis!CP$1,Errors!$F:$F,Analysis!$BS23,Errors!$O:$O,"YES")</f>
        <v>0</v>
      </c>
      <c r="CQ23" s="34">
        <f>COUNTIFS(Errors!$D:$D,Analysis!CQ$1,Errors!$F:$F,Analysis!$BS23,Errors!$O:$O,"YES")</f>
        <v>0</v>
      </c>
      <c r="CR23" s="34">
        <f>COUNTIFS(Errors!$D:$D,Analysis!CR$1,Errors!$F:$F,Analysis!$BS23,Errors!$O:$O,"YES")</f>
        <v>0</v>
      </c>
      <c r="CS23" s="34">
        <f>COUNTIFS(Errors!$D:$D,Analysis!CS$1,Errors!$F:$F,Analysis!$BS23,Errors!$O:$O,"YES")</f>
        <v>0</v>
      </c>
      <c r="CT23" s="34">
        <f>COUNTIFS(Errors!$D:$D,Analysis!CT$1,Errors!$F:$F,Analysis!$BS23,Errors!$O:$O,"YES")</f>
        <v>0</v>
      </c>
      <c r="CU23" s="34">
        <f>COUNTIFS(Errors!$D:$D,Analysis!CU$1,Errors!$F:$F,Analysis!$BS23,Errors!$O:$O,"YES")</f>
        <v>0</v>
      </c>
      <c r="CV23" s="34">
        <f>COUNTIFS(Errors!$D:$D,Analysis!CV$1,Errors!$F:$F,Analysis!$BS23,Errors!$O:$O,"YES")</f>
        <v>0</v>
      </c>
      <c r="CW23" s="34">
        <f>COUNTIFS(Errors!$D:$D,Analysis!CW$1,Errors!$F:$F,Analysis!$BS23,Errors!$O:$O,"YES")</f>
        <v>0</v>
      </c>
      <c r="CX23" s="34">
        <f>COUNTIFS(Errors!$D:$D,Analysis!CX$1,Errors!$F:$F,Analysis!$BS23,Errors!$O:$O,"YES")</f>
        <v>0</v>
      </c>
      <c r="CZ23" s="39">
        <f t="shared" si="3"/>
        <v>0</v>
      </c>
      <c r="DB23" s="42">
        <f t="shared" si="4"/>
        <v>0</v>
      </c>
      <c r="DC23" s="41" t="s">
        <v>84</v>
      </c>
    </row>
    <row r="24" ht="18.75" customHeight="1">
      <c r="B24" s="50"/>
      <c r="C24" s="50"/>
      <c r="D24" s="50"/>
      <c r="E24" s="50"/>
      <c r="G24" s="35"/>
      <c r="H24" s="33">
        <f>COUNTIF(Errors!$F$3:$F$3008,$G24)</f>
        <v>0</v>
      </c>
      <c r="I24" s="34">
        <f>COUNTIFS(Errors!$F$3:$F$3008,$G24,Errors!$I$3:$I$3008,"TV*")</f>
        <v>0</v>
      </c>
      <c r="J24" s="34">
        <f>COUNTIFS(Errors!$F$3:$F$3008,$G24,Errors!$I$3:$I$3008,"&lt;&gt;TV*")</f>
        <v>0</v>
      </c>
      <c r="K24" s="34">
        <f>COUNTIFS(Errors!$F$3:$F$3008,$G24,Errors!$Q$3:$Q$3008,"yes")</f>
        <v>0</v>
      </c>
      <c r="M24" s="35"/>
      <c r="N24" s="33">
        <f>COUNTIFS(Errors!$O$3:$O$3008,"Yes",Errors!$F$3:$F$3008,$M24)+COUNTIFS(Errors!$P$3:$P$3008,"Yes",Errors!$F$3:$F$3008,$M24)</f>
        <v>0</v>
      </c>
      <c r="O24" s="36">
        <f>COUNTIFS(Errors!$O$3:$O$3008,"Yes",Errors!$F$3:$F$3008,$M24,Errors!$I$3:$I$3008,"TV*")+COUNTIFS(Errors!$P$3:$P$3008,"Yes",Errors!$F$3:$F$3008,$M24,Errors!$I$3:$I$3008,"TV*")</f>
        <v>0</v>
      </c>
      <c r="P24" s="34">
        <f>COUNTIFS(Errors!$O$3:$O$3008,"Yes",Errors!$F$3:$F$3008,$M24,Errors!$I$3:$I$3008,"&lt;&gt;TV*")+COUNTIFS(Errors!$P$3:$P$3008,"Yes",Errors!$F$3:$F$3008,$M24,Errors!$I$3:$I$3008,"&lt;&gt;TV*")</f>
        <v>0</v>
      </c>
      <c r="Q24" s="35">
        <f>COUNTIFS(Errors!$F$3:$F$3008,$M24,Errors!$O$3:$O$3008,"yes")</f>
        <v>0</v>
      </c>
      <c r="R24" s="35">
        <f>COUNTIFS(Errors!$F$3:$F$3008,$M24,Errors!$P$3:$P$3008,"yes")</f>
        <v>0</v>
      </c>
      <c r="AE24" s="35"/>
      <c r="AF24" s="37">
        <f>COUNTIFS(Errors!$F:$F,Analysis!$AE53,Errors!$D:$D,Analysis!$AF$2)</f>
        <v>0</v>
      </c>
      <c r="AG24" s="34">
        <f>COUNTIFS(Errors!$F:$F,Analysis!$AE53,Errors!$D:$D,Analysis!$AG$2)</f>
        <v>0</v>
      </c>
      <c r="AH24" s="34">
        <f>COUNTIFS(Errors!$F:$F,Analysis!$AE53,Errors!$D:$D,Analysis!$AH$2)</f>
        <v>0</v>
      </c>
      <c r="AI24" s="34">
        <f>COUNTIFS(Errors!$F:$F,Analysis!$AE53,Errors!$D:$D,Analysis!$AI$2)</f>
        <v>0</v>
      </c>
      <c r="AJ24" s="34">
        <f>COUNTIFS(Errors!$F:$F,Analysis!$AE53,Errors!$D:$D,Analysis!$AJ$2)</f>
        <v>0</v>
      </c>
      <c r="AK24" s="34">
        <f>COUNTIFS(Errors!$F:$F,Analysis!$AE53,Errors!$D:$D,Analysis!$AK$2)</f>
        <v>0</v>
      </c>
      <c r="AL24" s="34">
        <f>COUNTIFS(Errors!$F:$F,Analysis!$AE53,Errors!$D:$D,Analysis!$AL$2)</f>
        <v>0</v>
      </c>
      <c r="AM24" s="34">
        <f>COUNTIFS(Errors!$F:$F,Analysis!$AE53,Errors!$D:$D,Analysis!$AM$2)</f>
        <v>0</v>
      </c>
      <c r="AN24" s="34">
        <f>COUNTIFS(Errors!$F:$F,Analysis!$AE53,Errors!$D:$D,Analysis!$AN$2)</f>
        <v>0</v>
      </c>
      <c r="AO24" s="34">
        <f>COUNTIFS(Errors!$F:$F,Analysis!$AE53,Errors!$D:$D,Analysis!$AO$2)</f>
        <v>0</v>
      </c>
      <c r="AP24" s="34">
        <f>COUNTIFS(Errors!$F:$F,Analysis!$AE53,Errors!$D:$D,Analysis!$AP$2)</f>
        <v>0</v>
      </c>
      <c r="AQ24" s="34">
        <f>COUNTIFS(Errors!$F:$F,Analysis!$AE53,Errors!$D:$D,Analysis!$AQ$2)</f>
        <v>0</v>
      </c>
      <c r="AR24" s="34">
        <f>COUNTIFS(Errors!$F:$F,Analysis!$AE53,Errors!$D:$D,Analysis!$AR$2)</f>
        <v>0</v>
      </c>
      <c r="AS24" s="34">
        <f>COUNTIFS(Errors!$F:$F,Analysis!$AE53,Errors!$D:$D,Analysis!$AS$2)</f>
        <v>0</v>
      </c>
      <c r="AT24" s="34">
        <f>COUNTIFS(Errors!$F:$F,Analysis!$AE53,Errors!$D:$D,Analysis!$AT$2)</f>
        <v>0</v>
      </c>
      <c r="AU24" s="34">
        <f>COUNTIFS(Errors!$F:$F,Analysis!$AE53,Errors!$D:$D,Analysis!$AU$2)</f>
        <v>0</v>
      </c>
      <c r="AV24" s="34">
        <f>COUNTIFS(Errors!$F:$F,Analysis!$AE53,Errors!$D:$D,Analysis!$AV$2)</f>
        <v>0</v>
      </c>
      <c r="AW24" s="34">
        <f>COUNTIFS(Errors!$F:$F,Analysis!$AE53,Errors!$D:$D,Analysis!$AW$2)</f>
        <v>0</v>
      </c>
      <c r="AX24" s="34">
        <f>COUNTIFS(Errors!$F:$F,Analysis!$AE53,Errors!$D:$D,Analysis!$AX$2)</f>
        <v>0</v>
      </c>
      <c r="AY24" s="34">
        <f>COUNTIFS(Errors!$F:$F,Analysis!$AE53,Errors!$D:$D,Analysis!$AY$2)</f>
        <v>0</v>
      </c>
      <c r="AZ24" s="34">
        <f>COUNTIFS(Errors!$F:$F,Analysis!$AE53,Errors!$D:$D,Analysis!$AZ$2)</f>
        <v>0</v>
      </c>
      <c r="BA24" s="34">
        <f>COUNTIFS(Errors!$F:$F,Analysis!$AE53,Errors!$D:$D,Analysis!$BA$2)</f>
        <v>0</v>
      </c>
      <c r="BB24" s="34">
        <f>COUNTIFS(Errors!$F:$F,Analysis!$AE53,Errors!$D:$D,Analysis!$BB$2)</f>
        <v>0</v>
      </c>
      <c r="BC24" s="34">
        <f>COUNTIFS(Errors!$F:$F,Analysis!$AE53,Errors!$D:$D,Analysis!$BC$2)</f>
        <v>0</v>
      </c>
      <c r="BD24" s="34">
        <f>COUNTIFS(Errors!$F:$F,Analysis!$AE53,Errors!$D:$D,Analysis!$BD$2)</f>
        <v>0</v>
      </c>
      <c r="BE24" s="34">
        <f>COUNTIFS(Errors!$F:$F,Analysis!$AE53,Errors!$D:$D,Analysis!$BE$2)</f>
        <v>0</v>
      </c>
      <c r="BF24" s="34">
        <f>COUNTIFS(Errors!$F:$F,Analysis!$AE53,Errors!$D:$D,Analysis!$BF$2)</f>
        <v>0</v>
      </c>
      <c r="BG24" s="34">
        <f>COUNTIFS(Errors!$F:$F,Analysis!$AE53,Errors!$D:$D,Analysis!$BG$2)</f>
        <v>0</v>
      </c>
      <c r="BH24" s="34">
        <f>COUNTIFS(Errors!$F:$F,Analysis!$AE53,Errors!$D:$D,Analysis!$BH$2)</f>
        <v>0</v>
      </c>
      <c r="BI24" s="34">
        <f>COUNTIFS(Errors!$F:$F,Analysis!$AE53,Errors!$D:$D,Analysis!$BI$2)</f>
        <v>0</v>
      </c>
      <c r="BJ24" s="34">
        <f>COUNTIFS(Errors!$F:$F,Analysis!$AE53,Errors!$D:$D,Analysis!$BJ$2)</f>
        <v>0</v>
      </c>
      <c r="BL24" s="39">
        <f t="shared" si="1"/>
        <v>0</v>
      </c>
      <c r="BN24" s="40">
        <f t="shared" si="2"/>
        <v>0</v>
      </c>
      <c r="BO24" s="41" t="s">
        <v>85</v>
      </c>
      <c r="BS24" s="35" t="s">
        <v>85</v>
      </c>
      <c r="BT24" s="34">
        <f>COUNTIFS(Errors!$D:$D,Analysis!BT$1,Errors!$F:$F,Analysis!$BS24,Errors!$O:$O,"YES")</f>
        <v>0</v>
      </c>
      <c r="BU24" s="34">
        <f>COUNTIFS(Errors!$D:$D,Analysis!BU$1,Errors!$F:$F,Analysis!$BS24,Errors!$O:$O,"YES")</f>
        <v>0</v>
      </c>
      <c r="BV24" s="34">
        <f>COUNTIFS(Errors!$D:$D,Analysis!BV$1,Errors!$F:$F,Analysis!$BS24,Errors!$O:$O,"YES")</f>
        <v>0</v>
      </c>
      <c r="BW24" s="34">
        <f>COUNTIFS(Errors!$D:$D,Analysis!BW$1,Errors!$F:$F,Analysis!$BS24,Errors!$O:$O,"YES")</f>
        <v>0</v>
      </c>
      <c r="BX24" s="34">
        <f>COUNTIFS(Errors!$D:$D,Analysis!BX$1,Errors!$F:$F,Analysis!$BS24,Errors!$O:$O,"YES")</f>
        <v>0</v>
      </c>
      <c r="BY24" s="34">
        <f>COUNTIFS(Errors!$D:$D,Analysis!BY$1,Errors!$F:$F,Analysis!$BS24,Errors!$O:$O,"YES")</f>
        <v>0</v>
      </c>
      <c r="BZ24" s="34">
        <f>COUNTIFS(Errors!$D:$D,Analysis!BZ$1,Errors!$F:$F,Analysis!$BS24,Errors!$O:$O,"YES")</f>
        <v>0</v>
      </c>
      <c r="CA24" s="34">
        <f>COUNTIFS(Errors!$D:$D,Analysis!CA$1,Errors!$F:$F,Analysis!$BS24,Errors!$O:$O,"YES")</f>
        <v>0</v>
      </c>
      <c r="CB24" s="34">
        <f>COUNTIFS(Errors!$D:$D,Analysis!CB$1,Errors!$F:$F,Analysis!$BS24,Errors!$O:$O,"YES")</f>
        <v>0</v>
      </c>
      <c r="CC24" s="34">
        <f>COUNTIFS(Errors!$D:$D,Analysis!CC$1,Errors!$F:$F,Analysis!$BS24,Errors!$O:$O,"YES")</f>
        <v>0</v>
      </c>
      <c r="CD24" s="34">
        <f>COUNTIFS(Errors!$D:$D,Analysis!CD$1,Errors!$F:$F,Analysis!$BS24,Errors!$O:$O,"YES")</f>
        <v>0</v>
      </c>
      <c r="CE24" s="34">
        <f>COUNTIFS(Errors!$D:$D,Analysis!CE$1,Errors!$F:$F,Analysis!$BS24,Errors!$O:$O,"YES")</f>
        <v>0</v>
      </c>
      <c r="CF24" s="34">
        <f>COUNTIFS(Errors!$D:$D,Analysis!CF$1,Errors!$F:$F,Analysis!$BS24,Errors!$O:$O,"YES")</f>
        <v>0</v>
      </c>
      <c r="CG24" s="34">
        <f>COUNTIFS(Errors!$D:$D,Analysis!CG$1,Errors!$F:$F,Analysis!$BS24,Errors!$O:$O,"YES")</f>
        <v>0</v>
      </c>
      <c r="CH24" s="34">
        <f>COUNTIFS(Errors!$D:$D,Analysis!CH$1,Errors!$F:$F,Analysis!$BS24,Errors!$O:$O,"YES")</f>
        <v>0</v>
      </c>
      <c r="CI24" s="34">
        <f>COUNTIFS(Errors!$D:$D,Analysis!CI$1,Errors!$F:$F,Analysis!$BS24,Errors!$O:$O,"YES")</f>
        <v>0</v>
      </c>
      <c r="CJ24" s="34">
        <f>COUNTIFS(Errors!$D:$D,Analysis!CJ$1,Errors!$F:$F,Analysis!$BS24,Errors!$O:$O,"YES")</f>
        <v>0</v>
      </c>
      <c r="CK24" s="34">
        <f>COUNTIFS(Errors!$D:$D,Analysis!CK$1,Errors!$F:$F,Analysis!$BS24,Errors!$O:$O,"YES")</f>
        <v>0</v>
      </c>
      <c r="CL24" s="34">
        <f>COUNTIFS(Errors!$D:$D,Analysis!CL$1,Errors!$F:$F,Analysis!$BS24,Errors!$O:$O,"YES")</f>
        <v>0</v>
      </c>
      <c r="CM24" s="34">
        <f>COUNTIFS(Errors!$D:$D,Analysis!CM$1,Errors!$F:$F,Analysis!$BS24,Errors!$O:$O,"YES")</f>
        <v>0</v>
      </c>
      <c r="CN24" s="34">
        <f>COUNTIFS(Errors!$D:$D,Analysis!CN$1,Errors!$F:$F,Analysis!$BS24,Errors!$O:$O,"YES")</f>
        <v>0</v>
      </c>
      <c r="CO24" s="34">
        <f>COUNTIFS(Errors!$D:$D,Analysis!CO$1,Errors!$F:$F,Analysis!$BS24,Errors!$O:$O,"YES")</f>
        <v>0</v>
      </c>
      <c r="CP24" s="34">
        <f>COUNTIFS(Errors!$D:$D,Analysis!CP$1,Errors!$F:$F,Analysis!$BS24,Errors!$O:$O,"YES")</f>
        <v>0</v>
      </c>
      <c r="CQ24" s="34">
        <f>COUNTIFS(Errors!$D:$D,Analysis!CQ$1,Errors!$F:$F,Analysis!$BS24,Errors!$O:$O,"YES")</f>
        <v>0</v>
      </c>
      <c r="CR24" s="34">
        <f>COUNTIFS(Errors!$D:$D,Analysis!CR$1,Errors!$F:$F,Analysis!$BS24,Errors!$O:$O,"YES")</f>
        <v>0</v>
      </c>
      <c r="CS24" s="34">
        <f>COUNTIFS(Errors!$D:$D,Analysis!CS$1,Errors!$F:$F,Analysis!$BS24,Errors!$O:$O,"YES")</f>
        <v>0</v>
      </c>
      <c r="CT24" s="34">
        <f>COUNTIFS(Errors!$D:$D,Analysis!CT$1,Errors!$F:$F,Analysis!$BS24,Errors!$O:$O,"YES")</f>
        <v>0</v>
      </c>
      <c r="CU24" s="34">
        <f>COUNTIFS(Errors!$D:$D,Analysis!CU$1,Errors!$F:$F,Analysis!$BS24,Errors!$O:$O,"YES")</f>
        <v>0</v>
      </c>
      <c r="CV24" s="34">
        <f>COUNTIFS(Errors!$D:$D,Analysis!CV$1,Errors!$F:$F,Analysis!$BS24,Errors!$O:$O,"YES")</f>
        <v>0</v>
      </c>
      <c r="CW24" s="34">
        <f>COUNTIFS(Errors!$D:$D,Analysis!CW$1,Errors!$F:$F,Analysis!$BS24,Errors!$O:$O,"YES")</f>
        <v>0</v>
      </c>
      <c r="CX24" s="34">
        <f>COUNTIFS(Errors!$D:$D,Analysis!CX$1,Errors!$F:$F,Analysis!$BS24,Errors!$O:$O,"YES")</f>
        <v>0</v>
      </c>
      <c r="CZ24" s="52">
        <f t="shared" si="3"/>
        <v>0</v>
      </c>
      <c r="DB24" s="53">
        <f t="shared" si="4"/>
        <v>0</v>
      </c>
      <c r="DC24" s="41" t="s">
        <v>85</v>
      </c>
    </row>
    <row r="25" ht="15.75" customHeight="1">
      <c r="B25" s="50"/>
      <c r="C25" s="50"/>
      <c r="D25" s="50"/>
      <c r="E25" s="50"/>
      <c r="G25" s="18" t="s">
        <v>86</v>
      </c>
      <c r="H25" s="49">
        <f>SUM($H3:$H24)</f>
        <v>0</v>
      </c>
      <c r="I25" s="49">
        <f t="shared" ref="I25:K25" si="5">SUM(I3:I24)</f>
        <v>0</v>
      </c>
      <c r="J25" s="49">
        <f t="shared" si="5"/>
        <v>0</v>
      </c>
      <c r="K25" s="49">
        <f t="shared" si="5"/>
        <v>0</v>
      </c>
      <c r="M25" s="54" t="s">
        <v>87</v>
      </c>
      <c r="N25" s="49">
        <f t="shared" ref="N25:R25" si="6">SUM(N3:N24)</f>
        <v>0</v>
      </c>
      <c r="O25" s="49">
        <f t="shared" si="6"/>
        <v>0</v>
      </c>
      <c r="P25" s="49">
        <f t="shared" si="6"/>
        <v>0</v>
      </c>
      <c r="Q25" s="49">
        <f t="shared" si="6"/>
        <v>0</v>
      </c>
      <c r="R25" s="49">
        <f t="shared" si="6"/>
        <v>0</v>
      </c>
      <c r="AE25" s="35"/>
      <c r="AF25" s="37">
        <f>COUNTIFS(Errors!$F:$F,Analysis!$AE54,Errors!$D:$D,Analysis!$AF$2)</f>
        <v>0</v>
      </c>
      <c r="AG25" s="34">
        <f>COUNTIFS(Errors!$F:$F,Analysis!$AE54,Errors!$D:$D,Analysis!$AG$2)</f>
        <v>0</v>
      </c>
      <c r="AH25" s="34">
        <f>COUNTIFS(Errors!$F:$F,Analysis!$AE54,Errors!$D:$D,Analysis!$AH$2)</f>
        <v>0</v>
      </c>
      <c r="AI25" s="34">
        <f>COUNTIFS(Errors!$F:$F,Analysis!$AE54,Errors!$D:$D,Analysis!$AI$2)</f>
        <v>0</v>
      </c>
      <c r="AJ25" s="34">
        <f>COUNTIFS(Errors!$F:$F,Analysis!$AE54,Errors!$D:$D,Analysis!$AJ$2)</f>
        <v>0</v>
      </c>
      <c r="AK25" s="34">
        <f>COUNTIFS(Errors!$F:$F,Analysis!$AE54,Errors!$D:$D,Analysis!$AK$2)</f>
        <v>0</v>
      </c>
      <c r="AL25" s="34">
        <f>COUNTIFS(Errors!$F:$F,Analysis!$AE54,Errors!$D:$D,Analysis!$AL$2)</f>
        <v>0</v>
      </c>
      <c r="AM25" s="34">
        <f>COUNTIFS(Errors!$F:$F,Analysis!$AE54,Errors!$D:$D,Analysis!$AM$2)</f>
        <v>0</v>
      </c>
      <c r="AN25" s="34">
        <f>COUNTIFS(Errors!$F:$F,Analysis!$AE54,Errors!$D:$D,Analysis!$AN$2)</f>
        <v>0</v>
      </c>
      <c r="AO25" s="34">
        <f>COUNTIFS(Errors!$F:$F,Analysis!$AE54,Errors!$D:$D,Analysis!$AO$2)</f>
        <v>0</v>
      </c>
      <c r="AP25" s="34">
        <f>COUNTIFS(Errors!$F:$F,Analysis!$AE54,Errors!$D:$D,Analysis!$AP$2)</f>
        <v>0</v>
      </c>
      <c r="AQ25" s="34">
        <f>COUNTIFS(Errors!$F:$F,Analysis!$AE54,Errors!$D:$D,Analysis!$AQ$2)</f>
        <v>0</v>
      </c>
      <c r="AR25" s="34">
        <f>COUNTIFS(Errors!$F:$F,Analysis!$AE54,Errors!$D:$D,Analysis!$AR$2)</f>
        <v>0</v>
      </c>
      <c r="AS25" s="34">
        <f>COUNTIFS(Errors!$F:$F,Analysis!$AE54,Errors!$D:$D,Analysis!$AS$2)</f>
        <v>0</v>
      </c>
      <c r="AT25" s="34">
        <f>COUNTIFS(Errors!$F:$F,Analysis!$AE54,Errors!$D:$D,Analysis!$AT$2)</f>
        <v>0</v>
      </c>
      <c r="AU25" s="34">
        <f>COUNTIFS(Errors!$F:$F,Analysis!$AE54,Errors!$D:$D,Analysis!$AU$2)</f>
        <v>0</v>
      </c>
      <c r="AV25" s="34">
        <f>COUNTIFS(Errors!$F:$F,Analysis!$AE54,Errors!$D:$D,Analysis!$AV$2)</f>
        <v>0</v>
      </c>
      <c r="AW25" s="34">
        <f>COUNTIFS(Errors!$F:$F,Analysis!$AE54,Errors!$D:$D,Analysis!$AW$2)</f>
        <v>0</v>
      </c>
      <c r="AX25" s="34">
        <f>COUNTIFS(Errors!$F:$F,Analysis!$AE54,Errors!$D:$D,Analysis!$AX$2)</f>
        <v>0</v>
      </c>
      <c r="AY25" s="34">
        <f>COUNTIFS(Errors!$F:$F,Analysis!$AE54,Errors!$D:$D,Analysis!$AY$2)</f>
        <v>0</v>
      </c>
      <c r="AZ25" s="34">
        <f>COUNTIFS(Errors!$F:$F,Analysis!$AE54,Errors!$D:$D,Analysis!$AZ$2)</f>
        <v>0</v>
      </c>
      <c r="BA25" s="34">
        <f>COUNTIFS(Errors!$F:$F,Analysis!$AE54,Errors!$D:$D,Analysis!$BA$2)</f>
        <v>0</v>
      </c>
      <c r="BB25" s="34">
        <f>COUNTIFS(Errors!$F:$F,Analysis!$AE54,Errors!$D:$D,Analysis!$BB$2)</f>
        <v>0</v>
      </c>
      <c r="BC25" s="34">
        <f>COUNTIFS(Errors!$F:$F,Analysis!$AE54,Errors!$D:$D,Analysis!$BC$2)</f>
        <v>0</v>
      </c>
      <c r="BD25" s="34">
        <f>COUNTIFS(Errors!$F:$F,Analysis!$AE54,Errors!$D:$D,Analysis!$BD$2)</f>
        <v>0</v>
      </c>
      <c r="BE25" s="34">
        <f>COUNTIFS(Errors!$F:$F,Analysis!$AE54,Errors!$D:$D,Analysis!$BE$2)</f>
        <v>0</v>
      </c>
      <c r="BF25" s="34">
        <f>COUNTIFS(Errors!$F:$F,Analysis!$AE54,Errors!$D:$D,Analysis!$BF$2)</f>
        <v>0</v>
      </c>
      <c r="BG25" s="34">
        <f>COUNTIFS(Errors!$F:$F,Analysis!$AE54,Errors!$D:$D,Analysis!$BG$2)</f>
        <v>0</v>
      </c>
      <c r="BH25" s="34">
        <f>COUNTIFS(Errors!$F:$F,Analysis!$AE54,Errors!$D:$D,Analysis!$BH$2)</f>
        <v>0</v>
      </c>
      <c r="BI25" s="34">
        <f>COUNTIFS(Errors!$F:$F,Analysis!$AE54,Errors!$D:$D,Analysis!$BI$2)</f>
        <v>0</v>
      </c>
      <c r="BJ25" s="34">
        <f>COUNTIFS(Errors!$F:$F,Analysis!$AE54,Errors!$D:$D,Analysis!$BJ$2)</f>
        <v>0</v>
      </c>
      <c r="BL25" s="55">
        <f t="shared" si="1"/>
        <v>0</v>
      </c>
      <c r="BN25" s="56">
        <f t="shared" si="2"/>
        <v>0</v>
      </c>
      <c r="BO25" s="57"/>
      <c r="BS25" s="35"/>
      <c r="BT25" s="34">
        <f>COUNTIFS(Errors!$D:$D,Analysis!BT$1,Errors!$F:$F,Analysis!$BS25,Errors!$O:$O,"YES")</f>
        <v>0</v>
      </c>
      <c r="BU25" s="34">
        <f>COUNTIFS(Errors!$D:$D,Analysis!BU$1,Errors!$F:$F,Analysis!$BS25,Errors!$O:$O,"YES")</f>
        <v>0</v>
      </c>
      <c r="BV25" s="34">
        <f>COUNTIFS(Errors!$D:$D,Analysis!BV$1,Errors!$F:$F,Analysis!$BS25,Errors!$O:$O,"YES")</f>
        <v>0</v>
      </c>
      <c r="BW25" s="34">
        <f>COUNTIFS(Errors!$D:$D,Analysis!BW$1,Errors!$F:$F,Analysis!$BS25,Errors!$O:$O,"YES")</f>
        <v>0</v>
      </c>
      <c r="BX25" s="34">
        <f>COUNTIFS(Errors!$D:$D,Analysis!BX$1,Errors!$F:$F,Analysis!$BS25,Errors!$O:$O,"YES")</f>
        <v>0</v>
      </c>
      <c r="BY25" s="34">
        <f>COUNTIFS(Errors!$D:$D,Analysis!BY$1,Errors!$F:$F,Analysis!$BS25,Errors!$O:$O,"YES")</f>
        <v>0</v>
      </c>
      <c r="BZ25" s="34">
        <f>COUNTIFS(Errors!$D:$D,Analysis!BZ$1,Errors!$F:$F,Analysis!$BS25,Errors!$O:$O,"YES")</f>
        <v>0</v>
      </c>
      <c r="CA25" s="34">
        <f>COUNTIFS(Errors!$D:$D,Analysis!CA$1,Errors!$F:$F,Analysis!$BS25,Errors!$O:$O,"YES")</f>
        <v>0</v>
      </c>
      <c r="CB25" s="34">
        <f>COUNTIFS(Errors!$D:$D,Analysis!CB$1,Errors!$F:$F,Analysis!$BS25,Errors!$O:$O,"YES")</f>
        <v>0</v>
      </c>
      <c r="CC25" s="34">
        <f>COUNTIFS(Errors!$D:$D,Analysis!CC$1,Errors!$F:$F,Analysis!$BS25,Errors!$O:$O,"YES")</f>
        <v>0</v>
      </c>
      <c r="CD25" s="34">
        <f>COUNTIFS(Errors!$D:$D,Analysis!CD$1,Errors!$F:$F,Analysis!$BS25,Errors!$O:$O,"YES")</f>
        <v>0</v>
      </c>
      <c r="CE25" s="34">
        <f>COUNTIFS(Errors!$D:$D,Analysis!CE$1,Errors!$F:$F,Analysis!$BS25,Errors!$O:$O,"YES")</f>
        <v>0</v>
      </c>
      <c r="CF25" s="34">
        <f>COUNTIFS(Errors!$D:$D,Analysis!CF$1,Errors!$F:$F,Analysis!$BS25,Errors!$O:$O,"YES")</f>
        <v>0</v>
      </c>
      <c r="CG25" s="34">
        <f>COUNTIFS(Errors!$D:$D,Analysis!CG$1,Errors!$F:$F,Analysis!$BS25,Errors!$O:$O,"YES")</f>
        <v>0</v>
      </c>
      <c r="CH25" s="34">
        <f>COUNTIFS(Errors!$D:$D,Analysis!CH$1,Errors!$F:$F,Analysis!$BS25,Errors!$O:$O,"YES")</f>
        <v>0</v>
      </c>
      <c r="CI25" s="34">
        <f>COUNTIFS(Errors!$D:$D,Analysis!CI$1,Errors!$F:$F,Analysis!$BS25,Errors!$O:$O,"YES")</f>
        <v>0</v>
      </c>
      <c r="CJ25" s="34">
        <f>COUNTIFS(Errors!$D:$D,Analysis!CJ$1,Errors!$F:$F,Analysis!$BS25,Errors!$O:$O,"YES")</f>
        <v>0</v>
      </c>
      <c r="CK25" s="34">
        <f>COUNTIFS(Errors!$D:$D,Analysis!CK$1,Errors!$F:$F,Analysis!$BS25,Errors!$O:$O,"YES")</f>
        <v>0</v>
      </c>
      <c r="CL25" s="34">
        <f>COUNTIFS(Errors!$D:$D,Analysis!CL$1,Errors!$F:$F,Analysis!$BS25,Errors!$O:$O,"YES")</f>
        <v>0</v>
      </c>
      <c r="CM25" s="34">
        <f>COUNTIFS(Errors!$D:$D,Analysis!CM$1,Errors!$F:$F,Analysis!$BS25,Errors!$O:$O,"YES")</f>
        <v>0</v>
      </c>
      <c r="CN25" s="34">
        <f>COUNTIFS(Errors!$D:$D,Analysis!CN$1,Errors!$F:$F,Analysis!$BS25,Errors!$O:$O,"YES")</f>
        <v>0</v>
      </c>
      <c r="CO25" s="34">
        <f>COUNTIFS(Errors!$D:$D,Analysis!CO$1,Errors!$F:$F,Analysis!$BS25,Errors!$O:$O,"YES")</f>
        <v>0</v>
      </c>
      <c r="CP25" s="34">
        <f>COUNTIFS(Errors!$D:$D,Analysis!CP$1,Errors!$F:$F,Analysis!$BS25,Errors!$O:$O,"YES")</f>
        <v>0</v>
      </c>
      <c r="CQ25" s="34">
        <f>COUNTIFS(Errors!$D:$D,Analysis!CQ$1,Errors!$F:$F,Analysis!$BS25,Errors!$O:$O,"YES")</f>
        <v>0</v>
      </c>
      <c r="CR25" s="34">
        <f>COUNTIFS(Errors!$D:$D,Analysis!CR$1,Errors!$F:$F,Analysis!$BS25,Errors!$O:$O,"YES")</f>
        <v>0</v>
      </c>
      <c r="CS25" s="34">
        <f>COUNTIFS(Errors!$D:$D,Analysis!CS$1,Errors!$F:$F,Analysis!$BS25,Errors!$O:$O,"YES")</f>
        <v>0</v>
      </c>
      <c r="CT25" s="34">
        <f>COUNTIFS(Errors!$D:$D,Analysis!CT$1,Errors!$F:$F,Analysis!$BS25,Errors!$O:$O,"YES")</f>
        <v>0</v>
      </c>
      <c r="CU25" s="34">
        <f>COUNTIFS(Errors!$D:$D,Analysis!CU$1,Errors!$F:$F,Analysis!$BS25,Errors!$O:$O,"YES")</f>
        <v>0</v>
      </c>
      <c r="CV25" s="34">
        <f>COUNTIFS(Errors!$D:$D,Analysis!CV$1,Errors!$F:$F,Analysis!$BS25,Errors!$O:$O,"YES")</f>
        <v>0</v>
      </c>
      <c r="CW25" s="34">
        <f>COUNTIFS(Errors!$D:$D,Analysis!CW$1,Errors!$F:$F,Analysis!$BS25,Errors!$O:$O,"YES")</f>
        <v>0</v>
      </c>
      <c r="CX25" s="34">
        <f>COUNTIFS(Errors!$D:$D,Analysis!CX$1,Errors!$F:$F,Analysis!$BS25,Errors!$O:$O,"YES")</f>
        <v>0</v>
      </c>
      <c r="CZ25" s="55">
        <f t="shared" si="3"/>
        <v>0</v>
      </c>
      <c r="DB25" s="58">
        <f t="shared" si="4"/>
        <v>0</v>
      </c>
      <c r="DC25" s="57"/>
    </row>
    <row r="26" ht="15.75" customHeight="1">
      <c r="BL26" s="50"/>
      <c r="BN26" s="59"/>
      <c r="BO26" s="50"/>
      <c r="CJ26" s="38"/>
    </row>
    <row r="27" ht="15.75" customHeight="1">
      <c r="J27" s="60"/>
      <c r="K27" s="60"/>
      <c r="AE27" s="61" t="s">
        <v>88</v>
      </c>
      <c r="AF27" s="35">
        <f t="shared" ref="AF27:BJ27" si="7">SUM(AF3:AF25)</f>
        <v>0</v>
      </c>
      <c r="AG27" s="35">
        <f t="shared" si="7"/>
        <v>0</v>
      </c>
      <c r="AH27" s="35">
        <f t="shared" si="7"/>
        <v>0</v>
      </c>
      <c r="AI27" s="35">
        <f t="shared" si="7"/>
        <v>0</v>
      </c>
      <c r="AJ27" s="35">
        <f t="shared" si="7"/>
        <v>0</v>
      </c>
      <c r="AK27" s="35">
        <f t="shared" si="7"/>
        <v>0</v>
      </c>
      <c r="AL27" s="35">
        <f t="shared" si="7"/>
        <v>0</v>
      </c>
      <c r="AM27" s="35">
        <f t="shared" si="7"/>
        <v>0</v>
      </c>
      <c r="AN27" s="35">
        <f t="shared" si="7"/>
        <v>0</v>
      </c>
      <c r="AO27" s="35">
        <f t="shared" si="7"/>
        <v>0</v>
      </c>
      <c r="AP27" s="35">
        <f t="shared" si="7"/>
        <v>0</v>
      </c>
      <c r="AQ27" s="35">
        <f t="shared" si="7"/>
        <v>0</v>
      </c>
      <c r="AR27" s="35">
        <f t="shared" si="7"/>
        <v>0</v>
      </c>
      <c r="AS27" s="35">
        <f t="shared" si="7"/>
        <v>0</v>
      </c>
      <c r="AT27" s="35">
        <f t="shared" si="7"/>
        <v>0</v>
      </c>
      <c r="AU27" s="35">
        <f t="shared" si="7"/>
        <v>0</v>
      </c>
      <c r="AV27" s="35">
        <f t="shared" si="7"/>
        <v>0</v>
      </c>
      <c r="AW27" s="35">
        <f t="shared" si="7"/>
        <v>0</v>
      </c>
      <c r="AX27" s="35">
        <f t="shared" si="7"/>
        <v>0</v>
      </c>
      <c r="AY27" s="35">
        <f t="shared" si="7"/>
        <v>0</v>
      </c>
      <c r="AZ27" s="35">
        <f t="shared" si="7"/>
        <v>0</v>
      </c>
      <c r="BA27" s="35">
        <f t="shared" si="7"/>
        <v>0</v>
      </c>
      <c r="BB27" s="35">
        <f t="shared" si="7"/>
        <v>0</v>
      </c>
      <c r="BC27" s="35">
        <f t="shared" si="7"/>
        <v>0</v>
      </c>
      <c r="BD27" s="35">
        <f t="shared" si="7"/>
        <v>0</v>
      </c>
      <c r="BE27" s="35">
        <f t="shared" si="7"/>
        <v>0</v>
      </c>
      <c r="BF27" s="35">
        <f t="shared" si="7"/>
        <v>0</v>
      </c>
      <c r="BG27" s="35">
        <f t="shared" si="7"/>
        <v>0</v>
      </c>
      <c r="BH27" s="35">
        <f t="shared" si="7"/>
        <v>0</v>
      </c>
      <c r="BI27" s="35">
        <f t="shared" si="7"/>
        <v>0</v>
      </c>
      <c r="BJ27" s="35">
        <f t="shared" si="7"/>
        <v>0</v>
      </c>
      <c r="BL27" s="62">
        <f>SUM(AF27:BJ27)</f>
        <v>0</v>
      </c>
      <c r="BN27" s="63" t="s">
        <v>89</v>
      </c>
      <c r="BO27" s="50"/>
      <c r="BS27" s="61" t="s">
        <v>90</v>
      </c>
      <c r="BT27" s="35">
        <f t="shared" ref="BT27:CX27" si="8">SUM(BT3:BT25)</f>
        <v>0</v>
      </c>
      <c r="BU27" s="35">
        <f t="shared" si="8"/>
        <v>0</v>
      </c>
      <c r="BV27" s="35">
        <f t="shared" si="8"/>
        <v>0</v>
      </c>
      <c r="BW27" s="35">
        <f t="shared" si="8"/>
        <v>0</v>
      </c>
      <c r="BX27" s="35">
        <f t="shared" si="8"/>
        <v>0</v>
      </c>
      <c r="BY27" s="35">
        <f t="shared" si="8"/>
        <v>0</v>
      </c>
      <c r="BZ27" s="35">
        <f t="shared" si="8"/>
        <v>0</v>
      </c>
      <c r="CA27" s="35">
        <f t="shared" si="8"/>
        <v>0</v>
      </c>
      <c r="CB27" s="35">
        <f t="shared" si="8"/>
        <v>0</v>
      </c>
      <c r="CC27" s="35">
        <f t="shared" si="8"/>
        <v>0</v>
      </c>
      <c r="CD27" s="35">
        <f t="shared" si="8"/>
        <v>0</v>
      </c>
      <c r="CE27" s="35">
        <f t="shared" si="8"/>
        <v>0</v>
      </c>
      <c r="CF27" s="35">
        <f t="shared" si="8"/>
        <v>0</v>
      </c>
      <c r="CG27" s="35">
        <f t="shared" si="8"/>
        <v>0</v>
      </c>
      <c r="CH27" s="35">
        <f t="shared" si="8"/>
        <v>0</v>
      </c>
      <c r="CI27" s="35">
        <f t="shared" si="8"/>
        <v>0</v>
      </c>
      <c r="CJ27" s="35">
        <f t="shared" si="8"/>
        <v>0</v>
      </c>
      <c r="CK27" s="35">
        <f t="shared" si="8"/>
        <v>0</v>
      </c>
      <c r="CL27" s="35">
        <f t="shared" si="8"/>
        <v>0</v>
      </c>
      <c r="CM27" s="35">
        <f t="shared" si="8"/>
        <v>0</v>
      </c>
      <c r="CN27" s="35">
        <f t="shared" si="8"/>
        <v>0</v>
      </c>
      <c r="CO27" s="35">
        <f t="shared" si="8"/>
        <v>0</v>
      </c>
      <c r="CP27" s="35">
        <f t="shared" si="8"/>
        <v>0</v>
      </c>
      <c r="CQ27" s="35">
        <f t="shared" si="8"/>
        <v>0</v>
      </c>
      <c r="CR27" s="35">
        <f t="shared" si="8"/>
        <v>0</v>
      </c>
      <c r="CS27" s="35">
        <f t="shared" si="8"/>
        <v>0</v>
      </c>
      <c r="CT27" s="35">
        <f t="shared" si="8"/>
        <v>0</v>
      </c>
      <c r="CU27" s="35">
        <f t="shared" si="8"/>
        <v>0</v>
      </c>
      <c r="CV27" s="35">
        <f t="shared" si="8"/>
        <v>0</v>
      </c>
      <c r="CW27" s="35">
        <f t="shared" si="8"/>
        <v>0</v>
      </c>
      <c r="CX27" s="35">
        <f t="shared" si="8"/>
        <v>0</v>
      </c>
      <c r="CZ27" s="64">
        <f>SUM(BT27:CX27)</f>
        <v>0</v>
      </c>
    </row>
    <row r="28" ht="15.75" customHeight="1">
      <c r="B28" s="1" t="s">
        <v>91</v>
      </c>
      <c r="C28" s="2"/>
      <c r="D28" s="2"/>
      <c r="E28" s="3"/>
      <c r="G28" s="1" t="s">
        <v>92</v>
      </c>
      <c r="H28" s="2"/>
      <c r="I28" s="3"/>
      <c r="M28" s="1" t="s">
        <v>93</v>
      </c>
      <c r="N28" s="2"/>
      <c r="O28" s="2"/>
      <c r="P28" s="2"/>
      <c r="Q28" s="2"/>
      <c r="R28" s="3"/>
      <c r="AE28" s="61" t="s">
        <v>94</v>
      </c>
      <c r="AF28" s="35">
        <f t="shared" ref="AF28:BJ28" si="9">AVERAGE(AF3:AF25)</f>
        <v>0</v>
      </c>
      <c r="AG28" s="35">
        <f t="shared" si="9"/>
        <v>0</v>
      </c>
      <c r="AH28" s="35">
        <f t="shared" si="9"/>
        <v>0</v>
      </c>
      <c r="AI28" s="35">
        <f t="shared" si="9"/>
        <v>0</v>
      </c>
      <c r="AJ28" s="35">
        <f t="shared" si="9"/>
        <v>0</v>
      </c>
      <c r="AK28" s="35">
        <f t="shared" si="9"/>
        <v>0</v>
      </c>
      <c r="AL28" s="35">
        <f t="shared" si="9"/>
        <v>0</v>
      </c>
      <c r="AM28" s="35">
        <f t="shared" si="9"/>
        <v>0</v>
      </c>
      <c r="AN28" s="35">
        <f t="shared" si="9"/>
        <v>0</v>
      </c>
      <c r="AO28" s="35">
        <f t="shared" si="9"/>
        <v>0</v>
      </c>
      <c r="AP28" s="35">
        <f t="shared" si="9"/>
        <v>0</v>
      </c>
      <c r="AQ28" s="35">
        <f t="shared" si="9"/>
        <v>0</v>
      </c>
      <c r="AR28" s="35">
        <f t="shared" si="9"/>
        <v>0</v>
      </c>
      <c r="AS28" s="35">
        <f t="shared" si="9"/>
        <v>0</v>
      </c>
      <c r="AT28" s="35">
        <f t="shared" si="9"/>
        <v>0</v>
      </c>
      <c r="AU28" s="35">
        <f t="shared" si="9"/>
        <v>0</v>
      </c>
      <c r="AV28" s="35">
        <f t="shared" si="9"/>
        <v>0</v>
      </c>
      <c r="AW28" s="35">
        <f t="shared" si="9"/>
        <v>0</v>
      </c>
      <c r="AX28" s="35">
        <f t="shared" si="9"/>
        <v>0</v>
      </c>
      <c r="AY28" s="35">
        <f t="shared" si="9"/>
        <v>0</v>
      </c>
      <c r="AZ28" s="35">
        <f t="shared" si="9"/>
        <v>0</v>
      </c>
      <c r="BA28" s="35">
        <f t="shared" si="9"/>
        <v>0</v>
      </c>
      <c r="BB28" s="35">
        <f t="shared" si="9"/>
        <v>0</v>
      </c>
      <c r="BC28" s="35">
        <f t="shared" si="9"/>
        <v>0</v>
      </c>
      <c r="BD28" s="35">
        <f t="shared" si="9"/>
        <v>0</v>
      </c>
      <c r="BE28" s="35">
        <f t="shared" si="9"/>
        <v>0</v>
      </c>
      <c r="BF28" s="35">
        <f t="shared" si="9"/>
        <v>0</v>
      </c>
      <c r="BG28" s="35">
        <f t="shared" si="9"/>
        <v>0</v>
      </c>
      <c r="BH28" s="35">
        <f t="shared" si="9"/>
        <v>0</v>
      </c>
      <c r="BI28" s="35">
        <f t="shared" si="9"/>
        <v>0</v>
      </c>
      <c r="BJ28" s="35">
        <f t="shared" si="9"/>
        <v>0</v>
      </c>
      <c r="BL28" s="65"/>
      <c r="BN28" s="66"/>
      <c r="BO28" s="67" t="s">
        <v>23</v>
      </c>
      <c r="BS28" s="61" t="s">
        <v>95</v>
      </c>
      <c r="BT28" s="35">
        <f t="shared" ref="BT28:CX28" si="10">AVERAGE(BT3:BT25)</f>
        <v>0</v>
      </c>
      <c r="BU28" s="35">
        <f t="shared" si="10"/>
        <v>0</v>
      </c>
      <c r="BV28" s="35">
        <f t="shared" si="10"/>
        <v>0</v>
      </c>
      <c r="BW28" s="35">
        <f t="shared" si="10"/>
        <v>0</v>
      </c>
      <c r="BX28" s="68">
        <f t="shared" si="10"/>
        <v>0</v>
      </c>
      <c r="BY28" s="68">
        <f t="shared" si="10"/>
        <v>0</v>
      </c>
      <c r="BZ28" s="68">
        <f t="shared" si="10"/>
        <v>0</v>
      </c>
      <c r="CA28" s="68">
        <f t="shared" si="10"/>
        <v>0</v>
      </c>
      <c r="CB28" s="68">
        <f t="shared" si="10"/>
        <v>0</v>
      </c>
      <c r="CC28" s="68">
        <f t="shared" si="10"/>
        <v>0</v>
      </c>
      <c r="CD28" s="68">
        <f t="shared" si="10"/>
        <v>0</v>
      </c>
      <c r="CE28" s="68">
        <f t="shared" si="10"/>
        <v>0</v>
      </c>
      <c r="CF28" s="68">
        <f t="shared" si="10"/>
        <v>0</v>
      </c>
      <c r="CG28" s="68">
        <f t="shared" si="10"/>
        <v>0</v>
      </c>
      <c r="CH28" s="68">
        <f t="shared" si="10"/>
        <v>0</v>
      </c>
      <c r="CI28" s="68">
        <f t="shared" si="10"/>
        <v>0</v>
      </c>
      <c r="CJ28" s="68">
        <f t="shared" si="10"/>
        <v>0</v>
      </c>
      <c r="CK28" s="68">
        <f t="shared" si="10"/>
        <v>0</v>
      </c>
      <c r="CL28" s="68">
        <f t="shared" si="10"/>
        <v>0</v>
      </c>
      <c r="CM28" s="68">
        <f t="shared" si="10"/>
        <v>0</v>
      </c>
      <c r="CN28" s="68">
        <f t="shared" si="10"/>
        <v>0</v>
      </c>
      <c r="CO28" s="68">
        <f t="shared" si="10"/>
        <v>0</v>
      </c>
      <c r="CP28" s="68">
        <f t="shared" si="10"/>
        <v>0</v>
      </c>
      <c r="CQ28" s="68">
        <f t="shared" si="10"/>
        <v>0</v>
      </c>
      <c r="CR28" s="68">
        <f t="shared" si="10"/>
        <v>0</v>
      </c>
      <c r="CS28" s="68">
        <f t="shared" si="10"/>
        <v>0</v>
      </c>
      <c r="CT28" s="68">
        <f t="shared" si="10"/>
        <v>0</v>
      </c>
      <c r="CU28" s="68">
        <f t="shared" si="10"/>
        <v>0</v>
      </c>
      <c r="CV28" s="68">
        <f t="shared" si="10"/>
        <v>0</v>
      </c>
      <c r="CW28" s="68">
        <f t="shared" si="10"/>
        <v>0</v>
      </c>
      <c r="CX28" s="68">
        <f t="shared" si="10"/>
        <v>0</v>
      </c>
    </row>
    <row r="29" ht="44.25" customHeight="1">
      <c r="B29" s="14" t="s">
        <v>96</v>
      </c>
      <c r="C29" s="69" t="s">
        <v>86</v>
      </c>
      <c r="D29" s="70" t="s">
        <v>97</v>
      </c>
      <c r="E29" s="70" t="s">
        <v>98</v>
      </c>
      <c r="G29" s="71" t="s">
        <v>96</v>
      </c>
      <c r="H29" s="71" t="s">
        <v>99</v>
      </c>
      <c r="I29" s="17" t="s">
        <v>100</v>
      </c>
      <c r="M29" s="14" t="s">
        <v>96</v>
      </c>
      <c r="N29" s="69" t="s">
        <v>87</v>
      </c>
      <c r="O29" s="70" t="s">
        <v>101</v>
      </c>
      <c r="P29" s="70" t="s">
        <v>102</v>
      </c>
      <c r="Q29" s="70" t="s">
        <v>21</v>
      </c>
      <c r="R29" s="70" t="s">
        <v>22</v>
      </c>
      <c r="BL29" s="72" t="s">
        <v>103</v>
      </c>
      <c r="BN29" s="66"/>
      <c r="BO29" s="73"/>
      <c r="CZ29" s="74" t="s">
        <v>6</v>
      </c>
      <c r="DB29" s="75" t="s">
        <v>7</v>
      </c>
      <c r="DC29" s="76" t="s">
        <v>23</v>
      </c>
    </row>
    <row r="30" ht="18.75" customHeight="1">
      <c r="B30" s="35" t="s">
        <v>104</v>
      </c>
      <c r="C30" s="33">
        <f>COUNTIF(Errors!$J$3:$J$3008,"Bacc")</f>
        <v>111</v>
      </c>
      <c r="D30" s="77">
        <f>COUNTIFS(Errors!$J$3:$J$3008,"Bacc",Errors!$I$3:$I$3008,"TV*")</f>
        <v>44</v>
      </c>
      <c r="E30" s="77">
        <f>COUNTIFS(Errors!$J$3:$J$3008,"Bacc",Errors!$I$3:$I$3008,"&lt;&gt;TV*")</f>
        <v>67</v>
      </c>
      <c r="G30" s="35" t="s">
        <v>104</v>
      </c>
      <c r="H30" s="34">
        <f>COUNTIFS(Errors!$J$3:$J$3008,"Bacc",Errors!I3:I3008,"&lt;&gt;TV*")</f>
        <v>67</v>
      </c>
      <c r="I30" s="78">
        <f>($H30/COUNTA(SourceData!$J:$J))</f>
        <v>0.4785714286</v>
      </c>
      <c r="M30" s="35" t="s">
        <v>104</v>
      </c>
      <c r="N30" s="33">
        <f>COUNTIFS(Errors!$O$3:$O$3008,"Yes",Errors!$J$3:$J$3008,"Bacc")+COUNTIFS(Errors!$P$3:$P$3008,"Yes",Errors!$J$3:$J$3008,"Bacc")</f>
        <v>13</v>
      </c>
      <c r="O30" s="77">
        <f>COUNTIFS(Errors!$O$3:$O$3008,"Yes",Errors!$I$3:$I$3008,"TV*",Errors!$J$3:$J$3008,"Bacc")+COUNTIFS(Errors!$P$3:$P$3008,"Yes",Errors!$I$3:$I$3008,"TV*",Errors!$J$3:$J$3008,"Bacc")</f>
        <v>4</v>
      </c>
      <c r="P30" s="77">
        <f>$N$30-$O$30</f>
        <v>9</v>
      </c>
      <c r="Q30" s="35">
        <f>COUNTIFS(Errors!$J$3:$J$3008,"Bacc",Errors!$O$3:$O$3008,"Yes")</f>
        <v>9</v>
      </c>
      <c r="R30" s="35">
        <f>COUNTIFS(Errors!$J$3:$J$3008,"Bacc",Errors!$P$3:$P$3008,"Yes")</f>
        <v>4</v>
      </c>
      <c r="AF30" s="60" t="s">
        <v>105</v>
      </c>
      <c r="BL30" s="66"/>
      <c r="BN30" s="66"/>
      <c r="BO30" s="73"/>
      <c r="BT30" s="60" t="s">
        <v>106</v>
      </c>
      <c r="CZ30" s="66"/>
      <c r="DB30" s="66"/>
      <c r="DC30" s="66"/>
    </row>
    <row r="31" ht="16.5" customHeight="1">
      <c r="B31" s="35" t="s">
        <v>107</v>
      </c>
      <c r="C31" s="33">
        <f>COUNTIF(Errors!$J$3:$J$3008,"Rou")</f>
        <v>101</v>
      </c>
      <c r="D31" s="77">
        <f>COUNTIFS(Errors!$J$3:$J$3008,"Rou",Errors!$I$3:$I$3008,"TV*")</f>
        <v>14</v>
      </c>
      <c r="E31" s="77">
        <f>COUNTIFS(Errors!$J$3:$J$3008,"Rou",Errors!$I$3:$I$3008,"&lt;&gt;TV*")</f>
        <v>87</v>
      </c>
      <c r="G31" s="35" t="s">
        <v>107</v>
      </c>
      <c r="H31" s="34">
        <f>COUNTIFS(Errors!$J$3:$J$3008,"Rou",Errors!$I$3:$I$3008,"&lt;&gt;TV*")</f>
        <v>87</v>
      </c>
      <c r="I31" s="78">
        <f>($H31/COUNTA(SourceData!$J:$J))</f>
        <v>0.6214285714</v>
      </c>
      <c r="M31" s="35" t="s">
        <v>107</v>
      </c>
      <c r="N31" s="33">
        <f>COUNTIFS(Errors!$O$3:$O$3008,"Yes",Errors!$J$3:$J$3008,"Rou")+COUNTIFS(Errors!$P$3:$P$3008,"Yes",Errors!$J$3:$J$3008,"Rou")</f>
        <v>89</v>
      </c>
      <c r="O31" s="77">
        <f>COUNTIFS(Errors!$O$3:$O$3008,"Yes",Errors!$I$3:$I$3008,"TV*",Errors!$J$3:$J$3008,"Rou")+COUNTIFS(Errors!$P$3:$P$3008,"Yes",Errors!$I$3:$I$3008,"TV*",Errors!$J$3:$J$3008,"ROu")</f>
        <v>3</v>
      </c>
      <c r="P31" s="77">
        <f>N31-$O$31</f>
        <v>86</v>
      </c>
      <c r="Q31" s="35">
        <f>COUNTIFS(Errors!$J$3:$J$3008,"Rou",Errors!$O$3:$O$3008,"Yes")</f>
        <v>80</v>
      </c>
      <c r="R31" s="35">
        <f>COUNTIFS(Errors!$J$3:$J$3008,"Rou",Errors!$P$3:$P$3008,"Yes")</f>
        <v>9</v>
      </c>
      <c r="AE31" s="18" t="s">
        <v>23</v>
      </c>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L31" s="27"/>
      <c r="BN31" s="27"/>
      <c r="BO31" s="79"/>
      <c r="BS31" s="18" t="s">
        <v>23</v>
      </c>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Z31" s="80"/>
      <c r="DB31" s="80"/>
      <c r="DC31" s="80"/>
    </row>
    <row r="32" ht="18.75" customHeight="1">
      <c r="B32" s="81"/>
      <c r="C32" s="33">
        <f>COUNTIF(Errors!$J$3:$J$3008,"Sic Bo")</f>
        <v>0</v>
      </c>
      <c r="D32" s="77">
        <f>COUNTIFS(Errors!$J$3:$J$3008,"Sic Bo",Errors!$I$3:$I$3008,"TV*")</f>
        <v>0</v>
      </c>
      <c r="E32" s="77">
        <f>COUNTIFS(Errors!$J$3:$J$3008,"Sic Bo",Errors!$I$3:$I$3008,"&lt;&gt;TV*")</f>
        <v>0</v>
      </c>
      <c r="G32" s="35" t="s">
        <v>108</v>
      </c>
      <c r="H32" s="34">
        <f>COUNTIFS(Errors!$J$3:$J$3008,"Sic Bo",Errors!$I$3:$I$3008,"&lt;&gt;TV*")</f>
        <v>0</v>
      </c>
      <c r="I32" s="78">
        <f>($H32/COUNTA(SourceData!$J:$J))</f>
        <v>0</v>
      </c>
      <c r="M32" s="81" t="s">
        <v>108</v>
      </c>
      <c r="N32" s="33">
        <f>COUNTIFS(Errors!$O$3:$O$3008,"Yes",Errors!$J$3:$J$3008,"Sic Bo")+COUNTIFS(Errors!$P$3:$P$3008,"Yes",Errors!$J$3:$J$3008,"Sic Bo")</f>
        <v>0</v>
      </c>
      <c r="O32" s="77">
        <f>COUNTIFS(Errors!$O$3:$O$3008,"Yes",Errors!$I$3:$I$3008,"TV*",Errors!$J$3:$J$3008,"Sic Bo")+COUNTIFS(Errors!$P$3:$P$3008,"Yes",Errors!$I$3:$I$3008,"TV*",Errors!$J$3:$J$3008,"Sic Bo")</f>
        <v>0</v>
      </c>
      <c r="P32" s="82">
        <f>N32-$O$32</f>
        <v>0</v>
      </c>
      <c r="Q32" s="35">
        <f>COUNTIFS(Errors!$J$3:$J$3008,"Sic Bo",Errors!$O$3:$O$3008,"Yes")</f>
        <v>0</v>
      </c>
      <c r="R32" s="35">
        <f>COUNTIFS(Errors!$J$3:$J$3008,"Sic Bo",Errors!$P$3:$P$3008,"Yes")</f>
        <v>0</v>
      </c>
      <c r="AE32" s="35"/>
      <c r="AF32" s="34">
        <f>COUNTIFS(Errors!$F:$F,Analysis!$AE32,Errors!$D:$D,Analysis!$AF$2,Errors!$I:$I,"TV*")</f>
        <v>0</v>
      </c>
      <c r="AG32" s="34">
        <f>COUNTIFS(Errors!$F:$F,Analysis!$AE32,Errors!$D:$D,Analysis!$AG$2,Errors!$I:$I,"TV*")</f>
        <v>0</v>
      </c>
      <c r="AH32" s="34">
        <f>COUNTIFS(Errors!$F:$F,Analysis!$AE32,Errors!$D:$D,Analysis!$AH$2,Errors!$I:$I,"TV*")</f>
        <v>0</v>
      </c>
      <c r="AI32" s="34">
        <f>COUNTIFS(Errors!$F:$F,Analysis!$AE32,Errors!$D:$D,Analysis!$AI$2,Errors!$I:$I,"TV*")</f>
        <v>0</v>
      </c>
      <c r="AJ32" s="34">
        <f>COUNTIFS(Errors!$F:$F,Analysis!$AE32,Errors!$D:$D,Analysis!$AJ$2,Errors!$I:$I,"TV*")</f>
        <v>0</v>
      </c>
      <c r="AK32" s="34">
        <f>COUNTIFS(Errors!$F:$F,Analysis!$AE32,Errors!$D:$D,Analysis!$AK$2,Errors!$I:$I,"TV*")</f>
        <v>0</v>
      </c>
      <c r="AL32" s="34">
        <f>COUNTIFS(Errors!$F:$F,Analysis!$AE32,Errors!$D:$D,Analysis!$AL$2,Errors!$I:$I,"TV*")</f>
        <v>0</v>
      </c>
      <c r="AM32" s="34">
        <f>COUNTIFS(Errors!$F:$F,Analysis!$AE32,Errors!$D:$D,Analysis!$AM$2,Errors!$I:$I,"TV*")</f>
        <v>0</v>
      </c>
      <c r="AN32" s="34">
        <f>COUNTIFS(Errors!$F:$F,Analysis!$AE32,Errors!$D:$D,Analysis!$AN$2,Errors!$I:$I,"TV*")</f>
        <v>0</v>
      </c>
      <c r="AO32" s="34">
        <f>COUNTIFS(Errors!$F:$F,Analysis!$AE32,Errors!$D:$D,Analysis!$AO$2,Errors!$I:$I,"TV*")</f>
        <v>0</v>
      </c>
      <c r="AP32" s="34">
        <f>COUNTIFS(Errors!$F:$F,Analysis!$AE32,Errors!$D:$D,Analysis!$AP$2,Errors!$I:$I,"TV*")</f>
        <v>0</v>
      </c>
      <c r="AQ32" s="34">
        <f>COUNTIFS(Errors!$F:$F,Analysis!$AE32,Errors!$D:$D,Analysis!$AQ$2,Errors!$I:$I,"TV*")</f>
        <v>0</v>
      </c>
      <c r="AR32" s="34">
        <f>COUNTIFS(Errors!$F:$F,Analysis!$AE32,Errors!$D:$D,Analysis!$AR$2,Errors!$I:$I,"TV*")</f>
        <v>0</v>
      </c>
      <c r="AS32" s="34">
        <f>COUNTIFS(Errors!$F:$F,Analysis!$AE32,Errors!$D:$D,Analysis!$AS$2,Errors!$I:$I,"TV*")</f>
        <v>0</v>
      </c>
      <c r="AT32" s="34">
        <f>COUNTIFS(Errors!$F:$F,Analysis!$AE32,Errors!$D:$D,Analysis!$AT$2,Errors!$I:$I,"TV*")</f>
        <v>0</v>
      </c>
      <c r="AU32" s="34">
        <f>COUNTIFS(Errors!$F:$F,Analysis!$AE32,Errors!$D:$D,Analysis!$AU$2,Errors!$I:$I,"TV*")</f>
        <v>0</v>
      </c>
      <c r="AV32" s="34">
        <f>COUNTIFS(Errors!$F:$F,Analysis!$AE32,Errors!$D:$D,Analysis!$AV$2,Errors!$I:$I,"TV*")</f>
        <v>0</v>
      </c>
      <c r="AW32" s="34">
        <f>COUNTIFS(Errors!$F:$F,Analysis!$AE32,Errors!$D:$D,Analysis!$AW$2,Errors!$I:$I,"TV*")</f>
        <v>0</v>
      </c>
      <c r="AX32" s="34">
        <f>COUNTIFS(Errors!$F:$F,Analysis!$AE32,Errors!$D:$D,Analysis!$AX$2,Errors!$I:$I,"TV*")</f>
        <v>0</v>
      </c>
      <c r="AY32" s="34">
        <f>COUNTIFS(Errors!$F:$F,Analysis!$AE32,Errors!$D:$D,Analysis!$AY$2,Errors!$I:$I,"TV*")</f>
        <v>0</v>
      </c>
      <c r="AZ32" s="34">
        <f>COUNTIFS(Errors!$F:$F,Analysis!$AE32,Errors!$D:$D,Analysis!$AZ$2,Errors!$I:$I,"TV*")</f>
        <v>0</v>
      </c>
      <c r="BA32" s="34">
        <f>COUNTIFS(Errors!$F:$F,Analysis!$AE32,Errors!$D:$D,Analysis!$BA$2,Errors!$I:$I,"TV*")</f>
        <v>0</v>
      </c>
      <c r="BB32" s="34">
        <f>COUNTIFS(Errors!$F:$F,Analysis!$AE32,Errors!$D:$D,Analysis!$BB$2,Errors!$I:$I,"TV*")</f>
        <v>0</v>
      </c>
      <c r="BC32" s="34">
        <f>COUNTIFS(Errors!$F:$F,Analysis!$AE32,Errors!$D:$D,Analysis!$BC$2,Errors!$I:$I,"TV*")</f>
        <v>0</v>
      </c>
      <c r="BD32" s="34">
        <f>COUNTIFS(Errors!$F:$F,Analysis!$AE32,Errors!$D:$D,Analysis!$BD$2,Errors!$I:$I,"TV*")</f>
        <v>0</v>
      </c>
      <c r="BE32" s="34">
        <f>COUNTIFS(Errors!$F:$F,Analysis!$AE32,Errors!$D:$D,Analysis!$BE$2,Errors!$I:$I,"TV*")</f>
        <v>0</v>
      </c>
      <c r="BF32" s="34">
        <f>COUNTIFS(Errors!$F:$F,Analysis!$AE32,Errors!$D:$D,Analysis!$BF$2,Errors!$I:$I,"TV*")</f>
        <v>0</v>
      </c>
      <c r="BG32" s="34">
        <f>COUNTIFS(Errors!$F:$F,Analysis!$AE32,Errors!$D:$D,Analysis!$BG$2,Errors!$I:$I,"TV*")</f>
        <v>0</v>
      </c>
      <c r="BH32" s="34">
        <f>COUNTIFS(Errors!$F:$F,Analysis!$AE32,Errors!$D:$D,Analysis!$BH$2,Errors!$I:$I,"TV*")</f>
        <v>0</v>
      </c>
      <c r="BI32" s="34">
        <f>COUNTIFS(Errors!$F:$F,Analysis!$AE32,Errors!$D:$D,Analysis!$BI$2,Errors!$I:$I,"TV*")</f>
        <v>0</v>
      </c>
      <c r="BJ32" s="34">
        <f>COUNTIFS(Errors!$F:$F,Analysis!$AE32,Errors!$D:$D,Analysis!$BJ$2,Errors!$I:$I,"TV*")</f>
        <v>0</v>
      </c>
      <c r="BL32" s="39">
        <f t="shared" ref="BL32:BL53" si="11">SUM(AF32:BJ32)</f>
        <v>0</v>
      </c>
      <c r="BN32" s="83">
        <f t="shared" ref="BN32:BN53" si="12">AVERAGE(AF32:BJ32)</f>
        <v>0</v>
      </c>
      <c r="BO32" s="84" t="s">
        <v>57</v>
      </c>
      <c r="BS32" s="35" t="s">
        <v>57</v>
      </c>
      <c r="BT32" s="34">
        <f>COUNTIFS(Errors!$D:$D,Analysis!BT$1,Errors!$F:$F,Analysis!$BS32,Errors!$P:$P,"YES")</f>
        <v>0</v>
      </c>
      <c r="BU32" s="34">
        <f>COUNTIFS(Errors!$D:$D,Analysis!BU$1,Errors!$F:$F,Analysis!$BS32,Errors!$P:$P,"YES")</f>
        <v>0</v>
      </c>
      <c r="BV32" s="34">
        <f>COUNTIFS(Errors!$D:$D,Analysis!BV$1,Errors!$F:$F,Analysis!$BS32,Errors!$P:$P,"YES")</f>
        <v>0</v>
      </c>
      <c r="BW32" s="34">
        <f>COUNTIFS(Errors!$D:$D,Analysis!BW$1,Errors!$F:$F,Analysis!$BS32,Errors!$P:$P,"YES")</f>
        <v>0</v>
      </c>
      <c r="BX32" s="34">
        <f>COUNTIFS(Errors!$D:$D,Analysis!BX$1,Errors!$F:$F,Analysis!$BS32,Errors!$P:$P,"YES")</f>
        <v>0</v>
      </c>
      <c r="BY32" s="34">
        <f>COUNTIFS(Errors!$D:$D,Analysis!BY$1,Errors!$F:$F,Analysis!$BS32,Errors!$P:$P,"YES")</f>
        <v>0</v>
      </c>
      <c r="BZ32" s="34">
        <f>COUNTIFS(Errors!$D:$D,Analysis!BZ$1,Errors!$F:$F,Analysis!$BS32,Errors!$P:$P,"YES")</f>
        <v>0</v>
      </c>
      <c r="CA32" s="34">
        <f>COUNTIFS(Errors!$D:$D,Analysis!CA$1,Errors!$F:$F,Analysis!$BS32,Errors!$P:$P,"YES")</f>
        <v>0</v>
      </c>
      <c r="CB32" s="34">
        <f>COUNTIFS(Errors!$D:$D,Analysis!CB$1,Errors!$F:$F,Analysis!$BS32,Errors!$P:$P,"YES")</f>
        <v>0</v>
      </c>
      <c r="CC32" s="34">
        <f>COUNTIFS(Errors!$D:$D,Analysis!CC$1,Errors!$F:$F,Analysis!$BS32,Errors!$P:$P,"YES")</f>
        <v>0</v>
      </c>
      <c r="CD32" s="34">
        <f>COUNTIFS(Errors!$D:$D,Analysis!CD$1,Errors!$F:$F,Analysis!$BS32,Errors!$P:$P,"YES")</f>
        <v>0</v>
      </c>
      <c r="CE32" s="34">
        <f>COUNTIFS(Errors!$D:$D,Analysis!CE$1,Errors!$F:$F,Analysis!$BS32,Errors!$P:$P,"YES")</f>
        <v>0</v>
      </c>
      <c r="CF32" s="34">
        <f>COUNTIFS(Errors!$D:$D,Analysis!CF$1,Errors!$F:$F,Analysis!$BS32,Errors!$P:$P,"YES")</f>
        <v>0</v>
      </c>
      <c r="CG32" s="34">
        <f>COUNTIFS(Errors!$D:$D,Analysis!CG$1,Errors!$F:$F,Analysis!$BS32,Errors!$P:$P,"YES")</f>
        <v>0</v>
      </c>
      <c r="CH32" s="34">
        <f>COUNTIFS(Errors!$D:$D,Analysis!CH$1,Errors!$F:$F,Analysis!$BS32,Errors!$P:$P,"YES")</f>
        <v>0</v>
      </c>
      <c r="CI32" s="34">
        <f>COUNTIFS(Errors!$D:$D,Analysis!CI$1,Errors!$F:$F,Analysis!$BS32,Errors!$P:$P,"YES")</f>
        <v>0</v>
      </c>
      <c r="CJ32" s="34">
        <f>COUNTIFS(Errors!$D:$D,Analysis!CJ$1,Errors!$F:$F,Analysis!$BS32,Errors!$P:$P,"YES")</f>
        <v>0</v>
      </c>
      <c r="CK32" s="34">
        <f>COUNTIFS(Errors!$D:$D,Analysis!CK$1,Errors!$F:$F,Analysis!$BS32,Errors!$P:$P,"YES")</f>
        <v>0</v>
      </c>
      <c r="CL32" s="34">
        <f>COUNTIFS(Errors!$D:$D,Analysis!CL$1,Errors!$F:$F,Analysis!$BS32,Errors!$P:$P,"YES")</f>
        <v>0</v>
      </c>
      <c r="CM32" s="34">
        <f>COUNTIFS(Errors!$D:$D,Analysis!CM$1,Errors!$F:$F,Analysis!$BS32,Errors!$P:$P,"YES")</f>
        <v>0</v>
      </c>
      <c r="CN32" s="34">
        <f>COUNTIFS(Errors!$D:$D,Analysis!CN$1,Errors!$F:$F,Analysis!$BS32,Errors!$P:$P,"YES")</f>
        <v>0</v>
      </c>
      <c r="CO32" s="34">
        <f>COUNTIFS(Errors!$D:$D,Analysis!CO$1,Errors!$F:$F,Analysis!$BS32,Errors!$P:$P,"YES")</f>
        <v>0</v>
      </c>
      <c r="CP32" s="34">
        <f>COUNTIFS(Errors!$D:$D,Analysis!CP$1,Errors!$F:$F,Analysis!$BS32,Errors!$P:$P,"YES")</f>
        <v>0</v>
      </c>
      <c r="CQ32" s="34">
        <f>COUNTIFS(Errors!$D:$D,Analysis!CQ$1,Errors!$F:$F,Analysis!$BS32,Errors!$P:$P,"YES")</f>
        <v>0</v>
      </c>
      <c r="CR32" s="34">
        <f>COUNTIFS(Errors!$D:$D,Analysis!CR$1,Errors!$F:$F,Analysis!$BS32,Errors!$P:$P,"YES")</f>
        <v>0</v>
      </c>
      <c r="CS32" s="34">
        <f>COUNTIFS(Errors!$D:$D,Analysis!CS$1,Errors!$F:$F,Analysis!$BS32,Errors!$P:$P,"YES")</f>
        <v>0</v>
      </c>
      <c r="CT32" s="34">
        <f>COUNTIFS(Errors!$D:$D,Analysis!CT$1,Errors!$F:$F,Analysis!$BS32,Errors!$P:$P,"YES")</f>
        <v>0</v>
      </c>
      <c r="CU32" s="34">
        <f>COUNTIFS(Errors!$D:$D,Analysis!CU$1,Errors!$F:$F,Analysis!$BS32,Errors!$P:$P,"YES")</f>
        <v>0</v>
      </c>
      <c r="CV32" s="34">
        <f>COUNTIFS(Errors!$D:$D,Analysis!CV$1,Errors!$F:$F,Analysis!$BS32,Errors!$P:$P,"YES")</f>
        <v>0</v>
      </c>
      <c r="CW32" s="34">
        <f>COUNTIFS(Errors!$D:$D,Analysis!CW$1,Errors!$F:$F,Analysis!$BS32,Errors!$P:$P,"YES")</f>
        <v>0</v>
      </c>
      <c r="CX32" s="34">
        <f>COUNTIFS(Errors!$D:$D,Analysis!CX$1,Errors!$F:$F,Analysis!$BS32,Errors!$P:$P,"YES")</f>
        <v>0</v>
      </c>
      <c r="CZ32" s="85">
        <f t="shared" ref="CZ32:CZ54" si="13">SUM(BT32:CX32)</f>
        <v>0</v>
      </c>
      <c r="DB32" s="42">
        <f t="shared" ref="DB32:DB54" si="14">AVERAGE(BT32:CX32)</f>
        <v>0</v>
      </c>
      <c r="DC32" s="86" t="s">
        <v>57</v>
      </c>
    </row>
    <row r="33" ht="18.75" customHeight="1">
      <c r="B33" s="54" t="s">
        <v>86</v>
      </c>
      <c r="C33" s="87">
        <f>SUM($C$30:$C$32)</f>
        <v>212</v>
      </c>
      <c r="D33" s="88">
        <f>SUM($D$30:$D$32)</f>
        <v>58</v>
      </c>
      <c r="E33" s="88">
        <f>SUM($E$30:$E$32)</f>
        <v>154</v>
      </c>
      <c r="M33" s="54" t="s">
        <v>87</v>
      </c>
      <c r="N33" s="88">
        <f>SUM($N$30:$N$32)</f>
        <v>102</v>
      </c>
      <c r="O33" s="88">
        <f>SUM($O$30:$O$32)</f>
        <v>7</v>
      </c>
      <c r="P33" s="88">
        <f>SUM($P$30:$P$32)</f>
        <v>95</v>
      </c>
      <c r="Q33" s="88">
        <f>SUM($Q$30:$Q$32)</f>
        <v>89</v>
      </c>
      <c r="R33" s="88">
        <f>SUM($R$30:$R$32)</f>
        <v>13</v>
      </c>
      <c r="AE33" s="35"/>
      <c r="AF33" s="34">
        <f>COUNTIFS(Errors!$F:$F,Analysis!$AE33,Errors!$D:$D,Analysis!$AF$2,Errors!$I:$I,"TV*")</f>
        <v>0</v>
      </c>
      <c r="AG33" s="34">
        <f>COUNTIFS(Errors!$F:$F,Analysis!$AE33,Errors!$D:$D,Analysis!$AG$2,Errors!$I:$I,"TV*")</f>
        <v>0</v>
      </c>
      <c r="AH33" s="34">
        <f>COUNTIFS(Errors!$F:$F,Analysis!$AE33,Errors!$D:$D,Analysis!$AH$2,Errors!$I:$I,"TV*")</f>
        <v>0</v>
      </c>
      <c r="AI33" s="34">
        <f>COUNTIFS(Errors!$F:$F,Analysis!$AE33,Errors!$D:$D,Analysis!$AI$2,Errors!$I:$I,"TV*")</f>
        <v>0</v>
      </c>
      <c r="AJ33" s="34">
        <f>COUNTIFS(Errors!$F:$F,Analysis!$AE33,Errors!$D:$D,Analysis!$AJ$2,Errors!$I:$I,"TV*")</f>
        <v>0</v>
      </c>
      <c r="AK33" s="34">
        <f>COUNTIFS(Errors!$F:$F,Analysis!$AE33,Errors!$D:$D,Analysis!$AK$2,Errors!$I:$I,"TV*")</f>
        <v>0</v>
      </c>
      <c r="AL33" s="34">
        <f>COUNTIFS(Errors!$F:$F,Analysis!$AE33,Errors!$D:$D,Analysis!$AL$2,Errors!$I:$I,"TV*")</f>
        <v>0</v>
      </c>
      <c r="AM33" s="34">
        <f>COUNTIFS(Errors!$F:$F,Analysis!$AE33,Errors!$D:$D,Analysis!$AM$2,Errors!$I:$I,"TV*")</f>
        <v>0</v>
      </c>
      <c r="AN33" s="34">
        <f>COUNTIFS(Errors!$F:$F,Analysis!$AE33,Errors!$D:$D,Analysis!$AN$2,Errors!$I:$I,"TV*")</f>
        <v>0</v>
      </c>
      <c r="AO33" s="34">
        <f>COUNTIFS(Errors!$F:$F,Analysis!$AE33,Errors!$D:$D,Analysis!$AO$2,Errors!$I:$I,"TV*")</f>
        <v>0</v>
      </c>
      <c r="AP33" s="34">
        <f>COUNTIFS(Errors!$F:$F,Analysis!$AE33,Errors!$D:$D,Analysis!$AP$2,Errors!$I:$I,"TV*")</f>
        <v>0</v>
      </c>
      <c r="AQ33" s="34">
        <f>COUNTIFS(Errors!$F:$F,Analysis!$AE33,Errors!$D:$D,Analysis!$AQ$2,Errors!$I:$I,"TV*")</f>
        <v>0</v>
      </c>
      <c r="AR33" s="34">
        <f>COUNTIFS(Errors!$F:$F,Analysis!$AE33,Errors!$D:$D,Analysis!$AR$2,Errors!$I:$I,"TV*")</f>
        <v>0</v>
      </c>
      <c r="AS33" s="34">
        <f>COUNTIFS(Errors!$F:$F,Analysis!$AE33,Errors!$D:$D,Analysis!$AS$2,Errors!$I:$I,"TV*")</f>
        <v>0</v>
      </c>
      <c r="AT33" s="34">
        <f>COUNTIFS(Errors!$F:$F,Analysis!$AE33,Errors!$D:$D,Analysis!$AT$2,Errors!$I:$I,"TV*")</f>
        <v>0</v>
      </c>
      <c r="AU33" s="34">
        <f>COUNTIFS(Errors!$F:$F,Analysis!$AE33,Errors!$D:$D,Analysis!$AU$2,Errors!$I:$I,"TV*")</f>
        <v>0</v>
      </c>
      <c r="AV33" s="34">
        <f>COUNTIFS(Errors!$F:$F,Analysis!$AE33,Errors!$D:$D,Analysis!$AV$2,Errors!$I:$I,"TV*")</f>
        <v>0</v>
      </c>
      <c r="AW33" s="34">
        <f>COUNTIFS(Errors!$F:$F,Analysis!$AE33,Errors!$D:$D,Analysis!$AW$2,Errors!$I:$I,"TV*")</f>
        <v>0</v>
      </c>
      <c r="AX33" s="34">
        <f>COUNTIFS(Errors!$F:$F,Analysis!$AE33,Errors!$D:$D,Analysis!$AX$2,Errors!$I:$I,"TV*")</f>
        <v>0</v>
      </c>
      <c r="AY33" s="34">
        <f>COUNTIFS(Errors!$F:$F,Analysis!$AE33,Errors!$D:$D,Analysis!$AY$2,Errors!$I:$I,"TV*")</f>
        <v>0</v>
      </c>
      <c r="AZ33" s="34">
        <f>COUNTIFS(Errors!$F:$F,Analysis!$AE33,Errors!$D:$D,Analysis!$AZ$2,Errors!$I:$I,"TV*")</f>
        <v>0</v>
      </c>
      <c r="BA33" s="34">
        <f>COUNTIFS(Errors!$F:$F,Analysis!$AE33,Errors!$D:$D,Analysis!$BA$2,Errors!$I:$I,"TV*")</f>
        <v>0</v>
      </c>
      <c r="BB33" s="34">
        <f>COUNTIFS(Errors!$F:$F,Analysis!$AE33,Errors!$D:$D,Analysis!$BB$2,Errors!$I:$I,"TV*")</f>
        <v>0</v>
      </c>
      <c r="BC33" s="34">
        <f>COUNTIFS(Errors!$F:$F,Analysis!$AE33,Errors!$D:$D,Analysis!$BC$2,Errors!$I:$I,"TV*")</f>
        <v>0</v>
      </c>
      <c r="BD33" s="34">
        <f>COUNTIFS(Errors!$F:$F,Analysis!$AE33,Errors!$D:$D,Analysis!$BD$2,Errors!$I:$I,"TV*")</f>
        <v>0</v>
      </c>
      <c r="BE33" s="34">
        <f>COUNTIFS(Errors!$F:$F,Analysis!$AE33,Errors!$D:$D,Analysis!$BE$2,Errors!$I:$I,"TV*")</f>
        <v>0</v>
      </c>
      <c r="BF33" s="34">
        <f>COUNTIFS(Errors!$F:$F,Analysis!$AE33,Errors!$D:$D,Analysis!$BF$2,Errors!$I:$I,"TV*")</f>
        <v>0</v>
      </c>
      <c r="BG33" s="34">
        <f>COUNTIFS(Errors!$F:$F,Analysis!$AE33,Errors!$D:$D,Analysis!$BG$2,Errors!$I:$I,"TV*")</f>
        <v>0</v>
      </c>
      <c r="BH33" s="34">
        <f>COUNTIFS(Errors!$F:$F,Analysis!$AE33,Errors!$D:$D,Analysis!$BH$2,Errors!$I:$I,"TV*")</f>
        <v>0</v>
      </c>
      <c r="BI33" s="34">
        <f>COUNTIFS(Errors!$F:$F,Analysis!$AE33,Errors!$D:$D,Analysis!$BI$2,Errors!$I:$I,"TV*")</f>
        <v>0</v>
      </c>
      <c r="BJ33" s="34">
        <f>COUNTIFS(Errors!$F:$F,Analysis!$AE33,Errors!$D:$D,Analysis!$BJ$2,Errors!$I:$I,"TV*")</f>
        <v>0</v>
      </c>
      <c r="BL33" s="39">
        <f t="shared" si="11"/>
        <v>0</v>
      </c>
      <c r="BN33" s="83">
        <f t="shared" si="12"/>
        <v>0</v>
      </c>
      <c r="BO33" s="84" t="s">
        <v>59</v>
      </c>
      <c r="BS33" s="35" t="s">
        <v>59</v>
      </c>
      <c r="BT33" s="34">
        <f>COUNTIFS(Errors!$D:$D,Analysis!BT$1,Errors!$F:$F,Analysis!$BS33,Errors!$P:$P,"YES")</f>
        <v>0</v>
      </c>
      <c r="BU33" s="34">
        <f>COUNTIFS(Errors!$D:$D,Analysis!BU$1,Errors!$F:$F,Analysis!$BS33,Errors!$P:$P,"YES")</f>
        <v>0</v>
      </c>
      <c r="BV33" s="34">
        <f>COUNTIFS(Errors!$D:$D,Analysis!BV$1,Errors!$F:$F,Analysis!$BS33,Errors!$P:$P,"YES")</f>
        <v>0</v>
      </c>
      <c r="BW33" s="34">
        <f>COUNTIFS(Errors!$D:$D,Analysis!BW$1,Errors!$F:$F,Analysis!$BS33,Errors!$P:$P,"YES")</f>
        <v>0</v>
      </c>
      <c r="BX33" s="34">
        <f>COUNTIFS(Errors!$D:$D,Analysis!BX$1,Errors!$F:$F,Analysis!$BS33,Errors!$P:$P,"YES")</f>
        <v>0</v>
      </c>
      <c r="BY33" s="34">
        <f>COUNTIFS(Errors!$D:$D,Analysis!BY$1,Errors!$F:$F,Analysis!$BS33,Errors!$P:$P,"YES")</f>
        <v>0</v>
      </c>
      <c r="BZ33" s="34">
        <f>COUNTIFS(Errors!$D:$D,Analysis!BZ$1,Errors!$F:$F,Analysis!$BS33,Errors!$P:$P,"YES")</f>
        <v>0</v>
      </c>
      <c r="CA33" s="34">
        <f>COUNTIFS(Errors!$D:$D,Analysis!CA$1,Errors!$F:$F,Analysis!$BS33,Errors!$P:$P,"YES")</f>
        <v>0</v>
      </c>
      <c r="CB33" s="34">
        <f>COUNTIFS(Errors!$D:$D,Analysis!CB$1,Errors!$F:$F,Analysis!$BS33,Errors!$P:$P,"YES")</f>
        <v>0</v>
      </c>
      <c r="CC33" s="34">
        <f>COUNTIFS(Errors!$D:$D,Analysis!CC$1,Errors!$F:$F,Analysis!$BS33,Errors!$P:$P,"YES")</f>
        <v>0</v>
      </c>
      <c r="CD33" s="34">
        <f>COUNTIFS(Errors!$D:$D,Analysis!CD$1,Errors!$F:$F,Analysis!$BS33,Errors!$P:$P,"YES")</f>
        <v>0</v>
      </c>
      <c r="CE33" s="34">
        <f>COUNTIFS(Errors!$D:$D,Analysis!CE$1,Errors!$F:$F,Analysis!$BS33,Errors!$P:$P,"YES")</f>
        <v>0</v>
      </c>
      <c r="CF33" s="34">
        <f>COUNTIFS(Errors!$D:$D,Analysis!CF$1,Errors!$F:$F,Analysis!$BS33,Errors!$P:$P,"YES")</f>
        <v>0</v>
      </c>
      <c r="CG33" s="34">
        <f>COUNTIFS(Errors!$D:$D,Analysis!CG$1,Errors!$F:$F,Analysis!$BS33,Errors!$P:$P,"YES")</f>
        <v>0</v>
      </c>
      <c r="CH33" s="34">
        <f>COUNTIFS(Errors!$D:$D,Analysis!CH$1,Errors!$F:$F,Analysis!$BS33,Errors!$P:$P,"YES")</f>
        <v>0</v>
      </c>
      <c r="CI33" s="34">
        <f>COUNTIFS(Errors!$D:$D,Analysis!CI$1,Errors!$F:$F,Analysis!$BS33,Errors!$P:$P,"YES")</f>
        <v>0</v>
      </c>
      <c r="CJ33" s="34">
        <f>COUNTIFS(Errors!$D:$D,Analysis!CJ$1,Errors!$F:$F,Analysis!$BS33,Errors!$P:$P,"YES")</f>
        <v>0</v>
      </c>
      <c r="CK33" s="34">
        <f>COUNTIFS(Errors!$D:$D,Analysis!CK$1,Errors!$F:$F,Analysis!$BS33,Errors!$P:$P,"YES")</f>
        <v>0</v>
      </c>
      <c r="CL33" s="34">
        <f>COUNTIFS(Errors!$D:$D,Analysis!CL$1,Errors!$F:$F,Analysis!$BS33,Errors!$P:$P,"YES")</f>
        <v>0</v>
      </c>
      <c r="CM33" s="34">
        <f>COUNTIFS(Errors!$D:$D,Analysis!CM$1,Errors!$F:$F,Analysis!$BS33,Errors!$P:$P,"YES")</f>
        <v>0</v>
      </c>
      <c r="CN33" s="34">
        <f>COUNTIFS(Errors!$D:$D,Analysis!CN$1,Errors!$F:$F,Analysis!$BS33,Errors!$P:$P,"YES")</f>
        <v>0</v>
      </c>
      <c r="CO33" s="34">
        <f>COUNTIFS(Errors!$D:$D,Analysis!CO$1,Errors!$F:$F,Analysis!$BS33,Errors!$P:$P,"YES")</f>
        <v>0</v>
      </c>
      <c r="CP33" s="34">
        <f>COUNTIFS(Errors!$D:$D,Analysis!CP$1,Errors!$F:$F,Analysis!$BS33,Errors!$P:$P,"YES")</f>
        <v>0</v>
      </c>
      <c r="CQ33" s="34">
        <f>COUNTIFS(Errors!$D:$D,Analysis!CQ$1,Errors!$F:$F,Analysis!$BS33,Errors!$P:$P,"YES")</f>
        <v>0</v>
      </c>
      <c r="CR33" s="34">
        <f>COUNTIFS(Errors!$D:$D,Analysis!CR$1,Errors!$F:$F,Analysis!$BS33,Errors!$P:$P,"YES")</f>
        <v>0</v>
      </c>
      <c r="CS33" s="34">
        <f>COUNTIFS(Errors!$D:$D,Analysis!CS$1,Errors!$F:$F,Analysis!$BS33,Errors!$P:$P,"YES")</f>
        <v>0</v>
      </c>
      <c r="CT33" s="34">
        <f>COUNTIFS(Errors!$D:$D,Analysis!CT$1,Errors!$F:$F,Analysis!$BS33,Errors!$P:$P,"YES")</f>
        <v>0</v>
      </c>
      <c r="CU33" s="34">
        <f>COUNTIFS(Errors!$D:$D,Analysis!CU$1,Errors!$F:$F,Analysis!$BS33,Errors!$P:$P,"YES")</f>
        <v>0</v>
      </c>
      <c r="CV33" s="34">
        <f>COUNTIFS(Errors!$D:$D,Analysis!CV$1,Errors!$F:$F,Analysis!$BS33,Errors!$P:$P,"YES")</f>
        <v>0</v>
      </c>
      <c r="CW33" s="34">
        <f>COUNTIFS(Errors!$D:$D,Analysis!CW$1,Errors!$F:$F,Analysis!$BS33,Errors!$P:$P,"YES")</f>
        <v>0</v>
      </c>
      <c r="CX33" s="34">
        <f>COUNTIFS(Errors!$D:$D,Analysis!CX$1,Errors!$F:$F,Analysis!$BS33,Errors!$P:$P,"YES")</f>
        <v>0</v>
      </c>
      <c r="CZ33" s="39">
        <f t="shared" si="13"/>
        <v>0</v>
      </c>
      <c r="DB33" s="42">
        <f t="shared" si="14"/>
        <v>0</v>
      </c>
      <c r="DC33" s="41" t="s">
        <v>59</v>
      </c>
    </row>
    <row r="34" ht="15.75" customHeight="1">
      <c r="AE34" s="35"/>
      <c r="AF34" s="34">
        <f>COUNTIFS(Errors!$F:$F,Analysis!$AE34,Errors!$D:$D,Analysis!$AF$2,Errors!$I:$I,"TV*")</f>
        <v>0</v>
      </c>
      <c r="AG34" s="34">
        <f>COUNTIFS(Errors!$F:$F,Analysis!$AE34,Errors!$D:$D,Analysis!$AG$2,Errors!$I:$I,"TV*")</f>
        <v>0</v>
      </c>
      <c r="AH34" s="34">
        <f>COUNTIFS(Errors!$F:$F,Analysis!$AE34,Errors!$D:$D,Analysis!$AH$2,Errors!$I:$I,"TV*")</f>
        <v>0</v>
      </c>
      <c r="AI34" s="34">
        <f>COUNTIFS(Errors!$F:$F,Analysis!$AE34,Errors!$D:$D,Analysis!$AI$2,Errors!$I:$I,"TV*")</f>
        <v>0</v>
      </c>
      <c r="AJ34" s="34">
        <f>COUNTIFS(Errors!$F:$F,Analysis!$AE34,Errors!$D:$D,Analysis!$AJ$2,Errors!$I:$I,"TV*")</f>
        <v>0</v>
      </c>
      <c r="AK34" s="34">
        <f>COUNTIFS(Errors!$F:$F,Analysis!$AE34,Errors!$D:$D,Analysis!$AK$2,Errors!$I:$I,"TV*")</f>
        <v>0</v>
      </c>
      <c r="AL34" s="34">
        <f>COUNTIFS(Errors!$F:$F,Analysis!$AE34,Errors!$D:$D,Analysis!$AL$2,Errors!$I:$I,"TV*")</f>
        <v>0</v>
      </c>
      <c r="AM34" s="34">
        <f>COUNTIFS(Errors!$F:$F,Analysis!$AE34,Errors!$D:$D,Analysis!$AM$2,Errors!$I:$I,"TV*")</f>
        <v>0</v>
      </c>
      <c r="AN34" s="34">
        <f>COUNTIFS(Errors!$F:$F,Analysis!$AE34,Errors!$D:$D,Analysis!$AN$2,Errors!$I:$I,"TV*")</f>
        <v>0</v>
      </c>
      <c r="AO34" s="34">
        <f>COUNTIFS(Errors!$F:$F,Analysis!$AE34,Errors!$D:$D,Analysis!$AO$2,Errors!$I:$I,"TV*")</f>
        <v>0</v>
      </c>
      <c r="AP34" s="34">
        <f>COUNTIFS(Errors!$F:$F,Analysis!$AE34,Errors!$D:$D,Analysis!$AP$2,Errors!$I:$I,"TV*")</f>
        <v>0</v>
      </c>
      <c r="AQ34" s="34">
        <f>COUNTIFS(Errors!$F:$F,Analysis!$AE34,Errors!$D:$D,Analysis!$AQ$2,Errors!$I:$I,"TV*")</f>
        <v>0</v>
      </c>
      <c r="AR34" s="34">
        <f>COUNTIFS(Errors!$F:$F,Analysis!$AE34,Errors!$D:$D,Analysis!$AR$2,Errors!$I:$I,"TV*")</f>
        <v>0</v>
      </c>
      <c r="AS34" s="34">
        <f>COUNTIFS(Errors!$F:$F,Analysis!$AE34,Errors!$D:$D,Analysis!$AS$2,Errors!$I:$I,"TV*")</f>
        <v>0</v>
      </c>
      <c r="AT34" s="34">
        <f>COUNTIFS(Errors!$F:$F,Analysis!$AE34,Errors!$D:$D,Analysis!$AT$2,Errors!$I:$I,"TV*")</f>
        <v>0</v>
      </c>
      <c r="AU34" s="34">
        <f>COUNTIFS(Errors!$F:$F,Analysis!$AE34,Errors!$D:$D,Analysis!$AU$2,Errors!$I:$I,"TV*")</f>
        <v>0</v>
      </c>
      <c r="AV34" s="34">
        <f>COUNTIFS(Errors!$F:$F,Analysis!$AE34,Errors!$D:$D,Analysis!$AV$2,Errors!$I:$I,"TV*")</f>
        <v>0</v>
      </c>
      <c r="AW34" s="34">
        <f>COUNTIFS(Errors!$F:$F,Analysis!$AE34,Errors!$D:$D,Analysis!$AW$2,Errors!$I:$I,"TV*")</f>
        <v>0</v>
      </c>
      <c r="AX34" s="34">
        <f>COUNTIFS(Errors!$F:$F,Analysis!$AE34,Errors!$D:$D,Analysis!$AX$2,Errors!$I:$I,"TV*")</f>
        <v>0</v>
      </c>
      <c r="AY34" s="34">
        <f>COUNTIFS(Errors!$F:$F,Analysis!$AE34,Errors!$D:$D,Analysis!$AY$2,Errors!$I:$I,"TV*")</f>
        <v>0</v>
      </c>
      <c r="AZ34" s="34">
        <f>COUNTIFS(Errors!$F:$F,Analysis!$AE34,Errors!$D:$D,Analysis!$AZ$2,Errors!$I:$I,"TV*")</f>
        <v>0</v>
      </c>
      <c r="BA34" s="34">
        <f>COUNTIFS(Errors!$F:$F,Analysis!$AE34,Errors!$D:$D,Analysis!$BA$2,Errors!$I:$I,"TV*")</f>
        <v>0</v>
      </c>
      <c r="BB34" s="34">
        <f>COUNTIFS(Errors!$F:$F,Analysis!$AE34,Errors!$D:$D,Analysis!$BB$2,Errors!$I:$I,"TV*")</f>
        <v>0</v>
      </c>
      <c r="BC34" s="34">
        <f>COUNTIFS(Errors!$F:$F,Analysis!$AE34,Errors!$D:$D,Analysis!$BC$2,Errors!$I:$I,"TV*")</f>
        <v>0</v>
      </c>
      <c r="BD34" s="34">
        <f>COUNTIFS(Errors!$F:$F,Analysis!$AE34,Errors!$D:$D,Analysis!$BD$2,Errors!$I:$I,"TV*")</f>
        <v>0</v>
      </c>
      <c r="BE34" s="34">
        <f>COUNTIFS(Errors!$F:$F,Analysis!$AE34,Errors!$D:$D,Analysis!$BE$2,Errors!$I:$I,"TV*")</f>
        <v>0</v>
      </c>
      <c r="BF34" s="34">
        <f>COUNTIFS(Errors!$F:$F,Analysis!$AE34,Errors!$D:$D,Analysis!$BF$2,Errors!$I:$I,"TV*")</f>
        <v>0</v>
      </c>
      <c r="BG34" s="34">
        <f>COUNTIFS(Errors!$F:$F,Analysis!$AE34,Errors!$D:$D,Analysis!$BG$2,Errors!$I:$I,"TV*")</f>
        <v>0</v>
      </c>
      <c r="BH34" s="34">
        <f>COUNTIFS(Errors!$F:$F,Analysis!$AE34,Errors!$D:$D,Analysis!$BH$2,Errors!$I:$I,"TV*")</f>
        <v>0</v>
      </c>
      <c r="BI34" s="34">
        <f>COUNTIFS(Errors!$F:$F,Analysis!$AE34,Errors!$D:$D,Analysis!$BI$2,Errors!$I:$I,"TV*")</f>
        <v>0</v>
      </c>
      <c r="BJ34" s="34">
        <f>COUNTIFS(Errors!$F:$F,Analysis!$AE34,Errors!$D:$D,Analysis!$BJ$2,Errors!$I:$I,"TV*")</f>
        <v>0</v>
      </c>
      <c r="BL34" s="39">
        <f t="shared" si="11"/>
        <v>0</v>
      </c>
      <c r="BN34" s="83">
        <f t="shared" si="12"/>
        <v>0</v>
      </c>
      <c r="BO34" s="84" t="s">
        <v>61</v>
      </c>
      <c r="BS34" s="35" t="s">
        <v>61</v>
      </c>
      <c r="BT34" s="34">
        <f>COUNTIFS(Errors!$D:$D,Analysis!BT$1,Errors!$F:$F,Analysis!$BS34,Errors!$P:$P,"YES")</f>
        <v>0</v>
      </c>
      <c r="BU34" s="34">
        <f>COUNTIFS(Errors!$D:$D,Analysis!BU$1,Errors!$F:$F,Analysis!$BS34,Errors!$P:$P,"YES")</f>
        <v>0</v>
      </c>
      <c r="BV34" s="34">
        <f>COUNTIFS(Errors!$D:$D,Analysis!BV$1,Errors!$F:$F,Analysis!$BS34,Errors!$P:$P,"YES")</f>
        <v>0</v>
      </c>
      <c r="BW34" s="34">
        <f>COUNTIFS(Errors!$D:$D,Analysis!BW$1,Errors!$F:$F,Analysis!$BS34,Errors!$P:$P,"YES")</f>
        <v>0</v>
      </c>
      <c r="BX34" s="34">
        <f>COUNTIFS(Errors!$D:$D,Analysis!BX$1,Errors!$F:$F,Analysis!$BS34,Errors!$P:$P,"YES")</f>
        <v>0</v>
      </c>
      <c r="BY34" s="34">
        <f>COUNTIFS(Errors!$D:$D,Analysis!BY$1,Errors!$F:$F,Analysis!$BS34,Errors!$P:$P,"YES")</f>
        <v>0</v>
      </c>
      <c r="BZ34" s="34">
        <f>COUNTIFS(Errors!$D:$D,Analysis!BZ$1,Errors!$F:$F,Analysis!$BS34,Errors!$P:$P,"YES")</f>
        <v>0</v>
      </c>
      <c r="CA34" s="34">
        <f>COUNTIFS(Errors!$D:$D,Analysis!CA$1,Errors!$F:$F,Analysis!$BS34,Errors!$P:$P,"YES")</f>
        <v>0</v>
      </c>
      <c r="CB34" s="34">
        <f>COUNTIFS(Errors!$D:$D,Analysis!CB$1,Errors!$F:$F,Analysis!$BS34,Errors!$P:$P,"YES")</f>
        <v>0</v>
      </c>
      <c r="CC34" s="34">
        <f>COUNTIFS(Errors!$D:$D,Analysis!CC$1,Errors!$F:$F,Analysis!$BS34,Errors!$P:$P,"YES")</f>
        <v>0</v>
      </c>
      <c r="CD34" s="34">
        <f>COUNTIFS(Errors!$D:$D,Analysis!CD$1,Errors!$F:$F,Analysis!$BS34,Errors!$P:$P,"YES")</f>
        <v>0</v>
      </c>
      <c r="CE34" s="34">
        <f>COUNTIFS(Errors!$D:$D,Analysis!CE$1,Errors!$F:$F,Analysis!$BS34,Errors!$P:$P,"YES")</f>
        <v>0</v>
      </c>
      <c r="CF34" s="34">
        <f>COUNTIFS(Errors!$D:$D,Analysis!CF$1,Errors!$F:$F,Analysis!$BS34,Errors!$P:$P,"YES")</f>
        <v>0</v>
      </c>
      <c r="CG34" s="34">
        <f>COUNTIFS(Errors!$D:$D,Analysis!CG$1,Errors!$F:$F,Analysis!$BS34,Errors!$P:$P,"YES")</f>
        <v>0</v>
      </c>
      <c r="CH34" s="34">
        <f>COUNTIFS(Errors!$D:$D,Analysis!CH$1,Errors!$F:$F,Analysis!$BS34,Errors!$P:$P,"YES")</f>
        <v>0</v>
      </c>
      <c r="CI34" s="34">
        <f>COUNTIFS(Errors!$D:$D,Analysis!CI$1,Errors!$F:$F,Analysis!$BS34,Errors!$P:$P,"YES")</f>
        <v>0</v>
      </c>
      <c r="CJ34" s="34">
        <f>COUNTIFS(Errors!$D:$D,Analysis!CJ$1,Errors!$F:$F,Analysis!$BS34,Errors!$P:$P,"YES")</f>
        <v>0</v>
      </c>
      <c r="CK34" s="34">
        <f>COUNTIFS(Errors!$D:$D,Analysis!CK$1,Errors!$F:$F,Analysis!$BS34,Errors!$P:$P,"YES")</f>
        <v>0</v>
      </c>
      <c r="CL34" s="34">
        <f>COUNTIFS(Errors!$D:$D,Analysis!CL$1,Errors!$F:$F,Analysis!$BS34,Errors!$P:$P,"YES")</f>
        <v>0</v>
      </c>
      <c r="CM34" s="34">
        <f>COUNTIFS(Errors!$D:$D,Analysis!CM$1,Errors!$F:$F,Analysis!$BS34,Errors!$P:$P,"YES")</f>
        <v>0</v>
      </c>
      <c r="CN34" s="34">
        <f>COUNTIFS(Errors!$D:$D,Analysis!CN$1,Errors!$F:$F,Analysis!$BS34,Errors!$P:$P,"YES")</f>
        <v>0</v>
      </c>
      <c r="CO34" s="34">
        <f>COUNTIFS(Errors!$D:$D,Analysis!CO$1,Errors!$F:$F,Analysis!$BS34,Errors!$P:$P,"YES")</f>
        <v>0</v>
      </c>
      <c r="CP34" s="34">
        <f>COUNTIFS(Errors!$D:$D,Analysis!CP$1,Errors!$F:$F,Analysis!$BS34,Errors!$P:$P,"YES")</f>
        <v>0</v>
      </c>
      <c r="CQ34" s="34">
        <f>COUNTIFS(Errors!$D:$D,Analysis!CQ$1,Errors!$F:$F,Analysis!$BS34,Errors!$P:$P,"YES")</f>
        <v>0</v>
      </c>
      <c r="CR34" s="34">
        <f>COUNTIFS(Errors!$D:$D,Analysis!CR$1,Errors!$F:$F,Analysis!$BS34,Errors!$P:$P,"YES")</f>
        <v>0</v>
      </c>
      <c r="CS34" s="34">
        <f>COUNTIFS(Errors!$D:$D,Analysis!CS$1,Errors!$F:$F,Analysis!$BS34,Errors!$P:$P,"YES")</f>
        <v>0</v>
      </c>
      <c r="CT34" s="34">
        <f>COUNTIFS(Errors!$D:$D,Analysis!CT$1,Errors!$F:$F,Analysis!$BS34,Errors!$P:$P,"YES")</f>
        <v>0</v>
      </c>
      <c r="CU34" s="34">
        <f>COUNTIFS(Errors!$D:$D,Analysis!CU$1,Errors!$F:$F,Analysis!$BS34,Errors!$P:$P,"YES")</f>
        <v>0</v>
      </c>
      <c r="CV34" s="34">
        <f>COUNTIFS(Errors!$D:$D,Analysis!CV$1,Errors!$F:$F,Analysis!$BS34,Errors!$P:$P,"YES")</f>
        <v>0</v>
      </c>
      <c r="CW34" s="34">
        <f>COUNTIFS(Errors!$D:$D,Analysis!CW$1,Errors!$F:$F,Analysis!$BS34,Errors!$P:$P,"YES")</f>
        <v>0</v>
      </c>
      <c r="CX34" s="34">
        <f>COUNTIFS(Errors!$D:$D,Analysis!CX$1,Errors!$F:$F,Analysis!$BS34,Errors!$P:$P,"YES")</f>
        <v>0</v>
      </c>
      <c r="CZ34" s="39">
        <f t="shared" si="13"/>
        <v>0</v>
      </c>
      <c r="DB34" s="42">
        <f t="shared" si="14"/>
        <v>0</v>
      </c>
      <c r="DC34" s="41" t="s">
        <v>61</v>
      </c>
    </row>
    <row r="35" ht="15.75" customHeight="1">
      <c r="B35" s="89"/>
      <c r="C35" s="89"/>
      <c r="D35" s="89"/>
      <c r="E35" s="89"/>
      <c r="F35" s="89"/>
      <c r="G35" s="89"/>
      <c r="H35" s="89"/>
      <c r="I35" s="89"/>
      <c r="L35" s="89"/>
      <c r="M35" s="89"/>
      <c r="N35" s="89"/>
      <c r="O35" s="89"/>
      <c r="P35" s="89"/>
      <c r="Q35" s="89"/>
      <c r="R35" s="89"/>
      <c r="S35" s="89"/>
      <c r="T35" s="89"/>
      <c r="U35" s="89"/>
      <c r="V35" s="89"/>
      <c r="W35" s="89"/>
      <c r="AC35" s="90"/>
      <c r="AE35" s="35"/>
      <c r="AF35" s="34">
        <f>COUNTIFS(Errors!$F:$F,Analysis!$AE35,Errors!$D:$D,Analysis!$AF$2,Errors!$I:$I,"TV*")</f>
        <v>0</v>
      </c>
      <c r="AG35" s="34">
        <f>COUNTIFS(Errors!$F:$F,Analysis!$AE35,Errors!$D:$D,Analysis!$AG$2,Errors!$I:$I,"TV*")</f>
        <v>0</v>
      </c>
      <c r="AH35" s="34">
        <f>COUNTIFS(Errors!$F:$F,Analysis!$AE35,Errors!$D:$D,Analysis!$AH$2,Errors!$I:$I,"TV*")</f>
        <v>0</v>
      </c>
      <c r="AI35" s="34">
        <f>COUNTIFS(Errors!$F:$F,Analysis!$AE35,Errors!$D:$D,Analysis!$AI$2,Errors!$I:$I,"TV*")</f>
        <v>0</v>
      </c>
      <c r="AJ35" s="34">
        <f>COUNTIFS(Errors!$F:$F,Analysis!$AE35,Errors!$D:$D,Analysis!$AJ$2,Errors!$I:$I,"TV*")</f>
        <v>0</v>
      </c>
      <c r="AK35" s="34">
        <f>COUNTIFS(Errors!$F:$F,Analysis!$AE35,Errors!$D:$D,Analysis!$AK$2,Errors!$I:$I,"TV*")</f>
        <v>0</v>
      </c>
      <c r="AL35" s="34">
        <f>COUNTIFS(Errors!$F:$F,Analysis!$AE35,Errors!$D:$D,Analysis!$AL$2,Errors!$I:$I,"TV*")</f>
        <v>0</v>
      </c>
      <c r="AM35" s="34">
        <f>COUNTIFS(Errors!$F:$F,Analysis!$AE35,Errors!$D:$D,Analysis!$AM$2,Errors!$I:$I,"TV*")</f>
        <v>0</v>
      </c>
      <c r="AN35" s="34">
        <f>COUNTIFS(Errors!$F:$F,Analysis!$AE35,Errors!$D:$D,Analysis!$AN$2,Errors!$I:$I,"TV*")</f>
        <v>0</v>
      </c>
      <c r="AO35" s="34">
        <f>COUNTIFS(Errors!$F:$F,Analysis!$AE35,Errors!$D:$D,Analysis!$AO$2,Errors!$I:$I,"TV*")</f>
        <v>0</v>
      </c>
      <c r="AP35" s="34">
        <f>COUNTIFS(Errors!$F:$F,Analysis!$AE35,Errors!$D:$D,Analysis!$AP$2,Errors!$I:$I,"TV*")</f>
        <v>0</v>
      </c>
      <c r="AQ35" s="34">
        <f>COUNTIFS(Errors!$F:$F,Analysis!$AE35,Errors!$D:$D,Analysis!$AQ$2,Errors!$I:$I,"TV*")</f>
        <v>0</v>
      </c>
      <c r="AR35" s="34">
        <f>COUNTIFS(Errors!$F:$F,Analysis!$AE35,Errors!$D:$D,Analysis!$AR$2,Errors!$I:$I,"TV*")</f>
        <v>0</v>
      </c>
      <c r="AS35" s="34">
        <f>COUNTIFS(Errors!$F:$F,Analysis!$AE35,Errors!$D:$D,Analysis!$AS$2,Errors!$I:$I,"TV*")</f>
        <v>0</v>
      </c>
      <c r="AT35" s="34">
        <f>COUNTIFS(Errors!$F:$F,Analysis!$AE35,Errors!$D:$D,Analysis!$AT$2,Errors!$I:$I,"TV*")</f>
        <v>0</v>
      </c>
      <c r="AU35" s="34">
        <f>COUNTIFS(Errors!$F:$F,Analysis!$AE35,Errors!$D:$D,Analysis!$AU$2,Errors!$I:$I,"TV*")</f>
        <v>0</v>
      </c>
      <c r="AV35" s="34">
        <f>COUNTIFS(Errors!$F:$F,Analysis!$AE35,Errors!$D:$D,Analysis!$AV$2,Errors!$I:$I,"TV*")</f>
        <v>0</v>
      </c>
      <c r="AW35" s="34">
        <f>COUNTIFS(Errors!$F:$F,Analysis!$AE35,Errors!$D:$D,Analysis!$AW$2,Errors!$I:$I,"TV*")</f>
        <v>0</v>
      </c>
      <c r="AX35" s="34">
        <f>COUNTIFS(Errors!$F:$F,Analysis!$AE35,Errors!$D:$D,Analysis!$AX$2,Errors!$I:$I,"TV*")</f>
        <v>0</v>
      </c>
      <c r="AY35" s="34">
        <f>COUNTIFS(Errors!$F:$F,Analysis!$AE35,Errors!$D:$D,Analysis!$AY$2,Errors!$I:$I,"TV*")</f>
        <v>0</v>
      </c>
      <c r="AZ35" s="34">
        <f>COUNTIFS(Errors!$F:$F,Analysis!$AE35,Errors!$D:$D,Analysis!$AZ$2,Errors!$I:$I,"TV*")</f>
        <v>0</v>
      </c>
      <c r="BA35" s="34">
        <f>COUNTIFS(Errors!$F:$F,Analysis!$AE35,Errors!$D:$D,Analysis!$BA$2,Errors!$I:$I,"TV*")</f>
        <v>0</v>
      </c>
      <c r="BB35" s="34">
        <f>COUNTIFS(Errors!$F:$F,Analysis!$AE35,Errors!$D:$D,Analysis!$BB$2,Errors!$I:$I,"TV*")</f>
        <v>0</v>
      </c>
      <c r="BC35" s="34">
        <f>COUNTIFS(Errors!$F:$F,Analysis!$AE35,Errors!$D:$D,Analysis!$BC$2,Errors!$I:$I,"TV*")</f>
        <v>0</v>
      </c>
      <c r="BD35" s="34">
        <f>COUNTIFS(Errors!$F:$F,Analysis!$AE35,Errors!$D:$D,Analysis!$BD$2,Errors!$I:$I,"TV*")</f>
        <v>0</v>
      </c>
      <c r="BE35" s="34">
        <f>COUNTIFS(Errors!$F:$F,Analysis!$AE35,Errors!$D:$D,Analysis!$BE$2,Errors!$I:$I,"TV*")</f>
        <v>0</v>
      </c>
      <c r="BF35" s="34">
        <f>COUNTIFS(Errors!$F:$F,Analysis!$AE35,Errors!$D:$D,Analysis!$BF$2,Errors!$I:$I,"TV*")</f>
        <v>0</v>
      </c>
      <c r="BG35" s="34">
        <f>COUNTIFS(Errors!$F:$F,Analysis!$AE35,Errors!$D:$D,Analysis!$BG$2,Errors!$I:$I,"TV*")</f>
        <v>0</v>
      </c>
      <c r="BH35" s="34">
        <f>COUNTIFS(Errors!$F:$F,Analysis!$AE35,Errors!$D:$D,Analysis!$BH$2,Errors!$I:$I,"TV*")</f>
        <v>0</v>
      </c>
      <c r="BI35" s="34">
        <f>COUNTIFS(Errors!$F:$F,Analysis!$AE35,Errors!$D:$D,Analysis!$BI$2,Errors!$I:$I,"TV*")</f>
        <v>0</v>
      </c>
      <c r="BJ35" s="34">
        <f>COUNTIFS(Errors!$F:$F,Analysis!$AE35,Errors!$D:$D,Analysis!$BJ$2,Errors!$I:$I,"TV*")</f>
        <v>0</v>
      </c>
      <c r="BL35" s="39">
        <f t="shared" si="11"/>
        <v>0</v>
      </c>
      <c r="BN35" s="83">
        <f t="shared" si="12"/>
        <v>0</v>
      </c>
      <c r="BO35" s="84" t="s">
        <v>63</v>
      </c>
      <c r="BS35" s="35" t="s">
        <v>63</v>
      </c>
      <c r="BT35" s="34">
        <f>COUNTIFS(Errors!$D:$D,Analysis!BT$1,Errors!$F:$F,Analysis!$BS35,Errors!$P:$P,"YES")</f>
        <v>0</v>
      </c>
      <c r="BU35" s="34">
        <f>COUNTIFS(Errors!$D:$D,Analysis!BU$1,Errors!$F:$F,Analysis!$BS35,Errors!$P:$P,"YES")</f>
        <v>0</v>
      </c>
      <c r="BV35" s="34">
        <f>COUNTIFS(Errors!$D:$D,Analysis!BV$1,Errors!$F:$F,Analysis!$BS35,Errors!$P:$P,"YES")</f>
        <v>0</v>
      </c>
      <c r="BW35" s="34">
        <f>COUNTIFS(Errors!$D:$D,Analysis!BW$1,Errors!$F:$F,Analysis!$BS35,Errors!$P:$P,"YES")</f>
        <v>0</v>
      </c>
      <c r="BX35" s="34">
        <f>COUNTIFS(Errors!$D:$D,Analysis!BX$1,Errors!$F:$F,Analysis!$BS35,Errors!$P:$P,"YES")</f>
        <v>0</v>
      </c>
      <c r="BY35" s="34">
        <f>COUNTIFS(Errors!$D:$D,Analysis!BY$1,Errors!$F:$F,Analysis!$BS35,Errors!$P:$P,"YES")</f>
        <v>0</v>
      </c>
      <c r="BZ35" s="34">
        <f>COUNTIFS(Errors!$D:$D,Analysis!BZ$1,Errors!$F:$F,Analysis!$BS35,Errors!$P:$P,"YES")</f>
        <v>0</v>
      </c>
      <c r="CA35" s="34">
        <f>COUNTIFS(Errors!$D:$D,Analysis!CA$1,Errors!$F:$F,Analysis!$BS35,Errors!$P:$P,"YES")</f>
        <v>0</v>
      </c>
      <c r="CB35" s="34">
        <f>COUNTIFS(Errors!$D:$D,Analysis!CB$1,Errors!$F:$F,Analysis!$BS35,Errors!$P:$P,"YES")</f>
        <v>0</v>
      </c>
      <c r="CC35" s="34">
        <f>COUNTIFS(Errors!$D:$D,Analysis!CC$1,Errors!$F:$F,Analysis!$BS35,Errors!$P:$P,"YES")</f>
        <v>0</v>
      </c>
      <c r="CD35" s="34">
        <f>COUNTIFS(Errors!$D:$D,Analysis!CD$1,Errors!$F:$F,Analysis!$BS35,Errors!$P:$P,"YES")</f>
        <v>0</v>
      </c>
      <c r="CE35" s="34">
        <f>COUNTIFS(Errors!$D:$D,Analysis!CE$1,Errors!$F:$F,Analysis!$BS35,Errors!$P:$P,"YES")</f>
        <v>0</v>
      </c>
      <c r="CF35" s="34">
        <f>COUNTIFS(Errors!$D:$D,Analysis!CF$1,Errors!$F:$F,Analysis!$BS35,Errors!$P:$P,"YES")</f>
        <v>0</v>
      </c>
      <c r="CG35" s="34">
        <f>COUNTIFS(Errors!$D:$D,Analysis!CG$1,Errors!$F:$F,Analysis!$BS35,Errors!$P:$P,"YES")</f>
        <v>0</v>
      </c>
      <c r="CH35" s="34">
        <f>COUNTIFS(Errors!$D:$D,Analysis!CH$1,Errors!$F:$F,Analysis!$BS35,Errors!$P:$P,"YES")</f>
        <v>0</v>
      </c>
      <c r="CI35" s="34">
        <f>COUNTIFS(Errors!$D:$D,Analysis!CI$1,Errors!$F:$F,Analysis!$BS35,Errors!$P:$P,"YES")</f>
        <v>0</v>
      </c>
      <c r="CJ35" s="34">
        <f>COUNTIFS(Errors!$D:$D,Analysis!CJ$1,Errors!$F:$F,Analysis!$BS35,Errors!$P:$P,"YES")</f>
        <v>0</v>
      </c>
      <c r="CK35" s="34">
        <f>COUNTIFS(Errors!$D:$D,Analysis!CK$1,Errors!$F:$F,Analysis!$BS35,Errors!$P:$P,"YES")</f>
        <v>0</v>
      </c>
      <c r="CL35" s="34">
        <f>COUNTIFS(Errors!$D:$D,Analysis!CL$1,Errors!$F:$F,Analysis!$BS35,Errors!$P:$P,"YES")</f>
        <v>0</v>
      </c>
      <c r="CM35" s="34">
        <f>COUNTIFS(Errors!$D:$D,Analysis!CM$1,Errors!$F:$F,Analysis!$BS35,Errors!$P:$P,"YES")</f>
        <v>0</v>
      </c>
      <c r="CN35" s="34">
        <f>COUNTIFS(Errors!$D:$D,Analysis!CN$1,Errors!$F:$F,Analysis!$BS35,Errors!$P:$P,"YES")</f>
        <v>0</v>
      </c>
      <c r="CO35" s="34">
        <f>COUNTIFS(Errors!$D:$D,Analysis!CO$1,Errors!$F:$F,Analysis!$BS35,Errors!$P:$P,"YES")</f>
        <v>0</v>
      </c>
      <c r="CP35" s="34">
        <f>COUNTIFS(Errors!$D:$D,Analysis!CP$1,Errors!$F:$F,Analysis!$BS35,Errors!$P:$P,"YES")</f>
        <v>0</v>
      </c>
      <c r="CQ35" s="34">
        <f>COUNTIFS(Errors!$D:$D,Analysis!CQ$1,Errors!$F:$F,Analysis!$BS35,Errors!$P:$P,"YES")</f>
        <v>0</v>
      </c>
      <c r="CR35" s="34">
        <f>COUNTIFS(Errors!$D:$D,Analysis!CR$1,Errors!$F:$F,Analysis!$BS35,Errors!$P:$P,"YES")</f>
        <v>0</v>
      </c>
      <c r="CS35" s="34">
        <f>COUNTIFS(Errors!$D:$D,Analysis!CS$1,Errors!$F:$F,Analysis!$BS35,Errors!$P:$P,"YES")</f>
        <v>0</v>
      </c>
      <c r="CT35" s="34">
        <f>COUNTIFS(Errors!$D:$D,Analysis!CT$1,Errors!$F:$F,Analysis!$BS35,Errors!$P:$P,"YES")</f>
        <v>0</v>
      </c>
      <c r="CU35" s="34">
        <f>COUNTIFS(Errors!$D:$D,Analysis!CU$1,Errors!$F:$F,Analysis!$BS35,Errors!$P:$P,"YES")</f>
        <v>0</v>
      </c>
      <c r="CV35" s="34">
        <f>COUNTIFS(Errors!$D:$D,Analysis!CV$1,Errors!$F:$F,Analysis!$BS35,Errors!$P:$P,"YES")</f>
        <v>0</v>
      </c>
      <c r="CW35" s="34">
        <f>COUNTIFS(Errors!$D:$D,Analysis!CW$1,Errors!$F:$F,Analysis!$BS35,Errors!$P:$P,"YES")</f>
        <v>0</v>
      </c>
      <c r="CX35" s="34">
        <f>COUNTIFS(Errors!$D:$D,Analysis!CX$1,Errors!$F:$F,Analysis!$BS35,Errors!$P:$P,"YES")</f>
        <v>0</v>
      </c>
      <c r="CZ35" s="39">
        <f t="shared" si="13"/>
        <v>0</v>
      </c>
      <c r="DB35" s="42">
        <f t="shared" si="14"/>
        <v>0</v>
      </c>
      <c r="DC35" s="41" t="s">
        <v>63</v>
      </c>
    </row>
    <row r="36" ht="18.75" customHeight="1">
      <c r="B36" s="89"/>
      <c r="C36" s="89"/>
      <c r="D36" s="89"/>
      <c r="E36" s="89"/>
      <c r="F36" s="89"/>
      <c r="G36" s="89"/>
      <c r="H36" s="89"/>
      <c r="I36" s="89"/>
      <c r="L36" s="89"/>
      <c r="M36" s="89"/>
      <c r="N36" s="89"/>
      <c r="O36" s="89"/>
      <c r="P36" s="89"/>
      <c r="Q36" s="89"/>
      <c r="R36" s="89"/>
      <c r="S36" s="89"/>
      <c r="T36" s="89"/>
      <c r="U36" s="89"/>
      <c r="V36" s="89"/>
      <c r="W36" s="89"/>
      <c r="AC36" s="90"/>
      <c r="AE36" s="35"/>
      <c r="AF36" s="34">
        <f>COUNTIFS(Errors!$F:$F,Analysis!$AE36,Errors!$D:$D,Analysis!$AF$2,Errors!$I:$I,"TV*")</f>
        <v>0</v>
      </c>
      <c r="AG36" s="34">
        <f>COUNTIFS(Errors!$F:$F,Analysis!$AE36,Errors!$D:$D,Analysis!$AG$2,Errors!$I:$I,"TV*")</f>
        <v>0</v>
      </c>
      <c r="AH36" s="34">
        <f>COUNTIFS(Errors!$F:$F,Analysis!$AE36,Errors!$D:$D,Analysis!$AH$2,Errors!$I:$I,"TV*")</f>
        <v>0</v>
      </c>
      <c r="AI36" s="34">
        <f>COUNTIFS(Errors!$F:$F,Analysis!$AE36,Errors!$D:$D,Analysis!$AI$2,Errors!$I:$I,"TV*")</f>
        <v>0</v>
      </c>
      <c r="AJ36" s="34">
        <f>COUNTIFS(Errors!$F:$F,Analysis!$AE36,Errors!$D:$D,Analysis!$AJ$2,Errors!$I:$I,"TV*")</f>
        <v>0</v>
      </c>
      <c r="AK36" s="34">
        <f>COUNTIFS(Errors!$F:$F,Analysis!$AE36,Errors!$D:$D,Analysis!$AK$2,Errors!$I:$I,"TV*")</f>
        <v>0</v>
      </c>
      <c r="AL36" s="34">
        <f>COUNTIFS(Errors!$F:$F,Analysis!$AE36,Errors!$D:$D,Analysis!$AL$2,Errors!$I:$I,"TV*")</f>
        <v>0</v>
      </c>
      <c r="AM36" s="34">
        <f>COUNTIFS(Errors!$F:$F,Analysis!$AE36,Errors!$D:$D,Analysis!$AM$2,Errors!$I:$I,"TV*")</f>
        <v>0</v>
      </c>
      <c r="AN36" s="34">
        <f>COUNTIFS(Errors!$F:$F,Analysis!$AE36,Errors!$D:$D,Analysis!$AN$2,Errors!$I:$I,"TV*")</f>
        <v>0</v>
      </c>
      <c r="AO36" s="34">
        <f>COUNTIFS(Errors!$F:$F,Analysis!$AE36,Errors!$D:$D,Analysis!$AO$2,Errors!$I:$I,"TV*")</f>
        <v>0</v>
      </c>
      <c r="AP36" s="34">
        <f>COUNTIFS(Errors!$F:$F,Analysis!$AE36,Errors!$D:$D,Analysis!$AP$2,Errors!$I:$I,"TV*")</f>
        <v>0</v>
      </c>
      <c r="AQ36" s="34">
        <f>COUNTIFS(Errors!$F:$F,Analysis!$AE36,Errors!$D:$D,Analysis!$AQ$2,Errors!$I:$I,"TV*")</f>
        <v>0</v>
      </c>
      <c r="AR36" s="34">
        <f>COUNTIFS(Errors!$F:$F,Analysis!$AE36,Errors!$D:$D,Analysis!$AR$2,Errors!$I:$I,"TV*")</f>
        <v>0</v>
      </c>
      <c r="AS36" s="34">
        <f>COUNTIFS(Errors!$F:$F,Analysis!$AE36,Errors!$D:$D,Analysis!$AS$2,Errors!$I:$I,"TV*")</f>
        <v>0</v>
      </c>
      <c r="AT36" s="34">
        <f>COUNTIFS(Errors!$F:$F,Analysis!$AE36,Errors!$D:$D,Analysis!$AT$2,Errors!$I:$I,"TV*")</f>
        <v>0</v>
      </c>
      <c r="AU36" s="34">
        <f>COUNTIFS(Errors!$F:$F,Analysis!$AE36,Errors!$D:$D,Analysis!$AU$2,Errors!$I:$I,"TV*")</f>
        <v>0</v>
      </c>
      <c r="AV36" s="34">
        <f>COUNTIFS(Errors!$F:$F,Analysis!$AE36,Errors!$D:$D,Analysis!$AV$2,Errors!$I:$I,"TV*")</f>
        <v>0</v>
      </c>
      <c r="AW36" s="34">
        <f>COUNTIFS(Errors!$F:$F,Analysis!$AE36,Errors!$D:$D,Analysis!$AW$2,Errors!$I:$I,"TV*")</f>
        <v>0</v>
      </c>
      <c r="AX36" s="34">
        <f>COUNTIFS(Errors!$F:$F,Analysis!$AE36,Errors!$D:$D,Analysis!$AX$2,Errors!$I:$I,"TV*")</f>
        <v>0</v>
      </c>
      <c r="AY36" s="34">
        <f>COUNTIFS(Errors!$F:$F,Analysis!$AE36,Errors!$D:$D,Analysis!$AY$2,Errors!$I:$I,"TV*")</f>
        <v>0</v>
      </c>
      <c r="AZ36" s="34">
        <f>COUNTIFS(Errors!$F:$F,Analysis!$AE36,Errors!$D:$D,Analysis!$AZ$2,Errors!$I:$I,"TV*")</f>
        <v>0</v>
      </c>
      <c r="BA36" s="34">
        <f>COUNTIFS(Errors!$F:$F,Analysis!$AE36,Errors!$D:$D,Analysis!$BA$2,Errors!$I:$I,"TV*")</f>
        <v>0</v>
      </c>
      <c r="BB36" s="34">
        <f>COUNTIFS(Errors!$F:$F,Analysis!$AE36,Errors!$D:$D,Analysis!$BB$2,Errors!$I:$I,"TV*")</f>
        <v>0</v>
      </c>
      <c r="BC36" s="34">
        <f>COUNTIFS(Errors!$F:$F,Analysis!$AE36,Errors!$D:$D,Analysis!$BC$2,Errors!$I:$I,"TV*")</f>
        <v>0</v>
      </c>
      <c r="BD36" s="34">
        <f>COUNTIFS(Errors!$F:$F,Analysis!$AE36,Errors!$D:$D,Analysis!$BD$2,Errors!$I:$I,"TV*")</f>
        <v>0</v>
      </c>
      <c r="BE36" s="34">
        <f>COUNTIFS(Errors!$F:$F,Analysis!$AE36,Errors!$D:$D,Analysis!$BE$2,Errors!$I:$I,"TV*")</f>
        <v>0</v>
      </c>
      <c r="BF36" s="34">
        <f>COUNTIFS(Errors!$F:$F,Analysis!$AE36,Errors!$D:$D,Analysis!$BF$2,Errors!$I:$I,"TV*")</f>
        <v>0</v>
      </c>
      <c r="BG36" s="34">
        <f>COUNTIFS(Errors!$F:$F,Analysis!$AE36,Errors!$D:$D,Analysis!$BG$2,Errors!$I:$I,"TV*")</f>
        <v>0</v>
      </c>
      <c r="BH36" s="34">
        <f>COUNTIFS(Errors!$F:$F,Analysis!$AE36,Errors!$D:$D,Analysis!$BH$2,Errors!$I:$I,"TV*")</f>
        <v>0</v>
      </c>
      <c r="BI36" s="34">
        <f>COUNTIFS(Errors!$F:$F,Analysis!$AE36,Errors!$D:$D,Analysis!$BI$2,Errors!$I:$I,"TV*")</f>
        <v>0</v>
      </c>
      <c r="BJ36" s="34">
        <f>COUNTIFS(Errors!$F:$F,Analysis!$AE36,Errors!$D:$D,Analysis!$BJ$2,Errors!$I:$I,"TV*")</f>
        <v>0</v>
      </c>
      <c r="BL36" s="39">
        <f t="shared" si="11"/>
        <v>0</v>
      </c>
      <c r="BN36" s="83">
        <f t="shared" si="12"/>
        <v>0</v>
      </c>
      <c r="BO36" s="84" t="s">
        <v>65</v>
      </c>
      <c r="BS36" s="35" t="s">
        <v>65</v>
      </c>
      <c r="BT36" s="34">
        <f>COUNTIFS(Errors!$D:$D,Analysis!BT$1,Errors!$F:$F,Analysis!$BS36,Errors!$P:$P,"YES")</f>
        <v>0</v>
      </c>
      <c r="BU36" s="34">
        <f>COUNTIFS(Errors!$D:$D,Analysis!BU$1,Errors!$F:$F,Analysis!$BS36,Errors!$P:$P,"YES")</f>
        <v>0</v>
      </c>
      <c r="BV36" s="34">
        <f>COUNTIFS(Errors!$D:$D,Analysis!BV$1,Errors!$F:$F,Analysis!$BS36,Errors!$P:$P,"YES")</f>
        <v>0</v>
      </c>
      <c r="BW36" s="34">
        <f>COUNTIFS(Errors!$D:$D,Analysis!BW$1,Errors!$F:$F,Analysis!$BS36,Errors!$P:$P,"YES")</f>
        <v>0</v>
      </c>
      <c r="BX36" s="34">
        <f>COUNTIFS(Errors!$D:$D,Analysis!BX$1,Errors!$F:$F,Analysis!$BS36,Errors!$P:$P,"YES")</f>
        <v>0</v>
      </c>
      <c r="BY36" s="34">
        <f>COUNTIFS(Errors!$D:$D,Analysis!BY$1,Errors!$F:$F,Analysis!$BS36,Errors!$P:$P,"YES")</f>
        <v>0</v>
      </c>
      <c r="BZ36" s="34">
        <f>COUNTIFS(Errors!$D:$D,Analysis!BZ$1,Errors!$F:$F,Analysis!$BS36,Errors!$P:$P,"YES")</f>
        <v>0</v>
      </c>
      <c r="CA36" s="34">
        <f>COUNTIFS(Errors!$D:$D,Analysis!CA$1,Errors!$F:$F,Analysis!$BS36,Errors!$P:$P,"YES")</f>
        <v>0</v>
      </c>
      <c r="CB36" s="34">
        <f>COUNTIFS(Errors!$D:$D,Analysis!CB$1,Errors!$F:$F,Analysis!$BS36,Errors!$P:$P,"YES")</f>
        <v>0</v>
      </c>
      <c r="CC36" s="34">
        <f>COUNTIFS(Errors!$D:$D,Analysis!CC$1,Errors!$F:$F,Analysis!$BS36,Errors!$P:$P,"YES")</f>
        <v>0</v>
      </c>
      <c r="CD36" s="34">
        <f>COUNTIFS(Errors!$D:$D,Analysis!CD$1,Errors!$F:$F,Analysis!$BS36,Errors!$P:$P,"YES")</f>
        <v>0</v>
      </c>
      <c r="CE36" s="34">
        <f>COUNTIFS(Errors!$D:$D,Analysis!CE$1,Errors!$F:$F,Analysis!$BS36,Errors!$P:$P,"YES")</f>
        <v>0</v>
      </c>
      <c r="CF36" s="34">
        <f>COUNTIFS(Errors!$D:$D,Analysis!CF$1,Errors!$F:$F,Analysis!$BS36,Errors!$P:$P,"YES")</f>
        <v>0</v>
      </c>
      <c r="CG36" s="34">
        <f>COUNTIFS(Errors!$D:$D,Analysis!CG$1,Errors!$F:$F,Analysis!$BS36,Errors!$P:$P,"YES")</f>
        <v>0</v>
      </c>
      <c r="CH36" s="34">
        <f>COUNTIFS(Errors!$D:$D,Analysis!CH$1,Errors!$F:$F,Analysis!$BS36,Errors!$P:$P,"YES")</f>
        <v>0</v>
      </c>
      <c r="CI36" s="34">
        <f>COUNTIFS(Errors!$D:$D,Analysis!CI$1,Errors!$F:$F,Analysis!$BS36,Errors!$P:$P,"YES")</f>
        <v>0</v>
      </c>
      <c r="CJ36" s="34">
        <f>COUNTIFS(Errors!$D:$D,Analysis!CJ$1,Errors!$F:$F,Analysis!$BS36,Errors!$P:$P,"YES")</f>
        <v>0</v>
      </c>
      <c r="CK36" s="34">
        <f>COUNTIFS(Errors!$D:$D,Analysis!CK$1,Errors!$F:$F,Analysis!$BS36,Errors!$P:$P,"YES")</f>
        <v>0</v>
      </c>
      <c r="CL36" s="34">
        <f>COUNTIFS(Errors!$D:$D,Analysis!CL$1,Errors!$F:$F,Analysis!$BS36,Errors!$P:$P,"YES")</f>
        <v>0</v>
      </c>
      <c r="CM36" s="34">
        <f>COUNTIFS(Errors!$D:$D,Analysis!CM$1,Errors!$F:$F,Analysis!$BS36,Errors!$P:$P,"YES")</f>
        <v>0</v>
      </c>
      <c r="CN36" s="34">
        <f>COUNTIFS(Errors!$D:$D,Analysis!CN$1,Errors!$F:$F,Analysis!$BS36,Errors!$P:$P,"YES")</f>
        <v>0</v>
      </c>
      <c r="CO36" s="34">
        <f>COUNTIFS(Errors!$D:$D,Analysis!CO$1,Errors!$F:$F,Analysis!$BS36,Errors!$P:$P,"YES")</f>
        <v>0</v>
      </c>
      <c r="CP36" s="34">
        <f>COUNTIFS(Errors!$D:$D,Analysis!CP$1,Errors!$F:$F,Analysis!$BS36,Errors!$P:$P,"YES")</f>
        <v>0</v>
      </c>
      <c r="CQ36" s="34">
        <f>COUNTIFS(Errors!$D:$D,Analysis!CQ$1,Errors!$F:$F,Analysis!$BS36,Errors!$P:$P,"YES")</f>
        <v>0</v>
      </c>
      <c r="CR36" s="34">
        <f>COUNTIFS(Errors!$D:$D,Analysis!CR$1,Errors!$F:$F,Analysis!$BS36,Errors!$P:$P,"YES")</f>
        <v>0</v>
      </c>
      <c r="CS36" s="34">
        <f>COUNTIFS(Errors!$D:$D,Analysis!CS$1,Errors!$F:$F,Analysis!$BS36,Errors!$P:$P,"YES")</f>
        <v>0</v>
      </c>
      <c r="CT36" s="34">
        <f>COUNTIFS(Errors!$D:$D,Analysis!CT$1,Errors!$F:$F,Analysis!$BS36,Errors!$P:$P,"YES")</f>
        <v>0</v>
      </c>
      <c r="CU36" s="34">
        <f>COUNTIFS(Errors!$D:$D,Analysis!CU$1,Errors!$F:$F,Analysis!$BS36,Errors!$P:$P,"YES")</f>
        <v>0</v>
      </c>
      <c r="CV36" s="34">
        <f>COUNTIFS(Errors!$D:$D,Analysis!CV$1,Errors!$F:$F,Analysis!$BS36,Errors!$P:$P,"YES")</f>
        <v>0</v>
      </c>
      <c r="CW36" s="34">
        <f>COUNTIFS(Errors!$D:$D,Analysis!CW$1,Errors!$F:$F,Analysis!$BS36,Errors!$P:$P,"YES")</f>
        <v>0</v>
      </c>
      <c r="CX36" s="34">
        <f>COUNTIFS(Errors!$D:$D,Analysis!CX$1,Errors!$F:$F,Analysis!$BS36,Errors!$P:$P,"YES")</f>
        <v>0</v>
      </c>
      <c r="CZ36" s="39">
        <f t="shared" si="13"/>
        <v>0</v>
      </c>
      <c r="DB36" s="42">
        <f t="shared" si="14"/>
        <v>0</v>
      </c>
      <c r="DC36" s="41" t="s">
        <v>65</v>
      </c>
    </row>
    <row r="37" ht="15.0" customHeight="1">
      <c r="B37" s="91" t="s">
        <v>109</v>
      </c>
      <c r="C37" s="92"/>
      <c r="D37" s="92"/>
      <c r="E37" s="92"/>
      <c r="F37" s="92"/>
      <c r="G37" s="92"/>
      <c r="H37" s="93"/>
      <c r="I37" s="91" t="s">
        <v>110</v>
      </c>
      <c r="J37" s="92"/>
      <c r="K37" s="92"/>
      <c r="L37" s="92"/>
      <c r="M37" s="92"/>
      <c r="N37" s="92"/>
      <c r="O37" s="92"/>
      <c r="P37" s="92"/>
      <c r="Q37" s="92"/>
      <c r="R37" s="93"/>
      <c r="S37" s="89"/>
      <c r="T37" s="89"/>
      <c r="U37" s="89"/>
      <c r="V37" s="89"/>
      <c r="W37" s="89"/>
      <c r="X37" s="89"/>
      <c r="Y37" s="89"/>
      <c r="Z37" s="89"/>
      <c r="AA37" s="89"/>
      <c r="AB37" s="89"/>
      <c r="AC37" s="89"/>
      <c r="AE37" s="35"/>
      <c r="AF37" s="34">
        <f>COUNTIFS(Errors!$F:$F,Analysis!$AE37,Errors!$D:$D,Analysis!$AF$2,Errors!$I:$I,"TV*")</f>
        <v>0</v>
      </c>
      <c r="AG37" s="34">
        <f>COUNTIFS(Errors!$F:$F,Analysis!$AE37,Errors!$D:$D,Analysis!$AG$2,Errors!$I:$I,"TV*")</f>
        <v>0</v>
      </c>
      <c r="AH37" s="34">
        <f>COUNTIFS(Errors!$F:$F,Analysis!$AE37,Errors!$D:$D,Analysis!$AH$2,Errors!$I:$I,"TV*")</f>
        <v>0</v>
      </c>
      <c r="AI37" s="34">
        <f>COUNTIFS(Errors!$F:$F,Analysis!$AE37,Errors!$D:$D,Analysis!$AI$2,Errors!$I:$I,"TV*")</f>
        <v>0</v>
      </c>
      <c r="AJ37" s="34">
        <f>COUNTIFS(Errors!$F:$F,Analysis!$AE37,Errors!$D:$D,Analysis!$AJ$2,Errors!$I:$I,"TV*")</f>
        <v>0</v>
      </c>
      <c r="AK37" s="34">
        <f>COUNTIFS(Errors!$F:$F,Analysis!$AE37,Errors!$D:$D,Analysis!$AK$2,Errors!$I:$I,"TV*")</f>
        <v>0</v>
      </c>
      <c r="AL37" s="34">
        <f>COUNTIFS(Errors!$F:$F,Analysis!$AE37,Errors!$D:$D,Analysis!$AL$2,Errors!$I:$I,"TV*")</f>
        <v>0</v>
      </c>
      <c r="AM37" s="34">
        <f>COUNTIFS(Errors!$F:$F,Analysis!$AE37,Errors!$D:$D,Analysis!$AM$2,Errors!$I:$I,"TV*")</f>
        <v>0</v>
      </c>
      <c r="AN37" s="34">
        <f>COUNTIFS(Errors!$F:$F,Analysis!$AE37,Errors!$D:$D,Analysis!$AN$2,Errors!$I:$I,"TV*")</f>
        <v>0</v>
      </c>
      <c r="AO37" s="34">
        <f>COUNTIFS(Errors!$F:$F,Analysis!$AE37,Errors!$D:$D,Analysis!$AO$2,Errors!$I:$I,"TV*")</f>
        <v>0</v>
      </c>
      <c r="AP37" s="34">
        <f>COUNTIFS(Errors!$F:$F,Analysis!$AE37,Errors!$D:$D,Analysis!$AP$2,Errors!$I:$I,"TV*")</f>
        <v>0</v>
      </c>
      <c r="AQ37" s="34">
        <f>COUNTIFS(Errors!$F:$F,Analysis!$AE37,Errors!$D:$D,Analysis!$AQ$2,Errors!$I:$I,"TV*")</f>
        <v>0</v>
      </c>
      <c r="AR37" s="34">
        <f>COUNTIFS(Errors!$F:$F,Analysis!$AE37,Errors!$D:$D,Analysis!$AR$2,Errors!$I:$I,"TV*")</f>
        <v>0</v>
      </c>
      <c r="AS37" s="34">
        <f>COUNTIFS(Errors!$F:$F,Analysis!$AE37,Errors!$D:$D,Analysis!$AS$2,Errors!$I:$I,"TV*")</f>
        <v>0</v>
      </c>
      <c r="AT37" s="34">
        <f>COUNTIFS(Errors!$F:$F,Analysis!$AE37,Errors!$D:$D,Analysis!$AT$2,Errors!$I:$I,"TV*")</f>
        <v>0</v>
      </c>
      <c r="AU37" s="34">
        <f>COUNTIFS(Errors!$F:$F,Analysis!$AE37,Errors!$D:$D,Analysis!$AU$2,Errors!$I:$I,"TV*")</f>
        <v>0</v>
      </c>
      <c r="AV37" s="34">
        <f>COUNTIFS(Errors!$F:$F,Analysis!$AE37,Errors!$D:$D,Analysis!$AV$2,Errors!$I:$I,"TV*")</f>
        <v>0</v>
      </c>
      <c r="AW37" s="34">
        <f>COUNTIFS(Errors!$F:$F,Analysis!$AE37,Errors!$D:$D,Analysis!$AW$2,Errors!$I:$I,"TV*")</f>
        <v>0</v>
      </c>
      <c r="AX37" s="34">
        <f>COUNTIFS(Errors!$F:$F,Analysis!$AE37,Errors!$D:$D,Analysis!$AX$2,Errors!$I:$I,"TV*")</f>
        <v>0</v>
      </c>
      <c r="AY37" s="34">
        <f>COUNTIFS(Errors!$F:$F,Analysis!$AE37,Errors!$D:$D,Analysis!$AY$2,Errors!$I:$I,"TV*")</f>
        <v>0</v>
      </c>
      <c r="AZ37" s="34">
        <f>COUNTIFS(Errors!$F:$F,Analysis!$AE37,Errors!$D:$D,Analysis!$AZ$2,Errors!$I:$I,"TV*")</f>
        <v>0</v>
      </c>
      <c r="BA37" s="34">
        <f>COUNTIFS(Errors!$F:$F,Analysis!$AE37,Errors!$D:$D,Analysis!$BA$2,Errors!$I:$I,"TV*")</f>
        <v>0</v>
      </c>
      <c r="BB37" s="34">
        <f>COUNTIFS(Errors!$F:$F,Analysis!$AE37,Errors!$D:$D,Analysis!$BB$2,Errors!$I:$I,"TV*")</f>
        <v>0</v>
      </c>
      <c r="BC37" s="34">
        <f>COUNTIFS(Errors!$F:$F,Analysis!$AE37,Errors!$D:$D,Analysis!$BC$2,Errors!$I:$I,"TV*")</f>
        <v>0</v>
      </c>
      <c r="BD37" s="34">
        <f>COUNTIFS(Errors!$F:$F,Analysis!$AE37,Errors!$D:$D,Analysis!$BD$2,Errors!$I:$I,"TV*")</f>
        <v>0</v>
      </c>
      <c r="BE37" s="34">
        <f>COUNTIFS(Errors!$F:$F,Analysis!$AE37,Errors!$D:$D,Analysis!$BE$2,Errors!$I:$I,"TV*")</f>
        <v>0</v>
      </c>
      <c r="BF37" s="34">
        <f>COUNTIFS(Errors!$F:$F,Analysis!$AE37,Errors!$D:$D,Analysis!$BF$2,Errors!$I:$I,"TV*")</f>
        <v>0</v>
      </c>
      <c r="BG37" s="34">
        <f>COUNTIFS(Errors!$F:$F,Analysis!$AE37,Errors!$D:$D,Analysis!$BG$2,Errors!$I:$I,"TV*")</f>
        <v>0</v>
      </c>
      <c r="BH37" s="34">
        <f>COUNTIFS(Errors!$F:$F,Analysis!$AE37,Errors!$D:$D,Analysis!$BH$2,Errors!$I:$I,"TV*")</f>
        <v>0</v>
      </c>
      <c r="BI37" s="34">
        <f>COUNTIFS(Errors!$F:$F,Analysis!$AE37,Errors!$D:$D,Analysis!$BI$2,Errors!$I:$I,"TV*")</f>
        <v>0</v>
      </c>
      <c r="BJ37" s="34">
        <f>COUNTIFS(Errors!$F:$F,Analysis!$AE37,Errors!$D:$D,Analysis!$BJ$2,Errors!$I:$I,"TV*")</f>
        <v>0</v>
      </c>
      <c r="BL37" s="39">
        <f t="shared" si="11"/>
        <v>0</v>
      </c>
      <c r="BN37" s="83">
        <f t="shared" si="12"/>
        <v>0</v>
      </c>
      <c r="BO37" s="84" t="s">
        <v>67</v>
      </c>
      <c r="BS37" s="35" t="s">
        <v>67</v>
      </c>
      <c r="BT37" s="34">
        <f>COUNTIFS(Errors!$D:$D,Analysis!BT$1,Errors!$F:$F,Analysis!$BS37,Errors!$P:$P,"YES")</f>
        <v>0</v>
      </c>
      <c r="BU37" s="34">
        <f>COUNTIFS(Errors!$D:$D,Analysis!BU$1,Errors!$F:$F,Analysis!$BS37,Errors!$P:$P,"YES")</f>
        <v>0</v>
      </c>
      <c r="BV37" s="34">
        <f>COUNTIFS(Errors!$D:$D,Analysis!BV$1,Errors!$F:$F,Analysis!$BS37,Errors!$P:$P,"YES")</f>
        <v>0</v>
      </c>
      <c r="BW37" s="34">
        <f>COUNTIFS(Errors!$D:$D,Analysis!BW$1,Errors!$F:$F,Analysis!$BS37,Errors!$P:$P,"YES")</f>
        <v>0</v>
      </c>
      <c r="BX37" s="34">
        <f>COUNTIFS(Errors!$D:$D,Analysis!BX$1,Errors!$F:$F,Analysis!$BS37,Errors!$P:$P,"YES")</f>
        <v>0</v>
      </c>
      <c r="BY37" s="34">
        <f>COUNTIFS(Errors!$D:$D,Analysis!BY$1,Errors!$F:$F,Analysis!$BS37,Errors!$P:$P,"YES")</f>
        <v>0</v>
      </c>
      <c r="BZ37" s="34">
        <f>COUNTIFS(Errors!$D:$D,Analysis!BZ$1,Errors!$F:$F,Analysis!$BS37,Errors!$P:$P,"YES")</f>
        <v>0</v>
      </c>
      <c r="CA37" s="34">
        <f>COUNTIFS(Errors!$D:$D,Analysis!CA$1,Errors!$F:$F,Analysis!$BS37,Errors!$P:$P,"YES")</f>
        <v>0</v>
      </c>
      <c r="CB37" s="34">
        <f>COUNTIFS(Errors!$D:$D,Analysis!CB$1,Errors!$F:$F,Analysis!$BS37,Errors!$P:$P,"YES")</f>
        <v>0</v>
      </c>
      <c r="CC37" s="34">
        <f>COUNTIFS(Errors!$D:$D,Analysis!CC$1,Errors!$F:$F,Analysis!$BS37,Errors!$P:$P,"YES")</f>
        <v>0</v>
      </c>
      <c r="CD37" s="34">
        <f>COUNTIFS(Errors!$D:$D,Analysis!CD$1,Errors!$F:$F,Analysis!$BS37,Errors!$P:$P,"YES")</f>
        <v>0</v>
      </c>
      <c r="CE37" s="34">
        <f>COUNTIFS(Errors!$D:$D,Analysis!CE$1,Errors!$F:$F,Analysis!$BS37,Errors!$P:$P,"YES")</f>
        <v>0</v>
      </c>
      <c r="CF37" s="34">
        <f>COUNTIFS(Errors!$D:$D,Analysis!CF$1,Errors!$F:$F,Analysis!$BS37,Errors!$P:$P,"YES")</f>
        <v>0</v>
      </c>
      <c r="CG37" s="34">
        <f>COUNTIFS(Errors!$D:$D,Analysis!CG$1,Errors!$F:$F,Analysis!$BS37,Errors!$P:$P,"YES")</f>
        <v>0</v>
      </c>
      <c r="CH37" s="34">
        <f>COUNTIFS(Errors!$D:$D,Analysis!CH$1,Errors!$F:$F,Analysis!$BS37,Errors!$P:$P,"YES")</f>
        <v>0</v>
      </c>
      <c r="CI37" s="34">
        <f>COUNTIFS(Errors!$D:$D,Analysis!CI$1,Errors!$F:$F,Analysis!$BS37,Errors!$P:$P,"YES")</f>
        <v>0</v>
      </c>
      <c r="CJ37" s="34">
        <f>COUNTIFS(Errors!$D:$D,Analysis!CJ$1,Errors!$F:$F,Analysis!$BS37,Errors!$P:$P,"YES")</f>
        <v>0</v>
      </c>
      <c r="CK37" s="34">
        <f>COUNTIFS(Errors!$D:$D,Analysis!CK$1,Errors!$F:$F,Analysis!$BS37,Errors!$P:$P,"YES")</f>
        <v>0</v>
      </c>
      <c r="CL37" s="34">
        <f>COUNTIFS(Errors!$D:$D,Analysis!CL$1,Errors!$F:$F,Analysis!$BS37,Errors!$P:$P,"YES")</f>
        <v>0</v>
      </c>
      <c r="CM37" s="34">
        <f>COUNTIFS(Errors!$D:$D,Analysis!CM$1,Errors!$F:$F,Analysis!$BS37,Errors!$P:$P,"YES")</f>
        <v>0</v>
      </c>
      <c r="CN37" s="34">
        <f>COUNTIFS(Errors!$D:$D,Analysis!CN$1,Errors!$F:$F,Analysis!$BS37,Errors!$P:$P,"YES")</f>
        <v>0</v>
      </c>
      <c r="CO37" s="34">
        <f>COUNTIFS(Errors!$D:$D,Analysis!CO$1,Errors!$F:$F,Analysis!$BS37,Errors!$P:$P,"YES")</f>
        <v>0</v>
      </c>
      <c r="CP37" s="34">
        <f>COUNTIFS(Errors!$D:$D,Analysis!CP$1,Errors!$F:$F,Analysis!$BS37,Errors!$P:$P,"YES")</f>
        <v>0</v>
      </c>
      <c r="CQ37" s="34">
        <f>COUNTIFS(Errors!$D:$D,Analysis!CQ$1,Errors!$F:$F,Analysis!$BS37,Errors!$P:$P,"YES")</f>
        <v>0</v>
      </c>
      <c r="CR37" s="34">
        <f>COUNTIFS(Errors!$D:$D,Analysis!CR$1,Errors!$F:$F,Analysis!$BS37,Errors!$P:$P,"YES")</f>
        <v>0</v>
      </c>
      <c r="CS37" s="34">
        <f>COUNTIFS(Errors!$D:$D,Analysis!CS$1,Errors!$F:$F,Analysis!$BS37,Errors!$P:$P,"YES")</f>
        <v>0</v>
      </c>
      <c r="CT37" s="34">
        <f>COUNTIFS(Errors!$D:$D,Analysis!CT$1,Errors!$F:$F,Analysis!$BS37,Errors!$P:$P,"YES")</f>
        <v>0</v>
      </c>
      <c r="CU37" s="34">
        <f>COUNTIFS(Errors!$D:$D,Analysis!CU$1,Errors!$F:$F,Analysis!$BS37,Errors!$P:$P,"YES")</f>
        <v>0</v>
      </c>
      <c r="CV37" s="34">
        <f>COUNTIFS(Errors!$D:$D,Analysis!CV$1,Errors!$F:$F,Analysis!$BS37,Errors!$P:$P,"YES")</f>
        <v>0</v>
      </c>
      <c r="CW37" s="34">
        <f>COUNTIFS(Errors!$D:$D,Analysis!CW$1,Errors!$F:$F,Analysis!$BS37,Errors!$P:$P,"YES")</f>
        <v>0</v>
      </c>
      <c r="CX37" s="34">
        <f>COUNTIFS(Errors!$D:$D,Analysis!CX$1,Errors!$F:$F,Analysis!$BS37,Errors!$P:$P,"YES")</f>
        <v>0</v>
      </c>
      <c r="CZ37" s="39">
        <f t="shared" si="13"/>
        <v>0</v>
      </c>
      <c r="DB37" s="42">
        <f t="shared" si="14"/>
        <v>0</v>
      </c>
      <c r="DC37" s="41" t="s">
        <v>67</v>
      </c>
    </row>
    <row r="38" ht="15.0" customHeight="1">
      <c r="B38" s="94"/>
      <c r="C38" s="6"/>
      <c r="D38" s="6"/>
      <c r="E38" s="6"/>
      <c r="F38" s="6"/>
      <c r="G38" s="6"/>
      <c r="H38" s="95"/>
      <c r="I38" s="94"/>
      <c r="J38" s="6"/>
      <c r="K38" s="6"/>
      <c r="L38" s="6"/>
      <c r="M38" s="6"/>
      <c r="N38" s="6"/>
      <c r="O38" s="6"/>
      <c r="P38" s="6"/>
      <c r="Q38" s="6"/>
      <c r="R38" s="95"/>
      <c r="S38" s="89"/>
      <c r="T38" s="89"/>
      <c r="U38" s="89"/>
      <c r="V38" s="89"/>
      <c r="W38" s="89"/>
      <c r="X38" s="89"/>
      <c r="Y38" s="89"/>
      <c r="Z38" s="89"/>
      <c r="AA38" s="89"/>
      <c r="AB38" s="89"/>
      <c r="AC38" s="89"/>
      <c r="AE38" s="35"/>
      <c r="AF38" s="34">
        <f>COUNTIFS(Errors!$F:$F,Analysis!$AE38,Errors!$D:$D,Analysis!$AF$2,Errors!$I:$I,"TV*")</f>
        <v>0</v>
      </c>
      <c r="AG38" s="34">
        <f>COUNTIFS(Errors!$F:$F,Analysis!$AE38,Errors!$D:$D,Analysis!$AG$2,Errors!$I:$I,"TV*")</f>
        <v>0</v>
      </c>
      <c r="AH38" s="34">
        <f>COUNTIFS(Errors!$F:$F,Analysis!$AE38,Errors!$D:$D,Analysis!$AH$2,Errors!$I:$I,"TV*")</f>
        <v>0</v>
      </c>
      <c r="AI38" s="34">
        <f>COUNTIFS(Errors!$F:$F,Analysis!$AE38,Errors!$D:$D,Analysis!$AI$2,Errors!$I:$I,"TV*")</f>
        <v>0</v>
      </c>
      <c r="AJ38" s="34">
        <f>COUNTIFS(Errors!$F:$F,Analysis!$AE38,Errors!$D:$D,Analysis!$AJ$2,Errors!$I:$I,"TV*")</f>
        <v>0</v>
      </c>
      <c r="AK38" s="34">
        <f>COUNTIFS(Errors!$F:$F,Analysis!$AE38,Errors!$D:$D,Analysis!$AK$2,Errors!$I:$I,"TV*")</f>
        <v>0</v>
      </c>
      <c r="AL38" s="34">
        <f>COUNTIFS(Errors!$F:$F,Analysis!$AE38,Errors!$D:$D,Analysis!$AL$2,Errors!$I:$I,"TV*")</f>
        <v>0</v>
      </c>
      <c r="AM38" s="34">
        <f>COUNTIFS(Errors!$F:$F,Analysis!$AE38,Errors!$D:$D,Analysis!$AM$2,Errors!$I:$I,"TV*")</f>
        <v>0</v>
      </c>
      <c r="AN38" s="34">
        <f>COUNTIFS(Errors!$F:$F,Analysis!$AE38,Errors!$D:$D,Analysis!$AN$2,Errors!$I:$I,"TV*")</f>
        <v>0</v>
      </c>
      <c r="AO38" s="34">
        <f>COUNTIFS(Errors!$F:$F,Analysis!$AE38,Errors!$D:$D,Analysis!$AO$2,Errors!$I:$I,"TV*")</f>
        <v>0</v>
      </c>
      <c r="AP38" s="34">
        <f>COUNTIFS(Errors!$F:$F,Analysis!$AE38,Errors!$D:$D,Analysis!$AP$2,Errors!$I:$I,"TV*")</f>
        <v>0</v>
      </c>
      <c r="AQ38" s="34">
        <f>COUNTIFS(Errors!$F:$F,Analysis!$AE38,Errors!$D:$D,Analysis!$AQ$2,Errors!$I:$I,"TV*")</f>
        <v>0</v>
      </c>
      <c r="AR38" s="34">
        <f>COUNTIFS(Errors!$F:$F,Analysis!$AE38,Errors!$D:$D,Analysis!$AR$2,Errors!$I:$I,"TV*")</f>
        <v>0</v>
      </c>
      <c r="AS38" s="34">
        <f>COUNTIFS(Errors!$F:$F,Analysis!$AE38,Errors!$D:$D,Analysis!$AS$2,Errors!$I:$I,"TV*")</f>
        <v>0</v>
      </c>
      <c r="AT38" s="34">
        <f>COUNTIFS(Errors!$F:$F,Analysis!$AE38,Errors!$D:$D,Analysis!$AT$2,Errors!$I:$I,"TV*")</f>
        <v>0</v>
      </c>
      <c r="AU38" s="34">
        <f>COUNTIFS(Errors!$F:$F,Analysis!$AE38,Errors!$D:$D,Analysis!$AU$2,Errors!$I:$I,"TV*")</f>
        <v>0</v>
      </c>
      <c r="AV38" s="34">
        <f>COUNTIFS(Errors!$F:$F,Analysis!$AE38,Errors!$D:$D,Analysis!$AV$2,Errors!$I:$I,"TV*")</f>
        <v>0</v>
      </c>
      <c r="AW38" s="34">
        <f>COUNTIFS(Errors!$F:$F,Analysis!$AE38,Errors!$D:$D,Analysis!$AW$2,Errors!$I:$I,"TV*")</f>
        <v>0</v>
      </c>
      <c r="AX38" s="34">
        <f>COUNTIFS(Errors!$F:$F,Analysis!$AE38,Errors!$D:$D,Analysis!$AX$2,Errors!$I:$I,"TV*")</f>
        <v>0</v>
      </c>
      <c r="AY38" s="34">
        <f>COUNTIFS(Errors!$F:$F,Analysis!$AE38,Errors!$D:$D,Analysis!$AY$2,Errors!$I:$I,"TV*")</f>
        <v>0</v>
      </c>
      <c r="AZ38" s="34">
        <f>COUNTIFS(Errors!$F:$F,Analysis!$AE38,Errors!$D:$D,Analysis!$AZ$2,Errors!$I:$I,"TV*")</f>
        <v>0</v>
      </c>
      <c r="BA38" s="34">
        <f>COUNTIFS(Errors!$F:$F,Analysis!$AE38,Errors!$D:$D,Analysis!$BA$2,Errors!$I:$I,"TV*")</f>
        <v>0</v>
      </c>
      <c r="BB38" s="34">
        <f>COUNTIFS(Errors!$F:$F,Analysis!$AE38,Errors!$D:$D,Analysis!$BB$2,Errors!$I:$I,"TV*")</f>
        <v>0</v>
      </c>
      <c r="BC38" s="34">
        <f>COUNTIFS(Errors!$F:$F,Analysis!$AE38,Errors!$D:$D,Analysis!$BC$2,Errors!$I:$I,"TV*")</f>
        <v>0</v>
      </c>
      <c r="BD38" s="34">
        <f>COUNTIFS(Errors!$F:$F,Analysis!$AE38,Errors!$D:$D,Analysis!$BD$2,Errors!$I:$I,"TV*")</f>
        <v>0</v>
      </c>
      <c r="BE38" s="34">
        <f>COUNTIFS(Errors!$F:$F,Analysis!$AE38,Errors!$D:$D,Analysis!$BE$2,Errors!$I:$I,"TV*")</f>
        <v>0</v>
      </c>
      <c r="BF38" s="34">
        <f>COUNTIFS(Errors!$F:$F,Analysis!$AE38,Errors!$D:$D,Analysis!$BF$2,Errors!$I:$I,"TV*")</f>
        <v>0</v>
      </c>
      <c r="BG38" s="34">
        <f>COUNTIFS(Errors!$F:$F,Analysis!$AE38,Errors!$D:$D,Analysis!$BG$2,Errors!$I:$I,"TV*")</f>
        <v>0</v>
      </c>
      <c r="BH38" s="34">
        <f>COUNTIFS(Errors!$F:$F,Analysis!$AE38,Errors!$D:$D,Analysis!$BH$2,Errors!$I:$I,"TV*")</f>
        <v>0</v>
      </c>
      <c r="BI38" s="34">
        <f>COUNTIFS(Errors!$F:$F,Analysis!$AE38,Errors!$D:$D,Analysis!$BI$2,Errors!$I:$I,"TV*")</f>
        <v>0</v>
      </c>
      <c r="BJ38" s="34">
        <f>COUNTIFS(Errors!$F:$F,Analysis!$AE38,Errors!$D:$D,Analysis!$BJ$2,Errors!$I:$I,"TV*")</f>
        <v>0</v>
      </c>
      <c r="BL38" s="39">
        <f t="shared" si="11"/>
        <v>0</v>
      </c>
      <c r="BN38" s="83">
        <f t="shared" si="12"/>
        <v>0</v>
      </c>
      <c r="BO38" s="84" t="s">
        <v>69</v>
      </c>
      <c r="BS38" s="35" t="s">
        <v>69</v>
      </c>
      <c r="BT38" s="34">
        <f>COUNTIFS(Errors!$D:$D,Analysis!BT$1,Errors!$F:$F,Analysis!$BS38,Errors!$P:$P,"YES")</f>
        <v>0</v>
      </c>
      <c r="BU38" s="34">
        <f>COUNTIFS(Errors!$D:$D,Analysis!BU$1,Errors!$F:$F,Analysis!$BS38,Errors!$P:$P,"YES")</f>
        <v>0</v>
      </c>
      <c r="BV38" s="34">
        <f>COUNTIFS(Errors!$D:$D,Analysis!BV$1,Errors!$F:$F,Analysis!$BS38,Errors!$P:$P,"YES")</f>
        <v>0</v>
      </c>
      <c r="BW38" s="34">
        <f>COUNTIFS(Errors!$D:$D,Analysis!BW$1,Errors!$F:$F,Analysis!$BS38,Errors!$P:$P,"YES")</f>
        <v>0</v>
      </c>
      <c r="BX38" s="34">
        <f>COUNTIFS(Errors!$D:$D,Analysis!BX$1,Errors!$F:$F,Analysis!$BS38,Errors!$P:$P,"YES")</f>
        <v>0</v>
      </c>
      <c r="BY38" s="34">
        <f>COUNTIFS(Errors!$D:$D,Analysis!BY$1,Errors!$F:$F,Analysis!$BS38,Errors!$P:$P,"YES")</f>
        <v>0</v>
      </c>
      <c r="BZ38" s="34">
        <f>COUNTIFS(Errors!$D:$D,Analysis!BZ$1,Errors!$F:$F,Analysis!$BS38,Errors!$P:$P,"YES")</f>
        <v>0</v>
      </c>
      <c r="CA38" s="34">
        <f>COUNTIFS(Errors!$D:$D,Analysis!CA$1,Errors!$F:$F,Analysis!$BS38,Errors!$P:$P,"YES")</f>
        <v>0</v>
      </c>
      <c r="CB38" s="34">
        <f>COUNTIFS(Errors!$D:$D,Analysis!CB$1,Errors!$F:$F,Analysis!$BS38,Errors!$P:$P,"YES")</f>
        <v>0</v>
      </c>
      <c r="CC38" s="34">
        <f>COUNTIFS(Errors!$D:$D,Analysis!CC$1,Errors!$F:$F,Analysis!$BS38,Errors!$P:$P,"YES")</f>
        <v>0</v>
      </c>
      <c r="CD38" s="34">
        <f>COUNTIFS(Errors!$D:$D,Analysis!CD$1,Errors!$F:$F,Analysis!$BS38,Errors!$P:$P,"YES")</f>
        <v>0</v>
      </c>
      <c r="CE38" s="34">
        <f>COUNTIFS(Errors!$D:$D,Analysis!CE$1,Errors!$F:$F,Analysis!$BS38,Errors!$P:$P,"YES")</f>
        <v>0</v>
      </c>
      <c r="CF38" s="34">
        <f>COUNTIFS(Errors!$D:$D,Analysis!CF$1,Errors!$F:$F,Analysis!$BS38,Errors!$P:$P,"YES")</f>
        <v>0</v>
      </c>
      <c r="CG38" s="34">
        <f>COUNTIFS(Errors!$D:$D,Analysis!CG$1,Errors!$F:$F,Analysis!$BS38,Errors!$P:$P,"YES")</f>
        <v>0</v>
      </c>
      <c r="CH38" s="34">
        <f>COUNTIFS(Errors!$D:$D,Analysis!CH$1,Errors!$F:$F,Analysis!$BS38,Errors!$P:$P,"YES")</f>
        <v>0</v>
      </c>
      <c r="CI38" s="34">
        <f>COUNTIFS(Errors!$D:$D,Analysis!CI$1,Errors!$F:$F,Analysis!$BS38,Errors!$P:$P,"YES")</f>
        <v>0</v>
      </c>
      <c r="CJ38" s="34">
        <f>COUNTIFS(Errors!$D:$D,Analysis!CJ$1,Errors!$F:$F,Analysis!$BS38,Errors!$P:$P,"YES")</f>
        <v>0</v>
      </c>
      <c r="CK38" s="34">
        <f>COUNTIFS(Errors!$D:$D,Analysis!CK$1,Errors!$F:$F,Analysis!$BS38,Errors!$P:$P,"YES")</f>
        <v>0</v>
      </c>
      <c r="CL38" s="34">
        <f>COUNTIFS(Errors!$D:$D,Analysis!CL$1,Errors!$F:$F,Analysis!$BS38,Errors!$P:$P,"YES")</f>
        <v>0</v>
      </c>
      <c r="CM38" s="34">
        <f>COUNTIFS(Errors!$D:$D,Analysis!CM$1,Errors!$F:$F,Analysis!$BS38,Errors!$P:$P,"YES")</f>
        <v>0</v>
      </c>
      <c r="CN38" s="34">
        <f>COUNTIFS(Errors!$D:$D,Analysis!CN$1,Errors!$F:$F,Analysis!$BS38,Errors!$P:$P,"YES")</f>
        <v>0</v>
      </c>
      <c r="CO38" s="34">
        <f>COUNTIFS(Errors!$D:$D,Analysis!CO$1,Errors!$F:$F,Analysis!$BS38,Errors!$P:$P,"YES")</f>
        <v>0</v>
      </c>
      <c r="CP38" s="34">
        <f>COUNTIFS(Errors!$D:$D,Analysis!CP$1,Errors!$F:$F,Analysis!$BS38,Errors!$P:$P,"YES")</f>
        <v>0</v>
      </c>
      <c r="CQ38" s="34">
        <f>COUNTIFS(Errors!$D:$D,Analysis!CQ$1,Errors!$F:$F,Analysis!$BS38,Errors!$P:$P,"YES")</f>
        <v>0</v>
      </c>
      <c r="CR38" s="34">
        <f>COUNTIFS(Errors!$D:$D,Analysis!CR$1,Errors!$F:$F,Analysis!$BS38,Errors!$P:$P,"YES")</f>
        <v>0</v>
      </c>
      <c r="CS38" s="34">
        <f>COUNTIFS(Errors!$D:$D,Analysis!CS$1,Errors!$F:$F,Analysis!$BS38,Errors!$P:$P,"YES")</f>
        <v>0</v>
      </c>
      <c r="CT38" s="34">
        <f>COUNTIFS(Errors!$D:$D,Analysis!CT$1,Errors!$F:$F,Analysis!$BS38,Errors!$P:$P,"YES")</f>
        <v>0</v>
      </c>
      <c r="CU38" s="34">
        <f>COUNTIFS(Errors!$D:$D,Analysis!CU$1,Errors!$F:$F,Analysis!$BS38,Errors!$P:$P,"YES")</f>
        <v>0</v>
      </c>
      <c r="CV38" s="34">
        <f>COUNTIFS(Errors!$D:$D,Analysis!CV$1,Errors!$F:$F,Analysis!$BS38,Errors!$P:$P,"YES")</f>
        <v>0</v>
      </c>
      <c r="CW38" s="34">
        <f>COUNTIFS(Errors!$D:$D,Analysis!CW$1,Errors!$F:$F,Analysis!$BS38,Errors!$P:$P,"YES")</f>
        <v>0</v>
      </c>
      <c r="CX38" s="34">
        <f>COUNTIFS(Errors!$D:$D,Analysis!CX$1,Errors!$F:$F,Analysis!$BS38,Errors!$P:$P,"YES")</f>
        <v>0</v>
      </c>
      <c r="CZ38" s="39">
        <f t="shared" si="13"/>
        <v>0</v>
      </c>
      <c r="DB38" s="42">
        <f t="shared" si="14"/>
        <v>0</v>
      </c>
      <c r="DC38" s="41" t="s">
        <v>69</v>
      </c>
    </row>
    <row r="39" ht="15.0" customHeight="1">
      <c r="B39" s="96" t="s">
        <v>111</v>
      </c>
      <c r="C39" s="30" t="s">
        <v>112</v>
      </c>
      <c r="D39" s="2"/>
      <c r="E39" s="2"/>
      <c r="F39" s="2"/>
      <c r="G39" s="2"/>
      <c r="H39" s="3"/>
      <c r="I39" s="97" t="s">
        <v>113</v>
      </c>
      <c r="K39" s="98" t="s">
        <v>111</v>
      </c>
      <c r="L39" s="99" t="s">
        <v>112</v>
      </c>
      <c r="M39" s="2"/>
      <c r="N39" s="2"/>
      <c r="O39" s="2"/>
      <c r="P39" s="2"/>
      <c r="Q39" s="3"/>
      <c r="R39" s="97" t="s">
        <v>113</v>
      </c>
      <c r="S39" s="89"/>
      <c r="T39" s="89"/>
      <c r="U39" s="89"/>
      <c r="V39" s="89"/>
      <c r="W39" s="89"/>
      <c r="X39" s="89"/>
      <c r="Y39" s="89"/>
      <c r="Z39" s="89"/>
      <c r="AA39" s="89"/>
      <c r="AB39" s="89"/>
      <c r="AC39" s="89"/>
      <c r="AE39" s="35"/>
      <c r="AF39" s="34">
        <f>COUNTIFS(Errors!$F:$F,Analysis!$AE39,Errors!$D:$D,Analysis!$AF$2,Errors!$I:$I,"TV*")</f>
        <v>0</v>
      </c>
      <c r="AG39" s="34">
        <f>COUNTIFS(Errors!$F:$F,Analysis!$AE39,Errors!$D:$D,Analysis!$AG$2,Errors!$I:$I,"TV*")</f>
        <v>0</v>
      </c>
      <c r="AH39" s="34">
        <f>COUNTIFS(Errors!$F:$F,Analysis!$AE39,Errors!$D:$D,Analysis!$AH$2,Errors!$I:$I,"TV*")</f>
        <v>0</v>
      </c>
      <c r="AI39" s="34">
        <f>COUNTIFS(Errors!$F:$F,Analysis!$AE39,Errors!$D:$D,Analysis!$AI$2,Errors!$I:$I,"TV*")</f>
        <v>0</v>
      </c>
      <c r="AJ39" s="34">
        <f>COUNTIFS(Errors!$F:$F,Analysis!$AE39,Errors!$D:$D,Analysis!$AJ$2,Errors!$I:$I,"TV*")</f>
        <v>0</v>
      </c>
      <c r="AK39" s="34">
        <f>COUNTIFS(Errors!$F:$F,Analysis!$AE39,Errors!$D:$D,Analysis!$AK$2,Errors!$I:$I,"TV*")</f>
        <v>0</v>
      </c>
      <c r="AL39" s="34">
        <f>COUNTIFS(Errors!$F:$F,Analysis!$AE39,Errors!$D:$D,Analysis!$AL$2,Errors!$I:$I,"TV*")</f>
        <v>0</v>
      </c>
      <c r="AM39" s="34">
        <f>COUNTIFS(Errors!$F:$F,Analysis!$AE39,Errors!$D:$D,Analysis!$AM$2,Errors!$I:$I,"TV*")</f>
        <v>0</v>
      </c>
      <c r="AN39" s="34">
        <f>COUNTIFS(Errors!$F:$F,Analysis!$AE39,Errors!$D:$D,Analysis!$AN$2,Errors!$I:$I,"TV*")</f>
        <v>0</v>
      </c>
      <c r="AO39" s="34">
        <f>COUNTIFS(Errors!$F:$F,Analysis!$AE39,Errors!$D:$D,Analysis!$AO$2,Errors!$I:$I,"TV*")</f>
        <v>0</v>
      </c>
      <c r="AP39" s="34">
        <f>COUNTIFS(Errors!$F:$F,Analysis!$AE39,Errors!$D:$D,Analysis!$AP$2,Errors!$I:$I,"TV*")</f>
        <v>0</v>
      </c>
      <c r="AQ39" s="34">
        <f>COUNTIFS(Errors!$F:$F,Analysis!$AE39,Errors!$D:$D,Analysis!$AQ$2,Errors!$I:$I,"TV*")</f>
        <v>0</v>
      </c>
      <c r="AR39" s="34">
        <f>COUNTIFS(Errors!$F:$F,Analysis!$AE39,Errors!$D:$D,Analysis!$AR$2,Errors!$I:$I,"TV*")</f>
        <v>0</v>
      </c>
      <c r="AS39" s="34">
        <f>COUNTIFS(Errors!$F:$F,Analysis!$AE39,Errors!$D:$D,Analysis!$AS$2,Errors!$I:$I,"TV*")</f>
        <v>0</v>
      </c>
      <c r="AT39" s="34">
        <f>COUNTIFS(Errors!$F:$F,Analysis!$AE39,Errors!$D:$D,Analysis!$AT$2,Errors!$I:$I,"TV*")</f>
        <v>0</v>
      </c>
      <c r="AU39" s="34">
        <f>COUNTIFS(Errors!$F:$F,Analysis!$AE39,Errors!$D:$D,Analysis!$AU$2,Errors!$I:$I,"TV*")</f>
        <v>0</v>
      </c>
      <c r="AV39" s="34">
        <f>COUNTIFS(Errors!$F:$F,Analysis!$AE39,Errors!$D:$D,Analysis!$AV$2,Errors!$I:$I,"TV*")</f>
        <v>0</v>
      </c>
      <c r="AW39" s="34">
        <f>COUNTIFS(Errors!$F:$F,Analysis!$AE39,Errors!$D:$D,Analysis!$AW$2,Errors!$I:$I,"TV*")</f>
        <v>0</v>
      </c>
      <c r="AX39" s="34">
        <f>COUNTIFS(Errors!$F:$F,Analysis!$AE39,Errors!$D:$D,Analysis!$AX$2,Errors!$I:$I,"TV*")</f>
        <v>0</v>
      </c>
      <c r="AY39" s="34">
        <f>COUNTIFS(Errors!$F:$F,Analysis!$AE39,Errors!$D:$D,Analysis!$AY$2,Errors!$I:$I,"TV*")</f>
        <v>0</v>
      </c>
      <c r="AZ39" s="34">
        <f>COUNTIFS(Errors!$F:$F,Analysis!$AE39,Errors!$D:$D,Analysis!$AZ$2,Errors!$I:$I,"TV*")</f>
        <v>0</v>
      </c>
      <c r="BA39" s="34">
        <f>COUNTIFS(Errors!$F:$F,Analysis!$AE39,Errors!$D:$D,Analysis!$BA$2,Errors!$I:$I,"TV*")</f>
        <v>0</v>
      </c>
      <c r="BB39" s="34">
        <f>COUNTIFS(Errors!$F:$F,Analysis!$AE39,Errors!$D:$D,Analysis!$BB$2,Errors!$I:$I,"TV*")</f>
        <v>0</v>
      </c>
      <c r="BC39" s="34">
        <f>COUNTIFS(Errors!$F:$F,Analysis!$AE39,Errors!$D:$D,Analysis!$BC$2,Errors!$I:$I,"TV*")</f>
        <v>0</v>
      </c>
      <c r="BD39" s="34">
        <f>COUNTIFS(Errors!$F:$F,Analysis!$AE39,Errors!$D:$D,Analysis!$BD$2,Errors!$I:$I,"TV*")</f>
        <v>0</v>
      </c>
      <c r="BE39" s="34">
        <f>COUNTIFS(Errors!$F:$F,Analysis!$AE39,Errors!$D:$D,Analysis!$BE$2,Errors!$I:$I,"TV*")</f>
        <v>0</v>
      </c>
      <c r="BF39" s="34">
        <f>COUNTIFS(Errors!$F:$F,Analysis!$AE39,Errors!$D:$D,Analysis!$BF$2,Errors!$I:$I,"TV*")</f>
        <v>0</v>
      </c>
      <c r="BG39" s="34">
        <f>COUNTIFS(Errors!$F:$F,Analysis!$AE39,Errors!$D:$D,Analysis!$BG$2,Errors!$I:$I,"TV*")</f>
        <v>0</v>
      </c>
      <c r="BH39" s="34">
        <f>COUNTIFS(Errors!$F:$F,Analysis!$AE39,Errors!$D:$D,Analysis!$BH$2,Errors!$I:$I,"TV*")</f>
        <v>0</v>
      </c>
      <c r="BI39" s="34">
        <f>COUNTIFS(Errors!$F:$F,Analysis!$AE39,Errors!$D:$D,Analysis!$BI$2,Errors!$I:$I,"TV*")</f>
        <v>0</v>
      </c>
      <c r="BJ39" s="34">
        <f>COUNTIFS(Errors!$F:$F,Analysis!$AE39,Errors!$D:$D,Analysis!$BJ$2,Errors!$I:$I,"TV*")</f>
        <v>0</v>
      </c>
      <c r="BL39" s="39">
        <f t="shared" si="11"/>
        <v>0</v>
      </c>
      <c r="BN39" s="83">
        <f t="shared" si="12"/>
        <v>0</v>
      </c>
      <c r="BO39" s="84" t="s">
        <v>70</v>
      </c>
      <c r="BS39" s="35" t="s">
        <v>70</v>
      </c>
      <c r="BT39" s="34">
        <f>COUNTIFS(Errors!$D:$D,Analysis!BT$1,Errors!$F:$F,Analysis!$BS39,Errors!$P:$P,"YES")</f>
        <v>0</v>
      </c>
      <c r="BU39" s="34">
        <f>COUNTIFS(Errors!$D:$D,Analysis!BU$1,Errors!$F:$F,Analysis!$BS39,Errors!$P:$P,"YES")</f>
        <v>0</v>
      </c>
      <c r="BV39" s="34">
        <f>COUNTIFS(Errors!$D:$D,Analysis!BV$1,Errors!$F:$F,Analysis!$BS39,Errors!$P:$P,"YES")</f>
        <v>0</v>
      </c>
      <c r="BW39" s="34">
        <f>COUNTIFS(Errors!$D:$D,Analysis!BW$1,Errors!$F:$F,Analysis!$BS39,Errors!$P:$P,"YES")</f>
        <v>0</v>
      </c>
      <c r="BX39" s="34">
        <f>COUNTIFS(Errors!$D:$D,Analysis!BX$1,Errors!$F:$F,Analysis!$BS39,Errors!$P:$P,"YES")</f>
        <v>0</v>
      </c>
      <c r="BY39" s="34">
        <f>COUNTIFS(Errors!$D:$D,Analysis!BY$1,Errors!$F:$F,Analysis!$BS39,Errors!$P:$P,"YES")</f>
        <v>0</v>
      </c>
      <c r="BZ39" s="34">
        <f>COUNTIFS(Errors!$D:$D,Analysis!BZ$1,Errors!$F:$F,Analysis!$BS39,Errors!$P:$P,"YES")</f>
        <v>0</v>
      </c>
      <c r="CA39" s="34">
        <f>COUNTIFS(Errors!$D:$D,Analysis!CA$1,Errors!$F:$F,Analysis!$BS39,Errors!$P:$P,"YES")</f>
        <v>0</v>
      </c>
      <c r="CB39" s="34">
        <f>COUNTIFS(Errors!$D:$D,Analysis!CB$1,Errors!$F:$F,Analysis!$BS39,Errors!$P:$P,"YES")</f>
        <v>0</v>
      </c>
      <c r="CC39" s="34">
        <f>COUNTIFS(Errors!$D:$D,Analysis!CC$1,Errors!$F:$F,Analysis!$BS39,Errors!$P:$P,"YES")</f>
        <v>0</v>
      </c>
      <c r="CD39" s="34">
        <f>COUNTIFS(Errors!$D:$D,Analysis!CD$1,Errors!$F:$F,Analysis!$BS39,Errors!$P:$P,"YES")</f>
        <v>0</v>
      </c>
      <c r="CE39" s="34">
        <f>COUNTIFS(Errors!$D:$D,Analysis!CE$1,Errors!$F:$F,Analysis!$BS39,Errors!$P:$P,"YES")</f>
        <v>0</v>
      </c>
      <c r="CF39" s="34">
        <f>COUNTIFS(Errors!$D:$D,Analysis!CF$1,Errors!$F:$F,Analysis!$BS39,Errors!$P:$P,"YES")</f>
        <v>0</v>
      </c>
      <c r="CG39" s="34">
        <f>COUNTIFS(Errors!$D:$D,Analysis!CG$1,Errors!$F:$F,Analysis!$BS39,Errors!$P:$P,"YES")</f>
        <v>0</v>
      </c>
      <c r="CH39" s="34">
        <f>COUNTIFS(Errors!$D:$D,Analysis!CH$1,Errors!$F:$F,Analysis!$BS39,Errors!$P:$P,"YES")</f>
        <v>0</v>
      </c>
      <c r="CI39" s="34">
        <f>COUNTIFS(Errors!$D:$D,Analysis!CI$1,Errors!$F:$F,Analysis!$BS39,Errors!$P:$P,"YES")</f>
        <v>0</v>
      </c>
      <c r="CJ39" s="34">
        <f>COUNTIFS(Errors!$D:$D,Analysis!CJ$1,Errors!$F:$F,Analysis!$BS39,Errors!$P:$P,"YES")</f>
        <v>0</v>
      </c>
      <c r="CK39" s="34">
        <f>COUNTIFS(Errors!$D:$D,Analysis!CK$1,Errors!$F:$F,Analysis!$BS39,Errors!$P:$P,"YES")</f>
        <v>0</v>
      </c>
      <c r="CL39" s="34">
        <f>COUNTIFS(Errors!$D:$D,Analysis!CL$1,Errors!$F:$F,Analysis!$BS39,Errors!$P:$P,"YES")</f>
        <v>0</v>
      </c>
      <c r="CM39" s="34">
        <f>COUNTIFS(Errors!$D:$D,Analysis!CM$1,Errors!$F:$F,Analysis!$BS39,Errors!$P:$P,"YES")</f>
        <v>0</v>
      </c>
      <c r="CN39" s="34">
        <f>COUNTIFS(Errors!$D:$D,Analysis!CN$1,Errors!$F:$F,Analysis!$BS39,Errors!$P:$P,"YES")</f>
        <v>0</v>
      </c>
      <c r="CO39" s="34">
        <f>COUNTIFS(Errors!$D:$D,Analysis!CO$1,Errors!$F:$F,Analysis!$BS39,Errors!$P:$P,"YES")</f>
        <v>0</v>
      </c>
      <c r="CP39" s="34">
        <f>COUNTIFS(Errors!$D:$D,Analysis!CP$1,Errors!$F:$F,Analysis!$BS39,Errors!$P:$P,"YES")</f>
        <v>0</v>
      </c>
      <c r="CQ39" s="34">
        <f>COUNTIFS(Errors!$D:$D,Analysis!CQ$1,Errors!$F:$F,Analysis!$BS39,Errors!$P:$P,"YES")</f>
        <v>0</v>
      </c>
      <c r="CR39" s="34">
        <f>COUNTIFS(Errors!$D:$D,Analysis!CR$1,Errors!$F:$F,Analysis!$BS39,Errors!$P:$P,"YES")</f>
        <v>0</v>
      </c>
      <c r="CS39" s="34">
        <f>COUNTIFS(Errors!$D:$D,Analysis!CS$1,Errors!$F:$F,Analysis!$BS39,Errors!$P:$P,"YES")</f>
        <v>0</v>
      </c>
      <c r="CT39" s="34">
        <f>COUNTIFS(Errors!$D:$D,Analysis!CT$1,Errors!$F:$F,Analysis!$BS39,Errors!$P:$P,"YES")</f>
        <v>0</v>
      </c>
      <c r="CU39" s="34">
        <f>COUNTIFS(Errors!$D:$D,Analysis!CU$1,Errors!$F:$F,Analysis!$BS39,Errors!$P:$P,"YES")</f>
        <v>0</v>
      </c>
      <c r="CV39" s="34">
        <f>COUNTIFS(Errors!$D:$D,Analysis!CV$1,Errors!$F:$F,Analysis!$BS39,Errors!$P:$P,"YES")</f>
        <v>0</v>
      </c>
      <c r="CW39" s="34">
        <f>COUNTIFS(Errors!$D:$D,Analysis!CW$1,Errors!$F:$F,Analysis!$BS39,Errors!$P:$P,"YES")</f>
        <v>0</v>
      </c>
      <c r="CX39" s="34">
        <f>COUNTIFS(Errors!$D:$D,Analysis!CX$1,Errors!$F:$F,Analysis!$BS39,Errors!$P:$P,"YES")</f>
        <v>0</v>
      </c>
      <c r="CZ39" s="39">
        <f t="shared" si="13"/>
        <v>0</v>
      </c>
      <c r="DB39" s="42">
        <f t="shared" si="14"/>
        <v>0</v>
      </c>
      <c r="DC39" s="41" t="s">
        <v>70</v>
      </c>
    </row>
    <row r="40" ht="15.0" customHeight="1">
      <c r="B40" s="100" t="s">
        <v>114</v>
      </c>
      <c r="C40" s="101" t="s">
        <v>115</v>
      </c>
      <c r="D40" s="102"/>
      <c r="E40" s="102"/>
      <c r="F40" s="102"/>
      <c r="G40" s="102"/>
      <c r="H40" s="103"/>
      <c r="I40" s="104">
        <f>COUNTIF(Errors!$I$3:$I$3008,$B40)</f>
        <v>5</v>
      </c>
      <c r="K40" s="105" t="s">
        <v>116</v>
      </c>
      <c r="L40" s="106" t="s">
        <v>117</v>
      </c>
      <c r="M40" s="2"/>
      <c r="N40" s="2"/>
      <c r="O40" s="2"/>
      <c r="P40" s="2"/>
      <c r="Q40" s="3"/>
      <c r="R40" s="104">
        <f>COUNTIF(Errors!$I$3:$I$3008,$K40)</f>
        <v>15</v>
      </c>
      <c r="S40" s="89"/>
      <c r="T40" s="89"/>
      <c r="U40" s="89"/>
      <c r="V40" s="89"/>
      <c r="W40" s="89"/>
      <c r="X40" s="89"/>
      <c r="Y40" s="89"/>
      <c r="Z40" s="89"/>
      <c r="AA40" s="89"/>
      <c r="AB40" s="89"/>
      <c r="AC40" s="89"/>
      <c r="AE40" s="35"/>
      <c r="AF40" s="34">
        <f>COUNTIFS(Errors!$F:$F,Analysis!$AE40,Errors!$D:$D,Analysis!$AF$2,Errors!$I:$I,"TV*")</f>
        <v>0</v>
      </c>
      <c r="AG40" s="34">
        <f>COUNTIFS(Errors!$F:$F,Analysis!$AE40,Errors!$D:$D,Analysis!$AG$2,Errors!$I:$I,"TV*")</f>
        <v>0</v>
      </c>
      <c r="AH40" s="34">
        <f>COUNTIFS(Errors!$F:$F,Analysis!$AE40,Errors!$D:$D,Analysis!$AH$2,Errors!$I:$I,"TV*")</f>
        <v>0</v>
      </c>
      <c r="AI40" s="34">
        <f>COUNTIFS(Errors!$F:$F,Analysis!$AE40,Errors!$D:$D,Analysis!$AI$2,Errors!$I:$I,"TV*")</f>
        <v>0</v>
      </c>
      <c r="AJ40" s="34">
        <f>COUNTIFS(Errors!$F:$F,Analysis!$AE40,Errors!$D:$D,Analysis!$AJ$2,Errors!$I:$I,"TV*")</f>
        <v>0</v>
      </c>
      <c r="AK40" s="34">
        <f>COUNTIFS(Errors!$F:$F,Analysis!$AE40,Errors!$D:$D,Analysis!$AK$2,Errors!$I:$I,"TV*")</f>
        <v>0</v>
      </c>
      <c r="AL40" s="34">
        <f>COUNTIFS(Errors!$F:$F,Analysis!$AE40,Errors!$D:$D,Analysis!$AL$2,Errors!$I:$I,"TV*")</f>
        <v>0</v>
      </c>
      <c r="AM40" s="34">
        <f>COUNTIFS(Errors!$F:$F,Analysis!$AE40,Errors!$D:$D,Analysis!$AM$2,Errors!$I:$I,"TV*")</f>
        <v>0</v>
      </c>
      <c r="AN40" s="34">
        <f>COUNTIFS(Errors!$F:$F,Analysis!$AE40,Errors!$D:$D,Analysis!$AN$2,Errors!$I:$I,"TV*")</f>
        <v>0</v>
      </c>
      <c r="AO40" s="34">
        <f>COUNTIFS(Errors!$F:$F,Analysis!$AE40,Errors!$D:$D,Analysis!$AO$2,Errors!$I:$I,"TV*")</f>
        <v>0</v>
      </c>
      <c r="AP40" s="34">
        <f>COUNTIFS(Errors!$F:$F,Analysis!$AE40,Errors!$D:$D,Analysis!$AP$2,Errors!$I:$I,"TV*")</f>
        <v>0</v>
      </c>
      <c r="AQ40" s="34">
        <f>COUNTIFS(Errors!$F:$F,Analysis!$AE40,Errors!$D:$D,Analysis!$AQ$2,Errors!$I:$I,"TV*")</f>
        <v>0</v>
      </c>
      <c r="AR40" s="34">
        <f>COUNTIFS(Errors!$F:$F,Analysis!$AE40,Errors!$D:$D,Analysis!$AR$2,Errors!$I:$I,"TV*")</f>
        <v>0</v>
      </c>
      <c r="AS40" s="34">
        <f>COUNTIFS(Errors!$F:$F,Analysis!$AE40,Errors!$D:$D,Analysis!$AS$2,Errors!$I:$I,"TV*")</f>
        <v>0</v>
      </c>
      <c r="AT40" s="34">
        <f>COUNTIFS(Errors!$F:$F,Analysis!$AE40,Errors!$D:$D,Analysis!$AT$2,Errors!$I:$I,"TV*")</f>
        <v>0</v>
      </c>
      <c r="AU40" s="34">
        <f>COUNTIFS(Errors!$F:$F,Analysis!$AE40,Errors!$D:$D,Analysis!$AU$2,Errors!$I:$I,"TV*")</f>
        <v>0</v>
      </c>
      <c r="AV40" s="34">
        <f>COUNTIFS(Errors!$F:$F,Analysis!$AE40,Errors!$D:$D,Analysis!$AV$2,Errors!$I:$I,"TV*")</f>
        <v>0</v>
      </c>
      <c r="AW40" s="34">
        <f>COUNTIFS(Errors!$F:$F,Analysis!$AE40,Errors!$D:$D,Analysis!$AW$2,Errors!$I:$I,"TV*")</f>
        <v>0</v>
      </c>
      <c r="AX40" s="34">
        <f>COUNTIFS(Errors!$F:$F,Analysis!$AE40,Errors!$D:$D,Analysis!$AX$2,Errors!$I:$I,"TV*")</f>
        <v>0</v>
      </c>
      <c r="AY40" s="34">
        <f>COUNTIFS(Errors!$F:$F,Analysis!$AE40,Errors!$D:$D,Analysis!$AY$2,Errors!$I:$I,"TV*")</f>
        <v>0</v>
      </c>
      <c r="AZ40" s="34">
        <f>COUNTIFS(Errors!$F:$F,Analysis!$AE40,Errors!$D:$D,Analysis!$AZ$2,Errors!$I:$I,"TV*")</f>
        <v>0</v>
      </c>
      <c r="BA40" s="34">
        <f>COUNTIFS(Errors!$F:$F,Analysis!$AE40,Errors!$D:$D,Analysis!$BA$2,Errors!$I:$I,"TV*")</f>
        <v>0</v>
      </c>
      <c r="BB40" s="34">
        <f>COUNTIFS(Errors!$F:$F,Analysis!$AE40,Errors!$D:$D,Analysis!$BB$2,Errors!$I:$I,"TV*")</f>
        <v>0</v>
      </c>
      <c r="BC40" s="34">
        <f>COUNTIFS(Errors!$F:$F,Analysis!$AE40,Errors!$D:$D,Analysis!$BC$2,Errors!$I:$I,"TV*")</f>
        <v>0</v>
      </c>
      <c r="BD40" s="34">
        <f>COUNTIFS(Errors!$F:$F,Analysis!$AE40,Errors!$D:$D,Analysis!$BD$2,Errors!$I:$I,"TV*")</f>
        <v>0</v>
      </c>
      <c r="BE40" s="34">
        <f>COUNTIFS(Errors!$F:$F,Analysis!$AE40,Errors!$D:$D,Analysis!$BE$2,Errors!$I:$I,"TV*")</f>
        <v>0</v>
      </c>
      <c r="BF40" s="34">
        <f>COUNTIFS(Errors!$F:$F,Analysis!$AE40,Errors!$D:$D,Analysis!$BF$2,Errors!$I:$I,"TV*")</f>
        <v>0</v>
      </c>
      <c r="BG40" s="34">
        <f>COUNTIFS(Errors!$F:$F,Analysis!$AE40,Errors!$D:$D,Analysis!$BG$2,Errors!$I:$I,"TV*")</f>
        <v>0</v>
      </c>
      <c r="BH40" s="34">
        <f>COUNTIFS(Errors!$F:$F,Analysis!$AE40,Errors!$D:$D,Analysis!$BH$2,Errors!$I:$I,"TV*")</f>
        <v>0</v>
      </c>
      <c r="BI40" s="34">
        <f>COUNTIFS(Errors!$F:$F,Analysis!$AE40,Errors!$D:$D,Analysis!$BI$2,Errors!$I:$I,"TV*")</f>
        <v>0</v>
      </c>
      <c r="BJ40" s="34">
        <f>COUNTIFS(Errors!$F:$F,Analysis!$AE40,Errors!$D:$D,Analysis!$BJ$2,Errors!$I:$I,"TV*")</f>
        <v>0</v>
      </c>
      <c r="BL40" s="39">
        <f t="shared" si="11"/>
        <v>0</v>
      </c>
      <c r="BN40" s="83">
        <f t="shared" si="12"/>
        <v>0</v>
      </c>
      <c r="BO40" s="84" t="s">
        <v>71</v>
      </c>
      <c r="BS40" s="35" t="s">
        <v>71</v>
      </c>
      <c r="BT40" s="34">
        <f>COUNTIFS(Errors!$D:$D,Analysis!BT$1,Errors!$F:$F,Analysis!$BS40,Errors!$P:$P,"YES")</f>
        <v>0</v>
      </c>
      <c r="BU40" s="34">
        <f>COUNTIFS(Errors!$D:$D,Analysis!BU$1,Errors!$F:$F,Analysis!$BS40,Errors!$P:$P,"YES")</f>
        <v>0</v>
      </c>
      <c r="BV40" s="34">
        <f>COUNTIFS(Errors!$D:$D,Analysis!BV$1,Errors!$F:$F,Analysis!$BS40,Errors!$P:$P,"YES")</f>
        <v>0</v>
      </c>
      <c r="BW40" s="34">
        <f>COUNTIFS(Errors!$D:$D,Analysis!BW$1,Errors!$F:$F,Analysis!$BS40,Errors!$P:$P,"YES")</f>
        <v>0</v>
      </c>
      <c r="BX40" s="34">
        <f>COUNTIFS(Errors!$D:$D,Analysis!BX$1,Errors!$F:$F,Analysis!$BS40,Errors!$P:$P,"YES")</f>
        <v>0</v>
      </c>
      <c r="BY40" s="34">
        <f>COUNTIFS(Errors!$D:$D,Analysis!BY$1,Errors!$F:$F,Analysis!$BS40,Errors!$P:$P,"YES")</f>
        <v>0</v>
      </c>
      <c r="BZ40" s="34">
        <f>COUNTIFS(Errors!$D:$D,Analysis!BZ$1,Errors!$F:$F,Analysis!$BS40,Errors!$P:$P,"YES")</f>
        <v>0</v>
      </c>
      <c r="CA40" s="34">
        <f>COUNTIFS(Errors!$D:$D,Analysis!CA$1,Errors!$F:$F,Analysis!$BS40,Errors!$P:$P,"YES")</f>
        <v>0</v>
      </c>
      <c r="CB40" s="34">
        <f>COUNTIFS(Errors!$D:$D,Analysis!CB$1,Errors!$F:$F,Analysis!$BS40,Errors!$P:$P,"YES")</f>
        <v>0</v>
      </c>
      <c r="CC40" s="34">
        <f>COUNTIFS(Errors!$D:$D,Analysis!CC$1,Errors!$F:$F,Analysis!$BS40,Errors!$P:$P,"YES")</f>
        <v>0</v>
      </c>
      <c r="CD40" s="34">
        <f>COUNTIFS(Errors!$D:$D,Analysis!CD$1,Errors!$F:$F,Analysis!$BS40,Errors!$P:$P,"YES")</f>
        <v>0</v>
      </c>
      <c r="CE40" s="34">
        <f>COUNTIFS(Errors!$D:$D,Analysis!CE$1,Errors!$F:$F,Analysis!$BS40,Errors!$P:$P,"YES")</f>
        <v>0</v>
      </c>
      <c r="CF40" s="34">
        <f>COUNTIFS(Errors!$D:$D,Analysis!CF$1,Errors!$F:$F,Analysis!$BS40,Errors!$P:$P,"YES")</f>
        <v>0</v>
      </c>
      <c r="CG40" s="34">
        <f>COUNTIFS(Errors!$D:$D,Analysis!CG$1,Errors!$F:$F,Analysis!$BS40,Errors!$P:$P,"YES")</f>
        <v>0</v>
      </c>
      <c r="CH40" s="34">
        <f>COUNTIFS(Errors!$D:$D,Analysis!CH$1,Errors!$F:$F,Analysis!$BS40,Errors!$P:$P,"YES")</f>
        <v>0</v>
      </c>
      <c r="CI40" s="34">
        <f>COUNTIFS(Errors!$D:$D,Analysis!CI$1,Errors!$F:$F,Analysis!$BS40,Errors!$P:$P,"YES")</f>
        <v>0</v>
      </c>
      <c r="CJ40" s="34">
        <f>COUNTIFS(Errors!$D:$D,Analysis!CJ$1,Errors!$F:$F,Analysis!$BS40,Errors!$P:$P,"YES")</f>
        <v>0</v>
      </c>
      <c r="CK40" s="34">
        <f>COUNTIFS(Errors!$D:$D,Analysis!CK$1,Errors!$F:$F,Analysis!$BS40,Errors!$P:$P,"YES")</f>
        <v>0</v>
      </c>
      <c r="CL40" s="34">
        <f>COUNTIFS(Errors!$D:$D,Analysis!CL$1,Errors!$F:$F,Analysis!$BS40,Errors!$P:$P,"YES")</f>
        <v>0</v>
      </c>
      <c r="CM40" s="34">
        <f>COUNTIFS(Errors!$D:$D,Analysis!CM$1,Errors!$F:$F,Analysis!$BS40,Errors!$P:$P,"YES")</f>
        <v>0</v>
      </c>
      <c r="CN40" s="34">
        <f>COUNTIFS(Errors!$D:$D,Analysis!CN$1,Errors!$F:$F,Analysis!$BS40,Errors!$P:$P,"YES")</f>
        <v>0</v>
      </c>
      <c r="CO40" s="34">
        <f>COUNTIFS(Errors!$D:$D,Analysis!CO$1,Errors!$F:$F,Analysis!$BS40,Errors!$P:$P,"YES")</f>
        <v>0</v>
      </c>
      <c r="CP40" s="34">
        <f>COUNTIFS(Errors!$D:$D,Analysis!CP$1,Errors!$F:$F,Analysis!$BS40,Errors!$P:$P,"YES")</f>
        <v>0</v>
      </c>
      <c r="CQ40" s="34">
        <f>COUNTIFS(Errors!$D:$D,Analysis!CQ$1,Errors!$F:$F,Analysis!$BS40,Errors!$P:$P,"YES")</f>
        <v>0</v>
      </c>
      <c r="CR40" s="34">
        <f>COUNTIFS(Errors!$D:$D,Analysis!CR$1,Errors!$F:$F,Analysis!$BS40,Errors!$P:$P,"YES")</f>
        <v>0</v>
      </c>
      <c r="CS40" s="34">
        <f>COUNTIFS(Errors!$D:$D,Analysis!CS$1,Errors!$F:$F,Analysis!$BS40,Errors!$P:$P,"YES")</f>
        <v>0</v>
      </c>
      <c r="CT40" s="34">
        <f>COUNTIFS(Errors!$D:$D,Analysis!CT$1,Errors!$F:$F,Analysis!$BS40,Errors!$P:$P,"YES")</f>
        <v>0</v>
      </c>
      <c r="CU40" s="34">
        <f>COUNTIFS(Errors!$D:$D,Analysis!CU$1,Errors!$F:$F,Analysis!$BS40,Errors!$P:$P,"YES")</f>
        <v>0</v>
      </c>
      <c r="CV40" s="34">
        <f>COUNTIFS(Errors!$D:$D,Analysis!CV$1,Errors!$F:$F,Analysis!$BS40,Errors!$P:$P,"YES")</f>
        <v>0</v>
      </c>
      <c r="CW40" s="34">
        <f>COUNTIFS(Errors!$D:$D,Analysis!CW$1,Errors!$F:$F,Analysis!$BS40,Errors!$P:$P,"YES")</f>
        <v>0</v>
      </c>
      <c r="CX40" s="34">
        <f>COUNTIFS(Errors!$D:$D,Analysis!CX$1,Errors!$F:$F,Analysis!$BS40,Errors!$P:$P,"YES")</f>
        <v>0</v>
      </c>
      <c r="CZ40" s="39">
        <f t="shared" si="13"/>
        <v>0</v>
      </c>
      <c r="DB40" s="42">
        <f t="shared" si="14"/>
        <v>0</v>
      </c>
      <c r="DC40" s="41" t="s">
        <v>71</v>
      </c>
    </row>
    <row r="41" ht="15.0" customHeight="1">
      <c r="B41" s="100" t="s">
        <v>118</v>
      </c>
      <c r="C41" s="101" t="s">
        <v>119</v>
      </c>
      <c r="D41" s="102"/>
      <c r="E41" s="102"/>
      <c r="F41" s="102"/>
      <c r="G41" s="102"/>
      <c r="H41" s="103"/>
      <c r="I41" s="104">
        <f>COUNTIF(Errors!$I$3:$I$3008,$B41)</f>
        <v>0</v>
      </c>
      <c r="K41" s="105" t="s">
        <v>120</v>
      </c>
      <c r="L41" s="106" t="s">
        <v>121</v>
      </c>
      <c r="M41" s="2"/>
      <c r="N41" s="2"/>
      <c r="O41" s="2"/>
      <c r="P41" s="2"/>
      <c r="Q41" s="3"/>
      <c r="R41" s="104">
        <f>COUNTIF(Errors!$I$3:$I$3008,$K41)</f>
        <v>35</v>
      </c>
      <c r="S41" s="89"/>
      <c r="T41" s="89"/>
      <c r="U41" s="89"/>
      <c r="V41" s="89"/>
      <c r="W41" s="89"/>
      <c r="X41" s="89"/>
      <c r="Y41" s="89"/>
      <c r="Z41" s="89"/>
      <c r="AA41" s="89"/>
      <c r="AB41" s="89"/>
      <c r="AC41" s="89"/>
      <c r="AE41" s="35"/>
      <c r="AF41" s="34">
        <f>COUNTIFS(Errors!$F:$F,Analysis!$AE41,Errors!$D:$D,Analysis!$AF$2,Errors!$I:$I,"TV*")</f>
        <v>0</v>
      </c>
      <c r="AG41" s="34">
        <f>COUNTIFS(Errors!$F:$F,Analysis!$AE41,Errors!$D:$D,Analysis!$AG$2,Errors!$I:$I,"TV*")</f>
        <v>0</v>
      </c>
      <c r="AH41" s="34">
        <f>COUNTIFS(Errors!$F:$F,Analysis!$AE41,Errors!$D:$D,Analysis!$AH$2,Errors!$I:$I,"TV*")</f>
        <v>0</v>
      </c>
      <c r="AI41" s="34">
        <f>COUNTIFS(Errors!$F:$F,Analysis!$AE41,Errors!$D:$D,Analysis!$AI$2,Errors!$I:$I,"TV*")</f>
        <v>0</v>
      </c>
      <c r="AJ41" s="34">
        <f>COUNTIFS(Errors!$F:$F,Analysis!$AE41,Errors!$D:$D,Analysis!$AJ$2,Errors!$I:$I,"TV*")</f>
        <v>0</v>
      </c>
      <c r="AK41" s="34">
        <f>COUNTIFS(Errors!$F:$F,Analysis!$AE41,Errors!$D:$D,Analysis!$AK$2,Errors!$I:$I,"TV*")</f>
        <v>0</v>
      </c>
      <c r="AL41" s="34">
        <f>COUNTIFS(Errors!$F:$F,Analysis!$AE41,Errors!$D:$D,Analysis!$AL$2,Errors!$I:$I,"TV*")</f>
        <v>0</v>
      </c>
      <c r="AM41" s="34">
        <f>COUNTIFS(Errors!$F:$F,Analysis!$AE41,Errors!$D:$D,Analysis!$AM$2,Errors!$I:$I,"TV*")</f>
        <v>0</v>
      </c>
      <c r="AN41" s="34">
        <f>COUNTIFS(Errors!$F:$F,Analysis!$AE41,Errors!$D:$D,Analysis!$AN$2,Errors!$I:$I,"TV*")</f>
        <v>0</v>
      </c>
      <c r="AO41" s="34">
        <f>COUNTIFS(Errors!$F:$F,Analysis!$AE41,Errors!$D:$D,Analysis!$AO$2,Errors!$I:$I,"TV*")</f>
        <v>0</v>
      </c>
      <c r="AP41" s="34">
        <f>COUNTIFS(Errors!$F:$F,Analysis!$AE41,Errors!$D:$D,Analysis!$AP$2,Errors!$I:$I,"TV*")</f>
        <v>0</v>
      </c>
      <c r="AQ41" s="34">
        <f>COUNTIFS(Errors!$F:$F,Analysis!$AE41,Errors!$D:$D,Analysis!$AQ$2,Errors!$I:$I,"TV*")</f>
        <v>0</v>
      </c>
      <c r="AR41" s="34">
        <f>COUNTIFS(Errors!$F:$F,Analysis!$AE41,Errors!$D:$D,Analysis!$AR$2,Errors!$I:$I,"TV*")</f>
        <v>0</v>
      </c>
      <c r="AS41" s="34">
        <f>COUNTIFS(Errors!$F:$F,Analysis!$AE41,Errors!$D:$D,Analysis!$AS$2,Errors!$I:$I,"TV*")</f>
        <v>0</v>
      </c>
      <c r="AT41" s="34">
        <f>COUNTIFS(Errors!$F:$F,Analysis!$AE41,Errors!$D:$D,Analysis!$AT$2,Errors!$I:$I,"TV*")</f>
        <v>0</v>
      </c>
      <c r="AU41" s="34">
        <f>COUNTIFS(Errors!$F:$F,Analysis!$AE41,Errors!$D:$D,Analysis!$AU$2,Errors!$I:$I,"TV*")</f>
        <v>0</v>
      </c>
      <c r="AV41" s="34">
        <f>COUNTIFS(Errors!$F:$F,Analysis!$AE41,Errors!$D:$D,Analysis!$AV$2,Errors!$I:$I,"TV*")</f>
        <v>0</v>
      </c>
      <c r="AW41" s="34">
        <f>COUNTIFS(Errors!$F:$F,Analysis!$AE41,Errors!$D:$D,Analysis!$AW$2,Errors!$I:$I,"TV*")</f>
        <v>0</v>
      </c>
      <c r="AX41" s="34">
        <f>COUNTIFS(Errors!$F:$F,Analysis!$AE41,Errors!$D:$D,Analysis!$AX$2,Errors!$I:$I,"TV*")</f>
        <v>0</v>
      </c>
      <c r="AY41" s="34">
        <f>COUNTIFS(Errors!$F:$F,Analysis!$AE41,Errors!$D:$D,Analysis!$AY$2,Errors!$I:$I,"TV*")</f>
        <v>0</v>
      </c>
      <c r="AZ41" s="34">
        <f>COUNTIFS(Errors!$F:$F,Analysis!$AE41,Errors!$D:$D,Analysis!$AZ$2,Errors!$I:$I,"TV*")</f>
        <v>0</v>
      </c>
      <c r="BA41" s="34">
        <f>COUNTIFS(Errors!$F:$F,Analysis!$AE41,Errors!$D:$D,Analysis!$BA$2,Errors!$I:$I,"TV*")</f>
        <v>0</v>
      </c>
      <c r="BB41" s="34">
        <f>COUNTIFS(Errors!$F:$F,Analysis!$AE41,Errors!$D:$D,Analysis!$BB$2,Errors!$I:$I,"TV*")</f>
        <v>0</v>
      </c>
      <c r="BC41" s="34">
        <f>COUNTIFS(Errors!$F:$F,Analysis!$AE41,Errors!$D:$D,Analysis!$BC$2,Errors!$I:$I,"TV*")</f>
        <v>0</v>
      </c>
      <c r="BD41" s="34">
        <f>COUNTIFS(Errors!$F:$F,Analysis!$AE41,Errors!$D:$D,Analysis!$BD$2,Errors!$I:$I,"TV*")</f>
        <v>0</v>
      </c>
      <c r="BE41" s="34">
        <f>COUNTIFS(Errors!$F:$F,Analysis!$AE41,Errors!$D:$D,Analysis!$BE$2,Errors!$I:$I,"TV*")</f>
        <v>0</v>
      </c>
      <c r="BF41" s="34">
        <f>COUNTIFS(Errors!$F:$F,Analysis!$AE41,Errors!$D:$D,Analysis!$BF$2,Errors!$I:$I,"TV*")</f>
        <v>0</v>
      </c>
      <c r="BG41" s="34">
        <f>COUNTIFS(Errors!$F:$F,Analysis!$AE41,Errors!$D:$D,Analysis!$BG$2,Errors!$I:$I,"TV*")</f>
        <v>0</v>
      </c>
      <c r="BH41" s="34">
        <f>COUNTIFS(Errors!$F:$F,Analysis!$AE41,Errors!$D:$D,Analysis!$BH$2,Errors!$I:$I,"TV*")</f>
        <v>0</v>
      </c>
      <c r="BI41" s="34">
        <f>COUNTIFS(Errors!$F:$F,Analysis!$AE41,Errors!$D:$D,Analysis!$BI$2,Errors!$I:$I,"TV*")</f>
        <v>0</v>
      </c>
      <c r="BJ41" s="34">
        <f>COUNTIFS(Errors!$F:$F,Analysis!$AE41,Errors!$D:$D,Analysis!$BJ$2,Errors!$I:$I,"TV*")</f>
        <v>0</v>
      </c>
      <c r="BL41" s="39">
        <f t="shared" si="11"/>
        <v>0</v>
      </c>
      <c r="BN41" s="83">
        <f t="shared" si="12"/>
        <v>0</v>
      </c>
      <c r="BO41" s="84" t="s">
        <v>73</v>
      </c>
      <c r="BS41" s="35" t="s">
        <v>73</v>
      </c>
      <c r="BT41" s="34">
        <f>COUNTIFS(Errors!$D:$D,Analysis!BT$1,Errors!$F:$F,Analysis!$BS41,Errors!$P:$P,"YES")</f>
        <v>0</v>
      </c>
      <c r="BU41" s="34">
        <f>COUNTIFS(Errors!$D:$D,Analysis!BU$1,Errors!$F:$F,Analysis!$BS41,Errors!$P:$P,"YES")</f>
        <v>0</v>
      </c>
      <c r="BV41" s="34">
        <f>COUNTIFS(Errors!$D:$D,Analysis!BV$1,Errors!$F:$F,Analysis!$BS41,Errors!$P:$P,"YES")</f>
        <v>0</v>
      </c>
      <c r="BW41" s="34">
        <f>COUNTIFS(Errors!$D:$D,Analysis!BW$1,Errors!$F:$F,Analysis!$BS41,Errors!$P:$P,"YES")</f>
        <v>0</v>
      </c>
      <c r="BX41" s="34">
        <f>COUNTIFS(Errors!$D:$D,Analysis!BX$1,Errors!$F:$F,Analysis!$BS41,Errors!$P:$P,"YES")</f>
        <v>0</v>
      </c>
      <c r="BY41" s="34">
        <f>COUNTIFS(Errors!$D:$D,Analysis!BY$1,Errors!$F:$F,Analysis!$BS41,Errors!$P:$P,"YES")</f>
        <v>0</v>
      </c>
      <c r="BZ41" s="34">
        <f>COUNTIFS(Errors!$D:$D,Analysis!BZ$1,Errors!$F:$F,Analysis!$BS41,Errors!$P:$P,"YES")</f>
        <v>0</v>
      </c>
      <c r="CA41" s="34">
        <f>COUNTIFS(Errors!$D:$D,Analysis!CA$1,Errors!$F:$F,Analysis!$BS41,Errors!$P:$P,"YES")</f>
        <v>0</v>
      </c>
      <c r="CB41" s="34">
        <f>COUNTIFS(Errors!$D:$D,Analysis!CB$1,Errors!$F:$F,Analysis!$BS41,Errors!$P:$P,"YES")</f>
        <v>0</v>
      </c>
      <c r="CC41" s="34">
        <f>COUNTIFS(Errors!$D:$D,Analysis!CC$1,Errors!$F:$F,Analysis!$BS41,Errors!$P:$P,"YES")</f>
        <v>0</v>
      </c>
      <c r="CD41" s="34">
        <f>COUNTIFS(Errors!$D:$D,Analysis!CD$1,Errors!$F:$F,Analysis!$BS41,Errors!$P:$P,"YES")</f>
        <v>0</v>
      </c>
      <c r="CE41" s="34">
        <f>COUNTIFS(Errors!$D:$D,Analysis!CE$1,Errors!$F:$F,Analysis!$BS41,Errors!$P:$P,"YES")</f>
        <v>0</v>
      </c>
      <c r="CF41" s="34">
        <f>COUNTIFS(Errors!$D:$D,Analysis!CF$1,Errors!$F:$F,Analysis!$BS41,Errors!$P:$P,"YES")</f>
        <v>0</v>
      </c>
      <c r="CG41" s="34">
        <f>COUNTIFS(Errors!$D:$D,Analysis!CG$1,Errors!$F:$F,Analysis!$BS41,Errors!$P:$P,"YES")</f>
        <v>0</v>
      </c>
      <c r="CH41" s="34">
        <f>COUNTIFS(Errors!$D:$D,Analysis!CH$1,Errors!$F:$F,Analysis!$BS41,Errors!$P:$P,"YES")</f>
        <v>0</v>
      </c>
      <c r="CI41" s="34">
        <f>COUNTIFS(Errors!$D:$D,Analysis!CI$1,Errors!$F:$F,Analysis!$BS41,Errors!$P:$P,"YES")</f>
        <v>0</v>
      </c>
      <c r="CJ41" s="34">
        <f>COUNTIFS(Errors!$D:$D,Analysis!CJ$1,Errors!$F:$F,Analysis!$BS41,Errors!$P:$P,"YES")</f>
        <v>0</v>
      </c>
      <c r="CK41" s="34">
        <f>COUNTIFS(Errors!$D:$D,Analysis!CK$1,Errors!$F:$F,Analysis!$BS41,Errors!$P:$P,"YES")</f>
        <v>0</v>
      </c>
      <c r="CL41" s="34">
        <f>COUNTIFS(Errors!$D:$D,Analysis!CL$1,Errors!$F:$F,Analysis!$BS41,Errors!$P:$P,"YES")</f>
        <v>0</v>
      </c>
      <c r="CM41" s="34">
        <f>COUNTIFS(Errors!$D:$D,Analysis!CM$1,Errors!$F:$F,Analysis!$BS41,Errors!$P:$P,"YES")</f>
        <v>0</v>
      </c>
      <c r="CN41" s="34">
        <f>COUNTIFS(Errors!$D:$D,Analysis!CN$1,Errors!$F:$F,Analysis!$BS41,Errors!$P:$P,"YES")</f>
        <v>0</v>
      </c>
      <c r="CO41" s="34">
        <f>COUNTIFS(Errors!$D:$D,Analysis!CO$1,Errors!$F:$F,Analysis!$BS41,Errors!$P:$P,"YES")</f>
        <v>0</v>
      </c>
      <c r="CP41" s="34">
        <f>COUNTIFS(Errors!$D:$D,Analysis!CP$1,Errors!$F:$F,Analysis!$BS41,Errors!$P:$P,"YES")</f>
        <v>0</v>
      </c>
      <c r="CQ41" s="34">
        <f>COUNTIFS(Errors!$D:$D,Analysis!CQ$1,Errors!$F:$F,Analysis!$BS41,Errors!$P:$P,"YES")</f>
        <v>0</v>
      </c>
      <c r="CR41" s="34">
        <f>COUNTIFS(Errors!$D:$D,Analysis!CR$1,Errors!$F:$F,Analysis!$BS41,Errors!$P:$P,"YES")</f>
        <v>0</v>
      </c>
      <c r="CS41" s="34">
        <f>COUNTIFS(Errors!$D:$D,Analysis!CS$1,Errors!$F:$F,Analysis!$BS41,Errors!$P:$P,"YES")</f>
        <v>0</v>
      </c>
      <c r="CT41" s="34">
        <f>COUNTIFS(Errors!$D:$D,Analysis!CT$1,Errors!$F:$F,Analysis!$BS41,Errors!$P:$P,"YES")</f>
        <v>0</v>
      </c>
      <c r="CU41" s="34">
        <f>COUNTIFS(Errors!$D:$D,Analysis!CU$1,Errors!$F:$F,Analysis!$BS41,Errors!$P:$P,"YES")</f>
        <v>0</v>
      </c>
      <c r="CV41" s="34">
        <f>COUNTIFS(Errors!$D:$D,Analysis!CV$1,Errors!$F:$F,Analysis!$BS41,Errors!$P:$P,"YES")</f>
        <v>0</v>
      </c>
      <c r="CW41" s="34">
        <f>COUNTIFS(Errors!$D:$D,Analysis!CW$1,Errors!$F:$F,Analysis!$BS41,Errors!$P:$P,"YES")</f>
        <v>0</v>
      </c>
      <c r="CX41" s="34">
        <f>COUNTIFS(Errors!$D:$D,Analysis!CX$1,Errors!$F:$F,Analysis!$BS41,Errors!$P:$P,"YES")</f>
        <v>0</v>
      </c>
      <c r="CZ41" s="39">
        <f t="shared" si="13"/>
        <v>0</v>
      </c>
      <c r="DB41" s="42">
        <f t="shared" si="14"/>
        <v>0</v>
      </c>
      <c r="DC41" s="41" t="s">
        <v>73</v>
      </c>
    </row>
    <row r="42" ht="15.0" customHeight="1">
      <c r="B42" s="100" t="s">
        <v>122</v>
      </c>
      <c r="C42" s="101" t="s">
        <v>123</v>
      </c>
      <c r="D42" s="102"/>
      <c r="E42" s="102"/>
      <c r="F42" s="102"/>
      <c r="G42" s="102"/>
      <c r="H42" s="103"/>
      <c r="I42" s="104">
        <f>COUNTIF(Errors!$I$3:$I$3008,$B42)</f>
        <v>12</v>
      </c>
      <c r="K42" s="105" t="s">
        <v>124</v>
      </c>
      <c r="L42" s="106" t="s">
        <v>125</v>
      </c>
      <c r="M42" s="2"/>
      <c r="N42" s="2"/>
      <c r="O42" s="2"/>
      <c r="P42" s="2"/>
      <c r="Q42" s="3"/>
      <c r="R42" s="104">
        <f>COUNTIF(Errors!$I$3:$I$3008,$K42)</f>
        <v>3</v>
      </c>
      <c r="S42" s="89"/>
      <c r="T42" s="89"/>
      <c r="U42" s="89"/>
      <c r="V42" s="89"/>
      <c r="W42" s="89"/>
      <c r="X42" s="89"/>
      <c r="Y42" s="89"/>
      <c r="Z42" s="89"/>
      <c r="AA42" s="89"/>
      <c r="AB42" s="89"/>
      <c r="AC42" s="89"/>
      <c r="AE42" s="81"/>
      <c r="AF42" s="34">
        <f>COUNTIFS(Errors!$F:$F,Analysis!$AE42,Errors!$D:$D,Analysis!$AF$2,Errors!$I:$I,"TV*")</f>
        <v>0</v>
      </c>
      <c r="AG42" s="34">
        <f>COUNTIFS(Errors!$F:$F,Analysis!$AE42,Errors!$D:$D,Analysis!$AG$2,Errors!$I:$I,"TV*")</f>
        <v>0</v>
      </c>
      <c r="AH42" s="34">
        <f>COUNTIFS(Errors!$F:$F,Analysis!$AE42,Errors!$D:$D,Analysis!$AH$2,Errors!$I:$I,"TV*")</f>
        <v>0</v>
      </c>
      <c r="AI42" s="34">
        <f>COUNTIFS(Errors!$F:$F,Analysis!$AE42,Errors!$D:$D,Analysis!$AI$2,Errors!$I:$I,"TV*")</f>
        <v>0</v>
      </c>
      <c r="AJ42" s="34">
        <f>COUNTIFS(Errors!$F:$F,Analysis!$AE42,Errors!$D:$D,Analysis!$AJ$2,Errors!$I:$I,"TV*")</f>
        <v>0</v>
      </c>
      <c r="AK42" s="34">
        <f>COUNTIFS(Errors!$F:$F,Analysis!$AE42,Errors!$D:$D,Analysis!$AK$2,Errors!$I:$I,"TV*")</f>
        <v>0</v>
      </c>
      <c r="AL42" s="34">
        <f>COUNTIFS(Errors!$F:$F,Analysis!$AE42,Errors!$D:$D,Analysis!$AL$2,Errors!$I:$I,"TV*")</f>
        <v>0</v>
      </c>
      <c r="AM42" s="34">
        <f>COUNTIFS(Errors!$F:$F,Analysis!$AE42,Errors!$D:$D,Analysis!$AM$2,Errors!$I:$I,"TV*")</f>
        <v>0</v>
      </c>
      <c r="AN42" s="34">
        <f>COUNTIFS(Errors!$F:$F,Analysis!$AE42,Errors!$D:$D,Analysis!$AN$2,Errors!$I:$I,"TV*")</f>
        <v>0</v>
      </c>
      <c r="AO42" s="34">
        <f>COUNTIFS(Errors!$F:$F,Analysis!$AE42,Errors!$D:$D,Analysis!$AO$2,Errors!$I:$I,"TV*")</f>
        <v>0</v>
      </c>
      <c r="AP42" s="34">
        <f>COUNTIFS(Errors!$F:$F,Analysis!$AE42,Errors!$D:$D,Analysis!$AP$2,Errors!$I:$I,"TV*")</f>
        <v>0</v>
      </c>
      <c r="AQ42" s="34">
        <f>COUNTIFS(Errors!$F:$F,Analysis!$AE42,Errors!$D:$D,Analysis!$AQ$2,Errors!$I:$I,"TV*")</f>
        <v>0</v>
      </c>
      <c r="AR42" s="34">
        <f>COUNTIFS(Errors!$F:$F,Analysis!$AE42,Errors!$D:$D,Analysis!$AR$2,Errors!$I:$I,"TV*")</f>
        <v>0</v>
      </c>
      <c r="AS42" s="34">
        <f>COUNTIFS(Errors!$F:$F,Analysis!$AE42,Errors!$D:$D,Analysis!$AS$2,Errors!$I:$I,"TV*")</f>
        <v>0</v>
      </c>
      <c r="AT42" s="34">
        <f>COUNTIFS(Errors!$F:$F,Analysis!$AE42,Errors!$D:$D,Analysis!$AT$2,Errors!$I:$I,"TV*")</f>
        <v>0</v>
      </c>
      <c r="AU42" s="34">
        <f>COUNTIFS(Errors!$F:$F,Analysis!$AE42,Errors!$D:$D,Analysis!$AU$2,Errors!$I:$I,"TV*")</f>
        <v>0</v>
      </c>
      <c r="AV42" s="34">
        <f>COUNTIFS(Errors!$F:$F,Analysis!$AE42,Errors!$D:$D,Analysis!$AV$2,Errors!$I:$I,"TV*")</f>
        <v>0</v>
      </c>
      <c r="AW42" s="34">
        <f>COUNTIFS(Errors!$F:$F,Analysis!$AE42,Errors!$D:$D,Analysis!$AW$2,Errors!$I:$I,"TV*")</f>
        <v>0</v>
      </c>
      <c r="AX42" s="34">
        <f>COUNTIFS(Errors!$F:$F,Analysis!$AE42,Errors!$D:$D,Analysis!$AX$2,Errors!$I:$I,"TV*")</f>
        <v>0</v>
      </c>
      <c r="AY42" s="34">
        <f>COUNTIFS(Errors!$F:$F,Analysis!$AE42,Errors!$D:$D,Analysis!$AY$2,Errors!$I:$I,"TV*")</f>
        <v>0</v>
      </c>
      <c r="AZ42" s="34">
        <f>COUNTIFS(Errors!$F:$F,Analysis!$AE42,Errors!$D:$D,Analysis!$AZ$2,Errors!$I:$I,"TV*")</f>
        <v>0</v>
      </c>
      <c r="BA42" s="34">
        <f>COUNTIFS(Errors!$F:$F,Analysis!$AE42,Errors!$D:$D,Analysis!$BA$2,Errors!$I:$I,"TV*")</f>
        <v>0</v>
      </c>
      <c r="BB42" s="34">
        <f>COUNTIFS(Errors!$F:$F,Analysis!$AE42,Errors!$D:$D,Analysis!$BB$2,Errors!$I:$I,"TV*")</f>
        <v>0</v>
      </c>
      <c r="BC42" s="34">
        <f>COUNTIFS(Errors!$F:$F,Analysis!$AE42,Errors!$D:$D,Analysis!$BC$2,Errors!$I:$I,"TV*")</f>
        <v>0</v>
      </c>
      <c r="BD42" s="34">
        <f>COUNTIFS(Errors!$F:$F,Analysis!$AE42,Errors!$D:$D,Analysis!$BD$2,Errors!$I:$I,"TV*")</f>
        <v>0</v>
      </c>
      <c r="BE42" s="34">
        <f>COUNTIFS(Errors!$F:$F,Analysis!$AE42,Errors!$D:$D,Analysis!$BE$2,Errors!$I:$I,"TV*")</f>
        <v>0</v>
      </c>
      <c r="BF42" s="34">
        <f>COUNTIFS(Errors!$F:$F,Analysis!$AE42,Errors!$D:$D,Analysis!$BF$2,Errors!$I:$I,"TV*")</f>
        <v>0</v>
      </c>
      <c r="BG42" s="34">
        <f>COUNTIFS(Errors!$F:$F,Analysis!$AE42,Errors!$D:$D,Analysis!$BG$2,Errors!$I:$I,"TV*")</f>
        <v>0</v>
      </c>
      <c r="BH42" s="34">
        <f>COUNTIFS(Errors!$F:$F,Analysis!$AE42,Errors!$D:$D,Analysis!$BH$2,Errors!$I:$I,"TV*")</f>
        <v>0</v>
      </c>
      <c r="BI42" s="34">
        <f>COUNTIFS(Errors!$F:$F,Analysis!$AE42,Errors!$D:$D,Analysis!$BI$2,Errors!$I:$I,"TV*")</f>
        <v>0</v>
      </c>
      <c r="BJ42" s="34">
        <f>COUNTIFS(Errors!$F:$F,Analysis!$AE42,Errors!$D:$D,Analysis!$BJ$2,Errors!$I:$I,"TV*")</f>
        <v>0</v>
      </c>
      <c r="BL42" s="39">
        <f t="shared" si="11"/>
        <v>0</v>
      </c>
      <c r="BN42" s="83">
        <f t="shared" si="12"/>
        <v>0</v>
      </c>
      <c r="BO42" s="84" t="s">
        <v>74</v>
      </c>
      <c r="BS42" s="35" t="s">
        <v>74</v>
      </c>
      <c r="BT42" s="34">
        <f>COUNTIFS(Errors!$D:$D,Analysis!BT$1,Errors!$F:$F,Analysis!$BS42,Errors!$P:$P,"YES")</f>
        <v>0</v>
      </c>
      <c r="BU42" s="34">
        <f>COUNTIFS(Errors!$D:$D,Analysis!BU$1,Errors!$F:$F,Analysis!$BS42,Errors!$P:$P,"YES")</f>
        <v>0</v>
      </c>
      <c r="BV42" s="34">
        <f>COUNTIFS(Errors!$D:$D,Analysis!BV$1,Errors!$F:$F,Analysis!$BS42,Errors!$P:$P,"YES")</f>
        <v>0</v>
      </c>
      <c r="BW42" s="34">
        <f>COUNTIFS(Errors!$D:$D,Analysis!BW$1,Errors!$F:$F,Analysis!$BS42,Errors!$P:$P,"YES")</f>
        <v>0</v>
      </c>
      <c r="BX42" s="34">
        <f>COUNTIFS(Errors!$D:$D,Analysis!BX$1,Errors!$F:$F,Analysis!$BS42,Errors!$P:$P,"YES")</f>
        <v>0</v>
      </c>
      <c r="BY42" s="34">
        <f>COUNTIFS(Errors!$D:$D,Analysis!BY$1,Errors!$F:$F,Analysis!$BS42,Errors!$P:$P,"YES")</f>
        <v>0</v>
      </c>
      <c r="BZ42" s="34">
        <f>COUNTIFS(Errors!$D:$D,Analysis!BZ$1,Errors!$F:$F,Analysis!$BS42,Errors!$P:$P,"YES")</f>
        <v>0</v>
      </c>
      <c r="CA42" s="34">
        <f>COUNTIFS(Errors!$D:$D,Analysis!CA$1,Errors!$F:$F,Analysis!$BS42,Errors!$P:$P,"YES")</f>
        <v>0</v>
      </c>
      <c r="CB42" s="34">
        <f>COUNTIFS(Errors!$D:$D,Analysis!CB$1,Errors!$F:$F,Analysis!$BS42,Errors!$P:$P,"YES")</f>
        <v>0</v>
      </c>
      <c r="CC42" s="34">
        <f>COUNTIFS(Errors!$D:$D,Analysis!CC$1,Errors!$F:$F,Analysis!$BS42,Errors!$P:$P,"YES")</f>
        <v>0</v>
      </c>
      <c r="CD42" s="34">
        <f>COUNTIFS(Errors!$D:$D,Analysis!CD$1,Errors!$F:$F,Analysis!$BS42,Errors!$P:$P,"YES")</f>
        <v>0</v>
      </c>
      <c r="CE42" s="34">
        <f>COUNTIFS(Errors!$D:$D,Analysis!CE$1,Errors!$F:$F,Analysis!$BS42,Errors!$P:$P,"YES")</f>
        <v>0</v>
      </c>
      <c r="CF42" s="34">
        <f>COUNTIFS(Errors!$D:$D,Analysis!CF$1,Errors!$F:$F,Analysis!$BS42,Errors!$P:$P,"YES")</f>
        <v>0</v>
      </c>
      <c r="CG42" s="34">
        <f>COUNTIFS(Errors!$D:$D,Analysis!CG$1,Errors!$F:$F,Analysis!$BS42,Errors!$P:$P,"YES")</f>
        <v>0</v>
      </c>
      <c r="CH42" s="34">
        <f>COUNTIFS(Errors!$D:$D,Analysis!CH$1,Errors!$F:$F,Analysis!$BS42,Errors!$P:$P,"YES")</f>
        <v>0</v>
      </c>
      <c r="CI42" s="34">
        <f>COUNTIFS(Errors!$D:$D,Analysis!CI$1,Errors!$F:$F,Analysis!$BS42,Errors!$P:$P,"YES")</f>
        <v>0</v>
      </c>
      <c r="CJ42" s="34">
        <f>COUNTIFS(Errors!$D:$D,Analysis!CJ$1,Errors!$F:$F,Analysis!$BS42,Errors!$P:$P,"YES")</f>
        <v>0</v>
      </c>
      <c r="CK42" s="34">
        <f>COUNTIFS(Errors!$D:$D,Analysis!CK$1,Errors!$F:$F,Analysis!$BS42,Errors!$P:$P,"YES")</f>
        <v>0</v>
      </c>
      <c r="CL42" s="34">
        <f>COUNTIFS(Errors!$D:$D,Analysis!CL$1,Errors!$F:$F,Analysis!$BS42,Errors!$P:$P,"YES")</f>
        <v>0</v>
      </c>
      <c r="CM42" s="34">
        <f>COUNTIFS(Errors!$D:$D,Analysis!CM$1,Errors!$F:$F,Analysis!$BS42,Errors!$P:$P,"YES")</f>
        <v>0</v>
      </c>
      <c r="CN42" s="34">
        <f>COUNTIFS(Errors!$D:$D,Analysis!CN$1,Errors!$F:$F,Analysis!$BS42,Errors!$P:$P,"YES")</f>
        <v>0</v>
      </c>
      <c r="CO42" s="34">
        <f>COUNTIFS(Errors!$D:$D,Analysis!CO$1,Errors!$F:$F,Analysis!$BS42,Errors!$P:$P,"YES")</f>
        <v>0</v>
      </c>
      <c r="CP42" s="34">
        <f>COUNTIFS(Errors!$D:$D,Analysis!CP$1,Errors!$F:$F,Analysis!$BS42,Errors!$P:$P,"YES")</f>
        <v>0</v>
      </c>
      <c r="CQ42" s="34">
        <f>COUNTIFS(Errors!$D:$D,Analysis!CQ$1,Errors!$F:$F,Analysis!$BS42,Errors!$P:$P,"YES")</f>
        <v>0</v>
      </c>
      <c r="CR42" s="34">
        <f>COUNTIFS(Errors!$D:$D,Analysis!CR$1,Errors!$F:$F,Analysis!$BS42,Errors!$P:$P,"YES")</f>
        <v>0</v>
      </c>
      <c r="CS42" s="34">
        <f>COUNTIFS(Errors!$D:$D,Analysis!CS$1,Errors!$F:$F,Analysis!$BS42,Errors!$P:$P,"YES")</f>
        <v>0</v>
      </c>
      <c r="CT42" s="34">
        <f>COUNTIFS(Errors!$D:$D,Analysis!CT$1,Errors!$F:$F,Analysis!$BS42,Errors!$P:$P,"YES")</f>
        <v>0</v>
      </c>
      <c r="CU42" s="34">
        <f>COUNTIFS(Errors!$D:$D,Analysis!CU$1,Errors!$F:$F,Analysis!$BS42,Errors!$P:$P,"YES")</f>
        <v>0</v>
      </c>
      <c r="CV42" s="34">
        <f>COUNTIFS(Errors!$D:$D,Analysis!CV$1,Errors!$F:$F,Analysis!$BS42,Errors!$P:$P,"YES")</f>
        <v>0</v>
      </c>
      <c r="CW42" s="34">
        <f>COUNTIFS(Errors!$D:$D,Analysis!CW$1,Errors!$F:$F,Analysis!$BS42,Errors!$P:$P,"YES")</f>
        <v>0</v>
      </c>
      <c r="CX42" s="34">
        <f>COUNTIFS(Errors!$D:$D,Analysis!CX$1,Errors!$F:$F,Analysis!$BS42,Errors!$P:$P,"YES")</f>
        <v>0</v>
      </c>
      <c r="CZ42" s="39">
        <f t="shared" si="13"/>
        <v>0</v>
      </c>
      <c r="DB42" s="42">
        <f t="shared" si="14"/>
        <v>0</v>
      </c>
      <c r="DC42" s="41" t="s">
        <v>74</v>
      </c>
    </row>
    <row r="43" ht="15.0" customHeight="1">
      <c r="B43" s="100" t="s">
        <v>126</v>
      </c>
      <c r="C43" s="101" t="s">
        <v>127</v>
      </c>
      <c r="D43" s="102"/>
      <c r="E43" s="102"/>
      <c r="F43" s="102"/>
      <c r="G43" s="102"/>
      <c r="H43" s="103"/>
      <c r="I43" s="104">
        <f>COUNTIF(Errors!$I$3:$I$3008,$B43)</f>
        <v>0</v>
      </c>
      <c r="K43" s="105" t="s">
        <v>128</v>
      </c>
      <c r="L43" s="106" t="s">
        <v>129</v>
      </c>
      <c r="M43" s="2"/>
      <c r="N43" s="2"/>
      <c r="O43" s="2"/>
      <c r="P43" s="2"/>
      <c r="Q43" s="3"/>
      <c r="R43" s="104">
        <f>COUNTIF(Errors!$I$3:$I$3008,$K43)</f>
        <v>2</v>
      </c>
      <c r="S43" s="89"/>
      <c r="T43" s="89"/>
      <c r="U43" s="89"/>
      <c r="V43" s="89"/>
      <c r="W43" s="89"/>
      <c r="X43" s="89"/>
      <c r="Y43" s="89"/>
      <c r="Z43" s="89"/>
      <c r="AA43" s="89"/>
      <c r="AB43" s="89"/>
      <c r="AC43" s="89"/>
      <c r="AE43" s="35"/>
      <c r="AF43" s="34">
        <f>COUNTIFS(Errors!$F:$F,Analysis!$AE43,Errors!$D:$D,Analysis!$AF$2,Errors!$I:$I,"TV*")</f>
        <v>0</v>
      </c>
      <c r="AG43" s="34">
        <f>COUNTIFS(Errors!$F:$F,Analysis!$AE43,Errors!$D:$D,Analysis!$AG$2,Errors!$I:$I,"TV*")</f>
        <v>0</v>
      </c>
      <c r="AH43" s="34">
        <f>COUNTIFS(Errors!$F:$F,Analysis!$AE43,Errors!$D:$D,Analysis!$AH$2,Errors!$I:$I,"TV*")</f>
        <v>0</v>
      </c>
      <c r="AI43" s="34">
        <f>COUNTIFS(Errors!$F:$F,Analysis!$AE43,Errors!$D:$D,Analysis!$AI$2,Errors!$I:$I,"TV*")</f>
        <v>0</v>
      </c>
      <c r="AJ43" s="34">
        <f>COUNTIFS(Errors!$F:$F,Analysis!$AE43,Errors!$D:$D,Analysis!$AJ$2,Errors!$I:$I,"TV*")</f>
        <v>0</v>
      </c>
      <c r="AK43" s="34">
        <f>COUNTIFS(Errors!$F:$F,Analysis!$AE43,Errors!$D:$D,Analysis!$AK$2,Errors!$I:$I,"TV*")</f>
        <v>0</v>
      </c>
      <c r="AL43" s="34">
        <f>COUNTIFS(Errors!$F:$F,Analysis!$AE43,Errors!$D:$D,Analysis!$AL$2,Errors!$I:$I,"TV*")</f>
        <v>0</v>
      </c>
      <c r="AM43" s="34">
        <f>COUNTIFS(Errors!$F:$F,Analysis!$AE43,Errors!$D:$D,Analysis!$AM$2,Errors!$I:$I,"TV*")</f>
        <v>0</v>
      </c>
      <c r="AN43" s="34">
        <f>COUNTIFS(Errors!$F:$F,Analysis!$AE43,Errors!$D:$D,Analysis!$AN$2,Errors!$I:$I,"TV*")</f>
        <v>0</v>
      </c>
      <c r="AO43" s="34">
        <f>COUNTIFS(Errors!$F:$F,Analysis!$AE43,Errors!$D:$D,Analysis!$AO$2,Errors!$I:$I,"TV*")</f>
        <v>0</v>
      </c>
      <c r="AP43" s="34">
        <f>COUNTIFS(Errors!$F:$F,Analysis!$AE43,Errors!$D:$D,Analysis!$AP$2,Errors!$I:$I,"TV*")</f>
        <v>0</v>
      </c>
      <c r="AQ43" s="34">
        <f>COUNTIFS(Errors!$F:$F,Analysis!$AE43,Errors!$D:$D,Analysis!$AQ$2,Errors!$I:$I,"TV*")</f>
        <v>0</v>
      </c>
      <c r="AR43" s="34">
        <f>COUNTIFS(Errors!$F:$F,Analysis!$AE43,Errors!$D:$D,Analysis!$AR$2,Errors!$I:$I,"TV*")</f>
        <v>0</v>
      </c>
      <c r="AS43" s="34">
        <f>COUNTIFS(Errors!$F:$F,Analysis!$AE43,Errors!$D:$D,Analysis!$AS$2,Errors!$I:$I,"TV*")</f>
        <v>0</v>
      </c>
      <c r="AT43" s="34">
        <f>COUNTIFS(Errors!$F:$F,Analysis!$AE43,Errors!$D:$D,Analysis!$AT$2,Errors!$I:$I,"TV*")</f>
        <v>0</v>
      </c>
      <c r="AU43" s="34">
        <f>COUNTIFS(Errors!$F:$F,Analysis!$AE43,Errors!$D:$D,Analysis!$AU$2,Errors!$I:$I,"TV*")</f>
        <v>0</v>
      </c>
      <c r="AV43" s="34">
        <f>COUNTIFS(Errors!$F:$F,Analysis!$AE43,Errors!$D:$D,Analysis!$AV$2,Errors!$I:$I,"TV*")</f>
        <v>0</v>
      </c>
      <c r="AW43" s="34">
        <f>COUNTIFS(Errors!$F:$F,Analysis!$AE43,Errors!$D:$D,Analysis!$AW$2,Errors!$I:$I,"TV*")</f>
        <v>0</v>
      </c>
      <c r="AX43" s="34">
        <f>COUNTIFS(Errors!$F:$F,Analysis!$AE43,Errors!$D:$D,Analysis!$AX$2,Errors!$I:$I,"TV*")</f>
        <v>0</v>
      </c>
      <c r="AY43" s="34">
        <f>COUNTIFS(Errors!$F:$F,Analysis!$AE43,Errors!$D:$D,Analysis!$AY$2,Errors!$I:$I,"TV*")</f>
        <v>0</v>
      </c>
      <c r="AZ43" s="34">
        <f>COUNTIFS(Errors!$F:$F,Analysis!$AE43,Errors!$D:$D,Analysis!$AZ$2,Errors!$I:$I,"TV*")</f>
        <v>0</v>
      </c>
      <c r="BA43" s="34">
        <f>COUNTIFS(Errors!$F:$F,Analysis!$AE43,Errors!$D:$D,Analysis!$BA$2,Errors!$I:$I,"TV*")</f>
        <v>0</v>
      </c>
      <c r="BB43" s="34">
        <f>COUNTIFS(Errors!$F:$F,Analysis!$AE43,Errors!$D:$D,Analysis!$BB$2,Errors!$I:$I,"TV*")</f>
        <v>0</v>
      </c>
      <c r="BC43" s="34">
        <f>COUNTIFS(Errors!$F:$F,Analysis!$AE43,Errors!$D:$D,Analysis!$BC$2,Errors!$I:$I,"TV*")</f>
        <v>0</v>
      </c>
      <c r="BD43" s="34">
        <f>COUNTIFS(Errors!$F:$F,Analysis!$AE43,Errors!$D:$D,Analysis!$BD$2,Errors!$I:$I,"TV*")</f>
        <v>0</v>
      </c>
      <c r="BE43" s="34">
        <f>COUNTIFS(Errors!$F:$F,Analysis!$AE43,Errors!$D:$D,Analysis!$BE$2,Errors!$I:$I,"TV*")</f>
        <v>0</v>
      </c>
      <c r="BF43" s="34">
        <f>COUNTIFS(Errors!$F:$F,Analysis!$AE43,Errors!$D:$D,Analysis!$BF$2,Errors!$I:$I,"TV*")</f>
        <v>0</v>
      </c>
      <c r="BG43" s="34">
        <f>COUNTIFS(Errors!$F:$F,Analysis!$AE43,Errors!$D:$D,Analysis!$BG$2,Errors!$I:$I,"TV*")</f>
        <v>0</v>
      </c>
      <c r="BH43" s="34">
        <f>COUNTIFS(Errors!$F:$F,Analysis!$AE43,Errors!$D:$D,Analysis!$BH$2,Errors!$I:$I,"TV*")</f>
        <v>0</v>
      </c>
      <c r="BI43" s="34">
        <f>COUNTIFS(Errors!$F:$F,Analysis!$AE43,Errors!$D:$D,Analysis!$BI$2,Errors!$I:$I,"TV*")</f>
        <v>0</v>
      </c>
      <c r="BJ43" s="34">
        <f>COUNTIFS(Errors!$F:$F,Analysis!$AE43,Errors!$D:$D,Analysis!$BJ$2,Errors!$I:$I,"TV*")</f>
        <v>0</v>
      </c>
      <c r="BL43" s="39">
        <f t="shared" si="11"/>
        <v>0</v>
      </c>
      <c r="BN43" s="83">
        <f t="shared" si="12"/>
        <v>0</v>
      </c>
      <c r="BO43" s="84" t="s">
        <v>75</v>
      </c>
      <c r="BS43" s="35" t="s">
        <v>75</v>
      </c>
      <c r="BT43" s="34">
        <f>COUNTIFS(Errors!$D:$D,Analysis!BT$1,Errors!$F:$F,Analysis!$BS43,Errors!$P:$P,"YES")</f>
        <v>0</v>
      </c>
      <c r="BU43" s="34">
        <f>COUNTIFS(Errors!$D:$D,Analysis!BU$1,Errors!$F:$F,Analysis!$BS43,Errors!$P:$P,"YES")</f>
        <v>0</v>
      </c>
      <c r="BV43" s="34">
        <f>COUNTIFS(Errors!$D:$D,Analysis!BV$1,Errors!$F:$F,Analysis!$BS43,Errors!$P:$P,"YES")</f>
        <v>0</v>
      </c>
      <c r="BW43" s="34">
        <f>COUNTIFS(Errors!$D:$D,Analysis!BW$1,Errors!$F:$F,Analysis!$BS43,Errors!$P:$P,"YES")</f>
        <v>0</v>
      </c>
      <c r="BX43" s="34">
        <f>COUNTIFS(Errors!$D:$D,Analysis!BX$1,Errors!$F:$F,Analysis!$BS43,Errors!$P:$P,"YES")</f>
        <v>0</v>
      </c>
      <c r="BY43" s="34">
        <f>COUNTIFS(Errors!$D:$D,Analysis!BY$1,Errors!$F:$F,Analysis!$BS43,Errors!$P:$P,"YES")</f>
        <v>0</v>
      </c>
      <c r="BZ43" s="34">
        <f>COUNTIFS(Errors!$D:$D,Analysis!BZ$1,Errors!$F:$F,Analysis!$BS43,Errors!$P:$P,"YES")</f>
        <v>0</v>
      </c>
      <c r="CA43" s="34">
        <f>COUNTIFS(Errors!$D:$D,Analysis!CA$1,Errors!$F:$F,Analysis!$BS43,Errors!$P:$P,"YES")</f>
        <v>0</v>
      </c>
      <c r="CB43" s="34">
        <f>COUNTIFS(Errors!$D:$D,Analysis!CB$1,Errors!$F:$F,Analysis!$BS43,Errors!$P:$P,"YES")</f>
        <v>0</v>
      </c>
      <c r="CC43" s="34">
        <f>COUNTIFS(Errors!$D:$D,Analysis!CC$1,Errors!$F:$F,Analysis!$BS43,Errors!$P:$P,"YES")</f>
        <v>0</v>
      </c>
      <c r="CD43" s="34">
        <f>COUNTIFS(Errors!$D:$D,Analysis!CD$1,Errors!$F:$F,Analysis!$BS43,Errors!$P:$P,"YES")</f>
        <v>0</v>
      </c>
      <c r="CE43" s="34">
        <f>COUNTIFS(Errors!$D:$D,Analysis!CE$1,Errors!$F:$F,Analysis!$BS43,Errors!$P:$P,"YES")</f>
        <v>0</v>
      </c>
      <c r="CF43" s="34">
        <f>COUNTIFS(Errors!$D:$D,Analysis!CF$1,Errors!$F:$F,Analysis!$BS43,Errors!$P:$P,"YES")</f>
        <v>0</v>
      </c>
      <c r="CG43" s="34">
        <f>COUNTIFS(Errors!$D:$D,Analysis!CG$1,Errors!$F:$F,Analysis!$BS43,Errors!$P:$P,"YES")</f>
        <v>0</v>
      </c>
      <c r="CH43" s="34">
        <f>COUNTIFS(Errors!$D:$D,Analysis!CH$1,Errors!$F:$F,Analysis!$BS43,Errors!$P:$P,"YES")</f>
        <v>0</v>
      </c>
      <c r="CI43" s="34">
        <f>COUNTIFS(Errors!$D:$D,Analysis!CI$1,Errors!$F:$F,Analysis!$BS43,Errors!$P:$P,"YES")</f>
        <v>0</v>
      </c>
      <c r="CJ43" s="34">
        <f>COUNTIFS(Errors!$D:$D,Analysis!CJ$1,Errors!$F:$F,Analysis!$BS43,Errors!$P:$P,"YES")</f>
        <v>0</v>
      </c>
      <c r="CK43" s="34">
        <f>COUNTIFS(Errors!$D:$D,Analysis!CK$1,Errors!$F:$F,Analysis!$BS43,Errors!$P:$P,"YES")</f>
        <v>0</v>
      </c>
      <c r="CL43" s="34">
        <f>COUNTIFS(Errors!$D:$D,Analysis!CL$1,Errors!$F:$F,Analysis!$BS43,Errors!$P:$P,"YES")</f>
        <v>0</v>
      </c>
      <c r="CM43" s="34">
        <f>COUNTIFS(Errors!$D:$D,Analysis!CM$1,Errors!$F:$F,Analysis!$BS43,Errors!$P:$P,"YES")</f>
        <v>0</v>
      </c>
      <c r="CN43" s="34">
        <f>COUNTIFS(Errors!$D:$D,Analysis!CN$1,Errors!$F:$F,Analysis!$BS43,Errors!$P:$P,"YES")</f>
        <v>0</v>
      </c>
      <c r="CO43" s="34">
        <f>COUNTIFS(Errors!$D:$D,Analysis!CO$1,Errors!$F:$F,Analysis!$BS43,Errors!$P:$P,"YES")</f>
        <v>0</v>
      </c>
      <c r="CP43" s="34">
        <f>COUNTIFS(Errors!$D:$D,Analysis!CP$1,Errors!$F:$F,Analysis!$BS43,Errors!$P:$P,"YES")</f>
        <v>0</v>
      </c>
      <c r="CQ43" s="34">
        <f>COUNTIFS(Errors!$D:$D,Analysis!CQ$1,Errors!$F:$F,Analysis!$BS43,Errors!$P:$P,"YES")</f>
        <v>0</v>
      </c>
      <c r="CR43" s="34">
        <f>COUNTIFS(Errors!$D:$D,Analysis!CR$1,Errors!$F:$F,Analysis!$BS43,Errors!$P:$P,"YES")</f>
        <v>0</v>
      </c>
      <c r="CS43" s="34">
        <f>COUNTIFS(Errors!$D:$D,Analysis!CS$1,Errors!$F:$F,Analysis!$BS43,Errors!$P:$P,"YES")</f>
        <v>0</v>
      </c>
      <c r="CT43" s="34">
        <f>COUNTIFS(Errors!$D:$D,Analysis!CT$1,Errors!$F:$F,Analysis!$BS43,Errors!$P:$P,"YES")</f>
        <v>0</v>
      </c>
      <c r="CU43" s="34">
        <f>COUNTIFS(Errors!$D:$D,Analysis!CU$1,Errors!$F:$F,Analysis!$BS43,Errors!$P:$P,"YES")</f>
        <v>0</v>
      </c>
      <c r="CV43" s="34">
        <f>COUNTIFS(Errors!$D:$D,Analysis!CV$1,Errors!$F:$F,Analysis!$BS43,Errors!$P:$P,"YES")</f>
        <v>0</v>
      </c>
      <c r="CW43" s="34">
        <f>COUNTIFS(Errors!$D:$D,Analysis!CW$1,Errors!$F:$F,Analysis!$BS43,Errors!$P:$P,"YES")</f>
        <v>0</v>
      </c>
      <c r="CX43" s="34">
        <f>COUNTIFS(Errors!$D:$D,Analysis!CX$1,Errors!$F:$F,Analysis!$BS43,Errors!$P:$P,"YES")</f>
        <v>0</v>
      </c>
      <c r="CZ43" s="39">
        <f t="shared" si="13"/>
        <v>0</v>
      </c>
      <c r="DB43" s="42">
        <f t="shared" si="14"/>
        <v>0</v>
      </c>
      <c r="DC43" s="41" t="s">
        <v>75</v>
      </c>
    </row>
    <row r="44" ht="15.0" customHeight="1">
      <c r="B44" s="100" t="s">
        <v>130</v>
      </c>
      <c r="C44" s="101" t="s">
        <v>131</v>
      </c>
      <c r="D44" s="102"/>
      <c r="E44" s="102"/>
      <c r="F44" s="102"/>
      <c r="G44" s="102"/>
      <c r="H44" s="103"/>
      <c r="I44" s="104">
        <f>COUNTIF(Errors!$I$3:$I$3008,$B44)</f>
        <v>4</v>
      </c>
      <c r="K44" s="105" t="s">
        <v>132</v>
      </c>
      <c r="L44" s="106" t="s">
        <v>133</v>
      </c>
      <c r="M44" s="2"/>
      <c r="N44" s="2"/>
      <c r="O44" s="2"/>
      <c r="P44" s="2"/>
      <c r="Q44" s="3"/>
      <c r="R44" s="104">
        <f>COUNTIF(Errors!$I$3:$I$3008,$K44)</f>
        <v>27</v>
      </c>
      <c r="S44" s="89"/>
      <c r="T44" s="89"/>
      <c r="U44" s="89"/>
      <c r="V44" s="89"/>
      <c r="W44" s="89"/>
      <c r="X44" s="89"/>
      <c r="Y44" s="89"/>
      <c r="Z44" s="89"/>
      <c r="AA44" s="89"/>
      <c r="AB44" s="89"/>
      <c r="AC44" s="89"/>
      <c r="AE44" s="35"/>
      <c r="AF44" s="34">
        <f>COUNTIFS(Errors!$F:$F,Analysis!$AE44,Errors!$D:$D,Analysis!$AF$2,Errors!$I:$I,"TV*")</f>
        <v>0</v>
      </c>
      <c r="AG44" s="34">
        <f>COUNTIFS(Errors!$F:$F,Analysis!$AE44,Errors!$D:$D,Analysis!$AG$2,Errors!$I:$I,"TV*")</f>
        <v>0</v>
      </c>
      <c r="AH44" s="34">
        <f>COUNTIFS(Errors!$F:$F,Analysis!$AE44,Errors!$D:$D,Analysis!$AH$2,Errors!$I:$I,"TV*")</f>
        <v>0</v>
      </c>
      <c r="AI44" s="34">
        <f>COUNTIFS(Errors!$F:$F,Analysis!$AE44,Errors!$D:$D,Analysis!$AI$2,Errors!$I:$I,"TV*")</f>
        <v>0</v>
      </c>
      <c r="AJ44" s="34">
        <f>COUNTIFS(Errors!$F:$F,Analysis!$AE44,Errors!$D:$D,Analysis!$AJ$2,Errors!$I:$I,"TV*")</f>
        <v>0</v>
      </c>
      <c r="AK44" s="34">
        <f>COUNTIFS(Errors!$F:$F,Analysis!$AE44,Errors!$D:$D,Analysis!$AK$2,Errors!$I:$I,"TV*")</f>
        <v>0</v>
      </c>
      <c r="AL44" s="34">
        <f>COUNTIFS(Errors!$F:$F,Analysis!$AE44,Errors!$D:$D,Analysis!$AL$2,Errors!$I:$I,"TV*")</f>
        <v>0</v>
      </c>
      <c r="AM44" s="34">
        <f>COUNTIFS(Errors!$F:$F,Analysis!$AE44,Errors!$D:$D,Analysis!$AM$2,Errors!$I:$I,"TV*")</f>
        <v>0</v>
      </c>
      <c r="AN44" s="34">
        <f>COUNTIFS(Errors!$F:$F,Analysis!$AE44,Errors!$D:$D,Analysis!$AN$2,Errors!$I:$I,"TV*")</f>
        <v>0</v>
      </c>
      <c r="AO44" s="34">
        <f>COUNTIFS(Errors!$F:$F,Analysis!$AE44,Errors!$D:$D,Analysis!$AO$2,Errors!$I:$I,"TV*")</f>
        <v>0</v>
      </c>
      <c r="AP44" s="34">
        <f>COUNTIFS(Errors!$F:$F,Analysis!$AE44,Errors!$D:$D,Analysis!$AP$2,Errors!$I:$I,"TV*")</f>
        <v>0</v>
      </c>
      <c r="AQ44" s="34">
        <f>COUNTIFS(Errors!$F:$F,Analysis!$AE44,Errors!$D:$D,Analysis!$AQ$2,Errors!$I:$I,"TV*")</f>
        <v>0</v>
      </c>
      <c r="AR44" s="34">
        <f>COUNTIFS(Errors!$F:$F,Analysis!$AE44,Errors!$D:$D,Analysis!$AR$2,Errors!$I:$I,"TV*")</f>
        <v>0</v>
      </c>
      <c r="AS44" s="34">
        <f>COUNTIFS(Errors!$F:$F,Analysis!$AE44,Errors!$D:$D,Analysis!$AS$2,Errors!$I:$I,"TV*")</f>
        <v>0</v>
      </c>
      <c r="AT44" s="34">
        <f>COUNTIFS(Errors!$F:$F,Analysis!$AE44,Errors!$D:$D,Analysis!$AT$2,Errors!$I:$I,"TV*")</f>
        <v>0</v>
      </c>
      <c r="AU44" s="34">
        <f>COUNTIFS(Errors!$F:$F,Analysis!$AE44,Errors!$D:$D,Analysis!$AU$2,Errors!$I:$I,"TV*")</f>
        <v>0</v>
      </c>
      <c r="AV44" s="34">
        <f>COUNTIFS(Errors!$F:$F,Analysis!$AE44,Errors!$D:$D,Analysis!$AV$2,Errors!$I:$I,"TV*")</f>
        <v>0</v>
      </c>
      <c r="AW44" s="34">
        <f>COUNTIFS(Errors!$F:$F,Analysis!$AE44,Errors!$D:$D,Analysis!$AW$2,Errors!$I:$I,"TV*")</f>
        <v>0</v>
      </c>
      <c r="AX44" s="34">
        <f>COUNTIFS(Errors!$F:$F,Analysis!$AE44,Errors!$D:$D,Analysis!$AX$2,Errors!$I:$I,"TV*")</f>
        <v>0</v>
      </c>
      <c r="AY44" s="34">
        <f>COUNTIFS(Errors!$F:$F,Analysis!$AE44,Errors!$D:$D,Analysis!$AY$2,Errors!$I:$I,"TV*")</f>
        <v>0</v>
      </c>
      <c r="AZ44" s="34">
        <f>COUNTIFS(Errors!$F:$F,Analysis!$AE44,Errors!$D:$D,Analysis!$AZ$2,Errors!$I:$I,"TV*")</f>
        <v>0</v>
      </c>
      <c r="BA44" s="34">
        <f>COUNTIFS(Errors!$F:$F,Analysis!$AE44,Errors!$D:$D,Analysis!$BA$2,Errors!$I:$I,"TV*")</f>
        <v>0</v>
      </c>
      <c r="BB44" s="34">
        <f>COUNTIFS(Errors!$F:$F,Analysis!$AE44,Errors!$D:$D,Analysis!$BB$2,Errors!$I:$I,"TV*")</f>
        <v>0</v>
      </c>
      <c r="BC44" s="34">
        <f>COUNTIFS(Errors!$F:$F,Analysis!$AE44,Errors!$D:$D,Analysis!$BC$2,Errors!$I:$I,"TV*")</f>
        <v>0</v>
      </c>
      <c r="BD44" s="34">
        <f>COUNTIFS(Errors!$F:$F,Analysis!$AE44,Errors!$D:$D,Analysis!$BD$2,Errors!$I:$I,"TV*")</f>
        <v>0</v>
      </c>
      <c r="BE44" s="34">
        <f>COUNTIFS(Errors!$F:$F,Analysis!$AE44,Errors!$D:$D,Analysis!$BE$2,Errors!$I:$I,"TV*")</f>
        <v>0</v>
      </c>
      <c r="BF44" s="34">
        <f>COUNTIFS(Errors!$F:$F,Analysis!$AE44,Errors!$D:$D,Analysis!$BF$2,Errors!$I:$I,"TV*")</f>
        <v>0</v>
      </c>
      <c r="BG44" s="34">
        <f>COUNTIFS(Errors!$F:$F,Analysis!$AE44,Errors!$D:$D,Analysis!$BG$2,Errors!$I:$I,"TV*")</f>
        <v>0</v>
      </c>
      <c r="BH44" s="34">
        <f>COUNTIFS(Errors!$F:$F,Analysis!$AE44,Errors!$D:$D,Analysis!$BH$2,Errors!$I:$I,"TV*")</f>
        <v>0</v>
      </c>
      <c r="BI44" s="34">
        <f>COUNTIFS(Errors!$F:$F,Analysis!$AE44,Errors!$D:$D,Analysis!$BI$2,Errors!$I:$I,"TV*")</f>
        <v>0</v>
      </c>
      <c r="BJ44" s="34">
        <f>COUNTIFS(Errors!$F:$F,Analysis!$AE44,Errors!$D:$D,Analysis!$BJ$2,Errors!$I:$I,"TV*")</f>
        <v>0</v>
      </c>
      <c r="BL44" s="39">
        <f t="shared" si="11"/>
        <v>0</v>
      </c>
      <c r="BN44" s="83">
        <f t="shared" si="12"/>
        <v>0</v>
      </c>
      <c r="BO44" s="84" t="s">
        <v>76</v>
      </c>
      <c r="BS44" s="35" t="s">
        <v>76</v>
      </c>
      <c r="BT44" s="34">
        <f>COUNTIFS(Errors!$D:$D,Analysis!BT$1,Errors!$F:$F,Analysis!$BS44,Errors!$P:$P,"YES")</f>
        <v>0</v>
      </c>
      <c r="BU44" s="34">
        <f>COUNTIFS(Errors!$D:$D,Analysis!BU$1,Errors!$F:$F,Analysis!$BS44,Errors!$P:$P,"YES")</f>
        <v>0</v>
      </c>
      <c r="BV44" s="34">
        <f>COUNTIFS(Errors!$D:$D,Analysis!BV$1,Errors!$F:$F,Analysis!$BS44,Errors!$P:$P,"YES")</f>
        <v>0</v>
      </c>
      <c r="BW44" s="34">
        <f>COUNTIFS(Errors!$D:$D,Analysis!BW$1,Errors!$F:$F,Analysis!$BS44,Errors!$P:$P,"YES")</f>
        <v>0</v>
      </c>
      <c r="BX44" s="34">
        <f>COUNTIFS(Errors!$D:$D,Analysis!BX$1,Errors!$F:$F,Analysis!$BS44,Errors!$P:$P,"YES")</f>
        <v>0</v>
      </c>
      <c r="BY44" s="34">
        <f>COUNTIFS(Errors!$D:$D,Analysis!BY$1,Errors!$F:$F,Analysis!$BS44,Errors!$P:$P,"YES")</f>
        <v>0</v>
      </c>
      <c r="BZ44" s="34">
        <f>COUNTIFS(Errors!$D:$D,Analysis!BZ$1,Errors!$F:$F,Analysis!$BS44,Errors!$P:$P,"YES")</f>
        <v>0</v>
      </c>
      <c r="CA44" s="34">
        <f>COUNTIFS(Errors!$D:$D,Analysis!CA$1,Errors!$F:$F,Analysis!$BS44,Errors!$P:$P,"YES")</f>
        <v>0</v>
      </c>
      <c r="CB44" s="34">
        <f>COUNTIFS(Errors!$D:$D,Analysis!CB$1,Errors!$F:$F,Analysis!$BS44,Errors!$P:$P,"YES")</f>
        <v>0</v>
      </c>
      <c r="CC44" s="34">
        <f>COUNTIFS(Errors!$D:$D,Analysis!CC$1,Errors!$F:$F,Analysis!$BS44,Errors!$P:$P,"YES")</f>
        <v>0</v>
      </c>
      <c r="CD44" s="34">
        <f>COUNTIFS(Errors!$D:$D,Analysis!CD$1,Errors!$F:$F,Analysis!$BS44,Errors!$P:$P,"YES")</f>
        <v>0</v>
      </c>
      <c r="CE44" s="34">
        <f>COUNTIFS(Errors!$D:$D,Analysis!CE$1,Errors!$F:$F,Analysis!$BS44,Errors!$P:$P,"YES")</f>
        <v>0</v>
      </c>
      <c r="CF44" s="34">
        <f>COUNTIFS(Errors!$D:$D,Analysis!CF$1,Errors!$F:$F,Analysis!$BS44,Errors!$P:$P,"YES")</f>
        <v>0</v>
      </c>
      <c r="CG44" s="34">
        <f>COUNTIFS(Errors!$D:$D,Analysis!CG$1,Errors!$F:$F,Analysis!$BS44,Errors!$P:$P,"YES")</f>
        <v>0</v>
      </c>
      <c r="CH44" s="34">
        <f>COUNTIFS(Errors!$D:$D,Analysis!CH$1,Errors!$F:$F,Analysis!$BS44,Errors!$P:$P,"YES")</f>
        <v>0</v>
      </c>
      <c r="CI44" s="34">
        <f>COUNTIFS(Errors!$D:$D,Analysis!CI$1,Errors!$F:$F,Analysis!$BS44,Errors!$P:$P,"YES")</f>
        <v>0</v>
      </c>
      <c r="CJ44" s="34">
        <f>COUNTIFS(Errors!$D:$D,Analysis!CJ$1,Errors!$F:$F,Analysis!$BS44,Errors!$P:$P,"YES")</f>
        <v>0</v>
      </c>
      <c r="CK44" s="34">
        <f>COUNTIFS(Errors!$D:$D,Analysis!CK$1,Errors!$F:$F,Analysis!$BS44,Errors!$P:$P,"YES")</f>
        <v>0</v>
      </c>
      <c r="CL44" s="34">
        <f>COUNTIFS(Errors!$D:$D,Analysis!CL$1,Errors!$F:$F,Analysis!$BS44,Errors!$P:$P,"YES")</f>
        <v>0</v>
      </c>
      <c r="CM44" s="34">
        <f>COUNTIFS(Errors!$D:$D,Analysis!CM$1,Errors!$F:$F,Analysis!$BS44,Errors!$P:$P,"YES")</f>
        <v>0</v>
      </c>
      <c r="CN44" s="34">
        <f>COUNTIFS(Errors!$D:$D,Analysis!CN$1,Errors!$F:$F,Analysis!$BS44,Errors!$P:$P,"YES")</f>
        <v>0</v>
      </c>
      <c r="CO44" s="34">
        <f>COUNTIFS(Errors!$D:$D,Analysis!CO$1,Errors!$F:$F,Analysis!$BS44,Errors!$P:$P,"YES")</f>
        <v>0</v>
      </c>
      <c r="CP44" s="34">
        <f>COUNTIFS(Errors!$D:$D,Analysis!CP$1,Errors!$F:$F,Analysis!$BS44,Errors!$P:$P,"YES")</f>
        <v>0</v>
      </c>
      <c r="CQ44" s="34">
        <f>COUNTIFS(Errors!$D:$D,Analysis!CQ$1,Errors!$F:$F,Analysis!$BS44,Errors!$P:$P,"YES")</f>
        <v>0</v>
      </c>
      <c r="CR44" s="34">
        <f>COUNTIFS(Errors!$D:$D,Analysis!CR$1,Errors!$F:$F,Analysis!$BS44,Errors!$P:$P,"YES")</f>
        <v>0</v>
      </c>
      <c r="CS44" s="34">
        <f>COUNTIFS(Errors!$D:$D,Analysis!CS$1,Errors!$F:$F,Analysis!$BS44,Errors!$P:$P,"YES")</f>
        <v>0</v>
      </c>
      <c r="CT44" s="34">
        <f>COUNTIFS(Errors!$D:$D,Analysis!CT$1,Errors!$F:$F,Analysis!$BS44,Errors!$P:$P,"YES")</f>
        <v>0</v>
      </c>
      <c r="CU44" s="34">
        <f>COUNTIFS(Errors!$D:$D,Analysis!CU$1,Errors!$F:$F,Analysis!$BS44,Errors!$P:$P,"YES")</f>
        <v>0</v>
      </c>
      <c r="CV44" s="34">
        <f>COUNTIFS(Errors!$D:$D,Analysis!CV$1,Errors!$F:$F,Analysis!$BS44,Errors!$P:$P,"YES")</f>
        <v>0</v>
      </c>
      <c r="CW44" s="34">
        <f>COUNTIFS(Errors!$D:$D,Analysis!CW$1,Errors!$F:$F,Analysis!$BS44,Errors!$P:$P,"YES")</f>
        <v>0</v>
      </c>
      <c r="CX44" s="34">
        <f>COUNTIFS(Errors!$D:$D,Analysis!CX$1,Errors!$F:$F,Analysis!$BS44,Errors!$P:$P,"YES")</f>
        <v>0</v>
      </c>
      <c r="CZ44" s="39">
        <f t="shared" si="13"/>
        <v>0</v>
      </c>
      <c r="DB44" s="42">
        <f t="shared" si="14"/>
        <v>0</v>
      </c>
      <c r="DC44" s="41" t="s">
        <v>76</v>
      </c>
    </row>
    <row r="45" ht="15.0" customHeight="1">
      <c r="B45" s="100" t="s">
        <v>130</v>
      </c>
      <c r="C45" s="101" t="s">
        <v>134</v>
      </c>
      <c r="D45" s="102"/>
      <c r="E45" s="102"/>
      <c r="F45" s="102"/>
      <c r="G45" s="102"/>
      <c r="H45" s="103"/>
      <c r="I45" s="104">
        <f>COUNTIF(Errors!$I$3:$I$3008,$B45)</f>
        <v>4</v>
      </c>
      <c r="K45" s="105" t="s">
        <v>135</v>
      </c>
      <c r="L45" s="106" t="s">
        <v>136</v>
      </c>
      <c r="M45" s="2"/>
      <c r="N45" s="2"/>
      <c r="O45" s="2"/>
      <c r="P45" s="2"/>
      <c r="Q45" s="3"/>
      <c r="R45" s="104">
        <f>COUNTIF(Errors!$I$3:$I$3008,$K45)</f>
        <v>0</v>
      </c>
      <c r="AE45" s="35"/>
      <c r="AF45" s="34">
        <f>COUNTIFS(Errors!$F:$F,Analysis!$AE45,Errors!$D:$D,Analysis!$AF$2,Errors!$I:$I,"TV*")</f>
        <v>0</v>
      </c>
      <c r="AG45" s="34">
        <f>COUNTIFS(Errors!$F:$F,Analysis!$AE45,Errors!$D:$D,Analysis!$AG$2,Errors!$I:$I,"TV*")</f>
        <v>0</v>
      </c>
      <c r="AH45" s="34">
        <f>COUNTIFS(Errors!$F:$F,Analysis!$AE45,Errors!$D:$D,Analysis!$AH$2,Errors!$I:$I,"TV*")</f>
        <v>0</v>
      </c>
      <c r="AI45" s="34">
        <f>COUNTIFS(Errors!$F:$F,Analysis!$AE45,Errors!$D:$D,Analysis!$AI$2,Errors!$I:$I,"TV*")</f>
        <v>0</v>
      </c>
      <c r="AJ45" s="34">
        <f>COUNTIFS(Errors!$F:$F,Analysis!$AE45,Errors!$D:$D,Analysis!$AJ$2,Errors!$I:$I,"TV*")</f>
        <v>0</v>
      </c>
      <c r="AK45" s="34">
        <f>COUNTIFS(Errors!$F:$F,Analysis!$AE45,Errors!$D:$D,Analysis!$AK$2,Errors!$I:$I,"TV*")</f>
        <v>0</v>
      </c>
      <c r="AL45" s="34">
        <f>COUNTIFS(Errors!$F:$F,Analysis!$AE45,Errors!$D:$D,Analysis!$AL$2,Errors!$I:$I,"TV*")</f>
        <v>0</v>
      </c>
      <c r="AM45" s="34">
        <f>COUNTIFS(Errors!$F:$F,Analysis!$AE45,Errors!$D:$D,Analysis!$AM$2,Errors!$I:$I,"TV*")</f>
        <v>0</v>
      </c>
      <c r="AN45" s="34">
        <f>COUNTIFS(Errors!$F:$F,Analysis!$AE45,Errors!$D:$D,Analysis!$AN$2,Errors!$I:$I,"TV*")</f>
        <v>0</v>
      </c>
      <c r="AO45" s="34">
        <f>COUNTIFS(Errors!$F:$F,Analysis!$AE45,Errors!$D:$D,Analysis!$AO$2,Errors!$I:$I,"TV*")</f>
        <v>0</v>
      </c>
      <c r="AP45" s="34">
        <f>COUNTIFS(Errors!$F:$F,Analysis!$AE45,Errors!$D:$D,Analysis!$AP$2,Errors!$I:$I,"TV*")</f>
        <v>0</v>
      </c>
      <c r="AQ45" s="34">
        <f>COUNTIFS(Errors!$F:$F,Analysis!$AE45,Errors!$D:$D,Analysis!$AQ$2,Errors!$I:$I,"TV*")</f>
        <v>0</v>
      </c>
      <c r="AR45" s="34">
        <f>COUNTIFS(Errors!$F:$F,Analysis!$AE45,Errors!$D:$D,Analysis!$AR$2,Errors!$I:$I,"TV*")</f>
        <v>0</v>
      </c>
      <c r="AS45" s="34">
        <f>COUNTIFS(Errors!$F:$F,Analysis!$AE45,Errors!$D:$D,Analysis!$AS$2,Errors!$I:$I,"TV*")</f>
        <v>0</v>
      </c>
      <c r="AT45" s="34">
        <f>COUNTIFS(Errors!$F:$F,Analysis!$AE45,Errors!$D:$D,Analysis!$AT$2,Errors!$I:$I,"TV*")</f>
        <v>0</v>
      </c>
      <c r="AU45" s="34">
        <f>COUNTIFS(Errors!$F:$F,Analysis!$AE45,Errors!$D:$D,Analysis!$AU$2,Errors!$I:$I,"TV*")</f>
        <v>0</v>
      </c>
      <c r="AV45" s="34">
        <f>COUNTIFS(Errors!$F:$F,Analysis!$AE45,Errors!$D:$D,Analysis!$AV$2,Errors!$I:$I,"TV*")</f>
        <v>0</v>
      </c>
      <c r="AW45" s="34">
        <f>COUNTIFS(Errors!$F:$F,Analysis!$AE45,Errors!$D:$D,Analysis!$AW$2,Errors!$I:$I,"TV*")</f>
        <v>0</v>
      </c>
      <c r="AX45" s="34">
        <f>COUNTIFS(Errors!$F:$F,Analysis!$AE45,Errors!$D:$D,Analysis!$AX$2,Errors!$I:$I,"TV*")</f>
        <v>0</v>
      </c>
      <c r="AY45" s="34">
        <f>COUNTIFS(Errors!$F:$F,Analysis!$AE45,Errors!$D:$D,Analysis!$AY$2,Errors!$I:$I,"TV*")</f>
        <v>0</v>
      </c>
      <c r="AZ45" s="34">
        <f>COUNTIFS(Errors!$F:$F,Analysis!$AE45,Errors!$D:$D,Analysis!$AZ$2,Errors!$I:$I,"TV*")</f>
        <v>0</v>
      </c>
      <c r="BA45" s="34">
        <f>COUNTIFS(Errors!$F:$F,Analysis!$AE45,Errors!$D:$D,Analysis!$BA$2,Errors!$I:$I,"TV*")</f>
        <v>0</v>
      </c>
      <c r="BB45" s="34">
        <f>COUNTIFS(Errors!$F:$F,Analysis!$AE45,Errors!$D:$D,Analysis!$BB$2,Errors!$I:$I,"TV*")</f>
        <v>0</v>
      </c>
      <c r="BC45" s="34">
        <f>COUNTIFS(Errors!$F:$F,Analysis!$AE45,Errors!$D:$D,Analysis!$BC$2,Errors!$I:$I,"TV*")</f>
        <v>0</v>
      </c>
      <c r="BD45" s="34">
        <f>COUNTIFS(Errors!$F:$F,Analysis!$AE45,Errors!$D:$D,Analysis!$BD$2,Errors!$I:$I,"TV*")</f>
        <v>0</v>
      </c>
      <c r="BE45" s="34">
        <f>COUNTIFS(Errors!$F:$F,Analysis!$AE45,Errors!$D:$D,Analysis!$BE$2,Errors!$I:$I,"TV*")</f>
        <v>0</v>
      </c>
      <c r="BF45" s="34">
        <f>COUNTIFS(Errors!$F:$F,Analysis!$AE45,Errors!$D:$D,Analysis!$BF$2,Errors!$I:$I,"TV*")</f>
        <v>0</v>
      </c>
      <c r="BG45" s="34">
        <f>COUNTIFS(Errors!$F:$F,Analysis!$AE45,Errors!$D:$D,Analysis!$BG$2,Errors!$I:$I,"TV*")</f>
        <v>0</v>
      </c>
      <c r="BH45" s="34">
        <f>COUNTIFS(Errors!$F:$F,Analysis!$AE45,Errors!$D:$D,Analysis!$BH$2,Errors!$I:$I,"TV*")</f>
        <v>0</v>
      </c>
      <c r="BI45" s="34">
        <f>COUNTIFS(Errors!$F:$F,Analysis!$AE45,Errors!$D:$D,Analysis!$BI$2,Errors!$I:$I,"TV*")</f>
        <v>0</v>
      </c>
      <c r="BJ45" s="34">
        <f>COUNTIFS(Errors!$F:$F,Analysis!$AE45,Errors!$D:$D,Analysis!$BJ$2,Errors!$I:$I,"TV*")</f>
        <v>0</v>
      </c>
      <c r="BL45" s="39">
        <f t="shared" si="11"/>
        <v>0</v>
      </c>
      <c r="BN45" s="83">
        <f t="shared" si="12"/>
        <v>0</v>
      </c>
      <c r="BO45" s="84" t="s">
        <v>77</v>
      </c>
      <c r="BS45" s="35" t="s">
        <v>77</v>
      </c>
      <c r="BT45" s="34">
        <f>COUNTIFS(Errors!$D:$D,Analysis!BT$1,Errors!$F:$F,Analysis!$BS45,Errors!$P:$P,"YES")</f>
        <v>0</v>
      </c>
      <c r="BU45" s="34">
        <f>COUNTIFS(Errors!$D:$D,Analysis!BU$1,Errors!$F:$F,Analysis!$BS45,Errors!$P:$P,"YES")</f>
        <v>0</v>
      </c>
      <c r="BV45" s="34">
        <f>COUNTIFS(Errors!$D:$D,Analysis!BV$1,Errors!$F:$F,Analysis!$BS45,Errors!$P:$P,"YES")</f>
        <v>0</v>
      </c>
      <c r="BW45" s="34">
        <f>COUNTIFS(Errors!$D:$D,Analysis!BW$1,Errors!$F:$F,Analysis!$BS45,Errors!$P:$P,"YES")</f>
        <v>0</v>
      </c>
      <c r="BX45" s="34">
        <f>COUNTIFS(Errors!$D:$D,Analysis!BX$1,Errors!$F:$F,Analysis!$BS45,Errors!$P:$P,"YES")</f>
        <v>0</v>
      </c>
      <c r="BY45" s="34">
        <f>COUNTIFS(Errors!$D:$D,Analysis!BY$1,Errors!$F:$F,Analysis!$BS45,Errors!$P:$P,"YES")</f>
        <v>0</v>
      </c>
      <c r="BZ45" s="34">
        <f>COUNTIFS(Errors!$D:$D,Analysis!BZ$1,Errors!$F:$F,Analysis!$BS45,Errors!$P:$P,"YES")</f>
        <v>0</v>
      </c>
      <c r="CA45" s="34">
        <f>COUNTIFS(Errors!$D:$D,Analysis!CA$1,Errors!$F:$F,Analysis!$BS45,Errors!$P:$P,"YES")</f>
        <v>0</v>
      </c>
      <c r="CB45" s="34">
        <f>COUNTIFS(Errors!$D:$D,Analysis!CB$1,Errors!$F:$F,Analysis!$BS45,Errors!$P:$P,"YES")</f>
        <v>0</v>
      </c>
      <c r="CC45" s="34">
        <f>COUNTIFS(Errors!$D:$D,Analysis!CC$1,Errors!$F:$F,Analysis!$BS45,Errors!$P:$P,"YES")</f>
        <v>0</v>
      </c>
      <c r="CD45" s="34">
        <f>COUNTIFS(Errors!$D:$D,Analysis!CD$1,Errors!$F:$F,Analysis!$BS45,Errors!$P:$P,"YES")</f>
        <v>0</v>
      </c>
      <c r="CE45" s="34">
        <f>COUNTIFS(Errors!$D:$D,Analysis!CE$1,Errors!$F:$F,Analysis!$BS45,Errors!$P:$P,"YES")</f>
        <v>0</v>
      </c>
      <c r="CF45" s="34">
        <f>COUNTIFS(Errors!$D:$D,Analysis!CF$1,Errors!$F:$F,Analysis!$BS45,Errors!$P:$P,"YES")</f>
        <v>0</v>
      </c>
      <c r="CG45" s="34">
        <f>COUNTIFS(Errors!$D:$D,Analysis!CG$1,Errors!$F:$F,Analysis!$BS45,Errors!$P:$P,"YES")</f>
        <v>0</v>
      </c>
      <c r="CH45" s="34">
        <f>COUNTIFS(Errors!$D:$D,Analysis!CH$1,Errors!$F:$F,Analysis!$BS45,Errors!$P:$P,"YES")</f>
        <v>0</v>
      </c>
      <c r="CI45" s="34">
        <f>COUNTIFS(Errors!$D:$D,Analysis!CI$1,Errors!$F:$F,Analysis!$BS45,Errors!$P:$P,"YES")</f>
        <v>0</v>
      </c>
      <c r="CJ45" s="34">
        <f>COUNTIFS(Errors!$D:$D,Analysis!CJ$1,Errors!$F:$F,Analysis!$BS45,Errors!$P:$P,"YES")</f>
        <v>0</v>
      </c>
      <c r="CK45" s="34">
        <f>COUNTIFS(Errors!$D:$D,Analysis!CK$1,Errors!$F:$F,Analysis!$BS45,Errors!$P:$P,"YES")</f>
        <v>0</v>
      </c>
      <c r="CL45" s="34">
        <f>COUNTIFS(Errors!$D:$D,Analysis!CL$1,Errors!$F:$F,Analysis!$BS45,Errors!$P:$P,"YES")</f>
        <v>0</v>
      </c>
      <c r="CM45" s="34">
        <f>COUNTIFS(Errors!$D:$D,Analysis!CM$1,Errors!$F:$F,Analysis!$BS45,Errors!$P:$P,"YES")</f>
        <v>0</v>
      </c>
      <c r="CN45" s="34">
        <f>COUNTIFS(Errors!$D:$D,Analysis!CN$1,Errors!$F:$F,Analysis!$BS45,Errors!$P:$P,"YES")</f>
        <v>0</v>
      </c>
      <c r="CO45" s="34">
        <f>COUNTIFS(Errors!$D:$D,Analysis!CO$1,Errors!$F:$F,Analysis!$BS45,Errors!$P:$P,"YES")</f>
        <v>0</v>
      </c>
      <c r="CP45" s="34">
        <f>COUNTIFS(Errors!$D:$D,Analysis!CP$1,Errors!$F:$F,Analysis!$BS45,Errors!$P:$P,"YES")</f>
        <v>0</v>
      </c>
      <c r="CQ45" s="34">
        <f>COUNTIFS(Errors!$D:$D,Analysis!CQ$1,Errors!$F:$F,Analysis!$BS45,Errors!$P:$P,"YES")</f>
        <v>0</v>
      </c>
      <c r="CR45" s="34">
        <f>COUNTIFS(Errors!$D:$D,Analysis!CR$1,Errors!$F:$F,Analysis!$BS45,Errors!$P:$P,"YES")</f>
        <v>0</v>
      </c>
      <c r="CS45" s="34">
        <f>COUNTIFS(Errors!$D:$D,Analysis!CS$1,Errors!$F:$F,Analysis!$BS45,Errors!$P:$P,"YES")</f>
        <v>0</v>
      </c>
      <c r="CT45" s="34">
        <f>COUNTIFS(Errors!$D:$D,Analysis!CT$1,Errors!$F:$F,Analysis!$BS45,Errors!$P:$P,"YES")</f>
        <v>0</v>
      </c>
      <c r="CU45" s="34">
        <f>COUNTIFS(Errors!$D:$D,Analysis!CU$1,Errors!$F:$F,Analysis!$BS45,Errors!$P:$P,"YES")</f>
        <v>0</v>
      </c>
      <c r="CV45" s="34">
        <f>COUNTIFS(Errors!$D:$D,Analysis!CV$1,Errors!$F:$F,Analysis!$BS45,Errors!$P:$P,"YES")</f>
        <v>0</v>
      </c>
      <c r="CW45" s="34">
        <f>COUNTIFS(Errors!$D:$D,Analysis!CW$1,Errors!$F:$F,Analysis!$BS45,Errors!$P:$P,"YES")</f>
        <v>0</v>
      </c>
      <c r="CX45" s="34">
        <f>COUNTIFS(Errors!$D:$D,Analysis!CX$1,Errors!$F:$F,Analysis!$BS45,Errors!$P:$P,"YES")</f>
        <v>0</v>
      </c>
      <c r="CZ45" s="39">
        <f t="shared" si="13"/>
        <v>0</v>
      </c>
      <c r="DB45" s="42">
        <f t="shared" si="14"/>
        <v>0</v>
      </c>
      <c r="DC45" s="41" t="s">
        <v>77</v>
      </c>
    </row>
    <row r="46" ht="15.0" customHeight="1">
      <c r="B46" s="100" t="s">
        <v>130</v>
      </c>
      <c r="C46" s="101" t="s">
        <v>137</v>
      </c>
      <c r="D46" s="102"/>
      <c r="E46" s="102"/>
      <c r="F46" s="102"/>
      <c r="G46" s="102"/>
      <c r="H46" s="103"/>
      <c r="I46" s="104">
        <f>COUNTIF(Errors!$I$3:$I$3008,$B46)</f>
        <v>4</v>
      </c>
      <c r="K46" s="105" t="s">
        <v>135</v>
      </c>
      <c r="L46" s="107" t="s">
        <v>138</v>
      </c>
      <c r="M46" s="108"/>
      <c r="N46" s="108"/>
      <c r="O46" s="108"/>
      <c r="P46" s="108"/>
      <c r="Q46" s="108"/>
      <c r="R46" s="104">
        <f>COUNTIF(Errors!$I$3:$I$3008,$K46)</f>
        <v>0</v>
      </c>
      <c r="AE46" s="35"/>
      <c r="AF46" s="34">
        <f>COUNTIFS(Errors!$F:$F,Analysis!$AE46,Errors!$D:$D,Analysis!$AF$2,Errors!$I:$I,"TV*")</f>
        <v>0</v>
      </c>
      <c r="AG46" s="34">
        <f>COUNTIFS(Errors!$F:$F,Analysis!$AE46,Errors!$D:$D,Analysis!$AG$2,Errors!$I:$I,"TV*")</f>
        <v>0</v>
      </c>
      <c r="AH46" s="34">
        <f>COUNTIFS(Errors!$F:$F,Analysis!$AE46,Errors!$D:$D,Analysis!$AH$2,Errors!$I:$I,"TV*")</f>
        <v>0</v>
      </c>
      <c r="AI46" s="34">
        <f>COUNTIFS(Errors!$F:$F,Analysis!$AE46,Errors!$D:$D,Analysis!$AI$2,Errors!$I:$I,"TV*")</f>
        <v>0</v>
      </c>
      <c r="AJ46" s="34">
        <f>COUNTIFS(Errors!$F:$F,Analysis!$AE46,Errors!$D:$D,Analysis!$AJ$2,Errors!$I:$I,"TV*")</f>
        <v>0</v>
      </c>
      <c r="AK46" s="34">
        <f>COUNTIFS(Errors!$F:$F,Analysis!$AE46,Errors!$D:$D,Analysis!$AK$2,Errors!$I:$I,"TV*")</f>
        <v>0</v>
      </c>
      <c r="AL46" s="34">
        <f>COUNTIFS(Errors!$F:$F,Analysis!$AE46,Errors!$D:$D,Analysis!$AL$2,Errors!$I:$I,"TV*")</f>
        <v>0</v>
      </c>
      <c r="AM46" s="34">
        <f>COUNTIFS(Errors!$F:$F,Analysis!$AE46,Errors!$D:$D,Analysis!$AM$2,Errors!$I:$I,"TV*")</f>
        <v>0</v>
      </c>
      <c r="AN46" s="34">
        <f>COUNTIFS(Errors!$F:$F,Analysis!$AE46,Errors!$D:$D,Analysis!$AN$2,Errors!$I:$I,"TV*")</f>
        <v>0</v>
      </c>
      <c r="AO46" s="34">
        <f>COUNTIFS(Errors!$F:$F,Analysis!$AE46,Errors!$D:$D,Analysis!$AO$2,Errors!$I:$I,"TV*")</f>
        <v>0</v>
      </c>
      <c r="AP46" s="34">
        <f>COUNTIFS(Errors!$F:$F,Analysis!$AE46,Errors!$D:$D,Analysis!$AP$2,Errors!$I:$I,"TV*")</f>
        <v>0</v>
      </c>
      <c r="AQ46" s="34">
        <f>COUNTIFS(Errors!$F:$F,Analysis!$AE46,Errors!$D:$D,Analysis!$AQ$2,Errors!$I:$I,"TV*")</f>
        <v>0</v>
      </c>
      <c r="AR46" s="34">
        <f>COUNTIFS(Errors!$F:$F,Analysis!$AE46,Errors!$D:$D,Analysis!$AR$2,Errors!$I:$I,"TV*")</f>
        <v>0</v>
      </c>
      <c r="AS46" s="34">
        <f>COUNTIFS(Errors!$F:$F,Analysis!$AE46,Errors!$D:$D,Analysis!$AS$2,Errors!$I:$I,"TV*")</f>
        <v>0</v>
      </c>
      <c r="AT46" s="34">
        <f>COUNTIFS(Errors!$F:$F,Analysis!$AE46,Errors!$D:$D,Analysis!$AT$2,Errors!$I:$I,"TV*")</f>
        <v>0</v>
      </c>
      <c r="AU46" s="34">
        <f>COUNTIFS(Errors!$F:$F,Analysis!$AE46,Errors!$D:$D,Analysis!$AU$2,Errors!$I:$I,"TV*")</f>
        <v>0</v>
      </c>
      <c r="AV46" s="34">
        <f>COUNTIFS(Errors!$F:$F,Analysis!$AE46,Errors!$D:$D,Analysis!$AV$2,Errors!$I:$I,"TV*")</f>
        <v>0</v>
      </c>
      <c r="AW46" s="34">
        <f>COUNTIFS(Errors!$F:$F,Analysis!$AE46,Errors!$D:$D,Analysis!$AW$2,Errors!$I:$I,"TV*")</f>
        <v>0</v>
      </c>
      <c r="AX46" s="34">
        <f>COUNTIFS(Errors!$F:$F,Analysis!$AE46,Errors!$D:$D,Analysis!$AX$2,Errors!$I:$I,"TV*")</f>
        <v>0</v>
      </c>
      <c r="AY46" s="34">
        <f>COUNTIFS(Errors!$F:$F,Analysis!$AE46,Errors!$D:$D,Analysis!$AY$2,Errors!$I:$I,"TV*")</f>
        <v>0</v>
      </c>
      <c r="AZ46" s="34">
        <f>COUNTIFS(Errors!$F:$F,Analysis!$AE46,Errors!$D:$D,Analysis!$AZ$2,Errors!$I:$I,"TV*")</f>
        <v>0</v>
      </c>
      <c r="BA46" s="34">
        <f>COUNTIFS(Errors!$F:$F,Analysis!$AE46,Errors!$D:$D,Analysis!$BA$2,Errors!$I:$I,"TV*")</f>
        <v>0</v>
      </c>
      <c r="BB46" s="34">
        <f>COUNTIFS(Errors!$F:$F,Analysis!$AE46,Errors!$D:$D,Analysis!$BB$2,Errors!$I:$I,"TV*")</f>
        <v>0</v>
      </c>
      <c r="BC46" s="34">
        <f>COUNTIFS(Errors!$F:$F,Analysis!$AE46,Errors!$D:$D,Analysis!$BC$2,Errors!$I:$I,"TV*")</f>
        <v>0</v>
      </c>
      <c r="BD46" s="34">
        <f>COUNTIFS(Errors!$F:$F,Analysis!$AE46,Errors!$D:$D,Analysis!$BD$2,Errors!$I:$I,"TV*")</f>
        <v>0</v>
      </c>
      <c r="BE46" s="34">
        <f>COUNTIFS(Errors!$F:$F,Analysis!$AE46,Errors!$D:$D,Analysis!$BE$2,Errors!$I:$I,"TV*")</f>
        <v>0</v>
      </c>
      <c r="BF46" s="34">
        <f>COUNTIFS(Errors!$F:$F,Analysis!$AE46,Errors!$D:$D,Analysis!$BF$2,Errors!$I:$I,"TV*")</f>
        <v>0</v>
      </c>
      <c r="BG46" s="34">
        <f>COUNTIFS(Errors!$F:$F,Analysis!$AE46,Errors!$D:$D,Analysis!$BG$2,Errors!$I:$I,"TV*")</f>
        <v>0</v>
      </c>
      <c r="BH46" s="34">
        <f>COUNTIFS(Errors!$F:$F,Analysis!$AE46,Errors!$D:$D,Analysis!$BH$2,Errors!$I:$I,"TV*")</f>
        <v>0</v>
      </c>
      <c r="BI46" s="34">
        <f>COUNTIFS(Errors!$F:$F,Analysis!$AE46,Errors!$D:$D,Analysis!$BI$2,Errors!$I:$I,"TV*")</f>
        <v>0</v>
      </c>
      <c r="BJ46" s="34">
        <f>COUNTIFS(Errors!$F:$F,Analysis!$AE46,Errors!$D:$D,Analysis!$BJ$2,Errors!$I:$I,"TV*")</f>
        <v>0</v>
      </c>
      <c r="BL46" s="39">
        <f t="shared" si="11"/>
        <v>0</v>
      </c>
      <c r="BN46" s="83">
        <f t="shared" si="12"/>
        <v>0</v>
      </c>
      <c r="BO46" s="84" t="s">
        <v>78</v>
      </c>
      <c r="BS46" s="35" t="s">
        <v>78</v>
      </c>
      <c r="BT46" s="34">
        <f>COUNTIFS(Errors!$D:$D,Analysis!BT$1,Errors!$F:$F,Analysis!$BS46,Errors!$P:$P,"YES")</f>
        <v>0</v>
      </c>
      <c r="BU46" s="34">
        <f>COUNTIFS(Errors!$D:$D,Analysis!BU$1,Errors!$F:$F,Analysis!$BS46,Errors!$P:$P,"YES")</f>
        <v>0</v>
      </c>
      <c r="BV46" s="34">
        <f>COUNTIFS(Errors!$D:$D,Analysis!BV$1,Errors!$F:$F,Analysis!$BS46,Errors!$P:$P,"YES")</f>
        <v>0</v>
      </c>
      <c r="BW46" s="34">
        <f>COUNTIFS(Errors!$D:$D,Analysis!BW$1,Errors!$F:$F,Analysis!$BS46,Errors!$P:$P,"YES")</f>
        <v>0</v>
      </c>
      <c r="BX46" s="34">
        <f>COUNTIFS(Errors!$D:$D,Analysis!BX$1,Errors!$F:$F,Analysis!$BS46,Errors!$P:$P,"YES")</f>
        <v>0</v>
      </c>
      <c r="BY46" s="34">
        <f>COUNTIFS(Errors!$D:$D,Analysis!BY$1,Errors!$F:$F,Analysis!$BS46,Errors!$P:$P,"YES")</f>
        <v>0</v>
      </c>
      <c r="BZ46" s="34">
        <f>COUNTIFS(Errors!$D:$D,Analysis!BZ$1,Errors!$F:$F,Analysis!$BS46,Errors!$P:$P,"YES")</f>
        <v>0</v>
      </c>
      <c r="CA46" s="34">
        <f>COUNTIFS(Errors!$D:$D,Analysis!CA$1,Errors!$F:$F,Analysis!$BS46,Errors!$P:$P,"YES")</f>
        <v>0</v>
      </c>
      <c r="CB46" s="34">
        <f>COUNTIFS(Errors!$D:$D,Analysis!CB$1,Errors!$F:$F,Analysis!$BS46,Errors!$P:$P,"YES")</f>
        <v>0</v>
      </c>
      <c r="CC46" s="34">
        <f>COUNTIFS(Errors!$D:$D,Analysis!CC$1,Errors!$F:$F,Analysis!$BS46,Errors!$P:$P,"YES")</f>
        <v>0</v>
      </c>
      <c r="CD46" s="34">
        <f>COUNTIFS(Errors!$D:$D,Analysis!CD$1,Errors!$F:$F,Analysis!$BS46,Errors!$P:$P,"YES")</f>
        <v>0</v>
      </c>
      <c r="CE46" s="34">
        <f>COUNTIFS(Errors!$D:$D,Analysis!CE$1,Errors!$F:$F,Analysis!$BS46,Errors!$P:$P,"YES")</f>
        <v>0</v>
      </c>
      <c r="CF46" s="34">
        <f>COUNTIFS(Errors!$D:$D,Analysis!CF$1,Errors!$F:$F,Analysis!$BS46,Errors!$P:$P,"YES")</f>
        <v>0</v>
      </c>
      <c r="CG46" s="34">
        <f>COUNTIFS(Errors!$D:$D,Analysis!CG$1,Errors!$F:$F,Analysis!$BS46,Errors!$P:$P,"YES")</f>
        <v>0</v>
      </c>
      <c r="CH46" s="34">
        <f>COUNTIFS(Errors!$D:$D,Analysis!CH$1,Errors!$F:$F,Analysis!$BS46,Errors!$P:$P,"YES")</f>
        <v>0</v>
      </c>
      <c r="CI46" s="34">
        <f>COUNTIFS(Errors!$D:$D,Analysis!CI$1,Errors!$F:$F,Analysis!$BS46,Errors!$P:$P,"YES")</f>
        <v>0</v>
      </c>
      <c r="CJ46" s="34">
        <f>COUNTIFS(Errors!$D:$D,Analysis!CJ$1,Errors!$F:$F,Analysis!$BS46,Errors!$P:$P,"YES")</f>
        <v>0</v>
      </c>
      <c r="CK46" s="34">
        <f>COUNTIFS(Errors!$D:$D,Analysis!CK$1,Errors!$F:$F,Analysis!$BS46,Errors!$P:$P,"YES")</f>
        <v>0</v>
      </c>
      <c r="CL46" s="34">
        <f>COUNTIFS(Errors!$D:$D,Analysis!CL$1,Errors!$F:$F,Analysis!$BS46,Errors!$P:$P,"YES")</f>
        <v>0</v>
      </c>
      <c r="CM46" s="34">
        <f>COUNTIFS(Errors!$D:$D,Analysis!CM$1,Errors!$F:$F,Analysis!$BS46,Errors!$P:$P,"YES")</f>
        <v>0</v>
      </c>
      <c r="CN46" s="34">
        <f>COUNTIFS(Errors!$D:$D,Analysis!CN$1,Errors!$F:$F,Analysis!$BS46,Errors!$P:$P,"YES")</f>
        <v>0</v>
      </c>
      <c r="CO46" s="34">
        <f>COUNTIFS(Errors!$D:$D,Analysis!CO$1,Errors!$F:$F,Analysis!$BS46,Errors!$P:$P,"YES")</f>
        <v>0</v>
      </c>
      <c r="CP46" s="34">
        <f>COUNTIFS(Errors!$D:$D,Analysis!CP$1,Errors!$F:$F,Analysis!$BS46,Errors!$P:$P,"YES")</f>
        <v>0</v>
      </c>
      <c r="CQ46" s="34">
        <f>COUNTIFS(Errors!$D:$D,Analysis!CQ$1,Errors!$F:$F,Analysis!$BS46,Errors!$P:$P,"YES")</f>
        <v>0</v>
      </c>
      <c r="CR46" s="34">
        <f>COUNTIFS(Errors!$D:$D,Analysis!CR$1,Errors!$F:$F,Analysis!$BS46,Errors!$P:$P,"YES")</f>
        <v>0</v>
      </c>
      <c r="CS46" s="34">
        <f>COUNTIFS(Errors!$D:$D,Analysis!CS$1,Errors!$F:$F,Analysis!$BS46,Errors!$P:$P,"YES")</f>
        <v>0</v>
      </c>
      <c r="CT46" s="34">
        <f>COUNTIFS(Errors!$D:$D,Analysis!CT$1,Errors!$F:$F,Analysis!$BS46,Errors!$P:$P,"YES")</f>
        <v>0</v>
      </c>
      <c r="CU46" s="34">
        <f>COUNTIFS(Errors!$D:$D,Analysis!CU$1,Errors!$F:$F,Analysis!$BS46,Errors!$P:$P,"YES")</f>
        <v>0</v>
      </c>
      <c r="CV46" s="34">
        <f>COUNTIFS(Errors!$D:$D,Analysis!CV$1,Errors!$F:$F,Analysis!$BS46,Errors!$P:$P,"YES")</f>
        <v>0</v>
      </c>
      <c r="CW46" s="34">
        <f>COUNTIFS(Errors!$D:$D,Analysis!CW$1,Errors!$F:$F,Analysis!$BS46,Errors!$P:$P,"YES")</f>
        <v>0</v>
      </c>
      <c r="CX46" s="34">
        <f>COUNTIFS(Errors!$D:$D,Analysis!CX$1,Errors!$F:$F,Analysis!$BS46,Errors!$P:$P,"YES")</f>
        <v>0</v>
      </c>
      <c r="CZ46" s="39">
        <f t="shared" si="13"/>
        <v>0</v>
      </c>
      <c r="DB46" s="42">
        <f t="shared" si="14"/>
        <v>0</v>
      </c>
      <c r="DC46" s="41" t="s">
        <v>78</v>
      </c>
    </row>
    <row r="47" ht="15.0" customHeight="1">
      <c r="B47" s="100" t="s">
        <v>139</v>
      </c>
      <c r="C47" s="101" t="s">
        <v>140</v>
      </c>
      <c r="D47" s="2"/>
      <c r="E47" s="2"/>
      <c r="F47" s="2"/>
      <c r="G47" s="2"/>
      <c r="H47" s="3"/>
      <c r="I47" s="104">
        <f>COUNTIF(Errors!$I$3:$I$3008,$B47)</f>
        <v>11</v>
      </c>
      <c r="K47" s="105" t="s">
        <v>135</v>
      </c>
      <c r="L47" s="109" t="s">
        <v>141</v>
      </c>
      <c r="M47" s="2"/>
      <c r="N47" s="2"/>
      <c r="O47" s="2"/>
      <c r="P47" s="2"/>
      <c r="Q47" s="3"/>
      <c r="R47" s="104">
        <f>COUNTIF(Errors!$I$3:$I$3008,$K47)</f>
        <v>0</v>
      </c>
      <c r="AE47" s="35"/>
      <c r="AF47" s="34">
        <f>COUNTIFS(Errors!$F:$F,Analysis!$AE47,Errors!$D:$D,Analysis!$AF$2,Errors!$I:$I,"TV*")</f>
        <v>0</v>
      </c>
      <c r="AG47" s="34">
        <f>COUNTIFS(Errors!$F:$F,Analysis!$AE47,Errors!$D:$D,Analysis!$AG$2,Errors!$I:$I,"TV*")</f>
        <v>0</v>
      </c>
      <c r="AH47" s="34">
        <f>COUNTIFS(Errors!$F:$F,Analysis!$AE47,Errors!$D:$D,Analysis!$AH$2,Errors!$I:$I,"TV*")</f>
        <v>0</v>
      </c>
      <c r="AI47" s="34">
        <f>COUNTIFS(Errors!$F:$F,Analysis!$AE47,Errors!$D:$D,Analysis!$AI$2,Errors!$I:$I,"TV*")</f>
        <v>0</v>
      </c>
      <c r="AJ47" s="34">
        <f>COUNTIFS(Errors!$F:$F,Analysis!$AE47,Errors!$D:$D,Analysis!$AJ$2,Errors!$I:$I,"TV*")</f>
        <v>0</v>
      </c>
      <c r="AK47" s="34">
        <f>COUNTIFS(Errors!$F:$F,Analysis!$AE47,Errors!$D:$D,Analysis!$AK$2,Errors!$I:$I,"TV*")</f>
        <v>0</v>
      </c>
      <c r="AL47" s="34">
        <f>COUNTIFS(Errors!$F:$F,Analysis!$AE47,Errors!$D:$D,Analysis!$AL$2,Errors!$I:$I,"TV*")</f>
        <v>0</v>
      </c>
      <c r="AM47" s="34">
        <f>COUNTIFS(Errors!$F:$F,Analysis!$AE47,Errors!$D:$D,Analysis!$AM$2,Errors!$I:$I,"TV*")</f>
        <v>0</v>
      </c>
      <c r="AN47" s="34">
        <f>COUNTIFS(Errors!$F:$F,Analysis!$AE47,Errors!$D:$D,Analysis!$AN$2,Errors!$I:$I,"TV*")</f>
        <v>0</v>
      </c>
      <c r="AO47" s="34">
        <f>COUNTIFS(Errors!$F:$F,Analysis!$AE47,Errors!$D:$D,Analysis!$AO$2,Errors!$I:$I,"TV*")</f>
        <v>0</v>
      </c>
      <c r="AP47" s="34">
        <f>COUNTIFS(Errors!$F:$F,Analysis!$AE47,Errors!$D:$D,Analysis!$AP$2,Errors!$I:$I,"TV*")</f>
        <v>0</v>
      </c>
      <c r="AQ47" s="34">
        <f>COUNTIFS(Errors!$F:$F,Analysis!$AE47,Errors!$D:$D,Analysis!$AQ$2,Errors!$I:$I,"TV*")</f>
        <v>0</v>
      </c>
      <c r="AR47" s="34">
        <f>COUNTIFS(Errors!$F:$F,Analysis!$AE47,Errors!$D:$D,Analysis!$AR$2,Errors!$I:$I,"TV*")</f>
        <v>0</v>
      </c>
      <c r="AS47" s="34">
        <f>COUNTIFS(Errors!$F:$F,Analysis!$AE47,Errors!$D:$D,Analysis!$AS$2,Errors!$I:$I,"TV*")</f>
        <v>0</v>
      </c>
      <c r="AT47" s="34">
        <f>COUNTIFS(Errors!$F:$F,Analysis!$AE47,Errors!$D:$D,Analysis!$AT$2,Errors!$I:$I,"TV*")</f>
        <v>0</v>
      </c>
      <c r="AU47" s="34">
        <f>COUNTIFS(Errors!$F:$F,Analysis!$AE47,Errors!$D:$D,Analysis!$AU$2,Errors!$I:$I,"TV*")</f>
        <v>0</v>
      </c>
      <c r="AV47" s="34">
        <f>COUNTIFS(Errors!$F:$F,Analysis!$AE47,Errors!$D:$D,Analysis!$AV$2,Errors!$I:$I,"TV*")</f>
        <v>0</v>
      </c>
      <c r="AW47" s="34">
        <f>COUNTIFS(Errors!$F:$F,Analysis!$AE47,Errors!$D:$D,Analysis!$AW$2,Errors!$I:$I,"TV*")</f>
        <v>0</v>
      </c>
      <c r="AX47" s="34">
        <f>COUNTIFS(Errors!$F:$F,Analysis!$AE47,Errors!$D:$D,Analysis!$AX$2,Errors!$I:$I,"TV*")</f>
        <v>0</v>
      </c>
      <c r="AY47" s="34">
        <f>COUNTIFS(Errors!$F:$F,Analysis!$AE47,Errors!$D:$D,Analysis!$AY$2,Errors!$I:$I,"TV*")</f>
        <v>0</v>
      </c>
      <c r="AZ47" s="34">
        <f>COUNTIFS(Errors!$F:$F,Analysis!$AE47,Errors!$D:$D,Analysis!$AZ$2,Errors!$I:$I,"TV*")</f>
        <v>0</v>
      </c>
      <c r="BA47" s="34">
        <f>COUNTIFS(Errors!$F:$F,Analysis!$AE47,Errors!$D:$D,Analysis!$BA$2,Errors!$I:$I,"TV*")</f>
        <v>0</v>
      </c>
      <c r="BB47" s="34">
        <f>COUNTIFS(Errors!$F:$F,Analysis!$AE47,Errors!$D:$D,Analysis!$BB$2,Errors!$I:$I,"TV*")</f>
        <v>0</v>
      </c>
      <c r="BC47" s="34">
        <f>COUNTIFS(Errors!$F:$F,Analysis!$AE47,Errors!$D:$D,Analysis!$BC$2,Errors!$I:$I,"TV*")</f>
        <v>0</v>
      </c>
      <c r="BD47" s="34">
        <f>COUNTIFS(Errors!$F:$F,Analysis!$AE47,Errors!$D:$D,Analysis!$BD$2,Errors!$I:$I,"TV*")</f>
        <v>0</v>
      </c>
      <c r="BE47" s="34">
        <f>COUNTIFS(Errors!$F:$F,Analysis!$AE47,Errors!$D:$D,Analysis!$BE$2,Errors!$I:$I,"TV*")</f>
        <v>0</v>
      </c>
      <c r="BF47" s="34">
        <f>COUNTIFS(Errors!$F:$F,Analysis!$AE47,Errors!$D:$D,Analysis!$BF$2,Errors!$I:$I,"TV*")</f>
        <v>0</v>
      </c>
      <c r="BG47" s="34">
        <f>COUNTIFS(Errors!$F:$F,Analysis!$AE47,Errors!$D:$D,Analysis!$BG$2,Errors!$I:$I,"TV*")</f>
        <v>0</v>
      </c>
      <c r="BH47" s="34">
        <f>COUNTIFS(Errors!$F:$F,Analysis!$AE47,Errors!$D:$D,Analysis!$BH$2,Errors!$I:$I,"TV*")</f>
        <v>0</v>
      </c>
      <c r="BI47" s="34">
        <f>COUNTIFS(Errors!$F:$F,Analysis!$AE47,Errors!$D:$D,Analysis!$BI$2,Errors!$I:$I,"TV*")</f>
        <v>0</v>
      </c>
      <c r="BJ47" s="34">
        <f>COUNTIFS(Errors!$F:$F,Analysis!$AE47,Errors!$D:$D,Analysis!$BJ$2,Errors!$I:$I,"TV*")</f>
        <v>0</v>
      </c>
      <c r="BL47" s="39">
        <f t="shared" si="11"/>
        <v>0</v>
      </c>
      <c r="BN47" s="83">
        <f t="shared" si="12"/>
        <v>0</v>
      </c>
      <c r="BO47" s="84" t="s">
        <v>79</v>
      </c>
      <c r="BS47" s="35" t="s">
        <v>79</v>
      </c>
      <c r="BT47" s="34">
        <f>COUNTIFS(Errors!$D:$D,Analysis!BT$1,Errors!$F:$F,Analysis!$BS47,Errors!$P:$P,"YES")</f>
        <v>0</v>
      </c>
      <c r="BU47" s="34">
        <f>COUNTIFS(Errors!$D:$D,Analysis!BU$1,Errors!$F:$F,Analysis!$BS47,Errors!$P:$P,"YES")</f>
        <v>0</v>
      </c>
      <c r="BV47" s="34">
        <f>COUNTIFS(Errors!$D:$D,Analysis!BV$1,Errors!$F:$F,Analysis!$BS47,Errors!$P:$P,"YES")</f>
        <v>0</v>
      </c>
      <c r="BW47" s="34">
        <f>COUNTIFS(Errors!$D:$D,Analysis!BW$1,Errors!$F:$F,Analysis!$BS47,Errors!$P:$P,"YES")</f>
        <v>0</v>
      </c>
      <c r="BX47" s="34">
        <f>COUNTIFS(Errors!$D:$D,Analysis!BX$1,Errors!$F:$F,Analysis!$BS47,Errors!$P:$P,"YES")</f>
        <v>0</v>
      </c>
      <c r="BY47" s="34">
        <f>COUNTIFS(Errors!$D:$D,Analysis!BY$1,Errors!$F:$F,Analysis!$BS47,Errors!$P:$P,"YES")</f>
        <v>0</v>
      </c>
      <c r="BZ47" s="34">
        <f>COUNTIFS(Errors!$D:$D,Analysis!BZ$1,Errors!$F:$F,Analysis!$BS47,Errors!$P:$P,"YES")</f>
        <v>0</v>
      </c>
      <c r="CA47" s="34">
        <f>COUNTIFS(Errors!$D:$D,Analysis!CA$1,Errors!$F:$F,Analysis!$BS47,Errors!$P:$P,"YES")</f>
        <v>0</v>
      </c>
      <c r="CB47" s="34">
        <f>COUNTIFS(Errors!$D:$D,Analysis!CB$1,Errors!$F:$F,Analysis!$BS47,Errors!$P:$P,"YES")</f>
        <v>0</v>
      </c>
      <c r="CC47" s="34">
        <f>COUNTIFS(Errors!$D:$D,Analysis!CC$1,Errors!$F:$F,Analysis!$BS47,Errors!$P:$P,"YES")</f>
        <v>0</v>
      </c>
      <c r="CD47" s="34">
        <f>COUNTIFS(Errors!$D:$D,Analysis!CD$1,Errors!$F:$F,Analysis!$BS47,Errors!$P:$P,"YES")</f>
        <v>0</v>
      </c>
      <c r="CE47" s="34">
        <f>COUNTIFS(Errors!$D:$D,Analysis!CE$1,Errors!$F:$F,Analysis!$BS47,Errors!$P:$P,"YES")</f>
        <v>0</v>
      </c>
      <c r="CF47" s="34">
        <f>COUNTIFS(Errors!$D:$D,Analysis!CF$1,Errors!$F:$F,Analysis!$BS47,Errors!$P:$P,"YES")</f>
        <v>0</v>
      </c>
      <c r="CG47" s="34">
        <f>COUNTIFS(Errors!$D:$D,Analysis!CG$1,Errors!$F:$F,Analysis!$BS47,Errors!$P:$P,"YES")</f>
        <v>0</v>
      </c>
      <c r="CH47" s="34">
        <f>COUNTIFS(Errors!$D:$D,Analysis!CH$1,Errors!$F:$F,Analysis!$BS47,Errors!$P:$P,"YES")</f>
        <v>0</v>
      </c>
      <c r="CI47" s="34">
        <f>COUNTIFS(Errors!$D:$D,Analysis!CI$1,Errors!$F:$F,Analysis!$BS47,Errors!$P:$P,"YES")</f>
        <v>0</v>
      </c>
      <c r="CJ47" s="34">
        <f>COUNTIFS(Errors!$D:$D,Analysis!CJ$1,Errors!$F:$F,Analysis!$BS47,Errors!$P:$P,"YES")</f>
        <v>0</v>
      </c>
      <c r="CK47" s="34">
        <f>COUNTIFS(Errors!$D:$D,Analysis!CK$1,Errors!$F:$F,Analysis!$BS47,Errors!$P:$P,"YES")</f>
        <v>0</v>
      </c>
      <c r="CL47" s="34">
        <f>COUNTIFS(Errors!$D:$D,Analysis!CL$1,Errors!$F:$F,Analysis!$BS47,Errors!$P:$P,"YES")</f>
        <v>0</v>
      </c>
      <c r="CM47" s="34">
        <f>COUNTIFS(Errors!$D:$D,Analysis!CM$1,Errors!$F:$F,Analysis!$BS47,Errors!$P:$P,"YES")</f>
        <v>0</v>
      </c>
      <c r="CN47" s="34">
        <f>COUNTIFS(Errors!$D:$D,Analysis!CN$1,Errors!$F:$F,Analysis!$BS47,Errors!$P:$P,"YES")</f>
        <v>0</v>
      </c>
      <c r="CO47" s="34">
        <f>COUNTIFS(Errors!$D:$D,Analysis!CO$1,Errors!$F:$F,Analysis!$BS47,Errors!$P:$P,"YES")</f>
        <v>0</v>
      </c>
      <c r="CP47" s="34">
        <f>COUNTIFS(Errors!$D:$D,Analysis!CP$1,Errors!$F:$F,Analysis!$BS47,Errors!$P:$P,"YES")</f>
        <v>0</v>
      </c>
      <c r="CQ47" s="34">
        <f>COUNTIFS(Errors!$D:$D,Analysis!CQ$1,Errors!$F:$F,Analysis!$BS47,Errors!$P:$P,"YES")</f>
        <v>0</v>
      </c>
      <c r="CR47" s="34">
        <f>COUNTIFS(Errors!$D:$D,Analysis!CR$1,Errors!$F:$F,Analysis!$BS47,Errors!$P:$P,"YES")</f>
        <v>0</v>
      </c>
      <c r="CS47" s="34">
        <f>COUNTIFS(Errors!$D:$D,Analysis!CS$1,Errors!$F:$F,Analysis!$BS47,Errors!$P:$P,"YES")</f>
        <v>0</v>
      </c>
      <c r="CT47" s="34">
        <f>COUNTIFS(Errors!$D:$D,Analysis!CT$1,Errors!$F:$F,Analysis!$BS47,Errors!$P:$P,"YES")</f>
        <v>0</v>
      </c>
      <c r="CU47" s="34">
        <f>COUNTIFS(Errors!$D:$D,Analysis!CU$1,Errors!$F:$F,Analysis!$BS47,Errors!$P:$P,"YES")</f>
        <v>0</v>
      </c>
      <c r="CV47" s="34">
        <f>COUNTIFS(Errors!$D:$D,Analysis!CV$1,Errors!$F:$F,Analysis!$BS47,Errors!$P:$P,"YES")</f>
        <v>0</v>
      </c>
      <c r="CW47" s="34">
        <f>COUNTIFS(Errors!$D:$D,Analysis!CW$1,Errors!$F:$F,Analysis!$BS47,Errors!$P:$P,"YES")</f>
        <v>0</v>
      </c>
      <c r="CX47" s="34">
        <f>COUNTIFS(Errors!$D:$D,Analysis!CX$1,Errors!$F:$F,Analysis!$BS47,Errors!$P:$P,"YES")</f>
        <v>0</v>
      </c>
      <c r="CZ47" s="39">
        <f t="shared" si="13"/>
        <v>0</v>
      </c>
      <c r="DB47" s="42">
        <f t="shared" si="14"/>
        <v>0</v>
      </c>
      <c r="DC47" s="41" t="s">
        <v>79</v>
      </c>
    </row>
    <row r="48" ht="15.0" customHeight="1">
      <c r="B48" s="100" t="s">
        <v>142</v>
      </c>
      <c r="C48" s="101" t="s">
        <v>143</v>
      </c>
      <c r="D48" s="2"/>
      <c r="E48" s="2"/>
      <c r="F48" s="2"/>
      <c r="G48" s="2"/>
      <c r="H48" s="3"/>
      <c r="I48" s="104">
        <f>COUNTIF(Errors!$I$3:$I$3008,$B48)</f>
        <v>0</v>
      </c>
      <c r="K48" s="105" t="s">
        <v>144</v>
      </c>
      <c r="L48" s="109" t="s">
        <v>145</v>
      </c>
      <c r="M48" s="2"/>
      <c r="N48" s="2"/>
      <c r="O48" s="2"/>
      <c r="P48" s="2"/>
      <c r="Q48" s="3"/>
      <c r="R48" s="104">
        <f>COUNTIF(Errors!$I$3:$I$3008,$K48)</f>
        <v>0</v>
      </c>
      <c r="AE48" s="35"/>
      <c r="AF48" s="34">
        <f>COUNTIFS(Errors!$F:$F,Analysis!$AE48,Errors!$D:$D,Analysis!$AF$2,Errors!$I:$I,"TV*")</f>
        <v>0</v>
      </c>
      <c r="AG48" s="34">
        <f>COUNTIFS(Errors!$F:$F,Analysis!$AE48,Errors!$D:$D,Analysis!$AG$2,Errors!$I:$I,"TV*")</f>
        <v>0</v>
      </c>
      <c r="AH48" s="34">
        <f>COUNTIFS(Errors!$F:$F,Analysis!$AE48,Errors!$D:$D,Analysis!$AH$2,Errors!$I:$I,"TV*")</f>
        <v>0</v>
      </c>
      <c r="AI48" s="34">
        <f>COUNTIFS(Errors!$F:$F,Analysis!$AE48,Errors!$D:$D,Analysis!$AI$2,Errors!$I:$I,"TV*")</f>
        <v>0</v>
      </c>
      <c r="AJ48" s="34">
        <f>COUNTIFS(Errors!$F:$F,Analysis!$AE48,Errors!$D:$D,Analysis!$AJ$2,Errors!$I:$I,"TV*")</f>
        <v>0</v>
      </c>
      <c r="AK48" s="34">
        <f>COUNTIFS(Errors!$F:$F,Analysis!$AE48,Errors!$D:$D,Analysis!$AK$2,Errors!$I:$I,"TV*")</f>
        <v>0</v>
      </c>
      <c r="AL48" s="34">
        <f>COUNTIFS(Errors!$F:$F,Analysis!$AE48,Errors!$D:$D,Analysis!$AL$2,Errors!$I:$I,"TV*")</f>
        <v>0</v>
      </c>
      <c r="AM48" s="34">
        <f>COUNTIFS(Errors!$F:$F,Analysis!$AE48,Errors!$D:$D,Analysis!$AM$2,Errors!$I:$I,"TV*")</f>
        <v>0</v>
      </c>
      <c r="AN48" s="34">
        <f>COUNTIFS(Errors!$F:$F,Analysis!$AE48,Errors!$D:$D,Analysis!$AN$2,Errors!$I:$I,"TV*")</f>
        <v>0</v>
      </c>
      <c r="AO48" s="34">
        <f>COUNTIFS(Errors!$F:$F,Analysis!$AE48,Errors!$D:$D,Analysis!$AO$2,Errors!$I:$I,"TV*")</f>
        <v>0</v>
      </c>
      <c r="AP48" s="34">
        <f>COUNTIFS(Errors!$F:$F,Analysis!$AE48,Errors!$D:$D,Analysis!$AP$2,Errors!$I:$I,"TV*")</f>
        <v>0</v>
      </c>
      <c r="AQ48" s="34">
        <f>COUNTIFS(Errors!$F:$F,Analysis!$AE48,Errors!$D:$D,Analysis!$AQ$2,Errors!$I:$I,"TV*")</f>
        <v>0</v>
      </c>
      <c r="AR48" s="34">
        <f>COUNTIFS(Errors!$F:$F,Analysis!$AE48,Errors!$D:$D,Analysis!$AR$2,Errors!$I:$I,"TV*")</f>
        <v>0</v>
      </c>
      <c r="AS48" s="34">
        <f>COUNTIFS(Errors!$F:$F,Analysis!$AE48,Errors!$D:$D,Analysis!$AS$2,Errors!$I:$I,"TV*")</f>
        <v>0</v>
      </c>
      <c r="AT48" s="34">
        <f>COUNTIFS(Errors!$F:$F,Analysis!$AE48,Errors!$D:$D,Analysis!$AT$2,Errors!$I:$I,"TV*")</f>
        <v>0</v>
      </c>
      <c r="AU48" s="34">
        <f>COUNTIFS(Errors!$F:$F,Analysis!$AE48,Errors!$D:$D,Analysis!$AU$2,Errors!$I:$I,"TV*")</f>
        <v>0</v>
      </c>
      <c r="AV48" s="34">
        <f>COUNTIFS(Errors!$F:$F,Analysis!$AE48,Errors!$D:$D,Analysis!$AV$2,Errors!$I:$I,"TV*")</f>
        <v>0</v>
      </c>
      <c r="AW48" s="34">
        <f>COUNTIFS(Errors!$F:$F,Analysis!$AE48,Errors!$D:$D,Analysis!$AW$2,Errors!$I:$I,"TV*")</f>
        <v>0</v>
      </c>
      <c r="AX48" s="34">
        <f>COUNTIFS(Errors!$F:$F,Analysis!$AE48,Errors!$D:$D,Analysis!$AX$2,Errors!$I:$I,"TV*")</f>
        <v>0</v>
      </c>
      <c r="AY48" s="34">
        <f>COUNTIFS(Errors!$F:$F,Analysis!$AE48,Errors!$D:$D,Analysis!$AY$2,Errors!$I:$I,"TV*")</f>
        <v>0</v>
      </c>
      <c r="AZ48" s="34">
        <f>COUNTIFS(Errors!$F:$F,Analysis!$AE48,Errors!$D:$D,Analysis!$AZ$2,Errors!$I:$I,"TV*")</f>
        <v>0</v>
      </c>
      <c r="BA48" s="34">
        <f>COUNTIFS(Errors!$F:$F,Analysis!$AE48,Errors!$D:$D,Analysis!$BA$2,Errors!$I:$I,"TV*")</f>
        <v>0</v>
      </c>
      <c r="BB48" s="34">
        <f>COUNTIFS(Errors!$F:$F,Analysis!$AE48,Errors!$D:$D,Analysis!$BB$2,Errors!$I:$I,"TV*")</f>
        <v>0</v>
      </c>
      <c r="BC48" s="34">
        <f>COUNTIFS(Errors!$F:$F,Analysis!$AE48,Errors!$D:$D,Analysis!$BC$2,Errors!$I:$I,"TV*")</f>
        <v>0</v>
      </c>
      <c r="BD48" s="34">
        <f>COUNTIFS(Errors!$F:$F,Analysis!$AE48,Errors!$D:$D,Analysis!$BD$2,Errors!$I:$I,"TV*")</f>
        <v>0</v>
      </c>
      <c r="BE48" s="34">
        <f>COUNTIFS(Errors!$F:$F,Analysis!$AE48,Errors!$D:$D,Analysis!$BE$2,Errors!$I:$I,"TV*")</f>
        <v>0</v>
      </c>
      <c r="BF48" s="34">
        <f>COUNTIFS(Errors!$F:$F,Analysis!$AE48,Errors!$D:$D,Analysis!$BF$2,Errors!$I:$I,"TV*")</f>
        <v>0</v>
      </c>
      <c r="BG48" s="34">
        <f>COUNTIFS(Errors!$F:$F,Analysis!$AE48,Errors!$D:$D,Analysis!$BG$2,Errors!$I:$I,"TV*")</f>
        <v>0</v>
      </c>
      <c r="BH48" s="34">
        <f>COUNTIFS(Errors!$F:$F,Analysis!$AE48,Errors!$D:$D,Analysis!$BH$2,Errors!$I:$I,"TV*")</f>
        <v>0</v>
      </c>
      <c r="BI48" s="34">
        <f>COUNTIFS(Errors!$F:$F,Analysis!$AE48,Errors!$D:$D,Analysis!$BI$2,Errors!$I:$I,"TV*")</f>
        <v>0</v>
      </c>
      <c r="BJ48" s="34">
        <f>COUNTIFS(Errors!$F:$F,Analysis!$AE48,Errors!$D:$D,Analysis!$BJ$2,Errors!$I:$I,"TV*")</f>
        <v>0</v>
      </c>
      <c r="BL48" s="39">
        <f t="shared" si="11"/>
        <v>0</v>
      </c>
      <c r="BN48" s="83">
        <f t="shared" si="12"/>
        <v>0</v>
      </c>
      <c r="BO48" s="84" t="s">
        <v>80</v>
      </c>
      <c r="BS48" s="35" t="s">
        <v>80</v>
      </c>
      <c r="BT48" s="34">
        <f>COUNTIFS(Errors!$D:$D,Analysis!BT$1,Errors!$F:$F,Analysis!$BS48,Errors!$P:$P,"YES")</f>
        <v>0</v>
      </c>
      <c r="BU48" s="34">
        <f>COUNTIFS(Errors!$D:$D,Analysis!BU$1,Errors!$F:$F,Analysis!$BS48,Errors!$P:$P,"YES")</f>
        <v>0</v>
      </c>
      <c r="BV48" s="34">
        <f>COUNTIFS(Errors!$D:$D,Analysis!BV$1,Errors!$F:$F,Analysis!$BS48,Errors!$P:$P,"YES")</f>
        <v>0</v>
      </c>
      <c r="BW48" s="34">
        <f>COUNTIFS(Errors!$D:$D,Analysis!BW$1,Errors!$F:$F,Analysis!$BS48,Errors!$P:$P,"YES")</f>
        <v>0</v>
      </c>
      <c r="BX48" s="34">
        <f>COUNTIFS(Errors!$D:$D,Analysis!BX$1,Errors!$F:$F,Analysis!$BS48,Errors!$P:$P,"YES")</f>
        <v>0</v>
      </c>
      <c r="BY48" s="34">
        <f>COUNTIFS(Errors!$D:$D,Analysis!BY$1,Errors!$F:$F,Analysis!$BS48,Errors!$P:$P,"YES")</f>
        <v>0</v>
      </c>
      <c r="BZ48" s="34">
        <f>COUNTIFS(Errors!$D:$D,Analysis!BZ$1,Errors!$F:$F,Analysis!$BS48,Errors!$P:$P,"YES")</f>
        <v>0</v>
      </c>
      <c r="CA48" s="34">
        <f>COUNTIFS(Errors!$D:$D,Analysis!CA$1,Errors!$F:$F,Analysis!$BS48,Errors!$P:$P,"YES")</f>
        <v>0</v>
      </c>
      <c r="CB48" s="34">
        <f>COUNTIFS(Errors!$D:$D,Analysis!CB$1,Errors!$F:$F,Analysis!$BS48,Errors!$P:$P,"YES")</f>
        <v>0</v>
      </c>
      <c r="CC48" s="34">
        <f>COUNTIFS(Errors!$D:$D,Analysis!CC$1,Errors!$F:$F,Analysis!$BS48,Errors!$P:$P,"YES")</f>
        <v>0</v>
      </c>
      <c r="CD48" s="34">
        <f>COUNTIFS(Errors!$D:$D,Analysis!CD$1,Errors!$F:$F,Analysis!$BS48,Errors!$P:$P,"YES")</f>
        <v>0</v>
      </c>
      <c r="CE48" s="34">
        <f>COUNTIFS(Errors!$D:$D,Analysis!CE$1,Errors!$F:$F,Analysis!$BS48,Errors!$P:$P,"YES")</f>
        <v>0</v>
      </c>
      <c r="CF48" s="34">
        <f>COUNTIFS(Errors!$D:$D,Analysis!CF$1,Errors!$F:$F,Analysis!$BS48,Errors!$P:$P,"YES")</f>
        <v>0</v>
      </c>
      <c r="CG48" s="34">
        <f>COUNTIFS(Errors!$D:$D,Analysis!CG$1,Errors!$F:$F,Analysis!$BS48,Errors!$P:$P,"YES")</f>
        <v>0</v>
      </c>
      <c r="CH48" s="34">
        <f>COUNTIFS(Errors!$D:$D,Analysis!CH$1,Errors!$F:$F,Analysis!$BS48,Errors!$P:$P,"YES")</f>
        <v>0</v>
      </c>
      <c r="CI48" s="34">
        <f>COUNTIFS(Errors!$D:$D,Analysis!CI$1,Errors!$F:$F,Analysis!$BS48,Errors!$P:$P,"YES")</f>
        <v>0</v>
      </c>
      <c r="CJ48" s="34">
        <f>COUNTIFS(Errors!$D:$D,Analysis!CJ$1,Errors!$F:$F,Analysis!$BS48,Errors!$P:$P,"YES")</f>
        <v>0</v>
      </c>
      <c r="CK48" s="34">
        <f>COUNTIFS(Errors!$D:$D,Analysis!CK$1,Errors!$F:$F,Analysis!$BS48,Errors!$P:$P,"YES")</f>
        <v>0</v>
      </c>
      <c r="CL48" s="34">
        <f>COUNTIFS(Errors!$D:$D,Analysis!CL$1,Errors!$F:$F,Analysis!$BS48,Errors!$P:$P,"YES")</f>
        <v>0</v>
      </c>
      <c r="CM48" s="34">
        <f>COUNTIFS(Errors!$D:$D,Analysis!CM$1,Errors!$F:$F,Analysis!$BS48,Errors!$P:$P,"YES")</f>
        <v>0</v>
      </c>
      <c r="CN48" s="34">
        <f>COUNTIFS(Errors!$D:$D,Analysis!CN$1,Errors!$F:$F,Analysis!$BS48,Errors!$P:$P,"YES")</f>
        <v>0</v>
      </c>
      <c r="CO48" s="34">
        <f>COUNTIFS(Errors!$D:$D,Analysis!CO$1,Errors!$F:$F,Analysis!$BS48,Errors!$P:$P,"YES")</f>
        <v>0</v>
      </c>
      <c r="CP48" s="34">
        <f>COUNTIFS(Errors!$D:$D,Analysis!CP$1,Errors!$F:$F,Analysis!$BS48,Errors!$P:$P,"YES")</f>
        <v>0</v>
      </c>
      <c r="CQ48" s="34">
        <f>COUNTIFS(Errors!$D:$D,Analysis!CQ$1,Errors!$F:$F,Analysis!$BS48,Errors!$P:$P,"YES")</f>
        <v>0</v>
      </c>
      <c r="CR48" s="34">
        <f>COUNTIFS(Errors!$D:$D,Analysis!CR$1,Errors!$F:$F,Analysis!$BS48,Errors!$P:$P,"YES")</f>
        <v>0</v>
      </c>
      <c r="CS48" s="34">
        <f>COUNTIFS(Errors!$D:$D,Analysis!CS$1,Errors!$F:$F,Analysis!$BS48,Errors!$P:$P,"YES")</f>
        <v>0</v>
      </c>
      <c r="CT48" s="34">
        <f>COUNTIFS(Errors!$D:$D,Analysis!CT$1,Errors!$F:$F,Analysis!$BS48,Errors!$P:$P,"YES")</f>
        <v>0</v>
      </c>
      <c r="CU48" s="34">
        <f>COUNTIFS(Errors!$D:$D,Analysis!CU$1,Errors!$F:$F,Analysis!$BS48,Errors!$P:$P,"YES")</f>
        <v>0</v>
      </c>
      <c r="CV48" s="34">
        <f>COUNTIFS(Errors!$D:$D,Analysis!CV$1,Errors!$F:$F,Analysis!$BS48,Errors!$P:$P,"YES")</f>
        <v>0</v>
      </c>
      <c r="CW48" s="34">
        <f>COUNTIFS(Errors!$D:$D,Analysis!CW$1,Errors!$F:$F,Analysis!$BS48,Errors!$P:$P,"YES")</f>
        <v>0</v>
      </c>
      <c r="CX48" s="34">
        <f>COUNTIFS(Errors!$D:$D,Analysis!CX$1,Errors!$F:$F,Analysis!$BS48,Errors!$P:$P,"YES")</f>
        <v>0</v>
      </c>
      <c r="CZ48" s="39">
        <f t="shared" si="13"/>
        <v>0</v>
      </c>
      <c r="DB48" s="42">
        <f t="shared" si="14"/>
        <v>0</v>
      </c>
      <c r="DC48" s="41" t="s">
        <v>80</v>
      </c>
    </row>
    <row r="49" ht="15.0" customHeight="1">
      <c r="B49" s="100" t="s">
        <v>146</v>
      </c>
      <c r="C49" s="101" t="s">
        <v>147</v>
      </c>
      <c r="D49" s="2"/>
      <c r="E49" s="2"/>
      <c r="F49" s="2"/>
      <c r="G49" s="2"/>
      <c r="H49" s="3"/>
      <c r="I49" s="104">
        <f>COUNTIF(Errors!$I$3:$I$3008,$B49)</f>
        <v>0</v>
      </c>
      <c r="K49" s="105" t="s">
        <v>148</v>
      </c>
      <c r="L49" s="109" t="s">
        <v>149</v>
      </c>
      <c r="M49" s="2"/>
      <c r="N49" s="2"/>
      <c r="O49" s="2"/>
      <c r="P49" s="2"/>
      <c r="Q49" s="3"/>
      <c r="R49" s="104">
        <f>COUNTIF(Errors!$I$3:$I$3008,$K49)</f>
        <v>0</v>
      </c>
      <c r="AE49" s="35"/>
      <c r="AF49" s="34">
        <f>COUNTIFS(Errors!$F:$F,Analysis!$AE49,Errors!$D:$D,Analysis!$AF$2,Errors!$I:$I,"TV*")</f>
        <v>0</v>
      </c>
      <c r="AG49" s="34">
        <f>COUNTIFS(Errors!$F:$F,Analysis!$AE49,Errors!$D:$D,Analysis!$AG$2,Errors!$I:$I,"TV*")</f>
        <v>0</v>
      </c>
      <c r="AH49" s="34">
        <f>COUNTIFS(Errors!$F:$F,Analysis!$AE49,Errors!$D:$D,Analysis!$AH$2,Errors!$I:$I,"TV*")</f>
        <v>0</v>
      </c>
      <c r="AI49" s="34">
        <f>COUNTIFS(Errors!$F:$F,Analysis!$AE49,Errors!$D:$D,Analysis!$AI$2,Errors!$I:$I,"TV*")</f>
        <v>0</v>
      </c>
      <c r="AJ49" s="34">
        <f>COUNTIFS(Errors!$F:$F,Analysis!$AE49,Errors!$D:$D,Analysis!$AJ$2,Errors!$I:$I,"TV*")</f>
        <v>0</v>
      </c>
      <c r="AK49" s="34">
        <f>COUNTIFS(Errors!$F:$F,Analysis!$AE49,Errors!$D:$D,Analysis!$AK$2,Errors!$I:$I,"TV*")</f>
        <v>0</v>
      </c>
      <c r="AL49" s="34">
        <f>COUNTIFS(Errors!$F:$F,Analysis!$AE49,Errors!$D:$D,Analysis!$AL$2,Errors!$I:$I,"TV*")</f>
        <v>0</v>
      </c>
      <c r="AM49" s="34">
        <f>COUNTIFS(Errors!$F:$F,Analysis!$AE49,Errors!$D:$D,Analysis!$AM$2,Errors!$I:$I,"TV*")</f>
        <v>0</v>
      </c>
      <c r="AN49" s="34">
        <f>COUNTIFS(Errors!$F:$F,Analysis!$AE49,Errors!$D:$D,Analysis!$AN$2,Errors!$I:$I,"TV*")</f>
        <v>0</v>
      </c>
      <c r="AO49" s="34">
        <f>COUNTIFS(Errors!$F:$F,Analysis!$AE49,Errors!$D:$D,Analysis!$AO$2,Errors!$I:$I,"TV*")</f>
        <v>0</v>
      </c>
      <c r="AP49" s="34">
        <f>COUNTIFS(Errors!$F:$F,Analysis!$AE49,Errors!$D:$D,Analysis!$AP$2,Errors!$I:$I,"TV*")</f>
        <v>0</v>
      </c>
      <c r="AQ49" s="34">
        <f>COUNTIFS(Errors!$F:$F,Analysis!$AE49,Errors!$D:$D,Analysis!$AQ$2,Errors!$I:$I,"TV*")</f>
        <v>0</v>
      </c>
      <c r="AR49" s="34">
        <f>COUNTIFS(Errors!$F:$F,Analysis!$AE49,Errors!$D:$D,Analysis!$AR$2,Errors!$I:$I,"TV*")</f>
        <v>0</v>
      </c>
      <c r="AS49" s="34">
        <f>COUNTIFS(Errors!$F:$F,Analysis!$AE49,Errors!$D:$D,Analysis!$AS$2,Errors!$I:$I,"TV*")</f>
        <v>0</v>
      </c>
      <c r="AT49" s="34">
        <f>COUNTIFS(Errors!$F:$F,Analysis!$AE49,Errors!$D:$D,Analysis!$AT$2,Errors!$I:$I,"TV*")</f>
        <v>0</v>
      </c>
      <c r="AU49" s="34">
        <f>COUNTIFS(Errors!$F:$F,Analysis!$AE49,Errors!$D:$D,Analysis!$AU$2,Errors!$I:$I,"TV*")</f>
        <v>0</v>
      </c>
      <c r="AV49" s="34">
        <f>COUNTIFS(Errors!$F:$F,Analysis!$AE49,Errors!$D:$D,Analysis!$AV$2,Errors!$I:$I,"TV*")</f>
        <v>0</v>
      </c>
      <c r="AW49" s="34">
        <f>COUNTIFS(Errors!$F:$F,Analysis!$AE49,Errors!$D:$D,Analysis!$AW$2,Errors!$I:$I,"TV*")</f>
        <v>0</v>
      </c>
      <c r="AX49" s="34">
        <f>COUNTIFS(Errors!$F:$F,Analysis!$AE49,Errors!$D:$D,Analysis!$AX$2,Errors!$I:$I,"TV*")</f>
        <v>0</v>
      </c>
      <c r="AY49" s="34">
        <f>COUNTIFS(Errors!$F:$F,Analysis!$AE49,Errors!$D:$D,Analysis!$AY$2,Errors!$I:$I,"TV*")</f>
        <v>0</v>
      </c>
      <c r="AZ49" s="34">
        <f>COUNTIFS(Errors!$F:$F,Analysis!$AE49,Errors!$D:$D,Analysis!$AZ$2,Errors!$I:$I,"TV*")</f>
        <v>0</v>
      </c>
      <c r="BA49" s="34">
        <f>COUNTIFS(Errors!$F:$F,Analysis!$AE49,Errors!$D:$D,Analysis!$BA$2,Errors!$I:$I,"TV*")</f>
        <v>0</v>
      </c>
      <c r="BB49" s="34">
        <f>COUNTIFS(Errors!$F:$F,Analysis!$AE49,Errors!$D:$D,Analysis!$BB$2,Errors!$I:$I,"TV*")</f>
        <v>0</v>
      </c>
      <c r="BC49" s="34">
        <f>COUNTIFS(Errors!$F:$F,Analysis!$AE49,Errors!$D:$D,Analysis!$BC$2,Errors!$I:$I,"TV*")</f>
        <v>0</v>
      </c>
      <c r="BD49" s="34">
        <f>COUNTIFS(Errors!$F:$F,Analysis!$AE49,Errors!$D:$D,Analysis!$BD$2,Errors!$I:$I,"TV*")</f>
        <v>0</v>
      </c>
      <c r="BE49" s="34">
        <f>COUNTIFS(Errors!$F:$F,Analysis!$AE49,Errors!$D:$D,Analysis!$BE$2,Errors!$I:$I,"TV*")</f>
        <v>0</v>
      </c>
      <c r="BF49" s="34">
        <f>COUNTIFS(Errors!$F:$F,Analysis!$AE49,Errors!$D:$D,Analysis!$BF$2,Errors!$I:$I,"TV*")</f>
        <v>0</v>
      </c>
      <c r="BG49" s="34">
        <f>COUNTIFS(Errors!$F:$F,Analysis!$AE49,Errors!$D:$D,Analysis!$BG$2,Errors!$I:$I,"TV*")</f>
        <v>0</v>
      </c>
      <c r="BH49" s="34">
        <f>COUNTIFS(Errors!$F:$F,Analysis!$AE49,Errors!$D:$D,Analysis!$BH$2,Errors!$I:$I,"TV*")</f>
        <v>0</v>
      </c>
      <c r="BI49" s="34">
        <f>COUNTIFS(Errors!$F:$F,Analysis!$AE49,Errors!$D:$D,Analysis!$BI$2,Errors!$I:$I,"TV*")</f>
        <v>0</v>
      </c>
      <c r="BJ49" s="34">
        <f>COUNTIFS(Errors!$F:$F,Analysis!$AE49,Errors!$D:$D,Analysis!$BJ$2,Errors!$I:$I,"TV*")</f>
        <v>0</v>
      </c>
      <c r="BL49" s="39">
        <f t="shared" si="11"/>
        <v>0</v>
      </c>
      <c r="BN49" s="83">
        <f t="shared" si="12"/>
        <v>0</v>
      </c>
      <c r="BO49" s="110" t="s">
        <v>81</v>
      </c>
      <c r="BS49" s="35" t="s">
        <v>81</v>
      </c>
      <c r="BT49" s="34">
        <f>COUNTIFS(Errors!$D:$D,Analysis!BT$1,Errors!$F:$F,Analysis!$BS49,Errors!$P:$P,"YES")</f>
        <v>0</v>
      </c>
      <c r="BU49" s="34">
        <f>COUNTIFS(Errors!$D:$D,Analysis!BU$1,Errors!$F:$F,Analysis!$BS49,Errors!$P:$P,"YES")</f>
        <v>0</v>
      </c>
      <c r="BV49" s="34">
        <f>COUNTIFS(Errors!$D:$D,Analysis!BV$1,Errors!$F:$F,Analysis!$BS49,Errors!$P:$P,"YES")</f>
        <v>0</v>
      </c>
      <c r="BW49" s="34">
        <f>COUNTIFS(Errors!$D:$D,Analysis!BW$1,Errors!$F:$F,Analysis!$BS49,Errors!$P:$P,"YES")</f>
        <v>0</v>
      </c>
      <c r="BX49" s="34">
        <f>COUNTIFS(Errors!$D:$D,Analysis!BX$1,Errors!$F:$F,Analysis!$BS49,Errors!$P:$P,"YES")</f>
        <v>0</v>
      </c>
      <c r="BY49" s="34">
        <f>COUNTIFS(Errors!$D:$D,Analysis!BY$1,Errors!$F:$F,Analysis!$BS49,Errors!$P:$P,"YES")</f>
        <v>0</v>
      </c>
      <c r="BZ49" s="34">
        <f>COUNTIFS(Errors!$D:$D,Analysis!BZ$1,Errors!$F:$F,Analysis!$BS49,Errors!$P:$P,"YES")</f>
        <v>0</v>
      </c>
      <c r="CA49" s="34">
        <f>COUNTIFS(Errors!$D:$D,Analysis!CA$1,Errors!$F:$F,Analysis!$BS49,Errors!$P:$P,"YES")</f>
        <v>0</v>
      </c>
      <c r="CB49" s="34">
        <f>COUNTIFS(Errors!$D:$D,Analysis!CB$1,Errors!$F:$F,Analysis!$BS49,Errors!$P:$P,"YES")</f>
        <v>0</v>
      </c>
      <c r="CC49" s="34">
        <f>COUNTIFS(Errors!$D:$D,Analysis!CC$1,Errors!$F:$F,Analysis!$BS49,Errors!$P:$P,"YES")</f>
        <v>0</v>
      </c>
      <c r="CD49" s="34">
        <f>COUNTIFS(Errors!$D:$D,Analysis!CD$1,Errors!$F:$F,Analysis!$BS49,Errors!$P:$P,"YES")</f>
        <v>0</v>
      </c>
      <c r="CE49" s="34">
        <f>COUNTIFS(Errors!$D:$D,Analysis!CE$1,Errors!$F:$F,Analysis!$BS49,Errors!$P:$P,"YES")</f>
        <v>0</v>
      </c>
      <c r="CF49" s="34">
        <f>COUNTIFS(Errors!$D:$D,Analysis!CF$1,Errors!$F:$F,Analysis!$BS49,Errors!$P:$P,"YES")</f>
        <v>0</v>
      </c>
      <c r="CG49" s="34">
        <f>COUNTIFS(Errors!$D:$D,Analysis!CG$1,Errors!$F:$F,Analysis!$BS49,Errors!$P:$P,"YES")</f>
        <v>0</v>
      </c>
      <c r="CH49" s="34">
        <f>COUNTIFS(Errors!$D:$D,Analysis!CH$1,Errors!$F:$F,Analysis!$BS49,Errors!$P:$P,"YES")</f>
        <v>0</v>
      </c>
      <c r="CI49" s="34">
        <f>COUNTIFS(Errors!$D:$D,Analysis!CI$1,Errors!$F:$F,Analysis!$BS49,Errors!$P:$P,"YES")</f>
        <v>0</v>
      </c>
      <c r="CJ49" s="34">
        <f>COUNTIFS(Errors!$D:$D,Analysis!CJ$1,Errors!$F:$F,Analysis!$BS49,Errors!$P:$P,"YES")</f>
        <v>0</v>
      </c>
      <c r="CK49" s="34">
        <f>COUNTIFS(Errors!$D:$D,Analysis!CK$1,Errors!$F:$F,Analysis!$BS49,Errors!$P:$P,"YES")</f>
        <v>0</v>
      </c>
      <c r="CL49" s="34">
        <f>COUNTIFS(Errors!$D:$D,Analysis!CL$1,Errors!$F:$F,Analysis!$BS49,Errors!$P:$P,"YES")</f>
        <v>0</v>
      </c>
      <c r="CM49" s="34">
        <f>COUNTIFS(Errors!$D:$D,Analysis!CM$1,Errors!$F:$F,Analysis!$BS49,Errors!$P:$P,"YES")</f>
        <v>0</v>
      </c>
      <c r="CN49" s="34">
        <f>COUNTIFS(Errors!$D:$D,Analysis!CN$1,Errors!$F:$F,Analysis!$BS49,Errors!$P:$P,"YES")</f>
        <v>0</v>
      </c>
      <c r="CO49" s="34">
        <f>COUNTIFS(Errors!$D:$D,Analysis!CO$1,Errors!$F:$F,Analysis!$BS49,Errors!$P:$P,"YES")</f>
        <v>0</v>
      </c>
      <c r="CP49" s="34">
        <f>COUNTIFS(Errors!$D:$D,Analysis!CP$1,Errors!$F:$F,Analysis!$BS49,Errors!$P:$P,"YES")</f>
        <v>0</v>
      </c>
      <c r="CQ49" s="34">
        <f>COUNTIFS(Errors!$D:$D,Analysis!CQ$1,Errors!$F:$F,Analysis!$BS49,Errors!$P:$P,"YES")</f>
        <v>0</v>
      </c>
      <c r="CR49" s="34">
        <f>COUNTIFS(Errors!$D:$D,Analysis!CR$1,Errors!$F:$F,Analysis!$BS49,Errors!$P:$P,"YES")</f>
        <v>0</v>
      </c>
      <c r="CS49" s="34">
        <f>COUNTIFS(Errors!$D:$D,Analysis!CS$1,Errors!$F:$F,Analysis!$BS49,Errors!$P:$P,"YES")</f>
        <v>0</v>
      </c>
      <c r="CT49" s="34">
        <f>COUNTIFS(Errors!$D:$D,Analysis!CT$1,Errors!$F:$F,Analysis!$BS49,Errors!$P:$P,"YES")</f>
        <v>0</v>
      </c>
      <c r="CU49" s="34">
        <f>COUNTIFS(Errors!$D:$D,Analysis!CU$1,Errors!$F:$F,Analysis!$BS49,Errors!$P:$P,"YES")</f>
        <v>0</v>
      </c>
      <c r="CV49" s="34">
        <f>COUNTIFS(Errors!$D:$D,Analysis!CV$1,Errors!$F:$F,Analysis!$BS49,Errors!$P:$P,"YES")</f>
        <v>0</v>
      </c>
      <c r="CW49" s="34">
        <f>COUNTIFS(Errors!$D:$D,Analysis!CW$1,Errors!$F:$F,Analysis!$BS49,Errors!$P:$P,"YES")</f>
        <v>0</v>
      </c>
      <c r="CX49" s="34">
        <f>COUNTIFS(Errors!$D:$D,Analysis!CX$1,Errors!$F:$F,Analysis!$BS49,Errors!$P:$P,"YES")</f>
        <v>0</v>
      </c>
      <c r="CZ49" s="39">
        <f t="shared" si="13"/>
        <v>0</v>
      </c>
      <c r="DB49" s="42">
        <f t="shared" si="14"/>
        <v>0</v>
      </c>
      <c r="DC49" s="41" t="s">
        <v>81</v>
      </c>
    </row>
    <row r="50" ht="15.0" customHeight="1">
      <c r="B50" s="100" t="s">
        <v>150</v>
      </c>
      <c r="C50" s="101" t="s">
        <v>151</v>
      </c>
      <c r="D50" s="2"/>
      <c r="E50" s="2"/>
      <c r="F50" s="2"/>
      <c r="G50" s="2"/>
      <c r="H50" s="3"/>
      <c r="I50" s="104">
        <f>COUNTIF(Errors!$I$3:$I$3008,$B50)</f>
        <v>26</v>
      </c>
      <c r="K50" s="105" t="s">
        <v>152</v>
      </c>
      <c r="L50" s="109" t="s">
        <v>153</v>
      </c>
      <c r="M50" s="2"/>
      <c r="N50" s="2"/>
      <c r="O50" s="2"/>
      <c r="P50" s="2"/>
      <c r="Q50" s="3"/>
      <c r="R50" s="104">
        <f>COUNTIF(Errors!$I$3:$I$3008,$K50)</f>
        <v>0</v>
      </c>
      <c r="AE50" s="35"/>
      <c r="AF50" s="34">
        <f>COUNTIFS(Errors!$F:$F,Analysis!$AE50,Errors!$D:$D,Analysis!$AF$2,Errors!$I:$I,"TV*")</f>
        <v>0</v>
      </c>
      <c r="AG50" s="34">
        <f>COUNTIFS(Errors!$F:$F,Analysis!$AE50,Errors!$D:$D,Analysis!$AG$2,Errors!$I:$I,"TV*")</f>
        <v>0</v>
      </c>
      <c r="AH50" s="34">
        <f>COUNTIFS(Errors!$F:$F,Analysis!$AE50,Errors!$D:$D,Analysis!$AH$2,Errors!$I:$I,"TV*")</f>
        <v>0</v>
      </c>
      <c r="AI50" s="34">
        <f>COUNTIFS(Errors!$F:$F,Analysis!$AE50,Errors!$D:$D,Analysis!$AI$2,Errors!$I:$I,"TV*")</f>
        <v>0</v>
      </c>
      <c r="AJ50" s="34">
        <f>COUNTIFS(Errors!$F:$F,Analysis!$AE50,Errors!$D:$D,Analysis!$AJ$2,Errors!$I:$I,"TV*")</f>
        <v>0</v>
      </c>
      <c r="AK50" s="34">
        <f>COUNTIFS(Errors!$F:$F,Analysis!$AE50,Errors!$D:$D,Analysis!$AK$2,Errors!$I:$I,"TV*")</f>
        <v>0</v>
      </c>
      <c r="AL50" s="34">
        <f>COUNTIFS(Errors!$F:$F,Analysis!$AE50,Errors!$D:$D,Analysis!$AL$2,Errors!$I:$I,"TV*")</f>
        <v>0</v>
      </c>
      <c r="AM50" s="34">
        <f>COUNTIFS(Errors!$F:$F,Analysis!$AE50,Errors!$D:$D,Analysis!$AM$2,Errors!$I:$I,"TV*")</f>
        <v>0</v>
      </c>
      <c r="AN50" s="34">
        <f>COUNTIFS(Errors!$F:$F,Analysis!$AE50,Errors!$D:$D,Analysis!$AN$2,Errors!$I:$I,"TV*")</f>
        <v>0</v>
      </c>
      <c r="AO50" s="34">
        <f>COUNTIFS(Errors!$F:$F,Analysis!$AE50,Errors!$D:$D,Analysis!$AO$2,Errors!$I:$I,"TV*")</f>
        <v>0</v>
      </c>
      <c r="AP50" s="34">
        <f>COUNTIFS(Errors!$F:$F,Analysis!$AE50,Errors!$D:$D,Analysis!$AP$2,Errors!$I:$I,"TV*")</f>
        <v>0</v>
      </c>
      <c r="AQ50" s="34">
        <f>COUNTIFS(Errors!$F:$F,Analysis!$AE50,Errors!$D:$D,Analysis!$AQ$2,Errors!$I:$I,"TV*")</f>
        <v>0</v>
      </c>
      <c r="AR50" s="34">
        <f>COUNTIFS(Errors!$F:$F,Analysis!$AE50,Errors!$D:$D,Analysis!$AR$2,Errors!$I:$I,"TV*")</f>
        <v>0</v>
      </c>
      <c r="AS50" s="34">
        <f>COUNTIFS(Errors!$F:$F,Analysis!$AE50,Errors!$D:$D,Analysis!$AS$2,Errors!$I:$I,"TV*")</f>
        <v>0</v>
      </c>
      <c r="AT50" s="34">
        <f>COUNTIFS(Errors!$F:$F,Analysis!$AE50,Errors!$D:$D,Analysis!$AT$2,Errors!$I:$I,"TV*")</f>
        <v>0</v>
      </c>
      <c r="AU50" s="34">
        <f>COUNTIFS(Errors!$F:$F,Analysis!$AE50,Errors!$D:$D,Analysis!$AU$2,Errors!$I:$I,"TV*")</f>
        <v>0</v>
      </c>
      <c r="AV50" s="34">
        <f>COUNTIFS(Errors!$F:$F,Analysis!$AE50,Errors!$D:$D,Analysis!$AV$2,Errors!$I:$I,"TV*")</f>
        <v>0</v>
      </c>
      <c r="AW50" s="34">
        <f>COUNTIFS(Errors!$F:$F,Analysis!$AE50,Errors!$D:$D,Analysis!$AW$2,Errors!$I:$I,"TV*")</f>
        <v>0</v>
      </c>
      <c r="AX50" s="34">
        <f>COUNTIFS(Errors!$F:$F,Analysis!$AE50,Errors!$D:$D,Analysis!$AX$2,Errors!$I:$I,"TV*")</f>
        <v>0</v>
      </c>
      <c r="AY50" s="34">
        <f>COUNTIFS(Errors!$F:$F,Analysis!$AE50,Errors!$D:$D,Analysis!$AY$2,Errors!$I:$I,"TV*")</f>
        <v>0</v>
      </c>
      <c r="AZ50" s="34">
        <f>COUNTIFS(Errors!$F:$F,Analysis!$AE50,Errors!$D:$D,Analysis!$AZ$2,Errors!$I:$I,"TV*")</f>
        <v>0</v>
      </c>
      <c r="BA50" s="34">
        <f>COUNTIFS(Errors!$F:$F,Analysis!$AE50,Errors!$D:$D,Analysis!$BA$2,Errors!$I:$I,"TV*")</f>
        <v>0</v>
      </c>
      <c r="BB50" s="34">
        <f>COUNTIFS(Errors!$F:$F,Analysis!$AE50,Errors!$D:$D,Analysis!$BB$2,Errors!$I:$I,"TV*")</f>
        <v>0</v>
      </c>
      <c r="BC50" s="34">
        <f>COUNTIFS(Errors!$F:$F,Analysis!$AE50,Errors!$D:$D,Analysis!$BC$2,Errors!$I:$I,"TV*")</f>
        <v>0</v>
      </c>
      <c r="BD50" s="34">
        <f>COUNTIFS(Errors!$F:$F,Analysis!$AE50,Errors!$D:$D,Analysis!$BD$2,Errors!$I:$I,"TV*")</f>
        <v>0</v>
      </c>
      <c r="BE50" s="34">
        <f>COUNTIFS(Errors!$F:$F,Analysis!$AE50,Errors!$D:$D,Analysis!$BE$2,Errors!$I:$I,"TV*")</f>
        <v>0</v>
      </c>
      <c r="BF50" s="34">
        <f>COUNTIFS(Errors!$F:$F,Analysis!$AE50,Errors!$D:$D,Analysis!$BF$2,Errors!$I:$I,"TV*")</f>
        <v>0</v>
      </c>
      <c r="BG50" s="34">
        <f>COUNTIFS(Errors!$F:$F,Analysis!$AE50,Errors!$D:$D,Analysis!$BG$2,Errors!$I:$I,"TV*")</f>
        <v>0</v>
      </c>
      <c r="BH50" s="34">
        <f>COUNTIFS(Errors!$F:$F,Analysis!$AE50,Errors!$D:$D,Analysis!$BH$2,Errors!$I:$I,"TV*")</f>
        <v>0</v>
      </c>
      <c r="BI50" s="34">
        <f>COUNTIFS(Errors!$F:$F,Analysis!$AE50,Errors!$D:$D,Analysis!$BI$2,Errors!$I:$I,"TV*")</f>
        <v>0</v>
      </c>
      <c r="BJ50" s="34">
        <f>COUNTIFS(Errors!$F:$F,Analysis!$AE50,Errors!$D:$D,Analysis!$BJ$2,Errors!$I:$I,"TV*")</f>
        <v>0</v>
      </c>
      <c r="BL50" s="39">
        <f t="shared" si="11"/>
        <v>0</v>
      </c>
      <c r="BN50" s="83">
        <f t="shared" si="12"/>
        <v>0</v>
      </c>
      <c r="BO50" s="84" t="s">
        <v>82</v>
      </c>
      <c r="BS50" s="35" t="s">
        <v>82</v>
      </c>
      <c r="BT50" s="34">
        <f>COUNTIFS(Errors!$D:$D,Analysis!BT$1,Errors!$F:$F,Analysis!$BS50,Errors!$P:$P,"YES")</f>
        <v>0</v>
      </c>
      <c r="BU50" s="34">
        <f>COUNTIFS(Errors!$D:$D,Analysis!BU$1,Errors!$F:$F,Analysis!$BS50,Errors!$P:$P,"YES")</f>
        <v>0</v>
      </c>
      <c r="BV50" s="34">
        <f>COUNTIFS(Errors!$D:$D,Analysis!BV$1,Errors!$F:$F,Analysis!$BS50,Errors!$P:$P,"YES")</f>
        <v>0</v>
      </c>
      <c r="BW50" s="34">
        <f>COUNTIFS(Errors!$D:$D,Analysis!BW$1,Errors!$F:$F,Analysis!$BS50,Errors!$P:$P,"YES")</f>
        <v>0</v>
      </c>
      <c r="BX50" s="34">
        <f>COUNTIFS(Errors!$D:$D,Analysis!BX$1,Errors!$F:$F,Analysis!$BS50,Errors!$P:$P,"YES")</f>
        <v>0</v>
      </c>
      <c r="BY50" s="34">
        <f>COUNTIFS(Errors!$D:$D,Analysis!BY$1,Errors!$F:$F,Analysis!$BS50,Errors!$P:$P,"YES")</f>
        <v>0</v>
      </c>
      <c r="BZ50" s="34">
        <f>COUNTIFS(Errors!$D:$D,Analysis!BZ$1,Errors!$F:$F,Analysis!$BS50,Errors!$P:$P,"YES")</f>
        <v>0</v>
      </c>
      <c r="CA50" s="34">
        <f>COUNTIFS(Errors!$D:$D,Analysis!CA$1,Errors!$F:$F,Analysis!$BS50,Errors!$P:$P,"YES")</f>
        <v>0</v>
      </c>
      <c r="CB50" s="34">
        <f>COUNTIFS(Errors!$D:$D,Analysis!CB$1,Errors!$F:$F,Analysis!$BS50,Errors!$P:$P,"YES")</f>
        <v>0</v>
      </c>
      <c r="CC50" s="34">
        <f>COUNTIFS(Errors!$D:$D,Analysis!CC$1,Errors!$F:$F,Analysis!$BS50,Errors!$P:$P,"YES")</f>
        <v>0</v>
      </c>
      <c r="CD50" s="34">
        <f>COUNTIFS(Errors!$D:$D,Analysis!CD$1,Errors!$F:$F,Analysis!$BS50,Errors!$P:$P,"YES")</f>
        <v>0</v>
      </c>
      <c r="CE50" s="34">
        <f>COUNTIFS(Errors!$D:$D,Analysis!CE$1,Errors!$F:$F,Analysis!$BS50,Errors!$P:$P,"YES")</f>
        <v>0</v>
      </c>
      <c r="CF50" s="34">
        <f>COUNTIFS(Errors!$D:$D,Analysis!CF$1,Errors!$F:$F,Analysis!$BS50,Errors!$P:$P,"YES")</f>
        <v>0</v>
      </c>
      <c r="CG50" s="34">
        <f>COUNTIFS(Errors!$D:$D,Analysis!CG$1,Errors!$F:$F,Analysis!$BS50,Errors!$P:$P,"YES")</f>
        <v>0</v>
      </c>
      <c r="CH50" s="34">
        <f>COUNTIFS(Errors!$D:$D,Analysis!CH$1,Errors!$F:$F,Analysis!$BS50,Errors!$P:$P,"YES")</f>
        <v>0</v>
      </c>
      <c r="CI50" s="34">
        <f>COUNTIFS(Errors!$D:$D,Analysis!CI$1,Errors!$F:$F,Analysis!$BS50,Errors!$P:$P,"YES")</f>
        <v>0</v>
      </c>
      <c r="CJ50" s="34">
        <f>COUNTIFS(Errors!$D:$D,Analysis!CJ$1,Errors!$F:$F,Analysis!$BS50,Errors!$P:$P,"YES")</f>
        <v>0</v>
      </c>
      <c r="CK50" s="34">
        <f>COUNTIFS(Errors!$D:$D,Analysis!CK$1,Errors!$F:$F,Analysis!$BS50,Errors!$P:$P,"YES")</f>
        <v>0</v>
      </c>
      <c r="CL50" s="34">
        <f>COUNTIFS(Errors!$D:$D,Analysis!CL$1,Errors!$F:$F,Analysis!$BS50,Errors!$P:$P,"YES")</f>
        <v>0</v>
      </c>
      <c r="CM50" s="34">
        <f>COUNTIFS(Errors!$D:$D,Analysis!CM$1,Errors!$F:$F,Analysis!$BS50,Errors!$P:$P,"YES")</f>
        <v>0</v>
      </c>
      <c r="CN50" s="34">
        <f>COUNTIFS(Errors!$D:$D,Analysis!CN$1,Errors!$F:$F,Analysis!$BS50,Errors!$P:$P,"YES")</f>
        <v>0</v>
      </c>
      <c r="CO50" s="34">
        <f>COUNTIFS(Errors!$D:$D,Analysis!CO$1,Errors!$F:$F,Analysis!$BS50,Errors!$P:$P,"YES")</f>
        <v>0</v>
      </c>
      <c r="CP50" s="34">
        <f>COUNTIFS(Errors!$D:$D,Analysis!CP$1,Errors!$F:$F,Analysis!$BS50,Errors!$P:$P,"YES")</f>
        <v>0</v>
      </c>
      <c r="CQ50" s="34">
        <f>COUNTIFS(Errors!$D:$D,Analysis!CQ$1,Errors!$F:$F,Analysis!$BS50,Errors!$P:$P,"YES")</f>
        <v>0</v>
      </c>
      <c r="CR50" s="34">
        <f>COUNTIFS(Errors!$D:$D,Analysis!CR$1,Errors!$F:$F,Analysis!$BS50,Errors!$P:$P,"YES")</f>
        <v>0</v>
      </c>
      <c r="CS50" s="34">
        <f>COUNTIFS(Errors!$D:$D,Analysis!CS$1,Errors!$F:$F,Analysis!$BS50,Errors!$P:$P,"YES")</f>
        <v>0</v>
      </c>
      <c r="CT50" s="34">
        <f>COUNTIFS(Errors!$D:$D,Analysis!CT$1,Errors!$F:$F,Analysis!$BS50,Errors!$P:$P,"YES")</f>
        <v>0</v>
      </c>
      <c r="CU50" s="34">
        <f>COUNTIFS(Errors!$D:$D,Analysis!CU$1,Errors!$F:$F,Analysis!$BS50,Errors!$P:$P,"YES")</f>
        <v>0</v>
      </c>
      <c r="CV50" s="34">
        <f>COUNTIFS(Errors!$D:$D,Analysis!CV$1,Errors!$F:$F,Analysis!$BS50,Errors!$P:$P,"YES")</f>
        <v>0</v>
      </c>
      <c r="CW50" s="34">
        <f>COUNTIFS(Errors!$D:$D,Analysis!CW$1,Errors!$F:$F,Analysis!$BS50,Errors!$P:$P,"YES")</f>
        <v>0</v>
      </c>
      <c r="CX50" s="34">
        <f>COUNTIFS(Errors!$D:$D,Analysis!CX$1,Errors!$F:$F,Analysis!$BS50,Errors!$P:$P,"YES")</f>
        <v>0</v>
      </c>
      <c r="CZ50" s="39">
        <f t="shared" si="13"/>
        <v>0</v>
      </c>
      <c r="DB50" s="42">
        <f t="shared" si="14"/>
        <v>0</v>
      </c>
      <c r="DC50" s="41" t="s">
        <v>82</v>
      </c>
    </row>
    <row r="51" ht="15.75" customHeight="1">
      <c r="B51" s="100" t="s">
        <v>154</v>
      </c>
      <c r="C51" s="101" t="s">
        <v>155</v>
      </c>
      <c r="D51" s="2"/>
      <c r="E51" s="2"/>
      <c r="F51" s="2"/>
      <c r="G51" s="2"/>
      <c r="H51" s="3"/>
      <c r="I51" s="104">
        <f>COUNTIF(Errors!$I$3:$I$3008,$B51)</f>
        <v>0</v>
      </c>
      <c r="K51" s="105" t="s">
        <v>156</v>
      </c>
      <c r="L51" s="109" t="s">
        <v>157</v>
      </c>
      <c r="M51" s="2"/>
      <c r="N51" s="2"/>
      <c r="O51" s="2"/>
      <c r="P51" s="2"/>
      <c r="Q51" s="3"/>
      <c r="R51" s="104">
        <f>COUNTIF(Errors!$I$3:$I$3008,$K51)</f>
        <v>2</v>
      </c>
      <c r="AE51" s="35"/>
      <c r="AF51" s="34">
        <f>COUNTIFS(Errors!$F:$F,Analysis!$AE51,Errors!$D:$D,Analysis!$AF$2,Errors!$I:$I,"TV*")</f>
        <v>0</v>
      </c>
      <c r="AG51" s="34">
        <f>COUNTIFS(Errors!$F:$F,Analysis!$AE51,Errors!$D:$D,Analysis!$AG$2,Errors!$I:$I,"TV*")</f>
        <v>0</v>
      </c>
      <c r="AH51" s="34">
        <f>COUNTIFS(Errors!$F:$F,Analysis!$AE51,Errors!$D:$D,Analysis!$AH$2,Errors!$I:$I,"TV*")</f>
        <v>0</v>
      </c>
      <c r="AI51" s="34">
        <f>COUNTIFS(Errors!$F:$F,Analysis!$AE51,Errors!$D:$D,Analysis!$AI$2,Errors!$I:$I,"TV*")</f>
        <v>0</v>
      </c>
      <c r="AJ51" s="34">
        <f>COUNTIFS(Errors!$F:$F,Analysis!$AE51,Errors!$D:$D,Analysis!$AJ$2,Errors!$I:$I,"TV*")</f>
        <v>0</v>
      </c>
      <c r="AK51" s="34">
        <f>COUNTIFS(Errors!$F:$F,Analysis!$AE51,Errors!$D:$D,Analysis!$AK$2,Errors!$I:$I,"TV*")</f>
        <v>0</v>
      </c>
      <c r="AL51" s="34">
        <f>COUNTIFS(Errors!$F:$F,Analysis!$AE51,Errors!$D:$D,Analysis!$AL$2,Errors!$I:$I,"TV*")</f>
        <v>0</v>
      </c>
      <c r="AM51" s="34">
        <f>COUNTIFS(Errors!$F:$F,Analysis!$AE51,Errors!$D:$D,Analysis!$AM$2,Errors!$I:$I,"TV*")</f>
        <v>0</v>
      </c>
      <c r="AN51" s="34">
        <f>COUNTIFS(Errors!$F:$F,Analysis!$AE51,Errors!$D:$D,Analysis!$AN$2,Errors!$I:$I,"TV*")</f>
        <v>0</v>
      </c>
      <c r="AO51" s="34">
        <f>COUNTIFS(Errors!$F:$F,Analysis!$AE51,Errors!$D:$D,Analysis!$AO$2,Errors!$I:$I,"TV*")</f>
        <v>0</v>
      </c>
      <c r="AP51" s="34">
        <f>COUNTIFS(Errors!$F:$F,Analysis!$AE51,Errors!$D:$D,Analysis!$AP$2,Errors!$I:$I,"TV*")</f>
        <v>0</v>
      </c>
      <c r="AQ51" s="34">
        <f>COUNTIFS(Errors!$F:$F,Analysis!$AE51,Errors!$D:$D,Analysis!$AQ$2,Errors!$I:$I,"TV*")</f>
        <v>0</v>
      </c>
      <c r="AR51" s="34">
        <f>COUNTIFS(Errors!$F:$F,Analysis!$AE51,Errors!$D:$D,Analysis!$AR$2,Errors!$I:$I,"TV*")</f>
        <v>0</v>
      </c>
      <c r="AS51" s="34">
        <f>COUNTIFS(Errors!$F:$F,Analysis!$AE51,Errors!$D:$D,Analysis!$AS$2,Errors!$I:$I,"TV*")</f>
        <v>0</v>
      </c>
      <c r="AT51" s="34">
        <f>COUNTIFS(Errors!$F:$F,Analysis!$AE51,Errors!$D:$D,Analysis!$AT$2,Errors!$I:$I,"TV*")</f>
        <v>0</v>
      </c>
      <c r="AU51" s="34">
        <f>COUNTIFS(Errors!$F:$F,Analysis!$AE51,Errors!$D:$D,Analysis!$AU$2,Errors!$I:$I,"TV*")</f>
        <v>0</v>
      </c>
      <c r="AV51" s="34">
        <f>COUNTIFS(Errors!$F:$F,Analysis!$AE51,Errors!$D:$D,Analysis!$AV$2,Errors!$I:$I,"TV*")</f>
        <v>0</v>
      </c>
      <c r="AW51" s="34">
        <f>COUNTIFS(Errors!$F:$F,Analysis!$AE51,Errors!$D:$D,Analysis!$AW$2,Errors!$I:$I,"TV*")</f>
        <v>0</v>
      </c>
      <c r="AX51" s="34">
        <f>COUNTIFS(Errors!$F:$F,Analysis!$AE51,Errors!$D:$D,Analysis!$AX$2,Errors!$I:$I,"TV*")</f>
        <v>0</v>
      </c>
      <c r="AY51" s="34">
        <f>COUNTIFS(Errors!$F:$F,Analysis!$AE51,Errors!$D:$D,Analysis!$AY$2,Errors!$I:$I,"TV*")</f>
        <v>0</v>
      </c>
      <c r="AZ51" s="34">
        <f>COUNTIFS(Errors!$F:$F,Analysis!$AE51,Errors!$D:$D,Analysis!$AZ$2,Errors!$I:$I,"TV*")</f>
        <v>0</v>
      </c>
      <c r="BA51" s="34">
        <f>COUNTIFS(Errors!$F:$F,Analysis!$AE51,Errors!$D:$D,Analysis!$BA$2,Errors!$I:$I,"TV*")</f>
        <v>0</v>
      </c>
      <c r="BB51" s="34">
        <f>COUNTIFS(Errors!$F:$F,Analysis!$AE51,Errors!$D:$D,Analysis!$BB$2,Errors!$I:$I,"TV*")</f>
        <v>0</v>
      </c>
      <c r="BC51" s="34">
        <f>COUNTIFS(Errors!$F:$F,Analysis!$AE51,Errors!$D:$D,Analysis!$BC$2,Errors!$I:$I,"TV*")</f>
        <v>0</v>
      </c>
      <c r="BD51" s="34">
        <f>COUNTIFS(Errors!$F:$F,Analysis!$AE51,Errors!$D:$D,Analysis!$BD$2,Errors!$I:$I,"TV*")</f>
        <v>0</v>
      </c>
      <c r="BE51" s="34">
        <f>COUNTIFS(Errors!$F:$F,Analysis!$AE51,Errors!$D:$D,Analysis!$BE$2,Errors!$I:$I,"TV*")</f>
        <v>0</v>
      </c>
      <c r="BF51" s="34">
        <f>COUNTIFS(Errors!$F:$F,Analysis!$AE51,Errors!$D:$D,Analysis!$BF$2,Errors!$I:$I,"TV*")</f>
        <v>0</v>
      </c>
      <c r="BG51" s="34">
        <f>COUNTIFS(Errors!$F:$F,Analysis!$AE51,Errors!$D:$D,Analysis!$BG$2,Errors!$I:$I,"TV*")</f>
        <v>0</v>
      </c>
      <c r="BH51" s="34">
        <f>COUNTIFS(Errors!$F:$F,Analysis!$AE51,Errors!$D:$D,Analysis!$BH$2,Errors!$I:$I,"TV*")</f>
        <v>0</v>
      </c>
      <c r="BI51" s="34">
        <f>COUNTIFS(Errors!$F:$F,Analysis!$AE51,Errors!$D:$D,Analysis!$BI$2,Errors!$I:$I,"TV*")</f>
        <v>0</v>
      </c>
      <c r="BJ51" s="34">
        <f>COUNTIFS(Errors!$F:$F,Analysis!$AE51,Errors!$D:$D,Analysis!$BJ$2,Errors!$I:$I,"TV*")</f>
        <v>0</v>
      </c>
      <c r="BL51" s="39">
        <f t="shared" si="11"/>
        <v>0</v>
      </c>
      <c r="BN51" s="83">
        <f t="shared" si="12"/>
        <v>0</v>
      </c>
      <c r="BO51" s="84" t="s">
        <v>83</v>
      </c>
      <c r="BS51" s="35" t="s">
        <v>83</v>
      </c>
      <c r="BT51" s="34">
        <f>COUNTIFS(Errors!$D:$D,Analysis!BT$1,Errors!$F:$F,Analysis!$BS51,Errors!$P:$P,"YES")</f>
        <v>0</v>
      </c>
      <c r="BU51" s="34">
        <f>COUNTIFS(Errors!$D:$D,Analysis!BU$1,Errors!$F:$F,Analysis!$BS51,Errors!$P:$P,"YES")</f>
        <v>0</v>
      </c>
      <c r="BV51" s="34">
        <f>COUNTIFS(Errors!$D:$D,Analysis!BV$1,Errors!$F:$F,Analysis!$BS51,Errors!$P:$P,"YES")</f>
        <v>0</v>
      </c>
      <c r="BW51" s="34">
        <f>COUNTIFS(Errors!$D:$D,Analysis!BW$1,Errors!$F:$F,Analysis!$BS51,Errors!$P:$P,"YES")</f>
        <v>0</v>
      </c>
      <c r="BX51" s="34">
        <f>COUNTIFS(Errors!$D:$D,Analysis!BX$1,Errors!$F:$F,Analysis!$BS51,Errors!$P:$P,"YES")</f>
        <v>0</v>
      </c>
      <c r="BY51" s="34">
        <f>COUNTIFS(Errors!$D:$D,Analysis!BY$1,Errors!$F:$F,Analysis!$BS51,Errors!$P:$P,"YES")</f>
        <v>0</v>
      </c>
      <c r="BZ51" s="34">
        <f>COUNTIFS(Errors!$D:$D,Analysis!BZ$1,Errors!$F:$F,Analysis!$BS51,Errors!$P:$P,"YES")</f>
        <v>0</v>
      </c>
      <c r="CA51" s="34">
        <f>COUNTIFS(Errors!$D:$D,Analysis!CA$1,Errors!$F:$F,Analysis!$BS51,Errors!$P:$P,"YES")</f>
        <v>0</v>
      </c>
      <c r="CB51" s="34">
        <f>COUNTIFS(Errors!$D:$D,Analysis!CB$1,Errors!$F:$F,Analysis!$BS51,Errors!$P:$P,"YES")</f>
        <v>0</v>
      </c>
      <c r="CC51" s="34">
        <f>COUNTIFS(Errors!$D:$D,Analysis!CC$1,Errors!$F:$F,Analysis!$BS51,Errors!$P:$P,"YES")</f>
        <v>0</v>
      </c>
      <c r="CD51" s="34">
        <f>COUNTIFS(Errors!$D:$D,Analysis!CD$1,Errors!$F:$F,Analysis!$BS51,Errors!$P:$P,"YES")</f>
        <v>0</v>
      </c>
      <c r="CE51" s="34">
        <f>COUNTIFS(Errors!$D:$D,Analysis!CE$1,Errors!$F:$F,Analysis!$BS51,Errors!$P:$P,"YES")</f>
        <v>0</v>
      </c>
      <c r="CF51" s="34">
        <f>COUNTIFS(Errors!$D:$D,Analysis!CF$1,Errors!$F:$F,Analysis!$BS51,Errors!$P:$P,"YES")</f>
        <v>0</v>
      </c>
      <c r="CG51" s="34">
        <f>COUNTIFS(Errors!$D:$D,Analysis!CG$1,Errors!$F:$F,Analysis!$BS51,Errors!$P:$P,"YES")</f>
        <v>0</v>
      </c>
      <c r="CH51" s="34">
        <f>COUNTIFS(Errors!$D:$D,Analysis!CH$1,Errors!$F:$F,Analysis!$BS51,Errors!$P:$P,"YES")</f>
        <v>0</v>
      </c>
      <c r="CI51" s="34">
        <f>COUNTIFS(Errors!$D:$D,Analysis!CI$1,Errors!$F:$F,Analysis!$BS51,Errors!$P:$P,"YES")</f>
        <v>0</v>
      </c>
      <c r="CJ51" s="34">
        <f>COUNTIFS(Errors!$D:$D,Analysis!CJ$1,Errors!$F:$F,Analysis!$BS51,Errors!$P:$P,"YES")</f>
        <v>0</v>
      </c>
      <c r="CK51" s="34">
        <f>COUNTIFS(Errors!$D:$D,Analysis!CK$1,Errors!$F:$F,Analysis!$BS51,Errors!$P:$P,"YES")</f>
        <v>0</v>
      </c>
      <c r="CL51" s="34">
        <f>COUNTIFS(Errors!$D:$D,Analysis!CL$1,Errors!$F:$F,Analysis!$BS51,Errors!$P:$P,"YES")</f>
        <v>0</v>
      </c>
      <c r="CM51" s="34">
        <f>COUNTIFS(Errors!$D:$D,Analysis!CM$1,Errors!$F:$F,Analysis!$BS51,Errors!$P:$P,"YES")</f>
        <v>0</v>
      </c>
      <c r="CN51" s="34">
        <f>COUNTIFS(Errors!$D:$D,Analysis!CN$1,Errors!$F:$F,Analysis!$BS51,Errors!$P:$P,"YES")</f>
        <v>0</v>
      </c>
      <c r="CO51" s="34">
        <f>COUNTIFS(Errors!$D:$D,Analysis!CO$1,Errors!$F:$F,Analysis!$BS51,Errors!$P:$P,"YES")</f>
        <v>0</v>
      </c>
      <c r="CP51" s="34">
        <f>COUNTIFS(Errors!$D:$D,Analysis!CP$1,Errors!$F:$F,Analysis!$BS51,Errors!$P:$P,"YES")</f>
        <v>0</v>
      </c>
      <c r="CQ51" s="34">
        <f>COUNTIFS(Errors!$D:$D,Analysis!CQ$1,Errors!$F:$F,Analysis!$BS51,Errors!$P:$P,"YES")</f>
        <v>0</v>
      </c>
      <c r="CR51" s="34">
        <f>COUNTIFS(Errors!$D:$D,Analysis!CR$1,Errors!$F:$F,Analysis!$BS51,Errors!$P:$P,"YES")</f>
        <v>0</v>
      </c>
      <c r="CS51" s="34">
        <f>COUNTIFS(Errors!$D:$D,Analysis!CS$1,Errors!$F:$F,Analysis!$BS51,Errors!$P:$P,"YES")</f>
        <v>0</v>
      </c>
      <c r="CT51" s="34">
        <f>COUNTIFS(Errors!$D:$D,Analysis!CT$1,Errors!$F:$F,Analysis!$BS51,Errors!$P:$P,"YES")</f>
        <v>0</v>
      </c>
      <c r="CU51" s="34">
        <f>COUNTIFS(Errors!$D:$D,Analysis!CU$1,Errors!$F:$F,Analysis!$BS51,Errors!$P:$P,"YES")</f>
        <v>0</v>
      </c>
      <c r="CV51" s="34">
        <f>COUNTIFS(Errors!$D:$D,Analysis!CV$1,Errors!$F:$F,Analysis!$BS51,Errors!$P:$P,"YES")</f>
        <v>0</v>
      </c>
      <c r="CW51" s="34">
        <f>COUNTIFS(Errors!$D:$D,Analysis!CW$1,Errors!$F:$F,Analysis!$BS51,Errors!$P:$P,"YES")</f>
        <v>0</v>
      </c>
      <c r="CX51" s="34">
        <f>COUNTIFS(Errors!$D:$D,Analysis!CX$1,Errors!$F:$F,Analysis!$BS51,Errors!$P:$P,"YES")</f>
        <v>0</v>
      </c>
      <c r="CZ51" s="39">
        <f t="shared" si="13"/>
        <v>0</v>
      </c>
      <c r="DB51" s="42">
        <f t="shared" si="14"/>
        <v>0</v>
      </c>
      <c r="DC51" s="41" t="s">
        <v>83</v>
      </c>
    </row>
    <row r="52" ht="15.0" customHeight="1">
      <c r="B52" s="100" t="s">
        <v>158</v>
      </c>
      <c r="C52" s="101" t="s">
        <v>159</v>
      </c>
      <c r="D52" s="2"/>
      <c r="E52" s="2"/>
      <c r="F52" s="2"/>
      <c r="G52" s="2"/>
      <c r="H52" s="3"/>
      <c r="I52" s="104">
        <f>COUNTIF(Errors!$I$3:$I$3008,$B52)</f>
        <v>0</v>
      </c>
      <c r="K52" s="105" t="s">
        <v>160</v>
      </c>
      <c r="L52" s="109" t="s">
        <v>161</v>
      </c>
      <c r="M52" s="2"/>
      <c r="N52" s="2"/>
      <c r="O52" s="2"/>
      <c r="P52" s="2"/>
      <c r="Q52" s="3"/>
      <c r="R52" s="104">
        <f>COUNTIF(Errors!$I$3:$I$3008,$K52)</f>
        <v>0</v>
      </c>
      <c r="AE52" s="35"/>
      <c r="AF52" s="34">
        <f>COUNTIFS(Errors!$F:$F,Analysis!$AE52,Errors!$D:$D,Analysis!$AF$2,Errors!$I:$I,"TV*")</f>
        <v>0</v>
      </c>
      <c r="AG52" s="34">
        <f>COUNTIFS(Errors!$F:$F,Analysis!$AE52,Errors!$D:$D,Analysis!$AG$2,Errors!$I:$I,"TV*")</f>
        <v>0</v>
      </c>
      <c r="AH52" s="34">
        <f>COUNTIFS(Errors!$F:$F,Analysis!$AE52,Errors!$D:$D,Analysis!$AH$2,Errors!$I:$I,"TV*")</f>
        <v>0</v>
      </c>
      <c r="AI52" s="34">
        <f>COUNTIFS(Errors!$F:$F,Analysis!$AE52,Errors!$D:$D,Analysis!$AI$2,Errors!$I:$I,"TV*")</f>
        <v>0</v>
      </c>
      <c r="AJ52" s="34">
        <f>COUNTIFS(Errors!$F:$F,Analysis!$AE52,Errors!$D:$D,Analysis!$AJ$2,Errors!$I:$I,"TV*")</f>
        <v>0</v>
      </c>
      <c r="AK52" s="34">
        <f>COUNTIFS(Errors!$F:$F,Analysis!$AE52,Errors!$D:$D,Analysis!$AK$2,Errors!$I:$I,"TV*")</f>
        <v>0</v>
      </c>
      <c r="AL52" s="34">
        <f>COUNTIFS(Errors!$F:$F,Analysis!$AE52,Errors!$D:$D,Analysis!$AL$2,Errors!$I:$I,"TV*")</f>
        <v>0</v>
      </c>
      <c r="AM52" s="34">
        <f>COUNTIFS(Errors!$F:$F,Analysis!$AE52,Errors!$D:$D,Analysis!$AM$2,Errors!$I:$I,"TV*")</f>
        <v>0</v>
      </c>
      <c r="AN52" s="34">
        <f>COUNTIFS(Errors!$F:$F,Analysis!$AE52,Errors!$D:$D,Analysis!$AN$2,Errors!$I:$I,"TV*")</f>
        <v>0</v>
      </c>
      <c r="AO52" s="34">
        <f>COUNTIFS(Errors!$F:$F,Analysis!$AE52,Errors!$D:$D,Analysis!$AO$2,Errors!$I:$I,"TV*")</f>
        <v>0</v>
      </c>
      <c r="AP52" s="34">
        <f>COUNTIFS(Errors!$F:$F,Analysis!$AE52,Errors!$D:$D,Analysis!$AP$2,Errors!$I:$I,"TV*")</f>
        <v>0</v>
      </c>
      <c r="AQ52" s="34">
        <f>COUNTIFS(Errors!$F:$F,Analysis!$AE52,Errors!$D:$D,Analysis!$AQ$2,Errors!$I:$I,"TV*")</f>
        <v>0</v>
      </c>
      <c r="AR52" s="34">
        <f>COUNTIFS(Errors!$F:$F,Analysis!$AE52,Errors!$D:$D,Analysis!$AR$2,Errors!$I:$I,"TV*")</f>
        <v>0</v>
      </c>
      <c r="AS52" s="34">
        <f>COUNTIFS(Errors!$F:$F,Analysis!$AE52,Errors!$D:$D,Analysis!$AS$2,Errors!$I:$I,"TV*")</f>
        <v>0</v>
      </c>
      <c r="AT52" s="34">
        <f>COUNTIFS(Errors!$F:$F,Analysis!$AE52,Errors!$D:$D,Analysis!$AT$2,Errors!$I:$I,"TV*")</f>
        <v>0</v>
      </c>
      <c r="AU52" s="34">
        <f>COUNTIFS(Errors!$F:$F,Analysis!$AE52,Errors!$D:$D,Analysis!$AU$2,Errors!$I:$I,"TV*")</f>
        <v>0</v>
      </c>
      <c r="AV52" s="34">
        <f>COUNTIFS(Errors!$F:$F,Analysis!$AE52,Errors!$D:$D,Analysis!$AV$2,Errors!$I:$I,"TV*")</f>
        <v>0</v>
      </c>
      <c r="AW52" s="34">
        <f>COUNTIFS(Errors!$F:$F,Analysis!$AE52,Errors!$D:$D,Analysis!$AW$2,Errors!$I:$I,"TV*")</f>
        <v>0</v>
      </c>
      <c r="AX52" s="34">
        <f>COUNTIFS(Errors!$F:$F,Analysis!$AE52,Errors!$D:$D,Analysis!$AX$2,Errors!$I:$I,"TV*")</f>
        <v>0</v>
      </c>
      <c r="AY52" s="34">
        <f>COUNTIFS(Errors!$F:$F,Analysis!$AE52,Errors!$D:$D,Analysis!$AY$2,Errors!$I:$I,"TV*")</f>
        <v>0</v>
      </c>
      <c r="AZ52" s="34">
        <f>COUNTIFS(Errors!$F:$F,Analysis!$AE52,Errors!$D:$D,Analysis!$AZ$2,Errors!$I:$I,"TV*")</f>
        <v>0</v>
      </c>
      <c r="BA52" s="34">
        <f>COUNTIFS(Errors!$F:$F,Analysis!$AE52,Errors!$D:$D,Analysis!$BA$2,Errors!$I:$I,"TV*")</f>
        <v>0</v>
      </c>
      <c r="BB52" s="34">
        <f>COUNTIFS(Errors!$F:$F,Analysis!$AE52,Errors!$D:$D,Analysis!$BB$2,Errors!$I:$I,"TV*")</f>
        <v>0</v>
      </c>
      <c r="BC52" s="34">
        <f>COUNTIFS(Errors!$F:$F,Analysis!$AE52,Errors!$D:$D,Analysis!$BC$2,Errors!$I:$I,"TV*")</f>
        <v>0</v>
      </c>
      <c r="BD52" s="34">
        <f>COUNTIFS(Errors!$F:$F,Analysis!$AE52,Errors!$D:$D,Analysis!$BD$2,Errors!$I:$I,"TV*")</f>
        <v>0</v>
      </c>
      <c r="BE52" s="34">
        <f>COUNTIFS(Errors!$F:$F,Analysis!$AE52,Errors!$D:$D,Analysis!$BE$2,Errors!$I:$I,"TV*")</f>
        <v>0</v>
      </c>
      <c r="BF52" s="34">
        <f>COUNTIFS(Errors!$F:$F,Analysis!$AE52,Errors!$D:$D,Analysis!$BF$2,Errors!$I:$I,"TV*")</f>
        <v>0</v>
      </c>
      <c r="BG52" s="34">
        <f>COUNTIFS(Errors!$F:$F,Analysis!$AE52,Errors!$D:$D,Analysis!$BG$2,Errors!$I:$I,"TV*")</f>
        <v>0</v>
      </c>
      <c r="BH52" s="34">
        <f>COUNTIFS(Errors!$F:$F,Analysis!$AE52,Errors!$D:$D,Analysis!$BH$2,Errors!$I:$I,"TV*")</f>
        <v>0</v>
      </c>
      <c r="BI52" s="34">
        <f>COUNTIFS(Errors!$F:$F,Analysis!$AE52,Errors!$D:$D,Analysis!$BI$2,Errors!$I:$I,"TV*")</f>
        <v>0</v>
      </c>
      <c r="BJ52" s="34">
        <f>COUNTIFS(Errors!$F:$F,Analysis!$AE52,Errors!$D:$D,Analysis!$BJ$2,Errors!$I:$I,"TV*")</f>
        <v>0</v>
      </c>
      <c r="BL52" s="39">
        <f t="shared" si="11"/>
        <v>0</v>
      </c>
      <c r="BN52" s="83">
        <f t="shared" si="12"/>
        <v>0</v>
      </c>
      <c r="BO52" s="84" t="s">
        <v>84</v>
      </c>
      <c r="BS52" s="35" t="s">
        <v>84</v>
      </c>
      <c r="BT52" s="34">
        <f>COUNTIFS(Errors!$D:$D,Analysis!BT$1,Errors!$F:$F,Analysis!$BS52,Errors!$P:$P,"YES")</f>
        <v>0</v>
      </c>
      <c r="BU52" s="34">
        <f>COUNTIFS(Errors!$D:$D,Analysis!BU$1,Errors!$F:$F,Analysis!$BS52,Errors!$P:$P,"YES")</f>
        <v>0</v>
      </c>
      <c r="BV52" s="34">
        <f>COUNTIFS(Errors!$D:$D,Analysis!BV$1,Errors!$F:$F,Analysis!$BS52,Errors!$P:$P,"YES")</f>
        <v>0</v>
      </c>
      <c r="BW52" s="34">
        <f>COUNTIFS(Errors!$D:$D,Analysis!BW$1,Errors!$F:$F,Analysis!$BS52,Errors!$P:$P,"YES")</f>
        <v>0</v>
      </c>
      <c r="BX52" s="34">
        <f>COUNTIFS(Errors!$D:$D,Analysis!BX$1,Errors!$F:$F,Analysis!$BS52,Errors!$P:$P,"YES")</f>
        <v>0</v>
      </c>
      <c r="BY52" s="34">
        <f>COUNTIFS(Errors!$D:$D,Analysis!BY$1,Errors!$F:$F,Analysis!$BS52,Errors!$P:$P,"YES")</f>
        <v>0</v>
      </c>
      <c r="BZ52" s="34">
        <f>COUNTIFS(Errors!$D:$D,Analysis!BZ$1,Errors!$F:$F,Analysis!$BS52,Errors!$P:$P,"YES")</f>
        <v>0</v>
      </c>
      <c r="CA52" s="34">
        <f>COUNTIFS(Errors!$D:$D,Analysis!CA$1,Errors!$F:$F,Analysis!$BS52,Errors!$P:$P,"YES")</f>
        <v>0</v>
      </c>
      <c r="CB52" s="34">
        <f>COUNTIFS(Errors!$D:$D,Analysis!CB$1,Errors!$F:$F,Analysis!$BS52,Errors!$P:$P,"YES")</f>
        <v>0</v>
      </c>
      <c r="CC52" s="34">
        <f>COUNTIFS(Errors!$D:$D,Analysis!CC$1,Errors!$F:$F,Analysis!$BS52,Errors!$P:$P,"YES")</f>
        <v>0</v>
      </c>
      <c r="CD52" s="34">
        <f>COUNTIFS(Errors!$D:$D,Analysis!CD$1,Errors!$F:$F,Analysis!$BS52,Errors!$P:$P,"YES")</f>
        <v>0</v>
      </c>
      <c r="CE52" s="34">
        <f>COUNTIFS(Errors!$D:$D,Analysis!CE$1,Errors!$F:$F,Analysis!$BS52,Errors!$P:$P,"YES")</f>
        <v>0</v>
      </c>
      <c r="CF52" s="34">
        <f>COUNTIFS(Errors!$D:$D,Analysis!CF$1,Errors!$F:$F,Analysis!$BS52,Errors!$P:$P,"YES")</f>
        <v>0</v>
      </c>
      <c r="CG52" s="34">
        <f>COUNTIFS(Errors!$D:$D,Analysis!CG$1,Errors!$F:$F,Analysis!$BS52,Errors!$P:$P,"YES")</f>
        <v>0</v>
      </c>
      <c r="CH52" s="34">
        <f>COUNTIFS(Errors!$D:$D,Analysis!CH$1,Errors!$F:$F,Analysis!$BS52,Errors!$P:$P,"YES")</f>
        <v>0</v>
      </c>
      <c r="CI52" s="34">
        <f>COUNTIFS(Errors!$D:$D,Analysis!CI$1,Errors!$F:$F,Analysis!$BS52,Errors!$P:$P,"YES")</f>
        <v>0</v>
      </c>
      <c r="CJ52" s="34">
        <f>COUNTIFS(Errors!$D:$D,Analysis!CJ$1,Errors!$F:$F,Analysis!$BS52,Errors!$P:$P,"YES")</f>
        <v>0</v>
      </c>
      <c r="CK52" s="34">
        <f>COUNTIFS(Errors!$D:$D,Analysis!CK$1,Errors!$F:$F,Analysis!$BS52,Errors!$P:$P,"YES")</f>
        <v>0</v>
      </c>
      <c r="CL52" s="34">
        <f>COUNTIFS(Errors!$D:$D,Analysis!CL$1,Errors!$F:$F,Analysis!$BS52,Errors!$P:$P,"YES")</f>
        <v>0</v>
      </c>
      <c r="CM52" s="34">
        <f>COUNTIFS(Errors!$D:$D,Analysis!CM$1,Errors!$F:$F,Analysis!$BS52,Errors!$P:$P,"YES")</f>
        <v>0</v>
      </c>
      <c r="CN52" s="34">
        <f>COUNTIFS(Errors!$D:$D,Analysis!CN$1,Errors!$F:$F,Analysis!$BS52,Errors!$P:$P,"YES")</f>
        <v>0</v>
      </c>
      <c r="CO52" s="34">
        <f>COUNTIFS(Errors!$D:$D,Analysis!CO$1,Errors!$F:$F,Analysis!$BS52,Errors!$P:$P,"YES")</f>
        <v>0</v>
      </c>
      <c r="CP52" s="34">
        <f>COUNTIFS(Errors!$D:$D,Analysis!CP$1,Errors!$F:$F,Analysis!$BS52,Errors!$P:$P,"YES")</f>
        <v>0</v>
      </c>
      <c r="CQ52" s="34">
        <f>COUNTIFS(Errors!$D:$D,Analysis!CQ$1,Errors!$F:$F,Analysis!$BS52,Errors!$P:$P,"YES")</f>
        <v>0</v>
      </c>
      <c r="CR52" s="34">
        <f>COUNTIFS(Errors!$D:$D,Analysis!CR$1,Errors!$F:$F,Analysis!$BS52,Errors!$P:$P,"YES")</f>
        <v>0</v>
      </c>
      <c r="CS52" s="34">
        <f>COUNTIFS(Errors!$D:$D,Analysis!CS$1,Errors!$F:$F,Analysis!$BS52,Errors!$P:$P,"YES")</f>
        <v>0</v>
      </c>
      <c r="CT52" s="34">
        <f>COUNTIFS(Errors!$D:$D,Analysis!CT$1,Errors!$F:$F,Analysis!$BS52,Errors!$P:$P,"YES")</f>
        <v>0</v>
      </c>
      <c r="CU52" s="34">
        <f>COUNTIFS(Errors!$D:$D,Analysis!CU$1,Errors!$F:$F,Analysis!$BS52,Errors!$P:$P,"YES")</f>
        <v>0</v>
      </c>
      <c r="CV52" s="34">
        <f>COUNTIFS(Errors!$D:$D,Analysis!CV$1,Errors!$F:$F,Analysis!$BS52,Errors!$P:$P,"YES")</f>
        <v>0</v>
      </c>
      <c r="CW52" s="34">
        <f>COUNTIFS(Errors!$D:$D,Analysis!CW$1,Errors!$F:$F,Analysis!$BS52,Errors!$P:$P,"YES")</f>
        <v>0</v>
      </c>
      <c r="CX52" s="34">
        <f>COUNTIFS(Errors!$D:$D,Analysis!CX$1,Errors!$F:$F,Analysis!$BS52,Errors!$P:$P,"YES")</f>
        <v>0</v>
      </c>
      <c r="CZ52" s="39">
        <f t="shared" si="13"/>
        <v>0</v>
      </c>
      <c r="DB52" s="42">
        <f t="shared" si="14"/>
        <v>0</v>
      </c>
      <c r="DC52" s="41" t="s">
        <v>84</v>
      </c>
    </row>
    <row r="53" ht="15.0" customHeight="1">
      <c r="B53" s="100" t="s">
        <v>162</v>
      </c>
      <c r="C53" s="101" t="s">
        <v>163</v>
      </c>
      <c r="D53" s="2"/>
      <c r="E53" s="2"/>
      <c r="F53" s="2"/>
      <c r="G53" s="2"/>
      <c r="H53" s="3"/>
      <c r="I53" s="104">
        <f>COUNTIF(Errors!$I$3:$I$3008,$B53)</f>
        <v>3</v>
      </c>
      <c r="J53" s="111"/>
      <c r="K53" s="111"/>
      <c r="M53" s="50"/>
      <c r="AE53" s="35"/>
      <c r="AF53" s="34">
        <f>COUNTIFS(Errors!$F:$F,Analysis!$AE53,Errors!$D:$D,Analysis!$AF$2,Errors!$I:$I,"TV*")</f>
        <v>0</v>
      </c>
      <c r="AG53" s="34">
        <f>COUNTIFS(Errors!$F:$F,Analysis!$AE53,Errors!$D:$D,Analysis!$AG$2,Errors!$I:$I,"TV*")</f>
        <v>0</v>
      </c>
      <c r="AH53" s="34">
        <f>COUNTIFS(Errors!$F:$F,Analysis!$AE53,Errors!$D:$D,Analysis!$AH$2,Errors!$I:$I,"TV*")</f>
        <v>0</v>
      </c>
      <c r="AI53" s="34">
        <f>COUNTIFS(Errors!$F:$F,Analysis!$AE53,Errors!$D:$D,Analysis!$AI$2,Errors!$I:$I,"TV*")</f>
        <v>0</v>
      </c>
      <c r="AJ53" s="34">
        <f>COUNTIFS(Errors!$F:$F,Analysis!$AE53,Errors!$D:$D,Analysis!$AJ$2,Errors!$I:$I,"TV*")</f>
        <v>0</v>
      </c>
      <c r="AK53" s="34">
        <f>COUNTIFS(Errors!$F:$F,Analysis!$AE53,Errors!$D:$D,Analysis!$AK$2,Errors!$I:$I,"TV*")</f>
        <v>0</v>
      </c>
      <c r="AL53" s="34">
        <f>COUNTIFS(Errors!$F:$F,Analysis!$AE53,Errors!$D:$D,Analysis!$AL$2,Errors!$I:$I,"TV*")</f>
        <v>0</v>
      </c>
      <c r="AM53" s="34">
        <f>COUNTIFS(Errors!$F:$F,Analysis!$AE53,Errors!$D:$D,Analysis!$AM$2,Errors!$I:$I,"TV*")</f>
        <v>0</v>
      </c>
      <c r="AN53" s="34">
        <f>COUNTIFS(Errors!$F:$F,Analysis!$AE53,Errors!$D:$D,Analysis!$AN$2,Errors!$I:$I,"TV*")</f>
        <v>0</v>
      </c>
      <c r="AO53" s="34">
        <f>COUNTIFS(Errors!$F:$F,Analysis!$AE53,Errors!$D:$D,Analysis!$AO$2,Errors!$I:$I,"TV*")</f>
        <v>0</v>
      </c>
      <c r="AP53" s="34">
        <f>COUNTIFS(Errors!$F:$F,Analysis!$AE53,Errors!$D:$D,Analysis!$AP$2,Errors!$I:$I,"TV*")</f>
        <v>0</v>
      </c>
      <c r="AQ53" s="34">
        <f>COUNTIFS(Errors!$F:$F,Analysis!$AE53,Errors!$D:$D,Analysis!$AQ$2,Errors!$I:$I,"TV*")</f>
        <v>0</v>
      </c>
      <c r="AR53" s="34">
        <f>COUNTIFS(Errors!$F:$F,Analysis!$AE53,Errors!$D:$D,Analysis!$AR$2,Errors!$I:$I,"TV*")</f>
        <v>0</v>
      </c>
      <c r="AS53" s="34">
        <f>COUNTIFS(Errors!$F:$F,Analysis!$AE53,Errors!$D:$D,Analysis!$AS$2,Errors!$I:$I,"TV*")</f>
        <v>0</v>
      </c>
      <c r="AT53" s="34">
        <f>COUNTIFS(Errors!$F:$F,Analysis!$AE53,Errors!$D:$D,Analysis!$AT$2,Errors!$I:$I,"TV*")</f>
        <v>0</v>
      </c>
      <c r="AU53" s="34">
        <f>COUNTIFS(Errors!$F:$F,Analysis!$AE53,Errors!$D:$D,Analysis!$AU$2,Errors!$I:$I,"TV*")</f>
        <v>0</v>
      </c>
      <c r="AV53" s="34">
        <f>COUNTIFS(Errors!$F:$F,Analysis!$AE53,Errors!$D:$D,Analysis!$AV$2,Errors!$I:$I,"TV*")</f>
        <v>0</v>
      </c>
      <c r="AW53" s="34">
        <f>COUNTIFS(Errors!$F:$F,Analysis!$AE53,Errors!$D:$D,Analysis!$AW$2,Errors!$I:$I,"TV*")</f>
        <v>0</v>
      </c>
      <c r="AX53" s="34">
        <f>COUNTIFS(Errors!$F:$F,Analysis!$AE53,Errors!$D:$D,Analysis!$AX$2,Errors!$I:$I,"TV*")</f>
        <v>0</v>
      </c>
      <c r="AY53" s="34">
        <f>COUNTIFS(Errors!$F:$F,Analysis!$AE53,Errors!$D:$D,Analysis!$AY$2,Errors!$I:$I,"TV*")</f>
        <v>0</v>
      </c>
      <c r="AZ53" s="34">
        <f>COUNTIFS(Errors!$F:$F,Analysis!$AE53,Errors!$D:$D,Analysis!$AZ$2,Errors!$I:$I,"TV*")</f>
        <v>0</v>
      </c>
      <c r="BA53" s="34">
        <f>COUNTIFS(Errors!$F:$F,Analysis!$AE53,Errors!$D:$D,Analysis!$BA$2,Errors!$I:$I,"TV*")</f>
        <v>0</v>
      </c>
      <c r="BB53" s="34">
        <f>COUNTIFS(Errors!$F:$F,Analysis!$AE53,Errors!$D:$D,Analysis!$BB$2,Errors!$I:$I,"TV*")</f>
        <v>0</v>
      </c>
      <c r="BC53" s="34">
        <f>COUNTIFS(Errors!$F:$F,Analysis!$AE53,Errors!$D:$D,Analysis!$BC$2,Errors!$I:$I,"TV*")</f>
        <v>0</v>
      </c>
      <c r="BD53" s="34">
        <f>COUNTIFS(Errors!$F:$F,Analysis!$AE53,Errors!$D:$D,Analysis!$BD$2,Errors!$I:$I,"TV*")</f>
        <v>0</v>
      </c>
      <c r="BE53" s="34">
        <f>COUNTIFS(Errors!$F:$F,Analysis!$AE53,Errors!$D:$D,Analysis!$BE$2,Errors!$I:$I,"TV*")</f>
        <v>0</v>
      </c>
      <c r="BF53" s="34">
        <f>COUNTIFS(Errors!$F:$F,Analysis!$AE53,Errors!$D:$D,Analysis!$BF$2,Errors!$I:$I,"TV*")</f>
        <v>0</v>
      </c>
      <c r="BG53" s="34">
        <f>COUNTIFS(Errors!$F:$F,Analysis!$AE53,Errors!$D:$D,Analysis!$BG$2,Errors!$I:$I,"TV*")</f>
        <v>0</v>
      </c>
      <c r="BH53" s="34">
        <f>COUNTIFS(Errors!$F:$F,Analysis!$AE53,Errors!$D:$D,Analysis!$BH$2,Errors!$I:$I,"TV*")</f>
        <v>0</v>
      </c>
      <c r="BI53" s="34">
        <f>COUNTIFS(Errors!$F:$F,Analysis!$AE53,Errors!$D:$D,Analysis!$BI$2,Errors!$I:$I,"TV*")</f>
        <v>0</v>
      </c>
      <c r="BJ53" s="34">
        <f>COUNTIFS(Errors!$F:$F,Analysis!$AE53,Errors!$D:$D,Analysis!$BJ$2,Errors!$I:$I,"TV*")</f>
        <v>0</v>
      </c>
      <c r="BL53" s="55">
        <f t="shared" si="11"/>
        <v>0</v>
      </c>
      <c r="BN53" s="112">
        <f t="shared" si="12"/>
        <v>0</v>
      </c>
      <c r="BO53" s="113" t="s">
        <v>85</v>
      </c>
      <c r="BS53" s="35" t="s">
        <v>85</v>
      </c>
      <c r="BT53" s="34">
        <f>COUNTIFS(Errors!$D:$D,Analysis!BT$1,Errors!$F:$F,Analysis!$BS53,Errors!$P:$P,"YES")</f>
        <v>0</v>
      </c>
      <c r="BU53" s="34">
        <f>COUNTIFS(Errors!$D:$D,Analysis!BU$1,Errors!$F:$F,Analysis!$BS53,Errors!$P:$P,"YES")</f>
        <v>0</v>
      </c>
      <c r="BV53" s="34">
        <f>COUNTIFS(Errors!$D:$D,Analysis!BV$1,Errors!$F:$F,Analysis!$BS53,Errors!$P:$P,"YES")</f>
        <v>0</v>
      </c>
      <c r="BW53" s="34">
        <f>COUNTIFS(Errors!$D:$D,Analysis!BW$1,Errors!$F:$F,Analysis!$BS53,Errors!$P:$P,"YES")</f>
        <v>0</v>
      </c>
      <c r="BX53" s="34">
        <f>COUNTIFS(Errors!$D:$D,Analysis!BX$1,Errors!$F:$F,Analysis!$BS53,Errors!$P:$P,"YES")</f>
        <v>0</v>
      </c>
      <c r="BY53" s="34">
        <f>COUNTIFS(Errors!$D:$D,Analysis!BY$1,Errors!$F:$F,Analysis!$BS53,Errors!$P:$P,"YES")</f>
        <v>0</v>
      </c>
      <c r="BZ53" s="34">
        <f>COUNTIFS(Errors!$D:$D,Analysis!BZ$1,Errors!$F:$F,Analysis!$BS53,Errors!$P:$P,"YES")</f>
        <v>0</v>
      </c>
      <c r="CA53" s="34">
        <f>COUNTIFS(Errors!$D:$D,Analysis!CA$1,Errors!$F:$F,Analysis!$BS53,Errors!$P:$P,"YES")</f>
        <v>0</v>
      </c>
      <c r="CB53" s="34">
        <f>COUNTIFS(Errors!$D:$D,Analysis!CB$1,Errors!$F:$F,Analysis!$BS53,Errors!$P:$P,"YES")</f>
        <v>0</v>
      </c>
      <c r="CC53" s="34">
        <f>COUNTIFS(Errors!$D:$D,Analysis!CC$1,Errors!$F:$F,Analysis!$BS53,Errors!$P:$P,"YES")</f>
        <v>0</v>
      </c>
      <c r="CD53" s="34">
        <f>COUNTIFS(Errors!$D:$D,Analysis!CD$1,Errors!$F:$F,Analysis!$BS53,Errors!$P:$P,"YES")</f>
        <v>0</v>
      </c>
      <c r="CE53" s="34">
        <f>COUNTIFS(Errors!$D:$D,Analysis!CE$1,Errors!$F:$F,Analysis!$BS53,Errors!$P:$P,"YES")</f>
        <v>0</v>
      </c>
      <c r="CF53" s="34">
        <f>COUNTIFS(Errors!$D:$D,Analysis!CF$1,Errors!$F:$F,Analysis!$BS53,Errors!$P:$P,"YES")</f>
        <v>0</v>
      </c>
      <c r="CG53" s="34">
        <f>COUNTIFS(Errors!$D:$D,Analysis!CG$1,Errors!$F:$F,Analysis!$BS53,Errors!$P:$P,"YES")</f>
        <v>0</v>
      </c>
      <c r="CH53" s="34">
        <f>COUNTIFS(Errors!$D:$D,Analysis!CH$1,Errors!$F:$F,Analysis!$BS53,Errors!$P:$P,"YES")</f>
        <v>0</v>
      </c>
      <c r="CI53" s="34">
        <f>COUNTIFS(Errors!$D:$D,Analysis!CI$1,Errors!$F:$F,Analysis!$BS53,Errors!$P:$P,"YES")</f>
        <v>0</v>
      </c>
      <c r="CJ53" s="34">
        <f>COUNTIFS(Errors!$D:$D,Analysis!CJ$1,Errors!$F:$F,Analysis!$BS53,Errors!$P:$P,"YES")</f>
        <v>0</v>
      </c>
      <c r="CK53" s="34">
        <f>COUNTIFS(Errors!$D:$D,Analysis!CK$1,Errors!$F:$F,Analysis!$BS53,Errors!$P:$P,"YES")</f>
        <v>0</v>
      </c>
      <c r="CL53" s="34">
        <f>COUNTIFS(Errors!$D:$D,Analysis!CL$1,Errors!$F:$F,Analysis!$BS53,Errors!$P:$P,"YES")</f>
        <v>0</v>
      </c>
      <c r="CM53" s="34">
        <f>COUNTIFS(Errors!$D:$D,Analysis!CM$1,Errors!$F:$F,Analysis!$BS53,Errors!$P:$P,"YES")</f>
        <v>0</v>
      </c>
      <c r="CN53" s="34">
        <f>COUNTIFS(Errors!$D:$D,Analysis!CN$1,Errors!$F:$F,Analysis!$BS53,Errors!$P:$P,"YES")</f>
        <v>0</v>
      </c>
      <c r="CO53" s="34">
        <f>COUNTIFS(Errors!$D:$D,Analysis!CO$1,Errors!$F:$F,Analysis!$BS53,Errors!$P:$P,"YES")</f>
        <v>0</v>
      </c>
      <c r="CP53" s="34">
        <f>COUNTIFS(Errors!$D:$D,Analysis!CP$1,Errors!$F:$F,Analysis!$BS53,Errors!$P:$P,"YES")</f>
        <v>0</v>
      </c>
      <c r="CQ53" s="34">
        <f>COUNTIFS(Errors!$D:$D,Analysis!CQ$1,Errors!$F:$F,Analysis!$BS53,Errors!$P:$P,"YES")</f>
        <v>0</v>
      </c>
      <c r="CR53" s="34">
        <f>COUNTIFS(Errors!$D:$D,Analysis!CR$1,Errors!$F:$F,Analysis!$BS53,Errors!$P:$P,"YES")</f>
        <v>0</v>
      </c>
      <c r="CS53" s="34">
        <f>COUNTIFS(Errors!$D:$D,Analysis!CS$1,Errors!$F:$F,Analysis!$BS53,Errors!$P:$P,"YES")</f>
        <v>0</v>
      </c>
      <c r="CT53" s="34">
        <f>COUNTIFS(Errors!$D:$D,Analysis!CT$1,Errors!$F:$F,Analysis!$BS53,Errors!$P:$P,"YES")</f>
        <v>0</v>
      </c>
      <c r="CU53" s="34">
        <f>COUNTIFS(Errors!$D:$D,Analysis!CU$1,Errors!$F:$F,Analysis!$BS53,Errors!$P:$P,"YES")</f>
        <v>0</v>
      </c>
      <c r="CV53" s="34">
        <f>COUNTIFS(Errors!$D:$D,Analysis!CV$1,Errors!$F:$F,Analysis!$BS53,Errors!$P:$P,"YES")</f>
        <v>0</v>
      </c>
      <c r="CW53" s="34">
        <f>COUNTIFS(Errors!$D:$D,Analysis!CW$1,Errors!$F:$F,Analysis!$BS53,Errors!$P:$P,"YES")</f>
        <v>0</v>
      </c>
      <c r="CX53" s="34">
        <f>COUNTIFS(Errors!$D:$D,Analysis!CX$1,Errors!$F:$F,Analysis!$BS53,Errors!$P:$P,"YES")</f>
        <v>0</v>
      </c>
      <c r="CZ53" s="52">
        <f t="shared" si="13"/>
        <v>0</v>
      </c>
      <c r="DB53" s="53">
        <f t="shared" si="14"/>
        <v>0</v>
      </c>
      <c r="DC53" s="41" t="s">
        <v>85</v>
      </c>
    </row>
    <row r="54" ht="15.0" customHeight="1">
      <c r="B54" s="100" t="s">
        <v>164</v>
      </c>
      <c r="C54" s="101" t="s">
        <v>165</v>
      </c>
      <c r="D54" s="2"/>
      <c r="E54" s="2"/>
      <c r="F54" s="2"/>
      <c r="G54" s="2"/>
      <c r="H54" s="3"/>
      <c r="I54" s="104">
        <f>COUNTIF(Errors!$I$3:$I$3008,$B54)</f>
        <v>2</v>
      </c>
      <c r="J54" s="111"/>
      <c r="K54" s="111"/>
      <c r="M54" s="50"/>
      <c r="BS54" s="35"/>
      <c r="BT54" s="34">
        <f>COUNTIFS(Errors!$D:$D,Analysis!BT$1,Errors!$F:$F,Analysis!$BS54,Errors!$P:$P,"YES")</f>
        <v>0</v>
      </c>
      <c r="BU54" s="34">
        <f>COUNTIFS(Errors!$D:$D,Analysis!BU$1,Errors!$F:$F,Analysis!$BS54,Errors!$P:$P,"YES")</f>
        <v>0</v>
      </c>
      <c r="BV54" s="34">
        <f>COUNTIFS(Errors!$D:$D,Analysis!BV$1,Errors!$F:$F,Analysis!$BS54,Errors!$P:$P,"YES")</f>
        <v>0</v>
      </c>
      <c r="BW54" s="34">
        <f>COUNTIFS(Errors!$D:$D,Analysis!BW$1,Errors!$F:$F,Analysis!$BS54,Errors!$P:$P,"YES")</f>
        <v>0</v>
      </c>
      <c r="BX54" s="34">
        <f>COUNTIFS(Errors!$D:$D,Analysis!BX$1,Errors!$F:$F,Analysis!$BS54,Errors!$P:$P,"YES")</f>
        <v>0</v>
      </c>
      <c r="BY54" s="34">
        <f>COUNTIFS(Errors!$D:$D,Analysis!BY$1,Errors!$F:$F,Analysis!$BS54,Errors!$P:$P,"YES")</f>
        <v>0</v>
      </c>
      <c r="BZ54" s="34">
        <f>COUNTIFS(Errors!$D:$D,Analysis!BZ$1,Errors!$F:$F,Analysis!$BS54,Errors!$P:$P,"YES")</f>
        <v>0</v>
      </c>
      <c r="CA54" s="34">
        <f>COUNTIFS(Errors!$D:$D,Analysis!CA$1,Errors!$F:$F,Analysis!$BS54,Errors!$P:$P,"YES")</f>
        <v>0</v>
      </c>
      <c r="CB54" s="34">
        <f>COUNTIFS(Errors!$D:$D,Analysis!CB$1,Errors!$F:$F,Analysis!$BS54,Errors!$P:$P,"YES")</f>
        <v>0</v>
      </c>
      <c r="CC54" s="34">
        <f>COUNTIFS(Errors!$D:$D,Analysis!CC$1,Errors!$F:$F,Analysis!$BS54,Errors!$P:$P,"YES")</f>
        <v>0</v>
      </c>
      <c r="CD54" s="34">
        <f>COUNTIFS(Errors!$D:$D,Analysis!CD$1,Errors!$F:$F,Analysis!$BS54,Errors!$P:$P,"YES")</f>
        <v>0</v>
      </c>
      <c r="CE54" s="34">
        <f>COUNTIFS(Errors!$D:$D,Analysis!CE$1,Errors!$F:$F,Analysis!$BS54,Errors!$P:$P,"YES")</f>
        <v>0</v>
      </c>
      <c r="CF54" s="34">
        <f>COUNTIFS(Errors!$D:$D,Analysis!CF$1,Errors!$F:$F,Analysis!$BS54,Errors!$P:$P,"YES")</f>
        <v>0</v>
      </c>
      <c r="CG54" s="34">
        <f>COUNTIFS(Errors!$D:$D,Analysis!CG$1,Errors!$F:$F,Analysis!$BS54,Errors!$P:$P,"YES")</f>
        <v>0</v>
      </c>
      <c r="CH54" s="34">
        <f>COUNTIFS(Errors!$D:$D,Analysis!CH$1,Errors!$F:$F,Analysis!$BS54,Errors!$P:$P,"YES")</f>
        <v>0</v>
      </c>
      <c r="CI54" s="34">
        <f>COUNTIFS(Errors!$D:$D,Analysis!CI$1,Errors!$F:$F,Analysis!$BS54,Errors!$P:$P,"YES")</f>
        <v>0</v>
      </c>
      <c r="CJ54" s="34">
        <f>COUNTIFS(Errors!$D:$D,Analysis!CJ$1,Errors!$F:$F,Analysis!$BS54,Errors!$P:$P,"YES")</f>
        <v>0</v>
      </c>
      <c r="CK54" s="34">
        <f>COUNTIFS(Errors!$D:$D,Analysis!CK$1,Errors!$F:$F,Analysis!$BS54,Errors!$P:$P,"YES")</f>
        <v>0</v>
      </c>
      <c r="CL54" s="34">
        <f>COUNTIFS(Errors!$D:$D,Analysis!CL$1,Errors!$F:$F,Analysis!$BS54,Errors!$P:$P,"YES")</f>
        <v>0</v>
      </c>
      <c r="CM54" s="34">
        <f>COUNTIFS(Errors!$D:$D,Analysis!CM$1,Errors!$F:$F,Analysis!$BS54,Errors!$P:$P,"YES")</f>
        <v>0</v>
      </c>
      <c r="CN54" s="34">
        <f>COUNTIFS(Errors!$D:$D,Analysis!CN$1,Errors!$F:$F,Analysis!$BS54,Errors!$P:$P,"YES")</f>
        <v>0</v>
      </c>
      <c r="CO54" s="34">
        <f>COUNTIFS(Errors!$D:$D,Analysis!CO$1,Errors!$F:$F,Analysis!$BS54,Errors!$P:$P,"YES")</f>
        <v>0</v>
      </c>
      <c r="CP54" s="34">
        <f>COUNTIFS(Errors!$D:$D,Analysis!CP$1,Errors!$F:$F,Analysis!$BS54,Errors!$P:$P,"YES")</f>
        <v>0</v>
      </c>
      <c r="CQ54" s="34">
        <f>COUNTIFS(Errors!$D:$D,Analysis!CQ$1,Errors!$F:$F,Analysis!$BS54,Errors!$P:$P,"YES")</f>
        <v>0</v>
      </c>
      <c r="CR54" s="34">
        <f>COUNTIFS(Errors!$D:$D,Analysis!CR$1,Errors!$F:$F,Analysis!$BS54,Errors!$P:$P,"YES")</f>
        <v>0</v>
      </c>
      <c r="CS54" s="34">
        <f>COUNTIFS(Errors!$D:$D,Analysis!CS$1,Errors!$F:$F,Analysis!$BS54,Errors!$P:$P,"YES")</f>
        <v>0</v>
      </c>
      <c r="CT54" s="34">
        <f>COUNTIFS(Errors!$D:$D,Analysis!CT$1,Errors!$F:$F,Analysis!$BS54,Errors!$P:$P,"YES")</f>
        <v>0</v>
      </c>
      <c r="CU54" s="34">
        <f>COUNTIFS(Errors!$D:$D,Analysis!CU$1,Errors!$F:$F,Analysis!$BS54,Errors!$P:$P,"YES")</f>
        <v>0</v>
      </c>
      <c r="CV54" s="34">
        <f>COUNTIFS(Errors!$D:$D,Analysis!CV$1,Errors!$F:$F,Analysis!$BS54,Errors!$P:$P,"YES")</f>
        <v>0</v>
      </c>
      <c r="CW54" s="34">
        <f>COUNTIFS(Errors!$D:$D,Analysis!CW$1,Errors!$F:$F,Analysis!$BS54,Errors!$P:$P,"YES")</f>
        <v>0</v>
      </c>
      <c r="CX54" s="34">
        <f>COUNTIFS(Errors!$D:$D,Analysis!CX$1,Errors!$F:$F,Analysis!$BS54,Errors!$P:$P,"YES")</f>
        <v>0</v>
      </c>
      <c r="CZ54" s="55">
        <f t="shared" si="13"/>
        <v>0</v>
      </c>
      <c r="DB54" s="58">
        <f t="shared" si="14"/>
        <v>0</v>
      </c>
      <c r="DC54" s="57"/>
    </row>
    <row r="55" ht="15.0" customHeight="1">
      <c r="B55" s="100" t="s">
        <v>166</v>
      </c>
      <c r="C55" s="101" t="s">
        <v>167</v>
      </c>
      <c r="D55" s="2"/>
      <c r="E55" s="2"/>
      <c r="F55" s="2"/>
      <c r="G55" s="2"/>
      <c r="H55" s="3"/>
      <c r="I55" s="104">
        <f>COUNTIF(Errors!$I$3:$I$3008,$B55)</f>
        <v>0</v>
      </c>
      <c r="J55" s="111"/>
      <c r="K55" s="111"/>
      <c r="M55" s="50"/>
      <c r="AG55" s="61" t="s">
        <v>168</v>
      </c>
      <c r="AH55" s="35">
        <f t="shared" ref="AH55:BL55" si="15">SUM(AF32:AF53)</f>
        <v>0</v>
      </c>
      <c r="AI55" s="35">
        <f t="shared" si="15"/>
        <v>0</v>
      </c>
      <c r="AJ55" s="35">
        <f t="shared" si="15"/>
        <v>0</v>
      </c>
      <c r="AK55" s="35">
        <f t="shared" si="15"/>
        <v>0</v>
      </c>
      <c r="AL55" s="35">
        <f t="shared" si="15"/>
        <v>0</v>
      </c>
      <c r="AM55" s="35">
        <f t="shared" si="15"/>
        <v>0</v>
      </c>
      <c r="AN55" s="35">
        <f t="shared" si="15"/>
        <v>0</v>
      </c>
      <c r="AO55" s="35">
        <f t="shared" si="15"/>
        <v>0</v>
      </c>
      <c r="AP55" s="35">
        <f t="shared" si="15"/>
        <v>0</v>
      </c>
      <c r="AQ55" s="35">
        <f t="shared" si="15"/>
        <v>0</v>
      </c>
      <c r="AR55" s="35">
        <f t="shared" si="15"/>
        <v>0</v>
      </c>
      <c r="AS55" s="35">
        <f t="shared" si="15"/>
        <v>0</v>
      </c>
      <c r="AT55" s="35">
        <f t="shared" si="15"/>
        <v>0</v>
      </c>
      <c r="AU55" s="35">
        <f t="shared" si="15"/>
        <v>0</v>
      </c>
      <c r="AV55" s="35">
        <f t="shared" si="15"/>
        <v>0</v>
      </c>
      <c r="AW55" s="35">
        <f t="shared" si="15"/>
        <v>0</v>
      </c>
      <c r="AX55" s="35">
        <f t="shared" si="15"/>
        <v>0</v>
      </c>
      <c r="AY55" s="35">
        <f t="shared" si="15"/>
        <v>0</v>
      </c>
      <c r="AZ55" s="35">
        <f t="shared" si="15"/>
        <v>0</v>
      </c>
      <c r="BA55" s="35">
        <f t="shared" si="15"/>
        <v>0</v>
      </c>
      <c r="BB55" s="35">
        <f t="shared" si="15"/>
        <v>0</v>
      </c>
      <c r="BC55" s="35">
        <f t="shared" si="15"/>
        <v>0</v>
      </c>
      <c r="BD55" s="35">
        <f t="shared" si="15"/>
        <v>0</v>
      </c>
      <c r="BE55" s="35">
        <f t="shared" si="15"/>
        <v>0</v>
      </c>
      <c r="BF55" s="35">
        <f t="shared" si="15"/>
        <v>0</v>
      </c>
      <c r="BG55" s="35">
        <f t="shared" si="15"/>
        <v>0</v>
      </c>
      <c r="BH55" s="35">
        <f t="shared" si="15"/>
        <v>0</v>
      </c>
      <c r="BI55" s="35">
        <f t="shared" si="15"/>
        <v>0</v>
      </c>
      <c r="BJ55" s="35">
        <f t="shared" si="15"/>
        <v>0</v>
      </c>
      <c r="BK55" s="35">
        <f t="shared" si="15"/>
        <v>0</v>
      </c>
      <c r="BL55" s="35">
        <f t="shared" si="15"/>
        <v>0</v>
      </c>
      <c r="BN55" s="114">
        <f>SUM(AH55:BL55)</f>
        <v>0</v>
      </c>
      <c r="CJ55" s="38"/>
    </row>
    <row r="56" ht="15.0" customHeight="1">
      <c r="J56" s="111"/>
      <c r="K56" s="111"/>
      <c r="M56" s="50"/>
      <c r="AG56" s="61" t="s">
        <v>169</v>
      </c>
      <c r="AH56" s="35">
        <f t="shared" ref="AH56:BL56" si="16">AVERAGE(AF32:AF53)</f>
        <v>0</v>
      </c>
      <c r="AI56" s="35">
        <f t="shared" si="16"/>
        <v>0</v>
      </c>
      <c r="AJ56" s="35">
        <f t="shared" si="16"/>
        <v>0</v>
      </c>
      <c r="AK56" s="35">
        <f t="shared" si="16"/>
        <v>0</v>
      </c>
      <c r="AL56" s="35">
        <f t="shared" si="16"/>
        <v>0</v>
      </c>
      <c r="AM56" s="35">
        <f t="shared" si="16"/>
        <v>0</v>
      </c>
      <c r="AN56" s="35">
        <f t="shared" si="16"/>
        <v>0</v>
      </c>
      <c r="AO56" s="35">
        <f t="shared" si="16"/>
        <v>0</v>
      </c>
      <c r="AP56" s="35">
        <f t="shared" si="16"/>
        <v>0</v>
      </c>
      <c r="AQ56" s="35">
        <f t="shared" si="16"/>
        <v>0</v>
      </c>
      <c r="AR56" s="35">
        <f t="shared" si="16"/>
        <v>0</v>
      </c>
      <c r="AS56" s="35">
        <f t="shared" si="16"/>
        <v>0</v>
      </c>
      <c r="AT56" s="35">
        <f t="shared" si="16"/>
        <v>0</v>
      </c>
      <c r="AU56" s="35">
        <f t="shared" si="16"/>
        <v>0</v>
      </c>
      <c r="AV56" s="35">
        <f t="shared" si="16"/>
        <v>0</v>
      </c>
      <c r="AW56" s="35">
        <f t="shared" si="16"/>
        <v>0</v>
      </c>
      <c r="AX56" s="35">
        <f t="shared" si="16"/>
        <v>0</v>
      </c>
      <c r="AY56" s="35">
        <f t="shared" si="16"/>
        <v>0</v>
      </c>
      <c r="AZ56" s="35">
        <f t="shared" si="16"/>
        <v>0</v>
      </c>
      <c r="BA56" s="35">
        <f t="shared" si="16"/>
        <v>0</v>
      </c>
      <c r="BB56" s="35">
        <f t="shared" si="16"/>
        <v>0</v>
      </c>
      <c r="BC56" s="35">
        <f t="shared" si="16"/>
        <v>0</v>
      </c>
      <c r="BD56" s="35">
        <f t="shared" si="16"/>
        <v>0</v>
      </c>
      <c r="BE56" s="35">
        <f t="shared" si="16"/>
        <v>0</v>
      </c>
      <c r="BF56" s="35">
        <f t="shared" si="16"/>
        <v>0</v>
      </c>
      <c r="BG56" s="35">
        <f t="shared" si="16"/>
        <v>0</v>
      </c>
      <c r="BH56" s="35">
        <f t="shared" si="16"/>
        <v>0</v>
      </c>
      <c r="BI56" s="35">
        <f t="shared" si="16"/>
        <v>0</v>
      </c>
      <c r="BJ56" s="35">
        <f t="shared" si="16"/>
        <v>0</v>
      </c>
      <c r="BK56" s="35">
        <f t="shared" si="16"/>
        <v>0</v>
      </c>
      <c r="BL56" s="35">
        <f t="shared" si="16"/>
        <v>0</v>
      </c>
      <c r="BN56" s="115"/>
      <c r="BS56" s="61" t="s">
        <v>170</v>
      </c>
      <c r="BT56" s="35">
        <f t="shared" ref="BT56:CX56" si="17">SUM(BT32:BT54)</f>
        <v>0</v>
      </c>
      <c r="BU56" s="35">
        <f t="shared" si="17"/>
        <v>0</v>
      </c>
      <c r="BV56" s="35">
        <f t="shared" si="17"/>
        <v>0</v>
      </c>
      <c r="BW56" s="35">
        <f t="shared" si="17"/>
        <v>0</v>
      </c>
      <c r="BX56" s="35">
        <f t="shared" si="17"/>
        <v>0</v>
      </c>
      <c r="BY56" s="35">
        <f t="shared" si="17"/>
        <v>0</v>
      </c>
      <c r="BZ56" s="35">
        <f t="shared" si="17"/>
        <v>0</v>
      </c>
      <c r="CA56" s="35">
        <f t="shared" si="17"/>
        <v>0</v>
      </c>
      <c r="CB56" s="35">
        <f t="shared" si="17"/>
        <v>0</v>
      </c>
      <c r="CC56" s="35">
        <f t="shared" si="17"/>
        <v>0</v>
      </c>
      <c r="CD56" s="35">
        <f t="shared" si="17"/>
        <v>0</v>
      </c>
      <c r="CE56" s="35">
        <f t="shared" si="17"/>
        <v>0</v>
      </c>
      <c r="CF56" s="35">
        <f t="shared" si="17"/>
        <v>0</v>
      </c>
      <c r="CG56" s="35">
        <f t="shared" si="17"/>
        <v>0</v>
      </c>
      <c r="CH56" s="35">
        <f t="shared" si="17"/>
        <v>0</v>
      </c>
      <c r="CI56" s="35">
        <f t="shared" si="17"/>
        <v>0</v>
      </c>
      <c r="CJ56" s="35">
        <f t="shared" si="17"/>
        <v>0</v>
      </c>
      <c r="CK56" s="35">
        <f t="shared" si="17"/>
        <v>0</v>
      </c>
      <c r="CL56" s="35">
        <f t="shared" si="17"/>
        <v>0</v>
      </c>
      <c r="CM56" s="35">
        <f t="shared" si="17"/>
        <v>0</v>
      </c>
      <c r="CN56" s="35">
        <f t="shared" si="17"/>
        <v>0</v>
      </c>
      <c r="CO56" s="35">
        <f t="shared" si="17"/>
        <v>0</v>
      </c>
      <c r="CP56" s="35">
        <f t="shared" si="17"/>
        <v>0</v>
      </c>
      <c r="CQ56" s="35">
        <f t="shared" si="17"/>
        <v>0</v>
      </c>
      <c r="CR56" s="35">
        <f t="shared" si="17"/>
        <v>0</v>
      </c>
      <c r="CS56" s="35">
        <f t="shared" si="17"/>
        <v>0</v>
      </c>
      <c r="CT56" s="35">
        <f t="shared" si="17"/>
        <v>0</v>
      </c>
      <c r="CU56" s="35">
        <f t="shared" si="17"/>
        <v>0</v>
      </c>
      <c r="CV56" s="35">
        <f t="shared" si="17"/>
        <v>0</v>
      </c>
      <c r="CW56" s="35">
        <f t="shared" si="17"/>
        <v>0</v>
      </c>
      <c r="CX56" s="35">
        <f t="shared" si="17"/>
        <v>0</v>
      </c>
      <c r="CZ56" s="64">
        <f>SUM(BT56:CX56)</f>
        <v>0</v>
      </c>
    </row>
    <row r="57" ht="31.5" customHeight="1">
      <c r="C57" s="116"/>
      <c r="D57" s="2"/>
      <c r="E57" s="2"/>
      <c r="F57" s="2"/>
      <c r="G57" s="2"/>
      <c r="H57" s="3"/>
      <c r="I57" s="117">
        <f>SUM($I$40:$I$55)</f>
        <v>71</v>
      </c>
      <c r="J57" s="111"/>
      <c r="K57" s="111"/>
      <c r="L57" s="118"/>
      <c r="M57" s="2"/>
      <c r="N57" s="2"/>
      <c r="O57" s="2"/>
      <c r="P57" s="2"/>
      <c r="Q57" s="3"/>
      <c r="R57" s="117">
        <f>SUM($R$40:$R$52)</f>
        <v>84</v>
      </c>
      <c r="T57" s="118"/>
      <c r="U57" s="2"/>
      <c r="V57" s="2"/>
      <c r="W57" s="2"/>
      <c r="X57" s="2"/>
      <c r="Y57" s="2"/>
      <c r="Z57" s="2"/>
      <c r="AA57" s="3"/>
      <c r="AB57" s="119">
        <f>SUM(AB40:AB42)</f>
        <v>0</v>
      </c>
      <c r="BS57" s="61" t="s">
        <v>95</v>
      </c>
      <c r="BT57" s="68">
        <f t="shared" ref="BT57:CX57" si="18">AVERAGE(BT32:BT54)</f>
        <v>0</v>
      </c>
      <c r="BU57" s="68">
        <f t="shared" si="18"/>
        <v>0</v>
      </c>
      <c r="BV57" s="68">
        <f t="shared" si="18"/>
        <v>0</v>
      </c>
      <c r="BW57" s="68">
        <f t="shared" si="18"/>
        <v>0</v>
      </c>
      <c r="BX57" s="68">
        <f t="shared" si="18"/>
        <v>0</v>
      </c>
      <c r="BY57" s="68">
        <f t="shared" si="18"/>
        <v>0</v>
      </c>
      <c r="BZ57" s="68">
        <f t="shared" si="18"/>
        <v>0</v>
      </c>
      <c r="CA57" s="68">
        <f t="shared" si="18"/>
        <v>0</v>
      </c>
      <c r="CB57" s="68">
        <f t="shared" si="18"/>
        <v>0</v>
      </c>
      <c r="CC57" s="68">
        <f t="shared" si="18"/>
        <v>0</v>
      </c>
      <c r="CD57" s="68">
        <f t="shared" si="18"/>
        <v>0</v>
      </c>
      <c r="CE57" s="68">
        <f t="shared" si="18"/>
        <v>0</v>
      </c>
      <c r="CF57" s="68">
        <f t="shared" si="18"/>
        <v>0</v>
      </c>
      <c r="CG57" s="68">
        <f t="shared" si="18"/>
        <v>0</v>
      </c>
      <c r="CH57" s="68">
        <f t="shared" si="18"/>
        <v>0</v>
      </c>
      <c r="CI57" s="68">
        <f t="shared" si="18"/>
        <v>0</v>
      </c>
      <c r="CJ57" s="68">
        <f t="shared" si="18"/>
        <v>0</v>
      </c>
      <c r="CK57" s="68">
        <f t="shared" si="18"/>
        <v>0</v>
      </c>
      <c r="CL57" s="68">
        <f t="shared" si="18"/>
        <v>0</v>
      </c>
      <c r="CM57" s="68">
        <f t="shared" si="18"/>
        <v>0</v>
      </c>
      <c r="CN57" s="68">
        <f t="shared" si="18"/>
        <v>0</v>
      </c>
      <c r="CO57" s="68">
        <f t="shared" si="18"/>
        <v>0</v>
      </c>
      <c r="CP57" s="68">
        <f t="shared" si="18"/>
        <v>0</v>
      </c>
      <c r="CQ57" s="68">
        <f t="shared" si="18"/>
        <v>0</v>
      </c>
      <c r="CR57" s="68">
        <f t="shared" si="18"/>
        <v>0</v>
      </c>
      <c r="CS57" s="68">
        <f t="shared" si="18"/>
        <v>0</v>
      </c>
      <c r="CT57" s="68">
        <f t="shared" si="18"/>
        <v>0</v>
      </c>
      <c r="CU57" s="68">
        <f t="shared" si="18"/>
        <v>0</v>
      </c>
      <c r="CV57" s="68">
        <f t="shared" si="18"/>
        <v>0</v>
      </c>
      <c r="CW57" s="68">
        <f t="shared" si="18"/>
        <v>0</v>
      </c>
      <c r="CX57" s="68">
        <f t="shared" si="18"/>
        <v>0</v>
      </c>
    </row>
    <row r="58" ht="15.75" customHeight="1">
      <c r="I58" s="50"/>
      <c r="BL58" s="120" t="s">
        <v>171</v>
      </c>
      <c r="BN58" s="121" t="s">
        <v>172</v>
      </c>
      <c r="BO58" s="122" t="s">
        <v>111</v>
      </c>
    </row>
    <row r="59" ht="15.75" customHeight="1">
      <c r="I59" s="50"/>
      <c r="AF59" s="60" t="s">
        <v>173</v>
      </c>
      <c r="BL59" s="66"/>
      <c r="BN59" s="123"/>
      <c r="BO59" s="124"/>
    </row>
    <row r="60" ht="15.75" customHeight="1">
      <c r="I60" s="50"/>
      <c r="AE60" s="18" t="s">
        <v>111</v>
      </c>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L60" s="27"/>
      <c r="BN60" s="125"/>
      <c r="BO60" s="126"/>
    </row>
    <row r="61" ht="15.75" customHeight="1">
      <c r="I61" s="50"/>
      <c r="AE61" s="35" t="s">
        <v>114</v>
      </c>
      <c r="AF61" s="34">
        <f>COUNTIFS(Errors!$I:$I,Analysis!$AE61,Errors!$D:$D,Analysis!AF$2)</f>
        <v>0</v>
      </c>
      <c r="AG61" s="34">
        <f>COUNTIFS(Errors!$I:$I,Analysis!$AE61,Errors!$D:$D,Analysis!AG$2)</f>
        <v>0</v>
      </c>
      <c r="AH61" s="34">
        <f>COUNTIFS(Errors!$I:$I,Analysis!$AE61,Errors!$D:$D,Analysis!AH$2)</f>
        <v>0</v>
      </c>
      <c r="AI61" s="34">
        <f>COUNTIFS(Errors!$I:$I,Analysis!$AE61,Errors!$D:$D,Analysis!AI$2)</f>
        <v>0</v>
      </c>
      <c r="AJ61" s="34">
        <f>COUNTIFS(Errors!$I:$I,Analysis!$AE61,Errors!$D:$D,Analysis!AJ$2)</f>
        <v>0</v>
      </c>
      <c r="AK61" s="34">
        <f>COUNTIFS(Errors!$I:$I,Analysis!$AE61,Errors!$D:$D,Analysis!AK$2)</f>
        <v>0</v>
      </c>
      <c r="AL61" s="34">
        <f>COUNTIFS(Errors!$I:$I,Analysis!$AE61,Errors!$D:$D,Analysis!AL$2)</f>
        <v>0</v>
      </c>
      <c r="AM61" s="34">
        <f>COUNTIFS(Errors!$I:$I,Analysis!$AE61,Errors!$D:$D,Analysis!AM$2)</f>
        <v>0</v>
      </c>
      <c r="AN61" s="34">
        <f>COUNTIFS(Errors!$I:$I,Analysis!$AE61,Errors!$D:$D,Analysis!AN$2)</f>
        <v>0</v>
      </c>
      <c r="AO61" s="34">
        <f>COUNTIFS(Errors!$I:$I,Analysis!$AE61,Errors!$D:$D,Analysis!AO$2)</f>
        <v>0</v>
      </c>
      <c r="AP61" s="34">
        <f>COUNTIFS(Errors!$I:$I,Analysis!$AE61,Errors!$D:$D,Analysis!AP$2)</f>
        <v>0</v>
      </c>
      <c r="AQ61" s="34">
        <f>COUNTIFS(Errors!$I:$I,Analysis!$AE61,Errors!$D:$D,Analysis!AQ$2)</f>
        <v>0</v>
      </c>
      <c r="AR61" s="34">
        <f>COUNTIFS(Errors!$I:$I,Analysis!$AE61,Errors!$D:$D,Analysis!AR$2)</f>
        <v>0</v>
      </c>
      <c r="AS61" s="34">
        <f>COUNTIFS(Errors!$I:$I,Analysis!$AE61,Errors!$D:$D,Analysis!AS$2)</f>
        <v>0</v>
      </c>
      <c r="AT61" s="34">
        <f>COUNTIFS(Errors!$I:$I,Analysis!$AE61,Errors!$D:$D,Analysis!AT$2)</f>
        <v>0</v>
      </c>
      <c r="AU61" s="34">
        <f>COUNTIFS(Errors!$I:$I,Analysis!$AE61,Errors!$D:$D,Analysis!AU$2)</f>
        <v>0</v>
      </c>
      <c r="AV61" s="34">
        <f>COUNTIFS(Errors!$I:$I,Analysis!$AE61,Errors!$D:$D,Analysis!AV$2)</f>
        <v>0</v>
      </c>
      <c r="AW61" s="34">
        <f>COUNTIFS(Errors!$I:$I,Analysis!$AE61,Errors!$D:$D,Analysis!AW$2)</f>
        <v>0</v>
      </c>
      <c r="AX61" s="34">
        <f>COUNTIFS(Errors!$I:$I,Analysis!$AE61,Errors!$D:$D,Analysis!AX$2)</f>
        <v>0</v>
      </c>
      <c r="AY61" s="34">
        <f>COUNTIFS(Errors!$I:$I,Analysis!$AE61,Errors!$D:$D,Analysis!AY$2)</f>
        <v>0</v>
      </c>
      <c r="AZ61" s="34">
        <f>COUNTIFS(Errors!$I:$I,Analysis!$AE61,Errors!$D:$D,Analysis!AZ$2)</f>
        <v>0</v>
      </c>
      <c r="BA61" s="34">
        <f>COUNTIFS(Errors!$I:$I,Analysis!$AE61,Errors!$D:$D,Analysis!BA$2)</f>
        <v>0</v>
      </c>
      <c r="BB61" s="34">
        <f>COUNTIFS(Errors!$I:$I,Analysis!$AE61,Errors!$D:$D,Analysis!BB$2)</f>
        <v>0</v>
      </c>
      <c r="BC61" s="34">
        <f>COUNTIFS(Errors!$I:$I,Analysis!$AE61,Errors!$D:$D,Analysis!BC$2)</f>
        <v>0</v>
      </c>
      <c r="BD61" s="34">
        <f>COUNTIFS(Errors!$I:$I,Analysis!$AE61,Errors!$D:$D,Analysis!BD$2)</f>
        <v>0</v>
      </c>
      <c r="BE61" s="34">
        <f>COUNTIFS(Errors!$I:$I,Analysis!$AE61,Errors!$D:$D,Analysis!BE$2)</f>
        <v>0</v>
      </c>
      <c r="BF61" s="34">
        <f>COUNTIFS(Errors!$I:$I,Analysis!$AE61,Errors!$D:$D,Analysis!BF$2)</f>
        <v>0</v>
      </c>
      <c r="BG61" s="34">
        <f>COUNTIFS(Errors!$I:$I,Analysis!$AE61,Errors!$D:$D,Analysis!BG$2)</f>
        <v>0</v>
      </c>
      <c r="BH61" s="34">
        <f>COUNTIFS(Errors!$I:$I,Analysis!$AE61,Errors!$D:$D,Analysis!BH$2)</f>
        <v>0</v>
      </c>
      <c r="BI61" s="34">
        <f>COUNTIFS(Errors!$I:$I,Analysis!$AE61,Errors!$D:$D,Analysis!BI$2)</f>
        <v>0</v>
      </c>
      <c r="BJ61" s="34">
        <f>COUNTIFS(Errors!$I:$I,Analysis!$AE61,Errors!$D:$D,Analysis!BJ$2)</f>
        <v>0</v>
      </c>
      <c r="BL61" s="85">
        <f t="shared" ref="BL61:BL97" si="19">SUM(AF61:BJ61)</f>
        <v>0</v>
      </c>
      <c r="BN61" s="127">
        <f t="shared" ref="BN61:BN97" si="20">AVERAGE(AF61:BJ61)</f>
        <v>0</v>
      </c>
      <c r="BO61" s="128" t="s">
        <v>114</v>
      </c>
    </row>
    <row r="62" ht="15.75" customHeight="1">
      <c r="I62" s="50"/>
      <c r="AE62" s="35" t="s">
        <v>118</v>
      </c>
      <c r="AF62" s="34">
        <f>COUNTIFS(Errors!$I:$I,Analysis!$AE62,Errors!$D:$D,Analysis!AF$2)</f>
        <v>0</v>
      </c>
      <c r="AG62" s="34">
        <f>COUNTIFS(Errors!$I:$I,Analysis!$AE62,Errors!$D:$D,Analysis!AG$2)</f>
        <v>0</v>
      </c>
      <c r="AH62" s="34">
        <f>COUNTIFS(Errors!$I:$I,Analysis!$AE62,Errors!$D:$D,Analysis!AH$2)</f>
        <v>0</v>
      </c>
      <c r="AI62" s="34">
        <f>COUNTIFS(Errors!$I:$I,Analysis!$AE62,Errors!$D:$D,Analysis!AI$2)</f>
        <v>0</v>
      </c>
      <c r="AJ62" s="34">
        <f>COUNTIFS(Errors!$I:$I,Analysis!$AE62,Errors!$D:$D,Analysis!AJ$2)</f>
        <v>0</v>
      </c>
      <c r="AK62" s="34">
        <f>COUNTIFS(Errors!$I:$I,Analysis!$AE62,Errors!$D:$D,Analysis!AK$2)</f>
        <v>0</v>
      </c>
      <c r="AL62" s="34">
        <f>COUNTIFS(Errors!$I:$I,Analysis!$AE62,Errors!$D:$D,Analysis!AL$2)</f>
        <v>0</v>
      </c>
      <c r="AM62" s="34">
        <f>COUNTIFS(Errors!$I:$I,Analysis!$AE62,Errors!$D:$D,Analysis!AM$2)</f>
        <v>0</v>
      </c>
      <c r="AN62" s="34">
        <f>COUNTIFS(Errors!$I:$I,Analysis!$AE62,Errors!$D:$D,Analysis!AN$2)</f>
        <v>0</v>
      </c>
      <c r="AO62" s="34">
        <f>COUNTIFS(Errors!$I:$I,Analysis!$AE62,Errors!$D:$D,Analysis!AO$2)</f>
        <v>0</v>
      </c>
      <c r="AP62" s="34">
        <f>COUNTIFS(Errors!$I:$I,Analysis!$AE62,Errors!$D:$D,Analysis!AP$2)</f>
        <v>0</v>
      </c>
      <c r="AQ62" s="34">
        <f>COUNTIFS(Errors!$I:$I,Analysis!$AE62,Errors!$D:$D,Analysis!AQ$2)</f>
        <v>0</v>
      </c>
      <c r="AR62" s="34">
        <f>COUNTIFS(Errors!$I:$I,Analysis!$AE62,Errors!$D:$D,Analysis!AR$2)</f>
        <v>0</v>
      </c>
      <c r="AS62" s="34">
        <f>COUNTIFS(Errors!$I:$I,Analysis!$AE62,Errors!$D:$D,Analysis!AS$2)</f>
        <v>0</v>
      </c>
      <c r="AT62" s="34">
        <f>COUNTIFS(Errors!$I:$I,Analysis!$AE62,Errors!$D:$D,Analysis!AT$2)</f>
        <v>0</v>
      </c>
      <c r="AU62" s="34">
        <f>COUNTIFS(Errors!$I:$I,Analysis!$AE62,Errors!$D:$D,Analysis!AU$2)</f>
        <v>0</v>
      </c>
      <c r="AV62" s="34">
        <f>COUNTIFS(Errors!$I:$I,Analysis!$AE62,Errors!$D:$D,Analysis!AV$2)</f>
        <v>0</v>
      </c>
      <c r="AW62" s="34">
        <f>COUNTIFS(Errors!$I:$I,Analysis!$AE62,Errors!$D:$D,Analysis!AW$2)</f>
        <v>0</v>
      </c>
      <c r="AX62" s="34">
        <f>COUNTIFS(Errors!$I:$I,Analysis!$AE62,Errors!$D:$D,Analysis!AX$2)</f>
        <v>0</v>
      </c>
      <c r="AY62" s="34">
        <f>COUNTIFS(Errors!$I:$I,Analysis!$AE62,Errors!$D:$D,Analysis!AY$2)</f>
        <v>0</v>
      </c>
      <c r="AZ62" s="34">
        <f>COUNTIFS(Errors!$I:$I,Analysis!$AE62,Errors!$D:$D,Analysis!AZ$2)</f>
        <v>0</v>
      </c>
      <c r="BA62" s="34">
        <f>COUNTIFS(Errors!$I:$I,Analysis!$AE62,Errors!$D:$D,Analysis!BA$2)</f>
        <v>0</v>
      </c>
      <c r="BB62" s="34">
        <f>COUNTIFS(Errors!$I:$I,Analysis!$AE62,Errors!$D:$D,Analysis!BB$2)</f>
        <v>0</v>
      </c>
      <c r="BC62" s="34">
        <f>COUNTIFS(Errors!$I:$I,Analysis!$AE62,Errors!$D:$D,Analysis!BC$2)</f>
        <v>0</v>
      </c>
      <c r="BD62" s="34">
        <f>COUNTIFS(Errors!$I:$I,Analysis!$AE62,Errors!$D:$D,Analysis!BD$2)</f>
        <v>0</v>
      </c>
      <c r="BE62" s="34">
        <f>COUNTIFS(Errors!$I:$I,Analysis!$AE62,Errors!$D:$D,Analysis!BE$2)</f>
        <v>0</v>
      </c>
      <c r="BF62" s="34">
        <f>COUNTIFS(Errors!$I:$I,Analysis!$AE62,Errors!$D:$D,Analysis!BF$2)</f>
        <v>0</v>
      </c>
      <c r="BG62" s="34">
        <f>COUNTIFS(Errors!$I:$I,Analysis!$AE62,Errors!$D:$D,Analysis!BG$2)</f>
        <v>0</v>
      </c>
      <c r="BH62" s="34">
        <f>COUNTIFS(Errors!$I:$I,Analysis!$AE62,Errors!$D:$D,Analysis!BH$2)</f>
        <v>0</v>
      </c>
      <c r="BI62" s="34">
        <f>COUNTIFS(Errors!$I:$I,Analysis!$AE62,Errors!$D:$D,Analysis!BI$2)</f>
        <v>0</v>
      </c>
      <c r="BJ62" s="34">
        <f>COUNTIFS(Errors!$I:$I,Analysis!$AE62,Errors!$D:$D,Analysis!BJ$2)</f>
        <v>0</v>
      </c>
      <c r="BL62" s="39">
        <f t="shared" si="19"/>
        <v>0</v>
      </c>
      <c r="BN62" s="129">
        <f t="shared" si="20"/>
        <v>0</v>
      </c>
      <c r="BO62" s="130" t="s">
        <v>118</v>
      </c>
    </row>
    <row r="63" ht="15.0" customHeight="1">
      <c r="I63" s="50"/>
      <c r="AE63" s="35" t="s">
        <v>122</v>
      </c>
      <c r="AF63" s="34">
        <f>COUNTIFS(Errors!$I:$I,Analysis!$AE63,Errors!$D:$D,Analysis!AF$2)</f>
        <v>0</v>
      </c>
      <c r="AG63" s="34">
        <f>COUNTIFS(Errors!$I:$I,Analysis!$AE63,Errors!$D:$D,Analysis!AG$2)</f>
        <v>0</v>
      </c>
      <c r="AH63" s="34">
        <f>COUNTIFS(Errors!$I:$I,Analysis!$AE63,Errors!$D:$D,Analysis!AH$2)</f>
        <v>0</v>
      </c>
      <c r="AI63" s="34">
        <f>COUNTIFS(Errors!$I:$I,Analysis!$AE63,Errors!$D:$D,Analysis!AI$2)</f>
        <v>0</v>
      </c>
      <c r="AJ63" s="34">
        <f>COUNTIFS(Errors!$I:$I,Analysis!$AE63,Errors!$D:$D,Analysis!AJ$2)</f>
        <v>0</v>
      </c>
      <c r="AK63" s="34">
        <f>COUNTIFS(Errors!$I:$I,Analysis!$AE63,Errors!$D:$D,Analysis!AK$2)</f>
        <v>0</v>
      </c>
      <c r="AL63" s="34">
        <f>COUNTIFS(Errors!$I:$I,Analysis!$AE63,Errors!$D:$D,Analysis!AL$2)</f>
        <v>0</v>
      </c>
      <c r="AM63" s="34">
        <f>COUNTIFS(Errors!$I:$I,Analysis!$AE63,Errors!$D:$D,Analysis!AM$2)</f>
        <v>0</v>
      </c>
      <c r="AN63" s="34">
        <f>COUNTIFS(Errors!$I:$I,Analysis!$AE63,Errors!$D:$D,Analysis!AN$2)</f>
        <v>0</v>
      </c>
      <c r="AO63" s="34">
        <f>COUNTIFS(Errors!$I:$I,Analysis!$AE63,Errors!$D:$D,Analysis!AO$2)</f>
        <v>0</v>
      </c>
      <c r="AP63" s="34">
        <f>COUNTIFS(Errors!$I:$I,Analysis!$AE63,Errors!$D:$D,Analysis!AP$2)</f>
        <v>0</v>
      </c>
      <c r="AQ63" s="34">
        <f>COUNTIFS(Errors!$I:$I,Analysis!$AE63,Errors!$D:$D,Analysis!AQ$2)</f>
        <v>0</v>
      </c>
      <c r="AR63" s="34">
        <f>COUNTIFS(Errors!$I:$I,Analysis!$AE63,Errors!$D:$D,Analysis!AR$2)</f>
        <v>0</v>
      </c>
      <c r="AS63" s="34">
        <f>COUNTIFS(Errors!$I:$I,Analysis!$AE63,Errors!$D:$D,Analysis!AS$2)</f>
        <v>0</v>
      </c>
      <c r="AT63" s="34">
        <f>COUNTIFS(Errors!$I:$I,Analysis!$AE63,Errors!$D:$D,Analysis!AT$2)</f>
        <v>0</v>
      </c>
      <c r="AU63" s="34">
        <f>COUNTIFS(Errors!$I:$I,Analysis!$AE63,Errors!$D:$D,Analysis!AU$2)</f>
        <v>0</v>
      </c>
      <c r="AV63" s="34">
        <f>COUNTIFS(Errors!$I:$I,Analysis!$AE63,Errors!$D:$D,Analysis!AV$2)</f>
        <v>0</v>
      </c>
      <c r="AW63" s="34">
        <f>COUNTIFS(Errors!$I:$I,Analysis!$AE63,Errors!$D:$D,Analysis!AW$2)</f>
        <v>0</v>
      </c>
      <c r="AX63" s="34">
        <f>COUNTIFS(Errors!$I:$I,Analysis!$AE63,Errors!$D:$D,Analysis!AX$2)</f>
        <v>0</v>
      </c>
      <c r="AY63" s="34">
        <f>COUNTIFS(Errors!$I:$I,Analysis!$AE63,Errors!$D:$D,Analysis!AY$2)</f>
        <v>0</v>
      </c>
      <c r="AZ63" s="34">
        <f>COUNTIFS(Errors!$I:$I,Analysis!$AE63,Errors!$D:$D,Analysis!AZ$2)</f>
        <v>0</v>
      </c>
      <c r="BA63" s="34">
        <f>COUNTIFS(Errors!$I:$I,Analysis!$AE63,Errors!$D:$D,Analysis!BA$2)</f>
        <v>0</v>
      </c>
      <c r="BB63" s="34">
        <f>COUNTIFS(Errors!$I:$I,Analysis!$AE63,Errors!$D:$D,Analysis!BB$2)</f>
        <v>0</v>
      </c>
      <c r="BC63" s="34">
        <f>COUNTIFS(Errors!$I:$I,Analysis!$AE63,Errors!$D:$D,Analysis!BC$2)</f>
        <v>0</v>
      </c>
      <c r="BD63" s="34">
        <f>COUNTIFS(Errors!$I:$I,Analysis!$AE63,Errors!$D:$D,Analysis!BD$2)</f>
        <v>0</v>
      </c>
      <c r="BE63" s="34">
        <f>COUNTIFS(Errors!$I:$I,Analysis!$AE63,Errors!$D:$D,Analysis!BE$2)</f>
        <v>0</v>
      </c>
      <c r="BF63" s="34">
        <f>COUNTIFS(Errors!$I:$I,Analysis!$AE63,Errors!$D:$D,Analysis!BF$2)</f>
        <v>0</v>
      </c>
      <c r="BG63" s="34">
        <f>COUNTIFS(Errors!$I:$I,Analysis!$AE63,Errors!$D:$D,Analysis!BG$2)</f>
        <v>0</v>
      </c>
      <c r="BH63" s="34">
        <f>COUNTIFS(Errors!$I:$I,Analysis!$AE63,Errors!$D:$D,Analysis!BH$2)</f>
        <v>0</v>
      </c>
      <c r="BI63" s="34">
        <f>COUNTIFS(Errors!$I:$I,Analysis!$AE63,Errors!$D:$D,Analysis!BI$2)</f>
        <v>0</v>
      </c>
      <c r="BJ63" s="34">
        <f>COUNTIFS(Errors!$I:$I,Analysis!$AE63,Errors!$D:$D,Analysis!BJ$2)</f>
        <v>0</v>
      </c>
      <c r="BL63" s="39">
        <f t="shared" si="19"/>
        <v>0</v>
      </c>
      <c r="BN63" s="129">
        <f t="shared" si="20"/>
        <v>0</v>
      </c>
      <c r="BO63" s="130" t="s">
        <v>122</v>
      </c>
    </row>
    <row r="64" ht="15.75" customHeight="1">
      <c r="I64" s="50"/>
      <c r="AE64" s="35" t="s">
        <v>126</v>
      </c>
      <c r="AF64" s="34">
        <f>COUNTIFS(Errors!$I:$I,Analysis!$AE64,Errors!$D:$D,Analysis!AF$2)</f>
        <v>0</v>
      </c>
      <c r="AG64" s="34">
        <f>COUNTIFS(Errors!$I:$I,Analysis!$AE64,Errors!$D:$D,Analysis!AG$2)</f>
        <v>0</v>
      </c>
      <c r="AH64" s="34">
        <f>COUNTIFS(Errors!$I:$I,Analysis!$AE64,Errors!$D:$D,Analysis!AH$2)</f>
        <v>0</v>
      </c>
      <c r="AI64" s="34">
        <f>COUNTIFS(Errors!$I:$I,Analysis!$AE64,Errors!$D:$D,Analysis!AI$2)</f>
        <v>0</v>
      </c>
      <c r="AJ64" s="34">
        <f>COUNTIFS(Errors!$I:$I,Analysis!$AE64,Errors!$D:$D,Analysis!AJ$2)</f>
        <v>0</v>
      </c>
      <c r="AK64" s="34">
        <f>COUNTIFS(Errors!$I:$I,Analysis!$AE64,Errors!$D:$D,Analysis!AK$2)</f>
        <v>0</v>
      </c>
      <c r="AL64" s="34">
        <f>COUNTIFS(Errors!$I:$I,Analysis!$AE64,Errors!$D:$D,Analysis!AL$2)</f>
        <v>0</v>
      </c>
      <c r="AM64" s="34">
        <f>COUNTIFS(Errors!$I:$I,Analysis!$AE64,Errors!$D:$D,Analysis!AM$2)</f>
        <v>0</v>
      </c>
      <c r="AN64" s="34">
        <f>COUNTIFS(Errors!$I:$I,Analysis!$AE64,Errors!$D:$D,Analysis!AN$2)</f>
        <v>0</v>
      </c>
      <c r="AO64" s="34">
        <f>COUNTIFS(Errors!$I:$I,Analysis!$AE64,Errors!$D:$D,Analysis!AO$2)</f>
        <v>0</v>
      </c>
      <c r="AP64" s="34">
        <f>COUNTIFS(Errors!$I:$I,Analysis!$AE64,Errors!$D:$D,Analysis!AP$2)</f>
        <v>0</v>
      </c>
      <c r="AQ64" s="34">
        <f>COUNTIFS(Errors!$I:$I,Analysis!$AE64,Errors!$D:$D,Analysis!AQ$2)</f>
        <v>0</v>
      </c>
      <c r="AR64" s="34">
        <f>COUNTIFS(Errors!$I:$I,Analysis!$AE64,Errors!$D:$D,Analysis!AR$2)</f>
        <v>0</v>
      </c>
      <c r="AS64" s="34">
        <f>COUNTIFS(Errors!$I:$I,Analysis!$AE64,Errors!$D:$D,Analysis!AS$2)</f>
        <v>0</v>
      </c>
      <c r="AT64" s="34">
        <f>COUNTIFS(Errors!$I:$I,Analysis!$AE64,Errors!$D:$D,Analysis!AT$2)</f>
        <v>0</v>
      </c>
      <c r="AU64" s="34">
        <f>COUNTIFS(Errors!$I:$I,Analysis!$AE64,Errors!$D:$D,Analysis!AU$2)</f>
        <v>0</v>
      </c>
      <c r="AV64" s="34">
        <f>COUNTIFS(Errors!$I:$I,Analysis!$AE64,Errors!$D:$D,Analysis!AV$2)</f>
        <v>0</v>
      </c>
      <c r="AW64" s="34">
        <f>COUNTIFS(Errors!$I:$I,Analysis!$AE64,Errors!$D:$D,Analysis!AW$2)</f>
        <v>0</v>
      </c>
      <c r="AX64" s="34">
        <f>COUNTIFS(Errors!$I:$I,Analysis!$AE64,Errors!$D:$D,Analysis!AX$2)</f>
        <v>0</v>
      </c>
      <c r="AY64" s="34">
        <f>COUNTIFS(Errors!$I:$I,Analysis!$AE64,Errors!$D:$D,Analysis!AY$2)</f>
        <v>0</v>
      </c>
      <c r="AZ64" s="34">
        <f>COUNTIFS(Errors!$I:$I,Analysis!$AE64,Errors!$D:$D,Analysis!AZ$2)</f>
        <v>0</v>
      </c>
      <c r="BA64" s="34">
        <f>COUNTIFS(Errors!$I:$I,Analysis!$AE64,Errors!$D:$D,Analysis!BA$2)</f>
        <v>0</v>
      </c>
      <c r="BB64" s="34">
        <f>COUNTIFS(Errors!$I:$I,Analysis!$AE64,Errors!$D:$D,Analysis!BB$2)</f>
        <v>0</v>
      </c>
      <c r="BC64" s="34">
        <f>COUNTIFS(Errors!$I:$I,Analysis!$AE64,Errors!$D:$D,Analysis!BC$2)</f>
        <v>0</v>
      </c>
      <c r="BD64" s="34">
        <f>COUNTIFS(Errors!$I:$I,Analysis!$AE64,Errors!$D:$D,Analysis!BD$2)</f>
        <v>0</v>
      </c>
      <c r="BE64" s="34">
        <f>COUNTIFS(Errors!$I:$I,Analysis!$AE64,Errors!$D:$D,Analysis!BE$2)</f>
        <v>0</v>
      </c>
      <c r="BF64" s="34">
        <f>COUNTIFS(Errors!$I:$I,Analysis!$AE64,Errors!$D:$D,Analysis!BF$2)</f>
        <v>0</v>
      </c>
      <c r="BG64" s="34">
        <f>COUNTIFS(Errors!$I:$I,Analysis!$AE64,Errors!$D:$D,Analysis!BG$2)</f>
        <v>0</v>
      </c>
      <c r="BH64" s="34">
        <f>COUNTIFS(Errors!$I:$I,Analysis!$AE64,Errors!$D:$D,Analysis!BH$2)</f>
        <v>0</v>
      </c>
      <c r="BI64" s="34">
        <f>COUNTIFS(Errors!$I:$I,Analysis!$AE64,Errors!$D:$D,Analysis!BI$2)</f>
        <v>0</v>
      </c>
      <c r="BJ64" s="34">
        <f>COUNTIFS(Errors!$I:$I,Analysis!$AE64,Errors!$D:$D,Analysis!BJ$2)</f>
        <v>0</v>
      </c>
      <c r="BL64" s="39">
        <f t="shared" si="19"/>
        <v>0</v>
      </c>
      <c r="BN64" s="129">
        <f t="shared" si="20"/>
        <v>0</v>
      </c>
      <c r="BO64" s="130" t="s">
        <v>126</v>
      </c>
    </row>
    <row r="65" ht="15.75" customHeight="1">
      <c r="AE65" s="35" t="s">
        <v>130</v>
      </c>
      <c r="AF65" s="34">
        <f>COUNTIFS(Errors!$I:$I,Analysis!$AE65,Errors!$D:$D,Analysis!AF$2)</f>
        <v>0</v>
      </c>
      <c r="AG65" s="34">
        <f>COUNTIFS(Errors!$I:$I,Analysis!$AE65,Errors!$D:$D,Analysis!AG$2)</f>
        <v>0</v>
      </c>
      <c r="AH65" s="34">
        <f>COUNTIFS(Errors!$I:$I,Analysis!$AE65,Errors!$D:$D,Analysis!AH$2)</f>
        <v>0</v>
      </c>
      <c r="AI65" s="34">
        <f>COUNTIFS(Errors!$I:$I,Analysis!$AE65,Errors!$D:$D,Analysis!AI$2)</f>
        <v>0</v>
      </c>
      <c r="AJ65" s="34">
        <f>COUNTIFS(Errors!$I:$I,Analysis!$AE65,Errors!$D:$D,Analysis!AJ$2)</f>
        <v>0</v>
      </c>
      <c r="AK65" s="34">
        <f>COUNTIFS(Errors!$I:$I,Analysis!$AE65,Errors!$D:$D,Analysis!AK$2)</f>
        <v>0</v>
      </c>
      <c r="AL65" s="34">
        <f>COUNTIFS(Errors!$I:$I,Analysis!$AE65,Errors!$D:$D,Analysis!AL$2)</f>
        <v>0</v>
      </c>
      <c r="AM65" s="34">
        <f>COUNTIFS(Errors!$I:$I,Analysis!$AE65,Errors!$D:$D,Analysis!AM$2)</f>
        <v>0</v>
      </c>
      <c r="AN65" s="34">
        <f>COUNTIFS(Errors!$I:$I,Analysis!$AE65,Errors!$D:$D,Analysis!AN$2)</f>
        <v>0</v>
      </c>
      <c r="AO65" s="34">
        <f>COUNTIFS(Errors!$I:$I,Analysis!$AE65,Errors!$D:$D,Analysis!AO$2)</f>
        <v>0</v>
      </c>
      <c r="AP65" s="34">
        <f>COUNTIFS(Errors!$I:$I,Analysis!$AE65,Errors!$D:$D,Analysis!AP$2)</f>
        <v>0</v>
      </c>
      <c r="AQ65" s="34">
        <f>COUNTIFS(Errors!$I:$I,Analysis!$AE65,Errors!$D:$D,Analysis!AQ$2)</f>
        <v>0</v>
      </c>
      <c r="AR65" s="34">
        <f>COUNTIFS(Errors!$I:$I,Analysis!$AE65,Errors!$D:$D,Analysis!AR$2)</f>
        <v>0</v>
      </c>
      <c r="AS65" s="34">
        <f>COUNTIFS(Errors!$I:$I,Analysis!$AE65,Errors!$D:$D,Analysis!AS$2)</f>
        <v>0</v>
      </c>
      <c r="AT65" s="34">
        <f>COUNTIFS(Errors!$I:$I,Analysis!$AE65,Errors!$D:$D,Analysis!AT$2)</f>
        <v>0</v>
      </c>
      <c r="AU65" s="34">
        <f>COUNTIFS(Errors!$I:$I,Analysis!$AE65,Errors!$D:$D,Analysis!AU$2)</f>
        <v>0</v>
      </c>
      <c r="AV65" s="34">
        <f>COUNTIFS(Errors!$I:$I,Analysis!$AE65,Errors!$D:$D,Analysis!AV$2)</f>
        <v>0</v>
      </c>
      <c r="AW65" s="34">
        <f>COUNTIFS(Errors!$I:$I,Analysis!$AE65,Errors!$D:$D,Analysis!AW$2)</f>
        <v>0</v>
      </c>
      <c r="AX65" s="34">
        <f>COUNTIFS(Errors!$I:$I,Analysis!$AE65,Errors!$D:$D,Analysis!AX$2)</f>
        <v>0</v>
      </c>
      <c r="AY65" s="34">
        <f>COUNTIFS(Errors!$I:$I,Analysis!$AE65,Errors!$D:$D,Analysis!AY$2)</f>
        <v>0</v>
      </c>
      <c r="AZ65" s="34">
        <f>COUNTIFS(Errors!$I:$I,Analysis!$AE65,Errors!$D:$D,Analysis!AZ$2)</f>
        <v>0</v>
      </c>
      <c r="BA65" s="34">
        <f>COUNTIFS(Errors!$I:$I,Analysis!$AE65,Errors!$D:$D,Analysis!BA$2)</f>
        <v>0</v>
      </c>
      <c r="BB65" s="34">
        <f>COUNTIFS(Errors!$I:$I,Analysis!$AE65,Errors!$D:$D,Analysis!BB$2)</f>
        <v>0</v>
      </c>
      <c r="BC65" s="34">
        <f>COUNTIFS(Errors!$I:$I,Analysis!$AE65,Errors!$D:$D,Analysis!BC$2)</f>
        <v>0</v>
      </c>
      <c r="BD65" s="34">
        <f>COUNTIFS(Errors!$I:$I,Analysis!$AE65,Errors!$D:$D,Analysis!BD$2)</f>
        <v>0</v>
      </c>
      <c r="BE65" s="34">
        <f>COUNTIFS(Errors!$I:$I,Analysis!$AE65,Errors!$D:$D,Analysis!BE$2)</f>
        <v>0</v>
      </c>
      <c r="BF65" s="34">
        <f>COUNTIFS(Errors!$I:$I,Analysis!$AE65,Errors!$D:$D,Analysis!BF$2)</f>
        <v>0</v>
      </c>
      <c r="BG65" s="34">
        <f>COUNTIFS(Errors!$I:$I,Analysis!$AE65,Errors!$D:$D,Analysis!BG$2)</f>
        <v>0</v>
      </c>
      <c r="BH65" s="34">
        <f>COUNTIFS(Errors!$I:$I,Analysis!$AE65,Errors!$D:$D,Analysis!BH$2)</f>
        <v>0</v>
      </c>
      <c r="BI65" s="34">
        <f>COUNTIFS(Errors!$I:$I,Analysis!$AE65,Errors!$D:$D,Analysis!BI$2)</f>
        <v>0</v>
      </c>
      <c r="BJ65" s="34">
        <f>COUNTIFS(Errors!$I:$I,Analysis!$AE65,Errors!$D:$D,Analysis!BJ$2)</f>
        <v>0</v>
      </c>
      <c r="BL65" s="39">
        <f t="shared" si="19"/>
        <v>0</v>
      </c>
      <c r="BN65" s="129">
        <f t="shared" si="20"/>
        <v>0</v>
      </c>
      <c r="BO65" s="130" t="s">
        <v>130</v>
      </c>
    </row>
    <row r="66" ht="15.75" customHeight="1">
      <c r="AE66" s="35" t="s">
        <v>130</v>
      </c>
      <c r="AF66" s="34">
        <f>COUNTIFS(Errors!$I:$I,Analysis!$AE66,Errors!$D:$D,Analysis!AF$2)</f>
        <v>0</v>
      </c>
      <c r="AG66" s="34">
        <f>COUNTIFS(Errors!$I:$I,Analysis!$AE66,Errors!$D:$D,Analysis!AG$2)</f>
        <v>0</v>
      </c>
      <c r="AH66" s="34">
        <f>COUNTIFS(Errors!$I:$I,Analysis!$AE66,Errors!$D:$D,Analysis!AH$2)</f>
        <v>0</v>
      </c>
      <c r="AI66" s="34">
        <f>COUNTIFS(Errors!$I:$I,Analysis!$AE66,Errors!$D:$D,Analysis!AI$2)</f>
        <v>0</v>
      </c>
      <c r="AJ66" s="34">
        <f>COUNTIFS(Errors!$I:$I,Analysis!$AE66,Errors!$D:$D,Analysis!AJ$2)</f>
        <v>0</v>
      </c>
      <c r="AK66" s="34">
        <f>COUNTIFS(Errors!$I:$I,Analysis!$AE66,Errors!$D:$D,Analysis!AK$2)</f>
        <v>0</v>
      </c>
      <c r="AL66" s="34">
        <f>COUNTIFS(Errors!$I:$I,Analysis!$AE66,Errors!$D:$D,Analysis!AL$2)</f>
        <v>0</v>
      </c>
      <c r="AM66" s="34">
        <f>COUNTIFS(Errors!$I:$I,Analysis!$AE66,Errors!$D:$D,Analysis!AM$2)</f>
        <v>0</v>
      </c>
      <c r="AN66" s="34">
        <f>COUNTIFS(Errors!$I:$I,Analysis!$AE66,Errors!$D:$D,Analysis!AN$2)</f>
        <v>0</v>
      </c>
      <c r="AO66" s="34">
        <f>COUNTIFS(Errors!$I:$I,Analysis!$AE66,Errors!$D:$D,Analysis!AO$2)</f>
        <v>0</v>
      </c>
      <c r="AP66" s="34">
        <f>COUNTIFS(Errors!$I:$I,Analysis!$AE66,Errors!$D:$D,Analysis!AP$2)</f>
        <v>0</v>
      </c>
      <c r="AQ66" s="34">
        <f>COUNTIFS(Errors!$I:$I,Analysis!$AE66,Errors!$D:$D,Analysis!AQ$2)</f>
        <v>0</v>
      </c>
      <c r="AR66" s="34">
        <f>COUNTIFS(Errors!$I:$I,Analysis!$AE66,Errors!$D:$D,Analysis!AR$2)</f>
        <v>0</v>
      </c>
      <c r="AS66" s="34">
        <f>COUNTIFS(Errors!$I:$I,Analysis!$AE66,Errors!$D:$D,Analysis!AS$2)</f>
        <v>0</v>
      </c>
      <c r="AT66" s="34">
        <f>COUNTIFS(Errors!$I:$I,Analysis!$AE66,Errors!$D:$D,Analysis!AT$2)</f>
        <v>0</v>
      </c>
      <c r="AU66" s="34">
        <f>COUNTIFS(Errors!$I:$I,Analysis!$AE66,Errors!$D:$D,Analysis!AU$2)</f>
        <v>0</v>
      </c>
      <c r="AV66" s="34">
        <f>COUNTIFS(Errors!$I:$I,Analysis!$AE66,Errors!$D:$D,Analysis!AV$2)</f>
        <v>0</v>
      </c>
      <c r="AW66" s="34">
        <f>COUNTIFS(Errors!$I:$I,Analysis!$AE66,Errors!$D:$D,Analysis!AW$2)</f>
        <v>0</v>
      </c>
      <c r="AX66" s="34">
        <f>COUNTIFS(Errors!$I:$I,Analysis!$AE66,Errors!$D:$D,Analysis!AX$2)</f>
        <v>0</v>
      </c>
      <c r="AY66" s="34">
        <f>COUNTIFS(Errors!$I:$I,Analysis!$AE66,Errors!$D:$D,Analysis!AY$2)</f>
        <v>0</v>
      </c>
      <c r="AZ66" s="34">
        <f>COUNTIFS(Errors!$I:$I,Analysis!$AE66,Errors!$D:$D,Analysis!AZ$2)</f>
        <v>0</v>
      </c>
      <c r="BA66" s="34">
        <f>COUNTIFS(Errors!$I:$I,Analysis!$AE66,Errors!$D:$D,Analysis!BA$2)</f>
        <v>0</v>
      </c>
      <c r="BB66" s="34">
        <f>COUNTIFS(Errors!$I:$I,Analysis!$AE66,Errors!$D:$D,Analysis!BB$2)</f>
        <v>0</v>
      </c>
      <c r="BC66" s="34">
        <f>COUNTIFS(Errors!$I:$I,Analysis!$AE66,Errors!$D:$D,Analysis!BC$2)</f>
        <v>0</v>
      </c>
      <c r="BD66" s="34">
        <f>COUNTIFS(Errors!$I:$I,Analysis!$AE66,Errors!$D:$D,Analysis!BD$2)</f>
        <v>0</v>
      </c>
      <c r="BE66" s="34">
        <f>COUNTIFS(Errors!$I:$I,Analysis!$AE66,Errors!$D:$D,Analysis!BE$2)</f>
        <v>0</v>
      </c>
      <c r="BF66" s="34">
        <f>COUNTIFS(Errors!$I:$I,Analysis!$AE66,Errors!$D:$D,Analysis!BF$2)</f>
        <v>0</v>
      </c>
      <c r="BG66" s="34">
        <f>COUNTIFS(Errors!$I:$I,Analysis!$AE66,Errors!$D:$D,Analysis!BG$2)</f>
        <v>0</v>
      </c>
      <c r="BH66" s="34">
        <f>COUNTIFS(Errors!$I:$I,Analysis!$AE66,Errors!$D:$D,Analysis!BH$2)</f>
        <v>0</v>
      </c>
      <c r="BI66" s="34">
        <f>COUNTIFS(Errors!$I:$I,Analysis!$AE66,Errors!$D:$D,Analysis!BI$2)</f>
        <v>0</v>
      </c>
      <c r="BJ66" s="34">
        <f>COUNTIFS(Errors!$I:$I,Analysis!$AE66,Errors!$D:$D,Analysis!BJ$2)</f>
        <v>0</v>
      </c>
      <c r="BL66" s="39">
        <f t="shared" si="19"/>
        <v>0</v>
      </c>
      <c r="BN66" s="129">
        <f t="shared" si="20"/>
        <v>0</v>
      </c>
      <c r="BO66" s="130" t="s">
        <v>130</v>
      </c>
    </row>
    <row r="67" ht="15.75" customHeight="1">
      <c r="AE67" s="35" t="s">
        <v>130</v>
      </c>
      <c r="AF67" s="34">
        <f>COUNTIFS(Errors!$I:$I,Analysis!$AE67,Errors!$D:$D,Analysis!AF$2)</f>
        <v>0</v>
      </c>
      <c r="AG67" s="34">
        <f>COUNTIFS(Errors!$I:$I,Analysis!$AE67,Errors!$D:$D,Analysis!AG$2)</f>
        <v>0</v>
      </c>
      <c r="AH67" s="34">
        <f>COUNTIFS(Errors!$I:$I,Analysis!$AE67,Errors!$D:$D,Analysis!AH$2)</f>
        <v>0</v>
      </c>
      <c r="AI67" s="34">
        <f>COUNTIFS(Errors!$I:$I,Analysis!$AE67,Errors!$D:$D,Analysis!AI$2)</f>
        <v>0</v>
      </c>
      <c r="AJ67" s="34">
        <f>COUNTIFS(Errors!$I:$I,Analysis!$AE67,Errors!$D:$D,Analysis!AJ$2)</f>
        <v>0</v>
      </c>
      <c r="AK67" s="34">
        <f>COUNTIFS(Errors!$I:$I,Analysis!$AE67,Errors!$D:$D,Analysis!AK$2)</f>
        <v>0</v>
      </c>
      <c r="AL67" s="34">
        <f>COUNTIFS(Errors!$I:$I,Analysis!$AE67,Errors!$D:$D,Analysis!AL$2)</f>
        <v>0</v>
      </c>
      <c r="AM67" s="34">
        <f>COUNTIFS(Errors!$I:$I,Analysis!$AE67,Errors!$D:$D,Analysis!AM$2)</f>
        <v>0</v>
      </c>
      <c r="AN67" s="34">
        <f>COUNTIFS(Errors!$I:$I,Analysis!$AE67,Errors!$D:$D,Analysis!AN$2)</f>
        <v>0</v>
      </c>
      <c r="AO67" s="34">
        <f>COUNTIFS(Errors!$I:$I,Analysis!$AE67,Errors!$D:$D,Analysis!AO$2)</f>
        <v>0</v>
      </c>
      <c r="AP67" s="34">
        <f>COUNTIFS(Errors!$I:$I,Analysis!$AE67,Errors!$D:$D,Analysis!AP$2)</f>
        <v>0</v>
      </c>
      <c r="AQ67" s="34">
        <f>COUNTIFS(Errors!$I:$I,Analysis!$AE67,Errors!$D:$D,Analysis!AQ$2)</f>
        <v>0</v>
      </c>
      <c r="AR67" s="34">
        <f>COUNTIFS(Errors!$I:$I,Analysis!$AE67,Errors!$D:$D,Analysis!AR$2)</f>
        <v>0</v>
      </c>
      <c r="AS67" s="34">
        <f>COUNTIFS(Errors!$I:$I,Analysis!$AE67,Errors!$D:$D,Analysis!AS$2)</f>
        <v>0</v>
      </c>
      <c r="AT67" s="34">
        <f>COUNTIFS(Errors!$I:$I,Analysis!$AE67,Errors!$D:$D,Analysis!AT$2)</f>
        <v>0</v>
      </c>
      <c r="AU67" s="34">
        <f>COUNTIFS(Errors!$I:$I,Analysis!$AE67,Errors!$D:$D,Analysis!AU$2)</f>
        <v>0</v>
      </c>
      <c r="AV67" s="34">
        <f>COUNTIFS(Errors!$I:$I,Analysis!$AE67,Errors!$D:$D,Analysis!AV$2)</f>
        <v>0</v>
      </c>
      <c r="AW67" s="34">
        <f>COUNTIFS(Errors!$I:$I,Analysis!$AE67,Errors!$D:$D,Analysis!AW$2)</f>
        <v>0</v>
      </c>
      <c r="AX67" s="34">
        <f>COUNTIFS(Errors!$I:$I,Analysis!$AE67,Errors!$D:$D,Analysis!AX$2)</f>
        <v>0</v>
      </c>
      <c r="AY67" s="34">
        <f>COUNTIFS(Errors!$I:$I,Analysis!$AE67,Errors!$D:$D,Analysis!AY$2)</f>
        <v>0</v>
      </c>
      <c r="AZ67" s="34">
        <f>COUNTIFS(Errors!$I:$I,Analysis!$AE67,Errors!$D:$D,Analysis!AZ$2)</f>
        <v>0</v>
      </c>
      <c r="BA67" s="34">
        <f>COUNTIFS(Errors!$I:$I,Analysis!$AE67,Errors!$D:$D,Analysis!BA$2)</f>
        <v>0</v>
      </c>
      <c r="BB67" s="34">
        <f>COUNTIFS(Errors!$I:$I,Analysis!$AE67,Errors!$D:$D,Analysis!BB$2)</f>
        <v>0</v>
      </c>
      <c r="BC67" s="34">
        <f>COUNTIFS(Errors!$I:$I,Analysis!$AE67,Errors!$D:$D,Analysis!BC$2)</f>
        <v>0</v>
      </c>
      <c r="BD67" s="34">
        <f>COUNTIFS(Errors!$I:$I,Analysis!$AE67,Errors!$D:$D,Analysis!BD$2)</f>
        <v>0</v>
      </c>
      <c r="BE67" s="34">
        <f>COUNTIFS(Errors!$I:$I,Analysis!$AE67,Errors!$D:$D,Analysis!BE$2)</f>
        <v>0</v>
      </c>
      <c r="BF67" s="34">
        <f>COUNTIFS(Errors!$I:$I,Analysis!$AE67,Errors!$D:$D,Analysis!BF$2)</f>
        <v>0</v>
      </c>
      <c r="BG67" s="34">
        <f>COUNTIFS(Errors!$I:$I,Analysis!$AE67,Errors!$D:$D,Analysis!BG$2)</f>
        <v>0</v>
      </c>
      <c r="BH67" s="34">
        <f>COUNTIFS(Errors!$I:$I,Analysis!$AE67,Errors!$D:$D,Analysis!BH$2)</f>
        <v>0</v>
      </c>
      <c r="BI67" s="34">
        <f>COUNTIFS(Errors!$I:$I,Analysis!$AE67,Errors!$D:$D,Analysis!BI$2)</f>
        <v>0</v>
      </c>
      <c r="BJ67" s="34">
        <f>COUNTIFS(Errors!$I:$I,Analysis!$AE67,Errors!$D:$D,Analysis!BJ$2)</f>
        <v>0</v>
      </c>
      <c r="BL67" s="39">
        <f t="shared" si="19"/>
        <v>0</v>
      </c>
      <c r="BN67" s="129">
        <f t="shared" si="20"/>
        <v>0</v>
      </c>
      <c r="BO67" s="130" t="s">
        <v>130</v>
      </c>
    </row>
    <row r="68" ht="15.75" customHeight="1">
      <c r="AE68" s="35" t="s">
        <v>139</v>
      </c>
      <c r="AF68" s="34">
        <f>COUNTIFS(Errors!$I:$I,Analysis!$AE68,Errors!$D:$D,Analysis!AF$2)</f>
        <v>0</v>
      </c>
      <c r="AG68" s="34">
        <f>COUNTIFS(Errors!$I:$I,Analysis!$AE68,Errors!$D:$D,Analysis!AG$2)</f>
        <v>0</v>
      </c>
      <c r="AH68" s="34">
        <f>COUNTIFS(Errors!$I:$I,Analysis!$AE68,Errors!$D:$D,Analysis!AH$2)</f>
        <v>0</v>
      </c>
      <c r="AI68" s="34">
        <f>COUNTIFS(Errors!$I:$I,Analysis!$AE68,Errors!$D:$D,Analysis!AI$2)</f>
        <v>0</v>
      </c>
      <c r="AJ68" s="34">
        <f>COUNTIFS(Errors!$I:$I,Analysis!$AE68,Errors!$D:$D,Analysis!AJ$2)</f>
        <v>0</v>
      </c>
      <c r="AK68" s="34">
        <f>COUNTIFS(Errors!$I:$I,Analysis!$AE68,Errors!$D:$D,Analysis!AK$2)</f>
        <v>0</v>
      </c>
      <c r="AL68" s="34">
        <f>COUNTIFS(Errors!$I:$I,Analysis!$AE68,Errors!$D:$D,Analysis!AL$2)</f>
        <v>0</v>
      </c>
      <c r="AM68" s="34">
        <f>COUNTIFS(Errors!$I:$I,Analysis!$AE68,Errors!$D:$D,Analysis!AM$2)</f>
        <v>0</v>
      </c>
      <c r="AN68" s="34">
        <f>COUNTIFS(Errors!$I:$I,Analysis!$AE68,Errors!$D:$D,Analysis!AN$2)</f>
        <v>0</v>
      </c>
      <c r="AO68" s="34">
        <f>COUNTIFS(Errors!$I:$I,Analysis!$AE68,Errors!$D:$D,Analysis!AO$2)</f>
        <v>0</v>
      </c>
      <c r="AP68" s="34">
        <f>COUNTIFS(Errors!$I:$I,Analysis!$AE68,Errors!$D:$D,Analysis!AP$2)</f>
        <v>0</v>
      </c>
      <c r="AQ68" s="34">
        <f>COUNTIFS(Errors!$I:$I,Analysis!$AE68,Errors!$D:$D,Analysis!AQ$2)</f>
        <v>0</v>
      </c>
      <c r="AR68" s="34">
        <f>COUNTIFS(Errors!$I:$I,Analysis!$AE68,Errors!$D:$D,Analysis!AR$2)</f>
        <v>0</v>
      </c>
      <c r="AS68" s="34">
        <f>COUNTIFS(Errors!$I:$I,Analysis!$AE68,Errors!$D:$D,Analysis!AS$2)</f>
        <v>0</v>
      </c>
      <c r="AT68" s="34">
        <f>COUNTIFS(Errors!$I:$I,Analysis!$AE68,Errors!$D:$D,Analysis!AT$2)</f>
        <v>0</v>
      </c>
      <c r="AU68" s="34">
        <f>COUNTIFS(Errors!$I:$I,Analysis!$AE68,Errors!$D:$D,Analysis!AU$2)</f>
        <v>0</v>
      </c>
      <c r="AV68" s="34">
        <f>COUNTIFS(Errors!$I:$I,Analysis!$AE68,Errors!$D:$D,Analysis!AV$2)</f>
        <v>0</v>
      </c>
      <c r="AW68" s="34">
        <f>COUNTIFS(Errors!$I:$I,Analysis!$AE68,Errors!$D:$D,Analysis!AW$2)</f>
        <v>0</v>
      </c>
      <c r="AX68" s="34">
        <f>COUNTIFS(Errors!$I:$I,Analysis!$AE68,Errors!$D:$D,Analysis!AX$2)</f>
        <v>0</v>
      </c>
      <c r="AY68" s="34">
        <f>COUNTIFS(Errors!$I:$I,Analysis!$AE68,Errors!$D:$D,Analysis!AY$2)</f>
        <v>0</v>
      </c>
      <c r="AZ68" s="34">
        <f>COUNTIFS(Errors!$I:$I,Analysis!$AE68,Errors!$D:$D,Analysis!AZ$2)</f>
        <v>0</v>
      </c>
      <c r="BA68" s="34">
        <f>COUNTIFS(Errors!$I:$I,Analysis!$AE68,Errors!$D:$D,Analysis!BA$2)</f>
        <v>0</v>
      </c>
      <c r="BB68" s="34">
        <f>COUNTIFS(Errors!$I:$I,Analysis!$AE68,Errors!$D:$D,Analysis!BB$2)</f>
        <v>0</v>
      </c>
      <c r="BC68" s="34">
        <f>COUNTIFS(Errors!$I:$I,Analysis!$AE68,Errors!$D:$D,Analysis!BC$2)</f>
        <v>0</v>
      </c>
      <c r="BD68" s="34">
        <f>COUNTIFS(Errors!$I:$I,Analysis!$AE68,Errors!$D:$D,Analysis!BD$2)</f>
        <v>0</v>
      </c>
      <c r="BE68" s="34">
        <f>COUNTIFS(Errors!$I:$I,Analysis!$AE68,Errors!$D:$D,Analysis!BE$2)</f>
        <v>0</v>
      </c>
      <c r="BF68" s="34">
        <f>COUNTIFS(Errors!$I:$I,Analysis!$AE68,Errors!$D:$D,Analysis!BF$2)</f>
        <v>0</v>
      </c>
      <c r="BG68" s="34">
        <f>COUNTIFS(Errors!$I:$I,Analysis!$AE68,Errors!$D:$D,Analysis!BG$2)</f>
        <v>0</v>
      </c>
      <c r="BH68" s="34">
        <f>COUNTIFS(Errors!$I:$I,Analysis!$AE68,Errors!$D:$D,Analysis!BH$2)</f>
        <v>0</v>
      </c>
      <c r="BI68" s="34">
        <f>COUNTIFS(Errors!$I:$I,Analysis!$AE68,Errors!$D:$D,Analysis!BI$2)</f>
        <v>0</v>
      </c>
      <c r="BJ68" s="34">
        <f>COUNTIFS(Errors!$I:$I,Analysis!$AE68,Errors!$D:$D,Analysis!BJ$2)</f>
        <v>0</v>
      </c>
      <c r="BL68" s="39">
        <f t="shared" si="19"/>
        <v>0</v>
      </c>
      <c r="BN68" s="129">
        <f t="shared" si="20"/>
        <v>0</v>
      </c>
      <c r="BO68" s="130" t="s">
        <v>139</v>
      </c>
    </row>
    <row r="69" ht="15.75" customHeight="1">
      <c r="AE69" s="35" t="s">
        <v>142</v>
      </c>
      <c r="AF69" s="34">
        <f>COUNTIFS(Errors!$I:$I,Analysis!$AE69,Errors!$D:$D,Analysis!AF$2)</f>
        <v>0</v>
      </c>
      <c r="AG69" s="34">
        <f>COUNTIFS(Errors!$I:$I,Analysis!$AE69,Errors!$D:$D,Analysis!AG$2)</f>
        <v>0</v>
      </c>
      <c r="AH69" s="34">
        <f>COUNTIFS(Errors!$I:$I,Analysis!$AE69,Errors!$D:$D,Analysis!AH$2)</f>
        <v>0</v>
      </c>
      <c r="AI69" s="34">
        <f>COUNTIFS(Errors!$I:$I,Analysis!$AE69,Errors!$D:$D,Analysis!AI$2)</f>
        <v>0</v>
      </c>
      <c r="AJ69" s="34">
        <f>COUNTIFS(Errors!$I:$I,Analysis!$AE69,Errors!$D:$D,Analysis!AJ$2)</f>
        <v>0</v>
      </c>
      <c r="AK69" s="34">
        <f>COUNTIFS(Errors!$I:$I,Analysis!$AE69,Errors!$D:$D,Analysis!AK$2)</f>
        <v>0</v>
      </c>
      <c r="AL69" s="34">
        <f>COUNTIFS(Errors!$I:$I,Analysis!$AE69,Errors!$D:$D,Analysis!AL$2)</f>
        <v>0</v>
      </c>
      <c r="AM69" s="34">
        <f>COUNTIFS(Errors!$I:$I,Analysis!$AE69,Errors!$D:$D,Analysis!AM$2)</f>
        <v>0</v>
      </c>
      <c r="AN69" s="34">
        <f>COUNTIFS(Errors!$I:$I,Analysis!$AE69,Errors!$D:$D,Analysis!AN$2)</f>
        <v>0</v>
      </c>
      <c r="AO69" s="34">
        <f>COUNTIFS(Errors!$I:$I,Analysis!$AE69,Errors!$D:$D,Analysis!AO$2)</f>
        <v>0</v>
      </c>
      <c r="AP69" s="34">
        <f>COUNTIFS(Errors!$I:$I,Analysis!$AE69,Errors!$D:$D,Analysis!AP$2)</f>
        <v>0</v>
      </c>
      <c r="AQ69" s="34">
        <f>COUNTIFS(Errors!$I:$I,Analysis!$AE69,Errors!$D:$D,Analysis!AQ$2)</f>
        <v>0</v>
      </c>
      <c r="AR69" s="34">
        <f>COUNTIFS(Errors!$I:$I,Analysis!$AE69,Errors!$D:$D,Analysis!AR$2)</f>
        <v>0</v>
      </c>
      <c r="AS69" s="34">
        <f>COUNTIFS(Errors!$I:$I,Analysis!$AE69,Errors!$D:$D,Analysis!AS$2)</f>
        <v>0</v>
      </c>
      <c r="AT69" s="34">
        <f>COUNTIFS(Errors!$I:$I,Analysis!$AE69,Errors!$D:$D,Analysis!AT$2)</f>
        <v>0</v>
      </c>
      <c r="AU69" s="34">
        <f>COUNTIFS(Errors!$I:$I,Analysis!$AE69,Errors!$D:$D,Analysis!AU$2)</f>
        <v>0</v>
      </c>
      <c r="AV69" s="34">
        <f>COUNTIFS(Errors!$I:$I,Analysis!$AE69,Errors!$D:$D,Analysis!AV$2)</f>
        <v>0</v>
      </c>
      <c r="AW69" s="34">
        <f>COUNTIFS(Errors!$I:$I,Analysis!$AE69,Errors!$D:$D,Analysis!AW$2)</f>
        <v>0</v>
      </c>
      <c r="AX69" s="34">
        <f>COUNTIFS(Errors!$I:$I,Analysis!$AE69,Errors!$D:$D,Analysis!AX$2)</f>
        <v>0</v>
      </c>
      <c r="AY69" s="34">
        <f>COUNTIFS(Errors!$I:$I,Analysis!$AE69,Errors!$D:$D,Analysis!AY$2)</f>
        <v>0</v>
      </c>
      <c r="AZ69" s="34">
        <f>COUNTIFS(Errors!$I:$I,Analysis!$AE69,Errors!$D:$D,Analysis!AZ$2)</f>
        <v>0</v>
      </c>
      <c r="BA69" s="34">
        <f>COUNTIFS(Errors!$I:$I,Analysis!$AE69,Errors!$D:$D,Analysis!BA$2)</f>
        <v>0</v>
      </c>
      <c r="BB69" s="34">
        <f>COUNTIFS(Errors!$I:$I,Analysis!$AE69,Errors!$D:$D,Analysis!BB$2)</f>
        <v>0</v>
      </c>
      <c r="BC69" s="34">
        <f>COUNTIFS(Errors!$I:$I,Analysis!$AE69,Errors!$D:$D,Analysis!BC$2)</f>
        <v>0</v>
      </c>
      <c r="BD69" s="34">
        <f>COUNTIFS(Errors!$I:$I,Analysis!$AE69,Errors!$D:$D,Analysis!BD$2)</f>
        <v>0</v>
      </c>
      <c r="BE69" s="34">
        <f>COUNTIFS(Errors!$I:$I,Analysis!$AE69,Errors!$D:$D,Analysis!BE$2)</f>
        <v>0</v>
      </c>
      <c r="BF69" s="34">
        <f>COUNTIFS(Errors!$I:$I,Analysis!$AE69,Errors!$D:$D,Analysis!BF$2)</f>
        <v>0</v>
      </c>
      <c r="BG69" s="34">
        <f>COUNTIFS(Errors!$I:$I,Analysis!$AE69,Errors!$D:$D,Analysis!BG$2)</f>
        <v>0</v>
      </c>
      <c r="BH69" s="34">
        <f>COUNTIFS(Errors!$I:$I,Analysis!$AE69,Errors!$D:$D,Analysis!BH$2)</f>
        <v>0</v>
      </c>
      <c r="BI69" s="34">
        <f>COUNTIFS(Errors!$I:$I,Analysis!$AE69,Errors!$D:$D,Analysis!BI$2)</f>
        <v>0</v>
      </c>
      <c r="BJ69" s="34">
        <f>COUNTIFS(Errors!$I:$I,Analysis!$AE69,Errors!$D:$D,Analysis!BJ$2)</f>
        <v>0</v>
      </c>
      <c r="BL69" s="39">
        <f t="shared" si="19"/>
        <v>0</v>
      </c>
      <c r="BN69" s="129">
        <f t="shared" si="20"/>
        <v>0</v>
      </c>
      <c r="BO69" s="130" t="s">
        <v>142</v>
      </c>
    </row>
    <row r="70" ht="15.75" customHeight="1">
      <c r="AE70" s="35" t="s">
        <v>146</v>
      </c>
      <c r="AF70" s="34">
        <f>COUNTIFS(Errors!$I:$I,Analysis!$AE70,Errors!$D:$D,Analysis!AF$2)</f>
        <v>0</v>
      </c>
      <c r="AG70" s="34">
        <f>COUNTIFS(Errors!$I:$I,Analysis!$AE70,Errors!$D:$D,Analysis!AG$2)</f>
        <v>0</v>
      </c>
      <c r="AH70" s="34">
        <f>COUNTIFS(Errors!$I:$I,Analysis!$AE70,Errors!$D:$D,Analysis!AH$2)</f>
        <v>0</v>
      </c>
      <c r="AI70" s="34">
        <f>COUNTIFS(Errors!$I:$I,Analysis!$AE70,Errors!$D:$D,Analysis!AI$2)</f>
        <v>0</v>
      </c>
      <c r="AJ70" s="34">
        <f>COUNTIFS(Errors!$I:$I,Analysis!$AE70,Errors!$D:$D,Analysis!AJ$2)</f>
        <v>0</v>
      </c>
      <c r="AK70" s="34">
        <f>COUNTIFS(Errors!$I:$I,Analysis!$AE70,Errors!$D:$D,Analysis!AK$2)</f>
        <v>0</v>
      </c>
      <c r="AL70" s="34">
        <f>COUNTIFS(Errors!$I:$I,Analysis!$AE70,Errors!$D:$D,Analysis!AL$2)</f>
        <v>0</v>
      </c>
      <c r="AM70" s="34">
        <f>COUNTIFS(Errors!$I:$I,Analysis!$AE70,Errors!$D:$D,Analysis!AM$2)</f>
        <v>0</v>
      </c>
      <c r="AN70" s="34">
        <f>COUNTIFS(Errors!$I:$I,Analysis!$AE70,Errors!$D:$D,Analysis!AN$2)</f>
        <v>0</v>
      </c>
      <c r="AO70" s="34">
        <f>COUNTIFS(Errors!$I:$I,Analysis!$AE70,Errors!$D:$D,Analysis!AO$2)</f>
        <v>0</v>
      </c>
      <c r="AP70" s="34">
        <f>COUNTIFS(Errors!$I:$I,Analysis!$AE70,Errors!$D:$D,Analysis!AP$2)</f>
        <v>0</v>
      </c>
      <c r="AQ70" s="34">
        <f>COUNTIFS(Errors!$I:$I,Analysis!$AE70,Errors!$D:$D,Analysis!AQ$2)</f>
        <v>0</v>
      </c>
      <c r="AR70" s="34">
        <f>COUNTIFS(Errors!$I:$I,Analysis!$AE70,Errors!$D:$D,Analysis!AR$2)</f>
        <v>0</v>
      </c>
      <c r="AS70" s="34">
        <f>COUNTIFS(Errors!$I:$I,Analysis!$AE70,Errors!$D:$D,Analysis!AS$2)</f>
        <v>0</v>
      </c>
      <c r="AT70" s="34">
        <f>COUNTIFS(Errors!$I:$I,Analysis!$AE70,Errors!$D:$D,Analysis!AT$2)</f>
        <v>0</v>
      </c>
      <c r="AU70" s="34">
        <f>COUNTIFS(Errors!$I:$I,Analysis!$AE70,Errors!$D:$D,Analysis!AU$2)</f>
        <v>0</v>
      </c>
      <c r="AV70" s="34">
        <f>COUNTIFS(Errors!$I:$I,Analysis!$AE70,Errors!$D:$D,Analysis!AV$2)</f>
        <v>0</v>
      </c>
      <c r="AW70" s="34">
        <f>COUNTIFS(Errors!$I:$I,Analysis!$AE70,Errors!$D:$D,Analysis!AW$2)</f>
        <v>0</v>
      </c>
      <c r="AX70" s="34">
        <f>COUNTIFS(Errors!$I:$I,Analysis!$AE70,Errors!$D:$D,Analysis!AX$2)</f>
        <v>0</v>
      </c>
      <c r="AY70" s="34">
        <f>COUNTIFS(Errors!$I:$I,Analysis!$AE70,Errors!$D:$D,Analysis!AY$2)</f>
        <v>0</v>
      </c>
      <c r="AZ70" s="34">
        <f>COUNTIFS(Errors!$I:$I,Analysis!$AE70,Errors!$D:$D,Analysis!AZ$2)</f>
        <v>0</v>
      </c>
      <c r="BA70" s="34">
        <f>COUNTIFS(Errors!$I:$I,Analysis!$AE70,Errors!$D:$D,Analysis!BA$2)</f>
        <v>0</v>
      </c>
      <c r="BB70" s="34">
        <f>COUNTIFS(Errors!$I:$I,Analysis!$AE70,Errors!$D:$D,Analysis!BB$2)</f>
        <v>0</v>
      </c>
      <c r="BC70" s="34">
        <f>COUNTIFS(Errors!$I:$I,Analysis!$AE70,Errors!$D:$D,Analysis!BC$2)</f>
        <v>0</v>
      </c>
      <c r="BD70" s="34">
        <f>COUNTIFS(Errors!$I:$I,Analysis!$AE70,Errors!$D:$D,Analysis!BD$2)</f>
        <v>0</v>
      </c>
      <c r="BE70" s="34">
        <f>COUNTIFS(Errors!$I:$I,Analysis!$AE70,Errors!$D:$D,Analysis!BE$2)</f>
        <v>0</v>
      </c>
      <c r="BF70" s="34">
        <f>COUNTIFS(Errors!$I:$I,Analysis!$AE70,Errors!$D:$D,Analysis!BF$2)</f>
        <v>0</v>
      </c>
      <c r="BG70" s="34">
        <f>COUNTIFS(Errors!$I:$I,Analysis!$AE70,Errors!$D:$D,Analysis!BG$2)</f>
        <v>0</v>
      </c>
      <c r="BH70" s="34">
        <f>COUNTIFS(Errors!$I:$I,Analysis!$AE70,Errors!$D:$D,Analysis!BH$2)</f>
        <v>0</v>
      </c>
      <c r="BI70" s="34">
        <f>COUNTIFS(Errors!$I:$I,Analysis!$AE70,Errors!$D:$D,Analysis!BI$2)</f>
        <v>0</v>
      </c>
      <c r="BJ70" s="34">
        <f>COUNTIFS(Errors!$I:$I,Analysis!$AE70,Errors!$D:$D,Analysis!BJ$2)</f>
        <v>0</v>
      </c>
      <c r="BL70" s="39">
        <f t="shared" si="19"/>
        <v>0</v>
      </c>
      <c r="BN70" s="129">
        <f t="shared" si="20"/>
        <v>0</v>
      </c>
      <c r="BO70" s="130" t="s">
        <v>146</v>
      </c>
    </row>
    <row r="71" ht="15.75" customHeight="1">
      <c r="AE71" s="35" t="s">
        <v>150</v>
      </c>
      <c r="AF71" s="34">
        <f>COUNTIFS(Errors!$I:$I,Analysis!$AE71,Errors!$D:$D,Analysis!AF$2)</f>
        <v>0</v>
      </c>
      <c r="AG71" s="34">
        <f>COUNTIFS(Errors!$I:$I,Analysis!$AE71,Errors!$D:$D,Analysis!AG$2)</f>
        <v>0</v>
      </c>
      <c r="AH71" s="34">
        <f>COUNTIFS(Errors!$I:$I,Analysis!$AE71,Errors!$D:$D,Analysis!AH$2)</f>
        <v>0</v>
      </c>
      <c r="AI71" s="34">
        <f>COUNTIFS(Errors!$I:$I,Analysis!$AE71,Errors!$D:$D,Analysis!AI$2)</f>
        <v>0</v>
      </c>
      <c r="AJ71" s="34">
        <f>COUNTIFS(Errors!$I:$I,Analysis!$AE71,Errors!$D:$D,Analysis!AJ$2)</f>
        <v>0</v>
      </c>
      <c r="AK71" s="34">
        <f>COUNTIFS(Errors!$I:$I,Analysis!$AE71,Errors!$D:$D,Analysis!AK$2)</f>
        <v>0</v>
      </c>
      <c r="AL71" s="34">
        <f>COUNTIFS(Errors!$I:$I,Analysis!$AE71,Errors!$D:$D,Analysis!AL$2)</f>
        <v>0</v>
      </c>
      <c r="AM71" s="34">
        <f>COUNTIFS(Errors!$I:$I,Analysis!$AE71,Errors!$D:$D,Analysis!AM$2)</f>
        <v>0</v>
      </c>
      <c r="AN71" s="34">
        <f>COUNTIFS(Errors!$I:$I,Analysis!$AE71,Errors!$D:$D,Analysis!AN$2)</f>
        <v>0</v>
      </c>
      <c r="AO71" s="34">
        <f>COUNTIFS(Errors!$I:$I,Analysis!$AE71,Errors!$D:$D,Analysis!AO$2)</f>
        <v>0</v>
      </c>
      <c r="AP71" s="34">
        <f>COUNTIFS(Errors!$I:$I,Analysis!$AE71,Errors!$D:$D,Analysis!AP$2)</f>
        <v>0</v>
      </c>
      <c r="AQ71" s="34">
        <f>COUNTIFS(Errors!$I:$I,Analysis!$AE71,Errors!$D:$D,Analysis!AQ$2)</f>
        <v>0</v>
      </c>
      <c r="AR71" s="34">
        <f>COUNTIFS(Errors!$I:$I,Analysis!$AE71,Errors!$D:$D,Analysis!AR$2)</f>
        <v>0</v>
      </c>
      <c r="AS71" s="34">
        <f>COUNTIFS(Errors!$I:$I,Analysis!$AE71,Errors!$D:$D,Analysis!AS$2)</f>
        <v>0</v>
      </c>
      <c r="AT71" s="34">
        <f>COUNTIFS(Errors!$I:$I,Analysis!$AE71,Errors!$D:$D,Analysis!AT$2)</f>
        <v>0</v>
      </c>
      <c r="AU71" s="34">
        <f>COUNTIFS(Errors!$I:$I,Analysis!$AE71,Errors!$D:$D,Analysis!AU$2)</f>
        <v>0</v>
      </c>
      <c r="AV71" s="34">
        <f>COUNTIFS(Errors!$I:$I,Analysis!$AE71,Errors!$D:$D,Analysis!AV$2)</f>
        <v>0</v>
      </c>
      <c r="AW71" s="34">
        <f>COUNTIFS(Errors!$I:$I,Analysis!$AE71,Errors!$D:$D,Analysis!AW$2)</f>
        <v>0</v>
      </c>
      <c r="AX71" s="34">
        <f>COUNTIFS(Errors!$I:$I,Analysis!$AE71,Errors!$D:$D,Analysis!AX$2)</f>
        <v>0</v>
      </c>
      <c r="AY71" s="34">
        <f>COUNTIFS(Errors!$I:$I,Analysis!$AE71,Errors!$D:$D,Analysis!AY$2)</f>
        <v>0</v>
      </c>
      <c r="AZ71" s="34">
        <f>COUNTIFS(Errors!$I:$I,Analysis!$AE71,Errors!$D:$D,Analysis!AZ$2)</f>
        <v>0</v>
      </c>
      <c r="BA71" s="34">
        <f>COUNTIFS(Errors!$I:$I,Analysis!$AE71,Errors!$D:$D,Analysis!BA$2)</f>
        <v>0</v>
      </c>
      <c r="BB71" s="34">
        <f>COUNTIFS(Errors!$I:$I,Analysis!$AE71,Errors!$D:$D,Analysis!BB$2)</f>
        <v>0</v>
      </c>
      <c r="BC71" s="34">
        <f>COUNTIFS(Errors!$I:$I,Analysis!$AE71,Errors!$D:$D,Analysis!BC$2)</f>
        <v>0</v>
      </c>
      <c r="BD71" s="34">
        <f>COUNTIFS(Errors!$I:$I,Analysis!$AE71,Errors!$D:$D,Analysis!BD$2)</f>
        <v>0</v>
      </c>
      <c r="BE71" s="34">
        <f>COUNTIFS(Errors!$I:$I,Analysis!$AE71,Errors!$D:$D,Analysis!BE$2)</f>
        <v>0</v>
      </c>
      <c r="BF71" s="34">
        <f>COUNTIFS(Errors!$I:$I,Analysis!$AE71,Errors!$D:$D,Analysis!BF$2)</f>
        <v>0</v>
      </c>
      <c r="BG71" s="34">
        <f>COUNTIFS(Errors!$I:$I,Analysis!$AE71,Errors!$D:$D,Analysis!BG$2)</f>
        <v>0</v>
      </c>
      <c r="BH71" s="34">
        <f>COUNTIFS(Errors!$I:$I,Analysis!$AE71,Errors!$D:$D,Analysis!BH$2)</f>
        <v>0</v>
      </c>
      <c r="BI71" s="34">
        <f>COUNTIFS(Errors!$I:$I,Analysis!$AE71,Errors!$D:$D,Analysis!BI$2)</f>
        <v>0</v>
      </c>
      <c r="BJ71" s="34">
        <f>COUNTIFS(Errors!$I:$I,Analysis!$AE71,Errors!$D:$D,Analysis!BJ$2)</f>
        <v>0</v>
      </c>
      <c r="BL71" s="39">
        <f t="shared" si="19"/>
        <v>0</v>
      </c>
      <c r="BN71" s="129">
        <f t="shared" si="20"/>
        <v>0</v>
      </c>
      <c r="BO71" s="130" t="s">
        <v>150</v>
      </c>
    </row>
    <row r="72" ht="15.75" customHeight="1">
      <c r="AE72" s="35" t="s">
        <v>154</v>
      </c>
      <c r="AF72" s="34">
        <f>COUNTIFS(Errors!$I:$I,Analysis!$AE72,Errors!$D:$D,Analysis!AF$2)</f>
        <v>0</v>
      </c>
      <c r="AG72" s="34">
        <f>COUNTIFS(Errors!$I:$I,Analysis!$AE72,Errors!$D:$D,Analysis!AG$2)</f>
        <v>0</v>
      </c>
      <c r="AH72" s="34">
        <f>COUNTIFS(Errors!$I:$I,Analysis!$AE72,Errors!$D:$D,Analysis!AH$2)</f>
        <v>0</v>
      </c>
      <c r="AI72" s="34">
        <f>COUNTIFS(Errors!$I:$I,Analysis!$AE72,Errors!$D:$D,Analysis!AI$2)</f>
        <v>0</v>
      </c>
      <c r="AJ72" s="34">
        <f>COUNTIFS(Errors!$I:$I,Analysis!$AE72,Errors!$D:$D,Analysis!AJ$2)</f>
        <v>0</v>
      </c>
      <c r="AK72" s="34">
        <f>COUNTIFS(Errors!$I:$I,Analysis!$AE72,Errors!$D:$D,Analysis!AK$2)</f>
        <v>0</v>
      </c>
      <c r="AL72" s="34">
        <f>COUNTIFS(Errors!$I:$I,Analysis!$AE72,Errors!$D:$D,Analysis!AL$2)</f>
        <v>0</v>
      </c>
      <c r="AM72" s="34">
        <f>COUNTIFS(Errors!$I:$I,Analysis!$AE72,Errors!$D:$D,Analysis!AM$2)</f>
        <v>0</v>
      </c>
      <c r="AN72" s="34">
        <f>COUNTIFS(Errors!$I:$I,Analysis!$AE72,Errors!$D:$D,Analysis!AN$2)</f>
        <v>0</v>
      </c>
      <c r="AO72" s="34">
        <f>COUNTIFS(Errors!$I:$I,Analysis!$AE72,Errors!$D:$D,Analysis!AO$2)</f>
        <v>0</v>
      </c>
      <c r="AP72" s="34">
        <f>COUNTIFS(Errors!$I:$I,Analysis!$AE72,Errors!$D:$D,Analysis!AP$2)</f>
        <v>0</v>
      </c>
      <c r="AQ72" s="34">
        <f>COUNTIFS(Errors!$I:$I,Analysis!$AE72,Errors!$D:$D,Analysis!AQ$2)</f>
        <v>0</v>
      </c>
      <c r="AR72" s="34">
        <f>COUNTIFS(Errors!$I:$I,Analysis!$AE72,Errors!$D:$D,Analysis!AR$2)</f>
        <v>0</v>
      </c>
      <c r="AS72" s="34">
        <f>COUNTIFS(Errors!$I:$I,Analysis!$AE72,Errors!$D:$D,Analysis!AS$2)</f>
        <v>0</v>
      </c>
      <c r="AT72" s="34">
        <f>COUNTIFS(Errors!$I:$I,Analysis!$AE72,Errors!$D:$D,Analysis!AT$2)</f>
        <v>0</v>
      </c>
      <c r="AU72" s="34">
        <f>COUNTIFS(Errors!$I:$I,Analysis!$AE72,Errors!$D:$D,Analysis!AU$2)</f>
        <v>0</v>
      </c>
      <c r="AV72" s="34">
        <f>COUNTIFS(Errors!$I:$I,Analysis!$AE72,Errors!$D:$D,Analysis!AV$2)</f>
        <v>0</v>
      </c>
      <c r="AW72" s="34">
        <f>COUNTIFS(Errors!$I:$I,Analysis!$AE72,Errors!$D:$D,Analysis!AW$2)</f>
        <v>0</v>
      </c>
      <c r="AX72" s="34">
        <f>COUNTIFS(Errors!$I:$I,Analysis!$AE72,Errors!$D:$D,Analysis!AX$2)</f>
        <v>0</v>
      </c>
      <c r="AY72" s="34">
        <f>COUNTIFS(Errors!$I:$I,Analysis!$AE72,Errors!$D:$D,Analysis!AY$2)</f>
        <v>0</v>
      </c>
      <c r="AZ72" s="34">
        <f>COUNTIFS(Errors!$I:$I,Analysis!$AE72,Errors!$D:$D,Analysis!AZ$2)</f>
        <v>0</v>
      </c>
      <c r="BA72" s="34">
        <f>COUNTIFS(Errors!$I:$I,Analysis!$AE72,Errors!$D:$D,Analysis!BA$2)</f>
        <v>0</v>
      </c>
      <c r="BB72" s="34">
        <f>COUNTIFS(Errors!$I:$I,Analysis!$AE72,Errors!$D:$D,Analysis!BB$2)</f>
        <v>0</v>
      </c>
      <c r="BC72" s="34">
        <f>COUNTIFS(Errors!$I:$I,Analysis!$AE72,Errors!$D:$D,Analysis!BC$2)</f>
        <v>0</v>
      </c>
      <c r="BD72" s="34">
        <f>COUNTIFS(Errors!$I:$I,Analysis!$AE72,Errors!$D:$D,Analysis!BD$2)</f>
        <v>0</v>
      </c>
      <c r="BE72" s="34">
        <f>COUNTIFS(Errors!$I:$I,Analysis!$AE72,Errors!$D:$D,Analysis!BE$2)</f>
        <v>0</v>
      </c>
      <c r="BF72" s="34">
        <f>COUNTIFS(Errors!$I:$I,Analysis!$AE72,Errors!$D:$D,Analysis!BF$2)</f>
        <v>0</v>
      </c>
      <c r="BG72" s="34">
        <f>COUNTIFS(Errors!$I:$I,Analysis!$AE72,Errors!$D:$D,Analysis!BG$2)</f>
        <v>0</v>
      </c>
      <c r="BH72" s="34">
        <f>COUNTIFS(Errors!$I:$I,Analysis!$AE72,Errors!$D:$D,Analysis!BH$2)</f>
        <v>0</v>
      </c>
      <c r="BI72" s="34">
        <f>COUNTIFS(Errors!$I:$I,Analysis!$AE72,Errors!$D:$D,Analysis!BI$2)</f>
        <v>0</v>
      </c>
      <c r="BJ72" s="34">
        <f>COUNTIFS(Errors!$I:$I,Analysis!$AE72,Errors!$D:$D,Analysis!BJ$2)</f>
        <v>0</v>
      </c>
      <c r="BL72" s="39">
        <f t="shared" si="19"/>
        <v>0</v>
      </c>
      <c r="BN72" s="129">
        <f t="shared" si="20"/>
        <v>0</v>
      </c>
      <c r="BO72" s="130" t="s">
        <v>154</v>
      </c>
    </row>
    <row r="73" ht="15.75" customHeight="1">
      <c r="AE73" s="35" t="s">
        <v>158</v>
      </c>
      <c r="AF73" s="34">
        <f>COUNTIFS(Errors!$I:$I,Analysis!$AE73,Errors!$D:$D,Analysis!AF$2)</f>
        <v>0</v>
      </c>
      <c r="AG73" s="34">
        <f>COUNTIFS(Errors!$I:$I,Analysis!$AE73,Errors!$D:$D,Analysis!AG$2)</f>
        <v>0</v>
      </c>
      <c r="AH73" s="34">
        <f>COUNTIFS(Errors!$I:$I,Analysis!$AE73,Errors!$D:$D,Analysis!AH$2)</f>
        <v>0</v>
      </c>
      <c r="AI73" s="34">
        <f>COUNTIFS(Errors!$I:$I,Analysis!$AE73,Errors!$D:$D,Analysis!AI$2)</f>
        <v>0</v>
      </c>
      <c r="AJ73" s="34">
        <f>COUNTIFS(Errors!$I:$I,Analysis!$AE73,Errors!$D:$D,Analysis!AJ$2)</f>
        <v>0</v>
      </c>
      <c r="AK73" s="34">
        <f>COUNTIFS(Errors!$I:$I,Analysis!$AE73,Errors!$D:$D,Analysis!AK$2)</f>
        <v>0</v>
      </c>
      <c r="AL73" s="34">
        <f>COUNTIFS(Errors!$I:$I,Analysis!$AE73,Errors!$D:$D,Analysis!AL$2)</f>
        <v>0</v>
      </c>
      <c r="AM73" s="34">
        <f>COUNTIFS(Errors!$I:$I,Analysis!$AE73,Errors!$D:$D,Analysis!AM$2)</f>
        <v>0</v>
      </c>
      <c r="AN73" s="34">
        <f>COUNTIFS(Errors!$I:$I,Analysis!$AE73,Errors!$D:$D,Analysis!AN$2)</f>
        <v>0</v>
      </c>
      <c r="AO73" s="34">
        <f>COUNTIFS(Errors!$I:$I,Analysis!$AE73,Errors!$D:$D,Analysis!AO$2)</f>
        <v>0</v>
      </c>
      <c r="AP73" s="34">
        <f>COUNTIFS(Errors!$I:$I,Analysis!$AE73,Errors!$D:$D,Analysis!AP$2)</f>
        <v>0</v>
      </c>
      <c r="AQ73" s="34">
        <f>COUNTIFS(Errors!$I:$I,Analysis!$AE73,Errors!$D:$D,Analysis!AQ$2)</f>
        <v>0</v>
      </c>
      <c r="AR73" s="34">
        <f>COUNTIFS(Errors!$I:$I,Analysis!$AE73,Errors!$D:$D,Analysis!AR$2)</f>
        <v>0</v>
      </c>
      <c r="AS73" s="34">
        <f>COUNTIFS(Errors!$I:$I,Analysis!$AE73,Errors!$D:$D,Analysis!AS$2)</f>
        <v>0</v>
      </c>
      <c r="AT73" s="34">
        <f>COUNTIFS(Errors!$I:$I,Analysis!$AE73,Errors!$D:$D,Analysis!AT$2)</f>
        <v>0</v>
      </c>
      <c r="AU73" s="34">
        <f>COUNTIFS(Errors!$I:$I,Analysis!$AE73,Errors!$D:$D,Analysis!AU$2)</f>
        <v>0</v>
      </c>
      <c r="AV73" s="34">
        <f>COUNTIFS(Errors!$I:$I,Analysis!$AE73,Errors!$D:$D,Analysis!AV$2)</f>
        <v>0</v>
      </c>
      <c r="AW73" s="34">
        <f>COUNTIFS(Errors!$I:$I,Analysis!$AE73,Errors!$D:$D,Analysis!AW$2)</f>
        <v>0</v>
      </c>
      <c r="AX73" s="34">
        <f>COUNTIFS(Errors!$I:$I,Analysis!$AE73,Errors!$D:$D,Analysis!AX$2)</f>
        <v>0</v>
      </c>
      <c r="AY73" s="34">
        <f>COUNTIFS(Errors!$I:$I,Analysis!$AE73,Errors!$D:$D,Analysis!AY$2)</f>
        <v>0</v>
      </c>
      <c r="AZ73" s="34">
        <f>COUNTIFS(Errors!$I:$I,Analysis!$AE73,Errors!$D:$D,Analysis!AZ$2)</f>
        <v>0</v>
      </c>
      <c r="BA73" s="34">
        <f>COUNTIFS(Errors!$I:$I,Analysis!$AE73,Errors!$D:$D,Analysis!BA$2)</f>
        <v>0</v>
      </c>
      <c r="BB73" s="34">
        <f>COUNTIFS(Errors!$I:$I,Analysis!$AE73,Errors!$D:$D,Analysis!BB$2)</f>
        <v>0</v>
      </c>
      <c r="BC73" s="34">
        <f>COUNTIFS(Errors!$I:$I,Analysis!$AE73,Errors!$D:$D,Analysis!BC$2)</f>
        <v>0</v>
      </c>
      <c r="BD73" s="34">
        <f>COUNTIFS(Errors!$I:$I,Analysis!$AE73,Errors!$D:$D,Analysis!BD$2)</f>
        <v>0</v>
      </c>
      <c r="BE73" s="34">
        <f>COUNTIFS(Errors!$I:$I,Analysis!$AE73,Errors!$D:$D,Analysis!BE$2)</f>
        <v>0</v>
      </c>
      <c r="BF73" s="34">
        <f>COUNTIFS(Errors!$I:$I,Analysis!$AE73,Errors!$D:$D,Analysis!BF$2)</f>
        <v>0</v>
      </c>
      <c r="BG73" s="34">
        <f>COUNTIFS(Errors!$I:$I,Analysis!$AE73,Errors!$D:$D,Analysis!BG$2)</f>
        <v>0</v>
      </c>
      <c r="BH73" s="34">
        <f>COUNTIFS(Errors!$I:$I,Analysis!$AE73,Errors!$D:$D,Analysis!BH$2)</f>
        <v>0</v>
      </c>
      <c r="BI73" s="34">
        <f>COUNTIFS(Errors!$I:$I,Analysis!$AE73,Errors!$D:$D,Analysis!BI$2)</f>
        <v>0</v>
      </c>
      <c r="BJ73" s="34">
        <f>COUNTIFS(Errors!$I:$I,Analysis!$AE73,Errors!$D:$D,Analysis!BJ$2)</f>
        <v>0</v>
      </c>
      <c r="BL73" s="39">
        <f t="shared" si="19"/>
        <v>0</v>
      </c>
      <c r="BN73" s="129">
        <f t="shared" si="20"/>
        <v>0</v>
      </c>
      <c r="BO73" s="130" t="s">
        <v>158</v>
      </c>
    </row>
    <row r="74" ht="15.75" customHeight="1">
      <c r="AE74" s="35" t="s">
        <v>162</v>
      </c>
      <c r="AF74" s="34">
        <f>COUNTIFS(Errors!$I:$I,Analysis!$AE74,Errors!$D:$D,Analysis!AF$2)</f>
        <v>0</v>
      </c>
      <c r="AG74" s="34">
        <f>COUNTIFS(Errors!$I:$I,Analysis!$AE74,Errors!$D:$D,Analysis!AG$2)</f>
        <v>0</v>
      </c>
      <c r="AH74" s="34">
        <f>COUNTIFS(Errors!$I:$I,Analysis!$AE74,Errors!$D:$D,Analysis!AH$2)</f>
        <v>0</v>
      </c>
      <c r="AI74" s="34">
        <f>COUNTIFS(Errors!$I:$I,Analysis!$AE74,Errors!$D:$D,Analysis!AI$2)</f>
        <v>0</v>
      </c>
      <c r="AJ74" s="34">
        <f>COUNTIFS(Errors!$I:$I,Analysis!$AE74,Errors!$D:$D,Analysis!AJ$2)</f>
        <v>0</v>
      </c>
      <c r="AK74" s="34">
        <f>COUNTIFS(Errors!$I:$I,Analysis!$AE74,Errors!$D:$D,Analysis!AK$2)</f>
        <v>0</v>
      </c>
      <c r="AL74" s="34">
        <f>COUNTIFS(Errors!$I:$I,Analysis!$AE74,Errors!$D:$D,Analysis!AL$2)</f>
        <v>0</v>
      </c>
      <c r="AM74" s="34">
        <f>COUNTIFS(Errors!$I:$I,Analysis!$AE74,Errors!$D:$D,Analysis!AM$2)</f>
        <v>0</v>
      </c>
      <c r="AN74" s="34">
        <f>COUNTIFS(Errors!$I:$I,Analysis!$AE74,Errors!$D:$D,Analysis!AN$2)</f>
        <v>0</v>
      </c>
      <c r="AO74" s="34">
        <f>COUNTIFS(Errors!$I:$I,Analysis!$AE74,Errors!$D:$D,Analysis!AO$2)</f>
        <v>0</v>
      </c>
      <c r="AP74" s="34">
        <f>COUNTIFS(Errors!$I:$I,Analysis!$AE74,Errors!$D:$D,Analysis!AP$2)</f>
        <v>0</v>
      </c>
      <c r="AQ74" s="34">
        <f>COUNTIFS(Errors!$I:$I,Analysis!$AE74,Errors!$D:$D,Analysis!AQ$2)</f>
        <v>0</v>
      </c>
      <c r="AR74" s="34">
        <f>COUNTIFS(Errors!$I:$I,Analysis!$AE74,Errors!$D:$D,Analysis!AR$2)</f>
        <v>0</v>
      </c>
      <c r="AS74" s="34">
        <f>COUNTIFS(Errors!$I:$I,Analysis!$AE74,Errors!$D:$D,Analysis!AS$2)</f>
        <v>0</v>
      </c>
      <c r="AT74" s="34">
        <f>COUNTIFS(Errors!$I:$I,Analysis!$AE74,Errors!$D:$D,Analysis!AT$2)</f>
        <v>0</v>
      </c>
      <c r="AU74" s="34">
        <f>COUNTIFS(Errors!$I:$I,Analysis!$AE74,Errors!$D:$D,Analysis!AU$2)</f>
        <v>0</v>
      </c>
      <c r="AV74" s="34">
        <f>COUNTIFS(Errors!$I:$I,Analysis!$AE74,Errors!$D:$D,Analysis!AV$2)</f>
        <v>0</v>
      </c>
      <c r="AW74" s="34">
        <f>COUNTIFS(Errors!$I:$I,Analysis!$AE74,Errors!$D:$D,Analysis!AW$2)</f>
        <v>0</v>
      </c>
      <c r="AX74" s="34">
        <f>COUNTIFS(Errors!$I:$I,Analysis!$AE74,Errors!$D:$D,Analysis!AX$2)</f>
        <v>0</v>
      </c>
      <c r="AY74" s="34">
        <f>COUNTIFS(Errors!$I:$I,Analysis!$AE74,Errors!$D:$D,Analysis!AY$2)</f>
        <v>0</v>
      </c>
      <c r="AZ74" s="34">
        <f>COUNTIFS(Errors!$I:$I,Analysis!$AE74,Errors!$D:$D,Analysis!AZ$2)</f>
        <v>0</v>
      </c>
      <c r="BA74" s="34">
        <f>COUNTIFS(Errors!$I:$I,Analysis!$AE74,Errors!$D:$D,Analysis!BA$2)</f>
        <v>0</v>
      </c>
      <c r="BB74" s="34">
        <f>COUNTIFS(Errors!$I:$I,Analysis!$AE74,Errors!$D:$D,Analysis!BB$2)</f>
        <v>0</v>
      </c>
      <c r="BC74" s="34">
        <f>COUNTIFS(Errors!$I:$I,Analysis!$AE74,Errors!$D:$D,Analysis!BC$2)</f>
        <v>0</v>
      </c>
      <c r="BD74" s="34">
        <f>COUNTIFS(Errors!$I:$I,Analysis!$AE74,Errors!$D:$D,Analysis!BD$2)</f>
        <v>0</v>
      </c>
      <c r="BE74" s="34">
        <f>COUNTIFS(Errors!$I:$I,Analysis!$AE74,Errors!$D:$D,Analysis!BE$2)</f>
        <v>0</v>
      </c>
      <c r="BF74" s="34">
        <f>COUNTIFS(Errors!$I:$I,Analysis!$AE74,Errors!$D:$D,Analysis!BF$2)</f>
        <v>0</v>
      </c>
      <c r="BG74" s="34">
        <f>COUNTIFS(Errors!$I:$I,Analysis!$AE74,Errors!$D:$D,Analysis!BG$2)</f>
        <v>0</v>
      </c>
      <c r="BH74" s="34">
        <f>COUNTIFS(Errors!$I:$I,Analysis!$AE74,Errors!$D:$D,Analysis!BH$2)</f>
        <v>0</v>
      </c>
      <c r="BI74" s="34">
        <f>COUNTIFS(Errors!$I:$I,Analysis!$AE74,Errors!$D:$D,Analysis!BI$2)</f>
        <v>0</v>
      </c>
      <c r="BJ74" s="34">
        <f>COUNTIFS(Errors!$I:$I,Analysis!$AE74,Errors!$D:$D,Analysis!BJ$2)</f>
        <v>0</v>
      </c>
      <c r="BL74" s="39">
        <f t="shared" si="19"/>
        <v>0</v>
      </c>
      <c r="BN74" s="129">
        <f t="shared" si="20"/>
        <v>0</v>
      </c>
      <c r="BO74" s="130" t="s">
        <v>162</v>
      </c>
    </row>
    <row r="75" ht="15.75" customHeight="1">
      <c r="AE75" s="35" t="s">
        <v>164</v>
      </c>
      <c r="AF75" s="34">
        <f>COUNTIFS(Errors!$I:$I,Analysis!$AE75,Errors!$D:$D,Analysis!AF$2)</f>
        <v>0</v>
      </c>
      <c r="AG75" s="34">
        <f>COUNTIFS(Errors!$I:$I,Analysis!$AE75,Errors!$D:$D,Analysis!AG$2)</f>
        <v>0</v>
      </c>
      <c r="AH75" s="34">
        <f>COUNTIFS(Errors!$I:$I,Analysis!$AE75,Errors!$D:$D,Analysis!AH$2)</f>
        <v>0</v>
      </c>
      <c r="AI75" s="34">
        <f>COUNTIFS(Errors!$I:$I,Analysis!$AE75,Errors!$D:$D,Analysis!AI$2)</f>
        <v>0</v>
      </c>
      <c r="AJ75" s="34">
        <f>COUNTIFS(Errors!$I:$I,Analysis!$AE75,Errors!$D:$D,Analysis!AJ$2)</f>
        <v>0</v>
      </c>
      <c r="AK75" s="34">
        <f>COUNTIFS(Errors!$I:$I,Analysis!$AE75,Errors!$D:$D,Analysis!AK$2)</f>
        <v>0</v>
      </c>
      <c r="AL75" s="34">
        <f>COUNTIFS(Errors!$I:$I,Analysis!$AE75,Errors!$D:$D,Analysis!AL$2)</f>
        <v>0</v>
      </c>
      <c r="AM75" s="34">
        <f>COUNTIFS(Errors!$I:$I,Analysis!$AE75,Errors!$D:$D,Analysis!AM$2)</f>
        <v>0</v>
      </c>
      <c r="AN75" s="34">
        <f>COUNTIFS(Errors!$I:$I,Analysis!$AE75,Errors!$D:$D,Analysis!AN$2)</f>
        <v>0</v>
      </c>
      <c r="AO75" s="34">
        <f>COUNTIFS(Errors!$I:$I,Analysis!$AE75,Errors!$D:$D,Analysis!AO$2)</f>
        <v>0</v>
      </c>
      <c r="AP75" s="34">
        <f>COUNTIFS(Errors!$I:$I,Analysis!$AE75,Errors!$D:$D,Analysis!AP$2)</f>
        <v>0</v>
      </c>
      <c r="AQ75" s="34">
        <f>COUNTIFS(Errors!$I:$I,Analysis!$AE75,Errors!$D:$D,Analysis!AQ$2)</f>
        <v>0</v>
      </c>
      <c r="AR75" s="34">
        <f>COUNTIFS(Errors!$I:$I,Analysis!$AE75,Errors!$D:$D,Analysis!AR$2)</f>
        <v>0</v>
      </c>
      <c r="AS75" s="34">
        <f>COUNTIFS(Errors!$I:$I,Analysis!$AE75,Errors!$D:$D,Analysis!AS$2)</f>
        <v>0</v>
      </c>
      <c r="AT75" s="34">
        <f>COUNTIFS(Errors!$I:$I,Analysis!$AE75,Errors!$D:$D,Analysis!AT$2)</f>
        <v>0</v>
      </c>
      <c r="AU75" s="34">
        <f>COUNTIFS(Errors!$I:$I,Analysis!$AE75,Errors!$D:$D,Analysis!AU$2)</f>
        <v>0</v>
      </c>
      <c r="AV75" s="34">
        <f>COUNTIFS(Errors!$I:$I,Analysis!$AE75,Errors!$D:$D,Analysis!AV$2)</f>
        <v>0</v>
      </c>
      <c r="AW75" s="34">
        <f>COUNTIFS(Errors!$I:$I,Analysis!$AE75,Errors!$D:$D,Analysis!AW$2)</f>
        <v>0</v>
      </c>
      <c r="AX75" s="34">
        <f>COUNTIFS(Errors!$I:$I,Analysis!$AE75,Errors!$D:$D,Analysis!AX$2)</f>
        <v>0</v>
      </c>
      <c r="AY75" s="34">
        <f>COUNTIFS(Errors!$I:$I,Analysis!$AE75,Errors!$D:$D,Analysis!AY$2)</f>
        <v>0</v>
      </c>
      <c r="AZ75" s="34">
        <f>COUNTIFS(Errors!$I:$I,Analysis!$AE75,Errors!$D:$D,Analysis!AZ$2)</f>
        <v>0</v>
      </c>
      <c r="BA75" s="34">
        <f>COUNTIFS(Errors!$I:$I,Analysis!$AE75,Errors!$D:$D,Analysis!BA$2)</f>
        <v>0</v>
      </c>
      <c r="BB75" s="34">
        <f>COUNTIFS(Errors!$I:$I,Analysis!$AE75,Errors!$D:$D,Analysis!BB$2)</f>
        <v>0</v>
      </c>
      <c r="BC75" s="34">
        <f>COUNTIFS(Errors!$I:$I,Analysis!$AE75,Errors!$D:$D,Analysis!BC$2)</f>
        <v>0</v>
      </c>
      <c r="BD75" s="34">
        <f>COUNTIFS(Errors!$I:$I,Analysis!$AE75,Errors!$D:$D,Analysis!BD$2)</f>
        <v>0</v>
      </c>
      <c r="BE75" s="34">
        <f>COUNTIFS(Errors!$I:$I,Analysis!$AE75,Errors!$D:$D,Analysis!BE$2)</f>
        <v>0</v>
      </c>
      <c r="BF75" s="34">
        <f>COUNTIFS(Errors!$I:$I,Analysis!$AE75,Errors!$D:$D,Analysis!BF$2)</f>
        <v>0</v>
      </c>
      <c r="BG75" s="34">
        <f>COUNTIFS(Errors!$I:$I,Analysis!$AE75,Errors!$D:$D,Analysis!BG$2)</f>
        <v>0</v>
      </c>
      <c r="BH75" s="34">
        <f>COUNTIFS(Errors!$I:$I,Analysis!$AE75,Errors!$D:$D,Analysis!BH$2)</f>
        <v>0</v>
      </c>
      <c r="BI75" s="34">
        <f>COUNTIFS(Errors!$I:$I,Analysis!$AE75,Errors!$D:$D,Analysis!BI$2)</f>
        <v>0</v>
      </c>
      <c r="BJ75" s="34">
        <f>COUNTIFS(Errors!$I:$I,Analysis!$AE75,Errors!$D:$D,Analysis!BJ$2)</f>
        <v>0</v>
      </c>
      <c r="BL75" s="39">
        <f t="shared" si="19"/>
        <v>0</v>
      </c>
      <c r="BN75" s="129">
        <f t="shared" si="20"/>
        <v>0</v>
      </c>
      <c r="BO75" s="130" t="s">
        <v>164</v>
      </c>
    </row>
    <row r="76" ht="15.75" customHeight="1">
      <c r="AE76" s="35" t="s">
        <v>166</v>
      </c>
      <c r="AF76" s="34">
        <f>COUNTIFS(Errors!$I:$I,Analysis!$AE76,Errors!$D:$D,Analysis!AF$2)</f>
        <v>0</v>
      </c>
      <c r="AG76" s="34">
        <f>COUNTIFS(Errors!$I:$I,Analysis!$AE76,Errors!$D:$D,Analysis!AG$2)</f>
        <v>0</v>
      </c>
      <c r="AH76" s="34">
        <f>COUNTIFS(Errors!$I:$I,Analysis!$AE76,Errors!$D:$D,Analysis!AH$2)</f>
        <v>0</v>
      </c>
      <c r="AI76" s="34">
        <f>COUNTIFS(Errors!$I:$I,Analysis!$AE76,Errors!$D:$D,Analysis!AI$2)</f>
        <v>0</v>
      </c>
      <c r="AJ76" s="34">
        <f>COUNTIFS(Errors!$I:$I,Analysis!$AE76,Errors!$D:$D,Analysis!AJ$2)</f>
        <v>0</v>
      </c>
      <c r="AK76" s="34">
        <f>COUNTIFS(Errors!$I:$I,Analysis!$AE76,Errors!$D:$D,Analysis!AK$2)</f>
        <v>0</v>
      </c>
      <c r="AL76" s="34">
        <f>COUNTIFS(Errors!$I:$I,Analysis!$AE76,Errors!$D:$D,Analysis!AL$2)</f>
        <v>0</v>
      </c>
      <c r="AM76" s="34">
        <f>COUNTIFS(Errors!$I:$I,Analysis!$AE76,Errors!$D:$D,Analysis!AM$2)</f>
        <v>0</v>
      </c>
      <c r="AN76" s="34">
        <f>COUNTIFS(Errors!$I:$I,Analysis!$AE76,Errors!$D:$D,Analysis!AN$2)</f>
        <v>0</v>
      </c>
      <c r="AO76" s="34">
        <f>COUNTIFS(Errors!$I:$I,Analysis!$AE76,Errors!$D:$D,Analysis!AO$2)</f>
        <v>0</v>
      </c>
      <c r="AP76" s="34">
        <f>COUNTIFS(Errors!$I:$I,Analysis!$AE76,Errors!$D:$D,Analysis!AP$2)</f>
        <v>0</v>
      </c>
      <c r="AQ76" s="34">
        <f>COUNTIFS(Errors!$I:$I,Analysis!$AE76,Errors!$D:$D,Analysis!AQ$2)</f>
        <v>0</v>
      </c>
      <c r="AR76" s="34">
        <f>COUNTIFS(Errors!$I:$I,Analysis!$AE76,Errors!$D:$D,Analysis!AR$2)</f>
        <v>0</v>
      </c>
      <c r="AS76" s="34">
        <f>COUNTIFS(Errors!$I:$I,Analysis!$AE76,Errors!$D:$D,Analysis!AS$2)</f>
        <v>0</v>
      </c>
      <c r="AT76" s="34">
        <f>COUNTIFS(Errors!$I:$I,Analysis!$AE76,Errors!$D:$D,Analysis!AT$2)</f>
        <v>0</v>
      </c>
      <c r="AU76" s="34">
        <f>COUNTIFS(Errors!$I:$I,Analysis!$AE76,Errors!$D:$D,Analysis!AU$2)</f>
        <v>0</v>
      </c>
      <c r="AV76" s="34">
        <f>COUNTIFS(Errors!$I:$I,Analysis!$AE76,Errors!$D:$D,Analysis!AV$2)</f>
        <v>0</v>
      </c>
      <c r="AW76" s="34">
        <f>COUNTIFS(Errors!$I:$I,Analysis!$AE76,Errors!$D:$D,Analysis!AW$2)</f>
        <v>0</v>
      </c>
      <c r="AX76" s="34">
        <f>COUNTIFS(Errors!$I:$I,Analysis!$AE76,Errors!$D:$D,Analysis!AX$2)</f>
        <v>0</v>
      </c>
      <c r="AY76" s="34">
        <f>COUNTIFS(Errors!$I:$I,Analysis!$AE76,Errors!$D:$D,Analysis!AY$2)</f>
        <v>0</v>
      </c>
      <c r="AZ76" s="34">
        <f>COUNTIFS(Errors!$I:$I,Analysis!$AE76,Errors!$D:$D,Analysis!AZ$2)</f>
        <v>0</v>
      </c>
      <c r="BA76" s="34">
        <f>COUNTIFS(Errors!$I:$I,Analysis!$AE76,Errors!$D:$D,Analysis!BA$2)</f>
        <v>0</v>
      </c>
      <c r="BB76" s="34">
        <f>COUNTIFS(Errors!$I:$I,Analysis!$AE76,Errors!$D:$D,Analysis!BB$2)</f>
        <v>0</v>
      </c>
      <c r="BC76" s="34">
        <f>COUNTIFS(Errors!$I:$I,Analysis!$AE76,Errors!$D:$D,Analysis!BC$2)</f>
        <v>0</v>
      </c>
      <c r="BD76" s="34">
        <f>COUNTIFS(Errors!$I:$I,Analysis!$AE76,Errors!$D:$D,Analysis!BD$2)</f>
        <v>0</v>
      </c>
      <c r="BE76" s="34">
        <f>COUNTIFS(Errors!$I:$I,Analysis!$AE76,Errors!$D:$D,Analysis!BE$2)</f>
        <v>0</v>
      </c>
      <c r="BF76" s="34">
        <f>COUNTIFS(Errors!$I:$I,Analysis!$AE76,Errors!$D:$D,Analysis!BF$2)</f>
        <v>0</v>
      </c>
      <c r="BG76" s="34">
        <f>COUNTIFS(Errors!$I:$I,Analysis!$AE76,Errors!$D:$D,Analysis!BG$2)</f>
        <v>0</v>
      </c>
      <c r="BH76" s="34">
        <f>COUNTIFS(Errors!$I:$I,Analysis!$AE76,Errors!$D:$D,Analysis!BH$2)</f>
        <v>0</v>
      </c>
      <c r="BI76" s="34">
        <f>COUNTIFS(Errors!$I:$I,Analysis!$AE76,Errors!$D:$D,Analysis!BI$2)</f>
        <v>0</v>
      </c>
      <c r="BJ76" s="34">
        <f>COUNTIFS(Errors!$I:$I,Analysis!$AE76,Errors!$D:$D,Analysis!BJ$2)</f>
        <v>0</v>
      </c>
      <c r="BL76" s="39">
        <f t="shared" si="19"/>
        <v>0</v>
      </c>
      <c r="BN76" s="129">
        <f t="shared" si="20"/>
        <v>0</v>
      </c>
      <c r="BO76" s="130" t="s">
        <v>166</v>
      </c>
    </row>
    <row r="77" ht="15.75" customHeight="1">
      <c r="AE77" s="35" t="s">
        <v>116</v>
      </c>
      <c r="AF77" s="34">
        <f>COUNTIFS(Errors!$I:$I,Analysis!$AE77,Errors!$D:$D,Analysis!AF$2)</f>
        <v>0</v>
      </c>
      <c r="AG77" s="34">
        <f>COUNTIFS(Errors!$I:$I,Analysis!$AE77,Errors!$D:$D,Analysis!AG$2)</f>
        <v>0</v>
      </c>
      <c r="AH77" s="34">
        <f>COUNTIFS(Errors!$I:$I,Analysis!$AE77,Errors!$D:$D,Analysis!AH$2)</f>
        <v>0</v>
      </c>
      <c r="AI77" s="34">
        <f>COUNTIFS(Errors!$I:$I,Analysis!$AE77,Errors!$D:$D,Analysis!AI$2)</f>
        <v>0</v>
      </c>
      <c r="AJ77" s="34">
        <f>COUNTIFS(Errors!$I:$I,Analysis!$AE77,Errors!$D:$D,Analysis!AJ$2)</f>
        <v>0</v>
      </c>
      <c r="AK77" s="34">
        <f>COUNTIFS(Errors!$I:$I,Analysis!$AE77,Errors!$D:$D,Analysis!AK$2)</f>
        <v>0</v>
      </c>
      <c r="AL77" s="34">
        <f>COUNTIFS(Errors!$I:$I,Analysis!$AE77,Errors!$D:$D,Analysis!AL$2)</f>
        <v>0</v>
      </c>
      <c r="AM77" s="34">
        <f>COUNTIFS(Errors!$I:$I,Analysis!$AE77,Errors!$D:$D,Analysis!AM$2)</f>
        <v>0</v>
      </c>
      <c r="AN77" s="34">
        <f>COUNTIFS(Errors!$I:$I,Analysis!$AE77,Errors!$D:$D,Analysis!AN$2)</f>
        <v>0</v>
      </c>
      <c r="AO77" s="34">
        <f>COUNTIFS(Errors!$I:$I,Analysis!$AE77,Errors!$D:$D,Analysis!AO$2)</f>
        <v>0</v>
      </c>
      <c r="AP77" s="34">
        <f>COUNTIFS(Errors!$I:$I,Analysis!$AE77,Errors!$D:$D,Analysis!AP$2)</f>
        <v>0</v>
      </c>
      <c r="AQ77" s="34">
        <f>COUNTIFS(Errors!$I:$I,Analysis!$AE77,Errors!$D:$D,Analysis!AQ$2)</f>
        <v>0</v>
      </c>
      <c r="AR77" s="34">
        <f>COUNTIFS(Errors!$I:$I,Analysis!$AE77,Errors!$D:$D,Analysis!AR$2)</f>
        <v>0</v>
      </c>
      <c r="AS77" s="34">
        <f>COUNTIFS(Errors!$I:$I,Analysis!$AE77,Errors!$D:$D,Analysis!AS$2)</f>
        <v>0</v>
      </c>
      <c r="AT77" s="34">
        <f>COUNTIFS(Errors!$I:$I,Analysis!$AE77,Errors!$D:$D,Analysis!AT$2)</f>
        <v>0</v>
      </c>
      <c r="AU77" s="34">
        <f>COUNTIFS(Errors!$I:$I,Analysis!$AE77,Errors!$D:$D,Analysis!AU$2)</f>
        <v>0</v>
      </c>
      <c r="AV77" s="34">
        <f>COUNTIFS(Errors!$I:$I,Analysis!$AE77,Errors!$D:$D,Analysis!AV$2)</f>
        <v>0</v>
      </c>
      <c r="AW77" s="34">
        <f>COUNTIFS(Errors!$I:$I,Analysis!$AE77,Errors!$D:$D,Analysis!AW$2)</f>
        <v>0</v>
      </c>
      <c r="AX77" s="34">
        <f>COUNTIFS(Errors!$I:$I,Analysis!$AE77,Errors!$D:$D,Analysis!AX$2)</f>
        <v>0</v>
      </c>
      <c r="AY77" s="34">
        <f>COUNTIFS(Errors!$I:$I,Analysis!$AE77,Errors!$D:$D,Analysis!AY$2)</f>
        <v>0</v>
      </c>
      <c r="AZ77" s="34">
        <f>COUNTIFS(Errors!$I:$I,Analysis!$AE77,Errors!$D:$D,Analysis!AZ$2)</f>
        <v>0</v>
      </c>
      <c r="BA77" s="34">
        <f>COUNTIFS(Errors!$I:$I,Analysis!$AE77,Errors!$D:$D,Analysis!BA$2)</f>
        <v>0</v>
      </c>
      <c r="BB77" s="34">
        <f>COUNTIFS(Errors!$I:$I,Analysis!$AE77,Errors!$D:$D,Analysis!BB$2)</f>
        <v>0</v>
      </c>
      <c r="BC77" s="34">
        <f>COUNTIFS(Errors!$I:$I,Analysis!$AE77,Errors!$D:$D,Analysis!BC$2)</f>
        <v>0</v>
      </c>
      <c r="BD77" s="34">
        <f>COUNTIFS(Errors!$I:$I,Analysis!$AE77,Errors!$D:$D,Analysis!BD$2)</f>
        <v>0</v>
      </c>
      <c r="BE77" s="34">
        <f>COUNTIFS(Errors!$I:$I,Analysis!$AE77,Errors!$D:$D,Analysis!BE$2)</f>
        <v>0</v>
      </c>
      <c r="BF77" s="34">
        <f>COUNTIFS(Errors!$I:$I,Analysis!$AE77,Errors!$D:$D,Analysis!BF$2)</f>
        <v>0</v>
      </c>
      <c r="BG77" s="34">
        <f>COUNTIFS(Errors!$I:$I,Analysis!$AE77,Errors!$D:$D,Analysis!BG$2)</f>
        <v>0</v>
      </c>
      <c r="BH77" s="34">
        <f>COUNTIFS(Errors!$I:$I,Analysis!$AE77,Errors!$D:$D,Analysis!BH$2)</f>
        <v>0</v>
      </c>
      <c r="BI77" s="34">
        <f>COUNTIFS(Errors!$I:$I,Analysis!$AE77,Errors!$D:$D,Analysis!BI$2)</f>
        <v>0</v>
      </c>
      <c r="BJ77" s="34">
        <f>COUNTIFS(Errors!$I:$I,Analysis!$AE77,Errors!$D:$D,Analysis!BJ$2)</f>
        <v>0</v>
      </c>
      <c r="BL77" s="39">
        <f t="shared" si="19"/>
        <v>0</v>
      </c>
      <c r="BN77" s="129">
        <f t="shared" si="20"/>
        <v>0</v>
      </c>
      <c r="BO77" s="130" t="s">
        <v>116</v>
      </c>
    </row>
    <row r="78" ht="15.75" customHeight="1">
      <c r="AE78" s="35" t="s">
        <v>120</v>
      </c>
      <c r="AF78" s="34">
        <f>COUNTIFS(Errors!$I:$I,Analysis!$AE78,Errors!$D:$D,Analysis!AF$2)</f>
        <v>0</v>
      </c>
      <c r="AG78" s="34">
        <f>COUNTIFS(Errors!$I:$I,Analysis!$AE78,Errors!$D:$D,Analysis!AG$2)</f>
        <v>0</v>
      </c>
      <c r="AH78" s="34">
        <f>COUNTIFS(Errors!$I:$I,Analysis!$AE78,Errors!$D:$D,Analysis!AH$2)</f>
        <v>0</v>
      </c>
      <c r="AI78" s="34">
        <f>COUNTIFS(Errors!$I:$I,Analysis!$AE78,Errors!$D:$D,Analysis!AI$2)</f>
        <v>0</v>
      </c>
      <c r="AJ78" s="34">
        <f>COUNTIFS(Errors!$I:$I,Analysis!$AE78,Errors!$D:$D,Analysis!AJ$2)</f>
        <v>0</v>
      </c>
      <c r="AK78" s="34">
        <f>COUNTIFS(Errors!$I:$I,Analysis!$AE78,Errors!$D:$D,Analysis!AK$2)</f>
        <v>0</v>
      </c>
      <c r="AL78" s="34">
        <f>COUNTIFS(Errors!$I:$I,Analysis!$AE78,Errors!$D:$D,Analysis!AL$2)</f>
        <v>0</v>
      </c>
      <c r="AM78" s="34">
        <f>COUNTIFS(Errors!$I:$I,Analysis!$AE78,Errors!$D:$D,Analysis!AM$2)</f>
        <v>0</v>
      </c>
      <c r="AN78" s="34">
        <f>COUNTIFS(Errors!$I:$I,Analysis!$AE78,Errors!$D:$D,Analysis!AN$2)</f>
        <v>0</v>
      </c>
      <c r="AO78" s="34">
        <f>COUNTIFS(Errors!$I:$I,Analysis!$AE78,Errors!$D:$D,Analysis!AO$2)</f>
        <v>0</v>
      </c>
      <c r="AP78" s="34">
        <f>COUNTIFS(Errors!$I:$I,Analysis!$AE78,Errors!$D:$D,Analysis!AP$2)</f>
        <v>0</v>
      </c>
      <c r="AQ78" s="34">
        <f>COUNTIFS(Errors!$I:$I,Analysis!$AE78,Errors!$D:$D,Analysis!AQ$2)</f>
        <v>0</v>
      </c>
      <c r="AR78" s="34">
        <f>COUNTIFS(Errors!$I:$I,Analysis!$AE78,Errors!$D:$D,Analysis!AR$2)</f>
        <v>0</v>
      </c>
      <c r="AS78" s="34">
        <f>COUNTIFS(Errors!$I:$I,Analysis!$AE78,Errors!$D:$D,Analysis!AS$2)</f>
        <v>0</v>
      </c>
      <c r="AT78" s="34">
        <f>COUNTIFS(Errors!$I:$I,Analysis!$AE78,Errors!$D:$D,Analysis!AT$2)</f>
        <v>0</v>
      </c>
      <c r="AU78" s="34">
        <f>COUNTIFS(Errors!$I:$I,Analysis!$AE78,Errors!$D:$D,Analysis!AU$2)</f>
        <v>0</v>
      </c>
      <c r="AV78" s="34">
        <f>COUNTIFS(Errors!$I:$I,Analysis!$AE78,Errors!$D:$D,Analysis!AV$2)</f>
        <v>0</v>
      </c>
      <c r="AW78" s="34">
        <f>COUNTIFS(Errors!$I:$I,Analysis!$AE78,Errors!$D:$D,Analysis!AW$2)</f>
        <v>0</v>
      </c>
      <c r="AX78" s="34">
        <f>COUNTIFS(Errors!$I:$I,Analysis!$AE78,Errors!$D:$D,Analysis!AX$2)</f>
        <v>0</v>
      </c>
      <c r="AY78" s="34">
        <f>COUNTIFS(Errors!$I:$I,Analysis!$AE78,Errors!$D:$D,Analysis!AY$2)</f>
        <v>0</v>
      </c>
      <c r="AZ78" s="34">
        <f>COUNTIFS(Errors!$I:$I,Analysis!$AE78,Errors!$D:$D,Analysis!AZ$2)</f>
        <v>0</v>
      </c>
      <c r="BA78" s="34">
        <f>COUNTIFS(Errors!$I:$I,Analysis!$AE78,Errors!$D:$D,Analysis!BA$2)</f>
        <v>0</v>
      </c>
      <c r="BB78" s="34">
        <f>COUNTIFS(Errors!$I:$I,Analysis!$AE78,Errors!$D:$D,Analysis!BB$2)</f>
        <v>0</v>
      </c>
      <c r="BC78" s="34">
        <f>COUNTIFS(Errors!$I:$I,Analysis!$AE78,Errors!$D:$D,Analysis!BC$2)</f>
        <v>0</v>
      </c>
      <c r="BD78" s="34">
        <f>COUNTIFS(Errors!$I:$I,Analysis!$AE78,Errors!$D:$D,Analysis!BD$2)</f>
        <v>0</v>
      </c>
      <c r="BE78" s="34">
        <f>COUNTIFS(Errors!$I:$I,Analysis!$AE78,Errors!$D:$D,Analysis!BE$2)</f>
        <v>0</v>
      </c>
      <c r="BF78" s="34">
        <f>COUNTIFS(Errors!$I:$I,Analysis!$AE78,Errors!$D:$D,Analysis!BF$2)</f>
        <v>0</v>
      </c>
      <c r="BG78" s="34">
        <f>COUNTIFS(Errors!$I:$I,Analysis!$AE78,Errors!$D:$D,Analysis!BG$2)</f>
        <v>0</v>
      </c>
      <c r="BH78" s="34">
        <f>COUNTIFS(Errors!$I:$I,Analysis!$AE78,Errors!$D:$D,Analysis!BH$2)</f>
        <v>0</v>
      </c>
      <c r="BI78" s="34">
        <f>COUNTIFS(Errors!$I:$I,Analysis!$AE78,Errors!$D:$D,Analysis!BI$2)</f>
        <v>0</v>
      </c>
      <c r="BJ78" s="34">
        <f>COUNTIFS(Errors!$I:$I,Analysis!$AE78,Errors!$D:$D,Analysis!BJ$2)</f>
        <v>0</v>
      </c>
      <c r="BL78" s="39">
        <f t="shared" si="19"/>
        <v>0</v>
      </c>
      <c r="BN78" s="129">
        <f t="shared" si="20"/>
        <v>0</v>
      </c>
      <c r="BO78" s="130" t="s">
        <v>120</v>
      </c>
    </row>
    <row r="79" ht="15.75" customHeight="1">
      <c r="AE79" s="35" t="s">
        <v>124</v>
      </c>
      <c r="AF79" s="34">
        <f>COUNTIFS(Errors!$I:$I,Analysis!$AE79,Errors!$D:$D,Analysis!AF$2)</f>
        <v>0</v>
      </c>
      <c r="AG79" s="34">
        <f>COUNTIFS(Errors!$I:$I,Analysis!$AE79,Errors!$D:$D,Analysis!AG$2)</f>
        <v>0</v>
      </c>
      <c r="AH79" s="34">
        <f>COUNTIFS(Errors!$I:$I,Analysis!$AE79,Errors!$D:$D,Analysis!AH$2)</f>
        <v>0</v>
      </c>
      <c r="AI79" s="34">
        <f>COUNTIFS(Errors!$I:$I,Analysis!$AE79,Errors!$D:$D,Analysis!AI$2)</f>
        <v>0</v>
      </c>
      <c r="AJ79" s="34">
        <f>COUNTIFS(Errors!$I:$I,Analysis!$AE79,Errors!$D:$D,Analysis!AJ$2)</f>
        <v>0</v>
      </c>
      <c r="AK79" s="34">
        <f>COUNTIFS(Errors!$I:$I,Analysis!$AE79,Errors!$D:$D,Analysis!AK$2)</f>
        <v>0</v>
      </c>
      <c r="AL79" s="34">
        <f>COUNTIFS(Errors!$I:$I,Analysis!$AE79,Errors!$D:$D,Analysis!AL$2)</f>
        <v>0</v>
      </c>
      <c r="AM79" s="34">
        <f>COUNTIFS(Errors!$I:$I,Analysis!$AE79,Errors!$D:$D,Analysis!AM$2)</f>
        <v>0</v>
      </c>
      <c r="AN79" s="34">
        <f>COUNTIFS(Errors!$I:$I,Analysis!$AE79,Errors!$D:$D,Analysis!AN$2)</f>
        <v>0</v>
      </c>
      <c r="AO79" s="34">
        <f>COUNTIFS(Errors!$I:$I,Analysis!$AE79,Errors!$D:$D,Analysis!AO$2)</f>
        <v>0</v>
      </c>
      <c r="AP79" s="34">
        <f>COUNTIFS(Errors!$I:$I,Analysis!$AE79,Errors!$D:$D,Analysis!AP$2)</f>
        <v>0</v>
      </c>
      <c r="AQ79" s="34">
        <f>COUNTIFS(Errors!$I:$I,Analysis!$AE79,Errors!$D:$D,Analysis!AQ$2)</f>
        <v>0</v>
      </c>
      <c r="AR79" s="34">
        <f>COUNTIFS(Errors!$I:$I,Analysis!$AE79,Errors!$D:$D,Analysis!AR$2)</f>
        <v>0</v>
      </c>
      <c r="AS79" s="34">
        <f>COUNTIFS(Errors!$I:$I,Analysis!$AE79,Errors!$D:$D,Analysis!AS$2)</f>
        <v>0</v>
      </c>
      <c r="AT79" s="34">
        <f>COUNTIFS(Errors!$I:$I,Analysis!$AE79,Errors!$D:$D,Analysis!AT$2)</f>
        <v>0</v>
      </c>
      <c r="AU79" s="34">
        <f>COUNTIFS(Errors!$I:$I,Analysis!$AE79,Errors!$D:$D,Analysis!AU$2)</f>
        <v>0</v>
      </c>
      <c r="AV79" s="34">
        <f>COUNTIFS(Errors!$I:$I,Analysis!$AE79,Errors!$D:$D,Analysis!AV$2)</f>
        <v>0</v>
      </c>
      <c r="AW79" s="34">
        <f>COUNTIFS(Errors!$I:$I,Analysis!$AE79,Errors!$D:$D,Analysis!AW$2)</f>
        <v>0</v>
      </c>
      <c r="AX79" s="34">
        <f>COUNTIFS(Errors!$I:$I,Analysis!$AE79,Errors!$D:$D,Analysis!AX$2)</f>
        <v>0</v>
      </c>
      <c r="AY79" s="34">
        <f>COUNTIFS(Errors!$I:$I,Analysis!$AE79,Errors!$D:$D,Analysis!AY$2)</f>
        <v>0</v>
      </c>
      <c r="AZ79" s="34">
        <f>COUNTIFS(Errors!$I:$I,Analysis!$AE79,Errors!$D:$D,Analysis!AZ$2)</f>
        <v>0</v>
      </c>
      <c r="BA79" s="34">
        <f>COUNTIFS(Errors!$I:$I,Analysis!$AE79,Errors!$D:$D,Analysis!BA$2)</f>
        <v>0</v>
      </c>
      <c r="BB79" s="34">
        <f>COUNTIFS(Errors!$I:$I,Analysis!$AE79,Errors!$D:$D,Analysis!BB$2)</f>
        <v>0</v>
      </c>
      <c r="BC79" s="34">
        <f>COUNTIFS(Errors!$I:$I,Analysis!$AE79,Errors!$D:$D,Analysis!BC$2)</f>
        <v>0</v>
      </c>
      <c r="BD79" s="34">
        <f>COUNTIFS(Errors!$I:$I,Analysis!$AE79,Errors!$D:$D,Analysis!BD$2)</f>
        <v>0</v>
      </c>
      <c r="BE79" s="34">
        <f>COUNTIFS(Errors!$I:$I,Analysis!$AE79,Errors!$D:$D,Analysis!BE$2)</f>
        <v>0</v>
      </c>
      <c r="BF79" s="34">
        <f>COUNTIFS(Errors!$I:$I,Analysis!$AE79,Errors!$D:$D,Analysis!BF$2)</f>
        <v>0</v>
      </c>
      <c r="BG79" s="34">
        <f>COUNTIFS(Errors!$I:$I,Analysis!$AE79,Errors!$D:$D,Analysis!BG$2)</f>
        <v>0</v>
      </c>
      <c r="BH79" s="34">
        <f>COUNTIFS(Errors!$I:$I,Analysis!$AE79,Errors!$D:$D,Analysis!BH$2)</f>
        <v>0</v>
      </c>
      <c r="BI79" s="34">
        <f>COUNTIFS(Errors!$I:$I,Analysis!$AE79,Errors!$D:$D,Analysis!BI$2)</f>
        <v>0</v>
      </c>
      <c r="BJ79" s="34">
        <f>COUNTIFS(Errors!$I:$I,Analysis!$AE79,Errors!$D:$D,Analysis!BJ$2)</f>
        <v>0</v>
      </c>
      <c r="BL79" s="39">
        <f t="shared" si="19"/>
        <v>0</v>
      </c>
      <c r="BN79" s="129">
        <f t="shared" si="20"/>
        <v>0</v>
      </c>
      <c r="BO79" s="130" t="s">
        <v>124</v>
      </c>
    </row>
    <row r="80" ht="15.75" customHeight="1">
      <c r="AE80" s="131" t="s">
        <v>128</v>
      </c>
      <c r="AF80" s="34">
        <f>COUNTIFS(Errors!$I:$I,Analysis!$AE80,Errors!$D:$D,Analysis!AF$2)</f>
        <v>0</v>
      </c>
      <c r="AG80" s="34">
        <f>COUNTIFS(Errors!$I:$I,Analysis!$AE80,Errors!$D:$D,Analysis!AG$2)</f>
        <v>0</v>
      </c>
      <c r="AH80" s="34">
        <f>COUNTIFS(Errors!$I:$I,Analysis!$AE80,Errors!$D:$D,Analysis!AH$2)</f>
        <v>0</v>
      </c>
      <c r="AI80" s="34">
        <f>COUNTIFS(Errors!$I:$I,Analysis!$AE80,Errors!$D:$D,Analysis!AI$2)</f>
        <v>0</v>
      </c>
      <c r="AJ80" s="34">
        <f>COUNTIFS(Errors!$I:$I,Analysis!$AE80,Errors!$D:$D,Analysis!AJ$2)</f>
        <v>0</v>
      </c>
      <c r="AK80" s="34">
        <f>COUNTIFS(Errors!$I:$I,Analysis!$AE80,Errors!$D:$D,Analysis!AK$2)</f>
        <v>0</v>
      </c>
      <c r="AL80" s="34">
        <f>COUNTIFS(Errors!$I:$I,Analysis!$AE80,Errors!$D:$D,Analysis!AL$2)</f>
        <v>0</v>
      </c>
      <c r="AM80" s="34">
        <f>COUNTIFS(Errors!$I:$I,Analysis!$AE80,Errors!$D:$D,Analysis!AM$2)</f>
        <v>0</v>
      </c>
      <c r="AN80" s="34">
        <f>COUNTIFS(Errors!$I:$I,Analysis!$AE80,Errors!$D:$D,Analysis!AN$2)</f>
        <v>0</v>
      </c>
      <c r="AO80" s="34">
        <f>COUNTIFS(Errors!$I:$I,Analysis!$AE80,Errors!$D:$D,Analysis!AO$2)</f>
        <v>0</v>
      </c>
      <c r="AP80" s="34">
        <f>COUNTIFS(Errors!$I:$I,Analysis!$AE80,Errors!$D:$D,Analysis!AP$2)</f>
        <v>0</v>
      </c>
      <c r="AQ80" s="34">
        <f>COUNTIFS(Errors!$I:$I,Analysis!$AE80,Errors!$D:$D,Analysis!AQ$2)</f>
        <v>0</v>
      </c>
      <c r="AR80" s="34">
        <f>COUNTIFS(Errors!$I:$I,Analysis!$AE80,Errors!$D:$D,Analysis!AR$2)</f>
        <v>0</v>
      </c>
      <c r="AS80" s="34">
        <f>COUNTIFS(Errors!$I:$I,Analysis!$AE80,Errors!$D:$D,Analysis!AS$2)</f>
        <v>0</v>
      </c>
      <c r="AT80" s="34">
        <f>COUNTIFS(Errors!$I:$I,Analysis!$AE80,Errors!$D:$D,Analysis!AT$2)</f>
        <v>0</v>
      </c>
      <c r="AU80" s="34">
        <f>COUNTIFS(Errors!$I:$I,Analysis!$AE80,Errors!$D:$D,Analysis!AU$2)</f>
        <v>0</v>
      </c>
      <c r="AV80" s="34">
        <f>COUNTIFS(Errors!$I:$I,Analysis!$AE80,Errors!$D:$D,Analysis!AV$2)</f>
        <v>0</v>
      </c>
      <c r="AW80" s="34">
        <f>COUNTIFS(Errors!$I:$I,Analysis!$AE80,Errors!$D:$D,Analysis!AW$2)</f>
        <v>0</v>
      </c>
      <c r="AX80" s="34">
        <f>COUNTIFS(Errors!$I:$I,Analysis!$AE80,Errors!$D:$D,Analysis!AX$2)</f>
        <v>0</v>
      </c>
      <c r="AY80" s="34">
        <f>COUNTIFS(Errors!$I:$I,Analysis!$AE80,Errors!$D:$D,Analysis!AY$2)</f>
        <v>0</v>
      </c>
      <c r="AZ80" s="34">
        <f>COUNTIFS(Errors!$I:$I,Analysis!$AE80,Errors!$D:$D,Analysis!AZ$2)</f>
        <v>0</v>
      </c>
      <c r="BA80" s="34">
        <f>COUNTIFS(Errors!$I:$I,Analysis!$AE80,Errors!$D:$D,Analysis!BA$2)</f>
        <v>0</v>
      </c>
      <c r="BB80" s="34">
        <f>COUNTIFS(Errors!$I:$I,Analysis!$AE80,Errors!$D:$D,Analysis!BB$2)</f>
        <v>0</v>
      </c>
      <c r="BC80" s="34">
        <f>COUNTIFS(Errors!$I:$I,Analysis!$AE80,Errors!$D:$D,Analysis!BC$2)</f>
        <v>0</v>
      </c>
      <c r="BD80" s="34">
        <f>COUNTIFS(Errors!$I:$I,Analysis!$AE80,Errors!$D:$D,Analysis!BD$2)</f>
        <v>0</v>
      </c>
      <c r="BE80" s="34">
        <f>COUNTIFS(Errors!$I:$I,Analysis!$AE80,Errors!$D:$D,Analysis!BE$2)</f>
        <v>0</v>
      </c>
      <c r="BF80" s="34">
        <f>COUNTIFS(Errors!$I:$I,Analysis!$AE80,Errors!$D:$D,Analysis!BF$2)</f>
        <v>0</v>
      </c>
      <c r="BG80" s="34">
        <f>COUNTIFS(Errors!$I:$I,Analysis!$AE80,Errors!$D:$D,Analysis!BG$2)</f>
        <v>0</v>
      </c>
      <c r="BH80" s="34">
        <f>COUNTIFS(Errors!$I:$I,Analysis!$AE80,Errors!$D:$D,Analysis!BH$2)</f>
        <v>0</v>
      </c>
      <c r="BI80" s="34">
        <f>COUNTIFS(Errors!$I:$I,Analysis!$AE80,Errors!$D:$D,Analysis!BI$2)</f>
        <v>0</v>
      </c>
      <c r="BJ80" s="34">
        <f>COUNTIFS(Errors!$I:$I,Analysis!$AE80,Errors!$D:$D,Analysis!BJ$2)</f>
        <v>0</v>
      </c>
      <c r="BL80" s="39">
        <f t="shared" si="19"/>
        <v>0</v>
      </c>
      <c r="BN80" s="129">
        <f t="shared" si="20"/>
        <v>0</v>
      </c>
      <c r="BO80" s="130" t="s">
        <v>128</v>
      </c>
    </row>
    <row r="81" ht="15.75" customHeight="1">
      <c r="AE81" s="131" t="s">
        <v>132</v>
      </c>
      <c r="AF81" s="34">
        <f>COUNTIFS(Errors!$I:$I,Analysis!$AE81,Errors!$D:$D,Analysis!AF$2)</f>
        <v>0</v>
      </c>
      <c r="AG81" s="34">
        <f>COUNTIFS(Errors!$I:$I,Analysis!$AE81,Errors!$D:$D,Analysis!AG$2)</f>
        <v>0</v>
      </c>
      <c r="AH81" s="34">
        <f>COUNTIFS(Errors!$I:$I,Analysis!$AE81,Errors!$D:$D,Analysis!AH$2)</f>
        <v>0</v>
      </c>
      <c r="AI81" s="34">
        <f>COUNTIFS(Errors!$I:$I,Analysis!$AE81,Errors!$D:$D,Analysis!AI$2)</f>
        <v>0</v>
      </c>
      <c r="AJ81" s="34">
        <f>COUNTIFS(Errors!$I:$I,Analysis!$AE81,Errors!$D:$D,Analysis!AJ$2)</f>
        <v>0</v>
      </c>
      <c r="AK81" s="34">
        <f>COUNTIFS(Errors!$I:$I,Analysis!$AE81,Errors!$D:$D,Analysis!AK$2)</f>
        <v>0</v>
      </c>
      <c r="AL81" s="34">
        <f>COUNTIFS(Errors!$I:$I,Analysis!$AE81,Errors!$D:$D,Analysis!AL$2)</f>
        <v>0</v>
      </c>
      <c r="AM81" s="34">
        <f>COUNTIFS(Errors!$I:$I,Analysis!$AE81,Errors!$D:$D,Analysis!AM$2)</f>
        <v>0</v>
      </c>
      <c r="AN81" s="34">
        <f>COUNTIFS(Errors!$I:$I,Analysis!$AE81,Errors!$D:$D,Analysis!AN$2)</f>
        <v>0</v>
      </c>
      <c r="AO81" s="34">
        <f>COUNTIFS(Errors!$I:$I,Analysis!$AE81,Errors!$D:$D,Analysis!AO$2)</f>
        <v>0</v>
      </c>
      <c r="AP81" s="34">
        <f>COUNTIFS(Errors!$I:$I,Analysis!$AE81,Errors!$D:$D,Analysis!AP$2)</f>
        <v>0</v>
      </c>
      <c r="AQ81" s="34">
        <f>COUNTIFS(Errors!$I:$I,Analysis!$AE81,Errors!$D:$D,Analysis!AQ$2)</f>
        <v>0</v>
      </c>
      <c r="AR81" s="34">
        <f>COUNTIFS(Errors!$I:$I,Analysis!$AE81,Errors!$D:$D,Analysis!AR$2)</f>
        <v>0</v>
      </c>
      <c r="AS81" s="34">
        <f>COUNTIFS(Errors!$I:$I,Analysis!$AE81,Errors!$D:$D,Analysis!AS$2)</f>
        <v>0</v>
      </c>
      <c r="AT81" s="34">
        <f>COUNTIFS(Errors!$I:$I,Analysis!$AE81,Errors!$D:$D,Analysis!AT$2)</f>
        <v>0</v>
      </c>
      <c r="AU81" s="34">
        <f>COUNTIFS(Errors!$I:$I,Analysis!$AE81,Errors!$D:$D,Analysis!AU$2)</f>
        <v>0</v>
      </c>
      <c r="AV81" s="34">
        <f>COUNTIFS(Errors!$I:$I,Analysis!$AE81,Errors!$D:$D,Analysis!AV$2)</f>
        <v>0</v>
      </c>
      <c r="AW81" s="34">
        <f>COUNTIFS(Errors!$I:$I,Analysis!$AE81,Errors!$D:$D,Analysis!AW$2)</f>
        <v>0</v>
      </c>
      <c r="AX81" s="34">
        <f>COUNTIFS(Errors!$I:$I,Analysis!$AE81,Errors!$D:$D,Analysis!AX$2)</f>
        <v>0</v>
      </c>
      <c r="AY81" s="34">
        <f>COUNTIFS(Errors!$I:$I,Analysis!$AE81,Errors!$D:$D,Analysis!AY$2)</f>
        <v>0</v>
      </c>
      <c r="AZ81" s="34">
        <f>COUNTIFS(Errors!$I:$I,Analysis!$AE81,Errors!$D:$D,Analysis!AZ$2)</f>
        <v>0</v>
      </c>
      <c r="BA81" s="34">
        <f>COUNTIFS(Errors!$I:$I,Analysis!$AE81,Errors!$D:$D,Analysis!BA$2)</f>
        <v>0</v>
      </c>
      <c r="BB81" s="34">
        <f>COUNTIFS(Errors!$I:$I,Analysis!$AE81,Errors!$D:$D,Analysis!BB$2)</f>
        <v>0</v>
      </c>
      <c r="BC81" s="34">
        <f>COUNTIFS(Errors!$I:$I,Analysis!$AE81,Errors!$D:$D,Analysis!BC$2)</f>
        <v>0</v>
      </c>
      <c r="BD81" s="34">
        <f>COUNTIFS(Errors!$I:$I,Analysis!$AE81,Errors!$D:$D,Analysis!BD$2)</f>
        <v>0</v>
      </c>
      <c r="BE81" s="34">
        <f>COUNTIFS(Errors!$I:$I,Analysis!$AE81,Errors!$D:$D,Analysis!BE$2)</f>
        <v>0</v>
      </c>
      <c r="BF81" s="34">
        <f>COUNTIFS(Errors!$I:$I,Analysis!$AE81,Errors!$D:$D,Analysis!BF$2)</f>
        <v>0</v>
      </c>
      <c r="BG81" s="34">
        <f>COUNTIFS(Errors!$I:$I,Analysis!$AE81,Errors!$D:$D,Analysis!BG$2)</f>
        <v>0</v>
      </c>
      <c r="BH81" s="34">
        <f>COUNTIFS(Errors!$I:$I,Analysis!$AE81,Errors!$D:$D,Analysis!BH$2)</f>
        <v>0</v>
      </c>
      <c r="BI81" s="34">
        <f>COUNTIFS(Errors!$I:$I,Analysis!$AE81,Errors!$D:$D,Analysis!BI$2)</f>
        <v>0</v>
      </c>
      <c r="BJ81" s="34">
        <f>COUNTIFS(Errors!$I:$I,Analysis!$AE81,Errors!$D:$D,Analysis!BJ$2)</f>
        <v>0</v>
      </c>
      <c r="BL81" s="39">
        <f t="shared" si="19"/>
        <v>0</v>
      </c>
      <c r="BN81" s="129">
        <f t="shared" si="20"/>
        <v>0</v>
      </c>
      <c r="BO81" s="130" t="s">
        <v>132</v>
      </c>
    </row>
    <row r="82" ht="15.75" customHeight="1">
      <c r="AE82" s="35" t="s">
        <v>135</v>
      </c>
      <c r="AF82" s="34">
        <f>COUNTIFS(Errors!$I:$I,Analysis!$AE82,Errors!$D:$D,Analysis!AF$2)</f>
        <v>0</v>
      </c>
      <c r="AG82" s="34">
        <f>COUNTIFS(Errors!$I:$I,Analysis!$AE82,Errors!$D:$D,Analysis!AG$2)</f>
        <v>0</v>
      </c>
      <c r="AH82" s="34">
        <f>COUNTIFS(Errors!$I:$I,Analysis!$AE82,Errors!$D:$D,Analysis!AH$2)</f>
        <v>0</v>
      </c>
      <c r="AI82" s="34">
        <f>COUNTIFS(Errors!$I:$I,Analysis!$AE82,Errors!$D:$D,Analysis!AI$2)</f>
        <v>0</v>
      </c>
      <c r="AJ82" s="34">
        <f>COUNTIFS(Errors!$I:$I,Analysis!$AE82,Errors!$D:$D,Analysis!AJ$2)</f>
        <v>0</v>
      </c>
      <c r="AK82" s="34">
        <f>COUNTIFS(Errors!$I:$I,Analysis!$AE82,Errors!$D:$D,Analysis!AK$2)</f>
        <v>0</v>
      </c>
      <c r="AL82" s="34">
        <f>COUNTIFS(Errors!$I:$I,Analysis!$AE82,Errors!$D:$D,Analysis!AL$2)</f>
        <v>0</v>
      </c>
      <c r="AM82" s="34">
        <f>COUNTIFS(Errors!$I:$I,Analysis!$AE82,Errors!$D:$D,Analysis!AM$2)</f>
        <v>0</v>
      </c>
      <c r="AN82" s="34">
        <f>COUNTIFS(Errors!$I:$I,Analysis!$AE82,Errors!$D:$D,Analysis!AN$2)</f>
        <v>0</v>
      </c>
      <c r="AO82" s="34">
        <f>COUNTIFS(Errors!$I:$I,Analysis!$AE82,Errors!$D:$D,Analysis!AO$2)</f>
        <v>0</v>
      </c>
      <c r="AP82" s="34">
        <f>COUNTIFS(Errors!$I:$I,Analysis!$AE82,Errors!$D:$D,Analysis!AP$2)</f>
        <v>0</v>
      </c>
      <c r="AQ82" s="34">
        <f>COUNTIFS(Errors!$I:$I,Analysis!$AE82,Errors!$D:$D,Analysis!AQ$2)</f>
        <v>0</v>
      </c>
      <c r="AR82" s="34">
        <f>COUNTIFS(Errors!$I:$I,Analysis!$AE82,Errors!$D:$D,Analysis!AR$2)</f>
        <v>0</v>
      </c>
      <c r="AS82" s="34">
        <f>COUNTIFS(Errors!$I:$I,Analysis!$AE82,Errors!$D:$D,Analysis!AS$2)</f>
        <v>0</v>
      </c>
      <c r="AT82" s="34">
        <f>COUNTIFS(Errors!$I:$I,Analysis!$AE82,Errors!$D:$D,Analysis!AT$2)</f>
        <v>0</v>
      </c>
      <c r="AU82" s="34">
        <f>COUNTIFS(Errors!$I:$I,Analysis!$AE82,Errors!$D:$D,Analysis!AU$2)</f>
        <v>0</v>
      </c>
      <c r="AV82" s="34">
        <f>COUNTIFS(Errors!$I:$I,Analysis!$AE82,Errors!$D:$D,Analysis!AV$2)</f>
        <v>0</v>
      </c>
      <c r="AW82" s="34">
        <f>COUNTIFS(Errors!$I:$I,Analysis!$AE82,Errors!$D:$D,Analysis!AW$2)</f>
        <v>0</v>
      </c>
      <c r="AX82" s="34">
        <f>COUNTIFS(Errors!$I:$I,Analysis!$AE82,Errors!$D:$D,Analysis!AX$2)</f>
        <v>0</v>
      </c>
      <c r="AY82" s="34">
        <f>COUNTIFS(Errors!$I:$I,Analysis!$AE82,Errors!$D:$D,Analysis!AY$2)</f>
        <v>0</v>
      </c>
      <c r="AZ82" s="34">
        <f>COUNTIFS(Errors!$I:$I,Analysis!$AE82,Errors!$D:$D,Analysis!AZ$2)</f>
        <v>0</v>
      </c>
      <c r="BA82" s="34">
        <f>COUNTIFS(Errors!$I:$I,Analysis!$AE82,Errors!$D:$D,Analysis!BA$2)</f>
        <v>0</v>
      </c>
      <c r="BB82" s="34">
        <f>COUNTIFS(Errors!$I:$I,Analysis!$AE82,Errors!$D:$D,Analysis!BB$2)</f>
        <v>0</v>
      </c>
      <c r="BC82" s="34">
        <f>COUNTIFS(Errors!$I:$I,Analysis!$AE82,Errors!$D:$D,Analysis!BC$2)</f>
        <v>0</v>
      </c>
      <c r="BD82" s="34">
        <f>COUNTIFS(Errors!$I:$I,Analysis!$AE82,Errors!$D:$D,Analysis!BD$2)</f>
        <v>0</v>
      </c>
      <c r="BE82" s="34">
        <f>COUNTIFS(Errors!$I:$I,Analysis!$AE82,Errors!$D:$D,Analysis!BE$2)</f>
        <v>0</v>
      </c>
      <c r="BF82" s="34">
        <f>COUNTIFS(Errors!$I:$I,Analysis!$AE82,Errors!$D:$D,Analysis!BF$2)</f>
        <v>0</v>
      </c>
      <c r="BG82" s="34">
        <f>COUNTIFS(Errors!$I:$I,Analysis!$AE82,Errors!$D:$D,Analysis!BG$2)</f>
        <v>0</v>
      </c>
      <c r="BH82" s="34">
        <f>COUNTIFS(Errors!$I:$I,Analysis!$AE82,Errors!$D:$D,Analysis!BH$2)</f>
        <v>0</v>
      </c>
      <c r="BI82" s="34">
        <f>COUNTIFS(Errors!$I:$I,Analysis!$AE82,Errors!$D:$D,Analysis!BI$2)</f>
        <v>0</v>
      </c>
      <c r="BJ82" s="34">
        <f>COUNTIFS(Errors!$I:$I,Analysis!$AE82,Errors!$D:$D,Analysis!BJ$2)</f>
        <v>0</v>
      </c>
      <c r="BL82" s="39">
        <f t="shared" si="19"/>
        <v>0</v>
      </c>
      <c r="BN82" s="129">
        <f t="shared" si="20"/>
        <v>0</v>
      </c>
      <c r="BO82" s="130" t="s">
        <v>135</v>
      </c>
    </row>
    <row r="83" ht="15.75" customHeight="1">
      <c r="I83" s="50"/>
      <c r="AE83" s="35" t="s">
        <v>135</v>
      </c>
      <c r="AF83" s="34">
        <f>COUNTIFS(Errors!$I:$I,Analysis!$AE83,Errors!$D:$D,Analysis!AF$2)</f>
        <v>0</v>
      </c>
      <c r="AG83" s="34">
        <f>COUNTIFS(Errors!$I:$I,Analysis!$AE83,Errors!$D:$D,Analysis!AG$2)</f>
        <v>0</v>
      </c>
      <c r="AH83" s="34">
        <f>COUNTIFS(Errors!$I:$I,Analysis!$AE83,Errors!$D:$D,Analysis!AH$2)</f>
        <v>0</v>
      </c>
      <c r="AI83" s="34">
        <f>COUNTIFS(Errors!$I:$I,Analysis!$AE83,Errors!$D:$D,Analysis!AI$2)</f>
        <v>0</v>
      </c>
      <c r="AJ83" s="34">
        <f>COUNTIFS(Errors!$I:$I,Analysis!$AE83,Errors!$D:$D,Analysis!AJ$2)</f>
        <v>0</v>
      </c>
      <c r="AK83" s="34">
        <f>COUNTIFS(Errors!$I:$I,Analysis!$AE83,Errors!$D:$D,Analysis!AK$2)</f>
        <v>0</v>
      </c>
      <c r="AL83" s="34">
        <f>COUNTIFS(Errors!$I:$I,Analysis!$AE83,Errors!$D:$D,Analysis!AL$2)</f>
        <v>0</v>
      </c>
      <c r="AM83" s="34">
        <f>COUNTIFS(Errors!$I:$I,Analysis!$AE83,Errors!$D:$D,Analysis!AM$2)</f>
        <v>0</v>
      </c>
      <c r="AN83" s="34">
        <f>COUNTIFS(Errors!$I:$I,Analysis!$AE83,Errors!$D:$D,Analysis!AN$2)</f>
        <v>0</v>
      </c>
      <c r="AO83" s="34">
        <f>COUNTIFS(Errors!$I:$I,Analysis!$AE83,Errors!$D:$D,Analysis!AO$2)</f>
        <v>0</v>
      </c>
      <c r="AP83" s="34">
        <f>COUNTIFS(Errors!$I:$I,Analysis!$AE83,Errors!$D:$D,Analysis!AP$2)</f>
        <v>0</v>
      </c>
      <c r="AQ83" s="34">
        <f>COUNTIFS(Errors!$I:$I,Analysis!$AE83,Errors!$D:$D,Analysis!AQ$2)</f>
        <v>0</v>
      </c>
      <c r="AR83" s="34">
        <f>COUNTIFS(Errors!$I:$I,Analysis!$AE83,Errors!$D:$D,Analysis!AR$2)</f>
        <v>0</v>
      </c>
      <c r="AS83" s="34">
        <f>COUNTIFS(Errors!$I:$I,Analysis!$AE83,Errors!$D:$D,Analysis!AS$2)</f>
        <v>0</v>
      </c>
      <c r="AT83" s="34">
        <f>COUNTIFS(Errors!$I:$I,Analysis!$AE83,Errors!$D:$D,Analysis!AT$2)</f>
        <v>0</v>
      </c>
      <c r="AU83" s="34">
        <f>COUNTIFS(Errors!$I:$I,Analysis!$AE83,Errors!$D:$D,Analysis!AU$2)</f>
        <v>0</v>
      </c>
      <c r="AV83" s="34">
        <f>COUNTIFS(Errors!$I:$I,Analysis!$AE83,Errors!$D:$D,Analysis!AV$2)</f>
        <v>0</v>
      </c>
      <c r="AW83" s="34">
        <f>COUNTIFS(Errors!$I:$I,Analysis!$AE83,Errors!$D:$D,Analysis!AW$2)</f>
        <v>0</v>
      </c>
      <c r="AX83" s="34">
        <f>COUNTIFS(Errors!$I:$I,Analysis!$AE83,Errors!$D:$D,Analysis!AX$2)</f>
        <v>0</v>
      </c>
      <c r="AY83" s="34">
        <f>COUNTIFS(Errors!$I:$I,Analysis!$AE83,Errors!$D:$D,Analysis!AY$2)</f>
        <v>0</v>
      </c>
      <c r="AZ83" s="34">
        <f>COUNTIFS(Errors!$I:$I,Analysis!$AE83,Errors!$D:$D,Analysis!AZ$2)</f>
        <v>0</v>
      </c>
      <c r="BA83" s="34">
        <f>COUNTIFS(Errors!$I:$I,Analysis!$AE83,Errors!$D:$D,Analysis!BA$2)</f>
        <v>0</v>
      </c>
      <c r="BB83" s="34">
        <f>COUNTIFS(Errors!$I:$I,Analysis!$AE83,Errors!$D:$D,Analysis!BB$2)</f>
        <v>0</v>
      </c>
      <c r="BC83" s="34">
        <f>COUNTIFS(Errors!$I:$I,Analysis!$AE83,Errors!$D:$D,Analysis!BC$2)</f>
        <v>0</v>
      </c>
      <c r="BD83" s="34">
        <f>COUNTIFS(Errors!$I:$I,Analysis!$AE83,Errors!$D:$D,Analysis!BD$2)</f>
        <v>0</v>
      </c>
      <c r="BE83" s="34">
        <f>COUNTIFS(Errors!$I:$I,Analysis!$AE83,Errors!$D:$D,Analysis!BE$2)</f>
        <v>0</v>
      </c>
      <c r="BF83" s="34">
        <f>COUNTIFS(Errors!$I:$I,Analysis!$AE83,Errors!$D:$D,Analysis!BF$2)</f>
        <v>0</v>
      </c>
      <c r="BG83" s="34">
        <f>COUNTIFS(Errors!$I:$I,Analysis!$AE83,Errors!$D:$D,Analysis!BG$2)</f>
        <v>0</v>
      </c>
      <c r="BH83" s="34">
        <f>COUNTIFS(Errors!$I:$I,Analysis!$AE83,Errors!$D:$D,Analysis!BH$2)</f>
        <v>0</v>
      </c>
      <c r="BI83" s="34">
        <f>COUNTIFS(Errors!$I:$I,Analysis!$AE83,Errors!$D:$D,Analysis!BI$2)</f>
        <v>0</v>
      </c>
      <c r="BJ83" s="34">
        <f>COUNTIFS(Errors!$I:$I,Analysis!$AE83,Errors!$D:$D,Analysis!BJ$2)</f>
        <v>0</v>
      </c>
      <c r="BL83" s="39">
        <f t="shared" si="19"/>
        <v>0</v>
      </c>
      <c r="BN83" s="129">
        <f t="shared" si="20"/>
        <v>0</v>
      </c>
      <c r="BO83" s="130" t="s">
        <v>135</v>
      </c>
    </row>
    <row r="84" ht="15.75" customHeight="1">
      <c r="I84" s="50"/>
      <c r="AE84" s="35" t="s">
        <v>135</v>
      </c>
      <c r="AF84" s="34">
        <f>COUNTIFS(Errors!$I:$I,Analysis!$AE84,Errors!$D:$D,Analysis!AF$2)</f>
        <v>0</v>
      </c>
      <c r="AG84" s="34">
        <f>COUNTIFS(Errors!$I:$I,Analysis!$AE84,Errors!$D:$D,Analysis!AG$2)</f>
        <v>0</v>
      </c>
      <c r="AH84" s="34">
        <f>COUNTIFS(Errors!$I:$I,Analysis!$AE84,Errors!$D:$D,Analysis!AH$2)</f>
        <v>0</v>
      </c>
      <c r="AI84" s="34">
        <f>COUNTIFS(Errors!$I:$I,Analysis!$AE84,Errors!$D:$D,Analysis!AI$2)</f>
        <v>0</v>
      </c>
      <c r="AJ84" s="34">
        <f>COUNTIFS(Errors!$I:$I,Analysis!$AE84,Errors!$D:$D,Analysis!AJ$2)</f>
        <v>0</v>
      </c>
      <c r="AK84" s="34">
        <f>COUNTIFS(Errors!$I:$I,Analysis!$AE84,Errors!$D:$D,Analysis!AK$2)</f>
        <v>0</v>
      </c>
      <c r="AL84" s="34">
        <f>COUNTIFS(Errors!$I:$I,Analysis!$AE84,Errors!$D:$D,Analysis!AL$2)</f>
        <v>0</v>
      </c>
      <c r="AM84" s="34">
        <f>COUNTIFS(Errors!$I:$I,Analysis!$AE84,Errors!$D:$D,Analysis!AM$2)</f>
        <v>0</v>
      </c>
      <c r="AN84" s="34">
        <f>COUNTIFS(Errors!$I:$I,Analysis!$AE84,Errors!$D:$D,Analysis!AN$2)</f>
        <v>0</v>
      </c>
      <c r="AO84" s="34">
        <f>COUNTIFS(Errors!$I:$I,Analysis!$AE84,Errors!$D:$D,Analysis!AO$2)</f>
        <v>0</v>
      </c>
      <c r="AP84" s="34">
        <f>COUNTIFS(Errors!$I:$I,Analysis!$AE84,Errors!$D:$D,Analysis!AP$2)</f>
        <v>0</v>
      </c>
      <c r="AQ84" s="34">
        <f>COUNTIFS(Errors!$I:$I,Analysis!$AE84,Errors!$D:$D,Analysis!AQ$2)</f>
        <v>0</v>
      </c>
      <c r="AR84" s="34">
        <f>COUNTIFS(Errors!$I:$I,Analysis!$AE84,Errors!$D:$D,Analysis!AR$2)</f>
        <v>0</v>
      </c>
      <c r="AS84" s="34">
        <f>COUNTIFS(Errors!$I:$I,Analysis!$AE84,Errors!$D:$D,Analysis!AS$2)</f>
        <v>0</v>
      </c>
      <c r="AT84" s="34">
        <f>COUNTIFS(Errors!$I:$I,Analysis!$AE84,Errors!$D:$D,Analysis!AT$2)</f>
        <v>0</v>
      </c>
      <c r="AU84" s="34">
        <f>COUNTIFS(Errors!$I:$I,Analysis!$AE84,Errors!$D:$D,Analysis!AU$2)</f>
        <v>0</v>
      </c>
      <c r="AV84" s="34">
        <f>COUNTIFS(Errors!$I:$I,Analysis!$AE84,Errors!$D:$D,Analysis!AV$2)</f>
        <v>0</v>
      </c>
      <c r="AW84" s="34">
        <f>COUNTIFS(Errors!$I:$I,Analysis!$AE84,Errors!$D:$D,Analysis!AW$2)</f>
        <v>0</v>
      </c>
      <c r="AX84" s="34">
        <f>COUNTIFS(Errors!$I:$I,Analysis!$AE84,Errors!$D:$D,Analysis!AX$2)</f>
        <v>0</v>
      </c>
      <c r="AY84" s="34">
        <f>COUNTIFS(Errors!$I:$I,Analysis!$AE84,Errors!$D:$D,Analysis!AY$2)</f>
        <v>0</v>
      </c>
      <c r="AZ84" s="34">
        <f>COUNTIFS(Errors!$I:$I,Analysis!$AE84,Errors!$D:$D,Analysis!AZ$2)</f>
        <v>0</v>
      </c>
      <c r="BA84" s="34">
        <f>COUNTIFS(Errors!$I:$I,Analysis!$AE84,Errors!$D:$D,Analysis!BA$2)</f>
        <v>0</v>
      </c>
      <c r="BB84" s="34">
        <f>COUNTIFS(Errors!$I:$I,Analysis!$AE84,Errors!$D:$D,Analysis!BB$2)</f>
        <v>0</v>
      </c>
      <c r="BC84" s="34">
        <f>COUNTIFS(Errors!$I:$I,Analysis!$AE84,Errors!$D:$D,Analysis!BC$2)</f>
        <v>0</v>
      </c>
      <c r="BD84" s="34">
        <f>COUNTIFS(Errors!$I:$I,Analysis!$AE84,Errors!$D:$D,Analysis!BD$2)</f>
        <v>0</v>
      </c>
      <c r="BE84" s="34">
        <f>COUNTIFS(Errors!$I:$I,Analysis!$AE84,Errors!$D:$D,Analysis!BE$2)</f>
        <v>0</v>
      </c>
      <c r="BF84" s="34">
        <f>COUNTIFS(Errors!$I:$I,Analysis!$AE84,Errors!$D:$D,Analysis!BF$2)</f>
        <v>0</v>
      </c>
      <c r="BG84" s="34">
        <f>COUNTIFS(Errors!$I:$I,Analysis!$AE84,Errors!$D:$D,Analysis!BG$2)</f>
        <v>0</v>
      </c>
      <c r="BH84" s="34">
        <f>COUNTIFS(Errors!$I:$I,Analysis!$AE84,Errors!$D:$D,Analysis!BH$2)</f>
        <v>0</v>
      </c>
      <c r="BI84" s="34">
        <f>COUNTIFS(Errors!$I:$I,Analysis!$AE84,Errors!$D:$D,Analysis!BI$2)</f>
        <v>0</v>
      </c>
      <c r="BJ84" s="34">
        <f>COUNTIFS(Errors!$I:$I,Analysis!$AE84,Errors!$D:$D,Analysis!BJ$2)</f>
        <v>0</v>
      </c>
      <c r="BL84" s="39">
        <f t="shared" si="19"/>
        <v>0</v>
      </c>
      <c r="BN84" s="129">
        <f t="shared" si="20"/>
        <v>0</v>
      </c>
      <c r="BO84" s="130" t="s">
        <v>135</v>
      </c>
    </row>
    <row r="85" ht="15.75" customHeight="1">
      <c r="C85" s="38"/>
      <c r="D85" s="38"/>
      <c r="E85" s="38"/>
      <c r="F85" s="38"/>
      <c r="G85" s="38"/>
      <c r="H85" s="38"/>
      <c r="I85" s="60"/>
      <c r="AE85" s="131" t="s">
        <v>144</v>
      </c>
      <c r="AF85" s="34">
        <f>COUNTIFS(Errors!$I:$I,Analysis!$AE85,Errors!$D:$D,Analysis!AF$2)</f>
        <v>0</v>
      </c>
      <c r="AG85" s="34">
        <f>COUNTIFS(Errors!$I:$I,Analysis!$AE85,Errors!$D:$D,Analysis!AG$2)</f>
        <v>0</v>
      </c>
      <c r="AH85" s="34">
        <f>COUNTIFS(Errors!$I:$I,Analysis!$AE85,Errors!$D:$D,Analysis!AH$2)</f>
        <v>0</v>
      </c>
      <c r="AI85" s="34">
        <f>COUNTIFS(Errors!$I:$I,Analysis!$AE85,Errors!$D:$D,Analysis!AI$2)</f>
        <v>0</v>
      </c>
      <c r="AJ85" s="34">
        <f>COUNTIFS(Errors!$I:$I,Analysis!$AE85,Errors!$D:$D,Analysis!AJ$2)</f>
        <v>0</v>
      </c>
      <c r="AK85" s="34">
        <f>COUNTIFS(Errors!$I:$I,Analysis!$AE85,Errors!$D:$D,Analysis!AK$2)</f>
        <v>0</v>
      </c>
      <c r="AL85" s="34">
        <f>COUNTIFS(Errors!$I:$I,Analysis!$AE85,Errors!$D:$D,Analysis!AL$2)</f>
        <v>0</v>
      </c>
      <c r="AM85" s="34">
        <f>COUNTIFS(Errors!$I:$I,Analysis!$AE85,Errors!$D:$D,Analysis!AM$2)</f>
        <v>0</v>
      </c>
      <c r="AN85" s="34">
        <f>COUNTIFS(Errors!$I:$I,Analysis!$AE85,Errors!$D:$D,Analysis!AN$2)</f>
        <v>0</v>
      </c>
      <c r="AO85" s="34">
        <f>COUNTIFS(Errors!$I:$I,Analysis!$AE85,Errors!$D:$D,Analysis!AO$2)</f>
        <v>0</v>
      </c>
      <c r="AP85" s="34">
        <f>COUNTIFS(Errors!$I:$I,Analysis!$AE85,Errors!$D:$D,Analysis!AP$2)</f>
        <v>0</v>
      </c>
      <c r="AQ85" s="34">
        <f>COUNTIFS(Errors!$I:$I,Analysis!$AE85,Errors!$D:$D,Analysis!AQ$2)</f>
        <v>0</v>
      </c>
      <c r="AR85" s="34">
        <f>COUNTIFS(Errors!$I:$I,Analysis!$AE85,Errors!$D:$D,Analysis!AR$2)</f>
        <v>0</v>
      </c>
      <c r="AS85" s="34">
        <f>COUNTIFS(Errors!$I:$I,Analysis!$AE85,Errors!$D:$D,Analysis!AS$2)</f>
        <v>0</v>
      </c>
      <c r="AT85" s="34">
        <f>COUNTIFS(Errors!$I:$I,Analysis!$AE85,Errors!$D:$D,Analysis!AT$2)</f>
        <v>0</v>
      </c>
      <c r="AU85" s="34">
        <f>COUNTIFS(Errors!$I:$I,Analysis!$AE85,Errors!$D:$D,Analysis!AU$2)</f>
        <v>0</v>
      </c>
      <c r="AV85" s="34">
        <f>COUNTIFS(Errors!$I:$I,Analysis!$AE85,Errors!$D:$D,Analysis!AV$2)</f>
        <v>0</v>
      </c>
      <c r="AW85" s="34">
        <f>COUNTIFS(Errors!$I:$I,Analysis!$AE85,Errors!$D:$D,Analysis!AW$2)</f>
        <v>0</v>
      </c>
      <c r="AX85" s="34">
        <f>COUNTIFS(Errors!$I:$I,Analysis!$AE85,Errors!$D:$D,Analysis!AX$2)</f>
        <v>0</v>
      </c>
      <c r="AY85" s="34">
        <f>COUNTIFS(Errors!$I:$I,Analysis!$AE85,Errors!$D:$D,Analysis!AY$2)</f>
        <v>0</v>
      </c>
      <c r="AZ85" s="34">
        <f>COUNTIFS(Errors!$I:$I,Analysis!$AE85,Errors!$D:$D,Analysis!AZ$2)</f>
        <v>0</v>
      </c>
      <c r="BA85" s="34">
        <f>COUNTIFS(Errors!$I:$I,Analysis!$AE85,Errors!$D:$D,Analysis!BA$2)</f>
        <v>0</v>
      </c>
      <c r="BB85" s="34">
        <f>COUNTIFS(Errors!$I:$I,Analysis!$AE85,Errors!$D:$D,Analysis!BB$2)</f>
        <v>0</v>
      </c>
      <c r="BC85" s="34">
        <f>COUNTIFS(Errors!$I:$I,Analysis!$AE85,Errors!$D:$D,Analysis!BC$2)</f>
        <v>0</v>
      </c>
      <c r="BD85" s="34">
        <f>COUNTIFS(Errors!$I:$I,Analysis!$AE85,Errors!$D:$D,Analysis!BD$2)</f>
        <v>0</v>
      </c>
      <c r="BE85" s="34">
        <f>COUNTIFS(Errors!$I:$I,Analysis!$AE85,Errors!$D:$D,Analysis!BE$2)</f>
        <v>0</v>
      </c>
      <c r="BF85" s="34">
        <f>COUNTIFS(Errors!$I:$I,Analysis!$AE85,Errors!$D:$D,Analysis!BF$2)</f>
        <v>0</v>
      </c>
      <c r="BG85" s="34">
        <f>COUNTIFS(Errors!$I:$I,Analysis!$AE85,Errors!$D:$D,Analysis!BG$2)</f>
        <v>0</v>
      </c>
      <c r="BH85" s="34">
        <f>COUNTIFS(Errors!$I:$I,Analysis!$AE85,Errors!$D:$D,Analysis!BH$2)</f>
        <v>0</v>
      </c>
      <c r="BI85" s="34">
        <f>COUNTIFS(Errors!$I:$I,Analysis!$AE85,Errors!$D:$D,Analysis!BI$2)</f>
        <v>0</v>
      </c>
      <c r="BJ85" s="34">
        <f>COUNTIFS(Errors!$I:$I,Analysis!$AE85,Errors!$D:$D,Analysis!BJ$2)</f>
        <v>0</v>
      </c>
      <c r="BL85" s="39">
        <f t="shared" si="19"/>
        <v>0</v>
      </c>
      <c r="BN85" s="129">
        <f t="shared" si="20"/>
        <v>0</v>
      </c>
      <c r="BO85" s="130" t="s">
        <v>144</v>
      </c>
    </row>
    <row r="86" ht="15.75" customHeight="1">
      <c r="AE86" s="35" t="s">
        <v>148</v>
      </c>
      <c r="AF86" s="34">
        <f>COUNTIFS(Errors!$I:$I,Analysis!$AE86,Errors!$D:$D,Analysis!AF$2)</f>
        <v>0</v>
      </c>
      <c r="AG86" s="34">
        <f>COUNTIFS(Errors!$I:$I,Analysis!$AE86,Errors!$D:$D,Analysis!AG$2)</f>
        <v>0</v>
      </c>
      <c r="AH86" s="34">
        <f>COUNTIFS(Errors!$I:$I,Analysis!$AE86,Errors!$D:$D,Analysis!AH$2)</f>
        <v>0</v>
      </c>
      <c r="AI86" s="34">
        <f>COUNTIFS(Errors!$I:$I,Analysis!$AE86,Errors!$D:$D,Analysis!AI$2)</f>
        <v>0</v>
      </c>
      <c r="AJ86" s="34">
        <f>COUNTIFS(Errors!$I:$I,Analysis!$AE86,Errors!$D:$D,Analysis!AJ$2)</f>
        <v>0</v>
      </c>
      <c r="AK86" s="34">
        <f>COUNTIFS(Errors!$I:$I,Analysis!$AE86,Errors!$D:$D,Analysis!AK$2)</f>
        <v>0</v>
      </c>
      <c r="AL86" s="34">
        <f>COUNTIFS(Errors!$I:$I,Analysis!$AE86,Errors!$D:$D,Analysis!AL$2)</f>
        <v>0</v>
      </c>
      <c r="AM86" s="34">
        <f>COUNTIFS(Errors!$I:$I,Analysis!$AE86,Errors!$D:$D,Analysis!AM$2)</f>
        <v>0</v>
      </c>
      <c r="AN86" s="34">
        <f>COUNTIFS(Errors!$I:$I,Analysis!$AE86,Errors!$D:$D,Analysis!AN$2)</f>
        <v>0</v>
      </c>
      <c r="AO86" s="34">
        <f>COUNTIFS(Errors!$I:$I,Analysis!$AE86,Errors!$D:$D,Analysis!AO$2)</f>
        <v>0</v>
      </c>
      <c r="AP86" s="34">
        <f>COUNTIFS(Errors!$I:$I,Analysis!$AE86,Errors!$D:$D,Analysis!AP$2)</f>
        <v>0</v>
      </c>
      <c r="AQ86" s="34">
        <f>COUNTIFS(Errors!$I:$I,Analysis!$AE86,Errors!$D:$D,Analysis!AQ$2)</f>
        <v>0</v>
      </c>
      <c r="AR86" s="34">
        <f>COUNTIFS(Errors!$I:$I,Analysis!$AE86,Errors!$D:$D,Analysis!AR$2)</f>
        <v>0</v>
      </c>
      <c r="AS86" s="34">
        <f>COUNTIFS(Errors!$I:$I,Analysis!$AE86,Errors!$D:$D,Analysis!AS$2)</f>
        <v>0</v>
      </c>
      <c r="AT86" s="34">
        <f>COUNTIFS(Errors!$I:$I,Analysis!$AE86,Errors!$D:$D,Analysis!AT$2)</f>
        <v>0</v>
      </c>
      <c r="AU86" s="34">
        <f>COUNTIFS(Errors!$I:$I,Analysis!$AE86,Errors!$D:$D,Analysis!AU$2)</f>
        <v>0</v>
      </c>
      <c r="AV86" s="34">
        <f>COUNTIFS(Errors!$I:$I,Analysis!$AE86,Errors!$D:$D,Analysis!AV$2)</f>
        <v>0</v>
      </c>
      <c r="AW86" s="34">
        <f>COUNTIFS(Errors!$I:$I,Analysis!$AE86,Errors!$D:$D,Analysis!AW$2)</f>
        <v>0</v>
      </c>
      <c r="AX86" s="34">
        <f>COUNTIFS(Errors!$I:$I,Analysis!$AE86,Errors!$D:$D,Analysis!AX$2)</f>
        <v>0</v>
      </c>
      <c r="AY86" s="34">
        <f>COUNTIFS(Errors!$I:$I,Analysis!$AE86,Errors!$D:$D,Analysis!AY$2)</f>
        <v>0</v>
      </c>
      <c r="AZ86" s="34">
        <f>COUNTIFS(Errors!$I:$I,Analysis!$AE86,Errors!$D:$D,Analysis!AZ$2)</f>
        <v>0</v>
      </c>
      <c r="BA86" s="34">
        <f>COUNTIFS(Errors!$I:$I,Analysis!$AE86,Errors!$D:$D,Analysis!BA$2)</f>
        <v>0</v>
      </c>
      <c r="BB86" s="34">
        <f>COUNTIFS(Errors!$I:$I,Analysis!$AE86,Errors!$D:$D,Analysis!BB$2)</f>
        <v>0</v>
      </c>
      <c r="BC86" s="34">
        <f>COUNTIFS(Errors!$I:$I,Analysis!$AE86,Errors!$D:$D,Analysis!BC$2)</f>
        <v>0</v>
      </c>
      <c r="BD86" s="34">
        <f>COUNTIFS(Errors!$I:$I,Analysis!$AE86,Errors!$D:$D,Analysis!BD$2)</f>
        <v>0</v>
      </c>
      <c r="BE86" s="34">
        <f>COUNTIFS(Errors!$I:$I,Analysis!$AE86,Errors!$D:$D,Analysis!BE$2)</f>
        <v>0</v>
      </c>
      <c r="BF86" s="34">
        <f>COUNTIFS(Errors!$I:$I,Analysis!$AE86,Errors!$D:$D,Analysis!BF$2)</f>
        <v>0</v>
      </c>
      <c r="BG86" s="34">
        <f>COUNTIFS(Errors!$I:$I,Analysis!$AE86,Errors!$D:$D,Analysis!BG$2)</f>
        <v>0</v>
      </c>
      <c r="BH86" s="34">
        <f>COUNTIFS(Errors!$I:$I,Analysis!$AE86,Errors!$D:$D,Analysis!BH$2)</f>
        <v>0</v>
      </c>
      <c r="BI86" s="34">
        <f>COUNTIFS(Errors!$I:$I,Analysis!$AE86,Errors!$D:$D,Analysis!BI$2)</f>
        <v>0</v>
      </c>
      <c r="BJ86" s="34">
        <f>COUNTIFS(Errors!$I:$I,Analysis!$AE86,Errors!$D:$D,Analysis!BJ$2)</f>
        <v>0</v>
      </c>
      <c r="BL86" s="39">
        <f t="shared" si="19"/>
        <v>0</v>
      </c>
      <c r="BN86" s="129">
        <f t="shared" si="20"/>
        <v>0</v>
      </c>
      <c r="BO86" s="130" t="s">
        <v>148</v>
      </c>
    </row>
    <row r="87" ht="15.75" customHeight="1">
      <c r="AE87" s="35" t="s">
        <v>152</v>
      </c>
      <c r="AF87" s="34">
        <f>COUNTIFS(Errors!$I:$I,Analysis!$AE87,Errors!$D:$D,Analysis!AF$2)</f>
        <v>0</v>
      </c>
      <c r="AG87" s="34">
        <f>COUNTIFS(Errors!$I:$I,Analysis!$AE87,Errors!$D:$D,Analysis!AG$2)</f>
        <v>0</v>
      </c>
      <c r="AH87" s="34">
        <f>COUNTIFS(Errors!$I:$I,Analysis!$AE87,Errors!$D:$D,Analysis!AH$2)</f>
        <v>0</v>
      </c>
      <c r="AI87" s="34">
        <f>COUNTIFS(Errors!$I:$I,Analysis!$AE87,Errors!$D:$D,Analysis!AI$2)</f>
        <v>0</v>
      </c>
      <c r="AJ87" s="34">
        <f>COUNTIFS(Errors!$I:$I,Analysis!$AE87,Errors!$D:$D,Analysis!AJ$2)</f>
        <v>0</v>
      </c>
      <c r="AK87" s="34">
        <f>COUNTIFS(Errors!$I:$I,Analysis!$AE87,Errors!$D:$D,Analysis!AK$2)</f>
        <v>0</v>
      </c>
      <c r="AL87" s="34">
        <f>COUNTIFS(Errors!$I:$I,Analysis!$AE87,Errors!$D:$D,Analysis!AL$2)</f>
        <v>0</v>
      </c>
      <c r="AM87" s="34">
        <f>COUNTIFS(Errors!$I:$I,Analysis!$AE87,Errors!$D:$D,Analysis!AM$2)</f>
        <v>0</v>
      </c>
      <c r="AN87" s="34">
        <f>COUNTIFS(Errors!$I:$I,Analysis!$AE87,Errors!$D:$D,Analysis!AN$2)</f>
        <v>0</v>
      </c>
      <c r="AO87" s="34">
        <f>COUNTIFS(Errors!$I:$I,Analysis!$AE87,Errors!$D:$D,Analysis!AO$2)</f>
        <v>0</v>
      </c>
      <c r="AP87" s="34">
        <f>COUNTIFS(Errors!$I:$I,Analysis!$AE87,Errors!$D:$D,Analysis!AP$2)</f>
        <v>0</v>
      </c>
      <c r="AQ87" s="34">
        <f>COUNTIFS(Errors!$I:$I,Analysis!$AE87,Errors!$D:$D,Analysis!AQ$2)</f>
        <v>0</v>
      </c>
      <c r="AR87" s="34">
        <f>COUNTIFS(Errors!$I:$I,Analysis!$AE87,Errors!$D:$D,Analysis!AR$2)</f>
        <v>0</v>
      </c>
      <c r="AS87" s="34">
        <f>COUNTIFS(Errors!$I:$I,Analysis!$AE87,Errors!$D:$D,Analysis!AS$2)</f>
        <v>0</v>
      </c>
      <c r="AT87" s="34">
        <f>COUNTIFS(Errors!$I:$I,Analysis!$AE87,Errors!$D:$D,Analysis!AT$2)</f>
        <v>0</v>
      </c>
      <c r="AU87" s="34">
        <f>COUNTIFS(Errors!$I:$I,Analysis!$AE87,Errors!$D:$D,Analysis!AU$2)</f>
        <v>0</v>
      </c>
      <c r="AV87" s="34">
        <f>COUNTIFS(Errors!$I:$I,Analysis!$AE87,Errors!$D:$D,Analysis!AV$2)</f>
        <v>0</v>
      </c>
      <c r="AW87" s="34">
        <f>COUNTIFS(Errors!$I:$I,Analysis!$AE87,Errors!$D:$D,Analysis!AW$2)</f>
        <v>0</v>
      </c>
      <c r="AX87" s="34">
        <f>COUNTIFS(Errors!$I:$I,Analysis!$AE87,Errors!$D:$D,Analysis!AX$2)</f>
        <v>0</v>
      </c>
      <c r="AY87" s="34">
        <f>COUNTIFS(Errors!$I:$I,Analysis!$AE87,Errors!$D:$D,Analysis!AY$2)</f>
        <v>0</v>
      </c>
      <c r="AZ87" s="34">
        <f>COUNTIFS(Errors!$I:$I,Analysis!$AE87,Errors!$D:$D,Analysis!AZ$2)</f>
        <v>0</v>
      </c>
      <c r="BA87" s="34">
        <f>COUNTIFS(Errors!$I:$I,Analysis!$AE87,Errors!$D:$D,Analysis!BA$2)</f>
        <v>0</v>
      </c>
      <c r="BB87" s="34">
        <f>COUNTIFS(Errors!$I:$I,Analysis!$AE87,Errors!$D:$D,Analysis!BB$2)</f>
        <v>0</v>
      </c>
      <c r="BC87" s="34">
        <f>COUNTIFS(Errors!$I:$I,Analysis!$AE87,Errors!$D:$D,Analysis!BC$2)</f>
        <v>0</v>
      </c>
      <c r="BD87" s="34">
        <f>COUNTIFS(Errors!$I:$I,Analysis!$AE87,Errors!$D:$D,Analysis!BD$2)</f>
        <v>0</v>
      </c>
      <c r="BE87" s="34">
        <f>COUNTIFS(Errors!$I:$I,Analysis!$AE87,Errors!$D:$D,Analysis!BE$2)</f>
        <v>0</v>
      </c>
      <c r="BF87" s="34">
        <f>COUNTIFS(Errors!$I:$I,Analysis!$AE87,Errors!$D:$D,Analysis!BF$2)</f>
        <v>0</v>
      </c>
      <c r="BG87" s="34">
        <f>COUNTIFS(Errors!$I:$I,Analysis!$AE87,Errors!$D:$D,Analysis!BG$2)</f>
        <v>0</v>
      </c>
      <c r="BH87" s="34">
        <f>COUNTIFS(Errors!$I:$I,Analysis!$AE87,Errors!$D:$D,Analysis!BH$2)</f>
        <v>0</v>
      </c>
      <c r="BI87" s="34">
        <f>COUNTIFS(Errors!$I:$I,Analysis!$AE87,Errors!$D:$D,Analysis!BI$2)</f>
        <v>0</v>
      </c>
      <c r="BJ87" s="34">
        <f>COUNTIFS(Errors!$I:$I,Analysis!$AE87,Errors!$D:$D,Analysis!BJ$2)</f>
        <v>0</v>
      </c>
      <c r="BL87" s="39">
        <f t="shared" si="19"/>
        <v>0</v>
      </c>
      <c r="BN87" s="129">
        <f t="shared" si="20"/>
        <v>0</v>
      </c>
      <c r="BO87" s="130" t="s">
        <v>152</v>
      </c>
    </row>
    <row r="88" ht="15.75" customHeight="1">
      <c r="AE88" s="35" t="s">
        <v>156</v>
      </c>
      <c r="AF88" s="34">
        <f>COUNTIFS(Errors!$I:$I,Analysis!$AE88,Errors!$D:$D,Analysis!AF$2)</f>
        <v>0</v>
      </c>
      <c r="AG88" s="34">
        <f>COUNTIFS(Errors!$I:$I,Analysis!$AE88,Errors!$D:$D,Analysis!AG$2)</f>
        <v>0</v>
      </c>
      <c r="AH88" s="34">
        <f>COUNTIFS(Errors!$I:$I,Analysis!$AE88,Errors!$D:$D,Analysis!AH$2)</f>
        <v>0</v>
      </c>
      <c r="AI88" s="34">
        <f>COUNTIFS(Errors!$I:$I,Analysis!$AE88,Errors!$D:$D,Analysis!AI$2)</f>
        <v>0</v>
      </c>
      <c r="AJ88" s="34">
        <f>COUNTIFS(Errors!$I:$I,Analysis!$AE88,Errors!$D:$D,Analysis!AJ$2)</f>
        <v>0</v>
      </c>
      <c r="AK88" s="34">
        <f>COUNTIFS(Errors!$I:$I,Analysis!$AE88,Errors!$D:$D,Analysis!AK$2)</f>
        <v>0</v>
      </c>
      <c r="AL88" s="34">
        <f>COUNTIFS(Errors!$I:$I,Analysis!$AE88,Errors!$D:$D,Analysis!AL$2)</f>
        <v>0</v>
      </c>
      <c r="AM88" s="34">
        <f>COUNTIFS(Errors!$I:$I,Analysis!$AE88,Errors!$D:$D,Analysis!AM$2)</f>
        <v>0</v>
      </c>
      <c r="AN88" s="34">
        <f>COUNTIFS(Errors!$I:$I,Analysis!$AE88,Errors!$D:$D,Analysis!AN$2)</f>
        <v>0</v>
      </c>
      <c r="AO88" s="34">
        <f>COUNTIFS(Errors!$I:$I,Analysis!$AE88,Errors!$D:$D,Analysis!AO$2)</f>
        <v>0</v>
      </c>
      <c r="AP88" s="34">
        <f>COUNTIFS(Errors!$I:$I,Analysis!$AE88,Errors!$D:$D,Analysis!AP$2)</f>
        <v>0</v>
      </c>
      <c r="AQ88" s="34">
        <f>COUNTIFS(Errors!$I:$I,Analysis!$AE88,Errors!$D:$D,Analysis!AQ$2)</f>
        <v>0</v>
      </c>
      <c r="AR88" s="34">
        <f>COUNTIFS(Errors!$I:$I,Analysis!$AE88,Errors!$D:$D,Analysis!AR$2)</f>
        <v>0</v>
      </c>
      <c r="AS88" s="34">
        <f>COUNTIFS(Errors!$I:$I,Analysis!$AE88,Errors!$D:$D,Analysis!AS$2)</f>
        <v>0</v>
      </c>
      <c r="AT88" s="34">
        <f>COUNTIFS(Errors!$I:$I,Analysis!$AE88,Errors!$D:$D,Analysis!AT$2)</f>
        <v>0</v>
      </c>
      <c r="AU88" s="34">
        <f>COUNTIFS(Errors!$I:$I,Analysis!$AE88,Errors!$D:$D,Analysis!AU$2)</f>
        <v>0</v>
      </c>
      <c r="AV88" s="34">
        <f>COUNTIFS(Errors!$I:$I,Analysis!$AE88,Errors!$D:$D,Analysis!AV$2)</f>
        <v>0</v>
      </c>
      <c r="AW88" s="34">
        <f>COUNTIFS(Errors!$I:$I,Analysis!$AE88,Errors!$D:$D,Analysis!AW$2)</f>
        <v>0</v>
      </c>
      <c r="AX88" s="34">
        <f>COUNTIFS(Errors!$I:$I,Analysis!$AE88,Errors!$D:$D,Analysis!AX$2)</f>
        <v>0</v>
      </c>
      <c r="AY88" s="34">
        <f>COUNTIFS(Errors!$I:$I,Analysis!$AE88,Errors!$D:$D,Analysis!AY$2)</f>
        <v>0</v>
      </c>
      <c r="AZ88" s="34">
        <f>COUNTIFS(Errors!$I:$I,Analysis!$AE88,Errors!$D:$D,Analysis!AZ$2)</f>
        <v>0</v>
      </c>
      <c r="BA88" s="34">
        <f>COUNTIFS(Errors!$I:$I,Analysis!$AE88,Errors!$D:$D,Analysis!BA$2)</f>
        <v>0</v>
      </c>
      <c r="BB88" s="34">
        <f>COUNTIFS(Errors!$I:$I,Analysis!$AE88,Errors!$D:$D,Analysis!BB$2)</f>
        <v>0</v>
      </c>
      <c r="BC88" s="34">
        <f>COUNTIFS(Errors!$I:$I,Analysis!$AE88,Errors!$D:$D,Analysis!BC$2)</f>
        <v>0</v>
      </c>
      <c r="BD88" s="34">
        <f>COUNTIFS(Errors!$I:$I,Analysis!$AE88,Errors!$D:$D,Analysis!BD$2)</f>
        <v>0</v>
      </c>
      <c r="BE88" s="34">
        <f>COUNTIFS(Errors!$I:$I,Analysis!$AE88,Errors!$D:$D,Analysis!BE$2)</f>
        <v>0</v>
      </c>
      <c r="BF88" s="34">
        <f>COUNTIFS(Errors!$I:$I,Analysis!$AE88,Errors!$D:$D,Analysis!BF$2)</f>
        <v>0</v>
      </c>
      <c r="BG88" s="34">
        <f>COUNTIFS(Errors!$I:$I,Analysis!$AE88,Errors!$D:$D,Analysis!BG$2)</f>
        <v>0</v>
      </c>
      <c r="BH88" s="34">
        <f>COUNTIFS(Errors!$I:$I,Analysis!$AE88,Errors!$D:$D,Analysis!BH$2)</f>
        <v>0</v>
      </c>
      <c r="BI88" s="34">
        <f>COUNTIFS(Errors!$I:$I,Analysis!$AE88,Errors!$D:$D,Analysis!BI$2)</f>
        <v>0</v>
      </c>
      <c r="BJ88" s="34">
        <f>COUNTIFS(Errors!$I:$I,Analysis!$AE88,Errors!$D:$D,Analysis!BJ$2)</f>
        <v>0</v>
      </c>
      <c r="BL88" s="39">
        <f t="shared" si="19"/>
        <v>0</v>
      </c>
      <c r="BN88" s="129">
        <f t="shared" si="20"/>
        <v>0</v>
      </c>
      <c r="BO88" s="130" t="s">
        <v>156</v>
      </c>
    </row>
    <row r="89" ht="15.75" customHeight="1">
      <c r="AE89" s="35" t="s">
        <v>160</v>
      </c>
      <c r="AF89" s="34">
        <f>COUNTIFS(Errors!$I:$I,Analysis!$AE89,Errors!$D:$D,Analysis!AF$2)</f>
        <v>0</v>
      </c>
      <c r="AG89" s="34">
        <f>COUNTIFS(Errors!$I:$I,Analysis!$AE89,Errors!$D:$D,Analysis!AG$2)</f>
        <v>0</v>
      </c>
      <c r="AH89" s="34">
        <f>COUNTIFS(Errors!$I:$I,Analysis!$AE89,Errors!$D:$D,Analysis!AH$2)</f>
        <v>0</v>
      </c>
      <c r="AI89" s="34">
        <f>COUNTIFS(Errors!$I:$I,Analysis!$AE89,Errors!$D:$D,Analysis!AI$2)</f>
        <v>0</v>
      </c>
      <c r="AJ89" s="34">
        <f>COUNTIFS(Errors!$I:$I,Analysis!$AE89,Errors!$D:$D,Analysis!AJ$2)</f>
        <v>0</v>
      </c>
      <c r="AK89" s="34">
        <f>COUNTIFS(Errors!$I:$I,Analysis!$AE89,Errors!$D:$D,Analysis!AK$2)</f>
        <v>0</v>
      </c>
      <c r="AL89" s="34">
        <f>COUNTIFS(Errors!$I:$I,Analysis!$AE89,Errors!$D:$D,Analysis!AL$2)</f>
        <v>0</v>
      </c>
      <c r="AM89" s="34">
        <f>COUNTIFS(Errors!$I:$I,Analysis!$AE89,Errors!$D:$D,Analysis!AM$2)</f>
        <v>0</v>
      </c>
      <c r="AN89" s="34">
        <f>COUNTIFS(Errors!$I:$I,Analysis!$AE89,Errors!$D:$D,Analysis!AN$2)</f>
        <v>0</v>
      </c>
      <c r="AO89" s="34">
        <f>COUNTIFS(Errors!$I:$I,Analysis!$AE89,Errors!$D:$D,Analysis!AO$2)</f>
        <v>0</v>
      </c>
      <c r="AP89" s="34">
        <f>COUNTIFS(Errors!$I:$I,Analysis!$AE89,Errors!$D:$D,Analysis!AP$2)</f>
        <v>0</v>
      </c>
      <c r="AQ89" s="34">
        <f>COUNTIFS(Errors!$I:$I,Analysis!$AE89,Errors!$D:$D,Analysis!AQ$2)</f>
        <v>0</v>
      </c>
      <c r="AR89" s="34">
        <f>COUNTIFS(Errors!$I:$I,Analysis!$AE89,Errors!$D:$D,Analysis!AR$2)</f>
        <v>0</v>
      </c>
      <c r="AS89" s="34">
        <f>COUNTIFS(Errors!$I:$I,Analysis!$AE89,Errors!$D:$D,Analysis!AS$2)</f>
        <v>0</v>
      </c>
      <c r="AT89" s="34">
        <f>COUNTIFS(Errors!$I:$I,Analysis!$AE89,Errors!$D:$D,Analysis!AT$2)</f>
        <v>0</v>
      </c>
      <c r="AU89" s="34">
        <f>COUNTIFS(Errors!$I:$I,Analysis!$AE89,Errors!$D:$D,Analysis!AU$2)</f>
        <v>0</v>
      </c>
      <c r="AV89" s="34">
        <f>COUNTIFS(Errors!$I:$I,Analysis!$AE89,Errors!$D:$D,Analysis!AV$2)</f>
        <v>0</v>
      </c>
      <c r="AW89" s="34">
        <f>COUNTIFS(Errors!$I:$I,Analysis!$AE89,Errors!$D:$D,Analysis!AW$2)</f>
        <v>0</v>
      </c>
      <c r="AX89" s="34">
        <f>COUNTIFS(Errors!$I:$I,Analysis!$AE89,Errors!$D:$D,Analysis!AX$2)</f>
        <v>0</v>
      </c>
      <c r="AY89" s="34">
        <f>COUNTIFS(Errors!$I:$I,Analysis!$AE89,Errors!$D:$D,Analysis!AY$2)</f>
        <v>0</v>
      </c>
      <c r="AZ89" s="34">
        <f>COUNTIFS(Errors!$I:$I,Analysis!$AE89,Errors!$D:$D,Analysis!AZ$2)</f>
        <v>0</v>
      </c>
      <c r="BA89" s="34">
        <f>COUNTIFS(Errors!$I:$I,Analysis!$AE89,Errors!$D:$D,Analysis!BA$2)</f>
        <v>0</v>
      </c>
      <c r="BB89" s="34">
        <f>COUNTIFS(Errors!$I:$I,Analysis!$AE89,Errors!$D:$D,Analysis!BB$2)</f>
        <v>0</v>
      </c>
      <c r="BC89" s="34">
        <f>COUNTIFS(Errors!$I:$I,Analysis!$AE89,Errors!$D:$D,Analysis!BC$2)</f>
        <v>0</v>
      </c>
      <c r="BD89" s="34">
        <f>COUNTIFS(Errors!$I:$I,Analysis!$AE89,Errors!$D:$D,Analysis!BD$2)</f>
        <v>0</v>
      </c>
      <c r="BE89" s="34">
        <f>COUNTIFS(Errors!$I:$I,Analysis!$AE89,Errors!$D:$D,Analysis!BE$2)</f>
        <v>0</v>
      </c>
      <c r="BF89" s="34">
        <f>COUNTIFS(Errors!$I:$I,Analysis!$AE89,Errors!$D:$D,Analysis!BF$2)</f>
        <v>0</v>
      </c>
      <c r="BG89" s="34">
        <f>COUNTIFS(Errors!$I:$I,Analysis!$AE89,Errors!$D:$D,Analysis!BG$2)</f>
        <v>0</v>
      </c>
      <c r="BH89" s="34">
        <f>COUNTIFS(Errors!$I:$I,Analysis!$AE89,Errors!$D:$D,Analysis!BH$2)</f>
        <v>0</v>
      </c>
      <c r="BI89" s="34">
        <f>COUNTIFS(Errors!$I:$I,Analysis!$AE89,Errors!$D:$D,Analysis!BI$2)</f>
        <v>0</v>
      </c>
      <c r="BJ89" s="34">
        <f>COUNTIFS(Errors!$I:$I,Analysis!$AE89,Errors!$D:$D,Analysis!BJ$2)</f>
        <v>0</v>
      </c>
      <c r="BL89" s="39">
        <f t="shared" si="19"/>
        <v>0</v>
      </c>
      <c r="BN89" s="129">
        <f t="shared" si="20"/>
        <v>0</v>
      </c>
      <c r="BO89" s="130" t="s">
        <v>160</v>
      </c>
    </row>
    <row r="90" ht="15.75" customHeight="1">
      <c r="AE90" s="35"/>
      <c r="AF90" s="34">
        <f>COUNTIFS(Errors!$I:$I,Analysis!$AE90,Errors!$D:$D,Analysis!AF$2)</f>
        <v>0</v>
      </c>
      <c r="AG90" s="34">
        <f>COUNTIFS(Errors!$I:$I,Analysis!$AE90,Errors!$D:$D,Analysis!AG$2)</f>
        <v>0</v>
      </c>
      <c r="AH90" s="34">
        <f>COUNTIFS(Errors!$I:$I,Analysis!$AE90,Errors!$D:$D,Analysis!AH$2)</f>
        <v>0</v>
      </c>
      <c r="AI90" s="34">
        <f>COUNTIFS(Errors!$I:$I,Analysis!$AE90,Errors!$D:$D,Analysis!AI$2)</f>
        <v>0</v>
      </c>
      <c r="AJ90" s="34">
        <f>COUNTIFS(Errors!$I:$I,Analysis!$AE90,Errors!$D:$D,Analysis!AJ$2)</f>
        <v>0</v>
      </c>
      <c r="AK90" s="34">
        <f>COUNTIFS(Errors!$I:$I,Analysis!$AE90,Errors!$D:$D,Analysis!AK$2)</f>
        <v>0</v>
      </c>
      <c r="AL90" s="34">
        <f>COUNTIFS(Errors!$I:$I,Analysis!$AE90,Errors!$D:$D,Analysis!AL$2)</f>
        <v>0</v>
      </c>
      <c r="AM90" s="34">
        <f>COUNTIFS(Errors!$I:$I,Analysis!$AE90,Errors!$D:$D,Analysis!AM$2)</f>
        <v>0</v>
      </c>
      <c r="AN90" s="34">
        <f>COUNTIFS(Errors!$I:$I,Analysis!$AE90,Errors!$D:$D,Analysis!AN$2)</f>
        <v>0</v>
      </c>
      <c r="AO90" s="34">
        <f>COUNTIFS(Errors!$I:$I,Analysis!$AE90,Errors!$D:$D,Analysis!AO$2)</f>
        <v>0</v>
      </c>
      <c r="AP90" s="34">
        <f>COUNTIFS(Errors!$I:$I,Analysis!$AE90,Errors!$D:$D,Analysis!AP$2)</f>
        <v>0</v>
      </c>
      <c r="AQ90" s="34">
        <f>COUNTIFS(Errors!$I:$I,Analysis!$AE90,Errors!$D:$D,Analysis!AQ$2)</f>
        <v>0</v>
      </c>
      <c r="AR90" s="34">
        <f>COUNTIFS(Errors!$I:$I,Analysis!$AE90,Errors!$D:$D,Analysis!AR$2)</f>
        <v>0</v>
      </c>
      <c r="AS90" s="34">
        <f>COUNTIFS(Errors!$I:$I,Analysis!$AE90,Errors!$D:$D,Analysis!AS$2)</f>
        <v>0</v>
      </c>
      <c r="AT90" s="34">
        <f>COUNTIFS(Errors!$I:$I,Analysis!$AE90,Errors!$D:$D,Analysis!AT$2)</f>
        <v>0</v>
      </c>
      <c r="AU90" s="34">
        <f>COUNTIFS(Errors!$I:$I,Analysis!$AE90,Errors!$D:$D,Analysis!AU$2)</f>
        <v>0</v>
      </c>
      <c r="AV90" s="34">
        <f>COUNTIFS(Errors!$I:$I,Analysis!$AE90,Errors!$D:$D,Analysis!AV$2)</f>
        <v>0</v>
      </c>
      <c r="AW90" s="34">
        <f>COUNTIFS(Errors!$I:$I,Analysis!$AE90,Errors!$D:$D,Analysis!AW$2)</f>
        <v>0</v>
      </c>
      <c r="AX90" s="34">
        <f>COUNTIFS(Errors!$I:$I,Analysis!$AE90,Errors!$D:$D,Analysis!AX$2)</f>
        <v>0</v>
      </c>
      <c r="AY90" s="34">
        <f>COUNTIFS(Errors!$I:$I,Analysis!$AE90,Errors!$D:$D,Analysis!AY$2)</f>
        <v>0</v>
      </c>
      <c r="AZ90" s="34">
        <f>COUNTIFS(Errors!$I:$I,Analysis!$AE90,Errors!$D:$D,Analysis!AZ$2)</f>
        <v>0</v>
      </c>
      <c r="BA90" s="34">
        <f>COUNTIFS(Errors!$I:$I,Analysis!$AE90,Errors!$D:$D,Analysis!BA$2)</f>
        <v>0</v>
      </c>
      <c r="BB90" s="34">
        <f>COUNTIFS(Errors!$I:$I,Analysis!$AE90,Errors!$D:$D,Analysis!BB$2)</f>
        <v>0</v>
      </c>
      <c r="BC90" s="34">
        <f>COUNTIFS(Errors!$I:$I,Analysis!$AE90,Errors!$D:$D,Analysis!BC$2)</f>
        <v>0</v>
      </c>
      <c r="BD90" s="34">
        <f>COUNTIFS(Errors!$I:$I,Analysis!$AE90,Errors!$D:$D,Analysis!BD$2)</f>
        <v>0</v>
      </c>
      <c r="BE90" s="34">
        <f>COUNTIFS(Errors!$I:$I,Analysis!$AE90,Errors!$D:$D,Analysis!BE$2)</f>
        <v>0</v>
      </c>
      <c r="BF90" s="34">
        <f>COUNTIFS(Errors!$I:$I,Analysis!$AE90,Errors!$D:$D,Analysis!BF$2)</f>
        <v>0</v>
      </c>
      <c r="BG90" s="34">
        <f>COUNTIFS(Errors!$I:$I,Analysis!$AE90,Errors!$D:$D,Analysis!BG$2)</f>
        <v>0</v>
      </c>
      <c r="BH90" s="34">
        <f>COUNTIFS(Errors!$I:$I,Analysis!$AE90,Errors!$D:$D,Analysis!BH$2)</f>
        <v>0</v>
      </c>
      <c r="BI90" s="34">
        <f>COUNTIFS(Errors!$I:$I,Analysis!$AE90,Errors!$D:$D,Analysis!BI$2)</f>
        <v>0</v>
      </c>
      <c r="BJ90" s="34">
        <f>COUNTIFS(Errors!$I:$I,Analysis!$AE90,Errors!$D:$D,Analysis!BJ$2)</f>
        <v>0</v>
      </c>
      <c r="BL90" s="39">
        <f t="shared" si="19"/>
        <v>0</v>
      </c>
      <c r="BN90" s="129">
        <f t="shared" si="20"/>
        <v>0</v>
      </c>
      <c r="BO90" s="130" t="s">
        <v>174</v>
      </c>
    </row>
    <row r="91" ht="15.75" customHeight="1">
      <c r="AE91" s="35"/>
      <c r="AF91" s="34">
        <f>COUNTIFS(Errors!$I:$I,Analysis!$AE91,Errors!$D:$D,Analysis!AF$2)</f>
        <v>0</v>
      </c>
      <c r="AG91" s="34">
        <f>COUNTIFS(Errors!$I:$I,Analysis!$AE91,Errors!$D:$D,Analysis!AG$2)</f>
        <v>0</v>
      </c>
      <c r="AH91" s="34">
        <f>COUNTIFS(Errors!$I:$I,Analysis!$AE91,Errors!$D:$D,Analysis!AH$2)</f>
        <v>0</v>
      </c>
      <c r="AI91" s="34">
        <f>COUNTIFS(Errors!$I:$I,Analysis!$AE91,Errors!$D:$D,Analysis!AI$2)</f>
        <v>0</v>
      </c>
      <c r="AJ91" s="34">
        <f>COUNTIFS(Errors!$I:$I,Analysis!$AE91,Errors!$D:$D,Analysis!AJ$2)</f>
        <v>0</v>
      </c>
      <c r="AK91" s="34">
        <f>COUNTIFS(Errors!$I:$I,Analysis!$AE91,Errors!$D:$D,Analysis!AK$2)</f>
        <v>0</v>
      </c>
      <c r="AL91" s="34">
        <f>COUNTIFS(Errors!$I:$I,Analysis!$AE91,Errors!$D:$D,Analysis!AL$2)</f>
        <v>0</v>
      </c>
      <c r="AM91" s="34">
        <f>COUNTIFS(Errors!$I:$I,Analysis!$AE91,Errors!$D:$D,Analysis!AM$2)</f>
        <v>0</v>
      </c>
      <c r="AN91" s="34">
        <f>COUNTIFS(Errors!$I:$I,Analysis!$AE91,Errors!$D:$D,Analysis!AN$2)</f>
        <v>0</v>
      </c>
      <c r="AO91" s="34">
        <f>COUNTIFS(Errors!$I:$I,Analysis!$AE91,Errors!$D:$D,Analysis!AO$2)</f>
        <v>0</v>
      </c>
      <c r="AP91" s="34">
        <f>COUNTIFS(Errors!$I:$I,Analysis!$AE91,Errors!$D:$D,Analysis!AP$2)</f>
        <v>0</v>
      </c>
      <c r="AQ91" s="34">
        <f>COUNTIFS(Errors!$I:$I,Analysis!$AE91,Errors!$D:$D,Analysis!AQ$2)</f>
        <v>0</v>
      </c>
      <c r="AR91" s="34">
        <f>COUNTIFS(Errors!$I:$I,Analysis!$AE91,Errors!$D:$D,Analysis!AR$2)</f>
        <v>0</v>
      </c>
      <c r="AS91" s="34">
        <f>COUNTIFS(Errors!$I:$I,Analysis!$AE91,Errors!$D:$D,Analysis!AS$2)</f>
        <v>0</v>
      </c>
      <c r="AT91" s="34">
        <f>COUNTIFS(Errors!$I:$I,Analysis!$AE91,Errors!$D:$D,Analysis!AT$2)</f>
        <v>0</v>
      </c>
      <c r="AU91" s="34">
        <f>COUNTIFS(Errors!$I:$I,Analysis!$AE91,Errors!$D:$D,Analysis!AU$2)</f>
        <v>0</v>
      </c>
      <c r="AV91" s="34">
        <f>COUNTIFS(Errors!$I:$I,Analysis!$AE91,Errors!$D:$D,Analysis!AV$2)</f>
        <v>0</v>
      </c>
      <c r="AW91" s="34">
        <f>COUNTIFS(Errors!$I:$I,Analysis!$AE91,Errors!$D:$D,Analysis!AW$2)</f>
        <v>0</v>
      </c>
      <c r="AX91" s="34">
        <f>COUNTIFS(Errors!$I:$I,Analysis!$AE91,Errors!$D:$D,Analysis!AX$2)</f>
        <v>0</v>
      </c>
      <c r="AY91" s="34">
        <f>COUNTIFS(Errors!$I:$I,Analysis!$AE91,Errors!$D:$D,Analysis!AY$2)</f>
        <v>0</v>
      </c>
      <c r="AZ91" s="34">
        <f>COUNTIFS(Errors!$I:$I,Analysis!$AE91,Errors!$D:$D,Analysis!AZ$2)</f>
        <v>0</v>
      </c>
      <c r="BA91" s="34">
        <f>COUNTIFS(Errors!$I:$I,Analysis!$AE91,Errors!$D:$D,Analysis!BA$2)</f>
        <v>0</v>
      </c>
      <c r="BB91" s="34">
        <f>COUNTIFS(Errors!$I:$I,Analysis!$AE91,Errors!$D:$D,Analysis!BB$2)</f>
        <v>0</v>
      </c>
      <c r="BC91" s="34">
        <f>COUNTIFS(Errors!$I:$I,Analysis!$AE91,Errors!$D:$D,Analysis!BC$2)</f>
        <v>0</v>
      </c>
      <c r="BD91" s="34">
        <f>COUNTIFS(Errors!$I:$I,Analysis!$AE91,Errors!$D:$D,Analysis!BD$2)</f>
        <v>0</v>
      </c>
      <c r="BE91" s="34">
        <f>COUNTIFS(Errors!$I:$I,Analysis!$AE91,Errors!$D:$D,Analysis!BE$2)</f>
        <v>0</v>
      </c>
      <c r="BF91" s="34">
        <f>COUNTIFS(Errors!$I:$I,Analysis!$AE91,Errors!$D:$D,Analysis!BF$2)</f>
        <v>0</v>
      </c>
      <c r="BG91" s="34">
        <f>COUNTIFS(Errors!$I:$I,Analysis!$AE91,Errors!$D:$D,Analysis!BG$2)</f>
        <v>0</v>
      </c>
      <c r="BH91" s="34">
        <f>COUNTIFS(Errors!$I:$I,Analysis!$AE91,Errors!$D:$D,Analysis!BH$2)</f>
        <v>0</v>
      </c>
      <c r="BI91" s="34">
        <f>COUNTIFS(Errors!$I:$I,Analysis!$AE91,Errors!$D:$D,Analysis!BI$2)</f>
        <v>0</v>
      </c>
      <c r="BJ91" s="34">
        <f>COUNTIFS(Errors!$I:$I,Analysis!$AE91,Errors!$D:$D,Analysis!BJ$2)</f>
        <v>0</v>
      </c>
      <c r="BL91" s="39">
        <f t="shared" si="19"/>
        <v>0</v>
      </c>
      <c r="BN91" s="129">
        <f t="shared" si="20"/>
        <v>0</v>
      </c>
      <c r="BO91" s="130" t="s">
        <v>175</v>
      </c>
    </row>
    <row r="92" ht="15.75" customHeight="1">
      <c r="AE92" s="35"/>
      <c r="AF92" s="34">
        <f>COUNTIFS(Errors!$I:$I,Analysis!$AE92,Errors!$D:$D,Analysis!AF$2)</f>
        <v>0</v>
      </c>
      <c r="AG92" s="34">
        <f>COUNTIFS(Errors!$I:$I,Analysis!$AE92,Errors!$D:$D,Analysis!AG$2)</f>
        <v>0</v>
      </c>
      <c r="AH92" s="34">
        <f>COUNTIFS(Errors!$I:$I,Analysis!$AE92,Errors!$D:$D,Analysis!AH$2)</f>
        <v>0</v>
      </c>
      <c r="AI92" s="34">
        <f>COUNTIFS(Errors!$I:$I,Analysis!$AE92,Errors!$D:$D,Analysis!AI$2)</f>
        <v>0</v>
      </c>
      <c r="AJ92" s="34">
        <f>COUNTIFS(Errors!$I:$I,Analysis!$AE92,Errors!$D:$D,Analysis!AJ$2)</f>
        <v>0</v>
      </c>
      <c r="AK92" s="34">
        <f>COUNTIFS(Errors!$I:$I,Analysis!$AE92,Errors!$D:$D,Analysis!AK$2)</f>
        <v>0</v>
      </c>
      <c r="AL92" s="34">
        <f>COUNTIFS(Errors!$I:$I,Analysis!$AE92,Errors!$D:$D,Analysis!AL$2)</f>
        <v>0</v>
      </c>
      <c r="AM92" s="34">
        <f>COUNTIFS(Errors!$I:$I,Analysis!$AE92,Errors!$D:$D,Analysis!AM$2)</f>
        <v>0</v>
      </c>
      <c r="AN92" s="34">
        <f>COUNTIFS(Errors!$I:$I,Analysis!$AE92,Errors!$D:$D,Analysis!AN$2)</f>
        <v>0</v>
      </c>
      <c r="AO92" s="34">
        <f>COUNTIFS(Errors!$I:$I,Analysis!$AE92,Errors!$D:$D,Analysis!AO$2)</f>
        <v>0</v>
      </c>
      <c r="AP92" s="34">
        <f>COUNTIFS(Errors!$I:$I,Analysis!$AE92,Errors!$D:$D,Analysis!AP$2)</f>
        <v>0</v>
      </c>
      <c r="AQ92" s="34">
        <f>COUNTIFS(Errors!$I:$I,Analysis!$AE92,Errors!$D:$D,Analysis!AQ$2)</f>
        <v>0</v>
      </c>
      <c r="AR92" s="34">
        <f>COUNTIFS(Errors!$I:$I,Analysis!$AE92,Errors!$D:$D,Analysis!AR$2)</f>
        <v>0</v>
      </c>
      <c r="AS92" s="34">
        <f>COUNTIFS(Errors!$I:$I,Analysis!$AE92,Errors!$D:$D,Analysis!AS$2)</f>
        <v>0</v>
      </c>
      <c r="AT92" s="34">
        <f>COUNTIFS(Errors!$I:$I,Analysis!$AE92,Errors!$D:$D,Analysis!AT$2)</f>
        <v>0</v>
      </c>
      <c r="AU92" s="34">
        <f>COUNTIFS(Errors!$I:$I,Analysis!$AE92,Errors!$D:$D,Analysis!AU$2)</f>
        <v>0</v>
      </c>
      <c r="AV92" s="34">
        <f>COUNTIFS(Errors!$I:$I,Analysis!$AE92,Errors!$D:$D,Analysis!AV$2)</f>
        <v>0</v>
      </c>
      <c r="AW92" s="34">
        <f>COUNTIFS(Errors!$I:$I,Analysis!$AE92,Errors!$D:$D,Analysis!AW$2)</f>
        <v>0</v>
      </c>
      <c r="AX92" s="34">
        <f>COUNTIFS(Errors!$I:$I,Analysis!$AE92,Errors!$D:$D,Analysis!AX$2)</f>
        <v>0</v>
      </c>
      <c r="AY92" s="34">
        <f>COUNTIFS(Errors!$I:$I,Analysis!$AE92,Errors!$D:$D,Analysis!AY$2)</f>
        <v>0</v>
      </c>
      <c r="AZ92" s="34">
        <f>COUNTIFS(Errors!$I:$I,Analysis!$AE92,Errors!$D:$D,Analysis!AZ$2)</f>
        <v>0</v>
      </c>
      <c r="BA92" s="34">
        <f>COUNTIFS(Errors!$I:$I,Analysis!$AE92,Errors!$D:$D,Analysis!BA$2)</f>
        <v>0</v>
      </c>
      <c r="BB92" s="34">
        <f>COUNTIFS(Errors!$I:$I,Analysis!$AE92,Errors!$D:$D,Analysis!BB$2)</f>
        <v>0</v>
      </c>
      <c r="BC92" s="34">
        <f>COUNTIFS(Errors!$I:$I,Analysis!$AE92,Errors!$D:$D,Analysis!BC$2)</f>
        <v>0</v>
      </c>
      <c r="BD92" s="34">
        <f>COUNTIFS(Errors!$I:$I,Analysis!$AE92,Errors!$D:$D,Analysis!BD$2)</f>
        <v>0</v>
      </c>
      <c r="BE92" s="34">
        <f>COUNTIFS(Errors!$I:$I,Analysis!$AE92,Errors!$D:$D,Analysis!BE$2)</f>
        <v>0</v>
      </c>
      <c r="BF92" s="34">
        <f>COUNTIFS(Errors!$I:$I,Analysis!$AE92,Errors!$D:$D,Analysis!BF$2)</f>
        <v>0</v>
      </c>
      <c r="BG92" s="34">
        <f>COUNTIFS(Errors!$I:$I,Analysis!$AE92,Errors!$D:$D,Analysis!BG$2)</f>
        <v>0</v>
      </c>
      <c r="BH92" s="34">
        <f>COUNTIFS(Errors!$I:$I,Analysis!$AE92,Errors!$D:$D,Analysis!BH$2)</f>
        <v>0</v>
      </c>
      <c r="BI92" s="34">
        <f>COUNTIFS(Errors!$I:$I,Analysis!$AE92,Errors!$D:$D,Analysis!BI$2)</f>
        <v>0</v>
      </c>
      <c r="BJ92" s="34">
        <f>COUNTIFS(Errors!$I:$I,Analysis!$AE92,Errors!$D:$D,Analysis!BJ$2)</f>
        <v>0</v>
      </c>
      <c r="BL92" s="39">
        <f t="shared" si="19"/>
        <v>0</v>
      </c>
      <c r="BN92" s="129">
        <f t="shared" si="20"/>
        <v>0</v>
      </c>
      <c r="BO92" s="130" t="s">
        <v>176</v>
      </c>
    </row>
    <row r="93" ht="15.75" customHeight="1">
      <c r="AE93" s="35" t="s">
        <v>56</v>
      </c>
      <c r="AF93" s="34">
        <f>COUNTIFS(Errors!$I:$I,Analysis!$AE93,Errors!$D:$D,Analysis!AF$2)</f>
        <v>0</v>
      </c>
      <c r="AG93" s="34">
        <f>COUNTIFS(Errors!$I:$I,Analysis!$AE93,Errors!$D:$D,Analysis!AG$2)</f>
        <v>0</v>
      </c>
      <c r="AH93" s="34">
        <f>COUNTIFS(Errors!$I:$I,Analysis!$AE93,Errors!$D:$D,Analysis!AH$2)</f>
        <v>0</v>
      </c>
      <c r="AI93" s="34">
        <f>COUNTIFS(Errors!$I:$I,Analysis!$AE93,Errors!$D:$D,Analysis!AI$2)</f>
        <v>0</v>
      </c>
      <c r="AJ93" s="34">
        <f>COUNTIFS(Errors!$I:$I,Analysis!$AE93,Errors!$D:$D,Analysis!AJ$2)</f>
        <v>0</v>
      </c>
      <c r="AK93" s="34">
        <f>COUNTIFS(Errors!$I:$I,Analysis!$AE93,Errors!$D:$D,Analysis!AK$2)</f>
        <v>0</v>
      </c>
      <c r="AL93" s="34">
        <f>COUNTIFS(Errors!$I:$I,Analysis!$AE93,Errors!$D:$D,Analysis!AL$2)</f>
        <v>0</v>
      </c>
      <c r="AM93" s="34">
        <f>COUNTIFS(Errors!$I:$I,Analysis!$AE93,Errors!$D:$D,Analysis!AM$2)</f>
        <v>0</v>
      </c>
      <c r="AN93" s="34">
        <f>COUNTIFS(Errors!$I:$I,Analysis!$AE93,Errors!$D:$D,Analysis!AN$2)</f>
        <v>0</v>
      </c>
      <c r="AO93" s="34">
        <f>COUNTIFS(Errors!$I:$I,Analysis!$AE93,Errors!$D:$D,Analysis!AO$2)</f>
        <v>0</v>
      </c>
      <c r="AP93" s="34">
        <f>COUNTIFS(Errors!$I:$I,Analysis!$AE93,Errors!$D:$D,Analysis!AP$2)</f>
        <v>0</v>
      </c>
      <c r="AQ93" s="34">
        <f>COUNTIFS(Errors!$I:$I,Analysis!$AE93,Errors!$D:$D,Analysis!AQ$2)</f>
        <v>0</v>
      </c>
      <c r="AR93" s="34">
        <f>COUNTIFS(Errors!$I:$I,Analysis!$AE93,Errors!$D:$D,Analysis!AR$2)</f>
        <v>0</v>
      </c>
      <c r="AS93" s="34">
        <f>COUNTIFS(Errors!$I:$I,Analysis!$AE93,Errors!$D:$D,Analysis!AS$2)</f>
        <v>0</v>
      </c>
      <c r="AT93" s="34">
        <f>COUNTIFS(Errors!$I:$I,Analysis!$AE93,Errors!$D:$D,Analysis!AT$2)</f>
        <v>0</v>
      </c>
      <c r="AU93" s="34">
        <f>COUNTIFS(Errors!$I:$I,Analysis!$AE93,Errors!$D:$D,Analysis!AU$2)</f>
        <v>0</v>
      </c>
      <c r="AV93" s="34">
        <f>COUNTIFS(Errors!$I:$I,Analysis!$AE93,Errors!$D:$D,Analysis!AV$2)</f>
        <v>0</v>
      </c>
      <c r="AW93" s="34">
        <f>COUNTIFS(Errors!$I:$I,Analysis!$AE93,Errors!$D:$D,Analysis!AW$2)</f>
        <v>0</v>
      </c>
      <c r="AX93" s="34">
        <f>COUNTIFS(Errors!$I:$I,Analysis!$AE93,Errors!$D:$D,Analysis!AX$2)</f>
        <v>0</v>
      </c>
      <c r="AY93" s="34">
        <f>COUNTIFS(Errors!$I:$I,Analysis!$AE93,Errors!$D:$D,Analysis!AY$2)</f>
        <v>0</v>
      </c>
      <c r="AZ93" s="34">
        <f>COUNTIFS(Errors!$I:$I,Analysis!$AE93,Errors!$D:$D,Analysis!AZ$2)</f>
        <v>0</v>
      </c>
      <c r="BA93" s="34">
        <f>COUNTIFS(Errors!$I:$I,Analysis!$AE93,Errors!$D:$D,Analysis!BA$2)</f>
        <v>0</v>
      </c>
      <c r="BB93" s="34">
        <f>COUNTIFS(Errors!$I:$I,Analysis!$AE93,Errors!$D:$D,Analysis!BB$2)</f>
        <v>0</v>
      </c>
      <c r="BC93" s="34">
        <f>COUNTIFS(Errors!$I:$I,Analysis!$AE93,Errors!$D:$D,Analysis!BC$2)</f>
        <v>0</v>
      </c>
      <c r="BD93" s="34">
        <f>COUNTIFS(Errors!$I:$I,Analysis!$AE93,Errors!$D:$D,Analysis!BD$2)</f>
        <v>0</v>
      </c>
      <c r="BE93" s="34">
        <f>COUNTIFS(Errors!$I:$I,Analysis!$AE93,Errors!$D:$D,Analysis!BE$2)</f>
        <v>0</v>
      </c>
      <c r="BF93" s="34">
        <f>COUNTIFS(Errors!$I:$I,Analysis!$AE93,Errors!$D:$D,Analysis!BF$2)</f>
        <v>0</v>
      </c>
      <c r="BG93" s="34">
        <f>COUNTIFS(Errors!$I:$I,Analysis!$AE93,Errors!$D:$D,Analysis!BG$2)</f>
        <v>0</v>
      </c>
      <c r="BH93" s="34">
        <f>COUNTIFS(Errors!$I:$I,Analysis!$AE93,Errors!$D:$D,Analysis!BH$2)</f>
        <v>0</v>
      </c>
      <c r="BI93" s="34">
        <f>COUNTIFS(Errors!$I:$I,Analysis!$AE93,Errors!$D:$D,Analysis!BI$2)</f>
        <v>0</v>
      </c>
      <c r="BJ93" s="34">
        <f>COUNTIFS(Errors!$I:$I,Analysis!$AE93,Errors!$D:$D,Analysis!BJ$2)</f>
        <v>0</v>
      </c>
      <c r="BL93" s="52">
        <f t="shared" si="19"/>
        <v>0</v>
      </c>
      <c r="BN93" s="132">
        <f t="shared" si="20"/>
        <v>0</v>
      </c>
      <c r="BO93" s="133" t="s">
        <v>56</v>
      </c>
    </row>
    <row r="94" ht="15.75" customHeight="1">
      <c r="AE94" s="35" t="s">
        <v>58</v>
      </c>
      <c r="AF94" s="34">
        <f>COUNTIFS(Errors!$I:$I,Analysis!$AE94,Errors!$D:$D,Analysis!AF$2)</f>
        <v>0</v>
      </c>
      <c r="AG94" s="34">
        <f>COUNTIFS(Errors!$I:$I,Analysis!$AE94,Errors!$D:$D,Analysis!AG$2)</f>
        <v>0</v>
      </c>
      <c r="AH94" s="34">
        <f>COUNTIFS(Errors!$I:$I,Analysis!$AE94,Errors!$D:$D,Analysis!AH$2)</f>
        <v>0</v>
      </c>
      <c r="AI94" s="34">
        <f>COUNTIFS(Errors!$I:$I,Analysis!$AE94,Errors!$D:$D,Analysis!AI$2)</f>
        <v>0</v>
      </c>
      <c r="AJ94" s="34">
        <f>COUNTIFS(Errors!$I:$I,Analysis!$AE94,Errors!$D:$D,Analysis!AJ$2)</f>
        <v>0</v>
      </c>
      <c r="AK94" s="34">
        <f>COUNTIFS(Errors!$I:$I,Analysis!$AE94,Errors!$D:$D,Analysis!AK$2)</f>
        <v>0</v>
      </c>
      <c r="AL94" s="34">
        <f>COUNTIFS(Errors!$I:$I,Analysis!$AE94,Errors!$D:$D,Analysis!AL$2)</f>
        <v>0</v>
      </c>
      <c r="AM94" s="34">
        <f>COUNTIFS(Errors!$I:$I,Analysis!$AE94,Errors!$D:$D,Analysis!AM$2)</f>
        <v>0</v>
      </c>
      <c r="AN94" s="34">
        <f>COUNTIFS(Errors!$I:$I,Analysis!$AE94,Errors!$D:$D,Analysis!AN$2)</f>
        <v>0</v>
      </c>
      <c r="AO94" s="34">
        <f>COUNTIFS(Errors!$I:$I,Analysis!$AE94,Errors!$D:$D,Analysis!AO$2)</f>
        <v>0</v>
      </c>
      <c r="AP94" s="34">
        <f>COUNTIFS(Errors!$I:$I,Analysis!$AE94,Errors!$D:$D,Analysis!AP$2)</f>
        <v>0</v>
      </c>
      <c r="AQ94" s="34">
        <f>COUNTIFS(Errors!$I:$I,Analysis!$AE94,Errors!$D:$D,Analysis!AQ$2)</f>
        <v>0</v>
      </c>
      <c r="AR94" s="34">
        <f>COUNTIFS(Errors!$I:$I,Analysis!$AE94,Errors!$D:$D,Analysis!AR$2)</f>
        <v>0</v>
      </c>
      <c r="AS94" s="34">
        <f>COUNTIFS(Errors!$I:$I,Analysis!$AE94,Errors!$D:$D,Analysis!AS$2)</f>
        <v>0</v>
      </c>
      <c r="AT94" s="34">
        <f>COUNTIFS(Errors!$I:$I,Analysis!$AE94,Errors!$D:$D,Analysis!AT$2)</f>
        <v>0</v>
      </c>
      <c r="AU94" s="34">
        <f>COUNTIFS(Errors!$I:$I,Analysis!$AE94,Errors!$D:$D,Analysis!AU$2)</f>
        <v>0</v>
      </c>
      <c r="AV94" s="34">
        <f>COUNTIFS(Errors!$I:$I,Analysis!$AE94,Errors!$D:$D,Analysis!AV$2)</f>
        <v>0</v>
      </c>
      <c r="AW94" s="34">
        <f>COUNTIFS(Errors!$I:$I,Analysis!$AE94,Errors!$D:$D,Analysis!AW$2)</f>
        <v>0</v>
      </c>
      <c r="AX94" s="34">
        <f>COUNTIFS(Errors!$I:$I,Analysis!$AE94,Errors!$D:$D,Analysis!AX$2)</f>
        <v>0</v>
      </c>
      <c r="AY94" s="34">
        <f>COUNTIFS(Errors!$I:$I,Analysis!$AE94,Errors!$D:$D,Analysis!AY$2)</f>
        <v>0</v>
      </c>
      <c r="AZ94" s="34">
        <f>COUNTIFS(Errors!$I:$I,Analysis!$AE94,Errors!$D:$D,Analysis!AZ$2)</f>
        <v>0</v>
      </c>
      <c r="BA94" s="34">
        <f>COUNTIFS(Errors!$I:$I,Analysis!$AE94,Errors!$D:$D,Analysis!BA$2)</f>
        <v>0</v>
      </c>
      <c r="BB94" s="34">
        <f>COUNTIFS(Errors!$I:$I,Analysis!$AE94,Errors!$D:$D,Analysis!BB$2)</f>
        <v>0</v>
      </c>
      <c r="BC94" s="34">
        <f>COUNTIFS(Errors!$I:$I,Analysis!$AE94,Errors!$D:$D,Analysis!BC$2)</f>
        <v>0</v>
      </c>
      <c r="BD94" s="34">
        <f>COUNTIFS(Errors!$I:$I,Analysis!$AE94,Errors!$D:$D,Analysis!BD$2)</f>
        <v>0</v>
      </c>
      <c r="BE94" s="34">
        <f>COUNTIFS(Errors!$I:$I,Analysis!$AE94,Errors!$D:$D,Analysis!BE$2)</f>
        <v>0</v>
      </c>
      <c r="BF94" s="34">
        <f>COUNTIFS(Errors!$I:$I,Analysis!$AE94,Errors!$D:$D,Analysis!BF$2)</f>
        <v>0</v>
      </c>
      <c r="BG94" s="34">
        <f>COUNTIFS(Errors!$I:$I,Analysis!$AE94,Errors!$D:$D,Analysis!BG$2)</f>
        <v>0</v>
      </c>
      <c r="BH94" s="34">
        <f>COUNTIFS(Errors!$I:$I,Analysis!$AE94,Errors!$D:$D,Analysis!BH$2)</f>
        <v>0</v>
      </c>
      <c r="BI94" s="34">
        <f>COUNTIFS(Errors!$I:$I,Analysis!$AE94,Errors!$D:$D,Analysis!BI$2)</f>
        <v>0</v>
      </c>
      <c r="BJ94" s="34">
        <f>COUNTIFS(Errors!$I:$I,Analysis!$AE94,Errors!$D:$D,Analysis!BJ$2)</f>
        <v>0</v>
      </c>
      <c r="BL94" s="39">
        <f t="shared" si="19"/>
        <v>0</v>
      </c>
      <c r="BN94" s="129">
        <f t="shared" si="20"/>
        <v>0</v>
      </c>
      <c r="BO94" s="130" t="s">
        <v>58</v>
      </c>
    </row>
    <row r="95" ht="15.75" customHeight="1">
      <c r="AE95" s="35"/>
      <c r="AF95" s="34">
        <f>COUNTIFS(Errors!$I:$I,Analysis!$AE95,Errors!$D:$D,Analysis!AF$2)</f>
        <v>0</v>
      </c>
      <c r="AG95" s="34">
        <f>COUNTIFS(Errors!$I:$I,Analysis!$AE95,Errors!$D:$D,Analysis!AG$2)</f>
        <v>0</v>
      </c>
      <c r="AH95" s="34">
        <f>COUNTIFS(Errors!$I:$I,Analysis!$AE95,Errors!$D:$D,Analysis!AH$2)</f>
        <v>0</v>
      </c>
      <c r="AI95" s="34">
        <f>COUNTIFS(Errors!$I:$I,Analysis!$AE95,Errors!$D:$D,Analysis!AI$2)</f>
        <v>0</v>
      </c>
      <c r="AJ95" s="34">
        <f>COUNTIFS(Errors!$I:$I,Analysis!$AE95,Errors!$D:$D,Analysis!AJ$2)</f>
        <v>0</v>
      </c>
      <c r="AK95" s="34">
        <f>COUNTIFS(Errors!$I:$I,Analysis!$AE95,Errors!$D:$D,Analysis!AK$2)</f>
        <v>0</v>
      </c>
      <c r="AL95" s="34">
        <f>COUNTIFS(Errors!$I:$I,Analysis!$AE95,Errors!$D:$D,Analysis!AL$2)</f>
        <v>0</v>
      </c>
      <c r="AM95" s="34">
        <f>COUNTIFS(Errors!$I:$I,Analysis!$AE95,Errors!$D:$D,Analysis!AM$2)</f>
        <v>0</v>
      </c>
      <c r="AN95" s="34">
        <f>COUNTIFS(Errors!$I:$I,Analysis!$AE95,Errors!$D:$D,Analysis!AN$2)</f>
        <v>0</v>
      </c>
      <c r="AO95" s="34">
        <f>COUNTIFS(Errors!$I:$I,Analysis!$AE95,Errors!$D:$D,Analysis!AO$2)</f>
        <v>0</v>
      </c>
      <c r="AP95" s="34">
        <f>COUNTIFS(Errors!$I:$I,Analysis!$AE95,Errors!$D:$D,Analysis!AP$2)</f>
        <v>0</v>
      </c>
      <c r="AQ95" s="34">
        <f>COUNTIFS(Errors!$I:$I,Analysis!$AE95,Errors!$D:$D,Analysis!AQ$2)</f>
        <v>0</v>
      </c>
      <c r="AR95" s="34">
        <f>COUNTIFS(Errors!$I:$I,Analysis!$AE95,Errors!$D:$D,Analysis!AR$2)</f>
        <v>0</v>
      </c>
      <c r="AS95" s="34">
        <f>COUNTIFS(Errors!$I:$I,Analysis!$AE95,Errors!$D:$D,Analysis!AS$2)</f>
        <v>0</v>
      </c>
      <c r="AT95" s="34">
        <f>COUNTIFS(Errors!$I:$I,Analysis!$AE95,Errors!$D:$D,Analysis!AT$2)</f>
        <v>0</v>
      </c>
      <c r="AU95" s="34">
        <f>COUNTIFS(Errors!$I:$I,Analysis!$AE95,Errors!$D:$D,Analysis!AU$2)</f>
        <v>0</v>
      </c>
      <c r="AV95" s="34">
        <f>COUNTIFS(Errors!$I:$I,Analysis!$AE95,Errors!$D:$D,Analysis!AV$2)</f>
        <v>0</v>
      </c>
      <c r="AW95" s="34">
        <f>COUNTIFS(Errors!$I:$I,Analysis!$AE95,Errors!$D:$D,Analysis!AW$2)</f>
        <v>0</v>
      </c>
      <c r="AX95" s="34">
        <f>COUNTIFS(Errors!$I:$I,Analysis!$AE95,Errors!$D:$D,Analysis!AX$2)</f>
        <v>0</v>
      </c>
      <c r="AY95" s="34">
        <f>COUNTIFS(Errors!$I:$I,Analysis!$AE95,Errors!$D:$D,Analysis!AY$2)</f>
        <v>0</v>
      </c>
      <c r="AZ95" s="34">
        <f>COUNTIFS(Errors!$I:$I,Analysis!$AE95,Errors!$D:$D,Analysis!AZ$2)</f>
        <v>0</v>
      </c>
      <c r="BA95" s="34">
        <f>COUNTIFS(Errors!$I:$I,Analysis!$AE95,Errors!$D:$D,Analysis!BA$2)</f>
        <v>0</v>
      </c>
      <c r="BB95" s="34">
        <f>COUNTIFS(Errors!$I:$I,Analysis!$AE95,Errors!$D:$D,Analysis!BB$2)</f>
        <v>0</v>
      </c>
      <c r="BC95" s="34">
        <f>COUNTIFS(Errors!$I:$I,Analysis!$AE95,Errors!$D:$D,Analysis!BC$2)</f>
        <v>0</v>
      </c>
      <c r="BD95" s="34">
        <f>COUNTIFS(Errors!$I:$I,Analysis!$AE95,Errors!$D:$D,Analysis!BD$2)</f>
        <v>0</v>
      </c>
      <c r="BE95" s="34">
        <f>COUNTIFS(Errors!$I:$I,Analysis!$AE95,Errors!$D:$D,Analysis!BE$2)</f>
        <v>0</v>
      </c>
      <c r="BF95" s="34">
        <f>COUNTIFS(Errors!$I:$I,Analysis!$AE95,Errors!$D:$D,Analysis!BF$2)</f>
        <v>0</v>
      </c>
      <c r="BG95" s="34">
        <f>COUNTIFS(Errors!$I:$I,Analysis!$AE95,Errors!$D:$D,Analysis!BG$2)</f>
        <v>0</v>
      </c>
      <c r="BH95" s="34">
        <f>COUNTIFS(Errors!$I:$I,Analysis!$AE95,Errors!$D:$D,Analysis!BH$2)</f>
        <v>0</v>
      </c>
      <c r="BI95" s="34">
        <f>COUNTIFS(Errors!$I:$I,Analysis!$AE95,Errors!$D:$D,Analysis!BI$2)</f>
        <v>0</v>
      </c>
      <c r="BJ95" s="34">
        <f>COUNTIFS(Errors!$I:$I,Analysis!$AE95,Errors!$D:$D,Analysis!BJ$2)</f>
        <v>0</v>
      </c>
      <c r="BL95" s="134">
        <f t="shared" si="19"/>
        <v>0</v>
      </c>
      <c r="BN95" s="135">
        <f t="shared" si="20"/>
        <v>0</v>
      </c>
      <c r="BO95" s="136" t="s">
        <v>60</v>
      </c>
    </row>
    <row r="96" ht="15.75" customHeight="1">
      <c r="AE96" s="35"/>
      <c r="AF96" s="34">
        <f>COUNTIFS(Errors!$I:$I,Analysis!$AE96,Errors!$D:$D,Analysis!AF$2)</f>
        <v>0</v>
      </c>
      <c r="AG96" s="34">
        <f>COUNTIFS(Errors!$I:$I,Analysis!$AE96,Errors!$D:$D,Analysis!AG$2)</f>
        <v>0</v>
      </c>
      <c r="AH96" s="34">
        <f>COUNTIFS(Errors!$I:$I,Analysis!$AE96,Errors!$D:$D,Analysis!AH$2)</f>
        <v>0</v>
      </c>
      <c r="AI96" s="34">
        <f>COUNTIFS(Errors!$I:$I,Analysis!$AE96,Errors!$D:$D,Analysis!AI$2)</f>
        <v>0</v>
      </c>
      <c r="AJ96" s="34">
        <f>COUNTIFS(Errors!$I:$I,Analysis!$AE96,Errors!$D:$D,Analysis!AJ$2)</f>
        <v>0</v>
      </c>
      <c r="AK96" s="34">
        <f>COUNTIFS(Errors!$I:$I,Analysis!$AE96,Errors!$D:$D,Analysis!AK$2)</f>
        <v>0</v>
      </c>
      <c r="AL96" s="34">
        <f>COUNTIFS(Errors!$I:$I,Analysis!$AE96,Errors!$D:$D,Analysis!AL$2)</f>
        <v>0</v>
      </c>
      <c r="AM96" s="34">
        <f>COUNTIFS(Errors!$I:$I,Analysis!$AE96,Errors!$D:$D,Analysis!AM$2)</f>
        <v>0</v>
      </c>
      <c r="AN96" s="34">
        <f>COUNTIFS(Errors!$I:$I,Analysis!$AE96,Errors!$D:$D,Analysis!AN$2)</f>
        <v>0</v>
      </c>
      <c r="AO96" s="34">
        <f>COUNTIFS(Errors!$I:$I,Analysis!$AE96,Errors!$D:$D,Analysis!AO$2)</f>
        <v>0</v>
      </c>
      <c r="AP96" s="34">
        <f>COUNTIFS(Errors!$I:$I,Analysis!$AE96,Errors!$D:$D,Analysis!AP$2)</f>
        <v>0</v>
      </c>
      <c r="AQ96" s="34">
        <f>COUNTIFS(Errors!$I:$I,Analysis!$AE96,Errors!$D:$D,Analysis!AQ$2)</f>
        <v>0</v>
      </c>
      <c r="AR96" s="34">
        <f>COUNTIFS(Errors!$I:$I,Analysis!$AE96,Errors!$D:$D,Analysis!AR$2)</f>
        <v>0</v>
      </c>
      <c r="AS96" s="34">
        <f>COUNTIFS(Errors!$I:$I,Analysis!$AE96,Errors!$D:$D,Analysis!AS$2)</f>
        <v>0</v>
      </c>
      <c r="AT96" s="34">
        <f>COUNTIFS(Errors!$I:$I,Analysis!$AE96,Errors!$D:$D,Analysis!AT$2)</f>
        <v>0</v>
      </c>
      <c r="AU96" s="34">
        <f>COUNTIFS(Errors!$I:$I,Analysis!$AE96,Errors!$D:$D,Analysis!AU$2)</f>
        <v>0</v>
      </c>
      <c r="AV96" s="34">
        <f>COUNTIFS(Errors!$I:$I,Analysis!$AE96,Errors!$D:$D,Analysis!AV$2)</f>
        <v>0</v>
      </c>
      <c r="AW96" s="34">
        <f>COUNTIFS(Errors!$I:$I,Analysis!$AE96,Errors!$D:$D,Analysis!AW$2)</f>
        <v>0</v>
      </c>
      <c r="AX96" s="34">
        <f>COUNTIFS(Errors!$I:$I,Analysis!$AE96,Errors!$D:$D,Analysis!AX$2)</f>
        <v>0</v>
      </c>
      <c r="AY96" s="34">
        <f>COUNTIFS(Errors!$I:$I,Analysis!$AE96,Errors!$D:$D,Analysis!AY$2)</f>
        <v>0</v>
      </c>
      <c r="AZ96" s="34">
        <f>COUNTIFS(Errors!$I:$I,Analysis!$AE96,Errors!$D:$D,Analysis!AZ$2)</f>
        <v>0</v>
      </c>
      <c r="BA96" s="34">
        <f>COUNTIFS(Errors!$I:$I,Analysis!$AE96,Errors!$D:$D,Analysis!BA$2)</f>
        <v>0</v>
      </c>
      <c r="BB96" s="34">
        <f>COUNTIFS(Errors!$I:$I,Analysis!$AE96,Errors!$D:$D,Analysis!BB$2)</f>
        <v>0</v>
      </c>
      <c r="BC96" s="34">
        <f>COUNTIFS(Errors!$I:$I,Analysis!$AE96,Errors!$D:$D,Analysis!BC$2)</f>
        <v>0</v>
      </c>
      <c r="BD96" s="34">
        <f>COUNTIFS(Errors!$I:$I,Analysis!$AE96,Errors!$D:$D,Analysis!BD$2)</f>
        <v>0</v>
      </c>
      <c r="BE96" s="34">
        <f>COUNTIFS(Errors!$I:$I,Analysis!$AE96,Errors!$D:$D,Analysis!BE$2)</f>
        <v>0</v>
      </c>
      <c r="BF96" s="34">
        <f>COUNTIFS(Errors!$I:$I,Analysis!$AE96,Errors!$D:$D,Analysis!BF$2)</f>
        <v>0</v>
      </c>
      <c r="BG96" s="34">
        <f>COUNTIFS(Errors!$I:$I,Analysis!$AE96,Errors!$D:$D,Analysis!BG$2)</f>
        <v>0</v>
      </c>
      <c r="BH96" s="34">
        <f>COUNTIFS(Errors!$I:$I,Analysis!$AE96,Errors!$D:$D,Analysis!BH$2)</f>
        <v>0</v>
      </c>
      <c r="BI96" s="34">
        <f>COUNTIFS(Errors!$I:$I,Analysis!$AE96,Errors!$D:$D,Analysis!BI$2)</f>
        <v>0</v>
      </c>
      <c r="BJ96" s="34">
        <f>COUNTIFS(Errors!$I:$I,Analysis!$AE96,Errors!$D:$D,Analysis!BJ$2)</f>
        <v>0</v>
      </c>
      <c r="BL96" s="39">
        <f t="shared" si="19"/>
        <v>0</v>
      </c>
      <c r="BN96" s="129">
        <f t="shared" si="20"/>
        <v>0</v>
      </c>
      <c r="BO96" s="130" t="s">
        <v>62</v>
      </c>
    </row>
    <row r="97" ht="15.75" customHeight="1">
      <c r="F97" s="137"/>
      <c r="AE97" s="35"/>
      <c r="AF97" s="34">
        <f>COUNTIFS(Errors!$I:$I,Analysis!$AE97,Errors!$D:$D,Analysis!AF$2)</f>
        <v>0</v>
      </c>
      <c r="AG97" s="34">
        <f>COUNTIFS(Errors!$I:$I,Analysis!$AE97,Errors!$D:$D,Analysis!AG$2)</f>
        <v>0</v>
      </c>
      <c r="AH97" s="34">
        <f>COUNTIFS(Errors!$I:$I,Analysis!$AE97,Errors!$D:$D,Analysis!AH$2)</f>
        <v>0</v>
      </c>
      <c r="AI97" s="34">
        <f>COUNTIFS(Errors!$I:$I,Analysis!$AE97,Errors!$D:$D,Analysis!AI$2)</f>
        <v>0</v>
      </c>
      <c r="AJ97" s="34">
        <f>COUNTIFS(Errors!$I:$I,Analysis!$AE97,Errors!$D:$D,Analysis!AJ$2)</f>
        <v>0</v>
      </c>
      <c r="AK97" s="34">
        <f>COUNTIFS(Errors!$I:$I,Analysis!$AE97,Errors!$D:$D,Analysis!AK$2)</f>
        <v>0</v>
      </c>
      <c r="AL97" s="34">
        <f>COUNTIFS(Errors!$I:$I,Analysis!$AE97,Errors!$D:$D,Analysis!AL$2)</f>
        <v>0</v>
      </c>
      <c r="AM97" s="34">
        <f>COUNTIFS(Errors!$I:$I,Analysis!$AE97,Errors!$D:$D,Analysis!AM$2)</f>
        <v>0</v>
      </c>
      <c r="AN97" s="34">
        <f>COUNTIFS(Errors!$I:$I,Analysis!$AE97,Errors!$D:$D,Analysis!AN$2)</f>
        <v>0</v>
      </c>
      <c r="AO97" s="34">
        <f>COUNTIFS(Errors!$I:$I,Analysis!$AE97,Errors!$D:$D,Analysis!AO$2)</f>
        <v>0</v>
      </c>
      <c r="AP97" s="34">
        <f>COUNTIFS(Errors!$I:$I,Analysis!$AE97,Errors!$D:$D,Analysis!AP$2)</f>
        <v>0</v>
      </c>
      <c r="AQ97" s="34">
        <f>COUNTIFS(Errors!$I:$I,Analysis!$AE97,Errors!$D:$D,Analysis!AQ$2)</f>
        <v>0</v>
      </c>
      <c r="AR97" s="34">
        <f>COUNTIFS(Errors!$I:$I,Analysis!$AE97,Errors!$D:$D,Analysis!AR$2)</f>
        <v>0</v>
      </c>
      <c r="AS97" s="34">
        <f>COUNTIFS(Errors!$I:$I,Analysis!$AE97,Errors!$D:$D,Analysis!AS$2)</f>
        <v>0</v>
      </c>
      <c r="AT97" s="34">
        <f>COUNTIFS(Errors!$I:$I,Analysis!$AE97,Errors!$D:$D,Analysis!AT$2)</f>
        <v>0</v>
      </c>
      <c r="AU97" s="34">
        <f>COUNTIFS(Errors!$I:$I,Analysis!$AE97,Errors!$D:$D,Analysis!AU$2)</f>
        <v>0</v>
      </c>
      <c r="AV97" s="34">
        <f>COUNTIFS(Errors!$I:$I,Analysis!$AE97,Errors!$D:$D,Analysis!AV$2)</f>
        <v>0</v>
      </c>
      <c r="AW97" s="34">
        <f>COUNTIFS(Errors!$I:$I,Analysis!$AE97,Errors!$D:$D,Analysis!AW$2)</f>
        <v>0</v>
      </c>
      <c r="AX97" s="34">
        <f>COUNTIFS(Errors!$I:$I,Analysis!$AE97,Errors!$D:$D,Analysis!AX$2)</f>
        <v>0</v>
      </c>
      <c r="AY97" s="34">
        <f>COUNTIFS(Errors!$I:$I,Analysis!$AE97,Errors!$D:$D,Analysis!AY$2)</f>
        <v>0</v>
      </c>
      <c r="AZ97" s="34">
        <f>COUNTIFS(Errors!$I:$I,Analysis!$AE97,Errors!$D:$D,Analysis!AZ$2)</f>
        <v>0</v>
      </c>
      <c r="BA97" s="34">
        <f>COUNTIFS(Errors!$I:$I,Analysis!$AE97,Errors!$D:$D,Analysis!BA$2)</f>
        <v>0</v>
      </c>
      <c r="BB97" s="34">
        <f>COUNTIFS(Errors!$I:$I,Analysis!$AE97,Errors!$D:$D,Analysis!BB$2)</f>
        <v>0</v>
      </c>
      <c r="BC97" s="34">
        <f>COUNTIFS(Errors!$I:$I,Analysis!$AE97,Errors!$D:$D,Analysis!BC$2)</f>
        <v>0</v>
      </c>
      <c r="BD97" s="34">
        <f>COUNTIFS(Errors!$I:$I,Analysis!$AE97,Errors!$D:$D,Analysis!BD$2)</f>
        <v>0</v>
      </c>
      <c r="BE97" s="34">
        <f>COUNTIFS(Errors!$I:$I,Analysis!$AE97,Errors!$D:$D,Analysis!BE$2)</f>
        <v>0</v>
      </c>
      <c r="BF97" s="34">
        <f>COUNTIFS(Errors!$I:$I,Analysis!$AE97,Errors!$D:$D,Analysis!BF$2)</f>
        <v>0</v>
      </c>
      <c r="BG97" s="34">
        <f>COUNTIFS(Errors!$I:$I,Analysis!$AE97,Errors!$D:$D,Analysis!BG$2)</f>
        <v>0</v>
      </c>
      <c r="BH97" s="34">
        <f>COUNTIFS(Errors!$I:$I,Analysis!$AE97,Errors!$D:$D,Analysis!BH$2)</f>
        <v>0</v>
      </c>
      <c r="BI97" s="34">
        <f>COUNTIFS(Errors!$I:$I,Analysis!$AE97,Errors!$D:$D,Analysis!BI$2)</f>
        <v>0</v>
      </c>
      <c r="BJ97" s="34">
        <f>COUNTIFS(Errors!$I:$I,Analysis!$AE97,Errors!$D:$D,Analysis!BJ$2)</f>
        <v>0</v>
      </c>
      <c r="BL97" s="138">
        <f t="shared" si="19"/>
        <v>0</v>
      </c>
      <c r="BN97" s="139">
        <f t="shared" si="20"/>
        <v>0</v>
      </c>
      <c r="BO97" s="140" t="s">
        <v>64</v>
      </c>
    </row>
    <row r="98" ht="15.75" customHeight="1">
      <c r="BL98" s="141">
        <f>SUM(BL61:BL97)</f>
        <v>0</v>
      </c>
    </row>
    <row r="99" ht="15.75" customHeight="1"/>
    <row r="100" ht="15.75" customHeight="1">
      <c r="AE100" s="142"/>
    </row>
    <row r="101" ht="15.75" customHeight="1">
      <c r="AE101" s="90"/>
    </row>
    <row r="102" ht="15.75" customHeight="1">
      <c r="AE102" s="143"/>
    </row>
    <row r="103" ht="15.75" customHeight="1">
      <c r="AE103" s="143"/>
    </row>
    <row r="104" ht="15.75" customHeight="1">
      <c r="AE104" s="143"/>
    </row>
    <row r="105" ht="15.75" customHeight="1"/>
    <row r="106" ht="15.75" customHeight="1">
      <c r="C106" s="144"/>
    </row>
    <row r="107" ht="15.75" customHeight="1">
      <c r="C107" s="60"/>
    </row>
    <row r="108" ht="15.75" customHeight="1">
      <c r="C108" s="60"/>
    </row>
    <row r="109" ht="15.75" customHeight="1">
      <c r="C109" s="60"/>
    </row>
    <row r="110" ht="15.75" customHeight="1">
      <c r="C110" s="60"/>
    </row>
    <row r="111" ht="15.75" customHeight="1">
      <c r="C111" s="60"/>
    </row>
    <row r="112" ht="15.75" customHeight="1">
      <c r="C112" s="60"/>
    </row>
    <row r="113" ht="15.75" customHeight="1">
      <c r="C113" s="60"/>
    </row>
    <row r="114" ht="15.75" customHeight="1">
      <c r="C114" s="60"/>
    </row>
    <row r="115" ht="15.75" customHeight="1">
      <c r="C115" s="60"/>
    </row>
    <row r="116" ht="15.75" customHeight="1">
      <c r="C116" s="60"/>
    </row>
    <row r="117" ht="15.75" customHeight="1">
      <c r="C117" s="60"/>
    </row>
    <row r="118" ht="15.75" customHeight="1">
      <c r="C118" s="60"/>
    </row>
    <row r="119" ht="15.75" customHeight="1">
      <c r="C119" s="60"/>
    </row>
    <row r="120" ht="15.75" customHeight="1">
      <c r="C120" s="60"/>
    </row>
    <row r="121" ht="15.75" customHeight="1">
      <c r="C121" s="60"/>
    </row>
    <row r="122" ht="15.75" customHeight="1">
      <c r="C122" s="60"/>
    </row>
    <row r="123" ht="15.75" customHeight="1">
      <c r="C123" s="60"/>
    </row>
    <row r="124" ht="15.75" customHeight="1">
      <c r="C124" s="60"/>
      <c r="R124" s="145"/>
      <c r="S124" s="5"/>
    </row>
    <row r="125" ht="15.75" customHeight="1">
      <c r="C125" s="60"/>
    </row>
    <row r="126" ht="15.75" customHeight="1">
      <c r="C126" s="60"/>
    </row>
    <row r="127" ht="15.75" customHeight="1">
      <c r="C127" s="60"/>
    </row>
    <row r="128" ht="15.75" customHeight="1">
      <c r="C128" s="60"/>
    </row>
    <row r="129" ht="15.75" customHeight="1">
      <c r="C129" s="60"/>
    </row>
    <row r="130" ht="15.75" customHeight="1">
      <c r="C130" s="60"/>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2">
    <mergeCell ref="L43:Q43"/>
    <mergeCell ref="L44:Q44"/>
    <mergeCell ref="L45:Q45"/>
    <mergeCell ref="C47:H47"/>
    <mergeCell ref="L47:Q47"/>
    <mergeCell ref="C48:H48"/>
    <mergeCell ref="C49:H49"/>
    <mergeCell ref="C57:H57"/>
    <mergeCell ref="L57:Q57"/>
    <mergeCell ref="T57:AA57"/>
    <mergeCell ref="C50:H50"/>
    <mergeCell ref="L50:Q50"/>
    <mergeCell ref="C51:H51"/>
    <mergeCell ref="L51:Q51"/>
    <mergeCell ref="C52:H52"/>
    <mergeCell ref="L52:Q52"/>
    <mergeCell ref="C53:H53"/>
    <mergeCell ref="A1:E1"/>
    <mergeCell ref="G1:K1"/>
    <mergeCell ref="M1:R1"/>
    <mergeCell ref="AF1:BJ1"/>
    <mergeCell ref="BL1:BL2"/>
    <mergeCell ref="BN1:BN2"/>
    <mergeCell ref="DB1:DB2"/>
    <mergeCell ref="CZ1:CZ2"/>
    <mergeCell ref="CZ29:CZ31"/>
    <mergeCell ref="DB29:DB31"/>
    <mergeCell ref="DC29:DC31"/>
    <mergeCell ref="AF30:BJ31"/>
    <mergeCell ref="BT30:CX31"/>
    <mergeCell ref="BT2:CX2"/>
    <mergeCell ref="BN27:BN31"/>
    <mergeCell ref="B28:E28"/>
    <mergeCell ref="G28:I28"/>
    <mergeCell ref="M28:R28"/>
    <mergeCell ref="BO28:BO31"/>
    <mergeCell ref="BL29:BL31"/>
    <mergeCell ref="B37:H38"/>
    <mergeCell ref="I37:R38"/>
    <mergeCell ref="C39:H39"/>
    <mergeCell ref="L39:Q39"/>
    <mergeCell ref="L40:Q40"/>
    <mergeCell ref="L41:Q41"/>
    <mergeCell ref="L42:Q42"/>
    <mergeCell ref="L48:Q48"/>
    <mergeCell ref="L49:Q49"/>
    <mergeCell ref="C54:H54"/>
    <mergeCell ref="C55:H55"/>
    <mergeCell ref="BL58:BL60"/>
    <mergeCell ref="BN58:BN60"/>
    <mergeCell ref="BO58:BO60"/>
    <mergeCell ref="AF59:BJ60"/>
  </mergeCells>
  <conditionalFormatting sqref="F97">
    <cfRule type="cellIs" dxfId="0" priority="1" operator="equal">
      <formula>0</formula>
    </cfRule>
  </conditionalFormatting>
  <conditionalFormatting sqref="F97">
    <cfRule type="cellIs" dxfId="1" priority="2" operator="notEqual">
      <formula>0</formula>
    </cfRule>
  </conditionalFormatting>
  <conditionalFormatting sqref="AF3:BJ25">
    <cfRule type="cellIs" dxfId="2" priority="3" operator="greaterThan">
      <formula>0</formula>
    </cfRule>
  </conditionalFormatting>
  <conditionalFormatting sqref="AF32:BJ53">
    <cfRule type="cellIs" dxfId="2" priority="4" operator="greaterThan">
      <formula>0</formula>
    </cfRule>
  </conditionalFormatting>
  <conditionalFormatting sqref="AF61:BJ97 BT3:CX25 BT32:CX54">
    <cfRule type="cellIs" dxfId="2" priority="5" operator="greaterThan">
      <formula>0</formula>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hidden="1" min="1" max="1" width="13.14"/>
    <col customWidth="1" hidden="1" min="2" max="2" width="140.0"/>
    <col customWidth="1" hidden="1" min="3" max="3" width="12.57"/>
    <col customWidth="1" min="4" max="4" width="12.14"/>
    <col customWidth="1" min="5" max="5" width="52.57"/>
    <col customWidth="1" min="6" max="6" width="12.29"/>
    <col customWidth="1" min="7" max="7" width="21.29"/>
    <col customWidth="1" min="8" max="8" width="8.71"/>
    <col customWidth="1" min="9" max="9" width="110.43"/>
    <col customWidth="1" min="10" max="10" width="74.0"/>
    <col customWidth="1" min="11" max="26" width="8.71"/>
  </cols>
  <sheetData>
    <row r="1">
      <c r="A1" s="146" t="s">
        <v>177</v>
      </c>
      <c r="B1" s="146" t="s">
        <v>178</v>
      </c>
      <c r="D1" s="147" t="s">
        <v>179</v>
      </c>
      <c r="E1" s="148" t="s">
        <v>180</v>
      </c>
      <c r="F1" s="148" t="s">
        <v>181</v>
      </c>
      <c r="G1" s="148" t="s">
        <v>182</v>
      </c>
      <c r="H1" s="148" t="s">
        <v>183</v>
      </c>
      <c r="I1" s="149" t="s">
        <v>184</v>
      </c>
    </row>
    <row r="2" ht="101.25" customHeight="1">
      <c r="A2" s="150" t="s">
        <v>114</v>
      </c>
      <c r="B2" s="150" t="s">
        <v>115</v>
      </c>
      <c r="D2" s="151" t="s">
        <v>114</v>
      </c>
      <c r="E2" s="152" t="s">
        <v>115</v>
      </c>
      <c r="F2" s="153" t="s">
        <v>185</v>
      </c>
      <c r="G2" s="153" t="s">
        <v>186</v>
      </c>
      <c r="H2" s="154" t="s">
        <v>187</v>
      </c>
      <c r="I2" s="155" t="s">
        <v>188</v>
      </c>
    </row>
    <row r="3" ht="120.0" customHeight="1">
      <c r="A3" s="150" t="s">
        <v>118</v>
      </c>
      <c r="B3" s="150" t="s">
        <v>119</v>
      </c>
      <c r="D3" s="156" t="s">
        <v>122</v>
      </c>
      <c r="E3" s="157" t="s">
        <v>189</v>
      </c>
      <c r="F3" s="158" t="s">
        <v>185</v>
      </c>
      <c r="G3" s="158" t="s">
        <v>186</v>
      </c>
      <c r="H3" s="159" t="s">
        <v>187</v>
      </c>
      <c r="I3" s="160" t="s">
        <v>190</v>
      </c>
    </row>
    <row r="4" ht="90.75" customHeight="1">
      <c r="A4" s="150" t="s">
        <v>122</v>
      </c>
      <c r="B4" s="150" t="s">
        <v>123</v>
      </c>
      <c r="D4" s="156" t="s">
        <v>191</v>
      </c>
      <c r="E4" s="161" t="s">
        <v>131</v>
      </c>
      <c r="F4" s="158" t="s">
        <v>192</v>
      </c>
      <c r="G4" s="158" t="s">
        <v>186</v>
      </c>
      <c r="H4" s="159" t="s">
        <v>187</v>
      </c>
      <c r="I4" s="162" t="s">
        <v>193</v>
      </c>
    </row>
    <row r="5" ht="56.25" customHeight="1">
      <c r="A5" s="150" t="s">
        <v>191</v>
      </c>
      <c r="B5" s="150" t="s">
        <v>131</v>
      </c>
      <c r="D5" s="156" t="s">
        <v>130</v>
      </c>
      <c r="E5" s="157" t="s">
        <v>194</v>
      </c>
      <c r="F5" s="158" t="s">
        <v>185</v>
      </c>
      <c r="G5" s="163" t="s">
        <v>195</v>
      </c>
      <c r="H5" s="159" t="s">
        <v>187</v>
      </c>
      <c r="I5" s="163" t="s">
        <v>196</v>
      </c>
      <c r="J5" s="164" t="s">
        <v>197</v>
      </c>
    </row>
    <row r="6" ht="70.5" customHeight="1">
      <c r="A6" s="150" t="s">
        <v>198</v>
      </c>
      <c r="B6" s="150" t="s">
        <v>134</v>
      </c>
      <c r="D6" s="156" t="s">
        <v>139</v>
      </c>
      <c r="E6" s="157" t="s">
        <v>199</v>
      </c>
      <c r="F6" s="158" t="s">
        <v>185</v>
      </c>
      <c r="G6" s="158" t="s">
        <v>186</v>
      </c>
      <c r="H6" s="159" t="s">
        <v>187</v>
      </c>
      <c r="I6" s="162" t="s">
        <v>200</v>
      </c>
    </row>
    <row r="7" ht="56.25" customHeight="1">
      <c r="A7" s="150" t="s">
        <v>130</v>
      </c>
      <c r="B7" s="150" t="s">
        <v>137</v>
      </c>
      <c r="D7" s="156" t="s">
        <v>201</v>
      </c>
      <c r="E7" s="157" t="s">
        <v>202</v>
      </c>
      <c r="F7" s="158" t="s">
        <v>185</v>
      </c>
      <c r="G7" s="158" t="s">
        <v>186</v>
      </c>
      <c r="H7" s="159" t="s">
        <v>187</v>
      </c>
      <c r="I7" s="162" t="s">
        <v>203</v>
      </c>
    </row>
    <row r="8" ht="30.0" customHeight="1">
      <c r="A8" s="150" t="s">
        <v>139</v>
      </c>
      <c r="B8" s="150" t="s">
        <v>140</v>
      </c>
      <c r="D8" s="156" t="s">
        <v>146</v>
      </c>
      <c r="E8" s="165" t="s">
        <v>147</v>
      </c>
      <c r="F8" s="166" t="s">
        <v>185</v>
      </c>
      <c r="G8" s="166" t="s">
        <v>204</v>
      </c>
      <c r="H8" s="167" t="s">
        <v>187</v>
      </c>
      <c r="I8" s="162" t="s">
        <v>205</v>
      </c>
    </row>
    <row r="9" ht="44.25" customHeight="1">
      <c r="A9" s="150" t="s">
        <v>142</v>
      </c>
      <c r="B9" s="150" t="s">
        <v>143</v>
      </c>
      <c r="D9" s="156" t="s">
        <v>150</v>
      </c>
      <c r="E9" s="168" t="s">
        <v>206</v>
      </c>
      <c r="F9" s="34" t="s">
        <v>207</v>
      </c>
      <c r="G9" s="162" t="s">
        <v>186</v>
      </c>
      <c r="H9" s="159" t="s">
        <v>187</v>
      </c>
      <c r="I9" s="162" t="s">
        <v>208</v>
      </c>
    </row>
    <row r="10" ht="51.75" customHeight="1">
      <c r="A10" s="150" t="s">
        <v>146</v>
      </c>
      <c r="B10" s="150" t="s">
        <v>147</v>
      </c>
      <c r="D10" s="156" t="s">
        <v>154</v>
      </c>
      <c r="E10" s="168" t="s">
        <v>155</v>
      </c>
      <c r="F10" s="34" t="s">
        <v>207</v>
      </c>
      <c r="G10" s="163" t="s">
        <v>195</v>
      </c>
      <c r="H10" s="159" t="s">
        <v>187</v>
      </c>
      <c r="I10" s="162" t="s">
        <v>209</v>
      </c>
    </row>
    <row r="11" ht="53.25" customHeight="1">
      <c r="A11" s="150" t="s">
        <v>150</v>
      </c>
      <c r="B11" s="150" t="s">
        <v>151</v>
      </c>
      <c r="D11" s="156" t="s">
        <v>158</v>
      </c>
      <c r="E11" s="168" t="s">
        <v>159</v>
      </c>
      <c r="F11" s="34" t="s">
        <v>207</v>
      </c>
      <c r="G11" s="162" t="s">
        <v>204</v>
      </c>
      <c r="H11" s="159" t="s">
        <v>187</v>
      </c>
      <c r="I11" s="162" t="s">
        <v>210</v>
      </c>
    </row>
    <row r="12" ht="67.5" customHeight="1">
      <c r="A12" s="150" t="s">
        <v>154</v>
      </c>
      <c r="B12" s="150" t="s">
        <v>155</v>
      </c>
      <c r="D12" s="156" t="s">
        <v>162</v>
      </c>
      <c r="E12" s="168" t="s">
        <v>163</v>
      </c>
      <c r="F12" s="34" t="s">
        <v>185</v>
      </c>
      <c r="G12" s="162" t="s">
        <v>204</v>
      </c>
      <c r="H12" s="159" t="s">
        <v>187</v>
      </c>
      <c r="I12" s="162" t="s">
        <v>211</v>
      </c>
    </row>
    <row r="13" ht="61.5" customHeight="1">
      <c r="A13" s="169"/>
      <c r="B13" s="150"/>
      <c r="D13" s="156" t="s">
        <v>164</v>
      </c>
      <c r="E13" s="170" t="s">
        <v>212</v>
      </c>
      <c r="F13" s="171" t="s">
        <v>213</v>
      </c>
      <c r="G13" s="162" t="s">
        <v>204</v>
      </c>
      <c r="H13" s="159" t="s">
        <v>187</v>
      </c>
      <c r="I13" s="162" t="s">
        <v>214</v>
      </c>
    </row>
    <row r="14" ht="261.0" customHeight="1">
      <c r="A14" s="150" t="s">
        <v>158</v>
      </c>
      <c r="B14" s="150" t="s">
        <v>159</v>
      </c>
      <c r="D14" s="156" t="s">
        <v>56</v>
      </c>
      <c r="E14" s="168" t="s">
        <v>215</v>
      </c>
      <c r="F14" s="162" t="s">
        <v>216</v>
      </c>
      <c r="G14" s="162" t="s">
        <v>217</v>
      </c>
      <c r="H14" s="36" t="s">
        <v>187</v>
      </c>
      <c r="I14" s="162" t="s">
        <v>218</v>
      </c>
      <c r="J14" s="172" t="s">
        <v>219</v>
      </c>
    </row>
    <row r="15" ht="41.25" customHeight="1">
      <c r="A15" s="150" t="s">
        <v>162</v>
      </c>
      <c r="B15" s="150" t="s">
        <v>163</v>
      </c>
      <c r="D15" s="173" t="s">
        <v>116</v>
      </c>
      <c r="E15" s="174" t="s">
        <v>117</v>
      </c>
      <c r="F15" s="162" t="s">
        <v>185</v>
      </c>
      <c r="G15" s="163" t="s">
        <v>195</v>
      </c>
      <c r="H15" s="36" t="s">
        <v>187</v>
      </c>
      <c r="I15" s="162" t="s">
        <v>220</v>
      </c>
    </row>
    <row r="16" ht="41.25" customHeight="1">
      <c r="A16" s="150" t="s">
        <v>164</v>
      </c>
      <c r="B16" s="150" t="s">
        <v>165</v>
      </c>
      <c r="D16" s="173" t="s">
        <v>120</v>
      </c>
      <c r="E16" s="168" t="s">
        <v>121</v>
      </c>
      <c r="F16" s="162" t="s">
        <v>185</v>
      </c>
      <c r="G16" s="163" t="s">
        <v>195</v>
      </c>
      <c r="H16" s="175" t="s">
        <v>187</v>
      </c>
      <c r="I16" s="162" t="s">
        <v>221</v>
      </c>
    </row>
    <row r="17" ht="41.25" customHeight="1">
      <c r="A17" s="150" t="s">
        <v>166</v>
      </c>
      <c r="B17" s="150" t="s">
        <v>167</v>
      </c>
      <c r="D17" s="173" t="s">
        <v>124</v>
      </c>
      <c r="E17" s="168" t="s">
        <v>125</v>
      </c>
      <c r="F17" s="162" t="s">
        <v>185</v>
      </c>
      <c r="G17" s="163" t="s">
        <v>222</v>
      </c>
      <c r="H17" s="163" t="s">
        <v>187</v>
      </c>
      <c r="I17" s="162" t="s">
        <v>223</v>
      </c>
    </row>
    <row r="18" ht="41.25" customHeight="1">
      <c r="A18" s="150" t="s">
        <v>116</v>
      </c>
      <c r="B18" s="150" t="s">
        <v>117</v>
      </c>
      <c r="D18" s="173" t="s">
        <v>128</v>
      </c>
      <c r="E18" s="168" t="s">
        <v>129</v>
      </c>
      <c r="F18" s="162" t="s">
        <v>185</v>
      </c>
      <c r="G18" s="163" t="s">
        <v>195</v>
      </c>
      <c r="H18" s="163" t="s">
        <v>187</v>
      </c>
      <c r="I18" s="162" t="s">
        <v>224</v>
      </c>
    </row>
    <row r="19" ht="41.25" customHeight="1">
      <c r="A19" s="150" t="s">
        <v>120</v>
      </c>
      <c r="B19" s="150" t="s">
        <v>121</v>
      </c>
      <c r="D19" s="173" t="s">
        <v>132</v>
      </c>
      <c r="E19" s="168" t="s">
        <v>133</v>
      </c>
      <c r="F19" s="162" t="s">
        <v>225</v>
      </c>
      <c r="G19" s="163" t="s">
        <v>195</v>
      </c>
      <c r="H19" s="163" t="s">
        <v>187</v>
      </c>
      <c r="I19" s="162" t="s">
        <v>221</v>
      </c>
    </row>
    <row r="20" ht="30.0" customHeight="1">
      <c r="A20" s="150" t="s">
        <v>124</v>
      </c>
      <c r="B20" s="150" t="s">
        <v>125</v>
      </c>
      <c r="D20" s="173" t="s">
        <v>226</v>
      </c>
      <c r="E20" s="168" t="s">
        <v>227</v>
      </c>
      <c r="F20" s="162" t="s">
        <v>185</v>
      </c>
      <c r="G20" s="162" t="s">
        <v>204</v>
      </c>
      <c r="H20" s="163" t="s">
        <v>187</v>
      </c>
      <c r="I20" s="34" t="s">
        <v>228</v>
      </c>
    </row>
    <row r="21" ht="30.0" customHeight="1">
      <c r="A21" s="150" t="s">
        <v>128</v>
      </c>
      <c r="B21" s="150" t="s">
        <v>129</v>
      </c>
      <c r="D21" s="173" t="s">
        <v>229</v>
      </c>
      <c r="E21" s="168" t="s">
        <v>138</v>
      </c>
      <c r="F21" s="162" t="s">
        <v>185</v>
      </c>
      <c r="G21" s="162" t="s">
        <v>195</v>
      </c>
      <c r="H21" s="163" t="s">
        <v>187</v>
      </c>
      <c r="I21" s="162" t="s">
        <v>230</v>
      </c>
    </row>
    <row r="22" ht="39.75" customHeight="1">
      <c r="A22" s="150" t="s">
        <v>132</v>
      </c>
      <c r="B22" s="150" t="s">
        <v>133</v>
      </c>
      <c r="D22" s="173" t="s">
        <v>152</v>
      </c>
      <c r="E22" s="168" t="s">
        <v>153</v>
      </c>
      <c r="F22" s="162" t="s">
        <v>192</v>
      </c>
      <c r="G22" s="162" t="s">
        <v>204</v>
      </c>
      <c r="H22" s="36" t="s">
        <v>187</v>
      </c>
      <c r="I22" s="162" t="s">
        <v>231</v>
      </c>
    </row>
    <row r="23" ht="43.5" customHeight="1">
      <c r="A23" s="169"/>
      <c r="B23" s="150"/>
      <c r="D23" s="173" t="s">
        <v>156</v>
      </c>
      <c r="E23" s="176" t="s">
        <v>232</v>
      </c>
      <c r="F23" s="162" t="s">
        <v>185</v>
      </c>
      <c r="G23" s="162" t="s">
        <v>195</v>
      </c>
      <c r="H23" s="163" t="s">
        <v>187</v>
      </c>
      <c r="I23" s="162" t="s">
        <v>221</v>
      </c>
    </row>
    <row r="24" ht="30.0" customHeight="1">
      <c r="A24" s="150" t="s">
        <v>226</v>
      </c>
      <c r="B24" s="150" t="s">
        <v>136</v>
      </c>
      <c r="D24" s="177" t="s">
        <v>58</v>
      </c>
      <c r="E24" s="168" t="s">
        <v>233</v>
      </c>
      <c r="F24" s="34" t="s">
        <v>185</v>
      </c>
      <c r="G24" s="34" t="s">
        <v>195</v>
      </c>
      <c r="H24" s="36" t="s">
        <v>187</v>
      </c>
      <c r="I24" s="162" t="s">
        <v>234</v>
      </c>
    </row>
    <row r="25" ht="30.0" customHeight="1">
      <c r="A25" s="150" t="s">
        <v>229</v>
      </c>
      <c r="B25" s="150" t="s">
        <v>138</v>
      </c>
      <c r="D25" s="178" t="s">
        <v>66</v>
      </c>
      <c r="E25" s="179" t="s">
        <v>235</v>
      </c>
      <c r="F25" s="34" t="s">
        <v>236</v>
      </c>
      <c r="G25" s="34" t="s">
        <v>204</v>
      </c>
      <c r="H25" s="36" t="s">
        <v>187</v>
      </c>
      <c r="I25" s="34" t="s">
        <v>237</v>
      </c>
    </row>
    <row r="26" ht="30.0" customHeight="1">
      <c r="A26" s="150" t="s">
        <v>135</v>
      </c>
      <c r="B26" s="150" t="s">
        <v>141</v>
      </c>
      <c r="D26" s="180" t="s">
        <v>68</v>
      </c>
      <c r="E26" s="181" t="s">
        <v>238</v>
      </c>
      <c r="F26" s="182" t="s">
        <v>185</v>
      </c>
      <c r="G26" s="182" t="s">
        <v>204</v>
      </c>
      <c r="H26" s="183" t="s">
        <v>187</v>
      </c>
      <c r="I26" s="34"/>
    </row>
    <row r="27" ht="30.0" customHeight="1">
      <c r="A27" s="169" t="s">
        <v>239</v>
      </c>
      <c r="B27" s="150" t="s">
        <v>240</v>
      </c>
    </row>
    <row r="28" ht="30.0" customHeight="1">
      <c r="A28" s="169" t="s">
        <v>241</v>
      </c>
      <c r="B28" s="150" t="s">
        <v>242</v>
      </c>
    </row>
    <row r="29" ht="30.0" customHeight="1">
      <c r="A29" s="169" t="s">
        <v>243</v>
      </c>
      <c r="B29" s="150" t="s">
        <v>244</v>
      </c>
      <c r="E29" s="184" t="s">
        <v>245</v>
      </c>
    </row>
    <row r="30" ht="30.0" customHeight="1">
      <c r="A30" s="169" t="s">
        <v>246</v>
      </c>
      <c r="B30" s="150" t="s">
        <v>247</v>
      </c>
    </row>
    <row r="31" ht="30.0" customHeight="1">
      <c r="A31" s="169" t="s">
        <v>248</v>
      </c>
      <c r="B31" s="150" t="s">
        <v>249</v>
      </c>
    </row>
    <row r="32" ht="30.0" customHeight="1">
      <c r="A32" s="169" t="s">
        <v>250</v>
      </c>
      <c r="B32" s="150" t="s">
        <v>251</v>
      </c>
    </row>
    <row r="33" ht="30.0" customHeight="1">
      <c r="A33" s="169" t="s">
        <v>252</v>
      </c>
      <c r="B33" s="150" t="s">
        <v>253</v>
      </c>
    </row>
    <row r="34" ht="30.0" customHeight="1">
      <c r="A34" s="169" t="s">
        <v>254</v>
      </c>
      <c r="B34" s="150" t="s">
        <v>255</v>
      </c>
    </row>
    <row r="35" ht="30.0" customHeight="1">
      <c r="A35" s="169"/>
      <c r="B35" s="150"/>
    </row>
    <row r="36" ht="30.0" customHeight="1">
      <c r="A36" s="169"/>
      <c r="B36" s="150"/>
    </row>
    <row r="37" ht="30.0" customHeight="1">
      <c r="A37" s="169"/>
      <c r="B37" s="150"/>
    </row>
    <row r="38" ht="30.0" customHeight="1">
      <c r="A38" s="169"/>
      <c r="B38" s="150"/>
    </row>
    <row r="39" ht="30.0" customHeight="1">
      <c r="A39" s="169"/>
      <c r="B39" s="150"/>
    </row>
    <row r="40" ht="30.0" customHeight="1">
      <c r="A40" s="169"/>
      <c r="B40" s="150"/>
    </row>
    <row r="41" ht="30.0" customHeight="1"/>
    <row r="42" ht="30.0" customHeight="1"/>
    <row r="43" ht="30.0" customHeight="1"/>
    <row r="44" ht="30.0"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s>
  <printOptions/>
  <pageMargins bottom="0.75" footer="0.0" header="0.0" left="0.7" right="0.7" top="0.75"/>
  <pageSetup orientation="landscape"/>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71"/>
    <col customWidth="1" min="2" max="2" width="23.0"/>
    <col customWidth="1" min="3" max="3" width="9.14"/>
    <col customWidth="1" min="4" max="4" width="12.14"/>
    <col customWidth="1" min="5" max="5" width="8.57"/>
    <col customWidth="1" min="6" max="6" width="12.71"/>
    <col customWidth="1" min="7" max="7" width="15.43"/>
    <col customWidth="1" min="8" max="8" width="12.14"/>
    <col customWidth="1" min="9" max="9" width="9.14"/>
    <col customWidth="1" min="10" max="10" width="8.57"/>
    <col customWidth="1" min="11" max="11" width="74.43"/>
    <col customWidth="1" hidden="1" min="12" max="12" width="85.71"/>
    <col customWidth="1" min="13" max="13" width="28.29"/>
    <col customWidth="1" min="14" max="17" width="12.71"/>
    <col customWidth="1" min="18" max="18" width="17.71"/>
    <col customWidth="1" min="19" max="19" width="22.71"/>
    <col customWidth="1" min="20" max="20" width="130.71"/>
    <col customWidth="1" hidden="1" min="21" max="29" width="9.14"/>
  </cols>
  <sheetData>
    <row r="1">
      <c r="A1" s="185" t="s">
        <v>256</v>
      </c>
      <c r="B1" s="185" t="s">
        <v>257</v>
      </c>
      <c r="C1" s="185" t="s">
        <v>258</v>
      </c>
      <c r="D1" s="186" t="s">
        <v>259</v>
      </c>
      <c r="E1" s="185" t="s">
        <v>260</v>
      </c>
      <c r="F1" s="185" t="s">
        <v>261</v>
      </c>
      <c r="G1" s="185" t="s">
        <v>262</v>
      </c>
      <c r="H1" s="185" t="s">
        <v>263</v>
      </c>
      <c r="I1" s="185" t="s">
        <v>264</v>
      </c>
      <c r="J1" s="185" t="s">
        <v>265</v>
      </c>
      <c r="K1" s="187" t="s">
        <v>266</v>
      </c>
      <c r="L1" s="185" t="s">
        <v>267</v>
      </c>
      <c r="M1" s="185" t="s">
        <v>268</v>
      </c>
      <c r="N1" s="185" t="s">
        <v>269</v>
      </c>
      <c r="O1" s="185" t="s">
        <v>270</v>
      </c>
      <c r="P1" s="185" t="s">
        <v>271</v>
      </c>
      <c r="Q1" s="185" t="s">
        <v>272</v>
      </c>
      <c r="R1" s="185" t="s">
        <v>273</v>
      </c>
      <c r="S1" s="185" t="s">
        <v>274</v>
      </c>
      <c r="T1" s="185" t="s">
        <v>275</v>
      </c>
      <c r="U1" s="188" t="s">
        <v>276</v>
      </c>
      <c r="V1" s="188" t="s">
        <v>277</v>
      </c>
      <c r="W1" s="188" t="s">
        <v>278</v>
      </c>
      <c r="X1" s="188" t="s">
        <v>279</v>
      </c>
      <c r="Y1" s="188" t="s">
        <v>280</v>
      </c>
      <c r="Z1" s="188" t="s">
        <v>281</v>
      </c>
      <c r="AA1" s="189" t="s">
        <v>282</v>
      </c>
      <c r="AB1" s="190" t="s">
        <v>283</v>
      </c>
      <c r="AC1" s="190" t="s">
        <v>284</v>
      </c>
    </row>
    <row r="2" ht="66.75" customHeight="1">
      <c r="A2" s="191" t="s">
        <v>285</v>
      </c>
      <c r="B2" s="192" t="s">
        <v>286</v>
      </c>
      <c r="C2" s="192" t="s">
        <v>287</v>
      </c>
      <c r="D2" s="193" t="s">
        <v>288</v>
      </c>
      <c r="E2" s="194" t="s">
        <v>289</v>
      </c>
      <c r="F2" s="192" t="s">
        <v>290</v>
      </c>
      <c r="G2" s="192" t="s">
        <v>291</v>
      </c>
      <c r="H2" s="192" t="s">
        <v>292</v>
      </c>
      <c r="I2" s="192" t="s">
        <v>293</v>
      </c>
      <c r="J2" s="192" t="s">
        <v>96</v>
      </c>
      <c r="K2" s="192" t="s">
        <v>178</v>
      </c>
      <c r="L2" s="192" t="s">
        <v>294</v>
      </c>
      <c r="M2" s="192" t="s">
        <v>295</v>
      </c>
      <c r="N2" s="195" t="s">
        <v>296</v>
      </c>
      <c r="O2" s="196" t="s">
        <v>297</v>
      </c>
      <c r="P2" s="197" t="s">
        <v>298</v>
      </c>
      <c r="Q2" s="198" t="s">
        <v>299</v>
      </c>
      <c r="R2" s="192" t="s">
        <v>300</v>
      </c>
      <c r="S2" s="192" t="s">
        <v>301</v>
      </c>
      <c r="T2" s="192" t="s">
        <v>302</v>
      </c>
      <c r="U2" s="199"/>
      <c r="V2" s="200"/>
      <c r="W2" s="200"/>
      <c r="X2" s="200"/>
      <c r="Y2" s="200"/>
      <c r="Z2" s="200"/>
      <c r="AA2" s="201"/>
      <c r="AB2" s="202"/>
      <c r="AC2" s="202"/>
    </row>
    <row r="3">
      <c r="A3" s="203">
        <v>1.0</v>
      </c>
      <c r="B3" s="204" t="s">
        <v>303</v>
      </c>
      <c r="C3" s="204" t="s">
        <v>304</v>
      </c>
      <c r="D3" s="205" t="s">
        <v>305</v>
      </c>
      <c r="E3" s="206">
        <v>0.09375</v>
      </c>
      <c r="F3" s="204" t="s">
        <v>306</v>
      </c>
      <c r="G3" s="207"/>
      <c r="H3" s="205" t="s">
        <v>307</v>
      </c>
      <c r="I3" s="205" t="s">
        <v>156</v>
      </c>
      <c r="J3" s="205" t="s">
        <v>308</v>
      </c>
      <c r="K3" s="208" t="str">
        <f>IF(Errors!$I3=0,SourceData!$B$42,VLOOKUP(Errors!$I3,SourceData!$A$2:$B$40,2,FALSE))</f>
        <v>Dealer starts new game before finishing last game</v>
      </c>
      <c r="L3" s="207"/>
      <c r="M3" s="209"/>
      <c r="N3" s="205" t="s">
        <v>309</v>
      </c>
      <c r="O3" s="205" t="s">
        <v>309</v>
      </c>
      <c r="P3" s="205" t="s">
        <v>310</v>
      </c>
      <c r="Q3" s="205" t="s">
        <v>310</v>
      </c>
      <c r="R3" s="204" t="s">
        <v>311</v>
      </c>
      <c r="S3" s="204" t="s">
        <v>312</v>
      </c>
      <c r="T3" s="204" t="s">
        <v>313</v>
      </c>
      <c r="U3" s="199"/>
      <c r="V3" s="200"/>
      <c r="W3" s="200"/>
      <c r="X3" s="200"/>
      <c r="Y3" s="200"/>
      <c r="Z3" s="200"/>
      <c r="AA3" s="201"/>
      <c r="AB3" s="200"/>
      <c r="AC3" s="200"/>
    </row>
    <row r="4" ht="15.0" customHeight="1">
      <c r="A4" s="210">
        <f t="shared" ref="A4:A3008" si="1">A3+1</f>
        <v>2</v>
      </c>
      <c r="B4" s="204" t="s">
        <v>314</v>
      </c>
      <c r="C4" s="204" t="s">
        <v>315</v>
      </c>
      <c r="D4" s="205" t="s">
        <v>305</v>
      </c>
      <c r="E4" s="206">
        <v>0.5375</v>
      </c>
      <c r="F4" s="204" t="s">
        <v>306</v>
      </c>
      <c r="G4" s="207"/>
      <c r="H4" s="205" t="s">
        <v>316</v>
      </c>
      <c r="I4" s="205" t="s">
        <v>132</v>
      </c>
      <c r="J4" s="205" t="s">
        <v>308</v>
      </c>
      <c r="K4" s="208" t="str">
        <f>IF(Errors!$I4=0,SourceData!$B$42,VLOOKUP(Errors!$I4,SourceData!$A$2:$B$40,2,FALSE))</f>
        <v>Ball falls out of the wheel </v>
      </c>
      <c r="L4" s="207"/>
      <c r="M4" s="209"/>
      <c r="N4" s="205" t="s">
        <v>309</v>
      </c>
      <c r="O4" s="205" t="s">
        <v>309</v>
      </c>
      <c r="P4" s="205" t="s">
        <v>310</v>
      </c>
      <c r="Q4" s="205" t="s">
        <v>310</v>
      </c>
      <c r="R4" s="204" t="s">
        <v>317</v>
      </c>
      <c r="S4" s="204" t="s">
        <v>318</v>
      </c>
      <c r="T4" s="204" t="s">
        <v>319</v>
      </c>
      <c r="U4" s="199"/>
      <c r="V4" s="200"/>
      <c r="W4" s="200"/>
      <c r="X4" s="200"/>
      <c r="Y4" s="200"/>
      <c r="Z4" s="200"/>
      <c r="AA4" s="201"/>
      <c r="AB4" s="200"/>
      <c r="AC4" s="200"/>
    </row>
    <row r="5" ht="15.0" customHeight="1">
      <c r="A5" s="210">
        <f t="shared" si="1"/>
        <v>3</v>
      </c>
      <c r="B5" s="204" t="s">
        <v>314</v>
      </c>
      <c r="C5" s="204" t="s">
        <v>315</v>
      </c>
      <c r="D5" s="205" t="s">
        <v>305</v>
      </c>
      <c r="E5" s="206">
        <v>0.5381944444444444</v>
      </c>
      <c r="F5" s="204" t="s">
        <v>306</v>
      </c>
      <c r="G5" s="207"/>
      <c r="H5" s="205" t="s">
        <v>320</v>
      </c>
      <c r="I5" s="205" t="s">
        <v>132</v>
      </c>
      <c r="J5" s="205" t="s">
        <v>308</v>
      </c>
      <c r="K5" s="208" t="str">
        <f>IF(Errors!$I5=0,SourceData!$B$42,VLOOKUP(Errors!$I5,SourceData!$A$2:$B$40,2,FALSE))</f>
        <v>Ball falls out of the wheel </v>
      </c>
      <c r="L5" s="207"/>
      <c r="M5" s="209"/>
      <c r="N5" s="211" t="s">
        <v>309</v>
      </c>
      <c r="O5" s="211" t="s">
        <v>309</v>
      </c>
      <c r="P5" s="212" t="s">
        <v>310</v>
      </c>
      <c r="Q5" s="212" t="s">
        <v>310</v>
      </c>
      <c r="R5" s="213" t="s">
        <v>317</v>
      </c>
      <c r="S5" s="213" t="s">
        <v>318</v>
      </c>
      <c r="T5" s="213" t="s">
        <v>319</v>
      </c>
      <c r="U5" s="199"/>
      <c r="V5" s="200"/>
      <c r="W5" s="200"/>
      <c r="X5" s="200"/>
      <c r="Y5" s="200"/>
      <c r="Z5" s="200"/>
      <c r="AA5" s="201"/>
      <c r="AB5" s="200"/>
      <c r="AC5" s="200"/>
    </row>
    <row r="6" ht="15.0" customHeight="1">
      <c r="A6" s="210">
        <f t="shared" si="1"/>
        <v>4</v>
      </c>
      <c r="B6" s="204" t="s">
        <v>321</v>
      </c>
      <c r="C6" s="204" t="s">
        <v>322</v>
      </c>
      <c r="D6" s="205" t="s">
        <v>305</v>
      </c>
      <c r="E6" s="206">
        <v>0.7659722222222223</v>
      </c>
      <c r="F6" s="204" t="s">
        <v>323</v>
      </c>
      <c r="G6" s="207"/>
      <c r="H6" s="205" t="s">
        <v>324</v>
      </c>
      <c r="I6" s="205" t="s">
        <v>120</v>
      </c>
      <c r="J6" s="205" t="s">
        <v>308</v>
      </c>
      <c r="K6" s="208" t="str">
        <f>IF(Errors!$I6=0,SourceData!$B$42,VLOOKUP(Errors!$I6,SourceData!$A$2:$B$40,2,FALSE))</f>
        <v>Drop ball</v>
      </c>
      <c r="L6" s="207"/>
      <c r="M6" s="209"/>
      <c r="N6" s="205" t="s">
        <v>309</v>
      </c>
      <c r="O6" s="205" t="s">
        <v>309</v>
      </c>
      <c r="P6" s="205" t="s">
        <v>310</v>
      </c>
      <c r="Q6" s="205" t="s">
        <v>310</v>
      </c>
      <c r="R6" s="204" t="s">
        <v>325</v>
      </c>
      <c r="S6" s="204" t="s">
        <v>326</v>
      </c>
      <c r="T6" s="213" t="s">
        <v>319</v>
      </c>
      <c r="U6" s="199"/>
      <c r="V6" s="200"/>
      <c r="W6" s="200"/>
      <c r="X6" s="200"/>
      <c r="Y6" s="200"/>
      <c r="Z6" s="200"/>
      <c r="AA6" s="201"/>
      <c r="AB6" s="200"/>
      <c r="AC6" s="200"/>
    </row>
    <row r="7" ht="15.0" customHeight="1">
      <c r="A7" s="210">
        <f t="shared" si="1"/>
        <v>5</v>
      </c>
      <c r="B7" s="204" t="s">
        <v>327</v>
      </c>
      <c r="C7" s="214" t="s">
        <v>328</v>
      </c>
      <c r="D7" s="205" t="s">
        <v>305</v>
      </c>
      <c r="E7" s="206">
        <v>0.8409722222222222</v>
      </c>
      <c r="F7" s="204" t="s">
        <v>329</v>
      </c>
      <c r="G7" s="215" t="s">
        <v>330</v>
      </c>
      <c r="H7" s="205" t="s">
        <v>331</v>
      </c>
      <c r="I7" s="205" t="s">
        <v>150</v>
      </c>
      <c r="J7" s="205" t="s">
        <v>332</v>
      </c>
      <c r="K7" s="208" t="str">
        <f>IF(Errors!$I7=0,SourceData!$B$42,VLOOKUP(Errors!$I7,SourceData!$A$2:$B$40,2,FALSE))</f>
        <v>Dealer drops cards in shoe/table while changing cards. </v>
      </c>
      <c r="L7" s="207"/>
      <c r="M7" s="209"/>
      <c r="N7" s="205" t="s">
        <v>310</v>
      </c>
      <c r="O7" s="205" t="s">
        <v>310</v>
      </c>
      <c r="P7" s="205" t="s">
        <v>310</v>
      </c>
      <c r="Q7" s="205" t="s">
        <v>310</v>
      </c>
      <c r="R7" s="204" t="s">
        <v>325</v>
      </c>
      <c r="S7" s="204" t="s">
        <v>326</v>
      </c>
      <c r="T7" s="204" t="s">
        <v>333</v>
      </c>
      <c r="U7" s="199"/>
      <c r="V7" s="200"/>
      <c r="W7" s="200"/>
      <c r="X7" s="200"/>
      <c r="Y7" s="200"/>
      <c r="Z7" s="200"/>
      <c r="AA7" s="201"/>
      <c r="AB7" s="200"/>
      <c r="AC7" s="200"/>
    </row>
    <row r="8" ht="15.0" customHeight="1">
      <c r="A8" s="210">
        <f t="shared" si="1"/>
        <v>6</v>
      </c>
      <c r="B8" s="204" t="s">
        <v>334</v>
      </c>
      <c r="C8" s="150" t="s">
        <v>335</v>
      </c>
      <c r="D8" s="205" t="s">
        <v>305</v>
      </c>
      <c r="E8" s="206">
        <v>0.9125</v>
      </c>
      <c r="F8" s="204" t="s">
        <v>329</v>
      </c>
      <c r="G8" s="215" t="s">
        <v>336</v>
      </c>
      <c r="H8" s="205" t="s">
        <v>337</v>
      </c>
      <c r="I8" s="205" t="s">
        <v>56</v>
      </c>
      <c r="J8" s="205" t="s">
        <v>332</v>
      </c>
      <c r="K8" s="208" t="str">
        <f>IF(Errors!$I8=0,SourceData!$B$42,VLOOKUP(Errors!$I8,SourceData!$A$2:$B$40,2,FALSE))</f>
        <v>Interface error</v>
      </c>
      <c r="L8" s="207"/>
      <c r="M8" s="205" t="s">
        <v>338</v>
      </c>
      <c r="N8" s="205" t="s">
        <v>310</v>
      </c>
      <c r="O8" s="205" t="s">
        <v>310</v>
      </c>
      <c r="P8" s="205" t="s">
        <v>310</v>
      </c>
      <c r="Q8" s="205" t="s">
        <v>310</v>
      </c>
      <c r="R8" s="204" t="s">
        <v>325</v>
      </c>
      <c r="S8" s="204" t="s">
        <v>339</v>
      </c>
      <c r="T8" s="204" t="s">
        <v>340</v>
      </c>
      <c r="U8" s="199"/>
      <c r="V8" s="200"/>
      <c r="W8" s="200"/>
      <c r="X8" s="200"/>
      <c r="Y8" s="200"/>
      <c r="Z8" s="200"/>
      <c r="AA8" s="201"/>
      <c r="AB8" s="200"/>
      <c r="AC8" s="200"/>
    </row>
    <row r="9" ht="15.0" customHeight="1">
      <c r="A9" s="210">
        <f t="shared" si="1"/>
        <v>7</v>
      </c>
      <c r="B9" s="204" t="s">
        <v>341</v>
      </c>
      <c r="C9" s="204" t="s">
        <v>342</v>
      </c>
      <c r="D9" s="205" t="s">
        <v>305</v>
      </c>
      <c r="E9" s="206">
        <v>0.07430555555555556</v>
      </c>
      <c r="F9" s="204" t="s">
        <v>343</v>
      </c>
      <c r="G9" s="215" t="s">
        <v>344</v>
      </c>
      <c r="H9" s="205" t="s">
        <v>345</v>
      </c>
      <c r="I9" s="205" t="s">
        <v>162</v>
      </c>
      <c r="J9" s="205" t="s">
        <v>332</v>
      </c>
      <c r="K9" s="208" t="str">
        <f>IF(Errors!$I9=0,SourceData!$B$42,VLOOKUP(Errors!$I9,SourceData!$A$2:$B$40,2,FALSE))</f>
        <v>Dealer failed to finish the game and started a new game. (Dealt and discarded the cards without scanning them and similar cases)</v>
      </c>
      <c r="L9" s="207"/>
      <c r="M9" s="209"/>
      <c r="N9" s="205" t="s">
        <v>309</v>
      </c>
      <c r="O9" s="205" t="s">
        <v>309</v>
      </c>
      <c r="P9" s="205" t="s">
        <v>310</v>
      </c>
      <c r="Q9" s="205" t="s">
        <v>310</v>
      </c>
      <c r="R9" s="204" t="s">
        <v>346</v>
      </c>
      <c r="S9" s="204" t="s">
        <v>347</v>
      </c>
      <c r="T9" s="204" t="s">
        <v>348</v>
      </c>
      <c r="U9" s="199"/>
      <c r="V9" s="200"/>
      <c r="W9" s="200"/>
      <c r="X9" s="200"/>
      <c r="Y9" s="200"/>
      <c r="Z9" s="200"/>
      <c r="AA9" s="201"/>
      <c r="AB9" s="200"/>
      <c r="AC9" s="200"/>
    </row>
    <row r="10" ht="15.0" customHeight="1">
      <c r="A10" s="210">
        <f t="shared" si="1"/>
        <v>8</v>
      </c>
      <c r="B10" s="204" t="s">
        <v>349</v>
      </c>
      <c r="C10" s="204" t="s">
        <v>350</v>
      </c>
      <c r="D10" s="205" t="s">
        <v>351</v>
      </c>
      <c r="E10" s="206">
        <v>0.05416666666666667</v>
      </c>
      <c r="F10" s="204" t="s">
        <v>352</v>
      </c>
      <c r="G10" s="215" t="s">
        <v>353</v>
      </c>
      <c r="H10" s="205" t="s">
        <v>354</v>
      </c>
      <c r="I10" s="205" t="s">
        <v>130</v>
      </c>
      <c r="J10" s="205" t="s">
        <v>332</v>
      </c>
      <c r="K10" s="208" t="str">
        <f>IF(Errors!$I10=0,SourceData!$B$42,VLOOKUP(Errors!$I10,SourceData!$A$2:$B$40,2,FALSE))</f>
        <v>Shuffle card not scanned  (still using the same shoe)</v>
      </c>
      <c r="L10" s="207"/>
      <c r="M10" s="209"/>
      <c r="N10" s="205" t="s">
        <v>309</v>
      </c>
      <c r="O10" s="205" t="s">
        <v>309</v>
      </c>
      <c r="P10" s="205" t="s">
        <v>310</v>
      </c>
      <c r="Q10" s="205" t="s">
        <v>310</v>
      </c>
      <c r="R10" s="204" t="s">
        <v>346</v>
      </c>
      <c r="S10" s="204" t="s">
        <v>347</v>
      </c>
      <c r="T10" s="204" t="s">
        <v>348</v>
      </c>
      <c r="U10" s="199"/>
      <c r="V10" s="200"/>
      <c r="W10" s="200"/>
      <c r="X10" s="200"/>
      <c r="Y10" s="200"/>
      <c r="Z10" s="200"/>
      <c r="AA10" s="201"/>
      <c r="AB10" s="200"/>
      <c r="AC10" s="200"/>
    </row>
    <row r="11" ht="15.0" customHeight="1">
      <c r="A11" s="210">
        <f t="shared" si="1"/>
        <v>9</v>
      </c>
      <c r="B11" s="204" t="s">
        <v>355</v>
      </c>
      <c r="C11" s="204" t="s">
        <v>356</v>
      </c>
      <c r="D11" s="205" t="s">
        <v>351</v>
      </c>
      <c r="E11" s="206">
        <v>0.2902777777777778</v>
      </c>
      <c r="F11" s="204" t="s">
        <v>323</v>
      </c>
      <c r="G11" s="207"/>
      <c r="H11" s="205" t="s">
        <v>357</v>
      </c>
      <c r="I11" s="205" t="s">
        <v>116</v>
      </c>
      <c r="J11" s="205" t="s">
        <v>308</v>
      </c>
      <c r="K11" s="208" t="str">
        <f>IF(Errors!$I11=0,SourceData!$B$42,VLOOKUP(Errors!$I11,SourceData!$A$2:$B$40,2,FALSE))</f>
        <v>Ball did not make 4 revolutions</v>
      </c>
      <c r="L11" s="207"/>
      <c r="M11" s="209"/>
      <c r="N11" s="205" t="s">
        <v>309</v>
      </c>
      <c r="O11" s="205" t="s">
        <v>309</v>
      </c>
      <c r="P11" s="205" t="s">
        <v>310</v>
      </c>
      <c r="Q11" s="205" t="s">
        <v>310</v>
      </c>
      <c r="R11" s="204" t="s">
        <v>346</v>
      </c>
      <c r="S11" s="204" t="s">
        <v>347</v>
      </c>
      <c r="T11" s="204" t="s">
        <v>319</v>
      </c>
      <c r="U11" s="199"/>
      <c r="V11" s="200"/>
      <c r="W11" s="200"/>
      <c r="X11" s="200"/>
      <c r="Y11" s="200"/>
      <c r="Z11" s="200"/>
      <c r="AA11" s="201"/>
      <c r="AB11" s="200"/>
      <c r="AC11" s="200"/>
    </row>
    <row r="12" ht="15.0" customHeight="1">
      <c r="A12" s="210">
        <f t="shared" si="1"/>
        <v>10</v>
      </c>
      <c r="B12" s="204" t="s">
        <v>358</v>
      </c>
      <c r="C12" s="204" t="s">
        <v>359</v>
      </c>
      <c r="D12" s="205" t="s">
        <v>351</v>
      </c>
      <c r="E12" s="206">
        <v>0.48819444444444443</v>
      </c>
      <c r="F12" s="204" t="s">
        <v>323</v>
      </c>
      <c r="G12" s="215"/>
      <c r="H12" s="205" t="s">
        <v>360</v>
      </c>
      <c r="I12" s="205" t="s">
        <v>120</v>
      </c>
      <c r="J12" s="205" t="s">
        <v>308</v>
      </c>
      <c r="K12" s="208" t="str">
        <f>IF(Errors!$I12=0,SourceData!$B$42,VLOOKUP(Errors!$I12,SourceData!$A$2:$B$40,2,FALSE))</f>
        <v>Drop ball</v>
      </c>
      <c r="L12" s="207"/>
      <c r="M12" s="209"/>
      <c r="N12" s="205" t="s">
        <v>309</v>
      </c>
      <c r="O12" s="205" t="s">
        <v>309</v>
      </c>
      <c r="P12" s="205" t="s">
        <v>310</v>
      </c>
      <c r="Q12" s="205" t="s">
        <v>310</v>
      </c>
      <c r="R12" s="204" t="s">
        <v>361</v>
      </c>
      <c r="S12" s="204" t="s">
        <v>362</v>
      </c>
      <c r="T12" s="204" t="s">
        <v>319</v>
      </c>
      <c r="U12" s="199"/>
      <c r="V12" s="200"/>
      <c r="W12" s="200"/>
      <c r="X12" s="200"/>
      <c r="Y12" s="200"/>
      <c r="Z12" s="200"/>
      <c r="AA12" s="201"/>
      <c r="AB12" s="200"/>
      <c r="AC12" s="200"/>
    </row>
    <row r="13" ht="15.0" customHeight="1">
      <c r="A13" s="210">
        <f t="shared" si="1"/>
        <v>11</v>
      </c>
      <c r="B13" s="204" t="s">
        <v>363</v>
      </c>
      <c r="C13" s="204" t="s">
        <v>364</v>
      </c>
      <c r="D13" s="205" t="s">
        <v>351</v>
      </c>
      <c r="E13" s="206">
        <v>0.5548611111111111</v>
      </c>
      <c r="F13" s="204" t="s">
        <v>352</v>
      </c>
      <c r="G13" s="215" t="s">
        <v>365</v>
      </c>
      <c r="H13" s="205" t="s">
        <v>366</v>
      </c>
      <c r="I13" s="205" t="s">
        <v>150</v>
      </c>
      <c r="J13" s="205" t="s">
        <v>332</v>
      </c>
      <c r="K13" s="208" t="str">
        <f>IF(Errors!$I13=0,SourceData!$B$42,VLOOKUP(Errors!$I13,SourceData!$A$2:$B$40,2,FALSE))</f>
        <v>Dealer drops cards in shoe/table while changing cards. </v>
      </c>
      <c r="L13" s="207"/>
      <c r="M13" s="209"/>
      <c r="N13" s="205" t="s">
        <v>310</v>
      </c>
      <c r="O13" s="205" t="s">
        <v>310</v>
      </c>
      <c r="P13" s="205" t="s">
        <v>310</v>
      </c>
      <c r="Q13" s="205" t="s">
        <v>310</v>
      </c>
      <c r="R13" s="204" t="s">
        <v>361</v>
      </c>
      <c r="S13" s="204" t="s">
        <v>367</v>
      </c>
      <c r="T13" s="204" t="s">
        <v>368</v>
      </c>
      <c r="U13" s="199"/>
      <c r="V13" s="200"/>
      <c r="W13" s="200"/>
      <c r="X13" s="200"/>
      <c r="Y13" s="200"/>
      <c r="Z13" s="200"/>
      <c r="AA13" s="201"/>
      <c r="AB13" s="200"/>
      <c r="AC13" s="200"/>
    </row>
    <row r="14" ht="15.0" customHeight="1">
      <c r="A14" s="210">
        <f t="shared" si="1"/>
        <v>12</v>
      </c>
      <c r="B14" s="204" t="s">
        <v>369</v>
      </c>
      <c r="C14" s="204" t="s">
        <v>370</v>
      </c>
      <c r="D14" s="205" t="s">
        <v>351</v>
      </c>
      <c r="E14" s="206">
        <v>0.6090277777777777</v>
      </c>
      <c r="F14" s="204" t="s">
        <v>306</v>
      </c>
      <c r="G14" s="207"/>
      <c r="H14" s="205" t="s">
        <v>371</v>
      </c>
      <c r="I14" s="205" t="s">
        <v>116</v>
      </c>
      <c r="J14" s="205" t="s">
        <v>308</v>
      </c>
      <c r="K14" s="208" t="str">
        <f>IF(Errors!$I14=0,SourceData!$B$42,VLOOKUP(Errors!$I14,SourceData!$A$2:$B$40,2,FALSE))</f>
        <v>Ball did not make 4 revolutions</v>
      </c>
      <c r="L14" s="207"/>
      <c r="M14" s="209"/>
      <c r="N14" s="205" t="s">
        <v>309</v>
      </c>
      <c r="O14" s="205" t="s">
        <v>310</v>
      </c>
      <c r="P14" s="205" t="s">
        <v>309</v>
      </c>
      <c r="Q14" s="205" t="s">
        <v>309</v>
      </c>
      <c r="R14" s="204" t="s">
        <v>361</v>
      </c>
      <c r="S14" s="204" t="s">
        <v>362</v>
      </c>
      <c r="T14" s="204" t="s">
        <v>372</v>
      </c>
      <c r="U14" s="199"/>
      <c r="V14" s="200"/>
      <c r="W14" s="200"/>
      <c r="X14" s="200"/>
      <c r="Y14" s="200"/>
      <c r="Z14" s="200"/>
      <c r="AA14" s="201"/>
      <c r="AB14" s="200"/>
      <c r="AC14" s="200"/>
    </row>
    <row r="15" ht="15.0" customHeight="1">
      <c r="A15" s="210">
        <f t="shared" si="1"/>
        <v>13</v>
      </c>
      <c r="B15" s="204" t="s">
        <v>363</v>
      </c>
      <c r="C15" s="204" t="s">
        <v>364</v>
      </c>
      <c r="D15" s="205" t="s">
        <v>351</v>
      </c>
      <c r="E15" s="206">
        <v>0.6430555555555556</v>
      </c>
      <c r="F15" s="204" t="s">
        <v>306</v>
      </c>
      <c r="G15" s="207"/>
      <c r="H15" s="205" t="s">
        <v>373</v>
      </c>
      <c r="I15" s="205" t="s">
        <v>120</v>
      </c>
      <c r="J15" s="205" t="s">
        <v>308</v>
      </c>
      <c r="K15" s="208" t="str">
        <f>IF(Errors!$I15=0,SourceData!$B$42,VLOOKUP(Errors!$I15,SourceData!$A$2:$B$40,2,FALSE))</f>
        <v>Drop ball</v>
      </c>
      <c r="L15" s="207"/>
      <c r="M15" s="209"/>
      <c r="N15" s="205" t="s">
        <v>309</v>
      </c>
      <c r="O15" s="205" t="s">
        <v>309</v>
      </c>
      <c r="P15" s="205" t="s">
        <v>310</v>
      </c>
      <c r="Q15" s="205" t="s">
        <v>310</v>
      </c>
      <c r="R15" s="204" t="s">
        <v>361</v>
      </c>
      <c r="S15" s="204" t="s">
        <v>367</v>
      </c>
      <c r="T15" s="204" t="s">
        <v>319</v>
      </c>
      <c r="U15" s="199"/>
      <c r="V15" s="200"/>
      <c r="W15" s="200"/>
      <c r="X15" s="200"/>
      <c r="Y15" s="200"/>
      <c r="Z15" s="200"/>
      <c r="AA15" s="201"/>
      <c r="AB15" s="200"/>
      <c r="AC15" s="200"/>
    </row>
    <row r="16" ht="15.0" customHeight="1">
      <c r="A16" s="210">
        <f t="shared" si="1"/>
        <v>14</v>
      </c>
      <c r="B16" s="204" t="s">
        <v>374</v>
      </c>
      <c r="C16" s="204" t="s">
        <v>375</v>
      </c>
      <c r="D16" s="205" t="s">
        <v>351</v>
      </c>
      <c r="E16" s="206">
        <v>0.7118055555555556</v>
      </c>
      <c r="F16" s="204" t="s">
        <v>376</v>
      </c>
      <c r="G16" s="207"/>
      <c r="H16" s="205" t="s">
        <v>377</v>
      </c>
      <c r="I16" s="205" t="s">
        <v>58</v>
      </c>
      <c r="J16" s="205" t="s">
        <v>308</v>
      </c>
      <c r="K16" s="208" t="str">
        <f>IF(Errors!$I16=0,SourceData!$B$42,VLOOKUP(Errors!$I16,SourceData!$A$2:$B$40,2,FALSE))</f>
        <v>Technical error</v>
      </c>
      <c r="L16" s="207"/>
      <c r="M16" s="205" t="s">
        <v>338</v>
      </c>
      <c r="N16" s="205" t="s">
        <v>310</v>
      </c>
      <c r="O16" s="205" t="s">
        <v>310</v>
      </c>
      <c r="P16" s="205" t="s">
        <v>310</v>
      </c>
      <c r="Q16" s="205" t="s">
        <v>310</v>
      </c>
      <c r="R16" s="204" t="s">
        <v>378</v>
      </c>
      <c r="S16" s="204" t="s">
        <v>378</v>
      </c>
      <c r="T16" s="204" t="s">
        <v>379</v>
      </c>
      <c r="U16" s="199"/>
      <c r="V16" s="200"/>
      <c r="W16" s="200"/>
      <c r="X16" s="200"/>
      <c r="Y16" s="200"/>
      <c r="Z16" s="200"/>
      <c r="AA16" s="201"/>
      <c r="AB16" s="200"/>
      <c r="AC16" s="200"/>
    </row>
    <row r="17" ht="15.0" customHeight="1">
      <c r="A17" s="210">
        <f t="shared" si="1"/>
        <v>15</v>
      </c>
      <c r="B17" s="204" t="s">
        <v>380</v>
      </c>
      <c r="C17" s="204" t="s">
        <v>381</v>
      </c>
      <c r="D17" s="205" t="s">
        <v>351</v>
      </c>
      <c r="E17" s="206">
        <v>0.8784722222222222</v>
      </c>
      <c r="F17" s="204" t="s">
        <v>306</v>
      </c>
      <c r="G17" s="207"/>
      <c r="H17" s="205" t="s">
        <v>382</v>
      </c>
      <c r="I17" s="205" t="s">
        <v>116</v>
      </c>
      <c r="J17" s="205" t="s">
        <v>308</v>
      </c>
      <c r="K17" s="208" t="str">
        <f>IF(Errors!$I17=0,SourceData!$B$42,VLOOKUP(Errors!$I17,SourceData!$A$2:$B$40,2,FALSE))</f>
        <v>Ball did not make 4 revolutions</v>
      </c>
      <c r="L17" s="207"/>
      <c r="M17" s="209"/>
      <c r="N17" s="205" t="s">
        <v>309</v>
      </c>
      <c r="O17" s="205" t="s">
        <v>309</v>
      </c>
      <c r="P17" s="205" t="s">
        <v>310</v>
      </c>
      <c r="Q17" s="205" t="s">
        <v>310</v>
      </c>
      <c r="R17" s="204" t="s">
        <v>378</v>
      </c>
      <c r="S17" s="204" t="s">
        <v>339</v>
      </c>
      <c r="T17" s="204" t="s">
        <v>319</v>
      </c>
      <c r="U17" s="199"/>
      <c r="V17" s="200"/>
      <c r="W17" s="200"/>
      <c r="X17" s="200"/>
      <c r="Y17" s="200"/>
      <c r="Z17" s="200"/>
      <c r="AA17" s="201"/>
      <c r="AB17" s="200"/>
      <c r="AC17" s="200"/>
    </row>
    <row r="18" ht="15.0" customHeight="1">
      <c r="A18" s="210">
        <f t="shared" si="1"/>
        <v>16</v>
      </c>
      <c r="B18" s="204" t="s">
        <v>380</v>
      </c>
      <c r="C18" s="204" t="s">
        <v>381</v>
      </c>
      <c r="D18" s="205" t="s">
        <v>351</v>
      </c>
      <c r="E18" s="206">
        <v>0.89375</v>
      </c>
      <c r="F18" s="204" t="s">
        <v>306</v>
      </c>
      <c r="G18" s="207"/>
      <c r="H18" s="205" t="s">
        <v>383</v>
      </c>
      <c r="I18" s="205" t="s">
        <v>116</v>
      </c>
      <c r="J18" s="205" t="s">
        <v>308</v>
      </c>
      <c r="K18" s="208" t="str">
        <f>IF(Errors!$I18=0,SourceData!$B$42,VLOOKUP(Errors!$I18,SourceData!$A$2:$B$40,2,FALSE))</f>
        <v>Ball did not make 4 revolutions</v>
      </c>
      <c r="L18" s="207"/>
      <c r="M18" s="209"/>
      <c r="N18" s="216" t="s">
        <v>309</v>
      </c>
      <c r="O18" s="216" t="s">
        <v>309</v>
      </c>
      <c r="P18" s="205" t="s">
        <v>310</v>
      </c>
      <c r="Q18" s="205" t="s">
        <v>310</v>
      </c>
      <c r="R18" s="204" t="s">
        <v>378</v>
      </c>
      <c r="S18" s="204" t="s">
        <v>339</v>
      </c>
      <c r="T18" s="204" t="s">
        <v>319</v>
      </c>
      <c r="U18" s="199"/>
      <c r="V18" s="200"/>
      <c r="W18" s="200"/>
      <c r="X18" s="200"/>
      <c r="Y18" s="200"/>
      <c r="Z18" s="200"/>
      <c r="AA18" s="201"/>
      <c r="AB18" s="200"/>
      <c r="AC18" s="200"/>
    </row>
    <row r="19" ht="15.0" customHeight="1">
      <c r="A19" s="210">
        <f t="shared" si="1"/>
        <v>17</v>
      </c>
      <c r="B19" s="204" t="s">
        <v>384</v>
      </c>
      <c r="C19" s="204" t="s">
        <v>385</v>
      </c>
      <c r="D19" s="205" t="s">
        <v>386</v>
      </c>
      <c r="E19" s="206">
        <v>0.43194444444444446</v>
      </c>
      <c r="F19" s="204" t="s">
        <v>343</v>
      </c>
      <c r="G19" s="215" t="s">
        <v>387</v>
      </c>
      <c r="H19" s="205" t="s">
        <v>388</v>
      </c>
      <c r="I19" s="205" t="s">
        <v>150</v>
      </c>
      <c r="J19" s="205" t="s">
        <v>332</v>
      </c>
      <c r="K19" s="208" t="str">
        <f>IF(Errors!$I19=0,SourceData!$B$42,VLOOKUP(Errors!$I19,SourceData!$A$2:$B$40,2,FALSE))</f>
        <v>Dealer drops cards in shoe/table while changing cards. </v>
      </c>
      <c r="L19" s="207"/>
      <c r="M19" s="209"/>
      <c r="N19" s="216" t="s">
        <v>310</v>
      </c>
      <c r="O19" s="205" t="s">
        <v>310</v>
      </c>
      <c r="P19" s="205" t="s">
        <v>310</v>
      </c>
      <c r="Q19" s="205" t="s">
        <v>310</v>
      </c>
      <c r="R19" s="204" t="s">
        <v>361</v>
      </c>
      <c r="S19" s="204" t="s">
        <v>389</v>
      </c>
      <c r="T19" s="204" t="s">
        <v>390</v>
      </c>
      <c r="U19" s="199"/>
      <c r="V19" s="200"/>
      <c r="W19" s="200"/>
      <c r="X19" s="200"/>
      <c r="Y19" s="200"/>
      <c r="Z19" s="200"/>
      <c r="AA19" s="201"/>
      <c r="AB19" s="200"/>
      <c r="AC19" s="200"/>
    </row>
    <row r="20" ht="15.0" customHeight="1">
      <c r="A20" s="210">
        <f t="shared" si="1"/>
        <v>18</v>
      </c>
      <c r="B20" s="204"/>
      <c r="C20" s="204" t="s">
        <v>391</v>
      </c>
      <c r="D20" s="205" t="s">
        <v>386</v>
      </c>
      <c r="E20" s="206">
        <v>0.6027777777777777</v>
      </c>
      <c r="F20" s="204" t="s">
        <v>343</v>
      </c>
      <c r="G20" s="215" t="s">
        <v>392</v>
      </c>
      <c r="H20" s="205" t="s">
        <v>393</v>
      </c>
      <c r="I20" s="205" t="s">
        <v>130</v>
      </c>
      <c r="J20" s="205" t="s">
        <v>332</v>
      </c>
      <c r="K20" s="208" t="str">
        <f>IF(Errors!$I20=0,SourceData!$B$42,VLOOKUP(Errors!$I20,SourceData!$A$2:$B$40,2,FALSE))</f>
        <v>Shuffle card not scanned  (still using the same shoe)</v>
      </c>
      <c r="L20" s="207"/>
      <c r="M20" s="209"/>
      <c r="N20" s="216" t="s">
        <v>309</v>
      </c>
      <c r="O20" s="216" t="s">
        <v>309</v>
      </c>
      <c r="P20" s="205" t="s">
        <v>310</v>
      </c>
      <c r="Q20" s="205" t="s">
        <v>310</v>
      </c>
      <c r="R20" s="204" t="s">
        <v>361</v>
      </c>
      <c r="S20" s="204" t="s">
        <v>389</v>
      </c>
      <c r="T20" s="204" t="s">
        <v>394</v>
      </c>
      <c r="U20" s="199"/>
      <c r="V20" s="200"/>
      <c r="W20" s="200"/>
      <c r="X20" s="200"/>
      <c r="Y20" s="200"/>
      <c r="Z20" s="200"/>
      <c r="AA20" s="201"/>
      <c r="AB20" s="200"/>
      <c r="AC20" s="200"/>
    </row>
    <row r="21" ht="15.0" customHeight="1">
      <c r="A21" s="210">
        <f t="shared" si="1"/>
        <v>19</v>
      </c>
      <c r="B21" s="204" t="s">
        <v>395</v>
      </c>
      <c r="C21" s="217" t="str">
        <f>IFERROR(VLOOKUP(B21, SourceData!$U$3:$V$190, 2, FALSE), "")</f>
        <v>Joe</v>
      </c>
      <c r="D21" s="205" t="s">
        <v>386</v>
      </c>
      <c r="E21" s="206">
        <v>0.4701388888888889</v>
      </c>
      <c r="F21" s="204" t="s">
        <v>396</v>
      </c>
      <c r="G21" s="215" t="s">
        <v>397</v>
      </c>
      <c r="H21" s="205" t="s">
        <v>398</v>
      </c>
      <c r="I21" s="205" t="s">
        <v>68</v>
      </c>
      <c r="J21" s="205" t="s">
        <v>332</v>
      </c>
      <c r="K21" s="208" t="str">
        <f>IF(Errors!$I21=0,SourceData!$B$42,VLOOKUP(Errors!$I21,SourceData!$A$2:$B$40,2,FALSE))</f>
        <v>Poor Communication</v>
      </c>
      <c r="L21" s="207"/>
      <c r="M21" s="209"/>
      <c r="N21" s="216" t="s">
        <v>310</v>
      </c>
      <c r="O21" s="205" t="s">
        <v>310</v>
      </c>
      <c r="P21" s="205" t="s">
        <v>310</v>
      </c>
      <c r="Q21" s="205" t="s">
        <v>310</v>
      </c>
      <c r="R21" s="204" t="s">
        <v>361</v>
      </c>
      <c r="S21" s="204" t="s">
        <v>389</v>
      </c>
      <c r="T21" s="204" t="s">
        <v>399</v>
      </c>
      <c r="U21" s="199"/>
      <c r="V21" s="200"/>
      <c r="W21" s="200"/>
      <c r="X21" s="200"/>
      <c r="Y21" s="200"/>
      <c r="Z21" s="200"/>
      <c r="AA21" s="201"/>
      <c r="AB21" s="200"/>
      <c r="AC21" s="200"/>
    </row>
    <row r="22" ht="15.0" customHeight="1">
      <c r="A22" s="210">
        <f t="shared" si="1"/>
        <v>20</v>
      </c>
      <c r="B22" s="204" t="s">
        <v>380</v>
      </c>
      <c r="C22" s="217" t="str">
        <f>IFERROR(VLOOKUP(B22, SourceData!$U$3:$V$190, 2, FALSE), "")</f>
        <v>Layla</v>
      </c>
      <c r="D22" s="205" t="s">
        <v>386</v>
      </c>
      <c r="E22" s="206">
        <v>0.7951388888888888</v>
      </c>
      <c r="F22" s="204" t="s">
        <v>400</v>
      </c>
      <c r="G22" s="215" t="s">
        <v>401</v>
      </c>
      <c r="H22" s="205" t="s">
        <v>402</v>
      </c>
      <c r="I22" s="205" t="s">
        <v>139</v>
      </c>
      <c r="J22" s="205" t="s">
        <v>332</v>
      </c>
      <c r="K22" s="208" t="str">
        <f>IF(Errors!$I22=0,SourceData!$B$42,VLOOKUP(Errors!$I22,SourceData!$A$2:$B$40,2,FALSE))</f>
        <v>GP doesn't wait for 3 seconds after the card change which causes card not scanned/cards scanned in wrong order</v>
      </c>
      <c r="L22" s="207"/>
      <c r="M22" s="209"/>
      <c r="N22" s="216" t="s">
        <v>310</v>
      </c>
      <c r="O22" s="205" t="s">
        <v>310</v>
      </c>
      <c r="P22" s="205" t="s">
        <v>310</v>
      </c>
      <c r="Q22" s="205" t="s">
        <v>310</v>
      </c>
      <c r="R22" s="204" t="s">
        <v>325</v>
      </c>
      <c r="S22" s="204" t="s">
        <v>339</v>
      </c>
      <c r="T22" s="204" t="s">
        <v>403</v>
      </c>
      <c r="U22" s="199"/>
      <c r="V22" s="200"/>
      <c r="W22" s="200"/>
      <c r="X22" s="200"/>
      <c r="Y22" s="200"/>
      <c r="Z22" s="200"/>
      <c r="AA22" s="201"/>
      <c r="AB22" s="200"/>
      <c r="AC22" s="200"/>
    </row>
    <row r="23" ht="15.0" customHeight="1">
      <c r="A23" s="210">
        <f t="shared" si="1"/>
        <v>21</v>
      </c>
      <c r="B23" s="204" t="s">
        <v>404</v>
      </c>
      <c r="C23" s="217" t="str">
        <f>IFERROR(VLOOKUP(B23, SourceData!$U$3:$V$190, 2, FALSE), "")</f>
        <v>Pamela</v>
      </c>
      <c r="D23" s="205" t="s">
        <v>386</v>
      </c>
      <c r="E23" s="206">
        <v>0.8652777777777778</v>
      </c>
      <c r="F23" s="204" t="s">
        <v>323</v>
      </c>
      <c r="G23" s="207"/>
      <c r="H23" s="205" t="s">
        <v>405</v>
      </c>
      <c r="I23" s="205" t="s">
        <v>120</v>
      </c>
      <c r="J23" s="205" t="s">
        <v>308</v>
      </c>
      <c r="K23" s="208" t="str">
        <f>IF(Errors!$I23=0,SourceData!$B$42,VLOOKUP(Errors!$I23,SourceData!$A$2:$B$40,2,FALSE))</f>
        <v>Drop ball</v>
      </c>
      <c r="L23" s="207"/>
      <c r="M23" s="209"/>
      <c r="N23" s="216" t="s">
        <v>309</v>
      </c>
      <c r="O23" s="216" t="s">
        <v>309</v>
      </c>
      <c r="P23" s="205" t="s">
        <v>310</v>
      </c>
      <c r="Q23" s="205" t="s">
        <v>310</v>
      </c>
      <c r="R23" s="204" t="s">
        <v>325</v>
      </c>
      <c r="S23" s="204" t="s">
        <v>339</v>
      </c>
      <c r="T23" s="204" t="s">
        <v>319</v>
      </c>
      <c r="U23" s="199"/>
      <c r="V23" s="200"/>
      <c r="W23" s="200"/>
      <c r="X23" s="200"/>
      <c r="Y23" s="200"/>
      <c r="Z23" s="200"/>
      <c r="AA23" s="201"/>
      <c r="AB23" s="200"/>
      <c r="AC23" s="200"/>
    </row>
    <row r="24" ht="15.0" customHeight="1">
      <c r="A24" s="210">
        <f t="shared" si="1"/>
        <v>22</v>
      </c>
      <c r="B24" s="204" t="s">
        <v>380</v>
      </c>
      <c r="C24" s="217" t="str">
        <f>IFERROR(VLOOKUP(B24, SourceData!$U$3:$V$190, 2, FALSE), "")</f>
        <v>Layla</v>
      </c>
      <c r="D24" s="205" t="s">
        <v>386</v>
      </c>
      <c r="E24" s="206">
        <v>0.8916666666666667</v>
      </c>
      <c r="F24" s="204" t="s">
        <v>376</v>
      </c>
      <c r="G24" s="207"/>
      <c r="H24" s="205" t="s">
        <v>406</v>
      </c>
      <c r="I24" s="205" t="s">
        <v>116</v>
      </c>
      <c r="J24" s="205" t="s">
        <v>308</v>
      </c>
      <c r="K24" s="208" t="str">
        <f>IF(Errors!$I24=0,SourceData!$B$42,VLOOKUP(Errors!$I24,SourceData!$A$2:$B$40,2,FALSE))</f>
        <v>Ball did not make 4 revolutions</v>
      </c>
      <c r="L24" s="207"/>
      <c r="M24" s="209"/>
      <c r="N24" s="216" t="s">
        <v>309</v>
      </c>
      <c r="O24" s="216" t="s">
        <v>309</v>
      </c>
      <c r="P24" s="205" t="s">
        <v>310</v>
      </c>
      <c r="Q24" s="205" t="s">
        <v>310</v>
      </c>
      <c r="R24" s="204" t="s">
        <v>325</v>
      </c>
      <c r="S24" s="204" t="s">
        <v>339</v>
      </c>
      <c r="T24" s="204" t="s">
        <v>319</v>
      </c>
      <c r="U24" s="199"/>
      <c r="V24" s="200"/>
      <c r="W24" s="200"/>
      <c r="X24" s="200"/>
      <c r="Y24" s="200"/>
      <c r="Z24" s="200"/>
      <c r="AA24" s="201"/>
      <c r="AB24" s="200"/>
      <c r="AC24" s="200"/>
    </row>
    <row r="25" ht="15.0" customHeight="1">
      <c r="A25" s="210">
        <f t="shared" si="1"/>
        <v>23</v>
      </c>
      <c r="B25" s="204" t="s">
        <v>334</v>
      </c>
      <c r="C25" s="217" t="str">
        <f>IFERROR(VLOOKUP(B25, SourceData!$U$3:$V$190, 2, FALSE), "")</f>
        <v>Veronika</v>
      </c>
      <c r="D25" s="205" t="s">
        <v>386</v>
      </c>
      <c r="E25" s="206">
        <v>0.91875</v>
      </c>
      <c r="F25" s="204" t="s">
        <v>306</v>
      </c>
      <c r="G25" s="207"/>
      <c r="H25" s="205" t="s">
        <v>407</v>
      </c>
      <c r="I25" s="205" t="s">
        <v>120</v>
      </c>
      <c r="J25" s="205" t="s">
        <v>308</v>
      </c>
      <c r="K25" s="208" t="str">
        <f>IF(Errors!$I25=0,SourceData!$B$42,VLOOKUP(Errors!$I25,SourceData!$A$2:$B$40,2,FALSE))</f>
        <v>Drop ball</v>
      </c>
      <c r="L25" s="207"/>
      <c r="M25" s="209"/>
      <c r="N25" s="216" t="s">
        <v>309</v>
      </c>
      <c r="O25" s="216" t="s">
        <v>309</v>
      </c>
      <c r="P25" s="205" t="s">
        <v>310</v>
      </c>
      <c r="Q25" s="205" t="s">
        <v>310</v>
      </c>
      <c r="R25" s="204" t="s">
        <v>325</v>
      </c>
      <c r="S25" s="204" t="s">
        <v>339</v>
      </c>
      <c r="T25" s="204" t="s">
        <v>319</v>
      </c>
      <c r="U25" s="199"/>
      <c r="V25" s="200"/>
      <c r="W25" s="200"/>
      <c r="X25" s="200"/>
      <c r="Y25" s="200"/>
      <c r="Z25" s="200"/>
      <c r="AA25" s="201"/>
      <c r="AB25" s="200"/>
      <c r="AC25" s="200"/>
    </row>
    <row r="26" ht="15.0" customHeight="1">
      <c r="A26" s="210">
        <f t="shared" si="1"/>
        <v>24</v>
      </c>
      <c r="B26" s="204" t="s">
        <v>334</v>
      </c>
      <c r="C26" s="217" t="str">
        <f>IFERROR(VLOOKUP(B26, SourceData!$U$3:$V$190, 2, FALSE), "")</f>
        <v>Veronika</v>
      </c>
      <c r="D26" s="205" t="s">
        <v>386</v>
      </c>
      <c r="E26" s="206">
        <v>0.9222222222222223</v>
      </c>
      <c r="F26" s="204" t="s">
        <v>306</v>
      </c>
      <c r="G26" s="207"/>
      <c r="H26" s="205" t="s">
        <v>408</v>
      </c>
      <c r="I26" s="205" t="s">
        <v>229</v>
      </c>
      <c r="J26" s="205" t="s">
        <v>308</v>
      </c>
      <c r="K26" s="208" t="str">
        <f>IF(Errors!$I26=0,SourceData!$B$42,VLOOKUP(Errors!$I26,SourceData!$A$2:$B$40,2,FALSE))</f>
        <v>Dealer spun ball before the beginning of next round/More than 3 seconds before the end of the countdown. </v>
      </c>
      <c r="L26" s="207"/>
      <c r="M26" s="209"/>
      <c r="N26" s="216" t="s">
        <v>309</v>
      </c>
      <c r="O26" s="216" t="s">
        <v>309</v>
      </c>
      <c r="P26" s="205" t="s">
        <v>310</v>
      </c>
      <c r="Q26" s="205" t="s">
        <v>310</v>
      </c>
      <c r="R26" s="204" t="s">
        <v>325</v>
      </c>
      <c r="S26" s="204" t="s">
        <v>339</v>
      </c>
      <c r="T26" s="204" t="s">
        <v>409</v>
      </c>
      <c r="U26" s="199"/>
      <c r="V26" s="200"/>
      <c r="W26" s="200"/>
      <c r="X26" s="200"/>
      <c r="Y26" s="200"/>
      <c r="Z26" s="200"/>
      <c r="AA26" s="201"/>
      <c r="AB26" s="200"/>
      <c r="AC26" s="200"/>
    </row>
    <row r="27" ht="15.0" customHeight="1">
      <c r="A27" s="210">
        <f t="shared" si="1"/>
        <v>25</v>
      </c>
      <c r="B27" s="204" t="s">
        <v>410</v>
      </c>
      <c r="C27" s="217" t="str">
        <f>IFERROR(VLOOKUP(B27, SourceData!$U$3:$V$190, 2, FALSE), "")</f>
        <v>Karin</v>
      </c>
      <c r="D27" s="205" t="s">
        <v>386</v>
      </c>
      <c r="E27" s="206">
        <v>0.9979166666666667</v>
      </c>
      <c r="F27" s="204" t="s">
        <v>343</v>
      </c>
      <c r="G27" s="215" t="s">
        <v>411</v>
      </c>
      <c r="H27" s="205" t="s">
        <v>412</v>
      </c>
      <c r="I27" s="205" t="s">
        <v>130</v>
      </c>
      <c r="J27" s="205" t="s">
        <v>332</v>
      </c>
      <c r="K27" s="208" t="str">
        <f>IF(Errors!$I27=0,SourceData!$B$42,VLOOKUP(Errors!$I27,SourceData!$A$2:$B$40,2,FALSE))</f>
        <v>Shuffle card not scanned  (still using the same shoe)</v>
      </c>
      <c r="L27" s="207"/>
      <c r="M27" s="209"/>
      <c r="N27" s="216" t="s">
        <v>309</v>
      </c>
      <c r="O27" s="216" t="s">
        <v>309</v>
      </c>
      <c r="P27" s="205" t="s">
        <v>310</v>
      </c>
      <c r="Q27" s="205" t="s">
        <v>310</v>
      </c>
      <c r="R27" s="204" t="s">
        <v>413</v>
      </c>
      <c r="S27" s="204" t="s">
        <v>347</v>
      </c>
      <c r="T27" s="204" t="s">
        <v>348</v>
      </c>
      <c r="U27" s="199"/>
      <c r="V27" s="200"/>
      <c r="W27" s="200"/>
      <c r="X27" s="200"/>
      <c r="Y27" s="200"/>
      <c r="Z27" s="200"/>
      <c r="AA27" s="201"/>
      <c r="AB27" s="200"/>
      <c r="AC27" s="200"/>
    </row>
    <row r="28" ht="15.0" customHeight="1">
      <c r="A28" s="210">
        <f t="shared" si="1"/>
        <v>26</v>
      </c>
      <c r="B28" s="204" t="s">
        <v>414</v>
      </c>
      <c r="C28" s="217" t="str">
        <f>IFERROR(VLOOKUP(B28, SourceData!$U$3:$V$190, 2, FALSE), "")</f>
        <v>Yumi</v>
      </c>
      <c r="D28" s="205" t="s">
        <v>415</v>
      </c>
      <c r="E28" s="206">
        <v>0.04027777777777778</v>
      </c>
      <c r="F28" s="204" t="s">
        <v>376</v>
      </c>
      <c r="G28" s="207"/>
      <c r="H28" s="205" t="s">
        <v>416</v>
      </c>
      <c r="I28" s="205" t="s">
        <v>124</v>
      </c>
      <c r="J28" s="205" t="s">
        <v>308</v>
      </c>
      <c r="K28" s="208" t="str">
        <f>IF(Errors!$I28=0,SourceData!$B$42,VLOOKUP(Errors!$I28,SourceData!$A$2:$B$40,2,FALSE))</f>
        <v>Wrong wheel direction</v>
      </c>
      <c r="L28" s="207"/>
      <c r="M28" s="209"/>
      <c r="N28" s="216" t="s">
        <v>309</v>
      </c>
      <c r="O28" s="205" t="s">
        <v>310</v>
      </c>
      <c r="P28" s="216" t="s">
        <v>309</v>
      </c>
      <c r="Q28" s="216" t="s">
        <v>309</v>
      </c>
      <c r="R28" s="204" t="s">
        <v>413</v>
      </c>
      <c r="S28" s="204" t="s">
        <v>347</v>
      </c>
      <c r="T28" s="204" t="s">
        <v>417</v>
      </c>
      <c r="U28" s="199"/>
      <c r="V28" s="200"/>
      <c r="W28" s="200"/>
      <c r="X28" s="200"/>
      <c r="Y28" s="200"/>
      <c r="Z28" s="200"/>
      <c r="AA28" s="201"/>
      <c r="AB28" s="200"/>
      <c r="AC28" s="200"/>
    </row>
    <row r="29" ht="16.5" customHeight="1">
      <c r="A29" s="210">
        <f t="shared" si="1"/>
        <v>27</v>
      </c>
      <c r="B29" s="204" t="s">
        <v>418</v>
      </c>
      <c r="C29" s="217" t="str">
        <f>IFERROR(VLOOKUP(B29, SourceData!$U$3:$V$190, 2, FALSE), "")</f>
        <v>Valeria</v>
      </c>
      <c r="D29" s="205" t="s">
        <v>415</v>
      </c>
      <c r="E29" s="206">
        <v>0.07708333333333334</v>
      </c>
      <c r="F29" s="204" t="s">
        <v>306</v>
      </c>
      <c r="G29" s="207"/>
      <c r="H29" s="215" t="s">
        <v>419</v>
      </c>
      <c r="I29" s="205" t="s">
        <v>132</v>
      </c>
      <c r="J29" s="205" t="s">
        <v>308</v>
      </c>
      <c r="K29" s="208" t="str">
        <f>IF(Errors!$I29=0,SourceData!$B$42,VLOOKUP(Errors!$I29,SourceData!$A$2:$B$40,2,FALSE))</f>
        <v>Ball falls out of the wheel </v>
      </c>
      <c r="L29" s="207"/>
      <c r="M29" s="209"/>
      <c r="N29" s="211" t="s">
        <v>309</v>
      </c>
      <c r="O29" s="211" t="s">
        <v>309</v>
      </c>
      <c r="P29" s="212" t="s">
        <v>310</v>
      </c>
      <c r="Q29" s="212" t="s">
        <v>310</v>
      </c>
      <c r="R29" s="204" t="s">
        <v>413</v>
      </c>
      <c r="S29" s="204" t="s">
        <v>347</v>
      </c>
      <c r="T29" s="213" t="s">
        <v>319</v>
      </c>
      <c r="U29" s="199"/>
      <c r="V29" s="200"/>
      <c r="W29" s="200"/>
      <c r="X29" s="200"/>
      <c r="Y29" s="200"/>
      <c r="Z29" s="200"/>
      <c r="AA29" s="201"/>
      <c r="AB29" s="200"/>
      <c r="AC29" s="200"/>
    </row>
    <row r="30" ht="16.5" customHeight="1">
      <c r="A30" s="210">
        <f t="shared" si="1"/>
        <v>28</v>
      </c>
      <c r="B30" s="204" t="s">
        <v>410</v>
      </c>
      <c r="C30" s="217" t="str">
        <f>IFERROR(VLOOKUP(B30, SourceData!$U$3:$V$190, 2, FALSE), "")</f>
        <v>Karin</v>
      </c>
      <c r="D30" s="205" t="s">
        <v>415</v>
      </c>
      <c r="E30" s="206">
        <v>0.24027777777777778</v>
      </c>
      <c r="F30" s="204" t="s">
        <v>343</v>
      </c>
      <c r="G30" s="215" t="s">
        <v>420</v>
      </c>
      <c r="H30" s="215" t="s">
        <v>421</v>
      </c>
      <c r="I30" s="205" t="s">
        <v>164</v>
      </c>
      <c r="J30" s="205" t="s">
        <v>332</v>
      </c>
      <c r="K30" s="208" t="str">
        <f>IF(Errors!$I30=0,SourceData!$B$42,VLOOKUP(Errors!$I30,SourceData!$A$2:$B$40,2,FALSE))</f>
        <v>Extra card is pulled out from the shoe</v>
      </c>
      <c r="L30" s="207"/>
      <c r="M30" s="209"/>
      <c r="N30" s="216" t="s">
        <v>310</v>
      </c>
      <c r="O30" s="205" t="s">
        <v>310</v>
      </c>
      <c r="P30" s="205" t="s">
        <v>310</v>
      </c>
      <c r="Q30" s="205" t="s">
        <v>310</v>
      </c>
      <c r="R30" s="204" t="s">
        <v>413</v>
      </c>
      <c r="S30" s="204" t="s">
        <v>367</v>
      </c>
      <c r="T30" s="204" t="s">
        <v>403</v>
      </c>
      <c r="U30" s="199"/>
      <c r="V30" s="200"/>
      <c r="W30" s="200"/>
      <c r="X30" s="200"/>
      <c r="Y30" s="200"/>
      <c r="Z30" s="200"/>
      <c r="AA30" s="201"/>
      <c r="AB30" s="200"/>
      <c r="AC30" s="200"/>
    </row>
    <row r="31" ht="16.5" customHeight="1">
      <c r="A31" s="210">
        <f t="shared" si="1"/>
        <v>29</v>
      </c>
      <c r="B31" s="204" t="s">
        <v>363</v>
      </c>
      <c r="C31" s="217" t="str">
        <f>IFERROR(VLOOKUP(B31, SourceData!$U$3:$V$190, 2, FALSE), "")</f>
        <v>Bubbles</v>
      </c>
      <c r="D31" s="205" t="s">
        <v>415</v>
      </c>
      <c r="E31" s="206">
        <v>0.3972222222222222</v>
      </c>
      <c r="F31" s="204" t="s">
        <v>400</v>
      </c>
      <c r="G31" s="215" t="s">
        <v>422</v>
      </c>
      <c r="H31" s="215" t="s">
        <v>423</v>
      </c>
      <c r="I31" s="205" t="s">
        <v>164</v>
      </c>
      <c r="J31" s="205" t="s">
        <v>332</v>
      </c>
      <c r="K31" s="208" t="str">
        <f>IF(Errors!$I31=0,SourceData!$B$42,VLOOKUP(Errors!$I31,SourceData!$A$2:$B$40,2,FALSE))</f>
        <v>Extra card is pulled out from the shoe</v>
      </c>
      <c r="L31" s="207"/>
      <c r="M31" s="209"/>
      <c r="N31" s="216" t="s">
        <v>310</v>
      </c>
      <c r="O31" s="205" t="s">
        <v>310</v>
      </c>
      <c r="P31" s="205" t="s">
        <v>310</v>
      </c>
      <c r="Q31" s="205" t="s">
        <v>310</v>
      </c>
      <c r="R31" s="204" t="s">
        <v>361</v>
      </c>
      <c r="S31" s="204" t="s">
        <v>389</v>
      </c>
      <c r="T31" s="204" t="s">
        <v>424</v>
      </c>
      <c r="U31" s="199"/>
      <c r="V31" s="200"/>
      <c r="W31" s="200"/>
      <c r="X31" s="200"/>
      <c r="Y31" s="200"/>
      <c r="Z31" s="200"/>
      <c r="AA31" s="201"/>
      <c r="AB31" s="200"/>
      <c r="AC31" s="200"/>
    </row>
    <row r="32" ht="15.0" customHeight="1">
      <c r="A32" s="210">
        <f t="shared" si="1"/>
        <v>30</v>
      </c>
      <c r="B32" s="204" t="s">
        <v>425</v>
      </c>
      <c r="C32" s="217" t="str">
        <f>IFERROR(VLOOKUP(B32, SourceData!$U$3:$V$190, 2, FALSE), "")</f>
        <v>Emily</v>
      </c>
      <c r="D32" s="205" t="s">
        <v>415</v>
      </c>
      <c r="E32" s="206">
        <v>0.4131944444444444</v>
      </c>
      <c r="F32" s="204" t="s">
        <v>306</v>
      </c>
      <c r="G32" s="207"/>
      <c r="H32" s="205" t="s">
        <v>426</v>
      </c>
      <c r="I32" s="205" t="s">
        <v>132</v>
      </c>
      <c r="J32" s="205" t="s">
        <v>308</v>
      </c>
      <c r="K32" s="208" t="str">
        <f>IF(Errors!$I32=0,SourceData!$B$42,VLOOKUP(Errors!$I32,SourceData!$A$2:$B$40,2,FALSE))</f>
        <v>Ball falls out of the wheel </v>
      </c>
      <c r="L32" s="207"/>
      <c r="M32" s="209"/>
      <c r="N32" s="218" t="s">
        <v>309</v>
      </c>
      <c r="O32" s="218" t="s">
        <v>309</v>
      </c>
      <c r="P32" s="219" t="s">
        <v>310</v>
      </c>
      <c r="Q32" s="219" t="s">
        <v>310</v>
      </c>
      <c r="R32" s="220" t="s">
        <v>361</v>
      </c>
      <c r="S32" s="220" t="s">
        <v>427</v>
      </c>
      <c r="T32" s="204" t="s">
        <v>319</v>
      </c>
      <c r="U32" s="199"/>
      <c r="V32" s="200"/>
      <c r="W32" s="200"/>
      <c r="X32" s="200"/>
      <c r="Y32" s="200"/>
      <c r="Z32" s="200"/>
      <c r="AA32" s="201"/>
      <c r="AB32" s="200"/>
      <c r="AC32" s="200"/>
    </row>
    <row r="33" ht="15.0" customHeight="1">
      <c r="A33" s="210">
        <f t="shared" si="1"/>
        <v>31</v>
      </c>
      <c r="B33" s="204" t="s">
        <v>428</v>
      </c>
      <c r="C33" s="217" t="str">
        <f>IFERROR(VLOOKUP(B33, SourceData!$U$3:$V$190, 2, FALSE), "")</f>
        <v>Catsy</v>
      </c>
      <c r="D33" s="205" t="s">
        <v>415</v>
      </c>
      <c r="E33" s="206">
        <v>0.5326388888888889</v>
      </c>
      <c r="F33" s="204" t="s">
        <v>343</v>
      </c>
      <c r="G33" s="215" t="s">
        <v>429</v>
      </c>
      <c r="H33" s="205" t="s">
        <v>430</v>
      </c>
      <c r="I33" s="205" t="s">
        <v>114</v>
      </c>
      <c r="J33" s="205" t="s">
        <v>332</v>
      </c>
      <c r="K33" s="208" t="str">
        <f>IF(Errors!$I33=0,SourceData!$B$42,VLOOKUP(Errors!$I33,SourceData!$A$2:$B$40,2,FALSE))</f>
        <v>Dealer exposed a card during betting time</v>
      </c>
      <c r="L33" s="207"/>
      <c r="M33" s="209"/>
      <c r="N33" s="218" t="s">
        <v>309</v>
      </c>
      <c r="O33" s="205" t="s">
        <v>310</v>
      </c>
      <c r="P33" s="218" t="s">
        <v>309</v>
      </c>
      <c r="Q33" s="218" t="s">
        <v>309</v>
      </c>
      <c r="R33" s="220" t="s">
        <v>361</v>
      </c>
      <c r="S33" s="220" t="s">
        <v>427</v>
      </c>
      <c r="T33" s="204" t="s">
        <v>431</v>
      </c>
      <c r="U33" s="199"/>
      <c r="V33" s="200"/>
      <c r="W33" s="200"/>
      <c r="X33" s="200"/>
      <c r="Y33" s="200"/>
      <c r="Z33" s="200"/>
      <c r="AA33" s="201"/>
      <c r="AB33" s="200"/>
      <c r="AC33" s="200"/>
    </row>
    <row r="34" ht="16.5" customHeight="1">
      <c r="A34" s="210">
        <f t="shared" si="1"/>
        <v>32</v>
      </c>
      <c r="B34" s="204" t="s">
        <v>428</v>
      </c>
      <c r="C34" s="217" t="str">
        <f>IFERROR(VLOOKUP(B34, SourceData!$U$3:$V$190, 2, FALSE), "")</f>
        <v>Catsy</v>
      </c>
      <c r="D34" s="205" t="s">
        <v>415</v>
      </c>
      <c r="E34" s="206">
        <v>0.5333333333333333</v>
      </c>
      <c r="F34" s="204" t="s">
        <v>343</v>
      </c>
      <c r="G34" s="215" t="s">
        <v>429</v>
      </c>
      <c r="H34" s="205" t="s">
        <v>432</v>
      </c>
      <c r="I34" s="205" t="s">
        <v>56</v>
      </c>
      <c r="J34" s="205" t="s">
        <v>332</v>
      </c>
      <c r="K34" s="208" t="str">
        <f>IF(Errors!$I34=0,SourceData!$B$42,VLOOKUP(Errors!$I34,SourceData!$A$2:$B$40,2,FALSE))</f>
        <v>Interface error</v>
      </c>
      <c r="L34" s="207"/>
      <c r="M34" s="209"/>
      <c r="N34" s="218" t="s">
        <v>309</v>
      </c>
      <c r="O34" s="218" t="s">
        <v>309</v>
      </c>
      <c r="P34" s="219" t="s">
        <v>310</v>
      </c>
      <c r="Q34" s="219" t="s">
        <v>310</v>
      </c>
      <c r="R34" s="220" t="s">
        <v>361</v>
      </c>
      <c r="S34" s="220" t="s">
        <v>427</v>
      </c>
      <c r="T34" s="204" t="s">
        <v>433</v>
      </c>
      <c r="U34" s="199"/>
      <c r="V34" s="200"/>
      <c r="W34" s="200"/>
      <c r="X34" s="200"/>
      <c r="Y34" s="200"/>
      <c r="Z34" s="200"/>
      <c r="AA34" s="201"/>
      <c r="AB34" s="200"/>
      <c r="AC34" s="200"/>
    </row>
    <row r="35" ht="15.0" customHeight="1">
      <c r="A35" s="210">
        <f t="shared" si="1"/>
        <v>33</v>
      </c>
      <c r="B35" s="204" t="s">
        <v>434</v>
      </c>
      <c r="C35" s="217" t="str">
        <f>IFERROR(VLOOKUP(B35, SourceData!$U$3:$V$190, 2, FALSE), "")</f>
        <v>Kitty</v>
      </c>
      <c r="D35" s="205" t="s">
        <v>415</v>
      </c>
      <c r="E35" s="206">
        <v>0.6055555555555555</v>
      </c>
      <c r="F35" s="204" t="s">
        <v>400</v>
      </c>
      <c r="G35" s="207"/>
      <c r="H35" s="205" t="s">
        <v>435</v>
      </c>
      <c r="I35" s="205" t="s">
        <v>150</v>
      </c>
      <c r="J35" s="205" t="s">
        <v>332</v>
      </c>
      <c r="K35" s="208" t="str">
        <f>IF(Errors!$I35=0,SourceData!$B$42,VLOOKUP(Errors!$I35,SourceData!$A$2:$B$40,2,FALSE))</f>
        <v>Dealer drops cards in shoe/table while changing cards. </v>
      </c>
      <c r="L35" s="207"/>
      <c r="M35" s="209"/>
      <c r="N35" s="205" t="s">
        <v>310</v>
      </c>
      <c r="O35" s="205" t="s">
        <v>310</v>
      </c>
      <c r="P35" s="205" t="s">
        <v>310</v>
      </c>
      <c r="Q35" s="205" t="s">
        <v>310</v>
      </c>
      <c r="R35" s="204" t="s">
        <v>361</v>
      </c>
      <c r="S35" s="204" t="s">
        <v>389</v>
      </c>
      <c r="T35" s="204" t="s">
        <v>368</v>
      </c>
      <c r="U35" s="199"/>
      <c r="V35" s="200"/>
      <c r="W35" s="200"/>
      <c r="X35" s="200"/>
      <c r="Y35" s="200"/>
      <c r="Z35" s="200"/>
      <c r="AA35" s="201"/>
      <c r="AB35" s="200"/>
      <c r="AC35" s="200"/>
    </row>
    <row r="36" ht="15.0" customHeight="1">
      <c r="A36" s="210">
        <f t="shared" si="1"/>
        <v>34</v>
      </c>
      <c r="B36" s="204" t="s">
        <v>436</v>
      </c>
      <c r="C36" s="217" t="str">
        <f>IFERROR(VLOOKUP(B36, SourceData!$U$3:$V$190, 2, FALSE), "")</f>
        <v>Amy</v>
      </c>
      <c r="D36" s="205" t="s">
        <v>415</v>
      </c>
      <c r="E36" s="206">
        <v>0.7784722222222222</v>
      </c>
      <c r="F36" s="204" t="s">
        <v>376</v>
      </c>
      <c r="G36" s="207"/>
      <c r="H36" s="205" t="s">
        <v>437</v>
      </c>
      <c r="I36" s="205" t="s">
        <v>120</v>
      </c>
      <c r="J36" s="205" t="s">
        <v>308</v>
      </c>
      <c r="K36" s="208" t="str">
        <f>IF(Errors!$I36=0,SourceData!$B$42,VLOOKUP(Errors!$I36,SourceData!$A$2:$B$40,2,FALSE))</f>
        <v>Drop ball</v>
      </c>
      <c r="L36" s="207"/>
      <c r="M36" s="209"/>
      <c r="N36" s="218" t="s">
        <v>309</v>
      </c>
      <c r="O36" s="218" t="s">
        <v>309</v>
      </c>
      <c r="P36" s="219" t="s">
        <v>310</v>
      </c>
      <c r="Q36" s="219" t="s">
        <v>310</v>
      </c>
      <c r="R36" s="204" t="s">
        <v>378</v>
      </c>
      <c r="S36" s="204" t="s">
        <v>318</v>
      </c>
      <c r="T36" s="204" t="s">
        <v>438</v>
      </c>
      <c r="U36" s="199"/>
      <c r="V36" s="200"/>
      <c r="W36" s="200"/>
      <c r="X36" s="200"/>
      <c r="Y36" s="200"/>
      <c r="Z36" s="200"/>
      <c r="AA36" s="201"/>
      <c r="AB36" s="200"/>
      <c r="AC36" s="200"/>
    </row>
    <row r="37" ht="15.0" customHeight="1">
      <c r="A37" s="210">
        <f t="shared" si="1"/>
        <v>35</v>
      </c>
      <c r="B37" s="204" t="s">
        <v>380</v>
      </c>
      <c r="C37" s="217" t="str">
        <f>IFERROR(VLOOKUP(B37, SourceData!$U$3:$V$190, 2, FALSE), "")</f>
        <v>Layla</v>
      </c>
      <c r="D37" s="205" t="s">
        <v>415</v>
      </c>
      <c r="E37" s="206">
        <v>0.8243055555555555</v>
      </c>
      <c r="F37" s="204" t="s">
        <v>306</v>
      </c>
      <c r="G37" s="207"/>
      <c r="H37" s="205" t="s">
        <v>439</v>
      </c>
      <c r="I37" s="205" t="s">
        <v>116</v>
      </c>
      <c r="J37" s="205" t="s">
        <v>308</v>
      </c>
      <c r="K37" s="208" t="str">
        <f>IF(Errors!$I37=0,SourceData!$B$42,VLOOKUP(Errors!$I37,SourceData!$A$2:$B$40,2,FALSE))</f>
        <v>Ball did not make 4 revolutions</v>
      </c>
      <c r="L37" s="207"/>
      <c r="M37" s="209"/>
      <c r="N37" s="218" t="s">
        <v>309</v>
      </c>
      <c r="O37" s="218" t="s">
        <v>309</v>
      </c>
      <c r="P37" s="219" t="s">
        <v>310</v>
      </c>
      <c r="Q37" s="219" t="s">
        <v>310</v>
      </c>
      <c r="R37" s="204" t="s">
        <v>378</v>
      </c>
      <c r="S37" s="204" t="s">
        <v>318</v>
      </c>
      <c r="T37" s="221" t="s">
        <v>438</v>
      </c>
      <c r="U37" s="199"/>
      <c r="V37" s="200"/>
      <c r="W37" s="200"/>
      <c r="X37" s="200"/>
      <c r="Y37" s="200"/>
      <c r="Z37" s="200"/>
      <c r="AA37" s="201"/>
      <c r="AB37" s="200"/>
      <c r="AC37" s="200"/>
    </row>
    <row r="38" ht="15.0" customHeight="1">
      <c r="A38" s="210">
        <f t="shared" si="1"/>
        <v>36</v>
      </c>
      <c r="B38" s="204" t="s">
        <v>436</v>
      </c>
      <c r="C38" s="217" t="str">
        <f>IFERROR(VLOOKUP(B38, SourceData!$U$3:$V$190, 2, FALSE), "")</f>
        <v>Amy</v>
      </c>
      <c r="D38" s="205" t="s">
        <v>415</v>
      </c>
      <c r="E38" s="206">
        <v>0.8388888888888889</v>
      </c>
      <c r="F38" s="204" t="s">
        <v>376</v>
      </c>
      <c r="G38" s="207"/>
      <c r="H38" s="205" t="s">
        <v>440</v>
      </c>
      <c r="I38" s="205" t="s">
        <v>120</v>
      </c>
      <c r="J38" s="205" t="s">
        <v>308</v>
      </c>
      <c r="K38" s="208" t="str">
        <f>IF(Errors!$I38=0,SourceData!$B$42,VLOOKUP(Errors!$I38,SourceData!$A$2:$B$40,2,FALSE))</f>
        <v>Drop ball</v>
      </c>
      <c r="L38" s="207"/>
      <c r="M38" s="209"/>
      <c r="N38" s="218" t="s">
        <v>309</v>
      </c>
      <c r="O38" s="218" t="s">
        <v>309</v>
      </c>
      <c r="P38" s="219" t="s">
        <v>310</v>
      </c>
      <c r="Q38" s="219" t="s">
        <v>310</v>
      </c>
      <c r="R38" s="204" t="s">
        <v>378</v>
      </c>
      <c r="S38" s="204" t="s">
        <v>339</v>
      </c>
      <c r="T38" s="204" t="s">
        <v>438</v>
      </c>
      <c r="U38" s="199"/>
      <c r="V38" s="200"/>
      <c r="W38" s="200"/>
      <c r="X38" s="200"/>
      <c r="Y38" s="200"/>
      <c r="Z38" s="200"/>
      <c r="AA38" s="201"/>
      <c r="AB38" s="200"/>
      <c r="AC38" s="200"/>
    </row>
    <row r="39" ht="15.0" customHeight="1">
      <c r="A39" s="210">
        <f t="shared" si="1"/>
        <v>37</v>
      </c>
      <c r="B39" s="204" t="s">
        <v>441</v>
      </c>
      <c r="C39" s="217" t="str">
        <f>IFERROR(VLOOKUP(B39, SourceData!$U$3:$V$190, 2, FALSE), "")</f>
        <v>James</v>
      </c>
      <c r="D39" s="205" t="s">
        <v>415</v>
      </c>
      <c r="E39" s="206">
        <v>0.14166666666666666</v>
      </c>
      <c r="F39" s="204" t="s">
        <v>396</v>
      </c>
      <c r="G39" s="215" t="s">
        <v>442</v>
      </c>
      <c r="H39" s="205" t="s">
        <v>443</v>
      </c>
      <c r="I39" s="205" t="s">
        <v>150</v>
      </c>
      <c r="J39" s="205" t="s">
        <v>332</v>
      </c>
      <c r="K39" s="208" t="str">
        <f>IF(Errors!$I39=0,SourceData!$B$42,VLOOKUP(Errors!$I39,SourceData!$A$2:$B$40,2,FALSE))</f>
        <v>Dealer drops cards in shoe/table while changing cards. </v>
      </c>
      <c r="L39" s="207"/>
      <c r="M39" s="209"/>
      <c r="N39" s="205" t="s">
        <v>310</v>
      </c>
      <c r="O39" s="205" t="s">
        <v>310</v>
      </c>
      <c r="P39" s="205" t="s">
        <v>310</v>
      </c>
      <c r="Q39" s="205" t="s">
        <v>310</v>
      </c>
      <c r="R39" s="204" t="s">
        <v>413</v>
      </c>
      <c r="S39" s="204" t="s">
        <v>347</v>
      </c>
      <c r="T39" s="204" t="s">
        <v>444</v>
      </c>
      <c r="U39" s="199"/>
      <c r="V39" s="200"/>
      <c r="W39" s="200"/>
      <c r="X39" s="200"/>
      <c r="Y39" s="200"/>
      <c r="Z39" s="200"/>
      <c r="AA39" s="201"/>
      <c r="AB39" s="200"/>
      <c r="AC39" s="200"/>
    </row>
    <row r="40" ht="15.0" customHeight="1">
      <c r="A40" s="222">
        <f t="shared" si="1"/>
        <v>38</v>
      </c>
      <c r="B40" s="204" t="s">
        <v>445</v>
      </c>
      <c r="C40" s="217" t="str">
        <f>IFERROR(VLOOKUP(B40, SourceData!$U$3:$V$190, 2, FALSE), "")</f>
        <v>Jade</v>
      </c>
      <c r="D40" s="205" t="s">
        <v>415</v>
      </c>
      <c r="E40" s="206">
        <v>0.5277777777777778</v>
      </c>
      <c r="F40" s="204" t="s">
        <v>343</v>
      </c>
      <c r="G40" s="215" t="s">
        <v>446</v>
      </c>
      <c r="H40" s="223" t="s">
        <v>447</v>
      </c>
      <c r="I40" s="205" t="s">
        <v>56</v>
      </c>
      <c r="J40" s="205" t="s">
        <v>332</v>
      </c>
      <c r="K40" s="208" t="str">
        <f>IF(Errors!$I40=0,SourceData!$B$42,VLOOKUP(Errors!$I40,SourceData!$A$2:$B$40,2,FALSE))</f>
        <v>Interface error</v>
      </c>
      <c r="L40" s="207"/>
      <c r="M40" s="209"/>
      <c r="N40" s="218" t="s">
        <v>309</v>
      </c>
      <c r="O40" s="218" t="s">
        <v>309</v>
      </c>
      <c r="P40" s="205" t="s">
        <v>310</v>
      </c>
      <c r="Q40" s="205" t="s">
        <v>310</v>
      </c>
      <c r="R40" s="204" t="s">
        <v>361</v>
      </c>
      <c r="S40" s="204" t="s">
        <v>427</v>
      </c>
      <c r="T40" s="204" t="s">
        <v>448</v>
      </c>
      <c r="U40" s="199"/>
      <c r="V40" s="200"/>
      <c r="W40" s="200"/>
      <c r="X40" s="200"/>
      <c r="Y40" s="200"/>
      <c r="Z40" s="200"/>
      <c r="AA40" s="201"/>
      <c r="AB40" s="200"/>
      <c r="AC40" s="200"/>
    </row>
    <row r="41" ht="15.0" customHeight="1">
      <c r="A41" s="210">
        <f t="shared" si="1"/>
        <v>39</v>
      </c>
      <c r="B41" s="204" t="s">
        <v>449</v>
      </c>
      <c r="C41" s="217" t="str">
        <f>IFERROR(VLOOKUP(B41, SourceData!$U$3:$V$190, 2, FALSE), "")</f>
        <v>Gaby</v>
      </c>
      <c r="D41" s="205" t="s">
        <v>450</v>
      </c>
      <c r="E41" s="206">
        <v>0.8701388888888889</v>
      </c>
      <c r="F41" s="204" t="s">
        <v>306</v>
      </c>
      <c r="G41" s="207"/>
      <c r="H41" s="205" t="s">
        <v>451</v>
      </c>
      <c r="I41" s="205" t="s">
        <v>120</v>
      </c>
      <c r="J41" s="205" t="s">
        <v>308</v>
      </c>
      <c r="K41" s="208" t="str">
        <f>IF(Errors!$I41=0,SourceData!$B$42,VLOOKUP(Errors!$I41,SourceData!$A$2:$B$40,2,FALSE))</f>
        <v>Drop ball</v>
      </c>
      <c r="L41" s="207"/>
      <c r="M41" s="209"/>
      <c r="N41" s="218" t="s">
        <v>309</v>
      </c>
      <c r="O41" s="218" t="s">
        <v>309</v>
      </c>
      <c r="P41" s="205" t="s">
        <v>310</v>
      </c>
      <c r="Q41" s="205" t="s">
        <v>310</v>
      </c>
      <c r="R41" s="204" t="s">
        <v>317</v>
      </c>
      <c r="S41" s="204" t="s">
        <v>452</v>
      </c>
      <c r="T41" s="204" t="s">
        <v>438</v>
      </c>
      <c r="U41" s="199"/>
      <c r="V41" s="200"/>
      <c r="W41" s="200"/>
      <c r="X41" s="200"/>
      <c r="Y41" s="200"/>
      <c r="Z41" s="200"/>
      <c r="AA41" s="201"/>
      <c r="AB41" s="200"/>
      <c r="AC41" s="200"/>
    </row>
    <row r="42" ht="15.0" customHeight="1">
      <c r="A42" s="210">
        <f t="shared" si="1"/>
        <v>40</v>
      </c>
      <c r="B42" s="204" t="s">
        <v>453</v>
      </c>
      <c r="C42" s="217" t="str">
        <f>IFERROR(VLOOKUP(B42, SourceData!$U$3:$V$190, 2, FALSE), "")</f>
        <v>Angeles</v>
      </c>
      <c r="D42" s="205" t="s">
        <v>450</v>
      </c>
      <c r="E42" s="206">
        <v>0.9027777777777778</v>
      </c>
      <c r="F42" s="204" t="s">
        <v>400</v>
      </c>
      <c r="G42" s="215" t="s">
        <v>454</v>
      </c>
      <c r="H42" s="215" t="s">
        <v>455</v>
      </c>
      <c r="I42" s="205" t="s">
        <v>56</v>
      </c>
      <c r="J42" s="205" t="s">
        <v>332</v>
      </c>
      <c r="K42" s="208" t="str">
        <f>IF(Errors!$I42=0,SourceData!$B$42,VLOOKUP(Errors!$I42,SourceData!$A$2:$B$40,2,FALSE))</f>
        <v>Interface error</v>
      </c>
      <c r="L42" s="207"/>
      <c r="M42" s="205" t="s">
        <v>338</v>
      </c>
      <c r="N42" s="205" t="s">
        <v>310</v>
      </c>
      <c r="O42" s="205" t="s">
        <v>310</v>
      </c>
      <c r="P42" s="205" t="s">
        <v>310</v>
      </c>
      <c r="Q42" s="205" t="s">
        <v>310</v>
      </c>
      <c r="R42" s="204" t="s">
        <v>317</v>
      </c>
      <c r="S42" s="204" t="s">
        <v>452</v>
      </c>
      <c r="T42" s="204" t="s">
        <v>456</v>
      </c>
      <c r="U42" s="199"/>
      <c r="V42" s="200"/>
      <c r="W42" s="200"/>
      <c r="X42" s="200"/>
      <c r="Y42" s="200"/>
      <c r="Z42" s="200"/>
      <c r="AA42" s="201"/>
      <c r="AB42" s="200"/>
      <c r="AC42" s="200"/>
    </row>
    <row r="43" ht="15.0" customHeight="1">
      <c r="A43" s="210">
        <f t="shared" si="1"/>
        <v>41</v>
      </c>
      <c r="B43" s="204" t="s">
        <v>453</v>
      </c>
      <c r="C43" s="217" t="str">
        <f>IFERROR(VLOOKUP(B43, SourceData!$U$3:$V$190, 2, FALSE), "")</f>
        <v>Angeles</v>
      </c>
      <c r="D43" s="205" t="s">
        <v>450</v>
      </c>
      <c r="E43" s="206">
        <v>0.9215277777777777</v>
      </c>
      <c r="F43" s="204" t="s">
        <v>376</v>
      </c>
      <c r="G43" s="207"/>
      <c r="H43" s="205" t="s">
        <v>457</v>
      </c>
      <c r="I43" s="205" t="s">
        <v>120</v>
      </c>
      <c r="J43" s="205" t="s">
        <v>308</v>
      </c>
      <c r="K43" s="208" t="str">
        <f>IF(Errors!$I43=0,SourceData!$B$42,VLOOKUP(Errors!$I43,SourceData!$A$2:$B$40,2,FALSE))</f>
        <v>Drop ball</v>
      </c>
      <c r="L43" s="207"/>
      <c r="M43" s="209"/>
      <c r="N43" s="218" t="s">
        <v>309</v>
      </c>
      <c r="O43" s="218" t="s">
        <v>309</v>
      </c>
      <c r="P43" s="205" t="s">
        <v>310</v>
      </c>
      <c r="Q43" s="205" t="s">
        <v>310</v>
      </c>
      <c r="R43" s="204" t="s">
        <v>317</v>
      </c>
      <c r="S43" s="204" t="s">
        <v>312</v>
      </c>
      <c r="T43" s="204" t="s">
        <v>438</v>
      </c>
      <c r="U43" s="199"/>
      <c r="V43" s="200"/>
      <c r="W43" s="200"/>
      <c r="X43" s="200"/>
      <c r="Y43" s="200"/>
      <c r="Z43" s="200"/>
      <c r="AA43" s="201"/>
      <c r="AB43" s="200"/>
      <c r="AC43" s="200"/>
    </row>
    <row r="44" ht="15.0" customHeight="1">
      <c r="A44" s="210">
        <f t="shared" si="1"/>
        <v>42</v>
      </c>
      <c r="B44" s="204" t="s">
        <v>458</v>
      </c>
      <c r="C44" s="217" t="str">
        <f>IFERROR(VLOOKUP(B44, SourceData!$U$3:$V$190, 2, FALSE), "")</f>
        <v>Pearl </v>
      </c>
      <c r="D44" s="205" t="s">
        <v>459</v>
      </c>
      <c r="E44" s="206">
        <v>0.006944444444444444</v>
      </c>
      <c r="F44" s="204" t="s">
        <v>329</v>
      </c>
      <c r="G44" s="215" t="s">
        <v>460</v>
      </c>
      <c r="H44" s="205" t="s">
        <v>461</v>
      </c>
      <c r="I44" s="205" t="s">
        <v>139</v>
      </c>
      <c r="J44" s="205" t="s">
        <v>332</v>
      </c>
      <c r="K44" s="208" t="str">
        <f>IF(Errors!$I44=0,SourceData!$B$42,VLOOKUP(Errors!$I44,SourceData!$A$2:$B$40,2,FALSE))</f>
        <v>GP doesn't wait for 3 seconds after the card change which causes card not scanned/cards scanned in wrong order</v>
      </c>
      <c r="L44" s="207"/>
      <c r="M44" s="209"/>
      <c r="N44" s="205" t="s">
        <v>310</v>
      </c>
      <c r="O44" s="205" t="s">
        <v>310</v>
      </c>
      <c r="P44" s="205" t="s">
        <v>310</v>
      </c>
      <c r="Q44" s="205" t="s">
        <v>310</v>
      </c>
      <c r="R44" s="204" t="s">
        <v>462</v>
      </c>
      <c r="S44" s="204" t="s">
        <v>326</v>
      </c>
      <c r="T44" s="204" t="s">
        <v>403</v>
      </c>
      <c r="U44" s="199"/>
      <c r="V44" s="200"/>
      <c r="W44" s="200"/>
      <c r="X44" s="200"/>
      <c r="Y44" s="200"/>
      <c r="Z44" s="200"/>
      <c r="AA44" s="201"/>
      <c r="AB44" s="200"/>
      <c r="AC44" s="200"/>
    </row>
    <row r="45" ht="15.0" customHeight="1">
      <c r="A45" s="210">
        <f t="shared" si="1"/>
        <v>43</v>
      </c>
      <c r="B45" s="204" t="s">
        <v>358</v>
      </c>
      <c r="C45" s="217" t="str">
        <f>IFERROR(VLOOKUP(B45, SourceData!$U$3:$V$190, 2, FALSE), "")</f>
        <v>Artemiy</v>
      </c>
      <c r="D45" s="205" t="s">
        <v>459</v>
      </c>
      <c r="E45" s="206">
        <v>0.030555555555555555</v>
      </c>
      <c r="F45" s="204" t="s">
        <v>396</v>
      </c>
      <c r="G45" s="215" t="s">
        <v>463</v>
      </c>
      <c r="H45" s="205" t="s">
        <v>464</v>
      </c>
      <c r="I45" s="205" t="s">
        <v>56</v>
      </c>
      <c r="J45" s="205" t="s">
        <v>332</v>
      </c>
      <c r="K45" s="208" t="str">
        <f>IF(Errors!$I45=0,SourceData!$B$42,VLOOKUP(Errors!$I45,SourceData!$A$2:$B$40,2,FALSE))</f>
        <v>Interface error</v>
      </c>
      <c r="L45" s="207"/>
      <c r="M45" s="205" t="s">
        <v>338</v>
      </c>
      <c r="N45" s="212" t="s">
        <v>310</v>
      </c>
      <c r="O45" s="212" t="s">
        <v>310</v>
      </c>
      <c r="P45" s="212" t="s">
        <v>310</v>
      </c>
      <c r="Q45" s="212" t="s">
        <v>310</v>
      </c>
      <c r="R45" s="204" t="s">
        <v>462</v>
      </c>
      <c r="S45" s="204" t="s">
        <v>326</v>
      </c>
      <c r="T45" s="204" t="s">
        <v>379</v>
      </c>
      <c r="U45" s="199"/>
      <c r="V45" s="200"/>
      <c r="W45" s="200"/>
      <c r="X45" s="200"/>
      <c r="Y45" s="200"/>
      <c r="Z45" s="200"/>
      <c r="AA45" s="201"/>
      <c r="AB45" s="200"/>
      <c r="AC45" s="200"/>
    </row>
    <row r="46" ht="15.0" customHeight="1">
      <c r="A46" s="210">
        <f t="shared" si="1"/>
        <v>44</v>
      </c>
      <c r="B46" s="204" t="s">
        <v>465</v>
      </c>
      <c r="C46" s="217" t="str">
        <f>IFERROR(VLOOKUP(B46, SourceData!$U$3:$V$190, 2, FALSE), "")</f>
        <v>Nyathera</v>
      </c>
      <c r="D46" s="205" t="s">
        <v>459</v>
      </c>
      <c r="E46" s="206">
        <v>0.06388888888888888</v>
      </c>
      <c r="F46" s="204" t="s">
        <v>352</v>
      </c>
      <c r="G46" s="215" t="s">
        <v>466</v>
      </c>
      <c r="H46" s="205" t="s">
        <v>467</v>
      </c>
      <c r="I46" s="205" t="s">
        <v>56</v>
      </c>
      <c r="J46" s="205" t="s">
        <v>332</v>
      </c>
      <c r="K46" s="208" t="str">
        <f>IF(Errors!$I46=0,SourceData!$B$42,VLOOKUP(Errors!$I46,SourceData!$A$2:$B$40,2,FALSE))</f>
        <v>Interface error</v>
      </c>
      <c r="L46" s="207"/>
      <c r="M46" s="205" t="s">
        <v>338</v>
      </c>
      <c r="N46" s="212" t="s">
        <v>310</v>
      </c>
      <c r="O46" s="212" t="s">
        <v>310</v>
      </c>
      <c r="P46" s="212" t="s">
        <v>310</v>
      </c>
      <c r="Q46" s="212" t="s">
        <v>310</v>
      </c>
      <c r="R46" s="204" t="s">
        <v>462</v>
      </c>
      <c r="S46" s="204" t="s">
        <v>346</v>
      </c>
      <c r="T46" s="204" t="s">
        <v>379</v>
      </c>
      <c r="U46" s="199"/>
      <c r="V46" s="200"/>
      <c r="W46" s="200"/>
      <c r="X46" s="200"/>
      <c r="Y46" s="200"/>
      <c r="Z46" s="200"/>
      <c r="AA46" s="201"/>
      <c r="AB46" s="200"/>
      <c r="AC46" s="224"/>
    </row>
    <row r="47" ht="15.0" customHeight="1">
      <c r="A47" s="210">
        <f t="shared" si="1"/>
        <v>45</v>
      </c>
      <c r="B47" s="204" t="s">
        <v>468</v>
      </c>
      <c r="C47" s="217" t="str">
        <f>IFERROR(VLOOKUP(B47, SourceData!$U$3:$V$190, 2, FALSE), "")</f>
        <v>Roxy</v>
      </c>
      <c r="D47" s="205" t="s">
        <v>459</v>
      </c>
      <c r="E47" s="206">
        <v>0.06666666666666667</v>
      </c>
      <c r="F47" s="204" t="s">
        <v>376</v>
      </c>
      <c r="G47" s="207"/>
      <c r="H47" s="205" t="s">
        <v>469</v>
      </c>
      <c r="I47" s="205" t="s">
        <v>58</v>
      </c>
      <c r="J47" s="205" t="s">
        <v>308</v>
      </c>
      <c r="K47" s="208" t="str">
        <f>IF(Errors!$I47=0,SourceData!$B$42,VLOOKUP(Errors!$I47,SourceData!$A$2:$B$40,2,FALSE))</f>
        <v>Technical error</v>
      </c>
      <c r="L47" s="207"/>
      <c r="M47" s="205" t="s">
        <v>338</v>
      </c>
      <c r="N47" s="218" t="s">
        <v>309</v>
      </c>
      <c r="O47" s="218" t="s">
        <v>309</v>
      </c>
      <c r="P47" s="205" t="s">
        <v>310</v>
      </c>
      <c r="Q47" s="205" t="s">
        <v>310</v>
      </c>
      <c r="R47" s="204" t="s">
        <v>462</v>
      </c>
      <c r="S47" s="204" t="s">
        <v>470</v>
      </c>
      <c r="T47" s="204" t="s">
        <v>471</v>
      </c>
      <c r="U47" s="199"/>
      <c r="V47" s="200"/>
      <c r="W47" s="200"/>
      <c r="X47" s="200"/>
      <c r="Y47" s="200"/>
      <c r="Z47" s="200"/>
      <c r="AA47" s="201"/>
      <c r="AB47" s="200"/>
      <c r="AC47" s="200"/>
    </row>
    <row r="48" ht="15.0" customHeight="1">
      <c r="A48" s="210">
        <f t="shared" si="1"/>
        <v>46</v>
      </c>
      <c r="B48" s="204" t="s">
        <v>414</v>
      </c>
      <c r="C48" s="217" t="str">
        <f>IFERROR(VLOOKUP(B48, SourceData!$U$3:$V$190, 2, FALSE), "")</f>
        <v>Yumi</v>
      </c>
      <c r="D48" s="205" t="s">
        <v>459</v>
      </c>
      <c r="E48" s="206">
        <v>0.07916666666666666</v>
      </c>
      <c r="F48" s="204" t="s">
        <v>400</v>
      </c>
      <c r="G48" s="215" t="s">
        <v>472</v>
      </c>
      <c r="H48" s="205" t="s">
        <v>473</v>
      </c>
      <c r="I48" s="205" t="s">
        <v>56</v>
      </c>
      <c r="J48" s="205" t="s">
        <v>332</v>
      </c>
      <c r="K48" s="208" t="str">
        <f>IF(Errors!$I48=0,SourceData!$B$42,VLOOKUP(Errors!$I48,SourceData!$A$2:$B$40,2,FALSE))</f>
        <v>Interface error</v>
      </c>
      <c r="L48" s="207"/>
      <c r="M48" s="205" t="s">
        <v>338</v>
      </c>
      <c r="N48" s="212" t="s">
        <v>310</v>
      </c>
      <c r="O48" s="212" t="s">
        <v>310</v>
      </c>
      <c r="P48" s="212" t="s">
        <v>310</v>
      </c>
      <c r="Q48" s="212" t="s">
        <v>310</v>
      </c>
      <c r="R48" s="204" t="s">
        <v>462</v>
      </c>
      <c r="S48" s="204" t="s">
        <v>326</v>
      </c>
      <c r="T48" s="204" t="s">
        <v>379</v>
      </c>
      <c r="U48" s="199"/>
      <c r="V48" s="200"/>
      <c r="W48" s="200"/>
      <c r="X48" s="200"/>
      <c r="Y48" s="200"/>
      <c r="Z48" s="200"/>
      <c r="AA48" s="201"/>
      <c r="AB48" s="200"/>
      <c r="AC48" s="200"/>
    </row>
    <row r="49" ht="15.0" customHeight="1">
      <c r="A49" s="210">
        <f t="shared" si="1"/>
        <v>47</v>
      </c>
      <c r="B49" s="204" t="s">
        <v>314</v>
      </c>
      <c r="C49" s="217" t="str">
        <f>IFERROR(VLOOKUP(B49, SourceData!$U$3:$V$190, 2, FALSE), "")</f>
        <v>Dana</v>
      </c>
      <c r="D49" s="205" t="s">
        <v>459</v>
      </c>
      <c r="E49" s="206">
        <v>0.2</v>
      </c>
      <c r="F49" s="204" t="s">
        <v>306</v>
      </c>
      <c r="G49" s="207"/>
      <c r="H49" s="209" t="s">
        <v>474</v>
      </c>
      <c r="I49" s="205" t="s">
        <v>132</v>
      </c>
      <c r="J49" s="205" t="s">
        <v>308</v>
      </c>
      <c r="K49" s="208" t="str">
        <f>IF(Errors!$I49=0,SourceData!$B$42,VLOOKUP(Errors!$I49,SourceData!$A$2:$B$40,2,FALSE))</f>
        <v>Ball falls out of the wheel </v>
      </c>
      <c r="L49" s="207"/>
      <c r="M49" s="209"/>
      <c r="N49" s="218" t="s">
        <v>309</v>
      </c>
      <c r="O49" s="218" t="s">
        <v>309</v>
      </c>
      <c r="P49" s="205" t="s">
        <v>310</v>
      </c>
      <c r="Q49" s="205" t="s">
        <v>310</v>
      </c>
      <c r="R49" s="204" t="s">
        <v>462</v>
      </c>
      <c r="S49" s="204" t="s">
        <v>346</v>
      </c>
      <c r="T49" s="204" t="s">
        <v>438</v>
      </c>
      <c r="U49" s="199"/>
      <c r="V49" s="200"/>
      <c r="W49" s="200"/>
      <c r="X49" s="200"/>
      <c r="Y49" s="200"/>
      <c r="Z49" s="200"/>
      <c r="AA49" s="201"/>
      <c r="AB49" s="200"/>
      <c r="AC49" s="200"/>
    </row>
    <row r="50" ht="15.0" customHeight="1">
      <c r="A50" s="210">
        <f t="shared" si="1"/>
        <v>48</v>
      </c>
      <c r="B50" s="204" t="s">
        <v>428</v>
      </c>
      <c r="C50" s="204" t="s">
        <v>475</v>
      </c>
      <c r="D50" s="205" t="s">
        <v>459</v>
      </c>
      <c r="E50" s="206">
        <v>0.4909722222222222</v>
      </c>
      <c r="F50" s="204" t="s">
        <v>352</v>
      </c>
      <c r="G50" s="215" t="s">
        <v>476</v>
      </c>
      <c r="H50" s="225" t="s">
        <v>477</v>
      </c>
      <c r="I50" s="205" t="s">
        <v>191</v>
      </c>
      <c r="J50" s="205" t="s">
        <v>332</v>
      </c>
      <c r="K50" s="208" t="str">
        <f>IF(Errors!$I50=0,SourceData!$B$42,VLOOKUP(Errors!$I50,SourceData!$A$2:$B$40,2,FALSE))</f>
        <v>Scanned card falls out of camera view</v>
      </c>
      <c r="L50" s="207"/>
      <c r="M50" s="209"/>
      <c r="N50" s="212" t="s">
        <v>310</v>
      </c>
      <c r="O50" s="212" t="s">
        <v>310</v>
      </c>
      <c r="P50" s="212" t="s">
        <v>310</v>
      </c>
      <c r="Q50" s="212" t="s">
        <v>310</v>
      </c>
      <c r="R50" s="204" t="s">
        <v>325</v>
      </c>
      <c r="S50" s="204" t="s">
        <v>478</v>
      </c>
      <c r="T50" s="204" t="s">
        <v>479</v>
      </c>
      <c r="U50" s="199"/>
      <c r="V50" s="200"/>
      <c r="W50" s="200"/>
      <c r="X50" s="200"/>
      <c r="Y50" s="200"/>
      <c r="Z50" s="200"/>
      <c r="AA50" s="201"/>
      <c r="AB50" s="200"/>
      <c r="AC50" s="200"/>
    </row>
    <row r="51" ht="15.0" customHeight="1">
      <c r="A51" s="210">
        <f t="shared" si="1"/>
        <v>49</v>
      </c>
      <c r="B51" s="204" t="s">
        <v>480</v>
      </c>
      <c r="C51" s="217" t="str">
        <f>IFERROR(VLOOKUP(B51, SourceData!$U$3:$V$190, 2, FALSE), "")</f>
        <v>Stephanie</v>
      </c>
      <c r="D51" s="205" t="s">
        <v>459</v>
      </c>
      <c r="E51" s="206">
        <v>0.5048611111111111</v>
      </c>
      <c r="F51" s="204" t="s">
        <v>306</v>
      </c>
      <c r="G51" s="207"/>
      <c r="H51" s="205" t="s">
        <v>481</v>
      </c>
      <c r="I51" s="205" t="s">
        <v>120</v>
      </c>
      <c r="J51" s="205" t="s">
        <v>308</v>
      </c>
      <c r="K51" s="208" t="str">
        <f>IF(Errors!$I51=0,SourceData!$B$42,VLOOKUP(Errors!$I51,SourceData!$A$2:$B$40,2,FALSE))</f>
        <v>Drop ball</v>
      </c>
      <c r="L51" s="207"/>
      <c r="M51" s="209"/>
      <c r="N51" s="218" t="s">
        <v>309</v>
      </c>
      <c r="O51" s="212" t="s">
        <v>310</v>
      </c>
      <c r="P51" s="218" t="s">
        <v>309</v>
      </c>
      <c r="Q51" s="218" t="s">
        <v>309</v>
      </c>
      <c r="R51" s="204" t="s">
        <v>325</v>
      </c>
      <c r="S51" s="204" t="s">
        <v>478</v>
      </c>
      <c r="T51" s="204" t="s">
        <v>482</v>
      </c>
      <c r="U51" s="199"/>
      <c r="V51" s="200"/>
      <c r="W51" s="200"/>
      <c r="X51" s="200"/>
      <c r="Y51" s="200"/>
      <c r="Z51" s="200"/>
      <c r="AA51" s="201"/>
      <c r="AB51" s="200"/>
      <c r="AC51" s="200"/>
    </row>
    <row r="52" ht="15.0" customHeight="1">
      <c r="A52" s="210">
        <f t="shared" si="1"/>
        <v>50</v>
      </c>
      <c r="B52" s="204" t="s">
        <v>355</v>
      </c>
      <c r="C52" s="217" t="str">
        <f>IFERROR(VLOOKUP(B52, SourceData!$U$3:$V$190, 2, FALSE), "")</f>
        <v>Mira</v>
      </c>
      <c r="D52" s="205" t="s">
        <v>459</v>
      </c>
      <c r="E52" s="206">
        <v>0.8013888888888889</v>
      </c>
      <c r="F52" s="204" t="s">
        <v>400</v>
      </c>
      <c r="G52" s="215" t="s">
        <v>483</v>
      </c>
      <c r="H52" s="205" t="s">
        <v>484</v>
      </c>
      <c r="I52" s="205" t="s">
        <v>150</v>
      </c>
      <c r="J52" s="205" t="s">
        <v>332</v>
      </c>
      <c r="K52" s="208" t="str">
        <f>IF(Errors!$I52=0,SourceData!$B$42,VLOOKUP(Errors!$I52,SourceData!$A$2:$B$40,2,FALSE))</f>
        <v>Dealer drops cards in shoe/table while changing cards. </v>
      </c>
      <c r="L52" s="207"/>
      <c r="M52" s="209"/>
      <c r="N52" s="212" t="s">
        <v>310</v>
      </c>
      <c r="O52" s="212" t="s">
        <v>310</v>
      </c>
      <c r="P52" s="212" t="s">
        <v>310</v>
      </c>
      <c r="Q52" s="212" t="s">
        <v>310</v>
      </c>
      <c r="R52" s="204" t="s">
        <v>317</v>
      </c>
      <c r="S52" s="204" t="s">
        <v>312</v>
      </c>
      <c r="T52" s="204" t="s">
        <v>444</v>
      </c>
      <c r="U52" s="199"/>
      <c r="V52" s="200"/>
      <c r="W52" s="200"/>
      <c r="X52" s="200"/>
      <c r="Y52" s="200"/>
      <c r="Z52" s="200"/>
      <c r="AA52" s="201"/>
      <c r="AB52" s="200"/>
      <c r="AC52" s="200"/>
    </row>
    <row r="53" ht="15.0" customHeight="1">
      <c r="A53" s="210">
        <f t="shared" si="1"/>
        <v>51</v>
      </c>
      <c r="B53" s="204" t="s">
        <v>485</v>
      </c>
      <c r="C53" s="217" t="str">
        <f>IFERROR(VLOOKUP(B53, SourceData!$U$3:$V$190, 2, FALSE), "")</f>
        <v>Ariel</v>
      </c>
      <c r="D53" s="205" t="s">
        <v>459</v>
      </c>
      <c r="E53" s="206">
        <v>0.9451388888888889</v>
      </c>
      <c r="F53" s="204" t="s">
        <v>329</v>
      </c>
      <c r="G53" s="215" t="s">
        <v>486</v>
      </c>
      <c r="H53" s="205" t="s">
        <v>487</v>
      </c>
      <c r="I53" s="205" t="s">
        <v>139</v>
      </c>
      <c r="J53" s="205" t="s">
        <v>332</v>
      </c>
      <c r="K53" s="208" t="str">
        <f>IF(Errors!$I53=0,SourceData!$B$42,VLOOKUP(Errors!$I53,SourceData!$A$2:$B$40,2,FALSE))</f>
        <v>GP doesn't wait for 3 seconds after the card change which causes card not scanned/cards scanned in wrong order</v>
      </c>
      <c r="L53" s="207"/>
      <c r="M53" s="209"/>
      <c r="N53" s="212" t="s">
        <v>310</v>
      </c>
      <c r="O53" s="212" t="s">
        <v>310</v>
      </c>
      <c r="P53" s="212" t="s">
        <v>310</v>
      </c>
      <c r="Q53" s="212" t="s">
        <v>310</v>
      </c>
      <c r="R53" s="204" t="s">
        <v>317</v>
      </c>
      <c r="S53" s="204" t="s">
        <v>488</v>
      </c>
      <c r="T53" s="204" t="s">
        <v>403</v>
      </c>
      <c r="U53" s="199"/>
      <c r="V53" s="200"/>
      <c r="W53" s="200"/>
      <c r="X53" s="200"/>
      <c r="Y53" s="200"/>
      <c r="Z53" s="200"/>
      <c r="AA53" s="201"/>
      <c r="AB53" s="200"/>
      <c r="AC53" s="200"/>
    </row>
    <row r="54" ht="15.0" customHeight="1">
      <c r="A54" s="210">
        <f t="shared" si="1"/>
        <v>52</v>
      </c>
      <c r="B54" s="204" t="s">
        <v>489</v>
      </c>
      <c r="C54" s="217" t="str">
        <f>IFERROR(VLOOKUP(B54, SourceData!$U$3:$V$190, 2, FALSE), "")</f>
        <v>Lulu</v>
      </c>
      <c r="D54" s="205" t="s">
        <v>490</v>
      </c>
      <c r="E54" s="206">
        <v>0.3125</v>
      </c>
      <c r="F54" s="204" t="s">
        <v>306</v>
      </c>
      <c r="G54" s="207"/>
      <c r="H54" s="205" t="s">
        <v>491</v>
      </c>
      <c r="I54" s="205" t="s">
        <v>128</v>
      </c>
      <c r="J54" s="205" t="s">
        <v>308</v>
      </c>
      <c r="K54" s="208" t="str">
        <f>IF(Errors!$I54=0,SourceData!$B$42,VLOOKUP(Errors!$I54,SourceData!$A$2:$B$40,2,FALSE))</f>
        <v>Wrong ball direction</v>
      </c>
      <c r="L54" s="207"/>
      <c r="M54" s="209"/>
      <c r="N54" s="218" t="s">
        <v>309</v>
      </c>
      <c r="O54" s="218" t="s">
        <v>309</v>
      </c>
      <c r="P54" s="205" t="s">
        <v>310</v>
      </c>
      <c r="Q54" s="205" t="s">
        <v>310</v>
      </c>
      <c r="R54" s="204" t="s">
        <v>325</v>
      </c>
      <c r="S54" s="204" t="s">
        <v>326</v>
      </c>
      <c r="T54" s="204" t="s">
        <v>438</v>
      </c>
      <c r="U54" s="199"/>
      <c r="V54" s="200"/>
      <c r="W54" s="200"/>
      <c r="X54" s="200"/>
      <c r="Y54" s="200"/>
      <c r="Z54" s="200"/>
      <c r="AA54" s="201"/>
      <c r="AB54" s="200"/>
      <c r="AC54" s="200"/>
    </row>
    <row r="55" ht="15.0" customHeight="1">
      <c r="A55" s="222">
        <f t="shared" si="1"/>
        <v>53</v>
      </c>
      <c r="B55" s="204" t="s">
        <v>492</v>
      </c>
      <c r="C55" s="217" t="str">
        <f>IFERROR(VLOOKUP(B55, SourceData!$U$3:$V$190, 2, FALSE), "")</f>
        <v>Lucy</v>
      </c>
      <c r="D55" s="205" t="s">
        <v>490</v>
      </c>
      <c r="E55" s="206">
        <v>0.3458333333333333</v>
      </c>
      <c r="F55" s="204" t="s">
        <v>323</v>
      </c>
      <c r="G55" s="207"/>
      <c r="H55" s="205" t="s">
        <v>493</v>
      </c>
      <c r="I55" s="205" t="s">
        <v>120</v>
      </c>
      <c r="J55" s="205" t="s">
        <v>308</v>
      </c>
      <c r="K55" s="208" t="str">
        <f>IF(Errors!$I55=0,SourceData!$B$42,VLOOKUP(Errors!$I55,SourceData!$A$2:$B$40,2,FALSE))</f>
        <v>Drop ball</v>
      </c>
      <c r="L55" s="207"/>
      <c r="M55" s="209"/>
      <c r="N55" s="218" t="s">
        <v>309</v>
      </c>
      <c r="O55" s="218" t="s">
        <v>309</v>
      </c>
      <c r="P55" s="205" t="s">
        <v>310</v>
      </c>
      <c r="Q55" s="205" t="s">
        <v>310</v>
      </c>
      <c r="R55" s="204" t="s">
        <v>325</v>
      </c>
      <c r="S55" s="204" t="s">
        <v>347</v>
      </c>
      <c r="T55" s="204" t="s">
        <v>438</v>
      </c>
      <c r="U55" s="199"/>
      <c r="V55" s="200"/>
      <c r="W55" s="200"/>
      <c r="X55" s="200"/>
      <c r="Y55" s="200"/>
      <c r="Z55" s="200"/>
      <c r="AA55" s="201"/>
      <c r="AB55" s="200"/>
      <c r="AC55" s="200"/>
    </row>
    <row r="56" ht="15.0" customHeight="1">
      <c r="A56" s="210">
        <f t="shared" si="1"/>
        <v>54</v>
      </c>
      <c r="B56" s="204" t="s">
        <v>355</v>
      </c>
      <c r="C56" s="217" t="str">
        <f>IFERROR(VLOOKUP(B56, SourceData!$U$3:$V$190, 2, FALSE), "")</f>
        <v>Mira</v>
      </c>
      <c r="D56" s="205" t="s">
        <v>490</v>
      </c>
      <c r="E56" s="206">
        <v>0.8847222222222222</v>
      </c>
      <c r="F56" s="204" t="s">
        <v>323</v>
      </c>
      <c r="G56" s="207"/>
      <c r="H56" s="205" t="s">
        <v>494</v>
      </c>
      <c r="I56" s="205" t="s">
        <v>58</v>
      </c>
      <c r="J56" s="205" t="s">
        <v>308</v>
      </c>
      <c r="K56" s="208" t="str">
        <f>IF(Errors!$I56=0,SourceData!$B$42,VLOOKUP(Errors!$I56,SourceData!$A$2:$B$40,2,FALSE))</f>
        <v>Technical error</v>
      </c>
      <c r="L56" s="207"/>
      <c r="M56" s="209"/>
      <c r="N56" s="212" t="s">
        <v>310</v>
      </c>
      <c r="O56" s="212" t="s">
        <v>310</v>
      </c>
      <c r="P56" s="212" t="s">
        <v>310</v>
      </c>
      <c r="Q56" s="212" t="s">
        <v>310</v>
      </c>
      <c r="R56" s="204" t="s">
        <v>317</v>
      </c>
      <c r="S56" s="204" t="s">
        <v>311</v>
      </c>
      <c r="T56" s="204" t="s">
        <v>495</v>
      </c>
      <c r="U56" s="199"/>
      <c r="V56" s="200"/>
      <c r="W56" s="200"/>
      <c r="X56" s="200"/>
      <c r="Y56" s="200"/>
      <c r="Z56" s="200"/>
      <c r="AA56" s="201"/>
      <c r="AB56" s="200"/>
      <c r="AC56" s="200"/>
    </row>
    <row r="57" ht="15.0" customHeight="1">
      <c r="A57" s="210">
        <f t="shared" si="1"/>
        <v>55</v>
      </c>
      <c r="B57" s="204" t="s">
        <v>496</v>
      </c>
      <c r="C57" s="217" t="str">
        <f>IFERROR(VLOOKUP(B57, SourceData!$U$3:$V$190, 2, FALSE), "")</f>
        <v>Miyuki</v>
      </c>
      <c r="D57" s="205" t="s">
        <v>497</v>
      </c>
      <c r="E57" s="206">
        <v>0.016666666666666666</v>
      </c>
      <c r="F57" s="204" t="s">
        <v>376</v>
      </c>
      <c r="G57" s="207"/>
      <c r="H57" s="205" t="s">
        <v>498</v>
      </c>
      <c r="I57" s="205" t="s">
        <v>120</v>
      </c>
      <c r="J57" s="205" t="s">
        <v>308</v>
      </c>
      <c r="K57" s="208" t="str">
        <f>IF(Errors!$I57=0,SourceData!$B$42,VLOOKUP(Errors!$I57,SourceData!$A$2:$B$40,2,FALSE))</f>
        <v>Drop ball</v>
      </c>
      <c r="L57" s="207"/>
      <c r="M57" s="209"/>
      <c r="N57" s="205" t="s">
        <v>309</v>
      </c>
      <c r="O57" s="205" t="s">
        <v>309</v>
      </c>
      <c r="P57" s="205" t="s">
        <v>310</v>
      </c>
      <c r="Q57" s="205" t="s">
        <v>310</v>
      </c>
      <c r="R57" s="204" t="s">
        <v>346</v>
      </c>
      <c r="S57" s="204" t="s">
        <v>326</v>
      </c>
      <c r="T57" s="204" t="s">
        <v>438</v>
      </c>
      <c r="U57" s="199"/>
      <c r="V57" s="200"/>
      <c r="W57" s="200"/>
      <c r="X57" s="200"/>
      <c r="Y57" s="200"/>
      <c r="Z57" s="200"/>
      <c r="AA57" s="201"/>
      <c r="AB57" s="200"/>
      <c r="AC57" s="200"/>
    </row>
    <row r="58" ht="15.0" customHeight="1">
      <c r="A58" s="210">
        <f t="shared" si="1"/>
        <v>56</v>
      </c>
      <c r="B58" s="204" t="s">
        <v>499</v>
      </c>
      <c r="C58" s="217" t="str">
        <f>IFERROR(VLOOKUP(B58, SourceData!$U$3:$V$190, 2, FALSE), "")</f>
        <v>Chantell</v>
      </c>
      <c r="D58" s="205" t="s">
        <v>497</v>
      </c>
      <c r="E58" s="206">
        <v>0.041666666666666664</v>
      </c>
      <c r="F58" s="204" t="s">
        <v>306</v>
      </c>
      <c r="G58" s="207"/>
      <c r="H58" s="205" t="s">
        <v>500</v>
      </c>
      <c r="I58" s="205" t="s">
        <v>132</v>
      </c>
      <c r="J58" s="205" t="s">
        <v>308</v>
      </c>
      <c r="K58" s="208" t="str">
        <f>IF(Errors!$I58=0,SourceData!$B$42,VLOOKUP(Errors!$I58,SourceData!$A$2:$B$40,2,FALSE))</f>
        <v>Ball falls out of the wheel </v>
      </c>
      <c r="L58" s="207"/>
      <c r="M58" s="209"/>
      <c r="N58" s="205" t="s">
        <v>309</v>
      </c>
      <c r="O58" s="205" t="s">
        <v>309</v>
      </c>
      <c r="P58" s="205" t="s">
        <v>310</v>
      </c>
      <c r="Q58" s="205" t="s">
        <v>310</v>
      </c>
      <c r="R58" s="204" t="s">
        <v>346</v>
      </c>
      <c r="S58" s="204" t="s">
        <v>326</v>
      </c>
      <c r="T58" s="204" t="s">
        <v>438</v>
      </c>
      <c r="U58" s="199"/>
      <c r="V58" s="200"/>
      <c r="W58" s="200"/>
      <c r="X58" s="200"/>
      <c r="Y58" s="200"/>
      <c r="Z58" s="200"/>
      <c r="AA58" s="201"/>
      <c r="AB58" s="200"/>
      <c r="AC58" s="200"/>
    </row>
    <row r="59" ht="15.0" customHeight="1">
      <c r="A59" s="210">
        <f t="shared" si="1"/>
        <v>57</v>
      </c>
      <c r="B59" s="204" t="s">
        <v>499</v>
      </c>
      <c r="C59" s="217" t="str">
        <f>IFERROR(VLOOKUP(B59, SourceData!$U$3:$V$190, 2, FALSE), "")</f>
        <v>Chantell</v>
      </c>
      <c r="D59" s="205" t="s">
        <v>497</v>
      </c>
      <c r="E59" s="206">
        <v>0.3034722222222222</v>
      </c>
      <c r="F59" s="204" t="s">
        <v>343</v>
      </c>
      <c r="G59" s="215" t="s">
        <v>501</v>
      </c>
      <c r="H59" s="209" t="s">
        <v>502</v>
      </c>
      <c r="I59" s="205" t="s">
        <v>56</v>
      </c>
      <c r="J59" s="205" t="s">
        <v>332</v>
      </c>
      <c r="K59" s="208" t="str">
        <f>IF(Errors!$I59=0,SourceData!$B$42,VLOOKUP(Errors!$I59,SourceData!$A$2:$B$40,2,FALSE))</f>
        <v>Interface error</v>
      </c>
      <c r="L59" s="207"/>
      <c r="M59" s="205" t="s">
        <v>338</v>
      </c>
      <c r="N59" s="212" t="s">
        <v>310</v>
      </c>
      <c r="O59" s="212" t="s">
        <v>310</v>
      </c>
      <c r="P59" s="212" t="s">
        <v>310</v>
      </c>
      <c r="Q59" s="212" t="s">
        <v>310</v>
      </c>
      <c r="R59" s="204" t="s">
        <v>346</v>
      </c>
      <c r="S59" s="204" t="s">
        <v>503</v>
      </c>
      <c r="T59" s="204" t="s">
        <v>379</v>
      </c>
      <c r="U59" s="199"/>
      <c r="V59" s="200"/>
      <c r="W59" s="200"/>
      <c r="X59" s="200"/>
      <c r="Y59" s="200"/>
      <c r="Z59" s="200"/>
      <c r="AA59" s="201"/>
      <c r="AB59" s="200"/>
      <c r="AC59" s="200"/>
    </row>
    <row r="60" ht="15.0" customHeight="1">
      <c r="A60" s="210">
        <f t="shared" si="1"/>
        <v>58</v>
      </c>
      <c r="B60" s="204" t="s">
        <v>380</v>
      </c>
      <c r="C60" s="217" t="str">
        <f>IFERROR(VLOOKUP(B60, SourceData!$U$3:$V$190, 2, FALSE), "")</f>
        <v>Layla</v>
      </c>
      <c r="D60" s="205" t="s">
        <v>497</v>
      </c>
      <c r="E60" s="206">
        <v>0.3715277777777778</v>
      </c>
      <c r="F60" s="204" t="s">
        <v>343</v>
      </c>
      <c r="G60" s="215" t="s">
        <v>504</v>
      </c>
      <c r="H60" s="205" t="s">
        <v>505</v>
      </c>
      <c r="I60" s="205" t="s">
        <v>150</v>
      </c>
      <c r="J60" s="205" t="s">
        <v>332</v>
      </c>
      <c r="K60" s="208" t="str">
        <f>IF(Errors!$I60=0,SourceData!$B$42,VLOOKUP(Errors!$I60,SourceData!$A$2:$B$40,2,FALSE))</f>
        <v>Dealer drops cards in shoe/table while changing cards. </v>
      </c>
      <c r="L60" s="207"/>
      <c r="M60" s="209"/>
      <c r="N60" s="212" t="s">
        <v>310</v>
      </c>
      <c r="O60" s="212" t="s">
        <v>310</v>
      </c>
      <c r="P60" s="212" t="s">
        <v>310</v>
      </c>
      <c r="Q60" s="212" t="s">
        <v>310</v>
      </c>
      <c r="R60" s="204" t="s">
        <v>378</v>
      </c>
      <c r="S60" s="204" t="s">
        <v>462</v>
      </c>
      <c r="T60" s="204" t="s">
        <v>444</v>
      </c>
      <c r="U60" s="199"/>
      <c r="V60" s="200"/>
      <c r="W60" s="200"/>
      <c r="X60" s="200"/>
      <c r="Y60" s="200"/>
      <c r="Z60" s="200"/>
      <c r="AA60" s="201"/>
      <c r="AB60" s="200"/>
      <c r="AC60" s="200"/>
    </row>
    <row r="61" ht="15.0" customHeight="1">
      <c r="A61" s="210">
        <f t="shared" si="1"/>
        <v>59</v>
      </c>
      <c r="B61" s="204" t="s">
        <v>492</v>
      </c>
      <c r="C61" s="217" t="str">
        <f>IFERROR(VLOOKUP(B61, SourceData!$U$3:$V$190, 2, FALSE), "")</f>
        <v>Lucy</v>
      </c>
      <c r="D61" s="205" t="s">
        <v>497</v>
      </c>
      <c r="E61" s="206">
        <v>0.47291666666666665</v>
      </c>
      <c r="F61" s="204" t="s">
        <v>323</v>
      </c>
      <c r="G61" s="215"/>
      <c r="H61" s="205" t="s">
        <v>506</v>
      </c>
      <c r="I61" s="205" t="s">
        <v>116</v>
      </c>
      <c r="J61" s="205" t="s">
        <v>308</v>
      </c>
      <c r="K61" s="208" t="str">
        <f>IF(Errors!$I61=0,SourceData!$B$42,VLOOKUP(Errors!$I61,SourceData!$A$2:$B$40,2,FALSE))</f>
        <v>Ball did not make 4 revolutions</v>
      </c>
      <c r="L61" s="207"/>
      <c r="M61" s="205"/>
      <c r="N61" s="205" t="s">
        <v>309</v>
      </c>
      <c r="O61" s="205" t="s">
        <v>309</v>
      </c>
      <c r="P61" s="205" t="s">
        <v>310</v>
      </c>
      <c r="Q61" s="205" t="s">
        <v>310</v>
      </c>
      <c r="R61" s="204" t="s">
        <v>378</v>
      </c>
      <c r="S61" s="204" t="s">
        <v>378</v>
      </c>
      <c r="T61" s="204" t="s">
        <v>438</v>
      </c>
      <c r="U61" s="199"/>
      <c r="V61" s="200"/>
      <c r="W61" s="200"/>
      <c r="X61" s="200"/>
      <c r="Y61" s="200"/>
      <c r="Z61" s="200"/>
      <c r="AA61" s="201"/>
      <c r="AB61" s="200"/>
      <c r="AC61" s="200"/>
    </row>
    <row r="62" ht="15.0" customHeight="1">
      <c r="A62" s="210">
        <f t="shared" si="1"/>
        <v>60</v>
      </c>
      <c r="B62" s="204" t="s">
        <v>507</v>
      </c>
      <c r="C62" s="217" t="str">
        <f>IFERROR(VLOOKUP(B62, SourceData!$U$3:$V$190, 2, FALSE), "")</f>
        <v>Rae</v>
      </c>
      <c r="D62" s="205" t="s">
        <v>497</v>
      </c>
      <c r="E62" s="206">
        <v>0.5222222222222223</v>
      </c>
      <c r="F62" s="204" t="s">
        <v>343</v>
      </c>
      <c r="G62" s="215" t="s">
        <v>508</v>
      </c>
      <c r="H62" s="205" t="s">
        <v>509</v>
      </c>
      <c r="I62" s="205" t="s">
        <v>150</v>
      </c>
      <c r="J62" s="205" t="s">
        <v>332</v>
      </c>
      <c r="K62" s="208" t="str">
        <f>IF(Errors!$I62=0,SourceData!$B$42,VLOOKUP(Errors!$I62,SourceData!$A$2:$B$40,2,FALSE))</f>
        <v>Dealer drops cards in shoe/table while changing cards. </v>
      </c>
      <c r="L62" s="207"/>
      <c r="M62" s="209"/>
      <c r="N62" s="212" t="s">
        <v>310</v>
      </c>
      <c r="O62" s="212" t="s">
        <v>310</v>
      </c>
      <c r="P62" s="212" t="s">
        <v>310</v>
      </c>
      <c r="Q62" s="212" t="s">
        <v>310</v>
      </c>
      <c r="R62" s="204" t="s">
        <v>378</v>
      </c>
      <c r="S62" s="204" t="s">
        <v>462</v>
      </c>
      <c r="T62" s="204" t="s">
        <v>444</v>
      </c>
      <c r="U62" s="199"/>
      <c r="V62" s="200"/>
      <c r="W62" s="200"/>
      <c r="X62" s="200"/>
      <c r="Y62" s="200"/>
      <c r="Z62" s="200"/>
      <c r="AA62" s="201"/>
      <c r="AB62" s="200"/>
      <c r="AC62" s="200"/>
    </row>
    <row r="63" ht="15.0" customHeight="1">
      <c r="A63" s="210">
        <f t="shared" si="1"/>
        <v>61</v>
      </c>
      <c r="B63" s="204" t="s">
        <v>510</v>
      </c>
      <c r="C63" s="217" t="str">
        <f>IFERROR(VLOOKUP(B63, SourceData!$U$3:$V$190, 2, FALSE), "")</f>
        <v>Sapphire</v>
      </c>
      <c r="D63" s="205" t="s">
        <v>497</v>
      </c>
      <c r="E63" s="206">
        <v>0.6013888888888889</v>
      </c>
      <c r="F63" s="204" t="s">
        <v>396</v>
      </c>
      <c r="G63" s="215" t="s">
        <v>511</v>
      </c>
      <c r="H63" s="205" t="s">
        <v>512</v>
      </c>
      <c r="I63" s="205" t="s">
        <v>56</v>
      </c>
      <c r="J63" s="205" t="s">
        <v>332</v>
      </c>
      <c r="K63" s="208" t="str">
        <f>IF(Errors!$I63=0,SourceData!$B$42,VLOOKUP(Errors!$I63,SourceData!$A$2:$B$40,2,FALSE))</f>
        <v>Interface error</v>
      </c>
      <c r="L63" s="207"/>
      <c r="M63" s="205" t="s">
        <v>338</v>
      </c>
      <c r="N63" s="212" t="s">
        <v>310</v>
      </c>
      <c r="O63" s="226" t="s">
        <v>310</v>
      </c>
      <c r="P63" s="212" t="s">
        <v>310</v>
      </c>
      <c r="Q63" s="212" t="s">
        <v>310</v>
      </c>
      <c r="R63" s="204" t="s">
        <v>378</v>
      </c>
      <c r="S63" s="204" t="s">
        <v>321</v>
      </c>
      <c r="T63" s="204" t="s">
        <v>513</v>
      </c>
      <c r="U63" s="199"/>
      <c r="V63" s="200"/>
      <c r="W63" s="200"/>
      <c r="X63" s="200"/>
      <c r="Y63" s="200"/>
      <c r="Z63" s="200"/>
      <c r="AA63" s="201"/>
      <c r="AB63" s="200"/>
      <c r="AC63" s="200"/>
    </row>
    <row r="64" ht="15.0" customHeight="1">
      <c r="A64" s="210">
        <f t="shared" si="1"/>
        <v>62</v>
      </c>
      <c r="B64" s="204" t="s">
        <v>489</v>
      </c>
      <c r="C64" s="217" t="str">
        <f>IFERROR(VLOOKUP(B64, SourceData!$U$3:$V$190, 2, FALSE), "")</f>
        <v>Lulu</v>
      </c>
      <c r="D64" s="205" t="s">
        <v>497</v>
      </c>
      <c r="E64" s="206">
        <v>0.6034722222222222</v>
      </c>
      <c r="F64" s="204" t="s">
        <v>400</v>
      </c>
      <c r="G64" s="215" t="s">
        <v>514</v>
      </c>
      <c r="H64" s="205" t="s">
        <v>515</v>
      </c>
      <c r="I64" s="205" t="s">
        <v>150</v>
      </c>
      <c r="J64" s="205" t="s">
        <v>332</v>
      </c>
      <c r="K64" s="208" t="str">
        <f>IF(Errors!$I64=0,SourceData!$B$42,VLOOKUP(Errors!$I64,SourceData!$A$2:$B$40,2,FALSE))</f>
        <v>Dealer drops cards in shoe/table while changing cards. </v>
      </c>
      <c r="L64" s="207"/>
      <c r="M64" s="209"/>
      <c r="N64" s="212" t="s">
        <v>310</v>
      </c>
      <c r="O64" s="226" t="s">
        <v>310</v>
      </c>
      <c r="P64" s="212" t="s">
        <v>310</v>
      </c>
      <c r="Q64" s="212" t="s">
        <v>310</v>
      </c>
      <c r="R64" s="204" t="s">
        <v>378</v>
      </c>
      <c r="S64" s="204" t="s">
        <v>321</v>
      </c>
      <c r="T64" s="204" t="s">
        <v>444</v>
      </c>
      <c r="U64" s="199"/>
      <c r="V64" s="200"/>
      <c r="W64" s="200"/>
      <c r="X64" s="200"/>
      <c r="Y64" s="200"/>
      <c r="Z64" s="200"/>
      <c r="AA64" s="201"/>
      <c r="AB64" s="200"/>
      <c r="AC64" s="200"/>
    </row>
    <row r="65" ht="15.0" customHeight="1">
      <c r="A65" s="210">
        <f t="shared" si="1"/>
        <v>63</v>
      </c>
      <c r="B65" s="204" t="s">
        <v>516</v>
      </c>
      <c r="C65" s="217" t="str">
        <f>IFERROR(VLOOKUP(B65, SourceData!$U$3:$V$190, 2, FALSE), "")</f>
        <v>Irene</v>
      </c>
      <c r="D65" s="205" t="s">
        <v>497</v>
      </c>
      <c r="E65" s="206">
        <v>0.6805555555555556</v>
      </c>
      <c r="F65" s="204" t="s">
        <v>306</v>
      </c>
      <c r="G65" s="215"/>
      <c r="H65" s="205" t="s">
        <v>517</v>
      </c>
      <c r="I65" s="205" t="s">
        <v>132</v>
      </c>
      <c r="J65" s="205" t="s">
        <v>308</v>
      </c>
      <c r="K65" s="208" t="str">
        <f>IF(Errors!$I65=0,SourceData!$B$42,VLOOKUP(Errors!$I65,SourceData!$A$2:$B$40,2,FALSE))</f>
        <v>Ball falls out of the wheel </v>
      </c>
      <c r="L65" s="207"/>
      <c r="M65" s="209"/>
      <c r="N65" s="205" t="s">
        <v>309</v>
      </c>
      <c r="O65" s="205" t="s">
        <v>309</v>
      </c>
      <c r="P65" s="205" t="s">
        <v>310</v>
      </c>
      <c r="Q65" s="205" t="s">
        <v>310</v>
      </c>
      <c r="R65" s="204" t="s">
        <v>518</v>
      </c>
      <c r="S65" s="204" t="s">
        <v>488</v>
      </c>
      <c r="T65" s="204" t="s">
        <v>438</v>
      </c>
      <c r="U65" s="199"/>
      <c r="V65" s="200"/>
      <c r="W65" s="200"/>
      <c r="X65" s="200"/>
      <c r="Y65" s="200"/>
      <c r="Z65" s="200"/>
      <c r="AA65" s="201"/>
      <c r="AB65" s="200"/>
      <c r="AC65" s="200"/>
    </row>
    <row r="66" ht="15.0" customHeight="1">
      <c r="A66" s="210">
        <f t="shared" si="1"/>
        <v>64</v>
      </c>
      <c r="B66" s="204" t="s">
        <v>349</v>
      </c>
      <c r="C66" s="204" t="s">
        <v>350</v>
      </c>
      <c r="D66" s="205" t="s">
        <v>497</v>
      </c>
      <c r="E66" s="206">
        <v>0.004166666666666667</v>
      </c>
      <c r="F66" s="204" t="s">
        <v>400</v>
      </c>
      <c r="G66" s="215" t="s">
        <v>519</v>
      </c>
      <c r="H66" s="215" t="s">
        <v>520</v>
      </c>
      <c r="I66" s="205" t="s">
        <v>56</v>
      </c>
      <c r="J66" s="205" t="s">
        <v>332</v>
      </c>
      <c r="K66" s="208" t="str">
        <f>IF(Errors!$I66=0,SourceData!$B$42,VLOOKUP(Errors!$I66,SourceData!$A$2:$B$40,2,FALSE))</f>
        <v>Interface error</v>
      </c>
      <c r="L66" s="207"/>
      <c r="M66" s="205" t="s">
        <v>338</v>
      </c>
      <c r="N66" s="212" t="s">
        <v>310</v>
      </c>
      <c r="O66" s="226" t="s">
        <v>310</v>
      </c>
      <c r="P66" s="212" t="s">
        <v>310</v>
      </c>
      <c r="Q66" s="212" t="s">
        <v>310</v>
      </c>
      <c r="R66" s="204" t="s">
        <v>518</v>
      </c>
      <c r="S66" s="204" t="s">
        <v>488</v>
      </c>
      <c r="T66" s="204" t="s">
        <v>513</v>
      </c>
      <c r="U66" s="199"/>
      <c r="V66" s="200"/>
      <c r="W66" s="200"/>
      <c r="X66" s="200"/>
      <c r="Y66" s="200"/>
      <c r="Z66" s="200"/>
      <c r="AA66" s="201"/>
      <c r="AB66" s="200"/>
      <c r="AC66" s="200"/>
    </row>
    <row r="67" ht="15.0" customHeight="1">
      <c r="A67" s="210">
        <f t="shared" si="1"/>
        <v>65</v>
      </c>
      <c r="B67" s="204" t="s">
        <v>521</v>
      </c>
      <c r="C67" s="217" t="str">
        <f>IFERROR(VLOOKUP(B67, SourceData!$U$3:$V$190, 2, FALSE), "")</f>
        <v>Nate</v>
      </c>
      <c r="D67" s="205" t="s">
        <v>497</v>
      </c>
      <c r="E67" s="206">
        <v>0.8673611111111111</v>
      </c>
      <c r="F67" s="204" t="s">
        <v>323</v>
      </c>
      <c r="G67" s="207"/>
      <c r="H67" s="205" t="s">
        <v>522</v>
      </c>
      <c r="I67" s="205" t="s">
        <v>120</v>
      </c>
      <c r="J67" s="205" t="s">
        <v>308</v>
      </c>
      <c r="K67" s="208" t="str">
        <f>IF(Errors!$I67=0,SourceData!$B$42,VLOOKUP(Errors!$I67,SourceData!$A$2:$B$40,2,FALSE))</f>
        <v>Drop ball</v>
      </c>
      <c r="L67" s="207"/>
      <c r="M67" s="209"/>
      <c r="N67" s="218" t="s">
        <v>309</v>
      </c>
      <c r="O67" s="218" t="s">
        <v>309</v>
      </c>
      <c r="P67" s="205" t="s">
        <v>310</v>
      </c>
      <c r="Q67" s="205" t="s">
        <v>310</v>
      </c>
      <c r="R67" s="204" t="s">
        <v>518</v>
      </c>
      <c r="S67" s="204" t="s">
        <v>367</v>
      </c>
      <c r="T67" s="204" t="s">
        <v>438</v>
      </c>
      <c r="U67" s="199"/>
      <c r="V67" s="200"/>
      <c r="W67" s="200"/>
      <c r="X67" s="200"/>
      <c r="Y67" s="200"/>
      <c r="Z67" s="200"/>
      <c r="AA67" s="201"/>
      <c r="AB67" s="200"/>
      <c r="AC67" s="200"/>
    </row>
    <row r="68" ht="15.0" customHeight="1">
      <c r="A68" s="222">
        <f t="shared" si="1"/>
        <v>66</v>
      </c>
      <c r="B68" s="204" t="s">
        <v>496</v>
      </c>
      <c r="C68" s="217" t="str">
        <f>IFERROR(VLOOKUP(B68, SourceData!$U$3:$V$190, 2, FALSE), "")</f>
        <v>Miyuki</v>
      </c>
      <c r="D68" s="205" t="s">
        <v>523</v>
      </c>
      <c r="E68" s="206">
        <v>0.075</v>
      </c>
      <c r="F68" s="204" t="s">
        <v>306</v>
      </c>
      <c r="G68" s="207"/>
      <c r="H68" s="205" t="s">
        <v>524</v>
      </c>
      <c r="I68" s="205" t="s">
        <v>132</v>
      </c>
      <c r="J68" s="205" t="s">
        <v>308</v>
      </c>
      <c r="K68" s="208" t="str">
        <f>IF(Errors!$I68=0,SourceData!$B$42,VLOOKUP(Errors!$I68,SourceData!$A$2:$B$40,2,FALSE))</f>
        <v>Ball falls out of the wheel </v>
      </c>
      <c r="L68" s="207"/>
      <c r="M68" s="209"/>
      <c r="N68" s="218" t="s">
        <v>309</v>
      </c>
      <c r="O68" s="218" t="s">
        <v>309</v>
      </c>
      <c r="P68" s="205" t="s">
        <v>310</v>
      </c>
      <c r="Q68" s="205" t="s">
        <v>310</v>
      </c>
      <c r="R68" s="204" t="s">
        <v>361</v>
      </c>
      <c r="S68" s="204" t="s">
        <v>362</v>
      </c>
      <c r="T68" s="204" t="s">
        <v>438</v>
      </c>
      <c r="U68" s="199"/>
      <c r="V68" s="200"/>
      <c r="W68" s="200"/>
      <c r="X68" s="200"/>
      <c r="Y68" s="200"/>
      <c r="Z68" s="200"/>
      <c r="AA68" s="201"/>
      <c r="AB68" s="200"/>
      <c r="AC68" s="200"/>
    </row>
    <row r="69" ht="15.0" customHeight="1">
      <c r="A69" s="210">
        <f t="shared" si="1"/>
        <v>67</v>
      </c>
      <c r="B69" s="204" t="s">
        <v>525</v>
      </c>
      <c r="C69" s="204" t="s">
        <v>526</v>
      </c>
      <c r="D69" s="205" t="s">
        <v>523</v>
      </c>
      <c r="E69" s="206">
        <v>0.06388888888888888</v>
      </c>
      <c r="F69" s="204" t="s">
        <v>329</v>
      </c>
      <c r="G69" s="215" t="s">
        <v>527</v>
      </c>
      <c r="H69" s="205" t="s">
        <v>528</v>
      </c>
      <c r="I69" s="205" t="s">
        <v>150</v>
      </c>
      <c r="J69" s="205" t="s">
        <v>332</v>
      </c>
      <c r="K69" s="208" t="str">
        <f>IF(Errors!$I69=0,SourceData!$B$42,VLOOKUP(Errors!$I69,SourceData!$A$2:$B$40,2,FALSE))</f>
        <v>Dealer drops cards in shoe/table while changing cards. </v>
      </c>
      <c r="L69" s="207"/>
      <c r="M69" s="209"/>
      <c r="N69" s="212" t="s">
        <v>310</v>
      </c>
      <c r="O69" s="226" t="s">
        <v>310</v>
      </c>
      <c r="P69" s="212" t="s">
        <v>310</v>
      </c>
      <c r="Q69" s="212" t="s">
        <v>310</v>
      </c>
      <c r="R69" s="204" t="s">
        <v>361</v>
      </c>
      <c r="S69" s="204" t="s">
        <v>362</v>
      </c>
      <c r="T69" s="204" t="s">
        <v>444</v>
      </c>
      <c r="U69" s="199"/>
      <c r="V69" s="200"/>
      <c r="W69" s="200"/>
      <c r="X69" s="200"/>
      <c r="Y69" s="200"/>
      <c r="Z69" s="200"/>
      <c r="AA69" s="201"/>
      <c r="AB69" s="200"/>
      <c r="AC69" s="200" t="s">
        <v>529</v>
      </c>
    </row>
    <row r="70" ht="15.0" customHeight="1">
      <c r="A70" s="210">
        <f t="shared" si="1"/>
        <v>68</v>
      </c>
      <c r="B70" s="204" t="s">
        <v>530</v>
      </c>
      <c r="C70" s="217" t="str">
        <f>IFERROR(VLOOKUP(B70, SourceData!$U$3:$V$190, 2, FALSE), "")</f>
        <v>Elyise</v>
      </c>
      <c r="D70" s="205" t="s">
        <v>523</v>
      </c>
      <c r="E70" s="206">
        <v>0.0798611111111111</v>
      </c>
      <c r="F70" s="204" t="s">
        <v>396</v>
      </c>
      <c r="G70" s="215" t="s">
        <v>531</v>
      </c>
      <c r="H70" s="205" t="s">
        <v>532</v>
      </c>
      <c r="I70" s="205" t="s">
        <v>56</v>
      </c>
      <c r="J70" s="205" t="s">
        <v>332</v>
      </c>
      <c r="K70" s="208" t="str">
        <f>IF(Errors!$I70=0,SourceData!$B$42,VLOOKUP(Errors!$I70,SourceData!$A$2:$B$40,2,FALSE))</f>
        <v>Interface error</v>
      </c>
      <c r="L70" s="207"/>
      <c r="M70" s="209"/>
      <c r="N70" s="212" t="s">
        <v>310</v>
      </c>
      <c r="O70" s="226" t="s">
        <v>310</v>
      </c>
      <c r="P70" s="212" t="s">
        <v>310</v>
      </c>
      <c r="Q70" s="212" t="s">
        <v>310</v>
      </c>
      <c r="R70" s="204" t="s">
        <v>361</v>
      </c>
      <c r="S70" s="204" t="s">
        <v>362</v>
      </c>
      <c r="T70" s="204" t="s">
        <v>533</v>
      </c>
      <c r="U70" s="199"/>
      <c r="V70" s="200"/>
      <c r="W70" s="200"/>
      <c r="X70" s="200"/>
      <c r="Y70" s="200"/>
      <c r="Z70" s="200"/>
      <c r="AA70" s="201"/>
      <c r="AB70" s="200"/>
      <c r="AC70" s="200"/>
    </row>
    <row r="71" ht="15.0" customHeight="1">
      <c r="A71" s="210">
        <f t="shared" si="1"/>
        <v>69</v>
      </c>
      <c r="B71" s="204" t="s">
        <v>534</v>
      </c>
      <c r="C71" s="217" t="str">
        <f>IFERROR(VLOOKUP(B71, SourceData!$U$3:$V$190, 2, FALSE), "")</f>
        <v>Maddy</v>
      </c>
      <c r="D71" s="205" t="s">
        <v>523</v>
      </c>
      <c r="E71" s="206">
        <v>0.2375</v>
      </c>
      <c r="F71" s="204" t="s">
        <v>343</v>
      </c>
      <c r="G71" s="215" t="s">
        <v>535</v>
      </c>
      <c r="H71" s="205" t="s">
        <v>536</v>
      </c>
      <c r="I71" s="205" t="s">
        <v>56</v>
      </c>
      <c r="J71" s="205" t="s">
        <v>332</v>
      </c>
      <c r="K71" s="208" t="str">
        <f>IF(Errors!$I71=0,SourceData!$B$42,VLOOKUP(Errors!$I71,SourceData!$A$2:$B$40,2,FALSE))</f>
        <v>Interface error</v>
      </c>
      <c r="L71" s="207"/>
      <c r="M71" s="209"/>
      <c r="N71" s="212" t="s">
        <v>310</v>
      </c>
      <c r="O71" s="226" t="s">
        <v>310</v>
      </c>
      <c r="P71" s="212" t="s">
        <v>310</v>
      </c>
      <c r="Q71" s="212" t="s">
        <v>310</v>
      </c>
      <c r="R71" s="204" t="s">
        <v>361</v>
      </c>
      <c r="S71" s="204" t="s">
        <v>362</v>
      </c>
      <c r="T71" s="204" t="s">
        <v>537</v>
      </c>
      <c r="U71" s="199"/>
      <c r="V71" s="200"/>
      <c r="W71" s="200"/>
      <c r="X71" s="200"/>
      <c r="Y71" s="200"/>
      <c r="Z71" s="200"/>
      <c r="AA71" s="201"/>
      <c r="AB71" s="200"/>
      <c r="AC71" s="200"/>
    </row>
    <row r="72" ht="15.0" customHeight="1">
      <c r="A72" s="210">
        <f t="shared" si="1"/>
        <v>70</v>
      </c>
      <c r="B72" s="204" t="s">
        <v>538</v>
      </c>
      <c r="C72" s="204" t="s">
        <v>539</v>
      </c>
      <c r="D72" s="205" t="s">
        <v>523</v>
      </c>
      <c r="E72" s="206">
        <v>0.3263888888888889</v>
      </c>
      <c r="F72" s="204" t="s">
        <v>352</v>
      </c>
      <c r="G72" s="215" t="s">
        <v>540</v>
      </c>
      <c r="H72" s="215" t="s">
        <v>541</v>
      </c>
      <c r="I72" s="205" t="s">
        <v>56</v>
      </c>
      <c r="J72" s="205" t="s">
        <v>332</v>
      </c>
      <c r="K72" s="208" t="str">
        <f>IF(Errors!$I72=0,SourceData!$B$42,VLOOKUP(Errors!$I72,SourceData!$A$2:$B$40,2,FALSE))</f>
        <v>Interface error</v>
      </c>
      <c r="L72" s="207"/>
      <c r="M72" s="209"/>
      <c r="N72" s="212" t="s">
        <v>310</v>
      </c>
      <c r="O72" s="226" t="s">
        <v>310</v>
      </c>
      <c r="P72" s="212" t="s">
        <v>310</v>
      </c>
      <c r="Q72" s="212" t="s">
        <v>310</v>
      </c>
      <c r="R72" s="204" t="s">
        <v>325</v>
      </c>
      <c r="S72" s="204" t="s">
        <v>339</v>
      </c>
      <c r="T72" s="204" t="s">
        <v>542</v>
      </c>
      <c r="U72" s="199"/>
      <c r="V72" s="200"/>
      <c r="W72" s="200"/>
      <c r="X72" s="200"/>
      <c r="Y72" s="200"/>
      <c r="Z72" s="200"/>
      <c r="AA72" s="201"/>
      <c r="AB72" s="200"/>
      <c r="AC72" s="200"/>
    </row>
    <row r="73" ht="15.0" customHeight="1">
      <c r="A73" s="210">
        <f t="shared" si="1"/>
        <v>71</v>
      </c>
      <c r="B73" s="204" t="s">
        <v>510</v>
      </c>
      <c r="C73" s="217" t="str">
        <f>IFERROR(VLOOKUP(B73, SourceData!$U$3:$V$190, 2, FALSE), "")</f>
        <v>Sapphire</v>
      </c>
      <c r="D73" s="205" t="s">
        <v>523</v>
      </c>
      <c r="E73" s="206">
        <v>0.47708333333333336</v>
      </c>
      <c r="F73" s="204" t="s">
        <v>396</v>
      </c>
      <c r="G73" s="215" t="s">
        <v>543</v>
      </c>
      <c r="H73" s="205" t="s">
        <v>544</v>
      </c>
      <c r="I73" s="205" t="s">
        <v>150</v>
      </c>
      <c r="J73" s="205" t="s">
        <v>332</v>
      </c>
      <c r="K73" s="208" t="str">
        <f>IF(Errors!$I73=0,SourceData!$B$42,VLOOKUP(Errors!$I73,SourceData!$A$2:$B$40,2,FALSE))</f>
        <v>Dealer drops cards in shoe/table while changing cards. </v>
      </c>
      <c r="L73" s="207"/>
      <c r="M73" s="209"/>
      <c r="N73" s="212" t="s">
        <v>310</v>
      </c>
      <c r="O73" s="226" t="s">
        <v>310</v>
      </c>
      <c r="P73" s="212" t="s">
        <v>310</v>
      </c>
      <c r="Q73" s="212" t="s">
        <v>310</v>
      </c>
      <c r="R73" s="204" t="s">
        <v>325</v>
      </c>
      <c r="S73" s="204" t="s">
        <v>347</v>
      </c>
      <c r="T73" s="204" t="s">
        <v>444</v>
      </c>
      <c r="U73" s="199"/>
      <c r="V73" s="200"/>
      <c r="W73" s="200"/>
      <c r="X73" s="200"/>
      <c r="Y73" s="200"/>
      <c r="Z73" s="200"/>
      <c r="AA73" s="201"/>
      <c r="AB73" s="200"/>
      <c r="AC73" s="200"/>
    </row>
    <row r="74" ht="15.0" customHeight="1">
      <c r="A74" s="210">
        <f t="shared" si="1"/>
        <v>72</v>
      </c>
      <c r="B74" s="204" t="s">
        <v>545</v>
      </c>
      <c r="C74" s="217" t="str">
        <f>IFERROR(VLOOKUP(B74, SourceData!$U$3:$V$190, 2, FALSE), "")</f>
        <v>Bellamy</v>
      </c>
      <c r="D74" s="205" t="s">
        <v>523</v>
      </c>
      <c r="E74" s="206">
        <v>0.6333333333333333</v>
      </c>
      <c r="F74" s="204" t="s">
        <v>396</v>
      </c>
      <c r="G74" s="215" t="s">
        <v>546</v>
      </c>
      <c r="H74" s="205" t="s">
        <v>547</v>
      </c>
      <c r="I74" s="205" t="s">
        <v>122</v>
      </c>
      <c r="J74" s="205" t="s">
        <v>332</v>
      </c>
      <c r="K74" s="208" t="str">
        <f>IF(Errors!$I74=0,SourceData!$B$42,VLOOKUP(Errors!$I74,SourceData!$A$2:$B$40,2,FALSE))</f>
        <v>Burn card(s) exposed/too many cards burned - during burn procedure (during card change procedure)</v>
      </c>
      <c r="L74" s="207"/>
      <c r="M74" s="209"/>
      <c r="N74" s="212" t="s">
        <v>310</v>
      </c>
      <c r="O74" s="226" t="s">
        <v>310</v>
      </c>
      <c r="P74" s="212" t="s">
        <v>310</v>
      </c>
      <c r="Q74" s="212" t="s">
        <v>310</v>
      </c>
      <c r="R74" s="204" t="s">
        <v>325</v>
      </c>
      <c r="S74" s="204" t="s">
        <v>339</v>
      </c>
      <c r="T74" s="204" t="s">
        <v>548</v>
      </c>
      <c r="U74" s="199"/>
      <c r="V74" s="200"/>
      <c r="W74" s="200"/>
      <c r="X74" s="200"/>
      <c r="Y74" s="200"/>
      <c r="Z74" s="200"/>
      <c r="AA74" s="201"/>
      <c r="AB74" s="200"/>
      <c r="AC74" s="200"/>
    </row>
    <row r="75" ht="15.0" customHeight="1">
      <c r="A75" s="210">
        <f t="shared" si="1"/>
        <v>73</v>
      </c>
      <c r="B75" s="204" t="s">
        <v>549</v>
      </c>
      <c r="C75" s="217" t="str">
        <f>IFERROR(VLOOKUP(B75, SourceData!$U$3:$V$190, 2, FALSE), "")</f>
        <v>Bel</v>
      </c>
      <c r="D75" s="205" t="s">
        <v>523</v>
      </c>
      <c r="E75" s="206">
        <v>0.9395833333333333</v>
      </c>
      <c r="F75" s="204" t="s">
        <v>376</v>
      </c>
      <c r="G75" s="207"/>
      <c r="H75" s="205" t="s">
        <v>550</v>
      </c>
      <c r="I75" s="205" t="s">
        <v>132</v>
      </c>
      <c r="J75" s="205" t="s">
        <v>308</v>
      </c>
      <c r="K75" s="208" t="str">
        <f>IF(Errors!$I75=0,SourceData!$B$42,VLOOKUP(Errors!$I75,SourceData!$A$2:$B$40,2,FALSE))</f>
        <v>Ball falls out of the wheel </v>
      </c>
      <c r="L75" s="207"/>
      <c r="M75" s="209"/>
      <c r="N75" s="218" t="s">
        <v>309</v>
      </c>
      <c r="O75" s="218" t="s">
        <v>309</v>
      </c>
      <c r="P75" s="205" t="s">
        <v>310</v>
      </c>
      <c r="Q75" s="205" t="s">
        <v>310</v>
      </c>
      <c r="R75" s="204" t="s">
        <v>378</v>
      </c>
      <c r="S75" s="204" t="s">
        <v>321</v>
      </c>
      <c r="T75" s="204" t="s">
        <v>438</v>
      </c>
      <c r="U75" s="199"/>
      <c r="V75" s="200"/>
      <c r="W75" s="200"/>
      <c r="X75" s="200"/>
      <c r="Y75" s="200"/>
      <c r="Z75" s="200"/>
      <c r="AA75" s="201"/>
      <c r="AB75" s="200"/>
      <c r="AC75" s="200"/>
    </row>
    <row r="76" ht="15.0" customHeight="1">
      <c r="A76" s="210">
        <f t="shared" si="1"/>
        <v>74</v>
      </c>
      <c r="B76" s="204" t="s">
        <v>549</v>
      </c>
      <c r="C76" s="217" t="str">
        <f>IFERROR(VLOOKUP(B76, SourceData!$U$3:$V$190, 2, FALSE), "")</f>
        <v>Bel</v>
      </c>
      <c r="D76" s="205" t="s">
        <v>523</v>
      </c>
      <c r="E76" s="206">
        <v>0.9701388888888889</v>
      </c>
      <c r="F76" s="204" t="s">
        <v>400</v>
      </c>
      <c r="G76" s="207"/>
      <c r="H76" s="205" t="s">
        <v>551</v>
      </c>
      <c r="I76" s="205" t="s">
        <v>139</v>
      </c>
      <c r="J76" s="205" t="s">
        <v>332</v>
      </c>
      <c r="K76" s="208" t="str">
        <f>IF(Errors!$I76=0,SourceData!$B$42,VLOOKUP(Errors!$I76,SourceData!$A$2:$B$40,2,FALSE))</f>
        <v>GP doesn't wait for 3 seconds after the card change which causes card not scanned/cards scanned in wrong order</v>
      </c>
      <c r="L76" s="207"/>
      <c r="M76" s="209"/>
      <c r="N76" s="212" t="s">
        <v>310</v>
      </c>
      <c r="O76" s="226" t="s">
        <v>310</v>
      </c>
      <c r="P76" s="212" t="s">
        <v>310</v>
      </c>
      <c r="Q76" s="212" t="s">
        <v>310</v>
      </c>
      <c r="R76" s="204" t="s">
        <v>378</v>
      </c>
      <c r="S76" s="204" t="s">
        <v>470</v>
      </c>
      <c r="T76" s="204" t="s">
        <v>403</v>
      </c>
      <c r="U76" s="199"/>
      <c r="V76" s="200"/>
      <c r="W76" s="200"/>
      <c r="X76" s="200"/>
      <c r="Y76" s="200"/>
      <c r="Z76" s="200"/>
      <c r="AA76" s="201"/>
      <c r="AB76" s="200"/>
      <c r="AC76" s="200"/>
    </row>
    <row r="77" ht="15.0" customHeight="1">
      <c r="A77" s="210">
        <f t="shared" si="1"/>
        <v>75</v>
      </c>
      <c r="B77" s="204" t="s">
        <v>363</v>
      </c>
      <c r="C77" s="217" t="str">
        <f>IFERROR(VLOOKUP(B77, SourceData!$U$3:$V$190, 2, FALSE), "")</f>
        <v>Bubbles</v>
      </c>
      <c r="D77" s="205" t="s">
        <v>523</v>
      </c>
      <c r="E77" s="206">
        <v>0.9930555555555556</v>
      </c>
      <c r="F77" s="204" t="s">
        <v>376</v>
      </c>
      <c r="G77" s="207"/>
      <c r="H77" s="205" t="s">
        <v>552</v>
      </c>
      <c r="I77" s="205" t="s">
        <v>132</v>
      </c>
      <c r="J77" s="205" t="s">
        <v>308</v>
      </c>
      <c r="K77" s="208" t="str">
        <f>IF(Errors!$I77=0,SourceData!$B$42,VLOOKUP(Errors!$I77,SourceData!$A$2:$B$40,2,FALSE))</f>
        <v>Ball falls out of the wheel </v>
      </c>
      <c r="L77" s="207"/>
      <c r="M77" s="209"/>
      <c r="N77" s="218" t="s">
        <v>309</v>
      </c>
      <c r="O77" s="218" t="s">
        <v>309</v>
      </c>
      <c r="P77" s="205" t="s">
        <v>310</v>
      </c>
      <c r="Q77" s="205" t="s">
        <v>310</v>
      </c>
      <c r="R77" s="204" t="s">
        <v>361</v>
      </c>
      <c r="S77" s="204" t="s">
        <v>362</v>
      </c>
      <c r="T77" s="204" t="s">
        <v>438</v>
      </c>
      <c r="U77" s="199"/>
      <c r="V77" s="200"/>
      <c r="W77" s="200"/>
      <c r="X77" s="200"/>
      <c r="Y77" s="200"/>
      <c r="Z77" s="200"/>
      <c r="AA77" s="201"/>
      <c r="AB77" s="200"/>
      <c r="AC77" s="200"/>
    </row>
    <row r="78" ht="15.0" customHeight="1">
      <c r="A78" s="210">
        <f t="shared" si="1"/>
        <v>76</v>
      </c>
      <c r="B78" s="204" t="s">
        <v>553</v>
      </c>
      <c r="C78" s="217" t="str">
        <f>IFERROR(VLOOKUP(B78, SourceData!$U$3:$V$190, 2, FALSE), "")</f>
        <v>Wednesday</v>
      </c>
      <c r="D78" s="205" t="s">
        <v>554</v>
      </c>
      <c r="E78" s="206">
        <v>0.06111111111111111</v>
      </c>
      <c r="F78" s="204" t="s">
        <v>376</v>
      </c>
      <c r="G78" s="227"/>
      <c r="H78" s="205" t="s">
        <v>555</v>
      </c>
      <c r="I78" s="205" t="s">
        <v>58</v>
      </c>
      <c r="J78" s="205" t="s">
        <v>308</v>
      </c>
      <c r="K78" s="208" t="str">
        <f>IF(Errors!$I78=0,SourceData!$B$42,VLOOKUP(Errors!$I78,SourceData!$A$2:$B$40,2,FALSE))</f>
        <v>Technical error</v>
      </c>
      <c r="L78" s="207"/>
      <c r="M78" s="209"/>
      <c r="N78" s="212" t="s">
        <v>310</v>
      </c>
      <c r="O78" s="226" t="s">
        <v>310</v>
      </c>
      <c r="P78" s="212" t="s">
        <v>310</v>
      </c>
      <c r="Q78" s="212" t="s">
        <v>310</v>
      </c>
      <c r="R78" s="204" t="s">
        <v>361</v>
      </c>
      <c r="S78" s="204" t="s">
        <v>362</v>
      </c>
      <c r="T78" s="204" t="s">
        <v>556</v>
      </c>
      <c r="U78" s="199"/>
      <c r="V78" s="200"/>
      <c r="W78" s="200"/>
      <c r="X78" s="200"/>
      <c r="Y78" s="200"/>
      <c r="Z78" s="200"/>
      <c r="AA78" s="201"/>
      <c r="AB78" s="200"/>
      <c r="AC78" s="200"/>
    </row>
    <row r="79" ht="15.0" customHeight="1">
      <c r="A79" s="210">
        <f t="shared" si="1"/>
        <v>77</v>
      </c>
      <c r="B79" s="204" t="s">
        <v>395</v>
      </c>
      <c r="C79" s="217" t="str">
        <f>IFERROR(VLOOKUP(B79, SourceData!$U$3:$V$190, 2, FALSE), "")</f>
        <v>Joe</v>
      </c>
      <c r="D79" s="205" t="s">
        <v>554</v>
      </c>
      <c r="E79" s="206">
        <v>0.11180555555555556</v>
      </c>
      <c r="F79" s="204" t="s">
        <v>323</v>
      </c>
      <c r="G79" s="207"/>
      <c r="H79" s="205" t="s">
        <v>557</v>
      </c>
      <c r="I79" s="205" t="s">
        <v>116</v>
      </c>
      <c r="J79" s="205" t="s">
        <v>308</v>
      </c>
      <c r="K79" s="208" t="str">
        <f>IF(Errors!$I79=0,SourceData!$B$42,VLOOKUP(Errors!$I79,SourceData!$A$2:$B$40,2,FALSE))</f>
        <v>Ball did not make 4 revolutions</v>
      </c>
      <c r="L79" s="207"/>
      <c r="M79" s="209"/>
      <c r="N79" s="205" t="s">
        <v>309</v>
      </c>
      <c r="O79" s="205" t="s">
        <v>310</v>
      </c>
      <c r="P79" s="205" t="s">
        <v>309</v>
      </c>
      <c r="Q79" s="205" t="s">
        <v>309</v>
      </c>
      <c r="R79" s="204" t="s">
        <v>361</v>
      </c>
      <c r="S79" s="204" t="s">
        <v>503</v>
      </c>
      <c r="T79" s="204" t="s">
        <v>558</v>
      </c>
      <c r="U79" s="199"/>
      <c r="V79" s="200"/>
      <c r="W79" s="200"/>
      <c r="X79" s="200"/>
      <c r="Y79" s="200"/>
      <c r="Z79" s="200"/>
      <c r="AA79" s="201"/>
      <c r="AB79" s="200"/>
      <c r="AC79" s="200"/>
    </row>
    <row r="80" ht="15.0" customHeight="1">
      <c r="A80" s="210">
        <f t="shared" si="1"/>
        <v>78</v>
      </c>
      <c r="B80" s="204" t="s">
        <v>559</v>
      </c>
      <c r="C80" s="217" t="str">
        <f>IFERROR(VLOOKUP(B80, SourceData!$U$3:$V$190, 2, FALSE), "")</f>
        <v>Katie</v>
      </c>
      <c r="D80" s="205" t="s">
        <v>554</v>
      </c>
      <c r="E80" s="206">
        <v>0.11527777777777778</v>
      </c>
      <c r="F80" s="204" t="s">
        <v>396</v>
      </c>
      <c r="G80" s="207"/>
      <c r="H80" s="205" t="s">
        <v>560</v>
      </c>
      <c r="I80" s="205" t="s">
        <v>56</v>
      </c>
      <c r="J80" s="205" t="s">
        <v>332</v>
      </c>
      <c r="K80" s="208" t="str">
        <f>IF(Errors!$I80=0,SourceData!$B$42,VLOOKUP(Errors!$I80,SourceData!$A$2:$B$40,2,FALSE))</f>
        <v>Interface error</v>
      </c>
      <c r="L80" s="207"/>
      <c r="M80" s="209"/>
      <c r="N80" s="212" t="s">
        <v>310</v>
      </c>
      <c r="O80" s="226" t="s">
        <v>310</v>
      </c>
      <c r="P80" s="212" t="s">
        <v>310</v>
      </c>
      <c r="Q80" s="212" t="s">
        <v>310</v>
      </c>
      <c r="R80" s="204" t="s">
        <v>361</v>
      </c>
      <c r="S80" s="204" t="s">
        <v>362</v>
      </c>
      <c r="T80" s="204" t="s">
        <v>561</v>
      </c>
      <c r="U80" s="199"/>
      <c r="V80" s="200"/>
      <c r="W80" s="200"/>
      <c r="X80" s="200"/>
      <c r="Y80" s="200"/>
      <c r="Z80" s="200"/>
      <c r="AA80" s="201"/>
      <c r="AB80" s="200"/>
      <c r="AC80" s="200"/>
    </row>
    <row r="81" ht="15.0" customHeight="1">
      <c r="A81" s="210">
        <f t="shared" si="1"/>
        <v>79</v>
      </c>
      <c r="B81" s="204" t="s">
        <v>562</v>
      </c>
      <c r="C81" s="217" t="str">
        <f>IFERROR(VLOOKUP(B81, SourceData!$U$3:$V$190, 2, FALSE), "")</f>
        <v>Lucky</v>
      </c>
      <c r="D81" s="205" t="s">
        <v>554</v>
      </c>
      <c r="E81" s="206">
        <v>0.2652777777777778</v>
      </c>
      <c r="F81" s="204" t="s">
        <v>352</v>
      </c>
      <c r="G81" s="215" t="s">
        <v>563</v>
      </c>
      <c r="H81" s="205" t="s">
        <v>564</v>
      </c>
      <c r="I81" s="205" t="s">
        <v>56</v>
      </c>
      <c r="J81" s="205" t="s">
        <v>332</v>
      </c>
      <c r="K81" s="208" t="str">
        <f>IF(Errors!$I81=0,SourceData!$B$42,VLOOKUP(Errors!$I81,SourceData!$A$2:$B$40,2,FALSE))</f>
        <v>Interface error</v>
      </c>
      <c r="L81" s="207"/>
      <c r="M81" s="209"/>
      <c r="N81" s="212" t="s">
        <v>310</v>
      </c>
      <c r="O81" s="226" t="s">
        <v>310</v>
      </c>
      <c r="P81" s="212" t="s">
        <v>310</v>
      </c>
      <c r="Q81" s="212" t="s">
        <v>310</v>
      </c>
      <c r="R81" s="204" t="s">
        <v>361</v>
      </c>
      <c r="S81" s="204" t="s">
        <v>362</v>
      </c>
      <c r="T81" s="204" t="s">
        <v>565</v>
      </c>
      <c r="U81" s="199"/>
      <c r="V81" s="200"/>
      <c r="W81" s="200"/>
      <c r="X81" s="200"/>
      <c r="Y81" s="200"/>
      <c r="Z81" s="200"/>
      <c r="AA81" s="201"/>
      <c r="AB81" s="200"/>
      <c r="AC81" s="200"/>
    </row>
    <row r="82" ht="15.0" customHeight="1">
      <c r="A82" s="210">
        <f t="shared" si="1"/>
        <v>80</v>
      </c>
      <c r="B82" s="204" t="s">
        <v>445</v>
      </c>
      <c r="C82" s="217" t="str">
        <f>IFERROR(VLOOKUP(B82, SourceData!$U$3:$V$190, 2, FALSE), "")</f>
        <v>Jade</v>
      </c>
      <c r="D82" s="205" t="s">
        <v>554</v>
      </c>
      <c r="E82" s="206">
        <v>0.3527777777777778</v>
      </c>
      <c r="F82" s="204" t="s">
        <v>396</v>
      </c>
      <c r="G82" s="215" t="s">
        <v>566</v>
      </c>
      <c r="H82" s="205" t="s">
        <v>567</v>
      </c>
      <c r="I82" s="205" t="s">
        <v>56</v>
      </c>
      <c r="J82" s="205" t="s">
        <v>332</v>
      </c>
      <c r="K82" s="208" t="str">
        <f>IF(Errors!$I82=0,SourceData!$B$42,VLOOKUP(Errors!$I82,SourceData!$A$2:$B$40,2,FALSE))</f>
        <v>Interface error</v>
      </c>
      <c r="L82" s="207"/>
      <c r="M82" s="205" t="s">
        <v>338</v>
      </c>
      <c r="N82" s="212" t="s">
        <v>310</v>
      </c>
      <c r="O82" s="226" t="s">
        <v>310</v>
      </c>
      <c r="P82" s="212" t="s">
        <v>310</v>
      </c>
      <c r="Q82" s="212" t="s">
        <v>310</v>
      </c>
      <c r="R82" s="204" t="s">
        <v>413</v>
      </c>
      <c r="S82" s="204" t="s">
        <v>452</v>
      </c>
      <c r="T82" s="204" t="s">
        <v>568</v>
      </c>
      <c r="U82" s="199"/>
      <c r="V82" s="200"/>
      <c r="W82" s="200"/>
      <c r="X82" s="200"/>
      <c r="Y82" s="200"/>
      <c r="Z82" s="200"/>
      <c r="AA82" s="201"/>
      <c r="AB82" s="200"/>
      <c r="AC82" s="200"/>
    </row>
    <row r="83" ht="15.0" customHeight="1">
      <c r="A83" s="210">
        <f t="shared" si="1"/>
        <v>81</v>
      </c>
      <c r="B83" s="204" t="s">
        <v>569</v>
      </c>
      <c r="C83" s="217" t="str">
        <f>IFERROR(VLOOKUP(B83, SourceData!$U$3:$V$190, 2, FALSE), "")</f>
        <v>Nana</v>
      </c>
      <c r="D83" s="205" t="s">
        <v>554</v>
      </c>
      <c r="E83" s="206">
        <v>0.7208333333333333</v>
      </c>
      <c r="F83" s="204" t="s">
        <v>352</v>
      </c>
      <c r="G83" s="215" t="s">
        <v>570</v>
      </c>
      <c r="H83" s="205" t="s">
        <v>571</v>
      </c>
      <c r="I83" s="205" t="s">
        <v>150</v>
      </c>
      <c r="J83" s="205" t="s">
        <v>332</v>
      </c>
      <c r="K83" s="208" t="str">
        <f>IF(Errors!$I83=0,SourceData!$B$42,VLOOKUP(Errors!$I83,SourceData!$A$2:$B$40,2,FALSE))</f>
        <v>Dealer drops cards in shoe/table while changing cards. </v>
      </c>
      <c r="L83" s="207"/>
      <c r="M83" s="209"/>
      <c r="N83" s="209" t="s">
        <v>310</v>
      </c>
      <c r="O83" s="216" t="s">
        <v>310</v>
      </c>
      <c r="P83" s="209" t="s">
        <v>310</v>
      </c>
      <c r="Q83" s="209" t="s">
        <v>310</v>
      </c>
      <c r="R83" s="204" t="s">
        <v>378</v>
      </c>
      <c r="S83" s="204" t="s">
        <v>367</v>
      </c>
      <c r="T83" s="204" t="s">
        <v>572</v>
      </c>
      <c r="U83" s="199"/>
      <c r="V83" s="200"/>
      <c r="W83" s="200"/>
      <c r="X83" s="200"/>
      <c r="Y83" s="200"/>
      <c r="Z83" s="200"/>
      <c r="AA83" s="201"/>
      <c r="AB83" s="200"/>
      <c r="AC83" s="200"/>
    </row>
    <row r="84" ht="15.0" customHeight="1">
      <c r="A84" s="210">
        <f t="shared" si="1"/>
        <v>82</v>
      </c>
      <c r="B84" s="204" t="s">
        <v>334</v>
      </c>
      <c r="C84" s="217" t="str">
        <f>IFERROR(VLOOKUP(B84, SourceData!$U$3:$V$190, 2, FALSE), "")</f>
        <v>Veronika</v>
      </c>
      <c r="D84" s="205" t="s">
        <v>573</v>
      </c>
      <c r="E84" s="206">
        <v>0.13055555555555556</v>
      </c>
      <c r="F84" s="204" t="s">
        <v>306</v>
      </c>
      <c r="G84" s="207"/>
      <c r="H84" s="205" t="s">
        <v>574</v>
      </c>
      <c r="I84" s="205" t="s">
        <v>132</v>
      </c>
      <c r="J84" s="205" t="s">
        <v>308</v>
      </c>
      <c r="K84" s="208" t="str">
        <f>IF(Errors!$I84=0,SourceData!$B$42,VLOOKUP(Errors!$I84,SourceData!$A$2:$B$40,2,FALSE))</f>
        <v>Ball falls out of the wheel </v>
      </c>
      <c r="L84" s="207"/>
      <c r="M84" s="209"/>
      <c r="N84" s="205" t="s">
        <v>309</v>
      </c>
      <c r="O84" s="205" t="s">
        <v>309</v>
      </c>
      <c r="P84" s="205" t="s">
        <v>310</v>
      </c>
      <c r="Q84" s="205" t="s">
        <v>310</v>
      </c>
      <c r="R84" s="204" t="s">
        <v>361</v>
      </c>
      <c r="S84" s="204" t="s">
        <v>427</v>
      </c>
      <c r="T84" s="204" t="s">
        <v>438</v>
      </c>
      <c r="U84" s="199"/>
      <c r="V84" s="200"/>
      <c r="W84" s="200"/>
      <c r="X84" s="200"/>
      <c r="Y84" s="200"/>
      <c r="Z84" s="200"/>
      <c r="AA84" s="201"/>
      <c r="AB84" s="200"/>
      <c r="AC84" s="200"/>
    </row>
    <row r="85" ht="15.0" customHeight="1">
      <c r="A85" s="210">
        <f t="shared" si="1"/>
        <v>83</v>
      </c>
      <c r="B85" s="204" t="s">
        <v>575</v>
      </c>
      <c r="C85" s="204" t="s">
        <v>576</v>
      </c>
      <c r="D85" s="205" t="s">
        <v>573</v>
      </c>
      <c r="E85" s="206">
        <v>0.20208333333333334</v>
      </c>
      <c r="F85" s="204" t="s">
        <v>306</v>
      </c>
      <c r="G85" s="207"/>
      <c r="H85" s="205" t="s">
        <v>577</v>
      </c>
      <c r="I85" s="205" t="s">
        <v>120</v>
      </c>
      <c r="J85" s="205" t="s">
        <v>308</v>
      </c>
      <c r="K85" s="208" t="str">
        <f>IF(Errors!$I85=0,SourceData!$B$42,VLOOKUP(Errors!$I85,SourceData!$A$2:$B$40,2,FALSE))</f>
        <v>Drop ball</v>
      </c>
      <c r="L85" s="207"/>
      <c r="M85" s="209"/>
      <c r="N85" s="205" t="s">
        <v>309</v>
      </c>
      <c r="O85" s="205" t="s">
        <v>309</v>
      </c>
      <c r="P85" s="205" t="s">
        <v>310</v>
      </c>
      <c r="Q85" s="205" t="s">
        <v>310</v>
      </c>
      <c r="R85" s="204" t="s">
        <v>361</v>
      </c>
      <c r="S85" s="204" t="s">
        <v>389</v>
      </c>
      <c r="T85" s="204" t="s">
        <v>438</v>
      </c>
      <c r="U85" s="199"/>
      <c r="V85" s="200"/>
      <c r="W85" s="200"/>
      <c r="X85" s="200"/>
      <c r="Y85" s="200"/>
      <c r="Z85" s="200"/>
      <c r="AA85" s="201"/>
      <c r="AB85" s="200"/>
      <c r="AC85" s="200"/>
    </row>
    <row r="86" ht="15.0" customHeight="1">
      <c r="A86" s="210">
        <f t="shared" si="1"/>
        <v>84</v>
      </c>
      <c r="B86" s="204" t="s">
        <v>578</v>
      </c>
      <c r="C86" s="217" t="str">
        <f>IFERROR(VLOOKUP(B86, SourceData!$U$3:$V$190, 2, FALSE), "")</f>
        <v>Akane</v>
      </c>
      <c r="D86" s="205" t="s">
        <v>573</v>
      </c>
      <c r="E86" s="206">
        <v>0.3576388888888889</v>
      </c>
      <c r="F86" s="204" t="s">
        <v>400</v>
      </c>
      <c r="G86" s="215" t="s">
        <v>579</v>
      </c>
      <c r="H86" s="215" t="s">
        <v>580</v>
      </c>
      <c r="I86" s="205" t="s">
        <v>56</v>
      </c>
      <c r="J86" s="205" t="s">
        <v>332</v>
      </c>
      <c r="K86" s="208" t="str">
        <f>IF(Errors!$I86=0,SourceData!$B$42,VLOOKUP(Errors!$I86,SourceData!$A$2:$B$40,2,FALSE))</f>
        <v>Interface error</v>
      </c>
      <c r="L86" s="207"/>
      <c r="M86" s="205" t="s">
        <v>338</v>
      </c>
      <c r="N86" s="212" t="s">
        <v>310</v>
      </c>
      <c r="O86" s="226" t="s">
        <v>310</v>
      </c>
      <c r="P86" s="212" t="s">
        <v>310</v>
      </c>
      <c r="Q86" s="212" t="s">
        <v>310</v>
      </c>
      <c r="R86" s="204" t="s">
        <v>518</v>
      </c>
      <c r="S86" s="204" t="s">
        <v>581</v>
      </c>
      <c r="T86" s="204" t="s">
        <v>568</v>
      </c>
      <c r="U86" s="199"/>
      <c r="V86" s="200"/>
      <c r="W86" s="200"/>
      <c r="X86" s="200"/>
      <c r="Y86" s="200"/>
      <c r="Z86" s="200"/>
      <c r="AA86" s="201"/>
      <c r="AB86" s="200"/>
      <c r="AC86" s="200"/>
    </row>
    <row r="87" ht="15.0" customHeight="1">
      <c r="A87" s="210">
        <f t="shared" si="1"/>
        <v>85</v>
      </c>
      <c r="B87" s="204" t="s">
        <v>582</v>
      </c>
      <c r="C87" s="217" t="str">
        <f>IFERROR(VLOOKUP(B87, SourceData!$U$3:$V$190, 2, FALSE), "")</f>
        <v>Ada</v>
      </c>
      <c r="D87" s="205" t="s">
        <v>573</v>
      </c>
      <c r="E87" s="206">
        <v>0.3993055555555556</v>
      </c>
      <c r="F87" s="204" t="s">
        <v>329</v>
      </c>
      <c r="G87" s="215" t="s">
        <v>583</v>
      </c>
      <c r="H87" s="205" t="s">
        <v>584</v>
      </c>
      <c r="I87" s="205" t="s">
        <v>139</v>
      </c>
      <c r="J87" s="205" t="s">
        <v>332</v>
      </c>
      <c r="K87" s="208" t="str">
        <f>IF(Errors!$I87=0,SourceData!$B$42,VLOOKUP(Errors!$I87,SourceData!$A$2:$B$40,2,FALSE))</f>
        <v>GP doesn't wait for 3 seconds after the card change which causes card not scanned/cards scanned in wrong order</v>
      </c>
      <c r="L87" s="207"/>
      <c r="M87" s="209"/>
      <c r="N87" s="212" t="s">
        <v>310</v>
      </c>
      <c r="O87" s="226" t="s">
        <v>310</v>
      </c>
      <c r="P87" s="212" t="s">
        <v>310</v>
      </c>
      <c r="Q87" s="212" t="s">
        <v>310</v>
      </c>
      <c r="R87" s="204" t="s">
        <v>518</v>
      </c>
      <c r="S87" s="204" t="s">
        <v>581</v>
      </c>
      <c r="T87" s="204" t="s">
        <v>403</v>
      </c>
      <c r="U87" s="199"/>
      <c r="V87" s="200"/>
      <c r="W87" s="200"/>
      <c r="X87" s="200"/>
      <c r="Y87" s="200"/>
      <c r="Z87" s="200"/>
      <c r="AA87" s="201"/>
      <c r="AB87" s="200"/>
      <c r="AC87" s="200"/>
    </row>
    <row r="88" ht="15.0" customHeight="1">
      <c r="A88" s="210">
        <f t="shared" si="1"/>
        <v>86</v>
      </c>
      <c r="B88" s="204" t="s">
        <v>585</v>
      </c>
      <c r="C88" s="217" t="str">
        <f>IFERROR(VLOOKUP(B88, SourceData!$U$3:$V$190, 2, FALSE), "")</f>
        <v>Nick</v>
      </c>
      <c r="D88" s="205" t="s">
        <v>573</v>
      </c>
      <c r="E88" s="206">
        <v>0.42430555555555555</v>
      </c>
      <c r="F88" s="204" t="s">
        <v>396</v>
      </c>
      <c r="G88" s="215" t="s">
        <v>586</v>
      </c>
      <c r="H88" s="205" t="s">
        <v>587</v>
      </c>
      <c r="I88" s="205" t="s">
        <v>56</v>
      </c>
      <c r="J88" s="205" t="s">
        <v>332</v>
      </c>
      <c r="K88" s="208" t="str">
        <f>IF(Errors!$I88=0,SourceData!$B$42,VLOOKUP(Errors!$I88,SourceData!$A$2:$B$40,2,FALSE))</f>
        <v>Interface error</v>
      </c>
      <c r="L88" s="207"/>
      <c r="M88" s="205" t="s">
        <v>338</v>
      </c>
      <c r="N88" s="205" t="s">
        <v>309</v>
      </c>
      <c r="O88" s="226" t="s">
        <v>309</v>
      </c>
      <c r="P88" s="212" t="s">
        <v>310</v>
      </c>
      <c r="Q88" s="212" t="s">
        <v>310</v>
      </c>
      <c r="R88" s="204" t="s">
        <v>518</v>
      </c>
      <c r="S88" s="204" t="s">
        <v>312</v>
      </c>
      <c r="T88" s="204" t="s">
        <v>588</v>
      </c>
      <c r="U88" s="199"/>
      <c r="V88" s="200"/>
      <c r="W88" s="200"/>
      <c r="X88" s="200"/>
      <c r="Y88" s="200"/>
      <c r="Z88" s="200"/>
      <c r="AA88" s="201"/>
      <c r="AB88" s="200"/>
      <c r="AC88" s="200"/>
    </row>
    <row r="89" ht="15.0" customHeight="1">
      <c r="A89" s="222">
        <f t="shared" si="1"/>
        <v>87</v>
      </c>
      <c r="B89" s="204" t="s">
        <v>510</v>
      </c>
      <c r="C89" s="217" t="str">
        <f>IFERROR(VLOOKUP(B89, SourceData!$U$3:$V$190, 2, FALSE), "")</f>
        <v>Sapphire</v>
      </c>
      <c r="D89" s="205" t="s">
        <v>573</v>
      </c>
      <c r="E89" s="206">
        <v>0.42430555555555555</v>
      </c>
      <c r="F89" s="204" t="s">
        <v>323</v>
      </c>
      <c r="G89" s="207"/>
      <c r="H89" s="205" t="s">
        <v>589</v>
      </c>
      <c r="I89" s="205" t="s">
        <v>120</v>
      </c>
      <c r="J89" s="205" t="s">
        <v>308</v>
      </c>
      <c r="K89" s="208" t="str">
        <f>IF(Errors!$I89=0,SourceData!$B$42,VLOOKUP(Errors!$I89,SourceData!$A$2:$B$40,2,FALSE))</f>
        <v>Drop ball</v>
      </c>
      <c r="L89" s="207"/>
      <c r="M89" s="209"/>
      <c r="N89" s="205" t="s">
        <v>309</v>
      </c>
      <c r="O89" s="205" t="s">
        <v>309</v>
      </c>
      <c r="P89" s="205" t="s">
        <v>310</v>
      </c>
      <c r="Q89" s="205" t="s">
        <v>310</v>
      </c>
      <c r="R89" s="204" t="s">
        <v>518</v>
      </c>
      <c r="S89" s="204" t="s">
        <v>312</v>
      </c>
      <c r="T89" s="204" t="s">
        <v>438</v>
      </c>
      <c r="U89" s="199"/>
      <c r="V89" s="200"/>
      <c r="W89" s="200"/>
      <c r="X89" s="200"/>
      <c r="Y89" s="200"/>
      <c r="Z89" s="200"/>
      <c r="AA89" s="201"/>
      <c r="AB89" s="200"/>
      <c r="AC89" s="200"/>
    </row>
    <row r="90" ht="15.0" customHeight="1">
      <c r="A90" s="210">
        <f t="shared" si="1"/>
        <v>88</v>
      </c>
      <c r="B90" s="204" t="s">
        <v>510</v>
      </c>
      <c r="C90" s="217" t="str">
        <f>IFERROR(VLOOKUP(B90, SourceData!$U$3:$V$190, 2, FALSE), "")</f>
        <v>Sapphire</v>
      </c>
      <c r="D90" s="205" t="s">
        <v>573</v>
      </c>
      <c r="E90" s="206">
        <v>0.45416666666666666</v>
      </c>
      <c r="F90" s="204" t="s">
        <v>396</v>
      </c>
      <c r="G90" s="215" t="s">
        <v>590</v>
      </c>
      <c r="H90" s="205" t="s">
        <v>591</v>
      </c>
      <c r="I90" s="205" t="s">
        <v>56</v>
      </c>
      <c r="J90" s="205" t="s">
        <v>332</v>
      </c>
      <c r="K90" s="208" t="str">
        <f>IF(Errors!$I90=0,SourceData!$B$42,VLOOKUP(Errors!$I90,SourceData!$A$2:$B$40,2,FALSE))</f>
        <v>Interface error</v>
      </c>
      <c r="L90" s="207"/>
      <c r="M90" s="205" t="s">
        <v>338</v>
      </c>
      <c r="N90" s="212" t="s">
        <v>310</v>
      </c>
      <c r="O90" s="226" t="s">
        <v>310</v>
      </c>
      <c r="P90" s="212" t="s">
        <v>310</v>
      </c>
      <c r="Q90" s="212" t="s">
        <v>310</v>
      </c>
      <c r="R90" s="204" t="s">
        <v>518</v>
      </c>
      <c r="S90" s="204" t="s">
        <v>312</v>
      </c>
      <c r="T90" s="204" t="s">
        <v>592</v>
      </c>
      <c r="U90" s="199"/>
      <c r="V90" s="200"/>
      <c r="W90" s="200"/>
      <c r="X90" s="200"/>
      <c r="Y90" s="200"/>
      <c r="Z90" s="200"/>
      <c r="AA90" s="201"/>
      <c r="AB90" s="200"/>
      <c r="AC90" s="200"/>
    </row>
    <row r="91" ht="15.0" customHeight="1">
      <c r="A91" s="210">
        <f t="shared" si="1"/>
        <v>89</v>
      </c>
      <c r="B91" s="204" t="s">
        <v>593</v>
      </c>
      <c r="C91" s="217" t="str">
        <f>IFERROR(VLOOKUP(B91, SourceData!$U$3:$V$190, 2, FALSE), "")</f>
        <v>Lilith</v>
      </c>
      <c r="D91" s="205" t="s">
        <v>573</v>
      </c>
      <c r="E91" s="206">
        <v>0.5340277777777778</v>
      </c>
      <c r="F91" s="204" t="s">
        <v>396</v>
      </c>
      <c r="G91" s="215" t="s">
        <v>594</v>
      </c>
      <c r="H91" s="205" t="s">
        <v>595</v>
      </c>
      <c r="I91" s="205" t="s">
        <v>122</v>
      </c>
      <c r="J91" s="205" t="s">
        <v>332</v>
      </c>
      <c r="K91" s="208" t="str">
        <f>IF(Errors!$I91=0,SourceData!$B$42,VLOOKUP(Errors!$I91,SourceData!$A$2:$B$40,2,FALSE))</f>
        <v>Burn card(s) exposed/too many cards burned - during burn procedure (during card change procedure)</v>
      </c>
      <c r="L91" s="207"/>
      <c r="M91" s="209"/>
      <c r="N91" s="212" t="s">
        <v>310</v>
      </c>
      <c r="O91" s="226" t="s">
        <v>310</v>
      </c>
      <c r="P91" s="212" t="s">
        <v>310</v>
      </c>
      <c r="Q91" s="212" t="s">
        <v>310</v>
      </c>
      <c r="R91" s="204" t="s">
        <v>518</v>
      </c>
      <c r="S91" s="204" t="s">
        <v>312</v>
      </c>
      <c r="T91" s="204" t="s">
        <v>548</v>
      </c>
      <c r="U91" s="199"/>
      <c r="V91" s="200"/>
      <c r="W91" s="200"/>
      <c r="X91" s="200"/>
      <c r="Y91" s="200"/>
      <c r="Z91" s="200"/>
      <c r="AA91" s="201"/>
      <c r="AB91" s="200"/>
      <c r="AC91" s="200"/>
    </row>
    <row r="92" ht="15.0" customHeight="1">
      <c r="A92" s="210">
        <f t="shared" si="1"/>
        <v>90</v>
      </c>
      <c r="B92" s="204" t="s">
        <v>355</v>
      </c>
      <c r="C92" s="217" t="str">
        <f>IFERROR(VLOOKUP(B92, SourceData!$U$3:$V$190, 2, FALSE), "")</f>
        <v>Mira</v>
      </c>
      <c r="D92" s="205" t="s">
        <v>573</v>
      </c>
      <c r="E92" s="206">
        <v>0.6888888888888889</v>
      </c>
      <c r="F92" s="204" t="s">
        <v>376</v>
      </c>
      <c r="G92" s="215"/>
      <c r="H92" s="205" t="s">
        <v>596</v>
      </c>
      <c r="I92" s="205" t="s">
        <v>120</v>
      </c>
      <c r="J92" s="205" t="s">
        <v>308</v>
      </c>
      <c r="K92" s="208" t="str">
        <f>IF(Errors!$I92=0,SourceData!$B$42,VLOOKUP(Errors!$I92,SourceData!$A$2:$B$40,2,FALSE))</f>
        <v>Drop ball</v>
      </c>
      <c r="L92" s="207"/>
      <c r="M92" s="209"/>
      <c r="N92" s="205" t="s">
        <v>309</v>
      </c>
      <c r="O92" s="205" t="s">
        <v>309</v>
      </c>
      <c r="P92" s="205" t="s">
        <v>310</v>
      </c>
      <c r="Q92" s="205" t="s">
        <v>310</v>
      </c>
      <c r="R92" s="204" t="s">
        <v>462</v>
      </c>
      <c r="S92" s="204" t="s">
        <v>367</v>
      </c>
      <c r="T92" s="204" t="s">
        <v>438</v>
      </c>
      <c r="U92" s="199"/>
      <c r="V92" s="200"/>
      <c r="W92" s="200"/>
      <c r="X92" s="200"/>
      <c r="Y92" s="200"/>
      <c r="Z92" s="200"/>
      <c r="AA92" s="201"/>
      <c r="AB92" s="200"/>
      <c r="AC92" s="200"/>
    </row>
    <row r="93" ht="15.0" customHeight="1">
      <c r="A93" s="228">
        <f t="shared" si="1"/>
        <v>91</v>
      </c>
      <c r="B93" s="204" t="s">
        <v>569</v>
      </c>
      <c r="C93" s="217" t="str">
        <f>IFERROR(VLOOKUP(B93, SourceData!$U$3:$V$190, 2, FALSE), "")</f>
        <v>Nana</v>
      </c>
      <c r="D93" s="205" t="s">
        <v>573</v>
      </c>
      <c r="E93" s="206">
        <v>0.6993055555555555</v>
      </c>
      <c r="F93" s="204" t="s">
        <v>306</v>
      </c>
      <c r="G93" s="207"/>
      <c r="H93" s="205" t="s">
        <v>597</v>
      </c>
      <c r="I93" s="205" t="s">
        <v>132</v>
      </c>
      <c r="J93" s="205" t="s">
        <v>308</v>
      </c>
      <c r="K93" s="208" t="str">
        <f>IF(Errors!$I93=0,SourceData!$B$42,VLOOKUP(Errors!$I93,SourceData!$A$2:$B$40,2,FALSE))</f>
        <v>Ball falls out of the wheel </v>
      </c>
      <c r="L93" s="207"/>
      <c r="M93" s="209"/>
      <c r="N93" s="205" t="s">
        <v>309</v>
      </c>
      <c r="O93" s="205" t="s">
        <v>309</v>
      </c>
      <c r="P93" s="205" t="s">
        <v>310</v>
      </c>
      <c r="Q93" s="205" t="s">
        <v>310</v>
      </c>
      <c r="R93" s="204" t="s">
        <v>462</v>
      </c>
      <c r="S93" s="204" t="s">
        <v>367</v>
      </c>
      <c r="T93" s="204" t="s">
        <v>438</v>
      </c>
      <c r="U93" s="229"/>
      <c r="V93" s="230"/>
      <c r="W93" s="230"/>
      <c r="X93" s="230"/>
      <c r="Y93" s="230"/>
      <c r="Z93" s="230"/>
      <c r="AA93" s="231"/>
      <c r="AB93" s="230"/>
      <c r="AC93" s="230"/>
    </row>
    <row r="94" ht="15.0" customHeight="1">
      <c r="A94" s="210">
        <f t="shared" si="1"/>
        <v>92</v>
      </c>
      <c r="B94" s="204" t="s">
        <v>314</v>
      </c>
      <c r="C94" s="217" t="str">
        <f>IFERROR(VLOOKUP(B94, SourceData!$U$3:$V$190, 2, FALSE), "")</f>
        <v>Dana</v>
      </c>
      <c r="D94" s="205" t="s">
        <v>573</v>
      </c>
      <c r="E94" s="206">
        <v>0.7215277777777778</v>
      </c>
      <c r="F94" s="204" t="s">
        <v>376</v>
      </c>
      <c r="G94" s="207"/>
      <c r="H94" s="205" t="s">
        <v>598</v>
      </c>
      <c r="I94" s="205" t="s">
        <v>132</v>
      </c>
      <c r="J94" s="205" t="s">
        <v>308</v>
      </c>
      <c r="K94" s="208" t="str">
        <f>IF(Errors!$I94=0,SourceData!$B$42,VLOOKUP(Errors!$I94,SourceData!$A$2:$B$40,2,FALSE))</f>
        <v>Ball falls out of the wheel </v>
      </c>
      <c r="L94" s="207"/>
      <c r="M94" s="209"/>
      <c r="N94" s="205" t="s">
        <v>309</v>
      </c>
      <c r="O94" s="205" t="s">
        <v>309</v>
      </c>
      <c r="P94" s="205" t="s">
        <v>310</v>
      </c>
      <c r="Q94" s="205" t="s">
        <v>310</v>
      </c>
      <c r="R94" s="204" t="s">
        <v>462</v>
      </c>
      <c r="S94" s="204" t="s">
        <v>367</v>
      </c>
      <c r="T94" s="204" t="s">
        <v>438</v>
      </c>
      <c r="U94" s="199"/>
      <c r="V94" s="200"/>
      <c r="W94" s="200"/>
      <c r="X94" s="200"/>
      <c r="Y94" s="200"/>
      <c r="Z94" s="200"/>
      <c r="AA94" s="201"/>
      <c r="AB94" s="200"/>
      <c r="AC94" s="200"/>
    </row>
    <row r="95" ht="15.0" customHeight="1">
      <c r="A95" s="210">
        <f t="shared" si="1"/>
        <v>93</v>
      </c>
      <c r="B95" s="204" t="s">
        <v>569</v>
      </c>
      <c r="C95" s="217" t="str">
        <f>IFERROR(VLOOKUP(B95, SourceData!$U$3:$V$190, 2, FALSE), "")</f>
        <v>Nana</v>
      </c>
      <c r="D95" s="205" t="s">
        <v>573</v>
      </c>
      <c r="E95" s="206">
        <v>0.7548611111111111</v>
      </c>
      <c r="F95" s="204" t="s">
        <v>306</v>
      </c>
      <c r="G95" s="207"/>
      <c r="H95" s="205" t="s">
        <v>599</v>
      </c>
      <c r="I95" s="205" t="s">
        <v>116</v>
      </c>
      <c r="J95" s="205" t="s">
        <v>308</v>
      </c>
      <c r="K95" s="208" t="str">
        <f>IF(Errors!$I95=0,SourceData!$B$42,VLOOKUP(Errors!$I95,SourceData!$A$2:$B$40,2,FALSE))</f>
        <v>Ball did not make 4 revolutions</v>
      </c>
      <c r="L95" s="207"/>
      <c r="M95" s="209"/>
      <c r="N95" s="205" t="s">
        <v>309</v>
      </c>
      <c r="O95" s="205" t="s">
        <v>309</v>
      </c>
      <c r="P95" s="205" t="s">
        <v>310</v>
      </c>
      <c r="Q95" s="205" t="s">
        <v>310</v>
      </c>
      <c r="R95" s="204" t="s">
        <v>462</v>
      </c>
      <c r="S95" s="204" t="s">
        <v>470</v>
      </c>
      <c r="T95" s="204" t="s">
        <v>438</v>
      </c>
      <c r="U95" s="199"/>
      <c r="V95" s="200"/>
      <c r="W95" s="200"/>
      <c r="X95" s="200"/>
      <c r="Y95" s="200"/>
      <c r="Z95" s="200"/>
      <c r="AA95" s="201"/>
      <c r="AB95" s="200"/>
      <c r="AC95" s="200"/>
    </row>
    <row r="96" ht="15.0" customHeight="1">
      <c r="A96" s="210">
        <f t="shared" si="1"/>
        <v>94</v>
      </c>
      <c r="B96" s="204" t="s">
        <v>593</v>
      </c>
      <c r="C96" s="217" t="str">
        <f>IFERROR(VLOOKUP(B96, SourceData!$U$3:$V$190, 2, FALSE), "")</f>
        <v>Lilith</v>
      </c>
      <c r="D96" s="205" t="s">
        <v>573</v>
      </c>
      <c r="E96" s="206">
        <v>0.5979166666666667</v>
      </c>
      <c r="F96" s="204" t="s">
        <v>396</v>
      </c>
      <c r="G96" s="215" t="s">
        <v>600</v>
      </c>
      <c r="H96" s="205" t="s">
        <v>601</v>
      </c>
      <c r="I96" s="205" t="s">
        <v>56</v>
      </c>
      <c r="J96" s="205" t="s">
        <v>332</v>
      </c>
      <c r="K96" s="208" t="str">
        <f>IF(Errors!$I96=0,SourceData!$B$42,VLOOKUP(Errors!$I96,SourceData!$A$2:$B$40,2,FALSE))</f>
        <v>Interface error</v>
      </c>
      <c r="L96" s="207"/>
      <c r="M96" s="205" t="s">
        <v>338</v>
      </c>
      <c r="N96" s="205" t="s">
        <v>309</v>
      </c>
      <c r="O96" s="205" t="s">
        <v>309</v>
      </c>
      <c r="P96" s="205" t="s">
        <v>310</v>
      </c>
      <c r="Q96" s="205" t="s">
        <v>310</v>
      </c>
      <c r="R96" s="204" t="s">
        <v>462</v>
      </c>
      <c r="S96" s="204" t="s">
        <v>581</v>
      </c>
      <c r="T96" s="204" t="s">
        <v>602</v>
      </c>
      <c r="U96" s="199"/>
      <c r="V96" s="200"/>
      <c r="W96" s="200"/>
      <c r="X96" s="200"/>
      <c r="Y96" s="200"/>
      <c r="Z96" s="200"/>
      <c r="AA96" s="201"/>
      <c r="AB96" s="200"/>
      <c r="AC96" s="200"/>
    </row>
    <row r="97" ht="15.0" customHeight="1">
      <c r="A97" s="210">
        <f t="shared" si="1"/>
        <v>95</v>
      </c>
      <c r="B97" s="204" t="s">
        <v>603</v>
      </c>
      <c r="C97" s="217" t="str">
        <f>IFERROR(VLOOKUP(B97, SourceData!$U$3:$V$190, 2, FALSE), "")</f>
        <v>Nene</v>
      </c>
      <c r="D97" s="205" t="s">
        <v>604</v>
      </c>
      <c r="E97" s="206">
        <v>0.16111111111111112</v>
      </c>
      <c r="F97" s="204" t="s">
        <v>352</v>
      </c>
      <c r="G97" s="215" t="s">
        <v>605</v>
      </c>
      <c r="H97" s="205" t="s">
        <v>606</v>
      </c>
      <c r="I97" s="205" t="s">
        <v>56</v>
      </c>
      <c r="J97" s="205" t="s">
        <v>332</v>
      </c>
      <c r="K97" s="208" t="str">
        <f>IF(Errors!$I97=0,SourceData!$B$42,VLOOKUP(Errors!$I97,SourceData!$A$2:$B$40,2,FALSE))</f>
        <v>Interface error</v>
      </c>
      <c r="L97" s="207"/>
      <c r="M97" s="205" t="s">
        <v>338</v>
      </c>
      <c r="N97" s="212" t="s">
        <v>310</v>
      </c>
      <c r="O97" s="226" t="s">
        <v>310</v>
      </c>
      <c r="P97" s="212" t="s">
        <v>310</v>
      </c>
      <c r="Q97" s="212" t="s">
        <v>310</v>
      </c>
      <c r="R97" s="204" t="s">
        <v>361</v>
      </c>
      <c r="S97" s="204" t="s">
        <v>488</v>
      </c>
      <c r="T97" s="204" t="s">
        <v>607</v>
      </c>
      <c r="U97" s="199"/>
      <c r="V97" s="200"/>
      <c r="W97" s="200"/>
      <c r="X97" s="200"/>
      <c r="Y97" s="200"/>
      <c r="Z97" s="200"/>
      <c r="AA97" s="201"/>
      <c r="AB97" s="200"/>
      <c r="AC97" s="200"/>
    </row>
    <row r="98" ht="15.0" customHeight="1">
      <c r="A98" s="210">
        <f t="shared" si="1"/>
        <v>96</v>
      </c>
      <c r="B98" s="204" t="s">
        <v>468</v>
      </c>
      <c r="C98" s="217" t="str">
        <f>IFERROR(VLOOKUP(B98, SourceData!$U$3:$V$190, 2, FALSE), "")</f>
        <v>Roxy</v>
      </c>
      <c r="D98" s="205" t="s">
        <v>604</v>
      </c>
      <c r="E98" s="206">
        <v>0.2520833333333333</v>
      </c>
      <c r="F98" s="204" t="s">
        <v>352</v>
      </c>
      <c r="G98" s="215" t="s">
        <v>608</v>
      </c>
      <c r="H98" s="205" t="s">
        <v>609</v>
      </c>
      <c r="I98" s="205" t="s">
        <v>122</v>
      </c>
      <c r="J98" s="205" t="s">
        <v>332</v>
      </c>
      <c r="K98" s="208" t="str">
        <f>IF(Errors!$I98=0,SourceData!$B$42,VLOOKUP(Errors!$I98,SourceData!$A$2:$B$40,2,FALSE))</f>
        <v>Burn card(s) exposed/too many cards burned - during burn procedure (during card change procedure)</v>
      </c>
      <c r="L98" s="207"/>
      <c r="M98" s="209"/>
      <c r="N98" s="212" t="s">
        <v>310</v>
      </c>
      <c r="O98" s="226" t="s">
        <v>310</v>
      </c>
      <c r="P98" s="212" t="s">
        <v>310</v>
      </c>
      <c r="Q98" s="212" t="s">
        <v>310</v>
      </c>
      <c r="R98" s="204" t="s">
        <v>361</v>
      </c>
      <c r="S98" s="204" t="s">
        <v>389</v>
      </c>
      <c r="T98" s="204" t="s">
        <v>610</v>
      </c>
      <c r="U98" s="199"/>
      <c r="V98" s="200"/>
      <c r="W98" s="200"/>
      <c r="X98" s="200"/>
      <c r="Y98" s="200"/>
      <c r="Z98" s="200"/>
      <c r="AA98" s="201"/>
      <c r="AB98" s="200"/>
      <c r="AC98" s="200"/>
    </row>
    <row r="99" ht="15.0" customHeight="1">
      <c r="A99" s="210">
        <f t="shared" si="1"/>
        <v>97</v>
      </c>
      <c r="B99" s="204" t="s">
        <v>445</v>
      </c>
      <c r="C99" s="217" t="str">
        <f>IFERROR(VLOOKUP(B99, SourceData!$U$3:$V$190, 2, FALSE), "")</f>
        <v>Jade</v>
      </c>
      <c r="D99" s="205" t="s">
        <v>604</v>
      </c>
      <c r="E99" s="206">
        <v>0.33611111111111114</v>
      </c>
      <c r="F99" s="204" t="s">
        <v>376</v>
      </c>
      <c r="G99" s="207"/>
      <c r="H99" s="205" t="s">
        <v>611</v>
      </c>
      <c r="I99" s="205" t="s">
        <v>58</v>
      </c>
      <c r="J99" s="205" t="s">
        <v>308</v>
      </c>
      <c r="K99" s="208" t="str">
        <f>IF(Errors!$I99=0,SourceData!$B$42,VLOOKUP(Errors!$I99,SourceData!$A$2:$B$40,2,FALSE))</f>
        <v>Technical error</v>
      </c>
      <c r="L99" s="207"/>
      <c r="M99" s="205" t="s">
        <v>338</v>
      </c>
      <c r="N99" s="212" t="s">
        <v>310</v>
      </c>
      <c r="O99" s="226" t="s">
        <v>310</v>
      </c>
      <c r="P99" s="212" t="s">
        <v>310</v>
      </c>
      <c r="Q99" s="212" t="s">
        <v>310</v>
      </c>
      <c r="R99" s="204" t="s">
        <v>518</v>
      </c>
      <c r="S99" s="204" t="s">
        <v>362</v>
      </c>
      <c r="T99" s="204" t="s">
        <v>612</v>
      </c>
      <c r="U99" s="199"/>
      <c r="V99" s="200"/>
      <c r="W99" s="200"/>
      <c r="X99" s="200"/>
      <c r="Y99" s="200"/>
      <c r="Z99" s="200"/>
      <c r="AA99" s="201"/>
      <c r="AB99" s="200"/>
      <c r="AC99" s="200"/>
    </row>
    <row r="100" ht="15.0" customHeight="1">
      <c r="A100" s="210">
        <f t="shared" si="1"/>
        <v>98</v>
      </c>
      <c r="B100" s="204" t="s">
        <v>613</v>
      </c>
      <c r="C100" s="217" t="str">
        <f>IFERROR(VLOOKUP(B100, SourceData!$U$3:$V$190, 2, FALSE), "")</f>
        <v>Leo</v>
      </c>
      <c r="D100" s="205" t="s">
        <v>604</v>
      </c>
      <c r="E100" s="206">
        <v>0.7201388888888889</v>
      </c>
      <c r="F100" s="204" t="s">
        <v>376</v>
      </c>
      <c r="G100" s="207"/>
      <c r="H100" s="205" t="s">
        <v>614</v>
      </c>
      <c r="I100" s="205" t="s">
        <v>132</v>
      </c>
      <c r="J100" s="205" t="s">
        <v>308</v>
      </c>
      <c r="K100" s="208" t="str">
        <f>IF(Errors!$I100=0,SourceData!$B$42,VLOOKUP(Errors!$I100,SourceData!$A$2:$B$40,2,FALSE))</f>
        <v>Ball falls out of the wheel </v>
      </c>
      <c r="L100" s="207"/>
      <c r="M100" s="209"/>
      <c r="N100" s="205" t="s">
        <v>309</v>
      </c>
      <c r="O100" s="205" t="s">
        <v>309</v>
      </c>
      <c r="P100" s="205" t="s">
        <v>310</v>
      </c>
      <c r="Q100" s="205" t="s">
        <v>310</v>
      </c>
      <c r="R100" s="204" t="s">
        <v>462</v>
      </c>
      <c r="S100" s="204" t="s">
        <v>470</v>
      </c>
      <c r="T100" s="204" t="s">
        <v>438</v>
      </c>
      <c r="U100" s="199"/>
      <c r="V100" s="200"/>
      <c r="W100" s="200"/>
      <c r="X100" s="200"/>
      <c r="Y100" s="200"/>
      <c r="Z100" s="200"/>
      <c r="AA100" s="201"/>
      <c r="AB100" s="200"/>
      <c r="AC100" s="200"/>
    </row>
    <row r="101" ht="15.0" customHeight="1">
      <c r="A101" s="210">
        <f t="shared" si="1"/>
        <v>99</v>
      </c>
      <c r="B101" s="204" t="s">
        <v>534</v>
      </c>
      <c r="C101" s="217" t="str">
        <f>IFERROR(VLOOKUP(B101, SourceData!$U$3:$V$190, 2, FALSE), "")</f>
        <v>Maddy</v>
      </c>
      <c r="D101" s="205" t="s">
        <v>604</v>
      </c>
      <c r="E101" s="206">
        <v>0.7361111111111112</v>
      </c>
      <c r="F101" s="204" t="s">
        <v>376</v>
      </c>
      <c r="G101" s="207"/>
      <c r="H101" s="205" t="s">
        <v>615</v>
      </c>
      <c r="I101" s="205" t="s">
        <v>132</v>
      </c>
      <c r="J101" s="205" t="s">
        <v>308</v>
      </c>
      <c r="K101" s="208" t="str">
        <f>IF(Errors!$I101=0,SourceData!$B$42,VLOOKUP(Errors!$I101,SourceData!$A$2:$B$40,2,FALSE))</f>
        <v>Ball falls out of the wheel </v>
      </c>
      <c r="L101" s="207"/>
      <c r="M101" s="209"/>
      <c r="N101" s="205" t="s">
        <v>309</v>
      </c>
      <c r="O101" s="205" t="s">
        <v>309</v>
      </c>
      <c r="P101" s="205" t="s">
        <v>310</v>
      </c>
      <c r="Q101" s="205" t="s">
        <v>310</v>
      </c>
      <c r="R101" s="204" t="s">
        <v>462</v>
      </c>
      <c r="S101" s="204" t="s">
        <v>452</v>
      </c>
      <c r="T101" s="204" t="s">
        <v>438</v>
      </c>
      <c r="U101" s="199"/>
      <c r="V101" s="200"/>
      <c r="W101" s="200"/>
      <c r="X101" s="200"/>
      <c r="Y101" s="200"/>
      <c r="Z101" s="200"/>
      <c r="AA101" s="201"/>
      <c r="AB101" s="200"/>
      <c r="AC101" s="200"/>
    </row>
    <row r="102" ht="15.0" customHeight="1">
      <c r="A102" s="210">
        <f t="shared" si="1"/>
        <v>100</v>
      </c>
      <c r="B102" s="204" t="s">
        <v>530</v>
      </c>
      <c r="C102" s="217" t="str">
        <f>IFERROR(VLOOKUP(B102, SourceData!$U$3:$V$190, 2, FALSE), "")</f>
        <v>Elyise</v>
      </c>
      <c r="D102" s="205" t="s">
        <v>604</v>
      </c>
      <c r="E102" s="206">
        <v>0.8104166666666667</v>
      </c>
      <c r="F102" s="204" t="s">
        <v>329</v>
      </c>
      <c r="G102" s="215" t="s">
        <v>616</v>
      </c>
      <c r="H102" s="205" t="s">
        <v>617</v>
      </c>
      <c r="I102" s="205" t="s">
        <v>150</v>
      </c>
      <c r="J102" s="205" t="s">
        <v>332</v>
      </c>
      <c r="K102" s="208" t="str">
        <f>IF(Errors!$I102=0,SourceData!$B$42,VLOOKUP(Errors!$I102,SourceData!$A$2:$B$40,2,FALSE))</f>
        <v>Dealer drops cards in shoe/table while changing cards. </v>
      </c>
      <c r="L102" s="207"/>
      <c r="M102" s="209"/>
      <c r="N102" s="209" t="s">
        <v>310</v>
      </c>
      <c r="O102" s="216" t="s">
        <v>310</v>
      </c>
      <c r="P102" s="209" t="s">
        <v>310</v>
      </c>
      <c r="Q102" s="209" t="s">
        <v>310</v>
      </c>
      <c r="R102" s="204" t="s">
        <v>462</v>
      </c>
      <c r="S102" s="204" t="s">
        <v>311</v>
      </c>
      <c r="T102" s="204" t="s">
        <v>444</v>
      </c>
      <c r="U102" s="199"/>
      <c r="V102" s="200"/>
      <c r="W102" s="200"/>
      <c r="X102" s="200"/>
      <c r="Y102" s="200"/>
      <c r="Z102" s="200"/>
      <c r="AA102" s="201"/>
      <c r="AB102" s="200"/>
      <c r="AC102" s="200"/>
    </row>
    <row r="103" ht="15.0" customHeight="1">
      <c r="A103" s="210">
        <f t="shared" si="1"/>
        <v>101</v>
      </c>
      <c r="B103" s="204" t="s">
        <v>530</v>
      </c>
      <c r="C103" s="217" t="str">
        <f>IFERROR(VLOOKUP(B103, SourceData!$U$3:$V$190, 2, FALSE), "")</f>
        <v>Elyise</v>
      </c>
      <c r="D103" s="205" t="s">
        <v>604</v>
      </c>
      <c r="E103" s="206">
        <v>0.8777777777777778</v>
      </c>
      <c r="F103" s="204" t="s">
        <v>329</v>
      </c>
      <c r="G103" s="215" t="s">
        <v>618</v>
      </c>
      <c r="H103" s="205" t="s">
        <v>619</v>
      </c>
      <c r="I103" s="205" t="s">
        <v>150</v>
      </c>
      <c r="J103" s="205" t="s">
        <v>332</v>
      </c>
      <c r="K103" s="208" t="str">
        <f>IF(Errors!$I103=0,SourceData!$B$42,VLOOKUP(Errors!$I103,SourceData!$A$2:$B$40,2,FALSE))</f>
        <v>Dealer drops cards in shoe/table while changing cards. </v>
      </c>
      <c r="L103" s="207"/>
      <c r="M103" s="209"/>
      <c r="N103" s="209" t="s">
        <v>310</v>
      </c>
      <c r="O103" s="216" t="s">
        <v>310</v>
      </c>
      <c r="P103" s="209" t="s">
        <v>310</v>
      </c>
      <c r="Q103" s="209" t="s">
        <v>310</v>
      </c>
      <c r="R103" s="204" t="s">
        <v>462</v>
      </c>
      <c r="S103" s="204" t="s">
        <v>452</v>
      </c>
      <c r="T103" s="204" t="s">
        <v>444</v>
      </c>
      <c r="U103" s="199"/>
      <c r="V103" s="200"/>
      <c r="W103" s="200"/>
      <c r="X103" s="200"/>
      <c r="Y103" s="200"/>
      <c r="Z103" s="200"/>
      <c r="AA103" s="201"/>
      <c r="AB103" s="200"/>
      <c r="AC103" s="200"/>
    </row>
    <row r="104" ht="15.0" customHeight="1">
      <c r="A104" s="210">
        <f t="shared" si="1"/>
        <v>102</v>
      </c>
      <c r="B104" s="204" t="s">
        <v>534</v>
      </c>
      <c r="C104" s="217" t="str">
        <f>IFERROR(VLOOKUP(B104, SourceData!$U$3:$V$190, 2, FALSE), "")</f>
        <v>Maddy</v>
      </c>
      <c r="D104" s="205" t="s">
        <v>604</v>
      </c>
      <c r="E104" s="206">
        <v>0.8798611111111111</v>
      </c>
      <c r="F104" s="204" t="s">
        <v>400</v>
      </c>
      <c r="G104" s="215" t="s">
        <v>620</v>
      </c>
      <c r="H104" s="205" t="s">
        <v>621</v>
      </c>
      <c r="I104" s="205" t="s">
        <v>139</v>
      </c>
      <c r="J104" s="205" t="s">
        <v>332</v>
      </c>
      <c r="K104" s="208" t="str">
        <f>IF(Errors!$I104=0,SourceData!$B$42,VLOOKUP(Errors!$I104,SourceData!$A$2:$B$40,2,FALSE))</f>
        <v>GP doesn't wait for 3 seconds after the card change which causes card not scanned/cards scanned in wrong order</v>
      </c>
      <c r="L104" s="207"/>
      <c r="M104" s="209"/>
      <c r="N104" s="212" t="s">
        <v>310</v>
      </c>
      <c r="O104" s="226" t="s">
        <v>310</v>
      </c>
      <c r="P104" s="212" t="s">
        <v>310</v>
      </c>
      <c r="Q104" s="212" t="s">
        <v>310</v>
      </c>
      <c r="R104" s="204" t="s">
        <v>462</v>
      </c>
      <c r="S104" s="204" t="s">
        <v>311</v>
      </c>
      <c r="T104" s="204" t="s">
        <v>622</v>
      </c>
      <c r="U104" s="199"/>
      <c r="V104" s="200"/>
      <c r="W104" s="200"/>
      <c r="X104" s="200"/>
      <c r="Y104" s="200"/>
      <c r="Z104" s="200"/>
      <c r="AA104" s="201"/>
      <c r="AB104" s="200"/>
      <c r="AC104" s="200"/>
    </row>
    <row r="105" ht="15.0" customHeight="1">
      <c r="A105" s="210">
        <f t="shared" si="1"/>
        <v>103</v>
      </c>
      <c r="B105" s="204" t="s">
        <v>623</v>
      </c>
      <c r="C105" s="217" t="str">
        <f>IFERROR(VLOOKUP(B105, SourceData!$U$3:$V$190, 2, FALSE), "")</f>
        <v>Charlotta </v>
      </c>
      <c r="D105" s="205" t="s">
        <v>624</v>
      </c>
      <c r="E105" s="206">
        <v>0.07291666666666667</v>
      </c>
      <c r="F105" s="204" t="s">
        <v>343</v>
      </c>
      <c r="G105" s="215" t="s">
        <v>625</v>
      </c>
      <c r="H105" s="205" t="s">
        <v>626</v>
      </c>
      <c r="I105" s="205" t="s">
        <v>56</v>
      </c>
      <c r="J105" s="205" t="s">
        <v>332</v>
      </c>
      <c r="K105" s="208" t="str">
        <f>IF(Errors!$I105=0,SourceData!$B$42,VLOOKUP(Errors!$I105,SourceData!$A$2:$B$40,2,FALSE))</f>
        <v>Interface error</v>
      </c>
      <c r="L105" s="207"/>
      <c r="M105" s="205" t="s">
        <v>338</v>
      </c>
      <c r="N105" s="212" t="s">
        <v>310</v>
      </c>
      <c r="O105" s="226" t="s">
        <v>310</v>
      </c>
      <c r="P105" s="212" t="s">
        <v>310</v>
      </c>
      <c r="Q105" s="212" t="s">
        <v>310</v>
      </c>
      <c r="R105" s="204" t="s">
        <v>325</v>
      </c>
      <c r="S105" s="204" t="s">
        <v>427</v>
      </c>
      <c r="T105" s="204" t="s">
        <v>627</v>
      </c>
      <c r="U105" s="199"/>
      <c r="V105" s="200"/>
      <c r="W105" s="200"/>
      <c r="X105" s="200"/>
      <c r="Y105" s="200"/>
      <c r="Z105" s="200"/>
      <c r="AA105" s="201"/>
      <c r="AB105" s="200"/>
      <c r="AC105" s="200"/>
    </row>
    <row r="106" ht="15.0" customHeight="1">
      <c r="A106" s="210">
        <f t="shared" si="1"/>
        <v>104</v>
      </c>
      <c r="B106" s="204" t="s">
        <v>628</v>
      </c>
      <c r="C106" s="217" t="str">
        <f>IFERROR(VLOOKUP(B106, SourceData!$U$3:$V$190, 2, FALSE), "")</f>
        <v>Luna</v>
      </c>
      <c r="D106" s="205" t="s">
        <v>624</v>
      </c>
      <c r="E106" s="206">
        <v>0.10347222222222222</v>
      </c>
      <c r="F106" s="204" t="s">
        <v>400</v>
      </c>
      <c r="G106" s="215" t="s">
        <v>629</v>
      </c>
      <c r="H106" s="205" t="s">
        <v>630</v>
      </c>
      <c r="I106" s="205" t="s">
        <v>56</v>
      </c>
      <c r="J106" s="205" t="s">
        <v>332</v>
      </c>
      <c r="K106" s="208" t="str">
        <f>IF(Errors!$I106=0,SourceData!$B$42,VLOOKUP(Errors!$I106,SourceData!$A$2:$B$40,2,FALSE))</f>
        <v>Interface error</v>
      </c>
      <c r="L106" s="207"/>
      <c r="M106" s="205" t="s">
        <v>338</v>
      </c>
      <c r="N106" s="212" t="s">
        <v>310</v>
      </c>
      <c r="O106" s="226" t="s">
        <v>310</v>
      </c>
      <c r="P106" s="212" t="s">
        <v>310</v>
      </c>
      <c r="Q106" s="212" t="s">
        <v>310</v>
      </c>
      <c r="R106" s="204" t="s">
        <v>325</v>
      </c>
      <c r="S106" s="204" t="s">
        <v>427</v>
      </c>
      <c r="T106" s="204" t="s">
        <v>631</v>
      </c>
      <c r="U106" s="199"/>
      <c r="V106" s="200"/>
      <c r="W106" s="200"/>
      <c r="X106" s="200"/>
      <c r="Y106" s="200"/>
      <c r="Z106" s="200"/>
      <c r="AA106" s="201"/>
      <c r="AB106" s="200"/>
      <c r="AC106" s="200"/>
    </row>
    <row r="107" ht="15.0" customHeight="1">
      <c r="A107" s="210">
        <f t="shared" si="1"/>
        <v>105</v>
      </c>
      <c r="B107" s="204" t="s">
        <v>603</v>
      </c>
      <c r="C107" s="217" t="str">
        <f>IFERROR(VLOOKUP(B107, SourceData!$U$3:$V$190, 2, FALSE), "")</f>
        <v>Nene</v>
      </c>
      <c r="D107" s="205" t="s">
        <v>624</v>
      </c>
      <c r="E107" s="206">
        <v>0.16319444444444445</v>
      </c>
      <c r="F107" s="204" t="s">
        <v>343</v>
      </c>
      <c r="G107" s="215" t="s">
        <v>632</v>
      </c>
      <c r="H107" s="205" t="s">
        <v>633</v>
      </c>
      <c r="I107" s="205" t="s">
        <v>56</v>
      </c>
      <c r="J107" s="205" t="s">
        <v>332</v>
      </c>
      <c r="K107" s="208" t="str">
        <f>IF(Errors!$I107=0,SourceData!$B$42,VLOOKUP(Errors!$I107,SourceData!$A$2:$B$40,2,FALSE))</f>
        <v>Interface error</v>
      </c>
      <c r="L107" s="207"/>
      <c r="M107" s="209"/>
      <c r="N107" s="212" t="s">
        <v>310</v>
      </c>
      <c r="O107" s="226" t="s">
        <v>310</v>
      </c>
      <c r="P107" s="212" t="s">
        <v>310</v>
      </c>
      <c r="Q107" s="212" t="s">
        <v>310</v>
      </c>
      <c r="R107" s="204" t="s">
        <v>325</v>
      </c>
      <c r="S107" s="204" t="s">
        <v>321</v>
      </c>
      <c r="T107" s="204" t="s">
        <v>634</v>
      </c>
      <c r="U107" s="199"/>
      <c r="V107" s="200"/>
      <c r="W107" s="200"/>
      <c r="X107" s="200"/>
      <c r="Y107" s="200"/>
      <c r="Z107" s="200"/>
      <c r="AA107" s="201"/>
      <c r="AB107" s="200"/>
      <c r="AC107" s="200"/>
    </row>
    <row r="108" ht="15.0" customHeight="1">
      <c r="A108" s="210">
        <f t="shared" si="1"/>
        <v>106</v>
      </c>
      <c r="B108" s="204" t="s">
        <v>628</v>
      </c>
      <c r="C108" s="217" t="str">
        <f>IFERROR(VLOOKUP(B108, SourceData!$U$3:$V$190, 2, FALSE), "")</f>
        <v>Luna</v>
      </c>
      <c r="D108" s="205" t="s">
        <v>624</v>
      </c>
      <c r="E108" s="206">
        <v>0.22361111111111112</v>
      </c>
      <c r="F108" s="204" t="s">
        <v>400</v>
      </c>
      <c r="G108" s="215" t="s">
        <v>635</v>
      </c>
      <c r="H108" s="205" t="s">
        <v>636</v>
      </c>
      <c r="I108" s="205" t="s">
        <v>122</v>
      </c>
      <c r="J108" s="205" t="s">
        <v>332</v>
      </c>
      <c r="K108" s="208" t="str">
        <f>IF(Errors!$I108=0,SourceData!$B$42,VLOOKUP(Errors!$I108,SourceData!$A$2:$B$40,2,FALSE))</f>
        <v>Burn card(s) exposed/too many cards burned - during burn procedure (during card change procedure)</v>
      </c>
      <c r="L108" s="207"/>
      <c r="M108" s="209"/>
      <c r="N108" s="212" t="s">
        <v>310</v>
      </c>
      <c r="O108" s="226" t="s">
        <v>310</v>
      </c>
      <c r="P108" s="212" t="s">
        <v>310</v>
      </c>
      <c r="Q108" s="212" t="s">
        <v>310</v>
      </c>
      <c r="R108" s="204" t="s">
        <v>325</v>
      </c>
      <c r="S108" s="204" t="s">
        <v>389</v>
      </c>
      <c r="T108" s="204" t="s">
        <v>610</v>
      </c>
      <c r="U108" s="199"/>
      <c r="V108" s="200"/>
      <c r="W108" s="200"/>
      <c r="X108" s="200"/>
      <c r="Y108" s="200"/>
      <c r="Z108" s="200"/>
      <c r="AA108" s="201"/>
      <c r="AB108" s="200"/>
      <c r="AC108" s="200"/>
    </row>
    <row r="109" ht="15.0" customHeight="1">
      <c r="A109" s="222">
        <f t="shared" si="1"/>
        <v>107</v>
      </c>
      <c r="B109" s="204" t="s">
        <v>637</v>
      </c>
      <c r="C109" s="217" t="str">
        <f>IFERROR(VLOOKUP(B109, SourceData!$U$3:$V$190, 2, FALSE), "")</f>
        <v>Neco</v>
      </c>
      <c r="D109" s="205" t="s">
        <v>624</v>
      </c>
      <c r="E109" s="206">
        <v>0.26180555555555557</v>
      </c>
      <c r="F109" s="204" t="s">
        <v>396</v>
      </c>
      <c r="G109" s="215" t="s">
        <v>638</v>
      </c>
      <c r="H109" s="205" t="s">
        <v>639</v>
      </c>
      <c r="I109" s="205" t="s">
        <v>56</v>
      </c>
      <c r="J109" s="205" t="s">
        <v>332</v>
      </c>
      <c r="K109" s="208" t="str">
        <f>IF(Errors!$I109=0,SourceData!$B$42,VLOOKUP(Errors!$I109,SourceData!$A$2:$B$40,2,FALSE))</f>
        <v>Interface error</v>
      </c>
      <c r="L109" s="207"/>
      <c r="M109" s="205" t="s">
        <v>338</v>
      </c>
      <c r="N109" s="212" t="s">
        <v>310</v>
      </c>
      <c r="O109" s="226" t="s">
        <v>310</v>
      </c>
      <c r="P109" s="212" t="s">
        <v>310</v>
      </c>
      <c r="Q109" s="212" t="s">
        <v>310</v>
      </c>
      <c r="R109" s="204" t="s">
        <v>325</v>
      </c>
      <c r="S109" s="204" t="s">
        <v>427</v>
      </c>
      <c r="T109" s="204" t="s">
        <v>634</v>
      </c>
      <c r="U109" s="199"/>
      <c r="V109" s="200"/>
      <c r="W109" s="200"/>
      <c r="X109" s="200"/>
      <c r="Y109" s="200"/>
      <c r="Z109" s="200"/>
      <c r="AA109" s="201"/>
      <c r="AB109" s="200"/>
      <c r="AC109" s="200"/>
    </row>
    <row r="110" ht="15.0" customHeight="1">
      <c r="A110" s="210">
        <f t="shared" si="1"/>
        <v>108</v>
      </c>
      <c r="B110" s="204" t="s">
        <v>516</v>
      </c>
      <c r="C110" s="217" t="str">
        <f>IFERROR(VLOOKUP(B110, SourceData!$U$3:$V$190, 2, FALSE), "")</f>
        <v>Irene</v>
      </c>
      <c r="D110" s="205" t="s">
        <v>624</v>
      </c>
      <c r="E110" s="206">
        <v>0.34305555555555556</v>
      </c>
      <c r="F110" s="204" t="s">
        <v>306</v>
      </c>
      <c r="G110" s="207"/>
      <c r="H110" s="205" t="s">
        <v>640</v>
      </c>
      <c r="I110" s="205" t="s">
        <v>120</v>
      </c>
      <c r="J110" s="205" t="s">
        <v>308</v>
      </c>
      <c r="K110" s="208" t="str">
        <f>IF(Errors!$I110=0,SourceData!$B$42,VLOOKUP(Errors!$I110,SourceData!$A$2:$B$40,2,FALSE))</f>
        <v>Drop ball</v>
      </c>
      <c r="L110" s="207"/>
      <c r="M110" s="209"/>
      <c r="N110" s="205" t="s">
        <v>309</v>
      </c>
      <c r="O110" s="205" t="s">
        <v>310</v>
      </c>
      <c r="P110" s="205" t="s">
        <v>309</v>
      </c>
      <c r="Q110" s="205" t="s">
        <v>309</v>
      </c>
      <c r="R110" s="204" t="s">
        <v>518</v>
      </c>
      <c r="S110" s="204" t="s">
        <v>581</v>
      </c>
      <c r="T110" s="204" t="s">
        <v>641</v>
      </c>
      <c r="U110" s="199"/>
      <c r="V110" s="200"/>
      <c r="W110" s="200"/>
      <c r="X110" s="200"/>
      <c r="Y110" s="200"/>
      <c r="Z110" s="200"/>
      <c r="AA110" s="201"/>
      <c r="AB110" s="200"/>
      <c r="AC110" s="200"/>
    </row>
    <row r="111" ht="15.0" customHeight="1">
      <c r="A111" s="210">
        <f t="shared" si="1"/>
        <v>109</v>
      </c>
      <c r="B111" s="204" t="s">
        <v>642</v>
      </c>
      <c r="C111" s="217" t="str">
        <f>IFERROR(VLOOKUP(B111, SourceData!$U$3:$V$190, 2, FALSE), "")</f>
        <v>Yuna</v>
      </c>
      <c r="D111" s="205" t="s">
        <v>624</v>
      </c>
      <c r="E111" s="206">
        <v>0.35833333333333334</v>
      </c>
      <c r="F111" s="204" t="s">
        <v>376</v>
      </c>
      <c r="G111" s="207"/>
      <c r="H111" s="205" t="s">
        <v>643</v>
      </c>
      <c r="I111" s="205" t="s">
        <v>132</v>
      </c>
      <c r="J111" s="205" t="s">
        <v>308</v>
      </c>
      <c r="K111" s="208" t="str">
        <f>IF(Errors!$I111=0,SourceData!$B$42,VLOOKUP(Errors!$I111,SourceData!$A$2:$B$40,2,FALSE))</f>
        <v>Ball falls out of the wheel </v>
      </c>
      <c r="L111" s="207"/>
      <c r="M111" s="209"/>
      <c r="N111" s="205" t="s">
        <v>309</v>
      </c>
      <c r="O111" s="205" t="s">
        <v>309</v>
      </c>
      <c r="P111" s="205" t="s">
        <v>310</v>
      </c>
      <c r="Q111" s="205" t="s">
        <v>310</v>
      </c>
      <c r="R111" s="204" t="s">
        <v>518</v>
      </c>
      <c r="S111" s="204" t="s">
        <v>362</v>
      </c>
      <c r="T111" s="204" t="s">
        <v>438</v>
      </c>
      <c r="U111" s="199"/>
      <c r="V111" s="200"/>
      <c r="W111" s="200"/>
      <c r="X111" s="200"/>
      <c r="Y111" s="200"/>
      <c r="Z111" s="200"/>
      <c r="AA111" s="201"/>
      <c r="AB111" s="200"/>
      <c r="AC111" s="200"/>
    </row>
    <row r="112" ht="15.0" customHeight="1">
      <c r="A112" s="210">
        <f t="shared" si="1"/>
        <v>110</v>
      </c>
      <c r="B112" s="204" t="s">
        <v>644</v>
      </c>
      <c r="C112" s="217" t="str">
        <f>IFERROR(VLOOKUP(B112, SourceData!$U$3:$V$190, 2, FALSE), "")</f>
        <v>Ruby</v>
      </c>
      <c r="D112" s="205" t="s">
        <v>624</v>
      </c>
      <c r="E112" s="206">
        <v>0.40555555555555556</v>
      </c>
      <c r="F112" s="204" t="s">
        <v>343</v>
      </c>
      <c r="G112" s="215" t="s">
        <v>645</v>
      </c>
      <c r="H112" s="205" t="s">
        <v>646</v>
      </c>
      <c r="I112" s="205" t="s">
        <v>150</v>
      </c>
      <c r="J112" s="205" t="s">
        <v>332</v>
      </c>
      <c r="K112" s="208" t="str">
        <f>IF(Errors!$I112=0,SourceData!$B$42,VLOOKUP(Errors!$I112,SourceData!$A$2:$B$40,2,FALSE))</f>
        <v>Dealer drops cards in shoe/table while changing cards. </v>
      </c>
      <c r="L112" s="207"/>
      <c r="M112" s="209"/>
      <c r="N112" s="212" t="s">
        <v>310</v>
      </c>
      <c r="O112" s="226" t="s">
        <v>310</v>
      </c>
      <c r="P112" s="212" t="s">
        <v>310</v>
      </c>
      <c r="Q112" s="212" t="s">
        <v>310</v>
      </c>
      <c r="R112" s="204" t="s">
        <v>518</v>
      </c>
      <c r="S112" s="204" t="s">
        <v>581</v>
      </c>
      <c r="T112" s="204" t="s">
        <v>444</v>
      </c>
      <c r="U112" s="199"/>
      <c r="V112" s="200"/>
      <c r="W112" s="200"/>
      <c r="X112" s="200"/>
      <c r="Y112" s="200"/>
      <c r="Z112" s="200"/>
      <c r="AA112" s="201"/>
      <c r="AB112" s="200"/>
      <c r="AC112" s="200"/>
    </row>
    <row r="113" ht="15.0" customHeight="1">
      <c r="A113" s="210">
        <f t="shared" si="1"/>
        <v>111</v>
      </c>
      <c r="B113" s="204" t="s">
        <v>534</v>
      </c>
      <c r="C113" s="217" t="str">
        <f>IFERROR(VLOOKUP(B113, SourceData!$U$3:$V$190, 2, FALSE), "")</f>
        <v>Maddy</v>
      </c>
      <c r="D113" s="205" t="s">
        <v>624</v>
      </c>
      <c r="E113" s="206">
        <v>0.7048611111111112</v>
      </c>
      <c r="F113" s="204" t="s">
        <v>352</v>
      </c>
      <c r="G113" s="215" t="s">
        <v>647</v>
      </c>
      <c r="H113" s="205" t="s">
        <v>648</v>
      </c>
      <c r="I113" s="205" t="s">
        <v>122</v>
      </c>
      <c r="J113" s="205" t="s">
        <v>332</v>
      </c>
      <c r="K113" s="208" t="str">
        <f>IF(Errors!$I113=0,SourceData!$B$42,VLOOKUP(Errors!$I113,SourceData!$A$2:$B$40,2,FALSE))</f>
        <v>Burn card(s) exposed/too many cards burned - during burn procedure (during card change procedure)</v>
      </c>
      <c r="L113" s="207"/>
      <c r="M113" s="209"/>
      <c r="N113" s="212" t="s">
        <v>310</v>
      </c>
      <c r="O113" s="226" t="s">
        <v>310</v>
      </c>
      <c r="P113" s="212" t="s">
        <v>310</v>
      </c>
      <c r="Q113" s="212" t="s">
        <v>310</v>
      </c>
      <c r="R113" s="204" t="s">
        <v>462</v>
      </c>
      <c r="S113" s="204" t="s">
        <v>318</v>
      </c>
      <c r="T113" s="204" t="s">
        <v>649</v>
      </c>
      <c r="U113" s="232" t="s">
        <v>310</v>
      </c>
      <c r="V113" s="200"/>
      <c r="W113" s="200"/>
      <c r="X113" s="200"/>
      <c r="Y113" s="200"/>
      <c r="Z113" s="200"/>
      <c r="AA113" s="201"/>
      <c r="AB113" s="200"/>
      <c r="AC113" s="200" t="s">
        <v>650</v>
      </c>
    </row>
    <row r="114" ht="15.0" customHeight="1">
      <c r="A114" s="210">
        <f t="shared" si="1"/>
        <v>112</v>
      </c>
      <c r="B114" s="204" t="s">
        <v>651</v>
      </c>
      <c r="C114" s="217" t="str">
        <f>IFERROR(VLOOKUP(B114, SourceData!$U$3:$V$190, 2, FALSE), "")</f>
        <v>Nina</v>
      </c>
      <c r="D114" s="205" t="s">
        <v>624</v>
      </c>
      <c r="E114" s="206">
        <v>0.7236111111111111</v>
      </c>
      <c r="F114" s="204" t="s">
        <v>306</v>
      </c>
      <c r="G114" s="215"/>
      <c r="H114" s="205" t="s">
        <v>652</v>
      </c>
      <c r="I114" s="205" t="s">
        <v>58</v>
      </c>
      <c r="J114" s="205" t="s">
        <v>308</v>
      </c>
      <c r="K114" s="208" t="str">
        <f>IF(Errors!$I114=0,SourceData!$B$42,VLOOKUP(Errors!$I114,SourceData!$A$2:$B$40,2,FALSE))</f>
        <v>Technical error</v>
      </c>
      <c r="L114" s="207"/>
      <c r="M114" s="209"/>
      <c r="N114" s="205" t="s">
        <v>309</v>
      </c>
      <c r="O114" s="205" t="s">
        <v>309</v>
      </c>
      <c r="P114" s="205" t="s">
        <v>310</v>
      </c>
      <c r="Q114" s="205" t="s">
        <v>310</v>
      </c>
      <c r="R114" s="204" t="s">
        <v>462</v>
      </c>
      <c r="S114" s="204" t="s">
        <v>346</v>
      </c>
      <c r="T114" s="204" t="s">
        <v>653</v>
      </c>
      <c r="U114" s="199"/>
      <c r="V114" s="200"/>
      <c r="W114" s="200"/>
      <c r="X114" s="200"/>
      <c r="Y114" s="200"/>
      <c r="Z114" s="200"/>
      <c r="AA114" s="201"/>
      <c r="AB114" s="200"/>
      <c r="AC114" s="200"/>
    </row>
    <row r="115" ht="15.0" customHeight="1">
      <c r="A115" s="210">
        <f t="shared" si="1"/>
        <v>113</v>
      </c>
      <c r="B115" s="204" t="s">
        <v>489</v>
      </c>
      <c r="C115" s="217" t="str">
        <f>IFERROR(VLOOKUP(B115, SourceData!$U$3:$V$190, 2, FALSE), "")</f>
        <v>Lulu</v>
      </c>
      <c r="D115" s="205" t="s">
        <v>654</v>
      </c>
      <c r="E115" s="206">
        <v>6.944444444444445E-4</v>
      </c>
      <c r="F115" s="204" t="s">
        <v>329</v>
      </c>
      <c r="G115" s="215" t="s">
        <v>655</v>
      </c>
      <c r="H115" s="205" t="s">
        <v>656</v>
      </c>
      <c r="I115" s="205" t="s">
        <v>56</v>
      </c>
      <c r="J115" s="205" t="s">
        <v>332</v>
      </c>
      <c r="K115" s="208" t="str">
        <f>IF(Errors!$I115=0,SourceData!$B$42,VLOOKUP(Errors!$I115,SourceData!$A$2:$B$40,2,FALSE))</f>
        <v>Interface error</v>
      </c>
      <c r="L115" s="207"/>
      <c r="M115" s="209"/>
      <c r="N115" s="212" t="s">
        <v>310</v>
      </c>
      <c r="O115" s="226" t="s">
        <v>310</v>
      </c>
      <c r="P115" s="212" t="s">
        <v>310</v>
      </c>
      <c r="Q115" s="212" t="s">
        <v>310</v>
      </c>
      <c r="R115" s="204" t="s">
        <v>325</v>
      </c>
      <c r="S115" s="204" t="s">
        <v>321</v>
      </c>
      <c r="T115" s="204" t="s">
        <v>634</v>
      </c>
      <c r="U115" s="199"/>
      <c r="V115" s="200"/>
      <c r="W115" s="200"/>
      <c r="X115" s="200"/>
      <c r="Y115" s="200"/>
      <c r="Z115" s="200"/>
      <c r="AA115" s="201"/>
      <c r="AB115" s="200"/>
      <c r="AC115" s="200"/>
    </row>
    <row r="116" ht="15.0" customHeight="1">
      <c r="A116" s="222">
        <f t="shared" si="1"/>
        <v>114</v>
      </c>
      <c r="B116" s="204" t="s">
        <v>510</v>
      </c>
      <c r="C116" s="217" t="str">
        <f>IFERROR(VLOOKUP(B116, SourceData!$U$3:$V$190, 2, FALSE), "")</f>
        <v>Sapphire</v>
      </c>
      <c r="D116" s="205" t="s">
        <v>654</v>
      </c>
      <c r="E116" s="206">
        <v>0.41597222222222224</v>
      </c>
      <c r="F116" s="204" t="s">
        <v>396</v>
      </c>
      <c r="G116" s="215" t="s">
        <v>657</v>
      </c>
      <c r="H116" s="205" t="s">
        <v>658</v>
      </c>
      <c r="I116" s="205" t="s">
        <v>56</v>
      </c>
      <c r="J116" s="205" t="s">
        <v>332</v>
      </c>
      <c r="K116" s="208" t="str">
        <f>IF(Errors!$I116=0,SourceData!$B$42,VLOOKUP(Errors!$I116,SourceData!$A$2:$B$40,2,FALSE))</f>
        <v>Interface error</v>
      </c>
      <c r="L116" s="207"/>
      <c r="M116" s="205" t="s">
        <v>338</v>
      </c>
      <c r="N116" s="212" t="s">
        <v>310</v>
      </c>
      <c r="O116" s="226" t="s">
        <v>310</v>
      </c>
      <c r="P116" s="212" t="s">
        <v>310</v>
      </c>
      <c r="Q116" s="212" t="s">
        <v>310</v>
      </c>
      <c r="R116" s="204" t="s">
        <v>317</v>
      </c>
      <c r="S116" s="204" t="s">
        <v>362</v>
      </c>
      <c r="T116" s="204" t="s">
        <v>634</v>
      </c>
      <c r="U116" s="199"/>
      <c r="V116" s="200"/>
      <c r="W116" s="200"/>
      <c r="X116" s="200"/>
      <c r="Y116" s="200"/>
      <c r="Z116" s="200"/>
      <c r="AA116" s="201"/>
      <c r="AB116" s="200"/>
      <c r="AC116" s="200"/>
    </row>
    <row r="117" ht="15.0" customHeight="1">
      <c r="A117" s="210">
        <f t="shared" si="1"/>
        <v>115</v>
      </c>
      <c r="B117" s="204" t="s">
        <v>659</v>
      </c>
      <c r="C117" s="217" t="str">
        <f>IFERROR(VLOOKUP(B117, SourceData!$U$3:$V$190, 2, FALSE), "")</f>
        <v>Anelisse </v>
      </c>
      <c r="D117" s="205" t="s">
        <v>654</v>
      </c>
      <c r="E117" s="206">
        <v>0.42430555555555555</v>
      </c>
      <c r="F117" s="204" t="s">
        <v>352</v>
      </c>
      <c r="G117" s="215" t="s">
        <v>660</v>
      </c>
      <c r="H117" s="205" t="s">
        <v>661</v>
      </c>
      <c r="I117" s="205" t="s">
        <v>150</v>
      </c>
      <c r="J117" s="205" t="s">
        <v>332</v>
      </c>
      <c r="K117" s="208" t="str">
        <f>IF(Errors!$I117=0,SourceData!$B$42,VLOOKUP(Errors!$I117,SourceData!$A$2:$B$40,2,FALSE))</f>
        <v>Dealer drops cards in shoe/table while changing cards. </v>
      </c>
      <c r="L117" s="207"/>
      <c r="M117" s="209"/>
      <c r="N117" s="212" t="s">
        <v>310</v>
      </c>
      <c r="O117" s="226" t="s">
        <v>310</v>
      </c>
      <c r="P117" s="212" t="s">
        <v>310</v>
      </c>
      <c r="Q117" s="212" t="s">
        <v>310</v>
      </c>
      <c r="R117" s="204" t="s">
        <v>317</v>
      </c>
      <c r="S117" s="204" t="s">
        <v>367</v>
      </c>
      <c r="T117" s="204" t="s">
        <v>444</v>
      </c>
      <c r="U117" s="199"/>
      <c r="V117" s="200"/>
      <c r="W117" s="200"/>
      <c r="X117" s="200"/>
      <c r="Y117" s="200"/>
      <c r="Z117" s="200"/>
      <c r="AA117" s="201"/>
      <c r="AB117" s="200"/>
      <c r="AC117" s="200"/>
    </row>
    <row r="118" ht="15.0" customHeight="1">
      <c r="A118" s="210">
        <f t="shared" si="1"/>
        <v>116</v>
      </c>
      <c r="B118" s="204" t="s">
        <v>521</v>
      </c>
      <c r="C118" s="217" t="str">
        <f>IFERROR(VLOOKUP(B118, SourceData!$U$3:$V$190, 2, FALSE), "")</f>
        <v>Nate</v>
      </c>
      <c r="D118" s="205" t="s">
        <v>654</v>
      </c>
      <c r="E118" s="206">
        <v>0.5354166666666667</v>
      </c>
      <c r="F118" s="204" t="s">
        <v>396</v>
      </c>
      <c r="G118" s="215" t="s">
        <v>662</v>
      </c>
      <c r="H118" s="205" t="s">
        <v>663</v>
      </c>
      <c r="I118" s="205" t="s">
        <v>122</v>
      </c>
      <c r="J118" s="205" t="s">
        <v>332</v>
      </c>
      <c r="K118" s="208" t="str">
        <f>IF(Errors!$I118=0,SourceData!$B$42,VLOOKUP(Errors!$I118,SourceData!$A$2:$B$40,2,FALSE))</f>
        <v>Burn card(s) exposed/too many cards burned - during burn procedure (during card change procedure)</v>
      </c>
      <c r="L118" s="207"/>
      <c r="M118" s="209"/>
      <c r="N118" s="205" t="s">
        <v>309</v>
      </c>
      <c r="O118" s="226" t="s">
        <v>310</v>
      </c>
      <c r="P118" s="212" t="s">
        <v>310</v>
      </c>
      <c r="Q118" s="212" t="s">
        <v>310</v>
      </c>
      <c r="R118" s="204" t="s">
        <v>317</v>
      </c>
      <c r="S118" s="204" t="s">
        <v>367</v>
      </c>
      <c r="T118" s="204" t="s">
        <v>664</v>
      </c>
      <c r="U118" s="199"/>
      <c r="V118" s="200"/>
      <c r="W118" s="200"/>
      <c r="X118" s="200"/>
      <c r="Y118" s="200"/>
      <c r="Z118" s="200"/>
      <c r="AA118" s="201"/>
      <c r="AB118" s="200" t="s">
        <v>665</v>
      </c>
      <c r="AC118" s="200"/>
    </row>
    <row r="119" ht="15.0" customHeight="1">
      <c r="A119" s="210">
        <f t="shared" si="1"/>
        <v>117</v>
      </c>
      <c r="B119" s="204" t="s">
        <v>666</v>
      </c>
      <c r="C119" s="217" t="str">
        <f>IFERROR(VLOOKUP(B119, SourceData!$U$3:$V$190, 2, FALSE), "")</f>
        <v>Taurus</v>
      </c>
      <c r="D119" s="205" t="s">
        <v>654</v>
      </c>
      <c r="E119" s="206">
        <v>0.6680555555555555</v>
      </c>
      <c r="F119" s="204" t="s">
        <v>323</v>
      </c>
      <c r="G119" s="207"/>
      <c r="H119" s="205" t="s">
        <v>667</v>
      </c>
      <c r="I119" s="205" t="s">
        <v>124</v>
      </c>
      <c r="J119" s="205" t="s">
        <v>308</v>
      </c>
      <c r="K119" s="208" t="str">
        <f>IF(Errors!$I119=0,SourceData!$B$42,VLOOKUP(Errors!$I119,SourceData!$A$2:$B$40,2,FALSE))</f>
        <v>Wrong wheel direction</v>
      </c>
      <c r="L119" s="207"/>
      <c r="M119" s="209"/>
      <c r="N119" s="205" t="s">
        <v>309</v>
      </c>
      <c r="O119" s="205" t="s">
        <v>309</v>
      </c>
      <c r="P119" s="205" t="s">
        <v>310</v>
      </c>
      <c r="Q119" s="205" t="s">
        <v>310</v>
      </c>
      <c r="R119" s="204" t="s">
        <v>413</v>
      </c>
      <c r="S119" s="204" t="s">
        <v>488</v>
      </c>
      <c r="T119" s="204" t="s">
        <v>438</v>
      </c>
      <c r="U119" s="199"/>
      <c r="V119" s="200"/>
      <c r="W119" s="200"/>
      <c r="X119" s="200"/>
      <c r="Y119" s="200"/>
      <c r="Z119" s="200"/>
      <c r="AA119" s="201"/>
      <c r="AB119" s="200"/>
      <c r="AC119" s="200"/>
    </row>
    <row r="120" ht="15.0" customHeight="1">
      <c r="A120" s="210">
        <f t="shared" si="1"/>
        <v>118</v>
      </c>
      <c r="B120" s="204" t="s">
        <v>363</v>
      </c>
      <c r="C120" s="217" t="str">
        <f>IFERROR(VLOOKUP(B120, SourceData!$U$3:$V$190, 2, FALSE), "")</f>
        <v>Bubbles</v>
      </c>
      <c r="D120" s="205" t="s">
        <v>654</v>
      </c>
      <c r="E120" s="206">
        <v>0.7138888888888889</v>
      </c>
      <c r="F120" s="204" t="s">
        <v>376</v>
      </c>
      <c r="G120" s="207"/>
      <c r="H120" s="205" t="s">
        <v>668</v>
      </c>
      <c r="I120" s="205" t="s">
        <v>120</v>
      </c>
      <c r="J120" s="205" t="s">
        <v>308</v>
      </c>
      <c r="K120" s="208" t="str">
        <f>IF(Errors!$I120=0,SourceData!$B$42,VLOOKUP(Errors!$I120,SourceData!$A$2:$B$40,2,FALSE))</f>
        <v>Drop ball</v>
      </c>
      <c r="L120" s="207"/>
      <c r="M120" s="209"/>
      <c r="N120" s="205" t="s">
        <v>309</v>
      </c>
      <c r="O120" s="205" t="s">
        <v>309</v>
      </c>
      <c r="P120" s="205" t="s">
        <v>310</v>
      </c>
      <c r="Q120" s="205" t="s">
        <v>310</v>
      </c>
      <c r="R120" s="204" t="s">
        <v>413</v>
      </c>
      <c r="S120" s="204" t="s">
        <v>347</v>
      </c>
      <c r="T120" s="204" t="s">
        <v>438</v>
      </c>
      <c r="U120" s="199"/>
      <c r="V120" s="200"/>
      <c r="W120" s="200"/>
      <c r="X120" s="200"/>
      <c r="Y120" s="200"/>
      <c r="Z120" s="200"/>
      <c r="AA120" s="201"/>
      <c r="AB120" s="200"/>
      <c r="AC120" s="200"/>
    </row>
    <row r="121" ht="15.0" customHeight="1">
      <c r="A121" s="210">
        <f t="shared" si="1"/>
        <v>119</v>
      </c>
      <c r="B121" s="204" t="s">
        <v>496</v>
      </c>
      <c r="C121" s="217" t="str">
        <f>IFERROR(VLOOKUP(B121, SourceData!$U$3:$V$190, 2, FALSE), "")</f>
        <v>Miyuki</v>
      </c>
      <c r="D121" s="205" t="s">
        <v>654</v>
      </c>
      <c r="E121" s="206">
        <v>0.7763888888888889</v>
      </c>
      <c r="F121" s="204" t="s">
        <v>329</v>
      </c>
      <c r="G121" s="215" t="s">
        <v>669</v>
      </c>
      <c r="H121" s="205" t="s">
        <v>670</v>
      </c>
      <c r="I121" s="205" t="s">
        <v>139</v>
      </c>
      <c r="J121" s="205" t="s">
        <v>332</v>
      </c>
      <c r="K121" s="208" t="str">
        <f>IF(Errors!$I121=0,SourceData!$B$42,VLOOKUP(Errors!$I121,SourceData!$A$2:$B$40,2,FALSE))</f>
        <v>GP doesn't wait for 3 seconds after the card change which causes card not scanned/cards scanned in wrong order</v>
      </c>
      <c r="L121" s="207"/>
      <c r="M121" s="209"/>
      <c r="N121" s="212" t="s">
        <v>310</v>
      </c>
      <c r="O121" s="226" t="s">
        <v>310</v>
      </c>
      <c r="P121" s="212" t="s">
        <v>310</v>
      </c>
      <c r="Q121" s="212" t="s">
        <v>310</v>
      </c>
      <c r="R121" s="204" t="s">
        <v>413</v>
      </c>
      <c r="S121" s="204" t="s">
        <v>318</v>
      </c>
      <c r="T121" s="204" t="s">
        <v>403</v>
      </c>
      <c r="U121" s="199"/>
      <c r="V121" s="200"/>
      <c r="W121" s="200"/>
      <c r="X121" s="200"/>
      <c r="Y121" s="200"/>
      <c r="Z121" s="200"/>
      <c r="AA121" s="201"/>
      <c r="AB121" s="200"/>
      <c r="AC121" s="200"/>
    </row>
    <row r="122" ht="15.0" customHeight="1">
      <c r="A122" s="210">
        <f t="shared" si="1"/>
        <v>120</v>
      </c>
      <c r="B122" s="204" t="s">
        <v>441</v>
      </c>
      <c r="C122" s="217" t="str">
        <f>IFERROR(VLOOKUP(B122, SourceData!$U$3:$V$190, 2, FALSE), "")</f>
        <v>James</v>
      </c>
      <c r="D122" s="205" t="s">
        <v>654</v>
      </c>
      <c r="E122" s="206">
        <v>0.875</v>
      </c>
      <c r="F122" s="204" t="s">
        <v>396</v>
      </c>
      <c r="G122" s="215" t="s">
        <v>671</v>
      </c>
      <c r="H122" s="205" t="s">
        <v>672</v>
      </c>
      <c r="I122" s="205" t="s">
        <v>150</v>
      </c>
      <c r="J122" s="205" t="s">
        <v>332</v>
      </c>
      <c r="K122" s="208" t="str">
        <f>IF(Errors!$I122=0,SourceData!$B$42,VLOOKUP(Errors!$I122,SourceData!$A$2:$B$40,2,FALSE))</f>
        <v>Dealer drops cards in shoe/table while changing cards. </v>
      </c>
      <c r="L122" s="207"/>
      <c r="M122" s="209"/>
      <c r="N122" s="212" t="s">
        <v>310</v>
      </c>
      <c r="O122" s="226" t="s">
        <v>310</v>
      </c>
      <c r="P122" s="212" t="s">
        <v>310</v>
      </c>
      <c r="Q122" s="212" t="s">
        <v>310</v>
      </c>
      <c r="R122" s="204" t="s">
        <v>413</v>
      </c>
      <c r="S122" s="204" t="s">
        <v>347</v>
      </c>
      <c r="T122" s="204" t="s">
        <v>673</v>
      </c>
      <c r="U122" s="199"/>
      <c r="V122" s="200"/>
      <c r="W122" s="200"/>
      <c r="X122" s="200"/>
      <c r="Y122" s="200"/>
      <c r="Z122" s="200"/>
      <c r="AA122" s="201"/>
      <c r="AB122" s="200"/>
      <c r="AC122" s="200"/>
    </row>
    <row r="123" ht="15.0" customHeight="1">
      <c r="A123" s="210">
        <f t="shared" si="1"/>
        <v>121</v>
      </c>
      <c r="B123" s="204" t="s">
        <v>363</v>
      </c>
      <c r="C123" s="217" t="str">
        <f>IFERROR(VLOOKUP(B123, SourceData!$U$3:$V$190, 2, FALSE), "")</f>
        <v>Bubbles</v>
      </c>
      <c r="D123" s="205" t="s">
        <v>654</v>
      </c>
      <c r="E123" s="206">
        <v>0.8958333333333334</v>
      </c>
      <c r="F123" s="204" t="s">
        <v>376</v>
      </c>
      <c r="G123" s="207"/>
      <c r="H123" s="205" t="s">
        <v>674</v>
      </c>
      <c r="I123" s="205" t="s">
        <v>58</v>
      </c>
      <c r="J123" s="205" t="s">
        <v>308</v>
      </c>
      <c r="K123" s="208" t="str">
        <f>IF(Errors!$I123=0,SourceData!$B$42,VLOOKUP(Errors!$I123,SourceData!$A$2:$B$40,2,FALSE))</f>
        <v>Technical error</v>
      </c>
      <c r="L123" s="207"/>
      <c r="M123" s="209"/>
      <c r="N123" s="212" t="s">
        <v>310</v>
      </c>
      <c r="O123" s="226" t="s">
        <v>310</v>
      </c>
      <c r="P123" s="212" t="s">
        <v>310</v>
      </c>
      <c r="Q123" s="212" t="s">
        <v>310</v>
      </c>
      <c r="R123" s="204" t="s">
        <v>413</v>
      </c>
      <c r="S123" s="204" t="s">
        <v>488</v>
      </c>
      <c r="T123" s="204" t="s">
        <v>675</v>
      </c>
      <c r="U123" s="199"/>
      <c r="V123" s="200"/>
      <c r="W123" s="200"/>
      <c r="X123" s="200"/>
      <c r="Y123" s="200"/>
      <c r="Z123" s="200"/>
      <c r="AA123" s="201"/>
      <c r="AB123" s="200"/>
      <c r="AC123" s="200"/>
    </row>
    <row r="124" ht="15.0" customHeight="1">
      <c r="A124" s="210">
        <f t="shared" si="1"/>
        <v>122</v>
      </c>
      <c r="B124" s="204" t="s">
        <v>384</v>
      </c>
      <c r="C124" s="217" t="str">
        <f>IFERROR(VLOOKUP(B124, SourceData!$U$3:$V$190, 2, FALSE), "")</f>
        <v>Lizzie</v>
      </c>
      <c r="D124" s="205" t="s">
        <v>654</v>
      </c>
      <c r="E124" s="206">
        <v>0.9090277777777778</v>
      </c>
      <c r="F124" s="204" t="s">
        <v>343</v>
      </c>
      <c r="G124" s="215" t="s">
        <v>676</v>
      </c>
      <c r="H124" s="205" t="s">
        <v>677</v>
      </c>
      <c r="I124" s="205" t="s">
        <v>150</v>
      </c>
      <c r="J124" s="205" t="s">
        <v>332</v>
      </c>
      <c r="K124" s="208" t="str">
        <f>IF(Errors!$I124=0,SourceData!$B$42,VLOOKUP(Errors!$I124,SourceData!$A$2:$B$40,2,FALSE))</f>
        <v>Dealer drops cards in shoe/table while changing cards. </v>
      </c>
      <c r="L124" s="207"/>
      <c r="M124" s="209"/>
      <c r="N124" s="212" t="s">
        <v>310</v>
      </c>
      <c r="O124" s="226" t="s">
        <v>310</v>
      </c>
      <c r="P124" s="212" t="s">
        <v>310</v>
      </c>
      <c r="Q124" s="212" t="s">
        <v>310</v>
      </c>
      <c r="R124" s="204" t="s">
        <v>413</v>
      </c>
      <c r="S124" s="204" t="s">
        <v>318</v>
      </c>
      <c r="T124" s="204" t="s">
        <v>678</v>
      </c>
      <c r="U124" s="199"/>
      <c r="V124" s="200"/>
      <c r="W124" s="200"/>
      <c r="X124" s="200"/>
      <c r="Y124" s="200"/>
      <c r="Z124" s="200"/>
      <c r="AA124" s="201"/>
      <c r="AB124" s="200"/>
      <c r="AC124" s="200"/>
    </row>
    <row r="125" ht="15.0" customHeight="1">
      <c r="A125" s="233">
        <f t="shared" si="1"/>
        <v>123</v>
      </c>
      <c r="B125" s="204" t="s">
        <v>644</v>
      </c>
      <c r="C125" s="217" t="str">
        <f>IFERROR(VLOOKUP(B125, SourceData!$U$3:$V$190, 2, FALSE), "")</f>
        <v>Ruby</v>
      </c>
      <c r="D125" s="205" t="s">
        <v>679</v>
      </c>
      <c r="E125" s="206">
        <v>0.043055555555555555</v>
      </c>
      <c r="F125" s="204" t="s">
        <v>396</v>
      </c>
      <c r="G125" s="215" t="s">
        <v>680</v>
      </c>
      <c r="H125" s="205" t="s">
        <v>681</v>
      </c>
      <c r="I125" s="205" t="s">
        <v>150</v>
      </c>
      <c r="J125" s="205" t="s">
        <v>332</v>
      </c>
      <c r="K125" s="208" t="str">
        <f>IF(Errors!$I125=0,SourceData!$B$42,VLOOKUP(Errors!$I125,SourceData!$A$2:$B$40,2,FALSE))</f>
        <v>Dealer drops cards in shoe/table while changing cards. </v>
      </c>
      <c r="L125" s="207"/>
      <c r="M125" s="209"/>
      <c r="N125" s="212" t="s">
        <v>310</v>
      </c>
      <c r="O125" s="226" t="s">
        <v>310</v>
      </c>
      <c r="P125" s="212" t="s">
        <v>310</v>
      </c>
      <c r="Q125" s="212" t="s">
        <v>310</v>
      </c>
      <c r="R125" s="204" t="s">
        <v>325</v>
      </c>
      <c r="S125" s="204" t="s">
        <v>321</v>
      </c>
      <c r="T125" s="204" t="s">
        <v>682</v>
      </c>
      <c r="U125" s="199"/>
      <c r="V125" s="200"/>
      <c r="W125" s="200"/>
      <c r="X125" s="200"/>
      <c r="Y125" s="200"/>
      <c r="Z125" s="200"/>
      <c r="AA125" s="201"/>
      <c r="AB125" s="200"/>
      <c r="AC125" s="200"/>
    </row>
    <row r="126" ht="15.0" customHeight="1">
      <c r="A126" s="210">
        <f t="shared" si="1"/>
        <v>124</v>
      </c>
      <c r="B126" s="221" t="s">
        <v>468</v>
      </c>
      <c r="C126" s="217" t="str">
        <f>IFERROR(VLOOKUP(B126, SourceData!$U$3:$V$190, 2, FALSE), "")</f>
        <v>Roxy</v>
      </c>
      <c r="D126" s="205" t="s">
        <v>679</v>
      </c>
      <c r="E126" s="206">
        <v>0.17291666666666666</v>
      </c>
      <c r="F126" s="204" t="s">
        <v>352</v>
      </c>
      <c r="G126" s="215" t="s">
        <v>683</v>
      </c>
      <c r="H126" s="205" t="s">
        <v>684</v>
      </c>
      <c r="I126" s="205" t="s">
        <v>56</v>
      </c>
      <c r="J126" s="205" t="s">
        <v>332</v>
      </c>
      <c r="K126" s="208" t="str">
        <f>IF(Errors!$I126=0,SourceData!$B$42,VLOOKUP(Errors!$I126,SourceData!$A$2:$B$40,2,FALSE))</f>
        <v>Interface error</v>
      </c>
      <c r="L126" s="207"/>
      <c r="M126" s="209"/>
      <c r="N126" s="212" t="s">
        <v>310</v>
      </c>
      <c r="O126" s="226" t="s">
        <v>310</v>
      </c>
      <c r="P126" s="212" t="s">
        <v>310</v>
      </c>
      <c r="Q126" s="212" t="s">
        <v>310</v>
      </c>
      <c r="R126" s="204" t="s">
        <v>325</v>
      </c>
      <c r="S126" s="204" t="s">
        <v>503</v>
      </c>
      <c r="T126" s="204" t="s">
        <v>685</v>
      </c>
      <c r="U126" s="199"/>
      <c r="V126" s="200"/>
      <c r="W126" s="200"/>
      <c r="X126" s="200"/>
      <c r="Y126" s="200"/>
      <c r="Z126" s="200"/>
      <c r="AA126" s="201"/>
      <c r="AB126" s="200"/>
      <c r="AC126" s="200"/>
    </row>
    <row r="127" ht="15.0" customHeight="1">
      <c r="A127" s="210">
        <f t="shared" si="1"/>
        <v>125</v>
      </c>
      <c r="B127" s="221" t="s">
        <v>644</v>
      </c>
      <c r="C127" s="217" t="str">
        <f>IFERROR(VLOOKUP(B127, SourceData!$U$3:$V$190, 2, FALSE), "")</f>
        <v>Ruby</v>
      </c>
      <c r="D127" s="205" t="s">
        <v>679</v>
      </c>
      <c r="E127" s="206">
        <v>0.3111111111111111</v>
      </c>
      <c r="F127" s="204" t="s">
        <v>323</v>
      </c>
      <c r="G127" s="207"/>
      <c r="H127" s="205" t="s">
        <v>686</v>
      </c>
      <c r="I127" s="205" t="s">
        <v>58</v>
      </c>
      <c r="J127" s="205" t="s">
        <v>308</v>
      </c>
      <c r="K127" s="208" t="str">
        <f>IF(Errors!$I127=0,SourceData!$B$42,VLOOKUP(Errors!$I127,SourceData!$A$2:$B$40,2,FALSE))</f>
        <v>Technical error</v>
      </c>
      <c r="L127" s="207"/>
      <c r="M127" s="205" t="s">
        <v>687</v>
      </c>
      <c r="N127" s="205" t="s">
        <v>309</v>
      </c>
      <c r="O127" s="226" t="s">
        <v>310</v>
      </c>
      <c r="P127" s="205" t="s">
        <v>309</v>
      </c>
      <c r="Q127" s="205" t="s">
        <v>309</v>
      </c>
      <c r="R127" s="204" t="s">
        <v>325</v>
      </c>
      <c r="S127" s="204" t="s">
        <v>503</v>
      </c>
      <c r="T127" s="234" t="s">
        <v>688</v>
      </c>
      <c r="U127" s="199"/>
      <c r="V127" s="200"/>
      <c r="W127" s="200"/>
      <c r="X127" s="200"/>
      <c r="Y127" s="200"/>
      <c r="Z127" s="200"/>
      <c r="AA127" s="201"/>
      <c r="AB127" s="200"/>
      <c r="AC127" s="200"/>
    </row>
    <row r="128" ht="15.0" customHeight="1">
      <c r="A128" s="210">
        <f t="shared" si="1"/>
        <v>126</v>
      </c>
      <c r="B128" s="221" t="s">
        <v>689</v>
      </c>
      <c r="C128" s="217" t="str">
        <f>IFERROR(VLOOKUP(B128, SourceData!$U$3:$V$190, 2, FALSE), "")</f>
        <v>Lia</v>
      </c>
      <c r="D128" s="205" t="s">
        <v>679</v>
      </c>
      <c r="E128" s="206">
        <v>0.31805555555555554</v>
      </c>
      <c r="F128" s="204" t="s">
        <v>396</v>
      </c>
      <c r="G128" s="207"/>
      <c r="H128" s="205" t="s">
        <v>690</v>
      </c>
      <c r="I128" s="205" t="s">
        <v>56</v>
      </c>
      <c r="J128" s="205" t="s">
        <v>332</v>
      </c>
      <c r="K128" s="208" t="str">
        <f>IF(Errors!$I128=0,SourceData!$B$42,VLOOKUP(Errors!$I128,SourceData!$A$2:$B$40,2,FALSE))</f>
        <v>Interface error</v>
      </c>
      <c r="L128" s="207"/>
      <c r="M128" s="209"/>
      <c r="N128" s="212" t="s">
        <v>310</v>
      </c>
      <c r="O128" s="226" t="s">
        <v>310</v>
      </c>
      <c r="P128" s="212" t="s">
        <v>310</v>
      </c>
      <c r="Q128" s="212" t="s">
        <v>310</v>
      </c>
      <c r="R128" s="204" t="s">
        <v>317</v>
      </c>
      <c r="S128" s="204" t="s">
        <v>503</v>
      </c>
      <c r="T128" s="204" t="s">
        <v>691</v>
      </c>
      <c r="U128" s="199"/>
      <c r="V128" s="200"/>
      <c r="W128" s="200"/>
      <c r="X128" s="200"/>
      <c r="Y128" s="200"/>
      <c r="Z128" s="200"/>
      <c r="AA128" s="201"/>
      <c r="AB128" s="200"/>
      <c r="AC128" s="200"/>
    </row>
    <row r="129" ht="15.0" customHeight="1">
      <c r="A129" s="210">
        <f t="shared" si="1"/>
        <v>127</v>
      </c>
      <c r="B129" s="204" t="s">
        <v>521</v>
      </c>
      <c r="C129" s="217" t="str">
        <f>IFERROR(VLOOKUP(B129, SourceData!$U$3:$V$190, 2, FALSE), "")</f>
        <v>Nate</v>
      </c>
      <c r="D129" s="205" t="s">
        <v>679</v>
      </c>
      <c r="E129" s="206">
        <v>0.35347222222222224</v>
      </c>
      <c r="F129" s="204" t="s">
        <v>396</v>
      </c>
      <c r="G129" s="207" t="s">
        <v>692</v>
      </c>
      <c r="H129" s="205" t="s">
        <v>693</v>
      </c>
      <c r="I129" s="205" t="s">
        <v>122</v>
      </c>
      <c r="J129" s="205" t="s">
        <v>332</v>
      </c>
      <c r="K129" s="208" t="str">
        <f>IF(Errors!$I129=0,SourceData!$B$42,VLOOKUP(Errors!$I129,SourceData!$A$2:$B$40,2,FALSE))</f>
        <v>Burn card(s) exposed/too many cards burned - during burn procedure (during card change procedure)</v>
      </c>
      <c r="L129" s="207"/>
      <c r="M129" s="209"/>
      <c r="N129" s="212" t="s">
        <v>310</v>
      </c>
      <c r="O129" s="226" t="s">
        <v>310</v>
      </c>
      <c r="P129" s="212" t="s">
        <v>310</v>
      </c>
      <c r="Q129" s="212" t="s">
        <v>310</v>
      </c>
      <c r="R129" s="204" t="s">
        <v>317</v>
      </c>
      <c r="S129" s="204" t="s">
        <v>326</v>
      </c>
      <c r="T129" s="204" t="s">
        <v>548</v>
      </c>
      <c r="U129" s="199"/>
      <c r="V129" s="200"/>
      <c r="W129" s="200"/>
      <c r="X129" s="200"/>
      <c r="Y129" s="200"/>
      <c r="Z129" s="200"/>
      <c r="AA129" s="201"/>
      <c r="AB129" s="200"/>
      <c r="AC129" s="200"/>
    </row>
    <row r="130" ht="15.0" customHeight="1">
      <c r="A130" s="210">
        <f t="shared" si="1"/>
        <v>128</v>
      </c>
      <c r="B130" s="204" t="s">
        <v>569</v>
      </c>
      <c r="C130" s="217" t="str">
        <f>IFERROR(VLOOKUP(B130, SourceData!$U$3:$V$190, 2, FALSE), "")</f>
        <v>Nana</v>
      </c>
      <c r="D130" s="205" t="s">
        <v>679</v>
      </c>
      <c r="E130" s="206">
        <v>0.4736111111111111</v>
      </c>
      <c r="F130" s="204" t="s">
        <v>352</v>
      </c>
      <c r="G130" s="215" t="s">
        <v>694</v>
      </c>
      <c r="H130" s="205" t="s">
        <v>695</v>
      </c>
      <c r="I130" s="205" t="s">
        <v>56</v>
      </c>
      <c r="J130" s="205" t="s">
        <v>332</v>
      </c>
      <c r="K130" s="208" t="str">
        <f>IF(Errors!$I130=0,SourceData!$B$42,VLOOKUP(Errors!$I130,SourceData!$A$2:$B$40,2,FALSE))</f>
        <v>Interface error</v>
      </c>
      <c r="L130" s="207"/>
      <c r="M130" s="205" t="s">
        <v>696</v>
      </c>
      <c r="N130" s="212" t="s">
        <v>310</v>
      </c>
      <c r="O130" s="226" t="s">
        <v>310</v>
      </c>
      <c r="P130" s="212" t="s">
        <v>310</v>
      </c>
      <c r="Q130" s="212" t="s">
        <v>310</v>
      </c>
      <c r="R130" s="204" t="s">
        <v>317</v>
      </c>
      <c r="S130" s="204" t="s">
        <v>326</v>
      </c>
      <c r="T130" s="204" t="s">
        <v>697</v>
      </c>
      <c r="U130" s="199"/>
      <c r="V130" s="200"/>
      <c r="W130" s="200"/>
      <c r="X130" s="200"/>
      <c r="Y130" s="200"/>
      <c r="Z130" s="200"/>
      <c r="AA130" s="201"/>
      <c r="AB130" s="200"/>
      <c r="AC130" s="200"/>
    </row>
    <row r="131" ht="15.0" customHeight="1">
      <c r="A131" s="210">
        <f t="shared" si="1"/>
        <v>129</v>
      </c>
      <c r="B131" s="204" t="s">
        <v>698</v>
      </c>
      <c r="C131" s="217" t="str">
        <f>IFERROR(VLOOKUP(B131, SourceData!$U$3:$V$190, 2, FALSE), "")</f>
        <v>Sofia</v>
      </c>
      <c r="D131" s="205" t="s">
        <v>679</v>
      </c>
      <c r="E131" s="206">
        <v>0.525</v>
      </c>
      <c r="F131" s="204" t="s">
        <v>376</v>
      </c>
      <c r="G131" s="207"/>
      <c r="H131" s="205" t="s">
        <v>699</v>
      </c>
      <c r="I131" s="205" t="s">
        <v>58</v>
      </c>
      <c r="J131" s="205" t="s">
        <v>308</v>
      </c>
      <c r="K131" s="208" t="str">
        <f>IF(Errors!$I131=0,SourceData!$B$42,VLOOKUP(Errors!$I131,SourceData!$A$2:$B$40,2,FALSE))</f>
        <v>Technical error</v>
      </c>
      <c r="L131" s="207"/>
      <c r="M131" s="209"/>
      <c r="N131" s="212" t="s">
        <v>310</v>
      </c>
      <c r="O131" s="226" t="s">
        <v>310</v>
      </c>
      <c r="P131" s="212" t="s">
        <v>310</v>
      </c>
      <c r="Q131" s="212" t="s">
        <v>310</v>
      </c>
      <c r="R131" s="204" t="s">
        <v>317</v>
      </c>
      <c r="S131" s="204" t="s">
        <v>470</v>
      </c>
      <c r="T131" s="204" t="s">
        <v>700</v>
      </c>
      <c r="U131" s="199"/>
      <c r="V131" s="200"/>
      <c r="W131" s="200"/>
      <c r="X131" s="200"/>
      <c r="Y131" s="200"/>
      <c r="Z131" s="200"/>
      <c r="AA131" s="201"/>
      <c r="AB131" s="200"/>
      <c r="AC131" s="200"/>
    </row>
    <row r="132" ht="15.0" customHeight="1">
      <c r="A132" s="210">
        <f t="shared" si="1"/>
        <v>130</v>
      </c>
      <c r="B132" s="204" t="s">
        <v>659</v>
      </c>
      <c r="C132" s="217" t="str">
        <f>IFERROR(VLOOKUP(B132, SourceData!$U$3:$V$190, 2, FALSE), "")</f>
        <v>Anelisse </v>
      </c>
      <c r="D132" s="205" t="s">
        <v>679</v>
      </c>
      <c r="E132" s="206">
        <v>0.6020833333333333</v>
      </c>
      <c r="F132" s="204" t="s">
        <v>329</v>
      </c>
      <c r="G132" s="215" t="s">
        <v>701</v>
      </c>
      <c r="H132" s="205" t="s">
        <v>702</v>
      </c>
      <c r="I132" s="205" t="s">
        <v>150</v>
      </c>
      <c r="J132" s="205" t="s">
        <v>332</v>
      </c>
      <c r="K132" s="208" t="str">
        <f>IF(Errors!$I132=0,SourceData!$B$42,VLOOKUP(Errors!$I132,SourceData!$A$2:$B$40,2,FALSE))</f>
        <v>Dealer drops cards in shoe/table while changing cards. </v>
      </c>
      <c r="L132" s="207"/>
      <c r="M132" s="209"/>
      <c r="N132" s="212" t="s">
        <v>310</v>
      </c>
      <c r="O132" s="226" t="s">
        <v>310</v>
      </c>
      <c r="P132" s="212" t="s">
        <v>310</v>
      </c>
      <c r="Q132" s="212" t="s">
        <v>310</v>
      </c>
      <c r="R132" s="204" t="s">
        <v>317</v>
      </c>
      <c r="S132" s="204" t="s">
        <v>362</v>
      </c>
      <c r="T132" s="204" t="s">
        <v>444</v>
      </c>
      <c r="U132" s="199"/>
      <c r="V132" s="200"/>
      <c r="W132" s="200"/>
      <c r="X132" s="200"/>
      <c r="Y132" s="200"/>
      <c r="Z132" s="200"/>
      <c r="AA132" s="201"/>
      <c r="AB132" s="200"/>
      <c r="AC132" s="200"/>
    </row>
    <row r="133" ht="15.0" customHeight="1">
      <c r="A133" s="210">
        <f t="shared" si="1"/>
        <v>131</v>
      </c>
      <c r="B133" s="204" t="s">
        <v>569</v>
      </c>
      <c r="C133" s="217" t="str">
        <f>IFERROR(VLOOKUP(B133, SourceData!$U$3:$V$190, 2, FALSE), "")</f>
        <v>Nana</v>
      </c>
      <c r="D133" s="205" t="s">
        <v>679</v>
      </c>
      <c r="E133" s="206">
        <v>0.6041666666666666</v>
      </c>
      <c r="F133" s="204" t="s">
        <v>343</v>
      </c>
      <c r="G133" s="215" t="s">
        <v>703</v>
      </c>
      <c r="H133" s="205" t="s">
        <v>704</v>
      </c>
      <c r="I133" s="205" t="s">
        <v>114</v>
      </c>
      <c r="J133" s="205" t="s">
        <v>332</v>
      </c>
      <c r="K133" s="208" t="str">
        <f>IF(Errors!$I133=0,SourceData!$B$42,VLOOKUP(Errors!$I133,SourceData!$A$2:$B$40,2,FALSE))</f>
        <v>Dealer exposed a card during betting time</v>
      </c>
      <c r="L133" s="207"/>
      <c r="M133" s="209"/>
      <c r="N133" s="212" t="s">
        <v>310</v>
      </c>
      <c r="O133" s="226" t="s">
        <v>310</v>
      </c>
      <c r="P133" s="212" t="s">
        <v>310</v>
      </c>
      <c r="Q133" s="212" t="s">
        <v>310</v>
      </c>
      <c r="R133" s="204" t="s">
        <v>317</v>
      </c>
      <c r="S133" s="204" t="s">
        <v>362</v>
      </c>
      <c r="T133" s="204" t="s">
        <v>705</v>
      </c>
      <c r="U133" s="199"/>
      <c r="V133" s="200"/>
      <c r="W133" s="200"/>
      <c r="X133" s="200"/>
      <c r="Y133" s="200"/>
      <c r="Z133" s="200"/>
      <c r="AA133" s="201"/>
      <c r="AB133" s="200"/>
      <c r="AC133" s="200"/>
    </row>
    <row r="134" ht="15.0" customHeight="1">
      <c r="A134" s="210">
        <f t="shared" si="1"/>
        <v>132</v>
      </c>
      <c r="B134" s="204" t="s">
        <v>569</v>
      </c>
      <c r="C134" s="217" t="str">
        <f>IFERROR(VLOOKUP(B134, SourceData!$U$3:$V$190, 2, FALSE), "")</f>
        <v>Nana</v>
      </c>
      <c r="D134" s="205" t="s">
        <v>679</v>
      </c>
      <c r="E134" s="206">
        <v>0.6041666666666666</v>
      </c>
      <c r="F134" s="204" t="s">
        <v>343</v>
      </c>
      <c r="G134" s="215" t="s">
        <v>703</v>
      </c>
      <c r="H134" s="205" t="s">
        <v>706</v>
      </c>
      <c r="I134" s="205" t="s">
        <v>114</v>
      </c>
      <c r="J134" s="205" t="s">
        <v>332</v>
      </c>
      <c r="K134" s="208" t="str">
        <f>IF(Errors!$I134=0,SourceData!$B$42,VLOOKUP(Errors!$I134,SourceData!$A$2:$B$40,2,FALSE))</f>
        <v>Dealer exposed a card during betting time</v>
      </c>
      <c r="L134" s="207"/>
      <c r="M134" s="209"/>
      <c r="N134" s="205" t="s">
        <v>309</v>
      </c>
      <c r="O134" s="205" t="s">
        <v>310</v>
      </c>
      <c r="P134" s="205" t="s">
        <v>309</v>
      </c>
      <c r="Q134" s="205" t="s">
        <v>309</v>
      </c>
      <c r="R134" s="204" t="s">
        <v>317</v>
      </c>
      <c r="S134" s="204" t="s">
        <v>362</v>
      </c>
      <c r="T134" s="204" t="s">
        <v>707</v>
      </c>
      <c r="U134" s="199"/>
      <c r="V134" s="200"/>
      <c r="W134" s="200"/>
      <c r="X134" s="200"/>
      <c r="Y134" s="200"/>
      <c r="Z134" s="200"/>
      <c r="AA134" s="201"/>
      <c r="AB134" s="200"/>
      <c r="AC134" s="200"/>
    </row>
    <row r="135" ht="15.0" customHeight="1">
      <c r="A135" s="210">
        <f t="shared" si="1"/>
        <v>133</v>
      </c>
      <c r="B135" s="204" t="s">
        <v>569</v>
      </c>
      <c r="C135" s="217" t="str">
        <f>IFERROR(VLOOKUP(B135, SourceData!$U$3:$V$190, 2, FALSE), "")</f>
        <v>Nana</v>
      </c>
      <c r="D135" s="205" t="s">
        <v>679</v>
      </c>
      <c r="E135" s="206">
        <v>0.6034722222222222</v>
      </c>
      <c r="F135" s="204" t="s">
        <v>343</v>
      </c>
      <c r="G135" s="215" t="s">
        <v>703</v>
      </c>
      <c r="H135" s="205" t="s">
        <v>708</v>
      </c>
      <c r="I135" s="205" t="s">
        <v>114</v>
      </c>
      <c r="J135" s="205" t="s">
        <v>332</v>
      </c>
      <c r="K135" s="208" t="str">
        <f>IF(Errors!$I135=0,SourceData!$B$42,VLOOKUP(Errors!$I135,SourceData!$A$2:$B$40,2,FALSE))</f>
        <v>Dealer exposed a card during betting time</v>
      </c>
      <c r="L135" s="207"/>
      <c r="M135" s="209"/>
      <c r="N135" s="205" t="s">
        <v>309</v>
      </c>
      <c r="O135" s="205" t="s">
        <v>310</v>
      </c>
      <c r="P135" s="205" t="s">
        <v>309</v>
      </c>
      <c r="Q135" s="205" t="s">
        <v>309</v>
      </c>
      <c r="R135" s="204" t="s">
        <v>317</v>
      </c>
      <c r="S135" s="204" t="s">
        <v>362</v>
      </c>
      <c r="T135" s="204" t="s">
        <v>707</v>
      </c>
      <c r="U135" s="199"/>
      <c r="V135" s="200"/>
      <c r="W135" s="200"/>
      <c r="X135" s="200"/>
      <c r="Y135" s="200"/>
      <c r="Z135" s="200"/>
      <c r="AA135" s="201"/>
      <c r="AB135" s="200"/>
      <c r="AC135" s="200"/>
    </row>
    <row r="136" ht="15.0" customHeight="1">
      <c r="A136" s="210">
        <f t="shared" si="1"/>
        <v>134</v>
      </c>
      <c r="B136" s="204" t="s">
        <v>709</v>
      </c>
      <c r="C136" s="217" t="str">
        <f>IFERROR(VLOOKUP(B136, SourceData!$U$3:$V$190, 2, FALSE), "")</f>
        <v>Kate</v>
      </c>
      <c r="D136" s="205" t="s">
        <v>679</v>
      </c>
      <c r="E136" s="206">
        <v>0.6451388888888889</v>
      </c>
      <c r="F136" s="204" t="s">
        <v>329</v>
      </c>
      <c r="G136" s="215" t="s">
        <v>710</v>
      </c>
      <c r="H136" s="205" t="s">
        <v>711</v>
      </c>
      <c r="I136" s="205" t="s">
        <v>56</v>
      </c>
      <c r="J136" s="205" t="s">
        <v>332</v>
      </c>
      <c r="K136" s="208" t="str">
        <f>IF(Errors!$I136=0,SourceData!$B$42,VLOOKUP(Errors!$I136,SourceData!$A$2:$B$40,2,FALSE))</f>
        <v>Interface error</v>
      </c>
      <c r="L136" s="207"/>
      <c r="M136" s="205" t="s">
        <v>338</v>
      </c>
      <c r="N136" s="212" t="s">
        <v>310</v>
      </c>
      <c r="O136" s="226" t="s">
        <v>310</v>
      </c>
      <c r="P136" s="212" t="s">
        <v>310</v>
      </c>
      <c r="Q136" s="212" t="s">
        <v>310</v>
      </c>
      <c r="R136" s="204" t="s">
        <v>413</v>
      </c>
      <c r="S136" s="204" t="s">
        <v>326</v>
      </c>
      <c r="T136" s="204" t="s">
        <v>712</v>
      </c>
      <c r="U136" s="199"/>
      <c r="V136" s="200"/>
      <c r="W136" s="200"/>
      <c r="X136" s="200"/>
      <c r="Y136" s="200"/>
      <c r="Z136" s="200"/>
      <c r="AA136" s="201"/>
      <c r="AB136" s="200"/>
      <c r="AC136" s="200"/>
    </row>
    <row r="137" ht="15.0" customHeight="1">
      <c r="A137" s="210">
        <f t="shared" si="1"/>
        <v>135</v>
      </c>
      <c r="B137" s="204" t="s">
        <v>562</v>
      </c>
      <c r="C137" s="217" t="str">
        <f>IFERROR(VLOOKUP(B137, SourceData!$U$3:$V$190, 2, FALSE), "")</f>
        <v>Lucky</v>
      </c>
      <c r="D137" s="205" t="s">
        <v>679</v>
      </c>
      <c r="E137" s="206">
        <v>0.8472222222222222</v>
      </c>
      <c r="F137" s="204" t="s">
        <v>352</v>
      </c>
      <c r="G137" s="215" t="s">
        <v>713</v>
      </c>
      <c r="H137" s="205" t="s">
        <v>714</v>
      </c>
      <c r="I137" s="205" t="s">
        <v>150</v>
      </c>
      <c r="J137" s="205" t="s">
        <v>332</v>
      </c>
      <c r="K137" s="208" t="str">
        <f>IF(Errors!$I137=0,SourceData!$B$42,VLOOKUP(Errors!$I137,SourceData!$A$2:$B$40,2,FALSE))</f>
        <v>Dealer drops cards in shoe/table while changing cards. </v>
      </c>
      <c r="L137" s="207"/>
      <c r="M137" s="209"/>
      <c r="N137" s="212" t="s">
        <v>310</v>
      </c>
      <c r="O137" s="226" t="s">
        <v>310</v>
      </c>
      <c r="P137" s="212" t="s">
        <v>310</v>
      </c>
      <c r="Q137" s="212" t="s">
        <v>310</v>
      </c>
      <c r="R137" s="204" t="s">
        <v>413</v>
      </c>
      <c r="S137" s="204" t="s">
        <v>488</v>
      </c>
      <c r="T137" s="204" t="s">
        <v>444</v>
      </c>
      <c r="U137" s="199"/>
      <c r="V137" s="200"/>
      <c r="W137" s="200"/>
      <c r="X137" s="200"/>
      <c r="Y137" s="200"/>
      <c r="Z137" s="200"/>
      <c r="AA137" s="201"/>
      <c r="AB137" s="200"/>
      <c r="AC137" s="200"/>
    </row>
    <row r="138" ht="15.0" customHeight="1">
      <c r="A138" s="210">
        <f t="shared" si="1"/>
        <v>136</v>
      </c>
      <c r="B138" s="204" t="s">
        <v>562</v>
      </c>
      <c r="C138" s="217" t="str">
        <f>IFERROR(VLOOKUP(B138, SourceData!$U$3:$V$190, 2, FALSE), "")</f>
        <v>Lucky</v>
      </c>
      <c r="D138" s="205" t="s">
        <v>679</v>
      </c>
      <c r="E138" s="206">
        <v>0.9201388888888888</v>
      </c>
      <c r="F138" s="204" t="s">
        <v>343</v>
      </c>
      <c r="G138" s="215" t="s">
        <v>715</v>
      </c>
      <c r="H138" s="205" t="s">
        <v>716</v>
      </c>
      <c r="I138" s="205" t="s">
        <v>114</v>
      </c>
      <c r="J138" s="205" t="s">
        <v>332</v>
      </c>
      <c r="K138" s="208" t="str">
        <f>IF(Errors!$I138=0,SourceData!$B$42,VLOOKUP(Errors!$I138,SourceData!$A$2:$B$40,2,FALSE))</f>
        <v>Dealer exposed a card during betting time</v>
      </c>
      <c r="L138" s="207"/>
      <c r="M138" s="209"/>
      <c r="N138" s="205" t="s">
        <v>309</v>
      </c>
      <c r="O138" s="226" t="s">
        <v>310</v>
      </c>
      <c r="P138" s="212" t="s">
        <v>310</v>
      </c>
      <c r="Q138" s="212" t="s">
        <v>310</v>
      </c>
      <c r="R138" s="204" t="s">
        <v>413</v>
      </c>
      <c r="S138" s="204" t="s">
        <v>318</v>
      </c>
      <c r="T138" s="204" t="s">
        <v>403</v>
      </c>
      <c r="U138" s="199"/>
      <c r="V138" s="200"/>
      <c r="W138" s="200"/>
      <c r="X138" s="200"/>
      <c r="Y138" s="200"/>
      <c r="Z138" s="200"/>
      <c r="AA138" s="201"/>
      <c r="AB138" s="200"/>
      <c r="AC138" s="200"/>
    </row>
    <row r="139" ht="15.0" customHeight="1">
      <c r="A139" s="210">
        <f t="shared" si="1"/>
        <v>137</v>
      </c>
      <c r="B139" s="204" t="s">
        <v>666</v>
      </c>
      <c r="C139" s="217" t="str">
        <f>IFERROR(VLOOKUP(B139, SourceData!$U$3:$V$190, 2, FALSE), "")</f>
        <v>Taurus</v>
      </c>
      <c r="D139" s="205" t="s">
        <v>679</v>
      </c>
      <c r="E139" s="206">
        <v>0.9736111111111111</v>
      </c>
      <c r="F139" s="204" t="s">
        <v>396</v>
      </c>
      <c r="G139" s="215" t="s">
        <v>717</v>
      </c>
      <c r="H139" s="205" t="s">
        <v>718</v>
      </c>
      <c r="I139" s="205" t="s">
        <v>201</v>
      </c>
      <c r="J139" s="205" t="s">
        <v>332</v>
      </c>
      <c r="K139" s="208" t="str">
        <f>IF(Errors!$I139=0,SourceData!$B$42,VLOOKUP(Errors!$I139,SourceData!$A$2:$B$40,2,FALSE))</f>
        <v>Card is placed but not scanned (no further cards have been scanned)</v>
      </c>
      <c r="L139" s="207"/>
      <c r="M139" s="209"/>
      <c r="N139" s="226" t="s">
        <v>310</v>
      </c>
      <c r="O139" s="226" t="s">
        <v>310</v>
      </c>
      <c r="P139" s="212" t="s">
        <v>310</v>
      </c>
      <c r="Q139" s="212" t="s">
        <v>310</v>
      </c>
      <c r="R139" s="204" t="s">
        <v>413</v>
      </c>
      <c r="S139" s="204" t="s">
        <v>488</v>
      </c>
      <c r="T139" s="204" t="s">
        <v>719</v>
      </c>
      <c r="U139" s="199"/>
      <c r="V139" s="200"/>
      <c r="W139" s="200"/>
      <c r="X139" s="200"/>
      <c r="Y139" s="200"/>
      <c r="Z139" s="200"/>
      <c r="AA139" s="201"/>
      <c r="AB139" s="200"/>
      <c r="AC139" s="200"/>
    </row>
    <row r="140" ht="15.0" customHeight="1">
      <c r="A140" s="210">
        <f t="shared" si="1"/>
        <v>138</v>
      </c>
      <c r="B140" s="204" t="s">
        <v>374</v>
      </c>
      <c r="C140" s="217" t="str">
        <f>IFERROR(VLOOKUP(B140, SourceData!$U$3:$V$190, 2, FALSE), "")</f>
        <v>Monica</v>
      </c>
      <c r="D140" s="205" t="s">
        <v>720</v>
      </c>
      <c r="E140" s="206">
        <v>0.0125</v>
      </c>
      <c r="F140" s="204" t="s">
        <v>376</v>
      </c>
      <c r="G140" s="207"/>
      <c r="H140" s="205" t="s">
        <v>721</v>
      </c>
      <c r="I140" s="205" t="s">
        <v>132</v>
      </c>
      <c r="J140" s="205" t="s">
        <v>308</v>
      </c>
      <c r="K140" s="208" t="str">
        <f>IF(Errors!$I140=0,SourceData!$B$42,VLOOKUP(Errors!$I140,SourceData!$A$2:$B$40,2,FALSE))</f>
        <v>Ball falls out of the wheel </v>
      </c>
      <c r="L140" s="207"/>
      <c r="M140" s="209"/>
      <c r="N140" s="205" t="s">
        <v>309</v>
      </c>
      <c r="O140" s="205" t="s">
        <v>309</v>
      </c>
      <c r="P140" s="205" t="s">
        <v>310</v>
      </c>
      <c r="Q140" s="205" t="s">
        <v>310</v>
      </c>
      <c r="R140" s="204" t="s">
        <v>325</v>
      </c>
      <c r="S140" s="204" t="s">
        <v>339</v>
      </c>
      <c r="T140" s="204" t="s">
        <v>438</v>
      </c>
      <c r="U140" s="199"/>
      <c r="V140" s="200"/>
      <c r="W140" s="200"/>
      <c r="X140" s="200"/>
      <c r="Y140" s="200"/>
      <c r="Z140" s="200"/>
      <c r="AA140" s="201"/>
      <c r="AB140" s="200"/>
      <c r="AC140" s="200"/>
    </row>
    <row r="141" ht="15.0" customHeight="1">
      <c r="A141" s="210">
        <f t="shared" si="1"/>
        <v>139</v>
      </c>
      <c r="B141" s="204" t="s">
        <v>722</v>
      </c>
      <c r="C141" s="217" t="str">
        <f>IFERROR(VLOOKUP(B141, SourceData!$U$3:$V$190, 2, FALSE), "")</f>
        <v>Jasmine</v>
      </c>
      <c r="D141" s="205" t="s">
        <v>720</v>
      </c>
      <c r="E141" s="206">
        <v>0.04513888888888889</v>
      </c>
      <c r="F141" s="204" t="s">
        <v>323</v>
      </c>
      <c r="G141" s="207"/>
      <c r="H141" s="205" t="s">
        <v>723</v>
      </c>
      <c r="I141" s="205" t="s">
        <v>120</v>
      </c>
      <c r="J141" s="205" t="s">
        <v>308</v>
      </c>
      <c r="K141" s="208" t="str">
        <f>IF(Errors!$I141=0,SourceData!$B$42,VLOOKUP(Errors!$I141,SourceData!$A$2:$B$40,2,FALSE))</f>
        <v>Drop ball</v>
      </c>
      <c r="L141" s="207"/>
      <c r="M141" s="209"/>
      <c r="N141" s="205" t="s">
        <v>309</v>
      </c>
      <c r="O141" s="205" t="s">
        <v>309</v>
      </c>
      <c r="P141" s="205" t="s">
        <v>310</v>
      </c>
      <c r="Q141" s="205" t="s">
        <v>310</v>
      </c>
      <c r="R141" s="204" t="s">
        <v>325</v>
      </c>
      <c r="S141" s="204" t="s">
        <v>452</v>
      </c>
      <c r="T141" s="204" t="s">
        <v>438</v>
      </c>
      <c r="U141" s="199"/>
      <c r="V141" s="200"/>
      <c r="W141" s="200"/>
      <c r="X141" s="200"/>
      <c r="Y141" s="200"/>
      <c r="Z141" s="200"/>
      <c r="AA141" s="201"/>
      <c r="AB141" s="200"/>
      <c r="AC141" s="200"/>
    </row>
    <row r="142" ht="15.0" customHeight="1">
      <c r="A142" s="210">
        <f t="shared" si="1"/>
        <v>140</v>
      </c>
      <c r="B142" s="204" t="s">
        <v>489</v>
      </c>
      <c r="C142" s="217" t="str">
        <f>IFERROR(VLOOKUP(B142, SourceData!$U$3:$V$190, 2, FALSE), "")</f>
        <v>Lulu</v>
      </c>
      <c r="D142" s="205" t="s">
        <v>720</v>
      </c>
      <c r="E142" s="206">
        <v>0.2423611111111111</v>
      </c>
      <c r="F142" s="204" t="s">
        <v>400</v>
      </c>
      <c r="G142" s="215" t="s">
        <v>724</v>
      </c>
      <c r="H142" s="205" t="s">
        <v>725</v>
      </c>
      <c r="I142" s="205" t="s">
        <v>150</v>
      </c>
      <c r="J142" s="205" t="s">
        <v>332</v>
      </c>
      <c r="K142" s="208" t="str">
        <f>IF(Errors!$I142=0,SourceData!$B$42,VLOOKUP(Errors!$I142,SourceData!$A$2:$B$40,2,FALSE))</f>
        <v>Dealer drops cards in shoe/table while changing cards. </v>
      </c>
      <c r="L142" s="207"/>
      <c r="M142" s="209"/>
      <c r="N142" s="212" t="s">
        <v>310</v>
      </c>
      <c r="O142" s="226" t="s">
        <v>310</v>
      </c>
      <c r="P142" s="212" t="s">
        <v>310</v>
      </c>
      <c r="Q142" s="212" t="s">
        <v>310</v>
      </c>
      <c r="R142" s="204" t="s">
        <v>325</v>
      </c>
      <c r="S142" s="204" t="s">
        <v>452</v>
      </c>
      <c r="T142" s="204" t="s">
        <v>444</v>
      </c>
      <c r="U142" s="199"/>
      <c r="V142" s="200"/>
      <c r="W142" s="200"/>
      <c r="X142" s="200"/>
      <c r="Y142" s="200"/>
      <c r="Z142" s="200"/>
      <c r="AA142" s="201"/>
      <c r="AB142" s="200"/>
      <c r="AC142" s="200"/>
    </row>
    <row r="143" ht="15.0" customHeight="1">
      <c r="A143" s="210">
        <f t="shared" si="1"/>
        <v>141</v>
      </c>
      <c r="B143" s="204" t="s">
        <v>698</v>
      </c>
      <c r="C143" s="217" t="str">
        <f>IFERROR(VLOOKUP(B143, SourceData!$U$3:$V$190, 2, FALSE), "")</f>
        <v>Sofia</v>
      </c>
      <c r="D143" s="205" t="s">
        <v>720</v>
      </c>
      <c r="E143" s="206">
        <v>0.3388888888888889</v>
      </c>
      <c r="F143" s="204" t="s">
        <v>400</v>
      </c>
      <c r="G143" s="215" t="s">
        <v>726</v>
      </c>
      <c r="H143" s="205" t="s">
        <v>727</v>
      </c>
      <c r="I143" s="205" t="s">
        <v>56</v>
      </c>
      <c r="J143" s="205" t="s">
        <v>332</v>
      </c>
      <c r="K143" s="208" t="str">
        <f>IF(Errors!$I143=0,SourceData!$B$42,VLOOKUP(Errors!$I143,SourceData!$A$2:$B$40,2,FALSE))</f>
        <v>Interface error</v>
      </c>
      <c r="L143" s="207"/>
      <c r="M143" s="205" t="s">
        <v>338</v>
      </c>
      <c r="N143" s="212" t="s">
        <v>310</v>
      </c>
      <c r="O143" s="226" t="s">
        <v>310</v>
      </c>
      <c r="P143" s="212" t="s">
        <v>310</v>
      </c>
      <c r="Q143" s="212" t="s">
        <v>310</v>
      </c>
      <c r="R143" s="204" t="s">
        <v>317</v>
      </c>
      <c r="S143" s="204" t="s">
        <v>326</v>
      </c>
      <c r="T143" s="204" t="s">
        <v>728</v>
      </c>
      <c r="U143" s="199"/>
      <c r="V143" s="200"/>
      <c r="W143" s="200"/>
      <c r="X143" s="200"/>
      <c r="Y143" s="200"/>
      <c r="Z143" s="200"/>
      <c r="AA143" s="201"/>
      <c r="AB143" s="200"/>
      <c r="AC143" s="200"/>
    </row>
    <row r="144" ht="15.0" customHeight="1">
      <c r="A144" s="210">
        <f t="shared" si="1"/>
        <v>142</v>
      </c>
      <c r="B144" s="204" t="s">
        <v>729</v>
      </c>
      <c r="C144" s="217" t="str">
        <f>IFERROR(VLOOKUP(B144, SourceData!$U$3:$V$190, 2, FALSE), "")</f>
        <v>Bree</v>
      </c>
      <c r="D144" s="205" t="s">
        <v>720</v>
      </c>
      <c r="E144" s="206">
        <v>0.35208333333333336</v>
      </c>
      <c r="F144" s="204" t="s">
        <v>323</v>
      </c>
      <c r="G144" s="207"/>
      <c r="H144" s="205" t="s">
        <v>730</v>
      </c>
      <c r="I144" s="205" t="s">
        <v>116</v>
      </c>
      <c r="J144" s="205" t="s">
        <v>308</v>
      </c>
      <c r="K144" s="208" t="str">
        <f>IF(Errors!$I144=0,SourceData!$B$42,VLOOKUP(Errors!$I144,SourceData!$A$2:$B$40,2,FALSE))</f>
        <v>Ball did not make 4 revolutions</v>
      </c>
      <c r="L144" s="207"/>
      <c r="M144" s="209"/>
      <c r="N144" s="205" t="s">
        <v>309</v>
      </c>
      <c r="O144" s="205" t="s">
        <v>309</v>
      </c>
      <c r="P144" s="205" t="s">
        <v>310</v>
      </c>
      <c r="Q144" s="205" t="s">
        <v>310</v>
      </c>
      <c r="R144" s="204" t="s">
        <v>317</v>
      </c>
      <c r="S144" s="204" t="s">
        <v>326</v>
      </c>
      <c r="T144" s="204" t="s">
        <v>438</v>
      </c>
      <c r="U144" s="199"/>
      <c r="V144" s="200"/>
      <c r="W144" s="200"/>
      <c r="X144" s="200"/>
      <c r="Y144" s="200"/>
      <c r="Z144" s="200"/>
      <c r="AA144" s="201"/>
      <c r="AB144" s="200"/>
      <c r="AC144" s="200"/>
    </row>
    <row r="145" ht="15.0" customHeight="1">
      <c r="A145" s="235">
        <f t="shared" si="1"/>
        <v>143</v>
      </c>
      <c r="B145" s="204" t="s">
        <v>510</v>
      </c>
      <c r="C145" s="217" t="str">
        <f>IFERROR(VLOOKUP(B145, SourceData!$U$3:$V$190, 2, FALSE), "")</f>
        <v>Sapphire</v>
      </c>
      <c r="D145" s="205" t="s">
        <v>720</v>
      </c>
      <c r="E145" s="206">
        <v>0.40902777777777777</v>
      </c>
      <c r="F145" s="204" t="s">
        <v>396</v>
      </c>
      <c r="G145" s="215" t="s">
        <v>731</v>
      </c>
      <c r="H145" s="205" t="s">
        <v>732</v>
      </c>
      <c r="I145" s="205" t="s">
        <v>122</v>
      </c>
      <c r="J145" s="205" t="s">
        <v>332</v>
      </c>
      <c r="K145" s="208" t="str">
        <f>IF(Errors!$I145=0,SourceData!$B$42,VLOOKUP(Errors!$I145,SourceData!$A$2:$B$40,2,FALSE))</f>
        <v>Burn card(s) exposed/too many cards burned - during burn procedure (during card change procedure)</v>
      </c>
      <c r="L145" s="207"/>
      <c r="M145" s="209"/>
      <c r="N145" s="205" t="s">
        <v>309</v>
      </c>
      <c r="O145" s="205" t="s">
        <v>310</v>
      </c>
      <c r="P145" s="205" t="s">
        <v>309</v>
      </c>
      <c r="Q145" s="216" t="s">
        <v>309</v>
      </c>
      <c r="R145" s="204" t="s">
        <v>317</v>
      </c>
      <c r="S145" s="204" t="s">
        <v>326</v>
      </c>
      <c r="T145" s="204" t="s">
        <v>733</v>
      </c>
      <c r="U145" s="199"/>
      <c r="V145" s="200"/>
      <c r="W145" s="200"/>
      <c r="X145" s="200"/>
      <c r="Y145" s="200"/>
      <c r="Z145" s="200"/>
      <c r="AA145" s="201"/>
      <c r="AB145" s="200"/>
      <c r="AC145" s="200"/>
    </row>
    <row r="146" ht="15.0" customHeight="1">
      <c r="A146" s="210">
        <f t="shared" si="1"/>
        <v>144</v>
      </c>
      <c r="B146" s="204" t="s">
        <v>734</v>
      </c>
      <c r="C146" s="217" t="str">
        <f>IFERROR(VLOOKUP(B146, SourceData!$U$3:$V$190, 2, FALSE), "")</f>
        <v>Aria</v>
      </c>
      <c r="D146" s="205" t="s">
        <v>720</v>
      </c>
      <c r="E146" s="206">
        <v>0.4791666666666667</v>
      </c>
      <c r="F146" s="204" t="s">
        <v>400</v>
      </c>
      <c r="G146" s="215" t="s">
        <v>735</v>
      </c>
      <c r="H146" s="205" t="s">
        <v>736</v>
      </c>
      <c r="I146" s="205" t="s">
        <v>139</v>
      </c>
      <c r="J146" s="205" t="s">
        <v>332</v>
      </c>
      <c r="K146" s="208" t="str">
        <f>IF(Errors!$I146=0,SourceData!$B$42,VLOOKUP(Errors!$I146,SourceData!$A$2:$B$40,2,FALSE))</f>
        <v>GP doesn't wait for 3 seconds after the card change which causes card not scanned/cards scanned in wrong order</v>
      </c>
      <c r="L146" s="207"/>
      <c r="M146" s="209"/>
      <c r="N146" s="212" t="s">
        <v>310</v>
      </c>
      <c r="O146" s="226" t="s">
        <v>310</v>
      </c>
      <c r="P146" s="212" t="s">
        <v>310</v>
      </c>
      <c r="Q146" s="212" t="s">
        <v>310</v>
      </c>
      <c r="R146" s="204" t="s">
        <v>317</v>
      </c>
      <c r="S146" s="204" t="s">
        <v>326</v>
      </c>
      <c r="T146" s="204" t="s">
        <v>737</v>
      </c>
      <c r="U146" s="199"/>
      <c r="V146" s="200"/>
      <c r="W146" s="200"/>
      <c r="X146" s="200"/>
      <c r="Y146" s="200"/>
      <c r="Z146" s="200"/>
      <c r="AA146" s="201"/>
      <c r="AB146" s="200"/>
      <c r="AC146" s="200"/>
    </row>
    <row r="147" ht="15.0" customHeight="1">
      <c r="A147" s="235">
        <f t="shared" si="1"/>
        <v>145</v>
      </c>
      <c r="B147" s="204" t="s">
        <v>569</v>
      </c>
      <c r="C147" s="217" t="str">
        <f>IFERROR(VLOOKUP(B147, SourceData!$U$3:$V$190, 2, FALSE), "")</f>
        <v>Nana</v>
      </c>
      <c r="D147" s="205" t="s">
        <v>720</v>
      </c>
      <c r="E147" s="206">
        <v>0.49236111111111114</v>
      </c>
      <c r="F147" s="204" t="s">
        <v>343</v>
      </c>
      <c r="G147" s="215" t="s">
        <v>738</v>
      </c>
      <c r="H147" s="205" t="s">
        <v>739</v>
      </c>
      <c r="I147" s="205" t="s">
        <v>162</v>
      </c>
      <c r="J147" s="205" t="s">
        <v>332</v>
      </c>
      <c r="K147" s="208" t="str">
        <f>IF(Errors!$I147=0,SourceData!$B$42,VLOOKUP(Errors!$I147,SourceData!$A$2:$B$40,2,FALSE))</f>
        <v>Dealer failed to finish the game and started a new game. (Dealt and discarded the cards without scanning them and similar cases)</v>
      </c>
      <c r="L147" s="207"/>
      <c r="M147" s="209"/>
      <c r="N147" s="212" t="s">
        <v>310</v>
      </c>
      <c r="O147" s="226" t="s">
        <v>310</v>
      </c>
      <c r="P147" s="212" t="s">
        <v>310</v>
      </c>
      <c r="Q147" s="212" t="s">
        <v>310</v>
      </c>
      <c r="R147" s="204" t="s">
        <v>317</v>
      </c>
      <c r="S147" s="204" t="s">
        <v>367</v>
      </c>
      <c r="T147" s="204" t="s">
        <v>740</v>
      </c>
      <c r="U147" s="199"/>
      <c r="V147" s="200"/>
      <c r="W147" s="200"/>
      <c r="X147" s="200"/>
      <c r="Y147" s="200"/>
      <c r="Z147" s="200"/>
      <c r="AA147" s="201"/>
      <c r="AB147" s="200"/>
      <c r="AC147" s="200"/>
    </row>
    <row r="148" ht="15.0" customHeight="1">
      <c r="A148" s="210">
        <f t="shared" si="1"/>
        <v>146</v>
      </c>
      <c r="B148" s="204" t="s">
        <v>521</v>
      </c>
      <c r="C148" s="217" t="str">
        <f>IFERROR(VLOOKUP(B148, SourceData!$U$3:$V$190, 2, FALSE), "")</f>
        <v>Nate</v>
      </c>
      <c r="D148" s="205" t="s">
        <v>720</v>
      </c>
      <c r="E148" s="206">
        <v>0.5875</v>
      </c>
      <c r="F148" s="204" t="s">
        <v>396</v>
      </c>
      <c r="G148" s="215" t="s">
        <v>741</v>
      </c>
      <c r="H148" s="205" t="s">
        <v>742</v>
      </c>
      <c r="I148" s="205" t="s">
        <v>56</v>
      </c>
      <c r="J148" s="205" t="s">
        <v>332</v>
      </c>
      <c r="K148" s="208" t="str">
        <f>IF(Errors!$I148=0,SourceData!$B$42,VLOOKUP(Errors!$I148,SourceData!$A$2:$B$40,2,FALSE))</f>
        <v>Interface error</v>
      </c>
      <c r="L148" s="207"/>
      <c r="M148" s="205" t="s">
        <v>696</v>
      </c>
      <c r="N148" s="212" t="s">
        <v>310</v>
      </c>
      <c r="O148" s="226" t="s">
        <v>310</v>
      </c>
      <c r="P148" s="212" t="s">
        <v>310</v>
      </c>
      <c r="Q148" s="226" t="s">
        <v>310</v>
      </c>
      <c r="R148" s="204" t="s">
        <v>317</v>
      </c>
      <c r="S148" s="204" t="s">
        <v>470</v>
      </c>
      <c r="T148" s="204" t="s">
        <v>743</v>
      </c>
      <c r="U148" s="199"/>
      <c r="V148" s="200"/>
      <c r="W148" s="200"/>
      <c r="X148" s="200"/>
      <c r="Y148" s="200"/>
      <c r="Z148" s="200"/>
      <c r="AA148" s="201"/>
      <c r="AB148" s="200"/>
      <c r="AC148" s="200"/>
    </row>
    <row r="149" ht="15.0" customHeight="1">
      <c r="A149" s="210">
        <f t="shared" si="1"/>
        <v>147</v>
      </c>
      <c r="B149" s="204" t="s">
        <v>562</v>
      </c>
      <c r="C149" s="217" t="str">
        <f>IFERROR(VLOOKUP(B149, SourceData!$U$3:$V$190, 2, FALSE), "")</f>
        <v>Lucky</v>
      </c>
      <c r="D149" s="205" t="s">
        <v>720</v>
      </c>
      <c r="E149" s="206">
        <v>0.7423611111111111</v>
      </c>
      <c r="F149" s="204" t="s">
        <v>352</v>
      </c>
      <c r="G149" s="215" t="s">
        <v>744</v>
      </c>
      <c r="H149" s="205" t="s">
        <v>745</v>
      </c>
      <c r="I149" s="205" t="s">
        <v>201</v>
      </c>
      <c r="J149" s="205" t="s">
        <v>332</v>
      </c>
      <c r="K149" s="208" t="str">
        <f>IF(Errors!$I149=0,SourceData!$B$42,VLOOKUP(Errors!$I149,SourceData!$A$2:$B$40,2,FALSE))</f>
        <v>Card is placed but not scanned (no further cards have been scanned)</v>
      </c>
      <c r="L149" s="207"/>
      <c r="M149" s="209"/>
      <c r="N149" s="212" t="s">
        <v>310</v>
      </c>
      <c r="O149" s="226" t="s">
        <v>310</v>
      </c>
      <c r="P149" s="212" t="s">
        <v>310</v>
      </c>
      <c r="Q149" s="212" t="s">
        <v>310</v>
      </c>
      <c r="R149" s="204" t="s">
        <v>361</v>
      </c>
      <c r="S149" s="204" t="s">
        <v>347</v>
      </c>
      <c r="T149" s="204" t="s">
        <v>746</v>
      </c>
      <c r="U149" s="199"/>
      <c r="V149" s="200"/>
      <c r="W149" s="200"/>
      <c r="X149" s="200"/>
      <c r="Y149" s="200"/>
      <c r="Z149" s="200"/>
      <c r="AA149" s="201"/>
      <c r="AB149" s="200"/>
      <c r="AC149" s="200"/>
    </row>
    <row r="150" ht="15.0" customHeight="1">
      <c r="A150" s="210">
        <f t="shared" si="1"/>
        <v>148</v>
      </c>
      <c r="B150" s="204" t="s">
        <v>562</v>
      </c>
      <c r="C150" s="217" t="str">
        <f>IFERROR(VLOOKUP(B150, SourceData!$U$3:$V$190, 2, FALSE), "")</f>
        <v>Lucky</v>
      </c>
      <c r="D150" s="205" t="s">
        <v>720</v>
      </c>
      <c r="E150" s="206">
        <v>0.975</v>
      </c>
      <c r="F150" s="204" t="s">
        <v>306</v>
      </c>
      <c r="G150" s="207"/>
      <c r="H150" s="205" t="s">
        <v>747</v>
      </c>
      <c r="I150" s="205" t="s">
        <v>132</v>
      </c>
      <c r="J150" s="205" t="s">
        <v>308</v>
      </c>
      <c r="K150" s="208" t="str">
        <f>IF(Errors!$I150=0,SourceData!$B$42,VLOOKUP(Errors!$I150,SourceData!$A$2:$B$40,2,FALSE))</f>
        <v>Ball falls out of the wheel </v>
      </c>
      <c r="L150" s="207"/>
      <c r="M150" s="209"/>
      <c r="N150" s="205" t="s">
        <v>309</v>
      </c>
      <c r="O150" s="205" t="s">
        <v>309</v>
      </c>
      <c r="P150" s="212" t="s">
        <v>310</v>
      </c>
      <c r="Q150" s="212" t="s">
        <v>310</v>
      </c>
      <c r="R150" s="204" t="s">
        <v>361</v>
      </c>
      <c r="S150" s="204" t="s">
        <v>318</v>
      </c>
      <c r="T150" s="204" t="s">
        <v>438</v>
      </c>
      <c r="U150" s="199"/>
      <c r="V150" s="200"/>
      <c r="W150" s="200"/>
      <c r="X150" s="200"/>
      <c r="Y150" s="200"/>
      <c r="Z150" s="200"/>
      <c r="AA150" s="201"/>
      <c r="AB150" s="200"/>
      <c r="AC150" s="200"/>
    </row>
    <row r="151" ht="15.0" customHeight="1">
      <c r="A151" s="210">
        <f t="shared" si="1"/>
        <v>149</v>
      </c>
      <c r="B151" s="204" t="s">
        <v>374</v>
      </c>
      <c r="C151" s="217" t="str">
        <f>IFERROR(VLOOKUP(B151, SourceData!$U$3:$V$190, 2, FALSE), "")</f>
        <v>Monica</v>
      </c>
      <c r="D151" s="205" t="s">
        <v>748</v>
      </c>
      <c r="E151" s="206">
        <v>0.1375</v>
      </c>
      <c r="F151" s="204" t="s">
        <v>400</v>
      </c>
      <c r="G151" s="215" t="s">
        <v>749</v>
      </c>
      <c r="H151" s="205" t="s">
        <v>750</v>
      </c>
      <c r="I151" s="205" t="s">
        <v>150</v>
      </c>
      <c r="J151" s="205" t="s">
        <v>332</v>
      </c>
      <c r="K151" s="208" t="str">
        <f>IF(Errors!$I151=0,SourceData!$B$42,VLOOKUP(Errors!$I151,SourceData!$A$2:$B$40,2,FALSE))</f>
        <v>Dealer drops cards in shoe/table while changing cards. </v>
      </c>
      <c r="L151" s="207"/>
      <c r="M151" s="209"/>
      <c r="N151" s="212" t="s">
        <v>310</v>
      </c>
      <c r="O151" s="226" t="s">
        <v>310</v>
      </c>
      <c r="P151" s="212" t="s">
        <v>310</v>
      </c>
      <c r="Q151" s="212" t="s">
        <v>310</v>
      </c>
      <c r="R151" s="204" t="s">
        <v>325</v>
      </c>
      <c r="S151" s="204" t="s">
        <v>312</v>
      </c>
      <c r="T151" s="204" t="s">
        <v>444</v>
      </c>
      <c r="U151" s="199"/>
      <c r="V151" s="200"/>
      <c r="W151" s="200"/>
      <c r="X151" s="200"/>
      <c r="Y151" s="200"/>
      <c r="Z151" s="200"/>
      <c r="AA151" s="201"/>
      <c r="AB151" s="200"/>
      <c r="AC151" s="200"/>
    </row>
    <row r="152" ht="15.0" customHeight="1">
      <c r="A152" s="210">
        <f t="shared" si="1"/>
        <v>150</v>
      </c>
      <c r="B152" s="204" t="s">
        <v>751</v>
      </c>
      <c r="C152" s="217" t="str">
        <f>IFERROR(VLOOKUP(B152, SourceData!$U$3:$V$190, 2, FALSE), "")</f>
        <v>Lily</v>
      </c>
      <c r="D152" s="205" t="s">
        <v>748</v>
      </c>
      <c r="E152" s="206">
        <v>0.2326388888888889</v>
      </c>
      <c r="F152" s="204" t="s">
        <v>376</v>
      </c>
      <c r="G152" s="207"/>
      <c r="H152" s="205" t="s">
        <v>752</v>
      </c>
      <c r="I152" s="205" t="s">
        <v>66</v>
      </c>
      <c r="J152" s="205" t="s">
        <v>308</v>
      </c>
      <c r="K152" s="208" t="str">
        <f>IF(Errors!$I152=0,SourceData!$B$42,VLOOKUP(Errors!$I152,SourceData!$A$2:$B$40,2,FALSE))</f>
        <v>Dealer felt bad or unwell.</v>
      </c>
      <c r="L152" s="207"/>
      <c r="M152" s="209"/>
      <c r="N152" s="212" t="s">
        <v>310</v>
      </c>
      <c r="O152" s="226" t="s">
        <v>310</v>
      </c>
      <c r="P152" s="212" t="s">
        <v>310</v>
      </c>
      <c r="Q152" s="212" t="s">
        <v>310</v>
      </c>
      <c r="R152" s="204" t="s">
        <v>325</v>
      </c>
      <c r="S152" s="204" t="s">
        <v>503</v>
      </c>
      <c r="T152" s="204" t="s">
        <v>753</v>
      </c>
      <c r="U152" s="199"/>
      <c r="V152" s="200"/>
      <c r="W152" s="200"/>
      <c r="X152" s="200"/>
      <c r="Y152" s="200"/>
      <c r="Z152" s="200"/>
      <c r="AA152" s="201"/>
      <c r="AB152" s="200"/>
      <c r="AC152" s="200"/>
    </row>
    <row r="153" ht="15.0" customHeight="1">
      <c r="A153" s="210">
        <f t="shared" si="1"/>
        <v>151</v>
      </c>
      <c r="B153" s="204" t="s">
        <v>613</v>
      </c>
      <c r="C153" s="217" t="str">
        <f>IFERROR(VLOOKUP(B153, SourceData!$U$3:$V$190, 2, FALSE), "")</f>
        <v>Leo</v>
      </c>
      <c r="D153" s="205" t="s">
        <v>748</v>
      </c>
      <c r="E153" s="206">
        <v>0.4013888888888889</v>
      </c>
      <c r="F153" s="204" t="s">
        <v>376</v>
      </c>
      <c r="G153" s="207"/>
      <c r="H153" s="205" t="s">
        <v>754</v>
      </c>
      <c r="I153" s="205" t="s">
        <v>132</v>
      </c>
      <c r="J153" s="205" t="s">
        <v>308</v>
      </c>
      <c r="K153" s="208" t="str">
        <f>IF(Errors!$I153=0,SourceData!$B$42,VLOOKUP(Errors!$I153,SourceData!$A$2:$B$40,2,FALSE))</f>
        <v>Ball falls out of the wheel </v>
      </c>
      <c r="L153" s="207"/>
      <c r="M153" s="209"/>
      <c r="N153" s="205" t="s">
        <v>309</v>
      </c>
      <c r="O153" s="205" t="s">
        <v>309</v>
      </c>
      <c r="P153" s="205" t="s">
        <v>310</v>
      </c>
      <c r="Q153" s="205" t="s">
        <v>310</v>
      </c>
      <c r="R153" s="204" t="s">
        <v>317</v>
      </c>
      <c r="S153" s="204" t="s">
        <v>367</v>
      </c>
      <c r="T153" s="204" t="s">
        <v>438</v>
      </c>
      <c r="U153" s="199"/>
      <c r="V153" s="200"/>
      <c r="W153" s="200"/>
      <c r="X153" s="200"/>
      <c r="Y153" s="200"/>
      <c r="Z153" s="200"/>
      <c r="AA153" s="201"/>
      <c r="AB153" s="200"/>
      <c r="AC153" s="200"/>
    </row>
    <row r="154" ht="15.0" customHeight="1">
      <c r="A154" s="210">
        <f t="shared" si="1"/>
        <v>152</v>
      </c>
      <c r="B154" s="204" t="s">
        <v>569</v>
      </c>
      <c r="C154" s="217" t="str">
        <f>IFERROR(VLOOKUP(B154, SourceData!$U$3:$V$190, 2, FALSE), "")</f>
        <v>Nana</v>
      </c>
      <c r="D154" s="205" t="s">
        <v>748</v>
      </c>
      <c r="E154" s="206">
        <v>0.45416666666666666</v>
      </c>
      <c r="F154" s="204" t="s">
        <v>343</v>
      </c>
      <c r="G154" s="215" t="s">
        <v>755</v>
      </c>
      <c r="H154" s="205" t="s">
        <v>756</v>
      </c>
      <c r="I154" s="205" t="s">
        <v>150</v>
      </c>
      <c r="J154" s="205" t="s">
        <v>332</v>
      </c>
      <c r="K154" s="208" t="str">
        <f>IF(Errors!$I154=0,SourceData!$B$42,VLOOKUP(Errors!$I154,SourceData!$A$2:$B$40,2,FALSE))</f>
        <v>Dealer drops cards in shoe/table while changing cards. </v>
      </c>
      <c r="L154" s="207"/>
      <c r="M154" s="209"/>
      <c r="N154" s="212" t="s">
        <v>310</v>
      </c>
      <c r="O154" s="226" t="s">
        <v>310</v>
      </c>
      <c r="P154" s="212" t="s">
        <v>310</v>
      </c>
      <c r="Q154" s="212" t="s">
        <v>310</v>
      </c>
      <c r="R154" s="204" t="s">
        <v>317</v>
      </c>
      <c r="S154" s="204" t="s">
        <v>367</v>
      </c>
      <c r="T154" s="204" t="s">
        <v>444</v>
      </c>
      <c r="U154" s="199"/>
      <c r="V154" s="200"/>
      <c r="W154" s="200"/>
      <c r="X154" s="200"/>
      <c r="Y154" s="200"/>
      <c r="Z154" s="200"/>
      <c r="AA154" s="201"/>
      <c r="AB154" s="200"/>
      <c r="AC154" s="200"/>
    </row>
    <row r="155" ht="15.0" customHeight="1">
      <c r="A155" s="210">
        <f t="shared" si="1"/>
        <v>153</v>
      </c>
      <c r="B155" s="204" t="s">
        <v>613</v>
      </c>
      <c r="C155" s="217" t="str">
        <f>IFERROR(VLOOKUP(B155, SourceData!$U$3:$V$190, 2, FALSE), "")</f>
        <v>Leo</v>
      </c>
      <c r="D155" s="205" t="s">
        <v>748</v>
      </c>
      <c r="E155" s="206">
        <v>0.46597222222222223</v>
      </c>
      <c r="F155" s="204" t="s">
        <v>376</v>
      </c>
      <c r="G155" s="207"/>
      <c r="H155" s="205" t="s">
        <v>757</v>
      </c>
      <c r="I155" s="205" t="s">
        <v>120</v>
      </c>
      <c r="J155" s="205" t="s">
        <v>308</v>
      </c>
      <c r="K155" s="208" t="str">
        <f>IF(Errors!$I155=0,SourceData!$B$42,VLOOKUP(Errors!$I155,SourceData!$A$2:$B$40,2,FALSE))</f>
        <v>Drop ball</v>
      </c>
      <c r="L155" s="207"/>
      <c r="M155" s="209"/>
      <c r="N155" s="205" t="s">
        <v>309</v>
      </c>
      <c r="O155" s="226" t="s">
        <v>310</v>
      </c>
      <c r="P155" s="205" t="s">
        <v>309</v>
      </c>
      <c r="Q155" s="205" t="s">
        <v>309</v>
      </c>
      <c r="R155" s="204" t="s">
        <v>317</v>
      </c>
      <c r="S155" s="204" t="s">
        <v>367</v>
      </c>
      <c r="T155" s="204" t="s">
        <v>758</v>
      </c>
      <c r="U155" s="199"/>
      <c r="V155" s="200"/>
      <c r="W155" s="200"/>
      <c r="X155" s="200"/>
      <c r="Y155" s="200"/>
      <c r="Z155" s="200"/>
      <c r="AA155" s="201"/>
      <c r="AB155" s="200"/>
      <c r="AC155" s="200"/>
    </row>
    <row r="156" ht="15.0" customHeight="1">
      <c r="A156" s="210">
        <f t="shared" si="1"/>
        <v>154</v>
      </c>
      <c r="B156" s="204" t="s">
        <v>613</v>
      </c>
      <c r="C156" s="217" t="str">
        <f>IFERROR(VLOOKUP(B156, SourceData!$U$3:$V$190, 2, FALSE), "")</f>
        <v>Leo</v>
      </c>
      <c r="D156" s="205" t="s">
        <v>748</v>
      </c>
      <c r="E156" s="206">
        <v>0.5923611111111111</v>
      </c>
      <c r="F156" s="204" t="s">
        <v>376</v>
      </c>
      <c r="G156" s="207"/>
      <c r="H156" s="205" t="s">
        <v>759</v>
      </c>
      <c r="I156" s="205" t="s">
        <v>156</v>
      </c>
      <c r="J156" s="205" t="s">
        <v>308</v>
      </c>
      <c r="K156" s="208" t="str">
        <f>IF(Errors!$I156=0,SourceData!$B$42,VLOOKUP(Errors!$I156,SourceData!$A$2:$B$40,2,FALSE))</f>
        <v>Dealer starts new game before finishing last game</v>
      </c>
      <c r="L156" s="207"/>
      <c r="M156" s="209"/>
      <c r="N156" s="205" t="s">
        <v>309</v>
      </c>
      <c r="O156" s="205" t="s">
        <v>309</v>
      </c>
      <c r="P156" s="205" t="s">
        <v>310</v>
      </c>
      <c r="Q156" s="205" t="s">
        <v>310</v>
      </c>
      <c r="R156" s="204" t="s">
        <v>317</v>
      </c>
      <c r="S156" s="204" t="s">
        <v>470</v>
      </c>
      <c r="T156" s="204" t="s">
        <v>760</v>
      </c>
      <c r="U156" s="199"/>
      <c r="V156" s="200"/>
      <c r="W156" s="200"/>
      <c r="X156" s="200"/>
      <c r="Y156" s="200"/>
      <c r="Z156" s="200"/>
      <c r="AA156" s="201"/>
      <c r="AB156" s="200"/>
      <c r="AC156" s="200"/>
    </row>
    <row r="157" ht="15.0" customHeight="1">
      <c r="A157" s="210">
        <f t="shared" si="1"/>
        <v>155</v>
      </c>
      <c r="B157" s="204" t="s">
        <v>395</v>
      </c>
      <c r="C157" s="204" t="s">
        <v>761</v>
      </c>
      <c r="D157" s="205" t="s">
        <v>748</v>
      </c>
      <c r="E157" s="206">
        <v>0.8090277777777778</v>
      </c>
      <c r="F157" s="204" t="s">
        <v>323</v>
      </c>
      <c r="G157" s="207"/>
      <c r="H157" s="205" t="s">
        <v>762</v>
      </c>
      <c r="I157" s="205" t="s">
        <v>120</v>
      </c>
      <c r="J157" s="205" t="s">
        <v>308</v>
      </c>
      <c r="K157" s="208" t="str">
        <f>IF(Errors!$I157=0,SourceData!$B$42,VLOOKUP(Errors!$I157,SourceData!$A$2:$B$40,2,FALSE))</f>
        <v>Drop ball</v>
      </c>
      <c r="L157" s="207"/>
      <c r="M157" s="209"/>
      <c r="N157" s="205" t="s">
        <v>309</v>
      </c>
      <c r="O157" s="205" t="s">
        <v>309</v>
      </c>
      <c r="P157" s="205" t="s">
        <v>310</v>
      </c>
      <c r="Q157" s="205" t="s">
        <v>310</v>
      </c>
      <c r="R157" s="204" t="s">
        <v>361</v>
      </c>
      <c r="S157" s="204" t="s">
        <v>427</v>
      </c>
      <c r="T157" s="204" t="s">
        <v>438</v>
      </c>
      <c r="U157" s="199"/>
      <c r="V157" s="200"/>
      <c r="W157" s="200"/>
      <c r="X157" s="200"/>
      <c r="Y157" s="200"/>
      <c r="Z157" s="200"/>
      <c r="AA157" s="201"/>
      <c r="AB157" s="200"/>
      <c r="AC157" s="200"/>
    </row>
    <row r="158" ht="15.0" customHeight="1">
      <c r="A158" s="210">
        <f t="shared" si="1"/>
        <v>156</v>
      </c>
      <c r="B158" s="204" t="s">
        <v>453</v>
      </c>
      <c r="C158" s="217" t="str">
        <f>IFERROR(VLOOKUP(B158, SourceData!$U$3:$V$190, 2, FALSE), "")</f>
        <v>Angeles</v>
      </c>
      <c r="D158" s="205" t="s">
        <v>748</v>
      </c>
      <c r="E158" s="206">
        <v>0.9138888888888889</v>
      </c>
      <c r="F158" s="204" t="s">
        <v>306</v>
      </c>
      <c r="G158" s="207"/>
      <c r="H158" s="205" t="s">
        <v>763</v>
      </c>
      <c r="I158" s="205" t="s">
        <v>120</v>
      </c>
      <c r="J158" s="205" t="s">
        <v>308</v>
      </c>
      <c r="K158" s="208" t="str">
        <f>IF(Errors!$I158=0,SourceData!$B$42,VLOOKUP(Errors!$I158,SourceData!$A$2:$B$40,2,FALSE))</f>
        <v>Drop ball</v>
      </c>
      <c r="L158" s="207"/>
      <c r="M158" s="209"/>
      <c r="N158" s="205" t="s">
        <v>309</v>
      </c>
      <c r="O158" s="205" t="s">
        <v>309</v>
      </c>
      <c r="P158" s="205" t="s">
        <v>310</v>
      </c>
      <c r="Q158" s="205" t="s">
        <v>310</v>
      </c>
      <c r="R158" s="204" t="s">
        <v>361</v>
      </c>
      <c r="S158" s="204" t="s">
        <v>427</v>
      </c>
      <c r="T158" s="204" t="s">
        <v>438</v>
      </c>
      <c r="U158" s="199"/>
      <c r="V158" s="200"/>
      <c r="W158" s="200"/>
      <c r="X158" s="200"/>
      <c r="Y158" s="200"/>
      <c r="Z158" s="200"/>
      <c r="AA158" s="201"/>
      <c r="AB158" s="200"/>
      <c r="AC158" s="200"/>
    </row>
    <row r="159" ht="15.0" customHeight="1">
      <c r="A159" s="210">
        <f t="shared" si="1"/>
        <v>157</v>
      </c>
      <c r="B159" s="204" t="s">
        <v>355</v>
      </c>
      <c r="C159" s="217" t="str">
        <f>IFERROR(VLOOKUP(B159, SourceData!$U$3:$V$190, 2, FALSE), "")</f>
        <v>Mira</v>
      </c>
      <c r="D159" s="205" t="s">
        <v>764</v>
      </c>
      <c r="E159" s="206">
        <v>0.02638888888888889</v>
      </c>
      <c r="F159" s="204" t="s">
        <v>396</v>
      </c>
      <c r="G159" s="215" t="s">
        <v>765</v>
      </c>
      <c r="H159" s="205" t="s">
        <v>766</v>
      </c>
      <c r="I159" s="205" t="s">
        <v>122</v>
      </c>
      <c r="J159" s="205" t="s">
        <v>332</v>
      </c>
      <c r="K159" s="208" t="str">
        <f>IF(Errors!$I159=0,SourceData!$B$42,VLOOKUP(Errors!$I159,SourceData!$A$2:$B$40,2,FALSE))</f>
        <v>Burn card(s) exposed/too many cards burned - during burn procedure (during card change procedure)</v>
      </c>
      <c r="L159" s="207"/>
      <c r="M159" s="209"/>
      <c r="N159" s="212" t="s">
        <v>310</v>
      </c>
      <c r="O159" s="226" t="s">
        <v>310</v>
      </c>
      <c r="P159" s="212" t="s">
        <v>310</v>
      </c>
      <c r="Q159" s="212" t="s">
        <v>310</v>
      </c>
      <c r="R159" s="204" t="s">
        <v>346</v>
      </c>
      <c r="S159" s="204" t="s">
        <v>452</v>
      </c>
      <c r="T159" s="204" t="s">
        <v>548</v>
      </c>
      <c r="U159" s="199"/>
      <c r="V159" s="200"/>
      <c r="W159" s="200"/>
      <c r="X159" s="200"/>
      <c r="Y159" s="200"/>
      <c r="Z159" s="200"/>
      <c r="AA159" s="201"/>
      <c r="AB159" s="200"/>
      <c r="AC159" s="200"/>
    </row>
    <row r="160" ht="15.0" customHeight="1">
      <c r="A160" s="210">
        <f t="shared" si="1"/>
        <v>158</v>
      </c>
      <c r="B160" s="204" t="s">
        <v>751</v>
      </c>
      <c r="C160" s="217" t="str">
        <f>IFERROR(VLOOKUP(B160, SourceData!$U$3:$V$190, 2, FALSE), "")</f>
        <v>Lily</v>
      </c>
      <c r="D160" s="205" t="s">
        <v>764</v>
      </c>
      <c r="E160" s="206">
        <v>0.15138888888888888</v>
      </c>
      <c r="F160" s="204" t="s">
        <v>306</v>
      </c>
      <c r="G160" s="207"/>
      <c r="H160" s="205" t="s">
        <v>767</v>
      </c>
      <c r="I160" s="205" t="s">
        <v>120</v>
      </c>
      <c r="J160" s="205" t="s">
        <v>308</v>
      </c>
      <c r="K160" s="208" t="str">
        <f>IF(Errors!$I160=0,SourceData!$B$42,VLOOKUP(Errors!$I160,SourceData!$A$2:$B$40,2,FALSE))</f>
        <v>Drop ball</v>
      </c>
      <c r="L160" s="207"/>
      <c r="M160" s="209"/>
      <c r="N160" s="205" t="s">
        <v>309</v>
      </c>
      <c r="O160" s="205" t="s">
        <v>309</v>
      </c>
      <c r="P160" s="205" t="s">
        <v>310</v>
      </c>
      <c r="Q160" s="205" t="s">
        <v>310</v>
      </c>
      <c r="R160" s="204" t="s">
        <v>346</v>
      </c>
      <c r="S160" s="204" t="s">
        <v>312</v>
      </c>
      <c r="T160" s="204" t="s">
        <v>438</v>
      </c>
      <c r="U160" s="199"/>
      <c r="V160" s="200"/>
      <c r="W160" s="200"/>
      <c r="X160" s="200"/>
      <c r="Y160" s="200"/>
      <c r="Z160" s="200"/>
      <c r="AA160" s="201"/>
      <c r="AB160" s="200"/>
      <c r="AC160" s="200"/>
    </row>
    <row r="161" ht="15.0" customHeight="1">
      <c r="A161" s="210">
        <f t="shared" si="1"/>
        <v>159</v>
      </c>
      <c r="B161" s="204" t="s">
        <v>613</v>
      </c>
      <c r="C161" s="217" t="str">
        <f>IFERROR(VLOOKUP(B161, SourceData!$U$3:$V$190, 2, FALSE), "")</f>
        <v>Leo</v>
      </c>
      <c r="D161" s="205" t="s">
        <v>764</v>
      </c>
      <c r="E161" s="206">
        <v>0.49930555555555556</v>
      </c>
      <c r="F161" s="204" t="s">
        <v>400</v>
      </c>
      <c r="G161" s="215" t="s">
        <v>768</v>
      </c>
      <c r="H161" s="205" t="s">
        <v>769</v>
      </c>
      <c r="I161" s="205" t="s">
        <v>56</v>
      </c>
      <c r="J161" s="205" t="s">
        <v>332</v>
      </c>
      <c r="K161" s="208" t="str">
        <f>IF(Errors!$I161=0,SourceData!$B$42,VLOOKUP(Errors!$I161,SourceData!$A$2:$B$40,2,FALSE))</f>
        <v>Interface error</v>
      </c>
      <c r="L161" s="207"/>
      <c r="M161" s="205" t="s">
        <v>338</v>
      </c>
      <c r="N161" s="212" t="s">
        <v>310</v>
      </c>
      <c r="O161" s="226" t="s">
        <v>310</v>
      </c>
      <c r="P161" s="212" t="s">
        <v>310</v>
      </c>
      <c r="Q161" s="212" t="s">
        <v>310</v>
      </c>
      <c r="R161" s="204" t="s">
        <v>317</v>
      </c>
      <c r="S161" s="204" t="s">
        <v>470</v>
      </c>
      <c r="T161" s="204" t="s">
        <v>770</v>
      </c>
      <c r="U161" s="199"/>
      <c r="V161" s="200"/>
      <c r="W161" s="200"/>
      <c r="X161" s="200"/>
      <c r="Y161" s="200"/>
      <c r="Z161" s="200"/>
      <c r="AA161" s="201"/>
      <c r="AB161" s="200"/>
      <c r="AC161" s="200"/>
    </row>
    <row r="162" ht="15.0" customHeight="1">
      <c r="A162" s="210">
        <f t="shared" si="1"/>
        <v>160</v>
      </c>
      <c r="B162" s="204" t="s">
        <v>771</v>
      </c>
      <c r="C162" s="217" t="str">
        <f>IFERROR(VLOOKUP(B162, SourceData!$U$3:$V$190, 2, FALSE), "")</f>
        <v>Yuri</v>
      </c>
      <c r="D162" s="205" t="s">
        <v>764</v>
      </c>
      <c r="E162" s="206">
        <v>0.6590277777777778</v>
      </c>
      <c r="F162" s="204" t="s">
        <v>400</v>
      </c>
      <c r="G162" s="207" t="s">
        <v>772</v>
      </c>
      <c r="H162" s="205" t="s">
        <v>773</v>
      </c>
      <c r="I162" s="205" t="s">
        <v>122</v>
      </c>
      <c r="J162" s="205" t="s">
        <v>332</v>
      </c>
      <c r="K162" s="208" t="str">
        <f>IF(Errors!$I162=0,SourceData!$B$42,VLOOKUP(Errors!$I162,SourceData!$A$2:$B$40,2,FALSE))</f>
        <v>Burn card(s) exposed/too many cards burned - during burn procedure (during card change procedure)</v>
      </c>
      <c r="L162" s="207"/>
      <c r="M162" s="209"/>
      <c r="N162" s="226" t="s">
        <v>310</v>
      </c>
      <c r="O162" s="226" t="s">
        <v>310</v>
      </c>
      <c r="P162" s="226" t="s">
        <v>310</v>
      </c>
      <c r="Q162" s="212" t="s">
        <v>310</v>
      </c>
      <c r="R162" s="204" t="s">
        <v>378</v>
      </c>
      <c r="S162" s="204" t="s">
        <v>427</v>
      </c>
      <c r="T162" s="204" t="s">
        <v>774</v>
      </c>
      <c r="U162" s="199"/>
      <c r="V162" s="200"/>
      <c r="W162" s="200"/>
      <c r="X162" s="200"/>
      <c r="Y162" s="200"/>
      <c r="Z162" s="200"/>
      <c r="AA162" s="201"/>
      <c r="AB162" s="200"/>
      <c r="AC162" s="200"/>
    </row>
    <row r="163" ht="15.0" customHeight="1">
      <c r="A163" s="210">
        <f t="shared" si="1"/>
        <v>161</v>
      </c>
      <c r="B163" s="204" t="s">
        <v>453</v>
      </c>
      <c r="C163" s="217" t="str">
        <f>IFERROR(VLOOKUP(B163, SourceData!$U$3:$V$190, 2, FALSE), "")</f>
        <v>Angeles</v>
      </c>
      <c r="D163" s="205" t="s">
        <v>764</v>
      </c>
      <c r="E163" s="206">
        <v>0.7097222222222223</v>
      </c>
      <c r="F163" s="204" t="s">
        <v>306</v>
      </c>
      <c r="G163" s="207"/>
      <c r="H163" s="205" t="s">
        <v>775</v>
      </c>
      <c r="I163" s="205" t="s">
        <v>132</v>
      </c>
      <c r="J163" s="205" t="s">
        <v>308</v>
      </c>
      <c r="K163" s="208" t="str">
        <f>IF(Errors!$I163=0,SourceData!$B$42,VLOOKUP(Errors!$I163,SourceData!$A$2:$B$40,2,FALSE))</f>
        <v>Ball falls out of the wheel </v>
      </c>
      <c r="L163" s="207"/>
      <c r="M163" s="209"/>
      <c r="N163" s="205" t="s">
        <v>309</v>
      </c>
      <c r="O163" s="205" t="s">
        <v>309</v>
      </c>
      <c r="P163" s="205" t="s">
        <v>310</v>
      </c>
      <c r="Q163" s="205" t="s">
        <v>310</v>
      </c>
      <c r="R163" s="204" t="s">
        <v>378</v>
      </c>
      <c r="S163" s="204" t="s">
        <v>478</v>
      </c>
      <c r="T163" s="204" t="s">
        <v>438</v>
      </c>
      <c r="U163" s="199"/>
      <c r="V163" s="200"/>
      <c r="W163" s="200"/>
      <c r="X163" s="200"/>
      <c r="Y163" s="200"/>
      <c r="Z163" s="200"/>
      <c r="AA163" s="201"/>
      <c r="AB163" s="200"/>
      <c r="AC163" s="200"/>
    </row>
    <row r="164" ht="15.0" customHeight="1">
      <c r="A164" s="210">
        <f t="shared" si="1"/>
        <v>162</v>
      </c>
      <c r="B164" s="204" t="s">
        <v>642</v>
      </c>
      <c r="C164" s="204" t="s">
        <v>776</v>
      </c>
      <c r="D164" s="205" t="s">
        <v>777</v>
      </c>
      <c r="E164" s="206">
        <v>0.18125</v>
      </c>
      <c r="F164" s="204" t="s">
        <v>400</v>
      </c>
      <c r="G164" s="215" t="s">
        <v>778</v>
      </c>
      <c r="H164" s="205" t="s">
        <v>779</v>
      </c>
      <c r="I164" s="205" t="s">
        <v>56</v>
      </c>
      <c r="J164" s="205" t="s">
        <v>332</v>
      </c>
      <c r="K164" s="208" t="str">
        <f>IF(Errors!$I164=0,SourceData!$B$42,VLOOKUP(Errors!$I164,SourceData!$A$2:$B$40,2,FALSE))</f>
        <v>Interface error</v>
      </c>
      <c r="L164" s="207"/>
      <c r="M164" s="205" t="s">
        <v>338</v>
      </c>
      <c r="N164" s="226" t="s">
        <v>310</v>
      </c>
      <c r="O164" s="226" t="s">
        <v>310</v>
      </c>
      <c r="P164" s="226" t="s">
        <v>310</v>
      </c>
      <c r="Q164" s="212" t="s">
        <v>310</v>
      </c>
      <c r="R164" s="204" t="s">
        <v>346</v>
      </c>
      <c r="S164" s="204" t="s">
        <v>362</v>
      </c>
      <c r="T164" s="204" t="s">
        <v>780</v>
      </c>
      <c r="U164" s="199"/>
      <c r="V164" s="200"/>
      <c r="W164" s="200"/>
      <c r="X164" s="200"/>
      <c r="Y164" s="200"/>
      <c r="Z164" s="200"/>
      <c r="AA164" s="201"/>
      <c r="AB164" s="200"/>
      <c r="AC164" s="200"/>
    </row>
    <row r="165" ht="15.0" customHeight="1">
      <c r="A165" s="210">
        <f t="shared" si="1"/>
        <v>163</v>
      </c>
      <c r="B165" s="217"/>
      <c r="C165" s="204" t="s">
        <v>781</v>
      </c>
      <c r="D165" s="205" t="s">
        <v>777</v>
      </c>
      <c r="E165" s="206">
        <v>0.31666666666666665</v>
      </c>
      <c r="F165" s="204" t="s">
        <v>376</v>
      </c>
      <c r="G165" s="207"/>
      <c r="H165" s="205" t="s">
        <v>782</v>
      </c>
      <c r="I165" s="205" t="s">
        <v>116</v>
      </c>
      <c r="J165" s="205" t="s">
        <v>308</v>
      </c>
      <c r="K165" s="208" t="str">
        <f>IF(Errors!$I165=0,SourceData!$B$42,VLOOKUP(Errors!$I165,SourceData!$A$2:$B$40,2,FALSE))</f>
        <v>Ball did not make 4 revolutions</v>
      </c>
      <c r="L165" s="207"/>
      <c r="M165" s="209"/>
      <c r="N165" s="205" t="s">
        <v>309</v>
      </c>
      <c r="O165" s="226" t="s">
        <v>310</v>
      </c>
      <c r="P165" s="205" t="s">
        <v>309</v>
      </c>
      <c r="Q165" s="205" t="s">
        <v>309</v>
      </c>
      <c r="R165" s="204" t="s">
        <v>346</v>
      </c>
      <c r="S165" s="204" t="s">
        <v>362</v>
      </c>
      <c r="T165" s="204" t="s">
        <v>783</v>
      </c>
      <c r="U165" s="199"/>
      <c r="V165" s="200"/>
      <c r="W165" s="200"/>
      <c r="X165" s="200"/>
      <c r="Y165" s="200"/>
      <c r="Z165" s="200"/>
      <c r="AA165" s="201"/>
      <c r="AB165" s="200"/>
      <c r="AC165" s="200"/>
    </row>
    <row r="166" ht="15.0" customHeight="1">
      <c r="A166" s="210">
        <f t="shared" si="1"/>
        <v>164</v>
      </c>
      <c r="B166" s="204" t="s">
        <v>549</v>
      </c>
      <c r="C166" s="217" t="str">
        <f>IFERROR(VLOOKUP(B166, SourceData!$U$3:$V$190, 2, FALSE), "")</f>
        <v>Bel</v>
      </c>
      <c r="D166" s="205" t="s">
        <v>777</v>
      </c>
      <c r="E166" s="206">
        <v>0.3423611111111111</v>
      </c>
      <c r="F166" s="204" t="s">
        <v>400</v>
      </c>
      <c r="G166" s="215" t="s">
        <v>784</v>
      </c>
      <c r="H166" s="205" t="s">
        <v>785</v>
      </c>
      <c r="I166" s="205" t="s">
        <v>56</v>
      </c>
      <c r="J166" s="205" t="s">
        <v>332</v>
      </c>
      <c r="K166" s="208" t="str">
        <f>IF(Errors!$I166=0,SourceData!$B$42,VLOOKUP(Errors!$I166,SourceData!$A$2:$B$40,2,FALSE))</f>
        <v>Interface error</v>
      </c>
      <c r="L166" s="207"/>
      <c r="M166" s="205" t="s">
        <v>338</v>
      </c>
      <c r="N166" s="226" t="s">
        <v>310</v>
      </c>
      <c r="O166" s="226" t="s">
        <v>310</v>
      </c>
      <c r="P166" s="226" t="s">
        <v>310</v>
      </c>
      <c r="Q166" s="212" t="s">
        <v>310</v>
      </c>
      <c r="R166" s="204" t="s">
        <v>413</v>
      </c>
      <c r="S166" s="204" t="s">
        <v>347</v>
      </c>
      <c r="T166" s="204" t="s">
        <v>786</v>
      </c>
      <c r="U166" s="199"/>
      <c r="V166" s="200"/>
      <c r="W166" s="200"/>
      <c r="X166" s="200"/>
      <c r="Y166" s="200"/>
      <c r="Z166" s="200"/>
      <c r="AA166" s="201"/>
      <c r="AB166" s="200"/>
      <c r="AC166" s="200"/>
    </row>
    <row r="167" ht="15.0" customHeight="1">
      <c r="A167" s="210">
        <f t="shared" si="1"/>
        <v>165</v>
      </c>
      <c r="B167" s="204" t="s">
        <v>787</v>
      </c>
      <c r="C167" s="217" t="str">
        <f>IFERROR(VLOOKUP(B167, SourceData!$U$3:$V$190, 2, FALSE), "")</f>
        <v>Jenny</v>
      </c>
      <c r="D167" s="205" t="s">
        <v>777</v>
      </c>
      <c r="E167" s="206">
        <v>0.34444444444444444</v>
      </c>
      <c r="F167" s="204" t="s">
        <v>329</v>
      </c>
      <c r="G167" s="215" t="s">
        <v>788</v>
      </c>
      <c r="H167" s="205" t="s">
        <v>789</v>
      </c>
      <c r="I167" s="205" t="s">
        <v>162</v>
      </c>
      <c r="J167" s="205" t="s">
        <v>332</v>
      </c>
      <c r="K167" s="208" t="str">
        <f>IF(Errors!$I167=0,SourceData!$B$42,VLOOKUP(Errors!$I167,SourceData!$A$2:$B$40,2,FALSE))</f>
        <v>Dealer failed to finish the game and started a new game. (Dealt and discarded the cards without scanning them and similar cases)</v>
      </c>
      <c r="L167" s="207"/>
      <c r="M167" s="209"/>
      <c r="N167" s="226" t="s">
        <v>310</v>
      </c>
      <c r="O167" s="226" t="s">
        <v>310</v>
      </c>
      <c r="P167" s="226" t="s">
        <v>310</v>
      </c>
      <c r="Q167" s="212" t="s">
        <v>310</v>
      </c>
      <c r="R167" s="204" t="s">
        <v>413</v>
      </c>
      <c r="S167" s="204" t="s">
        <v>488</v>
      </c>
      <c r="T167" s="204" t="s">
        <v>740</v>
      </c>
      <c r="U167" s="199"/>
      <c r="V167" s="200"/>
      <c r="W167" s="200"/>
      <c r="X167" s="200"/>
      <c r="Y167" s="200"/>
      <c r="Z167" s="200"/>
      <c r="AA167" s="201"/>
      <c r="AB167" s="200"/>
      <c r="AC167" s="200"/>
    </row>
    <row r="168" ht="15.0" customHeight="1">
      <c r="A168" s="210">
        <f t="shared" si="1"/>
        <v>166</v>
      </c>
      <c r="B168" s="204" t="s">
        <v>549</v>
      </c>
      <c r="C168" s="217" t="str">
        <f>IFERROR(VLOOKUP(B168, SourceData!$U$3:$V$190, 2, FALSE), "")</f>
        <v>Bel</v>
      </c>
      <c r="D168" s="205" t="s">
        <v>777</v>
      </c>
      <c r="E168" s="206">
        <v>0.36736111111111114</v>
      </c>
      <c r="F168" s="204" t="s">
        <v>376</v>
      </c>
      <c r="G168" s="215"/>
      <c r="H168" s="205" t="s">
        <v>790</v>
      </c>
      <c r="I168" s="205" t="s">
        <v>132</v>
      </c>
      <c r="J168" s="205" t="s">
        <v>308</v>
      </c>
      <c r="K168" s="208" t="str">
        <f>IF(Errors!$I168=0,SourceData!$B$42,VLOOKUP(Errors!$I168,SourceData!$A$2:$B$40,2,FALSE))</f>
        <v>Ball falls out of the wheel </v>
      </c>
      <c r="L168" s="207"/>
      <c r="M168" s="209"/>
      <c r="N168" s="205" t="s">
        <v>309</v>
      </c>
      <c r="O168" s="205" t="s">
        <v>309</v>
      </c>
      <c r="P168" s="205" t="s">
        <v>310</v>
      </c>
      <c r="Q168" s="205" t="s">
        <v>310</v>
      </c>
      <c r="R168" s="204" t="s">
        <v>413</v>
      </c>
      <c r="S168" s="204" t="s">
        <v>347</v>
      </c>
      <c r="T168" s="204" t="s">
        <v>438</v>
      </c>
      <c r="U168" s="199"/>
      <c r="V168" s="200"/>
      <c r="W168" s="200"/>
      <c r="X168" s="200"/>
      <c r="Y168" s="200"/>
      <c r="Z168" s="200"/>
      <c r="AA168" s="201"/>
      <c r="AB168" s="200"/>
      <c r="AC168" s="200"/>
    </row>
    <row r="169" ht="15.0" customHeight="1">
      <c r="A169" s="210">
        <f t="shared" si="1"/>
        <v>167</v>
      </c>
      <c r="B169" s="217"/>
      <c r="C169" s="204" t="s">
        <v>791</v>
      </c>
      <c r="D169" s="205" t="s">
        <v>777</v>
      </c>
      <c r="E169" s="206">
        <v>0.5034722222222222</v>
      </c>
      <c r="F169" s="204" t="s">
        <v>376</v>
      </c>
      <c r="G169" s="207"/>
      <c r="H169" s="205" t="s">
        <v>792</v>
      </c>
      <c r="I169" s="205" t="s">
        <v>132</v>
      </c>
      <c r="J169" s="205" t="s">
        <v>308</v>
      </c>
      <c r="K169" s="208" t="str">
        <f>IF(Errors!$I169=0,SourceData!$B$42,VLOOKUP(Errors!$I169,SourceData!$A$2:$B$40,2,FALSE))</f>
        <v>Ball falls out of the wheel </v>
      </c>
      <c r="L169" s="207"/>
      <c r="M169" s="209"/>
      <c r="N169" s="205" t="s">
        <v>309</v>
      </c>
      <c r="O169" s="205" t="s">
        <v>309</v>
      </c>
      <c r="P169" s="205" t="s">
        <v>310</v>
      </c>
      <c r="Q169" s="205" t="s">
        <v>310</v>
      </c>
      <c r="R169" s="204" t="s">
        <v>413</v>
      </c>
      <c r="S169" s="204" t="s">
        <v>347</v>
      </c>
      <c r="T169" s="204" t="s">
        <v>793</v>
      </c>
      <c r="U169" s="199"/>
      <c r="V169" s="200"/>
      <c r="W169" s="200"/>
      <c r="X169" s="200"/>
      <c r="Y169" s="200"/>
      <c r="Z169" s="200"/>
      <c r="AA169" s="201"/>
      <c r="AB169" s="200"/>
      <c r="AC169" s="200"/>
    </row>
    <row r="170" ht="15.0" customHeight="1">
      <c r="A170" s="210">
        <f t="shared" si="1"/>
        <v>168</v>
      </c>
      <c r="B170" s="204" t="s">
        <v>549</v>
      </c>
      <c r="C170" s="217" t="str">
        <f>IFERROR(VLOOKUP(B170, SourceData!$U$3:$V$190, 2, FALSE), "")</f>
        <v>Bel</v>
      </c>
      <c r="D170" s="205" t="s">
        <v>777</v>
      </c>
      <c r="E170" s="206">
        <v>0.5611111111111111</v>
      </c>
      <c r="F170" s="204" t="s">
        <v>376</v>
      </c>
      <c r="G170" s="207"/>
      <c r="H170" s="205" t="s">
        <v>794</v>
      </c>
      <c r="I170" s="205" t="s">
        <v>116</v>
      </c>
      <c r="J170" s="205" t="s">
        <v>308</v>
      </c>
      <c r="K170" s="208" t="str">
        <f>IF(Errors!$I170=0,SourceData!$B$42,VLOOKUP(Errors!$I170,SourceData!$A$2:$B$40,2,FALSE))</f>
        <v>Ball did not make 4 revolutions</v>
      </c>
      <c r="L170" s="207"/>
      <c r="M170" s="209"/>
      <c r="N170" s="205" t="s">
        <v>309</v>
      </c>
      <c r="O170" s="226" t="s">
        <v>310</v>
      </c>
      <c r="P170" s="205" t="s">
        <v>309</v>
      </c>
      <c r="Q170" s="205" t="s">
        <v>309</v>
      </c>
      <c r="R170" s="204" t="s">
        <v>413</v>
      </c>
      <c r="S170" s="204" t="s">
        <v>488</v>
      </c>
      <c r="T170" s="204" t="s">
        <v>641</v>
      </c>
      <c r="U170" s="199"/>
      <c r="V170" s="200"/>
      <c r="W170" s="200"/>
      <c r="X170" s="200"/>
      <c r="Y170" s="200"/>
      <c r="Z170" s="200"/>
      <c r="AA170" s="201"/>
      <c r="AB170" s="200"/>
      <c r="AC170" s="200"/>
    </row>
    <row r="171" ht="15.0" customHeight="1">
      <c r="A171" s="210">
        <f t="shared" si="1"/>
        <v>169</v>
      </c>
      <c r="B171" s="217"/>
      <c r="C171" s="204" t="s">
        <v>791</v>
      </c>
      <c r="D171" s="205" t="s">
        <v>777</v>
      </c>
      <c r="E171" s="206">
        <v>0.6243055555555556</v>
      </c>
      <c r="F171" s="204" t="s">
        <v>376</v>
      </c>
      <c r="G171" s="207"/>
      <c r="H171" s="205" t="s">
        <v>795</v>
      </c>
      <c r="I171" s="205" t="s">
        <v>120</v>
      </c>
      <c r="J171" s="205" t="s">
        <v>308</v>
      </c>
      <c r="K171" s="208" t="str">
        <f>IF(Errors!$I171=0,SourceData!$B$42,VLOOKUP(Errors!$I171,SourceData!$A$2:$B$40,2,FALSE))</f>
        <v>Drop ball</v>
      </c>
      <c r="L171" s="207"/>
      <c r="M171" s="209"/>
      <c r="N171" s="205" t="s">
        <v>309</v>
      </c>
      <c r="O171" s="205" t="s">
        <v>309</v>
      </c>
      <c r="P171" s="205" t="s">
        <v>310</v>
      </c>
      <c r="Q171" s="205" t="s">
        <v>310</v>
      </c>
      <c r="R171" s="204" t="s">
        <v>413</v>
      </c>
      <c r="S171" s="204" t="s">
        <v>347</v>
      </c>
      <c r="T171" s="204" t="s">
        <v>793</v>
      </c>
      <c r="U171" s="199"/>
      <c r="V171" s="200"/>
      <c r="W171" s="200"/>
      <c r="X171" s="200"/>
      <c r="Y171" s="200"/>
      <c r="Z171" s="200"/>
      <c r="AA171" s="201"/>
      <c r="AB171" s="200"/>
      <c r="AC171" s="200"/>
    </row>
    <row r="172" ht="15.0" customHeight="1">
      <c r="A172" s="210">
        <f t="shared" si="1"/>
        <v>170</v>
      </c>
      <c r="B172" s="204" t="s">
        <v>468</v>
      </c>
      <c r="C172" s="217" t="str">
        <f>IFERROR(VLOOKUP(B172, SourceData!$U$3:$V$190, 2, FALSE), "")</f>
        <v>Roxy</v>
      </c>
      <c r="D172" s="205" t="s">
        <v>796</v>
      </c>
      <c r="E172" s="206">
        <v>0.2125</v>
      </c>
      <c r="F172" s="204" t="s">
        <v>352</v>
      </c>
      <c r="G172" s="215" t="s">
        <v>797</v>
      </c>
      <c r="H172" s="205" t="s">
        <v>798</v>
      </c>
      <c r="I172" s="205" t="s">
        <v>122</v>
      </c>
      <c r="J172" s="205" t="s">
        <v>332</v>
      </c>
      <c r="K172" s="208" t="str">
        <f>IF(Errors!$I172=0,SourceData!$B$42,VLOOKUP(Errors!$I172,SourceData!$A$2:$B$40,2,FALSE))</f>
        <v>Burn card(s) exposed/too many cards burned - during burn procedure (during card change procedure)</v>
      </c>
      <c r="L172" s="207"/>
      <c r="M172" s="209"/>
      <c r="N172" s="226" t="s">
        <v>310</v>
      </c>
      <c r="O172" s="226" t="s">
        <v>310</v>
      </c>
      <c r="P172" s="226" t="s">
        <v>310</v>
      </c>
      <c r="Q172" s="212" t="s">
        <v>310</v>
      </c>
      <c r="R172" s="204" t="s">
        <v>346</v>
      </c>
      <c r="S172" s="204" t="s">
        <v>318</v>
      </c>
      <c r="T172" s="204" t="s">
        <v>774</v>
      </c>
      <c r="U172" s="199"/>
      <c r="V172" s="200"/>
      <c r="W172" s="200"/>
      <c r="X172" s="200"/>
      <c r="Y172" s="200"/>
      <c r="Z172" s="200"/>
      <c r="AA172" s="201"/>
      <c r="AB172" s="200"/>
      <c r="AC172" s="200"/>
    </row>
    <row r="173" ht="15.0" customHeight="1">
      <c r="A173" s="210">
        <f t="shared" si="1"/>
        <v>171</v>
      </c>
      <c r="B173" s="204" t="s">
        <v>799</v>
      </c>
      <c r="C173" s="217" t="str">
        <f>IFERROR(VLOOKUP(B173, SourceData!$U$3:$V$190, 2, FALSE), "")</f>
        <v>Vivienne</v>
      </c>
      <c r="D173" s="205" t="s">
        <v>796</v>
      </c>
      <c r="E173" s="206">
        <v>0.2638888888888889</v>
      </c>
      <c r="F173" s="204" t="s">
        <v>323</v>
      </c>
      <c r="G173" s="207"/>
      <c r="H173" s="205" t="s">
        <v>800</v>
      </c>
      <c r="I173" s="205" t="s">
        <v>229</v>
      </c>
      <c r="J173" s="205" t="s">
        <v>308</v>
      </c>
      <c r="K173" s="208" t="str">
        <f>IF(Errors!$I173=0,SourceData!$B$42,VLOOKUP(Errors!$I173,SourceData!$A$2:$B$40,2,FALSE))</f>
        <v>Dealer spun ball before the beginning of next round/More than 3 seconds before the end of the countdown. </v>
      </c>
      <c r="L173" s="207"/>
      <c r="M173" s="209"/>
      <c r="N173" s="205" t="s">
        <v>309</v>
      </c>
      <c r="O173" s="205" t="s">
        <v>309</v>
      </c>
      <c r="P173" s="205" t="s">
        <v>310</v>
      </c>
      <c r="Q173" s="205" t="s">
        <v>310</v>
      </c>
      <c r="R173" s="204" t="s">
        <v>346</v>
      </c>
      <c r="S173" s="204" t="s">
        <v>318</v>
      </c>
      <c r="T173" s="204" t="s">
        <v>801</v>
      </c>
      <c r="U173" s="199"/>
      <c r="V173" s="200"/>
      <c r="W173" s="200"/>
      <c r="X173" s="200"/>
      <c r="Y173" s="200"/>
      <c r="Z173" s="200"/>
      <c r="AA173" s="201"/>
      <c r="AB173" s="200"/>
      <c r="AC173" s="200"/>
    </row>
    <row r="174" ht="15.0" customHeight="1">
      <c r="A174" s="210">
        <f t="shared" si="1"/>
        <v>172</v>
      </c>
      <c r="B174" s="204" t="s">
        <v>549</v>
      </c>
      <c r="C174" s="217" t="str">
        <f>IFERROR(VLOOKUP(B174, SourceData!$U$3:$V$190, 2, FALSE), "")</f>
        <v>Bel</v>
      </c>
      <c r="D174" s="205" t="s">
        <v>796</v>
      </c>
      <c r="E174" s="206">
        <v>0.4423611111111111</v>
      </c>
      <c r="F174" s="204" t="s">
        <v>376</v>
      </c>
      <c r="G174" s="207"/>
      <c r="H174" s="205" t="s">
        <v>802</v>
      </c>
      <c r="I174" s="205" t="s">
        <v>56</v>
      </c>
      <c r="J174" s="205" t="s">
        <v>308</v>
      </c>
      <c r="K174" s="208" t="str">
        <f>IF(Errors!$I174=0,SourceData!$B$42,VLOOKUP(Errors!$I174,SourceData!$A$2:$B$40,2,FALSE))</f>
        <v>Interface error</v>
      </c>
      <c r="L174" s="207"/>
      <c r="M174" s="205" t="s">
        <v>338</v>
      </c>
      <c r="N174" s="226" t="s">
        <v>310</v>
      </c>
      <c r="O174" s="226" t="s">
        <v>310</v>
      </c>
      <c r="P174" s="226" t="s">
        <v>310</v>
      </c>
      <c r="Q174" s="212" t="s">
        <v>310</v>
      </c>
      <c r="R174" s="204" t="s">
        <v>413</v>
      </c>
      <c r="S174" s="204" t="s">
        <v>347</v>
      </c>
      <c r="T174" s="204" t="s">
        <v>786</v>
      </c>
      <c r="U174" s="199"/>
      <c r="V174" s="200"/>
      <c r="W174" s="200"/>
      <c r="X174" s="200"/>
      <c r="Y174" s="200"/>
      <c r="Z174" s="200"/>
      <c r="AA174" s="201"/>
      <c r="AB174" s="200"/>
      <c r="AC174" s="200"/>
    </row>
    <row r="175" ht="15.0" customHeight="1">
      <c r="A175" s="210">
        <f t="shared" si="1"/>
        <v>173</v>
      </c>
      <c r="B175" s="204" t="s">
        <v>803</v>
      </c>
      <c r="C175" s="217" t="str">
        <f>IFERROR(VLOOKUP(B175, SourceData!$U$3:$V$190, 2, FALSE), "")</f>
        <v>Clover</v>
      </c>
      <c r="D175" s="205" t="s">
        <v>796</v>
      </c>
      <c r="E175" s="206">
        <v>0.46944444444444444</v>
      </c>
      <c r="F175" s="204" t="s">
        <v>376</v>
      </c>
      <c r="G175" s="207"/>
      <c r="H175" s="205" t="s">
        <v>804</v>
      </c>
      <c r="I175" s="205" t="s">
        <v>116</v>
      </c>
      <c r="J175" s="205" t="s">
        <v>308</v>
      </c>
      <c r="K175" s="208" t="str">
        <f>IF(Errors!$I175=0,SourceData!$B$42,VLOOKUP(Errors!$I175,SourceData!$A$2:$B$40,2,FALSE))</f>
        <v>Ball did not make 4 revolutions</v>
      </c>
      <c r="L175" s="207"/>
      <c r="M175" s="209"/>
      <c r="N175" s="205" t="s">
        <v>309</v>
      </c>
      <c r="O175" s="205" t="s">
        <v>309</v>
      </c>
      <c r="P175" s="205" t="s">
        <v>310</v>
      </c>
      <c r="Q175" s="205" t="s">
        <v>310</v>
      </c>
      <c r="R175" s="204" t="s">
        <v>413</v>
      </c>
      <c r="S175" s="204" t="s">
        <v>462</v>
      </c>
      <c r="T175" s="204" t="s">
        <v>805</v>
      </c>
      <c r="U175" s="199"/>
      <c r="V175" s="200"/>
      <c r="W175" s="200"/>
      <c r="X175" s="200"/>
      <c r="Y175" s="200"/>
      <c r="Z175" s="200"/>
      <c r="AA175" s="201"/>
      <c r="AB175" s="200"/>
      <c r="AC175" s="200"/>
    </row>
    <row r="176" ht="15.0" customHeight="1">
      <c r="A176" s="210">
        <f t="shared" si="1"/>
        <v>174</v>
      </c>
      <c r="B176" s="204" t="s">
        <v>349</v>
      </c>
      <c r="C176" s="217" t="str">
        <f>IFERROR(VLOOKUP(B176, SourceData!$U$3:$V$190, 2, FALSE), "")</f>
        <v>Noa</v>
      </c>
      <c r="D176" s="205" t="s">
        <v>796</v>
      </c>
      <c r="E176" s="206">
        <v>0.6520833333333333</v>
      </c>
      <c r="F176" s="204" t="s">
        <v>396</v>
      </c>
      <c r="G176" s="215" t="s">
        <v>806</v>
      </c>
      <c r="H176" s="205" t="s">
        <v>807</v>
      </c>
      <c r="I176" s="205" t="s">
        <v>56</v>
      </c>
      <c r="J176" s="205" t="s">
        <v>308</v>
      </c>
      <c r="K176" s="208" t="str">
        <f>IF(Errors!$I176=0,SourceData!$B$42,VLOOKUP(Errors!$I176,SourceData!$A$2:$B$40,2,FALSE))</f>
        <v>Interface error</v>
      </c>
      <c r="L176" s="207"/>
      <c r="M176" s="205" t="s">
        <v>338</v>
      </c>
      <c r="N176" s="226" t="s">
        <v>310</v>
      </c>
      <c r="O176" s="226" t="s">
        <v>310</v>
      </c>
      <c r="P176" s="226" t="s">
        <v>310</v>
      </c>
      <c r="Q176" s="212" t="s">
        <v>310</v>
      </c>
      <c r="R176" s="204" t="s">
        <v>378</v>
      </c>
      <c r="S176" s="204" t="s">
        <v>347</v>
      </c>
      <c r="T176" s="204" t="s">
        <v>808</v>
      </c>
      <c r="U176" s="199"/>
      <c r="V176" s="200"/>
      <c r="W176" s="200"/>
      <c r="X176" s="200"/>
      <c r="Y176" s="200"/>
      <c r="Z176" s="200"/>
      <c r="AA176" s="201"/>
      <c r="AB176" s="200"/>
      <c r="AC176" s="200"/>
    </row>
    <row r="177" ht="15.0" customHeight="1">
      <c r="A177" s="210">
        <f t="shared" si="1"/>
        <v>175</v>
      </c>
      <c r="B177" s="204" t="s">
        <v>809</v>
      </c>
      <c r="C177" s="217" t="str">
        <f>IFERROR(VLOOKUP(B177, SourceData!$U$3:$V$190, 2, FALSE), "")</f>
        <v>Isabelle</v>
      </c>
      <c r="D177" s="205" t="s">
        <v>796</v>
      </c>
      <c r="E177" s="206">
        <v>0.6902777777777778</v>
      </c>
      <c r="F177" s="204" t="s">
        <v>306</v>
      </c>
      <c r="G177" s="207"/>
      <c r="H177" s="205" t="s">
        <v>810</v>
      </c>
      <c r="I177" s="205" t="s">
        <v>120</v>
      </c>
      <c r="J177" s="205" t="s">
        <v>308</v>
      </c>
      <c r="K177" s="208" t="str">
        <f>IF(Errors!$I177=0,SourceData!$B$42,VLOOKUP(Errors!$I177,SourceData!$A$2:$B$40,2,FALSE))</f>
        <v>Drop ball</v>
      </c>
      <c r="L177" s="207"/>
      <c r="M177" s="209"/>
      <c r="N177" s="205" t="s">
        <v>309</v>
      </c>
      <c r="O177" s="205" t="s">
        <v>309</v>
      </c>
      <c r="P177" s="205" t="s">
        <v>310</v>
      </c>
      <c r="Q177" s="205" t="s">
        <v>310</v>
      </c>
      <c r="R177" s="204" t="s">
        <v>378</v>
      </c>
      <c r="S177" s="204" t="s">
        <v>339</v>
      </c>
      <c r="T177" s="204" t="s">
        <v>811</v>
      </c>
      <c r="U177" s="199"/>
      <c r="V177" s="200"/>
      <c r="W177" s="200"/>
      <c r="X177" s="200"/>
      <c r="Y177" s="200"/>
      <c r="Z177" s="200"/>
      <c r="AA177" s="201"/>
      <c r="AB177" s="200"/>
      <c r="AC177" s="200"/>
    </row>
    <row r="178" ht="15.0" customHeight="1">
      <c r="A178" s="210">
        <f t="shared" si="1"/>
        <v>176</v>
      </c>
      <c r="B178" s="204" t="s">
        <v>809</v>
      </c>
      <c r="C178" s="217" t="str">
        <f>IFERROR(VLOOKUP(B178, SourceData!$U$3:$V$190, 2, FALSE), "")</f>
        <v>Isabelle</v>
      </c>
      <c r="D178" s="205" t="s">
        <v>796</v>
      </c>
      <c r="E178" s="206">
        <v>0.7451388888888889</v>
      </c>
      <c r="F178" s="204" t="s">
        <v>306</v>
      </c>
      <c r="G178" s="207"/>
      <c r="H178" s="205" t="s">
        <v>812</v>
      </c>
      <c r="I178" s="205" t="s">
        <v>132</v>
      </c>
      <c r="J178" s="205" t="s">
        <v>308</v>
      </c>
      <c r="K178" s="208" t="str">
        <f>IF(Errors!$I178=0,SourceData!$B$42,VLOOKUP(Errors!$I178,SourceData!$A$2:$B$40,2,FALSE))</f>
        <v>Ball falls out of the wheel </v>
      </c>
      <c r="L178" s="207"/>
      <c r="M178" s="209"/>
      <c r="N178" s="205" t="s">
        <v>309</v>
      </c>
      <c r="O178" s="205" t="s">
        <v>309</v>
      </c>
      <c r="P178" s="205" t="s">
        <v>310</v>
      </c>
      <c r="Q178" s="205" t="s">
        <v>310</v>
      </c>
      <c r="R178" s="204" t="s">
        <v>378</v>
      </c>
      <c r="S178" s="204" t="s">
        <v>378</v>
      </c>
      <c r="T178" s="204" t="s">
        <v>438</v>
      </c>
      <c r="U178" s="199"/>
      <c r="V178" s="200"/>
      <c r="W178" s="200"/>
      <c r="X178" s="200"/>
      <c r="Y178" s="200"/>
      <c r="Z178" s="200"/>
      <c r="AA178" s="201"/>
      <c r="AB178" s="200"/>
      <c r="AC178" s="200"/>
    </row>
    <row r="179" ht="15.0" customHeight="1">
      <c r="A179" s="210">
        <f t="shared" si="1"/>
        <v>177</v>
      </c>
      <c r="B179" s="204" t="s">
        <v>327</v>
      </c>
      <c r="C179" s="217" t="str">
        <f>IFERROR(VLOOKUP(B179, SourceData!$U$3:$V$190, 2, FALSE), "")</f>
        <v>Grace</v>
      </c>
      <c r="D179" s="205" t="s">
        <v>796</v>
      </c>
      <c r="E179" s="206">
        <v>0.8048611111111111</v>
      </c>
      <c r="F179" s="204" t="s">
        <v>376</v>
      </c>
      <c r="G179" s="207"/>
      <c r="H179" s="236" t="s">
        <v>813</v>
      </c>
      <c r="I179" s="205" t="s">
        <v>124</v>
      </c>
      <c r="J179" s="205" t="s">
        <v>308</v>
      </c>
      <c r="K179" s="208" t="str">
        <f>IF(Errors!$I179=0,SourceData!$B$42,VLOOKUP(Errors!$I179,SourceData!$A$2:$B$40,2,FALSE))</f>
        <v>Wrong wheel direction</v>
      </c>
      <c r="L179" s="207"/>
      <c r="M179" s="209"/>
      <c r="N179" s="205" t="s">
        <v>309</v>
      </c>
      <c r="O179" s="205" t="s">
        <v>309</v>
      </c>
      <c r="P179" s="205" t="s">
        <v>310</v>
      </c>
      <c r="Q179" s="205" t="s">
        <v>310</v>
      </c>
      <c r="R179" s="204" t="s">
        <v>378</v>
      </c>
      <c r="S179" s="204" t="s">
        <v>339</v>
      </c>
      <c r="T179" s="204" t="s">
        <v>814</v>
      </c>
      <c r="U179" s="199"/>
      <c r="V179" s="200"/>
      <c r="W179" s="200"/>
      <c r="X179" s="200"/>
      <c r="Y179" s="200"/>
      <c r="Z179" s="200"/>
      <c r="AA179" s="201"/>
      <c r="AB179" s="200"/>
      <c r="AC179" s="200"/>
    </row>
    <row r="180" ht="15.0" customHeight="1">
      <c r="A180" s="210">
        <f t="shared" si="1"/>
        <v>178</v>
      </c>
      <c r="B180" s="204" t="s">
        <v>809</v>
      </c>
      <c r="C180" s="217" t="str">
        <f>IFERROR(VLOOKUP(B180, SourceData!$U$3:$V$190, 2, FALSE), "")</f>
        <v>Isabelle</v>
      </c>
      <c r="D180" s="205" t="s">
        <v>796</v>
      </c>
      <c r="E180" s="206">
        <v>0.8291666666666667</v>
      </c>
      <c r="F180" s="204" t="s">
        <v>306</v>
      </c>
      <c r="G180" s="207"/>
      <c r="H180" s="205" t="s">
        <v>815</v>
      </c>
      <c r="I180" s="205" t="s">
        <v>58</v>
      </c>
      <c r="J180" s="205" t="s">
        <v>308</v>
      </c>
      <c r="K180" s="208" t="str">
        <f>IF(Errors!$I180=0,SourceData!$B$42,VLOOKUP(Errors!$I180,SourceData!$A$2:$B$40,2,FALSE))</f>
        <v>Technical error</v>
      </c>
      <c r="L180" s="207"/>
      <c r="M180" s="209"/>
      <c r="N180" s="226" t="s">
        <v>310</v>
      </c>
      <c r="O180" s="226" t="s">
        <v>310</v>
      </c>
      <c r="P180" s="226" t="s">
        <v>310</v>
      </c>
      <c r="Q180" s="212" t="s">
        <v>310</v>
      </c>
      <c r="R180" s="204" t="s">
        <v>378</v>
      </c>
      <c r="S180" s="204" t="s">
        <v>321</v>
      </c>
      <c r="T180" s="204" t="s">
        <v>816</v>
      </c>
      <c r="U180" s="199"/>
      <c r="V180" s="200"/>
      <c r="W180" s="200"/>
      <c r="X180" s="200"/>
      <c r="Y180" s="200"/>
      <c r="Z180" s="200"/>
      <c r="AA180" s="201"/>
      <c r="AB180" s="200"/>
      <c r="AC180" s="200"/>
    </row>
    <row r="181" ht="15.0" customHeight="1">
      <c r="A181" s="210">
        <f t="shared" si="1"/>
        <v>179</v>
      </c>
      <c r="B181" s="204" t="s">
        <v>367</v>
      </c>
      <c r="C181" s="217" t="str">
        <f>IFERROR(VLOOKUP(B181, SourceData!$U$3:$V$190, 2, FALSE), "")</f>
        <v>Kai</v>
      </c>
      <c r="D181" s="205" t="s">
        <v>817</v>
      </c>
      <c r="E181" s="206">
        <v>0.12013888888888889</v>
      </c>
      <c r="F181" s="204" t="s">
        <v>396</v>
      </c>
      <c r="G181" s="215" t="s">
        <v>818</v>
      </c>
      <c r="H181" s="205" t="s">
        <v>819</v>
      </c>
      <c r="I181" s="205" t="s">
        <v>150</v>
      </c>
      <c r="J181" s="205" t="s">
        <v>332</v>
      </c>
      <c r="K181" s="208" t="str">
        <f>IF(Errors!$I181=0,SourceData!$B$42,VLOOKUP(Errors!$I181,SourceData!$A$2:$B$40,2,FALSE))</f>
        <v>Dealer drops cards in shoe/table while changing cards. </v>
      </c>
      <c r="L181" s="207"/>
      <c r="M181" s="209"/>
      <c r="N181" s="226" t="s">
        <v>310</v>
      </c>
      <c r="O181" s="226" t="s">
        <v>310</v>
      </c>
      <c r="P181" s="226" t="s">
        <v>310</v>
      </c>
      <c r="Q181" s="212" t="s">
        <v>310</v>
      </c>
      <c r="R181" s="204" t="s">
        <v>361</v>
      </c>
      <c r="S181" s="204" t="s">
        <v>581</v>
      </c>
      <c r="T181" s="204" t="s">
        <v>820</v>
      </c>
      <c r="U181" s="199"/>
      <c r="V181" s="200"/>
      <c r="W181" s="200"/>
      <c r="X181" s="200"/>
      <c r="Y181" s="200"/>
      <c r="Z181" s="200"/>
      <c r="AA181" s="201"/>
      <c r="AB181" s="200"/>
      <c r="AC181" s="200"/>
    </row>
    <row r="182" ht="15.0" customHeight="1">
      <c r="A182" s="210">
        <f t="shared" si="1"/>
        <v>180</v>
      </c>
      <c r="B182" s="204" t="s">
        <v>644</v>
      </c>
      <c r="C182" s="217" t="str">
        <f>IFERROR(VLOOKUP(B182, SourceData!$U$3:$V$190, 2, FALSE), "")</f>
        <v>Ruby</v>
      </c>
      <c r="D182" s="205" t="s">
        <v>817</v>
      </c>
      <c r="E182" s="206">
        <v>0.22708333333333333</v>
      </c>
      <c r="F182" s="204" t="s">
        <v>352</v>
      </c>
      <c r="G182" s="215" t="s">
        <v>821</v>
      </c>
      <c r="H182" s="205" t="s">
        <v>822</v>
      </c>
      <c r="I182" s="205" t="s">
        <v>56</v>
      </c>
      <c r="J182" s="205" t="s">
        <v>332</v>
      </c>
      <c r="K182" s="208" t="str">
        <f>IF(Errors!$I182=0,SourceData!$B$42,VLOOKUP(Errors!$I182,SourceData!$A$2:$B$40,2,FALSE))</f>
        <v>Interface error</v>
      </c>
      <c r="L182" s="207"/>
      <c r="M182" s="209"/>
      <c r="N182" s="226" t="s">
        <v>310</v>
      </c>
      <c r="O182" s="226" t="s">
        <v>310</v>
      </c>
      <c r="P182" s="226" t="s">
        <v>310</v>
      </c>
      <c r="Q182" s="212" t="s">
        <v>310</v>
      </c>
      <c r="R182" s="204" t="s">
        <v>361</v>
      </c>
      <c r="S182" s="204" t="s">
        <v>488</v>
      </c>
      <c r="T182" s="204" t="s">
        <v>823</v>
      </c>
      <c r="U182" s="199"/>
      <c r="V182" s="200"/>
      <c r="W182" s="200"/>
      <c r="X182" s="200"/>
      <c r="Y182" s="200"/>
      <c r="Z182" s="200"/>
      <c r="AA182" s="201"/>
      <c r="AB182" s="200"/>
      <c r="AC182" s="200"/>
    </row>
    <row r="183" ht="15.0" customHeight="1">
      <c r="A183" s="210">
        <f t="shared" si="1"/>
        <v>181</v>
      </c>
      <c r="B183" s="204" t="s">
        <v>499</v>
      </c>
      <c r="C183" s="217" t="str">
        <f>IFERROR(VLOOKUP(B183, SourceData!$U$3:$V$190, 2, FALSE), "")</f>
        <v>Chantell</v>
      </c>
      <c r="D183" s="205" t="s">
        <v>817</v>
      </c>
      <c r="E183" s="206">
        <v>0.2923611111111111</v>
      </c>
      <c r="F183" s="204" t="s">
        <v>376</v>
      </c>
      <c r="G183" s="207"/>
      <c r="H183" s="205" t="s">
        <v>824</v>
      </c>
      <c r="I183" s="205" t="s">
        <v>120</v>
      </c>
      <c r="J183" s="205" t="s">
        <v>308</v>
      </c>
      <c r="K183" s="208" t="str">
        <f>IF(Errors!$I183=0,SourceData!$B$42,VLOOKUP(Errors!$I183,SourceData!$A$2:$B$40,2,FALSE))</f>
        <v>Drop ball</v>
      </c>
      <c r="L183" s="207"/>
      <c r="M183" s="209"/>
      <c r="N183" s="205" t="s">
        <v>309</v>
      </c>
      <c r="O183" s="205" t="s">
        <v>309</v>
      </c>
      <c r="P183" s="205" t="s">
        <v>310</v>
      </c>
      <c r="Q183" s="205" t="s">
        <v>310</v>
      </c>
      <c r="R183" s="204" t="s">
        <v>361</v>
      </c>
      <c r="S183" s="204" t="s">
        <v>488</v>
      </c>
      <c r="T183" s="204" t="s">
        <v>438</v>
      </c>
      <c r="U183" s="199"/>
      <c r="V183" s="200"/>
      <c r="W183" s="200"/>
      <c r="X183" s="200"/>
      <c r="Y183" s="200"/>
      <c r="Z183" s="200"/>
      <c r="AA183" s="201"/>
      <c r="AB183" s="200"/>
      <c r="AC183" s="200"/>
    </row>
    <row r="184" ht="15.0" customHeight="1">
      <c r="A184" s="210">
        <f t="shared" si="1"/>
        <v>182</v>
      </c>
      <c r="B184" s="204" t="s">
        <v>510</v>
      </c>
      <c r="C184" s="217" t="str">
        <f>IFERROR(VLOOKUP(B184, SourceData!$U$3:$V$190, 2, FALSE), "")</f>
        <v>Sapphire</v>
      </c>
      <c r="D184" s="205" t="s">
        <v>817</v>
      </c>
      <c r="E184" s="206">
        <v>0.3173611111111111</v>
      </c>
      <c r="F184" s="204" t="s">
        <v>396</v>
      </c>
      <c r="G184" s="215" t="s">
        <v>825</v>
      </c>
      <c r="H184" s="205" t="s">
        <v>826</v>
      </c>
      <c r="I184" s="205" t="s">
        <v>56</v>
      </c>
      <c r="J184" s="205" t="s">
        <v>332</v>
      </c>
      <c r="K184" s="208" t="str">
        <f>IF(Errors!$I184=0,SourceData!$B$42,VLOOKUP(Errors!$I184,SourceData!$A$2:$B$40,2,FALSE))</f>
        <v>Interface error</v>
      </c>
      <c r="L184" s="207"/>
      <c r="M184" s="205" t="s">
        <v>687</v>
      </c>
      <c r="N184" s="226" t="s">
        <v>310</v>
      </c>
      <c r="O184" s="226" t="s">
        <v>310</v>
      </c>
      <c r="P184" s="226" t="s">
        <v>310</v>
      </c>
      <c r="Q184" s="212" t="s">
        <v>310</v>
      </c>
      <c r="R184" s="204" t="s">
        <v>317</v>
      </c>
      <c r="S184" s="204" t="s">
        <v>581</v>
      </c>
      <c r="T184" s="204" t="s">
        <v>827</v>
      </c>
      <c r="U184" s="199"/>
      <c r="V184" s="200"/>
      <c r="W184" s="200"/>
      <c r="X184" s="200"/>
      <c r="Y184" s="200"/>
      <c r="Z184" s="200"/>
      <c r="AA184" s="201"/>
      <c r="AB184" s="200"/>
      <c r="AC184" s="200"/>
    </row>
    <row r="185" ht="15.0" customHeight="1">
      <c r="A185" s="210">
        <f t="shared" si="1"/>
        <v>183</v>
      </c>
      <c r="B185" s="217"/>
      <c r="C185" s="234" t="s">
        <v>828</v>
      </c>
      <c r="D185" s="205" t="s">
        <v>817</v>
      </c>
      <c r="E185" s="206">
        <v>0.3576388888888889</v>
      </c>
      <c r="F185" s="204" t="s">
        <v>306</v>
      </c>
      <c r="G185" s="207"/>
      <c r="H185" s="237" t="s">
        <v>829</v>
      </c>
      <c r="I185" s="205" t="s">
        <v>132</v>
      </c>
      <c r="J185" s="205" t="s">
        <v>308</v>
      </c>
      <c r="K185" s="208" t="str">
        <f>IF(Errors!$I185=0,SourceData!$B$42,VLOOKUP(Errors!$I185,SourceData!$A$2:$B$40,2,FALSE))</f>
        <v>Ball falls out of the wheel </v>
      </c>
      <c r="L185" s="207"/>
      <c r="M185" s="209"/>
      <c r="N185" s="205" t="s">
        <v>309</v>
      </c>
      <c r="O185" s="205" t="s">
        <v>309</v>
      </c>
      <c r="P185" s="205" t="s">
        <v>310</v>
      </c>
      <c r="Q185" s="205" t="s">
        <v>310</v>
      </c>
      <c r="R185" s="204" t="s">
        <v>317</v>
      </c>
      <c r="S185" s="204" t="s">
        <v>347</v>
      </c>
      <c r="T185" s="204" t="s">
        <v>830</v>
      </c>
      <c r="U185" s="199"/>
      <c r="V185" s="200"/>
      <c r="W185" s="200"/>
      <c r="X185" s="200"/>
      <c r="Y185" s="200"/>
      <c r="Z185" s="200"/>
      <c r="AA185" s="201"/>
      <c r="AB185" s="200"/>
      <c r="AC185" s="200"/>
    </row>
    <row r="186" ht="15.0" customHeight="1">
      <c r="A186" s="210">
        <f t="shared" si="1"/>
        <v>184</v>
      </c>
      <c r="B186" s="204" t="s">
        <v>831</v>
      </c>
      <c r="C186" s="217" t="str">
        <f>IFERROR(VLOOKUP(B186, SourceData!$U$3:$V$190, 2, FALSE), "")</f>
        <v>Summer</v>
      </c>
      <c r="D186" s="205" t="s">
        <v>817</v>
      </c>
      <c r="E186" s="206">
        <v>0.36666666666666664</v>
      </c>
      <c r="F186" s="204" t="s">
        <v>376</v>
      </c>
      <c r="G186" s="207"/>
      <c r="H186" s="237" t="s">
        <v>832</v>
      </c>
      <c r="I186" s="205" t="s">
        <v>120</v>
      </c>
      <c r="J186" s="205" t="s">
        <v>308</v>
      </c>
      <c r="K186" s="208" t="str">
        <f>IF(Errors!$I186=0,SourceData!$B$42,VLOOKUP(Errors!$I186,SourceData!$A$2:$B$40,2,FALSE))</f>
        <v>Drop ball</v>
      </c>
      <c r="L186" s="207"/>
      <c r="M186" s="209"/>
      <c r="N186" s="205" t="s">
        <v>309</v>
      </c>
      <c r="O186" s="205" t="s">
        <v>309</v>
      </c>
      <c r="P186" s="205" t="s">
        <v>310</v>
      </c>
      <c r="Q186" s="205" t="s">
        <v>310</v>
      </c>
      <c r="R186" s="204" t="s">
        <v>317</v>
      </c>
      <c r="S186" s="204" t="s">
        <v>347</v>
      </c>
      <c r="T186" s="204" t="s">
        <v>438</v>
      </c>
      <c r="U186" s="199"/>
      <c r="V186" s="200"/>
      <c r="W186" s="200"/>
      <c r="X186" s="200"/>
      <c r="Y186" s="200"/>
      <c r="Z186" s="200"/>
      <c r="AA186" s="201"/>
      <c r="AB186" s="200"/>
      <c r="AC186" s="200"/>
    </row>
    <row r="187" ht="15.0" customHeight="1">
      <c r="A187" s="210">
        <f t="shared" si="1"/>
        <v>185</v>
      </c>
      <c r="B187" s="204" t="s">
        <v>436</v>
      </c>
      <c r="C187" s="217" t="str">
        <f>IFERROR(VLOOKUP(B187, SourceData!$U$3:$V$190, 2, FALSE), "")</f>
        <v>Amy</v>
      </c>
      <c r="D187" s="205" t="s">
        <v>817</v>
      </c>
      <c r="E187" s="206">
        <v>0.36736111111111114</v>
      </c>
      <c r="F187" s="204" t="s">
        <v>329</v>
      </c>
      <c r="G187" s="215" t="s">
        <v>833</v>
      </c>
      <c r="H187" s="205" t="s">
        <v>834</v>
      </c>
      <c r="I187" s="205" t="s">
        <v>139</v>
      </c>
      <c r="J187" s="205" t="s">
        <v>332</v>
      </c>
      <c r="K187" s="208" t="str">
        <f>IF(Errors!$I187=0,SourceData!$B$42,VLOOKUP(Errors!$I187,SourceData!$A$2:$B$40,2,FALSE))</f>
        <v>GP doesn't wait for 3 seconds after the card change which causes card not scanned/cards scanned in wrong order</v>
      </c>
      <c r="L187" s="207"/>
      <c r="M187" s="209"/>
      <c r="N187" s="205" t="s">
        <v>309</v>
      </c>
      <c r="O187" s="216" t="s">
        <v>310</v>
      </c>
      <c r="P187" s="205" t="s">
        <v>310</v>
      </c>
      <c r="Q187" s="205" t="s">
        <v>310</v>
      </c>
      <c r="R187" s="204" t="s">
        <v>317</v>
      </c>
      <c r="S187" s="204" t="s">
        <v>326</v>
      </c>
      <c r="T187" s="204" t="s">
        <v>835</v>
      </c>
      <c r="U187" s="199"/>
      <c r="V187" s="200"/>
      <c r="W187" s="200"/>
      <c r="X187" s="200"/>
      <c r="Y187" s="200"/>
      <c r="Z187" s="200"/>
      <c r="AA187" s="201"/>
      <c r="AB187" s="200"/>
      <c r="AC187" s="200"/>
    </row>
    <row r="188" ht="15.0" customHeight="1">
      <c r="A188" s="238">
        <f t="shared" si="1"/>
        <v>186</v>
      </c>
      <c r="B188" s="204" t="s">
        <v>803</v>
      </c>
      <c r="C188" s="217" t="str">
        <f>IFERROR(VLOOKUP(B188, SourceData!$U$3:$V$190, 2, FALSE), "")</f>
        <v>Clover</v>
      </c>
      <c r="D188" s="205" t="s">
        <v>817</v>
      </c>
      <c r="E188" s="206">
        <v>0.38958333333333334</v>
      </c>
      <c r="F188" s="204" t="s">
        <v>376</v>
      </c>
      <c r="G188" s="207"/>
      <c r="H188" s="237" t="s">
        <v>836</v>
      </c>
      <c r="I188" s="205" t="s">
        <v>120</v>
      </c>
      <c r="J188" s="205" t="s">
        <v>308</v>
      </c>
      <c r="K188" s="208" t="str">
        <f>IF(Errors!$I188=0,SourceData!$B$42,VLOOKUP(Errors!$I188,SourceData!$A$2:$B$40,2,FALSE))</f>
        <v>Drop ball</v>
      </c>
      <c r="L188" s="207"/>
      <c r="M188" s="209"/>
      <c r="N188" s="205" t="s">
        <v>309</v>
      </c>
      <c r="O188" s="205" t="s">
        <v>309</v>
      </c>
      <c r="P188" s="205" t="s">
        <v>310</v>
      </c>
      <c r="Q188" s="205" t="s">
        <v>310</v>
      </c>
      <c r="R188" s="204" t="s">
        <v>317</v>
      </c>
      <c r="S188" s="204" t="s">
        <v>326</v>
      </c>
      <c r="T188" s="204" t="s">
        <v>438</v>
      </c>
      <c r="U188" s="199"/>
      <c r="V188" s="200"/>
      <c r="W188" s="200"/>
      <c r="X188" s="200"/>
      <c r="Y188" s="200"/>
      <c r="Z188" s="200"/>
      <c r="AA188" s="201"/>
      <c r="AB188" s="200"/>
      <c r="AC188" s="200"/>
    </row>
    <row r="189" ht="15.0" customHeight="1">
      <c r="A189" s="238">
        <f t="shared" si="1"/>
        <v>187</v>
      </c>
      <c r="B189" s="204" t="s">
        <v>831</v>
      </c>
      <c r="C189" s="217" t="str">
        <f>IFERROR(VLOOKUP(B189, SourceData!$U$3:$V$190, 2, FALSE), "")</f>
        <v>Summer</v>
      </c>
      <c r="D189" s="205" t="s">
        <v>817</v>
      </c>
      <c r="E189" s="206">
        <v>0.41944444444444445</v>
      </c>
      <c r="F189" s="204" t="s">
        <v>376</v>
      </c>
      <c r="G189" s="207"/>
      <c r="H189" s="205" t="s">
        <v>837</v>
      </c>
      <c r="I189" s="205" t="s">
        <v>116</v>
      </c>
      <c r="J189" s="205" t="s">
        <v>308</v>
      </c>
      <c r="K189" s="208" t="str">
        <f>IF(Errors!$I189=0,SourceData!$B$42,VLOOKUP(Errors!$I189,SourceData!$A$2:$B$40,2,FALSE))</f>
        <v>Ball did not make 4 revolutions</v>
      </c>
      <c r="L189" s="207"/>
      <c r="M189" s="209"/>
      <c r="N189" s="205" t="s">
        <v>309</v>
      </c>
      <c r="O189" s="205" t="s">
        <v>309</v>
      </c>
      <c r="P189" s="205" t="s">
        <v>310</v>
      </c>
      <c r="Q189" s="205" t="s">
        <v>310</v>
      </c>
      <c r="R189" s="204" t="s">
        <v>317</v>
      </c>
      <c r="S189" s="204" t="s">
        <v>389</v>
      </c>
      <c r="T189" s="204" t="s">
        <v>438</v>
      </c>
      <c r="U189" s="199"/>
      <c r="V189" s="200"/>
      <c r="W189" s="200"/>
      <c r="X189" s="200"/>
      <c r="Y189" s="200"/>
      <c r="Z189" s="200"/>
      <c r="AA189" s="201"/>
      <c r="AB189" s="200"/>
      <c r="AC189" s="200"/>
    </row>
    <row r="190" ht="15.0" customHeight="1">
      <c r="A190" s="238">
        <f t="shared" si="1"/>
        <v>188</v>
      </c>
      <c r="B190" s="217"/>
      <c r="C190" s="234" t="s">
        <v>828</v>
      </c>
      <c r="D190" s="205" t="s">
        <v>817</v>
      </c>
      <c r="E190" s="206">
        <v>0.4409722222222222</v>
      </c>
      <c r="F190" s="204" t="s">
        <v>306</v>
      </c>
      <c r="G190" s="207"/>
      <c r="H190" s="205" t="s">
        <v>838</v>
      </c>
      <c r="I190" s="205" t="s">
        <v>132</v>
      </c>
      <c r="J190" s="205" t="s">
        <v>308</v>
      </c>
      <c r="K190" s="208" t="str">
        <f>IF(Errors!$I190=0,SourceData!$B$42,VLOOKUP(Errors!$I190,SourceData!$A$2:$B$40,2,FALSE))</f>
        <v>Ball falls out of the wheel </v>
      </c>
      <c r="L190" s="207"/>
      <c r="M190" s="209"/>
      <c r="N190" s="205" t="s">
        <v>309</v>
      </c>
      <c r="O190" s="205" t="s">
        <v>309</v>
      </c>
      <c r="P190" s="205" t="s">
        <v>310</v>
      </c>
      <c r="Q190" s="205" t="s">
        <v>310</v>
      </c>
      <c r="R190" s="204" t="s">
        <v>317</v>
      </c>
      <c r="S190" s="204" t="s">
        <v>347</v>
      </c>
      <c r="T190" s="204" t="s">
        <v>839</v>
      </c>
      <c r="U190" s="199"/>
      <c r="V190" s="200"/>
      <c r="W190" s="200"/>
      <c r="X190" s="200"/>
      <c r="Y190" s="200"/>
      <c r="Z190" s="200"/>
      <c r="AA190" s="201"/>
      <c r="AB190" s="200"/>
      <c r="AC190" s="200"/>
    </row>
    <row r="191" ht="15.0" customHeight="1">
      <c r="A191" s="238">
        <f t="shared" si="1"/>
        <v>189</v>
      </c>
      <c r="B191" s="204" t="s">
        <v>831</v>
      </c>
      <c r="C191" s="217" t="str">
        <f>IFERROR(VLOOKUP(B191, SourceData!$U$3:$V$190, 2, FALSE), "")</f>
        <v>Summer</v>
      </c>
      <c r="D191" s="205" t="s">
        <v>817</v>
      </c>
      <c r="E191" s="206">
        <v>0.4979166666666667</v>
      </c>
      <c r="F191" s="204" t="s">
        <v>376</v>
      </c>
      <c r="G191" s="207"/>
      <c r="H191" s="205" t="s">
        <v>840</v>
      </c>
      <c r="I191" s="205" t="s">
        <v>116</v>
      </c>
      <c r="J191" s="205" t="s">
        <v>308</v>
      </c>
      <c r="K191" s="208" t="str">
        <f>IF(Errors!$I191=0,SourceData!$B$42,VLOOKUP(Errors!$I191,SourceData!$A$2:$B$40,2,FALSE))</f>
        <v>Ball did not make 4 revolutions</v>
      </c>
      <c r="L191" s="207"/>
      <c r="M191" s="209"/>
      <c r="N191" s="205" t="s">
        <v>309</v>
      </c>
      <c r="O191" s="205" t="s">
        <v>309</v>
      </c>
      <c r="P191" s="205" t="s">
        <v>310</v>
      </c>
      <c r="Q191" s="205" t="s">
        <v>310</v>
      </c>
      <c r="R191" s="204" t="s">
        <v>317</v>
      </c>
      <c r="S191" s="204" t="s">
        <v>347</v>
      </c>
      <c r="T191" s="204" t="s">
        <v>438</v>
      </c>
      <c r="U191" s="199"/>
      <c r="V191" s="200"/>
      <c r="W191" s="200"/>
      <c r="X191" s="200"/>
      <c r="Y191" s="200"/>
      <c r="Z191" s="200"/>
      <c r="AA191" s="201"/>
      <c r="AB191" s="200"/>
      <c r="AC191" s="200"/>
    </row>
    <row r="192" ht="15.0" customHeight="1">
      <c r="A192" s="238">
        <f t="shared" si="1"/>
        <v>190</v>
      </c>
      <c r="B192" s="204" t="s">
        <v>659</v>
      </c>
      <c r="C192" s="217" t="str">
        <f>IFERROR(VLOOKUP(B192, SourceData!$U$3:$V$190, 2, FALSE), "")</f>
        <v>Anelisse </v>
      </c>
      <c r="D192" s="205" t="s">
        <v>817</v>
      </c>
      <c r="E192" s="206">
        <v>0.5159722222222223</v>
      </c>
      <c r="F192" s="204" t="s">
        <v>400</v>
      </c>
      <c r="G192" s="215" t="s">
        <v>841</v>
      </c>
      <c r="H192" s="205" t="s">
        <v>842</v>
      </c>
      <c r="I192" s="205" t="s">
        <v>139</v>
      </c>
      <c r="J192" s="205" t="s">
        <v>332</v>
      </c>
      <c r="K192" s="208" t="str">
        <f>IF(Errors!$I192=0,SourceData!$B$42,VLOOKUP(Errors!$I192,SourceData!$A$2:$B$40,2,FALSE))</f>
        <v>GP doesn't wait for 3 seconds after the card change which causes card not scanned/cards scanned in wrong order</v>
      </c>
      <c r="L192" s="207"/>
      <c r="M192" s="209"/>
      <c r="N192" s="216" t="s">
        <v>309</v>
      </c>
      <c r="O192" s="216" t="s">
        <v>310</v>
      </c>
      <c r="P192" s="205" t="s">
        <v>310</v>
      </c>
      <c r="Q192" s="205" t="s">
        <v>310</v>
      </c>
      <c r="R192" s="204" t="s">
        <v>317</v>
      </c>
      <c r="S192" s="204" t="s">
        <v>326</v>
      </c>
      <c r="T192" s="204" t="s">
        <v>843</v>
      </c>
      <c r="U192" s="199"/>
      <c r="V192" s="200"/>
      <c r="W192" s="200"/>
      <c r="X192" s="200"/>
      <c r="Y192" s="200"/>
      <c r="Z192" s="200"/>
      <c r="AA192" s="201"/>
      <c r="AB192" s="200"/>
      <c r="AC192" s="200"/>
    </row>
    <row r="193" ht="15.0" customHeight="1">
      <c r="A193" s="210">
        <f t="shared" si="1"/>
        <v>191</v>
      </c>
      <c r="B193" s="217"/>
      <c r="C193" s="234" t="s">
        <v>828</v>
      </c>
      <c r="D193" s="205" t="s">
        <v>817</v>
      </c>
      <c r="E193" s="206">
        <v>0.5701388888888889</v>
      </c>
      <c r="F193" s="204" t="s">
        <v>306</v>
      </c>
      <c r="G193" s="207"/>
      <c r="H193" s="205" t="s">
        <v>844</v>
      </c>
      <c r="I193" s="205" t="s">
        <v>120</v>
      </c>
      <c r="J193" s="205" t="s">
        <v>308</v>
      </c>
      <c r="K193" s="208" t="str">
        <f>IF(Errors!$I193=0,SourceData!$B$42,VLOOKUP(Errors!$I193,SourceData!$A$2:$B$40,2,FALSE))</f>
        <v>Drop ball</v>
      </c>
      <c r="L193" s="207"/>
      <c r="M193" s="209"/>
      <c r="N193" s="205" t="s">
        <v>309</v>
      </c>
      <c r="O193" s="216" t="s">
        <v>310</v>
      </c>
      <c r="P193" s="205" t="s">
        <v>310</v>
      </c>
      <c r="Q193" s="205" t="s">
        <v>310</v>
      </c>
      <c r="R193" s="204" t="s">
        <v>317</v>
      </c>
      <c r="S193" s="204" t="s">
        <v>389</v>
      </c>
      <c r="T193" s="204" t="s">
        <v>839</v>
      </c>
      <c r="U193" s="199"/>
      <c r="V193" s="200"/>
      <c r="W193" s="200"/>
      <c r="X193" s="200"/>
      <c r="Y193" s="200"/>
      <c r="Z193" s="200"/>
      <c r="AA193" s="201"/>
      <c r="AB193" s="200"/>
      <c r="AC193" s="200"/>
    </row>
    <row r="194" ht="15.0" customHeight="1">
      <c r="A194" s="210">
        <f t="shared" si="1"/>
        <v>192</v>
      </c>
      <c r="B194" s="204" t="s">
        <v>525</v>
      </c>
      <c r="C194" s="204" t="s">
        <v>526</v>
      </c>
      <c r="D194" s="205" t="s">
        <v>817</v>
      </c>
      <c r="E194" s="206">
        <v>0.5854166666666667</v>
      </c>
      <c r="F194" s="204" t="s">
        <v>329</v>
      </c>
      <c r="G194" s="215" t="s">
        <v>845</v>
      </c>
      <c r="H194" s="205" t="s">
        <v>846</v>
      </c>
      <c r="I194" s="205" t="s">
        <v>139</v>
      </c>
      <c r="J194" s="205" t="s">
        <v>332</v>
      </c>
      <c r="K194" s="208" t="str">
        <f>IF(Errors!$I194=0,SourceData!$B$42,VLOOKUP(Errors!$I194,SourceData!$A$2:$B$40,2,FALSE))</f>
        <v>GP doesn't wait for 3 seconds after the card change which causes card not scanned/cards scanned in wrong order</v>
      </c>
      <c r="L194" s="207"/>
      <c r="M194" s="209"/>
      <c r="N194" s="205" t="s">
        <v>309</v>
      </c>
      <c r="O194" s="216" t="s">
        <v>310</v>
      </c>
      <c r="P194" s="205" t="s">
        <v>310</v>
      </c>
      <c r="Q194" s="205" t="s">
        <v>310</v>
      </c>
      <c r="R194" s="204" t="s">
        <v>317</v>
      </c>
      <c r="S194" s="204" t="s">
        <v>326</v>
      </c>
      <c r="T194" s="204" t="s">
        <v>843</v>
      </c>
      <c r="U194" s="199"/>
      <c r="V194" s="200"/>
      <c r="W194" s="200"/>
      <c r="X194" s="200"/>
      <c r="Y194" s="200"/>
      <c r="Z194" s="200"/>
      <c r="AA194" s="201"/>
      <c r="AB194" s="200"/>
      <c r="AC194" s="200"/>
    </row>
    <row r="195" ht="15.0" customHeight="1">
      <c r="A195" s="210">
        <f t="shared" si="1"/>
        <v>193</v>
      </c>
      <c r="B195" s="204" t="s">
        <v>847</v>
      </c>
      <c r="C195" s="217" t="str">
        <f>IFERROR(VLOOKUP(B195, SourceData!$U$3:$V$190, 2, FALSE), "")</f>
        <v>Adriana</v>
      </c>
      <c r="D195" s="205" t="s">
        <v>817</v>
      </c>
      <c r="E195" s="206">
        <v>0.6173611111111111</v>
      </c>
      <c r="F195" s="204" t="s">
        <v>352</v>
      </c>
      <c r="G195" s="215" t="s">
        <v>848</v>
      </c>
      <c r="H195" s="205" t="s">
        <v>849</v>
      </c>
      <c r="I195" s="205" t="s">
        <v>56</v>
      </c>
      <c r="J195" s="205" t="s">
        <v>332</v>
      </c>
      <c r="K195" s="208" t="str">
        <f>IF(Errors!$I195=0,SourceData!$B$42,VLOOKUP(Errors!$I195,SourceData!$A$2:$B$40,2,FALSE))</f>
        <v>Interface error</v>
      </c>
      <c r="L195" s="207"/>
      <c r="M195" s="209"/>
      <c r="N195" s="216" t="s">
        <v>310</v>
      </c>
      <c r="O195" s="216" t="s">
        <v>310</v>
      </c>
      <c r="P195" s="205" t="s">
        <v>310</v>
      </c>
      <c r="Q195" s="205" t="s">
        <v>310</v>
      </c>
      <c r="R195" s="204" t="s">
        <v>317</v>
      </c>
      <c r="S195" s="204" t="s">
        <v>347</v>
      </c>
      <c r="T195" s="204" t="s">
        <v>850</v>
      </c>
      <c r="U195" s="199"/>
      <c r="V195" s="200"/>
      <c r="W195" s="200"/>
      <c r="X195" s="200"/>
      <c r="Y195" s="200"/>
      <c r="Z195" s="200"/>
      <c r="AA195" s="201"/>
      <c r="AB195" s="200"/>
      <c r="AC195" s="200"/>
    </row>
    <row r="196" ht="15.0" customHeight="1">
      <c r="A196" s="210">
        <f t="shared" si="1"/>
        <v>194</v>
      </c>
      <c r="B196" s="204" t="s">
        <v>427</v>
      </c>
      <c r="C196" s="217" t="str">
        <f>IFERROR(VLOOKUP(B196, SourceData!$U$3:$V$190, 2, FALSE), "")</f>
        <v>Margot</v>
      </c>
      <c r="D196" s="205" t="s">
        <v>817</v>
      </c>
      <c r="E196" s="206">
        <v>0.6340277777777777</v>
      </c>
      <c r="F196" s="204" t="s">
        <v>323</v>
      </c>
      <c r="G196" s="207"/>
      <c r="H196" s="205" t="s">
        <v>851</v>
      </c>
      <c r="I196" s="205" t="s">
        <v>229</v>
      </c>
      <c r="J196" s="205" t="s">
        <v>308</v>
      </c>
      <c r="K196" s="208" t="str">
        <f>IF(Errors!$I196=0,SourceData!$B$42,VLOOKUP(Errors!$I196,SourceData!$A$2:$B$40,2,FALSE))</f>
        <v>Dealer spun ball before the beginning of next round/More than 3 seconds before the end of the countdown. </v>
      </c>
      <c r="L196" s="207"/>
      <c r="M196" s="205" t="s">
        <v>338</v>
      </c>
      <c r="N196" s="205" t="s">
        <v>309</v>
      </c>
      <c r="O196" s="205" t="s">
        <v>309</v>
      </c>
      <c r="P196" s="205" t="s">
        <v>310</v>
      </c>
      <c r="Q196" s="205" t="s">
        <v>310</v>
      </c>
      <c r="R196" s="204" t="s">
        <v>317</v>
      </c>
      <c r="S196" s="204" t="s">
        <v>326</v>
      </c>
      <c r="T196" s="204" t="s">
        <v>438</v>
      </c>
      <c r="U196" s="199"/>
      <c r="V196" s="200"/>
      <c r="W196" s="200"/>
      <c r="X196" s="200"/>
      <c r="Y196" s="200"/>
      <c r="Z196" s="200"/>
      <c r="AA196" s="201"/>
      <c r="AB196" s="200"/>
      <c r="AC196" s="200"/>
    </row>
    <row r="197" ht="15.0" customHeight="1">
      <c r="A197" s="210">
        <f t="shared" si="1"/>
        <v>195</v>
      </c>
      <c r="B197" s="204" t="s">
        <v>492</v>
      </c>
      <c r="C197" s="217" t="str">
        <f>IFERROR(VLOOKUP(B197, SourceData!$U$3:$V$190, 2, FALSE), "")</f>
        <v>Lucy</v>
      </c>
      <c r="D197" s="205" t="s">
        <v>817</v>
      </c>
      <c r="E197" s="206">
        <v>0.7215277777777778</v>
      </c>
      <c r="F197" s="204" t="s">
        <v>396</v>
      </c>
      <c r="G197" s="215" t="s">
        <v>852</v>
      </c>
      <c r="H197" s="205" t="s">
        <v>853</v>
      </c>
      <c r="I197" s="205" t="s">
        <v>56</v>
      </c>
      <c r="J197" s="205" t="s">
        <v>332</v>
      </c>
      <c r="K197" s="208" t="str">
        <f>IF(Errors!$I197=0,SourceData!$B$42,VLOOKUP(Errors!$I197,SourceData!$A$2:$B$40,2,FALSE))</f>
        <v>Interface error</v>
      </c>
      <c r="L197" s="207"/>
      <c r="M197" s="209"/>
      <c r="N197" s="216" t="s">
        <v>310</v>
      </c>
      <c r="O197" s="216" t="s">
        <v>310</v>
      </c>
      <c r="P197" s="205" t="s">
        <v>310</v>
      </c>
      <c r="Q197" s="205" t="s">
        <v>310</v>
      </c>
      <c r="R197" s="204" t="s">
        <v>378</v>
      </c>
      <c r="S197" s="204" t="s">
        <v>452</v>
      </c>
      <c r="T197" s="204" t="s">
        <v>854</v>
      </c>
      <c r="U197" s="199"/>
      <c r="V197" s="200"/>
      <c r="W197" s="200"/>
      <c r="X197" s="200"/>
      <c r="Y197" s="200"/>
      <c r="Z197" s="200"/>
      <c r="AA197" s="201"/>
      <c r="AB197" s="200"/>
      <c r="AC197" s="200"/>
    </row>
    <row r="198" ht="15.0" customHeight="1">
      <c r="A198" s="210">
        <f t="shared" si="1"/>
        <v>196</v>
      </c>
      <c r="B198" s="204" t="s">
        <v>499</v>
      </c>
      <c r="C198" s="217" t="str">
        <f>IFERROR(VLOOKUP(B198, SourceData!$U$3:$V$190, 2, FALSE), "")</f>
        <v>Chantell</v>
      </c>
      <c r="D198" s="205" t="s">
        <v>817</v>
      </c>
      <c r="E198" s="206">
        <v>0.9854166666666667</v>
      </c>
      <c r="F198" s="204" t="s">
        <v>343</v>
      </c>
      <c r="G198" s="215" t="s">
        <v>855</v>
      </c>
      <c r="H198" s="205" t="s">
        <v>856</v>
      </c>
      <c r="I198" s="205" t="s">
        <v>56</v>
      </c>
      <c r="J198" s="205" t="s">
        <v>332</v>
      </c>
      <c r="K198" s="208" t="str">
        <f>IF(Errors!$I198=0,SourceData!$B$42,VLOOKUP(Errors!$I198,SourceData!$A$2:$B$40,2,FALSE))</f>
        <v>Interface error</v>
      </c>
      <c r="L198" s="207"/>
      <c r="M198" s="205" t="s">
        <v>338</v>
      </c>
      <c r="N198" s="216" t="s">
        <v>310</v>
      </c>
      <c r="O198" s="216" t="s">
        <v>310</v>
      </c>
      <c r="P198" s="205" t="s">
        <v>310</v>
      </c>
      <c r="Q198" s="205" t="s">
        <v>310</v>
      </c>
      <c r="R198" s="204" t="s">
        <v>361</v>
      </c>
      <c r="S198" s="204" t="s">
        <v>452</v>
      </c>
      <c r="T198" s="204" t="s">
        <v>857</v>
      </c>
      <c r="U198" s="199"/>
      <c r="V198" s="200"/>
      <c r="W198" s="200"/>
      <c r="X198" s="200"/>
      <c r="Y198" s="200"/>
      <c r="Z198" s="200"/>
      <c r="AA198" s="201"/>
      <c r="AB198" s="200"/>
      <c r="AC198" s="200"/>
    </row>
    <row r="199" ht="15.0" customHeight="1">
      <c r="A199" s="210">
        <f t="shared" si="1"/>
        <v>197</v>
      </c>
      <c r="B199" s="204" t="s">
        <v>623</v>
      </c>
      <c r="C199" s="204" t="s">
        <v>858</v>
      </c>
      <c r="D199" s="205" t="s">
        <v>859</v>
      </c>
      <c r="E199" s="206">
        <v>0.24722222222222223</v>
      </c>
      <c r="F199" s="204" t="s">
        <v>306</v>
      </c>
      <c r="G199" s="207"/>
      <c r="H199" s="205" t="s">
        <v>860</v>
      </c>
      <c r="I199" s="205" t="s">
        <v>120</v>
      </c>
      <c r="J199" s="205" t="s">
        <v>308</v>
      </c>
      <c r="K199" s="208" t="str">
        <f>IF(Errors!$I199=0,SourceData!$B$42,VLOOKUP(Errors!$I199,SourceData!$A$2:$B$40,2,FALSE))</f>
        <v>Drop ball</v>
      </c>
      <c r="L199" s="207"/>
      <c r="M199" s="209"/>
      <c r="N199" s="205" t="s">
        <v>309</v>
      </c>
      <c r="O199" s="205" t="s">
        <v>309</v>
      </c>
      <c r="P199" s="205" t="s">
        <v>310</v>
      </c>
      <c r="Q199" s="205" t="s">
        <v>310</v>
      </c>
      <c r="R199" s="204" t="s">
        <v>361</v>
      </c>
      <c r="S199" s="204" t="s">
        <v>488</v>
      </c>
      <c r="T199" s="204" t="s">
        <v>438</v>
      </c>
      <c r="U199" s="199"/>
      <c r="V199" s="200"/>
      <c r="W199" s="200"/>
      <c r="X199" s="200"/>
      <c r="Y199" s="200"/>
      <c r="Z199" s="200"/>
      <c r="AA199" s="201"/>
      <c r="AB199" s="200"/>
      <c r="AC199" s="200"/>
    </row>
    <row r="200" ht="15.0" customHeight="1">
      <c r="A200" s="210">
        <f t="shared" si="1"/>
        <v>198</v>
      </c>
      <c r="B200" s="204" t="s">
        <v>623</v>
      </c>
      <c r="C200" s="204" t="s">
        <v>858</v>
      </c>
      <c r="D200" s="205" t="s">
        <v>859</v>
      </c>
      <c r="E200" s="206">
        <v>0.2875</v>
      </c>
      <c r="F200" s="204" t="s">
        <v>306</v>
      </c>
      <c r="G200" s="207"/>
      <c r="H200" s="205" t="s">
        <v>861</v>
      </c>
      <c r="I200" s="205" t="s">
        <v>132</v>
      </c>
      <c r="J200" s="205" t="s">
        <v>308</v>
      </c>
      <c r="K200" s="208" t="str">
        <f>IF(Errors!$I200=0,SourceData!$B$42,VLOOKUP(Errors!$I200,SourceData!$A$2:$B$40,2,FALSE))</f>
        <v>Ball falls out of the wheel </v>
      </c>
      <c r="L200" s="207"/>
      <c r="M200" s="209"/>
      <c r="N200" s="205" t="s">
        <v>309</v>
      </c>
      <c r="O200" s="205" t="s">
        <v>309</v>
      </c>
      <c r="P200" s="205" t="s">
        <v>310</v>
      </c>
      <c r="Q200" s="205" t="s">
        <v>310</v>
      </c>
      <c r="R200" s="204" t="s">
        <v>361</v>
      </c>
      <c r="S200" s="204" t="s">
        <v>470</v>
      </c>
      <c r="T200" s="204" t="s">
        <v>438</v>
      </c>
      <c r="U200" s="199"/>
      <c r="V200" s="200"/>
      <c r="W200" s="200"/>
      <c r="X200" s="200"/>
      <c r="Y200" s="200"/>
      <c r="Z200" s="200"/>
      <c r="AA200" s="201"/>
      <c r="AB200" s="200"/>
      <c r="AC200" s="200"/>
    </row>
    <row r="201" ht="15.0" customHeight="1">
      <c r="A201" s="210">
        <f t="shared" si="1"/>
        <v>199</v>
      </c>
      <c r="B201" s="204" t="s">
        <v>847</v>
      </c>
      <c r="C201" s="217" t="str">
        <f>IFERROR(VLOOKUP(B201, SourceData!$U$3:$V$190, 2, FALSE), "")</f>
        <v>Adriana</v>
      </c>
      <c r="D201" s="205" t="s">
        <v>859</v>
      </c>
      <c r="E201" s="206">
        <v>0.3333333333333333</v>
      </c>
      <c r="F201" s="204" t="s">
        <v>352</v>
      </c>
      <c r="G201" s="215" t="s">
        <v>862</v>
      </c>
      <c r="H201" s="205" t="s">
        <v>863</v>
      </c>
      <c r="I201" s="205" t="s">
        <v>122</v>
      </c>
      <c r="J201" s="205" t="s">
        <v>332</v>
      </c>
      <c r="K201" s="208" t="str">
        <f>IF(Errors!$I201=0,SourceData!$B$42,VLOOKUP(Errors!$I201,SourceData!$A$2:$B$40,2,FALSE))</f>
        <v>Burn card(s) exposed/too many cards burned - during burn procedure (during card change procedure)</v>
      </c>
      <c r="L201" s="207"/>
      <c r="M201" s="209"/>
      <c r="N201" s="216" t="s">
        <v>310</v>
      </c>
      <c r="O201" s="216" t="s">
        <v>310</v>
      </c>
      <c r="P201" s="205" t="s">
        <v>310</v>
      </c>
      <c r="Q201" s="205" t="s">
        <v>310</v>
      </c>
      <c r="R201" s="204" t="s">
        <v>413</v>
      </c>
      <c r="S201" s="204" t="s">
        <v>389</v>
      </c>
      <c r="T201" s="204" t="s">
        <v>864</v>
      </c>
      <c r="U201" s="199"/>
      <c r="V201" s="200"/>
      <c r="W201" s="200"/>
      <c r="X201" s="200"/>
      <c r="Y201" s="200"/>
      <c r="Z201" s="200"/>
      <c r="AA201" s="201"/>
      <c r="AB201" s="200"/>
      <c r="AC201" s="200"/>
    </row>
    <row r="202" ht="15.0" customHeight="1">
      <c r="A202" s="210">
        <f t="shared" si="1"/>
        <v>200</v>
      </c>
      <c r="B202" s="204" t="s">
        <v>831</v>
      </c>
      <c r="C202" s="204" t="s">
        <v>865</v>
      </c>
      <c r="D202" s="205" t="s">
        <v>859</v>
      </c>
      <c r="E202" s="206">
        <v>0.35833333333333334</v>
      </c>
      <c r="F202" s="204" t="s">
        <v>400</v>
      </c>
      <c r="G202" s="215" t="s">
        <v>866</v>
      </c>
      <c r="H202" s="205" t="s">
        <v>867</v>
      </c>
      <c r="I202" s="205" t="s">
        <v>150</v>
      </c>
      <c r="J202" s="205" t="s">
        <v>332</v>
      </c>
      <c r="K202" s="208" t="str">
        <f>IF(Errors!$I202=0,SourceData!$B$42,VLOOKUP(Errors!$I202,SourceData!$A$2:$B$40,2,FALSE))</f>
        <v>Dealer drops cards in shoe/table while changing cards. </v>
      </c>
      <c r="L202" s="207"/>
      <c r="M202" s="209"/>
      <c r="N202" s="216" t="s">
        <v>310</v>
      </c>
      <c r="O202" s="216" t="s">
        <v>310</v>
      </c>
      <c r="P202" s="205" t="s">
        <v>310</v>
      </c>
      <c r="Q202" s="205" t="s">
        <v>310</v>
      </c>
      <c r="R202" s="204" t="s">
        <v>413</v>
      </c>
      <c r="S202" s="204" t="s">
        <v>389</v>
      </c>
      <c r="T202" s="204" t="s">
        <v>868</v>
      </c>
      <c r="U202" s="199"/>
      <c r="V202" s="200"/>
      <c r="W202" s="200"/>
      <c r="X202" s="200"/>
      <c r="Y202" s="200"/>
      <c r="Z202" s="200"/>
      <c r="AA202" s="201"/>
      <c r="AB202" s="200"/>
      <c r="AC202" s="200"/>
    </row>
    <row r="203" ht="15.0" customHeight="1">
      <c r="A203" s="210">
        <f t="shared" si="1"/>
        <v>201</v>
      </c>
      <c r="B203" s="204" t="s">
        <v>734</v>
      </c>
      <c r="C203" s="204" t="s">
        <v>869</v>
      </c>
      <c r="D203" s="205" t="s">
        <v>859</v>
      </c>
      <c r="E203" s="206">
        <v>0.41180555555555554</v>
      </c>
      <c r="F203" s="204" t="s">
        <v>376</v>
      </c>
      <c r="G203" s="207"/>
      <c r="H203" s="205" t="s">
        <v>870</v>
      </c>
      <c r="I203" s="205" t="s">
        <v>128</v>
      </c>
      <c r="J203" s="205" t="s">
        <v>308</v>
      </c>
      <c r="K203" s="208" t="str">
        <f>IF(Errors!$I203=0,SourceData!$B$42,VLOOKUP(Errors!$I203,SourceData!$A$2:$B$40,2,FALSE))</f>
        <v>Wrong ball direction</v>
      </c>
      <c r="L203" s="207"/>
      <c r="M203" s="209"/>
      <c r="N203" s="205" t="s">
        <v>309</v>
      </c>
      <c r="O203" s="205" t="s">
        <v>309</v>
      </c>
      <c r="P203" s="205" t="s">
        <v>310</v>
      </c>
      <c r="Q203" s="205" t="s">
        <v>310</v>
      </c>
      <c r="R203" s="204" t="s">
        <v>413</v>
      </c>
      <c r="S203" s="204" t="s">
        <v>389</v>
      </c>
      <c r="T203" s="204" t="s">
        <v>871</v>
      </c>
      <c r="U203" s="199"/>
      <c r="V203" s="200"/>
      <c r="W203" s="200"/>
      <c r="X203" s="200"/>
      <c r="Y203" s="200"/>
      <c r="Z203" s="200"/>
      <c r="AA203" s="201"/>
      <c r="AB203" s="200"/>
      <c r="AC203" s="200"/>
    </row>
    <row r="204" ht="15.0" customHeight="1">
      <c r="A204" s="210">
        <f t="shared" si="1"/>
        <v>202</v>
      </c>
      <c r="B204" s="204" t="s">
        <v>534</v>
      </c>
      <c r="C204" s="217" t="str">
        <f>IFERROR(VLOOKUP(B204, SourceData!$U$3:$V$190, 2, FALSE), "")</f>
        <v>Maddy</v>
      </c>
      <c r="D204" s="205" t="s">
        <v>859</v>
      </c>
      <c r="E204" s="206">
        <v>0.5333333333333333</v>
      </c>
      <c r="F204" s="204" t="s">
        <v>352</v>
      </c>
      <c r="G204" s="215" t="s">
        <v>872</v>
      </c>
      <c r="H204" s="205" t="s">
        <v>873</v>
      </c>
      <c r="I204" s="205" t="s">
        <v>201</v>
      </c>
      <c r="J204" s="205" t="s">
        <v>332</v>
      </c>
      <c r="K204" s="208" t="str">
        <f>IF(Errors!$I204=0,SourceData!$B$42,VLOOKUP(Errors!$I204,SourceData!$A$2:$B$40,2,FALSE))</f>
        <v>Card is placed but not scanned (no further cards have been scanned)</v>
      </c>
      <c r="L204" s="207"/>
      <c r="M204" s="209"/>
      <c r="N204" s="216" t="s">
        <v>310</v>
      </c>
      <c r="O204" s="216" t="s">
        <v>310</v>
      </c>
      <c r="P204" s="205" t="s">
        <v>310</v>
      </c>
      <c r="Q204" s="205" t="s">
        <v>310</v>
      </c>
      <c r="R204" s="204" t="s">
        <v>413</v>
      </c>
      <c r="S204" s="204" t="s">
        <v>427</v>
      </c>
      <c r="T204" s="204" t="s">
        <v>874</v>
      </c>
      <c r="U204" s="205" t="s">
        <v>310</v>
      </c>
      <c r="V204" s="205" t="s">
        <v>310</v>
      </c>
      <c r="W204" s="204" t="s">
        <v>413</v>
      </c>
      <c r="X204" s="200"/>
      <c r="Y204" s="200"/>
      <c r="Z204" s="200"/>
      <c r="AA204" s="201"/>
      <c r="AB204" s="200"/>
      <c r="AC204" s="200"/>
    </row>
    <row r="205" ht="15.0" customHeight="1">
      <c r="A205" s="210">
        <f t="shared" si="1"/>
        <v>203</v>
      </c>
      <c r="B205" s="204" t="s">
        <v>428</v>
      </c>
      <c r="C205" s="217" t="str">
        <f>IFERROR(VLOOKUP(B205, SourceData!$U$3:$V$190, 2, FALSE), "")</f>
        <v>Catsy</v>
      </c>
      <c r="D205" s="205" t="s">
        <v>859</v>
      </c>
      <c r="E205" s="206">
        <v>0.5479166666666667</v>
      </c>
      <c r="F205" s="204" t="s">
        <v>376</v>
      </c>
      <c r="G205" s="207"/>
      <c r="H205" s="205" t="s">
        <v>875</v>
      </c>
      <c r="I205" s="205" t="s">
        <v>58</v>
      </c>
      <c r="J205" s="205" t="s">
        <v>308</v>
      </c>
      <c r="K205" s="208" t="str">
        <f>IF(Errors!$I205=0,SourceData!$B$42,VLOOKUP(Errors!$I205,SourceData!$A$2:$B$40,2,FALSE))</f>
        <v>Technical error</v>
      </c>
      <c r="L205" s="207"/>
      <c r="M205" s="205" t="s">
        <v>338</v>
      </c>
      <c r="N205" s="216" t="s">
        <v>310</v>
      </c>
      <c r="O205" s="216" t="s">
        <v>310</v>
      </c>
      <c r="P205" s="205" t="s">
        <v>310</v>
      </c>
      <c r="Q205" s="205" t="s">
        <v>310</v>
      </c>
      <c r="R205" s="204" t="s">
        <v>413</v>
      </c>
      <c r="S205" s="204" t="s">
        <v>427</v>
      </c>
      <c r="T205" s="204" t="s">
        <v>876</v>
      </c>
      <c r="U205" s="199"/>
      <c r="V205" s="200"/>
      <c r="W205" s="200"/>
      <c r="X205" s="200"/>
      <c r="Y205" s="200"/>
      <c r="Z205" s="200"/>
      <c r="AA205" s="201"/>
      <c r="AB205" s="200"/>
      <c r="AC205" s="200"/>
    </row>
    <row r="206" ht="15.0" customHeight="1">
      <c r="A206" s="210">
        <f t="shared" si="1"/>
        <v>204</v>
      </c>
      <c r="B206" s="204" t="s">
        <v>534</v>
      </c>
      <c r="C206" s="217" t="str">
        <f>IFERROR(VLOOKUP(B206, SourceData!$U$3:$V$190, 2, FALSE), "")</f>
        <v>Maddy</v>
      </c>
      <c r="D206" s="205" t="s">
        <v>859</v>
      </c>
      <c r="E206" s="206">
        <v>0.5840277777777778</v>
      </c>
      <c r="F206" s="204" t="s">
        <v>352</v>
      </c>
      <c r="G206" s="215" t="s">
        <v>877</v>
      </c>
      <c r="H206" s="205" t="s">
        <v>878</v>
      </c>
      <c r="I206" s="205" t="s">
        <v>130</v>
      </c>
      <c r="J206" s="205" t="s">
        <v>332</v>
      </c>
      <c r="K206" s="208" t="str">
        <f>IF(Errors!$I206=0,SourceData!$B$42,VLOOKUP(Errors!$I206,SourceData!$A$2:$B$40,2,FALSE))</f>
        <v>Shuffle card not scanned  (still using the same shoe)</v>
      </c>
      <c r="L206" s="207"/>
      <c r="M206" s="209"/>
      <c r="N206" s="205" t="s">
        <v>309</v>
      </c>
      <c r="O206" s="205" t="s">
        <v>309</v>
      </c>
      <c r="P206" s="205" t="s">
        <v>310</v>
      </c>
      <c r="Q206" s="205" t="s">
        <v>310</v>
      </c>
      <c r="R206" s="204" t="s">
        <v>413</v>
      </c>
      <c r="S206" s="204" t="s">
        <v>326</v>
      </c>
      <c r="T206" s="204" t="s">
        <v>879</v>
      </c>
      <c r="U206" s="199"/>
      <c r="V206" s="200"/>
      <c r="W206" s="200"/>
      <c r="X206" s="200"/>
      <c r="Y206" s="200"/>
      <c r="Z206" s="200"/>
      <c r="AA206" s="201"/>
      <c r="AB206" s="200"/>
      <c r="AC206" s="200"/>
    </row>
    <row r="207" ht="15.0" customHeight="1">
      <c r="A207" s="210">
        <f t="shared" si="1"/>
        <v>205</v>
      </c>
      <c r="B207" s="204" t="s">
        <v>751</v>
      </c>
      <c r="C207" s="217" t="str">
        <f>IFERROR(VLOOKUP(B207, SourceData!$U$3:$V$190, 2, FALSE), "")</f>
        <v>Lily</v>
      </c>
      <c r="D207" s="205" t="s">
        <v>859</v>
      </c>
      <c r="E207" s="206">
        <v>0.7715277777777778</v>
      </c>
      <c r="F207" s="204" t="s">
        <v>352</v>
      </c>
      <c r="G207" s="207" t="s">
        <v>880</v>
      </c>
      <c r="H207" s="205" t="s">
        <v>881</v>
      </c>
      <c r="I207" s="205" t="s">
        <v>56</v>
      </c>
      <c r="J207" s="205" t="s">
        <v>332</v>
      </c>
      <c r="K207" s="208" t="str">
        <f>IF(Errors!$I207=0,SourceData!$B$42,VLOOKUP(Errors!$I207,SourceData!$A$2:$B$40,2,FALSE))</f>
        <v>Interface error</v>
      </c>
      <c r="L207" s="207"/>
      <c r="M207" s="205" t="s">
        <v>338</v>
      </c>
      <c r="N207" s="216" t="s">
        <v>310</v>
      </c>
      <c r="O207" s="216" t="s">
        <v>310</v>
      </c>
      <c r="P207" s="205" t="s">
        <v>310</v>
      </c>
      <c r="Q207" s="205" t="s">
        <v>310</v>
      </c>
      <c r="R207" s="204" t="s">
        <v>378</v>
      </c>
      <c r="S207" s="204" t="s">
        <v>503</v>
      </c>
      <c r="T207" s="204" t="s">
        <v>882</v>
      </c>
      <c r="U207" s="199"/>
      <c r="V207" s="200"/>
      <c r="W207" s="200"/>
      <c r="X207" s="200"/>
      <c r="Y207" s="200"/>
      <c r="Z207" s="200"/>
      <c r="AA207" s="201"/>
      <c r="AB207" s="200"/>
      <c r="AC207" s="200"/>
    </row>
    <row r="208" ht="15.0" customHeight="1">
      <c r="A208" s="210">
        <f t="shared" si="1"/>
        <v>206</v>
      </c>
      <c r="B208" s="204" t="s">
        <v>530</v>
      </c>
      <c r="C208" s="217" t="str">
        <f>IFERROR(VLOOKUP(B208, SourceData!$U$3:$V$190, 2, FALSE), "")</f>
        <v>Elyise</v>
      </c>
      <c r="D208" s="205" t="s">
        <v>859</v>
      </c>
      <c r="E208" s="206">
        <v>0.8013888888888889</v>
      </c>
      <c r="F208" s="204" t="s">
        <v>306</v>
      </c>
      <c r="G208" s="207"/>
      <c r="H208" s="205" t="s">
        <v>883</v>
      </c>
      <c r="I208" s="205" t="s">
        <v>132</v>
      </c>
      <c r="J208" s="205" t="s">
        <v>308</v>
      </c>
      <c r="K208" s="208" t="str">
        <f>IF(Errors!$I208=0,SourceData!$B$42,VLOOKUP(Errors!$I208,SourceData!$A$2:$B$40,2,FALSE))</f>
        <v>Ball falls out of the wheel </v>
      </c>
      <c r="L208" s="207"/>
      <c r="M208" s="209"/>
      <c r="N208" s="205" t="s">
        <v>309</v>
      </c>
      <c r="O208" s="205" t="s">
        <v>309</v>
      </c>
      <c r="P208" s="205" t="s">
        <v>310</v>
      </c>
      <c r="Q208" s="205" t="s">
        <v>310</v>
      </c>
      <c r="R208" s="204" t="s">
        <v>378</v>
      </c>
      <c r="S208" s="204" t="s">
        <v>378</v>
      </c>
      <c r="T208" s="204" t="s">
        <v>438</v>
      </c>
      <c r="U208" s="199"/>
      <c r="V208" s="200"/>
      <c r="W208" s="200"/>
      <c r="X208" s="200"/>
      <c r="Y208" s="200"/>
      <c r="Z208" s="200"/>
      <c r="AA208" s="201"/>
      <c r="AB208" s="200"/>
      <c r="AC208" s="200"/>
    </row>
    <row r="209" ht="15.0" customHeight="1">
      <c r="A209" s="210">
        <f t="shared" si="1"/>
        <v>207</v>
      </c>
      <c r="B209" s="204" t="s">
        <v>884</v>
      </c>
      <c r="C209" s="217" t="str">
        <f>IFERROR(VLOOKUP(B209, SourceData!$U$3:$V$190, 2, FALSE), "")</f>
        <v>Kiara</v>
      </c>
      <c r="D209" s="205" t="s">
        <v>859</v>
      </c>
      <c r="E209" s="206">
        <v>0.9534722222222223</v>
      </c>
      <c r="F209" s="204" t="s">
        <v>306</v>
      </c>
      <c r="G209" s="207"/>
      <c r="H209" s="205" t="s">
        <v>885</v>
      </c>
      <c r="I209" s="205" t="s">
        <v>120</v>
      </c>
      <c r="J209" s="205" t="s">
        <v>308</v>
      </c>
      <c r="K209" s="208" t="str">
        <f>IF(Errors!$I209=0,SourceData!$B$42,VLOOKUP(Errors!$I209,SourceData!$A$2:$B$40,2,FALSE))</f>
        <v>Drop ball</v>
      </c>
      <c r="L209" s="207"/>
      <c r="M209" s="209"/>
      <c r="N209" s="205" t="s">
        <v>309</v>
      </c>
      <c r="O209" s="205" t="s">
        <v>309</v>
      </c>
      <c r="P209" s="205" t="s">
        <v>310</v>
      </c>
      <c r="Q209" s="205" t="s">
        <v>310</v>
      </c>
      <c r="R209" s="204" t="s">
        <v>378</v>
      </c>
      <c r="S209" s="204" t="s">
        <v>346</v>
      </c>
      <c r="T209" s="204" t="s">
        <v>438</v>
      </c>
      <c r="U209" s="199"/>
      <c r="V209" s="200"/>
      <c r="W209" s="200"/>
      <c r="X209" s="200"/>
      <c r="Y209" s="200"/>
      <c r="Z209" s="200"/>
      <c r="AA209" s="201"/>
      <c r="AB209" s="200"/>
      <c r="AC209" s="200"/>
    </row>
    <row r="210" ht="15.0" customHeight="1">
      <c r="A210" s="210">
        <f t="shared" si="1"/>
        <v>208</v>
      </c>
      <c r="B210" s="204" t="s">
        <v>492</v>
      </c>
      <c r="C210" s="217" t="str">
        <f>IFERROR(VLOOKUP(B210, SourceData!$U$3:$V$190, 2, FALSE), "")</f>
        <v>Lucy</v>
      </c>
      <c r="D210" s="205" t="s">
        <v>859</v>
      </c>
      <c r="E210" s="206">
        <v>0.95625</v>
      </c>
      <c r="F210" s="204" t="s">
        <v>323</v>
      </c>
      <c r="G210" s="207"/>
      <c r="H210" s="205" t="s">
        <v>886</v>
      </c>
      <c r="I210" s="205" t="s">
        <v>120</v>
      </c>
      <c r="J210" s="205" t="s">
        <v>308</v>
      </c>
      <c r="K210" s="208" t="str">
        <f>IF(Errors!$I210=0,SourceData!$B$42,VLOOKUP(Errors!$I210,SourceData!$A$2:$B$40,2,FALSE))</f>
        <v>Drop ball</v>
      </c>
      <c r="L210" s="207"/>
      <c r="M210" s="209"/>
      <c r="N210" s="205" t="s">
        <v>309</v>
      </c>
      <c r="O210" s="205" t="s">
        <v>309</v>
      </c>
      <c r="P210" s="205" t="s">
        <v>310</v>
      </c>
      <c r="Q210" s="205" t="s">
        <v>310</v>
      </c>
      <c r="R210" s="204" t="s">
        <v>378</v>
      </c>
      <c r="S210" s="204" t="s">
        <v>346</v>
      </c>
      <c r="T210" s="204" t="s">
        <v>438</v>
      </c>
      <c r="U210" s="199"/>
      <c r="V210" s="200"/>
      <c r="W210" s="200"/>
      <c r="X210" s="200"/>
      <c r="Y210" s="200"/>
      <c r="Z210" s="200"/>
      <c r="AA210" s="201"/>
      <c r="AB210" s="200"/>
      <c r="AC210" s="200"/>
    </row>
    <row r="211" ht="15.0" customHeight="1">
      <c r="A211" s="210">
        <f t="shared" si="1"/>
        <v>209</v>
      </c>
      <c r="B211" s="204" t="s">
        <v>363</v>
      </c>
      <c r="C211" s="217" t="str">
        <f>IFERROR(VLOOKUP(B211, SourceData!$U$3:$V$190, 2, FALSE), "")</f>
        <v>Bubbles</v>
      </c>
      <c r="D211" s="205" t="s">
        <v>887</v>
      </c>
      <c r="E211" s="206">
        <v>0.2326388888888889</v>
      </c>
      <c r="F211" s="204" t="s">
        <v>306</v>
      </c>
      <c r="G211" s="207"/>
      <c r="H211" s="205" t="s">
        <v>888</v>
      </c>
      <c r="I211" s="205" t="s">
        <v>120</v>
      </c>
      <c r="J211" s="205" t="s">
        <v>308</v>
      </c>
      <c r="K211" s="208" t="str">
        <f>IF(Errors!$I211=0,SourceData!$B$42,VLOOKUP(Errors!$I211,SourceData!$A$2:$B$40,2,FALSE))</f>
        <v>Drop ball</v>
      </c>
      <c r="L211" s="207"/>
      <c r="M211" s="209"/>
      <c r="N211" s="205" t="s">
        <v>309</v>
      </c>
      <c r="O211" s="205" t="s">
        <v>309</v>
      </c>
      <c r="P211" s="205" t="s">
        <v>310</v>
      </c>
      <c r="Q211" s="205" t="s">
        <v>310</v>
      </c>
      <c r="R211" s="204" t="s">
        <v>361</v>
      </c>
      <c r="S211" s="204" t="s">
        <v>318</v>
      </c>
      <c r="T211" s="204" t="s">
        <v>438</v>
      </c>
      <c r="U211" s="199"/>
      <c r="V211" s="200"/>
      <c r="W211" s="200"/>
      <c r="X211" s="200"/>
      <c r="Y211" s="200"/>
      <c r="Z211" s="200"/>
      <c r="AA211" s="201"/>
      <c r="AB211" s="200"/>
      <c r="AC211" s="200"/>
    </row>
    <row r="212" ht="15.0" customHeight="1">
      <c r="A212" s="210">
        <f t="shared" si="1"/>
        <v>210</v>
      </c>
      <c r="B212" s="204" t="s">
        <v>349</v>
      </c>
      <c r="C212" s="217" t="str">
        <f>IFERROR(VLOOKUP(B212, SourceData!$U$3:$V$190, 2, FALSE), "")</f>
        <v>Noa</v>
      </c>
      <c r="D212" s="205" t="s">
        <v>887</v>
      </c>
      <c r="E212" s="206">
        <v>0.24097222222222223</v>
      </c>
      <c r="F212" s="204" t="s">
        <v>352</v>
      </c>
      <c r="G212" s="215" t="s">
        <v>889</v>
      </c>
      <c r="H212" s="205" t="s">
        <v>890</v>
      </c>
      <c r="I212" s="205" t="s">
        <v>56</v>
      </c>
      <c r="J212" s="205" t="s">
        <v>332</v>
      </c>
      <c r="K212" s="208" t="str">
        <f>IF(Errors!$I212=0,SourceData!$B$42,VLOOKUP(Errors!$I212,SourceData!$A$2:$B$40,2,FALSE))</f>
        <v>Interface error</v>
      </c>
      <c r="L212" s="207"/>
      <c r="M212" s="205" t="s">
        <v>338</v>
      </c>
      <c r="N212" s="216" t="s">
        <v>310</v>
      </c>
      <c r="O212" s="216" t="s">
        <v>310</v>
      </c>
      <c r="P212" s="205" t="s">
        <v>310</v>
      </c>
      <c r="Q212" s="205" t="s">
        <v>310</v>
      </c>
      <c r="R212" s="204" t="s">
        <v>361</v>
      </c>
      <c r="S212" s="204" t="s">
        <v>318</v>
      </c>
      <c r="T212" s="204" t="s">
        <v>891</v>
      </c>
      <c r="U212" s="199"/>
      <c r="V212" s="200"/>
      <c r="W212" s="200"/>
      <c r="X212" s="200"/>
      <c r="Y212" s="200"/>
      <c r="Z212" s="200"/>
      <c r="AA212" s="201"/>
      <c r="AB212" s="200"/>
      <c r="AC212" s="200"/>
    </row>
    <row r="213" ht="15.0" customHeight="1">
      <c r="A213" s="210">
        <f t="shared" si="1"/>
        <v>211</v>
      </c>
      <c r="B213" s="204" t="s">
        <v>465</v>
      </c>
      <c r="C213" s="217" t="str">
        <f>IFERROR(VLOOKUP(B213, SourceData!$U$3:$V$190, 2, FALSE), "")</f>
        <v>Nyathera</v>
      </c>
      <c r="D213" s="205" t="s">
        <v>887</v>
      </c>
      <c r="E213" s="206">
        <v>0.35833333333333334</v>
      </c>
      <c r="F213" s="204" t="s">
        <v>306</v>
      </c>
      <c r="G213" s="207"/>
      <c r="H213" s="205" t="s">
        <v>892</v>
      </c>
      <c r="I213" s="205" t="s">
        <v>120</v>
      </c>
      <c r="J213" s="205" t="s">
        <v>308</v>
      </c>
      <c r="K213" s="208" t="str">
        <f>IF(Errors!$I213=0,SourceData!$B$42,VLOOKUP(Errors!$I213,SourceData!$A$2:$B$40,2,FALSE))</f>
        <v>Drop ball</v>
      </c>
      <c r="L213" s="207"/>
      <c r="M213" s="209"/>
      <c r="N213" s="205" t="s">
        <v>309</v>
      </c>
      <c r="O213" s="205" t="s">
        <v>309</v>
      </c>
      <c r="P213" s="205" t="s">
        <v>310</v>
      </c>
      <c r="Q213" s="205" t="s">
        <v>310</v>
      </c>
      <c r="R213" s="204" t="s">
        <v>413</v>
      </c>
      <c r="S213" s="204" t="s">
        <v>389</v>
      </c>
      <c r="T213" s="204" t="s">
        <v>438</v>
      </c>
      <c r="U213" s="199"/>
      <c r="V213" s="200"/>
      <c r="W213" s="200"/>
      <c r="X213" s="200"/>
      <c r="Y213" s="200"/>
      <c r="Z213" s="200"/>
      <c r="AA213" s="201"/>
      <c r="AB213" s="200"/>
      <c r="AC213" s="200"/>
    </row>
    <row r="214" ht="15.0" customHeight="1">
      <c r="A214" s="239">
        <f t="shared" si="1"/>
        <v>212</v>
      </c>
      <c r="B214" s="204" t="s">
        <v>666</v>
      </c>
      <c r="C214" s="204" t="s">
        <v>893</v>
      </c>
      <c r="D214" s="205" t="s">
        <v>887</v>
      </c>
      <c r="E214" s="206">
        <v>0.45902777777777776</v>
      </c>
      <c r="F214" s="204" t="s">
        <v>323</v>
      </c>
      <c r="G214" s="207"/>
      <c r="H214" s="205" t="s">
        <v>894</v>
      </c>
      <c r="I214" s="205" t="s">
        <v>120</v>
      </c>
      <c r="J214" s="205" t="s">
        <v>308</v>
      </c>
      <c r="K214" s="208" t="str">
        <f>IF(Errors!$I214=0,SourceData!$B$42,VLOOKUP(Errors!$I214,SourceData!$A$2:$B$40,2,FALSE))</f>
        <v>Drop ball</v>
      </c>
      <c r="L214" s="207"/>
      <c r="M214" s="209"/>
      <c r="N214" s="205" t="s">
        <v>309</v>
      </c>
      <c r="O214" s="205" t="s">
        <v>309</v>
      </c>
      <c r="P214" s="205" t="s">
        <v>310</v>
      </c>
      <c r="Q214" s="205" t="s">
        <v>310</v>
      </c>
      <c r="R214" s="204" t="s">
        <v>413</v>
      </c>
      <c r="S214" s="204" t="s">
        <v>478</v>
      </c>
      <c r="T214" s="204" t="s">
        <v>438</v>
      </c>
      <c r="U214" s="199"/>
      <c r="V214" s="200"/>
      <c r="W214" s="200"/>
      <c r="X214" s="200"/>
      <c r="Y214" s="200"/>
      <c r="Z214" s="200"/>
      <c r="AA214" s="201"/>
      <c r="AB214" s="200"/>
      <c r="AC214" s="200"/>
    </row>
    <row r="215" ht="15.0" customHeight="1">
      <c r="A215" s="210">
        <f t="shared" si="1"/>
        <v>213</v>
      </c>
      <c r="B215" s="204"/>
      <c r="C215" s="217" t="str">
        <f>IFERROR(VLOOKUP(B215, SourceData!$U$3:$V$190, 2, FALSE), "")</f>
        <v/>
      </c>
      <c r="D215" s="240"/>
      <c r="E215" s="241"/>
      <c r="F215" s="217"/>
      <c r="G215" s="207"/>
      <c r="H215" s="209"/>
      <c r="I215" s="209"/>
      <c r="J215" s="209"/>
      <c r="K215" s="208" t="str">
        <f>IF(Errors!$I215=0,SourceData!$B$42,VLOOKUP(Errors!$I215,SourceData!$A$2:$B$40,2,FALSE))</f>
        <v>Please select ERROR CODE column "I"</v>
      </c>
      <c r="L215" s="207"/>
      <c r="M215" s="209"/>
      <c r="N215" s="242"/>
      <c r="O215" s="242"/>
      <c r="P215" s="209"/>
      <c r="Q215" s="209"/>
      <c r="R215" s="217"/>
      <c r="S215" s="217"/>
      <c r="T215" s="217"/>
      <c r="U215" s="199"/>
      <c r="V215" s="200"/>
      <c r="W215" s="200"/>
      <c r="X215" s="200"/>
      <c r="Y215" s="200"/>
      <c r="Z215" s="200"/>
      <c r="AA215" s="201"/>
      <c r="AB215" s="200"/>
      <c r="AC215" s="200"/>
    </row>
    <row r="216" ht="15.0" customHeight="1">
      <c r="A216" s="210">
        <f t="shared" si="1"/>
        <v>214</v>
      </c>
      <c r="B216" s="217"/>
      <c r="C216" s="217" t="str">
        <f>IFERROR(VLOOKUP(B216, SourceData!$U$3:$V$190, 2, FALSE), "")</f>
        <v/>
      </c>
      <c r="D216" s="240"/>
      <c r="E216" s="241"/>
      <c r="F216" s="217"/>
      <c r="G216" s="207"/>
      <c r="H216" s="209"/>
      <c r="I216" s="209"/>
      <c r="J216" s="209"/>
      <c r="K216" s="208" t="str">
        <f>IF(Errors!$I216=0,SourceData!$B$42,VLOOKUP(Errors!$I216,SourceData!$A$2:$B$40,2,FALSE))</f>
        <v>Please select ERROR CODE column "I"</v>
      </c>
      <c r="L216" s="207"/>
      <c r="M216" s="209"/>
      <c r="N216" s="242"/>
      <c r="O216" s="242"/>
      <c r="P216" s="209"/>
      <c r="Q216" s="209"/>
      <c r="R216" s="217"/>
      <c r="S216" s="217"/>
      <c r="T216" s="217"/>
      <c r="U216" s="199"/>
      <c r="V216" s="200"/>
      <c r="W216" s="200"/>
      <c r="X216" s="200"/>
      <c r="Y216" s="200"/>
      <c r="Z216" s="200"/>
      <c r="AA216" s="201"/>
      <c r="AB216" s="200"/>
      <c r="AC216" s="200"/>
    </row>
    <row r="217" ht="15.0" customHeight="1">
      <c r="A217" s="210">
        <f t="shared" si="1"/>
        <v>215</v>
      </c>
      <c r="B217" s="217"/>
      <c r="C217" s="217" t="str">
        <f>IFERROR(VLOOKUP(B217, SourceData!$U$3:$V$190, 2, FALSE), "")</f>
        <v/>
      </c>
      <c r="D217" s="240"/>
      <c r="E217" s="241"/>
      <c r="F217" s="217"/>
      <c r="G217" s="207"/>
      <c r="H217" s="209"/>
      <c r="I217" s="209"/>
      <c r="J217" s="209"/>
      <c r="K217" s="208" t="str">
        <f>IF(Errors!$I217=0,SourceData!$B$42,VLOOKUP(Errors!$I217,SourceData!$A$2:$B$40,2,FALSE))</f>
        <v>Please select ERROR CODE column "I"</v>
      </c>
      <c r="L217" s="207"/>
      <c r="M217" s="209"/>
      <c r="N217" s="209"/>
      <c r="O217" s="242"/>
      <c r="P217" s="209"/>
      <c r="Q217" s="209"/>
      <c r="R217" s="217"/>
      <c r="S217" s="217"/>
      <c r="T217" s="217"/>
      <c r="U217" s="199"/>
      <c r="V217" s="200"/>
      <c r="W217" s="200"/>
      <c r="X217" s="200"/>
      <c r="Y217" s="200"/>
      <c r="Z217" s="200"/>
      <c r="AA217" s="201"/>
      <c r="AB217" s="200"/>
      <c r="AC217" s="200"/>
    </row>
    <row r="218" ht="15.0" customHeight="1">
      <c r="A218" s="210">
        <f t="shared" si="1"/>
        <v>216</v>
      </c>
      <c r="B218" s="217"/>
      <c r="C218" s="217" t="str">
        <f>IFERROR(VLOOKUP(B218, SourceData!$U$3:$V$190, 2, FALSE), "")</f>
        <v/>
      </c>
      <c r="D218" s="240"/>
      <c r="E218" s="241"/>
      <c r="F218" s="217"/>
      <c r="G218" s="207"/>
      <c r="H218" s="209"/>
      <c r="I218" s="209"/>
      <c r="J218" s="209"/>
      <c r="K218" s="208" t="str">
        <f>IF(Errors!$I218=0,SourceData!$B$42,VLOOKUP(Errors!$I218,SourceData!$A$2:$B$40,2,FALSE))</f>
        <v>Please select ERROR CODE column "I"</v>
      </c>
      <c r="L218" s="207"/>
      <c r="M218" s="209"/>
      <c r="N218" s="209"/>
      <c r="O218" s="242"/>
      <c r="P218" s="209"/>
      <c r="Q218" s="209"/>
      <c r="R218" s="217"/>
      <c r="S218" s="217"/>
      <c r="T218" s="217"/>
      <c r="U218" s="199"/>
      <c r="V218" s="200"/>
      <c r="W218" s="200"/>
      <c r="X218" s="200"/>
      <c r="Y218" s="200"/>
      <c r="Z218" s="200"/>
      <c r="AA218" s="201"/>
      <c r="AB218" s="200"/>
      <c r="AC218" s="200"/>
    </row>
    <row r="219" ht="15.0" customHeight="1">
      <c r="A219" s="210">
        <f t="shared" si="1"/>
        <v>217</v>
      </c>
      <c r="B219" s="217"/>
      <c r="C219" s="217" t="str">
        <f>IFERROR(VLOOKUP(B219, SourceData!$U$3:$V$190, 2, FALSE), "")</f>
        <v/>
      </c>
      <c r="D219" s="240"/>
      <c r="E219" s="241"/>
      <c r="F219" s="217"/>
      <c r="G219" s="207"/>
      <c r="H219" s="209"/>
      <c r="I219" s="209"/>
      <c r="J219" s="209"/>
      <c r="K219" s="208" t="str">
        <f>IF(Errors!$I219=0,SourceData!$B$42,VLOOKUP(Errors!$I219,SourceData!$A$2:$B$40,2,FALSE))</f>
        <v>Please select ERROR CODE column "I"</v>
      </c>
      <c r="L219" s="207"/>
      <c r="M219" s="209"/>
      <c r="N219" s="209"/>
      <c r="O219" s="242"/>
      <c r="P219" s="209"/>
      <c r="Q219" s="209"/>
      <c r="R219" s="217"/>
      <c r="S219" s="217"/>
      <c r="T219" s="217"/>
      <c r="U219" s="199"/>
      <c r="V219" s="200"/>
      <c r="W219" s="200"/>
      <c r="X219" s="200"/>
      <c r="Y219" s="200"/>
      <c r="Z219" s="200"/>
      <c r="AA219" s="201"/>
      <c r="AB219" s="200"/>
      <c r="AC219" s="200"/>
    </row>
    <row r="220" ht="15.0" customHeight="1">
      <c r="A220" s="210">
        <f t="shared" si="1"/>
        <v>218</v>
      </c>
      <c r="B220" s="217"/>
      <c r="C220" s="217" t="str">
        <f>IFERROR(VLOOKUP(B220, SourceData!$U$3:$V$190, 2, FALSE), "")</f>
        <v/>
      </c>
      <c r="D220" s="240"/>
      <c r="E220" s="241"/>
      <c r="F220" s="217"/>
      <c r="G220" s="207"/>
      <c r="H220" s="209"/>
      <c r="I220" s="209"/>
      <c r="J220" s="209"/>
      <c r="K220" s="208" t="str">
        <f>IF(Errors!$I220=0,SourceData!$B$42,VLOOKUP(Errors!$I220,SourceData!$A$2:$B$40,2,FALSE))</f>
        <v>Please select ERROR CODE column "I"</v>
      </c>
      <c r="L220" s="207"/>
      <c r="M220" s="209"/>
      <c r="N220" s="209"/>
      <c r="O220" s="242"/>
      <c r="P220" s="209"/>
      <c r="Q220" s="209"/>
      <c r="R220" s="217"/>
      <c r="S220" s="217"/>
      <c r="T220" s="217"/>
      <c r="U220" s="199"/>
      <c r="V220" s="200"/>
      <c r="W220" s="200"/>
      <c r="X220" s="200"/>
      <c r="Y220" s="200"/>
      <c r="Z220" s="200"/>
      <c r="AA220" s="201"/>
      <c r="AB220" s="200"/>
      <c r="AC220" s="200"/>
    </row>
    <row r="221" ht="15.0" customHeight="1">
      <c r="A221" s="210">
        <f t="shared" si="1"/>
        <v>219</v>
      </c>
      <c r="B221" s="217"/>
      <c r="C221" s="217" t="str">
        <f>IFERROR(VLOOKUP(B221, SourceData!$U$3:$V$190, 2, FALSE), "")</f>
        <v/>
      </c>
      <c r="D221" s="240"/>
      <c r="E221" s="241"/>
      <c r="F221" s="217"/>
      <c r="G221" s="207"/>
      <c r="H221" s="209"/>
      <c r="I221" s="209"/>
      <c r="J221" s="209"/>
      <c r="K221" s="208" t="str">
        <f>IF(Errors!$I221=0,SourceData!$B$42,VLOOKUP(Errors!$I221,SourceData!$A$2:$B$40,2,FALSE))</f>
        <v>Please select ERROR CODE column "I"</v>
      </c>
      <c r="L221" s="207"/>
      <c r="M221" s="209"/>
      <c r="N221" s="209"/>
      <c r="O221" s="242"/>
      <c r="P221" s="209"/>
      <c r="Q221" s="209"/>
      <c r="R221" s="217"/>
      <c r="S221" s="217"/>
      <c r="T221" s="217"/>
      <c r="U221" s="199"/>
      <c r="V221" s="200"/>
      <c r="W221" s="200"/>
      <c r="X221" s="200"/>
      <c r="Y221" s="200"/>
      <c r="Z221" s="200"/>
      <c r="AA221" s="201"/>
      <c r="AB221" s="200"/>
      <c r="AC221" s="200"/>
    </row>
    <row r="222" ht="15.0" customHeight="1">
      <c r="A222" s="210">
        <f t="shared" si="1"/>
        <v>220</v>
      </c>
      <c r="B222" s="217"/>
      <c r="C222" s="217" t="str">
        <f>IFERROR(VLOOKUP(B222, SourceData!$U$3:$V$190, 2, FALSE), "")</f>
        <v/>
      </c>
      <c r="D222" s="240"/>
      <c r="E222" s="241"/>
      <c r="F222" s="217"/>
      <c r="G222" s="207"/>
      <c r="H222" s="209"/>
      <c r="I222" s="209"/>
      <c r="J222" s="209"/>
      <c r="K222" s="208" t="str">
        <f>IF(Errors!$I222=0,SourceData!$B$42,VLOOKUP(Errors!$I222,SourceData!$A$2:$B$40,2,FALSE))</f>
        <v>Please select ERROR CODE column "I"</v>
      </c>
      <c r="L222" s="207"/>
      <c r="M222" s="209"/>
      <c r="N222" s="209"/>
      <c r="O222" s="209"/>
      <c r="P222" s="209"/>
      <c r="Q222" s="209"/>
      <c r="R222" s="217"/>
      <c r="S222" s="217"/>
      <c r="T222" s="217"/>
      <c r="U222" s="199"/>
      <c r="V222" s="200"/>
      <c r="W222" s="200"/>
      <c r="X222" s="200"/>
      <c r="Y222" s="200"/>
      <c r="Z222" s="200"/>
      <c r="AA222" s="201"/>
      <c r="AB222" s="200"/>
      <c r="AC222" s="200"/>
    </row>
    <row r="223" ht="15.0" customHeight="1">
      <c r="A223" s="210">
        <f t="shared" si="1"/>
        <v>221</v>
      </c>
      <c r="B223" s="217"/>
      <c r="C223" s="217" t="str">
        <f>IFERROR(VLOOKUP(B223, SourceData!$U$3:$V$190, 2, FALSE), "")</f>
        <v/>
      </c>
      <c r="D223" s="240"/>
      <c r="E223" s="241"/>
      <c r="F223" s="217"/>
      <c r="G223" s="207"/>
      <c r="H223" s="209"/>
      <c r="I223" s="209"/>
      <c r="J223" s="209"/>
      <c r="K223" s="208" t="str">
        <f>IF(Errors!$I223=0,SourceData!$B$42,VLOOKUP(Errors!$I223,SourceData!$A$2:$B$40,2,FALSE))</f>
        <v>Please select ERROR CODE column "I"</v>
      </c>
      <c r="L223" s="207"/>
      <c r="M223" s="209"/>
      <c r="N223" s="242"/>
      <c r="O223" s="242"/>
      <c r="P223" s="209"/>
      <c r="Q223" s="209"/>
      <c r="R223" s="217"/>
      <c r="S223" s="217"/>
      <c r="T223" s="217"/>
      <c r="U223" s="199"/>
      <c r="V223" s="200"/>
      <c r="W223" s="200"/>
      <c r="X223" s="200"/>
      <c r="Y223" s="200"/>
      <c r="Z223" s="200"/>
      <c r="AA223" s="201"/>
      <c r="AB223" s="200"/>
      <c r="AC223" s="200"/>
    </row>
    <row r="224" ht="15.0" customHeight="1">
      <c r="A224" s="210">
        <f t="shared" si="1"/>
        <v>222</v>
      </c>
      <c r="B224" s="217"/>
      <c r="C224" s="217" t="str">
        <f>IFERROR(VLOOKUP(B224, SourceData!$U$3:$V$190, 2, FALSE), "")</f>
        <v/>
      </c>
      <c r="D224" s="240"/>
      <c r="E224" s="241"/>
      <c r="F224" s="217"/>
      <c r="G224" s="207"/>
      <c r="H224" s="209"/>
      <c r="I224" s="209"/>
      <c r="J224" s="209"/>
      <c r="K224" s="208" t="str">
        <f>IF(Errors!$I224=0,SourceData!$B$42,VLOOKUP(Errors!$I224,SourceData!$A$2:$B$40,2,FALSE))</f>
        <v>Please select ERROR CODE column "I"</v>
      </c>
      <c r="L224" s="207"/>
      <c r="M224" s="209"/>
      <c r="N224" s="242"/>
      <c r="O224" s="242"/>
      <c r="P224" s="209"/>
      <c r="Q224" s="209"/>
      <c r="R224" s="217"/>
      <c r="S224" s="217"/>
      <c r="T224" s="217"/>
      <c r="U224" s="199"/>
      <c r="V224" s="200"/>
      <c r="W224" s="200"/>
      <c r="X224" s="200"/>
      <c r="Y224" s="200"/>
      <c r="Z224" s="200"/>
      <c r="AA224" s="201"/>
      <c r="AB224" s="200"/>
      <c r="AC224" s="200"/>
    </row>
    <row r="225" ht="15.0" customHeight="1">
      <c r="A225" s="210">
        <f t="shared" si="1"/>
        <v>223</v>
      </c>
      <c r="B225" s="217"/>
      <c r="C225" s="217" t="str">
        <f>IFERROR(VLOOKUP(B225, SourceData!$U$3:$V$190, 2, FALSE), "")</f>
        <v/>
      </c>
      <c r="D225" s="240"/>
      <c r="E225" s="241"/>
      <c r="F225" s="217"/>
      <c r="G225" s="207"/>
      <c r="H225" s="209"/>
      <c r="I225" s="209"/>
      <c r="J225" s="209"/>
      <c r="K225" s="208" t="str">
        <f>IF(Errors!$I225=0,SourceData!$B$42,VLOOKUP(Errors!$I225,SourceData!$A$2:$B$40,2,FALSE))</f>
        <v>Please select ERROR CODE column "I"</v>
      </c>
      <c r="L225" s="207"/>
      <c r="M225" s="209"/>
      <c r="N225" s="209"/>
      <c r="O225" s="242"/>
      <c r="P225" s="209"/>
      <c r="Q225" s="209"/>
      <c r="R225" s="217"/>
      <c r="S225" s="217"/>
      <c r="T225" s="217"/>
      <c r="U225" s="199"/>
      <c r="V225" s="200"/>
      <c r="W225" s="200"/>
      <c r="X225" s="200"/>
      <c r="Y225" s="200"/>
      <c r="Z225" s="200"/>
      <c r="AA225" s="201"/>
      <c r="AB225" s="200"/>
      <c r="AC225" s="200"/>
    </row>
    <row r="226" ht="15.0" customHeight="1">
      <c r="A226" s="210">
        <f t="shared" si="1"/>
        <v>224</v>
      </c>
      <c r="B226" s="217"/>
      <c r="C226" s="217" t="str">
        <f>IFERROR(VLOOKUP(B226, SourceData!$U$3:$V$190, 2, FALSE), "")</f>
        <v/>
      </c>
      <c r="D226" s="240"/>
      <c r="E226" s="241"/>
      <c r="F226" s="217"/>
      <c r="G226" s="207"/>
      <c r="H226" s="209"/>
      <c r="I226" s="209"/>
      <c r="J226" s="209"/>
      <c r="K226" s="208" t="str">
        <f>IF(Errors!$I226=0,SourceData!$B$42,VLOOKUP(Errors!$I226,SourceData!$A$2:$B$40,2,FALSE))</f>
        <v>Please select ERROR CODE column "I"</v>
      </c>
      <c r="L226" s="207"/>
      <c r="M226" s="209"/>
      <c r="N226" s="209"/>
      <c r="O226" s="242"/>
      <c r="P226" s="209"/>
      <c r="Q226" s="209"/>
      <c r="R226" s="217"/>
      <c r="S226" s="217"/>
      <c r="T226" s="217"/>
      <c r="U226" s="199"/>
      <c r="V226" s="200"/>
      <c r="W226" s="200"/>
      <c r="X226" s="200"/>
      <c r="Y226" s="200"/>
      <c r="Z226" s="200"/>
      <c r="AA226" s="201"/>
      <c r="AB226" s="200"/>
      <c r="AC226" s="200"/>
    </row>
    <row r="227" ht="15.0" customHeight="1">
      <c r="A227" s="210">
        <f t="shared" si="1"/>
        <v>225</v>
      </c>
      <c r="B227" s="217"/>
      <c r="C227" s="217" t="str">
        <f>IFERROR(VLOOKUP(B227, SourceData!$U$3:$V$190, 2, FALSE), "")</f>
        <v/>
      </c>
      <c r="D227" s="240"/>
      <c r="E227" s="241"/>
      <c r="F227" s="217"/>
      <c r="G227" s="207"/>
      <c r="H227" s="209"/>
      <c r="I227" s="209"/>
      <c r="J227" s="209"/>
      <c r="K227" s="208" t="str">
        <f>IF(Errors!$I227=0,SourceData!$B$42,VLOOKUP(Errors!$I227,SourceData!$A$2:$B$40,2,FALSE))</f>
        <v>Please select ERROR CODE column "I"</v>
      </c>
      <c r="L227" s="207"/>
      <c r="M227" s="209"/>
      <c r="N227" s="209"/>
      <c r="O227" s="209"/>
      <c r="P227" s="209"/>
      <c r="Q227" s="209"/>
      <c r="R227" s="217"/>
      <c r="S227" s="217"/>
      <c r="T227" s="217"/>
      <c r="U227" s="199"/>
      <c r="V227" s="200"/>
      <c r="W227" s="200"/>
      <c r="X227" s="200"/>
      <c r="Y227" s="200"/>
      <c r="Z227" s="200"/>
      <c r="AA227" s="201"/>
      <c r="AB227" s="200"/>
      <c r="AC227" s="200"/>
    </row>
    <row r="228" ht="15.0" customHeight="1">
      <c r="A228" s="222">
        <f t="shared" si="1"/>
        <v>226</v>
      </c>
      <c r="B228" s="217"/>
      <c r="C228" s="217" t="str">
        <f>IFERROR(VLOOKUP(B228, SourceData!$U$3:$V$190, 2, FALSE), "")</f>
        <v/>
      </c>
      <c r="D228" s="240"/>
      <c r="E228" s="241"/>
      <c r="F228" s="217"/>
      <c r="G228" s="207"/>
      <c r="H228" s="209"/>
      <c r="I228" s="209"/>
      <c r="J228" s="209"/>
      <c r="K228" s="208" t="str">
        <f>IF(Errors!$I228=0,SourceData!$B$42,VLOOKUP(Errors!$I228,SourceData!$A$2:$B$40,2,FALSE))</f>
        <v>Please select ERROR CODE column "I"</v>
      </c>
      <c r="L228" s="207"/>
      <c r="M228" s="209"/>
      <c r="N228" s="242"/>
      <c r="O228" s="242"/>
      <c r="P228" s="209"/>
      <c r="Q228" s="209"/>
      <c r="R228" s="217"/>
      <c r="S228" s="217"/>
      <c r="T228" s="217"/>
      <c r="U228" s="199"/>
      <c r="V228" s="200"/>
      <c r="W228" s="200"/>
      <c r="X228" s="200"/>
      <c r="Y228" s="200"/>
      <c r="Z228" s="200"/>
      <c r="AA228" s="201"/>
      <c r="AB228" s="200"/>
      <c r="AC228" s="200"/>
    </row>
    <row r="229" ht="15.0" customHeight="1">
      <c r="A229" s="210">
        <f t="shared" si="1"/>
        <v>227</v>
      </c>
      <c r="B229" s="217"/>
      <c r="C229" s="217" t="str">
        <f>IFERROR(VLOOKUP(B229, SourceData!$U$3:$V$190, 2, FALSE), "")</f>
        <v/>
      </c>
      <c r="D229" s="240"/>
      <c r="E229" s="241"/>
      <c r="F229" s="217"/>
      <c r="G229" s="207"/>
      <c r="H229" s="209"/>
      <c r="I229" s="209"/>
      <c r="J229" s="209"/>
      <c r="K229" s="208" t="str">
        <f>IF(Errors!$I229=0,SourceData!$B$42,VLOOKUP(Errors!$I229,SourceData!$A$2:$B$40,2,FALSE))</f>
        <v>Please select ERROR CODE column "I"</v>
      </c>
      <c r="L229" s="207"/>
      <c r="M229" s="209"/>
      <c r="N229" s="209"/>
      <c r="O229" s="242"/>
      <c r="P229" s="209"/>
      <c r="Q229" s="209"/>
      <c r="R229" s="217"/>
      <c r="S229" s="217"/>
      <c r="T229" s="217"/>
      <c r="U229" s="199"/>
      <c r="V229" s="200"/>
      <c r="W229" s="200"/>
      <c r="X229" s="200"/>
      <c r="Y229" s="200"/>
      <c r="Z229" s="200"/>
      <c r="AA229" s="201"/>
      <c r="AB229" s="200"/>
      <c r="AC229" s="200"/>
    </row>
    <row r="230" ht="15.0" customHeight="1">
      <c r="A230" s="210">
        <f t="shared" si="1"/>
        <v>228</v>
      </c>
      <c r="B230" s="217"/>
      <c r="C230" s="217" t="str">
        <f>IFERROR(VLOOKUP(B230, SourceData!$U$3:$V$190, 2, FALSE), "")</f>
        <v/>
      </c>
      <c r="D230" s="240"/>
      <c r="E230" s="241"/>
      <c r="F230" s="217"/>
      <c r="G230" s="207"/>
      <c r="H230" s="209"/>
      <c r="I230" s="209"/>
      <c r="J230" s="209"/>
      <c r="K230" s="208" t="str">
        <f>IF(Errors!$I230=0,SourceData!$B$42,VLOOKUP(Errors!$I230,SourceData!$A$2:$B$40,2,FALSE))</f>
        <v>Please select ERROR CODE column "I"</v>
      </c>
      <c r="L230" s="207"/>
      <c r="M230" s="209"/>
      <c r="N230" s="209"/>
      <c r="O230" s="242"/>
      <c r="P230" s="209"/>
      <c r="Q230" s="209"/>
      <c r="R230" s="217"/>
      <c r="S230" s="217"/>
      <c r="T230" s="217"/>
      <c r="U230" s="199"/>
      <c r="V230" s="200"/>
      <c r="W230" s="200"/>
      <c r="X230" s="200"/>
      <c r="Y230" s="200"/>
      <c r="Z230" s="200"/>
      <c r="AA230" s="201"/>
      <c r="AB230" s="200"/>
      <c r="AC230" s="200"/>
    </row>
    <row r="231" ht="15.0" customHeight="1">
      <c r="A231" s="222">
        <f t="shared" si="1"/>
        <v>229</v>
      </c>
      <c r="B231" s="217"/>
      <c r="C231" s="217" t="str">
        <f>IFERROR(VLOOKUP(B231, SourceData!$U$3:$V$190, 2, FALSE), "")</f>
        <v/>
      </c>
      <c r="D231" s="240"/>
      <c r="E231" s="241"/>
      <c r="F231" s="217"/>
      <c r="G231" s="207"/>
      <c r="H231" s="209"/>
      <c r="I231" s="209"/>
      <c r="J231" s="209"/>
      <c r="K231" s="208" t="str">
        <f>IF(Errors!$I231=0,SourceData!$B$42,VLOOKUP(Errors!$I231,SourceData!$A$2:$B$40,2,FALSE))</f>
        <v>Please select ERROR CODE column "I"</v>
      </c>
      <c r="L231" s="207"/>
      <c r="M231" s="209"/>
      <c r="N231" s="242"/>
      <c r="O231" s="242"/>
      <c r="P231" s="209"/>
      <c r="Q231" s="209"/>
      <c r="R231" s="217"/>
      <c r="S231" s="217"/>
      <c r="T231" s="217"/>
      <c r="U231" s="199"/>
      <c r="V231" s="200"/>
      <c r="W231" s="200"/>
      <c r="X231" s="200"/>
      <c r="Y231" s="200"/>
      <c r="Z231" s="200"/>
      <c r="AA231" s="201"/>
      <c r="AB231" s="200"/>
      <c r="AC231" s="200"/>
    </row>
    <row r="232" ht="15.0" customHeight="1">
      <c r="A232" s="210">
        <f t="shared" si="1"/>
        <v>230</v>
      </c>
      <c r="B232" s="217"/>
      <c r="C232" s="217" t="str">
        <f>IFERROR(VLOOKUP(B232, SourceData!$U$3:$V$190, 2, FALSE), "")</f>
        <v/>
      </c>
      <c r="D232" s="240"/>
      <c r="E232" s="241"/>
      <c r="F232" s="217"/>
      <c r="G232" s="207"/>
      <c r="H232" s="209"/>
      <c r="I232" s="209"/>
      <c r="J232" s="209"/>
      <c r="K232" s="208" t="str">
        <f>IF(Errors!$I232=0,SourceData!$B$42,VLOOKUP(Errors!$I232,SourceData!$A$2:$B$40,2,FALSE))</f>
        <v>Please select ERROR CODE column "I"</v>
      </c>
      <c r="L232" s="207"/>
      <c r="M232" s="209"/>
      <c r="N232" s="242"/>
      <c r="O232" s="242"/>
      <c r="P232" s="209"/>
      <c r="Q232" s="209"/>
      <c r="R232" s="217"/>
      <c r="S232" s="217"/>
      <c r="T232" s="217"/>
      <c r="U232" s="199"/>
      <c r="V232" s="200"/>
      <c r="W232" s="200"/>
      <c r="X232" s="200"/>
      <c r="Y232" s="200"/>
      <c r="Z232" s="200"/>
      <c r="AA232" s="201"/>
      <c r="AB232" s="200"/>
      <c r="AC232" s="200"/>
    </row>
    <row r="233" ht="15.0" customHeight="1">
      <c r="A233" s="210">
        <f t="shared" si="1"/>
        <v>231</v>
      </c>
      <c r="B233" s="217"/>
      <c r="C233" s="217" t="str">
        <f>IFERROR(VLOOKUP(B233, SourceData!$U$3:$V$190, 2, FALSE), "")</f>
        <v/>
      </c>
      <c r="D233" s="240"/>
      <c r="E233" s="241"/>
      <c r="F233" s="217"/>
      <c r="G233" s="207"/>
      <c r="H233" s="209"/>
      <c r="I233" s="209"/>
      <c r="J233" s="209"/>
      <c r="K233" s="208" t="str">
        <f>IF(Errors!$I233=0,SourceData!$B$42,VLOOKUP(Errors!$I233,SourceData!$A$2:$B$40,2,FALSE))</f>
        <v>Please select ERROR CODE column "I"</v>
      </c>
      <c r="L233" s="207"/>
      <c r="M233" s="209"/>
      <c r="N233" s="242"/>
      <c r="O233" s="242"/>
      <c r="P233" s="209"/>
      <c r="Q233" s="209"/>
      <c r="R233" s="217"/>
      <c r="S233" s="217"/>
      <c r="T233" s="217"/>
      <c r="U233" s="199"/>
      <c r="V233" s="200"/>
      <c r="W233" s="200"/>
      <c r="X233" s="200"/>
      <c r="Y233" s="200"/>
      <c r="Z233" s="200"/>
      <c r="AA233" s="201"/>
      <c r="AB233" s="200"/>
      <c r="AC233" s="200"/>
    </row>
    <row r="234" ht="15.0" customHeight="1">
      <c r="A234" s="210">
        <f t="shared" si="1"/>
        <v>232</v>
      </c>
      <c r="B234" s="217"/>
      <c r="C234" s="217" t="str">
        <f>IFERROR(VLOOKUP(B234, SourceData!$U$3:$V$190, 2, FALSE), "")</f>
        <v/>
      </c>
      <c r="D234" s="240"/>
      <c r="E234" s="241"/>
      <c r="F234" s="217"/>
      <c r="G234" s="207"/>
      <c r="H234" s="209"/>
      <c r="I234" s="209"/>
      <c r="J234" s="209"/>
      <c r="K234" s="208" t="str">
        <f>IF(Errors!$I234=0,SourceData!$B$42,VLOOKUP(Errors!$I234,SourceData!$A$2:$B$40,2,FALSE))</f>
        <v>Please select ERROR CODE column "I"</v>
      </c>
      <c r="L234" s="207"/>
      <c r="M234" s="209"/>
      <c r="N234" s="209"/>
      <c r="O234" s="242"/>
      <c r="P234" s="209"/>
      <c r="Q234" s="209"/>
      <c r="R234" s="217"/>
      <c r="S234" s="217"/>
      <c r="T234" s="217"/>
      <c r="U234" s="199"/>
      <c r="V234" s="200"/>
      <c r="W234" s="200"/>
      <c r="X234" s="200"/>
      <c r="Y234" s="200"/>
      <c r="Z234" s="200"/>
      <c r="AA234" s="201"/>
      <c r="AB234" s="200"/>
      <c r="AC234" s="200"/>
    </row>
    <row r="235" ht="15.0" customHeight="1">
      <c r="A235" s="210">
        <f t="shared" si="1"/>
        <v>233</v>
      </c>
      <c r="B235" s="217"/>
      <c r="C235" s="217" t="str">
        <f>IFERROR(VLOOKUP(B235, SourceData!$U$3:$V$190, 2, FALSE), "")</f>
        <v/>
      </c>
      <c r="D235" s="240"/>
      <c r="E235" s="241"/>
      <c r="F235" s="217"/>
      <c r="G235" s="207"/>
      <c r="H235" s="209"/>
      <c r="I235" s="209"/>
      <c r="J235" s="209"/>
      <c r="K235" s="208" t="str">
        <f>IF(Errors!$I235=0,SourceData!$B$42,VLOOKUP(Errors!$I235,SourceData!$A$2:$B$40,2,FALSE))</f>
        <v>Please select ERROR CODE column "I"</v>
      </c>
      <c r="L235" s="207"/>
      <c r="M235" s="209"/>
      <c r="N235" s="242"/>
      <c r="O235" s="242"/>
      <c r="P235" s="209"/>
      <c r="Q235" s="209"/>
      <c r="R235" s="217"/>
      <c r="S235" s="217"/>
      <c r="T235" s="217"/>
      <c r="U235" s="199"/>
      <c r="V235" s="200"/>
      <c r="W235" s="200"/>
      <c r="X235" s="200"/>
      <c r="Y235" s="200"/>
      <c r="Z235" s="200"/>
      <c r="AA235" s="201"/>
      <c r="AB235" s="200"/>
      <c r="AC235" s="200"/>
    </row>
    <row r="236" ht="15.0" customHeight="1">
      <c r="A236" s="210">
        <f t="shared" si="1"/>
        <v>234</v>
      </c>
      <c r="B236" s="217"/>
      <c r="C236" s="217" t="str">
        <f>IFERROR(VLOOKUP(B236, SourceData!$U$3:$V$190, 2, FALSE), "")</f>
        <v/>
      </c>
      <c r="D236" s="240"/>
      <c r="E236" s="241"/>
      <c r="F236" s="217"/>
      <c r="G236" s="207"/>
      <c r="H236" s="209"/>
      <c r="I236" s="209"/>
      <c r="J236" s="209"/>
      <c r="K236" s="208" t="str">
        <f>IF(Errors!$I236=0,SourceData!$B$42,VLOOKUP(Errors!$I236,SourceData!$A$2:$B$40,2,FALSE))</f>
        <v>Please select ERROR CODE column "I"</v>
      </c>
      <c r="L236" s="207"/>
      <c r="M236" s="209"/>
      <c r="N236" s="242"/>
      <c r="O236" s="242"/>
      <c r="P236" s="209"/>
      <c r="Q236" s="209"/>
      <c r="R236" s="217"/>
      <c r="S236" s="217"/>
      <c r="T236" s="217"/>
      <c r="U236" s="199"/>
      <c r="V236" s="200"/>
      <c r="W236" s="200"/>
      <c r="X236" s="200"/>
      <c r="Y236" s="200"/>
      <c r="Z236" s="200"/>
      <c r="AA236" s="201"/>
      <c r="AB236" s="200"/>
      <c r="AC236" s="200"/>
    </row>
    <row r="237" ht="15.0" customHeight="1">
      <c r="A237" s="210">
        <f t="shared" si="1"/>
        <v>235</v>
      </c>
      <c r="B237" s="217"/>
      <c r="C237" s="217" t="str">
        <f>IFERROR(VLOOKUP(B237, SourceData!$U$3:$V$190, 2, FALSE), "")</f>
        <v/>
      </c>
      <c r="D237" s="240"/>
      <c r="E237" s="241"/>
      <c r="F237" s="217"/>
      <c r="G237" s="207"/>
      <c r="H237" s="209"/>
      <c r="I237" s="209"/>
      <c r="J237" s="209"/>
      <c r="K237" s="208" t="str">
        <f>IF(Errors!$I237=0,SourceData!$B$42,VLOOKUP(Errors!$I237,SourceData!$A$2:$B$40,2,FALSE))</f>
        <v>Please select ERROR CODE column "I"</v>
      </c>
      <c r="L237" s="207"/>
      <c r="M237" s="209"/>
      <c r="N237" s="242"/>
      <c r="O237" s="242"/>
      <c r="P237" s="209"/>
      <c r="Q237" s="209"/>
      <c r="R237" s="217"/>
      <c r="S237" s="217"/>
      <c r="T237" s="217"/>
      <c r="U237" s="199"/>
      <c r="V237" s="200"/>
      <c r="W237" s="200"/>
      <c r="X237" s="200"/>
      <c r="Y237" s="200"/>
      <c r="Z237" s="200"/>
      <c r="AA237" s="201"/>
      <c r="AB237" s="200"/>
      <c r="AC237" s="200"/>
    </row>
    <row r="238" ht="15.0" customHeight="1">
      <c r="A238" s="210">
        <f t="shared" si="1"/>
        <v>236</v>
      </c>
      <c r="B238" s="217"/>
      <c r="C238" s="217" t="str">
        <f>IFERROR(VLOOKUP(B238, SourceData!$U$3:$V$190, 2, FALSE), "")</f>
        <v/>
      </c>
      <c r="D238" s="240"/>
      <c r="E238" s="241"/>
      <c r="F238" s="217"/>
      <c r="G238" s="207"/>
      <c r="H238" s="209"/>
      <c r="I238" s="209"/>
      <c r="J238" s="209"/>
      <c r="K238" s="208" t="str">
        <f>IF(Errors!$I238=0,SourceData!$B$42,VLOOKUP(Errors!$I238,SourceData!$A$2:$B$40,2,FALSE))</f>
        <v>Please select ERROR CODE column "I"</v>
      </c>
      <c r="L238" s="207"/>
      <c r="M238" s="209"/>
      <c r="N238" s="209"/>
      <c r="O238" s="242"/>
      <c r="P238" s="209"/>
      <c r="Q238" s="209"/>
      <c r="R238" s="217"/>
      <c r="S238" s="217"/>
      <c r="T238" s="217"/>
      <c r="U238" s="199"/>
      <c r="V238" s="200"/>
      <c r="W238" s="200"/>
      <c r="X238" s="200"/>
      <c r="Y238" s="200"/>
      <c r="Z238" s="200"/>
      <c r="AA238" s="201"/>
      <c r="AB238" s="200"/>
      <c r="AC238" s="200"/>
    </row>
    <row r="239" ht="15.0" customHeight="1">
      <c r="A239" s="210">
        <f t="shared" si="1"/>
        <v>237</v>
      </c>
      <c r="B239" s="217"/>
      <c r="C239" s="217" t="str">
        <f>IFERROR(VLOOKUP(B239, SourceData!$U$3:$V$190, 2, FALSE), "")</f>
        <v/>
      </c>
      <c r="D239" s="240"/>
      <c r="E239" s="241"/>
      <c r="F239" s="217"/>
      <c r="G239" s="207"/>
      <c r="H239" s="209"/>
      <c r="I239" s="209"/>
      <c r="J239" s="209"/>
      <c r="K239" s="208" t="str">
        <f>IF(Errors!$I239=0,SourceData!$B$42,VLOOKUP(Errors!$I239,SourceData!$A$2:$B$40,2,FALSE))</f>
        <v>Please select ERROR CODE column "I"</v>
      </c>
      <c r="L239" s="207"/>
      <c r="M239" s="209"/>
      <c r="N239" s="242"/>
      <c r="O239" s="242"/>
      <c r="P239" s="209"/>
      <c r="Q239" s="209"/>
      <c r="R239" s="217"/>
      <c r="S239" s="217"/>
      <c r="T239" s="217"/>
      <c r="U239" s="199"/>
      <c r="V239" s="200"/>
      <c r="W239" s="200"/>
      <c r="X239" s="200"/>
      <c r="Y239" s="200"/>
      <c r="Z239" s="200"/>
      <c r="AA239" s="201"/>
      <c r="AB239" s="200"/>
      <c r="AC239" s="200"/>
    </row>
    <row r="240" ht="15.0" customHeight="1">
      <c r="A240" s="210">
        <f t="shared" si="1"/>
        <v>238</v>
      </c>
      <c r="B240" s="217"/>
      <c r="C240" s="217" t="str">
        <f>IFERROR(VLOOKUP(B240, SourceData!$U$3:$V$190, 2, FALSE), "")</f>
        <v/>
      </c>
      <c r="D240" s="240"/>
      <c r="E240" s="241"/>
      <c r="F240" s="217"/>
      <c r="G240" s="207"/>
      <c r="H240" s="209"/>
      <c r="I240" s="209"/>
      <c r="J240" s="209"/>
      <c r="K240" s="208" t="str">
        <f>IF(Errors!$I240=0,SourceData!$B$42,VLOOKUP(Errors!$I240,SourceData!$A$2:$B$40,2,FALSE))</f>
        <v>Please select ERROR CODE column "I"</v>
      </c>
      <c r="L240" s="207"/>
      <c r="M240" s="209"/>
      <c r="N240" s="242"/>
      <c r="O240" s="242"/>
      <c r="P240" s="209"/>
      <c r="Q240" s="209"/>
      <c r="R240" s="217"/>
      <c r="S240" s="217"/>
      <c r="T240" s="217"/>
      <c r="U240" s="199"/>
      <c r="V240" s="200"/>
      <c r="W240" s="200"/>
      <c r="X240" s="200"/>
      <c r="Y240" s="200"/>
      <c r="Z240" s="200"/>
      <c r="AA240" s="201"/>
      <c r="AB240" s="200"/>
      <c r="AC240" s="200"/>
    </row>
    <row r="241" ht="15.0" customHeight="1">
      <c r="A241" s="210">
        <f t="shared" si="1"/>
        <v>239</v>
      </c>
      <c r="B241" s="217"/>
      <c r="C241" s="217" t="str">
        <f>IFERROR(VLOOKUP(B241, SourceData!$U$3:$V$190, 2, FALSE), "")</f>
        <v/>
      </c>
      <c r="D241" s="240"/>
      <c r="E241" s="241"/>
      <c r="F241" s="217"/>
      <c r="G241" s="207"/>
      <c r="H241" s="209"/>
      <c r="I241" s="209"/>
      <c r="J241" s="209"/>
      <c r="K241" s="208" t="str">
        <f>IF(Errors!$I241=0,SourceData!$B$42,VLOOKUP(Errors!$I241,SourceData!$A$2:$B$40,2,FALSE))</f>
        <v>Please select ERROR CODE column "I"</v>
      </c>
      <c r="L241" s="207"/>
      <c r="M241" s="209"/>
      <c r="N241" s="209"/>
      <c r="O241" s="242"/>
      <c r="P241" s="209"/>
      <c r="Q241" s="209"/>
      <c r="R241" s="217"/>
      <c r="S241" s="217"/>
      <c r="T241" s="217"/>
      <c r="U241" s="199"/>
      <c r="V241" s="200"/>
      <c r="W241" s="200"/>
      <c r="X241" s="200"/>
      <c r="Y241" s="200"/>
      <c r="Z241" s="200"/>
      <c r="AA241" s="201"/>
      <c r="AB241" s="200"/>
      <c r="AC241" s="200"/>
    </row>
    <row r="242" ht="15.0" customHeight="1">
      <c r="A242" s="210">
        <f t="shared" si="1"/>
        <v>240</v>
      </c>
      <c r="B242" s="217"/>
      <c r="C242" s="217" t="str">
        <f>IFERROR(VLOOKUP(B242, SourceData!$U$3:$V$190, 2, FALSE), "")</f>
        <v/>
      </c>
      <c r="D242" s="240"/>
      <c r="E242" s="241"/>
      <c r="F242" s="217"/>
      <c r="G242" s="207"/>
      <c r="H242" s="209"/>
      <c r="I242" s="209"/>
      <c r="J242" s="209"/>
      <c r="K242" s="208" t="str">
        <f>IF(Errors!$I242=0,SourceData!$B$42,VLOOKUP(Errors!$I242,SourceData!$A$2:$B$40,2,FALSE))</f>
        <v>Please select ERROR CODE column "I"</v>
      </c>
      <c r="L242" s="207"/>
      <c r="M242" s="209"/>
      <c r="N242" s="242"/>
      <c r="O242" s="242"/>
      <c r="P242" s="209"/>
      <c r="Q242" s="209"/>
      <c r="R242" s="217"/>
      <c r="S242" s="217"/>
      <c r="T242" s="217"/>
      <c r="U242" s="199"/>
      <c r="V242" s="200"/>
      <c r="W242" s="200"/>
      <c r="X242" s="200"/>
      <c r="Y242" s="200"/>
      <c r="Z242" s="200"/>
      <c r="AA242" s="201"/>
      <c r="AB242" s="200"/>
      <c r="AC242" s="200"/>
    </row>
    <row r="243" ht="15.0" customHeight="1">
      <c r="A243" s="210">
        <f t="shared" si="1"/>
        <v>241</v>
      </c>
      <c r="B243" s="217"/>
      <c r="C243" s="217"/>
      <c r="D243" s="240"/>
      <c r="E243" s="241"/>
      <c r="F243" s="217"/>
      <c r="G243" s="207"/>
      <c r="H243" s="209"/>
      <c r="I243" s="209"/>
      <c r="J243" s="209"/>
      <c r="K243" s="208" t="str">
        <f>IF(Errors!$I243=0,SourceData!$B$42,VLOOKUP(Errors!$I243,SourceData!$A$2:$B$40,2,FALSE))</f>
        <v>Please select ERROR CODE column "I"</v>
      </c>
      <c r="L243" s="207"/>
      <c r="M243" s="209"/>
      <c r="N243" s="209"/>
      <c r="O243" s="242"/>
      <c r="P243" s="209"/>
      <c r="Q243" s="209"/>
      <c r="R243" s="217"/>
      <c r="S243" s="217"/>
      <c r="T243" s="217"/>
      <c r="U243" s="199"/>
      <c r="V243" s="200"/>
      <c r="W243" s="200"/>
      <c r="X243" s="200"/>
      <c r="Y243" s="200"/>
      <c r="Z243" s="200"/>
      <c r="AA243" s="201"/>
      <c r="AB243" s="200"/>
      <c r="AC243" s="200"/>
    </row>
    <row r="244" ht="15.0" customHeight="1">
      <c r="A244" s="210">
        <f t="shared" si="1"/>
        <v>242</v>
      </c>
      <c r="B244" s="217"/>
      <c r="C244" s="217"/>
      <c r="D244" s="240"/>
      <c r="E244" s="241"/>
      <c r="F244" s="217"/>
      <c r="G244" s="207"/>
      <c r="H244" s="209"/>
      <c r="I244" s="209"/>
      <c r="J244" s="209"/>
      <c r="K244" s="208" t="str">
        <f>IF(Errors!$I244=0,SourceData!$B$42,VLOOKUP(Errors!$I244,SourceData!$A$2:$B$40,2,FALSE))</f>
        <v>Please select ERROR CODE column "I"</v>
      </c>
      <c r="L244" s="207"/>
      <c r="M244" s="209"/>
      <c r="N244" s="242"/>
      <c r="O244" s="242"/>
      <c r="P244" s="209"/>
      <c r="Q244" s="209"/>
      <c r="R244" s="217"/>
      <c r="S244" s="217"/>
      <c r="T244" s="217"/>
      <c r="U244" s="199"/>
      <c r="V244" s="200"/>
      <c r="W244" s="200"/>
      <c r="X244" s="200"/>
      <c r="Y244" s="200"/>
      <c r="Z244" s="200"/>
      <c r="AA244" s="201"/>
      <c r="AB244" s="200"/>
      <c r="AC244" s="200"/>
    </row>
    <row r="245" ht="15.0" customHeight="1">
      <c r="A245" s="210">
        <f t="shared" si="1"/>
        <v>243</v>
      </c>
      <c r="B245" s="217"/>
      <c r="C245" s="217"/>
      <c r="D245" s="240"/>
      <c r="E245" s="241"/>
      <c r="F245" s="217"/>
      <c r="G245" s="243"/>
      <c r="H245" s="209"/>
      <c r="I245" s="209"/>
      <c r="J245" s="209"/>
      <c r="K245" s="208" t="str">
        <f>IF(Errors!$I245=0,SourceData!$B$42,VLOOKUP(Errors!$I245,SourceData!$A$2:$B$40,2,FALSE))</f>
        <v>Please select ERROR CODE column "I"</v>
      </c>
      <c r="L245" s="207"/>
      <c r="M245" s="209"/>
      <c r="N245" s="242"/>
      <c r="O245" s="242"/>
      <c r="P245" s="209"/>
      <c r="Q245" s="209"/>
      <c r="R245" s="217"/>
      <c r="S245" s="217"/>
      <c r="T245" s="217"/>
      <c r="U245" s="199"/>
      <c r="V245" s="200"/>
      <c r="W245" s="200"/>
      <c r="X245" s="200"/>
      <c r="Y245" s="200"/>
      <c r="Z245" s="200"/>
      <c r="AA245" s="201"/>
      <c r="AB245" s="200"/>
      <c r="AC245" s="200"/>
    </row>
    <row r="246" ht="15.0" customHeight="1">
      <c r="A246" s="210">
        <f t="shared" si="1"/>
        <v>244</v>
      </c>
      <c r="B246" s="217"/>
      <c r="C246" s="217"/>
      <c r="D246" s="240"/>
      <c r="E246" s="241"/>
      <c r="F246" s="217"/>
      <c r="G246" s="207"/>
      <c r="H246" s="209"/>
      <c r="I246" s="209"/>
      <c r="J246" s="209"/>
      <c r="K246" s="208" t="str">
        <f>IF(Errors!$I246=0,SourceData!$B$42,VLOOKUP(Errors!$I246,SourceData!$A$2:$B$40,2,FALSE))</f>
        <v>Please select ERROR CODE column "I"</v>
      </c>
      <c r="L246" s="207"/>
      <c r="M246" s="209"/>
      <c r="N246" s="242"/>
      <c r="O246" s="242"/>
      <c r="P246" s="209"/>
      <c r="Q246" s="209"/>
      <c r="R246" s="217"/>
      <c r="S246" s="217"/>
      <c r="T246" s="217"/>
      <c r="U246" s="199"/>
      <c r="V246" s="200"/>
      <c r="W246" s="200"/>
      <c r="X246" s="200"/>
      <c r="Y246" s="200"/>
      <c r="Z246" s="200"/>
      <c r="AA246" s="201"/>
      <c r="AB246" s="200"/>
      <c r="AC246" s="200"/>
    </row>
    <row r="247" ht="15.0" customHeight="1">
      <c r="A247" s="210">
        <f t="shared" si="1"/>
        <v>245</v>
      </c>
      <c r="B247" s="217"/>
      <c r="C247" s="217"/>
      <c r="D247" s="240"/>
      <c r="E247" s="241"/>
      <c r="F247" s="217"/>
      <c r="G247" s="207"/>
      <c r="H247" s="209"/>
      <c r="I247" s="209"/>
      <c r="J247" s="209"/>
      <c r="K247" s="208" t="str">
        <f>IF(Errors!$I247=0,SourceData!$B$42,VLOOKUP(Errors!$I247,SourceData!$A$2:$B$40,2,FALSE))</f>
        <v>Please select ERROR CODE column "I"</v>
      </c>
      <c r="L247" s="207"/>
      <c r="M247" s="209"/>
      <c r="N247" s="209"/>
      <c r="O247" s="242"/>
      <c r="P247" s="209"/>
      <c r="Q247" s="209"/>
      <c r="R247" s="217"/>
      <c r="S247" s="217"/>
      <c r="T247" s="217"/>
      <c r="U247" s="199"/>
      <c r="V247" s="200"/>
      <c r="W247" s="200"/>
      <c r="X247" s="200"/>
      <c r="Y247" s="200"/>
      <c r="Z247" s="200"/>
      <c r="AA247" s="201"/>
      <c r="AB247" s="200"/>
      <c r="AC247" s="200"/>
    </row>
    <row r="248" ht="15.0" customHeight="1">
      <c r="A248" s="210">
        <f t="shared" si="1"/>
        <v>246</v>
      </c>
      <c r="B248" s="217"/>
      <c r="C248" s="217"/>
      <c r="D248" s="240"/>
      <c r="E248" s="241"/>
      <c r="F248" s="217"/>
      <c r="G248" s="207"/>
      <c r="H248" s="209"/>
      <c r="I248" s="209"/>
      <c r="J248" s="209"/>
      <c r="K248" s="208" t="str">
        <f>IF(Errors!$I248=0,SourceData!$B$42,VLOOKUP(Errors!$I248,SourceData!$A$2:$B$40,2,FALSE))</f>
        <v>Please select ERROR CODE column "I"</v>
      </c>
      <c r="L248" s="207"/>
      <c r="M248" s="209"/>
      <c r="N248" s="209"/>
      <c r="O248" s="242"/>
      <c r="P248" s="209"/>
      <c r="Q248" s="209"/>
      <c r="R248" s="217"/>
      <c r="S248" s="217"/>
      <c r="T248" s="217"/>
      <c r="U248" s="199"/>
      <c r="V248" s="200"/>
      <c r="W248" s="200"/>
      <c r="X248" s="200"/>
      <c r="Y248" s="200"/>
      <c r="Z248" s="200"/>
      <c r="AA248" s="201"/>
      <c r="AB248" s="200"/>
      <c r="AC248" s="200"/>
    </row>
    <row r="249" ht="15.0" customHeight="1">
      <c r="A249" s="210">
        <f t="shared" si="1"/>
        <v>247</v>
      </c>
      <c r="B249" s="217"/>
      <c r="C249" s="217"/>
      <c r="D249" s="240"/>
      <c r="E249" s="241"/>
      <c r="F249" s="217"/>
      <c r="G249" s="207"/>
      <c r="H249" s="209"/>
      <c r="I249" s="209"/>
      <c r="J249" s="209"/>
      <c r="K249" s="208" t="str">
        <f>IF(Errors!$I249=0,SourceData!$B$42,VLOOKUP(Errors!$I249,SourceData!$A$2:$B$40,2,FALSE))</f>
        <v>Please select ERROR CODE column "I"</v>
      </c>
      <c r="L249" s="207"/>
      <c r="M249" s="209"/>
      <c r="N249" s="242"/>
      <c r="O249" s="242"/>
      <c r="P249" s="209"/>
      <c r="Q249" s="209"/>
      <c r="R249" s="217"/>
      <c r="S249" s="217"/>
      <c r="T249" s="217"/>
      <c r="U249" s="199"/>
      <c r="V249" s="200"/>
      <c r="W249" s="200"/>
      <c r="X249" s="200"/>
      <c r="Y249" s="200"/>
      <c r="Z249" s="200"/>
      <c r="AA249" s="201"/>
      <c r="AB249" s="200"/>
      <c r="AC249" s="200"/>
    </row>
    <row r="250" ht="15.0" customHeight="1">
      <c r="A250" s="210">
        <f t="shared" si="1"/>
        <v>248</v>
      </c>
      <c r="B250" s="217"/>
      <c r="C250" s="217"/>
      <c r="D250" s="240"/>
      <c r="E250" s="241"/>
      <c r="F250" s="217"/>
      <c r="G250" s="207"/>
      <c r="H250" s="209"/>
      <c r="I250" s="209"/>
      <c r="J250" s="209"/>
      <c r="K250" s="208" t="str">
        <f>IF(Errors!$I250=0,SourceData!$B$42,VLOOKUP(Errors!$I250,SourceData!$A$2:$B$40,2,FALSE))</f>
        <v>Please select ERROR CODE column "I"</v>
      </c>
      <c r="L250" s="207"/>
      <c r="M250" s="209"/>
      <c r="N250" s="242"/>
      <c r="O250" s="242"/>
      <c r="P250" s="209"/>
      <c r="Q250" s="209"/>
      <c r="R250" s="217"/>
      <c r="S250" s="217"/>
      <c r="T250" s="217"/>
      <c r="U250" s="199"/>
      <c r="V250" s="200"/>
      <c r="W250" s="200"/>
      <c r="X250" s="200"/>
      <c r="Y250" s="200"/>
      <c r="Z250" s="200"/>
      <c r="AA250" s="201"/>
      <c r="AB250" s="200"/>
      <c r="AC250" s="200"/>
    </row>
    <row r="251" ht="15.0" customHeight="1">
      <c r="A251" s="210">
        <f t="shared" si="1"/>
        <v>249</v>
      </c>
      <c r="B251" s="217"/>
      <c r="C251" s="217"/>
      <c r="D251" s="240"/>
      <c r="E251" s="241"/>
      <c r="F251" s="217"/>
      <c r="G251" s="207"/>
      <c r="H251" s="209"/>
      <c r="I251" s="209"/>
      <c r="J251" s="209"/>
      <c r="K251" s="208" t="str">
        <f>IF(Errors!$I251=0,SourceData!$B$42,VLOOKUP(Errors!$I251,SourceData!$A$2:$B$40,2,FALSE))</f>
        <v>Please select ERROR CODE column "I"</v>
      </c>
      <c r="L251" s="207"/>
      <c r="M251" s="209"/>
      <c r="N251" s="209"/>
      <c r="O251" s="242"/>
      <c r="P251" s="209"/>
      <c r="Q251" s="209"/>
      <c r="R251" s="217"/>
      <c r="S251" s="217"/>
      <c r="T251" s="217"/>
      <c r="U251" s="199"/>
      <c r="V251" s="200"/>
      <c r="W251" s="200"/>
      <c r="X251" s="200"/>
      <c r="Y251" s="200"/>
      <c r="Z251" s="200"/>
      <c r="AA251" s="201"/>
      <c r="AB251" s="200"/>
      <c r="AC251" s="200"/>
    </row>
    <row r="252" ht="15.0" customHeight="1">
      <c r="A252" s="210">
        <f t="shared" si="1"/>
        <v>250</v>
      </c>
      <c r="B252" s="217"/>
      <c r="C252" s="217"/>
      <c r="D252" s="240"/>
      <c r="E252" s="241"/>
      <c r="F252" s="217"/>
      <c r="G252" s="207"/>
      <c r="H252" s="209"/>
      <c r="I252" s="209"/>
      <c r="J252" s="209"/>
      <c r="K252" s="208" t="str">
        <f>IF(Errors!$I252=0,SourceData!$B$42,VLOOKUP(Errors!$I252,SourceData!$A$2:$B$40,2,FALSE))</f>
        <v>Please select ERROR CODE column "I"</v>
      </c>
      <c r="L252" s="207"/>
      <c r="M252" s="209"/>
      <c r="N252" s="242"/>
      <c r="O252" s="242"/>
      <c r="P252" s="209"/>
      <c r="Q252" s="209"/>
      <c r="R252" s="217"/>
      <c r="S252" s="217"/>
      <c r="T252" s="217"/>
      <c r="U252" s="199"/>
      <c r="V252" s="200"/>
      <c r="W252" s="200"/>
      <c r="X252" s="200"/>
      <c r="Y252" s="200"/>
      <c r="Z252" s="200"/>
      <c r="AA252" s="201"/>
      <c r="AB252" s="200"/>
      <c r="AC252" s="200"/>
    </row>
    <row r="253" ht="15.0" customHeight="1">
      <c r="A253" s="210">
        <f t="shared" si="1"/>
        <v>251</v>
      </c>
      <c r="B253" s="217"/>
      <c r="C253" s="217"/>
      <c r="D253" s="240"/>
      <c r="E253" s="241"/>
      <c r="F253" s="217"/>
      <c r="G253" s="207"/>
      <c r="H253" s="209"/>
      <c r="I253" s="209"/>
      <c r="J253" s="209"/>
      <c r="K253" s="208" t="str">
        <f>IF(Errors!$I253=0,SourceData!$B$42,VLOOKUP(Errors!$I253,SourceData!$A$2:$B$40,2,FALSE))</f>
        <v>Please select ERROR CODE column "I"</v>
      </c>
      <c r="L253" s="207"/>
      <c r="M253" s="209"/>
      <c r="N253" s="209"/>
      <c r="O253" s="209"/>
      <c r="P253" s="209"/>
      <c r="Q253" s="209"/>
      <c r="R253" s="217"/>
      <c r="S253" s="217"/>
      <c r="T253" s="217"/>
      <c r="U253" s="199"/>
      <c r="V253" s="200"/>
      <c r="W253" s="200"/>
      <c r="X253" s="200"/>
      <c r="Y253" s="200"/>
      <c r="Z253" s="200"/>
      <c r="AA253" s="201"/>
      <c r="AB253" s="200"/>
      <c r="AC253" s="200"/>
    </row>
    <row r="254" ht="15.0" customHeight="1">
      <c r="A254" s="210">
        <f t="shared" si="1"/>
        <v>252</v>
      </c>
      <c r="B254" s="217"/>
      <c r="C254" s="217"/>
      <c r="D254" s="240"/>
      <c r="E254" s="241"/>
      <c r="F254" s="217"/>
      <c r="G254" s="207"/>
      <c r="H254" s="209"/>
      <c r="I254" s="209"/>
      <c r="J254" s="209"/>
      <c r="K254" s="208" t="str">
        <f>IF(Errors!$I254=0,SourceData!$B$42,VLOOKUP(Errors!$I254,SourceData!$A$2:$B$40,2,FALSE))</f>
        <v>Please select ERROR CODE column "I"</v>
      </c>
      <c r="L254" s="207"/>
      <c r="M254" s="209"/>
      <c r="N254" s="242"/>
      <c r="O254" s="242"/>
      <c r="P254" s="209"/>
      <c r="Q254" s="209"/>
      <c r="R254" s="217"/>
      <c r="S254" s="217"/>
      <c r="T254" s="217"/>
      <c r="U254" s="199"/>
      <c r="V254" s="200"/>
      <c r="W254" s="200"/>
      <c r="X254" s="200"/>
      <c r="Y254" s="200"/>
      <c r="Z254" s="200"/>
      <c r="AA254" s="201"/>
      <c r="AB254" s="200"/>
      <c r="AC254" s="200"/>
    </row>
    <row r="255" ht="15.0" customHeight="1">
      <c r="A255" s="210">
        <f t="shared" si="1"/>
        <v>253</v>
      </c>
      <c r="B255" s="217"/>
      <c r="C255" s="217"/>
      <c r="D255" s="240"/>
      <c r="E255" s="241"/>
      <c r="F255" s="217"/>
      <c r="G255" s="207"/>
      <c r="H255" s="209"/>
      <c r="I255" s="209"/>
      <c r="J255" s="209"/>
      <c r="K255" s="208" t="str">
        <f>IF(Errors!$I255=0,SourceData!$B$42,VLOOKUP(Errors!$I255,SourceData!$A$2:$B$40,2,FALSE))</f>
        <v>Please select ERROR CODE column "I"</v>
      </c>
      <c r="L255" s="207"/>
      <c r="M255" s="209"/>
      <c r="N255" s="242"/>
      <c r="O255" s="242"/>
      <c r="P255" s="209"/>
      <c r="Q255" s="209"/>
      <c r="R255" s="217"/>
      <c r="S255" s="217"/>
      <c r="T255" s="217"/>
      <c r="U255" s="199"/>
      <c r="V255" s="200"/>
      <c r="W255" s="200"/>
      <c r="X255" s="200"/>
      <c r="Y255" s="200"/>
      <c r="Z255" s="200"/>
      <c r="AA255" s="201"/>
      <c r="AB255" s="200"/>
      <c r="AC255" s="200"/>
    </row>
    <row r="256" ht="15.0" customHeight="1">
      <c r="A256" s="210">
        <f t="shared" si="1"/>
        <v>254</v>
      </c>
      <c r="B256" s="217"/>
      <c r="C256" s="217"/>
      <c r="D256" s="240"/>
      <c r="E256" s="241"/>
      <c r="F256" s="217"/>
      <c r="G256" s="207"/>
      <c r="H256" s="209"/>
      <c r="I256" s="209"/>
      <c r="J256" s="209"/>
      <c r="K256" s="208" t="str">
        <f>IF(Errors!$I256=0,SourceData!$B$42,VLOOKUP(Errors!$I256,SourceData!$A$2:$B$40,2,FALSE))</f>
        <v>Please select ERROR CODE column "I"</v>
      </c>
      <c r="L256" s="207"/>
      <c r="M256" s="209"/>
      <c r="N256" s="242"/>
      <c r="O256" s="242"/>
      <c r="P256" s="209"/>
      <c r="Q256" s="209"/>
      <c r="R256" s="217"/>
      <c r="S256" s="217"/>
      <c r="T256" s="217"/>
      <c r="U256" s="199"/>
      <c r="V256" s="200"/>
      <c r="W256" s="200"/>
      <c r="X256" s="200"/>
      <c r="Y256" s="200"/>
      <c r="Z256" s="200"/>
      <c r="AA256" s="201"/>
      <c r="AB256" s="200"/>
      <c r="AC256" s="200"/>
    </row>
    <row r="257" ht="15.0" customHeight="1">
      <c r="A257" s="210">
        <f t="shared" si="1"/>
        <v>255</v>
      </c>
      <c r="B257" s="217"/>
      <c r="C257" s="217"/>
      <c r="D257" s="240"/>
      <c r="E257" s="241"/>
      <c r="F257" s="217"/>
      <c r="G257" s="207"/>
      <c r="H257" s="209"/>
      <c r="I257" s="209"/>
      <c r="J257" s="209"/>
      <c r="K257" s="208" t="str">
        <f>IF(Errors!$I257=0,SourceData!$B$42,VLOOKUP(Errors!$I257,SourceData!$A$2:$B$40,2,FALSE))</f>
        <v>Please select ERROR CODE column "I"</v>
      </c>
      <c r="L257" s="207"/>
      <c r="M257" s="209"/>
      <c r="N257" s="209"/>
      <c r="O257" s="209"/>
      <c r="P257" s="209"/>
      <c r="Q257" s="209"/>
      <c r="R257" s="217"/>
      <c r="S257" s="217"/>
      <c r="T257" s="217"/>
      <c r="U257" s="199"/>
      <c r="V257" s="200"/>
      <c r="W257" s="200"/>
      <c r="X257" s="200"/>
      <c r="Y257" s="200"/>
      <c r="Z257" s="200"/>
      <c r="AA257" s="201"/>
      <c r="AB257" s="200"/>
      <c r="AC257" s="200"/>
    </row>
    <row r="258" ht="15.0" customHeight="1">
      <c r="A258" s="210">
        <f t="shared" si="1"/>
        <v>256</v>
      </c>
      <c r="B258" s="217"/>
      <c r="C258" s="217"/>
      <c r="D258" s="240"/>
      <c r="E258" s="241"/>
      <c r="F258" s="217"/>
      <c r="G258" s="207"/>
      <c r="H258" s="209"/>
      <c r="I258" s="209"/>
      <c r="J258" s="209"/>
      <c r="K258" s="208" t="str">
        <f>IF(Errors!$I258=0,SourceData!$B$42,VLOOKUP(Errors!$I258,SourceData!$A$2:$B$40,2,FALSE))</f>
        <v>Please select ERROR CODE column "I"</v>
      </c>
      <c r="L258" s="207"/>
      <c r="M258" s="209"/>
      <c r="N258" s="242"/>
      <c r="O258" s="242"/>
      <c r="P258" s="209"/>
      <c r="Q258" s="209"/>
      <c r="R258" s="217"/>
      <c r="S258" s="217"/>
      <c r="T258" s="217"/>
      <c r="U258" s="199"/>
      <c r="V258" s="200"/>
      <c r="W258" s="200"/>
      <c r="X258" s="200"/>
      <c r="Y258" s="200"/>
      <c r="Z258" s="200"/>
      <c r="AA258" s="201"/>
      <c r="AB258" s="200"/>
      <c r="AC258" s="200"/>
    </row>
    <row r="259" ht="15.0" customHeight="1">
      <c r="A259" s="210">
        <f t="shared" si="1"/>
        <v>257</v>
      </c>
      <c r="B259" s="217"/>
      <c r="C259" s="217"/>
      <c r="D259" s="240"/>
      <c r="E259" s="241"/>
      <c r="F259" s="217"/>
      <c r="G259" s="207"/>
      <c r="H259" s="209"/>
      <c r="I259" s="209"/>
      <c r="J259" s="209"/>
      <c r="K259" s="208" t="str">
        <f>IF(Errors!$I259=0,SourceData!$B$42,VLOOKUP(Errors!$I259,SourceData!$A$2:$B$40,2,FALSE))</f>
        <v>Please select ERROR CODE column "I"</v>
      </c>
      <c r="L259" s="207"/>
      <c r="M259" s="209"/>
      <c r="N259" s="242"/>
      <c r="O259" s="242"/>
      <c r="P259" s="209"/>
      <c r="Q259" s="209"/>
      <c r="R259" s="217"/>
      <c r="S259" s="217"/>
      <c r="T259" s="217"/>
      <c r="U259" s="199"/>
      <c r="V259" s="200"/>
      <c r="W259" s="200"/>
      <c r="X259" s="200"/>
      <c r="Y259" s="200"/>
      <c r="Z259" s="200"/>
      <c r="AA259" s="201"/>
      <c r="AB259" s="200"/>
      <c r="AC259" s="200"/>
    </row>
    <row r="260" ht="15.0" customHeight="1">
      <c r="A260" s="210">
        <f t="shared" si="1"/>
        <v>258</v>
      </c>
      <c r="B260" s="217"/>
      <c r="C260" s="217"/>
      <c r="D260" s="240"/>
      <c r="E260" s="241"/>
      <c r="F260" s="217"/>
      <c r="G260" s="207"/>
      <c r="H260" s="209"/>
      <c r="I260" s="209"/>
      <c r="J260" s="209"/>
      <c r="K260" s="208" t="str">
        <f>IF(Errors!$I260=0,SourceData!$B$42,VLOOKUP(Errors!$I260,SourceData!$A$2:$B$40,2,FALSE))</f>
        <v>Please select ERROR CODE column "I"</v>
      </c>
      <c r="L260" s="207"/>
      <c r="M260" s="209"/>
      <c r="N260" s="242"/>
      <c r="O260" s="242"/>
      <c r="P260" s="209"/>
      <c r="Q260" s="209"/>
      <c r="R260" s="217"/>
      <c r="S260" s="217"/>
      <c r="T260" s="217"/>
      <c r="U260" s="199"/>
      <c r="V260" s="200"/>
      <c r="W260" s="200"/>
      <c r="X260" s="200"/>
      <c r="Y260" s="200"/>
      <c r="Z260" s="200"/>
      <c r="AA260" s="201"/>
      <c r="AB260" s="200"/>
      <c r="AC260" s="200"/>
    </row>
    <row r="261" ht="15.0" customHeight="1">
      <c r="A261" s="210">
        <f t="shared" si="1"/>
        <v>259</v>
      </c>
      <c r="B261" s="217"/>
      <c r="C261" s="217"/>
      <c r="D261" s="240"/>
      <c r="E261" s="241"/>
      <c r="F261" s="217"/>
      <c r="G261" s="207"/>
      <c r="H261" s="209"/>
      <c r="I261" s="209"/>
      <c r="J261" s="209"/>
      <c r="K261" s="208" t="str">
        <f>IF(Errors!$I261=0,SourceData!$B$42,VLOOKUP(Errors!$I261,SourceData!$A$2:$B$40,2,FALSE))</f>
        <v>Please select ERROR CODE column "I"</v>
      </c>
      <c r="L261" s="207"/>
      <c r="M261" s="209"/>
      <c r="N261" s="242"/>
      <c r="O261" s="242"/>
      <c r="P261" s="209"/>
      <c r="Q261" s="209"/>
      <c r="R261" s="217"/>
      <c r="S261" s="217"/>
      <c r="T261" s="217"/>
      <c r="U261" s="199"/>
      <c r="V261" s="200"/>
      <c r="W261" s="200"/>
      <c r="X261" s="200"/>
      <c r="Y261" s="200"/>
      <c r="Z261" s="200"/>
      <c r="AA261" s="201"/>
      <c r="AB261" s="200"/>
      <c r="AC261" s="200"/>
    </row>
    <row r="262" ht="15.0" customHeight="1">
      <c r="A262" s="210">
        <f t="shared" si="1"/>
        <v>260</v>
      </c>
      <c r="B262" s="217"/>
      <c r="C262" s="217"/>
      <c r="D262" s="240"/>
      <c r="E262" s="241"/>
      <c r="F262" s="217"/>
      <c r="G262" s="207"/>
      <c r="H262" s="209"/>
      <c r="I262" s="209"/>
      <c r="J262" s="209"/>
      <c r="K262" s="208" t="str">
        <f>IF(Errors!$I262=0,SourceData!$B$42,VLOOKUP(Errors!$I262,SourceData!$A$2:$B$40,2,FALSE))</f>
        <v>Please select ERROR CODE column "I"</v>
      </c>
      <c r="L262" s="207"/>
      <c r="M262" s="209"/>
      <c r="N262" s="242"/>
      <c r="O262" s="242"/>
      <c r="P262" s="242"/>
      <c r="Q262" s="242"/>
      <c r="R262" s="217"/>
      <c r="S262" s="217"/>
      <c r="T262" s="217"/>
      <c r="U262" s="199"/>
      <c r="V262" s="200"/>
      <c r="W262" s="200"/>
      <c r="X262" s="200"/>
      <c r="Y262" s="200"/>
      <c r="Z262" s="200"/>
      <c r="AA262" s="201"/>
      <c r="AB262" s="200"/>
      <c r="AC262" s="200"/>
    </row>
    <row r="263" ht="15.0" customHeight="1">
      <c r="A263" s="210">
        <f t="shared" si="1"/>
        <v>261</v>
      </c>
      <c r="B263" s="217"/>
      <c r="C263" s="217"/>
      <c r="D263" s="240"/>
      <c r="E263" s="241"/>
      <c r="F263" s="217"/>
      <c r="G263" s="207"/>
      <c r="H263" s="209"/>
      <c r="I263" s="209"/>
      <c r="J263" s="209"/>
      <c r="K263" s="208" t="str">
        <f>IF(Errors!$I263=0,SourceData!$B$42,VLOOKUP(Errors!$I263,SourceData!$A$2:$B$40,2,FALSE))</f>
        <v>Please select ERROR CODE column "I"</v>
      </c>
      <c r="L263" s="207"/>
      <c r="M263" s="209"/>
      <c r="N263" s="242"/>
      <c r="O263" s="242"/>
      <c r="P263" s="242"/>
      <c r="Q263" s="242"/>
      <c r="R263" s="217"/>
      <c r="S263" s="217"/>
      <c r="T263" s="217"/>
      <c r="U263" s="199"/>
      <c r="V263" s="200"/>
      <c r="W263" s="200"/>
      <c r="X263" s="200"/>
      <c r="Y263" s="200"/>
      <c r="Z263" s="200"/>
      <c r="AA263" s="201"/>
      <c r="AB263" s="200"/>
      <c r="AC263" s="200"/>
    </row>
    <row r="264" ht="15.0" customHeight="1">
      <c r="A264" s="210">
        <f t="shared" si="1"/>
        <v>262</v>
      </c>
      <c r="B264" s="217"/>
      <c r="C264" s="217"/>
      <c r="D264" s="240"/>
      <c r="E264" s="241"/>
      <c r="F264" s="217"/>
      <c r="G264" s="207"/>
      <c r="H264" s="209"/>
      <c r="I264" s="209"/>
      <c r="J264" s="209"/>
      <c r="K264" s="208" t="str">
        <f>IF(Errors!$I264=0,SourceData!$B$42,VLOOKUP(Errors!$I264,SourceData!$A$2:$B$40,2,FALSE))</f>
        <v>Please select ERROR CODE column "I"</v>
      </c>
      <c r="L264" s="207"/>
      <c r="M264" s="209"/>
      <c r="N264" s="242"/>
      <c r="O264" s="242"/>
      <c r="P264" s="209"/>
      <c r="Q264" s="209"/>
      <c r="R264" s="217"/>
      <c r="S264" s="217"/>
      <c r="T264" s="217"/>
      <c r="U264" s="199"/>
      <c r="V264" s="200"/>
      <c r="W264" s="200"/>
      <c r="X264" s="200"/>
      <c r="Y264" s="200"/>
      <c r="Z264" s="200"/>
      <c r="AA264" s="201"/>
      <c r="AB264" s="200"/>
      <c r="AC264" s="200"/>
    </row>
    <row r="265" ht="15.0" customHeight="1">
      <c r="A265" s="210">
        <f t="shared" si="1"/>
        <v>263</v>
      </c>
      <c r="B265" s="217"/>
      <c r="C265" s="217"/>
      <c r="D265" s="240"/>
      <c r="E265" s="241"/>
      <c r="F265" s="217"/>
      <c r="G265" s="207"/>
      <c r="H265" s="209"/>
      <c r="I265" s="209"/>
      <c r="J265" s="209"/>
      <c r="K265" s="208" t="str">
        <f>IF(Errors!$I265=0,SourceData!$B$42,VLOOKUP(Errors!$I265,SourceData!$A$2:$B$40,2,FALSE))</f>
        <v>Please select ERROR CODE column "I"</v>
      </c>
      <c r="L265" s="207"/>
      <c r="M265" s="209"/>
      <c r="N265" s="209"/>
      <c r="O265" s="209"/>
      <c r="P265" s="209"/>
      <c r="Q265" s="209"/>
      <c r="R265" s="217"/>
      <c r="S265" s="217"/>
      <c r="T265" s="150"/>
      <c r="U265" s="199"/>
      <c r="V265" s="200"/>
      <c r="W265" s="200"/>
      <c r="X265" s="200"/>
      <c r="Y265" s="200"/>
      <c r="Z265" s="200"/>
      <c r="AA265" s="201"/>
      <c r="AB265" s="200"/>
      <c r="AC265" s="200"/>
    </row>
    <row r="266" ht="15.0" customHeight="1">
      <c r="A266" s="210">
        <f t="shared" si="1"/>
        <v>264</v>
      </c>
      <c r="B266" s="217"/>
      <c r="C266" s="217"/>
      <c r="D266" s="240"/>
      <c r="E266" s="241"/>
      <c r="F266" s="217"/>
      <c r="G266" s="207"/>
      <c r="H266" s="209"/>
      <c r="I266" s="209"/>
      <c r="J266" s="209"/>
      <c r="K266" s="208" t="str">
        <f>IF(Errors!$I266=0,SourceData!$B$42,VLOOKUP(Errors!$I266,SourceData!$A$2:$B$40,2,FALSE))</f>
        <v>Please select ERROR CODE column "I"</v>
      </c>
      <c r="L266" s="207"/>
      <c r="M266" s="209"/>
      <c r="N266" s="209"/>
      <c r="O266" s="209"/>
      <c r="P266" s="209"/>
      <c r="Q266" s="209"/>
      <c r="R266" s="217"/>
      <c r="S266" s="217"/>
      <c r="T266" s="150"/>
      <c r="U266" s="199"/>
      <c r="V266" s="200"/>
      <c r="W266" s="200"/>
      <c r="X266" s="200"/>
      <c r="Y266" s="200"/>
      <c r="Z266" s="200"/>
      <c r="AA266" s="201"/>
      <c r="AB266" s="200"/>
      <c r="AC266" s="200"/>
    </row>
    <row r="267" ht="15.0" customHeight="1">
      <c r="A267" s="210">
        <f t="shared" si="1"/>
        <v>265</v>
      </c>
      <c r="B267" s="217"/>
      <c r="C267" s="217"/>
      <c r="D267" s="240"/>
      <c r="E267" s="241"/>
      <c r="F267" s="217"/>
      <c r="G267" s="207"/>
      <c r="H267" s="209"/>
      <c r="I267" s="209"/>
      <c r="J267" s="209"/>
      <c r="K267" s="208" t="str">
        <f>IF(Errors!$I267=0,SourceData!$B$42,VLOOKUP(Errors!$I267,SourceData!$A$2:$B$40,2,FALSE))</f>
        <v>Please select ERROR CODE column "I"</v>
      </c>
      <c r="L267" s="207"/>
      <c r="M267" s="209"/>
      <c r="N267" s="242"/>
      <c r="O267" s="242"/>
      <c r="P267" s="209"/>
      <c r="Q267" s="209"/>
      <c r="R267" s="217"/>
      <c r="S267" s="217"/>
      <c r="T267" s="217"/>
      <c r="U267" s="199"/>
      <c r="V267" s="200"/>
      <c r="W267" s="200"/>
      <c r="X267" s="200"/>
      <c r="Y267" s="200"/>
      <c r="Z267" s="200"/>
      <c r="AA267" s="201"/>
      <c r="AB267" s="200"/>
      <c r="AC267" s="200"/>
    </row>
    <row r="268" ht="15.0" customHeight="1">
      <c r="A268" s="210">
        <f t="shared" si="1"/>
        <v>266</v>
      </c>
      <c r="B268" s="217"/>
      <c r="C268" s="217"/>
      <c r="D268" s="240"/>
      <c r="E268" s="241"/>
      <c r="F268" s="217"/>
      <c r="G268" s="207"/>
      <c r="H268" s="209"/>
      <c r="I268" s="209"/>
      <c r="J268" s="209"/>
      <c r="K268" s="208" t="str">
        <f>IF(Errors!$I268=0,SourceData!$B$42,VLOOKUP(Errors!$I268,SourceData!$A$2:$B$40,2,FALSE))</f>
        <v>Please select ERROR CODE column "I"</v>
      </c>
      <c r="L268" s="207"/>
      <c r="M268" s="209"/>
      <c r="N268" s="242"/>
      <c r="O268" s="242"/>
      <c r="P268" s="209"/>
      <c r="Q268" s="209"/>
      <c r="R268" s="217"/>
      <c r="S268" s="217"/>
      <c r="T268" s="217"/>
      <c r="U268" s="199"/>
      <c r="V268" s="200"/>
      <c r="W268" s="200"/>
      <c r="X268" s="200"/>
      <c r="Y268" s="200"/>
      <c r="Z268" s="200"/>
      <c r="AA268" s="201"/>
      <c r="AB268" s="200"/>
      <c r="AC268" s="200"/>
    </row>
    <row r="269" ht="15.0" customHeight="1">
      <c r="A269" s="210">
        <f t="shared" si="1"/>
        <v>267</v>
      </c>
      <c r="B269" s="217"/>
      <c r="C269" s="217"/>
      <c r="D269" s="240"/>
      <c r="E269" s="241"/>
      <c r="F269" s="217"/>
      <c r="G269" s="207"/>
      <c r="H269" s="209"/>
      <c r="I269" s="209"/>
      <c r="J269" s="209"/>
      <c r="K269" s="208" t="str">
        <f>IF(Errors!$I269=0,SourceData!$B$42,VLOOKUP(Errors!$I269,SourceData!$A$2:$B$40,2,FALSE))</f>
        <v>Please select ERROR CODE column "I"</v>
      </c>
      <c r="L269" s="207"/>
      <c r="M269" s="209"/>
      <c r="N269" s="242"/>
      <c r="O269" s="242"/>
      <c r="P269" s="209"/>
      <c r="Q269" s="209"/>
      <c r="R269" s="217"/>
      <c r="S269" s="217"/>
      <c r="T269" s="217"/>
      <c r="U269" s="199"/>
      <c r="V269" s="200"/>
      <c r="W269" s="200"/>
      <c r="X269" s="200"/>
      <c r="Y269" s="200"/>
      <c r="Z269" s="200"/>
      <c r="AA269" s="201"/>
      <c r="AB269" s="200"/>
      <c r="AC269" s="200"/>
    </row>
    <row r="270" ht="15.0" customHeight="1">
      <c r="A270" s="210">
        <f t="shared" si="1"/>
        <v>268</v>
      </c>
      <c r="B270" s="217"/>
      <c r="C270" s="217"/>
      <c r="D270" s="240"/>
      <c r="E270" s="241"/>
      <c r="F270" s="217"/>
      <c r="G270" s="207"/>
      <c r="H270" s="209"/>
      <c r="I270" s="209"/>
      <c r="J270" s="209"/>
      <c r="K270" s="208" t="str">
        <f>IF(Errors!$I270=0,SourceData!$B$42,VLOOKUP(Errors!$I270,SourceData!$A$2:$B$40,2,FALSE))</f>
        <v>Please select ERROR CODE column "I"</v>
      </c>
      <c r="L270" s="207"/>
      <c r="M270" s="209"/>
      <c r="N270" s="209"/>
      <c r="O270" s="209"/>
      <c r="P270" s="209"/>
      <c r="Q270" s="209"/>
      <c r="R270" s="217"/>
      <c r="S270" s="217"/>
      <c r="T270" s="217"/>
      <c r="U270" s="199"/>
      <c r="V270" s="200"/>
      <c r="W270" s="200"/>
      <c r="X270" s="200"/>
      <c r="Y270" s="200"/>
      <c r="Z270" s="200"/>
      <c r="AA270" s="201"/>
      <c r="AB270" s="200"/>
      <c r="AC270" s="200"/>
    </row>
    <row r="271" ht="15.0" customHeight="1">
      <c r="A271" s="210">
        <f t="shared" si="1"/>
        <v>269</v>
      </c>
      <c r="B271" s="217"/>
      <c r="C271" s="217"/>
      <c r="D271" s="240"/>
      <c r="E271" s="241"/>
      <c r="F271" s="217"/>
      <c r="G271" s="207"/>
      <c r="H271" s="209"/>
      <c r="I271" s="209"/>
      <c r="J271" s="209"/>
      <c r="K271" s="208" t="str">
        <f>IF(Errors!$I271=0,SourceData!$B$42,VLOOKUP(Errors!$I271,SourceData!$A$2:$B$40,2,FALSE))</f>
        <v>Please select ERROR CODE column "I"</v>
      </c>
      <c r="L271" s="207"/>
      <c r="M271" s="209"/>
      <c r="N271" s="242"/>
      <c r="O271" s="209"/>
      <c r="P271" s="209"/>
      <c r="Q271" s="209"/>
      <c r="R271" s="217"/>
      <c r="S271" s="217"/>
      <c r="T271" s="217"/>
      <c r="U271" s="199"/>
      <c r="V271" s="200"/>
      <c r="W271" s="200"/>
      <c r="X271" s="200"/>
      <c r="Y271" s="200"/>
      <c r="Z271" s="200"/>
      <c r="AA271" s="201"/>
      <c r="AB271" s="200"/>
      <c r="AC271" s="200"/>
    </row>
    <row r="272" ht="15.0" customHeight="1">
      <c r="A272" s="210">
        <f t="shared" si="1"/>
        <v>270</v>
      </c>
      <c r="B272" s="217"/>
      <c r="C272" s="217"/>
      <c r="D272" s="240"/>
      <c r="E272" s="241"/>
      <c r="F272" s="217"/>
      <c r="G272" s="207"/>
      <c r="H272" s="209"/>
      <c r="I272" s="209"/>
      <c r="J272" s="209"/>
      <c r="K272" s="208" t="str">
        <f>IF(Errors!$I272=0,SourceData!$B$42,VLOOKUP(Errors!$I272,SourceData!$A$2:$B$40,2,FALSE))</f>
        <v>Please select ERROR CODE column "I"</v>
      </c>
      <c r="L272" s="207"/>
      <c r="M272" s="209"/>
      <c r="N272" s="242"/>
      <c r="O272" s="242"/>
      <c r="P272" s="209"/>
      <c r="Q272" s="209"/>
      <c r="R272" s="217"/>
      <c r="S272" s="217"/>
      <c r="T272" s="217"/>
      <c r="U272" s="199"/>
      <c r="V272" s="200"/>
      <c r="W272" s="200"/>
      <c r="X272" s="200"/>
      <c r="Y272" s="200"/>
      <c r="Z272" s="200"/>
      <c r="AA272" s="201"/>
      <c r="AB272" s="200"/>
      <c r="AC272" s="200"/>
    </row>
    <row r="273" ht="15.0" customHeight="1">
      <c r="A273" s="210">
        <f t="shared" si="1"/>
        <v>271</v>
      </c>
      <c r="B273" s="217"/>
      <c r="C273" s="217"/>
      <c r="D273" s="240"/>
      <c r="E273" s="241"/>
      <c r="F273" s="217"/>
      <c r="G273" s="207"/>
      <c r="H273" s="209"/>
      <c r="I273" s="209"/>
      <c r="J273" s="209"/>
      <c r="K273" s="208" t="str">
        <f>IF(Errors!$I273=0,SourceData!$B$42,VLOOKUP(Errors!$I273,SourceData!$A$2:$B$40,2,FALSE))</f>
        <v>Please select ERROR CODE column "I"</v>
      </c>
      <c r="L273" s="207"/>
      <c r="M273" s="209"/>
      <c r="N273" s="209"/>
      <c r="O273" s="209"/>
      <c r="P273" s="209"/>
      <c r="Q273" s="209"/>
      <c r="R273" s="217"/>
      <c r="S273" s="217"/>
      <c r="T273" s="217"/>
      <c r="U273" s="199"/>
      <c r="V273" s="200"/>
      <c r="W273" s="200"/>
      <c r="X273" s="200"/>
      <c r="Y273" s="200"/>
      <c r="Z273" s="200"/>
      <c r="AA273" s="201"/>
      <c r="AB273" s="200"/>
      <c r="AC273" s="200"/>
    </row>
    <row r="274" ht="15.0" customHeight="1">
      <c r="A274" s="210">
        <f t="shared" si="1"/>
        <v>272</v>
      </c>
      <c r="B274" s="217"/>
      <c r="C274" s="217"/>
      <c r="D274" s="240"/>
      <c r="E274" s="241"/>
      <c r="F274" s="217"/>
      <c r="G274" s="207"/>
      <c r="H274" s="209"/>
      <c r="I274" s="209"/>
      <c r="J274" s="209"/>
      <c r="K274" s="208" t="str">
        <f>IF(Errors!$I274=0,SourceData!$B$42,VLOOKUP(Errors!$I274,SourceData!$A$2:$B$40,2,FALSE))</f>
        <v>Please select ERROR CODE column "I"</v>
      </c>
      <c r="L274" s="207"/>
      <c r="M274" s="209"/>
      <c r="N274" s="242"/>
      <c r="O274" s="209"/>
      <c r="P274" s="209"/>
      <c r="Q274" s="209"/>
      <c r="R274" s="217"/>
      <c r="S274" s="217"/>
      <c r="T274" s="217"/>
      <c r="U274" s="199"/>
      <c r="V274" s="200"/>
      <c r="W274" s="200"/>
      <c r="X274" s="200"/>
      <c r="Y274" s="200"/>
      <c r="Z274" s="200"/>
      <c r="AA274" s="201"/>
      <c r="AB274" s="200"/>
      <c r="AC274" s="200"/>
    </row>
    <row r="275" ht="15.0" customHeight="1">
      <c r="A275" s="210">
        <f t="shared" si="1"/>
        <v>273</v>
      </c>
      <c r="B275" s="217"/>
      <c r="C275" s="217"/>
      <c r="D275" s="240"/>
      <c r="E275" s="241"/>
      <c r="F275" s="217"/>
      <c r="G275" s="207"/>
      <c r="H275" s="209"/>
      <c r="I275" s="209"/>
      <c r="J275" s="209"/>
      <c r="K275" s="208" t="str">
        <f>IF(Errors!$I275=0,SourceData!$B$42,VLOOKUP(Errors!$I275,SourceData!$A$2:$B$40,2,FALSE))</f>
        <v>Please select ERROR CODE column "I"</v>
      </c>
      <c r="L275" s="207"/>
      <c r="M275" s="209"/>
      <c r="N275" s="242"/>
      <c r="O275" s="242"/>
      <c r="P275" s="209"/>
      <c r="Q275" s="209"/>
      <c r="R275" s="217"/>
      <c r="S275" s="217"/>
      <c r="T275" s="217"/>
      <c r="U275" s="199"/>
      <c r="V275" s="200"/>
      <c r="W275" s="200"/>
      <c r="X275" s="200"/>
      <c r="Y275" s="200"/>
      <c r="Z275" s="200"/>
      <c r="AA275" s="201"/>
      <c r="AB275" s="200"/>
      <c r="AC275" s="200"/>
    </row>
    <row r="276" ht="15.0" customHeight="1">
      <c r="A276" s="210">
        <f t="shared" si="1"/>
        <v>274</v>
      </c>
      <c r="B276" s="217"/>
      <c r="C276" s="217"/>
      <c r="D276" s="240"/>
      <c r="E276" s="241"/>
      <c r="F276" s="217"/>
      <c r="G276" s="207"/>
      <c r="H276" s="209"/>
      <c r="I276" s="209"/>
      <c r="J276" s="209"/>
      <c r="K276" s="208" t="str">
        <f>IF(Errors!$I276=0,SourceData!$B$42,VLOOKUP(Errors!$I276,SourceData!$A$2:$B$40,2,FALSE))</f>
        <v>Please select ERROR CODE column "I"</v>
      </c>
      <c r="L276" s="207"/>
      <c r="M276" s="209"/>
      <c r="N276" s="209"/>
      <c r="O276" s="209"/>
      <c r="P276" s="209"/>
      <c r="Q276" s="209"/>
      <c r="R276" s="217"/>
      <c r="S276" s="217"/>
      <c r="T276" s="217"/>
      <c r="U276" s="199"/>
      <c r="V276" s="200"/>
      <c r="W276" s="200"/>
      <c r="X276" s="200"/>
      <c r="Y276" s="200"/>
      <c r="Z276" s="200"/>
      <c r="AA276" s="201"/>
      <c r="AB276" s="200"/>
      <c r="AC276" s="200"/>
    </row>
    <row r="277" ht="15.0" customHeight="1">
      <c r="A277" s="210">
        <f t="shared" si="1"/>
        <v>275</v>
      </c>
      <c r="B277" s="217"/>
      <c r="C277" s="217"/>
      <c r="D277" s="240"/>
      <c r="E277" s="241"/>
      <c r="F277" s="217"/>
      <c r="G277" s="207"/>
      <c r="H277" s="209"/>
      <c r="I277" s="209"/>
      <c r="J277" s="209"/>
      <c r="K277" s="208" t="str">
        <f>IF(Errors!$I277=0,SourceData!$B$42,VLOOKUP(Errors!$I277,SourceData!$A$2:$B$40,2,FALSE))</f>
        <v>Please select ERROR CODE column "I"</v>
      </c>
      <c r="L277" s="207"/>
      <c r="M277" s="209"/>
      <c r="N277" s="209"/>
      <c r="O277" s="209"/>
      <c r="P277" s="209"/>
      <c r="Q277" s="209"/>
      <c r="R277" s="217"/>
      <c r="S277" s="217"/>
      <c r="T277" s="217"/>
      <c r="U277" s="244" t="s">
        <v>310</v>
      </c>
      <c r="V277" s="245" t="s">
        <v>310</v>
      </c>
      <c r="W277" s="246" t="s">
        <v>895</v>
      </c>
      <c r="X277" s="200"/>
      <c r="Y277" s="200"/>
      <c r="Z277" s="200"/>
      <c r="AA277" s="201"/>
      <c r="AB277" s="200"/>
      <c r="AC277" s="200"/>
    </row>
    <row r="278" ht="15.0" customHeight="1">
      <c r="A278" s="210">
        <f t="shared" si="1"/>
        <v>276</v>
      </c>
      <c r="B278" s="217"/>
      <c r="C278" s="217"/>
      <c r="D278" s="240"/>
      <c r="E278" s="241"/>
      <c r="F278" s="217"/>
      <c r="G278" s="207"/>
      <c r="H278" s="209"/>
      <c r="I278" s="209"/>
      <c r="J278" s="209"/>
      <c r="K278" s="208" t="str">
        <f>IF(Errors!$I278=0,SourceData!$B$42,VLOOKUP(Errors!$I278,SourceData!$A$2:$B$40,2,FALSE))</f>
        <v>Please select ERROR CODE column "I"</v>
      </c>
      <c r="L278" s="207"/>
      <c r="M278" s="209"/>
      <c r="N278" s="209"/>
      <c r="O278" s="209"/>
      <c r="P278" s="209"/>
      <c r="Q278" s="209"/>
      <c r="R278" s="217"/>
      <c r="S278" s="217"/>
      <c r="T278" s="217"/>
      <c r="U278" s="244" t="s">
        <v>310</v>
      </c>
      <c r="V278" s="245" t="s">
        <v>310</v>
      </c>
      <c r="W278" s="246" t="s">
        <v>895</v>
      </c>
      <c r="X278" s="200"/>
      <c r="Y278" s="200"/>
      <c r="Z278" s="200"/>
      <c r="AA278" s="201"/>
      <c r="AB278" s="200"/>
      <c r="AC278" s="200"/>
    </row>
    <row r="279" ht="15.0" customHeight="1">
      <c r="A279" s="210">
        <f t="shared" si="1"/>
        <v>277</v>
      </c>
      <c r="B279" s="217"/>
      <c r="C279" s="217"/>
      <c r="D279" s="240"/>
      <c r="E279" s="241"/>
      <c r="F279" s="217"/>
      <c r="G279" s="207"/>
      <c r="H279" s="209"/>
      <c r="I279" s="209"/>
      <c r="J279" s="209"/>
      <c r="K279" s="208" t="str">
        <f>IF(Errors!$I279=0,SourceData!$B$42,VLOOKUP(Errors!$I279,SourceData!$A$2:$B$40,2,FALSE))</f>
        <v>Please select ERROR CODE column "I"</v>
      </c>
      <c r="L279" s="207"/>
      <c r="M279" s="209"/>
      <c r="N279" s="209"/>
      <c r="O279" s="209"/>
      <c r="P279" s="209"/>
      <c r="Q279" s="209"/>
      <c r="R279" s="217"/>
      <c r="S279" s="217"/>
      <c r="T279" s="217"/>
      <c r="U279" s="244" t="s">
        <v>310</v>
      </c>
      <c r="V279" s="245" t="s">
        <v>310</v>
      </c>
      <c r="W279" s="246" t="s">
        <v>895</v>
      </c>
      <c r="X279" s="200"/>
      <c r="Y279" s="200"/>
      <c r="Z279" s="200"/>
      <c r="AA279" s="201"/>
      <c r="AB279" s="200"/>
      <c r="AC279" s="200"/>
    </row>
    <row r="280" ht="15.0" customHeight="1">
      <c r="A280" s="210">
        <f t="shared" si="1"/>
        <v>278</v>
      </c>
      <c r="B280" s="217"/>
      <c r="C280" s="217"/>
      <c r="D280" s="240"/>
      <c r="E280" s="241"/>
      <c r="F280" s="217"/>
      <c r="G280" s="207"/>
      <c r="H280" s="209"/>
      <c r="I280" s="209"/>
      <c r="J280" s="209"/>
      <c r="K280" s="208" t="str">
        <f>IF(Errors!$I280=0,SourceData!$B$42,VLOOKUP(Errors!$I280,SourceData!$A$2:$B$40,2,FALSE))</f>
        <v>Please select ERROR CODE column "I"</v>
      </c>
      <c r="L280" s="207"/>
      <c r="M280" s="209"/>
      <c r="N280" s="209"/>
      <c r="O280" s="209"/>
      <c r="P280" s="209"/>
      <c r="Q280" s="209"/>
      <c r="R280" s="217"/>
      <c r="S280" s="217"/>
      <c r="T280" s="217"/>
      <c r="U280" s="244" t="s">
        <v>310</v>
      </c>
      <c r="V280" s="245" t="s">
        <v>310</v>
      </c>
      <c r="W280" s="246" t="s">
        <v>895</v>
      </c>
      <c r="X280" s="200"/>
      <c r="Y280" s="200"/>
      <c r="Z280" s="200"/>
      <c r="AA280" s="201"/>
      <c r="AB280" s="200"/>
      <c r="AC280" s="200"/>
    </row>
    <row r="281" ht="15.0" customHeight="1">
      <c r="A281" s="210">
        <f t="shared" si="1"/>
        <v>279</v>
      </c>
      <c r="B281" s="217"/>
      <c r="C281" s="217"/>
      <c r="D281" s="240"/>
      <c r="E281" s="241"/>
      <c r="F281" s="217"/>
      <c r="G281" s="207"/>
      <c r="H281" s="209"/>
      <c r="I281" s="209"/>
      <c r="J281" s="209"/>
      <c r="K281" s="208" t="str">
        <f>IF(Errors!$I281=0,SourceData!$B$42,VLOOKUP(Errors!$I281,SourceData!$A$2:$B$40,2,FALSE))</f>
        <v>Please select ERROR CODE column "I"</v>
      </c>
      <c r="L281" s="207"/>
      <c r="M281" s="209"/>
      <c r="N281" s="209"/>
      <c r="O281" s="209"/>
      <c r="P281" s="209"/>
      <c r="Q281" s="209"/>
      <c r="R281" s="217"/>
      <c r="S281" s="217"/>
      <c r="T281" s="217"/>
      <c r="U281" s="244" t="s">
        <v>310</v>
      </c>
      <c r="V281" s="245" t="s">
        <v>310</v>
      </c>
      <c r="W281" s="246" t="s">
        <v>895</v>
      </c>
      <c r="X281" s="200"/>
      <c r="Y281" s="200"/>
      <c r="Z281" s="200"/>
      <c r="AA281" s="201"/>
      <c r="AB281" s="200"/>
      <c r="AC281" s="200"/>
    </row>
    <row r="282" ht="15.0" customHeight="1">
      <c r="A282" s="210">
        <f t="shared" si="1"/>
        <v>280</v>
      </c>
      <c r="B282" s="217"/>
      <c r="C282" s="217"/>
      <c r="D282" s="240"/>
      <c r="E282" s="241"/>
      <c r="F282" s="217"/>
      <c r="G282" s="207"/>
      <c r="H282" s="209"/>
      <c r="I282" s="209"/>
      <c r="J282" s="209"/>
      <c r="K282" s="208" t="str">
        <f>IF(Errors!$I282=0,SourceData!$B$42,VLOOKUP(Errors!$I282,SourceData!$A$2:$B$40,2,FALSE))</f>
        <v>Please select ERROR CODE column "I"</v>
      </c>
      <c r="L282" s="207"/>
      <c r="M282" s="209"/>
      <c r="N282" s="242"/>
      <c r="O282" s="209"/>
      <c r="P282" s="209"/>
      <c r="Q282" s="209"/>
      <c r="R282" s="217"/>
      <c r="S282" s="217"/>
      <c r="T282" s="217"/>
      <c r="U282" s="244" t="s">
        <v>310</v>
      </c>
      <c r="V282" s="245" t="s">
        <v>310</v>
      </c>
      <c r="W282" s="246" t="s">
        <v>895</v>
      </c>
      <c r="X282" s="200"/>
      <c r="Y282" s="200"/>
      <c r="Z282" s="200"/>
      <c r="AA282" s="201"/>
      <c r="AB282" s="200"/>
      <c r="AC282" s="200"/>
    </row>
    <row r="283" ht="15.0" customHeight="1">
      <c r="A283" s="222">
        <f t="shared" si="1"/>
        <v>281</v>
      </c>
      <c r="B283" s="217"/>
      <c r="C283" s="217"/>
      <c r="D283" s="240"/>
      <c r="E283" s="241"/>
      <c r="F283" s="217"/>
      <c r="G283" s="207"/>
      <c r="H283" s="209"/>
      <c r="I283" s="209"/>
      <c r="J283" s="209"/>
      <c r="K283" s="208" t="str">
        <f>IF(Errors!$I283=0,SourceData!$B$42,VLOOKUP(Errors!$I283,SourceData!$A$2:$B$40,2,FALSE))</f>
        <v>Please select ERROR CODE column "I"</v>
      </c>
      <c r="L283" s="207"/>
      <c r="M283" s="209"/>
      <c r="N283" s="209"/>
      <c r="O283" s="209"/>
      <c r="P283" s="209"/>
      <c r="Q283" s="209"/>
      <c r="R283" s="217"/>
      <c r="S283" s="217"/>
      <c r="T283" s="217"/>
      <c r="U283" s="244" t="s">
        <v>310</v>
      </c>
      <c r="V283" s="245" t="s">
        <v>310</v>
      </c>
      <c r="W283" s="246" t="s">
        <v>895</v>
      </c>
      <c r="X283" s="200"/>
      <c r="Y283" s="200"/>
      <c r="Z283" s="200"/>
      <c r="AA283" s="201"/>
      <c r="AB283" s="200"/>
      <c r="AC283" s="200"/>
    </row>
    <row r="284" ht="15.0" customHeight="1">
      <c r="A284" s="210">
        <f t="shared" si="1"/>
        <v>282</v>
      </c>
      <c r="B284" s="217"/>
      <c r="C284" s="217"/>
      <c r="D284" s="240"/>
      <c r="E284" s="241"/>
      <c r="F284" s="217"/>
      <c r="G284" s="207"/>
      <c r="H284" s="209"/>
      <c r="I284" s="209"/>
      <c r="J284" s="209"/>
      <c r="K284" s="208" t="str">
        <f>IF(Errors!$I284=0,SourceData!$B$42,VLOOKUP(Errors!$I284,SourceData!$A$2:$B$40,2,FALSE))</f>
        <v>Please select ERROR CODE column "I"</v>
      </c>
      <c r="L284" s="207"/>
      <c r="M284" s="209"/>
      <c r="N284" s="209"/>
      <c r="O284" s="209"/>
      <c r="P284" s="209"/>
      <c r="Q284" s="209"/>
      <c r="R284" s="217"/>
      <c r="S284" s="217"/>
      <c r="T284" s="217"/>
      <c r="U284" s="199"/>
      <c r="V284" s="200"/>
      <c r="W284" s="200"/>
      <c r="X284" s="200"/>
      <c r="Y284" s="200"/>
      <c r="Z284" s="200"/>
      <c r="AA284" s="201"/>
      <c r="AB284" s="200"/>
      <c r="AC284" s="200"/>
    </row>
    <row r="285" ht="15.0" customHeight="1">
      <c r="A285" s="210">
        <f t="shared" si="1"/>
        <v>283</v>
      </c>
      <c r="B285" s="217"/>
      <c r="C285" s="217"/>
      <c r="D285" s="240"/>
      <c r="E285" s="241"/>
      <c r="F285" s="217"/>
      <c r="G285" s="207"/>
      <c r="H285" s="209"/>
      <c r="I285" s="150"/>
      <c r="J285" s="209"/>
      <c r="K285" s="208" t="str">
        <f>IF(Errors!$I285=0,SourceData!$B$42,VLOOKUP(Errors!$I285,SourceData!$A$2:$B$40,2,FALSE))</f>
        <v>Please select ERROR CODE column "I"</v>
      </c>
      <c r="L285" s="207"/>
      <c r="M285" s="209"/>
      <c r="N285" s="209"/>
      <c r="O285" s="209"/>
      <c r="P285" s="209"/>
      <c r="Q285" s="209"/>
      <c r="R285" s="217"/>
      <c r="S285" s="217"/>
      <c r="T285" s="217"/>
      <c r="U285" s="199"/>
      <c r="V285" s="200"/>
      <c r="W285" s="200"/>
      <c r="X285" s="200"/>
      <c r="Y285" s="200"/>
      <c r="Z285" s="200"/>
      <c r="AA285" s="201"/>
      <c r="AB285" s="200"/>
      <c r="AC285" s="200"/>
    </row>
    <row r="286" ht="15.0" customHeight="1">
      <c r="A286" s="210">
        <f t="shared" si="1"/>
        <v>284</v>
      </c>
      <c r="B286" s="217"/>
      <c r="C286" s="217"/>
      <c r="D286" s="240"/>
      <c r="E286" s="241"/>
      <c r="F286" s="217"/>
      <c r="G286" s="207"/>
      <c r="H286" s="209"/>
      <c r="I286" s="209"/>
      <c r="J286" s="209"/>
      <c r="K286" s="208" t="str">
        <f>IF(Errors!$I286=0,SourceData!$B$42,VLOOKUP(Errors!$I286,SourceData!$A$2:$B$40,2,FALSE))</f>
        <v>Please select ERROR CODE column "I"</v>
      </c>
      <c r="L286" s="207"/>
      <c r="M286" s="209"/>
      <c r="N286" s="209"/>
      <c r="O286" s="209"/>
      <c r="P286" s="209"/>
      <c r="Q286" s="209"/>
      <c r="R286" s="217"/>
      <c r="S286" s="217"/>
      <c r="T286" s="217"/>
      <c r="U286" s="199"/>
      <c r="V286" s="200"/>
      <c r="W286" s="200"/>
      <c r="X286" s="200"/>
      <c r="Y286" s="200"/>
      <c r="Z286" s="200"/>
      <c r="AA286" s="201"/>
      <c r="AB286" s="200"/>
      <c r="AC286" s="200"/>
    </row>
    <row r="287" ht="15.0" customHeight="1">
      <c r="A287" s="210">
        <f t="shared" si="1"/>
        <v>285</v>
      </c>
      <c r="B287" s="217"/>
      <c r="C287" s="217"/>
      <c r="D287" s="240"/>
      <c r="E287" s="241"/>
      <c r="F287" s="217"/>
      <c r="G287" s="207"/>
      <c r="H287" s="209"/>
      <c r="I287" s="209"/>
      <c r="J287" s="209"/>
      <c r="K287" s="208" t="str">
        <f>IF(Errors!$I287=0,SourceData!$B$42,VLOOKUP(Errors!$I287,SourceData!$A$2:$B$40,2,FALSE))</f>
        <v>Please select ERROR CODE column "I"</v>
      </c>
      <c r="L287" s="207"/>
      <c r="M287" s="209"/>
      <c r="N287" s="209"/>
      <c r="O287" s="209"/>
      <c r="P287" s="209"/>
      <c r="Q287" s="209"/>
      <c r="R287" s="217"/>
      <c r="S287" s="217"/>
      <c r="T287" s="217"/>
      <c r="U287" s="199"/>
      <c r="V287" s="200"/>
      <c r="W287" s="200"/>
      <c r="X287" s="200"/>
      <c r="Y287" s="200"/>
      <c r="Z287" s="200"/>
      <c r="AA287" s="201"/>
      <c r="AB287" s="200"/>
      <c r="AC287" s="200"/>
    </row>
    <row r="288" ht="15.0" customHeight="1">
      <c r="A288" s="210">
        <f t="shared" si="1"/>
        <v>286</v>
      </c>
      <c r="B288" s="217"/>
      <c r="C288" s="217"/>
      <c r="D288" s="240"/>
      <c r="E288" s="241"/>
      <c r="F288" s="217"/>
      <c r="G288" s="207"/>
      <c r="H288" s="209"/>
      <c r="I288" s="209"/>
      <c r="J288" s="209"/>
      <c r="K288" s="208" t="str">
        <f>IF(Errors!$I288=0,SourceData!$B$42,VLOOKUP(Errors!$I288,SourceData!$A$2:$B$40,2,FALSE))</f>
        <v>Please select ERROR CODE column "I"</v>
      </c>
      <c r="L288" s="207"/>
      <c r="M288" s="209"/>
      <c r="N288" s="209"/>
      <c r="O288" s="209"/>
      <c r="P288" s="209"/>
      <c r="Q288" s="209"/>
      <c r="R288" s="217"/>
      <c r="S288" s="217"/>
      <c r="T288" s="217"/>
      <c r="U288" s="199"/>
      <c r="V288" s="200"/>
      <c r="W288" s="200"/>
      <c r="X288" s="200"/>
      <c r="Y288" s="200"/>
      <c r="Z288" s="200"/>
      <c r="AA288" s="201"/>
      <c r="AB288" s="200"/>
      <c r="AC288" s="200"/>
    </row>
    <row r="289" ht="15.0" customHeight="1">
      <c r="A289" s="210">
        <f t="shared" si="1"/>
        <v>287</v>
      </c>
      <c r="B289" s="217"/>
      <c r="C289" s="217"/>
      <c r="D289" s="240"/>
      <c r="E289" s="241"/>
      <c r="F289" s="217"/>
      <c r="G289" s="207"/>
      <c r="H289" s="209"/>
      <c r="I289" s="209"/>
      <c r="J289" s="209"/>
      <c r="K289" s="208" t="str">
        <f>IF(Errors!$I289=0,SourceData!$B$42,VLOOKUP(Errors!$I289,SourceData!$A$2:$B$40,2,FALSE))</f>
        <v>Please select ERROR CODE column "I"</v>
      </c>
      <c r="L289" s="207"/>
      <c r="M289" s="209"/>
      <c r="N289" s="209"/>
      <c r="O289" s="209"/>
      <c r="P289" s="209"/>
      <c r="Q289" s="209"/>
      <c r="R289" s="217"/>
      <c r="S289" s="217"/>
      <c r="T289" s="217"/>
      <c r="U289" s="199"/>
      <c r="V289" s="200"/>
      <c r="W289" s="200"/>
      <c r="X289" s="200"/>
      <c r="Y289" s="200"/>
      <c r="Z289" s="200"/>
      <c r="AA289" s="201"/>
      <c r="AB289" s="200"/>
      <c r="AC289" s="200"/>
    </row>
    <row r="290" ht="15.0" customHeight="1">
      <c r="A290" s="210">
        <f t="shared" si="1"/>
        <v>288</v>
      </c>
      <c r="B290" s="217"/>
      <c r="C290" s="217"/>
      <c r="D290" s="240"/>
      <c r="E290" s="241"/>
      <c r="F290" s="217"/>
      <c r="G290" s="207"/>
      <c r="H290" s="209"/>
      <c r="I290" s="209"/>
      <c r="J290" s="209"/>
      <c r="K290" s="208" t="str">
        <f>IF(Errors!$I290=0,SourceData!$B$42,VLOOKUP(Errors!$I290,SourceData!$A$2:$B$40,2,FALSE))</f>
        <v>Please select ERROR CODE column "I"</v>
      </c>
      <c r="L290" s="207"/>
      <c r="M290" s="209"/>
      <c r="N290" s="209"/>
      <c r="O290" s="209"/>
      <c r="P290" s="209"/>
      <c r="Q290" s="209"/>
      <c r="R290" s="217"/>
      <c r="S290" s="217"/>
      <c r="T290" s="217"/>
      <c r="U290" s="199"/>
      <c r="V290" s="200"/>
      <c r="W290" s="200"/>
      <c r="X290" s="200"/>
      <c r="Y290" s="200"/>
      <c r="Z290" s="200"/>
      <c r="AA290" s="201"/>
      <c r="AB290" s="200"/>
      <c r="AC290" s="200"/>
    </row>
    <row r="291" ht="15.0" customHeight="1">
      <c r="A291" s="222">
        <f t="shared" si="1"/>
        <v>289</v>
      </c>
      <c r="B291" s="217"/>
      <c r="C291" s="217"/>
      <c r="D291" s="240"/>
      <c r="E291" s="241"/>
      <c r="F291" s="217"/>
      <c r="G291" s="207"/>
      <c r="H291" s="209"/>
      <c r="I291" s="209"/>
      <c r="J291" s="209"/>
      <c r="K291" s="208" t="str">
        <f>IF(Errors!$I291=0,SourceData!$B$42,VLOOKUP(Errors!$I291,SourceData!$A$2:$B$40,2,FALSE))</f>
        <v>Please select ERROR CODE column "I"</v>
      </c>
      <c r="L291" s="207"/>
      <c r="M291" s="209"/>
      <c r="N291" s="209"/>
      <c r="O291" s="209"/>
      <c r="P291" s="209"/>
      <c r="Q291" s="209"/>
      <c r="R291" s="217"/>
      <c r="S291" s="217"/>
      <c r="T291" s="217"/>
      <c r="U291" s="199"/>
      <c r="V291" s="200"/>
      <c r="W291" s="200"/>
      <c r="X291" s="200"/>
      <c r="Y291" s="200"/>
      <c r="Z291" s="200"/>
      <c r="AA291" s="201"/>
      <c r="AB291" s="200"/>
      <c r="AC291" s="200"/>
    </row>
    <row r="292" ht="15.0" customHeight="1">
      <c r="A292" s="210">
        <f t="shared" si="1"/>
        <v>290</v>
      </c>
      <c r="B292" s="217"/>
      <c r="C292" s="217"/>
      <c r="D292" s="240"/>
      <c r="E292" s="241"/>
      <c r="F292" s="217"/>
      <c r="G292" s="207"/>
      <c r="H292" s="209"/>
      <c r="I292" s="209"/>
      <c r="J292" s="209"/>
      <c r="K292" s="208" t="str">
        <f>IF(Errors!$I292=0,SourceData!$B$42,VLOOKUP(Errors!$I292,SourceData!$A$2:$B$40,2,FALSE))</f>
        <v>Please select ERROR CODE column "I"</v>
      </c>
      <c r="L292" s="207"/>
      <c r="M292" s="209"/>
      <c r="N292" s="209"/>
      <c r="O292" s="209"/>
      <c r="P292" s="209"/>
      <c r="Q292" s="209"/>
      <c r="R292" s="217"/>
      <c r="S292" s="217"/>
      <c r="T292" s="217"/>
      <c r="U292" s="199"/>
      <c r="V292" s="200"/>
      <c r="W292" s="200"/>
      <c r="X292" s="200"/>
      <c r="Y292" s="200"/>
      <c r="Z292" s="200"/>
      <c r="AA292" s="201"/>
      <c r="AB292" s="200"/>
      <c r="AC292" s="200"/>
    </row>
    <row r="293" ht="15.0" customHeight="1">
      <c r="A293" s="210">
        <f t="shared" si="1"/>
        <v>291</v>
      </c>
      <c r="B293" s="217"/>
      <c r="C293" s="217"/>
      <c r="D293" s="240"/>
      <c r="E293" s="241"/>
      <c r="F293" s="217"/>
      <c r="G293" s="207"/>
      <c r="H293" s="209"/>
      <c r="I293" s="209"/>
      <c r="J293" s="209"/>
      <c r="K293" s="208" t="str">
        <f>IF(Errors!$I293=0,SourceData!$B$42,VLOOKUP(Errors!$I293,SourceData!$A$2:$B$40,2,FALSE))</f>
        <v>Please select ERROR CODE column "I"</v>
      </c>
      <c r="L293" s="207"/>
      <c r="M293" s="209"/>
      <c r="N293" s="209"/>
      <c r="O293" s="209"/>
      <c r="P293" s="209"/>
      <c r="Q293" s="209"/>
      <c r="R293" s="217"/>
      <c r="S293" s="217"/>
      <c r="T293" s="217"/>
      <c r="U293" s="199"/>
      <c r="V293" s="200"/>
      <c r="W293" s="200"/>
      <c r="X293" s="200"/>
      <c r="Y293" s="200"/>
      <c r="Z293" s="200"/>
      <c r="AA293" s="201"/>
      <c r="AB293" s="200"/>
      <c r="AC293" s="200"/>
    </row>
    <row r="294" ht="15.0" customHeight="1">
      <c r="A294" s="210">
        <f t="shared" si="1"/>
        <v>292</v>
      </c>
      <c r="B294" s="217"/>
      <c r="C294" s="217"/>
      <c r="D294" s="240"/>
      <c r="E294" s="241"/>
      <c r="F294" s="217"/>
      <c r="G294" s="207"/>
      <c r="H294" s="209"/>
      <c r="I294" s="209"/>
      <c r="J294" s="209"/>
      <c r="K294" s="208" t="str">
        <f>IF(Errors!$I294=0,SourceData!$B$42,VLOOKUP(Errors!$I294,SourceData!$A$2:$B$40,2,FALSE))</f>
        <v>Please select ERROR CODE column "I"</v>
      </c>
      <c r="L294" s="207"/>
      <c r="M294" s="209"/>
      <c r="N294" s="209"/>
      <c r="O294" s="209"/>
      <c r="P294" s="209"/>
      <c r="Q294" s="209"/>
      <c r="R294" s="217"/>
      <c r="S294" s="217"/>
      <c r="T294" s="217"/>
      <c r="U294" s="199"/>
      <c r="V294" s="200"/>
      <c r="W294" s="200"/>
      <c r="X294" s="200"/>
      <c r="Y294" s="200"/>
      <c r="Z294" s="200"/>
      <c r="AA294" s="201"/>
      <c r="AB294" s="200"/>
      <c r="AC294" s="200"/>
    </row>
    <row r="295" ht="15.0" customHeight="1">
      <c r="A295" s="210">
        <f t="shared" si="1"/>
        <v>293</v>
      </c>
      <c r="B295" s="217"/>
      <c r="C295" s="217"/>
      <c r="D295" s="240"/>
      <c r="E295" s="241"/>
      <c r="F295" s="217"/>
      <c r="G295" s="207"/>
      <c r="H295" s="209"/>
      <c r="I295" s="209"/>
      <c r="J295" s="209"/>
      <c r="K295" s="208" t="str">
        <f>IF(Errors!$I295=0,SourceData!$B$42,VLOOKUP(Errors!$I295,SourceData!$A$2:$B$40,2,FALSE))</f>
        <v>Please select ERROR CODE column "I"</v>
      </c>
      <c r="L295" s="207"/>
      <c r="M295" s="209"/>
      <c r="N295" s="209"/>
      <c r="O295" s="209"/>
      <c r="P295" s="209"/>
      <c r="Q295" s="242"/>
      <c r="R295" s="217"/>
      <c r="S295" s="217"/>
      <c r="T295" s="217"/>
      <c r="U295" s="199"/>
      <c r="V295" s="200"/>
      <c r="W295" s="200"/>
      <c r="X295" s="200"/>
      <c r="Y295" s="200"/>
      <c r="Z295" s="200"/>
      <c r="AA295" s="201"/>
      <c r="AB295" s="200"/>
      <c r="AC295" s="200"/>
    </row>
    <row r="296" ht="15.0" customHeight="1">
      <c r="A296" s="210">
        <f t="shared" si="1"/>
        <v>294</v>
      </c>
      <c r="B296" s="217"/>
      <c r="C296" s="217"/>
      <c r="D296" s="240"/>
      <c r="E296" s="241"/>
      <c r="F296" s="217"/>
      <c r="G296" s="207"/>
      <c r="H296" s="209"/>
      <c r="I296" s="209"/>
      <c r="J296" s="209"/>
      <c r="K296" s="208" t="str">
        <f>IF(Errors!$I296=0,SourceData!$B$42,VLOOKUP(Errors!$I296,SourceData!$A$2:$B$40,2,FALSE))</f>
        <v>Please select ERROR CODE column "I"</v>
      </c>
      <c r="L296" s="207"/>
      <c r="M296" s="209"/>
      <c r="N296" s="209"/>
      <c r="O296" s="209"/>
      <c r="P296" s="209"/>
      <c r="Q296" s="209"/>
      <c r="R296" s="217"/>
      <c r="S296" s="217"/>
      <c r="T296" s="217"/>
      <c r="U296" s="199"/>
      <c r="V296" s="200"/>
      <c r="W296" s="200"/>
      <c r="X296" s="200"/>
      <c r="Y296" s="200"/>
      <c r="Z296" s="200"/>
      <c r="AA296" s="201"/>
      <c r="AB296" s="200"/>
      <c r="AC296" s="200"/>
    </row>
    <row r="297" ht="15.0" customHeight="1">
      <c r="A297" s="210">
        <f t="shared" si="1"/>
        <v>295</v>
      </c>
      <c r="B297" s="217"/>
      <c r="C297" s="217"/>
      <c r="D297" s="240"/>
      <c r="E297" s="241"/>
      <c r="F297" s="217"/>
      <c r="G297" s="207"/>
      <c r="H297" s="209"/>
      <c r="I297" s="209"/>
      <c r="J297" s="209"/>
      <c r="K297" s="208" t="str">
        <f>IF(Errors!$I297=0,SourceData!$B$42,VLOOKUP(Errors!$I297,SourceData!$A$2:$B$40,2,FALSE))</f>
        <v>Please select ERROR CODE column "I"</v>
      </c>
      <c r="L297" s="207"/>
      <c r="M297" s="209"/>
      <c r="N297" s="209"/>
      <c r="O297" s="209"/>
      <c r="P297" s="209"/>
      <c r="Q297" s="209"/>
      <c r="R297" s="217"/>
      <c r="S297" s="217"/>
      <c r="T297" s="217"/>
      <c r="U297" s="199"/>
      <c r="V297" s="200"/>
      <c r="W297" s="200"/>
      <c r="X297" s="200"/>
      <c r="Y297" s="200"/>
      <c r="Z297" s="200"/>
      <c r="AA297" s="201"/>
      <c r="AB297" s="200"/>
      <c r="AC297" s="200"/>
    </row>
    <row r="298" ht="15.0" customHeight="1">
      <c r="A298" s="210">
        <f t="shared" si="1"/>
        <v>296</v>
      </c>
      <c r="B298" s="217"/>
      <c r="C298" s="217"/>
      <c r="D298" s="240"/>
      <c r="E298" s="241"/>
      <c r="F298" s="217"/>
      <c r="G298" s="207"/>
      <c r="H298" s="209"/>
      <c r="I298" s="209"/>
      <c r="J298" s="209"/>
      <c r="K298" s="208" t="str">
        <f>IF(Errors!$I298=0,SourceData!$B$42,VLOOKUP(Errors!$I298,SourceData!$A$2:$B$40,2,FALSE))</f>
        <v>Please select ERROR CODE column "I"</v>
      </c>
      <c r="L298" s="207"/>
      <c r="M298" s="209"/>
      <c r="N298" s="209"/>
      <c r="O298" s="209"/>
      <c r="P298" s="209"/>
      <c r="Q298" s="209"/>
      <c r="R298" s="217"/>
      <c r="S298" s="217"/>
      <c r="T298" s="217"/>
      <c r="U298" s="199"/>
      <c r="V298" s="200"/>
      <c r="W298" s="200"/>
      <c r="X298" s="200"/>
      <c r="Y298" s="200"/>
      <c r="Z298" s="200"/>
      <c r="AA298" s="201"/>
      <c r="AB298" s="200"/>
      <c r="AC298" s="200"/>
    </row>
    <row r="299" ht="15.0" customHeight="1">
      <c r="A299" s="210">
        <f t="shared" si="1"/>
        <v>297</v>
      </c>
      <c r="B299" s="217"/>
      <c r="C299" s="217"/>
      <c r="D299" s="240"/>
      <c r="E299" s="241"/>
      <c r="F299" s="217"/>
      <c r="G299" s="207"/>
      <c r="H299" s="209"/>
      <c r="I299" s="209"/>
      <c r="J299" s="209"/>
      <c r="K299" s="208" t="str">
        <f>IF(Errors!$I299=0,SourceData!$B$42,VLOOKUP(Errors!$I299,SourceData!$A$2:$B$40,2,FALSE))</f>
        <v>Please select ERROR CODE column "I"</v>
      </c>
      <c r="L299" s="207"/>
      <c r="M299" s="209"/>
      <c r="N299" s="209"/>
      <c r="O299" s="209"/>
      <c r="P299" s="209"/>
      <c r="Q299" s="209"/>
      <c r="R299" s="217"/>
      <c r="S299" s="217"/>
      <c r="T299" s="217"/>
      <c r="U299" s="199"/>
      <c r="V299" s="200"/>
      <c r="W299" s="200"/>
      <c r="X299" s="200"/>
      <c r="Y299" s="200"/>
      <c r="Z299" s="200"/>
      <c r="AA299" s="201"/>
      <c r="AB299" s="200"/>
      <c r="AC299" s="200"/>
    </row>
    <row r="300" ht="15.0" customHeight="1">
      <c r="A300" s="210">
        <f t="shared" si="1"/>
        <v>298</v>
      </c>
      <c r="B300" s="217"/>
      <c r="C300" s="217"/>
      <c r="D300" s="240"/>
      <c r="E300" s="241"/>
      <c r="F300" s="217"/>
      <c r="G300" s="207"/>
      <c r="H300" s="209"/>
      <c r="I300" s="209"/>
      <c r="J300" s="209"/>
      <c r="K300" s="208" t="str">
        <f>IF(Errors!$I300=0,SourceData!$B$42,VLOOKUP(Errors!$I300,SourceData!$A$2:$B$40,2,FALSE))</f>
        <v>Please select ERROR CODE column "I"</v>
      </c>
      <c r="L300" s="207"/>
      <c r="M300" s="209"/>
      <c r="N300" s="209"/>
      <c r="O300" s="209"/>
      <c r="P300" s="209"/>
      <c r="Q300" s="209"/>
      <c r="R300" s="217"/>
      <c r="S300" s="217"/>
      <c r="T300" s="217"/>
      <c r="U300" s="199"/>
      <c r="V300" s="200"/>
      <c r="W300" s="200"/>
      <c r="X300" s="200"/>
      <c r="Y300" s="200"/>
      <c r="Z300" s="200"/>
      <c r="AA300" s="201"/>
      <c r="AB300" s="200"/>
      <c r="AC300" s="200"/>
    </row>
    <row r="301" ht="15.0" customHeight="1">
      <c r="A301" s="210">
        <f t="shared" si="1"/>
        <v>299</v>
      </c>
      <c r="B301" s="217"/>
      <c r="C301" s="217"/>
      <c r="D301" s="240"/>
      <c r="E301" s="241"/>
      <c r="F301" s="217"/>
      <c r="G301" s="207"/>
      <c r="H301" s="209"/>
      <c r="I301" s="209"/>
      <c r="J301" s="209"/>
      <c r="K301" s="208" t="str">
        <f>IF(Errors!$I301=0,SourceData!$B$42,VLOOKUP(Errors!$I301,SourceData!$A$2:$B$40,2,FALSE))</f>
        <v>Please select ERROR CODE column "I"</v>
      </c>
      <c r="L301" s="207"/>
      <c r="M301" s="209"/>
      <c r="N301" s="242"/>
      <c r="O301" s="209"/>
      <c r="P301" s="209"/>
      <c r="Q301" s="242"/>
      <c r="R301" s="217"/>
      <c r="S301" s="217"/>
      <c r="T301" s="217"/>
      <c r="U301" s="199"/>
      <c r="V301" s="200"/>
      <c r="W301" s="200"/>
      <c r="X301" s="200"/>
      <c r="Y301" s="200"/>
      <c r="Z301" s="200"/>
      <c r="AA301" s="201"/>
      <c r="AB301" s="200"/>
      <c r="AC301" s="200"/>
    </row>
    <row r="302" ht="15.0" customHeight="1">
      <c r="A302" s="210">
        <f t="shared" si="1"/>
        <v>300</v>
      </c>
      <c r="B302" s="217"/>
      <c r="C302" s="217"/>
      <c r="D302" s="240"/>
      <c r="E302" s="241"/>
      <c r="F302" s="217"/>
      <c r="G302" s="207"/>
      <c r="H302" s="209"/>
      <c r="I302" s="209"/>
      <c r="J302" s="209"/>
      <c r="K302" s="208" t="str">
        <f>IF(Errors!$I302=0,SourceData!$B$42,VLOOKUP(Errors!$I302,SourceData!$A$2:$B$40,2,FALSE))</f>
        <v>Please select ERROR CODE column "I"</v>
      </c>
      <c r="L302" s="207"/>
      <c r="M302" s="209"/>
      <c r="N302" s="242"/>
      <c r="O302" s="209"/>
      <c r="P302" s="209"/>
      <c r="Q302" s="242"/>
      <c r="R302" s="217"/>
      <c r="S302" s="217"/>
      <c r="T302" s="217"/>
      <c r="U302" s="199"/>
      <c r="V302" s="200"/>
      <c r="W302" s="200"/>
      <c r="X302" s="200"/>
      <c r="Y302" s="200"/>
      <c r="Z302" s="200"/>
      <c r="AA302" s="201"/>
      <c r="AB302" s="200"/>
      <c r="AC302" s="200"/>
    </row>
    <row r="303" ht="15.0" customHeight="1">
      <c r="A303" s="210">
        <f t="shared" si="1"/>
        <v>301</v>
      </c>
      <c r="B303" s="217"/>
      <c r="C303" s="217"/>
      <c r="D303" s="240"/>
      <c r="E303" s="241"/>
      <c r="F303" s="217"/>
      <c r="G303" s="207"/>
      <c r="H303" s="209"/>
      <c r="I303" s="209"/>
      <c r="J303" s="209"/>
      <c r="K303" s="208" t="str">
        <f>IF(Errors!$I303=0,SourceData!$B$42,VLOOKUP(Errors!$I303,SourceData!$A$2:$B$40,2,FALSE))</f>
        <v>Please select ERROR CODE column "I"</v>
      </c>
      <c r="L303" s="207"/>
      <c r="M303" s="209"/>
      <c r="N303" s="242"/>
      <c r="O303" s="209"/>
      <c r="P303" s="209"/>
      <c r="Q303" s="242"/>
      <c r="R303" s="217"/>
      <c r="S303" s="217"/>
      <c r="T303" s="217"/>
      <c r="U303" s="199"/>
      <c r="V303" s="200"/>
      <c r="W303" s="200"/>
      <c r="X303" s="200"/>
      <c r="Y303" s="200"/>
      <c r="Z303" s="200"/>
      <c r="AA303" s="201"/>
      <c r="AB303" s="200"/>
      <c r="AC303" s="200"/>
    </row>
    <row r="304" ht="15.0" customHeight="1">
      <c r="A304" s="210">
        <f t="shared" si="1"/>
        <v>302</v>
      </c>
      <c r="B304" s="217"/>
      <c r="C304" s="217"/>
      <c r="D304" s="240"/>
      <c r="E304" s="241"/>
      <c r="F304" s="217"/>
      <c r="G304" s="209"/>
      <c r="H304" s="209"/>
      <c r="I304" s="209"/>
      <c r="J304" s="209"/>
      <c r="K304" s="208" t="str">
        <f>IF(Errors!$I304=0,SourceData!$B$42,VLOOKUP(Errors!$I304,SourceData!$A$2:$B$40,2,FALSE))</f>
        <v>Please select ERROR CODE column "I"</v>
      </c>
      <c r="L304" s="207"/>
      <c r="M304" s="209"/>
      <c r="N304" s="209"/>
      <c r="O304" s="209"/>
      <c r="P304" s="209"/>
      <c r="Q304" s="209"/>
      <c r="R304" s="217"/>
      <c r="S304" s="217"/>
      <c r="T304" s="217"/>
      <c r="U304" s="199"/>
      <c r="V304" s="200"/>
      <c r="W304" s="200"/>
      <c r="X304" s="200"/>
      <c r="Y304" s="200"/>
      <c r="Z304" s="200"/>
      <c r="AA304" s="201"/>
      <c r="AB304" s="200"/>
      <c r="AC304" s="200"/>
    </row>
    <row r="305" ht="15.0" customHeight="1">
      <c r="A305" s="222">
        <f t="shared" si="1"/>
        <v>303</v>
      </c>
      <c r="B305" s="217"/>
      <c r="C305" s="217"/>
      <c r="D305" s="240"/>
      <c r="E305" s="241"/>
      <c r="F305" s="217"/>
      <c r="G305" s="207"/>
      <c r="H305" s="209"/>
      <c r="I305" s="209"/>
      <c r="J305" s="209"/>
      <c r="K305" s="208" t="str">
        <f>IF(Errors!$I305=0,SourceData!$B$42,VLOOKUP(Errors!$I305,SourceData!$A$2:$B$40,2,FALSE))</f>
        <v>Please select ERROR CODE column "I"</v>
      </c>
      <c r="L305" s="207"/>
      <c r="M305" s="209"/>
      <c r="N305" s="242"/>
      <c r="O305" s="209"/>
      <c r="P305" s="209"/>
      <c r="Q305" s="242"/>
      <c r="R305" s="217"/>
      <c r="S305" s="217"/>
      <c r="T305" s="217"/>
      <c r="U305" s="199"/>
      <c r="V305" s="200"/>
      <c r="W305" s="200"/>
      <c r="X305" s="200"/>
      <c r="Y305" s="200"/>
      <c r="Z305" s="200"/>
      <c r="AA305" s="201"/>
      <c r="AB305" s="200"/>
      <c r="AC305" s="200"/>
    </row>
    <row r="306" ht="15.0" customHeight="1">
      <c r="A306" s="210">
        <f t="shared" si="1"/>
        <v>304</v>
      </c>
      <c r="B306" s="217"/>
      <c r="C306" s="217"/>
      <c r="D306" s="240"/>
      <c r="E306" s="241"/>
      <c r="F306" s="217"/>
      <c r="G306" s="207"/>
      <c r="H306" s="209"/>
      <c r="I306" s="209"/>
      <c r="J306" s="209"/>
      <c r="K306" s="208" t="str">
        <f>IF(Errors!$I306=0,SourceData!$B$42,VLOOKUP(Errors!$I306,SourceData!$A$2:$B$40,2,FALSE))</f>
        <v>Please select ERROR CODE column "I"</v>
      </c>
      <c r="L306" s="207"/>
      <c r="M306" s="209"/>
      <c r="N306" s="242"/>
      <c r="O306" s="209"/>
      <c r="P306" s="209"/>
      <c r="Q306" s="242"/>
      <c r="R306" s="217"/>
      <c r="S306" s="217"/>
      <c r="T306" s="217"/>
      <c r="U306" s="199"/>
      <c r="V306" s="200"/>
      <c r="W306" s="200"/>
      <c r="X306" s="200"/>
      <c r="Y306" s="200"/>
      <c r="Z306" s="200"/>
      <c r="AA306" s="201"/>
      <c r="AB306" s="200"/>
      <c r="AC306" s="200"/>
    </row>
    <row r="307" ht="15.0" customHeight="1">
      <c r="A307" s="210">
        <f t="shared" si="1"/>
        <v>305</v>
      </c>
      <c r="B307" s="217"/>
      <c r="C307" s="217"/>
      <c r="D307" s="240"/>
      <c r="E307" s="241"/>
      <c r="F307" s="217"/>
      <c r="G307" s="207"/>
      <c r="H307" s="209"/>
      <c r="I307" s="209"/>
      <c r="J307" s="209"/>
      <c r="K307" s="208" t="str">
        <f>IF(Errors!$I307=0,SourceData!$B$42,VLOOKUP(Errors!$I307,SourceData!$A$2:$B$40,2,FALSE))</f>
        <v>Please select ERROR CODE column "I"</v>
      </c>
      <c r="L307" s="207"/>
      <c r="M307" s="209"/>
      <c r="N307" s="209"/>
      <c r="O307" s="209"/>
      <c r="P307" s="209"/>
      <c r="Q307" s="209"/>
      <c r="R307" s="217"/>
      <c r="S307" s="217"/>
      <c r="T307" s="217"/>
      <c r="U307" s="199"/>
      <c r="V307" s="200"/>
      <c r="W307" s="200"/>
      <c r="X307" s="200"/>
      <c r="Y307" s="200"/>
      <c r="Z307" s="200"/>
      <c r="AA307" s="201"/>
      <c r="AB307" s="200"/>
      <c r="AC307" s="200"/>
    </row>
    <row r="308" ht="15.0" customHeight="1">
      <c r="A308" s="210">
        <f t="shared" si="1"/>
        <v>306</v>
      </c>
      <c r="B308" s="217"/>
      <c r="C308" s="217"/>
      <c r="D308" s="240"/>
      <c r="E308" s="241"/>
      <c r="F308" s="217"/>
      <c r="G308" s="207"/>
      <c r="H308" s="209"/>
      <c r="I308" s="209"/>
      <c r="J308" s="209"/>
      <c r="K308" s="208" t="str">
        <f>IF(Errors!$I308=0,SourceData!$B$42,VLOOKUP(Errors!$I308,SourceData!$A$2:$B$40,2,FALSE))</f>
        <v>Please select ERROR CODE column "I"</v>
      </c>
      <c r="L308" s="207"/>
      <c r="M308" s="209"/>
      <c r="N308" s="242"/>
      <c r="O308" s="209"/>
      <c r="P308" s="209"/>
      <c r="Q308" s="242"/>
      <c r="R308" s="217"/>
      <c r="S308" s="217"/>
      <c r="T308" s="217"/>
      <c r="U308" s="199"/>
      <c r="V308" s="200"/>
      <c r="W308" s="200"/>
      <c r="X308" s="200"/>
      <c r="Y308" s="200"/>
      <c r="Z308" s="200"/>
      <c r="AA308" s="201"/>
      <c r="AB308" s="200"/>
      <c r="AC308" s="200"/>
    </row>
    <row r="309" ht="15.0" customHeight="1">
      <c r="A309" s="210">
        <f t="shared" si="1"/>
        <v>307</v>
      </c>
      <c r="B309" s="217"/>
      <c r="C309" s="217"/>
      <c r="D309" s="240"/>
      <c r="E309" s="241"/>
      <c r="F309" s="217"/>
      <c r="G309" s="207"/>
      <c r="H309" s="209"/>
      <c r="I309" s="209"/>
      <c r="J309" s="209"/>
      <c r="K309" s="208" t="str">
        <f>IF(Errors!$I309=0,SourceData!$B$42,VLOOKUP(Errors!$I309,SourceData!$A$2:$B$40,2,FALSE))</f>
        <v>Please select ERROR CODE column "I"</v>
      </c>
      <c r="L309" s="207"/>
      <c r="M309" s="209"/>
      <c r="N309" s="242"/>
      <c r="O309" s="209"/>
      <c r="P309" s="242"/>
      <c r="Q309" s="242"/>
      <c r="R309" s="217"/>
      <c r="S309" s="217"/>
      <c r="T309" s="217"/>
      <c r="U309" s="199"/>
      <c r="V309" s="200"/>
      <c r="W309" s="200"/>
      <c r="X309" s="200"/>
      <c r="Y309" s="200"/>
      <c r="Z309" s="200"/>
      <c r="AA309" s="201"/>
      <c r="AB309" s="200"/>
      <c r="AC309" s="200"/>
    </row>
    <row r="310" ht="15.0" customHeight="1">
      <c r="A310" s="210">
        <f t="shared" si="1"/>
        <v>308</v>
      </c>
      <c r="B310" s="217"/>
      <c r="C310" s="217"/>
      <c r="D310" s="240"/>
      <c r="E310" s="241"/>
      <c r="F310" s="217"/>
      <c r="G310" s="207"/>
      <c r="H310" s="209"/>
      <c r="I310" s="209"/>
      <c r="J310" s="209"/>
      <c r="K310" s="208" t="str">
        <f>IF(Errors!$I310=0,SourceData!$B$42,VLOOKUP(Errors!$I310,SourceData!$A$2:$B$40,2,FALSE))</f>
        <v>Please select ERROR CODE column "I"</v>
      </c>
      <c r="L310" s="207"/>
      <c r="M310" s="209"/>
      <c r="N310" s="209"/>
      <c r="O310" s="209"/>
      <c r="P310" s="209"/>
      <c r="Q310" s="209"/>
      <c r="R310" s="217"/>
      <c r="S310" s="217"/>
      <c r="T310" s="217"/>
      <c r="U310" s="199"/>
      <c r="V310" s="200"/>
      <c r="W310" s="200"/>
      <c r="X310" s="200"/>
      <c r="Y310" s="200"/>
      <c r="Z310" s="200"/>
      <c r="AA310" s="201"/>
      <c r="AB310" s="200"/>
      <c r="AC310" s="200"/>
    </row>
    <row r="311" ht="15.0" customHeight="1">
      <c r="A311" s="210">
        <f t="shared" si="1"/>
        <v>309</v>
      </c>
      <c r="B311" s="217"/>
      <c r="C311" s="217"/>
      <c r="D311" s="240"/>
      <c r="E311" s="241"/>
      <c r="F311" s="217"/>
      <c r="G311" s="207"/>
      <c r="H311" s="209"/>
      <c r="I311" s="209"/>
      <c r="J311" s="209"/>
      <c r="K311" s="208" t="str">
        <f>IF(Errors!$I311=0,SourceData!$B$42,VLOOKUP(Errors!$I311,SourceData!$A$2:$B$40,2,FALSE))</f>
        <v>Please select ERROR CODE column "I"</v>
      </c>
      <c r="L311" s="207"/>
      <c r="M311" s="209"/>
      <c r="N311" s="209"/>
      <c r="O311" s="209"/>
      <c r="P311" s="209"/>
      <c r="Q311" s="209"/>
      <c r="R311" s="217"/>
      <c r="S311" s="217"/>
      <c r="T311" s="217"/>
      <c r="U311" s="199"/>
      <c r="V311" s="200"/>
      <c r="W311" s="200"/>
      <c r="X311" s="200"/>
      <c r="Y311" s="200"/>
      <c r="Z311" s="200"/>
      <c r="AA311" s="201"/>
      <c r="AB311" s="200"/>
      <c r="AC311" s="200"/>
    </row>
    <row r="312" ht="15.0" customHeight="1">
      <c r="A312" s="210">
        <f t="shared" si="1"/>
        <v>310</v>
      </c>
      <c r="B312" s="217"/>
      <c r="C312" s="217"/>
      <c r="D312" s="240"/>
      <c r="E312" s="241"/>
      <c r="F312" s="217"/>
      <c r="G312" s="207"/>
      <c r="H312" s="209"/>
      <c r="I312" s="209"/>
      <c r="J312" s="209"/>
      <c r="K312" s="208" t="str">
        <f>IF(Errors!$I312=0,SourceData!$B$42,VLOOKUP(Errors!$I312,SourceData!$A$2:$B$40,2,FALSE))</f>
        <v>Please select ERROR CODE column "I"</v>
      </c>
      <c r="L312" s="207"/>
      <c r="M312" s="209"/>
      <c r="N312" s="242"/>
      <c r="O312" s="209"/>
      <c r="P312" s="209"/>
      <c r="Q312" s="242"/>
      <c r="R312" s="217"/>
      <c r="S312" s="217"/>
      <c r="T312" s="217"/>
      <c r="U312" s="199"/>
      <c r="V312" s="200"/>
      <c r="W312" s="200"/>
      <c r="X312" s="200"/>
      <c r="Y312" s="200"/>
      <c r="Z312" s="200"/>
      <c r="AA312" s="201"/>
      <c r="AB312" s="200"/>
      <c r="AC312" s="200"/>
    </row>
    <row r="313" ht="15.0" customHeight="1">
      <c r="A313" s="210">
        <f t="shared" si="1"/>
        <v>311</v>
      </c>
      <c r="B313" s="217"/>
      <c r="C313" s="217"/>
      <c r="D313" s="240"/>
      <c r="E313" s="241"/>
      <c r="F313" s="217"/>
      <c r="G313" s="207"/>
      <c r="H313" s="209"/>
      <c r="I313" s="209"/>
      <c r="J313" s="209"/>
      <c r="K313" s="208" t="str">
        <f>IF(Errors!$I313=0,SourceData!$B$42,VLOOKUP(Errors!$I313,SourceData!$A$2:$B$40,2,FALSE))</f>
        <v>Please select ERROR CODE column "I"</v>
      </c>
      <c r="L313" s="207"/>
      <c r="M313" s="209"/>
      <c r="N313" s="209"/>
      <c r="O313" s="209"/>
      <c r="P313" s="209"/>
      <c r="Q313" s="209"/>
      <c r="R313" s="217"/>
      <c r="S313" s="217"/>
      <c r="T313" s="217"/>
      <c r="U313" s="199"/>
      <c r="V313" s="200"/>
      <c r="W313" s="200"/>
      <c r="X313" s="200"/>
      <c r="Y313" s="200"/>
      <c r="Z313" s="200"/>
      <c r="AA313" s="201"/>
      <c r="AB313" s="200"/>
      <c r="AC313" s="200"/>
    </row>
    <row r="314" ht="15.0" customHeight="1">
      <c r="A314" s="210">
        <f t="shared" si="1"/>
        <v>312</v>
      </c>
      <c r="B314" s="217"/>
      <c r="C314" s="217"/>
      <c r="D314" s="240"/>
      <c r="E314" s="241"/>
      <c r="F314" s="217"/>
      <c r="G314" s="207"/>
      <c r="H314" s="209"/>
      <c r="I314" s="209"/>
      <c r="J314" s="209"/>
      <c r="K314" s="208" t="str">
        <f>IF(Errors!$I314=0,SourceData!$B$42,VLOOKUP(Errors!$I314,SourceData!$A$2:$B$40,2,FALSE))</f>
        <v>Please select ERROR CODE column "I"</v>
      </c>
      <c r="L314" s="207"/>
      <c r="M314" s="209"/>
      <c r="N314" s="209"/>
      <c r="O314" s="209"/>
      <c r="P314" s="209"/>
      <c r="Q314" s="209"/>
      <c r="R314" s="217"/>
      <c r="S314" s="217"/>
      <c r="T314" s="217"/>
      <c r="U314" s="199"/>
      <c r="V314" s="200"/>
      <c r="W314" s="200"/>
      <c r="X314" s="200"/>
      <c r="Y314" s="200"/>
      <c r="Z314" s="200"/>
      <c r="AA314" s="201"/>
      <c r="AB314" s="200"/>
      <c r="AC314" s="200"/>
    </row>
    <row r="315" ht="15.0" customHeight="1">
      <c r="A315" s="210">
        <f t="shared" si="1"/>
        <v>313</v>
      </c>
      <c r="B315" s="217"/>
      <c r="C315" s="217"/>
      <c r="D315" s="240"/>
      <c r="E315" s="241"/>
      <c r="F315" s="217"/>
      <c r="G315" s="207"/>
      <c r="H315" s="209"/>
      <c r="I315" s="209"/>
      <c r="J315" s="209"/>
      <c r="K315" s="208" t="str">
        <f>IF(Errors!$I315=0,SourceData!$B$42,VLOOKUP(Errors!$I315,SourceData!$A$2:$B$40,2,FALSE))</f>
        <v>Please select ERROR CODE column "I"</v>
      </c>
      <c r="L315" s="207"/>
      <c r="M315" s="209"/>
      <c r="N315" s="209"/>
      <c r="O315" s="209"/>
      <c r="P315" s="209"/>
      <c r="Q315" s="209"/>
      <c r="R315" s="217"/>
      <c r="S315" s="217"/>
      <c r="T315" s="217"/>
      <c r="U315" s="199"/>
      <c r="V315" s="200"/>
      <c r="W315" s="200"/>
      <c r="X315" s="200"/>
      <c r="Y315" s="200"/>
      <c r="Z315" s="200"/>
      <c r="AA315" s="201"/>
      <c r="AB315" s="200"/>
      <c r="AC315" s="200"/>
    </row>
    <row r="316" ht="15.0" customHeight="1">
      <c r="A316" s="210">
        <f t="shared" si="1"/>
        <v>314</v>
      </c>
      <c r="B316" s="217"/>
      <c r="C316" s="217"/>
      <c r="D316" s="240"/>
      <c r="E316" s="241"/>
      <c r="F316" s="217"/>
      <c r="G316" s="207"/>
      <c r="H316" s="209"/>
      <c r="I316" s="209"/>
      <c r="J316" s="209"/>
      <c r="K316" s="208" t="str">
        <f>IF(Errors!$I316=0,SourceData!$B$42,VLOOKUP(Errors!$I316,SourceData!$A$2:$B$40,2,FALSE))</f>
        <v>Please select ERROR CODE column "I"</v>
      </c>
      <c r="L316" s="207"/>
      <c r="M316" s="209"/>
      <c r="N316" s="209"/>
      <c r="O316" s="209"/>
      <c r="P316" s="209"/>
      <c r="Q316" s="209"/>
      <c r="R316" s="217"/>
      <c r="S316" s="217"/>
      <c r="T316" s="217"/>
      <c r="U316" s="199"/>
      <c r="V316" s="200"/>
      <c r="W316" s="200"/>
      <c r="X316" s="200"/>
      <c r="Y316" s="200"/>
      <c r="Z316" s="200"/>
      <c r="AA316" s="201"/>
      <c r="AB316" s="200"/>
      <c r="AC316" s="200"/>
    </row>
    <row r="317" ht="15.0" customHeight="1">
      <c r="A317" s="210">
        <f t="shared" si="1"/>
        <v>315</v>
      </c>
      <c r="B317" s="217"/>
      <c r="C317" s="217"/>
      <c r="D317" s="240"/>
      <c r="E317" s="241"/>
      <c r="F317" s="217"/>
      <c r="G317" s="209"/>
      <c r="H317" s="209"/>
      <c r="I317" s="209"/>
      <c r="J317" s="209"/>
      <c r="K317" s="208" t="str">
        <f>IF(Errors!$I317=0,SourceData!$B$42,VLOOKUP(Errors!$I317,SourceData!$A$2:$B$40,2,FALSE))</f>
        <v>Please select ERROR CODE column "I"</v>
      </c>
      <c r="L317" s="207"/>
      <c r="M317" s="209"/>
      <c r="N317" s="242"/>
      <c r="O317" s="209"/>
      <c r="P317" s="209"/>
      <c r="Q317" s="242"/>
      <c r="R317" s="217"/>
      <c r="S317" s="217"/>
      <c r="T317" s="217"/>
      <c r="U317" s="199"/>
      <c r="V317" s="200"/>
      <c r="W317" s="200"/>
      <c r="X317" s="200"/>
      <c r="Y317" s="200"/>
      <c r="Z317" s="200"/>
      <c r="AA317" s="201"/>
      <c r="AB317" s="200"/>
      <c r="AC317" s="200"/>
    </row>
    <row r="318" ht="15.0" customHeight="1">
      <c r="A318" s="210">
        <f t="shared" si="1"/>
        <v>316</v>
      </c>
      <c r="B318" s="217"/>
      <c r="C318" s="217"/>
      <c r="D318" s="240"/>
      <c r="E318" s="241"/>
      <c r="F318" s="217"/>
      <c r="G318" s="207"/>
      <c r="H318" s="209"/>
      <c r="I318" s="209"/>
      <c r="J318" s="209"/>
      <c r="K318" s="208" t="str">
        <f>IF(Errors!$I318=0,SourceData!$B$42,VLOOKUP(Errors!$I318,SourceData!$A$2:$B$40,2,FALSE))</f>
        <v>Please select ERROR CODE column "I"</v>
      </c>
      <c r="L318" s="207"/>
      <c r="M318" s="209"/>
      <c r="N318" s="209"/>
      <c r="O318" s="209"/>
      <c r="P318" s="209"/>
      <c r="Q318" s="209"/>
      <c r="R318" s="217"/>
      <c r="S318" s="217"/>
      <c r="T318" s="217"/>
      <c r="U318" s="199"/>
      <c r="V318" s="200"/>
      <c r="W318" s="200"/>
      <c r="X318" s="200"/>
      <c r="Y318" s="200"/>
      <c r="Z318" s="200"/>
      <c r="AA318" s="201"/>
      <c r="AB318" s="200"/>
      <c r="AC318" s="200"/>
    </row>
    <row r="319" ht="15.0" customHeight="1">
      <c r="A319" s="210">
        <f t="shared" si="1"/>
        <v>317</v>
      </c>
      <c r="B319" s="217"/>
      <c r="C319" s="217"/>
      <c r="D319" s="240"/>
      <c r="E319" s="241"/>
      <c r="F319" s="217"/>
      <c r="G319" s="207"/>
      <c r="H319" s="247"/>
      <c r="I319" s="209"/>
      <c r="J319" s="209"/>
      <c r="K319" s="208" t="str">
        <f>IF(Errors!$I319=0,SourceData!$B$42,VLOOKUP(Errors!$I319,SourceData!$A$2:$B$40,2,FALSE))</f>
        <v>Please select ERROR CODE column "I"</v>
      </c>
      <c r="L319" s="207"/>
      <c r="M319" s="209"/>
      <c r="N319" s="242"/>
      <c r="O319" s="209"/>
      <c r="P319" s="209"/>
      <c r="Q319" s="242"/>
      <c r="R319" s="217"/>
      <c r="S319" s="217"/>
      <c r="T319" s="217"/>
      <c r="U319" s="199"/>
      <c r="V319" s="200"/>
      <c r="W319" s="200"/>
      <c r="X319" s="200"/>
      <c r="Y319" s="200"/>
      <c r="Z319" s="200"/>
      <c r="AA319" s="201"/>
      <c r="AB319" s="200"/>
      <c r="AC319" s="200"/>
    </row>
    <row r="320" ht="15.0" customHeight="1">
      <c r="A320" s="210">
        <f t="shared" si="1"/>
        <v>318</v>
      </c>
      <c r="B320" s="217"/>
      <c r="C320" s="217"/>
      <c r="D320" s="240"/>
      <c r="E320" s="241"/>
      <c r="F320" s="217"/>
      <c r="G320" s="207"/>
      <c r="H320" s="209"/>
      <c r="I320" s="209"/>
      <c r="J320" s="209"/>
      <c r="K320" s="208" t="str">
        <f>IF(Errors!$I320=0,SourceData!$B$42,VLOOKUP(Errors!$I320,SourceData!$A$2:$B$40,2,FALSE))</f>
        <v>Please select ERROR CODE column "I"</v>
      </c>
      <c r="L320" s="207"/>
      <c r="M320" s="209"/>
      <c r="N320" s="242"/>
      <c r="O320" s="209"/>
      <c r="P320" s="209"/>
      <c r="Q320" s="242"/>
      <c r="R320" s="217"/>
      <c r="S320" s="217"/>
      <c r="T320" s="217"/>
      <c r="U320" s="199"/>
      <c r="V320" s="200"/>
      <c r="W320" s="200"/>
      <c r="X320" s="200"/>
      <c r="Y320" s="200"/>
      <c r="Z320" s="200"/>
      <c r="AA320" s="201"/>
      <c r="AB320" s="200"/>
      <c r="AC320" s="200"/>
    </row>
    <row r="321" ht="15.0" customHeight="1">
      <c r="A321" s="222">
        <f t="shared" si="1"/>
        <v>319</v>
      </c>
      <c r="B321" s="217"/>
      <c r="C321" s="217"/>
      <c r="D321" s="240"/>
      <c r="E321" s="241"/>
      <c r="F321" s="217"/>
      <c r="G321" s="207"/>
      <c r="H321" s="209"/>
      <c r="I321" s="209"/>
      <c r="J321" s="209"/>
      <c r="K321" s="208" t="str">
        <f>IF(Errors!$I321=0,SourceData!$B$42,VLOOKUP(Errors!$I321,SourceData!$A$2:$B$40,2,FALSE))</f>
        <v>Please select ERROR CODE column "I"</v>
      </c>
      <c r="L321" s="207"/>
      <c r="M321" s="209"/>
      <c r="N321" s="209"/>
      <c r="O321" s="209"/>
      <c r="P321" s="209"/>
      <c r="Q321" s="209"/>
      <c r="R321" s="217"/>
      <c r="S321" s="217"/>
      <c r="T321" s="217"/>
      <c r="U321" s="199"/>
      <c r="V321" s="200"/>
      <c r="W321" s="200"/>
      <c r="X321" s="200"/>
      <c r="Y321" s="200"/>
      <c r="Z321" s="200"/>
      <c r="AA321" s="201"/>
      <c r="AB321" s="200"/>
      <c r="AC321" s="200"/>
    </row>
    <row r="322" ht="15.0" customHeight="1">
      <c r="A322" s="210">
        <f t="shared" si="1"/>
        <v>320</v>
      </c>
      <c r="B322" s="217"/>
      <c r="C322" s="217"/>
      <c r="D322" s="240"/>
      <c r="E322" s="241"/>
      <c r="F322" s="217"/>
      <c r="G322" s="207"/>
      <c r="H322" s="209"/>
      <c r="I322" s="209"/>
      <c r="J322" s="209"/>
      <c r="K322" s="208" t="str">
        <f>IF(Errors!$I322=0,SourceData!$B$42,VLOOKUP(Errors!$I322,SourceData!$A$2:$B$40,2,FALSE))</f>
        <v>Please select ERROR CODE column "I"</v>
      </c>
      <c r="L322" s="207"/>
      <c r="M322" s="209"/>
      <c r="N322" s="209"/>
      <c r="O322" s="209"/>
      <c r="P322" s="209"/>
      <c r="Q322" s="209"/>
      <c r="R322" s="217"/>
      <c r="S322" s="217"/>
      <c r="T322" s="217"/>
      <c r="U322" s="199"/>
      <c r="V322" s="200"/>
      <c r="W322" s="200"/>
      <c r="X322" s="200"/>
      <c r="Y322" s="200"/>
      <c r="Z322" s="200"/>
      <c r="AA322" s="201"/>
      <c r="AB322" s="200"/>
      <c r="AC322" s="200"/>
    </row>
    <row r="323" ht="15.0" customHeight="1">
      <c r="A323" s="210">
        <f t="shared" si="1"/>
        <v>321</v>
      </c>
      <c r="B323" s="217"/>
      <c r="C323" s="217"/>
      <c r="D323" s="240"/>
      <c r="E323" s="241"/>
      <c r="F323" s="217"/>
      <c r="G323" s="207"/>
      <c r="H323" s="209"/>
      <c r="I323" s="209"/>
      <c r="J323" s="209"/>
      <c r="K323" s="208" t="str">
        <f>IF(Errors!$I323=0,SourceData!$B$42,VLOOKUP(Errors!$I323,SourceData!$A$2:$B$40,2,FALSE))</f>
        <v>Please select ERROR CODE column "I"</v>
      </c>
      <c r="L323" s="207"/>
      <c r="M323" s="209"/>
      <c r="N323" s="242"/>
      <c r="O323" s="209"/>
      <c r="P323" s="209"/>
      <c r="Q323" s="242"/>
      <c r="R323" s="217"/>
      <c r="S323" s="217"/>
      <c r="T323" s="217"/>
      <c r="U323" s="199"/>
      <c r="V323" s="200"/>
      <c r="W323" s="200"/>
      <c r="X323" s="200"/>
      <c r="Y323" s="200"/>
      <c r="Z323" s="200"/>
      <c r="AA323" s="201"/>
      <c r="AB323" s="200"/>
      <c r="AC323" s="200"/>
    </row>
    <row r="324" ht="15.0" customHeight="1">
      <c r="A324" s="210">
        <f t="shared" si="1"/>
        <v>322</v>
      </c>
      <c r="B324" s="217"/>
      <c r="C324" s="217"/>
      <c r="D324" s="240"/>
      <c r="E324" s="241"/>
      <c r="F324" s="217"/>
      <c r="G324" s="207"/>
      <c r="H324" s="209"/>
      <c r="I324" s="209"/>
      <c r="J324" s="209"/>
      <c r="K324" s="208" t="str">
        <f>IF(Errors!$I324=0,SourceData!$B$42,VLOOKUP(Errors!$I324,SourceData!$A$2:$B$40,2,FALSE))</f>
        <v>Please select ERROR CODE column "I"</v>
      </c>
      <c r="L324" s="207"/>
      <c r="M324" s="209"/>
      <c r="N324" s="209"/>
      <c r="O324" s="209"/>
      <c r="P324" s="209"/>
      <c r="Q324" s="242"/>
      <c r="R324" s="217"/>
      <c r="S324" s="217"/>
      <c r="T324" s="217"/>
      <c r="U324" s="199"/>
      <c r="V324" s="200"/>
      <c r="W324" s="200"/>
      <c r="X324" s="200"/>
      <c r="Y324" s="200"/>
      <c r="Z324" s="200"/>
      <c r="AA324" s="201"/>
      <c r="AB324" s="200"/>
      <c r="AC324" s="200"/>
    </row>
    <row r="325" ht="15.0" customHeight="1">
      <c r="A325" s="210">
        <f t="shared" si="1"/>
        <v>323</v>
      </c>
      <c r="B325" s="217"/>
      <c r="C325" s="217"/>
      <c r="D325" s="240"/>
      <c r="E325" s="241"/>
      <c r="F325" s="217"/>
      <c r="G325" s="207"/>
      <c r="H325" s="209"/>
      <c r="I325" s="209"/>
      <c r="J325" s="209"/>
      <c r="K325" s="208" t="str">
        <f>IF(Errors!$I325=0,SourceData!$B$42,VLOOKUP(Errors!$I325,SourceData!$A$2:$B$40,2,FALSE))</f>
        <v>Please select ERROR CODE column "I"</v>
      </c>
      <c r="L325" s="207"/>
      <c r="M325" s="209"/>
      <c r="N325" s="242"/>
      <c r="O325" s="209"/>
      <c r="P325" s="209"/>
      <c r="Q325" s="242"/>
      <c r="R325" s="217"/>
      <c r="S325" s="217"/>
      <c r="T325" s="217"/>
      <c r="U325" s="199"/>
      <c r="V325" s="200"/>
      <c r="W325" s="200"/>
      <c r="X325" s="200"/>
      <c r="Y325" s="200"/>
      <c r="Z325" s="200"/>
      <c r="AA325" s="201"/>
      <c r="AB325" s="200"/>
      <c r="AC325" s="200"/>
    </row>
    <row r="326" ht="15.0" customHeight="1">
      <c r="A326" s="210">
        <f t="shared" si="1"/>
        <v>324</v>
      </c>
      <c r="B326" s="217"/>
      <c r="C326" s="217"/>
      <c r="D326" s="240"/>
      <c r="E326" s="241"/>
      <c r="F326" s="217"/>
      <c r="G326" s="207"/>
      <c r="H326" s="209"/>
      <c r="I326" s="209"/>
      <c r="J326" s="209"/>
      <c r="K326" s="208" t="str">
        <f>IF(Errors!$I326=0,SourceData!$B$42,VLOOKUP(Errors!$I326,SourceData!$A$2:$B$40,2,FALSE))</f>
        <v>Please select ERROR CODE column "I"</v>
      </c>
      <c r="L326" s="207"/>
      <c r="M326" s="209"/>
      <c r="N326" s="242"/>
      <c r="O326" s="209"/>
      <c r="P326" s="209"/>
      <c r="Q326" s="242"/>
      <c r="R326" s="217"/>
      <c r="S326" s="217"/>
      <c r="T326" s="217"/>
      <c r="U326" s="199"/>
      <c r="V326" s="200"/>
      <c r="W326" s="200"/>
      <c r="X326" s="200"/>
      <c r="Y326" s="200"/>
      <c r="Z326" s="200"/>
      <c r="AA326" s="201"/>
      <c r="AB326" s="200"/>
      <c r="AC326" s="200"/>
    </row>
    <row r="327" ht="15.0" customHeight="1">
      <c r="A327" s="210">
        <f t="shared" si="1"/>
        <v>325</v>
      </c>
      <c r="B327" s="217"/>
      <c r="C327" s="217"/>
      <c r="D327" s="240"/>
      <c r="E327" s="241"/>
      <c r="F327" s="217"/>
      <c r="G327" s="207"/>
      <c r="H327" s="209"/>
      <c r="I327" s="209"/>
      <c r="J327" s="209"/>
      <c r="K327" s="208" t="str">
        <f>IF(Errors!$I327=0,SourceData!$B$42,VLOOKUP(Errors!$I327,SourceData!$A$2:$B$40,2,FALSE))</f>
        <v>Please select ERROR CODE column "I"</v>
      </c>
      <c r="L327" s="207"/>
      <c r="M327" s="209"/>
      <c r="N327" s="209"/>
      <c r="O327" s="209"/>
      <c r="P327" s="209"/>
      <c r="Q327" s="242"/>
      <c r="R327" s="217"/>
      <c r="S327" s="217"/>
      <c r="T327" s="217"/>
      <c r="U327" s="199"/>
      <c r="V327" s="200"/>
      <c r="W327" s="200"/>
      <c r="X327" s="200"/>
      <c r="Y327" s="200"/>
      <c r="Z327" s="200"/>
      <c r="AA327" s="201"/>
      <c r="AB327" s="200"/>
      <c r="AC327" s="200"/>
    </row>
    <row r="328" ht="15.0" customHeight="1">
      <c r="A328" s="210">
        <f t="shared" si="1"/>
        <v>326</v>
      </c>
      <c r="B328" s="217"/>
      <c r="C328" s="217"/>
      <c r="D328" s="240"/>
      <c r="E328" s="241"/>
      <c r="F328" s="217"/>
      <c r="G328" s="207"/>
      <c r="H328" s="209"/>
      <c r="I328" s="209"/>
      <c r="J328" s="209"/>
      <c r="K328" s="208" t="str">
        <f>IF(Errors!$I328=0,SourceData!$B$42,VLOOKUP(Errors!$I328,SourceData!$A$2:$B$40,2,FALSE))</f>
        <v>Please select ERROR CODE column "I"</v>
      </c>
      <c r="L328" s="207"/>
      <c r="M328" s="209"/>
      <c r="N328" s="209"/>
      <c r="O328" s="209"/>
      <c r="P328" s="209"/>
      <c r="Q328" s="242"/>
      <c r="R328" s="217"/>
      <c r="S328" s="217"/>
      <c r="T328" s="217"/>
      <c r="U328" s="199"/>
      <c r="V328" s="200"/>
      <c r="W328" s="200"/>
      <c r="X328" s="200"/>
      <c r="Y328" s="200"/>
      <c r="Z328" s="200"/>
      <c r="AA328" s="201"/>
      <c r="AB328" s="200"/>
      <c r="AC328" s="200"/>
    </row>
    <row r="329" ht="15.0" customHeight="1">
      <c r="A329" s="210">
        <f t="shared" si="1"/>
        <v>327</v>
      </c>
      <c r="B329" s="217"/>
      <c r="C329" s="217"/>
      <c r="D329" s="240"/>
      <c r="E329" s="241"/>
      <c r="F329" s="217"/>
      <c r="G329" s="207"/>
      <c r="H329" s="209"/>
      <c r="I329" s="209"/>
      <c r="J329" s="209"/>
      <c r="K329" s="208" t="str">
        <f>IF(Errors!$I329=0,SourceData!$B$42,VLOOKUP(Errors!$I329,SourceData!$A$2:$B$40,2,FALSE))</f>
        <v>Please select ERROR CODE column "I"</v>
      </c>
      <c r="L329" s="207"/>
      <c r="M329" s="209"/>
      <c r="N329" s="209"/>
      <c r="O329" s="209"/>
      <c r="P329" s="209"/>
      <c r="Q329" s="209"/>
      <c r="R329" s="217"/>
      <c r="S329" s="217"/>
      <c r="T329" s="217"/>
      <c r="U329" s="199"/>
      <c r="V329" s="200"/>
      <c r="W329" s="200"/>
      <c r="X329" s="200"/>
      <c r="Y329" s="200"/>
      <c r="Z329" s="200"/>
      <c r="AA329" s="201"/>
      <c r="AB329" s="200"/>
      <c r="AC329" s="200"/>
    </row>
    <row r="330" ht="15.0" customHeight="1">
      <c r="A330" s="210">
        <f t="shared" si="1"/>
        <v>328</v>
      </c>
      <c r="B330" s="217"/>
      <c r="C330" s="217"/>
      <c r="D330" s="240"/>
      <c r="E330" s="241"/>
      <c r="F330" s="217"/>
      <c r="G330" s="207"/>
      <c r="H330" s="209"/>
      <c r="I330" s="209"/>
      <c r="J330" s="209"/>
      <c r="K330" s="208" t="str">
        <f>IF(Errors!$I330=0,SourceData!$B$42,VLOOKUP(Errors!$I330,SourceData!$A$2:$B$40,2,FALSE))</f>
        <v>Please select ERROR CODE column "I"</v>
      </c>
      <c r="L330" s="207"/>
      <c r="M330" s="209"/>
      <c r="N330" s="242"/>
      <c r="O330" s="209"/>
      <c r="P330" s="209"/>
      <c r="Q330" s="242"/>
      <c r="R330" s="217"/>
      <c r="S330" s="217"/>
      <c r="T330" s="217"/>
      <c r="U330" s="199"/>
      <c r="V330" s="200"/>
      <c r="W330" s="200"/>
      <c r="X330" s="200"/>
      <c r="Y330" s="200"/>
      <c r="Z330" s="200"/>
      <c r="AA330" s="201"/>
      <c r="AB330" s="200"/>
      <c r="AC330" s="200"/>
    </row>
    <row r="331" ht="15.0" customHeight="1">
      <c r="A331" s="210">
        <f t="shared" si="1"/>
        <v>329</v>
      </c>
      <c r="B331" s="217"/>
      <c r="C331" s="217"/>
      <c r="D331" s="240"/>
      <c r="E331" s="241"/>
      <c r="F331" s="217"/>
      <c r="G331" s="207"/>
      <c r="H331" s="209"/>
      <c r="I331" s="209"/>
      <c r="J331" s="209"/>
      <c r="K331" s="208" t="str">
        <f>IF(Errors!$I331=0,SourceData!$B$42,VLOOKUP(Errors!$I331,SourceData!$A$2:$B$40,2,FALSE))</f>
        <v>Please select ERROR CODE column "I"</v>
      </c>
      <c r="L331" s="207"/>
      <c r="M331" s="209"/>
      <c r="N331" s="242"/>
      <c r="O331" s="209"/>
      <c r="P331" s="209"/>
      <c r="Q331" s="242"/>
      <c r="R331" s="217"/>
      <c r="S331" s="217"/>
      <c r="T331" s="217"/>
      <c r="U331" s="199"/>
      <c r="V331" s="200"/>
      <c r="W331" s="200"/>
      <c r="X331" s="200"/>
      <c r="Y331" s="200"/>
      <c r="Z331" s="200"/>
      <c r="AA331" s="201"/>
      <c r="AB331" s="200"/>
      <c r="AC331" s="200"/>
    </row>
    <row r="332" ht="15.0" customHeight="1">
      <c r="A332" s="210">
        <f t="shared" si="1"/>
        <v>330</v>
      </c>
      <c r="B332" s="217"/>
      <c r="C332" s="217"/>
      <c r="D332" s="240"/>
      <c r="E332" s="241"/>
      <c r="F332" s="217"/>
      <c r="G332" s="207"/>
      <c r="H332" s="209"/>
      <c r="I332" s="209"/>
      <c r="J332" s="209"/>
      <c r="K332" s="208" t="str">
        <f>IF(Errors!$I332=0,SourceData!$B$42,VLOOKUP(Errors!$I332,SourceData!$A$2:$B$40,2,FALSE))</f>
        <v>Please select ERROR CODE column "I"</v>
      </c>
      <c r="L332" s="207"/>
      <c r="M332" s="209"/>
      <c r="N332" s="242"/>
      <c r="O332" s="209"/>
      <c r="P332" s="209"/>
      <c r="Q332" s="242"/>
      <c r="R332" s="217"/>
      <c r="S332" s="217"/>
      <c r="T332" s="217"/>
      <c r="U332" s="199"/>
      <c r="V332" s="200"/>
      <c r="W332" s="200"/>
      <c r="X332" s="200"/>
      <c r="Y332" s="200"/>
      <c r="Z332" s="200"/>
      <c r="AA332" s="201"/>
      <c r="AB332" s="200"/>
      <c r="AC332" s="200"/>
    </row>
    <row r="333" ht="15.0" customHeight="1">
      <c r="A333" s="210">
        <f t="shared" si="1"/>
        <v>331</v>
      </c>
      <c r="B333" s="217"/>
      <c r="C333" s="217"/>
      <c r="D333" s="240"/>
      <c r="E333" s="241"/>
      <c r="F333" s="217"/>
      <c r="G333" s="207"/>
      <c r="H333" s="209"/>
      <c r="I333" s="209"/>
      <c r="J333" s="209"/>
      <c r="K333" s="208" t="str">
        <f>IF(Errors!$I333=0,SourceData!$B$42,VLOOKUP(Errors!$I333,SourceData!$A$2:$B$40,2,FALSE))</f>
        <v>Please select ERROR CODE column "I"</v>
      </c>
      <c r="L333" s="207"/>
      <c r="M333" s="209"/>
      <c r="N333" s="209"/>
      <c r="O333" s="209"/>
      <c r="P333" s="209"/>
      <c r="Q333" s="242"/>
      <c r="R333" s="217"/>
      <c r="S333" s="217"/>
      <c r="T333" s="217"/>
      <c r="U333" s="199"/>
      <c r="V333" s="200"/>
      <c r="W333" s="200"/>
      <c r="X333" s="200"/>
      <c r="Y333" s="200"/>
      <c r="Z333" s="200"/>
      <c r="AA333" s="201"/>
      <c r="AB333" s="200"/>
      <c r="AC333" s="200"/>
    </row>
    <row r="334" ht="15.0" customHeight="1">
      <c r="A334" s="222">
        <f t="shared" si="1"/>
        <v>332</v>
      </c>
      <c r="B334" s="217"/>
      <c r="C334" s="217"/>
      <c r="D334" s="240"/>
      <c r="E334" s="241"/>
      <c r="F334" s="217"/>
      <c r="G334" s="207"/>
      <c r="H334" s="209"/>
      <c r="I334" s="209"/>
      <c r="J334" s="209"/>
      <c r="K334" s="208" t="str">
        <f>IF(Errors!$I334=0,SourceData!$B$42,VLOOKUP(Errors!$I334,SourceData!$A$2:$B$40,2,FALSE))</f>
        <v>Please select ERROR CODE column "I"</v>
      </c>
      <c r="L334" s="207"/>
      <c r="M334" s="209"/>
      <c r="N334" s="242"/>
      <c r="O334" s="209"/>
      <c r="P334" s="209"/>
      <c r="Q334" s="242"/>
      <c r="R334" s="217"/>
      <c r="S334" s="217"/>
      <c r="T334" s="217"/>
      <c r="U334" s="199"/>
      <c r="V334" s="200"/>
      <c r="W334" s="200"/>
      <c r="X334" s="200"/>
      <c r="Y334" s="200"/>
      <c r="Z334" s="200"/>
      <c r="AA334" s="201"/>
      <c r="AB334" s="200"/>
      <c r="AC334" s="200"/>
    </row>
    <row r="335" ht="15.0" customHeight="1">
      <c r="A335" s="210">
        <f t="shared" si="1"/>
        <v>333</v>
      </c>
      <c r="B335" s="217"/>
      <c r="C335" s="217"/>
      <c r="D335" s="240"/>
      <c r="E335" s="241"/>
      <c r="F335" s="217"/>
      <c r="G335" s="207"/>
      <c r="H335" s="209"/>
      <c r="I335" s="209"/>
      <c r="J335" s="209"/>
      <c r="K335" s="208" t="str">
        <f>IF(Errors!$I335=0,SourceData!$B$42,VLOOKUP(Errors!$I335,SourceData!$A$2:$B$40,2,FALSE))</f>
        <v>Please select ERROR CODE column "I"</v>
      </c>
      <c r="L335" s="207"/>
      <c r="M335" s="209"/>
      <c r="N335" s="209"/>
      <c r="O335" s="209"/>
      <c r="P335" s="209"/>
      <c r="Q335" s="242"/>
      <c r="R335" s="217"/>
      <c r="S335" s="217"/>
      <c r="T335" s="217"/>
      <c r="U335" s="199"/>
      <c r="V335" s="200"/>
      <c r="W335" s="200"/>
      <c r="X335" s="200"/>
      <c r="Y335" s="200"/>
      <c r="Z335" s="200"/>
      <c r="AA335" s="201"/>
      <c r="AB335" s="200"/>
      <c r="AC335" s="200"/>
    </row>
    <row r="336" ht="15.0" customHeight="1">
      <c r="A336" s="210">
        <f t="shared" si="1"/>
        <v>334</v>
      </c>
      <c r="B336" s="217"/>
      <c r="C336" s="217"/>
      <c r="D336" s="240"/>
      <c r="E336" s="241"/>
      <c r="F336" s="217"/>
      <c r="G336" s="207"/>
      <c r="H336" s="209"/>
      <c r="I336" s="209"/>
      <c r="J336" s="209"/>
      <c r="K336" s="208" t="str">
        <f>IF(Errors!$I336=0,SourceData!$B$42,VLOOKUP(Errors!$I336,SourceData!$A$2:$B$40,2,FALSE))</f>
        <v>Please select ERROR CODE column "I"</v>
      </c>
      <c r="L336" s="207"/>
      <c r="M336" s="209"/>
      <c r="N336" s="242"/>
      <c r="O336" s="209"/>
      <c r="P336" s="209"/>
      <c r="Q336" s="242"/>
      <c r="R336" s="217"/>
      <c r="S336" s="217"/>
      <c r="T336" s="217"/>
      <c r="U336" s="199"/>
      <c r="V336" s="200"/>
      <c r="W336" s="200"/>
      <c r="X336" s="200"/>
      <c r="Y336" s="200"/>
      <c r="Z336" s="200"/>
      <c r="AA336" s="201"/>
      <c r="AB336" s="200"/>
      <c r="AC336" s="200"/>
    </row>
    <row r="337" ht="15.0" customHeight="1">
      <c r="A337" s="210">
        <f t="shared" si="1"/>
        <v>335</v>
      </c>
      <c r="B337" s="217"/>
      <c r="C337" s="217"/>
      <c r="D337" s="240"/>
      <c r="E337" s="241"/>
      <c r="F337" s="217"/>
      <c r="G337" s="207"/>
      <c r="H337" s="209"/>
      <c r="I337" s="209"/>
      <c r="J337" s="209"/>
      <c r="K337" s="208" t="str">
        <f>IF(Errors!$I337=0,SourceData!$B$42,VLOOKUP(Errors!$I337,SourceData!$A$2:$B$40,2,FALSE))</f>
        <v>Please select ERROR CODE column "I"</v>
      </c>
      <c r="L337" s="207"/>
      <c r="M337" s="209"/>
      <c r="N337" s="242"/>
      <c r="O337" s="209"/>
      <c r="P337" s="209"/>
      <c r="Q337" s="242"/>
      <c r="R337" s="217"/>
      <c r="S337" s="217"/>
      <c r="T337" s="217"/>
      <c r="U337" s="199"/>
      <c r="V337" s="200"/>
      <c r="W337" s="200"/>
      <c r="X337" s="200"/>
      <c r="Y337" s="200"/>
      <c r="Z337" s="200"/>
      <c r="AA337" s="201"/>
      <c r="AB337" s="200"/>
      <c r="AC337" s="200"/>
    </row>
    <row r="338" ht="15.0" customHeight="1">
      <c r="A338" s="210">
        <f t="shared" si="1"/>
        <v>336</v>
      </c>
      <c r="B338" s="217"/>
      <c r="C338" s="217"/>
      <c r="D338" s="240"/>
      <c r="E338" s="241"/>
      <c r="F338" s="217"/>
      <c r="G338" s="207"/>
      <c r="H338" s="209"/>
      <c r="I338" s="209"/>
      <c r="J338" s="209"/>
      <c r="K338" s="208" t="str">
        <f>IF(Errors!$I338=0,SourceData!$B$42,VLOOKUP(Errors!$I338,SourceData!$A$2:$B$40,2,FALSE))</f>
        <v>Please select ERROR CODE column "I"</v>
      </c>
      <c r="L338" s="207"/>
      <c r="M338" s="209"/>
      <c r="N338" s="209"/>
      <c r="O338" s="209"/>
      <c r="P338" s="209"/>
      <c r="Q338" s="242"/>
      <c r="R338" s="217"/>
      <c r="S338" s="217"/>
      <c r="T338" s="217"/>
      <c r="U338" s="199"/>
      <c r="V338" s="200"/>
      <c r="W338" s="200"/>
      <c r="X338" s="200"/>
      <c r="Y338" s="200"/>
      <c r="Z338" s="200"/>
      <c r="AA338" s="201"/>
      <c r="AB338" s="200"/>
      <c r="AC338" s="200"/>
    </row>
    <row r="339" ht="15.0" customHeight="1">
      <c r="A339" s="210">
        <f t="shared" si="1"/>
        <v>337</v>
      </c>
      <c r="B339" s="217"/>
      <c r="C339" s="217"/>
      <c r="D339" s="240"/>
      <c r="E339" s="241"/>
      <c r="F339" s="217"/>
      <c r="G339" s="207"/>
      <c r="H339" s="209"/>
      <c r="I339" s="209"/>
      <c r="J339" s="209"/>
      <c r="K339" s="208" t="str">
        <f>IF(Errors!$I339=0,SourceData!$B$42,VLOOKUP(Errors!$I339,SourceData!$A$2:$B$40,2,FALSE))</f>
        <v>Please select ERROR CODE column "I"</v>
      </c>
      <c r="L339" s="207"/>
      <c r="M339" s="209"/>
      <c r="N339" s="242"/>
      <c r="O339" s="209"/>
      <c r="P339" s="209"/>
      <c r="Q339" s="242"/>
      <c r="R339" s="217"/>
      <c r="S339" s="217"/>
      <c r="T339" s="217"/>
      <c r="U339" s="199"/>
      <c r="V339" s="200"/>
      <c r="W339" s="200"/>
      <c r="X339" s="200"/>
      <c r="Y339" s="200"/>
      <c r="Z339" s="200"/>
      <c r="AA339" s="201"/>
      <c r="AB339" s="200"/>
      <c r="AC339" s="200"/>
    </row>
    <row r="340" ht="15.0" customHeight="1">
      <c r="A340" s="222">
        <f t="shared" si="1"/>
        <v>338</v>
      </c>
      <c r="B340" s="217"/>
      <c r="C340" s="217"/>
      <c r="D340" s="240"/>
      <c r="E340" s="241"/>
      <c r="F340" s="217"/>
      <c r="G340" s="207"/>
      <c r="H340" s="209"/>
      <c r="I340" s="209"/>
      <c r="J340" s="209"/>
      <c r="K340" s="208" t="str">
        <f>IF(Errors!$I340=0,SourceData!$B$42,VLOOKUP(Errors!$I340,SourceData!$A$2:$B$40,2,FALSE))</f>
        <v>Please select ERROR CODE column "I"</v>
      </c>
      <c r="L340" s="207"/>
      <c r="M340" s="209"/>
      <c r="N340" s="209"/>
      <c r="O340" s="242"/>
      <c r="P340" s="209"/>
      <c r="Q340" s="209"/>
      <c r="R340" s="217"/>
      <c r="S340" s="217"/>
      <c r="T340" s="217"/>
      <c r="U340" s="199"/>
      <c r="V340" s="200"/>
      <c r="W340" s="200"/>
      <c r="X340" s="200"/>
      <c r="Y340" s="200"/>
      <c r="Z340" s="200"/>
      <c r="AA340" s="201"/>
      <c r="AB340" s="200"/>
      <c r="AC340" s="200"/>
    </row>
    <row r="341" ht="15.0" customHeight="1">
      <c r="A341" s="210">
        <f t="shared" si="1"/>
        <v>339</v>
      </c>
      <c r="B341" s="217"/>
      <c r="C341" s="217"/>
      <c r="D341" s="240"/>
      <c r="E341" s="241"/>
      <c r="F341" s="217"/>
      <c r="G341" s="207"/>
      <c r="H341" s="209"/>
      <c r="I341" s="209"/>
      <c r="J341" s="209"/>
      <c r="K341" s="208" t="str">
        <f>IF(Errors!$I341=0,SourceData!$B$42,VLOOKUP(Errors!$I341,SourceData!$A$2:$B$40,2,FALSE))</f>
        <v>Please select ERROR CODE column "I"</v>
      </c>
      <c r="L341" s="207"/>
      <c r="M341" s="209"/>
      <c r="N341" s="209"/>
      <c r="O341" s="242"/>
      <c r="P341" s="209"/>
      <c r="Q341" s="209"/>
      <c r="R341" s="217"/>
      <c r="S341" s="217"/>
      <c r="T341" s="217"/>
      <c r="U341" s="199"/>
      <c r="V341" s="200"/>
      <c r="W341" s="200"/>
      <c r="X341" s="200"/>
      <c r="Y341" s="200"/>
      <c r="Z341" s="200"/>
      <c r="AA341" s="201"/>
      <c r="AB341" s="200"/>
      <c r="AC341" s="200"/>
    </row>
    <row r="342" ht="15.0" customHeight="1">
      <c r="A342" s="210">
        <f t="shared" si="1"/>
        <v>340</v>
      </c>
      <c r="B342" s="217"/>
      <c r="C342" s="217"/>
      <c r="D342" s="240"/>
      <c r="E342" s="241"/>
      <c r="F342" s="217"/>
      <c r="G342" s="207"/>
      <c r="H342" s="209"/>
      <c r="I342" s="209"/>
      <c r="J342" s="209"/>
      <c r="K342" s="208" t="str">
        <f>IF(Errors!$I342=0,SourceData!$B$42,VLOOKUP(Errors!$I342,SourceData!$A$2:$B$40,2,FALSE))</f>
        <v>Please select ERROR CODE column "I"</v>
      </c>
      <c r="L342" s="207"/>
      <c r="M342" s="209"/>
      <c r="N342" s="242"/>
      <c r="O342" s="209"/>
      <c r="P342" s="242"/>
      <c r="Q342" s="242"/>
      <c r="R342" s="217"/>
      <c r="S342" s="217"/>
      <c r="T342" s="217"/>
      <c r="U342" s="199"/>
      <c r="V342" s="200"/>
      <c r="W342" s="200"/>
      <c r="X342" s="200"/>
      <c r="Y342" s="200"/>
      <c r="Z342" s="200"/>
      <c r="AA342" s="201"/>
      <c r="AB342" s="200"/>
      <c r="AC342" s="200"/>
    </row>
    <row r="343" ht="15.0" customHeight="1">
      <c r="A343" s="210">
        <f t="shared" si="1"/>
        <v>341</v>
      </c>
      <c r="B343" s="217"/>
      <c r="C343" s="217"/>
      <c r="D343" s="240"/>
      <c r="E343" s="241"/>
      <c r="F343" s="217"/>
      <c r="G343" s="207"/>
      <c r="H343" s="209"/>
      <c r="I343" s="209"/>
      <c r="J343" s="209"/>
      <c r="K343" s="208" t="str">
        <f>IF(Errors!$I343=0,SourceData!$B$42,VLOOKUP(Errors!$I343,SourceData!$A$2:$B$40,2,FALSE))</f>
        <v>Please select ERROR CODE column "I"</v>
      </c>
      <c r="L343" s="207"/>
      <c r="M343" s="209"/>
      <c r="N343" s="209"/>
      <c r="O343" s="209"/>
      <c r="P343" s="209"/>
      <c r="Q343" s="209"/>
      <c r="R343" s="217"/>
      <c r="S343" s="217"/>
      <c r="T343" s="217"/>
      <c r="U343" s="199"/>
      <c r="V343" s="200"/>
      <c r="W343" s="200"/>
      <c r="X343" s="200"/>
      <c r="Y343" s="200"/>
      <c r="Z343" s="200"/>
      <c r="AA343" s="201"/>
      <c r="AB343" s="200"/>
      <c r="AC343" s="200"/>
    </row>
    <row r="344" ht="15.0" customHeight="1">
      <c r="A344" s="210">
        <f t="shared" si="1"/>
        <v>342</v>
      </c>
      <c r="B344" s="217"/>
      <c r="C344" s="217"/>
      <c r="D344" s="240"/>
      <c r="E344" s="241"/>
      <c r="F344" s="217"/>
      <c r="G344" s="207"/>
      <c r="H344" s="209"/>
      <c r="I344" s="209"/>
      <c r="J344" s="209"/>
      <c r="K344" s="208" t="str">
        <f>IF(Errors!$I344=0,SourceData!$B$42,VLOOKUP(Errors!$I344,SourceData!$A$2:$B$40,2,FALSE))</f>
        <v>Please select ERROR CODE column "I"</v>
      </c>
      <c r="L344" s="207"/>
      <c r="M344" s="209"/>
      <c r="N344" s="209"/>
      <c r="O344" s="209"/>
      <c r="P344" s="209"/>
      <c r="Q344" s="209"/>
      <c r="R344" s="217"/>
      <c r="S344" s="217"/>
      <c r="T344" s="217"/>
      <c r="U344" s="199"/>
      <c r="V344" s="200"/>
      <c r="W344" s="200"/>
      <c r="X344" s="200"/>
      <c r="Y344" s="200"/>
      <c r="Z344" s="200"/>
      <c r="AA344" s="201"/>
      <c r="AB344" s="200"/>
      <c r="AC344" s="200"/>
    </row>
    <row r="345" ht="15.0" customHeight="1">
      <c r="A345" s="210">
        <f t="shared" si="1"/>
        <v>343</v>
      </c>
      <c r="B345" s="217"/>
      <c r="C345" s="217"/>
      <c r="D345" s="240"/>
      <c r="E345" s="241"/>
      <c r="F345" s="217"/>
      <c r="G345" s="207"/>
      <c r="H345" s="209"/>
      <c r="I345" s="209"/>
      <c r="J345" s="209"/>
      <c r="K345" s="208" t="str">
        <f>IF(Errors!$I345=0,SourceData!$B$42,VLOOKUP(Errors!$I345,SourceData!$A$2:$B$40,2,FALSE))</f>
        <v>Please select ERROR CODE column "I"</v>
      </c>
      <c r="L345" s="207"/>
      <c r="M345" s="209"/>
      <c r="N345" s="209"/>
      <c r="O345" s="209"/>
      <c r="P345" s="209"/>
      <c r="Q345" s="209"/>
      <c r="R345" s="217"/>
      <c r="S345" s="217"/>
      <c r="T345" s="217"/>
      <c r="U345" s="199"/>
      <c r="V345" s="200"/>
      <c r="W345" s="200"/>
      <c r="X345" s="200"/>
      <c r="Y345" s="200"/>
      <c r="Z345" s="200"/>
      <c r="AA345" s="201"/>
      <c r="AB345" s="200"/>
      <c r="AC345" s="200"/>
    </row>
    <row r="346" ht="15.0" customHeight="1">
      <c r="A346" s="210">
        <f t="shared" si="1"/>
        <v>344</v>
      </c>
      <c r="B346" s="217"/>
      <c r="C346" s="217"/>
      <c r="D346" s="240"/>
      <c r="E346" s="241"/>
      <c r="F346" s="217"/>
      <c r="G346" s="207"/>
      <c r="H346" s="209"/>
      <c r="I346" s="209"/>
      <c r="J346" s="209"/>
      <c r="K346" s="208" t="str">
        <f>IF(Errors!$I346=0,SourceData!$B$42,VLOOKUP(Errors!$I346,SourceData!$A$2:$B$40,2,FALSE))</f>
        <v>Please select ERROR CODE column "I"</v>
      </c>
      <c r="L346" s="207"/>
      <c r="M346" s="209"/>
      <c r="N346" s="209"/>
      <c r="O346" s="209"/>
      <c r="P346" s="209"/>
      <c r="Q346" s="209"/>
      <c r="R346" s="217"/>
      <c r="S346" s="217"/>
      <c r="T346" s="217"/>
      <c r="U346" s="199"/>
      <c r="V346" s="200"/>
      <c r="W346" s="200"/>
      <c r="X346" s="200"/>
      <c r="Y346" s="200"/>
      <c r="Z346" s="200"/>
      <c r="AA346" s="201"/>
      <c r="AB346" s="200"/>
      <c r="AC346" s="200"/>
    </row>
    <row r="347" ht="15.0" customHeight="1">
      <c r="A347" s="210">
        <f t="shared" si="1"/>
        <v>345</v>
      </c>
      <c r="B347" s="217"/>
      <c r="C347" s="217"/>
      <c r="D347" s="240"/>
      <c r="E347" s="241"/>
      <c r="F347" s="217"/>
      <c r="G347" s="207"/>
      <c r="H347" s="209"/>
      <c r="I347" s="209"/>
      <c r="J347" s="209"/>
      <c r="K347" s="208" t="str">
        <f>IF(Errors!$I347=0,SourceData!$B$42,VLOOKUP(Errors!$I347,SourceData!$A$2:$B$40,2,FALSE))</f>
        <v>Please select ERROR CODE column "I"</v>
      </c>
      <c r="L347" s="207"/>
      <c r="M347" s="209"/>
      <c r="N347" s="209"/>
      <c r="O347" s="209"/>
      <c r="P347" s="209"/>
      <c r="Q347" s="209"/>
      <c r="R347" s="217"/>
      <c r="S347" s="217"/>
      <c r="T347" s="217"/>
      <c r="U347" s="199"/>
      <c r="V347" s="200"/>
      <c r="W347" s="200"/>
      <c r="X347" s="200"/>
      <c r="Y347" s="200"/>
      <c r="Z347" s="200"/>
      <c r="AA347" s="201"/>
      <c r="AB347" s="200"/>
      <c r="AC347" s="200"/>
    </row>
    <row r="348" ht="15.0" customHeight="1">
      <c r="A348" s="210">
        <f t="shared" si="1"/>
        <v>346</v>
      </c>
      <c r="B348" s="217"/>
      <c r="C348" s="217"/>
      <c r="D348" s="240"/>
      <c r="E348" s="241"/>
      <c r="F348" s="217"/>
      <c r="G348" s="207"/>
      <c r="H348" s="209"/>
      <c r="I348" s="209"/>
      <c r="J348" s="209"/>
      <c r="K348" s="208" t="str">
        <f>IF(Errors!$I348=0,SourceData!$B$42,VLOOKUP(Errors!$I348,SourceData!$A$2:$B$40,2,FALSE))</f>
        <v>Please select ERROR CODE column "I"</v>
      </c>
      <c r="L348" s="207"/>
      <c r="M348" s="209"/>
      <c r="N348" s="242"/>
      <c r="O348" s="209"/>
      <c r="P348" s="209"/>
      <c r="Q348" s="242"/>
      <c r="R348" s="217"/>
      <c r="S348" s="217"/>
      <c r="T348" s="217"/>
      <c r="U348" s="199"/>
      <c r="V348" s="200"/>
      <c r="W348" s="200"/>
      <c r="X348" s="200"/>
      <c r="Y348" s="200"/>
      <c r="Z348" s="200"/>
      <c r="AA348" s="201"/>
      <c r="AB348" s="200"/>
      <c r="AC348" s="200"/>
    </row>
    <row r="349" ht="15.0" customHeight="1">
      <c r="A349" s="210">
        <f t="shared" si="1"/>
        <v>347</v>
      </c>
      <c r="B349" s="217"/>
      <c r="C349" s="217"/>
      <c r="D349" s="240"/>
      <c r="E349" s="241"/>
      <c r="F349" s="217"/>
      <c r="G349" s="207"/>
      <c r="H349" s="209"/>
      <c r="I349" s="209"/>
      <c r="J349" s="209"/>
      <c r="K349" s="208" t="str">
        <f>IF(Errors!$I349=0,SourceData!$B$42,VLOOKUP(Errors!$I349,SourceData!$A$2:$B$40,2,FALSE))</f>
        <v>Please select ERROR CODE column "I"</v>
      </c>
      <c r="L349" s="207"/>
      <c r="M349" s="209"/>
      <c r="N349" s="242"/>
      <c r="O349" s="209"/>
      <c r="P349" s="209"/>
      <c r="Q349" s="242"/>
      <c r="R349" s="217"/>
      <c r="S349" s="217"/>
      <c r="T349" s="217"/>
      <c r="U349" s="199"/>
      <c r="V349" s="200"/>
      <c r="W349" s="200"/>
      <c r="X349" s="200"/>
      <c r="Y349" s="200"/>
      <c r="Z349" s="200"/>
      <c r="AA349" s="201"/>
      <c r="AB349" s="200"/>
      <c r="AC349" s="200"/>
    </row>
    <row r="350" ht="15.0" customHeight="1">
      <c r="A350" s="210">
        <f t="shared" si="1"/>
        <v>348</v>
      </c>
      <c r="B350" s="217"/>
      <c r="C350" s="217"/>
      <c r="D350" s="240"/>
      <c r="E350" s="241"/>
      <c r="F350" s="217"/>
      <c r="G350" s="207"/>
      <c r="H350" s="209"/>
      <c r="I350" s="209"/>
      <c r="J350" s="209"/>
      <c r="K350" s="208" t="str">
        <f>IF(Errors!$I350=0,SourceData!$B$42,VLOOKUP(Errors!$I350,SourceData!$A$2:$B$40,2,FALSE))</f>
        <v>Please select ERROR CODE column "I"</v>
      </c>
      <c r="L350" s="207"/>
      <c r="M350" s="209"/>
      <c r="N350" s="209"/>
      <c r="O350" s="209"/>
      <c r="P350" s="209"/>
      <c r="Q350" s="209"/>
      <c r="R350" s="217"/>
      <c r="S350" s="217"/>
      <c r="T350" s="217"/>
      <c r="U350" s="199"/>
      <c r="V350" s="200"/>
      <c r="W350" s="200"/>
      <c r="X350" s="200"/>
      <c r="Y350" s="200"/>
      <c r="Z350" s="200"/>
      <c r="AA350" s="201"/>
      <c r="AB350" s="200"/>
      <c r="AC350" s="200"/>
    </row>
    <row r="351" ht="15.0" customHeight="1">
      <c r="A351" s="222">
        <f t="shared" si="1"/>
        <v>349</v>
      </c>
      <c r="B351" s="217"/>
      <c r="C351" s="217"/>
      <c r="D351" s="240"/>
      <c r="E351" s="241"/>
      <c r="F351" s="217"/>
      <c r="G351" s="207"/>
      <c r="H351" s="209"/>
      <c r="I351" s="209"/>
      <c r="J351" s="209"/>
      <c r="K351" s="208" t="str">
        <f>IF(Errors!$I351=0,SourceData!$B$42,VLOOKUP(Errors!$I351,SourceData!$A$2:$B$40,2,FALSE))</f>
        <v>Please select ERROR CODE column "I"</v>
      </c>
      <c r="L351" s="207"/>
      <c r="M351" s="209"/>
      <c r="N351" s="209"/>
      <c r="O351" s="209"/>
      <c r="P351" s="209"/>
      <c r="Q351" s="209"/>
      <c r="R351" s="217"/>
      <c r="S351" s="217"/>
      <c r="T351" s="217"/>
      <c r="U351" s="199"/>
      <c r="V351" s="200"/>
      <c r="W351" s="200"/>
      <c r="X351" s="200"/>
      <c r="Y351" s="200"/>
      <c r="Z351" s="200"/>
      <c r="AA351" s="201"/>
      <c r="AB351" s="200"/>
      <c r="AC351" s="200"/>
    </row>
    <row r="352" ht="15.0" customHeight="1">
      <c r="A352" s="210">
        <f t="shared" si="1"/>
        <v>350</v>
      </c>
      <c r="B352" s="217"/>
      <c r="C352" s="217"/>
      <c r="D352" s="240"/>
      <c r="E352" s="241"/>
      <c r="F352" s="217"/>
      <c r="G352" s="207"/>
      <c r="H352" s="209"/>
      <c r="I352" s="209"/>
      <c r="J352" s="209"/>
      <c r="K352" s="208" t="str">
        <f>IF(Errors!$I352=0,SourceData!$B$42,VLOOKUP(Errors!$I352,SourceData!$A$2:$B$40,2,FALSE))</f>
        <v>Please select ERROR CODE column "I"</v>
      </c>
      <c r="L352" s="207"/>
      <c r="M352" s="209"/>
      <c r="N352" s="209"/>
      <c r="O352" s="209"/>
      <c r="P352" s="209"/>
      <c r="Q352" s="209"/>
      <c r="R352" s="217"/>
      <c r="S352" s="217"/>
      <c r="T352" s="217"/>
      <c r="U352" s="199"/>
      <c r="V352" s="200"/>
      <c r="W352" s="200"/>
      <c r="X352" s="200"/>
      <c r="Y352" s="200"/>
      <c r="Z352" s="200"/>
      <c r="AA352" s="201"/>
      <c r="AB352" s="200"/>
      <c r="AC352" s="200"/>
    </row>
    <row r="353" ht="15.0" customHeight="1">
      <c r="A353" s="210">
        <f t="shared" si="1"/>
        <v>351</v>
      </c>
      <c r="B353" s="217"/>
      <c r="C353" s="217"/>
      <c r="D353" s="240"/>
      <c r="E353" s="241"/>
      <c r="F353" s="217"/>
      <c r="G353" s="207"/>
      <c r="H353" s="209"/>
      <c r="I353" s="209"/>
      <c r="J353" s="209"/>
      <c r="K353" s="208" t="str">
        <f>IF(Errors!$I353=0,SourceData!$B$42,VLOOKUP(Errors!$I353,SourceData!$A$2:$B$40,2,FALSE))</f>
        <v>Please select ERROR CODE column "I"</v>
      </c>
      <c r="L353" s="207"/>
      <c r="M353" s="209"/>
      <c r="N353" s="209"/>
      <c r="O353" s="209"/>
      <c r="P353" s="209"/>
      <c r="Q353" s="209"/>
      <c r="R353" s="217"/>
      <c r="S353" s="217"/>
      <c r="T353" s="217"/>
      <c r="U353" s="199"/>
      <c r="V353" s="200"/>
      <c r="W353" s="200"/>
      <c r="X353" s="200"/>
      <c r="Y353" s="200"/>
      <c r="Z353" s="200"/>
      <c r="AA353" s="201"/>
      <c r="AB353" s="200"/>
      <c r="AC353" s="200"/>
    </row>
    <row r="354" ht="15.0" customHeight="1">
      <c r="A354" s="210">
        <f t="shared" si="1"/>
        <v>352</v>
      </c>
      <c r="B354" s="217"/>
      <c r="C354" s="217"/>
      <c r="D354" s="240"/>
      <c r="E354" s="241"/>
      <c r="F354" s="217"/>
      <c r="G354" s="207"/>
      <c r="H354" s="209"/>
      <c r="I354" s="209"/>
      <c r="J354" s="209"/>
      <c r="K354" s="208" t="str">
        <f>IF(Errors!$I354=0,SourceData!$B$42,VLOOKUP(Errors!$I354,SourceData!$A$2:$B$40,2,FALSE))</f>
        <v>Please select ERROR CODE column "I"</v>
      </c>
      <c r="L354" s="207"/>
      <c r="M354" s="209"/>
      <c r="N354" s="209"/>
      <c r="O354" s="209"/>
      <c r="P354" s="209"/>
      <c r="Q354" s="209"/>
      <c r="R354" s="217"/>
      <c r="S354" s="217"/>
      <c r="T354" s="217"/>
      <c r="U354" s="199"/>
      <c r="V354" s="200"/>
      <c r="W354" s="200"/>
      <c r="X354" s="200"/>
      <c r="Y354" s="200"/>
      <c r="Z354" s="200"/>
      <c r="AA354" s="201"/>
      <c r="AB354" s="200"/>
      <c r="AC354" s="200"/>
    </row>
    <row r="355" ht="15.0" customHeight="1">
      <c r="A355" s="210">
        <f t="shared" si="1"/>
        <v>353</v>
      </c>
      <c r="B355" s="217"/>
      <c r="C355" s="217"/>
      <c r="D355" s="240"/>
      <c r="E355" s="241"/>
      <c r="F355" s="217"/>
      <c r="G355" s="207"/>
      <c r="H355" s="209"/>
      <c r="I355" s="209"/>
      <c r="J355" s="209"/>
      <c r="K355" s="208" t="str">
        <f>IF(Errors!$I355=0,SourceData!$B$42,VLOOKUP(Errors!$I355,SourceData!$A$2:$B$40,2,FALSE))</f>
        <v>Please select ERROR CODE column "I"</v>
      </c>
      <c r="L355" s="207"/>
      <c r="M355" s="207"/>
      <c r="N355" s="242"/>
      <c r="O355" s="209"/>
      <c r="P355" s="209"/>
      <c r="Q355" s="209"/>
      <c r="R355" s="217"/>
      <c r="S355" s="217"/>
      <c r="T355" s="217"/>
      <c r="U355" s="199"/>
      <c r="V355" s="200"/>
      <c r="W355" s="200"/>
      <c r="X355" s="200"/>
      <c r="Y355" s="200"/>
      <c r="Z355" s="200"/>
      <c r="AA355" s="201"/>
      <c r="AB355" s="200"/>
      <c r="AC355" s="200"/>
    </row>
    <row r="356" ht="15.0" customHeight="1">
      <c r="A356" s="210">
        <f t="shared" si="1"/>
        <v>354</v>
      </c>
      <c r="B356" s="217"/>
      <c r="C356" s="217"/>
      <c r="D356" s="240"/>
      <c r="E356" s="241"/>
      <c r="F356" s="217"/>
      <c r="G356" s="207"/>
      <c r="H356" s="209"/>
      <c r="I356" s="209"/>
      <c r="J356" s="209"/>
      <c r="K356" s="208" t="str">
        <f>IF(Errors!$I356=0,SourceData!$B$42,VLOOKUP(Errors!$I356,SourceData!$A$2:$B$40,2,FALSE))</f>
        <v>Please select ERROR CODE column "I"</v>
      </c>
      <c r="L356" s="207"/>
      <c r="M356" s="209"/>
      <c r="N356" s="209"/>
      <c r="O356" s="209"/>
      <c r="P356" s="209"/>
      <c r="Q356" s="209"/>
      <c r="R356" s="217"/>
      <c r="S356" s="217"/>
      <c r="T356" s="217"/>
      <c r="U356" s="199"/>
      <c r="V356" s="200"/>
      <c r="W356" s="200"/>
      <c r="X356" s="200"/>
      <c r="Y356" s="200"/>
      <c r="Z356" s="200"/>
      <c r="AA356" s="201"/>
      <c r="AB356" s="200"/>
      <c r="AC356" s="200"/>
    </row>
    <row r="357" ht="15.0" customHeight="1">
      <c r="A357" s="210">
        <f t="shared" si="1"/>
        <v>355</v>
      </c>
      <c r="B357" s="217"/>
      <c r="C357" s="217"/>
      <c r="D357" s="240"/>
      <c r="E357" s="241"/>
      <c r="F357" s="217"/>
      <c r="G357" s="207"/>
      <c r="H357" s="209"/>
      <c r="I357" s="209"/>
      <c r="J357" s="209"/>
      <c r="K357" s="208" t="str">
        <f>IF(Errors!$I357=0,SourceData!$B$42,VLOOKUP(Errors!$I357,SourceData!$A$2:$B$40,2,FALSE))</f>
        <v>Please select ERROR CODE column "I"</v>
      </c>
      <c r="L357" s="207"/>
      <c r="M357" s="209"/>
      <c r="N357" s="242"/>
      <c r="O357" s="209"/>
      <c r="P357" s="209"/>
      <c r="Q357" s="209"/>
      <c r="R357" s="217"/>
      <c r="S357" s="217"/>
      <c r="T357" s="217"/>
      <c r="U357" s="199"/>
      <c r="V357" s="200"/>
      <c r="W357" s="200"/>
      <c r="X357" s="200"/>
      <c r="Y357" s="200"/>
      <c r="Z357" s="200"/>
      <c r="AA357" s="201"/>
      <c r="AB357" s="200"/>
      <c r="AC357" s="200"/>
    </row>
    <row r="358" ht="15.0" customHeight="1">
      <c r="A358" s="210">
        <f t="shared" si="1"/>
        <v>356</v>
      </c>
      <c r="B358" s="217"/>
      <c r="C358" s="217"/>
      <c r="D358" s="240"/>
      <c r="E358" s="241"/>
      <c r="F358" s="217"/>
      <c r="G358" s="207"/>
      <c r="H358" s="209"/>
      <c r="I358" s="209"/>
      <c r="J358" s="209"/>
      <c r="K358" s="208" t="str">
        <f>IF(Errors!$I358=0,SourceData!$B$42,VLOOKUP(Errors!$I358,SourceData!$A$2:$B$40,2,FALSE))</f>
        <v>Please select ERROR CODE column "I"</v>
      </c>
      <c r="L358" s="207"/>
      <c r="M358" s="209"/>
      <c r="N358" s="209"/>
      <c r="O358" s="209"/>
      <c r="P358" s="209"/>
      <c r="Q358" s="209"/>
      <c r="R358" s="217"/>
      <c r="S358" s="217"/>
      <c r="T358" s="217"/>
      <c r="U358" s="199"/>
      <c r="V358" s="200"/>
      <c r="W358" s="200"/>
      <c r="X358" s="200"/>
      <c r="Y358" s="200"/>
      <c r="Z358" s="200"/>
      <c r="AA358" s="201"/>
      <c r="AB358" s="200"/>
      <c r="AC358" s="200"/>
    </row>
    <row r="359" ht="15.0" customHeight="1">
      <c r="A359" s="210">
        <f t="shared" si="1"/>
        <v>357</v>
      </c>
      <c r="B359" s="217"/>
      <c r="C359" s="217"/>
      <c r="D359" s="240"/>
      <c r="E359" s="241"/>
      <c r="F359" s="217"/>
      <c r="G359" s="207"/>
      <c r="H359" s="209"/>
      <c r="I359" s="209"/>
      <c r="J359" s="209"/>
      <c r="K359" s="208" t="str">
        <f>IF(Errors!$I359=0,SourceData!$B$42,VLOOKUP(Errors!$I359,SourceData!$A$2:$B$40,2,FALSE))</f>
        <v>Please select ERROR CODE column "I"</v>
      </c>
      <c r="L359" s="207"/>
      <c r="M359" s="209"/>
      <c r="N359" s="242"/>
      <c r="O359" s="209"/>
      <c r="P359" s="209"/>
      <c r="Q359" s="209"/>
      <c r="R359" s="217"/>
      <c r="S359" s="217"/>
      <c r="T359" s="217"/>
      <c r="U359" s="199"/>
      <c r="V359" s="200"/>
      <c r="W359" s="200"/>
      <c r="X359" s="200"/>
      <c r="Y359" s="200"/>
      <c r="Z359" s="200"/>
      <c r="AA359" s="201"/>
      <c r="AB359" s="200"/>
      <c r="AC359" s="200"/>
    </row>
    <row r="360" ht="15.0" customHeight="1">
      <c r="A360" s="210">
        <f t="shared" si="1"/>
        <v>358</v>
      </c>
      <c r="B360" s="217"/>
      <c r="C360" s="217"/>
      <c r="D360" s="240"/>
      <c r="E360" s="241"/>
      <c r="F360" s="217"/>
      <c r="G360" s="207"/>
      <c r="H360" s="209"/>
      <c r="I360" s="209"/>
      <c r="J360" s="209"/>
      <c r="K360" s="208" t="str">
        <f>IF(Errors!$I360=0,SourceData!$B$42,VLOOKUP(Errors!$I360,SourceData!$A$2:$B$40,2,FALSE))</f>
        <v>Please select ERROR CODE column "I"</v>
      </c>
      <c r="L360" s="207"/>
      <c r="M360" s="209"/>
      <c r="N360" s="209"/>
      <c r="O360" s="209"/>
      <c r="P360" s="209"/>
      <c r="Q360" s="209"/>
      <c r="R360" s="217"/>
      <c r="S360" s="217"/>
      <c r="T360" s="217"/>
      <c r="U360" s="199"/>
      <c r="V360" s="200"/>
      <c r="W360" s="200"/>
      <c r="X360" s="200"/>
      <c r="Y360" s="200"/>
      <c r="Z360" s="200"/>
      <c r="AA360" s="201"/>
      <c r="AB360" s="200"/>
      <c r="AC360" s="200"/>
    </row>
    <row r="361" ht="15.0" customHeight="1">
      <c r="A361" s="210">
        <f t="shared" si="1"/>
        <v>359</v>
      </c>
      <c r="B361" s="217"/>
      <c r="C361" s="217"/>
      <c r="D361" s="240"/>
      <c r="E361" s="241"/>
      <c r="F361" s="217"/>
      <c r="G361" s="207"/>
      <c r="H361" s="209"/>
      <c r="I361" s="209"/>
      <c r="J361" s="209"/>
      <c r="K361" s="208" t="str">
        <f>IF(Errors!$I361=0,SourceData!$B$42,VLOOKUP(Errors!$I361,SourceData!$A$2:$B$40,2,FALSE))</f>
        <v>Please select ERROR CODE column "I"</v>
      </c>
      <c r="L361" s="207"/>
      <c r="M361" s="209"/>
      <c r="N361" s="209"/>
      <c r="O361" s="209"/>
      <c r="P361" s="209"/>
      <c r="Q361" s="209"/>
      <c r="R361" s="217"/>
      <c r="S361" s="217"/>
      <c r="T361" s="217"/>
      <c r="U361" s="199"/>
      <c r="V361" s="200"/>
      <c r="W361" s="200"/>
      <c r="X361" s="200"/>
      <c r="Y361" s="200"/>
      <c r="Z361" s="200"/>
      <c r="AA361" s="201"/>
      <c r="AB361" s="200"/>
      <c r="AC361" s="200"/>
    </row>
    <row r="362" ht="15.0" customHeight="1">
      <c r="A362" s="210">
        <f t="shared" si="1"/>
        <v>360</v>
      </c>
      <c r="B362" s="217"/>
      <c r="C362" s="217"/>
      <c r="D362" s="240"/>
      <c r="E362" s="241"/>
      <c r="F362" s="217"/>
      <c r="G362" s="207"/>
      <c r="H362" s="209"/>
      <c r="I362" s="209"/>
      <c r="J362" s="209"/>
      <c r="K362" s="208" t="str">
        <f>IF(Errors!$I362=0,SourceData!$B$42,VLOOKUP(Errors!$I362,SourceData!$A$2:$B$40,2,FALSE))</f>
        <v>Please select ERROR CODE column "I"</v>
      </c>
      <c r="L362" s="207"/>
      <c r="M362" s="209"/>
      <c r="N362" s="209"/>
      <c r="O362" s="209"/>
      <c r="P362" s="209"/>
      <c r="Q362" s="209"/>
      <c r="R362" s="217"/>
      <c r="S362" s="217"/>
      <c r="T362" s="217"/>
      <c r="U362" s="199"/>
      <c r="V362" s="200"/>
      <c r="W362" s="200"/>
      <c r="X362" s="200"/>
      <c r="Y362" s="200"/>
      <c r="Z362" s="200"/>
      <c r="AA362" s="201"/>
      <c r="AB362" s="200"/>
      <c r="AC362" s="200"/>
    </row>
    <row r="363" ht="15.0" customHeight="1">
      <c r="A363" s="210">
        <f t="shared" si="1"/>
        <v>361</v>
      </c>
      <c r="B363" s="217"/>
      <c r="C363" s="217"/>
      <c r="D363" s="240"/>
      <c r="E363" s="241"/>
      <c r="F363" s="217"/>
      <c r="G363" s="207"/>
      <c r="H363" s="209"/>
      <c r="I363" s="209"/>
      <c r="J363" s="209"/>
      <c r="K363" s="208" t="str">
        <f>IF(Errors!$I363=0,SourceData!$B$42,VLOOKUP(Errors!$I363,SourceData!$A$2:$B$40,2,FALSE))</f>
        <v>Please select ERROR CODE column "I"</v>
      </c>
      <c r="L363" s="207"/>
      <c r="M363" s="209"/>
      <c r="N363" s="209"/>
      <c r="O363" s="209"/>
      <c r="P363" s="209"/>
      <c r="Q363" s="209"/>
      <c r="R363" s="217"/>
      <c r="S363" s="217"/>
      <c r="T363" s="217"/>
      <c r="U363" s="199"/>
      <c r="V363" s="200"/>
      <c r="W363" s="200"/>
      <c r="X363" s="200"/>
      <c r="Y363" s="200"/>
      <c r="Z363" s="200"/>
      <c r="AA363" s="201"/>
      <c r="AB363" s="200"/>
      <c r="AC363" s="200"/>
    </row>
    <row r="364" ht="15.0" customHeight="1">
      <c r="A364" s="210">
        <f t="shared" si="1"/>
        <v>362</v>
      </c>
      <c r="B364" s="217"/>
      <c r="C364" s="217"/>
      <c r="D364" s="240"/>
      <c r="E364" s="241"/>
      <c r="F364" s="217"/>
      <c r="G364" s="207"/>
      <c r="H364" s="209"/>
      <c r="I364" s="209"/>
      <c r="J364" s="209"/>
      <c r="K364" s="208" t="str">
        <f>IF(Errors!$I364=0,SourceData!$B$42,VLOOKUP(Errors!$I364,SourceData!$A$2:$B$40,2,FALSE))</f>
        <v>Please select ERROR CODE column "I"</v>
      </c>
      <c r="L364" s="207"/>
      <c r="M364" s="209"/>
      <c r="N364" s="242"/>
      <c r="O364" s="209"/>
      <c r="P364" s="209"/>
      <c r="Q364" s="209"/>
      <c r="R364" s="217"/>
      <c r="S364" s="217"/>
      <c r="T364" s="217"/>
      <c r="U364" s="199"/>
      <c r="V364" s="200"/>
      <c r="W364" s="200"/>
      <c r="X364" s="200"/>
      <c r="Y364" s="200"/>
      <c r="Z364" s="200"/>
      <c r="AA364" s="201"/>
      <c r="AB364" s="200"/>
      <c r="AC364" s="200"/>
    </row>
    <row r="365" ht="15.0" customHeight="1">
      <c r="A365" s="210">
        <f t="shared" si="1"/>
        <v>363</v>
      </c>
      <c r="B365" s="217"/>
      <c r="C365" s="217"/>
      <c r="D365" s="240"/>
      <c r="E365" s="241"/>
      <c r="F365" s="217"/>
      <c r="G365" s="207"/>
      <c r="H365" s="209"/>
      <c r="I365" s="209"/>
      <c r="J365" s="209"/>
      <c r="K365" s="208" t="str">
        <f>IF(Errors!$I365=0,SourceData!$B$42,VLOOKUP(Errors!$I365,SourceData!$A$2:$B$40,2,FALSE))</f>
        <v>Please select ERROR CODE column "I"</v>
      </c>
      <c r="L365" s="207"/>
      <c r="M365" s="209"/>
      <c r="N365" s="209"/>
      <c r="O365" s="209"/>
      <c r="P365" s="209"/>
      <c r="Q365" s="209"/>
      <c r="R365" s="217"/>
      <c r="S365" s="217"/>
      <c r="T365" s="217"/>
      <c r="U365" s="199"/>
      <c r="V365" s="200"/>
      <c r="W365" s="200"/>
      <c r="X365" s="200"/>
      <c r="Y365" s="200"/>
      <c r="Z365" s="200"/>
      <c r="AA365" s="201"/>
      <c r="AB365" s="200"/>
      <c r="AC365" s="200"/>
    </row>
    <row r="366" ht="15.0" customHeight="1">
      <c r="A366" s="210">
        <f t="shared" si="1"/>
        <v>364</v>
      </c>
      <c r="B366" s="217"/>
      <c r="C366" s="217"/>
      <c r="D366" s="240"/>
      <c r="E366" s="241"/>
      <c r="F366" s="217"/>
      <c r="G366" s="207"/>
      <c r="H366" s="209"/>
      <c r="I366" s="209"/>
      <c r="J366" s="209"/>
      <c r="K366" s="208" t="str">
        <f>IF(Errors!$I366=0,SourceData!$B$42,VLOOKUP(Errors!$I366,SourceData!$A$2:$B$40,2,FALSE))</f>
        <v>Please select ERROR CODE column "I"</v>
      </c>
      <c r="L366" s="207"/>
      <c r="M366" s="209"/>
      <c r="N366" s="209"/>
      <c r="O366" s="209"/>
      <c r="P366" s="209"/>
      <c r="Q366" s="209"/>
      <c r="R366" s="217"/>
      <c r="S366" s="217"/>
      <c r="T366" s="217"/>
      <c r="U366" s="199"/>
      <c r="V366" s="200"/>
      <c r="W366" s="200"/>
      <c r="X366" s="200"/>
      <c r="Y366" s="200"/>
      <c r="Z366" s="200"/>
      <c r="AA366" s="201"/>
      <c r="AB366" s="200"/>
      <c r="AC366" s="200"/>
    </row>
    <row r="367" ht="15.0" customHeight="1">
      <c r="A367" s="210">
        <f t="shared" si="1"/>
        <v>365</v>
      </c>
      <c r="B367" s="217"/>
      <c r="C367" s="217"/>
      <c r="D367" s="240"/>
      <c r="E367" s="241"/>
      <c r="F367" s="217"/>
      <c r="G367" s="207"/>
      <c r="H367" s="209"/>
      <c r="I367" s="209"/>
      <c r="J367" s="209"/>
      <c r="K367" s="208" t="str">
        <f>IF(Errors!$I367=0,SourceData!$B$42,VLOOKUP(Errors!$I367,SourceData!$A$2:$B$40,2,FALSE))</f>
        <v>Please select ERROR CODE column "I"</v>
      </c>
      <c r="L367" s="207"/>
      <c r="M367" s="209"/>
      <c r="N367" s="242"/>
      <c r="O367" s="209"/>
      <c r="P367" s="209"/>
      <c r="Q367" s="209"/>
      <c r="R367" s="217"/>
      <c r="S367" s="217"/>
      <c r="T367" s="217"/>
      <c r="U367" s="199"/>
      <c r="V367" s="200"/>
      <c r="W367" s="200"/>
      <c r="X367" s="200"/>
      <c r="Y367" s="200"/>
      <c r="Z367" s="200"/>
      <c r="AA367" s="201"/>
      <c r="AB367" s="200"/>
      <c r="AC367" s="200"/>
    </row>
    <row r="368" ht="15.0" customHeight="1">
      <c r="A368" s="210">
        <f t="shared" si="1"/>
        <v>366</v>
      </c>
      <c r="B368" s="217"/>
      <c r="C368" s="217"/>
      <c r="D368" s="240"/>
      <c r="E368" s="241"/>
      <c r="F368" s="217"/>
      <c r="G368" s="207"/>
      <c r="H368" s="209"/>
      <c r="I368" s="209"/>
      <c r="J368" s="209"/>
      <c r="K368" s="208" t="str">
        <f>IF(Errors!$I368=0,SourceData!$B$42,VLOOKUP(Errors!$I368,SourceData!$A$2:$B$40,2,FALSE))</f>
        <v>Please select ERROR CODE column "I"</v>
      </c>
      <c r="L368" s="207"/>
      <c r="M368" s="209"/>
      <c r="N368" s="242"/>
      <c r="O368" s="209"/>
      <c r="P368" s="209"/>
      <c r="Q368" s="209"/>
      <c r="R368" s="217"/>
      <c r="S368" s="217"/>
      <c r="T368" s="217"/>
      <c r="U368" s="199"/>
      <c r="V368" s="200"/>
      <c r="W368" s="200"/>
      <c r="X368" s="200"/>
      <c r="Y368" s="200"/>
      <c r="Z368" s="200"/>
      <c r="AA368" s="201"/>
      <c r="AB368" s="200"/>
      <c r="AC368" s="200"/>
    </row>
    <row r="369" ht="15.0" customHeight="1">
      <c r="A369" s="210">
        <f t="shared" si="1"/>
        <v>367</v>
      </c>
      <c r="B369" s="217"/>
      <c r="C369" s="217"/>
      <c r="D369" s="240"/>
      <c r="E369" s="241"/>
      <c r="F369" s="217"/>
      <c r="G369" s="207"/>
      <c r="H369" s="209"/>
      <c r="I369" s="209"/>
      <c r="J369" s="209"/>
      <c r="K369" s="208" t="str">
        <f>IF(Errors!$I369=0,SourceData!$B$42,VLOOKUP(Errors!$I369,SourceData!$A$2:$B$40,2,FALSE))</f>
        <v>Please select ERROR CODE column "I"</v>
      </c>
      <c r="L369" s="207"/>
      <c r="M369" s="209"/>
      <c r="N369" s="242"/>
      <c r="O369" s="209"/>
      <c r="P369" s="209"/>
      <c r="Q369" s="209"/>
      <c r="R369" s="217"/>
      <c r="S369" s="217"/>
      <c r="T369" s="217"/>
      <c r="U369" s="199"/>
      <c r="V369" s="200"/>
      <c r="W369" s="200"/>
      <c r="X369" s="200"/>
      <c r="Y369" s="200"/>
      <c r="Z369" s="200"/>
      <c r="AA369" s="201"/>
      <c r="AB369" s="200"/>
      <c r="AC369" s="200"/>
    </row>
    <row r="370" ht="15.0" customHeight="1">
      <c r="A370" s="210">
        <f t="shared" si="1"/>
        <v>368</v>
      </c>
      <c r="B370" s="217"/>
      <c r="C370" s="217"/>
      <c r="D370" s="240"/>
      <c r="E370" s="241"/>
      <c r="F370" s="217"/>
      <c r="G370" s="207"/>
      <c r="H370" s="209"/>
      <c r="I370" s="209"/>
      <c r="J370" s="209"/>
      <c r="K370" s="208" t="str">
        <f>IF(Errors!$I370=0,SourceData!$B$42,VLOOKUP(Errors!$I370,SourceData!$A$2:$B$40,2,FALSE))</f>
        <v>Please select ERROR CODE column "I"</v>
      </c>
      <c r="L370" s="207"/>
      <c r="M370" s="209"/>
      <c r="N370" s="242"/>
      <c r="O370" s="209"/>
      <c r="P370" s="209"/>
      <c r="Q370" s="209"/>
      <c r="R370" s="217"/>
      <c r="S370" s="217"/>
      <c r="T370" s="217"/>
      <c r="U370" s="199"/>
      <c r="V370" s="200"/>
      <c r="W370" s="200"/>
      <c r="X370" s="200"/>
      <c r="Y370" s="200"/>
      <c r="Z370" s="200"/>
      <c r="AA370" s="201"/>
      <c r="AB370" s="200"/>
      <c r="AC370" s="200"/>
    </row>
    <row r="371" ht="15.0" customHeight="1">
      <c r="A371" s="210">
        <f t="shared" si="1"/>
        <v>369</v>
      </c>
      <c r="B371" s="217"/>
      <c r="C371" s="217"/>
      <c r="D371" s="240"/>
      <c r="E371" s="241"/>
      <c r="F371" s="217"/>
      <c r="G371" s="207"/>
      <c r="H371" s="209"/>
      <c r="I371" s="209"/>
      <c r="J371" s="209"/>
      <c r="K371" s="208" t="str">
        <f>IF(Errors!$I371=0,SourceData!$B$42,VLOOKUP(Errors!$I371,SourceData!$A$2:$B$40,2,FALSE))</f>
        <v>Please select ERROR CODE column "I"</v>
      </c>
      <c r="L371" s="207"/>
      <c r="M371" s="209"/>
      <c r="N371" s="242"/>
      <c r="O371" s="209"/>
      <c r="P371" s="209"/>
      <c r="Q371" s="209"/>
      <c r="R371" s="217"/>
      <c r="S371" s="217"/>
      <c r="T371" s="217"/>
      <c r="U371" s="199"/>
      <c r="V371" s="200"/>
      <c r="W371" s="200"/>
      <c r="X371" s="200"/>
      <c r="Y371" s="200"/>
      <c r="Z371" s="200"/>
      <c r="AA371" s="201"/>
      <c r="AB371" s="200"/>
      <c r="AC371" s="200"/>
    </row>
    <row r="372" ht="15.0" customHeight="1">
      <c r="A372" s="210">
        <f t="shared" si="1"/>
        <v>370</v>
      </c>
      <c r="B372" s="217"/>
      <c r="C372" s="217"/>
      <c r="D372" s="240"/>
      <c r="E372" s="241"/>
      <c r="F372" s="217"/>
      <c r="G372" s="207"/>
      <c r="H372" s="209"/>
      <c r="I372" s="209"/>
      <c r="J372" s="209"/>
      <c r="K372" s="208" t="str">
        <f>IF(Errors!$I372=0,SourceData!$B$42,VLOOKUP(Errors!$I372,SourceData!$A$2:$B$40,2,FALSE))</f>
        <v>Please select ERROR CODE column "I"</v>
      </c>
      <c r="L372" s="207"/>
      <c r="M372" s="209"/>
      <c r="N372" s="209"/>
      <c r="O372" s="242"/>
      <c r="P372" s="242"/>
      <c r="Q372" s="242"/>
      <c r="R372" s="217"/>
      <c r="S372" s="217"/>
      <c r="T372" s="217"/>
      <c r="U372" s="199"/>
      <c r="V372" s="200"/>
      <c r="W372" s="200"/>
      <c r="X372" s="200"/>
      <c r="Y372" s="200"/>
      <c r="Z372" s="200"/>
      <c r="AA372" s="201"/>
      <c r="AB372" s="200"/>
      <c r="AC372" s="200"/>
    </row>
    <row r="373" ht="15.0" customHeight="1">
      <c r="A373" s="210">
        <f t="shared" si="1"/>
        <v>371</v>
      </c>
      <c r="B373" s="217"/>
      <c r="C373" s="217"/>
      <c r="D373" s="240"/>
      <c r="E373" s="241"/>
      <c r="F373" s="217"/>
      <c r="G373" s="207"/>
      <c r="H373" s="209"/>
      <c r="I373" s="209"/>
      <c r="J373" s="209"/>
      <c r="K373" s="208" t="str">
        <f>IF(Errors!$I373=0,SourceData!$B$42,VLOOKUP(Errors!$I373,SourceData!$A$2:$B$40,2,FALSE))</f>
        <v>Please select ERROR CODE column "I"</v>
      </c>
      <c r="L373" s="207"/>
      <c r="M373" s="209"/>
      <c r="N373" s="242"/>
      <c r="O373" s="209"/>
      <c r="P373" s="209"/>
      <c r="Q373" s="209"/>
      <c r="R373" s="217"/>
      <c r="S373" s="217"/>
      <c r="T373" s="217"/>
      <c r="U373" s="199"/>
      <c r="V373" s="200"/>
      <c r="W373" s="200"/>
      <c r="X373" s="200"/>
      <c r="Y373" s="200"/>
      <c r="Z373" s="200"/>
      <c r="AA373" s="201"/>
      <c r="AB373" s="200"/>
      <c r="AC373" s="200"/>
    </row>
    <row r="374" ht="15.0" customHeight="1">
      <c r="A374" s="210">
        <f t="shared" si="1"/>
        <v>372</v>
      </c>
      <c r="B374" s="217"/>
      <c r="C374" s="217"/>
      <c r="D374" s="240"/>
      <c r="E374" s="241"/>
      <c r="F374" s="217"/>
      <c r="G374" s="207"/>
      <c r="H374" s="209"/>
      <c r="I374" s="209"/>
      <c r="J374" s="209"/>
      <c r="K374" s="208" t="str">
        <f>IF(Errors!$I374=0,SourceData!$B$42,VLOOKUP(Errors!$I374,SourceData!$A$2:$B$40,2,FALSE))</f>
        <v>Please select ERROR CODE column "I"</v>
      </c>
      <c r="L374" s="207"/>
      <c r="M374" s="209"/>
      <c r="N374" s="209"/>
      <c r="O374" s="209"/>
      <c r="P374" s="209"/>
      <c r="Q374" s="209"/>
      <c r="R374" s="217"/>
      <c r="S374" s="217"/>
      <c r="T374" s="217"/>
      <c r="U374" s="199"/>
      <c r="V374" s="200"/>
      <c r="W374" s="200"/>
      <c r="X374" s="200"/>
      <c r="Y374" s="200"/>
      <c r="Z374" s="200"/>
      <c r="AA374" s="201"/>
      <c r="AB374" s="200"/>
      <c r="AC374" s="200"/>
    </row>
    <row r="375" ht="15.0" customHeight="1">
      <c r="A375" s="210">
        <f t="shared" si="1"/>
        <v>373</v>
      </c>
      <c r="B375" s="217"/>
      <c r="C375" s="217"/>
      <c r="D375" s="240"/>
      <c r="E375" s="241"/>
      <c r="F375" s="217"/>
      <c r="G375" s="207"/>
      <c r="H375" s="209"/>
      <c r="I375" s="209"/>
      <c r="J375" s="209"/>
      <c r="K375" s="208" t="str">
        <f>IF(Errors!$I375=0,SourceData!$B$42,VLOOKUP(Errors!$I375,SourceData!$A$2:$B$40,2,FALSE))</f>
        <v>Please select ERROR CODE column "I"</v>
      </c>
      <c r="L375" s="207"/>
      <c r="M375" s="209"/>
      <c r="N375" s="242"/>
      <c r="O375" s="209"/>
      <c r="P375" s="209"/>
      <c r="Q375" s="209"/>
      <c r="R375" s="217"/>
      <c r="S375" s="217"/>
      <c r="T375" s="217"/>
      <c r="U375" s="199"/>
      <c r="V375" s="200"/>
      <c r="W375" s="200"/>
      <c r="X375" s="200"/>
      <c r="Y375" s="200"/>
      <c r="Z375" s="200"/>
      <c r="AA375" s="201"/>
      <c r="AB375" s="200"/>
      <c r="AC375" s="200"/>
    </row>
    <row r="376" ht="15.0" customHeight="1">
      <c r="A376" s="210">
        <f t="shared" si="1"/>
        <v>374</v>
      </c>
      <c r="B376" s="217"/>
      <c r="C376" s="217"/>
      <c r="D376" s="240"/>
      <c r="E376" s="241"/>
      <c r="F376" s="217"/>
      <c r="G376" s="207"/>
      <c r="H376" s="209"/>
      <c r="I376" s="209"/>
      <c r="J376" s="209"/>
      <c r="K376" s="208" t="str">
        <f>IF(Errors!$I376=0,SourceData!$B$42,VLOOKUP(Errors!$I376,SourceData!$A$2:$B$40,2,FALSE))</f>
        <v>Please select ERROR CODE column "I"</v>
      </c>
      <c r="L376" s="207"/>
      <c r="M376" s="209"/>
      <c r="N376" s="209"/>
      <c r="O376" s="209"/>
      <c r="P376" s="209"/>
      <c r="Q376" s="209"/>
      <c r="R376" s="217"/>
      <c r="S376" s="217"/>
      <c r="T376" s="217"/>
      <c r="U376" s="199"/>
      <c r="V376" s="200"/>
      <c r="W376" s="200"/>
      <c r="X376" s="200"/>
      <c r="Y376" s="200"/>
      <c r="Z376" s="200"/>
      <c r="AA376" s="201"/>
      <c r="AB376" s="200"/>
      <c r="AC376" s="200"/>
    </row>
    <row r="377" ht="15.0" customHeight="1">
      <c r="A377" s="210">
        <f t="shared" si="1"/>
        <v>375</v>
      </c>
      <c r="B377" s="217"/>
      <c r="C377" s="217"/>
      <c r="D377" s="240"/>
      <c r="E377" s="241"/>
      <c r="F377" s="207"/>
      <c r="G377" s="207"/>
      <c r="H377" s="207"/>
      <c r="I377" s="209"/>
      <c r="J377" s="209"/>
      <c r="K377" s="208" t="str">
        <f>IF(Errors!$I377=0,SourceData!$B$42,VLOOKUP(Errors!$I377,SourceData!$A$2:$B$40,2,FALSE))</f>
        <v>Please select ERROR CODE column "I"</v>
      </c>
      <c r="L377" s="207"/>
      <c r="M377" s="209"/>
      <c r="N377" s="242"/>
      <c r="O377" s="209"/>
      <c r="P377" s="209"/>
      <c r="Q377" s="209"/>
      <c r="R377" s="217"/>
      <c r="S377" s="217"/>
      <c r="T377" s="217"/>
      <c r="U377" s="199"/>
      <c r="V377" s="200"/>
      <c r="W377" s="200"/>
      <c r="X377" s="200"/>
      <c r="Y377" s="200"/>
      <c r="Z377" s="200"/>
      <c r="AA377" s="201"/>
      <c r="AB377" s="200"/>
      <c r="AC377" s="200"/>
    </row>
    <row r="378" ht="15.0" customHeight="1">
      <c r="A378" s="210">
        <f t="shared" si="1"/>
        <v>376</v>
      </c>
      <c r="B378" s="217"/>
      <c r="C378" s="217"/>
      <c r="D378" s="240"/>
      <c r="E378" s="241"/>
      <c r="F378" s="217"/>
      <c r="G378" s="207"/>
      <c r="H378" s="209"/>
      <c r="I378" s="209"/>
      <c r="J378" s="209"/>
      <c r="K378" s="208" t="str">
        <f>IF(Errors!$I378=0,SourceData!$B$42,VLOOKUP(Errors!$I378,SourceData!$A$2:$B$40,2,FALSE))</f>
        <v>Please select ERROR CODE column "I"</v>
      </c>
      <c r="L378" s="207"/>
      <c r="M378" s="209"/>
      <c r="N378" s="242"/>
      <c r="O378" s="209"/>
      <c r="P378" s="209"/>
      <c r="Q378" s="209"/>
      <c r="R378" s="217"/>
      <c r="S378" s="217"/>
      <c r="T378" s="217"/>
      <c r="U378" s="199"/>
      <c r="V378" s="200"/>
      <c r="W378" s="200"/>
      <c r="X378" s="200"/>
      <c r="Y378" s="200"/>
      <c r="Z378" s="200"/>
      <c r="AA378" s="201"/>
      <c r="AB378" s="200"/>
      <c r="AC378" s="200"/>
    </row>
    <row r="379" ht="15.0" customHeight="1">
      <c r="A379" s="210">
        <f t="shared" si="1"/>
        <v>377</v>
      </c>
      <c r="B379" s="217"/>
      <c r="C379" s="217"/>
      <c r="D379" s="240"/>
      <c r="E379" s="241"/>
      <c r="F379" s="217"/>
      <c r="G379" s="207"/>
      <c r="H379" s="209"/>
      <c r="I379" s="209"/>
      <c r="J379" s="209"/>
      <c r="K379" s="208" t="str">
        <f>IF(Errors!$I379=0,SourceData!$B$42,VLOOKUP(Errors!$I379,SourceData!$A$2:$B$40,2,FALSE))</f>
        <v>Please select ERROR CODE column "I"</v>
      </c>
      <c r="L379" s="207"/>
      <c r="M379" s="209"/>
      <c r="N379" s="209"/>
      <c r="O379" s="209"/>
      <c r="P379" s="209"/>
      <c r="Q379" s="209"/>
      <c r="R379" s="217"/>
      <c r="S379" s="217"/>
      <c r="T379" s="217"/>
      <c r="U379" s="199"/>
      <c r="V379" s="200"/>
      <c r="W379" s="200"/>
      <c r="X379" s="200"/>
      <c r="Y379" s="200"/>
      <c r="Z379" s="200"/>
      <c r="AA379" s="201"/>
      <c r="AB379" s="200"/>
      <c r="AC379" s="200"/>
    </row>
    <row r="380" ht="15.0" customHeight="1">
      <c r="A380" s="210">
        <f t="shared" si="1"/>
        <v>378</v>
      </c>
      <c r="B380" s="217"/>
      <c r="C380" s="217"/>
      <c r="D380" s="240"/>
      <c r="E380" s="241"/>
      <c r="F380" s="217"/>
      <c r="G380" s="207"/>
      <c r="H380" s="209"/>
      <c r="I380" s="209"/>
      <c r="J380" s="209"/>
      <c r="K380" s="208" t="str">
        <f>IF(Errors!$I380=0,SourceData!$B$42,VLOOKUP(Errors!$I380,SourceData!$A$2:$B$40,2,FALSE))</f>
        <v>Please select ERROR CODE column "I"</v>
      </c>
      <c r="L380" s="207"/>
      <c r="M380" s="209"/>
      <c r="N380" s="242"/>
      <c r="O380" s="209"/>
      <c r="P380" s="209"/>
      <c r="Q380" s="209"/>
      <c r="R380" s="217"/>
      <c r="S380" s="217"/>
      <c r="T380" s="217"/>
      <c r="U380" s="199"/>
      <c r="V380" s="200"/>
      <c r="W380" s="200"/>
      <c r="X380" s="200"/>
      <c r="Y380" s="200"/>
      <c r="Z380" s="200"/>
      <c r="AA380" s="201"/>
      <c r="AB380" s="200"/>
      <c r="AC380" s="200"/>
    </row>
    <row r="381" ht="15.0" customHeight="1">
      <c r="A381" s="210">
        <f t="shared" si="1"/>
        <v>379</v>
      </c>
      <c r="B381" s="217"/>
      <c r="C381" s="217"/>
      <c r="D381" s="240"/>
      <c r="E381" s="241"/>
      <c r="F381" s="217"/>
      <c r="G381" s="207"/>
      <c r="H381" s="209"/>
      <c r="I381" s="209"/>
      <c r="J381" s="209"/>
      <c r="K381" s="208" t="str">
        <f>IF(Errors!$I381=0,SourceData!$B$42,VLOOKUP(Errors!$I381,SourceData!$A$2:$B$40,2,FALSE))</f>
        <v>Please select ERROR CODE column "I"</v>
      </c>
      <c r="L381" s="207"/>
      <c r="M381" s="209"/>
      <c r="N381" s="209"/>
      <c r="O381" s="209"/>
      <c r="P381" s="209"/>
      <c r="Q381" s="209"/>
      <c r="R381" s="217"/>
      <c r="S381" s="217"/>
      <c r="T381" s="217"/>
      <c r="U381" s="199"/>
      <c r="V381" s="200"/>
      <c r="W381" s="200"/>
      <c r="X381" s="200"/>
      <c r="Y381" s="200"/>
      <c r="Z381" s="200"/>
      <c r="AA381" s="201"/>
      <c r="AB381" s="200"/>
      <c r="AC381" s="200"/>
    </row>
    <row r="382" ht="15.0" customHeight="1">
      <c r="A382" s="210">
        <f t="shared" si="1"/>
        <v>380</v>
      </c>
      <c r="B382" s="217"/>
      <c r="C382" s="217"/>
      <c r="D382" s="240"/>
      <c r="E382" s="241"/>
      <c r="F382" s="217"/>
      <c r="G382" s="207"/>
      <c r="H382" s="209"/>
      <c r="I382" s="209"/>
      <c r="J382" s="209"/>
      <c r="K382" s="208" t="str">
        <f>IF(Errors!$I382=0,SourceData!$B$42,VLOOKUP(Errors!$I382,SourceData!$A$2:$B$40,2,FALSE))</f>
        <v>Please select ERROR CODE column "I"</v>
      </c>
      <c r="L382" s="207"/>
      <c r="M382" s="209"/>
      <c r="N382" s="209"/>
      <c r="O382" s="209"/>
      <c r="P382" s="209"/>
      <c r="Q382" s="209"/>
      <c r="R382" s="217"/>
      <c r="S382" s="217"/>
      <c r="T382" s="217"/>
      <c r="U382" s="199"/>
      <c r="V382" s="200"/>
      <c r="W382" s="200"/>
      <c r="X382" s="200"/>
      <c r="Y382" s="200"/>
      <c r="Z382" s="200"/>
      <c r="AA382" s="201"/>
      <c r="AB382" s="200"/>
      <c r="AC382" s="200"/>
    </row>
    <row r="383" ht="15.0" customHeight="1">
      <c r="A383" s="210">
        <f t="shared" si="1"/>
        <v>381</v>
      </c>
      <c r="B383" s="217"/>
      <c r="C383" s="217"/>
      <c r="D383" s="240"/>
      <c r="E383" s="241"/>
      <c r="F383" s="217"/>
      <c r="G383" s="207"/>
      <c r="H383" s="209"/>
      <c r="I383" s="209"/>
      <c r="J383" s="209"/>
      <c r="K383" s="208" t="str">
        <f>IF(Errors!$I383=0,SourceData!$B$42,VLOOKUP(Errors!$I383,SourceData!$A$2:$B$40,2,FALSE))</f>
        <v>Please select ERROR CODE column "I"</v>
      </c>
      <c r="L383" s="207"/>
      <c r="M383" s="209"/>
      <c r="N383" s="242"/>
      <c r="O383" s="209"/>
      <c r="P383" s="209"/>
      <c r="Q383" s="209"/>
      <c r="R383" s="217"/>
      <c r="S383" s="217"/>
      <c r="T383" s="217"/>
      <c r="U383" s="199"/>
      <c r="V383" s="200"/>
      <c r="W383" s="200"/>
      <c r="X383" s="200"/>
      <c r="Y383" s="200"/>
      <c r="Z383" s="200"/>
      <c r="AA383" s="201"/>
      <c r="AB383" s="200"/>
      <c r="AC383" s="200"/>
    </row>
    <row r="384" ht="15.0" customHeight="1">
      <c r="A384" s="210">
        <f t="shared" si="1"/>
        <v>382</v>
      </c>
      <c r="B384" s="217"/>
      <c r="C384" s="217"/>
      <c r="D384" s="240"/>
      <c r="E384" s="241"/>
      <c r="F384" s="217"/>
      <c r="G384" s="207"/>
      <c r="H384" s="209"/>
      <c r="I384" s="209"/>
      <c r="J384" s="209"/>
      <c r="K384" s="208" t="str">
        <f>IF(Errors!$I384=0,SourceData!$B$42,VLOOKUP(Errors!$I384,SourceData!$A$2:$B$40,2,FALSE))</f>
        <v>Please select ERROR CODE column "I"</v>
      </c>
      <c r="L384" s="207"/>
      <c r="M384" s="209"/>
      <c r="N384" s="209"/>
      <c r="O384" s="209"/>
      <c r="P384" s="209"/>
      <c r="Q384" s="209"/>
      <c r="R384" s="217"/>
      <c r="S384" s="217"/>
      <c r="T384" s="217"/>
      <c r="U384" s="199"/>
      <c r="V384" s="200"/>
      <c r="W384" s="200"/>
      <c r="X384" s="200"/>
      <c r="Y384" s="200"/>
      <c r="Z384" s="200"/>
      <c r="AA384" s="201"/>
      <c r="AB384" s="200"/>
      <c r="AC384" s="200"/>
    </row>
    <row r="385" ht="15.0" customHeight="1">
      <c r="A385" s="210">
        <f t="shared" si="1"/>
        <v>383</v>
      </c>
      <c r="B385" s="217"/>
      <c r="C385" s="217"/>
      <c r="D385" s="240"/>
      <c r="E385" s="241"/>
      <c r="F385" s="217"/>
      <c r="G385" s="207"/>
      <c r="H385" s="209"/>
      <c r="I385" s="209"/>
      <c r="J385" s="209"/>
      <c r="K385" s="208" t="str">
        <f>IF(Errors!$I385=0,SourceData!$B$42,VLOOKUP(Errors!$I385,SourceData!$A$2:$B$40,2,FALSE))</f>
        <v>Please select ERROR CODE column "I"</v>
      </c>
      <c r="L385" s="207"/>
      <c r="M385" s="209"/>
      <c r="N385" s="209"/>
      <c r="O385" s="209"/>
      <c r="P385" s="209"/>
      <c r="Q385" s="209"/>
      <c r="R385" s="217"/>
      <c r="S385" s="217"/>
      <c r="T385" s="217"/>
      <c r="U385" s="199"/>
      <c r="V385" s="200"/>
      <c r="W385" s="200"/>
      <c r="X385" s="200"/>
      <c r="Y385" s="200"/>
      <c r="Z385" s="200"/>
      <c r="AA385" s="201"/>
      <c r="AB385" s="200"/>
      <c r="AC385" s="200"/>
    </row>
    <row r="386" ht="15.0" customHeight="1">
      <c r="A386" s="210">
        <f t="shared" si="1"/>
        <v>384</v>
      </c>
      <c r="B386" s="217"/>
      <c r="C386" s="217"/>
      <c r="D386" s="240"/>
      <c r="E386" s="241"/>
      <c r="F386" s="217"/>
      <c r="G386" s="207"/>
      <c r="H386" s="209"/>
      <c r="I386" s="209"/>
      <c r="J386" s="209"/>
      <c r="K386" s="208" t="str">
        <f>IF(Errors!$I386=0,SourceData!$B$42,VLOOKUP(Errors!$I386,SourceData!$A$2:$B$40,2,FALSE))</f>
        <v>Please select ERROR CODE column "I"</v>
      </c>
      <c r="L386" s="207"/>
      <c r="M386" s="209"/>
      <c r="N386" s="242"/>
      <c r="O386" s="209"/>
      <c r="P386" s="209"/>
      <c r="Q386" s="209"/>
      <c r="R386" s="217"/>
      <c r="S386" s="217"/>
      <c r="T386" s="217"/>
      <c r="U386" s="199"/>
      <c r="V386" s="200"/>
      <c r="W386" s="200"/>
      <c r="X386" s="200"/>
      <c r="Y386" s="200"/>
      <c r="Z386" s="200"/>
      <c r="AA386" s="201"/>
      <c r="AB386" s="200"/>
      <c r="AC386" s="200"/>
    </row>
    <row r="387" ht="15.0" customHeight="1">
      <c r="A387" s="210">
        <f t="shared" si="1"/>
        <v>385</v>
      </c>
      <c r="B387" s="217"/>
      <c r="C387" s="217"/>
      <c r="D387" s="240"/>
      <c r="E387" s="241"/>
      <c r="F387" s="217"/>
      <c r="G387" s="207"/>
      <c r="H387" s="209"/>
      <c r="I387" s="209"/>
      <c r="J387" s="209"/>
      <c r="K387" s="208" t="str">
        <f>IF(Errors!$I387=0,SourceData!$B$42,VLOOKUP(Errors!$I387,SourceData!$A$2:$B$40,2,FALSE))</f>
        <v>Please select ERROR CODE column "I"</v>
      </c>
      <c r="L387" s="207"/>
      <c r="M387" s="209"/>
      <c r="N387" s="242"/>
      <c r="O387" s="209"/>
      <c r="P387" s="242"/>
      <c r="Q387" s="209"/>
      <c r="R387" s="217"/>
      <c r="S387" s="217"/>
      <c r="T387" s="217"/>
      <c r="U387" s="199"/>
      <c r="V387" s="200"/>
      <c r="W387" s="200"/>
      <c r="X387" s="200"/>
      <c r="Y387" s="200"/>
      <c r="Z387" s="200"/>
      <c r="AA387" s="201"/>
      <c r="AB387" s="200"/>
      <c r="AC387" s="200"/>
    </row>
    <row r="388" ht="15.0" customHeight="1">
      <c r="A388" s="210">
        <f t="shared" si="1"/>
        <v>386</v>
      </c>
      <c r="B388" s="217"/>
      <c r="C388" s="217"/>
      <c r="D388" s="240"/>
      <c r="E388" s="241"/>
      <c r="F388" s="217"/>
      <c r="G388" s="207"/>
      <c r="H388" s="209"/>
      <c r="I388" s="209"/>
      <c r="J388" s="209"/>
      <c r="K388" s="208" t="str">
        <f>IF(Errors!$I388=0,SourceData!$B$42,VLOOKUP(Errors!$I388,SourceData!$A$2:$B$40,2,FALSE))</f>
        <v>Please select ERROR CODE column "I"</v>
      </c>
      <c r="L388" s="207"/>
      <c r="M388" s="209"/>
      <c r="N388" s="242"/>
      <c r="O388" s="209"/>
      <c r="P388" s="209"/>
      <c r="Q388" s="209"/>
      <c r="R388" s="217"/>
      <c r="S388" s="217"/>
      <c r="T388" s="217"/>
      <c r="U388" s="199"/>
      <c r="V388" s="200"/>
      <c r="W388" s="200"/>
      <c r="X388" s="200"/>
      <c r="Y388" s="200"/>
      <c r="Z388" s="200"/>
      <c r="AA388" s="201"/>
      <c r="AB388" s="200"/>
      <c r="AC388" s="200"/>
    </row>
    <row r="389" ht="15.0" customHeight="1">
      <c r="A389" s="222">
        <f t="shared" si="1"/>
        <v>387</v>
      </c>
      <c r="B389" s="217"/>
      <c r="C389" s="217"/>
      <c r="D389" s="240"/>
      <c r="E389" s="241"/>
      <c r="F389" s="217"/>
      <c r="G389" s="207"/>
      <c r="H389" s="209"/>
      <c r="I389" s="209"/>
      <c r="J389" s="209"/>
      <c r="K389" s="208" t="str">
        <f>IF(Errors!$I389=0,SourceData!$B$42,VLOOKUP(Errors!$I389,SourceData!$A$2:$B$40,2,FALSE))</f>
        <v>Please select ERROR CODE column "I"</v>
      </c>
      <c r="L389" s="207"/>
      <c r="M389" s="209"/>
      <c r="N389" s="209"/>
      <c r="O389" s="209"/>
      <c r="P389" s="209"/>
      <c r="Q389" s="209"/>
      <c r="R389" s="217"/>
      <c r="S389" s="217"/>
      <c r="T389" s="217"/>
      <c r="U389" s="199"/>
      <c r="V389" s="200"/>
      <c r="W389" s="200"/>
      <c r="X389" s="200"/>
      <c r="Y389" s="200"/>
      <c r="Z389" s="200"/>
      <c r="AA389" s="201"/>
      <c r="AB389" s="200"/>
      <c r="AC389" s="200"/>
    </row>
    <row r="390" ht="15.0" customHeight="1">
      <c r="A390" s="210">
        <f t="shared" si="1"/>
        <v>388</v>
      </c>
      <c r="B390" s="217"/>
      <c r="C390" s="217"/>
      <c r="D390" s="240"/>
      <c r="E390" s="241"/>
      <c r="F390" s="217"/>
      <c r="G390" s="207"/>
      <c r="H390" s="209"/>
      <c r="I390" s="209"/>
      <c r="J390" s="209"/>
      <c r="K390" s="208" t="str">
        <f>IF(Errors!$I390=0,SourceData!$B$42,VLOOKUP(Errors!$I390,SourceData!$A$2:$B$40,2,FALSE))</f>
        <v>Please select ERROR CODE column "I"</v>
      </c>
      <c r="L390" s="207"/>
      <c r="M390" s="209"/>
      <c r="N390" s="209"/>
      <c r="O390" s="209"/>
      <c r="P390" s="209"/>
      <c r="Q390" s="209"/>
      <c r="R390" s="217"/>
      <c r="S390" s="217"/>
      <c r="T390" s="217"/>
      <c r="U390" s="199"/>
      <c r="V390" s="200"/>
      <c r="W390" s="200"/>
      <c r="X390" s="200"/>
      <c r="Y390" s="200"/>
      <c r="Z390" s="200"/>
      <c r="AA390" s="201"/>
      <c r="AB390" s="200"/>
      <c r="AC390" s="200"/>
    </row>
    <row r="391" ht="15.0" customHeight="1">
      <c r="A391" s="210">
        <f t="shared" si="1"/>
        <v>389</v>
      </c>
      <c r="B391" s="217"/>
      <c r="C391" s="217"/>
      <c r="D391" s="240"/>
      <c r="E391" s="241"/>
      <c r="F391" s="217"/>
      <c r="G391" s="207"/>
      <c r="H391" s="209"/>
      <c r="I391" s="209"/>
      <c r="J391" s="209"/>
      <c r="K391" s="208" t="str">
        <f>IF(Errors!$I391=0,SourceData!$B$42,VLOOKUP(Errors!$I391,SourceData!$A$2:$B$40,2,FALSE))</f>
        <v>Please select ERROR CODE column "I"</v>
      </c>
      <c r="L391" s="207"/>
      <c r="M391" s="209"/>
      <c r="N391" s="242"/>
      <c r="O391" s="209"/>
      <c r="P391" s="209"/>
      <c r="Q391" s="209"/>
      <c r="R391" s="217"/>
      <c r="S391" s="217"/>
      <c r="T391" s="217"/>
      <c r="U391" s="199"/>
      <c r="V391" s="200"/>
      <c r="W391" s="200"/>
      <c r="X391" s="200"/>
      <c r="Y391" s="200"/>
      <c r="Z391" s="200"/>
      <c r="AA391" s="201"/>
      <c r="AB391" s="200"/>
      <c r="AC391" s="200"/>
    </row>
    <row r="392" ht="15.0" customHeight="1">
      <c r="A392" s="210">
        <f t="shared" si="1"/>
        <v>390</v>
      </c>
      <c r="B392" s="217"/>
      <c r="C392" s="217"/>
      <c r="D392" s="240"/>
      <c r="E392" s="241"/>
      <c r="F392" s="217"/>
      <c r="G392" s="207"/>
      <c r="H392" s="209"/>
      <c r="I392" s="209"/>
      <c r="J392" s="209"/>
      <c r="K392" s="208" t="str">
        <f>IF(Errors!$I392=0,SourceData!$B$42,VLOOKUP(Errors!$I392,SourceData!$A$2:$B$40,2,FALSE))</f>
        <v>Please select ERROR CODE column "I"</v>
      </c>
      <c r="L392" s="207"/>
      <c r="M392" s="209"/>
      <c r="N392" s="242"/>
      <c r="O392" s="209"/>
      <c r="P392" s="209"/>
      <c r="Q392" s="209"/>
      <c r="R392" s="217"/>
      <c r="S392" s="217"/>
      <c r="T392" s="217"/>
      <c r="U392" s="199"/>
      <c r="V392" s="200"/>
      <c r="W392" s="200"/>
      <c r="X392" s="200"/>
      <c r="Y392" s="200"/>
      <c r="Z392" s="200"/>
      <c r="AA392" s="201"/>
      <c r="AB392" s="200"/>
      <c r="AC392" s="200"/>
    </row>
    <row r="393" ht="15.0" customHeight="1">
      <c r="A393" s="210">
        <f t="shared" si="1"/>
        <v>391</v>
      </c>
      <c r="B393" s="217"/>
      <c r="C393" s="217"/>
      <c r="D393" s="240"/>
      <c r="E393" s="241"/>
      <c r="F393" s="217"/>
      <c r="G393" s="207"/>
      <c r="H393" s="209"/>
      <c r="I393" s="209"/>
      <c r="J393" s="209"/>
      <c r="K393" s="208" t="str">
        <f>IF(Errors!$I393=0,SourceData!$B$42,VLOOKUP(Errors!$I393,SourceData!$A$2:$B$40,2,FALSE))</f>
        <v>Please select ERROR CODE column "I"</v>
      </c>
      <c r="L393" s="207"/>
      <c r="M393" s="209"/>
      <c r="N393" s="209"/>
      <c r="O393" s="209"/>
      <c r="P393" s="209"/>
      <c r="Q393" s="209"/>
      <c r="R393" s="217"/>
      <c r="S393" s="217"/>
      <c r="T393" s="217"/>
      <c r="U393" s="199"/>
      <c r="V393" s="200"/>
      <c r="W393" s="200"/>
      <c r="X393" s="200"/>
      <c r="Y393" s="200"/>
      <c r="Z393" s="200"/>
      <c r="AA393" s="201"/>
      <c r="AB393" s="200"/>
      <c r="AC393" s="200"/>
    </row>
    <row r="394" ht="15.0" customHeight="1">
      <c r="A394" s="210">
        <f t="shared" si="1"/>
        <v>392</v>
      </c>
      <c r="B394" s="217"/>
      <c r="C394" s="217"/>
      <c r="D394" s="240"/>
      <c r="E394" s="241"/>
      <c r="F394" s="217"/>
      <c r="G394" s="207"/>
      <c r="H394" s="209"/>
      <c r="I394" s="209"/>
      <c r="J394" s="209"/>
      <c r="K394" s="208" t="str">
        <f>IF(Errors!$I394=0,SourceData!$B$42,VLOOKUP(Errors!$I394,SourceData!$A$2:$B$40,2,FALSE))</f>
        <v>Please select ERROR CODE column "I"</v>
      </c>
      <c r="L394" s="207"/>
      <c r="M394" s="209"/>
      <c r="N394" s="209"/>
      <c r="O394" s="209"/>
      <c r="P394" s="209"/>
      <c r="Q394" s="209"/>
      <c r="R394" s="217"/>
      <c r="S394" s="217"/>
      <c r="T394" s="217"/>
      <c r="U394" s="199"/>
      <c r="V394" s="200"/>
      <c r="W394" s="200"/>
      <c r="X394" s="200"/>
      <c r="Y394" s="200"/>
      <c r="Z394" s="200"/>
      <c r="AA394" s="201"/>
      <c r="AB394" s="200"/>
      <c r="AC394" s="200"/>
    </row>
    <row r="395" ht="15.0" customHeight="1">
      <c r="A395" s="222">
        <f t="shared" si="1"/>
        <v>393</v>
      </c>
      <c r="B395" s="217"/>
      <c r="C395" s="217"/>
      <c r="D395" s="240"/>
      <c r="E395" s="241"/>
      <c r="F395" s="217"/>
      <c r="G395" s="207"/>
      <c r="H395" s="209"/>
      <c r="I395" s="209"/>
      <c r="J395" s="209"/>
      <c r="K395" s="208" t="str">
        <f>IF(Errors!$I395=0,SourceData!$B$42,VLOOKUP(Errors!$I395,SourceData!$A$2:$B$40,2,FALSE))</f>
        <v>Please select ERROR CODE column "I"</v>
      </c>
      <c r="L395" s="207"/>
      <c r="M395" s="209"/>
      <c r="N395" s="209"/>
      <c r="O395" s="209"/>
      <c r="P395" s="209"/>
      <c r="Q395" s="209"/>
      <c r="R395" s="217"/>
      <c r="S395" s="217"/>
      <c r="T395" s="217"/>
      <c r="U395" s="199"/>
      <c r="V395" s="200"/>
      <c r="W395" s="200"/>
      <c r="X395" s="200"/>
      <c r="Y395" s="200"/>
      <c r="Z395" s="200"/>
      <c r="AA395" s="201"/>
      <c r="AB395" s="200"/>
      <c r="AC395" s="200"/>
    </row>
    <row r="396" ht="15.0" customHeight="1">
      <c r="A396" s="210">
        <f t="shared" si="1"/>
        <v>394</v>
      </c>
      <c r="B396" s="217"/>
      <c r="C396" s="217"/>
      <c r="D396" s="240"/>
      <c r="E396" s="241"/>
      <c r="F396" s="217"/>
      <c r="G396" s="207"/>
      <c r="H396" s="209"/>
      <c r="I396" s="209"/>
      <c r="J396" s="209"/>
      <c r="K396" s="208" t="str">
        <f>IF(Errors!$I396=0,SourceData!$B$42,VLOOKUP(Errors!$I396,SourceData!$A$2:$B$40,2,FALSE))</f>
        <v>Please select ERROR CODE column "I"</v>
      </c>
      <c r="L396" s="207"/>
      <c r="M396" s="209"/>
      <c r="N396" s="209"/>
      <c r="O396" s="209"/>
      <c r="P396" s="209"/>
      <c r="Q396" s="209"/>
      <c r="R396" s="217"/>
      <c r="S396" s="217"/>
      <c r="T396" s="217"/>
      <c r="U396" s="199"/>
      <c r="V396" s="200"/>
      <c r="W396" s="200"/>
      <c r="X396" s="200"/>
      <c r="Y396" s="200"/>
      <c r="Z396" s="200"/>
      <c r="AA396" s="201"/>
      <c r="AB396" s="200"/>
      <c r="AC396" s="200"/>
    </row>
    <row r="397" ht="15.0" customHeight="1">
      <c r="A397" s="210">
        <f t="shared" si="1"/>
        <v>395</v>
      </c>
      <c r="B397" s="217"/>
      <c r="C397" s="217"/>
      <c r="D397" s="240"/>
      <c r="E397" s="241"/>
      <c r="F397" s="217"/>
      <c r="G397" s="207"/>
      <c r="H397" s="207"/>
      <c r="I397" s="209"/>
      <c r="J397" s="209"/>
      <c r="K397" s="208" t="str">
        <f>IF(Errors!$I397=0,SourceData!$B$42,VLOOKUP(Errors!$I397,SourceData!$A$2:$B$40,2,FALSE))</f>
        <v>Please select ERROR CODE column "I"</v>
      </c>
      <c r="L397" s="207"/>
      <c r="M397" s="209"/>
      <c r="N397" s="242"/>
      <c r="O397" s="209"/>
      <c r="P397" s="209"/>
      <c r="Q397" s="242"/>
      <c r="R397" s="217"/>
      <c r="S397" s="217"/>
      <c r="T397" s="217"/>
      <c r="U397" s="199"/>
      <c r="V397" s="200"/>
      <c r="W397" s="200"/>
      <c r="X397" s="200"/>
      <c r="Y397" s="200"/>
      <c r="Z397" s="200"/>
      <c r="AA397" s="201"/>
      <c r="AB397" s="200"/>
      <c r="AC397" s="200"/>
    </row>
    <row r="398" ht="15.0" customHeight="1">
      <c r="A398" s="210">
        <f t="shared" si="1"/>
        <v>396</v>
      </c>
      <c r="B398" s="217"/>
      <c r="C398" s="217"/>
      <c r="D398" s="240"/>
      <c r="E398" s="241"/>
      <c r="F398" s="217"/>
      <c r="G398" s="207"/>
      <c r="H398" s="207"/>
      <c r="I398" s="209"/>
      <c r="J398" s="209"/>
      <c r="K398" s="208" t="str">
        <f>IF(Errors!$I398=0,SourceData!$B$42,VLOOKUP(Errors!$I398,SourceData!$A$2:$B$40,2,FALSE))</f>
        <v>Please select ERROR CODE column "I"</v>
      </c>
      <c r="L398" s="207"/>
      <c r="M398" s="209"/>
      <c r="N398" s="242"/>
      <c r="O398" s="209"/>
      <c r="P398" s="209"/>
      <c r="Q398" s="242"/>
      <c r="R398" s="217"/>
      <c r="S398" s="217"/>
      <c r="T398" s="217"/>
      <c r="U398" s="199"/>
      <c r="V398" s="200"/>
      <c r="W398" s="200"/>
      <c r="X398" s="200"/>
      <c r="Y398" s="200"/>
      <c r="Z398" s="200"/>
      <c r="AA398" s="201"/>
      <c r="AB398" s="200"/>
      <c r="AC398" s="200"/>
    </row>
    <row r="399" ht="15.0" customHeight="1">
      <c r="A399" s="210">
        <f t="shared" si="1"/>
        <v>397</v>
      </c>
      <c r="B399" s="217"/>
      <c r="C399" s="217"/>
      <c r="D399" s="240"/>
      <c r="E399" s="241"/>
      <c r="F399" s="217"/>
      <c r="G399" s="207"/>
      <c r="H399" s="209"/>
      <c r="I399" s="209"/>
      <c r="J399" s="209"/>
      <c r="K399" s="208" t="str">
        <f>IF(Errors!$I399=0,SourceData!$B$42,VLOOKUP(Errors!$I399,SourceData!$A$2:$B$40,2,FALSE))</f>
        <v>Please select ERROR CODE column "I"</v>
      </c>
      <c r="L399" s="207"/>
      <c r="M399" s="209"/>
      <c r="N399" s="209"/>
      <c r="O399" s="209"/>
      <c r="P399" s="209"/>
      <c r="Q399" s="209"/>
      <c r="R399" s="217"/>
      <c r="S399" s="217"/>
      <c r="T399" s="217"/>
      <c r="U399" s="199"/>
      <c r="V399" s="200"/>
      <c r="W399" s="200"/>
      <c r="X399" s="200"/>
      <c r="Y399" s="200"/>
      <c r="Z399" s="200"/>
      <c r="AA399" s="201"/>
      <c r="AB399" s="200"/>
      <c r="AC399" s="200"/>
    </row>
    <row r="400" ht="15.0" customHeight="1">
      <c r="A400" s="210">
        <f t="shared" si="1"/>
        <v>398</v>
      </c>
      <c r="B400" s="217"/>
      <c r="C400" s="217"/>
      <c r="D400" s="240"/>
      <c r="E400" s="241"/>
      <c r="F400" s="217"/>
      <c r="G400" s="207"/>
      <c r="H400" s="209"/>
      <c r="I400" s="209"/>
      <c r="J400" s="209"/>
      <c r="K400" s="208" t="str">
        <f>IF(Errors!$I400=0,SourceData!$B$42,VLOOKUP(Errors!$I400,SourceData!$A$2:$B$40,2,FALSE))</f>
        <v>Please select ERROR CODE column "I"</v>
      </c>
      <c r="L400" s="207"/>
      <c r="M400" s="209"/>
      <c r="N400" s="209"/>
      <c r="O400" s="209"/>
      <c r="P400" s="209"/>
      <c r="Q400" s="209"/>
      <c r="R400" s="217"/>
      <c r="S400" s="217"/>
      <c r="T400" s="217"/>
      <c r="U400" s="199"/>
      <c r="V400" s="200"/>
      <c r="W400" s="200"/>
      <c r="X400" s="200"/>
      <c r="Y400" s="200"/>
      <c r="Z400" s="200"/>
      <c r="AA400" s="201"/>
      <c r="AB400" s="200"/>
      <c r="AC400" s="200"/>
    </row>
    <row r="401" ht="15.0" customHeight="1">
      <c r="A401" s="210">
        <f t="shared" si="1"/>
        <v>399</v>
      </c>
      <c r="B401" s="217"/>
      <c r="C401" s="217"/>
      <c r="D401" s="240"/>
      <c r="E401" s="241"/>
      <c r="F401" s="217"/>
      <c r="G401" s="207"/>
      <c r="H401" s="209"/>
      <c r="I401" s="209"/>
      <c r="J401" s="209"/>
      <c r="K401" s="208" t="str">
        <f>IF(Errors!$I401=0,SourceData!$B$42,VLOOKUP(Errors!$I401,SourceData!$A$2:$B$40,2,FALSE))</f>
        <v>Please select ERROR CODE column "I"</v>
      </c>
      <c r="L401" s="207"/>
      <c r="M401" s="209"/>
      <c r="N401" s="209"/>
      <c r="O401" s="209"/>
      <c r="P401" s="209"/>
      <c r="Q401" s="209"/>
      <c r="R401" s="217"/>
      <c r="S401" s="217"/>
      <c r="T401" s="217"/>
      <c r="U401" s="199"/>
      <c r="V401" s="200"/>
      <c r="W401" s="200"/>
      <c r="X401" s="200"/>
      <c r="Y401" s="200"/>
      <c r="Z401" s="200"/>
      <c r="AA401" s="201"/>
      <c r="AB401" s="200"/>
      <c r="AC401" s="200"/>
    </row>
    <row r="402" ht="15.0" customHeight="1">
      <c r="A402" s="210">
        <f t="shared" si="1"/>
        <v>400</v>
      </c>
      <c r="B402" s="217"/>
      <c r="C402" s="217"/>
      <c r="D402" s="240"/>
      <c r="E402" s="241"/>
      <c r="F402" s="217"/>
      <c r="G402" s="207"/>
      <c r="H402" s="209"/>
      <c r="I402" s="209"/>
      <c r="J402" s="209"/>
      <c r="K402" s="208" t="str">
        <f>IF(Errors!$I402=0,SourceData!$B$42,VLOOKUP(Errors!$I402,SourceData!$A$2:$B$40,2,FALSE))</f>
        <v>Please select ERROR CODE column "I"</v>
      </c>
      <c r="L402" s="207"/>
      <c r="M402" s="209"/>
      <c r="N402" s="209"/>
      <c r="O402" s="209"/>
      <c r="P402" s="209"/>
      <c r="Q402" s="209"/>
      <c r="R402" s="217"/>
      <c r="S402" s="217"/>
      <c r="T402" s="217"/>
      <c r="U402" s="199"/>
      <c r="V402" s="200"/>
      <c r="W402" s="200"/>
      <c r="X402" s="200"/>
      <c r="Y402" s="200"/>
      <c r="Z402" s="200"/>
      <c r="AA402" s="201"/>
      <c r="AB402" s="200"/>
      <c r="AC402" s="200"/>
    </row>
    <row r="403" ht="15.0" customHeight="1">
      <c r="A403" s="210">
        <f t="shared" si="1"/>
        <v>401</v>
      </c>
      <c r="B403" s="217"/>
      <c r="C403" s="217"/>
      <c r="D403" s="240"/>
      <c r="E403" s="241"/>
      <c r="F403" s="217"/>
      <c r="G403" s="207"/>
      <c r="H403" s="209"/>
      <c r="I403" s="209"/>
      <c r="J403" s="209"/>
      <c r="K403" s="208" t="str">
        <f>IF(Errors!$I403=0,SourceData!$B$42,VLOOKUP(Errors!$I403,SourceData!$A$2:$B$40,2,FALSE))</f>
        <v>Please select ERROR CODE column "I"</v>
      </c>
      <c r="L403" s="207"/>
      <c r="M403" s="209"/>
      <c r="N403" s="209"/>
      <c r="O403" s="209"/>
      <c r="P403" s="209"/>
      <c r="Q403" s="209"/>
      <c r="R403" s="217"/>
      <c r="S403" s="217"/>
      <c r="T403" s="217"/>
      <c r="U403" s="199"/>
      <c r="V403" s="200"/>
      <c r="W403" s="200"/>
      <c r="X403" s="200"/>
      <c r="Y403" s="200"/>
      <c r="Z403" s="200"/>
      <c r="AA403" s="201"/>
      <c r="AB403" s="200"/>
      <c r="AC403" s="200"/>
    </row>
    <row r="404" ht="15.0" customHeight="1">
      <c r="A404" s="210">
        <f t="shared" si="1"/>
        <v>402</v>
      </c>
      <c r="B404" s="217"/>
      <c r="C404" s="217"/>
      <c r="D404" s="240"/>
      <c r="E404" s="241"/>
      <c r="F404" s="217"/>
      <c r="G404" s="207"/>
      <c r="H404" s="209"/>
      <c r="I404" s="209"/>
      <c r="J404" s="209"/>
      <c r="K404" s="208" t="str">
        <f>IF(Errors!$I404=0,SourceData!$B$42,VLOOKUP(Errors!$I404,SourceData!$A$2:$B$40,2,FALSE))</f>
        <v>Please select ERROR CODE column "I"</v>
      </c>
      <c r="L404" s="207"/>
      <c r="M404" s="209"/>
      <c r="N404" s="209"/>
      <c r="O404" s="209"/>
      <c r="P404" s="209"/>
      <c r="Q404" s="209"/>
      <c r="R404" s="217"/>
      <c r="S404" s="217"/>
      <c r="T404" s="217"/>
      <c r="U404" s="199"/>
      <c r="V404" s="200"/>
      <c r="W404" s="200"/>
      <c r="X404" s="200"/>
      <c r="Y404" s="200"/>
      <c r="Z404" s="200"/>
      <c r="AA404" s="201"/>
      <c r="AB404" s="200"/>
      <c r="AC404" s="200"/>
    </row>
    <row r="405" ht="15.0" customHeight="1">
      <c r="A405" s="210">
        <f t="shared" si="1"/>
        <v>403</v>
      </c>
      <c r="B405" s="217"/>
      <c r="C405" s="217"/>
      <c r="D405" s="240"/>
      <c r="E405" s="241"/>
      <c r="F405" s="217"/>
      <c r="G405" s="207"/>
      <c r="H405" s="209"/>
      <c r="I405" s="209"/>
      <c r="J405" s="209"/>
      <c r="K405" s="208" t="str">
        <f>IF(Errors!$I405=0,SourceData!$B$42,VLOOKUP(Errors!$I405,SourceData!$A$2:$B$40,2,FALSE))</f>
        <v>Please select ERROR CODE column "I"</v>
      </c>
      <c r="L405" s="207"/>
      <c r="M405" s="209"/>
      <c r="N405" s="209"/>
      <c r="O405" s="209"/>
      <c r="P405" s="242"/>
      <c r="Q405" s="209"/>
      <c r="R405" s="217"/>
      <c r="S405" s="217"/>
      <c r="T405" s="217"/>
      <c r="U405" s="199"/>
      <c r="V405" s="200"/>
      <c r="W405" s="200"/>
      <c r="X405" s="200"/>
      <c r="Y405" s="200"/>
      <c r="Z405" s="200"/>
      <c r="AA405" s="201"/>
      <c r="AB405" s="200"/>
      <c r="AC405" s="200"/>
    </row>
    <row r="406" ht="15.0" customHeight="1">
      <c r="A406" s="210">
        <f t="shared" si="1"/>
        <v>404</v>
      </c>
      <c r="B406" s="217"/>
      <c r="C406" s="217"/>
      <c r="D406" s="240"/>
      <c r="E406" s="241"/>
      <c r="F406" s="217"/>
      <c r="G406" s="207"/>
      <c r="H406" s="209"/>
      <c r="I406" s="209"/>
      <c r="J406" s="209"/>
      <c r="K406" s="208" t="str">
        <f>IF(Errors!$I406=0,SourceData!$B$42,VLOOKUP(Errors!$I406,SourceData!$A$2:$B$40,2,FALSE))</f>
        <v>Please select ERROR CODE column "I"</v>
      </c>
      <c r="L406" s="207"/>
      <c r="M406" s="209"/>
      <c r="N406" s="209"/>
      <c r="O406" s="209"/>
      <c r="P406" s="242"/>
      <c r="Q406" s="209"/>
      <c r="R406" s="217"/>
      <c r="S406" s="217"/>
      <c r="T406" s="217"/>
      <c r="U406" s="199"/>
      <c r="V406" s="200"/>
      <c r="W406" s="200"/>
      <c r="X406" s="200"/>
      <c r="Y406" s="200"/>
      <c r="Z406" s="200"/>
      <c r="AA406" s="201"/>
      <c r="AB406" s="200"/>
      <c r="AC406" s="200"/>
    </row>
    <row r="407" ht="15.0" customHeight="1">
      <c r="A407" s="210">
        <f t="shared" si="1"/>
        <v>405</v>
      </c>
      <c r="B407" s="217"/>
      <c r="C407" s="217"/>
      <c r="D407" s="240"/>
      <c r="E407" s="241"/>
      <c r="F407" s="217"/>
      <c r="G407" s="207"/>
      <c r="H407" s="209"/>
      <c r="I407" s="209"/>
      <c r="J407" s="209"/>
      <c r="K407" s="208" t="str">
        <f>IF(Errors!$I407=0,SourceData!$B$42,VLOOKUP(Errors!$I407,SourceData!$A$2:$B$40,2,FALSE))</f>
        <v>Please select ERROR CODE column "I"</v>
      </c>
      <c r="L407" s="207"/>
      <c r="M407" s="209"/>
      <c r="N407" s="209"/>
      <c r="O407" s="209"/>
      <c r="P407" s="242"/>
      <c r="Q407" s="209"/>
      <c r="R407" s="217"/>
      <c r="S407" s="217"/>
      <c r="T407" s="217"/>
      <c r="U407" s="199"/>
      <c r="V407" s="200"/>
      <c r="W407" s="200"/>
      <c r="X407" s="200"/>
      <c r="Y407" s="200"/>
      <c r="Z407" s="200"/>
      <c r="AA407" s="201"/>
      <c r="AB407" s="200"/>
      <c r="AC407" s="200"/>
    </row>
    <row r="408" ht="15.0" customHeight="1">
      <c r="A408" s="210">
        <f t="shared" si="1"/>
        <v>406</v>
      </c>
      <c r="B408" s="217"/>
      <c r="C408" s="217"/>
      <c r="D408" s="240"/>
      <c r="E408" s="241"/>
      <c r="F408" s="217"/>
      <c r="G408" s="207"/>
      <c r="H408" s="209"/>
      <c r="I408" s="209"/>
      <c r="J408" s="209"/>
      <c r="K408" s="208" t="str">
        <f>IF(Errors!$I408=0,SourceData!$B$42,VLOOKUP(Errors!$I408,SourceData!$A$2:$B$40,2,FALSE))</f>
        <v>Please select ERROR CODE column "I"</v>
      </c>
      <c r="L408" s="207"/>
      <c r="M408" s="209"/>
      <c r="N408" s="209"/>
      <c r="O408" s="209"/>
      <c r="P408" s="242"/>
      <c r="Q408" s="209"/>
      <c r="R408" s="217"/>
      <c r="S408" s="217"/>
      <c r="T408" s="217"/>
      <c r="U408" s="199"/>
      <c r="V408" s="200"/>
      <c r="W408" s="200"/>
      <c r="X408" s="200"/>
      <c r="Y408" s="200"/>
      <c r="Z408" s="200"/>
      <c r="AA408" s="201"/>
      <c r="AB408" s="200"/>
      <c r="AC408" s="200"/>
    </row>
    <row r="409" ht="15.0" customHeight="1">
      <c r="A409" s="210">
        <f t="shared" si="1"/>
        <v>407</v>
      </c>
      <c r="B409" s="217"/>
      <c r="C409" s="217"/>
      <c r="D409" s="240"/>
      <c r="E409" s="241"/>
      <c r="F409" s="217"/>
      <c r="G409" s="207"/>
      <c r="H409" s="209"/>
      <c r="I409" s="209"/>
      <c r="J409" s="209"/>
      <c r="K409" s="208" t="str">
        <f>IF(Errors!$I409=0,SourceData!$B$42,VLOOKUP(Errors!$I409,SourceData!$A$2:$B$40,2,FALSE))</f>
        <v>Please select ERROR CODE column "I"</v>
      </c>
      <c r="L409" s="207"/>
      <c r="M409" s="209"/>
      <c r="N409" s="209"/>
      <c r="O409" s="209"/>
      <c r="P409" s="242"/>
      <c r="Q409" s="209"/>
      <c r="R409" s="217"/>
      <c r="S409" s="217"/>
      <c r="T409" s="217"/>
      <c r="U409" s="199"/>
      <c r="V409" s="200"/>
      <c r="W409" s="200"/>
      <c r="X409" s="200"/>
      <c r="Y409" s="200"/>
      <c r="Z409" s="200"/>
      <c r="AA409" s="201"/>
      <c r="AB409" s="200"/>
      <c r="AC409" s="200"/>
    </row>
    <row r="410" ht="15.0" customHeight="1">
      <c r="A410" s="210">
        <f t="shared" si="1"/>
        <v>408</v>
      </c>
      <c r="B410" s="217"/>
      <c r="C410" s="217"/>
      <c r="D410" s="240"/>
      <c r="E410" s="241"/>
      <c r="F410" s="248"/>
      <c r="G410" s="207"/>
      <c r="H410" s="209"/>
      <c r="I410" s="209"/>
      <c r="J410" s="209"/>
      <c r="K410" s="208" t="str">
        <f>IF(Errors!$I410=0,SourceData!$B$42,VLOOKUP(Errors!$I410,SourceData!$A$2:$B$40,2,FALSE))</f>
        <v>Please select ERROR CODE column "I"</v>
      </c>
      <c r="L410" s="207"/>
      <c r="M410" s="209"/>
      <c r="N410" s="209"/>
      <c r="O410" s="209"/>
      <c r="P410" s="209"/>
      <c r="Q410" s="209"/>
      <c r="R410" s="217"/>
      <c r="S410" s="217"/>
      <c r="T410" s="217"/>
      <c r="U410" s="199"/>
      <c r="V410" s="200"/>
      <c r="W410" s="200"/>
      <c r="X410" s="200"/>
      <c r="Y410" s="200"/>
      <c r="Z410" s="200"/>
      <c r="AA410" s="201"/>
      <c r="AB410" s="200"/>
      <c r="AC410" s="200"/>
    </row>
    <row r="411" ht="15.0" customHeight="1">
      <c r="A411" s="210">
        <f t="shared" si="1"/>
        <v>409</v>
      </c>
      <c r="B411" s="217"/>
      <c r="C411" s="217"/>
      <c r="D411" s="240"/>
      <c r="E411" s="241"/>
      <c r="F411" s="248"/>
      <c r="G411" s="207"/>
      <c r="H411" s="209"/>
      <c r="I411" s="209"/>
      <c r="J411" s="209"/>
      <c r="K411" s="208" t="str">
        <f>IF(Errors!$I411=0,SourceData!$B$42,VLOOKUP(Errors!$I411,SourceData!$A$2:$B$40,2,FALSE))</f>
        <v>Please select ERROR CODE column "I"</v>
      </c>
      <c r="L411" s="207"/>
      <c r="M411" s="209"/>
      <c r="N411" s="209"/>
      <c r="O411" s="209"/>
      <c r="P411" s="209"/>
      <c r="Q411" s="209"/>
      <c r="R411" s="217"/>
      <c r="S411" s="217"/>
      <c r="T411" s="217"/>
      <c r="U411" s="199"/>
      <c r="V411" s="200"/>
      <c r="W411" s="200"/>
      <c r="X411" s="200"/>
      <c r="Y411" s="200"/>
      <c r="Z411" s="200"/>
      <c r="AA411" s="201"/>
      <c r="AB411" s="200"/>
      <c r="AC411" s="200"/>
    </row>
    <row r="412" ht="15.0" customHeight="1">
      <c r="A412" s="210">
        <f t="shared" si="1"/>
        <v>410</v>
      </c>
      <c r="B412" s="217"/>
      <c r="C412" s="217"/>
      <c r="D412" s="240"/>
      <c r="E412" s="241"/>
      <c r="F412" s="248"/>
      <c r="G412" s="207"/>
      <c r="H412" s="209"/>
      <c r="I412" s="209"/>
      <c r="J412" s="209"/>
      <c r="K412" s="208" t="str">
        <f>IF(Errors!$I412=0,SourceData!$B$42,VLOOKUP(Errors!$I412,SourceData!$A$2:$B$40,2,FALSE))</f>
        <v>Please select ERROR CODE column "I"</v>
      </c>
      <c r="L412" s="207"/>
      <c r="M412" s="209"/>
      <c r="N412" s="209"/>
      <c r="O412" s="209"/>
      <c r="P412" s="209"/>
      <c r="Q412" s="209"/>
      <c r="R412" s="217"/>
      <c r="S412" s="217"/>
      <c r="T412" s="217"/>
      <c r="U412" s="199"/>
      <c r="V412" s="200"/>
      <c r="W412" s="200"/>
      <c r="X412" s="200"/>
      <c r="Y412" s="200"/>
      <c r="Z412" s="200"/>
      <c r="AA412" s="201"/>
      <c r="AB412" s="200"/>
      <c r="AC412" s="200"/>
    </row>
    <row r="413" ht="15.0" customHeight="1">
      <c r="A413" s="210">
        <f t="shared" si="1"/>
        <v>411</v>
      </c>
      <c r="B413" s="217"/>
      <c r="C413" s="217"/>
      <c r="D413" s="240"/>
      <c r="E413" s="241"/>
      <c r="F413" s="248"/>
      <c r="G413" s="207"/>
      <c r="H413" s="209"/>
      <c r="I413" s="209"/>
      <c r="J413" s="209"/>
      <c r="K413" s="208" t="str">
        <f>IF(Errors!$I413=0,SourceData!$B$42,VLOOKUP(Errors!$I413,SourceData!$A$2:$B$40,2,FALSE))</f>
        <v>Please select ERROR CODE column "I"</v>
      </c>
      <c r="L413" s="207"/>
      <c r="M413" s="209"/>
      <c r="N413" s="209"/>
      <c r="O413" s="209"/>
      <c r="P413" s="209"/>
      <c r="Q413" s="209"/>
      <c r="R413" s="217"/>
      <c r="S413" s="217"/>
      <c r="T413" s="217"/>
      <c r="U413" s="199"/>
      <c r="V413" s="200"/>
      <c r="W413" s="200"/>
      <c r="X413" s="200"/>
      <c r="Y413" s="200"/>
      <c r="Z413" s="200"/>
      <c r="AA413" s="201"/>
      <c r="AB413" s="200"/>
      <c r="AC413" s="200"/>
    </row>
    <row r="414" ht="15.0" customHeight="1">
      <c r="A414" s="210">
        <f t="shared" si="1"/>
        <v>412</v>
      </c>
      <c r="B414" s="217"/>
      <c r="C414" s="217"/>
      <c r="D414" s="240"/>
      <c r="E414" s="241"/>
      <c r="F414" s="248"/>
      <c r="G414" s="207"/>
      <c r="H414" s="209"/>
      <c r="I414" s="209"/>
      <c r="J414" s="209"/>
      <c r="K414" s="208" t="str">
        <f>IF(Errors!$I414=0,SourceData!$B$42,VLOOKUP(Errors!$I414,SourceData!$A$2:$B$40,2,FALSE))</f>
        <v>Please select ERROR CODE column "I"</v>
      </c>
      <c r="L414" s="207"/>
      <c r="M414" s="209"/>
      <c r="N414" s="209"/>
      <c r="O414" s="209"/>
      <c r="P414" s="209"/>
      <c r="Q414" s="209"/>
      <c r="R414" s="217"/>
      <c r="S414" s="217"/>
      <c r="T414" s="217"/>
      <c r="U414" s="199"/>
      <c r="V414" s="200"/>
      <c r="W414" s="200"/>
      <c r="X414" s="200"/>
      <c r="Y414" s="200"/>
      <c r="Z414" s="200"/>
      <c r="AA414" s="201"/>
      <c r="AB414" s="200"/>
      <c r="AC414" s="200"/>
    </row>
    <row r="415" ht="15.0" customHeight="1">
      <c r="A415" s="210">
        <f t="shared" si="1"/>
        <v>413</v>
      </c>
      <c r="B415" s="217"/>
      <c r="C415" s="217"/>
      <c r="D415" s="240"/>
      <c r="E415" s="241"/>
      <c r="F415" s="248"/>
      <c r="G415" s="207"/>
      <c r="H415" s="209"/>
      <c r="I415" s="209"/>
      <c r="J415" s="209"/>
      <c r="K415" s="208" t="str">
        <f>IF(Errors!$I415=0,SourceData!$B$42,VLOOKUP(Errors!$I415,SourceData!$A$2:$B$40,2,FALSE))</f>
        <v>Please select ERROR CODE column "I"</v>
      </c>
      <c r="L415" s="207"/>
      <c r="M415" s="209"/>
      <c r="N415" s="209"/>
      <c r="O415" s="209"/>
      <c r="P415" s="209"/>
      <c r="Q415" s="209"/>
      <c r="R415" s="217"/>
      <c r="S415" s="217"/>
      <c r="T415" s="217"/>
      <c r="U415" s="199"/>
      <c r="V415" s="200"/>
      <c r="W415" s="200"/>
      <c r="X415" s="200"/>
      <c r="Y415" s="200"/>
      <c r="Z415" s="200"/>
      <c r="AA415" s="201"/>
      <c r="AB415" s="200"/>
      <c r="AC415" s="200"/>
    </row>
    <row r="416" ht="15.0" customHeight="1">
      <c r="A416" s="210">
        <f t="shared" si="1"/>
        <v>414</v>
      </c>
      <c r="B416" s="217"/>
      <c r="C416" s="217" t="str">
        <f>IFERROR(VLOOKUP(B416, SourceData!$U$3:$V$190, 2, FALSE), "")</f>
        <v/>
      </c>
      <c r="D416" s="240"/>
      <c r="E416" s="241"/>
      <c r="F416" s="248"/>
      <c r="G416" s="207"/>
      <c r="H416" s="209"/>
      <c r="I416" s="209"/>
      <c r="J416" s="209"/>
      <c r="K416" s="208" t="str">
        <f>IF(Errors!$I416=0,SourceData!$B$42,VLOOKUP(Errors!$I416,SourceData!$A$2:$B$40,2,FALSE))</f>
        <v>Please select ERROR CODE column "I"</v>
      </c>
      <c r="L416" s="207" t="str">
        <f>IF(Errors!$I416=0,
    'List of Error Codes'!$E$29,
    IFERROR(VLOOKUP(Errors!$I416, 'List of Error Codes'!D415:I445, 6, FALSE), 'List of Error Codes'!$E$29)
)</f>
        <v>Please select ERROR CODE column "I"</v>
      </c>
      <c r="M416" s="209"/>
      <c r="N416" s="209"/>
      <c r="O416" s="209"/>
      <c r="P416" s="209"/>
      <c r="Q416" s="209"/>
      <c r="R416" s="217"/>
      <c r="S416" s="217"/>
      <c r="T416" s="217"/>
      <c r="U416" s="199"/>
      <c r="V416" s="200"/>
      <c r="W416" s="200"/>
      <c r="X416" s="200"/>
      <c r="Y416" s="200"/>
      <c r="Z416" s="200"/>
      <c r="AA416" s="201"/>
      <c r="AB416" s="200"/>
      <c r="AC416" s="200"/>
    </row>
    <row r="417" ht="15.0" customHeight="1">
      <c r="A417" s="210">
        <f t="shared" si="1"/>
        <v>415</v>
      </c>
      <c r="B417" s="217"/>
      <c r="C417" s="217" t="str">
        <f>IFERROR(VLOOKUP(B417, SourceData!$U$3:$V$190, 2, FALSE), "")</f>
        <v/>
      </c>
      <c r="D417" s="240"/>
      <c r="E417" s="241"/>
      <c r="F417" s="248"/>
      <c r="G417" s="207"/>
      <c r="H417" s="209"/>
      <c r="I417" s="209"/>
      <c r="J417" s="209"/>
      <c r="K417" s="208" t="str">
        <f>IF(Errors!$I417=0,SourceData!$B$42,VLOOKUP(Errors!$I417,SourceData!$A$2:$B$40,2,FALSE))</f>
        <v>Please select ERROR CODE column "I"</v>
      </c>
      <c r="L417" s="207" t="str">
        <f>IF(Errors!$I417=0,
    'List of Error Codes'!$E$29,
    IFERROR(VLOOKUP(Errors!$I417, 'List of Error Codes'!D416:I446, 6, FALSE), 'List of Error Codes'!$E$29)
)</f>
        <v>Please select ERROR CODE column "I"</v>
      </c>
      <c r="M417" s="209"/>
      <c r="N417" s="209"/>
      <c r="O417" s="209"/>
      <c r="P417" s="209"/>
      <c r="Q417" s="209"/>
      <c r="R417" s="217"/>
      <c r="S417" s="217"/>
      <c r="T417" s="217"/>
      <c r="U417" s="199"/>
      <c r="V417" s="200"/>
      <c r="W417" s="200"/>
      <c r="X417" s="200"/>
      <c r="Y417" s="200"/>
      <c r="Z417" s="200"/>
      <c r="AA417" s="201"/>
      <c r="AB417" s="200"/>
      <c r="AC417" s="200"/>
    </row>
    <row r="418" ht="15.0" customHeight="1">
      <c r="A418" s="210">
        <f t="shared" si="1"/>
        <v>416</v>
      </c>
      <c r="B418" s="217"/>
      <c r="C418" s="217" t="str">
        <f>IFERROR(VLOOKUP(B418, SourceData!$U$3:$V$190, 2, FALSE), "")</f>
        <v/>
      </c>
      <c r="D418" s="240"/>
      <c r="E418" s="241"/>
      <c r="F418" s="248"/>
      <c r="G418" s="207"/>
      <c r="H418" s="209"/>
      <c r="I418" s="209"/>
      <c r="J418" s="209"/>
      <c r="K418" s="208" t="str">
        <f>IF(Errors!$I418=0,SourceData!$B$42,VLOOKUP(Errors!$I418,SourceData!$A$2:$B$40,2,FALSE))</f>
        <v>Please select ERROR CODE column "I"</v>
      </c>
      <c r="L418" s="207" t="str">
        <f>IF(Errors!$I418=0,
    'List of Error Codes'!$E$29,
    IFERROR(VLOOKUP(Errors!$I418, 'List of Error Codes'!D417:I447, 6, FALSE), 'List of Error Codes'!$E$29)
)</f>
        <v>Please select ERROR CODE column "I"</v>
      </c>
      <c r="M418" s="209"/>
      <c r="N418" s="209"/>
      <c r="O418" s="209"/>
      <c r="P418" s="209"/>
      <c r="Q418" s="209"/>
      <c r="R418" s="217"/>
      <c r="S418" s="217"/>
      <c r="T418" s="217"/>
      <c r="U418" s="199"/>
      <c r="V418" s="200"/>
      <c r="W418" s="200"/>
      <c r="X418" s="200"/>
      <c r="Y418" s="200"/>
      <c r="Z418" s="200"/>
      <c r="AA418" s="201"/>
      <c r="AB418" s="200"/>
      <c r="AC418" s="200"/>
    </row>
    <row r="419" ht="15.0" customHeight="1">
      <c r="A419" s="210">
        <f t="shared" si="1"/>
        <v>417</v>
      </c>
      <c r="B419" s="217"/>
      <c r="C419" s="217" t="str">
        <f>IFERROR(VLOOKUP(B419, SourceData!$U$3:$V$190, 2, FALSE), "")</f>
        <v/>
      </c>
      <c r="D419" s="240"/>
      <c r="E419" s="241"/>
      <c r="F419" s="248"/>
      <c r="G419" s="207"/>
      <c r="H419" s="209"/>
      <c r="I419" s="209"/>
      <c r="J419" s="209"/>
      <c r="K419" s="208" t="str">
        <f>IF(Errors!$I419=0,SourceData!$B$42,VLOOKUP(Errors!$I419,SourceData!$A$2:$B$40,2,FALSE))</f>
        <v>Please select ERROR CODE column "I"</v>
      </c>
      <c r="L419" s="207" t="str">
        <f>IF(Errors!$I419=0,
    'List of Error Codes'!$E$29,
    IFERROR(VLOOKUP(Errors!$I419, 'List of Error Codes'!D418:I448, 6, FALSE), 'List of Error Codes'!$E$29)
)</f>
        <v>Please select ERROR CODE column "I"</v>
      </c>
      <c r="M419" s="209"/>
      <c r="N419" s="209"/>
      <c r="O419" s="209"/>
      <c r="P419" s="209"/>
      <c r="Q419" s="209"/>
      <c r="R419" s="217"/>
      <c r="S419" s="217"/>
      <c r="T419" s="217"/>
      <c r="U419" s="199"/>
      <c r="V419" s="200"/>
      <c r="W419" s="200"/>
      <c r="X419" s="200"/>
      <c r="Y419" s="200"/>
      <c r="Z419" s="200"/>
      <c r="AA419" s="201"/>
      <c r="AB419" s="200"/>
      <c r="AC419" s="200"/>
    </row>
    <row r="420" ht="15.0" customHeight="1">
      <c r="A420" s="210">
        <f t="shared" si="1"/>
        <v>418</v>
      </c>
      <c r="B420" s="217"/>
      <c r="C420" s="217" t="str">
        <f>IFERROR(VLOOKUP(B420, SourceData!$U$3:$V$190, 2, FALSE), "")</f>
        <v/>
      </c>
      <c r="D420" s="240"/>
      <c r="E420" s="241"/>
      <c r="F420" s="248"/>
      <c r="G420" s="207"/>
      <c r="H420" s="209"/>
      <c r="I420" s="209"/>
      <c r="J420" s="209"/>
      <c r="K420" s="208" t="str">
        <f>IF(Errors!$I420=0,SourceData!$B$42,VLOOKUP(Errors!$I420,SourceData!$A$2:$B$40,2,FALSE))</f>
        <v>Please select ERROR CODE column "I"</v>
      </c>
      <c r="L420" s="207" t="str">
        <f>IF(Errors!$I420=0,
    'List of Error Codes'!$E$29,
    IFERROR(VLOOKUP(Errors!$I420, 'List of Error Codes'!D419:I449, 6, FALSE), 'List of Error Codes'!$E$29)
)</f>
        <v>Please select ERROR CODE column "I"</v>
      </c>
      <c r="M420" s="209"/>
      <c r="N420" s="209"/>
      <c r="O420" s="209"/>
      <c r="P420" s="209"/>
      <c r="Q420" s="209"/>
      <c r="R420" s="217"/>
      <c r="S420" s="217"/>
      <c r="T420" s="217"/>
      <c r="U420" s="199"/>
      <c r="V420" s="200"/>
      <c r="W420" s="200"/>
      <c r="X420" s="200"/>
      <c r="Y420" s="200"/>
      <c r="Z420" s="200"/>
      <c r="AA420" s="201"/>
      <c r="AB420" s="200"/>
      <c r="AC420" s="200"/>
    </row>
    <row r="421" ht="15.0" customHeight="1">
      <c r="A421" s="210">
        <f t="shared" si="1"/>
        <v>419</v>
      </c>
      <c r="B421" s="217"/>
      <c r="C421" s="217" t="str">
        <f>IFERROR(VLOOKUP(B421, SourceData!$U$3:$V$190, 2, FALSE), "")</f>
        <v/>
      </c>
      <c r="D421" s="240"/>
      <c r="E421" s="241"/>
      <c r="F421" s="248"/>
      <c r="G421" s="207"/>
      <c r="H421" s="209"/>
      <c r="I421" s="209"/>
      <c r="J421" s="209"/>
      <c r="K421" s="208" t="str">
        <f>IF(Errors!$I421=0,SourceData!$B$42,VLOOKUP(Errors!$I421,SourceData!$A$2:$B$40,2,FALSE))</f>
        <v>Please select ERROR CODE column "I"</v>
      </c>
      <c r="L421" s="207" t="str">
        <f>IF(Errors!$I421=0,
    'List of Error Codes'!$E$29,
    IFERROR(VLOOKUP(Errors!$I421, 'List of Error Codes'!D420:I450, 6, FALSE), 'List of Error Codes'!$E$29)
)</f>
        <v>Please select ERROR CODE column "I"</v>
      </c>
      <c r="M421" s="209"/>
      <c r="N421" s="209"/>
      <c r="O421" s="209"/>
      <c r="P421" s="209"/>
      <c r="Q421" s="209"/>
      <c r="R421" s="217"/>
      <c r="S421" s="217"/>
      <c r="T421" s="217"/>
      <c r="U421" s="199"/>
      <c r="V421" s="200"/>
      <c r="W421" s="200"/>
      <c r="X421" s="200"/>
      <c r="Y421" s="200"/>
      <c r="Z421" s="200"/>
      <c r="AA421" s="201"/>
      <c r="AB421" s="200"/>
      <c r="AC421" s="200"/>
    </row>
    <row r="422" ht="15.0" customHeight="1">
      <c r="A422" s="210">
        <f t="shared" si="1"/>
        <v>420</v>
      </c>
      <c r="B422" s="217"/>
      <c r="C422" s="217" t="str">
        <f>IFERROR(VLOOKUP(B422, SourceData!$U$3:$V$190, 2, FALSE), "")</f>
        <v/>
      </c>
      <c r="D422" s="240"/>
      <c r="E422" s="241"/>
      <c r="F422" s="248"/>
      <c r="G422" s="207"/>
      <c r="H422" s="209"/>
      <c r="I422" s="209"/>
      <c r="J422" s="209"/>
      <c r="K422" s="208" t="str">
        <f>IF(Errors!$I422=0,SourceData!$B$42,VLOOKUP(Errors!$I422,SourceData!$A$2:$B$40,2,FALSE))</f>
        <v>Please select ERROR CODE column "I"</v>
      </c>
      <c r="L422" s="207" t="str">
        <f>IF(Errors!$I422=0,
    'List of Error Codes'!$E$29,
    IFERROR(VLOOKUP(Errors!$I422, 'List of Error Codes'!D421:I451, 6, FALSE), 'List of Error Codes'!$E$29)
)</f>
        <v>Please select ERROR CODE column "I"</v>
      </c>
      <c r="M422" s="209"/>
      <c r="N422" s="209"/>
      <c r="O422" s="209"/>
      <c r="P422" s="209"/>
      <c r="Q422" s="209"/>
      <c r="R422" s="217"/>
      <c r="S422" s="217"/>
      <c r="T422" s="217"/>
      <c r="U422" s="199"/>
      <c r="V422" s="200"/>
      <c r="W422" s="200"/>
      <c r="X422" s="200"/>
      <c r="Y422" s="200"/>
      <c r="Z422" s="200"/>
      <c r="AA422" s="201"/>
      <c r="AB422" s="200"/>
      <c r="AC422" s="200"/>
    </row>
    <row r="423" ht="15.0" customHeight="1">
      <c r="A423" s="210">
        <f t="shared" si="1"/>
        <v>421</v>
      </c>
      <c r="B423" s="217"/>
      <c r="C423" s="217" t="str">
        <f>IFERROR(VLOOKUP(B423, SourceData!$U$3:$V$190, 2, FALSE), "")</f>
        <v/>
      </c>
      <c r="D423" s="240"/>
      <c r="E423" s="241"/>
      <c r="F423" s="248"/>
      <c r="G423" s="207"/>
      <c r="H423" s="209"/>
      <c r="I423" s="209"/>
      <c r="J423" s="209"/>
      <c r="K423" s="208" t="str">
        <f>IF(Errors!$I423=0,SourceData!$B$42,VLOOKUP(Errors!$I423,SourceData!$A$2:$B$40,2,FALSE))</f>
        <v>Please select ERROR CODE column "I"</v>
      </c>
      <c r="L423" s="207" t="str">
        <f>IF(Errors!$I423=0,
    'List of Error Codes'!$E$29,
    IFERROR(VLOOKUP(Errors!$I423, 'List of Error Codes'!D422:I452, 6, FALSE), 'List of Error Codes'!$E$29)
)</f>
        <v>Please select ERROR CODE column "I"</v>
      </c>
      <c r="M423" s="209"/>
      <c r="N423" s="209"/>
      <c r="O423" s="209"/>
      <c r="P423" s="209"/>
      <c r="Q423" s="209"/>
      <c r="R423" s="217"/>
      <c r="S423" s="217"/>
      <c r="T423" s="217"/>
      <c r="U423" s="199"/>
      <c r="V423" s="200"/>
      <c r="W423" s="200"/>
      <c r="X423" s="200"/>
      <c r="Y423" s="200"/>
      <c r="Z423" s="200"/>
      <c r="AA423" s="201"/>
      <c r="AB423" s="200"/>
      <c r="AC423" s="200"/>
    </row>
    <row r="424" ht="15.0" customHeight="1">
      <c r="A424" s="210">
        <f t="shared" si="1"/>
        <v>422</v>
      </c>
      <c r="B424" s="217"/>
      <c r="C424" s="217" t="str">
        <f>IFERROR(VLOOKUP(B424, SourceData!$U$3:$V$190, 2, FALSE), "")</f>
        <v/>
      </c>
      <c r="D424" s="240"/>
      <c r="E424" s="241"/>
      <c r="F424" s="248"/>
      <c r="G424" s="207"/>
      <c r="H424" s="209"/>
      <c r="I424" s="209"/>
      <c r="J424" s="209"/>
      <c r="K424" s="208" t="str">
        <f>IF(Errors!$I424=0,SourceData!$B$42,VLOOKUP(Errors!$I424,SourceData!$A$2:$B$40,2,FALSE))</f>
        <v>Please select ERROR CODE column "I"</v>
      </c>
      <c r="L424" s="207" t="str">
        <f>IF(Errors!$I424=0,
    'List of Error Codes'!$E$29,
    IFERROR(VLOOKUP(Errors!$I424, 'List of Error Codes'!D423:I453, 6, FALSE), 'List of Error Codes'!$E$29)
)</f>
        <v>Please select ERROR CODE column "I"</v>
      </c>
      <c r="M424" s="209"/>
      <c r="N424" s="209"/>
      <c r="O424" s="209"/>
      <c r="P424" s="209"/>
      <c r="Q424" s="209"/>
      <c r="R424" s="217"/>
      <c r="S424" s="217"/>
      <c r="T424" s="217"/>
      <c r="U424" s="199"/>
      <c r="V424" s="200"/>
      <c r="W424" s="200"/>
      <c r="X424" s="200"/>
      <c r="Y424" s="200"/>
      <c r="Z424" s="200"/>
      <c r="AA424" s="201"/>
      <c r="AB424" s="200"/>
      <c r="AC424" s="200"/>
    </row>
    <row r="425" ht="15.0" customHeight="1">
      <c r="A425" s="210">
        <f t="shared" si="1"/>
        <v>423</v>
      </c>
      <c r="B425" s="217"/>
      <c r="C425" s="217" t="str">
        <f>IFERROR(VLOOKUP(B425, SourceData!$U$3:$V$190, 2, FALSE), "")</f>
        <v/>
      </c>
      <c r="D425" s="240"/>
      <c r="E425" s="241"/>
      <c r="F425" s="248"/>
      <c r="G425" s="207"/>
      <c r="H425" s="209"/>
      <c r="I425" s="209"/>
      <c r="J425" s="209"/>
      <c r="K425" s="208" t="str">
        <f>IF(Errors!$I425=0,SourceData!$B$42,VLOOKUP(Errors!$I425,SourceData!$A$2:$B$40,2,FALSE))</f>
        <v>Please select ERROR CODE column "I"</v>
      </c>
      <c r="L425" s="207" t="str">
        <f>IF(Errors!$I425=0,
    'List of Error Codes'!$E$29,
    IFERROR(VLOOKUP(Errors!$I425, 'List of Error Codes'!D424:I454, 6, FALSE), 'List of Error Codes'!$E$29)
)</f>
        <v>Please select ERROR CODE column "I"</v>
      </c>
      <c r="M425" s="209"/>
      <c r="N425" s="209"/>
      <c r="O425" s="209"/>
      <c r="P425" s="209"/>
      <c r="Q425" s="209"/>
      <c r="R425" s="217"/>
      <c r="S425" s="217"/>
      <c r="T425" s="217"/>
      <c r="U425" s="199"/>
      <c r="V425" s="200"/>
      <c r="W425" s="200"/>
      <c r="X425" s="200"/>
      <c r="Y425" s="200"/>
      <c r="Z425" s="200"/>
      <c r="AA425" s="201"/>
      <c r="AB425" s="200"/>
      <c r="AC425" s="200"/>
    </row>
    <row r="426" ht="15.0" customHeight="1">
      <c r="A426" s="210">
        <f t="shared" si="1"/>
        <v>424</v>
      </c>
      <c r="B426" s="217"/>
      <c r="C426" s="217" t="str">
        <f>IFERROR(VLOOKUP(B426, SourceData!$U$3:$V$190, 2, FALSE), "")</f>
        <v/>
      </c>
      <c r="D426" s="240"/>
      <c r="E426" s="241"/>
      <c r="F426" s="248"/>
      <c r="G426" s="207"/>
      <c r="H426" s="209"/>
      <c r="I426" s="209"/>
      <c r="J426" s="209"/>
      <c r="K426" s="208" t="str">
        <f>IF(Errors!$I426=0,SourceData!$B$42,VLOOKUP(Errors!$I426,SourceData!$A$2:$B$40,2,FALSE))</f>
        <v>Please select ERROR CODE column "I"</v>
      </c>
      <c r="L426" s="207" t="str">
        <f>IF(Errors!$I426=0,
    'List of Error Codes'!$E$29,
    IFERROR(VLOOKUP(Errors!$I426, 'List of Error Codes'!D425:I455, 6, FALSE), 'List of Error Codes'!$E$29)
)</f>
        <v>Please select ERROR CODE column "I"</v>
      </c>
      <c r="M426" s="209"/>
      <c r="N426" s="209"/>
      <c r="O426" s="209"/>
      <c r="P426" s="209"/>
      <c r="Q426" s="209"/>
      <c r="R426" s="217"/>
      <c r="S426" s="217"/>
      <c r="T426" s="217"/>
      <c r="U426" s="199"/>
      <c r="V426" s="200"/>
      <c r="W426" s="200"/>
      <c r="X426" s="200"/>
      <c r="Y426" s="200"/>
      <c r="Z426" s="200"/>
      <c r="AA426" s="201"/>
      <c r="AB426" s="200"/>
      <c r="AC426" s="200"/>
    </row>
    <row r="427" ht="15.0" customHeight="1">
      <c r="A427" s="210">
        <f t="shared" si="1"/>
        <v>425</v>
      </c>
      <c r="B427" s="217"/>
      <c r="C427" s="217" t="str">
        <f>IFERROR(VLOOKUP(B427, SourceData!$U$3:$V$190, 2, FALSE), "")</f>
        <v/>
      </c>
      <c r="D427" s="240"/>
      <c r="E427" s="241"/>
      <c r="F427" s="248"/>
      <c r="G427" s="207"/>
      <c r="H427" s="209"/>
      <c r="I427" s="209"/>
      <c r="J427" s="209"/>
      <c r="K427" s="208" t="str">
        <f>IF(Errors!$I427=0,SourceData!$B$42,VLOOKUP(Errors!$I427,SourceData!$A$2:$B$40,2,FALSE))</f>
        <v>Please select ERROR CODE column "I"</v>
      </c>
      <c r="L427" s="207" t="str">
        <f>IF(Errors!$I427=0,
    'List of Error Codes'!$E$29,
    IFERROR(VLOOKUP(Errors!$I427, 'List of Error Codes'!D426:I456, 6, FALSE), 'List of Error Codes'!$E$29)
)</f>
        <v>Please select ERROR CODE column "I"</v>
      </c>
      <c r="M427" s="209"/>
      <c r="N427" s="209"/>
      <c r="O427" s="209"/>
      <c r="P427" s="209"/>
      <c r="Q427" s="209"/>
      <c r="R427" s="217"/>
      <c r="S427" s="217"/>
      <c r="T427" s="217"/>
      <c r="U427" s="199"/>
      <c r="V427" s="200"/>
      <c r="W427" s="200"/>
      <c r="X427" s="200"/>
      <c r="Y427" s="200"/>
      <c r="Z427" s="200"/>
      <c r="AA427" s="201"/>
      <c r="AB427" s="200"/>
      <c r="AC427" s="200"/>
    </row>
    <row r="428" ht="15.0" customHeight="1">
      <c r="A428" s="210">
        <f t="shared" si="1"/>
        <v>426</v>
      </c>
      <c r="B428" s="217"/>
      <c r="C428" s="217" t="str">
        <f>IFERROR(VLOOKUP(B428, SourceData!$U$3:$V$190, 2, FALSE), "")</f>
        <v/>
      </c>
      <c r="D428" s="240"/>
      <c r="E428" s="241"/>
      <c r="F428" s="248"/>
      <c r="G428" s="207"/>
      <c r="H428" s="209"/>
      <c r="I428" s="209"/>
      <c r="J428" s="209"/>
      <c r="K428" s="208" t="str">
        <f>IF(Errors!$I428=0,SourceData!$B$42,VLOOKUP(Errors!$I428,SourceData!$A$2:$B$40,2,FALSE))</f>
        <v>Please select ERROR CODE column "I"</v>
      </c>
      <c r="L428" s="207" t="str">
        <f>IF(Errors!$I428=0,
    'List of Error Codes'!$E$29,
    IFERROR(VLOOKUP(Errors!$I428, 'List of Error Codes'!D427:I457, 6, FALSE), 'List of Error Codes'!$E$29)
)</f>
        <v>Please select ERROR CODE column "I"</v>
      </c>
      <c r="M428" s="209"/>
      <c r="N428" s="209"/>
      <c r="O428" s="209"/>
      <c r="P428" s="209"/>
      <c r="Q428" s="209"/>
      <c r="R428" s="217"/>
      <c r="S428" s="217"/>
      <c r="T428" s="217"/>
      <c r="U428" s="199"/>
      <c r="V428" s="200"/>
      <c r="W428" s="200"/>
      <c r="X428" s="200"/>
      <c r="Y428" s="200"/>
      <c r="Z428" s="200"/>
      <c r="AA428" s="201"/>
      <c r="AB428" s="200"/>
      <c r="AC428" s="200"/>
    </row>
    <row r="429" ht="15.0" customHeight="1">
      <c r="A429" s="210">
        <f t="shared" si="1"/>
        <v>427</v>
      </c>
      <c r="B429" s="217"/>
      <c r="C429" s="217" t="str">
        <f>IFERROR(VLOOKUP(B429, SourceData!$U$3:$V$190, 2, FALSE), "")</f>
        <v/>
      </c>
      <c r="D429" s="240"/>
      <c r="E429" s="241"/>
      <c r="F429" s="248"/>
      <c r="G429" s="207"/>
      <c r="H429" s="209"/>
      <c r="I429" s="209"/>
      <c r="J429" s="209"/>
      <c r="K429" s="208" t="str">
        <f>IF(Errors!$I429=0,SourceData!$B$42,VLOOKUP(Errors!$I429,SourceData!$A$2:$B$40,2,FALSE))</f>
        <v>Please select ERROR CODE column "I"</v>
      </c>
      <c r="L429" s="207" t="str">
        <f>IF(Errors!$I429=0,
    'List of Error Codes'!$E$29,
    IFERROR(VLOOKUP(Errors!$I429, 'List of Error Codes'!D428:I458, 6, FALSE), 'List of Error Codes'!$E$29)
)</f>
        <v>Please select ERROR CODE column "I"</v>
      </c>
      <c r="M429" s="209"/>
      <c r="N429" s="209"/>
      <c r="O429" s="209"/>
      <c r="P429" s="209"/>
      <c r="Q429" s="209"/>
      <c r="R429" s="217"/>
      <c r="S429" s="217"/>
      <c r="T429" s="217"/>
      <c r="U429" s="199"/>
      <c r="V429" s="200"/>
      <c r="W429" s="200"/>
      <c r="X429" s="200"/>
      <c r="Y429" s="200"/>
      <c r="Z429" s="200"/>
      <c r="AA429" s="201"/>
      <c r="AB429" s="200"/>
      <c r="AC429" s="200"/>
    </row>
    <row r="430" ht="15.0" customHeight="1">
      <c r="A430" s="210">
        <f t="shared" si="1"/>
        <v>428</v>
      </c>
      <c r="B430" s="217"/>
      <c r="C430" s="217" t="str">
        <f>IFERROR(VLOOKUP(B430, SourceData!$U$3:$V$190, 2, FALSE), "")</f>
        <v/>
      </c>
      <c r="D430" s="240"/>
      <c r="E430" s="241"/>
      <c r="F430" s="248"/>
      <c r="G430" s="207"/>
      <c r="H430" s="209"/>
      <c r="I430" s="209"/>
      <c r="J430" s="209"/>
      <c r="K430" s="208" t="str">
        <f>IF(Errors!$I430=0,SourceData!$B$42,VLOOKUP(Errors!$I430,SourceData!$A$2:$B$40,2,FALSE))</f>
        <v>Please select ERROR CODE column "I"</v>
      </c>
      <c r="L430" s="207" t="str">
        <f>IF(Errors!$I430=0,
    'List of Error Codes'!$E$29,
    IFERROR(VLOOKUP(Errors!$I430, 'List of Error Codes'!D429:I459, 6, FALSE), 'List of Error Codes'!$E$29)
)</f>
        <v>Please select ERROR CODE column "I"</v>
      </c>
      <c r="M430" s="209"/>
      <c r="N430" s="209"/>
      <c r="O430" s="209"/>
      <c r="P430" s="209"/>
      <c r="Q430" s="209"/>
      <c r="R430" s="217"/>
      <c r="S430" s="217"/>
      <c r="T430" s="217"/>
      <c r="U430" s="199"/>
      <c r="V430" s="200"/>
      <c r="W430" s="200"/>
      <c r="X430" s="200"/>
      <c r="Y430" s="200"/>
      <c r="Z430" s="200"/>
      <c r="AA430" s="201"/>
      <c r="AB430" s="200"/>
      <c r="AC430" s="200"/>
    </row>
    <row r="431" ht="15.0" customHeight="1">
      <c r="A431" s="210">
        <f t="shared" si="1"/>
        <v>429</v>
      </c>
      <c r="B431" s="217"/>
      <c r="C431" s="217" t="str">
        <f>IFERROR(VLOOKUP(B431, SourceData!$U$3:$V$190, 2, FALSE), "")</f>
        <v/>
      </c>
      <c r="D431" s="240"/>
      <c r="E431" s="241"/>
      <c r="F431" s="248"/>
      <c r="G431" s="207"/>
      <c r="H431" s="209"/>
      <c r="I431" s="209"/>
      <c r="J431" s="209"/>
      <c r="K431" s="208" t="str">
        <f>IF(Errors!$I431=0,SourceData!$B$42,VLOOKUP(Errors!$I431,SourceData!$A$2:$B$40,2,FALSE))</f>
        <v>Please select ERROR CODE column "I"</v>
      </c>
      <c r="L431" s="207" t="str">
        <f>IF(Errors!$I431=0,
    'List of Error Codes'!$E$29,
    IFERROR(VLOOKUP(Errors!$I431, 'List of Error Codes'!D430:I460, 6, FALSE), 'List of Error Codes'!$E$29)
)</f>
        <v>Please select ERROR CODE column "I"</v>
      </c>
      <c r="M431" s="209"/>
      <c r="N431" s="209"/>
      <c r="O431" s="209"/>
      <c r="P431" s="209"/>
      <c r="Q431" s="209"/>
      <c r="R431" s="217"/>
      <c r="S431" s="217"/>
      <c r="T431" s="217"/>
      <c r="U431" s="199"/>
      <c r="V431" s="200"/>
      <c r="W431" s="200"/>
      <c r="X431" s="200"/>
      <c r="Y431" s="200"/>
      <c r="Z431" s="200"/>
      <c r="AA431" s="201"/>
      <c r="AB431" s="200"/>
      <c r="AC431" s="200"/>
    </row>
    <row r="432" ht="15.0" customHeight="1">
      <c r="A432" s="210">
        <f t="shared" si="1"/>
        <v>430</v>
      </c>
      <c r="B432" s="217"/>
      <c r="C432" s="217" t="str">
        <f>IFERROR(VLOOKUP(B432, SourceData!$U$3:$V$190, 2, FALSE), "")</f>
        <v/>
      </c>
      <c r="D432" s="240"/>
      <c r="E432" s="241"/>
      <c r="F432" s="248"/>
      <c r="G432" s="207"/>
      <c r="H432" s="209"/>
      <c r="I432" s="209"/>
      <c r="J432" s="209"/>
      <c r="K432" s="208" t="str">
        <f>IF(Errors!$I432=0,SourceData!$B$42,VLOOKUP(Errors!$I432,SourceData!$A$2:$B$40,2,FALSE))</f>
        <v>Please select ERROR CODE column "I"</v>
      </c>
      <c r="L432" s="207" t="str">
        <f>IF(Errors!$I432=0,
    'List of Error Codes'!$E$29,
    IFERROR(VLOOKUP(Errors!$I432, 'List of Error Codes'!D431:I461, 6, FALSE), 'List of Error Codes'!$E$29)
)</f>
        <v>Please select ERROR CODE column "I"</v>
      </c>
      <c r="M432" s="209"/>
      <c r="N432" s="209"/>
      <c r="O432" s="209"/>
      <c r="P432" s="209"/>
      <c r="Q432" s="209"/>
      <c r="R432" s="217"/>
      <c r="S432" s="217"/>
      <c r="T432" s="217"/>
      <c r="U432" s="199"/>
      <c r="V432" s="200"/>
      <c r="W432" s="200"/>
      <c r="X432" s="200"/>
      <c r="Y432" s="200"/>
      <c r="Z432" s="200"/>
      <c r="AA432" s="201"/>
      <c r="AB432" s="200"/>
      <c r="AC432" s="200"/>
    </row>
    <row r="433" ht="15.0" customHeight="1">
      <c r="A433" s="210">
        <f t="shared" si="1"/>
        <v>431</v>
      </c>
      <c r="B433" s="217"/>
      <c r="C433" s="217" t="str">
        <f>IFERROR(VLOOKUP(B433, SourceData!$U$3:$V$190, 2, FALSE), "")</f>
        <v/>
      </c>
      <c r="D433" s="240"/>
      <c r="E433" s="241"/>
      <c r="F433" s="248"/>
      <c r="G433" s="207"/>
      <c r="H433" s="209"/>
      <c r="I433" s="209"/>
      <c r="J433" s="209"/>
      <c r="K433" s="208" t="str">
        <f>IF(Errors!$I433=0,SourceData!$B$42,VLOOKUP(Errors!$I433,SourceData!$A$2:$B$40,2,FALSE))</f>
        <v>Please select ERROR CODE column "I"</v>
      </c>
      <c r="L433" s="207" t="str">
        <f>IF(Errors!$I433=0,
    'List of Error Codes'!$E$29,
    IFERROR(VLOOKUP(Errors!$I433, 'List of Error Codes'!D432:I462, 6, FALSE), 'List of Error Codes'!$E$29)
)</f>
        <v>Please select ERROR CODE column "I"</v>
      </c>
      <c r="M433" s="209"/>
      <c r="N433" s="209"/>
      <c r="O433" s="209"/>
      <c r="P433" s="209"/>
      <c r="Q433" s="209"/>
      <c r="R433" s="217"/>
      <c r="S433" s="217"/>
      <c r="T433" s="217"/>
      <c r="U433" s="199"/>
      <c r="V433" s="200"/>
      <c r="W433" s="200"/>
      <c r="X433" s="200"/>
      <c r="Y433" s="200"/>
      <c r="Z433" s="200"/>
      <c r="AA433" s="201"/>
      <c r="AB433" s="200"/>
      <c r="AC433" s="200"/>
    </row>
    <row r="434" ht="15.0" customHeight="1">
      <c r="A434" s="210">
        <f t="shared" si="1"/>
        <v>432</v>
      </c>
      <c r="B434" s="217"/>
      <c r="C434" s="217" t="str">
        <f>IFERROR(VLOOKUP(B434, SourceData!$U$3:$V$190, 2, FALSE), "")</f>
        <v/>
      </c>
      <c r="D434" s="240"/>
      <c r="E434" s="241"/>
      <c r="F434" s="248"/>
      <c r="G434" s="207"/>
      <c r="H434" s="209"/>
      <c r="I434" s="209"/>
      <c r="J434" s="209"/>
      <c r="K434" s="208" t="str">
        <f>IF(Errors!$I434=0,SourceData!$B$42,VLOOKUP(Errors!$I434,SourceData!$A$2:$B$40,2,FALSE))</f>
        <v>Please select ERROR CODE column "I"</v>
      </c>
      <c r="L434" s="207" t="str">
        <f>IF(Errors!$I434=0,
    'List of Error Codes'!$E$29,
    IFERROR(VLOOKUP(Errors!$I434, 'List of Error Codes'!D433:I463, 6, FALSE), 'List of Error Codes'!$E$29)
)</f>
        <v>Please select ERROR CODE column "I"</v>
      </c>
      <c r="M434" s="209"/>
      <c r="N434" s="209"/>
      <c r="O434" s="209"/>
      <c r="P434" s="209"/>
      <c r="Q434" s="209"/>
      <c r="R434" s="217"/>
      <c r="S434" s="217"/>
      <c r="T434" s="217"/>
      <c r="U434" s="199"/>
      <c r="V434" s="200"/>
      <c r="W434" s="200"/>
      <c r="X434" s="200"/>
      <c r="Y434" s="200"/>
      <c r="Z434" s="200"/>
      <c r="AA434" s="201"/>
      <c r="AB434" s="200"/>
      <c r="AC434" s="200"/>
    </row>
    <row r="435" ht="15.0" customHeight="1">
      <c r="A435" s="210">
        <f t="shared" si="1"/>
        <v>433</v>
      </c>
      <c r="B435" s="217"/>
      <c r="C435" s="217" t="str">
        <f>IFERROR(VLOOKUP(B435, SourceData!$U$3:$V$190, 2, FALSE), "")</f>
        <v/>
      </c>
      <c r="D435" s="240"/>
      <c r="E435" s="241"/>
      <c r="F435" s="248"/>
      <c r="G435" s="207"/>
      <c r="H435" s="209"/>
      <c r="I435" s="209"/>
      <c r="J435" s="209"/>
      <c r="K435" s="208" t="str">
        <f>IF(Errors!$I435=0,SourceData!$B$42,VLOOKUP(Errors!$I435,SourceData!$A$2:$B$40,2,FALSE))</f>
        <v>Please select ERROR CODE column "I"</v>
      </c>
      <c r="L435" s="207" t="str">
        <f>IF(Errors!$I435=0,
    'List of Error Codes'!$E$29,
    IFERROR(VLOOKUP(Errors!$I435, 'List of Error Codes'!D434:I464, 6, FALSE), 'List of Error Codes'!$E$29)
)</f>
        <v>Please select ERROR CODE column "I"</v>
      </c>
      <c r="M435" s="209"/>
      <c r="N435" s="209"/>
      <c r="O435" s="209"/>
      <c r="P435" s="209"/>
      <c r="Q435" s="209"/>
      <c r="R435" s="217"/>
      <c r="S435" s="217"/>
      <c r="T435" s="217"/>
      <c r="U435" s="199"/>
      <c r="V435" s="200"/>
      <c r="W435" s="200"/>
      <c r="X435" s="200"/>
      <c r="Y435" s="200"/>
      <c r="Z435" s="200"/>
      <c r="AA435" s="201"/>
      <c r="AB435" s="200"/>
      <c r="AC435" s="200"/>
    </row>
    <row r="436" ht="15.0" customHeight="1">
      <c r="A436" s="210">
        <f t="shared" si="1"/>
        <v>434</v>
      </c>
      <c r="B436" s="217"/>
      <c r="C436" s="217" t="str">
        <f>IFERROR(VLOOKUP(B436, SourceData!$U$3:$V$190, 2, FALSE), "")</f>
        <v/>
      </c>
      <c r="D436" s="240"/>
      <c r="E436" s="241"/>
      <c r="F436" s="248"/>
      <c r="G436" s="207"/>
      <c r="H436" s="209"/>
      <c r="I436" s="209"/>
      <c r="J436" s="209"/>
      <c r="K436" s="208" t="str">
        <f>IF(Errors!$I436=0,SourceData!$B$42,VLOOKUP(Errors!$I436,SourceData!$A$2:$B$40,2,FALSE))</f>
        <v>Please select ERROR CODE column "I"</v>
      </c>
      <c r="L436" s="207" t="str">
        <f>IF(Errors!$I436=0,
    'List of Error Codes'!$E$29,
    IFERROR(VLOOKUP(Errors!$I436, 'List of Error Codes'!D435:I465, 6, FALSE), 'List of Error Codes'!$E$29)
)</f>
        <v>Please select ERROR CODE column "I"</v>
      </c>
      <c r="M436" s="209"/>
      <c r="N436" s="209"/>
      <c r="O436" s="209"/>
      <c r="P436" s="209"/>
      <c r="Q436" s="209"/>
      <c r="R436" s="217"/>
      <c r="S436" s="217"/>
      <c r="T436" s="217"/>
      <c r="U436" s="199"/>
      <c r="V436" s="200"/>
      <c r="W436" s="200"/>
      <c r="X436" s="200"/>
      <c r="Y436" s="200"/>
      <c r="Z436" s="200"/>
      <c r="AA436" s="201"/>
      <c r="AB436" s="200"/>
      <c r="AC436" s="200"/>
    </row>
    <row r="437" ht="15.0" customHeight="1">
      <c r="A437" s="210">
        <f t="shared" si="1"/>
        <v>435</v>
      </c>
      <c r="B437" s="217"/>
      <c r="C437" s="217" t="str">
        <f>IFERROR(VLOOKUP(B437, SourceData!$U$3:$V$190, 2, FALSE), "")</f>
        <v/>
      </c>
      <c r="D437" s="240"/>
      <c r="E437" s="241"/>
      <c r="F437" s="248"/>
      <c r="G437" s="207"/>
      <c r="H437" s="209"/>
      <c r="I437" s="209"/>
      <c r="J437" s="209"/>
      <c r="K437" s="208" t="str">
        <f>IF(Errors!$I437=0,SourceData!$B$42,VLOOKUP(Errors!$I437,SourceData!$A$2:$B$40,2,FALSE))</f>
        <v>Please select ERROR CODE column "I"</v>
      </c>
      <c r="L437" s="207" t="str">
        <f>IF(Errors!$I437=0,
    'List of Error Codes'!$E$29,
    IFERROR(VLOOKUP(Errors!$I437, 'List of Error Codes'!D436:I466, 6, FALSE), 'List of Error Codes'!$E$29)
)</f>
        <v>Please select ERROR CODE column "I"</v>
      </c>
      <c r="M437" s="209"/>
      <c r="N437" s="209"/>
      <c r="O437" s="209"/>
      <c r="P437" s="209"/>
      <c r="Q437" s="209"/>
      <c r="R437" s="217"/>
      <c r="S437" s="217"/>
      <c r="T437" s="217"/>
      <c r="U437" s="199"/>
      <c r="V437" s="200"/>
      <c r="W437" s="200"/>
      <c r="X437" s="200"/>
      <c r="Y437" s="200"/>
      <c r="Z437" s="200"/>
      <c r="AA437" s="201"/>
      <c r="AB437" s="200"/>
      <c r="AC437" s="200"/>
    </row>
    <row r="438" ht="15.0" customHeight="1">
      <c r="A438" s="210">
        <f t="shared" si="1"/>
        <v>436</v>
      </c>
      <c r="B438" s="217"/>
      <c r="C438" s="217" t="str">
        <f>IFERROR(VLOOKUP(B438, SourceData!$U$3:$V$190, 2, FALSE), "")</f>
        <v/>
      </c>
      <c r="D438" s="240"/>
      <c r="E438" s="241"/>
      <c r="F438" s="248"/>
      <c r="G438" s="207"/>
      <c r="H438" s="209"/>
      <c r="I438" s="209"/>
      <c r="J438" s="209"/>
      <c r="K438" s="208" t="str">
        <f>IF(Errors!$I438=0,SourceData!$B$42,VLOOKUP(Errors!$I438,SourceData!$A$2:$B$40,2,FALSE))</f>
        <v>Please select ERROR CODE column "I"</v>
      </c>
      <c r="L438" s="207" t="str">
        <f>IF(Errors!$I438=0,
    'List of Error Codes'!$E$29,
    IFERROR(VLOOKUP(Errors!$I438, 'List of Error Codes'!D437:I467, 6, FALSE), 'List of Error Codes'!$E$29)
)</f>
        <v>Please select ERROR CODE column "I"</v>
      </c>
      <c r="M438" s="209"/>
      <c r="N438" s="209"/>
      <c r="O438" s="209"/>
      <c r="P438" s="209"/>
      <c r="Q438" s="209"/>
      <c r="R438" s="217"/>
      <c r="S438" s="217"/>
      <c r="T438" s="217"/>
      <c r="U438" s="199"/>
      <c r="V438" s="200"/>
      <c r="W438" s="200"/>
      <c r="X438" s="200"/>
      <c r="Y438" s="200"/>
      <c r="Z438" s="200"/>
      <c r="AA438" s="201"/>
      <c r="AB438" s="200"/>
      <c r="AC438" s="200"/>
    </row>
    <row r="439" ht="15.0" customHeight="1">
      <c r="A439" s="210">
        <f t="shared" si="1"/>
        <v>437</v>
      </c>
      <c r="B439" s="217"/>
      <c r="C439" s="217" t="str">
        <f>IFERROR(VLOOKUP(B439, SourceData!$U$3:$V$190, 2, FALSE), "")</f>
        <v/>
      </c>
      <c r="D439" s="240"/>
      <c r="E439" s="241"/>
      <c r="F439" s="248"/>
      <c r="G439" s="207"/>
      <c r="H439" s="209"/>
      <c r="I439" s="209"/>
      <c r="J439" s="209"/>
      <c r="K439" s="208" t="str">
        <f>IF(Errors!$I439=0,SourceData!$B$42,VLOOKUP(Errors!$I439,SourceData!$A$2:$B$40,2,FALSE))</f>
        <v>Please select ERROR CODE column "I"</v>
      </c>
      <c r="L439" s="207" t="str">
        <f>IF(Errors!$I439=0,
    'List of Error Codes'!$E$29,
    IFERROR(VLOOKUP(Errors!$I439, 'List of Error Codes'!D438:I468, 6, FALSE), 'List of Error Codes'!$E$29)
)</f>
        <v>Please select ERROR CODE column "I"</v>
      </c>
      <c r="M439" s="209"/>
      <c r="N439" s="209"/>
      <c r="O439" s="209"/>
      <c r="P439" s="209"/>
      <c r="Q439" s="209"/>
      <c r="R439" s="217"/>
      <c r="S439" s="217"/>
      <c r="T439" s="217"/>
      <c r="U439" s="199"/>
      <c r="V439" s="200"/>
      <c r="W439" s="200"/>
      <c r="X439" s="200"/>
      <c r="Y439" s="200"/>
      <c r="Z439" s="200"/>
      <c r="AA439" s="201"/>
      <c r="AB439" s="200"/>
      <c r="AC439" s="200"/>
    </row>
    <row r="440" ht="15.0" customHeight="1">
      <c r="A440" s="210">
        <f t="shared" si="1"/>
        <v>438</v>
      </c>
      <c r="B440" s="217"/>
      <c r="C440" s="217" t="str">
        <f>IFERROR(VLOOKUP(B440, SourceData!$U$3:$V$190, 2, FALSE), "")</f>
        <v/>
      </c>
      <c r="D440" s="240"/>
      <c r="E440" s="241"/>
      <c r="F440" s="248"/>
      <c r="G440" s="207"/>
      <c r="H440" s="209"/>
      <c r="I440" s="209"/>
      <c r="J440" s="209"/>
      <c r="K440" s="208" t="str">
        <f>IF(Errors!$I440=0,SourceData!$B$42,VLOOKUP(Errors!$I440,SourceData!$A$2:$B$40,2,FALSE))</f>
        <v>Please select ERROR CODE column "I"</v>
      </c>
      <c r="L440" s="207" t="str">
        <f>IF(Errors!$I440=0,
    'List of Error Codes'!$E$29,
    IFERROR(VLOOKUP(Errors!$I440, 'List of Error Codes'!D439:I469, 6, FALSE), 'List of Error Codes'!$E$29)
)</f>
        <v>Please select ERROR CODE column "I"</v>
      </c>
      <c r="M440" s="209"/>
      <c r="N440" s="209"/>
      <c r="O440" s="209"/>
      <c r="P440" s="209"/>
      <c r="Q440" s="209"/>
      <c r="R440" s="217"/>
      <c r="S440" s="217"/>
      <c r="T440" s="217"/>
      <c r="U440" s="199"/>
      <c r="V440" s="200"/>
      <c r="W440" s="200"/>
      <c r="X440" s="200"/>
      <c r="Y440" s="200"/>
      <c r="Z440" s="200"/>
      <c r="AA440" s="201"/>
      <c r="AB440" s="200"/>
      <c r="AC440" s="200"/>
    </row>
    <row r="441" ht="15.0" customHeight="1">
      <c r="A441" s="210">
        <f t="shared" si="1"/>
        <v>439</v>
      </c>
      <c r="B441" s="217"/>
      <c r="C441" s="217" t="str">
        <f>IFERROR(VLOOKUP(B441, SourceData!$U$3:$V$190, 2, FALSE), "")</f>
        <v/>
      </c>
      <c r="D441" s="240"/>
      <c r="E441" s="241"/>
      <c r="F441" s="248"/>
      <c r="G441" s="207"/>
      <c r="H441" s="209"/>
      <c r="I441" s="209"/>
      <c r="J441" s="209"/>
      <c r="K441" s="208" t="str">
        <f>IF(Errors!$I441=0,SourceData!$B$42,VLOOKUP(Errors!$I441,SourceData!$A$2:$B$40,2,FALSE))</f>
        <v>Please select ERROR CODE column "I"</v>
      </c>
      <c r="L441" s="207" t="str">
        <f>IF(Errors!$I441=0,
    'List of Error Codes'!$E$29,
    IFERROR(VLOOKUP(Errors!$I441, 'List of Error Codes'!D440:I470, 6, FALSE), 'List of Error Codes'!$E$29)
)</f>
        <v>Please select ERROR CODE column "I"</v>
      </c>
      <c r="M441" s="209"/>
      <c r="N441" s="209"/>
      <c r="O441" s="209"/>
      <c r="P441" s="209"/>
      <c r="Q441" s="209"/>
      <c r="R441" s="217"/>
      <c r="S441" s="217"/>
      <c r="T441" s="217"/>
      <c r="U441" s="199"/>
      <c r="V441" s="200"/>
      <c r="W441" s="200"/>
      <c r="X441" s="200"/>
      <c r="Y441" s="200"/>
      <c r="Z441" s="200"/>
      <c r="AA441" s="201"/>
      <c r="AB441" s="200"/>
      <c r="AC441" s="200"/>
    </row>
    <row r="442" ht="15.0" customHeight="1">
      <c r="A442" s="210">
        <f t="shared" si="1"/>
        <v>440</v>
      </c>
      <c r="B442" s="217"/>
      <c r="C442" s="217" t="str">
        <f>IFERROR(VLOOKUP(B442, SourceData!$U$3:$V$190, 2, FALSE), "")</f>
        <v/>
      </c>
      <c r="D442" s="240"/>
      <c r="E442" s="241"/>
      <c r="F442" s="248"/>
      <c r="G442" s="207"/>
      <c r="H442" s="209"/>
      <c r="I442" s="209"/>
      <c r="J442" s="209"/>
      <c r="K442" s="208" t="str">
        <f>IF(Errors!$I442=0,SourceData!$B$42,VLOOKUP(Errors!$I442,SourceData!$A$2:$B$40,2,FALSE))</f>
        <v>Please select ERROR CODE column "I"</v>
      </c>
      <c r="L442" s="207" t="str">
        <f>IF(Errors!$I442=0,
    'List of Error Codes'!$E$29,
    IFERROR(VLOOKUP(Errors!$I442, 'List of Error Codes'!D441:I471, 6, FALSE), 'List of Error Codes'!$E$29)
)</f>
        <v>Please select ERROR CODE column "I"</v>
      </c>
      <c r="M442" s="209"/>
      <c r="N442" s="209"/>
      <c r="O442" s="209"/>
      <c r="P442" s="209"/>
      <c r="Q442" s="209"/>
      <c r="R442" s="217"/>
      <c r="S442" s="217"/>
      <c r="T442" s="217"/>
      <c r="U442" s="199"/>
      <c r="V442" s="200"/>
      <c r="W442" s="200"/>
      <c r="X442" s="200"/>
      <c r="Y442" s="200"/>
      <c r="Z442" s="200"/>
      <c r="AA442" s="201"/>
      <c r="AB442" s="200"/>
      <c r="AC442" s="200"/>
    </row>
    <row r="443" ht="15.0" customHeight="1">
      <c r="A443" s="210">
        <f t="shared" si="1"/>
        <v>441</v>
      </c>
      <c r="B443" s="217"/>
      <c r="C443" s="217" t="str">
        <f>IFERROR(VLOOKUP(B443, SourceData!$U$3:$V$190, 2, FALSE), "")</f>
        <v/>
      </c>
      <c r="D443" s="240"/>
      <c r="E443" s="241"/>
      <c r="F443" s="248"/>
      <c r="G443" s="207"/>
      <c r="H443" s="209"/>
      <c r="I443" s="209"/>
      <c r="J443" s="209"/>
      <c r="K443" s="208" t="str">
        <f>IF(Errors!$I443=0,SourceData!$B$42,VLOOKUP(Errors!$I443,SourceData!$A$2:$B$40,2,FALSE))</f>
        <v>Please select ERROR CODE column "I"</v>
      </c>
      <c r="L443" s="207" t="str">
        <f>IF(Errors!$I443=0,
    'List of Error Codes'!$E$29,
    IFERROR(VLOOKUP(Errors!$I443, 'List of Error Codes'!D442:I472, 6, FALSE), 'List of Error Codes'!$E$29)
)</f>
        <v>Please select ERROR CODE column "I"</v>
      </c>
      <c r="M443" s="209"/>
      <c r="N443" s="209"/>
      <c r="O443" s="209"/>
      <c r="P443" s="209"/>
      <c r="Q443" s="209"/>
      <c r="R443" s="217"/>
      <c r="S443" s="217"/>
      <c r="T443" s="217"/>
      <c r="U443" s="199"/>
      <c r="V443" s="200"/>
      <c r="W443" s="200"/>
      <c r="X443" s="200"/>
      <c r="Y443" s="200"/>
      <c r="Z443" s="200"/>
      <c r="AA443" s="201"/>
      <c r="AB443" s="200"/>
      <c r="AC443" s="200"/>
    </row>
    <row r="444" ht="15.0" customHeight="1">
      <c r="A444" s="210">
        <f t="shared" si="1"/>
        <v>442</v>
      </c>
      <c r="B444" s="217"/>
      <c r="C444" s="217" t="str">
        <f>IFERROR(VLOOKUP(B444, SourceData!$U$3:$V$190, 2, FALSE), "")</f>
        <v/>
      </c>
      <c r="D444" s="240"/>
      <c r="E444" s="241"/>
      <c r="F444" s="248"/>
      <c r="G444" s="207"/>
      <c r="H444" s="209"/>
      <c r="I444" s="209"/>
      <c r="J444" s="209"/>
      <c r="K444" s="208" t="str">
        <f>IF(Errors!$I444=0,SourceData!$B$42,VLOOKUP(Errors!$I444,SourceData!$A$2:$B$40,2,FALSE))</f>
        <v>Please select ERROR CODE column "I"</v>
      </c>
      <c r="L444" s="207" t="str">
        <f>IF(Errors!$I444=0,
    'List of Error Codes'!$E$29,
    IFERROR(VLOOKUP(Errors!$I444, 'List of Error Codes'!D443:I473, 6, FALSE), 'List of Error Codes'!$E$29)
)</f>
        <v>Please select ERROR CODE column "I"</v>
      </c>
      <c r="M444" s="209"/>
      <c r="N444" s="209"/>
      <c r="O444" s="209"/>
      <c r="P444" s="209"/>
      <c r="Q444" s="209"/>
      <c r="R444" s="217"/>
      <c r="S444" s="217"/>
      <c r="T444" s="217"/>
      <c r="U444" s="199"/>
      <c r="V444" s="200"/>
      <c r="W444" s="200"/>
      <c r="X444" s="200"/>
      <c r="Y444" s="200"/>
      <c r="Z444" s="200"/>
      <c r="AA444" s="201"/>
      <c r="AB444" s="200"/>
      <c r="AC444" s="200"/>
    </row>
    <row r="445" ht="15.0" customHeight="1">
      <c r="A445" s="210">
        <f t="shared" si="1"/>
        <v>443</v>
      </c>
      <c r="B445" s="217"/>
      <c r="C445" s="217" t="str">
        <f>IFERROR(VLOOKUP(B445, SourceData!$U$3:$V$190, 2, FALSE), "")</f>
        <v/>
      </c>
      <c r="D445" s="240"/>
      <c r="E445" s="241"/>
      <c r="F445" s="248"/>
      <c r="G445" s="207"/>
      <c r="H445" s="209"/>
      <c r="I445" s="209"/>
      <c r="J445" s="209"/>
      <c r="K445" s="208" t="str">
        <f>IF(Errors!$I445=0,SourceData!$B$42,VLOOKUP(Errors!$I445,SourceData!$A$2:$B$40,2,FALSE))</f>
        <v>Please select ERROR CODE column "I"</v>
      </c>
      <c r="L445" s="207" t="str">
        <f>IF(Errors!$I445=0,
    'List of Error Codes'!$E$29,
    IFERROR(VLOOKUP(Errors!$I445, 'List of Error Codes'!D444:I474, 6, FALSE), 'List of Error Codes'!$E$29)
)</f>
        <v>Please select ERROR CODE column "I"</v>
      </c>
      <c r="M445" s="209"/>
      <c r="N445" s="209"/>
      <c r="O445" s="209"/>
      <c r="P445" s="209"/>
      <c r="Q445" s="209"/>
      <c r="R445" s="217"/>
      <c r="S445" s="217"/>
      <c r="T445" s="217"/>
      <c r="U445" s="199"/>
      <c r="V445" s="200"/>
      <c r="W445" s="200"/>
      <c r="X445" s="200"/>
      <c r="Y445" s="200"/>
      <c r="Z445" s="200"/>
      <c r="AA445" s="201"/>
      <c r="AB445" s="200"/>
      <c r="AC445" s="200"/>
    </row>
    <row r="446" ht="15.0" customHeight="1">
      <c r="A446" s="210">
        <f t="shared" si="1"/>
        <v>444</v>
      </c>
      <c r="B446" s="217"/>
      <c r="C446" s="217" t="str">
        <f>IFERROR(VLOOKUP(B446, SourceData!$U$3:$V$190, 2, FALSE), "")</f>
        <v/>
      </c>
      <c r="D446" s="240"/>
      <c r="E446" s="241"/>
      <c r="F446" s="248"/>
      <c r="G446" s="207"/>
      <c r="H446" s="209"/>
      <c r="I446" s="209"/>
      <c r="J446" s="209"/>
      <c r="K446" s="208" t="str">
        <f>IF(Errors!$I446=0,SourceData!$B$42,VLOOKUP(Errors!$I446,SourceData!$A$2:$B$40,2,FALSE))</f>
        <v>Please select ERROR CODE column "I"</v>
      </c>
      <c r="L446" s="207" t="str">
        <f>IF(Errors!$I446=0,
    'List of Error Codes'!$E$29,
    IFERROR(VLOOKUP(Errors!$I446, 'List of Error Codes'!D445:I475, 6, FALSE), 'List of Error Codes'!$E$29)
)</f>
        <v>Please select ERROR CODE column "I"</v>
      </c>
      <c r="M446" s="209"/>
      <c r="N446" s="209"/>
      <c r="O446" s="209"/>
      <c r="P446" s="209"/>
      <c r="Q446" s="209"/>
      <c r="R446" s="217"/>
      <c r="S446" s="217"/>
      <c r="T446" s="217"/>
      <c r="U446" s="199"/>
      <c r="V446" s="200"/>
      <c r="W446" s="200"/>
      <c r="X446" s="200"/>
      <c r="Y446" s="200"/>
      <c r="Z446" s="200"/>
      <c r="AA446" s="201"/>
      <c r="AB446" s="200"/>
      <c r="AC446" s="200"/>
    </row>
    <row r="447" ht="15.0" customHeight="1">
      <c r="A447" s="210">
        <f t="shared" si="1"/>
        <v>445</v>
      </c>
      <c r="B447" s="217"/>
      <c r="C447" s="217" t="str">
        <f>IFERROR(VLOOKUP(B447, SourceData!$U$3:$V$190, 2, FALSE), "")</f>
        <v/>
      </c>
      <c r="D447" s="240"/>
      <c r="E447" s="241"/>
      <c r="F447" s="248"/>
      <c r="G447" s="207"/>
      <c r="H447" s="209"/>
      <c r="I447" s="209"/>
      <c r="J447" s="209"/>
      <c r="K447" s="208" t="str">
        <f>IF(Errors!$I447=0,SourceData!$B$42,VLOOKUP(Errors!$I447,SourceData!$A$2:$B$40,2,FALSE))</f>
        <v>Please select ERROR CODE column "I"</v>
      </c>
      <c r="L447" s="207" t="str">
        <f>IF(Errors!$I447=0,
    'List of Error Codes'!$E$29,
    IFERROR(VLOOKUP(Errors!$I447, 'List of Error Codes'!D446:I476, 6, FALSE), 'List of Error Codes'!$E$29)
)</f>
        <v>Please select ERROR CODE column "I"</v>
      </c>
      <c r="M447" s="209"/>
      <c r="N447" s="209"/>
      <c r="O447" s="209"/>
      <c r="P447" s="209"/>
      <c r="Q447" s="209"/>
      <c r="R447" s="217"/>
      <c r="S447" s="217"/>
      <c r="T447" s="217"/>
      <c r="U447" s="199"/>
      <c r="V447" s="200"/>
      <c r="W447" s="200"/>
      <c r="X447" s="200"/>
      <c r="Y447" s="200"/>
      <c r="Z447" s="200"/>
      <c r="AA447" s="201"/>
      <c r="AB447" s="200"/>
      <c r="AC447" s="200"/>
    </row>
    <row r="448" ht="15.0" customHeight="1">
      <c r="A448" s="210">
        <f t="shared" si="1"/>
        <v>446</v>
      </c>
      <c r="B448" s="217"/>
      <c r="C448" s="217" t="str">
        <f>IFERROR(VLOOKUP(B448, SourceData!$U$3:$V$190, 2, FALSE), "")</f>
        <v/>
      </c>
      <c r="D448" s="240"/>
      <c r="E448" s="241"/>
      <c r="F448" s="248"/>
      <c r="G448" s="207"/>
      <c r="H448" s="209"/>
      <c r="I448" s="209"/>
      <c r="J448" s="209"/>
      <c r="K448" s="208" t="str">
        <f>IF(Errors!$I448=0,SourceData!$B$42,VLOOKUP(Errors!$I448,SourceData!$A$2:$B$40,2,FALSE))</f>
        <v>Please select ERROR CODE column "I"</v>
      </c>
      <c r="L448" s="207" t="str">
        <f>IF(Errors!$I448=0,
    'List of Error Codes'!$E$29,
    IFERROR(VLOOKUP(Errors!$I448, 'List of Error Codes'!D447:I477, 6, FALSE), 'List of Error Codes'!$E$29)
)</f>
        <v>Please select ERROR CODE column "I"</v>
      </c>
      <c r="M448" s="209"/>
      <c r="N448" s="209"/>
      <c r="O448" s="209"/>
      <c r="P448" s="209"/>
      <c r="Q448" s="209"/>
      <c r="R448" s="217"/>
      <c r="S448" s="217"/>
      <c r="T448" s="217"/>
      <c r="U448" s="199"/>
      <c r="V448" s="200"/>
      <c r="W448" s="200"/>
      <c r="X448" s="200"/>
      <c r="Y448" s="200"/>
      <c r="Z448" s="200"/>
      <c r="AA448" s="201"/>
      <c r="AB448" s="200"/>
      <c r="AC448" s="200"/>
    </row>
    <row r="449" ht="15.0" customHeight="1">
      <c r="A449" s="210">
        <f t="shared" si="1"/>
        <v>447</v>
      </c>
      <c r="B449" s="217"/>
      <c r="C449" s="217" t="str">
        <f>IFERROR(VLOOKUP(B449, SourceData!$U$3:$V$190, 2, FALSE), "")</f>
        <v/>
      </c>
      <c r="D449" s="240"/>
      <c r="E449" s="241"/>
      <c r="F449" s="248"/>
      <c r="G449" s="207"/>
      <c r="H449" s="209"/>
      <c r="I449" s="209"/>
      <c r="J449" s="209"/>
      <c r="K449" s="208" t="str">
        <f>IF(Errors!$I449=0,SourceData!$B$42,VLOOKUP(Errors!$I449,SourceData!$A$2:$B$40,2,FALSE))</f>
        <v>Please select ERROR CODE column "I"</v>
      </c>
      <c r="L449" s="207" t="str">
        <f>IF(Errors!$I449=0,
    'List of Error Codes'!$E$29,
    IFERROR(VLOOKUP(Errors!$I449, 'List of Error Codes'!D448:I478, 6, FALSE), 'List of Error Codes'!$E$29)
)</f>
        <v>Please select ERROR CODE column "I"</v>
      </c>
      <c r="M449" s="209"/>
      <c r="N449" s="209"/>
      <c r="O449" s="209"/>
      <c r="P449" s="209"/>
      <c r="Q449" s="209"/>
      <c r="R449" s="217"/>
      <c r="S449" s="217"/>
      <c r="T449" s="217"/>
      <c r="U449" s="199"/>
      <c r="V449" s="200"/>
      <c r="W449" s="200"/>
      <c r="X449" s="200"/>
      <c r="Y449" s="200"/>
      <c r="Z449" s="200"/>
      <c r="AA449" s="201"/>
      <c r="AB449" s="200"/>
      <c r="AC449" s="200"/>
    </row>
    <row r="450" ht="15.0" customHeight="1">
      <c r="A450" s="210">
        <f t="shared" si="1"/>
        <v>448</v>
      </c>
      <c r="B450" s="217"/>
      <c r="C450" s="217" t="str">
        <f>IFERROR(VLOOKUP(B450, SourceData!$U$3:$V$190, 2, FALSE), "")</f>
        <v/>
      </c>
      <c r="D450" s="240"/>
      <c r="E450" s="241"/>
      <c r="F450" s="248"/>
      <c r="G450" s="207"/>
      <c r="H450" s="209"/>
      <c r="I450" s="209"/>
      <c r="J450" s="209"/>
      <c r="K450" s="208" t="str">
        <f>IF(Errors!$I450=0,SourceData!$B$42,VLOOKUP(Errors!$I450,SourceData!$A$2:$B$40,2,FALSE))</f>
        <v>Please select ERROR CODE column "I"</v>
      </c>
      <c r="L450" s="207" t="str">
        <f>IF(Errors!$I450=0,
    'List of Error Codes'!$E$29,
    IFERROR(VLOOKUP(Errors!$I450, 'List of Error Codes'!D449:I479, 6, FALSE), 'List of Error Codes'!$E$29)
)</f>
        <v>Please select ERROR CODE column "I"</v>
      </c>
      <c r="M450" s="209"/>
      <c r="N450" s="209"/>
      <c r="O450" s="209"/>
      <c r="P450" s="209"/>
      <c r="Q450" s="209"/>
      <c r="R450" s="217"/>
      <c r="S450" s="217"/>
      <c r="T450" s="217"/>
      <c r="U450" s="199"/>
      <c r="V450" s="200"/>
      <c r="W450" s="200"/>
      <c r="X450" s="200"/>
      <c r="Y450" s="200"/>
      <c r="Z450" s="200"/>
      <c r="AA450" s="201"/>
      <c r="AB450" s="200"/>
      <c r="AC450" s="200"/>
    </row>
    <row r="451" ht="15.0" customHeight="1">
      <c r="A451" s="210">
        <f t="shared" si="1"/>
        <v>449</v>
      </c>
      <c r="B451" s="217"/>
      <c r="C451" s="217" t="str">
        <f>IFERROR(VLOOKUP(B451, SourceData!$U$3:$V$190, 2, FALSE), "")</f>
        <v/>
      </c>
      <c r="D451" s="240"/>
      <c r="E451" s="241"/>
      <c r="F451" s="248"/>
      <c r="G451" s="207"/>
      <c r="H451" s="209"/>
      <c r="I451" s="209"/>
      <c r="J451" s="209"/>
      <c r="K451" s="208" t="str">
        <f>IF(Errors!$I451=0,SourceData!$B$42,VLOOKUP(Errors!$I451,SourceData!$A$2:$B$40,2,FALSE))</f>
        <v>Please select ERROR CODE column "I"</v>
      </c>
      <c r="L451" s="207" t="str">
        <f>IF(Errors!$I451=0,
    'List of Error Codes'!$E$29,
    IFERROR(VLOOKUP(Errors!$I451, 'List of Error Codes'!D450:I480, 6, FALSE), 'List of Error Codes'!$E$29)
)</f>
        <v>Please select ERROR CODE column "I"</v>
      </c>
      <c r="M451" s="209"/>
      <c r="N451" s="209"/>
      <c r="O451" s="209"/>
      <c r="P451" s="209"/>
      <c r="Q451" s="209"/>
      <c r="R451" s="217"/>
      <c r="S451" s="217"/>
      <c r="T451" s="217"/>
      <c r="U451" s="199"/>
      <c r="V451" s="200"/>
      <c r="W451" s="200"/>
      <c r="X451" s="200"/>
      <c r="Y451" s="200"/>
      <c r="Z451" s="200"/>
      <c r="AA451" s="201"/>
      <c r="AB451" s="200"/>
      <c r="AC451" s="200"/>
    </row>
    <row r="452" ht="15.0" customHeight="1">
      <c r="A452" s="210">
        <f t="shared" si="1"/>
        <v>450</v>
      </c>
      <c r="B452" s="217"/>
      <c r="C452" s="217" t="str">
        <f>IFERROR(VLOOKUP(B452, SourceData!$U$3:$V$190, 2, FALSE), "")</f>
        <v/>
      </c>
      <c r="D452" s="240"/>
      <c r="E452" s="241"/>
      <c r="F452" s="248"/>
      <c r="G452" s="207"/>
      <c r="H452" s="209"/>
      <c r="I452" s="209"/>
      <c r="J452" s="209"/>
      <c r="K452" s="208" t="str">
        <f>IF(Errors!$I452=0,SourceData!$B$42,VLOOKUP(Errors!$I452,SourceData!$A$2:$B$40,2,FALSE))</f>
        <v>Please select ERROR CODE column "I"</v>
      </c>
      <c r="L452" s="207" t="str">
        <f>IF(Errors!$I452=0,
    'List of Error Codes'!$E$29,
    IFERROR(VLOOKUP(Errors!$I452, 'List of Error Codes'!D451:I481, 6, FALSE), 'List of Error Codes'!$E$29)
)</f>
        <v>Please select ERROR CODE column "I"</v>
      </c>
      <c r="M452" s="209"/>
      <c r="N452" s="209"/>
      <c r="O452" s="209"/>
      <c r="P452" s="209"/>
      <c r="Q452" s="209"/>
      <c r="R452" s="217"/>
      <c r="S452" s="217"/>
      <c r="T452" s="217"/>
      <c r="U452" s="199"/>
      <c r="V452" s="200"/>
      <c r="W452" s="200"/>
      <c r="X452" s="200"/>
      <c r="Y452" s="200"/>
      <c r="Z452" s="200"/>
      <c r="AA452" s="201"/>
      <c r="AB452" s="200"/>
      <c r="AC452" s="200"/>
    </row>
    <row r="453" ht="15.0" customHeight="1">
      <c r="A453" s="210">
        <f t="shared" si="1"/>
        <v>451</v>
      </c>
      <c r="B453" s="217"/>
      <c r="C453" s="217" t="str">
        <f>IFERROR(VLOOKUP(B453, SourceData!$U$3:$V$190, 2, FALSE), "")</f>
        <v/>
      </c>
      <c r="D453" s="240"/>
      <c r="E453" s="241"/>
      <c r="F453" s="248"/>
      <c r="G453" s="207"/>
      <c r="H453" s="209"/>
      <c r="I453" s="209"/>
      <c r="J453" s="209"/>
      <c r="K453" s="208" t="str">
        <f>IF(Errors!$I453=0,SourceData!$B$42,VLOOKUP(Errors!$I453,SourceData!$A$2:$B$40,2,FALSE))</f>
        <v>Please select ERROR CODE column "I"</v>
      </c>
      <c r="L453" s="207" t="str">
        <f>IF(Errors!$I453=0,
    'List of Error Codes'!$E$29,
    IFERROR(VLOOKUP(Errors!$I453, 'List of Error Codes'!D452:I482, 6, FALSE), 'List of Error Codes'!$E$29)
)</f>
        <v>Please select ERROR CODE column "I"</v>
      </c>
      <c r="M453" s="209"/>
      <c r="N453" s="209"/>
      <c r="O453" s="209"/>
      <c r="P453" s="209"/>
      <c r="Q453" s="209"/>
      <c r="R453" s="217"/>
      <c r="S453" s="217"/>
      <c r="T453" s="217"/>
      <c r="U453" s="199"/>
      <c r="V453" s="200"/>
      <c r="W453" s="200"/>
      <c r="X453" s="200"/>
      <c r="Y453" s="200"/>
      <c r="Z453" s="200"/>
      <c r="AA453" s="201"/>
      <c r="AB453" s="200"/>
      <c r="AC453" s="200"/>
    </row>
    <row r="454" ht="15.0" customHeight="1">
      <c r="A454" s="210">
        <f t="shared" si="1"/>
        <v>452</v>
      </c>
      <c r="B454" s="217"/>
      <c r="C454" s="217" t="str">
        <f>IFERROR(VLOOKUP(B454, SourceData!$U$3:$V$190, 2, FALSE), "")</f>
        <v/>
      </c>
      <c r="D454" s="240"/>
      <c r="E454" s="241"/>
      <c r="F454" s="248"/>
      <c r="G454" s="207"/>
      <c r="H454" s="209"/>
      <c r="I454" s="209"/>
      <c r="J454" s="209"/>
      <c r="K454" s="208" t="str">
        <f>IF(Errors!$I454=0,SourceData!$B$42,VLOOKUP(Errors!$I454,SourceData!$A$2:$B$40,2,FALSE))</f>
        <v>Please select ERROR CODE column "I"</v>
      </c>
      <c r="L454" s="207" t="str">
        <f>IF(Errors!$I454=0,
    'List of Error Codes'!$E$29,
    IFERROR(VLOOKUP(Errors!$I454, 'List of Error Codes'!D453:I483, 6, FALSE), 'List of Error Codes'!$E$29)
)</f>
        <v>Please select ERROR CODE column "I"</v>
      </c>
      <c r="M454" s="209"/>
      <c r="N454" s="209"/>
      <c r="O454" s="209"/>
      <c r="P454" s="209"/>
      <c r="Q454" s="209"/>
      <c r="R454" s="217"/>
      <c r="S454" s="217"/>
      <c r="T454" s="217"/>
      <c r="U454" s="199"/>
      <c r="V454" s="200"/>
      <c r="W454" s="200"/>
      <c r="X454" s="200"/>
      <c r="Y454" s="200"/>
      <c r="Z454" s="200"/>
      <c r="AA454" s="201"/>
      <c r="AB454" s="200"/>
      <c r="AC454" s="200"/>
    </row>
    <row r="455" ht="15.0" customHeight="1">
      <c r="A455" s="210">
        <f t="shared" si="1"/>
        <v>453</v>
      </c>
      <c r="B455" s="217"/>
      <c r="C455" s="217" t="str">
        <f>IFERROR(VLOOKUP(B455, SourceData!$U$3:$V$190, 2, FALSE), "")</f>
        <v/>
      </c>
      <c r="D455" s="240"/>
      <c r="E455" s="241"/>
      <c r="F455" s="248"/>
      <c r="G455" s="207"/>
      <c r="H455" s="209"/>
      <c r="I455" s="209"/>
      <c r="J455" s="209"/>
      <c r="K455" s="208" t="str">
        <f>IF(Errors!$I455=0,SourceData!$B$42,VLOOKUP(Errors!$I455,SourceData!$A$2:$B$40,2,FALSE))</f>
        <v>Please select ERROR CODE column "I"</v>
      </c>
      <c r="L455" s="207" t="str">
        <f>IF(Errors!$I455=0,
    'List of Error Codes'!$E$29,
    IFERROR(VLOOKUP(Errors!$I455, 'List of Error Codes'!D454:I484, 6, FALSE), 'List of Error Codes'!$E$29)
)</f>
        <v>Please select ERROR CODE column "I"</v>
      </c>
      <c r="M455" s="209"/>
      <c r="N455" s="209"/>
      <c r="O455" s="209"/>
      <c r="P455" s="209"/>
      <c r="Q455" s="209"/>
      <c r="R455" s="217"/>
      <c r="S455" s="217"/>
      <c r="T455" s="217"/>
      <c r="U455" s="199"/>
      <c r="V455" s="200"/>
      <c r="W455" s="200"/>
      <c r="X455" s="200"/>
      <c r="Y455" s="200"/>
      <c r="Z455" s="200"/>
      <c r="AA455" s="201"/>
      <c r="AB455" s="200"/>
      <c r="AC455" s="200"/>
    </row>
    <row r="456" ht="15.0" customHeight="1">
      <c r="A456" s="210">
        <f t="shared" si="1"/>
        <v>454</v>
      </c>
      <c r="B456" s="217"/>
      <c r="C456" s="217" t="str">
        <f>IFERROR(VLOOKUP(B456, SourceData!$U$3:$V$190, 2, FALSE), "")</f>
        <v/>
      </c>
      <c r="D456" s="240"/>
      <c r="E456" s="241"/>
      <c r="F456" s="248"/>
      <c r="G456" s="207"/>
      <c r="H456" s="209"/>
      <c r="I456" s="209"/>
      <c r="J456" s="209"/>
      <c r="K456" s="208" t="str">
        <f>IF(Errors!$I456=0,SourceData!$B$42,VLOOKUP(Errors!$I456,SourceData!$A$2:$B$40,2,FALSE))</f>
        <v>Please select ERROR CODE column "I"</v>
      </c>
      <c r="L456" s="207" t="str">
        <f>IF(Errors!$I456=0,
    'List of Error Codes'!$E$29,
    IFERROR(VLOOKUP(Errors!$I456, 'List of Error Codes'!D455:I485, 6, FALSE), 'List of Error Codes'!$E$29)
)</f>
        <v>Please select ERROR CODE column "I"</v>
      </c>
      <c r="M456" s="209"/>
      <c r="N456" s="209"/>
      <c r="O456" s="209"/>
      <c r="P456" s="209"/>
      <c r="Q456" s="209"/>
      <c r="R456" s="217"/>
      <c r="S456" s="217"/>
      <c r="T456" s="217"/>
      <c r="U456" s="199"/>
      <c r="V456" s="200"/>
      <c r="W456" s="200"/>
      <c r="X456" s="200"/>
      <c r="Y456" s="200"/>
      <c r="Z456" s="200"/>
      <c r="AA456" s="201"/>
      <c r="AB456" s="200"/>
      <c r="AC456" s="200"/>
    </row>
    <row r="457" ht="15.0" customHeight="1">
      <c r="A457" s="210">
        <f t="shared" si="1"/>
        <v>455</v>
      </c>
      <c r="B457" s="217"/>
      <c r="C457" s="217" t="str">
        <f>IFERROR(VLOOKUP(B457, SourceData!$U$3:$V$190, 2, FALSE), "")</f>
        <v/>
      </c>
      <c r="D457" s="240"/>
      <c r="E457" s="241"/>
      <c r="F457" s="248"/>
      <c r="G457" s="207"/>
      <c r="H457" s="209"/>
      <c r="I457" s="209"/>
      <c r="J457" s="209"/>
      <c r="K457" s="208" t="str">
        <f>IF(Errors!$I457=0,SourceData!$B$42,VLOOKUP(Errors!$I457,SourceData!$A$2:$B$40,2,FALSE))</f>
        <v>Please select ERROR CODE column "I"</v>
      </c>
      <c r="L457" s="207" t="str">
        <f>IF(Errors!$I457=0,
    'List of Error Codes'!$E$29,
    IFERROR(VLOOKUP(Errors!$I457, 'List of Error Codes'!D456:I486, 6, FALSE), 'List of Error Codes'!$E$29)
)</f>
        <v>Please select ERROR CODE column "I"</v>
      </c>
      <c r="M457" s="209"/>
      <c r="N457" s="209"/>
      <c r="O457" s="209"/>
      <c r="P457" s="209"/>
      <c r="Q457" s="209"/>
      <c r="R457" s="217"/>
      <c r="S457" s="217"/>
      <c r="T457" s="217"/>
      <c r="U457" s="199"/>
      <c r="V457" s="200"/>
      <c r="W457" s="200"/>
      <c r="X457" s="200"/>
      <c r="Y457" s="200"/>
      <c r="Z457" s="200"/>
      <c r="AA457" s="201"/>
      <c r="AB457" s="200"/>
      <c r="AC457" s="200"/>
    </row>
    <row r="458" ht="15.0" customHeight="1">
      <c r="A458" s="210">
        <f t="shared" si="1"/>
        <v>456</v>
      </c>
      <c r="B458" s="217"/>
      <c r="C458" s="217" t="str">
        <f>IFERROR(VLOOKUP(B458, SourceData!$U$3:$V$190, 2, FALSE), "")</f>
        <v/>
      </c>
      <c r="D458" s="240"/>
      <c r="E458" s="241"/>
      <c r="F458" s="248"/>
      <c r="G458" s="207"/>
      <c r="H458" s="209"/>
      <c r="I458" s="209"/>
      <c r="J458" s="209"/>
      <c r="K458" s="208" t="str">
        <f>IF(Errors!$I458=0,SourceData!$B$42,VLOOKUP(Errors!$I458,SourceData!$A$2:$B$40,2,FALSE))</f>
        <v>Please select ERROR CODE column "I"</v>
      </c>
      <c r="L458" s="207" t="str">
        <f>IF(Errors!$I458=0,
    'List of Error Codes'!$E$29,
    IFERROR(VLOOKUP(Errors!$I458, 'List of Error Codes'!D457:I487, 6, FALSE), 'List of Error Codes'!$E$29)
)</f>
        <v>Please select ERROR CODE column "I"</v>
      </c>
      <c r="M458" s="209"/>
      <c r="N458" s="209"/>
      <c r="O458" s="209"/>
      <c r="P458" s="209"/>
      <c r="Q458" s="209"/>
      <c r="R458" s="217"/>
      <c r="S458" s="217"/>
      <c r="T458" s="217"/>
      <c r="U458" s="199"/>
      <c r="V458" s="200"/>
      <c r="W458" s="200"/>
      <c r="X458" s="200"/>
      <c r="Y458" s="200"/>
      <c r="Z458" s="200"/>
      <c r="AA458" s="201"/>
      <c r="AB458" s="200"/>
      <c r="AC458" s="200"/>
    </row>
    <row r="459" ht="15.0" customHeight="1">
      <c r="A459" s="210">
        <f t="shared" si="1"/>
        <v>457</v>
      </c>
      <c r="B459" s="217"/>
      <c r="C459" s="217" t="str">
        <f>IFERROR(VLOOKUP(B459, SourceData!$U$3:$V$190, 2, FALSE), "")</f>
        <v/>
      </c>
      <c r="D459" s="240"/>
      <c r="E459" s="241"/>
      <c r="F459" s="248"/>
      <c r="G459" s="207"/>
      <c r="H459" s="209"/>
      <c r="I459" s="209"/>
      <c r="J459" s="209"/>
      <c r="K459" s="208" t="str">
        <f>IF(Errors!$I459=0,SourceData!$B$42,VLOOKUP(Errors!$I459,SourceData!$A$2:$B$40,2,FALSE))</f>
        <v>Please select ERROR CODE column "I"</v>
      </c>
      <c r="L459" s="207" t="str">
        <f>IF(Errors!$I459=0,
    'List of Error Codes'!$E$29,
    IFERROR(VLOOKUP(Errors!$I459, 'List of Error Codes'!D458:I488, 6, FALSE), 'List of Error Codes'!$E$29)
)</f>
        <v>Please select ERROR CODE column "I"</v>
      </c>
      <c r="M459" s="209"/>
      <c r="N459" s="209"/>
      <c r="O459" s="209"/>
      <c r="P459" s="209"/>
      <c r="Q459" s="209"/>
      <c r="R459" s="217"/>
      <c r="S459" s="217"/>
      <c r="T459" s="217"/>
      <c r="U459" s="199"/>
      <c r="V459" s="200"/>
      <c r="W459" s="200"/>
      <c r="X459" s="200"/>
      <c r="Y459" s="200"/>
      <c r="Z459" s="200"/>
      <c r="AA459" s="201"/>
      <c r="AB459" s="200"/>
      <c r="AC459" s="200"/>
    </row>
    <row r="460" ht="15.0" customHeight="1">
      <c r="A460" s="210">
        <f t="shared" si="1"/>
        <v>458</v>
      </c>
      <c r="B460" s="217"/>
      <c r="C460" s="217" t="str">
        <f>IFERROR(VLOOKUP(B460, SourceData!$U$3:$V$190, 2, FALSE), "")</f>
        <v/>
      </c>
      <c r="D460" s="240"/>
      <c r="E460" s="241"/>
      <c r="F460" s="248"/>
      <c r="G460" s="207"/>
      <c r="H460" s="209"/>
      <c r="I460" s="209"/>
      <c r="J460" s="209"/>
      <c r="K460" s="208" t="str">
        <f>IF(Errors!$I460=0,SourceData!$B$42,VLOOKUP(Errors!$I460,SourceData!$A$2:$B$40,2,FALSE))</f>
        <v>Please select ERROR CODE column "I"</v>
      </c>
      <c r="L460" s="207" t="str">
        <f>IF(Errors!$I460=0,
    'List of Error Codes'!$E$29,
    IFERROR(VLOOKUP(Errors!$I460, 'List of Error Codes'!D459:I489, 6, FALSE), 'List of Error Codes'!$E$29)
)</f>
        <v>Please select ERROR CODE column "I"</v>
      </c>
      <c r="M460" s="209"/>
      <c r="N460" s="209"/>
      <c r="O460" s="209"/>
      <c r="P460" s="209"/>
      <c r="Q460" s="209"/>
      <c r="R460" s="217"/>
      <c r="S460" s="217"/>
      <c r="T460" s="217"/>
      <c r="U460" s="199"/>
      <c r="V460" s="200"/>
      <c r="W460" s="200"/>
      <c r="X460" s="200"/>
      <c r="Y460" s="200"/>
      <c r="Z460" s="200"/>
      <c r="AA460" s="201"/>
      <c r="AB460" s="200"/>
      <c r="AC460" s="200"/>
    </row>
    <row r="461" ht="15.0" customHeight="1">
      <c r="A461" s="210">
        <f t="shared" si="1"/>
        <v>459</v>
      </c>
      <c r="B461" s="217"/>
      <c r="C461" s="217" t="str">
        <f>IFERROR(VLOOKUP(B461, SourceData!$U$3:$V$190, 2, FALSE), "")</f>
        <v/>
      </c>
      <c r="D461" s="240"/>
      <c r="E461" s="241"/>
      <c r="F461" s="248"/>
      <c r="G461" s="207"/>
      <c r="H461" s="209"/>
      <c r="I461" s="209"/>
      <c r="J461" s="209"/>
      <c r="K461" s="208" t="str">
        <f>IF(Errors!$I461=0,SourceData!$B$42,VLOOKUP(Errors!$I461,SourceData!$A$2:$B$40,2,FALSE))</f>
        <v>Please select ERROR CODE column "I"</v>
      </c>
      <c r="L461" s="207" t="str">
        <f>IF(Errors!$I461=0,
    'List of Error Codes'!$E$29,
    IFERROR(VLOOKUP(Errors!$I461, 'List of Error Codes'!D460:I490, 6, FALSE), 'List of Error Codes'!$E$29)
)</f>
        <v>Please select ERROR CODE column "I"</v>
      </c>
      <c r="M461" s="209"/>
      <c r="N461" s="209"/>
      <c r="O461" s="209"/>
      <c r="P461" s="209"/>
      <c r="Q461" s="209"/>
      <c r="R461" s="217"/>
      <c r="S461" s="217"/>
      <c r="T461" s="217"/>
      <c r="U461" s="199"/>
      <c r="V461" s="200"/>
      <c r="W461" s="200"/>
      <c r="X461" s="200"/>
      <c r="Y461" s="200"/>
      <c r="Z461" s="200"/>
      <c r="AA461" s="201"/>
      <c r="AB461" s="200"/>
      <c r="AC461" s="200"/>
    </row>
    <row r="462" ht="15.0" customHeight="1">
      <c r="A462" s="210">
        <f t="shared" si="1"/>
        <v>460</v>
      </c>
      <c r="B462" s="217"/>
      <c r="C462" s="217" t="str">
        <f>IFERROR(VLOOKUP(B462, SourceData!$U$3:$V$190, 2, FALSE), "")</f>
        <v/>
      </c>
      <c r="D462" s="240"/>
      <c r="E462" s="241"/>
      <c r="F462" s="248"/>
      <c r="G462" s="207"/>
      <c r="H462" s="209"/>
      <c r="I462" s="209"/>
      <c r="J462" s="209"/>
      <c r="K462" s="208" t="str">
        <f>IF(Errors!$I462=0,SourceData!$B$42,VLOOKUP(Errors!$I462,SourceData!$A$2:$B$40,2,FALSE))</f>
        <v>Please select ERROR CODE column "I"</v>
      </c>
      <c r="L462" s="207" t="str">
        <f>IF(Errors!$I462=0,
    'List of Error Codes'!$E$29,
    IFERROR(VLOOKUP(Errors!$I462, 'List of Error Codes'!D461:I491, 6, FALSE), 'List of Error Codes'!$E$29)
)</f>
        <v>Please select ERROR CODE column "I"</v>
      </c>
      <c r="M462" s="209"/>
      <c r="N462" s="209"/>
      <c r="O462" s="209"/>
      <c r="P462" s="209"/>
      <c r="Q462" s="209"/>
      <c r="R462" s="217"/>
      <c r="S462" s="217"/>
      <c r="T462" s="217"/>
      <c r="U462" s="199"/>
      <c r="V462" s="200"/>
      <c r="W462" s="200"/>
      <c r="X462" s="200"/>
      <c r="Y462" s="200"/>
      <c r="Z462" s="200"/>
      <c r="AA462" s="201"/>
      <c r="AB462" s="200"/>
      <c r="AC462" s="200"/>
    </row>
    <row r="463" ht="15.0" customHeight="1">
      <c r="A463" s="210">
        <f t="shared" si="1"/>
        <v>461</v>
      </c>
      <c r="B463" s="217"/>
      <c r="C463" s="217" t="str">
        <f>IFERROR(VLOOKUP(B463, SourceData!$U$3:$V$190, 2, FALSE), "")</f>
        <v/>
      </c>
      <c r="D463" s="240"/>
      <c r="E463" s="241"/>
      <c r="F463" s="248"/>
      <c r="G463" s="207"/>
      <c r="H463" s="209"/>
      <c r="I463" s="209"/>
      <c r="J463" s="209"/>
      <c r="K463" s="208" t="str">
        <f>IF(Errors!$I463=0,SourceData!$B$42,VLOOKUP(Errors!$I463,SourceData!$A$2:$B$40,2,FALSE))</f>
        <v>Please select ERROR CODE column "I"</v>
      </c>
      <c r="L463" s="207" t="str">
        <f>IF(Errors!$I463=0,
    'List of Error Codes'!$E$29,
    IFERROR(VLOOKUP(Errors!$I463, 'List of Error Codes'!D462:I492, 6, FALSE), 'List of Error Codes'!$E$29)
)</f>
        <v>Please select ERROR CODE column "I"</v>
      </c>
      <c r="M463" s="209"/>
      <c r="N463" s="209"/>
      <c r="O463" s="209"/>
      <c r="P463" s="209"/>
      <c r="Q463" s="209"/>
      <c r="R463" s="217"/>
      <c r="S463" s="217"/>
      <c r="T463" s="217"/>
      <c r="U463" s="199"/>
      <c r="V463" s="200"/>
      <c r="W463" s="200"/>
      <c r="X463" s="200"/>
      <c r="Y463" s="200"/>
      <c r="Z463" s="200"/>
      <c r="AA463" s="201"/>
      <c r="AB463" s="200"/>
      <c r="AC463" s="200"/>
    </row>
    <row r="464" ht="15.0" customHeight="1">
      <c r="A464" s="210">
        <f t="shared" si="1"/>
        <v>462</v>
      </c>
      <c r="B464" s="217"/>
      <c r="C464" s="217" t="str">
        <f>IFERROR(VLOOKUP(B464, SourceData!$U$3:$V$190, 2, FALSE), "")</f>
        <v/>
      </c>
      <c r="D464" s="240"/>
      <c r="E464" s="241"/>
      <c r="F464" s="248"/>
      <c r="G464" s="207"/>
      <c r="H464" s="209"/>
      <c r="I464" s="209"/>
      <c r="J464" s="209"/>
      <c r="K464" s="208" t="str">
        <f>IF(Errors!$I464=0,SourceData!$B$42,VLOOKUP(Errors!$I464,SourceData!$A$2:$B$40,2,FALSE))</f>
        <v>Please select ERROR CODE column "I"</v>
      </c>
      <c r="L464" s="207" t="str">
        <f>IF(Errors!$I464=0,
    'List of Error Codes'!$E$29,
    IFERROR(VLOOKUP(Errors!$I464, 'List of Error Codes'!D463:I493, 6, FALSE), 'List of Error Codes'!$E$29)
)</f>
        <v>Please select ERROR CODE column "I"</v>
      </c>
      <c r="M464" s="209"/>
      <c r="N464" s="209"/>
      <c r="O464" s="209"/>
      <c r="P464" s="209"/>
      <c r="Q464" s="209"/>
      <c r="R464" s="217"/>
      <c r="S464" s="217"/>
      <c r="T464" s="217"/>
      <c r="U464" s="199"/>
      <c r="V464" s="200"/>
      <c r="W464" s="200"/>
      <c r="X464" s="200"/>
      <c r="Y464" s="200"/>
      <c r="Z464" s="200"/>
      <c r="AA464" s="201"/>
      <c r="AB464" s="200"/>
      <c r="AC464" s="200"/>
    </row>
    <row r="465" ht="15.0" customHeight="1">
      <c r="A465" s="210">
        <f t="shared" si="1"/>
        <v>463</v>
      </c>
      <c r="B465" s="217"/>
      <c r="C465" s="217" t="str">
        <f>IFERROR(VLOOKUP(B465, SourceData!$U$3:$V$190, 2, FALSE), "")</f>
        <v/>
      </c>
      <c r="D465" s="240"/>
      <c r="E465" s="241"/>
      <c r="F465" s="248"/>
      <c r="G465" s="207"/>
      <c r="H465" s="209"/>
      <c r="I465" s="209"/>
      <c r="J465" s="209"/>
      <c r="K465" s="208" t="str">
        <f>IF(Errors!$I465=0,SourceData!$B$42,VLOOKUP(Errors!$I465,SourceData!$A$2:$B$40,2,FALSE))</f>
        <v>Please select ERROR CODE column "I"</v>
      </c>
      <c r="L465" s="207" t="str">
        <f>IF(Errors!$I465=0,
    'List of Error Codes'!$E$29,
    IFERROR(VLOOKUP(Errors!$I465, 'List of Error Codes'!D464:I494, 6, FALSE), 'List of Error Codes'!$E$29)
)</f>
        <v>Please select ERROR CODE column "I"</v>
      </c>
      <c r="M465" s="209"/>
      <c r="N465" s="209"/>
      <c r="O465" s="209"/>
      <c r="P465" s="209"/>
      <c r="Q465" s="209"/>
      <c r="R465" s="217"/>
      <c r="S465" s="217"/>
      <c r="T465" s="217"/>
      <c r="U465" s="199"/>
      <c r="V465" s="200"/>
      <c r="W465" s="200"/>
      <c r="X465" s="200"/>
      <c r="Y465" s="200"/>
      <c r="Z465" s="200"/>
      <c r="AA465" s="201"/>
      <c r="AB465" s="200"/>
      <c r="AC465" s="200"/>
    </row>
    <row r="466" ht="15.0" customHeight="1">
      <c r="A466" s="210">
        <f t="shared" si="1"/>
        <v>464</v>
      </c>
      <c r="B466" s="217"/>
      <c r="C466" s="217" t="str">
        <f>IFERROR(VLOOKUP(B466, SourceData!$U$3:$V$190, 2, FALSE), "")</f>
        <v/>
      </c>
      <c r="D466" s="240"/>
      <c r="E466" s="241"/>
      <c r="F466" s="248"/>
      <c r="G466" s="207"/>
      <c r="H466" s="209"/>
      <c r="I466" s="209"/>
      <c r="J466" s="209"/>
      <c r="K466" s="208" t="str">
        <f>IF(Errors!$I466=0,SourceData!$B$42,VLOOKUP(Errors!$I466,SourceData!$A$2:$B$40,2,FALSE))</f>
        <v>Please select ERROR CODE column "I"</v>
      </c>
      <c r="L466" s="207" t="str">
        <f>IF(Errors!$I466=0,
    'List of Error Codes'!$E$29,
    IFERROR(VLOOKUP(Errors!$I466, 'List of Error Codes'!D465:I495, 6, FALSE), 'List of Error Codes'!$E$29)
)</f>
        <v>Please select ERROR CODE column "I"</v>
      </c>
      <c r="M466" s="209"/>
      <c r="N466" s="209"/>
      <c r="O466" s="209"/>
      <c r="P466" s="209"/>
      <c r="Q466" s="209"/>
      <c r="R466" s="217"/>
      <c r="S466" s="217"/>
      <c r="T466" s="217"/>
      <c r="U466" s="199"/>
      <c r="V466" s="200"/>
      <c r="W466" s="200"/>
      <c r="X466" s="200"/>
      <c r="Y466" s="200"/>
      <c r="Z466" s="200"/>
      <c r="AA466" s="201"/>
      <c r="AB466" s="200"/>
      <c r="AC466" s="200"/>
    </row>
    <row r="467" ht="15.0" customHeight="1">
      <c r="A467" s="210">
        <f t="shared" si="1"/>
        <v>465</v>
      </c>
      <c r="B467" s="217"/>
      <c r="C467" s="217" t="str">
        <f>IFERROR(VLOOKUP(B467, SourceData!$U$3:$V$190, 2, FALSE), "")</f>
        <v/>
      </c>
      <c r="D467" s="240"/>
      <c r="E467" s="241"/>
      <c r="F467" s="248"/>
      <c r="G467" s="207"/>
      <c r="H467" s="209"/>
      <c r="I467" s="209"/>
      <c r="J467" s="209"/>
      <c r="K467" s="208" t="str">
        <f>IF(Errors!$I467=0,SourceData!$B$42,VLOOKUP(Errors!$I467,SourceData!$A$2:$B$40,2,FALSE))</f>
        <v>Please select ERROR CODE column "I"</v>
      </c>
      <c r="L467" s="207" t="str">
        <f>IF(Errors!$I467=0,
    'List of Error Codes'!$E$29,
    IFERROR(VLOOKUP(Errors!$I467, 'List of Error Codes'!D466:I496, 6, FALSE), 'List of Error Codes'!$E$29)
)</f>
        <v>Please select ERROR CODE column "I"</v>
      </c>
      <c r="M467" s="209"/>
      <c r="N467" s="209"/>
      <c r="O467" s="209"/>
      <c r="P467" s="209"/>
      <c r="Q467" s="209"/>
      <c r="R467" s="217"/>
      <c r="S467" s="217"/>
      <c r="T467" s="217"/>
      <c r="U467" s="199"/>
      <c r="V467" s="200"/>
      <c r="W467" s="200"/>
      <c r="X467" s="200"/>
      <c r="Y467" s="200"/>
      <c r="Z467" s="200"/>
      <c r="AA467" s="201"/>
      <c r="AB467" s="200"/>
      <c r="AC467" s="200"/>
    </row>
    <row r="468" ht="15.0" customHeight="1">
      <c r="A468" s="210">
        <f t="shared" si="1"/>
        <v>466</v>
      </c>
      <c r="B468" s="217"/>
      <c r="C468" s="217" t="str">
        <f>IFERROR(VLOOKUP(B468, SourceData!$U$3:$V$190, 2, FALSE), "")</f>
        <v/>
      </c>
      <c r="D468" s="240"/>
      <c r="E468" s="241"/>
      <c r="F468" s="248"/>
      <c r="G468" s="207"/>
      <c r="H468" s="209"/>
      <c r="I468" s="209"/>
      <c r="J468" s="209"/>
      <c r="K468" s="208" t="str">
        <f>IF(Errors!$I468=0,SourceData!$B$42,VLOOKUP(Errors!$I468,SourceData!$A$2:$B$40,2,FALSE))</f>
        <v>Please select ERROR CODE column "I"</v>
      </c>
      <c r="L468" s="207" t="str">
        <f>IF(Errors!$I468=0,
    'List of Error Codes'!$E$29,
    IFERROR(VLOOKUP(Errors!$I468, 'List of Error Codes'!D467:I497, 6, FALSE), 'List of Error Codes'!$E$29)
)</f>
        <v>Please select ERROR CODE column "I"</v>
      </c>
      <c r="M468" s="209"/>
      <c r="N468" s="209"/>
      <c r="O468" s="209"/>
      <c r="P468" s="209"/>
      <c r="Q468" s="209"/>
      <c r="R468" s="217"/>
      <c r="S468" s="217"/>
      <c r="T468" s="217"/>
      <c r="U468" s="199"/>
      <c r="V468" s="200"/>
      <c r="W468" s="200"/>
      <c r="X468" s="200"/>
      <c r="Y468" s="200"/>
      <c r="Z468" s="200"/>
      <c r="AA468" s="201"/>
      <c r="AB468" s="200"/>
      <c r="AC468" s="200"/>
    </row>
    <row r="469" ht="15.0" customHeight="1">
      <c r="A469" s="210">
        <f t="shared" si="1"/>
        <v>467</v>
      </c>
      <c r="B469" s="217"/>
      <c r="C469" s="217" t="str">
        <f>IFERROR(VLOOKUP(B469, SourceData!$U$3:$V$190, 2, FALSE), "")</f>
        <v/>
      </c>
      <c r="D469" s="240"/>
      <c r="E469" s="241"/>
      <c r="F469" s="248"/>
      <c r="G469" s="207"/>
      <c r="H469" s="209"/>
      <c r="I469" s="209"/>
      <c r="J469" s="209"/>
      <c r="K469" s="208" t="str">
        <f>IF(Errors!$I469=0,SourceData!$B$42,VLOOKUP(Errors!$I469,SourceData!$A$2:$B$40,2,FALSE))</f>
        <v>Please select ERROR CODE column "I"</v>
      </c>
      <c r="L469" s="207" t="str">
        <f>IF(Errors!$I469=0,
    'List of Error Codes'!$E$29,
    IFERROR(VLOOKUP(Errors!$I469, 'List of Error Codes'!D468:I498, 6, FALSE), 'List of Error Codes'!$E$29)
)</f>
        <v>Please select ERROR CODE column "I"</v>
      </c>
      <c r="M469" s="209"/>
      <c r="N469" s="209"/>
      <c r="O469" s="209"/>
      <c r="P469" s="209"/>
      <c r="Q469" s="209"/>
      <c r="R469" s="217"/>
      <c r="S469" s="217"/>
      <c r="T469" s="217"/>
      <c r="U469" s="199"/>
      <c r="V469" s="200"/>
      <c r="W469" s="200"/>
      <c r="X469" s="200"/>
      <c r="Y469" s="200"/>
      <c r="Z469" s="200"/>
      <c r="AA469" s="201"/>
      <c r="AB469" s="200"/>
      <c r="AC469" s="200"/>
    </row>
    <row r="470" ht="15.0" customHeight="1">
      <c r="A470" s="210">
        <f t="shared" si="1"/>
        <v>468</v>
      </c>
      <c r="B470" s="217"/>
      <c r="C470" s="217" t="str">
        <f>IFERROR(VLOOKUP(B470, SourceData!$U$3:$V$190, 2, FALSE), "")</f>
        <v/>
      </c>
      <c r="D470" s="240"/>
      <c r="E470" s="241"/>
      <c r="F470" s="248"/>
      <c r="G470" s="207"/>
      <c r="H470" s="209"/>
      <c r="I470" s="209"/>
      <c r="J470" s="209"/>
      <c r="K470" s="208" t="str">
        <f>IF(Errors!$I470=0,SourceData!$B$42,VLOOKUP(Errors!$I470,SourceData!$A$2:$B$40,2,FALSE))</f>
        <v>Please select ERROR CODE column "I"</v>
      </c>
      <c r="L470" s="207" t="str">
        <f>IF(Errors!$I470=0,
    'List of Error Codes'!$E$29,
    IFERROR(VLOOKUP(Errors!$I470, 'List of Error Codes'!D469:I499, 6, FALSE), 'List of Error Codes'!$E$29)
)</f>
        <v>Please select ERROR CODE column "I"</v>
      </c>
      <c r="M470" s="209"/>
      <c r="N470" s="209"/>
      <c r="O470" s="209"/>
      <c r="P470" s="209"/>
      <c r="Q470" s="209"/>
      <c r="R470" s="217"/>
      <c r="S470" s="217"/>
      <c r="T470" s="217"/>
      <c r="U470" s="199"/>
      <c r="V470" s="200"/>
      <c r="W470" s="200"/>
      <c r="X470" s="200"/>
      <c r="Y470" s="200"/>
      <c r="Z470" s="200"/>
      <c r="AA470" s="201"/>
      <c r="AB470" s="200"/>
      <c r="AC470" s="200"/>
    </row>
    <row r="471" ht="15.0" customHeight="1">
      <c r="A471" s="210">
        <f t="shared" si="1"/>
        <v>469</v>
      </c>
      <c r="B471" s="217"/>
      <c r="C471" s="217" t="str">
        <f>IFERROR(VLOOKUP(B471, SourceData!$U$3:$V$190, 2, FALSE), "")</f>
        <v/>
      </c>
      <c r="D471" s="240"/>
      <c r="E471" s="241"/>
      <c r="F471" s="248"/>
      <c r="G471" s="207"/>
      <c r="H471" s="209"/>
      <c r="I471" s="209"/>
      <c r="J471" s="209"/>
      <c r="K471" s="208" t="str">
        <f>IF(Errors!$I471=0,SourceData!$B$42,VLOOKUP(Errors!$I471,SourceData!$A$2:$B$40,2,FALSE))</f>
        <v>Please select ERROR CODE column "I"</v>
      </c>
      <c r="L471" s="207" t="str">
        <f>IF(Errors!$I471=0,
    'List of Error Codes'!$E$29,
    IFERROR(VLOOKUP(Errors!$I471, 'List of Error Codes'!D470:I500, 6, FALSE), 'List of Error Codes'!$E$29)
)</f>
        <v>Please select ERROR CODE column "I"</v>
      </c>
      <c r="M471" s="209"/>
      <c r="N471" s="209"/>
      <c r="O471" s="209"/>
      <c r="P471" s="209"/>
      <c r="Q471" s="209"/>
      <c r="R471" s="217"/>
      <c r="S471" s="217"/>
      <c r="T471" s="217"/>
      <c r="U471" s="199"/>
      <c r="V471" s="200"/>
      <c r="W471" s="200"/>
      <c r="X471" s="200"/>
      <c r="Y471" s="200"/>
      <c r="Z471" s="200"/>
      <c r="AA471" s="201"/>
      <c r="AB471" s="200"/>
      <c r="AC471" s="200"/>
    </row>
    <row r="472" ht="15.0" customHeight="1">
      <c r="A472" s="210">
        <f t="shared" si="1"/>
        <v>470</v>
      </c>
      <c r="B472" s="217"/>
      <c r="C472" s="217" t="str">
        <f>IFERROR(VLOOKUP(B472, SourceData!$U$3:$V$190, 2, FALSE), "")</f>
        <v/>
      </c>
      <c r="D472" s="240"/>
      <c r="E472" s="241"/>
      <c r="F472" s="248"/>
      <c r="G472" s="207"/>
      <c r="H472" s="209"/>
      <c r="I472" s="209"/>
      <c r="J472" s="209"/>
      <c r="K472" s="208" t="str">
        <f>IF(Errors!$I472=0,SourceData!$B$42,VLOOKUP(Errors!$I472,SourceData!$A$2:$B$40,2,FALSE))</f>
        <v>Please select ERROR CODE column "I"</v>
      </c>
      <c r="L472" s="207" t="str">
        <f>IF(Errors!$I472=0,
    'List of Error Codes'!$E$29,
    IFERROR(VLOOKUP(Errors!$I472, 'List of Error Codes'!D471:I501, 6, FALSE), 'List of Error Codes'!$E$29)
)</f>
        <v>Please select ERROR CODE column "I"</v>
      </c>
      <c r="M472" s="209"/>
      <c r="N472" s="209"/>
      <c r="O472" s="209"/>
      <c r="P472" s="209"/>
      <c r="Q472" s="209"/>
      <c r="R472" s="217"/>
      <c r="S472" s="217"/>
      <c r="T472" s="217"/>
      <c r="U472" s="199"/>
      <c r="V472" s="200"/>
      <c r="W472" s="200"/>
      <c r="X472" s="200"/>
      <c r="Y472" s="200"/>
      <c r="Z472" s="200"/>
      <c r="AA472" s="201"/>
      <c r="AB472" s="200"/>
      <c r="AC472" s="200"/>
    </row>
    <row r="473" ht="15.0" customHeight="1">
      <c r="A473" s="210">
        <f t="shared" si="1"/>
        <v>471</v>
      </c>
      <c r="B473" s="217"/>
      <c r="C473" s="217" t="str">
        <f>IFERROR(VLOOKUP(B473, SourceData!$U$3:$V$190, 2, FALSE), "")</f>
        <v/>
      </c>
      <c r="D473" s="240"/>
      <c r="E473" s="241"/>
      <c r="F473" s="248"/>
      <c r="G473" s="207"/>
      <c r="H473" s="209"/>
      <c r="I473" s="209"/>
      <c r="J473" s="209"/>
      <c r="K473" s="208" t="str">
        <f>IF(Errors!$I473=0,SourceData!$B$42,VLOOKUP(Errors!$I473,SourceData!$A$2:$B$40,2,FALSE))</f>
        <v>Please select ERROR CODE column "I"</v>
      </c>
      <c r="L473" s="207" t="str">
        <f>IF(Errors!$I473=0,
    'List of Error Codes'!$E$29,
    IFERROR(VLOOKUP(Errors!$I473, 'List of Error Codes'!D472:I502, 6, FALSE), 'List of Error Codes'!$E$29)
)</f>
        <v>Please select ERROR CODE column "I"</v>
      </c>
      <c r="M473" s="209"/>
      <c r="N473" s="209"/>
      <c r="O473" s="209"/>
      <c r="P473" s="209"/>
      <c r="Q473" s="209"/>
      <c r="R473" s="217"/>
      <c r="S473" s="217"/>
      <c r="T473" s="217"/>
      <c r="U473" s="199"/>
      <c r="V473" s="200"/>
      <c r="W473" s="200"/>
      <c r="X473" s="200"/>
      <c r="Y473" s="200"/>
      <c r="Z473" s="200"/>
      <c r="AA473" s="201"/>
      <c r="AB473" s="200"/>
      <c r="AC473" s="200"/>
    </row>
    <row r="474" ht="15.0" customHeight="1">
      <c r="A474" s="210">
        <f t="shared" si="1"/>
        <v>472</v>
      </c>
      <c r="B474" s="217"/>
      <c r="C474" s="217" t="str">
        <f>IFERROR(VLOOKUP(B474, SourceData!$U$3:$V$190, 2, FALSE), "")</f>
        <v/>
      </c>
      <c r="D474" s="240"/>
      <c r="E474" s="241"/>
      <c r="F474" s="248"/>
      <c r="G474" s="207"/>
      <c r="H474" s="209"/>
      <c r="I474" s="209"/>
      <c r="J474" s="209"/>
      <c r="K474" s="208" t="str">
        <f>IF(Errors!$I474=0,SourceData!$B$42,VLOOKUP(Errors!$I474,SourceData!$A$2:$B$40,2,FALSE))</f>
        <v>Please select ERROR CODE column "I"</v>
      </c>
      <c r="L474" s="207" t="str">
        <f>IF(Errors!$I474=0,
    'List of Error Codes'!$E$29,
    IFERROR(VLOOKUP(Errors!$I474, 'List of Error Codes'!D473:I503, 6, FALSE), 'List of Error Codes'!$E$29)
)</f>
        <v>Please select ERROR CODE column "I"</v>
      </c>
      <c r="M474" s="209"/>
      <c r="N474" s="209"/>
      <c r="O474" s="209"/>
      <c r="P474" s="209"/>
      <c r="Q474" s="209"/>
      <c r="R474" s="217"/>
      <c r="S474" s="217"/>
      <c r="T474" s="217"/>
      <c r="U474" s="199"/>
      <c r="V474" s="200"/>
      <c r="W474" s="200"/>
      <c r="X474" s="200"/>
      <c r="Y474" s="200"/>
      <c r="Z474" s="200"/>
      <c r="AA474" s="201"/>
      <c r="AB474" s="200"/>
      <c r="AC474" s="200"/>
    </row>
    <row r="475" ht="15.0" customHeight="1">
      <c r="A475" s="210">
        <f t="shared" si="1"/>
        <v>473</v>
      </c>
      <c r="B475" s="217"/>
      <c r="C475" s="217" t="str">
        <f>IFERROR(VLOOKUP(B475, SourceData!$U$3:$V$190, 2, FALSE), "")</f>
        <v/>
      </c>
      <c r="D475" s="240"/>
      <c r="E475" s="241"/>
      <c r="F475" s="248"/>
      <c r="G475" s="207"/>
      <c r="H475" s="209"/>
      <c r="I475" s="209"/>
      <c r="J475" s="209"/>
      <c r="K475" s="208" t="str">
        <f>IF(Errors!$I475=0,SourceData!$B$42,VLOOKUP(Errors!$I475,SourceData!$A$2:$B$40,2,FALSE))</f>
        <v>Please select ERROR CODE column "I"</v>
      </c>
      <c r="L475" s="207" t="str">
        <f>IF(Errors!$I475=0,
    'List of Error Codes'!$E$29,
    IFERROR(VLOOKUP(Errors!$I475, 'List of Error Codes'!D474:I504, 6, FALSE), 'List of Error Codes'!$E$29)
)</f>
        <v>Please select ERROR CODE column "I"</v>
      </c>
      <c r="M475" s="209"/>
      <c r="N475" s="209"/>
      <c r="O475" s="209"/>
      <c r="P475" s="209"/>
      <c r="Q475" s="209"/>
      <c r="R475" s="217"/>
      <c r="S475" s="217"/>
      <c r="T475" s="217"/>
      <c r="U475" s="199"/>
      <c r="V475" s="200"/>
      <c r="W475" s="200"/>
      <c r="X475" s="200"/>
      <c r="Y475" s="200"/>
      <c r="Z475" s="200"/>
      <c r="AA475" s="201"/>
      <c r="AB475" s="200"/>
      <c r="AC475" s="200"/>
    </row>
    <row r="476" ht="15.0" customHeight="1">
      <c r="A476" s="210">
        <f t="shared" si="1"/>
        <v>474</v>
      </c>
      <c r="B476" s="217"/>
      <c r="C476" s="217" t="str">
        <f>IFERROR(VLOOKUP(B476, SourceData!$U$3:$V$190, 2, FALSE), "")</f>
        <v/>
      </c>
      <c r="D476" s="240"/>
      <c r="E476" s="241"/>
      <c r="F476" s="248"/>
      <c r="G476" s="207"/>
      <c r="H476" s="209"/>
      <c r="I476" s="209"/>
      <c r="J476" s="209"/>
      <c r="K476" s="208" t="str">
        <f>IF(Errors!$I476=0,SourceData!$B$42,VLOOKUP(Errors!$I476,SourceData!$A$2:$B$40,2,FALSE))</f>
        <v>Please select ERROR CODE column "I"</v>
      </c>
      <c r="L476" s="207" t="str">
        <f>IF(Errors!$I476=0,
    'List of Error Codes'!$E$29,
    IFERROR(VLOOKUP(Errors!$I476, 'List of Error Codes'!D475:I505, 6, FALSE), 'List of Error Codes'!$E$29)
)</f>
        <v>Please select ERROR CODE column "I"</v>
      </c>
      <c r="M476" s="209"/>
      <c r="N476" s="209"/>
      <c r="O476" s="209"/>
      <c r="P476" s="209"/>
      <c r="Q476" s="209"/>
      <c r="R476" s="217"/>
      <c r="S476" s="217"/>
      <c r="T476" s="217"/>
      <c r="U476" s="199"/>
      <c r="V476" s="200"/>
      <c r="W476" s="200"/>
      <c r="X476" s="200"/>
      <c r="Y476" s="200"/>
      <c r="Z476" s="200"/>
      <c r="AA476" s="201"/>
      <c r="AB476" s="200"/>
      <c r="AC476" s="200"/>
    </row>
    <row r="477" ht="15.0" customHeight="1">
      <c r="A477" s="210">
        <f t="shared" si="1"/>
        <v>475</v>
      </c>
      <c r="B477" s="217"/>
      <c r="C477" s="217" t="str">
        <f>IFERROR(VLOOKUP(B477, SourceData!$U$3:$V$190, 2, FALSE), "")</f>
        <v/>
      </c>
      <c r="D477" s="240"/>
      <c r="E477" s="241"/>
      <c r="F477" s="248"/>
      <c r="G477" s="207"/>
      <c r="H477" s="209"/>
      <c r="I477" s="209"/>
      <c r="J477" s="209"/>
      <c r="K477" s="208" t="str">
        <f>IF(Errors!$I477=0,SourceData!$B$42,VLOOKUP(Errors!$I477,SourceData!$A$2:$B$40,2,FALSE))</f>
        <v>Please select ERROR CODE column "I"</v>
      </c>
      <c r="L477" s="207" t="str">
        <f>IF(Errors!$I477=0,
    'List of Error Codes'!$E$29,
    IFERROR(VLOOKUP(Errors!$I477, 'List of Error Codes'!D476:I506, 6, FALSE), 'List of Error Codes'!$E$29)
)</f>
        <v>Please select ERROR CODE column "I"</v>
      </c>
      <c r="M477" s="209"/>
      <c r="N477" s="209"/>
      <c r="O477" s="209"/>
      <c r="P477" s="209"/>
      <c r="Q477" s="209"/>
      <c r="R477" s="217"/>
      <c r="S477" s="217"/>
      <c r="T477" s="217"/>
      <c r="U477" s="199"/>
      <c r="V477" s="200"/>
      <c r="W477" s="200"/>
      <c r="X477" s="200"/>
      <c r="Y477" s="200"/>
      <c r="Z477" s="200"/>
      <c r="AA477" s="201"/>
      <c r="AB477" s="200"/>
      <c r="AC477" s="200"/>
    </row>
    <row r="478" ht="15.0" customHeight="1">
      <c r="A478" s="210">
        <f t="shared" si="1"/>
        <v>476</v>
      </c>
      <c r="B478" s="217"/>
      <c r="C478" s="217" t="str">
        <f>IFERROR(VLOOKUP(B478, SourceData!$U$3:$V$190, 2, FALSE), "")</f>
        <v/>
      </c>
      <c r="D478" s="240"/>
      <c r="E478" s="241"/>
      <c r="F478" s="248"/>
      <c r="G478" s="207"/>
      <c r="H478" s="209"/>
      <c r="I478" s="209"/>
      <c r="J478" s="209"/>
      <c r="K478" s="208" t="str">
        <f>IF(Errors!$I478=0,SourceData!$B$42,VLOOKUP(Errors!$I478,SourceData!$A$2:$B$40,2,FALSE))</f>
        <v>Please select ERROR CODE column "I"</v>
      </c>
      <c r="L478" s="207" t="str">
        <f>IF(Errors!$I478=0,
    'List of Error Codes'!$E$29,
    IFERROR(VLOOKUP(Errors!$I478, 'List of Error Codes'!D477:I507, 6, FALSE), 'List of Error Codes'!$E$29)
)</f>
        <v>Please select ERROR CODE column "I"</v>
      </c>
      <c r="M478" s="209"/>
      <c r="N478" s="209"/>
      <c r="O478" s="209"/>
      <c r="P478" s="209"/>
      <c r="Q478" s="209"/>
      <c r="R478" s="217"/>
      <c r="S478" s="217"/>
      <c r="T478" s="217"/>
      <c r="U478" s="199"/>
      <c r="V478" s="200"/>
      <c r="W478" s="200"/>
      <c r="X478" s="200"/>
      <c r="Y478" s="200"/>
      <c r="Z478" s="200"/>
      <c r="AA478" s="201"/>
      <c r="AB478" s="200"/>
      <c r="AC478" s="200"/>
    </row>
    <row r="479" ht="15.0" customHeight="1">
      <c r="A479" s="210">
        <f t="shared" si="1"/>
        <v>477</v>
      </c>
      <c r="B479" s="217"/>
      <c r="C479" s="217" t="str">
        <f>IFERROR(VLOOKUP(B479, SourceData!$U$3:$V$190, 2, FALSE), "")</f>
        <v/>
      </c>
      <c r="D479" s="240"/>
      <c r="E479" s="241"/>
      <c r="F479" s="248"/>
      <c r="G479" s="207"/>
      <c r="H479" s="209"/>
      <c r="I479" s="209"/>
      <c r="J479" s="209"/>
      <c r="K479" s="208" t="str">
        <f>IF(Errors!$I479=0,SourceData!$B$42,VLOOKUP(Errors!$I479,SourceData!$A$2:$B$40,2,FALSE))</f>
        <v>Please select ERROR CODE column "I"</v>
      </c>
      <c r="L479" s="207" t="str">
        <f>IF(Errors!$I479=0,
    'List of Error Codes'!$E$29,
    IFERROR(VLOOKUP(Errors!$I479, 'List of Error Codes'!D478:I508, 6, FALSE), 'List of Error Codes'!$E$29)
)</f>
        <v>Please select ERROR CODE column "I"</v>
      </c>
      <c r="M479" s="209"/>
      <c r="N479" s="209"/>
      <c r="O479" s="209"/>
      <c r="P479" s="209"/>
      <c r="Q479" s="209"/>
      <c r="R479" s="217"/>
      <c r="S479" s="217"/>
      <c r="T479" s="217"/>
      <c r="U479" s="199"/>
      <c r="V479" s="200"/>
      <c r="W479" s="200"/>
      <c r="X479" s="200"/>
      <c r="Y479" s="200"/>
      <c r="Z479" s="200"/>
      <c r="AA479" s="201"/>
      <c r="AB479" s="200"/>
      <c r="AC479" s="200"/>
    </row>
    <row r="480" ht="15.0" customHeight="1">
      <c r="A480" s="210">
        <f t="shared" si="1"/>
        <v>478</v>
      </c>
      <c r="B480" s="217"/>
      <c r="C480" s="217" t="str">
        <f>IFERROR(VLOOKUP(B480, SourceData!$U$3:$V$190, 2, FALSE), "")</f>
        <v/>
      </c>
      <c r="D480" s="240"/>
      <c r="E480" s="241"/>
      <c r="F480" s="248"/>
      <c r="G480" s="207"/>
      <c r="H480" s="209"/>
      <c r="I480" s="209"/>
      <c r="J480" s="209"/>
      <c r="K480" s="208" t="str">
        <f>IF(Errors!$I480=0,SourceData!$B$42,VLOOKUP(Errors!$I480,SourceData!$A$2:$B$40,2,FALSE))</f>
        <v>Please select ERROR CODE column "I"</v>
      </c>
      <c r="L480" s="207" t="str">
        <f>IF(Errors!$I480=0,
    'List of Error Codes'!$E$29,
    IFERROR(VLOOKUP(Errors!$I480, 'List of Error Codes'!D479:I509, 6, FALSE), 'List of Error Codes'!$E$29)
)</f>
        <v>Please select ERROR CODE column "I"</v>
      </c>
      <c r="M480" s="209"/>
      <c r="N480" s="209"/>
      <c r="O480" s="209"/>
      <c r="P480" s="209"/>
      <c r="Q480" s="209"/>
      <c r="R480" s="217"/>
      <c r="S480" s="217"/>
      <c r="T480" s="217"/>
      <c r="U480" s="199"/>
      <c r="V480" s="200"/>
      <c r="W480" s="200"/>
      <c r="X480" s="200"/>
      <c r="Y480" s="200"/>
      <c r="Z480" s="200"/>
      <c r="AA480" s="201"/>
      <c r="AB480" s="200"/>
      <c r="AC480" s="200"/>
    </row>
    <row r="481" ht="15.0" customHeight="1">
      <c r="A481" s="210">
        <f t="shared" si="1"/>
        <v>479</v>
      </c>
      <c r="B481" s="217"/>
      <c r="C481" s="217" t="str">
        <f>IFERROR(VLOOKUP(B481, SourceData!$U$3:$V$190, 2, FALSE), "")</f>
        <v/>
      </c>
      <c r="D481" s="240"/>
      <c r="E481" s="241"/>
      <c r="F481" s="248"/>
      <c r="G481" s="207"/>
      <c r="H481" s="209"/>
      <c r="I481" s="209"/>
      <c r="J481" s="209"/>
      <c r="K481" s="208" t="str">
        <f>IF(Errors!$I481=0,SourceData!$B$42,VLOOKUP(Errors!$I481,SourceData!$A$2:$B$40,2,FALSE))</f>
        <v>Please select ERROR CODE column "I"</v>
      </c>
      <c r="L481" s="207" t="str">
        <f>IF(Errors!$I481=0,
    'List of Error Codes'!$E$29,
    IFERROR(VLOOKUP(Errors!$I481, 'List of Error Codes'!D480:I510, 6, FALSE), 'List of Error Codes'!$E$29)
)</f>
        <v>Please select ERROR CODE column "I"</v>
      </c>
      <c r="M481" s="209"/>
      <c r="N481" s="209"/>
      <c r="O481" s="209"/>
      <c r="P481" s="209"/>
      <c r="Q481" s="209"/>
      <c r="R481" s="217"/>
      <c r="S481" s="217"/>
      <c r="T481" s="217"/>
      <c r="U481" s="199"/>
      <c r="V481" s="200"/>
      <c r="W481" s="200"/>
      <c r="X481" s="200"/>
      <c r="Y481" s="200"/>
      <c r="Z481" s="200"/>
      <c r="AA481" s="201"/>
      <c r="AB481" s="200"/>
      <c r="AC481" s="200"/>
    </row>
    <row r="482" ht="15.0" customHeight="1">
      <c r="A482" s="210">
        <f t="shared" si="1"/>
        <v>480</v>
      </c>
      <c r="B482" s="217"/>
      <c r="C482" s="217" t="str">
        <f>IFERROR(VLOOKUP(B482, SourceData!$U$3:$V$190, 2, FALSE), "")</f>
        <v/>
      </c>
      <c r="D482" s="240"/>
      <c r="E482" s="241"/>
      <c r="F482" s="248"/>
      <c r="G482" s="207"/>
      <c r="H482" s="209"/>
      <c r="I482" s="209"/>
      <c r="J482" s="209"/>
      <c r="K482" s="208" t="str">
        <f>IF(Errors!$I482=0,SourceData!$B$42,VLOOKUP(Errors!$I482,SourceData!$A$2:$B$40,2,FALSE))</f>
        <v>Please select ERROR CODE column "I"</v>
      </c>
      <c r="L482" s="207" t="str">
        <f>IF(Errors!$I482=0,
    'List of Error Codes'!$E$29,
    IFERROR(VLOOKUP(Errors!$I482, 'List of Error Codes'!D481:I511, 6, FALSE), 'List of Error Codes'!$E$29)
)</f>
        <v>Please select ERROR CODE column "I"</v>
      </c>
      <c r="M482" s="209"/>
      <c r="N482" s="209"/>
      <c r="O482" s="209"/>
      <c r="P482" s="209"/>
      <c r="Q482" s="209"/>
      <c r="R482" s="217"/>
      <c r="S482" s="217"/>
      <c r="T482" s="217"/>
      <c r="U482" s="199"/>
      <c r="V482" s="200"/>
      <c r="W482" s="200"/>
      <c r="X482" s="200"/>
      <c r="Y482" s="200"/>
      <c r="Z482" s="200"/>
      <c r="AA482" s="201"/>
      <c r="AB482" s="200"/>
      <c r="AC482" s="200"/>
    </row>
    <row r="483" ht="15.0" customHeight="1">
      <c r="A483" s="210">
        <f t="shared" si="1"/>
        <v>481</v>
      </c>
      <c r="B483" s="217"/>
      <c r="C483" s="217" t="str">
        <f>IFERROR(VLOOKUP(B483, SourceData!$U$3:$V$190, 2, FALSE), "")</f>
        <v/>
      </c>
      <c r="D483" s="240"/>
      <c r="E483" s="241"/>
      <c r="F483" s="248"/>
      <c r="G483" s="207"/>
      <c r="H483" s="209"/>
      <c r="I483" s="209"/>
      <c r="J483" s="209"/>
      <c r="K483" s="208" t="str">
        <f>IF(Errors!$I483=0,SourceData!$B$42,VLOOKUP(Errors!$I483,SourceData!$A$2:$B$40,2,FALSE))</f>
        <v>Please select ERROR CODE column "I"</v>
      </c>
      <c r="L483" s="207" t="str">
        <f>IF(Errors!$I483=0,
    'List of Error Codes'!$E$29,
    IFERROR(VLOOKUP(Errors!$I483, 'List of Error Codes'!D482:I512, 6, FALSE), 'List of Error Codes'!$E$29)
)</f>
        <v>Please select ERROR CODE column "I"</v>
      </c>
      <c r="M483" s="209"/>
      <c r="N483" s="209"/>
      <c r="O483" s="209"/>
      <c r="P483" s="209"/>
      <c r="Q483" s="209"/>
      <c r="R483" s="217"/>
      <c r="S483" s="217"/>
      <c r="T483" s="217"/>
      <c r="U483" s="199"/>
      <c r="V483" s="200"/>
      <c r="W483" s="200"/>
      <c r="X483" s="200"/>
      <c r="Y483" s="200"/>
      <c r="Z483" s="200"/>
      <c r="AA483" s="201"/>
      <c r="AB483" s="200"/>
      <c r="AC483" s="200"/>
    </row>
    <row r="484" ht="15.0" customHeight="1">
      <c r="A484" s="210">
        <f t="shared" si="1"/>
        <v>482</v>
      </c>
      <c r="B484" s="217"/>
      <c r="C484" s="217" t="str">
        <f>IFERROR(VLOOKUP(B484, SourceData!$U$3:$V$190, 2, FALSE), "")</f>
        <v/>
      </c>
      <c r="D484" s="240"/>
      <c r="E484" s="241"/>
      <c r="F484" s="248"/>
      <c r="G484" s="207"/>
      <c r="H484" s="209"/>
      <c r="I484" s="209"/>
      <c r="J484" s="209"/>
      <c r="K484" s="208" t="str">
        <f>IF(Errors!$I484=0,SourceData!$B$42,VLOOKUP(Errors!$I484,SourceData!$A$2:$B$40,2,FALSE))</f>
        <v>Please select ERROR CODE column "I"</v>
      </c>
      <c r="L484" s="207" t="str">
        <f>IF(Errors!$I484=0,
    'List of Error Codes'!$E$29,
    IFERROR(VLOOKUP(Errors!$I484, 'List of Error Codes'!D483:I513, 6, FALSE), 'List of Error Codes'!$E$29)
)</f>
        <v>Please select ERROR CODE column "I"</v>
      </c>
      <c r="M484" s="209"/>
      <c r="N484" s="209"/>
      <c r="O484" s="209"/>
      <c r="P484" s="209"/>
      <c r="Q484" s="209"/>
      <c r="R484" s="217"/>
      <c r="S484" s="217"/>
      <c r="T484" s="217"/>
      <c r="U484" s="199"/>
      <c r="V484" s="200"/>
      <c r="W484" s="200"/>
      <c r="X484" s="200"/>
      <c r="Y484" s="200"/>
      <c r="Z484" s="200"/>
      <c r="AA484" s="201"/>
      <c r="AB484" s="200"/>
      <c r="AC484" s="200"/>
    </row>
    <row r="485" ht="15.0" customHeight="1">
      <c r="A485" s="210">
        <f t="shared" si="1"/>
        <v>483</v>
      </c>
      <c r="B485" s="217"/>
      <c r="C485" s="217" t="str">
        <f>IFERROR(VLOOKUP(B485, SourceData!$U$3:$V$190, 2, FALSE), "")</f>
        <v/>
      </c>
      <c r="D485" s="240"/>
      <c r="E485" s="241"/>
      <c r="F485" s="248"/>
      <c r="G485" s="207"/>
      <c r="H485" s="209"/>
      <c r="I485" s="209"/>
      <c r="J485" s="209"/>
      <c r="K485" s="208" t="str">
        <f>IF(Errors!$I485=0,SourceData!$B$42,VLOOKUP(Errors!$I485,SourceData!$A$2:$B$40,2,FALSE))</f>
        <v>Please select ERROR CODE column "I"</v>
      </c>
      <c r="L485" s="207" t="str">
        <f>IF(Errors!$I485=0,
    'List of Error Codes'!$E$29,
    IFERROR(VLOOKUP(Errors!$I485, 'List of Error Codes'!D484:I514, 6, FALSE), 'List of Error Codes'!$E$29)
)</f>
        <v>Please select ERROR CODE column "I"</v>
      </c>
      <c r="M485" s="209"/>
      <c r="N485" s="209"/>
      <c r="O485" s="209"/>
      <c r="P485" s="209"/>
      <c r="Q485" s="209"/>
      <c r="R485" s="217"/>
      <c r="S485" s="217"/>
      <c r="T485" s="217"/>
      <c r="U485" s="199"/>
      <c r="V485" s="200"/>
      <c r="W485" s="200"/>
      <c r="X485" s="200"/>
      <c r="Y485" s="200"/>
      <c r="Z485" s="200"/>
      <c r="AA485" s="201"/>
      <c r="AB485" s="200"/>
      <c r="AC485" s="200"/>
    </row>
    <row r="486" ht="15.0" customHeight="1">
      <c r="A486" s="210">
        <f t="shared" si="1"/>
        <v>484</v>
      </c>
      <c r="B486" s="217"/>
      <c r="C486" s="217" t="str">
        <f>IFERROR(VLOOKUP(B486, SourceData!$U$3:$V$190, 2, FALSE), "")</f>
        <v/>
      </c>
      <c r="D486" s="240"/>
      <c r="E486" s="241"/>
      <c r="F486" s="248"/>
      <c r="G486" s="207"/>
      <c r="H486" s="209"/>
      <c r="I486" s="209"/>
      <c r="J486" s="209"/>
      <c r="K486" s="208" t="str">
        <f>IF(Errors!$I486=0,SourceData!$B$42,VLOOKUP(Errors!$I486,SourceData!$A$2:$B$40,2,FALSE))</f>
        <v>Please select ERROR CODE column "I"</v>
      </c>
      <c r="L486" s="207" t="str">
        <f>IF(Errors!$I486=0,
    'List of Error Codes'!$E$29,
    IFERROR(VLOOKUP(Errors!$I486, 'List of Error Codes'!D485:I515, 6, FALSE), 'List of Error Codes'!$E$29)
)</f>
        <v>Please select ERROR CODE column "I"</v>
      </c>
      <c r="M486" s="209"/>
      <c r="N486" s="209"/>
      <c r="O486" s="209"/>
      <c r="P486" s="209"/>
      <c r="Q486" s="209"/>
      <c r="R486" s="217"/>
      <c r="S486" s="217"/>
      <c r="T486" s="217"/>
      <c r="U486" s="199"/>
      <c r="V486" s="200"/>
      <c r="W486" s="200"/>
      <c r="X486" s="200"/>
      <c r="Y486" s="200"/>
      <c r="Z486" s="200"/>
      <c r="AA486" s="201"/>
      <c r="AB486" s="200"/>
      <c r="AC486" s="200"/>
    </row>
    <row r="487" ht="15.0" customHeight="1">
      <c r="A487" s="210">
        <f t="shared" si="1"/>
        <v>485</v>
      </c>
      <c r="B487" s="217"/>
      <c r="C487" s="217" t="str">
        <f>IFERROR(VLOOKUP(B487, SourceData!$U$3:$V$190, 2, FALSE), "")</f>
        <v/>
      </c>
      <c r="D487" s="240"/>
      <c r="E487" s="241"/>
      <c r="F487" s="248"/>
      <c r="G487" s="207"/>
      <c r="H487" s="209"/>
      <c r="I487" s="209"/>
      <c r="J487" s="209"/>
      <c r="K487" s="208" t="str">
        <f>IF(Errors!$I487=0,SourceData!$B$42,VLOOKUP(Errors!$I487,SourceData!$A$2:$B$40,2,FALSE))</f>
        <v>Please select ERROR CODE column "I"</v>
      </c>
      <c r="L487" s="207" t="str">
        <f>IF(Errors!$I487=0,
    'List of Error Codes'!$E$29,
    IFERROR(VLOOKUP(Errors!$I487, 'List of Error Codes'!D486:I516, 6, FALSE), 'List of Error Codes'!$E$29)
)</f>
        <v>Please select ERROR CODE column "I"</v>
      </c>
      <c r="M487" s="209"/>
      <c r="N487" s="209"/>
      <c r="O487" s="209"/>
      <c r="P487" s="209"/>
      <c r="Q487" s="209"/>
      <c r="R487" s="217"/>
      <c r="S487" s="217"/>
      <c r="T487" s="217"/>
      <c r="U487" s="199"/>
      <c r="V487" s="200"/>
      <c r="W487" s="200"/>
      <c r="X487" s="200"/>
      <c r="Y487" s="200"/>
      <c r="Z487" s="200"/>
      <c r="AA487" s="201"/>
      <c r="AB487" s="200"/>
      <c r="AC487" s="200"/>
    </row>
    <row r="488" ht="15.0" customHeight="1">
      <c r="A488" s="210">
        <f t="shared" si="1"/>
        <v>486</v>
      </c>
      <c r="B488" s="217"/>
      <c r="C488" s="217" t="str">
        <f>IFERROR(VLOOKUP(B488, SourceData!$U$3:$V$190, 2, FALSE), "")</f>
        <v/>
      </c>
      <c r="D488" s="240"/>
      <c r="E488" s="241"/>
      <c r="F488" s="248"/>
      <c r="G488" s="207"/>
      <c r="H488" s="209"/>
      <c r="I488" s="209"/>
      <c r="J488" s="209"/>
      <c r="K488" s="208" t="str">
        <f>IF(Errors!$I488=0,SourceData!$B$42,VLOOKUP(Errors!$I488,SourceData!$A$2:$B$40,2,FALSE))</f>
        <v>Please select ERROR CODE column "I"</v>
      </c>
      <c r="L488" s="207" t="str">
        <f>IF(Errors!$I488=0,
    'List of Error Codes'!$E$29,
    IFERROR(VLOOKUP(Errors!$I488, 'List of Error Codes'!D487:I517, 6, FALSE), 'List of Error Codes'!$E$29)
)</f>
        <v>Please select ERROR CODE column "I"</v>
      </c>
      <c r="M488" s="209"/>
      <c r="N488" s="209"/>
      <c r="O488" s="209"/>
      <c r="P488" s="209"/>
      <c r="Q488" s="209"/>
      <c r="R488" s="217"/>
      <c r="S488" s="217"/>
      <c r="T488" s="217"/>
      <c r="U488" s="199"/>
      <c r="V488" s="200"/>
      <c r="W488" s="200"/>
      <c r="X488" s="200"/>
      <c r="Y488" s="200"/>
      <c r="Z488" s="200"/>
      <c r="AA488" s="201"/>
      <c r="AB488" s="200"/>
      <c r="AC488" s="200"/>
    </row>
    <row r="489" ht="15.0" customHeight="1">
      <c r="A489" s="210">
        <f t="shared" si="1"/>
        <v>487</v>
      </c>
      <c r="B489" s="217"/>
      <c r="C489" s="217" t="str">
        <f>IFERROR(VLOOKUP(B489, SourceData!$U$3:$V$190, 2, FALSE), "")</f>
        <v/>
      </c>
      <c r="D489" s="240"/>
      <c r="E489" s="241"/>
      <c r="F489" s="248"/>
      <c r="G489" s="207"/>
      <c r="H489" s="209"/>
      <c r="I489" s="209"/>
      <c r="J489" s="209"/>
      <c r="K489" s="208" t="str">
        <f>IF(Errors!$I489=0,SourceData!$B$42,VLOOKUP(Errors!$I489,SourceData!$A$2:$B$40,2,FALSE))</f>
        <v>Please select ERROR CODE column "I"</v>
      </c>
      <c r="L489" s="207" t="str">
        <f>IF(Errors!$I489=0,
    'List of Error Codes'!$E$29,
    IFERROR(VLOOKUP(Errors!$I489, 'List of Error Codes'!D488:I518, 6, FALSE), 'List of Error Codes'!$E$29)
)</f>
        <v>Please select ERROR CODE column "I"</v>
      </c>
      <c r="M489" s="209"/>
      <c r="N489" s="209"/>
      <c r="O489" s="209"/>
      <c r="P489" s="209"/>
      <c r="Q489" s="209"/>
      <c r="R489" s="217"/>
      <c r="S489" s="217"/>
      <c r="T489" s="217"/>
      <c r="U489" s="199"/>
      <c r="V489" s="200"/>
      <c r="W489" s="200"/>
      <c r="X489" s="200"/>
      <c r="Y489" s="200"/>
      <c r="Z489" s="200"/>
      <c r="AA489" s="201"/>
      <c r="AB489" s="200"/>
      <c r="AC489" s="200"/>
    </row>
    <row r="490" ht="15.0" customHeight="1">
      <c r="A490" s="210">
        <f t="shared" si="1"/>
        <v>488</v>
      </c>
      <c r="B490" s="217"/>
      <c r="C490" s="217" t="str">
        <f>IFERROR(VLOOKUP(B490, SourceData!$U$3:$V$190, 2, FALSE), "")</f>
        <v/>
      </c>
      <c r="D490" s="240"/>
      <c r="E490" s="241"/>
      <c r="F490" s="248"/>
      <c r="G490" s="207"/>
      <c r="H490" s="209"/>
      <c r="I490" s="209"/>
      <c r="J490" s="209"/>
      <c r="K490" s="208" t="str">
        <f>IF(Errors!$I490=0,SourceData!$B$42,VLOOKUP(Errors!$I490,SourceData!$A$2:$B$40,2,FALSE))</f>
        <v>Please select ERROR CODE column "I"</v>
      </c>
      <c r="L490" s="207" t="str">
        <f>IF(Errors!$I490=0,
    'List of Error Codes'!$E$29,
    IFERROR(VLOOKUP(Errors!$I490, 'List of Error Codes'!D489:I519, 6, FALSE), 'List of Error Codes'!$E$29)
)</f>
        <v>Please select ERROR CODE column "I"</v>
      </c>
      <c r="M490" s="209"/>
      <c r="N490" s="209"/>
      <c r="O490" s="209"/>
      <c r="P490" s="209"/>
      <c r="Q490" s="209"/>
      <c r="R490" s="217"/>
      <c r="S490" s="217"/>
      <c r="T490" s="217"/>
      <c r="U490" s="199"/>
      <c r="V490" s="200"/>
      <c r="W490" s="200"/>
      <c r="X490" s="200"/>
      <c r="Y490" s="200"/>
      <c r="Z490" s="200"/>
      <c r="AA490" s="201"/>
      <c r="AB490" s="200"/>
      <c r="AC490" s="200"/>
    </row>
    <row r="491" ht="15.0" customHeight="1">
      <c r="A491" s="210">
        <f t="shared" si="1"/>
        <v>489</v>
      </c>
      <c r="B491" s="217"/>
      <c r="C491" s="217" t="str">
        <f>IFERROR(VLOOKUP(B491, SourceData!$U$3:$V$190, 2, FALSE), "")</f>
        <v/>
      </c>
      <c r="D491" s="240"/>
      <c r="E491" s="241"/>
      <c r="F491" s="248"/>
      <c r="G491" s="207"/>
      <c r="H491" s="209"/>
      <c r="I491" s="209"/>
      <c r="J491" s="209"/>
      <c r="K491" s="208" t="str">
        <f>IF(Errors!$I491=0,SourceData!$B$42,VLOOKUP(Errors!$I491,SourceData!$A$2:$B$40,2,FALSE))</f>
        <v>Please select ERROR CODE column "I"</v>
      </c>
      <c r="L491" s="207" t="str">
        <f>IF(Errors!$I491=0,
    'List of Error Codes'!$E$29,
    IFERROR(VLOOKUP(Errors!$I491, 'List of Error Codes'!D490:I520, 6, FALSE), 'List of Error Codes'!$E$29)
)</f>
        <v>Please select ERROR CODE column "I"</v>
      </c>
      <c r="M491" s="209"/>
      <c r="N491" s="209"/>
      <c r="O491" s="209"/>
      <c r="P491" s="209"/>
      <c r="Q491" s="209"/>
      <c r="R491" s="217"/>
      <c r="S491" s="217"/>
      <c r="T491" s="217"/>
      <c r="U491" s="199"/>
      <c r="V491" s="200"/>
      <c r="W491" s="200"/>
      <c r="X491" s="200"/>
      <c r="Y491" s="200"/>
      <c r="Z491" s="200"/>
      <c r="AA491" s="201"/>
      <c r="AB491" s="200"/>
      <c r="AC491" s="200"/>
    </row>
    <row r="492" ht="15.0" customHeight="1">
      <c r="A492" s="210">
        <f t="shared" si="1"/>
        <v>490</v>
      </c>
      <c r="B492" s="217"/>
      <c r="C492" s="217" t="str">
        <f>IFERROR(VLOOKUP(B492, SourceData!$U$3:$V$190, 2, FALSE), "")</f>
        <v/>
      </c>
      <c r="D492" s="240"/>
      <c r="E492" s="241"/>
      <c r="F492" s="248"/>
      <c r="G492" s="207"/>
      <c r="H492" s="209"/>
      <c r="I492" s="209"/>
      <c r="J492" s="209"/>
      <c r="K492" s="208" t="str">
        <f>IF(Errors!$I492=0,SourceData!$B$42,VLOOKUP(Errors!$I492,SourceData!$A$2:$B$40,2,FALSE))</f>
        <v>Please select ERROR CODE column "I"</v>
      </c>
      <c r="L492" s="207" t="str">
        <f>IF(Errors!$I492=0,
    'List of Error Codes'!$E$29,
    IFERROR(VLOOKUP(Errors!$I492, 'List of Error Codes'!D491:I521, 6, FALSE), 'List of Error Codes'!$E$29)
)</f>
        <v>Please select ERROR CODE column "I"</v>
      </c>
      <c r="M492" s="209"/>
      <c r="N492" s="209"/>
      <c r="O492" s="209"/>
      <c r="P492" s="209"/>
      <c r="Q492" s="209"/>
      <c r="R492" s="217"/>
      <c r="S492" s="217"/>
      <c r="T492" s="217"/>
      <c r="U492" s="199"/>
      <c r="V492" s="200"/>
      <c r="W492" s="200"/>
      <c r="X492" s="200"/>
      <c r="Y492" s="200"/>
      <c r="Z492" s="200"/>
      <c r="AA492" s="201"/>
      <c r="AB492" s="200"/>
      <c r="AC492" s="200"/>
    </row>
    <row r="493" ht="15.0" customHeight="1">
      <c r="A493" s="210">
        <f t="shared" si="1"/>
        <v>491</v>
      </c>
      <c r="B493" s="217"/>
      <c r="C493" s="217" t="str">
        <f>IFERROR(VLOOKUP(B493, SourceData!$U$3:$V$190, 2, FALSE), "")</f>
        <v/>
      </c>
      <c r="D493" s="240"/>
      <c r="E493" s="241"/>
      <c r="F493" s="248"/>
      <c r="G493" s="207"/>
      <c r="H493" s="209"/>
      <c r="I493" s="209"/>
      <c r="J493" s="209"/>
      <c r="K493" s="208" t="str">
        <f>IF(Errors!$I493=0,SourceData!$B$42,VLOOKUP(Errors!$I493,SourceData!$A$2:$B$40,2,FALSE))</f>
        <v>Please select ERROR CODE column "I"</v>
      </c>
      <c r="L493" s="207" t="str">
        <f>IF(Errors!$I493=0,
    'List of Error Codes'!$E$29,
    IFERROR(VLOOKUP(Errors!$I493, 'List of Error Codes'!D492:I522, 6, FALSE), 'List of Error Codes'!$E$29)
)</f>
        <v>Please select ERROR CODE column "I"</v>
      </c>
      <c r="M493" s="209"/>
      <c r="N493" s="209"/>
      <c r="O493" s="209"/>
      <c r="P493" s="209"/>
      <c r="Q493" s="209"/>
      <c r="R493" s="217"/>
      <c r="S493" s="217"/>
      <c r="T493" s="217"/>
      <c r="U493" s="199"/>
      <c r="V493" s="200"/>
      <c r="W493" s="200"/>
      <c r="X493" s="200"/>
      <c r="Y493" s="200"/>
      <c r="Z493" s="200"/>
      <c r="AA493" s="201"/>
      <c r="AB493" s="200"/>
      <c r="AC493" s="200"/>
    </row>
    <row r="494" ht="15.0" customHeight="1">
      <c r="A494" s="210">
        <f t="shared" si="1"/>
        <v>492</v>
      </c>
      <c r="B494" s="217"/>
      <c r="C494" s="217" t="str">
        <f>IFERROR(VLOOKUP(B494, SourceData!$U$3:$V$190, 2, FALSE), "")</f>
        <v/>
      </c>
      <c r="D494" s="240"/>
      <c r="E494" s="241"/>
      <c r="F494" s="248"/>
      <c r="G494" s="207"/>
      <c r="H494" s="209"/>
      <c r="I494" s="209"/>
      <c r="J494" s="209"/>
      <c r="K494" s="208" t="str">
        <f>IF(Errors!$I494=0,SourceData!$B$42,VLOOKUP(Errors!$I494,SourceData!$A$2:$B$40,2,FALSE))</f>
        <v>Please select ERROR CODE column "I"</v>
      </c>
      <c r="L494" s="207" t="str">
        <f>IF(Errors!$I494=0,
    'List of Error Codes'!$E$29,
    IFERROR(VLOOKUP(Errors!$I494, 'List of Error Codes'!D493:I523, 6, FALSE), 'List of Error Codes'!$E$29)
)</f>
        <v>Please select ERROR CODE column "I"</v>
      </c>
      <c r="M494" s="209"/>
      <c r="N494" s="209"/>
      <c r="O494" s="209"/>
      <c r="P494" s="209"/>
      <c r="Q494" s="209"/>
      <c r="R494" s="217"/>
      <c r="S494" s="217"/>
      <c r="T494" s="217"/>
      <c r="U494" s="199"/>
      <c r="V494" s="200"/>
      <c r="W494" s="200"/>
      <c r="X494" s="200"/>
      <c r="Y494" s="200"/>
      <c r="Z494" s="200"/>
      <c r="AA494" s="201"/>
      <c r="AB494" s="200"/>
      <c r="AC494" s="200"/>
    </row>
    <row r="495" ht="15.0" customHeight="1">
      <c r="A495" s="210">
        <f t="shared" si="1"/>
        <v>493</v>
      </c>
      <c r="B495" s="217"/>
      <c r="C495" s="217" t="str">
        <f>IFERROR(VLOOKUP(B495, SourceData!$U$3:$V$190, 2, FALSE), "")</f>
        <v/>
      </c>
      <c r="D495" s="240"/>
      <c r="E495" s="241"/>
      <c r="F495" s="248"/>
      <c r="G495" s="207"/>
      <c r="H495" s="209"/>
      <c r="I495" s="209"/>
      <c r="J495" s="209"/>
      <c r="K495" s="208" t="str">
        <f>IF(Errors!$I495=0,SourceData!$B$42,VLOOKUP(Errors!$I495,SourceData!$A$2:$B$40,2,FALSE))</f>
        <v>Please select ERROR CODE column "I"</v>
      </c>
      <c r="L495" s="207" t="str">
        <f>IF(Errors!$I495=0,
    'List of Error Codes'!$E$29,
    IFERROR(VLOOKUP(Errors!$I495, 'List of Error Codes'!D494:I524, 6, FALSE), 'List of Error Codes'!$E$29)
)</f>
        <v>Please select ERROR CODE column "I"</v>
      </c>
      <c r="M495" s="209"/>
      <c r="N495" s="209"/>
      <c r="O495" s="209"/>
      <c r="P495" s="209"/>
      <c r="Q495" s="209"/>
      <c r="R495" s="217"/>
      <c r="S495" s="217"/>
      <c r="T495" s="217"/>
      <c r="U495" s="199"/>
      <c r="V495" s="200"/>
      <c r="W495" s="200"/>
      <c r="X495" s="200"/>
      <c r="Y495" s="200"/>
      <c r="Z495" s="200"/>
      <c r="AA495" s="201"/>
      <c r="AB495" s="200"/>
      <c r="AC495" s="200"/>
    </row>
    <row r="496" ht="15.0" customHeight="1">
      <c r="A496" s="210">
        <f t="shared" si="1"/>
        <v>494</v>
      </c>
      <c r="B496" s="217"/>
      <c r="C496" s="217" t="str">
        <f>IFERROR(VLOOKUP(B496, SourceData!$U$3:$V$190, 2, FALSE), "")</f>
        <v/>
      </c>
      <c r="D496" s="240"/>
      <c r="E496" s="241"/>
      <c r="F496" s="248"/>
      <c r="G496" s="207"/>
      <c r="H496" s="209"/>
      <c r="I496" s="209"/>
      <c r="J496" s="209"/>
      <c r="K496" s="208" t="str">
        <f>IF(Errors!$I496=0,SourceData!$B$42,VLOOKUP(Errors!$I496,SourceData!$A$2:$B$40,2,FALSE))</f>
        <v>Please select ERROR CODE column "I"</v>
      </c>
      <c r="L496" s="207" t="str">
        <f>IF(Errors!$I496=0,
    'List of Error Codes'!$E$29,
    IFERROR(VLOOKUP(Errors!$I496, 'List of Error Codes'!D495:I525, 6, FALSE), 'List of Error Codes'!$E$29)
)</f>
        <v>Please select ERROR CODE column "I"</v>
      </c>
      <c r="M496" s="209"/>
      <c r="N496" s="209"/>
      <c r="O496" s="209"/>
      <c r="P496" s="209"/>
      <c r="Q496" s="209"/>
      <c r="R496" s="217"/>
      <c r="S496" s="217"/>
      <c r="T496" s="217"/>
      <c r="U496" s="199"/>
      <c r="V496" s="200"/>
      <c r="W496" s="200"/>
      <c r="X496" s="200"/>
      <c r="Y496" s="200"/>
      <c r="Z496" s="200"/>
      <c r="AA496" s="201"/>
      <c r="AB496" s="200"/>
      <c r="AC496" s="200"/>
    </row>
    <row r="497" ht="15.0" customHeight="1">
      <c r="A497" s="210">
        <f t="shared" si="1"/>
        <v>495</v>
      </c>
      <c r="B497" s="217"/>
      <c r="C497" s="217" t="str">
        <f>IFERROR(VLOOKUP(B497, SourceData!$U$3:$V$190, 2, FALSE), "")</f>
        <v/>
      </c>
      <c r="D497" s="240"/>
      <c r="E497" s="241"/>
      <c r="F497" s="248"/>
      <c r="G497" s="207"/>
      <c r="H497" s="209"/>
      <c r="I497" s="209"/>
      <c r="J497" s="209"/>
      <c r="K497" s="208" t="str">
        <f>IF(Errors!$I497=0,SourceData!$B$42,VLOOKUP(Errors!$I497,SourceData!$A$2:$B$40,2,FALSE))</f>
        <v>Please select ERROR CODE column "I"</v>
      </c>
      <c r="L497" s="207" t="str">
        <f>IF(Errors!$I497=0,
    'List of Error Codes'!$E$29,
    IFERROR(VLOOKUP(Errors!$I497, 'List of Error Codes'!D496:I526, 6, FALSE), 'List of Error Codes'!$E$29)
)</f>
        <v>Please select ERROR CODE column "I"</v>
      </c>
      <c r="M497" s="209"/>
      <c r="N497" s="209"/>
      <c r="O497" s="209"/>
      <c r="P497" s="209"/>
      <c r="Q497" s="209"/>
      <c r="R497" s="217"/>
      <c r="S497" s="217"/>
      <c r="T497" s="217"/>
      <c r="U497" s="199"/>
      <c r="V497" s="200"/>
      <c r="W497" s="200"/>
      <c r="X497" s="200"/>
      <c r="Y497" s="200"/>
      <c r="Z497" s="200"/>
      <c r="AA497" s="201"/>
      <c r="AB497" s="200"/>
      <c r="AC497" s="200"/>
    </row>
    <row r="498" ht="15.0" customHeight="1">
      <c r="A498" s="210">
        <f t="shared" si="1"/>
        <v>496</v>
      </c>
      <c r="B498" s="217"/>
      <c r="C498" s="217" t="str">
        <f>IFERROR(VLOOKUP(B498, SourceData!$U$3:$V$190, 2, FALSE), "")</f>
        <v/>
      </c>
      <c r="D498" s="240"/>
      <c r="E498" s="241"/>
      <c r="F498" s="248"/>
      <c r="G498" s="207"/>
      <c r="H498" s="209"/>
      <c r="I498" s="209"/>
      <c r="J498" s="209"/>
      <c r="K498" s="208" t="str">
        <f>IF(Errors!$I498=0,SourceData!$B$42,VLOOKUP(Errors!$I498,SourceData!$A$2:$B$40,2,FALSE))</f>
        <v>Please select ERROR CODE column "I"</v>
      </c>
      <c r="L498" s="207" t="str">
        <f>IF(Errors!$I498=0,
    'List of Error Codes'!$E$29,
    IFERROR(VLOOKUP(Errors!$I498, 'List of Error Codes'!D497:I527, 6, FALSE), 'List of Error Codes'!$E$29)
)</f>
        <v>Please select ERROR CODE column "I"</v>
      </c>
      <c r="M498" s="209"/>
      <c r="N498" s="209"/>
      <c r="O498" s="209"/>
      <c r="P498" s="209"/>
      <c r="Q498" s="209"/>
      <c r="R498" s="217"/>
      <c r="S498" s="217"/>
      <c r="T498" s="217"/>
      <c r="U498" s="199"/>
      <c r="V498" s="200"/>
      <c r="W498" s="200"/>
      <c r="X498" s="200"/>
      <c r="Y498" s="200"/>
      <c r="Z498" s="200"/>
      <c r="AA498" s="201"/>
      <c r="AB498" s="200"/>
      <c r="AC498" s="200"/>
    </row>
    <row r="499" ht="15.0" customHeight="1">
      <c r="A499" s="210">
        <f t="shared" si="1"/>
        <v>497</v>
      </c>
      <c r="B499" s="217"/>
      <c r="C499" s="217" t="str">
        <f>IFERROR(VLOOKUP(B499, SourceData!$U$3:$V$190, 2, FALSE), "")</f>
        <v/>
      </c>
      <c r="D499" s="240"/>
      <c r="E499" s="241"/>
      <c r="F499" s="248"/>
      <c r="G499" s="207"/>
      <c r="H499" s="209"/>
      <c r="I499" s="209"/>
      <c r="J499" s="209"/>
      <c r="K499" s="208" t="str">
        <f>IF(Errors!$I499=0,SourceData!$B$42,VLOOKUP(Errors!$I499,SourceData!$A$2:$B$40,2,FALSE))</f>
        <v>Please select ERROR CODE column "I"</v>
      </c>
      <c r="L499" s="207" t="str">
        <f>IF(Errors!$I499=0,
    'List of Error Codes'!$E$29,
    IFERROR(VLOOKUP(Errors!$I499, 'List of Error Codes'!D498:I528, 6, FALSE), 'List of Error Codes'!$E$29)
)</f>
        <v>Please select ERROR CODE column "I"</v>
      </c>
      <c r="M499" s="209"/>
      <c r="N499" s="209"/>
      <c r="O499" s="209"/>
      <c r="P499" s="209"/>
      <c r="Q499" s="209"/>
      <c r="R499" s="217"/>
      <c r="S499" s="217"/>
      <c r="T499" s="217"/>
      <c r="U499" s="199"/>
      <c r="V499" s="200"/>
      <c r="W499" s="200"/>
      <c r="X499" s="200"/>
      <c r="Y499" s="200"/>
      <c r="Z499" s="200"/>
      <c r="AA499" s="201"/>
      <c r="AB499" s="200"/>
      <c r="AC499" s="200"/>
    </row>
    <row r="500" ht="15.0" customHeight="1">
      <c r="A500" s="210">
        <f t="shared" si="1"/>
        <v>498</v>
      </c>
      <c r="B500" s="217"/>
      <c r="C500" s="217" t="str">
        <f>IFERROR(VLOOKUP(B500, SourceData!$U$3:$V$190, 2, FALSE), "")</f>
        <v/>
      </c>
      <c r="D500" s="240"/>
      <c r="E500" s="241"/>
      <c r="F500" s="248"/>
      <c r="G500" s="207"/>
      <c r="H500" s="209"/>
      <c r="I500" s="209"/>
      <c r="J500" s="209"/>
      <c r="K500" s="208" t="str">
        <f>IF(Errors!$I500=0,SourceData!$B$42,VLOOKUP(Errors!$I500,SourceData!$A$2:$B$40,2,FALSE))</f>
        <v>Please select ERROR CODE column "I"</v>
      </c>
      <c r="L500" s="207" t="str">
        <f>IF(Errors!$I500=0,
    'List of Error Codes'!$E$29,
    IFERROR(VLOOKUP(Errors!$I500, 'List of Error Codes'!D499:I529, 6, FALSE), 'List of Error Codes'!$E$29)
)</f>
        <v>Please select ERROR CODE column "I"</v>
      </c>
      <c r="M500" s="209"/>
      <c r="N500" s="209"/>
      <c r="O500" s="209"/>
      <c r="P500" s="209"/>
      <c r="Q500" s="209"/>
      <c r="R500" s="217"/>
      <c r="S500" s="217"/>
      <c r="T500" s="217"/>
      <c r="U500" s="199"/>
      <c r="V500" s="200"/>
      <c r="W500" s="200"/>
      <c r="X500" s="200"/>
      <c r="Y500" s="200"/>
      <c r="Z500" s="200"/>
      <c r="AA500" s="201"/>
      <c r="AB500" s="200"/>
      <c r="AC500" s="200"/>
    </row>
    <row r="501" ht="15.0" customHeight="1">
      <c r="A501" s="210">
        <f t="shared" si="1"/>
        <v>499</v>
      </c>
      <c r="B501" s="217"/>
      <c r="C501" s="217" t="str">
        <f>IFERROR(VLOOKUP(B501, SourceData!$U$3:$V$190, 2, FALSE), "")</f>
        <v/>
      </c>
      <c r="D501" s="240"/>
      <c r="E501" s="241"/>
      <c r="F501" s="248"/>
      <c r="G501" s="207"/>
      <c r="H501" s="209"/>
      <c r="I501" s="209"/>
      <c r="J501" s="209"/>
      <c r="K501" s="208" t="str">
        <f>IF(Errors!$I501=0,SourceData!$B$42,VLOOKUP(Errors!$I501,SourceData!$A$2:$B$40,2,FALSE))</f>
        <v>Please select ERROR CODE column "I"</v>
      </c>
      <c r="L501" s="207" t="str">
        <f>IF(Errors!$I501=0,
    'List of Error Codes'!$E$29,
    IFERROR(VLOOKUP(Errors!$I501, 'List of Error Codes'!D500:I530, 6, FALSE), 'List of Error Codes'!$E$29)
)</f>
        <v>Please select ERROR CODE column "I"</v>
      </c>
      <c r="M501" s="209"/>
      <c r="N501" s="209"/>
      <c r="O501" s="209"/>
      <c r="P501" s="209"/>
      <c r="Q501" s="209"/>
      <c r="R501" s="217"/>
      <c r="S501" s="217"/>
      <c r="T501" s="217"/>
      <c r="U501" s="199"/>
      <c r="V501" s="200"/>
      <c r="W501" s="200"/>
      <c r="X501" s="200"/>
      <c r="Y501" s="200"/>
      <c r="Z501" s="200"/>
      <c r="AA501" s="201"/>
      <c r="AB501" s="200"/>
      <c r="AC501" s="200"/>
    </row>
    <row r="502" ht="15.0" customHeight="1">
      <c r="A502" s="210">
        <f t="shared" si="1"/>
        <v>500</v>
      </c>
      <c r="B502" s="217"/>
      <c r="C502" s="217" t="str">
        <f>IFERROR(VLOOKUP(B502, SourceData!$U$3:$V$190, 2, FALSE), "")</f>
        <v/>
      </c>
      <c r="D502" s="240"/>
      <c r="E502" s="241"/>
      <c r="F502" s="248"/>
      <c r="G502" s="207"/>
      <c r="H502" s="209"/>
      <c r="I502" s="209"/>
      <c r="J502" s="209"/>
      <c r="K502" s="208" t="str">
        <f>IF(Errors!$I502=0,SourceData!$B$42,VLOOKUP(Errors!$I502,SourceData!$A$2:$B$40,2,FALSE))</f>
        <v>Please select ERROR CODE column "I"</v>
      </c>
      <c r="L502" s="207" t="str">
        <f>IF(Errors!$I502=0,
    'List of Error Codes'!$E$29,
    IFERROR(VLOOKUP(Errors!$I502, 'List of Error Codes'!D501:I531, 6, FALSE), 'List of Error Codes'!$E$29)
)</f>
        <v>Please select ERROR CODE column "I"</v>
      </c>
      <c r="M502" s="209"/>
      <c r="N502" s="209"/>
      <c r="O502" s="209"/>
      <c r="P502" s="209"/>
      <c r="Q502" s="209"/>
      <c r="R502" s="217"/>
      <c r="S502" s="217"/>
      <c r="T502" s="217"/>
      <c r="U502" s="199"/>
      <c r="V502" s="200"/>
      <c r="W502" s="200"/>
      <c r="X502" s="200"/>
      <c r="Y502" s="200"/>
      <c r="Z502" s="200"/>
      <c r="AA502" s="201"/>
      <c r="AB502" s="200"/>
      <c r="AC502" s="200"/>
    </row>
    <row r="503" ht="15.0" customHeight="1">
      <c r="A503" s="210">
        <f t="shared" si="1"/>
        <v>501</v>
      </c>
      <c r="B503" s="217"/>
      <c r="C503" s="217" t="str">
        <f>IFERROR(VLOOKUP(B503, SourceData!$U$3:$V$190, 2, FALSE), "")</f>
        <v/>
      </c>
      <c r="D503" s="240"/>
      <c r="E503" s="241"/>
      <c r="F503" s="248"/>
      <c r="G503" s="207"/>
      <c r="H503" s="209"/>
      <c r="I503" s="209"/>
      <c r="J503" s="209"/>
      <c r="K503" s="208" t="str">
        <f>IF(Errors!$I503=0,SourceData!$B$42,VLOOKUP(Errors!$I503,SourceData!$A$2:$B$40,2,FALSE))</f>
        <v>Please select ERROR CODE column "I"</v>
      </c>
      <c r="L503" s="207" t="str">
        <f>IF(Errors!$I503=0,
    'List of Error Codes'!$E$29,
    IFERROR(VLOOKUP(Errors!$I503, 'List of Error Codes'!D502:I532, 6, FALSE), 'List of Error Codes'!$E$29)
)</f>
        <v>Please select ERROR CODE column "I"</v>
      </c>
      <c r="M503" s="209"/>
      <c r="N503" s="209"/>
      <c r="O503" s="209"/>
      <c r="P503" s="209"/>
      <c r="Q503" s="209"/>
      <c r="R503" s="217"/>
      <c r="S503" s="217"/>
      <c r="T503" s="217"/>
      <c r="U503" s="199"/>
      <c r="V503" s="200"/>
      <c r="W503" s="200"/>
      <c r="X503" s="200"/>
      <c r="Y503" s="200"/>
      <c r="Z503" s="200"/>
      <c r="AA503" s="201"/>
      <c r="AB503" s="200"/>
      <c r="AC503" s="200"/>
    </row>
    <row r="504" ht="15.0" customHeight="1">
      <c r="A504" s="210">
        <f t="shared" si="1"/>
        <v>502</v>
      </c>
      <c r="B504" s="217"/>
      <c r="C504" s="217" t="str">
        <f>IFERROR(VLOOKUP(B504, SourceData!$U$3:$V$190, 2, FALSE), "")</f>
        <v/>
      </c>
      <c r="D504" s="240"/>
      <c r="E504" s="241"/>
      <c r="F504" s="248"/>
      <c r="G504" s="207"/>
      <c r="H504" s="209"/>
      <c r="I504" s="209"/>
      <c r="J504" s="209"/>
      <c r="K504" s="208" t="str">
        <f>IF(Errors!$I504=0,SourceData!$B$42,VLOOKUP(Errors!$I504,SourceData!$A$2:$B$40,2,FALSE))</f>
        <v>Please select ERROR CODE column "I"</v>
      </c>
      <c r="L504" s="207" t="str">
        <f>IF(Errors!$I504=0,
    'List of Error Codes'!$E$29,
    IFERROR(VLOOKUP(Errors!$I504, 'List of Error Codes'!D503:I533, 6, FALSE), 'List of Error Codes'!$E$29)
)</f>
        <v>Please select ERROR CODE column "I"</v>
      </c>
      <c r="M504" s="209"/>
      <c r="N504" s="209"/>
      <c r="O504" s="209"/>
      <c r="P504" s="209"/>
      <c r="Q504" s="209"/>
      <c r="R504" s="217"/>
      <c r="S504" s="217"/>
      <c r="T504" s="217"/>
      <c r="U504" s="199"/>
      <c r="V504" s="200"/>
      <c r="W504" s="200"/>
      <c r="X504" s="200"/>
      <c r="Y504" s="200"/>
      <c r="Z504" s="200"/>
      <c r="AA504" s="201"/>
      <c r="AB504" s="200"/>
      <c r="AC504" s="200"/>
    </row>
    <row r="505" ht="15.0" customHeight="1">
      <c r="A505" s="210">
        <f t="shared" si="1"/>
        <v>503</v>
      </c>
      <c r="B505" s="217"/>
      <c r="C505" s="217" t="str">
        <f>IFERROR(VLOOKUP(B505, SourceData!$U$3:$V$190, 2, FALSE), "")</f>
        <v/>
      </c>
      <c r="D505" s="240"/>
      <c r="E505" s="241"/>
      <c r="F505" s="248"/>
      <c r="G505" s="207"/>
      <c r="H505" s="209"/>
      <c r="I505" s="209"/>
      <c r="J505" s="209"/>
      <c r="K505" s="208" t="str">
        <f>IF(Errors!$I505=0,SourceData!$B$42,VLOOKUP(Errors!$I505,SourceData!$A$2:$B$40,2,FALSE))</f>
        <v>Please select ERROR CODE column "I"</v>
      </c>
      <c r="L505" s="207" t="str">
        <f>IF(Errors!$I505=0,
    'List of Error Codes'!$E$29,
    IFERROR(VLOOKUP(Errors!$I505, 'List of Error Codes'!D504:I534, 6, FALSE), 'List of Error Codes'!$E$29)
)</f>
        <v>Please select ERROR CODE column "I"</v>
      </c>
      <c r="M505" s="209"/>
      <c r="N505" s="209"/>
      <c r="O505" s="209"/>
      <c r="P505" s="209"/>
      <c r="Q505" s="209"/>
      <c r="R505" s="217"/>
      <c r="S505" s="217"/>
      <c r="T505" s="217"/>
      <c r="U505" s="199"/>
      <c r="V505" s="200"/>
      <c r="W505" s="200"/>
      <c r="X505" s="200"/>
      <c r="Y505" s="200"/>
      <c r="Z505" s="200"/>
      <c r="AA505" s="201"/>
      <c r="AB505" s="200"/>
      <c r="AC505" s="200"/>
    </row>
    <row r="506" ht="15.0" customHeight="1">
      <c r="A506" s="210">
        <f t="shared" si="1"/>
        <v>504</v>
      </c>
      <c r="B506" s="217"/>
      <c r="C506" s="217" t="str">
        <f>IFERROR(VLOOKUP(B506, SourceData!$U$3:$V$190, 2, FALSE), "")</f>
        <v/>
      </c>
      <c r="D506" s="240"/>
      <c r="E506" s="241"/>
      <c r="F506" s="248"/>
      <c r="G506" s="207"/>
      <c r="H506" s="209"/>
      <c r="I506" s="209"/>
      <c r="J506" s="209"/>
      <c r="K506" s="208" t="str">
        <f>IF(Errors!$I506=0,SourceData!$B$42,VLOOKUP(Errors!$I506,SourceData!$A$2:$B$40,2,FALSE))</f>
        <v>Please select ERROR CODE column "I"</v>
      </c>
      <c r="L506" s="207" t="str">
        <f>IF(Errors!$I506=0,
    'List of Error Codes'!$E$29,
    IFERROR(VLOOKUP(Errors!$I506, 'List of Error Codes'!D505:I535, 6, FALSE), 'List of Error Codes'!$E$29)
)</f>
        <v>Please select ERROR CODE column "I"</v>
      </c>
      <c r="M506" s="209"/>
      <c r="N506" s="209"/>
      <c r="O506" s="209"/>
      <c r="P506" s="209"/>
      <c r="Q506" s="209"/>
      <c r="R506" s="217"/>
      <c r="S506" s="217"/>
      <c r="T506" s="217"/>
      <c r="U506" s="199"/>
      <c r="V506" s="200"/>
      <c r="W506" s="200"/>
      <c r="X506" s="200"/>
      <c r="Y506" s="200"/>
      <c r="Z506" s="200"/>
      <c r="AA506" s="201"/>
      <c r="AB506" s="200"/>
      <c r="AC506" s="200"/>
    </row>
    <row r="507" ht="15.0" customHeight="1">
      <c r="A507" s="210">
        <f t="shared" si="1"/>
        <v>505</v>
      </c>
      <c r="B507" s="217"/>
      <c r="C507" s="217" t="str">
        <f>IFERROR(VLOOKUP(B507, SourceData!$U$3:$V$190, 2, FALSE), "")</f>
        <v/>
      </c>
      <c r="D507" s="240"/>
      <c r="E507" s="241"/>
      <c r="F507" s="248"/>
      <c r="G507" s="207"/>
      <c r="H507" s="209"/>
      <c r="I507" s="209"/>
      <c r="J507" s="209"/>
      <c r="K507" s="208" t="str">
        <f>IF(Errors!$I507=0,SourceData!$B$42,VLOOKUP(Errors!$I507,SourceData!$A$2:$B$40,2,FALSE))</f>
        <v>Please select ERROR CODE column "I"</v>
      </c>
      <c r="L507" s="207" t="str">
        <f>IF(Errors!$I507=0,
    'List of Error Codes'!$E$29,
    IFERROR(VLOOKUP(Errors!$I507, 'List of Error Codes'!D506:I536, 6, FALSE), 'List of Error Codes'!$E$29)
)</f>
        <v>Please select ERROR CODE column "I"</v>
      </c>
      <c r="M507" s="209"/>
      <c r="N507" s="209"/>
      <c r="O507" s="209"/>
      <c r="P507" s="209"/>
      <c r="Q507" s="209"/>
      <c r="R507" s="217"/>
      <c r="S507" s="217"/>
      <c r="T507" s="217"/>
      <c r="U507" s="199"/>
      <c r="V507" s="200"/>
      <c r="W507" s="200"/>
      <c r="X507" s="200"/>
      <c r="Y507" s="200"/>
      <c r="Z507" s="200"/>
      <c r="AA507" s="201"/>
      <c r="AB507" s="200"/>
      <c r="AC507" s="200"/>
    </row>
    <row r="508" ht="15.0" customHeight="1">
      <c r="A508" s="210">
        <f t="shared" si="1"/>
        <v>506</v>
      </c>
      <c r="B508" s="217"/>
      <c r="C508" s="217" t="str">
        <f>IFERROR(VLOOKUP(B508, SourceData!$U$3:$V$190, 2, FALSE), "")</f>
        <v/>
      </c>
      <c r="D508" s="240"/>
      <c r="E508" s="241"/>
      <c r="F508" s="248"/>
      <c r="G508" s="207"/>
      <c r="H508" s="209"/>
      <c r="I508" s="209"/>
      <c r="J508" s="209"/>
      <c r="K508" s="208" t="str">
        <f>IF(Errors!$I508=0,SourceData!$B$42,VLOOKUP(Errors!$I508,SourceData!$A$2:$B$40,2,FALSE))</f>
        <v>Please select ERROR CODE column "I"</v>
      </c>
      <c r="L508" s="207" t="str">
        <f>IF(Errors!$I508=0,
    'List of Error Codes'!$E$29,
    IFERROR(VLOOKUP(Errors!$I508, 'List of Error Codes'!D507:I537, 6, FALSE), 'List of Error Codes'!$E$29)
)</f>
        <v>Please select ERROR CODE column "I"</v>
      </c>
      <c r="M508" s="209"/>
      <c r="N508" s="209"/>
      <c r="O508" s="209"/>
      <c r="P508" s="209"/>
      <c r="Q508" s="209"/>
      <c r="R508" s="217"/>
      <c r="S508" s="217"/>
      <c r="T508" s="217"/>
      <c r="U508" s="199"/>
      <c r="V508" s="200"/>
      <c r="W508" s="200"/>
      <c r="X508" s="200"/>
      <c r="Y508" s="200"/>
      <c r="Z508" s="200"/>
      <c r="AA508" s="201"/>
      <c r="AB508" s="200"/>
      <c r="AC508" s="200"/>
    </row>
    <row r="509" ht="15.0" customHeight="1">
      <c r="A509" s="210">
        <f t="shared" si="1"/>
        <v>507</v>
      </c>
      <c r="B509" s="249"/>
      <c r="C509" s="249"/>
      <c r="D509" s="250"/>
      <c r="E509" s="251"/>
      <c r="F509" s="252"/>
      <c r="G509" s="253"/>
      <c r="H509" s="253"/>
      <c r="I509" s="254"/>
      <c r="J509" s="253"/>
      <c r="K509" s="253" t="str">
        <f>IF(Errors!$I509=0,SourceData!$B$42,VLOOKUP(Errors!$I509,SourceData!$A$2:$B$40,2,FALSE))</f>
        <v>Please select ERROR CODE column "I"</v>
      </c>
      <c r="L509" s="253" t="str">
        <f>IF(Errors!$I509=0,
    'List of Error Codes'!$E$29,
    IFERROR(VLOOKUP(Errors!$I509, 'List of Error Codes'!D507:I537, 6, FALSE), 'List of Error Codes'!$E$29)
)</f>
        <v>Please select ERROR CODE column "I"</v>
      </c>
      <c r="M509" s="255"/>
      <c r="N509" s="256"/>
      <c r="O509" s="256"/>
      <c r="P509" s="257"/>
      <c r="Q509" s="257"/>
      <c r="R509" s="249"/>
      <c r="S509" s="249"/>
      <c r="T509" s="255"/>
      <c r="U509" s="258"/>
      <c r="V509" s="259"/>
      <c r="W509" s="259"/>
      <c r="X509" s="259"/>
      <c r="Y509" s="259"/>
      <c r="Z509" s="259"/>
      <c r="AA509" s="260"/>
      <c r="AB509" s="200"/>
      <c r="AC509" s="200"/>
    </row>
    <row r="510" ht="15.0" customHeight="1">
      <c r="A510" s="210">
        <f t="shared" si="1"/>
        <v>508</v>
      </c>
      <c r="B510" s="217"/>
      <c r="C510" s="217" t="str">
        <f>IFERROR(VLOOKUP(B510, SourceData!$U$3:$V$190, 2, FALSE), "")</f>
        <v/>
      </c>
      <c r="D510" s="240"/>
      <c r="E510" s="241"/>
      <c r="F510" s="248"/>
      <c r="G510" s="207"/>
      <c r="H510" s="209"/>
      <c r="I510" s="209"/>
      <c r="J510" s="209"/>
      <c r="K510" s="208" t="str">
        <f>IF(Errors!$I510=0,SourceData!$B$42,VLOOKUP(Errors!$I510,SourceData!$A$2:$B$40,2,FALSE))</f>
        <v>Please select ERROR CODE column "I"</v>
      </c>
      <c r="L510" s="207" t="str">
        <f>IF(Errors!$I510=0,
    'List of Error Codes'!$E$29,
    IFERROR(VLOOKUP(Errors!$I510, 'List of Error Codes'!D509:I539, 6, FALSE), 'List of Error Codes'!$E$29)
)</f>
        <v>Please select ERROR CODE column "I"</v>
      </c>
      <c r="M510" s="209"/>
      <c r="N510" s="209"/>
      <c r="O510" s="209"/>
      <c r="P510" s="209"/>
      <c r="Q510" s="209"/>
      <c r="R510" s="217"/>
      <c r="S510" s="217"/>
      <c r="T510" s="217"/>
      <c r="U510" s="199"/>
      <c r="V510" s="200"/>
      <c r="W510" s="200"/>
      <c r="X510" s="200"/>
      <c r="Y510" s="200"/>
      <c r="Z510" s="200"/>
      <c r="AA510" s="201"/>
      <c r="AB510" s="200"/>
      <c r="AC510" s="200"/>
    </row>
    <row r="511" ht="15.0" customHeight="1">
      <c r="A511" s="210">
        <f t="shared" si="1"/>
        <v>509</v>
      </c>
      <c r="B511" s="217"/>
      <c r="C511" s="217" t="str">
        <f>IFERROR(VLOOKUP(B511, SourceData!$U$3:$V$190, 2, FALSE), "")</f>
        <v/>
      </c>
      <c r="D511" s="240"/>
      <c r="E511" s="241"/>
      <c r="F511" s="248"/>
      <c r="G511" s="207"/>
      <c r="H511" s="209"/>
      <c r="I511" s="209"/>
      <c r="J511" s="209"/>
      <c r="K511" s="208" t="str">
        <f>IF(Errors!$I511=0,SourceData!$B$42,VLOOKUP(Errors!$I511,SourceData!$A$2:$B$40,2,FALSE))</f>
        <v>Please select ERROR CODE column "I"</v>
      </c>
      <c r="L511" s="207" t="str">
        <f>IF(Errors!$I511=0,
    'List of Error Codes'!$E$29,
    IFERROR(VLOOKUP(Errors!$I511, 'List of Error Codes'!D510:I540, 6, FALSE), 'List of Error Codes'!$E$29)
)</f>
        <v>Please select ERROR CODE column "I"</v>
      </c>
      <c r="M511" s="209"/>
      <c r="N511" s="209"/>
      <c r="O511" s="209"/>
      <c r="P511" s="209"/>
      <c r="Q511" s="209"/>
      <c r="R511" s="217"/>
      <c r="S511" s="217"/>
      <c r="T511" s="217"/>
      <c r="U511" s="199"/>
      <c r="V511" s="200"/>
      <c r="W511" s="200"/>
      <c r="X511" s="200"/>
      <c r="Y511" s="200"/>
      <c r="Z511" s="200"/>
      <c r="AA511" s="201"/>
      <c r="AB511" s="200"/>
      <c r="AC511" s="200"/>
    </row>
    <row r="512" ht="15.0" customHeight="1">
      <c r="A512" s="210">
        <f t="shared" si="1"/>
        <v>510</v>
      </c>
      <c r="B512" s="217"/>
      <c r="C512" s="217" t="str">
        <f>IFERROR(VLOOKUP(B512, SourceData!$U$3:$V$190, 2, FALSE), "")</f>
        <v/>
      </c>
      <c r="D512" s="240"/>
      <c r="E512" s="241"/>
      <c r="F512" s="248"/>
      <c r="G512" s="207"/>
      <c r="H512" s="209"/>
      <c r="I512" s="209"/>
      <c r="J512" s="209"/>
      <c r="K512" s="208" t="str">
        <f>IF(Errors!$I512=0,SourceData!$B$42,VLOOKUP(Errors!$I512,SourceData!$A$2:$B$40,2,FALSE))</f>
        <v>Please select ERROR CODE column "I"</v>
      </c>
      <c r="L512" s="207" t="str">
        <f>IF(Errors!$I512=0,
    'List of Error Codes'!$E$29,
    IFERROR(VLOOKUP(Errors!$I512, 'List of Error Codes'!D511:I541, 6, FALSE), 'List of Error Codes'!$E$29)
)</f>
        <v>Please select ERROR CODE column "I"</v>
      </c>
      <c r="M512" s="209"/>
      <c r="N512" s="209"/>
      <c r="O512" s="209"/>
      <c r="P512" s="209"/>
      <c r="Q512" s="209"/>
      <c r="R512" s="217"/>
      <c r="S512" s="217"/>
      <c r="T512" s="217"/>
      <c r="U512" s="199"/>
      <c r="V512" s="200"/>
      <c r="W512" s="200"/>
      <c r="X512" s="200"/>
      <c r="Y512" s="200"/>
      <c r="Z512" s="200"/>
      <c r="AA512" s="201"/>
      <c r="AB512" s="200"/>
      <c r="AC512" s="200"/>
    </row>
    <row r="513" ht="15.0" customHeight="1">
      <c r="A513" s="210">
        <f t="shared" si="1"/>
        <v>511</v>
      </c>
      <c r="B513" s="217"/>
      <c r="C513" s="217" t="str">
        <f>IFERROR(VLOOKUP(B513, SourceData!$U$3:$V$190, 2, FALSE), "")</f>
        <v/>
      </c>
      <c r="D513" s="240"/>
      <c r="E513" s="241"/>
      <c r="F513" s="248"/>
      <c r="G513" s="207"/>
      <c r="H513" s="209"/>
      <c r="I513" s="209"/>
      <c r="J513" s="209"/>
      <c r="K513" s="208" t="str">
        <f>IF(Errors!$I513=0,SourceData!$B$42,VLOOKUP(Errors!$I513,SourceData!$A$2:$B$40,2,FALSE))</f>
        <v>Please select ERROR CODE column "I"</v>
      </c>
      <c r="L513" s="207" t="str">
        <f>IF(Errors!$I513=0,
    'List of Error Codes'!$E$29,
    IFERROR(VLOOKUP(Errors!$I513, 'List of Error Codes'!D512:I542, 6, FALSE), 'List of Error Codes'!$E$29)
)</f>
        <v>Please select ERROR CODE column "I"</v>
      </c>
      <c r="M513" s="209"/>
      <c r="N513" s="209"/>
      <c r="O513" s="209"/>
      <c r="P513" s="209"/>
      <c r="Q513" s="209"/>
      <c r="R513" s="217"/>
      <c r="S513" s="217"/>
      <c r="T513" s="217"/>
      <c r="U513" s="199"/>
      <c r="V513" s="200"/>
      <c r="W513" s="200"/>
      <c r="X513" s="200"/>
      <c r="Y513" s="200"/>
      <c r="Z513" s="200"/>
      <c r="AA513" s="201"/>
      <c r="AB513" s="200"/>
      <c r="AC513" s="200"/>
    </row>
    <row r="514" ht="15.0" customHeight="1">
      <c r="A514" s="210">
        <f t="shared" si="1"/>
        <v>512</v>
      </c>
      <c r="B514" s="217"/>
      <c r="C514" s="217" t="str">
        <f>IFERROR(VLOOKUP(B514, SourceData!$U$3:$V$190, 2, FALSE), "")</f>
        <v/>
      </c>
      <c r="D514" s="240"/>
      <c r="E514" s="241"/>
      <c r="F514" s="248"/>
      <c r="G514" s="207"/>
      <c r="H514" s="209"/>
      <c r="I514" s="209"/>
      <c r="J514" s="209"/>
      <c r="K514" s="208" t="str">
        <f>IF(Errors!$I514=0,SourceData!$B$42,VLOOKUP(Errors!$I514,SourceData!$A$2:$B$40,2,FALSE))</f>
        <v>Please select ERROR CODE column "I"</v>
      </c>
      <c r="L514" s="207" t="str">
        <f>IF(Errors!$I514=0,
    'List of Error Codes'!$E$29,
    IFERROR(VLOOKUP(Errors!$I514, 'List of Error Codes'!D513:I543, 6, FALSE), 'List of Error Codes'!$E$29)
)</f>
        <v>Please select ERROR CODE column "I"</v>
      </c>
      <c r="M514" s="209"/>
      <c r="N514" s="209"/>
      <c r="O514" s="209"/>
      <c r="P514" s="209"/>
      <c r="Q514" s="209"/>
      <c r="R514" s="217"/>
      <c r="S514" s="217"/>
      <c r="T514" s="217"/>
      <c r="U514" s="199"/>
      <c r="V514" s="200"/>
      <c r="W514" s="200"/>
      <c r="X514" s="200"/>
      <c r="Y514" s="200"/>
      <c r="Z514" s="200"/>
      <c r="AA514" s="201"/>
      <c r="AB514" s="200"/>
      <c r="AC514" s="200"/>
    </row>
    <row r="515" ht="15.0" customHeight="1">
      <c r="A515" s="210">
        <f t="shared" si="1"/>
        <v>513</v>
      </c>
      <c r="B515" s="217"/>
      <c r="C515" s="217" t="str">
        <f>IFERROR(VLOOKUP(B515, SourceData!$U$3:$V$190, 2, FALSE), "")</f>
        <v/>
      </c>
      <c r="D515" s="240"/>
      <c r="E515" s="241"/>
      <c r="F515" s="248"/>
      <c r="G515" s="207"/>
      <c r="H515" s="209"/>
      <c r="I515" s="209"/>
      <c r="J515" s="209"/>
      <c r="K515" s="208" t="str">
        <f>IF(Errors!$I515=0,SourceData!$B$42,VLOOKUP(Errors!$I515,SourceData!$A$2:$B$40,2,FALSE))</f>
        <v>Please select ERROR CODE column "I"</v>
      </c>
      <c r="L515" s="207" t="str">
        <f>IF(Errors!$I515=0,
    'List of Error Codes'!$E$29,
    IFERROR(VLOOKUP(Errors!$I515, 'List of Error Codes'!D514:I544, 6, FALSE), 'List of Error Codes'!$E$29)
)</f>
        <v>Please select ERROR CODE column "I"</v>
      </c>
      <c r="M515" s="209"/>
      <c r="N515" s="209"/>
      <c r="O515" s="209"/>
      <c r="P515" s="209"/>
      <c r="Q515" s="209"/>
      <c r="R515" s="217"/>
      <c r="S515" s="217"/>
      <c r="T515" s="217"/>
      <c r="U515" s="199"/>
      <c r="V515" s="200"/>
      <c r="W515" s="200"/>
      <c r="X515" s="200"/>
      <c r="Y515" s="200"/>
      <c r="Z515" s="200"/>
      <c r="AA515" s="201"/>
      <c r="AB515" s="200"/>
      <c r="AC515" s="200"/>
    </row>
    <row r="516" ht="15.0" customHeight="1">
      <c r="A516" s="210">
        <f t="shared" si="1"/>
        <v>514</v>
      </c>
      <c r="B516" s="217"/>
      <c r="C516" s="217" t="str">
        <f>IFERROR(VLOOKUP(B516, SourceData!$U$3:$V$190, 2, FALSE), "")</f>
        <v/>
      </c>
      <c r="D516" s="240"/>
      <c r="E516" s="241"/>
      <c r="F516" s="248"/>
      <c r="G516" s="207"/>
      <c r="H516" s="209"/>
      <c r="I516" s="209"/>
      <c r="J516" s="209"/>
      <c r="K516" s="208" t="str">
        <f>IF(Errors!$I516=0,SourceData!$B$42,VLOOKUP(Errors!$I516,SourceData!$A$2:$B$40,2,FALSE))</f>
        <v>Please select ERROR CODE column "I"</v>
      </c>
      <c r="L516" s="207" t="str">
        <f>IF(Errors!$I516=0,
    'List of Error Codes'!$E$29,
    IFERROR(VLOOKUP(Errors!$I516, 'List of Error Codes'!D515:I545, 6, FALSE), 'List of Error Codes'!$E$29)
)</f>
        <v>Please select ERROR CODE column "I"</v>
      </c>
      <c r="M516" s="209"/>
      <c r="N516" s="209"/>
      <c r="O516" s="209"/>
      <c r="P516" s="209"/>
      <c r="Q516" s="209"/>
      <c r="R516" s="217"/>
      <c r="S516" s="217"/>
      <c r="T516" s="217"/>
      <c r="U516" s="199"/>
      <c r="V516" s="200"/>
      <c r="W516" s="200"/>
      <c r="X516" s="200"/>
      <c r="Y516" s="200"/>
      <c r="Z516" s="200"/>
      <c r="AA516" s="201"/>
      <c r="AB516" s="200"/>
      <c r="AC516" s="200"/>
    </row>
    <row r="517" ht="15.0" customHeight="1">
      <c r="A517" s="210">
        <f t="shared" si="1"/>
        <v>515</v>
      </c>
      <c r="B517" s="217"/>
      <c r="C517" s="217" t="str">
        <f>IFERROR(VLOOKUP(B517, SourceData!$U$3:$V$190, 2, FALSE), "")</f>
        <v/>
      </c>
      <c r="D517" s="240"/>
      <c r="E517" s="241"/>
      <c r="F517" s="248"/>
      <c r="G517" s="207"/>
      <c r="H517" s="209"/>
      <c r="I517" s="209"/>
      <c r="J517" s="209"/>
      <c r="K517" s="208" t="str">
        <f>IF(Errors!$I517=0,SourceData!$B$42,VLOOKUP(Errors!$I517,SourceData!$A$2:$B$40,2,FALSE))</f>
        <v>Please select ERROR CODE column "I"</v>
      </c>
      <c r="L517" s="207" t="str">
        <f>IF(Errors!$I517=0,
    'List of Error Codes'!$E$29,
    IFERROR(VLOOKUP(Errors!$I517, 'List of Error Codes'!D516:I546, 6, FALSE), 'List of Error Codes'!$E$29)
)</f>
        <v>Please select ERROR CODE column "I"</v>
      </c>
      <c r="M517" s="209"/>
      <c r="N517" s="209"/>
      <c r="O517" s="209"/>
      <c r="P517" s="209"/>
      <c r="Q517" s="209"/>
      <c r="R517" s="217"/>
      <c r="S517" s="217"/>
      <c r="T517" s="217"/>
      <c r="U517" s="199"/>
      <c r="V517" s="200"/>
      <c r="W517" s="200"/>
      <c r="X517" s="200"/>
      <c r="Y517" s="200"/>
      <c r="Z517" s="200"/>
      <c r="AA517" s="201"/>
      <c r="AB517" s="200"/>
      <c r="AC517" s="200"/>
    </row>
    <row r="518" ht="15.0" customHeight="1">
      <c r="A518" s="210">
        <f t="shared" si="1"/>
        <v>516</v>
      </c>
      <c r="B518" s="217"/>
      <c r="C518" s="217" t="str">
        <f>IFERROR(VLOOKUP(B518, SourceData!$U$3:$V$190, 2, FALSE), "")</f>
        <v/>
      </c>
      <c r="D518" s="240"/>
      <c r="E518" s="241"/>
      <c r="F518" s="248"/>
      <c r="G518" s="207"/>
      <c r="H518" s="209"/>
      <c r="I518" s="209"/>
      <c r="J518" s="209"/>
      <c r="K518" s="208" t="str">
        <f>IF(Errors!$I518=0,SourceData!$B$42,VLOOKUP(Errors!$I518,SourceData!$A$2:$B$40,2,FALSE))</f>
        <v>Please select ERROR CODE column "I"</v>
      </c>
      <c r="L518" s="207" t="str">
        <f>IF(Errors!$I518=0,
    'List of Error Codes'!$E$29,
    IFERROR(VLOOKUP(Errors!$I518, 'List of Error Codes'!D517:I547, 6, FALSE), 'List of Error Codes'!$E$29)
)</f>
        <v>Please select ERROR CODE column "I"</v>
      </c>
      <c r="M518" s="209"/>
      <c r="N518" s="209"/>
      <c r="O518" s="209"/>
      <c r="P518" s="209"/>
      <c r="Q518" s="209"/>
      <c r="R518" s="217"/>
      <c r="S518" s="217"/>
      <c r="T518" s="217"/>
      <c r="U518" s="199"/>
      <c r="V518" s="200"/>
      <c r="W518" s="200"/>
      <c r="X518" s="200"/>
      <c r="Y518" s="200"/>
      <c r="Z518" s="200"/>
      <c r="AA518" s="201"/>
      <c r="AB518" s="200"/>
      <c r="AC518" s="200"/>
    </row>
    <row r="519" ht="15.0" customHeight="1">
      <c r="A519" s="210">
        <f t="shared" si="1"/>
        <v>517</v>
      </c>
      <c r="B519" s="217"/>
      <c r="C519" s="217" t="str">
        <f>IFERROR(VLOOKUP(B519, SourceData!$U$3:$V$190, 2, FALSE), "")</f>
        <v/>
      </c>
      <c r="D519" s="240"/>
      <c r="E519" s="241"/>
      <c r="F519" s="248"/>
      <c r="G519" s="207"/>
      <c r="H519" s="209"/>
      <c r="I519" s="209"/>
      <c r="J519" s="209"/>
      <c r="K519" s="208" t="str">
        <f>IF(Errors!$I519=0,SourceData!$B$42,VLOOKUP(Errors!$I519,SourceData!$A$2:$B$40,2,FALSE))</f>
        <v>Please select ERROR CODE column "I"</v>
      </c>
      <c r="L519" s="207" t="str">
        <f>IF(Errors!$I519=0,
    'List of Error Codes'!$E$29,
    IFERROR(VLOOKUP(Errors!$I519, 'List of Error Codes'!D518:I548, 6, FALSE), 'List of Error Codes'!$E$29)
)</f>
        <v>Please select ERROR CODE column "I"</v>
      </c>
      <c r="M519" s="209"/>
      <c r="N519" s="209"/>
      <c r="O519" s="209"/>
      <c r="P519" s="209"/>
      <c r="Q519" s="209"/>
      <c r="R519" s="217"/>
      <c r="S519" s="217"/>
      <c r="T519" s="217"/>
      <c r="U519" s="199"/>
      <c r="V519" s="200"/>
      <c r="W519" s="200"/>
      <c r="X519" s="200"/>
      <c r="Y519" s="200"/>
      <c r="Z519" s="200"/>
      <c r="AA519" s="201"/>
      <c r="AB519" s="200"/>
      <c r="AC519" s="200"/>
    </row>
    <row r="520" ht="15.0" customHeight="1">
      <c r="A520" s="210">
        <f t="shared" si="1"/>
        <v>518</v>
      </c>
      <c r="B520" s="217"/>
      <c r="C520" s="217" t="str">
        <f>IFERROR(VLOOKUP(B520, SourceData!$U$3:$V$190, 2, FALSE), "")</f>
        <v/>
      </c>
      <c r="D520" s="240"/>
      <c r="E520" s="241"/>
      <c r="F520" s="248"/>
      <c r="G520" s="207"/>
      <c r="H520" s="209"/>
      <c r="I520" s="209"/>
      <c r="J520" s="209"/>
      <c r="K520" s="208" t="str">
        <f>IF(Errors!$I520=0,SourceData!$B$42,VLOOKUP(Errors!$I520,SourceData!$A$2:$B$40,2,FALSE))</f>
        <v>Please select ERROR CODE column "I"</v>
      </c>
      <c r="L520" s="207" t="str">
        <f>IF(Errors!$I520=0,
    'List of Error Codes'!$E$29,
    IFERROR(VLOOKUP(Errors!$I520, 'List of Error Codes'!D519:I549, 6, FALSE), 'List of Error Codes'!$E$29)
)</f>
        <v>Please select ERROR CODE column "I"</v>
      </c>
      <c r="M520" s="209"/>
      <c r="N520" s="209"/>
      <c r="O520" s="209"/>
      <c r="P520" s="209"/>
      <c r="Q520" s="209"/>
      <c r="R520" s="217"/>
      <c r="S520" s="217"/>
      <c r="T520" s="217"/>
      <c r="U520" s="199"/>
      <c r="V520" s="200"/>
      <c r="W520" s="200"/>
      <c r="X520" s="200"/>
      <c r="Y520" s="200"/>
      <c r="Z520" s="200"/>
      <c r="AA520" s="201"/>
      <c r="AB520" s="200"/>
      <c r="AC520" s="200"/>
    </row>
    <row r="521" ht="15.0" customHeight="1">
      <c r="A521" s="210">
        <f t="shared" si="1"/>
        <v>519</v>
      </c>
      <c r="B521" s="217"/>
      <c r="C521" s="217" t="str">
        <f>IFERROR(VLOOKUP(B521, SourceData!$U$3:$V$190, 2, FALSE), "")</f>
        <v/>
      </c>
      <c r="D521" s="240"/>
      <c r="E521" s="241"/>
      <c r="F521" s="248"/>
      <c r="G521" s="207"/>
      <c r="H521" s="209"/>
      <c r="I521" s="209"/>
      <c r="J521" s="209"/>
      <c r="K521" s="208" t="str">
        <f>IF(Errors!$I521=0,SourceData!$B$42,VLOOKUP(Errors!$I521,SourceData!$A$2:$B$40,2,FALSE))</f>
        <v>Please select ERROR CODE column "I"</v>
      </c>
      <c r="L521" s="207" t="str">
        <f>IF(Errors!$I521=0,
    'List of Error Codes'!$E$29,
    IFERROR(VLOOKUP(Errors!$I521, 'List of Error Codes'!D520:I550, 6, FALSE), 'List of Error Codes'!$E$29)
)</f>
        <v>Please select ERROR CODE column "I"</v>
      </c>
      <c r="M521" s="209"/>
      <c r="N521" s="209"/>
      <c r="O521" s="209"/>
      <c r="P521" s="209"/>
      <c r="Q521" s="209"/>
      <c r="R521" s="217"/>
      <c r="S521" s="217"/>
      <c r="T521" s="217"/>
      <c r="U521" s="199"/>
      <c r="V521" s="200"/>
      <c r="W521" s="200"/>
      <c r="X521" s="200"/>
      <c r="Y521" s="200"/>
      <c r="Z521" s="200"/>
      <c r="AA521" s="201"/>
      <c r="AB521" s="200"/>
      <c r="AC521" s="200"/>
    </row>
    <row r="522" ht="15.0" customHeight="1">
      <c r="A522" s="210">
        <f t="shared" si="1"/>
        <v>520</v>
      </c>
      <c r="B522" s="217"/>
      <c r="C522" s="217" t="str">
        <f>IFERROR(VLOOKUP(B522, SourceData!$U$3:$V$190, 2, FALSE), "")</f>
        <v/>
      </c>
      <c r="D522" s="240"/>
      <c r="E522" s="241"/>
      <c r="F522" s="248"/>
      <c r="G522" s="207"/>
      <c r="H522" s="209"/>
      <c r="I522" s="209"/>
      <c r="J522" s="209"/>
      <c r="K522" s="208" t="str">
        <f>IF(Errors!$I522=0,SourceData!$B$42,VLOOKUP(Errors!$I522,SourceData!$A$2:$B$40,2,FALSE))</f>
        <v>Please select ERROR CODE column "I"</v>
      </c>
      <c r="L522" s="207" t="str">
        <f>IF(Errors!$I522=0,
    'List of Error Codes'!$E$29,
    IFERROR(VLOOKUP(Errors!$I522, 'List of Error Codes'!D521:I551, 6, FALSE), 'List of Error Codes'!$E$29)
)</f>
        <v>Please select ERROR CODE column "I"</v>
      </c>
      <c r="M522" s="209"/>
      <c r="N522" s="209"/>
      <c r="O522" s="209"/>
      <c r="P522" s="209"/>
      <c r="Q522" s="209"/>
      <c r="R522" s="217"/>
      <c r="S522" s="217"/>
      <c r="T522" s="217"/>
      <c r="U522" s="199"/>
      <c r="V522" s="200"/>
      <c r="W522" s="200"/>
      <c r="X522" s="200"/>
      <c r="Y522" s="200"/>
      <c r="Z522" s="200"/>
      <c r="AA522" s="201"/>
      <c r="AB522" s="200"/>
      <c r="AC522" s="200"/>
    </row>
    <row r="523" ht="15.0" customHeight="1">
      <c r="A523" s="210">
        <f t="shared" si="1"/>
        <v>521</v>
      </c>
      <c r="B523" s="217"/>
      <c r="C523" s="217" t="str">
        <f>IFERROR(VLOOKUP(B523, SourceData!$U$3:$V$190, 2, FALSE), "")</f>
        <v/>
      </c>
      <c r="D523" s="240"/>
      <c r="E523" s="241"/>
      <c r="F523" s="248"/>
      <c r="G523" s="207"/>
      <c r="H523" s="209"/>
      <c r="I523" s="209"/>
      <c r="J523" s="209"/>
      <c r="K523" s="208" t="str">
        <f>IF(Errors!$I523=0,SourceData!$B$42,VLOOKUP(Errors!$I523,SourceData!$A$2:$B$40,2,FALSE))</f>
        <v>Please select ERROR CODE column "I"</v>
      </c>
      <c r="L523" s="207" t="str">
        <f>IF(Errors!$I523=0,
    'List of Error Codes'!$E$29,
    IFERROR(VLOOKUP(Errors!$I523, 'List of Error Codes'!D522:I552, 6, FALSE), 'List of Error Codes'!$E$29)
)</f>
        <v>Please select ERROR CODE column "I"</v>
      </c>
      <c r="M523" s="209"/>
      <c r="N523" s="209"/>
      <c r="O523" s="209"/>
      <c r="P523" s="209"/>
      <c r="Q523" s="209"/>
      <c r="R523" s="217"/>
      <c r="S523" s="217"/>
      <c r="T523" s="217"/>
      <c r="U523" s="199"/>
      <c r="V523" s="200"/>
      <c r="W523" s="200"/>
      <c r="X523" s="200"/>
      <c r="Y523" s="200"/>
      <c r="Z523" s="200"/>
      <c r="AA523" s="201"/>
      <c r="AB523" s="200"/>
      <c r="AC523" s="200"/>
    </row>
    <row r="524" ht="15.0" customHeight="1">
      <c r="A524" s="210">
        <f t="shared" si="1"/>
        <v>522</v>
      </c>
      <c r="B524" s="217"/>
      <c r="C524" s="217" t="str">
        <f>IFERROR(VLOOKUP(B524, SourceData!$U$3:$V$190, 2, FALSE), "")</f>
        <v/>
      </c>
      <c r="D524" s="240"/>
      <c r="E524" s="241"/>
      <c r="F524" s="248"/>
      <c r="G524" s="207"/>
      <c r="H524" s="209"/>
      <c r="I524" s="209"/>
      <c r="J524" s="209"/>
      <c r="K524" s="208" t="str">
        <f>IF(Errors!$I524=0,SourceData!$B$42,VLOOKUP(Errors!$I524,SourceData!$A$2:$B$40,2,FALSE))</f>
        <v>Please select ERROR CODE column "I"</v>
      </c>
      <c r="L524" s="207" t="str">
        <f>IF(Errors!$I524=0,
    'List of Error Codes'!$E$29,
    IFERROR(VLOOKUP(Errors!$I524, 'List of Error Codes'!D523:I553, 6, FALSE), 'List of Error Codes'!$E$29)
)</f>
        <v>Please select ERROR CODE column "I"</v>
      </c>
      <c r="M524" s="209"/>
      <c r="N524" s="209"/>
      <c r="O524" s="209"/>
      <c r="P524" s="209"/>
      <c r="Q524" s="209"/>
      <c r="R524" s="217"/>
      <c r="S524" s="217"/>
      <c r="T524" s="217"/>
      <c r="U524" s="199"/>
      <c r="V524" s="200"/>
      <c r="W524" s="200"/>
      <c r="X524" s="200"/>
      <c r="Y524" s="200"/>
      <c r="Z524" s="200"/>
      <c r="AA524" s="201"/>
      <c r="AB524" s="200"/>
      <c r="AC524" s="200"/>
    </row>
    <row r="525" ht="15.0" customHeight="1">
      <c r="A525" s="210">
        <f t="shared" si="1"/>
        <v>523</v>
      </c>
      <c r="B525" s="217"/>
      <c r="C525" s="217" t="str">
        <f>IFERROR(VLOOKUP(B525, SourceData!$U$3:$V$190, 2, FALSE), "")</f>
        <v/>
      </c>
      <c r="D525" s="240"/>
      <c r="E525" s="241"/>
      <c r="F525" s="248"/>
      <c r="G525" s="207"/>
      <c r="H525" s="209"/>
      <c r="I525" s="209"/>
      <c r="J525" s="209"/>
      <c r="K525" s="208" t="str">
        <f>IF(Errors!$I525=0,SourceData!$B$42,VLOOKUP(Errors!$I525,SourceData!$A$2:$B$40,2,FALSE))</f>
        <v>Please select ERROR CODE column "I"</v>
      </c>
      <c r="L525" s="207" t="str">
        <f>IF(Errors!$I525=0,
    'List of Error Codes'!$E$29,
    IFERROR(VLOOKUP(Errors!$I525, 'List of Error Codes'!D524:I554, 6, FALSE), 'List of Error Codes'!$E$29)
)</f>
        <v>Please select ERROR CODE column "I"</v>
      </c>
      <c r="M525" s="209"/>
      <c r="N525" s="209"/>
      <c r="O525" s="209"/>
      <c r="P525" s="209"/>
      <c r="Q525" s="209"/>
      <c r="R525" s="217"/>
      <c r="S525" s="217"/>
      <c r="T525" s="217"/>
      <c r="U525" s="199"/>
      <c r="V525" s="200"/>
      <c r="W525" s="200"/>
      <c r="X525" s="200"/>
      <c r="Y525" s="200"/>
      <c r="Z525" s="200"/>
      <c r="AA525" s="201"/>
      <c r="AB525" s="200"/>
      <c r="AC525" s="200"/>
    </row>
    <row r="526" ht="15.0" customHeight="1">
      <c r="A526" s="210">
        <f t="shared" si="1"/>
        <v>524</v>
      </c>
      <c r="B526" s="217"/>
      <c r="C526" s="217" t="str">
        <f>IFERROR(VLOOKUP(B526, SourceData!$U$3:$V$190, 2, FALSE), "")</f>
        <v/>
      </c>
      <c r="D526" s="240"/>
      <c r="E526" s="241"/>
      <c r="F526" s="248"/>
      <c r="G526" s="207"/>
      <c r="H526" s="209"/>
      <c r="I526" s="209"/>
      <c r="J526" s="209"/>
      <c r="K526" s="208" t="str">
        <f>IF(Errors!$I526=0,SourceData!$B$42,VLOOKUP(Errors!$I526,SourceData!$A$2:$B$40,2,FALSE))</f>
        <v>Please select ERROR CODE column "I"</v>
      </c>
      <c r="L526" s="207" t="str">
        <f>IF(Errors!$I526=0,
    'List of Error Codes'!$E$29,
    IFERROR(VLOOKUP(Errors!$I526, 'List of Error Codes'!D525:I555, 6, FALSE), 'List of Error Codes'!$E$29)
)</f>
        <v>Please select ERROR CODE column "I"</v>
      </c>
      <c r="M526" s="209"/>
      <c r="N526" s="209"/>
      <c r="O526" s="209"/>
      <c r="P526" s="209"/>
      <c r="Q526" s="209"/>
      <c r="R526" s="217"/>
      <c r="S526" s="217"/>
      <c r="T526" s="217"/>
      <c r="U526" s="199"/>
      <c r="V526" s="200"/>
      <c r="W526" s="200"/>
      <c r="X526" s="200"/>
      <c r="Y526" s="200"/>
      <c r="Z526" s="200"/>
      <c r="AA526" s="201"/>
      <c r="AB526" s="200"/>
      <c r="AC526" s="200"/>
    </row>
    <row r="527" ht="15.0" customHeight="1">
      <c r="A527" s="210">
        <f t="shared" si="1"/>
        <v>525</v>
      </c>
      <c r="B527" s="217"/>
      <c r="C527" s="217" t="str">
        <f>IFERROR(VLOOKUP(B527, SourceData!$U$3:$V$190, 2, FALSE), "")</f>
        <v/>
      </c>
      <c r="D527" s="240"/>
      <c r="E527" s="241"/>
      <c r="F527" s="248"/>
      <c r="G527" s="207"/>
      <c r="H527" s="209"/>
      <c r="I527" s="209"/>
      <c r="J527" s="209"/>
      <c r="K527" s="208" t="str">
        <f>IF(Errors!$I527=0,SourceData!$B$42,VLOOKUP(Errors!$I527,SourceData!$A$2:$B$40,2,FALSE))</f>
        <v>Please select ERROR CODE column "I"</v>
      </c>
      <c r="L527" s="207" t="str">
        <f>IF(Errors!$I527=0,
    'List of Error Codes'!$E$29,
    IFERROR(VLOOKUP(Errors!$I527, 'List of Error Codes'!D526:I556, 6, FALSE), 'List of Error Codes'!$E$29)
)</f>
        <v>Please select ERROR CODE column "I"</v>
      </c>
      <c r="M527" s="209"/>
      <c r="N527" s="209"/>
      <c r="O527" s="209"/>
      <c r="P527" s="209"/>
      <c r="Q527" s="209"/>
      <c r="R527" s="217"/>
      <c r="S527" s="217"/>
      <c r="T527" s="217"/>
      <c r="U527" s="199"/>
      <c r="V527" s="200"/>
      <c r="W527" s="200"/>
      <c r="X527" s="200"/>
      <c r="Y527" s="200"/>
      <c r="Z527" s="200"/>
      <c r="AA527" s="201"/>
      <c r="AB527" s="200"/>
      <c r="AC527" s="200"/>
    </row>
    <row r="528" ht="15.0" customHeight="1">
      <c r="A528" s="210">
        <f t="shared" si="1"/>
        <v>526</v>
      </c>
      <c r="B528" s="217"/>
      <c r="C528" s="217" t="str">
        <f>IFERROR(VLOOKUP(B528, SourceData!$U$3:$V$190, 2, FALSE), "")</f>
        <v/>
      </c>
      <c r="D528" s="240"/>
      <c r="E528" s="241"/>
      <c r="F528" s="248"/>
      <c r="G528" s="207"/>
      <c r="H528" s="209"/>
      <c r="I528" s="209"/>
      <c r="J528" s="209"/>
      <c r="K528" s="208" t="str">
        <f>IF(Errors!$I528=0,SourceData!$B$42,VLOOKUP(Errors!$I528,SourceData!$A$2:$B$40,2,FALSE))</f>
        <v>Please select ERROR CODE column "I"</v>
      </c>
      <c r="L528" s="207" t="str">
        <f>IF(Errors!$I528=0,
    'List of Error Codes'!$E$29,
    IFERROR(VLOOKUP(Errors!$I528, 'List of Error Codes'!D527:I557, 6, FALSE), 'List of Error Codes'!$E$29)
)</f>
        <v>Please select ERROR CODE column "I"</v>
      </c>
      <c r="M528" s="209"/>
      <c r="N528" s="209"/>
      <c r="O528" s="209"/>
      <c r="P528" s="209"/>
      <c r="Q528" s="209"/>
      <c r="R528" s="217"/>
      <c r="S528" s="217"/>
      <c r="T528" s="217"/>
      <c r="U528" s="199"/>
      <c r="V528" s="200"/>
      <c r="W528" s="200"/>
      <c r="X528" s="200"/>
      <c r="Y528" s="200"/>
      <c r="Z528" s="200"/>
      <c r="AA528" s="201"/>
      <c r="AB528" s="200"/>
      <c r="AC528" s="200"/>
    </row>
    <row r="529" ht="15.0" customHeight="1">
      <c r="A529" s="210">
        <f t="shared" si="1"/>
        <v>527</v>
      </c>
      <c r="B529" s="217"/>
      <c r="C529" s="217" t="str">
        <f>IFERROR(VLOOKUP(B529, SourceData!$U$3:$V$190, 2, FALSE), "")</f>
        <v/>
      </c>
      <c r="D529" s="240"/>
      <c r="E529" s="241"/>
      <c r="F529" s="248"/>
      <c r="G529" s="207"/>
      <c r="H529" s="209"/>
      <c r="I529" s="209"/>
      <c r="J529" s="209"/>
      <c r="K529" s="208" t="str">
        <f>IF(Errors!$I529=0,SourceData!$B$42,VLOOKUP(Errors!$I529,SourceData!$A$2:$B$40,2,FALSE))</f>
        <v>Please select ERROR CODE column "I"</v>
      </c>
      <c r="L529" s="207" t="str">
        <f>IF(Errors!$I529=0,
    'List of Error Codes'!$E$29,
    IFERROR(VLOOKUP(Errors!$I529, 'List of Error Codes'!D528:I558, 6, FALSE), 'List of Error Codes'!$E$29)
)</f>
        <v>Please select ERROR CODE column "I"</v>
      </c>
      <c r="M529" s="209"/>
      <c r="N529" s="209"/>
      <c r="O529" s="209"/>
      <c r="P529" s="209"/>
      <c r="Q529" s="209"/>
      <c r="R529" s="217"/>
      <c r="S529" s="217"/>
      <c r="T529" s="217"/>
      <c r="U529" s="199"/>
      <c r="V529" s="200"/>
      <c r="W529" s="200"/>
      <c r="X529" s="200"/>
      <c r="Y529" s="200"/>
      <c r="Z529" s="200"/>
      <c r="AA529" s="201"/>
      <c r="AB529" s="200"/>
      <c r="AC529" s="200"/>
    </row>
    <row r="530" ht="15.0" customHeight="1">
      <c r="A530" s="210">
        <f t="shared" si="1"/>
        <v>528</v>
      </c>
      <c r="B530" s="217"/>
      <c r="C530" s="217" t="str">
        <f>IFERROR(VLOOKUP(B530, SourceData!$U$3:$V$190, 2, FALSE), "")</f>
        <v/>
      </c>
      <c r="D530" s="240"/>
      <c r="E530" s="241"/>
      <c r="F530" s="248"/>
      <c r="G530" s="207"/>
      <c r="H530" s="209"/>
      <c r="I530" s="209"/>
      <c r="J530" s="209"/>
      <c r="K530" s="208" t="str">
        <f>IF(Errors!$I530=0,SourceData!$B$42,VLOOKUP(Errors!$I530,SourceData!$A$2:$B$40,2,FALSE))</f>
        <v>Please select ERROR CODE column "I"</v>
      </c>
      <c r="L530" s="207" t="str">
        <f>IF(Errors!$I530=0,
    'List of Error Codes'!$E$29,
    IFERROR(VLOOKUP(Errors!$I530, 'List of Error Codes'!D529:I559, 6, FALSE), 'List of Error Codes'!$E$29)
)</f>
        <v>Please select ERROR CODE column "I"</v>
      </c>
      <c r="M530" s="209"/>
      <c r="N530" s="209"/>
      <c r="O530" s="209"/>
      <c r="P530" s="209"/>
      <c r="Q530" s="209"/>
      <c r="R530" s="217"/>
      <c r="S530" s="217"/>
      <c r="T530" s="217"/>
      <c r="U530" s="199"/>
      <c r="V530" s="200"/>
      <c r="W530" s="200"/>
      <c r="X530" s="200"/>
      <c r="Y530" s="200"/>
      <c r="Z530" s="200"/>
      <c r="AA530" s="201"/>
      <c r="AB530" s="200"/>
      <c r="AC530" s="200"/>
    </row>
    <row r="531" ht="15.0" customHeight="1">
      <c r="A531" s="210">
        <f t="shared" si="1"/>
        <v>529</v>
      </c>
      <c r="B531" s="217"/>
      <c r="C531" s="217" t="str">
        <f>IFERROR(VLOOKUP(B531, SourceData!$U$3:$V$190, 2, FALSE), "")</f>
        <v/>
      </c>
      <c r="D531" s="240"/>
      <c r="E531" s="241"/>
      <c r="F531" s="248"/>
      <c r="G531" s="207"/>
      <c r="H531" s="209"/>
      <c r="I531" s="209"/>
      <c r="J531" s="209"/>
      <c r="K531" s="208" t="str">
        <f>IF(Errors!$I531=0,SourceData!$B$42,VLOOKUP(Errors!$I531,SourceData!$A$2:$B$40,2,FALSE))</f>
        <v>Please select ERROR CODE column "I"</v>
      </c>
      <c r="L531" s="207" t="str">
        <f>IF(Errors!$I531=0,
    'List of Error Codes'!$E$29,
    IFERROR(VLOOKUP(Errors!$I531, 'List of Error Codes'!D530:I560, 6, FALSE), 'List of Error Codes'!$E$29)
)</f>
        <v>Please select ERROR CODE column "I"</v>
      </c>
      <c r="M531" s="209"/>
      <c r="N531" s="209"/>
      <c r="O531" s="209"/>
      <c r="P531" s="209"/>
      <c r="Q531" s="209"/>
      <c r="R531" s="217"/>
      <c r="S531" s="217"/>
      <c r="T531" s="217"/>
      <c r="U531" s="199"/>
      <c r="V531" s="200"/>
      <c r="W531" s="200"/>
      <c r="X531" s="200"/>
      <c r="Y531" s="200"/>
      <c r="Z531" s="200"/>
      <c r="AA531" s="201"/>
      <c r="AB531" s="200"/>
      <c r="AC531" s="200"/>
    </row>
    <row r="532" ht="15.0" customHeight="1">
      <c r="A532" s="210">
        <f t="shared" si="1"/>
        <v>530</v>
      </c>
      <c r="B532" s="217"/>
      <c r="C532" s="217" t="str">
        <f>IFERROR(VLOOKUP(B532, SourceData!$U$3:$V$190, 2, FALSE), "")</f>
        <v/>
      </c>
      <c r="D532" s="240"/>
      <c r="E532" s="241"/>
      <c r="F532" s="248"/>
      <c r="G532" s="207"/>
      <c r="H532" s="209"/>
      <c r="I532" s="209"/>
      <c r="J532" s="209"/>
      <c r="K532" s="208" t="str">
        <f>IF(Errors!$I532=0,SourceData!$B$42,VLOOKUP(Errors!$I532,SourceData!$A$2:$B$40,2,FALSE))</f>
        <v>Please select ERROR CODE column "I"</v>
      </c>
      <c r="L532" s="207" t="str">
        <f>IF(Errors!$I532=0,
    'List of Error Codes'!$E$29,
    IFERROR(VLOOKUP(Errors!$I532, 'List of Error Codes'!D531:I561, 6, FALSE), 'List of Error Codes'!$E$29)
)</f>
        <v>Please select ERROR CODE column "I"</v>
      </c>
      <c r="M532" s="209"/>
      <c r="N532" s="209"/>
      <c r="O532" s="209"/>
      <c r="P532" s="209"/>
      <c r="Q532" s="209"/>
      <c r="R532" s="217"/>
      <c r="S532" s="217"/>
      <c r="T532" s="217"/>
      <c r="U532" s="199"/>
      <c r="V532" s="200"/>
      <c r="W532" s="200"/>
      <c r="X532" s="200"/>
      <c r="Y532" s="200"/>
      <c r="Z532" s="200"/>
      <c r="AA532" s="201"/>
      <c r="AB532" s="200"/>
      <c r="AC532" s="200"/>
    </row>
    <row r="533" ht="15.0" customHeight="1">
      <c r="A533" s="210">
        <f t="shared" si="1"/>
        <v>531</v>
      </c>
      <c r="B533" s="217"/>
      <c r="C533" s="217" t="str">
        <f>IFERROR(VLOOKUP(B533, SourceData!$U$3:$V$190, 2, FALSE), "")</f>
        <v/>
      </c>
      <c r="D533" s="240"/>
      <c r="E533" s="241"/>
      <c r="F533" s="248"/>
      <c r="G533" s="207"/>
      <c r="H533" s="209"/>
      <c r="I533" s="209"/>
      <c r="J533" s="209"/>
      <c r="K533" s="208" t="str">
        <f>IF(Errors!$I533=0,SourceData!$B$42,VLOOKUP(Errors!$I533,SourceData!$A$2:$B$40,2,FALSE))</f>
        <v>Please select ERROR CODE column "I"</v>
      </c>
      <c r="L533" s="207" t="str">
        <f>IF(Errors!$I533=0,
    'List of Error Codes'!$E$29,
    IFERROR(VLOOKUP(Errors!$I533, 'List of Error Codes'!D532:I562, 6, FALSE), 'List of Error Codes'!$E$29)
)</f>
        <v>Please select ERROR CODE column "I"</v>
      </c>
      <c r="M533" s="209"/>
      <c r="N533" s="209"/>
      <c r="O533" s="209"/>
      <c r="P533" s="209"/>
      <c r="Q533" s="209"/>
      <c r="R533" s="217"/>
      <c r="S533" s="217"/>
      <c r="T533" s="217"/>
      <c r="U533" s="199"/>
      <c r="V533" s="200"/>
      <c r="W533" s="200"/>
      <c r="X533" s="200"/>
      <c r="Y533" s="200"/>
      <c r="Z533" s="200"/>
      <c r="AA533" s="201"/>
      <c r="AB533" s="200"/>
      <c r="AC533" s="200"/>
    </row>
    <row r="534" ht="15.0" customHeight="1">
      <c r="A534" s="210">
        <f t="shared" si="1"/>
        <v>532</v>
      </c>
      <c r="B534" s="217"/>
      <c r="C534" s="217" t="str">
        <f>IFERROR(VLOOKUP(B534, SourceData!$U$3:$V$190, 2, FALSE), "")</f>
        <v/>
      </c>
      <c r="D534" s="240"/>
      <c r="E534" s="241"/>
      <c r="F534" s="248"/>
      <c r="G534" s="207"/>
      <c r="H534" s="209"/>
      <c r="I534" s="209"/>
      <c r="J534" s="209"/>
      <c r="K534" s="208" t="str">
        <f>IF(Errors!$I534=0,SourceData!$B$42,VLOOKUP(Errors!$I534,SourceData!$A$2:$B$40,2,FALSE))</f>
        <v>Please select ERROR CODE column "I"</v>
      </c>
      <c r="L534" s="207" t="str">
        <f>IF(Errors!$I534=0,
    'List of Error Codes'!$E$29,
    IFERROR(VLOOKUP(Errors!$I534, 'List of Error Codes'!D533:I563, 6, FALSE), 'List of Error Codes'!$E$29)
)</f>
        <v>Please select ERROR CODE column "I"</v>
      </c>
      <c r="M534" s="209"/>
      <c r="N534" s="209"/>
      <c r="O534" s="209"/>
      <c r="P534" s="209"/>
      <c r="Q534" s="209"/>
      <c r="R534" s="217"/>
      <c r="S534" s="217"/>
      <c r="T534" s="217"/>
      <c r="U534" s="199"/>
      <c r="V534" s="200"/>
      <c r="W534" s="200"/>
      <c r="X534" s="200"/>
      <c r="Y534" s="200"/>
      <c r="Z534" s="200"/>
      <c r="AA534" s="201"/>
      <c r="AB534" s="200"/>
      <c r="AC534" s="200"/>
    </row>
    <row r="535" ht="15.0" customHeight="1">
      <c r="A535" s="210">
        <f t="shared" si="1"/>
        <v>533</v>
      </c>
      <c r="B535" s="217"/>
      <c r="C535" s="217" t="str">
        <f>IFERROR(VLOOKUP(B535, SourceData!$U$3:$V$190, 2, FALSE), "")</f>
        <v/>
      </c>
      <c r="D535" s="240"/>
      <c r="E535" s="241"/>
      <c r="F535" s="248"/>
      <c r="G535" s="207"/>
      <c r="H535" s="209"/>
      <c r="I535" s="209"/>
      <c r="J535" s="209"/>
      <c r="K535" s="208" t="str">
        <f>IF(Errors!$I535=0,SourceData!$B$42,VLOOKUP(Errors!$I535,SourceData!$A$2:$B$40,2,FALSE))</f>
        <v>Please select ERROR CODE column "I"</v>
      </c>
      <c r="L535" s="207" t="str">
        <f>IF(Errors!$I535=0,
    'List of Error Codes'!$E$29,
    IFERROR(VLOOKUP(Errors!$I535, 'List of Error Codes'!D534:I564, 6, FALSE), 'List of Error Codes'!$E$29)
)</f>
        <v>Please select ERROR CODE column "I"</v>
      </c>
      <c r="M535" s="209"/>
      <c r="N535" s="209"/>
      <c r="O535" s="209"/>
      <c r="P535" s="209"/>
      <c r="Q535" s="209"/>
      <c r="R535" s="217"/>
      <c r="S535" s="217"/>
      <c r="T535" s="217"/>
      <c r="U535" s="199"/>
      <c r="V535" s="200"/>
      <c r="W535" s="200"/>
      <c r="X535" s="200"/>
      <c r="Y535" s="200"/>
      <c r="Z535" s="200"/>
      <c r="AA535" s="201"/>
      <c r="AB535" s="200"/>
      <c r="AC535" s="200"/>
    </row>
    <row r="536" ht="15.0" customHeight="1">
      <c r="A536" s="210">
        <f t="shared" si="1"/>
        <v>534</v>
      </c>
      <c r="B536" s="217"/>
      <c r="C536" s="217" t="str">
        <f>IFERROR(VLOOKUP(B536, SourceData!$U$3:$V$190, 2, FALSE), "")</f>
        <v/>
      </c>
      <c r="D536" s="240"/>
      <c r="E536" s="241"/>
      <c r="F536" s="248"/>
      <c r="G536" s="207"/>
      <c r="H536" s="209"/>
      <c r="I536" s="209"/>
      <c r="J536" s="209"/>
      <c r="K536" s="208" t="str">
        <f>IF(Errors!$I536=0,SourceData!$B$42,VLOOKUP(Errors!$I536,SourceData!$A$2:$B$40,2,FALSE))</f>
        <v>Please select ERROR CODE column "I"</v>
      </c>
      <c r="L536" s="207" t="str">
        <f>IF(Errors!$I536=0,
    'List of Error Codes'!$E$29,
    IFERROR(VLOOKUP(Errors!$I536, 'List of Error Codes'!D535:I565, 6, FALSE), 'List of Error Codes'!$E$29)
)</f>
        <v>Please select ERROR CODE column "I"</v>
      </c>
      <c r="M536" s="209"/>
      <c r="N536" s="209"/>
      <c r="O536" s="209"/>
      <c r="P536" s="209"/>
      <c r="Q536" s="209"/>
      <c r="R536" s="217"/>
      <c r="S536" s="217"/>
      <c r="T536" s="217"/>
      <c r="U536" s="199"/>
      <c r="V536" s="200"/>
      <c r="W536" s="200"/>
      <c r="X536" s="200"/>
      <c r="Y536" s="200"/>
      <c r="Z536" s="200"/>
      <c r="AA536" s="201"/>
      <c r="AB536" s="200"/>
      <c r="AC536" s="200"/>
    </row>
    <row r="537" ht="15.0" customHeight="1">
      <c r="A537" s="210">
        <f t="shared" si="1"/>
        <v>535</v>
      </c>
      <c r="B537" s="217"/>
      <c r="C537" s="217" t="str">
        <f>IFERROR(VLOOKUP(B537, SourceData!$U$3:$V$190, 2, FALSE), "")</f>
        <v/>
      </c>
      <c r="D537" s="240"/>
      <c r="E537" s="241"/>
      <c r="F537" s="248"/>
      <c r="G537" s="207"/>
      <c r="H537" s="209"/>
      <c r="I537" s="209"/>
      <c r="J537" s="209"/>
      <c r="K537" s="208" t="str">
        <f>IF(Errors!$I537=0,SourceData!$B$42,VLOOKUP(Errors!$I537,SourceData!$A$2:$B$40,2,FALSE))</f>
        <v>Please select ERROR CODE column "I"</v>
      </c>
      <c r="L537" s="207" t="str">
        <f>IF(Errors!$I537=0,
    'List of Error Codes'!$E$29,
    IFERROR(VLOOKUP(Errors!$I537, 'List of Error Codes'!D536:I566, 6, FALSE), 'List of Error Codes'!$E$29)
)</f>
        <v>Please select ERROR CODE column "I"</v>
      </c>
      <c r="M537" s="209"/>
      <c r="N537" s="209"/>
      <c r="O537" s="209"/>
      <c r="P537" s="209"/>
      <c r="Q537" s="209"/>
      <c r="R537" s="217"/>
      <c r="S537" s="217"/>
      <c r="T537" s="217"/>
      <c r="U537" s="199"/>
      <c r="V537" s="200"/>
      <c r="W537" s="200"/>
      <c r="X537" s="200"/>
      <c r="Y537" s="200"/>
      <c r="Z537" s="200"/>
      <c r="AA537" s="201"/>
      <c r="AB537" s="200"/>
      <c r="AC537" s="200"/>
    </row>
    <row r="538" ht="15.0" customHeight="1">
      <c r="A538" s="210">
        <f t="shared" si="1"/>
        <v>536</v>
      </c>
      <c r="B538" s="217"/>
      <c r="C538" s="217" t="str">
        <f>IFERROR(VLOOKUP(B538, SourceData!$U$3:$V$190, 2, FALSE), "")</f>
        <v/>
      </c>
      <c r="D538" s="240"/>
      <c r="E538" s="241"/>
      <c r="F538" s="248"/>
      <c r="G538" s="207"/>
      <c r="H538" s="209"/>
      <c r="I538" s="209"/>
      <c r="J538" s="209"/>
      <c r="K538" s="208" t="str">
        <f>IF(Errors!$I538=0,SourceData!$B$42,VLOOKUP(Errors!$I538,SourceData!$A$2:$B$40,2,FALSE))</f>
        <v>Please select ERROR CODE column "I"</v>
      </c>
      <c r="L538" s="207" t="str">
        <f>IF(Errors!$I538=0,
    'List of Error Codes'!$E$29,
    IFERROR(VLOOKUP(Errors!$I538, 'List of Error Codes'!D537:I567, 6, FALSE), 'List of Error Codes'!$E$29)
)</f>
        <v>Please select ERROR CODE column "I"</v>
      </c>
      <c r="M538" s="209"/>
      <c r="N538" s="209"/>
      <c r="O538" s="209"/>
      <c r="P538" s="209"/>
      <c r="Q538" s="209"/>
      <c r="R538" s="217"/>
      <c r="S538" s="217"/>
      <c r="T538" s="217"/>
      <c r="U538" s="199"/>
      <c r="V538" s="200"/>
      <c r="W538" s="200"/>
      <c r="X538" s="200"/>
      <c r="Y538" s="200"/>
      <c r="Z538" s="200"/>
      <c r="AA538" s="201"/>
      <c r="AB538" s="200"/>
      <c r="AC538" s="200"/>
    </row>
    <row r="539" ht="15.0" customHeight="1">
      <c r="A539" s="210">
        <f t="shared" si="1"/>
        <v>537</v>
      </c>
      <c r="B539" s="217"/>
      <c r="C539" s="217" t="str">
        <f>IFERROR(VLOOKUP(B539, SourceData!$U$3:$V$190, 2, FALSE), "")</f>
        <v/>
      </c>
      <c r="D539" s="240"/>
      <c r="E539" s="241"/>
      <c r="F539" s="248"/>
      <c r="G539" s="207"/>
      <c r="H539" s="209"/>
      <c r="I539" s="209"/>
      <c r="J539" s="209"/>
      <c r="K539" s="208" t="str">
        <f>IF(Errors!$I539=0,SourceData!$B$42,VLOOKUP(Errors!$I539,SourceData!$A$2:$B$40,2,FALSE))</f>
        <v>Please select ERROR CODE column "I"</v>
      </c>
      <c r="L539" s="207" t="str">
        <f>IF(Errors!$I539=0,
    'List of Error Codes'!$E$29,
    IFERROR(VLOOKUP(Errors!$I539, 'List of Error Codes'!D538:I568, 6, FALSE), 'List of Error Codes'!$E$29)
)</f>
        <v>Please select ERROR CODE column "I"</v>
      </c>
      <c r="M539" s="209"/>
      <c r="N539" s="209"/>
      <c r="O539" s="209"/>
      <c r="P539" s="209"/>
      <c r="Q539" s="209"/>
      <c r="R539" s="217"/>
      <c r="S539" s="217"/>
      <c r="T539" s="217"/>
      <c r="U539" s="199"/>
      <c r="V539" s="200"/>
      <c r="W539" s="200"/>
      <c r="X539" s="200"/>
      <c r="Y539" s="200"/>
      <c r="Z539" s="200"/>
      <c r="AA539" s="201"/>
      <c r="AB539" s="200"/>
      <c r="AC539" s="200"/>
    </row>
    <row r="540" ht="15.0" customHeight="1">
      <c r="A540" s="210">
        <f t="shared" si="1"/>
        <v>538</v>
      </c>
      <c r="B540" s="217"/>
      <c r="C540" s="217" t="str">
        <f>IFERROR(VLOOKUP(B540, SourceData!$U$3:$V$190, 2, FALSE), "")</f>
        <v/>
      </c>
      <c r="D540" s="240"/>
      <c r="E540" s="241"/>
      <c r="F540" s="248"/>
      <c r="G540" s="207"/>
      <c r="H540" s="209"/>
      <c r="I540" s="209"/>
      <c r="J540" s="209"/>
      <c r="K540" s="208" t="str">
        <f>IF(Errors!$I540=0,SourceData!$B$42,VLOOKUP(Errors!$I540,SourceData!$A$2:$B$40,2,FALSE))</f>
        <v>Please select ERROR CODE column "I"</v>
      </c>
      <c r="L540" s="207" t="str">
        <f>IF(Errors!$I540=0,
    'List of Error Codes'!$E$29,
    IFERROR(VLOOKUP(Errors!$I540, 'List of Error Codes'!D539:I569, 6, FALSE), 'List of Error Codes'!$E$29)
)</f>
        <v>Please select ERROR CODE column "I"</v>
      </c>
      <c r="M540" s="209"/>
      <c r="N540" s="209"/>
      <c r="O540" s="209"/>
      <c r="P540" s="209"/>
      <c r="Q540" s="209"/>
      <c r="R540" s="217"/>
      <c r="S540" s="217"/>
      <c r="T540" s="217"/>
      <c r="U540" s="199"/>
      <c r="V540" s="200"/>
      <c r="W540" s="200"/>
      <c r="X540" s="200"/>
      <c r="Y540" s="200"/>
      <c r="Z540" s="200"/>
      <c r="AA540" s="201"/>
      <c r="AB540" s="200"/>
      <c r="AC540" s="200"/>
    </row>
    <row r="541" ht="15.0" customHeight="1">
      <c r="A541" s="210">
        <f t="shared" si="1"/>
        <v>539</v>
      </c>
      <c r="B541" s="217"/>
      <c r="C541" s="217" t="str">
        <f>IFERROR(VLOOKUP(B541, SourceData!$U$3:$V$190, 2, FALSE), "")</f>
        <v/>
      </c>
      <c r="D541" s="240"/>
      <c r="E541" s="241"/>
      <c r="F541" s="248"/>
      <c r="G541" s="207"/>
      <c r="H541" s="209"/>
      <c r="I541" s="209"/>
      <c r="J541" s="209"/>
      <c r="K541" s="208" t="str">
        <f>IF(Errors!$I541=0,SourceData!$B$42,VLOOKUP(Errors!$I541,SourceData!$A$2:$B$40,2,FALSE))</f>
        <v>Please select ERROR CODE column "I"</v>
      </c>
      <c r="L541" s="207" t="str">
        <f>IF(Errors!$I541=0,
    'List of Error Codes'!$E$29,
    IFERROR(VLOOKUP(Errors!$I541, 'List of Error Codes'!D540:I570, 6, FALSE), 'List of Error Codes'!$E$29)
)</f>
        <v>Please select ERROR CODE column "I"</v>
      </c>
      <c r="M541" s="209"/>
      <c r="N541" s="209"/>
      <c r="O541" s="209"/>
      <c r="P541" s="209"/>
      <c r="Q541" s="209"/>
      <c r="R541" s="217"/>
      <c r="S541" s="217"/>
      <c r="T541" s="217"/>
      <c r="U541" s="199"/>
      <c r="V541" s="200"/>
      <c r="W541" s="200"/>
      <c r="X541" s="200"/>
      <c r="Y541" s="200"/>
      <c r="Z541" s="200"/>
      <c r="AA541" s="201"/>
      <c r="AB541" s="200"/>
      <c r="AC541" s="200"/>
    </row>
    <row r="542" ht="15.0" customHeight="1">
      <c r="A542" s="210">
        <f t="shared" si="1"/>
        <v>540</v>
      </c>
      <c r="B542" s="217"/>
      <c r="C542" s="217" t="str">
        <f>IFERROR(VLOOKUP(B542, SourceData!$U$3:$V$190, 2, FALSE), "")</f>
        <v/>
      </c>
      <c r="D542" s="240"/>
      <c r="E542" s="241"/>
      <c r="F542" s="248"/>
      <c r="G542" s="207"/>
      <c r="H542" s="209"/>
      <c r="I542" s="209"/>
      <c r="J542" s="209"/>
      <c r="K542" s="208" t="str">
        <f>IF(Errors!$I542=0,SourceData!$B$42,VLOOKUP(Errors!$I542,SourceData!$A$2:$B$40,2,FALSE))</f>
        <v>Please select ERROR CODE column "I"</v>
      </c>
      <c r="L542" s="207" t="str">
        <f>IF(Errors!$I542=0,
    'List of Error Codes'!$E$29,
    IFERROR(VLOOKUP(Errors!$I542, 'List of Error Codes'!D541:I571, 6, FALSE), 'List of Error Codes'!$E$29)
)</f>
        <v>Please select ERROR CODE column "I"</v>
      </c>
      <c r="M542" s="209"/>
      <c r="N542" s="209"/>
      <c r="O542" s="209"/>
      <c r="P542" s="209"/>
      <c r="Q542" s="209"/>
      <c r="R542" s="217"/>
      <c r="S542" s="217"/>
      <c r="T542" s="217"/>
      <c r="U542" s="199"/>
      <c r="V542" s="200"/>
      <c r="W542" s="200"/>
      <c r="X542" s="200"/>
      <c r="Y542" s="200"/>
      <c r="Z542" s="200"/>
      <c r="AA542" s="201"/>
      <c r="AB542" s="200"/>
      <c r="AC542" s="200"/>
    </row>
    <row r="543" ht="15.0" customHeight="1">
      <c r="A543" s="210">
        <f t="shared" si="1"/>
        <v>541</v>
      </c>
      <c r="B543" s="217"/>
      <c r="C543" s="217" t="str">
        <f>IFERROR(VLOOKUP(B543, SourceData!$U$3:$V$190, 2, FALSE), "")</f>
        <v/>
      </c>
      <c r="D543" s="240"/>
      <c r="E543" s="241"/>
      <c r="F543" s="248"/>
      <c r="G543" s="207"/>
      <c r="H543" s="209"/>
      <c r="I543" s="209"/>
      <c r="J543" s="209"/>
      <c r="K543" s="208" t="str">
        <f>IF(Errors!$I543=0,SourceData!$B$42,VLOOKUP(Errors!$I543,SourceData!$A$2:$B$40,2,FALSE))</f>
        <v>Please select ERROR CODE column "I"</v>
      </c>
      <c r="L543" s="207" t="str">
        <f>IF(Errors!$I543=0,
    'List of Error Codes'!$E$29,
    IFERROR(VLOOKUP(Errors!$I543, 'List of Error Codes'!D542:I572, 6, FALSE), 'List of Error Codes'!$E$29)
)</f>
        <v>Please select ERROR CODE column "I"</v>
      </c>
      <c r="M543" s="209"/>
      <c r="N543" s="209"/>
      <c r="O543" s="209"/>
      <c r="P543" s="209"/>
      <c r="Q543" s="209"/>
      <c r="R543" s="217"/>
      <c r="S543" s="217"/>
      <c r="T543" s="217"/>
      <c r="U543" s="199"/>
      <c r="V543" s="200"/>
      <c r="W543" s="200"/>
      <c r="X543" s="200"/>
      <c r="Y543" s="200"/>
      <c r="Z543" s="200"/>
      <c r="AA543" s="201"/>
      <c r="AB543" s="200"/>
      <c r="AC543" s="200"/>
    </row>
    <row r="544" ht="15.0" customHeight="1">
      <c r="A544" s="210">
        <f t="shared" si="1"/>
        <v>542</v>
      </c>
      <c r="B544" s="217"/>
      <c r="C544" s="217" t="str">
        <f>IFERROR(VLOOKUP(B544, SourceData!$U$3:$V$190, 2, FALSE), "")</f>
        <v/>
      </c>
      <c r="D544" s="240"/>
      <c r="E544" s="241"/>
      <c r="F544" s="248"/>
      <c r="G544" s="207"/>
      <c r="H544" s="209"/>
      <c r="I544" s="209"/>
      <c r="J544" s="209"/>
      <c r="K544" s="208" t="str">
        <f>IF(Errors!$I544=0,SourceData!$B$42,VLOOKUP(Errors!$I544,SourceData!$A$2:$B$40,2,FALSE))</f>
        <v>Please select ERROR CODE column "I"</v>
      </c>
      <c r="L544" s="207" t="str">
        <f>IF(Errors!$I544=0,
    'List of Error Codes'!$E$29,
    IFERROR(VLOOKUP(Errors!$I544, 'List of Error Codes'!D543:I573, 6, FALSE), 'List of Error Codes'!$E$29)
)</f>
        <v>Please select ERROR CODE column "I"</v>
      </c>
      <c r="M544" s="209"/>
      <c r="N544" s="209"/>
      <c r="O544" s="209"/>
      <c r="P544" s="209"/>
      <c r="Q544" s="209"/>
      <c r="R544" s="217"/>
      <c r="S544" s="217"/>
      <c r="T544" s="217"/>
      <c r="U544" s="199"/>
      <c r="V544" s="200"/>
      <c r="W544" s="200"/>
      <c r="X544" s="200"/>
      <c r="Y544" s="200"/>
      <c r="Z544" s="200"/>
      <c r="AA544" s="201"/>
      <c r="AB544" s="200"/>
      <c r="AC544" s="200"/>
    </row>
    <row r="545" ht="15.0" customHeight="1">
      <c r="A545" s="210">
        <f t="shared" si="1"/>
        <v>543</v>
      </c>
      <c r="B545" s="217"/>
      <c r="C545" s="217" t="str">
        <f>IFERROR(VLOOKUP(B545, SourceData!$U$3:$V$190, 2, FALSE), "")</f>
        <v/>
      </c>
      <c r="D545" s="240"/>
      <c r="E545" s="241"/>
      <c r="F545" s="248"/>
      <c r="G545" s="207"/>
      <c r="H545" s="209"/>
      <c r="I545" s="209"/>
      <c r="J545" s="209"/>
      <c r="K545" s="208" t="str">
        <f>IF(Errors!$I545=0,SourceData!$B$42,VLOOKUP(Errors!$I545,SourceData!$A$2:$B$40,2,FALSE))</f>
        <v>Please select ERROR CODE column "I"</v>
      </c>
      <c r="L545" s="207" t="str">
        <f>IF(Errors!$I545=0,
    'List of Error Codes'!$E$29,
    IFERROR(VLOOKUP(Errors!$I545, 'List of Error Codes'!D544:I574, 6, FALSE), 'List of Error Codes'!$E$29)
)</f>
        <v>Please select ERROR CODE column "I"</v>
      </c>
      <c r="M545" s="209"/>
      <c r="N545" s="209"/>
      <c r="O545" s="209"/>
      <c r="P545" s="209"/>
      <c r="Q545" s="209"/>
      <c r="R545" s="217"/>
      <c r="S545" s="217"/>
      <c r="T545" s="217"/>
      <c r="U545" s="199"/>
      <c r="V545" s="200"/>
      <c r="W545" s="200"/>
      <c r="X545" s="200"/>
      <c r="Y545" s="200"/>
      <c r="Z545" s="200"/>
      <c r="AA545" s="201"/>
      <c r="AB545" s="200"/>
      <c r="AC545" s="200"/>
    </row>
    <row r="546" ht="15.0" customHeight="1">
      <c r="A546" s="210">
        <f t="shared" si="1"/>
        <v>544</v>
      </c>
      <c r="B546" s="217"/>
      <c r="C546" s="217" t="str">
        <f>IFERROR(VLOOKUP(B546, SourceData!$U$3:$V$190, 2, FALSE), "")</f>
        <v/>
      </c>
      <c r="D546" s="240"/>
      <c r="E546" s="241"/>
      <c r="F546" s="248"/>
      <c r="G546" s="207"/>
      <c r="H546" s="209"/>
      <c r="I546" s="209"/>
      <c r="J546" s="209"/>
      <c r="K546" s="208" t="str">
        <f>IF(Errors!$I546=0,SourceData!$B$42,VLOOKUP(Errors!$I546,SourceData!$A$2:$B$40,2,FALSE))</f>
        <v>Please select ERROR CODE column "I"</v>
      </c>
      <c r="L546" s="207" t="str">
        <f>IF(Errors!$I546=0,
    'List of Error Codes'!$E$29,
    IFERROR(VLOOKUP(Errors!$I546, 'List of Error Codes'!D545:I575, 6, FALSE), 'List of Error Codes'!$E$29)
)</f>
        <v>Please select ERROR CODE column "I"</v>
      </c>
      <c r="M546" s="209"/>
      <c r="N546" s="209"/>
      <c r="O546" s="209"/>
      <c r="P546" s="209"/>
      <c r="Q546" s="209"/>
      <c r="R546" s="217"/>
      <c r="S546" s="217"/>
      <c r="T546" s="217"/>
      <c r="U546" s="199"/>
      <c r="V546" s="200"/>
      <c r="W546" s="200"/>
      <c r="X546" s="200"/>
      <c r="Y546" s="200"/>
      <c r="Z546" s="200"/>
      <c r="AA546" s="201"/>
      <c r="AB546" s="200"/>
      <c r="AC546" s="200"/>
    </row>
    <row r="547" ht="15.0" customHeight="1">
      <c r="A547" s="210">
        <f t="shared" si="1"/>
        <v>545</v>
      </c>
      <c r="B547" s="217"/>
      <c r="C547" s="217" t="str">
        <f>IFERROR(VLOOKUP(B547, SourceData!$U$3:$V$190, 2, FALSE), "")</f>
        <v/>
      </c>
      <c r="D547" s="240"/>
      <c r="E547" s="241"/>
      <c r="F547" s="248"/>
      <c r="G547" s="207"/>
      <c r="H547" s="209"/>
      <c r="I547" s="209"/>
      <c r="J547" s="209"/>
      <c r="K547" s="208" t="str">
        <f>IF(Errors!$I547=0,SourceData!$B$42,VLOOKUP(Errors!$I547,SourceData!$A$2:$B$40,2,FALSE))</f>
        <v>Please select ERROR CODE column "I"</v>
      </c>
      <c r="L547" s="207" t="str">
        <f>IF(Errors!$I547=0,
    'List of Error Codes'!$E$29,
    IFERROR(VLOOKUP(Errors!$I547, 'List of Error Codes'!D546:I576, 6, FALSE), 'List of Error Codes'!$E$29)
)</f>
        <v>Please select ERROR CODE column "I"</v>
      </c>
      <c r="M547" s="209"/>
      <c r="N547" s="209"/>
      <c r="O547" s="209"/>
      <c r="P547" s="209"/>
      <c r="Q547" s="209"/>
      <c r="R547" s="217"/>
      <c r="S547" s="217"/>
      <c r="T547" s="217"/>
      <c r="U547" s="199"/>
      <c r="V547" s="200"/>
      <c r="W547" s="200"/>
      <c r="X547" s="200"/>
      <c r="Y547" s="200"/>
      <c r="Z547" s="200"/>
      <c r="AA547" s="201"/>
      <c r="AB547" s="200"/>
      <c r="AC547" s="200"/>
    </row>
    <row r="548" ht="15.0" customHeight="1">
      <c r="A548" s="210">
        <f t="shared" si="1"/>
        <v>546</v>
      </c>
      <c r="B548" s="217"/>
      <c r="C548" s="217" t="str">
        <f>IFERROR(VLOOKUP(B548, SourceData!$U$3:$V$190, 2, FALSE), "")</f>
        <v/>
      </c>
      <c r="D548" s="240"/>
      <c r="E548" s="241"/>
      <c r="F548" s="248"/>
      <c r="G548" s="207"/>
      <c r="H548" s="209"/>
      <c r="I548" s="209"/>
      <c r="J548" s="209"/>
      <c r="K548" s="208" t="str">
        <f>IF(Errors!$I548=0,SourceData!$B$42,VLOOKUP(Errors!$I548,SourceData!$A$2:$B$40,2,FALSE))</f>
        <v>Please select ERROR CODE column "I"</v>
      </c>
      <c r="L548" s="207" t="str">
        <f>IF(Errors!$I548=0,
    'List of Error Codes'!$E$29,
    IFERROR(VLOOKUP(Errors!$I548, 'List of Error Codes'!D547:I577, 6, FALSE), 'List of Error Codes'!$E$29)
)</f>
        <v>Please select ERROR CODE column "I"</v>
      </c>
      <c r="M548" s="209"/>
      <c r="N548" s="209"/>
      <c r="O548" s="209"/>
      <c r="P548" s="209"/>
      <c r="Q548" s="209"/>
      <c r="R548" s="217"/>
      <c r="S548" s="217"/>
      <c r="T548" s="217"/>
      <c r="U548" s="199"/>
      <c r="V548" s="200"/>
      <c r="W548" s="200"/>
      <c r="X548" s="200"/>
      <c r="Y548" s="200"/>
      <c r="Z548" s="200"/>
      <c r="AA548" s="201"/>
      <c r="AB548" s="200"/>
      <c r="AC548" s="200"/>
    </row>
    <row r="549" ht="15.0" customHeight="1">
      <c r="A549" s="210">
        <f t="shared" si="1"/>
        <v>547</v>
      </c>
      <c r="B549" s="217"/>
      <c r="C549" s="217" t="str">
        <f>IFERROR(VLOOKUP(B549, SourceData!$U$3:$V$190, 2, FALSE), "")</f>
        <v/>
      </c>
      <c r="D549" s="240"/>
      <c r="E549" s="241"/>
      <c r="F549" s="248"/>
      <c r="G549" s="207"/>
      <c r="H549" s="209"/>
      <c r="I549" s="209"/>
      <c r="J549" s="209"/>
      <c r="K549" s="208" t="str">
        <f>IF(Errors!$I549=0,SourceData!$B$42,VLOOKUP(Errors!$I549,SourceData!$A$2:$B$40,2,FALSE))</f>
        <v>Please select ERROR CODE column "I"</v>
      </c>
      <c r="L549" s="207" t="str">
        <f>IF(Errors!$I549=0,
    'List of Error Codes'!$E$29,
    IFERROR(VLOOKUP(Errors!$I549, 'List of Error Codes'!D548:I578, 6, FALSE), 'List of Error Codes'!$E$29)
)</f>
        <v>Please select ERROR CODE column "I"</v>
      </c>
      <c r="M549" s="209"/>
      <c r="N549" s="209"/>
      <c r="O549" s="209"/>
      <c r="P549" s="209"/>
      <c r="Q549" s="209"/>
      <c r="R549" s="217"/>
      <c r="S549" s="217"/>
      <c r="T549" s="217"/>
      <c r="U549" s="199"/>
      <c r="V549" s="200"/>
      <c r="W549" s="200"/>
      <c r="X549" s="200"/>
      <c r="Y549" s="200"/>
      <c r="Z549" s="200"/>
      <c r="AA549" s="201"/>
      <c r="AB549" s="200"/>
      <c r="AC549" s="200"/>
    </row>
    <row r="550" ht="15.0" customHeight="1">
      <c r="A550" s="210">
        <f t="shared" si="1"/>
        <v>548</v>
      </c>
      <c r="B550" s="217"/>
      <c r="C550" s="217" t="str">
        <f>IFERROR(VLOOKUP(B550, SourceData!$U$3:$V$190, 2, FALSE), "")</f>
        <v/>
      </c>
      <c r="D550" s="240"/>
      <c r="E550" s="241"/>
      <c r="F550" s="248"/>
      <c r="G550" s="207"/>
      <c r="H550" s="209"/>
      <c r="I550" s="209"/>
      <c r="J550" s="209"/>
      <c r="K550" s="208" t="str">
        <f>IF(Errors!$I550=0,SourceData!$B$42,VLOOKUP(Errors!$I550,SourceData!$A$2:$B$40,2,FALSE))</f>
        <v>Please select ERROR CODE column "I"</v>
      </c>
      <c r="L550" s="207" t="str">
        <f>IF(Errors!$I550=0,
    'List of Error Codes'!$E$29,
    IFERROR(VLOOKUP(Errors!$I550, 'List of Error Codes'!D549:I579, 6, FALSE), 'List of Error Codes'!$E$29)
)</f>
        <v>Please select ERROR CODE column "I"</v>
      </c>
      <c r="M550" s="209"/>
      <c r="N550" s="209"/>
      <c r="O550" s="209"/>
      <c r="P550" s="209"/>
      <c r="Q550" s="209"/>
      <c r="R550" s="217"/>
      <c r="S550" s="217"/>
      <c r="T550" s="217"/>
      <c r="U550" s="199"/>
      <c r="V550" s="200"/>
      <c r="W550" s="200"/>
      <c r="X550" s="200"/>
      <c r="Y550" s="200"/>
      <c r="Z550" s="200"/>
      <c r="AA550" s="201"/>
      <c r="AB550" s="200"/>
      <c r="AC550" s="200"/>
    </row>
    <row r="551" ht="15.0" customHeight="1">
      <c r="A551" s="210">
        <f t="shared" si="1"/>
        <v>549</v>
      </c>
      <c r="B551" s="217"/>
      <c r="C551" s="217" t="str">
        <f>IFERROR(VLOOKUP(B551, SourceData!$U$3:$V$190, 2, FALSE), "")</f>
        <v/>
      </c>
      <c r="D551" s="240"/>
      <c r="E551" s="241"/>
      <c r="F551" s="248"/>
      <c r="G551" s="207"/>
      <c r="H551" s="209"/>
      <c r="I551" s="209"/>
      <c r="J551" s="209"/>
      <c r="K551" s="208" t="str">
        <f>IF(Errors!$I551=0,SourceData!$B$42,VLOOKUP(Errors!$I551,SourceData!$A$2:$B$40,2,FALSE))</f>
        <v>Please select ERROR CODE column "I"</v>
      </c>
      <c r="L551" s="207" t="str">
        <f>IF(Errors!$I551=0,
    'List of Error Codes'!$E$29,
    IFERROR(VLOOKUP(Errors!$I551, 'List of Error Codes'!D550:I580, 6, FALSE), 'List of Error Codes'!$E$29)
)</f>
        <v>Please select ERROR CODE column "I"</v>
      </c>
      <c r="M551" s="209"/>
      <c r="N551" s="209"/>
      <c r="O551" s="209"/>
      <c r="P551" s="209"/>
      <c r="Q551" s="209"/>
      <c r="R551" s="217"/>
      <c r="S551" s="217"/>
      <c r="T551" s="217"/>
      <c r="U551" s="199"/>
      <c r="V551" s="200"/>
      <c r="W551" s="200"/>
      <c r="X551" s="200"/>
      <c r="Y551" s="200"/>
      <c r="Z551" s="200"/>
      <c r="AA551" s="201"/>
      <c r="AB551" s="200"/>
      <c r="AC551" s="200"/>
    </row>
    <row r="552" ht="15.0" customHeight="1">
      <c r="A552" s="210">
        <f t="shared" si="1"/>
        <v>550</v>
      </c>
      <c r="B552" s="217"/>
      <c r="C552" s="217" t="str">
        <f>IFERROR(VLOOKUP(B552, SourceData!$U$3:$V$190, 2, FALSE), "")</f>
        <v/>
      </c>
      <c r="D552" s="240"/>
      <c r="E552" s="241"/>
      <c r="F552" s="248"/>
      <c r="G552" s="207"/>
      <c r="H552" s="209"/>
      <c r="I552" s="209"/>
      <c r="J552" s="209"/>
      <c r="K552" s="208" t="str">
        <f>IF(Errors!$I552=0,SourceData!$B$42,VLOOKUP(Errors!$I552,SourceData!$A$2:$B$40,2,FALSE))</f>
        <v>Please select ERROR CODE column "I"</v>
      </c>
      <c r="L552" s="207" t="str">
        <f>IF(Errors!$I552=0,
    'List of Error Codes'!$E$29,
    IFERROR(VLOOKUP(Errors!$I552, 'List of Error Codes'!D551:I581, 6, FALSE), 'List of Error Codes'!$E$29)
)</f>
        <v>Please select ERROR CODE column "I"</v>
      </c>
      <c r="M552" s="209"/>
      <c r="N552" s="209"/>
      <c r="O552" s="209"/>
      <c r="P552" s="209"/>
      <c r="Q552" s="209"/>
      <c r="R552" s="217"/>
      <c r="S552" s="217"/>
      <c r="T552" s="217"/>
      <c r="U552" s="199"/>
      <c r="V552" s="200"/>
      <c r="W552" s="200"/>
      <c r="X552" s="200"/>
      <c r="Y552" s="200"/>
      <c r="Z552" s="200"/>
      <c r="AA552" s="201"/>
      <c r="AB552" s="200"/>
      <c r="AC552" s="200"/>
    </row>
    <row r="553" ht="15.0" customHeight="1">
      <c r="A553" s="210">
        <f t="shared" si="1"/>
        <v>551</v>
      </c>
      <c r="B553" s="217"/>
      <c r="C553" s="217" t="str">
        <f>IFERROR(VLOOKUP(B553, SourceData!$U$3:$V$190, 2, FALSE), "")</f>
        <v/>
      </c>
      <c r="D553" s="240"/>
      <c r="E553" s="241"/>
      <c r="F553" s="248"/>
      <c r="G553" s="207"/>
      <c r="H553" s="209"/>
      <c r="I553" s="209"/>
      <c r="J553" s="209"/>
      <c r="K553" s="208" t="str">
        <f>IF(Errors!$I553=0,SourceData!$B$42,VLOOKUP(Errors!$I553,SourceData!$A$2:$B$40,2,FALSE))</f>
        <v>Please select ERROR CODE column "I"</v>
      </c>
      <c r="L553" s="207" t="str">
        <f>IF(Errors!$I553=0,
    'List of Error Codes'!$E$29,
    IFERROR(VLOOKUP(Errors!$I553, 'List of Error Codes'!D552:I582, 6, FALSE), 'List of Error Codes'!$E$29)
)</f>
        <v>Please select ERROR CODE column "I"</v>
      </c>
      <c r="M553" s="209"/>
      <c r="N553" s="209"/>
      <c r="O553" s="209"/>
      <c r="P553" s="209"/>
      <c r="Q553" s="209"/>
      <c r="R553" s="217"/>
      <c r="S553" s="217"/>
      <c r="T553" s="217"/>
      <c r="U553" s="199"/>
      <c r="V553" s="200"/>
      <c r="W553" s="200"/>
      <c r="X553" s="200"/>
      <c r="Y553" s="200"/>
      <c r="Z553" s="200"/>
      <c r="AA553" s="201"/>
      <c r="AB553" s="200"/>
      <c r="AC553" s="200"/>
    </row>
    <row r="554" ht="15.0" customHeight="1">
      <c r="A554" s="210">
        <f t="shared" si="1"/>
        <v>552</v>
      </c>
      <c r="B554" s="217"/>
      <c r="C554" s="217" t="str">
        <f>IFERROR(VLOOKUP(B554, SourceData!$U$3:$V$190, 2, FALSE), "")</f>
        <v/>
      </c>
      <c r="D554" s="240"/>
      <c r="E554" s="241"/>
      <c r="F554" s="248"/>
      <c r="G554" s="207"/>
      <c r="H554" s="209"/>
      <c r="I554" s="209"/>
      <c r="J554" s="209"/>
      <c r="K554" s="208" t="str">
        <f>IF(Errors!$I554=0,SourceData!$B$42,VLOOKUP(Errors!$I554,SourceData!$A$2:$B$40,2,FALSE))</f>
        <v>Please select ERROR CODE column "I"</v>
      </c>
      <c r="L554" s="207" t="str">
        <f>IF(Errors!$I554=0,
    'List of Error Codes'!$E$29,
    IFERROR(VLOOKUP(Errors!$I554, 'List of Error Codes'!D553:I583, 6, FALSE), 'List of Error Codes'!$E$29)
)</f>
        <v>Please select ERROR CODE column "I"</v>
      </c>
      <c r="M554" s="209"/>
      <c r="N554" s="209"/>
      <c r="O554" s="209"/>
      <c r="P554" s="209"/>
      <c r="Q554" s="209"/>
      <c r="R554" s="217"/>
      <c r="S554" s="217"/>
      <c r="T554" s="217"/>
      <c r="U554" s="199"/>
      <c r="V554" s="200"/>
      <c r="W554" s="200"/>
      <c r="X554" s="200"/>
      <c r="Y554" s="200"/>
      <c r="Z554" s="200"/>
      <c r="AA554" s="201"/>
      <c r="AB554" s="200"/>
      <c r="AC554" s="200"/>
    </row>
    <row r="555" ht="15.0" customHeight="1">
      <c r="A555" s="210">
        <f t="shared" si="1"/>
        <v>553</v>
      </c>
      <c r="B555" s="217"/>
      <c r="C555" s="217" t="str">
        <f>IFERROR(VLOOKUP(B555, SourceData!$U$3:$V$190, 2, FALSE), "")</f>
        <v/>
      </c>
      <c r="D555" s="240"/>
      <c r="E555" s="241"/>
      <c r="F555" s="248"/>
      <c r="G555" s="207"/>
      <c r="H555" s="209"/>
      <c r="I555" s="209"/>
      <c r="J555" s="209"/>
      <c r="K555" s="208" t="str">
        <f>IF(Errors!$I555=0,SourceData!$B$42,VLOOKUP(Errors!$I555,SourceData!$A$2:$B$40,2,FALSE))</f>
        <v>Please select ERROR CODE column "I"</v>
      </c>
      <c r="L555" s="207" t="str">
        <f>IF(Errors!$I555=0,
    'List of Error Codes'!$E$29,
    IFERROR(VLOOKUP(Errors!$I555, 'List of Error Codes'!D554:I584, 6, FALSE), 'List of Error Codes'!$E$29)
)</f>
        <v>Please select ERROR CODE column "I"</v>
      </c>
      <c r="M555" s="209"/>
      <c r="N555" s="209"/>
      <c r="O555" s="209"/>
      <c r="P555" s="209"/>
      <c r="Q555" s="209"/>
      <c r="R555" s="217"/>
      <c r="S555" s="217"/>
      <c r="T555" s="217"/>
      <c r="U555" s="199"/>
      <c r="V555" s="200"/>
      <c r="W555" s="200"/>
      <c r="X555" s="200"/>
      <c r="Y555" s="200"/>
      <c r="Z555" s="200"/>
      <c r="AA555" s="201"/>
      <c r="AB555" s="200"/>
      <c r="AC555" s="200"/>
    </row>
    <row r="556" ht="15.0" customHeight="1">
      <c r="A556" s="210">
        <f t="shared" si="1"/>
        <v>554</v>
      </c>
      <c r="B556" s="217"/>
      <c r="C556" s="217" t="str">
        <f>IFERROR(VLOOKUP(B556, SourceData!$U$3:$V$190, 2, FALSE), "")</f>
        <v/>
      </c>
      <c r="D556" s="240"/>
      <c r="E556" s="241"/>
      <c r="F556" s="248"/>
      <c r="G556" s="207"/>
      <c r="H556" s="209"/>
      <c r="I556" s="209"/>
      <c r="J556" s="209"/>
      <c r="K556" s="208" t="str">
        <f>IF(Errors!$I556=0,SourceData!$B$42,VLOOKUP(Errors!$I556,SourceData!$A$2:$B$40,2,FALSE))</f>
        <v>Please select ERROR CODE column "I"</v>
      </c>
      <c r="L556" s="207" t="str">
        <f>IF(Errors!$I556=0,
    'List of Error Codes'!$E$29,
    IFERROR(VLOOKUP(Errors!$I556, 'List of Error Codes'!D555:I585, 6, FALSE), 'List of Error Codes'!$E$29)
)</f>
        <v>Please select ERROR CODE column "I"</v>
      </c>
      <c r="M556" s="209"/>
      <c r="N556" s="209"/>
      <c r="O556" s="209"/>
      <c r="P556" s="209"/>
      <c r="Q556" s="209"/>
      <c r="R556" s="217"/>
      <c r="S556" s="217"/>
      <c r="T556" s="217"/>
      <c r="U556" s="199"/>
      <c r="V556" s="200"/>
      <c r="W556" s="200"/>
      <c r="X556" s="200"/>
      <c r="Y556" s="200"/>
      <c r="Z556" s="200"/>
      <c r="AA556" s="201"/>
      <c r="AB556" s="200"/>
      <c r="AC556" s="200"/>
    </row>
    <row r="557" ht="15.0" customHeight="1">
      <c r="A557" s="210">
        <f t="shared" si="1"/>
        <v>555</v>
      </c>
      <c r="B557" s="217"/>
      <c r="C557" s="217" t="str">
        <f>IFERROR(VLOOKUP(B557, SourceData!$U$3:$V$190, 2, FALSE), "")</f>
        <v/>
      </c>
      <c r="D557" s="240"/>
      <c r="E557" s="241"/>
      <c r="F557" s="248"/>
      <c r="G557" s="207"/>
      <c r="H557" s="209"/>
      <c r="I557" s="209"/>
      <c r="J557" s="209"/>
      <c r="K557" s="208" t="str">
        <f>IF(Errors!$I557=0,SourceData!$B$42,VLOOKUP(Errors!$I557,SourceData!$A$2:$B$40,2,FALSE))</f>
        <v>Please select ERROR CODE column "I"</v>
      </c>
      <c r="L557" s="207" t="str">
        <f>IF(Errors!$I557=0,
    'List of Error Codes'!$E$29,
    IFERROR(VLOOKUP(Errors!$I557, 'List of Error Codes'!D556:I586, 6, FALSE), 'List of Error Codes'!$E$29)
)</f>
        <v>Please select ERROR CODE column "I"</v>
      </c>
      <c r="M557" s="209"/>
      <c r="N557" s="209"/>
      <c r="O557" s="209"/>
      <c r="P557" s="209"/>
      <c r="Q557" s="209"/>
      <c r="R557" s="217"/>
      <c r="S557" s="217"/>
      <c r="T557" s="217"/>
      <c r="U557" s="199"/>
      <c r="V557" s="200"/>
      <c r="W557" s="200"/>
      <c r="X557" s="200"/>
      <c r="Y557" s="200"/>
      <c r="Z557" s="200"/>
      <c r="AA557" s="201"/>
      <c r="AB557" s="200"/>
      <c r="AC557" s="200"/>
    </row>
    <row r="558" ht="15.0" customHeight="1">
      <c r="A558" s="210">
        <f t="shared" si="1"/>
        <v>556</v>
      </c>
      <c r="B558" s="217"/>
      <c r="C558" s="217" t="str">
        <f>IFERROR(VLOOKUP(B558, SourceData!$U$3:$V$190, 2, FALSE), "")</f>
        <v/>
      </c>
      <c r="D558" s="240"/>
      <c r="E558" s="241"/>
      <c r="F558" s="248"/>
      <c r="G558" s="207"/>
      <c r="H558" s="209"/>
      <c r="I558" s="209"/>
      <c r="J558" s="209"/>
      <c r="K558" s="208" t="str">
        <f>IF(Errors!$I558=0,SourceData!$B$42,VLOOKUP(Errors!$I558,SourceData!$A$2:$B$40,2,FALSE))</f>
        <v>Please select ERROR CODE column "I"</v>
      </c>
      <c r="L558" s="207" t="str">
        <f>IF(Errors!$I558=0,
    'List of Error Codes'!$E$29,
    IFERROR(VLOOKUP(Errors!$I558, 'List of Error Codes'!D557:I587, 6, FALSE), 'List of Error Codes'!$E$29)
)</f>
        <v>Please select ERROR CODE column "I"</v>
      </c>
      <c r="M558" s="209"/>
      <c r="N558" s="209"/>
      <c r="O558" s="209"/>
      <c r="P558" s="209"/>
      <c r="Q558" s="209"/>
      <c r="R558" s="217"/>
      <c r="S558" s="217"/>
      <c r="T558" s="217"/>
      <c r="U558" s="199"/>
      <c r="V558" s="200"/>
      <c r="W558" s="200"/>
      <c r="X558" s="200"/>
      <c r="Y558" s="200"/>
      <c r="Z558" s="200"/>
      <c r="AA558" s="201"/>
      <c r="AB558" s="200"/>
      <c r="AC558" s="200"/>
    </row>
    <row r="559" ht="15.0" customHeight="1">
      <c r="A559" s="210">
        <f t="shared" si="1"/>
        <v>557</v>
      </c>
      <c r="B559" s="217"/>
      <c r="C559" s="217" t="str">
        <f>IFERROR(VLOOKUP(B559, SourceData!$U$3:$V$190, 2, FALSE), "")</f>
        <v/>
      </c>
      <c r="D559" s="240"/>
      <c r="E559" s="241"/>
      <c r="F559" s="248"/>
      <c r="G559" s="207"/>
      <c r="H559" s="209"/>
      <c r="I559" s="209"/>
      <c r="J559" s="209"/>
      <c r="K559" s="208" t="str">
        <f>IF(Errors!$I559=0,SourceData!$B$42,VLOOKUP(Errors!$I559,SourceData!$A$2:$B$40,2,FALSE))</f>
        <v>Please select ERROR CODE column "I"</v>
      </c>
      <c r="L559" s="207" t="str">
        <f>IF(Errors!$I559=0,
    'List of Error Codes'!$E$29,
    IFERROR(VLOOKUP(Errors!$I559, 'List of Error Codes'!D558:I588, 6, FALSE), 'List of Error Codes'!$E$29)
)</f>
        <v>Please select ERROR CODE column "I"</v>
      </c>
      <c r="M559" s="209"/>
      <c r="N559" s="209"/>
      <c r="O559" s="209"/>
      <c r="P559" s="209"/>
      <c r="Q559" s="209"/>
      <c r="R559" s="217"/>
      <c r="S559" s="217"/>
      <c r="T559" s="217"/>
      <c r="U559" s="199"/>
      <c r="V559" s="200"/>
      <c r="W559" s="200"/>
      <c r="X559" s="200"/>
      <c r="Y559" s="200"/>
      <c r="Z559" s="200"/>
      <c r="AA559" s="201"/>
      <c r="AB559" s="200"/>
      <c r="AC559" s="200"/>
    </row>
    <row r="560" ht="15.0" customHeight="1">
      <c r="A560" s="210">
        <f t="shared" si="1"/>
        <v>558</v>
      </c>
      <c r="B560" s="217"/>
      <c r="C560" s="217" t="str">
        <f>IFERROR(VLOOKUP(B560, SourceData!$U$3:$V$190, 2, FALSE), "")</f>
        <v/>
      </c>
      <c r="D560" s="240"/>
      <c r="E560" s="241"/>
      <c r="F560" s="248"/>
      <c r="G560" s="207"/>
      <c r="H560" s="209"/>
      <c r="I560" s="209"/>
      <c r="J560" s="209"/>
      <c r="K560" s="208" t="str">
        <f>IF(Errors!$I560=0,SourceData!$B$42,VLOOKUP(Errors!$I560,SourceData!$A$2:$B$40,2,FALSE))</f>
        <v>Please select ERROR CODE column "I"</v>
      </c>
      <c r="L560" s="207" t="str">
        <f>IF(Errors!$I560=0,
    'List of Error Codes'!$E$29,
    IFERROR(VLOOKUP(Errors!$I560, 'List of Error Codes'!D559:I589, 6, FALSE), 'List of Error Codes'!$E$29)
)</f>
        <v>Please select ERROR CODE column "I"</v>
      </c>
      <c r="M560" s="209"/>
      <c r="N560" s="209"/>
      <c r="O560" s="209"/>
      <c r="P560" s="209"/>
      <c r="Q560" s="209"/>
      <c r="R560" s="217"/>
      <c r="S560" s="217"/>
      <c r="T560" s="217"/>
      <c r="U560" s="199"/>
      <c r="V560" s="200"/>
      <c r="W560" s="200"/>
      <c r="X560" s="200"/>
      <c r="Y560" s="200"/>
      <c r="Z560" s="200"/>
      <c r="AA560" s="201"/>
      <c r="AB560" s="200"/>
      <c r="AC560" s="200"/>
    </row>
    <row r="561" ht="15.0" customHeight="1">
      <c r="A561" s="210">
        <f t="shared" si="1"/>
        <v>559</v>
      </c>
      <c r="B561" s="217"/>
      <c r="C561" s="217" t="str">
        <f>IFERROR(VLOOKUP(B561, SourceData!$U$3:$V$190, 2, FALSE), "")</f>
        <v/>
      </c>
      <c r="D561" s="240"/>
      <c r="E561" s="241"/>
      <c r="F561" s="248"/>
      <c r="G561" s="207"/>
      <c r="H561" s="209"/>
      <c r="I561" s="209"/>
      <c r="J561" s="209"/>
      <c r="K561" s="208" t="str">
        <f>IF(Errors!$I561=0,SourceData!$B$42,VLOOKUP(Errors!$I561,SourceData!$A$2:$B$40,2,FALSE))</f>
        <v>Please select ERROR CODE column "I"</v>
      </c>
      <c r="L561" s="207" t="str">
        <f>IF(Errors!$I561=0,
    'List of Error Codes'!$E$29,
    IFERROR(VLOOKUP(Errors!$I561, 'List of Error Codes'!D560:I590, 6, FALSE), 'List of Error Codes'!$E$29)
)</f>
        <v>Please select ERROR CODE column "I"</v>
      </c>
      <c r="M561" s="209"/>
      <c r="N561" s="209"/>
      <c r="O561" s="209"/>
      <c r="P561" s="209"/>
      <c r="Q561" s="209"/>
      <c r="R561" s="217"/>
      <c r="S561" s="217"/>
      <c r="T561" s="217"/>
      <c r="U561" s="199"/>
      <c r="V561" s="200"/>
      <c r="W561" s="200"/>
      <c r="X561" s="200"/>
      <c r="Y561" s="200"/>
      <c r="Z561" s="200"/>
      <c r="AA561" s="201"/>
      <c r="AB561" s="200"/>
      <c r="AC561" s="200"/>
    </row>
    <row r="562" ht="15.0" customHeight="1">
      <c r="A562" s="210">
        <f t="shared" si="1"/>
        <v>560</v>
      </c>
      <c r="B562" s="217"/>
      <c r="C562" s="217" t="str">
        <f>IFERROR(VLOOKUP(B562, SourceData!$U$3:$V$190, 2, FALSE), "")</f>
        <v/>
      </c>
      <c r="D562" s="240"/>
      <c r="E562" s="241"/>
      <c r="F562" s="248"/>
      <c r="G562" s="207"/>
      <c r="H562" s="209"/>
      <c r="I562" s="209"/>
      <c r="J562" s="209"/>
      <c r="K562" s="208" t="str">
        <f>IF(Errors!$I562=0,SourceData!$B$42,VLOOKUP(Errors!$I562,SourceData!$A$2:$B$40,2,FALSE))</f>
        <v>Please select ERROR CODE column "I"</v>
      </c>
      <c r="L562" s="207" t="str">
        <f>IF(Errors!$I562=0,
    'List of Error Codes'!$E$29,
    IFERROR(VLOOKUP(Errors!$I562, 'List of Error Codes'!D561:I591, 6, FALSE), 'List of Error Codes'!$E$29)
)</f>
        <v>Please select ERROR CODE column "I"</v>
      </c>
      <c r="M562" s="209"/>
      <c r="N562" s="209"/>
      <c r="O562" s="209"/>
      <c r="P562" s="209"/>
      <c r="Q562" s="209"/>
      <c r="R562" s="217"/>
      <c r="S562" s="217"/>
      <c r="T562" s="217"/>
      <c r="U562" s="199"/>
      <c r="V562" s="200"/>
      <c r="W562" s="200"/>
      <c r="X562" s="200"/>
      <c r="Y562" s="200"/>
      <c r="Z562" s="200"/>
      <c r="AA562" s="201"/>
      <c r="AB562" s="200"/>
      <c r="AC562" s="200"/>
    </row>
    <row r="563" ht="15.0" customHeight="1">
      <c r="A563" s="210">
        <f t="shared" si="1"/>
        <v>561</v>
      </c>
      <c r="B563" s="217"/>
      <c r="C563" s="217" t="str">
        <f>IFERROR(VLOOKUP(B563, SourceData!$U$3:$V$190, 2, FALSE), "")</f>
        <v/>
      </c>
      <c r="D563" s="240"/>
      <c r="E563" s="241"/>
      <c r="F563" s="248"/>
      <c r="G563" s="207"/>
      <c r="H563" s="209"/>
      <c r="I563" s="209"/>
      <c r="J563" s="209"/>
      <c r="K563" s="208" t="str">
        <f>IF(Errors!$I563=0,SourceData!$B$42,VLOOKUP(Errors!$I563,SourceData!$A$2:$B$40,2,FALSE))</f>
        <v>Please select ERROR CODE column "I"</v>
      </c>
      <c r="L563" s="207" t="str">
        <f>IF(Errors!$I563=0,
    'List of Error Codes'!$E$29,
    IFERROR(VLOOKUP(Errors!$I563, 'List of Error Codes'!D562:I592, 6, FALSE), 'List of Error Codes'!$E$29)
)</f>
        <v>Please select ERROR CODE column "I"</v>
      </c>
      <c r="M563" s="209"/>
      <c r="N563" s="209"/>
      <c r="O563" s="209"/>
      <c r="P563" s="209"/>
      <c r="Q563" s="209"/>
      <c r="R563" s="217"/>
      <c r="S563" s="217"/>
      <c r="T563" s="217"/>
      <c r="U563" s="199"/>
      <c r="V563" s="200"/>
      <c r="W563" s="200"/>
      <c r="X563" s="200"/>
      <c r="Y563" s="200"/>
      <c r="Z563" s="200"/>
      <c r="AA563" s="201"/>
      <c r="AB563" s="200"/>
      <c r="AC563" s="200"/>
    </row>
    <row r="564" ht="15.0" customHeight="1">
      <c r="A564" s="210">
        <f t="shared" si="1"/>
        <v>562</v>
      </c>
      <c r="B564" s="217"/>
      <c r="C564" s="217" t="str">
        <f>IFERROR(VLOOKUP(B564, SourceData!$U$3:$V$190, 2, FALSE), "")</f>
        <v/>
      </c>
      <c r="D564" s="240"/>
      <c r="E564" s="241"/>
      <c r="F564" s="248"/>
      <c r="G564" s="207"/>
      <c r="H564" s="209"/>
      <c r="I564" s="209"/>
      <c r="J564" s="209"/>
      <c r="K564" s="208" t="str">
        <f>IF(Errors!$I564=0,SourceData!$B$42,VLOOKUP(Errors!$I564,SourceData!$A$2:$B$40,2,FALSE))</f>
        <v>Please select ERROR CODE column "I"</v>
      </c>
      <c r="L564" s="207" t="str">
        <f>IF(Errors!$I564=0,
    'List of Error Codes'!$E$29,
    IFERROR(VLOOKUP(Errors!$I564, 'List of Error Codes'!D563:I593, 6, FALSE), 'List of Error Codes'!$E$29)
)</f>
        <v>Please select ERROR CODE column "I"</v>
      </c>
      <c r="M564" s="209"/>
      <c r="N564" s="209"/>
      <c r="O564" s="209"/>
      <c r="P564" s="209"/>
      <c r="Q564" s="209"/>
      <c r="R564" s="217"/>
      <c r="S564" s="217"/>
      <c r="T564" s="217"/>
      <c r="U564" s="199"/>
      <c r="V564" s="200"/>
      <c r="W564" s="200"/>
      <c r="X564" s="200"/>
      <c r="Y564" s="200"/>
      <c r="Z564" s="200"/>
      <c r="AA564" s="201"/>
      <c r="AB564" s="200"/>
      <c r="AC564" s="200"/>
    </row>
    <row r="565" ht="15.0" customHeight="1">
      <c r="A565" s="210">
        <f t="shared" si="1"/>
        <v>563</v>
      </c>
      <c r="B565" s="217"/>
      <c r="C565" s="217" t="str">
        <f>IFERROR(VLOOKUP(B565, SourceData!$U$3:$V$190, 2, FALSE), "")</f>
        <v/>
      </c>
      <c r="D565" s="240"/>
      <c r="E565" s="241"/>
      <c r="F565" s="248"/>
      <c r="G565" s="207"/>
      <c r="H565" s="209"/>
      <c r="I565" s="209"/>
      <c r="J565" s="209"/>
      <c r="K565" s="208" t="str">
        <f>IF(Errors!$I565=0,SourceData!$B$42,VLOOKUP(Errors!$I565,SourceData!$A$2:$B$40,2,FALSE))</f>
        <v>Please select ERROR CODE column "I"</v>
      </c>
      <c r="L565" s="207" t="str">
        <f>IF(Errors!$I565=0,
    'List of Error Codes'!$E$29,
    IFERROR(VLOOKUP(Errors!$I565, 'List of Error Codes'!D564:I594, 6, FALSE), 'List of Error Codes'!$E$29)
)</f>
        <v>Please select ERROR CODE column "I"</v>
      </c>
      <c r="M565" s="209"/>
      <c r="N565" s="209"/>
      <c r="O565" s="209"/>
      <c r="P565" s="209"/>
      <c r="Q565" s="209"/>
      <c r="R565" s="217"/>
      <c r="S565" s="217"/>
      <c r="T565" s="217"/>
      <c r="U565" s="199"/>
      <c r="V565" s="200"/>
      <c r="W565" s="200"/>
      <c r="X565" s="200"/>
      <c r="Y565" s="200"/>
      <c r="Z565" s="200"/>
      <c r="AA565" s="201"/>
      <c r="AB565" s="200"/>
      <c r="AC565" s="200"/>
    </row>
    <row r="566" ht="15.0" customHeight="1">
      <c r="A566" s="210">
        <f t="shared" si="1"/>
        <v>564</v>
      </c>
      <c r="B566" s="217"/>
      <c r="C566" s="217" t="str">
        <f>IFERROR(VLOOKUP(B566, SourceData!$U$3:$V$190, 2, FALSE), "")</f>
        <v/>
      </c>
      <c r="D566" s="240"/>
      <c r="E566" s="241"/>
      <c r="F566" s="248"/>
      <c r="G566" s="207"/>
      <c r="H566" s="209"/>
      <c r="I566" s="209"/>
      <c r="J566" s="209"/>
      <c r="K566" s="208" t="str">
        <f>IF(Errors!$I566=0,SourceData!$B$42,VLOOKUP(Errors!$I566,SourceData!$A$2:$B$40,2,FALSE))</f>
        <v>Please select ERROR CODE column "I"</v>
      </c>
      <c r="L566" s="207" t="str">
        <f>IF(Errors!$I566=0,
    'List of Error Codes'!$E$29,
    IFERROR(VLOOKUP(Errors!$I566, 'List of Error Codes'!D565:I595, 6, FALSE), 'List of Error Codes'!$E$29)
)</f>
        <v>Please select ERROR CODE column "I"</v>
      </c>
      <c r="M566" s="209"/>
      <c r="N566" s="209"/>
      <c r="O566" s="209"/>
      <c r="P566" s="209"/>
      <c r="Q566" s="209"/>
      <c r="R566" s="217"/>
      <c r="S566" s="217"/>
      <c r="T566" s="217"/>
      <c r="U566" s="199"/>
      <c r="V566" s="200"/>
      <c r="W566" s="200"/>
      <c r="X566" s="200"/>
      <c r="Y566" s="200"/>
      <c r="Z566" s="200"/>
      <c r="AA566" s="201"/>
      <c r="AB566" s="200"/>
      <c r="AC566" s="200"/>
    </row>
    <row r="567" ht="15.0" customHeight="1">
      <c r="A567" s="210">
        <f t="shared" si="1"/>
        <v>565</v>
      </c>
      <c r="B567" s="217"/>
      <c r="C567" s="217" t="str">
        <f>IFERROR(VLOOKUP(B567, SourceData!$U$3:$V$190, 2, FALSE), "")</f>
        <v/>
      </c>
      <c r="D567" s="240"/>
      <c r="E567" s="241"/>
      <c r="F567" s="248"/>
      <c r="G567" s="207"/>
      <c r="H567" s="209"/>
      <c r="I567" s="209"/>
      <c r="J567" s="209"/>
      <c r="K567" s="208" t="str">
        <f>IF(Errors!$I567=0,SourceData!$B$42,VLOOKUP(Errors!$I567,SourceData!$A$2:$B$40,2,FALSE))</f>
        <v>Please select ERROR CODE column "I"</v>
      </c>
      <c r="L567" s="207" t="str">
        <f>IF(Errors!$I567=0,
    'List of Error Codes'!$E$29,
    IFERROR(VLOOKUP(Errors!$I567, 'List of Error Codes'!D566:I596, 6, FALSE), 'List of Error Codes'!$E$29)
)</f>
        <v>Please select ERROR CODE column "I"</v>
      </c>
      <c r="M567" s="209"/>
      <c r="N567" s="209"/>
      <c r="O567" s="209"/>
      <c r="P567" s="209"/>
      <c r="Q567" s="209"/>
      <c r="R567" s="217"/>
      <c r="S567" s="217"/>
      <c r="T567" s="217"/>
      <c r="U567" s="199"/>
      <c r="V567" s="200"/>
      <c r="W567" s="200"/>
      <c r="X567" s="200"/>
      <c r="Y567" s="200"/>
      <c r="Z567" s="200"/>
      <c r="AA567" s="201"/>
      <c r="AB567" s="200"/>
      <c r="AC567" s="200"/>
    </row>
    <row r="568" ht="15.0" customHeight="1">
      <c r="A568" s="210">
        <f t="shared" si="1"/>
        <v>566</v>
      </c>
      <c r="B568" s="217"/>
      <c r="C568" s="217" t="str">
        <f>IFERROR(VLOOKUP(B568, SourceData!$U$3:$V$190, 2, FALSE), "")</f>
        <v/>
      </c>
      <c r="D568" s="240"/>
      <c r="E568" s="241"/>
      <c r="F568" s="248"/>
      <c r="G568" s="207"/>
      <c r="H568" s="209"/>
      <c r="I568" s="209"/>
      <c r="J568" s="209"/>
      <c r="K568" s="208" t="str">
        <f>IF(Errors!$I568=0,SourceData!$B$42,VLOOKUP(Errors!$I568,SourceData!$A$2:$B$40,2,FALSE))</f>
        <v>Please select ERROR CODE column "I"</v>
      </c>
      <c r="L568" s="207" t="str">
        <f>IF(Errors!$I568=0,
    'List of Error Codes'!$E$29,
    IFERROR(VLOOKUP(Errors!$I568, 'List of Error Codes'!D567:I597, 6, FALSE), 'List of Error Codes'!$E$29)
)</f>
        <v>Please select ERROR CODE column "I"</v>
      </c>
      <c r="M568" s="209"/>
      <c r="N568" s="209"/>
      <c r="O568" s="209"/>
      <c r="P568" s="209"/>
      <c r="Q568" s="209"/>
      <c r="R568" s="217"/>
      <c r="S568" s="217"/>
      <c r="T568" s="217"/>
      <c r="U568" s="199"/>
      <c r="V568" s="200"/>
      <c r="W568" s="200"/>
      <c r="X568" s="200"/>
      <c r="Y568" s="200"/>
      <c r="Z568" s="200"/>
      <c r="AA568" s="201"/>
      <c r="AB568" s="200"/>
      <c r="AC568" s="200"/>
    </row>
    <row r="569" ht="15.0" customHeight="1">
      <c r="A569" s="210">
        <f t="shared" si="1"/>
        <v>567</v>
      </c>
      <c r="B569" s="217"/>
      <c r="C569" s="217" t="str">
        <f>IFERROR(VLOOKUP(B569, SourceData!$U$3:$V$190, 2, FALSE), "")</f>
        <v/>
      </c>
      <c r="D569" s="240"/>
      <c r="E569" s="241"/>
      <c r="F569" s="248"/>
      <c r="G569" s="207"/>
      <c r="H569" s="209"/>
      <c r="I569" s="209"/>
      <c r="J569" s="209"/>
      <c r="K569" s="208" t="str">
        <f>IF(Errors!$I569=0,SourceData!$B$42,VLOOKUP(Errors!$I569,SourceData!$A$2:$B$40,2,FALSE))</f>
        <v>Please select ERROR CODE column "I"</v>
      </c>
      <c r="L569" s="207" t="str">
        <f>IF(Errors!$I569=0,
    'List of Error Codes'!$E$29,
    IFERROR(VLOOKUP(Errors!$I569, 'List of Error Codes'!D568:I598, 6, FALSE), 'List of Error Codes'!$E$29)
)</f>
        <v>Please select ERROR CODE column "I"</v>
      </c>
      <c r="M569" s="209"/>
      <c r="N569" s="209"/>
      <c r="O569" s="209"/>
      <c r="P569" s="209"/>
      <c r="Q569" s="209"/>
      <c r="R569" s="217"/>
      <c r="S569" s="217"/>
      <c r="T569" s="217"/>
      <c r="U569" s="199"/>
      <c r="V569" s="200"/>
      <c r="W569" s="200"/>
      <c r="X569" s="200"/>
      <c r="Y569" s="200"/>
      <c r="Z569" s="200"/>
      <c r="AA569" s="201"/>
      <c r="AB569" s="200"/>
      <c r="AC569" s="200"/>
    </row>
    <row r="570" ht="15.0" customHeight="1">
      <c r="A570" s="210">
        <f t="shared" si="1"/>
        <v>568</v>
      </c>
      <c r="B570" s="217"/>
      <c r="C570" s="217" t="str">
        <f>IFERROR(VLOOKUP(B570, SourceData!$U$3:$V$190, 2, FALSE), "")</f>
        <v/>
      </c>
      <c r="D570" s="240"/>
      <c r="E570" s="241"/>
      <c r="F570" s="248"/>
      <c r="G570" s="207"/>
      <c r="H570" s="209"/>
      <c r="I570" s="209"/>
      <c r="J570" s="209"/>
      <c r="K570" s="208" t="str">
        <f>IF(Errors!$I570=0,SourceData!$B$42,VLOOKUP(Errors!$I570,SourceData!$A$2:$B$40,2,FALSE))</f>
        <v>Please select ERROR CODE column "I"</v>
      </c>
      <c r="L570" s="207" t="str">
        <f>IF(Errors!$I570=0,
    'List of Error Codes'!$E$29,
    IFERROR(VLOOKUP(Errors!$I570, 'List of Error Codes'!D569:I599, 6, FALSE), 'List of Error Codes'!$E$29)
)</f>
        <v>Please select ERROR CODE column "I"</v>
      </c>
      <c r="M570" s="209"/>
      <c r="N570" s="209"/>
      <c r="O570" s="209"/>
      <c r="P570" s="209"/>
      <c r="Q570" s="209"/>
      <c r="R570" s="217"/>
      <c r="S570" s="217"/>
      <c r="T570" s="217"/>
      <c r="U570" s="199"/>
      <c r="V570" s="200"/>
      <c r="W570" s="200"/>
      <c r="X570" s="200"/>
      <c r="Y570" s="200"/>
      <c r="Z570" s="200"/>
      <c r="AA570" s="201"/>
      <c r="AB570" s="200"/>
      <c r="AC570" s="200"/>
    </row>
    <row r="571" ht="15.0" customHeight="1">
      <c r="A571" s="210">
        <f t="shared" si="1"/>
        <v>569</v>
      </c>
      <c r="B571" s="217"/>
      <c r="C571" s="217" t="str">
        <f>IFERROR(VLOOKUP(B571, SourceData!$U$3:$V$190, 2, FALSE), "")</f>
        <v/>
      </c>
      <c r="D571" s="240"/>
      <c r="E571" s="241"/>
      <c r="F571" s="248"/>
      <c r="G571" s="207"/>
      <c r="H571" s="209"/>
      <c r="I571" s="209"/>
      <c r="J571" s="209"/>
      <c r="K571" s="208" t="str">
        <f>IF(Errors!$I571=0,SourceData!$B$42,VLOOKUP(Errors!$I571,SourceData!$A$2:$B$40,2,FALSE))</f>
        <v>Please select ERROR CODE column "I"</v>
      </c>
      <c r="L571" s="207" t="str">
        <f>IF(Errors!$I571=0,
    'List of Error Codes'!$E$29,
    IFERROR(VLOOKUP(Errors!$I571, 'List of Error Codes'!D570:I600, 6, FALSE), 'List of Error Codes'!$E$29)
)</f>
        <v>Please select ERROR CODE column "I"</v>
      </c>
      <c r="M571" s="209"/>
      <c r="N571" s="209"/>
      <c r="O571" s="209"/>
      <c r="P571" s="209"/>
      <c r="Q571" s="209"/>
      <c r="R571" s="217"/>
      <c r="S571" s="217"/>
      <c r="T571" s="217"/>
      <c r="U571" s="199"/>
      <c r="V571" s="200"/>
      <c r="W571" s="200"/>
      <c r="X571" s="200"/>
      <c r="Y571" s="200"/>
      <c r="Z571" s="200"/>
      <c r="AA571" s="201"/>
      <c r="AB571" s="200"/>
      <c r="AC571" s="200"/>
    </row>
    <row r="572" ht="15.0" customHeight="1">
      <c r="A572" s="210">
        <f t="shared" si="1"/>
        <v>570</v>
      </c>
      <c r="B572" s="217"/>
      <c r="C572" s="217" t="str">
        <f>IFERROR(VLOOKUP(B572, SourceData!$U$3:$V$190, 2, FALSE), "")</f>
        <v/>
      </c>
      <c r="D572" s="240"/>
      <c r="E572" s="241"/>
      <c r="F572" s="248"/>
      <c r="G572" s="207"/>
      <c r="H572" s="209"/>
      <c r="I572" s="209"/>
      <c r="J572" s="209"/>
      <c r="K572" s="208" t="str">
        <f>IF(Errors!$I572=0,SourceData!$B$42,VLOOKUP(Errors!$I572,SourceData!$A$2:$B$40,2,FALSE))</f>
        <v>Please select ERROR CODE column "I"</v>
      </c>
      <c r="L572" s="207" t="str">
        <f>IF(Errors!$I572=0,
    'List of Error Codes'!$E$29,
    IFERROR(VLOOKUP(Errors!$I572, 'List of Error Codes'!D571:I601, 6, FALSE), 'List of Error Codes'!$E$29)
)</f>
        <v>Please select ERROR CODE column "I"</v>
      </c>
      <c r="M572" s="209"/>
      <c r="N572" s="209"/>
      <c r="O572" s="209"/>
      <c r="P572" s="209"/>
      <c r="Q572" s="209"/>
      <c r="R572" s="217"/>
      <c r="S572" s="217"/>
      <c r="T572" s="217"/>
      <c r="U572" s="199"/>
      <c r="V572" s="200"/>
      <c r="W572" s="200"/>
      <c r="X572" s="200"/>
      <c r="Y572" s="200"/>
      <c r="Z572" s="200"/>
      <c r="AA572" s="201"/>
      <c r="AB572" s="200"/>
      <c r="AC572" s="200"/>
    </row>
    <row r="573" ht="15.0" customHeight="1">
      <c r="A573" s="210">
        <f t="shared" si="1"/>
        <v>571</v>
      </c>
      <c r="B573" s="217"/>
      <c r="C573" s="217" t="str">
        <f>IFERROR(VLOOKUP(B573, SourceData!$U$3:$V$190, 2, FALSE), "")</f>
        <v/>
      </c>
      <c r="D573" s="240"/>
      <c r="E573" s="241"/>
      <c r="F573" s="248"/>
      <c r="G573" s="207"/>
      <c r="H573" s="209"/>
      <c r="I573" s="209"/>
      <c r="J573" s="209"/>
      <c r="K573" s="208" t="str">
        <f>IF(Errors!$I573=0,SourceData!$B$42,VLOOKUP(Errors!$I573,SourceData!$A$2:$B$40,2,FALSE))</f>
        <v>Please select ERROR CODE column "I"</v>
      </c>
      <c r="L573" s="207" t="str">
        <f>IF(Errors!$I573=0,
    'List of Error Codes'!$E$29,
    IFERROR(VLOOKUP(Errors!$I573, 'List of Error Codes'!D572:I602, 6, FALSE), 'List of Error Codes'!$E$29)
)</f>
        <v>Please select ERROR CODE column "I"</v>
      </c>
      <c r="M573" s="209"/>
      <c r="N573" s="209"/>
      <c r="O573" s="209"/>
      <c r="P573" s="209"/>
      <c r="Q573" s="209"/>
      <c r="R573" s="217"/>
      <c r="S573" s="217"/>
      <c r="T573" s="217"/>
      <c r="U573" s="199"/>
      <c r="V573" s="200"/>
      <c r="W573" s="200"/>
      <c r="X573" s="200"/>
      <c r="Y573" s="200"/>
      <c r="Z573" s="200"/>
      <c r="AA573" s="201"/>
      <c r="AB573" s="200"/>
      <c r="AC573" s="200"/>
    </row>
    <row r="574" ht="15.0" customHeight="1">
      <c r="A574" s="210">
        <f t="shared" si="1"/>
        <v>572</v>
      </c>
      <c r="B574" s="217"/>
      <c r="C574" s="217" t="str">
        <f>IFERROR(VLOOKUP(B574, SourceData!$U$3:$V$190, 2, FALSE), "")</f>
        <v/>
      </c>
      <c r="D574" s="240"/>
      <c r="E574" s="241"/>
      <c r="F574" s="248"/>
      <c r="G574" s="207"/>
      <c r="H574" s="209"/>
      <c r="I574" s="209"/>
      <c r="J574" s="209"/>
      <c r="K574" s="208" t="str">
        <f>IF(Errors!$I574=0,SourceData!$B$42,VLOOKUP(Errors!$I574,SourceData!$A$2:$B$40,2,FALSE))</f>
        <v>Please select ERROR CODE column "I"</v>
      </c>
      <c r="L574" s="207" t="str">
        <f>IF(Errors!$I574=0,
    'List of Error Codes'!$E$29,
    IFERROR(VLOOKUP(Errors!$I574, 'List of Error Codes'!D573:I603, 6, FALSE), 'List of Error Codes'!$E$29)
)</f>
        <v>Please select ERROR CODE column "I"</v>
      </c>
      <c r="M574" s="209"/>
      <c r="N574" s="209"/>
      <c r="O574" s="209"/>
      <c r="P574" s="209"/>
      <c r="Q574" s="209"/>
      <c r="R574" s="217"/>
      <c r="S574" s="217"/>
      <c r="T574" s="217"/>
      <c r="U574" s="199"/>
      <c r="V574" s="200"/>
      <c r="W574" s="200"/>
      <c r="X574" s="200"/>
      <c r="Y574" s="200"/>
      <c r="Z574" s="200"/>
      <c r="AA574" s="201"/>
      <c r="AB574" s="200"/>
      <c r="AC574" s="200"/>
    </row>
    <row r="575" ht="15.0" customHeight="1">
      <c r="A575" s="210">
        <f t="shared" si="1"/>
        <v>573</v>
      </c>
      <c r="B575" s="217"/>
      <c r="C575" s="217" t="str">
        <f>IFERROR(VLOOKUP(B575, SourceData!$U$3:$V$190, 2, FALSE), "")</f>
        <v/>
      </c>
      <c r="D575" s="240"/>
      <c r="E575" s="241"/>
      <c r="F575" s="248"/>
      <c r="G575" s="207"/>
      <c r="H575" s="209"/>
      <c r="I575" s="209"/>
      <c r="J575" s="209"/>
      <c r="K575" s="208" t="str">
        <f>IF(Errors!$I575=0,SourceData!$B$42,VLOOKUP(Errors!$I575,SourceData!$A$2:$B$40,2,FALSE))</f>
        <v>Please select ERROR CODE column "I"</v>
      </c>
      <c r="L575" s="207" t="str">
        <f>IF(Errors!$I575=0,
    'List of Error Codes'!$E$29,
    IFERROR(VLOOKUP(Errors!$I575, 'List of Error Codes'!D574:I604, 6, FALSE), 'List of Error Codes'!$E$29)
)</f>
        <v>Please select ERROR CODE column "I"</v>
      </c>
      <c r="M575" s="209"/>
      <c r="N575" s="209"/>
      <c r="O575" s="209"/>
      <c r="P575" s="209"/>
      <c r="Q575" s="209"/>
      <c r="R575" s="217"/>
      <c r="S575" s="217"/>
      <c r="T575" s="217"/>
      <c r="U575" s="199"/>
      <c r="V575" s="200"/>
      <c r="W575" s="200"/>
      <c r="X575" s="200"/>
      <c r="Y575" s="200"/>
      <c r="Z575" s="200"/>
      <c r="AA575" s="201"/>
      <c r="AB575" s="200"/>
      <c r="AC575" s="200"/>
    </row>
    <row r="576" ht="15.0" customHeight="1">
      <c r="A576" s="210">
        <f t="shared" si="1"/>
        <v>574</v>
      </c>
      <c r="B576" s="217"/>
      <c r="C576" s="217" t="str">
        <f>IFERROR(VLOOKUP(B576, SourceData!$U$3:$V$190, 2, FALSE), "")</f>
        <v/>
      </c>
      <c r="D576" s="240"/>
      <c r="E576" s="241"/>
      <c r="F576" s="248"/>
      <c r="G576" s="207"/>
      <c r="H576" s="209"/>
      <c r="I576" s="209"/>
      <c r="J576" s="209"/>
      <c r="K576" s="208" t="str">
        <f>IF(Errors!$I576=0,SourceData!$B$42,VLOOKUP(Errors!$I576,SourceData!$A$2:$B$40,2,FALSE))</f>
        <v>Please select ERROR CODE column "I"</v>
      </c>
      <c r="L576" s="207" t="str">
        <f>IF(Errors!$I576=0,
    'List of Error Codes'!$E$29,
    IFERROR(VLOOKUP(Errors!$I576, 'List of Error Codes'!D575:I605, 6, FALSE), 'List of Error Codes'!$E$29)
)</f>
        <v>Please select ERROR CODE column "I"</v>
      </c>
      <c r="M576" s="209"/>
      <c r="N576" s="209"/>
      <c r="O576" s="209"/>
      <c r="P576" s="209"/>
      <c r="Q576" s="209"/>
      <c r="R576" s="217"/>
      <c r="S576" s="217"/>
      <c r="T576" s="217"/>
      <c r="U576" s="199"/>
      <c r="V576" s="200"/>
      <c r="W576" s="200"/>
      <c r="X576" s="200"/>
      <c r="Y576" s="200"/>
      <c r="Z576" s="200"/>
      <c r="AA576" s="201"/>
      <c r="AB576" s="200"/>
      <c r="AC576" s="200"/>
    </row>
    <row r="577" ht="15.0" customHeight="1">
      <c r="A577" s="210">
        <f t="shared" si="1"/>
        <v>575</v>
      </c>
      <c r="B577" s="217"/>
      <c r="C577" s="217" t="str">
        <f>IFERROR(VLOOKUP(B577, SourceData!$U$3:$V$190, 2, FALSE), "")</f>
        <v/>
      </c>
      <c r="D577" s="240"/>
      <c r="E577" s="241"/>
      <c r="F577" s="248"/>
      <c r="G577" s="207"/>
      <c r="H577" s="209"/>
      <c r="I577" s="209"/>
      <c r="J577" s="209"/>
      <c r="K577" s="208" t="str">
        <f>IF(Errors!$I577=0,SourceData!$B$42,VLOOKUP(Errors!$I577,SourceData!$A$2:$B$40,2,FALSE))</f>
        <v>Please select ERROR CODE column "I"</v>
      </c>
      <c r="L577" s="207" t="str">
        <f>IF(Errors!$I577=0,
    'List of Error Codes'!$E$29,
    IFERROR(VLOOKUP(Errors!$I577, 'List of Error Codes'!D576:I606, 6, FALSE), 'List of Error Codes'!$E$29)
)</f>
        <v>Please select ERROR CODE column "I"</v>
      </c>
      <c r="M577" s="209"/>
      <c r="N577" s="209"/>
      <c r="O577" s="209"/>
      <c r="P577" s="209"/>
      <c r="Q577" s="209"/>
      <c r="R577" s="217"/>
      <c r="S577" s="217"/>
      <c r="T577" s="217"/>
      <c r="U577" s="199"/>
      <c r="V577" s="200"/>
      <c r="W577" s="200"/>
      <c r="X577" s="200"/>
      <c r="Y577" s="200"/>
      <c r="Z577" s="200"/>
      <c r="AA577" s="201"/>
      <c r="AB577" s="200"/>
      <c r="AC577" s="200"/>
    </row>
    <row r="578" ht="15.0" customHeight="1">
      <c r="A578" s="210">
        <f t="shared" si="1"/>
        <v>576</v>
      </c>
      <c r="B578" s="217"/>
      <c r="C578" s="217" t="str">
        <f>IFERROR(VLOOKUP(B578, SourceData!$U$3:$V$190, 2, FALSE), "")</f>
        <v/>
      </c>
      <c r="D578" s="240"/>
      <c r="E578" s="241"/>
      <c r="F578" s="248"/>
      <c r="G578" s="207"/>
      <c r="H578" s="209"/>
      <c r="I578" s="209"/>
      <c r="J578" s="209"/>
      <c r="K578" s="208" t="str">
        <f>IF(Errors!$I578=0,SourceData!$B$42,VLOOKUP(Errors!$I578,SourceData!$A$2:$B$40,2,FALSE))</f>
        <v>Please select ERROR CODE column "I"</v>
      </c>
      <c r="L578" s="207" t="str">
        <f>IF(Errors!$I578=0,
    'List of Error Codes'!$E$29,
    IFERROR(VLOOKUP(Errors!$I578, 'List of Error Codes'!D577:I607, 6, FALSE), 'List of Error Codes'!$E$29)
)</f>
        <v>Please select ERROR CODE column "I"</v>
      </c>
      <c r="M578" s="209"/>
      <c r="N578" s="209"/>
      <c r="O578" s="209"/>
      <c r="P578" s="209"/>
      <c r="Q578" s="209"/>
      <c r="R578" s="217"/>
      <c r="S578" s="217"/>
      <c r="T578" s="217"/>
      <c r="U578" s="199"/>
      <c r="V578" s="200"/>
      <c r="W578" s="200"/>
      <c r="X578" s="200"/>
      <c r="Y578" s="200"/>
      <c r="Z578" s="200"/>
      <c r="AA578" s="201"/>
      <c r="AB578" s="200"/>
      <c r="AC578" s="200"/>
    </row>
    <row r="579" ht="15.0" customHeight="1">
      <c r="A579" s="210">
        <f t="shared" si="1"/>
        <v>577</v>
      </c>
      <c r="B579" s="217"/>
      <c r="C579" s="217" t="str">
        <f>IFERROR(VLOOKUP(B579, SourceData!$U$3:$V$190, 2, FALSE), "")</f>
        <v/>
      </c>
      <c r="D579" s="240"/>
      <c r="E579" s="241"/>
      <c r="F579" s="248"/>
      <c r="G579" s="207"/>
      <c r="H579" s="209"/>
      <c r="I579" s="209"/>
      <c r="J579" s="209"/>
      <c r="K579" s="208" t="str">
        <f>IF(Errors!$I579=0,SourceData!$B$42,VLOOKUP(Errors!$I579,SourceData!$A$2:$B$40,2,FALSE))</f>
        <v>Please select ERROR CODE column "I"</v>
      </c>
      <c r="L579" s="207" t="str">
        <f>IF(Errors!$I579=0,
    'List of Error Codes'!$E$29,
    IFERROR(VLOOKUP(Errors!$I579, 'List of Error Codes'!D578:I608, 6, FALSE), 'List of Error Codes'!$E$29)
)</f>
        <v>Please select ERROR CODE column "I"</v>
      </c>
      <c r="M579" s="209"/>
      <c r="N579" s="209"/>
      <c r="O579" s="209"/>
      <c r="P579" s="209"/>
      <c r="Q579" s="209"/>
      <c r="R579" s="217"/>
      <c r="S579" s="217"/>
      <c r="T579" s="217"/>
      <c r="U579" s="199"/>
      <c r="V579" s="200"/>
      <c r="W579" s="200"/>
      <c r="X579" s="200"/>
      <c r="Y579" s="200"/>
      <c r="Z579" s="200"/>
      <c r="AA579" s="201"/>
      <c r="AB579" s="200"/>
      <c r="AC579" s="200"/>
    </row>
    <row r="580" ht="15.0" customHeight="1">
      <c r="A580" s="210">
        <f t="shared" si="1"/>
        <v>578</v>
      </c>
      <c r="B580" s="217"/>
      <c r="C580" s="217" t="str">
        <f>IFERROR(VLOOKUP(B580, SourceData!$U$3:$V$190, 2, FALSE), "")</f>
        <v/>
      </c>
      <c r="D580" s="240"/>
      <c r="E580" s="241"/>
      <c r="F580" s="248"/>
      <c r="G580" s="207"/>
      <c r="H580" s="209"/>
      <c r="I580" s="209"/>
      <c r="J580" s="209"/>
      <c r="K580" s="208" t="str">
        <f>IF(Errors!$I580=0,SourceData!$B$42,VLOOKUP(Errors!$I580,SourceData!$A$2:$B$40,2,FALSE))</f>
        <v>Please select ERROR CODE column "I"</v>
      </c>
      <c r="L580" s="207" t="str">
        <f>IF(Errors!$I580=0,
    'List of Error Codes'!$E$29,
    IFERROR(VLOOKUP(Errors!$I580, 'List of Error Codes'!D579:I609, 6, FALSE), 'List of Error Codes'!$E$29)
)</f>
        <v>Please select ERROR CODE column "I"</v>
      </c>
      <c r="M580" s="209"/>
      <c r="N580" s="209"/>
      <c r="O580" s="209"/>
      <c r="P580" s="209"/>
      <c r="Q580" s="209"/>
      <c r="R580" s="217"/>
      <c r="S580" s="217"/>
      <c r="T580" s="217"/>
      <c r="U580" s="199"/>
      <c r="V580" s="200"/>
      <c r="W580" s="200"/>
      <c r="X580" s="200"/>
      <c r="Y580" s="200"/>
      <c r="Z580" s="200"/>
      <c r="AA580" s="201"/>
      <c r="AB580" s="200"/>
      <c r="AC580" s="200"/>
    </row>
    <row r="581" ht="15.0" customHeight="1">
      <c r="A581" s="210">
        <f t="shared" si="1"/>
        <v>579</v>
      </c>
      <c r="B581" s="217"/>
      <c r="C581" s="217" t="str">
        <f>IFERROR(VLOOKUP(B581, SourceData!$U$3:$V$190, 2, FALSE), "")</f>
        <v/>
      </c>
      <c r="D581" s="240"/>
      <c r="E581" s="241"/>
      <c r="F581" s="248"/>
      <c r="G581" s="207"/>
      <c r="H581" s="209"/>
      <c r="I581" s="209"/>
      <c r="J581" s="209"/>
      <c r="K581" s="208" t="str">
        <f>IF(Errors!$I581=0,SourceData!$B$42,VLOOKUP(Errors!$I581,SourceData!$A$2:$B$40,2,FALSE))</f>
        <v>Please select ERROR CODE column "I"</v>
      </c>
      <c r="L581" s="207" t="str">
        <f>IF(Errors!$I581=0,
    'List of Error Codes'!$E$29,
    IFERROR(VLOOKUP(Errors!$I581, 'List of Error Codes'!D580:I610, 6, FALSE), 'List of Error Codes'!$E$29)
)</f>
        <v>Please select ERROR CODE column "I"</v>
      </c>
      <c r="M581" s="209"/>
      <c r="N581" s="209"/>
      <c r="O581" s="209"/>
      <c r="P581" s="209"/>
      <c r="Q581" s="209"/>
      <c r="R581" s="217"/>
      <c r="S581" s="217"/>
      <c r="T581" s="217"/>
      <c r="U581" s="199"/>
      <c r="V581" s="200"/>
      <c r="W581" s="200"/>
      <c r="X581" s="200"/>
      <c r="Y581" s="200"/>
      <c r="Z581" s="200"/>
      <c r="AA581" s="201"/>
      <c r="AB581" s="200"/>
      <c r="AC581" s="200"/>
    </row>
    <row r="582" ht="15.0" customHeight="1">
      <c r="A582" s="210">
        <f t="shared" si="1"/>
        <v>580</v>
      </c>
      <c r="B582" s="217"/>
      <c r="C582" s="217" t="str">
        <f>IFERROR(VLOOKUP(B582, SourceData!$U$3:$V$190, 2, FALSE), "")</f>
        <v/>
      </c>
      <c r="D582" s="240"/>
      <c r="E582" s="241"/>
      <c r="F582" s="248"/>
      <c r="G582" s="207"/>
      <c r="H582" s="209"/>
      <c r="I582" s="209"/>
      <c r="J582" s="209"/>
      <c r="K582" s="208" t="str">
        <f>IF(Errors!$I582=0,SourceData!$B$42,VLOOKUP(Errors!$I582,SourceData!$A$2:$B$40,2,FALSE))</f>
        <v>Please select ERROR CODE column "I"</v>
      </c>
      <c r="L582" s="207" t="str">
        <f>IF(Errors!$I582=0,
    'List of Error Codes'!$E$29,
    IFERROR(VLOOKUP(Errors!$I582, 'List of Error Codes'!D581:I611, 6, FALSE), 'List of Error Codes'!$E$29)
)</f>
        <v>Please select ERROR CODE column "I"</v>
      </c>
      <c r="M582" s="209"/>
      <c r="N582" s="209"/>
      <c r="O582" s="209"/>
      <c r="P582" s="209"/>
      <c r="Q582" s="209"/>
      <c r="R582" s="217"/>
      <c r="S582" s="217"/>
      <c r="T582" s="217"/>
      <c r="U582" s="199"/>
      <c r="V582" s="200"/>
      <c r="W582" s="200"/>
      <c r="X582" s="200"/>
      <c r="Y582" s="200"/>
      <c r="Z582" s="200"/>
      <c r="AA582" s="201"/>
      <c r="AB582" s="200"/>
      <c r="AC582" s="200"/>
    </row>
    <row r="583" ht="15.0" customHeight="1">
      <c r="A583" s="210">
        <f t="shared" si="1"/>
        <v>581</v>
      </c>
      <c r="B583" s="217"/>
      <c r="C583" s="217" t="str">
        <f>IFERROR(VLOOKUP(B583, SourceData!$U$3:$V$190, 2, FALSE), "")</f>
        <v/>
      </c>
      <c r="D583" s="240"/>
      <c r="E583" s="241"/>
      <c r="F583" s="248"/>
      <c r="G583" s="207"/>
      <c r="H583" s="209"/>
      <c r="I583" s="209"/>
      <c r="J583" s="209"/>
      <c r="K583" s="208" t="str">
        <f>IF(Errors!$I583=0,SourceData!$B$42,VLOOKUP(Errors!$I583,SourceData!$A$2:$B$40,2,FALSE))</f>
        <v>Please select ERROR CODE column "I"</v>
      </c>
      <c r="L583" s="207" t="str">
        <f>IF(Errors!$I583=0,
    'List of Error Codes'!$E$29,
    IFERROR(VLOOKUP(Errors!$I583, 'List of Error Codes'!D582:I612, 6, FALSE), 'List of Error Codes'!$E$29)
)</f>
        <v>Please select ERROR CODE column "I"</v>
      </c>
      <c r="M583" s="209"/>
      <c r="N583" s="209"/>
      <c r="O583" s="209"/>
      <c r="P583" s="209"/>
      <c r="Q583" s="209"/>
      <c r="R583" s="217"/>
      <c r="S583" s="217"/>
      <c r="T583" s="217"/>
      <c r="U583" s="199"/>
      <c r="V583" s="200"/>
      <c r="W583" s="200"/>
      <c r="X583" s="200"/>
      <c r="Y583" s="200"/>
      <c r="Z583" s="200"/>
      <c r="AA583" s="201"/>
      <c r="AB583" s="200"/>
      <c r="AC583" s="200"/>
    </row>
    <row r="584" ht="15.0" customHeight="1">
      <c r="A584" s="210">
        <f t="shared" si="1"/>
        <v>582</v>
      </c>
      <c r="B584" s="217"/>
      <c r="C584" s="217" t="str">
        <f>IFERROR(VLOOKUP(B584, SourceData!$U$3:$V$190, 2, FALSE), "")</f>
        <v/>
      </c>
      <c r="D584" s="240"/>
      <c r="E584" s="241"/>
      <c r="F584" s="248"/>
      <c r="G584" s="207"/>
      <c r="H584" s="209"/>
      <c r="I584" s="209"/>
      <c r="J584" s="209"/>
      <c r="K584" s="208" t="str">
        <f>IF(Errors!$I584=0,SourceData!$B$42,VLOOKUP(Errors!$I584,SourceData!$A$2:$B$40,2,FALSE))</f>
        <v>Please select ERROR CODE column "I"</v>
      </c>
      <c r="L584" s="207" t="str">
        <f>IF(Errors!$I584=0,
    'List of Error Codes'!$E$29,
    IFERROR(VLOOKUP(Errors!$I584, 'List of Error Codes'!D583:I613, 6, FALSE), 'List of Error Codes'!$E$29)
)</f>
        <v>Please select ERROR CODE column "I"</v>
      </c>
      <c r="M584" s="209"/>
      <c r="N584" s="209"/>
      <c r="O584" s="209"/>
      <c r="P584" s="209"/>
      <c r="Q584" s="209"/>
      <c r="R584" s="217"/>
      <c r="S584" s="217"/>
      <c r="T584" s="217"/>
      <c r="U584" s="199"/>
      <c r="V584" s="200"/>
      <c r="W584" s="200"/>
      <c r="X584" s="200"/>
      <c r="Y584" s="200"/>
      <c r="Z584" s="200"/>
      <c r="AA584" s="201"/>
      <c r="AB584" s="200"/>
      <c r="AC584" s="200"/>
    </row>
    <row r="585" ht="15.0" customHeight="1">
      <c r="A585" s="210">
        <f t="shared" si="1"/>
        <v>583</v>
      </c>
      <c r="B585" s="217"/>
      <c r="C585" s="217" t="str">
        <f>IFERROR(VLOOKUP(B585, SourceData!$U$3:$V$190, 2, FALSE), "")</f>
        <v/>
      </c>
      <c r="D585" s="240"/>
      <c r="E585" s="241"/>
      <c r="F585" s="248"/>
      <c r="G585" s="207"/>
      <c r="H585" s="209"/>
      <c r="I585" s="209"/>
      <c r="J585" s="209"/>
      <c r="K585" s="208" t="str">
        <f>IF(Errors!$I585=0,SourceData!$B$42,VLOOKUP(Errors!$I585,SourceData!$A$2:$B$40,2,FALSE))</f>
        <v>Please select ERROR CODE column "I"</v>
      </c>
      <c r="L585" s="207" t="str">
        <f>IF(Errors!$I585=0,
    'List of Error Codes'!$E$29,
    IFERROR(VLOOKUP(Errors!$I585, 'List of Error Codes'!D584:I614, 6, FALSE), 'List of Error Codes'!$E$29)
)</f>
        <v>Please select ERROR CODE column "I"</v>
      </c>
      <c r="M585" s="209"/>
      <c r="N585" s="209"/>
      <c r="O585" s="209"/>
      <c r="P585" s="209"/>
      <c r="Q585" s="209"/>
      <c r="R585" s="217"/>
      <c r="S585" s="217"/>
      <c r="T585" s="217"/>
      <c r="U585" s="199"/>
      <c r="V585" s="200"/>
      <c r="W585" s="200"/>
      <c r="X585" s="200"/>
      <c r="Y585" s="200"/>
      <c r="Z585" s="200"/>
      <c r="AA585" s="201"/>
      <c r="AB585" s="200"/>
      <c r="AC585" s="200"/>
    </row>
    <row r="586" ht="15.0" customHeight="1">
      <c r="A586" s="210">
        <f t="shared" si="1"/>
        <v>584</v>
      </c>
      <c r="B586" s="217"/>
      <c r="C586" s="217" t="str">
        <f>IFERROR(VLOOKUP(B586, SourceData!$U$3:$V$190, 2, FALSE), "")</f>
        <v/>
      </c>
      <c r="D586" s="240"/>
      <c r="E586" s="241"/>
      <c r="F586" s="248"/>
      <c r="G586" s="207"/>
      <c r="H586" s="209"/>
      <c r="I586" s="209"/>
      <c r="J586" s="209"/>
      <c r="K586" s="208" t="str">
        <f>IF(Errors!$I586=0,SourceData!$B$42,VLOOKUP(Errors!$I586,SourceData!$A$2:$B$40,2,FALSE))</f>
        <v>Please select ERROR CODE column "I"</v>
      </c>
      <c r="L586" s="207" t="str">
        <f>IF(Errors!$I586=0,
    'List of Error Codes'!$E$29,
    IFERROR(VLOOKUP(Errors!$I586, 'List of Error Codes'!D585:I615, 6, FALSE), 'List of Error Codes'!$E$29)
)</f>
        <v>Please select ERROR CODE column "I"</v>
      </c>
      <c r="M586" s="209"/>
      <c r="N586" s="209"/>
      <c r="O586" s="209"/>
      <c r="P586" s="209"/>
      <c r="Q586" s="209"/>
      <c r="R586" s="217"/>
      <c r="S586" s="217"/>
      <c r="T586" s="217"/>
      <c r="U586" s="199"/>
      <c r="V586" s="200"/>
      <c r="W586" s="200"/>
      <c r="X586" s="200"/>
      <c r="Y586" s="200"/>
      <c r="Z586" s="200"/>
      <c r="AA586" s="201"/>
      <c r="AB586" s="200"/>
      <c r="AC586" s="200"/>
    </row>
    <row r="587" ht="15.0" customHeight="1">
      <c r="A587" s="210">
        <f t="shared" si="1"/>
        <v>585</v>
      </c>
      <c r="B587" s="217"/>
      <c r="C587" s="217" t="str">
        <f>IFERROR(VLOOKUP(B587, SourceData!$U$3:$V$190, 2, FALSE), "")</f>
        <v/>
      </c>
      <c r="D587" s="240"/>
      <c r="E587" s="241"/>
      <c r="F587" s="248"/>
      <c r="G587" s="207"/>
      <c r="H587" s="209"/>
      <c r="I587" s="209"/>
      <c r="J587" s="209"/>
      <c r="K587" s="208" t="str">
        <f>IF(Errors!$I587=0,SourceData!$B$42,VLOOKUP(Errors!$I587,SourceData!$A$2:$B$40,2,FALSE))</f>
        <v>Please select ERROR CODE column "I"</v>
      </c>
      <c r="L587" s="207" t="str">
        <f>IF(Errors!$I587=0,
    'List of Error Codes'!$E$29,
    IFERROR(VLOOKUP(Errors!$I587, 'List of Error Codes'!D586:I616, 6, FALSE), 'List of Error Codes'!$E$29)
)</f>
        <v>Please select ERROR CODE column "I"</v>
      </c>
      <c r="M587" s="209"/>
      <c r="N587" s="209"/>
      <c r="O587" s="209"/>
      <c r="P587" s="209"/>
      <c r="Q587" s="209"/>
      <c r="R587" s="217"/>
      <c r="S587" s="217"/>
      <c r="T587" s="217"/>
      <c r="U587" s="199"/>
      <c r="V587" s="200"/>
      <c r="W587" s="200"/>
      <c r="X587" s="200"/>
      <c r="Y587" s="200"/>
      <c r="Z587" s="200"/>
      <c r="AA587" s="201"/>
      <c r="AB587" s="200"/>
      <c r="AC587" s="200"/>
    </row>
    <row r="588" ht="15.0" customHeight="1">
      <c r="A588" s="210">
        <f t="shared" si="1"/>
        <v>586</v>
      </c>
      <c r="B588" s="217"/>
      <c r="C588" s="217" t="str">
        <f>IFERROR(VLOOKUP(B588, SourceData!$U$3:$V$190, 2, FALSE), "")</f>
        <v/>
      </c>
      <c r="D588" s="240"/>
      <c r="E588" s="241"/>
      <c r="F588" s="248"/>
      <c r="G588" s="207"/>
      <c r="H588" s="209"/>
      <c r="I588" s="209"/>
      <c r="J588" s="209"/>
      <c r="K588" s="208" t="str">
        <f>IF(Errors!$I588=0,SourceData!$B$42,VLOOKUP(Errors!$I588,SourceData!$A$2:$B$40,2,FALSE))</f>
        <v>Please select ERROR CODE column "I"</v>
      </c>
      <c r="L588" s="207" t="str">
        <f>IF(Errors!$I588=0,
    'List of Error Codes'!$E$29,
    IFERROR(VLOOKUP(Errors!$I588, 'List of Error Codes'!D587:I617, 6, FALSE), 'List of Error Codes'!$E$29)
)</f>
        <v>Please select ERROR CODE column "I"</v>
      </c>
      <c r="M588" s="209"/>
      <c r="N588" s="209"/>
      <c r="O588" s="209"/>
      <c r="P588" s="209"/>
      <c r="Q588" s="209"/>
      <c r="R588" s="217"/>
      <c r="S588" s="217"/>
      <c r="T588" s="217"/>
      <c r="U588" s="199"/>
      <c r="V588" s="200"/>
      <c r="W588" s="200"/>
      <c r="X588" s="200"/>
      <c r="Y588" s="200"/>
      <c r="Z588" s="200"/>
      <c r="AA588" s="201"/>
      <c r="AB588" s="200"/>
      <c r="AC588" s="200"/>
    </row>
    <row r="589" ht="15.0" customHeight="1">
      <c r="A589" s="210">
        <f t="shared" si="1"/>
        <v>587</v>
      </c>
      <c r="B589" s="217"/>
      <c r="C589" s="217" t="str">
        <f>IFERROR(VLOOKUP(B589, SourceData!$U$3:$V$190, 2, FALSE), "")</f>
        <v/>
      </c>
      <c r="D589" s="240"/>
      <c r="E589" s="241"/>
      <c r="F589" s="248"/>
      <c r="G589" s="207"/>
      <c r="H589" s="209"/>
      <c r="I589" s="209"/>
      <c r="J589" s="209"/>
      <c r="K589" s="208" t="str">
        <f>IF(Errors!$I589=0,SourceData!$B$42,VLOOKUP(Errors!$I589,SourceData!$A$2:$B$40,2,FALSE))</f>
        <v>Please select ERROR CODE column "I"</v>
      </c>
      <c r="L589" s="207" t="str">
        <f>IF(Errors!$I589=0,
    'List of Error Codes'!$E$29,
    IFERROR(VLOOKUP(Errors!$I589, 'List of Error Codes'!D588:I618, 6, FALSE), 'List of Error Codes'!$E$29)
)</f>
        <v>Please select ERROR CODE column "I"</v>
      </c>
      <c r="M589" s="209"/>
      <c r="N589" s="209"/>
      <c r="O589" s="209"/>
      <c r="P589" s="209"/>
      <c r="Q589" s="209"/>
      <c r="R589" s="217"/>
      <c r="S589" s="217"/>
      <c r="T589" s="217"/>
      <c r="U589" s="199"/>
      <c r="V589" s="200"/>
      <c r="W589" s="200"/>
      <c r="X589" s="200"/>
      <c r="Y589" s="200"/>
      <c r="Z589" s="200"/>
      <c r="AA589" s="201"/>
      <c r="AB589" s="200"/>
      <c r="AC589" s="200"/>
    </row>
    <row r="590" ht="15.0" customHeight="1">
      <c r="A590" s="210">
        <f t="shared" si="1"/>
        <v>588</v>
      </c>
      <c r="B590" s="217"/>
      <c r="C590" s="217" t="str">
        <f>IFERROR(VLOOKUP(B590, SourceData!$U$3:$V$190, 2, FALSE), "")</f>
        <v/>
      </c>
      <c r="D590" s="240"/>
      <c r="E590" s="241"/>
      <c r="F590" s="248"/>
      <c r="G590" s="207"/>
      <c r="H590" s="209"/>
      <c r="I590" s="209"/>
      <c r="J590" s="209"/>
      <c r="K590" s="208" t="str">
        <f>IF(Errors!$I590=0,SourceData!$B$42,VLOOKUP(Errors!$I590,SourceData!$A$2:$B$40,2,FALSE))</f>
        <v>Please select ERROR CODE column "I"</v>
      </c>
      <c r="L590" s="207" t="str">
        <f>IF(Errors!$I590=0,
    'List of Error Codes'!$E$29,
    IFERROR(VLOOKUP(Errors!$I590, 'List of Error Codes'!D589:I619, 6, FALSE), 'List of Error Codes'!$E$29)
)</f>
        <v>Please select ERROR CODE column "I"</v>
      </c>
      <c r="M590" s="209"/>
      <c r="N590" s="209"/>
      <c r="O590" s="209"/>
      <c r="P590" s="209"/>
      <c r="Q590" s="209"/>
      <c r="R590" s="217"/>
      <c r="S590" s="217"/>
      <c r="T590" s="217"/>
      <c r="U590" s="199"/>
      <c r="V590" s="200"/>
      <c r="W590" s="200"/>
      <c r="X590" s="200"/>
      <c r="Y590" s="200"/>
      <c r="Z590" s="200"/>
      <c r="AA590" s="201"/>
      <c r="AB590" s="200"/>
      <c r="AC590" s="200"/>
    </row>
    <row r="591" ht="15.0" customHeight="1">
      <c r="A591" s="210">
        <f t="shared" si="1"/>
        <v>589</v>
      </c>
      <c r="B591" s="217"/>
      <c r="C591" s="217" t="str">
        <f>IFERROR(VLOOKUP(B591, SourceData!$U$3:$V$190, 2, FALSE), "")</f>
        <v/>
      </c>
      <c r="D591" s="240"/>
      <c r="E591" s="241"/>
      <c r="F591" s="248"/>
      <c r="G591" s="207"/>
      <c r="H591" s="209"/>
      <c r="I591" s="209"/>
      <c r="J591" s="209"/>
      <c r="K591" s="208" t="str">
        <f>IF(Errors!$I591=0,SourceData!$B$42,VLOOKUP(Errors!$I591,SourceData!$A$2:$B$40,2,FALSE))</f>
        <v>Please select ERROR CODE column "I"</v>
      </c>
      <c r="L591" s="207" t="str">
        <f>IF(Errors!$I591=0,
    'List of Error Codes'!$E$29,
    IFERROR(VLOOKUP(Errors!$I591, 'List of Error Codes'!D590:I620, 6, FALSE), 'List of Error Codes'!$E$29)
)</f>
        <v>Please select ERROR CODE column "I"</v>
      </c>
      <c r="M591" s="209"/>
      <c r="N591" s="209"/>
      <c r="O591" s="209"/>
      <c r="P591" s="209"/>
      <c r="Q591" s="209"/>
      <c r="R591" s="217"/>
      <c r="S591" s="217"/>
      <c r="T591" s="217"/>
      <c r="U591" s="199"/>
      <c r="V591" s="200"/>
      <c r="W591" s="200"/>
      <c r="X591" s="200"/>
      <c r="Y591" s="200"/>
      <c r="Z591" s="200"/>
      <c r="AA591" s="201"/>
      <c r="AB591" s="200"/>
      <c r="AC591" s="200"/>
    </row>
    <row r="592" ht="15.0" customHeight="1">
      <c r="A592" s="210">
        <f t="shared" si="1"/>
        <v>590</v>
      </c>
      <c r="B592" s="217"/>
      <c r="C592" s="217" t="str">
        <f>IFERROR(VLOOKUP(B592, SourceData!$U$3:$V$190, 2, FALSE), "")</f>
        <v/>
      </c>
      <c r="D592" s="240"/>
      <c r="E592" s="241"/>
      <c r="F592" s="248"/>
      <c r="G592" s="207"/>
      <c r="H592" s="209"/>
      <c r="I592" s="209"/>
      <c r="J592" s="209"/>
      <c r="K592" s="208" t="str">
        <f>IF(Errors!$I592=0,SourceData!$B$42,VLOOKUP(Errors!$I592,SourceData!$A$2:$B$40,2,FALSE))</f>
        <v>Please select ERROR CODE column "I"</v>
      </c>
      <c r="L592" s="207" t="str">
        <f>IF(Errors!$I592=0,
    'List of Error Codes'!$E$29,
    IFERROR(VLOOKUP(Errors!$I592, 'List of Error Codes'!D591:I621, 6, FALSE), 'List of Error Codes'!$E$29)
)</f>
        <v>Please select ERROR CODE column "I"</v>
      </c>
      <c r="M592" s="209"/>
      <c r="N592" s="209"/>
      <c r="O592" s="209"/>
      <c r="P592" s="209"/>
      <c r="Q592" s="209"/>
      <c r="R592" s="217"/>
      <c r="S592" s="217"/>
      <c r="T592" s="217"/>
      <c r="U592" s="199"/>
      <c r="V592" s="200"/>
      <c r="W592" s="200"/>
      <c r="X592" s="200"/>
      <c r="Y592" s="200"/>
      <c r="Z592" s="200"/>
      <c r="AA592" s="201"/>
      <c r="AB592" s="200"/>
      <c r="AC592" s="200"/>
    </row>
    <row r="593" ht="15.0" customHeight="1">
      <c r="A593" s="210">
        <f t="shared" si="1"/>
        <v>591</v>
      </c>
      <c r="B593" s="217"/>
      <c r="C593" s="217" t="str">
        <f>IFERROR(VLOOKUP(B593, SourceData!$U$3:$V$190, 2, FALSE), "")</f>
        <v/>
      </c>
      <c r="D593" s="240"/>
      <c r="E593" s="241"/>
      <c r="F593" s="248"/>
      <c r="G593" s="207"/>
      <c r="H593" s="209"/>
      <c r="I593" s="209"/>
      <c r="J593" s="209"/>
      <c r="K593" s="208" t="str">
        <f>IF(Errors!$I593=0,SourceData!$B$42,VLOOKUP(Errors!$I593,SourceData!$A$2:$B$40,2,FALSE))</f>
        <v>Please select ERROR CODE column "I"</v>
      </c>
      <c r="L593" s="207" t="str">
        <f>IF(Errors!$I593=0,
    'List of Error Codes'!$E$29,
    IFERROR(VLOOKUP(Errors!$I593, 'List of Error Codes'!D592:I622, 6, FALSE), 'List of Error Codes'!$E$29)
)</f>
        <v>Please select ERROR CODE column "I"</v>
      </c>
      <c r="M593" s="209"/>
      <c r="N593" s="209"/>
      <c r="O593" s="209"/>
      <c r="P593" s="209"/>
      <c r="Q593" s="209"/>
      <c r="R593" s="217"/>
      <c r="S593" s="217"/>
      <c r="T593" s="217"/>
      <c r="U593" s="199"/>
      <c r="V593" s="200"/>
      <c r="W593" s="200"/>
      <c r="X593" s="200"/>
      <c r="Y593" s="200"/>
      <c r="Z593" s="200"/>
      <c r="AA593" s="201"/>
      <c r="AB593" s="200"/>
      <c r="AC593" s="200"/>
    </row>
    <row r="594" ht="15.0" customHeight="1">
      <c r="A594" s="210">
        <f t="shared" si="1"/>
        <v>592</v>
      </c>
      <c r="B594" s="217"/>
      <c r="C594" s="217" t="str">
        <f>IFERROR(VLOOKUP(B594, SourceData!$U$3:$V$190, 2, FALSE), "")</f>
        <v/>
      </c>
      <c r="D594" s="240"/>
      <c r="E594" s="241"/>
      <c r="F594" s="248"/>
      <c r="G594" s="207"/>
      <c r="H594" s="209"/>
      <c r="I594" s="209"/>
      <c r="J594" s="209"/>
      <c r="K594" s="208" t="str">
        <f>IF(Errors!$I594=0,SourceData!$B$42,VLOOKUP(Errors!$I594,SourceData!$A$2:$B$40,2,FALSE))</f>
        <v>Please select ERROR CODE column "I"</v>
      </c>
      <c r="L594" s="207" t="str">
        <f>IF(Errors!$I594=0,
    'List of Error Codes'!$E$29,
    IFERROR(VLOOKUP(Errors!$I594, 'List of Error Codes'!D593:I623, 6, FALSE), 'List of Error Codes'!$E$29)
)</f>
        <v>Please select ERROR CODE column "I"</v>
      </c>
      <c r="M594" s="209"/>
      <c r="N594" s="209"/>
      <c r="O594" s="209"/>
      <c r="P594" s="209"/>
      <c r="Q594" s="209"/>
      <c r="R594" s="217"/>
      <c r="S594" s="217"/>
      <c r="T594" s="217"/>
      <c r="U594" s="199"/>
      <c r="V594" s="200"/>
      <c r="W594" s="200"/>
      <c r="X594" s="200"/>
      <c r="Y594" s="200"/>
      <c r="Z594" s="200"/>
      <c r="AA594" s="201"/>
      <c r="AB594" s="200"/>
      <c r="AC594" s="200"/>
    </row>
    <row r="595" ht="15.0" customHeight="1">
      <c r="A595" s="210">
        <f t="shared" si="1"/>
        <v>593</v>
      </c>
      <c r="B595" s="217"/>
      <c r="C595" s="217" t="str">
        <f>IFERROR(VLOOKUP(B595, SourceData!$U$3:$V$190, 2, FALSE), "")</f>
        <v/>
      </c>
      <c r="D595" s="240"/>
      <c r="E595" s="241"/>
      <c r="F595" s="248"/>
      <c r="G595" s="207"/>
      <c r="H595" s="209"/>
      <c r="I595" s="209"/>
      <c r="J595" s="209"/>
      <c r="K595" s="208" t="str">
        <f>IF(Errors!$I595=0,SourceData!$B$42,VLOOKUP(Errors!$I595,SourceData!$A$2:$B$40,2,FALSE))</f>
        <v>Please select ERROR CODE column "I"</v>
      </c>
      <c r="L595" s="207" t="str">
        <f>IF(Errors!$I595=0,
    'List of Error Codes'!$E$29,
    IFERROR(VLOOKUP(Errors!$I595, 'List of Error Codes'!D594:I624, 6, FALSE), 'List of Error Codes'!$E$29)
)</f>
        <v>Please select ERROR CODE column "I"</v>
      </c>
      <c r="M595" s="209"/>
      <c r="N595" s="209"/>
      <c r="O595" s="209"/>
      <c r="P595" s="209"/>
      <c r="Q595" s="209"/>
      <c r="R595" s="217"/>
      <c r="S595" s="217"/>
      <c r="T595" s="217"/>
      <c r="U595" s="199"/>
      <c r="V595" s="200"/>
      <c r="W595" s="200"/>
      <c r="X595" s="200"/>
      <c r="Y595" s="200"/>
      <c r="Z595" s="200"/>
      <c r="AA595" s="201"/>
      <c r="AB595" s="200"/>
      <c r="AC595" s="200"/>
    </row>
    <row r="596" ht="15.0" customHeight="1">
      <c r="A596" s="210">
        <f t="shared" si="1"/>
        <v>594</v>
      </c>
      <c r="B596" s="217"/>
      <c r="C596" s="217" t="str">
        <f>IFERROR(VLOOKUP(B596, SourceData!$U$3:$V$190, 2, FALSE), "")</f>
        <v/>
      </c>
      <c r="D596" s="240"/>
      <c r="E596" s="241"/>
      <c r="F596" s="248"/>
      <c r="G596" s="207"/>
      <c r="H596" s="209"/>
      <c r="I596" s="209"/>
      <c r="J596" s="209"/>
      <c r="K596" s="208" t="str">
        <f>IF(Errors!$I596=0,SourceData!$B$42,VLOOKUP(Errors!$I596,SourceData!$A$2:$B$40,2,FALSE))</f>
        <v>Please select ERROR CODE column "I"</v>
      </c>
      <c r="L596" s="207" t="str">
        <f>IF(Errors!$I596=0,
    'List of Error Codes'!$E$29,
    IFERROR(VLOOKUP(Errors!$I596, 'List of Error Codes'!D595:I625, 6, FALSE), 'List of Error Codes'!$E$29)
)</f>
        <v>Please select ERROR CODE column "I"</v>
      </c>
      <c r="M596" s="209"/>
      <c r="N596" s="209"/>
      <c r="O596" s="209"/>
      <c r="P596" s="209"/>
      <c r="Q596" s="209"/>
      <c r="R596" s="217"/>
      <c r="S596" s="217"/>
      <c r="T596" s="217"/>
      <c r="U596" s="199"/>
      <c r="V596" s="200"/>
      <c r="W596" s="200"/>
      <c r="X596" s="200"/>
      <c r="Y596" s="200"/>
      <c r="Z596" s="200"/>
      <c r="AA596" s="201"/>
      <c r="AB596" s="200"/>
      <c r="AC596" s="200"/>
    </row>
    <row r="597" ht="15.0" customHeight="1">
      <c r="A597" s="210">
        <f t="shared" si="1"/>
        <v>595</v>
      </c>
      <c r="B597" s="217"/>
      <c r="C597" s="217" t="str">
        <f>IFERROR(VLOOKUP(B597, SourceData!$U$3:$V$190, 2, FALSE), "")</f>
        <v/>
      </c>
      <c r="D597" s="240"/>
      <c r="E597" s="241"/>
      <c r="F597" s="248"/>
      <c r="G597" s="207"/>
      <c r="H597" s="209"/>
      <c r="I597" s="209"/>
      <c r="J597" s="209"/>
      <c r="K597" s="208" t="str">
        <f>IF(Errors!$I597=0,SourceData!$B$42,VLOOKUP(Errors!$I597,SourceData!$A$2:$B$40,2,FALSE))</f>
        <v>Please select ERROR CODE column "I"</v>
      </c>
      <c r="L597" s="207" t="str">
        <f>IF(Errors!$I597=0,
    'List of Error Codes'!$E$29,
    IFERROR(VLOOKUP(Errors!$I597, 'List of Error Codes'!D596:I626, 6, FALSE), 'List of Error Codes'!$E$29)
)</f>
        <v>Please select ERROR CODE column "I"</v>
      </c>
      <c r="M597" s="209"/>
      <c r="N597" s="209"/>
      <c r="O597" s="209"/>
      <c r="P597" s="209"/>
      <c r="Q597" s="209"/>
      <c r="R597" s="217"/>
      <c r="S597" s="217"/>
      <c r="T597" s="217"/>
      <c r="U597" s="199"/>
      <c r="V597" s="200"/>
      <c r="W597" s="200"/>
      <c r="X597" s="200"/>
      <c r="Y597" s="200"/>
      <c r="Z597" s="200"/>
      <c r="AA597" s="201"/>
      <c r="AB597" s="200"/>
      <c r="AC597" s="200"/>
    </row>
    <row r="598" ht="15.0" customHeight="1">
      <c r="A598" s="210">
        <f t="shared" si="1"/>
        <v>596</v>
      </c>
      <c r="B598" s="217"/>
      <c r="C598" s="217" t="str">
        <f>IFERROR(VLOOKUP(B598, SourceData!$U$3:$V$190, 2, FALSE), "")</f>
        <v/>
      </c>
      <c r="D598" s="240"/>
      <c r="E598" s="241"/>
      <c r="F598" s="248"/>
      <c r="G598" s="207"/>
      <c r="H598" s="209"/>
      <c r="I598" s="209"/>
      <c r="J598" s="209"/>
      <c r="K598" s="208" t="str">
        <f>IF(Errors!$I598=0,SourceData!$B$42,VLOOKUP(Errors!$I598,SourceData!$A$2:$B$40,2,FALSE))</f>
        <v>Please select ERROR CODE column "I"</v>
      </c>
      <c r="L598" s="207" t="str">
        <f>IF(Errors!$I598=0,
    'List of Error Codes'!$E$29,
    IFERROR(VLOOKUP(Errors!$I598, 'List of Error Codes'!D597:I627, 6, FALSE), 'List of Error Codes'!$E$29)
)</f>
        <v>Please select ERROR CODE column "I"</v>
      </c>
      <c r="M598" s="209"/>
      <c r="N598" s="209"/>
      <c r="O598" s="209"/>
      <c r="P598" s="209"/>
      <c r="Q598" s="209"/>
      <c r="R598" s="217"/>
      <c r="S598" s="217"/>
      <c r="T598" s="217"/>
      <c r="U598" s="199"/>
      <c r="V598" s="200"/>
      <c r="W598" s="200"/>
      <c r="X598" s="200"/>
      <c r="Y598" s="200"/>
      <c r="Z598" s="200"/>
      <c r="AA598" s="201"/>
      <c r="AB598" s="200"/>
      <c r="AC598" s="200"/>
    </row>
    <row r="599" ht="15.0" customHeight="1">
      <c r="A599" s="210">
        <f t="shared" si="1"/>
        <v>597</v>
      </c>
      <c r="B599" s="217"/>
      <c r="C599" s="217" t="str">
        <f>IFERROR(VLOOKUP(B599, SourceData!$U$3:$V$190, 2, FALSE), "")</f>
        <v/>
      </c>
      <c r="D599" s="240"/>
      <c r="E599" s="241"/>
      <c r="F599" s="248"/>
      <c r="G599" s="207"/>
      <c r="H599" s="209"/>
      <c r="I599" s="209"/>
      <c r="J599" s="209"/>
      <c r="K599" s="208" t="str">
        <f>IF(Errors!$I599=0,SourceData!$B$42,VLOOKUP(Errors!$I599,SourceData!$A$2:$B$40,2,FALSE))</f>
        <v>Please select ERROR CODE column "I"</v>
      </c>
      <c r="L599" s="207" t="str">
        <f>IF(Errors!$I599=0,
    'List of Error Codes'!$E$29,
    IFERROR(VLOOKUP(Errors!$I599, 'List of Error Codes'!D598:I628, 6, FALSE), 'List of Error Codes'!$E$29)
)</f>
        <v>Please select ERROR CODE column "I"</v>
      </c>
      <c r="M599" s="209"/>
      <c r="N599" s="209"/>
      <c r="O599" s="209"/>
      <c r="P599" s="209"/>
      <c r="Q599" s="209"/>
      <c r="R599" s="217"/>
      <c r="S599" s="217"/>
      <c r="T599" s="217"/>
      <c r="U599" s="199"/>
      <c r="V599" s="200"/>
      <c r="W599" s="200"/>
      <c r="X599" s="200"/>
      <c r="Y599" s="200"/>
      <c r="Z599" s="200"/>
      <c r="AA599" s="201"/>
      <c r="AB599" s="200"/>
      <c r="AC599" s="200"/>
    </row>
    <row r="600" ht="15.0" customHeight="1">
      <c r="A600" s="210">
        <f t="shared" si="1"/>
        <v>598</v>
      </c>
      <c r="B600" s="217"/>
      <c r="C600" s="217" t="str">
        <f>IFERROR(VLOOKUP(B600, SourceData!$U$3:$V$190, 2, FALSE), "")</f>
        <v/>
      </c>
      <c r="D600" s="240"/>
      <c r="E600" s="241"/>
      <c r="F600" s="248"/>
      <c r="G600" s="207"/>
      <c r="H600" s="209"/>
      <c r="I600" s="209"/>
      <c r="J600" s="209"/>
      <c r="K600" s="208" t="str">
        <f>IF(Errors!$I600=0,SourceData!$B$42,VLOOKUP(Errors!$I600,SourceData!$A$2:$B$40,2,FALSE))</f>
        <v>Please select ERROR CODE column "I"</v>
      </c>
      <c r="L600" s="207" t="str">
        <f>IF(Errors!$I600=0,
    'List of Error Codes'!$E$29,
    IFERROR(VLOOKUP(Errors!$I600, 'List of Error Codes'!D599:I629, 6, FALSE), 'List of Error Codes'!$E$29)
)</f>
        <v>Please select ERROR CODE column "I"</v>
      </c>
      <c r="M600" s="209"/>
      <c r="N600" s="209"/>
      <c r="O600" s="209"/>
      <c r="P600" s="209"/>
      <c r="Q600" s="209"/>
      <c r="R600" s="217"/>
      <c r="S600" s="217"/>
      <c r="T600" s="217"/>
      <c r="U600" s="199"/>
      <c r="V600" s="200"/>
      <c r="W600" s="200"/>
      <c r="X600" s="200"/>
      <c r="Y600" s="200"/>
      <c r="Z600" s="200"/>
      <c r="AA600" s="201"/>
      <c r="AB600" s="200"/>
      <c r="AC600" s="200"/>
    </row>
    <row r="601" ht="15.0" customHeight="1">
      <c r="A601" s="210">
        <f t="shared" si="1"/>
        <v>599</v>
      </c>
      <c r="B601" s="217"/>
      <c r="C601" s="217" t="str">
        <f>IFERROR(VLOOKUP(B601, SourceData!$U$3:$V$190, 2, FALSE), "")</f>
        <v/>
      </c>
      <c r="D601" s="240"/>
      <c r="E601" s="241"/>
      <c r="F601" s="248"/>
      <c r="G601" s="207"/>
      <c r="H601" s="209"/>
      <c r="I601" s="209"/>
      <c r="J601" s="209"/>
      <c r="K601" s="208" t="str">
        <f>IF(Errors!$I601=0,SourceData!$B$42,VLOOKUP(Errors!$I601,SourceData!$A$2:$B$40,2,FALSE))</f>
        <v>Please select ERROR CODE column "I"</v>
      </c>
      <c r="L601" s="207" t="str">
        <f>IF(Errors!$I601=0,
    'List of Error Codes'!$E$29,
    IFERROR(VLOOKUP(Errors!$I601, 'List of Error Codes'!D600:I630, 6, FALSE), 'List of Error Codes'!$E$29)
)</f>
        <v>Please select ERROR CODE column "I"</v>
      </c>
      <c r="M601" s="209"/>
      <c r="N601" s="209"/>
      <c r="O601" s="209"/>
      <c r="P601" s="209"/>
      <c r="Q601" s="209"/>
      <c r="R601" s="217"/>
      <c r="S601" s="217"/>
      <c r="T601" s="217"/>
      <c r="U601" s="199"/>
      <c r="V601" s="200"/>
      <c r="W601" s="200"/>
      <c r="X601" s="200"/>
      <c r="Y601" s="200"/>
      <c r="Z601" s="200"/>
      <c r="AA601" s="201"/>
      <c r="AB601" s="200"/>
      <c r="AC601" s="200"/>
    </row>
    <row r="602" ht="15.0" customHeight="1">
      <c r="A602" s="210">
        <f t="shared" si="1"/>
        <v>600</v>
      </c>
      <c r="B602" s="217"/>
      <c r="C602" s="217" t="str">
        <f>IFERROR(VLOOKUP(B602, SourceData!$U$3:$V$190, 2, FALSE), "")</f>
        <v/>
      </c>
      <c r="D602" s="240"/>
      <c r="E602" s="241"/>
      <c r="F602" s="248"/>
      <c r="G602" s="207"/>
      <c r="H602" s="209"/>
      <c r="I602" s="209"/>
      <c r="J602" s="209"/>
      <c r="K602" s="208" t="str">
        <f>IF(Errors!$I602=0,SourceData!$B$42,VLOOKUP(Errors!$I602,SourceData!$A$2:$B$40,2,FALSE))</f>
        <v>Please select ERROR CODE column "I"</v>
      </c>
      <c r="L602" s="207" t="str">
        <f>IF(Errors!$I602=0,
    'List of Error Codes'!$E$29,
    IFERROR(VLOOKUP(Errors!$I602, 'List of Error Codes'!D601:I631, 6, FALSE), 'List of Error Codes'!$E$29)
)</f>
        <v>Please select ERROR CODE column "I"</v>
      </c>
      <c r="M602" s="209"/>
      <c r="N602" s="209"/>
      <c r="O602" s="209"/>
      <c r="P602" s="209"/>
      <c r="Q602" s="209"/>
      <c r="R602" s="217"/>
      <c r="S602" s="217"/>
      <c r="T602" s="217"/>
      <c r="U602" s="199"/>
      <c r="V602" s="200"/>
      <c r="W602" s="200"/>
      <c r="X602" s="200"/>
      <c r="Y602" s="200"/>
      <c r="Z602" s="200"/>
      <c r="AA602" s="201"/>
      <c r="AB602" s="200"/>
      <c r="AC602" s="200"/>
    </row>
    <row r="603" ht="15.0" customHeight="1">
      <c r="A603" s="210">
        <f t="shared" si="1"/>
        <v>601</v>
      </c>
      <c r="B603" s="217"/>
      <c r="C603" s="217" t="str">
        <f>IFERROR(VLOOKUP(B603, SourceData!$U$3:$V$190, 2, FALSE), "")</f>
        <v/>
      </c>
      <c r="D603" s="240"/>
      <c r="E603" s="241"/>
      <c r="F603" s="248"/>
      <c r="G603" s="207"/>
      <c r="H603" s="209"/>
      <c r="I603" s="209"/>
      <c r="J603" s="209"/>
      <c r="K603" s="208" t="str">
        <f>IF(Errors!$I603=0,SourceData!$B$42,VLOOKUP(Errors!$I603,SourceData!$A$2:$B$40,2,FALSE))</f>
        <v>Please select ERROR CODE column "I"</v>
      </c>
      <c r="L603" s="207" t="str">
        <f>IF(Errors!$I603=0,
    'List of Error Codes'!$E$29,
    IFERROR(VLOOKUP(Errors!$I603, 'List of Error Codes'!D602:I632, 6, FALSE), 'List of Error Codes'!$E$29)
)</f>
        <v>Please select ERROR CODE column "I"</v>
      </c>
      <c r="M603" s="209"/>
      <c r="N603" s="209"/>
      <c r="O603" s="209"/>
      <c r="P603" s="209"/>
      <c r="Q603" s="209"/>
      <c r="R603" s="217"/>
      <c r="S603" s="217"/>
      <c r="T603" s="217"/>
      <c r="U603" s="199"/>
      <c r="V603" s="200"/>
      <c r="W603" s="200"/>
      <c r="X603" s="200"/>
      <c r="Y603" s="200"/>
      <c r="Z603" s="200"/>
      <c r="AA603" s="201"/>
      <c r="AB603" s="200"/>
      <c r="AC603" s="200"/>
    </row>
    <row r="604" ht="15.0" customHeight="1">
      <c r="A604" s="210">
        <f t="shared" si="1"/>
        <v>602</v>
      </c>
      <c r="B604" s="217"/>
      <c r="C604" s="217" t="str">
        <f>IFERROR(VLOOKUP(B604, SourceData!$U$3:$V$190, 2, FALSE), "")</f>
        <v/>
      </c>
      <c r="D604" s="240"/>
      <c r="E604" s="241"/>
      <c r="F604" s="248"/>
      <c r="G604" s="207"/>
      <c r="H604" s="209"/>
      <c r="I604" s="209"/>
      <c r="J604" s="209"/>
      <c r="K604" s="208" t="str">
        <f>IF(Errors!$I604=0,SourceData!$B$42,VLOOKUP(Errors!$I604,SourceData!$A$2:$B$40,2,FALSE))</f>
        <v>Please select ERROR CODE column "I"</v>
      </c>
      <c r="L604" s="207" t="str">
        <f>IF(Errors!$I604=0,
    'List of Error Codes'!$E$29,
    IFERROR(VLOOKUP(Errors!$I604, 'List of Error Codes'!D603:I633, 6, FALSE), 'List of Error Codes'!$E$29)
)</f>
        <v>Please select ERROR CODE column "I"</v>
      </c>
      <c r="M604" s="209"/>
      <c r="N604" s="209"/>
      <c r="O604" s="209"/>
      <c r="P604" s="209"/>
      <c r="Q604" s="209"/>
      <c r="R604" s="217"/>
      <c r="S604" s="217"/>
      <c r="T604" s="217"/>
      <c r="U604" s="199"/>
      <c r="V604" s="200"/>
      <c r="W604" s="200"/>
      <c r="X604" s="200"/>
      <c r="Y604" s="200"/>
      <c r="Z604" s="200"/>
      <c r="AA604" s="201"/>
      <c r="AB604" s="200"/>
      <c r="AC604" s="200"/>
    </row>
    <row r="605" ht="15.0" customHeight="1">
      <c r="A605" s="210">
        <f t="shared" si="1"/>
        <v>603</v>
      </c>
      <c r="B605" s="217"/>
      <c r="C605" s="217" t="str">
        <f>IFERROR(VLOOKUP(B605, SourceData!$U$3:$V$190, 2, FALSE), "")</f>
        <v/>
      </c>
      <c r="D605" s="240"/>
      <c r="E605" s="241"/>
      <c r="F605" s="248"/>
      <c r="G605" s="207"/>
      <c r="H605" s="209"/>
      <c r="I605" s="209"/>
      <c r="J605" s="209"/>
      <c r="K605" s="208" t="str">
        <f>IF(Errors!$I605=0,SourceData!$B$42,VLOOKUP(Errors!$I605,SourceData!$A$2:$B$40,2,FALSE))</f>
        <v>Please select ERROR CODE column "I"</v>
      </c>
      <c r="L605" s="207" t="str">
        <f>IF(Errors!$I605=0,
    'List of Error Codes'!$E$29,
    IFERROR(VLOOKUP(Errors!$I605, 'List of Error Codes'!D604:I634, 6, FALSE), 'List of Error Codes'!$E$29)
)</f>
        <v>Please select ERROR CODE column "I"</v>
      </c>
      <c r="M605" s="209"/>
      <c r="N605" s="209"/>
      <c r="O605" s="209"/>
      <c r="P605" s="209"/>
      <c r="Q605" s="209"/>
      <c r="R605" s="217"/>
      <c r="S605" s="217"/>
      <c r="T605" s="217"/>
      <c r="U605" s="199"/>
      <c r="V605" s="200"/>
      <c r="W605" s="200"/>
      <c r="X605" s="200"/>
      <c r="Y605" s="200"/>
      <c r="Z605" s="200"/>
      <c r="AA605" s="201"/>
      <c r="AB605" s="200"/>
      <c r="AC605" s="200"/>
    </row>
    <row r="606" ht="15.0" customHeight="1">
      <c r="A606" s="210">
        <f t="shared" si="1"/>
        <v>604</v>
      </c>
      <c r="B606" s="217"/>
      <c r="C606" s="217" t="str">
        <f>IFERROR(VLOOKUP(B606, SourceData!$U$3:$V$190, 2, FALSE), "")</f>
        <v/>
      </c>
      <c r="D606" s="240"/>
      <c r="E606" s="241"/>
      <c r="F606" s="248"/>
      <c r="G606" s="207"/>
      <c r="H606" s="209"/>
      <c r="I606" s="209"/>
      <c r="J606" s="209"/>
      <c r="K606" s="208" t="str">
        <f>IF(Errors!$I606=0,SourceData!$B$42,VLOOKUP(Errors!$I606,SourceData!$A$2:$B$40,2,FALSE))</f>
        <v>Please select ERROR CODE column "I"</v>
      </c>
      <c r="L606" s="207" t="str">
        <f>IF(Errors!$I606=0,
    'List of Error Codes'!$E$29,
    IFERROR(VLOOKUP(Errors!$I606, 'List of Error Codes'!D605:I635, 6, FALSE), 'List of Error Codes'!$E$29)
)</f>
        <v>Please select ERROR CODE column "I"</v>
      </c>
      <c r="M606" s="209"/>
      <c r="N606" s="209"/>
      <c r="O606" s="209"/>
      <c r="P606" s="209"/>
      <c r="Q606" s="209"/>
      <c r="R606" s="217"/>
      <c r="S606" s="217"/>
      <c r="T606" s="217"/>
      <c r="U606" s="199"/>
      <c r="V606" s="200"/>
      <c r="W606" s="200"/>
      <c r="X606" s="200"/>
      <c r="Y606" s="200"/>
      <c r="Z606" s="200"/>
      <c r="AA606" s="201"/>
      <c r="AB606" s="200"/>
      <c r="AC606" s="200"/>
    </row>
    <row r="607" ht="15.0" customHeight="1">
      <c r="A607" s="210">
        <f t="shared" si="1"/>
        <v>605</v>
      </c>
      <c r="B607" s="217"/>
      <c r="C607" s="217" t="str">
        <f>IFERROR(VLOOKUP(B607, SourceData!$U$3:$V$190, 2, FALSE), "")</f>
        <v/>
      </c>
      <c r="D607" s="240"/>
      <c r="E607" s="241"/>
      <c r="F607" s="248"/>
      <c r="G607" s="207"/>
      <c r="H607" s="209"/>
      <c r="I607" s="209"/>
      <c r="J607" s="209"/>
      <c r="K607" s="208" t="str">
        <f>IF(Errors!$I607=0,SourceData!$B$42,VLOOKUP(Errors!$I607,SourceData!$A$2:$B$40,2,FALSE))</f>
        <v>Please select ERROR CODE column "I"</v>
      </c>
      <c r="L607" s="207" t="str">
        <f>IF(Errors!$I607=0,
    'List of Error Codes'!$E$29,
    IFERROR(VLOOKUP(Errors!$I607, 'List of Error Codes'!D606:I636, 6, FALSE), 'List of Error Codes'!$E$29)
)</f>
        <v>Please select ERROR CODE column "I"</v>
      </c>
      <c r="M607" s="209"/>
      <c r="N607" s="209"/>
      <c r="O607" s="209"/>
      <c r="P607" s="209"/>
      <c r="Q607" s="209"/>
      <c r="R607" s="217"/>
      <c r="S607" s="217"/>
      <c r="T607" s="217"/>
      <c r="U607" s="199"/>
      <c r="V607" s="200"/>
      <c r="W607" s="200"/>
      <c r="X607" s="200"/>
      <c r="Y607" s="200"/>
      <c r="Z607" s="200"/>
      <c r="AA607" s="201"/>
      <c r="AB607" s="200"/>
      <c r="AC607" s="200"/>
    </row>
    <row r="608" ht="15.0" customHeight="1">
      <c r="A608" s="210">
        <f t="shared" si="1"/>
        <v>606</v>
      </c>
      <c r="B608" s="217"/>
      <c r="C608" s="217" t="str">
        <f>IFERROR(VLOOKUP(B608, SourceData!$U$3:$V$190, 2, FALSE), "")</f>
        <v/>
      </c>
      <c r="D608" s="240"/>
      <c r="E608" s="241"/>
      <c r="F608" s="248"/>
      <c r="G608" s="207"/>
      <c r="H608" s="209"/>
      <c r="I608" s="209"/>
      <c r="J608" s="209"/>
      <c r="K608" s="208" t="str">
        <f>IF(Errors!$I608=0,SourceData!$B$42,VLOOKUP(Errors!$I608,SourceData!$A$2:$B$40,2,FALSE))</f>
        <v>Please select ERROR CODE column "I"</v>
      </c>
      <c r="L608" s="207" t="str">
        <f>IF(Errors!$I608=0,
    'List of Error Codes'!$E$29,
    IFERROR(VLOOKUP(Errors!$I608, 'List of Error Codes'!D607:I637, 6, FALSE), 'List of Error Codes'!$E$29)
)</f>
        <v>Please select ERROR CODE column "I"</v>
      </c>
      <c r="M608" s="209"/>
      <c r="N608" s="209"/>
      <c r="O608" s="209"/>
      <c r="P608" s="209"/>
      <c r="Q608" s="209"/>
      <c r="R608" s="217"/>
      <c r="S608" s="217"/>
      <c r="T608" s="217"/>
      <c r="U608" s="199"/>
      <c r="V608" s="200"/>
      <c r="W608" s="200"/>
      <c r="X608" s="200"/>
      <c r="Y608" s="200"/>
      <c r="Z608" s="200"/>
      <c r="AA608" s="201"/>
      <c r="AB608" s="200"/>
      <c r="AC608" s="200"/>
    </row>
    <row r="609" ht="15.0" customHeight="1">
      <c r="A609" s="210">
        <f t="shared" si="1"/>
        <v>607</v>
      </c>
      <c r="B609" s="217"/>
      <c r="C609" s="217" t="str">
        <f>IFERROR(VLOOKUP(B609, SourceData!$U$3:$V$190, 2, FALSE), "")</f>
        <v/>
      </c>
      <c r="D609" s="240"/>
      <c r="E609" s="241"/>
      <c r="F609" s="248"/>
      <c r="G609" s="207"/>
      <c r="H609" s="209"/>
      <c r="I609" s="209"/>
      <c r="J609" s="209"/>
      <c r="K609" s="208" t="str">
        <f>IF(Errors!$I609=0,SourceData!$B$42,VLOOKUP(Errors!$I609,SourceData!$A$2:$B$40,2,FALSE))</f>
        <v>Please select ERROR CODE column "I"</v>
      </c>
      <c r="L609" s="207" t="str">
        <f>IF(Errors!$I609=0,
    'List of Error Codes'!$E$29,
    IFERROR(VLOOKUP(Errors!$I609, 'List of Error Codes'!D608:I638, 6, FALSE), 'List of Error Codes'!$E$29)
)</f>
        <v>Please select ERROR CODE column "I"</v>
      </c>
      <c r="M609" s="209"/>
      <c r="N609" s="209"/>
      <c r="O609" s="209"/>
      <c r="P609" s="209"/>
      <c r="Q609" s="209"/>
      <c r="R609" s="217"/>
      <c r="S609" s="217"/>
      <c r="T609" s="217"/>
      <c r="U609" s="199"/>
      <c r="V609" s="200"/>
      <c r="W609" s="200"/>
      <c r="X609" s="200"/>
      <c r="Y609" s="200"/>
      <c r="Z609" s="200"/>
      <c r="AA609" s="201"/>
      <c r="AB609" s="200"/>
      <c r="AC609" s="200"/>
    </row>
    <row r="610" ht="15.0" customHeight="1">
      <c r="A610" s="210">
        <f t="shared" si="1"/>
        <v>608</v>
      </c>
      <c r="B610" s="217"/>
      <c r="C610" s="217" t="str">
        <f>IFERROR(VLOOKUP(B610, SourceData!$U$3:$V$190, 2, FALSE), "")</f>
        <v/>
      </c>
      <c r="D610" s="240"/>
      <c r="E610" s="241"/>
      <c r="F610" s="248"/>
      <c r="G610" s="207"/>
      <c r="H610" s="209"/>
      <c r="I610" s="209"/>
      <c r="J610" s="209"/>
      <c r="K610" s="208" t="str">
        <f>IF(Errors!$I610=0,SourceData!$B$42,VLOOKUP(Errors!$I610,SourceData!$A$2:$B$40,2,FALSE))</f>
        <v>Please select ERROR CODE column "I"</v>
      </c>
      <c r="L610" s="207" t="str">
        <f>IF(Errors!$I610=0,
    'List of Error Codes'!$E$29,
    IFERROR(VLOOKUP(Errors!$I610, 'List of Error Codes'!D609:I639, 6, FALSE), 'List of Error Codes'!$E$29)
)</f>
        <v>Please select ERROR CODE column "I"</v>
      </c>
      <c r="M610" s="209"/>
      <c r="N610" s="209"/>
      <c r="O610" s="209"/>
      <c r="P610" s="209"/>
      <c r="Q610" s="209"/>
      <c r="R610" s="217"/>
      <c r="S610" s="217"/>
      <c r="T610" s="217"/>
      <c r="U610" s="199"/>
      <c r="V610" s="200"/>
      <c r="W610" s="200"/>
      <c r="X610" s="200"/>
      <c r="Y610" s="200"/>
      <c r="Z610" s="200"/>
      <c r="AA610" s="201"/>
      <c r="AB610" s="200"/>
      <c r="AC610" s="200"/>
    </row>
    <row r="611" ht="15.0" customHeight="1">
      <c r="A611" s="210">
        <f t="shared" si="1"/>
        <v>609</v>
      </c>
      <c r="B611" s="217"/>
      <c r="C611" s="217" t="str">
        <f>IFERROR(VLOOKUP(B611, SourceData!$U$3:$V$190, 2, FALSE), "")</f>
        <v/>
      </c>
      <c r="D611" s="240"/>
      <c r="E611" s="241"/>
      <c r="F611" s="248"/>
      <c r="G611" s="207"/>
      <c r="H611" s="209"/>
      <c r="I611" s="209"/>
      <c r="J611" s="209"/>
      <c r="K611" s="208" t="str">
        <f>IF(Errors!$I611=0,SourceData!$B$42,VLOOKUP(Errors!$I611,SourceData!$A$2:$B$40,2,FALSE))</f>
        <v>Please select ERROR CODE column "I"</v>
      </c>
      <c r="L611" s="207" t="str">
        <f>IF(Errors!$I611=0,
    'List of Error Codes'!$E$29,
    IFERROR(VLOOKUP(Errors!$I611, 'List of Error Codes'!D610:I640, 6, FALSE), 'List of Error Codes'!$E$29)
)</f>
        <v>Please select ERROR CODE column "I"</v>
      </c>
      <c r="M611" s="209"/>
      <c r="N611" s="209"/>
      <c r="O611" s="209"/>
      <c r="P611" s="209"/>
      <c r="Q611" s="209"/>
      <c r="R611" s="217"/>
      <c r="S611" s="217"/>
      <c r="T611" s="217"/>
      <c r="U611" s="199"/>
      <c r="V611" s="200"/>
      <c r="W611" s="200"/>
      <c r="X611" s="200"/>
      <c r="Y611" s="200"/>
      <c r="Z611" s="200"/>
      <c r="AA611" s="201"/>
      <c r="AB611" s="200"/>
      <c r="AC611" s="200"/>
    </row>
    <row r="612" ht="15.0" customHeight="1">
      <c r="A612" s="210">
        <f t="shared" si="1"/>
        <v>610</v>
      </c>
      <c r="B612" s="217"/>
      <c r="C612" s="217" t="str">
        <f>IFERROR(VLOOKUP(B612, SourceData!$U$3:$V$190, 2, FALSE), "")</f>
        <v/>
      </c>
      <c r="D612" s="240"/>
      <c r="E612" s="241"/>
      <c r="F612" s="248"/>
      <c r="G612" s="207"/>
      <c r="H612" s="209"/>
      <c r="I612" s="209"/>
      <c r="J612" s="209"/>
      <c r="K612" s="208" t="str">
        <f>IF(Errors!$I612=0,SourceData!$B$42,VLOOKUP(Errors!$I612,SourceData!$A$2:$B$40,2,FALSE))</f>
        <v>Please select ERROR CODE column "I"</v>
      </c>
      <c r="L612" s="207" t="str">
        <f>IF(Errors!$I612=0,
    'List of Error Codes'!$E$29,
    IFERROR(VLOOKUP(Errors!$I612, 'List of Error Codes'!D611:I641, 6, FALSE), 'List of Error Codes'!$E$29)
)</f>
        <v>Please select ERROR CODE column "I"</v>
      </c>
      <c r="M612" s="209"/>
      <c r="N612" s="209"/>
      <c r="O612" s="209"/>
      <c r="P612" s="209"/>
      <c r="Q612" s="209"/>
      <c r="R612" s="217"/>
      <c r="S612" s="217"/>
      <c r="T612" s="217"/>
      <c r="U612" s="199"/>
      <c r="V612" s="200"/>
      <c r="W612" s="200"/>
      <c r="X612" s="200"/>
      <c r="Y612" s="200"/>
      <c r="Z612" s="200"/>
      <c r="AA612" s="201"/>
      <c r="AB612" s="200"/>
      <c r="AC612" s="200"/>
    </row>
    <row r="613" ht="15.0" customHeight="1">
      <c r="A613" s="210">
        <f t="shared" si="1"/>
        <v>611</v>
      </c>
      <c r="B613" s="217"/>
      <c r="C613" s="217" t="str">
        <f>IFERROR(VLOOKUP(B613, SourceData!$U$3:$V$190, 2, FALSE), "")</f>
        <v/>
      </c>
      <c r="D613" s="240"/>
      <c r="E613" s="241"/>
      <c r="F613" s="248"/>
      <c r="G613" s="207"/>
      <c r="H613" s="209"/>
      <c r="I613" s="209"/>
      <c r="J613" s="209"/>
      <c r="K613" s="208" t="str">
        <f>IF(Errors!$I613=0,SourceData!$B$42,VLOOKUP(Errors!$I613,SourceData!$A$2:$B$40,2,FALSE))</f>
        <v>Please select ERROR CODE column "I"</v>
      </c>
      <c r="L613" s="207" t="str">
        <f>IF(Errors!$I613=0,
    'List of Error Codes'!$E$29,
    IFERROR(VLOOKUP(Errors!$I613, 'List of Error Codes'!D612:I642, 6, FALSE), 'List of Error Codes'!$E$29)
)</f>
        <v>Please select ERROR CODE column "I"</v>
      </c>
      <c r="M613" s="209"/>
      <c r="N613" s="209"/>
      <c r="O613" s="209"/>
      <c r="P613" s="209"/>
      <c r="Q613" s="209"/>
      <c r="R613" s="217"/>
      <c r="S613" s="217"/>
      <c r="T613" s="217"/>
      <c r="U613" s="199"/>
      <c r="V613" s="200"/>
      <c r="W613" s="200"/>
      <c r="X613" s="200"/>
      <c r="Y613" s="200"/>
      <c r="Z613" s="200"/>
      <c r="AA613" s="201"/>
      <c r="AB613" s="200"/>
      <c r="AC613" s="200"/>
    </row>
    <row r="614" ht="15.0" customHeight="1">
      <c r="A614" s="210">
        <f t="shared" si="1"/>
        <v>612</v>
      </c>
      <c r="B614" s="217"/>
      <c r="C614" s="217" t="str">
        <f>IFERROR(VLOOKUP(B614, SourceData!$U$3:$V$190, 2, FALSE), "")</f>
        <v/>
      </c>
      <c r="D614" s="240"/>
      <c r="E614" s="241"/>
      <c r="F614" s="248"/>
      <c r="G614" s="207"/>
      <c r="H614" s="209"/>
      <c r="I614" s="209"/>
      <c r="J614" s="209"/>
      <c r="K614" s="208" t="str">
        <f>IF(Errors!$I614=0,SourceData!$B$42,VLOOKUP(Errors!$I614,SourceData!$A$2:$B$40,2,FALSE))</f>
        <v>Please select ERROR CODE column "I"</v>
      </c>
      <c r="L614" s="207" t="str">
        <f>IF(Errors!$I614=0,
    'List of Error Codes'!$E$29,
    IFERROR(VLOOKUP(Errors!$I614, 'List of Error Codes'!D613:I643, 6, FALSE), 'List of Error Codes'!$E$29)
)</f>
        <v>Please select ERROR CODE column "I"</v>
      </c>
      <c r="M614" s="209"/>
      <c r="N614" s="209"/>
      <c r="O614" s="209"/>
      <c r="P614" s="209"/>
      <c r="Q614" s="209"/>
      <c r="R614" s="217"/>
      <c r="S614" s="217"/>
      <c r="T614" s="217"/>
      <c r="U614" s="199"/>
      <c r="V614" s="200"/>
      <c r="W614" s="200"/>
      <c r="X614" s="200"/>
      <c r="Y614" s="200"/>
      <c r="Z614" s="200"/>
      <c r="AA614" s="201"/>
      <c r="AB614" s="200"/>
      <c r="AC614" s="200"/>
    </row>
    <row r="615" ht="15.0" customHeight="1">
      <c r="A615" s="210">
        <f t="shared" si="1"/>
        <v>613</v>
      </c>
      <c r="B615" s="217"/>
      <c r="C615" s="217" t="str">
        <f>IFERROR(VLOOKUP(B615, SourceData!$U$3:$V$190, 2, FALSE), "")</f>
        <v/>
      </c>
      <c r="D615" s="240"/>
      <c r="E615" s="241"/>
      <c r="F615" s="248"/>
      <c r="G615" s="207"/>
      <c r="H615" s="209"/>
      <c r="I615" s="209"/>
      <c r="J615" s="209"/>
      <c r="K615" s="208" t="str">
        <f>IF(Errors!$I615=0,SourceData!$B$42,VLOOKUP(Errors!$I615,SourceData!$A$2:$B$40,2,FALSE))</f>
        <v>Please select ERROR CODE column "I"</v>
      </c>
      <c r="L615" s="207" t="str">
        <f>IF(Errors!$I615=0,
    'List of Error Codes'!$E$29,
    IFERROR(VLOOKUP(Errors!$I615, 'List of Error Codes'!D614:I644, 6, FALSE), 'List of Error Codes'!$E$29)
)</f>
        <v>Please select ERROR CODE column "I"</v>
      </c>
      <c r="M615" s="209"/>
      <c r="N615" s="209"/>
      <c r="O615" s="209"/>
      <c r="P615" s="209"/>
      <c r="Q615" s="209"/>
      <c r="R615" s="217"/>
      <c r="S615" s="217"/>
      <c r="T615" s="217"/>
      <c r="U615" s="199"/>
      <c r="V615" s="200"/>
      <c r="W615" s="200"/>
      <c r="X615" s="200"/>
      <c r="Y615" s="200"/>
      <c r="Z615" s="200"/>
      <c r="AA615" s="201"/>
      <c r="AB615" s="200"/>
      <c r="AC615" s="200"/>
    </row>
    <row r="616" ht="15.0" customHeight="1">
      <c r="A616" s="210">
        <f t="shared" si="1"/>
        <v>614</v>
      </c>
      <c r="B616" s="217"/>
      <c r="C616" s="217" t="str">
        <f>IFERROR(VLOOKUP(B616, SourceData!$U$3:$V$190, 2, FALSE), "")</f>
        <v/>
      </c>
      <c r="D616" s="240"/>
      <c r="E616" s="241"/>
      <c r="F616" s="248"/>
      <c r="G616" s="207"/>
      <c r="H616" s="209"/>
      <c r="I616" s="209"/>
      <c r="J616" s="209"/>
      <c r="K616" s="208" t="str">
        <f>IF(Errors!$I616=0,SourceData!$B$42,VLOOKUP(Errors!$I616,SourceData!$A$2:$B$40,2,FALSE))</f>
        <v>Please select ERROR CODE column "I"</v>
      </c>
      <c r="L616" s="207" t="str">
        <f>IF(Errors!$I616=0,
    'List of Error Codes'!$E$29,
    IFERROR(VLOOKUP(Errors!$I616, 'List of Error Codes'!D615:I645, 6, FALSE), 'List of Error Codes'!$E$29)
)</f>
        <v>Please select ERROR CODE column "I"</v>
      </c>
      <c r="M616" s="209"/>
      <c r="N616" s="209"/>
      <c r="O616" s="209"/>
      <c r="P616" s="209"/>
      <c r="Q616" s="209"/>
      <c r="R616" s="217"/>
      <c r="S616" s="217"/>
      <c r="T616" s="217"/>
      <c r="U616" s="199"/>
      <c r="V616" s="200"/>
      <c r="W616" s="200"/>
      <c r="X616" s="200"/>
      <c r="Y616" s="200"/>
      <c r="Z616" s="200"/>
      <c r="AA616" s="201"/>
      <c r="AB616" s="200"/>
      <c r="AC616" s="200"/>
    </row>
    <row r="617" ht="15.0" customHeight="1">
      <c r="A617" s="210">
        <f t="shared" si="1"/>
        <v>615</v>
      </c>
      <c r="B617" s="217"/>
      <c r="C617" s="217" t="str">
        <f>IFERROR(VLOOKUP(B617, SourceData!$U$3:$V$190, 2, FALSE), "")</f>
        <v/>
      </c>
      <c r="D617" s="240"/>
      <c r="E617" s="241"/>
      <c r="F617" s="248"/>
      <c r="G617" s="207"/>
      <c r="H617" s="209"/>
      <c r="I617" s="209"/>
      <c r="J617" s="209"/>
      <c r="K617" s="208" t="str">
        <f>IF(Errors!$I617=0,SourceData!$B$42,VLOOKUP(Errors!$I617,SourceData!$A$2:$B$40,2,FALSE))</f>
        <v>Please select ERROR CODE column "I"</v>
      </c>
      <c r="L617" s="207" t="str">
        <f>IF(Errors!$I617=0,
    'List of Error Codes'!$E$29,
    IFERROR(VLOOKUP(Errors!$I617, 'List of Error Codes'!D616:I646, 6, FALSE), 'List of Error Codes'!$E$29)
)</f>
        <v>Please select ERROR CODE column "I"</v>
      </c>
      <c r="M617" s="209"/>
      <c r="N617" s="209"/>
      <c r="O617" s="209"/>
      <c r="P617" s="209"/>
      <c r="Q617" s="209"/>
      <c r="R617" s="217"/>
      <c r="S617" s="217"/>
      <c r="T617" s="217"/>
      <c r="U617" s="199"/>
      <c r="V617" s="200"/>
      <c r="W617" s="200"/>
      <c r="X617" s="200"/>
      <c r="Y617" s="200"/>
      <c r="Z617" s="200"/>
      <c r="AA617" s="201"/>
      <c r="AB617" s="200"/>
      <c r="AC617" s="200"/>
    </row>
    <row r="618" ht="15.0" customHeight="1">
      <c r="A618" s="210">
        <f t="shared" si="1"/>
        <v>616</v>
      </c>
      <c r="B618" s="217"/>
      <c r="C618" s="217" t="str">
        <f>IFERROR(VLOOKUP(B618, SourceData!$U$3:$V$190, 2, FALSE), "")</f>
        <v/>
      </c>
      <c r="D618" s="240"/>
      <c r="E618" s="241"/>
      <c r="F618" s="248"/>
      <c r="G618" s="207"/>
      <c r="H618" s="209"/>
      <c r="I618" s="209"/>
      <c r="J618" s="209"/>
      <c r="K618" s="208" t="str">
        <f>IF(Errors!$I618=0,SourceData!$B$42,VLOOKUP(Errors!$I618,SourceData!$A$2:$B$40,2,FALSE))</f>
        <v>Please select ERROR CODE column "I"</v>
      </c>
      <c r="L618" s="207" t="str">
        <f>IF(Errors!$I618=0,
    'List of Error Codes'!$E$29,
    IFERROR(VLOOKUP(Errors!$I618, 'List of Error Codes'!D617:I647, 6, FALSE), 'List of Error Codes'!$E$29)
)</f>
        <v>Please select ERROR CODE column "I"</v>
      </c>
      <c r="M618" s="209"/>
      <c r="N618" s="209"/>
      <c r="O618" s="209"/>
      <c r="P618" s="209"/>
      <c r="Q618" s="209"/>
      <c r="R618" s="217"/>
      <c r="S618" s="217"/>
      <c r="T618" s="217"/>
      <c r="U618" s="199"/>
      <c r="V618" s="200"/>
      <c r="W618" s="200"/>
      <c r="X618" s="200"/>
      <c r="Y618" s="200"/>
      <c r="Z618" s="200"/>
      <c r="AA618" s="201"/>
      <c r="AB618" s="200"/>
      <c r="AC618" s="200"/>
    </row>
    <row r="619" ht="15.0" customHeight="1">
      <c r="A619" s="210">
        <f t="shared" si="1"/>
        <v>617</v>
      </c>
      <c r="B619" s="217"/>
      <c r="C619" s="217" t="str">
        <f>IFERROR(VLOOKUP(B619, SourceData!$U$3:$V$190, 2, FALSE), "")</f>
        <v/>
      </c>
      <c r="D619" s="240"/>
      <c r="E619" s="241"/>
      <c r="F619" s="248"/>
      <c r="G619" s="207"/>
      <c r="H619" s="209"/>
      <c r="I619" s="209"/>
      <c r="J619" s="209"/>
      <c r="K619" s="208" t="str">
        <f>IF(Errors!$I619=0,SourceData!$B$42,VLOOKUP(Errors!$I619,SourceData!$A$2:$B$40,2,FALSE))</f>
        <v>Please select ERROR CODE column "I"</v>
      </c>
      <c r="L619" s="207" t="str">
        <f>IF(Errors!$I619=0,
    'List of Error Codes'!$E$29,
    IFERROR(VLOOKUP(Errors!$I619, 'List of Error Codes'!D618:I648, 6, FALSE), 'List of Error Codes'!$E$29)
)</f>
        <v>Please select ERROR CODE column "I"</v>
      </c>
      <c r="M619" s="209"/>
      <c r="N619" s="209"/>
      <c r="O619" s="209"/>
      <c r="P619" s="209"/>
      <c r="Q619" s="209"/>
      <c r="R619" s="217"/>
      <c r="S619" s="217"/>
      <c r="T619" s="217"/>
      <c r="U619" s="199"/>
      <c r="V619" s="200"/>
      <c r="W619" s="200"/>
      <c r="X619" s="200"/>
      <c r="Y619" s="200"/>
      <c r="Z619" s="200"/>
      <c r="AA619" s="201"/>
      <c r="AB619" s="200"/>
      <c r="AC619" s="200"/>
    </row>
    <row r="620" ht="15.0" customHeight="1">
      <c r="A620" s="210">
        <f t="shared" si="1"/>
        <v>618</v>
      </c>
      <c r="B620" s="217"/>
      <c r="C620" s="217" t="str">
        <f>IFERROR(VLOOKUP(B620, SourceData!$U$3:$V$190, 2, FALSE), "")</f>
        <v/>
      </c>
      <c r="D620" s="240"/>
      <c r="E620" s="241"/>
      <c r="F620" s="248"/>
      <c r="G620" s="207"/>
      <c r="H620" s="209"/>
      <c r="I620" s="209"/>
      <c r="J620" s="209"/>
      <c r="K620" s="208" t="str">
        <f>IF(Errors!$I620=0,SourceData!$B$42,VLOOKUP(Errors!$I620,SourceData!$A$2:$B$40,2,FALSE))</f>
        <v>Please select ERROR CODE column "I"</v>
      </c>
      <c r="L620" s="207" t="str">
        <f>IF(Errors!$I620=0,
    'List of Error Codes'!$E$29,
    IFERROR(VLOOKUP(Errors!$I620, 'List of Error Codes'!D619:I649, 6, FALSE), 'List of Error Codes'!$E$29)
)</f>
        <v>Please select ERROR CODE column "I"</v>
      </c>
      <c r="M620" s="209"/>
      <c r="N620" s="209"/>
      <c r="O620" s="209"/>
      <c r="P620" s="209"/>
      <c r="Q620" s="209"/>
      <c r="R620" s="217"/>
      <c r="S620" s="217"/>
      <c r="T620" s="217"/>
      <c r="U620" s="199"/>
      <c r="V620" s="200"/>
      <c r="W620" s="200"/>
      <c r="X620" s="200"/>
      <c r="Y620" s="200"/>
      <c r="Z620" s="200"/>
      <c r="AA620" s="201"/>
      <c r="AB620" s="200"/>
      <c r="AC620" s="200"/>
    </row>
    <row r="621" ht="15.0" customHeight="1">
      <c r="A621" s="210">
        <f t="shared" si="1"/>
        <v>619</v>
      </c>
      <c r="B621" s="217"/>
      <c r="C621" s="217" t="str">
        <f>IFERROR(VLOOKUP(B621, SourceData!$U$3:$V$190, 2, FALSE), "")</f>
        <v/>
      </c>
      <c r="D621" s="240"/>
      <c r="E621" s="241"/>
      <c r="F621" s="248"/>
      <c r="G621" s="207"/>
      <c r="H621" s="209"/>
      <c r="I621" s="209"/>
      <c r="J621" s="209"/>
      <c r="K621" s="208" t="str">
        <f>IF(Errors!$I621=0,SourceData!$B$42,VLOOKUP(Errors!$I621,SourceData!$A$2:$B$40,2,FALSE))</f>
        <v>Please select ERROR CODE column "I"</v>
      </c>
      <c r="L621" s="207" t="str">
        <f>IF(Errors!$I621=0,
    'List of Error Codes'!$E$29,
    IFERROR(VLOOKUP(Errors!$I621, 'List of Error Codes'!D620:I650, 6, FALSE), 'List of Error Codes'!$E$29)
)</f>
        <v>Please select ERROR CODE column "I"</v>
      </c>
      <c r="M621" s="209"/>
      <c r="N621" s="209"/>
      <c r="O621" s="209"/>
      <c r="P621" s="209"/>
      <c r="Q621" s="209"/>
      <c r="R621" s="217"/>
      <c r="S621" s="217"/>
      <c r="T621" s="217"/>
      <c r="U621" s="199"/>
      <c r="V621" s="200"/>
      <c r="W621" s="200"/>
      <c r="X621" s="200"/>
      <c r="Y621" s="200"/>
      <c r="Z621" s="200"/>
      <c r="AA621" s="201"/>
      <c r="AB621" s="200"/>
      <c r="AC621" s="200"/>
    </row>
    <row r="622" ht="15.0" customHeight="1">
      <c r="A622" s="210">
        <f t="shared" si="1"/>
        <v>620</v>
      </c>
      <c r="B622" s="217"/>
      <c r="C622" s="217" t="str">
        <f>IFERROR(VLOOKUP(B622, SourceData!$U$3:$V$190, 2, FALSE), "")</f>
        <v/>
      </c>
      <c r="D622" s="240"/>
      <c r="E622" s="241"/>
      <c r="F622" s="248"/>
      <c r="G622" s="207"/>
      <c r="H622" s="209"/>
      <c r="I622" s="209"/>
      <c r="J622" s="209"/>
      <c r="K622" s="208" t="str">
        <f>IF(Errors!$I622=0,SourceData!$B$42,VLOOKUP(Errors!$I622,SourceData!$A$2:$B$40,2,FALSE))</f>
        <v>Please select ERROR CODE column "I"</v>
      </c>
      <c r="L622" s="207" t="str">
        <f>IF(Errors!$I622=0,
    'List of Error Codes'!$E$29,
    IFERROR(VLOOKUP(Errors!$I622, 'List of Error Codes'!D621:I651, 6, FALSE), 'List of Error Codes'!$E$29)
)</f>
        <v>Please select ERROR CODE column "I"</v>
      </c>
      <c r="M622" s="209"/>
      <c r="N622" s="209"/>
      <c r="O622" s="209"/>
      <c r="P622" s="209"/>
      <c r="Q622" s="209"/>
      <c r="R622" s="217"/>
      <c r="S622" s="217"/>
      <c r="T622" s="217"/>
      <c r="U622" s="199"/>
      <c r="V622" s="200"/>
      <c r="W622" s="200"/>
      <c r="X622" s="200"/>
      <c r="Y622" s="200"/>
      <c r="Z622" s="200"/>
      <c r="AA622" s="201"/>
      <c r="AB622" s="200"/>
      <c r="AC622" s="200"/>
    </row>
    <row r="623" ht="15.0" customHeight="1">
      <c r="A623" s="210">
        <f t="shared" si="1"/>
        <v>621</v>
      </c>
      <c r="B623" s="217"/>
      <c r="C623" s="217" t="str">
        <f>IFERROR(VLOOKUP(B623, SourceData!$U$3:$V$190, 2, FALSE), "")</f>
        <v/>
      </c>
      <c r="D623" s="240"/>
      <c r="E623" s="241"/>
      <c r="F623" s="248"/>
      <c r="G623" s="207"/>
      <c r="H623" s="209"/>
      <c r="I623" s="209"/>
      <c r="J623" s="209"/>
      <c r="K623" s="208" t="str">
        <f>IF(Errors!$I623=0,SourceData!$B$42,VLOOKUP(Errors!$I623,SourceData!$A$2:$B$40,2,FALSE))</f>
        <v>Please select ERROR CODE column "I"</v>
      </c>
      <c r="L623" s="207" t="str">
        <f>IF(Errors!$I623=0,
    'List of Error Codes'!$E$29,
    IFERROR(VLOOKUP(Errors!$I623, 'List of Error Codes'!D622:I652, 6, FALSE), 'List of Error Codes'!$E$29)
)</f>
        <v>Please select ERROR CODE column "I"</v>
      </c>
      <c r="M623" s="209"/>
      <c r="N623" s="209"/>
      <c r="O623" s="209"/>
      <c r="P623" s="209"/>
      <c r="Q623" s="209"/>
      <c r="R623" s="217"/>
      <c r="S623" s="217"/>
      <c r="T623" s="217"/>
      <c r="U623" s="199"/>
      <c r="V623" s="200"/>
      <c r="W623" s="200"/>
      <c r="X623" s="200"/>
      <c r="Y623" s="200"/>
      <c r="Z623" s="200"/>
      <c r="AA623" s="201"/>
      <c r="AB623" s="200"/>
      <c r="AC623" s="200"/>
    </row>
    <row r="624" ht="15.0" customHeight="1">
      <c r="A624" s="210">
        <f t="shared" si="1"/>
        <v>622</v>
      </c>
      <c r="B624" s="217"/>
      <c r="C624" s="217" t="str">
        <f>IFERROR(VLOOKUP(B624, SourceData!$U$3:$V$190, 2, FALSE), "")</f>
        <v/>
      </c>
      <c r="D624" s="240"/>
      <c r="E624" s="241"/>
      <c r="F624" s="248"/>
      <c r="G624" s="207"/>
      <c r="H624" s="209"/>
      <c r="I624" s="209"/>
      <c r="J624" s="209"/>
      <c r="K624" s="208" t="str">
        <f>IF(Errors!$I624=0,SourceData!$B$42,VLOOKUP(Errors!$I624,SourceData!$A$2:$B$40,2,FALSE))</f>
        <v>Please select ERROR CODE column "I"</v>
      </c>
      <c r="L624" s="207" t="str">
        <f>IF(Errors!$I624=0,
    'List of Error Codes'!$E$29,
    IFERROR(VLOOKUP(Errors!$I624, 'List of Error Codes'!D623:I653, 6, FALSE), 'List of Error Codes'!$E$29)
)</f>
        <v>Please select ERROR CODE column "I"</v>
      </c>
      <c r="M624" s="209"/>
      <c r="N624" s="209"/>
      <c r="O624" s="209"/>
      <c r="P624" s="209"/>
      <c r="Q624" s="209"/>
      <c r="R624" s="217"/>
      <c r="S624" s="217"/>
      <c r="T624" s="217"/>
      <c r="U624" s="199"/>
      <c r="V624" s="200"/>
      <c r="W624" s="200"/>
      <c r="X624" s="200"/>
      <c r="Y624" s="200"/>
      <c r="Z624" s="200"/>
      <c r="AA624" s="201"/>
      <c r="AB624" s="200"/>
      <c r="AC624" s="200"/>
    </row>
    <row r="625" ht="15.0" customHeight="1">
      <c r="A625" s="210">
        <f t="shared" si="1"/>
        <v>623</v>
      </c>
      <c r="B625" s="217"/>
      <c r="C625" s="217" t="str">
        <f>IFERROR(VLOOKUP(B625, SourceData!$U$3:$V$190, 2, FALSE), "")</f>
        <v/>
      </c>
      <c r="D625" s="240"/>
      <c r="E625" s="241"/>
      <c r="F625" s="248"/>
      <c r="G625" s="207"/>
      <c r="H625" s="209"/>
      <c r="I625" s="209"/>
      <c r="J625" s="209"/>
      <c r="K625" s="208" t="str">
        <f>IF(Errors!$I625=0,SourceData!$B$42,VLOOKUP(Errors!$I625,SourceData!$A$2:$B$40,2,FALSE))</f>
        <v>Please select ERROR CODE column "I"</v>
      </c>
      <c r="L625" s="207" t="str">
        <f>IF(Errors!$I625=0,
    'List of Error Codes'!$E$29,
    IFERROR(VLOOKUP(Errors!$I625, 'List of Error Codes'!D624:I654, 6, FALSE), 'List of Error Codes'!$E$29)
)</f>
        <v>Please select ERROR CODE column "I"</v>
      </c>
      <c r="M625" s="209"/>
      <c r="N625" s="209"/>
      <c r="O625" s="209"/>
      <c r="P625" s="209"/>
      <c r="Q625" s="209"/>
      <c r="R625" s="217"/>
      <c r="S625" s="217"/>
      <c r="T625" s="217"/>
      <c r="U625" s="199"/>
      <c r="V625" s="200"/>
      <c r="W625" s="200"/>
      <c r="X625" s="200"/>
      <c r="Y625" s="200"/>
      <c r="Z625" s="200"/>
      <c r="AA625" s="201"/>
      <c r="AB625" s="200"/>
      <c r="AC625" s="200"/>
    </row>
    <row r="626" ht="15.0" customHeight="1">
      <c r="A626" s="210">
        <f t="shared" si="1"/>
        <v>624</v>
      </c>
      <c r="B626" s="217"/>
      <c r="C626" s="217" t="str">
        <f>IFERROR(VLOOKUP(B626, SourceData!$U$3:$V$190, 2, FALSE), "")</f>
        <v/>
      </c>
      <c r="D626" s="240"/>
      <c r="E626" s="241"/>
      <c r="F626" s="248"/>
      <c r="G626" s="207"/>
      <c r="H626" s="209"/>
      <c r="I626" s="209"/>
      <c r="J626" s="209"/>
      <c r="K626" s="208" t="str">
        <f>IF(Errors!$I626=0,SourceData!$B$42,VLOOKUP(Errors!$I626,SourceData!$A$2:$B$40,2,FALSE))</f>
        <v>Please select ERROR CODE column "I"</v>
      </c>
      <c r="L626" s="207" t="str">
        <f>IF(Errors!$I626=0,
    'List of Error Codes'!$E$29,
    IFERROR(VLOOKUP(Errors!$I626, 'List of Error Codes'!D625:I655, 6, FALSE), 'List of Error Codes'!$E$29)
)</f>
        <v>Please select ERROR CODE column "I"</v>
      </c>
      <c r="M626" s="209"/>
      <c r="N626" s="209"/>
      <c r="O626" s="209"/>
      <c r="P626" s="209"/>
      <c r="Q626" s="209"/>
      <c r="R626" s="217"/>
      <c r="S626" s="217"/>
      <c r="T626" s="217"/>
      <c r="U626" s="199"/>
      <c r="V626" s="200"/>
      <c r="W626" s="200"/>
      <c r="X626" s="200"/>
      <c r="Y626" s="200"/>
      <c r="Z626" s="200"/>
      <c r="AA626" s="201"/>
      <c r="AB626" s="200"/>
      <c r="AC626" s="200"/>
    </row>
    <row r="627" ht="15.0" customHeight="1">
      <c r="A627" s="210">
        <f t="shared" si="1"/>
        <v>625</v>
      </c>
      <c r="B627" s="217"/>
      <c r="C627" s="217" t="str">
        <f>IFERROR(VLOOKUP(B627, SourceData!$U$3:$V$190, 2, FALSE), "")</f>
        <v/>
      </c>
      <c r="D627" s="240"/>
      <c r="E627" s="241"/>
      <c r="F627" s="248"/>
      <c r="G627" s="207"/>
      <c r="H627" s="209"/>
      <c r="I627" s="209"/>
      <c r="J627" s="209"/>
      <c r="K627" s="208" t="str">
        <f>IF(Errors!$I627=0,SourceData!$B$42,VLOOKUP(Errors!$I627,SourceData!$A$2:$B$40,2,FALSE))</f>
        <v>Please select ERROR CODE column "I"</v>
      </c>
      <c r="L627" s="207" t="str">
        <f>IF(Errors!$I627=0,
    'List of Error Codes'!$E$29,
    IFERROR(VLOOKUP(Errors!$I627, 'List of Error Codes'!D626:I656, 6, FALSE), 'List of Error Codes'!$E$29)
)</f>
        <v>Please select ERROR CODE column "I"</v>
      </c>
      <c r="M627" s="209"/>
      <c r="N627" s="209"/>
      <c r="O627" s="209"/>
      <c r="P627" s="209"/>
      <c r="Q627" s="209"/>
      <c r="R627" s="217"/>
      <c r="S627" s="217"/>
      <c r="T627" s="217"/>
      <c r="U627" s="199"/>
      <c r="V627" s="200"/>
      <c r="W627" s="200"/>
      <c r="X627" s="200"/>
      <c r="Y627" s="200"/>
      <c r="Z627" s="200"/>
      <c r="AA627" s="201"/>
      <c r="AB627" s="200"/>
      <c r="AC627" s="200"/>
    </row>
    <row r="628" ht="15.0" customHeight="1">
      <c r="A628" s="210">
        <f t="shared" si="1"/>
        <v>626</v>
      </c>
      <c r="B628" s="217"/>
      <c r="C628" s="217" t="str">
        <f>IFERROR(VLOOKUP(B628, SourceData!$U$3:$V$190, 2, FALSE), "")</f>
        <v/>
      </c>
      <c r="D628" s="240"/>
      <c r="E628" s="241"/>
      <c r="F628" s="248"/>
      <c r="G628" s="207"/>
      <c r="H628" s="209"/>
      <c r="I628" s="209"/>
      <c r="J628" s="209"/>
      <c r="K628" s="208" t="str">
        <f>IF(Errors!$I628=0,SourceData!$B$42,VLOOKUP(Errors!$I628,SourceData!$A$2:$B$40,2,FALSE))</f>
        <v>Please select ERROR CODE column "I"</v>
      </c>
      <c r="L628" s="207" t="str">
        <f>IF(Errors!$I628=0,
    'List of Error Codes'!$E$29,
    IFERROR(VLOOKUP(Errors!$I628, 'List of Error Codes'!D627:I657, 6, FALSE), 'List of Error Codes'!$E$29)
)</f>
        <v>Please select ERROR CODE column "I"</v>
      </c>
      <c r="M628" s="209"/>
      <c r="N628" s="209"/>
      <c r="O628" s="209"/>
      <c r="P628" s="209"/>
      <c r="Q628" s="209"/>
      <c r="R628" s="217"/>
      <c r="S628" s="217"/>
      <c r="T628" s="217"/>
      <c r="U628" s="199"/>
      <c r="V628" s="200"/>
      <c r="W628" s="200"/>
      <c r="X628" s="200"/>
      <c r="Y628" s="200"/>
      <c r="Z628" s="200"/>
      <c r="AA628" s="201"/>
      <c r="AB628" s="200"/>
      <c r="AC628" s="200"/>
    </row>
    <row r="629" ht="15.0" customHeight="1">
      <c r="A629" s="210">
        <f t="shared" si="1"/>
        <v>627</v>
      </c>
      <c r="B629" s="217"/>
      <c r="C629" s="217" t="str">
        <f>IFERROR(VLOOKUP(B629, SourceData!$U$3:$V$190, 2, FALSE), "")</f>
        <v/>
      </c>
      <c r="D629" s="240"/>
      <c r="E629" s="241"/>
      <c r="F629" s="248"/>
      <c r="G629" s="207"/>
      <c r="H629" s="209"/>
      <c r="I629" s="209"/>
      <c r="J629" s="209"/>
      <c r="K629" s="208" t="str">
        <f>IF(Errors!$I629=0,SourceData!$B$42,VLOOKUP(Errors!$I629,SourceData!$A$2:$B$40,2,FALSE))</f>
        <v>Please select ERROR CODE column "I"</v>
      </c>
      <c r="L629" s="207" t="str">
        <f>IF(Errors!$I629=0,
    'List of Error Codes'!$E$29,
    IFERROR(VLOOKUP(Errors!$I629, 'List of Error Codes'!D628:I658, 6, FALSE), 'List of Error Codes'!$E$29)
)</f>
        <v>Please select ERROR CODE column "I"</v>
      </c>
      <c r="M629" s="209"/>
      <c r="N629" s="209"/>
      <c r="O629" s="209"/>
      <c r="P629" s="209"/>
      <c r="Q629" s="209"/>
      <c r="R629" s="217"/>
      <c r="S629" s="217"/>
      <c r="T629" s="217"/>
      <c r="U629" s="199"/>
      <c r="V629" s="200"/>
      <c r="W629" s="200"/>
      <c r="X629" s="200"/>
      <c r="Y629" s="200"/>
      <c r="Z629" s="200"/>
      <c r="AA629" s="201"/>
      <c r="AB629" s="200"/>
      <c r="AC629" s="200"/>
    </row>
    <row r="630" ht="15.0" customHeight="1">
      <c r="A630" s="210">
        <f t="shared" si="1"/>
        <v>628</v>
      </c>
      <c r="B630" s="217"/>
      <c r="C630" s="217" t="str">
        <f>IFERROR(VLOOKUP(B630, SourceData!$U$3:$V$190, 2, FALSE), "")</f>
        <v/>
      </c>
      <c r="D630" s="240"/>
      <c r="E630" s="241"/>
      <c r="F630" s="248"/>
      <c r="G630" s="207"/>
      <c r="H630" s="209"/>
      <c r="I630" s="209"/>
      <c r="J630" s="209"/>
      <c r="K630" s="208" t="str">
        <f>IF(Errors!$I630=0,SourceData!$B$42,VLOOKUP(Errors!$I630,SourceData!$A$2:$B$40,2,FALSE))</f>
        <v>Please select ERROR CODE column "I"</v>
      </c>
      <c r="L630" s="207" t="str">
        <f>IF(Errors!$I630=0,
    'List of Error Codes'!$E$29,
    IFERROR(VLOOKUP(Errors!$I630, 'List of Error Codes'!D629:I659, 6, FALSE), 'List of Error Codes'!$E$29)
)</f>
        <v>Please select ERROR CODE column "I"</v>
      </c>
      <c r="M630" s="209"/>
      <c r="N630" s="209"/>
      <c r="O630" s="209"/>
      <c r="P630" s="209"/>
      <c r="Q630" s="209"/>
      <c r="R630" s="217"/>
      <c r="S630" s="217"/>
      <c r="T630" s="217"/>
      <c r="U630" s="199"/>
      <c r="V630" s="200"/>
      <c r="W630" s="200"/>
      <c r="X630" s="200"/>
      <c r="Y630" s="200"/>
      <c r="Z630" s="200"/>
      <c r="AA630" s="201"/>
      <c r="AB630" s="200"/>
      <c r="AC630" s="200"/>
    </row>
    <row r="631" ht="15.0" customHeight="1">
      <c r="A631" s="210">
        <f t="shared" si="1"/>
        <v>629</v>
      </c>
      <c r="B631" s="217"/>
      <c r="C631" s="217" t="str">
        <f>IFERROR(VLOOKUP(B631, SourceData!$U$3:$V$190, 2, FALSE), "")</f>
        <v/>
      </c>
      <c r="D631" s="240"/>
      <c r="E631" s="241"/>
      <c r="F631" s="248"/>
      <c r="G631" s="207"/>
      <c r="H631" s="209"/>
      <c r="I631" s="209"/>
      <c r="J631" s="209"/>
      <c r="K631" s="208" t="str">
        <f>IF(Errors!$I631=0,SourceData!$B$42,VLOOKUP(Errors!$I631,SourceData!$A$2:$B$40,2,FALSE))</f>
        <v>Please select ERROR CODE column "I"</v>
      </c>
      <c r="L631" s="207" t="str">
        <f>IF(Errors!$I631=0,
    'List of Error Codes'!$E$29,
    IFERROR(VLOOKUP(Errors!$I631, 'List of Error Codes'!D630:I660, 6, FALSE), 'List of Error Codes'!$E$29)
)</f>
        <v>Please select ERROR CODE column "I"</v>
      </c>
      <c r="M631" s="209"/>
      <c r="N631" s="209"/>
      <c r="O631" s="209"/>
      <c r="P631" s="209"/>
      <c r="Q631" s="209"/>
      <c r="R631" s="217"/>
      <c r="S631" s="217"/>
      <c r="T631" s="217"/>
      <c r="U631" s="199"/>
      <c r="V631" s="200"/>
      <c r="W631" s="200"/>
      <c r="X631" s="200"/>
      <c r="Y631" s="200"/>
      <c r="Z631" s="200"/>
      <c r="AA631" s="201"/>
      <c r="AB631" s="200"/>
      <c r="AC631" s="200"/>
    </row>
    <row r="632" ht="15.0" customHeight="1">
      <c r="A632" s="210">
        <f t="shared" si="1"/>
        <v>630</v>
      </c>
      <c r="B632" s="217"/>
      <c r="C632" s="217" t="str">
        <f>IFERROR(VLOOKUP(B632, SourceData!$U$3:$V$190, 2, FALSE), "")</f>
        <v/>
      </c>
      <c r="D632" s="240"/>
      <c r="E632" s="241"/>
      <c r="F632" s="248"/>
      <c r="G632" s="207"/>
      <c r="H632" s="209"/>
      <c r="I632" s="209"/>
      <c r="J632" s="209"/>
      <c r="K632" s="208" t="str">
        <f>IF(Errors!$I632=0,SourceData!$B$42,VLOOKUP(Errors!$I632,SourceData!$A$2:$B$40,2,FALSE))</f>
        <v>Please select ERROR CODE column "I"</v>
      </c>
      <c r="L632" s="207" t="str">
        <f>IF(Errors!$I632=0,
    'List of Error Codes'!$E$29,
    IFERROR(VLOOKUP(Errors!$I632, 'List of Error Codes'!D631:I661, 6, FALSE), 'List of Error Codes'!$E$29)
)</f>
        <v>Please select ERROR CODE column "I"</v>
      </c>
      <c r="M632" s="209"/>
      <c r="N632" s="209"/>
      <c r="O632" s="209"/>
      <c r="P632" s="209"/>
      <c r="Q632" s="209"/>
      <c r="R632" s="217"/>
      <c r="S632" s="217"/>
      <c r="T632" s="217"/>
      <c r="U632" s="199"/>
      <c r="V632" s="200"/>
      <c r="W632" s="200"/>
      <c r="X632" s="200"/>
      <c r="Y632" s="200"/>
      <c r="Z632" s="200"/>
      <c r="AA632" s="201"/>
      <c r="AB632" s="200"/>
      <c r="AC632" s="200"/>
    </row>
    <row r="633" ht="15.0" customHeight="1">
      <c r="A633" s="210">
        <f t="shared" si="1"/>
        <v>631</v>
      </c>
      <c r="B633" s="217"/>
      <c r="C633" s="217" t="str">
        <f>IFERROR(VLOOKUP(B633, SourceData!$U$3:$V$190, 2, FALSE), "")</f>
        <v/>
      </c>
      <c r="D633" s="240"/>
      <c r="E633" s="241"/>
      <c r="F633" s="248"/>
      <c r="G633" s="207"/>
      <c r="H633" s="209"/>
      <c r="I633" s="209"/>
      <c r="J633" s="209"/>
      <c r="K633" s="208" t="str">
        <f>IF(Errors!$I633=0,SourceData!$B$42,VLOOKUP(Errors!$I633,SourceData!$A$2:$B$40,2,FALSE))</f>
        <v>Please select ERROR CODE column "I"</v>
      </c>
      <c r="L633" s="207" t="str">
        <f>IF(Errors!$I633=0,
    'List of Error Codes'!$E$29,
    IFERROR(VLOOKUP(Errors!$I633, 'List of Error Codes'!D632:I662, 6, FALSE), 'List of Error Codes'!$E$29)
)</f>
        <v>Please select ERROR CODE column "I"</v>
      </c>
      <c r="M633" s="209"/>
      <c r="N633" s="209"/>
      <c r="O633" s="209"/>
      <c r="P633" s="209"/>
      <c r="Q633" s="209"/>
      <c r="R633" s="217"/>
      <c r="S633" s="217"/>
      <c r="T633" s="217"/>
      <c r="U633" s="199"/>
      <c r="V633" s="200"/>
      <c r="W633" s="200"/>
      <c r="X633" s="200"/>
      <c r="Y633" s="200"/>
      <c r="Z633" s="200"/>
      <c r="AA633" s="201"/>
      <c r="AB633" s="200"/>
      <c r="AC633" s="200"/>
    </row>
    <row r="634" ht="15.0" customHeight="1">
      <c r="A634" s="210">
        <f t="shared" si="1"/>
        <v>632</v>
      </c>
      <c r="B634" s="217"/>
      <c r="C634" s="217" t="str">
        <f>IFERROR(VLOOKUP(B634, SourceData!$U$3:$V$190, 2, FALSE), "")</f>
        <v/>
      </c>
      <c r="D634" s="240"/>
      <c r="E634" s="241"/>
      <c r="F634" s="248"/>
      <c r="G634" s="207"/>
      <c r="H634" s="209"/>
      <c r="I634" s="209"/>
      <c r="J634" s="209"/>
      <c r="K634" s="208" t="str">
        <f>IF(Errors!$I634=0,SourceData!$B$42,VLOOKUP(Errors!$I634,SourceData!$A$2:$B$40,2,FALSE))</f>
        <v>Please select ERROR CODE column "I"</v>
      </c>
      <c r="L634" s="207" t="str">
        <f>IF(Errors!$I634=0,
    'List of Error Codes'!$E$29,
    IFERROR(VLOOKUP(Errors!$I634, 'List of Error Codes'!D633:I663, 6, FALSE), 'List of Error Codes'!$E$29)
)</f>
        <v>Please select ERROR CODE column "I"</v>
      </c>
      <c r="M634" s="209"/>
      <c r="N634" s="209"/>
      <c r="O634" s="209"/>
      <c r="P634" s="209"/>
      <c r="Q634" s="209"/>
      <c r="R634" s="217"/>
      <c r="S634" s="217"/>
      <c r="T634" s="217"/>
      <c r="U634" s="199"/>
      <c r="V634" s="200"/>
      <c r="W634" s="200"/>
      <c r="X634" s="200"/>
      <c r="Y634" s="200"/>
      <c r="Z634" s="200"/>
      <c r="AA634" s="201"/>
      <c r="AB634" s="200"/>
      <c r="AC634" s="200"/>
    </row>
    <row r="635" ht="15.0" customHeight="1">
      <c r="A635" s="210">
        <f t="shared" si="1"/>
        <v>633</v>
      </c>
      <c r="B635" s="217"/>
      <c r="C635" s="217" t="str">
        <f>IFERROR(VLOOKUP(B635, SourceData!$U$3:$V$190, 2, FALSE), "")</f>
        <v/>
      </c>
      <c r="D635" s="240"/>
      <c r="E635" s="241"/>
      <c r="F635" s="248"/>
      <c r="G635" s="207"/>
      <c r="H635" s="209"/>
      <c r="I635" s="209"/>
      <c r="J635" s="209"/>
      <c r="K635" s="208" t="str">
        <f>IF(Errors!$I635=0,SourceData!$B$42,VLOOKUP(Errors!$I635,SourceData!$A$2:$B$40,2,FALSE))</f>
        <v>Please select ERROR CODE column "I"</v>
      </c>
      <c r="L635" s="207" t="str">
        <f>IF(Errors!$I635=0,
    'List of Error Codes'!$E$29,
    IFERROR(VLOOKUP(Errors!$I635, 'List of Error Codes'!D634:I664, 6, FALSE), 'List of Error Codes'!$E$29)
)</f>
        <v>Please select ERROR CODE column "I"</v>
      </c>
      <c r="M635" s="209"/>
      <c r="N635" s="209"/>
      <c r="O635" s="209"/>
      <c r="P635" s="209"/>
      <c r="Q635" s="209"/>
      <c r="R635" s="217"/>
      <c r="S635" s="217"/>
      <c r="T635" s="217"/>
      <c r="U635" s="199"/>
      <c r="V635" s="200"/>
      <c r="W635" s="200"/>
      <c r="X635" s="200"/>
      <c r="Y635" s="200"/>
      <c r="Z635" s="200"/>
      <c r="AA635" s="201"/>
      <c r="AB635" s="200"/>
      <c r="AC635" s="200"/>
    </row>
    <row r="636" ht="15.0" customHeight="1">
      <c r="A636" s="210">
        <f t="shared" si="1"/>
        <v>634</v>
      </c>
      <c r="B636" s="217"/>
      <c r="C636" s="217" t="str">
        <f>IFERROR(VLOOKUP(B636, SourceData!$U$3:$V$190, 2, FALSE), "")</f>
        <v/>
      </c>
      <c r="D636" s="240"/>
      <c r="E636" s="241"/>
      <c r="F636" s="248"/>
      <c r="G636" s="207"/>
      <c r="H636" s="209"/>
      <c r="I636" s="209"/>
      <c r="J636" s="209"/>
      <c r="K636" s="208" t="str">
        <f>IF(Errors!$I636=0,SourceData!$B$42,VLOOKUP(Errors!$I636,SourceData!$A$2:$B$40,2,FALSE))</f>
        <v>Please select ERROR CODE column "I"</v>
      </c>
      <c r="L636" s="207" t="str">
        <f>IF(Errors!$I636=0,
    'List of Error Codes'!$E$29,
    IFERROR(VLOOKUP(Errors!$I636, 'List of Error Codes'!D635:I665, 6, FALSE), 'List of Error Codes'!$E$29)
)</f>
        <v>Please select ERROR CODE column "I"</v>
      </c>
      <c r="M636" s="209"/>
      <c r="N636" s="209"/>
      <c r="O636" s="209"/>
      <c r="P636" s="209"/>
      <c r="Q636" s="209"/>
      <c r="R636" s="217"/>
      <c r="S636" s="217"/>
      <c r="T636" s="217"/>
      <c r="U636" s="199"/>
      <c r="V636" s="200"/>
      <c r="W636" s="200"/>
      <c r="X636" s="200"/>
      <c r="Y636" s="200"/>
      <c r="Z636" s="200"/>
      <c r="AA636" s="201"/>
      <c r="AB636" s="200"/>
      <c r="AC636" s="200"/>
    </row>
    <row r="637" ht="15.0" customHeight="1">
      <c r="A637" s="210">
        <f t="shared" si="1"/>
        <v>635</v>
      </c>
      <c r="B637" s="217"/>
      <c r="C637" s="217" t="str">
        <f>IFERROR(VLOOKUP(B637, SourceData!$U$3:$V$190, 2, FALSE), "")</f>
        <v/>
      </c>
      <c r="D637" s="240"/>
      <c r="E637" s="241"/>
      <c r="F637" s="248"/>
      <c r="G637" s="207"/>
      <c r="H637" s="209"/>
      <c r="I637" s="209"/>
      <c r="J637" s="209"/>
      <c r="K637" s="208" t="str">
        <f>IF(Errors!$I637=0,SourceData!$B$42,VLOOKUP(Errors!$I637,SourceData!$A$2:$B$40,2,FALSE))</f>
        <v>Please select ERROR CODE column "I"</v>
      </c>
      <c r="L637" s="207" t="str">
        <f>IF(Errors!$I637=0,
    'List of Error Codes'!$E$29,
    IFERROR(VLOOKUP(Errors!$I637, 'List of Error Codes'!D636:I666, 6, FALSE), 'List of Error Codes'!$E$29)
)</f>
        <v>Please select ERROR CODE column "I"</v>
      </c>
      <c r="M637" s="209"/>
      <c r="N637" s="209"/>
      <c r="O637" s="209"/>
      <c r="P637" s="209"/>
      <c r="Q637" s="209"/>
      <c r="R637" s="217"/>
      <c r="S637" s="217"/>
      <c r="T637" s="217"/>
      <c r="U637" s="199"/>
      <c r="V637" s="200"/>
      <c r="W637" s="200"/>
      <c r="X637" s="200"/>
      <c r="Y637" s="200"/>
      <c r="Z637" s="200"/>
      <c r="AA637" s="201"/>
      <c r="AB637" s="200"/>
      <c r="AC637" s="200"/>
    </row>
    <row r="638" ht="15.0" customHeight="1">
      <c r="A638" s="210">
        <f t="shared" si="1"/>
        <v>636</v>
      </c>
      <c r="B638" s="217"/>
      <c r="C638" s="217" t="str">
        <f>IFERROR(VLOOKUP(B638, SourceData!$U$3:$V$190, 2, FALSE), "")</f>
        <v/>
      </c>
      <c r="D638" s="240"/>
      <c r="E638" s="241"/>
      <c r="F638" s="248"/>
      <c r="G638" s="207"/>
      <c r="H638" s="209"/>
      <c r="I638" s="209"/>
      <c r="J638" s="209"/>
      <c r="K638" s="208" t="str">
        <f>IF(Errors!$I638=0,SourceData!$B$42,VLOOKUP(Errors!$I638,SourceData!$A$2:$B$40,2,FALSE))</f>
        <v>Please select ERROR CODE column "I"</v>
      </c>
      <c r="L638" s="207" t="str">
        <f>IF(Errors!$I638=0,
    'List of Error Codes'!$E$29,
    IFERROR(VLOOKUP(Errors!$I638, 'List of Error Codes'!D637:I667, 6, FALSE), 'List of Error Codes'!$E$29)
)</f>
        <v>Please select ERROR CODE column "I"</v>
      </c>
      <c r="M638" s="209"/>
      <c r="N638" s="209"/>
      <c r="O638" s="209"/>
      <c r="P638" s="209"/>
      <c r="Q638" s="209"/>
      <c r="R638" s="217"/>
      <c r="S638" s="217"/>
      <c r="T638" s="217"/>
      <c r="U638" s="199"/>
      <c r="V638" s="200"/>
      <c r="W638" s="200"/>
      <c r="X638" s="200"/>
      <c r="Y638" s="200"/>
      <c r="Z638" s="200"/>
      <c r="AA638" s="201"/>
      <c r="AB638" s="200"/>
      <c r="AC638" s="200"/>
    </row>
    <row r="639" ht="15.0" customHeight="1">
      <c r="A639" s="210">
        <f t="shared" si="1"/>
        <v>637</v>
      </c>
      <c r="B639" s="217"/>
      <c r="C639" s="217" t="str">
        <f>IFERROR(VLOOKUP(B639, SourceData!$U$3:$V$190, 2, FALSE), "")</f>
        <v/>
      </c>
      <c r="D639" s="240"/>
      <c r="E639" s="241"/>
      <c r="F639" s="248"/>
      <c r="G639" s="207"/>
      <c r="H639" s="209"/>
      <c r="I639" s="209"/>
      <c r="J639" s="209"/>
      <c r="K639" s="208" t="str">
        <f>IF(Errors!$I639=0,SourceData!$B$42,VLOOKUP(Errors!$I639,SourceData!$A$2:$B$40,2,FALSE))</f>
        <v>Please select ERROR CODE column "I"</v>
      </c>
      <c r="L639" s="207" t="str">
        <f>IF(Errors!$I639=0,
    'List of Error Codes'!$E$29,
    IFERROR(VLOOKUP(Errors!$I639, 'List of Error Codes'!D638:I668, 6, FALSE), 'List of Error Codes'!$E$29)
)</f>
        <v>Please select ERROR CODE column "I"</v>
      </c>
      <c r="M639" s="209"/>
      <c r="N639" s="209"/>
      <c r="O639" s="209"/>
      <c r="P639" s="209"/>
      <c r="Q639" s="209"/>
      <c r="R639" s="217"/>
      <c r="S639" s="217"/>
      <c r="T639" s="217"/>
      <c r="U639" s="199"/>
      <c r="V639" s="200"/>
      <c r="W639" s="200"/>
      <c r="X639" s="200"/>
      <c r="Y639" s="200"/>
      <c r="Z639" s="200"/>
      <c r="AA639" s="201"/>
      <c r="AB639" s="200"/>
      <c r="AC639" s="200"/>
    </row>
    <row r="640" ht="15.0" customHeight="1">
      <c r="A640" s="210">
        <f t="shared" si="1"/>
        <v>638</v>
      </c>
      <c r="B640" s="217"/>
      <c r="C640" s="217" t="str">
        <f>IFERROR(VLOOKUP(B640, SourceData!$U$3:$V$190, 2, FALSE), "")</f>
        <v/>
      </c>
      <c r="D640" s="240"/>
      <c r="E640" s="241"/>
      <c r="F640" s="248"/>
      <c r="G640" s="207"/>
      <c r="H640" s="209"/>
      <c r="I640" s="209"/>
      <c r="J640" s="209"/>
      <c r="K640" s="208" t="str">
        <f>IF(Errors!$I640=0,SourceData!$B$42,VLOOKUP(Errors!$I640,SourceData!$A$2:$B$40,2,FALSE))</f>
        <v>Please select ERROR CODE column "I"</v>
      </c>
      <c r="L640" s="207" t="str">
        <f>IF(Errors!$I640=0,
    'List of Error Codes'!$E$29,
    IFERROR(VLOOKUP(Errors!$I640, 'List of Error Codes'!D639:I669, 6, FALSE), 'List of Error Codes'!$E$29)
)</f>
        <v>Please select ERROR CODE column "I"</v>
      </c>
      <c r="M640" s="209"/>
      <c r="N640" s="209"/>
      <c r="O640" s="209"/>
      <c r="P640" s="209"/>
      <c r="Q640" s="209"/>
      <c r="R640" s="217"/>
      <c r="S640" s="217"/>
      <c r="T640" s="217"/>
      <c r="U640" s="199"/>
      <c r="V640" s="200"/>
      <c r="W640" s="200"/>
      <c r="X640" s="200"/>
      <c r="Y640" s="200"/>
      <c r="Z640" s="200"/>
      <c r="AA640" s="201"/>
      <c r="AB640" s="200"/>
      <c r="AC640" s="200"/>
    </row>
    <row r="641" ht="15.0" customHeight="1">
      <c r="A641" s="210">
        <f t="shared" si="1"/>
        <v>639</v>
      </c>
      <c r="B641" s="217"/>
      <c r="C641" s="217" t="str">
        <f>IFERROR(VLOOKUP(B641, SourceData!$U$3:$V$190, 2, FALSE), "")</f>
        <v/>
      </c>
      <c r="D641" s="240"/>
      <c r="E641" s="241"/>
      <c r="F641" s="248"/>
      <c r="G641" s="207"/>
      <c r="H641" s="209"/>
      <c r="I641" s="209"/>
      <c r="J641" s="209"/>
      <c r="K641" s="208" t="str">
        <f>IF(Errors!$I641=0,SourceData!$B$42,VLOOKUP(Errors!$I641,SourceData!$A$2:$B$40,2,FALSE))</f>
        <v>Please select ERROR CODE column "I"</v>
      </c>
      <c r="L641" s="207" t="str">
        <f>IF(Errors!$I641=0,
    'List of Error Codes'!$E$29,
    IFERROR(VLOOKUP(Errors!$I641, 'List of Error Codes'!D640:I670, 6, FALSE), 'List of Error Codes'!$E$29)
)</f>
        <v>Please select ERROR CODE column "I"</v>
      </c>
      <c r="M641" s="209"/>
      <c r="N641" s="209"/>
      <c r="O641" s="209"/>
      <c r="P641" s="209"/>
      <c r="Q641" s="209"/>
      <c r="R641" s="217"/>
      <c r="S641" s="217"/>
      <c r="T641" s="217"/>
      <c r="U641" s="199"/>
      <c r="V641" s="200"/>
      <c r="W641" s="200"/>
      <c r="X641" s="200"/>
      <c r="Y641" s="200"/>
      <c r="Z641" s="200"/>
      <c r="AA641" s="201"/>
      <c r="AB641" s="200"/>
      <c r="AC641" s="200"/>
    </row>
    <row r="642" ht="15.0" customHeight="1">
      <c r="A642" s="210">
        <f t="shared" si="1"/>
        <v>640</v>
      </c>
      <c r="B642" s="217"/>
      <c r="C642" s="217" t="str">
        <f>IFERROR(VLOOKUP(B642, SourceData!$U$3:$V$190, 2, FALSE), "")</f>
        <v/>
      </c>
      <c r="D642" s="240"/>
      <c r="E642" s="241"/>
      <c r="F642" s="248"/>
      <c r="G642" s="207"/>
      <c r="H642" s="209"/>
      <c r="I642" s="209"/>
      <c r="J642" s="209"/>
      <c r="K642" s="208" t="str">
        <f>IF(Errors!$I642=0,SourceData!$B$42,VLOOKUP(Errors!$I642,SourceData!$A$2:$B$40,2,FALSE))</f>
        <v>Please select ERROR CODE column "I"</v>
      </c>
      <c r="L642" s="207" t="str">
        <f>IF(Errors!$I642=0,
    'List of Error Codes'!$E$29,
    IFERROR(VLOOKUP(Errors!$I642, 'List of Error Codes'!D641:I671, 6, FALSE), 'List of Error Codes'!$E$29)
)</f>
        <v>Please select ERROR CODE column "I"</v>
      </c>
      <c r="M642" s="209"/>
      <c r="N642" s="209"/>
      <c r="O642" s="209"/>
      <c r="P642" s="209"/>
      <c r="Q642" s="209"/>
      <c r="R642" s="217"/>
      <c r="S642" s="217"/>
      <c r="T642" s="217"/>
      <c r="U642" s="199"/>
      <c r="V642" s="200"/>
      <c r="W642" s="200"/>
      <c r="X642" s="200"/>
      <c r="Y642" s="200"/>
      <c r="Z642" s="200"/>
      <c r="AA642" s="201"/>
      <c r="AB642" s="200"/>
      <c r="AC642" s="200"/>
    </row>
    <row r="643" ht="15.0" customHeight="1">
      <c r="A643" s="210">
        <f t="shared" si="1"/>
        <v>641</v>
      </c>
      <c r="B643" s="217"/>
      <c r="C643" s="217" t="str">
        <f>IFERROR(VLOOKUP(B643, SourceData!$U$3:$V$190, 2, FALSE), "")</f>
        <v/>
      </c>
      <c r="D643" s="240"/>
      <c r="E643" s="241"/>
      <c r="F643" s="248"/>
      <c r="G643" s="207"/>
      <c r="H643" s="209"/>
      <c r="I643" s="209"/>
      <c r="J643" s="209"/>
      <c r="K643" s="208" t="str">
        <f>IF(Errors!$I643=0,SourceData!$B$42,VLOOKUP(Errors!$I643,SourceData!$A$2:$B$40,2,FALSE))</f>
        <v>Please select ERROR CODE column "I"</v>
      </c>
      <c r="L643" s="207" t="str">
        <f>IF(Errors!$I643=0,
    'List of Error Codes'!$E$29,
    IFERROR(VLOOKUP(Errors!$I643, 'List of Error Codes'!D642:I672, 6, FALSE), 'List of Error Codes'!$E$29)
)</f>
        <v>Please select ERROR CODE column "I"</v>
      </c>
      <c r="M643" s="209"/>
      <c r="N643" s="209"/>
      <c r="O643" s="209"/>
      <c r="P643" s="209"/>
      <c r="Q643" s="209"/>
      <c r="R643" s="217"/>
      <c r="S643" s="217"/>
      <c r="T643" s="217"/>
      <c r="U643" s="199"/>
      <c r="V643" s="200"/>
      <c r="W643" s="200"/>
      <c r="X643" s="200"/>
      <c r="Y643" s="200"/>
      <c r="Z643" s="200"/>
      <c r="AA643" s="201"/>
      <c r="AB643" s="200"/>
      <c r="AC643" s="200"/>
    </row>
    <row r="644" ht="15.0" customHeight="1">
      <c r="A644" s="210">
        <f t="shared" si="1"/>
        <v>642</v>
      </c>
      <c r="B644" s="217"/>
      <c r="C644" s="217" t="str">
        <f>IFERROR(VLOOKUP(B644, SourceData!$U$3:$V$190, 2, FALSE), "")</f>
        <v/>
      </c>
      <c r="D644" s="240"/>
      <c r="E644" s="241"/>
      <c r="F644" s="248"/>
      <c r="G644" s="207"/>
      <c r="H644" s="209"/>
      <c r="I644" s="209"/>
      <c r="J644" s="209"/>
      <c r="K644" s="208" t="str">
        <f>IF(Errors!$I644=0,SourceData!$B$42,VLOOKUP(Errors!$I644,SourceData!$A$2:$B$40,2,FALSE))</f>
        <v>Please select ERROR CODE column "I"</v>
      </c>
      <c r="L644" s="207" t="str">
        <f>IF(Errors!$I644=0,
    'List of Error Codes'!$E$29,
    IFERROR(VLOOKUP(Errors!$I644, 'List of Error Codes'!D643:I673, 6, FALSE), 'List of Error Codes'!$E$29)
)</f>
        <v>Please select ERROR CODE column "I"</v>
      </c>
      <c r="M644" s="209"/>
      <c r="N644" s="209"/>
      <c r="O644" s="209"/>
      <c r="P644" s="209"/>
      <c r="Q644" s="209"/>
      <c r="R644" s="217"/>
      <c r="S644" s="217"/>
      <c r="T644" s="217"/>
      <c r="U644" s="199"/>
      <c r="V644" s="200"/>
      <c r="W644" s="200"/>
      <c r="X644" s="200"/>
      <c r="Y644" s="200"/>
      <c r="Z644" s="200"/>
      <c r="AA644" s="201"/>
      <c r="AB644" s="200"/>
      <c r="AC644" s="200"/>
    </row>
    <row r="645" ht="15.0" customHeight="1">
      <c r="A645" s="210">
        <f t="shared" si="1"/>
        <v>643</v>
      </c>
      <c r="B645" s="217"/>
      <c r="C645" s="217" t="str">
        <f>IFERROR(VLOOKUP(B645, SourceData!$U$3:$V$190, 2, FALSE), "")</f>
        <v/>
      </c>
      <c r="D645" s="240"/>
      <c r="E645" s="241"/>
      <c r="F645" s="248"/>
      <c r="G645" s="207"/>
      <c r="H645" s="209"/>
      <c r="I645" s="209"/>
      <c r="J645" s="209"/>
      <c r="K645" s="208" t="str">
        <f>IF(Errors!$I645=0,SourceData!$B$42,VLOOKUP(Errors!$I645,SourceData!$A$2:$B$40,2,FALSE))</f>
        <v>Please select ERROR CODE column "I"</v>
      </c>
      <c r="L645" s="207" t="str">
        <f>IF(Errors!$I645=0,
    'List of Error Codes'!$E$29,
    IFERROR(VLOOKUP(Errors!$I645, 'List of Error Codes'!D644:I674, 6, FALSE), 'List of Error Codes'!$E$29)
)</f>
        <v>Please select ERROR CODE column "I"</v>
      </c>
      <c r="M645" s="209"/>
      <c r="N645" s="209"/>
      <c r="O645" s="209"/>
      <c r="P645" s="209"/>
      <c r="Q645" s="209"/>
      <c r="R645" s="217"/>
      <c r="S645" s="217"/>
      <c r="T645" s="217"/>
      <c r="U645" s="199"/>
      <c r="V645" s="200"/>
      <c r="W645" s="200"/>
      <c r="X645" s="200"/>
      <c r="Y645" s="200"/>
      <c r="Z645" s="200"/>
      <c r="AA645" s="201"/>
      <c r="AB645" s="200"/>
      <c r="AC645" s="200"/>
    </row>
    <row r="646" ht="15.0" customHeight="1">
      <c r="A646" s="210">
        <f t="shared" si="1"/>
        <v>644</v>
      </c>
      <c r="B646" s="217"/>
      <c r="C646" s="217" t="str">
        <f>IFERROR(VLOOKUP(B646, SourceData!$U$3:$V$190, 2, FALSE), "")</f>
        <v/>
      </c>
      <c r="D646" s="240"/>
      <c r="E646" s="241"/>
      <c r="F646" s="248"/>
      <c r="G646" s="207"/>
      <c r="H646" s="209"/>
      <c r="I646" s="209"/>
      <c r="J646" s="209"/>
      <c r="K646" s="208" t="str">
        <f>IF(Errors!$I646=0,SourceData!$B$42,VLOOKUP(Errors!$I646,SourceData!$A$2:$B$40,2,FALSE))</f>
        <v>Please select ERROR CODE column "I"</v>
      </c>
      <c r="L646" s="207" t="str">
        <f>IF(Errors!$I646=0,
    'List of Error Codes'!$E$29,
    IFERROR(VLOOKUP(Errors!$I646, 'List of Error Codes'!D645:I675, 6, FALSE), 'List of Error Codes'!$E$29)
)</f>
        <v>Please select ERROR CODE column "I"</v>
      </c>
      <c r="M646" s="209"/>
      <c r="N646" s="209"/>
      <c r="O646" s="209"/>
      <c r="P646" s="209"/>
      <c r="Q646" s="209"/>
      <c r="R646" s="217"/>
      <c r="S646" s="217"/>
      <c r="T646" s="217"/>
      <c r="U646" s="199"/>
      <c r="V646" s="200"/>
      <c r="W646" s="200"/>
      <c r="X646" s="200"/>
      <c r="Y646" s="200"/>
      <c r="Z646" s="200"/>
      <c r="AA646" s="201"/>
      <c r="AB646" s="200"/>
      <c r="AC646" s="200"/>
    </row>
    <row r="647" ht="15.0" customHeight="1">
      <c r="A647" s="210">
        <f t="shared" si="1"/>
        <v>645</v>
      </c>
      <c r="B647" s="217"/>
      <c r="C647" s="217" t="str">
        <f>IFERROR(VLOOKUP(B647, SourceData!$U$3:$V$190, 2, FALSE), "")</f>
        <v/>
      </c>
      <c r="D647" s="240"/>
      <c r="E647" s="241"/>
      <c r="F647" s="248"/>
      <c r="G647" s="207"/>
      <c r="H647" s="209"/>
      <c r="I647" s="209"/>
      <c r="J647" s="209"/>
      <c r="K647" s="208" t="str">
        <f>IF(Errors!$I647=0,SourceData!$B$42,VLOOKUP(Errors!$I647,SourceData!$A$2:$B$40,2,FALSE))</f>
        <v>Please select ERROR CODE column "I"</v>
      </c>
      <c r="L647" s="207" t="str">
        <f>IF(Errors!$I647=0,
    'List of Error Codes'!$E$29,
    IFERROR(VLOOKUP(Errors!$I647, 'List of Error Codes'!D646:I676, 6, FALSE), 'List of Error Codes'!$E$29)
)</f>
        <v>Please select ERROR CODE column "I"</v>
      </c>
      <c r="M647" s="209"/>
      <c r="N647" s="209"/>
      <c r="O647" s="209"/>
      <c r="P647" s="209"/>
      <c r="Q647" s="209"/>
      <c r="R647" s="217"/>
      <c r="S647" s="217"/>
      <c r="T647" s="217"/>
      <c r="U647" s="199"/>
      <c r="V647" s="200"/>
      <c r="W647" s="200"/>
      <c r="X647" s="200"/>
      <c r="Y647" s="200"/>
      <c r="Z647" s="200"/>
      <c r="AA647" s="201"/>
      <c r="AB647" s="200"/>
      <c r="AC647" s="200"/>
    </row>
    <row r="648" ht="15.0" customHeight="1">
      <c r="A648" s="210">
        <f t="shared" si="1"/>
        <v>646</v>
      </c>
      <c r="B648" s="217"/>
      <c r="C648" s="217" t="str">
        <f>IFERROR(VLOOKUP(B648, SourceData!$U$3:$V$190, 2, FALSE), "")</f>
        <v/>
      </c>
      <c r="D648" s="240"/>
      <c r="E648" s="241"/>
      <c r="F648" s="248"/>
      <c r="G648" s="207"/>
      <c r="H648" s="209"/>
      <c r="I648" s="209"/>
      <c r="J648" s="209"/>
      <c r="K648" s="208" t="str">
        <f>IF(Errors!$I648=0,SourceData!$B$42,VLOOKUP(Errors!$I648,SourceData!$A$2:$B$40,2,FALSE))</f>
        <v>Please select ERROR CODE column "I"</v>
      </c>
      <c r="L648" s="207" t="str">
        <f>IF(Errors!$I648=0,
    'List of Error Codes'!$E$29,
    IFERROR(VLOOKUP(Errors!$I648, 'List of Error Codes'!D647:I677, 6, FALSE), 'List of Error Codes'!$E$29)
)</f>
        <v>Please select ERROR CODE column "I"</v>
      </c>
      <c r="M648" s="209"/>
      <c r="N648" s="209"/>
      <c r="O648" s="209"/>
      <c r="P648" s="209"/>
      <c r="Q648" s="209"/>
      <c r="R648" s="217"/>
      <c r="S648" s="217"/>
      <c r="T648" s="217"/>
      <c r="U648" s="199"/>
      <c r="V648" s="200"/>
      <c r="W648" s="200"/>
      <c r="X648" s="200"/>
      <c r="Y648" s="200"/>
      <c r="Z648" s="200"/>
      <c r="AA648" s="201"/>
      <c r="AB648" s="200"/>
      <c r="AC648" s="200"/>
    </row>
    <row r="649" ht="15.0" customHeight="1">
      <c r="A649" s="210">
        <f t="shared" si="1"/>
        <v>647</v>
      </c>
      <c r="B649" s="217"/>
      <c r="C649" s="217" t="str">
        <f>IFERROR(VLOOKUP(B649, SourceData!$U$3:$V$190, 2, FALSE), "")</f>
        <v/>
      </c>
      <c r="D649" s="240"/>
      <c r="E649" s="241"/>
      <c r="F649" s="248"/>
      <c r="G649" s="207"/>
      <c r="H649" s="209"/>
      <c r="I649" s="209"/>
      <c r="J649" s="209"/>
      <c r="K649" s="208" t="str">
        <f>IF(Errors!$I649=0,SourceData!$B$42,VLOOKUP(Errors!$I649,SourceData!$A$2:$B$40,2,FALSE))</f>
        <v>Please select ERROR CODE column "I"</v>
      </c>
      <c r="L649" s="207" t="str">
        <f>IF(Errors!$I649=0,
    'List of Error Codes'!$E$29,
    IFERROR(VLOOKUP(Errors!$I649, 'List of Error Codes'!D648:I678, 6, FALSE), 'List of Error Codes'!$E$29)
)</f>
        <v>Please select ERROR CODE column "I"</v>
      </c>
      <c r="M649" s="209"/>
      <c r="N649" s="209"/>
      <c r="O649" s="209"/>
      <c r="P649" s="209"/>
      <c r="Q649" s="209"/>
      <c r="R649" s="217"/>
      <c r="S649" s="217"/>
      <c r="T649" s="217"/>
      <c r="U649" s="199"/>
      <c r="V649" s="200"/>
      <c r="W649" s="200"/>
      <c r="X649" s="200"/>
      <c r="Y649" s="200"/>
      <c r="Z649" s="200"/>
      <c r="AA649" s="201"/>
      <c r="AB649" s="200"/>
      <c r="AC649" s="200"/>
    </row>
    <row r="650" ht="15.0" customHeight="1">
      <c r="A650" s="210">
        <f t="shared" si="1"/>
        <v>648</v>
      </c>
      <c r="B650" s="217"/>
      <c r="C650" s="217" t="str">
        <f>IFERROR(VLOOKUP(B650, SourceData!$U$3:$V$190, 2, FALSE), "")</f>
        <v/>
      </c>
      <c r="D650" s="240"/>
      <c r="E650" s="241"/>
      <c r="F650" s="248"/>
      <c r="G650" s="207"/>
      <c r="H650" s="209"/>
      <c r="I650" s="209"/>
      <c r="J650" s="209"/>
      <c r="K650" s="208" t="str">
        <f>IF(Errors!$I650=0,SourceData!$B$42,VLOOKUP(Errors!$I650,SourceData!$A$2:$B$40,2,FALSE))</f>
        <v>Please select ERROR CODE column "I"</v>
      </c>
      <c r="L650" s="207" t="str">
        <f>IF(Errors!$I650=0,
    'List of Error Codes'!$E$29,
    IFERROR(VLOOKUP(Errors!$I650, 'List of Error Codes'!D649:I679, 6, FALSE), 'List of Error Codes'!$E$29)
)</f>
        <v>Please select ERROR CODE column "I"</v>
      </c>
      <c r="M650" s="209"/>
      <c r="N650" s="209"/>
      <c r="O650" s="209"/>
      <c r="P650" s="209"/>
      <c r="Q650" s="209"/>
      <c r="R650" s="217"/>
      <c r="S650" s="217"/>
      <c r="T650" s="217"/>
      <c r="U650" s="199"/>
      <c r="V650" s="200"/>
      <c r="W650" s="200"/>
      <c r="X650" s="200"/>
      <c r="Y650" s="200"/>
      <c r="Z650" s="200"/>
      <c r="AA650" s="201"/>
      <c r="AB650" s="200"/>
      <c r="AC650" s="200"/>
    </row>
    <row r="651" ht="15.0" customHeight="1">
      <c r="A651" s="210">
        <f t="shared" si="1"/>
        <v>649</v>
      </c>
      <c r="B651" s="217"/>
      <c r="C651" s="217" t="str">
        <f>IFERROR(VLOOKUP(B651, SourceData!$U$3:$V$190, 2, FALSE), "")</f>
        <v/>
      </c>
      <c r="D651" s="240"/>
      <c r="E651" s="241"/>
      <c r="F651" s="248"/>
      <c r="G651" s="207"/>
      <c r="H651" s="209"/>
      <c r="I651" s="209"/>
      <c r="J651" s="209"/>
      <c r="K651" s="208" t="str">
        <f>IF(Errors!$I651=0,SourceData!$B$42,VLOOKUP(Errors!$I651,SourceData!$A$2:$B$40,2,FALSE))</f>
        <v>Please select ERROR CODE column "I"</v>
      </c>
      <c r="L651" s="207" t="str">
        <f>IF(Errors!$I651=0,
    'List of Error Codes'!$E$29,
    IFERROR(VLOOKUP(Errors!$I651, 'List of Error Codes'!D650:I680, 6, FALSE), 'List of Error Codes'!$E$29)
)</f>
        <v>Please select ERROR CODE column "I"</v>
      </c>
      <c r="M651" s="209"/>
      <c r="N651" s="209"/>
      <c r="O651" s="209"/>
      <c r="P651" s="209"/>
      <c r="Q651" s="209"/>
      <c r="R651" s="217"/>
      <c r="S651" s="217"/>
      <c r="T651" s="217"/>
      <c r="U651" s="199"/>
      <c r="V651" s="200"/>
      <c r="W651" s="200"/>
      <c r="X651" s="200"/>
      <c r="Y651" s="200"/>
      <c r="Z651" s="200"/>
      <c r="AA651" s="201"/>
      <c r="AB651" s="200"/>
      <c r="AC651" s="200"/>
    </row>
    <row r="652" ht="15.0" customHeight="1">
      <c r="A652" s="210">
        <f t="shared" si="1"/>
        <v>650</v>
      </c>
      <c r="B652" s="217"/>
      <c r="C652" s="217" t="str">
        <f>IFERROR(VLOOKUP(B652, SourceData!$U$3:$V$190, 2, FALSE), "")</f>
        <v/>
      </c>
      <c r="D652" s="240"/>
      <c r="E652" s="241"/>
      <c r="F652" s="248"/>
      <c r="G652" s="207"/>
      <c r="H652" s="209"/>
      <c r="I652" s="209"/>
      <c r="J652" s="209"/>
      <c r="K652" s="208" t="str">
        <f>IF(Errors!$I652=0,SourceData!$B$42,VLOOKUP(Errors!$I652,SourceData!$A$2:$B$40,2,FALSE))</f>
        <v>Please select ERROR CODE column "I"</v>
      </c>
      <c r="L652" s="207" t="str">
        <f>IF(Errors!$I652=0,
    'List of Error Codes'!$E$29,
    IFERROR(VLOOKUP(Errors!$I652, 'List of Error Codes'!D651:I681, 6, FALSE), 'List of Error Codes'!$E$29)
)</f>
        <v>Please select ERROR CODE column "I"</v>
      </c>
      <c r="M652" s="209"/>
      <c r="N652" s="209"/>
      <c r="O652" s="209"/>
      <c r="P652" s="209"/>
      <c r="Q652" s="209"/>
      <c r="R652" s="217"/>
      <c r="S652" s="217"/>
      <c r="T652" s="217"/>
      <c r="U652" s="199"/>
      <c r="V652" s="200"/>
      <c r="W652" s="200"/>
      <c r="X652" s="200"/>
      <c r="Y652" s="200"/>
      <c r="Z652" s="200"/>
      <c r="AA652" s="201"/>
      <c r="AB652" s="200"/>
      <c r="AC652" s="200"/>
    </row>
    <row r="653" ht="15.0" customHeight="1">
      <c r="A653" s="210">
        <f t="shared" si="1"/>
        <v>651</v>
      </c>
      <c r="B653" s="217"/>
      <c r="C653" s="217" t="str">
        <f>IFERROR(VLOOKUP(B653, SourceData!$U$3:$V$190, 2, FALSE), "")</f>
        <v/>
      </c>
      <c r="D653" s="240"/>
      <c r="E653" s="241"/>
      <c r="F653" s="248"/>
      <c r="G653" s="207"/>
      <c r="H653" s="209"/>
      <c r="I653" s="209"/>
      <c r="J653" s="209"/>
      <c r="K653" s="208" t="str">
        <f>IF(Errors!$I653=0,SourceData!$B$42,VLOOKUP(Errors!$I653,SourceData!$A$2:$B$40,2,FALSE))</f>
        <v>Please select ERROR CODE column "I"</v>
      </c>
      <c r="L653" s="207" t="str">
        <f>IF(Errors!$I653=0,
    'List of Error Codes'!$E$29,
    IFERROR(VLOOKUP(Errors!$I653, 'List of Error Codes'!D652:I682, 6, FALSE), 'List of Error Codes'!$E$29)
)</f>
        <v>Please select ERROR CODE column "I"</v>
      </c>
      <c r="M653" s="209"/>
      <c r="N653" s="209"/>
      <c r="O653" s="209"/>
      <c r="P653" s="209"/>
      <c r="Q653" s="209"/>
      <c r="R653" s="217"/>
      <c r="S653" s="217"/>
      <c r="T653" s="217"/>
      <c r="U653" s="199"/>
      <c r="V653" s="200"/>
      <c r="W653" s="200"/>
      <c r="X653" s="200"/>
      <c r="Y653" s="200"/>
      <c r="Z653" s="200"/>
      <c r="AA653" s="201"/>
      <c r="AB653" s="200"/>
      <c r="AC653" s="200"/>
    </row>
    <row r="654" ht="15.0" customHeight="1">
      <c r="A654" s="210">
        <f t="shared" si="1"/>
        <v>652</v>
      </c>
      <c r="B654" s="217"/>
      <c r="C654" s="217" t="str">
        <f>IFERROR(VLOOKUP(B654, SourceData!$U$3:$V$190, 2, FALSE), "")</f>
        <v/>
      </c>
      <c r="D654" s="240"/>
      <c r="E654" s="241"/>
      <c r="F654" s="248"/>
      <c r="G654" s="207"/>
      <c r="H654" s="209"/>
      <c r="I654" s="209"/>
      <c r="J654" s="209"/>
      <c r="K654" s="208" t="str">
        <f>IF(Errors!$I654=0,SourceData!$B$42,VLOOKUP(Errors!$I654,SourceData!$A$2:$B$40,2,FALSE))</f>
        <v>Please select ERROR CODE column "I"</v>
      </c>
      <c r="L654" s="207" t="str">
        <f>IF(Errors!$I654=0,
    'List of Error Codes'!$E$29,
    IFERROR(VLOOKUP(Errors!$I654, 'List of Error Codes'!D653:I683, 6, FALSE), 'List of Error Codes'!$E$29)
)</f>
        <v>Please select ERROR CODE column "I"</v>
      </c>
      <c r="M654" s="209"/>
      <c r="N654" s="209"/>
      <c r="O654" s="209"/>
      <c r="P654" s="209"/>
      <c r="Q654" s="209"/>
      <c r="R654" s="217"/>
      <c r="S654" s="217"/>
      <c r="T654" s="217"/>
      <c r="U654" s="199"/>
      <c r="V654" s="200"/>
      <c r="W654" s="200"/>
      <c r="X654" s="200"/>
      <c r="Y654" s="200"/>
      <c r="Z654" s="200"/>
      <c r="AA654" s="201"/>
      <c r="AB654" s="200"/>
      <c r="AC654" s="200"/>
    </row>
    <row r="655" ht="15.0" customHeight="1">
      <c r="A655" s="210">
        <f t="shared" si="1"/>
        <v>653</v>
      </c>
      <c r="B655" s="217"/>
      <c r="C655" s="217" t="str">
        <f>IFERROR(VLOOKUP(B655, SourceData!$U$3:$V$190, 2, FALSE), "")</f>
        <v/>
      </c>
      <c r="D655" s="240"/>
      <c r="E655" s="241"/>
      <c r="F655" s="248"/>
      <c r="G655" s="207"/>
      <c r="H655" s="209"/>
      <c r="I655" s="209"/>
      <c r="J655" s="209"/>
      <c r="K655" s="208" t="str">
        <f>IF(Errors!$I655=0,SourceData!$B$42,VLOOKUP(Errors!$I655,SourceData!$A$2:$B$40,2,FALSE))</f>
        <v>Please select ERROR CODE column "I"</v>
      </c>
      <c r="L655" s="207" t="str">
        <f>IF(Errors!$I655=0,
    'List of Error Codes'!$E$29,
    IFERROR(VLOOKUP(Errors!$I655, 'List of Error Codes'!D654:I684, 6, FALSE), 'List of Error Codes'!$E$29)
)</f>
        <v>Please select ERROR CODE column "I"</v>
      </c>
      <c r="M655" s="209"/>
      <c r="N655" s="209"/>
      <c r="O655" s="209"/>
      <c r="P655" s="209"/>
      <c r="Q655" s="209"/>
      <c r="R655" s="217"/>
      <c r="S655" s="217"/>
      <c r="T655" s="217"/>
      <c r="U655" s="199"/>
      <c r="V655" s="200"/>
      <c r="W655" s="200"/>
      <c r="X655" s="200"/>
      <c r="Y655" s="200"/>
      <c r="Z655" s="200"/>
      <c r="AA655" s="201"/>
      <c r="AB655" s="200"/>
      <c r="AC655" s="200"/>
    </row>
    <row r="656" ht="15.0" customHeight="1">
      <c r="A656" s="210">
        <f t="shared" si="1"/>
        <v>654</v>
      </c>
      <c r="B656" s="217"/>
      <c r="C656" s="217" t="str">
        <f>IFERROR(VLOOKUP(B656, SourceData!$U$3:$V$190, 2, FALSE), "")</f>
        <v/>
      </c>
      <c r="D656" s="240"/>
      <c r="E656" s="241"/>
      <c r="F656" s="248"/>
      <c r="G656" s="207"/>
      <c r="H656" s="209"/>
      <c r="I656" s="209"/>
      <c r="J656" s="209"/>
      <c r="K656" s="208" t="str">
        <f>IF(Errors!$I656=0,SourceData!$B$42,VLOOKUP(Errors!$I656,SourceData!$A$2:$B$40,2,FALSE))</f>
        <v>Please select ERROR CODE column "I"</v>
      </c>
      <c r="L656" s="207" t="str">
        <f>IF(Errors!$I656=0,
    'List of Error Codes'!$E$29,
    IFERROR(VLOOKUP(Errors!$I656, 'List of Error Codes'!D655:I685, 6, FALSE), 'List of Error Codes'!$E$29)
)</f>
        <v>Please select ERROR CODE column "I"</v>
      </c>
      <c r="M656" s="209"/>
      <c r="N656" s="209"/>
      <c r="O656" s="209"/>
      <c r="P656" s="209"/>
      <c r="Q656" s="209"/>
      <c r="R656" s="217"/>
      <c r="S656" s="217"/>
      <c r="T656" s="217"/>
      <c r="U656" s="199"/>
      <c r="V656" s="200"/>
      <c r="W656" s="200"/>
      <c r="X656" s="200"/>
      <c r="Y656" s="200"/>
      <c r="Z656" s="200"/>
      <c r="AA656" s="201"/>
      <c r="AB656" s="200"/>
      <c r="AC656" s="200"/>
    </row>
    <row r="657" ht="15.0" customHeight="1">
      <c r="A657" s="210">
        <f t="shared" si="1"/>
        <v>655</v>
      </c>
      <c r="B657" s="217"/>
      <c r="C657" s="217" t="str">
        <f>IFERROR(VLOOKUP(B657, SourceData!$U$3:$V$190, 2, FALSE), "")</f>
        <v/>
      </c>
      <c r="D657" s="240"/>
      <c r="E657" s="241"/>
      <c r="F657" s="248"/>
      <c r="G657" s="207"/>
      <c r="H657" s="209"/>
      <c r="I657" s="209"/>
      <c r="J657" s="209"/>
      <c r="K657" s="208" t="str">
        <f>IF(Errors!$I657=0,SourceData!$B$42,VLOOKUP(Errors!$I657,SourceData!$A$2:$B$40,2,FALSE))</f>
        <v>Please select ERROR CODE column "I"</v>
      </c>
      <c r="L657" s="207" t="str">
        <f>IF(Errors!$I657=0,
    'List of Error Codes'!$E$29,
    IFERROR(VLOOKUP(Errors!$I657, 'List of Error Codes'!D656:I686, 6, FALSE), 'List of Error Codes'!$E$29)
)</f>
        <v>Please select ERROR CODE column "I"</v>
      </c>
      <c r="M657" s="209"/>
      <c r="N657" s="209"/>
      <c r="O657" s="209"/>
      <c r="P657" s="209"/>
      <c r="Q657" s="209"/>
      <c r="R657" s="217"/>
      <c r="S657" s="217"/>
      <c r="T657" s="217"/>
      <c r="U657" s="199"/>
      <c r="V657" s="200"/>
      <c r="W657" s="200"/>
      <c r="X657" s="200"/>
      <c r="Y657" s="200"/>
      <c r="Z657" s="200"/>
      <c r="AA657" s="201"/>
      <c r="AB657" s="200"/>
      <c r="AC657" s="200"/>
    </row>
    <row r="658" ht="15.0" customHeight="1">
      <c r="A658" s="210">
        <f t="shared" si="1"/>
        <v>656</v>
      </c>
      <c r="B658" s="217"/>
      <c r="C658" s="217" t="str">
        <f>IFERROR(VLOOKUP(B658, SourceData!$U$3:$V$190, 2, FALSE), "")</f>
        <v/>
      </c>
      <c r="D658" s="240"/>
      <c r="E658" s="241"/>
      <c r="F658" s="248"/>
      <c r="G658" s="207"/>
      <c r="H658" s="209"/>
      <c r="I658" s="209"/>
      <c r="J658" s="209"/>
      <c r="K658" s="208" t="str">
        <f>IF(Errors!$I658=0,SourceData!$B$42,VLOOKUP(Errors!$I658,SourceData!$A$2:$B$40,2,FALSE))</f>
        <v>Please select ERROR CODE column "I"</v>
      </c>
      <c r="L658" s="207" t="str">
        <f>IF(Errors!$I658=0,
    'List of Error Codes'!$E$29,
    IFERROR(VLOOKUP(Errors!$I658, 'List of Error Codes'!D657:I687, 6, FALSE), 'List of Error Codes'!$E$29)
)</f>
        <v>Please select ERROR CODE column "I"</v>
      </c>
      <c r="M658" s="209"/>
      <c r="N658" s="209"/>
      <c r="O658" s="209"/>
      <c r="P658" s="209"/>
      <c r="Q658" s="209"/>
      <c r="R658" s="217"/>
      <c r="S658" s="217"/>
      <c r="T658" s="217"/>
      <c r="U658" s="199"/>
      <c r="V658" s="200"/>
      <c r="W658" s="200"/>
      <c r="X658" s="200"/>
      <c r="Y658" s="200"/>
      <c r="Z658" s="200"/>
      <c r="AA658" s="201"/>
      <c r="AB658" s="200"/>
      <c r="AC658" s="200"/>
    </row>
    <row r="659" ht="15.0" customHeight="1">
      <c r="A659" s="210">
        <f t="shared" si="1"/>
        <v>657</v>
      </c>
      <c r="B659" s="217"/>
      <c r="C659" s="217" t="str">
        <f>IFERROR(VLOOKUP(B659, SourceData!$U$3:$V$190, 2, FALSE), "")</f>
        <v/>
      </c>
      <c r="D659" s="240"/>
      <c r="E659" s="241"/>
      <c r="F659" s="248"/>
      <c r="G659" s="207"/>
      <c r="H659" s="209"/>
      <c r="I659" s="209"/>
      <c r="J659" s="209"/>
      <c r="K659" s="208" t="str">
        <f>IF(Errors!$I659=0,SourceData!$B$42,VLOOKUP(Errors!$I659,SourceData!$A$2:$B$40,2,FALSE))</f>
        <v>Please select ERROR CODE column "I"</v>
      </c>
      <c r="L659" s="207" t="str">
        <f>IF(Errors!$I659=0,
    'List of Error Codes'!$E$29,
    IFERROR(VLOOKUP(Errors!$I659, 'List of Error Codes'!D658:I688, 6, FALSE), 'List of Error Codes'!$E$29)
)</f>
        <v>Please select ERROR CODE column "I"</v>
      </c>
      <c r="M659" s="209"/>
      <c r="N659" s="209"/>
      <c r="O659" s="209"/>
      <c r="P659" s="209"/>
      <c r="Q659" s="209"/>
      <c r="R659" s="217"/>
      <c r="S659" s="217"/>
      <c r="T659" s="217"/>
      <c r="U659" s="199"/>
      <c r="V659" s="200"/>
      <c r="W659" s="200"/>
      <c r="X659" s="200"/>
      <c r="Y659" s="200"/>
      <c r="Z659" s="200"/>
      <c r="AA659" s="201"/>
      <c r="AB659" s="200"/>
      <c r="AC659" s="200"/>
    </row>
    <row r="660" ht="15.0" customHeight="1">
      <c r="A660" s="210">
        <f t="shared" si="1"/>
        <v>658</v>
      </c>
      <c r="B660" s="217"/>
      <c r="C660" s="217" t="str">
        <f>IFERROR(VLOOKUP(B660, SourceData!$U$3:$V$190, 2, FALSE), "")</f>
        <v/>
      </c>
      <c r="D660" s="240"/>
      <c r="E660" s="241"/>
      <c r="F660" s="248"/>
      <c r="G660" s="207"/>
      <c r="H660" s="209"/>
      <c r="I660" s="209"/>
      <c r="J660" s="209"/>
      <c r="K660" s="208" t="str">
        <f>IF(Errors!$I660=0,SourceData!$B$42,VLOOKUP(Errors!$I660,SourceData!$A$2:$B$40,2,FALSE))</f>
        <v>Please select ERROR CODE column "I"</v>
      </c>
      <c r="L660" s="207" t="str">
        <f>IF(Errors!$I660=0,
    'List of Error Codes'!$E$29,
    IFERROR(VLOOKUP(Errors!$I660, 'List of Error Codes'!D659:I689, 6, FALSE), 'List of Error Codes'!$E$29)
)</f>
        <v>Please select ERROR CODE column "I"</v>
      </c>
      <c r="M660" s="209"/>
      <c r="N660" s="209"/>
      <c r="O660" s="209"/>
      <c r="P660" s="209"/>
      <c r="Q660" s="209"/>
      <c r="R660" s="217"/>
      <c r="S660" s="217"/>
      <c r="T660" s="217"/>
      <c r="U660" s="199"/>
      <c r="V660" s="200"/>
      <c r="W660" s="200"/>
      <c r="X660" s="200"/>
      <c r="Y660" s="200"/>
      <c r="Z660" s="200"/>
      <c r="AA660" s="201"/>
      <c r="AB660" s="200"/>
      <c r="AC660" s="200"/>
    </row>
    <row r="661" ht="15.0" customHeight="1">
      <c r="A661" s="210">
        <f t="shared" si="1"/>
        <v>659</v>
      </c>
      <c r="B661" s="217"/>
      <c r="C661" s="217" t="str">
        <f>IFERROR(VLOOKUP(B661, SourceData!$U$3:$V$190, 2, FALSE), "")</f>
        <v/>
      </c>
      <c r="D661" s="240"/>
      <c r="E661" s="241"/>
      <c r="F661" s="248"/>
      <c r="G661" s="207"/>
      <c r="H661" s="209"/>
      <c r="I661" s="209"/>
      <c r="J661" s="209"/>
      <c r="K661" s="208" t="str">
        <f>IF(Errors!$I661=0,SourceData!$B$42,VLOOKUP(Errors!$I661,SourceData!$A$2:$B$40,2,FALSE))</f>
        <v>Please select ERROR CODE column "I"</v>
      </c>
      <c r="L661" s="207" t="str">
        <f>IF(Errors!$I661=0,
    'List of Error Codes'!$E$29,
    IFERROR(VLOOKUP(Errors!$I661, 'List of Error Codes'!D660:I690, 6, FALSE), 'List of Error Codes'!$E$29)
)</f>
        <v>Please select ERROR CODE column "I"</v>
      </c>
      <c r="M661" s="209"/>
      <c r="N661" s="209"/>
      <c r="O661" s="209"/>
      <c r="P661" s="209"/>
      <c r="Q661" s="209"/>
      <c r="R661" s="217"/>
      <c r="S661" s="217"/>
      <c r="T661" s="217"/>
      <c r="U661" s="199"/>
      <c r="V661" s="200"/>
      <c r="W661" s="200"/>
      <c r="X661" s="200"/>
      <c r="Y661" s="200"/>
      <c r="Z661" s="200"/>
      <c r="AA661" s="201"/>
      <c r="AB661" s="200"/>
      <c r="AC661" s="200"/>
    </row>
    <row r="662" ht="15.0" customHeight="1">
      <c r="A662" s="210">
        <f t="shared" si="1"/>
        <v>660</v>
      </c>
      <c r="B662" s="217"/>
      <c r="C662" s="217" t="str">
        <f>IFERROR(VLOOKUP(B662, SourceData!$U$3:$V$190, 2, FALSE), "")</f>
        <v/>
      </c>
      <c r="D662" s="240"/>
      <c r="E662" s="241"/>
      <c r="F662" s="248"/>
      <c r="G662" s="207"/>
      <c r="H662" s="209"/>
      <c r="I662" s="209"/>
      <c r="J662" s="209"/>
      <c r="K662" s="208" t="str">
        <f>IF(Errors!$I662=0,SourceData!$B$42,VLOOKUP(Errors!$I662,SourceData!$A$2:$B$40,2,FALSE))</f>
        <v>Please select ERROR CODE column "I"</v>
      </c>
      <c r="L662" s="207" t="str">
        <f>IF(Errors!$I662=0,
    'List of Error Codes'!$E$29,
    IFERROR(VLOOKUP(Errors!$I662, 'List of Error Codes'!D661:I691, 6, FALSE), 'List of Error Codes'!$E$29)
)</f>
        <v>Please select ERROR CODE column "I"</v>
      </c>
      <c r="M662" s="209"/>
      <c r="N662" s="209"/>
      <c r="O662" s="209"/>
      <c r="P662" s="209"/>
      <c r="Q662" s="209"/>
      <c r="R662" s="217"/>
      <c r="S662" s="217"/>
      <c r="T662" s="217"/>
      <c r="U662" s="199"/>
      <c r="V662" s="200"/>
      <c r="W662" s="200"/>
      <c r="X662" s="200"/>
      <c r="Y662" s="200"/>
      <c r="Z662" s="200"/>
      <c r="AA662" s="201"/>
      <c r="AB662" s="200"/>
      <c r="AC662" s="200"/>
    </row>
    <row r="663" ht="15.0" customHeight="1">
      <c r="A663" s="210">
        <f t="shared" si="1"/>
        <v>661</v>
      </c>
      <c r="B663" s="217"/>
      <c r="C663" s="217" t="str">
        <f>IFERROR(VLOOKUP(B663, SourceData!$U$3:$V$190, 2, FALSE), "")</f>
        <v/>
      </c>
      <c r="D663" s="240"/>
      <c r="E663" s="241"/>
      <c r="F663" s="248"/>
      <c r="G663" s="207"/>
      <c r="H663" s="209"/>
      <c r="I663" s="209"/>
      <c r="J663" s="209"/>
      <c r="K663" s="208" t="str">
        <f>IF(Errors!$I663=0,SourceData!$B$42,VLOOKUP(Errors!$I663,SourceData!$A$2:$B$40,2,FALSE))</f>
        <v>Please select ERROR CODE column "I"</v>
      </c>
      <c r="L663" s="207" t="str">
        <f>IF(Errors!$I663=0,
    'List of Error Codes'!$E$29,
    IFERROR(VLOOKUP(Errors!$I663, 'List of Error Codes'!D662:I692, 6, FALSE), 'List of Error Codes'!$E$29)
)</f>
        <v>Please select ERROR CODE column "I"</v>
      </c>
      <c r="M663" s="209"/>
      <c r="N663" s="209"/>
      <c r="O663" s="209"/>
      <c r="P663" s="209"/>
      <c r="Q663" s="209"/>
      <c r="R663" s="217"/>
      <c r="S663" s="217"/>
      <c r="T663" s="217"/>
      <c r="U663" s="199"/>
      <c r="V663" s="200"/>
      <c r="W663" s="200"/>
      <c r="X663" s="200"/>
      <c r="Y663" s="200"/>
      <c r="Z663" s="200"/>
      <c r="AA663" s="201"/>
      <c r="AB663" s="200"/>
      <c r="AC663" s="200"/>
    </row>
    <row r="664" ht="15.0" customHeight="1">
      <c r="A664" s="210">
        <f t="shared" si="1"/>
        <v>662</v>
      </c>
      <c r="B664" s="217"/>
      <c r="C664" s="217" t="str">
        <f>IFERROR(VLOOKUP(B664, SourceData!$U$3:$V$190, 2, FALSE), "")</f>
        <v/>
      </c>
      <c r="D664" s="240"/>
      <c r="E664" s="241"/>
      <c r="F664" s="248"/>
      <c r="G664" s="207"/>
      <c r="H664" s="209"/>
      <c r="I664" s="209"/>
      <c r="J664" s="209"/>
      <c r="K664" s="208" t="str">
        <f>IF(Errors!$I664=0,SourceData!$B$42,VLOOKUP(Errors!$I664,SourceData!$A$2:$B$40,2,FALSE))</f>
        <v>Please select ERROR CODE column "I"</v>
      </c>
      <c r="L664" s="207" t="str">
        <f>IF(Errors!$I664=0,
    'List of Error Codes'!$E$29,
    IFERROR(VLOOKUP(Errors!$I664, 'List of Error Codes'!D663:I693, 6, FALSE), 'List of Error Codes'!$E$29)
)</f>
        <v>Please select ERROR CODE column "I"</v>
      </c>
      <c r="M664" s="209"/>
      <c r="N664" s="209"/>
      <c r="O664" s="209"/>
      <c r="P664" s="209"/>
      <c r="Q664" s="209"/>
      <c r="R664" s="217"/>
      <c r="S664" s="217"/>
      <c r="T664" s="217"/>
      <c r="U664" s="199"/>
      <c r="V664" s="200"/>
      <c r="W664" s="200"/>
      <c r="X664" s="200"/>
      <c r="Y664" s="200"/>
      <c r="Z664" s="200"/>
      <c r="AA664" s="201"/>
      <c r="AB664" s="200"/>
      <c r="AC664" s="200"/>
    </row>
    <row r="665" ht="15.0" customHeight="1">
      <c r="A665" s="210">
        <f t="shared" si="1"/>
        <v>663</v>
      </c>
      <c r="B665" s="217"/>
      <c r="C665" s="217" t="str">
        <f>IFERROR(VLOOKUP(B665, SourceData!$U$3:$V$190, 2, FALSE), "")</f>
        <v/>
      </c>
      <c r="D665" s="240"/>
      <c r="E665" s="241"/>
      <c r="F665" s="248"/>
      <c r="G665" s="207"/>
      <c r="H665" s="209"/>
      <c r="I665" s="209"/>
      <c r="J665" s="209"/>
      <c r="K665" s="208" t="str">
        <f>IF(Errors!$I665=0,SourceData!$B$42,VLOOKUP(Errors!$I665,SourceData!$A$2:$B$40,2,FALSE))</f>
        <v>Please select ERROR CODE column "I"</v>
      </c>
      <c r="L665" s="207" t="str">
        <f>IF(Errors!$I665=0,
    'List of Error Codes'!$E$29,
    IFERROR(VLOOKUP(Errors!$I665, 'List of Error Codes'!D664:I694, 6, FALSE), 'List of Error Codes'!$E$29)
)</f>
        <v>Please select ERROR CODE column "I"</v>
      </c>
      <c r="M665" s="209"/>
      <c r="N665" s="209"/>
      <c r="O665" s="209"/>
      <c r="P665" s="209"/>
      <c r="Q665" s="209"/>
      <c r="R665" s="217"/>
      <c r="S665" s="217"/>
      <c r="T665" s="217"/>
      <c r="U665" s="199"/>
      <c r="V665" s="200"/>
      <c r="W665" s="200"/>
      <c r="X665" s="200"/>
      <c r="Y665" s="200"/>
      <c r="Z665" s="200"/>
      <c r="AA665" s="201"/>
      <c r="AB665" s="200"/>
      <c r="AC665" s="200"/>
    </row>
    <row r="666" ht="15.0" customHeight="1">
      <c r="A666" s="210">
        <f t="shared" si="1"/>
        <v>664</v>
      </c>
      <c r="B666" s="217"/>
      <c r="C666" s="217" t="str">
        <f>IFERROR(VLOOKUP(B666, SourceData!$U$3:$V$190, 2, FALSE), "")</f>
        <v/>
      </c>
      <c r="D666" s="240"/>
      <c r="E666" s="241"/>
      <c r="F666" s="248"/>
      <c r="G666" s="207"/>
      <c r="H666" s="209"/>
      <c r="I666" s="209"/>
      <c r="J666" s="209"/>
      <c r="K666" s="208" t="str">
        <f>IF(Errors!$I666=0,SourceData!$B$42,VLOOKUP(Errors!$I666,SourceData!$A$2:$B$40,2,FALSE))</f>
        <v>Please select ERROR CODE column "I"</v>
      </c>
      <c r="L666" s="207" t="str">
        <f>IF(Errors!$I666=0,
    'List of Error Codes'!$E$29,
    IFERROR(VLOOKUP(Errors!$I666, 'List of Error Codes'!D665:I695, 6, FALSE), 'List of Error Codes'!$E$29)
)</f>
        <v>Please select ERROR CODE column "I"</v>
      </c>
      <c r="M666" s="209"/>
      <c r="N666" s="209"/>
      <c r="O666" s="209"/>
      <c r="P666" s="209"/>
      <c r="Q666" s="209"/>
      <c r="R666" s="217"/>
      <c r="S666" s="217"/>
      <c r="T666" s="217"/>
      <c r="U666" s="199"/>
      <c r="V666" s="200"/>
      <c r="W666" s="200"/>
      <c r="X666" s="200"/>
      <c r="Y666" s="200"/>
      <c r="Z666" s="200"/>
      <c r="AA666" s="201"/>
      <c r="AB666" s="200"/>
      <c r="AC666" s="200"/>
    </row>
    <row r="667" ht="15.0" customHeight="1">
      <c r="A667" s="210">
        <f t="shared" si="1"/>
        <v>665</v>
      </c>
      <c r="B667" s="217"/>
      <c r="C667" s="217" t="str">
        <f>IFERROR(VLOOKUP(B667, SourceData!$U$3:$V$190, 2, FALSE), "")</f>
        <v/>
      </c>
      <c r="D667" s="240"/>
      <c r="E667" s="241"/>
      <c r="F667" s="248"/>
      <c r="G667" s="207"/>
      <c r="H667" s="209"/>
      <c r="I667" s="209"/>
      <c r="J667" s="209"/>
      <c r="K667" s="208" t="str">
        <f>IF(Errors!$I667=0,SourceData!$B$42,VLOOKUP(Errors!$I667,SourceData!$A$2:$B$40,2,FALSE))</f>
        <v>Please select ERROR CODE column "I"</v>
      </c>
      <c r="L667" s="207" t="str">
        <f>IF(Errors!$I667=0,
    'List of Error Codes'!$E$29,
    IFERROR(VLOOKUP(Errors!$I667, 'List of Error Codes'!D666:I696, 6, FALSE), 'List of Error Codes'!$E$29)
)</f>
        <v>Please select ERROR CODE column "I"</v>
      </c>
      <c r="M667" s="209"/>
      <c r="N667" s="209"/>
      <c r="O667" s="209"/>
      <c r="P667" s="209"/>
      <c r="Q667" s="209"/>
      <c r="R667" s="217"/>
      <c r="S667" s="217"/>
      <c r="T667" s="217"/>
      <c r="U667" s="199"/>
      <c r="V667" s="200"/>
      <c r="W667" s="200"/>
      <c r="X667" s="200"/>
      <c r="Y667" s="200"/>
      <c r="Z667" s="200"/>
      <c r="AA667" s="201"/>
      <c r="AB667" s="200"/>
      <c r="AC667" s="200"/>
    </row>
    <row r="668" ht="15.0" customHeight="1">
      <c r="A668" s="210">
        <f t="shared" si="1"/>
        <v>666</v>
      </c>
      <c r="B668" s="217"/>
      <c r="C668" s="217" t="str">
        <f>IFERROR(VLOOKUP(B668, SourceData!$U$3:$V$190, 2, FALSE), "")</f>
        <v/>
      </c>
      <c r="D668" s="240"/>
      <c r="E668" s="241"/>
      <c r="F668" s="248"/>
      <c r="G668" s="207"/>
      <c r="H668" s="209"/>
      <c r="I668" s="209"/>
      <c r="J668" s="209"/>
      <c r="K668" s="208" t="str">
        <f>IF(Errors!$I668=0,SourceData!$B$42,VLOOKUP(Errors!$I668,SourceData!$A$2:$B$40,2,FALSE))</f>
        <v>Please select ERROR CODE column "I"</v>
      </c>
      <c r="L668" s="207" t="str">
        <f>IF(Errors!$I668=0,
    'List of Error Codes'!$E$29,
    IFERROR(VLOOKUP(Errors!$I668, 'List of Error Codes'!D667:I697, 6, FALSE), 'List of Error Codes'!$E$29)
)</f>
        <v>Please select ERROR CODE column "I"</v>
      </c>
      <c r="M668" s="209"/>
      <c r="N668" s="209"/>
      <c r="O668" s="209"/>
      <c r="P668" s="209"/>
      <c r="Q668" s="209"/>
      <c r="R668" s="217"/>
      <c r="S668" s="217"/>
      <c r="T668" s="217"/>
      <c r="U668" s="199"/>
      <c r="V668" s="200"/>
      <c r="W668" s="200"/>
      <c r="X668" s="200"/>
      <c r="Y668" s="200"/>
      <c r="Z668" s="200"/>
      <c r="AA668" s="261"/>
      <c r="AB668" s="200"/>
      <c r="AC668" s="200"/>
    </row>
    <row r="669" ht="15.0" customHeight="1">
      <c r="A669" s="210">
        <f t="shared" si="1"/>
        <v>667</v>
      </c>
      <c r="B669" s="217"/>
      <c r="C669" s="217" t="str">
        <f>IFERROR(VLOOKUP(B669, SourceData!$U$3:$V$190, 2, FALSE), "")</f>
        <v/>
      </c>
      <c r="D669" s="240"/>
      <c r="E669" s="241"/>
      <c r="F669" s="248"/>
      <c r="G669" s="207"/>
      <c r="H669" s="209"/>
      <c r="I669" s="209"/>
      <c r="J669" s="209"/>
      <c r="K669" s="208" t="str">
        <f>IF(Errors!$I669=0,SourceData!$B$42,VLOOKUP(Errors!$I669,SourceData!$A$2:$B$40,2,FALSE))</f>
        <v>Please select ERROR CODE column "I"</v>
      </c>
      <c r="L669" s="207" t="str">
        <f>IF(Errors!$I669=0,
    'List of Error Codes'!$E$29,
    IFERROR(VLOOKUP(Errors!$I669, 'List of Error Codes'!D668:I698, 6, FALSE), 'List of Error Codes'!$E$29)
)</f>
        <v>Please select ERROR CODE column "I"</v>
      </c>
      <c r="M669" s="209"/>
      <c r="N669" s="209"/>
      <c r="O669" s="209"/>
      <c r="P669" s="209"/>
      <c r="Q669" s="209"/>
      <c r="R669" s="217"/>
      <c r="S669" s="217"/>
      <c r="T669" s="217"/>
      <c r="U669" s="199"/>
      <c r="V669" s="200"/>
      <c r="W669" s="200"/>
      <c r="X669" s="200"/>
      <c r="Y669" s="200"/>
      <c r="Z669" s="200"/>
      <c r="AA669" s="201"/>
      <c r="AB669" s="200"/>
      <c r="AC669" s="200"/>
    </row>
    <row r="670" ht="15.0" customHeight="1">
      <c r="A670" s="210">
        <f t="shared" si="1"/>
        <v>668</v>
      </c>
      <c r="B670" s="217"/>
      <c r="C670" s="217" t="str">
        <f>IFERROR(VLOOKUP(B670, SourceData!$U$3:$V$190, 2, FALSE), "")</f>
        <v/>
      </c>
      <c r="D670" s="240"/>
      <c r="E670" s="241"/>
      <c r="F670" s="248"/>
      <c r="G670" s="207"/>
      <c r="H670" s="209"/>
      <c r="I670" s="209"/>
      <c r="J670" s="209"/>
      <c r="K670" s="208" t="str">
        <f>IF(Errors!$I670=0,SourceData!$B$42,VLOOKUP(Errors!$I670,SourceData!$A$2:$B$40,2,FALSE))</f>
        <v>Please select ERROR CODE column "I"</v>
      </c>
      <c r="L670" s="207" t="str">
        <f>IF(Errors!$I670=0,
    'List of Error Codes'!$E$29,
    IFERROR(VLOOKUP(Errors!$I670, 'List of Error Codes'!D669:I699, 6, FALSE), 'List of Error Codes'!$E$29)
)</f>
        <v>Please select ERROR CODE column "I"</v>
      </c>
      <c r="M670" s="209"/>
      <c r="N670" s="209"/>
      <c r="O670" s="209"/>
      <c r="P670" s="209"/>
      <c r="Q670" s="209"/>
      <c r="R670" s="217"/>
      <c r="S670" s="217"/>
      <c r="T670" s="217"/>
      <c r="U670" s="199"/>
      <c r="V670" s="200"/>
      <c r="W670" s="200"/>
      <c r="X670" s="200"/>
      <c r="Y670" s="200"/>
      <c r="Z670" s="200"/>
      <c r="AA670" s="201"/>
      <c r="AB670" s="200"/>
      <c r="AC670" s="200"/>
    </row>
    <row r="671" ht="15.0" customHeight="1">
      <c r="A671" s="210">
        <f t="shared" si="1"/>
        <v>669</v>
      </c>
      <c r="B671" s="217"/>
      <c r="C671" s="217" t="str">
        <f>IFERROR(VLOOKUP(B671, SourceData!$U$3:$V$190, 2, FALSE), "")</f>
        <v/>
      </c>
      <c r="D671" s="240"/>
      <c r="E671" s="241"/>
      <c r="F671" s="248"/>
      <c r="G671" s="207"/>
      <c r="H671" s="209"/>
      <c r="I671" s="209"/>
      <c r="J671" s="209"/>
      <c r="K671" s="208" t="str">
        <f>IF(Errors!$I671=0,SourceData!$B$42,VLOOKUP(Errors!$I671,SourceData!$A$2:$B$40,2,FALSE))</f>
        <v>Please select ERROR CODE column "I"</v>
      </c>
      <c r="L671" s="207" t="str">
        <f>IF(Errors!$I671=0,
    'List of Error Codes'!$E$29,
    IFERROR(VLOOKUP(Errors!$I671, 'List of Error Codes'!D670:I700, 6, FALSE), 'List of Error Codes'!$E$29)
)</f>
        <v>Please select ERROR CODE column "I"</v>
      </c>
      <c r="M671" s="209"/>
      <c r="N671" s="209"/>
      <c r="O671" s="209"/>
      <c r="P671" s="209"/>
      <c r="Q671" s="209"/>
      <c r="R671" s="217"/>
      <c r="S671" s="217"/>
      <c r="T671" s="217"/>
      <c r="U671" s="199"/>
      <c r="V671" s="200"/>
      <c r="W671" s="200"/>
      <c r="X671" s="200"/>
      <c r="Y671" s="200"/>
      <c r="Z671" s="200"/>
      <c r="AA671" s="201"/>
      <c r="AB671" s="200"/>
      <c r="AC671" s="200"/>
    </row>
    <row r="672" ht="15.0" customHeight="1">
      <c r="A672" s="210">
        <f t="shared" si="1"/>
        <v>670</v>
      </c>
      <c r="B672" s="217"/>
      <c r="C672" s="217" t="str">
        <f>IFERROR(VLOOKUP(B672, SourceData!$U$3:$V$190, 2, FALSE), "")</f>
        <v/>
      </c>
      <c r="D672" s="240"/>
      <c r="E672" s="241"/>
      <c r="F672" s="248"/>
      <c r="G672" s="207"/>
      <c r="H672" s="209"/>
      <c r="I672" s="209"/>
      <c r="J672" s="209"/>
      <c r="K672" s="208" t="str">
        <f>IF(Errors!$I672=0,SourceData!$B$42,VLOOKUP(Errors!$I672,SourceData!$A$2:$B$40,2,FALSE))</f>
        <v>Please select ERROR CODE column "I"</v>
      </c>
      <c r="L672" s="207" t="str">
        <f>IF(Errors!$I672=0,
    'List of Error Codes'!$E$29,
    IFERROR(VLOOKUP(Errors!$I672, 'List of Error Codes'!D671:I701, 6, FALSE), 'List of Error Codes'!$E$29)
)</f>
        <v>Please select ERROR CODE column "I"</v>
      </c>
      <c r="M672" s="209"/>
      <c r="N672" s="209"/>
      <c r="O672" s="209"/>
      <c r="P672" s="209"/>
      <c r="Q672" s="209"/>
      <c r="R672" s="217"/>
      <c r="S672" s="217"/>
      <c r="T672" s="217"/>
      <c r="U672" s="199"/>
      <c r="V672" s="200"/>
      <c r="W672" s="200"/>
      <c r="X672" s="200"/>
      <c r="Y672" s="200"/>
      <c r="Z672" s="200"/>
      <c r="AA672" s="201"/>
      <c r="AB672" s="200"/>
      <c r="AC672" s="200"/>
    </row>
    <row r="673" ht="15.0" customHeight="1">
      <c r="A673" s="210">
        <f t="shared" si="1"/>
        <v>671</v>
      </c>
      <c r="B673" s="217"/>
      <c r="C673" s="217" t="str">
        <f>IFERROR(VLOOKUP(B673, SourceData!$U$3:$V$190, 2, FALSE), "")</f>
        <v/>
      </c>
      <c r="D673" s="240"/>
      <c r="E673" s="241"/>
      <c r="F673" s="248"/>
      <c r="G673" s="207"/>
      <c r="H673" s="209"/>
      <c r="I673" s="209"/>
      <c r="J673" s="209"/>
      <c r="K673" s="208" t="str">
        <f>IF(Errors!$I673=0,SourceData!$B$42,VLOOKUP(Errors!$I673,SourceData!$A$2:$B$40,2,FALSE))</f>
        <v>Please select ERROR CODE column "I"</v>
      </c>
      <c r="L673" s="207" t="str">
        <f>IF(Errors!$I673=0,
    'List of Error Codes'!$E$29,
    IFERROR(VLOOKUP(Errors!$I673, 'List of Error Codes'!D672:I702, 6, FALSE), 'List of Error Codes'!$E$29)
)</f>
        <v>Please select ERROR CODE column "I"</v>
      </c>
      <c r="M673" s="209"/>
      <c r="N673" s="209"/>
      <c r="O673" s="209"/>
      <c r="P673" s="209"/>
      <c r="Q673" s="209"/>
      <c r="R673" s="217"/>
      <c r="S673" s="217"/>
      <c r="T673" s="217"/>
      <c r="U673" s="199"/>
      <c r="V673" s="200"/>
      <c r="W673" s="200"/>
      <c r="X673" s="200"/>
      <c r="Y673" s="200"/>
      <c r="Z673" s="200"/>
      <c r="AA673" s="201"/>
      <c r="AB673" s="200"/>
      <c r="AC673" s="200"/>
    </row>
    <row r="674" ht="15.0" customHeight="1">
      <c r="A674" s="210">
        <f t="shared" si="1"/>
        <v>672</v>
      </c>
      <c r="B674" s="217"/>
      <c r="C674" s="217" t="str">
        <f>IFERROR(VLOOKUP(B674, SourceData!$U$3:$V$190, 2, FALSE), "")</f>
        <v/>
      </c>
      <c r="D674" s="240"/>
      <c r="E674" s="241"/>
      <c r="F674" s="248"/>
      <c r="G674" s="207"/>
      <c r="H674" s="209"/>
      <c r="I674" s="209"/>
      <c r="J674" s="209"/>
      <c r="K674" s="208" t="str">
        <f>IF(Errors!$I674=0,SourceData!$B$42,VLOOKUP(Errors!$I674,SourceData!$A$2:$B$40,2,FALSE))</f>
        <v>Please select ERROR CODE column "I"</v>
      </c>
      <c r="L674" s="207" t="str">
        <f>IF(Errors!$I674=0,
    'List of Error Codes'!$E$29,
    IFERROR(VLOOKUP(Errors!$I674, 'List of Error Codes'!D673:I703, 6, FALSE), 'List of Error Codes'!$E$29)
)</f>
        <v>Please select ERROR CODE column "I"</v>
      </c>
      <c r="M674" s="209"/>
      <c r="N674" s="209"/>
      <c r="O674" s="209"/>
      <c r="P674" s="209"/>
      <c r="Q674" s="209"/>
      <c r="R674" s="217"/>
      <c r="S674" s="217"/>
      <c r="T674" s="217"/>
      <c r="U674" s="199"/>
      <c r="V674" s="200"/>
      <c r="W674" s="200"/>
      <c r="X674" s="200"/>
      <c r="Y674" s="200"/>
      <c r="Z674" s="200"/>
      <c r="AA674" s="201"/>
      <c r="AB674" s="200"/>
      <c r="AC674" s="200"/>
    </row>
    <row r="675" ht="15.0" customHeight="1">
      <c r="A675" s="210">
        <f t="shared" si="1"/>
        <v>673</v>
      </c>
      <c r="B675" s="217"/>
      <c r="C675" s="217" t="str">
        <f>IFERROR(VLOOKUP(B675, SourceData!$U$3:$V$190, 2, FALSE), "")</f>
        <v/>
      </c>
      <c r="D675" s="240"/>
      <c r="E675" s="241"/>
      <c r="F675" s="248"/>
      <c r="G675" s="207"/>
      <c r="H675" s="209"/>
      <c r="I675" s="209"/>
      <c r="J675" s="209"/>
      <c r="K675" s="208" t="str">
        <f>IF(Errors!$I675=0,SourceData!$B$42,VLOOKUP(Errors!$I675,SourceData!$A$2:$B$40,2,FALSE))</f>
        <v>Please select ERROR CODE column "I"</v>
      </c>
      <c r="L675" s="207" t="str">
        <f>IF(Errors!$I675=0,
    'List of Error Codes'!$E$29,
    IFERROR(VLOOKUP(Errors!$I675, 'List of Error Codes'!D674:I704, 6, FALSE), 'List of Error Codes'!$E$29)
)</f>
        <v>Please select ERROR CODE column "I"</v>
      </c>
      <c r="M675" s="209"/>
      <c r="N675" s="209"/>
      <c r="O675" s="209"/>
      <c r="P675" s="209"/>
      <c r="Q675" s="209"/>
      <c r="R675" s="217"/>
      <c r="S675" s="217"/>
      <c r="T675" s="217"/>
      <c r="U675" s="199"/>
      <c r="V675" s="200"/>
      <c r="W675" s="200"/>
      <c r="X675" s="200"/>
      <c r="Y675" s="200"/>
      <c r="Z675" s="200"/>
      <c r="AA675" s="201"/>
      <c r="AB675" s="200"/>
      <c r="AC675" s="200"/>
    </row>
    <row r="676" ht="15.0" customHeight="1">
      <c r="A676" s="210">
        <f t="shared" si="1"/>
        <v>674</v>
      </c>
      <c r="B676" s="217"/>
      <c r="C676" s="217" t="str">
        <f>IFERROR(VLOOKUP(B676, SourceData!$U$3:$V$190, 2, FALSE), "")</f>
        <v/>
      </c>
      <c r="D676" s="240"/>
      <c r="E676" s="241"/>
      <c r="F676" s="248"/>
      <c r="G676" s="207"/>
      <c r="H676" s="209"/>
      <c r="I676" s="209"/>
      <c r="J676" s="209"/>
      <c r="K676" s="208" t="str">
        <f>IF(Errors!$I676=0,SourceData!$B$42,VLOOKUP(Errors!$I676,SourceData!$A$2:$B$40,2,FALSE))</f>
        <v>Please select ERROR CODE column "I"</v>
      </c>
      <c r="L676" s="207" t="str">
        <f>IF(Errors!$I676=0,
    'List of Error Codes'!$E$29,
    IFERROR(VLOOKUP(Errors!$I676, 'List of Error Codes'!D675:I705, 6, FALSE), 'List of Error Codes'!$E$29)
)</f>
        <v>Please select ERROR CODE column "I"</v>
      </c>
      <c r="M676" s="209"/>
      <c r="N676" s="209"/>
      <c r="O676" s="209"/>
      <c r="P676" s="209"/>
      <c r="Q676" s="209"/>
      <c r="R676" s="217"/>
      <c r="S676" s="217"/>
      <c r="T676" s="217"/>
      <c r="U676" s="199"/>
      <c r="V676" s="200"/>
      <c r="W676" s="200"/>
      <c r="X676" s="200"/>
      <c r="Y676" s="200"/>
      <c r="Z676" s="200"/>
      <c r="AA676" s="201"/>
      <c r="AB676" s="200"/>
      <c r="AC676" s="200"/>
    </row>
    <row r="677" ht="15.0" customHeight="1">
      <c r="A677" s="210">
        <f t="shared" si="1"/>
        <v>675</v>
      </c>
      <c r="B677" s="217"/>
      <c r="C677" s="217" t="str">
        <f>IFERROR(VLOOKUP(B677, SourceData!$U$3:$V$190, 2, FALSE), "")</f>
        <v/>
      </c>
      <c r="D677" s="240"/>
      <c r="E677" s="241"/>
      <c r="F677" s="248"/>
      <c r="G677" s="207"/>
      <c r="H677" s="209"/>
      <c r="I677" s="209"/>
      <c r="J677" s="209"/>
      <c r="K677" s="208" t="str">
        <f>IF(Errors!$I677=0,SourceData!$B$42,VLOOKUP(Errors!$I677,SourceData!$A$2:$B$40,2,FALSE))</f>
        <v>Please select ERROR CODE column "I"</v>
      </c>
      <c r="L677" s="207" t="str">
        <f>IF(Errors!$I677=0,
    'List of Error Codes'!$E$29,
    IFERROR(VLOOKUP(Errors!$I677, 'List of Error Codes'!D676:I706, 6, FALSE), 'List of Error Codes'!$E$29)
)</f>
        <v>Please select ERROR CODE column "I"</v>
      </c>
      <c r="M677" s="209"/>
      <c r="N677" s="209"/>
      <c r="O677" s="209"/>
      <c r="P677" s="209"/>
      <c r="Q677" s="209"/>
      <c r="R677" s="217"/>
      <c r="S677" s="217"/>
      <c r="T677" s="217"/>
      <c r="U677" s="199"/>
      <c r="V677" s="200"/>
      <c r="W677" s="200"/>
      <c r="X677" s="200"/>
      <c r="Y677" s="200"/>
      <c r="Z677" s="200"/>
      <c r="AA677" s="201"/>
      <c r="AB677" s="200"/>
      <c r="AC677" s="200"/>
    </row>
    <row r="678" ht="15.0" customHeight="1">
      <c r="A678" s="210">
        <f t="shared" si="1"/>
        <v>676</v>
      </c>
      <c r="B678" s="217"/>
      <c r="C678" s="217" t="str">
        <f>IFERROR(VLOOKUP(B678, SourceData!$U$3:$V$190, 2, FALSE), "")</f>
        <v/>
      </c>
      <c r="D678" s="240"/>
      <c r="E678" s="241"/>
      <c r="F678" s="248"/>
      <c r="G678" s="207"/>
      <c r="H678" s="209"/>
      <c r="I678" s="209"/>
      <c r="J678" s="209"/>
      <c r="K678" s="208" t="str">
        <f>IF(Errors!$I678=0,SourceData!$B$42,VLOOKUP(Errors!$I678,SourceData!$A$2:$B$40,2,FALSE))</f>
        <v>Please select ERROR CODE column "I"</v>
      </c>
      <c r="L678" s="207" t="str">
        <f>IF(Errors!$I678=0,
    'List of Error Codes'!$E$29,
    IFERROR(VLOOKUP(Errors!$I678, 'List of Error Codes'!D677:I707, 6, FALSE), 'List of Error Codes'!$E$29)
)</f>
        <v>Please select ERROR CODE column "I"</v>
      </c>
      <c r="M678" s="209"/>
      <c r="N678" s="209"/>
      <c r="O678" s="209"/>
      <c r="P678" s="209"/>
      <c r="Q678" s="209"/>
      <c r="R678" s="217"/>
      <c r="S678" s="217"/>
      <c r="T678" s="217"/>
      <c r="U678" s="199"/>
      <c r="V678" s="200"/>
      <c r="W678" s="200"/>
      <c r="X678" s="200"/>
      <c r="Y678" s="200"/>
      <c r="Z678" s="200"/>
      <c r="AA678" s="201"/>
      <c r="AB678" s="200"/>
      <c r="AC678" s="200"/>
    </row>
    <row r="679" ht="15.0" customHeight="1">
      <c r="A679" s="210">
        <f t="shared" si="1"/>
        <v>677</v>
      </c>
      <c r="B679" s="217"/>
      <c r="C679" s="217" t="str">
        <f>IFERROR(VLOOKUP(B679, SourceData!$U$3:$V$190, 2, FALSE), "")</f>
        <v/>
      </c>
      <c r="D679" s="240"/>
      <c r="E679" s="241"/>
      <c r="F679" s="248"/>
      <c r="G679" s="207"/>
      <c r="H679" s="209"/>
      <c r="I679" s="209"/>
      <c r="J679" s="209"/>
      <c r="K679" s="208" t="str">
        <f>IF(Errors!$I679=0,SourceData!$B$42,VLOOKUP(Errors!$I679,SourceData!$A$2:$B$40,2,FALSE))</f>
        <v>Please select ERROR CODE column "I"</v>
      </c>
      <c r="L679" s="207" t="str">
        <f>IF(Errors!$I679=0,
    'List of Error Codes'!$E$29,
    IFERROR(VLOOKUP(Errors!$I679, 'List of Error Codes'!D678:I708, 6, FALSE), 'List of Error Codes'!$E$29)
)</f>
        <v>Please select ERROR CODE column "I"</v>
      </c>
      <c r="M679" s="209"/>
      <c r="N679" s="209"/>
      <c r="O679" s="209"/>
      <c r="P679" s="209"/>
      <c r="Q679" s="209"/>
      <c r="R679" s="217"/>
      <c r="S679" s="217"/>
      <c r="T679" s="217"/>
      <c r="U679" s="199"/>
      <c r="V679" s="200"/>
      <c r="W679" s="200"/>
      <c r="X679" s="200"/>
      <c r="Y679" s="200"/>
      <c r="Z679" s="200"/>
      <c r="AA679" s="201"/>
      <c r="AB679" s="200"/>
      <c r="AC679" s="200"/>
    </row>
    <row r="680" ht="15.0" customHeight="1">
      <c r="A680" s="210">
        <f t="shared" si="1"/>
        <v>678</v>
      </c>
      <c r="B680" s="217"/>
      <c r="C680" s="217" t="str">
        <f>IFERROR(VLOOKUP(B680, SourceData!$U$3:$V$190, 2, FALSE), "")</f>
        <v/>
      </c>
      <c r="D680" s="240"/>
      <c r="E680" s="241"/>
      <c r="F680" s="248"/>
      <c r="G680" s="207"/>
      <c r="H680" s="209"/>
      <c r="I680" s="209"/>
      <c r="J680" s="209"/>
      <c r="K680" s="208" t="str">
        <f>IF(Errors!$I680=0,SourceData!$B$42,VLOOKUP(Errors!$I680,SourceData!$A$2:$B$40,2,FALSE))</f>
        <v>Please select ERROR CODE column "I"</v>
      </c>
      <c r="L680" s="207" t="str">
        <f>IF(Errors!$I680=0,
    'List of Error Codes'!$E$29,
    IFERROR(VLOOKUP(Errors!$I680, 'List of Error Codes'!D679:I709, 6, FALSE), 'List of Error Codes'!$E$29)
)</f>
        <v>Please select ERROR CODE column "I"</v>
      </c>
      <c r="M680" s="209"/>
      <c r="N680" s="209"/>
      <c r="O680" s="209"/>
      <c r="P680" s="209"/>
      <c r="Q680" s="209"/>
      <c r="R680" s="217"/>
      <c r="S680" s="217"/>
      <c r="T680" s="217"/>
      <c r="U680" s="199"/>
      <c r="V680" s="200"/>
      <c r="W680" s="200"/>
      <c r="X680" s="200"/>
      <c r="Y680" s="200"/>
      <c r="Z680" s="200"/>
      <c r="AA680" s="201"/>
      <c r="AB680" s="200"/>
      <c r="AC680" s="200"/>
    </row>
    <row r="681" ht="15.0" customHeight="1">
      <c r="A681" s="210">
        <f t="shared" si="1"/>
        <v>679</v>
      </c>
      <c r="B681" s="217"/>
      <c r="C681" s="217" t="str">
        <f>IFERROR(VLOOKUP(B681, SourceData!$U$3:$V$190, 2, FALSE), "")</f>
        <v/>
      </c>
      <c r="D681" s="240"/>
      <c r="E681" s="241"/>
      <c r="F681" s="248"/>
      <c r="G681" s="207"/>
      <c r="H681" s="209"/>
      <c r="I681" s="209"/>
      <c r="J681" s="209"/>
      <c r="K681" s="208" t="str">
        <f>IF(Errors!$I681=0,SourceData!$B$42,VLOOKUP(Errors!$I681,SourceData!$A$2:$B$40,2,FALSE))</f>
        <v>Please select ERROR CODE column "I"</v>
      </c>
      <c r="L681" s="207" t="str">
        <f>IF(Errors!$I681=0,
    'List of Error Codes'!$E$29,
    IFERROR(VLOOKUP(Errors!$I681, 'List of Error Codes'!D680:I710, 6, FALSE), 'List of Error Codes'!$E$29)
)</f>
        <v>Please select ERROR CODE column "I"</v>
      </c>
      <c r="M681" s="209"/>
      <c r="N681" s="209"/>
      <c r="O681" s="209"/>
      <c r="P681" s="209"/>
      <c r="Q681" s="209"/>
      <c r="R681" s="217"/>
      <c r="S681" s="217"/>
      <c r="T681" s="217"/>
      <c r="U681" s="199"/>
      <c r="V681" s="200"/>
      <c r="W681" s="200"/>
      <c r="X681" s="200"/>
      <c r="Y681" s="200"/>
      <c r="Z681" s="200"/>
      <c r="AA681" s="201"/>
      <c r="AB681" s="200"/>
      <c r="AC681" s="200"/>
    </row>
    <row r="682" ht="15.0" customHeight="1">
      <c r="A682" s="210">
        <f t="shared" si="1"/>
        <v>680</v>
      </c>
      <c r="B682" s="217"/>
      <c r="C682" s="217" t="str">
        <f>IFERROR(VLOOKUP(B682, SourceData!$U$3:$V$190, 2, FALSE), "")</f>
        <v/>
      </c>
      <c r="D682" s="240"/>
      <c r="E682" s="241"/>
      <c r="F682" s="248"/>
      <c r="G682" s="207"/>
      <c r="H682" s="209"/>
      <c r="I682" s="209"/>
      <c r="J682" s="209"/>
      <c r="K682" s="208" t="str">
        <f>IF(Errors!$I682=0,SourceData!$B$42,VLOOKUP(Errors!$I682,SourceData!$A$2:$B$40,2,FALSE))</f>
        <v>Please select ERROR CODE column "I"</v>
      </c>
      <c r="L682" s="207" t="str">
        <f>IF(Errors!$I682=0,
    'List of Error Codes'!$E$29,
    IFERROR(VLOOKUP(Errors!$I682, 'List of Error Codes'!D681:I711, 6, FALSE), 'List of Error Codes'!$E$29)
)</f>
        <v>Please select ERROR CODE column "I"</v>
      </c>
      <c r="M682" s="209"/>
      <c r="N682" s="209"/>
      <c r="O682" s="209"/>
      <c r="P682" s="209"/>
      <c r="Q682" s="209"/>
      <c r="R682" s="217"/>
      <c r="S682" s="217"/>
      <c r="T682" s="217"/>
      <c r="U682" s="199"/>
      <c r="V682" s="200"/>
      <c r="W682" s="200"/>
      <c r="X682" s="200"/>
      <c r="Y682" s="200"/>
      <c r="Z682" s="200"/>
      <c r="AA682" s="201"/>
      <c r="AB682" s="200"/>
      <c r="AC682" s="200"/>
    </row>
    <row r="683" ht="15.0" customHeight="1">
      <c r="A683" s="210">
        <f t="shared" si="1"/>
        <v>681</v>
      </c>
      <c r="B683" s="217"/>
      <c r="C683" s="217" t="str">
        <f>IFERROR(VLOOKUP(B683, SourceData!$U$3:$V$190, 2, FALSE), "")</f>
        <v/>
      </c>
      <c r="D683" s="240"/>
      <c r="E683" s="241"/>
      <c r="F683" s="248"/>
      <c r="G683" s="207"/>
      <c r="H683" s="209"/>
      <c r="I683" s="209"/>
      <c r="J683" s="209"/>
      <c r="K683" s="208" t="str">
        <f>IF(Errors!$I683=0,SourceData!$B$42,VLOOKUP(Errors!$I683,SourceData!$A$2:$B$40,2,FALSE))</f>
        <v>Please select ERROR CODE column "I"</v>
      </c>
      <c r="L683" s="207" t="str">
        <f>IF(Errors!$I683=0,
    'List of Error Codes'!$E$29,
    IFERROR(VLOOKUP(Errors!$I683, 'List of Error Codes'!D682:I712, 6, FALSE), 'List of Error Codes'!$E$29)
)</f>
        <v>Please select ERROR CODE column "I"</v>
      </c>
      <c r="M683" s="209"/>
      <c r="N683" s="209"/>
      <c r="O683" s="209"/>
      <c r="P683" s="209"/>
      <c r="Q683" s="209"/>
      <c r="R683" s="217"/>
      <c r="S683" s="217"/>
      <c r="T683" s="217"/>
      <c r="U683" s="199"/>
      <c r="V683" s="200"/>
      <c r="W683" s="200"/>
      <c r="X683" s="200"/>
      <c r="Y683" s="200"/>
      <c r="Z683" s="200"/>
      <c r="AA683" s="201"/>
      <c r="AB683" s="200"/>
      <c r="AC683" s="200"/>
    </row>
    <row r="684" ht="15.0" customHeight="1">
      <c r="A684" s="210">
        <f t="shared" si="1"/>
        <v>682</v>
      </c>
      <c r="B684" s="217"/>
      <c r="C684" s="217" t="str">
        <f>IFERROR(VLOOKUP(B684, SourceData!$U$3:$V$190, 2, FALSE), "")</f>
        <v/>
      </c>
      <c r="D684" s="240"/>
      <c r="E684" s="241"/>
      <c r="F684" s="248"/>
      <c r="G684" s="207"/>
      <c r="H684" s="209"/>
      <c r="I684" s="209"/>
      <c r="J684" s="209"/>
      <c r="K684" s="208" t="str">
        <f>IF(Errors!$I684=0,SourceData!$B$42,VLOOKUP(Errors!$I684,SourceData!$A$2:$B$40,2,FALSE))</f>
        <v>Please select ERROR CODE column "I"</v>
      </c>
      <c r="L684" s="207" t="str">
        <f>IF(Errors!$I684=0,
    'List of Error Codes'!$E$29,
    IFERROR(VLOOKUP(Errors!$I684, 'List of Error Codes'!D683:I713, 6, FALSE), 'List of Error Codes'!$E$29)
)</f>
        <v>Please select ERROR CODE column "I"</v>
      </c>
      <c r="M684" s="209"/>
      <c r="N684" s="209"/>
      <c r="O684" s="209"/>
      <c r="P684" s="209"/>
      <c r="Q684" s="209"/>
      <c r="R684" s="217"/>
      <c r="S684" s="217"/>
      <c r="T684" s="217"/>
      <c r="U684" s="199"/>
      <c r="V684" s="200"/>
      <c r="W684" s="200"/>
      <c r="X684" s="200"/>
      <c r="Y684" s="200"/>
      <c r="Z684" s="200"/>
      <c r="AA684" s="201"/>
      <c r="AB684" s="200"/>
      <c r="AC684" s="200"/>
    </row>
    <row r="685" ht="15.0" customHeight="1">
      <c r="A685" s="210">
        <f t="shared" si="1"/>
        <v>683</v>
      </c>
      <c r="B685" s="217"/>
      <c r="C685" s="217" t="str">
        <f>IFERROR(VLOOKUP(B685, SourceData!$U$3:$V$190, 2, FALSE), "")</f>
        <v/>
      </c>
      <c r="D685" s="240"/>
      <c r="E685" s="241"/>
      <c r="F685" s="248"/>
      <c r="G685" s="207"/>
      <c r="H685" s="209"/>
      <c r="I685" s="209"/>
      <c r="J685" s="209"/>
      <c r="K685" s="208" t="str">
        <f>IF(Errors!$I685=0,SourceData!$B$42,VLOOKUP(Errors!$I685,SourceData!$A$2:$B$40,2,FALSE))</f>
        <v>Please select ERROR CODE column "I"</v>
      </c>
      <c r="L685" s="207" t="str">
        <f>IF(Errors!$I685=0,
    'List of Error Codes'!$E$29,
    IFERROR(VLOOKUP(Errors!$I685, 'List of Error Codes'!D684:I714, 6, FALSE), 'List of Error Codes'!$E$29)
)</f>
        <v>Please select ERROR CODE column "I"</v>
      </c>
      <c r="M685" s="209"/>
      <c r="N685" s="209"/>
      <c r="O685" s="209"/>
      <c r="P685" s="209"/>
      <c r="Q685" s="209"/>
      <c r="R685" s="217"/>
      <c r="S685" s="217"/>
      <c r="T685" s="217"/>
      <c r="U685" s="199"/>
      <c r="V685" s="200"/>
      <c r="W685" s="200"/>
      <c r="X685" s="200"/>
      <c r="Y685" s="200"/>
      <c r="Z685" s="200"/>
      <c r="AA685" s="201"/>
      <c r="AB685" s="200"/>
      <c r="AC685" s="200"/>
    </row>
    <row r="686" ht="15.0" customHeight="1">
      <c r="A686" s="210">
        <f t="shared" si="1"/>
        <v>684</v>
      </c>
      <c r="B686" s="217"/>
      <c r="C686" s="217" t="str">
        <f>IFERROR(VLOOKUP(B686, SourceData!$U$3:$V$190, 2, FALSE), "")</f>
        <v/>
      </c>
      <c r="D686" s="240"/>
      <c r="E686" s="241"/>
      <c r="F686" s="248"/>
      <c r="G686" s="207"/>
      <c r="H686" s="209"/>
      <c r="I686" s="209"/>
      <c r="J686" s="209"/>
      <c r="K686" s="208" t="str">
        <f>IF(Errors!$I686=0,SourceData!$B$42,VLOOKUP(Errors!$I686,SourceData!$A$2:$B$40,2,FALSE))</f>
        <v>Please select ERROR CODE column "I"</v>
      </c>
      <c r="L686" s="207" t="str">
        <f>IF(Errors!$I686=0,
    'List of Error Codes'!$E$29,
    IFERROR(VLOOKUP(Errors!$I686, 'List of Error Codes'!D685:I715, 6, FALSE), 'List of Error Codes'!$E$29)
)</f>
        <v>Please select ERROR CODE column "I"</v>
      </c>
      <c r="M686" s="209"/>
      <c r="N686" s="209"/>
      <c r="O686" s="209"/>
      <c r="P686" s="209"/>
      <c r="Q686" s="209"/>
      <c r="R686" s="217"/>
      <c r="S686" s="217"/>
      <c r="T686" s="217"/>
      <c r="U686" s="199"/>
      <c r="V686" s="200"/>
      <c r="W686" s="200"/>
      <c r="X686" s="200"/>
      <c r="Y686" s="200"/>
      <c r="Z686" s="200"/>
      <c r="AA686" s="201"/>
      <c r="AB686" s="200"/>
      <c r="AC686" s="200"/>
    </row>
    <row r="687" ht="15.0" customHeight="1">
      <c r="A687" s="210">
        <f t="shared" si="1"/>
        <v>685</v>
      </c>
      <c r="B687" s="217"/>
      <c r="C687" s="217" t="str">
        <f>IFERROR(VLOOKUP(B687, SourceData!$U$3:$V$190, 2, FALSE), "")</f>
        <v/>
      </c>
      <c r="D687" s="240"/>
      <c r="E687" s="241"/>
      <c r="F687" s="248"/>
      <c r="G687" s="207"/>
      <c r="H687" s="209"/>
      <c r="I687" s="209"/>
      <c r="J687" s="209"/>
      <c r="K687" s="208" t="str">
        <f>IF(Errors!$I687=0,SourceData!$B$42,VLOOKUP(Errors!$I687,SourceData!$A$2:$B$40,2,FALSE))</f>
        <v>Please select ERROR CODE column "I"</v>
      </c>
      <c r="L687" s="207" t="str">
        <f>IF(Errors!$I687=0,
    'List of Error Codes'!$E$29,
    IFERROR(VLOOKUP(Errors!$I687, 'List of Error Codes'!D686:I716, 6, FALSE), 'List of Error Codes'!$E$29)
)</f>
        <v>Please select ERROR CODE column "I"</v>
      </c>
      <c r="M687" s="209"/>
      <c r="N687" s="209"/>
      <c r="O687" s="209"/>
      <c r="P687" s="209"/>
      <c r="Q687" s="209"/>
      <c r="R687" s="217"/>
      <c r="S687" s="217"/>
      <c r="T687" s="217"/>
      <c r="U687" s="199"/>
      <c r="V687" s="200"/>
      <c r="W687" s="200"/>
      <c r="X687" s="200"/>
      <c r="Y687" s="200"/>
      <c r="Z687" s="200"/>
      <c r="AA687" s="201"/>
      <c r="AB687" s="200"/>
      <c r="AC687" s="200"/>
    </row>
    <row r="688" ht="15.0" customHeight="1">
      <c r="A688" s="210">
        <f t="shared" si="1"/>
        <v>686</v>
      </c>
      <c r="B688" s="217"/>
      <c r="C688" s="217" t="str">
        <f>IFERROR(VLOOKUP(B688, SourceData!$U$3:$V$190, 2, FALSE), "")</f>
        <v/>
      </c>
      <c r="D688" s="240"/>
      <c r="E688" s="241"/>
      <c r="F688" s="248"/>
      <c r="G688" s="207"/>
      <c r="H688" s="209"/>
      <c r="I688" s="209"/>
      <c r="J688" s="209"/>
      <c r="K688" s="208" t="str">
        <f>IF(Errors!$I688=0,SourceData!$B$42,VLOOKUP(Errors!$I688,SourceData!$A$2:$B$40,2,FALSE))</f>
        <v>Please select ERROR CODE column "I"</v>
      </c>
      <c r="L688" s="207" t="str">
        <f>IF(Errors!$I688=0,
    'List of Error Codes'!$E$29,
    IFERROR(VLOOKUP(Errors!$I688, 'List of Error Codes'!D687:I717, 6, FALSE), 'List of Error Codes'!$E$29)
)</f>
        <v>Please select ERROR CODE column "I"</v>
      </c>
      <c r="M688" s="209"/>
      <c r="N688" s="209"/>
      <c r="O688" s="209"/>
      <c r="P688" s="209"/>
      <c r="Q688" s="209"/>
      <c r="R688" s="217"/>
      <c r="S688" s="217"/>
      <c r="T688" s="217"/>
      <c r="U688" s="199"/>
      <c r="V688" s="200"/>
      <c r="W688" s="200"/>
      <c r="X688" s="200"/>
      <c r="Y688" s="200"/>
      <c r="Z688" s="200"/>
      <c r="AA688" s="201"/>
      <c r="AB688" s="200"/>
      <c r="AC688" s="200"/>
    </row>
    <row r="689" ht="15.0" customHeight="1">
      <c r="A689" s="210">
        <f t="shared" si="1"/>
        <v>687</v>
      </c>
      <c r="B689" s="217"/>
      <c r="C689" s="217" t="str">
        <f>IFERROR(VLOOKUP(B689, SourceData!$U$3:$V$190, 2, FALSE), "")</f>
        <v/>
      </c>
      <c r="D689" s="240"/>
      <c r="E689" s="241"/>
      <c r="F689" s="248"/>
      <c r="G689" s="207"/>
      <c r="H689" s="209"/>
      <c r="I689" s="209"/>
      <c r="J689" s="209"/>
      <c r="K689" s="208" t="str">
        <f>IF(Errors!$I689=0,SourceData!$B$42,VLOOKUP(Errors!$I689,SourceData!$A$2:$B$40,2,FALSE))</f>
        <v>Please select ERROR CODE column "I"</v>
      </c>
      <c r="L689" s="207" t="str">
        <f>IF(Errors!$I689=0,
    'List of Error Codes'!$E$29,
    IFERROR(VLOOKUP(Errors!$I689, 'List of Error Codes'!D688:I718, 6, FALSE), 'List of Error Codes'!$E$29)
)</f>
        <v>Please select ERROR CODE column "I"</v>
      </c>
      <c r="M689" s="209"/>
      <c r="N689" s="209"/>
      <c r="O689" s="209"/>
      <c r="P689" s="209"/>
      <c r="Q689" s="209"/>
      <c r="R689" s="217"/>
      <c r="S689" s="217"/>
      <c r="T689" s="217"/>
      <c r="U689" s="199"/>
      <c r="V689" s="200"/>
      <c r="W689" s="200"/>
      <c r="X689" s="200"/>
      <c r="Y689" s="200"/>
      <c r="Z689" s="200"/>
      <c r="AA689" s="201"/>
      <c r="AB689" s="200"/>
      <c r="AC689" s="200"/>
    </row>
    <row r="690" ht="15.0" customHeight="1">
      <c r="A690" s="210">
        <f t="shared" si="1"/>
        <v>688</v>
      </c>
      <c r="B690" s="217"/>
      <c r="C690" s="217" t="str">
        <f>IFERROR(VLOOKUP(B690, SourceData!$U$3:$V$190, 2, FALSE), "")</f>
        <v/>
      </c>
      <c r="D690" s="240"/>
      <c r="E690" s="241"/>
      <c r="F690" s="248"/>
      <c r="G690" s="207"/>
      <c r="H690" s="209"/>
      <c r="I690" s="209"/>
      <c r="J690" s="209"/>
      <c r="K690" s="208" t="str">
        <f>IF(Errors!$I690=0,SourceData!$B$42,VLOOKUP(Errors!$I690,SourceData!$A$2:$B$40,2,FALSE))</f>
        <v>Please select ERROR CODE column "I"</v>
      </c>
      <c r="L690" s="207" t="str">
        <f>IF(Errors!$I690=0,
    'List of Error Codes'!$E$29,
    IFERROR(VLOOKUP(Errors!$I690, 'List of Error Codes'!D689:I719, 6, FALSE), 'List of Error Codes'!$E$29)
)</f>
        <v>Please select ERROR CODE column "I"</v>
      </c>
      <c r="M690" s="209"/>
      <c r="N690" s="209"/>
      <c r="O690" s="209"/>
      <c r="P690" s="209"/>
      <c r="Q690" s="209"/>
      <c r="R690" s="217"/>
      <c r="S690" s="217"/>
      <c r="T690" s="217"/>
      <c r="U690" s="199"/>
      <c r="V690" s="200"/>
      <c r="W690" s="200"/>
      <c r="X690" s="200"/>
      <c r="Y690" s="200"/>
      <c r="Z690" s="200"/>
      <c r="AA690" s="201"/>
      <c r="AB690" s="200"/>
      <c r="AC690" s="200"/>
    </row>
    <row r="691" ht="15.0" customHeight="1">
      <c r="A691" s="210">
        <f t="shared" si="1"/>
        <v>689</v>
      </c>
      <c r="B691" s="217"/>
      <c r="C691" s="217" t="str">
        <f>IFERROR(VLOOKUP(B691, SourceData!$U$3:$V$190, 2, FALSE), "")</f>
        <v/>
      </c>
      <c r="D691" s="240"/>
      <c r="E691" s="241"/>
      <c r="F691" s="248"/>
      <c r="G691" s="207"/>
      <c r="H691" s="209"/>
      <c r="I691" s="209"/>
      <c r="J691" s="209"/>
      <c r="K691" s="208" t="str">
        <f>IF(Errors!$I691=0,SourceData!$B$42,VLOOKUP(Errors!$I691,SourceData!$A$2:$B$40,2,FALSE))</f>
        <v>Please select ERROR CODE column "I"</v>
      </c>
      <c r="L691" s="207" t="str">
        <f>IF(Errors!$I691=0,
    'List of Error Codes'!$E$29,
    IFERROR(VLOOKUP(Errors!$I691, 'List of Error Codes'!D690:I720, 6, FALSE), 'List of Error Codes'!$E$29)
)</f>
        <v>Please select ERROR CODE column "I"</v>
      </c>
      <c r="M691" s="209"/>
      <c r="N691" s="209"/>
      <c r="O691" s="209"/>
      <c r="P691" s="209"/>
      <c r="Q691" s="209"/>
      <c r="R691" s="217"/>
      <c r="S691" s="217"/>
      <c r="T691" s="217"/>
      <c r="U691" s="199"/>
      <c r="V691" s="200"/>
      <c r="W691" s="200"/>
      <c r="X691" s="200"/>
      <c r="Y691" s="200"/>
      <c r="Z691" s="200"/>
      <c r="AA691" s="201"/>
      <c r="AB691" s="200"/>
      <c r="AC691" s="200"/>
    </row>
    <row r="692" ht="15.0" customHeight="1">
      <c r="A692" s="210">
        <f t="shared" si="1"/>
        <v>690</v>
      </c>
      <c r="B692" s="217"/>
      <c r="C692" s="217" t="str">
        <f>IFERROR(VLOOKUP(B692, SourceData!$U$3:$V$190, 2, FALSE), "")</f>
        <v/>
      </c>
      <c r="D692" s="240"/>
      <c r="E692" s="241"/>
      <c r="F692" s="248"/>
      <c r="G692" s="207"/>
      <c r="H692" s="209"/>
      <c r="I692" s="209"/>
      <c r="J692" s="209"/>
      <c r="K692" s="208" t="str">
        <f>IF(Errors!$I692=0,SourceData!$B$42,VLOOKUP(Errors!$I692,SourceData!$A$2:$B$40,2,FALSE))</f>
        <v>Please select ERROR CODE column "I"</v>
      </c>
      <c r="L692" s="207" t="str">
        <f>IF(Errors!$I692=0,
    'List of Error Codes'!$E$29,
    IFERROR(VLOOKUP(Errors!$I692, 'List of Error Codes'!D691:I721, 6, FALSE), 'List of Error Codes'!$E$29)
)</f>
        <v>Please select ERROR CODE column "I"</v>
      </c>
      <c r="M692" s="209"/>
      <c r="N692" s="209"/>
      <c r="O692" s="209"/>
      <c r="P692" s="209"/>
      <c r="Q692" s="209"/>
      <c r="R692" s="217"/>
      <c r="S692" s="217"/>
      <c r="T692" s="217"/>
      <c r="U692" s="209" t="s">
        <v>310</v>
      </c>
      <c r="V692" s="209" t="s">
        <v>310</v>
      </c>
      <c r="W692" s="262" t="s">
        <v>325</v>
      </c>
      <c r="X692" s="200"/>
      <c r="Y692" s="200"/>
      <c r="Z692" s="200"/>
      <c r="AA692" s="201"/>
      <c r="AB692" s="200"/>
      <c r="AC692" s="200"/>
    </row>
    <row r="693" ht="15.0" customHeight="1">
      <c r="A693" s="210">
        <f t="shared" si="1"/>
        <v>691</v>
      </c>
      <c r="B693" s="217"/>
      <c r="C693" s="217" t="str">
        <f>IFERROR(VLOOKUP(B693, SourceData!$U$3:$V$190, 2, FALSE), "")</f>
        <v/>
      </c>
      <c r="D693" s="240"/>
      <c r="E693" s="241"/>
      <c r="F693" s="248"/>
      <c r="G693" s="207"/>
      <c r="H693" s="209"/>
      <c r="I693" s="209"/>
      <c r="J693" s="209"/>
      <c r="K693" s="208" t="str">
        <f>IF(Errors!$I693=0,SourceData!$B$42,VLOOKUP(Errors!$I693,SourceData!$A$2:$B$40,2,FALSE))</f>
        <v>Please select ERROR CODE column "I"</v>
      </c>
      <c r="L693" s="207" t="str">
        <f>IF(Errors!$I693=0,
    'List of Error Codes'!$E$29,
    IFERROR(VLOOKUP(Errors!$I693, 'List of Error Codes'!D692:I722, 6, FALSE), 'List of Error Codes'!$E$29)
)</f>
        <v>Please select ERROR CODE column "I"</v>
      </c>
      <c r="M693" s="209"/>
      <c r="N693" s="209"/>
      <c r="O693" s="209"/>
      <c r="P693" s="209"/>
      <c r="Q693" s="209"/>
      <c r="R693" s="217"/>
      <c r="S693" s="217"/>
      <c r="T693" s="217"/>
      <c r="U693" s="199"/>
      <c r="V693" s="200"/>
      <c r="W693" s="200"/>
      <c r="X693" s="200"/>
      <c r="Y693" s="200"/>
      <c r="Z693" s="200"/>
      <c r="AA693" s="201"/>
      <c r="AB693" s="200"/>
      <c r="AC693" s="200"/>
    </row>
    <row r="694" ht="15.0" customHeight="1">
      <c r="A694" s="210">
        <f t="shared" si="1"/>
        <v>692</v>
      </c>
      <c r="B694" s="217"/>
      <c r="C694" s="217" t="str">
        <f>IFERROR(VLOOKUP(B694, SourceData!$U$3:$V$190, 2, FALSE), "")</f>
        <v/>
      </c>
      <c r="D694" s="240"/>
      <c r="E694" s="241"/>
      <c r="F694" s="248"/>
      <c r="G694" s="207"/>
      <c r="H694" s="209"/>
      <c r="I694" s="209"/>
      <c r="J694" s="209"/>
      <c r="K694" s="208" t="str">
        <f>IF(Errors!$I694=0,SourceData!$B$42,VLOOKUP(Errors!$I694,SourceData!$A$2:$B$40,2,FALSE))</f>
        <v>Please select ERROR CODE column "I"</v>
      </c>
      <c r="L694" s="207" t="str">
        <f>IF(Errors!$I694=0,
    'List of Error Codes'!$E$29,
    IFERROR(VLOOKUP(Errors!$I694, 'List of Error Codes'!D693:I723, 6, FALSE), 'List of Error Codes'!$E$29)
)</f>
        <v>Please select ERROR CODE column "I"</v>
      </c>
      <c r="M694" s="209"/>
      <c r="N694" s="209"/>
      <c r="O694" s="209"/>
      <c r="P694" s="209"/>
      <c r="Q694" s="209"/>
      <c r="R694" s="217"/>
      <c r="S694" s="217"/>
      <c r="T694" s="217"/>
      <c r="U694" s="199"/>
      <c r="V694" s="200"/>
      <c r="W694" s="200"/>
      <c r="X694" s="200"/>
      <c r="Y694" s="200"/>
      <c r="Z694" s="200"/>
      <c r="AA694" s="201"/>
      <c r="AB694" s="200"/>
      <c r="AC694" s="200"/>
    </row>
    <row r="695" ht="15.0" customHeight="1">
      <c r="A695" s="210">
        <f t="shared" si="1"/>
        <v>693</v>
      </c>
      <c r="B695" s="217"/>
      <c r="C695" s="217" t="str">
        <f>IFERROR(VLOOKUP(B695, SourceData!$U$3:$V$190, 2, FALSE), "")</f>
        <v/>
      </c>
      <c r="D695" s="240"/>
      <c r="E695" s="241"/>
      <c r="F695" s="248"/>
      <c r="G695" s="207"/>
      <c r="H695" s="209"/>
      <c r="I695" s="209"/>
      <c r="J695" s="209"/>
      <c r="K695" s="208" t="str">
        <f>IF(Errors!$I695=0,SourceData!$B$42,VLOOKUP(Errors!$I695,SourceData!$A$2:$B$40,2,FALSE))</f>
        <v>Please select ERROR CODE column "I"</v>
      </c>
      <c r="L695" s="207" t="str">
        <f>IF(Errors!$I695=0,
    'List of Error Codes'!$E$29,
    IFERROR(VLOOKUP(Errors!$I695, 'List of Error Codes'!D694:I724, 6, FALSE), 'List of Error Codes'!$E$29)
)</f>
        <v>Please select ERROR CODE column "I"</v>
      </c>
      <c r="M695" s="209"/>
      <c r="N695" s="209"/>
      <c r="O695" s="209"/>
      <c r="P695" s="209"/>
      <c r="Q695" s="209"/>
      <c r="R695" s="217"/>
      <c r="S695" s="217"/>
      <c r="T695" s="217"/>
      <c r="U695" s="199"/>
      <c r="V695" s="200"/>
      <c r="W695" s="200"/>
      <c r="X695" s="200"/>
      <c r="Y695" s="200"/>
      <c r="Z695" s="200"/>
      <c r="AA695" s="201"/>
      <c r="AB695" s="200"/>
      <c r="AC695" s="200"/>
    </row>
    <row r="696" ht="15.0" customHeight="1">
      <c r="A696" s="210">
        <f t="shared" si="1"/>
        <v>694</v>
      </c>
      <c r="B696" s="217"/>
      <c r="C696" s="217" t="str">
        <f>IFERROR(VLOOKUP(B696, SourceData!$U$3:$V$190, 2, FALSE), "")</f>
        <v/>
      </c>
      <c r="D696" s="240"/>
      <c r="E696" s="241"/>
      <c r="F696" s="248"/>
      <c r="G696" s="207"/>
      <c r="H696" s="209"/>
      <c r="I696" s="209"/>
      <c r="J696" s="209"/>
      <c r="K696" s="208" t="str">
        <f>IF(Errors!$I696=0,SourceData!$B$42,VLOOKUP(Errors!$I696,SourceData!$A$2:$B$40,2,FALSE))</f>
        <v>Please select ERROR CODE column "I"</v>
      </c>
      <c r="L696" s="207" t="str">
        <f>IF(Errors!$I696=0,
    'List of Error Codes'!$E$29,
    IFERROR(VLOOKUP(Errors!$I696, 'List of Error Codes'!D695:I725, 6, FALSE), 'List of Error Codes'!$E$29)
)</f>
        <v>Please select ERROR CODE column "I"</v>
      </c>
      <c r="M696" s="209"/>
      <c r="N696" s="209"/>
      <c r="O696" s="209"/>
      <c r="P696" s="209"/>
      <c r="Q696" s="209"/>
      <c r="R696" s="217"/>
      <c r="S696" s="217"/>
      <c r="T696" s="217"/>
      <c r="U696" s="199"/>
      <c r="V696" s="200"/>
      <c r="W696" s="200"/>
      <c r="X696" s="200"/>
      <c r="Y696" s="200"/>
      <c r="Z696" s="200"/>
      <c r="AA696" s="201"/>
      <c r="AB696" s="200"/>
      <c r="AC696" s="200"/>
    </row>
    <row r="697" ht="15.0" customHeight="1">
      <c r="A697" s="210">
        <f t="shared" si="1"/>
        <v>695</v>
      </c>
      <c r="B697" s="217"/>
      <c r="C697" s="217" t="str">
        <f>IFERROR(VLOOKUP(B697, SourceData!$U$3:$V$190, 2, FALSE), "")</f>
        <v/>
      </c>
      <c r="D697" s="240"/>
      <c r="E697" s="241"/>
      <c r="F697" s="248"/>
      <c r="G697" s="207"/>
      <c r="H697" s="209"/>
      <c r="I697" s="209"/>
      <c r="J697" s="209"/>
      <c r="K697" s="208" t="str">
        <f>IF(Errors!$I697=0,SourceData!$B$42,VLOOKUP(Errors!$I697,SourceData!$A$2:$B$40,2,FALSE))</f>
        <v>Please select ERROR CODE column "I"</v>
      </c>
      <c r="L697" s="207" t="str">
        <f>IF(Errors!$I697=0,
    'List of Error Codes'!$E$29,
    IFERROR(VLOOKUP(Errors!$I697, 'List of Error Codes'!D696:I726, 6, FALSE), 'List of Error Codes'!$E$29)
)</f>
        <v>Please select ERROR CODE column "I"</v>
      </c>
      <c r="M697" s="209"/>
      <c r="N697" s="209"/>
      <c r="O697" s="209"/>
      <c r="P697" s="209"/>
      <c r="Q697" s="209"/>
      <c r="R697" s="217"/>
      <c r="S697" s="217"/>
      <c r="T697" s="217"/>
      <c r="U697" s="199"/>
      <c r="V697" s="200"/>
      <c r="W697" s="200"/>
      <c r="X697" s="200"/>
      <c r="Y697" s="200"/>
      <c r="Z697" s="200"/>
      <c r="AA697" s="201"/>
      <c r="AB697" s="200"/>
      <c r="AC697" s="200"/>
    </row>
    <row r="698" ht="15.0" customHeight="1">
      <c r="A698" s="210">
        <f t="shared" si="1"/>
        <v>696</v>
      </c>
      <c r="B698" s="217"/>
      <c r="C698" s="217" t="str">
        <f>IFERROR(VLOOKUP(B698, SourceData!$U$3:$V$190, 2, FALSE), "")</f>
        <v/>
      </c>
      <c r="D698" s="240"/>
      <c r="E698" s="241"/>
      <c r="F698" s="248"/>
      <c r="G698" s="207"/>
      <c r="H698" s="209"/>
      <c r="I698" s="209"/>
      <c r="J698" s="209"/>
      <c r="K698" s="208" t="str">
        <f>IF(Errors!$I698=0,SourceData!$B$42,VLOOKUP(Errors!$I698,SourceData!$A$2:$B$40,2,FALSE))</f>
        <v>Please select ERROR CODE column "I"</v>
      </c>
      <c r="L698" s="207" t="str">
        <f>IF(Errors!$I698=0,
    'List of Error Codes'!$E$29,
    IFERROR(VLOOKUP(Errors!$I698, 'List of Error Codes'!D697:I727, 6, FALSE), 'List of Error Codes'!$E$29)
)</f>
        <v>Please select ERROR CODE column "I"</v>
      </c>
      <c r="M698" s="209"/>
      <c r="N698" s="209"/>
      <c r="O698" s="209"/>
      <c r="P698" s="209"/>
      <c r="Q698" s="209"/>
      <c r="R698" s="217"/>
      <c r="S698" s="217"/>
      <c r="T698" s="217"/>
      <c r="U698" s="199"/>
      <c r="V698" s="200"/>
      <c r="W698" s="200"/>
      <c r="X698" s="200"/>
      <c r="Y698" s="200"/>
      <c r="Z698" s="200"/>
      <c r="AA698" s="201"/>
      <c r="AB698" s="200"/>
      <c r="AC698" s="200"/>
    </row>
    <row r="699" ht="15.0" customHeight="1">
      <c r="A699" s="210">
        <f t="shared" si="1"/>
        <v>697</v>
      </c>
      <c r="B699" s="217"/>
      <c r="C699" s="217" t="str">
        <f>IFERROR(VLOOKUP(B699, SourceData!$U$3:$V$190, 2, FALSE), "")</f>
        <v/>
      </c>
      <c r="D699" s="240"/>
      <c r="E699" s="241"/>
      <c r="F699" s="248"/>
      <c r="G699" s="207"/>
      <c r="H699" s="209"/>
      <c r="I699" s="209"/>
      <c r="J699" s="209"/>
      <c r="K699" s="208" t="str">
        <f>IF(Errors!$I699=0,SourceData!$B$42,VLOOKUP(Errors!$I699,SourceData!$A$2:$B$40,2,FALSE))</f>
        <v>Please select ERROR CODE column "I"</v>
      </c>
      <c r="L699" s="207" t="str">
        <f>IF(Errors!$I699=0,
    'List of Error Codes'!$E$29,
    IFERROR(VLOOKUP(Errors!$I699, 'List of Error Codes'!D698:I728, 6, FALSE), 'List of Error Codes'!$E$29)
)</f>
        <v>Please select ERROR CODE column "I"</v>
      </c>
      <c r="M699" s="209"/>
      <c r="N699" s="209"/>
      <c r="O699" s="209"/>
      <c r="P699" s="209"/>
      <c r="Q699" s="209"/>
      <c r="R699" s="217"/>
      <c r="S699" s="217"/>
      <c r="T699" s="217"/>
      <c r="U699" s="199"/>
      <c r="V699" s="200"/>
      <c r="W699" s="200"/>
      <c r="X699" s="200"/>
      <c r="Y699" s="200"/>
      <c r="Z699" s="200"/>
      <c r="AA699" s="201"/>
      <c r="AB699" s="200"/>
      <c r="AC699" s="200"/>
    </row>
    <row r="700" ht="15.0" customHeight="1">
      <c r="A700" s="210">
        <f t="shared" si="1"/>
        <v>698</v>
      </c>
      <c r="B700" s="217"/>
      <c r="C700" s="217" t="str">
        <f>IFERROR(VLOOKUP(B700, SourceData!$U$3:$V$190, 2, FALSE), "")</f>
        <v/>
      </c>
      <c r="D700" s="240"/>
      <c r="E700" s="241"/>
      <c r="F700" s="248"/>
      <c r="G700" s="207"/>
      <c r="H700" s="209"/>
      <c r="I700" s="209"/>
      <c r="J700" s="209"/>
      <c r="K700" s="208" t="str">
        <f>IF(Errors!$I700=0,SourceData!$B$42,VLOOKUP(Errors!$I700,SourceData!$A$2:$B$40,2,FALSE))</f>
        <v>Please select ERROR CODE column "I"</v>
      </c>
      <c r="L700" s="207" t="str">
        <f>IF(Errors!$I700=0,
    'List of Error Codes'!$E$29,
    IFERROR(VLOOKUP(Errors!$I700, 'List of Error Codes'!D699:I729, 6, FALSE), 'List of Error Codes'!$E$29)
)</f>
        <v>Please select ERROR CODE column "I"</v>
      </c>
      <c r="M700" s="209"/>
      <c r="N700" s="209"/>
      <c r="O700" s="209"/>
      <c r="P700" s="209"/>
      <c r="Q700" s="209"/>
      <c r="R700" s="217"/>
      <c r="S700" s="217"/>
      <c r="T700" s="217"/>
      <c r="U700" s="199"/>
      <c r="V700" s="200"/>
      <c r="W700" s="200"/>
      <c r="X700" s="200"/>
      <c r="Y700" s="200"/>
      <c r="Z700" s="200"/>
      <c r="AA700" s="201"/>
      <c r="AB700" s="200"/>
      <c r="AC700" s="200"/>
    </row>
    <row r="701" ht="15.0" customHeight="1">
      <c r="A701" s="210">
        <f t="shared" si="1"/>
        <v>699</v>
      </c>
      <c r="B701" s="217"/>
      <c r="C701" s="217" t="str">
        <f>IFERROR(VLOOKUP(B701, SourceData!$U$3:$V$190, 2, FALSE), "")</f>
        <v/>
      </c>
      <c r="D701" s="240"/>
      <c r="E701" s="241"/>
      <c r="F701" s="248"/>
      <c r="G701" s="207"/>
      <c r="H701" s="209"/>
      <c r="I701" s="209"/>
      <c r="J701" s="209"/>
      <c r="K701" s="208" t="str">
        <f>IF(Errors!$I701=0,SourceData!$B$42,VLOOKUP(Errors!$I701,SourceData!$A$2:$B$40,2,FALSE))</f>
        <v>Please select ERROR CODE column "I"</v>
      </c>
      <c r="L701" s="207" t="str">
        <f>IF(Errors!$I701=0,
    'List of Error Codes'!$E$29,
    IFERROR(VLOOKUP(Errors!$I701, 'List of Error Codes'!D700:I730, 6, FALSE), 'List of Error Codes'!$E$29)
)</f>
        <v>Please select ERROR CODE column "I"</v>
      </c>
      <c r="M701" s="209"/>
      <c r="N701" s="209"/>
      <c r="O701" s="209"/>
      <c r="P701" s="209"/>
      <c r="Q701" s="209"/>
      <c r="R701" s="217"/>
      <c r="S701" s="217"/>
      <c r="T701" s="217"/>
      <c r="U701" s="199"/>
      <c r="V701" s="200"/>
      <c r="W701" s="200"/>
      <c r="X701" s="200"/>
      <c r="Y701" s="200"/>
      <c r="Z701" s="200"/>
      <c r="AA701" s="201"/>
      <c r="AB701" s="200"/>
      <c r="AC701" s="200"/>
    </row>
    <row r="702" ht="15.0" customHeight="1">
      <c r="A702" s="210">
        <f t="shared" si="1"/>
        <v>700</v>
      </c>
      <c r="B702" s="217"/>
      <c r="C702" s="217" t="str">
        <f>IFERROR(VLOOKUP(B702, SourceData!$U$3:$V$190, 2, FALSE), "")</f>
        <v/>
      </c>
      <c r="D702" s="240"/>
      <c r="E702" s="241"/>
      <c r="F702" s="248"/>
      <c r="G702" s="207"/>
      <c r="H702" s="209"/>
      <c r="I702" s="209"/>
      <c r="J702" s="209"/>
      <c r="K702" s="208" t="str">
        <f>IF(Errors!$I702=0,SourceData!$B$42,VLOOKUP(Errors!$I702,SourceData!$A$2:$B$40,2,FALSE))</f>
        <v>Please select ERROR CODE column "I"</v>
      </c>
      <c r="L702" s="207" t="str">
        <f>IF(Errors!$I702=0,
    'List of Error Codes'!$E$29,
    IFERROR(VLOOKUP(Errors!$I702, 'List of Error Codes'!D701:I731, 6, FALSE), 'List of Error Codes'!$E$29)
)</f>
        <v>Please select ERROR CODE column "I"</v>
      </c>
      <c r="M702" s="209"/>
      <c r="N702" s="209"/>
      <c r="O702" s="209"/>
      <c r="P702" s="209"/>
      <c r="Q702" s="209"/>
      <c r="R702" s="217"/>
      <c r="S702" s="217"/>
      <c r="T702" s="217"/>
      <c r="U702" s="199"/>
      <c r="V702" s="200"/>
      <c r="W702" s="200"/>
      <c r="X702" s="200"/>
      <c r="Y702" s="200"/>
      <c r="Z702" s="200"/>
      <c r="AA702" s="201"/>
      <c r="AB702" s="200"/>
      <c r="AC702" s="200"/>
    </row>
    <row r="703" ht="15.0" customHeight="1">
      <c r="A703" s="210">
        <f t="shared" si="1"/>
        <v>701</v>
      </c>
      <c r="B703" s="217"/>
      <c r="C703" s="217" t="str">
        <f>IFERROR(VLOOKUP(B703, SourceData!$U$3:$V$190, 2, FALSE), "")</f>
        <v/>
      </c>
      <c r="D703" s="240"/>
      <c r="E703" s="241"/>
      <c r="F703" s="248"/>
      <c r="G703" s="207"/>
      <c r="H703" s="209"/>
      <c r="I703" s="209"/>
      <c r="J703" s="209"/>
      <c r="K703" s="208" t="str">
        <f>IF(Errors!$I703=0,SourceData!$B$42,VLOOKUP(Errors!$I703,SourceData!$A$2:$B$40,2,FALSE))</f>
        <v>Please select ERROR CODE column "I"</v>
      </c>
      <c r="L703" s="207" t="str">
        <f>IF(Errors!$I703=0,
    'List of Error Codes'!$E$29,
    IFERROR(VLOOKUP(Errors!$I703, 'List of Error Codes'!D702:I732, 6, FALSE), 'List of Error Codes'!$E$29)
)</f>
        <v>Please select ERROR CODE column "I"</v>
      </c>
      <c r="M703" s="209"/>
      <c r="N703" s="209"/>
      <c r="O703" s="209"/>
      <c r="P703" s="209"/>
      <c r="Q703" s="209"/>
      <c r="R703" s="217"/>
      <c r="S703" s="217"/>
      <c r="T703" s="217"/>
      <c r="U703" s="199"/>
      <c r="V703" s="200"/>
      <c r="W703" s="200"/>
      <c r="X703" s="200"/>
      <c r="Y703" s="200"/>
      <c r="Z703" s="200"/>
      <c r="AA703" s="201"/>
      <c r="AB703" s="200"/>
      <c r="AC703" s="200"/>
    </row>
    <row r="704" ht="15.0" customHeight="1">
      <c r="A704" s="210">
        <f t="shared" si="1"/>
        <v>702</v>
      </c>
      <c r="B704" s="217"/>
      <c r="C704" s="217" t="str">
        <f>IFERROR(VLOOKUP(B704, SourceData!$U$3:$V$190, 2, FALSE), "")</f>
        <v/>
      </c>
      <c r="D704" s="240"/>
      <c r="E704" s="241"/>
      <c r="F704" s="248"/>
      <c r="G704" s="207"/>
      <c r="H704" s="209"/>
      <c r="I704" s="209"/>
      <c r="J704" s="209"/>
      <c r="K704" s="208" t="str">
        <f>IF(Errors!$I704=0,SourceData!$B$42,VLOOKUP(Errors!$I704,SourceData!$A$2:$B$40,2,FALSE))</f>
        <v>Please select ERROR CODE column "I"</v>
      </c>
      <c r="L704" s="207" t="str">
        <f>IF(Errors!$I704=0,
    'List of Error Codes'!$E$29,
    IFERROR(VLOOKUP(Errors!$I704, 'List of Error Codes'!D703:I733, 6, FALSE), 'List of Error Codes'!$E$29)
)</f>
        <v>Please select ERROR CODE column "I"</v>
      </c>
      <c r="M704" s="209"/>
      <c r="N704" s="209"/>
      <c r="O704" s="209"/>
      <c r="P704" s="209"/>
      <c r="Q704" s="209"/>
      <c r="R704" s="217"/>
      <c r="S704" s="217"/>
      <c r="T704" s="217"/>
      <c r="U704" s="199"/>
      <c r="V704" s="200"/>
      <c r="W704" s="200"/>
      <c r="X704" s="200"/>
      <c r="Y704" s="200"/>
      <c r="Z704" s="200"/>
      <c r="AA704" s="201"/>
      <c r="AB704" s="200"/>
      <c r="AC704" s="200"/>
    </row>
    <row r="705" ht="15.0" customHeight="1">
      <c r="A705" s="210">
        <f t="shared" si="1"/>
        <v>703</v>
      </c>
      <c r="B705" s="217"/>
      <c r="C705" s="217" t="str">
        <f>IFERROR(VLOOKUP(B705, SourceData!$U$3:$V$190, 2, FALSE), "")</f>
        <v/>
      </c>
      <c r="D705" s="240"/>
      <c r="E705" s="241"/>
      <c r="F705" s="248"/>
      <c r="G705" s="207"/>
      <c r="H705" s="209"/>
      <c r="I705" s="209"/>
      <c r="J705" s="209"/>
      <c r="K705" s="208" t="str">
        <f>IF(Errors!$I705=0,SourceData!$B$42,VLOOKUP(Errors!$I705,SourceData!$A$2:$B$40,2,FALSE))</f>
        <v>Please select ERROR CODE column "I"</v>
      </c>
      <c r="L705" s="207" t="str">
        <f>IF(Errors!$I705=0,
    'List of Error Codes'!$E$29,
    IFERROR(VLOOKUP(Errors!$I705, 'List of Error Codes'!D704:I734, 6, FALSE), 'List of Error Codes'!$E$29)
)</f>
        <v>Please select ERROR CODE column "I"</v>
      </c>
      <c r="M705" s="209"/>
      <c r="N705" s="209"/>
      <c r="O705" s="209"/>
      <c r="P705" s="209"/>
      <c r="Q705" s="209"/>
      <c r="R705" s="217"/>
      <c r="S705" s="217"/>
      <c r="T705" s="217"/>
      <c r="U705" s="199"/>
      <c r="V705" s="200"/>
      <c r="W705" s="200"/>
      <c r="X705" s="200"/>
      <c r="Y705" s="200"/>
      <c r="Z705" s="200"/>
      <c r="AA705" s="201"/>
      <c r="AB705" s="200"/>
      <c r="AC705" s="200"/>
    </row>
    <row r="706" ht="15.0" customHeight="1">
      <c r="A706" s="210">
        <f t="shared" si="1"/>
        <v>704</v>
      </c>
      <c r="B706" s="217"/>
      <c r="C706" s="217" t="str">
        <f>IFERROR(VLOOKUP(B706, SourceData!$U$3:$V$190, 2, FALSE), "")</f>
        <v/>
      </c>
      <c r="D706" s="240"/>
      <c r="E706" s="241"/>
      <c r="F706" s="248"/>
      <c r="G706" s="207"/>
      <c r="H706" s="209"/>
      <c r="I706" s="209"/>
      <c r="J706" s="209"/>
      <c r="K706" s="208" t="str">
        <f>IF(Errors!$I706=0,SourceData!$B$42,VLOOKUP(Errors!$I706,SourceData!$A$2:$B$40,2,FALSE))</f>
        <v>Please select ERROR CODE column "I"</v>
      </c>
      <c r="L706" s="207" t="str">
        <f>IF(Errors!$I706=0,
    'List of Error Codes'!$E$29,
    IFERROR(VLOOKUP(Errors!$I706, 'List of Error Codes'!D705:I735, 6, FALSE), 'List of Error Codes'!$E$29)
)</f>
        <v>Please select ERROR CODE column "I"</v>
      </c>
      <c r="M706" s="209"/>
      <c r="N706" s="209"/>
      <c r="O706" s="209"/>
      <c r="P706" s="209"/>
      <c r="Q706" s="209"/>
      <c r="R706" s="217"/>
      <c r="S706" s="217"/>
      <c r="T706" s="217"/>
      <c r="U706" s="199"/>
      <c r="V706" s="200"/>
      <c r="W706" s="200"/>
      <c r="X706" s="200"/>
      <c r="Y706" s="200"/>
      <c r="Z706" s="200"/>
      <c r="AA706" s="201"/>
      <c r="AB706" s="200"/>
      <c r="AC706" s="200"/>
    </row>
    <row r="707" ht="15.0" customHeight="1">
      <c r="A707" s="210">
        <f t="shared" si="1"/>
        <v>705</v>
      </c>
      <c r="B707" s="217"/>
      <c r="C707" s="217" t="str">
        <f>IFERROR(VLOOKUP(B707, SourceData!$U$3:$V$190, 2, FALSE), "")</f>
        <v/>
      </c>
      <c r="D707" s="240"/>
      <c r="E707" s="241"/>
      <c r="F707" s="248"/>
      <c r="G707" s="207"/>
      <c r="H707" s="209"/>
      <c r="I707" s="209"/>
      <c r="J707" s="209"/>
      <c r="K707" s="208" t="str">
        <f>IF(Errors!$I707=0,SourceData!$B$42,VLOOKUP(Errors!$I707,SourceData!$A$2:$B$40,2,FALSE))</f>
        <v>Please select ERROR CODE column "I"</v>
      </c>
      <c r="L707" s="207" t="str">
        <f>IF(Errors!$I707=0,
    'List of Error Codes'!$E$29,
    IFERROR(VLOOKUP(Errors!$I707, 'List of Error Codes'!D706:I736, 6, FALSE), 'List of Error Codes'!$E$29)
)</f>
        <v>Please select ERROR CODE column "I"</v>
      </c>
      <c r="M707" s="209"/>
      <c r="N707" s="209"/>
      <c r="O707" s="209"/>
      <c r="P707" s="209"/>
      <c r="Q707" s="209"/>
      <c r="R707" s="217"/>
      <c r="S707" s="217"/>
      <c r="T707" s="217"/>
      <c r="U707" s="199"/>
      <c r="V707" s="200"/>
      <c r="W707" s="200"/>
      <c r="X707" s="200"/>
      <c r="Y707" s="200"/>
      <c r="Z707" s="200"/>
      <c r="AA707" s="201"/>
      <c r="AB707" s="200"/>
      <c r="AC707" s="200"/>
    </row>
    <row r="708" ht="15.0" customHeight="1">
      <c r="A708" s="210">
        <f t="shared" si="1"/>
        <v>706</v>
      </c>
      <c r="B708" s="217"/>
      <c r="C708" s="217" t="str">
        <f>IFERROR(VLOOKUP(B708, SourceData!$U$3:$V$190, 2, FALSE), "")</f>
        <v/>
      </c>
      <c r="D708" s="240"/>
      <c r="E708" s="241"/>
      <c r="F708" s="248"/>
      <c r="G708" s="207"/>
      <c r="H708" s="209"/>
      <c r="I708" s="209"/>
      <c r="J708" s="209"/>
      <c r="K708" s="208" t="str">
        <f>IF(Errors!$I708=0,SourceData!$B$42,VLOOKUP(Errors!$I708,SourceData!$A$2:$B$40,2,FALSE))</f>
        <v>Please select ERROR CODE column "I"</v>
      </c>
      <c r="L708" s="207" t="str">
        <f>IF(Errors!$I708=0,
    'List of Error Codes'!$E$29,
    IFERROR(VLOOKUP(Errors!$I708, 'List of Error Codes'!D707:I737, 6, FALSE), 'List of Error Codes'!$E$29)
)</f>
        <v>Please select ERROR CODE column "I"</v>
      </c>
      <c r="M708" s="209"/>
      <c r="N708" s="209"/>
      <c r="O708" s="209"/>
      <c r="P708" s="209"/>
      <c r="Q708" s="209"/>
      <c r="R708" s="217"/>
      <c r="S708" s="217"/>
      <c r="T708" s="217"/>
      <c r="U708" s="199"/>
      <c r="V708" s="200"/>
      <c r="W708" s="200"/>
      <c r="X708" s="200"/>
      <c r="Y708" s="200"/>
      <c r="Z708" s="200"/>
      <c r="AA708" s="201"/>
      <c r="AB708" s="200"/>
      <c r="AC708" s="200"/>
    </row>
    <row r="709" ht="15.0" customHeight="1">
      <c r="A709" s="210">
        <f t="shared" si="1"/>
        <v>707</v>
      </c>
      <c r="B709" s="217"/>
      <c r="C709" s="217" t="str">
        <f>IFERROR(VLOOKUP(B709, SourceData!$U$3:$V$190, 2, FALSE), "")</f>
        <v/>
      </c>
      <c r="D709" s="240"/>
      <c r="E709" s="241"/>
      <c r="F709" s="248"/>
      <c r="G709" s="207"/>
      <c r="H709" s="209"/>
      <c r="I709" s="209"/>
      <c r="J709" s="209"/>
      <c r="K709" s="208" t="str">
        <f>IF(Errors!$I709=0,SourceData!$B$42,VLOOKUP(Errors!$I709,SourceData!$A$2:$B$40,2,FALSE))</f>
        <v>Please select ERROR CODE column "I"</v>
      </c>
      <c r="L709" s="207" t="str">
        <f>IF(Errors!$I709=0,
    'List of Error Codes'!$E$29,
    IFERROR(VLOOKUP(Errors!$I709, 'List of Error Codes'!D708:I738, 6, FALSE), 'List of Error Codes'!$E$29)
)</f>
        <v>Please select ERROR CODE column "I"</v>
      </c>
      <c r="M709" s="209"/>
      <c r="N709" s="209"/>
      <c r="O709" s="209"/>
      <c r="P709" s="209"/>
      <c r="Q709" s="209"/>
      <c r="R709" s="217"/>
      <c r="S709" s="217"/>
      <c r="T709" s="217"/>
      <c r="U709" s="199"/>
      <c r="V709" s="200"/>
      <c r="W709" s="200"/>
      <c r="X709" s="200"/>
      <c r="Y709" s="200"/>
      <c r="Z709" s="200"/>
      <c r="AA709" s="201"/>
      <c r="AB709" s="200"/>
      <c r="AC709" s="200"/>
    </row>
    <row r="710" ht="15.0" customHeight="1">
      <c r="A710" s="210">
        <f t="shared" si="1"/>
        <v>708</v>
      </c>
      <c r="B710" s="217"/>
      <c r="C710" s="217" t="str">
        <f>IFERROR(VLOOKUP(B710, SourceData!$U$3:$V$190, 2, FALSE), "")</f>
        <v/>
      </c>
      <c r="D710" s="240"/>
      <c r="E710" s="241"/>
      <c r="F710" s="248"/>
      <c r="G710" s="207"/>
      <c r="H710" s="209"/>
      <c r="I710" s="209"/>
      <c r="J710" s="209"/>
      <c r="K710" s="208" t="str">
        <f>IF(Errors!$I710=0,SourceData!$B$42,VLOOKUP(Errors!$I710,SourceData!$A$2:$B$40,2,FALSE))</f>
        <v>Please select ERROR CODE column "I"</v>
      </c>
      <c r="L710" s="207" t="str">
        <f>IF(Errors!$I710=0,
    'List of Error Codes'!$E$29,
    IFERROR(VLOOKUP(Errors!$I710, 'List of Error Codes'!D709:I739, 6, FALSE), 'List of Error Codes'!$E$29)
)</f>
        <v>Please select ERROR CODE column "I"</v>
      </c>
      <c r="M710" s="209"/>
      <c r="N710" s="209"/>
      <c r="O710" s="209"/>
      <c r="P710" s="209"/>
      <c r="Q710" s="209"/>
      <c r="R710" s="217"/>
      <c r="S710" s="217"/>
      <c r="T710" s="217"/>
      <c r="U710" s="199"/>
      <c r="V710" s="200"/>
      <c r="W710" s="200"/>
      <c r="X710" s="200"/>
      <c r="Y710" s="200"/>
      <c r="Z710" s="200"/>
      <c r="AA710" s="201"/>
      <c r="AB710" s="200"/>
      <c r="AC710" s="200"/>
    </row>
    <row r="711" ht="15.0" customHeight="1">
      <c r="A711" s="210">
        <f t="shared" si="1"/>
        <v>709</v>
      </c>
      <c r="B711" s="217"/>
      <c r="C711" s="217" t="str">
        <f>IFERROR(VLOOKUP(B711, SourceData!$U$3:$V$190, 2, FALSE), "")</f>
        <v/>
      </c>
      <c r="D711" s="240"/>
      <c r="E711" s="241"/>
      <c r="F711" s="248"/>
      <c r="G711" s="207"/>
      <c r="H711" s="209"/>
      <c r="I711" s="209"/>
      <c r="J711" s="209"/>
      <c r="K711" s="208" t="str">
        <f>IF(Errors!$I711=0,SourceData!$B$42,VLOOKUP(Errors!$I711,SourceData!$A$2:$B$40,2,FALSE))</f>
        <v>Please select ERROR CODE column "I"</v>
      </c>
      <c r="L711" s="207" t="str">
        <f>IF(Errors!$I711=0,
    'List of Error Codes'!$E$29,
    IFERROR(VLOOKUP(Errors!$I711, 'List of Error Codes'!D710:I740, 6, FALSE), 'List of Error Codes'!$E$29)
)</f>
        <v>Please select ERROR CODE column "I"</v>
      </c>
      <c r="M711" s="209"/>
      <c r="N711" s="209"/>
      <c r="O711" s="209"/>
      <c r="P711" s="209"/>
      <c r="Q711" s="209"/>
      <c r="R711" s="217"/>
      <c r="S711" s="217"/>
      <c r="T711" s="217"/>
      <c r="U711" s="199"/>
      <c r="V711" s="200"/>
      <c r="W711" s="200"/>
      <c r="X711" s="200"/>
      <c r="Y711" s="200"/>
      <c r="Z711" s="200"/>
      <c r="AA711" s="201"/>
      <c r="AB711" s="200"/>
      <c r="AC711" s="200"/>
    </row>
    <row r="712" ht="15.0" customHeight="1">
      <c r="A712" s="210">
        <f t="shared" si="1"/>
        <v>710</v>
      </c>
      <c r="B712" s="217"/>
      <c r="C712" s="217" t="str">
        <f>IFERROR(VLOOKUP(B712, SourceData!$U$3:$V$190, 2, FALSE), "")</f>
        <v/>
      </c>
      <c r="D712" s="240"/>
      <c r="E712" s="241"/>
      <c r="F712" s="248"/>
      <c r="G712" s="207"/>
      <c r="H712" s="209"/>
      <c r="I712" s="209"/>
      <c r="J712" s="209"/>
      <c r="K712" s="208" t="str">
        <f>IF(Errors!$I712=0,SourceData!$B$42,VLOOKUP(Errors!$I712,SourceData!$A$2:$B$40,2,FALSE))</f>
        <v>Please select ERROR CODE column "I"</v>
      </c>
      <c r="L712" s="207" t="str">
        <f>IF(Errors!$I712=0,
    'List of Error Codes'!$E$29,
    IFERROR(VLOOKUP(Errors!$I712, 'List of Error Codes'!D711:I741, 6, FALSE), 'List of Error Codes'!$E$29)
)</f>
        <v>Please select ERROR CODE column "I"</v>
      </c>
      <c r="M712" s="209"/>
      <c r="N712" s="209"/>
      <c r="O712" s="209"/>
      <c r="P712" s="209"/>
      <c r="Q712" s="209"/>
      <c r="R712" s="217"/>
      <c r="S712" s="217"/>
      <c r="T712" s="217"/>
      <c r="U712" s="199"/>
      <c r="V712" s="200"/>
      <c r="W712" s="200"/>
      <c r="X712" s="200"/>
      <c r="Y712" s="200"/>
      <c r="Z712" s="200"/>
      <c r="AA712" s="201"/>
      <c r="AB712" s="200"/>
      <c r="AC712" s="200"/>
    </row>
    <row r="713" ht="15.0" customHeight="1">
      <c r="A713" s="210">
        <f t="shared" si="1"/>
        <v>711</v>
      </c>
      <c r="B713" s="217"/>
      <c r="C713" s="217" t="str">
        <f>IFERROR(VLOOKUP(B713, SourceData!$U$3:$V$190, 2, FALSE), "")</f>
        <v/>
      </c>
      <c r="D713" s="240"/>
      <c r="E713" s="241"/>
      <c r="F713" s="248"/>
      <c r="G713" s="207"/>
      <c r="H713" s="209"/>
      <c r="I713" s="209"/>
      <c r="J713" s="209"/>
      <c r="K713" s="208" t="str">
        <f>IF(Errors!$I713=0,SourceData!$B$42,VLOOKUP(Errors!$I713,SourceData!$A$2:$B$40,2,FALSE))</f>
        <v>Please select ERROR CODE column "I"</v>
      </c>
      <c r="L713" s="207" t="str">
        <f>IF(Errors!$I713=0,
    'List of Error Codes'!$E$29,
    IFERROR(VLOOKUP(Errors!$I713, 'List of Error Codes'!D712:I742, 6, FALSE), 'List of Error Codes'!$E$29)
)</f>
        <v>Please select ERROR CODE column "I"</v>
      </c>
      <c r="M713" s="209"/>
      <c r="N713" s="209"/>
      <c r="O713" s="209"/>
      <c r="P713" s="209"/>
      <c r="Q713" s="209"/>
      <c r="R713" s="217"/>
      <c r="S713" s="217"/>
      <c r="T713" s="217"/>
      <c r="U713" s="199"/>
      <c r="V713" s="200"/>
      <c r="W713" s="200"/>
      <c r="X713" s="200"/>
      <c r="Y713" s="200"/>
      <c r="Z713" s="200"/>
      <c r="AA713" s="201"/>
      <c r="AB713" s="200"/>
      <c r="AC713" s="200"/>
    </row>
    <row r="714" ht="15.0" customHeight="1">
      <c r="A714" s="210">
        <f t="shared" si="1"/>
        <v>712</v>
      </c>
      <c r="B714" s="217"/>
      <c r="C714" s="217" t="str">
        <f>IFERROR(VLOOKUP(B714, SourceData!$U$3:$V$190, 2, FALSE), "")</f>
        <v/>
      </c>
      <c r="D714" s="240"/>
      <c r="E714" s="241"/>
      <c r="F714" s="248"/>
      <c r="G714" s="207"/>
      <c r="H714" s="209"/>
      <c r="I714" s="209"/>
      <c r="J714" s="209"/>
      <c r="K714" s="208" t="str">
        <f>IF(Errors!$I714=0,SourceData!$B$42,VLOOKUP(Errors!$I714,SourceData!$A$2:$B$40,2,FALSE))</f>
        <v>Please select ERROR CODE column "I"</v>
      </c>
      <c r="L714" s="207" t="str">
        <f>IF(Errors!$I714=0,
    'List of Error Codes'!$E$29,
    IFERROR(VLOOKUP(Errors!$I714, 'List of Error Codes'!D713:I743, 6, FALSE), 'List of Error Codes'!$E$29)
)</f>
        <v>Please select ERROR CODE column "I"</v>
      </c>
      <c r="M714" s="209"/>
      <c r="N714" s="209"/>
      <c r="O714" s="209"/>
      <c r="P714" s="209"/>
      <c r="Q714" s="209"/>
      <c r="R714" s="217"/>
      <c r="S714" s="217"/>
      <c r="T714" s="217"/>
      <c r="U714" s="199"/>
      <c r="V714" s="200"/>
      <c r="W714" s="200"/>
      <c r="X714" s="200"/>
      <c r="Y714" s="200"/>
      <c r="Z714" s="200"/>
      <c r="AA714" s="201"/>
      <c r="AB714" s="200"/>
      <c r="AC714" s="200"/>
    </row>
    <row r="715" ht="15.0" customHeight="1">
      <c r="A715" s="210">
        <f t="shared" si="1"/>
        <v>713</v>
      </c>
      <c r="B715" s="217"/>
      <c r="C715" s="217" t="str">
        <f>IFERROR(VLOOKUP(B715, SourceData!$U$3:$V$190, 2, FALSE), "")</f>
        <v/>
      </c>
      <c r="D715" s="240"/>
      <c r="E715" s="241"/>
      <c r="F715" s="248"/>
      <c r="G715" s="207"/>
      <c r="H715" s="209"/>
      <c r="I715" s="209"/>
      <c r="J715" s="209"/>
      <c r="K715" s="208" t="str">
        <f>IF(Errors!$I715=0,SourceData!$B$42,VLOOKUP(Errors!$I715,SourceData!$A$2:$B$40,2,FALSE))</f>
        <v>Please select ERROR CODE column "I"</v>
      </c>
      <c r="L715" s="207" t="str">
        <f>IF(Errors!$I715=0,
    'List of Error Codes'!$E$29,
    IFERROR(VLOOKUP(Errors!$I715, 'List of Error Codes'!D714:I744, 6, FALSE), 'List of Error Codes'!$E$29)
)</f>
        <v>Please select ERROR CODE column "I"</v>
      </c>
      <c r="M715" s="209"/>
      <c r="N715" s="209"/>
      <c r="O715" s="209"/>
      <c r="P715" s="209"/>
      <c r="Q715" s="209"/>
      <c r="R715" s="217"/>
      <c r="S715" s="217"/>
      <c r="T715" s="217"/>
      <c r="U715" s="199"/>
      <c r="V715" s="200"/>
      <c r="W715" s="200"/>
      <c r="X715" s="200"/>
      <c r="Y715" s="200"/>
      <c r="Z715" s="200"/>
      <c r="AA715" s="201"/>
      <c r="AB715" s="200"/>
      <c r="AC715" s="200"/>
    </row>
    <row r="716" ht="15.0" customHeight="1">
      <c r="A716" s="210">
        <f t="shared" si="1"/>
        <v>714</v>
      </c>
      <c r="B716" s="217"/>
      <c r="C716" s="217" t="str">
        <f>IFERROR(VLOOKUP(B716, SourceData!$U$3:$V$190, 2, FALSE), "")</f>
        <v/>
      </c>
      <c r="D716" s="240"/>
      <c r="E716" s="241"/>
      <c r="F716" s="248"/>
      <c r="G716" s="207"/>
      <c r="H716" s="209"/>
      <c r="I716" s="209"/>
      <c r="J716" s="209"/>
      <c r="K716" s="208" t="str">
        <f>IF(Errors!$I716=0,SourceData!$B$42,VLOOKUP(Errors!$I716,SourceData!$A$2:$B$40,2,FALSE))</f>
        <v>Please select ERROR CODE column "I"</v>
      </c>
      <c r="L716" s="207" t="str">
        <f>IF(Errors!$I716=0,
    'List of Error Codes'!$E$29,
    IFERROR(VLOOKUP(Errors!$I716, 'List of Error Codes'!D715:I745, 6, FALSE), 'List of Error Codes'!$E$29)
)</f>
        <v>Please select ERROR CODE column "I"</v>
      </c>
      <c r="M716" s="209"/>
      <c r="N716" s="209"/>
      <c r="O716" s="209"/>
      <c r="P716" s="209"/>
      <c r="Q716" s="209"/>
      <c r="R716" s="217"/>
      <c r="S716" s="217"/>
      <c r="T716" s="217"/>
      <c r="U716" s="199"/>
      <c r="V716" s="200"/>
      <c r="W716" s="200"/>
      <c r="X716" s="200"/>
      <c r="Y716" s="200"/>
      <c r="Z716" s="200"/>
      <c r="AA716" s="201"/>
      <c r="AB716" s="200"/>
      <c r="AC716" s="200"/>
    </row>
    <row r="717" ht="15.0" customHeight="1">
      <c r="A717" s="210">
        <f t="shared" si="1"/>
        <v>715</v>
      </c>
      <c r="B717" s="217"/>
      <c r="C717" s="217" t="str">
        <f>IFERROR(VLOOKUP(B717, SourceData!$U$3:$V$190, 2, FALSE), "")</f>
        <v/>
      </c>
      <c r="D717" s="240"/>
      <c r="E717" s="241"/>
      <c r="F717" s="248"/>
      <c r="G717" s="207"/>
      <c r="H717" s="209"/>
      <c r="I717" s="209"/>
      <c r="J717" s="209"/>
      <c r="K717" s="208" t="str">
        <f>IF(Errors!$I717=0,SourceData!$B$42,VLOOKUP(Errors!$I717,SourceData!$A$2:$B$40,2,FALSE))</f>
        <v>Please select ERROR CODE column "I"</v>
      </c>
      <c r="L717" s="207" t="str">
        <f>IF(Errors!$I717=0,
    'List of Error Codes'!$E$29,
    IFERROR(VLOOKUP(Errors!$I717, 'List of Error Codes'!D716:I746, 6, FALSE), 'List of Error Codes'!$E$29)
)</f>
        <v>Please select ERROR CODE column "I"</v>
      </c>
      <c r="M717" s="209"/>
      <c r="N717" s="209"/>
      <c r="O717" s="209"/>
      <c r="P717" s="209"/>
      <c r="Q717" s="209"/>
      <c r="R717" s="217"/>
      <c r="S717" s="217"/>
      <c r="T717" s="217"/>
      <c r="U717" s="199"/>
      <c r="V717" s="200"/>
      <c r="W717" s="200"/>
      <c r="X717" s="200"/>
      <c r="Y717" s="200"/>
      <c r="Z717" s="200"/>
      <c r="AA717" s="201"/>
      <c r="AB717" s="200"/>
      <c r="AC717" s="200"/>
    </row>
    <row r="718" ht="15.0" customHeight="1">
      <c r="A718" s="210">
        <f t="shared" si="1"/>
        <v>716</v>
      </c>
      <c r="B718" s="217"/>
      <c r="C718" s="217" t="str">
        <f>IFERROR(VLOOKUP(B718, SourceData!$U$3:$V$190, 2, FALSE), "")</f>
        <v/>
      </c>
      <c r="D718" s="240"/>
      <c r="E718" s="241"/>
      <c r="F718" s="248"/>
      <c r="G718" s="207"/>
      <c r="H718" s="209"/>
      <c r="I718" s="209"/>
      <c r="J718" s="209"/>
      <c r="K718" s="208" t="str">
        <f>IF(Errors!$I718=0,SourceData!$B$42,VLOOKUP(Errors!$I718,SourceData!$A$2:$B$40,2,FALSE))</f>
        <v>Please select ERROR CODE column "I"</v>
      </c>
      <c r="L718" s="207" t="str">
        <f>IF(Errors!$I718=0,
    'List of Error Codes'!$E$29,
    IFERROR(VLOOKUP(Errors!$I718, 'List of Error Codes'!D717:I747, 6, FALSE), 'List of Error Codes'!$E$29)
)</f>
        <v>Please select ERROR CODE column "I"</v>
      </c>
      <c r="M718" s="209"/>
      <c r="N718" s="209"/>
      <c r="O718" s="209"/>
      <c r="P718" s="209"/>
      <c r="Q718" s="209"/>
      <c r="R718" s="217"/>
      <c r="S718" s="217"/>
      <c r="T718" s="217"/>
      <c r="U718" s="199"/>
      <c r="V718" s="200"/>
      <c r="W718" s="200"/>
      <c r="X718" s="200"/>
      <c r="Y718" s="200"/>
      <c r="Z718" s="200"/>
      <c r="AA718" s="201"/>
      <c r="AB718" s="200"/>
      <c r="AC718" s="200"/>
    </row>
    <row r="719" ht="15.0" customHeight="1">
      <c r="A719" s="210">
        <f t="shared" si="1"/>
        <v>717</v>
      </c>
      <c r="B719" s="217"/>
      <c r="C719" s="217" t="str">
        <f>IFERROR(VLOOKUP(B719, SourceData!$U$3:$V$190, 2, FALSE), "")</f>
        <v/>
      </c>
      <c r="D719" s="240"/>
      <c r="E719" s="241"/>
      <c r="F719" s="248"/>
      <c r="G719" s="207"/>
      <c r="H719" s="209"/>
      <c r="I719" s="209"/>
      <c r="J719" s="209"/>
      <c r="K719" s="208" t="str">
        <f>IF(Errors!$I719=0,SourceData!$B$42,VLOOKUP(Errors!$I719,SourceData!$A$2:$B$40,2,FALSE))</f>
        <v>Please select ERROR CODE column "I"</v>
      </c>
      <c r="L719" s="207" t="str">
        <f>IF(Errors!$I719=0,
    'List of Error Codes'!$E$29,
    IFERROR(VLOOKUP(Errors!$I719, 'List of Error Codes'!D718:I748, 6, FALSE), 'List of Error Codes'!$E$29)
)</f>
        <v>Please select ERROR CODE column "I"</v>
      </c>
      <c r="M719" s="209"/>
      <c r="N719" s="209"/>
      <c r="O719" s="209"/>
      <c r="P719" s="209"/>
      <c r="Q719" s="209"/>
      <c r="R719" s="217"/>
      <c r="S719" s="217"/>
      <c r="T719" s="217"/>
      <c r="U719" s="199"/>
      <c r="V719" s="200"/>
      <c r="W719" s="200"/>
      <c r="X719" s="200"/>
      <c r="Y719" s="200"/>
      <c r="Z719" s="200"/>
      <c r="AA719" s="201"/>
      <c r="AB719" s="200"/>
      <c r="AC719" s="200"/>
    </row>
    <row r="720" ht="15.0" customHeight="1">
      <c r="A720" s="210">
        <f t="shared" si="1"/>
        <v>718</v>
      </c>
      <c r="B720" s="217"/>
      <c r="C720" s="217" t="str">
        <f>IFERROR(VLOOKUP(B720, SourceData!$U$3:$V$190, 2, FALSE), "")</f>
        <v/>
      </c>
      <c r="D720" s="240"/>
      <c r="E720" s="241"/>
      <c r="F720" s="248"/>
      <c r="G720" s="207"/>
      <c r="H720" s="209"/>
      <c r="I720" s="209"/>
      <c r="J720" s="209"/>
      <c r="K720" s="208" t="str">
        <f>IF(Errors!$I720=0,SourceData!$B$42,VLOOKUP(Errors!$I720,SourceData!$A$2:$B$40,2,FALSE))</f>
        <v>Please select ERROR CODE column "I"</v>
      </c>
      <c r="L720" s="207" t="str">
        <f>IF(Errors!$I720=0,
    'List of Error Codes'!$E$29,
    IFERROR(VLOOKUP(Errors!$I720, 'List of Error Codes'!D719:I749, 6, FALSE), 'List of Error Codes'!$E$29)
)</f>
        <v>Please select ERROR CODE column "I"</v>
      </c>
      <c r="M720" s="209"/>
      <c r="N720" s="209"/>
      <c r="O720" s="209"/>
      <c r="P720" s="209"/>
      <c r="Q720" s="209"/>
      <c r="R720" s="217"/>
      <c r="S720" s="217"/>
      <c r="T720" s="217"/>
      <c r="U720" s="199"/>
      <c r="V720" s="200"/>
      <c r="W720" s="200"/>
      <c r="X720" s="200"/>
      <c r="Y720" s="200"/>
      <c r="Z720" s="200"/>
      <c r="AA720" s="201"/>
      <c r="AB720" s="200"/>
      <c r="AC720" s="200"/>
    </row>
    <row r="721" ht="15.0" customHeight="1">
      <c r="A721" s="210">
        <f t="shared" si="1"/>
        <v>719</v>
      </c>
      <c r="B721" s="217"/>
      <c r="C721" s="217" t="str">
        <f>IFERROR(VLOOKUP(B721, SourceData!$U$3:$V$190, 2, FALSE), "")</f>
        <v/>
      </c>
      <c r="D721" s="240"/>
      <c r="E721" s="241"/>
      <c r="F721" s="248"/>
      <c r="G721" s="207"/>
      <c r="H721" s="209"/>
      <c r="I721" s="209"/>
      <c r="J721" s="209"/>
      <c r="K721" s="208" t="str">
        <f>IF(Errors!$I721=0,SourceData!$B$42,VLOOKUP(Errors!$I721,SourceData!$A$2:$B$40,2,FALSE))</f>
        <v>Please select ERROR CODE column "I"</v>
      </c>
      <c r="L721" s="207" t="str">
        <f>IF(Errors!$I721=0,
    'List of Error Codes'!$E$29,
    IFERROR(VLOOKUP(Errors!$I721, 'List of Error Codes'!D720:I750, 6, FALSE), 'List of Error Codes'!$E$29)
)</f>
        <v>Please select ERROR CODE column "I"</v>
      </c>
      <c r="M721" s="209"/>
      <c r="N721" s="209"/>
      <c r="O721" s="209"/>
      <c r="P721" s="209"/>
      <c r="Q721" s="209"/>
      <c r="R721" s="217"/>
      <c r="S721" s="217"/>
      <c r="T721" s="217"/>
      <c r="U721" s="199"/>
      <c r="V721" s="200"/>
      <c r="W721" s="200"/>
      <c r="X721" s="200"/>
      <c r="Y721" s="200"/>
      <c r="Z721" s="200"/>
      <c r="AA721" s="201"/>
      <c r="AB721" s="200"/>
      <c r="AC721" s="200"/>
    </row>
    <row r="722" ht="15.0" customHeight="1">
      <c r="A722" s="210">
        <f t="shared" si="1"/>
        <v>720</v>
      </c>
      <c r="B722" s="217"/>
      <c r="C722" s="217" t="str">
        <f>IFERROR(VLOOKUP(B722, SourceData!$U$3:$V$190, 2, FALSE), "")</f>
        <v/>
      </c>
      <c r="D722" s="240"/>
      <c r="E722" s="241"/>
      <c r="F722" s="248"/>
      <c r="G722" s="207"/>
      <c r="H722" s="209"/>
      <c r="I722" s="209"/>
      <c r="J722" s="209"/>
      <c r="K722" s="208" t="str">
        <f>IF(Errors!$I722=0,SourceData!$B$42,VLOOKUP(Errors!$I722,SourceData!$A$2:$B$40,2,FALSE))</f>
        <v>Please select ERROR CODE column "I"</v>
      </c>
      <c r="L722" s="207" t="str">
        <f>IF(Errors!$I722=0,
    'List of Error Codes'!$E$29,
    IFERROR(VLOOKUP(Errors!$I722, 'List of Error Codes'!D721:I751, 6, FALSE), 'List of Error Codes'!$E$29)
)</f>
        <v>Please select ERROR CODE column "I"</v>
      </c>
      <c r="M722" s="209"/>
      <c r="N722" s="209"/>
      <c r="O722" s="209"/>
      <c r="P722" s="209"/>
      <c r="Q722" s="209"/>
      <c r="R722" s="217"/>
      <c r="S722" s="217"/>
      <c r="T722" s="217"/>
      <c r="U722" s="199"/>
      <c r="V722" s="200"/>
      <c r="W722" s="200"/>
      <c r="X722" s="200"/>
      <c r="Y722" s="200"/>
      <c r="Z722" s="200"/>
      <c r="AA722" s="201"/>
      <c r="AB722" s="200"/>
      <c r="AC722" s="200"/>
    </row>
    <row r="723" ht="15.0" customHeight="1">
      <c r="A723" s="210">
        <f t="shared" si="1"/>
        <v>721</v>
      </c>
      <c r="B723" s="217"/>
      <c r="C723" s="217" t="str">
        <f>IFERROR(VLOOKUP(B723, SourceData!$U$3:$V$190, 2, FALSE), "")</f>
        <v/>
      </c>
      <c r="D723" s="240"/>
      <c r="E723" s="241"/>
      <c r="F723" s="248"/>
      <c r="G723" s="207"/>
      <c r="H723" s="209"/>
      <c r="I723" s="209"/>
      <c r="J723" s="209"/>
      <c r="K723" s="208" t="str">
        <f>IF(Errors!$I723=0,SourceData!$B$42,VLOOKUP(Errors!$I723,SourceData!$A$2:$B$40,2,FALSE))</f>
        <v>Please select ERROR CODE column "I"</v>
      </c>
      <c r="L723" s="207" t="str">
        <f>IF(Errors!$I723=0,
    'List of Error Codes'!$E$29,
    IFERROR(VLOOKUP(Errors!$I723, 'List of Error Codes'!D722:I752, 6, FALSE), 'List of Error Codes'!$E$29)
)</f>
        <v>Please select ERROR CODE column "I"</v>
      </c>
      <c r="M723" s="209"/>
      <c r="N723" s="209"/>
      <c r="O723" s="209"/>
      <c r="P723" s="209"/>
      <c r="Q723" s="209"/>
      <c r="R723" s="217"/>
      <c r="S723" s="217"/>
      <c r="T723" s="217"/>
      <c r="U723" s="199"/>
      <c r="V723" s="200"/>
      <c r="W723" s="200"/>
      <c r="X723" s="200"/>
      <c r="Y723" s="200"/>
      <c r="Z723" s="200"/>
      <c r="AA723" s="201"/>
      <c r="AB723" s="200"/>
      <c r="AC723" s="200"/>
    </row>
    <row r="724" ht="15.0" customHeight="1">
      <c r="A724" s="210">
        <f t="shared" si="1"/>
        <v>722</v>
      </c>
      <c r="B724" s="217"/>
      <c r="C724" s="217" t="str">
        <f>IFERROR(VLOOKUP(B724, SourceData!$U$3:$V$190, 2, FALSE), "")</f>
        <v/>
      </c>
      <c r="D724" s="240"/>
      <c r="E724" s="241"/>
      <c r="F724" s="248"/>
      <c r="G724" s="207"/>
      <c r="H724" s="209"/>
      <c r="I724" s="209"/>
      <c r="J724" s="209"/>
      <c r="K724" s="208" t="str">
        <f>IF(Errors!$I724=0,SourceData!$B$42,VLOOKUP(Errors!$I724,SourceData!$A$2:$B$40,2,FALSE))</f>
        <v>Please select ERROR CODE column "I"</v>
      </c>
      <c r="L724" s="207" t="str">
        <f>IF(Errors!$I724=0,
    'List of Error Codes'!$E$29,
    IFERROR(VLOOKUP(Errors!$I724, 'List of Error Codes'!D723:I753, 6, FALSE), 'List of Error Codes'!$E$29)
)</f>
        <v>Please select ERROR CODE column "I"</v>
      </c>
      <c r="M724" s="209"/>
      <c r="N724" s="209"/>
      <c r="O724" s="209"/>
      <c r="P724" s="209"/>
      <c r="Q724" s="209"/>
      <c r="R724" s="217"/>
      <c r="S724" s="217"/>
      <c r="T724" s="217"/>
      <c r="U724" s="199"/>
      <c r="V724" s="200"/>
      <c r="W724" s="200"/>
      <c r="X724" s="200"/>
      <c r="Y724" s="200"/>
      <c r="Z724" s="200"/>
      <c r="AA724" s="201"/>
      <c r="AB724" s="200"/>
      <c r="AC724" s="200"/>
    </row>
    <row r="725" ht="15.0" customHeight="1">
      <c r="A725" s="210">
        <f t="shared" si="1"/>
        <v>723</v>
      </c>
      <c r="B725" s="217"/>
      <c r="C725" s="217" t="str">
        <f>IFERROR(VLOOKUP(B725, SourceData!$U$3:$V$190, 2, FALSE), "")</f>
        <v/>
      </c>
      <c r="D725" s="240"/>
      <c r="E725" s="241"/>
      <c r="F725" s="248"/>
      <c r="G725" s="207"/>
      <c r="H725" s="209"/>
      <c r="I725" s="209"/>
      <c r="J725" s="209"/>
      <c r="K725" s="208" t="str">
        <f>IF(Errors!$I725=0,SourceData!$B$42,VLOOKUP(Errors!$I725,SourceData!$A$2:$B$40,2,FALSE))</f>
        <v>Please select ERROR CODE column "I"</v>
      </c>
      <c r="L725" s="207" t="str">
        <f>IF(Errors!$I725=0,
    'List of Error Codes'!$E$29,
    IFERROR(VLOOKUP(Errors!$I725, 'List of Error Codes'!D724:I754, 6, FALSE), 'List of Error Codes'!$E$29)
)</f>
        <v>Please select ERROR CODE column "I"</v>
      </c>
      <c r="M725" s="209"/>
      <c r="N725" s="209"/>
      <c r="O725" s="209"/>
      <c r="P725" s="209"/>
      <c r="Q725" s="209"/>
      <c r="R725" s="217"/>
      <c r="S725" s="217"/>
      <c r="T725" s="217"/>
      <c r="U725" s="199"/>
      <c r="V725" s="200"/>
      <c r="W725" s="200"/>
      <c r="X725" s="200"/>
      <c r="Y725" s="200"/>
      <c r="Z725" s="200"/>
      <c r="AA725" s="201"/>
      <c r="AB725" s="200"/>
      <c r="AC725" s="200"/>
    </row>
    <row r="726" ht="15.0" customHeight="1">
      <c r="A726" s="210">
        <f t="shared" si="1"/>
        <v>724</v>
      </c>
      <c r="B726" s="217"/>
      <c r="C726" s="217" t="str">
        <f>IFERROR(VLOOKUP(B726, SourceData!$U$3:$V$190, 2, FALSE), "")</f>
        <v/>
      </c>
      <c r="D726" s="240"/>
      <c r="E726" s="241"/>
      <c r="F726" s="248"/>
      <c r="G726" s="207"/>
      <c r="H726" s="209"/>
      <c r="I726" s="209"/>
      <c r="J726" s="209"/>
      <c r="K726" s="208" t="str">
        <f>IF(Errors!$I726=0,SourceData!$B$42,VLOOKUP(Errors!$I726,SourceData!$A$2:$B$40,2,FALSE))</f>
        <v>Please select ERROR CODE column "I"</v>
      </c>
      <c r="L726" s="207" t="str">
        <f>IF(Errors!$I726=0,
    'List of Error Codes'!$E$29,
    IFERROR(VLOOKUP(Errors!$I726, 'List of Error Codes'!D725:I755, 6, FALSE), 'List of Error Codes'!$E$29)
)</f>
        <v>Please select ERROR CODE column "I"</v>
      </c>
      <c r="M726" s="209"/>
      <c r="N726" s="209"/>
      <c r="O726" s="209"/>
      <c r="P726" s="209"/>
      <c r="Q726" s="209"/>
      <c r="R726" s="217"/>
      <c r="S726" s="217"/>
      <c r="T726" s="217"/>
      <c r="U726" s="199"/>
      <c r="V726" s="200"/>
      <c r="W726" s="200"/>
      <c r="X726" s="200"/>
      <c r="Y726" s="200"/>
      <c r="Z726" s="200"/>
      <c r="AA726" s="201"/>
      <c r="AB726" s="200"/>
      <c r="AC726" s="200"/>
    </row>
    <row r="727" ht="15.0" customHeight="1">
      <c r="A727" s="210">
        <f t="shared" si="1"/>
        <v>725</v>
      </c>
      <c r="B727" s="217"/>
      <c r="C727" s="217" t="str">
        <f>IFERROR(VLOOKUP(B727, SourceData!$U$3:$V$190, 2, FALSE), "")</f>
        <v/>
      </c>
      <c r="D727" s="240"/>
      <c r="E727" s="241"/>
      <c r="F727" s="248"/>
      <c r="G727" s="207"/>
      <c r="H727" s="209"/>
      <c r="I727" s="209"/>
      <c r="J727" s="209"/>
      <c r="K727" s="208" t="str">
        <f>IF(Errors!$I727=0,SourceData!$B$42,VLOOKUP(Errors!$I727,SourceData!$A$2:$B$40,2,FALSE))</f>
        <v>Please select ERROR CODE column "I"</v>
      </c>
      <c r="L727" s="207" t="str">
        <f>IF(Errors!$I727=0,
    'List of Error Codes'!$E$29,
    IFERROR(VLOOKUP(Errors!$I727, 'List of Error Codes'!D726:I756, 6, FALSE), 'List of Error Codes'!$E$29)
)</f>
        <v>Please select ERROR CODE column "I"</v>
      </c>
      <c r="M727" s="209"/>
      <c r="N727" s="209"/>
      <c r="O727" s="209"/>
      <c r="P727" s="209"/>
      <c r="Q727" s="209"/>
      <c r="R727" s="217"/>
      <c r="S727" s="217"/>
      <c r="T727" s="217"/>
      <c r="U727" s="199"/>
      <c r="V727" s="200"/>
      <c r="W727" s="200"/>
      <c r="X727" s="200"/>
      <c r="Y727" s="200"/>
      <c r="Z727" s="200"/>
      <c r="AA727" s="201"/>
      <c r="AB727" s="200"/>
      <c r="AC727" s="200"/>
    </row>
    <row r="728" ht="15.0" customHeight="1">
      <c r="A728" s="210">
        <f t="shared" si="1"/>
        <v>726</v>
      </c>
      <c r="B728" s="217"/>
      <c r="C728" s="217" t="str">
        <f>IFERROR(VLOOKUP(B728, SourceData!$U$3:$V$190, 2, FALSE), "")</f>
        <v/>
      </c>
      <c r="D728" s="240"/>
      <c r="E728" s="241"/>
      <c r="F728" s="248"/>
      <c r="G728" s="207"/>
      <c r="H728" s="209"/>
      <c r="I728" s="209"/>
      <c r="J728" s="209"/>
      <c r="K728" s="208" t="str">
        <f>IF(Errors!$I728=0,SourceData!$B$42,VLOOKUP(Errors!$I728,SourceData!$A$2:$B$40,2,FALSE))</f>
        <v>Please select ERROR CODE column "I"</v>
      </c>
      <c r="L728" s="207" t="str">
        <f>IF(Errors!$I728=0,
    'List of Error Codes'!$E$29,
    IFERROR(VLOOKUP(Errors!$I728, 'List of Error Codes'!D727:I757, 6, FALSE), 'List of Error Codes'!$E$29)
)</f>
        <v>Please select ERROR CODE column "I"</v>
      </c>
      <c r="M728" s="209"/>
      <c r="N728" s="209"/>
      <c r="O728" s="209"/>
      <c r="P728" s="209"/>
      <c r="Q728" s="209"/>
      <c r="R728" s="217"/>
      <c r="S728" s="217"/>
      <c r="T728" s="217"/>
      <c r="U728" s="199"/>
      <c r="V728" s="200"/>
      <c r="W728" s="200"/>
      <c r="X728" s="200"/>
      <c r="Y728" s="200"/>
      <c r="Z728" s="200"/>
      <c r="AA728" s="201"/>
      <c r="AB728" s="200"/>
      <c r="AC728" s="200"/>
    </row>
    <row r="729" ht="15.0" customHeight="1">
      <c r="A729" s="210">
        <f t="shared" si="1"/>
        <v>727</v>
      </c>
      <c r="B729" s="217"/>
      <c r="C729" s="217" t="str">
        <f>IFERROR(VLOOKUP(B729, SourceData!$U$3:$V$190, 2, FALSE), "")</f>
        <v/>
      </c>
      <c r="D729" s="240"/>
      <c r="E729" s="241"/>
      <c r="F729" s="248"/>
      <c r="G729" s="207"/>
      <c r="H729" s="209"/>
      <c r="I729" s="209"/>
      <c r="J729" s="209"/>
      <c r="K729" s="208" t="str">
        <f>IF(Errors!$I729=0,SourceData!$B$42,VLOOKUP(Errors!$I729,SourceData!$A$2:$B$40,2,FALSE))</f>
        <v>Please select ERROR CODE column "I"</v>
      </c>
      <c r="L729" s="207" t="str">
        <f>IF(Errors!$I729=0,
    'List of Error Codes'!$E$29,
    IFERROR(VLOOKUP(Errors!$I729, 'List of Error Codes'!D728:I758, 6, FALSE), 'List of Error Codes'!$E$29)
)</f>
        <v>Please select ERROR CODE column "I"</v>
      </c>
      <c r="M729" s="209"/>
      <c r="N729" s="209"/>
      <c r="O729" s="209"/>
      <c r="P729" s="209"/>
      <c r="Q729" s="209"/>
      <c r="R729" s="217"/>
      <c r="S729" s="217"/>
      <c r="T729" s="217"/>
      <c r="U729" s="199"/>
      <c r="V729" s="200"/>
      <c r="W729" s="200"/>
      <c r="X729" s="200"/>
      <c r="Y729" s="200"/>
      <c r="Z729" s="200"/>
      <c r="AA729" s="201"/>
      <c r="AB729" s="200"/>
      <c r="AC729" s="200"/>
    </row>
    <row r="730" ht="15.0" customHeight="1">
      <c r="A730" s="210">
        <f t="shared" si="1"/>
        <v>728</v>
      </c>
      <c r="B730" s="217"/>
      <c r="C730" s="217" t="str">
        <f>IFERROR(VLOOKUP(B730, SourceData!$U$3:$V$190, 2, FALSE), "")</f>
        <v/>
      </c>
      <c r="D730" s="240"/>
      <c r="E730" s="241"/>
      <c r="F730" s="248"/>
      <c r="G730" s="207"/>
      <c r="H730" s="209"/>
      <c r="I730" s="209"/>
      <c r="J730" s="209"/>
      <c r="K730" s="208" t="str">
        <f>IF(Errors!$I730=0,SourceData!$B$42,VLOOKUP(Errors!$I730,SourceData!$A$2:$B$40,2,FALSE))</f>
        <v>Please select ERROR CODE column "I"</v>
      </c>
      <c r="L730" s="207" t="str">
        <f>IF(Errors!$I730=0,
    'List of Error Codes'!$E$29,
    IFERROR(VLOOKUP(Errors!$I730, 'List of Error Codes'!D729:I759, 6, FALSE), 'List of Error Codes'!$E$29)
)</f>
        <v>Please select ERROR CODE column "I"</v>
      </c>
      <c r="M730" s="209"/>
      <c r="N730" s="209"/>
      <c r="O730" s="209"/>
      <c r="P730" s="209"/>
      <c r="Q730" s="209"/>
      <c r="R730" s="217"/>
      <c r="S730" s="217"/>
      <c r="T730" s="217"/>
      <c r="U730" s="199"/>
      <c r="V730" s="200"/>
      <c r="W730" s="200"/>
      <c r="X730" s="200"/>
      <c r="Y730" s="200"/>
      <c r="Z730" s="200"/>
      <c r="AA730" s="201"/>
      <c r="AB730" s="200"/>
      <c r="AC730" s="200"/>
    </row>
    <row r="731" ht="15.0" customHeight="1">
      <c r="A731" s="210">
        <f t="shared" si="1"/>
        <v>729</v>
      </c>
      <c r="B731" s="217"/>
      <c r="C731" s="217" t="str">
        <f>IFERROR(VLOOKUP(B731, SourceData!$U$3:$V$190, 2, FALSE), "")</f>
        <v/>
      </c>
      <c r="D731" s="240"/>
      <c r="E731" s="241"/>
      <c r="F731" s="248"/>
      <c r="G731" s="207"/>
      <c r="H731" s="209"/>
      <c r="I731" s="209"/>
      <c r="J731" s="209"/>
      <c r="K731" s="208" t="str">
        <f>IF(Errors!$I731=0,SourceData!$B$42,VLOOKUP(Errors!$I731,SourceData!$A$2:$B$40,2,FALSE))</f>
        <v>Please select ERROR CODE column "I"</v>
      </c>
      <c r="L731" s="207" t="str">
        <f>IF(Errors!$I731=0,
    'List of Error Codes'!$E$29,
    IFERROR(VLOOKUP(Errors!$I731, 'List of Error Codes'!D730:I760, 6, FALSE), 'List of Error Codes'!$E$29)
)</f>
        <v>Please select ERROR CODE column "I"</v>
      </c>
      <c r="M731" s="209"/>
      <c r="N731" s="209"/>
      <c r="O731" s="209"/>
      <c r="P731" s="209"/>
      <c r="Q731" s="209"/>
      <c r="R731" s="217"/>
      <c r="S731" s="217"/>
      <c r="T731" s="217"/>
      <c r="U731" s="199"/>
      <c r="V731" s="200"/>
      <c r="W731" s="200"/>
      <c r="X731" s="200"/>
      <c r="Y731" s="200"/>
      <c r="Z731" s="200"/>
      <c r="AA731" s="201"/>
      <c r="AB731" s="200"/>
      <c r="AC731" s="200"/>
    </row>
    <row r="732" ht="15.0" customHeight="1">
      <c r="A732" s="210">
        <f t="shared" si="1"/>
        <v>730</v>
      </c>
      <c r="B732" s="217"/>
      <c r="C732" s="217" t="str">
        <f>IFERROR(VLOOKUP(B732, SourceData!$U$3:$V$190, 2, FALSE), "")</f>
        <v/>
      </c>
      <c r="D732" s="240"/>
      <c r="E732" s="241"/>
      <c r="F732" s="248"/>
      <c r="G732" s="207"/>
      <c r="H732" s="209"/>
      <c r="I732" s="209"/>
      <c r="J732" s="209"/>
      <c r="K732" s="208" t="str">
        <f>IF(Errors!$I732=0,SourceData!$B$42,VLOOKUP(Errors!$I732,SourceData!$A$2:$B$40,2,FALSE))</f>
        <v>Please select ERROR CODE column "I"</v>
      </c>
      <c r="L732" s="207" t="str">
        <f>IF(Errors!$I732=0,
    'List of Error Codes'!$E$29,
    IFERROR(VLOOKUP(Errors!$I732, 'List of Error Codes'!D731:I761, 6, FALSE), 'List of Error Codes'!$E$29)
)</f>
        <v>Please select ERROR CODE column "I"</v>
      </c>
      <c r="M732" s="209"/>
      <c r="N732" s="209"/>
      <c r="O732" s="209"/>
      <c r="P732" s="209"/>
      <c r="Q732" s="209"/>
      <c r="R732" s="217"/>
      <c r="S732" s="217"/>
      <c r="T732" s="217"/>
      <c r="U732" s="199"/>
      <c r="V732" s="200"/>
      <c r="W732" s="200"/>
      <c r="X732" s="200"/>
      <c r="Y732" s="200"/>
      <c r="Z732" s="200"/>
      <c r="AA732" s="201"/>
      <c r="AB732" s="200"/>
      <c r="AC732" s="200"/>
    </row>
    <row r="733" ht="15.0" customHeight="1">
      <c r="A733" s="210">
        <f t="shared" si="1"/>
        <v>731</v>
      </c>
      <c r="B733" s="217"/>
      <c r="C733" s="217" t="str">
        <f>IFERROR(VLOOKUP(B733, SourceData!$U$3:$V$190, 2, FALSE), "")</f>
        <v/>
      </c>
      <c r="D733" s="240"/>
      <c r="E733" s="241"/>
      <c r="F733" s="248"/>
      <c r="G733" s="207"/>
      <c r="H733" s="209"/>
      <c r="I733" s="209"/>
      <c r="J733" s="209"/>
      <c r="K733" s="208" t="str">
        <f>IF(Errors!$I733=0,SourceData!$B$42,VLOOKUP(Errors!$I733,SourceData!$A$2:$B$40,2,FALSE))</f>
        <v>Please select ERROR CODE column "I"</v>
      </c>
      <c r="L733" s="207" t="str">
        <f>IF(Errors!$I733=0,
    'List of Error Codes'!$E$29,
    IFERROR(VLOOKUP(Errors!$I733, 'List of Error Codes'!D732:I762, 6, FALSE), 'List of Error Codes'!$E$29)
)</f>
        <v>Please select ERROR CODE column "I"</v>
      </c>
      <c r="M733" s="209"/>
      <c r="N733" s="209"/>
      <c r="O733" s="209"/>
      <c r="P733" s="209"/>
      <c r="Q733" s="209"/>
      <c r="R733" s="217"/>
      <c r="S733" s="217"/>
      <c r="T733" s="217"/>
      <c r="U733" s="199"/>
      <c r="V733" s="200"/>
      <c r="W733" s="200"/>
      <c r="X733" s="200"/>
      <c r="Y733" s="200"/>
      <c r="Z733" s="200"/>
      <c r="AA733" s="201"/>
      <c r="AB733" s="200"/>
      <c r="AC733" s="200"/>
    </row>
    <row r="734" ht="15.0" customHeight="1">
      <c r="A734" s="210">
        <f t="shared" si="1"/>
        <v>732</v>
      </c>
      <c r="B734" s="217"/>
      <c r="C734" s="217" t="str">
        <f>IFERROR(VLOOKUP(B734, SourceData!$U$3:$V$190, 2, FALSE), "")</f>
        <v/>
      </c>
      <c r="D734" s="240"/>
      <c r="E734" s="241"/>
      <c r="F734" s="248"/>
      <c r="G734" s="207"/>
      <c r="H734" s="209"/>
      <c r="I734" s="209"/>
      <c r="J734" s="209"/>
      <c r="K734" s="208" t="str">
        <f>IF(Errors!$I734=0,SourceData!$B$42,VLOOKUP(Errors!$I734,SourceData!$A$2:$B$40,2,FALSE))</f>
        <v>Please select ERROR CODE column "I"</v>
      </c>
      <c r="L734" s="207" t="str">
        <f>IF(Errors!$I734=0,
    'List of Error Codes'!$E$29,
    IFERROR(VLOOKUP(Errors!$I734, 'List of Error Codes'!D733:I763, 6, FALSE), 'List of Error Codes'!$E$29)
)</f>
        <v>Please select ERROR CODE column "I"</v>
      </c>
      <c r="M734" s="209"/>
      <c r="N734" s="209"/>
      <c r="O734" s="209"/>
      <c r="P734" s="209"/>
      <c r="Q734" s="209"/>
      <c r="R734" s="217"/>
      <c r="S734" s="217"/>
      <c r="T734" s="217"/>
      <c r="U734" s="199"/>
      <c r="V734" s="200"/>
      <c r="W734" s="200"/>
      <c r="X734" s="200"/>
      <c r="Y734" s="200"/>
      <c r="Z734" s="200"/>
      <c r="AA734" s="201"/>
      <c r="AB734" s="200"/>
      <c r="AC734" s="200"/>
    </row>
    <row r="735" ht="15.0" customHeight="1">
      <c r="A735" s="210">
        <f t="shared" si="1"/>
        <v>733</v>
      </c>
      <c r="B735" s="217"/>
      <c r="C735" s="217" t="str">
        <f>IFERROR(VLOOKUP(B735, SourceData!$U$3:$V$190, 2, FALSE), "")</f>
        <v/>
      </c>
      <c r="D735" s="240"/>
      <c r="E735" s="241"/>
      <c r="F735" s="248"/>
      <c r="G735" s="207"/>
      <c r="H735" s="209"/>
      <c r="I735" s="209"/>
      <c r="J735" s="209"/>
      <c r="K735" s="208" t="str">
        <f>IF(Errors!$I735=0,SourceData!$B$42,VLOOKUP(Errors!$I735,SourceData!$A$2:$B$40,2,FALSE))</f>
        <v>Please select ERROR CODE column "I"</v>
      </c>
      <c r="L735" s="207" t="str">
        <f>IF(Errors!$I735=0,
    'List of Error Codes'!$E$29,
    IFERROR(VLOOKUP(Errors!$I735, 'List of Error Codes'!D734:I764, 6, FALSE), 'List of Error Codes'!$E$29)
)</f>
        <v>Please select ERROR CODE column "I"</v>
      </c>
      <c r="M735" s="209"/>
      <c r="N735" s="209"/>
      <c r="O735" s="209"/>
      <c r="P735" s="209"/>
      <c r="Q735" s="209"/>
      <c r="R735" s="217"/>
      <c r="S735" s="217"/>
      <c r="T735" s="217"/>
      <c r="U735" s="199"/>
      <c r="V735" s="200"/>
      <c r="W735" s="200"/>
      <c r="X735" s="200"/>
      <c r="Y735" s="200"/>
      <c r="Z735" s="200"/>
      <c r="AA735" s="201"/>
      <c r="AB735" s="200"/>
      <c r="AC735" s="200"/>
    </row>
    <row r="736" ht="15.0" customHeight="1">
      <c r="A736" s="210">
        <f t="shared" si="1"/>
        <v>734</v>
      </c>
      <c r="B736" s="217"/>
      <c r="C736" s="217" t="str">
        <f>IFERROR(VLOOKUP(B736, SourceData!$U$3:$V$190, 2, FALSE), "")</f>
        <v/>
      </c>
      <c r="D736" s="240"/>
      <c r="E736" s="241"/>
      <c r="F736" s="248"/>
      <c r="G736" s="207"/>
      <c r="H736" s="209"/>
      <c r="I736" s="209"/>
      <c r="J736" s="209"/>
      <c r="K736" s="208" t="str">
        <f>IF(Errors!$I736=0,SourceData!$B$42,VLOOKUP(Errors!$I736,SourceData!$A$2:$B$40,2,FALSE))</f>
        <v>Please select ERROR CODE column "I"</v>
      </c>
      <c r="L736" s="207" t="str">
        <f>IF(Errors!$I736=0,
    'List of Error Codes'!$E$29,
    IFERROR(VLOOKUP(Errors!$I736, 'List of Error Codes'!D735:I765, 6, FALSE), 'List of Error Codes'!$E$29)
)</f>
        <v>Please select ERROR CODE column "I"</v>
      </c>
      <c r="M736" s="209"/>
      <c r="N736" s="209"/>
      <c r="O736" s="209"/>
      <c r="P736" s="209"/>
      <c r="Q736" s="209"/>
      <c r="R736" s="217"/>
      <c r="S736" s="217"/>
      <c r="T736" s="217"/>
      <c r="U736" s="199"/>
      <c r="V736" s="200"/>
      <c r="W736" s="200"/>
      <c r="X736" s="200"/>
      <c r="Y736" s="200"/>
      <c r="Z736" s="200"/>
      <c r="AA736" s="201"/>
      <c r="AB736" s="200"/>
      <c r="AC736" s="200"/>
    </row>
    <row r="737" ht="15.0" customHeight="1">
      <c r="A737" s="210">
        <f t="shared" si="1"/>
        <v>735</v>
      </c>
      <c r="B737" s="217"/>
      <c r="C737" s="217" t="str">
        <f>IFERROR(VLOOKUP(B737, SourceData!$U$3:$V$190, 2, FALSE), "")</f>
        <v/>
      </c>
      <c r="D737" s="240"/>
      <c r="E737" s="241"/>
      <c r="F737" s="248"/>
      <c r="G737" s="207"/>
      <c r="H737" s="209"/>
      <c r="I737" s="209"/>
      <c r="J737" s="209"/>
      <c r="K737" s="208" t="str">
        <f>IF(Errors!$I737=0,SourceData!$B$42,VLOOKUP(Errors!$I737,SourceData!$A$2:$B$40,2,FALSE))</f>
        <v>Please select ERROR CODE column "I"</v>
      </c>
      <c r="L737" s="207" t="str">
        <f>IF(Errors!$I737=0,
    'List of Error Codes'!$E$29,
    IFERROR(VLOOKUP(Errors!$I737, 'List of Error Codes'!D736:I766, 6, FALSE), 'List of Error Codes'!$E$29)
)</f>
        <v>Please select ERROR CODE column "I"</v>
      </c>
      <c r="M737" s="209"/>
      <c r="N737" s="209"/>
      <c r="O737" s="209"/>
      <c r="P737" s="209"/>
      <c r="Q737" s="209"/>
      <c r="R737" s="217"/>
      <c r="S737" s="217"/>
      <c r="T737" s="217"/>
      <c r="U737" s="199"/>
      <c r="V737" s="200"/>
      <c r="W737" s="200"/>
      <c r="X737" s="200"/>
      <c r="Y737" s="200"/>
      <c r="Z737" s="200"/>
      <c r="AA737" s="201"/>
      <c r="AB737" s="200"/>
      <c r="AC737" s="200"/>
    </row>
    <row r="738" ht="15.0" customHeight="1">
      <c r="A738" s="210">
        <f t="shared" si="1"/>
        <v>736</v>
      </c>
      <c r="B738" s="217"/>
      <c r="C738" s="217" t="str">
        <f>IFERROR(VLOOKUP(B738, SourceData!$U$3:$V$190, 2, FALSE), "")</f>
        <v/>
      </c>
      <c r="D738" s="240"/>
      <c r="E738" s="241"/>
      <c r="F738" s="248"/>
      <c r="G738" s="207"/>
      <c r="H738" s="209"/>
      <c r="I738" s="209"/>
      <c r="J738" s="209"/>
      <c r="K738" s="208" t="str">
        <f>IF(Errors!$I738=0,SourceData!$B$42,VLOOKUP(Errors!$I738,SourceData!$A$2:$B$40,2,FALSE))</f>
        <v>Please select ERROR CODE column "I"</v>
      </c>
      <c r="L738" s="207" t="str">
        <f>IF(Errors!$I738=0,
    'List of Error Codes'!$E$29,
    IFERROR(VLOOKUP(Errors!$I738, 'List of Error Codes'!D737:I767, 6, FALSE), 'List of Error Codes'!$E$29)
)</f>
        <v>Please select ERROR CODE column "I"</v>
      </c>
      <c r="M738" s="209"/>
      <c r="N738" s="209"/>
      <c r="O738" s="209"/>
      <c r="P738" s="209"/>
      <c r="Q738" s="209"/>
      <c r="R738" s="217"/>
      <c r="S738" s="217"/>
      <c r="T738" s="217"/>
      <c r="U738" s="199"/>
      <c r="V738" s="200"/>
      <c r="W738" s="200"/>
      <c r="X738" s="200"/>
      <c r="Y738" s="200"/>
      <c r="Z738" s="200"/>
      <c r="AA738" s="201"/>
      <c r="AB738" s="200"/>
      <c r="AC738" s="200"/>
    </row>
    <row r="739" ht="15.0" customHeight="1">
      <c r="A739" s="210">
        <f t="shared" si="1"/>
        <v>737</v>
      </c>
      <c r="B739" s="217"/>
      <c r="C739" s="217" t="str">
        <f>IFERROR(VLOOKUP(B739, SourceData!$U$3:$V$190, 2, FALSE), "")</f>
        <v/>
      </c>
      <c r="D739" s="240"/>
      <c r="E739" s="241"/>
      <c r="F739" s="248"/>
      <c r="G739" s="207"/>
      <c r="H739" s="209"/>
      <c r="I739" s="209"/>
      <c r="J739" s="209"/>
      <c r="K739" s="208" t="str">
        <f>IF(Errors!$I739=0,SourceData!$B$42,VLOOKUP(Errors!$I739,SourceData!$A$2:$B$40,2,FALSE))</f>
        <v>Please select ERROR CODE column "I"</v>
      </c>
      <c r="L739" s="207" t="str">
        <f>IF(Errors!$I739=0,
    'List of Error Codes'!$E$29,
    IFERROR(VLOOKUP(Errors!$I739, 'List of Error Codes'!D738:I768, 6, FALSE), 'List of Error Codes'!$E$29)
)</f>
        <v>Please select ERROR CODE column "I"</v>
      </c>
      <c r="M739" s="209"/>
      <c r="N739" s="209"/>
      <c r="O739" s="209"/>
      <c r="P739" s="209"/>
      <c r="Q739" s="209"/>
      <c r="R739" s="217"/>
      <c r="S739" s="217"/>
      <c r="T739" s="217"/>
      <c r="U739" s="199"/>
      <c r="V739" s="200"/>
      <c r="W739" s="200"/>
      <c r="X739" s="200"/>
      <c r="Y739" s="200"/>
      <c r="Z739" s="200"/>
      <c r="AA739" s="201"/>
      <c r="AB739" s="200"/>
      <c r="AC739" s="200"/>
    </row>
    <row r="740" ht="15.0" customHeight="1">
      <c r="A740" s="210">
        <f t="shared" si="1"/>
        <v>738</v>
      </c>
      <c r="B740" s="217"/>
      <c r="C740" s="217" t="str">
        <f>IFERROR(VLOOKUP(B740, SourceData!$U$3:$V$190, 2, FALSE), "")</f>
        <v/>
      </c>
      <c r="D740" s="240"/>
      <c r="E740" s="241"/>
      <c r="F740" s="248"/>
      <c r="G740" s="207"/>
      <c r="H740" s="209"/>
      <c r="I740" s="209"/>
      <c r="J740" s="209"/>
      <c r="K740" s="208" t="str">
        <f>IF(Errors!$I740=0,SourceData!$B$42,VLOOKUP(Errors!$I740,SourceData!$A$2:$B$40,2,FALSE))</f>
        <v>Please select ERROR CODE column "I"</v>
      </c>
      <c r="L740" s="207" t="str">
        <f>IF(Errors!$I740=0,
    'List of Error Codes'!$E$29,
    IFERROR(VLOOKUP(Errors!$I740, 'List of Error Codes'!D739:I769, 6, FALSE), 'List of Error Codes'!$E$29)
)</f>
        <v>Please select ERROR CODE column "I"</v>
      </c>
      <c r="M740" s="209"/>
      <c r="N740" s="209"/>
      <c r="O740" s="209"/>
      <c r="P740" s="209"/>
      <c r="Q740" s="209"/>
      <c r="R740" s="217"/>
      <c r="S740" s="217"/>
      <c r="T740" s="217"/>
      <c r="U740" s="199"/>
      <c r="V740" s="200"/>
      <c r="W740" s="200"/>
      <c r="X740" s="200"/>
      <c r="Y740" s="200"/>
      <c r="Z740" s="200"/>
      <c r="AA740" s="201"/>
      <c r="AB740" s="200"/>
      <c r="AC740" s="200"/>
    </row>
    <row r="741" ht="15.0" customHeight="1">
      <c r="A741" s="210">
        <f t="shared" si="1"/>
        <v>739</v>
      </c>
      <c r="B741" s="217"/>
      <c r="C741" s="217" t="str">
        <f>IFERROR(VLOOKUP(B741, SourceData!$U$3:$V$190, 2, FALSE), "")</f>
        <v/>
      </c>
      <c r="D741" s="240"/>
      <c r="E741" s="241"/>
      <c r="F741" s="248"/>
      <c r="G741" s="207"/>
      <c r="H741" s="209"/>
      <c r="I741" s="209"/>
      <c r="J741" s="209"/>
      <c r="K741" s="208" t="str">
        <f>IF(Errors!$I741=0,SourceData!$B$42,VLOOKUP(Errors!$I741,SourceData!$A$2:$B$40,2,FALSE))</f>
        <v>Please select ERROR CODE column "I"</v>
      </c>
      <c r="L741" s="207" t="str">
        <f>IF(Errors!$I741=0,
    'List of Error Codes'!$E$29,
    IFERROR(VLOOKUP(Errors!$I741, 'List of Error Codes'!D740:I770, 6, FALSE), 'List of Error Codes'!$E$29)
)</f>
        <v>Please select ERROR CODE column "I"</v>
      </c>
      <c r="M741" s="209"/>
      <c r="N741" s="209"/>
      <c r="O741" s="209"/>
      <c r="P741" s="209"/>
      <c r="Q741" s="209"/>
      <c r="R741" s="217"/>
      <c r="S741" s="217"/>
      <c r="T741" s="217"/>
      <c r="U741" s="199"/>
      <c r="V741" s="200"/>
      <c r="W741" s="200"/>
      <c r="X741" s="200"/>
      <c r="Y741" s="200"/>
      <c r="Z741" s="200"/>
      <c r="AA741" s="201"/>
      <c r="AB741" s="200"/>
      <c r="AC741" s="200"/>
    </row>
    <row r="742" ht="15.0" customHeight="1">
      <c r="A742" s="210">
        <f t="shared" si="1"/>
        <v>740</v>
      </c>
      <c r="B742" s="217"/>
      <c r="C742" s="217" t="str">
        <f>IFERROR(VLOOKUP(B742, SourceData!$U$3:$V$190, 2, FALSE), "")</f>
        <v/>
      </c>
      <c r="D742" s="240"/>
      <c r="E742" s="241"/>
      <c r="F742" s="248"/>
      <c r="G742" s="207"/>
      <c r="H742" s="209"/>
      <c r="I742" s="209"/>
      <c r="J742" s="209"/>
      <c r="K742" s="208" t="str">
        <f>IF(Errors!$I742=0,SourceData!$B$42,VLOOKUP(Errors!$I742,SourceData!$A$2:$B$40,2,FALSE))</f>
        <v>Please select ERROR CODE column "I"</v>
      </c>
      <c r="L742" s="207" t="str">
        <f>IF(Errors!$I742=0,
    'List of Error Codes'!$E$29,
    IFERROR(VLOOKUP(Errors!$I742, 'List of Error Codes'!D741:I771, 6, FALSE), 'List of Error Codes'!$E$29)
)</f>
        <v>Please select ERROR CODE column "I"</v>
      </c>
      <c r="M742" s="209"/>
      <c r="N742" s="209"/>
      <c r="O742" s="209"/>
      <c r="P742" s="209"/>
      <c r="Q742" s="209"/>
      <c r="R742" s="217"/>
      <c r="S742" s="217"/>
      <c r="T742" s="217"/>
      <c r="U742" s="199"/>
      <c r="V742" s="200"/>
      <c r="W742" s="200"/>
      <c r="X742" s="200"/>
      <c r="Y742" s="200"/>
      <c r="Z742" s="200"/>
      <c r="AA742" s="201"/>
      <c r="AB742" s="200"/>
      <c r="AC742" s="200"/>
    </row>
    <row r="743" ht="15.0" customHeight="1">
      <c r="A743" s="210">
        <f t="shared" si="1"/>
        <v>741</v>
      </c>
      <c r="B743" s="217"/>
      <c r="C743" s="217" t="str">
        <f>IFERROR(VLOOKUP(B743, SourceData!$U$3:$V$190, 2, FALSE), "")</f>
        <v/>
      </c>
      <c r="D743" s="240"/>
      <c r="E743" s="241"/>
      <c r="F743" s="248"/>
      <c r="G743" s="207"/>
      <c r="H743" s="209"/>
      <c r="I743" s="209"/>
      <c r="J743" s="209"/>
      <c r="K743" s="208" t="str">
        <f>IF(Errors!$I743=0,SourceData!$B$42,VLOOKUP(Errors!$I743,SourceData!$A$2:$B$40,2,FALSE))</f>
        <v>Please select ERROR CODE column "I"</v>
      </c>
      <c r="L743" s="207" t="str">
        <f>IF(Errors!$I743=0,
    'List of Error Codes'!$E$29,
    IFERROR(VLOOKUP(Errors!$I743, 'List of Error Codes'!D742:I772, 6, FALSE), 'List of Error Codes'!$E$29)
)</f>
        <v>Please select ERROR CODE column "I"</v>
      </c>
      <c r="M743" s="209"/>
      <c r="N743" s="209"/>
      <c r="O743" s="209"/>
      <c r="P743" s="209"/>
      <c r="Q743" s="209"/>
      <c r="R743" s="217"/>
      <c r="S743" s="217"/>
      <c r="T743" s="217"/>
      <c r="U743" s="199"/>
      <c r="V743" s="200"/>
      <c r="W743" s="200"/>
      <c r="X743" s="200"/>
      <c r="Y743" s="200"/>
      <c r="Z743" s="200"/>
      <c r="AA743" s="201"/>
      <c r="AB743" s="200"/>
      <c r="AC743" s="200"/>
    </row>
    <row r="744" ht="15.0" customHeight="1">
      <c r="A744" s="210">
        <f t="shared" si="1"/>
        <v>742</v>
      </c>
      <c r="B744" s="217"/>
      <c r="C744" s="217" t="str">
        <f>IFERROR(VLOOKUP(B744, SourceData!$U$3:$V$190, 2, FALSE), "")</f>
        <v/>
      </c>
      <c r="D744" s="240"/>
      <c r="E744" s="241"/>
      <c r="F744" s="248"/>
      <c r="G744" s="207"/>
      <c r="H744" s="209"/>
      <c r="I744" s="209"/>
      <c r="J744" s="209"/>
      <c r="K744" s="208" t="str">
        <f>IF(Errors!$I744=0,SourceData!$B$42,VLOOKUP(Errors!$I744,SourceData!$A$2:$B$40,2,FALSE))</f>
        <v>Please select ERROR CODE column "I"</v>
      </c>
      <c r="L744" s="207" t="str">
        <f>IF(Errors!$I744=0,
    'List of Error Codes'!$E$29,
    IFERROR(VLOOKUP(Errors!$I744, 'List of Error Codes'!D743:I773, 6, FALSE), 'List of Error Codes'!$E$29)
)</f>
        <v>Please select ERROR CODE column "I"</v>
      </c>
      <c r="M744" s="209"/>
      <c r="N744" s="209"/>
      <c r="O744" s="209"/>
      <c r="P744" s="209"/>
      <c r="Q744" s="209"/>
      <c r="R744" s="217"/>
      <c r="S744" s="217"/>
      <c r="T744" s="217"/>
      <c r="U744" s="199"/>
      <c r="V744" s="200"/>
      <c r="W744" s="200"/>
      <c r="X744" s="200"/>
      <c r="Y744" s="200"/>
      <c r="Z744" s="200"/>
      <c r="AA744" s="201"/>
      <c r="AB744" s="200"/>
      <c r="AC744" s="200"/>
    </row>
    <row r="745" ht="15.0" customHeight="1">
      <c r="A745" s="210">
        <f t="shared" si="1"/>
        <v>743</v>
      </c>
      <c r="B745" s="217"/>
      <c r="C745" s="217" t="str">
        <f>IFERROR(VLOOKUP(B745, SourceData!$U$3:$V$190, 2, FALSE), "")</f>
        <v/>
      </c>
      <c r="D745" s="240"/>
      <c r="E745" s="241"/>
      <c r="F745" s="248"/>
      <c r="G745" s="207"/>
      <c r="H745" s="209"/>
      <c r="I745" s="209"/>
      <c r="J745" s="209"/>
      <c r="K745" s="208" t="str">
        <f>IF(Errors!$I745=0,SourceData!$B$42,VLOOKUP(Errors!$I745,SourceData!$A$2:$B$40,2,FALSE))</f>
        <v>Please select ERROR CODE column "I"</v>
      </c>
      <c r="L745" s="207" t="str">
        <f>IF(Errors!$I745=0,
    'List of Error Codes'!$E$29,
    IFERROR(VLOOKUP(Errors!$I745, 'List of Error Codes'!D744:I774, 6, FALSE), 'List of Error Codes'!$E$29)
)</f>
        <v>Please select ERROR CODE column "I"</v>
      </c>
      <c r="M745" s="209"/>
      <c r="N745" s="209"/>
      <c r="O745" s="209"/>
      <c r="P745" s="209"/>
      <c r="Q745" s="209"/>
      <c r="R745" s="217"/>
      <c r="S745" s="217"/>
      <c r="T745" s="217"/>
      <c r="U745" s="199"/>
      <c r="V745" s="200"/>
      <c r="W745" s="200"/>
      <c r="X745" s="200"/>
      <c r="Y745" s="200"/>
      <c r="Z745" s="200"/>
      <c r="AA745" s="201"/>
      <c r="AB745" s="200"/>
      <c r="AC745" s="200"/>
    </row>
    <row r="746" ht="15.0" customHeight="1">
      <c r="A746" s="210">
        <f t="shared" si="1"/>
        <v>744</v>
      </c>
      <c r="B746" s="217"/>
      <c r="C746" s="217" t="str">
        <f>IFERROR(VLOOKUP(B746, SourceData!$U$3:$V$190, 2, FALSE), "")</f>
        <v/>
      </c>
      <c r="D746" s="240"/>
      <c r="E746" s="241"/>
      <c r="F746" s="248"/>
      <c r="G746" s="207"/>
      <c r="H746" s="209"/>
      <c r="I746" s="209"/>
      <c r="J746" s="209"/>
      <c r="K746" s="208" t="str">
        <f>IF(Errors!$I746=0,SourceData!$B$42,VLOOKUP(Errors!$I746,SourceData!$A$2:$B$40,2,FALSE))</f>
        <v>Please select ERROR CODE column "I"</v>
      </c>
      <c r="L746" s="207" t="str">
        <f>IF(Errors!$I746=0,
    'List of Error Codes'!$E$29,
    IFERROR(VLOOKUP(Errors!$I746, 'List of Error Codes'!D745:I775, 6, FALSE), 'List of Error Codes'!$E$29)
)</f>
        <v>Please select ERROR CODE column "I"</v>
      </c>
      <c r="M746" s="209"/>
      <c r="N746" s="209"/>
      <c r="O746" s="209"/>
      <c r="P746" s="209"/>
      <c r="Q746" s="209"/>
      <c r="R746" s="217"/>
      <c r="S746" s="217"/>
      <c r="T746" s="217"/>
      <c r="U746" s="199"/>
      <c r="V746" s="200"/>
      <c r="W746" s="200"/>
      <c r="X746" s="200"/>
      <c r="Y746" s="200"/>
      <c r="Z746" s="200"/>
      <c r="AA746" s="201"/>
      <c r="AB746" s="200"/>
      <c r="AC746" s="200"/>
    </row>
    <row r="747" ht="15.0" customHeight="1">
      <c r="A747" s="210">
        <f t="shared" si="1"/>
        <v>745</v>
      </c>
      <c r="B747" s="217"/>
      <c r="C747" s="217" t="str">
        <f>IFERROR(VLOOKUP(B747, SourceData!$U$3:$V$190, 2, FALSE), "")</f>
        <v/>
      </c>
      <c r="D747" s="240"/>
      <c r="E747" s="241"/>
      <c r="F747" s="248"/>
      <c r="G747" s="207"/>
      <c r="H747" s="209"/>
      <c r="I747" s="209"/>
      <c r="J747" s="209"/>
      <c r="K747" s="208" t="str">
        <f>IF(Errors!$I747=0,SourceData!$B$42,VLOOKUP(Errors!$I747,SourceData!$A$2:$B$40,2,FALSE))</f>
        <v>Please select ERROR CODE column "I"</v>
      </c>
      <c r="L747" s="207" t="str">
        <f>IF(Errors!$I747=0,
    'List of Error Codes'!$E$29,
    IFERROR(VLOOKUP(Errors!$I747, 'List of Error Codes'!D746:I776, 6, FALSE), 'List of Error Codes'!$E$29)
)</f>
        <v>Please select ERROR CODE column "I"</v>
      </c>
      <c r="M747" s="209"/>
      <c r="N747" s="209"/>
      <c r="O747" s="209"/>
      <c r="P747" s="209"/>
      <c r="Q747" s="209"/>
      <c r="R747" s="217"/>
      <c r="S747" s="217"/>
      <c r="T747" s="217"/>
      <c r="U747" s="199"/>
      <c r="V747" s="200"/>
      <c r="W747" s="200"/>
      <c r="X747" s="200"/>
      <c r="Y747" s="200"/>
      <c r="Z747" s="200"/>
      <c r="AA747" s="201"/>
      <c r="AB747" s="200"/>
      <c r="AC747" s="200"/>
    </row>
    <row r="748" ht="15.0" customHeight="1">
      <c r="A748" s="210">
        <f t="shared" si="1"/>
        <v>746</v>
      </c>
      <c r="B748" s="217"/>
      <c r="C748" s="217" t="str">
        <f>IFERROR(VLOOKUP(B748, SourceData!$U$3:$V$190, 2, FALSE), "")</f>
        <v/>
      </c>
      <c r="D748" s="240"/>
      <c r="E748" s="241"/>
      <c r="F748" s="248"/>
      <c r="G748" s="207"/>
      <c r="H748" s="209"/>
      <c r="I748" s="209"/>
      <c r="J748" s="209"/>
      <c r="K748" s="208" t="str">
        <f>IF(Errors!$I748=0,SourceData!$B$42,VLOOKUP(Errors!$I748,SourceData!$A$2:$B$40,2,FALSE))</f>
        <v>Please select ERROR CODE column "I"</v>
      </c>
      <c r="L748" s="207" t="str">
        <f>IF(Errors!$I748=0,
    'List of Error Codes'!$E$29,
    IFERROR(VLOOKUP(Errors!$I748, 'List of Error Codes'!D747:I777, 6, FALSE), 'List of Error Codes'!$E$29)
)</f>
        <v>Please select ERROR CODE column "I"</v>
      </c>
      <c r="M748" s="209"/>
      <c r="N748" s="209"/>
      <c r="O748" s="209"/>
      <c r="P748" s="209"/>
      <c r="Q748" s="209"/>
      <c r="R748" s="217"/>
      <c r="S748" s="217"/>
      <c r="T748" s="217"/>
      <c r="U748" s="199"/>
      <c r="V748" s="200"/>
      <c r="W748" s="200"/>
      <c r="X748" s="200"/>
      <c r="Y748" s="200"/>
      <c r="Z748" s="200"/>
      <c r="AA748" s="201"/>
      <c r="AB748" s="200"/>
      <c r="AC748" s="200"/>
    </row>
    <row r="749" ht="15.0" customHeight="1">
      <c r="A749" s="210">
        <f t="shared" si="1"/>
        <v>747</v>
      </c>
      <c r="B749" s="217"/>
      <c r="C749" s="217" t="str">
        <f>IFERROR(VLOOKUP(B749, SourceData!$U$3:$V$190, 2, FALSE), "")</f>
        <v/>
      </c>
      <c r="D749" s="240"/>
      <c r="E749" s="241"/>
      <c r="F749" s="248"/>
      <c r="G749" s="207"/>
      <c r="H749" s="209"/>
      <c r="I749" s="209"/>
      <c r="J749" s="209"/>
      <c r="K749" s="208" t="str">
        <f>IF(Errors!$I749=0,SourceData!$B$42,VLOOKUP(Errors!$I749,SourceData!$A$2:$B$40,2,FALSE))</f>
        <v>Please select ERROR CODE column "I"</v>
      </c>
      <c r="L749" s="207" t="str">
        <f>IF(Errors!$I749=0,
    'List of Error Codes'!$E$29,
    IFERROR(VLOOKUP(Errors!$I749, 'List of Error Codes'!D748:I778, 6, FALSE), 'List of Error Codes'!$E$29)
)</f>
        <v>Please select ERROR CODE column "I"</v>
      </c>
      <c r="M749" s="209"/>
      <c r="N749" s="209"/>
      <c r="O749" s="209"/>
      <c r="P749" s="209"/>
      <c r="Q749" s="209"/>
      <c r="R749" s="217"/>
      <c r="S749" s="217"/>
      <c r="T749" s="217"/>
      <c r="U749" s="199"/>
      <c r="V749" s="200"/>
      <c r="W749" s="200"/>
      <c r="X749" s="200"/>
      <c r="Y749" s="200"/>
      <c r="Z749" s="200"/>
      <c r="AA749" s="201"/>
      <c r="AB749" s="200"/>
      <c r="AC749" s="200"/>
    </row>
    <row r="750" ht="15.0" customHeight="1">
      <c r="A750" s="210">
        <f t="shared" si="1"/>
        <v>748</v>
      </c>
      <c r="B750" s="217"/>
      <c r="C750" s="217" t="str">
        <f>IFERROR(VLOOKUP(B750, SourceData!$U$3:$V$190, 2, FALSE), "")</f>
        <v/>
      </c>
      <c r="D750" s="240"/>
      <c r="E750" s="241"/>
      <c r="F750" s="248"/>
      <c r="G750" s="207"/>
      <c r="H750" s="209"/>
      <c r="I750" s="209"/>
      <c r="J750" s="209"/>
      <c r="K750" s="208" t="str">
        <f>IF(Errors!$I750=0,SourceData!$B$42,VLOOKUP(Errors!$I750,SourceData!$A$2:$B$40,2,FALSE))</f>
        <v>Please select ERROR CODE column "I"</v>
      </c>
      <c r="L750" s="207" t="str">
        <f>IF(Errors!$I750=0,
    'List of Error Codes'!$E$29,
    IFERROR(VLOOKUP(Errors!$I750, 'List of Error Codes'!D749:I779, 6, FALSE), 'List of Error Codes'!$E$29)
)</f>
        <v>Please select ERROR CODE column "I"</v>
      </c>
      <c r="M750" s="209"/>
      <c r="N750" s="209"/>
      <c r="O750" s="209"/>
      <c r="P750" s="209"/>
      <c r="Q750" s="209"/>
      <c r="R750" s="217"/>
      <c r="S750" s="217"/>
      <c r="T750" s="217"/>
      <c r="U750" s="199"/>
      <c r="V750" s="200"/>
      <c r="W750" s="200"/>
      <c r="X750" s="200"/>
      <c r="Y750" s="200"/>
      <c r="Z750" s="200"/>
      <c r="AA750" s="201"/>
      <c r="AB750" s="200"/>
      <c r="AC750" s="200"/>
    </row>
    <row r="751" ht="15.0" customHeight="1">
      <c r="A751" s="210">
        <f t="shared" si="1"/>
        <v>749</v>
      </c>
      <c r="B751" s="217"/>
      <c r="C751" s="217" t="str">
        <f>IFERROR(VLOOKUP(B751, SourceData!$U$3:$V$190, 2, FALSE), "")</f>
        <v/>
      </c>
      <c r="D751" s="240"/>
      <c r="E751" s="241"/>
      <c r="F751" s="248"/>
      <c r="G751" s="207"/>
      <c r="H751" s="209"/>
      <c r="I751" s="209"/>
      <c r="J751" s="209"/>
      <c r="K751" s="208" t="str">
        <f>IF(Errors!$I751=0,SourceData!$B$42,VLOOKUP(Errors!$I751,SourceData!$A$2:$B$40,2,FALSE))</f>
        <v>Please select ERROR CODE column "I"</v>
      </c>
      <c r="L751" s="207" t="str">
        <f>IF(Errors!$I751=0,
    'List of Error Codes'!$E$29,
    IFERROR(VLOOKUP(Errors!$I751, 'List of Error Codes'!D750:I780, 6, FALSE), 'List of Error Codes'!$E$29)
)</f>
        <v>Please select ERROR CODE column "I"</v>
      </c>
      <c r="M751" s="209"/>
      <c r="N751" s="209"/>
      <c r="O751" s="209"/>
      <c r="P751" s="209"/>
      <c r="Q751" s="209"/>
      <c r="R751" s="217"/>
      <c r="S751" s="217"/>
      <c r="T751" s="217"/>
      <c r="U751" s="199"/>
      <c r="V751" s="200"/>
      <c r="W751" s="200"/>
      <c r="X751" s="200"/>
      <c r="Y751" s="200"/>
      <c r="Z751" s="200"/>
      <c r="AA751" s="201"/>
      <c r="AB751" s="200"/>
      <c r="AC751" s="200"/>
    </row>
    <row r="752" ht="15.0" customHeight="1">
      <c r="A752" s="210">
        <f t="shared" si="1"/>
        <v>750</v>
      </c>
      <c r="B752" s="217"/>
      <c r="C752" s="217" t="str">
        <f>IFERROR(VLOOKUP(B752, SourceData!$U$3:$V$190, 2, FALSE), "")</f>
        <v/>
      </c>
      <c r="D752" s="240"/>
      <c r="E752" s="241"/>
      <c r="F752" s="248"/>
      <c r="G752" s="207"/>
      <c r="H752" s="209"/>
      <c r="I752" s="209"/>
      <c r="J752" s="209"/>
      <c r="K752" s="208" t="str">
        <f>IF(Errors!$I752=0,SourceData!$B$42,VLOOKUP(Errors!$I752,SourceData!$A$2:$B$40,2,FALSE))</f>
        <v>Please select ERROR CODE column "I"</v>
      </c>
      <c r="L752" s="207" t="str">
        <f>IF(Errors!$I752=0,
    'List of Error Codes'!$E$29,
    IFERROR(VLOOKUP(Errors!$I752, 'List of Error Codes'!D751:I781, 6, FALSE), 'List of Error Codes'!$E$29)
)</f>
        <v>Please select ERROR CODE column "I"</v>
      </c>
      <c r="M752" s="209"/>
      <c r="N752" s="209"/>
      <c r="O752" s="209"/>
      <c r="P752" s="209"/>
      <c r="Q752" s="209"/>
      <c r="R752" s="217"/>
      <c r="S752" s="217"/>
      <c r="T752" s="217"/>
      <c r="U752" s="199"/>
      <c r="V752" s="200"/>
      <c r="W752" s="200"/>
      <c r="X752" s="200"/>
      <c r="Y752" s="200"/>
      <c r="Z752" s="200"/>
      <c r="AA752" s="201"/>
      <c r="AB752" s="200"/>
      <c r="AC752" s="200"/>
    </row>
    <row r="753" ht="15.0" customHeight="1">
      <c r="A753" s="210">
        <f t="shared" si="1"/>
        <v>751</v>
      </c>
      <c r="B753" s="217"/>
      <c r="C753" s="217" t="str">
        <f>IFERROR(VLOOKUP(B753, SourceData!$U$3:$V$190, 2, FALSE), "")</f>
        <v/>
      </c>
      <c r="D753" s="240"/>
      <c r="E753" s="241"/>
      <c r="F753" s="248"/>
      <c r="G753" s="207"/>
      <c r="H753" s="209"/>
      <c r="I753" s="209"/>
      <c r="J753" s="209"/>
      <c r="K753" s="208" t="str">
        <f>IF(Errors!$I753=0,SourceData!$B$42,VLOOKUP(Errors!$I753,SourceData!$A$2:$B$40,2,FALSE))</f>
        <v>Please select ERROR CODE column "I"</v>
      </c>
      <c r="L753" s="207" t="str">
        <f>IF(Errors!$I753=0,
    'List of Error Codes'!$E$29,
    IFERROR(VLOOKUP(Errors!$I753, 'List of Error Codes'!D752:I782, 6, FALSE), 'List of Error Codes'!$E$29)
)</f>
        <v>Please select ERROR CODE column "I"</v>
      </c>
      <c r="M753" s="209"/>
      <c r="N753" s="209"/>
      <c r="O753" s="209"/>
      <c r="P753" s="209"/>
      <c r="Q753" s="209"/>
      <c r="R753" s="217"/>
      <c r="S753" s="217"/>
      <c r="T753" s="217"/>
      <c r="U753" s="199"/>
      <c r="V753" s="200"/>
      <c r="W753" s="200"/>
      <c r="X753" s="200"/>
      <c r="Y753" s="200"/>
      <c r="Z753" s="200"/>
      <c r="AA753" s="201"/>
      <c r="AB753" s="200"/>
      <c r="AC753" s="200"/>
    </row>
    <row r="754" ht="15.0" customHeight="1">
      <c r="A754" s="210">
        <f t="shared" si="1"/>
        <v>752</v>
      </c>
      <c r="B754" s="217"/>
      <c r="C754" s="217" t="str">
        <f>IFERROR(VLOOKUP(B754, SourceData!$U$3:$V$190, 2, FALSE), "")</f>
        <v/>
      </c>
      <c r="D754" s="240"/>
      <c r="E754" s="241"/>
      <c r="F754" s="248"/>
      <c r="G754" s="207"/>
      <c r="H754" s="209"/>
      <c r="I754" s="209"/>
      <c r="J754" s="209"/>
      <c r="K754" s="208" t="str">
        <f>IF(Errors!$I754=0,SourceData!$B$42,VLOOKUP(Errors!$I754,SourceData!$A$2:$B$40,2,FALSE))</f>
        <v>Please select ERROR CODE column "I"</v>
      </c>
      <c r="L754" s="207" t="str">
        <f>IF(Errors!$I754=0,
    'List of Error Codes'!$E$29,
    IFERROR(VLOOKUP(Errors!$I754, 'List of Error Codes'!D753:I783, 6, FALSE), 'List of Error Codes'!$E$29)
)</f>
        <v>Please select ERROR CODE column "I"</v>
      </c>
      <c r="M754" s="209"/>
      <c r="N754" s="209"/>
      <c r="O754" s="209"/>
      <c r="P754" s="209"/>
      <c r="Q754" s="209"/>
      <c r="R754" s="217"/>
      <c r="S754" s="217"/>
      <c r="T754" s="217"/>
      <c r="U754" s="199"/>
      <c r="V754" s="200"/>
      <c r="W754" s="200"/>
      <c r="X754" s="200"/>
      <c r="Y754" s="200"/>
      <c r="Z754" s="200"/>
      <c r="AA754" s="201"/>
      <c r="AB754" s="200"/>
      <c r="AC754" s="200"/>
    </row>
    <row r="755" ht="15.0" customHeight="1">
      <c r="A755" s="210">
        <f t="shared" si="1"/>
        <v>753</v>
      </c>
      <c r="B755" s="217"/>
      <c r="C755" s="217" t="str">
        <f>IFERROR(VLOOKUP(B755, SourceData!$U$3:$V$190, 2, FALSE), "")</f>
        <v/>
      </c>
      <c r="D755" s="240"/>
      <c r="E755" s="241"/>
      <c r="F755" s="248"/>
      <c r="G755" s="207"/>
      <c r="H755" s="209"/>
      <c r="I755" s="209"/>
      <c r="J755" s="209"/>
      <c r="K755" s="208" t="str">
        <f>IF(Errors!$I755=0,SourceData!$B$42,VLOOKUP(Errors!$I755,SourceData!$A$2:$B$40,2,FALSE))</f>
        <v>Please select ERROR CODE column "I"</v>
      </c>
      <c r="L755" s="207" t="str">
        <f>IF(Errors!$I755=0,
    'List of Error Codes'!$E$29,
    IFERROR(VLOOKUP(Errors!$I755, 'List of Error Codes'!D754:I784, 6, FALSE), 'List of Error Codes'!$E$29)
)</f>
        <v>Please select ERROR CODE column "I"</v>
      </c>
      <c r="M755" s="209"/>
      <c r="N755" s="209"/>
      <c r="O755" s="209"/>
      <c r="P755" s="209"/>
      <c r="Q755" s="209"/>
      <c r="R755" s="217"/>
      <c r="S755" s="217"/>
      <c r="T755" s="217"/>
      <c r="U755" s="199"/>
      <c r="V755" s="200"/>
      <c r="W755" s="200"/>
      <c r="X755" s="200"/>
      <c r="Y755" s="200"/>
      <c r="Z755" s="200"/>
      <c r="AA755" s="201"/>
      <c r="AB755" s="200"/>
      <c r="AC755" s="200"/>
    </row>
    <row r="756" ht="15.0" customHeight="1">
      <c r="A756" s="210">
        <f t="shared" si="1"/>
        <v>754</v>
      </c>
      <c r="B756" s="217"/>
      <c r="C756" s="217" t="str">
        <f>IFERROR(VLOOKUP(B756, SourceData!$U$3:$V$190, 2, FALSE), "")</f>
        <v/>
      </c>
      <c r="D756" s="240"/>
      <c r="E756" s="241"/>
      <c r="F756" s="248"/>
      <c r="G756" s="207"/>
      <c r="H756" s="209"/>
      <c r="I756" s="209"/>
      <c r="J756" s="209"/>
      <c r="K756" s="208" t="str">
        <f>IF(Errors!$I756=0,SourceData!$B$42,VLOOKUP(Errors!$I756,SourceData!$A$2:$B$40,2,FALSE))</f>
        <v>Please select ERROR CODE column "I"</v>
      </c>
      <c r="L756" s="207" t="str">
        <f>IF(Errors!$I756=0,
    'List of Error Codes'!$E$29,
    IFERROR(VLOOKUP(Errors!$I756, 'List of Error Codes'!D755:I785, 6, FALSE), 'List of Error Codes'!$E$29)
)</f>
        <v>Please select ERROR CODE column "I"</v>
      </c>
      <c r="M756" s="209"/>
      <c r="N756" s="209"/>
      <c r="O756" s="209"/>
      <c r="P756" s="209"/>
      <c r="Q756" s="209"/>
      <c r="R756" s="217"/>
      <c r="S756" s="217"/>
      <c r="T756" s="217"/>
      <c r="U756" s="199"/>
      <c r="V756" s="200"/>
      <c r="W756" s="200"/>
      <c r="X756" s="200"/>
      <c r="Y756" s="200"/>
      <c r="Z756" s="200"/>
      <c r="AA756" s="201"/>
      <c r="AB756" s="200"/>
      <c r="AC756" s="200"/>
    </row>
    <row r="757" ht="15.0" customHeight="1">
      <c r="A757" s="210">
        <f t="shared" si="1"/>
        <v>755</v>
      </c>
      <c r="B757" s="217"/>
      <c r="C757" s="217" t="str">
        <f>IFERROR(VLOOKUP(B757, SourceData!$U$3:$V$190, 2, FALSE), "")</f>
        <v/>
      </c>
      <c r="D757" s="240"/>
      <c r="E757" s="241"/>
      <c r="F757" s="248"/>
      <c r="G757" s="207"/>
      <c r="H757" s="209"/>
      <c r="I757" s="209"/>
      <c r="J757" s="209"/>
      <c r="K757" s="208" t="str">
        <f>IF(Errors!$I757=0,SourceData!$B$42,VLOOKUP(Errors!$I757,SourceData!$A$2:$B$40,2,FALSE))</f>
        <v>Please select ERROR CODE column "I"</v>
      </c>
      <c r="L757" s="207" t="str">
        <f>IF(Errors!$I757=0,
    'List of Error Codes'!$E$29,
    IFERROR(VLOOKUP(Errors!$I757, 'List of Error Codes'!D756:I786, 6, FALSE), 'List of Error Codes'!$E$29)
)</f>
        <v>Please select ERROR CODE column "I"</v>
      </c>
      <c r="M757" s="209"/>
      <c r="N757" s="209"/>
      <c r="O757" s="209"/>
      <c r="P757" s="209"/>
      <c r="Q757" s="209"/>
      <c r="R757" s="217"/>
      <c r="S757" s="217"/>
      <c r="T757" s="217"/>
      <c r="U757" s="199"/>
      <c r="V757" s="200"/>
      <c r="W757" s="200"/>
      <c r="X757" s="200"/>
      <c r="Y757" s="200"/>
      <c r="Z757" s="200"/>
      <c r="AA757" s="201"/>
      <c r="AB757" s="200"/>
      <c r="AC757" s="200"/>
    </row>
    <row r="758" ht="15.0" customHeight="1">
      <c r="A758" s="210">
        <f t="shared" si="1"/>
        <v>756</v>
      </c>
      <c r="B758" s="217"/>
      <c r="C758" s="217" t="str">
        <f>IFERROR(VLOOKUP(B758, SourceData!$U$3:$V$190, 2, FALSE), "")</f>
        <v/>
      </c>
      <c r="D758" s="240"/>
      <c r="E758" s="241"/>
      <c r="F758" s="248"/>
      <c r="G758" s="207"/>
      <c r="H758" s="209"/>
      <c r="I758" s="209"/>
      <c r="J758" s="209"/>
      <c r="K758" s="208" t="str">
        <f>IF(Errors!$I758=0,SourceData!$B$42,VLOOKUP(Errors!$I758,SourceData!$A$2:$B$40,2,FALSE))</f>
        <v>Please select ERROR CODE column "I"</v>
      </c>
      <c r="L758" s="207" t="str">
        <f>IF(Errors!$I758=0,
    'List of Error Codes'!$E$29,
    IFERROR(VLOOKUP(Errors!$I758, 'List of Error Codes'!D757:I787, 6, FALSE), 'List of Error Codes'!$E$29)
)</f>
        <v>Please select ERROR CODE column "I"</v>
      </c>
      <c r="M758" s="209"/>
      <c r="N758" s="209"/>
      <c r="O758" s="209"/>
      <c r="P758" s="209"/>
      <c r="Q758" s="209"/>
      <c r="R758" s="217"/>
      <c r="S758" s="217"/>
      <c r="T758" s="217"/>
      <c r="U758" s="199"/>
      <c r="V758" s="200"/>
      <c r="W758" s="200"/>
      <c r="X758" s="200"/>
      <c r="Y758" s="200"/>
      <c r="Z758" s="200"/>
      <c r="AA758" s="201"/>
      <c r="AB758" s="200"/>
      <c r="AC758" s="200"/>
    </row>
    <row r="759" ht="15.0" customHeight="1">
      <c r="A759" s="210">
        <f t="shared" si="1"/>
        <v>757</v>
      </c>
      <c r="B759" s="217"/>
      <c r="C759" s="217" t="str">
        <f>IFERROR(VLOOKUP(B759, SourceData!$U$3:$V$190, 2, FALSE), "")</f>
        <v/>
      </c>
      <c r="D759" s="240"/>
      <c r="E759" s="241"/>
      <c r="F759" s="248"/>
      <c r="G759" s="207"/>
      <c r="H759" s="209"/>
      <c r="I759" s="209"/>
      <c r="J759" s="209"/>
      <c r="K759" s="208" t="str">
        <f>IF(Errors!$I759=0,SourceData!$B$42,VLOOKUP(Errors!$I759,SourceData!$A$2:$B$40,2,FALSE))</f>
        <v>Please select ERROR CODE column "I"</v>
      </c>
      <c r="L759" s="207" t="str">
        <f>IF(Errors!$I759=0,
    'List of Error Codes'!$E$29,
    IFERROR(VLOOKUP(Errors!$I759, 'List of Error Codes'!D758:I788, 6, FALSE), 'List of Error Codes'!$E$29)
)</f>
        <v>Please select ERROR CODE column "I"</v>
      </c>
      <c r="M759" s="209"/>
      <c r="N759" s="209"/>
      <c r="O759" s="209"/>
      <c r="P759" s="209"/>
      <c r="Q759" s="209"/>
      <c r="R759" s="217"/>
      <c r="S759" s="217"/>
      <c r="T759" s="217"/>
      <c r="U759" s="199"/>
      <c r="V759" s="200"/>
      <c r="W759" s="200"/>
      <c r="X759" s="200"/>
      <c r="Y759" s="200"/>
      <c r="Z759" s="200"/>
      <c r="AA759" s="201"/>
      <c r="AB759" s="200"/>
      <c r="AC759" s="200"/>
    </row>
    <row r="760" ht="15.0" customHeight="1">
      <c r="A760" s="210">
        <f t="shared" si="1"/>
        <v>758</v>
      </c>
      <c r="B760" s="217"/>
      <c r="C760" s="217" t="str">
        <f>IFERROR(VLOOKUP(B760, SourceData!$U$3:$V$190, 2, FALSE), "")</f>
        <v/>
      </c>
      <c r="D760" s="240"/>
      <c r="E760" s="241"/>
      <c r="F760" s="248"/>
      <c r="G760" s="207"/>
      <c r="H760" s="209"/>
      <c r="I760" s="209"/>
      <c r="J760" s="209"/>
      <c r="K760" s="208" t="str">
        <f>IF(Errors!$I760=0,SourceData!$B$42,VLOOKUP(Errors!$I760,SourceData!$A$2:$B$40,2,FALSE))</f>
        <v>Please select ERROR CODE column "I"</v>
      </c>
      <c r="L760" s="207" t="str">
        <f>IF(Errors!$I760=0,
    'List of Error Codes'!$E$29,
    IFERROR(VLOOKUP(Errors!$I760, 'List of Error Codes'!D759:I789, 6, FALSE), 'List of Error Codes'!$E$29)
)</f>
        <v>Please select ERROR CODE column "I"</v>
      </c>
      <c r="M760" s="209"/>
      <c r="N760" s="209"/>
      <c r="O760" s="209"/>
      <c r="P760" s="209"/>
      <c r="Q760" s="209"/>
      <c r="R760" s="217"/>
      <c r="S760" s="217"/>
      <c r="T760" s="217"/>
      <c r="U760" s="199"/>
      <c r="V760" s="200"/>
      <c r="W760" s="200"/>
      <c r="X760" s="200"/>
      <c r="Y760" s="200"/>
      <c r="Z760" s="200"/>
      <c r="AA760" s="201"/>
      <c r="AB760" s="200"/>
      <c r="AC760" s="200"/>
    </row>
    <row r="761" ht="15.0" customHeight="1">
      <c r="A761" s="210">
        <f t="shared" si="1"/>
        <v>759</v>
      </c>
      <c r="B761" s="217"/>
      <c r="C761" s="217" t="str">
        <f>IFERROR(VLOOKUP(B761, SourceData!$U$3:$V$190, 2, FALSE), "")</f>
        <v/>
      </c>
      <c r="D761" s="240"/>
      <c r="E761" s="241"/>
      <c r="F761" s="248"/>
      <c r="G761" s="207"/>
      <c r="H761" s="209"/>
      <c r="I761" s="209"/>
      <c r="J761" s="209"/>
      <c r="K761" s="208" t="str">
        <f>IF(Errors!$I761=0,SourceData!$B$42,VLOOKUP(Errors!$I761,SourceData!$A$2:$B$40,2,FALSE))</f>
        <v>Please select ERROR CODE column "I"</v>
      </c>
      <c r="L761" s="207" t="str">
        <f>IF(Errors!$I761=0,
    'List of Error Codes'!$E$29,
    IFERROR(VLOOKUP(Errors!$I761, 'List of Error Codes'!D760:I790, 6, FALSE), 'List of Error Codes'!$E$29)
)</f>
        <v>Please select ERROR CODE column "I"</v>
      </c>
      <c r="M761" s="209"/>
      <c r="N761" s="209"/>
      <c r="O761" s="209"/>
      <c r="P761" s="209"/>
      <c r="Q761" s="209"/>
      <c r="R761" s="217"/>
      <c r="S761" s="217"/>
      <c r="T761" s="217"/>
      <c r="U761" s="199"/>
      <c r="V761" s="200"/>
      <c r="W761" s="200"/>
      <c r="X761" s="200"/>
      <c r="Y761" s="200"/>
      <c r="Z761" s="200"/>
      <c r="AA761" s="201"/>
      <c r="AB761" s="200"/>
      <c r="AC761" s="200"/>
    </row>
    <row r="762" ht="15.0" customHeight="1">
      <c r="A762" s="210">
        <f t="shared" si="1"/>
        <v>760</v>
      </c>
      <c r="B762" s="217"/>
      <c r="C762" s="217" t="str">
        <f>IFERROR(VLOOKUP(B762, SourceData!$U$3:$V$190, 2, FALSE), "")</f>
        <v/>
      </c>
      <c r="D762" s="240"/>
      <c r="E762" s="241"/>
      <c r="F762" s="248"/>
      <c r="G762" s="207"/>
      <c r="H762" s="209"/>
      <c r="I762" s="209"/>
      <c r="J762" s="209"/>
      <c r="K762" s="208" t="str">
        <f>IF(Errors!$I762=0,SourceData!$B$42,VLOOKUP(Errors!$I762,SourceData!$A$2:$B$40,2,FALSE))</f>
        <v>Please select ERROR CODE column "I"</v>
      </c>
      <c r="L762" s="207" t="str">
        <f>IF(Errors!$I762=0,
    'List of Error Codes'!$E$29,
    IFERROR(VLOOKUP(Errors!$I762, 'List of Error Codes'!D761:I791, 6, FALSE), 'List of Error Codes'!$E$29)
)</f>
        <v>Please select ERROR CODE column "I"</v>
      </c>
      <c r="M762" s="209"/>
      <c r="N762" s="209"/>
      <c r="O762" s="209"/>
      <c r="P762" s="209"/>
      <c r="Q762" s="209"/>
      <c r="R762" s="217"/>
      <c r="S762" s="217"/>
      <c r="T762" s="217"/>
      <c r="U762" s="199"/>
      <c r="V762" s="200"/>
      <c r="W762" s="200"/>
      <c r="X762" s="200"/>
      <c r="Y762" s="200"/>
      <c r="Z762" s="200"/>
      <c r="AA762" s="201"/>
      <c r="AB762" s="200"/>
      <c r="AC762" s="200"/>
    </row>
    <row r="763" ht="15.0" customHeight="1">
      <c r="A763" s="210">
        <f t="shared" si="1"/>
        <v>761</v>
      </c>
      <c r="B763" s="217"/>
      <c r="C763" s="217" t="str">
        <f>IFERROR(VLOOKUP(B763, SourceData!$U$3:$V$190, 2, FALSE), "")</f>
        <v/>
      </c>
      <c r="D763" s="240"/>
      <c r="E763" s="241"/>
      <c r="F763" s="248"/>
      <c r="G763" s="207"/>
      <c r="H763" s="209"/>
      <c r="I763" s="209"/>
      <c r="J763" s="209"/>
      <c r="K763" s="208" t="str">
        <f>IF(Errors!$I763=0,SourceData!$B$42,VLOOKUP(Errors!$I763,SourceData!$A$2:$B$40,2,FALSE))</f>
        <v>Please select ERROR CODE column "I"</v>
      </c>
      <c r="L763" s="207" t="str">
        <f>IF(Errors!$I763=0,
    'List of Error Codes'!$E$29,
    IFERROR(VLOOKUP(Errors!$I763, 'List of Error Codes'!D762:I792, 6, FALSE), 'List of Error Codes'!$E$29)
)</f>
        <v>Please select ERROR CODE column "I"</v>
      </c>
      <c r="M763" s="209"/>
      <c r="N763" s="209"/>
      <c r="O763" s="209"/>
      <c r="P763" s="209"/>
      <c r="Q763" s="209"/>
      <c r="R763" s="217"/>
      <c r="S763" s="217"/>
      <c r="T763" s="217"/>
      <c r="U763" s="199"/>
      <c r="V763" s="200"/>
      <c r="W763" s="200"/>
      <c r="X763" s="200"/>
      <c r="Y763" s="200"/>
      <c r="Z763" s="200"/>
      <c r="AA763" s="201"/>
      <c r="AB763" s="200"/>
      <c r="AC763" s="200"/>
    </row>
    <row r="764" ht="15.0" customHeight="1">
      <c r="A764" s="210">
        <f t="shared" si="1"/>
        <v>762</v>
      </c>
      <c r="B764" s="217"/>
      <c r="C764" s="217" t="str">
        <f>IFERROR(VLOOKUP(B764, SourceData!$U$3:$V$190, 2, FALSE), "")</f>
        <v/>
      </c>
      <c r="D764" s="240"/>
      <c r="E764" s="241"/>
      <c r="F764" s="248"/>
      <c r="G764" s="207"/>
      <c r="H764" s="209"/>
      <c r="I764" s="209"/>
      <c r="J764" s="209"/>
      <c r="K764" s="208" t="str">
        <f>IF(Errors!$I764=0,SourceData!$B$42,VLOOKUP(Errors!$I764,SourceData!$A$2:$B$40,2,FALSE))</f>
        <v>Please select ERROR CODE column "I"</v>
      </c>
      <c r="L764" s="207" t="str">
        <f>IF(Errors!$I764=0,
    'List of Error Codes'!$E$29,
    IFERROR(VLOOKUP(Errors!$I764, 'List of Error Codes'!D763:I793, 6, FALSE), 'List of Error Codes'!$E$29)
)</f>
        <v>Please select ERROR CODE column "I"</v>
      </c>
      <c r="M764" s="209"/>
      <c r="N764" s="209"/>
      <c r="O764" s="209"/>
      <c r="P764" s="209"/>
      <c r="Q764" s="209"/>
      <c r="R764" s="217"/>
      <c r="S764" s="217"/>
      <c r="T764" s="217"/>
      <c r="U764" s="199"/>
      <c r="V764" s="200"/>
      <c r="W764" s="200"/>
      <c r="X764" s="200"/>
      <c r="Y764" s="200"/>
      <c r="Z764" s="200"/>
      <c r="AA764" s="201"/>
      <c r="AB764" s="200"/>
      <c r="AC764" s="200"/>
    </row>
    <row r="765" ht="15.0" customHeight="1">
      <c r="A765" s="210">
        <f t="shared" si="1"/>
        <v>763</v>
      </c>
      <c r="B765" s="217"/>
      <c r="C765" s="217" t="str">
        <f>IFERROR(VLOOKUP(B765, SourceData!$U$3:$V$190, 2, FALSE), "")</f>
        <v/>
      </c>
      <c r="D765" s="240"/>
      <c r="E765" s="241"/>
      <c r="F765" s="248"/>
      <c r="G765" s="207"/>
      <c r="H765" s="209"/>
      <c r="I765" s="209"/>
      <c r="J765" s="209"/>
      <c r="K765" s="208" t="str">
        <f>IF(Errors!$I765=0,SourceData!$B$42,VLOOKUP(Errors!$I765,SourceData!$A$2:$B$40,2,FALSE))</f>
        <v>Please select ERROR CODE column "I"</v>
      </c>
      <c r="L765" s="207" t="str">
        <f>IF(Errors!$I765=0,
    'List of Error Codes'!$E$29,
    IFERROR(VLOOKUP(Errors!$I765, 'List of Error Codes'!D764:I794, 6, FALSE), 'List of Error Codes'!$E$29)
)</f>
        <v>Please select ERROR CODE column "I"</v>
      </c>
      <c r="M765" s="209"/>
      <c r="N765" s="209"/>
      <c r="O765" s="209"/>
      <c r="P765" s="209"/>
      <c r="Q765" s="209"/>
      <c r="R765" s="217"/>
      <c r="S765" s="217"/>
      <c r="T765" s="217"/>
      <c r="U765" s="199"/>
      <c r="V765" s="200"/>
      <c r="W765" s="200"/>
      <c r="X765" s="200"/>
      <c r="Y765" s="200"/>
      <c r="Z765" s="200"/>
      <c r="AA765" s="201"/>
      <c r="AB765" s="200"/>
      <c r="AC765" s="200"/>
    </row>
    <row r="766" ht="15.0" customHeight="1">
      <c r="A766" s="210">
        <f t="shared" si="1"/>
        <v>764</v>
      </c>
      <c r="B766" s="217"/>
      <c r="C766" s="217" t="str">
        <f>IFERROR(VLOOKUP(B766, SourceData!$U$3:$V$190, 2, FALSE), "")</f>
        <v/>
      </c>
      <c r="D766" s="240"/>
      <c r="E766" s="241"/>
      <c r="F766" s="248"/>
      <c r="G766" s="207"/>
      <c r="H766" s="209"/>
      <c r="I766" s="209"/>
      <c r="J766" s="209"/>
      <c r="K766" s="208" t="str">
        <f>IF(Errors!$I766=0,SourceData!$B$42,VLOOKUP(Errors!$I766,SourceData!$A$2:$B$40,2,FALSE))</f>
        <v>Please select ERROR CODE column "I"</v>
      </c>
      <c r="L766" s="207" t="str">
        <f>IF(Errors!$I766=0,
    'List of Error Codes'!$E$29,
    IFERROR(VLOOKUP(Errors!$I766, 'List of Error Codes'!D765:I795, 6, FALSE), 'List of Error Codes'!$E$29)
)</f>
        <v>Please select ERROR CODE column "I"</v>
      </c>
      <c r="M766" s="209"/>
      <c r="N766" s="209"/>
      <c r="O766" s="209"/>
      <c r="P766" s="209"/>
      <c r="Q766" s="209"/>
      <c r="R766" s="217"/>
      <c r="S766" s="217"/>
      <c r="T766" s="217"/>
      <c r="U766" s="199"/>
      <c r="V766" s="200"/>
      <c r="W766" s="200"/>
      <c r="X766" s="200"/>
      <c r="Y766" s="200"/>
      <c r="Z766" s="200"/>
      <c r="AA766" s="201"/>
      <c r="AB766" s="200"/>
      <c r="AC766" s="200"/>
    </row>
    <row r="767" ht="15.0" customHeight="1">
      <c r="A767" s="210">
        <f t="shared" si="1"/>
        <v>765</v>
      </c>
      <c r="B767" s="217"/>
      <c r="C767" s="217" t="str">
        <f>IFERROR(VLOOKUP(B767, SourceData!$U$3:$V$190, 2, FALSE), "")</f>
        <v/>
      </c>
      <c r="D767" s="240"/>
      <c r="E767" s="241"/>
      <c r="F767" s="248"/>
      <c r="G767" s="207"/>
      <c r="H767" s="209"/>
      <c r="I767" s="209"/>
      <c r="J767" s="209"/>
      <c r="K767" s="208" t="str">
        <f>IF(Errors!$I767=0,SourceData!$B$42,VLOOKUP(Errors!$I767,SourceData!$A$2:$B$40,2,FALSE))</f>
        <v>Please select ERROR CODE column "I"</v>
      </c>
      <c r="L767" s="207" t="str">
        <f>IF(Errors!$I767=0,
    'List of Error Codes'!$E$29,
    IFERROR(VLOOKUP(Errors!$I767, 'List of Error Codes'!D766:I796, 6, FALSE), 'List of Error Codes'!$E$29)
)</f>
        <v>Please select ERROR CODE column "I"</v>
      </c>
      <c r="M767" s="209"/>
      <c r="N767" s="209"/>
      <c r="O767" s="209"/>
      <c r="P767" s="209"/>
      <c r="Q767" s="209"/>
      <c r="R767" s="217"/>
      <c r="S767" s="217"/>
      <c r="T767" s="217"/>
      <c r="U767" s="199"/>
      <c r="V767" s="200"/>
      <c r="W767" s="200"/>
      <c r="X767" s="200"/>
      <c r="Y767" s="200"/>
      <c r="Z767" s="200"/>
      <c r="AA767" s="201"/>
      <c r="AB767" s="200"/>
      <c r="AC767" s="200"/>
    </row>
    <row r="768" ht="15.0" customHeight="1">
      <c r="A768" s="210">
        <f t="shared" si="1"/>
        <v>766</v>
      </c>
      <c r="B768" s="217"/>
      <c r="C768" s="217" t="str">
        <f>IFERROR(VLOOKUP(B768, SourceData!$U$3:$V$190, 2, FALSE), "")</f>
        <v/>
      </c>
      <c r="D768" s="240"/>
      <c r="E768" s="241"/>
      <c r="F768" s="248"/>
      <c r="G768" s="207"/>
      <c r="H768" s="209"/>
      <c r="I768" s="209"/>
      <c r="J768" s="209"/>
      <c r="K768" s="208" t="str">
        <f>IF(Errors!$I768=0,SourceData!$B$42,VLOOKUP(Errors!$I768,SourceData!$A$2:$B$40,2,FALSE))</f>
        <v>Please select ERROR CODE column "I"</v>
      </c>
      <c r="L768" s="207" t="str">
        <f>IF(Errors!$I768=0,
    'List of Error Codes'!$E$29,
    IFERROR(VLOOKUP(Errors!$I768, 'List of Error Codes'!D767:I797, 6, FALSE), 'List of Error Codes'!$E$29)
)</f>
        <v>Please select ERROR CODE column "I"</v>
      </c>
      <c r="M768" s="209"/>
      <c r="N768" s="209"/>
      <c r="O768" s="209"/>
      <c r="P768" s="209"/>
      <c r="Q768" s="209"/>
      <c r="R768" s="217"/>
      <c r="S768" s="217"/>
      <c r="T768" s="217"/>
      <c r="U768" s="199"/>
      <c r="V768" s="200"/>
      <c r="W768" s="200"/>
      <c r="X768" s="200"/>
      <c r="Y768" s="200"/>
      <c r="Z768" s="200"/>
      <c r="AA768" s="201"/>
      <c r="AB768" s="200"/>
      <c r="AC768" s="200"/>
    </row>
    <row r="769" ht="15.0" customHeight="1">
      <c r="A769" s="210">
        <f t="shared" si="1"/>
        <v>767</v>
      </c>
      <c r="B769" s="217"/>
      <c r="C769" s="217" t="str">
        <f>IFERROR(VLOOKUP(B769, SourceData!$U$3:$V$190, 2, FALSE), "")</f>
        <v/>
      </c>
      <c r="D769" s="240"/>
      <c r="E769" s="241"/>
      <c r="F769" s="248"/>
      <c r="G769" s="207"/>
      <c r="H769" s="209"/>
      <c r="I769" s="209"/>
      <c r="J769" s="209"/>
      <c r="K769" s="208" t="str">
        <f>IF(Errors!$I769=0,SourceData!$B$42,VLOOKUP(Errors!$I769,SourceData!$A$2:$B$40,2,FALSE))</f>
        <v>Please select ERROR CODE column "I"</v>
      </c>
      <c r="L769" s="207" t="str">
        <f>IF(Errors!$I769=0,
    'List of Error Codes'!$E$29,
    IFERROR(VLOOKUP(Errors!$I769, 'List of Error Codes'!D768:I798, 6, FALSE), 'List of Error Codes'!$E$29)
)</f>
        <v>Please select ERROR CODE column "I"</v>
      </c>
      <c r="M769" s="209"/>
      <c r="N769" s="209"/>
      <c r="O769" s="209"/>
      <c r="P769" s="209"/>
      <c r="Q769" s="209"/>
      <c r="R769" s="217"/>
      <c r="S769" s="217"/>
      <c r="T769" s="217"/>
      <c r="U769" s="199"/>
      <c r="V769" s="200"/>
      <c r="W769" s="200"/>
      <c r="X769" s="200"/>
      <c r="Y769" s="200"/>
      <c r="Z769" s="200"/>
      <c r="AA769" s="201"/>
      <c r="AB769" s="200"/>
      <c r="AC769" s="200"/>
    </row>
    <row r="770" ht="15.0" customHeight="1">
      <c r="A770" s="210">
        <f t="shared" si="1"/>
        <v>768</v>
      </c>
      <c r="B770" s="217"/>
      <c r="C770" s="217" t="str">
        <f>IFERROR(VLOOKUP(B770, SourceData!$U$3:$V$190, 2, FALSE), "")</f>
        <v/>
      </c>
      <c r="D770" s="240"/>
      <c r="E770" s="241"/>
      <c r="F770" s="248"/>
      <c r="G770" s="207"/>
      <c r="H770" s="209"/>
      <c r="I770" s="209"/>
      <c r="J770" s="209"/>
      <c r="K770" s="208" t="str">
        <f>IF(Errors!$I770=0,SourceData!$B$42,VLOOKUP(Errors!$I770,SourceData!$A$2:$B$40,2,FALSE))</f>
        <v>Please select ERROR CODE column "I"</v>
      </c>
      <c r="L770" s="207" t="str">
        <f>IF(Errors!$I770=0,
    'List of Error Codes'!$E$29,
    IFERROR(VLOOKUP(Errors!$I770, 'List of Error Codes'!D769:I799, 6, FALSE), 'List of Error Codes'!$E$29)
)</f>
        <v>Please select ERROR CODE column "I"</v>
      </c>
      <c r="M770" s="209"/>
      <c r="N770" s="209"/>
      <c r="O770" s="209"/>
      <c r="P770" s="209"/>
      <c r="Q770" s="209"/>
      <c r="R770" s="217"/>
      <c r="S770" s="217"/>
      <c r="T770" s="217"/>
      <c r="U770" s="199"/>
      <c r="V770" s="200"/>
      <c r="W770" s="200"/>
      <c r="X770" s="200"/>
      <c r="Y770" s="200"/>
      <c r="Z770" s="200"/>
      <c r="AA770" s="201"/>
      <c r="AB770" s="200"/>
      <c r="AC770" s="200"/>
    </row>
    <row r="771" ht="15.0" customHeight="1">
      <c r="A771" s="210">
        <f t="shared" si="1"/>
        <v>769</v>
      </c>
      <c r="B771" s="217"/>
      <c r="C771" s="217" t="str">
        <f>IFERROR(VLOOKUP(B771, SourceData!$U$3:$V$190, 2, FALSE), "")</f>
        <v/>
      </c>
      <c r="D771" s="240"/>
      <c r="E771" s="241"/>
      <c r="F771" s="248"/>
      <c r="G771" s="207"/>
      <c r="H771" s="209"/>
      <c r="I771" s="209"/>
      <c r="J771" s="209"/>
      <c r="K771" s="208" t="str">
        <f>IF(Errors!$I771=0,SourceData!$B$42,VLOOKUP(Errors!$I771,SourceData!$A$2:$B$40,2,FALSE))</f>
        <v>Please select ERROR CODE column "I"</v>
      </c>
      <c r="L771" s="207" t="str">
        <f>IF(Errors!$I771=0,
    'List of Error Codes'!$E$29,
    IFERROR(VLOOKUP(Errors!$I771, 'List of Error Codes'!D770:I800, 6, FALSE), 'List of Error Codes'!$E$29)
)</f>
        <v>Please select ERROR CODE column "I"</v>
      </c>
      <c r="M771" s="209"/>
      <c r="N771" s="209"/>
      <c r="O771" s="209"/>
      <c r="P771" s="209"/>
      <c r="Q771" s="209"/>
      <c r="R771" s="217"/>
      <c r="S771" s="217"/>
      <c r="T771" s="217"/>
      <c r="U771" s="199"/>
      <c r="V771" s="200"/>
      <c r="W771" s="200"/>
      <c r="X771" s="200"/>
      <c r="Y771" s="200"/>
      <c r="Z771" s="200"/>
      <c r="AA771" s="201"/>
      <c r="AB771" s="200"/>
      <c r="AC771" s="200"/>
    </row>
    <row r="772" ht="15.0" customHeight="1">
      <c r="A772" s="210">
        <f t="shared" si="1"/>
        <v>770</v>
      </c>
      <c r="B772" s="217"/>
      <c r="C772" s="217" t="str">
        <f>IFERROR(VLOOKUP(B772, SourceData!$U$3:$V$190, 2, FALSE), "")</f>
        <v/>
      </c>
      <c r="D772" s="240"/>
      <c r="E772" s="241"/>
      <c r="F772" s="248"/>
      <c r="G772" s="207"/>
      <c r="H772" s="209"/>
      <c r="I772" s="209"/>
      <c r="J772" s="209"/>
      <c r="K772" s="208" t="str">
        <f>IF(Errors!$I772=0,SourceData!$B$42,VLOOKUP(Errors!$I772,SourceData!$A$2:$B$40,2,FALSE))</f>
        <v>Please select ERROR CODE column "I"</v>
      </c>
      <c r="L772" s="207" t="str">
        <f>IF(Errors!$I772=0,
    'List of Error Codes'!$E$29,
    IFERROR(VLOOKUP(Errors!$I772, 'List of Error Codes'!D771:I801, 6, FALSE), 'List of Error Codes'!$E$29)
)</f>
        <v>Please select ERROR CODE column "I"</v>
      </c>
      <c r="M772" s="209"/>
      <c r="N772" s="209"/>
      <c r="O772" s="209"/>
      <c r="P772" s="209"/>
      <c r="Q772" s="209"/>
      <c r="R772" s="217"/>
      <c r="S772" s="217"/>
      <c r="T772" s="217"/>
      <c r="U772" s="199"/>
      <c r="V772" s="200"/>
      <c r="W772" s="200"/>
      <c r="X772" s="200"/>
      <c r="Y772" s="200"/>
      <c r="Z772" s="200"/>
      <c r="AA772" s="201"/>
      <c r="AB772" s="200"/>
      <c r="AC772" s="200"/>
    </row>
    <row r="773" ht="15.0" customHeight="1">
      <c r="A773" s="210">
        <f t="shared" si="1"/>
        <v>771</v>
      </c>
      <c r="B773" s="217"/>
      <c r="C773" s="217" t="str">
        <f>IFERROR(VLOOKUP(B773, SourceData!$U$3:$V$190, 2, FALSE), "")</f>
        <v/>
      </c>
      <c r="D773" s="240"/>
      <c r="E773" s="241"/>
      <c r="F773" s="248"/>
      <c r="G773" s="207"/>
      <c r="H773" s="209"/>
      <c r="I773" s="209"/>
      <c r="J773" s="209"/>
      <c r="K773" s="208" t="str">
        <f>IF(Errors!$I773=0,SourceData!$B$42,VLOOKUP(Errors!$I773,SourceData!$A$2:$B$40,2,FALSE))</f>
        <v>Please select ERROR CODE column "I"</v>
      </c>
      <c r="L773" s="207" t="str">
        <f>IF(Errors!$I773=0,
    'List of Error Codes'!$E$29,
    IFERROR(VLOOKUP(Errors!$I773, 'List of Error Codes'!D772:I802, 6, FALSE), 'List of Error Codes'!$E$29)
)</f>
        <v>Please select ERROR CODE column "I"</v>
      </c>
      <c r="M773" s="209"/>
      <c r="N773" s="209"/>
      <c r="O773" s="209"/>
      <c r="P773" s="209"/>
      <c r="Q773" s="209"/>
      <c r="R773" s="217"/>
      <c r="S773" s="217"/>
      <c r="T773" s="217"/>
      <c r="U773" s="199"/>
      <c r="V773" s="200"/>
      <c r="W773" s="200"/>
      <c r="X773" s="200"/>
      <c r="Y773" s="200"/>
      <c r="Z773" s="200"/>
      <c r="AA773" s="201"/>
      <c r="AB773" s="200"/>
      <c r="AC773" s="200"/>
    </row>
    <row r="774" ht="15.0" customHeight="1">
      <c r="A774" s="210">
        <f t="shared" si="1"/>
        <v>772</v>
      </c>
      <c r="B774" s="217"/>
      <c r="C774" s="217" t="str">
        <f>IFERROR(VLOOKUP(B774, SourceData!$U$3:$V$190, 2, FALSE), "")</f>
        <v/>
      </c>
      <c r="D774" s="240"/>
      <c r="E774" s="241"/>
      <c r="F774" s="248"/>
      <c r="G774" s="207"/>
      <c r="H774" s="209"/>
      <c r="I774" s="209"/>
      <c r="J774" s="209"/>
      <c r="K774" s="208" t="str">
        <f>IF(Errors!$I774=0,SourceData!$B$42,VLOOKUP(Errors!$I774,SourceData!$A$2:$B$40,2,FALSE))</f>
        <v>Please select ERROR CODE column "I"</v>
      </c>
      <c r="L774" s="207" t="str">
        <f>IF(Errors!$I774=0,
    'List of Error Codes'!$E$29,
    IFERROR(VLOOKUP(Errors!$I774, 'List of Error Codes'!D773:I803, 6, FALSE), 'List of Error Codes'!$E$29)
)</f>
        <v>Please select ERROR CODE column "I"</v>
      </c>
      <c r="M774" s="209"/>
      <c r="N774" s="209"/>
      <c r="O774" s="209"/>
      <c r="P774" s="209"/>
      <c r="Q774" s="209"/>
      <c r="R774" s="217"/>
      <c r="S774" s="217"/>
      <c r="T774" s="217"/>
      <c r="U774" s="199"/>
      <c r="V774" s="200"/>
      <c r="W774" s="200"/>
      <c r="X774" s="200"/>
      <c r="Y774" s="200"/>
      <c r="Z774" s="200"/>
      <c r="AA774" s="201"/>
      <c r="AB774" s="200"/>
      <c r="AC774" s="200"/>
    </row>
    <row r="775" ht="15.0" customHeight="1">
      <c r="A775" s="210">
        <f t="shared" si="1"/>
        <v>773</v>
      </c>
      <c r="B775" s="217"/>
      <c r="C775" s="217" t="str">
        <f>IFERROR(VLOOKUP(B775, SourceData!$U$3:$V$190, 2, FALSE), "")</f>
        <v/>
      </c>
      <c r="D775" s="240"/>
      <c r="E775" s="241"/>
      <c r="F775" s="248"/>
      <c r="G775" s="207"/>
      <c r="H775" s="209"/>
      <c r="I775" s="209"/>
      <c r="J775" s="209"/>
      <c r="K775" s="208" t="str">
        <f>IF(Errors!$I775=0,SourceData!$B$42,VLOOKUP(Errors!$I775,SourceData!$A$2:$B$40,2,FALSE))</f>
        <v>Please select ERROR CODE column "I"</v>
      </c>
      <c r="L775" s="207" t="str">
        <f>IF(Errors!$I775=0,
    'List of Error Codes'!$E$29,
    IFERROR(VLOOKUP(Errors!$I775, 'List of Error Codes'!D774:I804, 6, FALSE), 'List of Error Codes'!$E$29)
)</f>
        <v>Please select ERROR CODE column "I"</v>
      </c>
      <c r="M775" s="209"/>
      <c r="N775" s="209"/>
      <c r="O775" s="209"/>
      <c r="P775" s="209"/>
      <c r="Q775" s="209"/>
      <c r="R775" s="217"/>
      <c r="S775" s="217"/>
      <c r="T775" s="217"/>
      <c r="U775" s="199"/>
      <c r="V775" s="200"/>
      <c r="W775" s="200"/>
      <c r="X775" s="200"/>
      <c r="Y775" s="200"/>
      <c r="Z775" s="200"/>
      <c r="AA775" s="201"/>
      <c r="AB775" s="200"/>
      <c r="AC775" s="200"/>
    </row>
    <row r="776" ht="15.0" customHeight="1">
      <c r="A776" s="210">
        <f t="shared" si="1"/>
        <v>774</v>
      </c>
      <c r="B776" s="217"/>
      <c r="C776" s="217" t="str">
        <f>IFERROR(VLOOKUP(B776, SourceData!$U$3:$V$190, 2, FALSE), "")</f>
        <v/>
      </c>
      <c r="D776" s="240"/>
      <c r="E776" s="241"/>
      <c r="F776" s="248"/>
      <c r="G776" s="207"/>
      <c r="H776" s="209"/>
      <c r="I776" s="209"/>
      <c r="J776" s="209"/>
      <c r="K776" s="208" t="str">
        <f>IF(Errors!$I776=0,SourceData!$B$42,VLOOKUP(Errors!$I776,SourceData!$A$2:$B$40,2,FALSE))</f>
        <v>Please select ERROR CODE column "I"</v>
      </c>
      <c r="L776" s="207" t="str">
        <f>IF(Errors!$I776=0,
    'List of Error Codes'!$E$29,
    IFERROR(VLOOKUP(Errors!$I776, 'List of Error Codes'!D775:I805, 6, FALSE), 'List of Error Codes'!$E$29)
)</f>
        <v>Please select ERROR CODE column "I"</v>
      </c>
      <c r="M776" s="209"/>
      <c r="N776" s="209"/>
      <c r="O776" s="209"/>
      <c r="P776" s="209"/>
      <c r="Q776" s="209"/>
      <c r="R776" s="217"/>
      <c r="S776" s="217"/>
      <c r="T776" s="217"/>
      <c r="U776" s="199"/>
      <c r="V776" s="200"/>
      <c r="W776" s="200"/>
      <c r="X776" s="200"/>
      <c r="Y776" s="200"/>
      <c r="Z776" s="200"/>
      <c r="AA776" s="201"/>
      <c r="AB776" s="200"/>
      <c r="AC776" s="200"/>
    </row>
    <row r="777" ht="15.0" customHeight="1">
      <c r="A777" s="210">
        <f t="shared" si="1"/>
        <v>775</v>
      </c>
      <c r="B777" s="217"/>
      <c r="C777" s="217" t="str">
        <f>IFERROR(VLOOKUP(B777, SourceData!$U$3:$V$190, 2, FALSE), "")</f>
        <v/>
      </c>
      <c r="D777" s="240"/>
      <c r="E777" s="241"/>
      <c r="F777" s="248"/>
      <c r="G777" s="207"/>
      <c r="H777" s="209"/>
      <c r="I777" s="209"/>
      <c r="J777" s="209"/>
      <c r="K777" s="208" t="str">
        <f>IF(Errors!$I777=0,SourceData!$B$42,VLOOKUP(Errors!$I777,SourceData!$A$2:$B$40,2,FALSE))</f>
        <v>Please select ERROR CODE column "I"</v>
      </c>
      <c r="L777" s="207" t="str">
        <f>IF(Errors!$I777=0,
    'List of Error Codes'!$E$29,
    IFERROR(VLOOKUP(Errors!$I777, 'List of Error Codes'!D776:I806, 6, FALSE), 'List of Error Codes'!$E$29)
)</f>
        <v>Please select ERROR CODE column "I"</v>
      </c>
      <c r="M777" s="209"/>
      <c r="N777" s="209"/>
      <c r="O777" s="209"/>
      <c r="P777" s="209"/>
      <c r="Q777" s="209"/>
      <c r="R777" s="217"/>
      <c r="S777" s="217"/>
      <c r="T777" s="217"/>
      <c r="U777" s="199"/>
      <c r="V777" s="200"/>
      <c r="W777" s="200"/>
      <c r="X777" s="200"/>
      <c r="Y777" s="200"/>
      <c r="Z777" s="200"/>
      <c r="AA777" s="201"/>
      <c r="AB777" s="200"/>
      <c r="AC777" s="200"/>
    </row>
    <row r="778" ht="15.0" customHeight="1">
      <c r="A778" s="210">
        <f t="shared" si="1"/>
        <v>776</v>
      </c>
      <c r="B778" s="217"/>
      <c r="C778" s="217" t="str">
        <f>IFERROR(VLOOKUP(B778, SourceData!$U$3:$V$190, 2, FALSE), "")</f>
        <v/>
      </c>
      <c r="D778" s="240"/>
      <c r="E778" s="241"/>
      <c r="F778" s="248"/>
      <c r="G778" s="207"/>
      <c r="H778" s="209"/>
      <c r="I778" s="209"/>
      <c r="J778" s="209"/>
      <c r="K778" s="208" t="str">
        <f>IF(Errors!$I778=0,SourceData!$B$42,VLOOKUP(Errors!$I778,SourceData!$A$2:$B$40,2,FALSE))</f>
        <v>Please select ERROR CODE column "I"</v>
      </c>
      <c r="L778" s="207" t="str">
        <f>IF(Errors!$I778=0,
    'List of Error Codes'!$E$29,
    IFERROR(VLOOKUP(Errors!$I778, 'List of Error Codes'!D777:I807, 6, FALSE), 'List of Error Codes'!$E$29)
)</f>
        <v>Please select ERROR CODE column "I"</v>
      </c>
      <c r="M778" s="209"/>
      <c r="N778" s="209"/>
      <c r="O778" s="209"/>
      <c r="P778" s="209"/>
      <c r="Q778" s="209"/>
      <c r="R778" s="217"/>
      <c r="S778" s="217"/>
      <c r="T778" s="217"/>
      <c r="U778" s="199"/>
      <c r="V778" s="200"/>
      <c r="W778" s="200"/>
      <c r="X778" s="200"/>
      <c r="Y778" s="200"/>
      <c r="Z778" s="200"/>
      <c r="AA778" s="201"/>
      <c r="AB778" s="200"/>
      <c r="AC778" s="200"/>
    </row>
    <row r="779" ht="15.0" customHeight="1">
      <c r="A779" s="210">
        <f t="shared" si="1"/>
        <v>777</v>
      </c>
      <c r="B779" s="217"/>
      <c r="C779" s="217" t="str">
        <f>IFERROR(VLOOKUP(B779, SourceData!$U$3:$V$190, 2, FALSE), "")</f>
        <v/>
      </c>
      <c r="D779" s="240"/>
      <c r="E779" s="241"/>
      <c r="F779" s="248"/>
      <c r="G779" s="207"/>
      <c r="H779" s="209"/>
      <c r="I779" s="209"/>
      <c r="J779" s="209"/>
      <c r="K779" s="208" t="str">
        <f>IF(Errors!$I779=0,SourceData!$B$42,VLOOKUP(Errors!$I779,SourceData!$A$2:$B$40,2,FALSE))</f>
        <v>Please select ERROR CODE column "I"</v>
      </c>
      <c r="L779" s="207" t="str">
        <f>IF(Errors!$I779=0,
    'List of Error Codes'!$E$29,
    IFERROR(VLOOKUP(Errors!$I779, 'List of Error Codes'!D778:I808, 6, FALSE), 'List of Error Codes'!$E$29)
)</f>
        <v>Please select ERROR CODE column "I"</v>
      </c>
      <c r="M779" s="209"/>
      <c r="N779" s="209"/>
      <c r="O779" s="209"/>
      <c r="P779" s="209"/>
      <c r="Q779" s="209"/>
      <c r="R779" s="217"/>
      <c r="S779" s="217"/>
      <c r="T779" s="217"/>
      <c r="U779" s="199"/>
      <c r="V779" s="200"/>
      <c r="W779" s="200"/>
      <c r="X779" s="200"/>
      <c r="Y779" s="200"/>
      <c r="Z779" s="200"/>
      <c r="AA779" s="201"/>
      <c r="AB779" s="200"/>
      <c r="AC779" s="200"/>
    </row>
    <row r="780" ht="15.0" customHeight="1">
      <c r="A780" s="210">
        <f t="shared" si="1"/>
        <v>778</v>
      </c>
      <c r="B780" s="217"/>
      <c r="C780" s="217" t="str">
        <f>IFERROR(VLOOKUP(B780, SourceData!$U$3:$V$190, 2, FALSE), "")</f>
        <v/>
      </c>
      <c r="D780" s="240"/>
      <c r="E780" s="241"/>
      <c r="F780" s="248"/>
      <c r="G780" s="207"/>
      <c r="H780" s="209"/>
      <c r="I780" s="209"/>
      <c r="J780" s="209"/>
      <c r="K780" s="208" t="str">
        <f>IF(Errors!$I780=0,SourceData!$B$42,VLOOKUP(Errors!$I780,SourceData!$A$2:$B$40,2,FALSE))</f>
        <v>Please select ERROR CODE column "I"</v>
      </c>
      <c r="L780" s="207" t="str">
        <f>IF(Errors!$I780=0,
    'List of Error Codes'!$E$29,
    IFERROR(VLOOKUP(Errors!$I780, 'List of Error Codes'!D779:I809, 6, FALSE), 'List of Error Codes'!$E$29)
)</f>
        <v>Please select ERROR CODE column "I"</v>
      </c>
      <c r="M780" s="209"/>
      <c r="N780" s="209"/>
      <c r="O780" s="209"/>
      <c r="P780" s="209"/>
      <c r="Q780" s="209"/>
      <c r="R780" s="217"/>
      <c r="S780" s="217"/>
      <c r="T780" s="217"/>
      <c r="U780" s="199"/>
      <c r="V780" s="200"/>
      <c r="W780" s="200"/>
      <c r="X780" s="200"/>
      <c r="Y780" s="200"/>
      <c r="Z780" s="200"/>
      <c r="AA780" s="201"/>
      <c r="AB780" s="200"/>
      <c r="AC780" s="200"/>
    </row>
    <row r="781" ht="15.0" customHeight="1">
      <c r="A781" s="210">
        <f t="shared" si="1"/>
        <v>779</v>
      </c>
      <c r="B781" s="217"/>
      <c r="C781" s="217" t="str">
        <f>IFERROR(VLOOKUP(B781, SourceData!$U$3:$V$190, 2, FALSE), "")</f>
        <v/>
      </c>
      <c r="D781" s="240"/>
      <c r="E781" s="241"/>
      <c r="F781" s="248"/>
      <c r="G781" s="207"/>
      <c r="H781" s="209"/>
      <c r="I781" s="209"/>
      <c r="J781" s="209"/>
      <c r="K781" s="208" t="str">
        <f>IF(Errors!$I781=0,SourceData!$B$42,VLOOKUP(Errors!$I781,SourceData!$A$2:$B$40,2,FALSE))</f>
        <v>Please select ERROR CODE column "I"</v>
      </c>
      <c r="L781" s="207" t="str">
        <f>IF(Errors!$I781=0,
    'List of Error Codes'!$E$29,
    IFERROR(VLOOKUP(Errors!$I781, 'List of Error Codes'!D780:I810, 6, FALSE), 'List of Error Codes'!$E$29)
)</f>
        <v>Please select ERROR CODE column "I"</v>
      </c>
      <c r="M781" s="209"/>
      <c r="N781" s="209"/>
      <c r="O781" s="209"/>
      <c r="P781" s="209"/>
      <c r="Q781" s="209"/>
      <c r="R781" s="217"/>
      <c r="S781" s="217"/>
      <c r="T781" s="217"/>
      <c r="U781" s="199"/>
      <c r="V781" s="200"/>
      <c r="W781" s="200"/>
      <c r="X781" s="200"/>
      <c r="Y781" s="200"/>
      <c r="Z781" s="200"/>
      <c r="AA781" s="201"/>
      <c r="AB781" s="200"/>
      <c r="AC781" s="200"/>
    </row>
    <row r="782" ht="15.0" customHeight="1">
      <c r="A782" s="210">
        <f t="shared" si="1"/>
        <v>780</v>
      </c>
      <c r="B782" s="217"/>
      <c r="C782" s="217" t="str">
        <f>IFERROR(VLOOKUP(B782, SourceData!$U$3:$V$190, 2, FALSE), "")</f>
        <v/>
      </c>
      <c r="D782" s="240"/>
      <c r="E782" s="241"/>
      <c r="F782" s="248"/>
      <c r="G782" s="207"/>
      <c r="H782" s="209"/>
      <c r="I782" s="209"/>
      <c r="J782" s="209"/>
      <c r="K782" s="208" t="str">
        <f>IF(Errors!$I782=0,SourceData!$B$42,VLOOKUP(Errors!$I782,SourceData!$A$2:$B$40,2,FALSE))</f>
        <v>Please select ERROR CODE column "I"</v>
      </c>
      <c r="L782" s="207" t="str">
        <f>IF(Errors!$I782=0,
    'List of Error Codes'!$E$29,
    IFERROR(VLOOKUP(Errors!$I782, 'List of Error Codes'!D781:I811, 6, FALSE), 'List of Error Codes'!$E$29)
)</f>
        <v>Please select ERROR CODE column "I"</v>
      </c>
      <c r="M782" s="209"/>
      <c r="N782" s="209"/>
      <c r="O782" s="209"/>
      <c r="P782" s="209"/>
      <c r="Q782" s="209"/>
      <c r="R782" s="217"/>
      <c r="S782" s="217"/>
      <c r="T782" s="217"/>
      <c r="U782" s="199"/>
      <c r="V782" s="200"/>
      <c r="W782" s="200"/>
      <c r="X782" s="200"/>
      <c r="Y782" s="200"/>
      <c r="Z782" s="200"/>
      <c r="AA782" s="201"/>
      <c r="AB782" s="200"/>
      <c r="AC782" s="200"/>
    </row>
    <row r="783" ht="15.0" customHeight="1">
      <c r="A783" s="210">
        <f t="shared" si="1"/>
        <v>781</v>
      </c>
      <c r="B783" s="217"/>
      <c r="C783" s="217" t="str">
        <f>IFERROR(VLOOKUP(B783, SourceData!$U$3:$V$190, 2, FALSE), "")</f>
        <v/>
      </c>
      <c r="D783" s="240"/>
      <c r="E783" s="241"/>
      <c r="F783" s="248"/>
      <c r="G783" s="207"/>
      <c r="H783" s="209"/>
      <c r="I783" s="209"/>
      <c r="J783" s="209"/>
      <c r="K783" s="208" t="str">
        <f>IF(Errors!$I783=0,SourceData!$B$42,VLOOKUP(Errors!$I783,SourceData!$A$2:$B$40,2,FALSE))</f>
        <v>Please select ERROR CODE column "I"</v>
      </c>
      <c r="L783" s="207" t="str">
        <f>IF(Errors!$I783=0,
    'List of Error Codes'!$E$29,
    IFERROR(VLOOKUP(Errors!$I783, 'List of Error Codes'!D782:I812, 6, FALSE), 'List of Error Codes'!$E$29)
)</f>
        <v>Please select ERROR CODE column "I"</v>
      </c>
      <c r="M783" s="209"/>
      <c r="N783" s="209"/>
      <c r="O783" s="209"/>
      <c r="P783" s="209"/>
      <c r="Q783" s="209"/>
      <c r="R783" s="217"/>
      <c r="S783" s="217"/>
      <c r="T783" s="217"/>
      <c r="U783" s="199"/>
      <c r="V783" s="200"/>
      <c r="W783" s="200"/>
      <c r="X783" s="200"/>
      <c r="Y783" s="200"/>
      <c r="Z783" s="200"/>
      <c r="AA783" s="201"/>
      <c r="AB783" s="200"/>
      <c r="AC783" s="200"/>
    </row>
    <row r="784" ht="15.0" customHeight="1">
      <c r="A784" s="210">
        <f t="shared" si="1"/>
        <v>782</v>
      </c>
      <c r="B784" s="217"/>
      <c r="C784" s="217" t="str">
        <f>IFERROR(VLOOKUP(B784, SourceData!$U$3:$V$190, 2, FALSE), "")</f>
        <v/>
      </c>
      <c r="D784" s="240"/>
      <c r="E784" s="241"/>
      <c r="F784" s="248"/>
      <c r="G784" s="207"/>
      <c r="H784" s="209"/>
      <c r="I784" s="209"/>
      <c r="J784" s="209"/>
      <c r="K784" s="208" t="str">
        <f>IF(Errors!$I784=0,SourceData!$B$42,VLOOKUP(Errors!$I784,SourceData!$A$2:$B$40,2,FALSE))</f>
        <v>Please select ERROR CODE column "I"</v>
      </c>
      <c r="L784" s="207" t="str">
        <f>IF(Errors!$I784=0,
    'List of Error Codes'!$E$29,
    IFERROR(VLOOKUP(Errors!$I784, 'List of Error Codes'!D783:I813, 6, FALSE), 'List of Error Codes'!$E$29)
)</f>
        <v>Please select ERROR CODE column "I"</v>
      </c>
      <c r="M784" s="209"/>
      <c r="N784" s="209"/>
      <c r="O784" s="209"/>
      <c r="P784" s="209"/>
      <c r="Q784" s="209"/>
      <c r="R784" s="217"/>
      <c r="S784" s="217"/>
      <c r="T784" s="217"/>
      <c r="U784" s="199"/>
      <c r="V784" s="200"/>
      <c r="W784" s="200"/>
      <c r="X784" s="200"/>
      <c r="Y784" s="200"/>
      <c r="Z784" s="200"/>
      <c r="AA784" s="201"/>
      <c r="AB784" s="200"/>
      <c r="AC784" s="200"/>
    </row>
    <row r="785" ht="15.0" customHeight="1">
      <c r="A785" s="210">
        <f t="shared" si="1"/>
        <v>783</v>
      </c>
      <c r="B785" s="217"/>
      <c r="C785" s="217" t="str">
        <f>IFERROR(VLOOKUP(B785, SourceData!$U$3:$V$190, 2, FALSE), "")</f>
        <v/>
      </c>
      <c r="D785" s="240"/>
      <c r="E785" s="241"/>
      <c r="F785" s="248"/>
      <c r="G785" s="207"/>
      <c r="H785" s="209"/>
      <c r="I785" s="209"/>
      <c r="J785" s="209"/>
      <c r="K785" s="208" t="str">
        <f>IF(Errors!$I785=0,SourceData!$B$42,VLOOKUP(Errors!$I785,SourceData!$A$2:$B$40,2,FALSE))</f>
        <v>Please select ERROR CODE column "I"</v>
      </c>
      <c r="L785" s="207" t="str">
        <f>IF(Errors!$I785=0,
    'List of Error Codes'!$E$29,
    IFERROR(VLOOKUP(Errors!$I785, 'List of Error Codes'!D784:I814, 6, FALSE), 'List of Error Codes'!$E$29)
)</f>
        <v>Please select ERROR CODE column "I"</v>
      </c>
      <c r="M785" s="209"/>
      <c r="N785" s="209"/>
      <c r="O785" s="209"/>
      <c r="P785" s="209"/>
      <c r="Q785" s="209"/>
      <c r="R785" s="217"/>
      <c r="S785" s="217"/>
      <c r="T785" s="217"/>
      <c r="U785" s="199"/>
      <c r="V785" s="200"/>
      <c r="W785" s="200"/>
      <c r="X785" s="200"/>
      <c r="Y785" s="200"/>
      <c r="Z785" s="200"/>
      <c r="AA785" s="201"/>
      <c r="AB785" s="200"/>
      <c r="AC785" s="200"/>
    </row>
    <row r="786" ht="15.0" customHeight="1">
      <c r="A786" s="210">
        <f t="shared" si="1"/>
        <v>784</v>
      </c>
      <c r="B786" s="217"/>
      <c r="C786" s="217" t="str">
        <f>IFERROR(VLOOKUP(B786, SourceData!$U$3:$V$190, 2, FALSE), "")</f>
        <v/>
      </c>
      <c r="D786" s="240"/>
      <c r="E786" s="241"/>
      <c r="F786" s="248"/>
      <c r="G786" s="207"/>
      <c r="H786" s="209"/>
      <c r="I786" s="209"/>
      <c r="J786" s="209"/>
      <c r="K786" s="208" t="str">
        <f>IF(Errors!$I786=0,SourceData!$B$42,VLOOKUP(Errors!$I786,SourceData!$A$2:$B$40,2,FALSE))</f>
        <v>Please select ERROR CODE column "I"</v>
      </c>
      <c r="L786" s="207" t="str">
        <f>IF(Errors!$I786=0,
    'List of Error Codes'!$E$29,
    IFERROR(VLOOKUP(Errors!$I786, 'List of Error Codes'!D785:I815, 6, FALSE), 'List of Error Codes'!$E$29)
)</f>
        <v>Please select ERROR CODE column "I"</v>
      </c>
      <c r="M786" s="209"/>
      <c r="N786" s="209"/>
      <c r="O786" s="209"/>
      <c r="P786" s="209"/>
      <c r="Q786" s="209"/>
      <c r="R786" s="217"/>
      <c r="S786" s="217"/>
      <c r="T786" s="217"/>
      <c r="U786" s="199"/>
      <c r="V786" s="200"/>
      <c r="W786" s="200"/>
      <c r="X786" s="200"/>
      <c r="Y786" s="200"/>
      <c r="Z786" s="200"/>
      <c r="AA786" s="201"/>
      <c r="AB786" s="200"/>
      <c r="AC786" s="200"/>
    </row>
    <row r="787" ht="15.0" customHeight="1">
      <c r="A787" s="210">
        <f t="shared" si="1"/>
        <v>785</v>
      </c>
      <c r="B787" s="217"/>
      <c r="C787" s="217" t="str">
        <f>IFERROR(VLOOKUP(B787, SourceData!$U$3:$V$190, 2, FALSE), "")</f>
        <v/>
      </c>
      <c r="D787" s="240"/>
      <c r="E787" s="241"/>
      <c r="F787" s="248"/>
      <c r="G787" s="207"/>
      <c r="H787" s="209"/>
      <c r="I787" s="209"/>
      <c r="J787" s="209"/>
      <c r="K787" s="208" t="str">
        <f>IF(Errors!$I787=0,SourceData!$B$42,VLOOKUP(Errors!$I787,SourceData!$A$2:$B$40,2,FALSE))</f>
        <v>Please select ERROR CODE column "I"</v>
      </c>
      <c r="L787" s="207" t="str">
        <f>IF(Errors!$I787=0,
    'List of Error Codes'!$E$29,
    IFERROR(VLOOKUP(Errors!$I787, 'List of Error Codes'!D786:I816, 6, FALSE), 'List of Error Codes'!$E$29)
)</f>
        <v>Please select ERROR CODE column "I"</v>
      </c>
      <c r="M787" s="209"/>
      <c r="N787" s="209"/>
      <c r="O787" s="209"/>
      <c r="P787" s="209"/>
      <c r="Q787" s="209"/>
      <c r="R787" s="217"/>
      <c r="S787" s="217"/>
      <c r="T787" s="217"/>
      <c r="U787" s="199"/>
      <c r="V787" s="200"/>
      <c r="W787" s="200"/>
      <c r="X787" s="200"/>
      <c r="Y787" s="200"/>
      <c r="Z787" s="200"/>
      <c r="AA787" s="201"/>
      <c r="AB787" s="200"/>
      <c r="AC787" s="200"/>
    </row>
    <row r="788" ht="15.0" customHeight="1">
      <c r="A788" s="210">
        <f t="shared" si="1"/>
        <v>786</v>
      </c>
      <c r="B788" s="217"/>
      <c r="C788" s="217" t="str">
        <f>IFERROR(VLOOKUP(B788, SourceData!$U$3:$V$190, 2, FALSE), "")</f>
        <v/>
      </c>
      <c r="D788" s="240"/>
      <c r="E788" s="241"/>
      <c r="F788" s="248"/>
      <c r="G788" s="207"/>
      <c r="H788" s="209"/>
      <c r="I788" s="209"/>
      <c r="J788" s="209"/>
      <c r="K788" s="208" t="str">
        <f>IF(Errors!$I788=0,SourceData!$B$42,VLOOKUP(Errors!$I788,SourceData!$A$2:$B$40,2,FALSE))</f>
        <v>Please select ERROR CODE column "I"</v>
      </c>
      <c r="L788" s="207" t="str">
        <f>IF(Errors!$I788=0,
    'List of Error Codes'!$E$29,
    IFERROR(VLOOKUP(Errors!$I788, 'List of Error Codes'!D787:I817, 6, FALSE), 'List of Error Codes'!$E$29)
)</f>
        <v>Please select ERROR CODE column "I"</v>
      </c>
      <c r="M788" s="209"/>
      <c r="N788" s="209"/>
      <c r="O788" s="209"/>
      <c r="P788" s="209"/>
      <c r="Q788" s="209"/>
      <c r="R788" s="217"/>
      <c r="S788" s="217"/>
      <c r="T788" s="217"/>
      <c r="U788" s="199"/>
      <c r="V788" s="200"/>
      <c r="W788" s="200"/>
      <c r="X788" s="200"/>
      <c r="Y788" s="200"/>
      <c r="Z788" s="200"/>
      <c r="AA788" s="201"/>
      <c r="AB788" s="200"/>
      <c r="AC788" s="200"/>
    </row>
    <row r="789" ht="15.0" customHeight="1">
      <c r="A789" s="210">
        <f t="shared" si="1"/>
        <v>787</v>
      </c>
      <c r="B789" s="217"/>
      <c r="C789" s="217" t="str">
        <f>IFERROR(VLOOKUP(B789, SourceData!$U$3:$V$190, 2, FALSE), "")</f>
        <v/>
      </c>
      <c r="D789" s="240"/>
      <c r="E789" s="241"/>
      <c r="F789" s="248"/>
      <c r="G789" s="207"/>
      <c r="H789" s="209"/>
      <c r="I789" s="209"/>
      <c r="J789" s="209"/>
      <c r="K789" s="208" t="str">
        <f>IF(Errors!$I789=0,SourceData!$B$42,VLOOKUP(Errors!$I789,SourceData!$A$2:$B$40,2,FALSE))</f>
        <v>Please select ERROR CODE column "I"</v>
      </c>
      <c r="L789" s="207" t="str">
        <f>IF(Errors!$I789=0,
    'List of Error Codes'!$E$29,
    IFERROR(VLOOKUP(Errors!$I789, 'List of Error Codes'!D788:I818, 6, FALSE), 'List of Error Codes'!$E$29)
)</f>
        <v>Please select ERROR CODE column "I"</v>
      </c>
      <c r="M789" s="209"/>
      <c r="N789" s="209"/>
      <c r="O789" s="209"/>
      <c r="P789" s="209"/>
      <c r="Q789" s="209"/>
      <c r="R789" s="217"/>
      <c r="S789" s="217"/>
      <c r="T789" s="217"/>
      <c r="U789" s="199"/>
      <c r="V789" s="200"/>
      <c r="W789" s="200"/>
      <c r="X789" s="200"/>
      <c r="Y789" s="200"/>
      <c r="Z789" s="200"/>
      <c r="AA789" s="201"/>
      <c r="AB789" s="200"/>
      <c r="AC789" s="200"/>
    </row>
    <row r="790" ht="15.0" customHeight="1">
      <c r="A790" s="210">
        <f t="shared" si="1"/>
        <v>788</v>
      </c>
      <c r="B790" s="217"/>
      <c r="C790" s="217" t="str">
        <f>IFERROR(VLOOKUP(B790, SourceData!$U$3:$V$190, 2, FALSE), "")</f>
        <v/>
      </c>
      <c r="D790" s="240"/>
      <c r="E790" s="241"/>
      <c r="F790" s="248"/>
      <c r="G790" s="207"/>
      <c r="H790" s="209"/>
      <c r="I790" s="209"/>
      <c r="J790" s="209"/>
      <c r="K790" s="208" t="str">
        <f>IF(Errors!$I790=0,SourceData!$B$42,VLOOKUP(Errors!$I790,SourceData!$A$2:$B$40,2,FALSE))</f>
        <v>Please select ERROR CODE column "I"</v>
      </c>
      <c r="L790" s="207" t="str">
        <f>IF(Errors!$I790=0,
    'List of Error Codes'!$E$29,
    IFERROR(VLOOKUP(Errors!$I790, 'List of Error Codes'!D789:I819, 6, FALSE), 'List of Error Codes'!$E$29)
)</f>
        <v>Please select ERROR CODE column "I"</v>
      </c>
      <c r="M790" s="209"/>
      <c r="N790" s="209"/>
      <c r="O790" s="209"/>
      <c r="P790" s="209"/>
      <c r="Q790" s="209"/>
      <c r="R790" s="217"/>
      <c r="S790" s="217"/>
      <c r="T790" s="217"/>
      <c r="U790" s="199"/>
      <c r="V790" s="200"/>
      <c r="W790" s="200"/>
      <c r="X790" s="200"/>
      <c r="Y790" s="200"/>
      <c r="Z790" s="200"/>
      <c r="AA790" s="201"/>
      <c r="AB790" s="200"/>
      <c r="AC790" s="200"/>
    </row>
    <row r="791" ht="15.0" customHeight="1">
      <c r="A791" s="210">
        <f t="shared" si="1"/>
        <v>789</v>
      </c>
      <c r="B791" s="217"/>
      <c r="C791" s="217" t="str">
        <f>IFERROR(VLOOKUP(B791, SourceData!$U$3:$V$190, 2, FALSE), "")</f>
        <v/>
      </c>
      <c r="D791" s="240"/>
      <c r="E791" s="241"/>
      <c r="F791" s="248"/>
      <c r="G791" s="207"/>
      <c r="H791" s="209"/>
      <c r="I791" s="209"/>
      <c r="J791" s="209"/>
      <c r="K791" s="208" t="str">
        <f>IF(Errors!$I791=0,SourceData!$B$42,VLOOKUP(Errors!$I791,SourceData!$A$2:$B$40,2,FALSE))</f>
        <v>Please select ERROR CODE column "I"</v>
      </c>
      <c r="L791" s="207" t="str">
        <f>IF(Errors!$I791=0,
    'List of Error Codes'!$E$29,
    IFERROR(VLOOKUP(Errors!$I791, 'List of Error Codes'!D790:I820, 6, FALSE), 'List of Error Codes'!$E$29)
)</f>
        <v>Please select ERROR CODE column "I"</v>
      </c>
      <c r="M791" s="209"/>
      <c r="N791" s="209"/>
      <c r="O791" s="209"/>
      <c r="P791" s="209"/>
      <c r="Q791" s="209"/>
      <c r="R791" s="217"/>
      <c r="S791" s="217"/>
      <c r="T791" s="217"/>
      <c r="U791" s="199"/>
      <c r="V791" s="200"/>
      <c r="W791" s="200"/>
      <c r="X791" s="200"/>
      <c r="Y791" s="200"/>
      <c r="Z791" s="200"/>
      <c r="AA791" s="201"/>
      <c r="AB791" s="200"/>
      <c r="AC791" s="200"/>
    </row>
    <row r="792" ht="15.0" customHeight="1">
      <c r="A792" s="210">
        <f t="shared" si="1"/>
        <v>790</v>
      </c>
      <c r="B792" s="217"/>
      <c r="C792" s="217" t="str">
        <f>IFERROR(VLOOKUP(B792, SourceData!$U$3:$V$190, 2, FALSE), "")</f>
        <v/>
      </c>
      <c r="D792" s="240"/>
      <c r="E792" s="241"/>
      <c r="F792" s="248"/>
      <c r="G792" s="207"/>
      <c r="H792" s="209"/>
      <c r="I792" s="209"/>
      <c r="J792" s="209"/>
      <c r="K792" s="208" t="str">
        <f>IF(Errors!$I792=0,SourceData!$B$42,VLOOKUP(Errors!$I792,SourceData!$A$2:$B$40,2,FALSE))</f>
        <v>Please select ERROR CODE column "I"</v>
      </c>
      <c r="L792" s="207" t="str">
        <f>IF(Errors!$I792=0,
    'List of Error Codes'!$E$29,
    IFERROR(VLOOKUP(Errors!$I792, 'List of Error Codes'!D791:I821, 6, FALSE), 'List of Error Codes'!$E$29)
)</f>
        <v>Please select ERROR CODE column "I"</v>
      </c>
      <c r="M792" s="209"/>
      <c r="N792" s="209"/>
      <c r="O792" s="209"/>
      <c r="P792" s="209"/>
      <c r="Q792" s="209"/>
      <c r="R792" s="217"/>
      <c r="S792" s="217"/>
      <c r="T792" s="217"/>
      <c r="U792" s="199"/>
      <c r="V792" s="200"/>
      <c r="W792" s="200"/>
      <c r="X792" s="200"/>
      <c r="Y792" s="200"/>
      <c r="Z792" s="200"/>
      <c r="AA792" s="201"/>
      <c r="AB792" s="200"/>
      <c r="AC792" s="200"/>
    </row>
    <row r="793" ht="15.0" customHeight="1">
      <c r="A793" s="210">
        <f t="shared" si="1"/>
        <v>791</v>
      </c>
      <c r="B793" s="217"/>
      <c r="C793" s="217" t="str">
        <f>IFERROR(VLOOKUP(B793, SourceData!$U$3:$V$190, 2, FALSE), "")</f>
        <v/>
      </c>
      <c r="D793" s="240"/>
      <c r="E793" s="241"/>
      <c r="F793" s="248"/>
      <c r="G793" s="207"/>
      <c r="H793" s="209"/>
      <c r="I793" s="209"/>
      <c r="J793" s="209"/>
      <c r="K793" s="208" t="str">
        <f>IF(Errors!$I793=0,SourceData!$B$42,VLOOKUP(Errors!$I793,SourceData!$A$2:$B$40,2,FALSE))</f>
        <v>Please select ERROR CODE column "I"</v>
      </c>
      <c r="L793" s="207" t="str">
        <f>IF(Errors!$I793=0,
    'List of Error Codes'!$E$29,
    IFERROR(VLOOKUP(Errors!$I793, 'List of Error Codes'!D792:I822, 6, FALSE), 'List of Error Codes'!$E$29)
)</f>
        <v>Please select ERROR CODE column "I"</v>
      </c>
      <c r="M793" s="209"/>
      <c r="N793" s="209"/>
      <c r="O793" s="209"/>
      <c r="P793" s="209"/>
      <c r="Q793" s="209"/>
      <c r="R793" s="217"/>
      <c r="S793" s="217"/>
      <c r="T793" s="217"/>
      <c r="U793" s="199"/>
      <c r="V793" s="200"/>
      <c r="W793" s="200"/>
      <c r="X793" s="200"/>
      <c r="Y793" s="200"/>
      <c r="Z793" s="200"/>
      <c r="AA793" s="201"/>
      <c r="AB793" s="200"/>
      <c r="AC793" s="200"/>
    </row>
    <row r="794" ht="15.0" customHeight="1">
      <c r="A794" s="210">
        <f t="shared" si="1"/>
        <v>792</v>
      </c>
      <c r="B794" s="217"/>
      <c r="C794" s="217" t="str">
        <f>IFERROR(VLOOKUP(B794, SourceData!$U$3:$V$190, 2, FALSE), "")</f>
        <v/>
      </c>
      <c r="D794" s="240"/>
      <c r="E794" s="241"/>
      <c r="F794" s="248"/>
      <c r="G794" s="207"/>
      <c r="H794" s="209"/>
      <c r="I794" s="209"/>
      <c r="J794" s="209"/>
      <c r="K794" s="208" t="str">
        <f>IF(Errors!$I794=0,SourceData!$B$42,VLOOKUP(Errors!$I794,SourceData!$A$2:$B$40,2,FALSE))</f>
        <v>Please select ERROR CODE column "I"</v>
      </c>
      <c r="L794" s="207" t="str">
        <f>IF(Errors!$I794=0,
    'List of Error Codes'!$E$29,
    IFERROR(VLOOKUP(Errors!$I794, 'List of Error Codes'!D793:I823, 6, FALSE), 'List of Error Codes'!$E$29)
)</f>
        <v>Please select ERROR CODE column "I"</v>
      </c>
      <c r="M794" s="209"/>
      <c r="N794" s="209"/>
      <c r="O794" s="209"/>
      <c r="P794" s="209"/>
      <c r="Q794" s="209"/>
      <c r="R794" s="217"/>
      <c r="S794" s="217"/>
      <c r="T794" s="217"/>
      <c r="U794" s="199"/>
      <c r="V794" s="200"/>
      <c r="W794" s="200"/>
      <c r="X794" s="200"/>
      <c r="Y794" s="200"/>
      <c r="Z794" s="200"/>
      <c r="AA794" s="201"/>
      <c r="AB794" s="200"/>
      <c r="AC794" s="200"/>
    </row>
    <row r="795" ht="15.0" customHeight="1">
      <c r="A795" s="210">
        <f t="shared" si="1"/>
        <v>793</v>
      </c>
      <c r="B795" s="217"/>
      <c r="C795" s="217" t="str">
        <f>IFERROR(VLOOKUP(B795, SourceData!$U$3:$V$190, 2, FALSE), "")</f>
        <v/>
      </c>
      <c r="D795" s="240"/>
      <c r="E795" s="241"/>
      <c r="F795" s="248"/>
      <c r="G795" s="207"/>
      <c r="H795" s="209"/>
      <c r="I795" s="209"/>
      <c r="J795" s="209"/>
      <c r="K795" s="208" t="str">
        <f>IF(Errors!$I795=0,SourceData!$B$42,VLOOKUP(Errors!$I795,SourceData!$A$2:$B$40,2,FALSE))</f>
        <v>Please select ERROR CODE column "I"</v>
      </c>
      <c r="L795" s="207" t="str">
        <f>IF(Errors!$I795=0,
    'List of Error Codes'!$E$29,
    IFERROR(VLOOKUP(Errors!$I795, 'List of Error Codes'!D794:I824, 6, FALSE), 'List of Error Codes'!$E$29)
)</f>
        <v>Please select ERROR CODE column "I"</v>
      </c>
      <c r="M795" s="209"/>
      <c r="N795" s="209"/>
      <c r="O795" s="209"/>
      <c r="P795" s="209"/>
      <c r="Q795" s="209"/>
      <c r="R795" s="217"/>
      <c r="S795" s="217"/>
      <c r="T795" s="217"/>
      <c r="U795" s="199"/>
      <c r="V795" s="200"/>
      <c r="W795" s="200"/>
      <c r="X795" s="200"/>
      <c r="Y795" s="200"/>
      <c r="Z795" s="200"/>
      <c r="AA795" s="201"/>
      <c r="AB795" s="200"/>
      <c r="AC795" s="200"/>
    </row>
    <row r="796" ht="15.0" customHeight="1">
      <c r="A796" s="210">
        <f t="shared" si="1"/>
        <v>794</v>
      </c>
      <c r="B796" s="217"/>
      <c r="C796" s="217" t="str">
        <f>IFERROR(VLOOKUP(B796, SourceData!$U$3:$V$190, 2, FALSE), "")</f>
        <v/>
      </c>
      <c r="D796" s="240"/>
      <c r="E796" s="241"/>
      <c r="F796" s="248"/>
      <c r="G796" s="207"/>
      <c r="H796" s="209"/>
      <c r="I796" s="209"/>
      <c r="J796" s="209"/>
      <c r="K796" s="208" t="str">
        <f>IF(Errors!$I796=0,SourceData!$B$42,VLOOKUP(Errors!$I796,SourceData!$A$2:$B$40,2,FALSE))</f>
        <v>Please select ERROR CODE column "I"</v>
      </c>
      <c r="L796" s="207" t="str">
        <f>IF(Errors!$I796=0,
    'List of Error Codes'!$E$29,
    IFERROR(VLOOKUP(Errors!$I796, 'List of Error Codes'!D795:I825, 6, FALSE), 'List of Error Codes'!$E$29)
)</f>
        <v>Please select ERROR CODE column "I"</v>
      </c>
      <c r="M796" s="209"/>
      <c r="N796" s="209"/>
      <c r="O796" s="209"/>
      <c r="P796" s="209"/>
      <c r="Q796" s="209"/>
      <c r="R796" s="217"/>
      <c r="S796" s="217"/>
      <c r="T796" s="217"/>
      <c r="U796" s="199"/>
      <c r="V796" s="200"/>
      <c r="W796" s="200"/>
      <c r="X796" s="200"/>
      <c r="Y796" s="200"/>
      <c r="Z796" s="200"/>
      <c r="AA796" s="201"/>
      <c r="AB796" s="200"/>
      <c r="AC796" s="200"/>
    </row>
    <row r="797" ht="15.0" customHeight="1">
      <c r="A797" s="210">
        <f t="shared" si="1"/>
        <v>795</v>
      </c>
      <c r="B797" s="217"/>
      <c r="C797" s="217" t="str">
        <f>IFERROR(VLOOKUP(B797, SourceData!$U$3:$V$190, 2, FALSE), "")</f>
        <v/>
      </c>
      <c r="D797" s="240"/>
      <c r="E797" s="241"/>
      <c r="F797" s="248"/>
      <c r="G797" s="207"/>
      <c r="H797" s="209"/>
      <c r="I797" s="209"/>
      <c r="J797" s="209"/>
      <c r="K797" s="208" t="str">
        <f>IF(Errors!$I797=0,SourceData!$B$42,VLOOKUP(Errors!$I797,SourceData!$A$2:$B$40,2,FALSE))</f>
        <v>Please select ERROR CODE column "I"</v>
      </c>
      <c r="L797" s="207" t="str">
        <f>IF(Errors!$I797=0,
    'List of Error Codes'!$E$29,
    IFERROR(VLOOKUP(Errors!$I797, 'List of Error Codes'!D796:I826, 6, FALSE), 'List of Error Codes'!$E$29)
)</f>
        <v>Please select ERROR CODE column "I"</v>
      </c>
      <c r="M797" s="209"/>
      <c r="N797" s="209"/>
      <c r="O797" s="209"/>
      <c r="P797" s="209"/>
      <c r="Q797" s="209"/>
      <c r="R797" s="217"/>
      <c r="S797" s="217"/>
      <c r="T797" s="217"/>
      <c r="U797" s="199"/>
      <c r="V797" s="200"/>
      <c r="W797" s="200"/>
      <c r="X797" s="200"/>
      <c r="Y797" s="200"/>
      <c r="Z797" s="200"/>
      <c r="AA797" s="201"/>
      <c r="AB797" s="200"/>
      <c r="AC797" s="200"/>
    </row>
    <row r="798" ht="15.0" customHeight="1">
      <c r="A798" s="210">
        <f t="shared" si="1"/>
        <v>796</v>
      </c>
      <c r="B798" s="217"/>
      <c r="C798" s="217" t="str">
        <f>IFERROR(VLOOKUP(B798, SourceData!$U$3:$V$190, 2, FALSE), "")</f>
        <v/>
      </c>
      <c r="D798" s="240"/>
      <c r="E798" s="241"/>
      <c r="F798" s="248"/>
      <c r="G798" s="207"/>
      <c r="H798" s="209"/>
      <c r="I798" s="209"/>
      <c r="J798" s="209"/>
      <c r="K798" s="208" t="str">
        <f>IF(Errors!$I798=0,SourceData!$B$42,VLOOKUP(Errors!$I798,SourceData!$A$2:$B$40,2,FALSE))</f>
        <v>Please select ERROR CODE column "I"</v>
      </c>
      <c r="L798" s="207" t="str">
        <f>IF(Errors!$I798=0,
    'List of Error Codes'!$E$29,
    IFERROR(VLOOKUP(Errors!$I798, 'List of Error Codes'!D797:I827, 6, FALSE), 'List of Error Codes'!$E$29)
)</f>
        <v>Please select ERROR CODE column "I"</v>
      </c>
      <c r="M798" s="209"/>
      <c r="N798" s="209"/>
      <c r="O798" s="209"/>
      <c r="P798" s="209"/>
      <c r="Q798" s="209"/>
      <c r="R798" s="217"/>
      <c r="S798" s="217"/>
      <c r="T798" s="217"/>
      <c r="U798" s="199"/>
      <c r="V798" s="200"/>
      <c r="W798" s="200"/>
      <c r="X798" s="200"/>
      <c r="Y798" s="200"/>
      <c r="Z798" s="200"/>
      <c r="AA798" s="201"/>
      <c r="AB798" s="200"/>
      <c r="AC798" s="200"/>
    </row>
    <row r="799" ht="15.0" customHeight="1">
      <c r="A799" s="210">
        <f t="shared" si="1"/>
        <v>797</v>
      </c>
      <c r="B799" s="217"/>
      <c r="C799" s="217" t="str">
        <f>IFERROR(VLOOKUP(B799, SourceData!$U$3:$V$190, 2, FALSE), "")</f>
        <v/>
      </c>
      <c r="D799" s="240"/>
      <c r="E799" s="241"/>
      <c r="F799" s="248"/>
      <c r="G799" s="207"/>
      <c r="H799" s="209"/>
      <c r="I799" s="209"/>
      <c r="J799" s="209"/>
      <c r="K799" s="208" t="str">
        <f>IF(Errors!$I799=0,SourceData!$B$42,VLOOKUP(Errors!$I799,SourceData!$A$2:$B$40,2,FALSE))</f>
        <v>Please select ERROR CODE column "I"</v>
      </c>
      <c r="L799" s="207" t="str">
        <f>IF(Errors!$I799=0,
    'List of Error Codes'!$E$29,
    IFERROR(VLOOKUP(Errors!$I799, 'List of Error Codes'!D798:I828, 6, FALSE), 'List of Error Codes'!$E$29)
)</f>
        <v>Please select ERROR CODE column "I"</v>
      </c>
      <c r="M799" s="209"/>
      <c r="N799" s="209"/>
      <c r="O799" s="209"/>
      <c r="P799" s="209"/>
      <c r="Q799" s="209"/>
      <c r="R799" s="217"/>
      <c r="S799" s="217"/>
      <c r="T799" s="217"/>
      <c r="U799" s="199"/>
      <c r="V799" s="200"/>
      <c r="W799" s="200"/>
      <c r="X799" s="200"/>
      <c r="Y799" s="200"/>
      <c r="Z799" s="200"/>
      <c r="AA799" s="201"/>
      <c r="AB799" s="200"/>
      <c r="AC799" s="200"/>
    </row>
    <row r="800" ht="15.0" customHeight="1">
      <c r="A800" s="210">
        <f t="shared" si="1"/>
        <v>798</v>
      </c>
      <c r="B800" s="217"/>
      <c r="C800" s="217" t="str">
        <f>IFERROR(VLOOKUP(B800, SourceData!$U$3:$V$190, 2, FALSE), "")</f>
        <v/>
      </c>
      <c r="D800" s="240"/>
      <c r="E800" s="241"/>
      <c r="F800" s="248"/>
      <c r="G800" s="207"/>
      <c r="H800" s="209"/>
      <c r="I800" s="209"/>
      <c r="J800" s="209"/>
      <c r="K800" s="208" t="str">
        <f>IF(Errors!$I800=0,SourceData!$B$42,VLOOKUP(Errors!$I800,SourceData!$A$2:$B$40,2,FALSE))</f>
        <v>Please select ERROR CODE column "I"</v>
      </c>
      <c r="L800" s="207" t="str">
        <f>IF(Errors!$I800=0,
    'List of Error Codes'!$E$29,
    IFERROR(VLOOKUP(Errors!$I800, 'List of Error Codes'!D799:I829, 6, FALSE), 'List of Error Codes'!$E$29)
)</f>
        <v>Please select ERROR CODE column "I"</v>
      </c>
      <c r="M800" s="209"/>
      <c r="N800" s="209"/>
      <c r="O800" s="209"/>
      <c r="P800" s="209"/>
      <c r="Q800" s="209"/>
      <c r="R800" s="217"/>
      <c r="S800" s="217"/>
      <c r="T800" s="217"/>
      <c r="U800" s="199"/>
      <c r="V800" s="200"/>
      <c r="W800" s="200"/>
      <c r="X800" s="200"/>
      <c r="Y800" s="200"/>
      <c r="Z800" s="200"/>
      <c r="AA800" s="201"/>
      <c r="AB800" s="200"/>
      <c r="AC800" s="200"/>
    </row>
    <row r="801" ht="15.0" customHeight="1">
      <c r="A801" s="210">
        <f t="shared" si="1"/>
        <v>799</v>
      </c>
      <c r="B801" s="217"/>
      <c r="C801" s="217" t="str">
        <f>IFERROR(VLOOKUP(B801, SourceData!$U$3:$V$190, 2, FALSE), "")</f>
        <v/>
      </c>
      <c r="D801" s="240"/>
      <c r="E801" s="241"/>
      <c r="F801" s="248"/>
      <c r="G801" s="207"/>
      <c r="H801" s="209"/>
      <c r="I801" s="209"/>
      <c r="J801" s="209"/>
      <c r="K801" s="208" t="str">
        <f>IF(Errors!$I801=0,SourceData!$B$42,VLOOKUP(Errors!$I801,SourceData!$A$2:$B$40,2,FALSE))</f>
        <v>Please select ERROR CODE column "I"</v>
      </c>
      <c r="L801" s="207" t="str">
        <f>IF(Errors!$I801=0,
    'List of Error Codes'!$E$29,
    IFERROR(VLOOKUP(Errors!$I801, 'List of Error Codes'!D800:I830, 6, FALSE), 'List of Error Codes'!$E$29)
)</f>
        <v>Please select ERROR CODE column "I"</v>
      </c>
      <c r="M801" s="209"/>
      <c r="N801" s="209"/>
      <c r="O801" s="209"/>
      <c r="P801" s="209"/>
      <c r="Q801" s="209"/>
      <c r="R801" s="217"/>
      <c r="S801" s="217"/>
      <c r="T801" s="217"/>
      <c r="U801" s="199"/>
      <c r="V801" s="200"/>
      <c r="W801" s="200"/>
      <c r="X801" s="200"/>
      <c r="Y801" s="200"/>
      <c r="Z801" s="200"/>
      <c r="AA801" s="201"/>
      <c r="AB801" s="200"/>
      <c r="AC801" s="200"/>
    </row>
    <row r="802" ht="15.0" customHeight="1">
      <c r="A802" s="210">
        <f t="shared" si="1"/>
        <v>800</v>
      </c>
      <c r="B802" s="217"/>
      <c r="C802" s="217" t="str">
        <f>IFERROR(VLOOKUP(B802, SourceData!$U$3:$V$190, 2, FALSE), "")</f>
        <v/>
      </c>
      <c r="D802" s="240"/>
      <c r="E802" s="241"/>
      <c r="F802" s="248"/>
      <c r="G802" s="207"/>
      <c r="H802" s="209"/>
      <c r="I802" s="209"/>
      <c r="J802" s="209"/>
      <c r="K802" s="208" t="str">
        <f>IF(Errors!$I802=0,SourceData!$B$42,VLOOKUP(Errors!$I802,SourceData!$A$2:$B$40,2,FALSE))</f>
        <v>Please select ERROR CODE column "I"</v>
      </c>
      <c r="L802" s="207" t="str">
        <f>IF(Errors!$I802=0,
    'List of Error Codes'!$E$29,
    IFERROR(VLOOKUP(Errors!$I802, 'List of Error Codes'!D801:I831, 6, FALSE), 'List of Error Codes'!$E$29)
)</f>
        <v>Please select ERROR CODE column "I"</v>
      </c>
      <c r="M802" s="209"/>
      <c r="N802" s="209"/>
      <c r="O802" s="209"/>
      <c r="P802" s="209"/>
      <c r="Q802" s="209"/>
      <c r="R802" s="217"/>
      <c r="S802" s="217"/>
      <c r="T802" s="217"/>
      <c r="U802" s="199"/>
      <c r="V802" s="200"/>
      <c r="W802" s="200"/>
      <c r="X802" s="200"/>
      <c r="Y802" s="200"/>
      <c r="Z802" s="200"/>
      <c r="AA802" s="201"/>
      <c r="AB802" s="200"/>
      <c r="AC802" s="200"/>
    </row>
    <row r="803" ht="15.0" customHeight="1">
      <c r="A803" s="210">
        <f t="shared" si="1"/>
        <v>801</v>
      </c>
      <c r="B803" s="217"/>
      <c r="C803" s="217" t="str">
        <f>IFERROR(VLOOKUP(B803, SourceData!$U$3:$V$190, 2, FALSE), "")</f>
        <v/>
      </c>
      <c r="D803" s="240"/>
      <c r="E803" s="241"/>
      <c r="F803" s="248"/>
      <c r="G803" s="207"/>
      <c r="H803" s="209"/>
      <c r="I803" s="209"/>
      <c r="J803" s="209"/>
      <c r="K803" s="208" t="str">
        <f>IF(Errors!$I803=0,SourceData!$B$42,VLOOKUP(Errors!$I803,SourceData!$A$2:$B$40,2,FALSE))</f>
        <v>Please select ERROR CODE column "I"</v>
      </c>
      <c r="L803" s="207" t="str">
        <f>IF(Errors!$I803=0,
    'List of Error Codes'!$E$29,
    IFERROR(VLOOKUP(Errors!$I803, 'List of Error Codes'!D802:I832, 6, FALSE), 'List of Error Codes'!$E$29)
)</f>
        <v>Please select ERROR CODE column "I"</v>
      </c>
      <c r="M803" s="209"/>
      <c r="N803" s="209"/>
      <c r="O803" s="209"/>
      <c r="P803" s="209"/>
      <c r="Q803" s="209"/>
      <c r="R803" s="217"/>
      <c r="S803" s="217"/>
      <c r="T803" s="217"/>
      <c r="U803" s="199"/>
      <c r="V803" s="200"/>
      <c r="W803" s="200"/>
      <c r="X803" s="200"/>
      <c r="Y803" s="200"/>
      <c r="Z803" s="200"/>
      <c r="AA803" s="201"/>
      <c r="AB803" s="200"/>
      <c r="AC803" s="200"/>
    </row>
    <row r="804" ht="15.0" customHeight="1">
      <c r="A804" s="210">
        <f t="shared" si="1"/>
        <v>802</v>
      </c>
      <c r="B804" s="217"/>
      <c r="C804" s="217" t="str">
        <f>IFERROR(VLOOKUP(B804, SourceData!$U$3:$V$190, 2, FALSE), "")</f>
        <v/>
      </c>
      <c r="D804" s="240"/>
      <c r="E804" s="241"/>
      <c r="F804" s="248"/>
      <c r="G804" s="207"/>
      <c r="H804" s="209"/>
      <c r="I804" s="209"/>
      <c r="J804" s="209"/>
      <c r="K804" s="208" t="str">
        <f>IF(Errors!$I804=0,SourceData!$B$42,VLOOKUP(Errors!$I804,SourceData!$A$2:$B$40,2,FALSE))</f>
        <v>Please select ERROR CODE column "I"</v>
      </c>
      <c r="L804" s="207" t="str">
        <f>IF(Errors!$I804=0,
    'List of Error Codes'!$E$29,
    IFERROR(VLOOKUP(Errors!$I804, 'List of Error Codes'!D803:I833, 6, FALSE), 'List of Error Codes'!$E$29)
)</f>
        <v>Please select ERROR CODE column "I"</v>
      </c>
      <c r="M804" s="209"/>
      <c r="N804" s="209"/>
      <c r="O804" s="209"/>
      <c r="P804" s="209"/>
      <c r="Q804" s="209"/>
      <c r="R804" s="217"/>
      <c r="S804" s="217"/>
      <c r="T804" s="217"/>
      <c r="U804" s="199"/>
      <c r="V804" s="200"/>
      <c r="W804" s="200"/>
      <c r="X804" s="200"/>
      <c r="Y804" s="200"/>
      <c r="Z804" s="200"/>
      <c r="AA804" s="201"/>
      <c r="AB804" s="200"/>
      <c r="AC804" s="200"/>
    </row>
    <row r="805" ht="15.0" customHeight="1">
      <c r="A805" s="210">
        <f t="shared" si="1"/>
        <v>803</v>
      </c>
      <c r="B805" s="217"/>
      <c r="C805" s="217" t="str">
        <f>IFERROR(VLOOKUP(B805, SourceData!$U$3:$V$190, 2, FALSE), "")</f>
        <v/>
      </c>
      <c r="D805" s="240"/>
      <c r="E805" s="241"/>
      <c r="F805" s="248"/>
      <c r="G805" s="207"/>
      <c r="H805" s="209"/>
      <c r="I805" s="209"/>
      <c r="J805" s="209"/>
      <c r="K805" s="208" t="str">
        <f>IF(Errors!$I805=0,SourceData!$B$42,VLOOKUP(Errors!$I805,SourceData!$A$2:$B$40,2,FALSE))</f>
        <v>Please select ERROR CODE column "I"</v>
      </c>
      <c r="L805" s="207" t="str">
        <f>IF(Errors!$I805=0,
    'List of Error Codes'!$E$29,
    IFERROR(VLOOKUP(Errors!$I805, 'List of Error Codes'!D804:I834, 6, FALSE), 'List of Error Codes'!$E$29)
)</f>
        <v>Please select ERROR CODE column "I"</v>
      </c>
      <c r="M805" s="209"/>
      <c r="N805" s="209"/>
      <c r="O805" s="209"/>
      <c r="P805" s="209"/>
      <c r="Q805" s="209"/>
      <c r="R805" s="217"/>
      <c r="S805" s="217"/>
      <c r="T805" s="217"/>
      <c r="U805" s="199"/>
      <c r="V805" s="200"/>
      <c r="W805" s="200"/>
      <c r="X805" s="200"/>
      <c r="Y805" s="200"/>
      <c r="Z805" s="200"/>
      <c r="AA805" s="201"/>
      <c r="AB805" s="200"/>
      <c r="AC805" s="200"/>
    </row>
    <row r="806" ht="15.0" customHeight="1">
      <c r="A806" s="210">
        <f t="shared" si="1"/>
        <v>804</v>
      </c>
      <c r="B806" s="217"/>
      <c r="C806" s="217" t="str">
        <f>IFERROR(VLOOKUP(B806, SourceData!$U$3:$V$190, 2, FALSE), "")</f>
        <v/>
      </c>
      <c r="D806" s="240"/>
      <c r="E806" s="241"/>
      <c r="F806" s="248"/>
      <c r="G806" s="207"/>
      <c r="H806" s="209"/>
      <c r="I806" s="209"/>
      <c r="J806" s="209"/>
      <c r="K806" s="208" t="str">
        <f>IF(Errors!$I806=0,SourceData!$B$42,VLOOKUP(Errors!$I806,SourceData!$A$2:$B$40,2,FALSE))</f>
        <v>Please select ERROR CODE column "I"</v>
      </c>
      <c r="L806" s="207" t="str">
        <f>IF(Errors!$I806=0,
    'List of Error Codes'!$E$29,
    IFERROR(VLOOKUP(Errors!$I806, 'List of Error Codes'!D805:I835, 6, FALSE), 'List of Error Codes'!$E$29)
)</f>
        <v>Please select ERROR CODE column "I"</v>
      </c>
      <c r="M806" s="209"/>
      <c r="N806" s="209"/>
      <c r="O806" s="209"/>
      <c r="P806" s="209"/>
      <c r="Q806" s="209"/>
      <c r="R806" s="217"/>
      <c r="S806" s="217"/>
      <c r="T806" s="217"/>
      <c r="U806" s="199"/>
      <c r="V806" s="200"/>
      <c r="W806" s="200"/>
      <c r="X806" s="200"/>
      <c r="Y806" s="200"/>
      <c r="Z806" s="200"/>
      <c r="AA806" s="201"/>
      <c r="AB806" s="200"/>
      <c r="AC806" s="200"/>
    </row>
    <row r="807" ht="15.0" customHeight="1">
      <c r="A807" s="210">
        <f t="shared" si="1"/>
        <v>805</v>
      </c>
      <c r="B807" s="217"/>
      <c r="C807" s="217" t="str">
        <f>IFERROR(VLOOKUP(B807, SourceData!$U$3:$V$190, 2, FALSE), "")</f>
        <v/>
      </c>
      <c r="D807" s="240"/>
      <c r="E807" s="241"/>
      <c r="F807" s="248"/>
      <c r="G807" s="207"/>
      <c r="H807" s="209"/>
      <c r="I807" s="209"/>
      <c r="J807" s="209"/>
      <c r="K807" s="208" t="str">
        <f>IF(Errors!$I807=0,SourceData!$B$42,VLOOKUP(Errors!$I807,SourceData!$A$2:$B$40,2,FALSE))</f>
        <v>Please select ERROR CODE column "I"</v>
      </c>
      <c r="L807" s="207" t="str">
        <f>IF(Errors!$I807=0,
    'List of Error Codes'!$E$29,
    IFERROR(VLOOKUP(Errors!$I807, 'List of Error Codes'!D806:I836, 6, FALSE), 'List of Error Codes'!$E$29)
)</f>
        <v>Please select ERROR CODE column "I"</v>
      </c>
      <c r="M807" s="209"/>
      <c r="N807" s="209"/>
      <c r="O807" s="209"/>
      <c r="P807" s="209"/>
      <c r="Q807" s="209"/>
      <c r="R807" s="217"/>
      <c r="S807" s="217"/>
      <c r="T807" s="217"/>
      <c r="U807" s="199"/>
      <c r="V807" s="200"/>
      <c r="W807" s="200"/>
      <c r="X807" s="200"/>
      <c r="Y807" s="200"/>
      <c r="Z807" s="200"/>
      <c r="AA807" s="201"/>
      <c r="AB807" s="200"/>
      <c r="AC807" s="200"/>
    </row>
    <row r="808" ht="15.0" customHeight="1">
      <c r="A808" s="210">
        <f t="shared" si="1"/>
        <v>806</v>
      </c>
      <c r="B808" s="217"/>
      <c r="C808" s="217" t="str">
        <f>IFERROR(VLOOKUP(B808, SourceData!$U$3:$V$190, 2, FALSE), "")</f>
        <v/>
      </c>
      <c r="D808" s="240"/>
      <c r="E808" s="241"/>
      <c r="F808" s="248"/>
      <c r="G808" s="207"/>
      <c r="H808" s="209"/>
      <c r="I808" s="209"/>
      <c r="J808" s="209"/>
      <c r="K808" s="208" t="str">
        <f>IF(Errors!$I808=0,SourceData!$B$42,VLOOKUP(Errors!$I808,SourceData!$A$2:$B$40,2,FALSE))</f>
        <v>Please select ERROR CODE column "I"</v>
      </c>
      <c r="L808" s="207" t="str">
        <f>IF(Errors!$I808=0,
    'List of Error Codes'!$E$29,
    IFERROR(VLOOKUP(Errors!$I808, 'List of Error Codes'!D807:I837, 6, FALSE), 'List of Error Codes'!$E$29)
)</f>
        <v>Please select ERROR CODE column "I"</v>
      </c>
      <c r="M808" s="209"/>
      <c r="N808" s="209"/>
      <c r="O808" s="209"/>
      <c r="P808" s="209"/>
      <c r="Q808" s="209"/>
      <c r="R808" s="217"/>
      <c r="S808" s="217"/>
      <c r="T808" s="217"/>
      <c r="U808" s="199"/>
      <c r="V808" s="200"/>
      <c r="W808" s="200"/>
      <c r="X808" s="200"/>
      <c r="Y808" s="200"/>
      <c r="Z808" s="200"/>
      <c r="AA808" s="201"/>
      <c r="AB808" s="200"/>
      <c r="AC808" s="200"/>
    </row>
    <row r="809" ht="15.0" customHeight="1">
      <c r="A809" s="210">
        <f t="shared" si="1"/>
        <v>807</v>
      </c>
      <c r="B809" s="217"/>
      <c r="C809" s="217" t="str">
        <f>IFERROR(VLOOKUP(B809, SourceData!$U$3:$V$190, 2, FALSE), "")</f>
        <v/>
      </c>
      <c r="D809" s="240"/>
      <c r="E809" s="241"/>
      <c r="F809" s="248"/>
      <c r="G809" s="207"/>
      <c r="H809" s="209"/>
      <c r="I809" s="209"/>
      <c r="J809" s="209"/>
      <c r="K809" s="208" t="str">
        <f>IF(Errors!$I809=0,SourceData!$B$42,VLOOKUP(Errors!$I809,SourceData!$A$2:$B$40,2,FALSE))</f>
        <v>Please select ERROR CODE column "I"</v>
      </c>
      <c r="L809" s="207" t="str">
        <f>IF(Errors!$I809=0,
    'List of Error Codes'!$E$29,
    IFERROR(VLOOKUP(Errors!$I809, 'List of Error Codes'!D808:I838, 6, FALSE), 'List of Error Codes'!$E$29)
)</f>
        <v>Please select ERROR CODE column "I"</v>
      </c>
      <c r="M809" s="209"/>
      <c r="N809" s="209"/>
      <c r="O809" s="209"/>
      <c r="P809" s="209"/>
      <c r="Q809" s="209"/>
      <c r="R809" s="217"/>
      <c r="S809" s="217"/>
      <c r="T809" s="217"/>
      <c r="U809" s="199"/>
      <c r="V809" s="200"/>
      <c r="W809" s="200"/>
      <c r="X809" s="200"/>
      <c r="Y809" s="200"/>
      <c r="Z809" s="200"/>
      <c r="AA809" s="201"/>
      <c r="AB809" s="200"/>
      <c r="AC809" s="200"/>
    </row>
    <row r="810" ht="15.0" customHeight="1">
      <c r="A810" s="210">
        <f t="shared" si="1"/>
        <v>808</v>
      </c>
      <c r="B810" s="217"/>
      <c r="C810" s="217" t="str">
        <f>IFERROR(VLOOKUP(B810, SourceData!$U$3:$V$190, 2, FALSE), "")</f>
        <v/>
      </c>
      <c r="D810" s="240"/>
      <c r="E810" s="241"/>
      <c r="F810" s="248"/>
      <c r="G810" s="207"/>
      <c r="H810" s="209"/>
      <c r="I810" s="209"/>
      <c r="J810" s="209"/>
      <c r="K810" s="208" t="str">
        <f>IF(Errors!$I810=0,SourceData!$B$42,VLOOKUP(Errors!$I810,SourceData!$A$2:$B$40,2,FALSE))</f>
        <v>Please select ERROR CODE column "I"</v>
      </c>
      <c r="L810" s="207" t="str">
        <f>IF(Errors!$I810=0,
    'List of Error Codes'!$E$29,
    IFERROR(VLOOKUP(Errors!$I810, 'List of Error Codes'!D809:I839, 6, FALSE), 'List of Error Codes'!$E$29)
)</f>
        <v>Please select ERROR CODE column "I"</v>
      </c>
      <c r="M810" s="209"/>
      <c r="N810" s="209"/>
      <c r="O810" s="209"/>
      <c r="P810" s="209"/>
      <c r="Q810" s="209"/>
      <c r="R810" s="217"/>
      <c r="S810" s="217"/>
      <c r="T810" s="217"/>
      <c r="U810" s="199"/>
      <c r="V810" s="200"/>
      <c r="W810" s="200"/>
      <c r="X810" s="200"/>
      <c r="Y810" s="200"/>
      <c r="Z810" s="200"/>
      <c r="AA810" s="201"/>
      <c r="AB810" s="200"/>
      <c r="AC810" s="200"/>
    </row>
    <row r="811" ht="15.0" customHeight="1">
      <c r="A811" s="210">
        <f t="shared" si="1"/>
        <v>809</v>
      </c>
      <c r="B811" s="217"/>
      <c r="C811" s="217" t="str">
        <f>IFERROR(VLOOKUP(B811, SourceData!$U$3:$V$190, 2, FALSE), "")</f>
        <v/>
      </c>
      <c r="D811" s="240"/>
      <c r="E811" s="241"/>
      <c r="F811" s="248"/>
      <c r="G811" s="207"/>
      <c r="H811" s="209"/>
      <c r="I811" s="209"/>
      <c r="J811" s="209"/>
      <c r="K811" s="208" t="str">
        <f>IF(Errors!$I811=0,SourceData!$B$42,VLOOKUP(Errors!$I811,SourceData!$A$2:$B$40,2,FALSE))</f>
        <v>Please select ERROR CODE column "I"</v>
      </c>
      <c r="L811" s="207" t="str">
        <f>IF(Errors!$I811=0,
    'List of Error Codes'!$E$29,
    IFERROR(VLOOKUP(Errors!$I811, 'List of Error Codes'!D810:I840, 6, FALSE), 'List of Error Codes'!$E$29)
)</f>
        <v>Please select ERROR CODE column "I"</v>
      </c>
      <c r="M811" s="209"/>
      <c r="N811" s="209"/>
      <c r="O811" s="209"/>
      <c r="P811" s="209"/>
      <c r="Q811" s="209"/>
      <c r="R811" s="217"/>
      <c r="S811" s="217"/>
      <c r="T811" s="217"/>
      <c r="U811" s="199"/>
      <c r="V811" s="200"/>
      <c r="W811" s="200"/>
      <c r="X811" s="200"/>
      <c r="Y811" s="200"/>
      <c r="Z811" s="200"/>
      <c r="AA811" s="201"/>
      <c r="AB811" s="200"/>
      <c r="AC811" s="200"/>
    </row>
    <row r="812" ht="15.0" customHeight="1">
      <c r="A812" s="210">
        <f t="shared" si="1"/>
        <v>810</v>
      </c>
      <c r="B812" s="217"/>
      <c r="C812" s="217" t="str">
        <f>IFERROR(VLOOKUP(B812, SourceData!$U$3:$V$190, 2, FALSE), "")</f>
        <v/>
      </c>
      <c r="D812" s="240"/>
      <c r="E812" s="241"/>
      <c r="F812" s="248"/>
      <c r="G812" s="207"/>
      <c r="H812" s="209"/>
      <c r="I812" s="209"/>
      <c r="J812" s="209"/>
      <c r="K812" s="208" t="str">
        <f>IF(Errors!$I812=0,SourceData!$B$42,VLOOKUP(Errors!$I812,SourceData!$A$2:$B$40,2,FALSE))</f>
        <v>Please select ERROR CODE column "I"</v>
      </c>
      <c r="L812" s="207" t="str">
        <f>IF(Errors!$I812=0,
    'List of Error Codes'!$E$29,
    IFERROR(VLOOKUP(Errors!$I812, 'List of Error Codes'!D811:I841, 6, FALSE), 'List of Error Codes'!$E$29)
)</f>
        <v>Please select ERROR CODE column "I"</v>
      </c>
      <c r="M812" s="209"/>
      <c r="N812" s="209"/>
      <c r="O812" s="209"/>
      <c r="P812" s="209"/>
      <c r="Q812" s="209"/>
      <c r="R812" s="217"/>
      <c r="S812" s="217"/>
      <c r="T812" s="217"/>
      <c r="U812" s="199"/>
      <c r="V812" s="200"/>
      <c r="W812" s="200"/>
      <c r="X812" s="200"/>
      <c r="Y812" s="200"/>
      <c r="Z812" s="200"/>
      <c r="AA812" s="201"/>
      <c r="AB812" s="200"/>
      <c r="AC812" s="200"/>
    </row>
    <row r="813" ht="15.0" customHeight="1">
      <c r="A813" s="210">
        <f t="shared" si="1"/>
        <v>811</v>
      </c>
      <c r="B813" s="217"/>
      <c r="C813" s="217" t="str">
        <f>IFERROR(VLOOKUP(B813, SourceData!$U$3:$V$190, 2, FALSE), "")</f>
        <v/>
      </c>
      <c r="D813" s="240"/>
      <c r="E813" s="241"/>
      <c r="F813" s="248"/>
      <c r="G813" s="207"/>
      <c r="H813" s="209"/>
      <c r="I813" s="209"/>
      <c r="J813" s="209"/>
      <c r="K813" s="208" t="str">
        <f>IF(Errors!$I813=0,SourceData!$B$42,VLOOKUP(Errors!$I813,SourceData!$A$2:$B$40,2,FALSE))</f>
        <v>Please select ERROR CODE column "I"</v>
      </c>
      <c r="L813" s="207" t="str">
        <f>IF(Errors!$I813=0,
    'List of Error Codes'!$E$29,
    IFERROR(VLOOKUP(Errors!$I813, 'List of Error Codes'!D812:I842, 6, FALSE), 'List of Error Codes'!$E$29)
)</f>
        <v>Please select ERROR CODE column "I"</v>
      </c>
      <c r="M813" s="209"/>
      <c r="N813" s="209"/>
      <c r="O813" s="209"/>
      <c r="P813" s="209"/>
      <c r="Q813" s="209"/>
      <c r="R813" s="217"/>
      <c r="S813" s="217"/>
      <c r="T813" s="217"/>
      <c r="U813" s="199"/>
      <c r="V813" s="200"/>
      <c r="W813" s="200"/>
      <c r="X813" s="200"/>
      <c r="Y813" s="200"/>
      <c r="Z813" s="200"/>
      <c r="AA813" s="201"/>
      <c r="AB813" s="200"/>
      <c r="AC813" s="200"/>
    </row>
    <row r="814" ht="15.0" customHeight="1">
      <c r="A814" s="210">
        <f t="shared" si="1"/>
        <v>812</v>
      </c>
      <c r="B814" s="217"/>
      <c r="C814" s="217" t="str">
        <f>IFERROR(VLOOKUP(B814, SourceData!$U$3:$V$190, 2, FALSE), "")</f>
        <v/>
      </c>
      <c r="D814" s="240"/>
      <c r="E814" s="241"/>
      <c r="F814" s="248"/>
      <c r="G814" s="207"/>
      <c r="H814" s="209"/>
      <c r="I814" s="209"/>
      <c r="J814" s="209"/>
      <c r="K814" s="208" t="str">
        <f>IF(Errors!$I814=0,SourceData!$B$42,VLOOKUP(Errors!$I814,SourceData!$A$2:$B$40,2,FALSE))</f>
        <v>Please select ERROR CODE column "I"</v>
      </c>
      <c r="L814" s="207" t="str">
        <f>IF(Errors!$I814=0,
    'List of Error Codes'!$E$29,
    IFERROR(VLOOKUP(Errors!$I814, 'List of Error Codes'!D813:I843, 6, FALSE), 'List of Error Codes'!$E$29)
)</f>
        <v>Please select ERROR CODE column "I"</v>
      </c>
      <c r="M814" s="209"/>
      <c r="N814" s="209"/>
      <c r="O814" s="209"/>
      <c r="P814" s="209"/>
      <c r="Q814" s="209"/>
      <c r="R814" s="217"/>
      <c r="S814" s="217"/>
      <c r="T814" s="217"/>
      <c r="U814" s="199"/>
      <c r="V814" s="200"/>
      <c r="W814" s="200"/>
      <c r="X814" s="200"/>
      <c r="Y814" s="200"/>
      <c r="Z814" s="200"/>
      <c r="AA814" s="201"/>
      <c r="AB814" s="200"/>
      <c r="AC814" s="200"/>
    </row>
    <row r="815" ht="15.0" customHeight="1">
      <c r="A815" s="210">
        <f t="shared" si="1"/>
        <v>813</v>
      </c>
      <c r="B815" s="217"/>
      <c r="C815" s="217" t="str">
        <f>IFERROR(VLOOKUP(B815, SourceData!$U$3:$V$190, 2, FALSE), "")</f>
        <v/>
      </c>
      <c r="D815" s="240"/>
      <c r="E815" s="241"/>
      <c r="F815" s="248"/>
      <c r="G815" s="207"/>
      <c r="H815" s="209"/>
      <c r="I815" s="209"/>
      <c r="J815" s="209"/>
      <c r="K815" s="208" t="str">
        <f>IF(Errors!$I815=0,SourceData!$B$42,VLOOKUP(Errors!$I815,SourceData!$A$2:$B$40,2,FALSE))</f>
        <v>Please select ERROR CODE column "I"</v>
      </c>
      <c r="L815" s="207" t="str">
        <f>IF(Errors!$I815=0,
    'List of Error Codes'!$E$29,
    IFERROR(VLOOKUP(Errors!$I815, 'List of Error Codes'!D814:I844, 6, FALSE), 'List of Error Codes'!$E$29)
)</f>
        <v>Please select ERROR CODE column "I"</v>
      </c>
      <c r="M815" s="209"/>
      <c r="N815" s="209"/>
      <c r="O815" s="209"/>
      <c r="P815" s="209"/>
      <c r="Q815" s="209"/>
      <c r="R815" s="217"/>
      <c r="S815" s="217"/>
      <c r="T815" s="217"/>
      <c r="U815" s="199"/>
      <c r="V815" s="200"/>
      <c r="W815" s="200"/>
      <c r="X815" s="200"/>
      <c r="Y815" s="200"/>
      <c r="Z815" s="200"/>
      <c r="AA815" s="201"/>
      <c r="AB815" s="200"/>
      <c r="AC815" s="200"/>
    </row>
    <row r="816" ht="15.0" customHeight="1">
      <c r="A816" s="210">
        <f t="shared" si="1"/>
        <v>814</v>
      </c>
      <c r="B816" s="217"/>
      <c r="C816" s="217" t="str">
        <f>IFERROR(VLOOKUP(B816, SourceData!$U$3:$V$190, 2, FALSE), "")</f>
        <v/>
      </c>
      <c r="D816" s="240"/>
      <c r="E816" s="241"/>
      <c r="F816" s="248"/>
      <c r="G816" s="207"/>
      <c r="H816" s="209"/>
      <c r="I816" s="209"/>
      <c r="J816" s="209"/>
      <c r="K816" s="208" t="str">
        <f>IF(Errors!$I816=0,SourceData!$B$42,VLOOKUP(Errors!$I816,SourceData!$A$2:$B$40,2,FALSE))</f>
        <v>Please select ERROR CODE column "I"</v>
      </c>
      <c r="L816" s="207" t="str">
        <f>IF(Errors!$I816=0,
    'List of Error Codes'!$E$29,
    IFERROR(VLOOKUP(Errors!$I816, 'List of Error Codes'!D815:I845, 6, FALSE), 'List of Error Codes'!$E$29)
)</f>
        <v>Please select ERROR CODE column "I"</v>
      </c>
      <c r="M816" s="209"/>
      <c r="N816" s="209"/>
      <c r="O816" s="209"/>
      <c r="P816" s="209"/>
      <c r="Q816" s="209"/>
      <c r="R816" s="217"/>
      <c r="S816" s="217"/>
      <c r="T816" s="217"/>
      <c r="U816" s="199"/>
      <c r="V816" s="200"/>
      <c r="W816" s="200"/>
      <c r="X816" s="200"/>
      <c r="Y816" s="200"/>
      <c r="Z816" s="200"/>
      <c r="AA816" s="201"/>
      <c r="AB816" s="200"/>
      <c r="AC816" s="200"/>
    </row>
    <row r="817" ht="15.0" customHeight="1">
      <c r="A817" s="210">
        <f t="shared" si="1"/>
        <v>815</v>
      </c>
      <c r="B817" s="217"/>
      <c r="C817" s="217" t="str">
        <f>IFERROR(VLOOKUP(B817, SourceData!$U$3:$V$190, 2, FALSE), "")</f>
        <v/>
      </c>
      <c r="D817" s="240"/>
      <c r="E817" s="241"/>
      <c r="F817" s="248"/>
      <c r="G817" s="207"/>
      <c r="H817" s="209"/>
      <c r="I817" s="209"/>
      <c r="J817" s="209"/>
      <c r="K817" s="208" t="str">
        <f>IF(Errors!$I817=0,SourceData!$B$42,VLOOKUP(Errors!$I817,SourceData!$A$2:$B$40,2,FALSE))</f>
        <v>Please select ERROR CODE column "I"</v>
      </c>
      <c r="L817" s="207" t="str">
        <f>IF(Errors!$I817=0,
    'List of Error Codes'!$E$29,
    IFERROR(VLOOKUP(Errors!$I817, 'List of Error Codes'!D816:I846, 6, FALSE), 'List of Error Codes'!$E$29)
)</f>
        <v>Please select ERROR CODE column "I"</v>
      </c>
      <c r="M817" s="209"/>
      <c r="N817" s="209"/>
      <c r="O817" s="209"/>
      <c r="P817" s="209"/>
      <c r="Q817" s="209"/>
      <c r="R817" s="217"/>
      <c r="S817" s="217"/>
      <c r="T817" s="217"/>
      <c r="U817" s="199"/>
      <c r="V817" s="200"/>
      <c r="W817" s="200"/>
      <c r="X817" s="200"/>
      <c r="Y817" s="200"/>
      <c r="Z817" s="200"/>
      <c r="AA817" s="201"/>
      <c r="AB817" s="200"/>
      <c r="AC817" s="200"/>
    </row>
    <row r="818" ht="15.0" customHeight="1">
      <c r="A818" s="210">
        <f t="shared" si="1"/>
        <v>816</v>
      </c>
      <c r="B818" s="217"/>
      <c r="C818" s="217" t="str">
        <f>IFERROR(VLOOKUP(B818, SourceData!$U$3:$V$190, 2, FALSE), "")</f>
        <v/>
      </c>
      <c r="D818" s="240"/>
      <c r="E818" s="241"/>
      <c r="F818" s="248"/>
      <c r="G818" s="207"/>
      <c r="H818" s="209"/>
      <c r="I818" s="209"/>
      <c r="J818" s="209"/>
      <c r="K818" s="208" t="str">
        <f>IF(Errors!$I818=0,SourceData!$B$42,VLOOKUP(Errors!$I818,SourceData!$A$2:$B$40,2,FALSE))</f>
        <v>Please select ERROR CODE column "I"</v>
      </c>
      <c r="L818" s="207" t="str">
        <f>IF(Errors!$I818=0,
    'List of Error Codes'!$E$29,
    IFERROR(VLOOKUP(Errors!$I818, 'List of Error Codes'!D817:I847, 6, FALSE), 'List of Error Codes'!$E$29)
)</f>
        <v>Please select ERROR CODE column "I"</v>
      </c>
      <c r="M818" s="209"/>
      <c r="N818" s="209"/>
      <c r="O818" s="209"/>
      <c r="P818" s="209"/>
      <c r="Q818" s="209"/>
      <c r="R818" s="217"/>
      <c r="S818" s="217"/>
      <c r="T818" s="217"/>
      <c r="U818" s="199"/>
      <c r="V818" s="200"/>
      <c r="W818" s="200"/>
      <c r="X818" s="200"/>
      <c r="Y818" s="200"/>
      <c r="Z818" s="200"/>
      <c r="AA818" s="201"/>
      <c r="AB818" s="200"/>
      <c r="AC818" s="200"/>
    </row>
    <row r="819" ht="15.0" customHeight="1">
      <c r="A819" s="210">
        <f t="shared" si="1"/>
        <v>817</v>
      </c>
      <c r="B819" s="217"/>
      <c r="C819" s="217" t="str">
        <f>IFERROR(VLOOKUP(B819, SourceData!$U$3:$V$190, 2, FALSE), "")</f>
        <v/>
      </c>
      <c r="D819" s="240"/>
      <c r="E819" s="241"/>
      <c r="F819" s="248"/>
      <c r="G819" s="207"/>
      <c r="H819" s="209"/>
      <c r="I819" s="209"/>
      <c r="J819" s="209"/>
      <c r="K819" s="208" t="str">
        <f>IF(Errors!$I819=0,SourceData!$B$42,VLOOKUP(Errors!$I819,SourceData!$A$2:$B$40,2,FALSE))</f>
        <v>Please select ERROR CODE column "I"</v>
      </c>
      <c r="L819" s="207" t="str">
        <f>IF(Errors!$I819=0,
    'List of Error Codes'!$E$29,
    IFERROR(VLOOKUP(Errors!$I819, 'List of Error Codes'!D818:I848, 6, FALSE), 'List of Error Codes'!$E$29)
)</f>
        <v>Please select ERROR CODE column "I"</v>
      </c>
      <c r="M819" s="209"/>
      <c r="N819" s="209"/>
      <c r="O819" s="209"/>
      <c r="P819" s="209"/>
      <c r="Q819" s="209"/>
      <c r="R819" s="217"/>
      <c r="S819" s="217"/>
      <c r="T819" s="217"/>
      <c r="U819" s="199"/>
      <c r="V819" s="200"/>
      <c r="W819" s="200"/>
      <c r="X819" s="200"/>
      <c r="Y819" s="200"/>
      <c r="Z819" s="200"/>
      <c r="AA819" s="201"/>
      <c r="AB819" s="200"/>
      <c r="AC819" s="200"/>
    </row>
    <row r="820" ht="15.0" customHeight="1">
      <c r="A820" s="210">
        <f t="shared" si="1"/>
        <v>818</v>
      </c>
      <c r="B820" s="217"/>
      <c r="C820" s="217" t="str">
        <f>IFERROR(VLOOKUP(B820, SourceData!$U$3:$V$190, 2, FALSE), "")</f>
        <v/>
      </c>
      <c r="D820" s="240"/>
      <c r="E820" s="241"/>
      <c r="F820" s="248"/>
      <c r="G820" s="207"/>
      <c r="H820" s="209"/>
      <c r="I820" s="209"/>
      <c r="J820" s="209"/>
      <c r="K820" s="208" t="str">
        <f>IF(Errors!$I820=0,SourceData!$B$42,VLOOKUP(Errors!$I820,SourceData!$A$2:$B$40,2,FALSE))</f>
        <v>Please select ERROR CODE column "I"</v>
      </c>
      <c r="L820" s="207" t="str">
        <f>IF(Errors!$I820=0,
    'List of Error Codes'!$E$29,
    IFERROR(VLOOKUP(Errors!$I820, 'List of Error Codes'!D819:I849, 6, FALSE), 'List of Error Codes'!$E$29)
)</f>
        <v>Please select ERROR CODE column "I"</v>
      </c>
      <c r="M820" s="209"/>
      <c r="N820" s="209"/>
      <c r="O820" s="209"/>
      <c r="P820" s="209"/>
      <c r="Q820" s="209"/>
      <c r="R820" s="217"/>
      <c r="S820" s="217"/>
      <c r="T820" s="217"/>
      <c r="U820" s="199"/>
      <c r="V820" s="200"/>
      <c r="W820" s="200"/>
      <c r="X820" s="200"/>
      <c r="Y820" s="200"/>
      <c r="Z820" s="200"/>
      <c r="AA820" s="201"/>
      <c r="AB820" s="200"/>
      <c r="AC820" s="200"/>
    </row>
    <row r="821" ht="15.0" customHeight="1">
      <c r="A821" s="210">
        <f t="shared" si="1"/>
        <v>819</v>
      </c>
      <c r="B821" s="217"/>
      <c r="C821" s="217" t="str">
        <f>IFERROR(VLOOKUP(B821, SourceData!$U$3:$V$190, 2, FALSE), "")</f>
        <v/>
      </c>
      <c r="D821" s="240"/>
      <c r="E821" s="241"/>
      <c r="F821" s="248"/>
      <c r="G821" s="207"/>
      <c r="H821" s="209"/>
      <c r="I821" s="209"/>
      <c r="J821" s="209"/>
      <c r="K821" s="208" t="str">
        <f>IF(Errors!$I821=0,SourceData!$B$42,VLOOKUP(Errors!$I821,SourceData!$A$2:$B$40,2,FALSE))</f>
        <v>Please select ERROR CODE column "I"</v>
      </c>
      <c r="L821" s="207" t="str">
        <f>IF(Errors!$I821=0,
    'List of Error Codes'!$E$29,
    IFERROR(VLOOKUP(Errors!$I821, 'List of Error Codes'!D820:I850, 6, FALSE), 'List of Error Codes'!$E$29)
)</f>
        <v>Please select ERROR CODE column "I"</v>
      </c>
      <c r="M821" s="209"/>
      <c r="N821" s="209"/>
      <c r="O821" s="209"/>
      <c r="P821" s="209"/>
      <c r="Q821" s="209"/>
      <c r="R821" s="217"/>
      <c r="S821" s="217"/>
      <c r="T821" s="217"/>
      <c r="U821" s="199"/>
      <c r="V821" s="200"/>
      <c r="W821" s="200"/>
      <c r="X821" s="200"/>
      <c r="Y821" s="200"/>
      <c r="Z821" s="200"/>
      <c r="AA821" s="201"/>
      <c r="AB821" s="200"/>
      <c r="AC821" s="200"/>
    </row>
    <row r="822" ht="15.0" customHeight="1">
      <c r="A822" s="210">
        <f t="shared" si="1"/>
        <v>820</v>
      </c>
      <c r="B822" s="217"/>
      <c r="C822" s="217" t="str">
        <f>IFERROR(VLOOKUP(B822, SourceData!$U$3:$V$190, 2, FALSE), "")</f>
        <v/>
      </c>
      <c r="D822" s="240"/>
      <c r="E822" s="241"/>
      <c r="F822" s="248"/>
      <c r="G822" s="207"/>
      <c r="H822" s="209"/>
      <c r="I822" s="209"/>
      <c r="J822" s="209"/>
      <c r="K822" s="208" t="str">
        <f>IF(Errors!$I822=0,SourceData!$B$42,VLOOKUP(Errors!$I822,SourceData!$A$2:$B$40,2,FALSE))</f>
        <v>Please select ERROR CODE column "I"</v>
      </c>
      <c r="L822" s="207" t="str">
        <f>IF(Errors!$I822=0,
    'List of Error Codes'!$E$29,
    IFERROR(VLOOKUP(Errors!$I822, 'List of Error Codes'!D821:I851, 6, FALSE), 'List of Error Codes'!$E$29)
)</f>
        <v>Please select ERROR CODE column "I"</v>
      </c>
      <c r="M822" s="209"/>
      <c r="N822" s="209"/>
      <c r="O822" s="209"/>
      <c r="P822" s="209"/>
      <c r="Q822" s="209"/>
      <c r="R822" s="217"/>
      <c r="S822" s="217"/>
      <c r="T822" s="217"/>
      <c r="U822" s="199"/>
      <c r="V822" s="200"/>
      <c r="W822" s="200"/>
      <c r="X822" s="200"/>
      <c r="Y822" s="200"/>
      <c r="Z822" s="200"/>
      <c r="AA822" s="201"/>
      <c r="AB822" s="200"/>
      <c r="AC822" s="200"/>
    </row>
    <row r="823" ht="15.0" customHeight="1">
      <c r="A823" s="210">
        <f t="shared" si="1"/>
        <v>821</v>
      </c>
      <c r="B823" s="217"/>
      <c r="C823" s="217" t="str">
        <f>IFERROR(VLOOKUP(B823, SourceData!$U$3:$V$190, 2, FALSE), "")</f>
        <v/>
      </c>
      <c r="D823" s="240"/>
      <c r="E823" s="241"/>
      <c r="F823" s="248"/>
      <c r="G823" s="207"/>
      <c r="H823" s="209"/>
      <c r="I823" s="209"/>
      <c r="J823" s="209"/>
      <c r="K823" s="208" t="str">
        <f>IF(Errors!$I823=0,SourceData!$B$42,VLOOKUP(Errors!$I823,SourceData!$A$2:$B$40,2,FALSE))</f>
        <v>Please select ERROR CODE column "I"</v>
      </c>
      <c r="L823" s="207" t="str">
        <f>IF(Errors!$I823=0,
    'List of Error Codes'!$E$29,
    IFERROR(VLOOKUP(Errors!$I823, 'List of Error Codes'!D822:I852, 6, FALSE), 'List of Error Codes'!$E$29)
)</f>
        <v>Please select ERROR CODE column "I"</v>
      </c>
      <c r="M823" s="209"/>
      <c r="N823" s="209"/>
      <c r="O823" s="209"/>
      <c r="P823" s="209"/>
      <c r="Q823" s="209"/>
      <c r="R823" s="217"/>
      <c r="S823" s="217"/>
      <c r="T823" s="217"/>
      <c r="U823" s="199"/>
      <c r="V823" s="200"/>
      <c r="W823" s="200"/>
      <c r="X823" s="200"/>
      <c r="Y823" s="200"/>
      <c r="Z823" s="200"/>
      <c r="AA823" s="201"/>
      <c r="AB823" s="200"/>
      <c r="AC823" s="200"/>
    </row>
    <row r="824" ht="15.0" customHeight="1">
      <c r="A824" s="210">
        <f t="shared" si="1"/>
        <v>822</v>
      </c>
      <c r="B824" s="217"/>
      <c r="C824" s="217" t="str">
        <f>IFERROR(VLOOKUP(B824, SourceData!$U$3:$V$190, 2, FALSE), "")</f>
        <v/>
      </c>
      <c r="D824" s="240"/>
      <c r="E824" s="241"/>
      <c r="F824" s="248"/>
      <c r="G824" s="207"/>
      <c r="H824" s="209"/>
      <c r="I824" s="209"/>
      <c r="J824" s="209"/>
      <c r="K824" s="208" t="str">
        <f>IF(Errors!$I824=0,SourceData!$B$42,VLOOKUP(Errors!$I824,SourceData!$A$2:$B$40,2,FALSE))</f>
        <v>Please select ERROR CODE column "I"</v>
      </c>
      <c r="L824" s="207" t="str">
        <f>IF(Errors!$I824=0,
    'List of Error Codes'!$E$29,
    IFERROR(VLOOKUP(Errors!$I824, 'List of Error Codes'!D823:I853, 6, FALSE), 'List of Error Codes'!$E$29)
)</f>
        <v>Please select ERROR CODE column "I"</v>
      </c>
      <c r="M824" s="209"/>
      <c r="N824" s="209"/>
      <c r="O824" s="209"/>
      <c r="P824" s="209"/>
      <c r="Q824" s="209"/>
      <c r="R824" s="217"/>
      <c r="S824" s="217"/>
      <c r="T824" s="217"/>
      <c r="U824" s="199"/>
      <c r="V824" s="200"/>
      <c r="W824" s="200"/>
      <c r="X824" s="200"/>
      <c r="Y824" s="200"/>
      <c r="Z824" s="200"/>
      <c r="AA824" s="201"/>
      <c r="AB824" s="200"/>
      <c r="AC824" s="200"/>
    </row>
    <row r="825" ht="15.0" customHeight="1">
      <c r="A825" s="210">
        <f t="shared" si="1"/>
        <v>823</v>
      </c>
      <c r="B825" s="217"/>
      <c r="C825" s="217" t="str">
        <f>IFERROR(VLOOKUP(B825, SourceData!$U$3:$V$190, 2, FALSE), "")</f>
        <v/>
      </c>
      <c r="D825" s="240"/>
      <c r="E825" s="241"/>
      <c r="F825" s="248"/>
      <c r="G825" s="207"/>
      <c r="H825" s="209"/>
      <c r="I825" s="209"/>
      <c r="J825" s="209"/>
      <c r="K825" s="208" t="str">
        <f>IF(Errors!$I825=0,SourceData!$B$42,VLOOKUP(Errors!$I825,SourceData!$A$2:$B$40,2,FALSE))</f>
        <v>Please select ERROR CODE column "I"</v>
      </c>
      <c r="L825" s="207" t="str">
        <f>IF(Errors!$I825=0,
    'List of Error Codes'!$E$29,
    IFERROR(VLOOKUP(Errors!$I825, 'List of Error Codes'!D824:I854, 6, FALSE), 'List of Error Codes'!$E$29)
)</f>
        <v>Please select ERROR CODE column "I"</v>
      </c>
      <c r="M825" s="209"/>
      <c r="N825" s="209"/>
      <c r="O825" s="209"/>
      <c r="P825" s="209"/>
      <c r="Q825" s="209"/>
      <c r="R825" s="217"/>
      <c r="S825" s="217"/>
      <c r="T825" s="217"/>
      <c r="U825" s="199"/>
      <c r="V825" s="200"/>
      <c r="W825" s="200"/>
      <c r="X825" s="200"/>
      <c r="Y825" s="200"/>
      <c r="Z825" s="200"/>
      <c r="AA825" s="201"/>
      <c r="AB825" s="200"/>
      <c r="AC825" s="200"/>
    </row>
    <row r="826" ht="15.0" customHeight="1">
      <c r="A826" s="210">
        <f t="shared" si="1"/>
        <v>824</v>
      </c>
      <c r="B826" s="217"/>
      <c r="C826" s="217" t="str">
        <f>IFERROR(VLOOKUP(B826, SourceData!$U$3:$V$190, 2, FALSE), "")</f>
        <v/>
      </c>
      <c r="D826" s="240"/>
      <c r="E826" s="241"/>
      <c r="F826" s="248"/>
      <c r="G826" s="207"/>
      <c r="H826" s="209"/>
      <c r="I826" s="209"/>
      <c r="J826" s="209"/>
      <c r="K826" s="208" t="str">
        <f>IF(Errors!$I826=0,SourceData!$B$42,VLOOKUP(Errors!$I826,SourceData!$A$2:$B$40,2,FALSE))</f>
        <v>Please select ERROR CODE column "I"</v>
      </c>
      <c r="L826" s="207" t="str">
        <f>IF(Errors!$I826=0,
    'List of Error Codes'!$E$29,
    IFERROR(VLOOKUP(Errors!$I826, 'List of Error Codes'!D825:I855, 6, FALSE), 'List of Error Codes'!$E$29)
)</f>
        <v>Please select ERROR CODE column "I"</v>
      </c>
      <c r="M826" s="209"/>
      <c r="N826" s="209"/>
      <c r="O826" s="209"/>
      <c r="P826" s="209"/>
      <c r="Q826" s="209"/>
      <c r="R826" s="217"/>
      <c r="S826" s="217"/>
      <c r="T826" s="217"/>
      <c r="U826" s="199"/>
      <c r="V826" s="200"/>
      <c r="W826" s="200"/>
      <c r="X826" s="200"/>
      <c r="Y826" s="200"/>
      <c r="Z826" s="200"/>
      <c r="AA826" s="201"/>
      <c r="AB826" s="200"/>
      <c r="AC826" s="200"/>
    </row>
    <row r="827" ht="15.0" customHeight="1">
      <c r="A827" s="210">
        <f t="shared" si="1"/>
        <v>825</v>
      </c>
      <c r="B827" s="217"/>
      <c r="C827" s="217" t="str">
        <f>IFERROR(VLOOKUP(B827, SourceData!$U$3:$V$190, 2, FALSE), "")</f>
        <v/>
      </c>
      <c r="D827" s="240"/>
      <c r="E827" s="241"/>
      <c r="F827" s="248"/>
      <c r="G827" s="207"/>
      <c r="H827" s="209"/>
      <c r="I827" s="209"/>
      <c r="J827" s="209"/>
      <c r="K827" s="208" t="str">
        <f>IF(Errors!$I827=0,SourceData!$B$42,VLOOKUP(Errors!$I827,SourceData!$A$2:$B$40,2,FALSE))</f>
        <v>Please select ERROR CODE column "I"</v>
      </c>
      <c r="L827" s="207" t="str">
        <f>IF(Errors!$I827=0,
    'List of Error Codes'!$E$29,
    IFERROR(VLOOKUP(Errors!$I827, 'List of Error Codes'!D826:I856, 6, FALSE), 'List of Error Codes'!$E$29)
)</f>
        <v>Please select ERROR CODE column "I"</v>
      </c>
      <c r="M827" s="209"/>
      <c r="N827" s="209"/>
      <c r="O827" s="209"/>
      <c r="P827" s="209"/>
      <c r="Q827" s="209"/>
      <c r="R827" s="217"/>
      <c r="S827" s="217"/>
      <c r="T827" s="217"/>
      <c r="U827" s="199"/>
      <c r="V827" s="200"/>
      <c r="W827" s="200"/>
      <c r="X827" s="200"/>
      <c r="Y827" s="200"/>
      <c r="Z827" s="200"/>
      <c r="AA827" s="201"/>
      <c r="AB827" s="200"/>
      <c r="AC827" s="200"/>
    </row>
    <row r="828" ht="15.0" customHeight="1">
      <c r="A828" s="210">
        <f t="shared" si="1"/>
        <v>826</v>
      </c>
      <c r="B828" s="217"/>
      <c r="C828" s="217" t="str">
        <f>IFERROR(VLOOKUP(B828, SourceData!$U$3:$V$190, 2, FALSE), "")</f>
        <v/>
      </c>
      <c r="D828" s="240"/>
      <c r="E828" s="241"/>
      <c r="F828" s="248"/>
      <c r="G828" s="207"/>
      <c r="H828" s="209"/>
      <c r="I828" s="209"/>
      <c r="J828" s="209"/>
      <c r="K828" s="208" t="str">
        <f>IF(Errors!$I828=0,SourceData!$B$42,VLOOKUP(Errors!$I828,SourceData!$A$2:$B$40,2,FALSE))</f>
        <v>Please select ERROR CODE column "I"</v>
      </c>
      <c r="L828" s="207" t="str">
        <f>IF(Errors!$I828=0,
    'List of Error Codes'!$E$29,
    IFERROR(VLOOKUP(Errors!$I828, 'List of Error Codes'!D827:I857, 6, FALSE), 'List of Error Codes'!$E$29)
)</f>
        <v>Please select ERROR CODE column "I"</v>
      </c>
      <c r="M828" s="209"/>
      <c r="N828" s="209"/>
      <c r="O828" s="209"/>
      <c r="P828" s="209"/>
      <c r="Q828" s="209"/>
      <c r="R828" s="217"/>
      <c r="S828" s="217"/>
      <c r="T828" s="217"/>
      <c r="U828" s="199"/>
      <c r="V828" s="200"/>
      <c r="W828" s="200"/>
      <c r="X828" s="200"/>
      <c r="Y828" s="200"/>
      <c r="Z828" s="200"/>
      <c r="AA828" s="201"/>
      <c r="AB828" s="200"/>
      <c r="AC828" s="200"/>
    </row>
    <row r="829" ht="15.0" customHeight="1">
      <c r="A829" s="210">
        <f t="shared" si="1"/>
        <v>827</v>
      </c>
      <c r="B829" s="217"/>
      <c r="C829" s="217" t="str">
        <f>IFERROR(VLOOKUP(B829, SourceData!$U$3:$V$190, 2, FALSE), "")</f>
        <v/>
      </c>
      <c r="D829" s="240"/>
      <c r="E829" s="241"/>
      <c r="F829" s="248"/>
      <c r="G829" s="207"/>
      <c r="H829" s="209"/>
      <c r="I829" s="209"/>
      <c r="J829" s="209"/>
      <c r="K829" s="208" t="str">
        <f>IF(Errors!$I829=0,SourceData!$B$42,VLOOKUP(Errors!$I829,SourceData!$A$2:$B$40,2,FALSE))</f>
        <v>Please select ERROR CODE column "I"</v>
      </c>
      <c r="L829" s="207" t="str">
        <f>IF(Errors!$I829=0,
    'List of Error Codes'!$E$29,
    IFERROR(VLOOKUP(Errors!$I829, 'List of Error Codes'!D828:I858, 6, FALSE), 'List of Error Codes'!$E$29)
)</f>
        <v>Please select ERROR CODE column "I"</v>
      </c>
      <c r="M829" s="209"/>
      <c r="N829" s="209"/>
      <c r="O829" s="209"/>
      <c r="P829" s="209"/>
      <c r="Q829" s="209"/>
      <c r="R829" s="217"/>
      <c r="S829" s="217"/>
      <c r="T829" s="217"/>
      <c r="U829" s="199"/>
      <c r="V829" s="200"/>
      <c r="W829" s="200"/>
      <c r="X829" s="200"/>
      <c r="Y829" s="200"/>
      <c r="Z829" s="200"/>
      <c r="AA829" s="201"/>
      <c r="AB829" s="200"/>
      <c r="AC829" s="200"/>
    </row>
    <row r="830" ht="15.0" customHeight="1">
      <c r="A830" s="210">
        <f t="shared" si="1"/>
        <v>828</v>
      </c>
      <c r="B830" s="217"/>
      <c r="C830" s="217" t="str">
        <f>IFERROR(VLOOKUP(B830, SourceData!$U$3:$V$190, 2, FALSE), "")</f>
        <v/>
      </c>
      <c r="D830" s="240"/>
      <c r="E830" s="241"/>
      <c r="F830" s="248"/>
      <c r="G830" s="207"/>
      <c r="H830" s="209"/>
      <c r="I830" s="209"/>
      <c r="J830" s="209"/>
      <c r="K830" s="208" t="str">
        <f>IF(Errors!$I830=0,SourceData!$B$42,VLOOKUP(Errors!$I830,SourceData!$A$2:$B$40,2,FALSE))</f>
        <v>Please select ERROR CODE column "I"</v>
      </c>
      <c r="L830" s="207" t="str">
        <f>IF(Errors!$I830=0,
    'List of Error Codes'!$E$29,
    IFERROR(VLOOKUP(Errors!$I830, 'List of Error Codes'!D829:I859, 6, FALSE), 'List of Error Codes'!$E$29)
)</f>
        <v>Please select ERROR CODE column "I"</v>
      </c>
      <c r="M830" s="209"/>
      <c r="N830" s="209"/>
      <c r="O830" s="209"/>
      <c r="P830" s="209"/>
      <c r="Q830" s="209"/>
      <c r="R830" s="217"/>
      <c r="S830" s="217"/>
      <c r="T830" s="217"/>
      <c r="U830" s="199"/>
      <c r="V830" s="200"/>
      <c r="W830" s="200"/>
      <c r="X830" s="200"/>
      <c r="Y830" s="200"/>
      <c r="Z830" s="200"/>
      <c r="AA830" s="201"/>
      <c r="AB830" s="200"/>
      <c r="AC830" s="200"/>
    </row>
    <row r="831" ht="15.0" customHeight="1">
      <c r="A831" s="210">
        <f t="shared" si="1"/>
        <v>829</v>
      </c>
      <c r="B831" s="217"/>
      <c r="C831" s="217" t="str">
        <f>IFERROR(VLOOKUP(B831, SourceData!$U$3:$V$190, 2, FALSE), "")</f>
        <v/>
      </c>
      <c r="D831" s="240"/>
      <c r="E831" s="241"/>
      <c r="F831" s="248"/>
      <c r="G831" s="207"/>
      <c r="H831" s="209"/>
      <c r="I831" s="209"/>
      <c r="J831" s="209"/>
      <c r="K831" s="208" t="str">
        <f>IF(Errors!$I831=0,SourceData!$B$42,VLOOKUP(Errors!$I831,SourceData!$A$2:$B$40,2,FALSE))</f>
        <v>Please select ERROR CODE column "I"</v>
      </c>
      <c r="L831" s="207" t="str">
        <f>IF(Errors!$I831=0,
    'List of Error Codes'!$E$29,
    IFERROR(VLOOKUP(Errors!$I831, 'List of Error Codes'!D830:I860, 6, FALSE), 'List of Error Codes'!$E$29)
)</f>
        <v>Please select ERROR CODE column "I"</v>
      </c>
      <c r="M831" s="209"/>
      <c r="N831" s="209"/>
      <c r="O831" s="209"/>
      <c r="P831" s="209"/>
      <c r="Q831" s="209"/>
      <c r="R831" s="217"/>
      <c r="S831" s="217"/>
      <c r="T831" s="217"/>
      <c r="U831" s="199"/>
      <c r="V831" s="200"/>
      <c r="W831" s="200"/>
      <c r="X831" s="200"/>
      <c r="Y831" s="200"/>
      <c r="Z831" s="200"/>
      <c r="AA831" s="201"/>
      <c r="AB831" s="200"/>
      <c r="AC831" s="200"/>
    </row>
    <row r="832" ht="15.0" customHeight="1">
      <c r="A832" s="210">
        <f t="shared" si="1"/>
        <v>830</v>
      </c>
      <c r="B832" s="217"/>
      <c r="C832" s="217" t="str">
        <f>IFERROR(VLOOKUP(B832, SourceData!$U$3:$V$190, 2, FALSE), "")</f>
        <v/>
      </c>
      <c r="D832" s="240"/>
      <c r="E832" s="241"/>
      <c r="F832" s="248"/>
      <c r="G832" s="207"/>
      <c r="H832" s="209"/>
      <c r="I832" s="209"/>
      <c r="J832" s="209"/>
      <c r="K832" s="208" t="str">
        <f>IF(Errors!$I832=0,SourceData!$B$42,VLOOKUP(Errors!$I832,SourceData!$A$2:$B$40,2,FALSE))</f>
        <v>Please select ERROR CODE column "I"</v>
      </c>
      <c r="L832" s="207" t="str">
        <f>IF(Errors!$I832=0,
    'List of Error Codes'!$E$29,
    IFERROR(VLOOKUP(Errors!$I832, 'List of Error Codes'!D831:I861, 6, FALSE), 'List of Error Codes'!$E$29)
)</f>
        <v>Please select ERROR CODE column "I"</v>
      </c>
      <c r="M832" s="209"/>
      <c r="N832" s="209"/>
      <c r="O832" s="209"/>
      <c r="P832" s="209"/>
      <c r="Q832" s="209"/>
      <c r="R832" s="217"/>
      <c r="S832" s="217"/>
      <c r="T832" s="217"/>
      <c r="U832" s="199"/>
      <c r="V832" s="200"/>
      <c r="W832" s="200"/>
      <c r="X832" s="200"/>
      <c r="Y832" s="200"/>
      <c r="Z832" s="200"/>
      <c r="AA832" s="201"/>
      <c r="AB832" s="200"/>
      <c r="AC832" s="200"/>
    </row>
    <row r="833" ht="15.0" customHeight="1">
      <c r="A833" s="210">
        <f t="shared" si="1"/>
        <v>831</v>
      </c>
      <c r="B833" s="217"/>
      <c r="C833" s="217" t="str">
        <f>IFERROR(VLOOKUP(B833, SourceData!$U$3:$V$190, 2, FALSE), "")</f>
        <v/>
      </c>
      <c r="D833" s="240"/>
      <c r="E833" s="241"/>
      <c r="F833" s="248"/>
      <c r="G833" s="207"/>
      <c r="H833" s="209"/>
      <c r="I833" s="209"/>
      <c r="J833" s="209"/>
      <c r="K833" s="208" t="str">
        <f>IF(Errors!$I833=0,SourceData!$B$42,VLOOKUP(Errors!$I833,SourceData!$A$2:$B$40,2,FALSE))</f>
        <v>Please select ERROR CODE column "I"</v>
      </c>
      <c r="L833" s="207" t="str">
        <f>IF(Errors!$I833=0,
    'List of Error Codes'!$E$29,
    IFERROR(VLOOKUP(Errors!$I833, 'List of Error Codes'!D832:I862, 6, FALSE), 'List of Error Codes'!$E$29)
)</f>
        <v>Please select ERROR CODE column "I"</v>
      </c>
      <c r="M833" s="209"/>
      <c r="N833" s="209"/>
      <c r="O833" s="209"/>
      <c r="P833" s="209"/>
      <c r="Q833" s="209"/>
      <c r="R833" s="217"/>
      <c r="S833" s="217"/>
      <c r="T833" s="217"/>
      <c r="U833" s="199"/>
      <c r="V833" s="200"/>
      <c r="W833" s="200"/>
      <c r="X833" s="200"/>
      <c r="Y833" s="200"/>
      <c r="Z833" s="200"/>
      <c r="AA833" s="201"/>
      <c r="AB833" s="200"/>
      <c r="AC833" s="200"/>
    </row>
    <row r="834" ht="15.0" customHeight="1">
      <c r="A834" s="210">
        <f t="shared" si="1"/>
        <v>832</v>
      </c>
      <c r="B834" s="217"/>
      <c r="C834" s="217" t="str">
        <f>IFERROR(VLOOKUP(B834, SourceData!$U$3:$V$190, 2, FALSE), "")</f>
        <v/>
      </c>
      <c r="D834" s="240"/>
      <c r="E834" s="241"/>
      <c r="F834" s="248"/>
      <c r="G834" s="207"/>
      <c r="H834" s="209"/>
      <c r="I834" s="209"/>
      <c r="J834" s="209"/>
      <c r="K834" s="208" t="str">
        <f>IF(Errors!$I834=0,SourceData!$B$42,VLOOKUP(Errors!$I834,SourceData!$A$2:$B$40,2,FALSE))</f>
        <v>Please select ERROR CODE column "I"</v>
      </c>
      <c r="L834" s="207" t="str">
        <f>IF(Errors!$I834=0,
    'List of Error Codes'!$E$29,
    IFERROR(VLOOKUP(Errors!$I834, 'List of Error Codes'!D833:I863, 6, FALSE), 'List of Error Codes'!$E$29)
)</f>
        <v>Please select ERROR CODE column "I"</v>
      </c>
      <c r="M834" s="209"/>
      <c r="N834" s="209"/>
      <c r="O834" s="209"/>
      <c r="P834" s="209"/>
      <c r="Q834" s="209"/>
      <c r="R834" s="217"/>
      <c r="S834" s="217"/>
      <c r="T834" s="217"/>
      <c r="U834" s="199"/>
      <c r="V834" s="200"/>
      <c r="W834" s="200"/>
      <c r="X834" s="200"/>
      <c r="Y834" s="200"/>
      <c r="Z834" s="200"/>
      <c r="AA834" s="201"/>
      <c r="AB834" s="200"/>
      <c r="AC834" s="200"/>
    </row>
    <row r="835" ht="15.0" customHeight="1">
      <c r="A835" s="210">
        <f t="shared" si="1"/>
        <v>833</v>
      </c>
      <c r="B835" s="217"/>
      <c r="C835" s="217" t="str">
        <f>IFERROR(VLOOKUP(B835, SourceData!$U$3:$V$190, 2, FALSE), "")</f>
        <v/>
      </c>
      <c r="D835" s="240"/>
      <c r="E835" s="241"/>
      <c r="F835" s="248"/>
      <c r="G835" s="207"/>
      <c r="H835" s="209"/>
      <c r="I835" s="209"/>
      <c r="J835" s="209"/>
      <c r="K835" s="208" t="str">
        <f>IF(Errors!$I835=0,SourceData!$B$42,VLOOKUP(Errors!$I835,SourceData!$A$2:$B$40,2,FALSE))</f>
        <v>Please select ERROR CODE column "I"</v>
      </c>
      <c r="L835" s="207" t="str">
        <f>IF(Errors!$I835=0,
    'List of Error Codes'!$E$29,
    IFERROR(VLOOKUP(Errors!$I835, 'List of Error Codes'!D834:I864, 6, FALSE), 'List of Error Codes'!$E$29)
)</f>
        <v>Please select ERROR CODE column "I"</v>
      </c>
      <c r="M835" s="209"/>
      <c r="N835" s="209"/>
      <c r="O835" s="209"/>
      <c r="P835" s="209"/>
      <c r="Q835" s="209"/>
      <c r="R835" s="217"/>
      <c r="S835" s="217"/>
      <c r="T835" s="217"/>
      <c r="U835" s="199"/>
      <c r="V835" s="200"/>
      <c r="W835" s="200"/>
      <c r="X835" s="200"/>
      <c r="Y835" s="200"/>
      <c r="Z835" s="200"/>
      <c r="AA835" s="201"/>
      <c r="AB835" s="200"/>
      <c r="AC835" s="200"/>
    </row>
    <row r="836" ht="15.0" customHeight="1">
      <c r="A836" s="210">
        <f t="shared" si="1"/>
        <v>834</v>
      </c>
      <c r="B836" s="217"/>
      <c r="C836" s="217" t="str">
        <f>IFERROR(VLOOKUP(B836, SourceData!$U$3:$V$190, 2, FALSE), "")</f>
        <v/>
      </c>
      <c r="D836" s="240"/>
      <c r="E836" s="241"/>
      <c r="F836" s="248"/>
      <c r="G836" s="207"/>
      <c r="H836" s="209"/>
      <c r="I836" s="209"/>
      <c r="J836" s="209"/>
      <c r="K836" s="208" t="str">
        <f>IF(Errors!$I836=0,SourceData!$B$42,VLOOKUP(Errors!$I836,SourceData!$A$2:$B$40,2,FALSE))</f>
        <v>Please select ERROR CODE column "I"</v>
      </c>
      <c r="L836" s="207" t="str">
        <f>IF(Errors!$I836=0,
    'List of Error Codes'!$E$29,
    IFERROR(VLOOKUP(Errors!$I836, 'List of Error Codes'!D835:I865, 6, FALSE), 'List of Error Codes'!$E$29)
)</f>
        <v>Please select ERROR CODE column "I"</v>
      </c>
      <c r="M836" s="209"/>
      <c r="N836" s="209"/>
      <c r="O836" s="209"/>
      <c r="P836" s="209"/>
      <c r="Q836" s="209"/>
      <c r="R836" s="217"/>
      <c r="S836" s="217"/>
      <c r="T836" s="217"/>
      <c r="U836" s="199"/>
      <c r="V836" s="200"/>
      <c r="W836" s="200"/>
      <c r="X836" s="200"/>
      <c r="Y836" s="200"/>
      <c r="Z836" s="200"/>
      <c r="AA836" s="201"/>
      <c r="AB836" s="200"/>
      <c r="AC836" s="200"/>
    </row>
    <row r="837" ht="15.0" customHeight="1">
      <c r="A837" s="210">
        <f t="shared" si="1"/>
        <v>835</v>
      </c>
      <c r="B837" s="217"/>
      <c r="C837" s="217" t="str">
        <f>IFERROR(VLOOKUP(B837, SourceData!$U$3:$V$190, 2, FALSE), "")</f>
        <v/>
      </c>
      <c r="D837" s="240"/>
      <c r="E837" s="241"/>
      <c r="F837" s="248"/>
      <c r="G837" s="207"/>
      <c r="H837" s="209"/>
      <c r="I837" s="209"/>
      <c r="J837" s="209"/>
      <c r="K837" s="208" t="str">
        <f>IF(Errors!$I837=0,SourceData!$B$42,VLOOKUP(Errors!$I837,SourceData!$A$2:$B$40,2,FALSE))</f>
        <v>Please select ERROR CODE column "I"</v>
      </c>
      <c r="L837" s="207" t="str">
        <f>IF(Errors!$I837=0,
    'List of Error Codes'!$E$29,
    IFERROR(VLOOKUP(Errors!$I837, 'List of Error Codes'!D836:I866, 6, FALSE), 'List of Error Codes'!$E$29)
)</f>
        <v>Please select ERROR CODE column "I"</v>
      </c>
      <c r="M837" s="209"/>
      <c r="N837" s="209"/>
      <c r="O837" s="209"/>
      <c r="P837" s="209"/>
      <c r="Q837" s="209"/>
      <c r="R837" s="217"/>
      <c r="S837" s="217"/>
      <c r="T837" s="217"/>
      <c r="U837" s="199"/>
      <c r="V837" s="200"/>
      <c r="W837" s="200"/>
      <c r="X837" s="200"/>
      <c r="Y837" s="200"/>
      <c r="Z837" s="200"/>
      <c r="AA837" s="201"/>
      <c r="AB837" s="200"/>
      <c r="AC837" s="200"/>
    </row>
    <row r="838" ht="15.0" customHeight="1">
      <c r="A838" s="210">
        <f t="shared" si="1"/>
        <v>836</v>
      </c>
      <c r="B838" s="217"/>
      <c r="C838" s="217" t="str">
        <f>IFERROR(VLOOKUP(B838, SourceData!$U$3:$V$190, 2, FALSE), "")</f>
        <v/>
      </c>
      <c r="D838" s="240"/>
      <c r="E838" s="241"/>
      <c r="F838" s="248"/>
      <c r="G838" s="207"/>
      <c r="H838" s="209"/>
      <c r="I838" s="209"/>
      <c r="J838" s="209"/>
      <c r="K838" s="208" t="str">
        <f>IF(Errors!$I838=0,SourceData!$B$42,VLOOKUP(Errors!$I838,SourceData!$A$2:$B$40,2,FALSE))</f>
        <v>Please select ERROR CODE column "I"</v>
      </c>
      <c r="L838" s="207" t="str">
        <f>IF(Errors!$I838=0,
    'List of Error Codes'!$E$29,
    IFERROR(VLOOKUP(Errors!$I838, 'List of Error Codes'!D837:I867, 6, FALSE), 'List of Error Codes'!$E$29)
)</f>
        <v>Please select ERROR CODE column "I"</v>
      </c>
      <c r="M838" s="209"/>
      <c r="N838" s="209"/>
      <c r="O838" s="209"/>
      <c r="P838" s="209"/>
      <c r="Q838" s="209"/>
      <c r="R838" s="217"/>
      <c r="S838" s="217"/>
      <c r="T838" s="217"/>
      <c r="U838" s="199"/>
      <c r="V838" s="200"/>
      <c r="W838" s="200"/>
      <c r="X838" s="200"/>
      <c r="Y838" s="200"/>
      <c r="Z838" s="200"/>
      <c r="AA838" s="201"/>
      <c r="AB838" s="200"/>
      <c r="AC838" s="200"/>
    </row>
    <row r="839" ht="15.0" customHeight="1">
      <c r="A839" s="210">
        <f t="shared" si="1"/>
        <v>837</v>
      </c>
      <c r="B839" s="217"/>
      <c r="C839" s="217" t="str">
        <f>IFERROR(VLOOKUP(B839, SourceData!$U$3:$V$190, 2, FALSE), "")</f>
        <v/>
      </c>
      <c r="D839" s="240"/>
      <c r="E839" s="241"/>
      <c r="F839" s="248"/>
      <c r="G839" s="207"/>
      <c r="H839" s="209"/>
      <c r="I839" s="209"/>
      <c r="J839" s="209"/>
      <c r="K839" s="208" t="str">
        <f>IF(Errors!$I839=0,SourceData!$B$42,VLOOKUP(Errors!$I839,SourceData!$A$2:$B$40,2,FALSE))</f>
        <v>Please select ERROR CODE column "I"</v>
      </c>
      <c r="L839" s="207" t="str">
        <f>IF(Errors!$I839=0,
    'List of Error Codes'!$E$29,
    IFERROR(VLOOKUP(Errors!$I839, 'List of Error Codes'!D838:I868, 6, FALSE), 'List of Error Codes'!$E$29)
)</f>
        <v>Please select ERROR CODE column "I"</v>
      </c>
      <c r="M839" s="209"/>
      <c r="N839" s="209"/>
      <c r="O839" s="209"/>
      <c r="P839" s="209"/>
      <c r="Q839" s="209"/>
      <c r="R839" s="217"/>
      <c r="S839" s="217"/>
      <c r="T839" s="217"/>
      <c r="U839" s="199"/>
      <c r="V839" s="200"/>
      <c r="W839" s="200"/>
      <c r="X839" s="200"/>
      <c r="Y839" s="200"/>
      <c r="Z839" s="200"/>
      <c r="AA839" s="201"/>
      <c r="AB839" s="200"/>
      <c r="AC839" s="200"/>
    </row>
    <row r="840" ht="15.0" customHeight="1">
      <c r="A840" s="210">
        <f t="shared" si="1"/>
        <v>838</v>
      </c>
      <c r="B840" s="217"/>
      <c r="C840" s="217" t="str">
        <f>IFERROR(VLOOKUP(B840, SourceData!$U$3:$V$190, 2, FALSE), "")</f>
        <v/>
      </c>
      <c r="D840" s="240"/>
      <c r="E840" s="241"/>
      <c r="F840" s="248"/>
      <c r="G840" s="207"/>
      <c r="H840" s="209"/>
      <c r="I840" s="209"/>
      <c r="J840" s="209"/>
      <c r="K840" s="208" t="str">
        <f>IF(Errors!$I840=0,SourceData!$B$42,VLOOKUP(Errors!$I840,SourceData!$A$2:$B$40,2,FALSE))</f>
        <v>Please select ERROR CODE column "I"</v>
      </c>
      <c r="L840" s="207" t="str">
        <f>IF(Errors!$I840=0,
    'List of Error Codes'!$E$29,
    IFERROR(VLOOKUP(Errors!$I840, 'List of Error Codes'!D839:I869, 6, FALSE), 'List of Error Codes'!$E$29)
)</f>
        <v>Please select ERROR CODE column "I"</v>
      </c>
      <c r="M840" s="209"/>
      <c r="N840" s="209"/>
      <c r="O840" s="209"/>
      <c r="P840" s="209"/>
      <c r="Q840" s="209"/>
      <c r="R840" s="217"/>
      <c r="S840" s="217"/>
      <c r="T840" s="217"/>
      <c r="U840" s="199"/>
      <c r="V840" s="200"/>
      <c r="W840" s="200"/>
      <c r="X840" s="200"/>
      <c r="Y840" s="200"/>
      <c r="Z840" s="200"/>
      <c r="AA840" s="201"/>
      <c r="AB840" s="200"/>
      <c r="AC840" s="200"/>
    </row>
    <row r="841" ht="15.0" customHeight="1">
      <c r="A841" s="210">
        <f t="shared" si="1"/>
        <v>839</v>
      </c>
      <c r="B841" s="217"/>
      <c r="C841" s="217" t="str">
        <f>IFERROR(VLOOKUP(B841, SourceData!$U$3:$V$190, 2, FALSE), "")</f>
        <v/>
      </c>
      <c r="D841" s="240"/>
      <c r="E841" s="241"/>
      <c r="F841" s="248"/>
      <c r="G841" s="207"/>
      <c r="H841" s="209"/>
      <c r="I841" s="209"/>
      <c r="J841" s="209"/>
      <c r="K841" s="208" t="str">
        <f>IF(Errors!$I841=0,SourceData!$B$42,VLOOKUP(Errors!$I841,SourceData!$A$2:$B$40,2,FALSE))</f>
        <v>Please select ERROR CODE column "I"</v>
      </c>
      <c r="L841" s="207" t="str">
        <f>IF(Errors!$I841=0,
    'List of Error Codes'!$E$29,
    IFERROR(VLOOKUP(Errors!$I841, 'List of Error Codes'!D840:I870, 6, FALSE), 'List of Error Codes'!$E$29)
)</f>
        <v>Please select ERROR CODE column "I"</v>
      </c>
      <c r="M841" s="209"/>
      <c r="N841" s="209"/>
      <c r="O841" s="209"/>
      <c r="P841" s="209"/>
      <c r="Q841" s="209"/>
      <c r="R841" s="217"/>
      <c r="S841" s="217"/>
      <c r="T841" s="217"/>
      <c r="U841" s="199"/>
      <c r="V841" s="200"/>
      <c r="W841" s="200"/>
      <c r="X841" s="200"/>
      <c r="Y841" s="200"/>
      <c r="Z841" s="200"/>
      <c r="AA841" s="201"/>
      <c r="AB841" s="200"/>
      <c r="AC841" s="200"/>
    </row>
    <row r="842" ht="15.0" customHeight="1">
      <c r="A842" s="210">
        <f t="shared" si="1"/>
        <v>840</v>
      </c>
      <c r="B842" s="217"/>
      <c r="C842" s="217" t="str">
        <f>IFERROR(VLOOKUP(B842, SourceData!$U$3:$V$190, 2, FALSE), "")</f>
        <v/>
      </c>
      <c r="D842" s="240"/>
      <c r="E842" s="241"/>
      <c r="F842" s="248"/>
      <c r="G842" s="207"/>
      <c r="H842" s="209"/>
      <c r="I842" s="209"/>
      <c r="J842" s="209"/>
      <c r="K842" s="208" t="str">
        <f>IF(Errors!$I842=0,SourceData!$B$42,VLOOKUP(Errors!$I842,SourceData!$A$2:$B$40,2,FALSE))</f>
        <v>Please select ERROR CODE column "I"</v>
      </c>
      <c r="L842" s="207" t="str">
        <f>IF(Errors!$I842=0,
    'List of Error Codes'!$E$29,
    IFERROR(VLOOKUP(Errors!$I842, 'List of Error Codes'!D841:I871, 6, FALSE), 'List of Error Codes'!$E$29)
)</f>
        <v>Please select ERROR CODE column "I"</v>
      </c>
      <c r="M842" s="209"/>
      <c r="N842" s="209"/>
      <c r="O842" s="209"/>
      <c r="P842" s="209"/>
      <c r="Q842" s="209"/>
      <c r="R842" s="217"/>
      <c r="S842" s="217"/>
      <c r="T842" s="217"/>
      <c r="U842" s="199"/>
      <c r="V842" s="200"/>
      <c r="W842" s="200"/>
      <c r="X842" s="200"/>
      <c r="Y842" s="200"/>
      <c r="Z842" s="200"/>
      <c r="AA842" s="201"/>
      <c r="AB842" s="200"/>
      <c r="AC842" s="200"/>
    </row>
    <row r="843" ht="15.0" customHeight="1">
      <c r="A843" s="210">
        <f t="shared" si="1"/>
        <v>841</v>
      </c>
      <c r="B843" s="217"/>
      <c r="C843" s="217" t="str">
        <f>IFERROR(VLOOKUP(B843, SourceData!$U$3:$V$190, 2, FALSE), "")</f>
        <v/>
      </c>
      <c r="D843" s="240"/>
      <c r="E843" s="241"/>
      <c r="F843" s="248"/>
      <c r="G843" s="207"/>
      <c r="H843" s="209"/>
      <c r="I843" s="209"/>
      <c r="J843" s="209"/>
      <c r="K843" s="208" t="str">
        <f>IF(Errors!$I843=0,SourceData!$B$42,VLOOKUP(Errors!$I843,SourceData!$A$2:$B$40,2,FALSE))</f>
        <v>Please select ERROR CODE column "I"</v>
      </c>
      <c r="L843" s="207" t="str">
        <f>IF(Errors!$I843=0,
    'List of Error Codes'!$E$29,
    IFERROR(VLOOKUP(Errors!$I843, 'List of Error Codes'!D842:I872, 6, FALSE), 'List of Error Codes'!$E$29)
)</f>
        <v>Please select ERROR CODE column "I"</v>
      </c>
      <c r="M843" s="209"/>
      <c r="N843" s="209"/>
      <c r="O843" s="209"/>
      <c r="P843" s="209"/>
      <c r="Q843" s="209"/>
      <c r="R843" s="217"/>
      <c r="S843" s="217"/>
      <c r="T843" s="217"/>
      <c r="U843" s="199"/>
      <c r="V843" s="200"/>
      <c r="W843" s="200"/>
      <c r="X843" s="200"/>
      <c r="Y843" s="200"/>
      <c r="Z843" s="200"/>
      <c r="AA843" s="201"/>
      <c r="AB843" s="200"/>
      <c r="AC843" s="200"/>
    </row>
    <row r="844" ht="15.0" customHeight="1">
      <c r="A844" s="210">
        <f t="shared" si="1"/>
        <v>842</v>
      </c>
      <c r="B844" s="217"/>
      <c r="C844" s="217" t="str">
        <f>IFERROR(VLOOKUP(B844, SourceData!$U$3:$V$190, 2, FALSE), "")</f>
        <v/>
      </c>
      <c r="D844" s="240"/>
      <c r="E844" s="241"/>
      <c r="F844" s="248"/>
      <c r="G844" s="207"/>
      <c r="H844" s="209"/>
      <c r="I844" s="209"/>
      <c r="J844" s="209"/>
      <c r="K844" s="208" t="str">
        <f>IF(Errors!$I844=0,SourceData!$B$42,VLOOKUP(Errors!$I844,SourceData!$A$2:$B$40,2,FALSE))</f>
        <v>Please select ERROR CODE column "I"</v>
      </c>
      <c r="L844" s="207" t="str">
        <f>IF(Errors!$I844=0,
    'List of Error Codes'!$E$29,
    IFERROR(VLOOKUP(Errors!$I844, 'List of Error Codes'!D843:I873, 6, FALSE), 'List of Error Codes'!$E$29)
)</f>
        <v>Please select ERROR CODE column "I"</v>
      </c>
      <c r="M844" s="209"/>
      <c r="N844" s="209"/>
      <c r="O844" s="209"/>
      <c r="P844" s="209"/>
      <c r="Q844" s="209"/>
      <c r="R844" s="217"/>
      <c r="S844" s="217"/>
      <c r="T844" s="217"/>
      <c r="U844" s="199"/>
      <c r="V844" s="200"/>
      <c r="W844" s="200"/>
      <c r="X844" s="200"/>
      <c r="Y844" s="200"/>
      <c r="Z844" s="200"/>
      <c r="AA844" s="201"/>
      <c r="AB844" s="200"/>
      <c r="AC844" s="200"/>
    </row>
    <row r="845" ht="15.0" customHeight="1">
      <c r="A845" s="210">
        <f t="shared" si="1"/>
        <v>843</v>
      </c>
      <c r="B845" s="217"/>
      <c r="C845" s="217" t="str">
        <f>IFERROR(VLOOKUP(B845, SourceData!$U$3:$V$190, 2, FALSE), "")</f>
        <v/>
      </c>
      <c r="D845" s="240"/>
      <c r="E845" s="241"/>
      <c r="F845" s="248"/>
      <c r="G845" s="207"/>
      <c r="H845" s="209"/>
      <c r="I845" s="209"/>
      <c r="J845" s="209"/>
      <c r="K845" s="208" t="str">
        <f>IF(Errors!$I845=0,SourceData!$B$42,VLOOKUP(Errors!$I845,SourceData!$A$2:$B$40,2,FALSE))</f>
        <v>Please select ERROR CODE column "I"</v>
      </c>
      <c r="L845" s="207" t="str">
        <f>IF(Errors!$I845=0,
    'List of Error Codes'!$E$29,
    IFERROR(VLOOKUP(Errors!$I845, 'List of Error Codes'!D844:I874, 6, FALSE), 'List of Error Codes'!$E$29)
)</f>
        <v>Please select ERROR CODE column "I"</v>
      </c>
      <c r="M845" s="209"/>
      <c r="N845" s="209"/>
      <c r="O845" s="209"/>
      <c r="P845" s="209"/>
      <c r="Q845" s="209"/>
      <c r="R845" s="217"/>
      <c r="S845" s="217"/>
      <c r="T845" s="217"/>
      <c r="U845" s="199"/>
      <c r="V845" s="200"/>
      <c r="W845" s="200"/>
      <c r="X845" s="200"/>
      <c r="Y845" s="200"/>
      <c r="Z845" s="200"/>
      <c r="AA845" s="201"/>
      <c r="AB845" s="200"/>
      <c r="AC845" s="200"/>
    </row>
    <row r="846" ht="15.0" customHeight="1">
      <c r="A846" s="210">
        <f t="shared" si="1"/>
        <v>844</v>
      </c>
      <c r="B846" s="217"/>
      <c r="C846" s="217" t="str">
        <f>IFERROR(VLOOKUP(B846, SourceData!$U$3:$V$190, 2, FALSE), "")</f>
        <v/>
      </c>
      <c r="D846" s="240"/>
      <c r="E846" s="241"/>
      <c r="F846" s="248"/>
      <c r="G846" s="207"/>
      <c r="H846" s="209"/>
      <c r="I846" s="209"/>
      <c r="J846" s="209"/>
      <c r="K846" s="208" t="str">
        <f>IF(Errors!$I846=0,SourceData!$B$42,VLOOKUP(Errors!$I846,SourceData!$A$2:$B$40,2,FALSE))</f>
        <v>Please select ERROR CODE column "I"</v>
      </c>
      <c r="L846" s="207" t="str">
        <f>IF(Errors!$I846=0,
    'List of Error Codes'!$E$29,
    IFERROR(VLOOKUP(Errors!$I846, 'List of Error Codes'!D845:I875, 6, FALSE), 'List of Error Codes'!$E$29)
)</f>
        <v>Please select ERROR CODE column "I"</v>
      </c>
      <c r="M846" s="209"/>
      <c r="N846" s="209"/>
      <c r="O846" s="209"/>
      <c r="P846" s="209"/>
      <c r="Q846" s="209"/>
      <c r="R846" s="217"/>
      <c r="S846" s="217"/>
      <c r="T846" s="217"/>
      <c r="U846" s="199"/>
      <c r="V846" s="200"/>
      <c r="W846" s="200"/>
      <c r="X846" s="200"/>
      <c r="Y846" s="200"/>
      <c r="Z846" s="200"/>
      <c r="AA846" s="201"/>
      <c r="AB846" s="200"/>
      <c r="AC846" s="200"/>
    </row>
    <row r="847" ht="15.0" customHeight="1">
      <c r="A847" s="210">
        <f t="shared" si="1"/>
        <v>845</v>
      </c>
      <c r="B847" s="217"/>
      <c r="C847" s="217" t="str">
        <f>IFERROR(VLOOKUP(B847, SourceData!$U$3:$V$190, 2, FALSE), "")</f>
        <v/>
      </c>
      <c r="D847" s="240"/>
      <c r="E847" s="241"/>
      <c r="F847" s="248"/>
      <c r="G847" s="207"/>
      <c r="H847" s="209"/>
      <c r="I847" s="209"/>
      <c r="J847" s="209"/>
      <c r="K847" s="208" t="str">
        <f>IF(Errors!$I847=0,SourceData!$B$42,VLOOKUP(Errors!$I847,SourceData!$A$2:$B$40,2,FALSE))</f>
        <v>Please select ERROR CODE column "I"</v>
      </c>
      <c r="L847" s="207" t="str">
        <f>IF(Errors!$I847=0,
    'List of Error Codes'!$E$29,
    IFERROR(VLOOKUP(Errors!$I847, 'List of Error Codes'!D846:I876, 6, FALSE), 'List of Error Codes'!$E$29)
)</f>
        <v>Please select ERROR CODE column "I"</v>
      </c>
      <c r="M847" s="209"/>
      <c r="N847" s="209"/>
      <c r="O847" s="209"/>
      <c r="P847" s="209"/>
      <c r="Q847" s="209"/>
      <c r="R847" s="217"/>
      <c r="S847" s="217"/>
      <c r="T847" s="217"/>
      <c r="U847" s="199"/>
      <c r="V847" s="200"/>
      <c r="W847" s="200"/>
      <c r="X847" s="200"/>
      <c r="Y847" s="200"/>
      <c r="Z847" s="200"/>
      <c r="AA847" s="201"/>
      <c r="AB847" s="200"/>
      <c r="AC847" s="200"/>
    </row>
    <row r="848" ht="15.0" customHeight="1">
      <c r="A848" s="210">
        <f t="shared" si="1"/>
        <v>846</v>
      </c>
      <c r="B848" s="217"/>
      <c r="C848" s="217" t="str">
        <f>IFERROR(VLOOKUP(B848, SourceData!$U$3:$V$190, 2, FALSE), "")</f>
        <v/>
      </c>
      <c r="D848" s="240"/>
      <c r="E848" s="241"/>
      <c r="F848" s="248"/>
      <c r="G848" s="207"/>
      <c r="H848" s="209"/>
      <c r="I848" s="209"/>
      <c r="J848" s="209"/>
      <c r="K848" s="208" t="str">
        <f>IF(Errors!$I848=0,SourceData!$B$42,VLOOKUP(Errors!$I848,SourceData!$A$2:$B$40,2,FALSE))</f>
        <v>Please select ERROR CODE column "I"</v>
      </c>
      <c r="L848" s="207" t="str">
        <f>IF(Errors!$I848=0,
    'List of Error Codes'!$E$29,
    IFERROR(VLOOKUP(Errors!$I848, 'List of Error Codes'!D847:I877, 6, FALSE), 'List of Error Codes'!$E$29)
)</f>
        <v>Please select ERROR CODE column "I"</v>
      </c>
      <c r="M848" s="209"/>
      <c r="N848" s="209"/>
      <c r="O848" s="209"/>
      <c r="P848" s="209"/>
      <c r="Q848" s="209"/>
      <c r="R848" s="217"/>
      <c r="S848" s="217"/>
      <c r="T848" s="217"/>
      <c r="U848" s="199"/>
      <c r="V848" s="200"/>
      <c r="W848" s="200"/>
      <c r="X848" s="200"/>
      <c r="Y848" s="200"/>
      <c r="Z848" s="200"/>
      <c r="AA848" s="201"/>
      <c r="AB848" s="200"/>
      <c r="AC848" s="200"/>
    </row>
    <row r="849" ht="15.0" customHeight="1">
      <c r="A849" s="210">
        <f t="shared" si="1"/>
        <v>847</v>
      </c>
      <c r="B849" s="217"/>
      <c r="C849" s="217" t="str">
        <f>IFERROR(VLOOKUP(B849, SourceData!$U$3:$V$190, 2, FALSE), "")</f>
        <v/>
      </c>
      <c r="D849" s="240"/>
      <c r="E849" s="241"/>
      <c r="F849" s="248"/>
      <c r="G849" s="207"/>
      <c r="H849" s="209"/>
      <c r="I849" s="209"/>
      <c r="J849" s="209"/>
      <c r="K849" s="208" t="str">
        <f>IF(Errors!$I849=0,SourceData!$B$42,VLOOKUP(Errors!$I849,SourceData!$A$2:$B$40,2,FALSE))</f>
        <v>Please select ERROR CODE column "I"</v>
      </c>
      <c r="L849" s="207" t="str">
        <f>IF(Errors!$I849=0,
    'List of Error Codes'!$E$29,
    IFERROR(VLOOKUP(Errors!$I849, 'List of Error Codes'!D848:I878, 6, FALSE), 'List of Error Codes'!$E$29)
)</f>
        <v>Please select ERROR CODE column "I"</v>
      </c>
      <c r="M849" s="209"/>
      <c r="N849" s="209"/>
      <c r="O849" s="209"/>
      <c r="P849" s="209"/>
      <c r="Q849" s="209"/>
      <c r="R849" s="217"/>
      <c r="S849" s="217"/>
      <c r="T849" s="217"/>
      <c r="U849" s="199"/>
      <c r="V849" s="200"/>
      <c r="W849" s="200"/>
      <c r="X849" s="200"/>
      <c r="Y849" s="200"/>
      <c r="Z849" s="200"/>
      <c r="AA849" s="201"/>
      <c r="AB849" s="200"/>
      <c r="AC849" s="200"/>
    </row>
    <row r="850" ht="15.0" customHeight="1">
      <c r="A850" s="210">
        <f t="shared" si="1"/>
        <v>848</v>
      </c>
      <c r="B850" s="217"/>
      <c r="C850" s="217" t="str">
        <f>IFERROR(VLOOKUP(B850, SourceData!$U$3:$V$190, 2, FALSE), "")</f>
        <v/>
      </c>
      <c r="D850" s="240"/>
      <c r="E850" s="241"/>
      <c r="F850" s="248"/>
      <c r="G850" s="207"/>
      <c r="H850" s="209"/>
      <c r="I850" s="209"/>
      <c r="J850" s="209"/>
      <c r="K850" s="208" t="str">
        <f>IF(Errors!$I850=0,SourceData!$B$42,VLOOKUP(Errors!$I850,SourceData!$A$2:$B$40,2,FALSE))</f>
        <v>Please select ERROR CODE column "I"</v>
      </c>
      <c r="L850" s="207" t="str">
        <f>IF(Errors!$I850=0,
    'List of Error Codes'!$E$29,
    IFERROR(VLOOKUP(Errors!$I850, 'List of Error Codes'!D849:I879, 6, FALSE), 'List of Error Codes'!$E$29)
)</f>
        <v>Please select ERROR CODE column "I"</v>
      </c>
      <c r="M850" s="209"/>
      <c r="N850" s="209"/>
      <c r="O850" s="209"/>
      <c r="P850" s="209"/>
      <c r="Q850" s="209"/>
      <c r="R850" s="217"/>
      <c r="S850" s="217"/>
      <c r="T850" s="217"/>
      <c r="U850" s="199"/>
      <c r="V850" s="200"/>
      <c r="W850" s="200"/>
      <c r="X850" s="200"/>
      <c r="Y850" s="200"/>
      <c r="Z850" s="200"/>
      <c r="AA850" s="201"/>
      <c r="AB850" s="200"/>
      <c r="AC850" s="200"/>
    </row>
    <row r="851" ht="15.0" customHeight="1">
      <c r="A851" s="210">
        <f t="shared" si="1"/>
        <v>849</v>
      </c>
      <c r="B851" s="217"/>
      <c r="C851" s="217" t="str">
        <f>IFERROR(VLOOKUP(B851, SourceData!$U$3:$V$190, 2, FALSE), "")</f>
        <v/>
      </c>
      <c r="D851" s="240"/>
      <c r="E851" s="241"/>
      <c r="F851" s="248"/>
      <c r="G851" s="207"/>
      <c r="H851" s="209"/>
      <c r="I851" s="209"/>
      <c r="J851" s="209"/>
      <c r="K851" s="208" t="str">
        <f>IF(Errors!$I851=0,SourceData!$B$42,VLOOKUP(Errors!$I851,SourceData!$A$2:$B$40,2,FALSE))</f>
        <v>Please select ERROR CODE column "I"</v>
      </c>
      <c r="L851" s="207" t="str">
        <f>IF(Errors!$I851=0,
    'List of Error Codes'!$E$29,
    IFERROR(VLOOKUP(Errors!$I851, 'List of Error Codes'!D850:I880, 6, FALSE), 'List of Error Codes'!$E$29)
)</f>
        <v>Please select ERROR CODE column "I"</v>
      </c>
      <c r="M851" s="209"/>
      <c r="N851" s="209"/>
      <c r="O851" s="209"/>
      <c r="P851" s="209"/>
      <c r="Q851" s="209"/>
      <c r="R851" s="217"/>
      <c r="S851" s="217"/>
      <c r="T851" s="217"/>
      <c r="U851" s="199"/>
      <c r="V851" s="200"/>
      <c r="W851" s="200"/>
      <c r="X851" s="200"/>
      <c r="Y851" s="200"/>
      <c r="Z851" s="200"/>
      <c r="AA851" s="201"/>
      <c r="AB851" s="200"/>
      <c r="AC851" s="200"/>
    </row>
    <row r="852" ht="15.75" customHeight="1">
      <c r="A852" s="210">
        <f t="shared" si="1"/>
        <v>850</v>
      </c>
      <c r="B852" s="217"/>
      <c r="C852" s="217" t="str">
        <f>IFERROR(VLOOKUP(B852, SourceData!$U$3:$V$190, 2, FALSE), "")</f>
        <v/>
      </c>
      <c r="D852" s="240"/>
      <c r="E852" s="241"/>
      <c r="F852" s="248"/>
      <c r="G852" s="207"/>
      <c r="H852" s="209"/>
      <c r="I852" s="209"/>
      <c r="J852" s="209"/>
      <c r="K852" s="208" t="str">
        <f>IF(Errors!$I852=0,SourceData!$B$42,VLOOKUP(Errors!$I852,SourceData!$A$2:$B$40,2,FALSE))</f>
        <v>Please select ERROR CODE column "I"</v>
      </c>
      <c r="L852" s="207" t="str">
        <f>IF(Errors!$I852=0,
    'List of Error Codes'!$E$29,
    IFERROR(VLOOKUP(Errors!$I852, 'List of Error Codes'!D851:I881, 6, FALSE), 'List of Error Codes'!$E$29)
)</f>
        <v>Please select ERROR CODE column "I"</v>
      </c>
      <c r="M852" s="209"/>
      <c r="N852" s="209"/>
      <c r="O852" s="209"/>
      <c r="P852" s="209"/>
      <c r="Q852" s="209"/>
      <c r="R852" s="217"/>
      <c r="S852" s="217"/>
      <c r="T852" s="217"/>
      <c r="U852" s="199"/>
      <c r="V852" s="200"/>
      <c r="W852" s="200"/>
      <c r="X852" s="200"/>
      <c r="Y852" s="200"/>
      <c r="Z852" s="200"/>
      <c r="AA852" s="201"/>
      <c r="AB852" s="200"/>
      <c r="AC852" s="200"/>
    </row>
    <row r="853" ht="15.75" customHeight="1">
      <c r="A853" s="210">
        <f t="shared" si="1"/>
        <v>851</v>
      </c>
      <c r="B853" s="217"/>
      <c r="C853" s="217" t="str">
        <f>IFERROR(VLOOKUP(B853, SourceData!$U$3:$V$190, 2, FALSE), "")</f>
        <v/>
      </c>
      <c r="D853" s="240"/>
      <c r="E853" s="241"/>
      <c r="F853" s="248"/>
      <c r="G853" s="207"/>
      <c r="H853" s="209"/>
      <c r="I853" s="209"/>
      <c r="J853" s="209"/>
      <c r="K853" s="208" t="str">
        <f>IF(Errors!$I853=0,SourceData!$B$42,VLOOKUP(Errors!$I853,SourceData!$A$2:$B$40,2,FALSE))</f>
        <v>Please select ERROR CODE column "I"</v>
      </c>
      <c r="L853" s="207" t="str">
        <f>IF(Errors!$I853=0,
    'List of Error Codes'!$E$29,
    IFERROR(VLOOKUP(Errors!$I853, 'List of Error Codes'!D852:I882, 6, FALSE), 'List of Error Codes'!$E$29)
)</f>
        <v>Please select ERROR CODE column "I"</v>
      </c>
      <c r="M853" s="209"/>
      <c r="N853" s="209"/>
      <c r="O853" s="209"/>
      <c r="P853" s="209"/>
      <c r="Q853" s="209"/>
      <c r="R853" s="217"/>
      <c r="S853" s="217"/>
      <c r="T853" s="217"/>
      <c r="U853" s="199"/>
      <c r="V853" s="200"/>
      <c r="W853" s="200"/>
      <c r="X853" s="200"/>
      <c r="Y853" s="200"/>
      <c r="Z853" s="200"/>
      <c r="AA853" s="201"/>
      <c r="AB853" s="200"/>
      <c r="AC853" s="200"/>
    </row>
    <row r="854" ht="15.75" customHeight="1">
      <c r="A854" s="210">
        <f t="shared" si="1"/>
        <v>852</v>
      </c>
      <c r="B854" s="217"/>
      <c r="C854" s="217" t="str">
        <f>IFERROR(VLOOKUP(B854, SourceData!$U$3:$V$190, 2, FALSE), "")</f>
        <v/>
      </c>
      <c r="D854" s="240"/>
      <c r="E854" s="241"/>
      <c r="F854" s="248"/>
      <c r="G854" s="207"/>
      <c r="H854" s="209"/>
      <c r="I854" s="209"/>
      <c r="J854" s="209"/>
      <c r="K854" s="208" t="str">
        <f>IF(Errors!$I854=0,SourceData!$B$42,VLOOKUP(Errors!$I854,SourceData!$A$2:$B$40,2,FALSE))</f>
        <v>Please select ERROR CODE column "I"</v>
      </c>
      <c r="L854" s="207" t="str">
        <f>IF(Errors!$I854=0,
    'List of Error Codes'!$E$29,
    IFERROR(VLOOKUP(Errors!$I854, 'List of Error Codes'!D853:I883, 6, FALSE), 'List of Error Codes'!$E$29)
)</f>
        <v>Please select ERROR CODE column "I"</v>
      </c>
      <c r="M854" s="209"/>
      <c r="N854" s="209"/>
      <c r="O854" s="209"/>
      <c r="P854" s="209"/>
      <c r="Q854" s="209"/>
      <c r="R854" s="217"/>
      <c r="S854" s="217"/>
      <c r="T854" s="217"/>
      <c r="U854" s="199"/>
      <c r="V854" s="200"/>
      <c r="W854" s="200"/>
      <c r="X854" s="200"/>
      <c r="Y854" s="200"/>
      <c r="Z854" s="200"/>
      <c r="AA854" s="201"/>
      <c r="AB854" s="200"/>
      <c r="AC854" s="200"/>
    </row>
    <row r="855" ht="15.75" customHeight="1">
      <c r="A855" s="210">
        <f t="shared" si="1"/>
        <v>853</v>
      </c>
      <c r="B855" s="217"/>
      <c r="C855" s="217" t="str">
        <f>IFERROR(VLOOKUP(B855, SourceData!$U$3:$V$190, 2, FALSE), "")</f>
        <v/>
      </c>
      <c r="D855" s="240"/>
      <c r="E855" s="241"/>
      <c r="F855" s="248"/>
      <c r="G855" s="207"/>
      <c r="H855" s="209"/>
      <c r="I855" s="209"/>
      <c r="J855" s="209"/>
      <c r="K855" s="208" t="str">
        <f>IF(Errors!$I855=0,SourceData!$B$42,VLOOKUP(Errors!$I855,SourceData!$A$2:$B$40,2,FALSE))</f>
        <v>Please select ERROR CODE column "I"</v>
      </c>
      <c r="L855" s="207" t="str">
        <f>IF(Errors!$I855=0,
    'List of Error Codes'!$E$29,
    IFERROR(VLOOKUP(Errors!$I855, 'List of Error Codes'!D854:I884, 6, FALSE), 'List of Error Codes'!$E$29)
)</f>
        <v>Please select ERROR CODE column "I"</v>
      </c>
      <c r="M855" s="209"/>
      <c r="N855" s="209"/>
      <c r="O855" s="209"/>
      <c r="P855" s="209"/>
      <c r="Q855" s="209"/>
      <c r="R855" s="217"/>
      <c r="S855" s="217"/>
      <c r="T855" s="217"/>
      <c r="U855" s="199"/>
      <c r="V855" s="200"/>
      <c r="W855" s="200"/>
      <c r="X855" s="200"/>
      <c r="Y855" s="200"/>
      <c r="Z855" s="200"/>
      <c r="AA855" s="201"/>
      <c r="AB855" s="200"/>
      <c r="AC855" s="200"/>
    </row>
    <row r="856" ht="15.75" customHeight="1">
      <c r="A856" s="210">
        <f t="shared" si="1"/>
        <v>854</v>
      </c>
      <c r="B856" s="217"/>
      <c r="C856" s="217" t="str">
        <f>IFERROR(VLOOKUP(B856, SourceData!$U$3:$V$190, 2, FALSE), "")</f>
        <v/>
      </c>
      <c r="D856" s="240"/>
      <c r="E856" s="241"/>
      <c r="F856" s="248"/>
      <c r="G856" s="207"/>
      <c r="H856" s="209"/>
      <c r="I856" s="209"/>
      <c r="J856" s="209"/>
      <c r="K856" s="208" t="str">
        <f>IF(Errors!$I856=0,SourceData!$B$42,VLOOKUP(Errors!$I856,SourceData!$A$2:$B$40,2,FALSE))</f>
        <v>Please select ERROR CODE column "I"</v>
      </c>
      <c r="L856" s="207" t="str">
        <f>IF(Errors!$I856=0,
    'List of Error Codes'!$E$29,
    IFERROR(VLOOKUP(Errors!$I856, 'List of Error Codes'!D855:I885, 6, FALSE), 'List of Error Codes'!$E$29)
)</f>
        <v>Please select ERROR CODE column "I"</v>
      </c>
      <c r="M856" s="209"/>
      <c r="N856" s="209"/>
      <c r="O856" s="209"/>
      <c r="P856" s="209"/>
      <c r="Q856" s="209"/>
      <c r="R856" s="217"/>
      <c r="S856" s="217"/>
      <c r="T856" s="217"/>
      <c r="U856" s="199"/>
      <c r="V856" s="200"/>
      <c r="W856" s="200"/>
      <c r="X856" s="200"/>
      <c r="Y856" s="200"/>
      <c r="Z856" s="200"/>
      <c r="AA856" s="201"/>
      <c r="AB856" s="200"/>
      <c r="AC856" s="200"/>
    </row>
    <row r="857" ht="15.75" customHeight="1">
      <c r="A857" s="210">
        <f t="shared" si="1"/>
        <v>855</v>
      </c>
      <c r="B857" s="217"/>
      <c r="C857" s="217" t="str">
        <f>IFERROR(VLOOKUP(B857, SourceData!$U$3:$V$190, 2, FALSE), "")</f>
        <v/>
      </c>
      <c r="D857" s="240"/>
      <c r="E857" s="241"/>
      <c r="F857" s="248"/>
      <c r="G857" s="207"/>
      <c r="H857" s="209"/>
      <c r="I857" s="209"/>
      <c r="J857" s="209"/>
      <c r="K857" s="208" t="str">
        <f>IF(Errors!$I857=0,SourceData!$B$42,VLOOKUP(Errors!$I857,SourceData!$A$2:$B$40,2,FALSE))</f>
        <v>Please select ERROR CODE column "I"</v>
      </c>
      <c r="L857" s="207" t="str">
        <f>IF(Errors!$I857=0,
    'List of Error Codes'!$E$29,
    IFERROR(VLOOKUP(Errors!$I857, 'List of Error Codes'!D856:I886, 6, FALSE), 'List of Error Codes'!$E$29)
)</f>
        <v>Please select ERROR CODE column "I"</v>
      </c>
      <c r="M857" s="209"/>
      <c r="N857" s="209"/>
      <c r="O857" s="209"/>
      <c r="P857" s="209"/>
      <c r="Q857" s="209"/>
      <c r="R857" s="217"/>
      <c r="S857" s="217"/>
      <c r="T857" s="217"/>
      <c r="U857" s="199"/>
      <c r="V857" s="200"/>
      <c r="W857" s="200"/>
      <c r="X857" s="200"/>
      <c r="Y857" s="200"/>
      <c r="Z857" s="200"/>
      <c r="AA857" s="201"/>
      <c r="AB857" s="200"/>
      <c r="AC857" s="200"/>
    </row>
    <row r="858" ht="15.75" customHeight="1">
      <c r="A858" s="210">
        <f t="shared" si="1"/>
        <v>856</v>
      </c>
      <c r="B858" s="217"/>
      <c r="C858" s="217" t="str">
        <f>IFERROR(VLOOKUP(B858, SourceData!$U$3:$V$190, 2, FALSE), "")</f>
        <v/>
      </c>
      <c r="D858" s="240"/>
      <c r="E858" s="241"/>
      <c r="F858" s="248"/>
      <c r="G858" s="207"/>
      <c r="H858" s="209"/>
      <c r="I858" s="209"/>
      <c r="J858" s="209"/>
      <c r="K858" s="208" t="str">
        <f>IF(Errors!$I858=0,SourceData!$B$42,VLOOKUP(Errors!$I858,SourceData!$A$2:$B$40,2,FALSE))</f>
        <v>Please select ERROR CODE column "I"</v>
      </c>
      <c r="L858" s="207" t="str">
        <f>IF(Errors!$I858=0,
    'List of Error Codes'!$E$29,
    IFERROR(VLOOKUP(Errors!$I858, 'List of Error Codes'!D857:I887, 6, FALSE), 'List of Error Codes'!$E$29)
)</f>
        <v>Please select ERROR CODE column "I"</v>
      </c>
      <c r="M858" s="209"/>
      <c r="N858" s="209"/>
      <c r="O858" s="209"/>
      <c r="P858" s="209"/>
      <c r="Q858" s="209"/>
      <c r="R858" s="217"/>
      <c r="S858" s="217"/>
      <c r="T858" s="217"/>
      <c r="U858" s="199"/>
      <c r="V858" s="200"/>
      <c r="W858" s="200"/>
      <c r="X858" s="200"/>
      <c r="Y858" s="200"/>
      <c r="Z858" s="200"/>
      <c r="AA858" s="201"/>
      <c r="AB858" s="200"/>
      <c r="AC858" s="200"/>
    </row>
    <row r="859" ht="15.75" customHeight="1">
      <c r="A859" s="210">
        <f t="shared" si="1"/>
        <v>857</v>
      </c>
      <c r="B859" s="217"/>
      <c r="C859" s="217" t="str">
        <f>IFERROR(VLOOKUP(B859, SourceData!$U$3:$V$190, 2, FALSE), "")</f>
        <v/>
      </c>
      <c r="D859" s="240"/>
      <c r="E859" s="241"/>
      <c r="F859" s="248"/>
      <c r="G859" s="207"/>
      <c r="H859" s="209"/>
      <c r="I859" s="209"/>
      <c r="J859" s="209"/>
      <c r="K859" s="208" t="str">
        <f>IF(Errors!$I859=0,SourceData!$B$42,VLOOKUP(Errors!$I859,SourceData!$A$2:$B$40,2,FALSE))</f>
        <v>Please select ERROR CODE column "I"</v>
      </c>
      <c r="L859" s="207" t="str">
        <f>IF(Errors!$I859=0,
    'List of Error Codes'!$E$29,
    IFERROR(VLOOKUP(Errors!$I859, 'List of Error Codes'!D858:I888, 6, FALSE), 'List of Error Codes'!$E$29)
)</f>
        <v>Please select ERROR CODE column "I"</v>
      </c>
      <c r="M859" s="209"/>
      <c r="N859" s="209"/>
      <c r="O859" s="209"/>
      <c r="P859" s="209"/>
      <c r="Q859" s="209"/>
      <c r="R859" s="217"/>
      <c r="S859" s="217"/>
      <c r="T859" s="217"/>
      <c r="U859" s="199"/>
      <c r="V859" s="200"/>
      <c r="W859" s="200"/>
      <c r="X859" s="200"/>
      <c r="Y859" s="200"/>
      <c r="Z859" s="200"/>
      <c r="AA859" s="201"/>
      <c r="AB859" s="200"/>
      <c r="AC859" s="200"/>
    </row>
    <row r="860" ht="15.75" customHeight="1">
      <c r="A860" s="210">
        <f t="shared" si="1"/>
        <v>858</v>
      </c>
      <c r="B860" s="217"/>
      <c r="C860" s="217" t="str">
        <f>IFERROR(VLOOKUP(B860, SourceData!$U$3:$V$190, 2, FALSE), "")</f>
        <v/>
      </c>
      <c r="D860" s="240"/>
      <c r="E860" s="241"/>
      <c r="F860" s="248"/>
      <c r="G860" s="207"/>
      <c r="H860" s="209"/>
      <c r="I860" s="209"/>
      <c r="J860" s="209"/>
      <c r="K860" s="208" t="str">
        <f>IF(Errors!$I860=0,SourceData!$B$42,VLOOKUP(Errors!$I860,SourceData!$A$2:$B$40,2,FALSE))</f>
        <v>Please select ERROR CODE column "I"</v>
      </c>
      <c r="L860" s="207" t="str">
        <f>IF(Errors!$I860=0,
    'List of Error Codes'!$E$29,
    IFERROR(VLOOKUP(Errors!$I860, 'List of Error Codes'!D859:I889, 6, FALSE), 'List of Error Codes'!$E$29)
)</f>
        <v>Please select ERROR CODE column "I"</v>
      </c>
      <c r="M860" s="209"/>
      <c r="N860" s="209"/>
      <c r="O860" s="209"/>
      <c r="P860" s="209"/>
      <c r="Q860" s="209"/>
      <c r="R860" s="217"/>
      <c r="S860" s="217"/>
      <c r="T860" s="217"/>
      <c r="U860" s="199"/>
      <c r="V860" s="200"/>
      <c r="W860" s="200"/>
      <c r="X860" s="200"/>
      <c r="Y860" s="200"/>
      <c r="Z860" s="200"/>
      <c r="AA860" s="201"/>
      <c r="AB860" s="200"/>
      <c r="AC860" s="200"/>
    </row>
    <row r="861" ht="15.75" customHeight="1">
      <c r="A861" s="210">
        <f t="shared" si="1"/>
        <v>859</v>
      </c>
      <c r="B861" s="217"/>
      <c r="C861" s="217" t="str">
        <f>IFERROR(VLOOKUP(B861, SourceData!$U$3:$V$190, 2, FALSE), "")</f>
        <v/>
      </c>
      <c r="D861" s="240"/>
      <c r="E861" s="241"/>
      <c r="F861" s="248"/>
      <c r="G861" s="207"/>
      <c r="H861" s="209"/>
      <c r="I861" s="209"/>
      <c r="J861" s="209"/>
      <c r="K861" s="208" t="str">
        <f>IF(Errors!$I861=0,SourceData!$B$42,VLOOKUP(Errors!$I861,SourceData!$A$2:$B$40,2,FALSE))</f>
        <v>Please select ERROR CODE column "I"</v>
      </c>
      <c r="L861" s="207" t="str">
        <f>IF(Errors!$I861=0,
    'List of Error Codes'!$E$29,
    IFERROR(VLOOKUP(Errors!$I861, 'List of Error Codes'!D860:I890, 6, FALSE), 'List of Error Codes'!$E$29)
)</f>
        <v>Please select ERROR CODE column "I"</v>
      </c>
      <c r="M861" s="209"/>
      <c r="N861" s="209"/>
      <c r="O861" s="209"/>
      <c r="P861" s="209"/>
      <c r="Q861" s="209"/>
      <c r="R861" s="217"/>
      <c r="S861" s="217"/>
      <c r="T861" s="217"/>
      <c r="U861" s="199"/>
      <c r="V861" s="200"/>
      <c r="W861" s="200"/>
      <c r="X861" s="200"/>
      <c r="Y861" s="200"/>
      <c r="Z861" s="200"/>
      <c r="AA861" s="201"/>
      <c r="AB861" s="200"/>
      <c r="AC861" s="200"/>
    </row>
    <row r="862" ht="15.75" customHeight="1">
      <c r="A862" s="210">
        <f t="shared" si="1"/>
        <v>860</v>
      </c>
      <c r="B862" s="217"/>
      <c r="C862" s="217" t="str">
        <f>IFERROR(VLOOKUP(B862, SourceData!$U$3:$V$190, 2, FALSE), "")</f>
        <v/>
      </c>
      <c r="D862" s="240"/>
      <c r="E862" s="241"/>
      <c r="F862" s="248"/>
      <c r="G862" s="207"/>
      <c r="H862" s="209"/>
      <c r="I862" s="209"/>
      <c r="J862" s="209"/>
      <c r="K862" s="208" t="str">
        <f>IF(Errors!$I862=0,SourceData!$B$42,VLOOKUP(Errors!$I862,SourceData!$A$2:$B$40,2,FALSE))</f>
        <v>Please select ERROR CODE column "I"</v>
      </c>
      <c r="L862" s="207" t="str">
        <f>IF(Errors!$I862=0,
    'List of Error Codes'!$E$29,
    IFERROR(VLOOKUP(Errors!$I862, 'List of Error Codes'!D861:I891, 6, FALSE), 'List of Error Codes'!$E$29)
)</f>
        <v>Please select ERROR CODE column "I"</v>
      </c>
      <c r="M862" s="209"/>
      <c r="N862" s="209"/>
      <c r="O862" s="209"/>
      <c r="P862" s="209"/>
      <c r="Q862" s="209"/>
      <c r="R862" s="217"/>
      <c r="S862" s="217"/>
      <c r="T862" s="217"/>
      <c r="U862" s="199"/>
      <c r="V862" s="200"/>
      <c r="W862" s="200"/>
      <c r="X862" s="200"/>
      <c r="Y862" s="200"/>
      <c r="Z862" s="200"/>
      <c r="AA862" s="201"/>
      <c r="AB862" s="200"/>
      <c r="AC862" s="200"/>
    </row>
    <row r="863" ht="15.75" customHeight="1">
      <c r="A863" s="210">
        <f t="shared" si="1"/>
        <v>861</v>
      </c>
      <c r="B863" s="217"/>
      <c r="C863" s="217" t="str">
        <f>IFERROR(VLOOKUP(B863, SourceData!$U$3:$V$190, 2, FALSE), "")</f>
        <v/>
      </c>
      <c r="D863" s="240"/>
      <c r="E863" s="241"/>
      <c r="F863" s="248"/>
      <c r="G863" s="207"/>
      <c r="H863" s="209"/>
      <c r="I863" s="209"/>
      <c r="J863" s="209"/>
      <c r="K863" s="208" t="str">
        <f>IF(Errors!$I863=0,SourceData!$B$42,VLOOKUP(Errors!$I863,SourceData!$A$2:$B$40,2,FALSE))</f>
        <v>Please select ERROR CODE column "I"</v>
      </c>
      <c r="L863" s="207" t="str">
        <f>IF(Errors!$I863=0,
    'List of Error Codes'!$E$29,
    IFERROR(VLOOKUP(Errors!$I863, 'List of Error Codes'!D862:I892, 6, FALSE), 'List of Error Codes'!$E$29)
)</f>
        <v>Please select ERROR CODE column "I"</v>
      </c>
      <c r="M863" s="209"/>
      <c r="N863" s="209"/>
      <c r="O863" s="209"/>
      <c r="P863" s="209"/>
      <c r="Q863" s="209"/>
      <c r="R863" s="217"/>
      <c r="S863" s="217"/>
      <c r="T863" s="217"/>
      <c r="U863" s="199"/>
      <c r="V863" s="200"/>
      <c r="W863" s="200"/>
      <c r="X863" s="200"/>
      <c r="Y863" s="200"/>
      <c r="Z863" s="200"/>
      <c r="AA863" s="201"/>
      <c r="AB863" s="200"/>
      <c r="AC863" s="200"/>
    </row>
    <row r="864" ht="15.75" customHeight="1">
      <c r="A864" s="210">
        <f t="shared" si="1"/>
        <v>862</v>
      </c>
      <c r="B864" s="217"/>
      <c r="C864" s="217" t="str">
        <f>IFERROR(VLOOKUP(B864, SourceData!$U$3:$V$190, 2, FALSE), "")</f>
        <v/>
      </c>
      <c r="D864" s="240"/>
      <c r="E864" s="241"/>
      <c r="F864" s="248"/>
      <c r="G864" s="207"/>
      <c r="H864" s="209"/>
      <c r="I864" s="209"/>
      <c r="J864" s="209"/>
      <c r="K864" s="208" t="str">
        <f>IF(Errors!$I864=0,SourceData!$B$42,VLOOKUP(Errors!$I864,SourceData!$A$2:$B$40,2,FALSE))</f>
        <v>Please select ERROR CODE column "I"</v>
      </c>
      <c r="L864" s="207" t="str">
        <f>IF(Errors!$I864=0,
    'List of Error Codes'!$E$29,
    IFERROR(VLOOKUP(Errors!$I864, 'List of Error Codes'!D863:I893, 6, FALSE), 'List of Error Codes'!$E$29)
)</f>
        <v>Please select ERROR CODE column "I"</v>
      </c>
      <c r="M864" s="209"/>
      <c r="N864" s="209"/>
      <c r="O864" s="209"/>
      <c r="P864" s="209"/>
      <c r="Q864" s="209"/>
      <c r="R864" s="217"/>
      <c r="S864" s="217"/>
      <c r="T864" s="217"/>
      <c r="U864" s="199"/>
      <c r="V864" s="200"/>
      <c r="W864" s="200"/>
      <c r="X864" s="200"/>
      <c r="Y864" s="200"/>
      <c r="Z864" s="200"/>
      <c r="AA864" s="201"/>
      <c r="AB864" s="200"/>
      <c r="AC864" s="200"/>
    </row>
    <row r="865" ht="15.75" customHeight="1">
      <c r="A865" s="210">
        <f t="shared" si="1"/>
        <v>863</v>
      </c>
      <c r="B865" s="217"/>
      <c r="C865" s="217" t="str">
        <f>IFERROR(VLOOKUP(B865, SourceData!$U$3:$V$190, 2, FALSE), "")</f>
        <v/>
      </c>
      <c r="D865" s="240"/>
      <c r="E865" s="241"/>
      <c r="F865" s="248"/>
      <c r="G865" s="207"/>
      <c r="H865" s="209"/>
      <c r="I865" s="209"/>
      <c r="J865" s="209"/>
      <c r="K865" s="208" t="str">
        <f>IF(Errors!$I865=0,SourceData!$B$42,VLOOKUP(Errors!$I865,SourceData!$A$2:$B$40,2,FALSE))</f>
        <v>Please select ERROR CODE column "I"</v>
      </c>
      <c r="L865" s="207" t="str">
        <f>IF(Errors!$I865=0,
    'List of Error Codes'!$E$29,
    IFERROR(VLOOKUP(Errors!$I865, 'List of Error Codes'!D864:I894, 6, FALSE), 'List of Error Codes'!$E$29)
)</f>
        <v>Please select ERROR CODE column "I"</v>
      </c>
      <c r="M865" s="209"/>
      <c r="N865" s="209"/>
      <c r="O865" s="209"/>
      <c r="P865" s="209"/>
      <c r="Q865" s="209"/>
      <c r="R865" s="217"/>
      <c r="S865" s="217"/>
      <c r="T865" s="217"/>
      <c r="U865" s="199"/>
      <c r="V865" s="200"/>
      <c r="W865" s="200"/>
      <c r="X865" s="200"/>
      <c r="Y865" s="200"/>
      <c r="Z865" s="200"/>
      <c r="AA865" s="201"/>
      <c r="AB865" s="200"/>
      <c r="AC865" s="200"/>
    </row>
    <row r="866" ht="15.75" customHeight="1">
      <c r="A866" s="210">
        <f t="shared" si="1"/>
        <v>864</v>
      </c>
      <c r="B866" s="217"/>
      <c r="C866" s="217" t="str">
        <f>IFERROR(VLOOKUP(B866, SourceData!$U$3:$V$190, 2, FALSE), "")</f>
        <v/>
      </c>
      <c r="D866" s="240"/>
      <c r="E866" s="241"/>
      <c r="F866" s="248"/>
      <c r="G866" s="207"/>
      <c r="H866" s="209"/>
      <c r="I866" s="209"/>
      <c r="J866" s="209"/>
      <c r="K866" s="208" t="str">
        <f>IF(Errors!$I866=0,SourceData!$B$42,VLOOKUP(Errors!$I866,SourceData!$A$2:$B$40,2,FALSE))</f>
        <v>Please select ERROR CODE column "I"</v>
      </c>
      <c r="L866" s="207" t="str">
        <f>IF(Errors!$I866=0,
    'List of Error Codes'!$E$29,
    IFERROR(VLOOKUP(Errors!$I866, 'List of Error Codes'!D865:I895, 6, FALSE), 'List of Error Codes'!$E$29)
)</f>
        <v>Please select ERROR CODE column "I"</v>
      </c>
      <c r="M866" s="209"/>
      <c r="N866" s="209"/>
      <c r="O866" s="209"/>
      <c r="P866" s="209"/>
      <c r="Q866" s="209"/>
      <c r="R866" s="217"/>
      <c r="S866" s="217"/>
      <c r="T866" s="217"/>
      <c r="U866" s="199"/>
      <c r="V866" s="200"/>
      <c r="W866" s="200"/>
      <c r="X866" s="200"/>
      <c r="Y866" s="200"/>
      <c r="Z866" s="200"/>
      <c r="AA866" s="201"/>
      <c r="AB866" s="200"/>
      <c r="AC866" s="200"/>
    </row>
    <row r="867" ht="13.5" customHeight="1">
      <c r="A867" s="210">
        <f t="shared" si="1"/>
        <v>865</v>
      </c>
      <c r="B867" s="217"/>
      <c r="C867" s="217" t="str">
        <f>IFERROR(VLOOKUP(B867, SourceData!$U$3:$V$190, 2, FALSE), "")</f>
        <v/>
      </c>
      <c r="D867" s="240"/>
      <c r="E867" s="241"/>
      <c r="F867" s="248"/>
      <c r="G867" s="207"/>
      <c r="H867" s="209"/>
      <c r="I867" s="209"/>
      <c r="J867" s="209"/>
      <c r="K867" s="208" t="str">
        <f>IF(Errors!$I867=0,SourceData!$B$42,VLOOKUP(Errors!$I867,SourceData!$A$2:$B$40,2,FALSE))</f>
        <v>Please select ERROR CODE column "I"</v>
      </c>
      <c r="L867" s="207" t="str">
        <f>IF(Errors!$I867=0,
    'List of Error Codes'!$E$29,
    IFERROR(VLOOKUP(Errors!$I867, 'List of Error Codes'!D866:I896, 6, FALSE), 'List of Error Codes'!$E$29)
)</f>
        <v>Please select ERROR CODE column "I"</v>
      </c>
      <c r="M867" s="209"/>
      <c r="N867" s="209"/>
      <c r="O867" s="209"/>
      <c r="P867" s="209"/>
      <c r="Q867" s="209"/>
      <c r="R867" s="217"/>
      <c r="S867" s="217"/>
      <c r="T867" s="217"/>
      <c r="U867" s="199"/>
      <c r="V867" s="200"/>
      <c r="W867" s="200"/>
      <c r="X867" s="200"/>
      <c r="Y867" s="200"/>
      <c r="Z867" s="200"/>
      <c r="AA867" s="201"/>
      <c r="AB867" s="200"/>
      <c r="AC867" s="200"/>
    </row>
    <row r="868" ht="15.75" customHeight="1">
      <c r="A868" s="210">
        <f t="shared" si="1"/>
        <v>866</v>
      </c>
      <c r="B868" s="217"/>
      <c r="C868" s="217" t="str">
        <f>IFERROR(VLOOKUP(B868, SourceData!$U$3:$V$190, 2, FALSE), "")</f>
        <v/>
      </c>
      <c r="D868" s="240"/>
      <c r="E868" s="241"/>
      <c r="F868" s="248"/>
      <c r="G868" s="207"/>
      <c r="H868" s="209"/>
      <c r="I868" s="209"/>
      <c r="J868" s="209"/>
      <c r="K868" s="208" t="str">
        <f>IF(Errors!$I868=0,SourceData!$B$42,VLOOKUP(Errors!$I868,SourceData!$A$2:$B$40,2,FALSE))</f>
        <v>Please select ERROR CODE column "I"</v>
      </c>
      <c r="L868" s="207" t="str">
        <f>IF(Errors!$I868=0,
    'List of Error Codes'!$E$29,
    IFERROR(VLOOKUP(Errors!$I868, 'List of Error Codes'!D867:I897, 6, FALSE), 'List of Error Codes'!$E$29)
)</f>
        <v>Please select ERROR CODE column "I"</v>
      </c>
      <c r="M868" s="209"/>
      <c r="N868" s="209"/>
      <c r="O868" s="209"/>
      <c r="P868" s="209"/>
      <c r="Q868" s="209"/>
      <c r="R868" s="217"/>
      <c r="S868" s="217"/>
      <c r="T868" s="217"/>
      <c r="U868" s="199"/>
      <c r="V868" s="200"/>
      <c r="W868" s="200"/>
      <c r="X868" s="200"/>
      <c r="Y868" s="200"/>
      <c r="Z868" s="200"/>
      <c r="AA868" s="201"/>
      <c r="AB868" s="200"/>
      <c r="AC868" s="200"/>
    </row>
    <row r="869" ht="15.75" customHeight="1">
      <c r="A869" s="210">
        <f t="shared" si="1"/>
        <v>867</v>
      </c>
      <c r="B869" s="217"/>
      <c r="C869" s="217" t="str">
        <f>IFERROR(VLOOKUP(B869, SourceData!$U$3:$V$190, 2, FALSE), "")</f>
        <v/>
      </c>
      <c r="D869" s="240"/>
      <c r="E869" s="241"/>
      <c r="F869" s="248"/>
      <c r="G869" s="207"/>
      <c r="H869" s="209"/>
      <c r="I869" s="209"/>
      <c r="J869" s="209"/>
      <c r="K869" s="208" t="str">
        <f>IF(Errors!$I869=0,SourceData!$B$42,VLOOKUP(Errors!$I869,SourceData!$A$2:$B$40,2,FALSE))</f>
        <v>Please select ERROR CODE column "I"</v>
      </c>
      <c r="L869" s="207" t="str">
        <f>IF(Errors!$I869=0,
    'List of Error Codes'!$E$29,
    IFERROR(VLOOKUP(Errors!$I869, 'List of Error Codes'!D868:I898, 6, FALSE), 'List of Error Codes'!$E$29)
)</f>
        <v>Please select ERROR CODE column "I"</v>
      </c>
      <c r="M869" s="209"/>
      <c r="N869" s="209"/>
      <c r="O869" s="209"/>
      <c r="P869" s="209"/>
      <c r="Q869" s="209"/>
      <c r="R869" s="217"/>
      <c r="S869" s="217"/>
      <c r="T869" s="217"/>
      <c r="U869" s="199"/>
      <c r="V869" s="200"/>
      <c r="W869" s="200"/>
      <c r="X869" s="200"/>
      <c r="Y869" s="200"/>
      <c r="Z869" s="200"/>
      <c r="AA869" s="201"/>
      <c r="AB869" s="200"/>
      <c r="AC869" s="200"/>
    </row>
    <row r="870" ht="15.75" customHeight="1">
      <c r="A870" s="210">
        <f t="shared" si="1"/>
        <v>868</v>
      </c>
      <c r="B870" s="217"/>
      <c r="C870" s="217" t="str">
        <f>IFERROR(VLOOKUP(B870, SourceData!$U$3:$V$190, 2, FALSE), "")</f>
        <v/>
      </c>
      <c r="D870" s="240"/>
      <c r="E870" s="241"/>
      <c r="F870" s="248"/>
      <c r="G870" s="207"/>
      <c r="H870" s="209"/>
      <c r="I870" s="209"/>
      <c r="J870" s="209"/>
      <c r="K870" s="208" t="str">
        <f>IF(Errors!$I870=0,SourceData!$B$42,VLOOKUP(Errors!$I870,SourceData!$A$2:$B$40,2,FALSE))</f>
        <v>Please select ERROR CODE column "I"</v>
      </c>
      <c r="L870" s="207" t="str">
        <f>IF(Errors!$I870=0,
    'List of Error Codes'!$E$29,
    IFERROR(VLOOKUP(Errors!$I870, 'List of Error Codes'!D869:I899, 6, FALSE), 'List of Error Codes'!$E$29)
)</f>
        <v>Please select ERROR CODE column "I"</v>
      </c>
      <c r="M870" s="209"/>
      <c r="N870" s="209"/>
      <c r="O870" s="209"/>
      <c r="P870" s="209"/>
      <c r="Q870" s="209"/>
      <c r="R870" s="217"/>
      <c r="S870" s="217"/>
      <c r="T870" s="217"/>
      <c r="U870" s="199"/>
      <c r="V870" s="200"/>
      <c r="W870" s="200"/>
      <c r="X870" s="200"/>
      <c r="Y870" s="200"/>
      <c r="Z870" s="200"/>
      <c r="AA870" s="201"/>
      <c r="AB870" s="200"/>
      <c r="AC870" s="200"/>
    </row>
    <row r="871" ht="15.75" customHeight="1">
      <c r="A871" s="210">
        <f t="shared" si="1"/>
        <v>869</v>
      </c>
      <c r="B871" s="217"/>
      <c r="C871" s="217" t="str">
        <f>IFERROR(VLOOKUP(B871, SourceData!$U$3:$V$190, 2, FALSE), "")</f>
        <v/>
      </c>
      <c r="D871" s="240"/>
      <c r="E871" s="241"/>
      <c r="F871" s="248"/>
      <c r="G871" s="207"/>
      <c r="H871" s="209"/>
      <c r="I871" s="209"/>
      <c r="J871" s="209"/>
      <c r="K871" s="208" t="str">
        <f>IF(Errors!$I871=0,SourceData!$B$42,VLOOKUP(Errors!$I871,SourceData!$A$2:$B$40,2,FALSE))</f>
        <v>Please select ERROR CODE column "I"</v>
      </c>
      <c r="L871" s="207" t="str">
        <f>IF(Errors!$I871=0,
    'List of Error Codes'!$E$29,
    IFERROR(VLOOKUP(Errors!$I871, 'List of Error Codes'!D870:I900, 6, FALSE), 'List of Error Codes'!$E$29)
)</f>
        <v>Please select ERROR CODE column "I"</v>
      </c>
      <c r="M871" s="209"/>
      <c r="N871" s="209"/>
      <c r="O871" s="209"/>
      <c r="P871" s="209"/>
      <c r="Q871" s="209"/>
      <c r="R871" s="217"/>
      <c r="S871" s="217"/>
      <c r="T871" s="217"/>
      <c r="U871" s="199"/>
      <c r="V871" s="200"/>
      <c r="W871" s="200"/>
      <c r="X871" s="200"/>
      <c r="Y871" s="200"/>
      <c r="Z871" s="200"/>
      <c r="AA871" s="201"/>
      <c r="AB871" s="200"/>
      <c r="AC871" s="200"/>
    </row>
    <row r="872" ht="15.75" customHeight="1">
      <c r="A872" s="210">
        <f t="shared" si="1"/>
        <v>870</v>
      </c>
      <c r="B872" s="217"/>
      <c r="C872" s="217" t="str">
        <f>IFERROR(VLOOKUP(B872, SourceData!$U$3:$V$190, 2, FALSE), "")</f>
        <v/>
      </c>
      <c r="D872" s="240"/>
      <c r="E872" s="241"/>
      <c r="F872" s="248"/>
      <c r="G872" s="207"/>
      <c r="H872" s="209"/>
      <c r="I872" s="209"/>
      <c r="J872" s="209"/>
      <c r="K872" s="208" t="str">
        <f>IF(Errors!$I872=0,SourceData!$B$42,VLOOKUP(Errors!$I872,SourceData!$A$2:$B$40,2,FALSE))</f>
        <v>Please select ERROR CODE column "I"</v>
      </c>
      <c r="L872" s="207" t="str">
        <f>IF(Errors!$I872=0,
    'List of Error Codes'!$E$29,
    IFERROR(VLOOKUP(Errors!$I872, 'List of Error Codes'!D871:I901, 6, FALSE), 'List of Error Codes'!$E$29)
)</f>
        <v>Please select ERROR CODE column "I"</v>
      </c>
      <c r="M872" s="209"/>
      <c r="N872" s="209"/>
      <c r="O872" s="209"/>
      <c r="P872" s="209"/>
      <c r="Q872" s="209"/>
      <c r="R872" s="217"/>
      <c r="S872" s="217"/>
      <c r="T872" s="217"/>
      <c r="U872" s="199"/>
      <c r="V872" s="200"/>
      <c r="W872" s="200"/>
      <c r="X872" s="200"/>
      <c r="Y872" s="200"/>
      <c r="Z872" s="200"/>
      <c r="AA872" s="201"/>
      <c r="AB872" s="200"/>
      <c r="AC872" s="200"/>
    </row>
    <row r="873" ht="15.75" customHeight="1">
      <c r="A873" s="210">
        <f t="shared" si="1"/>
        <v>871</v>
      </c>
      <c r="B873" s="217"/>
      <c r="C873" s="217" t="str">
        <f>IFERROR(VLOOKUP(B873, SourceData!$U$3:$V$190, 2, FALSE), "")</f>
        <v/>
      </c>
      <c r="D873" s="240"/>
      <c r="E873" s="241"/>
      <c r="F873" s="248"/>
      <c r="G873" s="207"/>
      <c r="H873" s="209"/>
      <c r="I873" s="209"/>
      <c r="J873" s="209"/>
      <c r="K873" s="208" t="str">
        <f>IF(Errors!$I873=0,SourceData!$B$42,VLOOKUP(Errors!$I873,SourceData!$A$2:$B$40,2,FALSE))</f>
        <v>Please select ERROR CODE column "I"</v>
      </c>
      <c r="L873" s="207" t="str">
        <f>IF(Errors!$I873=0,
    'List of Error Codes'!$E$29,
    IFERROR(VLOOKUP(Errors!$I873, 'List of Error Codes'!D872:I902, 6, FALSE), 'List of Error Codes'!$E$29)
)</f>
        <v>Please select ERROR CODE column "I"</v>
      </c>
      <c r="M873" s="209"/>
      <c r="N873" s="209"/>
      <c r="O873" s="209"/>
      <c r="P873" s="209"/>
      <c r="Q873" s="209"/>
      <c r="R873" s="217"/>
      <c r="S873" s="217"/>
      <c r="T873" s="217"/>
      <c r="U873" s="199"/>
      <c r="V873" s="200"/>
      <c r="W873" s="200"/>
      <c r="X873" s="200"/>
      <c r="Y873" s="200"/>
      <c r="Z873" s="200"/>
      <c r="AA873" s="201"/>
      <c r="AB873" s="200"/>
      <c r="AC873" s="200"/>
    </row>
    <row r="874" ht="15.75" customHeight="1">
      <c r="A874" s="210">
        <f t="shared" si="1"/>
        <v>872</v>
      </c>
      <c r="B874" s="217"/>
      <c r="C874" s="217" t="str">
        <f>IFERROR(VLOOKUP(B874, SourceData!$U$3:$V$190, 2, FALSE), "")</f>
        <v/>
      </c>
      <c r="D874" s="240"/>
      <c r="E874" s="241"/>
      <c r="F874" s="248"/>
      <c r="G874" s="207"/>
      <c r="H874" s="209"/>
      <c r="I874" s="209"/>
      <c r="J874" s="209"/>
      <c r="K874" s="208" t="str">
        <f>IF(Errors!$I874=0,SourceData!$B$42,VLOOKUP(Errors!$I874,SourceData!$A$2:$B$40,2,FALSE))</f>
        <v>Please select ERROR CODE column "I"</v>
      </c>
      <c r="L874" s="207" t="str">
        <f>IF(Errors!$I874=0,
    'List of Error Codes'!$E$29,
    IFERROR(VLOOKUP(Errors!$I874, 'List of Error Codes'!D873:I903, 6, FALSE), 'List of Error Codes'!$E$29)
)</f>
        <v>Please select ERROR CODE column "I"</v>
      </c>
      <c r="M874" s="209"/>
      <c r="N874" s="209"/>
      <c r="O874" s="209"/>
      <c r="P874" s="209"/>
      <c r="Q874" s="209"/>
      <c r="R874" s="217"/>
      <c r="S874" s="217"/>
      <c r="T874" s="217"/>
      <c r="U874" s="199"/>
      <c r="V874" s="200"/>
      <c r="W874" s="200"/>
      <c r="X874" s="200"/>
      <c r="Y874" s="200"/>
      <c r="Z874" s="200"/>
      <c r="AA874" s="201"/>
      <c r="AB874" s="200"/>
      <c r="AC874" s="200"/>
    </row>
    <row r="875" ht="15.75" customHeight="1">
      <c r="A875" s="210">
        <f t="shared" si="1"/>
        <v>873</v>
      </c>
      <c r="B875" s="217"/>
      <c r="C875" s="217" t="str">
        <f>IFERROR(VLOOKUP(B875, SourceData!$U$3:$V$190, 2, FALSE), "")</f>
        <v/>
      </c>
      <c r="D875" s="240"/>
      <c r="E875" s="241"/>
      <c r="F875" s="248"/>
      <c r="G875" s="207"/>
      <c r="H875" s="209"/>
      <c r="I875" s="209"/>
      <c r="J875" s="209"/>
      <c r="K875" s="208" t="str">
        <f>IF(Errors!$I875=0,SourceData!$B$42,VLOOKUP(Errors!$I875,SourceData!$A$2:$B$40,2,FALSE))</f>
        <v>Please select ERROR CODE column "I"</v>
      </c>
      <c r="L875" s="207" t="str">
        <f>IF(Errors!$I875=0,
    'List of Error Codes'!$E$29,
    IFERROR(VLOOKUP(Errors!$I875, 'List of Error Codes'!D874:I904, 6, FALSE), 'List of Error Codes'!$E$29)
)</f>
        <v>Please select ERROR CODE column "I"</v>
      </c>
      <c r="M875" s="209"/>
      <c r="N875" s="209"/>
      <c r="O875" s="209"/>
      <c r="P875" s="209"/>
      <c r="Q875" s="209"/>
      <c r="R875" s="217"/>
      <c r="S875" s="217"/>
      <c r="T875" s="217"/>
      <c r="U875" s="199"/>
      <c r="V875" s="200"/>
      <c r="W875" s="200"/>
      <c r="X875" s="200"/>
      <c r="Y875" s="200"/>
      <c r="Z875" s="200"/>
      <c r="AA875" s="201"/>
      <c r="AB875" s="200"/>
      <c r="AC875" s="200"/>
    </row>
    <row r="876" ht="15.75" customHeight="1">
      <c r="A876" s="210">
        <f t="shared" si="1"/>
        <v>874</v>
      </c>
      <c r="B876" s="217"/>
      <c r="C876" s="217" t="str">
        <f>IFERROR(VLOOKUP(B876, SourceData!$U$3:$V$190, 2, FALSE), "")</f>
        <v/>
      </c>
      <c r="D876" s="240"/>
      <c r="E876" s="241"/>
      <c r="F876" s="248"/>
      <c r="G876" s="207"/>
      <c r="H876" s="209"/>
      <c r="I876" s="209"/>
      <c r="J876" s="209"/>
      <c r="K876" s="208" t="str">
        <f>IF(Errors!$I876=0,SourceData!$B$42,VLOOKUP(Errors!$I876,SourceData!$A$2:$B$40,2,FALSE))</f>
        <v>Please select ERROR CODE column "I"</v>
      </c>
      <c r="L876" s="207" t="str">
        <f>IF(Errors!$I876=0,
    'List of Error Codes'!$E$29,
    IFERROR(VLOOKUP(Errors!$I876, 'List of Error Codes'!D875:I905, 6, FALSE), 'List of Error Codes'!$E$29)
)</f>
        <v>Please select ERROR CODE column "I"</v>
      </c>
      <c r="M876" s="209"/>
      <c r="N876" s="209"/>
      <c r="O876" s="209"/>
      <c r="P876" s="209"/>
      <c r="Q876" s="209"/>
      <c r="R876" s="217"/>
      <c r="S876" s="217"/>
      <c r="T876" s="217"/>
      <c r="U876" s="199"/>
      <c r="V876" s="200"/>
      <c r="W876" s="200"/>
      <c r="X876" s="200"/>
      <c r="Y876" s="200"/>
      <c r="Z876" s="200"/>
      <c r="AA876" s="201"/>
      <c r="AB876" s="200"/>
      <c r="AC876" s="200"/>
    </row>
    <row r="877" ht="15.75" customHeight="1">
      <c r="A877" s="210">
        <f t="shared" si="1"/>
        <v>875</v>
      </c>
      <c r="B877" s="217"/>
      <c r="C877" s="217" t="str">
        <f>IFERROR(VLOOKUP(B877, SourceData!$U$3:$V$190, 2, FALSE), "")</f>
        <v/>
      </c>
      <c r="D877" s="240"/>
      <c r="E877" s="241"/>
      <c r="F877" s="248"/>
      <c r="G877" s="207"/>
      <c r="H877" s="209"/>
      <c r="I877" s="209"/>
      <c r="J877" s="209"/>
      <c r="K877" s="208" t="str">
        <f>IF(Errors!$I877=0,SourceData!$B$42,VLOOKUP(Errors!$I877,SourceData!$A$2:$B$40,2,FALSE))</f>
        <v>Please select ERROR CODE column "I"</v>
      </c>
      <c r="L877" s="207" t="str">
        <f>IF(Errors!$I877=0,
    'List of Error Codes'!$E$29,
    IFERROR(VLOOKUP(Errors!$I877, 'List of Error Codes'!D876:I906, 6, FALSE), 'List of Error Codes'!$E$29)
)</f>
        <v>Please select ERROR CODE column "I"</v>
      </c>
      <c r="M877" s="209"/>
      <c r="N877" s="209"/>
      <c r="O877" s="209"/>
      <c r="P877" s="209"/>
      <c r="Q877" s="209"/>
      <c r="R877" s="217"/>
      <c r="S877" s="217"/>
      <c r="T877" s="217"/>
      <c r="U877" s="199"/>
      <c r="V877" s="200"/>
      <c r="W877" s="200"/>
      <c r="X877" s="200"/>
      <c r="Y877" s="200"/>
      <c r="Z877" s="200"/>
      <c r="AA877" s="201"/>
      <c r="AB877" s="200"/>
      <c r="AC877" s="200"/>
    </row>
    <row r="878" ht="15.75" customHeight="1">
      <c r="A878" s="210">
        <f t="shared" si="1"/>
        <v>876</v>
      </c>
      <c r="B878" s="217"/>
      <c r="C878" s="217" t="str">
        <f>IFERROR(VLOOKUP(B878, SourceData!$U$3:$V$190, 2, FALSE), "")</f>
        <v/>
      </c>
      <c r="D878" s="240"/>
      <c r="E878" s="241"/>
      <c r="F878" s="248"/>
      <c r="G878" s="207"/>
      <c r="H878" s="209"/>
      <c r="I878" s="209"/>
      <c r="J878" s="209"/>
      <c r="K878" s="208" t="str">
        <f>IF(Errors!$I878=0,SourceData!$B$42,VLOOKUP(Errors!$I878,SourceData!$A$2:$B$40,2,FALSE))</f>
        <v>Please select ERROR CODE column "I"</v>
      </c>
      <c r="L878" s="207" t="str">
        <f>IF(Errors!$I878=0,
    'List of Error Codes'!$E$29,
    IFERROR(VLOOKUP(Errors!$I878, 'List of Error Codes'!D877:I907, 6, FALSE), 'List of Error Codes'!$E$29)
)</f>
        <v>Please select ERROR CODE column "I"</v>
      </c>
      <c r="M878" s="209"/>
      <c r="N878" s="209"/>
      <c r="O878" s="209"/>
      <c r="P878" s="209"/>
      <c r="Q878" s="209"/>
      <c r="R878" s="217"/>
      <c r="S878" s="217"/>
      <c r="T878" s="217"/>
      <c r="U878" s="199"/>
      <c r="V878" s="200"/>
      <c r="W878" s="200"/>
      <c r="X878" s="200"/>
      <c r="Y878" s="200"/>
      <c r="Z878" s="200"/>
      <c r="AA878" s="201"/>
      <c r="AB878" s="200"/>
      <c r="AC878" s="200"/>
    </row>
    <row r="879" ht="15.75" customHeight="1">
      <c r="A879" s="210">
        <f t="shared" si="1"/>
        <v>877</v>
      </c>
      <c r="B879" s="217"/>
      <c r="C879" s="217" t="str">
        <f>IFERROR(VLOOKUP(B879, SourceData!$U$3:$V$190, 2, FALSE), "")</f>
        <v/>
      </c>
      <c r="D879" s="240"/>
      <c r="E879" s="241"/>
      <c r="F879" s="248"/>
      <c r="G879" s="207"/>
      <c r="H879" s="209"/>
      <c r="I879" s="209"/>
      <c r="J879" s="209"/>
      <c r="K879" s="208" t="str">
        <f>IF(Errors!$I879=0,SourceData!$B$42,VLOOKUP(Errors!$I879,SourceData!$A$2:$B$40,2,FALSE))</f>
        <v>Please select ERROR CODE column "I"</v>
      </c>
      <c r="L879" s="207" t="str">
        <f>IF(Errors!$I879=0,
    'List of Error Codes'!$E$29,
    IFERROR(VLOOKUP(Errors!$I879, 'List of Error Codes'!D878:I908, 6, FALSE), 'List of Error Codes'!$E$29)
)</f>
        <v>Please select ERROR CODE column "I"</v>
      </c>
      <c r="M879" s="209"/>
      <c r="N879" s="209"/>
      <c r="O879" s="209"/>
      <c r="P879" s="209"/>
      <c r="Q879" s="209"/>
      <c r="R879" s="217"/>
      <c r="S879" s="217"/>
      <c r="T879" s="217"/>
      <c r="U879" s="199"/>
      <c r="V879" s="200"/>
      <c r="W879" s="200"/>
      <c r="X879" s="200"/>
      <c r="Y879" s="200"/>
      <c r="Z879" s="200"/>
      <c r="AA879" s="201"/>
      <c r="AB879" s="200"/>
      <c r="AC879" s="200"/>
    </row>
    <row r="880" ht="15.75" customHeight="1">
      <c r="A880" s="210">
        <f t="shared" si="1"/>
        <v>878</v>
      </c>
      <c r="B880" s="217"/>
      <c r="C880" s="217" t="str">
        <f>IFERROR(VLOOKUP(B880, SourceData!$U$3:$V$190, 2, FALSE), "")</f>
        <v/>
      </c>
      <c r="D880" s="240"/>
      <c r="E880" s="241"/>
      <c r="F880" s="248"/>
      <c r="G880" s="207"/>
      <c r="H880" s="209"/>
      <c r="I880" s="209"/>
      <c r="J880" s="209"/>
      <c r="K880" s="208" t="str">
        <f>IF(Errors!$I880=0,SourceData!$B$42,VLOOKUP(Errors!$I880,SourceData!$A$2:$B$40,2,FALSE))</f>
        <v>Please select ERROR CODE column "I"</v>
      </c>
      <c r="L880" s="207" t="str">
        <f>IF(Errors!$I880=0,
    'List of Error Codes'!$E$29,
    IFERROR(VLOOKUP(Errors!$I880, 'List of Error Codes'!D879:I909, 6, FALSE), 'List of Error Codes'!$E$29)
)</f>
        <v>Please select ERROR CODE column "I"</v>
      </c>
      <c r="M880" s="209"/>
      <c r="N880" s="209"/>
      <c r="O880" s="209"/>
      <c r="P880" s="209"/>
      <c r="Q880" s="209"/>
      <c r="R880" s="217"/>
      <c r="S880" s="217"/>
      <c r="T880" s="217"/>
      <c r="U880" s="199"/>
      <c r="V880" s="200"/>
      <c r="W880" s="200"/>
      <c r="X880" s="200"/>
      <c r="Y880" s="200"/>
      <c r="Z880" s="200"/>
      <c r="AA880" s="201"/>
      <c r="AB880" s="200"/>
      <c r="AC880" s="200"/>
    </row>
    <row r="881" ht="15.75" customHeight="1">
      <c r="A881" s="210">
        <f t="shared" si="1"/>
        <v>879</v>
      </c>
      <c r="B881" s="217"/>
      <c r="C881" s="217" t="str">
        <f>IFERROR(VLOOKUP(B881, SourceData!$U$3:$V$190, 2, FALSE), "")</f>
        <v/>
      </c>
      <c r="D881" s="240"/>
      <c r="E881" s="241"/>
      <c r="F881" s="248"/>
      <c r="G881" s="207"/>
      <c r="H881" s="209"/>
      <c r="I881" s="209"/>
      <c r="J881" s="209"/>
      <c r="K881" s="208" t="str">
        <f>IF(Errors!$I881=0,SourceData!$B$42,VLOOKUP(Errors!$I881,SourceData!$A$2:$B$40,2,FALSE))</f>
        <v>Please select ERROR CODE column "I"</v>
      </c>
      <c r="L881" s="207" t="str">
        <f>IF(Errors!$I881=0,
    'List of Error Codes'!$E$29,
    IFERROR(VLOOKUP(Errors!$I881, 'List of Error Codes'!D880:I910, 6, FALSE), 'List of Error Codes'!$E$29)
)</f>
        <v>Please select ERROR CODE column "I"</v>
      </c>
      <c r="M881" s="209"/>
      <c r="N881" s="209"/>
      <c r="O881" s="209"/>
      <c r="P881" s="209"/>
      <c r="Q881" s="209"/>
      <c r="R881" s="217"/>
      <c r="S881" s="217"/>
      <c r="T881" s="217"/>
      <c r="U881" s="199"/>
      <c r="V881" s="200"/>
      <c r="W881" s="200"/>
      <c r="X881" s="200"/>
      <c r="Y881" s="200"/>
      <c r="Z881" s="200"/>
      <c r="AA881" s="201"/>
      <c r="AB881" s="200"/>
      <c r="AC881" s="200"/>
    </row>
    <row r="882" ht="15.75" customHeight="1">
      <c r="A882" s="210">
        <f t="shared" si="1"/>
        <v>880</v>
      </c>
      <c r="B882" s="217"/>
      <c r="C882" s="217" t="str">
        <f>IFERROR(VLOOKUP(B882, SourceData!$U$3:$V$190, 2, FALSE), "")</f>
        <v/>
      </c>
      <c r="D882" s="240"/>
      <c r="E882" s="241"/>
      <c r="F882" s="248"/>
      <c r="G882" s="207"/>
      <c r="H882" s="209"/>
      <c r="I882" s="209"/>
      <c r="J882" s="209"/>
      <c r="K882" s="208" t="str">
        <f>IF(Errors!$I882=0,SourceData!$B$42,VLOOKUP(Errors!$I882,SourceData!$A$2:$B$40,2,FALSE))</f>
        <v>Please select ERROR CODE column "I"</v>
      </c>
      <c r="L882" s="207" t="str">
        <f>IF(Errors!$I882=0,
    'List of Error Codes'!$E$29,
    IFERROR(VLOOKUP(Errors!$I882, 'List of Error Codes'!D881:I911, 6, FALSE), 'List of Error Codes'!$E$29)
)</f>
        <v>Please select ERROR CODE column "I"</v>
      </c>
      <c r="M882" s="209"/>
      <c r="N882" s="209"/>
      <c r="O882" s="209"/>
      <c r="P882" s="209"/>
      <c r="Q882" s="209"/>
      <c r="R882" s="217"/>
      <c r="S882" s="217"/>
      <c r="T882" s="217"/>
      <c r="U882" s="199"/>
      <c r="V882" s="200"/>
      <c r="W882" s="200"/>
      <c r="X882" s="200"/>
      <c r="Y882" s="200"/>
      <c r="Z882" s="200"/>
      <c r="AA882" s="201"/>
      <c r="AB882" s="200"/>
      <c r="AC882" s="200"/>
    </row>
    <row r="883" ht="15.75" customHeight="1">
      <c r="A883" s="210">
        <f t="shared" si="1"/>
        <v>881</v>
      </c>
      <c r="B883" s="217"/>
      <c r="C883" s="217" t="str">
        <f>IFERROR(VLOOKUP(B883, SourceData!$U$3:$V$190, 2, FALSE), "")</f>
        <v/>
      </c>
      <c r="D883" s="240"/>
      <c r="E883" s="241"/>
      <c r="F883" s="248"/>
      <c r="G883" s="207"/>
      <c r="H883" s="209"/>
      <c r="I883" s="209"/>
      <c r="J883" s="209"/>
      <c r="K883" s="208" t="str">
        <f>IF(Errors!$I883=0,SourceData!$B$42,VLOOKUP(Errors!$I883,SourceData!$A$2:$B$40,2,FALSE))</f>
        <v>Please select ERROR CODE column "I"</v>
      </c>
      <c r="L883" s="207" t="str">
        <f>IF(Errors!$I883=0,
    'List of Error Codes'!$E$29,
    IFERROR(VLOOKUP(Errors!$I883, 'List of Error Codes'!D882:I912, 6, FALSE), 'List of Error Codes'!$E$29)
)</f>
        <v>Please select ERROR CODE column "I"</v>
      </c>
      <c r="M883" s="209"/>
      <c r="N883" s="209"/>
      <c r="O883" s="209"/>
      <c r="P883" s="209"/>
      <c r="Q883" s="209"/>
      <c r="R883" s="217"/>
      <c r="S883" s="217"/>
      <c r="T883" s="217"/>
      <c r="U883" s="199"/>
      <c r="V883" s="200"/>
      <c r="W883" s="200"/>
      <c r="X883" s="200"/>
      <c r="Y883" s="200"/>
      <c r="Z883" s="200"/>
      <c r="AA883" s="201"/>
      <c r="AB883" s="200"/>
      <c r="AC883" s="200"/>
    </row>
    <row r="884" ht="15.75" customHeight="1">
      <c r="A884" s="210">
        <f t="shared" si="1"/>
        <v>882</v>
      </c>
      <c r="B884" s="217"/>
      <c r="C884" s="217" t="str">
        <f>IFERROR(VLOOKUP(B884, SourceData!$U$3:$V$190, 2, FALSE), "")</f>
        <v/>
      </c>
      <c r="D884" s="240"/>
      <c r="E884" s="241"/>
      <c r="F884" s="248"/>
      <c r="G884" s="207"/>
      <c r="H884" s="209"/>
      <c r="I884" s="209"/>
      <c r="J884" s="209"/>
      <c r="K884" s="208" t="str">
        <f>IF(Errors!$I884=0,SourceData!$B$42,VLOOKUP(Errors!$I884,SourceData!$A$2:$B$40,2,FALSE))</f>
        <v>Please select ERROR CODE column "I"</v>
      </c>
      <c r="L884" s="207" t="str">
        <f>IF(Errors!$I884=0,
    'List of Error Codes'!$E$29,
    IFERROR(VLOOKUP(Errors!$I884, 'List of Error Codes'!D883:I913, 6, FALSE), 'List of Error Codes'!$E$29)
)</f>
        <v>Please select ERROR CODE column "I"</v>
      </c>
      <c r="M884" s="209"/>
      <c r="N884" s="209"/>
      <c r="O884" s="209"/>
      <c r="P884" s="209"/>
      <c r="Q884" s="209"/>
      <c r="R884" s="217"/>
      <c r="S884" s="217"/>
      <c r="T884" s="217"/>
      <c r="U884" s="199"/>
      <c r="V884" s="200"/>
      <c r="W884" s="200"/>
      <c r="X884" s="200"/>
      <c r="Y884" s="200"/>
      <c r="Z884" s="200"/>
      <c r="AA884" s="201"/>
      <c r="AB884" s="200"/>
      <c r="AC884" s="200"/>
    </row>
    <row r="885" ht="15.75" customHeight="1">
      <c r="A885" s="210">
        <f t="shared" si="1"/>
        <v>883</v>
      </c>
      <c r="B885" s="217"/>
      <c r="C885" s="217" t="str">
        <f>IFERROR(VLOOKUP(B885, SourceData!$U$3:$V$190, 2, FALSE), "")</f>
        <v/>
      </c>
      <c r="D885" s="240"/>
      <c r="E885" s="241"/>
      <c r="F885" s="248"/>
      <c r="G885" s="207"/>
      <c r="H885" s="209"/>
      <c r="I885" s="209"/>
      <c r="J885" s="209"/>
      <c r="K885" s="208" t="str">
        <f>IF(Errors!$I885=0,SourceData!$B$42,VLOOKUP(Errors!$I885,SourceData!$A$2:$B$40,2,FALSE))</f>
        <v>Please select ERROR CODE column "I"</v>
      </c>
      <c r="L885" s="207" t="str">
        <f>IF(Errors!$I885=0,
    'List of Error Codes'!$E$29,
    IFERROR(VLOOKUP(Errors!$I885, 'List of Error Codes'!D884:I914, 6, FALSE), 'List of Error Codes'!$E$29)
)</f>
        <v>Please select ERROR CODE column "I"</v>
      </c>
      <c r="M885" s="209"/>
      <c r="N885" s="209"/>
      <c r="O885" s="209"/>
      <c r="P885" s="209"/>
      <c r="Q885" s="209"/>
      <c r="R885" s="217"/>
      <c r="S885" s="217"/>
      <c r="T885" s="217"/>
      <c r="U885" s="199"/>
      <c r="V885" s="200"/>
      <c r="W885" s="200"/>
      <c r="X885" s="200"/>
      <c r="Y885" s="200"/>
      <c r="Z885" s="200"/>
      <c r="AA885" s="201"/>
      <c r="AB885" s="200"/>
      <c r="AC885" s="200"/>
    </row>
    <row r="886" ht="15.75" customHeight="1">
      <c r="A886" s="210">
        <f t="shared" si="1"/>
        <v>884</v>
      </c>
      <c r="B886" s="217"/>
      <c r="C886" s="217" t="str">
        <f>IFERROR(VLOOKUP(B886, SourceData!$U$3:$V$190, 2, FALSE), "")</f>
        <v/>
      </c>
      <c r="D886" s="240"/>
      <c r="E886" s="241"/>
      <c r="F886" s="248"/>
      <c r="G886" s="207"/>
      <c r="H886" s="209"/>
      <c r="I886" s="209"/>
      <c r="J886" s="209"/>
      <c r="K886" s="208" t="str">
        <f>IF(Errors!$I886=0,SourceData!$B$42,VLOOKUP(Errors!$I886,SourceData!$A$2:$B$40,2,FALSE))</f>
        <v>Please select ERROR CODE column "I"</v>
      </c>
      <c r="L886" s="207" t="str">
        <f>IF(Errors!$I886=0,
    'List of Error Codes'!$E$29,
    IFERROR(VLOOKUP(Errors!$I886, 'List of Error Codes'!D885:I915, 6, FALSE), 'List of Error Codes'!$E$29)
)</f>
        <v>Please select ERROR CODE column "I"</v>
      </c>
      <c r="M886" s="209"/>
      <c r="N886" s="209"/>
      <c r="O886" s="209"/>
      <c r="P886" s="209"/>
      <c r="Q886" s="209"/>
      <c r="R886" s="217"/>
      <c r="S886" s="217"/>
      <c r="T886" s="217"/>
      <c r="U886" s="199"/>
      <c r="V886" s="200"/>
      <c r="W886" s="200"/>
      <c r="X886" s="200"/>
      <c r="Y886" s="200"/>
      <c r="Z886" s="200"/>
      <c r="AA886" s="201"/>
      <c r="AB886" s="200"/>
      <c r="AC886" s="200"/>
    </row>
    <row r="887" ht="15.75" customHeight="1">
      <c r="A887" s="210">
        <f t="shared" si="1"/>
        <v>885</v>
      </c>
      <c r="B887" s="217"/>
      <c r="C887" s="217" t="str">
        <f>IFERROR(VLOOKUP(B887, SourceData!$U$3:$V$190, 2, FALSE), "")</f>
        <v/>
      </c>
      <c r="D887" s="240"/>
      <c r="E887" s="241"/>
      <c r="F887" s="248"/>
      <c r="G887" s="207"/>
      <c r="H887" s="209"/>
      <c r="I887" s="209"/>
      <c r="J887" s="209"/>
      <c r="K887" s="208" t="str">
        <f>IF(Errors!$I887=0,SourceData!$B$42,VLOOKUP(Errors!$I887,SourceData!$A$2:$B$40,2,FALSE))</f>
        <v>Please select ERROR CODE column "I"</v>
      </c>
      <c r="L887" s="207" t="str">
        <f>IF(Errors!$I887=0,
    'List of Error Codes'!$E$29,
    IFERROR(VLOOKUP(Errors!$I887, 'List of Error Codes'!D886:I916, 6, FALSE), 'List of Error Codes'!$E$29)
)</f>
        <v>Please select ERROR CODE column "I"</v>
      </c>
      <c r="M887" s="209"/>
      <c r="N887" s="209"/>
      <c r="O887" s="209"/>
      <c r="P887" s="209"/>
      <c r="Q887" s="209"/>
      <c r="R887" s="217"/>
      <c r="S887" s="217"/>
      <c r="T887" s="217"/>
      <c r="U887" s="199"/>
      <c r="V887" s="200"/>
      <c r="W887" s="200"/>
      <c r="X887" s="200"/>
      <c r="Y887" s="200"/>
      <c r="Z887" s="200"/>
      <c r="AA887" s="201"/>
      <c r="AB887" s="200"/>
      <c r="AC887" s="200"/>
    </row>
    <row r="888" ht="15.75" customHeight="1">
      <c r="A888" s="210">
        <f t="shared" si="1"/>
        <v>886</v>
      </c>
      <c r="B888" s="217"/>
      <c r="C888" s="217" t="str">
        <f>IFERROR(VLOOKUP(B888, SourceData!$U$3:$V$190, 2, FALSE), "")</f>
        <v/>
      </c>
      <c r="D888" s="240"/>
      <c r="E888" s="241"/>
      <c r="F888" s="248"/>
      <c r="G888" s="207"/>
      <c r="H888" s="209"/>
      <c r="I888" s="209"/>
      <c r="J888" s="209"/>
      <c r="K888" s="208" t="str">
        <f>IF(Errors!$I888=0,SourceData!$B$42,VLOOKUP(Errors!$I888,SourceData!$A$2:$B$40,2,FALSE))</f>
        <v>Please select ERROR CODE column "I"</v>
      </c>
      <c r="L888" s="207" t="str">
        <f>IF(Errors!$I888=0,
    'List of Error Codes'!$E$29,
    IFERROR(VLOOKUP(Errors!$I888, 'List of Error Codes'!D887:I917, 6, FALSE), 'List of Error Codes'!$E$29)
)</f>
        <v>Please select ERROR CODE column "I"</v>
      </c>
      <c r="M888" s="209"/>
      <c r="N888" s="209"/>
      <c r="O888" s="209"/>
      <c r="P888" s="209"/>
      <c r="Q888" s="209"/>
      <c r="R888" s="217"/>
      <c r="S888" s="217"/>
      <c r="T888" s="217"/>
      <c r="U888" s="199"/>
      <c r="V888" s="200"/>
      <c r="W888" s="200"/>
      <c r="X888" s="200"/>
      <c r="Y888" s="200"/>
      <c r="Z888" s="200"/>
      <c r="AA888" s="201"/>
      <c r="AB888" s="200"/>
      <c r="AC888" s="200"/>
    </row>
    <row r="889" ht="15.75" customHeight="1">
      <c r="A889" s="210">
        <f t="shared" si="1"/>
        <v>887</v>
      </c>
      <c r="B889" s="217"/>
      <c r="C889" s="217" t="str">
        <f>IFERROR(VLOOKUP(B889, SourceData!$U$3:$V$190, 2, FALSE), "")</f>
        <v/>
      </c>
      <c r="D889" s="240"/>
      <c r="E889" s="241"/>
      <c r="F889" s="248"/>
      <c r="G889" s="207"/>
      <c r="H889" s="209"/>
      <c r="I889" s="209"/>
      <c r="J889" s="209"/>
      <c r="K889" s="208" t="str">
        <f>IF(Errors!$I889=0,SourceData!$B$42,VLOOKUP(Errors!$I889,SourceData!$A$2:$B$40,2,FALSE))</f>
        <v>Please select ERROR CODE column "I"</v>
      </c>
      <c r="L889" s="207" t="str">
        <f>IF(Errors!$I889=0,
    'List of Error Codes'!$E$29,
    IFERROR(VLOOKUP(Errors!$I889, 'List of Error Codes'!D888:I918, 6, FALSE), 'List of Error Codes'!$E$29)
)</f>
        <v>Please select ERROR CODE column "I"</v>
      </c>
      <c r="M889" s="209"/>
      <c r="N889" s="209"/>
      <c r="O889" s="209"/>
      <c r="P889" s="209"/>
      <c r="Q889" s="209"/>
      <c r="R889" s="217"/>
      <c r="S889" s="217"/>
      <c r="T889" s="217"/>
      <c r="U889" s="199"/>
      <c r="V889" s="200"/>
      <c r="W889" s="200"/>
      <c r="X889" s="200"/>
      <c r="Y889" s="200"/>
      <c r="Z889" s="200"/>
      <c r="AA889" s="201"/>
      <c r="AB889" s="200"/>
      <c r="AC889" s="200"/>
    </row>
    <row r="890" ht="15.75" customHeight="1">
      <c r="A890" s="210">
        <f t="shared" si="1"/>
        <v>888</v>
      </c>
      <c r="B890" s="217"/>
      <c r="C890" s="217" t="str">
        <f>IFERROR(VLOOKUP(B890, SourceData!$U$3:$V$190, 2, FALSE), "")</f>
        <v/>
      </c>
      <c r="D890" s="240"/>
      <c r="E890" s="241"/>
      <c r="F890" s="248"/>
      <c r="G890" s="207"/>
      <c r="H890" s="209"/>
      <c r="I890" s="209"/>
      <c r="J890" s="209"/>
      <c r="K890" s="208" t="str">
        <f>IF(Errors!$I890=0,SourceData!$B$42,VLOOKUP(Errors!$I890,SourceData!$A$2:$B$40,2,FALSE))</f>
        <v>Please select ERROR CODE column "I"</v>
      </c>
      <c r="L890" s="207" t="str">
        <f>IF(Errors!$I890=0,
    'List of Error Codes'!$E$29,
    IFERROR(VLOOKUP(Errors!$I890, 'List of Error Codes'!D889:I919, 6, FALSE), 'List of Error Codes'!$E$29)
)</f>
        <v>Please select ERROR CODE column "I"</v>
      </c>
      <c r="M890" s="209"/>
      <c r="N890" s="209"/>
      <c r="O890" s="209"/>
      <c r="P890" s="209"/>
      <c r="Q890" s="209"/>
      <c r="R890" s="217"/>
      <c r="S890" s="217"/>
      <c r="T890" s="217"/>
      <c r="U890" s="199"/>
      <c r="V890" s="200"/>
      <c r="W890" s="200"/>
      <c r="X890" s="200"/>
      <c r="Y890" s="200"/>
      <c r="Z890" s="200"/>
      <c r="AA890" s="201"/>
      <c r="AB890" s="200"/>
      <c r="AC890" s="200"/>
    </row>
    <row r="891" ht="15.75" customHeight="1">
      <c r="A891" s="210">
        <f t="shared" si="1"/>
        <v>889</v>
      </c>
      <c r="B891" s="217"/>
      <c r="C891" s="217" t="str">
        <f>IFERROR(VLOOKUP(B891, SourceData!$U$3:$V$190, 2, FALSE), "")</f>
        <v/>
      </c>
      <c r="D891" s="240"/>
      <c r="E891" s="241"/>
      <c r="F891" s="248"/>
      <c r="G891" s="207"/>
      <c r="H891" s="209"/>
      <c r="I891" s="209"/>
      <c r="J891" s="209"/>
      <c r="K891" s="208" t="str">
        <f>IF(Errors!$I891=0,SourceData!$B$42,VLOOKUP(Errors!$I891,SourceData!$A$2:$B$40,2,FALSE))</f>
        <v>Please select ERROR CODE column "I"</v>
      </c>
      <c r="L891" s="207" t="str">
        <f>IF(Errors!$I891=0,
    'List of Error Codes'!$E$29,
    IFERROR(VLOOKUP(Errors!$I891, 'List of Error Codes'!D890:I920, 6, FALSE), 'List of Error Codes'!$E$29)
)</f>
        <v>Please select ERROR CODE column "I"</v>
      </c>
      <c r="M891" s="209"/>
      <c r="N891" s="209"/>
      <c r="O891" s="209"/>
      <c r="P891" s="209"/>
      <c r="Q891" s="209"/>
      <c r="R891" s="217"/>
      <c r="S891" s="217"/>
      <c r="T891" s="217"/>
      <c r="U891" s="199"/>
      <c r="V891" s="200"/>
      <c r="W891" s="200"/>
      <c r="X891" s="200"/>
      <c r="Y891" s="200"/>
      <c r="Z891" s="200"/>
      <c r="AA891" s="201"/>
      <c r="AB891" s="200"/>
      <c r="AC891" s="200"/>
    </row>
    <row r="892" ht="15.75" customHeight="1">
      <c r="A892" s="210">
        <f t="shared" si="1"/>
        <v>890</v>
      </c>
      <c r="B892" s="217"/>
      <c r="C892" s="217" t="str">
        <f>IFERROR(VLOOKUP(B892, SourceData!$U$3:$V$190, 2, FALSE), "")</f>
        <v/>
      </c>
      <c r="D892" s="240"/>
      <c r="E892" s="241"/>
      <c r="F892" s="248"/>
      <c r="G892" s="207"/>
      <c r="H892" s="209"/>
      <c r="I892" s="209"/>
      <c r="J892" s="209"/>
      <c r="K892" s="208" t="str">
        <f>IF(Errors!$I892=0,SourceData!$B$42,VLOOKUP(Errors!$I892,SourceData!$A$2:$B$40,2,FALSE))</f>
        <v>Please select ERROR CODE column "I"</v>
      </c>
      <c r="L892" s="207" t="str">
        <f>IF(Errors!$I892=0,
    'List of Error Codes'!$E$29,
    IFERROR(VLOOKUP(Errors!$I892, 'List of Error Codes'!D891:I921, 6, FALSE), 'List of Error Codes'!$E$29)
)</f>
        <v>Please select ERROR CODE column "I"</v>
      </c>
      <c r="M892" s="209"/>
      <c r="N892" s="209"/>
      <c r="O892" s="209"/>
      <c r="P892" s="209"/>
      <c r="Q892" s="209"/>
      <c r="R892" s="217"/>
      <c r="S892" s="217"/>
      <c r="T892" s="217"/>
      <c r="U892" s="199"/>
      <c r="V892" s="200"/>
      <c r="W892" s="200"/>
      <c r="X892" s="200"/>
      <c r="Y892" s="200"/>
      <c r="Z892" s="200"/>
      <c r="AA892" s="201"/>
      <c r="AB892" s="200"/>
      <c r="AC892" s="200"/>
    </row>
    <row r="893" ht="15.75" customHeight="1">
      <c r="A893" s="210">
        <f t="shared" si="1"/>
        <v>891</v>
      </c>
      <c r="B893" s="217"/>
      <c r="C893" s="217" t="str">
        <f>IFERROR(VLOOKUP(B893, SourceData!$U$3:$V$190, 2, FALSE), "")</f>
        <v/>
      </c>
      <c r="D893" s="240"/>
      <c r="E893" s="241"/>
      <c r="F893" s="248"/>
      <c r="G893" s="207"/>
      <c r="H893" s="209"/>
      <c r="I893" s="209"/>
      <c r="J893" s="209"/>
      <c r="K893" s="208" t="str">
        <f>IF(Errors!$I893=0,SourceData!$B$42,VLOOKUP(Errors!$I893,SourceData!$A$2:$B$40,2,FALSE))</f>
        <v>Please select ERROR CODE column "I"</v>
      </c>
      <c r="L893" s="207" t="str">
        <f>IF(Errors!$I893=0,
    'List of Error Codes'!$E$29,
    IFERROR(VLOOKUP(Errors!$I893, 'List of Error Codes'!D892:I922, 6, FALSE), 'List of Error Codes'!$E$29)
)</f>
        <v>Please select ERROR CODE column "I"</v>
      </c>
      <c r="M893" s="209"/>
      <c r="N893" s="209"/>
      <c r="O893" s="209"/>
      <c r="P893" s="209"/>
      <c r="Q893" s="209"/>
      <c r="R893" s="217"/>
      <c r="S893" s="217"/>
      <c r="T893" s="217"/>
      <c r="U893" s="199"/>
      <c r="V893" s="200"/>
      <c r="W893" s="200"/>
      <c r="X893" s="200"/>
      <c r="Y893" s="200"/>
      <c r="Z893" s="200"/>
      <c r="AA893" s="201"/>
      <c r="AB893" s="200"/>
      <c r="AC893" s="200"/>
    </row>
    <row r="894" ht="15.75" customHeight="1">
      <c r="A894" s="210">
        <f t="shared" si="1"/>
        <v>892</v>
      </c>
      <c r="B894" s="217"/>
      <c r="C894" s="217" t="str">
        <f>IFERROR(VLOOKUP(B894, SourceData!$U$3:$V$190, 2, FALSE), "")</f>
        <v/>
      </c>
      <c r="D894" s="240"/>
      <c r="E894" s="241"/>
      <c r="F894" s="248"/>
      <c r="G894" s="207"/>
      <c r="H894" s="209"/>
      <c r="I894" s="209"/>
      <c r="J894" s="209"/>
      <c r="K894" s="208" t="str">
        <f>IF(Errors!$I894=0,SourceData!$B$42,VLOOKUP(Errors!$I894,SourceData!$A$2:$B$40,2,FALSE))</f>
        <v>Please select ERROR CODE column "I"</v>
      </c>
      <c r="L894" s="207" t="str">
        <f>IF(Errors!$I894=0,
    'List of Error Codes'!$E$29,
    IFERROR(VLOOKUP(Errors!$I894, 'List of Error Codes'!D893:I923, 6, FALSE), 'List of Error Codes'!$E$29)
)</f>
        <v>Please select ERROR CODE column "I"</v>
      </c>
      <c r="M894" s="209"/>
      <c r="N894" s="209"/>
      <c r="O894" s="209"/>
      <c r="P894" s="209"/>
      <c r="Q894" s="209"/>
      <c r="R894" s="217"/>
      <c r="S894" s="217"/>
      <c r="T894" s="217"/>
      <c r="U894" s="199"/>
      <c r="V894" s="200"/>
      <c r="W894" s="200"/>
      <c r="X894" s="200"/>
      <c r="Y894" s="200"/>
      <c r="Z894" s="200"/>
      <c r="AA894" s="201"/>
      <c r="AB894" s="200"/>
      <c r="AC894" s="200"/>
    </row>
    <row r="895" ht="15.75" customHeight="1">
      <c r="A895" s="210">
        <f t="shared" si="1"/>
        <v>893</v>
      </c>
      <c r="B895" s="217"/>
      <c r="C895" s="217" t="str">
        <f>IFERROR(VLOOKUP(B895, SourceData!$U$3:$V$190, 2, FALSE), "")</f>
        <v/>
      </c>
      <c r="D895" s="240"/>
      <c r="E895" s="241"/>
      <c r="F895" s="248"/>
      <c r="G895" s="207"/>
      <c r="H895" s="209"/>
      <c r="I895" s="209"/>
      <c r="J895" s="209"/>
      <c r="K895" s="208" t="str">
        <f>IF(Errors!$I895=0,SourceData!$B$42,VLOOKUP(Errors!$I895,SourceData!$A$2:$B$40,2,FALSE))</f>
        <v>Please select ERROR CODE column "I"</v>
      </c>
      <c r="L895" s="207" t="str">
        <f>IF(Errors!$I895=0,
    'List of Error Codes'!$E$29,
    IFERROR(VLOOKUP(Errors!$I895, 'List of Error Codes'!D894:I924, 6, FALSE), 'List of Error Codes'!$E$29)
)</f>
        <v>Please select ERROR CODE column "I"</v>
      </c>
      <c r="M895" s="209"/>
      <c r="N895" s="209"/>
      <c r="O895" s="209"/>
      <c r="P895" s="209"/>
      <c r="Q895" s="209"/>
      <c r="R895" s="217"/>
      <c r="S895" s="217"/>
      <c r="T895" s="217"/>
      <c r="U895" s="199"/>
      <c r="V895" s="200"/>
      <c r="W895" s="200"/>
      <c r="X895" s="200"/>
      <c r="Y895" s="200"/>
      <c r="Z895" s="200"/>
      <c r="AA895" s="201"/>
      <c r="AB895" s="200"/>
      <c r="AC895" s="200"/>
    </row>
    <row r="896" ht="15.75" customHeight="1">
      <c r="A896" s="210">
        <f t="shared" si="1"/>
        <v>894</v>
      </c>
      <c r="B896" s="217"/>
      <c r="C896" s="217" t="str">
        <f>IFERROR(VLOOKUP(B896, SourceData!$U$3:$V$190, 2, FALSE), "")</f>
        <v/>
      </c>
      <c r="D896" s="240"/>
      <c r="E896" s="241"/>
      <c r="F896" s="248"/>
      <c r="G896" s="207"/>
      <c r="H896" s="209"/>
      <c r="I896" s="209"/>
      <c r="J896" s="209"/>
      <c r="K896" s="208" t="str">
        <f>IF(Errors!$I896=0,SourceData!$B$42,VLOOKUP(Errors!$I896,SourceData!$A$2:$B$40,2,FALSE))</f>
        <v>Please select ERROR CODE column "I"</v>
      </c>
      <c r="L896" s="207" t="str">
        <f>IF(Errors!$I896=0,
    'List of Error Codes'!$E$29,
    IFERROR(VLOOKUP(Errors!$I896, 'List of Error Codes'!D895:I925, 6, FALSE), 'List of Error Codes'!$E$29)
)</f>
        <v>Please select ERROR CODE column "I"</v>
      </c>
      <c r="M896" s="209"/>
      <c r="N896" s="209"/>
      <c r="O896" s="209"/>
      <c r="P896" s="209"/>
      <c r="Q896" s="209"/>
      <c r="R896" s="217"/>
      <c r="S896" s="217"/>
      <c r="T896" s="217"/>
      <c r="U896" s="199"/>
      <c r="V896" s="200"/>
      <c r="W896" s="200"/>
      <c r="X896" s="200"/>
      <c r="Y896" s="200"/>
      <c r="Z896" s="200"/>
      <c r="AA896" s="201"/>
      <c r="AB896" s="200"/>
      <c r="AC896" s="200"/>
    </row>
    <row r="897" ht="15.75" customHeight="1">
      <c r="A897" s="210">
        <f t="shared" si="1"/>
        <v>895</v>
      </c>
      <c r="B897" s="217"/>
      <c r="C897" s="217" t="str">
        <f>IFERROR(VLOOKUP(B897, SourceData!$U$3:$V$190, 2, FALSE), "")</f>
        <v/>
      </c>
      <c r="D897" s="240"/>
      <c r="E897" s="241"/>
      <c r="F897" s="248"/>
      <c r="G897" s="207"/>
      <c r="H897" s="209"/>
      <c r="I897" s="209"/>
      <c r="J897" s="209"/>
      <c r="K897" s="208" t="str">
        <f>IF(Errors!$I897=0,SourceData!$B$42,VLOOKUP(Errors!$I897,SourceData!$A$2:$B$40,2,FALSE))</f>
        <v>Please select ERROR CODE column "I"</v>
      </c>
      <c r="L897" s="207" t="str">
        <f>IF(Errors!$I897=0,
    'List of Error Codes'!$E$29,
    IFERROR(VLOOKUP(Errors!$I897, 'List of Error Codes'!D896:I926, 6, FALSE), 'List of Error Codes'!$E$29)
)</f>
        <v>Please select ERROR CODE column "I"</v>
      </c>
      <c r="M897" s="209"/>
      <c r="N897" s="209"/>
      <c r="O897" s="209"/>
      <c r="P897" s="209"/>
      <c r="Q897" s="209"/>
      <c r="R897" s="217"/>
      <c r="S897" s="217"/>
      <c r="T897" s="217"/>
      <c r="U897" s="199"/>
      <c r="V897" s="200"/>
      <c r="W897" s="200"/>
      <c r="X897" s="200"/>
      <c r="Y897" s="200"/>
      <c r="Z897" s="200"/>
      <c r="AA897" s="201"/>
      <c r="AB897" s="200"/>
      <c r="AC897" s="200"/>
    </row>
    <row r="898" ht="15.75" customHeight="1">
      <c r="A898" s="210">
        <f t="shared" si="1"/>
        <v>896</v>
      </c>
      <c r="B898" s="217"/>
      <c r="C898" s="217" t="str">
        <f>IFERROR(VLOOKUP(B898, SourceData!$U$3:$V$190, 2, FALSE), "")</f>
        <v/>
      </c>
      <c r="D898" s="240"/>
      <c r="E898" s="241"/>
      <c r="F898" s="248"/>
      <c r="G898" s="207"/>
      <c r="H898" s="209"/>
      <c r="I898" s="209"/>
      <c r="J898" s="209"/>
      <c r="K898" s="208" t="str">
        <f>IF(Errors!$I898=0,SourceData!$B$42,VLOOKUP(Errors!$I898,SourceData!$A$2:$B$40,2,FALSE))</f>
        <v>Please select ERROR CODE column "I"</v>
      </c>
      <c r="L898" s="207" t="str">
        <f>IF(Errors!$I898=0,
    'List of Error Codes'!$E$29,
    IFERROR(VLOOKUP(Errors!$I898, 'List of Error Codes'!D897:I927, 6, FALSE), 'List of Error Codes'!$E$29)
)</f>
        <v>Please select ERROR CODE column "I"</v>
      </c>
      <c r="M898" s="209"/>
      <c r="N898" s="209"/>
      <c r="O898" s="209"/>
      <c r="P898" s="209"/>
      <c r="Q898" s="209"/>
      <c r="R898" s="217"/>
      <c r="S898" s="217"/>
      <c r="T898" s="217"/>
      <c r="U898" s="199"/>
      <c r="V898" s="200"/>
      <c r="W898" s="200"/>
      <c r="X898" s="200"/>
      <c r="Y898" s="200"/>
      <c r="Z898" s="200"/>
      <c r="AA898" s="201"/>
      <c r="AB898" s="200"/>
      <c r="AC898" s="200"/>
    </row>
    <row r="899" ht="15.75" customHeight="1">
      <c r="A899" s="210">
        <f t="shared" si="1"/>
        <v>897</v>
      </c>
      <c r="B899" s="217"/>
      <c r="C899" s="217" t="str">
        <f>IFERROR(VLOOKUP(B899, SourceData!$U$3:$V$190, 2, FALSE), "")</f>
        <v/>
      </c>
      <c r="D899" s="240"/>
      <c r="E899" s="241"/>
      <c r="F899" s="248"/>
      <c r="G899" s="207"/>
      <c r="H899" s="209"/>
      <c r="I899" s="209"/>
      <c r="J899" s="209"/>
      <c r="K899" s="208" t="str">
        <f>IF(Errors!$I899=0,SourceData!$B$42,VLOOKUP(Errors!$I899,SourceData!$A$2:$B$40,2,FALSE))</f>
        <v>Please select ERROR CODE column "I"</v>
      </c>
      <c r="L899" s="207" t="str">
        <f>IF(Errors!$I899=0,
    'List of Error Codes'!$E$29,
    IFERROR(VLOOKUP(Errors!$I899, 'List of Error Codes'!D898:I928, 6, FALSE), 'List of Error Codes'!$E$29)
)</f>
        <v>Please select ERROR CODE column "I"</v>
      </c>
      <c r="M899" s="209"/>
      <c r="N899" s="209"/>
      <c r="O899" s="209"/>
      <c r="P899" s="209"/>
      <c r="Q899" s="209"/>
      <c r="R899" s="217"/>
      <c r="S899" s="217"/>
      <c r="T899" s="217"/>
      <c r="U899" s="199"/>
      <c r="V899" s="200"/>
      <c r="W899" s="200"/>
      <c r="X899" s="200"/>
      <c r="Y899" s="200"/>
      <c r="Z899" s="200"/>
      <c r="AA899" s="201"/>
      <c r="AB899" s="200"/>
      <c r="AC899" s="200"/>
    </row>
    <row r="900" ht="15.75" customHeight="1">
      <c r="A900" s="210">
        <f t="shared" si="1"/>
        <v>898</v>
      </c>
      <c r="B900" s="217"/>
      <c r="C900" s="217" t="str">
        <f>IFERROR(VLOOKUP(B900, SourceData!$U$3:$V$190, 2, FALSE), "")</f>
        <v/>
      </c>
      <c r="D900" s="240"/>
      <c r="E900" s="241"/>
      <c r="F900" s="248"/>
      <c r="G900" s="207"/>
      <c r="H900" s="209"/>
      <c r="I900" s="209"/>
      <c r="J900" s="209"/>
      <c r="K900" s="208" t="str">
        <f>IF(Errors!$I900=0,SourceData!$B$42,VLOOKUP(Errors!$I900,SourceData!$A$2:$B$40,2,FALSE))</f>
        <v>Please select ERROR CODE column "I"</v>
      </c>
      <c r="L900" s="207" t="str">
        <f>IF(Errors!$I900=0,
    'List of Error Codes'!$E$29,
    IFERROR(VLOOKUP(Errors!$I900, 'List of Error Codes'!D899:I929, 6, FALSE), 'List of Error Codes'!$E$29)
)</f>
        <v>Please select ERROR CODE column "I"</v>
      </c>
      <c r="M900" s="209"/>
      <c r="N900" s="209"/>
      <c r="O900" s="209"/>
      <c r="P900" s="209"/>
      <c r="Q900" s="209"/>
      <c r="R900" s="217"/>
      <c r="S900" s="217"/>
      <c r="T900" s="217"/>
      <c r="U900" s="199"/>
      <c r="V900" s="200"/>
      <c r="W900" s="200"/>
      <c r="X900" s="200"/>
      <c r="Y900" s="200"/>
      <c r="Z900" s="200"/>
      <c r="AA900" s="201"/>
      <c r="AB900" s="200"/>
      <c r="AC900" s="200"/>
    </row>
    <row r="901" ht="15.75" customHeight="1">
      <c r="A901" s="210">
        <f t="shared" si="1"/>
        <v>899</v>
      </c>
      <c r="B901" s="217"/>
      <c r="C901" s="217" t="str">
        <f>IFERROR(VLOOKUP(B901, SourceData!$U$3:$V$190, 2, FALSE), "")</f>
        <v/>
      </c>
      <c r="D901" s="240"/>
      <c r="E901" s="241"/>
      <c r="F901" s="248"/>
      <c r="G901" s="207"/>
      <c r="H901" s="209"/>
      <c r="I901" s="209"/>
      <c r="J901" s="209"/>
      <c r="K901" s="208" t="str">
        <f>IF(Errors!$I901=0,SourceData!$B$42,VLOOKUP(Errors!$I901,SourceData!$A$2:$B$40,2,FALSE))</f>
        <v>Please select ERROR CODE column "I"</v>
      </c>
      <c r="L901" s="207" t="str">
        <f>IF(Errors!$I901=0,
    'List of Error Codes'!$E$29,
    IFERROR(VLOOKUP(Errors!$I901, 'List of Error Codes'!D900:I930, 6, FALSE), 'List of Error Codes'!$E$29)
)</f>
        <v>Please select ERROR CODE column "I"</v>
      </c>
      <c r="M901" s="209"/>
      <c r="N901" s="209"/>
      <c r="O901" s="209"/>
      <c r="P901" s="209"/>
      <c r="Q901" s="209"/>
      <c r="R901" s="217"/>
      <c r="S901" s="217"/>
      <c r="T901" s="217"/>
      <c r="U901" s="199"/>
      <c r="V901" s="200"/>
      <c r="W901" s="200"/>
      <c r="X901" s="200"/>
      <c r="Y901" s="200"/>
      <c r="Z901" s="200"/>
      <c r="AA901" s="201"/>
      <c r="AB901" s="200"/>
      <c r="AC901" s="200"/>
    </row>
    <row r="902" ht="15.75" customHeight="1">
      <c r="A902" s="210">
        <f t="shared" si="1"/>
        <v>900</v>
      </c>
      <c r="B902" s="217"/>
      <c r="C902" s="217" t="str">
        <f>IFERROR(VLOOKUP(B902, SourceData!$U$3:$V$190, 2, FALSE), "")</f>
        <v/>
      </c>
      <c r="D902" s="240"/>
      <c r="E902" s="241"/>
      <c r="F902" s="248"/>
      <c r="G902" s="207"/>
      <c r="H902" s="209"/>
      <c r="I902" s="209"/>
      <c r="J902" s="209"/>
      <c r="K902" s="208" t="str">
        <f>IF(Errors!$I902=0,SourceData!$B$42,VLOOKUP(Errors!$I902,SourceData!$A$2:$B$40,2,FALSE))</f>
        <v>Please select ERROR CODE column "I"</v>
      </c>
      <c r="L902" s="207" t="str">
        <f>IF(Errors!$I902=0,
    'List of Error Codes'!$E$29,
    IFERROR(VLOOKUP(Errors!$I902, 'List of Error Codes'!D901:I931, 6, FALSE), 'List of Error Codes'!$E$29)
)</f>
        <v>Please select ERROR CODE column "I"</v>
      </c>
      <c r="M902" s="209"/>
      <c r="N902" s="209"/>
      <c r="O902" s="209"/>
      <c r="P902" s="209"/>
      <c r="Q902" s="209"/>
      <c r="R902" s="217"/>
      <c r="S902" s="217"/>
      <c r="T902" s="217"/>
      <c r="U902" s="199"/>
      <c r="V902" s="200"/>
      <c r="W902" s="200"/>
      <c r="X902" s="200"/>
      <c r="Y902" s="200"/>
      <c r="Z902" s="200"/>
      <c r="AA902" s="201"/>
      <c r="AB902" s="200"/>
      <c r="AC902" s="200"/>
    </row>
    <row r="903" ht="15.75" customHeight="1">
      <c r="A903" s="210">
        <f t="shared" si="1"/>
        <v>901</v>
      </c>
      <c r="B903" s="217"/>
      <c r="C903" s="217" t="str">
        <f>IFERROR(VLOOKUP(B903, SourceData!$U$3:$V$190, 2, FALSE), "")</f>
        <v/>
      </c>
      <c r="D903" s="240"/>
      <c r="E903" s="241"/>
      <c r="F903" s="248"/>
      <c r="G903" s="207"/>
      <c r="H903" s="209"/>
      <c r="I903" s="209"/>
      <c r="J903" s="209"/>
      <c r="K903" s="208" t="str">
        <f>IF(Errors!$I903=0,SourceData!$B$42,VLOOKUP(Errors!$I903,SourceData!$A$2:$B$40,2,FALSE))</f>
        <v>Please select ERROR CODE column "I"</v>
      </c>
      <c r="L903" s="207" t="str">
        <f>IF(Errors!$I903=0,
    'List of Error Codes'!$E$29,
    IFERROR(VLOOKUP(Errors!$I903, 'List of Error Codes'!D902:I932, 6, FALSE), 'List of Error Codes'!$E$29)
)</f>
        <v>Please select ERROR CODE column "I"</v>
      </c>
      <c r="M903" s="209"/>
      <c r="N903" s="209"/>
      <c r="O903" s="209"/>
      <c r="P903" s="209"/>
      <c r="Q903" s="209"/>
      <c r="R903" s="217"/>
      <c r="S903" s="217"/>
      <c r="T903" s="217"/>
      <c r="U903" s="199"/>
      <c r="V903" s="200"/>
      <c r="W903" s="200"/>
      <c r="X903" s="200"/>
      <c r="Y903" s="200"/>
      <c r="Z903" s="200"/>
      <c r="AA903" s="201"/>
      <c r="AB903" s="200"/>
      <c r="AC903" s="200"/>
    </row>
    <row r="904" ht="15.75" customHeight="1">
      <c r="A904" s="210">
        <f t="shared" si="1"/>
        <v>902</v>
      </c>
      <c r="B904" s="217"/>
      <c r="C904" s="217" t="str">
        <f>IFERROR(VLOOKUP(B904, SourceData!$U$3:$V$190, 2, FALSE), "")</f>
        <v/>
      </c>
      <c r="D904" s="240"/>
      <c r="E904" s="241"/>
      <c r="F904" s="248"/>
      <c r="G904" s="207"/>
      <c r="H904" s="209"/>
      <c r="I904" s="209"/>
      <c r="J904" s="209"/>
      <c r="K904" s="208" t="str">
        <f>IF(Errors!$I904=0,SourceData!$B$42,VLOOKUP(Errors!$I904,SourceData!$A$2:$B$40,2,FALSE))</f>
        <v>Please select ERROR CODE column "I"</v>
      </c>
      <c r="L904" s="207" t="str">
        <f>IF(Errors!$I904=0,
    'List of Error Codes'!$E$29,
    IFERROR(VLOOKUP(Errors!$I904, 'List of Error Codes'!D903:I933, 6, FALSE), 'List of Error Codes'!$E$29)
)</f>
        <v>Please select ERROR CODE column "I"</v>
      </c>
      <c r="M904" s="209"/>
      <c r="N904" s="209"/>
      <c r="O904" s="209"/>
      <c r="P904" s="209"/>
      <c r="Q904" s="209"/>
      <c r="R904" s="217"/>
      <c r="S904" s="217"/>
      <c r="T904" s="217"/>
      <c r="U904" s="199"/>
      <c r="V904" s="200"/>
      <c r="W904" s="200"/>
      <c r="X904" s="200"/>
      <c r="Y904" s="200"/>
      <c r="Z904" s="200"/>
      <c r="AA904" s="201"/>
      <c r="AB904" s="200"/>
      <c r="AC904" s="200"/>
    </row>
    <row r="905" ht="15.75" customHeight="1">
      <c r="A905" s="210">
        <f t="shared" si="1"/>
        <v>903</v>
      </c>
      <c r="B905" s="217"/>
      <c r="C905" s="217" t="str">
        <f>IFERROR(VLOOKUP(B905, SourceData!$U$3:$V$190, 2, FALSE), "")</f>
        <v/>
      </c>
      <c r="D905" s="240"/>
      <c r="E905" s="241"/>
      <c r="F905" s="248"/>
      <c r="G905" s="207"/>
      <c r="H905" s="209"/>
      <c r="I905" s="209"/>
      <c r="J905" s="209"/>
      <c r="K905" s="208" t="str">
        <f>IF(Errors!$I905=0,SourceData!$B$42,VLOOKUP(Errors!$I905,SourceData!$A$2:$B$40,2,FALSE))</f>
        <v>Please select ERROR CODE column "I"</v>
      </c>
      <c r="L905" s="207" t="str">
        <f>IF(Errors!$I905=0,
    'List of Error Codes'!$E$29,
    IFERROR(VLOOKUP(Errors!$I905, 'List of Error Codes'!D904:I934, 6, FALSE), 'List of Error Codes'!$E$29)
)</f>
        <v>Please select ERROR CODE column "I"</v>
      </c>
      <c r="M905" s="209"/>
      <c r="N905" s="209"/>
      <c r="O905" s="209"/>
      <c r="P905" s="209"/>
      <c r="Q905" s="209"/>
      <c r="R905" s="217"/>
      <c r="S905" s="217"/>
      <c r="T905" s="217"/>
      <c r="U905" s="199"/>
      <c r="V905" s="200"/>
      <c r="W905" s="200"/>
      <c r="X905" s="200"/>
      <c r="Y905" s="200"/>
      <c r="Z905" s="200"/>
      <c r="AA905" s="201"/>
      <c r="AB905" s="200"/>
      <c r="AC905" s="200"/>
    </row>
    <row r="906" ht="15.75" customHeight="1">
      <c r="A906" s="210">
        <f t="shared" si="1"/>
        <v>904</v>
      </c>
      <c r="B906" s="217"/>
      <c r="C906" s="217" t="str">
        <f>IFERROR(VLOOKUP(B906, SourceData!$U$3:$V$190, 2, FALSE), "")</f>
        <v/>
      </c>
      <c r="D906" s="240"/>
      <c r="E906" s="241"/>
      <c r="F906" s="248"/>
      <c r="G906" s="207"/>
      <c r="H906" s="209"/>
      <c r="I906" s="209"/>
      <c r="J906" s="209"/>
      <c r="K906" s="208" t="str">
        <f>IF(Errors!$I906=0,SourceData!$B$42,VLOOKUP(Errors!$I906,SourceData!$A$2:$B$40,2,FALSE))</f>
        <v>Please select ERROR CODE column "I"</v>
      </c>
      <c r="L906" s="207" t="str">
        <f>IF(Errors!$I906=0,
    'List of Error Codes'!$E$29,
    IFERROR(VLOOKUP(Errors!$I906, 'List of Error Codes'!D905:I935, 6, FALSE), 'List of Error Codes'!$E$29)
)</f>
        <v>Please select ERROR CODE column "I"</v>
      </c>
      <c r="M906" s="209"/>
      <c r="N906" s="209"/>
      <c r="O906" s="209"/>
      <c r="P906" s="209"/>
      <c r="Q906" s="209"/>
      <c r="R906" s="217"/>
      <c r="S906" s="217"/>
      <c r="T906" s="217"/>
      <c r="U906" s="199"/>
      <c r="V906" s="200"/>
      <c r="W906" s="200"/>
      <c r="X906" s="200"/>
      <c r="Y906" s="200"/>
      <c r="Z906" s="200"/>
      <c r="AA906" s="201"/>
      <c r="AB906" s="200"/>
      <c r="AC906" s="200"/>
    </row>
    <row r="907" ht="15.75" customHeight="1">
      <c r="A907" s="210">
        <f t="shared" si="1"/>
        <v>905</v>
      </c>
      <c r="B907" s="217"/>
      <c r="C907" s="217" t="str">
        <f>IFERROR(VLOOKUP(B907, SourceData!$U$3:$V$190, 2, FALSE), "")</f>
        <v/>
      </c>
      <c r="D907" s="240"/>
      <c r="E907" s="241"/>
      <c r="F907" s="248"/>
      <c r="G907" s="207"/>
      <c r="H907" s="209"/>
      <c r="I907" s="209"/>
      <c r="J907" s="209"/>
      <c r="K907" s="208" t="str">
        <f>IF(Errors!$I907=0,SourceData!$B$42,VLOOKUP(Errors!$I907,SourceData!$A$2:$B$40,2,FALSE))</f>
        <v>Please select ERROR CODE column "I"</v>
      </c>
      <c r="L907" s="207" t="str">
        <f>IF(Errors!$I907=0,
    'List of Error Codes'!$E$29,
    IFERROR(VLOOKUP(Errors!$I907, 'List of Error Codes'!D906:I936, 6, FALSE), 'List of Error Codes'!$E$29)
)</f>
        <v>Please select ERROR CODE column "I"</v>
      </c>
      <c r="M907" s="209"/>
      <c r="N907" s="209"/>
      <c r="O907" s="209"/>
      <c r="P907" s="209"/>
      <c r="Q907" s="209"/>
      <c r="R907" s="217"/>
      <c r="S907" s="217"/>
      <c r="T907" s="217"/>
      <c r="U907" s="199"/>
      <c r="V907" s="200"/>
      <c r="W907" s="200"/>
      <c r="X907" s="200"/>
      <c r="Y907" s="200"/>
      <c r="Z907" s="200"/>
      <c r="AA907" s="201"/>
      <c r="AB907" s="200"/>
      <c r="AC907" s="200"/>
    </row>
    <row r="908" ht="15.75" customHeight="1">
      <c r="A908" s="210">
        <f t="shared" si="1"/>
        <v>906</v>
      </c>
      <c r="B908" s="217"/>
      <c r="C908" s="217" t="str">
        <f>IFERROR(VLOOKUP(B908, SourceData!$U$3:$V$190, 2, FALSE), "")</f>
        <v/>
      </c>
      <c r="D908" s="240"/>
      <c r="E908" s="241"/>
      <c r="F908" s="248"/>
      <c r="G908" s="207"/>
      <c r="H908" s="209"/>
      <c r="I908" s="209"/>
      <c r="J908" s="209"/>
      <c r="K908" s="208" t="str">
        <f>IF(Errors!$I908=0,SourceData!$B$42,VLOOKUP(Errors!$I908,SourceData!$A$2:$B$40,2,FALSE))</f>
        <v>Please select ERROR CODE column "I"</v>
      </c>
      <c r="L908" s="207" t="str">
        <f>IF(Errors!$I908=0,
    'List of Error Codes'!$E$29,
    IFERROR(VLOOKUP(Errors!$I908, 'List of Error Codes'!D907:I937, 6, FALSE), 'List of Error Codes'!$E$29)
)</f>
        <v>Please select ERROR CODE column "I"</v>
      </c>
      <c r="M908" s="209"/>
      <c r="N908" s="209"/>
      <c r="O908" s="209"/>
      <c r="P908" s="209"/>
      <c r="Q908" s="209"/>
      <c r="R908" s="217"/>
      <c r="S908" s="217"/>
      <c r="T908" s="217"/>
      <c r="U908" s="199"/>
      <c r="V908" s="200"/>
      <c r="W908" s="200"/>
      <c r="X908" s="200"/>
      <c r="Y908" s="200"/>
      <c r="Z908" s="200"/>
      <c r="AA908" s="201"/>
      <c r="AB908" s="200"/>
      <c r="AC908" s="200"/>
    </row>
    <row r="909" ht="15.75" customHeight="1">
      <c r="A909" s="210">
        <f t="shared" si="1"/>
        <v>907</v>
      </c>
      <c r="B909" s="217"/>
      <c r="C909" s="217" t="str">
        <f>IFERROR(VLOOKUP(B909, SourceData!$U$3:$V$190, 2, FALSE), "")</f>
        <v/>
      </c>
      <c r="D909" s="240"/>
      <c r="E909" s="241"/>
      <c r="F909" s="248"/>
      <c r="G909" s="207"/>
      <c r="H909" s="209"/>
      <c r="I909" s="209"/>
      <c r="J909" s="209"/>
      <c r="K909" s="208" t="str">
        <f>IF(Errors!$I909=0,SourceData!$B$42,VLOOKUP(Errors!$I909,SourceData!$A$2:$B$40,2,FALSE))</f>
        <v>Please select ERROR CODE column "I"</v>
      </c>
      <c r="L909" s="207" t="str">
        <f>IF(Errors!$I909=0,
    'List of Error Codes'!$E$29,
    IFERROR(VLOOKUP(Errors!$I909, 'List of Error Codes'!D908:I938, 6, FALSE), 'List of Error Codes'!$E$29)
)</f>
        <v>Please select ERROR CODE column "I"</v>
      </c>
      <c r="M909" s="209"/>
      <c r="N909" s="209"/>
      <c r="O909" s="209"/>
      <c r="P909" s="209"/>
      <c r="Q909" s="209"/>
      <c r="R909" s="217"/>
      <c r="S909" s="217"/>
      <c r="T909" s="217"/>
      <c r="U909" s="199"/>
      <c r="V909" s="200"/>
      <c r="W909" s="200"/>
      <c r="X909" s="200"/>
      <c r="Y909" s="200"/>
      <c r="Z909" s="200"/>
      <c r="AA909" s="201"/>
      <c r="AB909" s="200"/>
      <c r="AC909" s="200"/>
    </row>
    <row r="910" ht="15.75" customHeight="1">
      <c r="A910" s="210">
        <f t="shared" si="1"/>
        <v>908</v>
      </c>
      <c r="B910" s="217"/>
      <c r="C910" s="217" t="str">
        <f>IFERROR(VLOOKUP(B910, SourceData!$U$3:$V$190, 2, FALSE), "")</f>
        <v/>
      </c>
      <c r="D910" s="240"/>
      <c r="E910" s="241"/>
      <c r="F910" s="248"/>
      <c r="G910" s="207"/>
      <c r="H910" s="209"/>
      <c r="I910" s="209"/>
      <c r="J910" s="209"/>
      <c r="K910" s="208" t="str">
        <f>IF(Errors!$I910=0,SourceData!$B$42,VLOOKUP(Errors!$I910,SourceData!$A$2:$B$40,2,FALSE))</f>
        <v>Please select ERROR CODE column "I"</v>
      </c>
      <c r="L910" s="207" t="str">
        <f>IF(Errors!$I910=0,
    'List of Error Codes'!$E$29,
    IFERROR(VLOOKUP(Errors!$I910, 'List of Error Codes'!D909:I939, 6, FALSE), 'List of Error Codes'!$E$29)
)</f>
        <v>Please select ERROR CODE column "I"</v>
      </c>
      <c r="M910" s="209"/>
      <c r="N910" s="209"/>
      <c r="O910" s="209"/>
      <c r="P910" s="209"/>
      <c r="Q910" s="209"/>
      <c r="R910" s="217"/>
      <c r="S910" s="217"/>
      <c r="T910" s="217"/>
      <c r="U910" s="199"/>
      <c r="V910" s="200"/>
      <c r="W910" s="200"/>
      <c r="X910" s="200"/>
      <c r="Y910" s="200"/>
      <c r="Z910" s="200"/>
      <c r="AA910" s="201"/>
      <c r="AB910" s="200"/>
      <c r="AC910" s="200"/>
    </row>
    <row r="911" ht="15.75" customHeight="1">
      <c r="A911" s="210">
        <f t="shared" si="1"/>
        <v>909</v>
      </c>
      <c r="B911" s="217"/>
      <c r="C911" s="217" t="str">
        <f>IFERROR(VLOOKUP(B911, SourceData!$U$3:$V$190, 2, FALSE), "")</f>
        <v/>
      </c>
      <c r="D911" s="240"/>
      <c r="E911" s="241"/>
      <c r="F911" s="248"/>
      <c r="G911" s="207"/>
      <c r="H911" s="209"/>
      <c r="I911" s="209"/>
      <c r="J911" s="209"/>
      <c r="K911" s="208" t="str">
        <f>IF(Errors!$I911=0,SourceData!$B$42,VLOOKUP(Errors!$I911,SourceData!$A$2:$B$40,2,FALSE))</f>
        <v>Please select ERROR CODE column "I"</v>
      </c>
      <c r="L911" s="207" t="str">
        <f>IF(Errors!$I911=0,
    'List of Error Codes'!$E$29,
    IFERROR(VLOOKUP(Errors!$I911, 'List of Error Codes'!D910:I940, 6, FALSE), 'List of Error Codes'!$E$29)
)</f>
        <v>Please select ERROR CODE column "I"</v>
      </c>
      <c r="M911" s="209"/>
      <c r="N911" s="209"/>
      <c r="O911" s="209"/>
      <c r="P911" s="209"/>
      <c r="Q911" s="209"/>
      <c r="R911" s="217"/>
      <c r="S911" s="217"/>
      <c r="T911" s="217"/>
      <c r="U911" s="199"/>
      <c r="V911" s="200"/>
      <c r="W911" s="200"/>
      <c r="X911" s="200"/>
      <c r="Y911" s="200"/>
      <c r="Z911" s="200"/>
      <c r="AA911" s="201"/>
      <c r="AB911" s="200"/>
      <c r="AC911" s="200"/>
    </row>
    <row r="912" ht="15.75" customHeight="1">
      <c r="A912" s="210">
        <f t="shared" si="1"/>
        <v>910</v>
      </c>
      <c r="B912" s="217"/>
      <c r="C912" s="217" t="str">
        <f>IFERROR(VLOOKUP(B912, SourceData!$U$3:$V$190, 2, FALSE), "")</f>
        <v/>
      </c>
      <c r="D912" s="240"/>
      <c r="E912" s="241"/>
      <c r="F912" s="248"/>
      <c r="G912" s="207"/>
      <c r="H912" s="209"/>
      <c r="I912" s="209"/>
      <c r="J912" s="209"/>
      <c r="K912" s="208" t="str">
        <f>IF(Errors!$I912=0,SourceData!$B$42,VLOOKUP(Errors!$I912,SourceData!$A$2:$B$40,2,FALSE))</f>
        <v>Please select ERROR CODE column "I"</v>
      </c>
      <c r="L912" s="207" t="str">
        <f>IF(Errors!$I912=0,
    'List of Error Codes'!$E$29,
    IFERROR(VLOOKUP(Errors!$I912, 'List of Error Codes'!D911:I941, 6, FALSE), 'List of Error Codes'!$E$29)
)</f>
        <v>Please select ERROR CODE column "I"</v>
      </c>
      <c r="M912" s="209"/>
      <c r="N912" s="209"/>
      <c r="O912" s="209"/>
      <c r="P912" s="209"/>
      <c r="Q912" s="209"/>
      <c r="R912" s="217"/>
      <c r="S912" s="217"/>
      <c r="T912" s="217"/>
      <c r="U912" s="199"/>
      <c r="V912" s="200"/>
      <c r="W912" s="200"/>
      <c r="X912" s="200"/>
      <c r="Y912" s="200"/>
      <c r="Z912" s="200"/>
      <c r="AA912" s="201"/>
      <c r="AB912" s="200"/>
      <c r="AC912" s="200"/>
    </row>
    <row r="913" ht="15.75" customHeight="1">
      <c r="A913" s="210">
        <f t="shared" si="1"/>
        <v>911</v>
      </c>
      <c r="B913" s="217"/>
      <c r="C913" s="217" t="str">
        <f>IFERROR(VLOOKUP(B913, SourceData!$U$3:$V$190, 2, FALSE), "")</f>
        <v/>
      </c>
      <c r="D913" s="240"/>
      <c r="E913" s="241"/>
      <c r="F913" s="248"/>
      <c r="G913" s="207"/>
      <c r="H913" s="209"/>
      <c r="I913" s="209"/>
      <c r="J913" s="209"/>
      <c r="K913" s="208" t="str">
        <f>IF(Errors!$I913=0,SourceData!$B$42,VLOOKUP(Errors!$I913,SourceData!$A$2:$B$40,2,FALSE))</f>
        <v>Please select ERROR CODE column "I"</v>
      </c>
      <c r="L913" s="207" t="str">
        <f>IF(Errors!$I913=0,
    'List of Error Codes'!$E$29,
    IFERROR(VLOOKUP(Errors!$I913, 'List of Error Codes'!D912:I942, 6, FALSE), 'List of Error Codes'!$E$29)
)</f>
        <v>Please select ERROR CODE column "I"</v>
      </c>
      <c r="M913" s="209"/>
      <c r="N913" s="209"/>
      <c r="O913" s="209"/>
      <c r="P913" s="209"/>
      <c r="Q913" s="209"/>
      <c r="R913" s="217"/>
      <c r="S913" s="217"/>
      <c r="T913" s="217"/>
      <c r="U913" s="199"/>
      <c r="V913" s="200"/>
      <c r="W913" s="200"/>
      <c r="X913" s="200"/>
      <c r="Y913" s="200"/>
      <c r="Z913" s="200"/>
      <c r="AA913" s="201"/>
      <c r="AB913" s="200"/>
      <c r="AC913" s="200"/>
    </row>
    <row r="914" ht="15.75" customHeight="1">
      <c r="A914" s="210">
        <f t="shared" si="1"/>
        <v>912</v>
      </c>
      <c r="B914" s="217"/>
      <c r="C914" s="217" t="str">
        <f>IFERROR(VLOOKUP(B914, SourceData!$U$3:$V$190, 2, FALSE), "")</f>
        <v/>
      </c>
      <c r="D914" s="240"/>
      <c r="E914" s="241"/>
      <c r="F914" s="248"/>
      <c r="G914" s="207"/>
      <c r="H914" s="209"/>
      <c r="I914" s="209"/>
      <c r="J914" s="209"/>
      <c r="K914" s="208" t="str">
        <f>IF(Errors!$I914=0,SourceData!$B$42,VLOOKUP(Errors!$I914,SourceData!$A$2:$B$40,2,FALSE))</f>
        <v>Please select ERROR CODE column "I"</v>
      </c>
      <c r="L914" s="207" t="str">
        <f>IF(Errors!$I914=0,
    'List of Error Codes'!$E$29,
    IFERROR(VLOOKUP(Errors!$I914, 'List of Error Codes'!D913:I943, 6, FALSE), 'List of Error Codes'!$E$29)
)</f>
        <v>Please select ERROR CODE column "I"</v>
      </c>
      <c r="M914" s="209"/>
      <c r="N914" s="209"/>
      <c r="O914" s="209"/>
      <c r="P914" s="209"/>
      <c r="Q914" s="209"/>
      <c r="R914" s="217"/>
      <c r="S914" s="217"/>
      <c r="T914" s="217"/>
      <c r="U914" s="199"/>
      <c r="V914" s="200"/>
      <c r="W914" s="200"/>
      <c r="X914" s="200"/>
      <c r="Y914" s="200"/>
      <c r="Z914" s="200"/>
      <c r="AA914" s="201"/>
      <c r="AB914" s="200"/>
      <c r="AC914" s="200"/>
    </row>
    <row r="915" ht="15.75" customHeight="1">
      <c r="A915" s="210">
        <f t="shared" si="1"/>
        <v>913</v>
      </c>
      <c r="B915" s="217"/>
      <c r="C915" s="217" t="str">
        <f>IFERROR(VLOOKUP(B915, SourceData!$U$3:$V$190, 2, FALSE), "")</f>
        <v/>
      </c>
      <c r="D915" s="240"/>
      <c r="E915" s="241"/>
      <c r="F915" s="248"/>
      <c r="G915" s="207"/>
      <c r="H915" s="209"/>
      <c r="I915" s="209"/>
      <c r="J915" s="209"/>
      <c r="K915" s="208" t="str">
        <f>IF(Errors!$I915=0,SourceData!$B$42,VLOOKUP(Errors!$I915,SourceData!$A$2:$B$40,2,FALSE))</f>
        <v>Please select ERROR CODE column "I"</v>
      </c>
      <c r="L915" s="207" t="str">
        <f>IF(Errors!$I915=0,
    'List of Error Codes'!$E$29,
    IFERROR(VLOOKUP(Errors!$I915, 'List of Error Codes'!D914:I944, 6, FALSE), 'List of Error Codes'!$E$29)
)</f>
        <v>Please select ERROR CODE column "I"</v>
      </c>
      <c r="M915" s="209"/>
      <c r="N915" s="209"/>
      <c r="O915" s="209"/>
      <c r="P915" s="209"/>
      <c r="Q915" s="209"/>
      <c r="R915" s="217"/>
      <c r="S915" s="217"/>
      <c r="T915" s="217"/>
      <c r="U915" s="199"/>
      <c r="V915" s="200"/>
      <c r="W915" s="200"/>
      <c r="X915" s="200"/>
      <c r="Y915" s="200"/>
      <c r="Z915" s="200"/>
      <c r="AA915" s="201"/>
      <c r="AB915" s="200"/>
      <c r="AC915" s="200"/>
    </row>
    <row r="916" ht="15.75" customHeight="1">
      <c r="A916" s="210">
        <f t="shared" si="1"/>
        <v>914</v>
      </c>
      <c r="B916" s="217"/>
      <c r="C916" s="217" t="str">
        <f>IFERROR(VLOOKUP(B916, SourceData!$U$3:$V$190, 2, FALSE), "")</f>
        <v/>
      </c>
      <c r="D916" s="240"/>
      <c r="E916" s="241"/>
      <c r="F916" s="248"/>
      <c r="G916" s="207"/>
      <c r="H916" s="209"/>
      <c r="I916" s="209"/>
      <c r="J916" s="209"/>
      <c r="K916" s="208" t="str">
        <f>IF(Errors!$I916=0,SourceData!$B$42,VLOOKUP(Errors!$I916,SourceData!$A$2:$B$40,2,FALSE))</f>
        <v>Please select ERROR CODE column "I"</v>
      </c>
      <c r="L916" s="207" t="str">
        <f>IF(Errors!$I916=0,
    'List of Error Codes'!$E$29,
    IFERROR(VLOOKUP(Errors!$I916, 'List of Error Codes'!D915:I945, 6, FALSE), 'List of Error Codes'!$E$29)
)</f>
        <v>Please select ERROR CODE column "I"</v>
      </c>
      <c r="M916" s="209"/>
      <c r="N916" s="209"/>
      <c r="O916" s="209"/>
      <c r="P916" s="209"/>
      <c r="Q916" s="209"/>
      <c r="R916" s="217"/>
      <c r="S916" s="217"/>
      <c r="T916" s="217"/>
      <c r="U916" s="199"/>
      <c r="V916" s="200"/>
      <c r="W916" s="200"/>
      <c r="X916" s="200"/>
      <c r="Y916" s="200"/>
      <c r="Z916" s="200"/>
      <c r="AA916" s="201"/>
      <c r="AB916" s="200"/>
      <c r="AC916" s="200"/>
    </row>
    <row r="917" ht="15.75" customHeight="1">
      <c r="A917" s="210">
        <f t="shared" si="1"/>
        <v>915</v>
      </c>
      <c r="B917" s="217"/>
      <c r="C917" s="217" t="str">
        <f>IFERROR(VLOOKUP(B917, SourceData!$U$3:$V$190, 2, FALSE), "")</f>
        <v/>
      </c>
      <c r="D917" s="240"/>
      <c r="E917" s="241"/>
      <c r="F917" s="248"/>
      <c r="G917" s="207"/>
      <c r="H917" s="209"/>
      <c r="I917" s="209"/>
      <c r="J917" s="209"/>
      <c r="K917" s="208" t="str">
        <f>IF(Errors!$I917=0,SourceData!$B$42,VLOOKUP(Errors!$I917,SourceData!$A$2:$B$40,2,FALSE))</f>
        <v>Please select ERROR CODE column "I"</v>
      </c>
      <c r="L917" s="207" t="str">
        <f>IF(Errors!$I917=0,
    'List of Error Codes'!$E$29,
    IFERROR(VLOOKUP(Errors!$I917, 'List of Error Codes'!D916:I946, 6, FALSE), 'List of Error Codes'!$E$29)
)</f>
        <v>Please select ERROR CODE column "I"</v>
      </c>
      <c r="M917" s="209"/>
      <c r="N917" s="209"/>
      <c r="O917" s="209"/>
      <c r="P917" s="209"/>
      <c r="Q917" s="209"/>
      <c r="R917" s="217"/>
      <c r="S917" s="217"/>
      <c r="T917" s="217"/>
      <c r="U917" s="199"/>
      <c r="V917" s="200"/>
      <c r="W917" s="200"/>
      <c r="X917" s="200"/>
      <c r="Y917" s="200"/>
      <c r="Z917" s="200"/>
      <c r="AA917" s="201"/>
      <c r="AB917" s="200"/>
      <c r="AC917" s="200"/>
    </row>
    <row r="918" ht="15.75" customHeight="1">
      <c r="A918" s="210">
        <f t="shared" si="1"/>
        <v>916</v>
      </c>
      <c r="B918" s="217"/>
      <c r="C918" s="217" t="str">
        <f>IFERROR(VLOOKUP(B918, SourceData!$U$3:$V$190, 2, FALSE), "")</f>
        <v/>
      </c>
      <c r="D918" s="240"/>
      <c r="E918" s="241"/>
      <c r="F918" s="248"/>
      <c r="G918" s="207"/>
      <c r="H918" s="209"/>
      <c r="I918" s="209"/>
      <c r="J918" s="209"/>
      <c r="K918" s="208" t="str">
        <f>IF(Errors!$I918=0,SourceData!$B$42,VLOOKUP(Errors!$I918,SourceData!$A$2:$B$40,2,FALSE))</f>
        <v>Please select ERROR CODE column "I"</v>
      </c>
      <c r="L918" s="207" t="str">
        <f>IF(Errors!$I918=0,
    'List of Error Codes'!$E$29,
    IFERROR(VLOOKUP(Errors!$I918, 'List of Error Codes'!D917:I947, 6, FALSE), 'List of Error Codes'!$E$29)
)</f>
        <v>Please select ERROR CODE column "I"</v>
      </c>
      <c r="M918" s="209"/>
      <c r="N918" s="209"/>
      <c r="O918" s="209"/>
      <c r="P918" s="209"/>
      <c r="Q918" s="209"/>
      <c r="R918" s="217"/>
      <c r="S918" s="217"/>
      <c r="T918" s="217"/>
      <c r="U918" s="199"/>
      <c r="V918" s="200"/>
      <c r="W918" s="200"/>
      <c r="X918" s="200"/>
      <c r="Y918" s="200"/>
      <c r="Z918" s="200"/>
      <c r="AA918" s="201"/>
      <c r="AB918" s="200"/>
      <c r="AC918" s="200"/>
    </row>
    <row r="919" ht="15.75" customHeight="1">
      <c r="A919" s="210">
        <f t="shared" si="1"/>
        <v>917</v>
      </c>
      <c r="B919" s="217"/>
      <c r="C919" s="217" t="str">
        <f>IFERROR(VLOOKUP(B919, SourceData!$U$3:$V$190, 2, FALSE), "")</f>
        <v/>
      </c>
      <c r="D919" s="240"/>
      <c r="E919" s="241"/>
      <c r="F919" s="248"/>
      <c r="G919" s="207"/>
      <c r="H919" s="209"/>
      <c r="I919" s="209"/>
      <c r="J919" s="209"/>
      <c r="K919" s="208" t="str">
        <f>IF(Errors!$I919=0,SourceData!$B$42,VLOOKUP(Errors!$I919,SourceData!$A$2:$B$40,2,FALSE))</f>
        <v>Please select ERROR CODE column "I"</v>
      </c>
      <c r="L919" s="207" t="str">
        <f>IF(Errors!$I919=0,
    'List of Error Codes'!$E$29,
    IFERROR(VLOOKUP(Errors!$I919, 'List of Error Codes'!D918:I948, 6, FALSE), 'List of Error Codes'!$E$29)
)</f>
        <v>Please select ERROR CODE column "I"</v>
      </c>
      <c r="M919" s="209"/>
      <c r="N919" s="209"/>
      <c r="O919" s="209"/>
      <c r="P919" s="209"/>
      <c r="Q919" s="209"/>
      <c r="R919" s="217"/>
      <c r="S919" s="217"/>
      <c r="T919" s="217"/>
      <c r="U919" s="199"/>
      <c r="V919" s="200"/>
      <c r="W919" s="200"/>
      <c r="X919" s="200"/>
      <c r="Y919" s="200"/>
      <c r="Z919" s="200"/>
      <c r="AA919" s="201"/>
      <c r="AB919" s="200"/>
      <c r="AC919" s="200"/>
    </row>
    <row r="920" ht="15.75" customHeight="1">
      <c r="A920" s="210">
        <f t="shared" si="1"/>
        <v>918</v>
      </c>
      <c r="B920" s="217"/>
      <c r="C920" s="217" t="str">
        <f>IFERROR(VLOOKUP(B920, SourceData!$U$3:$V$190, 2, FALSE), "")</f>
        <v/>
      </c>
      <c r="D920" s="240"/>
      <c r="E920" s="241"/>
      <c r="F920" s="248"/>
      <c r="G920" s="207"/>
      <c r="H920" s="209"/>
      <c r="I920" s="209"/>
      <c r="J920" s="209"/>
      <c r="K920" s="208" t="str">
        <f>IF(Errors!$I920=0,SourceData!$B$42,VLOOKUP(Errors!$I920,SourceData!$A$2:$B$40,2,FALSE))</f>
        <v>Please select ERROR CODE column "I"</v>
      </c>
      <c r="L920" s="207" t="str">
        <f>IF(Errors!$I920=0,
    'List of Error Codes'!$E$29,
    IFERROR(VLOOKUP(Errors!$I920, 'List of Error Codes'!D919:I949, 6, FALSE), 'List of Error Codes'!$E$29)
)</f>
        <v>Please select ERROR CODE column "I"</v>
      </c>
      <c r="M920" s="209"/>
      <c r="N920" s="209"/>
      <c r="O920" s="209"/>
      <c r="P920" s="209"/>
      <c r="Q920" s="209"/>
      <c r="R920" s="217"/>
      <c r="S920" s="217"/>
      <c r="T920" s="217"/>
      <c r="U920" s="199"/>
      <c r="V920" s="200"/>
      <c r="W920" s="200"/>
      <c r="X920" s="200"/>
      <c r="Y920" s="200"/>
      <c r="Z920" s="200"/>
      <c r="AA920" s="201"/>
      <c r="AB920" s="200"/>
      <c r="AC920" s="200"/>
    </row>
    <row r="921" ht="15.75" customHeight="1">
      <c r="A921" s="210">
        <f t="shared" si="1"/>
        <v>919</v>
      </c>
      <c r="B921" s="217"/>
      <c r="C921" s="217" t="str">
        <f>IFERROR(VLOOKUP(B921, SourceData!$U$3:$V$190, 2, FALSE), "")</f>
        <v/>
      </c>
      <c r="D921" s="240"/>
      <c r="E921" s="241"/>
      <c r="F921" s="248"/>
      <c r="G921" s="207"/>
      <c r="H921" s="209"/>
      <c r="I921" s="209"/>
      <c r="J921" s="209"/>
      <c r="K921" s="208" t="str">
        <f>IF(Errors!$I921=0,SourceData!$B$42,VLOOKUP(Errors!$I921,SourceData!$A$2:$B$40,2,FALSE))</f>
        <v>Please select ERROR CODE column "I"</v>
      </c>
      <c r="L921" s="207" t="str">
        <f>IF(Errors!$I921=0,
    'List of Error Codes'!$E$29,
    IFERROR(VLOOKUP(Errors!$I921, 'List of Error Codes'!D920:I950, 6, FALSE), 'List of Error Codes'!$E$29)
)</f>
        <v>Please select ERROR CODE column "I"</v>
      </c>
      <c r="M921" s="209"/>
      <c r="N921" s="209"/>
      <c r="O921" s="209"/>
      <c r="P921" s="209"/>
      <c r="Q921" s="209"/>
      <c r="R921" s="217"/>
      <c r="S921" s="217"/>
      <c r="T921" s="217"/>
      <c r="U921" s="199"/>
      <c r="V921" s="200"/>
      <c r="W921" s="200"/>
      <c r="X921" s="200"/>
      <c r="Y921" s="200"/>
      <c r="Z921" s="200"/>
      <c r="AA921" s="201"/>
      <c r="AB921" s="200"/>
      <c r="AC921" s="200"/>
    </row>
    <row r="922" ht="15.75" customHeight="1">
      <c r="A922" s="210">
        <f t="shared" si="1"/>
        <v>920</v>
      </c>
      <c r="B922" s="217"/>
      <c r="C922" s="217" t="str">
        <f>IFERROR(VLOOKUP(B922, SourceData!$U$3:$V$190, 2, FALSE), "")</f>
        <v/>
      </c>
      <c r="D922" s="240"/>
      <c r="E922" s="241"/>
      <c r="F922" s="248"/>
      <c r="G922" s="207"/>
      <c r="H922" s="209"/>
      <c r="I922" s="209"/>
      <c r="J922" s="209"/>
      <c r="K922" s="208" t="str">
        <f>IF(Errors!$I922=0,SourceData!$B$42,VLOOKUP(Errors!$I922,SourceData!$A$2:$B$40,2,FALSE))</f>
        <v>Please select ERROR CODE column "I"</v>
      </c>
      <c r="L922" s="207" t="str">
        <f>IF(Errors!$I922=0,
    'List of Error Codes'!$E$29,
    IFERROR(VLOOKUP(Errors!$I922, 'List of Error Codes'!D921:I951, 6, FALSE), 'List of Error Codes'!$E$29)
)</f>
        <v>Please select ERROR CODE column "I"</v>
      </c>
      <c r="M922" s="209"/>
      <c r="N922" s="209"/>
      <c r="O922" s="209"/>
      <c r="P922" s="209"/>
      <c r="Q922" s="209"/>
      <c r="R922" s="217"/>
      <c r="S922" s="217"/>
      <c r="T922" s="217"/>
      <c r="U922" s="199"/>
      <c r="V922" s="200"/>
      <c r="W922" s="200"/>
      <c r="X922" s="200"/>
      <c r="Y922" s="200"/>
      <c r="Z922" s="200"/>
      <c r="AA922" s="201"/>
      <c r="AB922" s="200"/>
      <c r="AC922" s="200"/>
    </row>
    <row r="923" ht="15.75" customHeight="1">
      <c r="A923" s="210">
        <f t="shared" si="1"/>
        <v>921</v>
      </c>
      <c r="B923" s="217"/>
      <c r="C923" s="217" t="str">
        <f>IFERROR(VLOOKUP(B923, SourceData!$U$3:$V$190, 2, FALSE), "")</f>
        <v/>
      </c>
      <c r="D923" s="240"/>
      <c r="E923" s="241"/>
      <c r="F923" s="248"/>
      <c r="G923" s="207"/>
      <c r="H923" s="209"/>
      <c r="I923" s="209"/>
      <c r="J923" s="209"/>
      <c r="K923" s="208" t="str">
        <f>IF(Errors!$I923=0,SourceData!$B$42,VLOOKUP(Errors!$I923,SourceData!$A$2:$B$40,2,FALSE))</f>
        <v>Please select ERROR CODE column "I"</v>
      </c>
      <c r="L923" s="207" t="str">
        <f>IF(Errors!$I923=0,
    'List of Error Codes'!$E$29,
    IFERROR(VLOOKUP(Errors!$I923, 'List of Error Codes'!D922:I952, 6, FALSE), 'List of Error Codes'!$E$29)
)</f>
        <v>Please select ERROR CODE column "I"</v>
      </c>
      <c r="M923" s="209"/>
      <c r="N923" s="209"/>
      <c r="O923" s="209"/>
      <c r="P923" s="209"/>
      <c r="Q923" s="209"/>
      <c r="R923" s="217"/>
      <c r="S923" s="217"/>
      <c r="T923" s="217"/>
      <c r="U923" s="199"/>
      <c r="V923" s="200"/>
      <c r="W923" s="200"/>
      <c r="X923" s="200"/>
      <c r="Y923" s="200"/>
      <c r="Z923" s="200"/>
      <c r="AA923" s="201"/>
      <c r="AB923" s="200"/>
      <c r="AC923" s="200"/>
    </row>
    <row r="924" ht="15.75" customHeight="1">
      <c r="A924" s="210">
        <f t="shared" si="1"/>
        <v>922</v>
      </c>
      <c r="B924" s="217"/>
      <c r="C924" s="217" t="str">
        <f>IFERROR(VLOOKUP(B924, SourceData!$U$3:$V$190, 2, FALSE), "")</f>
        <v/>
      </c>
      <c r="D924" s="240"/>
      <c r="E924" s="241"/>
      <c r="F924" s="248"/>
      <c r="G924" s="207"/>
      <c r="H924" s="209"/>
      <c r="I924" s="209"/>
      <c r="J924" s="209"/>
      <c r="K924" s="208" t="str">
        <f>IF(Errors!$I924=0,SourceData!$B$42,VLOOKUP(Errors!$I924,SourceData!$A$2:$B$40,2,FALSE))</f>
        <v>Please select ERROR CODE column "I"</v>
      </c>
      <c r="L924" s="207" t="str">
        <f>IF(Errors!$I924=0,
    'List of Error Codes'!$E$29,
    IFERROR(VLOOKUP(Errors!$I924, 'List of Error Codes'!D923:I953, 6, FALSE), 'List of Error Codes'!$E$29)
)</f>
        <v>Please select ERROR CODE column "I"</v>
      </c>
      <c r="M924" s="209"/>
      <c r="N924" s="209"/>
      <c r="O924" s="209"/>
      <c r="P924" s="209"/>
      <c r="Q924" s="209"/>
      <c r="R924" s="217"/>
      <c r="S924" s="217"/>
      <c r="T924" s="217"/>
      <c r="U924" s="199"/>
      <c r="V924" s="200"/>
      <c r="W924" s="200"/>
      <c r="X924" s="200"/>
      <c r="Y924" s="200"/>
      <c r="Z924" s="200"/>
      <c r="AA924" s="201"/>
      <c r="AB924" s="200"/>
      <c r="AC924" s="200"/>
    </row>
    <row r="925" ht="15.75" customHeight="1">
      <c r="A925" s="210">
        <f t="shared" si="1"/>
        <v>923</v>
      </c>
      <c r="B925" s="217"/>
      <c r="C925" s="217" t="str">
        <f>IFERROR(VLOOKUP(B925, SourceData!$U$3:$V$190, 2, FALSE), "")</f>
        <v/>
      </c>
      <c r="D925" s="240"/>
      <c r="E925" s="241"/>
      <c r="F925" s="248"/>
      <c r="G925" s="207"/>
      <c r="H925" s="209"/>
      <c r="I925" s="209"/>
      <c r="J925" s="209"/>
      <c r="K925" s="208" t="str">
        <f>IF(Errors!$I925=0,SourceData!$B$42,VLOOKUP(Errors!$I925,SourceData!$A$2:$B$40,2,FALSE))</f>
        <v>Please select ERROR CODE column "I"</v>
      </c>
      <c r="L925" s="207" t="str">
        <f>IF(Errors!$I925=0,
    'List of Error Codes'!$E$29,
    IFERROR(VLOOKUP(Errors!$I925, 'List of Error Codes'!D924:I954, 6, FALSE), 'List of Error Codes'!$E$29)
)</f>
        <v>Please select ERROR CODE column "I"</v>
      </c>
      <c r="M925" s="209"/>
      <c r="N925" s="209"/>
      <c r="O925" s="209"/>
      <c r="P925" s="209"/>
      <c r="Q925" s="209"/>
      <c r="R925" s="217"/>
      <c r="S925" s="217"/>
      <c r="T925" s="217"/>
      <c r="U925" s="199"/>
      <c r="V925" s="200"/>
      <c r="W925" s="200"/>
      <c r="X925" s="200"/>
      <c r="Y925" s="200"/>
      <c r="Z925" s="200"/>
      <c r="AA925" s="201"/>
      <c r="AB925" s="200"/>
      <c r="AC925" s="200"/>
    </row>
    <row r="926" ht="15.75" customHeight="1">
      <c r="A926" s="210">
        <f t="shared" si="1"/>
        <v>924</v>
      </c>
      <c r="B926" s="217"/>
      <c r="C926" s="217" t="str">
        <f>IFERROR(VLOOKUP(B926, SourceData!$U$3:$V$190, 2, FALSE), "")</f>
        <v/>
      </c>
      <c r="D926" s="240"/>
      <c r="E926" s="241"/>
      <c r="F926" s="248"/>
      <c r="G926" s="207"/>
      <c r="H926" s="209"/>
      <c r="I926" s="209"/>
      <c r="J926" s="209"/>
      <c r="K926" s="208" t="str">
        <f>IF(Errors!$I926=0,SourceData!$B$42,VLOOKUP(Errors!$I926,SourceData!$A$2:$B$40,2,FALSE))</f>
        <v>Please select ERROR CODE column "I"</v>
      </c>
      <c r="L926" s="207" t="str">
        <f>IF(Errors!$I926=0,
    'List of Error Codes'!$E$29,
    IFERROR(VLOOKUP(Errors!$I926, 'List of Error Codes'!D925:I955, 6, FALSE), 'List of Error Codes'!$E$29)
)</f>
        <v>Please select ERROR CODE column "I"</v>
      </c>
      <c r="M926" s="209"/>
      <c r="N926" s="209"/>
      <c r="O926" s="209"/>
      <c r="P926" s="209"/>
      <c r="Q926" s="209"/>
      <c r="R926" s="217"/>
      <c r="S926" s="217"/>
      <c r="T926" s="217"/>
      <c r="U926" s="199"/>
      <c r="V926" s="200"/>
      <c r="W926" s="200"/>
      <c r="X926" s="200"/>
      <c r="Y926" s="200"/>
      <c r="Z926" s="200"/>
      <c r="AA926" s="201"/>
      <c r="AB926" s="200"/>
      <c r="AC926" s="200"/>
    </row>
    <row r="927" ht="15.75" customHeight="1">
      <c r="A927" s="210">
        <f t="shared" si="1"/>
        <v>925</v>
      </c>
      <c r="B927" s="217"/>
      <c r="C927" s="217" t="str">
        <f>IFERROR(VLOOKUP(B927, SourceData!$U$3:$V$190, 2, FALSE), "")</f>
        <v/>
      </c>
      <c r="D927" s="240"/>
      <c r="E927" s="241"/>
      <c r="F927" s="248"/>
      <c r="G927" s="207"/>
      <c r="H927" s="209"/>
      <c r="I927" s="209"/>
      <c r="J927" s="209"/>
      <c r="K927" s="208" t="str">
        <f>IF(Errors!$I927=0,SourceData!$B$42,VLOOKUP(Errors!$I927,SourceData!$A$2:$B$40,2,FALSE))</f>
        <v>Please select ERROR CODE column "I"</v>
      </c>
      <c r="L927" s="207" t="str">
        <f>IF(Errors!$I927=0,
    'List of Error Codes'!$E$29,
    IFERROR(VLOOKUP(Errors!$I927, 'List of Error Codes'!D926:I956, 6, FALSE), 'List of Error Codes'!$E$29)
)</f>
        <v>Please select ERROR CODE column "I"</v>
      </c>
      <c r="M927" s="209"/>
      <c r="N927" s="209"/>
      <c r="O927" s="209"/>
      <c r="P927" s="209"/>
      <c r="Q927" s="209"/>
      <c r="R927" s="217"/>
      <c r="S927" s="217"/>
      <c r="T927" s="217"/>
      <c r="U927" s="199"/>
      <c r="V927" s="200"/>
      <c r="W927" s="200"/>
      <c r="X927" s="200"/>
      <c r="Y927" s="200"/>
      <c r="Z927" s="200"/>
      <c r="AA927" s="201"/>
      <c r="AB927" s="200"/>
      <c r="AC927" s="200"/>
    </row>
    <row r="928" ht="15.75" customHeight="1">
      <c r="A928" s="210">
        <f t="shared" si="1"/>
        <v>926</v>
      </c>
      <c r="B928" s="217"/>
      <c r="C928" s="217" t="str">
        <f>IFERROR(VLOOKUP(B928, SourceData!$U$3:$V$190, 2, FALSE), "")</f>
        <v/>
      </c>
      <c r="D928" s="240"/>
      <c r="E928" s="241"/>
      <c r="F928" s="248"/>
      <c r="G928" s="207"/>
      <c r="H928" s="209"/>
      <c r="I928" s="209"/>
      <c r="J928" s="209"/>
      <c r="K928" s="208" t="str">
        <f>IF(Errors!$I928=0,SourceData!$B$42,VLOOKUP(Errors!$I928,SourceData!$A$2:$B$40,2,FALSE))</f>
        <v>Please select ERROR CODE column "I"</v>
      </c>
      <c r="L928" s="207" t="str">
        <f>IF(Errors!$I928=0,
    'List of Error Codes'!$E$29,
    IFERROR(VLOOKUP(Errors!$I928, 'List of Error Codes'!D927:I957, 6, FALSE), 'List of Error Codes'!$E$29)
)</f>
        <v>Please select ERROR CODE column "I"</v>
      </c>
      <c r="M928" s="209"/>
      <c r="N928" s="209"/>
      <c r="O928" s="209"/>
      <c r="P928" s="209"/>
      <c r="Q928" s="209"/>
      <c r="R928" s="217"/>
      <c r="S928" s="217"/>
      <c r="T928" s="217"/>
      <c r="U928" s="199"/>
      <c r="V928" s="200"/>
      <c r="W928" s="200"/>
      <c r="X928" s="200"/>
      <c r="Y928" s="200"/>
      <c r="Z928" s="200"/>
      <c r="AA928" s="201"/>
      <c r="AB928" s="200"/>
      <c r="AC928" s="200"/>
    </row>
    <row r="929" ht="15.75" customHeight="1">
      <c r="A929" s="210">
        <f t="shared" si="1"/>
        <v>927</v>
      </c>
      <c r="B929" s="217"/>
      <c r="C929" s="217" t="str">
        <f>IFERROR(VLOOKUP(B929, SourceData!$U$3:$V$190, 2, FALSE), "")</f>
        <v/>
      </c>
      <c r="D929" s="240"/>
      <c r="E929" s="241"/>
      <c r="F929" s="248"/>
      <c r="G929" s="207"/>
      <c r="H929" s="209"/>
      <c r="I929" s="209"/>
      <c r="J929" s="209"/>
      <c r="K929" s="208" t="str">
        <f>IF(Errors!$I929=0,SourceData!$B$42,VLOOKUP(Errors!$I929,SourceData!$A$2:$B$40,2,FALSE))</f>
        <v>Please select ERROR CODE column "I"</v>
      </c>
      <c r="L929" s="207" t="str">
        <f>IF(Errors!$I929=0,
    'List of Error Codes'!$E$29,
    IFERROR(VLOOKUP(Errors!$I929, 'List of Error Codes'!D928:I958, 6, FALSE), 'List of Error Codes'!$E$29)
)</f>
        <v>Please select ERROR CODE column "I"</v>
      </c>
      <c r="M929" s="209"/>
      <c r="N929" s="209"/>
      <c r="O929" s="209"/>
      <c r="P929" s="209"/>
      <c r="Q929" s="209"/>
      <c r="R929" s="217"/>
      <c r="S929" s="217"/>
      <c r="T929" s="217"/>
      <c r="U929" s="199"/>
      <c r="V929" s="200"/>
      <c r="W929" s="200"/>
      <c r="X929" s="200"/>
      <c r="Y929" s="200"/>
      <c r="Z929" s="200"/>
      <c r="AA929" s="201"/>
      <c r="AB929" s="200"/>
      <c r="AC929" s="200"/>
    </row>
    <row r="930" ht="15.75" customHeight="1">
      <c r="A930" s="210">
        <f t="shared" si="1"/>
        <v>928</v>
      </c>
      <c r="B930" s="217"/>
      <c r="C930" s="217" t="str">
        <f>IFERROR(VLOOKUP(B930, SourceData!$U$3:$V$190, 2, FALSE), "")</f>
        <v/>
      </c>
      <c r="D930" s="240"/>
      <c r="E930" s="241"/>
      <c r="F930" s="248"/>
      <c r="G930" s="207"/>
      <c r="H930" s="209"/>
      <c r="I930" s="209"/>
      <c r="J930" s="209"/>
      <c r="K930" s="208" t="str">
        <f>IF(Errors!$I930=0,SourceData!$B$42,VLOOKUP(Errors!$I930,SourceData!$A$2:$B$40,2,FALSE))</f>
        <v>Please select ERROR CODE column "I"</v>
      </c>
      <c r="L930" s="207" t="str">
        <f>IF(Errors!$I930=0,
    'List of Error Codes'!$E$29,
    IFERROR(VLOOKUP(Errors!$I930, 'List of Error Codes'!D929:I959, 6, FALSE), 'List of Error Codes'!$E$29)
)</f>
        <v>Please select ERROR CODE column "I"</v>
      </c>
      <c r="M930" s="209"/>
      <c r="N930" s="209"/>
      <c r="O930" s="209"/>
      <c r="P930" s="209"/>
      <c r="Q930" s="209"/>
      <c r="R930" s="217"/>
      <c r="S930" s="217"/>
      <c r="T930" s="217"/>
      <c r="U930" s="199"/>
      <c r="V930" s="200"/>
      <c r="W930" s="200"/>
      <c r="X930" s="200"/>
      <c r="Y930" s="200"/>
      <c r="Z930" s="200"/>
      <c r="AA930" s="201"/>
      <c r="AB930" s="200"/>
      <c r="AC930" s="200"/>
    </row>
    <row r="931" ht="15.75" customHeight="1">
      <c r="A931" s="210">
        <f t="shared" si="1"/>
        <v>929</v>
      </c>
      <c r="B931" s="217"/>
      <c r="C931" s="217" t="str">
        <f>IFERROR(VLOOKUP(B931, SourceData!$U$3:$V$190, 2, FALSE), "")</f>
        <v/>
      </c>
      <c r="D931" s="240"/>
      <c r="E931" s="241"/>
      <c r="F931" s="248"/>
      <c r="G931" s="207"/>
      <c r="H931" s="209"/>
      <c r="I931" s="209"/>
      <c r="J931" s="209"/>
      <c r="K931" s="208" t="str">
        <f>IF(Errors!$I931=0,SourceData!$B$42,VLOOKUP(Errors!$I931,SourceData!$A$2:$B$40,2,FALSE))</f>
        <v>Please select ERROR CODE column "I"</v>
      </c>
      <c r="L931" s="207" t="str">
        <f>IF(Errors!$I931=0,
    'List of Error Codes'!$E$29,
    IFERROR(VLOOKUP(Errors!$I931, 'List of Error Codes'!D930:I960, 6, FALSE), 'List of Error Codes'!$E$29)
)</f>
        <v>Please select ERROR CODE column "I"</v>
      </c>
      <c r="M931" s="209"/>
      <c r="N931" s="209"/>
      <c r="O931" s="209"/>
      <c r="P931" s="209"/>
      <c r="Q931" s="209"/>
      <c r="R931" s="217"/>
      <c r="S931" s="217"/>
      <c r="T931" s="217"/>
      <c r="U931" s="199"/>
      <c r="V931" s="200"/>
      <c r="W931" s="200"/>
      <c r="X931" s="200"/>
      <c r="Y931" s="200"/>
      <c r="Z931" s="200"/>
      <c r="AA931" s="201"/>
      <c r="AB931" s="200"/>
      <c r="AC931" s="200"/>
    </row>
    <row r="932" ht="15.75" customHeight="1">
      <c r="A932" s="210">
        <f t="shared" si="1"/>
        <v>930</v>
      </c>
      <c r="B932" s="217"/>
      <c r="C932" s="217" t="str">
        <f>IFERROR(VLOOKUP(B932, SourceData!$U$3:$V$190, 2, FALSE), "")</f>
        <v/>
      </c>
      <c r="D932" s="240"/>
      <c r="E932" s="241"/>
      <c r="F932" s="248"/>
      <c r="G932" s="207"/>
      <c r="H932" s="209"/>
      <c r="I932" s="209"/>
      <c r="J932" s="209"/>
      <c r="K932" s="208" t="str">
        <f>IF(Errors!$I932=0,SourceData!$B$42,VLOOKUP(Errors!$I932,SourceData!$A$2:$B$40,2,FALSE))</f>
        <v>Please select ERROR CODE column "I"</v>
      </c>
      <c r="L932" s="207" t="str">
        <f>IF(Errors!$I932=0,
    'List of Error Codes'!$E$29,
    IFERROR(VLOOKUP(Errors!$I932, 'List of Error Codes'!D931:I961, 6, FALSE), 'List of Error Codes'!$E$29)
)</f>
        <v>Please select ERROR CODE column "I"</v>
      </c>
      <c r="M932" s="209"/>
      <c r="N932" s="209"/>
      <c r="O932" s="209"/>
      <c r="P932" s="209"/>
      <c r="Q932" s="209"/>
      <c r="R932" s="217"/>
      <c r="S932" s="217"/>
      <c r="T932" s="217"/>
      <c r="U932" s="199"/>
      <c r="V932" s="200"/>
      <c r="W932" s="200"/>
      <c r="X932" s="200"/>
      <c r="Y932" s="200"/>
      <c r="Z932" s="200"/>
      <c r="AA932" s="201"/>
      <c r="AB932" s="200"/>
      <c r="AC932" s="200"/>
    </row>
    <row r="933" ht="15.75" customHeight="1">
      <c r="A933" s="210">
        <f t="shared" si="1"/>
        <v>931</v>
      </c>
      <c r="B933" s="217"/>
      <c r="C933" s="217" t="str">
        <f>IFERROR(VLOOKUP(B933, SourceData!$U$3:$V$190, 2, FALSE), "")</f>
        <v/>
      </c>
      <c r="D933" s="240"/>
      <c r="E933" s="241"/>
      <c r="F933" s="248"/>
      <c r="G933" s="207"/>
      <c r="H933" s="209"/>
      <c r="I933" s="209"/>
      <c r="J933" s="209"/>
      <c r="K933" s="208" t="str">
        <f>IF(Errors!$I933=0,SourceData!$B$42,VLOOKUP(Errors!$I933,SourceData!$A$2:$B$40,2,FALSE))</f>
        <v>Please select ERROR CODE column "I"</v>
      </c>
      <c r="L933" s="207" t="str">
        <f>IF(Errors!$I933=0,
    'List of Error Codes'!$E$29,
    IFERROR(VLOOKUP(Errors!$I933, 'List of Error Codes'!D932:I962, 6, FALSE), 'List of Error Codes'!$E$29)
)</f>
        <v>Please select ERROR CODE column "I"</v>
      </c>
      <c r="M933" s="209"/>
      <c r="N933" s="209"/>
      <c r="O933" s="209"/>
      <c r="P933" s="209"/>
      <c r="Q933" s="209"/>
      <c r="R933" s="217"/>
      <c r="S933" s="217"/>
      <c r="T933" s="217"/>
      <c r="U933" s="199"/>
      <c r="V933" s="200"/>
      <c r="W933" s="200"/>
      <c r="X933" s="200"/>
      <c r="Y933" s="200"/>
      <c r="Z933" s="200"/>
      <c r="AA933" s="201"/>
      <c r="AB933" s="200"/>
      <c r="AC933" s="200"/>
    </row>
    <row r="934" ht="15.75" customHeight="1">
      <c r="A934" s="210">
        <f t="shared" si="1"/>
        <v>932</v>
      </c>
      <c r="B934" s="217"/>
      <c r="C934" s="217" t="str">
        <f>IFERROR(VLOOKUP(B934, SourceData!$U$3:$V$190, 2, FALSE), "")</f>
        <v/>
      </c>
      <c r="D934" s="240"/>
      <c r="E934" s="241"/>
      <c r="F934" s="248"/>
      <c r="G934" s="207"/>
      <c r="H934" s="209"/>
      <c r="I934" s="209"/>
      <c r="J934" s="209"/>
      <c r="K934" s="208" t="str">
        <f>IF(Errors!$I934=0,SourceData!$B$42,VLOOKUP(Errors!$I934,SourceData!$A$2:$B$40,2,FALSE))</f>
        <v>Please select ERROR CODE column "I"</v>
      </c>
      <c r="L934" s="207" t="str">
        <f>IF(Errors!$I934=0,
    'List of Error Codes'!$E$29,
    IFERROR(VLOOKUP(Errors!$I934, 'List of Error Codes'!D933:I963, 6, FALSE), 'List of Error Codes'!$E$29)
)</f>
        <v>Please select ERROR CODE column "I"</v>
      </c>
      <c r="M934" s="209"/>
      <c r="N934" s="209"/>
      <c r="O934" s="209"/>
      <c r="P934" s="209"/>
      <c r="Q934" s="209"/>
      <c r="R934" s="217"/>
      <c r="S934" s="217"/>
      <c r="T934" s="217"/>
      <c r="U934" s="199"/>
      <c r="V934" s="200"/>
      <c r="W934" s="200"/>
      <c r="X934" s="200"/>
      <c r="Y934" s="200"/>
      <c r="Z934" s="200"/>
      <c r="AA934" s="201"/>
      <c r="AB934" s="200"/>
      <c r="AC934" s="200"/>
    </row>
    <row r="935" ht="15.75" customHeight="1">
      <c r="A935" s="210">
        <f t="shared" si="1"/>
        <v>933</v>
      </c>
      <c r="B935" s="217"/>
      <c r="C935" s="217" t="str">
        <f>IFERROR(VLOOKUP(B935, SourceData!$U$3:$V$190, 2, FALSE), "")</f>
        <v/>
      </c>
      <c r="D935" s="240"/>
      <c r="E935" s="241"/>
      <c r="F935" s="248"/>
      <c r="G935" s="207"/>
      <c r="H935" s="209"/>
      <c r="I935" s="209"/>
      <c r="J935" s="209"/>
      <c r="K935" s="208" t="str">
        <f>IF(Errors!$I935=0,SourceData!$B$42,VLOOKUP(Errors!$I935,SourceData!$A$2:$B$40,2,FALSE))</f>
        <v>Please select ERROR CODE column "I"</v>
      </c>
      <c r="L935" s="207" t="str">
        <f>IF(Errors!$I935=0,
    'List of Error Codes'!$E$29,
    IFERROR(VLOOKUP(Errors!$I935, 'List of Error Codes'!D934:I964, 6, FALSE), 'List of Error Codes'!$E$29)
)</f>
        <v>Please select ERROR CODE column "I"</v>
      </c>
      <c r="M935" s="209"/>
      <c r="N935" s="209"/>
      <c r="O935" s="209"/>
      <c r="P935" s="209"/>
      <c r="Q935" s="209"/>
      <c r="R935" s="217"/>
      <c r="S935" s="217"/>
      <c r="T935" s="217"/>
      <c r="U935" s="199"/>
      <c r="V935" s="200"/>
      <c r="W935" s="200"/>
      <c r="X935" s="200"/>
      <c r="Y935" s="200"/>
      <c r="Z935" s="200"/>
      <c r="AA935" s="201"/>
      <c r="AB935" s="200"/>
      <c r="AC935" s="200"/>
    </row>
    <row r="936" ht="15.75" customHeight="1">
      <c r="A936" s="210">
        <f t="shared" si="1"/>
        <v>934</v>
      </c>
      <c r="B936" s="217"/>
      <c r="C936" s="217" t="str">
        <f>IFERROR(VLOOKUP(B936, SourceData!$U$3:$V$190, 2, FALSE), "")</f>
        <v/>
      </c>
      <c r="D936" s="240"/>
      <c r="E936" s="241"/>
      <c r="F936" s="248"/>
      <c r="G936" s="207"/>
      <c r="H936" s="209"/>
      <c r="I936" s="209"/>
      <c r="J936" s="209"/>
      <c r="K936" s="208" t="str">
        <f>IF(Errors!$I936=0,SourceData!$B$42,VLOOKUP(Errors!$I936,SourceData!$A$2:$B$40,2,FALSE))</f>
        <v>Please select ERROR CODE column "I"</v>
      </c>
      <c r="L936" s="207" t="str">
        <f>IF(Errors!$I936=0,
    'List of Error Codes'!$E$29,
    IFERROR(VLOOKUP(Errors!$I936, 'List of Error Codes'!D935:I965, 6, FALSE), 'List of Error Codes'!$E$29)
)</f>
        <v>Please select ERROR CODE column "I"</v>
      </c>
      <c r="M936" s="209"/>
      <c r="N936" s="209"/>
      <c r="O936" s="209"/>
      <c r="P936" s="209"/>
      <c r="Q936" s="209"/>
      <c r="R936" s="217"/>
      <c r="S936" s="217"/>
      <c r="T936" s="217"/>
      <c r="U936" s="199"/>
      <c r="V936" s="200"/>
      <c r="W936" s="200"/>
      <c r="X936" s="200"/>
      <c r="Y936" s="200"/>
      <c r="Z936" s="200"/>
      <c r="AA936" s="201"/>
      <c r="AB936" s="200"/>
      <c r="AC936" s="200"/>
    </row>
    <row r="937" ht="15.75" customHeight="1">
      <c r="A937" s="210">
        <f t="shared" si="1"/>
        <v>935</v>
      </c>
      <c r="B937" s="217"/>
      <c r="C937" s="217" t="str">
        <f>IFERROR(VLOOKUP(B937, SourceData!$U$3:$V$190, 2, FALSE), "")</f>
        <v/>
      </c>
      <c r="D937" s="240"/>
      <c r="E937" s="241"/>
      <c r="F937" s="248"/>
      <c r="G937" s="207"/>
      <c r="H937" s="209"/>
      <c r="I937" s="209"/>
      <c r="J937" s="209"/>
      <c r="K937" s="208" t="str">
        <f>IF(Errors!$I937=0,SourceData!$B$42,VLOOKUP(Errors!$I937,SourceData!$A$2:$B$40,2,FALSE))</f>
        <v>Please select ERROR CODE column "I"</v>
      </c>
      <c r="L937" s="207" t="str">
        <f>IF(Errors!$I937=0,
    'List of Error Codes'!$E$29,
    IFERROR(VLOOKUP(Errors!$I937, 'List of Error Codes'!D936:I966, 6, FALSE), 'List of Error Codes'!$E$29)
)</f>
        <v>Please select ERROR CODE column "I"</v>
      </c>
      <c r="M937" s="209"/>
      <c r="N937" s="209"/>
      <c r="O937" s="209"/>
      <c r="P937" s="209"/>
      <c r="Q937" s="209"/>
      <c r="R937" s="217"/>
      <c r="S937" s="217"/>
      <c r="T937" s="217"/>
      <c r="U937" s="199"/>
      <c r="V937" s="200"/>
      <c r="W937" s="200"/>
      <c r="X937" s="200"/>
      <c r="Y937" s="200"/>
      <c r="Z937" s="200"/>
      <c r="AA937" s="201"/>
      <c r="AB937" s="200"/>
      <c r="AC937" s="200"/>
    </row>
    <row r="938" ht="15.75" customHeight="1">
      <c r="A938" s="210">
        <f t="shared" si="1"/>
        <v>936</v>
      </c>
      <c r="B938" s="217"/>
      <c r="C938" s="217" t="str">
        <f>IFERROR(VLOOKUP(B938, SourceData!$U$3:$V$190, 2, FALSE), "")</f>
        <v/>
      </c>
      <c r="D938" s="240"/>
      <c r="E938" s="241"/>
      <c r="F938" s="248"/>
      <c r="G938" s="207"/>
      <c r="H938" s="209"/>
      <c r="I938" s="209"/>
      <c r="J938" s="209"/>
      <c r="K938" s="208" t="str">
        <f>IF(Errors!$I938=0,SourceData!$B$42,VLOOKUP(Errors!$I938,SourceData!$A$2:$B$40,2,FALSE))</f>
        <v>Please select ERROR CODE column "I"</v>
      </c>
      <c r="L938" s="207" t="str">
        <f>IF(Errors!$I938=0,
    'List of Error Codes'!$E$29,
    IFERROR(VLOOKUP(Errors!$I938, 'List of Error Codes'!D937:I967, 6, FALSE), 'List of Error Codes'!$E$29)
)</f>
        <v>Please select ERROR CODE column "I"</v>
      </c>
      <c r="M938" s="209"/>
      <c r="N938" s="209"/>
      <c r="O938" s="209"/>
      <c r="P938" s="209"/>
      <c r="Q938" s="209"/>
      <c r="R938" s="217"/>
      <c r="S938" s="217"/>
      <c r="T938" s="217"/>
      <c r="U938" s="199"/>
      <c r="V938" s="200"/>
      <c r="W938" s="200"/>
      <c r="X938" s="200"/>
      <c r="Y938" s="200"/>
      <c r="Z938" s="200"/>
      <c r="AA938" s="201"/>
      <c r="AB938" s="200"/>
      <c r="AC938" s="200"/>
    </row>
    <row r="939" ht="15.75" customHeight="1">
      <c r="A939" s="210">
        <f t="shared" si="1"/>
        <v>937</v>
      </c>
      <c r="B939" s="217"/>
      <c r="C939" s="217" t="str">
        <f>IFERROR(VLOOKUP(B939, SourceData!$U$3:$V$190, 2, FALSE), "")</f>
        <v/>
      </c>
      <c r="D939" s="240"/>
      <c r="E939" s="241"/>
      <c r="F939" s="248"/>
      <c r="G939" s="207"/>
      <c r="H939" s="209"/>
      <c r="I939" s="209"/>
      <c r="J939" s="209"/>
      <c r="K939" s="208" t="str">
        <f>IF(Errors!$I939=0,SourceData!$B$42,VLOOKUP(Errors!$I939,SourceData!$A$2:$B$40,2,FALSE))</f>
        <v>Please select ERROR CODE column "I"</v>
      </c>
      <c r="L939" s="207" t="str">
        <f>IF(Errors!$I939=0,
    'List of Error Codes'!$E$29,
    IFERROR(VLOOKUP(Errors!$I939, 'List of Error Codes'!D938:I968, 6, FALSE), 'List of Error Codes'!$E$29)
)</f>
        <v>Please select ERROR CODE column "I"</v>
      </c>
      <c r="M939" s="209"/>
      <c r="N939" s="209"/>
      <c r="O939" s="209"/>
      <c r="P939" s="209"/>
      <c r="Q939" s="209"/>
      <c r="R939" s="217"/>
      <c r="S939" s="217"/>
      <c r="T939" s="217"/>
      <c r="U939" s="199"/>
      <c r="V939" s="200"/>
      <c r="W939" s="200"/>
      <c r="X939" s="200"/>
      <c r="Y939" s="200"/>
      <c r="Z939" s="200"/>
      <c r="AA939" s="201"/>
      <c r="AB939" s="200"/>
      <c r="AC939" s="200"/>
    </row>
    <row r="940" ht="15.75" customHeight="1">
      <c r="A940" s="210">
        <f t="shared" si="1"/>
        <v>938</v>
      </c>
      <c r="B940" s="217"/>
      <c r="C940" s="217" t="str">
        <f>IFERROR(VLOOKUP(B940, SourceData!$U$3:$V$190, 2, FALSE), "")</f>
        <v/>
      </c>
      <c r="D940" s="240"/>
      <c r="E940" s="241"/>
      <c r="F940" s="248"/>
      <c r="G940" s="207"/>
      <c r="H940" s="209"/>
      <c r="I940" s="209"/>
      <c r="J940" s="209"/>
      <c r="K940" s="208" t="str">
        <f>IF(Errors!$I940=0,SourceData!$B$42,VLOOKUP(Errors!$I940,SourceData!$A$2:$B$40,2,FALSE))</f>
        <v>Please select ERROR CODE column "I"</v>
      </c>
      <c r="L940" s="207" t="str">
        <f>IF(Errors!$I940=0,
    'List of Error Codes'!$E$29,
    IFERROR(VLOOKUP(Errors!$I940, 'List of Error Codes'!D939:I969, 6, FALSE), 'List of Error Codes'!$E$29)
)</f>
        <v>Please select ERROR CODE column "I"</v>
      </c>
      <c r="M940" s="209"/>
      <c r="N940" s="209"/>
      <c r="O940" s="209"/>
      <c r="P940" s="209"/>
      <c r="Q940" s="209"/>
      <c r="R940" s="217"/>
      <c r="S940" s="217"/>
      <c r="T940" s="217"/>
      <c r="U940" s="199"/>
      <c r="V940" s="200"/>
      <c r="W940" s="200"/>
      <c r="X940" s="200"/>
      <c r="Y940" s="200"/>
      <c r="Z940" s="200"/>
      <c r="AA940" s="201"/>
      <c r="AB940" s="200"/>
      <c r="AC940" s="200"/>
    </row>
    <row r="941" ht="15.75" customHeight="1">
      <c r="A941" s="210">
        <f t="shared" si="1"/>
        <v>939</v>
      </c>
      <c r="B941" s="217"/>
      <c r="C941" s="217" t="str">
        <f>IFERROR(VLOOKUP(B941, SourceData!$U$3:$V$190, 2, FALSE), "")</f>
        <v/>
      </c>
      <c r="D941" s="240"/>
      <c r="E941" s="241"/>
      <c r="F941" s="248"/>
      <c r="G941" s="207"/>
      <c r="H941" s="209"/>
      <c r="I941" s="209"/>
      <c r="J941" s="209"/>
      <c r="K941" s="208" t="str">
        <f>IF(Errors!$I941=0,SourceData!$B$42,VLOOKUP(Errors!$I941,SourceData!$A$2:$B$40,2,FALSE))</f>
        <v>Please select ERROR CODE column "I"</v>
      </c>
      <c r="L941" s="207" t="str">
        <f>IF(Errors!$I941=0,
    'List of Error Codes'!$E$29,
    IFERROR(VLOOKUP(Errors!$I941, 'List of Error Codes'!D940:I970, 6, FALSE), 'List of Error Codes'!$E$29)
)</f>
        <v>Please select ERROR CODE column "I"</v>
      </c>
      <c r="M941" s="209"/>
      <c r="N941" s="209"/>
      <c r="O941" s="209"/>
      <c r="P941" s="209"/>
      <c r="Q941" s="209"/>
      <c r="R941" s="217"/>
      <c r="S941" s="217"/>
      <c r="T941" s="217"/>
      <c r="U941" s="199"/>
      <c r="V941" s="200"/>
      <c r="W941" s="200"/>
      <c r="X941" s="200"/>
      <c r="Y941" s="200"/>
      <c r="Z941" s="200"/>
      <c r="AA941" s="201"/>
      <c r="AB941" s="200"/>
      <c r="AC941" s="200"/>
    </row>
    <row r="942" ht="15.75" customHeight="1">
      <c r="A942" s="210">
        <f t="shared" si="1"/>
        <v>940</v>
      </c>
      <c r="B942" s="217"/>
      <c r="C942" s="217" t="str">
        <f>IFERROR(VLOOKUP(B942, SourceData!$U$3:$V$190, 2, FALSE), "")</f>
        <v/>
      </c>
      <c r="D942" s="240"/>
      <c r="E942" s="241"/>
      <c r="F942" s="248"/>
      <c r="G942" s="207"/>
      <c r="H942" s="209"/>
      <c r="I942" s="209"/>
      <c r="J942" s="209"/>
      <c r="K942" s="208" t="str">
        <f>IF(Errors!$I942=0,SourceData!$B$42,VLOOKUP(Errors!$I942,SourceData!$A$2:$B$40,2,FALSE))</f>
        <v>Please select ERROR CODE column "I"</v>
      </c>
      <c r="L942" s="207" t="str">
        <f>IF(Errors!$I942=0,
    'List of Error Codes'!$E$29,
    IFERROR(VLOOKUP(Errors!$I942, 'List of Error Codes'!D941:I971, 6, FALSE), 'List of Error Codes'!$E$29)
)</f>
        <v>Please select ERROR CODE column "I"</v>
      </c>
      <c r="M942" s="209"/>
      <c r="N942" s="209"/>
      <c r="O942" s="209"/>
      <c r="P942" s="209"/>
      <c r="Q942" s="209"/>
      <c r="R942" s="217"/>
      <c r="S942" s="217"/>
      <c r="T942" s="217"/>
      <c r="U942" s="199"/>
      <c r="V942" s="200"/>
      <c r="W942" s="200"/>
      <c r="X942" s="200"/>
      <c r="Y942" s="200"/>
      <c r="Z942" s="200"/>
      <c r="AA942" s="201"/>
      <c r="AB942" s="200"/>
      <c r="AC942" s="200"/>
    </row>
    <row r="943" ht="15.75" customHeight="1">
      <c r="A943" s="210">
        <f t="shared" si="1"/>
        <v>941</v>
      </c>
      <c r="B943" s="217"/>
      <c r="C943" s="217" t="str">
        <f>IFERROR(VLOOKUP(B943, SourceData!$U$3:$V$190, 2, FALSE), "")</f>
        <v/>
      </c>
      <c r="D943" s="240"/>
      <c r="E943" s="241"/>
      <c r="F943" s="248"/>
      <c r="G943" s="207"/>
      <c r="H943" s="209"/>
      <c r="I943" s="209"/>
      <c r="J943" s="209"/>
      <c r="K943" s="208" t="str">
        <f>IF(Errors!$I943=0,SourceData!$B$42,VLOOKUP(Errors!$I943,SourceData!$A$2:$B$40,2,FALSE))</f>
        <v>Please select ERROR CODE column "I"</v>
      </c>
      <c r="L943" s="207" t="str">
        <f>IF(Errors!$I943=0,
    'List of Error Codes'!$E$29,
    IFERROR(VLOOKUP(Errors!$I943, 'List of Error Codes'!D942:I972, 6, FALSE), 'List of Error Codes'!$E$29)
)</f>
        <v>Please select ERROR CODE column "I"</v>
      </c>
      <c r="M943" s="209"/>
      <c r="N943" s="209"/>
      <c r="O943" s="209"/>
      <c r="P943" s="209"/>
      <c r="Q943" s="209"/>
      <c r="R943" s="217"/>
      <c r="S943" s="217"/>
      <c r="T943" s="217"/>
      <c r="U943" s="199"/>
      <c r="V943" s="200"/>
      <c r="W943" s="200"/>
      <c r="X943" s="200"/>
      <c r="Y943" s="200"/>
      <c r="Z943" s="200"/>
      <c r="AA943" s="201"/>
      <c r="AB943" s="200"/>
      <c r="AC943" s="200"/>
    </row>
    <row r="944" ht="15.75" customHeight="1">
      <c r="A944" s="210">
        <f t="shared" si="1"/>
        <v>942</v>
      </c>
      <c r="B944" s="217"/>
      <c r="C944" s="217" t="str">
        <f>IFERROR(VLOOKUP(B944, SourceData!$U$3:$V$190, 2, FALSE), "")</f>
        <v/>
      </c>
      <c r="D944" s="240"/>
      <c r="E944" s="241"/>
      <c r="F944" s="248"/>
      <c r="G944" s="207"/>
      <c r="H944" s="209"/>
      <c r="I944" s="209"/>
      <c r="J944" s="209"/>
      <c r="K944" s="208" t="str">
        <f>IF(Errors!$I944=0,SourceData!$B$42,VLOOKUP(Errors!$I944,SourceData!$A$2:$B$40,2,FALSE))</f>
        <v>Please select ERROR CODE column "I"</v>
      </c>
      <c r="L944" s="207" t="str">
        <f>IF(Errors!$I944=0,
    'List of Error Codes'!$E$29,
    IFERROR(VLOOKUP(Errors!$I944, 'List of Error Codes'!D943:I973, 6, FALSE), 'List of Error Codes'!$E$29)
)</f>
        <v>Please select ERROR CODE column "I"</v>
      </c>
      <c r="M944" s="209"/>
      <c r="N944" s="209"/>
      <c r="O944" s="209"/>
      <c r="P944" s="209"/>
      <c r="Q944" s="209"/>
      <c r="R944" s="217"/>
      <c r="S944" s="217"/>
      <c r="T944" s="217"/>
      <c r="U944" s="199"/>
      <c r="V944" s="200"/>
      <c r="W944" s="200"/>
      <c r="X944" s="200"/>
      <c r="Y944" s="200"/>
      <c r="Z944" s="200"/>
      <c r="AA944" s="201"/>
      <c r="AB944" s="200"/>
      <c r="AC944" s="200"/>
    </row>
    <row r="945" ht="15.75" customHeight="1">
      <c r="A945" s="210">
        <f t="shared" si="1"/>
        <v>943</v>
      </c>
      <c r="B945" s="217"/>
      <c r="C945" s="217" t="str">
        <f>IFERROR(VLOOKUP(B945, SourceData!$U$3:$V$190, 2, FALSE), "")</f>
        <v/>
      </c>
      <c r="D945" s="240"/>
      <c r="E945" s="241"/>
      <c r="F945" s="248"/>
      <c r="G945" s="207"/>
      <c r="H945" s="209"/>
      <c r="I945" s="209"/>
      <c r="J945" s="209"/>
      <c r="K945" s="208" t="str">
        <f>IF(Errors!$I945=0,SourceData!$B$42,VLOOKUP(Errors!$I945,SourceData!$A$2:$B$40,2,FALSE))</f>
        <v>Please select ERROR CODE column "I"</v>
      </c>
      <c r="L945" s="207" t="str">
        <f>IF(Errors!$I945=0,
    'List of Error Codes'!$E$29,
    IFERROR(VLOOKUP(Errors!$I945, 'List of Error Codes'!D944:I974, 6, FALSE), 'List of Error Codes'!$E$29)
)</f>
        <v>Please select ERROR CODE column "I"</v>
      </c>
      <c r="M945" s="209"/>
      <c r="N945" s="209"/>
      <c r="O945" s="209"/>
      <c r="P945" s="209"/>
      <c r="Q945" s="209"/>
      <c r="R945" s="217"/>
      <c r="S945" s="217"/>
      <c r="T945" s="217"/>
      <c r="U945" s="199"/>
      <c r="V945" s="200"/>
      <c r="W945" s="200"/>
      <c r="X945" s="200"/>
      <c r="Y945" s="200"/>
      <c r="Z945" s="200"/>
      <c r="AA945" s="201"/>
      <c r="AB945" s="200"/>
      <c r="AC945" s="200"/>
    </row>
    <row r="946" ht="15.75" customHeight="1">
      <c r="A946" s="210">
        <f t="shared" si="1"/>
        <v>944</v>
      </c>
      <c r="B946" s="217"/>
      <c r="C946" s="217" t="str">
        <f>IFERROR(VLOOKUP(B946, SourceData!$U$3:$V$190, 2, FALSE), "")</f>
        <v/>
      </c>
      <c r="D946" s="240"/>
      <c r="E946" s="241"/>
      <c r="F946" s="248"/>
      <c r="G946" s="207"/>
      <c r="H946" s="209"/>
      <c r="I946" s="209"/>
      <c r="J946" s="209"/>
      <c r="K946" s="208" t="str">
        <f>IF(Errors!$I946=0,SourceData!$B$42,VLOOKUP(Errors!$I946,SourceData!$A$2:$B$40,2,FALSE))</f>
        <v>Please select ERROR CODE column "I"</v>
      </c>
      <c r="L946" s="207" t="str">
        <f>IF(Errors!$I946=0,
    'List of Error Codes'!$E$29,
    IFERROR(VLOOKUP(Errors!$I946, 'List of Error Codes'!D945:I975, 6, FALSE), 'List of Error Codes'!$E$29)
)</f>
        <v>Please select ERROR CODE column "I"</v>
      </c>
      <c r="M946" s="209"/>
      <c r="N946" s="209"/>
      <c r="O946" s="209"/>
      <c r="P946" s="209"/>
      <c r="Q946" s="209"/>
      <c r="R946" s="217"/>
      <c r="S946" s="217"/>
      <c r="T946" s="217"/>
      <c r="U946" s="199"/>
      <c r="V946" s="200"/>
      <c r="W946" s="200"/>
      <c r="X946" s="200"/>
      <c r="Y946" s="200"/>
      <c r="Z946" s="200"/>
      <c r="AA946" s="201"/>
      <c r="AB946" s="200"/>
      <c r="AC946" s="200"/>
    </row>
    <row r="947" ht="15.75" customHeight="1">
      <c r="A947" s="210">
        <f t="shared" si="1"/>
        <v>945</v>
      </c>
      <c r="B947" s="217"/>
      <c r="C947" s="217" t="str">
        <f>IFERROR(VLOOKUP(B947, SourceData!$U$3:$V$190, 2, FALSE), "")</f>
        <v/>
      </c>
      <c r="D947" s="240"/>
      <c r="E947" s="241"/>
      <c r="F947" s="248"/>
      <c r="G947" s="207"/>
      <c r="H947" s="209"/>
      <c r="I947" s="209"/>
      <c r="J947" s="209"/>
      <c r="K947" s="208" t="str">
        <f>IF(Errors!$I947=0,SourceData!$B$42,VLOOKUP(Errors!$I947,SourceData!$A$2:$B$40,2,FALSE))</f>
        <v>Please select ERROR CODE column "I"</v>
      </c>
      <c r="L947" s="207" t="str">
        <f>IF(Errors!$I947=0,
    'List of Error Codes'!$E$29,
    IFERROR(VLOOKUP(Errors!$I947, 'List of Error Codes'!D946:I976, 6, FALSE), 'List of Error Codes'!$E$29)
)</f>
        <v>Please select ERROR CODE column "I"</v>
      </c>
      <c r="M947" s="209"/>
      <c r="N947" s="209"/>
      <c r="O947" s="209"/>
      <c r="P947" s="209"/>
      <c r="Q947" s="209"/>
      <c r="R947" s="217"/>
      <c r="S947" s="217"/>
      <c r="T947" s="217"/>
      <c r="U947" s="199"/>
      <c r="V947" s="200"/>
      <c r="W947" s="200"/>
      <c r="X947" s="200"/>
      <c r="Y947" s="200"/>
      <c r="Z947" s="200"/>
      <c r="AA947" s="201"/>
      <c r="AB947" s="200"/>
      <c r="AC947" s="200"/>
    </row>
    <row r="948" ht="15.75" customHeight="1">
      <c r="A948" s="210">
        <f t="shared" si="1"/>
        <v>946</v>
      </c>
      <c r="B948" s="217"/>
      <c r="C948" s="217" t="str">
        <f>IFERROR(VLOOKUP(B948, SourceData!$U$3:$V$190, 2, FALSE), "")</f>
        <v/>
      </c>
      <c r="D948" s="240"/>
      <c r="E948" s="241"/>
      <c r="F948" s="248"/>
      <c r="G948" s="207"/>
      <c r="H948" s="209"/>
      <c r="I948" s="209"/>
      <c r="J948" s="209"/>
      <c r="K948" s="208" t="str">
        <f>IF(Errors!$I948=0,SourceData!$B$42,VLOOKUP(Errors!$I948,SourceData!$A$2:$B$40,2,FALSE))</f>
        <v>Please select ERROR CODE column "I"</v>
      </c>
      <c r="L948" s="207" t="str">
        <f>IF(Errors!$I948=0,
    'List of Error Codes'!$E$29,
    IFERROR(VLOOKUP(Errors!$I948, 'List of Error Codes'!D947:I977, 6, FALSE), 'List of Error Codes'!$E$29)
)</f>
        <v>Please select ERROR CODE column "I"</v>
      </c>
      <c r="M948" s="209"/>
      <c r="N948" s="209"/>
      <c r="O948" s="209"/>
      <c r="P948" s="209"/>
      <c r="Q948" s="209"/>
      <c r="R948" s="217"/>
      <c r="S948" s="217"/>
      <c r="T948" s="217"/>
      <c r="U948" s="199"/>
      <c r="V948" s="200"/>
      <c r="W948" s="200"/>
      <c r="X948" s="200"/>
      <c r="Y948" s="200"/>
      <c r="Z948" s="200"/>
      <c r="AA948" s="201"/>
      <c r="AB948" s="200"/>
      <c r="AC948" s="200"/>
    </row>
    <row r="949" ht="15.75" customHeight="1">
      <c r="A949" s="210">
        <f t="shared" si="1"/>
        <v>947</v>
      </c>
      <c r="B949" s="217"/>
      <c r="C949" s="217" t="str">
        <f>IFERROR(VLOOKUP(B949, SourceData!$U$3:$V$190, 2, FALSE), "")</f>
        <v/>
      </c>
      <c r="D949" s="240"/>
      <c r="E949" s="241"/>
      <c r="F949" s="248"/>
      <c r="G949" s="207"/>
      <c r="H949" s="209"/>
      <c r="I949" s="209"/>
      <c r="J949" s="209"/>
      <c r="K949" s="208" t="str">
        <f>IF(Errors!$I949=0,SourceData!$B$42,VLOOKUP(Errors!$I949,SourceData!$A$2:$B$40,2,FALSE))</f>
        <v>Please select ERROR CODE column "I"</v>
      </c>
      <c r="L949" s="207" t="str">
        <f>IF(Errors!$I949=0,
    'List of Error Codes'!$E$29,
    IFERROR(VLOOKUP(Errors!$I949, 'List of Error Codes'!D948:I978, 6, FALSE), 'List of Error Codes'!$E$29)
)</f>
        <v>Please select ERROR CODE column "I"</v>
      </c>
      <c r="M949" s="209"/>
      <c r="N949" s="209"/>
      <c r="O949" s="209"/>
      <c r="P949" s="209"/>
      <c r="Q949" s="209"/>
      <c r="R949" s="217"/>
      <c r="S949" s="217"/>
      <c r="T949" s="217"/>
      <c r="U949" s="199"/>
      <c r="V949" s="200"/>
      <c r="W949" s="200"/>
      <c r="X949" s="200"/>
      <c r="Y949" s="200"/>
      <c r="Z949" s="200"/>
      <c r="AA949" s="201"/>
      <c r="AB949" s="200"/>
      <c r="AC949" s="200"/>
    </row>
    <row r="950" ht="15.75" customHeight="1">
      <c r="A950" s="210">
        <f t="shared" si="1"/>
        <v>948</v>
      </c>
      <c r="B950" s="217"/>
      <c r="C950" s="217" t="str">
        <f>IFERROR(VLOOKUP(B950, SourceData!$U$3:$V$190, 2, FALSE), "")</f>
        <v/>
      </c>
      <c r="D950" s="240"/>
      <c r="E950" s="241"/>
      <c r="F950" s="248"/>
      <c r="G950" s="207"/>
      <c r="H950" s="209"/>
      <c r="I950" s="209"/>
      <c r="J950" s="209"/>
      <c r="K950" s="208" t="str">
        <f>IF(Errors!$I950=0,SourceData!$B$42,VLOOKUP(Errors!$I950,SourceData!$A$2:$B$40,2,FALSE))</f>
        <v>Please select ERROR CODE column "I"</v>
      </c>
      <c r="L950" s="207" t="str">
        <f>IF(Errors!$I950=0,
    'List of Error Codes'!$E$29,
    IFERROR(VLOOKUP(Errors!$I950, 'List of Error Codes'!D949:I979, 6, FALSE), 'List of Error Codes'!$E$29)
)</f>
        <v>Please select ERROR CODE column "I"</v>
      </c>
      <c r="M950" s="209"/>
      <c r="N950" s="209"/>
      <c r="O950" s="209"/>
      <c r="P950" s="209"/>
      <c r="Q950" s="209"/>
      <c r="R950" s="217"/>
      <c r="S950" s="217"/>
      <c r="T950" s="217"/>
      <c r="U950" s="199"/>
      <c r="V950" s="200"/>
      <c r="W950" s="200"/>
      <c r="X950" s="200"/>
      <c r="Y950" s="200"/>
      <c r="Z950" s="200"/>
      <c r="AA950" s="201"/>
      <c r="AB950" s="200"/>
      <c r="AC950" s="200"/>
    </row>
    <row r="951" ht="15.75" customHeight="1">
      <c r="A951" s="210">
        <f t="shared" si="1"/>
        <v>949</v>
      </c>
      <c r="B951" s="217"/>
      <c r="C951" s="217" t="str">
        <f>IFERROR(VLOOKUP(B951, SourceData!$U$3:$V$190, 2, FALSE), "")</f>
        <v/>
      </c>
      <c r="D951" s="240"/>
      <c r="E951" s="241"/>
      <c r="F951" s="248"/>
      <c r="G951" s="207"/>
      <c r="H951" s="209"/>
      <c r="I951" s="209"/>
      <c r="J951" s="209"/>
      <c r="K951" s="208" t="str">
        <f>IF(Errors!$I951=0,SourceData!$B$42,VLOOKUP(Errors!$I951,SourceData!$A$2:$B$40,2,FALSE))</f>
        <v>Please select ERROR CODE column "I"</v>
      </c>
      <c r="L951" s="207" t="str">
        <f>IF(Errors!$I951=0,
    'List of Error Codes'!$E$29,
    IFERROR(VLOOKUP(Errors!$I951, 'List of Error Codes'!D950:I980, 6, FALSE), 'List of Error Codes'!$E$29)
)</f>
        <v>Please select ERROR CODE column "I"</v>
      </c>
      <c r="M951" s="209"/>
      <c r="N951" s="209"/>
      <c r="O951" s="209"/>
      <c r="P951" s="209"/>
      <c r="Q951" s="209"/>
      <c r="R951" s="217"/>
      <c r="S951" s="217"/>
      <c r="T951" s="217"/>
      <c r="U951" s="199"/>
      <c r="V951" s="200"/>
      <c r="W951" s="200"/>
      <c r="X951" s="200"/>
      <c r="Y951" s="200"/>
      <c r="Z951" s="200"/>
      <c r="AA951" s="201"/>
      <c r="AB951" s="200"/>
      <c r="AC951" s="200"/>
    </row>
    <row r="952" ht="15.75" customHeight="1">
      <c r="A952" s="210">
        <f t="shared" si="1"/>
        <v>950</v>
      </c>
      <c r="B952" s="217"/>
      <c r="C952" s="217" t="str">
        <f>IFERROR(VLOOKUP(B952, SourceData!$U$3:$V$190, 2, FALSE), "")</f>
        <v/>
      </c>
      <c r="D952" s="240"/>
      <c r="E952" s="241"/>
      <c r="F952" s="248"/>
      <c r="G952" s="207"/>
      <c r="H952" s="209"/>
      <c r="I952" s="209"/>
      <c r="J952" s="209"/>
      <c r="K952" s="208" t="str">
        <f>IF(Errors!$I952=0,SourceData!$B$42,VLOOKUP(Errors!$I952,SourceData!$A$2:$B$40,2,FALSE))</f>
        <v>Please select ERROR CODE column "I"</v>
      </c>
      <c r="L952" s="207" t="str">
        <f>IF(Errors!$I952=0,
    'List of Error Codes'!$E$29,
    IFERROR(VLOOKUP(Errors!$I952, 'List of Error Codes'!D951:I981, 6, FALSE), 'List of Error Codes'!$E$29)
)</f>
        <v>Please select ERROR CODE column "I"</v>
      </c>
      <c r="M952" s="209"/>
      <c r="N952" s="209"/>
      <c r="O952" s="209"/>
      <c r="P952" s="209"/>
      <c r="Q952" s="209"/>
      <c r="R952" s="217"/>
      <c r="S952" s="217"/>
      <c r="T952" s="217"/>
      <c r="U952" s="199"/>
      <c r="V952" s="200"/>
      <c r="W952" s="200"/>
      <c r="X952" s="200"/>
      <c r="Y952" s="200"/>
      <c r="Z952" s="200"/>
      <c r="AA952" s="201"/>
      <c r="AB952" s="200"/>
      <c r="AC952" s="200"/>
    </row>
    <row r="953" ht="15.75" customHeight="1">
      <c r="A953" s="210">
        <f t="shared" si="1"/>
        <v>951</v>
      </c>
      <c r="B953" s="217"/>
      <c r="C953" s="217" t="str">
        <f>IFERROR(VLOOKUP(B953, SourceData!$U$3:$V$190, 2, FALSE), "")</f>
        <v/>
      </c>
      <c r="D953" s="240"/>
      <c r="E953" s="241"/>
      <c r="F953" s="248"/>
      <c r="G953" s="207"/>
      <c r="H953" s="209"/>
      <c r="I953" s="209"/>
      <c r="J953" s="209"/>
      <c r="K953" s="208" t="str">
        <f>IF(Errors!$I953=0,SourceData!$B$42,VLOOKUP(Errors!$I953,SourceData!$A$2:$B$40,2,FALSE))</f>
        <v>Please select ERROR CODE column "I"</v>
      </c>
      <c r="L953" s="207" t="str">
        <f>IF(Errors!$I953=0,
    'List of Error Codes'!$E$29,
    IFERROR(VLOOKUP(Errors!$I953, 'List of Error Codes'!D952:I982, 6, FALSE), 'List of Error Codes'!$E$29)
)</f>
        <v>Please select ERROR CODE column "I"</v>
      </c>
      <c r="M953" s="209"/>
      <c r="N953" s="209"/>
      <c r="O953" s="209"/>
      <c r="P953" s="209"/>
      <c r="Q953" s="209"/>
      <c r="R953" s="217"/>
      <c r="S953" s="217"/>
      <c r="T953" s="217"/>
      <c r="U953" s="199"/>
      <c r="V953" s="200"/>
      <c r="W953" s="200"/>
      <c r="X953" s="200"/>
      <c r="Y953" s="200"/>
      <c r="Z953" s="200"/>
      <c r="AA953" s="201"/>
      <c r="AB953" s="200"/>
      <c r="AC953" s="200"/>
    </row>
    <row r="954" ht="15.75" customHeight="1">
      <c r="A954" s="210">
        <f t="shared" si="1"/>
        <v>952</v>
      </c>
      <c r="B954" s="217"/>
      <c r="C954" s="217" t="str">
        <f>IFERROR(VLOOKUP(B954, SourceData!$U$3:$V$190, 2, FALSE), "")</f>
        <v/>
      </c>
      <c r="D954" s="240"/>
      <c r="E954" s="241"/>
      <c r="F954" s="248"/>
      <c r="G954" s="207"/>
      <c r="H954" s="209"/>
      <c r="I954" s="209"/>
      <c r="J954" s="209"/>
      <c r="K954" s="208" t="str">
        <f>IF(Errors!$I954=0,SourceData!$B$42,VLOOKUP(Errors!$I954,SourceData!$A$2:$B$40,2,FALSE))</f>
        <v>Please select ERROR CODE column "I"</v>
      </c>
      <c r="L954" s="207" t="str">
        <f>IF(Errors!$I954=0,
    'List of Error Codes'!$E$29,
    IFERROR(VLOOKUP(Errors!$I954, 'List of Error Codes'!D953:I983, 6, FALSE), 'List of Error Codes'!$E$29)
)</f>
        <v>Please select ERROR CODE column "I"</v>
      </c>
      <c r="M954" s="209"/>
      <c r="N954" s="209"/>
      <c r="O954" s="209"/>
      <c r="P954" s="209"/>
      <c r="Q954" s="209"/>
      <c r="R954" s="217"/>
      <c r="S954" s="217"/>
      <c r="T954" s="217"/>
      <c r="U954" s="199"/>
      <c r="V954" s="200"/>
      <c r="W954" s="200"/>
      <c r="X954" s="200"/>
      <c r="Y954" s="200"/>
      <c r="Z954" s="200"/>
      <c r="AA954" s="201"/>
      <c r="AB954" s="200"/>
      <c r="AC954" s="200"/>
    </row>
    <row r="955" ht="15.75" customHeight="1">
      <c r="A955" s="210">
        <f t="shared" si="1"/>
        <v>953</v>
      </c>
      <c r="B955" s="217"/>
      <c r="C955" s="217" t="str">
        <f>IFERROR(VLOOKUP(B955, SourceData!$U$3:$V$190, 2, FALSE), "")</f>
        <v/>
      </c>
      <c r="D955" s="240"/>
      <c r="E955" s="241"/>
      <c r="F955" s="248"/>
      <c r="G955" s="207"/>
      <c r="H955" s="209"/>
      <c r="I955" s="209"/>
      <c r="J955" s="209"/>
      <c r="K955" s="208" t="str">
        <f>IF(Errors!$I955=0,SourceData!$B$42,VLOOKUP(Errors!$I955,SourceData!$A$2:$B$40,2,FALSE))</f>
        <v>Please select ERROR CODE column "I"</v>
      </c>
      <c r="L955" s="207" t="str">
        <f>IF(Errors!$I955=0,
    'List of Error Codes'!$E$29,
    IFERROR(VLOOKUP(Errors!$I955, 'List of Error Codes'!D954:I984, 6, FALSE), 'List of Error Codes'!$E$29)
)</f>
        <v>Please select ERROR CODE column "I"</v>
      </c>
      <c r="M955" s="209"/>
      <c r="N955" s="209"/>
      <c r="O955" s="209"/>
      <c r="P955" s="209"/>
      <c r="Q955" s="209"/>
      <c r="R955" s="217"/>
      <c r="S955" s="217"/>
      <c r="T955" s="217"/>
      <c r="U955" s="199"/>
      <c r="V955" s="200"/>
      <c r="W955" s="200"/>
      <c r="X955" s="200"/>
      <c r="Y955" s="200"/>
      <c r="Z955" s="200"/>
      <c r="AA955" s="201"/>
      <c r="AB955" s="200"/>
      <c r="AC955" s="200"/>
    </row>
    <row r="956" ht="15.75" customHeight="1">
      <c r="A956" s="210">
        <f t="shared" si="1"/>
        <v>954</v>
      </c>
      <c r="B956" s="217"/>
      <c r="C956" s="217" t="str">
        <f>IFERROR(VLOOKUP(B956, SourceData!$U$3:$V$190, 2, FALSE), "")</f>
        <v/>
      </c>
      <c r="D956" s="240"/>
      <c r="E956" s="241"/>
      <c r="F956" s="248"/>
      <c r="G956" s="207"/>
      <c r="H956" s="209"/>
      <c r="I956" s="209"/>
      <c r="J956" s="209"/>
      <c r="K956" s="208" t="str">
        <f>IF(Errors!$I956=0,SourceData!$B$42,VLOOKUP(Errors!$I956,SourceData!$A$2:$B$40,2,FALSE))</f>
        <v>Please select ERROR CODE column "I"</v>
      </c>
      <c r="L956" s="207" t="str">
        <f>IF(Errors!$I956=0,
    'List of Error Codes'!$E$29,
    IFERROR(VLOOKUP(Errors!$I956, 'List of Error Codes'!D955:I985, 6, FALSE), 'List of Error Codes'!$E$29)
)</f>
        <v>Please select ERROR CODE column "I"</v>
      </c>
      <c r="M956" s="209"/>
      <c r="N956" s="209"/>
      <c r="O956" s="209"/>
      <c r="P956" s="209"/>
      <c r="Q956" s="209"/>
      <c r="R956" s="217"/>
      <c r="S956" s="217"/>
      <c r="T956" s="217"/>
      <c r="U956" s="199"/>
      <c r="V956" s="200"/>
      <c r="W956" s="200"/>
      <c r="X956" s="200"/>
      <c r="Y956" s="200"/>
      <c r="Z956" s="200"/>
      <c r="AA956" s="201"/>
      <c r="AB956" s="200"/>
      <c r="AC956" s="200"/>
    </row>
    <row r="957" ht="15.75" customHeight="1">
      <c r="A957" s="210">
        <f t="shared" si="1"/>
        <v>955</v>
      </c>
      <c r="B957" s="217"/>
      <c r="C957" s="217" t="str">
        <f>IFERROR(VLOOKUP(B957, SourceData!$U$3:$V$190, 2, FALSE), "")</f>
        <v/>
      </c>
      <c r="D957" s="240"/>
      <c r="E957" s="241"/>
      <c r="F957" s="248"/>
      <c r="G957" s="207"/>
      <c r="H957" s="209"/>
      <c r="I957" s="209"/>
      <c r="J957" s="209"/>
      <c r="K957" s="208" t="str">
        <f>IF(Errors!$I957=0,SourceData!$B$42,VLOOKUP(Errors!$I957,SourceData!$A$2:$B$40,2,FALSE))</f>
        <v>Please select ERROR CODE column "I"</v>
      </c>
      <c r="L957" s="207" t="str">
        <f>IF(Errors!$I957=0,
    'List of Error Codes'!$E$29,
    IFERROR(VLOOKUP(Errors!$I957, 'List of Error Codes'!D956:I986, 6, FALSE), 'List of Error Codes'!$E$29)
)</f>
        <v>Please select ERROR CODE column "I"</v>
      </c>
      <c r="M957" s="209"/>
      <c r="N957" s="209"/>
      <c r="O957" s="209"/>
      <c r="P957" s="209"/>
      <c r="Q957" s="209"/>
      <c r="R957" s="217"/>
      <c r="S957" s="217"/>
      <c r="T957" s="217"/>
      <c r="U957" s="199"/>
      <c r="V957" s="200"/>
      <c r="W957" s="200"/>
      <c r="X957" s="200"/>
      <c r="Y957" s="200"/>
      <c r="Z957" s="200"/>
      <c r="AA957" s="201"/>
      <c r="AB957" s="200"/>
      <c r="AC957" s="200"/>
    </row>
    <row r="958" ht="15.75" customHeight="1">
      <c r="A958" s="210">
        <f t="shared" si="1"/>
        <v>956</v>
      </c>
      <c r="B958" s="217"/>
      <c r="C958" s="217" t="str">
        <f>IFERROR(VLOOKUP(B958, SourceData!$U$3:$V$190, 2, FALSE), "")</f>
        <v/>
      </c>
      <c r="D958" s="240"/>
      <c r="E958" s="241"/>
      <c r="F958" s="248"/>
      <c r="G958" s="207"/>
      <c r="H958" s="209"/>
      <c r="I958" s="209"/>
      <c r="J958" s="209"/>
      <c r="K958" s="208" t="str">
        <f>IF(Errors!$I958=0,SourceData!$B$42,VLOOKUP(Errors!$I958,SourceData!$A$2:$B$40,2,FALSE))</f>
        <v>Please select ERROR CODE column "I"</v>
      </c>
      <c r="L958" s="207" t="str">
        <f>IF(Errors!$I958=0,
    'List of Error Codes'!$E$29,
    IFERROR(VLOOKUP(Errors!$I958, 'List of Error Codes'!D957:I987, 6, FALSE), 'List of Error Codes'!$E$29)
)</f>
        <v>Please select ERROR CODE column "I"</v>
      </c>
      <c r="M958" s="209"/>
      <c r="N958" s="209"/>
      <c r="O958" s="209"/>
      <c r="P958" s="209"/>
      <c r="Q958" s="209"/>
      <c r="R958" s="217"/>
      <c r="S958" s="217"/>
      <c r="T958" s="217"/>
      <c r="U958" s="199"/>
      <c r="V958" s="200"/>
      <c r="W958" s="200"/>
      <c r="X958" s="200"/>
      <c r="Y958" s="200"/>
      <c r="Z958" s="200"/>
      <c r="AA958" s="201"/>
      <c r="AB958" s="200"/>
      <c r="AC958" s="200"/>
    </row>
    <row r="959" ht="15.75" customHeight="1">
      <c r="A959" s="210">
        <f t="shared" si="1"/>
        <v>957</v>
      </c>
      <c r="B959" s="217"/>
      <c r="C959" s="217" t="str">
        <f>IFERROR(VLOOKUP(B959, SourceData!$U$3:$V$190, 2, FALSE), "")</f>
        <v/>
      </c>
      <c r="D959" s="240"/>
      <c r="E959" s="241"/>
      <c r="F959" s="248"/>
      <c r="G959" s="207"/>
      <c r="H959" s="209"/>
      <c r="I959" s="209"/>
      <c r="J959" s="209"/>
      <c r="K959" s="208" t="str">
        <f>IF(Errors!$I959=0,SourceData!$B$42,VLOOKUP(Errors!$I959,SourceData!$A$2:$B$40,2,FALSE))</f>
        <v>Please select ERROR CODE column "I"</v>
      </c>
      <c r="L959" s="207" t="str">
        <f>IF(Errors!$I959=0,
    'List of Error Codes'!$E$29,
    IFERROR(VLOOKUP(Errors!$I959, 'List of Error Codes'!D958:I988, 6, FALSE), 'List of Error Codes'!$E$29)
)</f>
        <v>Please select ERROR CODE column "I"</v>
      </c>
      <c r="M959" s="209"/>
      <c r="N959" s="209"/>
      <c r="O959" s="209"/>
      <c r="P959" s="209"/>
      <c r="Q959" s="209"/>
      <c r="R959" s="217"/>
      <c r="S959" s="217"/>
      <c r="T959" s="217"/>
      <c r="U959" s="199"/>
      <c r="V959" s="200"/>
      <c r="W959" s="200"/>
      <c r="X959" s="200"/>
      <c r="Y959" s="200"/>
      <c r="Z959" s="200"/>
      <c r="AA959" s="201"/>
      <c r="AB959" s="200"/>
      <c r="AC959" s="200"/>
    </row>
    <row r="960" ht="15.75" customHeight="1">
      <c r="A960" s="210">
        <f t="shared" si="1"/>
        <v>958</v>
      </c>
      <c r="B960" s="217"/>
      <c r="C960" s="217" t="str">
        <f>IFERROR(VLOOKUP(B960, SourceData!$U$3:$V$190, 2, FALSE), "")</f>
        <v/>
      </c>
      <c r="D960" s="240"/>
      <c r="E960" s="241"/>
      <c r="F960" s="248"/>
      <c r="G960" s="207"/>
      <c r="H960" s="209"/>
      <c r="I960" s="209"/>
      <c r="J960" s="209"/>
      <c r="K960" s="208" t="str">
        <f>IF(Errors!$I960=0,SourceData!$B$42,VLOOKUP(Errors!$I960,SourceData!$A$2:$B$40,2,FALSE))</f>
        <v>Please select ERROR CODE column "I"</v>
      </c>
      <c r="L960" s="207" t="str">
        <f>IF(Errors!$I960=0,
    'List of Error Codes'!$E$29,
    IFERROR(VLOOKUP(Errors!$I960, 'List of Error Codes'!D959:I989, 6, FALSE), 'List of Error Codes'!$E$29)
)</f>
        <v>Please select ERROR CODE column "I"</v>
      </c>
      <c r="M960" s="209"/>
      <c r="N960" s="209"/>
      <c r="O960" s="209"/>
      <c r="P960" s="209"/>
      <c r="Q960" s="209"/>
      <c r="R960" s="217"/>
      <c r="S960" s="217"/>
      <c r="T960" s="217"/>
      <c r="U960" s="199"/>
      <c r="V960" s="200"/>
      <c r="W960" s="200"/>
      <c r="X960" s="200"/>
      <c r="Y960" s="200"/>
      <c r="Z960" s="200"/>
      <c r="AA960" s="201"/>
      <c r="AB960" s="200"/>
      <c r="AC960" s="200"/>
    </row>
    <row r="961" ht="15.75" customHeight="1">
      <c r="A961" s="210">
        <f t="shared" si="1"/>
        <v>959</v>
      </c>
      <c r="B961" s="217"/>
      <c r="C961" s="217" t="str">
        <f>IFERROR(VLOOKUP(B961, SourceData!$U$3:$V$190, 2, FALSE), "")</f>
        <v/>
      </c>
      <c r="D961" s="240"/>
      <c r="E961" s="241"/>
      <c r="F961" s="248"/>
      <c r="G961" s="207"/>
      <c r="H961" s="209"/>
      <c r="I961" s="209"/>
      <c r="J961" s="209"/>
      <c r="K961" s="208" t="str">
        <f>IF(Errors!$I961=0,SourceData!$B$42,VLOOKUP(Errors!$I961,SourceData!$A$2:$B$40,2,FALSE))</f>
        <v>Please select ERROR CODE column "I"</v>
      </c>
      <c r="L961" s="207" t="str">
        <f>IF(Errors!$I961=0,
    'List of Error Codes'!$E$29,
    IFERROR(VLOOKUP(Errors!$I961, 'List of Error Codes'!D960:I990, 6, FALSE), 'List of Error Codes'!$E$29)
)</f>
        <v>Please select ERROR CODE column "I"</v>
      </c>
      <c r="M961" s="209"/>
      <c r="N961" s="209"/>
      <c r="O961" s="209"/>
      <c r="P961" s="209"/>
      <c r="Q961" s="209"/>
      <c r="R961" s="217"/>
      <c r="S961" s="217"/>
      <c r="T961" s="217"/>
      <c r="U961" s="199"/>
      <c r="V961" s="200"/>
      <c r="W961" s="200"/>
      <c r="X961" s="200"/>
      <c r="Y961" s="200"/>
      <c r="Z961" s="200"/>
      <c r="AA961" s="201"/>
      <c r="AB961" s="200"/>
      <c r="AC961" s="200"/>
    </row>
    <row r="962" ht="15.75" customHeight="1">
      <c r="A962" s="210">
        <f t="shared" si="1"/>
        <v>960</v>
      </c>
      <c r="B962" s="217"/>
      <c r="C962" s="217" t="str">
        <f>IFERROR(VLOOKUP(B962, SourceData!$U$3:$V$190, 2, FALSE), "")</f>
        <v/>
      </c>
      <c r="D962" s="240"/>
      <c r="E962" s="241"/>
      <c r="F962" s="248"/>
      <c r="G962" s="207"/>
      <c r="H962" s="209"/>
      <c r="I962" s="209"/>
      <c r="J962" s="209"/>
      <c r="K962" s="208" t="str">
        <f>IF(Errors!$I962=0,SourceData!$B$42,VLOOKUP(Errors!$I962,SourceData!$A$2:$B$40,2,FALSE))</f>
        <v>Please select ERROR CODE column "I"</v>
      </c>
      <c r="L962" s="207" t="str">
        <f>IF(Errors!$I962=0,
    'List of Error Codes'!$E$29,
    IFERROR(VLOOKUP(Errors!$I962, 'List of Error Codes'!D961:I991, 6, FALSE), 'List of Error Codes'!$E$29)
)</f>
        <v>Please select ERROR CODE column "I"</v>
      </c>
      <c r="M962" s="209"/>
      <c r="N962" s="209"/>
      <c r="O962" s="209"/>
      <c r="P962" s="209"/>
      <c r="Q962" s="209"/>
      <c r="R962" s="217"/>
      <c r="S962" s="217"/>
      <c r="T962" s="217"/>
      <c r="U962" s="199"/>
      <c r="V962" s="200"/>
      <c r="W962" s="200"/>
      <c r="X962" s="200"/>
      <c r="Y962" s="200"/>
      <c r="Z962" s="200"/>
      <c r="AA962" s="201"/>
      <c r="AB962" s="200"/>
      <c r="AC962" s="200"/>
    </row>
    <row r="963" ht="15.75" customHeight="1">
      <c r="A963" s="210">
        <f t="shared" si="1"/>
        <v>961</v>
      </c>
      <c r="B963" s="217"/>
      <c r="C963" s="217" t="str">
        <f>IFERROR(VLOOKUP(B963, SourceData!$U$3:$V$190, 2, FALSE), "")</f>
        <v/>
      </c>
      <c r="D963" s="240"/>
      <c r="E963" s="241"/>
      <c r="F963" s="248"/>
      <c r="G963" s="207"/>
      <c r="H963" s="209"/>
      <c r="I963" s="209"/>
      <c r="J963" s="209"/>
      <c r="K963" s="208" t="str">
        <f>IF(Errors!$I963=0,SourceData!$B$42,VLOOKUP(Errors!$I963,SourceData!$A$2:$B$40,2,FALSE))</f>
        <v>Please select ERROR CODE column "I"</v>
      </c>
      <c r="L963" s="207" t="str">
        <f>IF(Errors!$I963=0,
    'List of Error Codes'!$E$29,
    IFERROR(VLOOKUP(Errors!$I963, 'List of Error Codes'!D962:I992, 6, FALSE), 'List of Error Codes'!$E$29)
)</f>
        <v>Please select ERROR CODE column "I"</v>
      </c>
      <c r="M963" s="209"/>
      <c r="N963" s="209"/>
      <c r="O963" s="209"/>
      <c r="P963" s="209"/>
      <c r="Q963" s="209"/>
      <c r="R963" s="217"/>
      <c r="S963" s="217"/>
      <c r="T963" s="217"/>
      <c r="U963" s="199"/>
      <c r="V963" s="200"/>
      <c r="W963" s="200"/>
      <c r="X963" s="200"/>
      <c r="Y963" s="200"/>
      <c r="Z963" s="200"/>
      <c r="AA963" s="201"/>
      <c r="AB963" s="200"/>
      <c r="AC963" s="200"/>
    </row>
    <row r="964" ht="15.75" customHeight="1">
      <c r="A964" s="210">
        <f t="shared" si="1"/>
        <v>962</v>
      </c>
      <c r="B964" s="217"/>
      <c r="C964" s="217" t="str">
        <f>IFERROR(VLOOKUP(B964, SourceData!$U$3:$V$190, 2, FALSE), "")</f>
        <v/>
      </c>
      <c r="D964" s="240"/>
      <c r="E964" s="241"/>
      <c r="F964" s="248"/>
      <c r="G964" s="207"/>
      <c r="H964" s="209"/>
      <c r="I964" s="209"/>
      <c r="J964" s="209"/>
      <c r="K964" s="208" t="str">
        <f>IF(Errors!$I964=0,SourceData!$B$42,VLOOKUP(Errors!$I964,SourceData!$A$2:$B$40,2,FALSE))</f>
        <v>Please select ERROR CODE column "I"</v>
      </c>
      <c r="L964" s="207" t="str">
        <f>IF(Errors!$I964=0,
    'List of Error Codes'!$E$29,
    IFERROR(VLOOKUP(Errors!$I964, 'List of Error Codes'!D963:I993, 6, FALSE), 'List of Error Codes'!$E$29)
)</f>
        <v>Please select ERROR CODE column "I"</v>
      </c>
      <c r="M964" s="209"/>
      <c r="N964" s="209"/>
      <c r="O964" s="209"/>
      <c r="P964" s="209"/>
      <c r="Q964" s="209"/>
      <c r="R964" s="217"/>
      <c r="S964" s="217"/>
      <c r="T964" s="217"/>
      <c r="U964" s="199"/>
      <c r="V964" s="200"/>
      <c r="W964" s="200"/>
      <c r="X964" s="200"/>
      <c r="Y964" s="200"/>
      <c r="Z964" s="200"/>
      <c r="AA964" s="201"/>
      <c r="AB964" s="200"/>
      <c r="AC964" s="200"/>
    </row>
    <row r="965" ht="15.75" customHeight="1">
      <c r="A965" s="210">
        <f t="shared" si="1"/>
        <v>963</v>
      </c>
      <c r="B965" s="217"/>
      <c r="C965" s="217" t="str">
        <f>IFERROR(VLOOKUP(B965, SourceData!$U$3:$V$190, 2, FALSE), "")</f>
        <v/>
      </c>
      <c r="D965" s="240"/>
      <c r="E965" s="241"/>
      <c r="F965" s="248"/>
      <c r="G965" s="207"/>
      <c r="H965" s="209"/>
      <c r="I965" s="209"/>
      <c r="J965" s="209"/>
      <c r="K965" s="208" t="str">
        <f>IF(Errors!$I965=0,SourceData!$B$42,VLOOKUP(Errors!$I965,SourceData!$A$2:$B$40,2,FALSE))</f>
        <v>Please select ERROR CODE column "I"</v>
      </c>
      <c r="L965" s="207" t="str">
        <f>IF(Errors!$I965=0,
    'List of Error Codes'!$E$29,
    IFERROR(VLOOKUP(Errors!$I965, 'List of Error Codes'!D964:I994, 6, FALSE), 'List of Error Codes'!$E$29)
)</f>
        <v>Please select ERROR CODE column "I"</v>
      </c>
      <c r="M965" s="209"/>
      <c r="N965" s="209"/>
      <c r="O965" s="209"/>
      <c r="P965" s="209"/>
      <c r="Q965" s="209"/>
      <c r="R965" s="217"/>
      <c r="S965" s="217"/>
      <c r="T965" s="217"/>
      <c r="U965" s="199"/>
      <c r="V965" s="200"/>
      <c r="W965" s="200"/>
      <c r="X965" s="200"/>
      <c r="Y965" s="200"/>
      <c r="Z965" s="200"/>
      <c r="AA965" s="201"/>
      <c r="AB965" s="200"/>
      <c r="AC965" s="200"/>
    </row>
    <row r="966" ht="15.75" customHeight="1">
      <c r="A966" s="210">
        <f t="shared" si="1"/>
        <v>964</v>
      </c>
      <c r="B966" s="217"/>
      <c r="C966" s="217" t="str">
        <f>IFERROR(VLOOKUP(B966, SourceData!$U$3:$V$190, 2, FALSE), "")</f>
        <v/>
      </c>
      <c r="D966" s="240"/>
      <c r="E966" s="241"/>
      <c r="F966" s="248"/>
      <c r="G966" s="207"/>
      <c r="H966" s="209"/>
      <c r="I966" s="209"/>
      <c r="J966" s="209"/>
      <c r="K966" s="208" t="str">
        <f>IF(Errors!$I966=0,SourceData!$B$42,VLOOKUP(Errors!$I966,SourceData!$A$2:$B$40,2,FALSE))</f>
        <v>Please select ERROR CODE column "I"</v>
      </c>
      <c r="L966" s="207" t="str">
        <f>IF(Errors!$I966=0,
    'List of Error Codes'!$E$29,
    IFERROR(VLOOKUP(Errors!$I966, 'List of Error Codes'!D965:I995, 6, FALSE), 'List of Error Codes'!$E$29)
)</f>
        <v>Please select ERROR CODE column "I"</v>
      </c>
      <c r="M966" s="209"/>
      <c r="N966" s="209"/>
      <c r="O966" s="209"/>
      <c r="P966" s="209"/>
      <c r="Q966" s="209"/>
      <c r="R966" s="217"/>
      <c r="S966" s="217"/>
      <c r="T966" s="217"/>
      <c r="U966" s="199"/>
      <c r="V966" s="200"/>
      <c r="W966" s="200"/>
      <c r="X966" s="200"/>
      <c r="Y966" s="200"/>
      <c r="Z966" s="200"/>
      <c r="AA966" s="201"/>
      <c r="AB966" s="200"/>
      <c r="AC966" s="200"/>
    </row>
    <row r="967" ht="15.75" customHeight="1">
      <c r="A967" s="210">
        <f t="shared" si="1"/>
        <v>965</v>
      </c>
      <c r="B967" s="217"/>
      <c r="C967" s="217" t="str">
        <f>IFERROR(VLOOKUP(B967, SourceData!$U$3:$V$190, 2, FALSE), "")</f>
        <v/>
      </c>
      <c r="D967" s="240"/>
      <c r="E967" s="241"/>
      <c r="F967" s="248"/>
      <c r="G967" s="207"/>
      <c r="H967" s="209"/>
      <c r="I967" s="209"/>
      <c r="J967" s="209"/>
      <c r="K967" s="208" t="str">
        <f>IF(Errors!$I967=0,SourceData!$B$42,VLOOKUP(Errors!$I967,SourceData!$A$2:$B$40,2,FALSE))</f>
        <v>Please select ERROR CODE column "I"</v>
      </c>
      <c r="L967" s="207" t="str">
        <f>IF(Errors!$I967=0,
    'List of Error Codes'!$E$29,
    IFERROR(VLOOKUP(Errors!$I967, 'List of Error Codes'!D966:I996, 6, FALSE), 'List of Error Codes'!$E$29)
)</f>
        <v>Please select ERROR CODE column "I"</v>
      </c>
      <c r="M967" s="209"/>
      <c r="N967" s="209"/>
      <c r="O967" s="209"/>
      <c r="P967" s="209"/>
      <c r="Q967" s="209"/>
      <c r="R967" s="217"/>
      <c r="S967" s="217"/>
      <c r="T967" s="217"/>
      <c r="U967" s="199"/>
      <c r="V967" s="200"/>
      <c r="W967" s="200"/>
      <c r="X967" s="200"/>
      <c r="Y967" s="200"/>
      <c r="Z967" s="200"/>
      <c r="AA967" s="201"/>
      <c r="AB967" s="200"/>
      <c r="AC967" s="200"/>
    </row>
    <row r="968" ht="15.75" customHeight="1">
      <c r="A968" s="210">
        <f t="shared" si="1"/>
        <v>966</v>
      </c>
      <c r="B968" s="217"/>
      <c r="C968" s="217" t="str">
        <f>IFERROR(VLOOKUP(B968, SourceData!$U$3:$V$190, 2, FALSE), "")</f>
        <v/>
      </c>
      <c r="D968" s="240"/>
      <c r="E968" s="241"/>
      <c r="F968" s="248"/>
      <c r="G968" s="207"/>
      <c r="H968" s="209"/>
      <c r="I968" s="209"/>
      <c r="J968" s="209"/>
      <c r="K968" s="208" t="str">
        <f>IF(Errors!$I968=0,SourceData!$B$42,VLOOKUP(Errors!$I968,SourceData!$A$2:$B$40,2,FALSE))</f>
        <v>Please select ERROR CODE column "I"</v>
      </c>
      <c r="L968" s="207" t="str">
        <f>IF(Errors!$I968=0,
    'List of Error Codes'!$E$29,
    IFERROR(VLOOKUP(Errors!$I968, 'List of Error Codes'!D967:I997, 6, FALSE), 'List of Error Codes'!$E$29)
)</f>
        <v>Please select ERROR CODE column "I"</v>
      </c>
      <c r="M968" s="209"/>
      <c r="N968" s="209"/>
      <c r="O968" s="209"/>
      <c r="P968" s="209"/>
      <c r="Q968" s="209"/>
      <c r="R968" s="217"/>
      <c r="S968" s="217"/>
      <c r="T968" s="217"/>
      <c r="U968" s="199"/>
      <c r="V968" s="200"/>
      <c r="W968" s="200"/>
      <c r="X968" s="200"/>
      <c r="Y968" s="200"/>
      <c r="Z968" s="200"/>
      <c r="AA968" s="201"/>
      <c r="AB968" s="200"/>
      <c r="AC968" s="200"/>
    </row>
    <row r="969" ht="15.75" customHeight="1">
      <c r="A969" s="210">
        <f t="shared" si="1"/>
        <v>967</v>
      </c>
      <c r="B969" s="217"/>
      <c r="C969" s="217" t="str">
        <f>IFERROR(VLOOKUP(B969, SourceData!$U$3:$V$190, 2, FALSE), "")</f>
        <v/>
      </c>
      <c r="D969" s="240"/>
      <c r="E969" s="241"/>
      <c r="F969" s="248"/>
      <c r="G969" s="207"/>
      <c r="H969" s="209"/>
      <c r="I969" s="209"/>
      <c r="J969" s="209"/>
      <c r="K969" s="208" t="str">
        <f>IF(Errors!$I969=0,SourceData!$B$42,VLOOKUP(Errors!$I969,SourceData!$A$2:$B$40,2,FALSE))</f>
        <v>Please select ERROR CODE column "I"</v>
      </c>
      <c r="L969" s="207" t="str">
        <f>IF(Errors!$I969=0,
    'List of Error Codes'!$E$29,
    IFERROR(VLOOKUP(Errors!$I969, 'List of Error Codes'!D968:I998, 6, FALSE), 'List of Error Codes'!$E$29)
)</f>
        <v>Please select ERROR CODE column "I"</v>
      </c>
      <c r="M969" s="209"/>
      <c r="N969" s="209"/>
      <c r="O969" s="209"/>
      <c r="P969" s="209"/>
      <c r="Q969" s="209"/>
      <c r="R969" s="217"/>
      <c r="S969" s="217"/>
      <c r="T969" s="217"/>
      <c r="U969" s="199"/>
      <c r="V969" s="200"/>
      <c r="W969" s="200"/>
      <c r="X969" s="200"/>
      <c r="Y969" s="200"/>
      <c r="Z969" s="200"/>
      <c r="AA969" s="201"/>
      <c r="AB969" s="200"/>
      <c r="AC969" s="200"/>
    </row>
    <row r="970" ht="15.75" customHeight="1">
      <c r="A970" s="210">
        <f t="shared" si="1"/>
        <v>968</v>
      </c>
      <c r="B970" s="217"/>
      <c r="C970" s="217" t="str">
        <f>IFERROR(VLOOKUP(B970, SourceData!$U$3:$V$190, 2, FALSE), "")</f>
        <v/>
      </c>
      <c r="D970" s="240"/>
      <c r="E970" s="241"/>
      <c r="F970" s="248"/>
      <c r="G970" s="207"/>
      <c r="H970" s="209"/>
      <c r="I970" s="209"/>
      <c r="J970" s="209"/>
      <c r="K970" s="208" t="str">
        <f>IF(Errors!$I970=0,SourceData!$B$42,VLOOKUP(Errors!$I970,SourceData!$A$2:$B$40,2,FALSE))</f>
        <v>Please select ERROR CODE column "I"</v>
      </c>
      <c r="L970" s="207" t="str">
        <f>IF(Errors!$I970=0,
    'List of Error Codes'!$E$29,
    IFERROR(VLOOKUP(Errors!$I970, 'List of Error Codes'!D969:I999, 6, FALSE), 'List of Error Codes'!$E$29)
)</f>
        <v>Please select ERROR CODE column "I"</v>
      </c>
      <c r="M970" s="209"/>
      <c r="N970" s="209"/>
      <c r="O970" s="209"/>
      <c r="P970" s="209"/>
      <c r="Q970" s="209"/>
      <c r="R970" s="217"/>
      <c r="S970" s="217"/>
      <c r="T970" s="217"/>
      <c r="U970" s="199"/>
      <c r="V970" s="200"/>
      <c r="W970" s="200"/>
      <c r="X970" s="200"/>
      <c r="Y970" s="200"/>
      <c r="Z970" s="200"/>
      <c r="AA970" s="201"/>
      <c r="AB970" s="200"/>
      <c r="AC970" s="200"/>
    </row>
    <row r="971" ht="15.75" customHeight="1">
      <c r="A971" s="210">
        <f t="shared" si="1"/>
        <v>969</v>
      </c>
      <c r="B971" s="217"/>
      <c r="C971" s="217" t="str">
        <f>IFERROR(VLOOKUP(B971, SourceData!$U$3:$V$190, 2, FALSE), "")</f>
        <v/>
      </c>
      <c r="D971" s="240"/>
      <c r="E971" s="241"/>
      <c r="F971" s="248"/>
      <c r="G971" s="207"/>
      <c r="H971" s="209"/>
      <c r="I971" s="209"/>
      <c r="J971" s="209"/>
      <c r="K971" s="208" t="str">
        <f>IF(Errors!$I971=0,SourceData!$B$42,VLOOKUP(Errors!$I971,SourceData!$A$2:$B$40,2,FALSE))</f>
        <v>Please select ERROR CODE column "I"</v>
      </c>
      <c r="L971" s="207" t="str">
        <f>IF(Errors!$I971=0,
    'List of Error Codes'!$E$29,
    IFERROR(VLOOKUP(Errors!$I971, 'List of Error Codes'!D970:I1000, 6, FALSE), 'List of Error Codes'!$E$29)
)</f>
        <v>Please select ERROR CODE column "I"</v>
      </c>
      <c r="M971" s="209"/>
      <c r="N971" s="209"/>
      <c r="O971" s="209"/>
      <c r="P971" s="209"/>
      <c r="Q971" s="209"/>
      <c r="R971" s="217"/>
      <c r="S971" s="217"/>
      <c r="T971" s="217"/>
      <c r="U971" s="199"/>
      <c r="V971" s="200"/>
      <c r="W971" s="200"/>
      <c r="X971" s="200"/>
      <c r="Y971" s="200"/>
      <c r="Z971" s="200"/>
      <c r="AA971" s="201"/>
      <c r="AB971" s="200"/>
      <c r="AC971" s="200"/>
    </row>
    <row r="972" ht="15.75" customHeight="1">
      <c r="A972" s="210">
        <f t="shared" si="1"/>
        <v>970</v>
      </c>
      <c r="B972" s="217"/>
      <c r="C972" s="217" t="str">
        <f>IFERROR(VLOOKUP(B972, SourceData!$U$3:$V$190, 2, FALSE), "")</f>
        <v/>
      </c>
      <c r="D972" s="240"/>
      <c r="E972" s="241"/>
      <c r="F972" s="248"/>
      <c r="G972" s="207"/>
      <c r="H972" s="209"/>
      <c r="I972" s="209"/>
      <c r="J972" s="209"/>
      <c r="K972" s="208" t="str">
        <f>IF(Errors!$I972=0,SourceData!$B$42,VLOOKUP(Errors!$I972,SourceData!$A$2:$B$40,2,FALSE))</f>
        <v>Please select ERROR CODE column "I"</v>
      </c>
      <c r="L972" s="207" t="str">
        <f>IF(Errors!$I972=0,
    'List of Error Codes'!$E$29,
    IFERROR(VLOOKUP(Errors!$I972, 'List of Error Codes'!D971:I1001, 6, FALSE), 'List of Error Codes'!$E$29)
)</f>
        <v>Please select ERROR CODE column "I"</v>
      </c>
      <c r="M972" s="209"/>
      <c r="N972" s="209"/>
      <c r="O972" s="209"/>
      <c r="P972" s="209"/>
      <c r="Q972" s="209"/>
      <c r="R972" s="217"/>
      <c r="S972" s="217"/>
      <c r="T972" s="217"/>
      <c r="U972" s="199"/>
      <c r="V972" s="200"/>
      <c r="W972" s="200"/>
      <c r="X972" s="200"/>
      <c r="Y972" s="200"/>
      <c r="Z972" s="200"/>
      <c r="AA972" s="201"/>
      <c r="AB972" s="200"/>
      <c r="AC972" s="200"/>
    </row>
    <row r="973" ht="15.75" customHeight="1">
      <c r="A973" s="210">
        <f t="shared" si="1"/>
        <v>971</v>
      </c>
      <c r="B973" s="217"/>
      <c r="C973" s="217" t="str">
        <f>IFERROR(VLOOKUP(B973, SourceData!$U$3:$V$190, 2, FALSE), "")</f>
        <v/>
      </c>
      <c r="D973" s="240"/>
      <c r="E973" s="241"/>
      <c r="F973" s="248"/>
      <c r="G973" s="207"/>
      <c r="H973" s="209"/>
      <c r="I973" s="209"/>
      <c r="J973" s="209"/>
      <c r="K973" s="208" t="str">
        <f>IF(Errors!$I973=0,SourceData!$B$42,VLOOKUP(Errors!$I973,SourceData!$A$2:$B$40,2,FALSE))</f>
        <v>Please select ERROR CODE column "I"</v>
      </c>
      <c r="L973" s="207" t="str">
        <f>IF(Errors!$I973=0,
    'List of Error Codes'!$E$29,
    IFERROR(VLOOKUP(Errors!$I973, 'List of Error Codes'!D972:I1002, 6, FALSE), 'List of Error Codes'!$E$29)
)</f>
        <v>Please select ERROR CODE column "I"</v>
      </c>
      <c r="M973" s="209"/>
      <c r="N973" s="209"/>
      <c r="O973" s="209"/>
      <c r="P973" s="209"/>
      <c r="Q973" s="209"/>
      <c r="R973" s="217"/>
      <c r="S973" s="217"/>
      <c r="T973" s="217"/>
      <c r="U973" s="199"/>
      <c r="V973" s="200"/>
      <c r="W973" s="200"/>
      <c r="X973" s="200"/>
      <c r="Y973" s="200"/>
      <c r="Z973" s="200"/>
      <c r="AA973" s="201"/>
      <c r="AB973" s="200"/>
      <c r="AC973" s="200"/>
    </row>
    <row r="974" ht="15.75" customHeight="1">
      <c r="A974" s="210">
        <f t="shared" si="1"/>
        <v>972</v>
      </c>
      <c r="B974" s="217"/>
      <c r="C974" s="217" t="str">
        <f>IFERROR(VLOOKUP(B974, SourceData!$U$3:$V$190, 2, FALSE), "")</f>
        <v/>
      </c>
      <c r="D974" s="240"/>
      <c r="E974" s="241"/>
      <c r="F974" s="248"/>
      <c r="G974" s="207"/>
      <c r="H974" s="209"/>
      <c r="I974" s="209"/>
      <c r="J974" s="209"/>
      <c r="K974" s="208" t="str">
        <f>IF(Errors!$I974=0,SourceData!$B$42,VLOOKUP(Errors!$I974,SourceData!$A$2:$B$40,2,FALSE))</f>
        <v>Please select ERROR CODE column "I"</v>
      </c>
      <c r="L974" s="207" t="str">
        <f>IF(Errors!$I974=0,
    'List of Error Codes'!$E$29,
    IFERROR(VLOOKUP(Errors!$I974, 'List of Error Codes'!D973:I1003, 6, FALSE), 'List of Error Codes'!$E$29)
)</f>
        <v>Please select ERROR CODE column "I"</v>
      </c>
      <c r="M974" s="209"/>
      <c r="N974" s="209"/>
      <c r="O974" s="209"/>
      <c r="P974" s="209"/>
      <c r="Q974" s="209"/>
      <c r="R974" s="217"/>
      <c r="S974" s="217"/>
      <c r="T974" s="217"/>
      <c r="U974" s="199"/>
      <c r="V974" s="200"/>
      <c r="W974" s="200"/>
      <c r="X974" s="200"/>
      <c r="Y974" s="200"/>
      <c r="Z974" s="200"/>
      <c r="AA974" s="201"/>
      <c r="AB974" s="200"/>
      <c r="AC974" s="200"/>
    </row>
    <row r="975" ht="15.75" customHeight="1">
      <c r="A975" s="210">
        <f t="shared" si="1"/>
        <v>973</v>
      </c>
      <c r="B975" s="217"/>
      <c r="C975" s="217" t="str">
        <f>IFERROR(VLOOKUP(B975, SourceData!$U$3:$V$190, 2, FALSE), "")</f>
        <v/>
      </c>
      <c r="D975" s="240"/>
      <c r="E975" s="241"/>
      <c r="F975" s="248"/>
      <c r="G975" s="207"/>
      <c r="H975" s="209"/>
      <c r="I975" s="209"/>
      <c r="J975" s="209"/>
      <c r="K975" s="208" t="str">
        <f>IF(Errors!$I975=0,SourceData!$B$42,VLOOKUP(Errors!$I975,SourceData!$A$2:$B$40,2,FALSE))</f>
        <v>Please select ERROR CODE column "I"</v>
      </c>
      <c r="L975" s="207" t="str">
        <f>IF(Errors!$I975=0,
    'List of Error Codes'!$E$29,
    IFERROR(VLOOKUP(Errors!$I975, 'List of Error Codes'!D974:I1004, 6, FALSE), 'List of Error Codes'!$E$29)
)</f>
        <v>Please select ERROR CODE column "I"</v>
      </c>
      <c r="M975" s="209"/>
      <c r="N975" s="209"/>
      <c r="O975" s="209"/>
      <c r="P975" s="209"/>
      <c r="Q975" s="209"/>
      <c r="R975" s="217"/>
      <c r="S975" s="217"/>
      <c r="T975" s="217"/>
      <c r="U975" s="199"/>
      <c r="V975" s="200"/>
      <c r="W975" s="200"/>
      <c r="X975" s="200"/>
      <c r="Y975" s="200"/>
      <c r="Z975" s="200"/>
      <c r="AA975" s="201"/>
      <c r="AB975" s="200"/>
      <c r="AC975" s="200"/>
    </row>
    <row r="976" ht="15.75" customHeight="1">
      <c r="A976" s="210">
        <f t="shared" si="1"/>
        <v>974</v>
      </c>
      <c r="B976" s="217"/>
      <c r="C976" s="217" t="str">
        <f>IFERROR(VLOOKUP(B976, SourceData!$U$3:$V$190, 2, FALSE), "")</f>
        <v/>
      </c>
      <c r="D976" s="240"/>
      <c r="E976" s="241"/>
      <c r="F976" s="248"/>
      <c r="G976" s="207"/>
      <c r="H976" s="209"/>
      <c r="I976" s="209"/>
      <c r="J976" s="209"/>
      <c r="K976" s="208" t="str">
        <f>IF(Errors!$I976=0,SourceData!$B$42,VLOOKUP(Errors!$I976,SourceData!$A$2:$B$40,2,FALSE))</f>
        <v>Please select ERROR CODE column "I"</v>
      </c>
      <c r="L976" s="207" t="str">
        <f>IF(Errors!$I976=0,
    'List of Error Codes'!$E$29,
    IFERROR(VLOOKUP(Errors!$I976, 'List of Error Codes'!D975:I1005, 6, FALSE), 'List of Error Codes'!$E$29)
)</f>
        <v>Please select ERROR CODE column "I"</v>
      </c>
      <c r="M976" s="209"/>
      <c r="N976" s="209"/>
      <c r="O976" s="209"/>
      <c r="P976" s="209"/>
      <c r="Q976" s="209"/>
      <c r="R976" s="217"/>
      <c r="S976" s="217"/>
      <c r="T976" s="217"/>
      <c r="U976" s="199"/>
      <c r="V976" s="200"/>
      <c r="W976" s="200"/>
      <c r="X976" s="200"/>
      <c r="Y976" s="200"/>
      <c r="Z976" s="200"/>
      <c r="AA976" s="201"/>
      <c r="AB976" s="200"/>
      <c r="AC976" s="200"/>
    </row>
    <row r="977" ht="15.75" customHeight="1">
      <c r="A977" s="210">
        <f t="shared" si="1"/>
        <v>975</v>
      </c>
      <c r="B977" s="217"/>
      <c r="C977" s="217" t="str">
        <f>IFERROR(VLOOKUP(B977, SourceData!$U$3:$V$190, 2, FALSE), "")</f>
        <v/>
      </c>
      <c r="D977" s="240"/>
      <c r="E977" s="241"/>
      <c r="F977" s="248"/>
      <c r="G977" s="207"/>
      <c r="H977" s="209"/>
      <c r="I977" s="209"/>
      <c r="J977" s="209"/>
      <c r="K977" s="208" t="str">
        <f>IF(Errors!$I977=0,SourceData!$B$42,VLOOKUP(Errors!$I977,SourceData!$A$2:$B$40,2,FALSE))</f>
        <v>Please select ERROR CODE column "I"</v>
      </c>
      <c r="L977" s="207" t="str">
        <f>IF(Errors!$I977=0,
    'List of Error Codes'!$E$29,
    IFERROR(VLOOKUP(Errors!$I977, 'List of Error Codes'!D976:I1006, 6, FALSE), 'List of Error Codes'!$E$29)
)</f>
        <v>Please select ERROR CODE column "I"</v>
      </c>
      <c r="M977" s="209"/>
      <c r="N977" s="209"/>
      <c r="O977" s="209"/>
      <c r="P977" s="209"/>
      <c r="Q977" s="209"/>
      <c r="R977" s="217"/>
      <c r="S977" s="217"/>
      <c r="T977" s="217"/>
      <c r="U977" s="199"/>
      <c r="V977" s="200"/>
      <c r="W977" s="200"/>
      <c r="X977" s="200"/>
      <c r="Y977" s="200"/>
      <c r="Z977" s="200"/>
      <c r="AA977" s="201"/>
      <c r="AB977" s="200"/>
      <c r="AC977" s="200"/>
    </row>
    <row r="978" ht="15.75" customHeight="1">
      <c r="A978" s="210">
        <f t="shared" si="1"/>
        <v>976</v>
      </c>
      <c r="B978" s="217"/>
      <c r="C978" s="217" t="str">
        <f>IFERROR(VLOOKUP(B978, SourceData!$U$3:$V$190, 2, FALSE), "")</f>
        <v/>
      </c>
      <c r="D978" s="240"/>
      <c r="E978" s="241"/>
      <c r="F978" s="248"/>
      <c r="G978" s="207"/>
      <c r="H978" s="209"/>
      <c r="I978" s="209"/>
      <c r="J978" s="209"/>
      <c r="K978" s="208" t="str">
        <f>IF(Errors!$I978=0,SourceData!$B$42,VLOOKUP(Errors!$I978,SourceData!$A$2:$B$40,2,FALSE))</f>
        <v>Please select ERROR CODE column "I"</v>
      </c>
      <c r="L978" s="207" t="str">
        <f>IF(Errors!$I978=0,
    'List of Error Codes'!$E$29,
    IFERROR(VLOOKUP(Errors!$I978, 'List of Error Codes'!D977:I1007, 6, FALSE), 'List of Error Codes'!$E$29)
)</f>
        <v>Please select ERROR CODE column "I"</v>
      </c>
      <c r="M978" s="209"/>
      <c r="N978" s="209"/>
      <c r="O978" s="209"/>
      <c r="P978" s="209"/>
      <c r="Q978" s="209"/>
      <c r="R978" s="217"/>
      <c r="S978" s="217"/>
      <c r="T978" s="217"/>
      <c r="U978" s="199"/>
      <c r="V978" s="200"/>
      <c r="W978" s="200"/>
      <c r="X978" s="200"/>
      <c r="Y978" s="200"/>
      <c r="Z978" s="200"/>
      <c r="AA978" s="201"/>
      <c r="AB978" s="200"/>
      <c r="AC978" s="200"/>
    </row>
    <row r="979" ht="15.75" customHeight="1">
      <c r="A979" s="210">
        <f t="shared" si="1"/>
        <v>977</v>
      </c>
      <c r="B979" s="217"/>
      <c r="C979" s="217" t="str">
        <f>IFERROR(VLOOKUP(B979, SourceData!$U$3:$V$190, 2, FALSE), "")</f>
        <v/>
      </c>
      <c r="D979" s="240"/>
      <c r="E979" s="241"/>
      <c r="F979" s="248"/>
      <c r="G979" s="207"/>
      <c r="H979" s="209"/>
      <c r="I979" s="209"/>
      <c r="J979" s="209"/>
      <c r="K979" s="208" t="str">
        <f>IF(Errors!$I979=0,SourceData!$B$42,VLOOKUP(Errors!$I979,SourceData!$A$2:$B$40,2,FALSE))</f>
        <v>Please select ERROR CODE column "I"</v>
      </c>
      <c r="L979" s="207" t="str">
        <f>IF(Errors!$I979=0,
    'List of Error Codes'!$E$29,
    IFERROR(VLOOKUP(Errors!$I979, 'List of Error Codes'!D978:I1008, 6, FALSE), 'List of Error Codes'!$E$29)
)</f>
        <v>Please select ERROR CODE column "I"</v>
      </c>
      <c r="M979" s="209"/>
      <c r="N979" s="209"/>
      <c r="O979" s="209"/>
      <c r="P979" s="209"/>
      <c r="Q979" s="209"/>
      <c r="R979" s="217"/>
      <c r="S979" s="217"/>
      <c r="T979" s="217"/>
      <c r="U979" s="199"/>
      <c r="V979" s="200"/>
      <c r="W979" s="200"/>
      <c r="X979" s="200"/>
      <c r="Y979" s="200"/>
      <c r="Z979" s="200"/>
      <c r="AA979" s="201"/>
      <c r="AB979" s="200"/>
      <c r="AC979" s="200"/>
    </row>
    <row r="980" ht="15.75" customHeight="1">
      <c r="A980" s="210">
        <f t="shared" si="1"/>
        <v>978</v>
      </c>
      <c r="B980" s="217"/>
      <c r="C980" s="217" t="str">
        <f>IFERROR(VLOOKUP(B980, SourceData!$U$3:$V$190, 2, FALSE), "")</f>
        <v/>
      </c>
      <c r="D980" s="240"/>
      <c r="E980" s="241"/>
      <c r="F980" s="248"/>
      <c r="G980" s="207"/>
      <c r="H980" s="209"/>
      <c r="I980" s="209"/>
      <c r="J980" s="209"/>
      <c r="K980" s="208" t="str">
        <f>IF(Errors!$I980=0,SourceData!$B$42,VLOOKUP(Errors!$I980,SourceData!$A$2:$B$40,2,FALSE))</f>
        <v>Please select ERROR CODE column "I"</v>
      </c>
      <c r="L980" s="207" t="str">
        <f>IF(Errors!$I980=0,
    'List of Error Codes'!$E$29,
    IFERROR(VLOOKUP(Errors!$I980, 'List of Error Codes'!D979:I1009, 6, FALSE), 'List of Error Codes'!$E$29)
)</f>
        <v>Please select ERROR CODE column "I"</v>
      </c>
      <c r="M980" s="209"/>
      <c r="N980" s="209"/>
      <c r="O980" s="209"/>
      <c r="P980" s="209"/>
      <c r="Q980" s="209"/>
      <c r="R980" s="217"/>
      <c r="S980" s="217"/>
      <c r="T980" s="217"/>
      <c r="U980" s="199"/>
      <c r="V980" s="200"/>
      <c r="W980" s="200"/>
      <c r="X980" s="200"/>
      <c r="Y980" s="200"/>
      <c r="Z980" s="200"/>
      <c r="AA980" s="201"/>
      <c r="AB980" s="200"/>
      <c r="AC980" s="200"/>
    </row>
    <row r="981" ht="15.75" customHeight="1">
      <c r="A981" s="210">
        <f t="shared" si="1"/>
        <v>979</v>
      </c>
      <c r="B981" s="217"/>
      <c r="C981" s="217" t="str">
        <f>IFERROR(VLOOKUP(B981, SourceData!$U$3:$V$190, 2, FALSE), "")</f>
        <v/>
      </c>
      <c r="D981" s="240"/>
      <c r="E981" s="241"/>
      <c r="F981" s="248"/>
      <c r="G981" s="207"/>
      <c r="H981" s="209"/>
      <c r="I981" s="209"/>
      <c r="J981" s="209"/>
      <c r="K981" s="208" t="str">
        <f>IF(Errors!$I981=0,SourceData!$B$42,VLOOKUP(Errors!$I981,SourceData!$A$2:$B$40,2,FALSE))</f>
        <v>Please select ERROR CODE column "I"</v>
      </c>
      <c r="L981" s="207" t="str">
        <f>IF(Errors!$I981=0,
    'List of Error Codes'!$E$29,
    IFERROR(VLOOKUP(Errors!$I981, 'List of Error Codes'!D980:I1010, 6, FALSE), 'List of Error Codes'!$E$29)
)</f>
        <v>Please select ERROR CODE column "I"</v>
      </c>
      <c r="M981" s="209"/>
      <c r="N981" s="209"/>
      <c r="O981" s="209"/>
      <c r="P981" s="209"/>
      <c r="Q981" s="209"/>
      <c r="R981" s="217"/>
      <c r="S981" s="217"/>
      <c r="T981" s="217"/>
      <c r="U981" s="199"/>
      <c r="V981" s="200"/>
      <c r="W981" s="200"/>
      <c r="X981" s="200"/>
      <c r="Y981" s="200"/>
      <c r="Z981" s="200"/>
      <c r="AA981" s="201"/>
      <c r="AB981" s="200"/>
      <c r="AC981" s="200"/>
    </row>
    <row r="982" ht="15.75" customHeight="1">
      <c r="A982" s="210">
        <f t="shared" si="1"/>
        <v>980</v>
      </c>
      <c r="B982" s="217"/>
      <c r="C982" s="217" t="str">
        <f>IFERROR(VLOOKUP(B982, SourceData!$U$3:$V$190, 2, FALSE), "")</f>
        <v/>
      </c>
      <c r="D982" s="240"/>
      <c r="E982" s="241"/>
      <c r="F982" s="248"/>
      <c r="G982" s="207"/>
      <c r="H982" s="209"/>
      <c r="I982" s="209"/>
      <c r="J982" s="209"/>
      <c r="K982" s="208" t="str">
        <f>IF(Errors!$I982=0,SourceData!$B$42,VLOOKUP(Errors!$I982,SourceData!$A$2:$B$40,2,FALSE))</f>
        <v>Please select ERROR CODE column "I"</v>
      </c>
      <c r="L982" s="207" t="str">
        <f>IF(Errors!$I982=0,
    'List of Error Codes'!$E$29,
    IFERROR(VLOOKUP(Errors!$I982, 'List of Error Codes'!D981:I1011, 6, FALSE), 'List of Error Codes'!$E$29)
)</f>
        <v>Please select ERROR CODE column "I"</v>
      </c>
      <c r="M982" s="209"/>
      <c r="N982" s="209"/>
      <c r="O982" s="209"/>
      <c r="P982" s="209"/>
      <c r="Q982" s="209"/>
      <c r="R982" s="217"/>
      <c r="S982" s="217"/>
      <c r="T982" s="217"/>
      <c r="U982" s="199"/>
      <c r="V982" s="200"/>
      <c r="W982" s="200"/>
      <c r="X982" s="200"/>
      <c r="Y982" s="200"/>
      <c r="Z982" s="200"/>
      <c r="AA982" s="201"/>
      <c r="AB982" s="200"/>
      <c r="AC982" s="200"/>
    </row>
    <row r="983" ht="15.75" customHeight="1">
      <c r="A983" s="210">
        <f t="shared" si="1"/>
        <v>981</v>
      </c>
      <c r="B983" s="217"/>
      <c r="C983" s="217" t="str">
        <f>IFERROR(VLOOKUP(B983, SourceData!$U$3:$V$190, 2, FALSE), "")</f>
        <v/>
      </c>
      <c r="D983" s="240"/>
      <c r="E983" s="241"/>
      <c r="F983" s="248"/>
      <c r="G983" s="207"/>
      <c r="H983" s="209"/>
      <c r="I983" s="209"/>
      <c r="J983" s="209"/>
      <c r="K983" s="208" t="str">
        <f>IF(Errors!$I983=0,SourceData!$B$42,VLOOKUP(Errors!$I983,SourceData!$A$2:$B$40,2,FALSE))</f>
        <v>Please select ERROR CODE column "I"</v>
      </c>
      <c r="L983" s="207" t="str">
        <f>IF(Errors!$I983=0,
    'List of Error Codes'!$E$29,
    IFERROR(VLOOKUP(Errors!$I983, 'List of Error Codes'!D982:I1012, 6, FALSE), 'List of Error Codes'!$E$29)
)</f>
        <v>Please select ERROR CODE column "I"</v>
      </c>
      <c r="M983" s="209"/>
      <c r="N983" s="209"/>
      <c r="O983" s="209"/>
      <c r="P983" s="209"/>
      <c r="Q983" s="209"/>
      <c r="R983" s="217"/>
      <c r="S983" s="217"/>
      <c r="T983" s="217"/>
      <c r="U983" s="199"/>
      <c r="V983" s="200"/>
      <c r="W983" s="200"/>
      <c r="X983" s="200"/>
      <c r="Y983" s="200"/>
      <c r="Z983" s="200"/>
      <c r="AA983" s="201"/>
      <c r="AB983" s="200"/>
      <c r="AC983" s="200"/>
    </row>
    <row r="984" ht="15.75" customHeight="1">
      <c r="A984" s="210">
        <f t="shared" si="1"/>
        <v>982</v>
      </c>
      <c r="B984" s="217"/>
      <c r="C984" s="217" t="str">
        <f>IFERROR(VLOOKUP(B984, SourceData!$U$3:$V$190, 2, FALSE), "")</f>
        <v/>
      </c>
      <c r="D984" s="240"/>
      <c r="E984" s="241"/>
      <c r="F984" s="248"/>
      <c r="G984" s="207"/>
      <c r="H984" s="209"/>
      <c r="I984" s="209"/>
      <c r="J984" s="209"/>
      <c r="K984" s="208" t="str">
        <f>IF(Errors!$I984=0,SourceData!$B$42,VLOOKUP(Errors!$I984,SourceData!$A$2:$B$40,2,FALSE))</f>
        <v>Please select ERROR CODE column "I"</v>
      </c>
      <c r="L984" s="207" t="str">
        <f>IF(Errors!$I984=0,
    'List of Error Codes'!$E$29,
    IFERROR(VLOOKUP(Errors!$I984, 'List of Error Codes'!D983:I1013, 6, FALSE), 'List of Error Codes'!$E$29)
)</f>
        <v>Please select ERROR CODE column "I"</v>
      </c>
      <c r="M984" s="209"/>
      <c r="N984" s="209"/>
      <c r="O984" s="209"/>
      <c r="P984" s="209"/>
      <c r="Q984" s="209"/>
      <c r="R984" s="217"/>
      <c r="S984" s="217"/>
      <c r="T984" s="217"/>
      <c r="U984" s="199"/>
      <c r="V984" s="200"/>
      <c r="W984" s="200"/>
      <c r="X984" s="200"/>
      <c r="Y984" s="200"/>
      <c r="Z984" s="200"/>
      <c r="AA984" s="201"/>
      <c r="AB984" s="200"/>
      <c r="AC984" s="200"/>
    </row>
    <row r="985" ht="15.75" customHeight="1">
      <c r="A985" s="210">
        <f t="shared" si="1"/>
        <v>983</v>
      </c>
      <c r="B985" s="217"/>
      <c r="C985" s="217" t="str">
        <f>IFERROR(VLOOKUP(B985, SourceData!$U$3:$V$190, 2, FALSE), "")</f>
        <v/>
      </c>
      <c r="D985" s="240"/>
      <c r="E985" s="241"/>
      <c r="F985" s="248"/>
      <c r="G985" s="207"/>
      <c r="H985" s="209"/>
      <c r="I985" s="209"/>
      <c r="J985" s="209"/>
      <c r="K985" s="208" t="str">
        <f>IF(Errors!$I985=0,SourceData!$B$42,VLOOKUP(Errors!$I985,SourceData!$A$2:$B$40,2,FALSE))</f>
        <v>Please select ERROR CODE column "I"</v>
      </c>
      <c r="L985" s="207" t="str">
        <f>IF(Errors!$I985=0,
    'List of Error Codes'!$E$29,
    IFERROR(VLOOKUP(Errors!$I985, 'List of Error Codes'!D984:I1014, 6, FALSE), 'List of Error Codes'!$E$29)
)</f>
        <v>Please select ERROR CODE column "I"</v>
      </c>
      <c r="M985" s="209"/>
      <c r="N985" s="209"/>
      <c r="O985" s="209"/>
      <c r="P985" s="209"/>
      <c r="Q985" s="209"/>
      <c r="R985" s="217"/>
      <c r="S985" s="217"/>
      <c r="T985" s="217"/>
      <c r="U985" s="199"/>
      <c r="V985" s="200"/>
      <c r="W985" s="200"/>
      <c r="X985" s="200"/>
      <c r="Y985" s="200"/>
      <c r="Z985" s="200"/>
      <c r="AA985" s="201"/>
      <c r="AB985" s="200"/>
      <c r="AC985" s="200"/>
    </row>
    <row r="986" ht="15.75" customHeight="1">
      <c r="A986" s="210">
        <f t="shared" si="1"/>
        <v>984</v>
      </c>
      <c r="B986" s="217"/>
      <c r="C986" s="217" t="str">
        <f>IFERROR(VLOOKUP(B986, SourceData!$U$3:$V$190, 2, FALSE), "")</f>
        <v/>
      </c>
      <c r="D986" s="240"/>
      <c r="E986" s="241"/>
      <c r="F986" s="248"/>
      <c r="G986" s="207"/>
      <c r="H986" s="209"/>
      <c r="I986" s="209"/>
      <c r="J986" s="209"/>
      <c r="K986" s="208" t="str">
        <f>IF(Errors!$I986=0,SourceData!$B$42,VLOOKUP(Errors!$I986,SourceData!$A$2:$B$40,2,FALSE))</f>
        <v>Please select ERROR CODE column "I"</v>
      </c>
      <c r="L986" s="207" t="str">
        <f>IF(Errors!$I986=0,
    'List of Error Codes'!$E$29,
    IFERROR(VLOOKUP(Errors!$I986, 'List of Error Codes'!D985:I1015, 6, FALSE), 'List of Error Codes'!$E$29)
)</f>
        <v>Please select ERROR CODE column "I"</v>
      </c>
      <c r="M986" s="209"/>
      <c r="N986" s="209"/>
      <c r="O986" s="209"/>
      <c r="P986" s="209"/>
      <c r="Q986" s="209"/>
      <c r="R986" s="217"/>
      <c r="S986" s="217"/>
      <c r="T986" s="217"/>
      <c r="U986" s="199"/>
      <c r="V986" s="200"/>
      <c r="W986" s="200"/>
      <c r="X986" s="200"/>
      <c r="Y986" s="200"/>
      <c r="Z986" s="200"/>
      <c r="AA986" s="201"/>
      <c r="AB986" s="200"/>
      <c r="AC986" s="200"/>
    </row>
    <row r="987" ht="15.75" customHeight="1">
      <c r="A987" s="210">
        <f t="shared" si="1"/>
        <v>985</v>
      </c>
      <c r="B987" s="217"/>
      <c r="C987" s="217" t="str">
        <f>IFERROR(VLOOKUP(B987, SourceData!$U$3:$V$190, 2, FALSE), "")</f>
        <v/>
      </c>
      <c r="D987" s="240"/>
      <c r="E987" s="241"/>
      <c r="F987" s="248"/>
      <c r="G987" s="207"/>
      <c r="H987" s="209"/>
      <c r="I987" s="209"/>
      <c r="J987" s="209"/>
      <c r="K987" s="208" t="str">
        <f>IF(Errors!$I987=0,SourceData!$B$42,VLOOKUP(Errors!$I987,SourceData!$A$2:$B$40,2,FALSE))</f>
        <v>Please select ERROR CODE column "I"</v>
      </c>
      <c r="L987" s="207" t="str">
        <f>IF(Errors!$I987=0,
    'List of Error Codes'!$E$29,
    IFERROR(VLOOKUP(Errors!$I987, 'List of Error Codes'!D986:I1016, 6, FALSE), 'List of Error Codes'!$E$29)
)</f>
        <v>Please select ERROR CODE column "I"</v>
      </c>
      <c r="M987" s="209"/>
      <c r="N987" s="209"/>
      <c r="O987" s="209"/>
      <c r="P987" s="209"/>
      <c r="Q987" s="209"/>
      <c r="R987" s="217"/>
      <c r="S987" s="217"/>
      <c r="T987" s="217"/>
      <c r="U987" s="199"/>
      <c r="V987" s="200"/>
      <c r="W987" s="200"/>
      <c r="X987" s="200"/>
      <c r="Y987" s="200"/>
      <c r="Z987" s="200"/>
      <c r="AA987" s="201"/>
      <c r="AB987" s="200"/>
      <c r="AC987" s="200"/>
    </row>
    <row r="988" ht="15.75" customHeight="1">
      <c r="A988" s="210">
        <f t="shared" si="1"/>
        <v>986</v>
      </c>
      <c r="B988" s="217"/>
      <c r="C988" s="217" t="str">
        <f>IFERROR(VLOOKUP(B988, SourceData!$U$3:$V$190, 2, FALSE), "")</f>
        <v/>
      </c>
      <c r="D988" s="240"/>
      <c r="E988" s="241"/>
      <c r="F988" s="248"/>
      <c r="G988" s="207"/>
      <c r="H988" s="209"/>
      <c r="I988" s="209"/>
      <c r="J988" s="209"/>
      <c r="K988" s="208" t="str">
        <f>IF(Errors!$I988=0,SourceData!$B$42,VLOOKUP(Errors!$I988,SourceData!$A$2:$B$40,2,FALSE))</f>
        <v>Please select ERROR CODE column "I"</v>
      </c>
      <c r="L988" s="207" t="str">
        <f>IF(Errors!$I988=0,
    'List of Error Codes'!$E$29,
    IFERROR(VLOOKUP(Errors!$I988, 'List of Error Codes'!D987:I1017, 6, FALSE), 'List of Error Codes'!$E$29)
)</f>
        <v>Please select ERROR CODE column "I"</v>
      </c>
      <c r="M988" s="209"/>
      <c r="N988" s="209"/>
      <c r="O988" s="209"/>
      <c r="P988" s="209"/>
      <c r="Q988" s="209"/>
      <c r="R988" s="217"/>
      <c r="S988" s="217"/>
      <c r="T988" s="217"/>
      <c r="U988" s="199"/>
      <c r="V988" s="200"/>
      <c r="W988" s="200"/>
      <c r="X988" s="200"/>
      <c r="Y988" s="200"/>
      <c r="Z988" s="200"/>
      <c r="AA988" s="201"/>
      <c r="AB988" s="200"/>
      <c r="AC988" s="200"/>
    </row>
    <row r="989" ht="15.75" customHeight="1">
      <c r="A989" s="210">
        <f t="shared" si="1"/>
        <v>987</v>
      </c>
      <c r="B989" s="217"/>
      <c r="C989" s="217" t="str">
        <f>IFERROR(VLOOKUP(B989, SourceData!$U$3:$V$190, 2, FALSE), "")</f>
        <v/>
      </c>
      <c r="D989" s="240"/>
      <c r="E989" s="241"/>
      <c r="F989" s="248"/>
      <c r="G989" s="207"/>
      <c r="H989" s="209"/>
      <c r="I989" s="209"/>
      <c r="J989" s="209"/>
      <c r="K989" s="208" t="str">
        <f>IF(Errors!$I989=0,SourceData!$B$42,VLOOKUP(Errors!$I989,SourceData!$A$2:$B$40,2,FALSE))</f>
        <v>Please select ERROR CODE column "I"</v>
      </c>
      <c r="L989" s="207" t="str">
        <f>IF(Errors!$I989=0,
    'List of Error Codes'!$E$29,
    IFERROR(VLOOKUP(Errors!$I989, 'List of Error Codes'!D988:I1018, 6, FALSE), 'List of Error Codes'!$E$29)
)</f>
        <v>Please select ERROR CODE column "I"</v>
      </c>
      <c r="M989" s="209"/>
      <c r="N989" s="209"/>
      <c r="O989" s="209"/>
      <c r="P989" s="209"/>
      <c r="Q989" s="209"/>
      <c r="R989" s="217"/>
      <c r="S989" s="217"/>
      <c r="T989" s="217"/>
      <c r="U989" s="199"/>
      <c r="V989" s="200"/>
      <c r="W989" s="200"/>
      <c r="X989" s="200"/>
      <c r="Y989" s="200"/>
      <c r="Z989" s="200"/>
      <c r="AA989" s="201"/>
      <c r="AB989" s="200"/>
      <c r="AC989" s="200"/>
    </row>
    <row r="990" ht="15.75" customHeight="1">
      <c r="A990" s="210">
        <f t="shared" si="1"/>
        <v>988</v>
      </c>
      <c r="B990" s="217"/>
      <c r="C990" s="217" t="str">
        <f>IFERROR(VLOOKUP(B990, SourceData!$U$3:$V$190, 2, FALSE), "")</f>
        <v/>
      </c>
      <c r="D990" s="240"/>
      <c r="E990" s="241"/>
      <c r="F990" s="248"/>
      <c r="G990" s="207"/>
      <c r="H990" s="209"/>
      <c r="I990" s="209"/>
      <c r="J990" s="209"/>
      <c r="K990" s="208" t="str">
        <f>IF(Errors!$I990=0,SourceData!$B$42,VLOOKUP(Errors!$I990,SourceData!$A$2:$B$40,2,FALSE))</f>
        <v>Please select ERROR CODE column "I"</v>
      </c>
      <c r="L990" s="207" t="str">
        <f>IF(Errors!$I990=0,
    'List of Error Codes'!$E$29,
    IFERROR(VLOOKUP(Errors!$I990, 'List of Error Codes'!D989:I1019, 6, FALSE), 'List of Error Codes'!$E$29)
)</f>
        <v>Please select ERROR CODE column "I"</v>
      </c>
      <c r="M990" s="209"/>
      <c r="N990" s="209"/>
      <c r="O990" s="209"/>
      <c r="P990" s="209"/>
      <c r="Q990" s="209"/>
      <c r="R990" s="217"/>
      <c r="S990" s="217"/>
      <c r="T990" s="217"/>
      <c r="U990" s="199"/>
      <c r="V990" s="200"/>
      <c r="W990" s="200"/>
      <c r="X990" s="200"/>
      <c r="Y990" s="200"/>
      <c r="Z990" s="200"/>
      <c r="AA990" s="201"/>
      <c r="AB990" s="200"/>
      <c r="AC990" s="200"/>
    </row>
    <row r="991" ht="15.75" customHeight="1">
      <c r="A991" s="210">
        <f t="shared" si="1"/>
        <v>989</v>
      </c>
      <c r="B991" s="217"/>
      <c r="C991" s="217" t="str">
        <f>IFERROR(VLOOKUP(B991, SourceData!$U$3:$V$190, 2, FALSE), "")</f>
        <v/>
      </c>
      <c r="D991" s="240"/>
      <c r="E991" s="241"/>
      <c r="F991" s="248"/>
      <c r="G991" s="207"/>
      <c r="H991" s="209"/>
      <c r="I991" s="209"/>
      <c r="J991" s="209"/>
      <c r="K991" s="208" t="str">
        <f>IF(Errors!$I991=0,SourceData!$B$42,VLOOKUP(Errors!$I991,SourceData!$A$2:$B$40,2,FALSE))</f>
        <v>Please select ERROR CODE column "I"</v>
      </c>
      <c r="L991" s="207" t="str">
        <f>IF(Errors!$I991=0,
    'List of Error Codes'!$E$29,
    IFERROR(VLOOKUP(Errors!$I991, 'List of Error Codes'!D990:I1020, 6, FALSE), 'List of Error Codes'!$E$29)
)</f>
        <v>Please select ERROR CODE column "I"</v>
      </c>
      <c r="M991" s="209"/>
      <c r="N991" s="209"/>
      <c r="O991" s="209"/>
      <c r="P991" s="209"/>
      <c r="Q991" s="209"/>
      <c r="R991" s="217"/>
      <c r="S991" s="217"/>
      <c r="T991" s="217"/>
      <c r="U991" s="199"/>
      <c r="V991" s="200"/>
      <c r="W991" s="200"/>
      <c r="X991" s="200"/>
      <c r="Y991" s="200"/>
      <c r="Z991" s="200"/>
      <c r="AA991" s="201"/>
      <c r="AB991" s="200"/>
      <c r="AC991" s="200"/>
    </row>
    <row r="992" ht="15.75" customHeight="1">
      <c r="A992" s="210">
        <f t="shared" si="1"/>
        <v>990</v>
      </c>
      <c r="B992" s="217"/>
      <c r="C992" s="217" t="str">
        <f>IFERROR(VLOOKUP(B992, SourceData!$U$3:$V$190, 2, FALSE), "")</f>
        <v/>
      </c>
      <c r="D992" s="240"/>
      <c r="E992" s="241"/>
      <c r="F992" s="248"/>
      <c r="G992" s="207"/>
      <c r="H992" s="209"/>
      <c r="I992" s="209"/>
      <c r="J992" s="209"/>
      <c r="K992" s="208" t="str">
        <f>IF(Errors!$I992=0,SourceData!$B$42,VLOOKUP(Errors!$I992,SourceData!$A$2:$B$40,2,FALSE))</f>
        <v>Please select ERROR CODE column "I"</v>
      </c>
      <c r="L992" s="207" t="str">
        <f>IF(Errors!$I992=0,
    'List of Error Codes'!$E$29,
    IFERROR(VLOOKUP(Errors!$I992, 'List of Error Codes'!D991:I1021, 6, FALSE), 'List of Error Codes'!$E$29)
)</f>
        <v>Please select ERROR CODE column "I"</v>
      </c>
      <c r="M992" s="209"/>
      <c r="N992" s="209"/>
      <c r="O992" s="209"/>
      <c r="P992" s="209"/>
      <c r="Q992" s="209"/>
      <c r="R992" s="217"/>
      <c r="S992" s="217"/>
      <c r="T992" s="217"/>
      <c r="U992" s="199"/>
      <c r="V992" s="200"/>
      <c r="W992" s="200"/>
      <c r="X992" s="200"/>
      <c r="Y992" s="200"/>
      <c r="Z992" s="200"/>
      <c r="AA992" s="201"/>
      <c r="AB992" s="200"/>
      <c r="AC992" s="200"/>
    </row>
    <row r="993" ht="15.75" customHeight="1">
      <c r="A993" s="210">
        <f t="shared" si="1"/>
        <v>991</v>
      </c>
      <c r="B993" s="217"/>
      <c r="C993" s="217" t="str">
        <f>IFERROR(VLOOKUP(B993, SourceData!$U$3:$V$190, 2, FALSE), "")</f>
        <v/>
      </c>
      <c r="D993" s="240"/>
      <c r="E993" s="241"/>
      <c r="F993" s="248"/>
      <c r="G993" s="207"/>
      <c r="H993" s="209"/>
      <c r="I993" s="209"/>
      <c r="J993" s="209"/>
      <c r="K993" s="208" t="str">
        <f>IF(Errors!$I993=0,SourceData!$B$42,VLOOKUP(Errors!$I993,SourceData!$A$2:$B$40,2,FALSE))</f>
        <v>Please select ERROR CODE column "I"</v>
      </c>
      <c r="L993" s="207" t="str">
        <f>IF(Errors!$I993=0,
    'List of Error Codes'!$E$29,
    IFERROR(VLOOKUP(Errors!$I993, 'List of Error Codes'!D992:I1022, 6, FALSE), 'List of Error Codes'!$E$29)
)</f>
        <v>Please select ERROR CODE column "I"</v>
      </c>
      <c r="M993" s="209"/>
      <c r="N993" s="209"/>
      <c r="O993" s="209"/>
      <c r="P993" s="209"/>
      <c r="Q993" s="209"/>
      <c r="R993" s="217"/>
      <c r="S993" s="217"/>
      <c r="T993" s="217"/>
      <c r="U993" s="199"/>
      <c r="V993" s="200"/>
      <c r="W993" s="200"/>
      <c r="X993" s="200"/>
      <c r="Y993" s="200"/>
      <c r="Z993" s="200"/>
      <c r="AA993" s="201"/>
      <c r="AB993" s="200"/>
      <c r="AC993" s="200"/>
    </row>
    <row r="994" ht="15.75" customHeight="1">
      <c r="A994" s="210">
        <f t="shared" si="1"/>
        <v>992</v>
      </c>
      <c r="B994" s="217"/>
      <c r="C994" s="217" t="str">
        <f>IFERROR(VLOOKUP(B994, SourceData!$U$3:$V$190, 2, FALSE), "")</f>
        <v/>
      </c>
      <c r="D994" s="240"/>
      <c r="E994" s="241"/>
      <c r="F994" s="248"/>
      <c r="G994" s="207"/>
      <c r="H994" s="209"/>
      <c r="I994" s="209"/>
      <c r="J994" s="209"/>
      <c r="K994" s="208" t="str">
        <f>IF(Errors!$I994=0,SourceData!$B$42,VLOOKUP(Errors!$I994,SourceData!$A$2:$B$40,2,FALSE))</f>
        <v>Please select ERROR CODE column "I"</v>
      </c>
      <c r="L994" s="207" t="str">
        <f>IF(Errors!$I994=0,
    'List of Error Codes'!$E$29,
    IFERROR(VLOOKUP(Errors!$I994, 'List of Error Codes'!D993:I1023, 6, FALSE), 'List of Error Codes'!$E$29)
)</f>
        <v>Please select ERROR CODE column "I"</v>
      </c>
      <c r="M994" s="209"/>
      <c r="N994" s="209"/>
      <c r="O994" s="209"/>
      <c r="P994" s="209"/>
      <c r="Q994" s="209"/>
      <c r="R994" s="217"/>
      <c r="S994" s="217"/>
      <c r="T994" s="217"/>
      <c r="U994" s="199"/>
      <c r="V994" s="200"/>
      <c r="W994" s="200"/>
      <c r="X994" s="200"/>
      <c r="Y994" s="200"/>
      <c r="Z994" s="200"/>
      <c r="AA994" s="201"/>
      <c r="AB994" s="200"/>
      <c r="AC994" s="200"/>
    </row>
    <row r="995" ht="15.75" customHeight="1">
      <c r="A995" s="210">
        <f t="shared" si="1"/>
        <v>993</v>
      </c>
      <c r="B995" s="217"/>
      <c r="C995" s="217" t="str">
        <f>IFERROR(VLOOKUP(B995, SourceData!$U$3:$V$190, 2, FALSE), "")</f>
        <v/>
      </c>
      <c r="D995" s="240"/>
      <c r="E995" s="241"/>
      <c r="F995" s="248"/>
      <c r="G995" s="207"/>
      <c r="H995" s="209"/>
      <c r="I995" s="209"/>
      <c r="J995" s="209"/>
      <c r="K995" s="208" t="str">
        <f>IF(Errors!$I995=0,SourceData!$B$42,VLOOKUP(Errors!$I995,SourceData!$A$2:$B$40,2,FALSE))</f>
        <v>Please select ERROR CODE column "I"</v>
      </c>
      <c r="L995" s="207" t="str">
        <f>IF(Errors!$I995=0,
    'List of Error Codes'!$E$29,
    IFERROR(VLOOKUP(Errors!$I995, 'List of Error Codes'!D994:I1024, 6, FALSE), 'List of Error Codes'!$E$29)
)</f>
        <v>Please select ERROR CODE column "I"</v>
      </c>
      <c r="M995" s="209"/>
      <c r="N995" s="209"/>
      <c r="O995" s="209"/>
      <c r="P995" s="209"/>
      <c r="Q995" s="209"/>
      <c r="R995" s="217"/>
      <c r="S995" s="217"/>
      <c r="T995" s="217"/>
      <c r="U995" s="199"/>
      <c r="V995" s="200"/>
      <c r="W995" s="200"/>
      <c r="X995" s="200"/>
      <c r="Y995" s="200"/>
      <c r="Z995" s="200"/>
      <c r="AA995" s="201"/>
      <c r="AB995" s="200"/>
      <c r="AC995" s="200"/>
    </row>
    <row r="996" ht="15.75" customHeight="1">
      <c r="A996" s="210">
        <f t="shared" si="1"/>
        <v>994</v>
      </c>
      <c r="B996" s="217"/>
      <c r="C996" s="217" t="str">
        <f>IFERROR(VLOOKUP(B996, SourceData!$U$3:$V$190, 2, FALSE), "")</f>
        <v/>
      </c>
      <c r="D996" s="240"/>
      <c r="E996" s="241"/>
      <c r="F996" s="248"/>
      <c r="G996" s="207"/>
      <c r="H996" s="209"/>
      <c r="I996" s="209"/>
      <c r="J996" s="209"/>
      <c r="K996" s="208" t="str">
        <f>IF(Errors!$I996=0,SourceData!$B$42,VLOOKUP(Errors!$I996,SourceData!$A$2:$B$40,2,FALSE))</f>
        <v>Please select ERROR CODE column "I"</v>
      </c>
      <c r="L996" s="207" t="str">
        <f>IF(Errors!$I996=0,
    'List of Error Codes'!$E$29,
    IFERROR(VLOOKUP(Errors!$I996, 'List of Error Codes'!D995:I1025, 6, FALSE), 'List of Error Codes'!$E$29)
)</f>
        <v>Please select ERROR CODE column "I"</v>
      </c>
      <c r="M996" s="209"/>
      <c r="N996" s="209"/>
      <c r="O996" s="209"/>
      <c r="P996" s="209"/>
      <c r="Q996" s="209"/>
      <c r="R996" s="217"/>
      <c r="S996" s="217"/>
      <c r="T996" s="217"/>
      <c r="U996" s="199"/>
      <c r="V996" s="200"/>
      <c r="W996" s="200"/>
      <c r="X996" s="200"/>
      <c r="Y996" s="200"/>
      <c r="Z996" s="200"/>
      <c r="AA996" s="201"/>
      <c r="AB996" s="200"/>
      <c r="AC996" s="200"/>
    </row>
    <row r="997" ht="15.75" customHeight="1">
      <c r="A997" s="210">
        <f t="shared" si="1"/>
        <v>995</v>
      </c>
      <c r="B997" s="217"/>
      <c r="C997" s="217" t="str">
        <f>IFERROR(VLOOKUP(B997, SourceData!$U$3:$V$190, 2, FALSE), "")</f>
        <v/>
      </c>
      <c r="D997" s="240"/>
      <c r="E997" s="241"/>
      <c r="F997" s="248"/>
      <c r="G997" s="207"/>
      <c r="H997" s="209"/>
      <c r="I997" s="209"/>
      <c r="J997" s="209"/>
      <c r="K997" s="208" t="str">
        <f>IF(Errors!$I997=0,SourceData!$B$42,VLOOKUP(Errors!$I997,SourceData!$A$2:$B$40,2,FALSE))</f>
        <v>Please select ERROR CODE column "I"</v>
      </c>
      <c r="L997" s="207" t="str">
        <f>IF(Errors!$I997=0,
    'List of Error Codes'!$E$29,
    IFERROR(VLOOKUP(Errors!$I997, 'List of Error Codes'!D996:I1026, 6, FALSE), 'List of Error Codes'!$E$29)
)</f>
        <v>Please select ERROR CODE column "I"</v>
      </c>
      <c r="M997" s="209"/>
      <c r="N997" s="209"/>
      <c r="O997" s="209"/>
      <c r="P997" s="209"/>
      <c r="Q997" s="209"/>
      <c r="R997" s="217"/>
      <c r="S997" s="217"/>
      <c r="T997" s="217"/>
      <c r="U997" s="199"/>
      <c r="V997" s="200"/>
      <c r="W997" s="200"/>
      <c r="X997" s="200"/>
      <c r="Y997" s="200"/>
      <c r="Z997" s="200"/>
      <c r="AA997" s="201"/>
      <c r="AB997" s="200"/>
      <c r="AC997" s="200"/>
    </row>
    <row r="998" ht="15.75" customHeight="1">
      <c r="A998" s="210">
        <f t="shared" si="1"/>
        <v>996</v>
      </c>
      <c r="B998" s="217"/>
      <c r="C998" s="217" t="str">
        <f>IFERROR(VLOOKUP(B998, SourceData!$U$3:$V$190, 2, FALSE), "")</f>
        <v/>
      </c>
      <c r="D998" s="240"/>
      <c r="E998" s="241"/>
      <c r="F998" s="248"/>
      <c r="G998" s="207"/>
      <c r="H998" s="209"/>
      <c r="I998" s="209"/>
      <c r="J998" s="209"/>
      <c r="K998" s="208" t="str">
        <f>IF(Errors!$I998=0,SourceData!$B$42,VLOOKUP(Errors!$I998,SourceData!$A$2:$B$40,2,FALSE))</f>
        <v>Please select ERROR CODE column "I"</v>
      </c>
      <c r="L998" s="207" t="str">
        <f>IF(Errors!$I998=0,
    'List of Error Codes'!$E$29,
    IFERROR(VLOOKUP(Errors!$I998, 'List of Error Codes'!D997:I1027, 6, FALSE), 'List of Error Codes'!$E$29)
)</f>
        <v>Please select ERROR CODE column "I"</v>
      </c>
      <c r="M998" s="209"/>
      <c r="N998" s="209"/>
      <c r="O998" s="209"/>
      <c r="P998" s="209"/>
      <c r="Q998" s="209"/>
      <c r="R998" s="217"/>
      <c r="S998" s="217"/>
      <c r="T998" s="217"/>
      <c r="U998" s="199"/>
      <c r="V998" s="200"/>
      <c r="W998" s="200"/>
      <c r="X998" s="200"/>
      <c r="Y998" s="200"/>
      <c r="Z998" s="200"/>
      <c r="AA998" s="201"/>
      <c r="AB998" s="200"/>
      <c r="AC998" s="200"/>
    </row>
    <row r="999" ht="15.75" customHeight="1">
      <c r="A999" s="210">
        <f t="shared" si="1"/>
        <v>997</v>
      </c>
      <c r="B999" s="217"/>
      <c r="C999" s="217" t="str">
        <f>IFERROR(VLOOKUP(B999, SourceData!$U$3:$V$190, 2, FALSE), "")</f>
        <v/>
      </c>
      <c r="D999" s="240"/>
      <c r="E999" s="241"/>
      <c r="F999" s="248"/>
      <c r="G999" s="207"/>
      <c r="H999" s="209"/>
      <c r="I999" s="209"/>
      <c r="J999" s="209"/>
      <c r="K999" s="208" t="str">
        <f>IF(Errors!$I999=0,SourceData!$B$42,VLOOKUP(Errors!$I999,SourceData!$A$2:$B$40,2,FALSE))</f>
        <v>Please select ERROR CODE column "I"</v>
      </c>
      <c r="L999" s="207" t="str">
        <f>IF(Errors!$I999=0,
    'List of Error Codes'!$E$29,
    IFERROR(VLOOKUP(Errors!$I999, 'List of Error Codes'!D998:I1028, 6, FALSE), 'List of Error Codes'!$E$29)
)</f>
        <v>Please select ERROR CODE column "I"</v>
      </c>
      <c r="M999" s="209"/>
      <c r="N999" s="209"/>
      <c r="O999" s="209"/>
      <c r="P999" s="209"/>
      <c r="Q999" s="209"/>
      <c r="R999" s="217"/>
      <c r="S999" s="217"/>
      <c r="T999" s="217"/>
      <c r="U999" s="199"/>
      <c r="V999" s="200"/>
      <c r="W999" s="200"/>
      <c r="X999" s="200"/>
      <c r="Y999" s="200"/>
      <c r="Z999" s="200"/>
      <c r="AA999" s="201"/>
      <c r="AB999" s="200"/>
      <c r="AC999" s="200"/>
    </row>
    <row r="1000" ht="15.75" customHeight="1">
      <c r="A1000" s="210">
        <f t="shared" si="1"/>
        <v>998</v>
      </c>
      <c r="B1000" s="217"/>
      <c r="C1000" s="217" t="str">
        <f>IFERROR(VLOOKUP(B1000, SourceData!$U$3:$V$190, 2, FALSE), "")</f>
        <v/>
      </c>
      <c r="D1000" s="240"/>
      <c r="E1000" s="241"/>
      <c r="F1000" s="248"/>
      <c r="G1000" s="207"/>
      <c r="H1000" s="209"/>
      <c r="I1000" s="209"/>
      <c r="J1000" s="209"/>
      <c r="K1000" s="208" t="str">
        <f>IF(Errors!$I1000=0,SourceData!$B$42,VLOOKUP(Errors!$I1000,SourceData!$A$2:$B$40,2,FALSE))</f>
        <v>Please select ERROR CODE column "I"</v>
      </c>
      <c r="L1000" s="207" t="str">
        <f>IF(Errors!$I1000=0,
    'List of Error Codes'!$E$29,
    IFERROR(VLOOKUP(Errors!$I1000, 'List of Error Codes'!D999:I1029, 6, FALSE), 'List of Error Codes'!$E$29)
)</f>
        <v>Please select ERROR CODE column "I"</v>
      </c>
      <c r="M1000" s="209"/>
      <c r="N1000" s="209"/>
      <c r="O1000" s="209"/>
      <c r="P1000" s="209"/>
      <c r="Q1000" s="209"/>
      <c r="R1000" s="217"/>
      <c r="S1000" s="217"/>
      <c r="T1000" s="217"/>
      <c r="U1000" s="199"/>
      <c r="V1000" s="200"/>
      <c r="W1000" s="200"/>
      <c r="X1000" s="200"/>
      <c r="Y1000" s="200"/>
      <c r="Z1000" s="200"/>
      <c r="AA1000" s="201"/>
      <c r="AB1000" s="200"/>
      <c r="AC1000" s="200"/>
    </row>
    <row r="1001" ht="15.75" customHeight="1">
      <c r="A1001" s="210">
        <f t="shared" si="1"/>
        <v>999</v>
      </c>
      <c r="B1001" s="217"/>
      <c r="C1001" s="217" t="str">
        <f>IFERROR(VLOOKUP(B1001, SourceData!$U$3:$V$190, 2, FALSE), "")</f>
        <v/>
      </c>
      <c r="D1001" s="240"/>
      <c r="E1001" s="241"/>
      <c r="F1001" s="248"/>
      <c r="G1001" s="207"/>
      <c r="H1001" s="209"/>
      <c r="I1001" s="209"/>
      <c r="J1001" s="209"/>
      <c r="K1001" s="208" t="str">
        <f>IF(Errors!$I1001=0,SourceData!$B$42,VLOOKUP(Errors!$I1001,SourceData!$A$2:$B$40,2,FALSE))</f>
        <v>Please select ERROR CODE column "I"</v>
      </c>
      <c r="L1001" s="207" t="str">
        <f>IF(Errors!$I1001=0,
    'List of Error Codes'!$E$29,
    IFERROR(VLOOKUP(Errors!$I1001, 'List of Error Codes'!D1000:I1030, 6, FALSE), 'List of Error Codes'!$E$29)
)</f>
        <v>Please select ERROR CODE column "I"</v>
      </c>
      <c r="M1001" s="209"/>
      <c r="N1001" s="209"/>
      <c r="O1001" s="209"/>
      <c r="P1001" s="209"/>
      <c r="Q1001" s="209"/>
      <c r="R1001" s="217"/>
      <c r="S1001" s="217"/>
      <c r="T1001" s="217"/>
      <c r="U1001" s="199"/>
      <c r="V1001" s="200"/>
      <c r="W1001" s="200"/>
      <c r="X1001" s="200"/>
      <c r="Y1001" s="200"/>
      <c r="Z1001" s="200"/>
      <c r="AA1001" s="201"/>
      <c r="AB1001" s="200"/>
      <c r="AC1001" s="200"/>
    </row>
    <row r="1002" ht="15.75" customHeight="1">
      <c r="A1002" s="210">
        <f t="shared" si="1"/>
        <v>1000</v>
      </c>
      <c r="B1002" s="217"/>
      <c r="C1002" s="217" t="str">
        <f>IFERROR(VLOOKUP(B1002, SourceData!$U$3:$V$190, 2, FALSE), "")</f>
        <v/>
      </c>
      <c r="D1002" s="240"/>
      <c r="E1002" s="241"/>
      <c r="F1002" s="248"/>
      <c r="G1002" s="207"/>
      <c r="H1002" s="209"/>
      <c r="I1002" s="209"/>
      <c r="J1002" s="209"/>
      <c r="K1002" s="208" t="str">
        <f>IF(Errors!$I1002=0,SourceData!$B$42,VLOOKUP(Errors!$I1002,SourceData!$A$2:$B$40,2,FALSE))</f>
        <v>Please select ERROR CODE column "I"</v>
      </c>
      <c r="L1002" s="207" t="str">
        <f>IF(Errors!$I1002=0,
    'List of Error Codes'!$E$29,
    IFERROR(VLOOKUP(Errors!$I1002, 'List of Error Codes'!D1001:I1031, 6, FALSE), 'List of Error Codes'!$E$29)
)</f>
        <v>Please select ERROR CODE column "I"</v>
      </c>
      <c r="M1002" s="209"/>
      <c r="N1002" s="209"/>
      <c r="O1002" s="209"/>
      <c r="P1002" s="209"/>
      <c r="Q1002" s="209"/>
      <c r="R1002" s="217"/>
      <c r="S1002" s="217"/>
      <c r="T1002" s="217"/>
      <c r="U1002" s="199"/>
      <c r="V1002" s="200"/>
      <c r="W1002" s="200"/>
      <c r="X1002" s="200"/>
      <c r="Y1002" s="200"/>
      <c r="Z1002" s="200"/>
      <c r="AA1002" s="201"/>
      <c r="AB1002" s="200"/>
      <c r="AC1002" s="200"/>
    </row>
    <row r="1003" ht="15.75" customHeight="1">
      <c r="A1003" s="210">
        <f t="shared" si="1"/>
        <v>1001</v>
      </c>
      <c r="B1003" s="217"/>
      <c r="C1003" s="217" t="str">
        <f>IFERROR(VLOOKUP(B1003, SourceData!$U$3:$V$190, 2, FALSE), "")</f>
        <v/>
      </c>
      <c r="D1003" s="240"/>
      <c r="E1003" s="241"/>
      <c r="F1003" s="248"/>
      <c r="G1003" s="207"/>
      <c r="H1003" s="209"/>
      <c r="I1003" s="209"/>
      <c r="J1003" s="209"/>
      <c r="K1003" s="208" t="str">
        <f>IF(Errors!$I1003=0,SourceData!$B$42,VLOOKUP(Errors!$I1003,SourceData!$A$2:$B$40,2,FALSE))</f>
        <v>Please select ERROR CODE column "I"</v>
      </c>
      <c r="L1003" s="207" t="str">
        <f>IF(Errors!$I1003=0,
    'List of Error Codes'!$E$29,
    IFERROR(VLOOKUP(Errors!$I1003, 'List of Error Codes'!D1002:I1032, 6, FALSE), 'List of Error Codes'!$E$29)
)</f>
        <v>Please select ERROR CODE column "I"</v>
      </c>
      <c r="M1003" s="209"/>
      <c r="N1003" s="209"/>
      <c r="O1003" s="209"/>
      <c r="P1003" s="209"/>
      <c r="Q1003" s="209"/>
      <c r="R1003" s="217"/>
      <c r="S1003" s="217"/>
      <c r="T1003" s="217"/>
      <c r="U1003" s="199"/>
      <c r="V1003" s="200"/>
      <c r="W1003" s="200"/>
      <c r="X1003" s="200"/>
      <c r="Y1003" s="200"/>
      <c r="Z1003" s="200"/>
      <c r="AA1003" s="201"/>
      <c r="AB1003" s="200"/>
      <c r="AC1003" s="200"/>
    </row>
    <row r="1004" ht="15.75" customHeight="1">
      <c r="A1004" s="210">
        <f t="shared" si="1"/>
        <v>1002</v>
      </c>
      <c r="B1004" s="217"/>
      <c r="C1004" s="217" t="str">
        <f>IFERROR(VLOOKUP(B1004, SourceData!$U$3:$V$190, 2, FALSE), "")</f>
        <v/>
      </c>
      <c r="D1004" s="240"/>
      <c r="E1004" s="241"/>
      <c r="F1004" s="248"/>
      <c r="G1004" s="207"/>
      <c r="H1004" s="209"/>
      <c r="I1004" s="209"/>
      <c r="J1004" s="209"/>
      <c r="K1004" s="208" t="str">
        <f>IF(Errors!$I1004=0,SourceData!$B$42,VLOOKUP(Errors!$I1004,SourceData!$A$2:$B$40,2,FALSE))</f>
        <v>Please select ERROR CODE column "I"</v>
      </c>
      <c r="L1004" s="207" t="str">
        <f>IF(Errors!$I1004=0,
    'List of Error Codes'!$E$29,
    IFERROR(VLOOKUP(Errors!$I1004, 'List of Error Codes'!D1003:I1033, 6, FALSE), 'List of Error Codes'!$E$29)
)</f>
        <v>Please select ERROR CODE column "I"</v>
      </c>
      <c r="M1004" s="209"/>
      <c r="N1004" s="209"/>
      <c r="O1004" s="209"/>
      <c r="P1004" s="209"/>
      <c r="Q1004" s="209"/>
      <c r="R1004" s="217"/>
      <c r="S1004" s="217"/>
      <c r="T1004" s="217"/>
      <c r="U1004" s="199"/>
      <c r="V1004" s="200"/>
      <c r="W1004" s="200"/>
      <c r="X1004" s="200"/>
      <c r="Y1004" s="200"/>
      <c r="Z1004" s="200"/>
      <c r="AA1004" s="201"/>
      <c r="AB1004" s="200"/>
      <c r="AC1004" s="200"/>
    </row>
    <row r="1005" ht="15.75" customHeight="1">
      <c r="A1005" s="210">
        <f t="shared" si="1"/>
        <v>1003</v>
      </c>
      <c r="B1005" s="217"/>
      <c r="C1005" s="217" t="str">
        <f>IFERROR(VLOOKUP(B1005, SourceData!$U$3:$V$190, 2, FALSE), "")</f>
        <v/>
      </c>
      <c r="D1005" s="240"/>
      <c r="E1005" s="241"/>
      <c r="F1005" s="248"/>
      <c r="G1005" s="207"/>
      <c r="H1005" s="209"/>
      <c r="I1005" s="209"/>
      <c r="J1005" s="209"/>
      <c r="K1005" s="208" t="str">
        <f>IF(Errors!$I1005=0,SourceData!$B$42,VLOOKUP(Errors!$I1005,SourceData!$A$2:$B$40,2,FALSE))</f>
        <v>Please select ERROR CODE column "I"</v>
      </c>
      <c r="L1005" s="207" t="str">
        <f>IF(Errors!$I1005=0,
    'List of Error Codes'!$E$29,
    IFERROR(VLOOKUP(Errors!$I1005, 'List of Error Codes'!D1004:I1034, 6, FALSE), 'List of Error Codes'!$E$29)
)</f>
        <v>Please select ERROR CODE column "I"</v>
      </c>
      <c r="M1005" s="209"/>
      <c r="N1005" s="209"/>
      <c r="O1005" s="209"/>
      <c r="P1005" s="209"/>
      <c r="Q1005" s="209"/>
      <c r="R1005" s="217"/>
      <c r="S1005" s="217"/>
      <c r="T1005" s="217"/>
      <c r="U1005" s="199"/>
      <c r="V1005" s="200"/>
      <c r="W1005" s="200"/>
      <c r="X1005" s="200"/>
      <c r="Y1005" s="200"/>
      <c r="Z1005" s="200"/>
      <c r="AA1005" s="201"/>
      <c r="AB1005" s="200"/>
      <c r="AC1005" s="200"/>
    </row>
    <row r="1006" ht="15.75" customHeight="1">
      <c r="A1006" s="210">
        <f t="shared" si="1"/>
        <v>1004</v>
      </c>
      <c r="B1006" s="217"/>
      <c r="C1006" s="217" t="str">
        <f>IFERROR(VLOOKUP(B1006, SourceData!$U$3:$V$190, 2, FALSE), "")</f>
        <v/>
      </c>
      <c r="D1006" s="240"/>
      <c r="E1006" s="241"/>
      <c r="F1006" s="248"/>
      <c r="G1006" s="207"/>
      <c r="H1006" s="209"/>
      <c r="I1006" s="209"/>
      <c r="J1006" s="209"/>
      <c r="K1006" s="208" t="str">
        <f>IF(Errors!$I1006=0,SourceData!$B$42,VLOOKUP(Errors!$I1006,SourceData!$A$2:$B$40,2,FALSE))</f>
        <v>Please select ERROR CODE column "I"</v>
      </c>
      <c r="L1006" s="207" t="str">
        <f>IF(Errors!$I1006=0,
    'List of Error Codes'!$E$29,
    IFERROR(VLOOKUP(Errors!$I1006, 'List of Error Codes'!D1005:I1035, 6, FALSE), 'List of Error Codes'!$E$29)
)</f>
        <v>Please select ERROR CODE column "I"</v>
      </c>
      <c r="M1006" s="209"/>
      <c r="N1006" s="209"/>
      <c r="O1006" s="209"/>
      <c r="P1006" s="209"/>
      <c r="Q1006" s="209"/>
      <c r="R1006" s="217"/>
      <c r="S1006" s="217"/>
      <c r="T1006" s="217"/>
      <c r="U1006" s="199"/>
      <c r="V1006" s="200"/>
      <c r="W1006" s="200"/>
      <c r="X1006" s="200"/>
      <c r="Y1006" s="200"/>
      <c r="Z1006" s="200"/>
      <c r="AA1006" s="201"/>
      <c r="AB1006" s="200"/>
      <c r="AC1006" s="200"/>
    </row>
    <row r="1007" ht="15.75" customHeight="1">
      <c r="A1007" s="210">
        <f t="shared" si="1"/>
        <v>1005</v>
      </c>
      <c r="B1007" s="217"/>
      <c r="C1007" s="217" t="str">
        <f>IFERROR(VLOOKUP(B1007, SourceData!$U$3:$V$190, 2, FALSE), "")</f>
        <v/>
      </c>
      <c r="D1007" s="240"/>
      <c r="E1007" s="241"/>
      <c r="F1007" s="248"/>
      <c r="G1007" s="207"/>
      <c r="H1007" s="209"/>
      <c r="I1007" s="209"/>
      <c r="J1007" s="209"/>
      <c r="K1007" s="208" t="str">
        <f>IF(Errors!$I1007=0,SourceData!$B$42,VLOOKUP(Errors!$I1007,SourceData!$A$2:$B$40,2,FALSE))</f>
        <v>Please select ERROR CODE column "I"</v>
      </c>
      <c r="L1007" s="207" t="str">
        <f>IF(Errors!$I1007=0,
    'List of Error Codes'!$E$29,
    IFERROR(VLOOKUP(Errors!$I1007, 'List of Error Codes'!D1006:I1036, 6, FALSE), 'List of Error Codes'!$E$29)
)</f>
        <v>Please select ERROR CODE column "I"</v>
      </c>
      <c r="M1007" s="209"/>
      <c r="N1007" s="209"/>
      <c r="O1007" s="209"/>
      <c r="P1007" s="209"/>
      <c r="Q1007" s="209"/>
      <c r="R1007" s="217"/>
      <c r="S1007" s="217"/>
      <c r="T1007" s="217"/>
      <c r="U1007" s="199"/>
      <c r="V1007" s="200"/>
      <c r="W1007" s="200"/>
      <c r="X1007" s="200"/>
      <c r="Y1007" s="200"/>
      <c r="Z1007" s="200"/>
      <c r="AA1007" s="201"/>
      <c r="AB1007" s="200"/>
      <c r="AC1007" s="200"/>
    </row>
    <row r="1008" ht="15.75" customHeight="1">
      <c r="A1008" s="210">
        <f t="shared" si="1"/>
        <v>1006</v>
      </c>
      <c r="B1008" s="217"/>
      <c r="C1008" s="217" t="str">
        <f>IFERROR(VLOOKUP(B1008, SourceData!$U$3:$V$190, 2, FALSE), "")</f>
        <v/>
      </c>
      <c r="D1008" s="240"/>
      <c r="E1008" s="241"/>
      <c r="F1008" s="248"/>
      <c r="G1008" s="207"/>
      <c r="H1008" s="209"/>
      <c r="I1008" s="209"/>
      <c r="J1008" s="209"/>
      <c r="K1008" s="208" t="str">
        <f>IF(Errors!$I1008=0,SourceData!$B$42,VLOOKUP(Errors!$I1008,SourceData!$A$2:$B$40,2,FALSE))</f>
        <v>Please select ERROR CODE column "I"</v>
      </c>
      <c r="L1008" s="207" t="str">
        <f>IF(Errors!$I1008=0,
    'List of Error Codes'!$E$29,
    IFERROR(VLOOKUP(Errors!$I1008, 'List of Error Codes'!D1007:I1037, 6, FALSE), 'List of Error Codes'!$E$29)
)</f>
        <v>Please select ERROR CODE column "I"</v>
      </c>
      <c r="M1008" s="209"/>
      <c r="N1008" s="209"/>
      <c r="O1008" s="209"/>
      <c r="P1008" s="209"/>
      <c r="Q1008" s="209"/>
      <c r="R1008" s="217"/>
      <c r="S1008" s="217"/>
      <c r="T1008" s="217"/>
      <c r="U1008" s="199"/>
      <c r="V1008" s="200"/>
      <c r="W1008" s="200"/>
      <c r="X1008" s="200"/>
      <c r="Y1008" s="200"/>
      <c r="Z1008" s="200"/>
      <c r="AA1008" s="201"/>
      <c r="AB1008" s="200"/>
      <c r="AC1008" s="200"/>
    </row>
    <row r="1009" ht="15.75" customHeight="1">
      <c r="A1009" s="210">
        <f t="shared" si="1"/>
        <v>1007</v>
      </c>
      <c r="B1009" s="217"/>
      <c r="C1009" s="217" t="str">
        <f>IFERROR(VLOOKUP(B1009, SourceData!$U$3:$V$190, 2, FALSE), "")</f>
        <v/>
      </c>
      <c r="D1009" s="240"/>
      <c r="E1009" s="241"/>
      <c r="F1009" s="248"/>
      <c r="G1009" s="207"/>
      <c r="H1009" s="209"/>
      <c r="I1009" s="209"/>
      <c r="J1009" s="209"/>
      <c r="K1009" s="208" t="str">
        <f>IF(Errors!$I1009=0,SourceData!$B$42,VLOOKUP(Errors!$I1009,SourceData!$A$2:$B$40,2,FALSE))</f>
        <v>Please select ERROR CODE column "I"</v>
      </c>
      <c r="L1009" s="207" t="str">
        <f>IF(Errors!$I1009=0,
    'List of Error Codes'!$E$29,
    IFERROR(VLOOKUP(Errors!$I1009, 'List of Error Codes'!D1008:I1038, 6, FALSE), 'List of Error Codes'!$E$29)
)</f>
        <v>Please select ERROR CODE column "I"</v>
      </c>
      <c r="M1009" s="209"/>
      <c r="N1009" s="209"/>
      <c r="O1009" s="209"/>
      <c r="P1009" s="209"/>
      <c r="Q1009" s="209"/>
      <c r="R1009" s="217"/>
      <c r="S1009" s="217"/>
      <c r="T1009" s="217"/>
      <c r="U1009" s="199"/>
      <c r="V1009" s="200"/>
      <c r="W1009" s="200"/>
      <c r="X1009" s="200"/>
      <c r="Y1009" s="200"/>
      <c r="Z1009" s="200"/>
      <c r="AA1009" s="201"/>
      <c r="AB1009" s="200"/>
      <c r="AC1009" s="200"/>
    </row>
    <row r="1010" ht="15.75" customHeight="1">
      <c r="A1010" s="210">
        <f t="shared" si="1"/>
        <v>1008</v>
      </c>
      <c r="B1010" s="217"/>
      <c r="C1010" s="217" t="str">
        <f>IFERROR(VLOOKUP(B1010, SourceData!$U$3:$V$190, 2, FALSE), "")</f>
        <v/>
      </c>
      <c r="D1010" s="240"/>
      <c r="E1010" s="241"/>
      <c r="F1010" s="248"/>
      <c r="G1010" s="207"/>
      <c r="H1010" s="209"/>
      <c r="I1010" s="209"/>
      <c r="J1010" s="209"/>
      <c r="K1010" s="208" t="str">
        <f>IF(Errors!$I1010=0,SourceData!$B$42,VLOOKUP(Errors!$I1010,SourceData!$A$2:$B$40,2,FALSE))</f>
        <v>Please select ERROR CODE column "I"</v>
      </c>
      <c r="L1010" s="207" t="str">
        <f>IF(Errors!$I1010=0,
    'List of Error Codes'!$E$29,
    IFERROR(VLOOKUP(Errors!$I1010, 'List of Error Codes'!D1009:I1039, 6, FALSE), 'List of Error Codes'!$E$29)
)</f>
        <v>Please select ERROR CODE column "I"</v>
      </c>
      <c r="M1010" s="209"/>
      <c r="N1010" s="209"/>
      <c r="O1010" s="209"/>
      <c r="P1010" s="209"/>
      <c r="Q1010" s="209"/>
      <c r="R1010" s="217"/>
      <c r="S1010" s="217"/>
      <c r="T1010" s="217"/>
      <c r="U1010" s="199"/>
      <c r="V1010" s="200"/>
      <c r="W1010" s="200"/>
      <c r="X1010" s="200"/>
      <c r="Y1010" s="200"/>
      <c r="Z1010" s="200"/>
      <c r="AA1010" s="201"/>
      <c r="AB1010" s="200"/>
      <c r="AC1010" s="200"/>
    </row>
    <row r="1011" ht="15.75" customHeight="1">
      <c r="A1011" s="210">
        <f t="shared" si="1"/>
        <v>1009</v>
      </c>
      <c r="B1011" s="217"/>
      <c r="C1011" s="217" t="str">
        <f>IFERROR(VLOOKUP(B1011, SourceData!$U$3:$V$190, 2, FALSE), "")</f>
        <v/>
      </c>
      <c r="D1011" s="240"/>
      <c r="E1011" s="241"/>
      <c r="F1011" s="248"/>
      <c r="G1011" s="207"/>
      <c r="H1011" s="209"/>
      <c r="I1011" s="209"/>
      <c r="J1011" s="209"/>
      <c r="K1011" s="208" t="str">
        <f>IF(Errors!$I1011=0,SourceData!$B$42,VLOOKUP(Errors!$I1011,SourceData!$A$2:$B$40,2,FALSE))</f>
        <v>Please select ERROR CODE column "I"</v>
      </c>
      <c r="L1011" s="207" t="str">
        <f>IF(Errors!$I1011=0,
    'List of Error Codes'!$E$29,
    IFERROR(VLOOKUP(Errors!$I1011, 'List of Error Codes'!D1010:I1040, 6, FALSE), 'List of Error Codes'!$E$29)
)</f>
        <v>Please select ERROR CODE column "I"</v>
      </c>
      <c r="M1011" s="209"/>
      <c r="N1011" s="209"/>
      <c r="O1011" s="209"/>
      <c r="P1011" s="209"/>
      <c r="Q1011" s="209"/>
      <c r="R1011" s="217"/>
      <c r="S1011" s="217"/>
      <c r="T1011" s="217"/>
      <c r="U1011" s="199"/>
      <c r="V1011" s="200"/>
      <c r="W1011" s="200"/>
      <c r="X1011" s="200"/>
      <c r="Y1011" s="200"/>
      <c r="Z1011" s="200"/>
      <c r="AA1011" s="201"/>
      <c r="AB1011" s="200"/>
      <c r="AC1011" s="200"/>
    </row>
    <row r="1012" ht="15.75" customHeight="1">
      <c r="A1012" s="210">
        <f t="shared" si="1"/>
        <v>1010</v>
      </c>
      <c r="B1012" s="217"/>
      <c r="C1012" s="217" t="str">
        <f>IFERROR(VLOOKUP(B1012, SourceData!$U$3:$V$190, 2, FALSE), "")</f>
        <v/>
      </c>
      <c r="D1012" s="240"/>
      <c r="E1012" s="241"/>
      <c r="F1012" s="248"/>
      <c r="G1012" s="207"/>
      <c r="H1012" s="209"/>
      <c r="I1012" s="209"/>
      <c r="J1012" s="209"/>
      <c r="K1012" s="208" t="str">
        <f>IF(Errors!$I1012=0,SourceData!$B$42,VLOOKUP(Errors!$I1012,SourceData!$A$2:$B$40,2,FALSE))</f>
        <v>Please select ERROR CODE column "I"</v>
      </c>
      <c r="L1012" s="207" t="str">
        <f>IF(Errors!$I1012=0,
    'List of Error Codes'!$E$29,
    IFERROR(VLOOKUP(Errors!$I1012, 'List of Error Codes'!D1011:I1041, 6, FALSE), 'List of Error Codes'!$E$29)
)</f>
        <v>Please select ERROR CODE column "I"</v>
      </c>
      <c r="M1012" s="209"/>
      <c r="N1012" s="209"/>
      <c r="O1012" s="209"/>
      <c r="P1012" s="209"/>
      <c r="Q1012" s="209"/>
      <c r="R1012" s="217"/>
      <c r="S1012" s="217"/>
      <c r="T1012" s="217"/>
      <c r="U1012" s="199"/>
      <c r="V1012" s="200"/>
      <c r="W1012" s="200"/>
      <c r="X1012" s="200"/>
      <c r="Y1012" s="200"/>
      <c r="Z1012" s="200"/>
      <c r="AA1012" s="201"/>
      <c r="AB1012" s="200"/>
      <c r="AC1012" s="200"/>
    </row>
    <row r="1013" ht="15.75" customHeight="1">
      <c r="A1013" s="210">
        <f t="shared" si="1"/>
        <v>1011</v>
      </c>
      <c r="B1013" s="217"/>
      <c r="C1013" s="217" t="str">
        <f>IFERROR(VLOOKUP(B1013, SourceData!$U$3:$V$190, 2, FALSE), "")</f>
        <v/>
      </c>
      <c r="D1013" s="240"/>
      <c r="E1013" s="241"/>
      <c r="F1013" s="248"/>
      <c r="G1013" s="207"/>
      <c r="H1013" s="209"/>
      <c r="I1013" s="209"/>
      <c r="J1013" s="209"/>
      <c r="K1013" s="208" t="str">
        <f>IF(Errors!$I1013=0,SourceData!$B$42,VLOOKUP(Errors!$I1013,SourceData!$A$2:$B$40,2,FALSE))</f>
        <v>Please select ERROR CODE column "I"</v>
      </c>
      <c r="L1013" s="207" t="str">
        <f>IF(Errors!$I1013=0,
    'List of Error Codes'!$E$29,
    IFERROR(VLOOKUP(Errors!$I1013, 'List of Error Codes'!D1012:I1042, 6, FALSE), 'List of Error Codes'!$E$29)
)</f>
        <v>Please select ERROR CODE column "I"</v>
      </c>
      <c r="M1013" s="209"/>
      <c r="N1013" s="209"/>
      <c r="O1013" s="209"/>
      <c r="P1013" s="209"/>
      <c r="Q1013" s="209"/>
      <c r="R1013" s="217"/>
      <c r="S1013" s="217"/>
      <c r="T1013" s="217"/>
      <c r="U1013" s="199"/>
      <c r="V1013" s="200"/>
      <c r="W1013" s="200"/>
      <c r="X1013" s="200"/>
      <c r="Y1013" s="200"/>
      <c r="Z1013" s="200"/>
      <c r="AA1013" s="201"/>
      <c r="AB1013" s="200"/>
      <c r="AC1013" s="200"/>
    </row>
    <row r="1014" ht="15.75" customHeight="1">
      <c r="A1014" s="210">
        <f t="shared" si="1"/>
        <v>1012</v>
      </c>
      <c r="B1014" s="217"/>
      <c r="C1014" s="217" t="str">
        <f>IFERROR(VLOOKUP(B1014, SourceData!$U$3:$V$190, 2, FALSE), "")</f>
        <v/>
      </c>
      <c r="D1014" s="240"/>
      <c r="E1014" s="241"/>
      <c r="F1014" s="248"/>
      <c r="G1014" s="207"/>
      <c r="H1014" s="209"/>
      <c r="I1014" s="209"/>
      <c r="J1014" s="209"/>
      <c r="K1014" s="208" t="str">
        <f>IF(Errors!$I1014=0,SourceData!$B$42,VLOOKUP(Errors!$I1014,SourceData!$A$2:$B$40,2,FALSE))</f>
        <v>Please select ERROR CODE column "I"</v>
      </c>
      <c r="L1014" s="207" t="str">
        <f>IF(Errors!$I1014=0,
    'List of Error Codes'!$E$29,
    IFERROR(VLOOKUP(Errors!$I1014, 'List of Error Codes'!D1013:I1043, 6, FALSE), 'List of Error Codes'!$E$29)
)</f>
        <v>Please select ERROR CODE column "I"</v>
      </c>
      <c r="M1014" s="209"/>
      <c r="N1014" s="209"/>
      <c r="O1014" s="209"/>
      <c r="P1014" s="209"/>
      <c r="Q1014" s="209"/>
      <c r="R1014" s="217"/>
      <c r="S1014" s="217"/>
      <c r="T1014" s="217"/>
      <c r="U1014" s="199"/>
      <c r="V1014" s="200"/>
      <c r="W1014" s="200"/>
      <c r="X1014" s="200"/>
      <c r="Y1014" s="200"/>
      <c r="Z1014" s="200"/>
      <c r="AA1014" s="201"/>
      <c r="AB1014" s="200"/>
      <c r="AC1014" s="200"/>
    </row>
    <row r="1015" ht="15.75" customHeight="1">
      <c r="A1015" s="210">
        <f t="shared" si="1"/>
        <v>1013</v>
      </c>
      <c r="B1015" s="217"/>
      <c r="C1015" s="217" t="str">
        <f>IFERROR(VLOOKUP(B1015, SourceData!$U$3:$V$190, 2, FALSE), "")</f>
        <v/>
      </c>
      <c r="D1015" s="240"/>
      <c r="E1015" s="241"/>
      <c r="F1015" s="248"/>
      <c r="G1015" s="207"/>
      <c r="H1015" s="209"/>
      <c r="I1015" s="209"/>
      <c r="J1015" s="209"/>
      <c r="K1015" s="208" t="str">
        <f>IF(Errors!$I1015=0,SourceData!$B$42,VLOOKUP(Errors!$I1015,SourceData!$A$2:$B$40,2,FALSE))</f>
        <v>Please select ERROR CODE column "I"</v>
      </c>
      <c r="L1015" s="207" t="str">
        <f>IF(Errors!$I1015=0,
    'List of Error Codes'!$E$29,
    IFERROR(VLOOKUP(Errors!$I1015, 'List of Error Codes'!D1014:I1044, 6, FALSE), 'List of Error Codes'!$E$29)
)</f>
        <v>Please select ERROR CODE column "I"</v>
      </c>
      <c r="M1015" s="209"/>
      <c r="N1015" s="209"/>
      <c r="O1015" s="209"/>
      <c r="P1015" s="209"/>
      <c r="Q1015" s="209"/>
      <c r="R1015" s="217"/>
      <c r="S1015" s="217"/>
      <c r="T1015" s="217"/>
      <c r="U1015" s="199"/>
      <c r="V1015" s="200"/>
      <c r="W1015" s="200"/>
      <c r="X1015" s="200"/>
      <c r="Y1015" s="200"/>
      <c r="Z1015" s="200"/>
      <c r="AA1015" s="201"/>
      <c r="AB1015" s="200"/>
      <c r="AC1015" s="200"/>
    </row>
    <row r="1016" ht="15.75" customHeight="1">
      <c r="A1016" s="210">
        <f t="shared" si="1"/>
        <v>1014</v>
      </c>
      <c r="B1016" s="217"/>
      <c r="C1016" s="217" t="str">
        <f>IFERROR(VLOOKUP(B1016, SourceData!$U$3:$V$190, 2, FALSE), "")</f>
        <v/>
      </c>
      <c r="D1016" s="240"/>
      <c r="E1016" s="241"/>
      <c r="F1016" s="248"/>
      <c r="G1016" s="207"/>
      <c r="H1016" s="209"/>
      <c r="I1016" s="209"/>
      <c r="J1016" s="209"/>
      <c r="K1016" s="208" t="str">
        <f>IF(Errors!$I1016=0,SourceData!$B$42,VLOOKUP(Errors!$I1016,SourceData!$A$2:$B$40,2,FALSE))</f>
        <v>Please select ERROR CODE column "I"</v>
      </c>
      <c r="L1016" s="207" t="str">
        <f>IF(Errors!$I1016=0,
    'List of Error Codes'!$E$29,
    IFERROR(VLOOKUP(Errors!$I1016, 'List of Error Codes'!D1015:I1045, 6, FALSE), 'List of Error Codes'!$E$29)
)</f>
        <v>Please select ERROR CODE column "I"</v>
      </c>
      <c r="M1016" s="209"/>
      <c r="N1016" s="209"/>
      <c r="O1016" s="209"/>
      <c r="P1016" s="209"/>
      <c r="Q1016" s="209"/>
      <c r="R1016" s="217"/>
      <c r="S1016" s="217"/>
      <c r="T1016" s="217"/>
      <c r="U1016" s="199"/>
      <c r="V1016" s="200"/>
      <c r="W1016" s="200"/>
      <c r="X1016" s="200"/>
      <c r="Y1016" s="200"/>
      <c r="Z1016" s="200"/>
      <c r="AA1016" s="201"/>
      <c r="AB1016" s="200"/>
      <c r="AC1016" s="200"/>
    </row>
    <row r="1017" ht="15.75" customHeight="1">
      <c r="A1017" s="210">
        <f t="shared" si="1"/>
        <v>1015</v>
      </c>
      <c r="B1017" s="217"/>
      <c r="C1017" s="217" t="str">
        <f>IFERROR(VLOOKUP(B1017, SourceData!$U$3:$V$190, 2, FALSE), "")</f>
        <v/>
      </c>
      <c r="D1017" s="240"/>
      <c r="E1017" s="241"/>
      <c r="F1017" s="248"/>
      <c r="G1017" s="207"/>
      <c r="H1017" s="209"/>
      <c r="I1017" s="209"/>
      <c r="J1017" s="209"/>
      <c r="K1017" s="208" t="str">
        <f>IF(Errors!$I1017=0,SourceData!$B$42,VLOOKUP(Errors!$I1017,SourceData!$A$2:$B$40,2,FALSE))</f>
        <v>Please select ERROR CODE column "I"</v>
      </c>
      <c r="L1017" s="207" t="str">
        <f>IF(Errors!$I1017=0,
    'List of Error Codes'!$E$29,
    IFERROR(VLOOKUP(Errors!$I1017, 'List of Error Codes'!D1016:I1046, 6, FALSE), 'List of Error Codes'!$E$29)
)</f>
        <v>Please select ERROR CODE column "I"</v>
      </c>
      <c r="M1017" s="209"/>
      <c r="N1017" s="209"/>
      <c r="O1017" s="209"/>
      <c r="P1017" s="209"/>
      <c r="Q1017" s="209"/>
      <c r="R1017" s="217"/>
      <c r="S1017" s="217"/>
      <c r="T1017" s="217"/>
      <c r="U1017" s="199"/>
      <c r="V1017" s="200"/>
      <c r="W1017" s="200"/>
      <c r="X1017" s="200"/>
      <c r="Y1017" s="200"/>
      <c r="Z1017" s="200"/>
      <c r="AA1017" s="201"/>
      <c r="AB1017" s="200"/>
      <c r="AC1017" s="200"/>
    </row>
    <row r="1018" ht="15.75" customHeight="1">
      <c r="A1018" s="210">
        <f t="shared" si="1"/>
        <v>1016</v>
      </c>
      <c r="B1018" s="217"/>
      <c r="C1018" s="217" t="str">
        <f>IFERROR(VLOOKUP(B1018, SourceData!$U$3:$V$190, 2, FALSE), "")</f>
        <v/>
      </c>
      <c r="D1018" s="240"/>
      <c r="E1018" s="241"/>
      <c r="F1018" s="248"/>
      <c r="G1018" s="207"/>
      <c r="H1018" s="209"/>
      <c r="I1018" s="209"/>
      <c r="J1018" s="209"/>
      <c r="K1018" s="208" t="str">
        <f>IF(Errors!$I1018=0,SourceData!$B$42,VLOOKUP(Errors!$I1018,SourceData!$A$2:$B$40,2,FALSE))</f>
        <v>Please select ERROR CODE column "I"</v>
      </c>
      <c r="L1018" s="207" t="str">
        <f>IF(Errors!$I1018=0,
    'List of Error Codes'!$E$29,
    IFERROR(VLOOKUP(Errors!$I1018, 'List of Error Codes'!D1017:I1047, 6, FALSE), 'List of Error Codes'!$E$29)
)</f>
        <v>Please select ERROR CODE column "I"</v>
      </c>
      <c r="M1018" s="209"/>
      <c r="N1018" s="209"/>
      <c r="O1018" s="209"/>
      <c r="P1018" s="209"/>
      <c r="Q1018" s="209"/>
      <c r="R1018" s="217"/>
      <c r="S1018" s="217"/>
      <c r="T1018" s="217"/>
      <c r="U1018" s="199"/>
      <c r="V1018" s="200"/>
      <c r="W1018" s="200"/>
      <c r="X1018" s="200"/>
      <c r="Y1018" s="200"/>
      <c r="Z1018" s="200"/>
      <c r="AA1018" s="201"/>
      <c r="AB1018" s="200"/>
      <c r="AC1018" s="200"/>
    </row>
    <row r="1019" ht="15.75" customHeight="1">
      <c r="A1019" s="210">
        <f t="shared" si="1"/>
        <v>1017</v>
      </c>
      <c r="B1019" s="217"/>
      <c r="C1019" s="217" t="str">
        <f>IFERROR(VLOOKUP(B1019, SourceData!$U$3:$V$190, 2, FALSE), "")</f>
        <v/>
      </c>
      <c r="D1019" s="240"/>
      <c r="E1019" s="241"/>
      <c r="F1019" s="248"/>
      <c r="G1019" s="207"/>
      <c r="H1019" s="209"/>
      <c r="I1019" s="209"/>
      <c r="J1019" s="209"/>
      <c r="K1019" s="208" t="str">
        <f>IF(Errors!$I1019=0,SourceData!$B$42,VLOOKUP(Errors!$I1019,SourceData!$A$2:$B$40,2,FALSE))</f>
        <v>Please select ERROR CODE column "I"</v>
      </c>
      <c r="L1019" s="207" t="str">
        <f>IF(Errors!$I1019=0,
    'List of Error Codes'!$E$29,
    IFERROR(VLOOKUP(Errors!$I1019, 'List of Error Codes'!D1018:I1048, 6, FALSE), 'List of Error Codes'!$E$29)
)</f>
        <v>Please select ERROR CODE column "I"</v>
      </c>
      <c r="M1019" s="209"/>
      <c r="N1019" s="209"/>
      <c r="O1019" s="209"/>
      <c r="P1019" s="209"/>
      <c r="Q1019" s="209"/>
      <c r="R1019" s="217"/>
      <c r="S1019" s="217"/>
      <c r="T1019" s="217"/>
      <c r="U1019" s="199"/>
      <c r="V1019" s="200"/>
      <c r="W1019" s="200"/>
      <c r="X1019" s="200"/>
      <c r="Y1019" s="200"/>
      <c r="Z1019" s="200"/>
      <c r="AA1019" s="201"/>
      <c r="AB1019" s="200"/>
      <c r="AC1019" s="200"/>
    </row>
    <row r="1020" ht="15.75" customHeight="1">
      <c r="A1020" s="210">
        <f t="shared" si="1"/>
        <v>1018</v>
      </c>
      <c r="B1020" s="217"/>
      <c r="C1020" s="217" t="str">
        <f>IFERROR(VLOOKUP(B1020, SourceData!$U$3:$V$190, 2, FALSE), "")</f>
        <v/>
      </c>
      <c r="D1020" s="240"/>
      <c r="E1020" s="241"/>
      <c r="F1020" s="248"/>
      <c r="G1020" s="207"/>
      <c r="H1020" s="209"/>
      <c r="I1020" s="209"/>
      <c r="J1020" s="209"/>
      <c r="K1020" s="208" t="str">
        <f>IF(Errors!$I1020=0,SourceData!$B$42,VLOOKUP(Errors!$I1020,SourceData!$A$2:$B$40,2,FALSE))</f>
        <v>Please select ERROR CODE column "I"</v>
      </c>
      <c r="L1020" s="207" t="str">
        <f>IF(Errors!$I1020=0,
    'List of Error Codes'!$E$29,
    IFERROR(VLOOKUP(Errors!$I1020, 'List of Error Codes'!D1019:I1049, 6, FALSE), 'List of Error Codes'!$E$29)
)</f>
        <v>Please select ERROR CODE column "I"</v>
      </c>
      <c r="M1020" s="209"/>
      <c r="N1020" s="209"/>
      <c r="O1020" s="209"/>
      <c r="P1020" s="209"/>
      <c r="Q1020" s="209"/>
      <c r="R1020" s="217"/>
      <c r="S1020" s="217"/>
      <c r="T1020" s="217"/>
      <c r="U1020" s="199"/>
      <c r="V1020" s="200"/>
      <c r="W1020" s="200"/>
      <c r="X1020" s="200"/>
      <c r="Y1020" s="200"/>
      <c r="Z1020" s="200"/>
      <c r="AA1020" s="201"/>
      <c r="AB1020" s="200"/>
      <c r="AC1020" s="200"/>
    </row>
    <row r="1021" ht="15.75" customHeight="1">
      <c r="A1021" s="210">
        <f t="shared" si="1"/>
        <v>1019</v>
      </c>
      <c r="B1021" s="217"/>
      <c r="C1021" s="217" t="str">
        <f>IFERROR(VLOOKUP(B1021, SourceData!$U$3:$V$190, 2, FALSE), "")</f>
        <v/>
      </c>
      <c r="D1021" s="240"/>
      <c r="E1021" s="241"/>
      <c r="F1021" s="248"/>
      <c r="G1021" s="207"/>
      <c r="H1021" s="209"/>
      <c r="I1021" s="209"/>
      <c r="J1021" s="209"/>
      <c r="K1021" s="208" t="str">
        <f>IF(Errors!$I1021=0,SourceData!$B$42,VLOOKUP(Errors!$I1021,SourceData!$A$2:$B$40,2,FALSE))</f>
        <v>Please select ERROR CODE column "I"</v>
      </c>
      <c r="L1021" s="207" t="str">
        <f>IF(Errors!$I1021=0,
    'List of Error Codes'!$E$29,
    IFERROR(VLOOKUP(Errors!$I1021, 'List of Error Codes'!D1020:I1050, 6, FALSE), 'List of Error Codes'!$E$29)
)</f>
        <v>Please select ERROR CODE column "I"</v>
      </c>
      <c r="M1021" s="209"/>
      <c r="N1021" s="209"/>
      <c r="O1021" s="209"/>
      <c r="P1021" s="209"/>
      <c r="Q1021" s="209"/>
      <c r="R1021" s="217"/>
      <c r="S1021" s="217"/>
      <c r="T1021" s="217"/>
      <c r="U1021" s="199"/>
      <c r="V1021" s="200"/>
      <c r="W1021" s="200"/>
      <c r="X1021" s="200"/>
      <c r="Y1021" s="200"/>
      <c r="Z1021" s="200"/>
      <c r="AA1021" s="201"/>
      <c r="AB1021" s="200"/>
      <c r="AC1021" s="200"/>
    </row>
    <row r="1022" ht="15.75" customHeight="1">
      <c r="A1022" s="210">
        <f t="shared" si="1"/>
        <v>1020</v>
      </c>
      <c r="B1022" s="217"/>
      <c r="C1022" s="217" t="str">
        <f>IFERROR(VLOOKUP(B1022, SourceData!$U$3:$V$190, 2, FALSE), "")</f>
        <v/>
      </c>
      <c r="D1022" s="240"/>
      <c r="E1022" s="241"/>
      <c r="F1022" s="248"/>
      <c r="G1022" s="207"/>
      <c r="H1022" s="209"/>
      <c r="I1022" s="209"/>
      <c r="J1022" s="209"/>
      <c r="K1022" s="208" t="str">
        <f>IF(Errors!$I1022=0,SourceData!$B$42,VLOOKUP(Errors!$I1022,SourceData!$A$2:$B$40,2,FALSE))</f>
        <v>Please select ERROR CODE column "I"</v>
      </c>
      <c r="L1022" s="207" t="str">
        <f>IF(Errors!$I1022=0,
    'List of Error Codes'!$E$29,
    IFERROR(VLOOKUP(Errors!$I1022, 'List of Error Codes'!D1021:I1051, 6, FALSE), 'List of Error Codes'!$E$29)
)</f>
        <v>Please select ERROR CODE column "I"</v>
      </c>
      <c r="M1022" s="209"/>
      <c r="N1022" s="209"/>
      <c r="O1022" s="209"/>
      <c r="P1022" s="209"/>
      <c r="Q1022" s="209"/>
      <c r="R1022" s="217"/>
      <c r="S1022" s="217"/>
      <c r="T1022" s="217"/>
      <c r="U1022" s="199"/>
      <c r="V1022" s="200"/>
      <c r="W1022" s="200"/>
      <c r="X1022" s="200"/>
      <c r="Y1022" s="200"/>
      <c r="Z1022" s="200"/>
      <c r="AA1022" s="201"/>
      <c r="AB1022" s="200"/>
      <c r="AC1022" s="200"/>
    </row>
    <row r="1023" ht="15.75" customHeight="1">
      <c r="A1023" s="210">
        <f t="shared" si="1"/>
        <v>1021</v>
      </c>
      <c r="B1023" s="217"/>
      <c r="C1023" s="217" t="str">
        <f>IFERROR(VLOOKUP(B1023, SourceData!$U$3:$V$190, 2, FALSE), "")</f>
        <v/>
      </c>
      <c r="D1023" s="240"/>
      <c r="E1023" s="241"/>
      <c r="F1023" s="248"/>
      <c r="G1023" s="207"/>
      <c r="H1023" s="209"/>
      <c r="I1023" s="209"/>
      <c r="J1023" s="209"/>
      <c r="K1023" s="208" t="str">
        <f>IF(Errors!$I1023=0,SourceData!$B$42,VLOOKUP(Errors!$I1023,SourceData!$A$2:$B$40,2,FALSE))</f>
        <v>Please select ERROR CODE column "I"</v>
      </c>
      <c r="L1023" s="207" t="str">
        <f>IF(Errors!$I1023=0,
    'List of Error Codes'!$E$29,
    IFERROR(VLOOKUP(Errors!$I1023, 'List of Error Codes'!D1022:I1052, 6, FALSE), 'List of Error Codes'!$E$29)
)</f>
        <v>Please select ERROR CODE column "I"</v>
      </c>
      <c r="M1023" s="209"/>
      <c r="N1023" s="209"/>
      <c r="O1023" s="209"/>
      <c r="P1023" s="209"/>
      <c r="Q1023" s="209"/>
      <c r="R1023" s="217"/>
      <c r="S1023" s="217"/>
      <c r="T1023" s="217"/>
      <c r="U1023" s="199"/>
      <c r="V1023" s="200"/>
      <c r="W1023" s="200"/>
      <c r="X1023" s="200"/>
      <c r="Y1023" s="200"/>
      <c r="Z1023" s="200"/>
      <c r="AA1023" s="201"/>
      <c r="AB1023" s="200"/>
      <c r="AC1023" s="200"/>
    </row>
    <row r="1024" ht="15.75" customHeight="1">
      <c r="A1024" s="210">
        <f t="shared" si="1"/>
        <v>1022</v>
      </c>
      <c r="B1024" s="217"/>
      <c r="C1024" s="217" t="str">
        <f>IFERROR(VLOOKUP(B1024, SourceData!$U$3:$V$190, 2, FALSE), "")</f>
        <v/>
      </c>
      <c r="D1024" s="240"/>
      <c r="E1024" s="241"/>
      <c r="F1024" s="248"/>
      <c r="G1024" s="207"/>
      <c r="H1024" s="209"/>
      <c r="I1024" s="209"/>
      <c r="J1024" s="209"/>
      <c r="K1024" s="208" t="str">
        <f>IF(Errors!$I1024=0,SourceData!$B$42,VLOOKUP(Errors!$I1024,SourceData!$A$2:$B$40,2,FALSE))</f>
        <v>Please select ERROR CODE column "I"</v>
      </c>
      <c r="L1024" s="207" t="str">
        <f>IF(Errors!$I1024=0,
    'List of Error Codes'!$E$29,
    IFERROR(VLOOKUP(Errors!$I1024, 'List of Error Codes'!D1023:I1053, 6, FALSE), 'List of Error Codes'!$E$29)
)</f>
        <v>Please select ERROR CODE column "I"</v>
      </c>
      <c r="M1024" s="209"/>
      <c r="N1024" s="209"/>
      <c r="O1024" s="209"/>
      <c r="P1024" s="209"/>
      <c r="Q1024" s="209"/>
      <c r="R1024" s="217"/>
      <c r="S1024" s="217"/>
      <c r="T1024" s="217"/>
      <c r="U1024" s="199"/>
      <c r="V1024" s="200"/>
      <c r="W1024" s="200"/>
      <c r="X1024" s="200"/>
      <c r="Y1024" s="200"/>
      <c r="Z1024" s="200"/>
      <c r="AA1024" s="201"/>
      <c r="AB1024" s="200"/>
      <c r="AC1024" s="200"/>
    </row>
    <row r="1025" ht="15.75" customHeight="1">
      <c r="A1025" s="210">
        <f t="shared" si="1"/>
        <v>1023</v>
      </c>
      <c r="B1025" s="217"/>
      <c r="C1025" s="217" t="str">
        <f>IFERROR(VLOOKUP(B1025, SourceData!$U$3:$V$190, 2, FALSE), "")</f>
        <v/>
      </c>
      <c r="D1025" s="240"/>
      <c r="E1025" s="241"/>
      <c r="F1025" s="248"/>
      <c r="G1025" s="207"/>
      <c r="H1025" s="209"/>
      <c r="I1025" s="209"/>
      <c r="J1025" s="209"/>
      <c r="K1025" s="208" t="str">
        <f>IF(Errors!$I1025=0,SourceData!$B$42,VLOOKUP(Errors!$I1025,SourceData!$A$2:$B$40,2,FALSE))</f>
        <v>Please select ERROR CODE column "I"</v>
      </c>
      <c r="L1025" s="207" t="str">
        <f>IF(Errors!$I1025=0,
    'List of Error Codes'!$E$29,
    IFERROR(VLOOKUP(Errors!$I1025, 'List of Error Codes'!D1024:I1054, 6, FALSE), 'List of Error Codes'!$E$29)
)</f>
        <v>Please select ERROR CODE column "I"</v>
      </c>
      <c r="M1025" s="209"/>
      <c r="N1025" s="209"/>
      <c r="O1025" s="209"/>
      <c r="P1025" s="209"/>
      <c r="Q1025" s="209"/>
      <c r="R1025" s="217"/>
      <c r="S1025" s="217"/>
      <c r="T1025" s="217"/>
      <c r="U1025" s="199"/>
      <c r="V1025" s="200"/>
      <c r="W1025" s="200"/>
      <c r="X1025" s="200"/>
      <c r="Y1025" s="200"/>
      <c r="Z1025" s="200"/>
      <c r="AA1025" s="201"/>
      <c r="AB1025" s="200"/>
      <c r="AC1025" s="200"/>
    </row>
    <row r="1026" ht="15.75" customHeight="1">
      <c r="A1026" s="210">
        <f t="shared" si="1"/>
        <v>1024</v>
      </c>
      <c r="B1026" s="217"/>
      <c r="C1026" s="217" t="str">
        <f>IFERROR(VLOOKUP(B1026, SourceData!$U$3:$V$190, 2, FALSE), "")</f>
        <v/>
      </c>
      <c r="D1026" s="240"/>
      <c r="E1026" s="241"/>
      <c r="F1026" s="248"/>
      <c r="G1026" s="207"/>
      <c r="H1026" s="209"/>
      <c r="I1026" s="209"/>
      <c r="J1026" s="209"/>
      <c r="K1026" s="208" t="str">
        <f>IF(Errors!$I1026=0,SourceData!$B$42,VLOOKUP(Errors!$I1026,SourceData!$A$2:$B$40,2,FALSE))</f>
        <v>Please select ERROR CODE column "I"</v>
      </c>
      <c r="L1026" s="207" t="str">
        <f>IF(Errors!$I1026=0,
    'List of Error Codes'!$E$29,
    IFERROR(VLOOKUP(Errors!$I1026, 'List of Error Codes'!D1025:I1055, 6, FALSE), 'List of Error Codes'!$E$29)
)</f>
        <v>Please select ERROR CODE column "I"</v>
      </c>
      <c r="M1026" s="209"/>
      <c r="N1026" s="209"/>
      <c r="O1026" s="209"/>
      <c r="P1026" s="209"/>
      <c r="Q1026" s="209"/>
      <c r="R1026" s="217"/>
      <c r="S1026" s="217"/>
      <c r="T1026" s="217"/>
      <c r="U1026" s="199"/>
      <c r="V1026" s="200"/>
      <c r="W1026" s="200"/>
      <c r="X1026" s="200"/>
      <c r="Y1026" s="200"/>
      <c r="Z1026" s="200"/>
      <c r="AA1026" s="201"/>
      <c r="AB1026" s="200"/>
      <c r="AC1026" s="200"/>
    </row>
    <row r="1027" ht="15.75" customHeight="1">
      <c r="A1027" s="210">
        <f t="shared" si="1"/>
        <v>1025</v>
      </c>
      <c r="B1027" s="217"/>
      <c r="C1027" s="217" t="str">
        <f>IFERROR(VLOOKUP(B1027, SourceData!$U$3:$V$190, 2, FALSE), "")</f>
        <v/>
      </c>
      <c r="D1027" s="240"/>
      <c r="E1027" s="241"/>
      <c r="F1027" s="248"/>
      <c r="G1027" s="207"/>
      <c r="H1027" s="209"/>
      <c r="I1027" s="209"/>
      <c r="J1027" s="209"/>
      <c r="K1027" s="208" t="str">
        <f>IF(Errors!$I1027=0,SourceData!$B$42,VLOOKUP(Errors!$I1027,SourceData!$A$2:$B$40,2,FALSE))</f>
        <v>Please select ERROR CODE column "I"</v>
      </c>
      <c r="L1027" s="207" t="str">
        <f>IF(Errors!$I1027=0,
    'List of Error Codes'!$E$29,
    IFERROR(VLOOKUP(Errors!$I1027, 'List of Error Codes'!D1026:I1056, 6, FALSE), 'List of Error Codes'!$E$29)
)</f>
        <v>Please select ERROR CODE column "I"</v>
      </c>
      <c r="M1027" s="209"/>
      <c r="N1027" s="209"/>
      <c r="O1027" s="209"/>
      <c r="P1027" s="209"/>
      <c r="Q1027" s="209"/>
      <c r="R1027" s="217"/>
      <c r="S1027" s="217"/>
      <c r="T1027" s="217"/>
      <c r="U1027" s="199"/>
      <c r="V1027" s="200"/>
      <c r="W1027" s="200"/>
      <c r="X1027" s="200"/>
      <c r="Y1027" s="200"/>
      <c r="Z1027" s="200"/>
      <c r="AA1027" s="201"/>
      <c r="AB1027" s="200"/>
      <c r="AC1027" s="200"/>
    </row>
    <row r="1028" ht="15.75" customHeight="1">
      <c r="A1028" s="210">
        <f t="shared" si="1"/>
        <v>1026</v>
      </c>
      <c r="B1028" s="217"/>
      <c r="C1028" s="217" t="str">
        <f>IFERROR(VLOOKUP(B1028, SourceData!$U$3:$V$190, 2, FALSE), "")</f>
        <v/>
      </c>
      <c r="D1028" s="240"/>
      <c r="E1028" s="241"/>
      <c r="F1028" s="248"/>
      <c r="G1028" s="207"/>
      <c r="H1028" s="209"/>
      <c r="I1028" s="209"/>
      <c r="J1028" s="209"/>
      <c r="K1028" s="208" t="str">
        <f>IF(Errors!$I1028=0,SourceData!$B$42,VLOOKUP(Errors!$I1028,SourceData!$A$2:$B$40,2,FALSE))</f>
        <v>Please select ERROR CODE column "I"</v>
      </c>
      <c r="L1028" s="207" t="str">
        <f>IF(Errors!$I1028=0,
    'List of Error Codes'!$E$29,
    IFERROR(VLOOKUP(Errors!$I1028, 'List of Error Codes'!D1027:I1057, 6, FALSE), 'List of Error Codes'!$E$29)
)</f>
        <v>Please select ERROR CODE column "I"</v>
      </c>
      <c r="M1028" s="209"/>
      <c r="N1028" s="209"/>
      <c r="O1028" s="209"/>
      <c r="P1028" s="209"/>
      <c r="Q1028" s="209"/>
      <c r="R1028" s="217"/>
      <c r="S1028" s="217"/>
      <c r="T1028" s="217"/>
      <c r="U1028" s="199"/>
      <c r="V1028" s="200"/>
      <c r="W1028" s="200"/>
      <c r="X1028" s="200"/>
      <c r="Y1028" s="200"/>
      <c r="Z1028" s="200"/>
      <c r="AA1028" s="201"/>
      <c r="AB1028" s="200"/>
      <c r="AC1028" s="200"/>
    </row>
    <row r="1029" ht="15.75" customHeight="1">
      <c r="A1029" s="210">
        <f t="shared" si="1"/>
        <v>1027</v>
      </c>
      <c r="B1029" s="217"/>
      <c r="C1029" s="217" t="str">
        <f>IFERROR(VLOOKUP(B1029, SourceData!$U$3:$V$190, 2, FALSE), "")</f>
        <v/>
      </c>
      <c r="D1029" s="240"/>
      <c r="E1029" s="241"/>
      <c r="F1029" s="248"/>
      <c r="G1029" s="207"/>
      <c r="H1029" s="209"/>
      <c r="I1029" s="209"/>
      <c r="J1029" s="209"/>
      <c r="K1029" s="208" t="str">
        <f>IF(Errors!$I1029=0,SourceData!$B$42,VLOOKUP(Errors!$I1029,SourceData!$A$2:$B$40,2,FALSE))</f>
        <v>Please select ERROR CODE column "I"</v>
      </c>
      <c r="L1029" s="207" t="str">
        <f>IF(Errors!$I1029=0,
    'List of Error Codes'!$E$29,
    IFERROR(VLOOKUP(Errors!$I1029, 'List of Error Codes'!D1028:I1058, 6, FALSE), 'List of Error Codes'!$E$29)
)</f>
        <v>Please select ERROR CODE column "I"</v>
      </c>
      <c r="M1029" s="209"/>
      <c r="N1029" s="209"/>
      <c r="O1029" s="209"/>
      <c r="P1029" s="209"/>
      <c r="Q1029" s="209"/>
      <c r="R1029" s="217"/>
      <c r="S1029" s="217"/>
      <c r="T1029" s="217"/>
      <c r="U1029" s="199"/>
      <c r="V1029" s="200"/>
      <c r="W1029" s="200"/>
      <c r="X1029" s="200"/>
      <c r="Y1029" s="200"/>
      <c r="Z1029" s="200"/>
      <c r="AA1029" s="201"/>
      <c r="AB1029" s="200"/>
      <c r="AC1029" s="200"/>
    </row>
    <row r="1030" ht="15.75" customHeight="1">
      <c r="A1030" s="210">
        <f t="shared" si="1"/>
        <v>1028</v>
      </c>
      <c r="B1030" s="217"/>
      <c r="C1030" s="217" t="str">
        <f>IFERROR(VLOOKUP(B1030, SourceData!$U$3:$V$190, 2, FALSE), "")</f>
        <v/>
      </c>
      <c r="D1030" s="240"/>
      <c r="E1030" s="241"/>
      <c r="F1030" s="248"/>
      <c r="G1030" s="207"/>
      <c r="H1030" s="209"/>
      <c r="I1030" s="209"/>
      <c r="J1030" s="209"/>
      <c r="K1030" s="208" t="str">
        <f>IF(Errors!$I1030=0,SourceData!$B$42,VLOOKUP(Errors!$I1030,SourceData!$A$2:$B$40,2,FALSE))</f>
        <v>Please select ERROR CODE column "I"</v>
      </c>
      <c r="L1030" s="207" t="str">
        <f>IF(Errors!$I1030=0,
    'List of Error Codes'!$E$29,
    IFERROR(VLOOKUP(Errors!$I1030, 'List of Error Codes'!D1029:I1059, 6, FALSE), 'List of Error Codes'!$E$29)
)</f>
        <v>Please select ERROR CODE column "I"</v>
      </c>
      <c r="M1030" s="209"/>
      <c r="N1030" s="209"/>
      <c r="O1030" s="209"/>
      <c r="P1030" s="209"/>
      <c r="Q1030" s="209"/>
      <c r="R1030" s="217"/>
      <c r="S1030" s="217"/>
      <c r="T1030" s="217"/>
      <c r="U1030" s="199"/>
      <c r="V1030" s="200"/>
      <c r="W1030" s="200"/>
      <c r="X1030" s="200"/>
      <c r="Y1030" s="200"/>
      <c r="Z1030" s="200"/>
      <c r="AA1030" s="201"/>
      <c r="AB1030" s="200"/>
      <c r="AC1030" s="200"/>
    </row>
    <row r="1031" ht="15.75" customHeight="1">
      <c r="A1031" s="210">
        <f t="shared" si="1"/>
        <v>1029</v>
      </c>
      <c r="B1031" s="217"/>
      <c r="C1031" s="217" t="str">
        <f>IFERROR(VLOOKUP(B1031, SourceData!$U$3:$V$190, 2, FALSE), "")</f>
        <v/>
      </c>
      <c r="D1031" s="240"/>
      <c r="E1031" s="241"/>
      <c r="F1031" s="248"/>
      <c r="G1031" s="207"/>
      <c r="H1031" s="209"/>
      <c r="I1031" s="209"/>
      <c r="J1031" s="209"/>
      <c r="K1031" s="208" t="str">
        <f>IF(Errors!$I1031=0,SourceData!$B$42,VLOOKUP(Errors!$I1031,SourceData!$A$2:$B$40,2,FALSE))</f>
        <v>Please select ERROR CODE column "I"</v>
      </c>
      <c r="L1031" s="207" t="str">
        <f>IF(Errors!$I1031=0,
    'List of Error Codes'!$E$29,
    IFERROR(VLOOKUP(Errors!$I1031, 'List of Error Codes'!D1030:I1060, 6, FALSE), 'List of Error Codes'!$E$29)
)</f>
        <v>Please select ERROR CODE column "I"</v>
      </c>
      <c r="M1031" s="209"/>
      <c r="N1031" s="209"/>
      <c r="O1031" s="209"/>
      <c r="P1031" s="209"/>
      <c r="Q1031" s="209"/>
      <c r="R1031" s="217"/>
      <c r="S1031" s="217"/>
      <c r="T1031" s="217"/>
      <c r="U1031" s="199"/>
      <c r="V1031" s="200"/>
      <c r="W1031" s="200"/>
      <c r="X1031" s="200"/>
      <c r="Y1031" s="200"/>
      <c r="Z1031" s="200"/>
      <c r="AA1031" s="201"/>
      <c r="AB1031" s="200"/>
      <c r="AC1031" s="200"/>
    </row>
    <row r="1032" ht="15.75" customHeight="1">
      <c r="A1032" s="210">
        <f t="shared" si="1"/>
        <v>1030</v>
      </c>
      <c r="B1032" s="217"/>
      <c r="C1032" s="217" t="str">
        <f>IFERROR(VLOOKUP(B1032, SourceData!$U$3:$V$190, 2, FALSE), "")</f>
        <v/>
      </c>
      <c r="D1032" s="240"/>
      <c r="E1032" s="241"/>
      <c r="F1032" s="248"/>
      <c r="G1032" s="207"/>
      <c r="H1032" s="209"/>
      <c r="I1032" s="209"/>
      <c r="J1032" s="209"/>
      <c r="K1032" s="208" t="str">
        <f>IF(Errors!$I1032=0,SourceData!$B$42,VLOOKUP(Errors!$I1032,SourceData!$A$2:$B$40,2,FALSE))</f>
        <v>Please select ERROR CODE column "I"</v>
      </c>
      <c r="L1032" s="207" t="str">
        <f>IF(Errors!$I1032=0,
    'List of Error Codes'!$E$29,
    IFERROR(VLOOKUP(Errors!$I1032, 'List of Error Codes'!D1031:I1061, 6, FALSE), 'List of Error Codes'!$E$29)
)</f>
        <v>Please select ERROR CODE column "I"</v>
      </c>
      <c r="M1032" s="209"/>
      <c r="N1032" s="209"/>
      <c r="O1032" s="209"/>
      <c r="P1032" s="209"/>
      <c r="Q1032" s="209"/>
      <c r="R1032" s="217"/>
      <c r="S1032" s="217"/>
      <c r="T1032" s="217"/>
      <c r="U1032" s="199"/>
      <c r="V1032" s="200"/>
      <c r="W1032" s="200"/>
      <c r="X1032" s="200"/>
      <c r="Y1032" s="200"/>
      <c r="Z1032" s="200"/>
      <c r="AA1032" s="201"/>
      <c r="AB1032" s="200"/>
      <c r="AC1032" s="200"/>
    </row>
    <row r="1033" ht="15.75" customHeight="1">
      <c r="A1033" s="210">
        <f t="shared" si="1"/>
        <v>1031</v>
      </c>
      <c r="B1033" s="217"/>
      <c r="C1033" s="217" t="str">
        <f>IFERROR(VLOOKUP(B1033, SourceData!$U$3:$V$190, 2, FALSE), "")</f>
        <v/>
      </c>
      <c r="D1033" s="240"/>
      <c r="E1033" s="241"/>
      <c r="F1033" s="248"/>
      <c r="G1033" s="207"/>
      <c r="H1033" s="209"/>
      <c r="I1033" s="209"/>
      <c r="J1033" s="209"/>
      <c r="K1033" s="208" t="str">
        <f>IF(Errors!$I1033=0,SourceData!$B$42,VLOOKUP(Errors!$I1033,SourceData!$A$2:$B$40,2,FALSE))</f>
        <v>Please select ERROR CODE column "I"</v>
      </c>
      <c r="L1033" s="207" t="str">
        <f>IF(Errors!$I1033=0,
    'List of Error Codes'!$E$29,
    IFERROR(VLOOKUP(Errors!$I1033, 'List of Error Codes'!D1032:I1062, 6, FALSE), 'List of Error Codes'!$E$29)
)</f>
        <v>Please select ERROR CODE column "I"</v>
      </c>
      <c r="M1033" s="209"/>
      <c r="N1033" s="209"/>
      <c r="O1033" s="209"/>
      <c r="P1033" s="209"/>
      <c r="Q1033" s="209"/>
      <c r="R1033" s="217"/>
      <c r="S1033" s="217"/>
      <c r="T1033" s="217"/>
      <c r="U1033" s="199"/>
      <c r="V1033" s="200"/>
      <c r="W1033" s="200"/>
      <c r="X1033" s="200"/>
      <c r="Y1033" s="200"/>
      <c r="Z1033" s="200"/>
      <c r="AA1033" s="201"/>
      <c r="AB1033" s="200"/>
      <c r="AC1033" s="200"/>
    </row>
    <row r="1034" ht="15.75" customHeight="1">
      <c r="A1034" s="210">
        <f t="shared" si="1"/>
        <v>1032</v>
      </c>
      <c r="B1034" s="217"/>
      <c r="C1034" s="217" t="str">
        <f>IFERROR(VLOOKUP(B1034, SourceData!$U$3:$V$190, 2, FALSE), "")</f>
        <v/>
      </c>
      <c r="D1034" s="240"/>
      <c r="E1034" s="241"/>
      <c r="F1034" s="248"/>
      <c r="G1034" s="207"/>
      <c r="H1034" s="209"/>
      <c r="I1034" s="209"/>
      <c r="J1034" s="209"/>
      <c r="K1034" s="208" t="str">
        <f>IF(Errors!$I1034=0,SourceData!$B$42,VLOOKUP(Errors!$I1034,SourceData!$A$2:$B$40,2,FALSE))</f>
        <v>Please select ERROR CODE column "I"</v>
      </c>
      <c r="L1034" s="207" t="str">
        <f>IF(Errors!$I1034=0,
    'List of Error Codes'!$E$29,
    IFERROR(VLOOKUP(Errors!$I1034, 'List of Error Codes'!D1033:I1063, 6, FALSE), 'List of Error Codes'!$E$29)
)</f>
        <v>Please select ERROR CODE column "I"</v>
      </c>
      <c r="M1034" s="209"/>
      <c r="N1034" s="209"/>
      <c r="O1034" s="209"/>
      <c r="P1034" s="209"/>
      <c r="Q1034" s="209"/>
      <c r="R1034" s="217"/>
      <c r="S1034" s="217"/>
      <c r="T1034" s="217"/>
      <c r="U1034" s="199"/>
      <c r="V1034" s="200"/>
      <c r="W1034" s="200"/>
      <c r="X1034" s="200"/>
      <c r="Y1034" s="200"/>
      <c r="Z1034" s="200"/>
      <c r="AA1034" s="201"/>
      <c r="AB1034" s="200"/>
      <c r="AC1034" s="200"/>
    </row>
    <row r="1035" ht="15.75" customHeight="1">
      <c r="A1035" s="210">
        <f t="shared" si="1"/>
        <v>1033</v>
      </c>
      <c r="B1035" s="217"/>
      <c r="C1035" s="217" t="str">
        <f>IFERROR(VLOOKUP(B1035, SourceData!$U$3:$V$190, 2, FALSE), "")</f>
        <v/>
      </c>
      <c r="D1035" s="240"/>
      <c r="E1035" s="241"/>
      <c r="F1035" s="248"/>
      <c r="G1035" s="207"/>
      <c r="H1035" s="209"/>
      <c r="I1035" s="209"/>
      <c r="J1035" s="209"/>
      <c r="K1035" s="208" t="str">
        <f>IF(Errors!$I1035=0,SourceData!$B$42,VLOOKUP(Errors!$I1035,SourceData!$A$2:$B$40,2,FALSE))</f>
        <v>Please select ERROR CODE column "I"</v>
      </c>
      <c r="L1035" s="207" t="str">
        <f>IF(Errors!$I1035=0,
    'List of Error Codes'!$E$29,
    IFERROR(VLOOKUP(Errors!$I1035, 'List of Error Codes'!D1034:I1064, 6, FALSE), 'List of Error Codes'!$E$29)
)</f>
        <v>Please select ERROR CODE column "I"</v>
      </c>
      <c r="M1035" s="209"/>
      <c r="N1035" s="209"/>
      <c r="O1035" s="209"/>
      <c r="P1035" s="209"/>
      <c r="Q1035" s="209"/>
      <c r="R1035" s="217"/>
      <c r="S1035" s="217"/>
      <c r="T1035" s="217"/>
      <c r="U1035" s="199"/>
      <c r="V1035" s="200"/>
      <c r="W1035" s="200"/>
      <c r="X1035" s="200"/>
      <c r="Y1035" s="200"/>
      <c r="Z1035" s="200"/>
      <c r="AA1035" s="201"/>
      <c r="AB1035" s="200"/>
      <c r="AC1035" s="200"/>
    </row>
    <row r="1036" ht="15.75" customHeight="1">
      <c r="A1036" s="210">
        <f t="shared" si="1"/>
        <v>1034</v>
      </c>
      <c r="B1036" s="217"/>
      <c r="C1036" s="217" t="str">
        <f>IFERROR(VLOOKUP(B1036, SourceData!$U$3:$V$190, 2, FALSE), "")</f>
        <v/>
      </c>
      <c r="D1036" s="240"/>
      <c r="E1036" s="241"/>
      <c r="F1036" s="248"/>
      <c r="G1036" s="207"/>
      <c r="H1036" s="209"/>
      <c r="I1036" s="209"/>
      <c r="J1036" s="209"/>
      <c r="K1036" s="208" t="str">
        <f>IF(Errors!$I1036=0,SourceData!$B$42,VLOOKUP(Errors!$I1036,SourceData!$A$2:$B$40,2,FALSE))</f>
        <v>Please select ERROR CODE column "I"</v>
      </c>
      <c r="L1036" s="207" t="str">
        <f>IF(Errors!$I1036=0,
    'List of Error Codes'!$E$29,
    IFERROR(VLOOKUP(Errors!$I1036, 'List of Error Codes'!D1035:I1065, 6, FALSE), 'List of Error Codes'!$E$29)
)</f>
        <v>Please select ERROR CODE column "I"</v>
      </c>
      <c r="M1036" s="209"/>
      <c r="N1036" s="209"/>
      <c r="O1036" s="209"/>
      <c r="P1036" s="209"/>
      <c r="Q1036" s="209"/>
      <c r="R1036" s="217"/>
      <c r="S1036" s="217"/>
      <c r="T1036" s="217"/>
      <c r="U1036" s="199"/>
      <c r="V1036" s="200"/>
      <c r="W1036" s="200"/>
      <c r="X1036" s="200"/>
      <c r="Y1036" s="200"/>
      <c r="Z1036" s="200"/>
      <c r="AA1036" s="201"/>
      <c r="AB1036" s="200"/>
      <c r="AC1036" s="200"/>
    </row>
    <row r="1037" ht="15.75" customHeight="1">
      <c r="A1037" s="210">
        <f t="shared" si="1"/>
        <v>1035</v>
      </c>
      <c r="B1037" s="217"/>
      <c r="C1037" s="217" t="str">
        <f>IFERROR(VLOOKUP(B1037, SourceData!$U$3:$V$190, 2, FALSE), "")</f>
        <v/>
      </c>
      <c r="D1037" s="240"/>
      <c r="E1037" s="241"/>
      <c r="F1037" s="248"/>
      <c r="G1037" s="207"/>
      <c r="H1037" s="209"/>
      <c r="I1037" s="209"/>
      <c r="J1037" s="209"/>
      <c r="K1037" s="208" t="str">
        <f>IF(Errors!$I1037=0,SourceData!$B$42,VLOOKUP(Errors!$I1037,SourceData!$A$2:$B$40,2,FALSE))</f>
        <v>Please select ERROR CODE column "I"</v>
      </c>
      <c r="L1037" s="207" t="str">
        <f>IF(Errors!$I1037=0,
    'List of Error Codes'!$E$29,
    IFERROR(VLOOKUP(Errors!$I1037, 'List of Error Codes'!D1036:I1066, 6, FALSE), 'List of Error Codes'!$E$29)
)</f>
        <v>Please select ERROR CODE column "I"</v>
      </c>
      <c r="M1037" s="209"/>
      <c r="N1037" s="209"/>
      <c r="O1037" s="209"/>
      <c r="P1037" s="209"/>
      <c r="Q1037" s="209"/>
      <c r="R1037" s="217"/>
      <c r="S1037" s="217"/>
      <c r="T1037" s="217"/>
      <c r="U1037" s="199"/>
      <c r="V1037" s="200"/>
      <c r="W1037" s="200"/>
      <c r="X1037" s="200"/>
      <c r="Y1037" s="200"/>
      <c r="Z1037" s="200"/>
      <c r="AA1037" s="201"/>
      <c r="AB1037" s="200"/>
      <c r="AC1037" s="200"/>
    </row>
    <row r="1038" ht="15.75" customHeight="1">
      <c r="A1038" s="210">
        <f t="shared" si="1"/>
        <v>1036</v>
      </c>
      <c r="B1038" s="217"/>
      <c r="C1038" s="217" t="str">
        <f>IFERROR(VLOOKUP(B1038, SourceData!$U$3:$V$190, 2, FALSE), "")</f>
        <v/>
      </c>
      <c r="D1038" s="240"/>
      <c r="E1038" s="241"/>
      <c r="F1038" s="248"/>
      <c r="G1038" s="207"/>
      <c r="H1038" s="209"/>
      <c r="I1038" s="209"/>
      <c r="J1038" s="209"/>
      <c r="K1038" s="208" t="str">
        <f>IF(Errors!$I1038=0,SourceData!$B$42,VLOOKUP(Errors!$I1038,SourceData!$A$2:$B$40,2,FALSE))</f>
        <v>Please select ERROR CODE column "I"</v>
      </c>
      <c r="L1038" s="207" t="str">
        <f>IF(Errors!$I1038=0,
    'List of Error Codes'!$E$29,
    IFERROR(VLOOKUP(Errors!$I1038, 'List of Error Codes'!D1037:I1067, 6, FALSE), 'List of Error Codes'!$E$29)
)</f>
        <v>Please select ERROR CODE column "I"</v>
      </c>
      <c r="M1038" s="209"/>
      <c r="N1038" s="209"/>
      <c r="O1038" s="209"/>
      <c r="P1038" s="209"/>
      <c r="Q1038" s="209"/>
      <c r="R1038" s="217"/>
      <c r="S1038" s="217"/>
      <c r="T1038" s="217"/>
      <c r="U1038" s="199"/>
      <c r="V1038" s="200"/>
      <c r="W1038" s="200"/>
      <c r="X1038" s="200"/>
      <c r="Y1038" s="200"/>
      <c r="Z1038" s="200"/>
      <c r="AA1038" s="201"/>
      <c r="AB1038" s="200"/>
      <c r="AC1038" s="200"/>
    </row>
    <row r="1039" ht="15.75" customHeight="1">
      <c r="A1039" s="210">
        <f t="shared" si="1"/>
        <v>1037</v>
      </c>
      <c r="B1039" s="217"/>
      <c r="C1039" s="217" t="str">
        <f>IFERROR(VLOOKUP(B1039, SourceData!$U$3:$V$190, 2, FALSE), "")</f>
        <v/>
      </c>
      <c r="D1039" s="240"/>
      <c r="E1039" s="241"/>
      <c r="F1039" s="248"/>
      <c r="G1039" s="207"/>
      <c r="H1039" s="209"/>
      <c r="I1039" s="209"/>
      <c r="J1039" s="209"/>
      <c r="K1039" s="208" t="str">
        <f>IF(Errors!$I1039=0,SourceData!$B$42,VLOOKUP(Errors!$I1039,SourceData!$A$2:$B$40,2,FALSE))</f>
        <v>Please select ERROR CODE column "I"</v>
      </c>
      <c r="L1039" s="207" t="str">
        <f>IF(Errors!$I1039=0,
    'List of Error Codes'!$E$29,
    IFERROR(VLOOKUP(Errors!$I1039, 'List of Error Codes'!D1038:I1068, 6, FALSE), 'List of Error Codes'!$E$29)
)</f>
        <v>Please select ERROR CODE column "I"</v>
      </c>
      <c r="M1039" s="209"/>
      <c r="N1039" s="209"/>
      <c r="O1039" s="209"/>
      <c r="P1039" s="209"/>
      <c r="Q1039" s="209"/>
      <c r="R1039" s="217"/>
      <c r="S1039" s="217"/>
      <c r="T1039" s="217"/>
      <c r="U1039" s="199"/>
      <c r="V1039" s="200"/>
      <c r="W1039" s="200"/>
      <c r="X1039" s="200"/>
      <c r="Y1039" s="200"/>
      <c r="Z1039" s="200"/>
      <c r="AA1039" s="201"/>
      <c r="AB1039" s="200"/>
      <c r="AC1039" s="200"/>
    </row>
    <row r="1040" ht="15.75" customHeight="1">
      <c r="A1040" s="210">
        <f t="shared" si="1"/>
        <v>1038</v>
      </c>
      <c r="B1040" s="217"/>
      <c r="C1040" s="217" t="str">
        <f>IFERROR(VLOOKUP(B1040, SourceData!$U$3:$V$190, 2, FALSE), "")</f>
        <v/>
      </c>
      <c r="D1040" s="240"/>
      <c r="E1040" s="241"/>
      <c r="F1040" s="248"/>
      <c r="G1040" s="207"/>
      <c r="H1040" s="209"/>
      <c r="I1040" s="209"/>
      <c r="J1040" s="209"/>
      <c r="K1040" s="208" t="str">
        <f>IF(Errors!$I1040=0,SourceData!$B$42,VLOOKUP(Errors!$I1040,SourceData!$A$2:$B$40,2,FALSE))</f>
        <v>Please select ERROR CODE column "I"</v>
      </c>
      <c r="L1040" s="207" t="str">
        <f>IF(Errors!$I1040=0,
    'List of Error Codes'!$E$29,
    IFERROR(VLOOKUP(Errors!$I1040, 'List of Error Codes'!D1039:I1069, 6, FALSE), 'List of Error Codes'!$E$29)
)</f>
        <v>Please select ERROR CODE column "I"</v>
      </c>
      <c r="M1040" s="209"/>
      <c r="N1040" s="209"/>
      <c r="O1040" s="209"/>
      <c r="P1040" s="209"/>
      <c r="Q1040" s="209"/>
      <c r="R1040" s="217"/>
      <c r="S1040" s="217"/>
      <c r="T1040" s="217"/>
      <c r="U1040" s="199"/>
      <c r="V1040" s="200"/>
      <c r="W1040" s="200"/>
      <c r="X1040" s="200"/>
      <c r="Y1040" s="200"/>
      <c r="Z1040" s="200"/>
      <c r="AA1040" s="201"/>
      <c r="AB1040" s="200"/>
      <c r="AC1040" s="200"/>
    </row>
    <row r="1041" ht="15.75" customHeight="1">
      <c r="A1041" s="210">
        <f t="shared" si="1"/>
        <v>1039</v>
      </c>
      <c r="B1041" s="217"/>
      <c r="C1041" s="217" t="str">
        <f>IFERROR(VLOOKUP(B1041, SourceData!$U$3:$V$190, 2, FALSE), "")</f>
        <v/>
      </c>
      <c r="D1041" s="240"/>
      <c r="E1041" s="241"/>
      <c r="F1041" s="248"/>
      <c r="G1041" s="207"/>
      <c r="H1041" s="209"/>
      <c r="I1041" s="209"/>
      <c r="J1041" s="209"/>
      <c r="K1041" s="208" t="str">
        <f>IF(Errors!$I1041=0,SourceData!$B$42,VLOOKUP(Errors!$I1041,SourceData!$A$2:$B$40,2,FALSE))</f>
        <v>Please select ERROR CODE column "I"</v>
      </c>
      <c r="L1041" s="207" t="str">
        <f>IF(Errors!$I1041=0,
    'List of Error Codes'!$E$29,
    IFERROR(VLOOKUP(Errors!$I1041, 'List of Error Codes'!D1040:I1070, 6, FALSE), 'List of Error Codes'!$E$29)
)</f>
        <v>Please select ERROR CODE column "I"</v>
      </c>
      <c r="M1041" s="209"/>
      <c r="N1041" s="209"/>
      <c r="O1041" s="209"/>
      <c r="P1041" s="209"/>
      <c r="Q1041" s="209"/>
      <c r="R1041" s="217"/>
      <c r="S1041" s="217"/>
      <c r="T1041" s="217"/>
      <c r="U1041" s="199"/>
      <c r="V1041" s="200"/>
      <c r="W1041" s="200"/>
      <c r="X1041" s="200"/>
      <c r="Y1041" s="200"/>
      <c r="Z1041" s="200"/>
      <c r="AA1041" s="201"/>
      <c r="AB1041" s="200"/>
      <c r="AC1041" s="200"/>
    </row>
    <row r="1042" ht="15.75" customHeight="1">
      <c r="A1042" s="210">
        <f t="shared" si="1"/>
        <v>1040</v>
      </c>
      <c r="B1042" s="217"/>
      <c r="C1042" s="217" t="str">
        <f>IFERROR(VLOOKUP(B1042, SourceData!$U$3:$V$190, 2, FALSE), "")</f>
        <v/>
      </c>
      <c r="D1042" s="240"/>
      <c r="E1042" s="241"/>
      <c r="F1042" s="248"/>
      <c r="G1042" s="207"/>
      <c r="H1042" s="209"/>
      <c r="I1042" s="209"/>
      <c r="J1042" s="209"/>
      <c r="K1042" s="208" t="str">
        <f>IF(Errors!$I1042=0,SourceData!$B$42,VLOOKUP(Errors!$I1042,SourceData!$A$2:$B$40,2,FALSE))</f>
        <v>Please select ERROR CODE column "I"</v>
      </c>
      <c r="L1042" s="207" t="str">
        <f>IF(Errors!$I1042=0,
    'List of Error Codes'!$E$29,
    IFERROR(VLOOKUP(Errors!$I1042, 'List of Error Codes'!D1041:I1071, 6, FALSE), 'List of Error Codes'!$E$29)
)</f>
        <v>Please select ERROR CODE column "I"</v>
      </c>
      <c r="M1042" s="209"/>
      <c r="N1042" s="209"/>
      <c r="O1042" s="209"/>
      <c r="P1042" s="209"/>
      <c r="Q1042" s="209"/>
      <c r="R1042" s="217"/>
      <c r="S1042" s="217"/>
      <c r="T1042" s="217"/>
      <c r="U1042" s="199"/>
      <c r="V1042" s="200"/>
      <c r="W1042" s="200"/>
      <c r="X1042" s="200"/>
      <c r="Y1042" s="200"/>
      <c r="Z1042" s="200"/>
      <c r="AA1042" s="201"/>
      <c r="AB1042" s="200"/>
      <c r="AC1042" s="200"/>
    </row>
    <row r="1043" ht="15.75" customHeight="1">
      <c r="A1043" s="210">
        <f t="shared" si="1"/>
        <v>1041</v>
      </c>
      <c r="B1043" s="217"/>
      <c r="C1043" s="217" t="str">
        <f>IFERROR(VLOOKUP(B1043, SourceData!$U$3:$V$190, 2, FALSE), "")</f>
        <v/>
      </c>
      <c r="D1043" s="240"/>
      <c r="E1043" s="241"/>
      <c r="F1043" s="248"/>
      <c r="G1043" s="207"/>
      <c r="H1043" s="209"/>
      <c r="I1043" s="209"/>
      <c r="J1043" s="209"/>
      <c r="K1043" s="208" t="str">
        <f>IF(Errors!$I1043=0,SourceData!$B$42,VLOOKUP(Errors!$I1043,SourceData!$A$2:$B$40,2,FALSE))</f>
        <v>Please select ERROR CODE column "I"</v>
      </c>
      <c r="L1043" s="207" t="str">
        <f>IF(Errors!$I1043=0,
    'List of Error Codes'!$E$29,
    IFERROR(VLOOKUP(Errors!$I1043, 'List of Error Codes'!D1042:I1072, 6, FALSE), 'List of Error Codes'!$E$29)
)</f>
        <v>Please select ERROR CODE column "I"</v>
      </c>
      <c r="M1043" s="209"/>
      <c r="N1043" s="209"/>
      <c r="O1043" s="209"/>
      <c r="P1043" s="209"/>
      <c r="Q1043" s="209"/>
      <c r="R1043" s="217"/>
      <c r="S1043" s="217"/>
      <c r="T1043" s="217"/>
      <c r="U1043" s="199"/>
      <c r="V1043" s="200"/>
      <c r="W1043" s="200"/>
      <c r="X1043" s="200"/>
      <c r="Y1043" s="200"/>
      <c r="Z1043" s="200"/>
      <c r="AA1043" s="201"/>
      <c r="AB1043" s="200"/>
      <c r="AC1043" s="200"/>
    </row>
    <row r="1044" ht="15.75" customHeight="1">
      <c r="A1044" s="210">
        <f t="shared" si="1"/>
        <v>1042</v>
      </c>
      <c r="B1044" s="217"/>
      <c r="C1044" s="217" t="str">
        <f>IFERROR(VLOOKUP(B1044, SourceData!$U$3:$V$190, 2, FALSE), "")</f>
        <v/>
      </c>
      <c r="D1044" s="240"/>
      <c r="E1044" s="241"/>
      <c r="F1044" s="248"/>
      <c r="G1044" s="207"/>
      <c r="H1044" s="209"/>
      <c r="I1044" s="209"/>
      <c r="J1044" s="209"/>
      <c r="K1044" s="208" t="str">
        <f>IF(Errors!$I1044=0,SourceData!$B$42,VLOOKUP(Errors!$I1044,SourceData!$A$2:$B$40,2,FALSE))</f>
        <v>Please select ERROR CODE column "I"</v>
      </c>
      <c r="L1044" s="207" t="str">
        <f>IF(Errors!$I1044=0,
    'List of Error Codes'!$E$29,
    IFERROR(VLOOKUP(Errors!$I1044, 'List of Error Codes'!D1043:I1073, 6, FALSE), 'List of Error Codes'!$E$29)
)</f>
        <v>Please select ERROR CODE column "I"</v>
      </c>
      <c r="M1044" s="209"/>
      <c r="N1044" s="209"/>
      <c r="O1044" s="209"/>
      <c r="P1044" s="209"/>
      <c r="Q1044" s="209"/>
      <c r="R1044" s="217"/>
      <c r="S1044" s="217"/>
      <c r="T1044" s="217"/>
      <c r="U1044" s="199"/>
      <c r="V1044" s="200"/>
      <c r="W1044" s="200"/>
      <c r="X1044" s="200"/>
      <c r="Y1044" s="200"/>
      <c r="Z1044" s="200"/>
      <c r="AA1044" s="201"/>
      <c r="AB1044" s="200"/>
      <c r="AC1044" s="200"/>
    </row>
    <row r="1045" ht="15.75" customHeight="1">
      <c r="A1045" s="210">
        <f t="shared" si="1"/>
        <v>1043</v>
      </c>
      <c r="B1045" s="217"/>
      <c r="C1045" s="217" t="str">
        <f>IFERROR(VLOOKUP(B1045, SourceData!$U$3:$V$190, 2, FALSE), "")</f>
        <v/>
      </c>
      <c r="D1045" s="240"/>
      <c r="E1045" s="241"/>
      <c r="F1045" s="248"/>
      <c r="G1045" s="207"/>
      <c r="H1045" s="209"/>
      <c r="I1045" s="209"/>
      <c r="J1045" s="209"/>
      <c r="K1045" s="208" t="str">
        <f>IF(Errors!$I1045=0,SourceData!$B$42,VLOOKUP(Errors!$I1045,SourceData!$A$2:$B$40,2,FALSE))</f>
        <v>Please select ERROR CODE column "I"</v>
      </c>
      <c r="L1045" s="207" t="str">
        <f>IF(Errors!$I1045=0,
    'List of Error Codes'!$E$29,
    IFERROR(VLOOKUP(Errors!$I1045, 'List of Error Codes'!D1044:I1074, 6, FALSE), 'List of Error Codes'!$E$29)
)</f>
        <v>Please select ERROR CODE column "I"</v>
      </c>
      <c r="M1045" s="209"/>
      <c r="N1045" s="209"/>
      <c r="O1045" s="209"/>
      <c r="P1045" s="209"/>
      <c r="Q1045" s="209"/>
      <c r="R1045" s="217"/>
      <c r="S1045" s="217"/>
      <c r="T1045" s="217"/>
      <c r="U1045" s="199"/>
      <c r="V1045" s="200"/>
      <c r="W1045" s="200"/>
      <c r="X1045" s="200"/>
      <c r="Y1045" s="200"/>
      <c r="Z1045" s="200"/>
      <c r="AA1045" s="201"/>
      <c r="AB1045" s="200"/>
      <c r="AC1045" s="200"/>
    </row>
    <row r="1046" ht="15.75" customHeight="1">
      <c r="A1046" s="210">
        <f t="shared" si="1"/>
        <v>1044</v>
      </c>
      <c r="B1046" s="217"/>
      <c r="C1046" s="217" t="str">
        <f>IFERROR(VLOOKUP(B1046, SourceData!$U$3:$V$190, 2, FALSE), "")</f>
        <v/>
      </c>
      <c r="D1046" s="240"/>
      <c r="E1046" s="241"/>
      <c r="F1046" s="248"/>
      <c r="G1046" s="207"/>
      <c r="H1046" s="209"/>
      <c r="I1046" s="209"/>
      <c r="J1046" s="209"/>
      <c r="K1046" s="208" t="str">
        <f>IF(Errors!$I1046=0,SourceData!$B$42,VLOOKUP(Errors!$I1046,SourceData!$A$2:$B$40,2,FALSE))</f>
        <v>Please select ERROR CODE column "I"</v>
      </c>
      <c r="L1046" s="207" t="str">
        <f>IF(Errors!$I1046=0,
    'List of Error Codes'!$E$29,
    IFERROR(VLOOKUP(Errors!$I1046, 'List of Error Codes'!D1045:I1075, 6, FALSE), 'List of Error Codes'!$E$29)
)</f>
        <v>Please select ERROR CODE column "I"</v>
      </c>
      <c r="M1046" s="209"/>
      <c r="N1046" s="209"/>
      <c r="O1046" s="209"/>
      <c r="P1046" s="209"/>
      <c r="Q1046" s="209"/>
      <c r="R1046" s="217"/>
      <c r="S1046" s="217"/>
      <c r="T1046" s="217"/>
      <c r="U1046" s="199"/>
      <c r="V1046" s="200"/>
      <c r="W1046" s="200"/>
      <c r="X1046" s="200"/>
      <c r="Y1046" s="200"/>
      <c r="Z1046" s="200"/>
      <c r="AA1046" s="201"/>
      <c r="AB1046" s="200"/>
      <c r="AC1046" s="200"/>
    </row>
    <row r="1047" ht="15.75" customHeight="1">
      <c r="A1047" s="210">
        <f t="shared" si="1"/>
        <v>1045</v>
      </c>
      <c r="B1047" s="217"/>
      <c r="C1047" s="217" t="str">
        <f>IFERROR(VLOOKUP(B1047, SourceData!$U$3:$V$190, 2, FALSE), "")</f>
        <v/>
      </c>
      <c r="D1047" s="240"/>
      <c r="E1047" s="241"/>
      <c r="F1047" s="248"/>
      <c r="G1047" s="207"/>
      <c r="H1047" s="209"/>
      <c r="I1047" s="209"/>
      <c r="J1047" s="209"/>
      <c r="K1047" s="208" t="str">
        <f>IF(Errors!$I1047=0,SourceData!$B$42,VLOOKUP(Errors!$I1047,SourceData!$A$2:$B$40,2,FALSE))</f>
        <v>Please select ERROR CODE column "I"</v>
      </c>
      <c r="L1047" s="207" t="str">
        <f>IF(Errors!$I1047=0,
    'List of Error Codes'!$E$29,
    IFERROR(VLOOKUP(Errors!$I1047, 'List of Error Codes'!D1046:I1076, 6, FALSE), 'List of Error Codes'!$E$29)
)</f>
        <v>Please select ERROR CODE column "I"</v>
      </c>
      <c r="M1047" s="209"/>
      <c r="N1047" s="209"/>
      <c r="O1047" s="209"/>
      <c r="P1047" s="209"/>
      <c r="Q1047" s="209"/>
      <c r="R1047" s="217"/>
      <c r="S1047" s="217"/>
      <c r="T1047" s="217"/>
      <c r="U1047" s="199"/>
      <c r="V1047" s="200"/>
      <c r="W1047" s="200"/>
      <c r="X1047" s="200"/>
      <c r="Y1047" s="200"/>
      <c r="Z1047" s="200"/>
      <c r="AA1047" s="201"/>
      <c r="AB1047" s="200"/>
      <c r="AC1047" s="200"/>
    </row>
    <row r="1048" ht="15.75" customHeight="1">
      <c r="A1048" s="210">
        <f t="shared" si="1"/>
        <v>1046</v>
      </c>
      <c r="B1048" s="217"/>
      <c r="C1048" s="217" t="str">
        <f>IFERROR(VLOOKUP(B1048, SourceData!$U$3:$V$190, 2, FALSE), "")</f>
        <v/>
      </c>
      <c r="D1048" s="240"/>
      <c r="E1048" s="241"/>
      <c r="F1048" s="248"/>
      <c r="G1048" s="207"/>
      <c r="H1048" s="209"/>
      <c r="I1048" s="209"/>
      <c r="J1048" s="209"/>
      <c r="K1048" s="208" t="str">
        <f>IF(Errors!$I1048=0,SourceData!$B$42,VLOOKUP(Errors!$I1048,SourceData!$A$2:$B$40,2,FALSE))</f>
        <v>Please select ERROR CODE column "I"</v>
      </c>
      <c r="L1048" s="207" t="str">
        <f>IF(Errors!$I1048=0,
    'List of Error Codes'!$E$29,
    IFERROR(VLOOKUP(Errors!$I1048, 'List of Error Codes'!D1047:I1077, 6, FALSE), 'List of Error Codes'!$E$29)
)</f>
        <v>Please select ERROR CODE column "I"</v>
      </c>
      <c r="M1048" s="209"/>
      <c r="N1048" s="209"/>
      <c r="O1048" s="209"/>
      <c r="P1048" s="209"/>
      <c r="Q1048" s="209"/>
      <c r="R1048" s="217"/>
      <c r="S1048" s="217"/>
      <c r="T1048" s="217"/>
      <c r="U1048" s="199"/>
      <c r="V1048" s="200"/>
      <c r="W1048" s="200"/>
      <c r="X1048" s="200"/>
      <c r="Y1048" s="200"/>
      <c r="Z1048" s="200"/>
      <c r="AA1048" s="201"/>
      <c r="AB1048" s="200"/>
      <c r="AC1048" s="200"/>
    </row>
    <row r="1049" ht="15.75" customHeight="1">
      <c r="A1049" s="210">
        <f t="shared" si="1"/>
        <v>1047</v>
      </c>
      <c r="B1049" s="217"/>
      <c r="C1049" s="217" t="str">
        <f>IFERROR(VLOOKUP(B1049, SourceData!$U$3:$V$190, 2, FALSE), "")</f>
        <v/>
      </c>
      <c r="D1049" s="240"/>
      <c r="E1049" s="241"/>
      <c r="F1049" s="248"/>
      <c r="G1049" s="207"/>
      <c r="H1049" s="209"/>
      <c r="I1049" s="209"/>
      <c r="J1049" s="209"/>
      <c r="K1049" s="208" t="str">
        <f>IF(Errors!$I1049=0,SourceData!$B$42,VLOOKUP(Errors!$I1049,SourceData!$A$2:$B$40,2,FALSE))</f>
        <v>Please select ERROR CODE column "I"</v>
      </c>
      <c r="L1049" s="207" t="str">
        <f>IF(Errors!$I1049=0,
    'List of Error Codes'!$E$29,
    IFERROR(VLOOKUP(Errors!$I1049, 'List of Error Codes'!D1048:I1078, 6, FALSE), 'List of Error Codes'!$E$29)
)</f>
        <v>Please select ERROR CODE column "I"</v>
      </c>
      <c r="M1049" s="209"/>
      <c r="N1049" s="209"/>
      <c r="O1049" s="209"/>
      <c r="P1049" s="209"/>
      <c r="Q1049" s="209"/>
      <c r="R1049" s="217"/>
      <c r="S1049" s="217"/>
      <c r="T1049" s="217"/>
      <c r="U1049" s="199"/>
      <c r="V1049" s="200"/>
      <c r="W1049" s="200"/>
      <c r="X1049" s="200"/>
      <c r="Y1049" s="200"/>
      <c r="Z1049" s="200"/>
      <c r="AA1049" s="201"/>
      <c r="AB1049" s="200"/>
      <c r="AC1049" s="200"/>
    </row>
    <row r="1050" ht="15.75" customHeight="1">
      <c r="A1050" s="210">
        <f t="shared" si="1"/>
        <v>1048</v>
      </c>
      <c r="B1050" s="217"/>
      <c r="C1050" s="217" t="str">
        <f>IFERROR(VLOOKUP(B1050, SourceData!$U$3:$V$190, 2, FALSE), "")</f>
        <v/>
      </c>
      <c r="D1050" s="240"/>
      <c r="E1050" s="241"/>
      <c r="F1050" s="248"/>
      <c r="G1050" s="207"/>
      <c r="H1050" s="209"/>
      <c r="I1050" s="209"/>
      <c r="J1050" s="209"/>
      <c r="K1050" s="208" t="str">
        <f>IF(Errors!$I1050=0,SourceData!$B$42,VLOOKUP(Errors!$I1050,SourceData!$A$2:$B$40,2,FALSE))</f>
        <v>Please select ERROR CODE column "I"</v>
      </c>
      <c r="L1050" s="207" t="str">
        <f>IF(Errors!$I1050=0,
    'List of Error Codes'!$E$29,
    IFERROR(VLOOKUP(Errors!$I1050, 'List of Error Codes'!D1049:I1079, 6, FALSE), 'List of Error Codes'!$E$29)
)</f>
        <v>Please select ERROR CODE column "I"</v>
      </c>
      <c r="M1050" s="209"/>
      <c r="N1050" s="209"/>
      <c r="O1050" s="209"/>
      <c r="P1050" s="209"/>
      <c r="Q1050" s="209"/>
      <c r="R1050" s="217"/>
      <c r="S1050" s="217"/>
      <c r="T1050" s="217"/>
      <c r="U1050" s="199"/>
      <c r="V1050" s="200"/>
      <c r="W1050" s="200"/>
      <c r="X1050" s="200"/>
      <c r="Y1050" s="200"/>
      <c r="Z1050" s="200"/>
      <c r="AA1050" s="201"/>
      <c r="AB1050" s="200"/>
      <c r="AC1050" s="200"/>
    </row>
    <row r="1051" ht="15.75" customHeight="1">
      <c r="A1051" s="210">
        <f t="shared" si="1"/>
        <v>1049</v>
      </c>
      <c r="B1051" s="217"/>
      <c r="C1051" s="217" t="str">
        <f>IFERROR(VLOOKUP(B1051, SourceData!$U$3:$V$190, 2, FALSE), "")</f>
        <v/>
      </c>
      <c r="D1051" s="240"/>
      <c r="E1051" s="241"/>
      <c r="F1051" s="248"/>
      <c r="G1051" s="207"/>
      <c r="H1051" s="209"/>
      <c r="I1051" s="209"/>
      <c r="J1051" s="209"/>
      <c r="K1051" s="208" t="str">
        <f>IF(Errors!$I1051=0,SourceData!$B$42,VLOOKUP(Errors!$I1051,SourceData!$A$2:$B$40,2,FALSE))</f>
        <v>Please select ERROR CODE column "I"</v>
      </c>
      <c r="L1051" s="207" t="str">
        <f>IF(Errors!$I1051=0,
    'List of Error Codes'!$E$29,
    IFERROR(VLOOKUP(Errors!$I1051, 'List of Error Codes'!D1050:I1080, 6, FALSE), 'List of Error Codes'!$E$29)
)</f>
        <v>Please select ERROR CODE column "I"</v>
      </c>
      <c r="M1051" s="209"/>
      <c r="N1051" s="209"/>
      <c r="O1051" s="209"/>
      <c r="P1051" s="209"/>
      <c r="Q1051" s="209"/>
      <c r="R1051" s="217"/>
      <c r="S1051" s="217"/>
      <c r="T1051" s="217"/>
      <c r="U1051" s="199"/>
      <c r="V1051" s="200"/>
      <c r="W1051" s="200"/>
      <c r="X1051" s="200"/>
      <c r="Y1051" s="200"/>
      <c r="Z1051" s="200"/>
      <c r="AA1051" s="201"/>
      <c r="AB1051" s="200"/>
      <c r="AC1051" s="200"/>
    </row>
    <row r="1052" ht="15.75" customHeight="1">
      <c r="A1052" s="210">
        <f t="shared" si="1"/>
        <v>1050</v>
      </c>
      <c r="B1052" s="217"/>
      <c r="C1052" s="217" t="str">
        <f>IFERROR(VLOOKUP(B1052, SourceData!$U$3:$V$190, 2, FALSE), "")</f>
        <v/>
      </c>
      <c r="D1052" s="240"/>
      <c r="E1052" s="241"/>
      <c r="F1052" s="248"/>
      <c r="G1052" s="207"/>
      <c r="H1052" s="209"/>
      <c r="I1052" s="209"/>
      <c r="J1052" s="209"/>
      <c r="K1052" s="208" t="str">
        <f>IF(Errors!$I1052=0,SourceData!$B$42,VLOOKUP(Errors!$I1052,SourceData!$A$2:$B$40,2,FALSE))</f>
        <v>Please select ERROR CODE column "I"</v>
      </c>
      <c r="L1052" s="207" t="str">
        <f>IF(Errors!$I1052=0,
    'List of Error Codes'!$E$29,
    IFERROR(VLOOKUP(Errors!$I1052, 'List of Error Codes'!D1051:I1081, 6, FALSE), 'List of Error Codes'!$E$29)
)</f>
        <v>Please select ERROR CODE column "I"</v>
      </c>
      <c r="M1052" s="209"/>
      <c r="N1052" s="209"/>
      <c r="O1052" s="209"/>
      <c r="P1052" s="209"/>
      <c r="Q1052" s="209"/>
      <c r="R1052" s="217"/>
      <c r="S1052" s="217"/>
      <c r="T1052" s="217"/>
      <c r="U1052" s="199"/>
      <c r="V1052" s="200"/>
      <c r="W1052" s="200"/>
      <c r="X1052" s="200"/>
      <c r="Y1052" s="200"/>
      <c r="Z1052" s="200"/>
      <c r="AA1052" s="201"/>
      <c r="AB1052" s="200"/>
      <c r="AC1052" s="200"/>
    </row>
    <row r="1053" ht="15.75" customHeight="1">
      <c r="A1053" s="210">
        <f t="shared" si="1"/>
        <v>1051</v>
      </c>
      <c r="B1053" s="217"/>
      <c r="C1053" s="217" t="str">
        <f>IFERROR(VLOOKUP(B1053, SourceData!$U$3:$V$190, 2, FALSE), "")</f>
        <v/>
      </c>
      <c r="D1053" s="240"/>
      <c r="E1053" s="241"/>
      <c r="F1053" s="248"/>
      <c r="G1053" s="207"/>
      <c r="H1053" s="209"/>
      <c r="I1053" s="209"/>
      <c r="J1053" s="209"/>
      <c r="K1053" s="208" t="str">
        <f>IF(Errors!$I1053=0,SourceData!$B$42,VLOOKUP(Errors!$I1053,SourceData!$A$2:$B$40,2,FALSE))</f>
        <v>Please select ERROR CODE column "I"</v>
      </c>
      <c r="L1053" s="207" t="str">
        <f>IF(Errors!$I1053=0,
    'List of Error Codes'!$E$29,
    IFERROR(VLOOKUP(Errors!$I1053, 'List of Error Codes'!D1052:I1082, 6, FALSE), 'List of Error Codes'!$E$29)
)</f>
        <v>Please select ERROR CODE column "I"</v>
      </c>
      <c r="M1053" s="209"/>
      <c r="N1053" s="209"/>
      <c r="O1053" s="209"/>
      <c r="P1053" s="209"/>
      <c r="Q1053" s="209"/>
      <c r="R1053" s="217"/>
      <c r="S1053" s="217"/>
      <c r="T1053" s="217"/>
      <c r="U1053" s="199"/>
      <c r="V1053" s="200"/>
      <c r="W1053" s="200"/>
      <c r="X1053" s="200"/>
      <c r="Y1053" s="200"/>
      <c r="Z1053" s="200"/>
      <c r="AA1053" s="201"/>
      <c r="AB1053" s="200"/>
      <c r="AC1053" s="200"/>
    </row>
    <row r="1054" ht="15.75" customHeight="1">
      <c r="A1054" s="210">
        <f t="shared" si="1"/>
        <v>1052</v>
      </c>
      <c r="B1054" s="217"/>
      <c r="C1054" s="217" t="str">
        <f>IFERROR(VLOOKUP(B1054, SourceData!$U$3:$V$190, 2, FALSE), "")</f>
        <v/>
      </c>
      <c r="D1054" s="240"/>
      <c r="E1054" s="241"/>
      <c r="F1054" s="248"/>
      <c r="G1054" s="207"/>
      <c r="H1054" s="209"/>
      <c r="I1054" s="209"/>
      <c r="J1054" s="209"/>
      <c r="K1054" s="208" t="str">
        <f>IF(Errors!$I1054=0,SourceData!$B$42,VLOOKUP(Errors!$I1054,SourceData!$A$2:$B$40,2,FALSE))</f>
        <v>Please select ERROR CODE column "I"</v>
      </c>
      <c r="L1054" s="207" t="str">
        <f>IF(Errors!$I1054=0,
    'List of Error Codes'!$E$29,
    IFERROR(VLOOKUP(Errors!$I1054, 'List of Error Codes'!D1053:I1083, 6, FALSE), 'List of Error Codes'!$E$29)
)</f>
        <v>Please select ERROR CODE column "I"</v>
      </c>
      <c r="M1054" s="209"/>
      <c r="N1054" s="209"/>
      <c r="O1054" s="209"/>
      <c r="P1054" s="209"/>
      <c r="Q1054" s="209"/>
      <c r="R1054" s="217"/>
      <c r="S1054" s="217"/>
      <c r="T1054" s="217"/>
      <c r="U1054" s="199"/>
      <c r="V1054" s="200"/>
      <c r="W1054" s="200"/>
      <c r="X1054" s="200"/>
      <c r="Y1054" s="200"/>
      <c r="Z1054" s="200"/>
      <c r="AA1054" s="201"/>
      <c r="AB1054" s="200"/>
      <c r="AC1054" s="200"/>
    </row>
    <row r="1055" ht="15.75" customHeight="1">
      <c r="A1055" s="210">
        <f t="shared" si="1"/>
        <v>1053</v>
      </c>
      <c r="B1055" s="217"/>
      <c r="C1055" s="217" t="str">
        <f>IFERROR(VLOOKUP(B1055, SourceData!$U$3:$V$190, 2, FALSE), "")</f>
        <v/>
      </c>
      <c r="D1055" s="240"/>
      <c r="E1055" s="241"/>
      <c r="F1055" s="248"/>
      <c r="G1055" s="207"/>
      <c r="H1055" s="209"/>
      <c r="I1055" s="209"/>
      <c r="J1055" s="209"/>
      <c r="K1055" s="208" t="str">
        <f>IF(Errors!$I1055=0,SourceData!$B$42,VLOOKUP(Errors!$I1055,SourceData!$A$2:$B$40,2,FALSE))</f>
        <v>Please select ERROR CODE column "I"</v>
      </c>
      <c r="L1055" s="207" t="str">
        <f>IF(Errors!$I1055=0,
    'List of Error Codes'!$E$29,
    IFERROR(VLOOKUP(Errors!$I1055, 'List of Error Codes'!D1054:I1084, 6, FALSE), 'List of Error Codes'!$E$29)
)</f>
        <v>Please select ERROR CODE column "I"</v>
      </c>
      <c r="M1055" s="209"/>
      <c r="N1055" s="209"/>
      <c r="O1055" s="209"/>
      <c r="P1055" s="209"/>
      <c r="Q1055" s="209"/>
      <c r="R1055" s="217"/>
      <c r="S1055" s="217"/>
      <c r="T1055" s="217"/>
      <c r="U1055" s="199"/>
      <c r="V1055" s="200"/>
      <c r="W1055" s="200"/>
      <c r="X1055" s="200"/>
      <c r="Y1055" s="200"/>
      <c r="Z1055" s="200"/>
      <c r="AA1055" s="201"/>
      <c r="AB1055" s="200"/>
      <c r="AC1055" s="200"/>
    </row>
    <row r="1056" ht="15.75" customHeight="1">
      <c r="A1056" s="210">
        <f t="shared" si="1"/>
        <v>1054</v>
      </c>
      <c r="B1056" s="217"/>
      <c r="C1056" s="217" t="str">
        <f>IFERROR(VLOOKUP(B1056, SourceData!$U$3:$V$190, 2, FALSE), "")</f>
        <v/>
      </c>
      <c r="D1056" s="240"/>
      <c r="E1056" s="241"/>
      <c r="F1056" s="248"/>
      <c r="G1056" s="207"/>
      <c r="H1056" s="209"/>
      <c r="I1056" s="209"/>
      <c r="J1056" s="209"/>
      <c r="K1056" s="208" t="str">
        <f>IF(Errors!$I1056=0,SourceData!$B$42,VLOOKUP(Errors!$I1056,SourceData!$A$2:$B$40,2,FALSE))</f>
        <v>Please select ERROR CODE column "I"</v>
      </c>
      <c r="L1056" s="207" t="str">
        <f>IF(Errors!$I1056=0,
    'List of Error Codes'!$E$29,
    IFERROR(VLOOKUP(Errors!$I1056, 'List of Error Codes'!D1055:I1085, 6, FALSE), 'List of Error Codes'!$E$29)
)</f>
        <v>Please select ERROR CODE column "I"</v>
      </c>
      <c r="M1056" s="209"/>
      <c r="N1056" s="209"/>
      <c r="O1056" s="209"/>
      <c r="P1056" s="209"/>
      <c r="Q1056" s="209"/>
      <c r="R1056" s="217"/>
      <c r="S1056" s="217"/>
      <c r="T1056" s="217"/>
      <c r="U1056" s="199"/>
      <c r="V1056" s="200"/>
      <c r="W1056" s="200"/>
      <c r="X1056" s="200"/>
      <c r="Y1056" s="200"/>
      <c r="Z1056" s="200"/>
      <c r="AA1056" s="201"/>
      <c r="AB1056" s="200"/>
      <c r="AC1056" s="200"/>
    </row>
    <row r="1057" ht="15.75" customHeight="1">
      <c r="A1057" s="210">
        <f t="shared" si="1"/>
        <v>1055</v>
      </c>
      <c r="B1057" s="217"/>
      <c r="C1057" s="217" t="str">
        <f>IFERROR(VLOOKUP(B1057, SourceData!$U$3:$V$190, 2, FALSE), "")</f>
        <v/>
      </c>
      <c r="D1057" s="240"/>
      <c r="E1057" s="241"/>
      <c r="F1057" s="248"/>
      <c r="G1057" s="207"/>
      <c r="H1057" s="209"/>
      <c r="I1057" s="209"/>
      <c r="J1057" s="209"/>
      <c r="K1057" s="208" t="str">
        <f>IF(Errors!$I1057=0,SourceData!$B$42,VLOOKUP(Errors!$I1057,SourceData!$A$2:$B$40,2,FALSE))</f>
        <v>Please select ERROR CODE column "I"</v>
      </c>
      <c r="L1057" s="207" t="str">
        <f>IF(Errors!$I1057=0,
    'List of Error Codes'!$E$29,
    IFERROR(VLOOKUP(Errors!$I1057, 'List of Error Codes'!D1056:I1086, 6, FALSE), 'List of Error Codes'!$E$29)
)</f>
        <v>Please select ERROR CODE column "I"</v>
      </c>
      <c r="M1057" s="209"/>
      <c r="N1057" s="209"/>
      <c r="O1057" s="209"/>
      <c r="P1057" s="209"/>
      <c r="Q1057" s="209"/>
      <c r="R1057" s="217"/>
      <c r="S1057" s="217"/>
      <c r="T1057" s="217"/>
      <c r="U1057" s="199"/>
      <c r="V1057" s="200"/>
      <c r="W1057" s="200"/>
      <c r="X1057" s="200"/>
      <c r="Y1057" s="200"/>
      <c r="Z1057" s="200"/>
      <c r="AA1057" s="201"/>
      <c r="AB1057" s="200"/>
      <c r="AC1057" s="200"/>
    </row>
    <row r="1058" ht="15.75" customHeight="1">
      <c r="A1058" s="210">
        <f t="shared" si="1"/>
        <v>1056</v>
      </c>
      <c r="B1058" s="217"/>
      <c r="C1058" s="217" t="str">
        <f>IFERROR(VLOOKUP(B1058, SourceData!$U$3:$V$190, 2, FALSE), "")</f>
        <v/>
      </c>
      <c r="D1058" s="240"/>
      <c r="E1058" s="241"/>
      <c r="F1058" s="248"/>
      <c r="G1058" s="207"/>
      <c r="H1058" s="209"/>
      <c r="I1058" s="209"/>
      <c r="J1058" s="209"/>
      <c r="K1058" s="208" t="str">
        <f>IF(Errors!$I1058=0,SourceData!$B$42,VLOOKUP(Errors!$I1058,SourceData!$A$2:$B$40,2,FALSE))</f>
        <v>Please select ERROR CODE column "I"</v>
      </c>
      <c r="L1058" s="207" t="str">
        <f>IF(Errors!$I1058=0,
    'List of Error Codes'!$E$29,
    IFERROR(VLOOKUP(Errors!$I1058, 'List of Error Codes'!D1057:I1087, 6, FALSE), 'List of Error Codes'!$E$29)
)</f>
        <v>Please select ERROR CODE column "I"</v>
      </c>
      <c r="M1058" s="209"/>
      <c r="N1058" s="209"/>
      <c r="O1058" s="209"/>
      <c r="P1058" s="209"/>
      <c r="Q1058" s="209"/>
      <c r="R1058" s="217"/>
      <c r="S1058" s="217"/>
      <c r="T1058" s="217"/>
      <c r="U1058" s="199"/>
      <c r="V1058" s="200"/>
      <c r="W1058" s="200"/>
      <c r="X1058" s="200"/>
      <c r="Y1058" s="200"/>
      <c r="Z1058" s="200"/>
      <c r="AA1058" s="201"/>
      <c r="AB1058" s="200"/>
      <c r="AC1058" s="200"/>
    </row>
    <row r="1059" ht="15.75" customHeight="1">
      <c r="A1059" s="210">
        <f t="shared" si="1"/>
        <v>1057</v>
      </c>
      <c r="B1059" s="217"/>
      <c r="C1059" s="217" t="str">
        <f>IFERROR(VLOOKUP(B1059, SourceData!$U$3:$V$190, 2, FALSE), "")</f>
        <v/>
      </c>
      <c r="D1059" s="240"/>
      <c r="E1059" s="241"/>
      <c r="F1059" s="248"/>
      <c r="G1059" s="207"/>
      <c r="H1059" s="209"/>
      <c r="I1059" s="209"/>
      <c r="J1059" s="209"/>
      <c r="K1059" s="208" t="str">
        <f>IF(Errors!$I1059=0,SourceData!$B$42,VLOOKUP(Errors!$I1059,SourceData!$A$2:$B$40,2,FALSE))</f>
        <v>Please select ERROR CODE column "I"</v>
      </c>
      <c r="L1059" s="207" t="str">
        <f>IF(Errors!$I1059=0,
    'List of Error Codes'!$E$29,
    IFERROR(VLOOKUP(Errors!$I1059, 'List of Error Codes'!D1058:I1088, 6, FALSE), 'List of Error Codes'!$E$29)
)</f>
        <v>Please select ERROR CODE column "I"</v>
      </c>
      <c r="M1059" s="209"/>
      <c r="N1059" s="209"/>
      <c r="O1059" s="209"/>
      <c r="P1059" s="209"/>
      <c r="Q1059" s="209"/>
      <c r="R1059" s="217"/>
      <c r="S1059" s="217"/>
      <c r="T1059" s="217"/>
      <c r="U1059" s="199"/>
      <c r="V1059" s="200"/>
      <c r="W1059" s="200"/>
      <c r="X1059" s="200"/>
      <c r="Y1059" s="200"/>
      <c r="Z1059" s="200"/>
      <c r="AA1059" s="201"/>
      <c r="AB1059" s="200"/>
      <c r="AC1059" s="200"/>
    </row>
    <row r="1060" ht="15.75" customHeight="1">
      <c r="A1060" s="210">
        <f t="shared" si="1"/>
        <v>1058</v>
      </c>
      <c r="B1060" s="217"/>
      <c r="C1060" s="217" t="str">
        <f>IFERROR(VLOOKUP(B1060, SourceData!$U$3:$V$190, 2, FALSE), "")</f>
        <v/>
      </c>
      <c r="D1060" s="240"/>
      <c r="E1060" s="241"/>
      <c r="F1060" s="248"/>
      <c r="G1060" s="207"/>
      <c r="H1060" s="209"/>
      <c r="I1060" s="209"/>
      <c r="J1060" s="209"/>
      <c r="K1060" s="208" t="str">
        <f>IF(Errors!$I1060=0,SourceData!$B$42,VLOOKUP(Errors!$I1060,SourceData!$A$2:$B$40,2,FALSE))</f>
        <v>Please select ERROR CODE column "I"</v>
      </c>
      <c r="L1060" s="207" t="str">
        <f>IF(Errors!$I1060=0,
    'List of Error Codes'!$E$29,
    IFERROR(VLOOKUP(Errors!$I1060, 'List of Error Codes'!D1059:I1089, 6, FALSE), 'List of Error Codes'!$E$29)
)</f>
        <v>Please select ERROR CODE column "I"</v>
      </c>
      <c r="M1060" s="209"/>
      <c r="N1060" s="209"/>
      <c r="O1060" s="209"/>
      <c r="P1060" s="209"/>
      <c r="Q1060" s="209"/>
      <c r="R1060" s="217"/>
      <c r="S1060" s="217"/>
      <c r="T1060" s="217"/>
      <c r="U1060" s="199"/>
      <c r="V1060" s="200"/>
      <c r="W1060" s="200"/>
      <c r="X1060" s="200"/>
      <c r="Y1060" s="200"/>
      <c r="Z1060" s="200"/>
      <c r="AA1060" s="201"/>
      <c r="AB1060" s="200"/>
      <c r="AC1060" s="200"/>
    </row>
    <row r="1061" ht="15.75" customHeight="1">
      <c r="A1061" s="210">
        <f t="shared" si="1"/>
        <v>1059</v>
      </c>
      <c r="B1061" s="217"/>
      <c r="C1061" s="217" t="str">
        <f>IFERROR(VLOOKUP(B1061, SourceData!$U$3:$V$190, 2, FALSE), "")</f>
        <v/>
      </c>
      <c r="D1061" s="240"/>
      <c r="E1061" s="241"/>
      <c r="F1061" s="248"/>
      <c r="G1061" s="207"/>
      <c r="H1061" s="209"/>
      <c r="I1061" s="209"/>
      <c r="J1061" s="209"/>
      <c r="K1061" s="208" t="str">
        <f>IF(Errors!$I1061=0,SourceData!$B$42,VLOOKUP(Errors!$I1061,SourceData!$A$2:$B$40,2,FALSE))</f>
        <v>Please select ERROR CODE column "I"</v>
      </c>
      <c r="L1061" s="207" t="str">
        <f>IF(Errors!$I1061=0,
    'List of Error Codes'!$E$29,
    IFERROR(VLOOKUP(Errors!$I1061, 'List of Error Codes'!D1060:I1090, 6, FALSE), 'List of Error Codes'!$E$29)
)</f>
        <v>Please select ERROR CODE column "I"</v>
      </c>
      <c r="M1061" s="209"/>
      <c r="N1061" s="209"/>
      <c r="O1061" s="209"/>
      <c r="P1061" s="209"/>
      <c r="Q1061" s="209"/>
      <c r="R1061" s="217"/>
      <c r="S1061" s="217"/>
      <c r="T1061" s="217"/>
      <c r="U1061" s="199"/>
      <c r="V1061" s="200"/>
      <c r="W1061" s="200"/>
      <c r="X1061" s="200"/>
      <c r="Y1061" s="200"/>
      <c r="Z1061" s="200"/>
      <c r="AA1061" s="201"/>
      <c r="AB1061" s="200"/>
      <c r="AC1061" s="200"/>
    </row>
    <row r="1062" ht="15.75" customHeight="1">
      <c r="A1062" s="210">
        <f t="shared" si="1"/>
        <v>1060</v>
      </c>
      <c r="B1062" s="217"/>
      <c r="C1062" s="217" t="str">
        <f>IFERROR(VLOOKUP(B1062, SourceData!$U$3:$V$190, 2, FALSE), "")</f>
        <v/>
      </c>
      <c r="D1062" s="240"/>
      <c r="E1062" s="241"/>
      <c r="F1062" s="248"/>
      <c r="G1062" s="207"/>
      <c r="H1062" s="209"/>
      <c r="I1062" s="209"/>
      <c r="J1062" s="209"/>
      <c r="K1062" s="208" t="str">
        <f>IF(Errors!$I1062=0,SourceData!$B$42,VLOOKUP(Errors!$I1062,SourceData!$A$2:$B$40,2,FALSE))</f>
        <v>Please select ERROR CODE column "I"</v>
      </c>
      <c r="L1062" s="207" t="str">
        <f>IF(Errors!$I1062=0,
    'List of Error Codes'!$E$29,
    IFERROR(VLOOKUP(Errors!$I1062, 'List of Error Codes'!D1061:I1091, 6, FALSE), 'List of Error Codes'!$E$29)
)</f>
        <v>Please select ERROR CODE column "I"</v>
      </c>
      <c r="M1062" s="209"/>
      <c r="N1062" s="209"/>
      <c r="O1062" s="209"/>
      <c r="P1062" s="209"/>
      <c r="Q1062" s="209"/>
      <c r="R1062" s="217"/>
      <c r="S1062" s="217"/>
      <c r="T1062" s="217"/>
      <c r="U1062" s="199"/>
      <c r="V1062" s="200"/>
      <c r="W1062" s="200"/>
      <c r="X1062" s="200"/>
      <c r="Y1062" s="200"/>
      <c r="Z1062" s="200"/>
      <c r="AA1062" s="201"/>
      <c r="AB1062" s="200"/>
      <c r="AC1062" s="200"/>
    </row>
    <row r="1063" ht="15.75" customHeight="1">
      <c r="A1063" s="210">
        <f t="shared" si="1"/>
        <v>1061</v>
      </c>
      <c r="B1063" s="217"/>
      <c r="C1063" s="217" t="str">
        <f>IFERROR(VLOOKUP(B1063, SourceData!$U$3:$V$190, 2, FALSE), "")</f>
        <v/>
      </c>
      <c r="D1063" s="240"/>
      <c r="E1063" s="241"/>
      <c r="F1063" s="248"/>
      <c r="G1063" s="207"/>
      <c r="H1063" s="209"/>
      <c r="I1063" s="209"/>
      <c r="J1063" s="209"/>
      <c r="K1063" s="208" t="str">
        <f>IF(Errors!$I1063=0,SourceData!$B$42,VLOOKUP(Errors!$I1063,SourceData!$A$2:$B$40,2,FALSE))</f>
        <v>Please select ERROR CODE column "I"</v>
      </c>
      <c r="L1063" s="207" t="str">
        <f>IF(Errors!$I1063=0,
    'List of Error Codes'!$E$29,
    IFERROR(VLOOKUP(Errors!$I1063, 'List of Error Codes'!D1062:I1092, 6, FALSE), 'List of Error Codes'!$E$29)
)</f>
        <v>Please select ERROR CODE column "I"</v>
      </c>
      <c r="M1063" s="209"/>
      <c r="N1063" s="209"/>
      <c r="O1063" s="209"/>
      <c r="P1063" s="209"/>
      <c r="Q1063" s="209"/>
      <c r="R1063" s="217"/>
      <c r="S1063" s="217"/>
      <c r="T1063" s="217"/>
      <c r="U1063" s="199"/>
      <c r="V1063" s="200"/>
      <c r="W1063" s="200"/>
      <c r="X1063" s="200"/>
      <c r="Y1063" s="200"/>
      <c r="Z1063" s="200"/>
      <c r="AA1063" s="201"/>
      <c r="AB1063" s="200"/>
      <c r="AC1063" s="200"/>
    </row>
    <row r="1064" ht="15.75" customHeight="1">
      <c r="A1064" s="210">
        <f t="shared" si="1"/>
        <v>1062</v>
      </c>
      <c r="B1064" s="217"/>
      <c r="C1064" s="217" t="str">
        <f>IFERROR(VLOOKUP(B1064, SourceData!$U$3:$V$190, 2, FALSE), "")</f>
        <v/>
      </c>
      <c r="D1064" s="240"/>
      <c r="E1064" s="241"/>
      <c r="F1064" s="248"/>
      <c r="G1064" s="207"/>
      <c r="H1064" s="209"/>
      <c r="I1064" s="209"/>
      <c r="J1064" s="209"/>
      <c r="K1064" s="208" t="str">
        <f>IF(Errors!$I1064=0,SourceData!$B$42,VLOOKUP(Errors!$I1064,SourceData!$A$2:$B$40,2,FALSE))</f>
        <v>Please select ERROR CODE column "I"</v>
      </c>
      <c r="L1064" s="207" t="str">
        <f>IF(Errors!$I1064=0,
    'List of Error Codes'!$E$29,
    IFERROR(VLOOKUP(Errors!$I1064, 'List of Error Codes'!D1063:I1093, 6, FALSE), 'List of Error Codes'!$E$29)
)</f>
        <v>Please select ERROR CODE column "I"</v>
      </c>
      <c r="M1064" s="209"/>
      <c r="N1064" s="209"/>
      <c r="O1064" s="209"/>
      <c r="P1064" s="209"/>
      <c r="Q1064" s="209"/>
      <c r="R1064" s="217"/>
      <c r="S1064" s="217"/>
      <c r="T1064" s="217"/>
      <c r="U1064" s="199"/>
      <c r="V1064" s="200"/>
      <c r="W1064" s="200"/>
      <c r="X1064" s="200"/>
      <c r="Y1064" s="200"/>
      <c r="Z1064" s="200"/>
      <c r="AA1064" s="201"/>
      <c r="AB1064" s="200"/>
      <c r="AC1064" s="200"/>
    </row>
    <row r="1065" ht="15.75" customHeight="1">
      <c r="A1065" s="210">
        <f t="shared" si="1"/>
        <v>1063</v>
      </c>
      <c r="B1065" s="217"/>
      <c r="C1065" s="217" t="str">
        <f>IFERROR(VLOOKUP(B1065, SourceData!$U$3:$V$190, 2, FALSE), "")</f>
        <v/>
      </c>
      <c r="D1065" s="240"/>
      <c r="E1065" s="241"/>
      <c r="F1065" s="248"/>
      <c r="G1065" s="207"/>
      <c r="H1065" s="209"/>
      <c r="I1065" s="209"/>
      <c r="J1065" s="209"/>
      <c r="K1065" s="208" t="str">
        <f>IF(Errors!$I1065=0,SourceData!$B$42,VLOOKUP(Errors!$I1065,SourceData!$A$2:$B$40,2,FALSE))</f>
        <v>Please select ERROR CODE column "I"</v>
      </c>
      <c r="L1065" s="207" t="str">
        <f>IF(Errors!$I1065=0,
    'List of Error Codes'!$E$29,
    IFERROR(VLOOKUP(Errors!$I1065, 'List of Error Codes'!D1064:I1094, 6, FALSE), 'List of Error Codes'!$E$29)
)</f>
        <v>Please select ERROR CODE column "I"</v>
      </c>
      <c r="M1065" s="209"/>
      <c r="N1065" s="209"/>
      <c r="O1065" s="209"/>
      <c r="P1065" s="209"/>
      <c r="Q1065" s="209"/>
      <c r="R1065" s="217"/>
      <c r="S1065" s="217"/>
      <c r="T1065" s="217"/>
      <c r="U1065" s="199"/>
      <c r="V1065" s="200"/>
      <c r="W1065" s="200"/>
      <c r="X1065" s="200"/>
      <c r="Y1065" s="200"/>
      <c r="Z1065" s="200"/>
      <c r="AA1065" s="201"/>
      <c r="AB1065" s="200"/>
      <c r="AC1065" s="200"/>
    </row>
    <row r="1066" ht="15.75" customHeight="1">
      <c r="A1066" s="210">
        <f t="shared" si="1"/>
        <v>1064</v>
      </c>
      <c r="B1066" s="217"/>
      <c r="C1066" s="217" t="str">
        <f>IFERROR(VLOOKUP(B1066, SourceData!$U$3:$V$190, 2, FALSE), "")</f>
        <v/>
      </c>
      <c r="D1066" s="240"/>
      <c r="E1066" s="241"/>
      <c r="F1066" s="248"/>
      <c r="G1066" s="207"/>
      <c r="H1066" s="209"/>
      <c r="I1066" s="209"/>
      <c r="J1066" s="209"/>
      <c r="K1066" s="208" t="str">
        <f>IF(Errors!$I1066=0,SourceData!$B$42,VLOOKUP(Errors!$I1066,SourceData!$A$2:$B$40,2,FALSE))</f>
        <v>Please select ERROR CODE column "I"</v>
      </c>
      <c r="L1066" s="207" t="str">
        <f>IF(Errors!$I1066=0,
    'List of Error Codes'!$E$29,
    IFERROR(VLOOKUP(Errors!$I1066, 'List of Error Codes'!D1065:I1095, 6, FALSE), 'List of Error Codes'!$E$29)
)</f>
        <v>Please select ERROR CODE column "I"</v>
      </c>
      <c r="M1066" s="209"/>
      <c r="N1066" s="209"/>
      <c r="O1066" s="209"/>
      <c r="P1066" s="209"/>
      <c r="Q1066" s="209"/>
      <c r="R1066" s="217"/>
      <c r="S1066" s="217"/>
      <c r="T1066" s="217"/>
      <c r="U1066" s="199"/>
      <c r="V1066" s="200"/>
      <c r="W1066" s="200"/>
      <c r="X1066" s="200"/>
      <c r="Y1066" s="200"/>
      <c r="Z1066" s="200"/>
      <c r="AA1066" s="201"/>
      <c r="AB1066" s="200"/>
      <c r="AC1066" s="200"/>
    </row>
    <row r="1067" ht="15.75" customHeight="1">
      <c r="A1067" s="210">
        <f t="shared" si="1"/>
        <v>1065</v>
      </c>
      <c r="B1067" s="217"/>
      <c r="C1067" s="217" t="str">
        <f>IFERROR(VLOOKUP(B1067, SourceData!$U$3:$V$190, 2, FALSE), "")</f>
        <v/>
      </c>
      <c r="D1067" s="240"/>
      <c r="E1067" s="241"/>
      <c r="F1067" s="248"/>
      <c r="G1067" s="207"/>
      <c r="H1067" s="209"/>
      <c r="I1067" s="209"/>
      <c r="J1067" s="209"/>
      <c r="K1067" s="208" t="str">
        <f>IF(Errors!$I1067=0,SourceData!$B$42,VLOOKUP(Errors!$I1067,SourceData!$A$2:$B$40,2,FALSE))</f>
        <v>Please select ERROR CODE column "I"</v>
      </c>
      <c r="L1067" s="207" t="str">
        <f>IF(Errors!$I1067=0,
    'List of Error Codes'!$E$29,
    IFERROR(VLOOKUP(Errors!$I1067, 'List of Error Codes'!D1066:I1096, 6, FALSE), 'List of Error Codes'!$E$29)
)</f>
        <v>Please select ERROR CODE column "I"</v>
      </c>
      <c r="M1067" s="209"/>
      <c r="N1067" s="209"/>
      <c r="O1067" s="209"/>
      <c r="P1067" s="209"/>
      <c r="Q1067" s="209"/>
      <c r="R1067" s="217"/>
      <c r="S1067" s="217"/>
      <c r="T1067" s="217"/>
      <c r="U1067" s="199"/>
      <c r="V1067" s="200"/>
      <c r="W1067" s="200"/>
      <c r="X1067" s="200"/>
      <c r="Y1067" s="200"/>
      <c r="Z1067" s="200"/>
      <c r="AA1067" s="201"/>
      <c r="AB1067" s="200"/>
      <c r="AC1067" s="200"/>
    </row>
    <row r="1068" ht="15.75" customHeight="1">
      <c r="A1068" s="210">
        <f t="shared" si="1"/>
        <v>1066</v>
      </c>
      <c r="B1068" s="217"/>
      <c r="C1068" s="217" t="str">
        <f>IFERROR(VLOOKUP(B1068, SourceData!$U$3:$V$190, 2, FALSE), "")</f>
        <v/>
      </c>
      <c r="D1068" s="240"/>
      <c r="E1068" s="241"/>
      <c r="F1068" s="248"/>
      <c r="G1068" s="207"/>
      <c r="H1068" s="209"/>
      <c r="I1068" s="209"/>
      <c r="J1068" s="209"/>
      <c r="K1068" s="208" t="str">
        <f>IF(Errors!$I1068=0,SourceData!$B$42,VLOOKUP(Errors!$I1068,SourceData!$A$2:$B$40,2,FALSE))</f>
        <v>Please select ERROR CODE column "I"</v>
      </c>
      <c r="L1068" s="207" t="str">
        <f>IF(Errors!$I1068=0,
    'List of Error Codes'!$E$29,
    IFERROR(VLOOKUP(Errors!$I1068, 'List of Error Codes'!D1067:I1097, 6, FALSE), 'List of Error Codes'!$E$29)
)</f>
        <v>Please select ERROR CODE column "I"</v>
      </c>
      <c r="M1068" s="209"/>
      <c r="N1068" s="209"/>
      <c r="O1068" s="209"/>
      <c r="P1068" s="209"/>
      <c r="Q1068" s="209"/>
      <c r="R1068" s="217"/>
      <c r="S1068" s="217"/>
      <c r="T1068" s="217"/>
      <c r="U1068" s="199"/>
      <c r="V1068" s="200"/>
      <c r="W1068" s="200"/>
      <c r="X1068" s="200"/>
      <c r="Y1068" s="200"/>
      <c r="Z1068" s="200"/>
      <c r="AA1068" s="201"/>
      <c r="AB1068" s="200"/>
      <c r="AC1068" s="200"/>
    </row>
    <row r="1069" ht="15.75" customHeight="1">
      <c r="A1069" s="210">
        <f t="shared" si="1"/>
        <v>1067</v>
      </c>
      <c r="B1069" s="217"/>
      <c r="C1069" s="217" t="str">
        <f>IFERROR(VLOOKUP(B1069, SourceData!$U$3:$V$190, 2, FALSE), "")</f>
        <v/>
      </c>
      <c r="D1069" s="240"/>
      <c r="E1069" s="241"/>
      <c r="F1069" s="248"/>
      <c r="G1069" s="207"/>
      <c r="H1069" s="209"/>
      <c r="I1069" s="209"/>
      <c r="J1069" s="209"/>
      <c r="K1069" s="208" t="str">
        <f>IF(Errors!$I1069=0,SourceData!$B$42,VLOOKUP(Errors!$I1069,SourceData!$A$2:$B$40,2,FALSE))</f>
        <v>Please select ERROR CODE column "I"</v>
      </c>
      <c r="L1069" s="207" t="str">
        <f>IF(Errors!$I1069=0,
    'List of Error Codes'!$E$29,
    IFERROR(VLOOKUP(Errors!$I1069, 'List of Error Codes'!D1068:I1098, 6, FALSE), 'List of Error Codes'!$E$29)
)</f>
        <v>Please select ERROR CODE column "I"</v>
      </c>
      <c r="M1069" s="209"/>
      <c r="N1069" s="209"/>
      <c r="O1069" s="209"/>
      <c r="P1069" s="209"/>
      <c r="Q1069" s="209"/>
      <c r="R1069" s="217"/>
      <c r="S1069" s="217"/>
      <c r="T1069" s="217"/>
      <c r="U1069" s="199"/>
      <c r="V1069" s="200"/>
      <c r="W1069" s="200"/>
      <c r="X1069" s="200"/>
      <c r="Y1069" s="200"/>
      <c r="Z1069" s="200"/>
      <c r="AA1069" s="201"/>
      <c r="AB1069" s="200"/>
      <c r="AC1069" s="200"/>
    </row>
    <row r="1070" ht="15.75" customHeight="1">
      <c r="A1070" s="210">
        <f t="shared" si="1"/>
        <v>1068</v>
      </c>
      <c r="B1070" s="217"/>
      <c r="C1070" s="217" t="str">
        <f>IFERROR(VLOOKUP(B1070, SourceData!$U$3:$V$190, 2, FALSE), "")</f>
        <v/>
      </c>
      <c r="D1070" s="240"/>
      <c r="E1070" s="241"/>
      <c r="F1070" s="248"/>
      <c r="G1070" s="207"/>
      <c r="H1070" s="209"/>
      <c r="I1070" s="209"/>
      <c r="J1070" s="209"/>
      <c r="K1070" s="208" t="str">
        <f>IF(Errors!$I1070=0,SourceData!$B$42,VLOOKUP(Errors!$I1070,SourceData!$A$2:$B$40,2,FALSE))</f>
        <v>Please select ERROR CODE column "I"</v>
      </c>
      <c r="L1070" s="207" t="str">
        <f>IF(Errors!$I1070=0,
    'List of Error Codes'!$E$29,
    IFERROR(VLOOKUP(Errors!$I1070, 'List of Error Codes'!D1069:I1099, 6, FALSE), 'List of Error Codes'!$E$29)
)</f>
        <v>Please select ERROR CODE column "I"</v>
      </c>
      <c r="M1070" s="209"/>
      <c r="N1070" s="209"/>
      <c r="O1070" s="209"/>
      <c r="P1070" s="209"/>
      <c r="Q1070" s="209"/>
      <c r="R1070" s="217"/>
      <c r="S1070" s="217"/>
      <c r="T1070" s="217"/>
      <c r="U1070" s="199"/>
      <c r="V1070" s="200"/>
      <c r="W1070" s="200"/>
      <c r="X1070" s="200"/>
      <c r="Y1070" s="200"/>
      <c r="Z1070" s="200"/>
      <c r="AA1070" s="201"/>
      <c r="AB1070" s="200"/>
      <c r="AC1070" s="200"/>
    </row>
    <row r="1071" ht="15.75" customHeight="1">
      <c r="A1071" s="210">
        <f t="shared" si="1"/>
        <v>1069</v>
      </c>
      <c r="B1071" s="217"/>
      <c r="C1071" s="217" t="str">
        <f>IFERROR(VLOOKUP(B1071, SourceData!$U$3:$V$190, 2, FALSE), "")</f>
        <v/>
      </c>
      <c r="D1071" s="240"/>
      <c r="E1071" s="241"/>
      <c r="F1071" s="248"/>
      <c r="G1071" s="207"/>
      <c r="H1071" s="209"/>
      <c r="I1071" s="209"/>
      <c r="J1071" s="209"/>
      <c r="K1071" s="208" t="str">
        <f>IF(Errors!$I1071=0,SourceData!$B$42,VLOOKUP(Errors!$I1071,SourceData!$A$2:$B$40,2,FALSE))</f>
        <v>Please select ERROR CODE column "I"</v>
      </c>
      <c r="L1071" s="207" t="str">
        <f>IF(Errors!$I1071=0,
    'List of Error Codes'!$E$29,
    IFERROR(VLOOKUP(Errors!$I1071, 'List of Error Codes'!D1070:I1100, 6, FALSE), 'List of Error Codes'!$E$29)
)</f>
        <v>Please select ERROR CODE column "I"</v>
      </c>
      <c r="M1071" s="209"/>
      <c r="N1071" s="209"/>
      <c r="O1071" s="209"/>
      <c r="P1071" s="209"/>
      <c r="Q1071" s="209"/>
      <c r="R1071" s="217"/>
      <c r="S1071" s="217"/>
      <c r="T1071" s="217"/>
      <c r="U1071" s="199"/>
      <c r="V1071" s="200"/>
      <c r="W1071" s="200"/>
      <c r="X1071" s="200"/>
      <c r="Y1071" s="200"/>
      <c r="Z1071" s="200"/>
      <c r="AA1071" s="201"/>
      <c r="AB1071" s="200"/>
      <c r="AC1071" s="200"/>
    </row>
    <row r="1072" ht="15.75" customHeight="1">
      <c r="A1072" s="210">
        <f t="shared" si="1"/>
        <v>1070</v>
      </c>
      <c r="B1072" s="217"/>
      <c r="C1072" s="217" t="str">
        <f>IFERROR(VLOOKUP(B1072, SourceData!$U$3:$V$190, 2, FALSE), "")</f>
        <v/>
      </c>
      <c r="D1072" s="240"/>
      <c r="E1072" s="241"/>
      <c r="F1072" s="248"/>
      <c r="G1072" s="207"/>
      <c r="H1072" s="209"/>
      <c r="I1072" s="209"/>
      <c r="J1072" s="209"/>
      <c r="K1072" s="208" t="str">
        <f>IF(Errors!$I1072=0,SourceData!$B$42,VLOOKUP(Errors!$I1072,SourceData!$A$2:$B$40,2,FALSE))</f>
        <v>Please select ERROR CODE column "I"</v>
      </c>
      <c r="L1072" s="207" t="str">
        <f>IF(Errors!$I1072=0,
    'List of Error Codes'!$E$29,
    IFERROR(VLOOKUP(Errors!$I1072, 'List of Error Codes'!D1071:I1101, 6, FALSE), 'List of Error Codes'!$E$29)
)</f>
        <v>Please select ERROR CODE column "I"</v>
      </c>
      <c r="M1072" s="209"/>
      <c r="N1072" s="209"/>
      <c r="O1072" s="209"/>
      <c r="P1072" s="209"/>
      <c r="Q1072" s="209"/>
      <c r="R1072" s="217"/>
      <c r="S1072" s="217"/>
      <c r="T1072" s="217"/>
      <c r="U1072" s="199"/>
      <c r="V1072" s="200"/>
      <c r="W1072" s="200"/>
      <c r="X1072" s="200"/>
      <c r="Y1072" s="200"/>
      <c r="Z1072" s="200"/>
      <c r="AA1072" s="201"/>
      <c r="AB1072" s="200"/>
      <c r="AC1072" s="200"/>
    </row>
    <row r="1073" ht="15.75" customHeight="1">
      <c r="A1073" s="210">
        <f t="shared" si="1"/>
        <v>1071</v>
      </c>
      <c r="B1073" s="217"/>
      <c r="C1073" s="217" t="str">
        <f>IFERROR(VLOOKUP(B1073, SourceData!$U$3:$V$190, 2, FALSE), "")</f>
        <v/>
      </c>
      <c r="D1073" s="240"/>
      <c r="E1073" s="241"/>
      <c r="F1073" s="248"/>
      <c r="G1073" s="207"/>
      <c r="H1073" s="209"/>
      <c r="I1073" s="209"/>
      <c r="J1073" s="209"/>
      <c r="K1073" s="208" t="str">
        <f>IF(Errors!$I1073=0,SourceData!$B$42,VLOOKUP(Errors!$I1073,SourceData!$A$2:$B$40,2,FALSE))</f>
        <v>Please select ERROR CODE column "I"</v>
      </c>
      <c r="L1073" s="207" t="str">
        <f>IF(Errors!$I1073=0,
    'List of Error Codes'!$E$29,
    IFERROR(VLOOKUP(Errors!$I1073, 'List of Error Codes'!D1072:I1102, 6, FALSE), 'List of Error Codes'!$E$29)
)</f>
        <v>Please select ERROR CODE column "I"</v>
      </c>
      <c r="M1073" s="209"/>
      <c r="N1073" s="209"/>
      <c r="O1073" s="209"/>
      <c r="P1073" s="209"/>
      <c r="Q1073" s="209"/>
      <c r="R1073" s="217"/>
      <c r="S1073" s="217"/>
      <c r="T1073" s="217"/>
      <c r="U1073" s="199"/>
      <c r="V1073" s="200"/>
      <c r="W1073" s="200"/>
      <c r="X1073" s="200"/>
      <c r="Y1073" s="200"/>
      <c r="Z1073" s="200"/>
      <c r="AA1073" s="201"/>
      <c r="AB1073" s="200"/>
      <c r="AC1073" s="200"/>
    </row>
    <row r="1074" ht="15.75" customHeight="1">
      <c r="A1074" s="210">
        <f t="shared" si="1"/>
        <v>1072</v>
      </c>
      <c r="B1074" s="217"/>
      <c r="C1074" s="217" t="str">
        <f>IFERROR(VLOOKUP(B1074, SourceData!$U$3:$V$190, 2, FALSE), "")</f>
        <v/>
      </c>
      <c r="D1074" s="240"/>
      <c r="E1074" s="241"/>
      <c r="F1074" s="248"/>
      <c r="G1074" s="207"/>
      <c r="H1074" s="209"/>
      <c r="I1074" s="209"/>
      <c r="J1074" s="209"/>
      <c r="K1074" s="208" t="str">
        <f>IF(Errors!$I1074=0,SourceData!$B$42,VLOOKUP(Errors!$I1074,SourceData!$A$2:$B$40,2,FALSE))</f>
        <v>Please select ERROR CODE column "I"</v>
      </c>
      <c r="L1074" s="207" t="str">
        <f>IF(Errors!$I1074=0,
    'List of Error Codes'!$E$29,
    IFERROR(VLOOKUP(Errors!$I1074, 'List of Error Codes'!D1073:I1103, 6, FALSE), 'List of Error Codes'!$E$29)
)</f>
        <v>Please select ERROR CODE column "I"</v>
      </c>
      <c r="M1074" s="209"/>
      <c r="N1074" s="209"/>
      <c r="O1074" s="209"/>
      <c r="P1074" s="209"/>
      <c r="Q1074" s="209"/>
      <c r="R1074" s="217"/>
      <c r="S1074" s="217"/>
      <c r="T1074" s="217"/>
      <c r="U1074" s="199"/>
      <c r="V1074" s="200"/>
      <c r="W1074" s="200"/>
      <c r="X1074" s="200"/>
      <c r="Y1074" s="200"/>
      <c r="Z1074" s="200"/>
      <c r="AA1074" s="201"/>
      <c r="AB1074" s="200"/>
      <c r="AC1074" s="200"/>
    </row>
    <row r="1075" ht="15.75" customHeight="1">
      <c r="A1075" s="210">
        <f t="shared" si="1"/>
        <v>1073</v>
      </c>
      <c r="B1075" s="217"/>
      <c r="C1075" s="217" t="str">
        <f>IFERROR(VLOOKUP(B1075, SourceData!$U$3:$V$190, 2, FALSE), "")</f>
        <v/>
      </c>
      <c r="D1075" s="240"/>
      <c r="E1075" s="241"/>
      <c r="F1075" s="248"/>
      <c r="G1075" s="207"/>
      <c r="H1075" s="209"/>
      <c r="I1075" s="209"/>
      <c r="J1075" s="209"/>
      <c r="K1075" s="208" t="str">
        <f>IF(Errors!$I1075=0,SourceData!$B$42,VLOOKUP(Errors!$I1075,SourceData!$A$2:$B$40,2,FALSE))</f>
        <v>Please select ERROR CODE column "I"</v>
      </c>
      <c r="L1075" s="207" t="str">
        <f>IF(Errors!$I1075=0,
    'List of Error Codes'!$E$29,
    IFERROR(VLOOKUP(Errors!$I1075, 'List of Error Codes'!D1074:I1104, 6, FALSE), 'List of Error Codes'!$E$29)
)</f>
        <v>Please select ERROR CODE column "I"</v>
      </c>
      <c r="M1075" s="209"/>
      <c r="N1075" s="209"/>
      <c r="O1075" s="209"/>
      <c r="P1075" s="209"/>
      <c r="Q1075" s="209"/>
      <c r="R1075" s="217"/>
      <c r="S1075" s="217"/>
      <c r="T1075" s="217"/>
      <c r="U1075" s="199"/>
      <c r="V1075" s="200"/>
      <c r="W1075" s="200"/>
      <c r="X1075" s="200"/>
      <c r="Y1075" s="200"/>
      <c r="Z1075" s="200"/>
      <c r="AA1075" s="201"/>
      <c r="AB1075" s="200"/>
      <c r="AC1075" s="200"/>
    </row>
    <row r="1076" ht="15.75" customHeight="1">
      <c r="A1076" s="210">
        <f t="shared" si="1"/>
        <v>1074</v>
      </c>
      <c r="B1076" s="217"/>
      <c r="C1076" s="217" t="str">
        <f>IFERROR(VLOOKUP(B1076, SourceData!$U$3:$V$190, 2, FALSE), "")</f>
        <v/>
      </c>
      <c r="D1076" s="240"/>
      <c r="E1076" s="241"/>
      <c r="F1076" s="248"/>
      <c r="G1076" s="207"/>
      <c r="H1076" s="209"/>
      <c r="I1076" s="209"/>
      <c r="J1076" s="209"/>
      <c r="K1076" s="208" t="str">
        <f>IF(Errors!$I1076=0,SourceData!$B$42,VLOOKUP(Errors!$I1076,SourceData!$A$2:$B$40,2,FALSE))</f>
        <v>Please select ERROR CODE column "I"</v>
      </c>
      <c r="L1076" s="207" t="str">
        <f>IF(Errors!$I1076=0,
    'List of Error Codes'!$E$29,
    IFERROR(VLOOKUP(Errors!$I1076, 'List of Error Codes'!D1075:I1105, 6, FALSE), 'List of Error Codes'!$E$29)
)</f>
        <v>Please select ERROR CODE column "I"</v>
      </c>
      <c r="M1076" s="209"/>
      <c r="N1076" s="209"/>
      <c r="O1076" s="209"/>
      <c r="P1076" s="209"/>
      <c r="Q1076" s="209"/>
      <c r="R1076" s="217"/>
      <c r="S1076" s="217"/>
      <c r="T1076" s="217"/>
      <c r="U1076" s="199"/>
      <c r="V1076" s="200"/>
      <c r="W1076" s="200"/>
      <c r="X1076" s="200"/>
      <c r="Y1076" s="200"/>
      <c r="Z1076" s="200"/>
      <c r="AA1076" s="201"/>
      <c r="AB1076" s="200"/>
      <c r="AC1076" s="200"/>
    </row>
    <row r="1077" ht="15.75" customHeight="1">
      <c r="A1077" s="210">
        <f t="shared" si="1"/>
        <v>1075</v>
      </c>
      <c r="B1077" s="217"/>
      <c r="C1077" s="217" t="str">
        <f>IFERROR(VLOOKUP(B1077, SourceData!$U$3:$V$190, 2, FALSE), "")</f>
        <v/>
      </c>
      <c r="D1077" s="240"/>
      <c r="E1077" s="241"/>
      <c r="F1077" s="248"/>
      <c r="G1077" s="207"/>
      <c r="H1077" s="209"/>
      <c r="I1077" s="209"/>
      <c r="J1077" s="209"/>
      <c r="K1077" s="208" t="str">
        <f>IF(Errors!$I1077=0,SourceData!$B$42,VLOOKUP(Errors!$I1077,SourceData!$A$2:$B$40,2,FALSE))</f>
        <v>Please select ERROR CODE column "I"</v>
      </c>
      <c r="L1077" s="207" t="str">
        <f>IF(Errors!$I1077=0,
    'List of Error Codes'!$E$29,
    IFERROR(VLOOKUP(Errors!$I1077, 'List of Error Codes'!D1076:I1106, 6, FALSE), 'List of Error Codes'!$E$29)
)</f>
        <v>Please select ERROR CODE column "I"</v>
      </c>
      <c r="M1077" s="209"/>
      <c r="N1077" s="209"/>
      <c r="O1077" s="209"/>
      <c r="P1077" s="209"/>
      <c r="Q1077" s="209"/>
      <c r="R1077" s="217"/>
      <c r="S1077" s="217"/>
      <c r="T1077" s="217"/>
      <c r="U1077" s="199"/>
      <c r="V1077" s="200"/>
      <c r="W1077" s="200"/>
      <c r="X1077" s="200"/>
      <c r="Y1077" s="200"/>
      <c r="Z1077" s="200"/>
      <c r="AA1077" s="201"/>
      <c r="AB1077" s="200"/>
      <c r="AC1077" s="200"/>
    </row>
    <row r="1078" ht="15.75" customHeight="1">
      <c r="A1078" s="210">
        <f t="shared" si="1"/>
        <v>1076</v>
      </c>
      <c r="B1078" s="217"/>
      <c r="C1078" s="217" t="str">
        <f>IFERROR(VLOOKUP(B1078, SourceData!$U$3:$V$190, 2, FALSE), "")</f>
        <v/>
      </c>
      <c r="D1078" s="240"/>
      <c r="E1078" s="241"/>
      <c r="F1078" s="248"/>
      <c r="G1078" s="207"/>
      <c r="H1078" s="209"/>
      <c r="I1078" s="209"/>
      <c r="J1078" s="209"/>
      <c r="K1078" s="208" t="str">
        <f>IF(Errors!$I1078=0,SourceData!$B$42,VLOOKUP(Errors!$I1078,SourceData!$A$2:$B$40,2,FALSE))</f>
        <v>Please select ERROR CODE column "I"</v>
      </c>
      <c r="L1078" s="207" t="str">
        <f>IF(Errors!$I1078=0,
    'List of Error Codes'!$E$29,
    IFERROR(VLOOKUP(Errors!$I1078, 'List of Error Codes'!D1077:I1107, 6, FALSE), 'List of Error Codes'!$E$29)
)</f>
        <v>Please select ERROR CODE column "I"</v>
      </c>
      <c r="M1078" s="209"/>
      <c r="N1078" s="209"/>
      <c r="O1078" s="209"/>
      <c r="P1078" s="209"/>
      <c r="Q1078" s="209"/>
      <c r="R1078" s="217"/>
      <c r="S1078" s="217"/>
      <c r="T1078" s="217"/>
      <c r="U1078" s="199"/>
      <c r="V1078" s="200"/>
      <c r="W1078" s="200"/>
      <c r="X1078" s="200"/>
      <c r="Y1078" s="200"/>
      <c r="Z1078" s="200"/>
      <c r="AA1078" s="201"/>
      <c r="AB1078" s="200"/>
      <c r="AC1078" s="200"/>
    </row>
    <row r="1079" ht="15.75" customHeight="1">
      <c r="A1079" s="210">
        <f t="shared" si="1"/>
        <v>1077</v>
      </c>
      <c r="B1079" s="217"/>
      <c r="C1079" s="217" t="str">
        <f>IFERROR(VLOOKUP(B1079, SourceData!$U$3:$V$190, 2, FALSE), "")</f>
        <v/>
      </c>
      <c r="D1079" s="240"/>
      <c r="E1079" s="241"/>
      <c r="F1079" s="248"/>
      <c r="G1079" s="207"/>
      <c r="H1079" s="209"/>
      <c r="I1079" s="209"/>
      <c r="J1079" s="209"/>
      <c r="K1079" s="208" t="str">
        <f>IF(Errors!$I1079=0,SourceData!$B$42,VLOOKUP(Errors!$I1079,SourceData!$A$2:$B$40,2,FALSE))</f>
        <v>Please select ERROR CODE column "I"</v>
      </c>
      <c r="L1079" s="207" t="str">
        <f>IF(Errors!$I1079=0,
    'List of Error Codes'!$E$29,
    IFERROR(VLOOKUP(Errors!$I1079, 'List of Error Codes'!D1078:I1108, 6, FALSE), 'List of Error Codes'!$E$29)
)</f>
        <v>Please select ERROR CODE column "I"</v>
      </c>
      <c r="M1079" s="209"/>
      <c r="N1079" s="209"/>
      <c r="O1079" s="209"/>
      <c r="P1079" s="209"/>
      <c r="Q1079" s="209"/>
      <c r="R1079" s="217"/>
      <c r="S1079" s="217"/>
      <c r="T1079" s="217"/>
      <c r="U1079" s="199"/>
      <c r="V1079" s="200"/>
      <c r="W1079" s="200"/>
      <c r="X1079" s="200"/>
      <c r="Y1079" s="200"/>
      <c r="Z1079" s="200"/>
      <c r="AA1079" s="201"/>
      <c r="AB1079" s="200"/>
      <c r="AC1079" s="200"/>
    </row>
    <row r="1080" ht="15.75" customHeight="1">
      <c r="A1080" s="210">
        <f t="shared" si="1"/>
        <v>1078</v>
      </c>
      <c r="B1080" s="217"/>
      <c r="C1080" s="217" t="str">
        <f>IFERROR(VLOOKUP(B1080, SourceData!$U$3:$V$190, 2, FALSE), "")</f>
        <v/>
      </c>
      <c r="D1080" s="240"/>
      <c r="E1080" s="241"/>
      <c r="F1080" s="248"/>
      <c r="G1080" s="207"/>
      <c r="H1080" s="209"/>
      <c r="I1080" s="209"/>
      <c r="J1080" s="209"/>
      <c r="K1080" s="208" t="str">
        <f>IF(Errors!$I1080=0,SourceData!$B$42,VLOOKUP(Errors!$I1080,SourceData!$A$2:$B$40,2,FALSE))</f>
        <v>Please select ERROR CODE column "I"</v>
      </c>
      <c r="L1080" s="207" t="str">
        <f>IF(Errors!$I1080=0,
    'List of Error Codes'!$E$29,
    IFERROR(VLOOKUP(Errors!$I1080, 'List of Error Codes'!D1079:I1109, 6, FALSE), 'List of Error Codes'!$E$29)
)</f>
        <v>Please select ERROR CODE column "I"</v>
      </c>
      <c r="M1080" s="209"/>
      <c r="N1080" s="209"/>
      <c r="O1080" s="209"/>
      <c r="P1080" s="209"/>
      <c r="Q1080" s="209"/>
      <c r="R1080" s="217"/>
      <c r="S1080" s="217"/>
      <c r="T1080" s="217"/>
      <c r="U1080" s="199"/>
      <c r="V1080" s="200"/>
      <c r="W1080" s="200"/>
      <c r="X1080" s="200"/>
      <c r="Y1080" s="200"/>
      <c r="Z1080" s="200"/>
      <c r="AA1080" s="201"/>
      <c r="AB1080" s="200"/>
      <c r="AC1080" s="200"/>
    </row>
    <row r="1081" ht="15.75" customHeight="1">
      <c r="A1081" s="210">
        <f t="shared" si="1"/>
        <v>1079</v>
      </c>
      <c r="B1081" s="217"/>
      <c r="C1081" s="217" t="str">
        <f>IFERROR(VLOOKUP(B1081, SourceData!$U$3:$V$190, 2, FALSE), "")</f>
        <v/>
      </c>
      <c r="D1081" s="240"/>
      <c r="E1081" s="241"/>
      <c r="F1081" s="248"/>
      <c r="G1081" s="207"/>
      <c r="H1081" s="209"/>
      <c r="I1081" s="209"/>
      <c r="J1081" s="209"/>
      <c r="K1081" s="208" t="str">
        <f>IF(Errors!$I1081=0,SourceData!$B$42,VLOOKUP(Errors!$I1081,SourceData!$A$2:$B$40,2,FALSE))</f>
        <v>Please select ERROR CODE column "I"</v>
      </c>
      <c r="L1081" s="207" t="str">
        <f>IF(Errors!$I1081=0,
    'List of Error Codes'!$E$29,
    IFERROR(VLOOKUP(Errors!$I1081, 'List of Error Codes'!D1080:I1110, 6, FALSE), 'List of Error Codes'!$E$29)
)</f>
        <v>Please select ERROR CODE column "I"</v>
      </c>
      <c r="M1081" s="209"/>
      <c r="N1081" s="209"/>
      <c r="O1081" s="209"/>
      <c r="P1081" s="209"/>
      <c r="Q1081" s="209"/>
      <c r="R1081" s="217"/>
      <c r="S1081" s="217"/>
      <c r="T1081" s="217"/>
      <c r="U1081" s="199"/>
      <c r="V1081" s="200"/>
      <c r="W1081" s="200"/>
      <c r="X1081" s="200"/>
      <c r="Y1081" s="200"/>
      <c r="Z1081" s="200"/>
      <c r="AA1081" s="201"/>
      <c r="AB1081" s="200"/>
      <c r="AC1081" s="200"/>
    </row>
    <row r="1082" ht="15.75" customHeight="1">
      <c r="A1082" s="210">
        <f t="shared" si="1"/>
        <v>1080</v>
      </c>
      <c r="B1082" s="217"/>
      <c r="C1082" s="217" t="str">
        <f>IFERROR(VLOOKUP(B1082, SourceData!$U$3:$V$190, 2, FALSE), "")</f>
        <v/>
      </c>
      <c r="D1082" s="240"/>
      <c r="E1082" s="241"/>
      <c r="F1082" s="248"/>
      <c r="G1082" s="207"/>
      <c r="H1082" s="209"/>
      <c r="I1082" s="209"/>
      <c r="J1082" s="209"/>
      <c r="K1082" s="208" t="str">
        <f>IF(Errors!$I1082=0,SourceData!$B$42,VLOOKUP(Errors!$I1082,SourceData!$A$2:$B$40,2,FALSE))</f>
        <v>Please select ERROR CODE column "I"</v>
      </c>
      <c r="L1082" s="207" t="str">
        <f>IF(Errors!$I1082=0,
    'List of Error Codes'!$E$29,
    IFERROR(VLOOKUP(Errors!$I1082, 'List of Error Codes'!D1081:I1111, 6, FALSE), 'List of Error Codes'!$E$29)
)</f>
        <v>Please select ERROR CODE column "I"</v>
      </c>
      <c r="M1082" s="209"/>
      <c r="N1082" s="209"/>
      <c r="O1082" s="209"/>
      <c r="P1082" s="209"/>
      <c r="Q1082" s="209"/>
      <c r="R1082" s="217"/>
      <c r="S1082" s="217"/>
      <c r="T1082" s="217"/>
      <c r="U1082" s="199"/>
      <c r="V1082" s="200"/>
      <c r="W1082" s="200"/>
      <c r="X1082" s="200"/>
      <c r="Y1082" s="200"/>
      <c r="Z1082" s="200"/>
      <c r="AA1082" s="201"/>
      <c r="AB1082" s="200"/>
      <c r="AC1082" s="200"/>
    </row>
    <row r="1083" ht="15.75" customHeight="1">
      <c r="A1083" s="210">
        <f t="shared" si="1"/>
        <v>1081</v>
      </c>
      <c r="B1083" s="217"/>
      <c r="C1083" s="217" t="str">
        <f>IFERROR(VLOOKUP(B1083, SourceData!$U$3:$V$190, 2, FALSE), "")</f>
        <v/>
      </c>
      <c r="D1083" s="240"/>
      <c r="E1083" s="241"/>
      <c r="F1083" s="248"/>
      <c r="G1083" s="207"/>
      <c r="H1083" s="209"/>
      <c r="I1083" s="209"/>
      <c r="J1083" s="209"/>
      <c r="K1083" s="208" t="str">
        <f>IF(Errors!$I1083=0,SourceData!$B$42,VLOOKUP(Errors!$I1083,SourceData!$A$2:$B$40,2,FALSE))</f>
        <v>Please select ERROR CODE column "I"</v>
      </c>
      <c r="L1083" s="207" t="str">
        <f>IF(Errors!$I1083=0,
    'List of Error Codes'!$E$29,
    IFERROR(VLOOKUP(Errors!$I1083, 'List of Error Codes'!D1082:I1112, 6, FALSE), 'List of Error Codes'!$E$29)
)</f>
        <v>Please select ERROR CODE column "I"</v>
      </c>
      <c r="M1083" s="209"/>
      <c r="N1083" s="209"/>
      <c r="O1083" s="209"/>
      <c r="P1083" s="209"/>
      <c r="Q1083" s="209"/>
      <c r="R1083" s="217"/>
      <c r="S1083" s="217"/>
      <c r="T1083" s="217"/>
      <c r="U1083" s="199"/>
      <c r="V1083" s="200"/>
      <c r="W1083" s="200"/>
      <c r="X1083" s="200"/>
      <c r="Y1083" s="200"/>
      <c r="Z1083" s="200"/>
      <c r="AA1083" s="201"/>
      <c r="AB1083" s="200"/>
      <c r="AC1083" s="200"/>
    </row>
    <row r="1084" ht="15.75" customHeight="1">
      <c r="A1084" s="210">
        <f t="shared" si="1"/>
        <v>1082</v>
      </c>
      <c r="B1084" s="217"/>
      <c r="C1084" s="217" t="str">
        <f>IFERROR(VLOOKUP(B1084, SourceData!$U$3:$V$190, 2, FALSE), "")</f>
        <v/>
      </c>
      <c r="D1084" s="240"/>
      <c r="E1084" s="241"/>
      <c r="F1084" s="248"/>
      <c r="G1084" s="207"/>
      <c r="H1084" s="209"/>
      <c r="I1084" s="209"/>
      <c r="J1084" s="209"/>
      <c r="K1084" s="208" t="str">
        <f>IF(Errors!$I1084=0,SourceData!$B$42,VLOOKUP(Errors!$I1084,SourceData!$A$2:$B$40,2,FALSE))</f>
        <v>Please select ERROR CODE column "I"</v>
      </c>
      <c r="L1084" s="207" t="str">
        <f>IF(Errors!$I1084=0,
    'List of Error Codes'!$E$29,
    IFERROR(VLOOKUP(Errors!$I1084, 'List of Error Codes'!D1083:I1113, 6, FALSE), 'List of Error Codes'!$E$29)
)</f>
        <v>Please select ERROR CODE column "I"</v>
      </c>
      <c r="M1084" s="209"/>
      <c r="N1084" s="209"/>
      <c r="O1084" s="209"/>
      <c r="P1084" s="209"/>
      <c r="Q1084" s="209"/>
      <c r="R1084" s="217"/>
      <c r="S1084" s="217"/>
      <c r="T1084" s="217"/>
      <c r="U1084" s="199"/>
      <c r="V1084" s="200"/>
      <c r="W1084" s="200"/>
      <c r="X1084" s="200"/>
      <c r="Y1084" s="200"/>
      <c r="Z1084" s="200"/>
      <c r="AA1084" s="201"/>
      <c r="AB1084" s="200"/>
      <c r="AC1084" s="200"/>
    </row>
    <row r="1085" ht="15.75" customHeight="1">
      <c r="A1085" s="210">
        <f t="shared" si="1"/>
        <v>1083</v>
      </c>
      <c r="B1085" s="217"/>
      <c r="C1085" s="217" t="str">
        <f>IFERROR(VLOOKUP(B1085, SourceData!$U$3:$V$190, 2, FALSE), "")</f>
        <v/>
      </c>
      <c r="D1085" s="240"/>
      <c r="E1085" s="241"/>
      <c r="F1085" s="248"/>
      <c r="G1085" s="207"/>
      <c r="H1085" s="209"/>
      <c r="I1085" s="209"/>
      <c r="J1085" s="209"/>
      <c r="K1085" s="208" t="str">
        <f>IF(Errors!$I1085=0,SourceData!$B$42,VLOOKUP(Errors!$I1085,SourceData!$A$2:$B$40,2,FALSE))</f>
        <v>Please select ERROR CODE column "I"</v>
      </c>
      <c r="L1085" s="207" t="str">
        <f>IF(Errors!$I1085=0,
    'List of Error Codes'!$E$29,
    IFERROR(VLOOKUP(Errors!$I1085, 'List of Error Codes'!D1084:I1114, 6, FALSE), 'List of Error Codes'!$E$29)
)</f>
        <v>Please select ERROR CODE column "I"</v>
      </c>
      <c r="M1085" s="209"/>
      <c r="N1085" s="209"/>
      <c r="O1085" s="209"/>
      <c r="P1085" s="209"/>
      <c r="Q1085" s="209"/>
      <c r="R1085" s="217"/>
      <c r="S1085" s="217"/>
      <c r="T1085" s="217"/>
      <c r="U1085" s="199"/>
      <c r="V1085" s="200"/>
      <c r="W1085" s="200"/>
      <c r="X1085" s="200"/>
      <c r="Y1085" s="200"/>
      <c r="Z1085" s="200"/>
      <c r="AA1085" s="201"/>
      <c r="AB1085" s="200"/>
      <c r="AC1085" s="200"/>
    </row>
    <row r="1086" ht="15.75" customHeight="1">
      <c r="A1086" s="210">
        <f t="shared" si="1"/>
        <v>1084</v>
      </c>
      <c r="B1086" s="217"/>
      <c r="C1086" s="217" t="str">
        <f>IFERROR(VLOOKUP(B1086, SourceData!$U$3:$V$190, 2, FALSE), "")</f>
        <v/>
      </c>
      <c r="D1086" s="240"/>
      <c r="E1086" s="241"/>
      <c r="F1086" s="248"/>
      <c r="G1086" s="207"/>
      <c r="H1086" s="209"/>
      <c r="I1086" s="209"/>
      <c r="J1086" s="209"/>
      <c r="K1086" s="208" t="str">
        <f>IF(Errors!$I1086=0,SourceData!$B$42,VLOOKUP(Errors!$I1086,SourceData!$A$2:$B$40,2,FALSE))</f>
        <v>Please select ERROR CODE column "I"</v>
      </c>
      <c r="L1086" s="207" t="str">
        <f>IF(Errors!$I1086=0,
    'List of Error Codes'!$E$29,
    IFERROR(VLOOKUP(Errors!$I1086, 'List of Error Codes'!D1085:I1115, 6, FALSE), 'List of Error Codes'!$E$29)
)</f>
        <v>Please select ERROR CODE column "I"</v>
      </c>
      <c r="M1086" s="209"/>
      <c r="N1086" s="209"/>
      <c r="O1086" s="209"/>
      <c r="P1086" s="209"/>
      <c r="Q1086" s="209"/>
      <c r="R1086" s="217"/>
      <c r="S1086" s="217"/>
      <c r="T1086" s="217"/>
      <c r="U1086" s="199"/>
      <c r="V1086" s="200"/>
      <c r="W1086" s="200"/>
      <c r="X1086" s="200"/>
      <c r="Y1086" s="200"/>
      <c r="Z1086" s="200"/>
      <c r="AA1086" s="201"/>
      <c r="AB1086" s="200"/>
      <c r="AC1086" s="200"/>
    </row>
    <row r="1087" ht="15.75" customHeight="1">
      <c r="A1087" s="210">
        <f t="shared" si="1"/>
        <v>1085</v>
      </c>
      <c r="B1087" s="217"/>
      <c r="C1087" s="217" t="str">
        <f>IFERROR(VLOOKUP(B1087, SourceData!$U$3:$V$190, 2, FALSE), "")</f>
        <v/>
      </c>
      <c r="D1087" s="240"/>
      <c r="E1087" s="241"/>
      <c r="F1087" s="248"/>
      <c r="G1087" s="207"/>
      <c r="H1087" s="209"/>
      <c r="I1087" s="209"/>
      <c r="J1087" s="209"/>
      <c r="K1087" s="208" t="str">
        <f>IF(Errors!$I1087=0,SourceData!$B$42,VLOOKUP(Errors!$I1087,SourceData!$A$2:$B$40,2,FALSE))</f>
        <v>Please select ERROR CODE column "I"</v>
      </c>
      <c r="L1087" s="207" t="str">
        <f>IF(Errors!$I1087=0,
    'List of Error Codes'!$E$29,
    IFERROR(VLOOKUP(Errors!$I1087, 'List of Error Codes'!D1086:I1116, 6, FALSE), 'List of Error Codes'!$E$29)
)</f>
        <v>Please select ERROR CODE column "I"</v>
      </c>
      <c r="M1087" s="209"/>
      <c r="N1087" s="209"/>
      <c r="O1087" s="209"/>
      <c r="P1087" s="209"/>
      <c r="Q1087" s="209"/>
      <c r="R1087" s="217"/>
      <c r="S1087" s="217"/>
      <c r="T1087" s="217"/>
      <c r="U1087" s="199"/>
      <c r="V1087" s="200"/>
      <c r="W1087" s="200"/>
      <c r="X1087" s="200"/>
      <c r="Y1087" s="200"/>
      <c r="Z1087" s="200"/>
      <c r="AA1087" s="201"/>
      <c r="AB1087" s="200"/>
      <c r="AC1087" s="200"/>
    </row>
    <row r="1088" ht="15.75" customHeight="1">
      <c r="A1088" s="210">
        <f t="shared" si="1"/>
        <v>1086</v>
      </c>
      <c r="B1088" s="217"/>
      <c r="C1088" s="217" t="str">
        <f>IFERROR(VLOOKUP(B1088, SourceData!$U$3:$V$190, 2, FALSE), "")</f>
        <v/>
      </c>
      <c r="D1088" s="240"/>
      <c r="E1088" s="241"/>
      <c r="F1088" s="248"/>
      <c r="G1088" s="207"/>
      <c r="H1088" s="209"/>
      <c r="I1088" s="209"/>
      <c r="J1088" s="209"/>
      <c r="K1088" s="208" t="str">
        <f>IF(Errors!$I1088=0,SourceData!$B$42,VLOOKUP(Errors!$I1088,SourceData!$A$2:$B$40,2,FALSE))</f>
        <v>Please select ERROR CODE column "I"</v>
      </c>
      <c r="L1088" s="207" t="str">
        <f>IF(Errors!$I1088=0,
    'List of Error Codes'!$E$29,
    IFERROR(VLOOKUP(Errors!$I1088, 'List of Error Codes'!D1087:I1117, 6, FALSE), 'List of Error Codes'!$E$29)
)</f>
        <v>Please select ERROR CODE column "I"</v>
      </c>
      <c r="M1088" s="209"/>
      <c r="N1088" s="209"/>
      <c r="O1088" s="209"/>
      <c r="P1088" s="209"/>
      <c r="Q1088" s="209"/>
      <c r="R1088" s="217"/>
      <c r="S1088" s="217"/>
      <c r="T1088" s="217"/>
      <c r="U1088" s="199"/>
      <c r="V1088" s="200"/>
      <c r="W1088" s="200"/>
      <c r="X1088" s="200"/>
      <c r="Y1088" s="200"/>
      <c r="Z1088" s="200"/>
      <c r="AA1088" s="201"/>
      <c r="AB1088" s="200"/>
      <c r="AC1088" s="200"/>
    </row>
    <row r="1089" ht="15.75" customHeight="1">
      <c r="A1089" s="210">
        <f t="shared" si="1"/>
        <v>1087</v>
      </c>
      <c r="B1089" s="217"/>
      <c r="C1089" s="217" t="str">
        <f>IFERROR(VLOOKUP(B1089, SourceData!$U$3:$V$190, 2, FALSE), "")</f>
        <v/>
      </c>
      <c r="D1089" s="240"/>
      <c r="E1089" s="241"/>
      <c r="F1089" s="248"/>
      <c r="G1089" s="207"/>
      <c r="H1089" s="209"/>
      <c r="I1089" s="209"/>
      <c r="J1089" s="209"/>
      <c r="K1089" s="208" t="str">
        <f>IF(Errors!$I1089=0,SourceData!$B$42,VLOOKUP(Errors!$I1089,SourceData!$A$2:$B$40,2,FALSE))</f>
        <v>Please select ERROR CODE column "I"</v>
      </c>
      <c r="L1089" s="207" t="str">
        <f>IF(Errors!$I1089=0,
    'List of Error Codes'!$E$29,
    IFERROR(VLOOKUP(Errors!$I1089, 'List of Error Codes'!D1088:I1118, 6, FALSE), 'List of Error Codes'!$E$29)
)</f>
        <v>Please select ERROR CODE column "I"</v>
      </c>
      <c r="M1089" s="209"/>
      <c r="N1089" s="209"/>
      <c r="O1089" s="209"/>
      <c r="P1089" s="209"/>
      <c r="Q1089" s="209"/>
      <c r="R1089" s="217"/>
      <c r="S1089" s="217"/>
      <c r="T1089" s="217"/>
      <c r="U1089" s="199"/>
      <c r="V1089" s="200"/>
      <c r="W1089" s="200"/>
      <c r="X1089" s="200"/>
      <c r="Y1089" s="200"/>
      <c r="Z1089" s="200"/>
      <c r="AA1089" s="201"/>
      <c r="AB1089" s="200"/>
      <c r="AC1089" s="200"/>
    </row>
    <row r="1090" ht="15.75" customHeight="1">
      <c r="A1090" s="210">
        <f t="shared" si="1"/>
        <v>1088</v>
      </c>
      <c r="B1090" s="217"/>
      <c r="C1090" s="217" t="str">
        <f>IFERROR(VLOOKUP(B1090, SourceData!$U$3:$V$190, 2, FALSE), "")</f>
        <v/>
      </c>
      <c r="D1090" s="240"/>
      <c r="E1090" s="241"/>
      <c r="F1090" s="248"/>
      <c r="G1090" s="207"/>
      <c r="H1090" s="209"/>
      <c r="I1090" s="209"/>
      <c r="J1090" s="209"/>
      <c r="K1090" s="208" t="str">
        <f>IF(Errors!$I1090=0,SourceData!$B$42,VLOOKUP(Errors!$I1090,SourceData!$A$2:$B$40,2,FALSE))</f>
        <v>Please select ERROR CODE column "I"</v>
      </c>
      <c r="L1090" s="207" t="str">
        <f>IF(Errors!$I1090=0,
    'List of Error Codes'!$E$29,
    IFERROR(VLOOKUP(Errors!$I1090, 'List of Error Codes'!D1089:I1119, 6, FALSE), 'List of Error Codes'!$E$29)
)</f>
        <v>Please select ERROR CODE column "I"</v>
      </c>
      <c r="M1090" s="209"/>
      <c r="N1090" s="209"/>
      <c r="O1090" s="209"/>
      <c r="P1090" s="209"/>
      <c r="Q1090" s="209"/>
      <c r="R1090" s="217"/>
      <c r="S1090" s="217"/>
      <c r="T1090" s="217"/>
      <c r="U1090" s="199"/>
      <c r="V1090" s="200"/>
      <c r="W1090" s="200"/>
      <c r="X1090" s="200"/>
      <c r="Y1090" s="200"/>
      <c r="Z1090" s="200"/>
      <c r="AA1090" s="201"/>
      <c r="AB1090" s="200"/>
      <c r="AC1090" s="200"/>
    </row>
    <row r="1091" ht="15.75" customHeight="1">
      <c r="A1091" s="210">
        <f t="shared" si="1"/>
        <v>1089</v>
      </c>
      <c r="B1091" s="217"/>
      <c r="C1091" s="217" t="str">
        <f>IFERROR(VLOOKUP(B1091, SourceData!$U$3:$V$190, 2, FALSE), "")</f>
        <v/>
      </c>
      <c r="D1091" s="240"/>
      <c r="E1091" s="241"/>
      <c r="F1091" s="248"/>
      <c r="G1091" s="207"/>
      <c r="H1091" s="209"/>
      <c r="I1091" s="209"/>
      <c r="J1091" s="209"/>
      <c r="K1091" s="208" t="str">
        <f>IF(Errors!$I1091=0,SourceData!$B$42,VLOOKUP(Errors!$I1091,SourceData!$A$2:$B$40,2,FALSE))</f>
        <v>Please select ERROR CODE column "I"</v>
      </c>
      <c r="L1091" s="207" t="str">
        <f>IF(Errors!$I1091=0,
    'List of Error Codes'!$E$29,
    IFERROR(VLOOKUP(Errors!$I1091, 'List of Error Codes'!D1090:I1120, 6, FALSE), 'List of Error Codes'!$E$29)
)</f>
        <v>Please select ERROR CODE column "I"</v>
      </c>
      <c r="M1091" s="209"/>
      <c r="N1091" s="209"/>
      <c r="O1091" s="209"/>
      <c r="P1091" s="209"/>
      <c r="Q1091" s="209"/>
      <c r="R1091" s="217"/>
      <c r="S1091" s="217"/>
      <c r="T1091" s="217"/>
      <c r="U1091" s="199"/>
      <c r="V1091" s="200"/>
      <c r="W1091" s="200"/>
      <c r="X1091" s="200"/>
      <c r="Y1091" s="200"/>
      <c r="Z1091" s="200"/>
      <c r="AA1091" s="201"/>
      <c r="AB1091" s="200"/>
      <c r="AC1091" s="200"/>
    </row>
    <row r="1092" ht="15.75" customHeight="1">
      <c r="A1092" s="210">
        <f t="shared" si="1"/>
        <v>1090</v>
      </c>
      <c r="B1092" s="217"/>
      <c r="C1092" s="217" t="str">
        <f>IFERROR(VLOOKUP(B1092, SourceData!$U$3:$V$190, 2, FALSE), "")</f>
        <v/>
      </c>
      <c r="D1092" s="240"/>
      <c r="E1092" s="241"/>
      <c r="F1092" s="248"/>
      <c r="G1092" s="207"/>
      <c r="H1092" s="209"/>
      <c r="I1092" s="209"/>
      <c r="J1092" s="209"/>
      <c r="K1092" s="208" t="str">
        <f>IF(Errors!$I1092=0,SourceData!$B$42,VLOOKUP(Errors!$I1092,SourceData!$A$2:$B$40,2,FALSE))</f>
        <v>Please select ERROR CODE column "I"</v>
      </c>
      <c r="L1092" s="207" t="str">
        <f>IF(Errors!$I1092=0,
    'List of Error Codes'!$E$29,
    IFERROR(VLOOKUP(Errors!$I1092, 'List of Error Codes'!D1091:I1121, 6, FALSE), 'List of Error Codes'!$E$29)
)</f>
        <v>Please select ERROR CODE column "I"</v>
      </c>
      <c r="M1092" s="209"/>
      <c r="N1092" s="209"/>
      <c r="O1092" s="209"/>
      <c r="P1092" s="209"/>
      <c r="Q1092" s="209"/>
      <c r="R1092" s="217"/>
      <c r="S1092" s="217"/>
      <c r="T1092" s="217"/>
      <c r="U1092" s="199"/>
      <c r="V1092" s="200"/>
      <c r="W1092" s="200"/>
      <c r="X1092" s="200"/>
      <c r="Y1092" s="200"/>
      <c r="Z1092" s="200"/>
      <c r="AA1092" s="201"/>
      <c r="AB1092" s="200"/>
      <c r="AC1092" s="200"/>
    </row>
    <row r="1093" ht="15.75" customHeight="1">
      <c r="A1093" s="210">
        <f t="shared" si="1"/>
        <v>1091</v>
      </c>
      <c r="B1093" s="217"/>
      <c r="C1093" s="217" t="str">
        <f>IFERROR(VLOOKUP(B1093, SourceData!$U$3:$V$190, 2, FALSE), "")</f>
        <v/>
      </c>
      <c r="D1093" s="240"/>
      <c r="E1093" s="241"/>
      <c r="F1093" s="248"/>
      <c r="G1093" s="207"/>
      <c r="H1093" s="209"/>
      <c r="I1093" s="209"/>
      <c r="J1093" s="209"/>
      <c r="K1093" s="208" t="str">
        <f>IF(Errors!$I1093=0,SourceData!$B$42,VLOOKUP(Errors!$I1093,SourceData!$A$2:$B$40,2,FALSE))</f>
        <v>Please select ERROR CODE column "I"</v>
      </c>
      <c r="L1093" s="207" t="str">
        <f>IF(Errors!$I1093=0,
    'List of Error Codes'!$E$29,
    IFERROR(VLOOKUP(Errors!$I1093, 'List of Error Codes'!D1092:I1122, 6, FALSE), 'List of Error Codes'!$E$29)
)</f>
        <v>Please select ERROR CODE column "I"</v>
      </c>
      <c r="M1093" s="209"/>
      <c r="N1093" s="209"/>
      <c r="O1093" s="209"/>
      <c r="P1093" s="209"/>
      <c r="Q1093" s="209"/>
      <c r="R1093" s="217"/>
      <c r="S1093" s="217"/>
      <c r="T1093" s="217"/>
      <c r="U1093" s="199"/>
      <c r="V1093" s="200"/>
      <c r="W1093" s="200"/>
      <c r="X1093" s="200"/>
      <c r="Y1093" s="200"/>
      <c r="Z1093" s="200"/>
      <c r="AA1093" s="201"/>
      <c r="AB1093" s="200"/>
      <c r="AC1093" s="200"/>
    </row>
    <row r="1094" ht="15.75" customHeight="1">
      <c r="A1094" s="210">
        <f t="shared" si="1"/>
        <v>1092</v>
      </c>
      <c r="B1094" s="217"/>
      <c r="C1094" s="217" t="str">
        <f>IFERROR(VLOOKUP(B1094, SourceData!$U$3:$V$190, 2, FALSE), "")</f>
        <v/>
      </c>
      <c r="D1094" s="240"/>
      <c r="E1094" s="241"/>
      <c r="F1094" s="248"/>
      <c r="G1094" s="207"/>
      <c r="H1094" s="209"/>
      <c r="I1094" s="209"/>
      <c r="J1094" s="209"/>
      <c r="K1094" s="208" t="str">
        <f>IF(Errors!$I1094=0,SourceData!$B$42,VLOOKUP(Errors!$I1094,SourceData!$A$2:$B$40,2,FALSE))</f>
        <v>Please select ERROR CODE column "I"</v>
      </c>
      <c r="L1094" s="207" t="str">
        <f>IF(Errors!$I1094=0,
    'List of Error Codes'!$E$29,
    IFERROR(VLOOKUP(Errors!$I1094, 'List of Error Codes'!D1093:I1123, 6, FALSE), 'List of Error Codes'!$E$29)
)</f>
        <v>Please select ERROR CODE column "I"</v>
      </c>
      <c r="M1094" s="209"/>
      <c r="N1094" s="209"/>
      <c r="O1094" s="209"/>
      <c r="P1094" s="209"/>
      <c r="Q1094" s="209"/>
      <c r="R1094" s="217"/>
      <c r="S1094" s="217"/>
      <c r="T1094" s="217"/>
      <c r="U1094" s="199"/>
      <c r="V1094" s="200"/>
      <c r="W1094" s="200"/>
      <c r="X1094" s="200"/>
      <c r="Y1094" s="200"/>
      <c r="Z1094" s="200"/>
      <c r="AA1094" s="201"/>
      <c r="AB1094" s="200"/>
      <c r="AC1094" s="200"/>
    </row>
    <row r="1095" ht="15.75" customHeight="1">
      <c r="A1095" s="210">
        <f t="shared" si="1"/>
        <v>1093</v>
      </c>
      <c r="B1095" s="217"/>
      <c r="C1095" s="217" t="str">
        <f>IFERROR(VLOOKUP(B1095, SourceData!$U$3:$V$190, 2, FALSE), "")</f>
        <v/>
      </c>
      <c r="D1095" s="240"/>
      <c r="E1095" s="241"/>
      <c r="F1095" s="248"/>
      <c r="G1095" s="207"/>
      <c r="H1095" s="209"/>
      <c r="I1095" s="209"/>
      <c r="J1095" s="209"/>
      <c r="K1095" s="208" t="str">
        <f>IF(Errors!$I1095=0,SourceData!$B$42,VLOOKUP(Errors!$I1095,SourceData!$A$2:$B$40,2,FALSE))</f>
        <v>Please select ERROR CODE column "I"</v>
      </c>
      <c r="L1095" s="207" t="str">
        <f>IF(Errors!$I1095=0,
    'List of Error Codes'!$E$29,
    IFERROR(VLOOKUP(Errors!$I1095, 'List of Error Codes'!D1094:I1124, 6, FALSE), 'List of Error Codes'!$E$29)
)</f>
        <v>Please select ERROR CODE column "I"</v>
      </c>
      <c r="M1095" s="209"/>
      <c r="N1095" s="209"/>
      <c r="O1095" s="209"/>
      <c r="P1095" s="209"/>
      <c r="Q1095" s="209"/>
      <c r="R1095" s="217"/>
      <c r="S1095" s="217"/>
      <c r="T1095" s="217"/>
      <c r="U1095" s="199"/>
      <c r="V1095" s="200"/>
      <c r="W1095" s="200"/>
      <c r="X1095" s="200"/>
      <c r="Y1095" s="200"/>
      <c r="Z1095" s="200"/>
      <c r="AA1095" s="201"/>
      <c r="AB1095" s="200"/>
      <c r="AC1095" s="200"/>
    </row>
    <row r="1096" ht="15.75" customHeight="1">
      <c r="A1096" s="210">
        <f t="shared" si="1"/>
        <v>1094</v>
      </c>
      <c r="B1096" s="217"/>
      <c r="C1096" s="217" t="str">
        <f>IFERROR(VLOOKUP(B1096, SourceData!$U$3:$V$190, 2, FALSE), "")</f>
        <v/>
      </c>
      <c r="D1096" s="240"/>
      <c r="E1096" s="241"/>
      <c r="F1096" s="248"/>
      <c r="G1096" s="207"/>
      <c r="H1096" s="209"/>
      <c r="I1096" s="209"/>
      <c r="J1096" s="209"/>
      <c r="K1096" s="208" t="str">
        <f>IF(Errors!$I1096=0,SourceData!$B$42,VLOOKUP(Errors!$I1096,SourceData!$A$2:$B$40,2,FALSE))</f>
        <v>Please select ERROR CODE column "I"</v>
      </c>
      <c r="L1096" s="207" t="str">
        <f>IF(Errors!$I1096=0,
    'List of Error Codes'!$E$29,
    IFERROR(VLOOKUP(Errors!$I1096, 'List of Error Codes'!D1095:I1125, 6, FALSE), 'List of Error Codes'!$E$29)
)</f>
        <v>Please select ERROR CODE column "I"</v>
      </c>
      <c r="M1096" s="209"/>
      <c r="N1096" s="209"/>
      <c r="O1096" s="209"/>
      <c r="P1096" s="209"/>
      <c r="Q1096" s="209"/>
      <c r="R1096" s="217"/>
      <c r="S1096" s="217"/>
      <c r="T1096" s="217"/>
      <c r="U1096" s="199"/>
      <c r="V1096" s="200"/>
      <c r="W1096" s="200"/>
      <c r="X1096" s="200"/>
      <c r="Y1096" s="200"/>
      <c r="Z1096" s="200"/>
      <c r="AA1096" s="201"/>
      <c r="AB1096" s="200"/>
      <c r="AC1096" s="200"/>
    </row>
    <row r="1097" ht="15.75" customHeight="1">
      <c r="A1097" s="210">
        <f t="shared" si="1"/>
        <v>1095</v>
      </c>
      <c r="B1097" s="217"/>
      <c r="C1097" s="217" t="str">
        <f>IFERROR(VLOOKUP(B1097, SourceData!$U$3:$V$190, 2, FALSE), "")</f>
        <v/>
      </c>
      <c r="D1097" s="240"/>
      <c r="E1097" s="241"/>
      <c r="F1097" s="248"/>
      <c r="G1097" s="207"/>
      <c r="H1097" s="209"/>
      <c r="I1097" s="209"/>
      <c r="J1097" s="209"/>
      <c r="K1097" s="208" t="str">
        <f>IF(Errors!$I1097=0,SourceData!$B$42,VLOOKUP(Errors!$I1097,SourceData!$A$2:$B$40,2,FALSE))</f>
        <v>Please select ERROR CODE column "I"</v>
      </c>
      <c r="L1097" s="207" t="str">
        <f>IF(Errors!$I1097=0,
    'List of Error Codes'!$E$29,
    IFERROR(VLOOKUP(Errors!$I1097, 'List of Error Codes'!D1096:I1126, 6, FALSE), 'List of Error Codes'!$E$29)
)</f>
        <v>Please select ERROR CODE column "I"</v>
      </c>
      <c r="M1097" s="209"/>
      <c r="N1097" s="209"/>
      <c r="O1097" s="209"/>
      <c r="P1097" s="209"/>
      <c r="Q1097" s="209"/>
      <c r="R1097" s="217"/>
      <c r="S1097" s="217"/>
      <c r="T1097" s="217"/>
      <c r="U1097" s="199"/>
      <c r="V1097" s="200"/>
      <c r="W1097" s="200"/>
      <c r="X1097" s="200"/>
      <c r="Y1097" s="200"/>
      <c r="Z1097" s="200"/>
      <c r="AA1097" s="201"/>
      <c r="AB1097" s="200"/>
      <c r="AC1097" s="200"/>
    </row>
    <row r="1098" ht="15.75" customHeight="1">
      <c r="A1098" s="210">
        <f t="shared" si="1"/>
        <v>1096</v>
      </c>
      <c r="B1098" s="217"/>
      <c r="C1098" s="217" t="str">
        <f>IFERROR(VLOOKUP(B1098, SourceData!$U$3:$V$190, 2, FALSE), "")</f>
        <v/>
      </c>
      <c r="D1098" s="240"/>
      <c r="E1098" s="241"/>
      <c r="F1098" s="248"/>
      <c r="G1098" s="207"/>
      <c r="H1098" s="209"/>
      <c r="I1098" s="209"/>
      <c r="J1098" s="209"/>
      <c r="K1098" s="208" t="str">
        <f>IF(Errors!$I1098=0,SourceData!$B$42,VLOOKUP(Errors!$I1098,SourceData!$A$2:$B$40,2,FALSE))</f>
        <v>Please select ERROR CODE column "I"</v>
      </c>
      <c r="L1098" s="207" t="str">
        <f>IF(Errors!$I1098=0,
    'List of Error Codes'!$E$29,
    IFERROR(VLOOKUP(Errors!$I1098, 'List of Error Codes'!D1097:I1127, 6, FALSE), 'List of Error Codes'!$E$29)
)</f>
        <v>Please select ERROR CODE column "I"</v>
      </c>
      <c r="M1098" s="209"/>
      <c r="N1098" s="209"/>
      <c r="O1098" s="209"/>
      <c r="P1098" s="209"/>
      <c r="Q1098" s="209"/>
      <c r="R1098" s="217"/>
      <c r="S1098" s="217"/>
      <c r="T1098" s="217"/>
      <c r="U1098" s="199"/>
      <c r="V1098" s="200"/>
      <c r="W1098" s="200"/>
      <c r="X1098" s="200"/>
      <c r="Y1098" s="200"/>
      <c r="Z1098" s="200"/>
      <c r="AA1098" s="201"/>
      <c r="AB1098" s="200"/>
      <c r="AC1098" s="200"/>
    </row>
    <row r="1099" ht="15.75" customHeight="1">
      <c r="A1099" s="210">
        <f t="shared" si="1"/>
        <v>1097</v>
      </c>
      <c r="B1099" s="217"/>
      <c r="C1099" s="217" t="str">
        <f>IFERROR(VLOOKUP(B1099, SourceData!$U$3:$V$190, 2, FALSE), "")</f>
        <v/>
      </c>
      <c r="D1099" s="240"/>
      <c r="E1099" s="241"/>
      <c r="F1099" s="248"/>
      <c r="G1099" s="207"/>
      <c r="H1099" s="209"/>
      <c r="I1099" s="209"/>
      <c r="J1099" s="209"/>
      <c r="K1099" s="208" t="str">
        <f>IF(Errors!$I1099=0,SourceData!$B$42,VLOOKUP(Errors!$I1099,SourceData!$A$2:$B$40,2,FALSE))</f>
        <v>Please select ERROR CODE column "I"</v>
      </c>
      <c r="L1099" s="207" t="str">
        <f>IF(Errors!$I1099=0,
    'List of Error Codes'!$E$29,
    IFERROR(VLOOKUP(Errors!$I1099, 'List of Error Codes'!D1098:I1128, 6, FALSE), 'List of Error Codes'!$E$29)
)</f>
        <v>Please select ERROR CODE column "I"</v>
      </c>
      <c r="M1099" s="209"/>
      <c r="N1099" s="209"/>
      <c r="O1099" s="209"/>
      <c r="P1099" s="209"/>
      <c r="Q1099" s="209"/>
      <c r="R1099" s="217"/>
      <c r="S1099" s="217"/>
      <c r="T1099" s="217"/>
      <c r="U1099" s="199"/>
      <c r="V1099" s="200"/>
      <c r="W1099" s="200"/>
      <c r="X1099" s="200"/>
      <c r="Y1099" s="200"/>
      <c r="Z1099" s="200"/>
      <c r="AA1099" s="201"/>
      <c r="AB1099" s="200"/>
      <c r="AC1099" s="200"/>
    </row>
    <row r="1100" ht="15.75" customHeight="1">
      <c r="A1100" s="210">
        <f t="shared" si="1"/>
        <v>1098</v>
      </c>
      <c r="B1100" s="217"/>
      <c r="C1100" s="217" t="str">
        <f>IFERROR(VLOOKUP(B1100, SourceData!$U$3:$V$190, 2, FALSE), "")</f>
        <v/>
      </c>
      <c r="D1100" s="240"/>
      <c r="E1100" s="241"/>
      <c r="F1100" s="248"/>
      <c r="G1100" s="207"/>
      <c r="H1100" s="209"/>
      <c r="I1100" s="209"/>
      <c r="J1100" s="209"/>
      <c r="K1100" s="208" t="str">
        <f>IF(Errors!$I1100=0,SourceData!$B$42,VLOOKUP(Errors!$I1100,SourceData!$A$2:$B$40,2,FALSE))</f>
        <v>Please select ERROR CODE column "I"</v>
      </c>
      <c r="L1100" s="207" t="str">
        <f>IF(Errors!$I1100=0,
    'List of Error Codes'!$E$29,
    IFERROR(VLOOKUP(Errors!$I1100, 'List of Error Codes'!D1099:I1129, 6, FALSE), 'List of Error Codes'!$E$29)
)</f>
        <v>Please select ERROR CODE column "I"</v>
      </c>
      <c r="M1100" s="209"/>
      <c r="N1100" s="209"/>
      <c r="O1100" s="209"/>
      <c r="P1100" s="209"/>
      <c r="Q1100" s="209"/>
      <c r="R1100" s="217"/>
      <c r="S1100" s="217"/>
      <c r="T1100" s="217"/>
      <c r="U1100" s="199"/>
      <c r="V1100" s="200"/>
      <c r="W1100" s="200"/>
      <c r="X1100" s="200"/>
      <c r="Y1100" s="200"/>
      <c r="Z1100" s="200"/>
      <c r="AA1100" s="201"/>
      <c r="AB1100" s="200"/>
      <c r="AC1100" s="200"/>
    </row>
    <row r="1101" ht="15.75" customHeight="1">
      <c r="A1101" s="210">
        <f t="shared" si="1"/>
        <v>1099</v>
      </c>
      <c r="B1101" s="217"/>
      <c r="C1101" s="217" t="str">
        <f>IFERROR(VLOOKUP(B1101, SourceData!$U$3:$V$190, 2, FALSE), "")</f>
        <v/>
      </c>
      <c r="D1101" s="240"/>
      <c r="E1101" s="241"/>
      <c r="F1101" s="248"/>
      <c r="G1101" s="207"/>
      <c r="H1101" s="209"/>
      <c r="I1101" s="209"/>
      <c r="J1101" s="209"/>
      <c r="K1101" s="208" t="str">
        <f>IF(Errors!$I1101=0,SourceData!$B$42,VLOOKUP(Errors!$I1101,SourceData!$A$2:$B$40,2,FALSE))</f>
        <v>Please select ERROR CODE column "I"</v>
      </c>
      <c r="L1101" s="207" t="str">
        <f>IF(Errors!$I1101=0,
    'List of Error Codes'!$E$29,
    IFERROR(VLOOKUP(Errors!$I1101, 'List of Error Codes'!D1100:I1130, 6, FALSE), 'List of Error Codes'!$E$29)
)</f>
        <v>Please select ERROR CODE column "I"</v>
      </c>
      <c r="M1101" s="209"/>
      <c r="N1101" s="209"/>
      <c r="O1101" s="209"/>
      <c r="P1101" s="209"/>
      <c r="Q1101" s="209"/>
      <c r="R1101" s="217"/>
      <c r="S1101" s="217"/>
      <c r="T1101" s="217"/>
      <c r="U1101" s="199"/>
      <c r="V1101" s="200"/>
      <c r="W1101" s="200"/>
      <c r="X1101" s="200"/>
      <c r="Y1101" s="200"/>
      <c r="Z1101" s="200"/>
      <c r="AA1101" s="201"/>
      <c r="AB1101" s="200"/>
      <c r="AC1101" s="200"/>
    </row>
    <row r="1102" ht="15.75" customHeight="1">
      <c r="A1102" s="210">
        <f t="shared" si="1"/>
        <v>1100</v>
      </c>
      <c r="B1102" s="217"/>
      <c r="C1102" s="217" t="str">
        <f>IFERROR(VLOOKUP(B1102, SourceData!$U$3:$V$190, 2, FALSE), "")</f>
        <v/>
      </c>
      <c r="D1102" s="240"/>
      <c r="E1102" s="241"/>
      <c r="F1102" s="248"/>
      <c r="G1102" s="207"/>
      <c r="H1102" s="209"/>
      <c r="I1102" s="209"/>
      <c r="J1102" s="209"/>
      <c r="K1102" s="208" t="str">
        <f>IF(Errors!$I1102=0,SourceData!$B$42,VLOOKUP(Errors!$I1102,SourceData!$A$2:$B$40,2,FALSE))</f>
        <v>Please select ERROR CODE column "I"</v>
      </c>
      <c r="L1102" s="207" t="str">
        <f>IF(Errors!$I1102=0,
    'List of Error Codes'!$E$29,
    IFERROR(VLOOKUP(Errors!$I1102, 'List of Error Codes'!D1101:I1131, 6, FALSE), 'List of Error Codes'!$E$29)
)</f>
        <v>Please select ERROR CODE column "I"</v>
      </c>
      <c r="M1102" s="209"/>
      <c r="N1102" s="209"/>
      <c r="O1102" s="209"/>
      <c r="P1102" s="209"/>
      <c r="Q1102" s="209"/>
      <c r="R1102" s="217"/>
      <c r="S1102" s="217"/>
      <c r="T1102" s="217"/>
      <c r="U1102" s="199"/>
      <c r="V1102" s="200"/>
      <c r="W1102" s="200"/>
      <c r="X1102" s="200"/>
      <c r="Y1102" s="200"/>
      <c r="Z1102" s="200"/>
      <c r="AA1102" s="201"/>
      <c r="AB1102" s="200"/>
      <c r="AC1102" s="200"/>
    </row>
    <row r="1103" ht="15.75" customHeight="1">
      <c r="A1103" s="210">
        <f t="shared" si="1"/>
        <v>1101</v>
      </c>
      <c r="B1103" s="217"/>
      <c r="C1103" s="217" t="str">
        <f>IFERROR(VLOOKUP(B1103, SourceData!$U$3:$V$190, 2, FALSE), "")</f>
        <v/>
      </c>
      <c r="D1103" s="240"/>
      <c r="E1103" s="241"/>
      <c r="F1103" s="248"/>
      <c r="G1103" s="207"/>
      <c r="H1103" s="209"/>
      <c r="I1103" s="209"/>
      <c r="J1103" s="209"/>
      <c r="K1103" s="208" t="str">
        <f>IF(Errors!$I1103=0,SourceData!$B$42,VLOOKUP(Errors!$I1103,SourceData!$A$2:$B$40,2,FALSE))</f>
        <v>Please select ERROR CODE column "I"</v>
      </c>
      <c r="L1103" s="207" t="str">
        <f>IF(Errors!$I1103=0,
    'List of Error Codes'!$E$29,
    IFERROR(VLOOKUP(Errors!$I1103, 'List of Error Codes'!D1102:I1132, 6, FALSE), 'List of Error Codes'!$E$29)
)</f>
        <v>Please select ERROR CODE column "I"</v>
      </c>
      <c r="M1103" s="209"/>
      <c r="N1103" s="209"/>
      <c r="O1103" s="209"/>
      <c r="P1103" s="209"/>
      <c r="Q1103" s="209"/>
      <c r="R1103" s="217"/>
      <c r="S1103" s="217"/>
      <c r="T1103" s="217"/>
      <c r="U1103" s="199"/>
      <c r="V1103" s="200"/>
      <c r="W1103" s="200"/>
      <c r="X1103" s="200"/>
      <c r="Y1103" s="200"/>
      <c r="Z1103" s="200"/>
      <c r="AA1103" s="201"/>
      <c r="AB1103" s="200"/>
      <c r="AC1103" s="200"/>
    </row>
    <row r="1104" ht="15.75" customHeight="1">
      <c r="A1104" s="210">
        <f t="shared" si="1"/>
        <v>1102</v>
      </c>
      <c r="B1104" s="217"/>
      <c r="C1104" s="217" t="str">
        <f>IFERROR(VLOOKUP(B1104, SourceData!$U$3:$V$190, 2, FALSE), "")</f>
        <v/>
      </c>
      <c r="D1104" s="240"/>
      <c r="E1104" s="241"/>
      <c r="F1104" s="248"/>
      <c r="G1104" s="207"/>
      <c r="H1104" s="209"/>
      <c r="I1104" s="209"/>
      <c r="J1104" s="209"/>
      <c r="K1104" s="208" t="str">
        <f>IF(Errors!$I1104=0,SourceData!$B$42,VLOOKUP(Errors!$I1104,SourceData!$A$2:$B$40,2,FALSE))</f>
        <v>Please select ERROR CODE column "I"</v>
      </c>
      <c r="L1104" s="207" t="str">
        <f>IF(Errors!$I1104=0,
    'List of Error Codes'!$E$29,
    IFERROR(VLOOKUP(Errors!$I1104, 'List of Error Codes'!D1103:I1133, 6, FALSE), 'List of Error Codes'!$E$29)
)</f>
        <v>Please select ERROR CODE column "I"</v>
      </c>
      <c r="M1104" s="209"/>
      <c r="N1104" s="209"/>
      <c r="O1104" s="209"/>
      <c r="P1104" s="209"/>
      <c r="Q1104" s="209"/>
      <c r="R1104" s="217"/>
      <c r="S1104" s="217"/>
      <c r="T1104" s="217"/>
      <c r="U1104" s="199"/>
      <c r="V1104" s="200"/>
      <c r="W1104" s="200"/>
      <c r="X1104" s="200"/>
      <c r="Y1104" s="200"/>
      <c r="Z1104" s="200"/>
      <c r="AA1104" s="201"/>
      <c r="AB1104" s="200"/>
      <c r="AC1104" s="200"/>
    </row>
    <row r="1105" ht="15.75" customHeight="1">
      <c r="A1105" s="210">
        <f t="shared" si="1"/>
        <v>1103</v>
      </c>
      <c r="B1105" s="217"/>
      <c r="C1105" s="217" t="str">
        <f>IFERROR(VLOOKUP(B1105, SourceData!$U$3:$V$190, 2, FALSE), "")</f>
        <v/>
      </c>
      <c r="D1105" s="240"/>
      <c r="E1105" s="241"/>
      <c r="F1105" s="248"/>
      <c r="G1105" s="207"/>
      <c r="H1105" s="209"/>
      <c r="I1105" s="209"/>
      <c r="J1105" s="209"/>
      <c r="K1105" s="208" t="str">
        <f>IF(Errors!$I1105=0,SourceData!$B$42,VLOOKUP(Errors!$I1105,SourceData!$A$2:$B$40,2,FALSE))</f>
        <v>Please select ERROR CODE column "I"</v>
      </c>
      <c r="L1105" s="207" t="str">
        <f>IF(Errors!$I1105=0,
    'List of Error Codes'!$E$29,
    IFERROR(VLOOKUP(Errors!$I1105, 'List of Error Codes'!D1104:I1134, 6, FALSE), 'List of Error Codes'!$E$29)
)</f>
        <v>Please select ERROR CODE column "I"</v>
      </c>
      <c r="M1105" s="209"/>
      <c r="N1105" s="209"/>
      <c r="O1105" s="209"/>
      <c r="P1105" s="209"/>
      <c r="Q1105" s="209"/>
      <c r="R1105" s="217"/>
      <c r="S1105" s="217"/>
      <c r="T1105" s="217"/>
      <c r="U1105" s="199"/>
      <c r="V1105" s="200"/>
      <c r="W1105" s="200"/>
      <c r="X1105" s="200"/>
      <c r="Y1105" s="200"/>
      <c r="Z1105" s="200"/>
      <c r="AA1105" s="201"/>
      <c r="AB1105" s="200"/>
      <c r="AC1105" s="200"/>
    </row>
    <row r="1106" ht="15.75" customHeight="1">
      <c r="A1106" s="210">
        <f t="shared" si="1"/>
        <v>1104</v>
      </c>
      <c r="B1106" s="217"/>
      <c r="C1106" s="217" t="str">
        <f>IFERROR(VLOOKUP(B1106, SourceData!$U$3:$V$190, 2, FALSE), "")</f>
        <v/>
      </c>
      <c r="D1106" s="240"/>
      <c r="E1106" s="241"/>
      <c r="F1106" s="248"/>
      <c r="G1106" s="207"/>
      <c r="H1106" s="209"/>
      <c r="I1106" s="209"/>
      <c r="J1106" s="209"/>
      <c r="K1106" s="208" t="str">
        <f>IF(Errors!$I1106=0,SourceData!$B$42,VLOOKUP(Errors!$I1106,SourceData!$A$2:$B$40,2,FALSE))</f>
        <v>Please select ERROR CODE column "I"</v>
      </c>
      <c r="L1106" s="207" t="str">
        <f>IF(Errors!$I1106=0,
    'List of Error Codes'!$E$29,
    IFERROR(VLOOKUP(Errors!$I1106, 'List of Error Codes'!D1105:I1135, 6, FALSE), 'List of Error Codes'!$E$29)
)</f>
        <v>Please select ERROR CODE column "I"</v>
      </c>
      <c r="M1106" s="209"/>
      <c r="N1106" s="209"/>
      <c r="O1106" s="209"/>
      <c r="P1106" s="209"/>
      <c r="Q1106" s="209"/>
      <c r="R1106" s="217"/>
      <c r="S1106" s="217"/>
      <c r="T1106" s="217"/>
      <c r="U1106" s="199"/>
      <c r="V1106" s="200"/>
      <c r="W1106" s="200"/>
      <c r="X1106" s="200"/>
      <c r="Y1106" s="200"/>
      <c r="Z1106" s="200"/>
      <c r="AA1106" s="201"/>
      <c r="AB1106" s="200"/>
      <c r="AC1106" s="200"/>
    </row>
    <row r="1107" ht="15.75" customHeight="1">
      <c r="A1107" s="210">
        <f t="shared" si="1"/>
        <v>1105</v>
      </c>
      <c r="B1107" s="217"/>
      <c r="C1107" s="217" t="str">
        <f>IFERROR(VLOOKUP(B1107, SourceData!$U$3:$V$190, 2, FALSE), "")</f>
        <v/>
      </c>
      <c r="D1107" s="240"/>
      <c r="E1107" s="241"/>
      <c r="F1107" s="248"/>
      <c r="G1107" s="207"/>
      <c r="H1107" s="209"/>
      <c r="I1107" s="209"/>
      <c r="J1107" s="209"/>
      <c r="K1107" s="208" t="str">
        <f>IF(Errors!$I1107=0,SourceData!$B$42,VLOOKUP(Errors!$I1107,SourceData!$A$2:$B$40,2,FALSE))</f>
        <v>Please select ERROR CODE column "I"</v>
      </c>
      <c r="L1107" s="207" t="str">
        <f>IF(Errors!$I1107=0,
    'List of Error Codes'!$E$29,
    IFERROR(VLOOKUP(Errors!$I1107, 'List of Error Codes'!D1106:I1136, 6, FALSE), 'List of Error Codes'!$E$29)
)</f>
        <v>Please select ERROR CODE column "I"</v>
      </c>
      <c r="M1107" s="209"/>
      <c r="N1107" s="209"/>
      <c r="O1107" s="209"/>
      <c r="P1107" s="209"/>
      <c r="Q1107" s="209"/>
      <c r="R1107" s="217"/>
      <c r="S1107" s="217"/>
      <c r="T1107" s="217"/>
      <c r="U1107" s="199"/>
      <c r="V1107" s="200"/>
      <c r="W1107" s="200"/>
      <c r="X1107" s="200"/>
      <c r="Y1107" s="200"/>
      <c r="Z1107" s="200"/>
      <c r="AA1107" s="201"/>
      <c r="AB1107" s="200"/>
      <c r="AC1107" s="200"/>
    </row>
    <row r="1108" ht="15.75" customHeight="1">
      <c r="A1108" s="210">
        <f t="shared" si="1"/>
        <v>1106</v>
      </c>
      <c r="B1108" s="217"/>
      <c r="C1108" s="217" t="str">
        <f>IFERROR(VLOOKUP(B1108, SourceData!$U$3:$V$190, 2, FALSE), "")</f>
        <v/>
      </c>
      <c r="D1108" s="240"/>
      <c r="E1108" s="241"/>
      <c r="F1108" s="248"/>
      <c r="G1108" s="207"/>
      <c r="H1108" s="209"/>
      <c r="I1108" s="209"/>
      <c r="J1108" s="209"/>
      <c r="K1108" s="208" t="str">
        <f>IF(Errors!$I1108=0,SourceData!$B$42,VLOOKUP(Errors!$I1108,SourceData!$A$2:$B$40,2,FALSE))</f>
        <v>Please select ERROR CODE column "I"</v>
      </c>
      <c r="L1108" s="207" t="str">
        <f>IF(Errors!$I1108=0,
    'List of Error Codes'!$E$29,
    IFERROR(VLOOKUP(Errors!$I1108, 'List of Error Codes'!D1107:I1137, 6, FALSE), 'List of Error Codes'!$E$29)
)</f>
        <v>Please select ERROR CODE column "I"</v>
      </c>
      <c r="M1108" s="209"/>
      <c r="N1108" s="209"/>
      <c r="O1108" s="209"/>
      <c r="P1108" s="209"/>
      <c r="Q1108" s="209"/>
      <c r="R1108" s="217"/>
      <c r="S1108" s="217"/>
      <c r="T1108" s="217"/>
      <c r="U1108" s="199"/>
      <c r="V1108" s="200"/>
      <c r="W1108" s="200"/>
      <c r="X1108" s="200"/>
      <c r="Y1108" s="200"/>
      <c r="Z1108" s="200"/>
      <c r="AA1108" s="201"/>
      <c r="AB1108" s="200"/>
      <c r="AC1108" s="200"/>
    </row>
    <row r="1109" ht="15.75" customHeight="1">
      <c r="A1109" s="210">
        <f t="shared" si="1"/>
        <v>1107</v>
      </c>
      <c r="B1109" s="217"/>
      <c r="C1109" s="217" t="str">
        <f>IFERROR(VLOOKUP(B1109, SourceData!$U$3:$V$190, 2, FALSE), "")</f>
        <v/>
      </c>
      <c r="D1109" s="240"/>
      <c r="E1109" s="241"/>
      <c r="F1109" s="248"/>
      <c r="G1109" s="207"/>
      <c r="H1109" s="209"/>
      <c r="I1109" s="209"/>
      <c r="J1109" s="209"/>
      <c r="K1109" s="208" t="str">
        <f>IF(Errors!$I1109=0,SourceData!$B$42,VLOOKUP(Errors!$I1109,SourceData!$A$2:$B$40,2,FALSE))</f>
        <v>Please select ERROR CODE column "I"</v>
      </c>
      <c r="L1109" s="207" t="str">
        <f>IF(Errors!$I1109=0,
    'List of Error Codes'!$E$29,
    IFERROR(VLOOKUP(Errors!$I1109, 'List of Error Codes'!D1108:I1138, 6, FALSE), 'List of Error Codes'!$E$29)
)</f>
        <v>Please select ERROR CODE column "I"</v>
      </c>
      <c r="M1109" s="209"/>
      <c r="N1109" s="209"/>
      <c r="O1109" s="209"/>
      <c r="P1109" s="209"/>
      <c r="Q1109" s="209"/>
      <c r="R1109" s="217"/>
      <c r="S1109" s="217"/>
      <c r="T1109" s="217"/>
      <c r="U1109" s="199"/>
      <c r="V1109" s="200"/>
      <c r="W1109" s="200"/>
      <c r="X1109" s="200"/>
      <c r="Y1109" s="200"/>
      <c r="Z1109" s="200"/>
      <c r="AA1109" s="201"/>
      <c r="AB1109" s="200"/>
      <c r="AC1109" s="200"/>
    </row>
    <row r="1110" ht="15.75" customHeight="1">
      <c r="A1110" s="210">
        <f t="shared" si="1"/>
        <v>1108</v>
      </c>
      <c r="B1110" s="217"/>
      <c r="C1110" s="217" t="str">
        <f>IFERROR(VLOOKUP(B1110, SourceData!$U$3:$V$190, 2, FALSE), "")</f>
        <v/>
      </c>
      <c r="D1110" s="240"/>
      <c r="E1110" s="241"/>
      <c r="F1110" s="248"/>
      <c r="G1110" s="207"/>
      <c r="H1110" s="209"/>
      <c r="I1110" s="209"/>
      <c r="J1110" s="209"/>
      <c r="K1110" s="208" t="str">
        <f>IF(Errors!$I1110=0,SourceData!$B$42,VLOOKUP(Errors!$I1110,SourceData!$A$2:$B$40,2,FALSE))</f>
        <v>Please select ERROR CODE column "I"</v>
      </c>
      <c r="L1110" s="207" t="str">
        <f>IF(Errors!$I1110=0,
    'List of Error Codes'!$E$29,
    IFERROR(VLOOKUP(Errors!$I1110, 'List of Error Codes'!D1109:I1139, 6, FALSE), 'List of Error Codes'!$E$29)
)</f>
        <v>Please select ERROR CODE column "I"</v>
      </c>
      <c r="M1110" s="209"/>
      <c r="N1110" s="209"/>
      <c r="O1110" s="209"/>
      <c r="P1110" s="209"/>
      <c r="Q1110" s="209"/>
      <c r="R1110" s="217"/>
      <c r="S1110" s="217"/>
      <c r="T1110" s="217"/>
      <c r="U1110" s="199"/>
      <c r="V1110" s="200"/>
      <c r="W1110" s="200"/>
      <c r="X1110" s="200"/>
      <c r="Y1110" s="200"/>
      <c r="Z1110" s="200"/>
      <c r="AA1110" s="201"/>
      <c r="AB1110" s="200"/>
      <c r="AC1110" s="200"/>
    </row>
    <row r="1111" ht="15.75" customHeight="1">
      <c r="A1111" s="210">
        <f t="shared" si="1"/>
        <v>1109</v>
      </c>
      <c r="B1111" s="217"/>
      <c r="C1111" s="217" t="str">
        <f>IFERROR(VLOOKUP(B1111, SourceData!$U$3:$V$190, 2, FALSE), "")</f>
        <v/>
      </c>
      <c r="D1111" s="240"/>
      <c r="E1111" s="241"/>
      <c r="F1111" s="248"/>
      <c r="G1111" s="207"/>
      <c r="H1111" s="209"/>
      <c r="I1111" s="209"/>
      <c r="J1111" s="209"/>
      <c r="K1111" s="208" t="str">
        <f>IF(Errors!$I1111=0,SourceData!$B$42,VLOOKUP(Errors!$I1111,SourceData!$A$2:$B$40,2,FALSE))</f>
        <v>Please select ERROR CODE column "I"</v>
      </c>
      <c r="L1111" s="207" t="str">
        <f>IF(Errors!$I1111=0,
    'List of Error Codes'!$E$29,
    IFERROR(VLOOKUP(Errors!$I1111, 'List of Error Codes'!D1110:I1140, 6, FALSE), 'List of Error Codes'!$E$29)
)</f>
        <v>Please select ERROR CODE column "I"</v>
      </c>
      <c r="M1111" s="209"/>
      <c r="N1111" s="209"/>
      <c r="O1111" s="209"/>
      <c r="P1111" s="209"/>
      <c r="Q1111" s="209"/>
      <c r="R1111" s="217"/>
      <c r="S1111" s="217"/>
      <c r="T1111" s="217"/>
      <c r="U1111" s="199"/>
      <c r="V1111" s="200"/>
      <c r="W1111" s="200"/>
      <c r="X1111" s="200"/>
      <c r="Y1111" s="200"/>
      <c r="Z1111" s="200"/>
      <c r="AA1111" s="201"/>
      <c r="AB1111" s="200"/>
      <c r="AC1111" s="200"/>
    </row>
    <row r="1112" ht="15.75" customHeight="1">
      <c r="A1112" s="210">
        <f t="shared" si="1"/>
        <v>1110</v>
      </c>
      <c r="B1112" s="217"/>
      <c r="C1112" s="217" t="str">
        <f>IFERROR(VLOOKUP(B1112, SourceData!$U$3:$V$190, 2, FALSE), "")</f>
        <v/>
      </c>
      <c r="D1112" s="240"/>
      <c r="E1112" s="241"/>
      <c r="F1112" s="248"/>
      <c r="G1112" s="207"/>
      <c r="H1112" s="209"/>
      <c r="I1112" s="209"/>
      <c r="J1112" s="209"/>
      <c r="K1112" s="208" t="str">
        <f>IF(Errors!$I1112=0,SourceData!$B$42,VLOOKUP(Errors!$I1112,SourceData!$A$2:$B$40,2,FALSE))</f>
        <v>Please select ERROR CODE column "I"</v>
      </c>
      <c r="L1112" s="207" t="str">
        <f>IF(Errors!$I1112=0,
    'List of Error Codes'!$E$29,
    IFERROR(VLOOKUP(Errors!$I1112, 'List of Error Codes'!D1111:I1141, 6, FALSE), 'List of Error Codes'!$E$29)
)</f>
        <v>Please select ERROR CODE column "I"</v>
      </c>
      <c r="M1112" s="209"/>
      <c r="N1112" s="209"/>
      <c r="O1112" s="209"/>
      <c r="P1112" s="209"/>
      <c r="Q1112" s="209"/>
      <c r="R1112" s="217"/>
      <c r="S1112" s="217"/>
      <c r="T1112" s="217"/>
      <c r="U1112" s="199"/>
      <c r="V1112" s="200"/>
      <c r="W1112" s="200"/>
      <c r="X1112" s="200"/>
      <c r="Y1112" s="200"/>
      <c r="Z1112" s="200"/>
      <c r="AA1112" s="201"/>
      <c r="AB1112" s="200"/>
      <c r="AC1112" s="200"/>
    </row>
    <row r="1113" ht="15.75" customHeight="1">
      <c r="A1113" s="210">
        <f t="shared" si="1"/>
        <v>1111</v>
      </c>
      <c r="B1113" s="217"/>
      <c r="C1113" s="217" t="str">
        <f>IFERROR(VLOOKUP(B1113, SourceData!$U$3:$V$190, 2, FALSE), "")</f>
        <v/>
      </c>
      <c r="D1113" s="240"/>
      <c r="E1113" s="241"/>
      <c r="F1113" s="248"/>
      <c r="G1113" s="207"/>
      <c r="H1113" s="209"/>
      <c r="I1113" s="209"/>
      <c r="J1113" s="209"/>
      <c r="K1113" s="208" t="str">
        <f>IF(Errors!$I1113=0,SourceData!$B$42,VLOOKUP(Errors!$I1113,SourceData!$A$2:$B$40,2,FALSE))</f>
        <v>Please select ERROR CODE column "I"</v>
      </c>
      <c r="L1113" s="207" t="str">
        <f>IF(Errors!$I1113=0,
    'List of Error Codes'!$E$29,
    IFERROR(VLOOKUP(Errors!$I1113, 'List of Error Codes'!D1112:I1142, 6, FALSE), 'List of Error Codes'!$E$29)
)</f>
        <v>Please select ERROR CODE column "I"</v>
      </c>
      <c r="M1113" s="209"/>
      <c r="N1113" s="209"/>
      <c r="O1113" s="209"/>
      <c r="P1113" s="209"/>
      <c r="Q1113" s="209"/>
      <c r="R1113" s="217"/>
      <c r="S1113" s="217"/>
      <c r="T1113" s="217"/>
      <c r="U1113" s="199"/>
      <c r="V1113" s="200"/>
      <c r="W1113" s="200"/>
      <c r="X1113" s="200"/>
      <c r="Y1113" s="200"/>
      <c r="Z1113" s="200"/>
      <c r="AA1113" s="201"/>
      <c r="AB1113" s="200"/>
      <c r="AC1113" s="200"/>
    </row>
    <row r="1114" ht="15.75" customHeight="1">
      <c r="A1114" s="210">
        <f t="shared" si="1"/>
        <v>1112</v>
      </c>
      <c r="B1114" s="217"/>
      <c r="C1114" s="217" t="str">
        <f>IFERROR(VLOOKUP(B1114, SourceData!$U$3:$V$190, 2, FALSE), "")</f>
        <v/>
      </c>
      <c r="D1114" s="240"/>
      <c r="E1114" s="241"/>
      <c r="F1114" s="248"/>
      <c r="G1114" s="207"/>
      <c r="H1114" s="209"/>
      <c r="I1114" s="209"/>
      <c r="J1114" s="209"/>
      <c r="K1114" s="208" t="str">
        <f>IF(Errors!$I1114=0,SourceData!$B$42,VLOOKUP(Errors!$I1114,SourceData!$A$2:$B$40,2,FALSE))</f>
        <v>Please select ERROR CODE column "I"</v>
      </c>
      <c r="L1114" s="207" t="str">
        <f>IF(Errors!$I1114=0,
    'List of Error Codes'!$E$29,
    IFERROR(VLOOKUP(Errors!$I1114, 'List of Error Codes'!D1113:I1143, 6, FALSE), 'List of Error Codes'!$E$29)
)</f>
        <v>Please select ERROR CODE column "I"</v>
      </c>
      <c r="M1114" s="209"/>
      <c r="N1114" s="209"/>
      <c r="O1114" s="209"/>
      <c r="P1114" s="209"/>
      <c r="Q1114" s="209"/>
      <c r="R1114" s="217"/>
      <c r="S1114" s="217"/>
      <c r="T1114" s="217"/>
      <c r="U1114" s="199"/>
      <c r="V1114" s="200"/>
      <c r="W1114" s="200"/>
      <c r="X1114" s="200"/>
      <c r="Y1114" s="200"/>
      <c r="Z1114" s="200"/>
      <c r="AA1114" s="201"/>
      <c r="AB1114" s="200"/>
      <c r="AC1114" s="200"/>
    </row>
    <row r="1115" ht="15.75" customHeight="1">
      <c r="A1115" s="210">
        <f t="shared" si="1"/>
        <v>1113</v>
      </c>
      <c r="B1115" s="217"/>
      <c r="C1115" s="217" t="str">
        <f>IFERROR(VLOOKUP(B1115, SourceData!$U$3:$V$190, 2, FALSE), "")</f>
        <v/>
      </c>
      <c r="D1115" s="240"/>
      <c r="E1115" s="241"/>
      <c r="F1115" s="248"/>
      <c r="G1115" s="207"/>
      <c r="H1115" s="209"/>
      <c r="I1115" s="209"/>
      <c r="J1115" s="209"/>
      <c r="K1115" s="208" t="str">
        <f>IF(Errors!$I1115=0,SourceData!$B$42,VLOOKUP(Errors!$I1115,SourceData!$A$2:$B$40,2,FALSE))</f>
        <v>Please select ERROR CODE column "I"</v>
      </c>
      <c r="L1115" s="207" t="str">
        <f>IF(Errors!$I1115=0,
    'List of Error Codes'!$E$29,
    IFERROR(VLOOKUP(Errors!$I1115, 'List of Error Codes'!D1114:I1144, 6, FALSE), 'List of Error Codes'!$E$29)
)</f>
        <v>Please select ERROR CODE column "I"</v>
      </c>
      <c r="M1115" s="209"/>
      <c r="N1115" s="209"/>
      <c r="O1115" s="209"/>
      <c r="P1115" s="209"/>
      <c r="Q1115" s="209"/>
      <c r="R1115" s="217"/>
      <c r="S1115" s="217"/>
      <c r="T1115" s="217"/>
      <c r="U1115" s="199"/>
      <c r="V1115" s="200"/>
      <c r="W1115" s="200"/>
      <c r="X1115" s="200"/>
      <c r="Y1115" s="200"/>
      <c r="Z1115" s="200"/>
      <c r="AA1115" s="201"/>
      <c r="AB1115" s="200"/>
      <c r="AC1115" s="200"/>
    </row>
    <row r="1116" ht="15.75" customHeight="1">
      <c r="A1116" s="210">
        <f t="shared" si="1"/>
        <v>1114</v>
      </c>
      <c r="B1116" s="217"/>
      <c r="C1116" s="217" t="str">
        <f>IFERROR(VLOOKUP(B1116, SourceData!$U$3:$V$190, 2, FALSE), "")</f>
        <v/>
      </c>
      <c r="D1116" s="240"/>
      <c r="E1116" s="241"/>
      <c r="F1116" s="248"/>
      <c r="G1116" s="207"/>
      <c r="H1116" s="209"/>
      <c r="I1116" s="209"/>
      <c r="J1116" s="209"/>
      <c r="K1116" s="208" t="str">
        <f>IF(Errors!$I1116=0,SourceData!$B$42,VLOOKUP(Errors!$I1116,SourceData!$A$2:$B$40,2,FALSE))</f>
        <v>Please select ERROR CODE column "I"</v>
      </c>
      <c r="L1116" s="207" t="str">
        <f>IF(Errors!$I1116=0,
    'List of Error Codes'!$E$29,
    IFERROR(VLOOKUP(Errors!$I1116, 'List of Error Codes'!D1115:I1145, 6, FALSE), 'List of Error Codes'!$E$29)
)</f>
        <v>Please select ERROR CODE column "I"</v>
      </c>
      <c r="M1116" s="209"/>
      <c r="N1116" s="209"/>
      <c r="O1116" s="209"/>
      <c r="P1116" s="209"/>
      <c r="Q1116" s="209"/>
      <c r="R1116" s="217"/>
      <c r="S1116" s="217"/>
      <c r="T1116" s="217"/>
      <c r="U1116" s="199"/>
      <c r="V1116" s="200"/>
      <c r="W1116" s="200"/>
      <c r="X1116" s="200"/>
      <c r="Y1116" s="200"/>
      <c r="Z1116" s="200"/>
      <c r="AA1116" s="201"/>
      <c r="AB1116" s="200"/>
      <c r="AC1116" s="200"/>
    </row>
    <row r="1117" ht="15.75" customHeight="1">
      <c r="A1117" s="210">
        <f t="shared" si="1"/>
        <v>1115</v>
      </c>
      <c r="B1117" s="217"/>
      <c r="C1117" s="217" t="str">
        <f>IFERROR(VLOOKUP(B1117, SourceData!$U$3:$V$190, 2, FALSE), "")</f>
        <v/>
      </c>
      <c r="D1117" s="240"/>
      <c r="E1117" s="241"/>
      <c r="F1117" s="248"/>
      <c r="G1117" s="207"/>
      <c r="H1117" s="209"/>
      <c r="I1117" s="209"/>
      <c r="J1117" s="209"/>
      <c r="K1117" s="208" t="str">
        <f>IF(Errors!$I1117=0,SourceData!$B$42,VLOOKUP(Errors!$I1117,SourceData!$A$2:$B$40,2,FALSE))</f>
        <v>Please select ERROR CODE column "I"</v>
      </c>
      <c r="L1117" s="207" t="str">
        <f>IF(Errors!$I1117=0,
    'List of Error Codes'!$E$29,
    IFERROR(VLOOKUP(Errors!$I1117, 'List of Error Codes'!D1116:I1146, 6, FALSE), 'List of Error Codes'!$E$29)
)</f>
        <v>Please select ERROR CODE column "I"</v>
      </c>
      <c r="M1117" s="209"/>
      <c r="N1117" s="209"/>
      <c r="O1117" s="209"/>
      <c r="P1117" s="209"/>
      <c r="Q1117" s="209"/>
      <c r="R1117" s="217"/>
      <c r="S1117" s="217"/>
      <c r="T1117" s="217"/>
      <c r="U1117" s="199"/>
      <c r="V1117" s="200"/>
      <c r="W1117" s="200"/>
      <c r="X1117" s="200"/>
      <c r="Y1117" s="200"/>
      <c r="Z1117" s="200"/>
      <c r="AA1117" s="201"/>
      <c r="AB1117" s="200"/>
      <c r="AC1117" s="200"/>
    </row>
    <row r="1118" ht="15.75" customHeight="1">
      <c r="A1118" s="210">
        <f t="shared" si="1"/>
        <v>1116</v>
      </c>
      <c r="B1118" s="217"/>
      <c r="C1118" s="217" t="str">
        <f>IFERROR(VLOOKUP(B1118, SourceData!$U$3:$V$190, 2, FALSE), "")</f>
        <v/>
      </c>
      <c r="D1118" s="240"/>
      <c r="E1118" s="241"/>
      <c r="F1118" s="248"/>
      <c r="G1118" s="207"/>
      <c r="H1118" s="209"/>
      <c r="I1118" s="209"/>
      <c r="J1118" s="209"/>
      <c r="K1118" s="208" t="str">
        <f>IF(Errors!$I1118=0,SourceData!$B$42,VLOOKUP(Errors!$I1118,SourceData!$A$2:$B$40,2,FALSE))</f>
        <v>Please select ERROR CODE column "I"</v>
      </c>
      <c r="L1118" s="207" t="str">
        <f>IF(Errors!$I1118=0,
    'List of Error Codes'!$E$29,
    IFERROR(VLOOKUP(Errors!$I1118, 'List of Error Codes'!D1117:I1147, 6, FALSE), 'List of Error Codes'!$E$29)
)</f>
        <v>Please select ERROR CODE column "I"</v>
      </c>
      <c r="M1118" s="209"/>
      <c r="N1118" s="209"/>
      <c r="O1118" s="209"/>
      <c r="P1118" s="209"/>
      <c r="Q1118" s="209"/>
      <c r="R1118" s="217"/>
      <c r="S1118" s="217"/>
      <c r="T1118" s="217"/>
      <c r="U1118" s="199"/>
      <c r="V1118" s="200"/>
      <c r="W1118" s="200"/>
      <c r="X1118" s="200"/>
      <c r="Y1118" s="200"/>
      <c r="Z1118" s="200"/>
      <c r="AA1118" s="201"/>
      <c r="AB1118" s="200"/>
      <c r="AC1118" s="200"/>
    </row>
    <row r="1119" ht="15.75" customHeight="1">
      <c r="A1119" s="210">
        <f t="shared" si="1"/>
        <v>1117</v>
      </c>
      <c r="B1119" s="217"/>
      <c r="C1119" s="217" t="str">
        <f>IFERROR(VLOOKUP(B1119, SourceData!$U$3:$V$190, 2, FALSE), "")</f>
        <v/>
      </c>
      <c r="D1119" s="240"/>
      <c r="E1119" s="241"/>
      <c r="F1119" s="248"/>
      <c r="G1119" s="207"/>
      <c r="H1119" s="209"/>
      <c r="I1119" s="209"/>
      <c r="J1119" s="209"/>
      <c r="K1119" s="208" t="str">
        <f>IF(Errors!$I1119=0,SourceData!$B$42,VLOOKUP(Errors!$I1119,SourceData!$A$2:$B$40,2,FALSE))</f>
        <v>Please select ERROR CODE column "I"</v>
      </c>
      <c r="L1119" s="207" t="str">
        <f>IF(Errors!$I1119=0,
    'List of Error Codes'!$E$29,
    IFERROR(VLOOKUP(Errors!$I1119, 'List of Error Codes'!D1118:I1148, 6, FALSE), 'List of Error Codes'!$E$29)
)</f>
        <v>Please select ERROR CODE column "I"</v>
      </c>
      <c r="M1119" s="209"/>
      <c r="N1119" s="209"/>
      <c r="O1119" s="209"/>
      <c r="P1119" s="209"/>
      <c r="Q1119" s="209"/>
      <c r="R1119" s="217"/>
      <c r="S1119" s="217"/>
      <c r="T1119" s="217"/>
      <c r="U1119" s="199"/>
      <c r="V1119" s="200"/>
      <c r="W1119" s="200"/>
      <c r="X1119" s="200"/>
      <c r="Y1119" s="200"/>
      <c r="Z1119" s="200"/>
      <c r="AA1119" s="201"/>
      <c r="AB1119" s="200"/>
      <c r="AC1119" s="200"/>
    </row>
    <row r="1120" ht="15.75" customHeight="1">
      <c r="A1120" s="210">
        <f t="shared" si="1"/>
        <v>1118</v>
      </c>
      <c r="B1120" s="217"/>
      <c r="C1120" s="217" t="str">
        <f>IFERROR(VLOOKUP(B1120, SourceData!$U$3:$V$190, 2, FALSE), "")</f>
        <v/>
      </c>
      <c r="D1120" s="240"/>
      <c r="E1120" s="241"/>
      <c r="F1120" s="248"/>
      <c r="G1120" s="207"/>
      <c r="H1120" s="209"/>
      <c r="I1120" s="209"/>
      <c r="J1120" s="209"/>
      <c r="K1120" s="208" t="str">
        <f>IF(Errors!$I1120=0,SourceData!$B$42,VLOOKUP(Errors!$I1120,SourceData!$A$2:$B$40,2,FALSE))</f>
        <v>Please select ERROR CODE column "I"</v>
      </c>
      <c r="L1120" s="207" t="str">
        <f>IF(Errors!$I1120=0,
    'List of Error Codes'!$E$29,
    IFERROR(VLOOKUP(Errors!$I1120, 'List of Error Codes'!D1119:I1149, 6, FALSE), 'List of Error Codes'!$E$29)
)</f>
        <v>Please select ERROR CODE column "I"</v>
      </c>
      <c r="M1120" s="209"/>
      <c r="N1120" s="209"/>
      <c r="O1120" s="209"/>
      <c r="P1120" s="209"/>
      <c r="Q1120" s="209"/>
      <c r="R1120" s="217"/>
      <c r="S1120" s="217"/>
      <c r="T1120" s="217"/>
      <c r="U1120" s="199"/>
      <c r="V1120" s="200"/>
      <c r="W1120" s="200"/>
      <c r="X1120" s="200"/>
      <c r="Y1120" s="200"/>
      <c r="Z1120" s="200"/>
      <c r="AA1120" s="201"/>
      <c r="AB1120" s="200"/>
      <c r="AC1120" s="200"/>
    </row>
    <row r="1121" ht="15.75" customHeight="1">
      <c r="A1121" s="210">
        <f t="shared" si="1"/>
        <v>1119</v>
      </c>
      <c r="B1121" s="217"/>
      <c r="C1121" s="217" t="str">
        <f>IFERROR(VLOOKUP(B1121, SourceData!$U$3:$V$190, 2, FALSE), "")</f>
        <v/>
      </c>
      <c r="D1121" s="240"/>
      <c r="E1121" s="241"/>
      <c r="F1121" s="248"/>
      <c r="G1121" s="207"/>
      <c r="H1121" s="209"/>
      <c r="I1121" s="209"/>
      <c r="J1121" s="209"/>
      <c r="K1121" s="208" t="str">
        <f>IF(Errors!$I1121=0,SourceData!$B$42,VLOOKUP(Errors!$I1121,SourceData!$A$2:$B$40,2,FALSE))</f>
        <v>Please select ERROR CODE column "I"</v>
      </c>
      <c r="L1121" s="207" t="str">
        <f>IF(Errors!$I1121=0,
    'List of Error Codes'!$E$29,
    IFERROR(VLOOKUP(Errors!$I1121, 'List of Error Codes'!D1120:I1150, 6, FALSE), 'List of Error Codes'!$E$29)
)</f>
        <v>Please select ERROR CODE column "I"</v>
      </c>
      <c r="M1121" s="209"/>
      <c r="N1121" s="209"/>
      <c r="O1121" s="209"/>
      <c r="P1121" s="209"/>
      <c r="Q1121" s="209"/>
      <c r="R1121" s="217"/>
      <c r="S1121" s="217"/>
      <c r="T1121" s="217"/>
      <c r="U1121" s="199"/>
      <c r="V1121" s="200"/>
      <c r="W1121" s="200"/>
      <c r="X1121" s="200"/>
      <c r="Y1121" s="200"/>
      <c r="Z1121" s="200"/>
      <c r="AA1121" s="201"/>
      <c r="AB1121" s="200"/>
      <c r="AC1121" s="200"/>
    </row>
    <row r="1122" ht="15.75" customHeight="1">
      <c r="A1122" s="210">
        <f t="shared" si="1"/>
        <v>1120</v>
      </c>
      <c r="B1122" s="217"/>
      <c r="C1122" s="217" t="str">
        <f>IFERROR(VLOOKUP(B1122, SourceData!$U$3:$V$190, 2, FALSE), "")</f>
        <v/>
      </c>
      <c r="D1122" s="240"/>
      <c r="E1122" s="241"/>
      <c r="F1122" s="248"/>
      <c r="G1122" s="207"/>
      <c r="H1122" s="209"/>
      <c r="I1122" s="209"/>
      <c r="J1122" s="209"/>
      <c r="K1122" s="208" t="str">
        <f>IF(Errors!$I1122=0,SourceData!$B$42,VLOOKUP(Errors!$I1122,SourceData!$A$2:$B$40,2,FALSE))</f>
        <v>Please select ERROR CODE column "I"</v>
      </c>
      <c r="L1122" s="207" t="str">
        <f>IF(Errors!$I1122=0,
    'List of Error Codes'!$E$29,
    IFERROR(VLOOKUP(Errors!$I1122, 'List of Error Codes'!D1121:I1151, 6, FALSE), 'List of Error Codes'!$E$29)
)</f>
        <v>Please select ERROR CODE column "I"</v>
      </c>
      <c r="M1122" s="209"/>
      <c r="N1122" s="209"/>
      <c r="O1122" s="209"/>
      <c r="P1122" s="209"/>
      <c r="Q1122" s="209"/>
      <c r="R1122" s="217"/>
      <c r="S1122" s="217"/>
      <c r="T1122" s="217"/>
      <c r="U1122" s="199"/>
      <c r="V1122" s="200"/>
      <c r="W1122" s="200"/>
      <c r="X1122" s="200"/>
      <c r="Y1122" s="200"/>
      <c r="Z1122" s="200"/>
      <c r="AA1122" s="201"/>
      <c r="AB1122" s="200"/>
      <c r="AC1122" s="200"/>
    </row>
    <row r="1123" ht="15.75" customHeight="1">
      <c r="A1123" s="210">
        <f t="shared" si="1"/>
        <v>1121</v>
      </c>
      <c r="B1123" s="217"/>
      <c r="C1123" s="217" t="str">
        <f>IFERROR(VLOOKUP(B1123, SourceData!$U$3:$V$190, 2, FALSE), "")</f>
        <v/>
      </c>
      <c r="D1123" s="240"/>
      <c r="E1123" s="241"/>
      <c r="F1123" s="248"/>
      <c r="G1123" s="207"/>
      <c r="H1123" s="209"/>
      <c r="I1123" s="209"/>
      <c r="J1123" s="209"/>
      <c r="K1123" s="208" t="str">
        <f>IF(Errors!$I1123=0,SourceData!$B$42,VLOOKUP(Errors!$I1123,SourceData!$A$2:$B$40,2,FALSE))</f>
        <v>Please select ERROR CODE column "I"</v>
      </c>
      <c r="L1123" s="207" t="str">
        <f>IF(Errors!$I1123=0,
    'List of Error Codes'!$E$29,
    IFERROR(VLOOKUP(Errors!$I1123, 'List of Error Codes'!D1122:I1152, 6, FALSE), 'List of Error Codes'!$E$29)
)</f>
        <v>Please select ERROR CODE column "I"</v>
      </c>
      <c r="M1123" s="209"/>
      <c r="N1123" s="209"/>
      <c r="O1123" s="209"/>
      <c r="P1123" s="209"/>
      <c r="Q1123" s="209"/>
      <c r="R1123" s="217"/>
      <c r="S1123" s="217"/>
      <c r="T1123" s="217"/>
      <c r="U1123" s="199"/>
      <c r="V1123" s="200"/>
      <c r="W1123" s="200"/>
      <c r="X1123" s="200"/>
      <c r="Y1123" s="200"/>
      <c r="Z1123" s="200"/>
      <c r="AA1123" s="201"/>
      <c r="AB1123" s="200"/>
      <c r="AC1123" s="200"/>
    </row>
    <row r="1124" ht="15.75" customHeight="1">
      <c r="A1124" s="210">
        <f t="shared" si="1"/>
        <v>1122</v>
      </c>
      <c r="B1124" s="217"/>
      <c r="C1124" s="217" t="str">
        <f>IFERROR(VLOOKUP(B1124, SourceData!$U$3:$V$190, 2, FALSE), "")</f>
        <v/>
      </c>
      <c r="D1124" s="240"/>
      <c r="E1124" s="241"/>
      <c r="F1124" s="248"/>
      <c r="G1124" s="207"/>
      <c r="H1124" s="209"/>
      <c r="I1124" s="209"/>
      <c r="J1124" s="209"/>
      <c r="K1124" s="208" t="str">
        <f>IF(Errors!$I1124=0,SourceData!$B$42,VLOOKUP(Errors!$I1124,SourceData!$A$2:$B$40,2,FALSE))</f>
        <v>Please select ERROR CODE column "I"</v>
      </c>
      <c r="L1124" s="207" t="str">
        <f>IF(Errors!$I1124=0,
    'List of Error Codes'!$E$29,
    IFERROR(VLOOKUP(Errors!$I1124, 'List of Error Codes'!D1123:I1153, 6, FALSE), 'List of Error Codes'!$E$29)
)</f>
        <v>Please select ERROR CODE column "I"</v>
      </c>
      <c r="M1124" s="209"/>
      <c r="N1124" s="209"/>
      <c r="O1124" s="209"/>
      <c r="P1124" s="209"/>
      <c r="Q1124" s="209"/>
      <c r="R1124" s="217"/>
      <c r="S1124" s="217"/>
      <c r="T1124" s="217"/>
      <c r="U1124" s="199"/>
      <c r="V1124" s="200"/>
      <c r="W1124" s="200"/>
      <c r="X1124" s="200"/>
      <c r="Y1124" s="200"/>
      <c r="Z1124" s="200"/>
      <c r="AA1124" s="201"/>
      <c r="AB1124" s="200"/>
      <c r="AC1124" s="200"/>
    </row>
    <row r="1125" ht="15.75" customHeight="1">
      <c r="A1125" s="210">
        <f t="shared" si="1"/>
        <v>1123</v>
      </c>
      <c r="B1125" s="217"/>
      <c r="C1125" s="217" t="str">
        <f>IFERROR(VLOOKUP(B1125, SourceData!$U$3:$V$190, 2, FALSE), "")</f>
        <v/>
      </c>
      <c r="D1125" s="240"/>
      <c r="E1125" s="241"/>
      <c r="F1125" s="248"/>
      <c r="G1125" s="207"/>
      <c r="H1125" s="209"/>
      <c r="I1125" s="209"/>
      <c r="J1125" s="209"/>
      <c r="K1125" s="208" t="str">
        <f>IF(Errors!$I1125=0,SourceData!$B$42,VLOOKUP(Errors!$I1125,SourceData!$A$2:$B$40,2,FALSE))</f>
        <v>Please select ERROR CODE column "I"</v>
      </c>
      <c r="L1125" s="207" t="str">
        <f>IF(Errors!$I1125=0,
    'List of Error Codes'!$E$29,
    IFERROR(VLOOKUP(Errors!$I1125, 'List of Error Codes'!D1124:I1154, 6, FALSE), 'List of Error Codes'!$E$29)
)</f>
        <v>Please select ERROR CODE column "I"</v>
      </c>
      <c r="M1125" s="209"/>
      <c r="N1125" s="209"/>
      <c r="O1125" s="209"/>
      <c r="P1125" s="209"/>
      <c r="Q1125" s="209"/>
      <c r="R1125" s="217"/>
      <c r="S1125" s="217"/>
      <c r="T1125" s="217"/>
      <c r="U1125" s="199"/>
      <c r="V1125" s="200"/>
      <c r="W1125" s="200"/>
      <c r="X1125" s="200"/>
      <c r="Y1125" s="200"/>
      <c r="Z1125" s="200"/>
      <c r="AA1125" s="201"/>
      <c r="AB1125" s="200"/>
      <c r="AC1125" s="200"/>
    </row>
    <row r="1126" ht="15.75" customHeight="1">
      <c r="A1126" s="210">
        <f t="shared" si="1"/>
        <v>1124</v>
      </c>
      <c r="B1126" s="217"/>
      <c r="C1126" s="217" t="str">
        <f>IFERROR(VLOOKUP(B1126, SourceData!$U$3:$V$190, 2, FALSE), "")</f>
        <v/>
      </c>
      <c r="D1126" s="240"/>
      <c r="E1126" s="241"/>
      <c r="F1126" s="248"/>
      <c r="G1126" s="207"/>
      <c r="H1126" s="209"/>
      <c r="I1126" s="209"/>
      <c r="J1126" s="209"/>
      <c r="K1126" s="208" t="str">
        <f>IF(Errors!$I1126=0,SourceData!$B$42,VLOOKUP(Errors!$I1126,SourceData!$A$2:$B$40,2,FALSE))</f>
        <v>Please select ERROR CODE column "I"</v>
      </c>
      <c r="L1126" s="207" t="str">
        <f>IF(Errors!$I1126=0,
    'List of Error Codes'!$E$29,
    IFERROR(VLOOKUP(Errors!$I1126, 'List of Error Codes'!D1125:I1155, 6, FALSE), 'List of Error Codes'!$E$29)
)</f>
        <v>Please select ERROR CODE column "I"</v>
      </c>
      <c r="M1126" s="209"/>
      <c r="N1126" s="209"/>
      <c r="O1126" s="209"/>
      <c r="P1126" s="209"/>
      <c r="Q1126" s="209"/>
      <c r="R1126" s="217"/>
      <c r="S1126" s="217"/>
      <c r="T1126" s="217"/>
      <c r="U1126" s="199"/>
      <c r="V1126" s="200"/>
      <c r="W1126" s="200"/>
      <c r="X1126" s="200"/>
      <c r="Y1126" s="200"/>
      <c r="Z1126" s="200"/>
      <c r="AA1126" s="201"/>
      <c r="AB1126" s="200"/>
      <c r="AC1126" s="200"/>
    </row>
    <row r="1127" ht="15.75" customHeight="1">
      <c r="A1127" s="210">
        <f t="shared" si="1"/>
        <v>1125</v>
      </c>
      <c r="B1127" s="217"/>
      <c r="C1127" s="217" t="str">
        <f>IFERROR(VLOOKUP(B1127, SourceData!$U$3:$V$190, 2, FALSE), "")</f>
        <v/>
      </c>
      <c r="D1127" s="240"/>
      <c r="E1127" s="241"/>
      <c r="F1127" s="248"/>
      <c r="G1127" s="207"/>
      <c r="H1127" s="209"/>
      <c r="I1127" s="209"/>
      <c r="J1127" s="209"/>
      <c r="K1127" s="208" t="str">
        <f>IF(Errors!$I1127=0,SourceData!$B$42,VLOOKUP(Errors!$I1127,SourceData!$A$2:$B$40,2,FALSE))</f>
        <v>Please select ERROR CODE column "I"</v>
      </c>
      <c r="L1127" s="207" t="str">
        <f>IF(Errors!$I1127=0,
    'List of Error Codes'!$E$29,
    IFERROR(VLOOKUP(Errors!$I1127, 'List of Error Codes'!D1126:I1156, 6, FALSE), 'List of Error Codes'!$E$29)
)</f>
        <v>Please select ERROR CODE column "I"</v>
      </c>
      <c r="M1127" s="209"/>
      <c r="N1127" s="209"/>
      <c r="O1127" s="209"/>
      <c r="P1127" s="209"/>
      <c r="Q1127" s="209"/>
      <c r="R1127" s="217"/>
      <c r="S1127" s="217"/>
      <c r="T1127" s="217"/>
      <c r="U1127" s="199"/>
      <c r="V1127" s="200"/>
      <c r="W1127" s="200"/>
      <c r="X1127" s="200"/>
      <c r="Y1127" s="200"/>
      <c r="Z1127" s="200"/>
      <c r="AA1127" s="201"/>
      <c r="AB1127" s="200"/>
      <c r="AC1127" s="200"/>
    </row>
    <row r="1128" ht="15.75" customHeight="1">
      <c r="A1128" s="210">
        <f t="shared" si="1"/>
        <v>1126</v>
      </c>
      <c r="B1128" s="217"/>
      <c r="C1128" s="217" t="str">
        <f>IFERROR(VLOOKUP(B1128, SourceData!$U$3:$V$190, 2, FALSE), "")</f>
        <v/>
      </c>
      <c r="D1128" s="240"/>
      <c r="E1128" s="241"/>
      <c r="F1128" s="248"/>
      <c r="G1128" s="207"/>
      <c r="H1128" s="209"/>
      <c r="I1128" s="209"/>
      <c r="J1128" s="209"/>
      <c r="K1128" s="208" t="str">
        <f>IF(Errors!$I1128=0,SourceData!$B$42,VLOOKUP(Errors!$I1128,SourceData!$A$2:$B$40,2,FALSE))</f>
        <v>Please select ERROR CODE column "I"</v>
      </c>
      <c r="L1128" s="207" t="str">
        <f>IF(Errors!$I1128=0,
    'List of Error Codes'!$E$29,
    IFERROR(VLOOKUP(Errors!$I1128, 'List of Error Codes'!D1127:I1157, 6, FALSE), 'List of Error Codes'!$E$29)
)</f>
        <v>Please select ERROR CODE column "I"</v>
      </c>
      <c r="M1128" s="209"/>
      <c r="N1128" s="209"/>
      <c r="O1128" s="209"/>
      <c r="P1128" s="209"/>
      <c r="Q1128" s="209"/>
      <c r="R1128" s="217"/>
      <c r="S1128" s="217"/>
      <c r="T1128" s="217"/>
      <c r="U1128" s="199"/>
      <c r="V1128" s="200"/>
      <c r="W1128" s="200"/>
      <c r="X1128" s="200"/>
      <c r="Y1128" s="200"/>
      <c r="Z1128" s="200"/>
      <c r="AA1128" s="201"/>
      <c r="AB1128" s="200"/>
      <c r="AC1128" s="200"/>
    </row>
    <row r="1129" ht="15.75" customHeight="1">
      <c r="A1129" s="210">
        <f t="shared" si="1"/>
        <v>1127</v>
      </c>
      <c r="B1129" s="217"/>
      <c r="C1129" s="217" t="str">
        <f>IFERROR(VLOOKUP(B1129, SourceData!$U$3:$V$190, 2, FALSE), "")</f>
        <v/>
      </c>
      <c r="D1129" s="240"/>
      <c r="E1129" s="241"/>
      <c r="F1129" s="248"/>
      <c r="G1129" s="207"/>
      <c r="H1129" s="209"/>
      <c r="I1129" s="209"/>
      <c r="J1129" s="209"/>
      <c r="K1129" s="208" t="str">
        <f>IF(Errors!$I1129=0,SourceData!$B$42,VLOOKUP(Errors!$I1129,SourceData!$A$2:$B$40,2,FALSE))</f>
        <v>Please select ERROR CODE column "I"</v>
      </c>
      <c r="L1129" s="207" t="str">
        <f>IF(Errors!$I1129=0,
    'List of Error Codes'!$E$29,
    IFERROR(VLOOKUP(Errors!$I1129, 'List of Error Codes'!D1128:I1158, 6, FALSE), 'List of Error Codes'!$E$29)
)</f>
        <v>Please select ERROR CODE column "I"</v>
      </c>
      <c r="M1129" s="209"/>
      <c r="N1129" s="209"/>
      <c r="O1129" s="209"/>
      <c r="P1129" s="209"/>
      <c r="Q1129" s="209"/>
      <c r="R1129" s="217"/>
      <c r="S1129" s="217"/>
      <c r="T1129" s="217"/>
      <c r="U1129" s="199"/>
      <c r="V1129" s="200"/>
      <c r="W1129" s="200"/>
      <c r="X1129" s="200"/>
      <c r="Y1129" s="200"/>
      <c r="Z1129" s="200"/>
      <c r="AA1129" s="201"/>
      <c r="AB1129" s="200"/>
      <c r="AC1129" s="200"/>
    </row>
    <row r="1130" ht="15.75" customHeight="1">
      <c r="A1130" s="210">
        <f t="shared" si="1"/>
        <v>1128</v>
      </c>
      <c r="B1130" s="217"/>
      <c r="C1130" s="217" t="str">
        <f>IFERROR(VLOOKUP(B1130, SourceData!$U$3:$V$190, 2, FALSE), "")</f>
        <v/>
      </c>
      <c r="D1130" s="240"/>
      <c r="E1130" s="241"/>
      <c r="F1130" s="248"/>
      <c r="G1130" s="207"/>
      <c r="H1130" s="209"/>
      <c r="I1130" s="209"/>
      <c r="J1130" s="209"/>
      <c r="K1130" s="208" t="str">
        <f>IF(Errors!$I1130=0,SourceData!$B$42,VLOOKUP(Errors!$I1130,SourceData!$A$2:$B$40,2,FALSE))</f>
        <v>Please select ERROR CODE column "I"</v>
      </c>
      <c r="L1130" s="207" t="str">
        <f>IF(Errors!$I1130=0,
    'List of Error Codes'!$E$29,
    IFERROR(VLOOKUP(Errors!$I1130, 'List of Error Codes'!D1129:I1159, 6, FALSE), 'List of Error Codes'!$E$29)
)</f>
        <v>Please select ERROR CODE column "I"</v>
      </c>
      <c r="M1130" s="209"/>
      <c r="N1130" s="209"/>
      <c r="O1130" s="209"/>
      <c r="P1130" s="209"/>
      <c r="Q1130" s="209"/>
      <c r="R1130" s="217"/>
      <c r="S1130" s="217"/>
      <c r="T1130" s="217"/>
      <c r="U1130" s="199"/>
      <c r="V1130" s="200"/>
      <c r="W1130" s="200"/>
      <c r="X1130" s="200"/>
      <c r="Y1130" s="200"/>
      <c r="Z1130" s="200"/>
      <c r="AA1130" s="201"/>
      <c r="AB1130" s="200"/>
      <c r="AC1130" s="200"/>
    </row>
    <row r="1131" ht="15.75" customHeight="1">
      <c r="A1131" s="210">
        <f t="shared" si="1"/>
        <v>1129</v>
      </c>
      <c r="B1131" s="217"/>
      <c r="C1131" s="217" t="str">
        <f>IFERROR(VLOOKUP(B1131, SourceData!$U$3:$V$190, 2, FALSE), "")</f>
        <v/>
      </c>
      <c r="D1131" s="240"/>
      <c r="E1131" s="241"/>
      <c r="F1131" s="248"/>
      <c r="G1131" s="207"/>
      <c r="H1131" s="209"/>
      <c r="I1131" s="209"/>
      <c r="J1131" s="209"/>
      <c r="K1131" s="208" t="str">
        <f>IF(Errors!$I1131=0,SourceData!$B$42,VLOOKUP(Errors!$I1131,SourceData!$A$2:$B$40,2,FALSE))</f>
        <v>Please select ERROR CODE column "I"</v>
      </c>
      <c r="L1131" s="207" t="str">
        <f>IF(Errors!$I1131=0,
    'List of Error Codes'!$E$29,
    IFERROR(VLOOKUP(Errors!$I1131, 'List of Error Codes'!D1130:I1160, 6, FALSE), 'List of Error Codes'!$E$29)
)</f>
        <v>Please select ERROR CODE column "I"</v>
      </c>
      <c r="M1131" s="209"/>
      <c r="N1131" s="209"/>
      <c r="O1131" s="209"/>
      <c r="P1131" s="209"/>
      <c r="Q1131" s="209"/>
      <c r="R1131" s="217"/>
      <c r="S1131" s="217"/>
      <c r="T1131" s="217"/>
      <c r="U1131" s="199"/>
      <c r="V1131" s="200"/>
      <c r="W1131" s="200"/>
      <c r="X1131" s="200"/>
      <c r="Y1131" s="200"/>
      <c r="Z1131" s="200"/>
      <c r="AA1131" s="201"/>
      <c r="AB1131" s="200"/>
      <c r="AC1131" s="200"/>
    </row>
    <row r="1132" ht="15.75" customHeight="1">
      <c r="A1132" s="210">
        <f t="shared" si="1"/>
        <v>1130</v>
      </c>
      <c r="B1132" s="217"/>
      <c r="C1132" s="217" t="str">
        <f>IFERROR(VLOOKUP(B1132, SourceData!$U$3:$V$190, 2, FALSE), "")</f>
        <v/>
      </c>
      <c r="D1132" s="240"/>
      <c r="E1132" s="241"/>
      <c r="F1132" s="248"/>
      <c r="G1132" s="207"/>
      <c r="H1132" s="209"/>
      <c r="I1132" s="209"/>
      <c r="J1132" s="209"/>
      <c r="K1132" s="208" t="str">
        <f>IF(Errors!$I1132=0,SourceData!$B$42,VLOOKUP(Errors!$I1132,SourceData!$A$2:$B$40,2,FALSE))</f>
        <v>Please select ERROR CODE column "I"</v>
      </c>
      <c r="L1132" s="207" t="str">
        <f>IF(Errors!$I1132=0,
    'List of Error Codes'!$E$29,
    IFERROR(VLOOKUP(Errors!$I1132, 'List of Error Codes'!D1131:I1161, 6, FALSE), 'List of Error Codes'!$E$29)
)</f>
        <v>Please select ERROR CODE column "I"</v>
      </c>
      <c r="M1132" s="209"/>
      <c r="N1132" s="209"/>
      <c r="O1132" s="209"/>
      <c r="P1132" s="209"/>
      <c r="Q1132" s="209"/>
      <c r="R1132" s="217"/>
      <c r="S1132" s="217"/>
      <c r="T1132" s="217"/>
      <c r="U1132" s="199"/>
      <c r="V1132" s="200"/>
      <c r="W1132" s="200"/>
      <c r="X1132" s="200"/>
      <c r="Y1132" s="200"/>
      <c r="Z1132" s="200"/>
      <c r="AA1132" s="201"/>
      <c r="AB1132" s="200"/>
      <c r="AC1132" s="200"/>
    </row>
    <row r="1133" ht="15.75" customHeight="1">
      <c r="A1133" s="210">
        <f t="shared" si="1"/>
        <v>1131</v>
      </c>
      <c r="B1133" s="217"/>
      <c r="C1133" s="217" t="str">
        <f>IFERROR(VLOOKUP(B1133, SourceData!$U$3:$V$190, 2, FALSE), "")</f>
        <v/>
      </c>
      <c r="D1133" s="240"/>
      <c r="E1133" s="241"/>
      <c r="F1133" s="248"/>
      <c r="G1133" s="207"/>
      <c r="H1133" s="209"/>
      <c r="I1133" s="209"/>
      <c r="J1133" s="209"/>
      <c r="K1133" s="208" t="str">
        <f>IF(Errors!$I1133=0,SourceData!$B$42,VLOOKUP(Errors!$I1133,SourceData!$A$2:$B$40,2,FALSE))</f>
        <v>Please select ERROR CODE column "I"</v>
      </c>
      <c r="L1133" s="207" t="str">
        <f>IF(Errors!$I1133=0,
    'List of Error Codes'!$E$29,
    IFERROR(VLOOKUP(Errors!$I1133, 'List of Error Codes'!D1132:I1162, 6, FALSE), 'List of Error Codes'!$E$29)
)</f>
        <v>Please select ERROR CODE column "I"</v>
      </c>
      <c r="M1133" s="209"/>
      <c r="N1133" s="209"/>
      <c r="O1133" s="209"/>
      <c r="P1133" s="209"/>
      <c r="Q1133" s="209"/>
      <c r="R1133" s="217"/>
      <c r="S1133" s="217"/>
      <c r="T1133" s="217"/>
      <c r="U1133" s="199"/>
      <c r="V1133" s="200"/>
      <c r="W1133" s="200"/>
      <c r="X1133" s="200"/>
      <c r="Y1133" s="200"/>
      <c r="Z1133" s="200"/>
      <c r="AA1133" s="201"/>
      <c r="AB1133" s="200"/>
      <c r="AC1133" s="200"/>
    </row>
    <row r="1134" ht="15.75" customHeight="1">
      <c r="A1134" s="210">
        <f t="shared" si="1"/>
        <v>1132</v>
      </c>
      <c r="B1134" s="217"/>
      <c r="C1134" s="217" t="str">
        <f>IFERROR(VLOOKUP(B1134, SourceData!$U$3:$V$190, 2, FALSE), "")</f>
        <v/>
      </c>
      <c r="D1134" s="240"/>
      <c r="E1134" s="241"/>
      <c r="F1134" s="248"/>
      <c r="G1134" s="207"/>
      <c r="H1134" s="209"/>
      <c r="I1134" s="209"/>
      <c r="J1134" s="209"/>
      <c r="K1134" s="208" t="str">
        <f>IF(Errors!$I1134=0,SourceData!$B$42,VLOOKUP(Errors!$I1134,SourceData!$A$2:$B$40,2,FALSE))</f>
        <v>Please select ERROR CODE column "I"</v>
      </c>
      <c r="L1134" s="207" t="str">
        <f>IF(Errors!$I1134=0,
    'List of Error Codes'!$E$29,
    IFERROR(VLOOKUP(Errors!$I1134, 'List of Error Codes'!D1133:I1163, 6, FALSE), 'List of Error Codes'!$E$29)
)</f>
        <v>Please select ERROR CODE column "I"</v>
      </c>
      <c r="M1134" s="209"/>
      <c r="N1134" s="209"/>
      <c r="O1134" s="209"/>
      <c r="P1134" s="209"/>
      <c r="Q1134" s="209"/>
      <c r="R1134" s="217"/>
      <c r="S1134" s="217"/>
      <c r="T1134" s="217"/>
      <c r="U1134" s="199"/>
      <c r="V1134" s="200"/>
      <c r="W1134" s="200"/>
      <c r="X1134" s="200"/>
      <c r="Y1134" s="200"/>
      <c r="Z1134" s="200"/>
      <c r="AA1134" s="201"/>
      <c r="AB1134" s="200"/>
      <c r="AC1134" s="200"/>
    </row>
    <row r="1135" ht="15.75" customHeight="1">
      <c r="A1135" s="210">
        <f t="shared" si="1"/>
        <v>1133</v>
      </c>
      <c r="B1135" s="217"/>
      <c r="C1135" s="217" t="str">
        <f>IFERROR(VLOOKUP(B1135, SourceData!$U$3:$V$190, 2, FALSE), "")</f>
        <v/>
      </c>
      <c r="D1135" s="240"/>
      <c r="E1135" s="241"/>
      <c r="F1135" s="248"/>
      <c r="G1135" s="207"/>
      <c r="H1135" s="209"/>
      <c r="I1135" s="209"/>
      <c r="J1135" s="209"/>
      <c r="K1135" s="208" t="str">
        <f>IF(Errors!$I1135=0,SourceData!$B$42,VLOOKUP(Errors!$I1135,SourceData!$A$2:$B$40,2,FALSE))</f>
        <v>Please select ERROR CODE column "I"</v>
      </c>
      <c r="L1135" s="207" t="str">
        <f>IF(Errors!$I1135=0,
    'List of Error Codes'!$E$29,
    IFERROR(VLOOKUP(Errors!$I1135, 'List of Error Codes'!D1134:I1164, 6, FALSE), 'List of Error Codes'!$E$29)
)</f>
        <v>Please select ERROR CODE column "I"</v>
      </c>
      <c r="M1135" s="209"/>
      <c r="N1135" s="209"/>
      <c r="O1135" s="209"/>
      <c r="P1135" s="209"/>
      <c r="Q1135" s="209"/>
      <c r="R1135" s="217"/>
      <c r="S1135" s="217"/>
      <c r="T1135" s="217"/>
      <c r="U1135" s="199"/>
      <c r="V1135" s="200"/>
      <c r="W1135" s="200"/>
      <c r="X1135" s="200"/>
      <c r="Y1135" s="200"/>
      <c r="Z1135" s="200"/>
      <c r="AA1135" s="201"/>
      <c r="AB1135" s="200"/>
      <c r="AC1135" s="200"/>
    </row>
    <row r="1136" ht="15.75" customHeight="1">
      <c r="A1136" s="210">
        <f t="shared" si="1"/>
        <v>1134</v>
      </c>
      <c r="B1136" s="217"/>
      <c r="C1136" s="217" t="str">
        <f>IFERROR(VLOOKUP(B1136, SourceData!$U$3:$V$190, 2, FALSE), "")</f>
        <v/>
      </c>
      <c r="D1136" s="240"/>
      <c r="E1136" s="241"/>
      <c r="F1136" s="248"/>
      <c r="G1136" s="207"/>
      <c r="H1136" s="209"/>
      <c r="I1136" s="209"/>
      <c r="J1136" s="209"/>
      <c r="K1136" s="208" t="str">
        <f>IF(Errors!$I1136=0,SourceData!$B$42,VLOOKUP(Errors!$I1136,SourceData!$A$2:$B$40,2,FALSE))</f>
        <v>Please select ERROR CODE column "I"</v>
      </c>
      <c r="L1136" s="207" t="str">
        <f>IF(Errors!$I1136=0,
    'List of Error Codes'!$E$29,
    IFERROR(VLOOKUP(Errors!$I1136, 'List of Error Codes'!D1135:I1165, 6, FALSE), 'List of Error Codes'!$E$29)
)</f>
        <v>Please select ERROR CODE column "I"</v>
      </c>
      <c r="M1136" s="209"/>
      <c r="N1136" s="209"/>
      <c r="O1136" s="209"/>
      <c r="P1136" s="209"/>
      <c r="Q1136" s="209"/>
      <c r="R1136" s="217"/>
      <c r="S1136" s="217"/>
      <c r="T1136" s="217"/>
      <c r="U1136" s="199"/>
      <c r="V1136" s="200"/>
      <c r="W1136" s="200"/>
      <c r="X1136" s="200"/>
      <c r="Y1136" s="200"/>
      <c r="Z1136" s="200"/>
      <c r="AA1136" s="201"/>
      <c r="AB1136" s="200"/>
      <c r="AC1136" s="200"/>
    </row>
    <row r="1137" ht="15.75" customHeight="1">
      <c r="A1137" s="210">
        <f t="shared" si="1"/>
        <v>1135</v>
      </c>
      <c r="B1137" s="217"/>
      <c r="C1137" s="217" t="str">
        <f>IFERROR(VLOOKUP(B1137, SourceData!$U$3:$V$190, 2, FALSE), "")</f>
        <v/>
      </c>
      <c r="D1137" s="240"/>
      <c r="E1137" s="241"/>
      <c r="F1137" s="248"/>
      <c r="G1137" s="207"/>
      <c r="H1137" s="209"/>
      <c r="I1137" s="209"/>
      <c r="J1137" s="209"/>
      <c r="K1137" s="208" t="str">
        <f>IF(Errors!$I1137=0,SourceData!$B$42,VLOOKUP(Errors!$I1137,SourceData!$A$2:$B$40,2,FALSE))</f>
        <v>Please select ERROR CODE column "I"</v>
      </c>
      <c r="L1137" s="207" t="str">
        <f>IF(Errors!$I1137=0,
    'List of Error Codes'!$E$29,
    IFERROR(VLOOKUP(Errors!$I1137, 'List of Error Codes'!D1136:I1166, 6, FALSE), 'List of Error Codes'!$E$29)
)</f>
        <v>Please select ERROR CODE column "I"</v>
      </c>
      <c r="M1137" s="209"/>
      <c r="N1137" s="209"/>
      <c r="O1137" s="209"/>
      <c r="P1137" s="209"/>
      <c r="Q1137" s="209"/>
      <c r="R1137" s="217"/>
      <c r="S1137" s="217"/>
      <c r="T1137" s="217"/>
      <c r="U1137" s="199"/>
      <c r="V1137" s="200"/>
      <c r="W1137" s="200"/>
      <c r="X1137" s="200"/>
      <c r="Y1137" s="200"/>
      <c r="Z1137" s="200"/>
      <c r="AA1137" s="201"/>
      <c r="AB1137" s="200"/>
      <c r="AC1137" s="200"/>
    </row>
    <row r="1138" ht="15.75" customHeight="1">
      <c r="A1138" s="210">
        <f t="shared" si="1"/>
        <v>1136</v>
      </c>
      <c r="B1138" s="217"/>
      <c r="C1138" s="217" t="str">
        <f>IFERROR(VLOOKUP(B1138, SourceData!$U$3:$V$190, 2, FALSE), "")</f>
        <v/>
      </c>
      <c r="D1138" s="240"/>
      <c r="E1138" s="241"/>
      <c r="F1138" s="248"/>
      <c r="G1138" s="207"/>
      <c r="H1138" s="209"/>
      <c r="I1138" s="209"/>
      <c r="J1138" s="209"/>
      <c r="K1138" s="208" t="str">
        <f>IF(Errors!$I1138=0,SourceData!$B$42,VLOOKUP(Errors!$I1138,SourceData!$A$2:$B$40,2,FALSE))</f>
        <v>Please select ERROR CODE column "I"</v>
      </c>
      <c r="L1138" s="207" t="str">
        <f>IF(Errors!$I1138=0,
    'List of Error Codes'!$E$29,
    IFERROR(VLOOKUP(Errors!$I1138, 'List of Error Codes'!D1137:I1167, 6, FALSE), 'List of Error Codes'!$E$29)
)</f>
        <v>Please select ERROR CODE column "I"</v>
      </c>
      <c r="M1138" s="209"/>
      <c r="N1138" s="209"/>
      <c r="O1138" s="209"/>
      <c r="P1138" s="209"/>
      <c r="Q1138" s="209"/>
      <c r="R1138" s="217"/>
      <c r="S1138" s="217"/>
      <c r="T1138" s="217"/>
      <c r="U1138" s="199"/>
      <c r="V1138" s="200"/>
      <c r="W1138" s="200"/>
      <c r="X1138" s="200"/>
      <c r="Y1138" s="200"/>
      <c r="Z1138" s="200"/>
      <c r="AA1138" s="201"/>
      <c r="AB1138" s="200"/>
      <c r="AC1138" s="200"/>
    </row>
    <row r="1139" ht="15.75" customHeight="1">
      <c r="A1139" s="210">
        <f t="shared" si="1"/>
        <v>1137</v>
      </c>
      <c r="B1139" s="217"/>
      <c r="C1139" s="217" t="str">
        <f>IFERROR(VLOOKUP(B1139, SourceData!$U$3:$V$190, 2, FALSE), "")</f>
        <v/>
      </c>
      <c r="D1139" s="240"/>
      <c r="E1139" s="241"/>
      <c r="F1139" s="248"/>
      <c r="G1139" s="207"/>
      <c r="H1139" s="209"/>
      <c r="I1139" s="209"/>
      <c r="J1139" s="209"/>
      <c r="K1139" s="208" t="str">
        <f>IF(Errors!$I1139=0,SourceData!$B$42,VLOOKUP(Errors!$I1139,SourceData!$A$2:$B$40,2,FALSE))</f>
        <v>Please select ERROR CODE column "I"</v>
      </c>
      <c r="L1139" s="207" t="str">
        <f>IF(Errors!$I1139=0,
    'List of Error Codes'!$E$29,
    IFERROR(VLOOKUP(Errors!$I1139, 'List of Error Codes'!D1138:I1168, 6, FALSE), 'List of Error Codes'!$E$29)
)</f>
        <v>Please select ERROR CODE column "I"</v>
      </c>
      <c r="M1139" s="209"/>
      <c r="N1139" s="209"/>
      <c r="O1139" s="209"/>
      <c r="P1139" s="209"/>
      <c r="Q1139" s="209"/>
      <c r="R1139" s="217"/>
      <c r="S1139" s="217"/>
      <c r="T1139" s="217"/>
      <c r="U1139" s="199"/>
      <c r="V1139" s="200"/>
      <c r="W1139" s="200"/>
      <c r="X1139" s="200"/>
      <c r="Y1139" s="200"/>
      <c r="Z1139" s="200"/>
      <c r="AA1139" s="201"/>
      <c r="AB1139" s="200"/>
      <c r="AC1139" s="200"/>
    </row>
    <row r="1140" ht="15.75" customHeight="1">
      <c r="A1140" s="210">
        <f t="shared" si="1"/>
        <v>1138</v>
      </c>
      <c r="B1140" s="217"/>
      <c r="C1140" s="217" t="str">
        <f>IFERROR(VLOOKUP(B1140, SourceData!$U$3:$V$190, 2, FALSE), "")</f>
        <v/>
      </c>
      <c r="D1140" s="240"/>
      <c r="E1140" s="241"/>
      <c r="F1140" s="248"/>
      <c r="G1140" s="207"/>
      <c r="H1140" s="209"/>
      <c r="I1140" s="209"/>
      <c r="J1140" s="209"/>
      <c r="K1140" s="208" t="str">
        <f>IF(Errors!$I1140=0,SourceData!$B$42,VLOOKUP(Errors!$I1140,SourceData!$A$2:$B$40,2,FALSE))</f>
        <v>Please select ERROR CODE column "I"</v>
      </c>
      <c r="L1140" s="207" t="str">
        <f>IF(Errors!$I1140=0,
    'List of Error Codes'!$E$29,
    IFERROR(VLOOKUP(Errors!$I1140, 'List of Error Codes'!D1139:I1169, 6, FALSE), 'List of Error Codes'!$E$29)
)</f>
        <v>Please select ERROR CODE column "I"</v>
      </c>
      <c r="M1140" s="209"/>
      <c r="N1140" s="209"/>
      <c r="O1140" s="209"/>
      <c r="P1140" s="209"/>
      <c r="Q1140" s="209"/>
      <c r="R1140" s="217"/>
      <c r="S1140" s="217"/>
      <c r="T1140" s="217"/>
      <c r="U1140" s="199"/>
      <c r="V1140" s="200"/>
      <c r="W1140" s="200"/>
      <c r="X1140" s="200"/>
      <c r="Y1140" s="200"/>
      <c r="Z1140" s="200"/>
      <c r="AA1140" s="201"/>
      <c r="AB1140" s="200"/>
      <c r="AC1140" s="200"/>
    </row>
    <row r="1141" ht="15.75" customHeight="1">
      <c r="A1141" s="210">
        <f t="shared" si="1"/>
        <v>1139</v>
      </c>
      <c r="B1141" s="217"/>
      <c r="C1141" s="217" t="str">
        <f>IFERROR(VLOOKUP(B1141, SourceData!$U$3:$V$190, 2, FALSE), "")</f>
        <v/>
      </c>
      <c r="D1141" s="240"/>
      <c r="E1141" s="241"/>
      <c r="F1141" s="248"/>
      <c r="G1141" s="207"/>
      <c r="H1141" s="209"/>
      <c r="I1141" s="209"/>
      <c r="J1141" s="209"/>
      <c r="K1141" s="208" t="str">
        <f>IF(Errors!$I1141=0,SourceData!$B$42,VLOOKUP(Errors!$I1141,SourceData!$A$2:$B$40,2,FALSE))</f>
        <v>Please select ERROR CODE column "I"</v>
      </c>
      <c r="L1141" s="207" t="str">
        <f>IF(Errors!$I1141=0,
    'List of Error Codes'!$E$29,
    IFERROR(VLOOKUP(Errors!$I1141, 'List of Error Codes'!D1140:I1170, 6, FALSE), 'List of Error Codes'!$E$29)
)</f>
        <v>Please select ERROR CODE column "I"</v>
      </c>
      <c r="M1141" s="209"/>
      <c r="N1141" s="209"/>
      <c r="O1141" s="209"/>
      <c r="P1141" s="209"/>
      <c r="Q1141" s="209"/>
      <c r="R1141" s="217"/>
      <c r="S1141" s="217"/>
      <c r="T1141" s="217"/>
      <c r="U1141" s="199"/>
      <c r="V1141" s="200"/>
      <c r="W1141" s="200"/>
      <c r="X1141" s="200"/>
      <c r="Y1141" s="200"/>
      <c r="Z1141" s="200"/>
      <c r="AA1141" s="201"/>
      <c r="AB1141" s="200"/>
      <c r="AC1141" s="200"/>
    </row>
    <row r="1142" ht="15.75" customHeight="1">
      <c r="A1142" s="210">
        <f t="shared" si="1"/>
        <v>1140</v>
      </c>
      <c r="B1142" s="217"/>
      <c r="C1142" s="217" t="str">
        <f>IFERROR(VLOOKUP(B1142, SourceData!$U$3:$V$190, 2, FALSE), "")</f>
        <v/>
      </c>
      <c r="D1142" s="240"/>
      <c r="E1142" s="241"/>
      <c r="F1142" s="248"/>
      <c r="G1142" s="207"/>
      <c r="H1142" s="209"/>
      <c r="I1142" s="209"/>
      <c r="J1142" s="209"/>
      <c r="K1142" s="208" t="str">
        <f>IF(Errors!$I1142=0,SourceData!$B$42,VLOOKUP(Errors!$I1142,SourceData!$A$2:$B$40,2,FALSE))</f>
        <v>Please select ERROR CODE column "I"</v>
      </c>
      <c r="L1142" s="207" t="str">
        <f>IF(Errors!$I1142=0,
    'List of Error Codes'!$E$29,
    IFERROR(VLOOKUP(Errors!$I1142, 'List of Error Codes'!D1141:I1171, 6, FALSE), 'List of Error Codes'!$E$29)
)</f>
        <v>Please select ERROR CODE column "I"</v>
      </c>
      <c r="M1142" s="209"/>
      <c r="N1142" s="209"/>
      <c r="O1142" s="209"/>
      <c r="P1142" s="209"/>
      <c r="Q1142" s="209"/>
      <c r="R1142" s="217"/>
      <c r="S1142" s="217"/>
      <c r="T1142" s="217"/>
      <c r="U1142" s="199"/>
      <c r="V1142" s="200"/>
      <c r="W1142" s="200"/>
      <c r="X1142" s="200"/>
      <c r="Y1142" s="200"/>
      <c r="Z1142" s="200"/>
      <c r="AA1142" s="201"/>
      <c r="AB1142" s="200"/>
      <c r="AC1142" s="200"/>
    </row>
    <row r="1143" ht="15.75" customHeight="1">
      <c r="A1143" s="210">
        <f t="shared" si="1"/>
        <v>1141</v>
      </c>
      <c r="B1143" s="217"/>
      <c r="C1143" s="217" t="str">
        <f>IFERROR(VLOOKUP(B1143, SourceData!$U$3:$V$190, 2, FALSE), "")</f>
        <v/>
      </c>
      <c r="D1143" s="240"/>
      <c r="E1143" s="241"/>
      <c r="F1143" s="248"/>
      <c r="G1143" s="207"/>
      <c r="H1143" s="209"/>
      <c r="I1143" s="209"/>
      <c r="J1143" s="209"/>
      <c r="K1143" s="208" t="str">
        <f>IF(Errors!$I1143=0,SourceData!$B$42,VLOOKUP(Errors!$I1143,SourceData!$A$2:$B$40,2,FALSE))</f>
        <v>Please select ERROR CODE column "I"</v>
      </c>
      <c r="L1143" s="207" t="str">
        <f>IF(Errors!$I1143=0,
    'List of Error Codes'!$E$29,
    IFERROR(VLOOKUP(Errors!$I1143, 'List of Error Codes'!D1142:I1172, 6, FALSE), 'List of Error Codes'!$E$29)
)</f>
        <v>Please select ERROR CODE column "I"</v>
      </c>
      <c r="M1143" s="209"/>
      <c r="N1143" s="209"/>
      <c r="O1143" s="209"/>
      <c r="P1143" s="209"/>
      <c r="Q1143" s="209"/>
      <c r="R1143" s="217"/>
      <c r="S1143" s="217"/>
      <c r="T1143" s="217"/>
      <c r="U1143" s="199"/>
      <c r="V1143" s="200"/>
      <c r="W1143" s="200"/>
      <c r="X1143" s="200"/>
      <c r="Y1143" s="200"/>
      <c r="Z1143" s="200"/>
      <c r="AA1143" s="201"/>
      <c r="AB1143" s="200"/>
      <c r="AC1143" s="200"/>
    </row>
    <row r="1144" ht="15.75" customHeight="1">
      <c r="A1144" s="210">
        <f t="shared" si="1"/>
        <v>1142</v>
      </c>
      <c r="B1144" s="217"/>
      <c r="C1144" s="217" t="str">
        <f>IFERROR(VLOOKUP(B1144, SourceData!$U$3:$V$190, 2, FALSE), "")</f>
        <v/>
      </c>
      <c r="D1144" s="240"/>
      <c r="E1144" s="241"/>
      <c r="F1144" s="248"/>
      <c r="G1144" s="207"/>
      <c r="H1144" s="209"/>
      <c r="I1144" s="209"/>
      <c r="J1144" s="209"/>
      <c r="K1144" s="208" t="str">
        <f>IF(Errors!$I1144=0,SourceData!$B$42,VLOOKUP(Errors!$I1144,SourceData!$A$2:$B$40,2,FALSE))</f>
        <v>Please select ERROR CODE column "I"</v>
      </c>
      <c r="L1144" s="207" t="str">
        <f>IF(Errors!$I1144=0,
    'List of Error Codes'!$E$29,
    IFERROR(VLOOKUP(Errors!$I1144, 'List of Error Codes'!D1143:I1173, 6, FALSE), 'List of Error Codes'!$E$29)
)</f>
        <v>Please select ERROR CODE column "I"</v>
      </c>
      <c r="M1144" s="209"/>
      <c r="N1144" s="209"/>
      <c r="O1144" s="209"/>
      <c r="P1144" s="209"/>
      <c r="Q1144" s="209"/>
      <c r="R1144" s="217"/>
      <c r="S1144" s="217"/>
      <c r="T1144" s="217"/>
      <c r="U1144" s="199"/>
      <c r="V1144" s="200"/>
      <c r="W1144" s="200"/>
      <c r="X1144" s="200"/>
      <c r="Y1144" s="200"/>
      <c r="Z1144" s="200"/>
      <c r="AA1144" s="201"/>
      <c r="AB1144" s="200"/>
      <c r="AC1144" s="200"/>
    </row>
    <row r="1145" ht="15.75" customHeight="1">
      <c r="A1145" s="210">
        <f t="shared" si="1"/>
        <v>1143</v>
      </c>
      <c r="B1145" s="217"/>
      <c r="C1145" s="217" t="str">
        <f>IFERROR(VLOOKUP(B1145, SourceData!$U$3:$V$190, 2, FALSE), "")</f>
        <v/>
      </c>
      <c r="D1145" s="240"/>
      <c r="E1145" s="241"/>
      <c r="F1145" s="248"/>
      <c r="G1145" s="207"/>
      <c r="H1145" s="209"/>
      <c r="I1145" s="209"/>
      <c r="J1145" s="209"/>
      <c r="K1145" s="208" t="str">
        <f>IF(Errors!$I1145=0,SourceData!$B$42,VLOOKUP(Errors!$I1145,SourceData!$A$2:$B$40,2,FALSE))</f>
        <v>Please select ERROR CODE column "I"</v>
      </c>
      <c r="L1145" s="207" t="str">
        <f>IF(Errors!$I1145=0,
    'List of Error Codes'!$E$29,
    IFERROR(VLOOKUP(Errors!$I1145, 'List of Error Codes'!D1144:I1174, 6, FALSE), 'List of Error Codes'!$E$29)
)</f>
        <v>Please select ERROR CODE column "I"</v>
      </c>
      <c r="M1145" s="209"/>
      <c r="N1145" s="209"/>
      <c r="O1145" s="209"/>
      <c r="P1145" s="209"/>
      <c r="Q1145" s="209"/>
      <c r="R1145" s="217"/>
      <c r="S1145" s="217"/>
      <c r="T1145" s="217"/>
      <c r="U1145" s="199"/>
      <c r="V1145" s="200"/>
      <c r="W1145" s="200"/>
      <c r="X1145" s="200"/>
      <c r="Y1145" s="200"/>
      <c r="Z1145" s="200"/>
      <c r="AA1145" s="201"/>
      <c r="AB1145" s="200"/>
      <c r="AC1145" s="200"/>
    </row>
    <row r="1146" ht="15.75" customHeight="1">
      <c r="A1146" s="210">
        <f t="shared" si="1"/>
        <v>1144</v>
      </c>
      <c r="B1146" s="217"/>
      <c r="C1146" s="217" t="str">
        <f>IFERROR(VLOOKUP(B1146, SourceData!$U$3:$V$190, 2, FALSE), "")</f>
        <v/>
      </c>
      <c r="D1146" s="240"/>
      <c r="E1146" s="241"/>
      <c r="F1146" s="248"/>
      <c r="G1146" s="207"/>
      <c r="H1146" s="209"/>
      <c r="I1146" s="209"/>
      <c r="J1146" s="209"/>
      <c r="K1146" s="208" t="str">
        <f>IF(Errors!$I1146=0,SourceData!$B$42,VLOOKUP(Errors!$I1146,SourceData!$A$2:$B$40,2,FALSE))</f>
        <v>Please select ERROR CODE column "I"</v>
      </c>
      <c r="L1146" s="207" t="str">
        <f>IF(Errors!$I1146=0,
    'List of Error Codes'!$E$29,
    IFERROR(VLOOKUP(Errors!$I1146, 'List of Error Codes'!D1145:I1175, 6, FALSE), 'List of Error Codes'!$E$29)
)</f>
        <v>Please select ERROR CODE column "I"</v>
      </c>
      <c r="M1146" s="209"/>
      <c r="N1146" s="209"/>
      <c r="O1146" s="209"/>
      <c r="P1146" s="209"/>
      <c r="Q1146" s="209"/>
      <c r="R1146" s="217"/>
      <c r="S1146" s="217"/>
      <c r="T1146" s="217"/>
      <c r="U1146" s="199"/>
      <c r="V1146" s="200"/>
      <c r="W1146" s="200"/>
      <c r="X1146" s="200"/>
      <c r="Y1146" s="200"/>
      <c r="Z1146" s="200"/>
      <c r="AA1146" s="201"/>
      <c r="AB1146" s="200"/>
      <c r="AC1146" s="200"/>
    </row>
    <row r="1147" ht="15.75" customHeight="1">
      <c r="A1147" s="210">
        <f t="shared" si="1"/>
        <v>1145</v>
      </c>
      <c r="B1147" s="217"/>
      <c r="C1147" s="217" t="str">
        <f>IFERROR(VLOOKUP(B1147, SourceData!$U$3:$V$190, 2, FALSE), "")</f>
        <v/>
      </c>
      <c r="D1147" s="240"/>
      <c r="E1147" s="241"/>
      <c r="F1147" s="248"/>
      <c r="G1147" s="207"/>
      <c r="H1147" s="209"/>
      <c r="I1147" s="209"/>
      <c r="J1147" s="209"/>
      <c r="K1147" s="208" t="str">
        <f>IF(Errors!$I1147=0,SourceData!$B$42,VLOOKUP(Errors!$I1147,SourceData!$A$2:$B$40,2,FALSE))</f>
        <v>Please select ERROR CODE column "I"</v>
      </c>
      <c r="L1147" s="207" t="str">
        <f>IF(Errors!$I1147=0,
    'List of Error Codes'!$E$29,
    IFERROR(VLOOKUP(Errors!$I1147, 'List of Error Codes'!D1146:I1176, 6, FALSE), 'List of Error Codes'!$E$29)
)</f>
        <v>Please select ERROR CODE column "I"</v>
      </c>
      <c r="M1147" s="209"/>
      <c r="N1147" s="209"/>
      <c r="O1147" s="209"/>
      <c r="P1147" s="209"/>
      <c r="Q1147" s="209"/>
      <c r="R1147" s="217"/>
      <c r="S1147" s="217"/>
      <c r="T1147" s="217"/>
      <c r="U1147" s="199"/>
      <c r="V1147" s="200"/>
      <c r="W1147" s="200"/>
      <c r="X1147" s="200"/>
      <c r="Y1147" s="200"/>
      <c r="Z1147" s="200"/>
      <c r="AA1147" s="201"/>
      <c r="AB1147" s="200"/>
      <c r="AC1147" s="200"/>
    </row>
    <row r="1148" ht="15.75" customHeight="1">
      <c r="A1148" s="210">
        <f t="shared" si="1"/>
        <v>1146</v>
      </c>
      <c r="B1148" s="217"/>
      <c r="C1148" s="217" t="str">
        <f>IFERROR(VLOOKUP(B1148, SourceData!$U$3:$V$190, 2, FALSE), "")</f>
        <v/>
      </c>
      <c r="D1148" s="240"/>
      <c r="E1148" s="241"/>
      <c r="F1148" s="248"/>
      <c r="G1148" s="207"/>
      <c r="H1148" s="209"/>
      <c r="I1148" s="209"/>
      <c r="J1148" s="209"/>
      <c r="K1148" s="208" t="str">
        <f>IF(Errors!$I1148=0,SourceData!$B$42,VLOOKUP(Errors!$I1148,SourceData!$A$2:$B$40,2,FALSE))</f>
        <v>Please select ERROR CODE column "I"</v>
      </c>
      <c r="L1148" s="207" t="str">
        <f>IF(Errors!$I1148=0,
    'List of Error Codes'!$E$29,
    IFERROR(VLOOKUP(Errors!$I1148, 'List of Error Codes'!D1147:I1177, 6, FALSE), 'List of Error Codes'!$E$29)
)</f>
        <v>Please select ERROR CODE column "I"</v>
      </c>
      <c r="M1148" s="209"/>
      <c r="N1148" s="209"/>
      <c r="O1148" s="209"/>
      <c r="P1148" s="209"/>
      <c r="Q1148" s="209"/>
      <c r="R1148" s="217"/>
      <c r="S1148" s="217"/>
      <c r="T1148" s="217"/>
      <c r="U1148" s="199"/>
      <c r="V1148" s="200"/>
      <c r="W1148" s="200"/>
      <c r="X1148" s="200"/>
      <c r="Y1148" s="200"/>
      <c r="Z1148" s="200"/>
      <c r="AA1148" s="201"/>
      <c r="AB1148" s="200"/>
      <c r="AC1148" s="200"/>
    </row>
    <row r="1149" ht="15.75" customHeight="1">
      <c r="A1149" s="210">
        <f t="shared" si="1"/>
        <v>1147</v>
      </c>
      <c r="B1149" s="217"/>
      <c r="C1149" s="217" t="str">
        <f>IFERROR(VLOOKUP(B1149, SourceData!$U$3:$V$190, 2, FALSE), "")</f>
        <v/>
      </c>
      <c r="D1149" s="240"/>
      <c r="E1149" s="241"/>
      <c r="F1149" s="248"/>
      <c r="G1149" s="207"/>
      <c r="H1149" s="209"/>
      <c r="I1149" s="209"/>
      <c r="J1149" s="209"/>
      <c r="K1149" s="208" t="str">
        <f>IF(Errors!$I1149=0,SourceData!$B$42,VLOOKUP(Errors!$I1149,SourceData!$A$2:$B$40,2,FALSE))</f>
        <v>Please select ERROR CODE column "I"</v>
      </c>
      <c r="L1149" s="207" t="str">
        <f>IF(Errors!$I1149=0,
    'List of Error Codes'!$E$29,
    IFERROR(VLOOKUP(Errors!$I1149, 'List of Error Codes'!D1148:I1178, 6, FALSE), 'List of Error Codes'!$E$29)
)</f>
        <v>Please select ERROR CODE column "I"</v>
      </c>
      <c r="M1149" s="209"/>
      <c r="N1149" s="209"/>
      <c r="O1149" s="209"/>
      <c r="P1149" s="209"/>
      <c r="Q1149" s="209"/>
      <c r="R1149" s="217"/>
      <c r="S1149" s="217"/>
      <c r="T1149" s="217"/>
      <c r="U1149" s="199"/>
      <c r="V1149" s="200"/>
      <c r="W1149" s="200"/>
      <c r="X1149" s="200"/>
      <c r="Y1149" s="200"/>
      <c r="Z1149" s="200"/>
      <c r="AA1149" s="201"/>
      <c r="AB1149" s="200"/>
      <c r="AC1149" s="200"/>
    </row>
    <row r="1150" ht="15.75" customHeight="1">
      <c r="A1150" s="210">
        <f t="shared" si="1"/>
        <v>1148</v>
      </c>
      <c r="B1150" s="217"/>
      <c r="C1150" s="217" t="str">
        <f>IFERROR(VLOOKUP(B1150, SourceData!$U$3:$V$190, 2, FALSE), "")</f>
        <v/>
      </c>
      <c r="D1150" s="240"/>
      <c r="E1150" s="241"/>
      <c r="F1150" s="248"/>
      <c r="G1150" s="207"/>
      <c r="H1150" s="209"/>
      <c r="I1150" s="209"/>
      <c r="J1150" s="209"/>
      <c r="K1150" s="208" t="str">
        <f>IF(Errors!$I1150=0,SourceData!$B$42,VLOOKUP(Errors!$I1150,SourceData!$A$2:$B$40,2,FALSE))</f>
        <v>Please select ERROR CODE column "I"</v>
      </c>
      <c r="L1150" s="207" t="str">
        <f>IF(Errors!$I1150=0,
    'List of Error Codes'!$E$29,
    IFERROR(VLOOKUP(Errors!$I1150, 'List of Error Codes'!D1149:I1179, 6, FALSE), 'List of Error Codes'!$E$29)
)</f>
        <v>Please select ERROR CODE column "I"</v>
      </c>
      <c r="M1150" s="209"/>
      <c r="N1150" s="209"/>
      <c r="O1150" s="209"/>
      <c r="P1150" s="209"/>
      <c r="Q1150" s="209"/>
      <c r="R1150" s="217"/>
      <c r="S1150" s="217"/>
      <c r="T1150" s="217"/>
      <c r="U1150" s="199"/>
      <c r="V1150" s="200"/>
      <c r="W1150" s="200"/>
      <c r="X1150" s="200"/>
      <c r="Y1150" s="200"/>
      <c r="Z1150" s="200"/>
      <c r="AA1150" s="201"/>
      <c r="AB1150" s="200"/>
      <c r="AC1150" s="200"/>
    </row>
    <row r="1151" ht="15.75" customHeight="1">
      <c r="A1151" s="210">
        <f t="shared" si="1"/>
        <v>1149</v>
      </c>
      <c r="B1151" s="217"/>
      <c r="C1151" s="217" t="str">
        <f>IFERROR(VLOOKUP(B1151, SourceData!$U$3:$V$190, 2, FALSE), "")</f>
        <v/>
      </c>
      <c r="D1151" s="240"/>
      <c r="E1151" s="241"/>
      <c r="F1151" s="248"/>
      <c r="G1151" s="207"/>
      <c r="H1151" s="209"/>
      <c r="I1151" s="209"/>
      <c r="J1151" s="209"/>
      <c r="K1151" s="208" t="str">
        <f>IF(Errors!$I1151=0,SourceData!$B$42,VLOOKUP(Errors!$I1151,SourceData!$A$2:$B$40,2,FALSE))</f>
        <v>Please select ERROR CODE column "I"</v>
      </c>
      <c r="L1151" s="207" t="str">
        <f>IF(Errors!$I1151=0,
    'List of Error Codes'!$E$29,
    IFERROR(VLOOKUP(Errors!$I1151, 'List of Error Codes'!D1150:I1180, 6, FALSE), 'List of Error Codes'!$E$29)
)</f>
        <v>Please select ERROR CODE column "I"</v>
      </c>
      <c r="M1151" s="209"/>
      <c r="N1151" s="209"/>
      <c r="O1151" s="209"/>
      <c r="P1151" s="209"/>
      <c r="Q1151" s="209"/>
      <c r="R1151" s="217"/>
      <c r="S1151" s="217"/>
      <c r="T1151" s="217"/>
      <c r="U1151" s="199"/>
      <c r="V1151" s="200"/>
      <c r="W1151" s="200"/>
      <c r="X1151" s="200"/>
      <c r="Y1151" s="200"/>
      <c r="Z1151" s="200"/>
      <c r="AA1151" s="201"/>
      <c r="AB1151" s="200"/>
      <c r="AC1151" s="200"/>
    </row>
    <row r="1152" ht="15.75" customHeight="1">
      <c r="A1152" s="210">
        <f t="shared" si="1"/>
        <v>1150</v>
      </c>
      <c r="B1152" s="217"/>
      <c r="C1152" s="217" t="str">
        <f>IFERROR(VLOOKUP(B1152, SourceData!$U$3:$V$190, 2, FALSE), "")</f>
        <v/>
      </c>
      <c r="D1152" s="240"/>
      <c r="E1152" s="241"/>
      <c r="F1152" s="248"/>
      <c r="G1152" s="207"/>
      <c r="H1152" s="209"/>
      <c r="I1152" s="209"/>
      <c r="J1152" s="209"/>
      <c r="K1152" s="208" t="str">
        <f>IF(Errors!$I1152=0,SourceData!$B$42,VLOOKUP(Errors!$I1152,SourceData!$A$2:$B$40,2,FALSE))</f>
        <v>Please select ERROR CODE column "I"</v>
      </c>
      <c r="L1152" s="207" t="str">
        <f>IF(Errors!$I1152=0,
    'List of Error Codes'!$E$29,
    IFERROR(VLOOKUP(Errors!$I1152, 'List of Error Codes'!D1151:I1181, 6, FALSE), 'List of Error Codes'!$E$29)
)</f>
        <v>Please select ERROR CODE column "I"</v>
      </c>
      <c r="M1152" s="209"/>
      <c r="N1152" s="209"/>
      <c r="O1152" s="209"/>
      <c r="P1152" s="209"/>
      <c r="Q1152" s="209"/>
      <c r="R1152" s="217"/>
      <c r="S1152" s="217"/>
      <c r="T1152" s="217"/>
      <c r="U1152" s="199"/>
      <c r="V1152" s="200"/>
      <c r="W1152" s="200"/>
      <c r="X1152" s="200"/>
      <c r="Y1152" s="200"/>
      <c r="Z1152" s="200"/>
      <c r="AA1152" s="201"/>
      <c r="AB1152" s="200"/>
      <c r="AC1152" s="200"/>
    </row>
    <row r="1153" ht="15.75" customHeight="1">
      <c r="A1153" s="210">
        <f t="shared" si="1"/>
        <v>1151</v>
      </c>
      <c r="B1153" s="217"/>
      <c r="C1153" s="217" t="str">
        <f>IFERROR(VLOOKUP(B1153, SourceData!$U$3:$V$190, 2, FALSE), "")</f>
        <v/>
      </c>
      <c r="D1153" s="240"/>
      <c r="E1153" s="241"/>
      <c r="F1153" s="248"/>
      <c r="G1153" s="207"/>
      <c r="H1153" s="209"/>
      <c r="I1153" s="209"/>
      <c r="J1153" s="209"/>
      <c r="K1153" s="208" t="str">
        <f>IF(Errors!$I1153=0,SourceData!$B$42,VLOOKUP(Errors!$I1153,SourceData!$A$2:$B$40,2,FALSE))</f>
        <v>Please select ERROR CODE column "I"</v>
      </c>
      <c r="L1153" s="207" t="str">
        <f>IF(Errors!$I1153=0,
    'List of Error Codes'!$E$29,
    IFERROR(VLOOKUP(Errors!$I1153, 'List of Error Codes'!D1152:I1182, 6, FALSE), 'List of Error Codes'!$E$29)
)</f>
        <v>Please select ERROR CODE column "I"</v>
      </c>
      <c r="M1153" s="209"/>
      <c r="N1153" s="209"/>
      <c r="O1153" s="209"/>
      <c r="P1153" s="209"/>
      <c r="Q1153" s="209"/>
      <c r="R1153" s="217"/>
      <c r="S1153" s="217"/>
      <c r="T1153" s="217"/>
      <c r="U1153" s="199"/>
      <c r="V1153" s="200"/>
      <c r="W1153" s="200"/>
      <c r="X1153" s="200"/>
      <c r="Y1153" s="200"/>
      <c r="Z1153" s="200"/>
      <c r="AA1153" s="201"/>
      <c r="AB1153" s="200"/>
      <c r="AC1153" s="200"/>
    </row>
    <row r="1154" ht="15.75" customHeight="1">
      <c r="A1154" s="210">
        <f t="shared" si="1"/>
        <v>1152</v>
      </c>
      <c r="B1154" s="217"/>
      <c r="C1154" s="217" t="str">
        <f>IFERROR(VLOOKUP(B1154, SourceData!$U$3:$V$190, 2, FALSE), "")</f>
        <v/>
      </c>
      <c r="D1154" s="240"/>
      <c r="E1154" s="241"/>
      <c r="F1154" s="248"/>
      <c r="G1154" s="207"/>
      <c r="H1154" s="209"/>
      <c r="I1154" s="209"/>
      <c r="J1154" s="209"/>
      <c r="K1154" s="208" t="str">
        <f>IF(Errors!$I1154=0,SourceData!$B$42,VLOOKUP(Errors!$I1154,SourceData!$A$2:$B$40,2,FALSE))</f>
        <v>Please select ERROR CODE column "I"</v>
      </c>
      <c r="L1154" s="207" t="str">
        <f>IF(Errors!$I1154=0,
    'List of Error Codes'!$E$29,
    IFERROR(VLOOKUP(Errors!$I1154, 'List of Error Codes'!D1153:I1183, 6, FALSE), 'List of Error Codes'!$E$29)
)</f>
        <v>Please select ERROR CODE column "I"</v>
      </c>
      <c r="M1154" s="209"/>
      <c r="N1154" s="209"/>
      <c r="O1154" s="209"/>
      <c r="P1154" s="209"/>
      <c r="Q1154" s="209"/>
      <c r="R1154" s="217"/>
      <c r="S1154" s="217"/>
      <c r="T1154" s="217"/>
      <c r="U1154" s="199"/>
      <c r="V1154" s="200"/>
      <c r="W1154" s="200"/>
      <c r="X1154" s="200"/>
      <c r="Y1154" s="200"/>
      <c r="Z1154" s="200"/>
      <c r="AA1154" s="201"/>
      <c r="AB1154" s="200"/>
      <c r="AC1154" s="200"/>
    </row>
    <row r="1155" ht="15.75" customHeight="1">
      <c r="A1155" s="210">
        <f t="shared" si="1"/>
        <v>1153</v>
      </c>
      <c r="B1155" s="217"/>
      <c r="C1155" s="217" t="str">
        <f>IFERROR(VLOOKUP(B1155, SourceData!$U$3:$V$190, 2, FALSE), "")</f>
        <v/>
      </c>
      <c r="D1155" s="240"/>
      <c r="E1155" s="241"/>
      <c r="F1155" s="248"/>
      <c r="G1155" s="207"/>
      <c r="H1155" s="209"/>
      <c r="I1155" s="209"/>
      <c r="J1155" s="209"/>
      <c r="K1155" s="208" t="str">
        <f>IF(Errors!$I1155=0,SourceData!$B$42,VLOOKUP(Errors!$I1155,SourceData!$A$2:$B$40,2,FALSE))</f>
        <v>Please select ERROR CODE column "I"</v>
      </c>
      <c r="L1155" s="207" t="str">
        <f>IF(Errors!$I1155=0,
    'List of Error Codes'!$E$29,
    IFERROR(VLOOKUP(Errors!$I1155, 'List of Error Codes'!D1154:I1184, 6, FALSE), 'List of Error Codes'!$E$29)
)</f>
        <v>Please select ERROR CODE column "I"</v>
      </c>
      <c r="M1155" s="209"/>
      <c r="N1155" s="209"/>
      <c r="O1155" s="209"/>
      <c r="P1155" s="209"/>
      <c r="Q1155" s="209"/>
      <c r="R1155" s="217"/>
      <c r="S1155" s="217"/>
      <c r="T1155" s="217"/>
      <c r="U1155" s="199"/>
      <c r="V1155" s="200"/>
      <c r="W1155" s="200"/>
      <c r="X1155" s="200"/>
      <c r="Y1155" s="200"/>
      <c r="Z1155" s="200"/>
      <c r="AA1155" s="201"/>
      <c r="AB1155" s="200"/>
      <c r="AC1155" s="200"/>
    </row>
    <row r="1156" ht="15.75" customHeight="1">
      <c r="A1156" s="210">
        <f t="shared" si="1"/>
        <v>1154</v>
      </c>
      <c r="B1156" s="217"/>
      <c r="C1156" s="217" t="str">
        <f>IFERROR(VLOOKUP(B1156, SourceData!$U$3:$V$190, 2, FALSE), "")</f>
        <v/>
      </c>
      <c r="D1156" s="240"/>
      <c r="E1156" s="241"/>
      <c r="F1156" s="248"/>
      <c r="G1156" s="207"/>
      <c r="H1156" s="209"/>
      <c r="I1156" s="209"/>
      <c r="J1156" s="209"/>
      <c r="K1156" s="208" t="str">
        <f>IF(Errors!$I1156=0,SourceData!$B$42,VLOOKUP(Errors!$I1156,SourceData!$A$2:$B$40,2,FALSE))</f>
        <v>Please select ERROR CODE column "I"</v>
      </c>
      <c r="L1156" s="207" t="str">
        <f>IF(Errors!$I1156=0,
    'List of Error Codes'!$E$29,
    IFERROR(VLOOKUP(Errors!$I1156, 'List of Error Codes'!D1155:I1185, 6, FALSE), 'List of Error Codes'!$E$29)
)</f>
        <v>Please select ERROR CODE column "I"</v>
      </c>
      <c r="M1156" s="209"/>
      <c r="N1156" s="209"/>
      <c r="O1156" s="209"/>
      <c r="P1156" s="209"/>
      <c r="Q1156" s="209"/>
      <c r="R1156" s="217"/>
      <c r="S1156" s="217"/>
      <c r="T1156" s="217"/>
      <c r="U1156" s="199"/>
      <c r="V1156" s="200"/>
      <c r="W1156" s="200"/>
      <c r="X1156" s="200"/>
      <c r="Y1156" s="200"/>
      <c r="Z1156" s="200"/>
      <c r="AA1156" s="201"/>
      <c r="AB1156" s="200"/>
      <c r="AC1156" s="200"/>
    </row>
    <row r="1157" ht="15.75" customHeight="1">
      <c r="A1157" s="210">
        <f t="shared" si="1"/>
        <v>1155</v>
      </c>
      <c r="B1157" s="217"/>
      <c r="C1157" s="217" t="str">
        <f>IFERROR(VLOOKUP(B1157, SourceData!$U$3:$V$190, 2, FALSE), "")</f>
        <v/>
      </c>
      <c r="D1157" s="240"/>
      <c r="E1157" s="241"/>
      <c r="F1157" s="248"/>
      <c r="G1157" s="207"/>
      <c r="H1157" s="209"/>
      <c r="I1157" s="209"/>
      <c r="J1157" s="209"/>
      <c r="K1157" s="208" t="str">
        <f>IF(Errors!$I1157=0,SourceData!$B$42,VLOOKUP(Errors!$I1157,SourceData!$A$2:$B$40,2,FALSE))</f>
        <v>Please select ERROR CODE column "I"</v>
      </c>
      <c r="L1157" s="207" t="str">
        <f>IF(Errors!$I1157=0,
    'List of Error Codes'!$E$29,
    IFERROR(VLOOKUP(Errors!$I1157, 'List of Error Codes'!D1156:I1186, 6, FALSE), 'List of Error Codes'!$E$29)
)</f>
        <v>Please select ERROR CODE column "I"</v>
      </c>
      <c r="M1157" s="209"/>
      <c r="N1157" s="209"/>
      <c r="O1157" s="209"/>
      <c r="P1157" s="209"/>
      <c r="Q1157" s="209"/>
      <c r="R1157" s="217"/>
      <c r="S1157" s="217"/>
      <c r="T1157" s="217"/>
      <c r="U1157" s="199"/>
      <c r="V1157" s="200"/>
      <c r="W1157" s="200"/>
      <c r="X1157" s="200"/>
      <c r="Y1157" s="200"/>
      <c r="Z1157" s="200"/>
      <c r="AA1157" s="201"/>
      <c r="AB1157" s="200"/>
      <c r="AC1157" s="200"/>
    </row>
    <row r="1158" ht="15.75" customHeight="1">
      <c r="A1158" s="210">
        <f t="shared" si="1"/>
        <v>1156</v>
      </c>
      <c r="B1158" s="217"/>
      <c r="C1158" s="217" t="str">
        <f>IFERROR(VLOOKUP(B1158, SourceData!$U$3:$V$190, 2, FALSE), "")</f>
        <v/>
      </c>
      <c r="D1158" s="240"/>
      <c r="E1158" s="241"/>
      <c r="F1158" s="248"/>
      <c r="G1158" s="207"/>
      <c r="H1158" s="209"/>
      <c r="I1158" s="209"/>
      <c r="J1158" s="209"/>
      <c r="K1158" s="208" t="str">
        <f>IF(Errors!$I1158=0,SourceData!$B$42,VLOOKUP(Errors!$I1158,SourceData!$A$2:$B$40,2,FALSE))</f>
        <v>Please select ERROR CODE column "I"</v>
      </c>
      <c r="L1158" s="207" t="str">
        <f>IF(Errors!$I1158=0,
    'List of Error Codes'!$E$29,
    IFERROR(VLOOKUP(Errors!$I1158, 'List of Error Codes'!D1157:I1187, 6, FALSE), 'List of Error Codes'!$E$29)
)</f>
        <v>Please select ERROR CODE column "I"</v>
      </c>
      <c r="M1158" s="209"/>
      <c r="N1158" s="209"/>
      <c r="O1158" s="209"/>
      <c r="P1158" s="209"/>
      <c r="Q1158" s="209"/>
      <c r="R1158" s="217"/>
      <c r="S1158" s="217"/>
      <c r="T1158" s="217"/>
      <c r="U1158" s="199"/>
      <c r="V1158" s="200"/>
      <c r="W1158" s="200"/>
      <c r="X1158" s="200"/>
      <c r="Y1158" s="200"/>
      <c r="Z1158" s="200"/>
      <c r="AA1158" s="201"/>
      <c r="AB1158" s="200"/>
      <c r="AC1158" s="200"/>
    </row>
    <row r="1159" ht="15.75" customHeight="1">
      <c r="A1159" s="210">
        <f t="shared" si="1"/>
        <v>1157</v>
      </c>
      <c r="B1159" s="217"/>
      <c r="C1159" s="217" t="str">
        <f>IFERROR(VLOOKUP(B1159, SourceData!$U$3:$V$190, 2, FALSE), "")</f>
        <v/>
      </c>
      <c r="D1159" s="240"/>
      <c r="E1159" s="241"/>
      <c r="F1159" s="248"/>
      <c r="G1159" s="207"/>
      <c r="H1159" s="209"/>
      <c r="I1159" s="209"/>
      <c r="J1159" s="209"/>
      <c r="K1159" s="208" t="str">
        <f>IF(Errors!$I1159=0,SourceData!$B$42,VLOOKUP(Errors!$I1159,SourceData!$A$2:$B$40,2,FALSE))</f>
        <v>Please select ERROR CODE column "I"</v>
      </c>
      <c r="L1159" s="207" t="str">
        <f>IF(Errors!$I1159=0,
    'List of Error Codes'!$E$29,
    IFERROR(VLOOKUP(Errors!$I1159, 'List of Error Codes'!D1158:I1188, 6, FALSE), 'List of Error Codes'!$E$29)
)</f>
        <v>Please select ERROR CODE column "I"</v>
      </c>
      <c r="M1159" s="209"/>
      <c r="N1159" s="209"/>
      <c r="O1159" s="209"/>
      <c r="P1159" s="209"/>
      <c r="Q1159" s="209"/>
      <c r="R1159" s="217"/>
      <c r="S1159" s="217"/>
      <c r="T1159" s="217"/>
      <c r="U1159" s="199"/>
      <c r="V1159" s="200"/>
      <c r="W1159" s="200"/>
      <c r="X1159" s="200"/>
      <c r="Y1159" s="200"/>
      <c r="Z1159" s="200"/>
      <c r="AA1159" s="201"/>
      <c r="AB1159" s="200"/>
      <c r="AC1159" s="200"/>
    </row>
    <row r="1160" ht="15.75" customHeight="1">
      <c r="A1160" s="210">
        <f t="shared" si="1"/>
        <v>1158</v>
      </c>
      <c r="B1160" s="217"/>
      <c r="C1160" s="217" t="str">
        <f>IFERROR(VLOOKUP(B1160, SourceData!$U$3:$V$190, 2, FALSE), "")</f>
        <v/>
      </c>
      <c r="D1160" s="240"/>
      <c r="E1160" s="241"/>
      <c r="F1160" s="248"/>
      <c r="G1160" s="207"/>
      <c r="H1160" s="209"/>
      <c r="I1160" s="209"/>
      <c r="J1160" s="209"/>
      <c r="K1160" s="208" t="str">
        <f>IF(Errors!$I1160=0,SourceData!$B$42,VLOOKUP(Errors!$I1160,SourceData!$A$2:$B$40,2,FALSE))</f>
        <v>Please select ERROR CODE column "I"</v>
      </c>
      <c r="L1160" s="207" t="str">
        <f>IF(Errors!$I1160=0,
    'List of Error Codes'!$E$29,
    IFERROR(VLOOKUP(Errors!$I1160, 'List of Error Codes'!D1159:I1189, 6, FALSE), 'List of Error Codes'!$E$29)
)</f>
        <v>Please select ERROR CODE column "I"</v>
      </c>
      <c r="M1160" s="209"/>
      <c r="N1160" s="209"/>
      <c r="O1160" s="209"/>
      <c r="P1160" s="209"/>
      <c r="Q1160" s="209"/>
      <c r="R1160" s="217"/>
      <c r="S1160" s="217"/>
      <c r="T1160" s="217"/>
      <c r="U1160" s="199"/>
      <c r="V1160" s="200"/>
      <c r="W1160" s="200"/>
      <c r="X1160" s="200"/>
      <c r="Y1160" s="200"/>
      <c r="Z1160" s="200"/>
      <c r="AA1160" s="201"/>
      <c r="AB1160" s="200"/>
      <c r="AC1160" s="200"/>
    </row>
    <row r="1161" ht="15.75" customHeight="1">
      <c r="A1161" s="210">
        <f t="shared" si="1"/>
        <v>1159</v>
      </c>
      <c r="B1161" s="217"/>
      <c r="C1161" s="217" t="str">
        <f>IFERROR(VLOOKUP(B1161, SourceData!$U$3:$V$190, 2, FALSE), "")</f>
        <v/>
      </c>
      <c r="D1161" s="240"/>
      <c r="E1161" s="241"/>
      <c r="F1161" s="248"/>
      <c r="G1161" s="207"/>
      <c r="H1161" s="209"/>
      <c r="I1161" s="209"/>
      <c r="J1161" s="209"/>
      <c r="K1161" s="208" t="str">
        <f>IF(Errors!$I1161=0,SourceData!$B$42,VLOOKUP(Errors!$I1161,SourceData!$A$2:$B$40,2,FALSE))</f>
        <v>Please select ERROR CODE column "I"</v>
      </c>
      <c r="L1161" s="207" t="str">
        <f>IF(Errors!$I1161=0,
    'List of Error Codes'!$E$29,
    IFERROR(VLOOKUP(Errors!$I1161, 'List of Error Codes'!D1160:I1190, 6, FALSE), 'List of Error Codes'!$E$29)
)</f>
        <v>Please select ERROR CODE column "I"</v>
      </c>
      <c r="M1161" s="209"/>
      <c r="N1161" s="209"/>
      <c r="O1161" s="209"/>
      <c r="P1161" s="209"/>
      <c r="Q1161" s="209"/>
      <c r="R1161" s="217"/>
      <c r="S1161" s="217"/>
      <c r="T1161" s="217"/>
      <c r="U1161" s="199"/>
      <c r="V1161" s="200"/>
      <c r="W1161" s="200"/>
      <c r="X1161" s="200"/>
      <c r="Y1161" s="200"/>
      <c r="Z1161" s="200"/>
      <c r="AA1161" s="201"/>
      <c r="AB1161" s="200"/>
      <c r="AC1161" s="200"/>
    </row>
    <row r="1162" ht="15.75" customHeight="1">
      <c r="A1162" s="210">
        <f t="shared" si="1"/>
        <v>1160</v>
      </c>
      <c r="B1162" s="217"/>
      <c r="C1162" s="217" t="str">
        <f>IFERROR(VLOOKUP(B1162, SourceData!$U$3:$V$190, 2, FALSE), "")</f>
        <v/>
      </c>
      <c r="D1162" s="240"/>
      <c r="E1162" s="241"/>
      <c r="F1162" s="248"/>
      <c r="G1162" s="207"/>
      <c r="H1162" s="209"/>
      <c r="I1162" s="209"/>
      <c r="J1162" s="209"/>
      <c r="K1162" s="208" t="str">
        <f>IF(Errors!$I1162=0,SourceData!$B$42,VLOOKUP(Errors!$I1162,SourceData!$A$2:$B$40,2,FALSE))</f>
        <v>Please select ERROR CODE column "I"</v>
      </c>
      <c r="L1162" s="207" t="str">
        <f>IF(Errors!$I1162=0,
    'List of Error Codes'!$E$29,
    IFERROR(VLOOKUP(Errors!$I1162, 'List of Error Codes'!D1161:I1191, 6, FALSE), 'List of Error Codes'!$E$29)
)</f>
        <v>Please select ERROR CODE column "I"</v>
      </c>
      <c r="M1162" s="209"/>
      <c r="N1162" s="209"/>
      <c r="O1162" s="209"/>
      <c r="P1162" s="209"/>
      <c r="Q1162" s="209"/>
      <c r="R1162" s="217"/>
      <c r="S1162" s="217"/>
      <c r="T1162" s="217"/>
      <c r="U1162" s="199"/>
      <c r="V1162" s="200"/>
      <c r="W1162" s="200"/>
      <c r="X1162" s="200"/>
      <c r="Y1162" s="200"/>
      <c r="Z1162" s="200"/>
      <c r="AA1162" s="201"/>
      <c r="AB1162" s="200"/>
      <c r="AC1162" s="200"/>
    </row>
    <row r="1163" ht="15.75" customHeight="1">
      <c r="A1163" s="210">
        <f t="shared" si="1"/>
        <v>1161</v>
      </c>
      <c r="B1163" s="217"/>
      <c r="C1163" s="217" t="str">
        <f>IFERROR(VLOOKUP(B1163, SourceData!$U$3:$V$190, 2, FALSE), "")</f>
        <v/>
      </c>
      <c r="D1163" s="240"/>
      <c r="E1163" s="241"/>
      <c r="F1163" s="248"/>
      <c r="G1163" s="207"/>
      <c r="H1163" s="209"/>
      <c r="I1163" s="209"/>
      <c r="J1163" s="209"/>
      <c r="K1163" s="208" t="str">
        <f>IF(Errors!$I1163=0,SourceData!$B$42,VLOOKUP(Errors!$I1163,SourceData!$A$2:$B$40,2,FALSE))</f>
        <v>Please select ERROR CODE column "I"</v>
      </c>
      <c r="L1163" s="207" t="str">
        <f>IF(Errors!$I1163=0,
    'List of Error Codes'!$E$29,
    IFERROR(VLOOKUP(Errors!$I1163, 'List of Error Codes'!D1162:I1192, 6, FALSE), 'List of Error Codes'!$E$29)
)</f>
        <v>Please select ERROR CODE column "I"</v>
      </c>
      <c r="M1163" s="209"/>
      <c r="N1163" s="209"/>
      <c r="O1163" s="209"/>
      <c r="P1163" s="209"/>
      <c r="Q1163" s="209"/>
      <c r="R1163" s="217"/>
      <c r="S1163" s="217"/>
      <c r="T1163" s="217"/>
      <c r="U1163" s="199"/>
      <c r="V1163" s="200"/>
      <c r="W1163" s="200"/>
      <c r="X1163" s="200"/>
      <c r="Y1163" s="200"/>
      <c r="Z1163" s="200"/>
      <c r="AA1163" s="201"/>
      <c r="AB1163" s="200"/>
      <c r="AC1163" s="200"/>
    </row>
    <row r="1164" ht="15.75" customHeight="1">
      <c r="A1164" s="210">
        <f t="shared" si="1"/>
        <v>1162</v>
      </c>
      <c r="B1164" s="217"/>
      <c r="C1164" s="217" t="str">
        <f>IFERROR(VLOOKUP(B1164, SourceData!$U$3:$V$190, 2, FALSE), "")</f>
        <v/>
      </c>
      <c r="D1164" s="240"/>
      <c r="E1164" s="241"/>
      <c r="F1164" s="248"/>
      <c r="G1164" s="207"/>
      <c r="H1164" s="209"/>
      <c r="I1164" s="209"/>
      <c r="J1164" s="209"/>
      <c r="K1164" s="208" t="str">
        <f>IF(Errors!$I1164=0,SourceData!$B$42,VLOOKUP(Errors!$I1164,SourceData!$A$2:$B$40,2,FALSE))</f>
        <v>Please select ERROR CODE column "I"</v>
      </c>
      <c r="L1164" s="207" t="str">
        <f>IF(Errors!$I1164=0,
    'List of Error Codes'!$E$29,
    IFERROR(VLOOKUP(Errors!$I1164, 'List of Error Codes'!D1163:I1193, 6, FALSE), 'List of Error Codes'!$E$29)
)</f>
        <v>Please select ERROR CODE column "I"</v>
      </c>
      <c r="M1164" s="209"/>
      <c r="N1164" s="209"/>
      <c r="O1164" s="209"/>
      <c r="P1164" s="209"/>
      <c r="Q1164" s="209"/>
      <c r="R1164" s="217"/>
      <c r="S1164" s="217"/>
      <c r="T1164" s="217"/>
      <c r="U1164" s="199"/>
      <c r="V1164" s="200"/>
      <c r="W1164" s="200"/>
      <c r="X1164" s="200"/>
      <c r="Y1164" s="200"/>
      <c r="Z1164" s="200"/>
      <c r="AA1164" s="201"/>
      <c r="AB1164" s="200"/>
      <c r="AC1164" s="200"/>
    </row>
    <row r="1165" ht="15.75" customHeight="1">
      <c r="A1165" s="210">
        <f t="shared" si="1"/>
        <v>1163</v>
      </c>
      <c r="B1165" s="217"/>
      <c r="C1165" s="217" t="str">
        <f>IFERROR(VLOOKUP(B1165, SourceData!$U$3:$V$190, 2, FALSE), "")</f>
        <v/>
      </c>
      <c r="D1165" s="240"/>
      <c r="E1165" s="241"/>
      <c r="F1165" s="248"/>
      <c r="G1165" s="207"/>
      <c r="H1165" s="209"/>
      <c r="I1165" s="209"/>
      <c r="J1165" s="209"/>
      <c r="K1165" s="208" t="str">
        <f>IF(Errors!$I1165=0,SourceData!$B$42,VLOOKUP(Errors!$I1165,SourceData!$A$2:$B$40,2,FALSE))</f>
        <v>Please select ERROR CODE column "I"</v>
      </c>
      <c r="L1165" s="207" t="str">
        <f>IF(Errors!$I1165=0,
    'List of Error Codes'!$E$29,
    IFERROR(VLOOKUP(Errors!$I1165, 'List of Error Codes'!D1164:I1194, 6, FALSE), 'List of Error Codes'!$E$29)
)</f>
        <v>Please select ERROR CODE column "I"</v>
      </c>
      <c r="M1165" s="209"/>
      <c r="N1165" s="209"/>
      <c r="O1165" s="209"/>
      <c r="P1165" s="209"/>
      <c r="Q1165" s="209"/>
      <c r="R1165" s="217"/>
      <c r="S1165" s="217"/>
      <c r="T1165" s="217"/>
      <c r="U1165" s="199"/>
      <c r="V1165" s="200"/>
      <c r="W1165" s="200"/>
      <c r="X1165" s="200"/>
      <c r="Y1165" s="200"/>
      <c r="Z1165" s="200"/>
      <c r="AA1165" s="201"/>
      <c r="AB1165" s="200"/>
      <c r="AC1165" s="200"/>
    </row>
    <row r="1166" ht="15.75" customHeight="1">
      <c r="A1166" s="210">
        <f t="shared" si="1"/>
        <v>1164</v>
      </c>
      <c r="B1166" s="217"/>
      <c r="C1166" s="217" t="str">
        <f>IFERROR(VLOOKUP(B1166, SourceData!$U$3:$V$190, 2, FALSE), "")</f>
        <v/>
      </c>
      <c r="D1166" s="240"/>
      <c r="E1166" s="241"/>
      <c r="F1166" s="248"/>
      <c r="G1166" s="207"/>
      <c r="H1166" s="209"/>
      <c r="I1166" s="209"/>
      <c r="J1166" s="209"/>
      <c r="K1166" s="208" t="str">
        <f>IF(Errors!$I1166=0,SourceData!$B$42,VLOOKUP(Errors!$I1166,SourceData!$A$2:$B$40,2,FALSE))</f>
        <v>Please select ERROR CODE column "I"</v>
      </c>
      <c r="L1166" s="207" t="str">
        <f>IF(Errors!$I1166=0,
    'List of Error Codes'!$E$29,
    IFERROR(VLOOKUP(Errors!$I1166, 'List of Error Codes'!D1165:I1195, 6, FALSE), 'List of Error Codes'!$E$29)
)</f>
        <v>Please select ERROR CODE column "I"</v>
      </c>
      <c r="M1166" s="209"/>
      <c r="N1166" s="209"/>
      <c r="O1166" s="209"/>
      <c r="P1166" s="209"/>
      <c r="Q1166" s="209"/>
      <c r="R1166" s="217"/>
      <c r="S1166" s="217"/>
      <c r="T1166" s="217"/>
      <c r="U1166" s="199"/>
      <c r="V1166" s="200"/>
      <c r="W1166" s="200"/>
      <c r="X1166" s="200"/>
      <c r="Y1166" s="200"/>
      <c r="Z1166" s="200"/>
      <c r="AA1166" s="201"/>
      <c r="AB1166" s="200"/>
      <c r="AC1166" s="200"/>
    </row>
    <row r="1167" ht="15.75" customHeight="1">
      <c r="A1167" s="210">
        <f t="shared" si="1"/>
        <v>1165</v>
      </c>
      <c r="B1167" s="217"/>
      <c r="C1167" s="217" t="str">
        <f>IFERROR(VLOOKUP(B1167, SourceData!$U$3:$V$190, 2, FALSE), "")</f>
        <v/>
      </c>
      <c r="D1167" s="240"/>
      <c r="E1167" s="241"/>
      <c r="F1167" s="248"/>
      <c r="G1167" s="207"/>
      <c r="H1167" s="209"/>
      <c r="I1167" s="209"/>
      <c r="J1167" s="209"/>
      <c r="K1167" s="208" t="str">
        <f>IF(Errors!$I1167=0,SourceData!$B$42,VLOOKUP(Errors!$I1167,SourceData!$A$2:$B$40,2,FALSE))</f>
        <v>Please select ERROR CODE column "I"</v>
      </c>
      <c r="L1167" s="207" t="str">
        <f>IF(Errors!$I1167=0,
    'List of Error Codes'!$E$29,
    IFERROR(VLOOKUP(Errors!$I1167, 'List of Error Codes'!D1166:I1196, 6, FALSE), 'List of Error Codes'!$E$29)
)</f>
        <v>Please select ERROR CODE column "I"</v>
      </c>
      <c r="M1167" s="209"/>
      <c r="N1167" s="209"/>
      <c r="O1167" s="209"/>
      <c r="P1167" s="209"/>
      <c r="Q1167" s="209"/>
      <c r="R1167" s="217"/>
      <c r="S1167" s="217"/>
      <c r="T1167" s="217"/>
      <c r="U1167" s="199"/>
      <c r="V1167" s="200"/>
      <c r="W1167" s="200"/>
      <c r="X1167" s="200"/>
      <c r="Y1167" s="200"/>
      <c r="Z1167" s="200"/>
      <c r="AA1167" s="201"/>
      <c r="AB1167" s="200"/>
      <c r="AC1167" s="200"/>
    </row>
    <row r="1168" ht="15.75" customHeight="1">
      <c r="A1168" s="210">
        <f t="shared" si="1"/>
        <v>1166</v>
      </c>
      <c r="B1168" s="217"/>
      <c r="C1168" s="217" t="str">
        <f>IFERROR(VLOOKUP(B1168, SourceData!$U$3:$V$190, 2, FALSE), "")</f>
        <v/>
      </c>
      <c r="D1168" s="240"/>
      <c r="E1168" s="241"/>
      <c r="F1168" s="248"/>
      <c r="G1168" s="207"/>
      <c r="H1168" s="209"/>
      <c r="I1168" s="209"/>
      <c r="J1168" s="209"/>
      <c r="K1168" s="208" t="str">
        <f>IF(Errors!$I1168=0,SourceData!$B$42,VLOOKUP(Errors!$I1168,SourceData!$A$2:$B$40,2,FALSE))</f>
        <v>Please select ERROR CODE column "I"</v>
      </c>
      <c r="L1168" s="207" t="str">
        <f>IF(Errors!$I1168=0,
    'List of Error Codes'!$E$29,
    IFERROR(VLOOKUP(Errors!$I1168, 'List of Error Codes'!D1167:I1197, 6, FALSE), 'List of Error Codes'!$E$29)
)</f>
        <v>Please select ERROR CODE column "I"</v>
      </c>
      <c r="M1168" s="209"/>
      <c r="N1168" s="209"/>
      <c r="O1168" s="209"/>
      <c r="P1168" s="209"/>
      <c r="Q1168" s="209"/>
      <c r="R1168" s="217"/>
      <c r="S1168" s="217"/>
      <c r="T1168" s="217"/>
      <c r="U1168" s="199"/>
      <c r="V1168" s="200"/>
      <c r="W1168" s="200"/>
      <c r="X1168" s="200"/>
      <c r="Y1168" s="200"/>
      <c r="Z1168" s="200"/>
      <c r="AA1168" s="201"/>
      <c r="AB1168" s="200"/>
      <c r="AC1168" s="200"/>
    </row>
    <row r="1169" ht="15.75" customHeight="1">
      <c r="A1169" s="210">
        <f t="shared" si="1"/>
        <v>1167</v>
      </c>
      <c r="B1169" s="217"/>
      <c r="C1169" s="217" t="str">
        <f>IFERROR(VLOOKUP(B1169, SourceData!$U$3:$V$190, 2, FALSE), "")</f>
        <v/>
      </c>
      <c r="D1169" s="240"/>
      <c r="E1169" s="241"/>
      <c r="F1169" s="248"/>
      <c r="G1169" s="207"/>
      <c r="H1169" s="209"/>
      <c r="I1169" s="209"/>
      <c r="J1169" s="209"/>
      <c r="K1169" s="208" t="str">
        <f>IF(Errors!$I1169=0,SourceData!$B$42,VLOOKUP(Errors!$I1169,SourceData!$A$2:$B$40,2,FALSE))</f>
        <v>Please select ERROR CODE column "I"</v>
      </c>
      <c r="L1169" s="207" t="str">
        <f>IF(Errors!$I1169=0,
    'List of Error Codes'!$E$29,
    IFERROR(VLOOKUP(Errors!$I1169, 'List of Error Codes'!D1168:I1198, 6, FALSE), 'List of Error Codes'!$E$29)
)</f>
        <v>Please select ERROR CODE column "I"</v>
      </c>
      <c r="M1169" s="209"/>
      <c r="N1169" s="209"/>
      <c r="O1169" s="209"/>
      <c r="P1169" s="209"/>
      <c r="Q1169" s="209"/>
      <c r="R1169" s="217"/>
      <c r="S1169" s="217"/>
      <c r="T1169" s="217"/>
      <c r="U1169" s="199"/>
      <c r="V1169" s="200"/>
      <c r="W1169" s="200"/>
      <c r="X1169" s="200"/>
      <c r="Y1169" s="200"/>
      <c r="Z1169" s="200"/>
      <c r="AA1169" s="201"/>
      <c r="AB1169" s="200"/>
      <c r="AC1169" s="200"/>
    </row>
    <row r="1170" ht="15.75" customHeight="1">
      <c r="A1170" s="210">
        <f t="shared" si="1"/>
        <v>1168</v>
      </c>
      <c r="B1170" s="217"/>
      <c r="C1170" s="217" t="str">
        <f>IFERROR(VLOOKUP(B1170, SourceData!$U$3:$V$190, 2, FALSE), "")</f>
        <v/>
      </c>
      <c r="D1170" s="240"/>
      <c r="E1170" s="241"/>
      <c r="F1170" s="248"/>
      <c r="G1170" s="207"/>
      <c r="H1170" s="209"/>
      <c r="I1170" s="209"/>
      <c r="J1170" s="209"/>
      <c r="K1170" s="208" t="str">
        <f>IF(Errors!$I1170=0,SourceData!$B$42,VLOOKUP(Errors!$I1170,SourceData!$A$2:$B$40,2,FALSE))</f>
        <v>Please select ERROR CODE column "I"</v>
      </c>
      <c r="L1170" s="207" t="str">
        <f>IF(Errors!$I1170=0,
    'List of Error Codes'!$E$29,
    IFERROR(VLOOKUP(Errors!$I1170, 'List of Error Codes'!D1169:I1199, 6, FALSE), 'List of Error Codes'!$E$29)
)</f>
        <v>Please select ERROR CODE column "I"</v>
      </c>
      <c r="M1170" s="209"/>
      <c r="N1170" s="209"/>
      <c r="O1170" s="209"/>
      <c r="P1170" s="209"/>
      <c r="Q1170" s="209"/>
      <c r="R1170" s="217"/>
      <c r="S1170" s="217"/>
      <c r="T1170" s="217"/>
      <c r="U1170" s="199"/>
      <c r="V1170" s="200"/>
      <c r="W1170" s="200"/>
      <c r="X1170" s="200"/>
      <c r="Y1170" s="200"/>
      <c r="Z1170" s="200"/>
      <c r="AA1170" s="201"/>
      <c r="AB1170" s="200"/>
      <c r="AC1170" s="200"/>
    </row>
    <row r="1171" ht="15.75" customHeight="1">
      <c r="A1171" s="210">
        <f t="shared" si="1"/>
        <v>1169</v>
      </c>
      <c r="B1171" s="217"/>
      <c r="C1171" s="217" t="str">
        <f>IFERROR(VLOOKUP(B1171, SourceData!$U$3:$V$190, 2, FALSE), "")</f>
        <v/>
      </c>
      <c r="D1171" s="240"/>
      <c r="E1171" s="241"/>
      <c r="F1171" s="248"/>
      <c r="G1171" s="207"/>
      <c r="H1171" s="209"/>
      <c r="I1171" s="209"/>
      <c r="J1171" s="209"/>
      <c r="K1171" s="208" t="str">
        <f>IF(Errors!$I1171=0,SourceData!$B$42,VLOOKUP(Errors!$I1171,SourceData!$A$2:$B$40,2,FALSE))</f>
        <v>Please select ERROR CODE column "I"</v>
      </c>
      <c r="L1171" s="207" t="str">
        <f>IF(Errors!$I1171=0,
    'List of Error Codes'!$E$29,
    IFERROR(VLOOKUP(Errors!$I1171, 'List of Error Codes'!D1170:I1200, 6, FALSE), 'List of Error Codes'!$E$29)
)</f>
        <v>Please select ERROR CODE column "I"</v>
      </c>
      <c r="M1171" s="209"/>
      <c r="N1171" s="209"/>
      <c r="O1171" s="209"/>
      <c r="P1171" s="209"/>
      <c r="Q1171" s="209"/>
      <c r="R1171" s="217"/>
      <c r="S1171" s="217"/>
      <c r="T1171" s="217"/>
      <c r="U1171" s="199"/>
      <c r="V1171" s="200"/>
      <c r="W1171" s="200"/>
      <c r="X1171" s="200"/>
      <c r="Y1171" s="200"/>
      <c r="Z1171" s="200"/>
      <c r="AA1171" s="201"/>
      <c r="AB1171" s="200"/>
      <c r="AC1171" s="200"/>
    </row>
    <row r="1172" ht="15.75" customHeight="1">
      <c r="A1172" s="210">
        <f t="shared" si="1"/>
        <v>1170</v>
      </c>
      <c r="B1172" s="217"/>
      <c r="C1172" s="217" t="str">
        <f>IFERROR(VLOOKUP(B1172, SourceData!$U$3:$V$190, 2, FALSE), "")</f>
        <v/>
      </c>
      <c r="D1172" s="240"/>
      <c r="E1172" s="241"/>
      <c r="F1172" s="248"/>
      <c r="G1172" s="207"/>
      <c r="H1172" s="209"/>
      <c r="I1172" s="209"/>
      <c r="J1172" s="209"/>
      <c r="K1172" s="208" t="str">
        <f>IF(Errors!$I1172=0,SourceData!$B$42,VLOOKUP(Errors!$I1172,SourceData!$A$2:$B$40,2,FALSE))</f>
        <v>Please select ERROR CODE column "I"</v>
      </c>
      <c r="L1172" s="207" t="str">
        <f>IF(Errors!$I1172=0,
    'List of Error Codes'!$E$29,
    IFERROR(VLOOKUP(Errors!$I1172, 'List of Error Codes'!D1171:I1201, 6, FALSE), 'List of Error Codes'!$E$29)
)</f>
        <v>Please select ERROR CODE column "I"</v>
      </c>
      <c r="M1172" s="209"/>
      <c r="N1172" s="209"/>
      <c r="O1172" s="209"/>
      <c r="P1172" s="209"/>
      <c r="Q1172" s="209"/>
      <c r="R1172" s="217"/>
      <c r="S1172" s="217"/>
      <c r="T1172" s="217"/>
      <c r="U1172" s="199"/>
      <c r="V1172" s="200"/>
      <c r="W1172" s="200"/>
      <c r="X1172" s="200"/>
      <c r="Y1172" s="200"/>
      <c r="Z1172" s="200"/>
      <c r="AA1172" s="201"/>
      <c r="AB1172" s="200"/>
      <c r="AC1172" s="200"/>
    </row>
    <row r="1173" ht="14.25" customHeight="1">
      <c r="A1173" s="210">
        <f t="shared" si="1"/>
        <v>1171</v>
      </c>
      <c r="B1173" s="217"/>
      <c r="C1173" s="217" t="str">
        <f>IFERROR(VLOOKUP(B1173, SourceData!$U$3:$V$190, 2, FALSE), "")</f>
        <v/>
      </c>
      <c r="D1173" s="240"/>
      <c r="E1173" s="241"/>
      <c r="F1173" s="248"/>
      <c r="G1173" s="207"/>
      <c r="H1173" s="209"/>
      <c r="I1173" s="209"/>
      <c r="J1173" s="209"/>
      <c r="K1173" s="208" t="str">
        <f>IF(Errors!$I1173=0,SourceData!$B$42,VLOOKUP(Errors!$I1173,SourceData!$A$2:$B$40,2,FALSE))</f>
        <v>Please select ERROR CODE column "I"</v>
      </c>
      <c r="L1173" s="207" t="str">
        <f>IF(Errors!$I1173=0,
    'List of Error Codes'!$E$29,
    IFERROR(VLOOKUP(Errors!$I1173, 'List of Error Codes'!D1172:I1202, 6, FALSE), 'List of Error Codes'!$E$29)
)</f>
        <v>Please select ERROR CODE column "I"</v>
      </c>
      <c r="M1173" s="209"/>
      <c r="N1173" s="209"/>
      <c r="O1173" s="209"/>
      <c r="P1173" s="209"/>
      <c r="Q1173" s="209"/>
      <c r="R1173" s="217"/>
      <c r="S1173" s="217"/>
      <c r="T1173" s="217"/>
      <c r="U1173" s="199"/>
      <c r="V1173" s="200"/>
      <c r="W1173" s="200"/>
      <c r="X1173" s="200"/>
      <c r="Y1173" s="200"/>
      <c r="Z1173" s="200"/>
      <c r="AA1173" s="201"/>
      <c r="AB1173" s="200"/>
      <c r="AC1173" s="200"/>
    </row>
    <row r="1174" ht="15.75" customHeight="1">
      <c r="A1174" s="210">
        <f t="shared" si="1"/>
        <v>1172</v>
      </c>
      <c r="B1174" s="217"/>
      <c r="C1174" s="217" t="str">
        <f>IFERROR(VLOOKUP(B1174, SourceData!$U$3:$V$190, 2, FALSE), "")</f>
        <v/>
      </c>
      <c r="D1174" s="240"/>
      <c r="E1174" s="241"/>
      <c r="F1174" s="248"/>
      <c r="G1174" s="207"/>
      <c r="H1174" s="209"/>
      <c r="I1174" s="209"/>
      <c r="J1174" s="209"/>
      <c r="K1174" s="208" t="str">
        <f>IF(Errors!$I1174=0,SourceData!$B$42,VLOOKUP(Errors!$I1174,SourceData!$A$2:$B$40,2,FALSE))</f>
        <v>Please select ERROR CODE column "I"</v>
      </c>
      <c r="L1174" s="207" t="str">
        <f>IF(Errors!$I1174=0,
    'List of Error Codes'!$E$29,
    IFERROR(VLOOKUP(Errors!$I1174, 'List of Error Codes'!D1173:I1203, 6, FALSE), 'List of Error Codes'!$E$29)
)</f>
        <v>Please select ERROR CODE column "I"</v>
      </c>
      <c r="M1174" s="209"/>
      <c r="N1174" s="209"/>
      <c r="O1174" s="209"/>
      <c r="P1174" s="209"/>
      <c r="Q1174" s="209"/>
      <c r="R1174" s="217"/>
      <c r="S1174" s="217"/>
      <c r="T1174" s="217"/>
      <c r="U1174" s="199"/>
      <c r="V1174" s="200"/>
      <c r="W1174" s="200"/>
      <c r="X1174" s="200"/>
      <c r="Y1174" s="200"/>
      <c r="Z1174" s="200"/>
      <c r="AA1174" s="201"/>
      <c r="AB1174" s="200"/>
      <c r="AC1174" s="200"/>
    </row>
    <row r="1175" ht="15.75" customHeight="1">
      <c r="A1175" s="210">
        <f t="shared" si="1"/>
        <v>1173</v>
      </c>
      <c r="B1175" s="217"/>
      <c r="C1175" s="217" t="str">
        <f>IFERROR(VLOOKUP(B1175, SourceData!$U$3:$V$190, 2, FALSE), "")</f>
        <v/>
      </c>
      <c r="D1175" s="240"/>
      <c r="E1175" s="241"/>
      <c r="F1175" s="248"/>
      <c r="G1175" s="207"/>
      <c r="H1175" s="209"/>
      <c r="I1175" s="209"/>
      <c r="J1175" s="209"/>
      <c r="K1175" s="208" t="str">
        <f>IF(Errors!$I1175=0,SourceData!$B$42,VLOOKUP(Errors!$I1175,SourceData!$A$2:$B$40,2,FALSE))</f>
        <v>Please select ERROR CODE column "I"</v>
      </c>
      <c r="L1175" s="207" t="str">
        <f>IF(Errors!$I1175=0,
    'List of Error Codes'!$E$29,
    IFERROR(VLOOKUP(Errors!$I1175, 'List of Error Codes'!D1174:I1204, 6, FALSE), 'List of Error Codes'!$E$29)
)</f>
        <v>Please select ERROR CODE column "I"</v>
      </c>
      <c r="M1175" s="209"/>
      <c r="N1175" s="209"/>
      <c r="O1175" s="209"/>
      <c r="P1175" s="209"/>
      <c r="Q1175" s="209"/>
      <c r="R1175" s="217"/>
      <c r="S1175" s="217"/>
      <c r="T1175" s="217"/>
      <c r="U1175" s="199"/>
      <c r="V1175" s="200"/>
      <c r="W1175" s="200"/>
      <c r="X1175" s="200"/>
      <c r="Y1175" s="200"/>
      <c r="Z1175" s="200"/>
      <c r="AA1175" s="201"/>
      <c r="AB1175" s="200"/>
      <c r="AC1175" s="200"/>
    </row>
    <row r="1176" ht="15.75" customHeight="1">
      <c r="A1176" s="210">
        <f t="shared" si="1"/>
        <v>1174</v>
      </c>
      <c r="B1176" s="217"/>
      <c r="C1176" s="217" t="str">
        <f>IFERROR(VLOOKUP(B1176, SourceData!$U$3:$V$190, 2, FALSE), "")</f>
        <v/>
      </c>
      <c r="D1176" s="240"/>
      <c r="E1176" s="241"/>
      <c r="F1176" s="248"/>
      <c r="G1176" s="207"/>
      <c r="H1176" s="209"/>
      <c r="I1176" s="209"/>
      <c r="J1176" s="209"/>
      <c r="K1176" s="208" t="str">
        <f>IF(Errors!$I1176=0,SourceData!$B$42,VLOOKUP(Errors!$I1176,SourceData!$A$2:$B$40,2,FALSE))</f>
        <v>Please select ERROR CODE column "I"</v>
      </c>
      <c r="L1176" s="207" t="str">
        <f>IF(Errors!$I1176=0,
    'List of Error Codes'!$E$29,
    IFERROR(VLOOKUP(Errors!$I1176, 'List of Error Codes'!D1175:I1205, 6, FALSE), 'List of Error Codes'!$E$29)
)</f>
        <v>Please select ERROR CODE column "I"</v>
      </c>
      <c r="M1176" s="209"/>
      <c r="N1176" s="209"/>
      <c r="O1176" s="209"/>
      <c r="P1176" s="209"/>
      <c r="Q1176" s="209"/>
      <c r="R1176" s="217"/>
      <c r="S1176" s="217"/>
      <c r="T1176" s="217"/>
      <c r="U1176" s="199"/>
      <c r="V1176" s="200"/>
      <c r="W1176" s="200"/>
      <c r="X1176" s="200"/>
      <c r="Y1176" s="200"/>
      <c r="Z1176" s="200"/>
      <c r="AA1176" s="201"/>
      <c r="AB1176" s="200"/>
      <c r="AC1176" s="200"/>
    </row>
    <row r="1177" ht="15.75" customHeight="1">
      <c r="A1177" s="210">
        <f t="shared" si="1"/>
        <v>1175</v>
      </c>
      <c r="B1177" s="217"/>
      <c r="C1177" s="217" t="str">
        <f>IFERROR(VLOOKUP(B1177, SourceData!$U$3:$V$190, 2, FALSE), "")</f>
        <v/>
      </c>
      <c r="D1177" s="240"/>
      <c r="E1177" s="241"/>
      <c r="F1177" s="248"/>
      <c r="G1177" s="207"/>
      <c r="H1177" s="209"/>
      <c r="I1177" s="209"/>
      <c r="J1177" s="209"/>
      <c r="K1177" s="208" t="str">
        <f>IF(Errors!$I1177=0,SourceData!$B$42,VLOOKUP(Errors!$I1177,SourceData!$A$2:$B$40,2,FALSE))</f>
        <v>Please select ERROR CODE column "I"</v>
      </c>
      <c r="L1177" s="207" t="str">
        <f>IF(Errors!$I1177=0,
    'List of Error Codes'!$E$29,
    IFERROR(VLOOKUP(Errors!$I1177, 'List of Error Codes'!D1176:I1206, 6, FALSE), 'List of Error Codes'!$E$29)
)</f>
        <v>Please select ERROR CODE column "I"</v>
      </c>
      <c r="M1177" s="209"/>
      <c r="N1177" s="209"/>
      <c r="O1177" s="209"/>
      <c r="P1177" s="209"/>
      <c r="Q1177" s="209"/>
      <c r="R1177" s="217"/>
      <c r="S1177" s="217"/>
      <c r="T1177" s="217"/>
      <c r="U1177" s="199"/>
      <c r="V1177" s="200"/>
      <c r="W1177" s="200"/>
      <c r="X1177" s="200"/>
      <c r="Y1177" s="200"/>
      <c r="Z1177" s="200"/>
      <c r="AA1177" s="201"/>
      <c r="AB1177" s="200"/>
      <c r="AC1177" s="200"/>
    </row>
    <row r="1178" ht="15.75" customHeight="1">
      <c r="A1178" s="210">
        <f t="shared" si="1"/>
        <v>1176</v>
      </c>
      <c r="B1178" s="217"/>
      <c r="C1178" s="217" t="str">
        <f>IFERROR(VLOOKUP(B1178, SourceData!$U$3:$V$190, 2, FALSE), "")</f>
        <v/>
      </c>
      <c r="D1178" s="240"/>
      <c r="E1178" s="241"/>
      <c r="F1178" s="248"/>
      <c r="G1178" s="207"/>
      <c r="H1178" s="209"/>
      <c r="I1178" s="209"/>
      <c r="J1178" s="209"/>
      <c r="K1178" s="208" t="str">
        <f>IF(Errors!$I1178=0,SourceData!$B$42,VLOOKUP(Errors!$I1178,SourceData!$A$2:$B$40,2,FALSE))</f>
        <v>Please select ERROR CODE column "I"</v>
      </c>
      <c r="L1178" s="207" t="str">
        <f>IF(Errors!$I1178=0,
    'List of Error Codes'!$E$29,
    IFERROR(VLOOKUP(Errors!$I1178, 'List of Error Codes'!D1177:I1207, 6, FALSE), 'List of Error Codes'!$E$29)
)</f>
        <v>Please select ERROR CODE column "I"</v>
      </c>
      <c r="M1178" s="209"/>
      <c r="N1178" s="209"/>
      <c r="O1178" s="209"/>
      <c r="P1178" s="209"/>
      <c r="Q1178" s="209"/>
      <c r="R1178" s="217"/>
      <c r="S1178" s="217"/>
      <c r="T1178" s="217"/>
      <c r="U1178" s="199"/>
      <c r="V1178" s="200"/>
      <c r="W1178" s="200"/>
      <c r="X1178" s="200"/>
      <c r="Y1178" s="200"/>
      <c r="Z1178" s="200"/>
      <c r="AA1178" s="201"/>
      <c r="AB1178" s="200"/>
      <c r="AC1178" s="200"/>
    </row>
    <row r="1179" ht="15.75" customHeight="1">
      <c r="A1179" s="210">
        <f t="shared" si="1"/>
        <v>1177</v>
      </c>
      <c r="B1179" s="217"/>
      <c r="C1179" s="217" t="str">
        <f>IFERROR(VLOOKUP(B1179, SourceData!$U$3:$V$190, 2, FALSE), "")</f>
        <v/>
      </c>
      <c r="D1179" s="240"/>
      <c r="E1179" s="241"/>
      <c r="F1179" s="248"/>
      <c r="G1179" s="207"/>
      <c r="H1179" s="209"/>
      <c r="I1179" s="209"/>
      <c r="J1179" s="209"/>
      <c r="K1179" s="208" t="str">
        <f>IF(Errors!$I1179=0,SourceData!$B$42,VLOOKUP(Errors!$I1179,SourceData!$A$2:$B$40,2,FALSE))</f>
        <v>Please select ERROR CODE column "I"</v>
      </c>
      <c r="L1179" s="207" t="str">
        <f>IF(Errors!$I1179=0,
    'List of Error Codes'!$E$29,
    IFERROR(VLOOKUP(Errors!$I1179, 'List of Error Codes'!D1178:I1208, 6, FALSE), 'List of Error Codes'!$E$29)
)</f>
        <v>Please select ERROR CODE column "I"</v>
      </c>
      <c r="M1179" s="209"/>
      <c r="N1179" s="209"/>
      <c r="O1179" s="209"/>
      <c r="P1179" s="209"/>
      <c r="Q1179" s="209"/>
      <c r="R1179" s="217"/>
      <c r="S1179" s="217"/>
      <c r="T1179" s="217"/>
      <c r="U1179" s="199"/>
      <c r="V1179" s="200"/>
      <c r="W1179" s="200"/>
      <c r="X1179" s="200"/>
      <c r="Y1179" s="200"/>
      <c r="Z1179" s="200"/>
      <c r="AA1179" s="201"/>
      <c r="AB1179" s="200"/>
      <c r="AC1179" s="200"/>
    </row>
    <row r="1180" ht="15.75" customHeight="1">
      <c r="A1180" s="210">
        <f t="shared" si="1"/>
        <v>1178</v>
      </c>
      <c r="B1180" s="217"/>
      <c r="C1180" s="217" t="str">
        <f>IFERROR(VLOOKUP(B1180, SourceData!$U$3:$V$190, 2, FALSE), "")</f>
        <v/>
      </c>
      <c r="D1180" s="240"/>
      <c r="E1180" s="241"/>
      <c r="F1180" s="248"/>
      <c r="G1180" s="207"/>
      <c r="H1180" s="209"/>
      <c r="I1180" s="209"/>
      <c r="J1180" s="209"/>
      <c r="K1180" s="208" t="str">
        <f>IF(Errors!$I1180=0,SourceData!$B$42,VLOOKUP(Errors!$I1180,SourceData!$A$2:$B$40,2,FALSE))</f>
        <v>Please select ERROR CODE column "I"</v>
      </c>
      <c r="L1180" s="207" t="str">
        <f>IF(Errors!$I1180=0,
    'List of Error Codes'!$E$29,
    IFERROR(VLOOKUP(Errors!$I1180, 'List of Error Codes'!D1179:I1209, 6, FALSE), 'List of Error Codes'!$E$29)
)</f>
        <v>Please select ERROR CODE column "I"</v>
      </c>
      <c r="M1180" s="209"/>
      <c r="N1180" s="209"/>
      <c r="O1180" s="209"/>
      <c r="P1180" s="209"/>
      <c r="Q1180" s="209"/>
      <c r="R1180" s="217"/>
      <c r="S1180" s="217"/>
      <c r="T1180" s="217"/>
      <c r="U1180" s="199"/>
      <c r="V1180" s="200"/>
      <c r="W1180" s="200"/>
      <c r="X1180" s="200"/>
      <c r="Y1180" s="200"/>
      <c r="Z1180" s="200"/>
      <c r="AA1180" s="201"/>
      <c r="AB1180" s="200"/>
      <c r="AC1180" s="200"/>
    </row>
    <row r="1181" ht="15.75" customHeight="1">
      <c r="A1181" s="210">
        <f t="shared" si="1"/>
        <v>1179</v>
      </c>
      <c r="B1181" s="217"/>
      <c r="C1181" s="217" t="str">
        <f>IFERROR(VLOOKUP(B1181, SourceData!$U$3:$V$190, 2, FALSE), "")</f>
        <v/>
      </c>
      <c r="D1181" s="240"/>
      <c r="E1181" s="241"/>
      <c r="F1181" s="248"/>
      <c r="G1181" s="207"/>
      <c r="H1181" s="209"/>
      <c r="I1181" s="209"/>
      <c r="J1181" s="209"/>
      <c r="K1181" s="208" t="str">
        <f>IF(Errors!$I1181=0,SourceData!$B$42,VLOOKUP(Errors!$I1181,SourceData!$A$2:$B$40,2,FALSE))</f>
        <v>Please select ERROR CODE column "I"</v>
      </c>
      <c r="L1181" s="207" t="str">
        <f>IF(Errors!$I1181=0,
    'List of Error Codes'!$E$29,
    IFERROR(VLOOKUP(Errors!$I1181, 'List of Error Codes'!D1180:I1210, 6, FALSE), 'List of Error Codes'!$E$29)
)</f>
        <v>Please select ERROR CODE column "I"</v>
      </c>
      <c r="M1181" s="209"/>
      <c r="N1181" s="209"/>
      <c r="O1181" s="209"/>
      <c r="P1181" s="209"/>
      <c r="Q1181" s="209"/>
      <c r="R1181" s="217"/>
      <c r="S1181" s="217"/>
      <c r="T1181" s="217"/>
      <c r="U1181" s="199"/>
      <c r="V1181" s="200"/>
      <c r="W1181" s="200"/>
      <c r="X1181" s="200"/>
      <c r="Y1181" s="200"/>
      <c r="Z1181" s="200"/>
      <c r="AA1181" s="201"/>
      <c r="AB1181" s="200"/>
      <c r="AC1181" s="200"/>
    </row>
    <row r="1182" ht="15.75" customHeight="1">
      <c r="A1182" s="210">
        <f t="shared" si="1"/>
        <v>1180</v>
      </c>
      <c r="B1182" s="217"/>
      <c r="C1182" s="217" t="str">
        <f>IFERROR(VLOOKUP(B1182, SourceData!$U$3:$V$190, 2, FALSE), "")</f>
        <v/>
      </c>
      <c r="D1182" s="240"/>
      <c r="E1182" s="241"/>
      <c r="F1182" s="248"/>
      <c r="G1182" s="207"/>
      <c r="H1182" s="209"/>
      <c r="I1182" s="209"/>
      <c r="J1182" s="209"/>
      <c r="K1182" s="208" t="str">
        <f>IF(Errors!$I1182=0,SourceData!$B$42,VLOOKUP(Errors!$I1182,SourceData!$A$2:$B$40,2,FALSE))</f>
        <v>Please select ERROR CODE column "I"</v>
      </c>
      <c r="L1182" s="207" t="str">
        <f>IF(Errors!$I1182=0,
    'List of Error Codes'!$E$29,
    IFERROR(VLOOKUP(Errors!$I1182, 'List of Error Codes'!D1181:I1211, 6, FALSE), 'List of Error Codes'!$E$29)
)</f>
        <v>Please select ERROR CODE column "I"</v>
      </c>
      <c r="M1182" s="209"/>
      <c r="N1182" s="209"/>
      <c r="O1182" s="209"/>
      <c r="P1182" s="209"/>
      <c r="Q1182" s="209"/>
      <c r="R1182" s="217"/>
      <c r="S1182" s="217"/>
      <c r="T1182" s="217"/>
      <c r="U1182" s="199"/>
      <c r="V1182" s="200"/>
      <c r="W1182" s="200"/>
      <c r="X1182" s="200"/>
      <c r="Y1182" s="200"/>
      <c r="Z1182" s="200"/>
      <c r="AA1182" s="201"/>
      <c r="AB1182" s="200"/>
      <c r="AC1182" s="200"/>
    </row>
    <row r="1183" ht="15.75" customHeight="1">
      <c r="A1183" s="210">
        <f t="shared" si="1"/>
        <v>1181</v>
      </c>
      <c r="B1183" s="217"/>
      <c r="C1183" s="217" t="str">
        <f>IFERROR(VLOOKUP(B1183, SourceData!$U$3:$V$190, 2, FALSE), "")</f>
        <v/>
      </c>
      <c r="D1183" s="240"/>
      <c r="E1183" s="241"/>
      <c r="F1183" s="248"/>
      <c r="G1183" s="207"/>
      <c r="H1183" s="209"/>
      <c r="I1183" s="209"/>
      <c r="J1183" s="209"/>
      <c r="K1183" s="208" t="str">
        <f>IF(Errors!$I1183=0,SourceData!$B$42,VLOOKUP(Errors!$I1183,SourceData!$A$2:$B$40,2,FALSE))</f>
        <v>Please select ERROR CODE column "I"</v>
      </c>
      <c r="L1183" s="207" t="str">
        <f>IF(Errors!$I1183=0,
    'List of Error Codes'!$E$29,
    IFERROR(VLOOKUP(Errors!$I1183, 'List of Error Codes'!D1182:I1212, 6, FALSE), 'List of Error Codes'!$E$29)
)</f>
        <v>Please select ERROR CODE column "I"</v>
      </c>
      <c r="M1183" s="209"/>
      <c r="N1183" s="209"/>
      <c r="O1183" s="209"/>
      <c r="P1183" s="209"/>
      <c r="Q1183" s="209"/>
      <c r="R1183" s="217"/>
      <c r="S1183" s="217"/>
      <c r="T1183" s="217"/>
      <c r="U1183" s="199"/>
      <c r="V1183" s="200"/>
      <c r="W1183" s="200"/>
      <c r="X1183" s="200"/>
      <c r="Y1183" s="200"/>
      <c r="Z1183" s="200"/>
      <c r="AA1183" s="201"/>
      <c r="AB1183" s="200"/>
      <c r="AC1183" s="200"/>
    </row>
    <row r="1184" ht="15.75" customHeight="1">
      <c r="A1184" s="210">
        <f t="shared" si="1"/>
        <v>1182</v>
      </c>
      <c r="B1184" s="217"/>
      <c r="C1184" s="217" t="str">
        <f>IFERROR(VLOOKUP(B1184, SourceData!$U$3:$V$190, 2, FALSE), "")</f>
        <v/>
      </c>
      <c r="D1184" s="240"/>
      <c r="E1184" s="241"/>
      <c r="F1184" s="248"/>
      <c r="G1184" s="207"/>
      <c r="H1184" s="209"/>
      <c r="I1184" s="209"/>
      <c r="J1184" s="209"/>
      <c r="K1184" s="208" t="str">
        <f>IF(Errors!$I1184=0,SourceData!$B$42,VLOOKUP(Errors!$I1184,SourceData!$A$2:$B$40,2,FALSE))</f>
        <v>Please select ERROR CODE column "I"</v>
      </c>
      <c r="L1184" s="207" t="str">
        <f>IF(Errors!$I1184=0,
    'List of Error Codes'!$E$29,
    IFERROR(VLOOKUP(Errors!$I1184, 'List of Error Codes'!D1183:I1213, 6, FALSE), 'List of Error Codes'!$E$29)
)</f>
        <v>Please select ERROR CODE column "I"</v>
      </c>
      <c r="M1184" s="209"/>
      <c r="N1184" s="209"/>
      <c r="O1184" s="209"/>
      <c r="P1184" s="209"/>
      <c r="Q1184" s="209"/>
      <c r="R1184" s="217"/>
      <c r="S1184" s="217"/>
      <c r="T1184" s="217"/>
      <c r="U1184" s="199"/>
      <c r="V1184" s="200"/>
      <c r="W1184" s="200"/>
      <c r="X1184" s="200"/>
      <c r="Y1184" s="200"/>
      <c r="Z1184" s="200"/>
      <c r="AA1184" s="201"/>
      <c r="AB1184" s="200"/>
      <c r="AC1184" s="200"/>
    </row>
    <row r="1185" ht="15.75" customHeight="1">
      <c r="A1185" s="210">
        <f t="shared" si="1"/>
        <v>1183</v>
      </c>
      <c r="B1185" s="217"/>
      <c r="C1185" s="217" t="str">
        <f>IFERROR(VLOOKUP(B1185, SourceData!$U$3:$V$190, 2, FALSE), "")</f>
        <v/>
      </c>
      <c r="D1185" s="240"/>
      <c r="E1185" s="241"/>
      <c r="F1185" s="248"/>
      <c r="G1185" s="207"/>
      <c r="H1185" s="209"/>
      <c r="I1185" s="209"/>
      <c r="J1185" s="209"/>
      <c r="K1185" s="208" t="str">
        <f>IF(Errors!$I1185=0,SourceData!$B$42,VLOOKUP(Errors!$I1185,SourceData!$A$2:$B$40,2,FALSE))</f>
        <v>Please select ERROR CODE column "I"</v>
      </c>
      <c r="L1185" s="207" t="str">
        <f>IF(Errors!$I1185=0,
    'List of Error Codes'!$E$29,
    IFERROR(VLOOKUP(Errors!$I1185, 'List of Error Codes'!D1184:I1214, 6, FALSE), 'List of Error Codes'!$E$29)
)</f>
        <v>Please select ERROR CODE column "I"</v>
      </c>
      <c r="M1185" s="209"/>
      <c r="N1185" s="209"/>
      <c r="O1185" s="209"/>
      <c r="P1185" s="209"/>
      <c r="Q1185" s="209"/>
      <c r="R1185" s="217"/>
      <c r="S1185" s="217"/>
      <c r="T1185" s="217"/>
      <c r="U1185" s="199"/>
      <c r="V1185" s="200"/>
      <c r="W1185" s="200"/>
      <c r="X1185" s="200"/>
      <c r="Y1185" s="200"/>
      <c r="Z1185" s="200"/>
      <c r="AA1185" s="201"/>
      <c r="AB1185" s="200"/>
      <c r="AC1185" s="200"/>
    </row>
    <row r="1186" ht="15.75" customHeight="1">
      <c r="A1186" s="210">
        <f t="shared" si="1"/>
        <v>1184</v>
      </c>
      <c r="B1186" s="217"/>
      <c r="C1186" s="217" t="str">
        <f>IFERROR(VLOOKUP(B1186, SourceData!$U$3:$V$190, 2, FALSE), "")</f>
        <v/>
      </c>
      <c r="D1186" s="240"/>
      <c r="E1186" s="241"/>
      <c r="F1186" s="248"/>
      <c r="G1186" s="207"/>
      <c r="H1186" s="209"/>
      <c r="I1186" s="209"/>
      <c r="J1186" s="209"/>
      <c r="K1186" s="208" t="str">
        <f>IF(Errors!$I1186=0,SourceData!$B$42,VLOOKUP(Errors!$I1186,SourceData!$A$2:$B$40,2,FALSE))</f>
        <v>Please select ERROR CODE column "I"</v>
      </c>
      <c r="L1186" s="207" t="str">
        <f>IF(Errors!$I1186=0,
    'List of Error Codes'!$E$29,
    IFERROR(VLOOKUP(Errors!$I1186, 'List of Error Codes'!D1185:I1215, 6, FALSE), 'List of Error Codes'!$E$29)
)</f>
        <v>Please select ERROR CODE column "I"</v>
      </c>
      <c r="M1186" s="209"/>
      <c r="N1186" s="209"/>
      <c r="O1186" s="209"/>
      <c r="P1186" s="209"/>
      <c r="Q1186" s="209"/>
      <c r="R1186" s="217"/>
      <c r="S1186" s="217"/>
      <c r="T1186" s="217"/>
      <c r="U1186" s="199"/>
      <c r="V1186" s="200"/>
      <c r="W1186" s="200"/>
      <c r="X1186" s="200"/>
      <c r="Y1186" s="200"/>
      <c r="Z1186" s="200"/>
      <c r="AA1186" s="201"/>
      <c r="AB1186" s="200"/>
      <c r="AC1186" s="200"/>
    </row>
    <row r="1187" ht="15.75" customHeight="1">
      <c r="A1187" s="210">
        <f t="shared" si="1"/>
        <v>1185</v>
      </c>
      <c r="B1187" s="217"/>
      <c r="C1187" s="217" t="str">
        <f>IFERROR(VLOOKUP(B1187, SourceData!$U$3:$V$190, 2, FALSE), "")</f>
        <v/>
      </c>
      <c r="D1187" s="240"/>
      <c r="E1187" s="241"/>
      <c r="F1187" s="248"/>
      <c r="G1187" s="207"/>
      <c r="H1187" s="209"/>
      <c r="I1187" s="209"/>
      <c r="J1187" s="209"/>
      <c r="K1187" s="208" t="str">
        <f>IF(Errors!$I1187=0,SourceData!$B$42,VLOOKUP(Errors!$I1187,SourceData!$A$2:$B$40,2,FALSE))</f>
        <v>Please select ERROR CODE column "I"</v>
      </c>
      <c r="L1187" s="207" t="str">
        <f>IF(Errors!$I1187=0,
    'List of Error Codes'!$E$29,
    IFERROR(VLOOKUP(Errors!$I1187, 'List of Error Codes'!D1186:I1216, 6, FALSE), 'List of Error Codes'!$E$29)
)</f>
        <v>Please select ERROR CODE column "I"</v>
      </c>
      <c r="M1187" s="209"/>
      <c r="N1187" s="209"/>
      <c r="O1187" s="209"/>
      <c r="P1187" s="209"/>
      <c r="Q1187" s="209"/>
      <c r="R1187" s="217"/>
      <c r="S1187" s="217"/>
      <c r="T1187" s="217"/>
      <c r="U1187" s="199"/>
      <c r="V1187" s="200"/>
      <c r="W1187" s="200"/>
      <c r="X1187" s="200"/>
      <c r="Y1187" s="200"/>
      <c r="Z1187" s="200"/>
      <c r="AA1187" s="201"/>
      <c r="AB1187" s="200"/>
      <c r="AC1187" s="200"/>
    </row>
    <row r="1188" ht="15.75" customHeight="1">
      <c r="A1188" s="210">
        <f t="shared" si="1"/>
        <v>1186</v>
      </c>
      <c r="B1188" s="217"/>
      <c r="C1188" s="217" t="str">
        <f>IFERROR(VLOOKUP(B1188, SourceData!$U$3:$V$190, 2, FALSE), "")</f>
        <v/>
      </c>
      <c r="D1188" s="240"/>
      <c r="E1188" s="241"/>
      <c r="F1188" s="248"/>
      <c r="G1188" s="207"/>
      <c r="H1188" s="209"/>
      <c r="I1188" s="209"/>
      <c r="J1188" s="209"/>
      <c r="K1188" s="208" t="str">
        <f>IF(Errors!$I1188=0,SourceData!$B$42,VLOOKUP(Errors!$I1188,SourceData!$A$2:$B$40,2,FALSE))</f>
        <v>Please select ERROR CODE column "I"</v>
      </c>
      <c r="L1188" s="207" t="str">
        <f>IF(Errors!$I1188=0,
    'List of Error Codes'!$E$29,
    IFERROR(VLOOKUP(Errors!$I1188, 'List of Error Codes'!D1187:I1217, 6, FALSE), 'List of Error Codes'!$E$29)
)</f>
        <v>Please select ERROR CODE column "I"</v>
      </c>
      <c r="M1188" s="209"/>
      <c r="N1188" s="209"/>
      <c r="O1188" s="209"/>
      <c r="P1188" s="209"/>
      <c r="Q1188" s="209"/>
      <c r="R1188" s="217"/>
      <c r="S1188" s="217"/>
      <c r="T1188" s="217"/>
      <c r="U1188" s="199"/>
      <c r="V1188" s="200"/>
      <c r="W1188" s="200"/>
      <c r="X1188" s="200"/>
      <c r="Y1188" s="200"/>
      <c r="Z1188" s="200"/>
      <c r="AA1188" s="201"/>
      <c r="AB1188" s="200"/>
      <c r="AC1188" s="200"/>
    </row>
    <row r="1189" ht="15.75" customHeight="1">
      <c r="A1189" s="210">
        <f t="shared" si="1"/>
        <v>1187</v>
      </c>
      <c r="B1189" s="217"/>
      <c r="C1189" s="217" t="str">
        <f>IFERROR(VLOOKUP(B1189, SourceData!$U$3:$V$190, 2, FALSE), "")</f>
        <v/>
      </c>
      <c r="D1189" s="240"/>
      <c r="E1189" s="241"/>
      <c r="F1189" s="248"/>
      <c r="G1189" s="207"/>
      <c r="H1189" s="209"/>
      <c r="I1189" s="209"/>
      <c r="J1189" s="209"/>
      <c r="K1189" s="208" t="str">
        <f>IF(Errors!$I1189=0,SourceData!$B$42,VLOOKUP(Errors!$I1189,SourceData!$A$2:$B$40,2,FALSE))</f>
        <v>Please select ERROR CODE column "I"</v>
      </c>
      <c r="L1189" s="207" t="str">
        <f>IF(Errors!$I1189=0,
    'List of Error Codes'!$E$29,
    IFERROR(VLOOKUP(Errors!$I1189, 'List of Error Codes'!D1188:I1218, 6, FALSE), 'List of Error Codes'!$E$29)
)</f>
        <v>Please select ERROR CODE column "I"</v>
      </c>
      <c r="M1189" s="209"/>
      <c r="N1189" s="209"/>
      <c r="O1189" s="209"/>
      <c r="P1189" s="209"/>
      <c r="Q1189" s="209"/>
      <c r="R1189" s="217"/>
      <c r="S1189" s="217"/>
      <c r="T1189" s="217"/>
      <c r="U1189" s="199"/>
      <c r="V1189" s="200"/>
      <c r="W1189" s="200"/>
      <c r="X1189" s="200"/>
      <c r="Y1189" s="200"/>
      <c r="Z1189" s="200"/>
      <c r="AA1189" s="201"/>
      <c r="AB1189" s="200"/>
      <c r="AC1189" s="200"/>
    </row>
    <row r="1190" ht="15.75" customHeight="1">
      <c r="A1190" s="210">
        <f t="shared" si="1"/>
        <v>1188</v>
      </c>
      <c r="B1190" s="217"/>
      <c r="C1190" s="217" t="str">
        <f>IFERROR(VLOOKUP(B1190, SourceData!$U$3:$V$190, 2, FALSE), "")</f>
        <v/>
      </c>
      <c r="D1190" s="240"/>
      <c r="E1190" s="241"/>
      <c r="F1190" s="248"/>
      <c r="G1190" s="207"/>
      <c r="H1190" s="209"/>
      <c r="I1190" s="209"/>
      <c r="J1190" s="209"/>
      <c r="K1190" s="208" t="str">
        <f>IF(Errors!$I1190=0,SourceData!$B$42,VLOOKUP(Errors!$I1190,SourceData!$A$2:$B$40,2,FALSE))</f>
        <v>Please select ERROR CODE column "I"</v>
      </c>
      <c r="L1190" s="207" t="str">
        <f>IF(Errors!$I1190=0,
    'List of Error Codes'!$E$29,
    IFERROR(VLOOKUP(Errors!$I1190, 'List of Error Codes'!D1189:I1219, 6, FALSE), 'List of Error Codes'!$E$29)
)</f>
        <v>Please select ERROR CODE column "I"</v>
      </c>
      <c r="M1190" s="209"/>
      <c r="N1190" s="209"/>
      <c r="O1190" s="209"/>
      <c r="P1190" s="209"/>
      <c r="Q1190" s="209"/>
      <c r="R1190" s="217"/>
      <c r="S1190" s="217"/>
      <c r="T1190" s="217"/>
      <c r="U1190" s="199"/>
      <c r="V1190" s="200"/>
      <c r="W1190" s="200"/>
      <c r="X1190" s="200"/>
      <c r="Y1190" s="200"/>
      <c r="Z1190" s="200"/>
      <c r="AA1190" s="201"/>
      <c r="AB1190" s="200"/>
      <c r="AC1190" s="200"/>
    </row>
    <row r="1191" ht="15.75" customHeight="1">
      <c r="A1191" s="210">
        <f t="shared" si="1"/>
        <v>1189</v>
      </c>
      <c r="B1191" s="217"/>
      <c r="C1191" s="217" t="str">
        <f>IFERROR(VLOOKUP(B1191, SourceData!$U$3:$V$190, 2, FALSE), "")</f>
        <v/>
      </c>
      <c r="D1191" s="240"/>
      <c r="E1191" s="241"/>
      <c r="F1191" s="248"/>
      <c r="G1191" s="207"/>
      <c r="H1191" s="209"/>
      <c r="I1191" s="209"/>
      <c r="J1191" s="209"/>
      <c r="K1191" s="208" t="str">
        <f>IF(Errors!$I1191=0,SourceData!$B$42,VLOOKUP(Errors!$I1191,SourceData!$A$2:$B$40,2,FALSE))</f>
        <v>Please select ERROR CODE column "I"</v>
      </c>
      <c r="L1191" s="207" t="str">
        <f>IF(Errors!$I1191=0,
    'List of Error Codes'!$E$29,
    IFERROR(VLOOKUP(Errors!$I1191, 'List of Error Codes'!D1190:I1220, 6, FALSE), 'List of Error Codes'!$E$29)
)</f>
        <v>Please select ERROR CODE column "I"</v>
      </c>
      <c r="M1191" s="209"/>
      <c r="N1191" s="209"/>
      <c r="O1191" s="209"/>
      <c r="P1191" s="209"/>
      <c r="Q1191" s="209"/>
      <c r="R1191" s="217"/>
      <c r="S1191" s="217"/>
      <c r="T1191" s="217"/>
      <c r="U1191" s="199"/>
      <c r="V1191" s="200"/>
      <c r="W1191" s="200"/>
      <c r="X1191" s="200"/>
      <c r="Y1191" s="200"/>
      <c r="Z1191" s="200"/>
      <c r="AA1191" s="201"/>
      <c r="AB1191" s="200"/>
      <c r="AC1191" s="200"/>
    </row>
    <row r="1192" ht="15.75" customHeight="1">
      <c r="A1192" s="210">
        <f t="shared" si="1"/>
        <v>1190</v>
      </c>
      <c r="B1192" s="217"/>
      <c r="C1192" s="217" t="str">
        <f>IFERROR(VLOOKUP(B1192, SourceData!$U$3:$V$190, 2, FALSE), "")</f>
        <v/>
      </c>
      <c r="D1192" s="240"/>
      <c r="E1192" s="241"/>
      <c r="F1192" s="248"/>
      <c r="G1192" s="207"/>
      <c r="H1192" s="209"/>
      <c r="I1192" s="209"/>
      <c r="J1192" s="209"/>
      <c r="K1192" s="208" t="str">
        <f>IF(Errors!$I1192=0,SourceData!$B$42,VLOOKUP(Errors!$I1192,SourceData!$A$2:$B$40,2,FALSE))</f>
        <v>Please select ERROR CODE column "I"</v>
      </c>
      <c r="L1192" s="207" t="str">
        <f>IF(Errors!$I1192=0,
    'List of Error Codes'!$E$29,
    IFERROR(VLOOKUP(Errors!$I1192, 'List of Error Codes'!D1191:I1221, 6, FALSE), 'List of Error Codes'!$E$29)
)</f>
        <v>Please select ERROR CODE column "I"</v>
      </c>
      <c r="M1192" s="209"/>
      <c r="N1192" s="209"/>
      <c r="O1192" s="209"/>
      <c r="P1192" s="209"/>
      <c r="Q1192" s="209"/>
      <c r="R1192" s="217"/>
      <c r="S1192" s="217"/>
      <c r="T1192" s="217"/>
      <c r="U1192" s="199"/>
      <c r="V1192" s="200"/>
      <c r="W1192" s="200"/>
      <c r="X1192" s="200"/>
      <c r="Y1192" s="200"/>
      <c r="Z1192" s="200"/>
      <c r="AA1192" s="201"/>
      <c r="AB1192" s="200"/>
      <c r="AC1192" s="200"/>
    </row>
    <row r="1193" ht="15.75" customHeight="1">
      <c r="A1193" s="210">
        <f t="shared" si="1"/>
        <v>1191</v>
      </c>
      <c r="B1193" s="217"/>
      <c r="C1193" s="217" t="str">
        <f>IFERROR(VLOOKUP(B1193, SourceData!$U$3:$V$190, 2, FALSE), "")</f>
        <v/>
      </c>
      <c r="D1193" s="240"/>
      <c r="E1193" s="241"/>
      <c r="F1193" s="248"/>
      <c r="G1193" s="207"/>
      <c r="H1193" s="209"/>
      <c r="I1193" s="209"/>
      <c r="J1193" s="209"/>
      <c r="K1193" s="208" t="str">
        <f>IF(Errors!$I1193=0,SourceData!$B$42,VLOOKUP(Errors!$I1193,SourceData!$A$2:$B$40,2,FALSE))</f>
        <v>Please select ERROR CODE column "I"</v>
      </c>
      <c r="L1193" s="207" t="str">
        <f>IF(Errors!$I1193=0,
    'List of Error Codes'!$E$29,
    IFERROR(VLOOKUP(Errors!$I1193, 'List of Error Codes'!D1192:I1222, 6, FALSE), 'List of Error Codes'!$E$29)
)</f>
        <v>Please select ERROR CODE column "I"</v>
      </c>
      <c r="M1193" s="209"/>
      <c r="N1193" s="209"/>
      <c r="O1193" s="209"/>
      <c r="P1193" s="209"/>
      <c r="Q1193" s="209"/>
      <c r="R1193" s="217"/>
      <c r="S1193" s="217"/>
      <c r="T1193" s="217"/>
      <c r="U1193" s="199"/>
      <c r="V1193" s="200"/>
      <c r="W1193" s="200"/>
      <c r="X1193" s="200"/>
      <c r="Y1193" s="200"/>
      <c r="Z1193" s="200"/>
      <c r="AA1193" s="201"/>
      <c r="AB1193" s="200"/>
      <c r="AC1193" s="200"/>
    </row>
    <row r="1194" ht="15.75" customHeight="1">
      <c r="A1194" s="210">
        <f t="shared" si="1"/>
        <v>1192</v>
      </c>
      <c r="B1194" s="217"/>
      <c r="C1194" s="217" t="str">
        <f>IFERROR(VLOOKUP(B1194, SourceData!$U$3:$V$190, 2, FALSE), "")</f>
        <v/>
      </c>
      <c r="D1194" s="240"/>
      <c r="E1194" s="241"/>
      <c r="F1194" s="248"/>
      <c r="G1194" s="207"/>
      <c r="H1194" s="209"/>
      <c r="I1194" s="209"/>
      <c r="J1194" s="209"/>
      <c r="K1194" s="208" t="str">
        <f>IF(Errors!$I1194=0,SourceData!$B$42,VLOOKUP(Errors!$I1194,SourceData!$A$2:$B$40,2,FALSE))</f>
        <v>Please select ERROR CODE column "I"</v>
      </c>
      <c r="L1194" s="207" t="str">
        <f>IF(Errors!$I1194=0,
    'List of Error Codes'!$E$29,
    IFERROR(VLOOKUP(Errors!$I1194, 'List of Error Codes'!D1193:I1223, 6, FALSE), 'List of Error Codes'!$E$29)
)</f>
        <v>Please select ERROR CODE column "I"</v>
      </c>
      <c r="M1194" s="209"/>
      <c r="N1194" s="209"/>
      <c r="O1194" s="209"/>
      <c r="P1194" s="209"/>
      <c r="Q1194" s="209"/>
      <c r="R1194" s="217"/>
      <c r="S1194" s="217"/>
      <c r="T1194" s="217"/>
      <c r="U1194" s="199"/>
      <c r="V1194" s="200"/>
      <c r="W1194" s="200"/>
      <c r="X1194" s="200"/>
      <c r="Y1194" s="200"/>
      <c r="Z1194" s="200"/>
      <c r="AA1194" s="201"/>
      <c r="AB1194" s="200"/>
      <c r="AC1194" s="200"/>
    </row>
    <row r="1195" ht="15.75" customHeight="1">
      <c r="A1195" s="210">
        <f t="shared" si="1"/>
        <v>1193</v>
      </c>
      <c r="B1195" s="217"/>
      <c r="C1195" s="217" t="str">
        <f>IFERROR(VLOOKUP(B1195, SourceData!$U$3:$V$190, 2, FALSE), "")</f>
        <v/>
      </c>
      <c r="D1195" s="240"/>
      <c r="E1195" s="241"/>
      <c r="F1195" s="248"/>
      <c r="G1195" s="207"/>
      <c r="H1195" s="209"/>
      <c r="I1195" s="209"/>
      <c r="J1195" s="209"/>
      <c r="K1195" s="208" t="str">
        <f>IF(Errors!$I1195=0,SourceData!$B$42,VLOOKUP(Errors!$I1195,SourceData!$A$2:$B$40,2,FALSE))</f>
        <v>Please select ERROR CODE column "I"</v>
      </c>
      <c r="L1195" s="207" t="str">
        <f>IF(Errors!$I1195=0,
    'List of Error Codes'!$E$29,
    IFERROR(VLOOKUP(Errors!$I1195, 'List of Error Codes'!D1194:I1224, 6, FALSE), 'List of Error Codes'!$E$29)
)</f>
        <v>Please select ERROR CODE column "I"</v>
      </c>
      <c r="M1195" s="209"/>
      <c r="N1195" s="209"/>
      <c r="O1195" s="209"/>
      <c r="P1195" s="209"/>
      <c r="Q1195" s="209"/>
      <c r="R1195" s="217"/>
      <c r="S1195" s="217"/>
      <c r="T1195" s="217"/>
      <c r="U1195" s="199"/>
      <c r="V1195" s="200"/>
      <c r="W1195" s="200"/>
      <c r="X1195" s="200"/>
      <c r="Y1195" s="200"/>
      <c r="Z1195" s="200"/>
      <c r="AA1195" s="201"/>
      <c r="AB1195" s="200"/>
      <c r="AC1195" s="200"/>
    </row>
    <row r="1196" ht="15.75" customHeight="1">
      <c r="A1196" s="210">
        <f t="shared" si="1"/>
        <v>1194</v>
      </c>
      <c r="B1196" s="217"/>
      <c r="C1196" s="217" t="str">
        <f>IFERROR(VLOOKUP(B1196, SourceData!$U$3:$V$190, 2, FALSE), "")</f>
        <v/>
      </c>
      <c r="D1196" s="240"/>
      <c r="E1196" s="241"/>
      <c r="F1196" s="248"/>
      <c r="G1196" s="207"/>
      <c r="H1196" s="209"/>
      <c r="I1196" s="209"/>
      <c r="J1196" s="209"/>
      <c r="K1196" s="208" t="str">
        <f>IF(Errors!$I1196=0,SourceData!$B$42,VLOOKUP(Errors!$I1196,SourceData!$A$2:$B$40,2,FALSE))</f>
        <v>Please select ERROR CODE column "I"</v>
      </c>
      <c r="L1196" s="207" t="str">
        <f>IF(Errors!$I1196=0,
    'List of Error Codes'!$E$29,
    IFERROR(VLOOKUP(Errors!$I1196, 'List of Error Codes'!D1195:I1225, 6, FALSE), 'List of Error Codes'!$E$29)
)</f>
        <v>Please select ERROR CODE column "I"</v>
      </c>
      <c r="M1196" s="209"/>
      <c r="N1196" s="209"/>
      <c r="O1196" s="209"/>
      <c r="P1196" s="209"/>
      <c r="Q1196" s="209"/>
      <c r="R1196" s="217"/>
      <c r="S1196" s="217"/>
      <c r="T1196" s="217"/>
      <c r="U1196" s="199"/>
      <c r="V1196" s="200"/>
      <c r="W1196" s="200"/>
      <c r="X1196" s="200"/>
      <c r="Y1196" s="200"/>
      <c r="Z1196" s="200"/>
      <c r="AA1196" s="201"/>
      <c r="AB1196" s="200"/>
      <c r="AC1196" s="200"/>
    </row>
    <row r="1197" ht="15.75" customHeight="1">
      <c r="A1197" s="210">
        <f t="shared" si="1"/>
        <v>1195</v>
      </c>
      <c r="B1197" s="217"/>
      <c r="C1197" s="217" t="str">
        <f>IFERROR(VLOOKUP(B1197, SourceData!$U$3:$V$190, 2, FALSE), "")</f>
        <v/>
      </c>
      <c r="D1197" s="240"/>
      <c r="E1197" s="241"/>
      <c r="F1197" s="248"/>
      <c r="G1197" s="207"/>
      <c r="H1197" s="209"/>
      <c r="I1197" s="209"/>
      <c r="J1197" s="209"/>
      <c r="K1197" s="208" t="str">
        <f>IF(Errors!$I1197=0,SourceData!$B$42,VLOOKUP(Errors!$I1197,SourceData!$A$2:$B$40,2,FALSE))</f>
        <v>Please select ERROR CODE column "I"</v>
      </c>
      <c r="L1197" s="207" t="str">
        <f>IF(Errors!$I1197=0,
    'List of Error Codes'!$E$29,
    IFERROR(VLOOKUP(Errors!$I1197, 'List of Error Codes'!D1196:I1226, 6, FALSE), 'List of Error Codes'!$E$29)
)</f>
        <v>Please select ERROR CODE column "I"</v>
      </c>
      <c r="M1197" s="209"/>
      <c r="N1197" s="209"/>
      <c r="O1197" s="209"/>
      <c r="P1197" s="209"/>
      <c r="Q1197" s="209"/>
      <c r="R1197" s="217"/>
      <c r="S1197" s="217"/>
      <c r="T1197" s="217"/>
      <c r="U1197" s="199"/>
      <c r="V1197" s="200"/>
      <c r="W1197" s="200"/>
      <c r="X1197" s="200"/>
      <c r="Y1197" s="200"/>
      <c r="Z1197" s="200"/>
      <c r="AA1197" s="201"/>
      <c r="AB1197" s="200"/>
      <c r="AC1197" s="200"/>
    </row>
    <row r="1198" ht="15.75" customHeight="1">
      <c r="A1198" s="210">
        <f t="shared" si="1"/>
        <v>1196</v>
      </c>
      <c r="B1198" s="217"/>
      <c r="C1198" s="217" t="str">
        <f>IFERROR(VLOOKUP(B1198, SourceData!$U$3:$V$190, 2, FALSE), "")</f>
        <v/>
      </c>
      <c r="D1198" s="240"/>
      <c r="E1198" s="241"/>
      <c r="F1198" s="248"/>
      <c r="G1198" s="207"/>
      <c r="H1198" s="209"/>
      <c r="I1198" s="209"/>
      <c r="J1198" s="209"/>
      <c r="K1198" s="208" t="str">
        <f>IF(Errors!$I1198=0,SourceData!$B$42,VLOOKUP(Errors!$I1198,SourceData!$A$2:$B$40,2,FALSE))</f>
        <v>Please select ERROR CODE column "I"</v>
      </c>
      <c r="L1198" s="207" t="str">
        <f>IF(Errors!$I1198=0,
    'List of Error Codes'!$E$29,
    IFERROR(VLOOKUP(Errors!$I1198, 'List of Error Codes'!D1197:I1227, 6, FALSE), 'List of Error Codes'!$E$29)
)</f>
        <v>Please select ERROR CODE column "I"</v>
      </c>
      <c r="M1198" s="209"/>
      <c r="N1198" s="209"/>
      <c r="O1198" s="209"/>
      <c r="P1198" s="209"/>
      <c r="Q1198" s="209"/>
      <c r="R1198" s="217"/>
      <c r="S1198" s="217"/>
      <c r="T1198" s="217"/>
      <c r="U1198" s="199"/>
      <c r="V1198" s="200"/>
      <c r="W1198" s="200"/>
      <c r="X1198" s="200"/>
      <c r="Y1198" s="200"/>
      <c r="Z1198" s="200"/>
      <c r="AA1198" s="201"/>
      <c r="AB1198" s="200"/>
      <c r="AC1198" s="200"/>
    </row>
    <row r="1199" ht="15.75" customHeight="1">
      <c r="A1199" s="210">
        <f t="shared" si="1"/>
        <v>1197</v>
      </c>
      <c r="B1199" s="217"/>
      <c r="C1199" s="217" t="str">
        <f>IFERROR(VLOOKUP(B1199, SourceData!$U$3:$V$190, 2, FALSE), "")</f>
        <v/>
      </c>
      <c r="D1199" s="240"/>
      <c r="E1199" s="241"/>
      <c r="F1199" s="248"/>
      <c r="G1199" s="207"/>
      <c r="H1199" s="209"/>
      <c r="I1199" s="209"/>
      <c r="J1199" s="209"/>
      <c r="K1199" s="208" t="str">
        <f>IF(Errors!$I1199=0,SourceData!$B$42,VLOOKUP(Errors!$I1199,SourceData!$A$2:$B$40,2,FALSE))</f>
        <v>Please select ERROR CODE column "I"</v>
      </c>
      <c r="L1199" s="207" t="str">
        <f>IF(Errors!$I1199=0,
    'List of Error Codes'!$E$29,
    IFERROR(VLOOKUP(Errors!$I1199, 'List of Error Codes'!D1198:I1228, 6, FALSE), 'List of Error Codes'!$E$29)
)</f>
        <v>Please select ERROR CODE column "I"</v>
      </c>
      <c r="M1199" s="209"/>
      <c r="N1199" s="209"/>
      <c r="O1199" s="209"/>
      <c r="P1199" s="209"/>
      <c r="Q1199" s="209"/>
      <c r="R1199" s="217"/>
      <c r="S1199" s="217"/>
      <c r="T1199" s="217"/>
      <c r="U1199" s="199"/>
      <c r="V1199" s="200"/>
      <c r="W1199" s="200"/>
      <c r="X1199" s="200"/>
      <c r="Y1199" s="200"/>
      <c r="Z1199" s="200"/>
      <c r="AA1199" s="201"/>
      <c r="AB1199" s="200"/>
      <c r="AC1199" s="200"/>
    </row>
    <row r="1200" ht="15.75" customHeight="1">
      <c r="A1200" s="210">
        <f t="shared" si="1"/>
        <v>1198</v>
      </c>
      <c r="B1200" s="217"/>
      <c r="C1200" s="217" t="str">
        <f>IFERROR(VLOOKUP(B1200, SourceData!$U$3:$V$190, 2, FALSE), "")</f>
        <v/>
      </c>
      <c r="D1200" s="240"/>
      <c r="E1200" s="241"/>
      <c r="F1200" s="248"/>
      <c r="G1200" s="207"/>
      <c r="H1200" s="209"/>
      <c r="I1200" s="209"/>
      <c r="J1200" s="209"/>
      <c r="K1200" s="208" t="str">
        <f>IF(Errors!$I1200=0,SourceData!$B$42,VLOOKUP(Errors!$I1200,SourceData!$A$2:$B$40,2,FALSE))</f>
        <v>Please select ERROR CODE column "I"</v>
      </c>
      <c r="L1200" s="207" t="str">
        <f>IF(Errors!$I1200=0,
    'List of Error Codes'!$E$29,
    IFERROR(VLOOKUP(Errors!$I1200, 'List of Error Codes'!D1199:I1229, 6, FALSE), 'List of Error Codes'!$E$29)
)</f>
        <v>Please select ERROR CODE column "I"</v>
      </c>
      <c r="M1200" s="209"/>
      <c r="N1200" s="209"/>
      <c r="O1200" s="209"/>
      <c r="P1200" s="209"/>
      <c r="Q1200" s="209"/>
      <c r="R1200" s="217"/>
      <c r="S1200" s="217"/>
      <c r="T1200" s="217"/>
      <c r="U1200" s="199"/>
      <c r="V1200" s="200"/>
      <c r="W1200" s="200"/>
      <c r="X1200" s="200"/>
      <c r="Y1200" s="200"/>
      <c r="Z1200" s="200"/>
      <c r="AA1200" s="201"/>
      <c r="AB1200" s="200"/>
      <c r="AC1200" s="200"/>
    </row>
    <row r="1201" ht="15.75" customHeight="1">
      <c r="A1201" s="210">
        <f t="shared" si="1"/>
        <v>1199</v>
      </c>
      <c r="B1201" s="217"/>
      <c r="C1201" s="217" t="str">
        <f>IFERROR(VLOOKUP(B1201, SourceData!$U$3:$V$190, 2, FALSE), "")</f>
        <v/>
      </c>
      <c r="D1201" s="240"/>
      <c r="E1201" s="241"/>
      <c r="F1201" s="248"/>
      <c r="G1201" s="207"/>
      <c r="H1201" s="209"/>
      <c r="I1201" s="209"/>
      <c r="J1201" s="209"/>
      <c r="K1201" s="208" t="str">
        <f>IF(Errors!$I1201=0,SourceData!$B$42,VLOOKUP(Errors!$I1201,SourceData!$A$2:$B$40,2,FALSE))</f>
        <v>Please select ERROR CODE column "I"</v>
      </c>
      <c r="L1201" s="207" t="str">
        <f>IF(Errors!$I1201=0,
    'List of Error Codes'!$E$29,
    IFERROR(VLOOKUP(Errors!$I1201, 'List of Error Codes'!D1200:I1230, 6, FALSE), 'List of Error Codes'!$E$29)
)</f>
        <v>Please select ERROR CODE column "I"</v>
      </c>
      <c r="M1201" s="209"/>
      <c r="N1201" s="209"/>
      <c r="O1201" s="209"/>
      <c r="P1201" s="209"/>
      <c r="Q1201" s="209"/>
      <c r="R1201" s="217"/>
      <c r="S1201" s="217"/>
      <c r="T1201" s="217"/>
      <c r="U1201" s="199"/>
      <c r="V1201" s="200"/>
      <c r="W1201" s="200"/>
      <c r="X1201" s="200"/>
      <c r="Y1201" s="200"/>
      <c r="Z1201" s="200"/>
      <c r="AA1201" s="201"/>
      <c r="AB1201" s="200"/>
      <c r="AC1201" s="200"/>
    </row>
    <row r="1202" ht="15.75" customHeight="1">
      <c r="A1202" s="210">
        <f t="shared" si="1"/>
        <v>1200</v>
      </c>
      <c r="B1202" s="217"/>
      <c r="C1202" s="217" t="str">
        <f>IFERROR(VLOOKUP(B1202, SourceData!$U$3:$V$190, 2, FALSE), "")</f>
        <v/>
      </c>
      <c r="D1202" s="240"/>
      <c r="E1202" s="241"/>
      <c r="F1202" s="248"/>
      <c r="G1202" s="207"/>
      <c r="H1202" s="209"/>
      <c r="I1202" s="209"/>
      <c r="J1202" s="209"/>
      <c r="K1202" s="208" t="str">
        <f>IF(Errors!$I1202=0,SourceData!$B$42,VLOOKUP(Errors!$I1202,SourceData!$A$2:$B$40,2,FALSE))</f>
        <v>Please select ERROR CODE column "I"</v>
      </c>
      <c r="L1202" s="207" t="str">
        <f>IF(Errors!$I1202=0,
    'List of Error Codes'!$E$29,
    IFERROR(VLOOKUP(Errors!$I1202, 'List of Error Codes'!D1201:I1231, 6, FALSE), 'List of Error Codes'!$E$29)
)</f>
        <v>Please select ERROR CODE column "I"</v>
      </c>
      <c r="M1202" s="209"/>
      <c r="N1202" s="209"/>
      <c r="O1202" s="209"/>
      <c r="P1202" s="209"/>
      <c r="Q1202" s="209"/>
      <c r="R1202" s="217"/>
      <c r="S1202" s="217"/>
      <c r="T1202" s="217"/>
      <c r="U1202" s="199"/>
      <c r="V1202" s="200"/>
      <c r="W1202" s="200"/>
      <c r="X1202" s="200"/>
      <c r="Y1202" s="200"/>
      <c r="Z1202" s="200"/>
      <c r="AA1202" s="201"/>
      <c r="AB1202" s="200"/>
      <c r="AC1202" s="200"/>
    </row>
    <row r="1203" ht="15.75" customHeight="1">
      <c r="A1203" s="210">
        <f t="shared" si="1"/>
        <v>1201</v>
      </c>
      <c r="B1203" s="217"/>
      <c r="C1203" s="217" t="str">
        <f>IFERROR(VLOOKUP(B1203, SourceData!$U$3:$V$190, 2, FALSE), "")</f>
        <v/>
      </c>
      <c r="D1203" s="240"/>
      <c r="E1203" s="241"/>
      <c r="F1203" s="248"/>
      <c r="G1203" s="207"/>
      <c r="H1203" s="209"/>
      <c r="I1203" s="209"/>
      <c r="J1203" s="209"/>
      <c r="K1203" s="208" t="str">
        <f>IF(Errors!$I1203=0,SourceData!$B$42,VLOOKUP(Errors!$I1203,SourceData!$A$2:$B$40,2,FALSE))</f>
        <v>Please select ERROR CODE column "I"</v>
      </c>
      <c r="L1203" s="207" t="str">
        <f>IF(Errors!$I1203=0,
    'List of Error Codes'!$E$29,
    IFERROR(VLOOKUP(Errors!$I1203, 'List of Error Codes'!D1202:I1232, 6, FALSE), 'List of Error Codes'!$E$29)
)</f>
        <v>Please select ERROR CODE column "I"</v>
      </c>
      <c r="M1203" s="209"/>
      <c r="N1203" s="209"/>
      <c r="O1203" s="209"/>
      <c r="P1203" s="209"/>
      <c r="Q1203" s="209"/>
      <c r="R1203" s="217"/>
      <c r="S1203" s="217"/>
      <c r="T1203" s="217"/>
      <c r="U1203" s="199"/>
      <c r="V1203" s="200"/>
      <c r="W1203" s="200"/>
      <c r="X1203" s="200"/>
      <c r="Y1203" s="200"/>
      <c r="Z1203" s="200"/>
      <c r="AA1203" s="201"/>
      <c r="AB1203" s="200"/>
      <c r="AC1203" s="200"/>
    </row>
    <row r="1204" ht="15.75" customHeight="1">
      <c r="A1204" s="210">
        <f t="shared" si="1"/>
        <v>1202</v>
      </c>
      <c r="B1204" s="217"/>
      <c r="C1204" s="217" t="str">
        <f>IFERROR(VLOOKUP(B1204, SourceData!$U$3:$V$190, 2, FALSE), "")</f>
        <v/>
      </c>
      <c r="D1204" s="240"/>
      <c r="E1204" s="241"/>
      <c r="F1204" s="248"/>
      <c r="G1204" s="207"/>
      <c r="H1204" s="209"/>
      <c r="I1204" s="209"/>
      <c r="J1204" s="209"/>
      <c r="K1204" s="208" t="str">
        <f>IF(Errors!$I1204=0,SourceData!$B$42,VLOOKUP(Errors!$I1204,SourceData!$A$2:$B$40,2,FALSE))</f>
        <v>Please select ERROR CODE column "I"</v>
      </c>
      <c r="L1204" s="207" t="str">
        <f>IF(Errors!$I1204=0,
    'List of Error Codes'!$E$29,
    IFERROR(VLOOKUP(Errors!$I1204, 'List of Error Codes'!D1203:I1233, 6, FALSE), 'List of Error Codes'!$E$29)
)</f>
        <v>Please select ERROR CODE column "I"</v>
      </c>
      <c r="M1204" s="209"/>
      <c r="N1204" s="209"/>
      <c r="O1204" s="209"/>
      <c r="P1204" s="209"/>
      <c r="Q1204" s="209"/>
      <c r="R1204" s="217"/>
      <c r="S1204" s="217"/>
      <c r="T1204" s="217"/>
      <c r="U1204" s="199"/>
      <c r="V1204" s="200"/>
      <c r="W1204" s="200"/>
      <c r="X1204" s="200"/>
      <c r="Y1204" s="200"/>
      <c r="Z1204" s="200"/>
      <c r="AA1204" s="201"/>
      <c r="AB1204" s="200"/>
      <c r="AC1204" s="200"/>
    </row>
    <row r="1205" ht="15.75" customHeight="1">
      <c r="A1205" s="210">
        <f t="shared" si="1"/>
        <v>1203</v>
      </c>
      <c r="B1205" s="217"/>
      <c r="C1205" s="217" t="str">
        <f>IFERROR(VLOOKUP(B1205, SourceData!$U$3:$V$190, 2, FALSE), "")</f>
        <v/>
      </c>
      <c r="D1205" s="240"/>
      <c r="E1205" s="241"/>
      <c r="F1205" s="248"/>
      <c r="G1205" s="207"/>
      <c r="H1205" s="209"/>
      <c r="I1205" s="209"/>
      <c r="J1205" s="209"/>
      <c r="K1205" s="208" t="str">
        <f>IF(Errors!$I1205=0,SourceData!$B$42,VLOOKUP(Errors!$I1205,SourceData!$A$2:$B$40,2,FALSE))</f>
        <v>Please select ERROR CODE column "I"</v>
      </c>
      <c r="L1205" s="207" t="str">
        <f>IF(Errors!$I1205=0,
    'List of Error Codes'!$E$29,
    IFERROR(VLOOKUP(Errors!$I1205, 'List of Error Codes'!D1204:I1234, 6, FALSE), 'List of Error Codes'!$E$29)
)</f>
        <v>Please select ERROR CODE column "I"</v>
      </c>
      <c r="M1205" s="209"/>
      <c r="N1205" s="209"/>
      <c r="O1205" s="209"/>
      <c r="P1205" s="209"/>
      <c r="Q1205" s="209"/>
      <c r="R1205" s="217"/>
      <c r="S1205" s="217"/>
      <c r="T1205" s="217"/>
      <c r="U1205" s="199"/>
      <c r="V1205" s="200"/>
      <c r="W1205" s="200"/>
      <c r="X1205" s="200"/>
      <c r="Y1205" s="200"/>
      <c r="Z1205" s="200"/>
      <c r="AA1205" s="201"/>
      <c r="AB1205" s="200"/>
      <c r="AC1205" s="200"/>
    </row>
    <row r="1206" ht="15.75" customHeight="1">
      <c r="A1206" s="210">
        <f t="shared" si="1"/>
        <v>1204</v>
      </c>
      <c r="B1206" s="217"/>
      <c r="C1206" s="217" t="str">
        <f>IFERROR(VLOOKUP(B1206, SourceData!$U$3:$V$190, 2, FALSE), "")</f>
        <v/>
      </c>
      <c r="D1206" s="240"/>
      <c r="E1206" s="241"/>
      <c r="F1206" s="248"/>
      <c r="G1206" s="207"/>
      <c r="H1206" s="209"/>
      <c r="I1206" s="209"/>
      <c r="J1206" s="209"/>
      <c r="K1206" s="208" t="str">
        <f>IF(Errors!$I1206=0,SourceData!$B$42,VLOOKUP(Errors!$I1206,SourceData!$A$2:$B$40,2,FALSE))</f>
        <v>Please select ERROR CODE column "I"</v>
      </c>
      <c r="L1206" s="207" t="str">
        <f>IF(Errors!$I1206=0,
    'List of Error Codes'!$E$29,
    IFERROR(VLOOKUP(Errors!$I1206, 'List of Error Codes'!D1205:I1235, 6, FALSE), 'List of Error Codes'!$E$29)
)</f>
        <v>Please select ERROR CODE column "I"</v>
      </c>
      <c r="M1206" s="209"/>
      <c r="N1206" s="209"/>
      <c r="O1206" s="209"/>
      <c r="P1206" s="209"/>
      <c r="Q1206" s="209"/>
      <c r="R1206" s="217"/>
      <c r="S1206" s="217"/>
      <c r="T1206" s="217"/>
      <c r="U1206" s="199"/>
      <c r="V1206" s="200"/>
      <c r="W1206" s="200"/>
      <c r="X1206" s="200"/>
      <c r="Y1206" s="200"/>
      <c r="Z1206" s="200"/>
      <c r="AA1206" s="201"/>
      <c r="AB1206" s="200"/>
      <c r="AC1206" s="200"/>
    </row>
    <row r="1207" ht="15.75" customHeight="1">
      <c r="A1207" s="210">
        <f t="shared" si="1"/>
        <v>1205</v>
      </c>
      <c r="B1207" s="217"/>
      <c r="C1207" s="217" t="str">
        <f>IFERROR(VLOOKUP(B1207, SourceData!$U$3:$V$190, 2, FALSE), "")</f>
        <v/>
      </c>
      <c r="D1207" s="240"/>
      <c r="E1207" s="241"/>
      <c r="F1207" s="248"/>
      <c r="G1207" s="207"/>
      <c r="H1207" s="209"/>
      <c r="I1207" s="209"/>
      <c r="J1207" s="209"/>
      <c r="K1207" s="208" t="str">
        <f>IF(Errors!$I1207=0,SourceData!$B$42,VLOOKUP(Errors!$I1207,SourceData!$A$2:$B$40,2,FALSE))</f>
        <v>Please select ERROR CODE column "I"</v>
      </c>
      <c r="L1207" s="207" t="str">
        <f>IF(Errors!$I1207=0,
    'List of Error Codes'!$E$29,
    IFERROR(VLOOKUP(Errors!$I1207, 'List of Error Codes'!D1206:I1236, 6, FALSE), 'List of Error Codes'!$E$29)
)</f>
        <v>Please select ERROR CODE column "I"</v>
      </c>
      <c r="M1207" s="209"/>
      <c r="N1207" s="209"/>
      <c r="O1207" s="209"/>
      <c r="P1207" s="209"/>
      <c r="Q1207" s="209"/>
      <c r="R1207" s="217"/>
      <c r="S1207" s="217"/>
      <c r="T1207" s="217"/>
      <c r="U1207" s="199"/>
      <c r="V1207" s="200"/>
      <c r="W1207" s="200"/>
      <c r="X1207" s="200"/>
      <c r="Y1207" s="200"/>
      <c r="Z1207" s="200"/>
      <c r="AA1207" s="201"/>
      <c r="AB1207" s="200"/>
      <c r="AC1207" s="200"/>
    </row>
    <row r="1208" ht="15.75" customHeight="1">
      <c r="A1208" s="210">
        <f t="shared" si="1"/>
        <v>1206</v>
      </c>
      <c r="B1208" s="217"/>
      <c r="C1208" s="217" t="str">
        <f>IFERROR(VLOOKUP(B1208, SourceData!$U$3:$V$190, 2, FALSE), "")</f>
        <v/>
      </c>
      <c r="D1208" s="240"/>
      <c r="E1208" s="241"/>
      <c r="F1208" s="248"/>
      <c r="G1208" s="207"/>
      <c r="H1208" s="209"/>
      <c r="I1208" s="209"/>
      <c r="J1208" s="209"/>
      <c r="K1208" s="208" t="str">
        <f>IF(Errors!$I1208=0,SourceData!$B$42,VLOOKUP(Errors!$I1208,SourceData!$A$2:$B$40,2,FALSE))</f>
        <v>Please select ERROR CODE column "I"</v>
      </c>
      <c r="L1208" s="207" t="str">
        <f>IF(Errors!$I1208=0,
    'List of Error Codes'!$E$29,
    IFERROR(VLOOKUP(Errors!$I1208, 'List of Error Codes'!D1207:I1237, 6, FALSE), 'List of Error Codes'!$E$29)
)</f>
        <v>Please select ERROR CODE column "I"</v>
      </c>
      <c r="M1208" s="209"/>
      <c r="N1208" s="209"/>
      <c r="O1208" s="209"/>
      <c r="P1208" s="209"/>
      <c r="Q1208" s="209"/>
      <c r="R1208" s="217"/>
      <c r="S1208" s="217"/>
      <c r="T1208" s="217"/>
      <c r="U1208" s="199"/>
      <c r="V1208" s="200"/>
      <c r="W1208" s="200"/>
      <c r="X1208" s="200"/>
      <c r="Y1208" s="200"/>
      <c r="Z1208" s="200"/>
      <c r="AA1208" s="201"/>
      <c r="AB1208" s="200"/>
      <c r="AC1208" s="200"/>
    </row>
    <row r="1209" ht="15.75" customHeight="1">
      <c r="A1209" s="210">
        <f t="shared" si="1"/>
        <v>1207</v>
      </c>
      <c r="B1209" s="217"/>
      <c r="C1209" s="217" t="str">
        <f>IFERROR(VLOOKUP(B1209, SourceData!$U$3:$V$190, 2, FALSE), "")</f>
        <v/>
      </c>
      <c r="D1209" s="240"/>
      <c r="E1209" s="241"/>
      <c r="F1209" s="248"/>
      <c r="G1209" s="207"/>
      <c r="H1209" s="209"/>
      <c r="I1209" s="209"/>
      <c r="J1209" s="209"/>
      <c r="K1209" s="208" t="str">
        <f>IF(Errors!$I1209=0,SourceData!$B$42,VLOOKUP(Errors!$I1209,SourceData!$A$2:$B$40,2,FALSE))</f>
        <v>Please select ERROR CODE column "I"</v>
      </c>
      <c r="L1209" s="207" t="str">
        <f>IF(Errors!$I1209=0,
    'List of Error Codes'!$E$29,
    IFERROR(VLOOKUP(Errors!$I1209, 'List of Error Codes'!D1208:I1238, 6, FALSE), 'List of Error Codes'!$E$29)
)</f>
        <v>Please select ERROR CODE column "I"</v>
      </c>
      <c r="M1209" s="209"/>
      <c r="N1209" s="209"/>
      <c r="O1209" s="209"/>
      <c r="P1209" s="209"/>
      <c r="Q1209" s="209"/>
      <c r="R1209" s="217"/>
      <c r="S1209" s="217"/>
      <c r="T1209" s="217"/>
      <c r="U1209" s="199"/>
      <c r="V1209" s="200"/>
      <c r="W1209" s="200"/>
      <c r="X1209" s="200"/>
      <c r="Y1209" s="200"/>
      <c r="Z1209" s="200"/>
      <c r="AA1209" s="201"/>
      <c r="AB1209" s="200"/>
      <c r="AC1209" s="200"/>
    </row>
    <row r="1210" ht="15.75" customHeight="1">
      <c r="A1210" s="210">
        <f t="shared" si="1"/>
        <v>1208</v>
      </c>
      <c r="B1210" s="217"/>
      <c r="C1210" s="217" t="str">
        <f>IFERROR(VLOOKUP(B1210, SourceData!$U$3:$V$190, 2, FALSE), "")</f>
        <v/>
      </c>
      <c r="D1210" s="240"/>
      <c r="E1210" s="241"/>
      <c r="F1210" s="248"/>
      <c r="G1210" s="207"/>
      <c r="H1210" s="209"/>
      <c r="I1210" s="209"/>
      <c r="J1210" s="209"/>
      <c r="K1210" s="208" t="str">
        <f>IF(Errors!$I1210=0,SourceData!$B$42,VLOOKUP(Errors!$I1210,SourceData!$A$2:$B$40,2,FALSE))</f>
        <v>Please select ERROR CODE column "I"</v>
      </c>
      <c r="L1210" s="207" t="str">
        <f>IF(Errors!$I1210=0,
    'List of Error Codes'!$E$29,
    IFERROR(VLOOKUP(Errors!$I1210, 'List of Error Codes'!D1209:I1239, 6, FALSE), 'List of Error Codes'!$E$29)
)</f>
        <v>Please select ERROR CODE column "I"</v>
      </c>
      <c r="M1210" s="209"/>
      <c r="N1210" s="209"/>
      <c r="O1210" s="209"/>
      <c r="P1210" s="209"/>
      <c r="Q1210" s="209"/>
      <c r="R1210" s="217"/>
      <c r="S1210" s="217"/>
      <c r="T1210" s="217"/>
      <c r="U1210" s="199"/>
      <c r="V1210" s="200"/>
      <c r="W1210" s="200"/>
      <c r="X1210" s="200"/>
      <c r="Y1210" s="200"/>
      <c r="Z1210" s="200"/>
      <c r="AA1210" s="201"/>
      <c r="AB1210" s="200"/>
      <c r="AC1210" s="200"/>
    </row>
    <row r="1211" ht="15.75" customHeight="1">
      <c r="A1211" s="210">
        <f t="shared" si="1"/>
        <v>1209</v>
      </c>
      <c r="B1211" s="217"/>
      <c r="C1211" s="217" t="str">
        <f>IFERROR(VLOOKUP(B1211, SourceData!$U$3:$V$190, 2, FALSE), "")</f>
        <v/>
      </c>
      <c r="D1211" s="240"/>
      <c r="E1211" s="241"/>
      <c r="F1211" s="248"/>
      <c r="G1211" s="207"/>
      <c r="H1211" s="209"/>
      <c r="I1211" s="209"/>
      <c r="J1211" s="209"/>
      <c r="K1211" s="208" t="str">
        <f>IF(Errors!$I1211=0,SourceData!$B$42,VLOOKUP(Errors!$I1211,SourceData!$A$2:$B$40,2,FALSE))</f>
        <v>Please select ERROR CODE column "I"</v>
      </c>
      <c r="L1211" s="207" t="str">
        <f>IF(Errors!$I1211=0,
    'List of Error Codes'!$E$29,
    IFERROR(VLOOKUP(Errors!$I1211, 'List of Error Codes'!D1210:I1240, 6, FALSE), 'List of Error Codes'!$E$29)
)</f>
        <v>Please select ERROR CODE column "I"</v>
      </c>
      <c r="M1211" s="209"/>
      <c r="N1211" s="209"/>
      <c r="O1211" s="209"/>
      <c r="P1211" s="209"/>
      <c r="Q1211" s="209"/>
      <c r="R1211" s="217"/>
      <c r="S1211" s="217"/>
      <c r="T1211" s="217"/>
      <c r="U1211" s="199"/>
      <c r="V1211" s="200"/>
      <c r="W1211" s="200"/>
      <c r="X1211" s="200"/>
      <c r="Y1211" s="200"/>
      <c r="Z1211" s="200"/>
      <c r="AA1211" s="201"/>
      <c r="AB1211" s="200"/>
      <c r="AC1211" s="200"/>
    </row>
    <row r="1212" ht="15.75" customHeight="1">
      <c r="A1212" s="210">
        <f t="shared" si="1"/>
        <v>1210</v>
      </c>
      <c r="B1212" s="217"/>
      <c r="C1212" s="217" t="str">
        <f>IFERROR(VLOOKUP(B1212, SourceData!$U$3:$V$190, 2, FALSE), "")</f>
        <v/>
      </c>
      <c r="D1212" s="240"/>
      <c r="E1212" s="241"/>
      <c r="F1212" s="248"/>
      <c r="G1212" s="207"/>
      <c r="H1212" s="209"/>
      <c r="I1212" s="209"/>
      <c r="J1212" s="209"/>
      <c r="K1212" s="208" t="str">
        <f>IF(Errors!$I1212=0,SourceData!$B$42,VLOOKUP(Errors!$I1212,SourceData!$A$2:$B$40,2,FALSE))</f>
        <v>Please select ERROR CODE column "I"</v>
      </c>
      <c r="L1212" s="207" t="str">
        <f>IF(Errors!$I1212=0,
    'List of Error Codes'!$E$29,
    IFERROR(VLOOKUP(Errors!$I1212, 'List of Error Codes'!D1211:I1241, 6, FALSE), 'List of Error Codes'!$E$29)
)</f>
        <v>Please select ERROR CODE column "I"</v>
      </c>
      <c r="M1212" s="209"/>
      <c r="N1212" s="209"/>
      <c r="O1212" s="209"/>
      <c r="P1212" s="209"/>
      <c r="Q1212" s="209"/>
      <c r="R1212" s="217"/>
      <c r="S1212" s="217"/>
      <c r="T1212" s="217"/>
      <c r="U1212" s="199"/>
      <c r="V1212" s="200"/>
      <c r="W1212" s="200"/>
      <c r="X1212" s="200"/>
      <c r="Y1212" s="200"/>
      <c r="Z1212" s="200"/>
      <c r="AA1212" s="201"/>
      <c r="AB1212" s="200"/>
      <c r="AC1212" s="200"/>
    </row>
    <row r="1213" ht="15.75" customHeight="1">
      <c r="A1213" s="210">
        <f t="shared" si="1"/>
        <v>1211</v>
      </c>
      <c r="B1213" s="217"/>
      <c r="C1213" s="217" t="str">
        <f>IFERROR(VLOOKUP(B1213, SourceData!$U$3:$V$190, 2, FALSE), "")</f>
        <v/>
      </c>
      <c r="D1213" s="240"/>
      <c r="E1213" s="241"/>
      <c r="F1213" s="248"/>
      <c r="G1213" s="207"/>
      <c r="H1213" s="209"/>
      <c r="I1213" s="209"/>
      <c r="J1213" s="209"/>
      <c r="K1213" s="208" t="str">
        <f>IF(Errors!$I1213=0,SourceData!$B$42,VLOOKUP(Errors!$I1213,SourceData!$A$2:$B$40,2,FALSE))</f>
        <v>Please select ERROR CODE column "I"</v>
      </c>
      <c r="L1213" s="207" t="str">
        <f>IF(Errors!$I1213=0,
    'List of Error Codes'!$E$29,
    IFERROR(VLOOKUP(Errors!$I1213, 'List of Error Codes'!D1212:I1242, 6, FALSE), 'List of Error Codes'!$E$29)
)</f>
        <v>Please select ERROR CODE column "I"</v>
      </c>
      <c r="M1213" s="209"/>
      <c r="N1213" s="209"/>
      <c r="O1213" s="209"/>
      <c r="P1213" s="209"/>
      <c r="Q1213" s="209"/>
      <c r="R1213" s="217"/>
      <c r="S1213" s="217"/>
      <c r="T1213" s="217"/>
      <c r="U1213" s="199"/>
      <c r="V1213" s="200"/>
      <c r="W1213" s="200"/>
      <c r="X1213" s="200"/>
      <c r="Y1213" s="200"/>
      <c r="Z1213" s="200"/>
      <c r="AA1213" s="201"/>
      <c r="AB1213" s="200"/>
      <c r="AC1213" s="200"/>
    </row>
    <row r="1214" ht="15.75" customHeight="1">
      <c r="A1214" s="210">
        <f t="shared" si="1"/>
        <v>1212</v>
      </c>
      <c r="B1214" s="217"/>
      <c r="C1214" s="217" t="str">
        <f>IFERROR(VLOOKUP(B1214, SourceData!$U$3:$V$190, 2, FALSE), "")</f>
        <v/>
      </c>
      <c r="D1214" s="240"/>
      <c r="E1214" s="241"/>
      <c r="F1214" s="248"/>
      <c r="G1214" s="207"/>
      <c r="H1214" s="209"/>
      <c r="I1214" s="209"/>
      <c r="J1214" s="209"/>
      <c r="K1214" s="208" t="str">
        <f>IF(Errors!$I1214=0,SourceData!$B$42,VLOOKUP(Errors!$I1214,SourceData!$A$2:$B$40,2,FALSE))</f>
        <v>Please select ERROR CODE column "I"</v>
      </c>
      <c r="L1214" s="207" t="str">
        <f>IF(Errors!$I1214=0,
    'List of Error Codes'!$E$29,
    IFERROR(VLOOKUP(Errors!$I1214, 'List of Error Codes'!D1213:I1243, 6, FALSE), 'List of Error Codes'!$E$29)
)</f>
        <v>Please select ERROR CODE column "I"</v>
      </c>
      <c r="M1214" s="209"/>
      <c r="N1214" s="209"/>
      <c r="O1214" s="209"/>
      <c r="P1214" s="209"/>
      <c r="Q1214" s="209"/>
      <c r="R1214" s="217"/>
      <c r="S1214" s="217"/>
      <c r="T1214" s="217"/>
      <c r="U1214" s="199"/>
      <c r="V1214" s="200"/>
      <c r="W1214" s="200"/>
      <c r="X1214" s="200"/>
      <c r="Y1214" s="200"/>
      <c r="Z1214" s="200"/>
      <c r="AA1214" s="201"/>
      <c r="AB1214" s="200"/>
      <c r="AC1214" s="200"/>
    </row>
    <row r="1215" ht="15.75" customHeight="1">
      <c r="A1215" s="210">
        <f t="shared" si="1"/>
        <v>1213</v>
      </c>
      <c r="B1215" s="217"/>
      <c r="C1215" s="217" t="str">
        <f>IFERROR(VLOOKUP(B1215, SourceData!$U$3:$V$190, 2, FALSE), "")</f>
        <v/>
      </c>
      <c r="D1215" s="240"/>
      <c r="E1215" s="241"/>
      <c r="F1215" s="248"/>
      <c r="G1215" s="207"/>
      <c r="H1215" s="209"/>
      <c r="I1215" s="209"/>
      <c r="J1215" s="209"/>
      <c r="K1215" s="208" t="str">
        <f>IF(Errors!$I1215=0,SourceData!$B$42,VLOOKUP(Errors!$I1215,SourceData!$A$2:$B$40,2,FALSE))</f>
        <v>Please select ERROR CODE column "I"</v>
      </c>
      <c r="L1215" s="207" t="str">
        <f>IF(Errors!$I1215=0,
    'List of Error Codes'!$E$29,
    IFERROR(VLOOKUP(Errors!$I1215, 'List of Error Codes'!D1214:I1244, 6, FALSE), 'List of Error Codes'!$E$29)
)</f>
        <v>Please select ERROR CODE column "I"</v>
      </c>
      <c r="M1215" s="209"/>
      <c r="N1215" s="209"/>
      <c r="O1215" s="209"/>
      <c r="P1215" s="209"/>
      <c r="Q1215" s="209"/>
      <c r="R1215" s="217"/>
      <c r="S1215" s="217"/>
      <c r="T1215" s="217"/>
      <c r="U1215" s="199"/>
      <c r="V1215" s="200"/>
      <c r="W1215" s="200"/>
      <c r="X1215" s="200"/>
      <c r="Y1215" s="200"/>
      <c r="Z1215" s="200"/>
      <c r="AA1215" s="201"/>
      <c r="AB1215" s="200"/>
      <c r="AC1215" s="200"/>
    </row>
    <row r="1216" ht="15.75" customHeight="1">
      <c r="A1216" s="210">
        <f t="shared" si="1"/>
        <v>1214</v>
      </c>
      <c r="B1216" s="217"/>
      <c r="C1216" s="217" t="str">
        <f>IFERROR(VLOOKUP(B1216, SourceData!$U$3:$V$190, 2, FALSE), "")</f>
        <v/>
      </c>
      <c r="D1216" s="240"/>
      <c r="E1216" s="241"/>
      <c r="F1216" s="248"/>
      <c r="G1216" s="207"/>
      <c r="H1216" s="209"/>
      <c r="I1216" s="209"/>
      <c r="J1216" s="209"/>
      <c r="K1216" s="208" t="str">
        <f>IF(Errors!$I1216=0,SourceData!$B$42,VLOOKUP(Errors!$I1216,SourceData!$A$2:$B$40,2,FALSE))</f>
        <v>Please select ERROR CODE column "I"</v>
      </c>
      <c r="L1216" s="207" t="str">
        <f>IF(Errors!$I1216=0,
    'List of Error Codes'!$E$29,
    IFERROR(VLOOKUP(Errors!$I1216, 'List of Error Codes'!D1215:I1245, 6, FALSE), 'List of Error Codes'!$E$29)
)</f>
        <v>Please select ERROR CODE column "I"</v>
      </c>
      <c r="M1216" s="209"/>
      <c r="N1216" s="209"/>
      <c r="O1216" s="209"/>
      <c r="P1216" s="209"/>
      <c r="Q1216" s="209"/>
      <c r="R1216" s="217"/>
      <c r="S1216" s="217"/>
      <c r="T1216" s="217"/>
      <c r="U1216" s="199"/>
      <c r="V1216" s="200"/>
      <c r="W1216" s="200"/>
      <c r="X1216" s="200"/>
      <c r="Y1216" s="200"/>
      <c r="Z1216" s="200"/>
      <c r="AA1216" s="201"/>
      <c r="AB1216" s="200"/>
      <c r="AC1216" s="200"/>
    </row>
    <row r="1217" ht="15.75" customHeight="1">
      <c r="A1217" s="210">
        <f t="shared" si="1"/>
        <v>1215</v>
      </c>
      <c r="B1217" s="217"/>
      <c r="C1217" s="217" t="str">
        <f>IFERROR(VLOOKUP(B1217, SourceData!$U$3:$V$190, 2, FALSE), "")</f>
        <v/>
      </c>
      <c r="D1217" s="240"/>
      <c r="E1217" s="241"/>
      <c r="F1217" s="248"/>
      <c r="G1217" s="207"/>
      <c r="H1217" s="209"/>
      <c r="I1217" s="209"/>
      <c r="J1217" s="209"/>
      <c r="K1217" s="208" t="str">
        <f>IF(Errors!$I1217=0,SourceData!$B$42,VLOOKUP(Errors!$I1217,SourceData!$A$2:$B$40,2,FALSE))</f>
        <v>Please select ERROR CODE column "I"</v>
      </c>
      <c r="L1217" s="207" t="str">
        <f>IF(Errors!$I1217=0,
    'List of Error Codes'!$E$29,
    IFERROR(VLOOKUP(Errors!$I1217, 'List of Error Codes'!D1216:I1246, 6, FALSE), 'List of Error Codes'!$E$29)
)</f>
        <v>Please select ERROR CODE column "I"</v>
      </c>
      <c r="M1217" s="209"/>
      <c r="N1217" s="209"/>
      <c r="O1217" s="209"/>
      <c r="P1217" s="209"/>
      <c r="Q1217" s="209"/>
      <c r="R1217" s="217"/>
      <c r="S1217" s="217"/>
      <c r="T1217" s="217"/>
      <c r="U1217" s="199"/>
      <c r="V1217" s="200"/>
      <c r="W1217" s="200"/>
      <c r="X1217" s="200"/>
      <c r="Y1217" s="200"/>
      <c r="Z1217" s="200"/>
      <c r="AA1217" s="201"/>
      <c r="AB1217" s="200"/>
      <c r="AC1217" s="200"/>
    </row>
    <row r="1218" ht="15.75" customHeight="1">
      <c r="A1218" s="210">
        <f t="shared" si="1"/>
        <v>1216</v>
      </c>
      <c r="B1218" s="217"/>
      <c r="C1218" s="217" t="str">
        <f>IFERROR(VLOOKUP(B1218, SourceData!$U$3:$V$190, 2, FALSE), "")</f>
        <v/>
      </c>
      <c r="D1218" s="240"/>
      <c r="E1218" s="241"/>
      <c r="F1218" s="248"/>
      <c r="G1218" s="207"/>
      <c r="H1218" s="209"/>
      <c r="I1218" s="209"/>
      <c r="J1218" s="209"/>
      <c r="K1218" s="208" t="str">
        <f>IF(Errors!$I1218=0,SourceData!$B$42,VLOOKUP(Errors!$I1218,SourceData!$A$2:$B$40,2,FALSE))</f>
        <v>Please select ERROR CODE column "I"</v>
      </c>
      <c r="L1218" s="207" t="str">
        <f>IF(Errors!$I1218=0,
    'List of Error Codes'!$E$29,
    IFERROR(VLOOKUP(Errors!$I1218, 'List of Error Codes'!D1217:I1247, 6, FALSE), 'List of Error Codes'!$E$29)
)</f>
        <v>Please select ERROR CODE column "I"</v>
      </c>
      <c r="M1218" s="209"/>
      <c r="N1218" s="209"/>
      <c r="O1218" s="209"/>
      <c r="P1218" s="209"/>
      <c r="Q1218" s="209"/>
      <c r="R1218" s="217"/>
      <c r="S1218" s="217"/>
      <c r="T1218" s="217"/>
      <c r="U1218" s="199"/>
      <c r="V1218" s="200"/>
      <c r="W1218" s="200"/>
      <c r="X1218" s="200"/>
      <c r="Y1218" s="200"/>
      <c r="Z1218" s="200"/>
      <c r="AA1218" s="201"/>
      <c r="AB1218" s="200"/>
      <c r="AC1218" s="200"/>
    </row>
    <row r="1219" ht="15.75" customHeight="1">
      <c r="A1219" s="210">
        <f t="shared" si="1"/>
        <v>1217</v>
      </c>
      <c r="B1219" s="217"/>
      <c r="C1219" s="217" t="str">
        <f>IFERROR(VLOOKUP(B1219, SourceData!$U$3:$V$190, 2, FALSE), "")</f>
        <v/>
      </c>
      <c r="D1219" s="240"/>
      <c r="E1219" s="241"/>
      <c r="F1219" s="248"/>
      <c r="G1219" s="207"/>
      <c r="H1219" s="209"/>
      <c r="I1219" s="209"/>
      <c r="J1219" s="209"/>
      <c r="K1219" s="208" t="str">
        <f>IF(Errors!$I1219=0,SourceData!$B$42,VLOOKUP(Errors!$I1219,SourceData!$A$2:$B$40,2,FALSE))</f>
        <v>Please select ERROR CODE column "I"</v>
      </c>
      <c r="L1219" s="207" t="str">
        <f>IF(Errors!$I1219=0,
    'List of Error Codes'!$E$29,
    IFERROR(VLOOKUP(Errors!$I1219, 'List of Error Codes'!D1218:I1248, 6, FALSE), 'List of Error Codes'!$E$29)
)</f>
        <v>Please select ERROR CODE column "I"</v>
      </c>
      <c r="M1219" s="209"/>
      <c r="N1219" s="209"/>
      <c r="O1219" s="209"/>
      <c r="P1219" s="209"/>
      <c r="Q1219" s="209"/>
      <c r="R1219" s="217"/>
      <c r="S1219" s="217"/>
      <c r="T1219" s="217"/>
      <c r="U1219" s="199"/>
      <c r="V1219" s="200"/>
      <c r="W1219" s="200"/>
      <c r="X1219" s="200"/>
      <c r="Y1219" s="200"/>
      <c r="Z1219" s="200"/>
      <c r="AA1219" s="201"/>
      <c r="AB1219" s="200"/>
      <c r="AC1219" s="200"/>
    </row>
    <row r="1220" ht="15.75" customHeight="1">
      <c r="A1220" s="210">
        <f t="shared" si="1"/>
        <v>1218</v>
      </c>
      <c r="B1220" s="217"/>
      <c r="C1220" s="217" t="str">
        <f>IFERROR(VLOOKUP(B1220, SourceData!$U$3:$V$190, 2, FALSE), "")</f>
        <v/>
      </c>
      <c r="D1220" s="240"/>
      <c r="E1220" s="241"/>
      <c r="F1220" s="248"/>
      <c r="G1220" s="207"/>
      <c r="H1220" s="209"/>
      <c r="I1220" s="209"/>
      <c r="J1220" s="209"/>
      <c r="K1220" s="208" t="str">
        <f>IF(Errors!$I1220=0,SourceData!$B$42,VLOOKUP(Errors!$I1220,SourceData!$A$2:$B$40,2,FALSE))</f>
        <v>Please select ERROR CODE column "I"</v>
      </c>
      <c r="L1220" s="207" t="str">
        <f>IF(Errors!$I1220=0,
    'List of Error Codes'!$E$29,
    IFERROR(VLOOKUP(Errors!$I1220, 'List of Error Codes'!D1219:I1249, 6, FALSE), 'List of Error Codes'!$E$29)
)</f>
        <v>Please select ERROR CODE column "I"</v>
      </c>
      <c r="M1220" s="209"/>
      <c r="N1220" s="209"/>
      <c r="O1220" s="209"/>
      <c r="P1220" s="209"/>
      <c r="Q1220" s="209"/>
      <c r="R1220" s="217"/>
      <c r="S1220" s="217"/>
      <c r="T1220" s="217"/>
      <c r="U1220" s="199"/>
      <c r="V1220" s="200"/>
      <c r="W1220" s="200"/>
      <c r="X1220" s="200"/>
      <c r="Y1220" s="200"/>
      <c r="Z1220" s="200"/>
      <c r="AA1220" s="201"/>
      <c r="AB1220" s="200"/>
      <c r="AC1220" s="200"/>
    </row>
    <row r="1221" ht="15.75" customHeight="1">
      <c r="A1221" s="210">
        <f t="shared" si="1"/>
        <v>1219</v>
      </c>
      <c r="B1221" s="217"/>
      <c r="C1221" s="217" t="str">
        <f>IFERROR(VLOOKUP(B1221, SourceData!$U$3:$V$190, 2, FALSE), "")</f>
        <v/>
      </c>
      <c r="D1221" s="240"/>
      <c r="E1221" s="241"/>
      <c r="F1221" s="248"/>
      <c r="G1221" s="207"/>
      <c r="H1221" s="209"/>
      <c r="I1221" s="209"/>
      <c r="J1221" s="209"/>
      <c r="K1221" s="208" t="str">
        <f>IF(Errors!$I1221=0,SourceData!$B$42,VLOOKUP(Errors!$I1221,SourceData!$A$2:$B$40,2,FALSE))</f>
        <v>Please select ERROR CODE column "I"</v>
      </c>
      <c r="L1221" s="207" t="str">
        <f>IF(Errors!$I1221=0,
    'List of Error Codes'!$E$29,
    IFERROR(VLOOKUP(Errors!$I1221, 'List of Error Codes'!D1220:I1250, 6, FALSE), 'List of Error Codes'!$E$29)
)</f>
        <v>Please select ERROR CODE column "I"</v>
      </c>
      <c r="M1221" s="209"/>
      <c r="N1221" s="209"/>
      <c r="O1221" s="209"/>
      <c r="P1221" s="209"/>
      <c r="Q1221" s="209"/>
      <c r="R1221" s="217"/>
      <c r="S1221" s="217"/>
      <c r="T1221" s="217"/>
      <c r="U1221" s="199"/>
      <c r="V1221" s="200"/>
      <c r="W1221" s="200"/>
      <c r="X1221" s="200"/>
      <c r="Y1221" s="200"/>
      <c r="Z1221" s="200"/>
      <c r="AA1221" s="201"/>
      <c r="AB1221" s="200"/>
      <c r="AC1221" s="200"/>
    </row>
    <row r="1222" ht="15.75" customHeight="1">
      <c r="A1222" s="210">
        <f t="shared" si="1"/>
        <v>1220</v>
      </c>
      <c r="B1222" s="217"/>
      <c r="C1222" s="217" t="str">
        <f>IFERROR(VLOOKUP(B1222, SourceData!$U$3:$V$190, 2, FALSE), "")</f>
        <v/>
      </c>
      <c r="D1222" s="240"/>
      <c r="E1222" s="241"/>
      <c r="F1222" s="248"/>
      <c r="G1222" s="207"/>
      <c r="H1222" s="209"/>
      <c r="I1222" s="209"/>
      <c r="J1222" s="209"/>
      <c r="K1222" s="208" t="str">
        <f>IF(Errors!$I1222=0,SourceData!$B$42,VLOOKUP(Errors!$I1222,SourceData!$A$2:$B$40,2,FALSE))</f>
        <v>Please select ERROR CODE column "I"</v>
      </c>
      <c r="L1222" s="207" t="str">
        <f>IF(Errors!$I1222=0,
    'List of Error Codes'!$E$29,
    IFERROR(VLOOKUP(Errors!$I1222, 'List of Error Codes'!D1221:I1251, 6, FALSE), 'List of Error Codes'!$E$29)
)</f>
        <v>Please select ERROR CODE column "I"</v>
      </c>
      <c r="M1222" s="209"/>
      <c r="N1222" s="209"/>
      <c r="O1222" s="209"/>
      <c r="P1222" s="209"/>
      <c r="Q1222" s="209"/>
      <c r="R1222" s="217"/>
      <c r="S1222" s="217"/>
      <c r="T1222" s="217"/>
      <c r="U1222" s="199"/>
      <c r="V1222" s="200"/>
      <c r="W1222" s="200"/>
      <c r="X1222" s="200"/>
      <c r="Y1222" s="200"/>
      <c r="Z1222" s="200"/>
      <c r="AA1222" s="201"/>
      <c r="AB1222" s="200"/>
      <c r="AC1222" s="200"/>
    </row>
    <row r="1223" ht="15.75" customHeight="1">
      <c r="A1223" s="210">
        <f t="shared" si="1"/>
        <v>1221</v>
      </c>
      <c r="B1223" s="217"/>
      <c r="C1223" s="217" t="str">
        <f>IFERROR(VLOOKUP(B1223, SourceData!$U$3:$V$190, 2, FALSE), "")</f>
        <v/>
      </c>
      <c r="D1223" s="240"/>
      <c r="E1223" s="241"/>
      <c r="F1223" s="248"/>
      <c r="G1223" s="207"/>
      <c r="H1223" s="209"/>
      <c r="I1223" s="209"/>
      <c r="J1223" s="209"/>
      <c r="K1223" s="208" t="str">
        <f>IF(Errors!$I1223=0,SourceData!$B$42,VLOOKUP(Errors!$I1223,SourceData!$A$2:$B$40,2,FALSE))</f>
        <v>Please select ERROR CODE column "I"</v>
      </c>
      <c r="L1223" s="207" t="str">
        <f>IF(Errors!$I1223=0,
    'List of Error Codes'!$E$29,
    IFERROR(VLOOKUP(Errors!$I1223, 'List of Error Codes'!D1222:I1252, 6, FALSE), 'List of Error Codes'!$E$29)
)</f>
        <v>Please select ERROR CODE column "I"</v>
      </c>
      <c r="M1223" s="209"/>
      <c r="N1223" s="209"/>
      <c r="O1223" s="209"/>
      <c r="P1223" s="209"/>
      <c r="Q1223" s="209"/>
      <c r="R1223" s="217"/>
      <c r="S1223" s="217"/>
      <c r="T1223" s="217"/>
      <c r="U1223" s="199"/>
      <c r="V1223" s="200"/>
      <c r="W1223" s="200"/>
      <c r="X1223" s="200"/>
      <c r="Y1223" s="200"/>
      <c r="Z1223" s="200"/>
      <c r="AA1223" s="201"/>
      <c r="AB1223" s="200"/>
      <c r="AC1223" s="200"/>
    </row>
    <row r="1224" ht="15.75" customHeight="1">
      <c r="A1224" s="210">
        <f t="shared" si="1"/>
        <v>1222</v>
      </c>
      <c r="B1224" s="217"/>
      <c r="C1224" s="217" t="str">
        <f>IFERROR(VLOOKUP(B1224, SourceData!$U$3:$V$190, 2, FALSE), "")</f>
        <v/>
      </c>
      <c r="D1224" s="240"/>
      <c r="E1224" s="241"/>
      <c r="F1224" s="248"/>
      <c r="G1224" s="207"/>
      <c r="H1224" s="209"/>
      <c r="I1224" s="209"/>
      <c r="J1224" s="209"/>
      <c r="K1224" s="208" t="str">
        <f>IF(Errors!$I1224=0,SourceData!$B$42,VLOOKUP(Errors!$I1224,SourceData!$A$2:$B$40,2,FALSE))</f>
        <v>Please select ERROR CODE column "I"</v>
      </c>
      <c r="L1224" s="207" t="str">
        <f>IF(Errors!$I1224=0,
    'List of Error Codes'!$E$29,
    IFERROR(VLOOKUP(Errors!$I1224, 'List of Error Codes'!D1223:I1253, 6, FALSE), 'List of Error Codes'!$E$29)
)</f>
        <v>Please select ERROR CODE column "I"</v>
      </c>
      <c r="M1224" s="209"/>
      <c r="N1224" s="209"/>
      <c r="O1224" s="209"/>
      <c r="P1224" s="209"/>
      <c r="Q1224" s="209"/>
      <c r="R1224" s="217"/>
      <c r="S1224" s="217"/>
      <c r="T1224" s="217"/>
      <c r="U1224" s="199"/>
      <c r="V1224" s="200"/>
      <c r="W1224" s="200"/>
      <c r="X1224" s="200"/>
      <c r="Y1224" s="200"/>
      <c r="Z1224" s="200"/>
      <c r="AA1224" s="201"/>
      <c r="AB1224" s="200"/>
      <c r="AC1224" s="200"/>
    </row>
    <row r="1225" ht="15.75" customHeight="1">
      <c r="A1225" s="210">
        <f t="shared" si="1"/>
        <v>1223</v>
      </c>
      <c r="B1225" s="217"/>
      <c r="C1225" s="217" t="str">
        <f>IFERROR(VLOOKUP(B1225, SourceData!$U$3:$V$190, 2, FALSE), "")</f>
        <v/>
      </c>
      <c r="D1225" s="240"/>
      <c r="E1225" s="241"/>
      <c r="F1225" s="248"/>
      <c r="G1225" s="207"/>
      <c r="H1225" s="209"/>
      <c r="I1225" s="209"/>
      <c r="J1225" s="209"/>
      <c r="K1225" s="208" t="str">
        <f>IF(Errors!$I1225=0,SourceData!$B$42,VLOOKUP(Errors!$I1225,SourceData!$A$2:$B$40,2,FALSE))</f>
        <v>Please select ERROR CODE column "I"</v>
      </c>
      <c r="L1225" s="207" t="str">
        <f>IF(Errors!$I1225=0,
    'List of Error Codes'!$E$29,
    IFERROR(VLOOKUP(Errors!$I1225, 'List of Error Codes'!D1224:I1254, 6, FALSE), 'List of Error Codes'!$E$29)
)</f>
        <v>Please select ERROR CODE column "I"</v>
      </c>
      <c r="M1225" s="209"/>
      <c r="N1225" s="209"/>
      <c r="O1225" s="209"/>
      <c r="P1225" s="209"/>
      <c r="Q1225" s="209"/>
      <c r="R1225" s="217"/>
      <c r="S1225" s="217"/>
      <c r="T1225" s="217"/>
      <c r="U1225" s="199"/>
      <c r="V1225" s="200"/>
      <c r="W1225" s="200"/>
      <c r="X1225" s="200"/>
      <c r="Y1225" s="200"/>
      <c r="Z1225" s="200"/>
      <c r="AA1225" s="201"/>
      <c r="AB1225" s="200"/>
      <c r="AC1225" s="200"/>
    </row>
    <row r="1226" ht="15.75" customHeight="1">
      <c r="A1226" s="210">
        <f t="shared" si="1"/>
        <v>1224</v>
      </c>
      <c r="B1226" s="217"/>
      <c r="C1226" s="217" t="str">
        <f>IFERROR(VLOOKUP(B1226, SourceData!$U$3:$V$190, 2, FALSE), "")</f>
        <v/>
      </c>
      <c r="D1226" s="240"/>
      <c r="E1226" s="241"/>
      <c r="F1226" s="248"/>
      <c r="G1226" s="207"/>
      <c r="H1226" s="209"/>
      <c r="I1226" s="209"/>
      <c r="J1226" s="209"/>
      <c r="K1226" s="208" t="str">
        <f>IF(Errors!$I1226=0,SourceData!$B$42,VLOOKUP(Errors!$I1226,SourceData!$A$2:$B$40,2,FALSE))</f>
        <v>Please select ERROR CODE column "I"</v>
      </c>
      <c r="L1226" s="207" t="str">
        <f>IF(Errors!$I1226=0,
    'List of Error Codes'!$E$29,
    IFERROR(VLOOKUP(Errors!$I1226, 'List of Error Codes'!D1225:I1255, 6, FALSE), 'List of Error Codes'!$E$29)
)</f>
        <v>Please select ERROR CODE column "I"</v>
      </c>
      <c r="M1226" s="209"/>
      <c r="N1226" s="209"/>
      <c r="O1226" s="209"/>
      <c r="P1226" s="209"/>
      <c r="Q1226" s="209"/>
      <c r="R1226" s="217"/>
      <c r="S1226" s="217"/>
      <c r="T1226" s="217"/>
      <c r="U1226" s="199"/>
      <c r="V1226" s="200"/>
      <c r="W1226" s="200"/>
      <c r="X1226" s="200"/>
      <c r="Y1226" s="200"/>
      <c r="Z1226" s="200"/>
      <c r="AA1226" s="201"/>
      <c r="AB1226" s="200"/>
      <c r="AC1226" s="200"/>
    </row>
    <row r="1227" ht="15.75" customHeight="1">
      <c r="A1227" s="210">
        <f t="shared" si="1"/>
        <v>1225</v>
      </c>
      <c r="B1227" s="217"/>
      <c r="C1227" s="217" t="str">
        <f>IFERROR(VLOOKUP(B1227, SourceData!$U$3:$V$190, 2, FALSE), "")</f>
        <v/>
      </c>
      <c r="D1227" s="240"/>
      <c r="E1227" s="241"/>
      <c r="F1227" s="248"/>
      <c r="G1227" s="207"/>
      <c r="H1227" s="209"/>
      <c r="I1227" s="209"/>
      <c r="J1227" s="209"/>
      <c r="K1227" s="208" t="str">
        <f>IF(Errors!$I1227=0,SourceData!$B$42,VLOOKUP(Errors!$I1227,SourceData!$A$2:$B$40,2,FALSE))</f>
        <v>Please select ERROR CODE column "I"</v>
      </c>
      <c r="L1227" s="207" t="str">
        <f>IF(Errors!$I1227=0,
    'List of Error Codes'!$E$29,
    IFERROR(VLOOKUP(Errors!$I1227, 'List of Error Codes'!D1226:I1256, 6, FALSE), 'List of Error Codes'!$E$29)
)</f>
        <v>Please select ERROR CODE column "I"</v>
      </c>
      <c r="M1227" s="209"/>
      <c r="N1227" s="209"/>
      <c r="O1227" s="209"/>
      <c r="P1227" s="209"/>
      <c r="Q1227" s="209"/>
      <c r="R1227" s="217"/>
      <c r="S1227" s="217"/>
      <c r="T1227" s="217"/>
      <c r="U1227" s="199"/>
      <c r="V1227" s="200"/>
      <c r="W1227" s="200"/>
      <c r="X1227" s="200"/>
      <c r="Y1227" s="200"/>
      <c r="Z1227" s="200"/>
      <c r="AA1227" s="201"/>
      <c r="AB1227" s="200"/>
      <c r="AC1227" s="200"/>
    </row>
    <row r="1228" ht="15.75" customHeight="1">
      <c r="A1228" s="210">
        <f t="shared" si="1"/>
        <v>1226</v>
      </c>
      <c r="B1228" s="217"/>
      <c r="C1228" s="217" t="str">
        <f>IFERROR(VLOOKUP(B1228, SourceData!$U$3:$V$190, 2, FALSE), "")</f>
        <v/>
      </c>
      <c r="D1228" s="240"/>
      <c r="E1228" s="241"/>
      <c r="F1228" s="248"/>
      <c r="G1228" s="207"/>
      <c r="H1228" s="209"/>
      <c r="I1228" s="209"/>
      <c r="J1228" s="209"/>
      <c r="K1228" s="208" t="str">
        <f>IF(Errors!$I1228=0,SourceData!$B$42,VLOOKUP(Errors!$I1228,SourceData!$A$2:$B$40,2,FALSE))</f>
        <v>Please select ERROR CODE column "I"</v>
      </c>
      <c r="L1228" s="207" t="str">
        <f>IF(Errors!$I1228=0,
    'List of Error Codes'!$E$29,
    IFERROR(VLOOKUP(Errors!$I1228, 'List of Error Codes'!D1227:I1257, 6, FALSE), 'List of Error Codes'!$E$29)
)</f>
        <v>Please select ERROR CODE column "I"</v>
      </c>
      <c r="M1228" s="209"/>
      <c r="N1228" s="209"/>
      <c r="O1228" s="209"/>
      <c r="P1228" s="209"/>
      <c r="Q1228" s="209"/>
      <c r="R1228" s="217"/>
      <c r="S1228" s="217"/>
      <c r="T1228" s="217"/>
      <c r="U1228" s="199"/>
      <c r="V1228" s="200"/>
      <c r="W1228" s="200"/>
      <c r="X1228" s="200"/>
      <c r="Y1228" s="200"/>
      <c r="Z1228" s="200"/>
      <c r="AA1228" s="201"/>
      <c r="AB1228" s="200"/>
      <c r="AC1228" s="200"/>
    </row>
    <row r="1229" ht="15.75" customHeight="1">
      <c r="A1229" s="210">
        <f t="shared" si="1"/>
        <v>1227</v>
      </c>
      <c r="B1229" s="217"/>
      <c r="C1229" s="217" t="str">
        <f>IFERROR(VLOOKUP(B1229, SourceData!$U$3:$V$190, 2, FALSE), "")</f>
        <v/>
      </c>
      <c r="D1229" s="240"/>
      <c r="E1229" s="241"/>
      <c r="F1229" s="248"/>
      <c r="G1229" s="207"/>
      <c r="H1229" s="209"/>
      <c r="I1229" s="209"/>
      <c r="J1229" s="209"/>
      <c r="K1229" s="208" t="str">
        <f>IF(Errors!$I1229=0,SourceData!$B$42,VLOOKUP(Errors!$I1229,SourceData!$A$2:$B$40,2,FALSE))</f>
        <v>Please select ERROR CODE column "I"</v>
      </c>
      <c r="L1229" s="207" t="str">
        <f>IF(Errors!$I1229=0,
    'List of Error Codes'!$E$29,
    IFERROR(VLOOKUP(Errors!$I1229, 'List of Error Codes'!D1228:I1258, 6, FALSE), 'List of Error Codes'!$E$29)
)</f>
        <v>Please select ERROR CODE column "I"</v>
      </c>
      <c r="M1229" s="209"/>
      <c r="N1229" s="209"/>
      <c r="O1229" s="209"/>
      <c r="P1229" s="209"/>
      <c r="Q1229" s="209"/>
      <c r="R1229" s="217"/>
      <c r="S1229" s="217"/>
      <c r="T1229" s="217"/>
      <c r="U1229" s="199"/>
      <c r="V1229" s="200"/>
      <c r="W1229" s="200"/>
      <c r="X1229" s="200"/>
      <c r="Y1229" s="200"/>
      <c r="Z1229" s="200"/>
      <c r="AA1229" s="201"/>
      <c r="AB1229" s="200"/>
      <c r="AC1229" s="200"/>
    </row>
    <row r="1230" ht="15.75" customHeight="1">
      <c r="A1230" s="210">
        <f t="shared" si="1"/>
        <v>1228</v>
      </c>
      <c r="B1230" s="217"/>
      <c r="C1230" s="217" t="str">
        <f>IFERROR(VLOOKUP(B1230, SourceData!$U$3:$V$190, 2, FALSE), "")</f>
        <v/>
      </c>
      <c r="D1230" s="240"/>
      <c r="E1230" s="241"/>
      <c r="F1230" s="248"/>
      <c r="G1230" s="207"/>
      <c r="H1230" s="209"/>
      <c r="I1230" s="209"/>
      <c r="J1230" s="209"/>
      <c r="K1230" s="208" t="str">
        <f>IF(Errors!$I1230=0,SourceData!$B$42,VLOOKUP(Errors!$I1230,SourceData!$A$2:$B$40,2,FALSE))</f>
        <v>Please select ERROR CODE column "I"</v>
      </c>
      <c r="L1230" s="207" t="str">
        <f>IF(Errors!$I1230=0,
    'List of Error Codes'!$E$29,
    IFERROR(VLOOKUP(Errors!$I1230, 'List of Error Codes'!D1229:I1259, 6, FALSE), 'List of Error Codes'!$E$29)
)</f>
        <v>Please select ERROR CODE column "I"</v>
      </c>
      <c r="M1230" s="209"/>
      <c r="N1230" s="209"/>
      <c r="O1230" s="209"/>
      <c r="P1230" s="209"/>
      <c r="Q1230" s="209"/>
      <c r="R1230" s="217"/>
      <c r="S1230" s="217"/>
      <c r="T1230" s="217"/>
      <c r="U1230" s="199"/>
      <c r="V1230" s="200"/>
      <c r="W1230" s="200"/>
      <c r="X1230" s="200"/>
      <c r="Y1230" s="200"/>
      <c r="Z1230" s="200"/>
      <c r="AA1230" s="201"/>
      <c r="AB1230" s="200"/>
      <c r="AC1230" s="200"/>
    </row>
    <row r="1231" ht="15.75" customHeight="1">
      <c r="A1231" s="210">
        <f t="shared" si="1"/>
        <v>1229</v>
      </c>
      <c r="B1231" s="217"/>
      <c r="C1231" s="217" t="str">
        <f>IFERROR(VLOOKUP(B1231, SourceData!$U$3:$V$190, 2, FALSE), "")</f>
        <v/>
      </c>
      <c r="D1231" s="240"/>
      <c r="E1231" s="241"/>
      <c r="F1231" s="248"/>
      <c r="G1231" s="207"/>
      <c r="H1231" s="209"/>
      <c r="I1231" s="209"/>
      <c r="J1231" s="209"/>
      <c r="K1231" s="208" t="str">
        <f>IF(Errors!$I1231=0,SourceData!$B$42,VLOOKUP(Errors!$I1231,SourceData!$A$2:$B$40,2,FALSE))</f>
        <v>Please select ERROR CODE column "I"</v>
      </c>
      <c r="L1231" s="207" t="str">
        <f>IF(Errors!$I1231=0,
    'List of Error Codes'!$E$29,
    IFERROR(VLOOKUP(Errors!$I1231, 'List of Error Codes'!D1230:I1260, 6, FALSE), 'List of Error Codes'!$E$29)
)</f>
        <v>Please select ERROR CODE column "I"</v>
      </c>
      <c r="M1231" s="209"/>
      <c r="N1231" s="209"/>
      <c r="O1231" s="209"/>
      <c r="P1231" s="209"/>
      <c r="Q1231" s="209"/>
      <c r="R1231" s="217"/>
      <c r="S1231" s="217"/>
      <c r="T1231" s="217"/>
      <c r="U1231" s="199"/>
      <c r="V1231" s="200"/>
      <c r="W1231" s="200"/>
      <c r="X1231" s="200"/>
      <c r="Y1231" s="200"/>
      <c r="Z1231" s="200"/>
      <c r="AA1231" s="201"/>
      <c r="AB1231" s="200"/>
      <c r="AC1231" s="200"/>
    </row>
    <row r="1232" ht="15.75" customHeight="1">
      <c r="A1232" s="210">
        <f t="shared" si="1"/>
        <v>1230</v>
      </c>
      <c r="B1232" s="217"/>
      <c r="C1232" s="217" t="str">
        <f>IFERROR(VLOOKUP(B1232, SourceData!$U$3:$V$190, 2, FALSE), "")</f>
        <v/>
      </c>
      <c r="D1232" s="240"/>
      <c r="E1232" s="241"/>
      <c r="F1232" s="248"/>
      <c r="G1232" s="207"/>
      <c r="H1232" s="209"/>
      <c r="I1232" s="209"/>
      <c r="J1232" s="209"/>
      <c r="K1232" s="208" t="str">
        <f>IF(Errors!$I1232=0,SourceData!$B$42,VLOOKUP(Errors!$I1232,SourceData!$A$2:$B$40,2,FALSE))</f>
        <v>Please select ERROR CODE column "I"</v>
      </c>
      <c r="L1232" s="207" t="str">
        <f>IF(Errors!$I1232=0,
    'List of Error Codes'!$E$29,
    IFERROR(VLOOKUP(Errors!$I1232, 'List of Error Codes'!D1231:I1261, 6, FALSE), 'List of Error Codes'!$E$29)
)</f>
        <v>Please select ERROR CODE column "I"</v>
      </c>
      <c r="M1232" s="209"/>
      <c r="N1232" s="209"/>
      <c r="O1232" s="209"/>
      <c r="P1232" s="209"/>
      <c r="Q1232" s="209"/>
      <c r="R1232" s="217"/>
      <c r="S1232" s="217"/>
      <c r="T1232" s="217"/>
      <c r="U1232" s="199"/>
      <c r="V1232" s="200"/>
      <c r="W1232" s="200"/>
      <c r="X1232" s="200"/>
      <c r="Y1232" s="200"/>
      <c r="Z1232" s="200"/>
      <c r="AA1232" s="201"/>
      <c r="AB1232" s="200"/>
      <c r="AC1232" s="200"/>
    </row>
    <row r="1233" ht="15.75" customHeight="1">
      <c r="A1233" s="210">
        <f t="shared" si="1"/>
        <v>1231</v>
      </c>
      <c r="B1233" s="217"/>
      <c r="C1233" s="217" t="str">
        <f>IFERROR(VLOOKUP(B1233, SourceData!$U$3:$V$190, 2, FALSE), "")</f>
        <v/>
      </c>
      <c r="D1233" s="240"/>
      <c r="E1233" s="241"/>
      <c r="F1233" s="248"/>
      <c r="G1233" s="207"/>
      <c r="H1233" s="209"/>
      <c r="I1233" s="209"/>
      <c r="J1233" s="209"/>
      <c r="K1233" s="208" t="str">
        <f>IF(Errors!$I1233=0,SourceData!$B$42,VLOOKUP(Errors!$I1233,SourceData!$A$2:$B$40,2,FALSE))</f>
        <v>Please select ERROR CODE column "I"</v>
      </c>
      <c r="L1233" s="207" t="str">
        <f>IF(Errors!$I1233=0,
    'List of Error Codes'!$E$29,
    IFERROR(VLOOKUP(Errors!$I1233, 'List of Error Codes'!D1232:I1262, 6, FALSE), 'List of Error Codes'!$E$29)
)</f>
        <v>Please select ERROR CODE column "I"</v>
      </c>
      <c r="M1233" s="209"/>
      <c r="N1233" s="209"/>
      <c r="O1233" s="209"/>
      <c r="P1233" s="209"/>
      <c r="Q1233" s="209"/>
      <c r="R1233" s="217"/>
      <c r="S1233" s="217"/>
      <c r="T1233" s="217"/>
      <c r="U1233" s="199"/>
      <c r="V1233" s="200"/>
      <c r="W1233" s="200"/>
      <c r="X1233" s="200"/>
      <c r="Y1233" s="200"/>
      <c r="Z1233" s="200"/>
      <c r="AA1233" s="201"/>
      <c r="AB1233" s="200"/>
      <c r="AC1233" s="200"/>
    </row>
    <row r="1234" ht="15.75" customHeight="1">
      <c r="A1234" s="210">
        <f t="shared" si="1"/>
        <v>1232</v>
      </c>
      <c r="B1234" s="217"/>
      <c r="C1234" s="217" t="str">
        <f>IFERROR(VLOOKUP(B1234, SourceData!$U$3:$V$190, 2, FALSE), "")</f>
        <v/>
      </c>
      <c r="D1234" s="240"/>
      <c r="E1234" s="241"/>
      <c r="F1234" s="248"/>
      <c r="G1234" s="207"/>
      <c r="H1234" s="209"/>
      <c r="I1234" s="209"/>
      <c r="J1234" s="209"/>
      <c r="K1234" s="208" t="str">
        <f>IF(Errors!$I1234=0,SourceData!$B$42,VLOOKUP(Errors!$I1234,SourceData!$A$2:$B$40,2,FALSE))</f>
        <v>Please select ERROR CODE column "I"</v>
      </c>
      <c r="L1234" s="207" t="str">
        <f>IF(Errors!$I1234=0,
    'List of Error Codes'!$E$29,
    IFERROR(VLOOKUP(Errors!$I1234, 'List of Error Codes'!D1233:I1263, 6, FALSE), 'List of Error Codes'!$E$29)
)</f>
        <v>Please select ERROR CODE column "I"</v>
      </c>
      <c r="M1234" s="209"/>
      <c r="N1234" s="209"/>
      <c r="O1234" s="209"/>
      <c r="P1234" s="209"/>
      <c r="Q1234" s="209"/>
      <c r="R1234" s="217"/>
      <c r="S1234" s="217"/>
      <c r="T1234" s="217"/>
      <c r="U1234" s="199"/>
      <c r="V1234" s="200"/>
      <c r="W1234" s="200"/>
      <c r="X1234" s="200"/>
      <c r="Y1234" s="200"/>
      <c r="Z1234" s="200"/>
      <c r="AA1234" s="201"/>
      <c r="AB1234" s="200"/>
      <c r="AC1234" s="200"/>
    </row>
    <row r="1235" ht="15.75" customHeight="1">
      <c r="A1235" s="210">
        <f t="shared" si="1"/>
        <v>1233</v>
      </c>
      <c r="B1235" s="217"/>
      <c r="C1235" s="217" t="str">
        <f>IFERROR(VLOOKUP(B1235, SourceData!$U$3:$V$190, 2, FALSE), "")</f>
        <v/>
      </c>
      <c r="D1235" s="240"/>
      <c r="E1235" s="241"/>
      <c r="F1235" s="248"/>
      <c r="G1235" s="207"/>
      <c r="H1235" s="209"/>
      <c r="I1235" s="209"/>
      <c r="J1235" s="209"/>
      <c r="K1235" s="208" t="str">
        <f>IF(Errors!$I1235=0,SourceData!$B$42,VLOOKUP(Errors!$I1235,SourceData!$A$2:$B$40,2,FALSE))</f>
        <v>Please select ERROR CODE column "I"</v>
      </c>
      <c r="L1235" s="207" t="str">
        <f>IF(Errors!$I1235=0,
    'List of Error Codes'!$E$29,
    IFERROR(VLOOKUP(Errors!$I1235, 'List of Error Codes'!D1234:I1264, 6, FALSE), 'List of Error Codes'!$E$29)
)</f>
        <v>Please select ERROR CODE column "I"</v>
      </c>
      <c r="M1235" s="209"/>
      <c r="N1235" s="209"/>
      <c r="O1235" s="209"/>
      <c r="P1235" s="209"/>
      <c r="Q1235" s="209"/>
      <c r="R1235" s="217"/>
      <c r="S1235" s="217"/>
      <c r="T1235" s="217"/>
      <c r="U1235" s="199"/>
      <c r="V1235" s="200"/>
      <c r="W1235" s="200"/>
      <c r="X1235" s="200"/>
      <c r="Y1235" s="200"/>
      <c r="Z1235" s="200"/>
      <c r="AA1235" s="201"/>
      <c r="AB1235" s="200"/>
      <c r="AC1235" s="200"/>
    </row>
    <row r="1236" ht="15.75" customHeight="1">
      <c r="A1236" s="210">
        <f t="shared" si="1"/>
        <v>1234</v>
      </c>
      <c r="B1236" s="217"/>
      <c r="C1236" s="217" t="str">
        <f>IFERROR(VLOOKUP(B1236, SourceData!$U$3:$V$190, 2, FALSE), "")</f>
        <v/>
      </c>
      <c r="D1236" s="240"/>
      <c r="E1236" s="241"/>
      <c r="F1236" s="248"/>
      <c r="G1236" s="207"/>
      <c r="H1236" s="209"/>
      <c r="I1236" s="209"/>
      <c r="J1236" s="209"/>
      <c r="K1236" s="208" t="str">
        <f>IF(Errors!$I1236=0,SourceData!$B$42,VLOOKUP(Errors!$I1236,SourceData!$A$2:$B$40,2,FALSE))</f>
        <v>Please select ERROR CODE column "I"</v>
      </c>
      <c r="L1236" s="207" t="str">
        <f>IF(Errors!$I1236=0,
    'List of Error Codes'!$E$29,
    IFERROR(VLOOKUP(Errors!$I1236, 'List of Error Codes'!D1235:I1265, 6, FALSE), 'List of Error Codes'!$E$29)
)</f>
        <v>Please select ERROR CODE column "I"</v>
      </c>
      <c r="M1236" s="209"/>
      <c r="N1236" s="209"/>
      <c r="O1236" s="209"/>
      <c r="P1236" s="209"/>
      <c r="Q1236" s="209"/>
      <c r="R1236" s="217"/>
      <c r="S1236" s="217"/>
      <c r="T1236" s="217"/>
      <c r="U1236" s="199"/>
      <c r="V1236" s="200"/>
      <c r="W1236" s="200"/>
      <c r="X1236" s="200"/>
      <c r="Y1236" s="200"/>
      <c r="Z1236" s="200"/>
      <c r="AA1236" s="201"/>
      <c r="AB1236" s="200"/>
      <c r="AC1236" s="200"/>
    </row>
    <row r="1237" ht="15.75" customHeight="1">
      <c r="A1237" s="210">
        <f t="shared" si="1"/>
        <v>1235</v>
      </c>
      <c r="B1237" s="217"/>
      <c r="C1237" s="217" t="str">
        <f>IFERROR(VLOOKUP(B1237, SourceData!$U$3:$V$190, 2, FALSE), "")</f>
        <v/>
      </c>
      <c r="D1237" s="240"/>
      <c r="E1237" s="241"/>
      <c r="F1237" s="248"/>
      <c r="G1237" s="207"/>
      <c r="H1237" s="209"/>
      <c r="I1237" s="209"/>
      <c r="J1237" s="209"/>
      <c r="K1237" s="208" t="str">
        <f>IF(Errors!$I1237=0,SourceData!$B$42,VLOOKUP(Errors!$I1237,SourceData!$A$2:$B$40,2,FALSE))</f>
        <v>Please select ERROR CODE column "I"</v>
      </c>
      <c r="L1237" s="207" t="str">
        <f>IF(Errors!$I1237=0,
    'List of Error Codes'!$E$29,
    IFERROR(VLOOKUP(Errors!$I1237, 'List of Error Codes'!D1236:I1266, 6, FALSE), 'List of Error Codes'!$E$29)
)</f>
        <v>Please select ERROR CODE column "I"</v>
      </c>
      <c r="M1237" s="209"/>
      <c r="N1237" s="209"/>
      <c r="O1237" s="209"/>
      <c r="P1237" s="209"/>
      <c r="Q1237" s="209"/>
      <c r="R1237" s="217"/>
      <c r="S1237" s="217"/>
      <c r="T1237" s="217"/>
      <c r="U1237" s="199"/>
      <c r="V1237" s="200"/>
      <c r="W1237" s="200"/>
      <c r="X1237" s="200"/>
      <c r="Y1237" s="200"/>
      <c r="Z1237" s="200"/>
      <c r="AA1237" s="201"/>
      <c r="AB1237" s="200"/>
      <c r="AC1237" s="200"/>
    </row>
    <row r="1238" ht="16.5" customHeight="1">
      <c r="A1238" s="210">
        <f t="shared" si="1"/>
        <v>1236</v>
      </c>
      <c r="B1238" s="217"/>
      <c r="C1238" s="217" t="str">
        <f>IFERROR(VLOOKUP(B1238, SourceData!$U$3:$V$190, 2, FALSE), "")</f>
        <v/>
      </c>
      <c r="D1238" s="240"/>
      <c r="E1238" s="241"/>
      <c r="F1238" s="248"/>
      <c r="G1238" s="207"/>
      <c r="H1238" s="209"/>
      <c r="I1238" s="209"/>
      <c r="J1238" s="209"/>
      <c r="K1238" s="208" t="str">
        <f>IF(Errors!$I1238=0,SourceData!$B$42,VLOOKUP(Errors!$I1238,SourceData!$A$2:$B$40,2,FALSE))</f>
        <v>Please select ERROR CODE column "I"</v>
      </c>
      <c r="L1238" s="207" t="str">
        <f>IF(Errors!$I1238=0,
    'List of Error Codes'!$E$29,
    IFERROR(VLOOKUP(Errors!$I1238, 'List of Error Codes'!D1237:I1267, 6, FALSE), 'List of Error Codes'!$E$29)
)</f>
        <v>Please select ERROR CODE column "I"</v>
      </c>
      <c r="M1238" s="209"/>
      <c r="N1238" s="209"/>
      <c r="O1238" s="209"/>
      <c r="P1238" s="209"/>
      <c r="Q1238" s="209"/>
      <c r="R1238" s="217"/>
      <c r="S1238" s="217"/>
      <c r="T1238" s="217"/>
      <c r="U1238" s="199"/>
      <c r="V1238" s="200"/>
      <c r="W1238" s="200"/>
      <c r="X1238" s="200"/>
      <c r="Y1238" s="200"/>
      <c r="Z1238" s="200"/>
      <c r="AA1238" s="201"/>
      <c r="AB1238" s="200"/>
      <c r="AC1238" s="200"/>
    </row>
    <row r="1239" ht="15.75" customHeight="1">
      <c r="A1239" s="210">
        <f t="shared" si="1"/>
        <v>1237</v>
      </c>
      <c r="B1239" s="217"/>
      <c r="C1239" s="217" t="str">
        <f>IFERROR(VLOOKUP(B1239, SourceData!$U$3:$V$190, 2, FALSE), "")</f>
        <v/>
      </c>
      <c r="D1239" s="240"/>
      <c r="E1239" s="241"/>
      <c r="F1239" s="248"/>
      <c r="G1239" s="207"/>
      <c r="H1239" s="209"/>
      <c r="I1239" s="209"/>
      <c r="J1239" s="209"/>
      <c r="K1239" s="208" t="str">
        <f>IF(Errors!$I1239=0,SourceData!$B$42,VLOOKUP(Errors!$I1239,SourceData!$A$2:$B$40,2,FALSE))</f>
        <v>Please select ERROR CODE column "I"</v>
      </c>
      <c r="L1239" s="207" t="str">
        <f>IF(Errors!$I1239=0,
    'List of Error Codes'!$E$29,
    IFERROR(VLOOKUP(Errors!$I1239, 'List of Error Codes'!D1238:I1268, 6, FALSE), 'List of Error Codes'!$E$29)
)</f>
        <v>Please select ERROR CODE column "I"</v>
      </c>
      <c r="M1239" s="209"/>
      <c r="N1239" s="209"/>
      <c r="O1239" s="209"/>
      <c r="P1239" s="209"/>
      <c r="Q1239" s="209"/>
      <c r="R1239" s="217"/>
      <c r="S1239" s="217"/>
      <c r="T1239" s="217"/>
      <c r="U1239" s="199"/>
      <c r="V1239" s="200"/>
      <c r="W1239" s="200"/>
      <c r="X1239" s="200"/>
      <c r="Y1239" s="200"/>
      <c r="Z1239" s="200"/>
      <c r="AA1239" s="201"/>
      <c r="AB1239" s="200"/>
      <c r="AC1239" s="200"/>
    </row>
    <row r="1240" ht="15.75" customHeight="1">
      <c r="A1240" s="210">
        <f t="shared" si="1"/>
        <v>1238</v>
      </c>
      <c r="B1240" s="217"/>
      <c r="C1240" s="217" t="str">
        <f>IFERROR(VLOOKUP(B1240, SourceData!$U$3:$V$190, 2, FALSE), "")</f>
        <v/>
      </c>
      <c r="D1240" s="240"/>
      <c r="E1240" s="241"/>
      <c r="F1240" s="248"/>
      <c r="G1240" s="207"/>
      <c r="H1240" s="209"/>
      <c r="I1240" s="209"/>
      <c r="J1240" s="209"/>
      <c r="K1240" s="208" t="str">
        <f>IF(Errors!$I1240=0,SourceData!$B$42,VLOOKUP(Errors!$I1240,SourceData!$A$2:$B$40,2,FALSE))</f>
        <v>Please select ERROR CODE column "I"</v>
      </c>
      <c r="L1240" s="207" t="str">
        <f>IF(Errors!$I1240=0,
    'List of Error Codes'!$E$29,
    IFERROR(VLOOKUP(Errors!$I1240, 'List of Error Codes'!D1239:I1269, 6, FALSE), 'List of Error Codes'!$E$29)
)</f>
        <v>Please select ERROR CODE column "I"</v>
      </c>
      <c r="M1240" s="209"/>
      <c r="N1240" s="209"/>
      <c r="O1240" s="209"/>
      <c r="P1240" s="209"/>
      <c r="Q1240" s="209"/>
      <c r="R1240" s="217"/>
      <c r="S1240" s="217"/>
      <c r="T1240" s="217"/>
      <c r="U1240" s="199"/>
      <c r="V1240" s="200"/>
      <c r="W1240" s="200"/>
      <c r="X1240" s="200"/>
      <c r="Y1240" s="200"/>
      <c r="Z1240" s="200"/>
      <c r="AA1240" s="201"/>
      <c r="AB1240" s="200"/>
      <c r="AC1240" s="200"/>
    </row>
    <row r="1241" ht="15.75" customHeight="1">
      <c r="A1241" s="210">
        <f t="shared" si="1"/>
        <v>1239</v>
      </c>
      <c r="B1241" s="217"/>
      <c r="C1241" s="217" t="str">
        <f>IFERROR(VLOOKUP(B1241, SourceData!$U$3:$V$190, 2, FALSE), "")</f>
        <v/>
      </c>
      <c r="D1241" s="240"/>
      <c r="E1241" s="241"/>
      <c r="F1241" s="248"/>
      <c r="G1241" s="207"/>
      <c r="H1241" s="209"/>
      <c r="I1241" s="209"/>
      <c r="J1241" s="209"/>
      <c r="K1241" s="208" t="str">
        <f>IF(Errors!$I1241=0,SourceData!$B$42,VLOOKUP(Errors!$I1241,SourceData!$A$2:$B$40,2,FALSE))</f>
        <v>Please select ERROR CODE column "I"</v>
      </c>
      <c r="L1241" s="207" t="str">
        <f>IF(Errors!$I1241=0,
    'List of Error Codes'!$E$29,
    IFERROR(VLOOKUP(Errors!$I1241, 'List of Error Codes'!D1240:I1270, 6, FALSE), 'List of Error Codes'!$E$29)
)</f>
        <v>Please select ERROR CODE column "I"</v>
      </c>
      <c r="M1241" s="209"/>
      <c r="N1241" s="209"/>
      <c r="O1241" s="209"/>
      <c r="P1241" s="209"/>
      <c r="Q1241" s="209"/>
      <c r="R1241" s="217"/>
      <c r="S1241" s="217"/>
      <c r="T1241" s="217"/>
      <c r="U1241" s="199"/>
      <c r="V1241" s="200"/>
      <c r="W1241" s="200"/>
      <c r="X1241" s="200"/>
      <c r="Y1241" s="200"/>
      <c r="Z1241" s="200"/>
      <c r="AA1241" s="201"/>
      <c r="AB1241" s="200"/>
      <c r="AC1241" s="200"/>
    </row>
    <row r="1242" ht="15.75" customHeight="1">
      <c r="A1242" s="210">
        <f t="shared" si="1"/>
        <v>1240</v>
      </c>
      <c r="B1242" s="217"/>
      <c r="C1242" s="217" t="str">
        <f>IFERROR(VLOOKUP(B1242, SourceData!$U$3:$V$190, 2, FALSE), "")</f>
        <v/>
      </c>
      <c r="D1242" s="240"/>
      <c r="E1242" s="241"/>
      <c r="F1242" s="248"/>
      <c r="G1242" s="207"/>
      <c r="H1242" s="209"/>
      <c r="I1242" s="209"/>
      <c r="J1242" s="209"/>
      <c r="K1242" s="208" t="str">
        <f>IF(Errors!$I1242=0,SourceData!$B$42,VLOOKUP(Errors!$I1242,SourceData!$A$2:$B$40,2,FALSE))</f>
        <v>Please select ERROR CODE column "I"</v>
      </c>
      <c r="L1242" s="207" t="str">
        <f>IF(Errors!$I1242=0,
    'List of Error Codes'!$E$29,
    IFERROR(VLOOKUP(Errors!$I1242, 'List of Error Codes'!D1241:I1271, 6, FALSE), 'List of Error Codes'!$E$29)
)</f>
        <v>Please select ERROR CODE column "I"</v>
      </c>
      <c r="M1242" s="209"/>
      <c r="N1242" s="209"/>
      <c r="O1242" s="209"/>
      <c r="P1242" s="209"/>
      <c r="Q1242" s="209"/>
      <c r="R1242" s="217"/>
      <c r="S1242" s="217"/>
      <c r="T1242" s="217"/>
      <c r="U1242" s="199"/>
      <c r="V1242" s="200"/>
      <c r="W1242" s="200"/>
      <c r="X1242" s="200"/>
      <c r="Y1242" s="200"/>
      <c r="Z1242" s="200"/>
      <c r="AA1242" s="201"/>
      <c r="AB1242" s="200"/>
      <c r="AC1242" s="200"/>
    </row>
    <row r="1243" ht="15.75" customHeight="1">
      <c r="A1243" s="210">
        <f t="shared" si="1"/>
        <v>1241</v>
      </c>
      <c r="B1243" s="217"/>
      <c r="C1243" s="217" t="str">
        <f>IFERROR(VLOOKUP(B1243, SourceData!$U$3:$V$190, 2, FALSE), "")</f>
        <v/>
      </c>
      <c r="D1243" s="240"/>
      <c r="E1243" s="241"/>
      <c r="F1243" s="248"/>
      <c r="G1243" s="207"/>
      <c r="H1243" s="209"/>
      <c r="I1243" s="209"/>
      <c r="J1243" s="209"/>
      <c r="K1243" s="208" t="str">
        <f>IF(Errors!$I1243=0,SourceData!$B$42,VLOOKUP(Errors!$I1243,SourceData!$A$2:$B$40,2,FALSE))</f>
        <v>Please select ERROR CODE column "I"</v>
      </c>
      <c r="L1243" s="207" t="str">
        <f>IF(Errors!$I1243=0,
    'List of Error Codes'!$E$29,
    IFERROR(VLOOKUP(Errors!$I1243, 'List of Error Codes'!D1242:I1272, 6, FALSE), 'List of Error Codes'!$E$29)
)</f>
        <v>Please select ERROR CODE column "I"</v>
      </c>
      <c r="M1243" s="209"/>
      <c r="N1243" s="209"/>
      <c r="O1243" s="209"/>
      <c r="P1243" s="209"/>
      <c r="Q1243" s="209"/>
      <c r="R1243" s="217"/>
      <c r="S1243" s="217"/>
      <c r="T1243" s="217"/>
      <c r="U1243" s="199"/>
      <c r="V1243" s="200"/>
      <c r="W1243" s="200"/>
      <c r="X1243" s="200"/>
      <c r="Y1243" s="200"/>
      <c r="Z1243" s="200"/>
      <c r="AA1243" s="201"/>
      <c r="AB1243" s="200"/>
      <c r="AC1243" s="200"/>
    </row>
    <row r="1244" ht="15.75" customHeight="1">
      <c r="A1244" s="210">
        <f t="shared" si="1"/>
        <v>1242</v>
      </c>
      <c r="B1244" s="217"/>
      <c r="C1244" s="217" t="str">
        <f>IFERROR(VLOOKUP(B1244, SourceData!$U$3:$V$190, 2, FALSE), "")</f>
        <v/>
      </c>
      <c r="D1244" s="240"/>
      <c r="E1244" s="241"/>
      <c r="F1244" s="248"/>
      <c r="G1244" s="207"/>
      <c r="H1244" s="209"/>
      <c r="I1244" s="209"/>
      <c r="J1244" s="209"/>
      <c r="K1244" s="208" t="str">
        <f>IF(Errors!$I1244=0,SourceData!$B$42,VLOOKUP(Errors!$I1244,SourceData!$A$2:$B$40,2,FALSE))</f>
        <v>Please select ERROR CODE column "I"</v>
      </c>
      <c r="L1244" s="207" t="str">
        <f>IF(Errors!$I1244=0,
    'List of Error Codes'!$E$29,
    IFERROR(VLOOKUP(Errors!$I1244, 'List of Error Codes'!D1243:I1273, 6, FALSE), 'List of Error Codes'!$E$29)
)</f>
        <v>Please select ERROR CODE column "I"</v>
      </c>
      <c r="M1244" s="209"/>
      <c r="N1244" s="209"/>
      <c r="O1244" s="209"/>
      <c r="P1244" s="209"/>
      <c r="Q1244" s="209"/>
      <c r="R1244" s="217"/>
      <c r="S1244" s="217"/>
      <c r="T1244" s="217"/>
      <c r="U1244" s="199"/>
      <c r="V1244" s="200"/>
      <c r="W1244" s="200"/>
      <c r="X1244" s="200"/>
      <c r="Y1244" s="200"/>
      <c r="Z1244" s="200"/>
      <c r="AA1244" s="201"/>
      <c r="AB1244" s="200"/>
      <c r="AC1244" s="200"/>
    </row>
    <row r="1245" ht="15.75" customHeight="1">
      <c r="A1245" s="210">
        <f t="shared" si="1"/>
        <v>1243</v>
      </c>
      <c r="B1245" s="217"/>
      <c r="C1245" s="217" t="str">
        <f>IFERROR(VLOOKUP(B1245, SourceData!$U$3:$V$190, 2, FALSE), "")</f>
        <v/>
      </c>
      <c r="D1245" s="240"/>
      <c r="E1245" s="241"/>
      <c r="F1245" s="248"/>
      <c r="G1245" s="207"/>
      <c r="H1245" s="209"/>
      <c r="I1245" s="209"/>
      <c r="J1245" s="209"/>
      <c r="K1245" s="208" t="str">
        <f>IF(Errors!$I1245=0,SourceData!$B$42,VLOOKUP(Errors!$I1245,SourceData!$A$2:$B$40,2,FALSE))</f>
        <v>Please select ERROR CODE column "I"</v>
      </c>
      <c r="L1245" s="207" t="str">
        <f>IF(Errors!$I1245=0,
    'List of Error Codes'!$E$29,
    IFERROR(VLOOKUP(Errors!$I1245, 'List of Error Codes'!D1244:I1274, 6, FALSE), 'List of Error Codes'!$E$29)
)</f>
        <v>Please select ERROR CODE column "I"</v>
      </c>
      <c r="M1245" s="209"/>
      <c r="N1245" s="209"/>
      <c r="O1245" s="209"/>
      <c r="P1245" s="209"/>
      <c r="Q1245" s="209"/>
      <c r="R1245" s="217"/>
      <c r="S1245" s="217"/>
      <c r="T1245" s="217"/>
      <c r="U1245" s="199"/>
      <c r="V1245" s="200"/>
      <c r="W1245" s="200"/>
      <c r="X1245" s="200"/>
      <c r="Y1245" s="200"/>
      <c r="Z1245" s="200"/>
      <c r="AA1245" s="201"/>
      <c r="AB1245" s="200"/>
      <c r="AC1245" s="200"/>
    </row>
    <row r="1246" ht="15.75" customHeight="1">
      <c r="A1246" s="210">
        <f t="shared" si="1"/>
        <v>1244</v>
      </c>
      <c r="B1246" s="217"/>
      <c r="C1246" s="217" t="str">
        <f>IFERROR(VLOOKUP(B1246, SourceData!$U$3:$V$190, 2, FALSE), "")</f>
        <v/>
      </c>
      <c r="D1246" s="240"/>
      <c r="E1246" s="241"/>
      <c r="F1246" s="248"/>
      <c r="G1246" s="207"/>
      <c r="H1246" s="209"/>
      <c r="I1246" s="209"/>
      <c r="J1246" s="209"/>
      <c r="K1246" s="208" t="str">
        <f>IF(Errors!$I1246=0,SourceData!$B$42,VLOOKUP(Errors!$I1246,SourceData!$A$2:$B$40,2,FALSE))</f>
        <v>Please select ERROR CODE column "I"</v>
      </c>
      <c r="L1246" s="207" t="str">
        <f>IF(Errors!$I1246=0,
    'List of Error Codes'!$E$29,
    IFERROR(VLOOKUP(Errors!$I1246, 'List of Error Codes'!D1245:I1275, 6, FALSE), 'List of Error Codes'!$E$29)
)</f>
        <v>Please select ERROR CODE column "I"</v>
      </c>
      <c r="M1246" s="209"/>
      <c r="N1246" s="209"/>
      <c r="O1246" s="209"/>
      <c r="P1246" s="209"/>
      <c r="Q1246" s="209"/>
      <c r="R1246" s="217"/>
      <c r="S1246" s="217"/>
      <c r="T1246" s="217"/>
      <c r="U1246" s="199"/>
      <c r="V1246" s="200"/>
      <c r="W1246" s="200"/>
      <c r="X1246" s="200"/>
      <c r="Y1246" s="200"/>
      <c r="Z1246" s="200"/>
      <c r="AA1246" s="201"/>
      <c r="AB1246" s="200"/>
      <c r="AC1246" s="200"/>
    </row>
    <row r="1247" ht="15.75" customHeight="1">
      <c r="A1247" s="210">
        <f t="shared" si="1"/>
        <v>1245</v>
      </c>
      <c r="B1247" s="217"/>
      <c r="C1247" s="217" t="str">
        <f>IFERROR(VLOOKUP(B1247, SourceData!$U$3:$V$190, 2, FALSE), "")</f>
        <v/>
      </c>
      <c r="D1247" s="240"/>
      <c r="E1247" s="241"/>
      <c r="F1247" s="248"/>
      <c r="G1247" s="207"/>
      <c r="H1247" s="209"/>
      <c r="I1247" s="209"/>
      <c r="J1247" s="209"/>
      <c r="K1247" s="208" t="str">
        <f>IF(Errors!$I1247=0,SourceData!$B$42,VLOOKUP(Errors!$I1247,SourceData!$A$2:$B$40,2,FALSE))</f>
        <v>Please select ERROR CODE column "I"</v>
      </c>
      <c r="L1247" s="207" t="str">
        <f>IF(Errors!$I1247=0,
    'List of Error Codes'!$E$29,
    IFERROR(VLOOKUP(Errors!$I1247, 'List of Error Codes'!D1246:I1276, 6, FALSE), 'List of Error Codes'!$E$29)
)</f>
        <v>Please select ERROR CODE column "I"</v>
      </c>
      <c r="M1247" s="209"/>
      <c r="N1247" s="209"/>
      <c r="O1247" s="209"/>
      <c r="P1247" s="209"/>
      <c r="Q1247" s="209"/>
      <c r="R1247" s="217"/>
      <c r="S1247" s="217"/>
      <c r="T1247" s="217"/>
      <c r="U1247" s="199"/>
      <c r="V1247" s="200"/>
      <c r="W1247" s="200"/>
      <c r="X1247" s="200"/>
      <c r="Y1247" s="200"/>
      <c r="Z1247" s="200"/>
      <c r="AA1247" s="201"/>
      <c r="AB1247" s="200"/>
      <c r="AC1247" s="200"/>
    </row>
    <row r="1248" ht="15.75" customHeight="1">
      <c r="A1248" s="210">
        <f t="shared" si="1"/>
        <v>1246</v>
      </c>
      <c r="B1248" s="217"/>
      <c r="C1248" s="217" t="str">
        <f>IFERROR(VLOOKUP(B1248, SourceData!$U$3:$V$190, 2, FALSE), "")</f>
        <v/>
      </c>
      <c r="D1248" s="240"/>
      <c r="E1248" s="241"/>
      <c r="F1248" s="248"/>
      <c r="G1248" s="207"/>
      <c r="H1248" s="209"/>
      <c r="I1248" s="209"/>
      <c r="J1248" s="209"/>
      <c r="K1248" s="208" t="str">
        <f>IF(Errors!$I1248=0,SourceData!$B$42,VLOOKUP(Errors!$I1248,SourceData!$A$2:$B$40,2,FALSE))</f>
        <v>Please select ERROR CODE column "I"</v>
      </c>
      <c r="L1248" s="207" t="str">
        <f>IF(Errors!$I1248=0,
    'List of Error Codes'!$E$29,
    IFERROR(VLOOKUP(Errors!$I1248, 'List of Error Codes'!D1247:I1277, 6, FALSE), 'List of Error Codes'!$E$29)
)</f>
        <v>Please select ERROR CODE column "I"</v>
      </c>
      <c r="M1248" s="209"/>
      <c r="N1248" s="209"/>
      <c r="O1248" s="209"/>
      <c r="P1248" s="209"/>
      <c r="Q1248" s="209"/>
      <c r="R1248" s="217"/>
      <c r="S1248" s="217"/>
      <c r="T1248" s="217"/>
      <c r="U1248" s="199"/>
      <c r="V1248" s="200"/>
      <c r="W1248" s="200"/>
      <c r="X1248" s="200"/>
      <c r="Y1248" s="200"/>
      <c r="Z1248" s="200"/>
      <c r="AA1248" s="201"/>
      <c r="AB1248" s="200"/>
      <c r="AC1248" s="200"/>
    </row>
    <row r="1249" ht="15.75" customHeight="1">
      <c r="A1249" s="210">
        <f t="shared" si="1"/>
        <v>1247</v>
      </c>
      <c r="B1249" s="217"/>
      <c r="C1249" s="217" t="str">
        <f>IFERROR(VLOOKUP(B1249, SourceData!$U$3:$V$190, 2, FALSE), "")</f>
        <v/>
      </c>
      <c r="D1249" s="240"/>
      <c r="E1249" s="241"/>
      <c r="F1249" s="248"/>
      <c r="G1249" s="207"/>
      <c r="H1249" s="209"/>
      <c r="I1249" s="209"/>
      <c r="J1249" s="209"/>
      <c r="K1249" s="208" t="str">
        <f>IF(Errors!$I1249=0,SourceData!$B$42,VLOOKUP(Errors!$I1249,SourceData!$A$2:$B$40,2,FALSE))</f>
        <v>Please select ERROR CODE column "I"</v>
      </c>
      <c r="L1249" s="207" t="str">
        <f>IF(Errors!$I1249=0,
    'List of Error Codes'!$E$29,
    IFERROR(VLOOKUP(Errors!$I1249, 'List of Error Codes'!D1248:I1278, 6, FALSE), 'List of Error Codes'!$E$29)
)</f>
        <v>Please select ERROR CODE column "I"</v>
      </c>
      <c r="M1249" s="209"/>
      <c r="N1249" s="209"/>
      <c r="O1249" s="209"/>
      <c r="P1249" s="209"/>
      <c r="Q1249" s="209"/>
      <c r="R1249" s="217"/>
      <c r="S1249" s="217"/>
      <c r="T1249" s="217"/>
      <c r="U1249" s="199"/>
      <c r="V1249" s="200"/>
      <c r="W1249" s="200"/>
      <c r="X1249" s="200"/>
      <c r="Y1249" s="200"/>
      <c r="Z1249" s="200"/>
      <c r="AA1249" s="201"/>
      <c r="AB1249" s="200"/>
      <c r="AC1249" s="200"/>
    </row>
    <row r="1250" ht="15.75" customHeight="1">
      <c r="A1250" s="210">
        <f t="shared" si="1"/>
        <v>1248</v>
      </c>
      <c r="B1250" s="217"/>
      <c r="C1250" s="217" t="str">
        <f>IFERROR(VLOOKUP(B1250, SourceData!$U$3:$V$190, 2, FALSE), "")</f>
        <v/>
      </c>
      <c r="D1250" s="240"/>
      <c r="E1250" s="241"/>
      <c r="F1250" s="248"/>
      <c r="G1250" s="207"/>
      <c r="H1250" s="209"/>
      <c r="I1250" s="209"/>
      <c r="J1250" s="209"/>
      <c r="K1250" s="208" t="str">
        <f>IF(Errors!$I1250=0,SourceData!$B$42,VLOOKUP(Errors!$I1250,SourceData!$A$2:$B$40,2,FALSE))</f>
        <v>Please select ERROR CODE column "I"</v>
      </c>
      <c r="L1250" s="207" t="str">
        <f>IF(Errors!$I1250=0,
    'List of Error Codes'!$E$29,
    IFERROR(VLOOKUP(Errors!$I1250, 'List of Error Codes'!D1249:I1279, 6, FALSE), 'List of Error Codes'!$E$29)
)</f>
        <v>Please select ERROR CODE column "I"</v>
      </c>
      <c r="M1250" s="209"/>
      <c r="N1250" s="209"/>
      <c r="O1250" s="209"/>
      <c r="P1250" s="209"/>
      <c r="Q1250" s="209"/>
      <c r="R1250" s="217"/>
      <c r="S1250" s="217"/>
      <c r="T1250" s="217"/>
      <c r="U1250" s="199"/>
      <c r="V1250" s="200"/>
      <c r="W1250" s="200"/>
      <c r="X1250" s="200"/>
      <c r="Y1250" s="200"/>
      <c r="Z1250" s="200"/>
      <c r="AA1250" s="201"/>
      <c r="AB1250" s="200"/>
      <c r="AC1250" s="200"/>
    </row>
    <row r="1251" ht="15.75" customHeight="1">
      <c r="A1251" s="210">
        <f t="shared" si="1"/>
        <v>1249</v>
      </c>
      <c r="B1251" s="217"/>
      <c r="C1251" s="217" t="str">
        <f>IFERROR(VLOOKUP(B1251, SourceData!$U$3:$V$190, 2, FALSE), "")</f>
        <v/>
      </c>
      <c r="D1251" s="240"/>
      <c r="E1251" s="241"/>
      <c r="F1251" s="248"/>
      <c r="G1251" s="207"/>
      <c r="H1251" s="209"/>
      <c r="I1251" s="209"/>
      <c r="J1251" s="209"/>
      <c r="K1251" s="208" t="str">
        <f>IF(Errors!$I1251=0,SourceData!$B$42,VLOOKUP(Errors!$I1251,SourceData!$A$2:$B$40,2,FALSE))</f>
        <v>Please select ERROR CODE column "I"</v>
      </c>
      <c r="L1251" s="207" t="str">
        <f>IF(Errors!$I1251=0,
    'List of Error Codes'!$E$29,
    IFERROR(VLOOKUP(Errors!$I1251, 'List of Error Codes'!D1250:I1280, 6, FALSE), 'List of Error Codes'!$E$29)
)</f>
        <v>Please select ERROR CODE column "I"</v>
      </c>
      <c r="M1251" s="209"/>
      <c r="N1251" s="209"/>
      <c r="O1251" s="209"/>
      <c r="P1251" s="209"/>
      <c r="Q1251" s="209"/>
      <c r="R1251" s="217"/>
      <c r="S1251" s="217"/>
      <c r="T1251" s="217"/>
      <c r="U1251" s="199"/>
      <c r="V1251" s="200"/>
      <c r="W1251" s="200"/>
      <c r="X1251" s="200"/>
      <c r="Y1251" s="200"/>
      <c r="Z1251" s="200"/>
      <c r="AA1251" s="201"/>
      <c r="AB1251" s="200"/>
      <c r="AC1251" s="200"/>
    </row>
    <row r="1252" ht="15.75" customHeight="1">
      <c r="A1252" s="210">
        <f t="shared" si="1"/>
        <v>1250</v>
      </c>
      <c r="B1252" s="217"/>
      <c r="C1252" s="217" t="str">
        <f>IFERROR(VLOOKUP(B1252, SourceData!$U$3:$V$190, 2, FALSE), "")</f>
        <v/>
      </c>
      <c r="D1252" s="240"/>
      <c r="E1252" s="241"/>
      <c r="F1252" s="248"/>
      <c r="G1252" s="207"/>
      <c r="H1252" s="209"/>
      <c r="I1252" s="209"/>
      <c r="J1252" s="209"/>
      <c r="K1252" s="208" t="str">
        <f>IF(Errors!$I1252=0,SourceData!$B$42,VLOOKUP(Errors!$I1252,SourceData!$A$2:$B$40,2,FALSE))</f>
        <v>Please select ERROR CODE column "I"</v>
      </c>
      <c r="L1252" s="207" t="str">
        <f>IF(Errors!$I1252=0,
    'List of Error Codes'!$E$29,
    IFERROR(VLOOKUP(Errors!$I1252, 'List of Error Codes'!D1251:I1281, 6, FALSE), 'List of Error Codes'!$E$29)
)</f>
        <v>Please select ERROR CODE column "I"</v>
      </c>
      <c r="M1252" s="209"/>
      <c r="N1252" s="209"/>
      <c r="O1252" s="209"/>
      <c r="P1252" s="209"/>
      <c r="Q1252" s="209"/>
      <c r="R1252" s="217"/>
      <c r="S1252" s="217"/>
      <c r="T1252" s="217"/>
      <c r="U1252" s="199"/>
      <c r="V1252" s="200"/>
      <c r="W1252" s="200"/>
      <c r="X1252" s="200"/>
      <c r="Y1252" s="200"/>
      <c r="Z1252" s="200"/>
      <c r="AA1252" s="201"/>
      <c r="AB1252" s="200"/>
      <c r="AC1252" s="200"/>
    </row>
    <row r="1253" ht="15.75" customHeight="1">
      <c r="A1253" s="210">
        <f t="shared" si="1"/>
        <v>1251</v>
      </c>
      <c r="B1253" s="217"/>
      <c r="C1253" s="217" t="str">
        <f>IFERROR(VLOOKUP(B1253, SourceData!$U$3:$V$190, 2, FALSE), "")</f>
        <v/>
      </c>
      <c r="D1253" s="240"/>
      <c r="E1253" s="241"/>
      <c r="F1253" s="248"/>
      <c r="G1253" s="207"/>
      <c r="H1253" s="209"/>
      <c r="I1253" s="209"/>
      <c r="J1253" s="209"/>
      <c r="K1253" s="208" t="str">
        <f>IF(Errors!$I1253=0,SourceData!$B$42,VLOOKUP(Errors!$I1253,SourceData!$A$2:$B$40,2,FALSE))</f>
        <v>Please select ERROR CODE column "I"</v>
      </c>
      <c r="L1253" s="207" t="str">
        <f>IF(Errors!$I1253=0,
    'List of Error Codes'!$E$29,
    IFERROR(VLOOKUP(Errors!$I1253, 'List of Error Codes'!D1252:I1282, 6, FALSE), 'List of Error Codes'!$E$29)
)</f>
        <v>Please select ERROR CODE column "I"</v>
      </c>
      <c r="M1253" s="209"/>
      <c r="N1253" s="209"/>
      <c r="O1253" s="209"/>
      <c r="P1253" s="209"/>
      <c r="Q1253" s="209"/>
      <c r="R1253" s="217"/>
      <c r="S1253" s="217"/>
      <c r="T1253" s="217"/>
      <c r="U1253" s="199"/>
      <c r="V1253" s="200"/>
      <c r="W1253" s="200"/>
      <c r="X1253" s="200"/>
      <c r="Y1253" s="200"/>
      <c r="Z1253" s="200"/>
      <c r="AA1253" s="201"/>
      <c r="AB1253" s="200"/>
      <c r="AC1253" s="200"/>
    </row>
    <row r="1254" ht="15.75" customHeight="1">
      <c r="A1254" s="210">
        <f t="shared" si="1"/>
        <v>1252</v>
      </c>
      <c r="B1254" s="217"/>
      <c r="C1254" s="217" t="str">
        <f>IFERROR(VLOOKUP(B1254, SourceData!$U$3:$V$190, 2, FALSE), "")</f>
        <v/>
      </c>
      <c r="D1254" s="240"/>
      <c r="E1254" s="241"/>
      <c r="F1254" s="248"/>
      <c r="G1254" s="207"/>
      <c r="H1254" s="209"/>
      <c r="I1254" s="209"/>
      <c r="J1254" s="209"/>
      <c r="K1254" s="208" t="str">
        <f>IF(Errors!$I1254=0,SourceData!$B$42,VLOOKUP(Errors!$I1254,SourceData!$A$2:$B$40,2,FALSE))</f>
        <v>Please select ERROR CODE column "I"</v>
      </c>
      <c r="L1254" s="207" t="str">
        <f>IF(Errors!$I1254=0,
    'List of Error Codes'!$E$29,
    IFERROR(VLOOKUP(Errors!$I1254, 'List of Error Codes'!D1253:I1283, 6, FALSE), 'List of Error Codes'!$E$29)
)</f>
        <v>Please select ERROR CODE column "I"</v>
      </c>
      <c r="M1254" s="209"/>
      <c r="N1254" s="209"/>
      <c r="O1254" s="209"/>
      <c r="P1254" s="209"/>
      <c r="Q1254" s="209"/>
      <c r="R1254" s="217"/>
      <c r="S1254" s="217"/>
      <c r="T1254" s="217"/>
      <c r="U1254" s="199"/>
      <c r="V1254" s="200"/>
      <c r="W1254" s="200"/>
      <c r="X1254" s="200"/>
      <c r="Y1254" s="200"/>
      <c r="Z1254" s="200"/>
      <c r="AA1254" s="201"/>
      <c r="AB1254" s="200"/>
      <c r="AC1254" s="200"/>
    </row>
    <row r="1255" ht="15.75" customHeight="1">
      <c r="A1255" s="210">
        <f t="shared" si="1"/>
        <v>1253</v>
      </c>
      <c r="B1255" s="217"/>
      <c r="C1255" s="217" t="str">
        <f>IFERROR(VLOOKUP(B1255, SourceData!$U$3:$V$190, 2, FALSE), "")</f>
        <v/>
      </c>
      <c r="D1255" s="240"/>
      <c r="E1255" s="241"/>
      <c r="F1255" s="248"/>
      <c r="G1255" s="207"/>
      <c r="H1255" s="209"/>
      <c r="I1255" s="209"/>
      <c r="J1255" s="209"/>
      <c r="K1255" s="208" t="str">
        <f>IF(Errors!$I1255=0,SourceData!$B$42,VLOOKUP(Errors!$I1255,SourceData!$A$2:$B$40,2,FALSE))</f>
        <v>Please select ERROR CODE column "I"</v>
      </c>
      <c r="L1255" s="207" t="str">
        <f>IF(Errors!$I1255=0,
    'List of Error Codes'!$E$29,
    IFERROR(VLOOKUP(Errors!$I1255, 'List of Error Codes'!D1254:I1284, 6, FALSE), 'List of Error Codes'!$E$29)
)</f>
        <v>Please select ERROR CODE column "I"</v>
      </c>
      <c r="M1255" s="209"/>
      <c r="N1255" s="209"/>
      <c r="O1255" s="209"/>
      <c r="P1255" s="209"/>
      <c r="Q1255" s="209"/>
      <c r="R1255" s="217"/>
      <c r="S1255" s="217"/>
      <c r="T1255" s="217"/>
      <c r="U1255" s="199"/>
      <c r="V1255" s="200"/>
      <c r="W1255" s="200"/>
      <c r="X1255" s="200"/>
      <c r="Y1255" s="200"/>
      <c r="Z1255" s="200"/>
      <c r="AA1255" s="201"/>
      <c r="AB1255" s="200"/>
      <c r="AC1255" s="200"/>
    </row>
    <row r="1256" ht="15.75" customHeight="1">
      <c r="A1256" s="210">
        <f t="shared" si="1"/>
        <v>1254</v>
      </c>
      <c r="B1256" s="217"/>
      <c r="C1256" s="217" t="str">
        <f>IFERROR(VLOOKUP(B1256, SourceData!$U$3:$V$190, 2, FALSE), "")</f>
        <v/>
      </c>
      <c r="D1256" s="240"/>
      <c r="E1256" s="241"/>
      <c r="F1256" s="248"/>
      <c r="G1256" s="207"/>
      <c r="H1256" s="209"/>
      <c r="I1256" s="209"/>
      <c r="J1256" s="209"/>
      <c r="K1256" s="208" t="str">
        <f>IF(Errors!$I1256=0,SourceData!$B$42,VLOOKUP(Errors!$I1256,SourceData!$A$2:$B$40,2,FALSE))</f>
        <v>Please select ERROR CODE column "I"</v>
      </c>
      <c r="L1256" s="207" t="str">
        <f>IF(Errors!$I1256=0,
    'List of Error Codes'!$E$29,
    IFERROR(VLOOKUP(Errors!$I1256, 'List of Error Codes'!D1255:I1285, 6, FALSE), 'List of Error Codes'!$E$29)
)</f>
        <v>Please select ERROR CODE column "I"</v>
      </c>
      <c r="M1256" s="209"/>
      <c r="N1256" s="209"/>
      <c r="O1256" s="209"/>
      <c r="P1256" s="209"/>
      <c r="Q1256" s="209"/>
      <c r="R1256" s="217"/>
      <c r="S1256" s="217"/>
      <c r="T1256" s="217"/>
      <c r="U1256" s="199"/>
      <c r="V1256" s="200"/>
      <c r="W1256" s="200"/>
      <c r="X1256" s="200"/>
      <c r="Y1256" s="200"/>
      <c r="Z1256" s="200"/>
      <c r="AA1256" s="201"/>
      <c r="AB1256" s="200"/>
      <c r="AC1256" s="200"/>
    </row>
    <row r="1257" ht="15.75" customHeight="1">
      <c r="A1257" s="210">
        <f t="shared" si="1"/>
        <v>1255</v>
      </c>
      <c r="B1257" s="217"/>
      <c r="C1257" s="217" t="str">
        <f>IFERROR(VLOOKUP(B1257, SourceData!$U$3:$V$190, 2, FALSE), "")</f>
        <v/>
      </c>
      <c r="D1257" s="240"/>
      <c r="E1257" s="241"/>
      <c r="F1257" s="248"/>
      <c r="G1257" s="207"/>
      <c r="H1257" s="209"/>
      <c r="I1257" s="209"/>
      <c r="J1257" s="209"/>
      <c r="K1257" s="208" t="str">
        <f>IF(Errors!$I1257=0,SourceData!$B$42,VLOOKUP(Errors!$I1257,SourceData!$A$2:$B$40,2,FALSE))</f>
        <v>Please select ERROR CODE column "I"</v>
      </c>
      <c r="L1257" s="207" t="str">
        <f>IF(Errors!$I1257=0,
    'List of Error Codes'!$E$29,
    IFERROR(VLOOKUP(Errors!$I1257, 'List of Error Codes'!D1256:I1286, 6, FALSE), 'List of Error Codes'!$E$29)
)</f>
        <v>Please select ERROR CODE column "I"</v>
      </c>
      <c r="M1257" s="209"/>
      <c r="N1257" s="209"/>
      <c r="O1257" s="209"/>
      <c r="P1257" s="209"/>
      <c r="Q1257" s="209"/>
      <c r="R1257" s="217"/>
      <c r="S1257" s="217"/>
      <c r="T1257" s="217"/>
      <c r="U1257" s="199"/>
      <c r="V1257" s="200"/>
      <c r="W1257" s="200"/>
      <c r="X1257" s="200"/>
      <c r="Y1257" s="200"/>
      <c r="Z1257" s="200"/>
      <c r="AA1257" s="201"/>
      <c r="AB1257" s="200"/>
      <c r="AC1257" s="200"/>
    </row>
    <row r="1258" ht="15.75" customHeight="1">
      <c r="A1258" s="210">
        <f t="shared" si="1"/>
        <v>1256</v>
      </c>
      <c r="B1258" s="217"/>
      <c r="C1258" s="217" t="str">
        <f>IFERROR(VLOOKUP(B1258, SourceData!$U$3:$V$190, 2, FALSE), "")</f>
        <v/>
      </c>
      <c r="D1258" s="240"/>
      <c r="E1258" s="241"/>
      <c r="F1258" s="248"/>
      <c r="G1258" s="207"/>
      <c r="H1258" s="209"/>
      <c r="I1258" s="209"/>
      <c r="J1258" s="209"/>
      <c r="K1258" s="208" t="str">
        <f>IF(Errors!$I1258=0,SourceData!$B$42,VLOOKUP(Errors!$I1258,SourceData!$A$2:$B$40,2,FALSE))</f>
        <v>Please select ERROR CODE column "I"</v>
      </c>
      <c r="L1258" s="207" t="str">
        <f>IF(Errors!$I1258=0,
    'List of Error Codes'!$E$29,
    IFERROR(VLOOKUP(Errors!$I1258, 'List of Error Codes'!D1257:I1287, 6, FALSE), 'List of Error Codes'!$E$29)
)</f>
        <v>Please select ERROR CODE column "I"</v>
      </c>
      <c r="M1258" s="209"/>
      <c r="N1258" s="209"/>
      <c r="O1258" s="209"/>
      <c r="P1258" s="209"/>
      <c r="Q1258" s="209"/>
      <c r="R1258" s="217"/>
      <c r="S1258" s="217"/>
      <c r="T1258" s="217"/>
      <c r="U1258" s="199"/>
      <c r="V1258" s="200"/>
      <c r="W1258" s="200"/>
      <c r="X1258" s="200"/>
      <c r="Y1258" s="200"/>
      <c r="Z1258" s="200"/>
      <c r="AA1258" s="201"/>
      <c r="AB1258" s="200"/>
      <c r="AC1258" s="200"/>
    </row>
    <row r="1259" ht="15.75" customHeight="1">
      <c r="A1259" s="210">
        <f t="shared" si="1"/>
        <v>1257</v>
      </c>
      <c r="B1259" s="217"/>
      <c r="C1259" s="217" t="str">
        <f>IFERROR(VLOOKUP(B1259, SourceData!$U$3:$V$190, 2, FALSE), "")</f>
        <v/>
      </c>
      <c r="D1259" s="240"/>
      <c r="E1259" s="241"/>
      <c r="F1259" s="248"/>
      <c r="G1259" s="207"/>
      <c r="H1259" s="209"/>
      <c r="I1259" s="209"/>
      <c r="J1259" s="209"/>
      <c r="K1259" s="208" t="str">
        <f>IF(Errors!$I1259=0,SourceData!$B$42,VLOOKUP(Errors!$I1259,SourceData!$A$2:$B$40,2,FALSE))</f>
        <v>Please select ERROR CODE column "I"</v>
      </c>
      <c r="L1259" s="207" t="str">
        <f>IF(Errors!$I1259=0,
    'List of Error Codes'!$E$29,
    IFERROR(VLOOKUP(Errors!$I1259, 'List of Error Codes'!D1258:I1288, 6, FALSE), 'List of Error Codes'!$E$29)
)</f>
        <v>Please select ERROR CODE column "I"</v>
      </c>
      <c r="M1259" s="209"/>
      <c r="N1259" s="209"/>
      <c r="O1259" s="209"/>
      <c r="P1259" s="209"/>
      <c r="Q1259" s="209"/>
      <c r="R1259" s="217"/>
      <c r="S1259" s="217"/>
      <c r="T1259" s="217"/>
      <c r="U1259" s="199"/>
      <c r="V1259" s="200"/>
      <c r="W1259" s="200"/>
      <c r="X1259" s="200"/>
      <c r="Y1259" s="200"/>
      <c r="Z1259" s="200"/>
      <c r="AA1259" s="201"/>
      <c r="AB1259" s="200"/>
      <c r="AC1259" s="200"/>
    </row>
    <row r="1260" ht="15.75" customHeight="1">
      <c r="A1260" s="210">
        <f t="shared" si="1"/>
        <v>1258</v>
      </c>
      <c r="B1260" s="217"/>
      <c r="C1260" s="217" t="str">
        <f>IFERROR(VLOOKUP(B1260, SourceData!$U$3:$V$190, 2, FALSE), "")</f>
        <v/>
      </c>
      <c r="D1260" s="240"/>
      <c r="E1260" s="241"/>
      <c r="F1260" s="248"/>
      <c r="G1260" s="207"/>
      <c r="H1260" s="209"/>
      <c r="I1260" s="209"/>
      <c r="J1260" s="209"/>
      <c r="K1260" s="208" t="str">
        <f>IF(Errors!$I1260=0,SourceData!$B$42,VLOOKUP(Errors!$I1260,SourceData!$A$2:$B$40,2,FALSE))</f>
        <v>Please select ERROR CODE column "I"</v>
      </c>
      <c r="L1260" s="207" t="str">
        <f>IF(Errors!$I1260=0,
    'List of Error Codes'!$E$29,
    IFERROR(VLOOKUP(Errors!$I1260, 'List of Error Codes'!D1259:I1289, 6, FALSE), 'List of Error Codes'!$E$29)
)</f>
        <v>Please select ERROR CODE column "I"</v>
      </c>
      <c r="M1260" s="209"/>
      <c r="N1260" s="209"/>
      <c r="O1260" s="209"/>
      <c r="P1260" s="209"/>
      <c r="Q1260" s="209"/>
      <c r="R1260" s="217"/>
      <c r="S1260" s="217"/>
      <c r="T1260" s="217"/>
      <c r="U1260" s="199"/>
      <c r="V1260" s="200"/>
      <c r="W1260" s="200"/>
      <c r="X1260" s="200"/>
      <c r="Y1260" s="200"/>
      <c r="Z1260" s="200"/>
      <c r="AA1260" s="201"/>
      <c r="AB1260" s="200"/>
      <c r="AC1260" s="200"/>
    </row>
    <row r="1261" ht="15.75" customHeight="1">
      <c r="A1261" s="210">
        <f t="shared" si="1"/>
        <v>1259</v>
      </c>
      <c r="B1261" s="217"/>
      <c r="C1261" s="217" t="str">
        <f>IFERROR(VLOOKUP(B1261, SourceData!$U$3:$V$190, 2, FALSE), "")</f>
        <v/>
      </c>
      <c r="D1261" s="240"/>
      <c r="E1261" s="241"/>
      <c r="F1261" s="248"/>
      <c r="G1261" s="207"/>
      <c r="H1261" s="209"/>
      <c r="I1261" s="209"/>
      <c r="J1261" s="209"/>
      <c r="K1261" s="208" t="str">
        <f>IF(Errors!$I1261=0,SourceData!$B$42,VLOOKUP(Errors!$I1261,SourceData!$A$2:$B$40,2,FALSE))</f>
        <v>Please select ERROR CODE column "I"</v>
      </c>
      <c r="L1261" s="207" t="str">
        <f>IF(Errors!$I1261=0,
    'List of Error Codes'!$E$29,
    IFERROR(VLOOKUP(Errors!$I1261, 'List of Error Codes'!D1260:I1290, 6, FALSE), 'List of Error Codes'!$E$29)
)</f>
        <v>Please select ERROR CODE column "I"</v>
      </c>
      <c r="M1261" s="209"/>
      <c r="N1261" s="209"/>
      <c r="O1261" s="209"/>
      <c r="P1261" s="209"/>
      <c r="Q1261" s="209"/>
      <c r="R1261" s="217"/>
      <c r="S1261" s="217"/>
      <c r="T1261" s="217"/>
      <c r="U1261" s="199"/>
      <c r="V1261" s="200"/>
      <c r="W1261" s="200"/>
      <c r="X1261" s="200"/>
      <c r="Y1261" s="200"/>
      <c r="Z1261" s="200"/>
      <c r="AA1261" s="201"/>
      <c r="AB1261" s="200"/>
      <c r="AC1261" s="200"/>
    </row>
    <row r="1262" ht="15.75" customHeight="1">
      <c r="A1262" s="210">
        <f t="shared" si="1"/>
        <v>1260</v>
      </c>
      <c r="B1262" s="217"/>
      <c r="C1262" s="217" t="str">
        <f>IFERROR(VLOOKUP(B1262, SourceData!$U$3:$V$190, 2, FALSE), "")</f>
        <v/>
      </c>
      <c r="D1262" s="240"/>
      <c r="E1262" s="241"/>
      <c r="F1262" s="248"/>
      <c r="G1262" s="207"/>
      <c r="H1262" s="209"/>
      <c r="I1262" s="209"/>
      <c r="J1262" s="209"/>
      <c r="K1262" s="208" t="str">
        <f>IF(Errors!$I1262=0,SourceData!$B$42,VLOOKUP(Errors!$I1262,SourceData!$A$2:$B$40,2,FALSE))</f>
        <v>Please select ERROR CODE column "I"</v>
      </c>
      <c r="L1262" s="207" t="str">
        <f>IF(Errors!$I1262=0,
    'List of Error Codes'!$E$29,
    IFERROR(VLOOKUP(Errors!$I1262, 'List of Error Codes'!D1261:I1291, 6, FALSE), 'List of Error Codes'!$E$29)
)</f>
        <v>Please select ERROR CODE column "I"</v>
      </c>
      <c r="M1262" s="209"/>
      <c r="N1262" s="209"/>
      <c r="O1262" s="209"/>
      <c r="P1262" s="209"/>
      <c r="Q1262" s="209"/>
      <c r="R1262" s="217"/>
      <c r="S1262" s="217"/>
      <c r="T1262" s="217"/>
      <c r="U1262" s="199"/>
      <c r="V1262" s="200"/>
      <c r="W1262" s="200"/>
      <c r="X1262" s="200"/>
      <c r="Y1262" s="200"/>
      <c r="Z1262" s="200"/>
      <c r="AA1262" s="201"/>
      <c r="AB1262" s="200"/>
      <c r="AC1262" s="200"/>
    </row>
    <row r="1263" ht="15.75" customHeight="1">
      <c r="A1263" s="210">
        <f t="shared" si="1"/>
        <v>1261</v>
      </c>
      <c r="B1263" s="217"/>
      <c r="C1263" s="217" t="str">
        <f>IFERROR(VLOOKUP(B1263, SourceData!$U$3:$V$190, 2, FALSE), "")</f>
        <v/>
      </c>
      <c r="D1263" s="240"/>
      <c r="E1263" s="241"/>
      <c r="F1263" s="248"/>
      <c r="G1263" s="207"/>
      <c r="H1263" s="209"/>
      <c r="I1263" s="209"/>
      <c r="J1263" s="209"/>
      <c r="K1263" s="208" t="str">
        <f>IF(Errors!$I1263=0,SourceData!$B$42,VLOOKUP(Errors!$I1263,SourceData!$A$2:$B$40,2,FALSE))</f>
        <v>Please select ERROR CODE column "I"</v>
      </c>
      <c r="L1263" s="207" t="str">
        <f>IF(Errors!$I1263=0,
    'List of Error Codes'!$E$29,
    IFERROR(VLOOKUP(Errors!$I1263, 'List of Error Codes'!D1262:I1292, 6, FALSE), 'List of Error Codes'!$E$29)
)</f>
        <v>Please select ERROR CODE column "I"</v>
      </c>
      <c r="M1263" s="209"/>
      <c r="N1263" s="209"/>
      <c r="O1263" s="209"/>
      <c r="P1263" s="209"/>
      <c r="Q1263" s="209"/>
      <c r="R1263" s="217"/>
      <c r="S1263" s="217"/>
      <c r="T1263" s="217"/>
      <c r="U1263" s="199"/>
      <c r="V1263" s="200"/>
      <c r="W1263" s="200"/>
      <c r="X1263" s="200"/>
      <c r="Y1263" s="200"/>
      <c r="Z1263" s="200"/>
      <c r="AA1263" s="201"/>
      <c r="AB1263" s="200"/>
      <c r="AC1263" s="200"/>
    </row>
    <row r="1264" ht="15.75" customHeight="1">
      <c r="A1264" s="210">
        <f t="shared" si="1"/>
        <v>1262</v>
      </c>
      <c r="B1264" s="217"/>
      <c r="C1264" s="217" t="str">
        <f>IFERROR(VLOOKUP(B1264, SourceData!$U$3:$V$190, 2, FALSE), "")</f>
        <v/>
      </c>
      <c r="D1264" s="240"/>
      <c r="E1264" s="241"/>
      <c r="F1264" s="248"/>
      <c r="G1264" s="207"/>
      <c r="H1264" s="209"/>
      <c r="I1264" s="209"/>
      <c r="J1264" s="209"/>
      <c r="K1264" s="208" t="str">
        <f>IF(Errors!$I1264=0,SourceData!$B$42,VLOOKUP(Errors!$I1264,SourceData!$A$2:$B$40,2,FALSE))</f>
        <v>Please select ERROR CODE column "I"</v>
      </c>
      <c r="L1264" s="207" t="str">
        <f>IF(Errors!$I1264=0,
    'List of Error Codes'!$E$29,
    IFERROR(VLOOKUP(Errors!$I1264, 'List of Error Codes'!D1263:I1293, 6, FALSE), 'List of Error Codes'!$E$29)
)</f>
        <v>Please select ERROR CODE column "I"</v>
      </c>
      <c r="M1264" s="209"/>
      <c r="N1264" s="209"/>
      <c r="O1264" s="209"/>
      <c r="P1264" s="209"/>
      <c r="Q1264" s="209"/>
      <c r="R1264" s="217"/>
      <c r="S1264" s="217"/>
      <c r="T1264" s="217"/>
      <c r="U1264" s="199"/>
      <c r="V1264" s="200"/>
      <c r="W1264" s="200"/>
      <c r="X1264" s="200"/>
      <c r="Y1264" s="200"/>
      <c r="Z1264" s="200"/>
      <c r="AA1264" s="201"/>
      <c r="AB1264" s="200"/>
      <c r="AC1264" s="200"/>
    </row>
    <row r="1265" ht="15.75" customHeight="1">
      <c r="A1265" s="210">
        <f t="shared" si="1"/>
        <v>1263</v>
      </c>
      <c r="B1265" s="217"/>
      <c r="C1265" s="217" t="str">
        <f>IFERROR(VLOOKUP(B1265, SourceData!$U$3:$V$190, 2, FALSE), "")</f>
        <v/>
      </c>
      <c r="D1265" s="240"/>
      <c r="E1265" s="241"/>
      <c r="F1265" s="248"/>
      <c r="G1265" s="207"/>
      <c r="H1265" s="209"/>
      <c r="I1265" s="209"/>
      <c r="J1265" s="209"/>
      <c r="K1265" s="208" t="str">
        <f>IF(Errors!$I1265=0,SourceData!$B$42,VLOOKUP(Errors!$I1265,SourceData!$A$2:$B$40,2,FALSE))</f>
        <v>Please select ERROR CODE column "I"</v>
      </c>
      <c r="L1265" s="207" t="str">
        <f>IF(Errors!$I1265=0,
    'List of Error Codes'!$E$29,
    IFERROR(VLOOKUP(Errors!$I1265, 'List of Error Codes'!D1264:I1294, 6, FALSE), 'List of Error Codes'!$E$29)
)</f>
        <v>Please select ERROR CODE column "I"</v>
      </c>
      <c r="M1265" s="209"/>
      <c r="N1265" s="209"/>
      <c r="O1265" s="209"/>
      <c r="P1265" s="209"/>
      <c r="Q1265" s="209"/>
      <c r="R1265" s="217"/>
      <c r="S1265" s="217"/>
      <c r="T1265" s="217"/>
      <c r="U1265" s="199"/>
      <c r="V1265" s="200"/>
      <c r="W1265" s="200"/>
      <c r="X1265" s="200"/>
      <c r="Y1265" s="200"/>
      <c r="Z1265" s="200"/>
      <c r="AA1265" s="201"/>
      <c r="AB1265" s="200"/>
      <c r="AC1265" s="200"/>
    </row>
    <row r="1266" ht="15.75" customHeight="1">
      <c r="A1266" s="210">
        <f t="shared" si="1"/>
        <v>1264</v>
      </c>
      <c r="B1266" s="217"/>
      <c r="C1266" s="217" t="str">
        <f>IFERROR(VLOOKUP(B1266, SourceData!$U$3:$V$190, 2, FALSE), "")</f>
        <v/>
      </c>
      <c r="D1266" s="240"/>
      <c r="E1266" s="241"/>
      <c r="F1266" s="248"/>
      <c r="G1266" s="207"/>
      <c r="H1266" s="209"/>
      <c r="I1266" s="209"/>
      <c r="J1266" s="209"/>
      <c r="K1266" s="208" t="str">
        <f>IF(Errors!$I1266=0,SourceData!$B$42,VLOOKUP(Errors!$I1266,SourceData!$A$2:$B$40,2,FALSE))</f>
        <v>Please select ERROR CODE column "I"</v>
      </c>
      <c r="L1266" s="207" t="str">
        <f>IF(Errors!$I1266=0,
    'List of Error Codes'!$E$29,
    IFERROR(VLOOKUP(Errors!$I1266, 'List of Error Codes'!D1265:I1295, 6, FALSE), 'List of Error Codes'!$E$29)
)</f>
        <v>Please select ERROR CODE column "I"</v>
      </c>
      <c r="M1266" s="209"/>
      <c r="N1266" s="209"/>
      <c r="O1266" s="209"/>
      <c r="P1266" s="209"/>
      <c r="Q1266" s="209"/>
      <c r="R1266" s="217"/>
      <c r="S1266" s="217"/>
      <c r="T1266" s="217"/>
      <c r="U1266" s="199"/>
      <c r="V1266" s="200"/>
      <c r="W1266" s="200"/>
      <c r="X1266" s="200"/>
      <c r="Y1266" s="200"/>
      <c r="Z1266" s="200"/>
      <c r="AA1266" s="201"/>
      <c r="AB1266" s="200"/>
      <c r="AC1266" s="200"/>
    </row>
    <row r="1267" ht="15.75" customHeight="1">
      <c r="A1267" s="210">
        <f t="shared" si="1"/>
        <v>1265</v>
      </c>
      <c r="B1267" s="217"/>
      <c r="C1267" s="217" t="str">
        <f>IFERROR(VLOOKUP(B1267, SourceData!$U$3:$V$190, 2, FALSE), "")</f>
        <v/>
      </c>
      <c r="D1267" s="240"/>
      <c r="E1267" s="241"/>
      <c r="F1267" s="248"/>
      <c r="G1267" s="207"/>
      <c r="H1267" s="209"/>
      <c r="I1267" s="209"/>
      <c r="J1267" s="209"/>
      <c r="K1267" s="208" t="str">
        <f>IF(Errors!$I1267=0,SourceData!$B$42,VLOOKUP(Errors!$I1267,SourceData!$A$2:$B$40,2,FALSE))</f>
        <v>Please select ERROR CODE column "I"</v>
      </c>
      <c r="L1267" s="207" t="str">
        <f>IF(Errors!$I1267=0,
    'List of Error Codes'!$E$29,
    IFERROR(VLOOKUP(Errors!$I1267, 'List of Error Codes'!D1266:I1296, 6, FALSE), 'List of Error Codes'!$E$29)
)</f>
        <v>Please select ERROR CODE column "I"</v>
      </c>
      <c r="M1267" s="209"/>
      <c r="N1267" s="209"/>
      <c r="O1267" s="209"/>
      <c r="P1267" s="209"/>
      <c r="Q1267" s="209"/>
      <c r="R1267" s="217"/>
      <c r="S1267" s="217"/>
      <c r="T1267" s="217"/>
      <c r="U1267" s="199"/>
      <c r="V1267" s="200"/>
      <c r="W1267" s="200"/>
      <c r="X1267" s="200"/>
      <c r="Y1267" s="200"/>
      <c r="Z1267" s="200"/>
      <c r="AA1267" s="201"/>
      <c r="AB1267" s="200"/>
      <c r="AC1267" s="200"/>
    </row>
    <row r="1268" ht="15.75" customHeight="1">
      <c r="A1268" s="210">
        <f t="shared" si="1"/>
        <v>1266</v>
      </c>
      <c r="B1268" s="217"/>
      <c r="C1268" s="217" t="str">
        <f>IFERROR(VLOOKUP(B1268, SourceData!$U$3:$V$190, 2, FALSE), "")</f>
        <v/>
      </c>
      <c r="D1268" s="240"/>
      <c r="E1268" s="241"/>
      <c r="F1268" s="248"/>
      <c r="G1268" s="207"/>
      <c r="H1268" s="209"/>
      <c r="I1268" s="209"/>
      <c r="J1268" s="209"/>
      <c r="K1268" s="208" t="str">
        <f>IF(Errors!$I1268=0,SourceData!$B$42,VLOOKUP(Errors!$I1268,SourceData!$A$2:$B$40,2,FALSE))</f>
        <v>Please select ERROR CODE column "I"</v>
      </c>
      <c r="L1268" s="207" t="str">
        <f>IF(Errors!$I1268=0,
    'List of Error Codes'!$E$29,
    IFERROR(VLOOKUP(Errors!$I1268, 'List of Error Codes'!D1267:I1297, 6, FALSE), 'List of Error Codes'!$E$29)
)</f>
        <v>Please select ERROR CODE column "I"</v>
      </c>
      <c r="M1268" s="209"/>
      <c r="N1268" s="209"/>
      <c r="O1268" s="209"/>
      <c r="P1268" s="209"/>
      <c r="Q1268" s="209"/>
      <c r="R1268" s="217"/>
      <c r="S1268" s="217"/>
      <c r="T1268" s="217"/>
      <c r="U1268" s="199"/>
      <c r="V1268" s="200"/>
      <c r="W1268" s="200"/>
      <c r="X1268" s="200"/>
      <c r="Y1268" s="200"/>
      <c r="Z1268" s="200"/>
      <c r="AA1268" s="201"/>
      <c r="AB1268" s="200"/>
      <c r="AC1268" s="200"/>
    </row>
    <row r="1269" ht="15.75" customHeight="1">
      <c r="A1269" s="210">
        <f t="shared" si="1"/>
        <v>1267</v>
      </c>
      <c r="B1269" s="217"/>
      <c r="C1269" s="217" t="str">
        <f>IFERROR(VLOOKUP(B1269, SourceData!$U$3:$V$190, 2, FALSE), "")</f>
        <v/>
      </c>
      <c r="D1269" s="240"/>
      <c r="E1269" s="241"/>
      <c r="F1269" s="248"/>
      <c r="G1269" s="207"/>
      <c r="H1269" s="209"/>
      <c r="I1269" s="209"/>
      <c r="J1269" s="209"/>
      <c r="K1269" s="208" t="str">
        <f>IF(Errors!$I1269=0,SourceData!$B$42,VLOOKUP(Errors!$I1269,SourceData!$A$2:$B$40,2,FALSE))</f>
        <v>Please select ERROR CODE column "I"</v>
      </c>
      <c r="L1269" s="207" t="str">
        <f>IF(Errors!$I1269=0,
    'List of Error Codes'!$E$29,
    IFERROR(VLOOKUP(Errors!$I1269, 'List of Error Codes'!D1268:I1298, 6, FALSE), 'List of Error Codes'!$E$29)
)</f>
        <v>Please select ERROR CODE column "I"</v>
      </c>
      <c r="M1269" s="209"/>
      <c r="N1269" s="209"/>
      <c r="O1269" s="209"/>
      <c r="P1269" s="209"/>
      <c r="Q1269" s="209"/>
      <c r="R1269" s="217"/>
      <c r="S1269" s="217"/>
      <c r="T1269" s="217"/>
      <c r="U1269" s="199"/>
      <c r="V1269" s="200"/>
      <c r="W1269" s="200"/>
      <c r="X1269" s="200"/>
      <c r="Y1269" s="200"/>
      <c r="Z1269" s="200"/>
      <c r="AA1269" s="201"/>
      <c r="AB1269" s="200"/>
      <c r="AC1269" s="200"/>
    </row>
    <row r="1270" ht="15.75" customHeight="1">
      <c r="A1270" s="210">
        <f t="shared" si="1"/>
        <v>1268</v>
      </c>
      <c r="B1270" s="217"/>
      <c r="C1270" s="217" t="str">
        <f>IFERROR(VLOOKUP(B1270, SourceData!$U$3:$V$190, 2, FALSE), "")</f>
        <v/>
      </c>
      <c r="D1270" s="240"/>
      <c r="E1270" s="241"/>
      <c r="F1270" s="248"/>
      <c r="G1270" s="207"/>
      <c r="H1270" s="209"/>
      <c r="I1270" s="209"/>
      <c r="J1270" s="209"/>
      <c r="K1270" s="208" t="str">
        <f>IF(Errors!$I1270=0,SourceData!$B$42,VLOOKUP(Errors!$I1270,SourceData!$A$2:$B$40,2,FALSE))</f>
        <v>Please select ERROR CODE column "I"</v>
      </c>
      <c r="L1270" s="207" t="str">
        <f>IF(Errors!$I1270=0,
    'List of Error Codes'!$E$29,
    IFERROR(VLOOKUP(Errors!$I1270, 'List of Error Codes'!D1269:I1299, 6, FALSE), 'List of Error Codes'!$E$29)
)</f>
        <v>Please select ERROR CODE column "I"</v>
      </c>
      <c r="M1270" s="209"/>
      <c r="N1270" s="209"/>
      <c r="O1270" s="209"/>
      <c r="P1270" s="209"/>
      <c r="Q1270" s="209"/>
      <c r="R1270" s="217"/>
      <c r="S1270" s="217"/>
      <c r="T1270" s="217"/>
      <c r="U1270" s="199"/>
      <c r="V1270" s="200"/>
      <c r="W1270" s="200"/>
      <c r="X1270" s="200"/>
      <c r="Y1270" s="200"/>
      <c r="Z1270" s="200"/>
      <c r="AA1270" s="201"/>
      <c r="AB1270" s="200"/>
      <c r="AC1270" s="200"/>
    </row>
    <row r="1271" ht="15.75" customHeight="1">
      <c r="A1271" s="210">
        <f t="shared" si="1"/>
        <v>1269</v>
      </c>
      <c r="B1271" s="217"/>
      <c r="C1271" s="217" t="str">
        <f>IFERROR(VLOOKUP(B1271, SourceData!$U$3:$V$190, 2, FALSE), "")</f>
        <v/>
      </c>
      <c r="D1271" s="240"/>
      <c r="E1271" s="241"/>
      <c r="F1271" s="248"/>
      <c r="G1271" s="207"/>
      <c r="H1271" s="209"/>
      <c r="I1271" s="209"/>
      <c r="J1271" s="209"/>
      <c r="K1271" s="208" t="str">
        <f>IF(Errors!$I1271=0,SourceData!$B$42,VLOOKUP(Errors!$I1271,SourceData!$A$2:$B$40,2,FALSE))</f>
        <v>Please select ERROR CODE column "I"</v>
      </c>
      <c r="L1271" s="207" t="str">
        <f>IF(Errors!$I1271=0,
    'List of Error Codes'!$E$29,
    IFERROR(VLOOKUP(Errors!$I1271, 'List of Error Codes'!D1270:I1300, 6, FALSE), 'List of Error Codes'!$E$29)
)</f>
        <v>Please select ERROR CODE column "I"</v>
      </c>
      <c r="M1271" s="209"/>
      <c r="N1271" s="209"/>
      <c r="O1271" s="209"/>
      <c r="P1271" s="209"/>
      <c r="Q1271" s="209"/>
      <c r="R1271" s="217"/>
      <c r="S1271" s="217"/>
      <c r="T1271" s="217"/>
      <c r="U1271" s="199"/>
      <c r="V1271" s="200"/>
      <c r="W1271" s="200"/>
      <c r="X1271" s="200"/>
      <c r="Y1271" s="200"/>
      <c r="Z1271" s="200"/>
      <c r="AA1271" s="201"/>
      <c r="AB1271" s="200"/>
      <c r="AC1271" s="200"/>
    </row>
    <row r="1272" ht="15.75" customHeight="1">
      <c r="A1272" s="210">
        <f t="shared" si="1"/>
        <v>1270</v>
      </c>
      <c r="B1272" s="217"/>
      <c r="C1272" s="217" t="str">
        <f>IFERROR(VLOOKUP(B1272, SourceData!$U$3:$V$190, 2, FALSE), "")</f>
        <v/>
      </c>
      <c r="D1272" s="240"/>
      <c r="E1272" s="241"/>
      <c r="F1272" s="248"/>
      <c r="G1272" s="207"/>
      <c r="H1272" s="209"/>
      <c r="I1272" s="209"/>
      <c r="J1272" s="209"/>
      <c r="K1272" s="208" t="str">
        <f>IF(Errors!$I1272=0,SourceData!$B$42,VLOOKUP(Errors!$I1272,SourceData!$A$2:$B$40,2,FALSE))</f>
        <v>Please select ERROR CODE column "I"</v>
      </c>
      <c r="L1272" s="207" t="str">
        <f>IF(Errors!$I1272=0,
    'List of Error Codes'!$E$29,
    IFERROR(VLOOKUP(Errors!$I1272, 'List of Error Codes'!D1271:I1301, 6, FALSE), 'List of Error Codes'!$E$29)
)</f>
        <v>Please select ERROR CODE column "I"</v>
      </c>
      <c r="M1272" s="209"/>
      <c r="N1272" s="209"/>
      <c r="O1272" s="209"/>
      <c r="P1272" s="209"/>
      <c r="Q1272" s="209"/>
      <c r="R1272" s="217"/>
      <c r="S1272" s="217"/>
      <c r="T1272" s="217"/>
      <c r="U1272" s="199"/>
      <c r="V1272" s="200"/>
      <c r="W1272" s="200"/>
      <c r="X1272" s="200"/>
      <c r="Y1272" s="200"/>
      <c r="Z1272" s="200"/>
      <c r="AA1272" s="201"/>
      <c r="AB1272" s="200"/>
      <c r="AC1272" s="200"/>
    </row>
    <row r="1273" ht="15.75" customHeight="1">
      <c r="A1273" s="210">
        <f t="shared" si="1"/>
        <v>1271</v>
      </c>
      <c r="B1273" s="217"/>
      <c r="C1273" s="217" t="str">
        <f>IFERROR(VLOOKUP(B1273, SourceData!$U$3:$V$190, 2, FALSE), "")</f>
        <v/>
      </c>
      <c r="D1273" s="240"/>
      <c r="E1273" s="241"/>
      <c r="F1273" s="248"/>
      <c r="G1273" s="207"/>
      <c r="H1273" s="209"/>
      <c r="I1273" s="209"/>
      <c r="J1273" s="209"/>
      <c r="K1273" s="208" t="str">
        <f>IF(Errors!$I1273=0,SourceData!$B$42,VLOOKUP(Errors!$I1273,SourceData!$A$2:$B$40,2,FALSE))</f>
        <v>Please select ERROR CODE column "I"</v>
      </c>
      <c r="L1273" s="207" t="str">
        <f>IF(Errors!$I1273=0,
    'List of Error Codes'!$E$29,
    IFERROR(VLOOKUP(Errors!$I1273, 'List of Error Codes'!D1272:I1302, 6, FALSE), 'List of Error Codes'!$E$29)
)</f>
        <v>Please select ERROR CODE column "I"</v>
      </c>
      <c r="M1273" s="209"/>
      <c r="N1273" s="209"/>
      <c r="O1273" s="209"/>
      <c r="P1273" s="209"/>
      <c r="Q1273" s="209"/>
      <c r="R1273" s="217"/>
      <c r="S1273" s="217"/>
      <c r="T1273" s="217"/>
      <c r="U1273" s="199"/>
      <c r="V1273" s="200"/>
      <c r="W1273" s="200"/>
      <c r="X1273" s="200"/>
      <c r="Y1273" s="200"/>
      <c r="Z1273" s="200"/>
      <c r="AA1273" s="201"/>
      <c r="AB1273" s="200"/>
      <c r="AC1273" s="200"/>
    </row>
    <row r="1274" ht="15.75" customHeight="1">
      <c r="A1274" s="210">
        <f t="shared" si="1"/>
        <v>1272</v>
      </c>
      <c r="B1274" s="217"/>
      <c r="C1274" s="217" t="str">
        <f>IFERROR(VLOOKUP(B1274, SourceData!$U$3:$V$190, 2, FALSE), "")</f>
        <v/>
      </c>
      <c r="D1274" s="240"/>
      <c r="E1274" s="241"/>
      <c r="F1274" s="248"/>
      <c r="G1274" s="207"/>
      <c r="H1274" s="209"/>
      <c r="I1274" s="209"/>
      <c r="J1274" s="209"/>
      <c r="K1274" s="208" t="str">
        <f>IF(Errors!$I1274=0,SourceData!$B$42,VLOOKUP(Errors!$I1274,SourceData!$A$2:$B$40,2,FALSE))</f>
        <v>Please select ERROR CODE column "I"</v>
      </c>
      <c r="L1274" s="207" t="str">
        <f>IF(Errors!$I1274=0,
    'List of Error Codes'!$E$29,
    IFERROR(VLOOKUP(Errors!$I1274, 'List of Error Codes'!D1273:I1303, 6, FALSE), 'List of Error Codes'!$E$29)
)</f>
        <v>Please select ERROR CODE column "I"</v>
      </c>
      <c r="M1274" s="209"/>
      <c r="N1274" s="209"/>
      <c r="O1274" s="209"/>
      <c r="P1274" s="209"/>
      <c r="Q1274" s="209"/>
      <c r="R1274" s="217"/>
      <c r="S1274" s="217"/>
      <c r="T1274" s="217"/>
      <c r="U1274" s="199"/>
      <c r="V1274" s="200"/>
      <c r="W1274" s="200"/>
      <c r="X1274" s="200"/>
      <c r="Y1274" s="200"/>
      <c r="Z1274" s="200"/>
      <c r="AA1274" s="201"/>
      <c r="AB1274" s="200"/>
      <c r="AC1274" s="200"/>
    </row>
    <row r="1275" ht="15.75" customHeight="1">
      <c r="A1275" s="210">
        <f t="shared" si="1"/>
        <v>1273</v>
      </c>
      <c r="B1275" s="217"/>
      <c r="C1275" s="217" t="str">
        <f>IFERROR(VLOOKUP(B1275, SourceData!$U$3:$V$190, 2, FALSE), "")</f>
        <v/>
      </c>
      <c r="D1275" s="240"/>
      <c r="E1275" s="241"/>
      <c r="F1275" s="248"/>
      <c r="G1275" s="207"/>
      <c r="H1275" s="209"/>
      <c r="I1275" s="209"/>
      <c r="J1275" s="209"/>
      <c r="K1275" s="208" t="str">
        <f>IF(Errors!$I1275=0,SourceData!$B$42,VLOOKUP(Errors!$I1275,SourceData!$A$2:$B$40,2,FALSE))</f>
        <v>Please select ERROR CODE column "I"</v>
      </c>
      <c r="L1275" s="207" t="str">
        <f>IF(Errors!$I1275=0,
    'List of Error Codes'!$E$29,
    IFERROR(VLOOKUP(Errors!$I1275, 'List of Error Codes'!D1274:I1304, 6, FALSE), 'List of Error Codes'!$E$29)
)</f>
        <v>Please select ERROR CODE column "I"</v>
      </c>
      <c r="M1275" s="209"/>
      <c r="N1275" s="209"/>
      <c r="O1275" s="209"/>
      <c r="P1275" s="209"/>
      <c r="Q1275" s="209"/>
      <c r="R1275" s="217"/>
      <c r="S1275" s="217"/>
      <c r="T1275" s="217"/>
      <c r="U1275" s="199"/>
      <c r="V1275" s="200"/>
      <c r="W1275" s="200"/>
      <c r="X1275" s="200"/>
      <c r="Y1275" s="200"/>
      <c r="Z1275" s="200"/>
      <c r="AA1275" s="201"/>
      <c r="AB1275" s="200"/>
      <c r="AC1275" s="200"/>
    </row>
    <row r="1276" ht="15.75" customHeight="1">
      <c r="A1276" s="210">
        <f t="shared" si="1"/>
        <v>1274</v>
      </c>
      <c r="B1276" s="217"/>
      <c r="C1276" s="217" t="str">
        <f>IFERROR(VLOOKUP(B1276, SourceData!$U$3:$V$190, 2, FALSE), "")</f>
        <v/>
      </c>
      <c r="D1276" s="240"/>
      <c r="E1276" s="241"/>
      <c r="F1276" s="248"/>
      <c r="G1276" s="207"/>
      <c r="H1276" s="209"/>
      <c r="I1276" s="209"/>
      <c r="J1276" s="209"/>
      <c r="K1276" s="208" t="str">
        <f>IF(Errors!$I1276=0,SourceData!$B$42,VLOOKUP(Errors!$I1276,SourceData!$A$2:$B$40,2,FALSE))</f>
        <v>Please select ERROR CODE column "I"</v>
      </c>
      <c r="L1276" s="207" t="str">
        <f>IF(Errors!$I1276=0,
    'List of Error Codes'!$E$29,
    IFERROR(VLOOKUP(Errors!$I1276, 'List of Error Codes'!D1275:I1305, 6, FALSE), 'List of Error Codes'!$E$29)
)</f>
        <v>Please select ERROR CODE column "I"</v>
      </c>
      <c r="M1276" s="209"/>
      <c r="N1276" s="209"/>
      <c r="O1276" s="209"/>
      <c r="P1276" s="209"/>
      <c r="Q1276" s="209"/>
      <c r="R1276" s="217"/>
      <c r="S1276" s="217"/>
      <c r="T1276" s="217"/>
      <c r="U1276" s="199"/>
      <c r="V1276" s="200"/>
      <c r="W1276" s="200"/>
      <c r="X1276" s="200"/>
      <c r="Y1276" s="200"/>
      <c r="Z1276" s="200"/>
      <c r="AA1276" s="201"/>
      <c r="AB1276" s="200"/>
      <c r="AC1276" s="200"/>
    </row>
    <row r="1277" ht="15.75" customHeight="1">
      <c r="A1277" s="210">
        <f t="shared" si="1"/>
        <v>1275</v>
      </c>
      <c r="B1277" s="217"/>
      <c r="C1277" s="217" t="str">
        <f>IFERROR(VLOOKUP(B1277, SourceData!$U$3:$V$190, 2, FALSE), "")</f>
        <v/>
      </c>
      <c r="D1277" s="240"/>
      <c r="E1277" s="241"/>
      <c r="F1277" s="248"/>
      <c r="G1277" s="207"/>
      <c r="H1277" s="209"/>
      <c r="I1277" s="209"/>
      <c r="J1277" s="209"/>
      <c r="K1277" s="208" t="str">
        <f>IF(Errors!$I1277=0,SourceData!$B$42,VLOOKUP(Errors!$I1277,SourceData!$A$2:$B$40,2,FALSE))</f>
        <v>Please select ERROR CODE column "I"</v>
      </c>
      <c r="L1277" s="207" t="str">
        <f>IF(Errors!$I1277=0,
    'List of Error Codes'!$E$29,
    IFERROR(VLOOKUP(Errors!$I1277, 'List of Error Codes'!D1276:I1306, 6, FALSE), 'List of Error Codes'!$E$29)
)</f>
        <v>Please select ERROR CODE column "I"</v>
      </c>
      <c r="M1277" s="209"/>
      <c r="N1277" s="209"/>
      <c r="O1277" s="209"/>
      <c r="P1277" s="209"/>
      <c r="Q1277" s="209"/>
      <c r="R1277" s="217"/>
      <c r="S1277" s="217"/>
      <c r="T1277" s="217"/>
      <c r="U1277" s="199"/>
      <c r="V1277" s="200"/>
      <c r="W1277" s="200"/>
      <c r="X1277" s="200"/>
      <c r="Y1277" s="200"/>
      <c r="Z1277" s="200"/>
      <c r="AA1277" s="201"/>
      <c r="AB1277" s="200"/>
      <c r="AC1277" s="200"/>
    </row>
    <row r="1278" ht="15.75" customHeight="1">
      <c r="A1278" s="210">
        <f t="shared" si="1"/>
        <v>1276</v>
      </c>
      <c r="B1278" s="217"/>
      <c r="C1278" s="217" t="str">
        <f>IFERROR(VLOOKUP(B1278, SourceData!$U$3:$V$190, 2, FALSE), "")</f>
        <v/>
      </c>
      <c r="D1278" s="240"/>
      <c r="E1278" s="241"/>
      <c r="F1278" s="248"/>
      <c r="G1278" s="207"/>
      <c r="H1278" s="209"/>
      <c r="I1278" s="209"/>
      <c r="J1278" s="209"/>
      <c r="K1278" s="208" t="str">
        <f>IF(Errors!$I1278=0,SourceData!$B$42,VLOOKUP(Errors!$I1278,SourceData!$A$2:$B$40,2,FALSE))</f>
        <v>Please select ERROR CODE column "I"</v>
      </c>
      <c r="L1278" s="207" t="str">
        <f>IF(Errors!$I1278=0,
    'List of Error Codes'!$E$29,
    IFERROR(VLOOKUP(Errors!$I1278, 'List of Error Codes'!D1277:I1307, 6, FALSE), 'List of Error Codes'!$E$29)
)</f>
        <v>Please select ERROR CODE column "I"</v>
      </c>
      <c r="M1278" s="209"/>
      <c r="N1278" s="209"/>
      <c r="O1278" s="209"/>
      <c r="P1278" s="209"/>
      <c r="Q1278" s="209"/>
      <c r="R1278" s="217"/>
      <c r="S1278" s="217"/>
      <c r="T1278" s="217"/>
      <c r="U1278" s="199"/>
      <c r="V1278" s="200"/>
      <c r="W1278" s="200"/>
      <c r="X1278" s="200"/>
      <c r="Y1278" s="200"/>
      <c r="Z1278" s="200"/>
      <c r="AA1278" s="201"/>
      <c r="AB1278" s="200"/>
      <c r="AC1278" s="200"/>
    </row>
    <row r="1279" ht="15.75" customHeight="1">
      <c r="A1279" s="210">
        <f t="shared" si="1"/>
        <v>1277</v>
      </c>
      <c r="B1279" s="217"/>
      <c r="C1279" s="217" t="str">
        <f>IFERROR(VLOOKUP(B1279, SourceData!$U$3:$V$190, 2, FALSE), "")</f>
        <v/>
      </c>
      <c r="D1279" s="240"/>
      <c r="E1279" s="241"/>
      <c r="F1279" s="248"/>
      <c r="G1279" s="207"/>
      <c r="H1279" s="209"/>
      <c r="I1279" s="209"/>
      <c r="J1279" s="209"/>
      <c r="K1279" s="208" t="str">
        <f>IF(Errors!$I1279=0,SourceData!$B$42,VLOOKUP(Errors!$I1279,SourceData!$A$2:$B$40,2,FALSE))</f>
        <v>Please select ERROR CODE column "I"</v>
      </c>
      <c r="L1279" s="207" t="str">
        <f>IF(Errors!$I1279=0,
    'List of Error Codes'!$E$29,
    IFERROR(VLOOKUP(Errors!$I1279, 'List of Error Codes'!D1278:I1308, 6, FALSE), 'List of Error Codes'!$E$29)
)</f>
        <v>Please select ERROR CODE column "I"</v>
      </c>
      <c r="M1279" s="209"/>
      <c r="N1279" s="209"/>
      <c r="O1279" s="209"/>
      <c r="P1279" s="209"/>
      <c r="Q1279" s="209"/>
      <c r="R1279" s="217"/>
      <c r="S1279" s="217"/>
      <c r="T1279" s="217"/>
      <c r="U1279" s="199"/>
      <c r="V1279" s="200"/>
      <c r="W1279" s="200"/>
      <c r="X1279" s="200"/>
      <c r="Y1279" s="200"/>
      <c r="Z1279" s="200"/>
      <c r="AA1279" s="201"/>
      <c r="AB1279" s="200"/>
      <c r="AC1279" s="200"/>
    </row>
    <row r="1280" ht="15.75" customHeight="1">
      <c r="A1280" s="210">
        <f t="shared" si="1"/>
        <v>1278</v>
      </c>
      <c r="B1280" s="217"/>
      <c r="C1280" s="217" t="str">
        <f>IFERROR(VLOOKUP(B1280, SourceData!$U$3:$V$190, 2, FALSE), "")</f>
        <v/>
      </c>
      <c r="D1280" s="240"/>
      <c r="E1280" s="241"/>
      <c r="F1280" s="248"/>
      <c r="G1280" s="207"/>
      <c r="H1280" s="209"/>
      <c r="I1280" s="209"/>
      <c r="J1280" s="209"/>
      <c r="K1280" s="208" t="str">
        <f>IF(Errors!$I1280=0,SourceData!$B$42,VLOOKUP(Errors!$I1280,SourceData!$A$2:$B$40,2,FALSE))</f>
        <v>Please select ERROR CODE column "I"</v>
      </c>
      <c r="L1280" s="207" t="str">
        <f>IF(Errors!$I1280=0,
    'List of Error Codes'!$E$29,
    IFERROR(VLOOKUP(Errors!$I1280, 'List of Error Codes'!D1279:I1309, 6, FALSE), 'List of Error Codes'!$E$29)
)</f>
        <v>Please select ERROR CODE column "I"</v>
      </c>
      <c r="M1280" s="209"/>
      <c r="N1280" s="209"/>
      <c r="O1280" s="209"/>
      <c r="P1280" s="209"/>
      <c r="Q1280" s="209"/>
      <c r="R1280" s="217"/>
      <c r="S1280" s="217"/>
      <c r="T1280" s="217"/>
      <c r="U1280" s="199"/>
      <c r="V1280" s="200"/>
      <c r="W1280" s="200"/>
      <c r="X1280" s="200"/>
      <c r="Y1280" s="200"/>
      <c r="Z1280" s="200"/>
      <c r="AA1280" s="201"/>
      <c r="AB1280" s="200"/>
      <c r="AC1280" s="200"/>
    </row>
    <row r="1281" ht="15.75" customHeight="1">
      <c r="A1281" s="210">
        <f t="shared" si="1"/>
        <v>1279</v>
      </c>
      <c r="B1281" s="217"/>
      <c r="C1281" s="217" t="str">
        <f>IFERROR(VLOOKUP(B1281, SourceData!$U$3:$V$190, 2, FALSE), "")</f>
        <v/>
      </c>
      <c r="D1281" s="240"/>
      <c r="E1281" s="241"/>
      <c r="F1281" s="248"/>
      <c r="G1281" s="207"/>
      <c r="H1281" s="209"/>
      <c r="I1281" s="209"/>
      <c r="J1281" s="209"/>
      <c r="K1281" s="208" t="str">
        <f>IF(Errors!$I1281=0,SourceData!$B$42,VLOOKUP(Errors!$I1281,SourceData!$A$2:$B$40,2,FALSE))</f>
        <v>Please select ERROR CODE column "I"</v>
      </c>
      <c r="L1281" s="207" t="str">
        <f>IF(Errors!$I1281=0,
    'List of Error Codes'!$E$29,
    IFERROR(VLOOKUP(Errors!$I1281, 'List of Error Codes'!D1280:I1310, 6, FALSE), 'List of Error Codes'!$E$29)
)</f>
        <v>Please select ERROR CODE column "I"</v>
      </c>
      <c r="M1281" s="209"/>
      <c r="N1281" s="209"/>
      <c r="O1281" s="209"/>
      <c r="P1281" s="209"/>
      <c r="Q1281" s="209"/>
      <c r="R1281" s="217"/>
      <c r="S1281" s="217"/>
      <c r="T1281" s="217"/>
      <c r="U1281" s="199"/>
      <c r="V1281" s="200"/>
      <c r="W1281" s="200"/>
      <c r="X1281" s="200"/>
      <c r="Y1281" s="200"/>
      <c r="Z1281" s="200"/>
      <c r="AA1281" s="201"/>
      <c r="AB1281" s="200"/>
      <c r="AC1281" s="200"/>
    </row>
    <row r="1282" ht="15.75" customHeight="1">
      <c r="A1282" s="210">
        <f t="shared" si="1"/>
        <v>1280</v>
      </c>
      <c r="B1282" s="217"/>
      <c r="C1282" s="217" t="str">
        <f>IFERROR(VLOOKUP(B1282, SourceData!$U$3:$V$190, 2, FALSE), "")</f>
        <v/>
      </c>
      <c r="D1282" s="240"/>
      <c r="E1282" s="241"/>
      <c r="F1282" s="248"/>
      <c r="G1282" s="207"/>
      <c r="H1282" s="209"/>
      <c r="I1282" s="209"/>
      <c r="J1282" s="209"/>
      <c r="K1282" s="208" t="str">
        <f>IF(Errors!$I1282=0,SourceData!$B$42,VLOOKUP(Errors!$I1282,SourceData!$A$2:$B$40,2,FALSE))</f>
        <v>Please select ERROR CODE column "I"</v>
      </c>
      <c r="L1282" s="207" t="str">
        <f>IF(Errors!$I1282=0,
    'List of Error Codes'!$E$29,
    IFERROR(VLOOKUP(Errors!$I1282, 'List of Error Codes'!D1281:I1311, 6, FALSE), 'List of Error Codes'!$E$29)
)</f>
        <v>Please select ERROR CODE column "I"</v>
      </c>
      <c r="M1282" s="209"/>
      <c r="N1282" s="209"/>
      <c r="O1282" s="209"/>
      <c r="P1282" s="209"/>
      <c r="Q1282" s="209"/>
      <c r="R1282" s="217"/>
      <c r="S1282" s="217"/>
      <c r="T1282" s="217"/>
      <c r="U1282" s="199"/>
      <c r="V1282" s="200"/>
      <c r="W1282" s="200"/>
      <c r="X1282" s="200"/>
      <c r="Y1282" s="200"/>
      <c r="Z1282" s="200"/>
      <c r="AA1282" s="201"/>
      <c r="AB1282" s="200"/>
      <c r="AC1282" s="200"/>
    </row>
    <row r="1283" ht="15.75" customHeight="1">
      <c r="A1283" s="210">
        <f t="shared" si="1"/>
        <v>1281</v>
      </c>
      <c r="B1283" s="217"/>
      <c r="C1283" s="217" t="str">
        <f>IFERROR(VLOOKUP(B1283, SourceData!$U$3:$V$190, 2, FALSE), "")</f>
        <v/>
      </c>
      <c r="D1283" s="240"/>
      <c r="E1283" s="241"/>
      <c r="F1283" s="248"/>
      <c r="G1283" s="207"/>
      <c r="H1283" s="209"/>
      <c r="I1283" s="209"/>
      <c r="J1283" s="209"/>
      <c r="K1283" s="208" t="str">
        <f>IF(Errors!$I1283=0,SourceData!$B$42,VLOOKUP(Errors!$I1283,SourceData!$A$2:$B$40,2,FALSE))</f>
        <v>Please select ERROR CODE column "I"</v>
      </c>
      <c r="L1283" s="207" t="str">
        <f>IF(Errors!$I1283=0,
    'List of Error Codes'!$E$29,
    IFERROR(VLOOKUP(Errors!$I1283, 'List of Error Codes'!D1282:I1312, 6, FALSE), 'List of Error Codes'!$E$29)
)</f>
        <v>Please select ERROR CODE column "I"</v>
      </c>
      <c r="M1283" s="209"/>
      <c r="N1283" s="209"/>
      <c r="O1283" s="209"/>
      <c r="P1283" s="209"/>
      <c r="Q1283" s="209"/>
      <c r="R1283" s="217"/>
      <c r="S1283" s="217"/>
      <c r="T1283" s="217"/>
      <c r="U1283" s="199"/>
      <c r="V1283" s="200"/>
      <c r="W1283" s="200"/>
      <c r="X1283" s="200"/>
      <c r="Y1283" s="200"/>
      <c r="Z1283" s="200"/>
      <c r="AA1283" s="201"/>
      <c r="AB1283" s="200"/>
      <c r="AC1283" s="200"/>
    </row>
    <row r="1284" ht="15.75" customHeight="1">
      <c r="A1284" s="210">
        <f t="shared" si="1"/>
        <v>1282</v>
      </c>
      <c r="B1284" s="217"/>
      <c r="C1284" s="217" t="str">
        <f>IFERROR(VLOOKUP(B1284, SourceData!$U$3:$V$190, 2, FALSE), "")</f>
        <v/>
      </c>
      <c r="D1284" s="240"/>
      <c r="E1284" s="241"/>
      <c r="F1284" s="248"/>
      <c r="G1284" s="207"/>
      <c r="H1284" s="209"/>
      <c r="I1284" s="209"/>
      <c r="J1284" s="209"/>
      <c r="K1284" s="208" t="str">
        <f>IF(Errors!$I1284=0,SourceData!$B$42,VLOOKUP(Errors!$I1284,SourceData!$A$2:$B$40,2,FALSE))</f>
        <v>Please select ERROR CODE column "I"</v>
      </c>
      <c r="L1284" s="207" t="str">
        <f>IF(Errors!$I1284=0,
    'List of Error Codes'!$E$29,
    IFERROR(VLOOKUP(Errors!$I1284, 'List of Error Codes'!D1283:I1313, 6, FALSE), 'List of Error Codes'!$E$29)
)</f>
        <v>Please select ERROR CODE column "I"</v>
      </c>
      <c r="M1284" s="209"/>
      <c r="N1284" s="209"/>
      <c r="O1284" s="209"/>
      <c r="P1284" s="209"/>
      <c r="Q1284" s="209"/>
      <c r="R1284" s="217"/>
      <c r="S1284" s="217"/>
      <c r="T1284" s="217"/>
      <c r="U1284" s="199"/>
      <c r="V1284" s="200"/>
      <c r="W1284" s="200"/>
      <c r="X1284" s="200"/>
      <c r="Y1284" s="200"/>
      <c r="Z1284" s="200"/>
      <c r="AA1284" s="201"/>
      <c r="AB1284" s="200"/>
      <c r="AC1284" s="200"/>
    </row>
    <row r="1285" ht="15.75" customHeight="1">
      <c r="A1285" s="210">
        <f t="shared" si="1"/>
        <v>1283</v>
      </c>
      <c r="B1285" s="217"/>
      <c r="C1285" s="217" t="str">
        <f>IFERROR(VLOOKUP(B1285, SourceData!$U$3:$V$190, 2, FALSE), "")</f>
        <v/>
      </c>
      <c r="D1285" s="240"/>
      <c r="E1285" s="241"/>
      <c r="F1285" s="248"/>
      <c r="G1285" s="207"/>
      <c r="H1285" s="209"/>
      <c r="I1285" s="209"/>
      <c r="J1285" s="209"/>
      <c r="K1285" s="208" t="str">
        <f>IF(Errors!$I1285=0,SourceData!$B$42,VLOOKUP(Errors!$I1285,SourceData!$A$2:$B$40,2,FALSE))</f>
        <v>Please select ERROR CODE column "I"</v>
      </c>
      <c r="L1285" s="207" t="str">
        <f>IF(Errors!$I1285=0,
    'List of Error Codes'!$E$29,
    IFERROR(VLOOKUP(Errors!$I1285, 'List of Error Codes'!D1284:I1314, 6, FALSE), 'List of Error Codes'!$E$29)
)</f>
        <v>Please select ERROR CODE column "I"</v>
      </c>
      <c r="M1285" s="209"/>
      <c r="N1285" s="209"/>
      <c r="O1285" s="209"/>
      <c r="P1285" s="209"/>
      <c r="Q1285" s="209"/>
      <c r="R1285" s="217"/>
      <c r="S1285" s="217"/>
      <c r="T1285" s="217"/>
      <c r="U1285" s="199"/>
      <c r="V1285" s="200"/>
      <c r="W1285" s="200"/>
      <c r="X1285" s="200"/>
      <c r="Y1285" s="200"/>
      <c r="Z1285" s="200"/>
      <c r="AA1285" s="201"/>
      <c r="AB1285" s="200"/>
      <c r="AC1285" s="200"/>
    </row>
    <row r="1286" ht="15.75" customHeight="1">
      <c r="A1286" s="210">
        <f t="shared" si="1"/>
        <v>1284</v>
      </c>
      <c r="B1286" s="217"/>
      <c r="C1286" s="217" t="str">
        <f>IFERROR(VLOOKUP(B1286, SourceData!$U$3:$V$190, 2, FALSE), "")</f>
        <v/>
      </c>
      <c r="D1286" s="240"/>
      <c r="E1286" s="241"/>
      <c r="F1286" s="248"/>
      <c r="G1286" s="207"/>
      <c r="H1286" s="209"/>
      <c r="I1286" s="209"/>
      <c r="J1286" s="209"/>
      <c r="K1286" s="208" t="str">
        <f>IF(Errors!$I1286=0,SourceData!$B$42,VLOOKUP(Errors!$I1286,SourceData!$A$2:$B$40,2,FALSE))</f>
        <v>Please select ERROR CODE column "I"</v>
      </c>
      <c r="L1286" s="207" t="str">
        <f>IF(Errors!$I1286=0,
    'List of Error Codes'!$E$29,
    IFERROR(VLOOKUP(Errors!$I1286, 'List of Error Codes'!D1285:I1315, 6, FALSE), 'List of Error Codes'!$E$29)
)</f>
        <v>Please select ERROR CODE column "I"</v>
      </c>
      <c r="M1286" s="209"/>
      <c r="N1286" s="209"/>
      <c r="O1286" s="209"/>
      <c r="P1286" s="209"/>
      <c r="Q1286" s="209"/>
      <c r="R1286" s="217"/>
      <c r="S1286" s="217"/>
      <c r="T1286" s="217"/>
      <c r="U1286" s="199"/>
      <c r="V1286" s="200"/>
      <c r="W1286" s="200"/>
      <c r="X1286" s="200"/>
      <c r="Y1286" s="200"/>
      <c r="Z1286" s="200"/>
      <c r="AA1286" s="201"/>
      <c r="AB1286" s="200"/>
      <c r="AC1286" s="200"/>
    </row>
    <row r="1287" ht="15.75" customHeight="1">
      <c r="A1287" s="210">
        <f t="shared" si="1"/>
        <v>1285</v>
      </c>
      <c r="B1287" s="217"/>
      <c r="C1287" s="217" t="str">
        <f>IFERROR(VLOOKUP(B1287, SourceData!$U$3:$V$190, 2, FALSE), "")</f>
        <v/>
      </c>
      <c r="D1287" s="240"/>
      <c r="E1287" s="241"/>
      <c r="F1287" s="248"/>
      <c r="G1287" s="207"/>
      <c r="H1287" s="209"/>
      <c r="I1287" s="209"/>
      <c r="J1287" s="209"/>
      <c r="K1287" s="208" t="str">
        <f>IF(Errors!$I1287=0,SourceData!$B$42,VLOOKUP(Errors!$I1287,SourceData!$A$2:$B$40,2,FALSE))</f>
        <v>Please select ERROR CODE column "I"</v>
      </c>
      <c r="L1287" s="207" t="str">
        <f>IF(Errors!$I1287=0,
    'List of Error Codes'!$E$29,
    IFERROR(VLOOKUP(Errors!$I1287, 'List of Error Codes'!D1286:I1316, 6, FALSE), 'List of Error Codes'!$E$29)
)</f>
        <v>Please select ERROR CODE column "I"</v>
      </c>
      <c r="M1287" s="209"/>
      <c r="N1287" s="209"/>
      <c r="O1287" s="209"/>
      <c r="P1287" s="209"/>
      <c r="Q1287" s="209"/>
      <c r="R1287" s="217"/>
      <c r="S1287" s="217"/>
      <c r="T1287" s="217"/>
      <c r="U1287" s="199"/>
      <c r="V1287" s="200"/>
      <c r="W1287" s="200"/>
      <c r="X1287" s="200"/>
      <c r="Y1287" s="200"/>
      <c r="Z1287" s="200"/>
      <c r="AA1287" s="201"/>
      <c r="AB1287" s="200"/>
      <c r="AC1287" s="200"/>
    </row>
    <row r="1288" ht="15.75" customHeight="1">
      <c r="A1288" s="210">
        <f t="shared" si="1"/>
        <v>1286</v>
      </c>
      <c r="B1288" s="217"/>
      <c r="C1288" s="217" t="str">
        <f>IFERROR(VLOOKUP(B1288, SourceData!$U$3:$V$190, 2, FALSE), "")</f>
        <v/>
      </c>
      <c r="D1288" s="240"/>
      <c r="E1288" s="241"/>
      <c r="F1288" s="248"/>
      <c r="G1288" s="207"/>
      <c r="H1288" s="209"/>
      <c r="I1288" s="209"/>
      <c r="J1288" s="209"/>
      <c r="K1288" s="208" t="str">
        <f>IF(Errors!$I1288=0,SourceData!$B$42,VLOOKUP(Errors!$I1288,SourceData!$A$2:$B$40,2,FALSE))</f>
        <v>Please select ERROR CODE column "I"</v>
      </c>
      <c r="L1288" s="207" t="str">
        <f>IF(Errors!$I1288=0,
    'List of Error Codes'!$E$29,
    IFERROR(VLOOKUP(Errors!$I1288, 'List of Error Codes'!D1287:I1317, 6, FALSE), 'List of Error Codes'!$E$29)
)</f>
        <v>Please select ERROR CODE column "I"</v>
      </c>
      <c r="M1288" s="209"/>
      <c r="N1288" s="209"/>
      <c r="O1288" s="209"/>
      <c r="P1288" s="209"/>
      <c r="Q1288" s="209"/>
      <c r="R1288" s="217"/>
      <c r="S1288" s="217"/>
      <c r="T1288" s="217"/>
      <c r="U1288" s="199"/>
      <c r="V1288" s="200"/>
      <c r="W1288" s="200"/>
      <c r="X1288" s="200"/>
      <c r="Y1288" s="200"/>
      <c r="Z1288" s="200"/>
      <c r="AA1288" s="201"/>
      <c r="AB1288" s="200"/>
      <c r="AC1288" s="200"/>
    </row>
    <row r="1289" ht="15.75" customHeight="1">
      <c r="A1289" s="210">
        <f t="shared" si="1"/>
        <v>1287</v>
      </c>
      <c r="B1289" s="217"/>
      <c r="C1289" s="217" t="str">
        <f>IFERROR(VLOOKUP(B1289, SourceData!$U$3:$V$190, 2, FALSE), "")</f>
        <v/>
      </c>
      <c r="D1289" s="240"/>
      <c r="E1289" s="241"/>
      <c r="F1289" s="248"/>
      <c r="G1289" s="207"/>
      <c r="H1289" s="209"/>
      <c r="I1289" s="209"/>
      <c r="J1289" s="209"/>
      <c r="K1289" s="208" t="str">
        <f>IF(Errors!$I1289=0,SourceData!$B$42,VLOOKUP(Errors!$I1289,SourceData!$A$2:$B$40,2,FALSE))</f>
        <v>Please select ERROR CODE column "I"</v>
      </c>
      <c r="L1289" s="207" t="str">
        <f>IF(Errors!$I1289=0,
    'List of Error Codes'!$E$29,
    IFERROR(VLOOKUP(Errors!$I1289, 'List of Error Codes'!D1288:I1318, 6, FALSE), 'List of Error Codes'!$E$29)
)</f>
        <v>Please select ERROR CODE column "I"</v>
      </c>
      <c r="M1289" s="209"/>
      <c r="N1289" s="209"/>
      <c r="O1289" s="209"/>
      <c r="P1289" s="209"/>
      <c r="Q1289" s="209"/>
      <c r="R1289" s="217"/>
      <c r="S1289" s="217"/>
      <c r="T1289" s="217"/>
      <c r="U1289" s="199"/>
      <c r="V1289" s="200"/>
      <c r="W1289" s="200"/>
      <c r="X1289" s="200"/>
      <c r="Y1289" s="200"/>
      <c r="Z1289" s="200"/>
      <c r="AA1289" s="201"/>
      <c r="AB1289" s="200"/>
      <c r="AC1289" s="200"/>
    </row>
    <row r="1290" ht="15.75" customHeight="1">
      <c r="A1290" s="210">
        <f t="shared" si="1"/>
        <v>1288</v>
      </c>
      <c r="B1290" s="217"/>
      <c r="C1290" s="217" t="str">
        <f>IFERROR(VLOOKUP(B1290, SourceData!$U$3:$V$190, 2, FALSE), "")</f>
        <v/>
      </c>
      <c r="D1290" s="240"/>
      <c r="E1290" s="241"/>
      <c r="F1290" s="248"/>
      <c r="G1290" s="207"/>
      <c r="H1290" s="209"/>
      <c r="I1290" s="209"/>
      <c r="J1290" s="209"/>
      <c r="K1290" s="208" t="str">
        <f>IF(Errors!$I1290=0,SourceData!$B$42,VLOOKUP(Errors!$I1290,SourceData!$A$2:$B$40,2,FALSE))</f>
        <v>Please select ERROR CODE column "I"</v>
      </c>
      <c r="L1290" s="207" t="str">
        <f>IF(Errors!$I1290=0,
    'List of Error Codes'!$E$29,
    IFERROR(VLOOKUP(Errors!$I1290, 'List of Error Codes'!D1289:I1319, 6, FALSE), 'List of Error Codes'!$E$29)
)</f>
        <v>Please select ERROR CODE column "I"</v>
      </c>
      <c r="M1290" s="209"/>
      <c r="N1290" s="209"/>
      <c r="O1290" s="209"/>
      <c r="P1290" s="209"/>
      <c r="Q1290" s="209"/>
      <c r="R1290" s="217"/>
      <c r="S1290" s="217"/>
      <c r="T1290" s="217"/>
      <c r="U1290" s="199"/>
      <c r="V1290" s="200"/>
      <c r="W1290" s="200"/>
      <c r="X1290" s="200"/>
      <c r="Y1290" s="200"/>
      <c r="Z1290" s="200"/>
      <c r="AA1290" s="201"/>
      <c r="AB1290" s="200"/>
      <c r="AC1290" s="200"/>
    </row>
    <row r="1291" ht="15.75" customHeight="1">
      <c r="A1291" s="210">
        <f t="shared" si="1"/>
        <v>1289</v>
      </c>
      <c r="B1291" s="217"/>
      <c r="C1291" s="217" t="str">
        <f>IFERROR(VLOOKUP(B1291, SourceData!$U$3:$V$190, 2, FALSE), "")</f>
        <v/>
      </c>
      <c r="D1291" s="240"/>
      <c r="E1291" s="241"/>
      <c r="F1291" s="248"/>
      <c r="G1291" s="207"/>
      <c r="H1291" s="209"/>
      <c r="I1291" s="209"/>
      <c r="J1291" s="209"/>
      <c r="K1291" s="208" t="str">
        <f>IF(Errors!$I1291=0,SourceData!$B$42,VLOOKUP(Errors!$I1291,SourceData!$A$2:$B$40,2,FALSE))</f>
        <v>Please select ERROR CODE column "I"</v>
      </c>
      <c r="L1291" s="207" t="str">
        <f>IF(Errors!$I1291=0,
    'List of Error Codes'!$E$29,
    IFERROR(VLOOKUP(Errors!$I1291, 'List of Error Codes'!D1290:I1320, 6, FALSE), 'List of Error Codes'!$E$29)
)</f>
        <v>Please select ERROR CODE column "I"</v>
      </c>
      <c r="M1291" s="209"/>
      <c r="N1291" s="209"/>
      <c r="O1291" s="209"/>
      <c r="P1291" s="209"/>
      <c r="Q1291" s="209"/>
      <c r="R1291" s="217"/>
      <c r="S1291" s="217"/>
      <c r="T1291" s="217"/>
      <c r="U1291" s="199"/>
      <c r="V1291" s="200"/>
      <c r="W1291" s="200"/>
      <c r="X1291" s="200"/>
      <c r="Y1291" s="200"/>
      <c r="Z1291" s="200"/>
      <c r="AA1291" s="201"/>
      <c r="AB1291" s="200"/>
      <c r="AC1291" s="200"/>
    </row>
    <row r="1292" ht="15.75" customHeight="1">
      <c r="A1292" s="210">
        <f t="shared" si="1"/>
        <v>1290</v>
      </c>
      <c r="B1292" s="217"/>
      <c r="C1292" s="217" t="str">
        <f>IFERROR(VLOOKUP(B1292, SourceData!$U$3:$V$190, 2, FALSE), "")</f>
        <v/>
      </c>
      <c r="D1292" s="240"/>
      <c r="E1292" s="241"/>
      <c r="F1292" s="248"/>
      <c r="G1292" s="207"/>
      <c r="H1292" s="209"/>
      <c r="I1292" s="209"/>
      <c r="J1292" s="209"/>
      <c r="K1292" s="208" t="str">
        <f>IF(Errors!$I1292=0,SourceData!$B$42,VLOOKUP(Errors!$I1292,SourceData!$A$2:$B$40,2,FALSE))</f>
        <v>Please select ERROR CODE column "I"</v>
      </c>
      <c r="L1292" s="207" t="str">
        <f>IF(Errors!$I1292=0,
    'List of Error Codes'!$E$29,
    IFERROR(VLOOKUP(Errors!$I1292, 'List of Error Codes'!D1291:I1321, 6, FALSE), 'List of Error Codes'!$E$29)
)</f>
        <v>Please select ERROR CODE column "I"</v>
      </c>
      <c r="M1292" s="209"/>
      <c r="N1292" s="209"/>
      <c r="O1292" s="209"/>
      <c r="P1292" s="209"/>
      <c r="Q1292" s="209"/>
      <c r="R1292" s="217"/>
      <c r="S1292" s="217"/>
      <c r="T1292" s="217"/>
      <c r="U1292" s="199"/>
      <c r="V1292" s="200"/>
      <c r="W1292" s="200"/>
      <c r="X1292" s="200"/>
      <c r="Y1292" s="200"/>
      <c r="Z1292" s="200"/>
      <c r="AA1292" s="201"/>
      <c r="AB1292" s="200"/>
      <c r="AC1292" s="200"/>
    </row>
    <row r="1293" ht="15.75" customHeight="1">
      <c r="A1293" s="210">
        <f t="shared" si="1"/>
        <v>1291</v>
      </c>
      <c r="B1293" s="217"/>
      <c r="C1293" s="217" t="str">
        <f>IFERROR(VLOOKUP(B1293, SourceData!$U$3:$V$190, 2, FALSE), "")</f>
        <v/>
      </c>
      <c r="D1293" s="240"/>
      <c r="E1293" s="241"/>
      <c r="F1293" s="248"/>
      <c r="G1293" s="207"/>
      <c r="H1293" s="209"/>
      <c r="I1293" s="209"/>
      <c r="J1293" s="209"/>
      <c r="K1293" s="208" t="str">
        <f>IF(Errors!$I1293=0,SourceData!$B$42,VLOOKUP(Errors!$I1293,SourceData!$A$2:$B$40,2,FALSE))</f>
        <v>Please select ERROR CODE column "I"</v>
      </c>
      <c r="L1293" s="207" t="str">
        <f>IF(Errors!$I1293=0,
    'List of Error Codes'!$E$29,
    IFERROR(VLOOKUP(Errors!$I1293, 'List of Error Codes'!D1292:I1322, 6, FALSE), 'List of Error Codes'!$E$29)
)</f>
        <v>Please select ERROR CODE column "I"</v>
      </c>
      <c r="M1293" s="209"/>
      <c r="N1293" s="209"/>
      <c r="O1293" s="209"/>
      <c r="P1293" s="209"/>
      <c r="Q1293" s="209"/>
      <c r="R1293" s="217"/>
      <c r="S1293" s="217"/>
      <c r="T1293" s="217"/>
      <c r="U1293" s="199"/>
      <c r="V1293" s="200"/>
      <c r="W1293" s="200"/>
      <c r="X1293" s="200"/>
      <c r="Y1293" s="200"/>
      <c r="Z1293" s="200"/>
      <c r="AA1293" s="201"/>
      <c r="AB1293" s="200"/>
      <c r="AC1293" s="200"/>
    </row>
    <row r="1294" ht="15.75" customHeight="1">
      <c r="A1294" s="210">
        <f t="shared" si="1"/>
        <v>1292</v>
      </c>
      <c r="B1294" s="217"/>
      <c r="C1294" s="217" t="str">
        <f>IFERROR(VLOOKUP(B1294, SourceData!$U$3:$V$190, 2, FALSE), "")</f>
        <v/>
      </c>
      <c r="D1294" s="240"/>
      <c r="E1294" s="241"/>
      <c r="F1294" s="248"/>
      <c r="G1294" s="207"/>
      <c r="H1294" s="209"/>
      <c r="I1294" s="209"/>
      <c r="J1294" s="209"/>
      <c r="K1294" s="208" t="str">
        <f>IF(Errors!$I1294=0,SourceData!$B$42,VLOOKUP(Errors!$I1294,SourceData!$A$2:$B$40,2,FALSE))</f>
        <v>Please select ERROR CODE column "I"</v>
      </c>
      <c r="L1294" s="207" t="str">
        <f>IF(Errors!$I1294=0,
    'List of Error Codes'!$E$29,
    IFERROR(VLOOKUP(Errors!$I1294, 'List of Error Codes'!D1293:I1323, 6, FALSE), 'List of Error Codes'!$E$29)
)</f>
        <v>Please select ERROR CODE column "I"</v>
      </c>
      <c r="M1294" s="209"/>
      <c r="N1294" s="209"/>
      <c r="O1294" s="209"/>
      <c r="P1294" s="209"/>
      <c r="Q1294" s="209"/>
      <c r="R1294" s="217"/>
      <c r="S1294" s="217"/>
      <c r="T1294" s="217"/>
      <c r="U1294" s="199"/>
      <c r="V1294" s="200"/>
      <c r="W1294" s="200"/>
      <c r="X1294" s="200"/>
      <c r="Y1294" s="200"/>
      <c r="Z1294" s="200"/>
      <c r="AA1294" s="201"/>
      <c r="AB1294" s="200"/>
      <c r="AC1294" s="200"/>
    </row>
    <row r="1295" ht="15.75" customHeight="1">
      <c r="A1295" s="210">
        <f t="shared" si="1"/>
        <v>1293</v>
      </c>
      <c r="B1295" s="217"/>
      <c r="C1295" s="217" t="str">
        <f>IFERROR(VLOOKUP(B1295, SourceData!$U$3:$V$190, 2, FALSE), "")</f>
        <v/>
      </c>
      <c r="D1295" s="240"/>
      <c r="E1295" s="241"/>
      <c r="F1295" s="248"/>
      <c r="G1295" s="207"/>
      <c r="H1295" s="209"/>
      <c r="I1295" s="209"/>
      <c r="J1295" s="209"/>
      <c r="K1295" s="208" t="str">
        <f>IF(Errors!$I1295=0,SourceData!$B$42,VLOOKUP(Errors!$I1295,SourceData!$A$2:$B$40,2,FALSE))</f>
        <v>Please select ERROR CODE column "I"</v>
      </c>
      <c r="L1295" s="207" t="str">
        <f>IF(Errors!$I1295=0,
    'List of Error Codes'!$E$29,
    IFERROR(VLOOKUP(Errors!$I1295, 'List of Error Codes'!D1294:I1324, 6, FALSE), 'List of Error Codes'!$E$29)
)</f>
        <v>Please select ERROR CODE column "I"</v>
      </c>
      <c r="M1295" s="209"/>
      <c r="N1295" s="209"/>
      <c r="O1295" s="209"/>
      <c r="P1295" s="209"/>
      <c r="Q1295" s="209"/>
      <c r="R1295" s="217"/>
      <c r="S1295" s="217"/>
      <c r="T1295" s="217"/>
      <c r="U1295" s="199"/>
      <c r="V1295" s="200"/>
      <c r="W1295" s="200"/>
      <c r="X1295" s="200"/>
      <c r="Y1295" s="200"/>
      <c r="Z1295" s="200"/>
      <c r="AA1295" s="201"/>
      <c r="AB1295" s="200"/>
      <c r="AC1295" s="200"/>
    </row>
    <row r="1296" ht="15.75" customHeight="1">
      <c r="A1296" s="210">
        <f t="shared" si="1"/>
        <v>1294</v>
      </c>
      <c r="B1296" s="217"/>
      <c r="C1296" s="217" t="str">
        <f>IFERROR(VLOOKUP(B1296, SourceData!$U$3:$V$190, 2, FALSE), "")</f>
        <v/>
      </c>
      <c r="D1296" s="240"/>
      <c r="E1296" s="241"/>
      <c r="F1296" s="248"/>
      <c r="G1296" s="207"/>
      <c r="H1296" s="209"/>
      <c r="I1296" s="209"/>
      <c r="J1296" s="209"/>
      <c r="K1296" s="208" t="str">
        <f>IF(Errors!$I1296=0,SourceData!$B$42,VLOOKUP(Errors!$I1296,SourceData!$A$2:$B$40,2,FALSE))</f>
        <v>Please select ERROR CODE column "I"</v>
      </c>
      <c r="L1296" s="207" t="str">
        <f>IF(Errors!$I1296=0,
    'List of Error Codes'!$E$29,
    IFERROR(VLOOKUP(Errors!$I1296, 'List of Error Codes'!D1295:I1325, 6, FALSE), 'List of Error Codes'!$E$29)
)</f>
        <v>Please select ERROR CODE column "I"</v>
      </c>
      <c r="M1296" s="209"/>
      <c r="N1296" s="209"/>
      <c r="O1296" s="209"/>
      <c r="P1296" s="209"/>
      <c r="Q1296" s="209"/>
      <c r="R1296" s="217"/>
      <c r="S1296" s="217"/>
      <c r="T1296" s="217"/>
      <c r="U1296" s="199"/>
      <c r="V1296" s="200"/>
      <c r="W1296" s="200"/>
      <c r="X1296" s="200"/>
      <c r="Y1296" s="200"/>
      <c r="Z1296" s="200"/>
      <c r="AA1296" s="201"/>
      <c r="AB1296" s="200"/>
      <c r="AC1296" s="200"/>
    </row>
    <row r="1297" ht="15.75" customHeight="1">
      <c r="A1297" s="210">
        <f t="shared" si="1"/>
        <v>1295</v>
      </c>
      <c r="B1297" s="217"/>
      <c r="C1297" s="217" t="str">
        <f>IFERROR(VLOOKUP(B1297, SourceData!$U$3:$V$190, 2, FALSE), "")</f>
        <v/>
      </c>
      <c r="D1297" s="240"/>
      <c r="E1297" s="241"/>
      <c r="F1297" s="248"/>
      <c r="G1297" s="207"/>
      <c r="H1297" s="209"/>
      <c r="I1297" s="209"/>
      <c r="J1297" s="209"/>
      <c r="K1297" s="208" t="str">
        <f>IF(Errors!$I1297=0,SourceData!$B$42,VLOOKUP(Errors!$I1297,SourceData!$A$2:$B$40,2,FALSE))</f>
        <v>Please select ERROR CODE column "I"</v>
      </c>
      <c r="L1297" s="207" t="str">
        <f>IF(Errors!$I1297=0,
    'List of Error Codes'!$E$29,
    IFERROR(VLOOKUP(Errors!$I1297, 'List of Error Codes'!D1296:I1326, 6, FALSE), 'List of Error Codes'!$E$29)
)</f>
        <v>Please select ERROR CODE column "I"</v>
      </c>
      <c r="M1297" s="209"/>
      <c r="N1297" s="209"/>
      <c r="O1297" s="209"/>
      <c r="P1297" s="209"/>
      <c r="Q1297" s="209"/>
      <c r="R1297" s="217"/>
      <c r="S1297" s="217"/>
      <c r="T1297" s="217"/>
      <c r="U1297" s="199"/>
      <c r="V1297" s="200"/>
      <c r="W1297" s="200"/>
      <c r="X1297" s="200"/>
      <c r="Y1297" s="200"/>
      <c r="Z1297" s="200"/>
      <c r="AA1297" s="201"/>
      <c r="AB1297" s="200"/>
      <c r="AC1297" s="200"/>
    </row>
    <row r="1298" ht="15.75" customHeight="1">
      <c r="A1298" s="210">
        <f t="shared" si="1"/>
        <v>1296</v>
      </c>
      <c r="B1298" s="217"/>
      <c r="C1298" s="217" t="str">
        <f>IFERROR(VLOOKUP(B1298, SourceData!$U$3:$V$190, 2, FALSE), "")</f>
        <v/>
      </c>
      <c r="D1298" s="240"/>
      <c r="E1298" s="241"/>
      <c r="F1298" s="248"/>
      <c r="G1298" s="207"/>
      <c r="H1298" s="209"/>
      <c r="I1298" s="209"/>
      <c r="J1298" s="209"/>
      <c r="K1298" s="208" t="str">
        <f>IF(Errors!$I1298=0,SourceData!$B$42,VLOOKUP(Errors!$I1298,SourceData!$A$2:$B$40,2,FALSE))</f>
        <v>Please select ERROR CODE column "I"</v>
      </c>
      <c r="L1298" s="207" t="str">
        <f>IF(Errors!$I1298=0,
    'List of Error Codes'!$E$29,
    IFERROR(VLOOKUP(Errors!$I1298, 'List of Error Codes'!D1297:I1327, 6, FALSE), 'List of Error Codes'!$E$29)
)</f>
        <v>Please select ERROR CODE column "I"</v>
      </c>
      <c r="M1298" s="209"/>
      <c r="N1298" s="209"/>
      <c r="O1298" s="209"/>
      <c r="P1298" s="209"/>
      <c r="Q1298" s="209"/>
      <c r="R1298" s="217"/>
      <c r="S1298" s="217"/>
      <c r="T1298" s="217"/>
      <c r="U1298" s="199"/>
      <c r="V1298" s="200"/>
      <c r="W1298" s="200"/>
      <c r="X1298" s="200"/>
      <c r="Y1298" s="200"/>
      <c r="Z1298" s="200"/>
      <c r="AA1298" s="201"/>
      <c r="AB1298" s="200"/>
      <c r="AC1298" s="200"/>
    </row>
    <row r="1299" ht="15.75" customHeight="1">
      <c r="A1299" s="210">
        <f t="shared" si="1"/>
        <v>1297</v>
      </c>
      <c r="B1299" s="217"/>
      <c r="C1299" s="217" t="str">
        <f>IFERROR(VLOOKUP(B1299, SourceData!$U$3:$V$190, 2, FALSE), "")</f>
        <v/>
      </c>
      <c r="D1299" s="240"/>
      <c r="E1299" s="241"/>
      <c r="F1299" s="248"/>
      <c r="G1299" s="207"/>
      <c r="H1299" s="209"/>
      <c r="I1299" s="209"/>
      <c r="J1299" s="209"/>
      <c r="K1299" s="208" t="str">
        <f>IF(Errors!$I1299=0,SourceData!$B$42,VLOOKUP(Errors!$I1299,SourceData!$A$2:$B$40,2,FALSE))</f>
        <v>Please select ERROR CODE column "I"</v>
      </c>
      <c r="L1299" s="207" t="str">
        <f>IF(Errors!$I1299=0,
    'List of Error Codes'!$E$29,
    IFERROR(VLOOKUP(Errors!$I1299, 'List of Error Codes'!D1298:I1328, 6, FALSE), 'List of Error Codes'!$E$29)
)</f>
        <v>Please select ERROR CODE column "I"</v>
      </c>
      <c r="M1299" s="209"/>
      <c r="N1299" s="209"/>
      <c r="O1299" s="209"/>
      <c r="P1299" s="209"/>
      <c r="Q1299" s="209"/>
      <c r="R1299" s="217"/>
      <c r="S1299" s="217"/>
      <c r="T1299" s="217"/>
      <c r="U1299" s="199"/>
      <c r="V1299" s="200"/>
      <c r="W1299" s="200"/>
      <c r="X1299" s="200"/>
      <c r="Y1299" s="200"/>
      <c r="Z1299" s="200"/>
      <c r="AA1299" s="201"/>
      <c r="AB1299" s="200"/>
      <c r="AC1299" s="200"/>
    </row>
    <row r="1300" ht="15.75" customHeight="1">
      <c r="A1300" s="210">
        <f t="shared" si="1"/>
        <v>1298</v>
      </c>
      <c r="B1300" s="217"/>
      <c r="C1300" s="217" t="str">
        <f>IFERROR(VLOOKUP(B1300, SourceData!$U$3:$V$190, 2, FALSE), "")</f>
        <v/>
      </c>
      <c r="D1300" s="240"/>
      <c r="E1300" s="241"/>
      <c r="F1300" s="248"/>
      <c r="G1300" s="207"/>
      <c r="H1300" s="209"/>
      <c r="I1300" s="209"/>
      <c r="J1300" s="209"/>
      <c r="K1300" s="208" t="str">
        <f>IF(Errors!$I1300=0,SourceData!$B$42,VLOOKUP(Errors!$I1300,SourceData!$A$2:$B$40,2,FALSE))</f>
        <v>Please select ERROR CODE column "I"</v>
      </c>
      <c r="L1300" s="207" t="str">
        <f>IF(Errors!$I1300=0,
    'List of Error Codes'!$E$29,
    IFERROR(VLOOKUP(Errors!$I1300, 'List of Error Codes'!D1299:I1329, 6, FALSE), 'List of Error Codes'!$E$29)
)</f>
        <v>Please select ERROR CODE column "I"</v>
      </c>
      <c r="M1300" s="209"/>
      <c r="N1300" s="209"/>
      <c r="O1300" s="209"/>
      <c r="P1300" s="209"/>
      <c r="Q1300" s="209"/>
      <c r="R1300" s="217"/>
      <c r="S1300" s="217"/>
      <c r="T1300" s="217"/>
      <c r="U1300" s="199"/>
      <c r="V1300" s="200"/>
      <c r="W1300" s="200"/>
      <c r="X1300" s="200"/>
      <c r="Y1300" s="200"/>
      <c r="Z1300" s="200"/>
      <c r="AA1300" s="201"/>
      <c r="AB1300" s="200"/>
      <c r="AC1300" s="200"/>
    </row>
    <row r="1301" ht="15.75" customHeight="1">
      <c r="A1301" s="210">
        <f t="shared" si="1"/>
        <v>1299</v>
      </c>
      <c r="B1301" s="217"/>
      <c r="C1301" s="217" t="str">
        <f>IFERROR(VLOOKUP(B1301, SourceData!$U$3:$V$190, 2, FALSE), "")</f>
        <v/>
      </c>
      <c r="D1301" s="240"/>
      <c r="E1301" s="241"/>
      <c r="F1301" s="248"/>
      <c r="G1301" s="207"/>
      <c r="H1301" s="209"/>
      <c r="I1301" s="209"/>
      <c r="J1301" s="209"/>
      <c r="K1301" s="208" t="str">
        <f>IF(Errors!$I1301=0,SourceData!$B$42,VLOOKUP(Errors!$I1301,SourceData!$A$2:$B$40,2,FALSE))</f>
        <v>Please select ERROR CODE column "I"</v>
      </c>
      <c r="L1301" s="207" t="str">
        <f>IF(Errors!$I1301=0,
    'List of Error Codes'!$E$29,
    IFERROR(VLOOKUP(Errors!$I1301, 'List of Error Codes'!D1300:I1330, 6, FALSE), 'List of Error Codes'!$E$29)
)</f>
        <v>Please select ERROR CODE column "I"</v>
      </c>
      <c r="M1301" s="209"/>
      <c r="N1301" s="209"/>
      <c r="O1301" s="209"/>
      <c r="P1301" s="209"/>
      <c r="Q1301" s="209"/>
      <c r="R1301" s="217"/>
      <c r="S1301" s="217"/>
      <c r="T1301" s="217"/>
      <c r="U1301" s="199"/>
      <c r="V1301" s="200"/>
      <c r="W1301" s="200"/>
      <c r="X1301" s="200"/>
      <c r="Y1301" s="200"/>
      <c r="Z1301" s="200"/>
      <c r="AA1301" s="201"/>
      <c r="AB1301" s="200"/>
      <c r="AC1301" s="200"/>
    </row>
    <row r="1302" ht="15.75" customHeight="1">
      <c r="A1302" s="210">
        <f t="shared" si="1"/>
        <v>1300</v>
      </c>
      <c r="B1302" s="217"/>
      <c r="C1302" s="217" t="str">
        <f>IFERROR(VLOOKUP(B1302, SourceData!$U$3:$V$190, 2, FALSE), "")</f>
        <v/>
      </c>
      <c r="D1302" s="240"/>
      <c r="E1302" s="241"/>
      <c r="F1302" s="248"/>
      <c r="G1302" s="207"/>
      <c r="H1302" s="209"/>
      <c r="I1302" s="209"/>
      <c r="J1302" s="209"/>
      <c r="K1302" s="208" t="str">
        <f>IF(Errors!$I1302=0,SourceData!$B$42,VLOOKUP(Errors!$I1302,SourceData!$A$2:$B$40,2,FALSE))</f>
        <v>Please select ERROR CODE column "I"</v>
      </c>
      <c r="L1302" s="207" t="str">
        <f>IF(Errors!$I1302=0,
    'List of Error Codes'!$E$29,
    IFERROR(VLOOKUP(Errors!$I1302, 'List of Error Codes'!D1301:I1331, 6, FALSE), 'List of Error Codes'!$E$29)
)</f>
        <v>Please select ERROR CODE column "I"</v>
      </c>
      <c r="M1302" s="209"/>
      <c r="N1302" s="209"/>
      <c r="O1302" s="209"/>
      <c r="P1302" s="209"/>
      <c r="Q1302" s="209"/>
      <c r="R1302" s="217"/>
      <c r="S1302" s="217"/>
      <c r="T1302" s="217"/>
      <c r="U1302" s="199"/>
      <c r="V1302" s="200"/>
      <c r="W1302" s="200"/>
      <c r="X1302" s="200"/>
      <c r="Y1302" s="200"/>
      <c r="Z1302" s="200"/>
      <c r="AA1302" s="201"/>
      <c r="AB1302" s="200"/>
      <c r="AC1302" s="200"/>
    </row>
    <row r="1303" ht="15.75" customHeight="1">
      <c r="A1303" s="210">
        <f t="shared" si="1"/>
        <v>1301</v>
      </c>
      <c r="B1303" s="217"/>
      <c r="C1303" s="217" t="str">
        <f>IFERROR(VLOOKUP(B1303, SourceData!$U$3:$V$190, 2, FALSE), "")</f>
        <v/>
      </c>
      <c r="D1303" s="240"/>
      <c r="E1303" s="241"/>
      <c r="F1303" s="248"/>
      <c r="G1303" s="207"/>
      <c r="H1303" s="209"/>
      <c r="I1303" s="209"/>
      <c r="J1303" s="209"/>
      <c r="K1303" s="208" t="str">
        <f>IF(Errors!$I1303=0,SourceData!$B$42,VLOOKUP(Errors!$I1303,SourceData!$A$2:$B$40,2,FALSE))</f>
        <v>Please select ERROR CODE column "I"</v>
      </c>
      <c r="L1303" s="207" t="str">
        <f>IF(Errors!$I1303=0,
    'List of Error Codes'!$E$29,
    IFERROR(VLOOKUP(Errors!$I1303, 'List of Error Codes'!D1302:I1332, 6, FALSE), 'List of Error Codes'!$E$29)
)</f>
        <v>Please select ERROR CODE column "I"</v>
      </c>
      <c r="M1303" s="209"/>
      <c r="N1303" s="209"/>
      <c r="O1303" s="209"/>
      <c r="P1303" s="209"/>
      <c r="Q1303" s="209"/>
      <c r="R1303" s="217"/>
      <c r="S1303" s="217"/>
      <c r="T1303" s="217"/>
      <c r="U1303" s="199"/>
      <c r="V1303" s="200"/>
      <c r="W1303" s="200"/>
      <c r="X1303" s="200"/>
      <c r="Y1303" s="200"/>
      <c r="Z1303" s="200"/>
      <c r="AA1303" s="201"/>
      <c r="AB1303" s="200"/>
      <c r="AC1303" s="200"/>
    </row>
    <row r="1304" ht="15.75" customHeight="1">
      <c r="A1304" s="210">
        <f t="shared" si="1"/>
        <v>1302</v>
      </c>
      <c r="B1304" s="217"/>
      <c r="C1304" s="217" t="str">
        <f>IFERROR(VLOOKUP(B1304, SourceData!$U$3:$V$190, 2, FALSE), "")</f>
        <v/>
      </c>
      <c r="D1304" s="240"/>
      <c r="E1304" s="241"/>
      <c r="F1304" s="248"/>
      <c r="G1304" s="207"/>
      <c r="H1304" s="209"/>
      <c r="I1304" s="209"/>
      <c r="J1304" s="209"/>
      <c r="K1304" s="208" t="str">
        <f>IF(Errors!$I1304=0,SourceData!$B$42,VLOOKUP(Errors!$I1304,SourceData!$A$2:$B$40,2,FALSE))</f>
        <v>Please select ERROR CODE column "I"</v>
      </c>
      <c r="L1304" s="207" t="str">
        <f>IF(Errors!$I1304=0,
    'List of Error Codes'!$E$29,
    IFERROR(VLOOKUP(Errors!$I1304, 'List of Error Codes'!D1303:I1333, 6, FALSE), 'List of Error Codes'!$E$29)
)</f>
        <v>Please select ERROR CODE column "I"</v>
      </c>
      <c r="M1304" s="209"/>
      <c r="N1304" s="209"/>
      <c r="O1304" s="209"/>
      <c r="P1304" s="209"/>
      <c r="Q1304" s="209"/>
      <c r="R1304" s="217"/>
      <c r="S1304" s="217"/>
      <c r="T1304" s="217"/>
      <c r="U1304" s="199"/>
      <c r="V1304" s="200"/>
      <c r="W1304" s="200"/>
      <c r="X1304" s="200"/>
      <c r="Y1304" s="200"/>
      <c r="Z1304" s="200"/>
      <c r="AA1304" s="201"/>
      <c r="AB1304" s="200"/>
      <c r="AC1304" s="200"/>
    </row>
    <row r="1305" ht="15.75" customHeight="1">
      <c r="A1305" s="210">
        <f t="shared" si="1"/>
        <v>1303</v>
      </c>
      <c r="B1305" s="217"/>
      <c r="C1305" s="217" t="str">
        <f>IFERROR(VLOOKUP(B1305, SourceData!$U$3:$V$190, 2, FALSE), "")</f>
        <v/>
      </c>
      <c r="D1305" s="240"/>
      <c r="E1305" s="241"/>
      <c r="F1305" s="248"/>
      <c r="G1305" s="207"/>
      <c r="H1305" s="209"/>
      <c r="I1305" s="209"/>
      <c r="J1305" s="209"/>
      <c r="K1305" s="208" t="str">
        <f>IF(Errors!$I1305=0,SourceData!$B$42,VLOOKUP(Errors!$I1305,SourceData!$A$2:$B$40,2,FALSE))</f>
        <v>Please select ERROR CODE column "I"</v>
      </c>
      <c r="L1305" s="207" t="str">
        <f>IF(Errors!$I1305=0,
    'List of Error Codes'!$E$29,
    IFERROR(VLOOKUP(Errors!$I1305, 'List of Error Codes'!D1304:I1334, 6, FALSE), 'List of Error Codes'!$E$29)
)</f>
        <v>Please select ERROR CODE column "I"</v>
      </c>
      <c r="M1305" s="209"/>
      <c r="N1305" s="209"/>
      <c r="O1305" s="209"/>
      <c r="P1305" s="209"/>
      <c r="Q1305" s="209"/>
      <c r="R1305" s="217"/>
      <c r="S1305" s="217"/>
      <c r="T1305" s="217"/>
      <c r="U1305" s="199"/>
      <c r="V1305" s="200"/>
      <c r="W1305" s="200"/>
      <c r="X1305" s="200"/>
      <c r="Y1305" s="200"/>
      <c r="Z1305" s="200"/>
      <c r="AA1305" s="201"/>
      <c r="AB1305" s="200"/>
      <c r="AC1305" s="200"/>
    </row>
    <row r="1306" ht="15.75" customHeight="1">
      <c r="A1306" s="210">
        <f t="shared" si="1"/>
        <v>1304</v>
      </c>
      <c r="B1306" s="217"/>
      <c r="C1306" s="217" t="str">
        <f>IFERROR(VLOOKUP(B1306, SourceData!$U$3:$V$190, 2, FALSE), "")</f>
        <v/>
      </c>
      <c r="D1306" s="240"/>
      <c r="E1306" s="241"/>
      <c r="F1306" s="248"/>
      <c r="G1306" s="207"/>
      <c r="H1306" s="209"/>
      <c r="I1306" s="209"/>
      <c r="J1306" s="209"/>
      <c r="K1306" s="208" t="str">
        <f>IF(Errors!$I1306=0,SourceData!$B$42,VLOOKUP(Errors!$I1306,SourceData!$A$2:$B$40,2,FALSE))</f>
        <v>Please select ERROR CODE column "I"</v>
      </c>
      <c r="L1306" s="207" t="str">
        <f>IF(Errors!$I1306=0,
    'List of Error Codes'!$E$29,
    IFERROR(VLOOKUP(Errors!$I1306, 'List of Error Codes'!D1305:I1335, 6, FALSE), 'List of Error Codes'!$E$29)
)</f>
        <v>Please select ERROR CODE column "I"</v>
      </c>
      <c r="M1306" s="209"/>
      <c r="N1306" s="209"/>
      <c r="O1306" s="209"/>
      <c r="P1306" s="209"/>
      <c r="Q1306" s="209"/>
      <c r="R1306" s="217"/>
      <c r="S1306" s="217"/>
      <c r="T1306" s="217"/>
      <c r="U1306" s="199"/>
      <c r="V1306" s="200"/>
      <c r="W1306" s="200"/>
      <c r="X1306" s="200"/>
      <c r="Y1306" s="200"/>
      <c r="Z1306" s="200"/>
      <c r="AA1306" s="201"/>
      <c r="AB1306" s="200"/>
      <c r="AC1306" s="200"/>
    </row>
    <row r="1307" ht="15.75" customHeight="1">
      <c r="A1307" s="210">
        <f t="shared" si="1"/>
        <v>1305</v>
      </c>
      <c r="B1307" s="217"/>
      <c r="C1307" s="217" t="str">
        <f>IFERROR(VLOOKUP(B1307, SourceData!$U$3:$V$190, 2, FALSE), "")</f>
        <v/>
      </c>
      <c r="D1307" s="240"/>
      <c r="E1307" s="241"/>
      <c r="F1307" s="248"/>
      <c r="G1307" s="207"/>
      <c r="H1307" s="209"/>
      <c r="I1307" s="209"/>
      <c r="J1307" s="209"/>
      <c r="K1307" s="208" t="str">
        <f>IF(Errors!$I1307=0,SourceData!$B$42,VLOOKUP(Errors!$I1307,SourceData!$A$2:$B$40,2,FALSE))</f>
        <v>Please select ERROR CODE column "I"</v>
      </c>
      <c r="L1307" s="207" t="str">
        <f>IF(Errors!$I1307=0,
    'List of Error Codes'!$E$29,
    IFERROR(VLOOKUP(Errors!$I1307, 'List of Error Codes'!D1306:I1336, 6, FALSE), 'List of Error Codes'!$E$29)
)</f>
        <v>Please select ERROR CODE column "I"</v>
      </c>
      <c r="M1307" s="209"/>
      <c r="N1307" s="209"/>
      <c r="O1307" s="209"/>
      <c r="P1307" s="209"/>
      <c r="Q1307" s="209"/>
      <c r="R1307" s="217"/>
      <c r="S1307" s="217"/>
      <c r="T1307" s="217"/>
      <c r="U1307" s="199"/>
      <c r="V1307" s="200"/>
      <c r="W1307" s="200"/>
      <c r="X1307" s="200"/>
      <c r="Y1307" s="200"/>
      <c r="Z1307" s="200"/>
      <c r="AA1307" s="201"/>
      <c r="AB1307" s="200"/>
      <c r="AC1307" s="200"/>
    </row>
    <row r="1308" ht="15.75" customHeight="1">
      <c r="A1308" s="210">
        <f t="shared" si="1"/>
        <v>1306</v>
      </c>
      <c r="B1308" s="217"/>
      <c r="C1308" s="217" t="str">
        <f>IFERROR(VLOOKUP(B1308, SourceData!$U$3:$V$190, 2, FALSE), "")</f>
        <v/>
      </c>
      <c r="D1308" s="240"/>
      <c r="E1308" s="241"/>
      <c r="F1308" s="248"/>
      <c r="G1308" s="207"/>
      <c r="H1308" s="209"/>
      <c r="I1308" s="209"/>
      <c r="J1308" s="209"/>
      <c r="K1308" s="208" t="str">
        <f>IF(Errors!$I1308=0,SourceData!$B$42,VLOOKUP(Errors!$I1308,SourceData!$A$2:$B$40,2,FALSE))</f>
        <v>Please select ERROR CODE column "I"</v>
      </c>
      <c r="L1308" s="207" t="str">
        <f>IF(Errors!$I1308=0,
    'List of Error Codes'!$E$29,
    IFERROR(VLOOKUP(Errors!$I1308, 'List of Error Codes'!D1307:I1337, 6, FALSE), 'List of Error Codes'!$E$29)
)</f>
        <v>Please select ERROR CODE column "I"</v>
      </c>
      <c r="M1308" s="209"/>
      <c r="N1308" s="209"/>
      <c r="O1308" s="209"/>
      <c r="P1308" s="209"/>
      <c r="Q1308" s="209"/>
      <c r="R1308" s="217"/>
      <c r="S1308" s="217"/>
      <c r="T1308" s="217"/>
      <c r="U1308" s="199"/>
      <c r="V1308" s="200"/>
      <c r="W1308" s="200"/>
      <c r="X1308" s="200"/>
      <c r="Y1308" s="200"/>
      <c r="Z1308" s="200"/>
      <c r="AA1308" s="201"/>
      <c r="AB1308" s="200"/>
      <c r="AC1308" s="200"/>
    </row>
    <row r="1309" ht="15.75" customHeight="1">
      <c r="A1309" s="210">
        <f t="shared" si="1"/>
        <v>1307</v>
      </c>
      <c r="B1309" s="217"/>
      <c r="C1309" s="217" t="str">
        <f>IFERROR(VLOOKUP(B1309, SourceData!$U$3:$V$190, 2, FALSE), "")</f>
        <v/>
      </c>
      <c r="D1309" s="240"/>
      <c r="E1309" s="241"/>
      <c r="F1309" s="248"/>
      <c r="G1309" s="207"/>
      <c r="H1309" s="209"/>
      <c r="I1309" s="209"/>
      <c r="J1309" s="209"/>
      <c r="K1309" s="208" t="str">
        <f>IF(Errors!$I1309=0,SourceData!$B$42,VLOOKUP(Errors!$I1309,SourceData!$A$2:$B$40,2,FALSE))</f>
        <v>Please select ERROR CODE column "I"</v>
      </c>
      <c r="L1309" s="207" t="str">
        <f>IF(Errors!$I1309=0,
    'List of Error Codes'!$E$29,
    IFERROR(VLOOKUP(Errors!$I1309, 'List of Error Codes'!D1308:I1338, 6, FALSE), 'List of Error Codes'!$E$29)
)</f>
        <v>Please select ERROR CODE column "I"</v>
      </c>
      <c r="M1309" s="209"/>
      <c r="N1309" s="209"/>
      <c r="O1309" s="209"/>
      <c r="P1309" s="209"/>
      <c r="Q1309" s="209"/>
      <c r="R1309" s="217"/>
      <c r="S1309" s="217"/>
      <c r="T1309" s="217"/>
      <c r="U1309" s="199"/>
      <c r="V1309" s="200"/>
      <c r="W1309" s="200"/>
      <c r="X1309" s="200"/>
      <c r="Y1309" s="200"/>
      <c r="Z1309" s="200"/>
      <c r="AA1309" s="201"/>
      <c r="AB1309" s="200"/>
      <c r="AC1309" s="200"/>
    </row>
    <row r="1310" ht="15.75" customHeight="1">
      <c r="A1310" s="210">
        <f t="shared" si="1"/>
        <v>1308</v>
      </c>
      <c r="B1310" s="217"/>
      <c r="C1310" s="217" t="str">
        <f>IFERROR(VLOOKUP(B1310, SourceData!$U$3:$V$190, 2, FALSE), "")</f>
        <v/>
      </c>
      <c r="D1310" s="240"/>
      <c r="E1310" s="241"/>
      <c r="F1310" s="248"/>
      <c r="G1310" s="207"/>
      <c r="H1310" s="209"/>
      <c r="I1310" s="209"/>
      <c r="J1310" s="209"/>
      <c r="K1310" s="208" t="str">
        <f>IF(Errors!$I1310=0,SourceData!$B$42,VLOOKUP(Errors!$I1310,SourceData!$A$2:$B$40,2,FALSE))</f>
        <v>Please select ERROR CODE column "I"</v>
      </c>
      <c r="L1310" s="207" t="str">
        <f>IF(Errors!$I1310=0,
    'List of Error Codes'!$E$29,
    IFERROR(VLOOKUP(Errors!$I1310, 'List of Error Codes'!D1309:I1339, 6, FALSE), 'List of Error Codes'!$E$29)
)</f>
        <v>Please select ERROR CODE column "I"</v>
      </c>
      <c r="M1310" s="209"/>
      <c r="N1310" s="209"/>
      <c r="O1310" s="209"/>
      <c r="P1310" s="209"/>
      <c r="Q1310" s="209"/>
      <c r="R1310" s="217"/>
      <c r="S1310" s="217"/>
      <c r="T1310" s="217"/>
      <c r="U1310" s="199"/>
      <c r="V1310" s="200"/>
      <c r="W1310" s="200"/>
      <c r="X1310" s="200"/>
      <c r="Y1310" s="200"/>
      <c r="Z1310" s="200"/>
      <c r="AA1310" s="201"/>
      <c r="AB1310" s="200"/>
      <c r="AC1310" s="200"/>
    </row>
    <row r="1311" ht="15.75" customHeight="1">
      <c r="A1311" s="210">
        <f t="shared" si="1"/>
        <v>1309</v>
      </c>
      <c r="B1311" s="217"/>
      <c r="C1311" s="217" t="str">
        <f>IFERROR(VLOOKUP(B1311, SourceData!$U$3:$V$190, 2, FALSE), "")</f>
        <v/>
      </c>
      <c r="D1311" s="240"/>
      <c r="E1311" s="241"/>
      <c r="F1311" s="248"/>
      <c r="G1311" s="207"/>
      <c r="H1311" s="209"/>
      <c r="I1311" s="209"/>
      <c r="J1311" s="209"/>
      <c r="K1311" s="208" t="str">
        <f>IF(Errors!$I1311=0,SourceData!$B$42,VLOOKUP(Errors!$I1311,SourceData!$A$2:$B$40,2,FALSE))</f>
        <v>Please select ERROR CODE column "I"</v>
      </c>
      <c r="L1311" s="207" t="str">
        <f>IF(Errors!$I1311=0,
    'List of Error Codes'!$E$29,
    IFERROR(VLOOKUP(Errors!$I1311, 'List of Error Codes'!D1310:I1340, 6, FALSE), 'List of Error Codes'!$E$29)
)</f>
        <v>Please select ERROR CODE column "I"</v>
      </c>
      <c r="M1311" s="209"/>
      <c r="N1311" s="209"/>
      <c r="O1311" s="209"/>
      <c r="P1311" s="209"/>
      <c r="Q1311" s="209"/>
      <c r="R1311" s="217"/>
      <c r="S1311" s="217"/>
      <c r="T1311" s="217"/>
      <c r="U1311" s="199"/>
      <c r="V1311" s="200"/>
      <c r="W1311" s="200"/>
      <c r="X1311" s="200"/>
      <c r="Y1311" s="200"/>
      <c r="Z1311" s="200"/>
      <c r="AA1311" s="201"/>
      <c r="AB1311" s="200"/>
      <c r="AC1311" s="200"/>
    </row>
    <row r="1312" ht="15.75" customHeight="1">
      <c r="A1312" s="210">
        <f t="shared" si="1"/>
        <v>1310</v>
      </c>
      <c r="B1312" s="217"/>
      <c r="C1312" s="217" t="str">
        <f>IFERROR(VLOOKUP(B1312, SourceData!$U$3:$V$190, 2, FALSE), "")</f>
        <v/>
      </c>
      <c r="D1312" s="240"/>
      <c r="E1312" s="241"/>
      <c r="F1312" s="248"/>
      <c r="G1312" s="207"/>
      <c r="H1312" s="209"/>
      <c r="I1312" s="209"/>
      <c r="J1312" s="209"/>
      <c r="K1312" s="208" t="str">
        <f>IF(Errors!$I1312=0,SourceData!$B$42,VLOOKUP(Errors!$I1312,SourceData!$A$2:$B$40,2,FALSE))</f>
        <v>Please select ERROR CODE column "I"</v>
      </c>
      <c r="L1312" s="207" t="str">
        <f>IF(Errors!$I1312=0,
    'List of Error Codes'!$E$29,
    IFERROR(VLOOKUP(Errors!$I1312, 'List of Error Codes'!D1311:I1341, 6, FALSE), 'List of Error Codes'!$E$29)
)</f>
        <v>Please select ERROR CODE column "I"</v>
      </c>
      <c r="M1312" s="209"/>
      <c r="N1312" s="209"/>
      <c r="O1312" s="209"/>
      <c r="P1312" s="209"/>
      <c r="Q1312" s="209"/>
      <c r="R1312" s="217"/>
      <c r="S1312" s="217"/>
      <c r="T1312" s="217"/>
      <c r="U1312" s="199"/>
      <c r="V1312" s="200"/>
      <c r="W1312" s="200"/>
      <c r="X1312" s="200"/>
      <c r="Y1312" s="200"/>
      <c r="Z1312" s="200"/>
      <c r="AA1312" s="201"/>
      <c r="AB1312" s="200"/>
      <c r="AC1312" s="200"/>
    </row>
    <row r="1313" ht="15.75" customHeight="1">
      <c r="A1313" s="210">
        <f t="shared" si="1"/>
        <v>1311</v>
      </c>
      <c r="B1313" s="217"/>
      <c r="C1313" s="217" t="str">
        <f>IFERROR(VLOOKUP(B1313, SourceData!$U$3:$V$190, 2, FALSE), "")</f>
        <v/>
      </c>
      <c r="D1313" s="240"/>
      <c r="E1313" s="241"/>
      <c r="F1313" s="248"/>
      <c r="G1313" s="207"/>
      <c r="H1313" s="209"/>
      <c r="I1313" s="209"/>
      <c r="J1313" s="209"/>
      <c r="K1313" s="208" t="str">
        <f>IF(Errors!$I1313=0,SourceData!$B$42,VLOOKUP(Errors!$I1313,SourceData!$A$2:$B$40,2,FALSE))</f>
        <v>Please select ERROR CODE column "I"</v>
      </c>
      <c r="L1313" s="207" t="str">
        <f>IF(Errors!$I1313=0,
    'List of Error Codes'!$E$29,
    IFERROR(VLOOKUP(Errors!$I1313, 'List of Error Codes'!D1312:I1342, 6, FALSE), 'List of Error Codes'!$E$29)
)</f>
        <v>Please select ERROR CODE column "I"</v>
      </c>
      <c r="M1313" s="209"/>
      <c r="N1313" s="209"/>
      <c r="O1313" s="209"/>
      <c r="P1313" s="209"/>
      <c r="Q1313" s="209"/>
      <c r="R1313" s="217"/>
      <c r="S1313" s="217"/>
      <c r="T1313" s="217"/>
      <c r="U1313" s="199"/>
      <c r="V1313" s="200"/>
      <c r="W1313" s="200"/>
      <c r="X1313" s="200"/>
      <c r="Y1313" s="200"/>
      <c r="Z1313" s="200"/>
      <c r="AA1313" s="201"/>
      <c r="AB1313" s="200"/>
      <c r="AC1313" s="200"/>
    </row>
    <row r="1314" ht="15.75" customHeight="1">
      <c r="A1314" s="210">
        <f t="shared" si="1"/>
        <v>1312</v>
      </c>
      <c r="B1314" s="217"/>
      <c r="C1314" s="217" t="str">
        <f>IFERROR(VLOOKUP(B1314, SourceData!$U$3:$V$190, 2, FALSE), "")</f>
        <v/>
      </c>
      <c r="D1314" s="240"/>
      <c r="E1314" s="241"/>
      <c r="F1314" s="248"/>
      <c r="G1314" s="207"/>
      <c r="H1314" s="209"/>
      <c r="I1314" s="209"/>
      <c r="J1314" s="209"/>
      <c r="K1314" s="208" t="str">
        <f>IF(Errors!$I1314=0,SourceData!$B$42,VLOOKUP(Errors!$I1314,SourceData!$A$2:$B$40,2,FALSE))</f>
        <v>Please select ERROR CODE column "I"</v>
      </c>
      <c r="L1314" s="207" t="str">
        <f>IF(Errors!$I1314=0,
    'List of Error Codes'!$E$29,
    IFERROR(VLOOKUP(Errors!$I1314, 'List of Error Codes'!D1313:I1343, 6, FALSE), 'List of Error Codes'!$E$29)
)</f>
        <v>Please select ERROR CODE column "I"</v>
      </c>
      <c r="M1314" s="209"/>
      <c r="N1314" s="209"/>
      <c r="O1314" s="209"/>
      <c r="P1314" s="209"/>
      <c r="Q1314" s="209"/>
      <c r="R1314" s="217"/>
      <c r="S1314" s="217"/>
      <c r="T1314" s="217"/>
      <c r="U1314" s="199"/>
      <c r="V1314" s="200"/>
      <c r="W1314" s="200"/>
      <c r="X1314" s="200"/>
      <c r="Y1314" s="200"/>
      <c r="Z1314" s="200"/>
      <c r="AA1314" s="201"/>
      <c r="AB1314" s="200"/>
      <c r="AC1314" s="200"/>
    </row>
    <row r="1315" ht="15.75" customHeight="1">
      <c r="A1315" s="210">
        <f t="shared" si="1"/>
        <v>1313</v>
      </c>
      <c r="B1315" s="217"/>
      <c r="C1315" s="217" t="str">
        <f>IFERROR(VLOOKUP(B1315, SourceData!$U$3:$V$190, 2, FALSE), "")</f>
        <v/>
      </c>
      <c r="D1315" s="240"/>
      <c r="E1315" s="241"/>
      <c r="F1315" s="248"/>
      <c r="G1315" s="207"/>
      <c r="H1315" s="209"/>
      <c r="I1315" s="209"/>
      <c r="J1315" s="209"/>
      <c r="K1315" s="208" t="str">
        <f>IF(Errors!$I1315=0,SourceData!$B$42,VLOOKUP(Errors!$I1315,SourceData!$A$2:$B$40,2,FALSE))</f>
        <v>Please select ERROR CODE column "I"</v>
      </c>
      <c r="L1315" s="207" t="str">
        <f>IF(Errors!$I1315=0,
    'List of Error Codes'!$E$29,
    IFERROR(VLOOKUP(Errors!$I1315, 'List of Error Codes'!D1314:I1344, 6, FALSE), 'List of Error Codes'!$E$29)
)</f>
        <v>Please select ERROR CODE column "I"</v>
      </c>
      <c r="M1315" s="209"/>
      <c r="N1315" s="209"/>
      <c r="O1315" s="209"/>
      <c r="P1315" s="209"/>
      <c r="Q1315" s="209"/>
      <c r="R1315" s="217"/>
      <c r="S1315" s="217"/>
      <c r="T1315" s="217"/>
      <c r="U1315" s="199"/>
      <c r="V1315" s="200"/>
      <c r="W1315" s="200"/>
      <c r="X1315" s="200"/>
      <c r="Y1315" s="200"/>
      <c r="Z1315" s="200"/>
      <c r="AA1315" s="201"/>
      <c r="AB1315" s="200"/>
      <c r="AC1315" s="200"/>
    </row>
    <row r="1316" ht="15.75" customHeight="1">
      <c r="A1316" s="210">
        <f t="shared" si="1"/>
        <v>1314</v>
      </c>
      <c r="B1316" s="217"/>
      <c r="C1316" s="217" t="str">
        <f>IFERROR(VLOOKUP(B1316, SourceData!$U$3:$V$190, 2, FALSE), "")</f>
        <v/>
      </c>
      <c r="D1316" s="240"/>
      <c r="E1316" s="241"/>
      <c r="F1316" s="248"/>
      <c r="G1316" s="207"/>
      <c r="H1316" s="209"/>
      <c r="I1316" s="209"/>
      <c r="J1316" s="209"/>
      <c r="K1316" s="208" t="str">
        <f>IF(Errors!$I1316=0,SourceData!$B$42,VLOOKUP(Errors!$I1316,SourceData!$A$2:$B$40,2,FALSE))</f>
        <v>Please select ERROR CODE column "I"</v>
      </c>
      <c r="L1316" s="207" t="str">
        <f>IF(Errors!$I1316=0,
    'List of Error Codes'!$E$29,
    IFERROR(VLOOKUP(Errors!$I1316, 'List of Error Codes'!D1315:I1345, 6, FALSE), 'List of Error Codes'!$E$29)
)</f>
        <v>Please select ERROR CODE column "I"</v>
      </c>
      <c r="M1316" s="209"/>
      <c r="N1316" s="209"/>
      <c r="O1316" s="209"/>
      <c r="P1316" s="209"/>
      <c r="Q1316" s="209"/>
      <c r="R1316" s="217"/>
      <c r="S1316" s="217"/>
      <c r="T1316" s="217"/>
      <c r="U1316" s="199"/>
      <c r="V1316" s="200"/>
      <c r="W1316" s="200"/>
      <c r="X1316" s="200"/>
      <c r="Y1316" s="200"/>
      <c r="Z1316" s="200"/>
      <c r="AA1316" s="201"/>
      <c r="AB1316" s="200"/>
      <c r="AC1316" s="200"/>
    </row>
    <row r="1317" ht="15.75" customHeight="1">
      <c r="A1317" s="210">
        <f t="shared" si="1"/>
        <v>1315</v>
      </c>
      <c r="B1317" s="217"/>
      <c r="C1317" s="217" t="str">
        <f>IFERROR(VLOOKUP(B1317, SourceData!$U$3:$V$190, 2, FALSE), "")</f>
        <v/>
      </c>
      <c r="D1317" s="240"/>
      <c r="E1317" s="241"/>
      <c r="F1317" s="248"/>
      <c r="G1317" s="207"/>
      <c r="H1317" s="209"/>
      <c r="I1317" s="209"/>
      <c r="J1317" s="209"/>
      <c r="K1317" s="208" t="str">
        <f>IF(Errors!$I1317=0,SourceData!$B$42,VLOOKUP(Errors!$I1317,SourceData!$A$2:$B$40,2,FALSE))</f>
        <v>Please select ERROR CODE column "I"</v>
      </c>
      <c r="L1317" s="207" t="str">
        <f>IF(Errors!$I1317=0,
    'List of Error Codes'!$E$29,
    IFERROR(VLOOKUP(Errors!$I1317, 'List of Error Codes'!D1316:I1346, 6, FALSE), 'List of Error Codes'!$E$29)
)</f>
        <v>Please select ERROR CODE column "I"</v>
      </c>
      <c r="M1317" s="209"/>
      <c r="N1317" s="209"/>
      <c r="O1317" s="209"/>
      <c r="P1317" s="209"/>
      <c r="Q1317" s="209"/>
      <c r="R1317" s="217"/>
      <c r="S1317" s="217"/>
      <c r="T1317" s="217"/>
      <c r="U1317" s="199"/>
      <c r="V1317" s="200"/>
      <c r="W1317" s="200"/>
      <c r="X1317" s="200"/>
      <c r="Y1317" s="200"/>
      <c r="Z1317" s="200"/>
      <c r="AA1317" s="201"/>
      <c r="AB1317" s="200"/>
      <c r="AC1317" s="200"/>
    </row>
    <row r="1318" ht="15.75" customHeight="1">
      <c r="A1318" s="210">
        <f t="shared" si="1"/>
        <v>1316</v>
      </c>
      <c r="B1318" s="217"/>
      <c r="C1318" s="217" t="str">
        <f>IFERROR(VLOOKUP(B1318, SourceData!$U$3:$V$190, 2, FALSE), "")</f>
        <v/>
      </c>
      <c r="D1318" s="240"/>
      <c r="E1318" s="241"/>
      <c r="F1318" s="248"/>
      <c r="G1318" s="207"/>
      <c r="H1318" s="209"/>
      <c r="I1318" s="209"/>
      <c r="J1318" s="209"/>
      <c r="K1318" s="208" t="str">
        <f>IF(Errors!$I1318=0,SourceData!$B$42,VLOOKUP(Errors!$I1318,SourceData!$A$2:$B$40,2,FALSE))</f>
        <v>Please select ERROR CODE column "I"</v>
      </c>
      <c r="L1318" s="207" t="str">
        <f>IF(Errors!$I1318=0,
    'List of Error Codes'!$E$29,
    IFERROR(VLOOKUP(Errors!$I1318, 'List of Error Codes'!D1317:I1347, 6, FALSE), 'List of Error Codes'!$E$29)
)</f>
        <v>Please select ERROR CODE column "I"</v>
      </c>
      <c r="M1318" s="209"/>
      <c r="N1318" s="209"/>
      <c r="O1318" s="209"/>
      <c r="P1318" s="209"/>
      <c r="Q1318" s="209"/>
      <c r="R1318" s="217"/>
      <c r="S1318" s="217"/>
      <c r="T1318" s="217"/>
      <c r="U1318" s="199"/>
      <c r="V1318" s="200"/>
      <c r="W1318" s="200"/>
      <c r="X1318" s="200"/>
      <c r="Y1318" s="200"/>
      <c r="Z1318" s="200"/>
      <c r="AA1318" s="201"/>
      <c r="AB1318" s="200"/>
      <c r="AC1318" s="200"/>
    </row>
    <row r="1319" ht="15.75" customHeight="1">
      <c r="A1319" s="210">
        <f t="shared" si="1"/>
        <v>1317</v>
      </c>
      <c r="B1319" s="217"/>
      <c r="C1319" s="217" t="str">
        <f>IFERROR(VLOOKUP(B1319, SourceData!$U$3:$V$190, 2, FALSE), "")</f>
        <v/>
      </c>
      <c r="D1319" s="240"/>
      <c r="E1319" s="241"/>
      <c r="F1319" s="248"/>
      <c r="G1319" s="207"/>
      <c r="H1319" s="209"/>
      <c r="I1319" s="209"/>
      <c r="J1319" s="209"/>
      <c r="K1319" s="208" t="str">
        <f>IF(Errors!$I1319=0,SourceData!$B$42,VLOOKUP(Errors!$I1319,SourceData!$A$2:$B$40,2,FALSE))</f>
        <v>Please select ERROR CODE column "I"</v>
      </c>
      <c r="L1319" s="207" t="str">
        <f>IF(Errors!$I1319=0,
    'List of Error Codes'!$E$29,
    IFERROR(VLOOKUP(Errors!$I1319, 'List of Error Codes'!D1318:I1348, 6, FALSE), 'List of Error Codes'!$E$29)
)</f>
        <v>Please select ERROR CODE column "I"</v>
      </c>
      <c r="M1319" s="209"/>
      <c r="N1319" s="209"/>
      <c r="O1319" s="209"/>
      <c r="P1319" s="209"/>
      <c r="Q1319" s="209"/>
      <c r="R1319" s="217"/>
      <c r="S1319" s="217"/>
      <c r="T1319" s="217"/>
      <c r="U1319" s="199"/>
      <c r="V1319" s="200"/>
      <c r="W1319" s="200"/>
      <c r="X1319" s="200"/>
      <c r="Y1319" s="200"/>
      <c r="Z1319" s="200"/>
      <c r="AA1319" s="201"/>
      <c r="AB1319" s="200"/>
      <c r="AC1319" s="200"/>
    </row>
    <row r="1320" ht="15.75" customHeight="1">
      <c r="A1320" s="210">
        <f t="shared" si="1"/>
        <v>1318</v>
      </c>
      <c r="B1320" s="217"/>
      <c r="C1320" s="217" t="str">
        <f>IFERROR(VLOOKUP(B1320, SourceData!$U$3:$V$190, 2, FALSE), "")</f>
        <v/>
      </c>
      <c r="D1320" s="240"/>
      <c r="E1320" s="241"/>
      <c r="F1320" s="248"/>
      <c r="G1320" s="207"/>
      <c r="H1320" s="209"/>
      <c r="I1320" s="209"/>
      <c r="J1320" s="209"/>
      <c r="K1320" s="208" t="str">
        <f>IF(Errors!$I1320=0,SourceData!$B$42,VLOOKUP(Errors!$I1320,SourceData!$A$2:$B$40,2,FALSE))</f>
        <v>Please select ERROR CODE column "I"</v>
      </c>
      <c r="L1320" s="207" t="str">
        <f>IF(Errors!$I1320=0,
    'List of Error Codes'!$E$29,
    IFERROR(VLOOKUP(Errors!$I1320, 'List of Error Codes'!D1319:I1349, 6, FALSE), 'List of Error Codes'!$E$29)
)</f>
        <v>Please select ERROR CODE column "I"</v>
      </c>
      <c r="M1320" s="209"/>
      <c r="N1320" s="209"/>
      <c r="O1320" s="209"/>
      <c r="P1320" s="209"/>
      <c r="Q1320" s="209"/>
      <c r="R1320" s="217"/>
      <c r="S1320" s="217"/>
      <c r="T1320" s="217"/>
      <c r="U1320" s="199"/>
      <c r="V1320" s="200"/>
      <c r="W1320" s="200"/>
      <c r="X1320" s="200"/>
      <c r="Y1320" s="200"/>
      <c r="Z1320" s="200"/>
      <c r="AA1320" s="201"/>
      <c r="AB1320" s="200"/>
      <c r="AC1320" s="200"/>
    </row>
    <row r="1321" ht="15.75" customHeight="1">
      <c r="A1321" s="210">
        <f t="shared" si="1"/>
        <v>1319</v>
      </c>
      <c r="B1321" s="217"/>
      <c r="C1321" s="217" t="str">
        <f>IFERROR(VLOOKUP(B1321, SourceData!$U$3:$V$190, 2, FALSE), "")</f>
        <v/>
      </c>
      <c r="D1321" s="240"/>
      <c r="E1321" s="241"/>
      <c r="F1321" s="248"/>
      <c r="G1321" s="207"/>
      <c r="H1321" s="209"/>
      <c r="I1321" s="209"/>
      <c r="J1321" s="209"/>
      <c r="K1321" s="208" t="str">
        <f>IF(Errors!$I1321=0,SourceData!$B$42,VLOOKUP(Errors!$I1321,SourceData!$A$2:$B$40,2,FALSE))</f>
        <v>Please select ERROR CODE column "I"</v>
      </c>
      <c r="L1321" s="207" t="str">
        <f>IF(Errors!$I1321=0,
    'List of Error Codes'!$E$29,
    IFERROR(VLOOKUP(Errors!$I1321, 'List of Error Codes'!D1320:I1350, 6, FALSE), 'List of Error Codes'!$E$29)
)</f>
        <v>Please select ERROR CODE column "I"</v>
      </c>
      <c r="M1321" s="209"/>
      <c r="N1321" s="209"/>
      <c r="O1321" s="209"/>
      <c r="P1321" s="209"/>
      <c r="Q1321" s="209"/>
      <c r="R1321" s="217"/>
      <c r="S1321" s="217"/>
      <c r="T1321" s="217"/>
      <c r="U1321" s="199"/>
      <c r="V1321" s="200"/>
      <c r="W1321" s="200"/>
      <c r="X1321" s="200"/>
      <c r="Y1321" s="200"/>
      <c r="Z1321" s="200"/>
      <c r="AA1321" s="201"/>
      <c r="AB1321" s="200"/>
      <c r="AC1321" s="200"/>
    </row>
    <row r="1322" ht="15.75" customHeight="1">
      <c r="A1322" s="210">
        <f t="shared" si="1"/>
        <v>1320</v>
      </c>
      <c r="B1322" s="217"/>
      <c r="C1322" s="217" t="str">
        <f>IFERROR(VLOOKUP(B1322, SourceData!$U$3:$V$190, 2, FALSE), "")</f>
        <v/>
      </c>
      <c r="D1322" s="240"/>
      <c r="E1322" s="241"/>
      <c r="F1322" s="248"/>
      <c r="G1322" s="207"/>
      <c r="H1322" s="209"/>
      <c r="I1322" s="209"/>
      <c r="J1322" s="209"/>
      <c r="K1322" s="208" t="str">
        <f>IF(Errors!$I1322=0,SourceData!$B$42,VLOOKUP(Errors!$I1322,SourceData!$A$2:$B$40,2,FALSE))</f>
        <v>Please select ERROR CODE column "I"</v>
      </c>
      <c r="L1322" s="207" t="str">
        <f>IF(Errors!$I1322=0,
    'List of Error Codes'!$E$29,
    IFERROR(VLOOKUP(Errors!$I1322, 'List of Error Codes'!D1321:I1351, 6, FALSE), 'List of Error Codes'!$E$29)
)</f>
        <v>Please select ERROR CODE column "I"</v>
      </c>
      <c r="M1322" s="209"/>
      <c r="N1322" s="209"/>
      <c r="O1322" s="209"/>
      <c r="P1322" s="209"/>
      <c r="Q1322" s="209"/>
      <c r="R1322" s="217"/>
      <c r="S1322" s="217"/>
      <c r="T1322" s="217"/>
      <c r="U1322" s="199"/>
      <c r="V1322" s="200"/>
      <c r="W1322" s="200"/>
      <c r="X1322" s="200"/>
      <c r="Y1322" s="200"/>
      <c r="Z1322" s="200"/>
      <c r="AA1322" s="201"/>
      <c r="AB1322" s="200"/>
      <c r="AC1322" s="200"/>
    </row>
    <row r="1323" ht="15.75" customHeight="1">
      <c r="A1323" s="210">
        <f t="shared" si="1"/>
        <v>1321</v>
      </c>
      <c r="B1323" s="217"/>
      <c r="C1323" s="217" t="str">
        <f>IFERROR(VLOOKUP(B1323, SourceData!$U$3:$V$190, 2, FALSE), "")</f>
        <v/>
      </c>
      <c r="D1323" s="240"/>
      <c r="E1323" s="241"/>
      <c r="F1323" s="248"/>
      <c r="G1323" s="207"/>
      <c r="H1323" s="209"/>
      <c r="I1323" s="209"/>
      <c r="J1323" s="209"/>
      <c r="K1323" s="208" t="str">
        <f>IF(Errors!$I1323=0,SourceData!$B$42,VLOOKUP(Errors!$I1323,SourceData!$A$2:$B$40,2,FALSE))</f>
        <v>Please select ERROR CODE column "I"</v>
      </c>
      <c r="L1323" s="207" t="str">
        <f>IF(Errors!$I1323=0,
    'List of Error Codes'!$E$29,
    IFERROR(VLOOKUP(Errors!$I1323, 'List of Error Codes'!D1322:I1352, 6, FALSE), 'List of Error Codes'!$E$29)
)</f>
        <v>Please select ERROR CODE column "I"</v>
      </c>
      <c r="M1323" s="209"/>
      <c r="N1323" s="209"/>
      <c r="O1323" s="209"/>
      <c r="P1323" s="209"/>
      <c r="Q1323" s="209"/>
      <c r="R1323" s="217"/>
      <c r="S1323" s="217"/>
      <c r="T1323" s="217"/>
      <c r="U1323" s="199"/>
      <c r="V1323" s="200"/>
      <c r="W1323" s="200"/>
      <c r="X1323" s="200"/>
      <c r="Y1323" s="200"/>
      <c r="Z1323" s="200"/>
      <c r="AA1323" s="201"/>
      <c r="AB1323" s="200"/>
      <c r="AC1323" s="200"/>
    </row>
    <row r="1324" ht="15.75" customHeight="1">
      <c r="A1324" s="210">
        <f t="shared" si="1"/>
        <v>1322</v>
      </c>
      <c r="B1324" s="217"/>
      <c r="C1324" s="217" t="str">
        <f>IFERROR(VLOOKUP(B1324, SourceData!$U$3:$V$190, 2, FALSE), "")</f>
        <v/>
      </c>
      <c r="D1324" s="240"/>
      <c r="E1324" s="241"/>
      <c r="F1324" s="248"/>
      <c r="G1324" s="207"/>
      <c r="H1324" s="209"/>
      <c r="I1324" s="209"/>
      <c r="J1324" s="209"/>
      <c r="K1324" s="208" t="str">
        <f>IF(Errors!$I1324=0,SourceData!$B$42,VLOOKUP(Errors!$I1324,SourceData!$A$2:$B$40,2,FALSE))</f>
        <v>Please select ERROR CODE column "I"</v>
      </c>
      <c r="L1324" s="207" t="str">
        <f>IF(Errors!$I1324=0,
    'List of Error Codes'!$E$29,
    IFERROR(VLOOKUP(Errors!$I1324, 'List of Error Codes'!D1323:I1353, 6, FALSE), 'List of Error Codes'!$E$29)
)</f>
        <v>Please select ERROR CODE column "I"</v>
      </c>
      <c r="M1324" s="209"/>
      <c r="N1324" s="209"/>
      <c r="O1324" s="209"/>
      <c r="P1324" s="209"/>
      <c r="Q1324" s="209"/>
      <c r="R1324" s="217"/>
      <c r="S1324" s="217"/>
      <c r="T1324" s="217"/>
      <c r="U1324" s="199"/>
      <c r="V1324" s="200"/>
      <c r="W1324" s="200"/>
      <c r="X1324" s="200"/>
      <c r="Y1324" s="200"/>
      <c r="Z1324" s="200"/>
      <c r="AA1324" s="201"/>
      <c r="AB1324" s="200"/>
      <c r="AC1324" s="200"/>
    </row>
    <row r="1325" ht="15.75" customHeight="1">
      <c r="A1325" s="210">
        <f t="shared" si="1"/>
        <v>1323</v>
      </c>
      <c r="B1325" s="217"/>
      <c r="C1325" s="217" t="str">
        <f>IFERROR(VLOOKUP(B1325, SourceData!$U$3:$V$190, 2, FALSE), "")</f>
        <v/>
      </c>
      <c r="D1325" s="240"/>
      <c r="E1325" s="241"/>
      <c r="F1325" s="248"/>
      <c r="G1325" s="207"/>
      <c r="H1325" s="209"/>
      <c r="I1325" s="209"/>
      <c r="J1325" s="209"/>
      <c r="K1325" s="208" t="str">
        <f>IF(Errors!$I1325=0,SourceData!$B$42,VLOOKUP(Errors!$I1325,SourceData!$A$2:$B$40,2,FALSE))</f>
        <v>Please select ERROR CODE column "I"</v>
      </c>
      <c r="L1325" s="207" t="str">
        <f>IF(Errors!$I1325=0,
    'List of Error Codes'!$E$29,
    IFERROR(VLOOKUP(Errors!$I1325, 'List of Error Codes'!D1324:I1354, 6, FALSE), 'List of Error Codes'!$E$29)
)</f>
        <v>Please select ERROR CODE column "I"</v>
      </c>
      <c r="M1325" s="209"/>
      <c r="N1325" s="209"/>
      <c r="O1325" s="209"/>
      <c r="P1325" s="209"/>
      <c r="Q1325" s="209"/>
      <c r="R1325" s="217"/>
      <c r="S1325" s="217"/>
      <c r="T1325" s="217"/>
      <c r="U1325" s="199"/>
      <c r="V1325" s="200"/>
      <c r="W1325" s="200"/>
      <c r="X1325" s="200"/>
      <c r="Y1325" s="200"/>
      <c r="Z1325" s="200"/>
      <c r="AA1325" s="201"/>
      <c r="AB1325" s="200"/>
      <c r="AC1325" s="200"/>
    </row>
    <row r="1326" ht="15.75" customHeight="1">
      <c r="A1326" s="210">
        <f t="shared" si="1"/>
        <v>1324</v>
      </c>
      <c r="B1326" s="217"/>
      <c r="C1326" s="217" t="str">
        <f>IFERROR(VLOOKUP(B1326, SourceData!$U$3:$V$190, 2, FALSE), "")</f>
        <v/>
      </c>
      <c r="D1326" s="240"/>
      <c r="E1326" s="241"/>
      <c r="F1326" s="248"/>
      <c r="G1326" s="207"/>
      <c r="H1326" s="209"/>
      <c r="I1326" s="209"/>
      <c r="J1326" s="209"/>
      <c r="K1326" s="208" t="str">
        <f>IF(Errors!$I1326=0,SourceData!$B$42,VLOOKUP(Errors!$I1326,SourceData!$A$2:$B$40,2,FALSE))</f>
        <v>Please select ERROR CODE column "I"</v>
      </c>
      <c r="L1326" s="207" t="str">
        <f>IF(Errors!$I1326=0,
    'List of Error Codes'!$E$29,
    IFERROR(VLOOKUP(Errors!$I1326, 'List of Error Codes'!D1325:I1355, 6, FALSE), 'List of Error Codes'!$E$29)
)</f>
        <v>Please select ERROR CODE column "I"</v>
      </c>
      <c r="M1326" s="209"/>
      <c r="N1326" s="209"/>
      <c r="O1326" s="209"/>
      <c r="P1326" s="209"/>
      <c r="Q1326" s="209"/>
      <c r="R1326" s="217"/>
      <c r="S1326" s="217"/>
      <c r="T1326" s="217"/>
      <c r="U1326" s="199"/>
      <c r="V1326" s="200"/>
      <c r="W1326" s="200"/>
      <c r="X1326" s="200"/>
      <c r="Y1326" s="200"/>
      <c r="Z1326" s="200"/>
      <c r="AA1326" s="201"/>
      <c r="AB1326" s="200"/>
      <c r="AC1326" s="200"/>
    </row>
    <row r="1327" ht="15.75" customHeight="1">
      <c r="A1327" s="210">
        <f t="shared" si="1"/>
        <v>1325</v>
      </c>
      <c r="B1327" s="217"/>
      <c r="C1327" s="217" t="str">
        <f>IFERROR(VLOOKUP(B1327, SourceData!$U$3:$V$190, 2, FALSE), "")</f>
        <v/>
      </c>
      <c r="D1327" s="240"/>
      <c r="E1327" s="241"/>
      <c r="F1327" s="248"/>
      <c r="G1327" s="207"/>
      <c r="H1327" s="209"/>
      <c r="I1327" s="209"/>
      <c r="J1327" s="209"/>
      <c r="K1327" s="208" t="str">
        <f>IF(Errors!$I1327=0,SourceData!$B$42,VLOOKUP(Errors!$I1327,SourceData!$A$2:$B$40,2,FALSE))</f>
        <v>Please select ERROR CODE column "I"</v>
      </c>
      <c r="L1327" s="207" t="str">
        <f>IF(Errors!$I1327=0,
    'List of Error Codes'!$E$29,
    IFERROR(VLOOKUP(Errors!$I1327, 'List of Error Codes'!D1326:I1356, 6, FALSE), 'List of Error Codes'!$E$29)
)</f>
        <v>Please select ERROR CODE column "I"</v>
      </c>
      <c r="M1327" s="209"/>
      <c r="N1327" s="209"/>
      <c r="O1327" s="209"/>
      <c r="P1327" s="209"/>
      <c r="Q1327" s="209"/>
      <c r="R1327" s="217"/>
      <c r="S1327" s="217"/>
      <c r="T1327" s="217"/>
      <c r="U1327" s="199"/>
      <c r="V1327" s="200"/>
      <c r="W1327" s="200"/>
      <c r="X1327" s="200"/>
      <c r="Y1327" s="200"/>
      <c r="Z1327" s="200"/>
      <c r="AA1327" s="201"/>
      <c r="AB1327" s="200"/>
      <c r="AC1327" s="200"/>
    </row>
    <row r="1328" ht="15.75" customHeight="1">
      <c r="A1328" s="210">
        <f t="shared" si="1"/>
        <v>1326</v>
      </c>
      <c r="B1328" s="217"/>
      <c r="C1328" s="217" t="str">
        <f>IFERROR(VLOOKUP(B1328, SourceData!$U$3:$V$190, 2, FALSE), "")</f>
        <v/>
      </c>
      <c r="D1328" s="240"/>
      <c r="E1328" s="241"/>
      <c r="F1328" s="248"/>
      <c r="G1328" s="207"/>
      <c r="H1328" s="209"/>
      <c r="I1328" s="209"/>
      <c r="J1328" s="209"/>
      <c r="K1328" s="208" t="str">
        <f>IF(Errors!$I1328=0,SourceData!$B$42,VLOOKUP(Errors!$I1328,SourceData!$A$2:$B$40,2,FALSE))</f>
        <v>Please select ERROR CODE column "I"</v>
      </c>
      <c r="L1328" s="207" t="str">
        <f>IF(Errors!$I1328=0,
    'List of Error Codes'!$E$29,
    IFERROR(VLOOKUP(Errors!$I1328, 'List of Error Codes'!D1327:I1357, 6, FALSE), 'List of Error Codes'!$E$29)
)</f>
        <v>Please select ERROR CODE column "I"</v>
      </c>
      <c r="M1328" s="209"/>
      <c r="N1328" s="209"/>
      <c r="O1328" s="209"/>
      <c r="P1328" s="209"/>
      <c r="Q1328" s="209"/>
      <c r="R1328" s="217"/>
      <c r="S1328" s="217"/>
      <c r="T1328" s="217"/>
      <c r="U1328" s="199"/>
      <c r="V1328" s="200"/>
      <c r="W1328" s="200"/>
      <c r="X1328" s="200"/>
      <c r="Y1328" s="200"/>
      <c r="Z1328" s="200"/>
      <c r="AA1328" s="201"/>
      <c r="AB1328" s="200"/>
      <c r="AC1328" s="200"/>
    </row>
    <row r="1329" ht="15.75" customHeight="1">
      <c r="A1329" s="210">
        <f t="shared" si="1"/>
        <v>1327</v>
      </c>
      <c r="B1329" s="217"/>
      <c r="C1329" s="217" t="str">
        <f>IFERROR(VLOOKUP(B1329, SourceData!$U$3:$V$190, 2, FALSE), "")</f>
        <v/>
      </c>
      <c r="D1329" s="240"/>
      <c r="E1329" s="241"/>
      <c r="F1329" s="248"/>
      <c r="G1329" s="207"/>
      <c r="H1329" s="209"/>
      <c r="I1329" s="209"/>
      <c r="J1329" s="209"/>
      <c r="K1329" s="208" t="str">
        <f>IF(Errors!$I1329=0,SourceData!$B$42,VLOOKUP(Errors!$I1329,SourceData!$A$2:$B$40,2,FALSE))</f>
        <v>Please select ERROR CODE column "I"</v>
      </c>
      <c r="L1329" s="207" t="str">
        <f>IF(Errors!$I1329=0,
    'List of Error Codes'!$E$29,
    IFERROR(VLOOKUP(Errors!$I1329, 'List of Error Codes'!D1328:I1358, 6, FALSE), 'List of Error Codes'!$E$29)
)</f>
        <v>Please select ERROR CODE column "I"</v>
      </c>
      <c r="M1329" s="209"/>
      <c r="N1329" s="209"/>
      <c r="O1329" s="209"/>
      <c r="P1329" s="209"/>
      <c r="Q1329" s="209"/>
      <c r="R1329" s="217"/>
      <c r="S1329" s="217"/>
      <c r="T1329" s="217"/>
      <c r="U1329" s="199"/>
      <c r="V1329" s="200"/>
      <c r="W1329" s="200"/>
      <c r="X1329" s="200"/>
      <c r="Y1329" s="200"/>
      <c r="Z1329" s="200"/>
      <c r="AA1329" s="201"/>
      <c r="AB1329" s="200"/>
      <c r="AC1329" s="200"/>
    </row>
    <row r="1330" ht="15.75" customHeight="1">
      <c r="A1330" s="210">
        <f t="shared" si="1"/>
        <v>1328</v>
      </c>
      <c r="B1330" s="217"/>
      <c r="C1330" s="217" t="str">
        <f>IFERROR(VLOOKUP(B1330, SourceData!$U$3:$V$190, 2, FALSE), "")</f>
        <v/>
      </c>
      <c r="D1330" s="240"/>
      <c r="E1330" s="241"/>
      <c r="F1330" s="248"/>
      <c r="G1330" s="207"/>
      <c r="H1330" s="209"/>
      <c r="I1330" s="209"/>
      <c r="J1330" s="209"/>
      <c r="K1330" s="208" t="str">
        <f>IF(Errors!$I1330=0,SourceData!$B$42,VLOOKUP(Errors!$I1330,SourceData!$A$2:$B$40,2,FALSE))</f>
        <v>Please select ERROR CODE column "I"</v>
      </c>
      <c r="L1330" s="207" t="str">
        <f>IF(Errors!$I1330=0,
    'List of Error Codes'!$E$29,
    IFERROR(VLOOKUP(Errors!$I1330, 'List of Error Codes'!D1329:I1359, 6, FALSE), 'List of Error Codes'!$E$29)
)</f>
        <v>Please select ERROR CODE column "I"</v>
      </c>
      <c r="M1330" s="209"/>
      <c r="N1330" s="209"/>
      <c r="O1330" s="209"/>
      <c r="P1330" s="209"/>
      <c r="Q1330" s="209"/>
      <c r="R1330" s="217"/>
      <c r="S1330" s="217"/>
      <c r="T1330" s="217"/>
      <c r="U1330" s="199"/>
      <c r="V1330" s="200"/>
      <c r="W1330" s="200"/>
      <c r="X1330" s="200"/>
      <c r="Y1330" s="200"/>
      <c r="Z1330" s="200"/>
      <c r="AA1330" s="201"/>
      <c r="AB1330" s="200"/>
      <c r="AC1330" s="200"/>
    </row>
    <row r="1331" ht="15.75" customHeight="1">
      <c r="A1331" s="210">
        <f t="shared" si="1"/>
        <v>1329</v>
      </c>
      <c r="B1331" s="217"/>
      <c r="C1331" s="217" t="str">
        <f>IFERROR(VLOOKUP(B1331, SourceData!$U$3:$V$190, 2, FALSE), "")</f>
        <v/>
      </c>
      <c r="D1331" s="240"/>
      <c r="E1331" s="241"/>
      <c r="F1331" s="248"/>
      <c r="G1331" s="207"/>
      <c r="H1331" s="209"/>
      <c r="I1331" s="209"/>
      <c r="J1331" s="209"/>
      <c r="K1331" s="208" t="str">
        <f>IF(Errors!$I1331=0,SourceData!$B$42,VLOOKUP(Errors!$I1331,SourceData!$A$2:$B$40,2,FALSE))</f>
        <v>Please select ERROR CODE column "I"</v>
      </c>
      <c r="L1331" s="207" t="str">
        <f>IF(Errors!$I1331=0,
    'List of Error Codes'!$E$29,
    IFERROR(VLOOKUP(Errors!$I1331, 'List of Error Codes'!D1330:I1360, 6, FALSE), 'List of Error Codes'!$E$29)
)</f>
        <v>Please select ERROR CODE column "I"</v>
      </c>
      <c r="M1331" s="209"/>
      <c r="N1331" s="209"/>
      <c r="O1331" s="209"/>
      <c r="P1331" s="209"/>
      <c r="Q1331" s="209"/>
      <c r="R1331" s="217"/>
      <c r="S1331" s="217"/>
      <c r="T1331" s="217"/>
      <c r="U1331" s="199"/>
      <c r="V1331" s="200"/>
      <c r="W1331" s="200"/>
      <c r="X1331" s="200"/>
      <c r="Y1331" s="200"/>
      <c r="Z1331" s="200"/>
      <c r="AA1331" s="201"/>
      <c r="AB1331" s="200"/>
      <c r="AC1331" s="200"/>
    </row>
    <row r="1332" ht="15.75" customHeight="1">
      <c r="A1332" s="210">
        <f t="shared" si="1"/>
        <v>1330</v>
      </c>
      <c r="B1332" s="217"/>
      <c r="C1332" s="217" t="str">
        <f>IFERROR(VLOOKUP(B1332, SourceData!$U$3:$V$190, 2, FALSE), "")</f>
        <v/>
      </c>
      <c r="D1332" s="240"/>
      <c r="E1332" s="241"/>
      <c r="F1332" s="248"/>
      <c r="G1332" s="207"/>
      <c r="H1332" s="209"/>
      <c r="I1332" s="209"/>
      <c r="J1332" s="209"/>
      <c r="K1332" s="208" t="str">
        <f>IF(Errors!$I1332=0,SourceData!$B$42,VLOOKUP(Errors!$I1332,SourceData!$A$2:$B$40,2,FALSE))</f>
        <v>Please select ERROR CODE column "I"</v>
      </c>
      <c r="L1332" s="207" t="str">
        <f>IF(Errors!$I1332=0,
    'List of Error Codes'!$E$29,
    IFERROR(VLOOKUP(Errors!$I1332, 'List of Error Codes'!D1331:I1361, 6, FALSE), 'List of Error Codes'!$E$29)
)</f>
        <v>Please select ERROR CODE column "I"</v>
      </c>
      <c r="M1332" s="209"/>
      <c r="N1332" s="209"/>
      <c r="O1332" s="209"/>
      <c r="P1332" s="209"/>
      <c r="Q1332" s="209"/>
      <c r="R1332" s="217"/>
      <c r="S1332" s="217"/>
      <c r="T1332" s="217"/>
      <c r="U1332" s="199"/>
      <c r="V1332" s="200"/>
      <c r="W1332" s="200"/>
      <c r="X1332" s="200"/>
      <c r="Y1332" s="200"/>
      <c r="Z1332" s="200"/>
      <c r="AA1332" s="201"/>
      <c r="AB1332" s="200"/>
      <c r="AC1332" s="200"/>
    </row>
    <row r="1333" ht="15.75" customHeight="1">
      <c r="A1333" s="210">
        <f t="shared" si="1"/>
        <v>1331</v>
      </c>
      <c r="B1333" s="217"/>
      <c r="C1333" s="217" t="str">
        <f>IFERROR(VLOOKUP(B1333, SourceData!$U$3:$V$190, 2, FALSE), "")</f>
        <v/>
      </c>
      <c r="D1333" s="240"/>
      <c r="E1333" s="241"/>
      <c r="F1333" s="248"/>
      <c r="G1333" s="207"/>
      <c r="H1333" s="209"/>
      <c r="I1333" s="209"/>
      <c r="J1333" s="209"/>
      <c r="K1333" s="208" t="str">
        <f>IF(Errors!$I1333=0,SourceData!$B$42,VLOOKUP(Errors!$I1333,SourceData!$A$2:$B$40,2,FALSE))</f>
        <v>Please select ERROR CODE column "I"</v>
      </c>
      <c r="L1333" s="207" t="str">
        <f>IF(Errors!$I1333=0,
    'List of Error Codes'!$E$29,
    IFERROR(VLOOKUP(Errors!$I1333, 'List of Error Codes'!D1332:I1362, 6, FALSE), 'List of Error Codes'!$E$29)
)</f>
        <v>Please select ERROR CODE column "I"</v>
      </c>
      <c r="M1333" s="209"/>
      <c r="N1333" s="209"/>
      <c r="O1333" s="209"/>
      <c r="P1333" s="209"/>
      <c r="Q1333" s="209"/>
      <c r="R1333" s="217"/>
      <c r="S1333" s="217"/>
      <c r="T1333" s="217"/>
      <c r="U1333" s="199"/>
      <c r="V1333" s="200"/>
      <c r="W1333" s="200"/>
      <c r="X1333" s="200"/>
      <c r="Y1333" s="200"/>
      <c r="Z1333" s="200"/>
      <c r="AA1333" s="201"/>
      <c r="AB1333" s="200"/>
      <c r="AC1333" s="200"/>
    </row>
    <row r="1334" ht="15.75" customHeight="1">
      <c r="A1334" s="210">
        <f t="shared" si="1"/>
        <v>1332</v>
      </c>
      <c r="B1334" s="217"/>
      <c r="C1334" s="217" t="str">
        <f>IFERROR(VLOOKUP(B1334, SourceData!$U$3:$V$190, 2, FALSE), "")</f>
        <v/>
      </c>
      <c r="D1334" s="240"/>
      <c r="E1334" s="241"/>
      <c r="F1334" s="248"/>
      <c r="G1334" s="207"/>
      <c r="H1334" s="209"/>
      <c r="I1334" s="209"/>
      <c r="J1334" s="209"/>
      <c r="K1334" s="208" t="str">
        <f>IF(Errors!$I1334=0,SourceData!$B$42,VLOOKUP(Errors!$I1334,SourceData!$A$2:$B$40,2,FALSE))</f>
        <v>Please select ERROR CODE column "I"</v>
      </c>
      <c r="L1334" s="207" t="str">
        <f>IF(Errors!$I1334=0,
    'List of Error Codes'!$E$29,
    IFERROR(VLOOKUP(Errors!$I1334, 'List of Error Codes'!D1333:I1363, 6, FALSE), 'List of Error Codes'!$E$29)
)</f>
        <v>Please select ERROR CODE column "I"</v>
      </c>
      <c r="M1334" s="209"/>
      <c r="N1334" s="209"/>
      <c r="O1334" s="209"/>
      <c r="P1334" s="209"/>
      <c r="Q1334" s="209"/>
      <c r="R1334" s="217"/>
      <c r="S1334" s="217"/>
      <c r="T1334" s="217"/>
      <c r="U1334" s="199"/>
      <c r="V1334" s="200"/>
      <c r="W1334" s="200"/>
      <c r="X1334" s="200"/>
      <c r="Y1334" s="200"/>
      <c r="Z1334" s="200"/>
      <c r="AA1334" s="201"/>
      <c r="AB1334" s="200"/>
      <c r="AC1334" s="200"/>
    </row>
    <row r="1335" ht="15.75" customHeight="1">
      <c r="A1335" s="210">
        <f t="shared" si="1"/>
        <v>1333</v>
      </c>
      <c r="B1335" s="217"/>
      <c r="C1335" s="217" t="str">
        <f>IFERROR(VLOOKUP(B1335, SourceData!$U$3:$V$190, 2, FALSE), "")</f>
        <v/>
      </c>
      <c r="D1335" s="240"/>
      <c r="E1335" s="241"/>
      <c r="F1335" s="248"/>
      <c r="G1335" s="207"/>
      <c r="H1335" s="209"/>
      <c r="I1335" s="209"/>
      <c r="J1335" s="209"/>
      <c r="K1335" s="208" t="str">
        <f>IF(Errors!$I1335=0,SourceData!$B$42,VLOOKUP(Errors!$I1335,SourceData!$A$2:$B$40,2,FALSE))</f>
        <v>Please select ERROR CODE column "I"</v>
      </c>
      <c r="L1335" s="207" t="str">
        <f>IF(Errors!$I1335=0,
    'List of Error Codes'!$E$29,
    IFERROR(VLOOKUP(Errors!$I1335, 'List of Error Codes'!D1334:I1364, 6, FALSE), 'List of Error Codes'!$E$29)
)</f>
        <v>Please select ERROR CODE column "I"</v>
      </c>
      <c r="M1335" s="209"/>
      <c r="N1335" s="209"/>
      <c r="O1335" s="209"/>
      <c r="P1335" s="209"/>
      <c r="Q1335" s="209"/>
      <c r="R1335" s="217"/>
      <c r="S1335" s="217"/>
      <c r="T1335" s="217"/>
      <c r="U1335" s="199"/>
      <c r="V1335" s="200"/>
      <c r="W1335" s="200"/>
      <c r="X1335" s="200"/>
      <c r="Y1335" s="200"/>
      <c r="Z1335" s="200"/>
      <c r="AA1335" s="201"/>
      <c r="AB1335" s="200"/>
      <c r="AC1335" s="200"/>
    </row>
    <row r="1336" ht="15.75" customHeight="1">
      <c r="A1336" s="210">
        <f t="shared" si="1"/>
        <v>1334</v>
      </c>
      <c r="B1336" s="217"/>
      <c r="C1336" s="217" t="str">
        <f>IFERROR(VLOOKUP(B1336, SourceData!$U$3:$V$190, 2, FALSE), "")</f>
        <v/>
      </c>
      <c r="D1336" s="240"/>
      <c r="E1336" s="241"/>
      <c r="F1336" s="248"/>
      <c r="G1336" s="207"/>
      <c r="H1336" s="209"/>
      <c r="I1336" s="209"/>
      <c r="J1336" s="209"/>
      <c r="K1336" s="208" t="str">
        <f>IF(Errors!$I1336=0,SourceData!$B$42,VLOOKUP(Errors!$I1336,SourceData!$A$2:$B$40,2,FALSE))</f>
        <v>Please select ERROR CODE column "I"</v>
      </c>
      <c r="L1336" s="207" t="str">
        <f>IF(Errors!$I1336=0,
    'List of Error Codes'!$E$29,
    IFERROR(VLOOKUP(Errors!$I1336, 'List of Error Codes'!D1335:I1365, 6, FALSE), 'List of Error Codes'!$E$29)
)</f>
        <v>Please select ERROR CODE column "I"</v>
      </c>
      <c r="M1336" s="209"/>
      <c r="N1336" s="209"/>
      <c r="O1336" s="209"/>
      <c r="P1336" s="209"/>
      <c r="Q1336" s="209"/>
      <c r="R1336" s="217"/>
      <c r="S1336" s="217"/>
      <c r="T1336" s="217"/>
      <c r="U1336" s="199"/>
      <c r="V1336" s="200"/>
      <c r="W1336" s="200"/>
      <c r="X1336" s="200"/>
      <c r="Y1336" s="200"/>
      <c r="Z1336" s="200"/>
      <c r="AA1336" s="201"/>
      <c r="AB1336" s="200"/>
      <c r="AC1336" s="200"/>
    </row>
    <row r="1337" ht="15.75" customHeight="1">
      <c r="A1337" s="210">
        <f t="shared" si="1"/>
        <v>1335</v>
      </c>
      <c r="B1337" s="217"/>
      <c r="C1337" s="217" t="str">
        <f>IFERROR(VLOOKUP(B1337, SourceData!$U$3:$V$190, 2, FALSE), "")</f>
        <v/>
      </c>
      <c r="D1337" s="240"/>
      <c r="E1337" s="241"/>
      <c r="F1337" s="248"/>
      <c r="G1337" s="207"/>
      <c r="H1337" s="209"/>
      <c r="I1337" s="209"/>
      <c r="J1337" s="209"/>
      <c r="K1337" s="208" t="str">
        <f>IF(Errors!$I1337=0,SourceData!$B$42,VLOOKUP(Errors!$I1337,SourceData!$A$2:$B$40,2,FALSE))</f>
        <v>Please select ERROR CODE column "I"</v>
      </c>
      <c r="L1337" s="207" t="str">
        <f>IF(Errors!$I1337=0,
    'List of Error Codes'!$E$29,
    IFERROR(VLOOKUP(Errors!$I1337, 'List of Error Codes'!D1336:I1366, 6, FALSE), 'List of Error Codes'!$E$29)
)</f>
        <v>Please select ERROR CODE column "I"</v>
      </c>
      <c r="M1337" s="209"/>
      <c r="N1337" s="209"/>
      <c r="O1337" s="209"/>
      <c r="P1337" s="209"/>
      <c r="Q1337" s="209"/>
      <c r="R1337" s="217"/>
      <c r="S1337" s="217"/>
      <c r="T1337" s="217"/>
      <c r="U1337" s="199"/>
      <c r="V1337" s="200"/>
      <c r="W1337" s="200"/>
      <c r="X1337" s="200"/>
      <c r="Y1337" s="200"/>
      <c r="Z1337" s="200"/>
      <c r="AA1337" s="201"/>
      <c r="AB1337" s="200"/>
      <c r="AC1337" s="200"/>
    </row>
    <row r="1338" ht="15.75" customHeight="1">
      <c r="A1338" s="210">
        <f t="shared" si="1"/>
        <v>1336</v>
      </c>
      <c r="B1338" s="217"/>
      <c r="C1338" s="217" t="str">
        <f>IFERROR(VLOOKUP(B1338, SourceData!$U$3:$V$190, 2, FALSE), "")</f>
        <v/>
      </c>
      <c r="D1338" s="240"/>
      <c r="E1338" s="241"/>
      <c r="F1338" s="248"/>
      <c r="G1338" s="207"/>
      <c r="H1338" s="209"/>
      <c r="I1338" s="209"/>
      <c r="J1338" s="209"/>
      <c r="K1338" s="208" t="str">
        <f>IF(Errors!$I1338=0,SourceData!$B$42,VLOOKUP(Errors!$I1338,SourceData!$A$2:$B$40,2,FALSE))</f>
        <v>Please select ERROR CODE column "I"</v>
      </c>
      <c r="L1338" s="207" t="str">
        <f>IF(Errors!$I1338=0,
    'List of Error Codes'!$E$29,
    IFERROR(VLOOKUP(Errors!$I1338, 'List of Error Codes'!D1337:I1367, 6, FALSE), 'List of Error Codes'!$E$29)
)</f>
        <v>Please select ERROR CODE column "I"</v>
      </c>
      <c r="M1338" s="209"/>
      <c r="N1338" s="209"/>
      <c r="O1338" s="209"/>
      <c r="P1338" s="209"/>
      <c r="Q1338" s="209"/>
      <c r="R1338" s="217"/>
      <c r="S1338" s="217"/>
      <c r="T1338" s="217"/>
      <c r="U1338" s="199"/>
      <c r="V1338" s="200"/>
      <c r="W1338" s="200"/>
      <c r="X1338" s="200"/>
      <c r="Y1338" s="200"/>
      <c r="Z1338" s="200"/>
      <c r="AA1338" s="201"/>
      <c r="AB1338" s="200"/>
      <c r="AC1338" s="200"/>
    </row>
    <row r="1339" ht="15.75" customHeight="1">
      <c r="A1339" s="210">
        <f t="shared" si="1"/>
        <v>1337</v>
      </c>
      <c r="B1339" s="217"/>
      <c r="C1339" s="217" t="str">
        <f>IFERROR(VLOOKUP(B1339, SourceData!$U$3:$V$190, 2, FALSE), "")</f>
        <v/>
      </c>
      <c r="D1339" s="240"/>
      <c r="E1339" s="241"/>
      <c r="F1339" s="248"/>
      <c r="G1339" s="207"/>
      <c r="H1339" s="209"/>
      <c r="I1339" s="209"/>
      <c r="J1339" s="209"/>
      <c r="K1339" s="208" t="str">
        <f>IF(Errors!$I1339=0,SourceData!$B$42,VLOOKUP(Errors!$I1339,SourceData!$A$2:$B$40,2,FALSE))</f>
        <v>Please select ERROR CODE column "I"</v>
      </c>
      <c r="L1339" s="207" t="str">
        <f>IF(Errors!$I1339=0,
    'List of Error Codes'!$E$29,
    IFERROR(VLOOKUP(Errors!$I1339, 'List of Error Codes'!D1338:I1368, 6, FALSE), 'List of Error Codes'!$E$29)
)</f>
        <v>Please select ERROR CODE column "I"</v>
      </c>
      <c r="M1339" s="209"/>
      <c r="N1339" s="209"/>
      <c r="O1339" s="209"/>
      <c r="P1339" s="209"/>
      <c r="Q1339" s="209"/>
      <c r="R1339" s="217"/>
      <c r="S1339" s="217"/>
      <c r="T1339" s="217"/>
      <c r="U1339" s="199"/>
      <c r="V1339" s="200"/>
      <c r="W1339" s="200"/>
      <c r="X1339" s="200"/>
      <c r="Y1339" s="200"/>
      <c r="Z1339" s="200"/>
      <c r="AA1339" s="201"/>
      <c r="AB1339" s="200"/>
      <c r="AC1339" s="200"/>
    </row>
    <row r="1340" ht="15.75" customHeight="1">
      <c r="A1340" s="210">
        <f t="shared" si="1"/>
        <v>1338</v>
      </c>
      <c r="B1340" s="217"/>
      <c r="C1340" s="217" t="str">
        <f>IFERROR(VLOOKUP(B1340, SourceData!$U$3:$V$190, 2, FALSE), "")</f>
        <v/>
      </c>
      <c r="D1340" s="240"/>
      <c r="E1340" s="241"/>
      <c r="F1340" s="248"/>
      <c r="G1340" s="207"/>
      <c r="H1340" s="209"/>
      <c r="I1340" s="209"/>
      <c r="J1340" s="209"/>
      <c r="K1340" s="208" t="str">
        <f>IF(Errors!$I1340=0,SourceData!$B$42,VLOOKUP(Errors!$I1340,SourceData!$A$2:$B$40,2,FALSE))</f>
        <v>Please select ERROR CODE column "I"</v>
      </c>
      <c r="L1340" s="207" t="str">
        <f>IF(Errors!$I1340=0,
    'List of Error Codes'!$E$29,
    IFERROR(VLOOKUP(Errors!$I1340, 'List of Error Codes'!D1339:I1369, 6, FALSE), 'List of Error Codes'!$E$29)
)</f>
        <v>Please select ERROR CODE column "I"</v>
      </c>
      <c r="M1340" s="209"/>
      <c r="N1340" s="209"/>
      <c r="O1340" s="209"/>
      <c r="P1340" s="209"/>
      <c r="Q1340" s="209"/>
      <c r="R1340" s="217"/>
      <c r="S1340" s="217"/>
      <c r="T1340" s="217"/>
      <c r="U1340" s="199"/>
      <c r="V1340" s="200"/>
      <c r="W1340" s="200"/>
      <c r="X1340" s="200"/>
      <c r="Y1340" s="200"/>
      <c r="Z1340" s="200"/>
      <c r="AA1340" s="201"/>
      <c r="AB1340" s="200"/>
      <c r="AC1340" s="200"/>
    </row>
    <row r="1341" ht="15.75" customHeight="1">
      <c r="A1341" s="210">
        <f t="shared" si="1"/>
        <v>1339</v>
      </c>
      <c r="B1341" s="217"/>
      <c r="C1341" s="217" t="str">
        <f>IFERROR(VLOOKUP(B1341, SourceData!$U$3:$V$190, 2, FALSE), "")</f>
        <v/>
      </c>
      <c r="D1341" s="240"/>
      <c r="E1341" s="241"/>
      <c r="F1341" s="248"/>
      <c r="G1341" s="207"/>
      <c r="H1341" s="209"/>
      <c r="I1341" s="209"/>
      <c r="J1341" s="209"/>
      <c r="K1341" s="208" t="str">
        <f>IF(Errors!$I1341=0,SourceData!$B$42,VLOOKUP(Errors!$I1341,SourceData!$A$2:$B$40,2,FALSE))</f>
        <v>Please select ERROR CODE column "I"</v>
      </c>
      <c r="L1341" s="207" t="str">
        <f>IF(Errors!$I1341=0,
    'List of Error Codes'!$E$29,
    IFERROR(VLOOKUP(Errors!$I1341, 'List of Error Codes'!D1340:I1370, 6, FALSE), 'List of Error Codes'!$E$29)
)</f>
        <v>Please select ERROR CODE column "I"</v>
      </c>
      <c r="M1341" s="209"/>
      <c r="N1341" s="209"/>
      <c r="O1341" s="209"/>
      <c r="P1341" s="209"/>
      <c r="Q1341" s="209"/>
      <c r="R1341" s="217"/>
      <c r="S1341" s="217"/>
      <c r="T1341" s="217"/>
      <c r="U1341" s="199"/>
      <c r="V1341" s="200"/>
      <c r="W1341" s="200"/>
      <c r="X1341" s="200"/>
      <c r="Y1341" s="200"/>
      <c r="Z1341" s="200"/>
      <c r="AA1341" s="201"/>
      <c r="AB1341" s="200"/>
      <c r="AC1341" s="200"/>
    </row>
    <row r="1342" ht="15.75" customHeight="1">
      <c r="A1342" s="210">
        <f t="shared" si="1"/>
        <v>1340</v>
      </c>
      <c r="B1342" s="217"/>
      <c r="C1342" s="217" t="str">
        <f>IFERROR(VLOOKUP(B1342, SourceData!$U$3:$V$190, 2, FALSE), "")</f>
        <v/>
      </c>
      <c r="D1342" s="240"/>
      <c r="E1342" s="241"/>
      <c r="F1342" s="248"/>
      <c r="G1342" s="207"/>
      <c r="H1342" s="209"/>
      <c r="I1342" s="209"/>
      <c r="J1342" s="209"/>
      <c r="K1342" s="208" t="str">
        <f>IF(Errors!$I1342=0,SourceData!$B$42,VLOOKUP(Errors!$I1342,SourceData!$A$2:$B$40,2,FALSE))</f>
        <v>Please select ERROR CODE column "I"</v>
      </c>
      <c r="L1342" s="207" t="str">
        <f>IF(Errors!$I1342=0,
    'List of Error Codes'!$E$29,
    IFERROR(VLOOKUP(Errors!$I1342, 'List of Error Codes'!D1341:I1371, 6, FALSE), 'List of Error Codes'!$E$29)
)</f>
        <v>Please select ERROR CODE column "I"</v>
      </c>
      <c r="M1342" s="209"/>
      <c r="N1342" s="209"/>
      <c r="O1342" s="209"/>
      <c r="P1342" s="209"/>
      <c r="Q1342" s="209"/>
      <c r="R1342" s="217"/>
      <c r="S1342" s="217"/>
      <c r="T1342" s="217"/>
      <c r="U1342" s="199"/>
      <c r="V1342" s="200"/>
      <c r="W1342" s="200"/>
      <c r="X1342" s="200"/>
      <c r="Y1342" s="200"/>
      <c r="Z1342" s="200"/>
      <c r="AA1342" s="201"/>
      <c r="AB1342" s="200"/>
      <c r="AC1342" s="200"/>
    </row>
    <row r="1343" ht="15.75" customHeight="1">
      <c r="A1343" s="210">
        <f t="shared" si="1"/>
        <v>1341</v>
      </c>
      <c r="B1343" s="217"/>
      <c r="C1343" s="217" t="str">
        <f>IFERROR(VLOOKUP(B1343, SourceData!$U$3:$V$190, 2, FALSE), "")</f>
        <v/>
      </c>
      <c r="D1343" s="240"/>
      <c r="E1343" s="241"/>
      <c r="F1343" s="248"/>
      <c r="G1343" s="207"/>
      <c r="H1343" s="209"/>
      <c r="I1343" s="209"/>
      <c r="J1343" s="209"/>
      <c r="K1343" s="208" t="str">
        <f>IF(Errors!$I1343=0,SourceData!$B$42,VLOOKUP(Errors!$I1343,SourceData!$A$2:$B$40,2,FALSE))</f>
        <v>Please select ERROR CODE column "I"</v>
      </c>
      <c r="L1343" s="207" t="str">
        <f>IF(Errors!$I1343=0,
    'List of Error Codes'!$E$29,
    IFERROR(VLOOKUP(Errors!$I1343, 'List of Error Codes'!D1342:I1372, 6, FALSE), 'List of Error Codes'!$E$29)
)</f>
        <v>Please select ERROR CODE column "I"</v>
      </c>
      <c r="M1343" s="209"/>
      <c r="N1343" s="209"/>
      <c r="O1343" s="209"/>
      <c r="P1343" s="209"/>
      <c r="Q1343" s="209"/>
      <c r="R1343" s="217"/>
      <c r="S1343" s="217"/>
      <c r="T1343" s="217"/>
      <c r="U1343" s="199"/>
      <c r="V1343" s="200"/>
      <c r="W1343" s="200"/>
      <c r="X1343" s="200"/>
      <c r="Y1343" s="200"/>
      <c r="Z1343" s="200"/>
      <c r="AA1343" s="201"/>
      <c r="AB1343" s="200"/>
      <c r="AC1343" s="200"/>
    </row>
    <row r="1344" ht="15.75" customHeight="1">
      <c r="A1344" s="210">
        <f t="shared" si="1"/>
        <v>1342</v>
      </c>
      <c r="B1344" s="217"/>
      <c r="C1344" s="217" t="str">
        <f>IFERROR(VLOOKUP(B1344, SourceData!$U$3:$V$190, 2, FALSE), "")</f>
        <v/>
      </c>
      <c r="D1344" s="240"/>
      <c r="E1344" s="241"/>
      <c r="F1344" s="248"/>
      <c r="G1344" s="207"/>
      <c r="H1344" s="209"/>
      <c r="I1344" s="209"/>
      <c r="J1344" s="209"/>
      <c r="K1344" s="208" t="str">
        <f>IF(Errors!$I1344=0,SourceData!$B$42,VLOOKUP(Errors!$I1344,SourceData!$A$2:$B$40,2,FALSE))</f>
        <v>Please select ERROR CODE column "I"</v>
      </c>
      <c r="L1344" s="207" t="str">
        <f>IF(Errors!$I1344=0,
    'List of Error Codes'!$E$29,
    IFERROR(VLOOKUP(Errors!$I1344, 'List of Error Codes'!D1343:I1373, 6, FALSE), 'List of Error Codes'!$E$29)
)</f>
        <v>Please select ERROR CODE column "I"</v>
      </c>
      <c r="M1344" s="209"/>
      <c r="N1344" s="209"/>
      <c r="O1344" s="209"/>
      <c r="P1344" s="209"/>
      <c r="Q1344" s="209"/>
      <c r="R1344" s="217"/>
      <c r="S1344" s="217"/>
      <c r="T1344" s="217"/>
      <c r="U1344" s="199"/>
      <c r="V1344" s="200"/>
      <c r="W1344" s="200"/>
      <c r="X1344" s="200"/>
      <c r="Y1344" s="200"/>
      <c r="Z1344" s="200"/>
      <c r="AA1344" s="201"/>
      <c r="AB1344" s="200"/>
      <c r="AC1344" s="200"/>
    </row>
    <row r="1345" ht="15.75" customHeight="1">
      <c r="A1345" s="210">
        <f t="shared" si="1"/>
        <v>1343</v>
      </c>
      <c r="B1345" s="217"/>
      <c r="C1345" s="217" t="str">
        <f>IFERROR(VLOOKUP(B1345, SourceData!$U$3:$V$190, 2, FALSE), "")</f>
        <v/>
      </c>
      <c r="D1345" s="240"/>
      <c r="E1345" s="241"/>
      <c r="F1345" s="248"/>
      <c r="G1345" s="207"/>
      <c r="H1345" s="209"/>
      <c r="I1345" s="209"/>
      <c r="J1345" s="209"/>
      <c r="K1345" s="208" t="str">
        <f>IF(Errors!$I1345=0,SourceData!$B$42,VLOOKUP(Errors!$I1345,SourceData!$A$2:$B$40,2,FALSE))</f>
        <v>Please select ERROR CODE column "I"</v>
      </c>
      <c r="L1345" s="207" t="str">
        <f>IF(Errors!$I1345=0,
    'List of Error Codes'!$E$29,
    IFERROR(VLOOKUP(Errors!$I1345, 'List of Error Codes'!D1344:I1374, 6, FALSE), 'List of Error Codes'!$E$29)
)</f>
        <v>Please select ERROR CODE column "I"</v>
      </c>
      <c r="M1345" s="209"/>
      <c r="N1345" s="209"/>
      <c r="O1345" s="209"/>
      <c r="P1345" s="209"/>
      <c r="Q1345" s="209"/>
      <c r="R1345" s="217"/>
      <c r="S1345" s="217"/>
      <c r="T1345" s="217"/>
      <c r="U1345" s="199"/>
      <c r="V1345" s="200"/>
      <c r="W1345" s="200"/>
      <c r="X1345" s="200"/>
      <c r="Y1345" s="200"/>
      <c r="Z1345" s="200"/>
      <c r="AA1345" s="201"/>
      <c r="AB1345" s="200"/>
      <c r="AC1345" s="200"/>
    </row>
    <row r="1346" ht="15.75" customHeight="1">
      <c r="A1346" s="210">
        <f t="shared" si="1"/>
        <v>1344</v>
      </c>
      <c r="B1346" s="217"/>
      <c r="C1346" s="217" t="str">
        <f>IFERROR(VLOOKUP(B1346, SourceData!$U$3:$V$190, 2, FALSE), "")</f>
        <v/>
      </c>
      <c r="D1346" s="240"/>
      <c r="E1346" s="241"/>
      <c r="F1346" s="248"/>
      <c r="G1346" s="207"/>
      <c r="H1346" s="209"/>
      <c r="I1346" s="209"/>
      <c r="J1346" s="209"/>
      <c r="K1346" s="208" t="str">
        <f>IF(Errors!$I1346=0,SourceData!$B$42,VLOOKUP(Errors!$I1346,SourceData!$A$2:$B$40,2,FALSE))</f>
        <v>Please select ERROR CODE column "I"</v>
      </c>
      <c r="L1346" s="207" t="str">
        <f>IF(Errors!$I1346=0,
    'List of Error Codes'!$E$29,
    IFERROR(VLOOKUP(Errors!$I1346, 'List of Error Codes'!D1345:I1375, 6, FALSE), 'List of Error Codes'!$E$29)
)</f>
        <v>Please select ERROR CODE column "I"</v>
      </c>
      <c r="M1346" s="209"/>
      <c r="N1346" s="209"/>
      <c r="O1346" s="209"/>
      <c r="P1346" s="209"/>
      <c r="Q1346" s="209"/>
      <c r="R1346" s="217"/>
      <c r="S1346" s="217"/>
      <c r="T1346" s="217"/>
      <c r="U1346" s="199"/>
      <c r="V1346" s="200"/>
      <c r="W1346" s="200"/>
      <c r="X1346" s="200"/>
      <c r="Y1346" s="200"/>
      <c r="Z1346" s="200"/>
      <c r="AA1346" s="201"/>
      <c r="AB1346" s="200"/>
      <c r="AC1346" s="200"/>
    </row>
    <row r="1347" ht="15.75" customHeight="1">
      <c r="A1347" s="210">
        <f t="shared" si="1"/>
        <v>1345</v>
      </c>
      <c r="B1347" s="217"/>
      <c r="C1347" s="217" t="str">
        <f>IFERROR(VLOOKUP(B1347, SourceData!$U$3:$V$190, 2, FALSE), "")</f>
        <v/>
      </c>
      <c r="D1347" s="240"/>
      <c r="E1347" s="241"/>
      <c r="F1347" s="248"/>
      <c r="G1347" s="207"/>
      <c r="H1347" s="209"/>
      <c r="I1347" s="209"/>
      <c r="J1347" s="209"/>
      <c r="K1347" s="208" t="str">
        <f>IF(Errors!$I1347=0,SourceData!$B$42,VLOOKUP(Errors!$I1347,SourceData!$A$2:$B$40,2,FALSE))</f>
        <v>Please select ERROR CODE column "I"</v>
      </c>
      <c r="L1347" s="207" t="str">
        <f>IF(Errors!$I1347=0,
    'List of Error Codes'!$E$29,
    IFERROR(VLOOKUP(Errors!$I1347, 'List of Error Codes'!D1346:I1376, 6, FALSE), 'List of Error Codes'!$E$29)
)</f>
        <v>Please select ERROR CODE column "I"</v>
      </c>
      <c r="M1347" s="209"/>
      <c r="N1347" s="209"/>
      <c r="O1347" s="209"/>
      <c r="P1347" s="209"/>
      <c r="Q1347" s="209"/>
      <c r="R1347" s="217"/>
      <c r="S1347" s="217"/>
      <c r="T1347" s="217"/>
      <c r="U1347" s="199"/>
      <c r="V1347" s="200"/>
      <c r="W1347" s="200"/>
      <c r="X1347" s="200"/>
      <c r="Y1347" s="200"/>
      <c r="Z1347" s="200"/>
      <c r="AA1347" s="201"/>
      <c r="AB1347" s="200"/>
      <c r="AC1347" s="200"/>
    </row>
    <row r="1348" ht="15.75" customHeight="1">
      <c r="A1348" s="210">
        <f t="shared" si="1"/>
        <v>1346</v>
      </c>
      <c r="B1348" s="217"/>
      <c r="C1348" s="217" t="str">
        <f>IFERROR(VLOOKUP(B1348, SourceData!$U$3:$V$190, 2, FALSE), "")</f>
        <v/>
      </c>
      <c r="D1348" s="240"/>
      <c r="E1348" s="241"/>
      <c r="F1348" s="248"/>
      <c r="G1348" s="207"/>
      <c r="H1348" s="209"/>
      <c r="I1348" s="209"/>
      <c r="J1348" s="209"/>
      <c r="K1348" s="208" t="str">
        <f>IF(Errors!$I1348=0,SourceData!$B$42,VLOOKUP(Errors!$I1348,SourceData!$A$2:$B$40,2,FALSE))</f>
        <v>Please select ERROR CODE column "I"</v>
      </c>
      <c r="L1348" s="207" t="str">
        <f>IF(Errors!$I1348=0,
    'List of Error Codes'!$E$29,
    IFERROR(VLOOKUP(Errors!$I1348, 'List of Error Codes'!D1347:I1377, 6, FALSE), 'List of Error Codes'!$E$29)
)</f>
        <v>Please select ERROR CODE column "I"</v>
      </c>
      <c r="M1348" s="209"/>
      <c r="N1348" s="209"/>
      <c r="O1348" s="209"/>
      <c r="P1348" s="209"/>
      <c r="Q1348" s="209"/>
      <c r="R1348" s="217"/>
      <c r="S1348" s="217"/>
      <c r="T1348" s="217"/>
      <c r="U1348" s="199"/>
      <c r="V1348" s="200"/>
      <c r="W1348" s="200"/>
      <c r="X1348" s="200"/>
      <c r="Y1348" s="200"/>
      <c r="Z1348" s="200"/>
      <c r="AA1348" s="201"/>
      <c r="AB1348" s="200"/>
      <c r="AC1348" s="200"/>
    </row>
    <row r="1349" ht="15.75" customHeight="1">
      <c r="A1349" s="210">
        <f t="shared" si="1"/>
        <v>1347</v>
      </c>
      <c r="B1349" s="217"/>
      <c r="C1349" s="217" t="str">
        <f>IFERROR(VLOOKUP(B1349, SourceData!$U$3:$V$190, 2, FALSE), "")</f>
        <v/>
      </c>
      <c r="D1349" s="240"/>
      <c r="E1349" s="241"/>
      <c r="F1349" s="248"/>
      <c r="G1349" s="207"/>
      <c r="H1349" s="209"/>
      <c r="I1349" s="209"/>
      <c r="J1349" s="209"/>
      <c r="K1349" s="208" t="str">
        <f>IF(Errors!$I1349=0,SourceData!$B$42,VLOOKUP(Errors!$I1349,SourceData!$A$2:$B$40,2,FALSE))</f>
        <v>Please select ERROR CODE column "I"</v>
      </c>
      <c r="L1349" s="207" t="str">
        <f>IF(Errors!$I1349=0,
    'List of Error Codes'!$E$29,
    IFERROR(VLOOKUP(Errors!$I1349, 'List of Error Codes'!D1348:I1378, 6, FALSE), 'List of Error Codes'!$E$29)
)</f>
        <v>Please select ERROR CODE column "I"</v>
      </c>
      <c r="M1349" s="209"/>
      <c r="N1349" s="209"/>
      <c r="O1349" s="209"/>
      <c r="P1349" s="209"/>
      <c r="Q1349" s="209"/>
      <c r="R1349" s="217"/>
      <c r="S1349" s="217"/>
      <c r="T1349" s="217"/>
      <c r="U1349" s="199"/>
      <c r="V1349" s="200"/>
      <c r="W1349" s="200"/>
      <c r="X1349" s="200"/>
      <c r="Y1349" s="200"/>
      <c r="Z1349" s="200"/>
      <c r="AA1349" s="201"/>
      <c r="AB1349" s="200"/>
      <c r="AC1349" s="200"/>
    </row>
    <row r="1350" ht="15.75" customHeight="1">
      <c r="A1350" s="210">
        <f t="shared" si="1"/>
        <v>1348</v>
      </c>
      <c r="B1350" s="217"/>
      <c r="C1350" s="217" t="str">
        <f>IFERROR(VLOOKUP(B1350, SourceData!$U$3:$V$190, 2, FALSE), "")</f>
        <v/>
      </c>
      <c r="D1350" s="240"/>
      <c r="E1350" s="241"/>
      <c r="F1350" s="248"/>
      <c r="G1350" s="207"/>
      <c r="H1350" s="209"/>
      <c r="I1350" s="209"/>
      <c r="J1350" s="209"/>
      <c r="K1350" s="208" t="str">
        <f>IF(Errors!$I1350=0,SourceData!$B$42,VLOOKUP(Errors!$I1350,SourceData!$A$2:$B$40,2,FALSE))</f>
        <v>Please select ERROR CODE column "I"</v>
      </c>
      <c r="L1350" s="207" t="str">
        <f>IF(Errors!$I1350=0,
    'List of Error Codes'!$E$29,
    IFERROR(VLOOKUP(Errors!$I1350, 'List of Error Codes'!D1349:I1379, 6, FALSE), 'List of Error Codes'!$E$29)
)</f>
        <v>Please select ERROR CODE column "I"</v>
      </c>
      <c r="M1350" s="209"/>
      <c r="N1350" s="209"/>
      <c r="O1350" s="209"/>
      <c r="P1350" s="209"/>
      <c r="Q1350" s="209"/>
      <c r="R1350" s="217"/>
      <c r="S1350" s="217"/>
      <c r="T1350" s="217"/>
      <c r="U1350" s="199"/>
      <c r="V1350" s="200"/>
      <c r="W1350" s="200"/>
      <c r="X1350" s="200"/>
      <c r="Y1350" s="200"/>
      <c r="Z1350" s="200"/>
      <c r="AA1350" s="201"/>
      <c r="AB1350" s="200"/>
      <c r="AC1350" s="200"/>
    </row>
    <row r="1351" ht="15.75" customHeight="1">
      <c r="A1351" s="210">
        <f t="shared" si="1"/>
        <v>1349</v>
      </c>
      <c r="B1351" s="217"/>
      <c r="C1351" s="217" t="str">
        <f>IFERROR(VLOOKUP(B1351, SourceData!$U$3:$V$190, 2, FALSE), "")</f>
        <v/>
      </c>
      <c r="D1351" s="240"/>
      <c r="E1351" s="241"/>
      <c r="F1351" s="248"/>
      <c r="G1351" s="207"/>
      <c r="H1351" s="209"/>
      <c r="I1351" s="209"/>
      <c r="J1351" s="209"/>
      <c r="K1351" s="208" t="str">
        <f>IF(Errors!$I1351=0,SourceData!$B$42,VLOOKUP(Errors!$I1351,SourceData!$A$2:$B$40,2,FALSE))</f>
        <v>Please select ERROR CODE column "I"</v>
      </c>
      <c r="L1351" s="207" t="str">
        <f>IF(Errors!$I1351=0,
    'List of Error Codes'!$E$29,
    IFERROR(VLOOKUP(Errors!$I1351, 'List of Error Codes'!D1350:I1380, 6, FALSE), 'List of Error Codes'!$E$29)
)</f>
        <v>Please select ERROR CODE column "I"</v>
      </c>
      <c r="M1351" s="209"/>
      <c r="N1351" s="209"/>
      <c r="O1351" s="209"/>
      <c r="P1351" s="209"/>
      <c r="Q1351" s="209"/>
      <c r="R1351" s="217"/>
      <c r="S1351" s="217"/>
      <c r="T1351" s="217"/>
      <c r="U1351" s="199"/>
      <c r="V1351" s="200"/>
      <c r="W1351" s="200"/>
      <c r="X1351" s="200"/>
      <c r="Y1351" s="200"/>
      <c r="Z1351" s="200"/>
      <c r="AA1351" s="201"/>
      <c r="AB1351" s="200"/>
      <c r="AC1351" s="200"/>
    </row>
    <row r="1352" ht="15.75" customHeight="1">
      <c r="A1352" s="210">
        <f t="shared" si="1"/>
        <v>1350</v>
      </c>
      <c r="B1352" s="217"/>
      <c r="C1352" s="217" t="str">
        <f>IFERROR(VLOOKUP(B1352, SourceData!$U$3:$V$190, 2, FALSE), "")</f>
        <v/>
      </c>
      <c r="D1352" s="240"/>
      <c r="E1352" s="241"/>
      <c r="F1352" s="248"/>
      <c r="G1352" s="207"/>
      <c r="H1352" s="209"/>
      <c r="I1352" s="209"/>
      <c r="J1352" s="209"/>
      <c r="K1352" s="208" t="str">
        <f>IF(Errors!$I1352=0,SourceData!$B$42,VLOOKUP(Errors!$I1352,SourceData!$A$2:$B$40,2,FALSE))</f>
        <v>Please select ERROR CODE column "I"</v>
      </c>
      <c r="L1352" s="207" t="str">
        <f>IF(Errors!$I1352=0,
    'List of Error Codes'!$E$29,
    IFERROR(VLOOKUP(Errors!$I1352, 'List of Error Codes'!D1351:I1381, 6, FALSE), 'List of Error Codes'!$E$29)
)</f>
        <v>Please select ERROR CODE column "I"</v>
      </c>
      <c r="M1352" s="209"/>
      <c r="N1352" s="209"/>
      <c r="O1352" s="209"/>
      <c r="P1352" s="209"/>
      <c r="Q1352" s="209"/>
      <c r="R1352" s="217"/>
      <c r="S1352" s="217"/>
      <c r="T1352" s="217"/>
      <c r="U1352" s="199"/>
      <c r="V1352" s="200"/>
      <c r="W1352" s="200"/>
      <c r="X1352" s="200"/>
      <c r="Y1352" s="200"/>
      <c r="Z1352" s="200"/>
      <c r="AA1352" s="201"/>
      <c r="AB1352" s="200"/>
      <c r="AC1352" s="200"/>
    </row>
    <row r="1353" ht="15.75" customHeight="1">
      <c r="A1353" s="210">
        <f t="shared" si="1"/>
        <v>1351</v>
      </c>
      <c r="B1353" s="217"/>
      <c r="C1353" s="217" t="str">
        <f>IFERROR(VLOOKUP(B1353, SourceData!$U$3:$V$190, 2, FALSE), "")</f>
        <v/>
      </c>
      <c r="D1353" s="240"/>
      <c r="E1353" s="241"/>
      <c r="F1353" s="248"/>
      <c r="G1353" s="207"/>
      <c r="H1353" s="209"/>
      <c r="I1353" s="209"/>
      <c r="J1353" s="209"/>
      <c r="K1353" s="208" t="str">
        <f>IF(Errors!$I1353=0,SourceData!$B$42,VLOOKUP(Errors!$I1353,SourceData!$A$2:$B$40,2,FALSE))</f>
        <v>Please select ERROR CODE column "I"</v>
      </c>
      <c r="L1353" s="207" t="str">
        <f>IF(Errors!$I1353=0,
    'List of Error Codes'!$E$29,
    IFERROR(VLOOKUP(Errors!$I1353, 'List of Error Codes'!D1352:I1382, 6, FALSE), 'List of Error Codes'!$E$29)
)</f>
        <v>Please select ERROR CODE column "I"</v>
      </c>
      <c r="M1353" s="209"/>
      <c r="N1353" s="209"/>
      <c r="O1353" s="209"/>
      <c r="P1353" s="209"/>
      <c r="Q1353" s="209"/>
      <c r="R1353" s="217"/>
      <c r="S1353" s="217"/>
      <c r="T1353" s="217"/>
      <c r="U1353" s="199"/>
      <c r="V1353" s="200"/>
      <c r="W1353" s="200"/>
      <c r="X1353" s="200"/>
      <c r="Y1353" s="200"/>
      <c r="Z1353" s="200"/>
      <c r="AA1353" s="201"/>
      <c r="AB1353" s="200"/>
      <c r="AC1353" s="200"/>
    </row>
    <row r="1354" ht="15.75" customHeight="1">
      <c r="A1354" s="210">
        <f t="shared" si="1"/>
        <v>1352</v>
      </c>
      <c r="B1354" s="217"/>
      <c r="C1354" s="217" t="str">
        <f>IFERROR(VLOOKUP(B1354, SourceData!$U$3:$V$190, 2, FALSE), "")</f>
        <v/>
      </c>
      <c r="D1354" s="240"/>
      <c r="E1354" s="241"/>
      <c r="F1354" s="248"/>
      <c r="G1354" s="207"/>
      <c r="H1354" s="209"/>
      <c r="I1354" s="209"/>
      <c r="J1354" s="209"/>
      <c r="K1354" s="208" t="str">
        <f>IF(Errors!$I1354=0,SourceData!$B$42,VLOOKUP(Errors!$I1354,SourceData!$A$2:$B$40,2,FALSE))</f>
        <v>Please select ERROR CODE column "I"</v>
      </c>
      <c r="L1354" s="207" t="str">
        <f>IF(Errors!$I1354=0,
    'List of Error Codes'!$E$29,
    IFERROR(VLOOKUP(Errors!$I1354, 'List of Error Codes'!D1353:I1383, 6, FALSE), 'List of Error Codes'!$E$29)
)</f>
        <v>Please select ERROR CODE column "I"</v>
      </c>
      <c r="M1354" s="209"/>
      <c r="N1354" s="209"/>
      <c r="O1354" s="209"/>
      <c r="P1354" s="209"/>
      <c r="Q1354" s="209"/>
      <c r="R1354" s="217"/>
      <c r="S1354" s="217"/>
      <c r="T1354" s="217"/>
      <c r="U1354" s="199"/>
      <c r="V1354" s="200"/>
      <c r="W1354" s="200"/>
      <c r="X1354" s="200"/>
      <c r="Y1354" s="200"/>
      <c r="Z1354" s="200"/>
      <c r="AA1354" s="201"/>
      <c r="AB1354" s="200"/>
      <c r="AC1354" s="200"/>
    </row>
    <row r="1355" ht="15.75" customHeight="1">
      <c r="A1355" s="210">
        <f t="shared" si="1"/>
        <v>1353</v>
      </c>
      <c r="B1355" s="217"/>
      <c r="C1355" s="217" t="str">
        <f>IFERROR(VLOOKUP(B1355, SourceData!$U$3:$V$190, 2, FALSE), "")</f>
        <v/>
      </c>
      <c r="D1355" s="240"/>
      <c r="E1355" s="241"/>
      <c r="F1355" s="248"/>
      <c r="G1355" s="207"/>
      <c r="H1355" s="209"/>
      <c r="I1355" s="209"/>
      <c r="J1355" s="209"/>
      <c r="K1355" s="208" t="str">
        <f>IF(Errors!$I1355=0,SourceData!$B$42,VLOOKUP(Errors!$I1355,SourceData!$A$2:$B$40,2,FALSE))</f>
        <v>Please select ERROR CODE column "I"</v>
      </c>
      <c r="L1355" s="207" t="str">
        <f>IF(Errors!$I1355=0,
    'List of Error Codes'!$E$29,
    IFERROR(VLOOKUP(Errors!$I1355, 'List of Error Codes'!D1354:I1384, 6, FALSE), 'List of Error Codes'!$E$29)
)</f>
        <v>Please select ERROR CODE column "I"</v>
      </c>
      <c r="M1355" s="209"/>
      <c r="N1355" s="209"/>
      <c r="O1355" s="209"/>
      <c r="P1355" s="209"/>
      <c r="Q1355" s="209"/>
      <c r="R1355" s="217"/>
      <c r="S1355" s="217"/>
      <c r="T1355" s="217"/>
      <c r="U1355" s="199"/>
      <c r="V1355" s="200"/>
      <c r="W1355" s="200"/>
      <c r="X1355" s="200"/>
      <c r="Y1355" s="200"/>
      <c r="Z1355" s="200"/>
      <c r="AA1355" s="201"/>
      <c r="AB1355" s="200"/>
      <c r="AC1355" s="200"/>
    </row>
    <row r="1356" ht="15.75" customHeight="1">
      <c r="A1356" s="210">
        <f t="shared" si="1"/>
        <v>1354</v>
      </c>
      <c r="B1356" s="217"/>
      <c r="C1356" s="217" t="str">
        <f>IFERROR(VLOOKUP(B1356, SourceData!$U$3:$V$190, 2, FALSE), "")</f>
        <v/>
      </c>
      <c r="D1356" s="240"/>
      <c r="E1356" s="241"/>
      <c r="F1356" s="248"/>
      <c r="G1356" s="207"/>
      <c r="H1356" s="209"/>
      <c r="I1356" s="209"/>
      <c r="J1356" s="209"/>
      <c r="K1356" s="208" t="str">
        <f>IF(Errors!$I1356=0,SourceData!$B$42,VLOOKUP(Errors!$I1356,SourceData!$A$2:$B$40,2,FALSE))</f>
        <v>Please select ERROR CODE column "I"</v>
      </c>
      <c r="L1356" s="207" t="str">
        <f>IF(Errors!$I1356=0,
    'List of Error Codes'!$E$29,
    IFERROR(VLOOKUP(Errors!$I1356, 'List of Error Codes'!D1355:I1385, 6, FALSE), 'List of Error Codes'!$E$29)
)</f>
        <v>Please select ERROR CODE column "I"</v>
      </c>
      <c r="M1356" s="209"/>
      <c r="N1356" s="209"/>
      <c r="O1356" s="209"/>
      <c r="P1356" s="209"/>
      <c r="Q1356" s="209"/>
      <c r="R1356" s="217"/>
      <c r="S1356" s="217"/>
      <c r="T1356" s="217"/>
      <c r="U1356" s="199"/>
      <c r="V1356" s="200"/>
      <c r="W1356" s="200"/>
      <c r="X1356" s="200"/>
      <c r="Y1356" s="200"/>
      <c r="Z1356" s="200"/>
      <c r="AA1356" s="201"/>
      <c r="AB1356" s="200"/>
      <c r="AC1356" s="200"/>
    </row>
    <row r="1357" ht="15.75" customHeight="1">
      <c r="A1357" s="210">
        <f t="shared" si="1"/>
        <v>1355</v>
      </c>
      <c r="B1357" s="217"/>
      <c r="C1357" s="217" t="str">
        <f>IFERROR(VLOOKUP(B1357, SourceData!$U$3:$V$190, 2, FALSE), "")</f>
        <v/>
      </c>
      <c r="D1357" s="240"/>
      <c r="E1357" s="241"/>
      <c r="F1357" s="248"/>
      <c r="G1357" s="207"/>
      <c r="H1357" s="209"/>
      <c r="I1357" s="209"/>
      <c r="J1357" s="209"/>
      <c r="K1357" s="208" t="str">
        <f>IF(Errors!$I1357=0,SourceData!$B$42,VLOOKUP(Errors!$I1357,SourceData!$A$2:$B$40,2,FALSE))</f>
        <v>Please select ERROR CODE column "I"</v>
      </c>
      <c r="L1357" s="207" t="str">
        <f>IF(Errors!$I1357=0,
    'List of Error Codes'!$E$29,
    IFERROR(VLOOKUP(Errors!$I1357, 'List of Error Codes'!D1356:I1386, 6, FALSE), 'List of Error Codes'!$E$29)
)</f>
        <v>Please select ERROR CODE column "I"</v>
      </c>
      <c r="M1357" s="209"/>
      <c r="N1357" s="209"/>
      <c r="O1357" s="209"/>
      <c r="P1357" s="209"/>
      <c r="Q1357" s="209"/>
      <c r="R1357" s="217"/>
      <c r="S1357" s="217"/>
      <c r="T1357" s="217"/>
      <c r="U1357" s="199"/>
      <c r="V1357" s="200"/>
      <c r="W1357" s="200"/>
      <c r="X1357" s="200"/>
      <c r="Y1357" s="200"/>
      <c r="Z1357" s="200"/>
      <c r="AA1357" s="201"/>
      <c r="AB1357" s="200"/>
      <c r="AC1357" s="200"/>
    </row>
    <row r="1358" ht="15.75" customHeight="1">
      <c r="A1358" s="210">
        <f t="shared" si="1"/>
        <v>1356</v>
      </c>
      <c r="B1358" s="217"/>
      <c r="C1358" s="217" t="str">
        <f>IFERROR(VLOOKUP(B1358, SourceData!$U$3:$V$190, 2, FALSE), "")</f>
        <v/>
      </c>
      <c r="D1358" s="240"/>
      <c r="E1358" s="241"/>
      <c r="F1358" s="248"/>
      <c r="G1358" s="207"/>
      <c r="H1358" s="209"/>
      <c r="I1358" s="209"/>
      <c r="J1358" s="209"/>
      <c r="K1358" s="208" t="str">
        <f>IF(Errors!$I1358=0,SourceData!$B$42,VLOOKUP(Errors!$I1358,SourceData!$A$2:$B$40,2,FALSE))</f>
        <v>Please select ERROR CODE column "I"</v>
      </c>
      <c r="L1358" s="207" t="str">
        <f>IF(Errors!$I1358=0,
    'List of Error Codes'!$E$29,
    IFERROR(VLOOKUP(Errors!$I1358, 'List of Error Codes'!D1357:I1387, 6, FALSE), 'List of Error Codes'!$E$29)
)</f>
        <v>Please select ERROR CODE column "I"</v>
      </c>
      <c r="M1358" s="209"/>
      <c r="N1358" s="209"/>
      <c r="O1358" s="209"/>
      <c r="P1358" s="209"/>
      <c r="Q1358" s="209"/>
      <c r="R1358" s="217"/>
      <c r="S1358" s="217"/>
      <c r="T1358" s="217"/>
      <c r="U1358" s="199"/>
      <c r="V1358" s="200"/>
      <c r="W1358" s="200"/>
      <c r="X1358" s="200"/>
      <c r="Y1358" s="200"/>
      <c r="Z1358" s="200"/>
      <c r="AA1358" s="201"/>
      <c r="AB1358" s="200"/>
      <c r="AC1358" s="200"/>
    </row>
    <row r="1359" ht="15.75" customHeight="1">
      <c r="A1359" s="210">
        <f t="shared" si="1"/>
        <v>1357</v>
      </c>
      <c r="B1359" s="217"/>
      <c r="C1359" s="217" t="str">
        <f>IFERROR(VLOOKUP(B1359, SourceData!$U$3:$V$190, 2, FALSE), "")</f>
        <v/>
      </c>
      <c r="D1359" s="240"/>
      <c r="E1359" s="241"/>
      <c r="F1359" s="248"/>
      <c r="G1359" s="207"/>
      <c r="H1359" s="209"/>
      <c r="I1359" s="209"/>
      <c r="J1359" s="209"/>
      <c r="K1359" s="208" t="str">
        <f>IF(Errors!$I1359=0,SourceData!$B$42,VLOOKUP(Errors!$I1359,SourceData!$A$2:$B$40,2,FALSE))</f>
        <v>Please select ERROR CODE column "I"</v>
      </c>
      <c r="L1359" s="207" t="str">
        <f>IF(Errors!$I1359=0,
    'List of Error Codes'!$E$29,
    IFERROR(VLOOKUP(Errors!$I1359, 'List of Error Codes'!D1358:I1388, 6, FALSE), 'List of Error Codes'!$E$29)
)</f>
        <v>Please select ERROR CODE column "I"</v>
      </c>
      <c r="M1359" s="209"/>
      <c r="N1359" s="209"/>
      <c r="O1359" s="209"/>
      <c r="P1359" s="209"/>
      <c r="Q1359" s="209"/>
      <c r="R1359" s="217"/>
      <c r="S1359" s="217"/>
      <c r="T1359" s="217"/>
      <c r="U1359" s="199"/>
      <c r="V1359" s="200"/>
      <c r="W1359" s="200"/>
      <c r="X1359" s="200"/>
      <c r="Y1359" s="200"/>
      <c r="Z1359" s="200"/>
      <c r="AA1359" s="201"/>
      <c r="AB1359" s="200"/>
      <c r="AC1359" s="200"/>
    </row>
    <row r="1360" ht="15.75" customHeight="1">
      <c r="A1360" s="210">
        <f t="shared" si="1"/>
        <v>1358</v>
      </c>
      <c r="B1360" s="217"/>
      <c r="C1360" s="217" t="str">
        <f>IFERROR(VLOOKUP(B1360, SourceData!$U$3:$V$190, 2, FALSE), "")</f>
        <v/>
      </c>
      <c r="D1360" s="240"/>
      <c r="E1360" s="241"/>
      <c r="F1360" s="248"/>
      <c r="G1360" s="207"/>
      <c r="H1360" s="209"/>
      <c r="I1360" s="209"/>
      <c r="J1360" s="209"/>
      <c r="K1360" s="208" t="str">
        <f>IF(Errors!$I1360=0,SourceData!$B$42,VLOOKUP(Errors!$I1360,SourceData!$A$2:$B$40,2,FALSE))</f>
        <v>Please select ERROR CODE column "I"</v>
      </c>
      <c r="L1360" s="207" t="str">
        <f>IF(Errors!$I1360=0,
    'List of Error Codes'!$E$29,
    IFERROR(VLOOKUP(Errors!$I1360, 'List of Error Codes'!D1359:I1389, 6, FALSE), 'List of Error Codes'!$E$29)
)</f>
        <v>Please select ERROR CODE column "I"</v>
      </c>
      <c r="M1360" s="209"/>
      <c r="N1360" s="209"/>
      <c r="O1360" s="209"/>
      <c r="P1360" s="209"/>
      <c r="Q1360" s="209"/>
      <c r="R1360" s="217"/>
      <c r="S1360" s="217"/>
      <c r="T1360" s="217"/>
      <c r="U1360" s="199"/>
      <c r="V1360" s="200"/>
      <c r="W1360" s="200"/>
      <c r="X1360" s="200"/>
      <c r="Y1360" s="200"/>
      <c r="Z1360" s="200"/>
      <c r="AA1360" s="201"/>
      <c r="AB1360" s="200"/>
      <c r="AC1360" s="200"/>
    </row>
    <row r="1361" ht="15.75" customHeight="1">
      <c r="A1361" s="210">
        <f t="shared" si="1"/>
        <v>1359</v>
      </c>
      <c r="B1361" s="217"/>
      <c r="C1361" s="217" t="str">
        <f>IFERROR(VLOOKUP(B1361, SourceData!$U$3:$V$190, 2, FALSE), "")</f>
        <v/>
      </c>
      <c r="D1361" s="240"/>
      <c r="E1361" s="241"/>
      <c r="F1361" s="248"/>
      <c r="G1361" s="207"/>
      <c r="H1361" s="209"/>
      <c r="I1361" s="209"/>
      <c r="J1361" s="209"/>
      <c r="K1361" s="208" t="str">
        <f>IF(Errors!$I1361=0,SourceData!$B$42,VLOOKUP(Errors!$I1361,SourceData!$A$2:$B$40,2,FALSE))</f>
        <v>Please select ERROR CODE column "I"</v>
      </c>
      <c r="L1361" s="207" t="str">
        <f>IF(Errors!$I1361=0,
    'List of Error Codes'!$E$29,
    IFERROR(VLOOKUP(Errors!$I1361, 'List of Error Codes'!D1360:I1390, 6, FALSE), 'List of Error Codes'!$E$29)
)</f>
        <v>Please select ERROR CODE column "I"</v>
      </c>
      <c r="M1361" s="209"/>
      <c r="N1361" s="209"/>
      <c r="O1361" s="209"/>
      <c r="P1361" s="209"/>
      <c r="Q1361" s="209"/>
      <c r="R1361" s="217"/>
      <c r="S1361" s="217"/>
      <c r="T1361" s="217"/>
      <c r="U1361" s="199"/>
      <c r="V1361" s="200"/>
      <c r="W1361" s="200"/>
      <c r="X1361" s="200"/>
      <c r="Y1361" s="200"/>
      <c r="Z1361" s="200"/>
      <c r="AA1361" s="201"/>
      <c r="AB1361" s="200"/>
      <c r="AC1361" s="200"/>
    </row>
    <row r="1362" ht="15.75" customHeight="1">
      <c r="A1362" s="210">
        <f t="shared" si="1"/>
        <v>1360</v>
      </c>
      <c r="B1362" s="217"/>
      <c r="C1362" s="217" t="str">
        <f>IFERROR(VLOOKUP(B1362, SourceData!$U$3:$V$190, 2, FALSE), "")</f>
        <v/>
      </c>
      <c r="D1362" s="240"/>
      <c r="E1362" s="241"/>
      <c r="F1362" s="248"/>
      <c r="G1362" s="207"/>
      <c r="H1362" s="209"/>
      <c r="I1362" s="209"/>
      <c r="J1362" s="209"/>
      <c r="K1362" s="208" t="str">
        <f>IF(Errors!$I1362=0,SourceData!$B$42,VLOOKUP(Errors!$I1362,SourceData!$A$2:$B$40,2,FALSE))</f>
        <v>Please select ERROR CODE column "I"</v>
      </c>
      <c r="L1362" s="207" t="str">
        <f>IF(Errors!$I1362=0,
    'List of Error Codes'!$E$29,
    IFERROR(VLOOKUP(Errors!$I1362, 'List of Error Codes'!D1361:I1391, 6, FALSE), 'List of Error Codes'!$E$29)
)</f>
        <v>Please select ERROR CODE column "I"</v>
      </c>
      <c r="M1362" s="209"/>
      <c r="N1362" s="209"/>
      <c r="O1362" s="209"/>
      <c r="P1362" s="209"/>
      <c r="Q1362" s="209"/>
      <c r="R1362" s="217"/>
      <c r="S1362" s="217"/>
      <c r="T1362" s="217"/>
      <c r="U1362" s="199"/>
      <c r="V1362" s="200"/>
      <c r="W1362" s="200"/>
      <c r="X1362" s="200"/>
      <c r="Y1362" s="200"/>
      <c r="Z1362" s="200"/>
      <c r="AA1362" s="201"/>
      <c r="AB1362" s="200"/>
      <c r="AC1362" s="200"/>
    </row>
    <row r="1363" ht="15.75" customHeight="1">
      <c r="A1363" s="210">
        <f t="shared" si="1"/>
        <v>1361</v>
      </c>
      <c r="B1363" s="217"/>
      <c r="C1363" s="217" t="str">
        <f>IFERROR(VLOOKUP(B1363, SourceData!$U$3:$V$190, 2, FALSE), "")</f>
        <v/>
      </c>
      <c r="D1363" s="240"/>
      <c r="E1363" s="241"/>
      <c r="F1363" s="248"/>
      <c r="G1363" s="207"/>
      <c r="H1363" s="209"/>
      <c r="I1363" s="209"/>
      <c r="J1363" s="209"/>
      <c r="K1363" s="208" t="str">
        <f>IF(Errors!$I1363=0,SourceData!$B$42,VLOOKUP(Errors!$I1363,SourceData!$A$2:$B$40,2,FALSE))</f>
        <v>Please select ERROR CODE column "I"</v>
      </c>
      <c r="L1363" s="207" t="str">
        <f>IF(Errors!$I1363=0,
    'List of Error Codes'!$E$29,
    IFERROR(VLOOKUP(Errors!$I1363, 'List of Error Codes'!D1362:I1392, 6, FALSE), 'List of Error Codes'!$E$29)
)</f>
        <v>Please select ERROR CODE column "I"</v>
      </c>
      <c r="M1363" s="209"/>
      <c r="N1363" s="209"/>
      <c r="O1363" s="209"/>
      <c r="P1363" s="209"/>
      <c r="Q1363" s="209"/>
      <c r="R1363" s="217"/>
      <c r="S1363" s="217"/>
      <c r="T1363" s="217"/>
      <c r="U1363" s="199"/>
      <c r="V1363" s="200"/>
      <c r="W1363" s="200"/>
      <c r="X1363" s="200"/>
      <c r="Y1363" s="200"/>
      <c r="Z1363" s="200"/>
      <c r="AA1363" s="201"/>
      <c r="AB1363" s="200"/>
      <c r="AC1363" s="200"/>
    </row>
    <row r="1364" ht="15.75" customHeight="1">
      <c r="A1364" s="210">
        <f t="shared" si="1"/>
        <v>1362</v>
      </c>
      <c r="B1364" s="217"/>
      <c r="C1364" s="217" t="str">
        <f>IFERROR(VLOOKUP(B1364, SourceData!$U$3:$V$190, 2, FALSE), "")</f>
        <v/>
      </c>
      <c r="D1364" s="240"/>
      <c r="E1364" s="241"/>
      <c r="F1364" s="248"/>
      <c r="G1364" s="207"/>
      <c r="H1364" s="209"/>
      <c r="I1364" s="209"/>
      <c r="J1364" s="209"/>
      <c r="K1364" s="208" t="str">
        <f>IF(Errors!$I1364=0,SourceData!$B$42,VLOOKUP(Errors!$I1364,SourceData!$A$2:$B$40,2,FALSE))</f>
        <v>Please select ERROR CODE column "I"</v>
      </c>
      <c r="L1364" s="207" t="str">
        <f>IF(Errors!$I1364=0,
    'List of Error Codes'!$E$29,
    IFERROR(VLOOKUP(Errors!$I1364, 'List of Error Codes'!D1363:I1393, 6, FALSE), 'List of Error Codes'!$E$29)
)</f>
        <v>Please select ERROR CODE column "I"</v>
      </c>
      <c r="M1364" s="209"/>
      <c r="N1364" s="209"/>
      <c r="O1364" s="209"/>
      <c r="P1364" s="209"/>
      <c r="Q1364" s="209"/>
      <c r="R1364" s="217"/>
      <c r="S1364" s="217"/>
      <c r="T1364" s="217"/>
      <c r="U1364" s="199"/>
      <c r="V1364" s="200"/>
      <c r="W1364" s="200"/>
      <c r="X1364" s="200"/>
      <c r="Y1364" s="200"/>
      <c r="Z1364" s="200"/>
      <c r="AA1364" s="201"/>
      <c r="AB1364" s="200"/>
      <c r="AC1364" s="200"/>
    </row>
    <row r="1365" ht="15.75" customHeight="1">
      <c r="A1365" s="210">
        <f t="shared" si="1"/>
        <v>1363</v>
      </c>
      <c r="B1365" s="217"/>
      <c r="C1365" s="217" t="str">
        <f>IFERROR(VLOOKUP(B1365, SourceData!$U$3:$V$190, 2, FALSE), "")</f>
        <v/>
      </c>
      <c r="D1365" s="240"/>
      <c r="E1365" s="241"/>
      <c r="F1365" s="248"/>
      <c r="G1365" s="207"/>
      <c r="H1365" s="209"/>
      <c r="I1365" s="209"/>
      <c r="J1365" s="209"/>
      <c r="K1365" s="208" t="str">
        <f>IF(Errors!$I1365=0,SourceData!$B$42,VLOOKUP(Errors!$I1365,SourceData!$A$2:$B$40,2,FALSE))</f>
        <v>Please select ERROR CODE column "I"</v>
      </c>
      <c r="L1365" s="207" t="str">
        <f>IF(Errors!$I1365=0,
    'List of Error Codes'!$E$29,
    IFERROR(VLOOKUP(Errors!$I1365, 'List of Error Codes'!D1364:I1394, 6, FALSE), 'List of Error Codes'!$E$29)
)</f>
        <v>Please select ERROR CODE column "I"</v>
      </c>
      <c r="M1365" s="209"/>
      <c r="N1365" s="209"/>
      <c r="O1365" s="209"/>
      <c r="P1365" s="209"/>
      <c r="Q1365" s="209"/>
      <c r="R1365" s="217"/>
      <c r="S1365" s="217"/>
      <c r="T1365" s="217"/>
      <c r="U1365" s="199"/>
      <c r="V1365" s="200"/>
      <c r="W1365" s="200"/>
      <c r="X1365" s="200"/>
      <c r="Y1365" s="200"/>
      <c r="Z1365" s="200"/>
      <c r="AA1365" s="201"/>
      <c r="AB1365" s="200"/>
      <c r="AC1365" s="200"/>
    </row>
    <row r="1366" ht="15.75" customHeight="1">
      <c r="A1366" s="210">
        <f t="shared" si="1"/>
        <v>1364</v>
      </c>
      <c r="B1366" s="217"/>
      <c r="C1366" s="217" t="str">
        <f>IFERROR(VLOOKUP(B1366, SourceData!$U$3:$V$190, 2, FALSE), "")</f>
        <v/>
      </c>
      <c r="D1366" s="240"/>
      <c r="E1366" s="241"/>
      <c r="F1366" s="248"/>
      <c r="G1366" s="207"/>
      <c r="H1366" s="209"/>
      <c r="I1366" s="209"/>
      <c r="J1366" s="209"/>
      <c r="K1366" s="208" t="str">
        <f>IF(Errors!$I1366=0,SourceData!$B$42,VLOOKUP(Errors!$I1366,SourceData!$A$2:$B$40,2,FALSE))</f>
        <v>Please select ERROR CODE column "I"</v>
      </c>
      <c r="L1366" s="207" t="str">
        <f>IF(Errors!$I1366=0,
    'List of Error Codes'!$E$29,
    IFERROR(VLOOKUP(Errors!$I1366, 'List of Error Codes'!D1365:I1395, 6, FALSE), 'List of Error Codes'!$E$29)
)</f>
        <v>Please select ERROR CODE column "I"</v>
      </c>
      <c r="M1366" s="209"/>
      <c r="N1366" s="209"/>
      <c r="O1366" s="209"/>
      <c r="P1366" s="209"/>
      <c r="Q1366" s="209"/>
      <c r="R1366" s="217"/>
      <c r="S1366" s="217"/>
      <c r="T1366" s="217"/>
      <c r="U1366" s="199"/>
      <c r="V1366" s="200"/>
      <c r="W1366" s="200"/>
      <c r="X1366" s="200"/>
      <c r="Y1366" s="200"/>
      <c r="Z1366" s="200"/>
      <c r="AA1366" s="201"/>
      <c r="AB1366" s="200"/>
      <c r="AC1366" s="200"/>
    </row>
    <row r="1367" ht="15.75" customHeight="1">
      <c r="A1367" s="210">
        <f t="shared" si="1"/>
        <v>1365</v>
      </c>
      <c r="B1367" s="217"/>
      <c r="C1367" s="217" t="str">
        <f>IFERROR(VLOOKUP(B1367, SourceData!$U$3:$V$190, 2, FALSE), "")</f>
        <v/>
      </c>
      <c r="D1367" s="240"/>
      <c r="E1367" s="241"/>
      <c r="F1367" s="248"/>
      <c r="G1367" s="207"/>
      <c r="H1367" s="209"/>
      <c r="I1367" s="209"/>
      <c r="J1367" s="209"/>
      <c r="K1367" s="208" t="str">
        <f>IF(Errors!$I1367=0,SourceData!$B$42,VLOOKUP(Errors!$I1367,SourceData!$A$2:$B$40,2,FALSE))</f>
        <v>Please select ERROR CODE column "I"</v>
      </c>
      <c r="L1367" s="207" t="str">
        <f>IF(Errors!$I1367=0,
    'List of Error Codes'!$E$29,
    IFERROR(VLOOKUP(Errors!$I1367, 'List of Error Codes'!D1366:I1396, 6, FALSE), 'List of Error Codes'!$E$29)
)</f>
        <v>Please select ERROR CODE column "I"</v>
      </c>
      <c r="M1367" s="209"/>
      <c r="N1367" s="209"/>
      <c r="O1367" s="209"/>
      <c r="P1367" s="209"/>
      <c r="Q1367" s="209"/>
      <c r="R1367" s="217"/>
      <c r="S1367" s="217"/>
      <c r="T1367" s="217"/>
      <c r="U1367" s="199"/>
      <c r="V1367" s="200"/>
      <c r="W1367" s="200"/>
      <c r="X1367" s="200"/>
      <c r="Y1367" s="200"/>
      <c r="Z1367" s="200"/>
      <c r="AA1367" s="201"/>
      <c r="AB1367" s="200"/>
      <c r="AC1367" s="200"/>
    </row>
    <row r="1368" ht="15.75" customHeight="1">
      <c r="A1368" s="210">
        <f t="shared" si="1"/>
        <v>1366</v>
      </c>
      <c r="B1368" s="217"/>
      <c r="C1368" s="217" t="str">
        <f>IFERROR(VLOOKUP(B1368, SourceData!$U$3:$V$190, 2, FALSE), "")</f>
        <v/>
      </c>
      <c r="D1368" s="240"/>
      <c r="E1368" s="241"/>
      <c r="F1368" s="248"/>
      <c r="G1368" s="207"/>
      <c r="H1368" s="209"/>
      <c r="I1368" s="209"/>
      <c r="J1368" s="209"/>
      <c r="K1368" s="208" t="str">
        <f>IF(Errors!$I1368=0,SourceData!$B$42,VLOOKUP(Errors!$I1368,SourceData!$A$2:$B$40,2,FALSE))</f>
        <v>Please select ERROR CODE column "I"</v>
      </c>
      <c r="L1368" s="207" t="str">
        <f>IF(Errors!$I1368=0,
    'List of Error Codes'!$E$29,
    IFERROR(VLOOKUP(Errors!$I1368, 'List of Error Codes'!D1367:I1397, 6, FALSE), 'List of Error Codes'!$E$29)
)</f>
        <v>Please select ERROR CODE column "I"</v>
      </c>
      <c r="M1368" s="209"/>
      <c r="N1368" s="209"/>
      <c r="O1368" s="209"/>
      <c r="P1368" s="209"/>
      <c r="Q1368" s="209"/>
      <c r="R1368" s="217"/>
      <c r="S1368" s="217"/>
      <c r="T1368" s="217"/>
      <c r="U1368" s="199"/>
      <c r="V1368" s="200"/>
      <c r="W1368" s="200"/>
      <c r="X1368" s="200"/>
      <c r="Y1368" s="200"/>
      <c r="Z1368" s="200"/>
      <c r="AA1368" s="201"/>
      <c r="AB1368" s="200"/>
      <c r="AC1368" s="200"/>
    </row>
    <row r="1369" ht="15.75" customHeight="1">
      <c r="A1369" s="210">
        <f t="shared" si="1"/>
        <v>1367</v>
      </c>
      <c r="B1369" s="217"/>
      <c r="C1369" s="217" t="str">
        <f>IFERROR(VLOOKUP(B1369, SourceData!$U$3:$V$190, 2, FALSE), "")</f>
        <v/>
      </c>
      <c r="D1369" s="240"/>
      <c r="E1369" s="241"/>
      <c r="F1369" s="248"/>
      <c r="G1369" s="207"/>
      <c r="H1369" s="209"/>
      <c r="I1369" s="209"/>
      <c r="J1369" s="209"/>
      <c r="K1369" s="208" t="str">
        <f>IF(Errors!$I1369=0,SourceData!$B$42,VLOOKUP(Errors!$I1369,SourceData!$A$2:$B$40,2,FALSE))</f>
        <v>Please select ERROR CODE column "I"</v>
      </c>
      <c r="L1369" s="207" t="str">
        <f>IF(Errors!$I1369=0,
    'List of Error Codes'!$E$29,
    IFERROR(VLOOKUP(Errors!$I1369, 'List of Error Codes'!D1368:I1398, 6, FALSE), 'List of Error Codes'!$E$29)
)</f>
        <v>Please select ERROR CODE column "I"</v>
      </c>
      <c r="M1369" s="209"/>
      <c r="N1369" s="209"/>
      <c r="O1369" s="209"/>
      <c r="P1369" s="209"/>
      <c r="Q1369" s="209"/>
      <c r="R1369" s="217"/>
      <c r="S1369" s="217"/>
      <c r="T1369" s="217"/>
      <c r="U1369" s="199"/>
      <c r="V1369" s="200"/>
      <c r="W1369" s="200"/>
      <c r="X1369" s="200"/>
      <c r="Y1369" s="200"/>
      <c r="Z1369" s="200"/>
      <c r="AA1369" s="201"/>
      <c r="AB1369" s="200"/>
      <c r="AC1369" s="200"/>
    </row>
    <row r="1370" ht="15.75" customHeight="1">
      <c r="A1370" s="210">
        <f t="shared" si="1"/>
        <v>1368</v>
      </c>
      <c r="B1370" s="217"/>
      <c r="C1370" s="217" t="str">
        <f>IFERROR(VLOOKUP(B1370, SourceData!$U$3:$V$190, 2, FALSE), "")</f>
        <v/>
      </c>
      <c r="D1370" s="240"/>
      <c r="E1370" s="241"/>
      <c r="F1370" s="248"/>
      <c r="G1370" s="207"/>
      <c r="H1370" s="209"/>
      <c r="I1370" s="209"/>
      <c r="J1370" s="209"/>
      <c r="K1370" s="208" t="str">
        <f>IF(Errors!$I1370=0,SourceData!$B$42,VLOOKUP(Errors!$I1370,SourceData!$A$2:$B$40,2,FALSE))</f>
        <v>Please select ERROR CODE column "I"</v>
      </c>
      <c r="L1370" s="207" t="str">
        <f>IF(Errors!$I1370=0,
    'List of Error Codes'!$E$29,
    IFERROR(VLOOKUP(Errors!$I1370, 'List of Error Codes'!D1369:I1399, 6, FALSE), 'List of Error Codes'!$E$29)
)</f>
        <v>Please select ERROR CODE column "I"</v>
      </c>
      <c r="M1370" s="209"/>
      <c r="N1370" s="209"/>
      <c r="O1370" s="209"/>
      <c r="P1370" s="209"/>
      <c r="Q1370" s="209"/>
      <c r="R1370" s="217"/>
      <c r="S1370" s="217"/>
      <c r="T1370" s="217"/>
      <c r="U1370" s="199"/>
      <c r="V1370" s="200"/>
      <c r="W1370" s="200"/>
      <c r="X1370" s="200"/>
      <c r="Y1370" s="200"/>
      <c r="Z1370" s="200"/>
      <c r="AA1370" s="201"/>
      <c r="AB1370" s="200"/>
      <c r="AC1370" s="200"/>
    </row>
    <row r="1371" ht="15.75" customHeight="1">
      <c r="A1371" s="210">
        <f t="shared" si="1"/>
        <v>1369</v>
      </c>
      <c r="B1371" s="217"/>
      <c r="C1371" s="217" t="str">
        <f>IFERROR(VLOOKUP(B1371, SourceData!$U$3:$V$190, 2, FALSE), "")</f>
        <v/>
      </c>
      <c r="D1371" s="240"/>
      <c r="E1371" s="241"/>
      <c r="F1371" s="248"/>
      <c r="G1371" s="207"/>
      <c r="H1371" s="209"/>
      <c r="I1371" s="209"/>
      <c r="J1371" s="209"/>
      <c r="K1371" s="208" t="str">
        <f>IF(Errors!$I1371=0,SourceData!$B$42,VLOOKUP(Errors!$I1371,SourceData!$A$2:$B$40,2,FALSE))</f>
        <v>Please select ERROR CODE column "I"</v>
      </c>
      <c r="L1371" s="207" t="str">
        <f>IF(Errors!$I1371=0,
    'List of Error Codes'!$E$29,
    IFERROR(VLOOKUP(Errors!$I1371, 'List of Error Codes'!D1370:I1400, 6, FALSE), 'List of Error Codes'!$E$29)
)</f>
        <v>Please select ERROR CODE column "I"</v>
      </c>
      <c r="M1371" s="209"/>
      <c r="N1371" s="209"/>
      <c r="O1371" s="209"/>
      <c r="P1371" s="209"/>
      <c r="Q1371" s="209"/>
      <c r="R1371" s="217"/>
      <c r="S1371" s="217"/>
      <c r="T1371" s="217"/>
      <c r="U1371" s="199"/>
      <c r="V1371" s="200"/>
      <c r="W1371" s="200"/>
      <c r="X1371" s="200"/>
      <c r="Y1371" s="200"/>
      <c r="Z1371" s="200"/>
      <c r="AA1371" s="201"/>
      <c r="AB1371" s="200"/>
      <c r="AC1371" s="200"/>
    </row>
    <row r="1372" ht="15.75" customHeight="1">
      <c r="A1372" s="210">
        <f t="shared" si="1"/>
        <v>1370</v>
      </c>
      <c r="B1372" s="217"/>
      <c r="C1372" s="217" t="str">
        <f>IFERROR(VLOOKUP(B1372, SourceData!$U$3:$V$190, 2, FALSE), "")</f>
        <v/>
      </c>
      <c r="D1372" s="240"/>
      <c r="E1372" s="241"/>
      <c r="F1372" s="248"/>
      <c r="G1372" s="207"/>
      <c r="H1372" s="209"/>
      <c r="I1372" s="209"/>
      <c r="J1372" s="209"/>
      <c r="K1372" s="208" t="str">
        <f>IF(Errors!$I1372=0,SourceData!$B$42,VLOOKUP(Errors!$I1372,SourceData!$A$2:$B$40,2,FALSE))</f>
        <v>Please select ERROR CODE column "I"</v>
      </c>
      <c r="L1372" s="207" t="str">
        <f>IF(Errors!$I1372=0,
    'List of Error Codes'!$E$29,
    IFERROR(VLOOKUP(Errors!$I1372, 'List of Error Codes'!D1371:I1401, 6, FALSE), 'List of Error Codes'!$E$29)
)</f>
        <v>Please select ERROR CODE column "I"</v>
      </c>
      <c r="M1372" s="209"/>
      <c r="N1372" s="209"/>
      <c r="O1372" s="209"/>
      <c r="P1372" s="209"/>
      <c r="Q1372" s="209"/>
      <c r="R1372" s="217"/>
      <c r="S1372" s="217"/>
      <c r="T1372" s="217"/>
      <c r="U1372" s="199"/>
      <c r="V1372" s="200"/>
      <c r="W1372" s="200"/>
      <c r="X1372" s="200"/>
      <c r="Y1372" s="200"/>
      <c r="Z1372" s="200"/>
      <c r="AA1372" s="201"/>
      <c r="AB1372" s="200"/>
      <c r="AC1372" s="200"/>
    </row>
    <row r="1373" ht="15.75" customHeight="1">
      <c r="A1373" s="210">
        <f t="shared" si="1"/>
        <v>1371</v>
      </c>
      <c r="B1373" s="217"/>
      <c r="C1373" s="217" t="str">
        <f>IFERROR(VLOOKUP(B1373, SourceData!$U$3:$V$190, 2, FALSE), "")</f>
        <v/>
      </c>
      <c r="D1373" s="240"/>
      <c r="E1373" s="241"/>
      <c r="F1373" s="248"/>
      <c r="G1373" s="207"/>
      <c r="H1373" s="209"/>
      <c r="I1373" s="209"/>
      <c r="J1373" s="209"/>
      <c r="K1373" s="208" t="str">
        <f>IF(Errors!$I1373=0,SourceData!$B$42,VLOOKUP(Errors!$I1373,SourceData!$A$2:$B$40,2,FALSE))</f>
        <v>Please select ERROR CODE column "I"</v>
      </c>
      <c r="L1373" s="207" t="str">
        <f>IF(Errors!$I1373=0,
    'List of Error Codes'!$E$29,
    IFERROR(VLOOKUP(Errors!$I1373, 'List of Error Codes'!D1372:I1402, 6, FALSE), 'List of Error Codes'!$E$29)
)</f>
        <v>Please select ERROR CODE column "I"</v>
      </c>
      <c r="M1373" s="209"/>
      <c r="N1373" s="209"/>
      <c r="O1373" s="209"/>
      <c r="P1373" s="209"/>
      <c r="Q1373" s="209"/>
      <c r="R1373" s="217"/>
      <c r="S1373" s="217"/>
      <c r="T1373" s="217"/>
      <c r="U1373" s="199"/>
      <c r="V1373" s="200"/>
      <c r="W1373" s="200"/>
      <c r="X1373" s="200"/>
      <c r="Y1373" s="200"/>
      <c r="Z1373" s="200"/>
      <c r="AA1373" s="201"/>
      <c r="AB1373" s="200"/>
      <c r="AC1373" s="200"/>
    </row>
    <row r="1374" ht="15.75" customHeight="1">
      <c r="A1374" s="210">
        <f t="shared" si="1"/>
        <v>1372</v>
      </c>
      <c r="B1374" s="217"/>
      <c r="C1374" s="217" t="str">
        <f>IFERROR(VLOOKUP(B1374, SourceData!$U$3:$V$190, 2, FALSE), "")</f>
        <v/>
      </c>
      <c r="D1374" s="240"/>
      <c r="E1374" s="241"/>
      <c r="F1374" s="248"/>
      <c r="G1374" s="207"/>
      <c r="H1374" s="209"/>
      <c r="I1374" s="209"/>
      <c r="J1374" s="209"/>
      <c r="K1374" s="208" t="str">
        <f>IF(Errors!$I1374=0,SourceData!$B$42,VLOOKUP(Errors!$I1374,SourceData!$A$2:$B$40,2,FALSE))</f>
        <v>Please select ERROR CODE column "I"</v>
      </c>
      <c r="L1374" s="207" t="str">
        <f>IF(Errors!$I1374=0,
    'List of Error Codes'!$E$29,
    IFERROR(VLOOKUP(Errors!$I1374, 'List of Error Codes'!D1373:I1403, 6, FALSE), 'List of Error Codes'!$E$29)
)</f>
        <v>Please select ERROR CODE column "I"</v>
      </c>
      <c r="M1374" s="209"/>
      <c r="N1374" s="209"/>
      <c r="O1374" s="209"/>
      <c r="P1374" s="209"/>
      <c r="Q1374" s="209"/>
      <c r="R1374" s="217"/>
      <c r="S1374" s="217"/>
      <c r="T1374" s="217"/>
      <c r="U1374" s="199"/>
      <c r="V1374" s="200"/>
      <c r="W1374" s="200"/>
      <c r="X1374" s="200"/>
      <c r="Y1374" s="200"/>
      <c r="Z1374" s="200"/>
      <c r="AA1374" s="201"/>
      <c r="AB1374" s="200"/>
      <c r="AC1374" s="200"/>
    </row>
    <row r="1375" ht="15.75" customHeight="1">
      <c r="A1375" s="210">
        <f t="shared" si="1"/>
        <v>1373</v>
      </c>
      <c r="B1375" s="217"/>
      <c r="C1375" s="217" t="str">
        <f>IFERROR(VLOOKUP(B1375, SourceData!$U$3:$V$190, 2, FALSE), "")</f>
        <v/>
      </c>
      <c r="D1375" s="240"/>
      <c r="E1375" s="241"/>
      <c r="F1375" s="248"/>
      <c r="G1375" s="207"/>
      <c r="H1375" s="209"/>
      <c r="I1375" s="209"/>
      <c r="J1375" s="209"/>
      <c r="K1375" s="208" t="str">
        <f>IF(Errors!$I1375=0,SourceData!$B$42,VLOOKUP(Errors!$I1375,SourceData!$A$2:$B$40,2,FALSE))</f>
        <v>Please select ERROR CODE column "I"</v>
      </c>
      <c r="L1375" s="207" t="str">
        <f>IF(Errors!$I1375=0,
    'List of Error Codes'!$E$29,
    IFERROR(VLOOKUP(Errors!$I1375, 'List of Error Codes'!D1374:I1404, 6, FALSE), 'List of Error Codes'!$E$29)
)</f>
        <v>Please select ERROR CODE column "I"</v>
      </c>
      <c r="M1375" s="209"/>
      <c r="N1375" s="209"/>
      <c r="O1375" s="209"/>
      <c r="P1375" s="209"/>
      <c r="Q1375" s="209"/>
      <c r="R1375" s="217"/>
      <c r="S1375" s="217"/>
      <c r="T1375" s="217"/>
      <c r="U1375" s="199"/>
      <c r="V1375" s="200"/>
      <c r="W1375" s="200"/>
      <c r="X1375" s="200"/>
      <c r="Y1375" s="200"/>
      <c r="Z1375" s="200"/>
      <c r="AA1375" s="201"/>
      <c r="AB1375" s="200"/>
      <c r="AC1375" s="200"/>
    </row>
    <row r="1376" ht="15.75" customHeight="1">
      <c r="A1376" s="210">
        <f t="shared" si="1"/>
        <v>1374</v>
      </c>
      <c r="B1376" s="217"/>
      <c r="C1376" s="217" t="str">
        <f>IFERROR(VLOOKUP(B1376, SourceData!$U$3:$V$190, 2, FALSE), "")</f>
        <v/>
      </c>
      <c r="D1376" s="240"/>
      <c r="E1376" s="241"/>
      <c r="F1376" s="248"/>
      <c r="G1376" s="207"/>
      <c r="H1376" s="209"/>
      <c r="I1376" s="209"/>
      <c r="J1376" s="209"/>
      <c r="K1376" s="208" t="str">
        <f>IF(Errors!$I1376=0,SourceData!$B$42,VLOOKUP(Errors!$I1376,SourceData!$A$2:$B$40,2,FALSE))</f>
        <v>Please select ERROR CODE column "I"</v>
      </c>
      <c r="L1376" s="207" t="str">
        <f>IF(Errors!$I1376=0,
    'List of Error Codes'!$E$29,
    IFERROR(VLOOKUP(Errors!$I1376, 'List of Error Codes'!D1375:I1405, 6, FALSE), 'List of Error Codes'!$E$29)
)</f>
        <v>Please select ERROR CODE column "I"</v>
      </c>
      <c r="M1376" s="209"/>
      <c r="N1376" s="209"/>
      <c r="O1376" s="209"/>
      <c r="P1376" s="209"/>
      <c r="Q1376" s="209"/>
      <c r="R1376" s="217"/>
      <c r="S1376" s="217"/>
      <c r="T1376" s="217"/>
      <c r="U1376" s="199"/>
      <c r="V1376" s="200"/>
      <c r="W1376" s="200"/>
      <c r="X1376" s="200"/>
      <c r="Y1376" s="200"/>
      <c r="Z1376" s="200"/>
      <c r="AA1376" s="201"/>
      <c r="AB1376" s="200"/>
      <c r="AC1376" s="200"/>
    </row>
    <row r="1377" ht="15.75" customHeight="1">
      <c r="A1377" s="210">
        <f t="shared" si="1"/>
        <v>1375</v>
      </c>
      <c r="B1377" s="217"/>
      <c r="C1377" s="217" t="str">
        <f>IFERROR(VLOOKUP(B1377, SourceData!$U$3:$V$190, 2, FALSE), "")</f>
        <v/>
      </c>
      <c r="D1377" s="240"/>
      <c r="E1377" s="241"/>
      <c r="F1377" s="248"/>
      <c r="G1377" s="207"/>
      <c r="H1377" s="209"/>
      <c r="I1377" s="209"/>
      <c r="J1377" s="209"/>
      <c r="K1377" s="208" t="str">
        <f>IF(Errors!$I1377=0,SourceData!$B$42,VLOOKUP(Errors!$I1377,SourceData!$A$2:$B$40,2,FALSE))</f>
        <v>Please select ERROR CODE column "I"</v>
      </c>
      <c r="L1377" s="207" t="str">
        <f>IF(Errors!$I1377=0,
    'List of Error Codes'!$E$29,
    IFERROR(VLOOKUP(Errors!$I1377, 'List of Error Codes'!D1376:I1406, 6, FALSE), 'List of Error Codes'!$E$29)
)</f>
        <v>Please select ERROR CODE column "I"</v>
      </c>
      <c r="M1377" s="209"/>
      <c r="N1377" s="209"/>
      <c r="O1377" s="209"/>
      <c r="P1377" s="209"/>
      <c r="Q1377" s="209"/>
      <c r="R1377" s="217"/>
      <c r="S1377" s="217"/>
      <c r="T1377" s="217"/>
      <c r="U1377" s="199"/>
      <c r="V1377" s="200"/>
      <c r="W1377" s="200"/>
      <c r="X1377" s="200"/>
      <c r="Y1377" s="200"/>
      <c r="Z1377" s="200"/>
      <c r="AA1377" s="201"/>
      <c r="AB1377" s="200"/>
      <c r="AC1377" s="200"/>
    </row>
    <row r="1378" ht="15.75" customHeight="1">
      <c r="A1378" s="210">
        <f t="shared" si="1"/>
        <v>1376</v>
      </c>
      <c r="B1378" s="217"/>
      <c r="C1378" s="217" t="str">
        <f>IFERROR(VLOOKUP(B1378, SourceData!$U$3:$V$190, 2, FALSE), "")</f>
        <v/>
      </c>
      <c r="D1378" s="240"/>
      <c r="E1378" s="241"/>
      <c r="F1378" s="248"/>
      <c r="G1378" s="207"/>
      <c r="H1378" s="209"/>
      <c r="I1378" s="209"/>
      <c r="J1378" s="209"/>
      <c r="K1378" s="208" t="str">
        <f>IF(Errors!$I1378=0,SourceData!$B$42,VLOOKUP(Errors!$I1378,SourceData!$A$2:$B$40,2,FALSE))</f>
        <v>Please select ERROR CODE column "I"</v>
      </c>
      <c r="L1378" s="207" t="str">
        <f>IF(Errors!$I1378=0,
    'List of Error Codes'!$E$29,
    IFERROR(VLOOKUP(Errors!$I1378, 'List of Error Codes'!D1377:I1407, 6, FALSE), 'List of Error Codes'!$E$29)
)</f>
        <v>Please select ERROR CODE column "I"</v>
      </c>
      <c r="M1378" s="209"/>
      <c r="N1378" s="209"/>
      <c r="O1378" s="209"/>
      <c r="P1378" s="209"/>
      <c r="Q1378" s="209"/>
      <c r="R1378" s="217"/>
      <c r="S1378" s="217"/>
      <c r="T1378" s="217"/>
      <c r="U1378" s="199"/>
      <c r="V1378" s="200"/>
      <c r="W1378" s="200"/>
      <c r="X1378" s="200"/>
      <c r="Y1378" s="200"/>
      <c r="Z1378" s="200"/>
      <c r="AA1378" s="201"/>
      <c r="AB1378" s="200"/>
      <c r="AC1378" s="200"/>
    </row>
    <row r="1379" ht="15.75" customHeight="1">
      <c r="A1379" s="210">
        <f t="shared" si="1"/>
        <v>1377</v>
      </c>
      <c r="B1379" s="217"/>
      <c r="C1379" s="217" t="str">
        <f>IFERROR(VLOOKUP(B1379, SourceData!$U$3:$V$190, 2, FALSE), "")</f>
        <v/>
      </c>
      <c r="D1379" s="240"/>
      <c r="E1379" s="241"/>
      <c r="F1379" s="248"/>
      <c r="G1379" s="207"/>
      <c r="H1379" s="209"/>
      <c r="I1379" s="209"/>
      <c r="J1379" s="209"/>
      <c r="K1379" s="208" t="str">
        <f>IF(Errors!$I1379=0,SourceData!$B$42,VLOOKUP(Errors!$I1379,SourceData!$A$2:$B$40,2,FALSE))</f>
        <v>Please select ERROR CODE column "I"</v>
      </c>
      <c r="L1379" s="207" t="str">
        <f>IF(Errors!$I1379=0,
    'List of Error Codes'!$E$29,
    IFERROR(VLOOKUP(Errors!$I1379, 'List of Error Codes'!D1378:I1408, 6, FALSE), 'List of Error Codes'!$E$29)
)</f>
        <v>Please select ERROR CODE column "I"</v>
      </c>
      <c r="M1379" s="209"/>
      <c r="N1379" s="209"/>
      <c r="O1379" s="209"/>
      <c r="P1379" s="209"/>
      <c r="Q1379" s="209"/>
      <c r="R1379" s="217"/>
      <c r="S1379" s="217"/>
      <c r="T1379" s="217"/>
      <c r="U1379" s="199"/>
      <c r="V1379" s="200"/>
      <c r="W1379" s="200"/>
      <c r="X1379" s="200"/>
      <c r="Y1379" s="200"/>
      <c r="Z1379" s="200"/>
      <c r="AA1379" s="201"/>
      <c r="AB1379" s="200"/>
      <c r="AC1379" s="200"/>
    </row>
    <row r="1380" ht="15.75" customHeight="1">
      <c r="A1380" s="210">
        <f t="shared" si="1"/>
        <v>1378</v>
      </c>
      <c r="B1380" s="217"/>
      <c r="C1380" s="217" t="str">
        <f>IFERROR(VLOOKUP(B1380, SourceData!$U$3:$V$190, 2, FALSE), "")</f>
        <v/>
      </c>
      <c r="D1380" s="240"/>
      <c r="E1380" s="241"/>
      <c r="F1380" s="248"/>
      <c r="G1380" s="207"/>
      <c r="H1380" s="209"/>
      <c r="I1380" s="209"/>
      <c r="J1380" s="209"/>
      <c r="K1380" s="208" t="str">
        <f>IF(Errors!$I1380=0,SourceData!$B$42,VLOOKUP(Errors!$I1380,SourceData!$A$2:$B$40,2,FALSE))</f>
        <v>Please select ERROR CODE column "I"</v>
      </c>
      <c r="L1380" s="207" t="str">
        <f>IF(Errors!$I1380=0,
    'List of Error Codes'!$E$29,
    IFERROR(VLOOKUP(Errors!$I1380, 'List of Error Codes'!D1379:I1409, 6, FALSE), 'List of Error Codes'!$E$29)
)</f>
        <v>Please select ERROR CODE column "I"</v>
      </c>
      <c r="M1380" s="209"/>
      <c r="N1380" s="209"/>
      <c r="O1380" s="209"/>
      <c r="P1380" s="209"/>
      <c r="Q1380" s="209"/>
      <c r="R1380" s="217"/>
      <c r="S1380" s="217"/>
      <c r="T1380" s="217"/>
      <c r="U1380" s="199"/>
      <c r="V1380" s="200"/>
      <c r="W1380" s="200"/>
      <c r="X1380" s="200"/>
      <c r="Y1380" s="200"/>
      <c r="Z1380" s="200"/>
      <c r="AA1380" s="201"/>
      <c r="AB1380" s="200"/>
      <c r="AC1380" s="200"/>
    </row>
    <row r="1381" ht="15.75" customHeight="1">
      <c r="A1381" s="210">
        <f t="shared" si="1"/>
        <v>1379</v>
      </c>
      <c r="B1381" s="217"/>
      <c r="C1381" s="217" t="str">
        <f>IFERROR(VLOOKUP(B1381, SourceData!$U$3:$V$190, 2, FALSE), "")</f>
        <v/>
      </c>
      <c r="D1381" s="240"/>
      <c r="E1381" s="241"/>
      <c r="F1381" s="248"/>
      <c r="G1381" s="207"/>
      <c r="H1381" s="209"/>
      <c r="I1381" s="209"/>
      <c r="J1381" s="209"/>
      <c r="K1381" s="208" t="str">
        <f>IF(Errors!$I1381=0,SourceData!$B$42,VLOOKUP(Errors!$I1381,SourceData!$A$2:$B$40,2,FALSE))</f>
        <v>Please select ERROR CODE column "I"</v>
      </c>
      <c r="L1381" s="207" t="str">
        <f>IF(Errors!$I1381=0,
    'List of Error Codes'!$E$29,
    IFERROR(VLOOKUP(Errors!$I1381, 'List of Error Codes'!D1380:I1410, 6, FALSE), 'List of Error Codes'!$E$29)
)</f>
        <v>Please select ERROR CODE column "I"</v>
      </c>
      <c r="M1381" s="209"/>
      <c r="N1381" s="209"/>
      <c r="O1381" s="209"/>
      <c r="P1381" s="209"/>
      <c r="Q1381" s="209"/>
      <c r="R1381" s="217"/>
      <c r="S1381" s="217"/>
      <c r="T1381" s="217"/>
      <c r="U1381" s="199"/>
      <c r="V1381" s="200"/>
      <c r="W1381" s="200"/>
      <c r="X1381" s="200"/>
      <c r="Y1381" s="200"/>
      <c r="Z1381" s="200"/>
      <c r="AA1381" s="201"/>
      <c r="AB1381" s="200"/>
      <c r="AC1381" s="200"/>
    </row>
    <row r="1382" ht="15.75" customHeight="1">
      <c r="A1382" s="210">
        <f t="shared" si="1"/>
        <v>1380</v>
      </c>
      <c r="B1382" s="217"/>
      <c r="C1382" s="217" t="str">
        <f>IFERROR(VLOOKUP(B1382, SourceData!$U$3:$V$190, 2, FALSE), "")</f>
        <v/>
      </c>
      <c r="D1382" s="240"/>
      <c r="E1382" s="241"/>
      <c r="F1382" s="248"/>
      <c r="G1382" s="207"/>
      <c r="H1382" s="209"/>
      <c r="I1382" s="209"/>
      <c r="J1382" s="209"/>
      <c r="K1382" s="208" t="str">
        <f>IF(Errors!$I1382=0,SourceData!$B$42,VLOOKUP(Errors!$I1382,SourceData!$A$2:$B$40,2,FALSE))</f>
        <v>Please select ERROR CODE column "I"</v>
      </c>
      <c r="L1382" s="207" t="str">
        <f>IF(Errors!$I1382=0,
    'List of Error Codes'!$E$29,
    IFERROR(VLOOKUP(Errors!$I1382, 'List of Error Codes'!D1381:I1411, 6, FALSE), 'List of Error Codes'!$E$29)
)</f>
        <v>Please select ERROR CODE column "I"</v>
      </c>
      <c r="M1382" s="209"/>
      <c r="N1382" s="209"/>
      <c r="O1382" s="209"/>
      <c r="P1382" s="209"/>
      <c r="Q1382" s="209"/>
      <c r="R1382" s="217"/>
      <c r="S1382" s="217"/>
      <c r="T1382" s="217"/>
      <c r="U1382" s="199"/>
      <c r="V1382" s="200"/>
      <c r="W1382" s="200"/>
      <c r="X1382" s="200"/>
      <c r="Y1382" s="200"/>
      <c r="Z1382" s="200"/>
      <c r="AA1382" s="201"/>
      <c r="AB1382" s="200"/>
      <c r="AC1382" s="200"/>
    </row>
    <row r="1383" ht="15.75" customHeight="1">
      <c r="A1383" s="210">
        <f t="shared" si="1"/>
        <v>1381</v>
      </c>
      <c r="B1383" s="217"/>
      <c r="C1383" s="217" t="str">
        <f>IFERROR(VLOOKUP(B1383, SourceData!$U$3:$V$190, 2, FALSE), "")</f>
        <v/>
      </c>
      <c r="D1383" s="240"/>
      <c r="E1383" s="241"/>
      <c r="F1383" s="248"/>
      <c r="G1383" s="207"/>
      <c r="H1383" s="209"/>
      <c r="I1383" s="209"/>
      <c r="J1383" s="209"/>
      <c r="K1383" s="208" t="str">
        <f>IF(Errors!$I1383=0,SourceData!$B$42,VLOOKUP(Errors!$I1383,SourceData!$A$2:$B$40,2,FALSE))</f>
        <v>Please select ERROR CODE column "I"</v>
      </c>
      <c r="L1383" s="207" t="str">
        <f>IF(Errors!$I1383=0,
    'List of Error Codes'!$E$29,
    IFERROR(VLOOKUP(Errors!$I1383, 'List of Error Codes'!D1382:I1412, 6, FALSE), 'List of Error Codes'!$E$29)
)</f>
        <v>Please select ERROR CODE column "I"</v>
      </c>
      <c r="M1383" s="209"/>
      <c r="N1383" s="209"/>
      <c r="O1383" s="209"/>
      <c r="P1383" s="209"/>
      <c r="Q1383" s="209"/>
      <c r="R1383" s="217"/>
      <c r="S1383" s="217"/>
      <c r="T1383" s="217"/>
      <c r="U1383" s="199"/>
      <c r="V1383" s="200"/>
      <c r="W1383" s="200"/>
      <c r="X1383" s="200"/>
      <c r="Y1383" s="200"/>
      <c r="Z1383" s="200"/>
      <c r="AA1383" s="201"/>
      <c r="AB1383" s="200"/>
      <c r="AC1383" s="200"/>
    </row>
    <row r="1384" ht="15.75" customHeight="1">
      <c r="A1384" s="210">
        <f t="shared" si="1"/>
        <v>1382</v>
      </c>
      <c r="B1384" s="217"/>
      <c r="C1384" s="217" t="str">
        <f>IFERROR(VLOOKUP(B1384, SourceData!$U$3:$V$190, 2, FALSE), "")</f>
        <v/>
      </c>
      <c r="D1384" s="240"/>
      <c r="E1384" s="241"/>
      <c r="F1384" s="248"/>
      <c r="G1384" s="207"/>
      <c r="H1384" s="209"/>
      <c r="I1384" s="209"/>
      <c r="J1384" s="209"/>
      <c r="K1384" s="208" t="str">
        <f>IF(Errors!$I1384=0,SourceData!$B$42,VLOOKUP(Errors!$I1384,SourceData!$A$2:$B$40,2,FALSE))</f>
        <v>Please select ERROR CODE column "I"</v>
      </c>
      <c r="L1384" s="207" t="str">
        <f>IF(Errors!$I1384=0,
    'List of Error Codes'!$E$29,
    IFERROR(VLOOKUP(Errors!$I1384, 'List of Error Codes'!D1383:I1413, 6, FALSE), 'List of Error Codes'!$E$29)
)</f>
        <v>Please select ERROR CODE column "I"</v>
      </c>
      <c r="M1384" s="209"/>
      <c r="N1384" s="209"/>
      <c r="O1384" s="209"/>
      <c r="P1384" s="209"/>
      <c r="Q1384" s="209"/>
      <c r="R1384" s="217"/>
      <c r="S1384" s="217"/>
      <c r="T1384" s="217"/>
      <c r="U1384" s="199"/>
      <c r="V1384" s="200"/>
      <c r="W1384" s="200"/>
      <c r="X1384" s="200"/>
      <c r="Y1384" s="200"/>
      <c r="Z1384" s="200"/>
      <c r="AA1384" s="201"/>
      <c r="AB1384" s="200"/>
      <c r="AC1384" s="200"/>
    </row>
    <row r="1385" ht="15.75" customHeight="1">
      <c r="A1385" s="210">
        <f t="shared" si="1"/>
        <v>1383</v>
      </c>
      <c r="B1385" s="217"/>
      <c r="C1385" s="217" t="str">
        <f>IFERROR(VLOOKUP(B1385, SourceData!$U$3:$V$190, 2, FALSE), "")</f>
        <v/>
      </c>
      <c r="D1385" s="240"/>
      <c r="E1385" s="241"/>
      <c r="F1385" s="248"/>
      <c r="G1385" s="207"/>
      <c r="H1385" s="209"/>
      <c r="I1385" s="209"/>
      <c r="J1385" s="209"/>
      <c r="K1385" s="208" t="str">
        <f>IF(Errors!$I1385=0,SourceData!$B$42,VLOOKUP(Errors!$I1385,SourceData!$A$2:$B$40,2,FALSE))</f>
        <v>Please select ERROR CODE column "I"</v>
      </c>
      <c r="L1385" s="207" t="str">
        <f>IF(Errors!$I1385=0,
    'List of Error Codes'!$E$29,
    IFERROR(VLOOKUP(Errors!$I1385, 'List of Error Codes'!D1384:I1414, 6, FALSE), 'List of Error Codes'!$E$29)
)</f>
        <v>Please select ERROR CODE column "I"</v>
      </c>
      <c r="M1385" s="209"/>
      <c r="N1385" s="209"/>
      <c r="O1385" s="209"/>
      <c r="P1385" s="209"/>
      <c r="Q1385" s="209"/>
      <c r="R1385" s="217"/>
      <c r="S1385" s="217"/>
      <c r="T1385" s="217"/>
      <c r="U1385" s="199"/>
      <c r="V1385" s="200"/>
      <c r="W1385" s="200"/>
      <c r="X1385" s="200"/>
      <c r="Y1385" s="200"/>
      <c r="Z1385" s="200"/>
      <c r="AA1385" s="201"/>
      <c r="AB1385" s="200"/>
      <c r="AC1385" s="200"/>
    </row>
    <row r="1386" ht="15.75" customHeight="1">
      <c r="A1386" s="210">
        <f t="shared" si="1"/>
        <v>1384</v>
      </c>
      <c r="B1386" s="217"/>
      <c r="C1386" s="217" t="str">
        <f>IFERROR(VLOOKUP(B1386, SourceData!$U$3:$V$190, 2, FALSE), "")</f>
        <v/>
      </c>
      <c r="D1386" s="240"/>
      <c r="E1386" s="241"/>
      <c r="F1386" s="248"/>
      <c r="G1386" s="207"/>
      <c r="H1386" s="209"/>
      <c r="I1386" s="209"/>
      <c r="J1386" s="209"/>
      <c r="K1386" s="208" t="str">
        <f>IF(Errors!$I1386=0,SourceData!$B$42,VLOOKUP(Errors!$I1386,SourceData!$A$2:$B$40,2,FALSE))</f>
        <v>Please select ERROR CODE column "I"</v>
      </c>
      <c r="L1386" s="207" t="str">
        <f>IF(Errors!$I1386=0,
    'List of Error Codes'!$E$29,
    IFERROR(VLOOKUP(Errors!$I1386, 'List of Error Codes'!D1385:I1415, 6, FALSE), 'List of Error Codes'!$E$29)
)</f>
        <v>Please select ERROR CODE column "I"</v>
      </c>
      <c r="M1386" s="209"/>
      <c r="N1386" s="209"/>
      <c r="O1386" s="209"/>
      <c r="P1386" s="209"/>
      <c r="Q1386" s="209"/>
      <c r="R1386" s="217"/>
      <c r="S1386" s="217"/>
      <c r="T1386" s="217"/>
      <c r="U1386" s="199"/>
      <c r="V1386" s="200"/>
      <c r="W1386" s="200"/>
      <c r="X1386" s="200"/>
      <c r="Y1386" s="200"/>
      <c r="Z1386" s="200"/>
      <c r="AA1386" s="201"/>
      <c r="AB1386" s="200"/>
      <c r="AC1386" s="200"/>
    </row>
    <row r="1387" ht="15.75" customHeight="1">
      <c r="A1387" s="210">
        <f t="shared" si="1"/>
        <v>1385</v>
      </c>
      <c r="B1387" s="217"/>
      <c r="C1387" s="217" t="str">
        <f>IFERROR(VLOOKUP(B1387, SourceData!$U$3:$V$190, 2, FALSE), "")</f>
        <v/>
      </c>
      <c r="D1387" s="240"/>
      <c r="E1387" s="241"/>
      <c r="F1387" s="248"/>
      <c r="G1387" s="207"/>
      <c r="H1387" s="209"/>
      <c r="I1387" s="209"/>
      <c r="J1387" s="209"/>
      <c r="K1387" s="208" t="str">
        <f>IF(Errors!$I1387=0,SourceData!$B$42,VLOOKUP(Errors!$I1387,SourceData!$A$2:$B$40,2,FALSE))</f>
        <v>Please select ERROR CODE column "I"</v>
      </c>
      <c r="L1387" s="207" t="str">
        <f>IF(Errors!$I1387=0,
    'List of Error Codes'!$E$29,
    IFERROR(VLOOKUP(Errors!$I1387, 'List of Error Codes'!D1386:I1416, 6, FALSE), 'List of Error Codes'!$E$29)
)</f>
        <v>Please select ERROR CODE column "I"</v>
      </c>
      <c r="M1387" s="209"/>
      <c r="N1387" s="209"/>
      <c r="O1387" s="209"/>
      <c r="P1387" s="209"/>
      <c r="Q1387" s="209"/>
      <c r="R1387" s="217"/>
      <c r="S1387" s="217"/>
      <c r="T1387" s="217"/>
      <c r="U1387" s="199"/>
      <c r="V1387" s="200"/>
      <c r="W1387" s="200"/>
      <c r="X1387" s="200"/>
      <c r="Y1387" s="200"/>
      <c r="Z1387" s="200"/>
      <c r="AA1387" s="201"/>
      <c r="AB1387" s="200"/>
      <c r="AC1387" s="200"/>
    </row>
    <row r="1388" ht="15.75" customHeight="1">
      <c r="A1388" s="210">
        <f t="shared" si="1"/>
        <v>1386</v>
      </c>
      <c r="B1388" s="217"/>
      <c r="C1388" s="217" t="str">
        <f>IFERROR(VLOOKUP(B1388, SourceData!$U$3:$V$190, 2, FALSE), "")</f>
        <v/>
      </c>
      <c r="D1388" s="240"/>
      <c r="E1388" s="241"/>
      <c r="F1388" s="248"/>
      <c r="G1388" s="207"/>
      <c r="H1388" s="209"/>
      <c r="I1388" s="209"/>
      <c r="J1388" s="209"/>
      <c r="K1388" s="208" t="str">
        <f>IF(Errors!$I1388=0,SourceData!$B$42,VLOOKUP(Errors!$I1388,SourceData!$A$2:$B$40,2,FALSE))</f>
        <v>Please select ERROR CODE column "I"</v>
      </c>
      <c r="L1388" s="207" t="str">
        <f>IF(Errors!$I1388=0,
    'List of Error Codes'!$E$29,
    IFERROR(VLOOKUP(Errors!$I1388, 'List of Error Codes'!D1387:I1417, 6, FALSE), 'List of Error Codes'!$E$29)
)</f>
        <v>Please select ERROR CODE column "I"</v>
      </c>
      <c r="M1388" s="209"/>
      <c r="N1388" s="209"/>
      <c r="O1388" s="209"/>
      <c r="P1388" s="209"/>
      <c r="Q1388" s="209"/>
      <c r="R1388" s="217"/>
      <c r="S1388" s="217"/>
      <c r="T1388" s="217"/>
      <c r="U1388" s="199"/>
      <c r="V1388" s="200"/>
      <c r="W1388" s="200"/>
      <c r="X1388" s="200"/>
      <c r="Y1388" s="200"/>
      <c r="Z1388" s="200"/>
      <c r="AA1388" s="201"/>
      <c r="AB1388" s="200"/>
      <c r="AC1388" s="200"/>
    </row>
    <row r="1389" ht="15.75" customHeight="1">
      <c r="A1389" s="210">
        <f t="shared" si="1"/>
        <v>1387</v>
      </c>
      <c r="B1389" s="217"/>
      <c r="C1389" s="217" t="str">
        <f>IFERROR(VLOOKUP(B1389, SourceData!$U$3:$V$190, 2, FALSE), "")</f>
        <v/>
      </c>
      <c r="D1389" s="240"/>
      <c r="E1389" s="241"/>
      <c r="F1389" s="248"/>
      <c r="G1389" s="207"/>
      <c r="H1389" s="209"/>
      <c r="I1389" s="209"/>
      <c r="J1389" s="209"/>
      <c r="K1389" s="208" t="str">
        <f>IF(Errors!$I1389=0,SourceData!$B$42,VLOOKUP(Errors!$I1389,SourceData!$A$2:$B$40,2,FALSE))</f>
        <v>Please select ERROR CODE column "I"</v>
      </c>
      <c r="L1389" s="207" t="str">
        <f>IF(Errors!$I1389=0,
    'List of Error Codes'!$E$29,
    IFERROR(VLOOKUP(Errors!$I1389, 'List of Error Codes'!D1388:I1418, 6, FALSE), 'List of Error Codes'!$E$29)
)</f>
        <v>Please select ERROR CODE column "I"</v>
      </c>
      <c r="M1389" s="209"/>
      <c r="N1389" s="209"/>
      <c r="O1389" s="209"/>
      <c r="P1389" s="209"/>
      <c r="Q1389" s="209"/>
      <c r="R1389" s="217"/>
      <c r="S1389" s="217"/>
      <c r="T1389" s="217"/>
      <c r="U1389" s="199"/>
      <c r="V1389" s="200"/>
      <c r="W1389" s="200"/>
      <c r="X1389" s="200"/>
      <c r="Y1389" s="200"/>
      <c r="Z1389" s="200"/>
      <c r="AA1389" s="201"/>
      <c r="AB1389" s="200"/>
      <c r="AC1389" s="200"/>
    </row>
    <row r="1390" ht="15.75" customHeight="1">
      <c r="A1390" s="210">
        <f t="shared" si="1"/>
        <v>1388</v>
      </c>
      <c r="B1390" s="217"/>
      <c r="C1390" s="217" t="str">
        <f>IFERROR(VLOOKUP(B1390, SourceData!$U$3:$V$190, 2, FALSE), "")</f>
        <v/>
      </c>
      <c r="D1390" s="240"/>
      <c r="E1390" s="241"/>
      <c r="F1390" s="248"/>
      <c r="G1390" s="207"/>
      <c r="H1390" s="209"/>
      <c r="I1390" s="209"/>
      <c r="J1390" s="209"/>
      <c r="K1390" s="208" t="str">
        <f>IF(Errors!$I1390=0,SourceData!$B$42,VLOOKUP(Errors!$I1390,SourceData!$A$2:$B$40,2,FALSE))</f>
        <v>Please select ERROR CODE column "I"</v>
      </c>
      <c r="L1390" s="207" t="str">
        <f>IF(Errors!$I1390=0,
    'List of Error Codes'!$E$29,
    IFERROR(VLOOKUP(Errors!$I1390, 'List of Error Codes'!D1389:I1419, 6, FALSE), 'List of Error Codes'!$E$29)
)</f>
        <v>Please select ERROR CODE column "I"</v>
      </c>
      <c r="M1390" s="209"/>
      <c r="N1390" s="209"/>
      <c r="O1390" s="209"/>
      <c r="P1390" s="209"/>
      <c r="Q1390" s="209"/>
      <c r="R1390" s="217"/>
      <c r="S1390" s="217"/>
      <c r="T1390" s="217"/>
      <c r="U1390" s="199"/>
      <c r="V1390" s="200"/>
      <c r="W1390" s="200"/>
      <c r="X1390" s="200"/>
      <c r="Y1390" s="200"/>
      <c r="Z1390" s="200"/>
      <c r="AA1390" s="201"/>
      <c r="AB1390" s="200"/>
      <c r="AC1390" s="200"/>
    </row>
    <row r="1391" ht="15.75" customHeight="1">
      <c r="A1391" s="210">
        <f t="shared" si="1"/>
        <v>1389</v>
      </c>
      <c r="B1391" s="217"/>
      <c r="C1391" s="217" t="str">
        <f>IFERROR(VLOOKUP(B1391, SourceData!$U$3:$V$190, 2, FALSE), "")</f>
        <v/>
      </c>
      <c r="D1391" s="240"/>
      <c r="E1391" s="241"/>
      <c r="F1391" s="248"/>
      <c r="G1391" s="207"/>
      <c r="H1391" s="209"/>
      <c r="I1391" s="209"/>
      <c r="J1391" s="209"/>
      <c r="K1391" s="208" t="str">
        <f>IF(Errors!$I1391=0,SourceData!$B$42,VLOOKUP(Errors!$I1391,SourceData!$A$2:$B$40,2,FALSE))</f>
        <v>Please select ERROR CODE column "I"</v>
      </c>
      <c r="L1391" s="207" t="str">
        <f>IF(Errors!$I1391=0,
    'List of Error Codes'!$E$29,
    IFERROR(VLOOKUP(Errors!$I1391, 'List of Error Codes'!D1390:I1420, 6, FALSE), 'List of Error Codes'!$E$29)
)</f>
        <v>Please select ERROR CODE column "I"</v>
      </c>
      <c r="M1391" s="209"/>
      <c r="N1391" s="209"/>
      <c r="O1391" s="209"/>
      <c r="P1391" s="209"/>
      <c r="Q1391" s="209"/>
      <c r="R1391" s="217"/>
      <c r="S1391" s="217"/>
      <c r="T1391" s="217"/>
      <c r="U1391" s="199"/>
      <c r="V1391" s="200"/>
      <c r="W1391" s="200"/>
      <c r="X1391" s="200"/>
      <c r="Y1391" s="200"/>
      <c r="Z1391" s="200"/>
      <c r="AA1391" s="201"/>
      <c r="AB1391" s="200"/>
      <c r="AC1391" s="200"/>
    </row>
    <row r="1392" ht="15.75" customHeight="1">
      <c r="A1392" s="210">
        <f t="shared" si="1"/>
        <v>1390</v>
      </c>
      <c r="B1392" s="217"/>
      <c r="C1392" s="217" t="str">
        <f>IFERROR(VLOOKUP(B1392, SourceData!$U$3:$V$190, 2, FALSE), "")</f>
        <v/>
      </c>
      <c r="D1392" s="240"/>
      <c r="E1392" s="241"/>
      <c r="F1392" s="248"/>
      <c r="G1392" s="207"/>
      <c r="H1392" s="209"/>
      <c r="I1392" s="209"/>
      <c r="J1392" s="209"/>
      <c r="K1392" s="208" t="str">
        <f>IF(Errors!$I1392=0,SourceData!$B$42,VLOOKUP(Errors!$I1392,SourceData!$A$2:$B$40,2,FALSE))</f>
        <v>Please select ERROR CODE column "I"</v>
      </c>
      <c r="L1392" s="207" t="str">
        <f>IF(Errors!$I1392=0,
    'List of Error Codes'!$E$29,
    IFERROR(VLOOKUP(Errors!$I1392, 'List of Error Codes'!D1391:I1421, 6, FALSE), 'List of Error Codes'!$E$29)
)</f>
        <v>Please select ERROR CODE column "I"</v>
      </c>
      <c r="M1392" s="209"/>
      <c r="N1392" s="209"/>
      <c r="O1392" s="209"/>
      <c r="P1392" s="209"/>
      <c r="Q1392" s="209"/>
      <c r="R1392" s="217"/>
      <c r="S1392" s="217"/>
      <c r="T1392" s="217"/>
      <c r="U1392" s="199"/>
      <c r="V1392" s="200"/>
      <c r="W1392" s="200"/>
      <c r="X1392" s="200"/>
      <c r="Y1392" s="200"/>
      <c r="Z1392" s="200"/>
      <c r="AA1392" s="201"/>
      <c r="AB1392" s="200"/>
      <c r="AC1392" s="200"/>
    </row>
    <row r="1393" ht="15.75" customHeight="1">
      <c r="A1393" s="210">
        <f t="shared" si="1"/>
        <v>1391</v>
      </c>
      <c r="B1393" s="217"/>
      <c r="C1393" s="217" t="str">
        <f>IFERROR(VLOOKUP(B1393, SourceData!$U$3:$V$190, 2, FALSE), "")</f>
        <v/>
      </c>
      <c r="D1393" s="240"/>
      <c r="E1393" s="241"/>
      <c r="F1393" s="248"/>
      <c r="G1393" s="207"/>
      <c r="H1393" s="209"/>
      <c r="I1393" s="209"/>
      <c r="J1393" s="209"/>
      <c r="K1393" s="208" t="str">
        <f>IF(Errors!$I1393=0,SourceData!$B$42,VLOOKUP(Errors!$I1393,SourceData!$A$2:$B$40,2,FALSE))</f>
        <v>Please select ERROR CODE column "I"</v>
      </c>
      <c r="L1393" s="207" t="str">
        <f>IF(Errors!$I1393=0,
    'List of Error Codes'!$E$29,
    IFERROR(VLOOKUP(Errors!$I1393, 'List of Error Codes'!D1392:I1422, 6, FALSE), 'List of Error Codes'!$E$29)
)</f>
        <v>Please select ERROR CODE column "I"</v>
      </c>
      <c r="M1393" s="209"/>
      <c r="N1393" s="209"/>
      <c r="O1393" s="209"/>
      <c r="P1393" s="209"/>
      <c r="Q1393" s="209"/>
      <c r="R1393" s="217"/>
      <c r="S1393" s="217"/>
      <c r="T1393" s="217"/>
      <c r="U1393" s="199"/>
      <c r="V1393" s="200"/>
      <c r="W1393" s="200"/>
      <c r="X1393" s="200"/>
      <c r="Y1393" s="200"/>
      <c r="Z1393" s="200"/>
      <c r="AA1393" s="201"/>
      <c r="AB1393" s="200"/>
      <c r="AC1393" s="200"/>
    </row>
    <row r="1394" ht="15.75" customHeight="1">
      <c r="A1394" s="210">
        <f t="shared" si="1"/>
        <v>1392</v>
      </c>
      <c r="B1394" s="217"/>
      <c r="C1394" s="217" t="str">
        <f>IFERROR(VLOOKUP(B1394, SourceData!$U$3:$V$190, 2, FALSE), "")</f>
        <v/>
      </c>
      <c r="D1394" s="240"/>
      <c r="E1394" s="241"/>
      <c r="F1394" s="248"/>
      <c r="G1394" s="207"/>
      <c r="H1394" s="209"/>
      <c r="I1394" s="209"/>
      <c r="J1394" s="209"/>
      <c r="K1394" s="208" t="str">
        <f>IF(Errors!$I1394=0,SourceData!$B$42,VLOOKUP(Errors!$I1394,SourceData!$A$2:$B$40,2,FALSE))</f>
        <v>Please select ERROR CODE column "I"</v>
      </c>
      <c r="L1394" s="207" t="str">
        <f>IF(Errors!$I1394=0,
    'List of Error Codes'!$E$29,
    IFERROR(VLOOKUP(Errors!$I1394, 'List of Error Codes'!D1393:I1423, 6, FALSE), 'List of Error Codes'!$E$29)
)</f>
        <v>Please select ERROR CODE column "I"</v>
      </c>
      <c r="M1394" s="209"/>
      <c r="N1394" s="209"/>
      <c r="O1394" s="209"/>
      <c r="P1394" s="209"/>
      <c r="Q1394" s="209"/>
      <c r="R1394" s="217"/>
      <c r="S1394" s="217"/>
      <c r="T1394" s="217"/>
      <c r="U1394" s="199"/>
      <c r="V1394" s="200"/>
      <c r="W1394" s="200"/>
      <c r="X1394" s="200"/>
      <c r="Y1394" s="200"/>
      <c r="Z1394" s="200"/>
      <c r="AA1394" s="201"/>
      <c r="AB1394" s="200"/>
      <c r="AC1394" s="200"/>
    </row>
    <row r="1395" ht="15.75" customHeight="1">
      <c r="A1395" s="210">
        <f t="shared" si="1"/>
        <v>1393</v>
      </c>
      <c r="B1395" s="217"/>
      <c r="C1395" s="217" t="str">
        <f>IFERROR(VLOOKUP(B1395, SourceData!$U$3:$V$190, 2, FALSE), "")</f>
        <v/>
      </c>
      <c r="D1395" s="240"/>
      <c r="E1395" s="241"/>
      <c r="F1395" s="248"/>
      <c r="G1395" s="207"/>
      <c r="H1395" s="209"/>
      <c r="I1395" s="209"/>
      <c r="J1395" s="209"/>
      <c r="K1395" s="208" t="str">
        <f>IF(Errors!$I1395=0,SourceData!$B$42,VLOOKUP(Errors!$I1395,SourceData!$A$2:$B$40,2,FALSE))</f>
        <v>Please select ERROR CODE column "I"</v>
      </c>
      <c r="L1395" s="207" t="str">
        <f>IF(Errors!$I1395=0,
    'List of Error Codes'!$E$29,
    IFERROR(VLOOKUP(Errors!$I1395, 'List of Error Codes'!D1394:I1424, 6, FALSE), 'List of Error Codes'!$E$29)
)</f>
        <v>Please select ERROR CODE column "I"</v>
      </c>
      <c r="M1395" s="209"/>
      <c r="N1395" s="209"/>
      <c r="O1395" s="209"/>
      <c r="P1395" s="209"/>
      <c r="Q1395" s="209"/>
      <c r="R1395" s="217"/>
      <c r="S1395" s="217"/>
      <c r="T1395" s="217"/>
      <c r="U1395" s="199"/>
      <c r="V1395" s="200"/>
      <c r="W1395" s="200"/>
      <c r="X1395" s="200"/>
      <c r="Y1395" s="200"/>
      <c r="Z1395" s="200"/>
      <c r="AA1395" s="201"/>
      <c r="AB1395" s="200"/>
      <c r="AC1395" s="200"/>
    </row>
    <row r="1396" ht="15.75" customHeight="1">
      <c r="A1396" s="210">
        <f t="shared" si="1"/>
        <v>1394</v>
      </c>
      <c r="B1396" s="217"/>
      <c r="C1396" s="217" t="str">
        <f>IFERROR(VLOOKUP(B1396, SourceData!$U$3:$V$190, 2, FALSE), "")</f>
        <v/>
      </c>
      <c r="D1396" s="240"/>
      <c r="E1396" s="241"/>
      <c r="F1396" s="248"/>
      <c r="G1396" s="207"/>
      <c r="H1396" s="209"/>
      <c r="I1396" s="209"/>
      <c r="J1396" s="209"/>
      <c r="K1396" s="208" t="str">
        <f>IF(Errors!$I1396=0,SourceData!$B$42,VLOOKUP(Errors!$I1396,SourceData!$A$2:$B$40,2,FALSE))</f>
        <v>Please select ERROR CODE column "I"</v>
      </c>
      <c r="L1396" s="207" t="str">
        <f>IF(Errors!$I1396=0,
    'List of Error Codes'!$E$29,
    IFERROR(VLOOKUP(Errors!$I1396, 'List of Error Codes'!D1395:I1425, 6, FALSE), 'List of Error Codes'!$E$29)
)</f>
        <v>Please select ERROR CODE column "I"</v>
      </c>
      <c r="M1396" s="209"/>
      <c r="N1396" s="209"/>
      <c r="O1396" s="209"/>
      <c r="P1396" s="209"/>
      <c r="Q1396" s="209"/>
      <c r="R1396" s="217"/>
      <c r="S1396" s="217"/>
      <c r="T1396" s="217"/>
      <c r="U1396" s="199"/>
      <c r="V1396" s="200"/>
      <c r="W1396" s="200"/>
      <c r="X1396" s="200"/>
      <c r="Y1396" s="200"/>
      <c r="Z1396" s="200"/>
      <c r="AA1396" s="201"/>
      <c r="AB1396" s="200"/>
      <c r="AC1396" s="200"/>
    </row>
    <row r="1397" ht="15.75" customHeight="1">
      <c r="A1397" s="210">
        <f t="shared" si="1"/>
        <v>1395</v>
      </c>
      <c r="B1397" s="217"/>
      <c r="C1397" s="217" t="str">
        <f>IFERROR(VLOOKUP(B1397, SourceData!$U$3:$V$190, 2, FALSE), "")</f>
        <v/>
      </c>
      <c r="D1397" s="240"/>
      <c r="E1397" s="241"/>
      <c r="F1397" s="248"/>
      <c r="G1397" s="207"/>
      <c r="H1397" s="209"/>
      <c r="I1397" s="209"/>
      <c r="J1397" s="209"/>
      <c r="K1397" s="208" t="str">
        <f>IF(Errors!$I1397=0,SourceData!$B$42,VLOOKUP(Errors!$I1397,SourceData!$A$2:$B$40,2,FALSE))</f>
        <v>Please select ERROR CODE column "I"</v>
      </c>
      <c r="L1397" s="207" t="str">
        <f>IF(Errors!$I1397=0,
    'List of Error Codes'!$E$29,
    IFERROR(VLOOKUP(Errors!$I1397, 'List of Error Codes'!D1396:I1426, 6, FALSE), 'List of Error Codes'!$E$29)
)</f>
        <v>Please select ERROR CODE column "I"</v>
      </c>
      <c r="M1397" s="209"/>
      <c r="N1397" s="209"/>
      <c r="O1397" s="209"/>
      <c r="P1397" s="209"/>
      <c r="Q1397" s="209"/>
      <c r="R1397" s="217"/>
      <c r="S1397" s="217"/>
      <c r="T1397" s="217"/>
      <c r="U1397" s="199"/>
      <c r="V1397" s="200"/>
      <c r="W1397" s="200"/>
      <c r="X1397" s="200"/>
      <c r="Y1397" s="200"/>
      <c r="Z1397" s="200"/>
      <c r="AA1397" s="201"/>
      <c r="AB1397" s="200"/>
      <c r="AC1397" s="200"/>
    </row>
    <row r="1398" ht="15.75" customHeight="1">
      <c r="A1398" s="210">
        <f t="shared" si="1"/>
        <v>1396</v>
      </c>
      <c r="B1398" s="217"/>
      <c r="C1398" s="217" t="str">
        <f>IFERROR(VLOOKUP(B1398, SourceData!$U$3:$V$190, 2, FALSE), "")</f>
        <v/>
      </c>
      <c r="D1398" s="240"/>
      <c r="E1398" s="241"/>
      <c r="F1398" s="248"/>
      <c r="G1398" s="207"/>
      <c r="H1398" s="209"/>
      <c r="I1398" s="209"/>
      <c r="J1398" s="209"/>
      <c r="K1398" s="208" t="str">
        <f>IF(Errors!$I1398=0,SourceData!$B$42,VLOOKUP(Errors!$I1398,SourceData!$A$2:$B$40,2,FALSE))</f>
        <v>Please select ERROR CODE column "I"</v>
      </c>
      <c r="L1398" s="207" t="str">
        <f>IF(Errors!$I1398=0,
    'List of Error Codes'!$E$29,
    IFERROR(VLOOKUP(Errors!$I1398, 'List of Error Codes'!D1397:I1427, 6, FALSE), 'List of Error Codes'!$E$29)
)</f>
        <v>Please select ERROR CODE column "I"</v>
      </c>
      <c r="M1398" s="209"/>
      <c r="N1398" s="209"/>
      <c r="O1398" s="209"/>
      <c r="P1398" s="209"/>
      <c r="Q1398" s="209"/>
      <c r="R1398" s="217"/>
      <c r="S1398" s="217"/>
      <c r="T1398" s="217"/>
      <c r="U1398" s="199"/>
      <c r="V1398" s="200"/>
      <c r="W1398" s="200"/>
      <c r="X1398" s="200"/>
      <c r="Y1398" s="200"/>
      <c r="Z1398" s="200"/>
      <c r="AA1398" s="201"/>
      <c r="AB1398" s="200"/>
      <c r="AC1398" s="200"/>
    </row>
    <row r="1399" ht="15.75" customHeight="1">
      <c r="A1399" s="210">
        <f t="shared" si="1"/>
        <v>1397</v>
      </c>
      <c r="B1399" s="217"/>
      <c r="C1399" s="217" t="str">
        <f>IFERROR(VLOOKUP(B1399, SourceData!$U$3:$V$190, 2, FALSE), "")</f>
        <v/>
      </c>
      <c r="D1399" s="240"/>
      <c r="E1399" s="241"/>
      <c r="F1399" s="248"/>
      <c r="G1399" s="207"/>
      <c r="H1399" s="209"/>
      <c r="I1399" s="209"/>
      <c r="J1399" s="209"/>
      <c r="K1399" s="208" t="str">
        <f>IF(Errors!$I1399=0,SourceData!$B$42,VLOOKUP(Errors!$I1399,SourceData!$A$2:$B$40,2,FALSE))</f>
        <v>Please select ERROR CODE column "I"</v>
      </c>
      <c r="L1399" s="207" t="str">
        <f>IF(Errors!$I1399=0,
    'List of Error Codes'!$E$29,
    IFERROR(VLOOKUP(Errors!$I1399, 'List of Error Codes'!D1398:I1428, 6, FALSE), 'List of Error Codes'!$E$29)
)</f>
        <v>Please select ERROR CODE column "I"</v>
      </c>
      <c r="M1399" s="209"/>
      <c r="N1399" s="209"/>
      <c r="O1399" s="209"/>
      <c r="P1399" s="209"/>
      <c r="Q1399" s="209"/>
      <c r="R1399" s="217"/>
      <c r="S1399" s="217"/>
      <c r="T1399" s="217"/>
      <c r="U1399" s="199"/>
      <c r="V1399" s="200"/>
      <c r="W1399" s="200"/>
      <c r="X1399" s="200"/>
      <c r="Y1399" s="200"/>
      <c r="Z1399" s="200"/>
      <c r="AA1399" s="201"/>
      <c r="AB1399" s="200"/>
      <c r="AC1399" s="200"/>
    </row>
    <row r="1400" ht="15.75" customHeight="1">
      <c r="A1400" s="210">
        <f t="shared" si="1"/>
        <v>1398</v>
      </c>
      <c r="B1400" s="217"/>
      <c r="C1400" s="217" t="str">
        <f>IFERROR(VLOOKUP(B1400, SourceData!$U$3:$V$190, 2, FALSE), "")</f>
        <v/>
      </c>
      <c r="D1400" s="240"/>
      <c r="E1400" s="241"/>
      <c r="F1400" s="248"/>
      <c r="G1400" s="207"/>
      <c r="H1400" s="209"/>
      <c r="I1400" s="209"/>
      <c r="J1400" s="209"/>
      <c r="K1400" s="208" t="str">
        <f>IF(Errors!$I1400=0,SourceData!$B$42,VLOOKUP(Errors!$I1400,SourceData!$A$2:$B$40,2,FALSE))</f>
        <v>Please select ERROR CODE column "I"</v>
      </c>
      <c r="L1400" s="207" t="str">
        <f>IF(Errors!$I1400=0,
    'List of Error Codes'!$E$29,
    IFERROR(VLOOKUP(Errors!$I1400, 'List of Error Codes'!D1399:I1429, 6, FALSE), 'List of Error Codes'!$E$29)
)</f>
        <v>Please select ERROR CODE column "I"</v>
      </c>
      <c r="M1400" s="209"/>
      <c r="N1400" s="209"/>
      <c r="O1400" s="209"/>
      <c r="P1400" s="209"/>
      <c r="Q1400" s="209"/>
      <c r="R1400" s="217"/>
      <c r="S1400" s="217"/>
      <c r="T1400" s="217"/>
      <c r="U1400" s="199"/>
      <c r="V1400" s="200"/>
      <c r="W1400" s="200"/>
      <c r="X1400" s="200"/>
      <c r="Y1400" s="200"/>
      <c r="Z1400" s="200"/>
      <c r="AA1400" s="201"/>
      <c r="AB1400" s="200"/>
      <c r="AC1400" s="200"/>
    </row>
    <row r="1401" ht="15.75" customHeight="1">
      <c r="A1401" s="210">
        <f t="shared" si="1"/>
        <v>1399</v>
      </c>
      <c r="B1401" s="217"/>
      <c r="C1401" s="217" t="str">
        <f>IFERROR(VLOOKUP(B1401, SourceData!$U$3:$V$190, 2, FALSE), "")</f>
        <v/>
      </c>
      <c r="D1401" s="240"/>
      <c r="E1401" s="241"/>
      <c r="F1401" s="248"/>
      <c r="G1401" s="207"/>
      <c r="H1401" s="209"/>
      <c r="I1401" s="209"/>
      <c r="J1401" s="209"/>
      <c r="K1401" s="208" t="str">
        <f>IF(Errors!$I1401=0,SourceData!$B$42,VLOOKUP(Errors!$I1401,SourceData!$A$2:$B$40,2,FALSE))</f>
        <v>Please select ERROR CODE column "I"</v>
      </c>
      <c r="L1401" s="207" t="str">
        <f>IF(Errors!$I1401=0,
    'List of Error Codes'!$E$29,
    IFERROR(VLOOKUP(Errors!$I1401, 'List of Error Codes'!D1400:I1430, 6, FALSE), 'List of Error Codes'!$E$29)
)</f>
        <v>Please select ERROR CODE column "I"</v>
      </c>
      <c r="M1401" s="209"/>
      <c r="N1401" s="209"/>
      <c r="O1401" s="209"/>
      <c r="P1401" s="209"/>
      <c r="Q1401" s="209"/>
      <c r="R1401" s="217"/>
      <c r="S1401" s="217"/>
      <c r="T1401" s="217"/>
      <c r="U1401" s="199"/>
      <c r="V1401" s="200"/>
      <c r="W1401" s="200"/>
      <c r="X1401" s="200"/>
      <c r="Y1401" s="200"/>
      <c r="Z1401" s="200"/>
      <c r="AA1401" s="201"/>
      <c r="AB1401" s="200"/>
      <c r="AC1401" s="200"/>
    </row>
    <row r="1402" ht="15.75" customHeight="1">
      <c r="A1402" s="210">
        <f t="shared" si="1"/>
        <v>1400</v>
      </c>
      <c r="B1402" s="217"/>
      <c r="C1402" s="217" t="str">
        <f>IFERROR(VLOOKUP(B1402, SourceData!$U$3:$V$190, 2, FALSE), "")</f>
        <v/>
      </c>
      <c r="D1402" s="240"/>
      <c r="E1402" s="241"/>
      <c r="F1402" s="248"/>
      <c r="G1402" s="207"/>
      <c r="H1402" s="209"/>
      <c r="I1402" s="209"/>
      <c r="J1402" s="209"/>
      <c r="K1402" s="208" t="str">
        <f>IF(Errors!$I1402=0,SourceData!$B$42,VLOOKUP(Errors!$I1402,SourceData!$A$2:$B$40,2,FALSE))</f>
        <v>Please select ERROR CODE column "I"</v>
      </c>
      <c r="L1402" s="207" t="str">
        <f>IF(Errors!$I1402=0,
    'List of Error Codes'!$E$29,
    IFERROR(VLOOKUP(Errors!$I1402, 'List of Error Codes'!D1401:I1431, 6, FALSE), 'List of Error Codes'!$E$29)
)</f>
        <v>Please select ERROR CODE column "I"</v>
      </c>
      <c r="M1402" s="209"/>
      <c r="N1402" s="209"/>
      <c r="O1402" s="209"/>
      <c r="P1402" s="209"/>
      <c r="Q1402" s="209"/>
      <c r="R1402" s="217"/>
      <c r="S1402" s="217"/>
      <c r="T1402" s="217"/>
      <c r="U1402" s="199"/>
      <c r="V1402" s="200"/>
      <c r="W1402" s="200"/>
      <c r="X1402" s="200"/>
      <c r="Y1402" s="200"/>
      <c r="Z1402" s="200"/>
      <c r="AA1402" s="201"/>
      <c r="AB1402" s="200"/>
      <c r="AC1402" s="200"/>
    </row>
    <row r="1403" ht="15.75" customHeight="1">
      <c r="A1403" s="210">
        <f t="shared" si="1"/>
        <v>1401</v>
      </c>
      <c r="B1403" s="217"/>
      <c r="C1403" s="217" t="str">
        <f>IFERROR(VLOOKUP(B1403, SourceData!$U$3:$V$190, 2, FALSE), "")</f>
        <v/>
      </c>
      <c r="D1403" s="240"/>
      <c r="E1403" s="241"/>
      <c r="F1403" s="248"/>
      <c r="G1403" s="207"/>
      <c r="H1403" s="209"/>
      <c r="I1403" s="209"/>
      <c r="J1403" s="209"/>
      <c r="K1403" s="208" t="str">
        <f>IF(Errors!$I1403=0,SourceData!$B$42,VLOOKUP(Errors!$I1403,SourceData!$A$2:$B$40,2,FALSE))</f>
        <v>Please select ERROR CODE column "I"</v>
      </c>
      <c r="L1403" s="207" t="str">
        <f>IF(Errors!$I1403=0,
    'List of Error Codes'!$E$29,
    IFERROR(VLOOKUP(Errors!$I1403, 'List of Error Codes'!D1402:I1432, 6, FALSE), 'List of Error Codes'!$E$29)
)</f>
        <v>Please select ERROR CODE column "I"</v>
      </c>
      <c r="M1403" s="209"/>
      <c r="N1403" s="209"/>
      <c r="O1403" s="209"/>
      <c r="P1403" s="209"/>
      <c r="Q1403" s="209"/>
      <c r="R1403" s="217"/>
      <c r="S1403" s="217"/>
      <c r="T1403" s="217"/>
      <c r="U1403" s="199"/>
      <c r="V1403" s="200"/>
      <c r="W1403" s="200"/>
      <c r="X1403" s="200"/>
      <c r="Y1403" s="200"/>
      <c r="Z1403" s="200"/>
      <c r="AA1403" s="201"/>
      <c r="AB1403" s="200"/>
      <c r="AC1403" s="200"/>
    </row>
    <row r="1404" ht="15.75" customHeight="1">
      <c r="A1404" s="210">
        <f t="shared" si="1"/>
        <v>1402</v>
      </c>
      <c r="B1404" s="217"/>
      <c r="C1404" s="217" t="str">
        <f>IFERROR(VLOOKUP(B1404, SourceData!$U$3:$V$190, 2, FALSE), "")</f>
        <v/>
      </c>
      <c r="D1404" s="240"/>
      <c r="E1404" s="241"/>
      <c r="F1404" s="248"/>
      <c r="G1404" s="207"/>
      <c r="H1404" s="209"/>
      <c r="I1404" s="209"/>
      <c r="J1404" s="209"/>
      <c r="K1404" s="208" t="str">
        <f>IF(Errors!$I1404=0,SourceData!$B$42,VLOOKUP(Errors!$I1404,SourceData!$A$2:$B$40,2,FALSE))</f>
        <v>Please select ERROR CODE column "I"</v>
      </c>
      <c r="L1404" s="207" t="str">
        <f>IF(Errors!$I1404=0,
    'List of Error Codes'!$E$29,
    IFERROR(VLOOKUP(Errors!$I1404, 'List of Error Codes'!D1403:I1433, 6, FALSE), 'List of Error Codes'!$E$29)
)</f>
        <v>Please select ERROR CODE column "I"</v>
      </c>
      <c r="M1404" s="209"/>
      <c r="N1404" s="209"/>
      <c r="O1404" s="209"/>
      <c r="P1404" s="209"/>
      <c r="Q1404" s="209"/>
      <c r="R1404" s="217"/>
      <c r="S1404" s="217"/>
      <c r="T1404" s="217"/>
      <c r="U1404" s="199"/>
      <c r="V1404" s="200"/>
      <c r="W1404" s="200"/>
      <c r="X1404" s="200"/>
      <c r="Y1404" s="200"/>
      <c r="Z1404" s="200"/>
      <c r="AA1404" s="201"/>
      <c r="AB1404" s="200"/>
      <c r="AC1404" s="200"/>
    </row>
    <row r="1405" ht="15.75" customHeight="1">
      <c r="A1405" s="210">
        <f t="shared" si="1"/>
        <v>1403</v>
      </c>
      <c r="B1405" s="217"/>
      <c r="C1405" s="217" t="str">
        <f>IFERROR(VLOOKUP(B1405, SourceData!$U$3:$V$190, 2, FALSE), "")</f>
        <v/>
      </c>
      <c r="D1405" s="240"/>
      <c r="E1405" s="241"/>
      <c r="F1405" s="248"/>
      <c r="G1405" s="207"/>
      <c r="H1405" s="209"/>
      <c r="I1405" s="209"/>
      <c r="J1405" s="209"/>
      <c r="K1405" s="208" t="str">
        <f>IF(Errors!$I1405=0,SourceData!$B$42,VLOOKUP(Errors!$I1405,SourceData!$A$2:$B$40,2,FALSE))</f>
        <v>Please select ERROR CODE column "I"</v>
      </c>
      <c r="L1405" s="207" t="str">
        <f>IF(Errors!$I1405=0,
    'List of Error Codes'!$E$29,
    IFERROR(VLOOKUP(Errors!$I1405, 'List of Error Codes'!D1404:I1434, 6, FALSE), 'List of Error Codes'!$E$29)
)</f>
        <v>Please select ERROR CODE column "I"</v>
      </c>
      <c r="M1405" s="209"/>
      <c r="N1405" s="209"/>
      <c r="O1405" s="209"/>
      <c r="P1405" s="209"/>
      <c r="Q1405" s="209"/>
      <c r="R1405" s="217"/>
      <c r="S1405" s="217"/>
      <c r="T1405" s="217"/>
      <c r="U1405" s="199"/>
      <c r="V1405" s="200"/>
      <c r="W1405" s="200"/>
      <c r="X1405" s="200"/>
      <c r="Y1405" s="200"/>
      <c r="Z1405" s="200"/>
      <c r="AA1405" s="201"/>
      <c r="AB1405" s="200"/>
      <c r="AC1405" s="200"/>
    </row>
    <row r="1406" ht="15.75" customHeight="1">
      <c r="A1406" s="210">
        <f t="shared" si="1"/>
        <v>1404</v>
      </c>
      <c r="B1406" s="217"/>
      <c r="C1406" s="217" t="str">
        <f>IFERROR(VLOOKUP(B1406, SourceData!$U$3:$V$190, 2, FALSE), "")</f>
        <v/>
      </c>
      <c r="D1406" s="240"/>
      <c r="E1406" s="241"/>
      <c r="F1406" s="248"/>
      <c r="G1406" s="207"/>
      <c r="H1406" s="209"/>
      <c r="I1406" s="209"/>
      <c r="J1406" s="209"/>
      <c r="K1406" s="208" t="str">
        <f>IF(Errors!$I1406=0,SourceData!$B$42,VLOOKUP(Errors!$I1406,SourceData!$A$2:$B$40,2,FALSE))</f>
        <v>Please select ERROR CODE column "I"</v>
      </c>
      <c r="L1406" s="207" t="str">
        <f>IF(Errors!$I1406=0,
    'List of Error Codes'!$E$29,
    IFERROR(VLOOKUP(Errors!$I1406, 'List of Error Codes'!D1405:I1435, 6, FALSE), 'List of Error Codes'!$E$29)
)</f>
        <v>Please select ERROR CODE column "I"</v>
      </c>
      <c r="M1406" s="209"/>
      <c r="N1406" s="209"/>
      <c r="O1406" s="209"/>
      <c r="P1406" s="209"/>
      <c r="Q1406" s="209"/>
      <c r="R1406" s="217"/>
      <c r="S1406" s="217"/>
      <c r="T1406" s="217"/>
      <c r="U1406" s="199"/>
      <c r="V1406" s="200"/>
      <c r="W1406" s="200"/>
      <c r="X1406" s="200"/>
      <c r="Y1406" s="200"/>
      <c r="Z1406" s="200"/>
      <c r="AA1406" s="201"/>
      <c r="AB1406" s="200"/>
      <c r="AC1406" s="200"/>
    </row>
    <row r="1407" ht="15.75" customHeight="1">
      <c r="A1407" s="210">
        <f t="shared" si="1"/>
        <v>1405</v>
      </c>
      <c r="B1407" s="217"/>
      <c r="C1407" s="217" t="str">
        <f>IFERROR(VLOOKUP(B1407, SourceData!$U$3:$V$190, 2, FALSE), "")</f>
        <v/>
      </c>
      <c r="D1407" s="240"/>
      <c r="E1407" s="241"/>
      <c r="F1407" s="248"/>
      <c r="G1407" s="207"/>
      <c r="H1407" s="209"/>
      <c r="I1407" s="209"/>
      <c r="J1407" s="209"/>
      <c r="K1407" s="208" t="str">
        <f>IF(Errors!$I1407=0,SourceData!$B$42,VLOOKUP(Errors!$I1407,SourceData!$A$2:$B$40,2,FALSE))</f>
        <v>Please select ERROR CODE column "I"</v>
      </c>
      <c r="L1407" s="207" t="str">
        <f>IF(Errors!$I1407=0,
    'List of Error Codes'!$E$29,
    IFERROR(VLOOKUP(Errors!$I1407, 'List of Error Codes'!D1406:I1436, 6, FALSE), 'List of Error Codes'!$E$29)
)</f>
        <v>Please select ERROR CODE column "I"</v>
      </c>
      <c r="M1407" s="209"/>
      <c r="N1407" s="209"/>
      <c r="O1407" s="209"/>
      <c r="P1407" s="209"/>
      <c r="Q1407" s="209"/>
      <c r="R1407" s="217"/>
      <c r="S1407" s="217"/>
      <c r="T1407" s="217"/>
      <c r="U1407" s="199"/>
      <c r="V1407" s="200"/>
      <c r="W1407" s="200"/>
      <c r="X1407" s="200"/>
      <c r="Y1407" s="200"/>
      <c r="Z1407" s="200"/>
      <c r="AA1407" s="201"/>
      <c r="AB1407" s="200"/>
      <c r="AC1407" s="200"/>
    </row>
    <row r="1408" ht="15.75" customHeight="1">
      <c r="A1408" s="210">
        <f t="shared" si="1"/>
        <v>1406</v>
      </c>
      <c r="B1408" s="217"/>
      <c r="C1408" s="217" t="str">
        <f>IFERROR(VLOOKUP(B1408, SourceData!$U$3:$V$190, 2, FALSE), "")</f>
        <v/>
      </c>
      <c r="D1408" s="240"/>
      <c r="E1408" s="241"/>
      <c r="F1408" s="248"/>
      <c r="G1408" s="207"/>
      <c r="H1408" s="209"/>
      <c r="I1408" s="209"/>
      <c r="J1408" s="209"/>
      <c r="K1408" s="208" t="str">
        <f>IF(Errors!$I1408=0,SourceData!$B$42,VLOOKUP(Errors!$I1408,SourceData!$A$2:$B$40,2,FALSE))</f>
        <v>Please select ERROR CODE column "I"</v>
      </c>
      <c r="L1408" s="207" t="str">
        <f>IF(Errors!$I1408=0,
    'List of Error Codes'!$E$29,
    IFERROR(VLOOKUP(Errors!$I1408, 'List of Error Codes'!D1407:I1437, 6, FALSE), 'List of Error Codes'!$E$29)
)</f>
        <v>Please select ERROR CODE column "I"</v>
      </c>
      <c r="M1408" s="209"/>
      <c r="N1408" s="209"/>
      <c r="O1408" s="209"/>
      <c r="P1408" s="209"/>
      <c r="Q1408" s="209"/>
      <c r="R1408" s="217"/>
      <c r="S1408" s="217"/>
      <c r="T1408" s="217"/>
      <c r="U1408" s="199"/>
      <c r="V1408" s="200"/>
      <c r="W1408" s="200"/>
      <c r="X1408" s="200"/>
      <c r="Y1408" s="200"/>
      <c r="Z1408" s="200"/>
      <c r="AA1408" s="201"/>
      <c r="AB1408" s="200"/>
      <c r="AC1408" s="200"/>
    </row>
    <row r="1409" ht="15.75" customHeight="1">
      <c r="A1409" s="210">
        <f t="shared" si="1"/>
        <v>1407</v>
      </c>
      <c r="B1409" s="217"/>
      <c r="C1409" s="217" t="str">
        <f>IFERROR(VLOOKUP(B1409, SourceData!$U$3:$V$190, 2, FALSE), "")</f>
        <v/>
      </c>
      <c r="D1409" s="240"/>
      <c r="E1409" s="241"/>
      <c r="F1409" s="248"/>
      <c r="G1409" s="207"/>
      <c r="H1409" s="209"/>
      <c r="I1409" s="209"/>
      <c r="J1409" s="209"/>
      <c r="K1409" s="208" t="str">
        <f>IF(Errors!$I1409=0,SourceData!$B$42,VLOOKUP(Errors!$I1409,SourceData!$A$2:$B$40,2,FALSE))</f>
        <v>Please select ERROR CODE column "I"</v>
      </c>
      <c r="L1409" s="207" t="str">
        <f>IF(Errors!$I1409=0,
    'List of Error Codes'!$E$29,
    IFERROR(VLOOKUP(Errors!$I1409, 'List of Error Codes'!D1408:I1438, 6, FALSE), 'List of Error Codes'!$E$29)
)</f>
        <v>Please select ERROR CODE column "I"</v>
      </c>
      <c r="M1409" s="209"/>
      <c r="N1409" s="209"/>
      <c r="O1409" s="209"/>
      <c r="P1409" s="209"/>
      <c r="Q1409" s="209"/>
      <c r="R1409" s="217"/>
      <c r="S1409" s="217"/>
      <c r="T1409" s="217"/>
      <c r="U1409" s="199"/>
      <c r="V1409" s="200"/>
      <c r="W1409" s="200"/>
      <c r="X1409" s="200"/>
      <c r="Y1409" s="200"/>
      <c r="Z1409" s="200"/>
      <c r="AA1409" s="201"/>
      <c r="AB1409" s="200"/>
      <c r="AC1409" s="200"/>
    </row>
    <row r="1410" ht="15.75" customHeight="1">
      <c r="A1410" s="210">
        <f t="shared" si="1"/>
        <v>1408</v>
      </c>
      <c r="B1410" s="217"/>
      <c r="C1410" s="217" t="str">
        <f>IFERROR(VLOOKUP(B1410, SourceData!$U$3:$V$190, 2, FALSE), "")</f>
        <v/>
      </c>
      <c r="D1410" s="240"/>
      <c r="E1410" s="241"/>
      <c r="F1410" s="248"/>
      <c r="G1410" s="207"/>
      <c r="H1410" s="209"/>
      <c r="I1410" s="209"/>
      <c r="J1410" s="209"/>
      <c r="K1410" s="208" t="str">
        <f>IF(Errors!$I1410=0,SourceData!$B$42,VLOOKUP(Errors!$I1410,SourceData!$A$2:$B$40,2,FALSE))</f>
        <v>Please select ERROR CODE column "I"</v>
      </c>
      <c r="L1410" s="207" t="str">
        <f>IF(Errors!$I1410=0,
    'List of Error Codes'!$E$29,
    IFERROR(VLOOKUP(Errors!$I1410, 'List of Error Codes'!D1409:I1439, 6, FALSE), 'List of Error Codes'!$E$29)
)</f>
        <v>Please select ERROR CODE column "I"</v>
      </c>
      <c r="M1410" s="209"/>
      <c r="N1410" s="209"/>
      <c r="O1410" s="209"/>
      <c r="P1410" s="209"/>
      <c r="Q1410" s="209"/>
      <c r="R1410" s="217"/>
      <c r="S1410" s="217"/>
      <c r="T1410" s="217"/>
      <c r="U1410" s="199"/>
      <c r="V1410" s="200"/>
      <c r="W1410" s="200"/>
      <c r="X1410" s="200"/>
      <c r="Y1410" s="200"/>
      <c r="Z1410" s="200"/>
      <c r="AA1410" s="201"/>
      <c r="AB1410" s="200"/>
      <c r="AC1410" s="200"/>
    </row>
    <row r="1411" ht="15.75" customHeight="1">
      <c r="A1411" s="210">
        <f t="shared" si="1"/>
        <v>1409</v>
      </c>
      <c r="B1411" s="217"/>
      <c r="C1411" s="217" t="str">
        <f>IFERROR(VLOOKUP(B1411, SourceData!$U$3:$V$190, 2, FALSE), "")</f>
        <v/>
      </c>
      <c r="D1411" s="240"/>
      <c r="E1411" s="241"/>
      <c r="F1411" s="248"/>
      <c r="G1411" s="207"/>
      <c r="H1411" s="209"/>
      <c r="I1411" s="209"/>
      <c r="J1411" s="209"/>
      <c r="K1411" s="208" t="str">
        <f>IF(Errors!$I1411=0,SourceData!$B$42,VLOOKUP(Errors!$I1411,SourceData!$A$2:$B$40,2,FALSE))</f>
        <v>Please select ERROR CODE column "I"</v>
      </c>
      <c r="L1411" s="207" t="str">
        <f>IF(Errors!$I1411=0,
    'List of Error Codes'!$E$29,
    IFERROR(VLOOKUP(Errors!$I1411, 'List of Error Codes'!D1410:I1440, 6, FALSE), 'List of Error Codes'!$E$29)
)</f>
        <v>Please select ERROR CODE column "I"</v>
      </c>
      <c r="M1411" s="209"/>
      <c r="N1411" s="209"/>
      <c r="O1411" s="209"/>
      <c r="P1411" s="209"/>
      <c r="Q1411" s="209"/>
      <c r="R1411" s="217"/>
      <c r="S1411" s="217"/>
      <c r="T1411" s="217"/>
      <c r="U1411" s="199"/>
      <c r="V1411" s="200"/>
      <c r="W1411" s="200"/>
      <c r="X1411" s="200"/>
      <c r="Y1411" s="200"/>
      <c r="Z1411" s="200"/>
      <c r="AA1411" s="201"/>
      <c r="AB1411" s="200"/>
      <c r="AC1411" s="200"/>
    </row>
    <row r="1412" ht="15.75" customHeight="1">
      <c r="A1412" s="210">
        <f t="shared" si="1"/>
        <v>1410</v>
      </c>
      <c r="B1412" s="217"/>
      <c r="C1412" s="217" t="str">
        <f>IFERROR(VLOOKUP(B1412, SourceData!$U$3:$V$190, 2, FALSE), "")</f>
        <v/>
      </c>
      <c r="D1412" s="240"/>
      <c r="E1412" s="241"/>
      <c r="F1412" s="248"/>
      <c r="G1412" s="207"/>
      <c r="H1412" s="209"/>
      <c r="I1412" s="209"/>
      <c r="J1412" s="209"/>
      <c r="K1412" s="208" t="str">
        <f>IF(Errors!$I1412=0,SourceData!$B$42,VLOOKUP(Errors!$I1412,SourceData!$A$2:$B$40,2,FALSE))</f>
        <v>Please select ERROR CODE column "I"</v>
      </c>
      <c r="L1412" s="207" t="str">
        <f>IF(Errors!$I1412=0,
    'List of Error Codes'!$E$29,
    IFERROR(VLOOKUP(Errors!$I1412, 'List of Error Codes'!D1411:I1441, 6, FALSE), 'List of Error Codes'!$E$29)
)</f>
        <v>Please select ERROR CODE column "I"</v>
      </c>
      <c r="M1412" s="209"/>
      <c r="N1412" s="209"/>
      <c r="O1412" s="209"/>
      <c r="P1412" s="209"/>
      <c r="Q1412" s="209"/>
      <c r="R1412" s="217"/>
      <c r="S1412" s="217"/>
      <c r="T1412" s="217"/>
      <c r="U1412" s="199"/>
      <c r="V1412" s="200"/>
      <c r="W1412" s="200"/>
      <c r="X1412" s="200"/>
      <c r="Y1412" s="200"/>
      <c r="Z1412" s="200"/>
      <c r="AA1412" s="201"/>
      <c r="AB1412" s="200"/>
      <c r="AC1412" s="200"/>
    </row>
    <row r="1413" ht="15.75" customHeight="1">
      <c r="A1413" s="210">
        <f t="shared" si="1"/>
        <v>1411</v>
      </c>
      <c r="B1413" s="217"/>
      <c r="C1413" s="217" t="str">
        <f>IFERROR(VLOOKUP(B1413, SourceData!$U$3:$V$190, 2, FALSE), "")</f>
        <v/>
      </c>
      <c r="D1413" s="240"/>
      <c r="E1413" s="241"/>
      <c r="F1413" s="248"/>
      <c r="G1413" s="207"/>
      <c r="H1413" s="209"/>
      <c r="I1413" s="209"/>
      <c r="J1413" s="209"/>
      <c r="K1413" s="208" t="str">
        <f>IF(Errors!$I1413=0,SourceData!$B$42,VLOOKUP(Errors!$I1413,SourceData!$A$2:$B$40,2,FALSE))</f>
        <v>Please select ERROR CODE column "I"</v>
      </c>
      <c r="L1413" s="207" t="str">
        <f>IF(Errors!$I1413=0,
    'List of Error Codes'!$E$29,
    IFERROR(VLOOKUP(Errors!$I1413, 'List of Error Codes'!D1412:I1442, 6, FALSE), 'List of Error Codes'!$E$29)
)</f>
        <v>Please select ERROR CODE column "I"</v>
      </c>
      <c r="M1413" s="209"/>
      <c r="N1413" s="209"/>
      <c r="O1413" s="209"/>
      <c r="P1413" s="209"/>
      <c r="Q1413" s="209"/>
      <c r="R1413" s="217"/>
      <c r="S1413" s="217"/>
      <c r="T1413" s="217"/>
      <c r="U1413" s="199"/>
      <c r="V1413" s="200"/>
      <c r="W1413" s="200"/>
      <c r="X1413" s="200"/>
      <c r="Y1413" s="200"/>
      <c r="Z1413" s="200"/>
      <c r="AA1413" s="201"/>
      <c r="AB1413" s="200"/>
      <c r="AC1413" s="200"/>
    </row>
    <row r="1414" ht="15.75" customHeight="1">
      <c r="A1414" s="210">
        <f t="shared" si="1"/>
        <v>1412</v>
      </c>
      <c r="B1414" s="217"/>
      <c r="C1414" s="217" t="str">
        <f>IFERROR(VLOOKUP(B1414, SourceData!$U$3:$V$190, 2, FALSE), "")</f>
        <v/>
      </c>
      <c r="D1414" s="240"/>
      <c r="E1414" s="241"/>
      <c r="F1414" s="248"/>
      <c r="G1414" s="207"/>
      <c r="H1414" s="209"/>
      <c r="I1414" s="209"/>
      <c r="J1414" s="209"/>
      <c r="K1414" s="208" t="str">
        <f>IF(Errors!$I1414=0,SourceData!$B$42,VLOOKUP(Errors!$I1414,SourceData!$A$2:$B$40,2,FALSE))</f>
        <v>Please select ERROR CODE column "I"</v>
      </c>
      <c r="L1414" s="207" t="str">
        <f>IF(Errors!$I1414=0,
    'List of Error Codes'!$E$29,
    IFERROR(VLOOKUP(Errors!$I1414, 'List of Error Codes'!D1413:I1443, 6, FALSE), 'List of Error Codes'!$E$29)
)</f>
        <v>Please select ERROR CODE column "I"</v>
      </c>
      <c r="M1414" s="209"/>
      <c r="N1414" s="209"/>
      <c r="O1414" s="209"/>
      <c r="P1414" s="209"/>
      <c r="Q1414" s="209"/>
      <c r="R1414" s="217"/>
      <c r="S1414" s="217"/>
      <c r="T1414" s="217"/>
      <c r="U1414" s="199"/>
      <c r="V1414" s="200"/>
      <c r="W1414" s="200"/>
      <c r="X1414" s="200"/>
      <c r="Y1414" s="200"/>
      <c r="Z1414" s="200"/>
      <c r="AA1414" s="201"/>
      <c r="AB1414" s="200"/>
      <c r="AC1414" s="200"/>
    </row>
    <row r="1415" ht="15.75" customHeight="1">
      <c r="A1415" s="210">
        <f t="shared" si="1"/>
        <v>1413</v>
      </c>
      <c r="B1415" s="217"/>
      <c r="C1415" s="217" t="str">
        <f>IFERROR(VLOOKUP(B1415, SourceData!$U$3:$V$190, 2, FALSE), "")</f>
        <v/>
      </c>
      <c r="D1415" s="240"/>
      <c r="E1415" s="241"/>
      <c r="F1415" s="248"/>
      <c r="G1415" s="207"/>
      <c r="H1415" s="209"/>
      <c r="I1415" s="209"/>
      <c r="J1415" s="209"/>
      <c r="K1415" s="208" t="str">
        <f>IF(Errors!$I1415=0,SourceData!$B$42,VLOOKUP(Errors!$I1415,SourceData!$A$2:$B$40,2,FALSE))</f>
        <v>Please select ERROR CODE column "I"</v>
      </c>
      <c r="L1415" s="207" t="str">
        <f>IF(Errors!$I1415=0,
    'List of Error Codes'!$E$29,
    IFERROR(VLOOKUP(Errors!$I1415, 'List of Error Codes'!D1414:I1444, 6, FALSE), 'List of Error Codes'!$E$29)
)</f>
        <v>Please select ERROR CODE column "I"</v>
      </c>
      <c r="M1415" s="209"/>
      <c r="N1415" s="209"/>
      <c r="O1415" s="209"/>
      <c r="P1415" s="209"/>
      <c r="Q1415" s="209"/>
      <c r="R1415" s="217"/>
      <c r="S1415" s="217"/>
      <c r="T1415" s="217"/>
      <c r="U1415" s="199"/>
      <c r="V1415" s="200"/>
      <c r="W1415" s="200"/>
      <c r="X1415" s="200"/>
      <c r="Y1415" s="200"/>
      <c r="Z1415" s="200"/>
      <c r="AA1415" s="201"/>
      <c r="AB1415" s="200"/>
      <c r="AC1415" s="200"/>
    </row>
    <row r="1416" ht="15.75" customHeight="1">
      <c r="A1416" s="210">
        <f t="shared" si="1"/>
        <v>1414</v>
      </c>
      <c r="B1416" s="217"/>
      <c r="C1416" s="217" t="str">
        <f>IFERROR(VLOOKUP(B1416, SourceData!$U$3:$V$190, 2, FALSE), "")</f>
        <v/>
      </c>
      <c r="D1416" s="240"/>
      <c r="E1416" s="241"/>
      <c r="F1416" s="248"/>
      <c r="G1416" s="207"/>
      <c r="H1416" s="209"/>
      <c r="I1416" s="209"/>
      <c r="J1416" s="209"/>
      <c r="K1416" s="208" t="str">
        <f>IF(Errors!$I1416=0,SourceData!$B$42,VLOOKUP(Errors!$I1416,SourceData!$A$2:$B$40,2,FALSE))</f>
        <v>Please select ERROR CODE column "I"</v>
      </c>
      <c r="L1416" s="207" t="str">
        <f>IF(Errors!$I1416=0,
    'List of Error Codes'!$E$29,
    IFERROR(VLOOKUP(Errors!$I1416, 'List of Error Codes'!D1415:I1445, 6, FALSE), 'List of Error Codes'!$E$29)
)</f>
        <v>Please select ERROR CODE column "I"</v>
      </c>
      <c r="M1416" s="209"/>
      <c r="N1416" s="209"/>
      <c r="O1416" s="209"/>
      <c r="P1416" s="209"/>
      <c r="Q1416" s="209"/>
      <c r="R1416" s="217"/>
      <c r="S1416" s="217"/>
      <c r="T1416" s="217"/>
      <c r="U1416" s="199"/>
      <c r="V1416" s="200"/>
      <c r="W1416" s="200"/>
      <c r="X1416" s="200"/>
      <c r="Y1416" s="200"/>
      <c r="Z1416" s="200"/>
      <c r="AA1416" s="201"/>
      <c r="AB1416" s="200"/>
      <c r="AC1416" s="200"/>
    </row>
    <row r="1417" ht="15.75" customHeight="1">
      <c r="A1417" s="210">
        <f t="shared" si="1"/>
        <v>1415</v>
      </c>
      <c r="B1417" s="217"/>
      <c r="C1417" s="217" t="str">
        <f>IFERROR(VLOOKUP(B1417, SourceData!$U$3:$V$190, 2, FALSE), "")</f>
        <v/>
      </c>
      <c r="D1417" s="240"/>
      <c r="E1417" s="241"/>
      <c r="F1417" s="248"/>
      <c r="G1417" s="207"/>
      <c r="H1417" s="209"/>
      <c r="I1417" s="209"/>
      <c r="J1417" s="209"/>
      <c r="K1417" s="208" t="str">
        <f>IF(Errors!$I1417=0,SourceData!$B$42,VLOOKUP(Errors!$I1417,SourceData!$A$2:$B$40,2,FALSE))</f>
        <v>Please select ERROR CODE column "I"</v>
      </c>
      <c r="L1417" s="207" t="str">
        <f>IF(Errors!$I1417=0,
    'List of Error Codes'!$E$29,
    IFERROR(VLOOKUP(Errors!$I1417, 'List of Error Codes'!D1416:I1446, 6, FALSE), 'List of Error Codes'!$E$29)
)</f>
        <v>Please select ERROR CODE column "I"</v>
      </c>
      <c r="M1417" s="209"/>
      <c r="N1417" s="209"/>
      <c r="O1417" s="209"/>
      <c r="P1417" s="209"/>
      <c r="Q1417" s="209"/>
      <c r="R1417" s="217"/>
      <c r="S1417" s="217"/>
      <c r="T1417" s="217"/>
      <c r="U1417" s="199"/>
      <c r="V1417" s="200"/>
      <c r="W1417" s="200"/>
      <c r="X1417" s="200"/>
      <c r="Y1417" s="200"/>
      <c r="Z1417" s="200"/>
      <c r="AA1417" s="201"/>
      <c r="AB1417" s="200"/>
      <c r="AC1417" s="200"/>
    </row>
    <row r="1418" ht="15.75" customHeight="1">
      <c r="A1418" s="210">
        <f t="shared" si="1"/>
        <v>1416</v>
      </c>
      <c r="B1418" s="217"/>
      <c r="C1418" s="217" t="str">
        <f>IFERROR(VLOOKUP(B1418, SourceData!$U$3:$V$190, 2, FALSE), "")</f>
        <v/>
      </c>
      <c r="D1418" s="240"/>
      <c r="E1418" s="241"/>
      <c r="F1418" s="248"/>
      <c r="G1418" s="207"/>
      <c r="H1418" s="209"/>
      <c r="I1418" s="209"/>
      <c r="J1418" s="209"/>
      <c r="K1418" s="208" t="str">
        <f>IF(Errors!$I1418=0,SourceData!$B$42,VLOOKUP(Errors!$I1418,SourceData!$A$2:$B$40,2,FALSE))</f>
        <v>Please select ERROR CODE column "I"</v>
      </c>
      <c r="L1418" s="207" t="str">
        <f>IF(Errors!$I1418=0,
    'List of Error Codes'!$E$29,
    IFERROR(VLOOKUP(Errors!$I1418, 'List of Error Codes'!D1417:I1447, 6, FALSE), 'List of Error Codes'!$E$29)
)</f>
        <v>Please select ERROR CODE column "I"</v>
      </c>
      <c r="M1418" s="209"/>
      <c r="N1418" s="209"/>
      <c r="O1418" s="209"/>
      <c r="P1418" s="209"/>
      <c r="Q1418" s="209"/>
      <c r="R1418" s="217"/>
      <c r="S1418" s="217"/>
      <c r="T1418" s="217"/>
      <c r="U1418" s="199"/>
      <c r="V1418" s="200"/>
      <c r="W1418" s="200"/>
      <c r="X1418" s="200"/>
      <c r="Y1418" s="200"/>
      <c r="Z1418" s="200"/>
      <c r="AA1418" s="201"/>
      <c r="AB1418" s="200"/>
      <c r="AC1418" s="200"/>
    </row>
    <row r="1419" ht="15.75" customHeight="1">
      <c r="A1419" s="210">
        <f t="shared" si="1"/>
        <v>1417</v>
      </c>
      <c r="B1419" s="217"/>
      <c r="C1419" s="217" t="str">
        <f>IFERROR(VLOOKUP(B1419, SourceData!$U$3:$V$190, 2, FALSE), "")</f>
        <v/>
      </c>
      <c r="D1419" s="240"/>
      <c r="E1419" s="241"/>
      <c r="F1419" s="248"/>
      <c r="G1419" s="207"/>
      <c r="H1419" s="209"/>
      <c r="I1419" s="209"/>
      <c r="J1419" s="209"/>
      <c r="K1419" s="208" t="str">
        <f>IF(Errors!$I1419=0,SourceData!$B$42,VLOOKUP(Errors!$I1419,SourceData!$A$2:$B$40,2,FALSE))</f>
        <v>Please select ERROR CODE column "I"</v>
      </c>
      <c r="L1419" s="207" t="str">
        <f>IF(Errors!$I1419=0,
    'List of Error Codes'!$E$29,
    IFERROR(VLOOKUP(Errors!$I1419, 'List of Error Codes'!D1418:I1448, 6, FALSE), 'List of Error Codes'!$E$29)
)</f>
        <v>Please select ERROR CODE column "I"</v>
      </c>
      <c r="M1419" s="209"/>
      <c r="N1419" s="209"/>
      <c r="O1419" s="209"/>
      <c r="P1419" s="209"/>
      <c r="Q1419" s="209"/>
      <c r="R1419" s="217"/>
      <c r="S1419" s="217"/>
      <c r="T1419" s="217"/>
      <c r="U1419" s="199"/>
      <c r="V1419" s="200"/>
      <c r="W1419" s="200"/>
      <c r="X1419" s="200"/>
      <c r="Y1419" s="200"/>
      <c r="Z1419" s="200"/>
      <c r="AA1419" s="201"/>
      <c r="AB1419" s="200"/>
      <c r="AC1419" s="200"/>
    </row>
    <row r="1420" ht="15.75" customHeight="1">
      <c r="A1420" s="210">
        <f t="shared" si="1"/>
        <v>1418</v>
      </c>
      <c r="B1420" s="217"/>
      <c r="C1420" s="217" t="str">
        <f>IFERROR(VLOOKUP(B1420, SourceData!$U$3:$V$190, 2, FALSE), "")</f>
        <v/>
      </c>
      <c r="D1420" s="240"/>
      <c r="E1420" s="241"/>
      <c r="F1420" s="248"/>
      <c r="G1420" s="207"/>
      <c r="H1420" s="209"/>
      <c r="I1420" s="209"/>
      <c r="J1420" s="209"/>
      <c r="K1420" s="208" t="str">
        <f>IF(Errors!$I1420=0,SourceData!$B$42,VLOOKUP(Errors!$I1420,SourceData!$A$2:$B$40,2,FALSE))</f>
        <v>Please select ERROR CODE column "I"</v>
      </c>
      <c r="L1420" s="207" t="str">
        <f>IF(Errors!$I1420=0,
    'List of Error Codes'!$E$29,
    IFERROR(VLOOKUP(Errors!$I1420, 'List of Error Codes'!D1419:I1449, 6, FALSE), 'List of Error Codes'!$E$29)
)</f>
        <v>Please select ERROR CODE column "I"</v>
      </c>
      <c r="M1420" s="209"/>
      <c r="N1420" s="209"/>
      <c r="O1420" s="209"/>
      <c r="P1420" s="209"/>
      <c r="Q1420" s="209"/>
      <c r="R1420" s="217"/>
      <c r="S1420" s="217"/>
      <c r="T1420" s="217"/>
      <c r="U1420" s="199"/>
      <c r="V1420" s="200"/>
      <c r="W1420" s="200"/>
      <c r="X1420" s="200"/>
      <c r="Y1420" s="200"/>
      <c r="Z1420" s="200"/>
      <c r="AA1420" s="201"/>
      <c r="AB1420" s="200"/>
      <c r="AC1420" s="200"/>
    </row>
    <row r="1421" ht="15.75" customHeight="1">
      <c r="A1421" s="210">
        <f t="shared" si="1"/>
        <v>1419</v>
      </c>
      <c r="B1421" s="217"/>
      <c r="C1421" s="217" t="str">
        <f>IFERROR(VLOOKUP(B1421, SourceData!$U$3:$V$190, 2, FALSE), "")</f>
        <v/>
      </c>
      <c r="D1421" s="240"/>
      <c r="E1421" s="241"/>
      <c r="F1421" s="248"/>
      <c r="G1421" s="207"/>
      <c r="H1421" s="209"/>
      <c r="I1421" s="209"/>
      <c r="J1421" s="209"/>
      <c r="K1421" s="208" t="str">
        <f>IF(Errors!$I1421=0,SourceData!$B$42,VLOOKUP(Errors!$I1421,SourceData!$A$2:$B$40,2,FALSE))</f>
        <v>Please select ERROR CODE column "I"</v>
      </c>
      <c r="L1421" s="207" t="str">
        <f>IF(Errors!$I1421=0,
    'List of Error Codes'!$E$29,
    IFERROR(VLOOKUP(Errors!$I1421, 'List of Error Codes'!D1420:I1450, 6, FALSE), 'List of Error Codes'!$E$29)
)</f>
        <v>Please select ERROR CODE column "I"</v>
      </c>
      <c r="M1421" s="209"/>
      <c r="N1421" s="209"/>
      <c r="O1421" s="209"/>
      <c r="P1421" s="209"/>
      <c r="Q1421" s="209"/>
      <c r="R1421" s="217"/>
      <c r="S1421" s="217"/>
      <c r="T1421" s="217"/>
      <c r="U1421" s="199"/>
      <c r="V1421" s="200"/>
      <c r="W1421" s="200"/>
      <c r="X1421" s="200"/>
      <c r="Y1421" s="200"/>
      <c r="Z1421" s="200"/>
      <c r="AA1421" s="201"/>
      <c r="AB1421" s="200"/>
      <c r="AC1421" s="200"/>
    </row>
    <row r="1422" ht="15.75" customHeight="1">
      <c r="A1422" s="210">
        <f t="shared" si="1"/>
        <v>1420</v>
      </c>
      <c r="B1422" s="217"/>
      <c r="C1422" s="217" t="str">
        <f>IFERROR(VLOOKUP(B1422, SourceData!$U$3:$V$190, 2, FALSE), "")</f>
        <v/>
      </c>
      <c r="D1422" s="240"/>
      <c r="E1422" s="241"/>
      <c r="F1422" s="248"/>
      <c r="G1422" s="207"/>
      <c r="H1422" s="209"/>
      <c r="I1422" s="209"/>
      <c r="J1422" s="209"/>
      <c r="K1422" s="208" t="str">
        <f>IF(Errors!$I1422=0,SourceData!$B$42,VLOOKUP(Errors!$I1422,SourceData!$A$2:$B$40,2,FALSE))</f>
        <v>Please select ERROR CODE column "I"</v>
      </c>
      <c r="L1422" s="207" t="str">
        <f>IF(Errors!$I1422=0,
    'List of Error Codes'!$E$29,
    IFERROR(VLOOKUP(Errors!$I1422, 'List of Error Codes'!D1421:I1451, 6, FALSE), 'List of Error Codes'!$E$29)
)</f>
        <v>Please select ERROR CODE column "I"</v>
      </c>
      <c r="M1422" s="209"/>
      <c r="N1422" s="209"/>
      <c r="O1422" s="209"/>
      <c r="P1422" s="209"/>
      <c r="Q1422" s="209"/>
      <c r="R1422" s="217"/>
      <c r="S1422" s="217"/>
      <c r="T1422" s="217"/>
      <c r="U1422" s="199"/>
      <c r="V1422" s="200"/>
      <c r="W1422" s="200"/>
      <c r="X1422" s="200"/>
      <c r="Y1422" s="200"/>
      <c r="Z1422" s="200"/>
      <c r="AA1422" s="201"/>
      <c r="AB1422" s="200"/>
      <c r="AC1422" s="200"/>
    </row>
    <row r="1423" ht="15.75" customHeight="1">
      <c r="A1423" s="210">
        <f t="shared" si="1"/>
        <v>1421</v>
      </c>
      <c r="B1423" s="217"/>
      <c r="C1423" s="217" t="str">
        <f>IFERROR(VLOOKUP(B1423, SourceData!$U$3:$V$190, 2, FALSE), "")</f>
        <v/>
      </c>
      <c r="D1423" s="240"/>
      <c r="E1423" s="241"/>
      <c r="F1423" s="248"/>
      <c r="G1423" s="207"/>
      <c r="H1423" s="209"/>
      <c r="I1423" s="209"/>
      <c r="J1423" s="209"/>
      <c r="K1423" s="208" t="str">
        <f>IF(Errors!$I1423=0,SourceData!$B$42,VLOOKUP(Errors!$I1423,SourceData!$A$2:$B$40,2,FALSE))</f>
        <v>Please select ERROR CODE column "I"</v>
      </c>
      <c r="L1423" s="207" t="str">
        <f>IF(Errors!$I1423=0,
    'List of Error Codes'!$E$29,
    IFERROR(VLOOKUP(Errors!$I1423, 'List of Error Codes'!D1422:I1452, 6, FALSE), 'List of Error Codes'!$E$29)
)</f>
        <v>Please select ERROR CODE column "I"</v>
      </c>
      <c r="M1423" s="209"/>
      <c r="N1423" s="209"/>
      <c r="O1423" s="209"/>
      <c r="P1423" s="209"/>
      <c r="Q1423" s="209"/>
      <c r="R1423" s="217"/>
      <c r="S1423" s="217"/>
      <c r="T1423" s="217"/>
      <c r="U1423" s="199"/>
      <c r="V1423" s="200"/>
      <c r="W1423" s="200"/>
      <c r="X1423" s="200"/>
      <c r="Y1423" s="200"/>
      <c r="Z1423" s="200"/>
      <c r="AA1423" s="201"/>
      <c r="AB1423" s="200"/>
      <c r="AC1423" s="200"/>
    </row>
    <row r="1424" ht="15.75" customHeight="1">
      <c r="A1424" s="210">
        <f t="shared" si="1"/>
        <v>1422</v>
      </c>
      <c r="B1424" s="217"/>
      <c r="C1424" s="217" t="str">
        <f>IFERROR(VLOOKUP(B1424, SourceData!$U$3:$V$190, 2, FALSE), "")</f>
        <v/>
      </c>
      <c r="D1424" s="240"/>
      <c r="E1424" s="241"/>
      <c r="F1424" s="248"/>
      <c r="G1424" s="207"/>
      <c r="H1424" s="209"/>
      <c r="I1424" s="209"/>
      <c r="J1424" s="209"/>
      <c r="K1424" s="208" t="str">
        <f>IF(Errors!$I1424=0,SourceData!$B$42,VLOOKUP(Errors!$I1424,SourceData!$A$2:$B$40,2,FALSE))</f>
        <v>Please select ERROR CODE column "I"</v>
      </c>
      <c r="L1424" s="207" t="str">
        <f>IF(Errors!$I1424=0,
    'List of Error Codes'!$E$29,
    IFERROR(VLOOKUP(Errors!$I1424, 'List of Error Codes'!D1423:I1453, 6, FALSE), 'List of Error Codes'!$E$29)
)</f>
        <v>Please select ERROR CODE column "I"</v>
      </c>
      <c r="M1424" s="209"/>
      <c r="N1424" s="209"/>
      <c r="O1424" s="209"/>
      <c r="P1424" s="209"/>
      <c r="Q1424" s="209"/>
      <c r="R1424" s="217"/>
      <c r="S1424" s="217"/>
      <c r="T1424" s="217"/>
      <c r="U1424" s="199"/>
      <c r="V1424" s="200"/>
      <c r="W1424" s="200"/>
      <c r="X1424" s="200"/>
      <c r="Y1424" s="200"/>
      <c r="Z1424" s="200"/>
      <c r="AA1424" s="201"/>
      <c r="AB1424" s="200"/>
      <c r="AC1424" s="200"/>
    </row>
    <row r="1425" ht="15.75" customHeight="1">
      <c r="A1425" s="210">
        <f t="shared" si="1"/>
        <v>1423</v>
      </c>
      <c r="B1425" s="217"/>
      <c r="C1425" s="217" t="str">
        <f>IFERROR(VLOOKUP(B1425, SourceData!$U$3:$V$190, 2, FALSE), "")</f>
        <v/>
      </c>
      <c r="D1425" s="240"/>
      <c r="E1425" s="241"/>
      <c r="F1425" s="248"/>
      <c r="G1425" s="207"/>
      <c r="H1425" s="209"/>
      <c r="I1425" s="209"/>
      <c r="J1425" s="209"/>
      <c r="K1425" s="208" t="str">
        <f>IF(Errors!$I1425=0,SourceData!$B$42,VLOOKUP(Errors!$I1425,SourceData!$A$2:$B$40,2,FALSE))</f>
        <v>Please select ERROR CODE column "I"</v>
      </c>
      <c r="L1425" s="207" t="str">
        <f>IF(Errors!$I1425=0,
    'List of Error Codes'!$E$29,
    IFERROR(VLOOKUP(Errors!$I1425, 'List of Error Codes'!D1424:I1454, 6, FALSE), 'List of Error Codes'!$E$29)
)</f>
        <v>Please select ERROR CODE column "I"</v>
      </c>
      <c r="M1425" s="209"/>
      <c r="N1425" s="209"/>
      <c r="O1425" s="209"/>
      <c r="P1425" s="209"/>
      <c r="Q1425" s="209"/>
      <c r="R1425" s="217"/>
      <c r="S1425" s="217"/>
      <c r="T1425" s="217"/>
      <c r="U1425" s="199"/>
      <c r="V1425" s="200"/>
      <c r="W1425" s="200"/>
      <c r="X1425" s="200"/>
      <c r="Y1425" s="200"/>
      <c r="Z1425" s="200"/>
      <c r="AA1425" s="201"/>
      <c r="AB1425" s="200"/>
      <c r="AC1425" s="200"/>
    </row>
    <row r="1426" ht="15.75" customHeight="1">
      <c r="A1426" s="210">
        <f t="shared" si="1"/>
        <v>1424</v>
      </c>
      <c r="B1426" s="217"/>
      <c r="C1426" s="217" t="str">
        <f>IFERROR(VLOOKUP(B1426, SourceData!$U$3:$V$190, 2, FALSE), "")</f>
        <v/>
      </c>
      <c r="D1426" s="240"/>
      <c r="E1426" s="241"/>
      <c r="F1426" s="248"/>
      <c r="G1426" s="207"/>
      <c r="H1426" s="209"/>
      <c r="I1426" s="209"/>
      <c r="J1426" s="209"/>
      <c r="K1426" s="208" t="str">
        <f>IF(Errors!$I1426=0,SourceData!$B$42,VLOOKUP(Errors!$I1426,SourceData!$A$2:$B$40,2,FALSE))</f>
        <v>Please select ERROR CODE column "I"</v>
      </c>
      <c r="L1426" s="207" t="str">
        <f>IF(Errors!$I1426=0,
    'List of Error Codes'!$E$29,
    IFERROR(VLOOKUP(Errors!$I1426, 'List of Error Codes'!D1425:I1455, 6, FALSE), 'List of Error Codes'!$E$29)
)</f>
        <v>Please select ERROR CODE column "I"</v>
      </c>
      <c r="M1426" s="209"/>
      <c r="N1426" s="209"/>
      <c r="O1426" s="209"/>
      <c r="P1426" s="209"/>
      <c r="Q1426" s="209"/>
      <c r="R1426" s="217"/>
      <c r="S1426" s="217"/>
      <c r="T1426" s="217"/>
      <c r="U1426" s="199"/>
      <c r="V1426" s="200"/>
      <c r="W1426" s="200"/>
      <c r="X1426" s="200"/>
      <c r="Y1426" s="200"/>
      <c r="Z1426" s="200"/>
      <c r="AA1426" s="201"/>
      <c r="AB1426" s="200"/>
      <c r="AC1426" s="200"/>
    </row>
    <row r="1427" ht="15.75" customHeight="1">
      <c r="A1427" s="210">
        <f t="shared" si="1"/>
        <v>1425</v>
      </c>
      <c r="B1427" s="217"/>
      <c r="C1427" s="217" t="str">
        <f>IFERROR(VLOOKUP(B1427, SourceData!$U$3:$V$190, 2, FALSE), "")</f>
        <v/>
      </c>
      <c r="D1427" s="240"/>
      <c r="E1427" s="241"/>
      <c r="F1427" s="248"/>
      <c r="G1427" s="207"/>
      <c r="H1427" s="209"/>
      <c r="I1427" s="209"/>
      <c r="J1427" s="209"/>
      <c r="K1427" s="208" t="str">
        <f>IF(Errors!$I1427=0,SourceData!$B$42,VLOOKUP(Errors!$I1427,SourceData!$A$2:$B$40,2,FALSE))</f>
        <v>Please select ERROR CODE column "I"</v>
      </c>
      <c r="L1427" s="207" t="str">
        <f>IF(Errors!$I1427=0,
    'List of Error Codes'!$E$29,
    IFERROR(VLOOKUP(Errors!$I1427, 'List of Error Codes'!D1426:I1456, 6, FALSE), 'List of Error Codes'!$E$29)
)</f>
        <v>Please select ERROR CODE column "I"</v>
      </c>
      <c r="M1427" s="209"/>
      <c r="N1427" s="209"/>
      <c r="O1427" s="209"/>
      <c r="P1427" s="209"/>
      <c r="Q1427" s="209"/>
      <c r="R1427" s="217"/>
      <c r="S1427" s="217"/>
      <c r="T1427" s="217"/>
      <c r="U1427" s="199"/>
      <c r="V1427" s="200"/>
      <c r="W1427" s="200"/>
      <c r="X1427" s="200"/>
      <c r="Y1427" s="200"/>
      <c r="Z1427" s="200"/>
      <c r="AA1427" s="201"/>
      <c r="AB1427" s="200"/>
      <c r="AC1427" s="200"/>
    </row>
    <row r="1428" ht="15.75" customHeight="1">
      <c r="A1428" s="210">
        <f t="shared" si="1"/>
        <v>1426</v>
      </c>
      <c r="B1428" s="217"/>
      <c r="C1428" s="217" t="str">
        <f>IFERROR(VLOOKUP(B1428, SourceData!$U$3:$V$190, 2, FALSE), "")</f>
        <v/>
      </c>
      <c r="D1428" s="240"/>
      <c r="E1428" s="241"/>
      <c r="F1428" s="248"/>
      <c r="G1428" s="207"/>
      <c r="H1428" s="209"/>
      <c r="I1428" s="209"/>
      <c r="J1428" s="209"/>
      <c r="K1428" s="208" t="str">
        <f>IF(Errors!$I1428=0,SourceData!$B$42,VLOOKUP(Errors!$I1428,SourceData!$A$2:$B$40,2,FALSE))</f>
        <v>Please select ERROR CODE column "I"</v>
      </c>
      <c r="L1428" s="207" t="str">
        <f>IF(Errors!$I1428=0,
    'List of Error Codes'!$E$29,
    IFERROR(VLOOKUP(Errors!$I1428, 'List of Error Codes'!D1427:I1457, 6, FALSE), 'List of Error Codes'!$E$29)
)</f>
        <v>Please select ERROR CODE column "I"</v>
      </c>
      <c r="M1428" s="209"/>
      <c r="N1428" s="209"/>
      <c r="O1428" s="209"/>
      <c r="P1428" s="209"/>
      <c r="Q1428" s="209"/>
      <c r="R1428" s="217"/>
      <c r="S1428" s="217"/>
      <c r="T1428" s="217"/>
      <c r="U1428" s="199"/>
      <c r="V1428" s="200"/>
      <c r="W1428" s="200"/>
      <c r="X1428" s="200"/>
      <c r="Y1428" s="200"/>
      <c r="Z1428" s="200"/>
      <c r="AA1428" s="201"/>
      <c r="AB1428" s="200"/>
      <c r="AC1428" s="200"/>
    </row>
    <row r="1429" ht="15.75" customHeight="1">
      <c r="A1429" s="210">
        <f t="shared" si="1"/>
        <v>1427</v>
      </c>
      <c r="B1429" s="217"/>
      <c r="C1429" s="217" t="str">
        <f>IFERROR(VLOOKUP(B1429, SourceData!$U$3:$V$190, 2, FALSE), "")</f>
        <v/>
      </c>
      <c r="D1429" s="240"/>
      <c r="E1429" s="241"/>
      <c r="F1429" s="248"/>
      <c r="G1429" s="207"/>
      <c r="H1429" s="209"/>
      <c r="I1429" s="209"/>
      <c r="J1429" s="209"/>
      <c r="K1429" s="208" t="str">
        <f>IF(Errors!$I1429=0,SourceData!$B$42,VLOOKUP(Errors!$I1429,SourceData!$A$2:$B$40,2,FALSE))</f>
        <v>Please select ERROR CODE column "I"</v>
      </c>
      <c r="L1429" s="207" t="str">
        <f>IF(Errors!$I1429=0,
    'List of Error Codes'!$E$29,
    IFERROR(VLOOKUP(Errors!$I1429, 'List of Error Codes'!D1428:I1458, 6, FALSE), 'List of Error Codes'!$E$29)
)</f>
        <v>Please select ERROR CODE column "I"</v>
      </c>
      <c r="M1429" s="209"/>
      <c r="N1429" s="209"/>
      <c r="O1429" s="209"/>
      <c r="P1429" s="209"/>
      <c r="Q1429" s="209"/>
      <c r="R1429" s="217"/>
      <c r="S1429" s="217"/>
      <c r="T1429" s="217"/>
      <c r="U1429" s="199"/>
      <c r="V1429" s="200"/>
      <c r="W1429" s="200"/>
      <c r="X1429" s="200"/>
      <c r="Y1429" s="200"/>
      <c r="Z1429" s="200"/>
      <c r="AA1429" s="201"/>
      <c r="AB1429" s="200"/>
      <c r="AC1429" s="200"/>
    </row>
    <row r="1430" ht="15.75" customHeight="1">
      <c r="A1430" s="210">
        <f t="shared" si="1"/>
        <v>1428</v>
      </c>
      <c r="B1430" s="217"/>
      <c r="C1430" s="217" t="str">
        <f>IFERROR(VLOOKUP(B1430, SourceData!$U$3:$V$190, 2, FALSE), "")</f>
        <v/>
      </c>
      <c r="D1430" s="240"/>
      <c r="E1430" s="241"/>
      <c r="F1430" s="248"/>
      <c r="G1430" s="207"/>
      <c r="H1430" s="209"/>
      <c r="I1430" s="209"/>
      <c r="J1430" s="209"/>
      <c r="K1430" s="208" t="str">
        <f>IF(Errors!$I1430=0,SourceData!$B$42,VLOOKUP(Errors!$I1430,SourceData!$A$2:$B$40,2,FALSE))</f>
        <v>Please select ERROR CODE column "I"</v>
      </c>
      <c r="L1430" s="207" t="str">
        <f>IF(Errors!$I1430=0,
    'List of Error Codes'!$E$29,
    IFERROR(VLOOKUP(Errors!$I1430, 'List of Error Codes'!D1429:I1459, 6, FALSE), 'List of Error Codes'!$E$29)
)</f>
        <v>Please select ERROR CODE column "I"</v>
      </c>
      <c r="M1430" s="209"/>
      <c r="N1430" s="209"/>
      <c r="O1430" s="209"/>
      <c r="P1430" s="209"/>
      <c r="Q1430" s="209"/>
      <c r="R1430" s="217"/>
      <c r="S1430" s="217"/>
      <c r="T1430" s="217"/>
      <c r="U1430" s="199"/>
      <c r="V1430" s="200"/>
      <c r="W1430" s="200"/>
      <c r="X1430" s="200"/>
      <c r="Y1430" s="200"/>
      <c r="Z1430" s="200"/>
      <c r="AA1430" s="201"/>
      <c r="AB1430" s="200"/>
      <c r="AC1430" s="200"/>
    </row>
    <row r="1431" ht="15.75" customHeight="1">
      <c r="A1431" s="210">
        <f t="shared" si="1"/>
        <v>1429</v>
      </c>
      <c r="B1431" s="217"/>
      <c r="C1431" s="217" t="str">
        <f>IFERROR(VLOOKUP(B1431, SourceData!$U$3:$V$190, 2, FALSE), "")</f>
        <v/>
      </c>
      <c r="D1431" s="240"/>
      <c r="E1431" s="241"/>
      <c r="F1431" s="248"/>
      <c r="G1431" s="207"/>
      <c r="H1431" s="209"/>
      <c r="I1431" s="209"/>
      <c r="J1431" s="209"/>
      <c r="K1431" s="208" t="str">
        <f>IF(Errors!$I1431=0,SourceData!$B$42,VLOOKUP(Errors!$I1431,SourceData!$A$2:$B$40,2,FALSE))</f>
        <v>Please select ERROR CODE column "I"</v>
      </c>
      <c r="L1431" s="207" t="str">
        <f>IF(Errors!$I1431=0,
    'List of Error Codes'!$E$29,
    IFERROR(VLOOKUP(Errors!$I1431, 'List of Error Codes'!D1430:I1460, 6, FALSE), 'List of Error Codes'!$E$29)
)</f>
        <v>Please select ERROR CODE column "I"</v>
      </c>
      <c r="M1431" s="209"/>
      <c r="N1431" s="209"/>
      <c r="O1431" s="209"/>
      <c r="P1431" s="209"/>
      <c r="Q1431" s="209"/>
      <c r="R1431" s="217"/>
      <c r="S1431" s="217"/>
      <c r="T1431" s="217"/>
      <c r="U1431" s="199"/>
      <c r="V1431" s="200"/>
      <c r="W1431" s="200"/>
      <c r="X1431" s="200"/>
      <c r="Y1431" s="200"/>
      <c r="Z1431" s="200"/>
      <c r="AA1431" s="201"/>
      <c r="AB1431" s="200"/>
      <c r="AC1431" s="200"/>
    </row>
    <row r="1432" ht="15.75" customHeight="1">
      <c r="A1432" s="210">
        <f t="shared" si="1"/>
        <v>1430</v>
      </c>
      <c r="B1432" s="217"/>
      <c r="C1432" s="217" t="str">
        <f>IFERROR(VLOOKUP(B1432, SourceData!$U$3:$V$190, 2, FALSE), "")</f>
        <v/>
      </c>
      <c r="D1432" s="240"/>
      <c r="E1432" s="241"/>
      <c r="F1432" s="248"/>
      <c r="G1432" s="207"/>
      <c r="H1432" s="209"/>
      <c r="I1432" s="209"/>
      <c r="J1432" s="209"/>
      <c r="K1432" s="208" t="str">
        <f>IF(Errors!$I1432=0,SourceData!$B$42,VLOOKUP(Errors!$I1432,SourceData!$A$2:$B$40,2,FALSE))</f>
        <v>Please select ERROR CODE column "I"</v>
      </c>
      <c r="L1432" s="207" t="str">
        <f>IF(Errors!$I1432=0,
    'List of Error Codes'!$E$29,
    IFERROR(VLOOKUP(Errors!$I1432, 'List of Error Codes'!D1431:I1461, 6, FALSE), 'List of Error Codes'!$E$29)
)</f>
        <v>Please select ERROR CODE column "I"</v>
      </c>
      <c r="M1432" s="209"/>
      <c r="N1432" s="209"/>
      <c r="O1432" s="209"/>
      <c r="P1432" s="209"/>
      <c r="Q1432" s="209"/>
      <c r="R1432" s="217"/>
      <c r="S1432" s="217"/>
      <c r="T1432" s="217"/>
      <c r="U1432" s="199"/>
      <c r="V1432" s="200"/>
      <c r="W1432" s="200"/>
      <c r="X1432" s="200"/>
      <c r="Y1432" s="200"/>
      <c r="Z1432" s="200"/>
      <c r="AA1432" s="201"/>
      <c r="AB1432" s="200"/>
      <c r="AC1432" s="200"/>
    </row>
    <row r="1433" ht="15.75" customHeight="1">
      <c r="A1433" s="210">
        <f t="shared" si="1"/>
        <v>1431</v>
      </c>
      <c r="B1433" s="217"/>
      <c r="C1433" s="217" t="str">
        <f>IFERROR(VLOOKUP(B1433, SourceData!$U$3:$V$190, 2, FALSE), "")</f>
        <v/>
      </c>
      <c r="D1433" s="240"/>
      <c r="E1433" s="241"/>
      <c r="F1433" s="248"/>
      <c r="G1433" s="207"/>
      <c r="H1433" s="209"/>
      <c r="I1433" s="209"/>
      <c r="J1433" s="209"/>
      <c r="K1433" s="208" t="str">
        <f>IF(Errors!$I1433=0,SourceData!$B$42,VLOOKUP(Errors!$I1433,SourceData!$A$2:$B$40,2,FALSE))</f>
        <v>Please select ERROR CODE column "I"</v>
      </c>
      <c r="L1433" s="207" t="str">
        <f>IF(Errors!$I1433=0,
    'List of Error Codes'!$E$29,
    IFERROR(VLOOKUP(Errors!$I1433, 'List of Error Codes'!D1432:I1462, 6, FALSE), 'List of Error Codes'!$E$29)
)</f>
        <v>Please select ERROR CODE column "I"</v>
      </c>
      <c r="M1433" s="209"/>
      <c r="N1433" s="209"/>
      <c r="O1433" s="209"/>
      <c r="P1433" s="209"/>
      <c r="Q1433" s="209"/>
      <c r="R1433" s="217"/>
      <c r="S1433" s="217"/>
      <c r="T1433" s="217"/>
      <c r="U1433" s="199"/>
      <c r="V1433" s="200"/>
      <c r="W1433" s="200"/>
      <c r="X1433" s="200"/>
      <c r="Y1433" s="200"/>
      <c r="Z1433" s="200"/>
      <c r="AA1433" s="201"/>
      <c r="AB1433" s="200"/>
      <c r="AC1433" s="200"/>
    </row>
    <row r="1434" ht="15.75" customHeight="1">
      <c r="A1434" s="210">
        <f t="shared" si="1"/>
        <v>1432</v>
      </c>
      <c r="B1434" s="217"/>
      <c r="C1434" s="217" t="str">
        <f>IFERROR(VLOOKUP(B1434, SourceData!$U$3:$V$190, 2, FALSE), "")</f>
        <v/>
      </c>
      <c r="D1434" s="240"/>
      <c r="E1434" s="241"/>
      <c r="F1434" s="248"/>
      <c r="G1434" s="207"/>
      <c r="H1434" s="209"/>
      <c r="I1434" s="209"/>
      <c r="J1434" s="209"/>
      <c r="K1434" s="208" t="str">
        <f>IF(Errors!$I1434=0,SourceData!$B$42,VLOOKUP(Errors!$I1434,SourceData!$A$2:$B$40,2,FALSE))</f>
        <v>Please select ERROR CODE column "I"</v>
      </c>
      <c r="L1434" s="207" t="str">
        <f>IF(Errors!$I1434=0,
    'List of Error Codes'!$E$29,
    IFERROR(VLOOKUP(Errors!$I1434, 'List of Error Codes'!D1433:I1463, 6, FALSE), 'List of Error Codes'!$E$29)
)</f>
        <v>Please select ERROR CODE column "I"</v>
      </c>
      <c r="M1434" s="209"/>
      <c r="N1434" s="209"/>
      <c r="O1434" s="209"/>
      <c r="P1434" s="209"/>
      <c r="Q1434" s="209"/>
      <c r="R1434" s="217"/>
      <c r="S1434" s="217"/>
      <c r="T1434" s="217"/>
      <c r="U1434" s="199"/>
      <c r="V1434" s="200"/>
      <c r="W1434" s="200"/>
      <c r="X1434" s="200"/>
      <c r="Y1434" s="200"/>
      <c r="Z1434" s="200"/>
      <c r="AA1434" s="201"/>
      <c r="AB1434" s="200"/>
      <c r="AC1434" s="200"/>
    </row>
    <row r="1435" ht="15.75" customHeight="1">
      <c r="A1435" s="210">
        <f t="shared" si="1"/>
        <v>1433</v>
      </c>
      <c r="B1435" s="217"/>
      <c r="C1435" s="217" t="str">
        <f>IFERROR(VLOOKUP(B1435, SourceData!$U$3:$V$190, 2, FALSE), "")</f>
        <v/>
      </c>
      <c r="D1435" s="240"/>
      <c r="E1435" s="241"/>
      <c r="F1435" s="248"/>
      <c r="G1435" s="207"/>
      <c r="H1435" s="209"/>
      <c r="I1435" s="209"/>
      <c r="J1435" s="209"/>
      <c r="K1435" s="208" t="str">
        <f>IF(Errors!$I1435=0,SourceData!$B$42,VLOOKUP(Errors!$I1435,SourceData!$A$2:$B$40,2,FALSE))</f>
        <v>Please select ERROR CODE column "I"</v>
      </c>
      <c r="L1435" s="207" t="str">
        <f>IF(Errors!$I1435=0,
    'List of Error Codes'!$E$29,
    IFERROR(VLOOKUP(Errors!$I1435, 'List of Error Codes'!D1434:I1464, 6, FALSE), 'List of Error Codes'!$E$29)
)</f>
        <v>Please select ERROR CODE column "I"</v>
      </c>
      <c r="M1435" s="209"/>
      <c r="N1435" s="209"/>
      <c r="O1435" s="209"/>
      <c r="P1435" s="209"/>
      <c r="Q1435" s="209"/>
      <c r="R1435" s="217"/>
      <c r="S1435" s="217"/>
      <c r="T1435" s="217"/>
      <c r="U1435" s="199"/>
      <c r="V1435" s="200"/>
      <c r="W1435" s="200"/>
      <c r="X1435" s="200"/>
      <c r="Y1435" s="200"/>
      <c r="Z1435" s="200"/>
      <c r="AA1435" s="201"/>
      <c r="AB1435" s="200"/>
      <c r="AC1435" s="200"/>
    </row>
    <row r="1436" ht="15.75" customHeight="1">
      <c r="A1436" s="210">
        <f t="shared" si="1"/>
        <v>1434</v>
      </c>
      <c r="B1436" s="217"/>
      <c r="C1436" s="217" t="str">
        <f>IFERROR(VLOOKUP(B1436, SourceData!$U$3:$V$190, 2, FALSE), "")</f>
        <v/>
      </c>
      <c r="D1436" s="240"/>
      <c r="E1436" s="241"/>
      <c r="F1436" s="248"/>
      <c r="G1436" s="207"/>
      <c r="H1436" s="209"/>
      <c r="I1436" s="209"/>
      <c r="J1436" s="209"/>
      <c r="K1436" s="208" t="str">
        <f>IF(Errors!$I1436=0,SourceData!$B$42,VLOOKUP(Errors!$I1436,SourceData!$A$2:$B$40,2,FALSE))</f>
        <v>Please select ERROR CODE column "I"</v>
      </c>
      <c r="L1436" s="207" t="str">
        <f>IF(Errors!$I1436=0,
    'List of Error Codes'!$E$29,
    IFERROR(VLOOKUP(Errors!$I1436, 'List of Error Codes'!D1435:I1465, 6, FALSE), 'List of Error Codes'!$E$29)
)</f>
        <v>Please select ERROR CODE column "I"</v>
      </c>
      <c r="M1436" s="209"/>
      <c r="N1436" s="209"/>
      <c r="O1436" s="209"/>
      <c r="P1436" s="209"/>
      <c r="Q1436" s="209"/>
      <c r="R1436" s="217"/>
      <c r="S1436" s="217"/>
      <c r="T1436" s="217"/>
      <c r="U1436" s="199"/>
      <c r="V1436" s="200"/>
      <c r="W1436" s="200"/>
      <c r="X1436" s="200"/>
      <c r="Y1436" s="200"/>
      <c r="Z1436" s="200"/>
      <c r="AA1436" s="201"/>
      <c r="AB1436" s="200"/>
      <c r="AC1436" s="200"/>
    </row>
    <row r="1437" ht="15.75" customHeight="1">
      <c r="A1437" s="210">
        <f t="shared" si="1"/>
        <v>1435</v>
      </c>
      <c r="B1437" s="217"/>
      <c r="C1437" s="217" t="str">
        <f>IFERROR(VLOOKUP(B1437, SourceData!$U$3:$V$190, 2, FALSE), "")</f>
        <v/>
      </c>
      <c r="D1437" s="240"/>
      <c r="E1437" s="241"/>
      <c r="F1437" s="248"/>
      <c r="G1437" s="207"/>
      <c r="H1437" s="209"/>
      <c r="I1437" s="209"/>
      <c r="J1437" s="209"/>
      <c r="K1437" s="208" t="str">
        <f>IF(Errors!$I1437=0,SourceData!$B$42,VLOOKUP(Errors!$I1437,SourceData!$A$2:$B$40,2,FALSE))</f>
        <v>Please select ERROR CODE column "I"</v>
      </c>
      <c r="L1437" s="207" t="str">
        <f>IF(Errors!$I1437=0,
    'List of Error Codes'!$E$29,
    IFERROR(VLOOKUP(Errors!$I1437, 'List of Error Codes'!D1436:I1466, 6, FALSE), 'List of Error Codes'!$E$29)
)</f>
        <v>Please select ERROR CODE column "I"</v>
      </c>
      <c r="M1437" s="209"/>
      <c r="N1437" s="209"/>
      <c r="O1437" s="209"/>
      <c r="P1437" s="209"/>
      <c r="Q1437" s="209"/>
      <c r="R1437" s="217"/>
      <c r="S1437" s="217"/>
      <c r="T1437" s="217"/>
      <c r="U1437" s="199"/>
      <c r="V1437" s="200"/>
      <c r="W1437" s="200"/>
      <c r="X1437" s="200"/>
      <c r="Y1437" s="200"/>
      <c r="Z1437" s="200"/>
      <c r="AA1437" s="201"/>
      <c r="AB1437" s="200"/>
      <c r="AC1437" s="200"/>
    </row>
    <row r="1438" ht="15.75" customHeight="1">
      <c r="A1438" s="210">
        <f t="shared" si="1"/>
        <v>1436</v>
      </c>
      <c r="B1438" s="217"/>
      <c r="C1438" s="217" t="str">
        <f>IFERROR(VLOOKUP(B1438, SourceData!$U$3:$V$190, 2, FALSE), "")</f>
        <v/>
      </c>
      <c r="D1438" s="240"/>
      <c r="E1438" s="241"/>
      <c r="F1438" s="248"/>
      <c r="G1438" s="207"/>
      <c r="H1438" s="209"/>
      <c r="I1438" s="209"/>
      <c r="J1438" s="209"/>
      <c r="K1438" s="208" t="str">
        <f>IF(Errors!$I1438=0,SourceData!$B$42,VLOOKUP(Errors!$I1438,SourceData!$A$2:$B$40,2,FALSE))</f>
        <v>Please select ERROR CODE column "I"</v>
      </c>
      <c r="L1438" s="207" t="str">
        <f>IF(Errors!$I1438=0,
    'List of Error Codes'!$E$29,
    IFERROR(VLOOKUP(Errors!$I1438, 'List of Error Codes'!D1437:I1467, 6, FALSE), 'List of Error Codes'!$E$29)
)</f>
        <v>Please select ERROR CODE column "I"</v>
      </c>
      <c r="M1438" s="209"/>
      <c r="N1438" s="209"/>
      <c r="O1438" s="209"/>
      <c r="P1438" s="209"/>
      <c r="Q1438" s="209"/>
      <c r="R1438" s="217"/>
      <c r="S1438" s="217"/>
      <c r="T1438" s="217"/>
      <c r="U1438" s="199"/>
      <c r="V1438" s="200"/>
      <c r="W1438" s="200"/>
      <c r="X1438" s="200"/>
      <c r="Y1438" s="200"/>
      <c r="Z1438" s="200"/>
      <c r="AA1438" s="201"/>
      <c r="AB1438" s="200"/>
      <c r="AC1438" s="200"/>
    </row>
    <row r="1439" ht="15.75" customHeight="1">
      <c r="A1439" s="210">
        <f t="shared" si="1"/>
        <v>1437</v>
      </c>
      <c r="B1439" s="217"/>
      <c r="C1439" s="217" t="str">
        <f>IFERROR(VLOOKUP(B1439, SourceData!$U$3:$V$190, 2, FALSE), "")</f>
        <v/>
      </c>
      <c r="D1439" s="240"/>
      <c r="E1439" s="241"/>
      <c r="F1439" s="248"/>
      <c r="G1439" s="207"/>
      <c r="H1439" s="209"/>
      <c r="I1439" s="209"/>
      <c r="J1439" s="209"/>
      <c r="K1439" s="208" t="str">
        <f>IF(Errors!$I1439=0,SourceData!$B$42,VLOOKUP(Errors!$I1439,SourceData!$A$2:$B$40,2,FALSE))</f>
        <v>Please select ERROR CODE column "I"</v>
      </c>
      <c r="L1439" s="207" t="str">
        <f>IF(Errors!$I1439=0,
    'List of Error Codes'!$E$29,
    IFERROR(VLOOKUP(Errors!$I1439, 'List of Error Codes'!D1438:I1468, 6, FALSE), 'List of Error Codes'!$E$29)
)</f>
        <v>Please select ERROR CODE column "I"</v>
      </c>
      <c r="M1439" s="209"/>
      <c r="N1439" s="209"/>
      <c r="O1439" s="209"/>
      <c r="P1439" s="209"/>
      <c r="Q1439" s="209"/>
      <c r="R1439" s="217"/>
      <c r="S1439" s="217"/>
      <c r="T1439" s="217"/>
      <c r="U1439" s="199"/>
      <c r="V1439" s="200"/>
      <c r="W1439" s="200"/>
      <c r="X1439" s="200"/>
      <c r="Y1439" s="200"/>
      <c r="Z1439" s="200"/>
      <c r="AA1439" s="201"/>
      <c r="AB1439" s="200"/>
      <c r="AC1439" s="200"/>
    </row>
    <row r="1440" ht="15.75" customHeight="1">
      <c r="A1440" s="210">
        <f t="shared" si="1"/>
        <v>1438</v>
      </c>
      <c r="B1440" s="217"/>
      <c r="C1440" s="217" t="str">
        <f>IFERROR(VLOOKUP(B1440, SourceData!$U$3:$V$190, 2, FALSE), "")</f>
        <v/>
      </c>
      <c r="D1440" s="240"/>
      <c r="E1440" s="241"/>
      <c r="F1440" s="248"/>
      <c r="G1440" s="207"/>
      <c r="H1440" s="209"/>
      <c r="I1440" s="209"/>
      <c r="J1440" s="209"/>
      <c r="K1440" s="208" t="str">
        <f>IF(Errors!$I1440=0,SourceData!$B$42,VLOOKUP(Errors!$I1440,SourceData!$A$2:$B$40,2,FALSE))</f>
        <v>Please select ERROR CODE column "I"</v>
      </c>
      <c r="L1440" s="207" t="str">
        <f>IF(Errors!$I1440=0,
    'List of Error Codes'!$E$29,
    IFERROR(VLOOKUP(Errors!$I1440, 'List of Error Codes'!D1439:I1469, 6, FALSE), 'List of Error Codes'!$E$29)
)</f>
        <v>Please select ERROR CODE column "I"</v>
      </c>
      <c r="M1440" s="209"/>
      <c r="N1440" s="209"/>
      <c r="O1440" s="209"/>
      <c r="P1440" s="209"/>
      <c r="Q1440" s="209"/>
      <c r="R1440" s="217"/>
      <c r="S1440" s="217"/>
      <c r="T1440" s="217"/>
      <c r="U1440" s="199"/>
      <c r="V1440" s="200"/>
      <c r="W1440" s="200"/>
      <c r="X1440" s="200"/>
      <c r="Y1440" s="200"/>
      <c r="Z1440" s="200"/>
      <c r="AA1440" s="201"/>
      <c r="AB1440" s="200"/>
      <c r="AC1440" s="200"/>
    </row>
    <row r="1441" ht="15.75" customHeight="1">
      <c r="A1441" s="210">
        <f t="shared" si="1"/>
        <v>1439</v>
      </c>
      <c r="B1441" s="217"/>
      <c r="C1441" s="217" t="str">
        <f>IFERROR(VLOOKUP(B1441, SourceData!$U$3:$V$190, 2, FALSE), "")</f>
        <v/>
      </c>
      <c r="D1441" s="240"/>
      <c r="E1441" s="241"/>
      <c r="F1441" s="248"/>
      <c r="G1441" s="207"/>
      <c r="H1441" s="209"/>
      <c r="I1441" s="209"/>
      <c r="J1441" s="209"/>
      <c r="K1441" s="208" t="str">
        <f>IF(Errors!$I1441=0,SourceData!$B$42,VLOOKUP(Errors!$I1441,SourceData!$A$2:$B$40,2,FALSE))</f>
        <v>Please select ERROR CODE column "I"</v>
      </c>
      <c r="L1441" s="207" t="str">
        <f>IF(Errors!$I1441=0,
    'List of Error Codes'!$E$29,
    IFERROR(VLOOKUP(Errors!$I1441, 'List of Error Codes'!D1440:I1470, 6, FALSE), 'List of Error Codes'!$E$29)
)</f>
        <v>Please select ERROR CODE column "I"</v>
      </c>
      <c r="M1441" s="209"/>
      <c r="N1441" s="209"/>
      <c r="O1441" s="209"/>
      <c r="P1441" s="209"/>
      <c r="Q1441" s="209"/>
      <c r="R1441" s="217"/>
      <c r="S1441" s="217"/>
      <c r="T1441" s="217"/>
      <c r="U1441" s="199"/>
      <c r="V1441" s="200"/>
      <c r="W1441" s="200"/>
      <c r="X1441" s="200"/>
      <c r="Y1441" s="200"/>
      <c r="Z1441" s="200"/>
      <c r="AA1441" s="201"/>
      <c r="AB1441" s="200"/>
      <c r="AC1441" s="200"/>
    </row>
    <row r="1442" ht="15.75" customHeight="1">
      <c r="A1442" s="210">
        <f t="shared" si="1"/>
        <v>1440</v>
      </c>
      <c r="B1442" s="217"/>
      <c r="C1442" s="217" t="str">
        <f>IFERROR(VLOOKUP(B1442, SourceData!$U$3:$V$190, 2, FALSE), "")</f>
        <v/>
      </c>
      <c r="D1442" s="240"/>
      <c r="E1442" s="241"/>
      <c r="F1442" s="248"/>
      <c r="G1442" s="207"/>
      <c r="H1442" s="209"/>
      <c r="I1442" s="209"/>
      <c r="J1442" s="209"/>
      <c r="K1442" s="208" t="str">
        <f>IF(Errors!$I1442=0,SourceData!$B$42,VLOOKUP(Errors!$I1442,SourceData!$A$2:$B$40,2,FALSE))</f>
        <v>Please select ERROR CODE column "I"</v>
      </c>
      <c r="L1442" s="207" t="str">
        <f>IF(Errors!$I1442=0,
    'List of Error Codes'!$E$29,
    IFERROR(VLOOKUP(Errors!$I1442, 'List of Error Codes'!D1441:I1471, 6, FALSE), 'List of Error Codes'!$E$29)
)</f>
        <v>Please select ERROR CODE column "I"</v>
      </c>
      <c r="M1442" s="209"/>
      <c r="N1442" s="209"/>
      <c r="O1442" s="209"/>
      <c r="P1442" s="209"/>
      <c r="Q1442" s="209"/>
      <c r="R1442" s="217"/>
      <c r="S1442" s="217"/>
      <c r="T1442" s="217"/>
      <c r="U1442" s="199"/>
      <c r="V1442" s="200"/>
      <c r="W1442" s="200"/>
      <c r="X1442" s="200"/>
      <c r="Y1442" s="200"/>
      <c r="Z1442" s="200"/>
      <c r="AA1442" s="201"/>
      <c r="AB1442" s="200"/>
      <c r="AC1442" s="200"/>
    </row>
    <row r="1443" ht="15.75" customHeight="1">
      <c r="A1443" s="210">
        <f t="shared" si="1"/>
        <v>1441</v>
      </c>
      <c r="B1443" s="217"/>
      <c r="C1443" s="217" t="str">
        <f>IFERROR(VLOOKUP(B1443, SourceData!$U$3:$V$190, 2, FALSE), "")</f>
        <v/>
      </c>
      <c r="D1443" s="240"/>
      <c r="E1443" s="241"/>
      <c r="F1443" s="248"/>
      <c r="G1443" s="207"/>
      <c r="H1443" s="209"/>
      <c r="I1443" s="209"/>
      <c r="J1443" s="209"/>
      <c r="K1443" s="208" t="str">
        <f>IF(Errors!$I1443=0,SourceData!$B$42,VLOOKUP(Errors!$I1443,SourceData!$A$2:$B$40,2,FALSE))</f>
        <v>Please select ERROR CODE column "I"</v>
      </c>
      <c r="L1443" s="207" t="str">
        <f>IF(Errors!$I1443=0,
    'List of Error Codes'!$E$29,
    IFERROR(VLOOKUP(Errors!$I1443, 'List of Error Codes'!D1442:I1472, 6, FALSE), 'List of Error Codes'!$E$29)
)</f>
        <v>Please select ERROR CODE column "I"</v>
      </c>
      <c r="M1443" s="209"/>
      <c r="N1443" s="209"/>
      <c r="O1443" s="209"/>
      <c r="P1443" s="209"/>
      <c r="Q1443" s="209"/>
      <c r="R1443" s="217"/>
      <c r="S1443" s="217"/>
      <c r="T1443" s="217"/>
      <c r="U1443" s="199"/>
      <c r="V1443" s="200"/>
      <c r="W1443" s="200"/>
      <c r="X1443" s="200"/>
      <c r="Y1443" s="200"/>
      <c r="Z1443" s="200"/>
      <c r="AA1443" s="201"/>
      <c r="AB1443" s="200"/>
      <c r="AC1443" s="200"/>
    </row>
    <row r="1444" ht="15.75" customHeight="1">
      <c r="A1444" s="210">
        <f t="shared" si="1"/>
        <v>1442</v>
      </c>
      <c r="B1444" s="217"/>
      <c r="C1444" s="217" t="str">
        <f>IFERROR(VLOOKUP(B1444, SourceData!$U$3:$V$190, 2, FALSE), "")</f>
        <v/>
      </c>
      <c r="D1444" s="240"/>
      <c r="E1444" s="241"/>
      <c r="F1444" s="248"/>
      <c r="G1444" s="207"/>
      <c r="H1444" s="209"/>
      <c r="I1444" s="209"/>
      <c r="J1444" s="209"/>
      <c r="K1444" s="208" t="str">
        <f>IF(Errors!$I1444=0,SourceData!$B$42,VLOOKUP(Errors!$I1444,SourceData!$A$2:$B$40,2,FALSE))</f>
        <v>Please select ERROR CODE column "I"</v>
      </c>
      <c r="L1444" s="207" t="str">
        <f>IF(Errors!$I1444=0,
    'List of Error Codes'!$E$29,
    IFERROR(VLOOKUP(Errors!$I1444, 'List of Error Codes'!D1443:I1473, 6, FALSE), 'List of Error Codes'!$E$29)
)</f>
        <v>Please select ERROR CODE column "I"</v>
      </c>
      <c r="M1444" s="209"/>
      <c r="N1444" s="209"/>
      <c r="O1444" s="209"/>
      <c r="P1444" s="209"/>
      <c r="Q1444" s="209"/>
      <c r="R1444" s="217"/>
      <c r="S1444" s="217"/>
      <c r="T1444" s="217"/>
      <c r="U1444" s="199"/>
      <c r="V1444" s="200"/>
      <c r="W1444" s="200"/>
      <c r="X1444" s="200"/>
      <c r="Y1444" s="200"/>
      <c r="Z1444" s="200"/>
      <c r="AA1444" s="201"/>
      <c r="AB1444" s="200"/>
      <c r="AC1444" s="200"/>
    </row>
    <row r="1445" ht="15.75" customHeight="1">
      <c r="A1445" s="210">
        <f t="shared" si="1"/>
        <v>1443</v>
      </c>
      <c r="B1445" s="217"/>
      <c r="C1445" s="217" t="str">
        <f>IFERROR(VLOOKUP(B1445, SourceData!$U$3:$V$190, 2, FALSE), "")</f>
        <v/>
      </c>
      <c r="D1445" s="240"/>
      <c r="E1445" s="241"/>
      <c r="F1445" s="248"/>
      <c r="G1445" s="207"/>
      <c r="H1445" s="209"/>
      <c r="I1445" s="209"/>
      <c r="J1445" s="209"/>
      <c r="K1445" s="208" t="str">
        <f>IF(Errors!$I1445=0,SourceData!$B$42,VLOOKUP(Errors!$I1445,SourceData!$A$2:$B$40,2,FALSE))</f>
        <v>Please select ERROR CODE column "I"</v>
      </c>
      <c r="L1445" s="207" t="str">
        <f>IF(Errors!$I1445=0,
    'List of Error Codes'!$E$29,
    IFERROR(VLOOKUP(Errors!$I1445, 'List of Error Codes'!D1444:I1474, 6, FALSE), 'List of Error Codes'!$E$29)
)</f>
        <v>Please select ERROR CODE column "I"</v>
      </c>
      <c r="M1445" s="209"/>
      <c r="N1445" s="209"/>
      <c r="O1445" s="209"/>
      <c r="P1445" s="209"/>
      <c r="Q1445" s="209"/>
      <c r="R1445" s="217"/>
      <c r="S1445" s="217"/>
      <c r="T1445" s="217"/>
      <c r="U1445" s="199"/>
      <c r="V1445" s="200"/>
      <c r="W1445" s="200"/>
      <c r="X1445" s="200"/>
      <c r="Y1445" s="200"/>
      <c r="Z1445" s="200"/>
      <c r="AA1445" s="201"/>
      <c r="AB1445" s="200"/>
      <c r="AC1445" s="200"/>
    </row>
    <row r="1446" ht="15.75" customHeight="1">
      <c r="A1446" s="210">
        <f t="shared" si="1"/>
        <v>1444</v>
      </c>
      <c r="B1446" s="217"/>
      <c r="C1446" s="217" t="str">
        <f>IFERROR(VLOOKUP(B1446, SourceData!$U$3:$V$190, 2, FALSE), "")</f>
        <v/>
      </c>
      <c r="D1446" s="240"/>
      <c r="E1446" s="241"/>
      <c r="F1446" s="248"/>
      <c r="G1446" s="207"/>
      <c r="H1446" s="209"/>
      <c r="I1446" s="209"/>
      <c r="J1446" s="209"/>
      <c r="K1446" s="208" t="str">
        <f>IF(Errors!$I1446=0,SourceData!$B$42,VLOOKUP(Errors!$I1446,SourceData!$A$2:$B$40,2,FALSE))</f>
        <v>Please select ERROR CODE column "I"</v>
      </c>
      <c r="L1446" s="207" t="str">
        <f>IF(Errors!$I1446=0,
    'List of Error Codes'!$E$29,
    IFERROR(VLOOKUP(Errors!$I1446, 'List of Error Codes'!D1445:I1475, 6, FALSE), 'List of Error Codes'!$E$29)
)</f>
        <v>Please select ERROR CODE column "I"</v>
      </c>
      <c r="M1446" s="209"/>
      <c r="N1446" s="209"/>
      <c r="O1446" s="209"/>
      <c r="P1446" s="209"/>
      <c r="Q1446" s="209"/>
      <c r="R1446" s="217"/>
      <c r="S1446" s="217"/>
      <c r="T1446" s="217"/>
      <c r="U1446" s="199"/>
      <c r="V1446" s="200"/>
      <c r="W1446" s="200"/>
      <c r="X1446" s="200"/>
      <c r="Y1446" s="200"/>
      <c r="Z1446" s="200"/>
      <c r="AA1446" s="201"/>
      <c r="AB1446" s="200"/>
      <c r="AC1446" s="200"/>
    </row>
    <row r="1447" ht="15.75" customHeight="1">
      <c r="A1447" s="210">
        <f t="shared" si="1"/>
        <v>1445</v>
      </c>
      <c r="B1447" s="217"/>
      <c r="C1447" s="217" t="str">
        <f>IFERROR(VLOOKUP(B1447, SourceData!$U$3:$V$190, 2, FALSE), "")</f>
        <v/>
      </c>
      <c r="D1447" s="240"/>
      <c r="E1447" s="241"/>
      <c r="F1447" s="248"/>
      <c r="G1447" s="207"/>
      <c r="H1447" s="209"/>
      <c r="I1447" s="209"/>
      <c r="J1447" s="209"/>
      <c r="K1447" s="208" t="str">
        <f>IF(Errors!$I1447=0,SourceData!$B$42,VLOOKUP(Errors!$I1447,SourceData!$A$2:$B$40,2,FALSE))</f>
        <v>Please select ERROR CODE column "I"</v>
      </c>
      <c r="L1447" s="207" t="str">
        <f>IF(Errors!$I1447=0,
    'List of Error Codes'!$E$29,
    IFERROR(VLOOKUP(Errors!$I1447, 'List of Error Codes'!D1446:I1476, 6, FALSE), 'List of Error Codes'!$E$29)
)</f>
        <v>Please select ERROR CODE column "I"</v>
      </c>
      <c r="M1447" s="209"/>
      <c r="N1447" s="209"/>
      <c r="O1447" s="209"/>
      <c r="P1447" s="209"/>
      <c r="Q1447" s="209"/>
      <c r="R1447" s="217"/>
      <c r="S1447" s="217"/>
      <c r="T1447" s="217"/>
      <c r="U1447" s="199"/>
      <c r="V1447" s="200"/>
      <c r="W1447" s="200"/>
      <c r="X1447" s="200"/>
      <c r="Y1447" s="200"/>
      <c r="Z1447" s="200"/>
      <c r="AA1447" s="201"/>
      <c r="AB1447" s="200"/>
      <c r="AC1447" s="200"/>
    </row>
    <row r="1448" ht="15.75" customHeight="1">
      <c r="A1448" s="210">
        <f t="shared" si="1"/>
        <v>1446</v>
      </c>
      <c r="B1448" s="217"/>
      <c r="C1448" s="217" t="str">
        <f>IFERROR(VLOOKUP(B1448, SourceData!$U$3:$V$190, 2, FALSE), "")</f>
        <v/>
      </c>
      <c r="D1448" s="240"/>
      <c r="E1448" s="241"/>
      <c r="F1448" s="248"/>
      <c r="G1448" s="207"/>
      <c r="H1448" s="209"/>
      <c r="I1448" s="209"/>
      <c r="J1448" s="209"/>
      <c r="K1448" s="208" t="str">
        <f>IF(Errors!$I1448=0,SourceData!$B$42,VLOOKUP(Errors!$I1448,SourceData!$A$2:$B$40,2,FALSE))</f>
        <v>Please select ERROR CODE column "I"</v>
      </c>
      <c r="L1448" s="207" t="str">
        <f>IF(Errors!$I1448=0,
    'List of Error Codes'!$E$29,
    IFERROR(VLOOKUP(Errors!$I1448, 'List of Error Codes'!D1447:I1477, 6, FALSE), 'List of Error Codes'!$E$29)
)</f>
        <v>Please select ERROR CODE column "I"</v>
      </c>
      <c r="M1448" s="209"/>
      <c r="N1448" s="209"/>
      <c r="O1448" s="209"/>
      <c r="P1448" s="209"/>
      <c r="Q1448" s="209"/>
      <c r="R1448" s="217"/>
      <c r="S1448" s="217"/>
      <c r="T1448" s="217"/>
      <c r="U1448" s="199"/>
      <c r="V1448" s="200"/>
      <c r="W1448" s="200"/>
      <c r="X1448" s="200"/>
      <c r="Y1448" s="200"/>
      <c r="Z1448" s="200"/>
      <c r="AA1448" s="201"/>
      <c r="AB1448" s="200"/>
      <c r="AC1448" s="200"/>
    </row>
    <row r="1449" ht="15.75" customHeight="1">
      <c r="A1449" s="210">
        <f t="shared" si="1"/>
        <v>1447</v>
      </c>
      <c r="B1449" s="217"/>
      <c r="C1449" s="217" t="str">
        <f>IFERROR(VLOOKUP(B1449, SourceData!$U$3:$V$190, 2, FALSE), "")</f>
        <v/>
      </c>
      <c r="D1449" s="240"/>
      <c r="E1449" s="241"/>
      <c r="F1449" s="248"/>
      <c r="G1449" s="207"/>
      <c r="H1449" s="209"/>
      <c r="I1449" s="209"/>
      <c r="J1449" s="209"/>
      <c r="K1449" s="208" t="str">
        <f>IF(Errors!$I1449=0,SourceData!$B$42,VLOOKUP(Errors!$I1449,SourceData!$A$2:$B$40,2,FALSE))</f>
        <v>Please select ERROR CODE column "I"</v>
      </c>
      <c r="L1449" s="207" t="str">
        <f>IF(Errors!$I1449=0,
    'List of Error Codes'!$E$29,
    IFERROR(VLOOKUP(Errors!$I1449, 'List of Error Codes'!D1448:I1478, 6, FALSE), 'List of Error Codes'!$E$29)
)</f>
        <v>Please select ERROR CODE column "I"</v>
      </c>
      <c r="M1449" s="209"/>
      <c r="N1449" s="209"/>
      <c r="O1449" s="209"/>
      <c r="P1449" s="209"/>
      <c r="Q1449" s="209"/>
      <c r="R1449" s="217"/>
      <c r="S1449" s="217"/>
      <c r="T1449" s="217"/>
      <c r="U1449" s="199"/>
      <c r="V1449" s="200"/>
      <c r="W1449" s="200"/>
      <c r="X1449" s="200"/>
      <c r="Y1449" s="200"/>
      <c r="Z1449" s="200"/>
      <c r="AA1449" s="201"/>
      <c r="AB1449" s="200"/>
      <c r="AC1449" s="200"/>
    </row>
    <row r="1450" ht="15.75" customHeight="1">
      <c r="A1450" s="210">
        <f t="shared" si="1"/>
        <v>1448</v>
      </c>
      <c r="B1450" s="217"/>
      <c r="C1450" s="217" t="str">
        <f>IFERROR(VLOOKUP(B1450, SourceData!$U$3:$V$190, 2, FALSE), "")</f>
        <v/>
      </c>
      <c r="D1450" s="240"/>
      <c r="E1450" s="241"/>
      <c r="F1450" s="248"/>
      <c r="G1450" s="207"/>
      <c r="H1450" s="209"/>
      <c r="I1450" s="209"/>
      <c r="J1450" s="209"/>
      <c r="K1450" s="208" t="str">
        <f>IF(Errors!$I1450=0,SourceData!$B$42,VLOOKUP(Errors!$I1450,SourceData!$A$2:$B$40,2,FALSE))</f>
        <v>Please select ERROR CODE column "I"</v>
      </c>
      <c r="L1450" s="207" t="str">
        <f>IF(Errors!$I1450=0,
    'List of Error Codes'!$E$29,
    IFERROR(VLOOKUP(Errors!$I1450, 'List of Error Codes'!D1449:I1479, 6, FALSE), 'List of Error Codes'!$E$29)
)</f>
        <v>Please select ERROR CODE column "I"</v>
      </c>
      <c r="M1450" s="209"/>
      <c r="N1450" s="209"/>
      <c r="O1450" s="209"/>
      <c r="P1450" s="209"/>
      <c r="Q1450" s="209"/>
      <c r="R1450" s="217"/>
      <c r="S1450" s="217"/>
      <c r="T1450" s="217"/>
      <c r="U1450" s="199"/>
      <c r="V1450" s="200"/>
      <c r="W1450" s="200"/>
      <c r="X1450" s="200"/>
      <c r="Y1450" s="200"/>
      <c r="Z1450" s="200"/>
      <c r="AA1450" s="201"/>
      <c r="AB1450" s="200"/>
      <c r="AC1450" s="200"/>
    </row>
    <row r="1451" ht="15.75" customHeight="1">
      <c r="A1451" s="210">
        <f t="shared" si="1"/>
        <v>1449</v>
      </c>
      <c r="B1451" s="217"/>
      <c r="C1451" s="217" t="str">
        <f>IFERROR(VLOOKUP(B1451, SourceData!$U$3:$V$190, 2, FALSE), "")</f>
        <v/>
      </c>
      <c r="D1451" s="240"/>
      <c r="E1451" s="241"/>
      <c r="F1451" s="248"/>
      <c r="G1451" s="207"/>
      <c r="H1451" s="209"/>
      <c r="I1451" s="209"/>
      <c r="J1451" s="209"/>
      <c r="K1451" s="208" t="str">
        <f>IF(Errors!$I1451=0,SourceData!$B$42,VLOOKUP(Errors!$I1451,SourceData!$A$2:$B$40,2,FALSE))</f>
        <v>Please select ERROR CODE column "I"</v>
      </c>
      <c r="L1451" s="207" t="str">
        <f>IF(Errors!$I1451=0,
    'List of Error Codes'!$E$29,
    IFERROR(VLOOKUP(Errors!$I1451, 'List of Error Codes'!D1450:I1480, 6, FALSE), 'List of Error Codes'!$E$29)
)</f>
        <v>Please select ERROR CODE column "I"</v>
      </c>
      <c r="M1451" s="209"/>
      <c r="N1451" s="209"/>
      <c r="O1451" s="209"/>
      <c r="P1451" s="209"/>
      <c r="Q1451" s="209"/>
      <c r="R1451" s="217"/>
      <c r="S1451" s="217"/>
      <c r="T1451" s="217"/>
      <c r="U1451" s="199"/>
      <c r="V1451" s="200"/>
      <c r="W1451" s="200"/>
      <c r="X1451" s="200"/>
      <c r="Y1451" s="200"/>
      <c r="Z1451" s="200"/>
      <c r="AA1451" s="201"/>
      <c r="AB1451" s="200"/>
      <c r="AC1451" s="200"/>
    </row>
    <row r="1452" ht="15.75" customHeight="1">
      <c r="A1452" s="210">
        <f t="shared" si="1"/>
        <v>1450</v>
      </c>
      <c r="B1452" s="217"/>
      <c r="C1452" s="217" t="str">
        <f>IFERROR(VLOOKUP(B1452, SourceData!$U$3:$V$190, 2, FALSE), "")</f>
        <v/>
      </c>
      <c r="D1452" s="240"/>
      <c r="E1452" s="241"/>
      <c r="F1452" s="248"/>
      <c r="G1452" s="207"/>
      <c r="H1452" s="209"/>
      <c r="I1452" s="209"/>
      <c r="J1452" s="209"/>
      <c r="K1452" s="208" t="str">
        <f>IF(Errors!$I1452=0,SourceData!$B$42,VLOOKUP(Errors!$I1452,SourceData!$A$2:$B$40,2,FALSE))</f>
        <v>Please select ERROR CODE column "I"</v>
      </c>
      <c r="L1452" s="207" t="str">
        <f>IF(Errors!$I1452=0,
    'List of Error Codes'!$E$29,
    IFERROR(VLOOKUP(Errors!$I1452, 'List of Error Codes'!D1451:I1481, 6, FALSE), 'List of Error Codes'!$E$29)
)</f>
        <v>Please select ERROR CODE column "I"</v>
      </c>
      <c r="M1452" s="209"/>
      <c r="N1452" s="209"/>
      <c r="O1452" s="209"/>
      <c r="P1452" s="209"/>
      <c r="Q1452" s="209"/>
      <c r="R1452" s="217"/>
      <c r="S1452" s="217"/>
      <c r="T1452" s="217"/>
      <c r="U1452" s="199"/>
      <c r="V1452" s="200"/>
      <c r="W1452" s="200"/>
      <c r="X1452" s="200"/>
      <c r="Y1452" s="200"/>
      <c r="Z1452" s="200"/>
      <c r="AA1452" s="201"/>
      <c r="AB1452" s="200"/>
      <c r="AC1452" s="200"/>
    </row>
    <row r="1453" ht="15.75" customHeight="1">
      <c r="A1453" s="210">
        <f t="shared" si="1"/>
        <v>1451</v>
      </c>
      <c r="B1453" s="217"/>
      <c r="C1453" s="217" t="str">
        <f>IFERROR(VLOOKUP(B1453, SourceData!$U$3:$V$190, 2, FALSE), "")</f>
        <v/>
      </c>
      <c r="D1453" s="240"/>
      <c r="E1453" s="241"/>
      <c r="F1453" s="248"/>
      <c r="G1453" s="207"/>
      <c r="H1453" s="209"/>
      <c r="I1453" s="209"/>
      <c r="J1453" s="209"/>
      <c r="K1453" s="208" t="str">
        <f>IF(Errors!$I1453=0,SourceData!$B$42,VLOOKUP(Errors!$I1453,SourceData!$A$2:$B$40,2,FALSE))</f>
        <v>Please select ERROR CODE column "I"</v>
      </c>
      <c r="L1453" s="207" t="str">
        <f>IF(Errors!$I1453=0,
    'List of Error Codes'!$E$29,
    IFERROR(VLOOKUP(Errors!$I1453, 'List of Error Codes'!D1452:I1482, 6, FALSE), 'List of Error Codes'!$E$29)
)</f>
        <v>Please select ERROR CODE column "I"</v>
      </c>
      <c r="M1453" s="209"/>
      <c r="N1453" s="209"/>
      <c r="O1453" s="209"/>
      <c r="P1453" s="209"/>
      <c r="Q1453" s="209"/>
      <c r="R1453" s="217"/>
      <c r="S1453" s="217"/>
      <c r="T1453" s="217"/>
      <c r="U1453" s="199"/>
      <c r="V1453" s="200"/>
      <c r="W1453" s="200"/>
      <c r="X1453" s="200"/>
      <c r="Y1453" s="200"/>
      <c r="Z1453" s="200"/>
      <c r="AA1453" s="201"/>
      <c r="AB1453" s="200"/>
      <c r="AC1453" s="200"/>
    </row>
    <row r="1454" ht="15.75" customHeight="1">
      <c r="A1454" s="210">
        <f t="shared" si="1"/>
        <v>1452</v>
      </c>
      <c r="B1454" s="217"/>
      <c r="C1454" s="217" t="str">
        <f>IFERROR(VLOOKUP(B1454, SourceData!$U$3:$V$190, 2, FALSE), "")</f>
        <v/>
      </c>
      <c r="D1454" s="240"/>
      <c r="E1454" s="241"/>
      <c r="F1454" s="248"/>
      <c r="G1454" s="207"/>
      <c r="H1454" s="209"/>
      <c r="I1454" s="209"/>
      <c r="J1454" s="209"/>
      <c r="K1454" s="208" t="str">
        <f>IF(Errors!$I1454=0,SourceData!$B$42,VLOOKUP(Errors!$I1454,SourceData!$A$2:$B$40,2,FALSE))</f>
        <v>Please select ERROR CODE column "I"</v>
      </c>
      <c r="L1454" s="207" t="str">
        <f>IF(Errors!$I1454=0,
    'List of Error Codes'!$E$29,
    IFERROR(VLOOKUP(Errors!$I1454, 'List of Error Codes'!D1453:I1483, 6, FALSE), 'List of Error Codes'!$E$29)
)</f>
        <v>Please select ERROR CODE column "I"</v>
      </c>
      <c r="M1454" s="209"/>
      <c r="N1454" s="209"/>
      <c r="O1454" s="209"/>
      <c r="P1454" s="209"/>
      <c r="Q1454" s="209"/>
      <c r="R1454" s="217"/>
      <c r="S1454" s="217"/>
      <c r="T1454" s="217"/>
      <c r="U1454" s="199"/>
      <c r="V1454" s="200"/>
      <c r="W1454" s="200"/>
      <c r="X1454" s="200"/>
      <c r="Y1454" s="200"/>
      <c r="Z1454" s="200"/>
      <c r="AA1454" s="201"/>
      <c r="AB1454" s="200"/>
      <c r="AC1454" s="200"/>
    </row>
    <row r="1455" ht="15.75" customHeight="1">
      <c r="A1455" s="210">
        <f t="shared" si="1"/>
        <v>1453</v>
      </c>
      <c r="B1455" s="217"/>
      <c r="C1455" s="217" t="str">
        <f>IFERROR(VLOOKUP(B1455, SourceData!$U$3:$V$190, 2, FALSE), "")</f>
        <v/>
      </c>
      <c r="D1455" s="240"/>
      <c r="E1455" s="241"/>
      <c r="F1455" s="248"/>
      <c r="G1455" s="207"/>
      <c r="H1455" s="209"/>
      <c r="I1455" s="209"/>
      <c r="J1455" s="209"/>
      <c r="K1455" s="208" t="str">
        <f>IF(Errors!$I1455=0,SourceData!$B$42,VLOOKUP(Errors!$I1455,SourceData!$A$2:$B$40,2,FALSE))</f>
        <v>Please select ERROR CODE column "I"</v>
      </c>
      <c r="L1455" s="207" t="str">
        <f>IF(Errors!$I1455=0,
    'List of Error Codes'!$E$29,
    IFERROR(VLOOKUP(Errors!$I1455, 'List of Error Codes'!D1454:I1484, 6, FALSE), 'List of Error Codes'!$E$29)
)</f>
        <v>Please select ERROR CODE column "I"</v>
      </c>
      <c r="M1455" s="209"/>
      <c r="N1455" s="209"/>
      <c r="O1455" s="209"/>
      <c r="P1455" s="209"/>
      <c r="Q1455" s="209"/>
      <c r="R1455" s="217"/>
      <c r="S1455" s="217"/>
      <c r="T1455" s="217"/>
      <c r="U1455" s="199"/>
      <c r="V1455" s="200"/>
      <c r="W1455" s="200"/>
      <c r="X1455" s="200"/>
      <c r="Y1455" s="200"/>
      <c r="Z1455" s="200"/>
      <c r="AA1455" s="201"/>
      <c r="AB1455" s="200"/>
      <c r="AC1455" s="200"/>
    </row>
    <row r="1456" ht="15.75" customHeight="1">
      <c r="A1456" s="210">
        <f t="shared" si="1"/>
        <v>1454</v>
      </c>
      <c r="B1456" s="217"/>
      <c r="C1456" s="217" t="str">
        <f>IFERROR(VLOOKUP(B1456, SourceData!$U$3:$V$190, 2, FALSE), "")</f>
        <v/>
      </c>
      <c r="D1456" s="240"/>
      <c r="E1456" s="241"/>
      <c r="F1456" s="248"/>
      <c r="G1456" s="207"/>
      <c r="H1456" s="209"/>
      <c r="I1456" s="209"/>
      <c r="J1456" s="209"/>
      <c r="K1456" s="208" t="str">
        <f>IF(Errors!$I1456=0,SourceData!$B$42,VLOOKUP(Errors!$I1456,SourceData!$A$2:$B$40,2,FALSE))</f>
        <v>Please select ERROR CODE column "I"</v>
      </c>
      <c r="L1456" s="207" t="str">
        <f>IF(Errors!$I1456=0,
    'List of Error Codes'!$E$29,
    IFERROR(VLOOKUP(Errors!$I1456, 'List of Error Codes'!D1455:I1485, 6, FALSE), 'List of Error Codes'!$E$29)
)</f>
        <v>Please select ERROR CODE column "I"</v>
      </c>
      <c r="M1456" s="209"/>
      <c r="N1456" s="209"/>
      <c r="O1456" s="209"/>
      <c r="P1456" s="209"/>
      <c r="Q1456" s="209"/>
      <c r="R1456" s="217"/>
      <c r="S1456" s="217"/>
      <c r="T1456" s="217"/>
      <c r="U1456" s="199"/>
      <c r="V1456" s="200"/>
      <c r="W1456" s="200"/>
      <c r="X1456" s="200"/>
      <c r="Y1456" s="200"/>
      <c r="Z1456" s="200"/>
      <c r="AA1456" s="201"/>
      <c r="AB1456" s="200"/>
      <c r="AC1456" s="200"/>
    </row>
    <row r="1457" ht="15.75" customHeight="1">
      <c r="A1457" s="210">
        <f t="shared" si="1"/>
        <v>1455</v>
      </c>
      <c r="B1457" s="217"/>
      <c r="C1457" s="217" t="str">
        <f>IFERROR(VLOOKUP(B1457, SourceData!$U$3:$V$190, 2, FALSE), "")</f>
        <v/>
      </c>
      <c r="D1457" s="240"/>
      <c r="E1457" s="241"/>
      <c r="F1457" s="248"/>
      <c r="G1457" s="207"/>
      <c r="H1457" s="209"/>
      <c r="I1457" s="209"/>
      <c r="J1457" s="209"/>
      <c r="K1457" s="208" t="str">
        <f>IF(Errors!$I1457=0,SourceData!$B$42,VLOOKUP(Errors!$I1457,SourceData!$A$2:$B$40,2,FALSE))</f>
        <v>Please select ERROR CODE column "I"</v>
      </c>
      <c r="L1457" s="207" t="str">
        <f>IF(Errors!$I1457=0,
    'List of Error Codes'!$E$29,
    IFERROR(VLOOKUP(Errors!$I1457, 'List of Error Codes'!D1456:I1486, 6, FALSE), 'List of Error Codes'!$E$29)
)</f>
        <v>Please select ERROR CODE column "I"</v>
      </c>
      <c r="M1457" s="209"/>
      <c r="N1457" s="209"/>
      <c r="O1457" s="209"/>
      <c r="P1457" s="209"/>
      <c r="Q1457" s="209"/>
      <c r="R1457" s="217"/>
      <c r="S1457" s="217"/>
      <c r="T1457" s="217"/>
      <c r="U1457" s="199"/>
      <c r="V1457" s="200"/>
      <c r="W1457" s="200"/>
      <c r="X1457" s="200"/>
      <c r="Y1457" s="200"/>
      <c r="Z1457" s="200"/>
      <c r="AA1457" s="201"/>
      <c r="AB1457" s="200"/>
      <c r="AC1457" s="200"/>
    </row>
    <row r="1458" ht="15.75" customHeight="1">
      <c r="A1458" s="210">
        <f t="shared" si="1"/>
        <v>1456</v>
      </c>
      <c r="B1458" s="217"/>
      <c r="C1458" s="217" t="str">
        <f>IFERROR(VLOOKUP(B1458, SourceData!$U$3:$V$190, 2, FALSE), "")</f>
        <v/>
      </c>
      <c r="D1458" s="240"/>
      <c r="E1458" s="241"/>
      <c r="F1458" s="248"/>
      <c r="G1458" s="207"/>
      <c r="H1458" s="209"/>
      <c r="I1458" s="209"/>
      <c r="J1458" s="209"/>
      <c r="K1458" s="208" t="str">
        <f>IF(Errors!$I1458=0,SourceData!$B$42,VLOOKUP(Errors!$I1458,SourceData!$A$2:$B$40,2,FALSE))</f>
        <v>Please select ERROR CODE column "I"</v>
      </c>
      <c r="L1458" s="207" t="str">
        <f>IF(Errors!$I1458=0,
    'List of Error Codes'!$E$29,
    IFERROR(VLOOKUP(Errors!$I1458, 'List of Error Codes'!D1457:I1487, 6, FALSE), 'List of Error Codes'!$E$29)
)</f>
        <v>Please select ERROR CODE column "I"</v>
      </c>
      <c r="M1458" s="209"/>
      <c r="N1458" s="209"/>
      <c r="O1458" s="209"/>
      <c r="P1458" s="209"/>
      <c r="Q1458" s="209"/>
      <c r="R1458" s="217"/>
      <c r="S1458" s="217"/>
      <c r="T1458" s="217"/>
      <c r="U1458" s="199"/>
      <c r="V1458" s="200"/>
      <c r="W1458" s="200"/>
      <c r="X1458" s="200"/>
      <c r="Y1458" s="200"/>
      <c r="Z1458" s="200"/>
      <c r="AA1458" s="201"/>
      <c r="AB1458" s="200"/>
      <c r="AC1458" s="200"/>
    </row>
    <row r="1459" ht="15.75" customHeight="1">
      <c r="A1459" s="210">
        <f t="shared" si="1"/>
        <v>1457</v>
      </c>
      <c r="B1459" s="217"/>
      <c r="C1459" s="217" t="str">
        <f>IFERROR(VLOOKUP(B1459, SourceData!$U$3:$V$190, 2, FALSE), "")</f>
        <v/>
      </c>
      <c r="D1459" s="240"/>
      <c r="E1459" s="241"/>
      <c r="F1459" s="248"/>
      <c r="G1459" s="207"/>
      <c r="H1459" s="209"/>
      <c r="I1459" s="209"/>
      <c r="J1459" s="209"/>
      <c r="K1459" s="208" t="str">
        <f>IF(Errors!$I1459=0,SourceData!$B$42,VLOOKUP(Errors!$I1459,SourceData!$A$2:$B$40,2,FALSE))</f>
        <v>Please select ERROR CODE column "I"</v>
      </c>
      <c r="L1459" s="207" t="str">
        <f>IF(Errors!$I1459=0,
    'List of Error Codes'!$E$29,
    IFERROR(VLOOKUP(Errors!$I1459, 'List of Error Codes'!D1458:I1488, 6, FALSE), 'List of Error Codes'!$E$29)
)</f>
        <v>Please select ERROR CODE column "I"</v>
      </c>
      <c r="M1459" s="209"/>
      <c r="N1459" s="209"/>
      <c r="O1459" s="209"/>
      <c r="P1459" s="209"/>
      <c r="Q1459" s="209"/>
      <c r="R1459" s="217"/>
      <c r="S1459" s="217"/>
      <c r="T1459" s="217"/>
      <c r="U1459" s="199"/>
      <c r="V1459" s="200"/>
      <c r="W1459" s="200"/>
      <c r="X1459" s="200"/>
      <c r="Y1459" s="200"/>
      <c r="Z1459" s="200"/>
      <c r="AA1459" s="201"/>
      <c r="AB1459" s="200"/>
      <c r="AC1459" s="200"/>
    </row>
    <row r="1460" ht="15.75" customHeight="1">
      <c r="A1460" s="210">
        <f t="shared" si="1"/>
        <v>1458</v>
      </c>
      <c r="B1460" s="217"/>
      <c r="C1460" s="217" t="str">
        <f>IFERROR(VLOOKUP(B1460, SourceData!$U$3:$V$190, 2, FALSE), "")</f>
        <v/>
      </c>
      <c r="D1460" s="240"/>
      <c r="E1460" s="241"/>
      <c r="F1460" s="248"/>
      <c r="G1460" s="207"/>
      <c r="H1460" s="209"/>
      <c r="I1460" s="209"/>
      <c r="J1460" s="209"/>
      <c r="K1460" s="208" t="str">
        <f>IF(Errors!$I1460=0,SourceData!$B$42,VLOOKUP(Errors!$I1460,SourceData!$A$2:$B$40,2,FALSE))</f>
        <v>Please select ERROR CODE column "I"</v>
      </c>
      <c r="L1460" s="207" t="str">
        <f>IF(Errors!$I1460=0,
    'List of Error Codes'!$E$29,
    IFERROR(VLOOKUP(Errors!$I1460, 'List of Error Codes'!D1459:I1489, 6, FALSE), 'List of Error Codes'!$E$29)
)</f>
        <v>Please select ERROR CODE column "I"</v>
      </c>
      <c r="M1460" s="209"/>
      <c r="N1460" s="209"/>
      <c r="O1460" s="209"/>
      <c r="P1460" s="209"/>
      <c r="Q1460" s="209"/>
      <c r="R1460" s="217"/>
      <c r="S1460" s="217"/>
      <c r="T1460" s="217"/>
      <c r="U1460" s="199"/>
      <c r="V1460" s="200"/>
      <c r="W1460" s="200"/>
      <c r="X1460" s="200"/>
      <c r="Y1460" s="200"/>
      <c r="Z1460" s="200"/>
      <c r="AA1460" s="201"/>
      <c r="AB1460" s="200"/>
      <c r="AC1460" s="200"/>
    </row>
    <row r="1461" ht="15.75" customHeight="1">
      <c r="A1461" s="210">
        <f t="shared" si="1"/>
        <v>1459</v>
      </c>
      <c r="B1461" s="217"/>
      <c r="C1461" s="217" t="str">
        <f>IFERROR(VLOOKUP(B1461, SourceData!$U$3:$V$190, 2, FALSE), "")</f>
        <v/>
      </c>
      <c r="D1461" s="240"/>
      <c r="E1461" s="241"/>
      <c r="F1461" s="248"/>
      <c r="G1461" s="207"/>
      <c r="H1461" s="209"/>
      <c r="I1461" s="209"/>
      <c r="J1461" s="209"/>
      <c r="K1461" s="208" t="str">
        <f>IF(Errors!$I1461=0,SourceData!$B$42,VLOOKUP(Errors!$I1461,SourceData!$A$2:$B$40,2,FALSE))</f>
        <v>Please select ERROR CODE column "I"</v>
      </c>
      <c r="L1461" s="207" t="str">
        <f>IF(Errors!$I1461=0,
    'List of Error Codes'!$E$29,
    IFERROR(VLOOKUP(Errors!$I1461, 'List of Error Codes'!D1460:I1490, 6, FALSE), 'List of Error Codes'!$E$29)
)</f>
        <v>Please select ERROR CODE column "I"</v>
      </c>
      <c r="M1461" s="209"/>
      <c r="N1461" s="209"/>
      <c r="O1461" s="209"/>
      <c r="P1461" s="209"/>
      <c r="Q1461" s="209"/>
      <c r="R1461" s="217"/>
      <c r="S1461" s="217"/>
      <c r="T1461" s="217"/>
      <c r="U1461" s="199"/>
      <c r="V1461" s="200"/>
      <c r="W1461" s="200"/>
      <c r="X1461" s="200"/>
      <c r="Y1461" s="200"/>
      <c r="Z1461" s="200"/>
      <c r="AA1461" s="201"/>
      <c r="AB1461" s="200"/>
      <c r="AC1461" s="200"/>
    </row>
    <row r="1462" ht="15.75" customHeight="1">
      <c r="A1462" s="210">
        <f t="shared" si="1"/>
        <v>1460</v>
      </c>
      <c r="B1462" s="217"/>
      <c r="C1462" s="217" t="str">
        <f>IFERROR(VLOOKUP(B1462, SourceData!$U$3:$V$190, 2, FALSE), "")</f>
        <v/>
      </c>
      <c r="D1462" s="240"/>
      <c r="E1462" s="241"/>
      <c r="F1462" s="248"/>
      <c r="G1462" s="207"/>
      <c r="H1462" s="209"/>
      <c r="I1462" s="209"/>
      <c r="J1462" s="209"/>
      <c r="K1462" s="208" t="str">
        <f>IF(Errors!$I1462=0,SourceData!$B$42,VLOOKUP(Errors!$I1462,SourceData!$A$2:$B$40,2,FALSE))</f>
        <v>Please select ERROR CODE column "I"</v>
      </c>
      <c r="L1462" s="207" t="str">
        <f>IF(Errors!$I1462=0,
    'List of Error Codes'!$E$29,
    IFERROR(VLOOKUP(Errors!$I1462, 'List of Error Codes'!D1461:I1491, 6, FALSE), 'List of Error Codes'!$E$29)
)</f>
        <v>Please select ERROR CODE column "I"</v>
      </c>
      <c r="M1462" s="209"/>
      <c r="N1462" s="209"/>
      <c r="O1462" s="209"/>
      <c r="P1462" s="209"/>
      <c r="Q1462" s="209"/>
      <c r="R1462" s="217"/>
      <c r="S1462" s="217"/>
      <c r="T1462" s="217"/>
      <c r="U1462" s="199"/>
      <c r="V1462" s="200"/>
      <c r="W1462" s="200"/>
      <c r="X1462" s="200"/>
      <c r="Y1462" s="200"/>
      <c r="Z1462" s="200"/>
      <c r="AA1462" s="201"/>
      <c r="AB1462" s="200"/>
      <c r="AC1462" s="200"/>
    </row>
    <row r="1463" ht="15.75" customHeight="1">
      <c r="A1463" s="210">
        <f t="shared" si="1"/>
        <v>1461</v>
      </c>
      <c r="B1463" s="217"/>
      <c r="C1463" s="217" t="str">
        <f>IFERROR(VLOOKUP(B1463, SourceData!$U$3:$V$190, 2, FALSE), "")</f>
        <v/>
      </c>
      <c r="D1463" s="240"/>
      <c r="E1463" s="241"/>
      <c r="F1463" s="248"/>
      <c r="G1463" s="207"/>
      <c r="H1463" s="209"/>
      <c r="I1463" s="209"/>
      <c r="J1463" s="209"/>
      <c r="K1463" s="208" t="str">
        <f>IF(Errors!$I1463=0,SourceData!$B$42,VLOOKUP(Errors!$I1463,SourceData!$A$2:$B$40,2,FALSE))</f>
        <v>Please select ERROR CODE column "I"</v>
      </c>
      <c r="L1463" s="207" t="str">
        <f>IF(Errors!$I1463=0,
    'List of Error Codes'!$E$29,
    IFERROR(VLOOKUP(Errors!$I1463, 'List of Error Codes'!D1462:I1492, 6, FALSE), 'List of Error Codes'!$E$29)
)</f>
        <v>Please select ERROR CODE column "I"</v>
      </c>
      <c r="M1463" s="209"/>
      <c r="N1463" s="209"/>
      <c r="O1463" s="209"/>
      <c r="P1463" s="209"/>
      <c r="Q1463" s="209"/>
      <c r="R1463" s="217"/>
      <c r="S1463" s="217"/>
      <c r="T1463" s="217"/>
      <c r="U1463" s="199"/>
      <c r="V1463" s="200"/>
      <c r="W1463" s="200"/>
      <c r="X1463" s="200"/>
      <c r="Y1463" s="200"/>
      <c r="Z1463" s="200"/>
      <c r="AA1463" s="201"/>
      <c r="AB1463" s="200"/>
      <c r="AC1463" s="200"/>
    </row>
    <row r="1464" ht="15.75" customHeight="1">
      <c r="A1464" s="210">
        <f t="shared" si="1"/>
        <v>1462</v>
      </c>
      <c r="B1464" s="217"/>
      <c r="C1464" s="217" t="str">
        <f>IFERROR(VLOOKUP(B1464, SourceData!$U$3:$V$190, 2, FALSE), "")</f>
        <v/>
      </c>
      <c r="D1464" s="240"/>
      <c r="E1464" s="241"/>
      <c r="F1464" s="248"/>
      <c r="G1464" s="207"/>
      <c r="H1464" s="209"/>
      <c r="I1464" s="209"/>
      <c r="J1464" s="209"/>
      <c r="K1464" s="208" t="str">
        <f>IF(Errors!$I1464=0,SourceData!$B$42,VLOOKUP(Errors!$I1464,SourceData!$A$2:$B$40,2,FALSE))</f>
        <v>Please select ERROR CODE column "I"</v>
      </c>
      <c r="L1464" s="207" t="str">
        <f>IF(Errors!$I1464=0,
    'List of Error Codes'!$E$29,
    IFERROR(VLOOKUP(Errors!$I1464, 'List of Error Codes'!D1463:I1493, 6, FALSE), 'List of Error Codes'!$E$29)
)</f>
        <v>Please select ERROR CODE column "I"</v>
      </c>
      <c r="M1464" s="209"/>
      <c r="N1464" s="209"/>
      <c r="O1464" s="209"/>
      <c r="P1464" s="209"/>
      <c r="Q1464" s="209"/>
      <c r="R1464" s="217"/>
      <c r="S1464" s="217"/>
      <c r="T1464" s="217"/>
      <c r="U1464" s="199"/>
      <c r="V1464" s="200"/>
      <c r="W1464" s="200"/>
      <c r="X1464" s="200"/>
      <c r="Y1464" s="200"/>
      <c r="Z1464" s="200"/>
      <c r="AA1464" s="201"/>
      <c r="AB1464" s="200"/>
      <c r="AC1464" s="200"/>
    </row>
    <row r="1465" ht="15.75" customHeight="1">
      <c r="A1465" s="210">
        <f t="shared" si="1"/>
        <v>1463</v>
      </c>
      <c r="B1465" s="217"/>
      <c r="C1465" s="217" t="str">
        <f>IFERROR(VLOOKUP(B1465, SourceData!$U$3:$V$190, 2, FALSE), "")</f>
        <v/>
      </c>
      <c r="D1465" s="240"/>
      <c r="E1465" s="241"/>
      <c r="F1465" s="248"/>
      <c r="G1465" s="207"/>
      <c r="H1465" s="209"/>
      <c r="I1465" s="209"/>
      <c r="J1465" s="209"/>
      <c r="K1465" s="208" t="str">
        <f>IF(Errors!$I1465=0,SourceData!$B$42,VLOOKUP(Errors!$I1465,SourceData!$A$2:$B$40,2,FALSE))</f>
        <v>Please select ERROR CODE column "I"</v>
      </c>
      <c r="L1465" s="207" t="str">
        <f>IF(Errors!$I1465=0,
    'List of Error Codes'!$E$29,
    IFERROR(VLOOKUP(Errors!$I1465, 'List of Error Codes'!D1464:I1494, 6, FALSE), 'List of Error Codes'!$E$29)
)</f>
        <v>Please select ERROR CODE column "I"</v>
      </c>
      <c r="M1465" s="209"/>
      <c r="N1465" s="209"/>
      <c r="O1465" s="209"/>
      <c r="P1465" s="209"/>
      <c r="Q1465" s="209"/>
      <c r="R1465" s="217"/>
      <c r="S1465" s="217"/>
      <c r="T1465" s="217"/>
      <c r="U1465" s="199"/>
      <c r="V1465" s="200"/>
      <c r="W1465" s="200"/>
      <c r="X1465" s="200"/>
      <c r="Y1465" s="200"/>
      <c r="Z1465" s="200"/>
      <c r="AA1465" s="201"/>
      <c r="AB1465" s="200"/>
      <c r="AC1465" s="200"/>
    </row>
    <row r="1466" ht="15.75" customHeight="1">
      <c r="A1466" s="210">
        <f t="shared" si="1"/>
        <v>1464</v>
      </c>
      <c r="B1466" s="217"/>
      <c r="C1466" s="217" t="str">
        <f>IFERROR(VLOOKUP(B1466, SourceData!$U$3:$V$190, 2, FALSE), "")</f>
        <v/>
      </c>
      <c r="D1466" s="240"/>
      <c r="E1466" s="241"/>
      <c r="F1466" s="248"/>
      <c r="G1466" s="207"/>
      <c r="H1466" s="209"/>
      <c r="I1466" s="209"/>
      <c r="J1466" s="209"/>
      <c r="K1466" s="208" t="str">
        <f>IF(Errors!$I1466=0,SourceData!$B$42,VLOOKUP(Errors!$I1466,SourceData!$A$2:$B$40,2,FALSE))</f>
        <v>Please select ERROR CODE column "I"</v>
      </c>
      <c r="L1466" s="207" t="str">
        <f>IF(Errors!$I1466=0,
    'List of Error Codes'!$E$29,
    IFERROR(VLOOKUP(Errors!$I1466, 'List of Error Codes'!D1465:I1495, 6, FALSE), 'List of Error Codes'!$E$29)
)</f>
        <v>Please select ERROR CODE column "I"</v>
      </c>
      <c r="M1466" s="209"/>
      <c r="N1466" s="209"/>
      <c r="O1466" s="209"/>
      <c r="P1466" s="209"/>
      <c r="Q1466" s="209"/>
      <c r="R1466" s="217"/>
      <c r="S1466" s="217"/>
      <c r="T1466" s="217"/>
      <c r="U1466" s="199"/>
      <c r="V1466" s="200"/>
      <c r="W1466" s="200"/>
      <c r="X1466" s="200"/>
      <c r="Y1466" s="200"/>
      <c r="Z1466" s="200"/>
      <c r="AA1466" s="201"/>
      <c r="AB1466" s="200"/>
      <c r="AC1466" s="200"/>
    </row>
    <row r="1467" ht="15.75" customHeight="1">
      <c r="A1467" s="210">
        <f t="shared" si="1"/>
        <v>1465</v>
      </c>
      <c r="B1467" s="217"/>
      <c r="C1467" s="217" t="str">
        <f>IFERROR(VLOOKUP(B1467, SourceData!$U$3:$V$190, 2, FALSE), "")</f>
        <v/>
      </c>
      <c r="D1467" s="240"/>
      <c r="E1467" s="241"/>
      <c r="F1467" s="248"/>
      <c r="G1467" s="207"/>
      <c r="H1467" s="209"/>
      <c r="I1467" s="209"/>
      <c r="J1467" s="209"/>
      <c r="K1467" s="208" t="str">
        <f>IF(Errors!$I1467=0,SourceData!$B$42,VLOOKUP(Errors!$I1467,SourceData!$A$2:$B$40,2,FALSE))</f>
        <v>Please select ERROR CODE column "I"</v>
      </c>
      <c r="L1467" s="207" t="str">
        <f>IF(Errors!$I1467=0,
    'List of Error Codes'!$E$29,
    IFERROR(VLOOKUP(Errors!$I1467, 'List of Error Codes'!D1466:I1496, 6, FALSE), 'List of Error Codes'!$E$29)
)</f>
        <v>Please select ERROR CODE column "I"</v>
      </c>
      <c r="M1467" s="209"/>
      <c r="N1467" s="209"/>
      <c r="O1467" s="209"/>
      <c r="P1467" s="209"/>
      <c r="Q1467" s="209"/>
      <c r="R1467" s="217"/>
      <c r="S1467" s="217"/>
      <c r="T1467" s="217"/>
      <c r="U1467" s="199"/>
      <c r="V1467" s="200"/>
      <c r="W1467" s="200"/>
      <c r="X1467" s="200"/>
      <c r="Y1467" s="200"/>
      <c r="Z1467" s="200"/>
      <c r="AA1467" s="201"/>
      <c r="AB1467" s="200"/>
      <c r="AC1467" s="200"/>
    </row>
    <row r="1468" ht="15.75" customHeight="1">
      <c r="A1468" s="210">
        <f t="shared" si="1"/>
        <v>1466</v>
      </c>
      <c r="B1468" s="217"/>
      <c r="C1468" s="217" t="str">
        <f>IFERROR(VLOOKUP(B1468, SourceData!$U$3:$V$190, 2, FALSE), "")</f>
        <v/>
      </c>
      <c r="D1468" s="240"/>
      <c r="E1468" s="241"/>
      <c r="F1468" s="248"/>
      <c r="G1468" s="207"/>
      <c r="H1468" s="209"/>
      <c r="I1468" s="209"/>
      <c r="J1468" s="209"/>
      <c r="K1468" s="208" t="str">
        <f>IF(Errors!$I1468=0,SourceData!$B$42,VLOOKUP(Errors!$I1468,SourceData!$A$2:$B$40,2,FALSE))</f>
        <v>Please select ERROR CODE column "I"</v>
      </c>
      <c r="L1468" s="207" t="str">
        <f>IF(Errors!$I1468=0,
    'List of Error Codes'!$E$29,
    IFERROR(VLOOKUP(Errors!$I1468, 'List of Error Codes'!D1467:I1497, 6, FALSE), 'List of Error Codes'!$E$29)
)</f>
        <v>Please select ERROR CODE column "I"</v>
      </c>
      <c r="M1468" s="209"/>
      <c r="N1468" s="209"/>
      <c r="O1468" s="209"/>
      <c r="P1468" s="209"/>
      <c r="Q1468" s="209"/>
      <c r="R1468" s="217"/>
      <c r="S1468" s="217"/>
      <c r="T1468" s="217"/>
      <c r="U1468" s="199"/>
      <c r="V1468" s="200"/>
      <c r="W1468" s="200"/>
      <c r="X1468" s="200"/>
      <c r="Y1468" s="200"/>
      <c r="Z1468" s="200"/>
      <c r="AA1468" s="201"/>
      <c r="AB1468" s="200"/>
      <c r="AC1468" s="200"/>
    </row>
    <row r="1469" ht="15.75" customHeight="1">
      <c r="A1469" s="210">
        <f t="shared" si="1"/>
        <v>1467</v>
      </c>
      <c r="B1469" s="217"/>
      <c r="C1469" s="217" t="str">
        <f>IFERROR(VLOOKUP(B1469, SourceData!$U$3:$V$190, 2, FALSE), "")</f>
        <v/>
      </c>
      <c r="D1469" s="240"/>
      <c r="E1469" s="241"/>
      <c r="F1469" s="248"/>
      <c r="G1469" s="207"/>
      <c r="H1469" s="209"/>
      <c r="I1469" s="209"/>
      <c r="J1469" s="209"/>
      <c r="K1469" s="208" t="str">
        <f>IF(Errors!$I1469=0,SourceData!$B$42,VLOOKUP(Errors!$I1469,SourceData!$A$2:$B$40,2,FALSE))</f>
        <v>Please select ERROR CODE column "I"</v>
      </c>
      <c r="L1469" s="207" t="str">
        <f>IF(Errors!$I1469=0,
    'List of Error Codes'!$E$29,
    IFERROR(VLOOKUP(Errors!$I1469, 'List of Error Codes'!D1468:I1498, 6, FALSE), 'List of Error Codes'!$E$29)
)</f>
        <v>Please select ERROR CODE column "I"</v>
      </c>
      <c r="M1469" s="209"/>
      <c r="N1469" s="209"/>
      <c r="O1469" s="209"/>
      <c r="P1469" s="209"/>
      <c r="Q1469" s="209"/>
      <c r="R1469" s="217"/>
      <c r="S1469" s="217"/>
      <c r="T1469" s="217"/>
      <c r="U1469" s="199"/>
      <c r="V1469" s="200"/>
      <c r="W1469" s="200"/>
      <c r="X1469" s="200"/>
      <c r="Y1469" s="200"/>
      <c r="Z1469" s="200"/>
      <c r="AA1469" s="201"/>
      <c r="AB1469" s="200"/>
      <c r="AC1469" s="200"/>
    </row>
    <row r="1470" ht="15.75" customHeight="1">
      <c r="A1470" s="210">
        <f t="shared" si="1"/>
        <v>1468</v>
      </c>
      <c r="B1470" s="217"/>
      <c r="C1470" s="217" t="str">
        <f>IFERROR(VLOOKUP(B1470, SourceData!$U$3:$V$190, 2, FALSE), "")</f>
        <v/>
      </c>
      <c r="D1470" s="240"/>
      <c r="E1470" s="241"/>
      <c r="F1470" s="248"/>
      <c r="G1470" s="207"/>
      <c r="H1470" s="209"/>
      <c r="I1470" s="209"/>
      <c r="J1470" s="209"/>
      <c r="K1470" s="208" t="str">
        <f>IF(Errors!$I1470=0,SourceData!$B$42,VLOOKUP(Errors!$I1470,SourceData!$A$2:$B$40,2,FALSE))</f>
        <v>Please select ERROR CODE column "I"</v>
      </c>
      <c r="L1470" s="207" t="str">
        <f>IF(Errors!$I1470=0,
    'List of Error Codes'!$E$29,
    IFERROR(VLOOKUP(Errors!$I1470, 'List of Error Codes'!D1469:I1499, 6, FALSE), 'List of Error Codes'!$E$29)
)</f>
        <v>Please select ERROR CODE column "I"</v>
      </c>
      <c r="M1470" s="209"/>
      <c r="N1470" s="209"/>
      <c r="O1470" s="209"/>
      <c r="P1470" s="209"/>
      <c r="Q1470" s="209"/>
      <c r="R1470" s="217"/>
      <c r="S1470" s="217"/>
      <c r="T1470" s="217"/>
      <c r="U1470" s="199"/>
      <c r="V1470" s="200"/>
      <c r="W1470" s="200"/>
      <c r="X1470" s="200"/>
      <c r="Y1470" s="200"/>
      <c r="Z1470" s="200"/>
      <c r="AA1470" s="201"/>
      <c r="AB1470" s="200"/>
      <c r="AC1470" s="200"/>
    </row>
    <row r="1471" ht="15.75" customHeight="1">
      <c r="A1471" s="210">
        <f t="shared" si="1"/>
        <v>1469</v>
      </c>
      <c r="B1471" s="217"/>
      <c r="C1471" s="217" t="str">
        <f>IFERROR(VLOOKUP(B1471, SourceData!$U$3:$V$190, 2, FALSE), "")</f>
        <v/>
      </c>
      <c r="D1471" s="240"/>
      <c r="E1471" s="241"/>
      <c r="F1471" s="248"/>
      <c r="G1471" s="207"/>
      <c r="H1471" s="209"/>
      <c r="I1471" s="209"/>
      <c r="J1471" s="209"/>
      <c r="K1471" s="208" t="str">
        <f>IF(Errors!$I1471=0,SourceData!$B$42,VLOOKUP(Errors!$I1471,SourceData!$A$2:$B$40,2,FALSE))</f>
        <v>Please select ERROR CODE column "I"</v>
      </c>
      <c r="L1471" s="207" t="str">
        <f>IF(Errors!$I1471=0,
    'List of Error Codes'!$E$29,
    IFERROR(VLOOKUP(Errors!$I1471, 'List of Error Codes'!D1470:I1500, 6, FALSE), 'List of Error Codes'!$E$29)
)</f>
        <v>Please select ERROR CODE column "I"</v>
      </c>
      <c r="M1471" s="209"/>
      <c r="N1471" s="209"/>
      <c r="O1471" s="209"/>
      <c r="P1471" s="209"/>
      <c r="Q1471" s="209"/>
      <c r="R1471" s="217"/>
      <c r="S1471" s="217"/>
      <c r="T1471" s="217"/>
      <c r="U1471" s="199"/>
      <c r="V1471" s="200"/>
      <c r="W1471" s="200"/>
      <c r="X1471" s="200"/>
      <c r="Y1471" s="200"/>
      <c r="Z1471" s="200"/>
      <c r="AA1471" s="201"/>
      <c r="AB1471" s="200"/>
      <c r="AC1471" s="200"/>
    </row>
    <row r="1472" ht="15.75" customHeight="1">
      <c r="A1472" s="210">
        <f t="shared" si="1"/>
        <v>1470</v>
      </c>
      <c r="B1472" s="217"/>
      <c r="C1472" s="217" t="str">
        <f>IFERROR(VLOOKUP(B1472, SourceData!$U$3:$V$190, 2, FALSE), "")</f>
        <v/>
      </c>
      <c r="D1472" s="240"/>
      <c r="E1472" s="241"/>
      <c r="F1472" s="248"/>
      <c r="G1472" s="207"/>
      <c r="H1472" s="209"/>
      <c r="I1472" s="209"/>
      <c r="J1472" s="209"/>
      <c r="K1472" s="208" t="str">
        <f>IF(Errors!$I1472=0,SourceData!$B$42,VLOOKUP(Errors!$I1472,SourceData!$A$2:$B$40,2,FALSE))</f>
        <v>Please select ERROR CODE column "I"</v>
      </c>
      <c r="L1472" s="207" t="str">
        <f>IF(Errors!$I1472=0,
    'List of Error Codes'!$E$29,
    IFERROR(VLOOKUP(Errors!$I1472, 'List of Error Codes'!D1471:I1501, 6, FALSE), 'List of Error Codes'!$E$29)
)</f>
        <v>Please select ERROR CODE column "I"</v>
      </c>
      <c r="M1472" s="209"/>
      <c r="N1472" s="209"/>
      <c r="O1472" s="209"/>
      <c r="P1472" s="209"/>
      <c r="Q1472" s="209"/>
      <c r="R1472" s="217"/>
      <c r="S1472" s="217"/>
      <c r="T1472" s="217"/>
      <c r="U1472" s="199"/>
      <c r="V1472" s="200"/>
      <c r="W1472" s="200"/>
      <c r="X1472" s="200"/>
      <c r="Y1472" s="200"/>
      <c r="Z1472" s="200"/>
      <c r="AA1472" s="201"/>
      <c r="AB1472" s="200"/>
      <c r="AC1472" s="200"/>
    </row>
    <row r="1473" ht="15.75" customHeight="1">
      <c r="A1473" s="210">
        <f t="shared" si="1"/>
        <v>1471</v>
      </c>
      <c r="B1473" s="217"/>
      <c r="C1473" s="217" t="str">
        <f>IFERROR(VLOOKUP(B1473, SourceData!$U$3:$V$190, 2, FALSE), "")</f>
        <v/>
      </c>
      <c r="D1473" s="240"/>
      <c r="E1473" s="241"/>
      <c r="F1473" s="248"/>
      <c r="G1473" s="207"/>
      <c r="H1473" s="209"/>
      <c r="I1473" s="209"/>
      <c r="J1473" s="209"/>
      <c r="K1473" s="208" t="str">
        <f>IF(Errors!$I1473=0,SourceData!$B$42,VLOOKUP(Errors!$I1473,SourceData!$A$2:$B$40,2,FALSE))</f>
        <v>Please select ERROR CODE column "I"</v>
      </c>
      <c r="L1473" s="207" t="str">
        <f>IF(Errors!$I1473=0,
    'List of Error Codes'!$E$29,
    IFERROR(VLOOKUP(Errors!$I1473, 'List of Error Codes'!D1472:I1502, 6, FALSE), 'List of Error Codes'!$E$29)
)</f>
        <v>Please select ERROR CODE column "I"</v>
      </c>
      <c r="M1473" s="209"/>
      <c r="N1473" s="209"/>
      <c r="O1473" s="209"/>
      <c r="P1473" s="209"/>
      <c r="Q1473" s="209"/>
      <c r="R1473" s="217"/>
      <c r="S1473" s="217"/>
      <c r="T1473" s="217"/>
      <c r="U1473" s="199"/>
      <c r="V1473" s="200"/>
      <c r="W1473" s="200"/>
      <c r="X1473" s="200"/>
      <c r="Y1473" s="200"/>
      <c r="Z1473" s="200"/>
      <c r="AA1473" s="201"/>
      <c r="AB1473" s="200"/>
      <c r="AC1473" s="200"/>
    </row>
    <row r="1474" ht="15.75" customHeight="1">
      <c r="A1474" s="210">
        <f t="shared" si="1"/>
        <v>1472</v>
      </c>
      <c r="B1474" s="217"/>
      <c r="C1474" s="217" t="str">
        <f>IFERROR(VLOOKUP(B1474, SourceData!$U$3:$V$190, 2, FALSE), "")</f>
        <v/>
      </c>
      <c r="D1474" s="240"/>
      <c r="E1474" s="241"/>
      <c r="F1474" s="248"/>
      <c r="G1474" s="207"/>
      <c r="H1474" s="209"/>
      <c r="I1474" s="209"/>
      <c r="J1474" s="209"/>
      <c r="K1474" s="208" t="str">
        <f>IF(Errors!$I1474=0,SourceData!$B$42,VLOOKUP(Errors!$I1474,SourceData!$A$2:$B$40,2,FALSE))</f>
        <v>Please select ERROR CODE column "I"</v>
      </c>
      <c r="L1474" s="207" t="str">
        <f>IF(Errors!$I1474=0,
    'List of Error Codes'!$E$29,
    IFERROR(VLOOKUP(Errors!$I1474, 'List of Error Codes'!D1473:I1503, 6, FALSE), 'List of Error Codes'!$E$29)
)</f>
        <v>Please select ERROR CODE column "I"</v>
      </c>
      <c r="M1474" s="209"/>
      <c r="N1474" s="209"/>
      <c r="O1474" s="209"/>
      <c r="P1474" s="209"/>
      <c r="Q1474" s="209"/>
      <c r="R1474" s="217"/>
      <c r="S1474" s="217"/>
      <c r="T1474" s="217"/>
      <c r="U1474" s="199"/>
      <c r="V1474" s="200"/>
      <c r="W1474" s="200"/>
      <c r="X1474" s="200"/>
      <c r="Y1474" s="200"/>
      <c r="Z1474" s="200"/>
      <c r="AA1474" s="201"/>
      <c r="AB1474" s="200"/>
      <c r="AC1474" s="200"/>
    </row>
    <row r="1475" ht="15.75" customHeight="1">
      <c r="A1475" s="210">
        <f t="shared" si="1"/>
        <v>1473</v>
      </c>
      <c r="B1475" s="217"/>
      <c r="C1475" s="217" t="str">
        <f>IFERROR(VLOOKUP(B1475, SourceData!$U$3:$V$190, 2, FALSE), "")</f>
        <v/>
      </c>
      <c r="D1475" s="240"/>
      <c r="E1475" s="241"/>
      <c r="F1475" s="248"/>
      <c r="G1475" s="207"/>
      <c r="H1475" s="209"/>
      <c r="I1475" s="209"/>
      <c r="J1475" s="209"/>
      <c r="K1475" s="208" t="str">
        <f>IF(Errors!$I1475=0,SourceData!$B$42,VLOOKUP(Errors!$I1475,SourceData!$A$2:$B$40,2,FALSE))</f>
        <v>Please select ERROR CODE column "I"</v>
      </c>
      <c r="L1475" s="207" t="str">
        <f>IF(Errors!$I1475=0,
    'List of Error Codes'!$E$29,
    IFERROR(VLOOKUP(Errors!$I1475, 'List of Error Codes'!D1474:I1504, 6, FALSE), 'List of Error Codes'!$E$29)
)</f>
        <v>Please select ERROR CODE column "I"</v>
      </c>
      <c r="M1475" s="209"/>
      <c r="N1475" s="209"/>
      <c r="O1475" s="209"/>
      <c r="P1475" s="209"/>
      <c r="Q1475" s="209"/>
      <c r="R1475" s="217"/>
      <c r="S1475" s="217"/>
      <c r="T1475" s="217"/>
      <c r="U1475" s="199"/>
      <c r="V1475" s="200"/>
      <c r="W1475" s="200"/>
      <c r="X1475" s="200"/>
      <c r="Y1475" s="200"/>
      <c r="Z1475" s="200"/>
      <c r="AA1475" s="201"/>
      <c r="AB1475" s="200"/>
      <c r="AC1475" s="200"/>
    </row>
    <row r="1476" ht="15.75" customHeight="1">
      <c r="A1476" s="210">
        <f t="shared" si="1"/>
        <v>1474</v>
      </c>
      <c r="B1476" s="217"/>
      <c r="C1476" s="217" t="str">
        <f>IFERROR(VLOOKUP(B1476, SourceData!$U$3:$V$190, 2, FALSE), "")</f>
        <v/>
      </c>
      <c r="D1476" s="240"/>
      <c r="E1476" s="241"/>
      <c r="F1476" s="248"/>
      <c r="G1476" s="207"/>
      <c r="H1476" s="209"/>
      <c r="I1476" s="209"/>
      <c r="J1476" s="209"/>
      <c r="K1476" s="208" t="str">
        <f>IF(Errors!$I1476=0,SourceData!$B$42,VLOOKUP(Errors!$I1476,SourceData!$A$2:$B$40,2,FALSE))</f>
        <v>Please select ERROR CODE column "I"</v>
      </c>
      <c r="L1476" s="207" t="str">
        <f>IF(Errors!$I1476=0,
    'List of Error Codes'!$E$29,
    IFERROR(VLOOKUP(Errors!$I1476, 'List of Error Codes'!D1475:I1505, 6, FALSE), 'List of Error Codes'!$E$29)
)</f>
        <v>Please select ERROR CODE column "I"</v>
      </c>
      <c r="M1476" s="209"/>
      <c r="N1476" s="209"/>
      <c r="O1476" s="209"/>
      <c r="P1476" s="209"/>
      <c r="Q1476" s="209"/>
      <c r="R1476" s="217"/>
      <c r="S1476" s="217"/>
      <c r="T1476" s="217"/>
      <c r="U1476" s="199"/>
      <c r="V1476" s="200"/>
      <c r="W1476" s="200"/>
      <c r="X1476" s="200"/>
      <c r="Y1476" s="200"/>
      <c r="Z1476" s="200"/>
      <c r="AA1476" s="201"/>
      <c r="AB1476" s="200"/>
      <c r="AC1476" s="200"/>
    </row>
    <row r="1477" ht="15.75" customHeight="1">
      <c r="A1477" s="210">
        <f t="shared" si="1"/>
        <v>1475</v>
      </c>
      <c r="B1477" s="217"/>
      <c r="C1477" s="217" t="str">
        <f>IFERROR(VLOOKUP(B1477, SourceData!$U$3:$V$190, 2, FALSE), "")</f>
        <v/>
      </c>
      <c r="D1477" s="240"/>
      <c r="E1477" s="241"/>
      <c r="F1477" s="248"/>
      <c r="G1477" s="207"/>
      <c r="H1477" s="209"/>
      <c r="I1477" s="209"/>
      <c r="J1477" s="209"/>
      <c r="K1477" s="208" t="str">
        <f>IF(Errors!$I1477=0,SourceData!$B$42,VLOOKUP(Errors!$I1477,SourceData!$A$2:$B$40,2,FALSE))</f>
        <v>Please select ERROR CODE column "I"</v>
      </c>
      <c r="L1477" s="207" t="str">
        <f>IF(Errors!$I1477=0,
    'List of Error Codes'!$E$29,
    IFERROR(VLOOKUP(Errors!$I1477, 'List of Error Codes'!D1476:I1506, 6, FALSE), 'List of Error Codes'!$E$29)
)</f>
        <v>Please select ERROR CODE column "I"</v>
      </c>
      <c r="M1477" s="209"/>
      <c r="N1477" s="209"/>
      <c r="O1477" s="209"/>
      <c r="P1477" s="209"/>
      <c r="Q1477" s="209"/>
      <c r="R1477" s="217"/>
      <c r="S1477" s="217"/>
      <c r="T1477" s="217"/>
      <c r="U1477" s="199"/>
      <c r="V1477" s="200"/>
      <c r="W1477" s="200"/>
      <c r="X1477" s="200"/>
      <c r="Y1477" s="200"/>
      <c r="Z1477" s="200"/>
      <c r="AA1477" s="201"/>
      <c r="AB1477" s="200"/>
      <c r="AC1477" s="200"/>
    </row>
    <row r="1478" ht="15.75" customHeight="1">
      <c r="A1478" s="210">
        <f t="shared" si="1"/>
        <v>1476</v>
      </c>
      <c r="B1478" s="217"/>
      <c r="C1478" s="217" t="str">
        <f>IFERROR(VLOOKUP(B1478, SourceData!$U$3:$V$190, 2, FALSE), "")</f>
        <v/>
      </c>
      <c r="D1478" s="240"/>
      <c r="E1478" s="241"/>
      <c r="F1478" s="248"/>
      <c r="G1478" s="207"/>
      <c r="H1478" s="209"/>
      <c r="I1478" s="209"/>
      <c r="J1478" s="209"/>
      <c r="K1478" s="208" t="str">
        <f>IF(Errors!$I1478=0,SourceData!$B$42,VLOOKUP(Errors!$I1478,SourceData!$A$2:$B$40,2,FALSE))</f>
        <v>Please select ERROR CODE column "I"</v>
      </c>
      <c r="L1478" s="207" t="str">
        <f>IF(Errors!$I1478=0,
    'List of Error Codes'!$E$29,
    IFERROR(VLOOKUP(Errors!$I1478, 'List of Error Codes'!D1477:I1507, 6, FALSE), 'List of Error Codes'!$E$29)
)</f>
        <v>Please select ERROR CODE column "I"</v>
      </c>
      <c r="M1478" s="209"/>
      <c r="N1478" s="209"/>
      <c r="O1478" s="209"/>
      <c r="P1478" s="209"/>
      <c r="Q1478" s="209"/>
      <c r="R1478" s="217"/>
      <c r="S1478" s="217"/>
      <c r="T1478" s="217"/>
      <c r="U1478" s="199"/>
      <c r="V1478" s="200"/>
      <c r="W1478" s="200"/>
      <c r="X1478" s="200"/>
      <c r="Y1478" s="200"/>
      <c r="Z1478" s="200"/>
      <c r="AA1478" s="201"/>
      <c r="AB1478" s="200"/>
      <c r="AC1478" s="200"/>
    </row>
    <row r="1479" ht="15.75" customHeight="1">
      <c r="A1479" s="210">
        <f t="shared" si="1"/>
        <v>1477</v>
      </c>
      <c r="B1479" s="217"/>
      <c r="C1479" s="217" t="str">
        <f>IFERROR(VLOOKUP(B1479, SourceData!$U$3:$V$190, 2, FALSE), "")</f>
        <v/>
      </c>
      <c r="D1479" s="240"/>
      <c r="E1479" s="241"/>
      <c r="F1479" s="248"/>
      <c r="G1479" s="207"/>
      <c r="H1479" s="209"/>
      <c r="I1479" s="209"/>
      <c r="J1479" s="209"/>
      <c r="K1479" s="208" t="str">
        <f>IF(Errors!$I1479=0,SourceData!$B$42,VLOOKUP(Errors!$I1479,SourceData!$A$2:$B$40,2,FALSE))</f>
        <v>Please select ERROR CODE column "I"</v>
      </c>
      <c r="L1479" s="207" t="str">
        <f>IF(Errors!$I1479=0,
    'List of Error Codes'!$E$29,
    IFERROR(VLOOKUP(Errors!$I1479, 'List of Error Codes'!D1478:I1508, 6, FALSE), 'List of Error Codes'!$E$29)
)</f>
        <v>Please select ERROR CODE column "I"</v>
      </c>
      <c r="M1479" s="209"/>
      <c r="N1479" s="209"/>
      <c r="O1479" s="209"/>
      <c r="P1479" s="209"/>
      <c r="Q1479" s="209"/>
      <c r="R1479" s="217"/>
      <c r="S1479" s="217"/>
      <c r="T1479" s="217"/>
      <c r="U1479" s="199"/>
      <c r="V1479" s="200"/>
      <c r="W1479" s="200"/>
      <c r="X1479" s="200"/>
      <c r="Y1479" s="200"/>
      <c r="Z1479" s="200"/>
      <c r="AA1479" s="201"/>
      <c r="AB1479" s="200"/>
      <c r="AC1479" s="200"/>
    </row>
    <row r="1480" ht="15.75" customHeight="1">
      <c r="A1480" s="210">
        <f t="shared" si="1"/>
        <v>1478</v>
      </c>
      <c r="B1480" s="217"/>
      <c r="C1480" s="217" t="str">
        <f>IFERROR(VLOOKUP(B1480, SourceData!$U$3:$V$190, 2, FALSE), "")</f>
        <v/>
      </c>
      <c r="D1480" s="240"/>
      <c r="E1480" s="241"/>
      <c r="F1480" s="248"/>
      <c r="G1480" s="207"/>
      <c r="H1480" s="209"/>
      <c r="I1480" s="209"/>
      <c r="J1480" s="209"/>
      <c r="K1480" s="208" t="str">
        <f>IF(Errors!$I1480=0,SourceData!$B$42,VLOOKUP(Errors!$I1480,SourceData!$A$2:$B$40,2,FALSE))</f>
        <v>Please select ERROR CODE column "I"</v>
      </c>
      <c r="L1480" s="207" t="str">
        <f>IF(Errors!$I1480=0,
    'List of Error Codes'!$E$29,
    IFERROR(VLOOKUP(Errors!$I1480, 'List of Error Codes'!D1479:I1509, 6, FALSE), 'List of Error Codes'!$E$29)
)</f>
        <v>Please select ERROR CODE column "I"</v>
      </c>
      <c r="M1480" s="209"/>
      <c r="N1480" s="209"/>
      <c r="O1480" s="209"/>
      <c r="P1480" s="209"/>
      <c r="Q1480" s="209"/>
      <c r="R1480" s="217"/>
      <c r="S1480" s="217"/>
      <c r="T1480" s="217"/>
      <c r="U1480" s="199"/>
      <c r="V1480" s="200"/>
      <c r="W1480" s="200"/>
      <c r="X1480" s="200"/>
      <c r="Y1480" s="200"/>
      <c r="Z1480" s="200"/>
      <c r="AA1480" s="201"/>
      <c r="AB1480" s="200"/>
      <c r="AC1480" s="200"/>
    </row>
    <row r="1481" ht="15.75" customHeight="1">
      <c r="A1481" s="210">
        <f t="shared" si="1"/>
        <v>1479</v>
      </c>
      <c r="B1481" s="217"/>
      <c r="C1481" s="217" t="str">
        <f>IFERROR(VLOOKUP(B1481, SourceData!$U$3:$V$190, 2, FALSE), "")</f>
        <v/>
      </c>
      <c r="D1481" s="240"/>
      <c r="E1481" s="241"/>
      <c r="F1481" s="248"/>
      <c r="G1481" s="207"/>
      <c r="H1481" s="209"/>
      <c r="I1481" s="209"/>
      <c r="J1481" s="209"/>
      <c r="K1481" s="208" t="str">
        <f>IF(Errors!$I1481=0,SourceData!$B$42,VLOOKUP(Errors!$I1481,SourceData!$A$2:$B$40,2,FALSE))</f>
        <v>Please select ERROR CODE column "I"</v>
      </c>
      <c r="L1481" s="207" t="str">
        <f>IF(Errors!$I1481=0,
    'List of Error Codes'!$E$29,
    IFERROR(VLOOKUP(Errors!$I1481, 'List of Error Codes'!D1480:I1510, 6, FALSE), 'List of Error Codes'!$E$29)
)</f>
        <v>Please select ERROR CODE column "I"</v>
      </c>
      <c r="M1481" s="209"/>
      <c r="N1481" s="209"/>
      <c r="O1481" s="209"/>
      <c r="P1481" s="209"/>
      <c r="Q1481" s="209"/>
      <c r="R1481" s="217"/>
      <c r="S1481" s="217"/>
      <c r="T1481" s="217"/>
      <c r="U1481" s="199"/>
      <c r="V1481" s="200"/>
      <c r="W1481" s="200"/>
      <c r="X1481" s="200"/>
      <c r="Y1481" s="200"/>
      <c r="Z1481" s="200"/>
      <c r="AA1481" s="201"/>
      <c r="AB1481" s="200"/>
      <c r="AC1481" s="200"/>
    </row>
    <row r="1482" ht="15.75" customHeight="1">
      <c r="A1482" s="210">
        <f t="shared" si="1"/>
        <v>1480</v>
      </c>
      <c r="B1482" s="217"/>
      <c r="C1482" s="217" t="str">
        <f>IFERROR(VLOOKUP(B1482, SourceData!$U$3:$V$190, 2, FALSE), "")</f>
        <v/>
      </c>
      <c r="D1482" s="240"/>
      <c r="E1482" s="241"/>
      <c r="F1482" s="248"/>
      <c r="G1482" s="207"/>
      <c r="H1482" s="209"/>
      <c r="I1482" s="209"/>
      <c r="J1482" s="209"/>
      <c r="K1482" s="208" t="str">
        <f>IF(Errors!$I1482=0,SourceData!$B$42,VLOOKUP(Errors!$I1482,SourceData!$A$2:$B$40,2,FALSE))</f>
        <v>Please select ERROR CODE column "I"</v>
      </c>
      <c r="L1482" s="207" t="str">
        <f>IF(Errors!$I1482=0,
    'List of Error Codes'!$E$29,
    IFERROR(VLOOKUP(Errors!$I1482, 'List of Error Codes'!D1481:I1511, 6, FALSE), 'List of Error Codes'!$E$29)
)</f>
        <v>Please select ERROR CODE column "I"</v>
      </c>
      <c r="M1482" s="209"/>
      <c r="N1482" s="209"/>
      <c r="O1482" s="209"/>
      <c r="P1482" s="209"/>
      <c r="Q1482" s="209"/>
      <c r="R1482" s="217"/>
      <c r="S1482" s="217"/>
      <c r="T1482" s="217"/>
      <c r="U1482" s="199"/>
      <c r="V1482" s="200"/>
      <c r="W1482" s="200"/>
      <c r="X1482" s="200"/>
      <c r="Y1482" s="200"/>
      <c r="Z1482" s="200"/>
      <c r="AA1482" s="201"/>
      <c r="AB1482" s="200"/>
      <c r="AC1482" s="200"/>
    </row>
    <row r="1483" ht="15.75" customHeight="1">
      <c r="A1483" s="210">
        <f t="shared" si="1"/>
        <v>1481</v>
      </c>
      <c r="B1483" s="217"/>
      <c r="C1483" s="217" t="str">
        <f>IFERROR(VLOOKUP(B1483, SourceData!$U$3:$V$190, 2, FALSE), "")</f>
        <v/>
      </c>
      <c r="D1483" s="240"/>
      <c r="E1483" s="241"/>
      <c r="F1483" s="248"/>
      <c r="G1483" s="207"/>
      <c r="H1483" s="209"/>
      <c r="I1483" s="209"/>
      <c r="J1483" s="209"/>
      <c r="K1483" s="208" t="str">
        <f>IF(Errors!$I1483=0,SourceData!$B$42,VLOOKUP(Errors!$I1483,SourceData!$A$2:$B$40,2,FALSE))</f>
        <v>Please select ERROR CODE column "I"</v>
      </c>
      <c r="L1483" s="207" t="str">
        <f>IF(Errors!$I1483=0,
    'List of Error Codes'!$E$29,
    IFERROR(VLOOKUP(Errors!$I1483, 'List of Error Codes'!D1482:I1512, 6, FALSE), 'List of Error Codes'!$E$29)
)</f>
        <v>Please select ERROR CODE column "I"</v>
      </c>
      <c r="M1483" s="209"/>
      <c r="N1483" s="209"/>
      <c r="O1483" s="209"/>
      <c r="P1483" s="209"/>
      <c r="Q1483" s="209"/>
      <c r="R1483" s="217"/>
      <c r="S1483" s="217"/>
      <c r="T1483" s="217"/>
      <c r="U1483" s="199"/>
      <c r="V1483" s="200"/>
      <c r="W1483" s="200"/>
      <c r="X1483" s="200"/>
      <c r="Y1483" s="200"/>
      <c r="Z1483" s="200"/>
      <c r="AA1483" s="201"/>
      <c r="AB1483" s="200"/>
      <c r="AC1483" s="200"/>
    </row>
    <row r="1484" ht="15.75" customHeight="1">
      <c r="A1484" s="210">
        <f t="shared" si="1"/>
        <v>1482</v>
      </c>
      <c r="B1484" s="217"/>
      <c r="C1484" s="217" t="str">
        <f>IFERROR(VLOOKUP(B1484, SourceData!$U$3:$V$190, 2, FALSE), "")</f>
        <v/>
      </c>
      <c r="D1484" s="240"/>
      <c r="E1484" s="241"/>
      <c r="F1484" s="248"/>
      <c r="G1484" s="207"/>
      <c r="H1484" s="209"/>
      <c r="I1484" s="209"/>
      <c r="J1484" s="209"/>
      <c r="K1484" s="208" t="str">
        <f>IF(Errors!$I1484=0,SourceData!$B$42,VLOOKUP(Errors!$I1484,SourceData!$A$2:$B$40,2,FALSE))</f>
        <v>Please select ERROR CODE column "I"</v>
      </c>
      <c r="L1484" s="207" t="str">
        <f>IF(Errors!$I1484=0,
    'List of Error Codes'!$E$29,
    IFERROR(VLOOKUP(Errors!$I1484, 'List of Error Codes'!D1483:I1513, 6, FALSE), 'List of Error Codes'!$E$29)
)</f>
        <v>Please select ERROR CODE column "I"</v>
      </c>
      <c r="M1484" s="209"/>
      <c r="N1484" s="209"/>
      <c r="O1484" s="209"/>
      <c r="P1484" s="209"/>
      <c r="Q1484" s="209"/>
      <c r="R1484" s="217"/>
      <c r="S1484" s="217"/>
      <c r="T1484" s="217"/>
      <c r="U1484" s="199"/>
      <c r="V1484" s="200"/>
      <c r="W1484" s="200"/>
      <c r="X1484" s="200"/>
      <c r="Y1484" s="200"/>
      <c r="Z1484" s="200"/>
      <c r="AA1484" s="201"/>
      <c r="AB1484" s="200"/>
      <c r="AC1484" s="200"/>
    </row>
    <row r="1485" ht="15.75" customHeight="1">
      <c r="A1485" s="210">
        <f t="shared" si="1"/>
        <v>1483</v>
      </c>
      <c r="B1485" s="217"/>
      <c r="C1485" s="217" t="str">
        <f>IFERROR(VLOOKUP(B1485, SourceData!$U$3:$V$190, 2, FALSE), "")</f>
        <v/>
      </c>
      <c r="D1485" s="240"/>
      <c r="E1485" s="241"/>
      <c r="F1485" s="248"/>
      <c r="G1485" s="207"/>
      <c r="H1485" s="209"/>
      <c r="I1485" s="209"/>
      <c r="J1485" s="209"/>
      <c r="K1485" s="208" t="str">
        <f>IF(Errors!$I1485=0,SourceData!$B$42,VLOOKUP(Errors!$I1485,SourceData!$A$2:$B$40,2,FALSE))</f>
        <v>Please select ERROR CODE column "I"</v>
      </c>
      <c r="L1485" s="207" t="str">
        <f>IF(Errors!$I1485=0,
    'List of Error Codes'!$E$29,
    IFERROR(VLOOKUP(Errors!$I1485, 'List of Error Codes'!D1484:I1514, 6, FALSE), 'List of Error Codes'!$E$29)
)</f>
        <v>Please select ERROR CODE column "I"</v>
      </c>
      <c r="M1485" s="209"/>
      <c r="N1485" s="209"/>
      <c r="O1485" s="209"/>
      <c r="P1485" s="209"/>
      <c r="Q1485" s="209"/>
      <c r="R1485" s="217"/>
      <c r="S1485" s="217"/>
      <c r="T1485" s="217"/>
      <c r="U1485" s="199"/>
      <c r="V1485" s="200"/>
      <c r="W1485" s="200"/>
      <c r="X1485" s="200"/>
      <c r="Y1485" s="200"/>
      <c r="Z1485" s="200"/>
      <c r="AA1485" s="201"/>
      <c r="AB1485" s="200"/>
      <c r="AC1485" s="200"/>
    </row>
    <row r="1486" ht="15.75" customHeight="1">
      <c r="A1486" s="210">
        <f t="shared" si="1"/>
        <v>1484</v>
      </c>
      <c r="B1486" s="217"/>
      <c r="C1486" s="217" t="str">
        <f>IFERROR(VLOOKUP(B1486, SourceData!$U$3:$V$190, 2, FALSE), "")</f>
        <v/>
      </c>
      <c r="D1486" s="240"/>
      <c r="E1486" s="241"/>
      <c r="F1486" s="248"/>
      <c r="G1486" s="207"/>
      <c r="H1486" s="209"/>
      <c r="I1486" s="209"/>
      <c r="J1486" s="209"/>
      <c r="K1486" s="208" t="str">
        <f>IF(Errors!$I1486=0,SourceData!$B$42,VLOOKUP(Errors!$I1486,SourceData!$A$2:$B$40,2,FALSE))</f>
        <v>Please select ERROR CODE column "I"</v>
      </c>
      <c r="L1486" s="207" t="str">
        <f>IF(Errors!$I1486=0,
    'List of Error Codes'!$E$29,
    IFERROR(VLOOKUP(Errors!$I1486, 'List of Error Codes'!D1485:I1515, 6, FALSE), 'List of Error Codes'!$E$29)
)</f>
        <v>Please select ERROR CODE column "I"</v>
      </c>
      <c r="M1486" s="209"/>
      <c r="N1486" s="209"/>
      <c r="O1486" s="209"/>
      <c r="P1486" s="209"/>
      <c r="Q1486" s="209"/>
      <c r="R1486" s="217"/>
      <c r="S1486" s="217"/>
      <c r="T1486" s="217"/>
      <c r="U1486" s="199"/>
      <c r="V1486" s="200"/>
      <c r="W1486" s="200"/>
      <c r="X1486" s="200"/>
      <c r="Y1486" s="200"/>
      <c r="Z1486" s="200"/>
      <c r="AA1486" s="201"/>
      <c r="AB1486" s="200"/>
      <c r="AC1486" s="200"/>
    </row>
    <row r="1487" ht="15.75" customHeight="1">
      <c r="A1487" s="210">
        <f t="shared" si="1"/>
        <v>1485</v>
      </c>
      <c r="B1487" s="217"/>
      <c r="C1487" s="217" t="str">
        <f>IFERROR(VLOOKUP(B1487, SourceData!$U$3:$V$190, 2, FALSE), "")</f>
        <v/>
      </c>
      <c r="D1487" s="240"/>
      <c r="E1487" s="241"/>
      <c r="F1487" s="248"/>
      <c r="G1487" s="207"/>
      <c r="H1487" s="209"/>
      <c r="I1487" s="209"/>
      <c r="J1487" s="209"/>
      <c r="K1487" s="208" t="str">
        <f>IF(Errors!$I1487=0,SourceData!$B$42,VLOOKUP(Errors!$I1487,SourceData!$A$2:$B$40,2,FALSE))</f>
        <v>Please select ERROR CODE column "I"</v>
      </c>
      <c r="L1487" s="207" t="str">
        <f>IF(Errors!$I1487=0,
    'List of Error Codes'!$E$29,
    IFERROR(VLOOKUP(Errors!$I1487, 'List of Error Codes'!D1486:I1516, 6, FALSE), 'List of Error Codes'!$E$29)
)</f>
        <v>Please select ERROR CODE column "I"</v>
      </c>
      <c r="M1487" s="209"/>
      <c r="N1487" s="209"/>
      <c r="O1487" s="209"/>
      <c r="P1487" s="209"/>
      <c r="Q1487" s="209"/>
      <c r="R1487" s="217"/>
      <c r="S1487" s="217"/>
      <c r="T1487" s="217"/>
      <c r="U1487" s="199"/>
      <c r="V1487" s="200"/>
      <c r="W1487" s="200"/>
      <c r="X1487" s="200"/>
      <c r="Y1487" s="200"/>
      <c r="Z1487" s="200"/>
      <c r="AA1487" s="201"/>
      <c r="AB1487" s="200"/>
      <c r="AC1487" s="200"/>
    </row>
    <row r="1488" ht="15.75" customHeight="1">
      <c r="A1488" s="210">
        <f t="shared" si="1"/>
        <v>1486</v>
      </c>
      <c r="B1488" s="217"/>
      <c r="C1488" s="217" t="str">
        <f>IFERROR(VLOOKUP(B1488, SourceData!$U$3:$V$190, 2, FALSE), "")</f>
        <v/>
      </c>
      <c r="D1488" s="240"/>
      <c r="E1488" s="241"/>
      <c r="F1488" s="248"/>
      <c r="G1488" s="207"/>
      <c r="H1488" s="209"/>
      <c r="I1488" s="209"/>
      <c r="J1488" s="209"/>
      <c r="K1488" s="208" t="str">
        <f>IF(Errors!$I1488=0,SourceData!$B$42,VLOOKUP(Errors!$I1488,SourceData!$A$2:$B$40,2,FALSE))</f>
        <v>Please select ERROR CODE column "I"</v>
      </c>
      <c r="L1488" s="207" t="str">
        <f>IF(Errors!$I1488=0,
    'List of Error Codes'!$E$29,
    IFERROR(VLOOKUP(Errors!$I1488, 'List of Error Codes'!D1487:I1517, 6, FALSE), 'List of Error Codes'!$E$29)
)</f>
        <v>Please select ERROR CODE column "I"</v>
      </c>
      <c r="M1488" s="209"/>
      <c r="N1488" s="209"/>
      <c r="O1488" s="209"/>
      <c r="P1488" s="209"/>
      <c r="Q1488" s="209"/>
      <c r="R1488" s="217"/>
      <c r="S1488" s="217"/>
      <c r="T1488" s="217"/>
      <c r="U1488" s="199"/>
      <c r="V1488" s="200"/>
      <c r="W1488" s="200"/>
      <c r="X1488" s="200"/>
      <c r="Y1488" s="200"/>
      <c r="Z1488" s="200"/>
      <c r="AA1488" s="201"/>
      <c r="AB1488" s="200"/>
      <c r="AC1488" s="200"/>
    </row>
    <row r="1489" ht="15.75" customHeight="1">
      <c r="A1489" s="210">
        <f t="shared" si="1"/>
        <v>1487</v>
      </c>
      <c r="B1489" s="217"/>
      <c r="C1489" s="217" t="str">
        <f>IFERROR(VLOOKUP(B1489, SourceData!$U$3:$V$190, 2, FALSE), "")</f>
        <v/>
      </c>
      <c r="D1489" s="240"/>
      <c r="E1489" s="241"/>
      <c r="F1489" s="248"/>
      <c r="G1489" s="207"/>
      <c r="H1489" s="209"/>
      <c r="I1489" s="209"/>
      <c r="J1489" s="209"/>
      <c r="K1489" s="208" t="str">
        <f>IF(Errors!$I1489=0,SourceData!$B$42,VLOOKUP(Errors!$I1489,SourceData!$A$2:$B$40,2,FALSE))</f>
        <v>Please select ERROR CODE column "I"</v>
      </c>
      <c r="L1489" s="207" t="str">
        <f>IF(Errors!$I1489=0,
    'List of Error Codes'!$E$29,
    IFERROR(VLOOKUP(Errors!$I1489, 'List of Error Codes'!D1488:I1518, 6, FALSE), 'List of Error Codes'!$E$29)
)</f>
        <v>Please select ERROR CODE column "I"</v>
      </c>
      <c r="M1489" s="209"/>
      <c r="N1489" s="209"/>
      <c r="O1489" s="209"/>
      <c r="P1489" s="209"/>
      <c r="Q1489" s="209"/>
      <c r="R1489" s="217"/>
      <c r="S1489" s="217"/>
      <c r="T1489" s="217"/>
      <c r="U1489" s="199"/>
      <c r="V1489" s="200"/>
      <c r="W1489" s="200"/>
      <c r="X1489" s="200"/>
      <c r="Y1489" s="200"/>
      <c r="Z1489" s="200"/>
      <c r="AA1489" s="201"/>
      <c r="AB1489" s="200"/>
      <c r="AC1489" s="200"/>
    </row>
    <row r="1490" ht="15.75" customHeight="1">
      <c r="A1490" s="210">
        <f t="shared" si="1"/>
        <v>1488</v>
      </c>
      <c r="B1490" s="217"/>
      <c r="C1490" s="217" t="str">
        <f>IFERROR(VLOOKUP(B1490, SourceData!$U$3:$V$190, 2, FALSE), "")</f>
        <v/>
      </c>
      <c r="D1490" s="240"/>
      <c r="E1490" s="241"/>
      <c r="F1490" s="248"/>
      <c r="G1490" s="207"/>
      <c r="H1490" s="209"/>
      <c r="I1490" s="209"/>
      <c r="J1490" s="209"/>
      <c r="K1490" s="208" t="str">
        <f>IF(Errors!$I1490=0,SourceData!$B$42,VLOOKUP(Errors!$I1490,SourceData!$A$2:$B$40,2,FALSE))</f>
        <v>Please select ERROR CODE column "I"</v>
      </c>
      <c r="L1490" s="207" t="str">
        <f>IF(Errors!$I1490=0,
    'List of Error Codes'!$E$29,
    IFERROR(VLOOKUP(Errors!$I1490, 'List of Error Codes'!D1489:I1519, 6, FALSE), 'List of Error Codes'!$E$29)
)</f>
        <v>Please select ERROR CODE column "I"</v>
      </c>
      <c r="M1490" s="209"/>
      <c r="N1490" s="209"/>
      <c r="O1490" s="209"/>
      <c r="P1490" s="209"/>
      <c r="Q1490" s="209"/>
      <c r="R1490" s="217"/>
      <c r="S1490" s="217"/>
      <c r="T1490" s="217"/>
      <c r="U1490" s="199"/>
      <c r="V1490" s="200"/>
      <c r="W1490" s="200"/>
      <c r="X1490" s="200"/>
      <c r="Y1490" s="200"/>
      <c r="Z1490" s="200"/>
      <c r="AA1490" s="201"/>
      <c r="AB1490" s="200"/>
      <c r="AC1490" s="200"/>
    </row>
    <row r="1491" ht="15.75" customHeight="1">
      <c r="A1491" s="210">
        <f t="shared" si="1"/>
        <v>1489</v>
      </c>
      <c r="B1491" s="217"/>
      <c r="C1491" s="217" t="str">
        <f>IFERROR(VLOOKUP(B1491, SourceData!$U$3:$V$190, 2, FALSE), "")</f>
        <v/>
      </c>
      <c r="D1491" s="240"/>
      <c r="E1491" s="241"/>
      <c r="F1491" s="248"/>
      <c r="G1491" s="207"/>
      <c r="H1491" s="209"/>
      <c r="I1491" s="209"/>
      <c r="J1491" s="209"/>
      <c r="K1491" s="208" t="str">
        <f>IF(Errors!$I1491=0,SourceData!$B$42,VLOOKUP(Errors!$I1491,SourceData!$A$2:$B$40,2,FALSE))</f>
        <v>Please select ERROR CODE column "I"</v>
      </c>
      <c r="L1491" s="207" t="str">
        <f>IF(Errors!$I1491=0,
    'List of Error Codes'!$E$29,
    IFERROR(VLOOKUP(Errors!$I1491, 'List of Error Codes'!D1490:I1520, 6, FALSE), 'List of Error Codes'!$E$29)
)</f>
        <v>Please select ERROR CODE column "I"</v>
      </c>
      <c r="M1491" s="209"/>
      <c r="N1491" s="209"/>
      <c r="O1491" s="209"/>
      <c r="P1491" s="209"/>
      <c r="Q1491" s="209"/>
      <c r="R1491" s="217"/>
      <c r="S1491" s="217"/>
      <c r="T1491" s="217"/>
      <c r="U1491" s="199"/>
      <c r="V1491" s="200"/>
      <c r="W1491" s="200"/>
      <c r="X1491" s="200"/>
      <c r="Y1491" s="200"/>
      <c r="Z1491" s="200"/>
      <c r="AA1491" s="201"/>
      <c r="AB1491" s="200"/>
      <c r="AC1491" s="200"/>
    </row>
    <row r="1492" ht="15.75" customHeight="1">
      <c r="A1492" s="210">
        <f t="shared" si="1"/>
        <v>1490</v>
      </c>
      <c r="B1492" s="217"/>
      <c r="C1492" s="217" t="str">
        <f>IFERROR(VLOOKUP(B1492, SourceData!$U$3:$V$190, 2, FALSE), "")</f>
        <v/>
      </c>
      <c r="D1492" s="240"/>
      <c r="E1492" s="241"/>
      <c r="F1492" s="248"/>
      <c r="G1492" s="207"/>
      <c r="H1492" s="209"/>
      <c r="I1492" s="209"/>
      <c r="J1492" s="209"/>
      <c r="K1492" s="208" t="str">
        <f>IF(Errors!$I1492=0,SourceData!$B$42,VLOOKUP(Errors!$I1492,SourceData!$A$2:$B$40,2,FALSE))</f>
        <v>Please select ERROR CODE column "I"</v>
      </c>
      <c r="L1492" s="207" t="str">
        <f>IF(Errors!$I1492=0,
    'List of Error Codes'!$E$29,
    IFERROR(VLOOKUP(Errors!$I1492, 'List of Error Codes'!D1491:I1521, 6, FALSE), 'List of Error Codes'!$E$29)
)</f>
        <v>Please select ERROR CODE column "I"</v>
      </c>
      <c r="M1492" s="209"/>
      <c r="N1492" s="209"/>
      <c r="O1492" s="209"/>
      <c r="P1492" s="209"/>
      <c r="Q1492" s="209"/>
      <c r="R1492" s="217"/>
      <c r="S1492" s="217"/>
      <c r="T1492" s="217"/>
      <c r="U1492" s="199"/>
      <c r="V1492" s="200"/>
      <c r="W1492" s="200"/>
      <c r="X1492" s="200"/>
      <c r="Y1492" s="200"/>
      <c r="Z1492" s="200"/>
      <c r="AA1492" s="201"/>
      <c r="AB1492" s="200"/>
      <c r="AC1492" s="200"/>
    </row>
    <row r="1493" ht="15.75" customHeight="1">
      <c r="A1493" s="210">
        <f t="shared" si="1"/>
        <v>1491</v>
      </c>
      <c r="B1493" s="217"/>
      <c r="C1493" s="217" t="str">
        <f>IFERROR(VLOOKUP(B1493, SourceData!$U$3:$V$190, 2, FALSE), "")</f>
        <v/>
      </c>
      <c r="D1493" s="240"/>
      <c r="E1493" s="241"/>
      <c r="F1493" s="248"/>
      <c r="G1493" s="207"/>
      <c r="H1493" s="209"/>
      <c r="I1493" s="209"/>
      <c r="J1493" s="209"/>
      <c r="K1493" s="208" t="str">
        <f>IF(Errors!$I1493=0,SourceData!$B$42,VLOOKUP(Errors!$I1493,SourceData!$A$2:$B$40,2,FALSE))</f>
        <v>Please select ERROR CODE column "I"</v>
      </c>
      <c r="L1493" s="207" t="str">
        <f>IF(Errors!$I1493=0,
    'List of Error Codes'!$E$29,
    IFERROR(VLOOKUP(Errors!$I1493, 'List of Error Codes'!D1492:I1522, 6, FALSE), 'List of Error Codes'!$E$29)
)</f>
        <v>Please select ERROR CODE column "I"</v>
      </c>
      <c r="M1493" s="209"/>
      <c r="N1493" s="209"/>
      <c r="O1493" s="209"/>
      <c r="P1493" s="209"/>
      <c r="Q1493" s="209"/>
      <c r="R1493" s="217"/>
      <c r="S1493" s="217"/>
      <c r="T1493" s="217"/>
      <c r="U1493" s="199"/>
      <c r="V1493" s="200"/>
      <c r="W1493" s="200"/>
      <c r="X1493" s="200"/>
      <c r="Y1493" s="200"/>
      <c r="Z1493" s="200"/>
      <c r="AA1493" s="201"/>
      <c r="AB1493" s="200"/>
      <c r="AC1493" s="200"/>
    </row>
    <row r="1494" ht="15.75" customHeight="1">
      <c r="A1494" s="210">
        <f t="shared" si="1"/>
        <v>1492</v>
      </c>
      <c r="B1494" s="217"/>
      <c r="C1494" s="217" t="str">
        <f>IFERROR(VLOOKUP(B1494, SourceData!$U$3:$V$190, 2, FALSE), "")</f>
        <v/>
      </c>
      <c r="D1494" s="240"/>
      <c r="E1494" s="241"/>
      <c r="F1494" s="248"/>
      <c r="G1494" s="207"/>
      <c r="H1494" s="209"/>
      <c r="I1494" s="209"/>
      <c r="J1494" s="209"/>
      <c r="K1494" s="208" t="str">
        <f>IF(Errors!$I1494=0,SourceData!$B$42,VLOOKUP(Errors!$I1494,SourceData!$A$2:$B$40,2,FALSE))</f>
        <v>Please select ERROR CODE column "I"</v>
      </c>
      <c r="L1494" s="207" t="str">
        <f>IF(Errors!$I1494=0,
    'List of Error Codes'!$E$29,
    IFERROR(VLOOKUP(Errors!$I1494, 'List of Error Codes'!D1493:I1523, 6, FALSE), 'List of Error Codes'!$E$29)
)</f>
        <v>Please select ERROR CODE column "I"</v>
      </c>
      <c r="M1494" s="209"/>
      <c r="N1494" s="209"/>
      <c r="O1494" s="209"/>
      <c r="P1494" s="209"/>
      <c r="Q1494" s="209"/>
      <c r="R1494" s="217"/>
      <c r="S1494" s="217"/>
      <c r="T1494" s="217"/>
      <c r="U1494" s="199"/>
      <c r="V1494" s="200"/>
      <c r="W1494" s="200"/>
      <c r="X1494" s="200"/>
      <c r="Y1494" s="200"/>
      <c r="Z1494" s="200"/>
      <c r="AA1494" s="201"/>
      <c r="AB1494" s="200"/>
      <c r="AC1494" s="200"/>
    </row>
    <row r="1495" ht="15.75" customHeight="1">
      <c r="A1495" s="210">
        <f t="shared" si="1"/>
        <v>1493</v>
      </c>
      <c r="B1495" s="217"/>
      <c r="C1495" s="217" t="str">
        <f>IFERROR(VLOOKUP(B1495, SourceData!$U$3:$V$190, 2, FALSE), "")</f>
        <v/>
      </c>
      <c r="D1495" s="240"/>
      <c r="E1495" s="241"/>
      <c r="F1495" s="248"/>
      <c r="G1495" s="207"/>
      <c r="H1495" s="209"/>
      <c r="I1495" s="209"/>
      <c r="J1495" s="209"/>
      <c r="K1495" s="208" t="str">
        <f>IF(Errors!$I1495=0,SourceData!$B$42,VLOOKUP(Errors!$I1495,SourceData!$A$2:$B$40,2,FALSE))</f>
        <v>Please select ERROR CODE column "I"</v>
      </c>
      <c r="L1495" s="207" t="str">
        <f>IF(Errors!$I1495=0,
    'List of Error Codes'!$E$29,
    IFERROR(VLOOKUP(Errors!$I1495, 'List of Error Codes'!D1494:I1524, 6, FALSE), 'List of Error Codes'!$E$29)
)</f>
        <v>Please select ERROR CODE column "I"</v>
      </c>
      <c r="M1495" s="209"/>
      <c r="N1495" s="209"/>
      <c r="O1495" s="209"/>
      <c r="P1495" s="209"/>
      <c r="Q1495" s="209"/>
      <c r="R1495" s="217"/>
      <c r="S1495" s="217"/>
      <c r="T1495" s="217"/>
      <c r="U1495" s="199"/>
      <c r="V1495" s="200"/>
      <c r="W1495" s="200"/>
      <c r="X1495" s="200"/>
      <c r="Y1495" s="200"/>
      <c r="Z1495" s="200"/>
      <c r="AA1495" s="201"/>
      <c r="AB1495" s="200"/>
      <c r="AC1495" s="200"/>
    </row>
    <row r="1496" ht="15.75" customHeight="1">
      <c r="A1496" s="210">
        <f t="shared" si="1"/>
        <v>1494</v>
      </c>
      <c r="B1496" s="217"/>
      <c r="C1496" s="217" t="str">
        <f>IFERROR(VLOOKUP(B1496, SourceData!$U$3:$V$190, 2, FALSE), "")</f>
        <v/>
      </c>
      <c r="D1496" s="240"/>
      <c r="E1496" s="241"/>
      <c r="F1496" s="248"/>
      <c r="G1496" s="207"/>
      <c r="H1496" s="209"/>
      <c r="I1496" s="209"/>
      <c r="J1496" s="209"/>
      <c r="K1496" s="208" t="str">
        <f>IF(Errors!$I1496=0,SourceData!$B$42,VLOOKUP(Errors!$I1496,SourceData!$A$2:$B$40,2,FALSE))</f>
        <v>Please select ERROR CODE column "I"</v>
      </c>
      <c r="L1496" s="207" t="str">
        <f>IF(Errors!$I1496=0,
    'List of Error Codes'!$E$29,
    IFERROR(VLOOKUP(Errors!$I1496, 'List of Error Codes'!D1495:I1525, 6, FALSE), 'List of Error Codes'!$E$29)
)</f>
        <v>Please select ERROR CODE column "I"</v>
      </c>
      <c r="M1496" s="209"/>
      <c r="N1496" s="209"/>
      <c r="O1496" s="209"/>
      <c r="P1496" s="209"/>
      <c r="Q1496" s="209"/>
      <c r="R1496" s="217"/>
      <c r="S1496" s="217"/>
      <c r="T1496" s="217"/>
      <c r="U1496" s="199"/>
      <c r="V1496" s="200"/>
      <c r="W1496" s="200"/>
      <c r="X1496" s="200"/>
      <c r="Y1496" s="200"/>
      <c r="Z1496" s="200"/>
      <c r="AA1496" s="201"/>
      <c r="AB1496" s="200"/>
      <c r="AC1496" s="200"/>
    </row>
    <row r="1497" ht="15.75" customHeight="1">
      <c r="A1497" s="210">
        <f t="shared" si="1"/>
        <v>1495</v>
      </c>
      <c r="B1497" s="217"/>
      <c r="C1497" s="217" t="str">
        <f>IFERROR(VLOOKUP(B1497, SourceData!$U$3:$V$190, 2, FALSE), "")</f>
        <v/>
      </c>
      <c r="D1497" s="240"/>
      <c r="E1497" s="241"/>
      <c r="F1497" s="248"/>
      <c r="G1497" s="207"/>
      <c r="H1497" s="209"/>
      <c r="I1497" s="209"/>
      <c r="J1497" s="209"/>
      <c r="K1497" s="208" t="str">
        <f>IF(Errors!$I1497=0,SourceData!$B$42,VLOOKUP(Errors!$I1497,SourceData!$A$2:$B$40,2,FALSE))</f>
        <v>Please select ERROR CODE column "I"</v>
      </c>
      <c r="L1497" s="207" t="str">
        <f>IF(Errors!$I1497=0,
    'List of Error Codes'!$E$29,
    IFERROR(VLOOKUP(Errors!$I1497, 'List of Error Codes'!D1496:I1526, 6, FALSE), 'List of Error Codes'!$E$29)
)</f>
        <v>Please select ERROR CODE column "I"</v>
      </c>
      <c r="M1497" s="209"/>
      <c r="N1497" s="209"/>
      <c r="O1497" s="209"/>
      <c r="P1497" s="209"/>
      <c r="Q1497" s="209"/>
      <c r="R1497" s="217"/>
      <c r="S1497" s="217"/>
      <c r="T1497" s="217"/>
      <c r="U1497" s="199"/>
      <c r="V1497" s="200"/>
      <c r="W1497" s="200"/>
      <c r="X1497" s="200"/>
      <c r="Y1497" s="200"/>
      <c r="Z1497" s="200"/>
      <c r="AA1497" s="201"/>
      <c r="AB1497" s="200"/>
      <c r="AC1497" s="200"/>
    </row>
    <row r="1498" ht="15.75" customHeight="1">
      <c r="A1498" s="210">
        <f t="shared" si="1"/>
        <v>1496</v>
      </c>
      <c r="B1498" s="217"/>
      <c r="C1498" s="217" t="str">
        <f>IFERROR(VLOOKUP(B1498, SourceData!$U$3:$V$190, 2, FALSE), "")</f>
        <v/>
      </c>
      <c r="D1498" s="240"/>
      <c r="E1498" s="241"/>
      <c r="F1498" s="248"/>
      <c r="G1498" s="207"/>
      <c r="H1498" s="209"/>
      <c r="I1498" s="209"/>
      <c r="J1498" s="209"/>
      <c r="K1498" s="208" t="str">
        <f>IF(Errors!$I1498=0,SourceData!$B$42,VLOOKUP(Errors!$I1498,SourceData!$A$2:$B$40,2,FALSE))</f>
        <v>Please select ERROR CODE column "I"</v>
      </c>
      <c r="L1498" s="207" t="str">
        <f>IF(Errors!$I1498=0,
    'List of Error Codes'!$E$29,
    IFERROR(VLOOKUP(Errors!$I1498, 'List of Error Codes'!D1497:I1527, 6, FALSE), 'List of Error Codes'!$E$29)
)</f>
        <v>Please select ERROR CODE column "I"</v>
      </c>
      <c r="M1498" s="209"/>
      <c r="N1498" s="209"/>
      <c r="O1498" s="209"/>
      <c r="P1498" s="209"/>
      <c r="Q1498" s="209"/>
      <c r="R1498" s="217"/>
      <c r="S1498" s="217"/>
      <c r="T1498" s="217"/>
      <c r="U1498" s="199"/>
      <c r="V1498" s="200"/>
      <c r="W1498" s="200"/>
      <c r="X1498" s="200"/>
      <c r="Y1498" s="200"/>
      <c r="Z1498" s="200"/>
      <c r="AA1498" s="201"/>
      <c r="AB1498" s="200"/>
      <c r="AC1498" s="200"/>
    </row>
    <row r="1499" ht="15.75" customHeight="1">
      <c r="A1499" s="210">
        <f t="shared" si="1"/>
        <v>1497</v>
      </c>
      <c r="B1499" s="217"/>
      <c r="C1499" s="217" t="str">
        <f>IFERROR(VLOOKUP(B1499, SourceData!$U$3:$V$190, 2, FALSE), "")</f>
        <v/>
      </c>
      <c r="D1499" s="240"/>
      <c r="E1499" s="241"/>
      <c r="F1499" s="248"/>
      <c r="G1499" s="207"/>
      <c r="H1499" s="209"/>
      <c r="I1499" s="209"/>
      <c r="J1499" s="209"/>
      <c r="K1499" s="208" t="str">
        <f>IF(Errors!$I1499=0,SourceData!$B$42,VLOOKUP(Errors!$I1499,SourceData!$A$2:$B$40,2,FALSE))</f>
        <v>Please select ERROR CODE column "I"</v>
      </c>
      <c r="L1499" s="207" t="str">
        <f>IF(Errors!$I1499=0,
    'List of Error Codes'!$E$29,
    IFERROR(VLOOKUP(Errors!$I1499, 'List of Error Codes'!D1498:I1528, 6, FALSE), 'List of Error Codes'!$E$29)
)</f>
        <v>Please select ERROR CODE column "I"</v>
      </c>
      <c r="M1499" s="209"/>
      <c r="N1499" s="209"/>
      <c r="O1499" s="209"/>
      <c r="P1499" s="209"/>
      <c r="Q1499" s="209"/>
      <c r="R1499" s="217"/>
      <c r="S1499" s="217"/>
      <c r="T1499" s="217"/>
      <c r="U1499" s="199"/>
      <c r="V1499" s="200"/>
      <c r="W1499" s="200"/>
      <c r="X1499" s="200"/>
      <c r="Y1499" s="200"/>
      <c r="Z1499" s="200"/>
      <c r="AA1499" s="201"/>
      <c r="AB1499" s="200"/>
      <c r="AC1499" s="200"/>
    </row>
    <row r="1500" ht="15.75" customHeight="1">
      <c r="A1500" s="210">
        <f t="shared" si="1"/>
        <v>1498</v>
      </c>
      <c r="B1500" s="217"/>
      <c r="C1500" s="217" t="str">
        <f>IFERROR(VLOOKUP(B1500, SourceData!$U$3:$V$190, 2, FALSE), "")</f>
        <v/>
      </c>
      <c r="D1500" s="240"/>
      <c r="E1500" s="241"/>
      <c r="F1500" s="248"/>
      <c r="G1500" s="207"/>
      <c r="H1500" s="209"/>
      <c r="I1500" s="209"/>
      <c r="J1500" s="209"/>
      <c r="K1500" s="208" t="str">
        <f>IF(Errors!$I1500=0,SourceData!$B$42,VLOOKUP(Errors!$I1500,SourceData!$A$2:$B$40,2,FALSE))</f>
        <v>Please select ERROR CODE column "I"</v>
      </c>
      <c r="L1500" s="207" t="str">
        <f>IF(Errors!$I1500=0,
    'List of Error Codes'!$E$29,
    IFERROR(VLOOKUP(Errors!$I1500, 'List of Error Codes'!D1499:I1529, 6, FALSE), 'List of Error Codes'!$E$29)
)</f>
        <v>Please select ERROR CODE column "I"</v>
      </c>
      <c r="M1500" s="209"/>
      <c r="N1500" s="209"/>
      <c r="O1500" s="209"/>
      <c r="P1500" s="209"/>
      <c r="Q1500" s="209"/>
      <c r="R1500" s="217"/>
      <c r="S1500" s="217"/>
      <c r="T1500" s="217"/>
      <c r="U1500" s="199"/>
      <c r="V1500" s="200"/>
      <c r="W1500" s="200"/>
      <c r="X1500" s="200"/>
      <c r="Y1500" s="200"/>
      <c r="Z1500" s="200"/>
      <c r="AA1500" s="201"/>
      <c r="AB1500" s="200"/>
      <c r="AC1500" s="200"/>
    </row>
    <row r="1501" ht="15.75" customHeight="1">
      <c r="A1501" s="210">
        <f t="shared" si="1"/>
        <v>1499</v>
      </c>
      <c r="B1501" s="217"/>
      <c r="C1501" s="217" t="str">
        <f>IFERROR(VLOOKUP(B1501, SourceData!$U$3:$V$190, 2, FALSE), "")</f>
        <v/>
      </c>
      <c r="D1501" s="240"/>
      <c r="E1501" s="241"/>
      <c r="F1501" s="248"/>
      <c r="G1501" s="207"/>
      <c r="H1501" s="209"/>
      <c r="I1501" s="209"/>
      <c r="J1501" s="209"/>
      <c r="K1501" s="208" t="str">
        <f>IF(Errors!$I1501=0,SourceData!$B$42,VLOOKUP(Errors!$I1501,SourceData!$A$2:$B$40,2,FALSE))</f>
        <v>Please select ERROR CODE column "I"</v>
      </c>
      <c r="L1501" s="207" t="str">
        <f>IF(Errors!$I1501=0,
    'List of Error Codes'!$E$29,
    IFERROR(VLOOKUP(Errors!$I1501, 'List of Error Codes'!D1500:I1530, 6, FALSE), 'List of Error Codes'!$E$29)
)</f>
        <v>Please select ERROR CODE column "I"</v>
      </c>
      <c r="M1501" s="209"/>
      <c r="N1501" s="209"/>
      <c r="O1501" s="209"/>
      <c r="P1501" s="209"/>
      <c r="Q1501" s="209"/>
      <c r="R1501" s="217"/>
      <c r="S1501" s="217"/>
      <c r="T1501" s="217"/>
      <c r="U1501" s="199"/>
      <c r="V1501" s="200"/>
      <c r="W1501" s="200"/>
      <c r="X1501" s="200"/>
      <c r="Y1501" s="200"/>
      <c r="Z1501" s="200"/>
      <c r="AA1501" s="201"/>
      <c r="AB1501" s="200"/>
      <c r="AC1501" s="200"/>
    </row>
    <row r="1502" ht="15.75" customHeight="1">
      <c r="A1502" s="210">
        <f t="shared" si="1"/>
        <v>1500</v>
      </c>
      <c r="B1502" s="217"/>
      <c r="C1502" s="217" t="str">
        <f>IFERROR(VLOOKUP(B1502, SourceData!$U$3:$V$190, 2, FALSE), "")</f>
        <v/>
      </c>
      <c r="D1502" s="240"/>
      <c r="E1502" s="241"/>
      <c r="F1502" s="248"/>
      <c r="G1502" s="207"/>
      <c r="H1502" s="209"/>
      <c r="I1502" s="209"/>
      <c r="J1502" s="209"/>
      <c r="K1502" s="208" t="str">
        <f>IF(Errors!$I1502=0,SourceData!$B$42,VLOOKUP(Errors!$I1502,SourceData!$A$2:$B$40,2,FALSE))</f>
        <v>Please select ERROR CODE column "I"</v>
      </c>
      <c r="L1502" s="207" t="str">
        <f>IF(Errors!$I1502=0,
    'List of Error Codes'!$E$29,
    IFERROR(VLOOKUP(Errors!$I1502, 'List of Error Codes'!D1501:I1531, 6, FALSE), 'List of Error Codes'!$E$29)
)</f>
        <v>Please select ERROR CODE column "I"</v>
      </c>
      <c r="M1502" s="209"/>
      <c r="N1502" s="209"/>
      <c r="O1502" s="209"/>
      <c r="P1502" s="209"/>
      <c r="Q1502" s="209"/>
      <c r="R1502" s="217"/>
      <c r="S1502" s="217"/>
      <c r="T1502" s="217"/>
      <c r="U1502" s="199"/>
      <c r="V1502" s="200"/>
      <c r="W1502" s="200"/>
      <c r="X1502" s="200"/>
      <c r="Y1502" s="200"/>
      <c r="Z1502" s="200"/>
      <c r="AA1502" s="201"/>
      <c r="AB1502" s="200"/>
      <c r="AC1502" s="200"/>
    </row>
    <row r="1503" ht="15.75" customHeight="1">
      <c r="A1503" s="210">
        <f t="shared" si="1"/>
        <v>1501</v>
      </c>
      <c r="B1503" s="217"/>
      <c r="C1503" s="217" t="str">
        <f>IFERROR(VLOOKUP(B1503, SourceData!$U$3:$V$190, 2, FALSE), "")</f>
        <v/>
      </c>
      <c r="D1503" s="240"/>
      <c r="E1503" s="241"/>
      <c r="F1503" s="248"/>
      <c r="G1503" s="207"/>
      <c r="H1503" s="209"/>
      <c r="I1503" s="209"/>
      <c r="J1503" s="209"/>
      <c r="K1503" s="208" t="str">
        <f>IF(Errors!$I1503=0,SourceData!$B$42,VLOOKUP(Errors!$I1503,SourceData!$A$2:$B$40,2,FALSE))</f>
        <v>Please select ERROR CODE column "I"</v>
      </c>
      <c r="L1503" s="207" t="str">
        <f>IF(Errors!$I1503=0,
    'List of Error Codes'!$E$29,
    IFERROR(VLOOKUP(Errors!$I1503, 'List of Error Codes'!D1502:I1532, 6, FALSE), 'List of Error Codes'!$E$29)
)</f>
        <v>Please select ERROR CODE column "I"</v>
      </c>
      <c r="M1503" s="209"/>
      <c r="N1503" s="209"/>
      <c r="O1503" s="209"/>
      <c r="P1503" s="209"/>
      <c r="Q1503" s="209"/>
      <c r="R1503" s="217"/>
      <c r="S1503" s="217"/>
      <c r="T1503" s="217"/>
      <c r="U1503" s="199"/>
      <c r="V1503" s="200"/>
      <c r="W1503" s="200"/>
      <c r="X1503" s="200"/>
      <c r="Y1503" s="200"/>
      <c r="Z1503" s="200"/>
      <c r="AA1503" s="201"/>
      <c r="AB1503" s="200"/>
      <c r="AC1503" s="200"/>
    </row>
    <row r="1504" ht="15.75" customHeight="1">
      <c r="A1504" s="210">
        <f t="shared" si="1"/>
        <v>1502</v>
      </c>
      <c r="B1504" s="217"/>
      <c r="C1504" s="217" t="str">
        <f>IFERROR(VLOOKUP(B1504, SourceData!$U$3:$V$190, 2, FALSE), "")</f>
        <v/>
      </c>
      <c r="D1504" s="240"/>
      <c r="E1504" s="241"/>
      <c r="F1504" s="248"/>
      <c r="G1504" s="207"/>
      <c r="H1504" s="209"/>
      <c r="I1504" s="209"/>
      <c r="J1504" s="209"/>
      <c r="K1504" s="208" t="str">
        <f>IF(Errors!$I1504=0,SourceData!$B$42,VLOOKUP(Errors!$I1504,SourceData!$A$2:$B$40,2,FALSE))</f>
        <v>Please select ERROR CODE column "I"</v>
      </c>
      <c r="L1504" s="207" t="str">
        <f>IF(Errors!$I1504=0,
    'List of Error Codes'!$E$29,
    IFERROR(VLOOKUP(Errors!$I1504, 'List of Error Codes'!D1503:I1533, 6, FALSE), 'List of Error Codes'!$E$29)
)</f>
        <v>Please select ERROR CODE column "I"</v>
      </c>
      <c r="M1504" s="209"/>
      <c r="N1504" s="209"/>
      <c r="O1504" s="209"/>
      <c r="P1504" s="209"/>
      <c r="Q1504" s="209"/>
      <c r="R1504" s="217"/>
      <c r="S1504" s="217"/>
      <c r="T1504" s="217"/>
      <c r="U1504" s="199"/>
      <c r="V1504" s="200"/>
      <c r="W1504" s="200"/>
      <c r="X1504" s="200"/>
      <c r="Y1504" s="200"/>
      <c r="Z1504" s="200"/>
      <c r="AA1504" s="201"/>
      <c r="AB1504" s="200"/>
      <c r="AC1504" s="200"/>
    </row>
    <row r="1505" ht="15.75" customHeight="1">
      <c r="A1505" s="210">
        <f t="shared" si="1"/>
        <v>1503</v>
      </c>
      <c r="B1505" s="217"/>
      <c r="C1505" s="217" t="str">
        <f>IFERROR(VLOOKUP(B1505, SourceData!$U$3:$V$190, 2, FALSE), "")</f>
        <v/>
      </c>
      <c r="D1505" s="240"/>
      <c r="E1505" s="241"/>
      <c r="F1505" s="248"/>
      <c r="G1505" s="207"/>
      <c r="H1505" s="209"/>
      <c r="I1505" s="209"/>
      <c r="J1505" s="209"/>
      <c r="K1505" s="208" t="str">
        <f>IF(Errors!$I1505=0,SourceData!$B$42,VLOOKUP(Errors!$I1505,SourceData!$A$2:$B$40,2,FALSE))</f>
        <v>Please select ERROR CODE column "I"</v>
      </c>
      <c r="L1505" s="207" t="str">
        <f>IF(Errors!$I1505=0,
    'List of Error Codes'!$E$29,
    IFERROR(VLOOKUP(Errors!$I1505, 'List of Error Codes'!D1504:I1534, 6, FALSE), 'List of Error Codes'!$E$29)
)</f>
        <v>Please select ERROR CODE column "I"</v>
      </c>
      <c r="M1505" s="209"/>
      <c r="N1505" s="209"/>
      <c r="O1505" s="209"/>
      <c r="P1505" s="209"/>
      <c r="Q1505" s="209"/>
      <c r="R1505" s="217"/>
      <c r="S1505" s="217"/>
      <c r="T1505" s="217"/>
      <c r="U1505" s="199"/>
      <c r="V1505" s="200"/>
      <c r="W1505" s="200"/>
      <c r="X1505" s="200"/>
      <c r="Y1505" s="200"/>
      <c r="Z1505" s="200"/>
      <c r="AA1505" s="201"/>
      <c r="AB1505" s="200"/>
      <c r="AC1505" s="200"/>
    </row>
    <row r="1506" ht="15.75" customHeight="1">
      <c r="A1506" s="210">
        <f t="shared" si="1"/>
        <v>1504</v>
      </c>
      <c r="B1506" s="217"/>
      <c r="C1506" s="217" t="str">
        <f>IFERROR(VLOOKUP(B1506, SourceData!$U$3:$V$190, 2, FALSE), "")</f>
        <v/>
      </c>
      <c r="D1506" s="240"/>
      <c r="E1506" s="241"/>
      <c r="F1506" s="248"/>
      <c r="G1506" s="207"/>
      <c r="H1506" s="209"/>
      <c r="I1506" s="209"/>
      <c r="J1506" s="209"/>
      <c r="K1506" s="208" t="str">
        <f>IF(Errors!$I1506=0,SourceData!$B$42,VLOOKUP(Errors!$I1506,SourceData!$A$2:$B$40,2,FALSE))</f>
        <v>Please select ERROR CODE column "I"</v>
      </c>
      <c r="L1506" s="207" t="str">
        <f>IF(Errors!$I1506=0,
    'List of Error Codes'!$E$29,
    IFERROR(VLOOKUP(Errors!$I1506, 'List of Error Codes'!D1505:I1535, 6, FALSE), 'List of Error Codes'!$E$29)
)</f>
        <v>Please select ERROR CODE column "I"</v>
      </c>
      <c r="M1506" s="209"/>
      <c r="N1506" s="209"/>
      <c r="O1506" s="209"/>
      <c r="P1506" s="209"/>
      <c r="Q1506" s="209"/>
      <c r="R1506" s="217"/>
      <c r="S1506" s="217"/>
      <c r="T1506" s="217"/>
      <c r="U1506" s="199"/>
      <c r="V1506" s="200"/>
      <c r="W1506" s="200"/>
      <c r="X1506" s="200"/>
      <c r="Y1506" s="200"/>
      <c r="Z1506" s="200"/>
      <c r="AA1506" s="201"/>
      <c r="AB1506" s="200"/>
      <c r="AC1506" s="200"/>
    </row>
    <row r="1507" ht="15.75" customHeight="1">
      <c r="A1507" s="210">
        <f t="shared" si="1"/>
        <v>1505</v>
      </c>
      <c r="B1507" s="217"/>
      <c r="C1507" s="217" t="str">
        <f>IFERROR(VLOOKUP(B1507, SourceData!$U$3:$V$190, 2, FALSE), "")</f>
        <v/>
      </c>
      <c r="D1507" s="240"/>
      <c r="E1507" s="241"/>
      <c r="F1507" s="248"/>
      <c r="G1507" s="207"/>
      <c r="H1507" s="209"/>
      <c r="I1507" s="209"/>
      <c r="J1507" s="209"/>
      <c r="K1507" s="208" t="str">
        <f>IF(Errors!$I1507=0,SourceData!$B$42,VLOOKUP(Errors!$I1507,SourceData!$A$2:$B$40,2,FALSE))</f>
        <v>Please select ERROR CODE column "I"</v>
      </c>
      <c r="L1507" s="207" t="str">
        <f>IF(Errors!$I1507=0,
    'List of Error Codes'!$E$29,
    IFERROR(VLOOKUP(Errors!$I1507, 'List of Error Codes'!D1506:I1536, 6, FALSE), 'List of Error Codes'!$E$29)
)</f>
        <v>Please select ERROR CODE column "I"</v>
      </c>
      <c r="M1507" s="209"/>
      <c r="N1507" s="209"/>
      <c r="O1507" s="209"/>
      <c r="P1507" s="209"/>
      <c r="Q1507" s="209"/>
      <c r="R1507" s="217"/>
      <c r="S1507" s="217"/>
      <c r="T1507" s="217"/>
      <c r="U1507" s="199"/>
      <c r="V1507" s="200"/>
      <c r="W1507" s="200"/>
      <c r="X1507" s="200"/>
      <c r="Y1507" s="200"/>
      <c r="Z1507" s="200"/>
      <c r="AA1507" s="201"/>
      <c r="AB1507" s="200"/>
      <c r="AC1507" s="200"/>
    </row>
    <row r="1508" ht="15.75" customHeight="1">
      <c r="A1508" s="210">
        <f t="shared" si="1"/>
        <v>1506</v>
      </c>
      <c r="B1508" s="217"/>
      <c r="C1508" s="217" t="str">
        <f>IFERROR(VLOOKUP(B1508, SourceData!$U$3:$V$190, 2, FALSE), "")</f>
        <v/>
      </c>
      <c r="D1508" s="240"/>
      <c r="E1508" s="241"/>
      <c r="F1508" s="248"/>
      <c r="G1508" s="207"/>
      <c r="H1508" s="209"/>
      <c r="I1508" s="209"/>
      <c r="J1508" s="209"/>
      <c r="K1508" s="208" t="str">
        <f>IF(Errors!$I1508=0,SourceData!$B$42,VLOOKUP(Errors!$I1508,SourceData!$A$2:$B$40,2,FALSE))</f>
        <v>Please select ERROR CODE column "I"</v>
      </c>
      <c r="L1508" s="207" t="str">
        <f>IF(Errors!$I1508=0,
    'List of Error Codes'!$E$29,
    IFERROR(VLOOKUP(Errors!$I1508, 'List of Error Codes'!D1507:I1537, 6, FALSE), 'List of Error Codes'!$E$29)
)</f>
        <v>Please select ERROR CODE column "I"</v>
      </c>
      <c r="M1508" s="209"/>
      <c r="N1508" s="209"/>
      <c r="O1508" s="209"/>
      <c r="P1508" s="209"/>
      <c r="Q1508" s="209"/>
      <c r="R1508" s="217"/>
      <c r="S1508" s="217"/>
      <c r="T1508" s="217"/>
      <c r="U1508" s="199"/>
      <c r="V1508" s="200"/>
      <c r="W1508" s="200"/>
      <c r="X1508" s="200"/>
      <c r="Y1508" s="200"/>
      <c r="Z1508" s="200"/>
      <c r="AA1508" s="201"/>
      <c r="AB1508" s="200"/>
      <c r="AC1508" s="200"/>
    </row>
    <row r="1509" ht="15.75" customHeight="1">
      <c r="A1509" s="210">
        <f t="shared" si="1"/>
        <v>1507</v>
      </c>
      <c r="B1509" s="217"/>
      <c r="C1509" s="217" t="str">
        <f>IFERROR(VLOOKUP(B1509, SourceData!$U$3:$V$190, 2, FALSE), "")</f>
        <v/>
      </c>
      <c r="D1509" s="240"/>
      <c r="E1509" s="241"/>
      <c r="F1509" s="248"/>
      <c r="G1509" s="207"/>
      <c r="H1509" s="209"/>
      <c r="I1509" s="209"/>
      <c r="J1509" s="209"/>
      <c r="K1509" s="208" t="str">
        <f>IF(Errors!$I1509=0,SourceData!$B$42,VLOOKUP(Errors!$I1509,SourceData!$A$2:$B$40,2,FALSE))</f>
        <v>Please select ERROR CODE column "I"</v>
      </c>
      <c r="L1509" s="207" t="str">
        <f>IF(Errors!$I1509=0,
    'List of Error Codes'!$E$29,
    IFERROR(VLOOKUP(Errors!$I1509, 'List of Error Codes'!D1508:I1538, 6, FALSE), 'List of Error Codes'!$E$29)
)</f>
        <v>Please select ERROR CODE column "I"</v>
      </c>
      <c r="M1509" s="209"/>
      <c r="N1509" s="209"/>
      <c r="O1509" s="209"/>
      <c r="P1509" s="209"/>
      <c r="Q1509" s="209"/>
      <c r="R1509" s="217"/>
      <c r="S1509" s="217"/>
      <c r="T1509" s="217"/>
      <c r="U1509" s="199"/>
      <c r="V1509" s="200"/>
      <c r="W1509" s="200"/>
      <c r="X1509" s="200"/>
      <c r="Y1509" s="200"/>
      <c r="Z1509" s="200"/>
      <c r="AA1509" s="201"/>
      <c r="AB1509" s="200"/>
      <c r="AC1509" s="200"/>
    </row>
    <row r="1510" ht="15.75" customHeight="1">
      <c r="A1510" s="210">
        <f t="shared" si="1"/>
        <v>1508</v>
      </c>
      <c r="B1510" s="217"/>
      <c r="C1510" s="217" t="str">
        <f>IFERROR(VLOOKUP(B1510, SourceData!$U$3:$V$190, 2, FALSE), "")</f>
        <v/>
      </c>
      <c r="D1510" s="240"/>
      <c r="E1510" s="241"/>
      <c r="F1510" s="248"/>
      <c r="G1510" s="207"/>
      <c r="H1510" s="209"/>
      <c r="I1510" s="209"/>
      <c r="J1510" s="209"/>
      <c r="K1510" s="208" t="str">
        <f>IF(Errors!$I1510=0,SourceData!$B$42,VLOOKUP(Errors!$I1510,SourceData!$A$2:$B$40,2,FALSE))</f>
        <v>Please select ERROR CODE column "I"</v>
      </c>
      <c r="L1510" s="207" t="str">
        <f>IF(Errors!$I1510=0,
    'List of Error Codes'!$E$29,
    IFERROR(VLOOKUP(Errors!$I1510, 'List of Error Codes'!D1509:I1539, 6, FALSE), 'List of Error Codes'!$E$29)
)</f>
        <v>Please select ERROR CODE column "I"</v>
      </c>
      <c r="M1510" s="209"/>
      <c r="N1510" s="209"/>
      <c r="O1510" s="209"/>
      <c r="P1510" s="209"/>
      <c r="Q1510" s="209"/>
      <c r="R1510" s="217"/>
      <c r="S1510" s="217"/>
      <c r="T1510" s="217"/>
      <c r="U1510" s="199"/>
      <c r="V1510" s="200"/>
      <c r="W1510" s="200"/>
      <c r="X1510" s="200"/>
      <c r="Y1510" s="200"/>
      <c r="Z1510" s="200"/>
      <c r="AA1510" s="201"/>
      <c r="AB1510" s="200"/>
      <c r="AC1510" s="200"/>
    </row>
    <row r="1511" ht="15.75" customHeight="1">
      <c r="A1511" s="210">
        <f t="shared" si="1"/>
        <v>1509</v>
      </c>
      <c r="B1511" s="217"/>
      <c r="C1511" s="217" t="str">
        <f>IFERROR(VLOOKUP(B1511, SourceData!$U$3:$V$190, 2, FALSE), "")</f>
        <v/>
      </c>
      <c r="D1511" s="240"/>
      <c r="E1511" s="241"/>
      <c r="F1511" s="248"/>
      <c r="G1511" s="207"/>
      <c r="H1511" s="209"/>
      <c r="I1511" s="209"/>
      <c r="J1511" s="209"/>
      <c r="K1511" s="208" t="str">
        <f>IF(Errors!$I1511=0,SourceData!$B$42,VLOOKUP(Errors!$I1511,SourceData!$A$2:$B$40,2,FALSE))</f>
        <v>Please select ERROR CODE column "I"</v>
      </c>
      <c r="L1511" s="207" t="str">
        <f>IF(Errors!$I1511=0,
    'List of Error Codes'!$E$29,
    IFERROR(VLOOKUP(Errors!$I1511, 'List of Error Codes'!D1510:I1540, 6, FALSE), 'List of Error Codes'!$E$29)
)</f>
        <v>Please select ERROR CODE column "I"</v>
      </c>
      <c r="M1511" s="209"/>
      <c r="N1511" s="209"/>
      <c r="O1511" s="209"/>
      <c r="P1511" s="209"/>
      <c r="Q1511" s="209"/>
      <c r="R1511" s="217"/>
      <c r="S1511" s="217"/>
      <c r="T1511" s="217"/>
      <c r="U1511" s="199"/>
      <c r="V1511" s="200"/>
      <c r="W1511" s="200"/>
      <c r="X1511" s="200"/>
      <c r="Y1511" s="200"/>
      <c r="Z1511" s="200"/>
      <c r="AA1511" s="201"/>
      <c r="AB1511" s="200"/>
      <c r="AC1511" s="200"/>
    </row>
    <row r="1512" ht="15.75" customHeight="1">
      <c r="A1512" s="210">
        <f t="shared" si="1"/>
        <v>1510</v>
      </c>
      <c r="B1512" s="217"/>
      <c r="C1512" s="217" t="str">
        <f>IFERROR(VLOOKUP(B1512, SourceData!$U$3:$V$190, 2, FALSE), "")</f>
        <v/>
      </c>
      <c r="D1512" s="240"/>
      <c r="E1512" s="241"/>
      <c r="F1512" s="248"/>
      <c r="G1512" s="207"/>
      <c r="H1512" s="209"/>
      <c r="I1512" s="209"/>
      <c r="J1512" s="209"/>
      <c r="K1512" s="208" t="str">
        <f>IF(Errors!$I1512=0,SourceData!$B$42,VLOOKUP(Errors!$I1512,SourceData!$A$2:$B$40,2,FALSE))</f>
        <v>Please select ERROR CODE column "I"</v>
      </c>
      <c r="L1512" s="207" t="str">
        <f>IF(Errors!$I1512=0,
    'List of Error Codes'!$E$29,
    IFERROR(VLOOKUP(Errors!$I1512, 'List of Error Codes'!D1511:I1541, 6, FALSE), 'List of Error Codes'!$E$29)
)</f>
        <v>Please select ERROR CODE column "I"</v>
      </c>
      <c r="M1512" s="209"/>
      <c r="N1512" s="209"/>
      <c r="O1512" s="209"/>
      <c r="P1512" s="209"/>
      <c r="Q1512" s="209"/>
      <c r="R1512" s="217"/>
      <c r="S1512" s="217"/>
      <c r="T1512" s="217"/>
      <c r="U1512" s="199"/>
      <c r="V1512" s="200"/>
      <c r="W1512" s="200"/>
      <c r="X1512" s="200"/>
      <c r="Y1512" s="200"/>
      <c r="Z1512" s="200"/>
      <c r="AA1512" s="201"/>
      <c r="AB1512" s="200"/>
      <c r="AC1512" s="200"/>
    </row>
    <row r="1513" ht="15.75" customHeight="1">
      <c r="A1513" s="210">
        <f t="shared" si="1"/>
        <v>1511</v>
      </c>
      <c r="B1513" s="217"/>
      <c r="C1513" s="217" t="str">
        <f>IFERROR(VLOOKUP(B1513, SourceData!$U$3:$V$190, 2, FALSE), "")</f>
        <v/>
      </c>
      <c r="D1513" s="240"/>
      <c r="E1513" s="241"/>
      <c r="F1513" s="248"/>
      <c r="G1513" s="207"/>
      <c r="H1513" s="209"/>
      <c r="I1513" s="209"/>
      <c r="J1513" s="209"/>
      <c r="K1513" s="208" t="str">
        <f>IF(Errors!$I1513=0,SourceData!$B$42,VLOOKUP(Errors!$I1513,SourceData!$A$2:$B$40,2,FALSE))</f>
        <v>Please select ERROR CODE column "I"</v>
      </c>
      <c r="L1513" s="207" t="str">
        <f>IF(Errors!$I1513=0,
    'List of Error Codes'!$E$29,
    IFERROR(VLOOKUP(Errors!$I1513, 'List of Error Codes'!D1512:I1542, 6, FALSE), 'List of Error Codes'!$E$29)
)</f>
        <v>Please select ERROR CODE column "I"</v>
      </c>
      <c r="M1513" s="209"/>
      <c r="N1513" s="209"/>
      <c r="O1513" s="209"/>
      <c r="P1513" s="209"/>
      <c r="Q1513" s="209"/>
      <c r="R1513" s="217"/>
      <c r="S1513" s="217"/>
      <c r="T1513" s="217"/>
      <c r="U1513" s="199"/>
      <c r="V1513" s="200"/>
      <c r="W1513" s="200"/>
      <c r="X1513" s="200"/>
      <c r="Y1513" s="200"/>
      <c r="Z1513" s="200"/>
      <c r="AA1513" s="201"/>
      <c r="AB1513" s="200"/>
      <c r="AC1513" s="200"/>
    </row>
    <row r="1514" ht="15.75" customHeight="1">
      <c r="A1514" s="210">
        <f t="shared" si="1"/>
        <v>1512</v>
      </c>
      <c r="B1514" s="217"/>
      <c r="C1514" s="217" t="str">
        <f>IFERROR(VLOOKUP(B1514, SourceData!$U$3:$V$190, 2, FALSE), "")</f>
        <v/>
      </c>
      <c r="D1514" s="240"/>
      <c r="E1514" s="241"/>
      <c r="F1514" s="248"/>
      <c r="G1514" s="207"/>
      <c r="H1514" s="209"/>
      <c r="I1514" s="209"/>
      <c r="J1514" s="209"/>
      <c r="K1514" s="208" t="str">
        <f>IF(Errors!$I1514=0,SourceData!$B$42,VLOOKUP(Errors!$I1514,SourceData!$A$2:$B$40,2,FALSE))</f>
        <v>Please select ERROR CODE column "I"</v>
      </c>
      <c r="L1514" s="207" t="str">
        <f>IF(Errors!$I1514=0,
    'List of Error Codes'!$E$29,
    IFERROR(VLOOKUP(Errors!$I1514, 'List of Error Codes'!D1513:I1543, 6, FALSE), 'List of Error Codes'!$E$29)
)</f>
        <v>Please select ERROR CODE column "I"</v>
      </c>
      <c r="M1514" s="209"/>
      <c r="N1514" s="209"/>
      <c r="O1514" s="209"/>
      <c r="P1514" s="209"/>
      <c r="Q1514" s="209"/>
      <c r="R1514" s="217"/>
      <c r="S1514" s="217"/>
      <c r="T1514" s="217"/>
      <c r="U1514" s="199"/>
      <c r="V1514" s="200"/>
      <c r="W1514" s="200"/>
      <c r="X1514" s="200"/>
      <c r="Y1514" s="200"/>
      <c r="Z1514" s="200"/>
      <c r="AA1514" s="201"/>
      <c r="AB1514" s="200"/>
      <c r="AC1514" s="200"/>
    </row>
    <row r="1515" ht="15.75" customHeight="1">
      <c r="A1515" s="210">
        <f t="shared" si="1"/>
        <v>1513</v>
      </c>
      <c r="B1515" s="217"/>
      <c r="C1515" s="217" t="str">
        <f>IFERROR(VLOOKUP(B1515, SourceData!$U$3:$V$190, 2, FALSE), "")</f>
        <v/>
      </c>
      <c r="D1515" s="240"/>
      <c r="E1515" s="241"/>
      <c r="F1515" s="248"/>
      <c r="G1515" s="207"/>
      <c r="H1515" s="209"/>
      <c r="I1515" s="209"/>
      <c r="J1515" s="209"/>
      <c r="K1515" s="208" t="str">
        <f>IF(Errors!$I1515=0,SourceData!$B$42,VLOOKUP(Errors!$I1515,SourceData!$A$2:$B$40,2,FALSE))</f>
        <v>Please select ERROR CODE column "I"</v>
      </c>
      <c r="L1515" s="207" t="str">
        <f>IF(Errors!$I1515=0,
    'List of Error Codes'!$E$29,
    IFERROR(VLOOKUP(Errors!$I1515, 'List of Error Codes'!D1514:I1544, 6, FALSE), 'List of Error Codes'!$E$29)
)</f>
        <v>Please select ERROR CODE column "I"</v>
      </c>
      <c r="M1515" s="209"/>
      <c r="N1515" s="209"/>
      <c r="O1515" s="209"/>
      <c r="P1515" s="209"/>
      <c r="Q1515" s="209"/>
      <c r="R1515" s="217"/>
      <c r="S1515" s="217"/>
      <c r="T1515" s="217"/>
      <c r="U1515" s="199"/>
      <c r="V1515" s="200"/>
      <c r="W1515" s="200"/>
      <c r="X1515" s="200"/>
      <c r="Y1515" s="200"/>
      <c r="Z1515" s="200"/>
      <c r="AA1515" s="201"/>
      <c r="AB1515" s="200"/>
      <c r="AC1515" s="200"/>
    </row>
    <row r="1516" ht="15.75" customHeight="1">
      <c r="A1516" s="210">
        <f t="shared" si="1"/>
        <v>1514</v>
      </c>
      <c r="B1516" s="217"/>
      <c r="C1516" s="217" t="str">
        <f>IFERROR(VLOOKUP(B1516, SourceData!$U$3:$V$190, 2, FALSE), "")</f>
        <v/>
      </c>
      <c r="D1516" s="240"/>
      <c r="E1516" s="241"/>
      <c r="F1516" s="248"/>
      <c r="G1516" s="207"/>
      <c r="H1516" s="209"/>
      <c r="I1516" s="209"/>
      <c r="J1516" s="209"/>
      <c r="K1516" s="208" t="str">
        <f>IF(Errors!$I1516=0,SourceData!$B$42,VLOOKUP(Errors!$I1516,SourceData!$A$2:$B$40,2,FALSE))</f>
        <v>Please select ERROR CODE column "I"</v>
      </c>
      <c r="L1516" s="207" t="str">
        <f>IF(Errors!$I1516=0,
    'List of Error Codes'!$E$29,
    IFERROR(VLOOKUP(Errors!$I1516, 'List of Error Codes'!D1515:I1545, 6, FALSE), 'List of Error Codes'!$E$29)
)</f>
        <v>Please select ERROR CODE column "I"</v>
      </c>
      <c r="M1516" s="209"/>
      <c r="N1516" s="209"/>
      <c r="O1516" s="209"/>
      <c r="P1516" s="209"/>
      <c r="Q1516" s="209"/>
      <c r="R1516" s="217"/>
      <c r="S1516" s="217"/>
      <c r="T1516" s="217"/>
      <c r="U1516" s="199"/>
      <c r="V1516" s="200"/>
      <c r="W1516" s="200"/>
      <c r="X1516" s="200"/>
      <c r="Y1516" s="200"/>
      <c r="Z1516" s="200"/>
      <c r="AA1516" s="201"/>
      <c r="AB1516" s="200"/>
      <c r="AC1516" s="200"/>
    </row>
    <row r="1517" ht="15.75" customHeight="1">
      <c r="A1517" s="210">
        <f t="shared" si="1"/>
        <v>1515</v>
      </c>
      <c r="B1517" s="217"/>
      <c r="C1517" s="217" t="str">
        <f>IFERROR(VLOOKUP(B1517, SourceData!$U$3:$V$190, 2, FALSE), "")</f>
        <v/>
      </c>
      <c r="D1517" s="240"/>
      <c r="E1517" s="241"/>
      <c r="F1517" s="248"/>
      <c r="G1517" s="207"/>
      <c r="H1517" s="209"/>
      <c r="I1517" s="209"/>
      <c r="J1517" s="209"/>
      <c r="K1517" s="208" t="str">
        <f>IF(Errors!$I1517=0,SourceData!$B$42,VLOOKUP(Errors!$I1517,SourceData!$A$2:$B$40,2,FALSE))</f>
        <v>Please select ERROR CODE column "I"</v>
      </c>
      <c r="L1517" s="207" t="str">
        <f>IF(Errors!$I1517=0,
    'List of Error Codes'!$E$29,
    IFERROR(VLOOKUP(Errors!$I1517, 'List of Error Codes'!D1516:I1546, 6, FALSE), 'List of Error Codes'!$E$29)
)</f>
        <v>Please select ERROR CODE column "I"</v>
      </c>
      <c r="M1517" s="209"/>
      <c r="N1517" s="209"/>
      <c r="O1517" s="209"/>
      <c r="P1517" s="209"/>
      <c r="Q1517" s="209"/>
      <c r="R1517" s="217"/>
      <c r="S1517" s="217"/>
      <c r="T1517" s="217"/>
      <c r="U1517" s="199"/>
      <c r="V1517" s="200"/>
      <c r="W1517" s="200"/>
      <c r="X1517" s="200"/>
      <c r="Y1517" s="200"/>
      <c r="Z1517" s="200"/>
      <c r="AA1517" s="201"/>
      <c r="AB1517" s="200"/>
      <c r="AC1517" s="200"/>
    </row>
    <row r="1518" ht="15.75" customHeight="1">
      <c r="A1518" s="210">
        <f t="shared" si="1"/>
        <v>1516</v>
      </c>
      <c r="B1518" s="217"/>
      <c r="C1518" s="217" t="str">
        <f>IFERROR(VLOOKUP(B1518, SourceData!$U$3:$V$190, 2, FALSE), "")</f>
        <v/>
      </c>
      <c r="D1518" s="240"/>
      <c r="E1518" s="241"/>
      <c r="F1518" s="248"/>
      <c r="G1518" s="207"/>
      <c r="H1518" s="209"/>
      <c r="I1518" s="209"/>
      <c r="J1518" s="209"/>
      <c r="K1518" s="208" t="str">
        <f>IF(Errors!$I1518=0,SourceData!$B$42,VLOOKUP(Errors!$I1518,SourceData!$A$2:$B$40,2,FALSE))</f>
        <v>Please select ERROR CODE column "I"</v>
      </c>
      <c r="L1518" s="207" t="str">
        <f>IF(Errors!$I1518=0,
    'List of Error Codes'!$E$29,
    IFERROR(VLOOKUP(Errors!$I1518, 'List of Error Codes'!D1517:I1547, 6, FALSE), 'List of Error Codes'!$E$29)
)</f>
        <v>Please select ERROR CODE column "I"</v>
      </c>
      <c r="M1518" s="209"/>
      <c r="N1518" s="209"/>
      <c r="O1518" s="209"/>
      <c r="P1518" s="209"/>
      <c r="Q1518" s="209"/>
      <c r="R1518" s="217"/>
      <c r="S1518" s="217"/>
      <c r="T1518" s="217"/>
      <c r="U1518" s="199"/>
      <c r="V1518" s="200"/>
      <c r="W1518" s="200"/>
      <c r="X1518" s="200"/>
      <c r="Y1518" s="200"/>
      <c r="Z1518" s="200"/>
      <c r="AA1518" s="201"/>
      <c r="AB1518" s="200"/>
      <c r="AC1518" s="200"/>
    </row>
    <row r="1519" ht="15.75" customHeight="1">
      <c r="A1519" s="210">
        <f t="shared" si="1"/>
        <v>1517</v>
      </c>
      <c r="B1519" s="217"/>
      <c r="C1519" s="217" t="str">
        <f>IFERROR(VLOOKUP(B1519, SourceData!$U$3:$V$190, 2, FALSE), "")</f>
        <v/>
      </c>
      <c r="D1519" s="240"/>
      <c r="E1519" s="241"/>
      <c r="F1519" s="248"/>
      <c r="G1519" s="207"/>
      <c r="H1519" s="209"/>
      <c r="I1519" s="209"/>
      <c r="J1519" s="209"/>
      <c r="K1519" s="208" t="str">
        <f>IF(Errors!$I1519=0,SourceData!$B$42,VLOOKUP(Errors!$I1519,SourceData!$A$2:$B$40,2,FALSE))</f>
        <v>Please select ERROR CODE column "I"</v>
      </c>
      <c r="L1519" s="207" t="str">
        <f>IF(Errors!$I1519=0,
    'List of Error Codes'!$E$29,
    IFERROR(VLOOKUP(Errors!$I1519, 'List of Error Codes'!D1518:I1548, 6, FALSE), 'List of Error Codes'!$E$29)
)</f>
        <v>Please select ERROR CODE column "I"</v>
      </c>
      <c r="M1519" s="209"/>
      <c r="N1519" s="209"/>
      <c r="O1519" s="209"/>
      <c r="P1519" s="209"/>
      <c r="Q1519" s="209"/>
      <c r="R1519" s="217"/>
      <c r="S1519" s="217"/>
      <c r="T1519" s="217"/>
      <c r="U1519" s="199"/>
      <c r="V1519" s="200"/>
      <c r="W1519" s="200"/>
      <c r="X1519" s="200"/>
      <c r="Y1519" s="200"/>
      <c r="Z1519" s="200"/>
      <c r="AA1519" s="201"/>
      <c r="AB1519" s="200"/>
      <c r="AC1519" s="200"/>
    </row>
    <row r="1520" ht="15.75" customHeight="1">
      <c r="A1520" s="210">
        <f t="shared" si="1"/>
        <v>1518</v>
      </c>
      <c r="B1520" s="217"/>
      <c r="C1520" s="217" t="str">
        <f>IFERROR(VLOOKUP(B1520, SourceData!$U$3:$V$190, 2, FALSE), "")</f>
        <v/>
      </c>
      <c r="D1520" s="240"/>
      <c r="E1520" s="241"/>
      <c r="F1520" s="248"/>
      <c r="G1520" s="207"/>
      <c r="H1520" s="209"/>
      <c r="I1520" s="209"/>
      <c r="J1520" s="209"/>
      <c r="K1520" s="208" t="str">
        <f>IF(Errors!$I1520=0,SourceData!$B$42,VLOOKUP(Errors!$I1520,SourceData!$A$2:$B$40,2,FALSE))</f>
        <v>Please select ERROR CODE column "I"</v>
      </c>
      <c r="L1520" s="207" t="str">
        <f>IF(Errors!$I1520=0,
    'List of Error Codes'!$E$29,
    IFERROR(VLOOKUP(Errors!$I1520, 'List of Error Codes'!D1519:I1549, 6, FALSE), 'List of Error Codes'!$E$29)
)</f>
        <v>Please select ERROR CODE column "I"</v>
      </c>
      <c r="M1520" s="209"/>
      <c r="N1520" s="209"/>
      <c r="O1520" s="209"/>
      <c r="P1520" s="209"/>
      <c r="Q1520" s="209"/>
      <c r="R1520" s="217"/>
      <c r="S1520" s="217"/>
      <c r="T1520" s="217"/>
      <c r="U1520" s="199"/>
      <c r="V1520" s="200"/>
      <c r="W1520" s="200"/>
      <c r="X1520" s="200"/>
      <c r="Y1520" s="200"/>
      <c r="Z1520" s="200"/>
      <c r="AA1520" s="201"/>
      <c r="AB1520" s="200"/>
      <c r="AC1520" s="200"/>
    </row>
    <row r="1521" ht="15.75" customHeight="1">
      <c r="A1521" s="210">
        <f t="shared" si="1"/>
        <v>1519</v>
      </c>
      <c r="B1521" s="217"/>
      <c r="C1521" s="217" t="str">
        <f>IFERROR(VLOOKUP(B1521, SourceData!$U$3:$V$190, 2, FALSE), "")</f>
        <v/>
      </c>
      <c r="D1521" s="240"/>
      <c r="E1521" s="241"/>
      <c r="F1521" s="248"/>
      <c r="G1521" s="207"/>
      <c r="H1521" s="209"/>
      <c r="I1521" s="209"/>
      <c r="J1521" s="209"/>
      <c r="K1521" s="208" t="str">
        <f>IF(Errors!$I1521=0,SourceData!$B$42,VLOOKUP(Errors!$I1521,SourceData!$A$2:$B$40,2,FALSE))</f>
        <v>Please select ERROR CODE column "I"</v>
      </c>
      <c r="L1521" s="207" t="str">
        <f>IF(Errors!$I1521=0,
    'List of Error Codes'!$E$29,
    IFERROR(VLOOKUP(Errors!$I1521, 'List of Error Codes'!D1520:I1550, 6, FALSE), 'List of Error Codes'!$E$29)
)</f>
        <v>Please select ERROR CODE column "I"</v>
      </c>
      <c r="M1521" s="209"/>
      <c r="N1521" s="209"/>
      <c r="O1521" s="209"/>
      <c r="P1521" s="209"/>
      <c r="Q1521" s="209"/>
      <c r="R1521" s="217"/>
      <c r="S1521" s="217"/>
      <c r="T1521" s="217"/>
      <c r="U1521" s="199"/>
      <c r="V1521" s="200"/>
      <c r="W1521" s="200"/>
      <c r="X1521" s="200"/>
      <c r="Y1521" s="200"/>
      <c r="Z1521" s="200"/>
      <c r="AA1521" s="201"/>
      <c r="AB1521" s="200"/>
      <c r="AC1521" s="200"/>
    </row>
    <row r="1522" ht="15.75" customHeight="1">
      <c r="A1522" s="210">
        <f t="shared" si="1"/>
        <v>1520</v>
      </c>
      <c r="B1522" s="217"/>
      <c r="C1522" s="217" t="str">
        <f>IFERROR(VLOOKUP(B1522, SourceData!$U$3:$V$190, 2, FALSE), "")</f>
        <v/>
      </c>
      <c r="D1522" s="240"/>
      <c r="E1522" s="241"/>
      <c r="F1522" s="248"/>
      <c r="G1522" s="207"/>
      <c r="H1522" s="209"/>
      <c r="I1522" s="209"/>
      <c r="J1522" s="209"/>
      <c r="K1522" s="208" t="str">
        <f>IF(Errors!$I1522=0,SourceData!$B$42,VLOOKUP(Errors!$I1522,SourceData!$A$2:$B$40,2,FALSE))</f>
        <v>Please select ERROR CODE column "I"</v>
      </c>
      <c r="L1522" s="207" t="str">
        <f>IF(Errors!$I1522=0,
    'List of Error Codes'!$E$29,
    IFERROR(VLOOKUP(Errors!$I1522, 'List of Error Codes'!D1521:I1551, 6, FALSE), 'List of Error Codes'!$E$29)
)</f>
        <v>Please select ERROR CODE column "I"</v>
      </c>
      <c r="M1522" s="209"/>
      <c r="N1522" s="209"/>
      <c r="O1522" s="209"/>
      <c r="P1522" s="209"/>
      <c r="Q1522" s="209"/>
      <c r="R1522" s="217"/>
      <c r="S1522" s="217"/>
      <c r="T1522" s="217"/>
      <c r="U1522" s="199"/>
      <c r="V1522" s="200"/>
      <c r="W1522" s="200"/>
      <c r="X1522" s="200"/>
      <c r="Y1522" s="200"/>
      <c r="Z1522" s="200"/>
      <c r="AA1522" s="201"/>
      <c r="AB1522" s="200"/>
      <c r="AC1522" s="200"/>
    </row>
    <row r="1523" ht="15.75" customHeight="1">
      <c r="A1523" s="210">
        <f t="shared" si="1"/>
        <v>1521</v>
      </c>
      <c r="B1523" s="217"/>
      <c r="C1523" s="217" t="str">
        <f>IFERROR(VLOOKUP(B1523, SourceData!$U$3:$V$190, 2, FALSE), "")</f>
        <v/>
      </c>
      <c r="D1523" s="240"/>
      <c r="E1523" s="241"/>
      <c r="F1523" s="248"/>
      <c r="G1523" s="207"/>
      <c r="H1523" s="209"/>
      <c r="I1523" s="209"/>
      <c r="J1523" s="209"/>
      <c r="K1523" s="208" t="str">
        <f>IF(Errors!$I1523=0,SourceData!$B$42,VLOOKUP(Errors!$I1523,SourceData!$A$2:$B$40,2,FALSE))</f>
        <v>Please select ERROR CODE column "I"</v>
      </c>
      <c r="L1523" s="207" t="str">
        <f>IF(Errors!$I1523=0,
    'List of Error Codes'!$E$29,
    IFERROR(VLOOKUP(Errors!$I1523, 'List of Error Codes'!D1522:I1552, 6, FALSE), 'List of Error Codes'!$E$29)
)</f>
        <v>Please select ERROR CODE column "I"</v>
      </c>
      <c r="M1523" s="209"/>
      <c r="N1523" s="209"/>
      <c r="O1523" s="209"/>
      <c r="P1523" s="209"/>
      <c r="Q1523" s="209"/>
      <c r="R1523" s="217"/>
      <c r="S1523" s="217"/>
      <c r="T1523" s="217"/>
      <c r="U1523" s="199"/>
      <c r="V1523" s="200"/>
      <c r="W1523" s="200"/>
      <c r="X1523" s="200"/>
      <c r="Y1523" s="200"/>
      <c r="Z1523" s="200"/>
      <c r="AA1523" s="201"/>
      <c r="AB1523" s="200"/>
      <c r="AC1523" s="200"/>
    </row>
    <row r="1524" ht="15.75" customHeight="1">
      <c r="A1524" s="210">
        <f t="shared" si="1"/>
        <v>1522</v>
      </c>
      <c r="B1524" s="217"/>
      <c r="C1524" s="217" t="str">
        <f>IFERROR(VLOOKUP(B1524, SourceData!$U$3:$V$190, 2, FALSE), "")</f>
        <v/>
      </c>
      <c r="D1524" s="240"/>
      <c r="E1524" s="241"/>
      <c r="F1524" s="248"/>
      <c r="G1524" s="207"/>
      <c r="H1524" s="209"/>
      <c r="I1524" s="209"/>
      <c r="J1524" s="209"/>
      <c r="K1524" s="208" t="str">
        <f>IF(Errors!$I1524=0,SourceData!$B$42,VLOOKUP(Errors!$I1524,SourceData!$A$2:$B$40,2,FALSE))</f>
        <v>Please select ERROR CODE column "I"</v>
      </c>
      <c r="L1524" s="207" t="str">
        <f>IF(Errors!$I1524=0,
    'List of Error Codes'!$E$29,
    IFERROR(VLOOKUP(Errors!$I1524, 'List of Error Codes'!D1523:I1553, 6, FALSE), 'List of Error Codes'!$E$29)
)</f>
        <v>Please select ERROR CODE column "I"</v>
      </c>
      <c r="M1524" s="209"/>
      <c r="N1524" s="209"/>
      <c r="O1524" s="209"/>
      <c r="P1524" s="209"/>
      <c r="Q1524" s="209"/>
      <c r="R1524" s="217"/>
      <c r="S1524" s="217"/>
      <c r="T1524" s="217"/>
      <c r="U1524" s="199"/>
      <c r="V1524" s="200"/>
      <c r="W1524" s="200"/>
      <c r="X1524" s="200"/>
      <c r="Y1524" s="200"/>
      <c r="Z1524" s="200"/>
      <c r="AA1524" s="201"/>
      <c r="AB1524" s="200"/>
      <c r="AC1524" s="200"/>
    </row>
    <row r="1525" ht="15.75" customHeight="1">
      <c r="A1525" s="210">
        <f t="shared" si="1"/>
        <v>1523</v>
      </c>
      <c r="B1525" s="217"/>
      <c r="C1525" s="217" t="str">
        <f>IFERROR(VLOOKUP(B1525, SourceData!$U$3:$V$190, 2, FALSE), "")</f>
        <v/>
      </c>
      <c r="D1525" s="240"/>
      <c r="E1525" s="241"/>
      <c r="F1525" s="248"/>
      <c r="G1525" s="207"/>
      <c r="H1525" s="209"/>
      <c r="I1525" s="209"/>
      <c r="J1525" s="209"/>
      <c r="K1525" s="208" t="str">
        <f>IF(Errors!$I1525=0,SourceData!$B$42,VLOOKUP(Errors!$I1525,SourceData!$A$2:$B$40,2,FALSE))</f>
        <v>Please select ERROR CODE column "I"</v>
      </c>
      <c r="L1525" s="207" t="str">
        <f>IF(Errors!$I1525=0,
    'List of Error Codes'!$E$29,
    IFERROR(VLOOKUP(Errors!$I1525, 'List of Error Codes'!D1524:I1554, 6, FALSE), 'List of Error Codes'!$E$29)
)</f>
        <v>Please select ERROR CODE column "I"</v>
      </c>
      <c r="M1525" s="209"/>
      <c r="N1525" s="209"/>
      <c r="O1525" s="209"/>
      <c r="P1525" s="209"/>
      <c r="Q1525" s="209"/>
      <c r="R1525" s="217"/>
      <c r="S1525" s="217"/>
      <c r="T1525" s="217"/>
      <c r="U1525" s="199"/>
      <c r="V1525" s="200"/>
      <c r="W1525" s="200"/>
      <c r="X1525" s="200"/>
      <c r="Y1525" s="200"/>
      <c r="Z1525" s="200"/>
      <c r="AA1525" s="201"/>
      <c r="AB1525" s="200"/>
      <c r="AC1525" s="200"/>
    </row>
    <row r="1526" ht="15.75" customHeight="1">
      <c r="A1526" s="210">
        <f t="shared" si="1"/>
        <v>1524</v>
      </c>
      <c r="B1526" s="217"/>
      <c r="C1526" s="217" t="str">
        <f>IFERROR(VLOOKUP(B1526, SourceData!$U$3:$V$190, 2, FALSE), "")</f>
        <v/>
      </c>
      <c r="D1526" s="240"/>
      <c r="E1526" s="241"/>
      <c r="F1526" s="248"/>
      <c r="G1526" s="207"/>
      <c r="H1526" s="209"/>
      <c r="I1526" s="209"/>
      <c r="J1526" s="209"/>
      <c r="K1526" s="208" t="str">
        <f>IF(Errors!$I1526=0,SourceData!$B$42,VLOOKUP(Errors!$I1526,SourceData!$A$2:$B$40,2,FALSE))</f>
        <v>Please select ERROR CODE column "I"</v>
      </c>
      <c r="L1526" s="207" t="str">
        <f>IF(Errors!$I1526=0,
    'List of Error Codes'!$E$29,
    IFERROR(VLOOKUP(Errors!$I1526, 'List of Error Codes'!D1525:I1555, 6, FALSE), 'List of Error Codes'!$E$29)
)</f>
        <v>Please select ERROR CODE column "I"</v>
      </c>
      <c r="M1526" s="209"/>
      <c r="N1526" s="209"/>
      <c r="O1526" s="209"/>
      <c r="P1526" s="209"/>
      <c r="Q1526" s="209"/>
      <c r="R1526" s="217"/>
      <c r="S1526" s="217"/>
      <c r="T1526" s="217"/>
      <c r="U1526" s="199"/>
      <c r="V1526" s="200"/>
      <c r="W1526" s="200"/>
      <c r="X1526" s="200"/>
      <c r="Y1526" s="200"/>
      <c r="Z1526" s="200"/>
      <c r="AA1526" s="201"/>
      <c r="AB1526" s="200"/>
      <c r="AC1526" s="200"/>
    </row>
    <row r="1527" ht="15.75" customHeight="1">
      <c r="A1527" s="210">
        <f t="shared" si="1"/>
        <v>1525</v>
      </c>
      <c r="B1527" s="217"/>
      <c r="C1527" s="217" t="str">
        <f>IFERROR(VLOOKUP(B1527, SourceData!$U$3:$V$190, 2, FALSE), "")</f>
        <v/>
      </c>
      <c r="D1527" s="240"/>
      <c r="E1527" s="241"/>
      <c r="F1527" s="248"/>
      <c r="G1527" s="207"/>
      <c r="H1527" s="209"/>
      <c r="I1527" s="209"/>
      <c r="J1527" s="209"/>
      <c r="K1527" s="208" t="str">
        <f>IF(Errors!$I1527=0,SourceData!$B$42,VLOOKUP(Errors!$I1527,SourceData!$A$2:$B$40,2,FALSE))</f>
        <v>Please select ERROR CODE column "I"</v>
      </c>
      <c r="L1527" s="207" t="str">
        <f>IF(Errors!$I1527=0,
    'List of Error Codes'!$E$29,
    IFERROR(VLOOKUP(Errors!$I1527, 'List of Error Codes'!D1526:I1556, 6, FALSE), 'List of Error Codes'!$E$29)
)</f>
        <v>Please select ERROR CODE column "I"</v>
      </c>
      <c r="M1527" s="209"/>
      <c r="N1527" s="209"/>
      <c r="O1527" s="209"/>
      <c r="P1527" s="209"/>
      <c r="Q1527" s="209"/>
      <c r="R1527" s="217"/>
      <c r="S1527" s="217"/>
      <c r="T1527" s="217"/>
      <c r="U1527" s="199"/>
      <c r="V1527" s="200"/>
      <c r="W1527" s="200"/>
      <c r="X1527" s="200"/>
      <c r="Y1527" s="200"/>
      <c r="Z1527" s="200"/>
      <c r="AA1527" s="201"/>
      <c r="AB1527" s="200"/>
      <c r="AC1527" s="200"/>
    </row>
    <row r="1528" ht="15.75" customHeight="1">
      <c r="A1528" s="210">
        <f t="shared" si="1"/>
        <v>1526</v>
      </c>
      <c r="B1528" s="217"/>
      <c r="C1528" s="217" t="str">
        <f>IFERROR(VLOOKUP(B1528, SourceData!$U$3:$V$190, 2, FALSE), "")</f>
        <v/>
      </c>
      <c r="D1528" s="240"/>
      <c r="E1528" s="241"/>
      <c r="F1528" s="248"/>
      <c r="G1528" s="207"/>
      <c r="H1528" s="209"/>
      <c r="I1528" s="209"/>
      <c r="J1528" s="209"/>
      <c r="K1528" s="208" t="str">
        <f>IF(Errors!$I1528=0,SourceData!$B$42,VLOOKUP(Errors!$I1528,SourceData!$A$2:$B$40,2,FALSE))</f>
        <v>Please select ERROR CODE column "I"</v>
      </c>
      <c r="L1528" s="207" t="str">
        <f>IF(Errors!$I1528=0,
    'List of Error Codes'!$E$29,
    IFERROR(VLOOKUP(Errors!$I1528, 'List of Error Codes'!D1527:I1557, 6, FALSE), 'List of Error Codes'!$E$29)
)</f>
        <v>Please select ERROR CODE column "I"</v>
      </c>
      <c r="M1528" s="209"/>
      <c r="N1528" s="209"/>
      <c r="O1528" s="209"/>
      <c r="P1528" s="209"/>
      <c r="Q1528" s="209"/>
      <c r="R1528" s="217"/>
      <c r="S1528" s="217"/>
      <c r="T1528" s="217"/>
      <c r="U1528" s="199"/>
      <c r="V1528" s="200"/>
      <c r="W1528" s="200"/>
      <c r="X1528" s="200"/>
      <c r="Y1528" s="200"/>
      <c r="Z1528" s="200"/>
      <c r="AA1528" s="201"/>
      <c r="AB1528" s="200"/>
      <c r="AC1528" s="200"/>
    </row>
    <row r="1529" ht="15.75" customHeight="1">
      <c r="A1529" s="210">
        <f t="shared" si="1"/>
        <v>1527</v>
      </c>
      <c r="B1529" s="217"/>
      <c r="C1529" s="217" t="str">
        <f>IFERROR(VLOOKUP(B1529, SourceData!$U$3:$V$190, 2, FALSE), "")</f>
        <v/>
      </c>
      <c r="D1529" s="240"/>
      <c r="E1529" s="241"/>
      <c r="F1529" s="248"/>
      <c r="G1529" s="207"/>
      <c r="H1529" s="209"/>
      <c r="I1529" s="209"/>
      <c r="J1529" s="209"/>
      <c r="K1529" s="208" t="str">
        <f>IF(Errors!$I1529=0,SourceData!$B$42,VLOOKUP(Errors!$I1529,SourceData!$A$2:$B$40,2,FALSE))</f>
        <v>Please select ERROR CODE column "I"</v>
      </c>
      <c r="L1529" s="207" t="str">
        <f>IF(Errors!$I1529=0,
    'List of Error Codes'!$E$29,
    IFERROR(VLOOKUP(Errors!$I1529, 'List of Error Codes'!D1528:I1558, 6, FALSE), 'List of Error Codes'!$E$29)
)</f>
        <v>Please select ERROR CODE column "I"</v>
      </c>
      <c r="M1529" s="209"/>
      <c r="N1529" s="209"/>
      <c r="O1529" s="209"/>
      <c r="P1529" s="209"/>
      <c r="Q1529" s="209"/>
      <c r="R1529" s="217"/>
      <c r="S1529" s="217"/>
      <c r="T1529" s="217"/>
      <c r="U1529" s="199"/>
      <c r="V1529" s="200"/>
      <c r="W1529" s="200"/>
      <c r="X1529" s="200"/>
      <c r="Y1529" s="200"/>
      <c r="Z1529" s="200"/>
      <c r="AA1529" s="201"/>
      <c r="AB1529" s="200"/>
      <c r="AC1529" s="200"/>
    </row>
    <row r="1530" ht="15.75" customHeight="1">
      <c r="A1530" s="210">
        <f t="shared" si="1"/>
        <v>1528</v>
      </c>
      <c r="B1530" s="217"/>
      <c r="C1530" s="217" t="str">
        <f>IFERROR(VLOOKUP(B1530, SourceData!$U$3:$V$190, 2, FALSE), "")</f>
        <v/>
      </c>
      <c r="D1530" s="240"/>
      <c r="E1530" s="241"/>
      <c r="F1530" s="248"/>
      <c r="G1530" s="207"/>
      <c r="H1530" s="209"/>
      <c r="I1530" s="209"/>
      <c r="J1530" s="209"/>
      <c r="K1530" s="208" t="str">
        <f>IF(Errors!$I1530=0,SourceData!$B$42,VLOOKUP(Errors!$I1530,SourceData!$A$2:$B$40,2,FALSE))</f>
        <v>Please select ERROR CODE column "I"</v>
      </c>
      <c r="L1530" s="207" t="str">
        <f>IF(Errors!$I1530=0,
    'List of Error Codes'!$E$29,
    IFERROR(VLOOKUP(Errors!$I1530, 'List of Error Codes'!D1529:I1559, 6, FALSE), 'List of Error Codes'!$E$29)
)</f>
        <v>Please select ERROR CODE column "I"</v>
      </c>
      <c r="M1530" s="209"/>
      <c r="N1530" s="209"/>
      <c r="O1530" s="209"/>
      <c r="P1530" s="209"/>
      <c r="Q1530" s="209"/>
      <c r="R1530" s="217"/>
      <c r="S1530" s="217"/>
      <c r="T1530" s="217"/>
      <c r="U1530" s="199"/>
      <c r="V1530" s="200"/>
      <c r="W1530" s="200"/>
      <c r="X1530" s="200"/>
      <c r="Y1530" s="200"/>
      <c r="Z1530" s="200"/>
      <c r="AA1530" s="201"/>
      <c r="AB1530" s="200"/>
      <c r="AC1530" s="200"/>
    </row>
    <row r="1531" ht="15.75" customHeight="1">
      <c r="A1531" s="210">
        <f t="shared" si="1"/>
        <v>1529</v>
      </c>
      <c r="B1531" s="217"/>
      <c r="C1531" s="217" t="str">
        <f>IFERROR(VLOOKUP(B1531, SourceData!$U$3:$V$190, 2, FALSE), "")</f>
        <v/>
      </c>
      <c r="D1531" s="240"/>
      <c r="E1531" s="241"/>
      <c r="F1531" s="248"/>
      <c r="G1531" s="207"/>
      <c r="H1531" s="209"/>
      <c r="I1531" s="209"/>
      <c r="J1531" s="209"/>
      <c r="K1531" s="208" t="str">
        <f>IF(Errors!$I1531=0,SourceData!$B$42,VLOOKUP(Errors!$I1531,SourceData!$A$2:$B$40,2,FALSE))</f>
        <v>Please select ERROR CODE column "I"</v>
      </c>
      <c r="L1531" s="207" t="str">
        <f>IF(Errors!$I1531=0,
    'List of Error Codes'!$E$29,
    IFERROR(VLOOKUP(Errors!$I1531, 'List of Error Codes'!D1530:I1560, 6, FALSE), 'List of Error Codes'!$E$29)
)</f>
        <v>Please select ERROR CODE column "I"</v>
      </c>
      <c r="M1531" s="209"/>
      <c r="N1531" s="209"/>
      <c r="O1531" s="209"/>
      <c r="P1531" s="209"/>
      <c r="Q1531" s="209"/>
      <c r="R1531" s="217"/>
      <c r="S1531" s="217"/>
      <c r="T1531" s="217"/>
      <c r="U1531" s="199"/>
      <c r="V1531" s="200"/>
      <c r="W1531" s="200"/>
      <c r="X1531" s="200"/>
      <c r="Y1531" s="200"/>
      <c r="Z1531" s="200"/>
      <c r="AA1531" s="201"/>
      <c r="AB1531" s="200"/>
      <c r="AC1531" s="200"/>
    </row>
    <row r="1532" ht="15.75" customHeight="1">
      <c r="A1532" s="210">
        <f t="shared" si="1"/>
        <v>1530</v>
      </c>
      <c r="B1532" s="217"/>
      <c r="C1532" s="217" t="str">
        <f>IFERROR(VLOOKUP(B1532, SourceData!$U$3:$V$190, 2, FALSE), "")</f>
        <v/>
      </c>
      <c r="D1532" s="240"/>
      <c r="E1532" s="241"/>
      <c r="F1532" s="248"/>
      <c r="G1532" s="207"/>
      <c r="H1532" s="209"/>
      <c r="I1532" s="209"/>
      <c r="J1532" s="209"/>
      <c r="K1532" s="208" t="str">
        <f>IF(Errors!$I1532=0,SourceData!$B$42,VLOOKUP(Errors!$I1532,SourceData!$A$2:$B$40,2,FALSE))</f>
        <v>Please select ERROR CODE column "I"</v>
      </c>
      <c r="L1532" s="207" t="str">
        <f>IF(Errors!$I1532=0,
    'List of Error Codes'!$E$29,
    IFERROR(VLOOKUP(Errors!$I1532, 'List of Error Codes'!D1531:I1561, 6, FALSE), 'List of Error Codes'!$E$29)
)</f>
        <v>Please select ERROR CODE column "I"</v>
      </c>
      <c r="M1532" s="209"/>
      <c r="N1532" s="209"/>
      <c r="O1532" s="209"/>
      <c r="P1532" s="209"/>
      <c r="Q1532" s="209"/>
      <c r="R1532" s="217"/>
      <c r="S1532" s="217"/>
      <c r="T1532" s="217"/>
      <c r="U1532" s="199"/>
      <c r="V1532" s="200"/>
      <c r="W1532" s="200"/>
      <c r="X1532" s="200"/>
      <c r="Y1532" s="200"/>
      <c r="Z1532" s="200"/>
      <c r="AA1532" s="201"/>
      <c r="AB1532" s="200"/>
      <c r="AC1532" s="200"/>
    </row>
    <row r="1533" ht="15.75" customHeight="1">
      <c r="A1533" s="210">
        <f t="shared" si="1"/>
        <v>1531</v>
      </c>
      <c r="B1533" s="217"/>
      <c r="C1533" s="217" t="str">
        <f>IFERROR(VLOOKUP(B1533, SourceData!$U$3:$V$190, 2, FALSE), "")</f>
        <v/>
      </c>
      <c r="D1533" s="240"/>
      <c r="E1533" s="241"/>
      <c r="F1533" s="248"/>
      <c r="G1533" s="207"/>
      <c r="H1533" s="209"/>
      <c r="I1533" s="209"/>
      <c r="J1533" s="209"/>
      <c r="K1533" s="208" t="str">
        <f>IF(Errors!$I1533=0,SourceData!$B$42,VLOOKUP(Errors!$I1533,SourceData!$A$2:$B$40,2,FALSE))</f>
        <v>Please select ERROR CODE column "I"</v>
      </c>
      <c r="L1533" s="207" t="str">
        <f>IF(Errors!$I1533=0,
    'List of Error Codes'!$E$29,
    IFERROR(VLOOKUP(Errors!$I1533, 'List of Error Codes'!D1532:I1562, 6, FALSE), 'List of Error Codes'!$E$29)
)</f>
        <v>Please select ERROR CODE column "I"</v>
      </c>
      <c r="M1533" s="209"/>
      <c r="N1533" s="209"/>
      <c r="O1533" s="209"/>
      <c r="P1533" s="209"/>
      <c r="Q1533" s="209"/>
      <c r="R1533" s="217"/>
      <c r="S1533" s="217"/>
      <c r="T1533" s="217"/>
      <c r="U1533" s="199"/>
      <c r="V1533" s="200"/>
      <c r="W1533" s="200"/>
      <c r="X1533" s="200"/>
      <c r="Y1533" s="200"/>
      <c r="Z1533" s="200"/>
      <c r="AA1533" s="201"/>
      <c r="AB1533" s="200"/>
      <c r="AC1533" s="200"/>
    </row>
    <row r="1534" ht="15.75" customHeight="1">
      <c r="A1534" s="210">
        <f t="shared" si="1"/>
        <v>1532</v>
      </c>
      <c r="B1534" s="217"/>
      <c r="C1534" s="217" t="str">
        <f>IFERROR(VLOOKUP(B1534, SourceData!$U$3:$V$190, 2, FALSE), "")</f>
        <v/>
      </c>
      <c r="D1534" s="240"/>
      <c r="E1534" s="241"/>
      <c r="F1534" s="248"/>
      <c r="G1534" s="207"/>
      <c r="H1534" s="209"/>
      <c r="I1534" s="209"/>
      <c r="J1534" s="209"/>
      <c r="K1534" s="208" t="str">
        <f>IF(Errors!$I1534=0,SourceData!$B$42,VLOOKUP(Errors!$I1534,SourceData!$A$2:$B$40,2,FALSE))</f>
        <v>Please select ERROR CODE column "I"</v>
      </c>
      <c r="L1534" s="207" t="str">
        <f>IF(Errors!$I1534=0,
    'List of Error Codes'!$E$29,
    IFERROR(VLOOKUP(Errors!$I1534, 'List of Error Codes'!D1533:I1563, 6, FALSE), 'List of Error Codes'!$E$29)
)</f>
        <v>Please select ERROR CODE column "I"</v>
      </c>
      <c r="M1534" s="209"/>
      <c r="N1534" s="209"/>
      <c r="O1534" s="209"/>
      <c r="P1534" s="209"/>
      <c r="Q1534" s="209"/>
      <c r="R1534" s="217"/>
      <c r="S1534" s="217"/>
      <c r="T1534" s="217"/>
      <c r="U1534" s="199"/>
      <c r="V1534" s="200"/>
      <c r="W1534" s="200"/>
      <c r="X1534" s="200"/>
      <c r="Y1534" s="200"/>
      <c r="Z1534" s="200"/>
      <c r="AA1534" s="201"/>
      <c r="AB1534" s="200"/>
      <c r="AC1534" s="200"/>
    </row>
    <row r="1535" ht="15.75" customHeight="1">
      <c r="A1535" s="210">
        <f t="shared" si="1"/>
        <v>1533</v>
      </c>
      <c r="B1535" s="217"/>
      <c r="C1535" s="217" t="str">
        <f>IFERROR(VLOOKUP(B1535, SourceData!$U$3:$V$190, 2, FALSE), "")</f>
        <v/>
      </c>
      <c r="D1535" s="240"/>
      <c r="E1535" s="241"/>
      <c r="F1535" s="248"/>
      <c r="G1535" s="207"/>
      <c r="H1535" s="209"/>
      <c r="I1535" s="209"/>
      <c r="J1535" s="209"/>
      <c r="K1535" s="208" t="str">
        <f>IF(Errors!$I1535=0,SourceData!$B$42,VLOOKUP(Errors!$I1535,SourceData!$A$2:$B$40,2,FALSE))</f>
        <v>Please select ERROR CODE column "I"</v>
      </c>
      <c r="L1535" s="207" t="str">
        <f>IF(Errors!$I1535=0,
    'List of Error Codes'!$E$29,
    IFERROR(VLOOKUP(Errors!$I1535, 'List of Error Codes'!D1534:I1564, 6, FALSE), 'List of Error Codes'!$E$29)
)</f>
        <v>Please select ERROR CODE column "I"</v>
      </c>
      <c r="M1535" s="209"/>
      <c r="N1535" s="209"/>
      <c r="O1535" s="209"/>
      <c r="P1535" s="209"/>
      <c r="Q1535" s="209"/>
      <c r="R1535" s="217"/>
      <c r="S1535" s="217"/>
      <c r="T1535" s="217"/>
      <c r="U1535" s="199"/>
      <c r="V1535" s="200"/>
      <c r="W1535" s="200"/>
      <c r="X1535" s="200"/>
      <c r="Y1535" s="200"/>
      <c r="Z1535" s="200"/>
      <c r="AA1535" s="201"/>
      <c r="AB1535" s="200"/>
      <c r="AC1535" s="200"/>
    </row>
    <row r="1536" ht="15.75" customHeight="1">
      <c r="A1536" s="210">
        <f t="shared" si="1"/>
        <v>1534</v>
      </c>
      <c r="B1536" s="217"/>
      <c r="C1536" s="217" t="str">
        <f>IFERROR(VLOOKUP(B1536, SourceData!$U$3:$V$190, 2, FALSE), "")</f>
        <v/>
      </c>
      <c r="D1536" s="240"/>
      <c r="E1536" s="241"/>
      <c r="F1536" s="248"/>
      <c r="G1536" s="207"/>
      <c r="H1536" s="209"/>
      <c r="I1536" s="209"/>
      <c r="J1536" s="209"/>
      <c r="K1536" s="208" t="str">
        <f>IF(Errors!$I1536=0,SourceData!$B$42,VLOOKUP(Errors!$I1536,SourceData!$A$2:$B$40,2,FALSE))</f>
        <v>Please select ERROR CODE column "I"</v>
      </c>
      <c r="L1536" s="207" t="str">
        <f>IF(Errors!$I1536=0,
    'List of Error Codes'!$E$29,
    IFERROR(VLOOKUP(Errors!$I1536, 'List of Error Codes'!D1535:I1565, 6, FALSE), 'List of Error Codes'!$E$29)
)</f>
        <v>Please select ERROR CODE column "I"</v>
      </c>
      <c r="M1536" s="209"/>
      <c r="N1536" s="209"/>
      <c r="O1536" s="209"/>
      <c r="P1536" s="209"/>
      <c r="Q1536" s="209"/>
      <c r="R1536" s="217"/>
      <c r="S1536" s="217"/>
      <c r="T1536" s="217"/>
      <c r="U1536" s="199"/>
      <c r="V1536" s="200"/>
      <c r="W1536" s="200"/>
      <c r="X1536" s="200"/>
      <c r="Y1536" s="200"/>
      <c r="Z1536" s="200"/>
      <c r="AA1536" s="201"/>
      <c r="AB1536" s="200"/>
      <c r="AC1536" s="200"/>
    </row>
    <row r="1537" ht="15.75" customHeight="1">
      <c r="A1537" s="210">
        <f t="shared" si="1"/>
        <v>1535</v>
      </c>
      <c r="B1537" s="217"/>
      <c r="C1537" s="217" t="str">
        <f>IFERROR(VLOOKUP(B1537, SourceData!$U$3:$V$190, 2, FALSE), "")</f>
        <v/>
      </c>
      <c r="D1537" s="240"/>
      <c r="E1537" s="241"/>
      <c r="F1537" s="248"/>
      <c r="G1537" s="207"/>
      <c r="H1537" s="209"/>
      <c r="I1537" s="209"/>
      <c r="J1537" s="209"/>
      <c r="K1537" s="208" t="str">
        <f>IF(Errors!$I1537=0,SourceData!$B$42,VLOOKUP(Errors!$I1537,SourceData!$A$2:$B$40,2,FALSE))</f>
        <v>Please select ERROR CODE column "I"</v>
      </c>
      <c r="L1537" s="207" t="str">
        <f>IF(Errors!$I1537=0,
    'List of Error Codes'!$E$29,
    IFERROR(VLOOKUP(Errors!$I1537, 'List of Error Codes'!D1536:I1566, 6, FALSE), 'List of Error Codes'!$E$29)
)</f>
        <v>Please select ERROR CODE column "I"</v>
      </c>
      <c r="M1537" s="209"/>
      <c r="N1537" s="209"/>
      <c r="O1537" s="209"/>
      <c r="P1537" s="209"/>
      <c r="Q1537" s="209"/>
      <c r="R1537" s="217"/>
      <c r="S1537" s="217"/>
      <c r="T1537" s="217"/>
      <c r="U1537" s="199"/>
      <c r="V1537" s="200"/>
      <c r="W1537" s="200"/>
      <c r="X1537" s="200"/>
      <c r="Y1537" s="200"/>
      <c r="Z1537" s="200"/>
      <c r="AA1537" s="201"/>
      <c r="AB1537" s="200"/>
      <c r="AC1537" s="200"/>
    </row>
    <row r="1538" ht="15.75" customHeight="1">
      <c r="A1538" s="210">
        <f t="shared" si="1"/>
        <v>1536</v>
      </c>
      <c r="B1538" s="217"/>
      <c r="C1538" s="217" t="str">
        <f>IFERROR(VLOOKUP(B1538, SourceData!$U$3:$V$190, 2, FALSE), "")</f>
        <v/>
      </c>
      <c r="D1538" s="240"/>
      <c r="E1538" s="241"/>
      <c r="F1538" s="248"/>
      <c r="G1538" s="207"/>
      <c r="H1538" s="209"/>
      <c r="I1538" s="209"/>
      <c r="J1538" s="209"/>
      <c r="K1538" s="208" t="str">
        <f>IF(Errors!$I1538=0,SourceData!$B$42,VLOOKUP(Errors!$I1538,SourceData!$A$2:$B$40,2,FALSE))</f>
        <v>Please select ERROR CODE column "I"</v>
      </c>
      <c r="L1538" s="207" t="str">
        <f>IF(Errors!$I1538=0,
    'List of Error Codes'!$E$29,
    IFERROR(VLOOKUP(Errors!$I1538, 'List of Error Codes'!D1537:I1567, 6, FALSE), 'List of Error Codes'!$E$29)
)</f>
        <v>Please select ERROR CODE column "I"</v>
      </c>
      <c r="M1538" s="209"/>
      <c r="N1538" s="209"/>
      <c r="O1538" s="209"/>
      <c r="P1538" s="209"/>
      <c r="Q1538" s="209"/>
      <c r="R1538" s="217"/>
      <c r="S1538" s="217"/>
      <c r="T1538" s="217"/>
      <c r="U1538" s="199"/>
      <c r="V1538" s="200"/>
      <c r="W1538" s="200"/>
      <c r="X1538" s="200"/>
      <c r="Y1538" s="200"/>
      <c r="Z1538" s="200"/>
      <c r="AA1538" s="201"/>
      <c r="AB1538" s="200"/>
      <c r="AC1538" s="200"/>
    </row>
    <row r="1539" ht="15.75" customHeight="1">
      <c r="A1539" s="210">
        <f t="shared" si="1"/>
        <v>1537</v>
      </c>
      <c r="B1539" s="217"/>
      <c r="C1539" s="217" t="str">
        <f>IFERROR(VLOOKUP(B1539, SourceData!$U$3:$V$190, 2, FALSE), "")</f>
        <v/>
      </c>
      <c r="D1539" s="240"/>
      <c r="E1539" s="241"/>
      <c r="F1539" s="248"/>
      <c r="G1539" s="207"/>
      <c r="H1539" s="209"/>
      <c r="I1539" s="209"/>
      <c r="J1539" s="209"/>
      <c r="K1539" s="208" t="str">
        <f>IF(Errors!$I1539=0,SourceData!$B$42,VLOOKUP(Errors!$I1539,SourceData!$A$2:$B$40,2,FALSE))</f>
        <v>Please select ERROR CODE column "I"</v>
      </c>
      <c r="L1539" s="207" t="str">
        <f>IF(Errors!$I1539=0,
    'List of Error Codes'!$E$29,
    IFERROR(VLOOKUP(Errors!$I1539, 'List of Error Codes'!D1538:I1568, 6, FALSE), 'List of Error Codes'!$E$29)
)</f>
        <v>Please select ERROR CODE column "I"</v>
      </c>
      <c r="M1539" s="209"/>
      <c r="N1539" s="209"/>
      <c r="O1539" s="209"/>
      <c r="P1539" s="209"/>
      <c r="Q1539" s="209"/>
      <c r="R1539" s="217"/>
      <c r="S1539" s="217"/>
      <c r="T1539" s="217"/>
      <c r="U1539" s="199"/>
      <c r="V1539" s="200"/>
      <c r="W1539" s="200"/>
      <c r="X1539" s="200"/>
      <c r="Y1539" s="200"/>
      <c r="Z1539" s="200"/>
      <c r="AA1539" s="201"/>
      <c r="AB1539" s="200"/>
      <c r="AC1539" s="200"/>
    </row>
    <row r="1540" ht="15.75" customHeight="1">
      <c r="A1540" s="210">
        <f t="shared" si="1"/>
        <v>1538</v>
      </c>
      <c r="B1540" s="217"/>
      <c r="C1540" s="217" t="str">
        <f>IFERROR(VLOOKUP(B1540, SourceData!$U$3:$V$190, 2, FALSE), "")</f>
        <v/>
      </c>
      <c r="D1540" s="240"/>
      <c r="E1540" s="241"/>
      <c r="F1540" s="248"/>
      <c r="G1540" s="207"/>
      <c r="H1540" s="209"/>
      <c r="I1540" s="209"/>
      <c r="J1540" s="209"/>
      <c r="K1540" s="208" t="str">
        <f>IF(Errors!$I1540=0,SourceData!$B$42,VLOOKUP(Errors!$I1540,SourceData!$A$2:$B$40,2,FALSE))</f>
        <v>Please select ERROR CODE column "I"</v>
      </c>
      <c r="L1540" s="207" t="str">
        <f>IF(Errors!$I1540=0,
    'List of Error Codes'!$E$29,
    IFERROR(VLOOKUP(Errors!$I1540, 'List of Error Codes'!D1539:I1569, 6, FALSE), 'List of Error Codes'!$E$29)
)</f>
        <v>Please select ERROR CODE column "I"</v>
      </c>
      <c r="M1540" s="209"/>
      <c r="N1540" s="209"/>
      <c r="O1540" s="209"/>
      <c r="P1540" s="209"/>
      <c r="Q1540" s="209"/>
      <c r="R1540" s="217"/>
      <c r="S1540" s="217"/>
      <c r="T1540" s="217"/>
      <c r="U1540" s="199"/>
      <c r="V1540" s="200"/>
      <c r="W1540" s="200"/>
      <c r="X1540" s="200"/>
      <c r="Y1540" s="200"/>
      <c r="Z1540" s="200"/>
      <c r="AA1540" s="201"/>
      <c r="AB1540" s="200"/>
      <c r="AC1540" s="200"/>
    </row>
    <row r="1541" ht="15.75" customHeight="1">
      <c r="A1541" s="210">
        <f t="shared" si="1"/>
        <v>1539</v>
      </c>
      <c r="B1541" s="217"/>
      <c r="C1541" s="217" t="str">
        <f>IFERROR(VLOOKUP(B1541, SourceData!$U$3:$V$190, 2, FALSE), "")</f>
        <v/>
      </c>
      <c r="D1541" s="240"/>
      <c r="E1541" s="241"/>
      <c r="F1541" s="248"/>
      <c r="G1541" s="207"/>
      <c r="H1541" s="209"/>
      <c r="I1541" s="209"/>
      <c r="J1541" s="209"/>
      <c r="K1541" s="208" t="str">
        <f>IF(Errors!$I1541=0,SourceData!$B$42,VLOOKUP(Errors!$I1541,SourceData!$A$2:$B$40,2,FALSE))</f>
        <v>Please select ERROR CODE column "I"</v>
      </c>
      <c r="L1541" s="207" t="str">
        <f>IF(Errors!$I1541=0,
    'List of Error Codes'!$E$29,
    IFERROR(VLOOKUP(Errors!$I1541, 'List of Error Codes'!D1540:I1570, 6, FALSE), 'List of Error Codes'!$E$29)
)</f>
        <v>Please select ERROR CODE column "I"</v>
      </c>
      <c r="M1541" s="209"/>
      <c r="N1541" s="209"/>
      <c r="O1541" s="209"/>
      <c r="P1541" s="209"/>
      <c r="Q1541" s="209"/>
      <c r="R1541" s="217"/>
      <c r="S1541" s="217"/>
      <c r="T1541" s="217"/>
      <c r="U1541" s="199"/>
      <c r="V1541" s="200"/>
      <c r="W1541" s="200"/>
      <c r="X1541" s="200"/>
      <c r="Y1541" s="200"/>
      <c r="Z1541" s="200"/>
      <c r="AA1541" s="201"/>
      <c r="AB1541" s="200"/>
      <c r="AC1541" s="200"/>
    </row>
    <row r="1542" ht="15.75" customHeight="1">
      <c r="A1542" s="210">
        <f t="shared" si="1"/>
        <v>1540</v>
      </c>
      <c r="B1542" s="217"/>
      <c r="C1542" s="217" t="str">
        <f>IFERROR(VLOOKUP(B1542, SourceData!$U$3:$V$190, 2, FALSE), "")</f>
        <v/>
      </c>
      <c r="D1542" s="240"/>
      <c r="E1542" s="241"/>
      <c r="F1542" s="248"/>
      <c r="G1542" s="207"/>
      <c r="H1542" s="209"/>
      <c r="I1542" s="209"/>
      <c r="J1542" s="209"/>
      <c r="K1542" s="208" t="str">
        <f>IF(Errors!$I1542=0,SourceData!$B$42,VLOOKUP(Errors!$I1542,SourceData!$A$2:$B$40,2,FALSE))</f>
        <v>Please select ERROR CODE column "I"</v>
      </c>
      <c r="L1542" s="207" t="str">
        <f>IF(Errors!$I1542=0,
    'List of Error Codes'!$E$29,
    IFERROR(VLOOKUP(Errors!$I1542, 'List of Error Codes'!D1541:I1571, 6, FALSE), 'List of Error Codes'!$E$29)
)</f>
        <v>Please select ERROR CODE column "I"</v>
      </c>
      <c r="M1542" s="209"/>
      <c r="N1542" s="209"/>
      <c r="O1542" s="209"/>
      <c r="P1542" s="209"/>
      <c r="Q1542" s="209"/>
      <c r="R1542" s="217"/>
      <c r="S1542" s="217"/>
      <c r="T1542" s="217"/>
      <c r="U1542" s="199"/>
      <c r="V1542" s="200"/>
      <c r="W1542" s="200"/>
      <c r="X1542" s="200"/>
      <c r="Y1542" s="200"/>
      <c r="Z1542" s="200"/>
      <c r="AA1542" s="201"/>
      <c r="AB1542" s="200"/>
      <c r="AC1542" s="200"/>
    </row>
    <row r="1543" ht="15.75" customHeight="1">
      <c r="A1543" s="210">
        <f t="shared" si="1"/>
        <v>1541</v>
      </c>
      <c r="B1543" s="217"/>
      <c r="C1543" s="217" t="str">
        <f>IFERROR(VLOOKUP(B1543, SourceData!$U$3:$V$190, 2, FALSE), "")</f>
        <v/>
      </c>
      <c r="D1543" s="240"/>
      <c r="E1543" s="241"/>
      <c r="F1543" s="248"/>
      <c r="G1543" s="207"/>
      <c r="H1543" s="209"/>
      <c r="I1543" s="209"/>
      <c r="J1543" s="209"/>
      <c r="K1543" s="208" t="str">
        <f>IF(Errors!$I1543=0,SourceData!$B$42,VLOOKUP(Errors!$I1543,SourceData!$A$2:$B$40,2,FALSE))</f>
        <v>Please select ERROR CODE column "I"</v>
      </c>
      <c r="L1543" s="207" t="str">
        <f>IF(Errors!$I1543=0,
    'List of Error Codes'!$E$29,
    IFERROR(VLOOKUP(Errors!$I1543, 'List of Error Codes'!D1542:I1572, 6, FALSE), 'List of Error Codes'!$E$29)
)</f>
        <v>Please select ERROR CODE column "I"</v>
      </c>
      <c r="M1543" s="209"/>
      <c r="N1543" s="209"/>
      <c r="O1543" s="209"/>
      <c r="P1543" s="209"/>
      <c r="Q1543" s="209"/>
      <c r="R1543" s="217"/>
      <c r="S1543" s="217"/>
      <c r="T1543" s="217"/>
      <c r="U1543" s="199"/>
      <c r="V1543" s="200"/>
      <c r="W1543" s="200"/>
      <c r="X1543" s="200"/>
      <c r="Y1543" s="200"/>
      <c r="Z1543" s="200"/>
      <c r="AA1543" s="201"/>
      <c r="AB1543" s="200"/>
      <c r="AC1543" s="200"/>
    </row>
    <row r="1544" ht="15.75" customHeight="1">
      <c r="A1544" s="210">
        <f t="shared" si="1"/>
        <v>1542</v>
      </c>
      <c r="B1544" s="217"/>
      <c r="C1544" s="217" t="str">
        <f>IFERROR(VLOOKUP(B1544, SourceData!$U$3:$V$190, 2, FALSE), "")</f>
        <v/>
      </c>
      <c r="D1544" s="240"/>
      <c r="E1544" s="241"/>
      <c r="F1544" s="248"/>
      <c r="G1544" s="207"/>
      <c r="H1544" s="209"/>
      <c r="I1544" s="209"/>
      <c r="J1544" s="209"/>
      <c r="K1544" s="208" t="str">
        <f>IF(Errors!$I1544=0,SourceData!$B$42,VLOOKUP(Errors!$I1544,SourceData!$A$2:$B$40,2,FALSE))</f>
        <v>Please select ERROR CODE column "I"</v>
      </c>
      <c r="L1544" s="207" t="str">
        <f>IF(Errors!$I1544=0,
    'List of Error Codes'!$E$29,
    IFERROR(VLOOKUP(Errors!$I1544, 'List of Error Codes'!D1543:I1573, 6, FALSE), 'List of Error Codes'!$E$29)
)</f>
        <v>Please select ERROR CODE column "I"</v>
      </c>
      <c r="M1544" s="209"/>
      <c r="N1544" s="209"/>
      <c r="O1544" s="209"/>
      <c r="P1544" s="209"/>
      <c r="Q1544" s="209"/>
      <c r="R1544" s="217"/>
      <c r="S1544" s="217"/>
      <c r="T1544" s="217"/>
      <c r="U1544" s="199"/>
      <c r="V1544" s="200"/>
      <c r="W1544" s="200"/>
      <c r="X1544" s="200"/>
      <c r="Y1544" s="200"/>
      <c r="Z1544" s="200"/>
      <c r="AA1544" s="201"/>
      <c r="AB1544" s="200"/>
      <c r="AC1544" s="200"/>
    </row>
    <row r="1545" ht="15.75" customHeight="1">
      <c r="A1545" s="210">
        <f t="shared" si="1"/>
        <v>1543</v>
      </c>
      <c r="B1545" s="217"/>
      <c r="C1545" s="217" t="str">
        <f>IFERROR(VLOOKUP(B1545, SourceData!$U$3:$V$190, 2, FALSE), "")</f>
        <v/>
      </c>
      <c r="D1545" s="240"/>
      <c r="E1545" s="241"/>
      <c r="F1545" s="248"/>
      <c r="G1545" s="207"/>
      <c r="H1545" s="209"/>
      <c r="I1545" s="209"/>
      <c r="J1545" s="209"/>
      <c r="K1545" s="208" t="str">
        <f>IF(Errors!$I1545=0,SourceData!$B$42,VLOOKUP(Errors!$I1545,SourceData!$A$2:$B$40,2,FALSE))</f>
        <v>Please select ERROR CODE column "I"</v>
      </c>
      <c r="L1545" s="207" t="str">
        <f>IF(Errors!$I1545=0,
    'List of Error Codes'!$E$29,
    IFERROR(VLOOKUP(Errors!$I1545, 'List of Error Codes'!D1544:I1574, 6, FALSE), 'List of Error Codes'!$E$29)
)</f>
        <v>Please select ERROR CODE column "I"</v>
      </c>
      <c r="M1545" s="209"/>
      <c r="N1545" s="209"/>
      <c r="O1545" s="209"/>
      <c r="P1545" s="209"/>
      <c r="Q1545" s="209"/>
      <c r="R1545" s="217"/>
      <c r="S1545" s="217"/>
      <c r="T1545" s="217"/>
      <c r="U1545" s="199"/>
      <c r="V1545" s="200"/>
      <c r="W1545" s="200"/>
      <c r="X1545" s="200"/>
      <c r="Y1545" s="200"/>
      <c r="Z1545" s="200"/>
      <c r="AA1545" s="201"/>
      <c r="AB1545" s="200"/>
      <c r="AC1545" s="200"/>
    </row>
    <row r="1546" ht="15.75" customHeight="1">
      <c r="A1546" s="210">
        <f t="shared" si="1"/>
        <v>1544</v>
      </c>
      <c r="B1546" s="217"/>
      <c r="C1546" s="217" t="str">
        <f>IFERROR(VLOOKUP(B1546, SourceData!$U$3:$V$190, 2, FALSE), "")</f>
        <v/>
      </c>
      <c r="D1546" s="240"/>
      <c r="E1546" s="241"/>
      <c r="F1546" s="248"/>
      <c r="G1546" s="207"/>
      <c r="H1546" s="209"/>
      <c r="I1546" s="209"/>
      <c r="J1546" s="209"/>
      <c r="K1546" s="208" t="str">
        <f>IF(Errors!$I1546=0,SourceData!$B$42,VLOOKUP(Errors!$I1546,SourceData!$A$2:$B$40,2,FALSE))</f>
        <v>Please select ERROR CODE column "I"</v>
      </c>
      <c r="L1546" s="207" t="str">
        <f>IF(Errors!$I1546=0,
    'List of Error Codes'!$E$29,
    IFERROR(VLOOKUP(Errors!$I1546, 'List of Error Codes'!D1545:I1575, 6, FALSE), 'List of Error Codes'!$E$29)
)</f>
        <v>Please select ERROR CODE column "I"</v>
      </c>
      <c r="M1546" s="209"/>
      <c r="N1546" s="209"/>
      <c r="O1546" s="209"/>
      <c r="P1546" s="209"/>
      <c r="Q1546" s="209"/>
      <c r="R1546" s="217"/>
      <c r="S1546" s="217"/>
      <c r="T1546" s="217"/>
      <c r="U1546" s="199"/>
      <c r="V1546" s="200"/>
      <c r="W1546" s="200"/>
      <c r="X1546" s="200"/>
      <c r="Y1546" s="200"/>
      <c r="Z1546" s="200"/>
      <c r="AA1546" s="201"/>
      <c r="AB1546" s="200"/>
      <c r="AC1546" s="200"/>
    </row>
    <row r="1547" ht="15.75" customHeight="1">
      <c r="A1547" s="210">
        <f t="shared" si="1"/>
        <v>1545</v>
      </c>
      <c r="B1547" s="217"/>
      <c r="C1547" s="217" t="str">
        <f>IFERROR(VLOOKUP(B1547, SourceData!$U$3:$V$190, 2, FALSE), "")</f>
        <v/>
      </c>
      <c r="D1547" s="240"/>
      <c r="E1547" s="241"/>
      <c r="F1547" s="248"/>
      <c r="G1547" s="207"/>
      <c r="H1547" s="209"/>
      <c r="I1547" s="209"/>
      <c r="J1547" s="209"/>
      <c r="K1547" s="208" t="str">
        <f>IF(Errors!$I1547=0,SourceData!$B$42,VLOOKUP(Errors!$I1547,SourceData!$A$2:$B$40,2,FALSE))</f>
        <v>Please select ERROR CODE column "I"</v>
      </c>
      <c r="L1547" s="207" t="str">
        <f>IF(Errors!$I1547=0,
    'List of Error Codes'!$E$29,
    IFERROR(VLOOKUP(Errors!$I1547, 'List of Error Codes'!D1546:I1576, 6, FALSE), 'List of Error Codes'!$E$29)
)</f>
        <v>Please select ERROR CODE column "I"</v>
      </c>
      <c r="M1547" s="209"/>
      <c r="N1547" s="209"/>
      <c r="O1547" s="209"/>
      <c r="P1547" s="209"/>
      <c r="Q1547" s="209"/>
      <c r="R1547" s="217"/>
      <c r="S1547" s="217"/>
      <c r="T1547" s="217"/>
      <c r="U1547" s="199"/>
      <c r="V1547" s="200"/>
      <c r="W1547" s="200"/>
      <c r="X1547" s="200"/>
      <c r="Y1547" s="200"/>
      <c r="Z1547" s="200"/>
      <c r="AA1547" s="201"/>
      <c r="AB1547" s="200"/>
      <c r="AC1547" s="200"/>
    </row>
    <row r="1548" ht="15.75" customHeight="1">
      <c r="A1548" s="210">
        <f t="shared" si="1"/>
        <v>1546</v>
      </c>
      <c r="B1548" s="217"/>
      <c r="C1548" s="217" t="str">
        <f>IFERROR(VLOOKUP(B1548, SourceData!$U$3:$V$190, 2, FALSE), "")</f>
        <v/>
      </c>
      <c r="D1548" s="240"/>
      <c r="E1548" s="241"/>
      <c r="F1548" s="248"/>
      <c r="G1548" s="207"/>
      <c r="H1548" s="209"/>
      <c r="I1548" s="209"/>
      <c r="J1548" s="209"/>
      <c r="K1548" s="208" t="str">
        <f>IF(Errors!$I1548=0,SourceData!$B$42,VLOOKUP(Errors!$I1548,SourceData!$A$2:$B$40,2,FALSE))</f>
        <v>Please select ERROR CODE column "I"</v>
      </c>
      <c r="L1548" s="207" t="str">
        <f>IF(Errors!$I1548=0,
    'List of Error Codes'!$E$29,
    IFERROR(VLOOKUP(Errors!$I1548, 'List of Error Codes'!D1547:I1577, 6, FALSE), 'List of Error Codes'!$E$29)
)</f>
        <v>Please select ERROR CODE column "I"</v>
      </c>
      <c r="M1548" s="209"/>
      <c r="N1548" s="209"/>
      <c r="O1548" s="209"/>
      <c r="P1548" s="209"/>
      <c r="Q1548" s="209"/>
      <c r="R1548" s="217"/>
      <c r="S1548" s="217"/>
      <c r="T1548" s="217"/>
      <c r="U1548" s="199"/>
      <c r="V1548" s="200"/>
      <c r="W1548" s="200"/>
      <c r="X1548" s="200"/>
      <c r="Y1548" s="200"/>
      <c r="Z1548" s="200"/>
      <c r="AA1548" s="201"/>
      <c r="AB1548" s="200"/>
      <c r="AC1548" s="200"/>
    </row>
    <row r="1549" ht="15.75" customHeight="1">
      <c r="A1549" s="210">
        <f t="shared" si="1"/>
        <v>1547</v>
      </c>
      <c r="B1549" s="217"/>
      <c r="C1549" s="217" t="str">
        <f>IFERROR(VLOOKUP(B1549, SourceData!$U$3:$V$190, 2, FALSE), "")</f>
        <v/>
      </c>
      <c r="D1549" s="240"/>
      <c r="E1549" s="241"/>
      <c r="F1549" s="248"/>
      <c r="G1549" s="207"/>
      <c r="H1549" s="209"/>
      <c r="I1549" s="209"/>
      <c r="J1549" s="209"/>
      <c r="K1549" s="208" t="str">
        <f>IF(Errors!$I1549=0,SourceData!$B$42,VLOOKUP(Errors!$I1549,SourceData!$A$2:$B$40,2,FALSE))</f>
        <v>Please select ERROR CODE column "I"</v>
      </c>
      <c r="L1549" s="207" t="str">
        <f>IF(Errors!$I1549=0,
    'List of Error Codes'!$E$29,
    IFERROR(VLOOKUP(Errors!$I1549, 'List of Error Codes'!D1548:I1578, 6, FALSE), 'List of Error Codes'!$E$29)
)</f>
        <v>Please select ERROR CODE column "I"</v>
      </c>
      <c r="M1549" s="209"/>
      <c r="N1549" s="209"/>
      <c r="O1549" s="209"/>
      <c r="P1549" s="209"/>
      <c r="Q1549" s="209"/>
      <c r="R1549" s="217"/>
      <c r="S1549" s="217"/>
      <c r="T1549" s="217"/>
      <c r="U1549" s="199"/>
      <c r="V1549" s="200"/>
      <c r="W1549" s="200"/>
      <c r="X1549" s="200"/>
      <c r="Y1549" s="200"/>
      <c r="Z1549" s="200"/>
      <c r="AA1549" s="201"/>
      <c r="AB1549" s="200"/>
      <c r="AC1549" s="200"/>
    </row>
    <row r="1550" ht="15.75" customHeight="1">
      <c r="A1550" s="210">
        <f t="shared" si="1"/>
        <v>1548</v>
      </c>
      <c r="B1550" s="217"/>
      <c r="C1550" s="217" t="str">
        <f>IFERROR(VLOOKUP(B1550, SourceData!$U$3:$V$190, 2, FALSE), "")</f>
        <v/>
      </c>
      <c r="D1550" s="240"/>
      <c r="E1550" s="241"/>
      <c r="F1550" s="248"/>
      <c r="G1550" s="207"/>
      <c r="H1550" s="209"/>
      <c r="I1550" s="209"/>
      <c r="J1550" s="209"/>
      <c r="K1550" s="208" t="str">
        <f>IF(Errors!$I1550=0,SourceData!$B$42,VLOOKUP(Errors!$I1550,SourceData!$A$2:$B$40,2,FALSE))</f>
        <v>Please select ERROR CODE column "I"</v>
      </c>
      <c r="L1550" s="207" t="str">
        <f>IF(Errors!$I1550=0,
    'List of Error Codes'!$E$29,
    IFERROR(VLOOKUP(Errors!$I1550, 'List of Error Codes'!D1549:I1579, 6, FALSE), 'List of Error Codes'!$E$29)
)</f>
        <v>Please select ERROR CODE column "I"</v>
      </c>
      <c r="M1550" s="209"/>
      <c r="N1550" s="209"/>
      <c r="O1550" s="209"/>
      <c r="P1550" s="209"/>
      <c r="Q1550" s="209"/>
      <c r="R1550" s="217"/>
      <c r="S1550" s="217"/>
      <c r="T1550" s="217"/>
      <c r="U1550" s="199"/>
      <c r="V1550" s="200"/>
      <c r="W1550" s="200"/>
      <c r="X1550" s="200"/>
      <c r="Y1550" s="200"/>
      <c r="Z1550" s="200"/>
      <c r="AA1550" s="201"/>
      <c r="AB1550" s="200"/>
      <c r="AC1550" s="200"/>
    </row>
    <row r="1551" ht="15.75" customHeight="1">
      <c r="A1551" s="210">
        <f t="shared" si="1"/>
        <v>1549</v>
      </c>
      <c r="B1551" s="217"/>
      <c r="C1551" s="217" t="str">
        <f>IFERROR(VLOOKUP(B1551, SourceData!$U$3:$V$190, 2, FALSE), "")</f>
        <v/>
      </c>
      <c r="D1551" s="240"/>
      <c r="E1551" s="241"/>
      <c r="F1551" s="248"/>
      <c r="G1551" s="207"/>
      <c r="H1551" s="209"/>
      <c r="I1551" s="209"/>
      <c r="J1551" s="209"/>
      <c r="K1551" s="208" t="str">
        <f>IF(Errors!$I1551=0,SourceData!$B$42,VLOOKUP(Errors!$I1551,SourceData!$A$2:$B$40,2,FALSE))</f>
        <v>Please select ERROR CODE column "I"</v>
      </c>
      <c r="L1551" s="207" t="str">
        <f>IF(Errors!$I1551=0,
    'List of Error Codes'!$E$29,
    IFERROR(VLOOKUP(Errors!$I1551, 'List of Error Codes'!D1550:I1580, 6, FALSE), 'List of Error Codes'!$E$29)
)</f>
        <v>Please select ERROR CODE column "I"</v>
      </c>
      <c r="M1551" s="209"/>
      <c r="N1551" s="209"/>
      <c r="O1551" s="209"/>
      <c r="P1551" s="209"/>
      <c r="Q1551" s="209"/>
      <c r="R1551" s="217"/>
      <c r="S1551" s="217"/>
      <c r="T1551" s="217"/>
      <c r="U1551" s="199"/>
      <c r="V1551" s="200"/>
      <c r="W1551" s="200"/>
      <c r="X1551" s="200"/>
      <c r="Y1551" s="200"/>
      <c r="Z1551" s="200"/>
      <c r="AA1551" s="201"/>
      <c r="AB1551" s="200"/>
      <c r="AC1551" s="200"/>
    </row>
    <row r="1552" ht="15.75" customHeight="1">
      <c r="A1552" s="210">
        <f t="shared" si="1"/>
        <v>1550</v>
      </c>
      <c r="B1552" s="217"/>
      <c r="C1552" s="217" t="str">
        <f>IFERROR(VLOOKUP(B1552, SourceData!$U$3:$V$190, 2, FALSE), "")</f>
        <v/>
      </c>
      <c r="D1552" s="240"/>
      <c r="E1552" s="241"/>
      <c r="F1552" s="248"/>
      <c r="G1552" s="207"/>
      <c r="H1552" s="209"/>
      <c r="I1552" s="209"/>
      <c r="J1552" s="209"/>
      <c r="K1552" s="208" t="str">
        <f>IF(Errors!$I1552=0,SourceData!$B$42,VLOOKUP(Errors!$I1552,SourceData!$A$2:$B$40,2,FALSE))</f>
        <v>Please select ERROR CODE column "I"</v>
      </c>
      <c r="L1552" s="207" t="str">
        <f>IF(Errors!$I1552=0,
    'List of Error Codes'!$E$29,
    IFERROR(VLOOKUP(Errors!$I1552, 'List of Error Codes'!D1551:I1581, 6, FALSE), 'List of Error Codes'!$E$29)
)</f>
        <v>Please select ERROR CODE column "I"</v>
      </c>
      <c r="M1552" s="209"/>
      <c r="N1552" s="209"/>
      <c r="O1552" s="209"/>
      <c r="P1552" s="209"/>
      <c r="Q1552" s="209"/>
      <c r="R1552" s="217"/>
      <c r="S1552" s="217"/>
      <c r="T1552" s="217"/>
      <c r="U1552" s="199"/>
      <c r="V1552" s="200"/>
      <c r="W1552" s="200"/>
      <c r="X1552" s="200"/>
      <c r="Y1552" s="200"/>
      <c r="Z1552" s="200"/>
      <c r="AA1552" s="201"/>
      <c r="AB1552" s="200"/>
      <c r="AC1552" s="200"/>
    </row>
    <row r="1553" ht="15.75" customHeight="1">
      <c r="A1553" s="210">
        <f t="shared" si="1"/>
        <v>1551</v>
      </c>
      <c r="B1553" s="217"/>
      <c r="C1553" s="217" t="str">
        <f>IFERROR(VLOOKUP(B1553, SourceData!$U$3:$V$190, 2, FALSE), "")</f>
        <v/>
      </c>
      <c r="D1553" s="240"/>
      <c r="E1553" s="241"/>
      <c r="F1553" s="248"/>
      <c r="G1553" s="207"/>
      <c r="H1553" s="209"/>
      <c r="I1553" s="209"/>
      <c r="J1553" s="209"/>
      <c r="K1553" s="208" t="str">
        <f>IF(Errors!$I1553=0,SourceData!$B$42,VLOOKUP(Errors!$I1553,SourceData!$A$2:$B$40,2,FALSE))</f>
        <v>Please select ERROR CODE column "I"</v>
      </c>
      <c r="L1553" s="207" t="str">
        <f>IF(Errors!$I1553=0,
    'List of Error Codes'!$E$29,
    IFERROR(VLOOKUP(Errors!$I1553, 'List of Error Codes'!D1552:I1582, 6, FALSE), 'List of Error Codes'!$E$29)
)</f>
        <v>Please select ERROR CODE column "I"</v>
      </c>
      <c r="M1553" s="209"/>
      <c r="N1553" s="209"/>
      <c r="O1553" s="209"/>
      <c r="P1553" s="209"/>
      <c r="Q1553" s="209"/>
      <c r="R1553" s="217"/>
      <c r="S1553" s="217"/>
      <c r="T1553" s="217"/>
      <c r="U1553" s="199"/>
      <c r="V1553" s="200"/>
      <c r="W1553" s="200"/>
      <c r="X1553" s="200"/>
      <c r="Y1553" s="200"/>
      <c r="Z1553" s="200"/>
      <c r="AA1553" s="201"/>
      <c r="AB1553" s="200"/>
      <c r="AC1553" s="200"/>
    </row>
    <row r="1554" ht="15.75" customHeight="1">
      <c r="A1554" s="210">
        <f t="shared" si="1"/>
        <v>1552</v>
      </c>
      <c r="B1554" s="217"/>
      <c r="C1554" s="217" t="str">
        <f>IFERROR(VLOOKUP(B1554, SourceData!$U$3:$V$190, 2, FALSE), "")</f>
        <v/>
      </c>
      <c r="D1554" s="240"/>
      <c r="E1554" s="241"/>
      <c r="F1554" s="248"/>
      <c r="G1554" s="207"/>
      <c r="H1554" s="209"/>
      <c r="I1554" s="209"/>
      <c r="J1554" s="209"/>
      <c r="K1554" s="208" t="str">
        <f>IF(Errors!$I1554=0,SourceData!$B$42,VLOOKUP(Errors!$I1554,SourceData!$A$2:$B$40,2,FALSE))</f>
        <v>Please select ERROR CODE column "I"</v>
      </c>
      <c r="L1554" s="207" t="str">
        <f>IF(Errors!$I1554=0,
    'List of Error Codes'!$E$29,
    IFERROR(VLOOKUP(Errors!$I1554, 'List of Error Codes'!D1553:I1583, 6, FALSE), 'List of Error Codes'!$E$29)
)</f>
        <v>Please select ERROR CODE column "I"</v>
      </c>
      <c r="M1554" s="209"/>
      <c r="N1554" s="209"/>
      <c r="O1554" s="209"/>
      <c r="P1554" s="209"/>
      <c r="Q1554" s="209"/>
      <c r="R1554" s="217"/>
      <c r="S1554" s="217"/>
      <c r="T1554" s="217"/>
      <c r="U1554" s="199"/>
      <c r="V1554" s="200"/>
      <c r="W1554" s="200"/>
      <c r="X1554" s="200"/>
      <c r="Y1554" s="200"/>
      <c r="Z1554" s="200"/>
      <c r="AA1554" s="201"/>
      <c r="AB1554" s="200"/>
      <c r="AC1554" s="200"/>
    </row>
    <row r="1555" ht="15.75" customHeight="1">
      <c r="A1555" s="210">
        <f t="shared" si="1"/>
        <v>1553</v>
      </c>
      <c r="B1555" s="217"/>
      <c r="C1555" s="217" t="str">
        <f>IFERROR(VLOOKUP(B1555, SourceData!$U$3:$V$190, 2, FALSE), "")</f>
        <v/>
      </c>
      <c r="D1555" s="240"/>
      <c r="E1555" s="241"/>
      <c r="F1555" s="248"/>
      <c r="G1555" s="207"/>
      <c r="H1555" s="209"/>
      <c r="I1555" s="209"/>
      <c r="J1555" s="209"/>
      <c r="K1555" s="208" t="str">
        <f>IF(Errors!$I1555=0,SourceData!$B$42,VLOOKUP(Errors!$I1555,SourceData!$A$2:$B$40,2,FALSE))</f>
        <v>Please select ERROR CODE column "I"</v>
      </c>
      <c r="L1555" s="207" t="str">
        <f>IF(Errors!$I1555=0,
    'List of Error Codes'!$E$29,
    IFERROR(VLOOKUP(Errors!$I1555, 'List of Error Codes'!D1554:I1584, 6, FALSE), 'List of Error Codes'!$E$29)
)</f>
        <v>Please select ERROR CODE column "I"</v>
      </c>
      <c r="M1555" s="209"/>
      <c r="N1555" s="209"/>
      <c r="O1555" s="209"/>
      <c r="P1555" s="209"/>
      <c r="Q1555" s="209"/>
      <c r="R1555" s="217"/>
      <c r="S1555" s="217"/>
      <c r="T1555" s="217"/>
      <c r="U1555" s="199"/>
      <c r="V1555" s="200"/>
      <c r="W1555" s="200"/>
      <c r="X1555" s="200"/>
      <c r="Y1555" s="200"/>
      <c r="Z1555" s="200"/>
      <c r="AA1555" s="201"/>
      <c r="AB1555" s="200"/>
      <c r="AC1555" s="200"/>
    </row>
    <row r="1556" ht="15.75" customHeight="1">
      <c r="A1556" s="210">
        <f t="shared" si="1"/>
        <v>1554</v>
      </c>
      <c r="B1556" s="217"/>
      <c r="C1556" s="217" t="str">
        <f>IFERROR(VLOOKUP(B1556, SourceData!$U$3:$V$190, 2, FALSE), "")</f>
        <v/>
      </c>
      <c r="D1556" s="240"/>
      <c r="E1556" s="241"/>
      <c r="F1556" s="248"/>
      <c r="G1556" s="207"/>
      <c r="H1556" s="209"/>
      <c r="I1556" s="209"/>
      <c r="J1556" s="209"/>
      <c r="K1556" s="208" t="str">
        <f>IF(Errors!$I1556=0,SourceData!$B$42,VLOOKUP(Errors!$I1556,SourceData!$A$2:$B$40,2,FALSE))</f>
        <v>Please select ERROR CODE column "I"</v>
      </c>
      <c r="L1556" s="207" t="str">
        <f>IF(Errors!$I1556=0,
    'List of Error Codes'!$E$29,
    IFERROR(VLOOKUP(Errors!$I1556, 'List of Error Codes'!D1555:I1585, 6, FALSE), 'List of Error Codes'!$E$29)
)</f>
        <v>Please select ERROR CODE column "I"</v>
      </c>
      <c r="M1556" s="209"/>
      <c r="N1556" s="209"/>
      <c r="O1556" s="209"/>
      <c r="P1556" s="209"/>
      <c r="Q1556" s="209"/>
      <c r="R1556" s="217"/>
      <c r="S1556" s="217"/>
      <c r="T1556" s="217"/>
      <c r="U1556" s="199"/>
      <c r="V1556" s="200"/>
      <c r="W1556" s="200"/>
      <c r="X1556" s="200"/>
      <c r="Y1556" s="200"/>
      <c r="Z1556" s="200"/>
      <c r="AA1556" s="201"/>
      <c r="AB1556" s="200"/>
      <c r="AC1556" s="200"/>
    </row>
    <row r="1557" ht="15.75" customHeight="1">
      <c r="A1557" s="210">
        <f t="shared" si="1"/>
        <v>1555</v>
      </c>
      <c r="B1557" s="217"/>
      <c r="C1557" s="217" t="str">
        <f>IFERROR(VLOOKUP(B1557, SourceData!$U$3:$V$190, 2, FALSE), "")</f>
        <v/>
      </c>
      <c r="D1557" s="240"/>
      <c r="E1557" s="241"/>
      <c r="F1557" s="248"/>
      <c r="G1557" s="207"/>
      <c r="H1557" s="209"/>
      <c r="I1557" s="209"/>
      <c r="J1557" s="209"/>
      <c r="K1557" s="208" t="str">
        <f>IF(Errors!$I1557=0,SourceData!$B$42,VLOOKUP(Errors!$I1557,SourceData!$A$2:$B$40,2,FALSE))</f>
        <v>Please select ERROR CODE column "I"</v>
      </c>
      <c r="L1557" s="207" t="str">
        <f>IF(Errors!$I1557=0,
    'List of Error Codes'!$E$29,
    IFERROR(VLOOKUP(Errors!$I1557, 'List of Error Codes'!D1556:I1586, 6, FALSE), 'List of Error Codes'!$E$29)
)</f>
        <v>Please select ERROR CODE column "I"</v>
      </c>
      <c r="M1557" s="209"/>
      <c r="N1557" s="209"/>
      <c r="O1557" s="209"/>
      <c r="P1557" s="209"/>
      <c r="Q1557" s="209"/>
      <c r="R1557" s="217"/>
      <c r="S1557" s="217"/>
      <c r="T1557" s="217"/>
      <c r="U1557" s="199"/>
      <c r="V1557" s="200"/>
      <c r="W1557" s="200"/>
      <c r="X1557" s="200"/>
      <c r="Y1557" s="200"/>
      <c r="Z1557" s="200"/>
      <c r="AA1557" s="201"/>
      <c r="AB1557" s="200"/>
      <c r="AC1557" s="200"/>
    </row>
    <row r="1558" ht="15.75" customHeight="1">
      <c r="A1558" s="210">
        <f t="shared" si="1"/>
        <v>1556</v>
      </c>
      <c r="B1558" s="217"/>
      <c r="C1558" s="217" t="str">
        <f>IFERROR(VLOOKUP(B1558, SourceData!$U$3:$V$190, 2, FALSE), "")</f>
        <v/>
      </c>
      <c r="D1558" s="240"/>
      <c r="E1558" s="241"/>
      <c r="F1558" s="248"/>
      <c r="G1558" s="207"/>
      <c r="H1558" s="209"/>
      <c r="I1558" s="209"/>
      <c r="J1558" s="209"/>
      <c r="K1558" s="208" t="str">
        <f>IF(Errors!$I1558=0,SourceData!$B$42,VLOOKUP(Errors!$I1558,SourceData!$A$2:$B$40,2,FALSE))</f>
        <v>Please select ERROR CODE column "I"</v>
      </c>
      <c r="L1558" s="207" t="str">
        <f>IF(Errors!$I1558=0,
    'List of Error Codes'!$E$29,
    IFERROR(VLOOKUP(Errors!$I1558, 'List of Error Codes'!D1557:I1587, 6, FALSE), 'List of Error Codes'!$E$29)
)</f>
        <v>Please select ERROR CODE column "I"</v>
      </c>
      <c r="M1558" s="209"/>
      <c r="N1558" s="209"/>
      <c r="O1558" s="209"/>
      <c r="P1558" s="209"/>
      <c r="Q1558" s="209"/>
      <c r="R1558" s="217"/>
      <c r="S1558" s="217"/>
      <c r="T1558" s="217"/>
      <c r="U1558" s="199"/>
      <c r="V1558" s="200"/>
      <c r="W1558" s="200"/>
      <c r="X1558" s="200"/>
      <c r="Y1558" s="200"/>
      <c r="Z1558" s="200"/>
      <c r="AA1558" s="201"/>
      <c r="AB1558" s="200"/>
      <c r="AC1558" s="200"/>
    </row>
    <row r="1559" ht="15.75" customHeight="1">
      <c r="A1559" s="210">
        <f t="shared" si="1"/>
        <v>1557</v>
      </c>
      <c r="B1559" s="217"/>
      <c r="C1559" s="217" t="str">
        <f>IFERROR(VLOOKUP(B1559, SourceData!$U$3:$V$190, 2, FALSE), "")</f>
        <v/>
      </c>
      <c r="D1559" s="240"/>
      <c r="E1559" s="241"/>
      <c r="F1559" s="248"/>
      <c r="G1559" s="207"/>
      <c r="H1559" s="209"/>
      <c r="I1559" s="209"/>
      <c r="J1559" s="209"/>
      <c r="K1559" s="208" t="str">
        <f>IF(Errors!$I1559=0,SourceData!$B$42,VLOOKUP(Errors!$I1559,SourceData!$A$2:$B$40,2,FALSE))</f>
        <v>Please select ERROR CODE column "I"</v>
      </c>
      <c r="L1559" s="207" t="str">
        <f>IF(Errors!$I1559=0,
    'List of Error Codes'!$E$29,
    IFERROR(VLOOKUP(Errors!$I1559, 'List of Error Codes'!D1558:I1588, 6, FALSE), 'List of Error Codes'!$E$29)
)</f>
        <v>Please select ERROR CODE column "I"</v>
      </c>
      <c r="M1559" s="209"/>
      <c r="N1559" s="209"/>
      <c r="O1559" s="209"/>
      <c r="P1559" s="209"/>
      <c r="Q1559" s="209"/>
      <c r="R1559" s="217"/>
      <c r="S1559" s="217"/>
      <c r="T1559" s="217"/>
      <c r="U1559" s="199"/>
      <c r="V1559" s="200"/>
      <c r="W1559" s="200"/>
      <c r="X1559" s="200"/>
      <c r="Y1559" s="200"/>
      <c r="Z1559" s="200"/>
      <c r="AA1559" s="201"/>
      <c r="AB1559" s="200"/>
      <c r="AC1559" s="200"/>
    </row>
    <row r="1560" ht="15.75" customHeight="1">
      <c r="A1560" s="210">
        <f t="shared" si="1"/>
        <v>1558</v>
      </c>
      <c r="B1560" s="217"/>
      <c r="C1560" s="217" t="str">
        <f>IFERROR(VLOOKUP(B1560, SourceData!$U$3:$V$190, 2, FALSE), "")</f>
        <v/>
      </c>
      <c r="D1560" s="240"/>
      <c r="E1560" s="241"/>
      <c r="F1560" s="248"/>
      <c r="G1560" s="207"/>
      <c r="H1560" s="209"/>
      <c r="I1560" s="209"/>
      <c r="J1560" s="209"/>
      <c r="K1560" s="208" t="str">
        <f>IF(Errors!$I1560=0,SourceData!$B$42,VLOOKUP(Errors!$I1560,SourceData!$A$2:$B$40,2,FALSE))</f>
        <v>Please select ERROR CODE column "I"</v>
      </c>
      <c r="L1560" s="207" t="str">
        <f>IF(Errors!$I1560=0,
    'List of Error Codes'!$E$29,
    IFERROR(VLOOKUP(Errors!$I1560, 'List of Error Codes'!D1559:I1589, 6, FALSE), 'List of Error Codes'!$E$29)
)</f>
        <v>Please select ERROR CODE column "I"</v>
      </c>
      <c r="M1560" s="209"/>
      <c r="N1560" s="209"/>
      <c r="O1560" s="209"/>
      <c r="P1560" s="209"/>
      <c r="Q1560" s="209"/>
      <c r="R1560" s="217"/>
      <c r="S1560" s="217"/>
      <c r="T1560" s="217"/>
      <c r="U1560" s="199"/>
      <c r="V1560" s="200"/>
      <c r="W1560" s="200"/>
      <c r="X1560" s="200"/>
      <c r="Y1560" s="200"/>
      <c r="Z1560" s="200"/>
      <c r="AA1560" s="201"/>
      <c r="AB1560" s="200"/>
      <c r="AC1560" s="200"/>
    </row>
    <row r="1561" ht="15.75" customHeight="1">
      <c r="A1561" s="210">
        <f t="shared" si="1"/>
        <v>1559</v>
      </c>
      <c r="B1561" s="217"/>
      <c r="C1561" s="217" t="str">
        <f>IFERROR(VLOOKUP(B1561, SourceData!$U$3:$V$190, 2, FALSE), "")</f>
        <v/>
      </c>
      <c r="D1561" s="240"/>
      <c r="E1561" s="241"/>
      <c r="F1561" s="248"/>
      <c r="G1561" s="207"/>
      <c r="H1561" s="209"/>
      <c r="I1561" s="209"/>
      <c r="J1561" s="209"/>
      <c r="K1561" s="208" t="str">
        <f>IF(Errors!$I1561=0,SourceData!$B$42,VLOOKUP(Errors!$I1561,SourceData!$A$2:$B$40,2,FALSE))</f>
        <v>Please select ERROR CODE column "I"</v>
      </c>
      <c r="L1561" s="207" t="str">
        <f>IF(Errors!$I1561=0,
    'List of Error Codes'!$E$29,
    IFERROR(VLOOKUP(Errors!$I1561, 'List of Error Codes'!D1560:I1590, 6, FALSE), 'List of Error Codes'!$E$29)
)</f>
        <v>Please select ERROR CODE column "I"</v>
      </c>
      <c r="M1561" s="209"/>
      <c r="N1561" s="209"/>
      <c r="O1561" s="209"/>
      <c r="P1561" s="209"/>
      <c r="Q1561" s="209"/>
      <c r="R1561" s="217"/>
      <c r="S1561" s="217"/>
      <c r="T1561" s="217"/>
      <c r="U1561" s="199"/>
      <c r="V1561" s="200"/>
      <c r="W1561" s="200"/>
      <c r="X1561" s="200"/>
      <c r="Y1561" s="200"/>
      <c r="Z1561" s="200"/>
      <c r="AA1561" s="201"/>
      <c r="AB1561" s="200"/>
      <c r="AC1561" s="200"/>
    </row>
    <row r="1562" ht="15.75" customHeight="1">
      <c r="A1562" s="210">
        <f t="shared" si="1"/>
        <v>1560</v>
      </c>
      <c r="B1562" s="217"/>
      <c r="C1562" s="217" t="str">
        <f>IFERROR(VLOOKUP(B1562, SourceData!$U$3:$V$190, 2, FALSE), "")</f>
        <v/>
      </c>
      <c r="D1562" s="240"/>
      <c r="E1562" s="241"/>
      <c r="F1562" s="248"/>
      <c r="G1562" s="207"/>
      <c r="H1562" s="209"/>
      <c r="I1562" s="209"/>
      <c r="J1562" s="209"/>
      <c r="K1562" s="208" t="str">
        <f>IF(Errors!$I1562=0,SourceData!$B$42,VLOOKUP(Errors!$I1562,SourceData!$A$2:$B$40,2,FALSE))</f>
        <v>Please select ERROR CODE column "I"</v>
      </c>
      <c r="L1562" s="207" t="str">
        <f>IF(Errors!$I1562=0,
    'List of Error Codes'!$E$29,
    IFERROR(VLOOKUP(Errors!$I1562, 'List of Error Codes'!D1561:I1591, 6, FALSE), 'List of Error Codes'!$E$29)
)</f>
        <v>Please select ERROR CODE column "I"</v>
      </c>
      <c r="M1562" s="209"/>
      <c r="N1562" s="209"/>
      <c r="O1562" s="209"/>
      <c r="P1562" s="209"/>
      <c r="Q1562" s="209"/>
      <c r="R1562" s="217"/>
      <c r="S1562" s="217"/>
      <c r="T1562" s="217"/>
      <c r="U1562" s="199"/>
      <c r="V1562" s="200"/>
      <c r="W1562" s="200"/>
      <c r="X1562" s="200"/>
      <c r="Y1562" s="200"/>
      <c r="Z1562" s="200"/>
      <c r="AA1562" s="201"/>
      <c r="AB1562" s="200"/>
      <c r="AC1562" s="200"/>
    </row>
    <row r="1563" ht="15.75" customHeight="1">
      <c r="A1563" s="210">
        <f t="shared" si="1"/>
        <v>1561</v>
      </c>
      <c r="B1563" s="217"/>
      <c r="C1563" s="217" t="str">
        <f>IFERROR(VLOOKUP(B1563, SourceData!$U$3:$V$190, 2, FALSE), "")</f>
        <v/>
      </c>
      <c r="D1563" s="240"/>
      <c r="E1563" s="241"/>
      <c r="F1563" s="248"/>
      <c r="G1563" s="207"/>
      <c r="H1563" s="209"/>
      <c r="I1563" s="209"/>
      <c r="J1563" s="209"/>
      <c r="K1563" s="208" t="str">
        <f>IF(Errors!$I1563=0,SourceData!$B$42,VLOOKUP(Errors!$I1563,SourceData!$A$2:$B$40,2,FALSE))</f>
        <v>Please select ERROR CODE column "I"</v>
      </c>
      <c r="L1563" s="207" t="str">
        <f>IF(Errors!$I1563=0,
    'List of Error Codes'!$E$29,
    IFERROR(VLOOKUP(Errors!$I1563, 'List of Error Codes'!D1562:I1592, 6, FALSE), 'List of Error Codes'!$E$29)
)</f>
        <v>Please select ERROR CODE column "I"</v>
      </c>
      <c r="M1563" s="209"/>
      <c r="N1563" s="209"/>
      <c r="O1563" s="209"/>
      <c r="P1563" s="209"/>
      <c r="Q1563" s="209"/>
      <c r="R1563" s="217"/>
      <c r="S1563" s="217"/>
      <c r="T1563" s="217"/>
      <c r="U1563" s="199"/>
      <c r="V1563" s="200"/>
      <c r="W1563" s="200"/>
      <c r="X1563" s="200"/>
      <c r="Y1563" s="200"/>
      <c r="Z1563" s="200"/>
      <c r="AA1563" s="201"/>
      <c r="AB1563" s="200"/>
      <c r="AC1563" s="200"/>
    </row>
    <row r="1564" ht="15.75" customHeight="1">
      <c r="A1564" s="210">
        <f t="shared" si="1"/>
        <v>1562</v>
      </c>
      <c r="B1564" s="217"/>
      <c r="C1564" s="217" t="str">
        <f>IFERROR(VLOOKUP(B1564, SourceData!$U$3:$V$190, 2, FALSE), "")</f>
        <v/>
      </c>
      <c r="D1564" s="240"/>
      <c r="E1564" s="241"/>
      <c r="F1564" s="248"/>
      <c r="G1564" s="207"/>
      <c r="H1564" s="209"/>
      <c r="I1564" s="209"/>
      <c r="J1564" s="209"/>
      <c r="K1564" s="208" t="str">
        <f>IF(Errors!$I1564=0,SourceData!$B$42,VLOOKUP(Errors!$I1564,SourceData!$A$2:$B$40,2,FALSE))</f>
        <v>Please select ERROR CODE column "I"</v>
      </c>
      <c r="L1564" s="207" t="str">
        <f>IF(Errors!$I1564=0,
    'List of Error Codes'!$E$29,
    IFERROR(VLOOKUP(Errors!$I1564, 'List of Error Codes'!D1563:I1593, 6, FALSE), 'List of Error Codes'!$E$29)
)</f>
        <v>Please select ERROR CODE column "I"</v>
      </c>
      <c r="M1564" s="209"/>
      <c r="N1564" s="209"/>
      <c r="O1564" s="209"/>
      <c r="P1564" s="209"/>
      <c r="Q1564" s="209"/>
      <c r="R1564" s="217"/>
      <c r="S1564" s="217"/>
      <c r="T1564" s="217"/>
      <c r="U1564" s="199"/>
      <c r="V1564" s="200"/>
      <c r="W1564" s="200"/>
      <c r="X1564" s="200"/>
      <c r="Y1564" s="200"/>
      <c r="Z1564" s="200"/>
      <c r="AA1564" s="201"/>
      <c r="AB1564" s="200"/>
      <c r="AC1564" s="200"/>
    </row>
    <row r="1565" ht="15.75" customHeight="1">
      <c r="A1565" s="210">
        <f t="shared" si="1"/>
        <v>1563</v>
      </c>
      <c r="B1565" s="217"/>
      <c r="C1565" s="217" t="str">
        <f>IFERROR(VLOOKUP(B1565, SourceData!$U$3:$V$190, 2, FALSE), "")</f>
        <v/>
      </c>
      <c r="D1565" s="240"/>
      <c r="E1565" s="241"/>
      <c r="F1565" s="248"/>
      <c r="G1565" s="207"/>
      <c r="H1565" s="209"/>
      <c r="I1565" s="209"/>
      <c r="J1565" s="209"/>
      <c r="K1565" s="208" t="str">
        <f>IF(Errors!$I1565=0,SourceData!$B$42,VLOOKUP(Errors!$I1565,SourceData!$A$2:$B$40,2,FALSE))</f>
        <v>Please select ERROR CODE column "I"</v>
      </c>
      <c r="L1565" s="207" t="str">
        <f>IF(Errors!$I1565=0,
    'List of Error Codes'!$E$29,
    IFERROR(VLOOKUP(Errors!$I1565, 'List of Error Codes'!D1564:I1594, 6, FALSE), 'List of Error Codes'!$E$29)
)</f>
        <v>Please select ERROR CODE column "I"</v>
      </c>
      <c r="M1565" s="209"/>
      <c r="N1565" s="209"/>
      <c r="O1565" s="209"/>
      <c r="P1565" s="209"/>
      <c r="Q1565" s="209"/>
      <c r="R1565" s="217"/>
      <c r="S1565" s="217"/>
      <c r="T1565" s="217"/>
      <c r="U1565" s="199"/>
      <c r="V1565" s="200"/>
      <c r="W1565" s="200"/>
      <c r="X1565" s="200"/>
      <c r="Y1565" s="200"/>
      <c r="Z1565" s="200"/>
      <c r="AA1565" s="201"/>
      <c r="AB1565" s="200"/>
      <c r="AC1565" s="200"/>
    </row>
    <row r="1566" ht="15.75" customHeight="1">
      <c r="A1566" s="210">
        <f t="shared" si="1"/>
        <v>1564</v>
      </c>
      <c r="B1566" s="217"/>
      <c r="C1566" s="217" t="str">
        <f>IFERROR(VLOOKUP(B1566, SourceData!$U$3:$V$190, 2, FALSE), "")</f>
        <v/>
      </c>
      <c r="D1566" s="240"/>
      <c r="E1566" s="241"/>
      <c r="F1566" s="248"/>
      <c r="G1566" s="207"/>
      <c r="H1566" s="209"/>
      <c r="I1566" s="209"/>
      <c r="J1566" s="209"/>
      <c r="K1566" s="208" t="str">
        <f>IF(Errors!$I1566=0,SourceData!$B$42,VLOOKUP(Errors!$I1566,SourceData!$A$2:$B$40,2,FALSE))</f>
        <v>Please select ERROR CODE column "I"</v>
      </c>
      <c r="L1566" s="207" t="str">
        <f>IF(Errors!$I1566=0,
    'List of Error Codes'!$E$29,
    IFERROR(VLOOKUP(Errors!$I1566, 'List of Error Codes'!D1565:I1595, 6, FALSE), 'List of Error Codes'!$E$29)
)</f>
        <v>Please select ERROR CODE column "I"</v>
      </c>
      <c r="M1566" s="209"/>
      <c r="N1566" s="209"/>
      <c r="O1566" s="209"/>
      <c r="P1566" s="209"/>
      <c r="Q1566" s="209"/>
      <c r="R1566" s="217"/>
      <c r="S1566" s="217"/>
      <c r="T1566" s="217"/>
      <c r="U1566" s="199"/>
      <c r="V1566" s="200"/>
      <c r="W1566" s="200"/>
      <c r="X1566" s="200"/>
      <c r="Y1566" s="200"/>
      <c r="Z1566" s="200"/>
      <c r="AA1566" s="201"/>
      <c r="AB1566" s="200"/>
      <c r="AC1566" s="200"/>
    </row>
    <row r="1567" ht="15.75" customHeight="1">
      <c r="A1567" s="210">
        <f t="shared" si="1"/>
        <v>1565</v>
      </c>
      <c r="B1567" s="217"/>
      <c r="C1567" s="217" t="str">
        <f>IFERROR(VLOOKUP(B1567, SourceData!$U$3:$V$190, 2, FALSE), "")</f>
        <v/>
      </c>
      <c r="D1567" s="240"/>
      <c r="E1567" s="241"/>
      <c r="F1567" s="248"/>
      <c r="G1567" s="207"/>
      <c r="H1567" s="209"/>
      <c r="I1567" s="209"/>
      <c r="J1567" s="209"/>
      <c r="K1567" s="208" t="str">
        <f>IF(Errors!$I1567=0,SourceData!$B$42,VLOOKUP(Errors!$I1567,SourceData!$A$2:$B$40,2,FALSE))</f>
        <v>Please select ERROR CODE column "I"</v>
      </c>
      <c r="L1567" s="207" t="str">
        <f>IF(Errors!$I1567=0,
    'List of Error Codes'!$E$29,
    IFERROR(VLOOKUP(Errors!$I1567, 'List of Error Codes'!D1566:I1596, 6, FALSE), 'List of Error Codes'!$E$29)
)</f>
        <v>Please select ERROR CODE column "I"</v>
      </c>
      <c r="M1567" s="209"/>
      <c r="N1567" s="209"/>
      <c r="O1567" s="209"/>
      <c r="P1567" s="209"/>
      <c r="Q1567" s="209"/>
      <c r="R1567" s="217"/>
      <c r="S1567" s="217"/>
      <c r="T1567" s="217"/>
      <c r="U1567" s="199"/>
      <c r="V1567" s="200"/>
      <c r="W1567" s="200"/>
      <c r="X1567" s="200"/>
      <c r="Y1567" s="200"/>
      <c r="Z1567" s="200"/>
      <c r="AA1567" s="201"/>
      <c r="AB1567" s="200"/>
      <c r="AC1567" s="200"/>
    </row>
    <row r="1568" ht="15.75" customHeight="1">
      <c r="A1568" s="210">
        <f t="shared" si="1"/>
        <v>1566</v>
      </c>
      <c r="B1568" s="217"/>
      <c r="C1568" s="217" t="str">
        <f>IFERROR(VLOOKUP(B1568, SourceData!$U$3:$V$190, 2, FALSE), "")</f>
        <v/>
      </c>
      <c r="D1568" s="240"/>
      <c r="E1568" s="241"/>
      <c r="F1568" s="248"/>
      <c r="G1568" s="207"/>
      <c r="H1568" s="209"/>
      <c r="I1568" s="209"/>
      <c r="J1568" s="209"/>
      <c r="K1568" s="208" t="str">
        <f>IF(Errors!$I1568=0,SourceData!$B$42,VLOOKUP(Errors!$I1568,SourceData!$A$2:$B$40,2,FALSE))</f>
        <v>Please select ERROR CODE column "I"</v>
      </c>
      <c r="L1568" s="207" t="str">
        <f>IF(Errors!$I1568=0,
    'List of Error Codes'!$E$29,
    IFERROR(VLOOKUP(Errors!$I1568, 'List of Error Codes'!D1567:I1597, 6, FALSE), 'List of Error Codes'!$E$29)
)</f>
        <v>Please select ERROR CODE column "I"</v>
      </c>
      <c r="M1568" s="209"/>
      <c r="N1568" s="209"/>
      <c r="O1568" s="209"/>
      <c r="P1568" s="209"/>
      <c r="Q1568" s="209"/>
      <c r="R1568" s="217"/>
      <c r="S1568" s="217"/>
      <c r="T1568" s="217"/>
      <c r="U1568" s="199"/>
      <c r="V1568" s="200"/>
      <c r="W1568" s="200"/>
      <c r="X1568" s="200"/>
      <c r="Y1568" s="200"/>
      <c r="Z1568" s="200"/>
      <c r="AA1568" s="201"/>
      <c r="AB1568" s="200"/>
      <c r="AC1568" s="200"/>
    </row>
    <row r="1569" ht="15.75" customHeight="1">
      <c r="A1569" s="210">
        <f t="shared" si="1"/>
        <v>1567</v>
      </c>
      <c r="B1569" s="217"/>
      <c r="C1569" s="217" t="str">
        <f>IFERROR(VLOOKUP(B1569, SourceData!$U$3:$V$190, 2, FALSE), "")</f>
        <v/>
      </c>
      <c r="D1569" s="240"/>
      <c r="E1569" s="241"/>
      <c r="F1569" s="248"/>
      <c r="G1569" s="207"/>
      <c r="H1569" s="209"/>
      <c r="I1569" s="209"/>
      <c r="J1569" s="209"/>
      <c r="K1569" s="208" t="str">
        <f>IF(Errors!$I1569=0,SourceData!$B$42,VLOOKUP(Errors!$I1569,SourceData!$A$2:$B$40,2,FALSE))</f>
        <v>Please select ERROR CODE column "I"</v>
      </c>
      <c r="L1569" s="207" t="str">
        <f>IF(Errors!$I1569=0,
    'List of Error Codes'!$E$29,
    IFERROR(VLOOKUP(Errors!$I1569, 'List of Error Codes'!D1568:I1598, 6, FALSE), 'List of Error Codes'!$E$29)
)</f>
        <v>Please select ERROR CODE column "I"</v>
      </c>
      <c r="M1569" s="209"/>
      <c r="N1569" s="209"/>
      <c r="O1569" s="209"/>
      <c r="P1569" s="209"/>
      <c r="Q1569" s="209"/>
      <c r="R1569" s="217"/>
      <c r="S1569" s="217"/>
      <c r="T1569" s="217"/>
      <c r="U1569" s="199"/>
      <c r="V1569" s="200"/>
      <c r="W1569" s="200"/>
      <c r="X1569" s="200"/>
      <c r="Y1569" s="200"/>
      <c r="Z1569" s="200"/>
      <c r="AA1569" s="201"/>
      <c r="AB1569" s="200"/>
      <c r="AC1569" s="200"/>
    </row>
    <row r="1570" ht="15.75" customHeight="1">
      <c r="A1570" s="210">
        <f t="shared" si="1"/>
        <v>1568</v>
      </c>
      <c r="B1570" s="217"/>
      <c r="C1570" s="217" t="str">
        <f>IFERROR(VLOOKUP(B1570, SourceData!$U$3:$V$190, 2, FALSE), "")</f>
        <v/>
      </c>
      <c r="D1570" s="240"/>
      <c r="E1570" s="241"/>
      <c r="F1570" s="248"/>
      <c r="G1570" s="207"/>
      <c r="H1570" s="209"/>
      <c r="I1570" s="209"/>
      <c r="J1570" s="209"/>
      <c r="K1570" s="208" t="str">
        <f>IF(Errors!$I1570=0,SourceData!$B$42,VLOOKUP(Errors!$I1570,SourceData!$A$2:$B$40,2,FALSE))</f>
        <v>Please select ERROR CODE column "I"</v>
      </c>
      <c r="L1570" s="207" t="str">
        <f>IF(Errors!$I1570=0,
    'List of Error Codes'!$E$29,
    IFERROR(VLOOKUP(Errors!$I1570, 'List of Error Codes'!D1569:I1599, 6, FALSE), 'List of Error Codes'!$E$29)
)</f>
        <v>Please select ERROR CODE column "I"</v>
      </c>
      <c r="M1570" s="209"/>
      <c r="N1570" s="209"/>
      <c r="O1570" s="209"/>
      <c r="P1570" s="209"/>
      <c r="Q1570" s="209"/>
      <c r="R1570" s="217"/>
      <c r="S1570" s="217"/>
      <c r="T1570" s="217"/>
      <c r="U1570" s="199"/>
      <c r="V1570" s="200"/>
      <c r="W1570" s="200"/>
      <c r="X1570" s="200"/>
      <c r="Y1570" s="200"/>
      <c r="Z1570" s="200"/>
      <c r="AA1570" s="201"/>
      <c r="AB1570" s="200"/>
      <c r="AC1570" s="200"/>
    </row>
    <row r="1571" ht="15.75" customHeight="1">
      <c r="A1571" s="210">
        <f t="shared" si="1"/>
        <v>1569</v>
      </c>
      <c r="B1571" s="217"/>
      <c r="C1571" s="217" t="str">
        <f>IFERROR(VLOOKUP(B1571, SourceData!$U$3:$V$190, 2, FALSE), "")</f>
        <v/>
      </c>
      <c r="D1571" s="240"/>
      <c r="E1571" s="241"/>
      <c r="F1571" s="248"/>
      <c r="G1571" s="207"/>
      <c r="H1571" s="209"/>
      <c r="I1571" s="209"/>
      <c r="J1571" s="209"/>
      <c r="K1571" s="208" t="str">
        <f>IF(Errors!$I1571=0,SourceData!$B$42,VLOOKUP(Errors!$I1571,SourceData!$A$2:$B$40,2,FALSE))</f>
        <v>Please select ERROR CODE column "I"</v>
      </c>
      <c r="L1571" s="207" t="str">
        <f>IF(Errors!$I1571=0,
    'List of Error Codes'!$E$29,
    IFERROR(VLOOKUP(Errors!$I1571, 'List of Error Codes'!D1570:I1600, 6, FALSE), 'List of Error Codes'!$E$29)
)</f>
        <v>Please select ERROR CODE column "I"</v>
      </c>
      <c r="M1571" s="209"/>
      <c r="N1571" s="209"/>
      <c r="O1571" s="209"/>
      <c r="P1571" s="209"/>
      <c r="Q1571" s="209"/>
      <c r="R1571" s="217"/>
      <c r="S1571" s="217"/>
      <c r="T1571" s="217"/>
      <c r="U1571" s="199"/>
      <c r="V1571" s="200"/>
      <c r="W1571" s="200"/>
      <c r="X1571" s="200"/>
      <c r="Y1571" s="200"/>
      <c r="Z1571" s="200"/>
      <c r="AA1571" s="201"/>
      <c r="AB1571" s="200"/>
      <c r="AC1571" s="200"/>
    </row>
    <row r="1572" ht="15.75" customHeight="1">
      <c r="A1572" s="210">
        <f t="shared" si="1"/>
        <v>1570</v>
      </c>
      <c r="B1572" s="217"/>
      <c r="C1572" s="217" t="str">
        <f>IFERROR(VLOOKUP(B1572, SourceData!$U$3:$V$190, 2, FALSE), "")</f>
        <v/>
      </c>
      <c r="D1572" s="240"/>
      <c r="E1572" s="241"/>
      <c r="F1572" s="248"/>
      <c r="G1572" s="207"/>
      <c r="H1572" s="209"/>
      <c r="I1572" s="209"/>
      <c r="J1572" s="209"/>
      <c r="K1572" s="208" t="str">
        <f>IF(Errors!$I1572=0,SourceData!$B$42,VLOOKUP(Errors!$I1572,SourceData!$A$2:$B$40,2,FALSE))</f>
        <v>Please select ERROR CODE column "I"</v>
      </c>
      <c r="L1572" s="207" t="str">
        <f>IF(Errors!$I1572=0,
    'List of Error Codes'!$E$29,
    IFERROR(VLOOKUP(Errors!$I1572, 'List of Error Codes'!D1571:I1601, 6, FALSE), 'List of Error Codes'!$E$29)
)</f>
        <v>Please select ERROR CODE column "I"</v>
      </c>
      <c r="M1572" s="209"/>
      <c r="N1572" s="209"/>
      <c r="O1572" s="209"/>
      <c r="P1572" s="209"/>
      <c r="Q1572" s="209"/>
      <c r="R1572" s="217"/>
      <c r="S1572" s="217"/>
      <c r="T1572" s="217"/>
      <c r="U1572" s="199"/>
      <c r="V1572" s="200"/>
      <c r="W1572" s="200"/>
      <c r="X1572" s="200"/>
      <c r="Y1572" s="200"/>
      <c r="Z1572" s="200"/>
      <c r="AA1572" s="201"/>
      <c r="AB1572" s="200"/>
      <c r="AC1572" s="200"/>
    </row>
    <row r="1573" ht="15.75" customHeight="1">
      <c r="A1573" s="210">
        <f t="shared" si="1"/>
        <v>1571</v>
      </c>
      <c r="B1573" s="217"/>
      <c r="C1573" s="217" t="str">
        <f>IFERROR(VLOOKUP(B1573, SourceData!$U$3:$V$190, 2, FALSE), "")</f>
        <v/>
      </c>
      <c r="D1573" s="240"/>
      <c r="E1573" s="241"/>
      <c r="F1573" s="248"/>
      <c r="G1573" s="207"/>
      <c r="H1573" s="209"/>
      <c r="I1573" s="209"/>
      <c r="J1573" s="209"/>
      <c r="K1573" s="208" t="str">
        <f>IF(Errors!$I1573=0,SourceData!$B$42,VLOOKUP(Errors!$I1573,SourceData!$A$2:$B$40,2,FALSE))</f>
        <v>Please select ERROR CODE column "I"</v>
      </c>
      <c r="L1573" s="207" t="str">
        <f>IF(Errors!$I1573=0,
    'List of Error Codes'!$E$29,
    IFERROR(VLOOKUP(Errors!$I1573, 'List of Error Codes'!D1572:I1602, 6, FALSE), 'List of Error Codes'!$E$29)
)</f>
        <v>Please select ERROR CODE column "I"</v>
      </c>
      <c r="M1573" s="209"/>
      <c r="N1573" s="209"/>
      <c r="O1573" s="209"/>
      <c r="P1573" s="209"/>
      <c r="Q1573" s="209"/>
      <c r="R1573" s="217"/>
      <c r="S1573" s="217"/>
      <c r="T1573" s="217"/>
      <c r="U1573" s="199"/>
      <c r="V1573" s="200"/>
      <c r="W1573" s="200"/>
      <c r="X1573" s="200"/>
      <c r="Y1573" s="200"/>
      <c r="Z1573" s="200"/>
      <c r="AA1573" s="201"/>
      <c r="AB1573" s="200"/>
      <c r="AC1573" s="200"/>
    </row>
    <row r="1574" ht="15.75" customHeight="1">
      <c r="A1574" s="210">
        <f t="shared" si="1"/>
        <v>1572</v>
      </c>
      <c r="B1574" s="217"/>
      <c r="C1574" s="217" t="str">
        <f>IFERROR(VLOOKUP(B1574, SourceData!$U$3:$V$190, 2, FALSE), "")</f>
        <v/>
      </c>
      <c r="D1574" s="240"/>
      <c r="E1574" s="241"/>
      <c r="F1574" s="248"/>
      <c r="G1574" s="207"/>
      <c r="H1574" s="209"/>
      <c r="I1574" s="209"/>
      <c r="J1574" s="209"/>
      <c r="K1574" s="208" t="str">
        <f>IF(Errors!$I1574=0,SourceData!$B$42,VLOOKUP(Errors!$I1574,SourceData!$A$2:$B$40,2,FALSE))</f>
        <v>Please select ERROR CODE column "I"</v>
      </c>
      <c r="L1574" s="207" t="str">
        <f>IF(Errors!$I1574=0,
    'List of Error Codes'!$E$29,
    IFERROR(VLOOKUP(Errors!$I1574, 'List of Error Codes'!D1573:I1603, 6, FALSE), 'List of Error Codes'!$E$29)
)</f>
        <v>Please select ERROR CODE column "I"</v>
      </c>
      <c r="M1574" s="209"/>
      <c r="N1574" s="209"/>
      <c r="O1574" s="209"/>
      <c r="P1574" s="209"/>
      <c r="Q1574" s="209"/>
      <c r="R1574" s="217"/>
      <c r="S1574" s="217"/>
      <c r="T1574" s="217"/>
      <c r="U1574" s="199"/>
      <c r="V1574" s="200"/>
      <c r="W1574" s="200"/>
      <c r="X1574" s="200"/>
      <c r="Y1574" s="200"/>
      <c r="Z1574" s="200"/>
      <c r="AA1574" s="201"/>
      <c r="AB1574" s="200"/>
      <c r="AC1574" s="200"/>
    </row>
    <row r="1575" ht="15.75" customHeight="1">
      <c r="A1575" s="210">
        <f t="shared" si="1"/>
        <v>1573</v>
      </c>
      <c r="B1575" s="217"/>
      <c r="C1575" s="217" t="str">
        <f>IFERROR(VLOOKUP(B1575, SourceData!$U$3:$V$190, 2, FALSE), "")</f>
        <v/>
      </c>
      <c r="D1575" s="240"/>
      <c r="E1575" s="241"/>
      <c r="F1575" s="248"/>
      <c r="G1575" s="207"/>
      <c r="H1575" s="209"/>
      <c r="I1575" s="209"/>
      <c r="J1575" s="209"/>
      <c r="K1575" s="208" t="str">
        <f>IF(Errors!$I1575=0,SourceData!$B$42,VLOOKUP(Errors!$I1575,SourceData!$A$2:$B$40,2,FALSE))</f>
        <v>Please select ERROR CODE column "I"</v>
      </c>
      <c r="L1575" s="207" t="str">
        <f>IF(Errors!$I1575=0,
    'List of Error Codes'!$E$29,
    IFERROR(VLOOKUP(Errors!$I1575, 'List of Error Codes'!D1574:I1604, 6, FALSE), 'List of Error Codes'!$E$29)
)</f>
        <v>Please select ERROR CODE column "I"</v>
      </c>
      <c r="M1575" s="209"/>
      <c r="N1575" s="209"/>
      <c r="O1575" s="209"/>
      <c r="P1575" s="209"/>
      <c r="Q1575" s="209"/>
      <c r="R1575" s="217"/>
      <c r="S1575" s="217"/>
      <c r="T1575" s="217"/>
      <c r="U1575" s="199"/>
      <c r="V1575" s="200"/>
      <c r="W1575" s="200"/>
      <c r="X1575" s="200"/>
      <c r="Y1575" s="200"/>
      <c r="Z1575" s="200"/>
      <c r="AA1575" s="201"/>
      <c r="AB1575" s="200"/>
      <c r="AC1575" s="200"/>
    </row>
    <row r="1576" ht="15.75" customHeight="1">
      <c r="A1576" s="210">
        <f t="shared" si="1"/>
        <v>1574</v>
      </c>
      <c r="B1576" s="217"/>
      <c r="C1576" s="217" t="str">
        <f>IFERROR(VLOOKUP(B1576, SourceData!$U$3:$V$190, 2, FALSE), "")</f>
        <v/>
      </c>
      <c r="D1576" s="240"/>
      <c r="E1576" s="241"/>
      <c r="F1576" s="248"/>
      <c r="G1576" s="207"/>
      <c r="H1576" s="209"/>
      <c r="I1576" s="209"/>
      <c r="J1576" s="209"/>
      <c r="K1576" s="208" t="str">
        <f>IF(Errors!$I1576=0,SourceData!$B$42,VLOOKUP(Errors!$I1576,SourceData!$A$2:$B$40,2,FALSE))</f>
        <v>Please select ERROR CODE column "I"</v>
      </c>
      <c r="L1576" s="207" t="str">
        <f>IF(Errors!$I1576=0,
    'List of Error Codes'!$E$29,
    IFERROR(VLOOKUP(Errors!$I1576, 'List of Error Codes'!D1575:I1605, 6, FALSE), 'List of Error Codes'!$E$29)
)</f>
        <v>Please select ERROR CODE column "I"</v>
      </c>
      <c r="M1576" s="209"/>
      <c r="N1576" s="209"/>
      <c r="O1576" s="209"/>
      <c r="P1576" s="209"/>
      <c r="Q1576" s="209"/>
      <c r="R1576" s="217"/>
      <c r="S1576" s="217"/>
      <c r="T1576" s="217"/>
      <c r="U1576" s="199"/>
      <c r="V1576" s="200"/>
      <c r="W1576" s="200"/>
      <c r="X1576" s="200"/>
      <c r="Y1576" s="200"/>
      <c r="Z1576" s="200"/>
      <c r="AA1576" s="201"/>
      <c r="AB1576" s="200"/>
      <c r="AC1576" s="200"/>
    </row>
    <row r="1577" ht="15.75" customHeight="1">
      <c r="A1577" s="210">
        <f t="shared" si="1"/>
        <v>1575</v>
      </c>
      <c r="B1577" s="217"/>
      <c r="C1577" s="217" t="str">
        <f>IFERROR(VLOOKUP(B1577, SourceData!$U$3:$V$190, 2, FALSE), "")</f>
        <v/>
      </c>
      <c r="D1577" s="240"/>
      <c r="E1577" s="241"/>
      <c r="F1577" s="248"/>
      <c r="G1577" s="207"/>
      <c r="H1577" s="209"/>
      <c r="I1577" s="209"/>
      <c r="J1577" s="209"/>
      <c r="K1577" s="208" t="str">
        <f>IF(Errors!$I1577=0,SourceData!$B$42,VLOOKUP(Errors!$I1577,SourceData!$A$2:$B$40,2,FALSE))</f>
        <v>Please select ERROR CODE column "I"</v>
      </c>
      <c r="L1577" s="207" t="str">
        <f>IF(Errors!$I1577=0,
    'List of Error Codes'!$E$29,
    IFERROR(VLOOKUP(Errors!$I1577, 'List of Error Codes'!D1576:I1606, 6, FALSE), 'List of Error Codes'!$E$29)
)</f>
        <v>Please select ERROR CODE column "I"</v>
      </c>
      <c r="M1577" s="209"/>
      <c r="N1577" s="209"/>
      <c r="O1577" s="209"/>
      <c r="P1577" s="209"/>
      <c r="Q1577" s="209"/>
      <c r="R1577" s="217"/>
      <c r="S1577" s="217"/>
      <c r="T1577" s="217"/>
      <c r="U1577" s="199"/>
      <c r="V1577" s="200"/>
      <c r="W1577" s="200"/>
      <c r="X1577" s="200"/>
      <c r="Y1577" s="200"/>
      <c r="Z1577" s="200"/>
      <c r="AA1577" s="201"/>
      <c r="AB1577" s="200"/>
      <c r="AC1577" s="200"/>
    </row>
    <row r="1578" ht="15.75" customHeight="1">
      <c r="A1578" s="210">
        <f t="shared" si="1"/>
        <v>1576</v>
      </c>
      <c r="B1578" s="217"/>
      <c r="C1578" s="217" t="str">
        <f>IFERROR(VLOOKUP(B1578, SourceData!$U$3:$V$190, 2, FALSE), "")</f>
        <v/>
      </c>
      <c r="D1578" s="240"/>
      <c r="E1578" s="241"/>
      <c r="F1578" s="248"/>
      <c r="G1578" s="207"/>
      <c r="H1578" s="209"/>
      <c r="I1578" s="209"/>
      <c r="J1578" s="209"/>
      <c r="K1578" s="208" t="str">
        <f>IF(Errors!$I1578=0,SourceData!$B$42,VLOOKUP(Errors!$I1578,SourceData!$A$2:$B$40,2,FALSE))</f>
        <v>Please select ERROR CODE column "I"</v>
      </c>
      <c r="L1578" s="207" t="str">
        <f>IF(Errors!$I1578=0,
    'List of Error Codes'!$E$29,
    IFERROR(VLOOKUP(Errors!$I1578, 'List of Error Codes'!D1577:I1607, 6, FALSE), 'List of Error Codes'!$E$29)
)</f>
        <v>Please select ERROR CODE column "I"</v>
      </c>
      <c r="M1578" s="209"/>
      <c r="N1578" s="209"/>
      <c r="O1578" s="209"/>
      <c r="P1578" s="209"/>
      <c r="Q1578" s="209"/>
      <c r="R1578" s="217"/>
      <c r="S1578" s="217"/>
      <c r="T1578" s="217"/>
      <c r="U1578" s="199"/>
      <c r="V1578" s="200"/>
      <c r="W1578" s="200"/>
      <c r="X1578" s="200"/>
      <c r="Y1578" s="200"/>
      <c r="Z1578" s="200"/>
      <c r="AA1578" s="201"/>
      <c r="AB1578" s="200"/>
      <c r="AC1578" s="200"/>
    </row>
    <row r="1579" ht="15.75" customHeight="1">
      <c r="A1579" s="210">
        <f t="shared" si="1"/>
        <v>1577</v>
      </c>
      <c r="B1579" s="217"/>
      <c r="C1579" s="217" t="str">
        <f>IFERROR(VLOOKUP(B1579, SourceData!$U$3:$V$190, 2, FALSE), "")</f>
        <v/>
      </c>
      <c r="D1579" s="240"/>
      <c r="E1579" s="241"/>
      <c r="F1579" s="248"/>
      <c r="G1579" s="207"/>
      <c r="H1579" s="209"/>
      <c r="I1579" s="209"/>
      <c r="J1579" s="209"/>
      <c r="K1579" s="208" t="str">
        <f>IF(Errors!$I1579=0,SourceData!$B$42,VLOOKUP(Errors!$I1579,SourceData!$A$2:$B$40,2,FALSE))</f>
        <v>Please select ERROR CODE column "I"</v>
      </c>
      <c r="L1579" s="207" t="str">
        <f>IF(Errors!$I1579=0,
    'List of Error Codes'!$E$29,
    IFERROR(VLOOKUP(Errors!$I1579, 'List of Error Codes'!D1578:I1608, 6, FALSE), 'List of Error Codes'!$E$29)
)</f>
        <v>Please select ERROR CODE column "I"</v>
      </c>
      <c r="M1579" s="209"/>
      <c r="N1579" s="209"/>
      <c r="O1579" s="209"/>
      <c r="P1579" s="209"/>
      <c r="Q1579" s="209"/>
      <c r="R1579" s="217"/>
      <c r="S1579" s="217"/>
      <c r="T1579" s="217"/>
      <c r="U1579" s="199"/>
      <c r="V1579" s="200"/>
      <c r="W1579" s="200"/>
      <c r="X1579" s="200"/>
      <c r="Y1579" s="200"/>
      <c r="Z1579" s="200"/>
      <c r="AA1579" s="201"/>
      <c r="AB1579" s="200"/>
      <c r="AC1579" s="200"/>
    </row>
    <row r="1580" ht="15.75" customHeight="1">
      <c r="A1580" s="210">
        <f t="shared" si="1"/>
        <v>1578</v>
      </c>
      <c r="B1580" s="217"/>
      <c r="C1580" s="217" t="str">
        <f>IFERROR(VLOOKUP(B1580, SourceData!$U$3:$V$190, 2, FALSE), "")</f>
        <v/>
      </c>
      <c r="D1580" s="240"/>
      <c r="E1580" s="241"/>
      <c r="F1580" s="248"/>
      <c r="G1580" s="207"/>
      <c r="H1580" s="209"/>
      <c r="I1580" s="209"/>
      <c r="J1580" s="209"/>
      <c r="K1580" s="208" t="str">
        <f>IF(Errors!$I1580=0,SourceData!$B$42,VLOOKUP(Errors!$I1580,SourceData!$A$2:$B$40,2,FALSE))</f>
        <v>Please select ERROR CODE column "I"</v>
      </c>
      <c r="L1580" s="207" t="str">
        <f>IF(Errors!$I1580=0,
    'List of Error Codes'!$E$29,
    IFERROR(VLOOKUP(Errors!$I1580, 'List of Error Codes'!D1579:I1609, 6, FALSE), 'List of Error Codes'!$E$29)
)</f>
        <v>Please select ERROR CODE column "I"</v>
      </c>
      <c r="M1580" s="209"/>
      <c r="N1580" s="209"/>
      <c r="O1580" s="209"/>
      <c r="P1580" s="209"/>
      <c r="Q1580" s="209"/>
      <c r="R1580" s="217"/>
      <c r="S1580" s="217"/>
      <c r="T1580" s="217"/>
      <c r="U1580" s="199"/>
      <c r="V1580" s="200"/>
      <c r="W1580" s="200"/>
      <c r="X1580" s="200"/>
      <c r="Y1580" s="200"/>
      <c r="Z1580" s="200"/>
      <c r="AA1580" s="201"/>
      <c r="AB1580" s="200"/>
      <c r="AC1580" s="200"/>
    </row>
    <row r="1581" ht="15.75" customHeight="1">
      <c r="A1581" s="210">
        <f t="shared" si="1"/>
        <v>1579</v>
      </c>
      <c r="B1581" s="217"/>
      <c r="C1581" s="217" t="str">
        <f>IFERROR(VLOOKUP(B1581, SourceData!$U$3:$V$190, 2, FALSE), "")</f>
        <v/>
      </c>
      <c r="D1581" s="240"/>
      <c r="E1581" s="241"/>
      <c r="F1581" s="248"/>
      <c r="G1581" s="207"/>
      <c r="H1581" s="209"/>
      <c r="I1581" s="209"/>
      <c r="J1581" s="209"/>
      <c r="K1581" s="208" t="str">
        <f>IF(Errors!$I1581=0,SourceData!$B$42,VLOOKUP(Errors!$I1581,SourceData!$A$2:$B$40,2,FALSE))</f>
        <v>Please select ERROR CODE column "I"</v>
      </c>
      <c r="L1581" s="207" t="str">
        <f>IF(Errors!$I1581=0,
    'List of Error Codes'!$E$29,
    IFERROR(VLOOKUP(Errors!$I1581, 'List of Error Codes'!D1580:I1610, 6, FALSE), 'List of Error Codes'!$E$29)
)</f>
        <v>Please select ERROR CODE column "I"</v>
      </c>
      <c r="M1581" s="209"/>
      <c r="N1581" s="209"/>
      <c r="O1581" s="209"/>
      <c r="P1581" s="209"/>
      <c r="Q1581" s="209"/>
      <c r="R1581" s="217"/>
      <c r="S1581" s="217"/>
      <c r="T1581" s="217"/>
      <c r="U1581" s="199"/>
      <c r="V1581" s="200"/>
      <c r="W1581" s="200"/>
      <c r="X1581" s="200"/>
      <c r="Y1581" s="200"/>
      <c r="Z1581" s="200"/>
      <c r="AA1581" s="201"/>
      <c r="AB1581" s="200"/>
      <c r="AC1581" s="200"/>
    </row>
    <row r="1582" ht="15.75" customHeight="1">
      <c r="A1582" s="210">
        <f t="shared" si="1"/>
        <v>1580</v>
      </c>
      <c r="B1582" s="217"/>
      <c r="C1582" s="217" t="str">
        <f>IFERROR(VLOOKUP(B1582, SourceData!$U$3:$V$190, 2, FALSE), "")</f>
        <v/>
      </c>
      <c r="D1582" s="240"/>
      <c r="E1582" s="241"/>
      <c r="F1582" s="248"/>
      <c r="G1582" s="207"/>
      <c r="H1582" s="209"/>
      <c r="I1582" s="209"/>
      <c r="J1582" s="209"/>
      <c r="K1582" s="208" t="str">
        <f>IF(Errors!$I1582=0,SourceData!$B$42,VLOOKUP(Errors!$I1582,SourceData!$A$2:$B$40,2,FALSE))</f>
        <v>Please select ERROR CODE column "I"</v>
      </c>
      <c r="L1582" s="207" t="str">
        <f>IF(Errors!$I1582=0,
    'List of Error Codes'!$E$29,
    IFERROR(VLOOKUP(Errors!$I1582, 'List of Error Codes'!D1581:I1611, 6, FALSE), 'List of Error Codes'!$E$29)
)</f>
        <v>Please select ERROR CODE column "I"</v>
      </c>
      <c r="M1582" s="209"/>
      <c r="N1582" s="209"/>
      <c r="O1582" s="209"/>
      <c r="P1582" s="209"/>
      <c r="Q1582" s="209"/>
      <c r="R1582" s="217"/>
      <c r="S1582" s="217"/>
      <c r="T1582" s="217"/>
      <c r="U1582" s="199"/>
      <c r="V1582" s="200"/>
      <c r="W1582" s="200"/>
      <c r="X1582" s="200"/>
      <c r="Y1582" s="200"/>
      <c r="Z1582" s="200"/>
      <c r="AA1582" s="201"/>
      <c r="AB1582" s="200"/>
      <c r="AC1582" s="200"/>
    </row>
    <row r="1583" ht="15.75" customHeight="1">
      <c r="A1583" s="210">
        <f t="shared" si="1"/>
        <v>1581</v>
      </c>
      <c r="B1583" s="217"/>
      <c r="C1583" s="217" t="str">
        <f>IFERROR(VLOOKUP(B1583, SourceData!$U$3:$V$190, 2, FALSE), "")</f>
        <v/>
      </c>
      <c r="D1583" s="240"/>
      <c r="E1583" s="241"/>
      <c r="F1583" s="248"/>
      <c r="G1583" s="207"/>
      <c r="H1583" s="209"/>
      <c r="I1583" s="209"/>
      <c r="J1583" s="209"/>
      <c r="K1583" s="208" t="str">
        <f>IF(Errors!$I1583=0,SourceData!$B$42,VLOOKUP(Errors!$I1583,SourceData!$A$2:$B$40,2,FALSE))</f>
        <v>Please select ERROR CODE column "I"</v>
      </c>
      <c r="L1583" s="207" t="str">
        <f>IF(Errors!$I1583=0,
    'List of Error Codes'!$E$29,
    IFERROR(VLOOKUP(Errors!$I1583, 'List of Error Codes'!D1582:I1612, 6, FALSE), 'List of Error Codes'!$E$29)
)</f>
        <v>Please select ERROR CODE column "I"</v>
      </c>
      <c r="M1583" s="209"/>
      <c r="N1583" s="209"/>
      <c r="O1583" s="209"/>
      <c r="P1583" s="209"/>
      <c r="Q1583" s="209"/>
      <c r="R1583" s="217"/>
      <c r="S1583" s="217"/>
      <c r="T1583" s="217"/>
      <c r="U1583" s="199"/>
      <c r="V1583" s="200"/>
      <c r="W1583" s="200"/>
      <c r="X1583" s="200"/>
      <c r="Y1583" s="200"/>
      <c r="Z1583" s="200"/>
      <c r="AA1583" s="201"/>
      <c r="AB1583" s="200"/>
      <c r="AC1583" s="200"/>
    </row>
    <row r="1584" ht="15.75" customHeight="1">
      <c r="A1584" s="210">
        <f t="shared" si="1"/>
        <v>1582</v>
      </c>
      <c r="B1584" s="217"/>
      <c r="C1584" s="217" t="str">
        <f>IFERROR(VLOOKUP(B1584, SourceData!$U$3:$V$190, 2, FALSE), "")</f>
        <v/>
      </c>
      <c r="D1584" s="240"/>
      <c r="E1584" s="241"/>
      <c r="F1584" s="248"/>
      <c r="G1584" s="207"/>
      <c r="H1584" s="209"/>
      <c r="I1584" s="209"/>
      <c r="J1584" s="209"/>
      <c r="K1584" s="208" t="str">
        <f>IF(Errors!$I1584=0,SourceData!$B$42,VLOOKUP(Errors!$I1584,SourceData!$A$2:$B$40,2,FALSE))</f>
        <v>Please select ERROR CODE column "I"</v>
      </c>
      <c r="L1584" s="207" t="str">
        <f>IF(Errors!$I1584=0,
    'List of Error Codes'!$E$29,
    IFERROR(VLOOKUP(Errors!$I1584, 'List of Error Codes'!D1583:I1613, 6, FALSE), 'List of Error Codes'!$E$29)
)</f>
        <v>Please select ERROR CODE column "I"</v>
      </c>
      <c r="M1584" s="209"/>
      <c r="N1584" s="209"/>
      <c r="O1584" s="209"/>
      <c r="P1584" s="209"/>
      <c r="Q1584" s="209"/>
      <c r="R1584" s="217"/>
      <c r="S1584" s="217"/>
      <c r="T1584" s="217"/>
      <c r="U1584" s="199"/>
      <c r="V1584" s="200"/>
      <c r="W1584" s="200"/>
      <c r="X1584" s="200"/>
      <c r="Y1584" s="200"/>
      <c r="Z1584" s="200"/>
      <c r="AA1584" s="201"/>
      <c r="AB1584" s="200"/>
      <c r="AC1584" s="200"/>
    </row>
    <row r="1585" ht="15.75" customHeight="1">
      <c r="A1585" s="210">
        <f t="shared" si="1"/>
        <v>1583</v>
      </c>
      <c r="B1585" s="217"/>
      <c r="C1585" s="217" t="str">
        <f>IFERROR(VLOOKUP(B1585, SourceData!$U$3:$V$190, 2, FALSE), "")</f>
        <v/>
      </c>
      <c r="D1585" s="240"/>
      <c r="E1585" s="241"/>
      <c r="F1585" s="248"/>
      <c r="G1585" s="207"/>
      <c r="H1585" s="209"/>
      <c r="I1585" s="209"/>
      <c r="J1585" s="209"/>
      <c r="K1585" s="208" t="str">
        <f>IF(Errors!$I1585=0,SourceData!$B$42,VLOOKUP(Errors!$I1585,SourceData!$A$2:$B$40,2,FALSE))</f>
        <v>Please select ERROR CODE column "I"</v>
      </c>
      <c r="L1585" s="207" t="str">
        <f>IF(Errors!$I1585=0,
    'List of Error Codes'!$E$29,
    IFERROR(VLOOKUP(Errors!$I1585, 'List of Error Codes'!D1584:I1614, 6, FALSE), 'List of Error Codes'!$E$29)
)</f>
        <v>Please select ERROR CODE column "I"</v>
      </c>
      <c r="M1585" s="209"/>
      <c r="N1585" s="209"/>
      <c r="O1585" s="209"/>
      <c r="P1585" s="209"/>
      <c r="Q1585" s="209"/>
      <c r="R1585" s="217"/>
      <c r="S1585" s="217"/>
      <c r="T1585" s="217"/>
      <c r="U1585" s="199"/>
      <c r="V1585" s="200"/>
      <c r="W1585" s="200"/>
      <c r="X1585" s="200"/>
      <c r="Y1585" s="200"/>
      <c r="Z1585" s="200"/>
      <c r="AA1585" s="201"/>
      <c r="AB1585" s="200"/>
      <c r="AC1585" s="200"/>
    </row>
    <row r="1586" ht="15.75" customHeight="1">
      <c r="A1586" s="210">
        <f t="shared" si="1"/>
        <v>1584</v>
      </c>
      <c r="B1586" s="217"/>
      <c r="C1586" s="217" t="str">
        <f>IFERROR(VLOOKUP(B1586, SourceData!$U$3:$V$190, 2, FALSE), "")</f>
        <v/>
      </c>
      <c r="D1586" s="240"/>
      <c r="E1586" s="241"/>
      <c r="F1586" s="248"/>
      <c r="G1586" s="207"/>
      <c r="H1586" s="209"/>
      <c r="I1586" s="209"/>
      <c r="J1586" s="209"/>
      <c r="K1586" s="208" t="str">
        <f>IF(Errors!$I1586=0,SourceData!$B$42,VLOOKUP(Errors!$I1586,SourceData!$A$2:$B$40,2,FALSE))</f>
        <v>Please select ERROR CODE column "I"</v>
      </c>
      <c r="L1586" s="207" t="str">
        <f>IF(Errors!$I1586=0,
    'List of Error Codes'!$E$29,
    IFERROR(VLOOKUP(Errors!$I1586, 'List of Error Codes'!D1585:I1615, 6, FALSE), 'List of Error Codes'!$E$29)
)</f>
        <v>Please select ERROR CODE column "I"</v>
      </c>
      <c r="M1586" s="209"/>
      <c r="N1586" s="209"/>
      <c r="O1586" s="209"/>
      <c r="P1586" s="209"/>
      <c r="Q1586" s="209"/>
      <c r="R1586" s="217"/>
      <c r="S1586" s="217"/>
      <c r="T1586" s="217"/>
      <c r="U1586" s="199"/>
      <c r="V1586" s="200"/>
      <c r="W1586" s="200"/>
      <c r="X1586" s="200"/>
      <c r="Y1586" s="200"/>
      <c r="Z1586" s="200"/>
      <c r="AA1586" s="201"/>
      <c r="AB1586" s="200"/>
      <c r="AC1586" s="200"/>
    </row>
    <row r="1587" ht="15.75" customHeight="1">
      <c r="A1587" s="210">
        <f t="shared" si="1"/>
        <v>1585</v>
      </c>
      <c r="B1587" s="217"/>
      <c r="C1587" s="217" t="str">
        <f>IFERROR(VLOOKUP(B1587, SourceData!$U$3:$V$190, 2, FALSE), "")</f>
        <v/>
      </c>
      <c r="D1587" s="240"/>
      <c r="E1587" s="241"/>
      <c r="F1587" s="248"/>
      <c r="G1587" s="207"/>
      <c r="H1587" s="209"/>
      <c r="I1587" s="209"/>
      <c r="J1587" s="209"/>
      <c r="K1587" s="208" t="str">
        <f>IF(Errors!$I1587=0,SourceData!$B$42,VLOOKUP(Errors!$I1587,SourceData!$A$2:$B$40,2,FALSE))</f>
        <v>Please select ERROR CODE column "I"</v>
      </c>
      <c r="L1587" s="207" t="str">
        <f>IF(Errors!$I1587=0,
    'List of Error Codes'!$E$29,
    IFERROR(VLOOKUP(Errors!$I1587, 'List of Error Codes'!D1586:I1616, 6, FALSE), 'List of Error Codes'!$E$29)
)</f>
        <v>Please select ERROR CODE column "I"</v>
      </c>
      <c r="M1587" s="209"/>
      <c r="N1587" s="209"/>
      <c r="O1587" s="209"/>
      <c r="P1587" s="209"/>
      <c r="Q1587" s="209"/>
      <c r="R1587" s="217"/>
      <c r="S1587" s="217"/>
      <c r="T1587" s="217"/>
      <c r="U1587" s="199"/>
      <c r="V1587" s="200"/>
      <c r="W1587" s="200"/>
      <c r="X1587" s="200"/>
      <c r="Y1587" s="200"/>
      <c r="Z1587" s="200"/>
      <c r="AA1587" s="201"/>
      <c r="AB1587" s="200"/>
      <c r="AC1587" s="200"/>
    </row>
    <row r="1588" ht="15.75" customHeight="1">
      <c r="A1588" s="210">
        <f t="shared" si="1"/>
        <v>1586</v>
      </c>
      <c r="B1588" s="217"/>
      <c r="C1588" s="217" t="str">
        <f>IFERROR(VLOOKUP(B1588, SourceData!$U$3:$V$190, 2, FALSE), "")</f>
        <v/>
      </c>
      <c r="D1588" s="240"/>
      <c r="E1588" s="241"/>
      <c r="F1588" s="248"/>
      <c r="G1588" s="207"/>
      <c r="H1588" s="209"/>
      <c r="I1588" s="209"/>
      <c r="J1588" s="209"/>
      <c r="K1588" s="208" t="str">
        <f>IF(Errors!$I1588=0,SourceData!$B$42,VLOOKUP(Errors!$I1588,SourceData!$A$2:$B$40,2,FALSE))</f>
        <v>Please select ERROR CODE column "I"</v>
      </c>
      <c r="L1588" s="207" t="str">
        <f>IF(Errors!$I1588=0,
    'List of Error Codes'!$E$29,
    IFERROR(VLOOKUP(Errors!$I1588, 'List of Error Codes'!D1587:I1617, 6, FALSE), 'List of Error Codes'!$E$29)
)</f>
        <v>Please select ERROR CODE column "I"</v>
      </c>
      <c r="M1588" s="209"/>
      <c r="N1588" s="209"/>
      <c r="O1588" s="209"/>
      <c r="P1588" s="209"/>
      <c r="Q1588" s="209"/>
      <c r="R1588" s="217"/>
      <c r="S1588" s="217"/>
      <c r="T1588" s="217"/>
      <c r="U1588" s="199"/>
      <c r="V1588" s="200"/>
      <c r="W1588" s="200"/>
      <c r="X1588" s="200"/>
      <c r="Y1588" s="200"/>
      <c r="Z1588" s="200"/>
      <c r="AA1588" s="201"/>
      <c r="AB1588" s="200"/>
      <c r="AC1588" s="200"/>
    </row>
    <row r="1589" ht="15.75" customHeight="1">
      <c r="A1589" s="210">
        <f t="shared" si="1"/>
        <v>1587</v>
      </c>
      <c r="B1589" s="217"/>
      <c r="C1589" s="217" t="str">
        <f>IFERROR(VLOOKUP(B1589, SourceData!$U$3:$V$190, 2, FALSE), "")</f>
        <v/>
      </c>
      <c r="D1589" s="240"/>
      <c r="E1589" s="241"/>
      <c r="F1589" s="248"/>
      <c r="G1589" s="207"/>
      <c r="H1589" s="209"/>
      <c r="I1589" s="209"/>
      <c r="J1589" s="209"/>
      <c r="K1589" s="208" t="str">
        <f>IF(Errors!$I1589=0,SourceData!$B$42,VLOOKUP(Errors!$I1589,SourceData!$A$2:$B$40,2,FALSE))</f>
        <v>Please select ERROR CODE column "I"</v>
      </c>
      <c r="L1589" s="207" t="str">
        <f>IF(Errors!$I1589=0,
    'List of Error Codes'!$E$29,
    IFERROR(VLOOKUP(Errors!$I1589, 'List of Error Codes'!D1588:I1618, 6, FALSE), 'List of Error Codes'!$E$29)
)</f>
        <v>Please select ERROR CODE column "I"</v>
      </c>
      <c r="M1589" s="209"/>
      <c r="N1589" s="209"/>
      <c r="O1589" s="209"/>
      <c r="P1589" s="209"/>
      <c r="Q1589" s="209"/>
      <c r="R1589" s="217"/>
      <c r="S1589" s="217"/>
      <c r="T1589" s="217"/>
      <c r="U1589" s="199"/>
      <c r="V1589" s="200"/>
      <c r="W1589" s="200"/>
      <c r="X1589" s="200"/>
      <c r="Y1589" s="200"/>
      <c r="Z1589" s="200"/>
      <c r="AA1589" s="201"/>
      <c r="AB1589" s="200"/>
      <c r="AC1589" s="200"/>
    </row>
    <row r="1590" ht="15.75" customHeight="1">
      <c r="A1590" s="210">
        <f t="shared" si="1"/>
        <v>1588</v>
      </c>
      <c r="B1590" s="217"/>
      <c r="C1590" s="217" t="str">
        <f>IFERROR(VLOOKUP(B1590, SourceData!$U$3:$V$190, 2, FALSE), "")</f>
        <v/>
      </c>
      <c r="D1590" s="240"/>
      <c r="E1590" s="241"/>
      <c r="F1590" s="248"/>
      <c r="G1590" s="207"/>
      <c r="H1590" s="209"/>
      <c r="I1590" s="209"/>
      <c r="J1590" s="209"/>
      <c r="K1590" s="208" t="str">
        <f>IF(Errors!$I1590=0,SourceData!$B$42,VLOOKUP(Errors!$I1590,SourceData!$A$2:$B$40,2,FALSE))</f>
        <v>Please select ERROR CODE column "I"</v>
      </c>
      <c r="L1590" s="207" t="str">
        <f>IF(Errors!$I1590=0,
    'List of Error Codes'!$E$29,
    IFERROR(VLOOKUP(Errors!$I1590, 'List of Error Codes'!D1589:I1619, 6, FALSE), 'List of Error Codes'!$E$29)
)</f>
        <v>Please select ERROR CODE column "I"</v>
      </c>
      <c r="M1590" s="209"/>
      <c r="N1590" s="209"/>
      <c r="O1590" s="209"/>
      <c r="P1590" s="209"/>
      <c r="Q1590" s="209"/>
      <c r="R1590" s="217"/>
      <c r="S1590" s="217"/>
      <c r="T1590" s="217"/>
      <c r="U1590" s="199"/>
      <c r="V1590" s="200"/>
      <c r="W1590" s="200"/>
      <c r="X1590" s="200"/>
      <c r="Y1590" s="200"/>
      <c r="Z1590" s="200"/>
      <c r="AA1590" s="201"/>
      <c r="AB1590" s="200"/>
      <c r="AC1590" s="200"/>
    </row>
    <row r="1591" ht="15.75" customHeight="1">
      <c r="A1591" s="210">
        <f t="shared" si="1"/>
        <v>1589</v>
      </c>
      <c r="B1591" s="217"/>
      <c r="C1591" s="217" t="str">
        <f>IFERROR(VLOOKUP(B1591, SourceData!$U$3:$V$190, 2, FALSE), "")</f>
        <v/>
      </c>
      <c r="D1591" s="240"/>
      <c r="E1591" s="241"/>
      <c r="F1591" s="248"/>
      <c r="G1591" s="207"/>
      <c r="H1591" s="209"/>
      <c r="I1591" s="209"/>
      <c r="J1591" s="209"/>
      <c r="K1591" s="208" t="str">
        <f>IF(Errors!$I1591=0,SourceData!$B$42,VLOOKUP(Errors!$I1591,SourceData!$A$2:$B$40,2,FALSE))</f>
        <v>Please select ERROR CODE column "I"</v>
      </c>
      <c r="L1591" s="207" t="str">
        <f>IF(Errors!$I1591=0,
    'List of Error Codes'!$E$29,
    IFERROR(VLOOKUP(Errors!$I1591, 'List of Error Codes'!D1590:I1620, 6, FALSE), 'List of Error Codes'!$E$29)
)</f>
        <v>Please select ERROR CODE column "I"</v>
      </c>
      <c r="M1591" s="209"/>
      <c r="N1591" s="209"/>
      <c r="O1591" s="209"/>
      <c r="P1591" s="209"/>
      <c r="Q1591" s="209"/>
      <c r="R1591" s="217"/>
      <c r="S1591" s="217"/>
      <c r="T1591" s="217"/>
      <c r="U1591" s="199"/>
      <c r="V1591" s="200"/>
      <c r="W1591" s="200"/>
      <c r="X1591" s="200"/>
      <c r="Y1591" s="200"/>
      <c r="Z1591" s="200"/>
      <c r="AA1591" s="201"/>
      <c r="AB1591" s="200"/>
      <c r="AC1591" s="200"/>
    </row>
    <row r="1592" ht="15.75" customHeight="1">
      <c r="A1592" s="210">
        <f t="shared" si="1"/>
        <v>1590</v>
      </c>
      <c r="B1592" s="217"/>
      <c r="C1592" s="217" t="str">
        <f>IFERROR(VLOOKUP(B1592, SourceData!$U$3:$V$190, 2, FALSE), "")</f>
        <v/>
      </c>
      <c r="D1592" s="240"/>
      <c r="E1592" s="241"/>
      <c r="F1592" s="248"/>
      <c r="G1592" s="207"/>
      <c r="H1592" s="209"/>
      <c r="I1592" s="209"/>
      <c r="J1592" s="209"/>
      <c r="K1592" s="208" t="str">
        <f>IF(Errors!$I1592=0,SourceData!$B$42,VLOOKUP(Errors!$I1592,SourceData!$A$2:$B$40,2,FALSE))</f>
        <v>Please select ERROR CODE column "I"</v>
      </c>
      <c r="L1592" s="207" t="str">
        <f>IF(Errors!$I1592=0,
    'List of Error Codes'!$E$29,
    IFERROR(VLOOKUP(Errors!$I1592, 'List of Error Codes'!D1591:I1621, 6, FALSE), 'List of Error Codes'!$E$29)
)</f>
        <v>Please select ERROR CODE column "I"</v>
      </c>
      <c r="M1592" s="209"/>
      <c r="N1592" s="209"/>
      <c r="O1592" s="209"/>
      <c r="P1592" s="209"/>
      <c r="Q1592" s="209"/>
      <c r="R1592" s="217"/>
      <c r="S1592" s="217"/>
      <c r="T1592" s="217"/>
      <c r="U1592" s="199"/>
      <c r="V1592" s="200"/>
      <c r="W1592" s="200"/>
      <c r="X1592" s="200"/>
      <c r="Y1592" s="200"/>
      <c r="Z1592" s="200"/>
      <c r="AA1592" s="201"/>
      <c r="AB1592" s="200"/>
      <c r="AC1592" s="200"/>
    </row>
    <row r="1593" ht="15.75" customHeight="1">
      <c r="A1593" s="210">
        <f t="shared" si="1"/>
        <v>1591</v>
      </c>
      <c r="B1593" s="217"/>
      <c r="C1593" s="217" t="str">
        <f>IFERROR(VLOOKUP(B1593, SourceData!$U$3:$V$190, 2, FALSE), "")</f>
        <v/>
      </c>
      <c r="D1593" s="240"/>
      <c r="E1593" s="241"/>
      <c r="F1593" s="248"/>
      <c r="G1593" s="207"/>
      <c r="H1593" s="209"/>
      <c r="I1593" s="209"/>
      <c r="J1593" s="209"/>
      <c r="K1593" s="208" t="str">
        <f>IF(Errors!$I1593=0,SourceData!$B$42,VLOOKUP(Errors!$I1593,SourceData!$A$2:$B$40,2,FALSE))</f>
        <v>Please select ERROR CODE column "I"</v>
      </c>
      <c r="L1593" s="207" t="str">
        <f>IF(Errors!$I1593=0,
    'List of Error Codes'!$E$29,
    IFERROR(VLOOKUP(Errors!$I1593, 'List of Error Codes'!D1592:I1622, 6, FALSE), 'List of Error Codes'!$E$29)
)</f>
        <v>Please select ERROR CODE column "I"</v>
      </c>
      <c r="M1593" s="209"/>
      <c r="N1593" s="209"/>
      <c r="O1593" s="209"/>
      <c r="P1593" s="209"/>
      <c r="Q1593" s="209"/>
      <c r="R1593" s="217"/>
      <c r="S1593" s="217"/>
      <c r="T1593" s="217"/>
      <c r="U1593" s="199"/>
      <c r="V1593" s="200"/>
      <c r="W1593" s="200"/>
      <c r="X1593" s="200"/>
      <c r="Y1593" s="200"/>
      <c r="Z1593" s="200"/>
      <c r="AA1593" s="201"/>
      <c r="AB1593" s="200"/>
      <c r="AC1593" s="200"/>
    </row>
    <row r="1594" ht="15.75" customHeight="1">
      <c r="A1594" s="210">
        <f t="shared" si="1"/>
        <v>1592</v>
      </c>
      <c r="B1594" s="217"/>
      <c r="C1594" s="217" t="str">
        <f>IFERROR(VLOOKUP(B1594, SourceData!$U$3:$V$190, 2, FALSE), "")</f>
        <v/>
      </c>
      <c r="D1594" s="240"/>
      <c r="E1594" s="241"/>
      <c r="F1594" s="248"/>
      <c r="G1594" s="207"/>
      <c r="H1594" s="209"/>
      <c r="I1594" s="209"/>
      <c r="J1594" s="209"/>
      <c r="K1594" s="208" t="str">
        <f>IF(Errors!$I1594=0,SourceData!$B$42,VLOOKUP(Errors!$I1594,SourceData!$A$2:$B$40,2,FALSE))</f>
        <v>Please select ERROR CODE column "I"</v>
      </c>
      <c r="L1594" s="207" t="str">
        <f>IF(Errors!$I1594=0,
    'List of Error Codes'!$E$29,
    IFERROR(VLOOKUP(Errors!$I1594, 'List of Error Codes'!D1593:I1623, 6, FALSE), 'List of Error Codes'!$E$29)
)</f>
        <v>Please select ERROR CODE column "I"</v>
      </c>
      <c r="M1594" s="209"/>
      <c r="N1594" s="209"/>
      <c r="O1594" s="209"/>
      <c r="P1594" s="209"/>
      <c r="Q1594" s="209"/>
      <c r="R1594" s="217"/>
      <c r="S1594" s="217"/>
      <c r="T1594" s="217"/>
      <c r="U1594" s="199"/>
      <c r="V1594" s="200"/>
      <c r="W1594" s="200"/>
      <c r="X1594" s="200"/>
      <c r="Y1594" s="200"/>
      <c r="Z1594" s="200"/>
      <c r="AA1594" s="201"/>
      <c r="AB1594" s="200"/>
      <c r="AC1594" s="200"/>
    </row>
    <row r="1595" ht="15.75" customHeight="1">
      <c r="A1595" s="210">
        <f t="shared" si="1"/>
        <v>1593</v>
      </c>
      <c r="B1595" s="217"/>
      <c r="C1595" s="217" t="str">
        <f>IFERROR(VLOOKUP(B1595, SourceData!$U$3:$V$190, 2, FALSE), "")</f>
        <v/>
      </c>
      <c r="D1595" s="240"/>
      <c r="E1595" s="241"/>
      <c r="F1595" s="248"/>
      <c r="G1595" s="207"/>
      <c r="H1595" s="209"/>
      <c r="I1595" s="209"/>
      <c r="J1595" s="209"/>
      <c r="K1595" s="208" t="str">
        <f>IF(Errors!$I1595=0,SourceData!$B$42,VLOOKUP(Errors!$I1595,SourceData!$A$2:$B$40,2,FALSE))</f>
        <v>Please select ERROR CODE column "I"</v>
      </c>
      <c r="L1595" s="207" t="str">
        <f>IF(Errors!$I1595=0,
    'List of Error Codes'!$E$29,
    IFERROR(VLOOKUP(Errors!$I1595, 'List of Error Codes'!D1594:I1624, 6, FALSE), 'List of Error Codes'!$E$29)
)</f>
        <v>Please select ERROR CODE column "I"</v>
      </c>
      <c r="M1595" s="209"/>
      <c r="N1595" s="209"/>
      <c r="O1595" s="209"/>
      <c r="P1595" s="209"/>
      <c r="Q1595" s="209"/>
      <c r="R1595" s="217"/>
      <c r="S1595" s="217"/>
      <c r="T1595" s="217"/>
      <c r="U1595" s="199"/>
      <c r="V1595" s="200"/>
      <c r="W1595" s="200"/>
      <c r="X1595" s="200"/>
      <c r="Y1595" s="200"/>
      <c r="Z1595" s="200"/>
      <c r="AA1595" s="201"/>
      <c r="AB1595" s="200"/>
      <c r="AC1595" s="200"/>
    </row>
    <row r="1596" ht="15.75" customHeight="1">
      <c r="A1596" s="210">
        <f t="shared" si="1"/>
        <v>1594</v>
      </c>
      <c r="B1596" s="217"/>
      <c r="C1596" s="217" t="str">
        <f>IFERROR(VLOOKUP(B1596, SourceData!$U$3:$V$190, 2, FALSE), "")</f>
        <v/>
      </c>
      <c r="D1596" s="240"/>
      <c r="E1596" s="241"/>
      <c r="F1596" s="248"/>
      <c r="G1596" s="207"/>
      <c r="H1596" s="209"/>
      <c r="I1596" s="209"/>
      <c r="J1596" s="209"/>
      <c r="K1596" s="208" t="str">
        <f>IF(Errors!$I1596=0,SourceData!$B$42,VLOOKUP(Errors!$I1596,SourceData!$A$2:$B$40,2,FALSE))</f>
        <v>Please select ERROR CODE column "I"</v>
      </c>
      <c r="L1596" s="207" t="str">
        <f>IF(Errors!$I1596=0,
    'List of Error Codes'!$E$29,
    IFERROR(VLOOKUP(Errors!$I1596, 'List of Error Codes'!D1595:I1625, 6, FALSE), 'List of Error Codes'!$E$29)
)</f>
        <v>Please select ERROR CODE column "I"</v>
      </c>
      <c r="M1596" s="209"/>
      <c r="N1596" s="209"/>
      <c r="O1596" s="209"/>
      <c r="P1596" s="209"/>
      <c r="Q1596" s="209"/>
      <c r="R1596" s="217"/>
      <c r="S1596" s="217"/>
      <c r="T1596" s="217"/>
      <c r="U1596" s="199"/>
      <c r="V1596" s="200"/>
      <c r="W1596" s="200"/>
      <c r="X1596" s="200"/>
      <c r="Y1596" s="200"/>
      <c r="Z1596" s="200"/>
      <c r="AA1596" s="201"/>
      <c r="AB1596" s="200"/>
      <c r="AC1596" s="200"/>
    </row>
    <row r="1597" ht="15.75" customHeight="1">
      <c r="A1597" s="210">
        <f t="shared" si="1"/>
        <v>1595</v>
      </c>
      <c r="B1597" s="217"/>
      <c r="C1597" s="217" t="str">
        <f>IFERROR(VLOOKUP(B1597, SourceData!$U$3:$V$190, 2, FALSE), "")</f>
        <v/>
      </c>
      <c r="D1597" s="240"/>
      <c r="E1597" s="241"/>
      <c r="F1597" s="248"/>
      <c r="G1597" s="207"/>
      <c r="H1597" s="209"/>
      <c r="I1597" s="209"/>
      <c r="J1597" s="209"/>
      <c r="K1597" s="208" t="str">
        <f>IF(Errors!$I1597=0,SourceData!$B$42,VLOOKUP(Errors!$I1597,SourceData!$A$2:$B$40,2,FALSE))</f>
        <v>Please select ERROR CODE column "I"</v>
      </c>
      <c r="L1597" s="207" t="str">
        <f>IF(Errors!$I1597=0,
    'List of Error Codes'!$E$29,
    IFERROR(VLOOKUP(Errors!$I1597, 'List of Error Codes'!D1596:I1626, 6, FALSE), 'List of Error Codes'!$E$29)
)</f>
        <v>Please select ERROR CODE column "I"</v>
      </c>
      <c r="M1597" s="209"/>
      <c r="N1597" s="209"/>
      <c r="O1597" s="209"/>
      <c r="P1597" s="209"/>
      <c r="Q1597" s="209"/>
      <c r="R1597" s="217"/>
      <c r="S1597" s="217"/>
      <c r="T1597" s="217"/>
      <c r="U1597" s="199"/>
      <c r="V1597" s="200"/>
      <c r="W1597" s="200"/>
      <c r="X1597" s="200"/>
      <c r="Y1597" s="200"/>
      <c r="Z1597" s="200"/>
      <c r="AA1597" s="201"/>
      <c r="AB1597" s="200"/>
      <c r="AC1597" s="200"/>
    </row>
    <row r="1598" ht="15.75" customHeight="1">
      <c r="A1598" s="210">
        <f t="shared" si="1"/>
        <v>1596</v>
      </c>
      <c r="B1598" s="217"/>
      <c r="C1598" s="217" t="str">
        <f>IFERROR(VLOOKUP(B1598, SourceData!$U$3:$V$190, 2, FALSE), "")</f>
        <v/>
      </c>
      <c r="D1598" s="240"/>
      <c r="E1598" s="241"/>
      <c r="F1598" s="248"/>
      <c r="G1598" s="207"/>
      <c r="H1598" s="209"/>
      <c r="I1598" s="209"/>
      <c r="J1598" s="209"/>
      <c r="K1598" s="208" t="str">
        <f>IF(Errors!$I1598=0,SourceData!$B$42,VLOOKUP(Errors!$I1598,SourceData!$A$2:$B$40,2,FALSE))</f>
        <v>Please select ERROR CODE column "I"</v>
      </c>
      <c r="L1598" s="207" t="str">
        <f>IF(Errors!$I1598=0,
    'List of Error Codes'!$E$29,
    IFERROR(VLOOKUP(Errors!$I1598, 'List of Error Codes'!D1597:I1627, 6, FALSE), 'List of Error Codes'!$E$29)
)</f>
        <v>Please select ERROR CODE column "I"</v>
      </c>
      <c r="M1598" s="209"/>
      <c r="N1598" s="209"/>
      <c r="O1598" s="209"/>
      <c r="P1598" s="209"/>
      <c r="Q1598" s="209"/>
      <c r="R1598" s="217"/>
      <c r="S1598" s="217"/>
      <c r="T1598" s="217"/>
      <c r="U1598" s="199"/>
      <c r="V1598" s="200"/>
      <c r="W1598" s="200"/>
      <c r="X1598" s="200"/>
      <c r="Y1598" s="200"/>
      <c r="Z1598" s="200"/>
      <c r="AA1598" s="201"/>
      <c r="AB1598" s="200"/>
      <c r="AC1598" s="200"/>
    </row>
    <row r="1599" ht="15.75" customHeight="1">
      <c r="A1599" s="210">
        <f t="shared" si="1"/>
        <v>1597</v>
      </c>
      <c r="B1599" s="217"/>
      <c r="C1599" s="217" t="str">
        <f>IFERROR(VLOOKUP(B1599, SourceData!$U$3:$V$190, 2, FALSE), "")</f>
        <v/>
      </c>
      <c r="D1599" s="240"/>
      <c r="E1599" s="241"/>
      <c r="F1599" s="248"/>
      <c r="G1599" s="207"/>
      <c r="H1599" s="209"/>
      <c r="I1599" s="209"/>
      <c r="J1599" s="209"/>
      <c r="K1599" s="208" t="str">
        <f>IF(Errors!$I1599=0,SourceData!$B$42,VLOOKUP(Errors!$I1599,SourceData!$A$2:$B$40,2,FALSE))</f>
        <v>Please select ERROR CODE column "I"</v>
      </c>
      <c r="L1599" s="207" t="str">
        <f>IF(Errors!$I1599=0,
    'List of Error Codes'!$E$29,
    IFERROR(VLOOKUP(Errors!$I1599, 'List of Error Codes'!D1598:I1628, 6, FALSE), 'List of Error Codes'!$E$29)
)</f>
        <v>Please select ERROR CODE column "I"</v>
      </c>
      <c r="M1599" s="209"/>
      <c r="N1599" s="209"/>
      <c r="O1599" s="209"/>
      <c r="P1599" s="209"/>
      <c r="Q1599" s="209"/>
      <c r="R1599" s="217"/>
      <c r="S1599" s="217"/>
      <c r="T1599" s="217"/>
      <c r="U1599" s="199"/>
      <c r="V1599" s="200"/>
      <c r="W1599" s="200"/>
      <c r="X1599" s="200"/>
      <c r="Y1599" s="200"/>
      <c r="Z1599" s="200"/>
      <c r="AA1599" s="201"/>
      <c r="AB1599" s="200"/>
      <c r="AC1599" s="200"/>
    </row>
    <row r="1600" ht="15.75" customHeight="1">
      <c r="A1600" s="210">
        <f t="shared" si="1"/>
        <v>1598</v>
      </c>
      <c r="B1600" s="217"/>
      <c r="C1600" s="217" t="str">
        <f>IFERROR(VLOOKUP(B1600, SourceData!$U$3:$V$190, 2, FALSE), "")</f>
        <v/>
      </c>
      <c r="D1600" s="240"/>
      <c r="E1600" s="241"/>
      <c r="F1600" s="248"/>
      <c r="G1600" s="207"/>
      <c r="H1600" s="209"/>
      <c r="I1600" s="209"/>
      <c r="J1600" s="209"/>
      <c r="K1600" s="208" t="str">
        <f>IF(Errors!$I1600=0,SourceData!$B$42,VLOOKUP(Errors!$I1600,SourceData!$A$2:$B$40,2,FALSE))</f>
        <v>Please select ERROR CODE column "I"</v>
      </c>
      <c r="L1600" s="207" t="str">
        <f>IF(Errors!$I1600=0,
    'List of Error Codes'!$E$29,
    IFERROR(VLOOKUP(Errors!$I1600, 'List of Error Codes'!D1599:I1629, 6, FALSE), 'List of Error Codes'!$E$29)
)</f>
        <v>Please select ERROR CODE column "I"</v>
      </c>
      <c r="M1600" s="209"/>
      <c r="N1600" s="209"/>
      <c r="O1600" s="209"/>
      <c r="P1600" s="209"/>
      <c r="Q1600" s="209"/>
      <c r="R1600" s="217"/>
      <c r="S1600" s="217"/>
      <c r="T1600" s="217"/>
      <c r="U1600" s="199"/>
      <c r="V1600" s="200"/>
      <c r="W1600" s="200"/>
      <c r="X1600" s="200"/>
      <c r="Y1600" s="200"/>
      <c r="Z1600" s="200"/>
      <c r="AA1600" s="201"/>
      <c r="AB1600" s="200"/>
      <c r="AC1600" s="200"/>
    </row>
    <row r="1601" ht="15.75" customHeight="1">
      <c r="A1601" s="210">
        <f t="shared" si="1"/>
        <v>1599</v>
      </c>
      <c r="B1601" s="217"/>
      <c r="C1601" s="217" t="str">
        <f>IFERROR(VLOOKUP(B1601, SourceData!$U$3:$V$190, 2, FALSE), "")</f>
        <v/>
      </c>
      <c r="D1601" s="240"/>
      <c r="E1601" s="241"/>
      <c r="F1601" s="248"/>
      <c r="G1601" s="207"/>
      <c r="H1601" s="209"/>
      <c r="I1601" s="209"/>
      <c r="J1601" s="209"/>
      <c r="K1601" s="208" t="str">
        <f>IF(Errors!$I1601=0,SourceData!$B$42,VLOOKUP(Errors!$I1601,SourceData!$A$2:$B$40,2,FALSE))</f>
        <v>Please select ERROR CODE column "I"</v>
      </c>
      <c r="L1601" s="207" t="str">
        <f>IF(Errors!$I1601=0,
    'List of Error Codes'!$E$29,
    IFERROR(VLOOKUP(Errors!$I1601, 'List of Error Codes'!D1600:I1630, 6, FALSE), 'List of Error Codes'!$E$29)
)</f>
        <v>Please select ERROR CODE column "I"</v>
      </c>
      <c r="M1601" s="209"/>
      <c r="N1601" s="209"/>
      <c r="O1601" s="209"/>
      <c r="P1601" s="209"/>
      <c r="Q1601" s="209"/>
      <c r="R1601" s="217"/>
      <c r="S1601" s="217"/>
      <c r="T1601" s="217"/>
      <c r="U1601" s="199"/>
      <c r="V1601" s="200"/>
      <c r="W1601" s="200"/>
      <c r="X1601" s="200"/>
      <c r="Y1601" s="200"/>
      <c r="Z1601" s="200"/>
      <c r="AA1601" s="201"/>
      <c r="AB1601" s="200"/>
      <c r="AC1601" s="200"/>
    </row>
    <row r="1602" ht="15.75" customHeight="1">
      <c r="A1602" s="210">
        <f t="shared" si="1"/>
        <v>1600</v>
      </c>
      <c r="B1602" s="217"/>
      <c r="C1602" s="217" t="str">
        <f>IFERROR(VLOOKUP(B1602, SourceData!$U$3:$V$190, 2, FALSE), "")</f>
        <v/>
      </c>
      <c r="D1602" s="240"/>
      <c r="E1602" s="241"/>
      <c r="F1602" s="248"/>
      <c r="G1602" s="207"/>
      <c r="H1602" s="209"/>
      <c r="I1602" s="209"/>
      <c r="J1602" s="209"/>
      <c r="K1602" s="208" t="str">
        <f>IF(Errors!$I1602=0,SourceData!$B$42,VLOOKUP(Errors!$I1602,SourceData!$A$2:$B$40,2,FALSE))</f>
        <v>Please select ERROR CODE column "I"</v>
      </c>
      <c r="L1602" s="207" t="str">
        <f>IF(Errors!$I1602=0,
    'List of Error Codes'!$E$29,
    IFERROR(VLOOKUP(Errors!$I1602, 'List of Error Codes'!D1601:I1631, 6, FALSE), 'List of Error Codes'!$E$29)
)</f>
        <v>Please select ERROR CODE column "I"</v>
      </c>
      <c r="M1602" s="209"/>
      <c r="N1602" s="209"/>
      <c r="O1602" s="209"/>
      <c r="P1602" s="209"/>
      <c r="Q1602" s="209"/>
      <c r="R1602" s="217"/>
      <c r="S1602" s="217"/>
      <c r="T1602" s="217"/>
      <c r="U1602" s="199"/>
      <c r="V1602" s="200"/>
      <c r="W1602" s="200"/>
      <c r="X1602" s="200"/>
      <c r="Y1602" s="200"/>
      <c r="Z1602" s="200"/>
      <c r="AA1602" s="201"/>
      <c r="AB1602" s="200"/>
      <c r="AC1602" s="200"/>
    </row>
    <row r="1603" ht="15.75" customHeight="1">
      <c r="A1603" s="210">
        <f t="shared" si="1"/>
        <v>1601</v>
      </c>
      <c r="B1603" s="217"/>
      <c r="C1603" s="217" t="str">
        <f>IFERROR(VLOOKUP(B1603, SourceData!$U$3:$V$190, 2, FALSE), "")</f>
        <v/>
      </c>
      <c r="D1603" s="240"/>
      <c r="E1603" s="241"/>
      <c r="F1603" s="248"/>
      <c r="G1603" s="207"/>
      <c r="H1603" s="209"/>
      <c r="I1603" s="209"/>
      <c r="J1603" s="209"/>
      <c r="K1603" s="208" t="str">
        <f>IF(Errors!$I1603=0,SourceData!$B$42,VLOOKUP(Errors!$I1603,SourceData!$A$2:$B$40,2,FALSE))</f>
        <v>Please select ERROR CODE column "I"</v>
      </c>
      <c r="L1603" s="207" t="str">
        <f>IF(Errors!$I1603=0,
    'List of Error Codes'!$E$29,
    IFERROR(VLOOKUP(Errors!$I1603, 'List of Error Codes'!D1602:I1632, 6, FALSE), 'List of Error Codes'!$E$29)
)</f>
        <v>Please select ERROR CODE column "I"</v>
      </c>
      <c r="M1603" s="209"/>
      <c r="N1603" s="209"/>
      <c r="O1603" s="209"/>
      <c r="P1603" s="209"/>
      <c r="Q1603" s="209"/>
      <c r="R1603" s="217"/>
      <c r="S1603" s="217"/>
      <c r="T1603" s="217"/>
      <c r="U1603" s="199"/>
      <c r="V1603" s="200"/>
      <c r="W1603" s="200"/>
      <c r="X1603" s="200"/>
      <c r="Y1603" s="200"/>
      <c r="Z1603" s="200"/>
      <c r="AA1603" s="201"/>
      <c r="AB1603" s="200"/>
      <c r="AC1603" s="200"/>
    </row>
    <row r="1604" ht="15.75" customHeight="1">
      <c r="A1604" s="210">
        <f t="shared" si="1"/>
        <v>1602</v>
      </c>
      <c r="B1604" s="217"/>
      <c r="C1604" s="217" t="str">
        <f>IFERROR(VLOOKUP(B1604, SourceData!$U$3:$V$190, 2, FALSE), "")</f>
        <v/>
      </c>
      <c r="D1604" s="240"/>
      <c r="E1604" s="241"/>
      <c r="F1604" s="248"/>
      <c r="G1604" s="207"/>
      <c r="H1604" s="209"/>
      <c r="I1604" s="209"/>
      <c r="J1604" s="209"/>
      <c r="K1604" s="208" t="str">
        <f>IF(Errors!$I1604=0,SourceData!$B$42,VLOOKUP(Errors!$I1604,SourceData!$A$2:$B$40,2,FALSE))</f>
        <v>Please select ERROR CODE column "I"</v>
      </c>
      <c r="L1604" s="207" t="str">
        <f>IF(Errors!$I1604=0,
    'List of Error Codes'!$E$29,
    IFERROR(VLOOKUP(Errors!$I1604, 'List of Error Codes'!D1603:I1633, 6, FALSE), 'List of Error Codes'!$E$29)
)</f>
        <v>Please select ERROR CODE column "I"</v>
      </c>
      <c r="M1604" s="209"/>
      <c r="N1604" s="209"/>
      <c r="O1604" s="209"/>
      <c r="P1604" s="209"/>
      <c r="Q1604" s="209"/>
      <c r="R1604" s="217"/>
      <c r="S1604" s="217"/>
      <c r="T1604" s="217"/>
      <c r="U1604" s="199"/>
      <c r="V1604" s="200"/>
      <c r="W1604" s="200"/>
      <c r="X1604" s="200"/>
      <c r="Y1604" s="200"/>
      <c r="Z1604" s="200"/>
      <c r="AA1604" s="201"/>
      <c r="AB1604" s="200"/>
      <c r="AC1604" s="200"/>
    </row>
    <row r="1605" ht="15.75" customHeight="1">
      <c r="A1605" s="210">
        <f t="shared" si="1"/>
        <v>1603</v>
      </c>
      <c r="B1605" s="217"/>
      <c r="C1605" s="217" t="str">
        <f>IFERROR(VLOOKUP(B1605, SourceData!$U$3:$V$190, 2, FALSE), "")</f>
        <v/>
      </c>
      <c r="D1605" s="240"/>
      <c r="E1605" s="241"/>
      <c r="F1605" s="248"/>
      <c r="G1605" s="207"/>
      <c r="H1605" s="209"/>
      <c r="I1605" s="209"/>
      <c r="J1605" s="209"/>
      <c r="K1605" s="208" t="str">
        <f>IF(Errors!$I1605=0,SourceData!$B$42,VLOOKUP(Errors!$I1605,SourceData!$A$2:$B$40,2,FALSE))</f>
        <v>Please select ERROR CODE column "I"</v>
      </c>
      <c r="L1605" s="207" t="str">
        <f>IF(Errors!$I1605=0,
    'List of Error Codes'!$E$29,
    IFERROR(VLOOKUP(Errors!$I1605, 'List of Error Codes'!D1604:I1634, 6, FALSE), 'List of Error Codes'!$E$29)
)</f>
        <v>Please select ERROR CODE column "I"</v>
      </c>
      <c r="M1605" s="209"/>
      <c r="N1605" s="209"/>
      <c r="O1605" s="209"/>
      <c r="P1605" s="209"/>
      <c r="Q1605" s="209"/>
      <c r="R1605" s="217"/>
      <c r="S1605" s="217"/>
      <c r="T1605" s="217"/>
      <c r="U1605" s="199"/>
      <c r="V1605" s="200"/>
      <c r="W1605" s="200"/>
      <c r="X1605" s="200"/>
      <c r="Y1605" s="200"/>
      <c r="Z1605" s="200"/>
      <c r="AA1605" s="201"/>
      <c r="AB1605" s="200"/>
      <c r="AC1605" s="200"/>
    </row>
    <row r="1606" ht="15.75" customHeight="1">
      <c r="A1606" s="210">
        <f t="shared" si="1"/>
        <v>1604</v>
      </c>
      <c r="B1606" s="217"/>
      <c r="C1606" s="217" t="str">
        <f>IFERROR(VLOOKUP(B1606, SourceData!$U$3:$V$190, 2, FALSE), "")</f>
        <v/>
      </c>
      <c r="D1606" s="240"/>
      <c r="E1606" s="241"/>
      <c r="F1606" s="248"/>
      <c r="G1606" s="207"/>
      <c r="H1606" s="209"/>
      <c r="I1606" s="209"/>
      <c r="J1606" s="209"/>
      <c r="K1606" s="208" t="str">
        <f>IF(Errors!$I1606=0,SourceData!$B$42,VLOOKUP(Errors!$I1606,SourceData!$A$2:$B$40,2,FALSE))</f>
        <v>Please select ERROR CODE column "I"</v>
      </c>
      <c r="L1606" s="207" t="str">
        <f>IF(Errors!$I1606=0,
    'List of Error Codes'!$E$29,
    IFERROR(VLOOKUP(Errors!$I1606, 'List of Error Codes'!D1605:I1635, 6, FALSE), 'List of Error Codes'!$E$29)
)</f>
        <v>Please select ERROR CODE column "I"</v>
      </c>
      <c r="M1606" s="209"/>
      <c r="N1606" s="209"/>
      <c r="O1606" s="209"/>
      <c r="P1606" s="209"/>
      <c r="Q1606" s="209"/>
      <c r="R1606" s="217"/>
      <c r="S1606" s="217"/>
      <c r="T1606" s="217"/>
      <c r="U1606" s="199"/>
      <c r="V1606" s="200"/>
      <c r="W1606" s="200"/>
      <c r="X1606" s="200"/>
      <c r="Y1606" s="200"/>
      <c r="Z1606" s="200"/>
      <c r="AA1606" s="201"/>
      <c r="AB1606" s="200"/>
      <c r="AC1606" s="200"/>
    </row>
    <row r="1607" ht="15.75" customHeight="1">
      <c r="A1607" s="210">
        <f t="shared" si="1"/>
        <v>1605</v>
      </c>
      <c r="B1607" s="217"/>
      <c r="C1607" s="217" t="str">
        <f>IFERROR(VLOOKUP(B1607, SourceData!$U$3:$V$190, 2, FALSE), "")</f>
        <v/>
      </c>
      <c r="D1607" s="240"/>
      <c r="E1607" s="241"/>
      <c r="F1607" s="248"/>
      <c r="G1607" s="207"/>
      <c r="H1607" s="209"/>
      <c r="I1607" s="209"/>
      <c r="J1607" s="209"/>
      <c r="K1607" s="208" t="str">
        <f>IF(Errors!$I1607=0,SourceData!$B$42,VLOOKUP(Errors!$I1607,SourceData!$A$2:$B$40,2,FALSE))</f>
        <v>Please select ERROR CODE column "I"</v>
      </c>
      <c r="L1607" s="207" t="str">
        <f>IF(Errors!$I1607=0,
    'List of Error Codes'!$E$29,
    IFERROR(VLOOKUP(Errors!$I1607, 'List of Error Codes'!D1606:I1636, 6, FALSE), 'List of Error Codes'!$E$29)
)</f>
        <v>Please select ERROR CODE column "I"</v>
      </c>
      <c r="M1607" s="209"/>
      <c r="N1607" s="209"/>
      <c r="O1607" s="209"/>
      <c r="P1607" s="209"/>
      <c r="Q1607" s="209"/>
      <c r="R1607" s="217"/>
      <c r="S1607" s="217"/>
      <c r="T1607" s="217"/>
      <c r="U1607" s="199"/>
      <c r="V1607" s="200"/>
      <c r="W1607" s="200"/>
      <c r="X1607" s="200"/>
      <c r="Y1607" s="200"/>
      <c r="Z1607" s="200"/>
      <c r="AA1607" s="201"/>
      <c r="AB1607" s="200"/>
      <c r="AC1607" s="200"/>
    </row>
    <row r="1608" ht="15.75" customHeight="1">
      <c r="A1608" s="210">
        <f t="shared" si="1"/>
        <v>1606</v>
      </c>
      <c r="B1608" s="217"/>
      <c r="C1608" s="217" t="str">
        <f>IFERROR(VLOOKUP(B1608, SourceData!$U$3:$V$190, 2, FALSE), "")</f>
        <v/>
      </c>
      <c r="D1608" s="240"/>
      <c r="E1608" s="241"/>
      <c r="F1608" s="248"/>
      <c r="G1608" s="207"/>
      <c r="H1608" s="209"/>
      <c r="I1608" s="209"/>
      <c r="J1608" s="209"/>
      <c r="K1608" s="208" t="str">
        <f>IF(Errors!$I1608=0,SourceData!$B$42,VLOOKUP(Errors!$I1608,SourceData!$A$2:$B$40,2,FALSE))</f>
        <v>Please select ERROR CODE column "I"</v>
      </c>
      <c r="L1608" s="207" t="str">
        <f>IF(Errors!$I1608=0,
    'List of Error Codes'!$E$29,
    IFERROR(VLOOKUP(Errors!$I1608, 'List of Error Codes'!D1607:I1637, 6, FALSE), 'List of Error Codes'!$E$29)
)</f>
        <v>Please select ERROR CODE column "I"</v>
      </c>
      <c r="M1608" s="209"/>
      <c r="N1608" s="209"/>
      <c r="O1608" s="209"/>
      <c r="P1608" s="209"/>
      <c r="Q1608" s="209"/>
      <c r="R1608" s="217"/>
      <c r="S1608" s="217"/>
      <c r="T1608" s="217"/>
      <c r="U1608" s="199"/>
      <c r="V1608" s="200"/>
      <c r="W1608" s="200"/>
      <c r="X1608" s="200"/>
      <c r="Y1608" s="200"/>
      <c r="Z1608" s="200"/>
      <c r="AA1608" s="201"/>
      <c r="AB1608" s="200"/>
      <c r="AC1608" s="200"/>
    </row>
    <row r="1609" ht="15.75" customHeight="1">
      <c r="A1609" s="210">
        <f t="shared" si="1"/>
        <v>1607</v>
      </c>
      <c r="B1609" s="217"/>
      <c r="C1609" s="217" t="str">
        <f>IFERROR(VLOOKUP(B1609, SourceData!$U$3:$V$190, 2, FALSE), "")</f>
        <v/>
      </c>
      <c r="D1609" s="240"/>
      <c r="E1609" s="241"/>
      <c r="F1609" s="248"/>
      <c r="G1609" s="207"/>
      <c r="H1609" s="209"/>
      <c r="I1609" s="209"/>
      <c r="J1609" s="209"/>
      <c r="K1609" s="208" t="str">
        <f>IF(Errors!$I1609=0,SourceData!$B$42,VLOOKUP(Errors!$I1609,SourceData!$A$2:$B$40,2,FALSE))</f>
        <v>Please select ERROR CODE column "I"</v>
      </c>
      <c r="L1609" s="207" t="str">
        <f>IF(Errors!$I1609=0,
    'List of Error Codes'!$E$29,
    IFERROR(VLOOKUP(Errors!$I1609, 'List of Error Codes'!D1608:I1638, 6, FALSE), 'List of Error Codes'!$E$29)
)</f>
        <v>Please select ERROR CODE column "I"</v>
      </c>
      <c r="M1609" s="209"/>
      <c r="N1609" s="209"/>
      <c r="O1609" s="209"/>
      <c r="P1609" s="209"/>
      <c r="Q1609" s="209"/>
      <c r="R1609" s="217"/>
      <c r="S1609" s="217"/>
      <c r="T1609" s="217"/>
      <c r="U1609" s="199"/>
      <c r="V1609" s="200"/>
      <c r="W1609" s="200"/>
      <c r="X1609" s="200"/>
      <c r="Y1609" s="200"/>
      <c r="Z1609" s="200"/>
      <c r="AA1609" s="201"/>
      <c r="AB1609" s="200"/>
      <c r="AC1609" s="200"/>
    </row>
    <row r="1610" ht="15.75" customHeight="1">
      <c r="A1610" s="210">
        <f t="shared" si="1"/>
        <v>1608</v>
      </c>
      <c r="B1610" s="217"/>
      <c r="C1610" s="217" t="str">
        <f>IFERROR(VLOOKUP(B1610, SourceData!$U$3:$V$190, 2, FALSE), "")</f>
        <v/>
      </c>
      <c r="D1610" s="240"/>
      <c r="E1610" s="241"/>
      <c r="F1610" s="248"/>
      <c r="G1610" s="207"/>
      <c r="H1610" s="209"/>
      <c r="I1610" s="209"/>
      <c r="J1610" s="209"/>
      <c r="K1610" s="208" t="str">
        <f>IF(Errors!$I1610=0,SourceData!$B$42,VLOOKUP(Errors!$I1610,SourceData!$A$2:$B$40,2,FALSE))</f>
        <v>Please select ERROR CODE column "I"</v>
      </c>
      <c r="L1610" s="207" t="str">
        <f>IF(Errors!$I1610=0,
    'List of Error Codes'!$E$29,
    IFERROR(VLOOKUP(Errors!$I1610, 'List of Error Codes'!D1609:I1639, 6, FALSE), 'List of Error Codes'!$E$29)
)</f>
        <v>Please select ERROR CODE column "I"</v>
      </c>
      <c r="M1610" s="209"/>
      <c r="N1610" s="209"/>
      <c r="O1610" s="209"/>
      <c r="P1610" s="209"/>
      <c r="Q1610" s="209"/>
      <c r="R1610" s="217"/>
      <c r="S1610" s="217"/>
      <c r="T1610" s="217"/>
      <c r="U1610" s="199"/>
      <c r="V1610" s="200"/>
      <c r="W1610" s="200"/>
      <c r="X1610" s="200"/>
      <c r="Y1610" s="200"/>
      <c r="Z1610" s="200"/>
      <c r="AA1610" s="201"/>
      <c r="AB1610" s="200"/>
      <c r="AC1610" s="200"/>
    </row>
    <row r="1611" ht="15.75" customHeight="1">
      <c r="A1611" s="210">
        <f t="shared" si="1"/>
        <v>1609</v>
      </c>
      <c r="B1611" s="217"/>
      <c r="C1611" s="217" t="str">
        <f>IFERROR(VLOOKUP(B1611, SourceData!$U$3:$V$190, 2, FALSE), "")</f>
        <v/>
      </c>
      <c r="D1611" s="240"/>
      <c r="E1611" s="241"/>
      <c r="F1611" s="248"/>
      <c r="G1611" s="207"/>
      <c r="H1611" s="209"/>
      <c r="I1611" s="209"/>
      <c r="J1611" s="209"/>
      <c r="K1611" s="208" t="str">
        <f>IF(Errors!$I1611=0,SourceData!$B$42,VLOOKUP(Errors!$I1611,SourceData!$A$2:$B$40,2,FALSE))</f>
        <v>Please select ERROR CODE column "I"</v>
      </c>
      <c r="L1611" s="207" t="str">
        <f>IF(Errors!$I1611=0,
    'List of Error Codes'!$E$29,
    IFERROR(VLOOKUP(Errors!$I1611, 'List of Error Codes'!D1610:I1640, 6, FALSE), 'List of Error Codes'!$E$29)
)</f>
        <v>Please select ERROR CODE column "I"</v>
      </c>
      <c r="M1611" s="209"/>
      <c r="N1611" s="209"/>
      <c r="O1611" s="209"/>
      <c r="P1611" s="209"/>
      <c r="Q1611" s="209"/>
      <c r="R1611" s="217"/>
      <c r="S1611" s="217"/>
      <c r="T1611" s="217"/>
      <c r="U1611" s="199"/>
      <c r="V1611" s="200"/>
      <c r="W1611" s="200"/>
      <c r="X1611" s="200"/>
      <c r="Y1611" s="200"/>
      <c r="Z1611" s="200"/>
      <c r="AA1611" s="201"/>
      <c r="AB1611" s="200"/>
      <c r="AC1611" s="200"/>
    </row>
    <row r="1612" ht="15.75" customHeight="1">
      <c r="A1612" s="210">
        <f t="shared" si="1"/>
        <v>1610</v>
      </c>
      <c r="B1612" s="217"/>
      <c r="C1612" s="217" t="str">
        <f>IFERROR(VLOOKUP(B1612, SourceData!$U$3:$V$190, 2, FALSE), "")</f>
        <v/>
      </c>
      <c r="D1612" s="240"/>
      <c r="E1612" s="241"/>
      <c r="F1612" s="248"/>
      <c r="G1612" s="207"/>
      <c r="H1612" s="209"/>
      <c r="I1612" s="209"/>
      <c r="J1612" s="209"/>
      <c r="K1612" s="208" t="str">
        <f>IF(Errors!$I1612=0,SourceData!$B$42,VLOOKUP(Errors!$I1612,SourceData!$A$2:$B$40,2,FALSE))</f>
        <v>Please select ERROR CODE column "I"</v>
      </c>
      <c r="L1612" s="207" t="str">
        <f>IF(Errors!$I1612=0,
    'List of Error Codes'!$E$29,
    IFERROR(VLOOKUP(Errors!$I1612, 'List of Error Codes'!D1611:I1641, 6, FALSE), 'List of Error Codes'!$E$29)
)</f>
        <v>Please select ERROR CODE column "I"</v>
      </c>
      <c r="M1612" s="209"/>
      <c r="N1612" s="209"/>
      <c r="O1612" s="209"/>
      <c r="P1612" s="209"/>
      <c r="Q1612" s="209"/>
      <c r="R1612" s="217"/>
      <c r="S1612" s="217"/>
      <c r="T1612" s="217"/>
      <c r="U1612" s="199"/>
      <c r="V1612" s="200"/>
      <c r="W1612" s="200"/>
      <c r="X1612" s="200"/>
      <c r="Y1612" s="200"/>
      <c r="Z1612" s="200"/>
      <c r="AA1612" s="201"/>
      <c r="AB1612" s="200"/>
      <c r="AC1612" s="200"/>
    </row>
    <row r="1613" ht="15.75" customHeight="1">
      <c r="A1613" s="210">
        <f t="shared" si="1"/>
        <v>1611</v>
      </c>
      <c r="B1613" s="217"/>
      <c r="C1613" s="217" t="str">
        <f>IFERROR(VLOOKUP(B1613, SourceData!$U$3:$V$190, 2, FALSE), "")</f>
        <v/>
      </c>
      <c r="D1613" s="240"/>
      <c r="E1613" s="241"/>
      <c r="F1613" s="248"/>
      <c r="G1613" s="207"/>
      <c r="H1613" s="209"/>
      <c r="I1613" s="209"/>
      <c r="J1613" s="209"/>
      <c r="K1613" s="208" t="str">
        <f>IF(Errors!$I1613=0,SourceData!$B$42,VLOOKUP(Errors!$I1613,SourceData!$A$2:$B$40,2,FALSE))</f>
        <v>Please select ERROR CODE column "I"</v>
      </c>
      <c r="L1613" s="207" t="str">
        <f>IF(Errors!$I1613=0,
    'List of Error Codes'!$E$29,
    IFERROR(VLOOKUP(Errors!$I1613, 'List of Error Codes'!D1612:I1642, 6, FALSE), 'List of Error Codes'!$E$29)
)</f>
        <v>Please select ERROR CODE column "I"</v>
      </c>
      <c r="M1613" s="209"/>
      <c r="N1613" s="209"/>
      <c r="O1613" s="209"/>
      <c r="P1613" s="209"/>
      <c r="Q1613" s="209"/>
      <c r="R1613" s="217"/>
      <c r="S1613" s="217"/>
      <c r="T1613" s="217"/>
      <c r="U1613" s="199"/>
      <c r="V1613" s="200"/>
      <c r="W1613" s="200"/>
      <c r="X1613" s="200"/>
      <c r="Y1613" s="200"/>
      <c r="Z1613" s="200"/>
      <c r="AA1613" s="201"/>
      <c r="AB1613" s="200"/>
      <c r="AC1613" s="200"/>
    </row>
    <row r="1614" ht="15.75" customHeight="1">
      <c r="A1614" s="210">
        <f t="shared" si="1"/>
        <v>1612</v>
      </c>
      <c r="B1614" s="217"/>
      <c r="C1614" s="217" t="str">
        <f>IFERROR(VLOOKUP(B1614, SourceData!$U$3:$V$190, 2, FALSE), "")</f>
        <v/>
      </c>
      <c r="D1614" s="240"/>
      <c r="E1614" s="241"/>
      <c r="F1614" s="248"/>
      <c r="G1614" s="207"/>
      <c r="H1614" s="209"/>
      <c r="I1614" s="209"/>
      <c r="J1614" s="209"/>
      <c r="K1614" s="208" t="str">
        <f>IF(Errors!$I1614=0,SourceData!$B$42,VLOOKUP(Errors!$I1614,SourceData!$A$2:$B$40,2,FALSE))</f>
        <v>Please select ERROR CODE column "I"</v>
      </c>
      <c r="L1614" s="207" t="str">
        <f>IF(Errors!$I1614=0,
    'List of Error Codes'!$E$29,
    IFERROR(VLOOKUP(Errors!$I1614, 'List of Error Codes'!D1613:I1643, 6, FALSE), 'List of Error Codes'!$E$29)
)</f>
        <v>Please select ERROR CODE column "I"</v>
      </c>
      <c r="M1614" s="209"/>
      <c r="N1614" s="209"/>
      <c r="O1614" s="209"/>
      <c r="P1614" s="209"/>
      <c r="Q1614" s="209"/>
      <c r="R1614" s="217"/>
      <c r="S1614" s="217"/>
      <c r="T1614" s="217"/>
      <c r="U1614" s="199"/>
      <c r="V1614" s="200"/>
      <c r="W1614" s="200"/>
      <c r="X1614" s="200"/>
      <c r="Y1614" s="200"/>
      <c r="Z1614" s="200"/>
      <c r="AA1614" s="201"/>
      <c r="AB1614" s="200"/>
      <c r="AC1614" s="200"/>
    </row>
    <row r="1615" ht="15.75" customHeight="1">
      <c r="A1615" s="210">
        <f t="shared" si="1"/>
        <v>1613</v>
      </c>
      <c r="B1615" s="217"/>
      <c r="C1615" s="217" t="str">
        <f>IFERROR(VLOOKUP(B1615, SourceData!$U$3:$V$190, 2, FALSE), "")</f>
        <v/>
      </c>
      <c r="D1615" s="240"/>
      <c r="E1615" s="241"/>
      <c r="F1615" s="248"/>
      <c r="G1615" s="207"/>
      <c r="H1615" s="209"/>
      <c r="I1615" s="209"/>
      <c r="J1615" s="209"/>
      <c r="K1615" s="208" t="str">
        <f>IF(Errors!$I1615=0,SourceData!$B$42,VLOOKUP(Errors!$I1615,SourceData!$A$2:$B$40,2,FALSE))</f>
        <v>Please select ERROR CODE column "I"</v>
      </c>
      <c r="L1615" s="207" t="str">
        <f>IF(Errors!$I1615=0,
    'List of Error Codes'!$E$29,
    IFERROR(VLOOKUP(Errors!$I1615, 'List of Error Codes'!D1614:I1644, 6, FALSE), 'List of Error Codes'!$E$29)
)</f>
        <v>Please select ERROR CODE column "I"</v>
      </c>
      <c r="M1615" s="209"/>
      <c r="N1615" s="209"/>
      <c r="O1615" s="209"/>
      <c r="P1615" s="209"/>
      <c r="Q1615" s="209"/>
      <c r="R1615" s="217"/>
      <c r="S1615" s="217"/>
      <c r="T1615" s="217"/>
      <c r="U1615" s="199"/>
      <c r="V1615" s="200"/>
      <c r="W1615" s="200"/>
      <c r="X1615" s="200"/>
      <c r="Y1615" s="200"/>
      <c r="Z1615" s="200"/>
      <c r="AA1615" s="201"/>
      <c r="AB1615" s="200"/>
      <c r="AC1615" s="200"/>
    </row>
    <row r="1616" ht="15.75" customHeight="1">
      <c r="A1616" s="210">
        <f t="shared" si="1"/>
        <v>1614</v>
      </c>
      <c r="B1616" s="217"/>
      <c r="C1616" s="217" t="str">
        <f>IFERROR(VLOOKUP(B1616, SourceData!$U$3:$V$190, 2, FALSE), "")</f>
        <v/>
      </c>
      <c r="D1616" s="240"/>
      <c r="E1616" s="241"/>
      <c r="F1616" s="248"/>
      <c r="G1616" s="207"/>
      <c r="H1616" s="209"/>
      <c r="I1616" s="209"/>
      <c r="J1616" s="209"/>
      <c r="K1616" s="208" t="str">
        <f>IF(Errors!$I1616=0,SourceData!$B$42,VLOOKUP(Errors!$I1616,SourceData!$A$2:$B$40,2,FALSE))</f>
        <v>Please select ERROR CODE column "I"</v>
      </c>
      <c r="L1616" s="207" t="str">
        <f>IF(Errors!$I1616=0,
    'List of Error Codes'!$E$29,
    IFERROR(VLOOKUP(Errors!$I1616, 'List of Error Codes'!D1615:I1645, 6, FALSE), 'List of Error Codes'!$E$29)
)</f>
        <v>Please select ERROR CODE column "I"</v>
      </c>
      <c r="M1616" s="209"/>
      <c r="N1616" s="209"/>
      <c r="O1616" s="209"/>
      <c r="P1616" s="209"/>
      <c r="Q1616" s="209"/>
      <c r="R1616" s="217"/>
      <c r="S1616" s="217"/>
      <c r="T1616" s="217"/>
      <c r="U1616" s="199"/>
      <c r="V1616" s="200"/>
      <c r="W1616" s="200"/>
      <c r="X1616" s="200"/>
      <c r="Y1616" s="200"/>
      <c r="Z1616" s="200"/>
      <c r="AA1616" s="201"/>
      <c r="AB1616" s="200"/>
      <c r="AC1616" s="200"/>
    </row>
    <row r="1617" ht="15.75" customHeight="1">
      <c r="A1617" s="210">
        <f t="shared" si="1"/>
        <v>1615</v>
      </c>
      <c r="B1617" s="217"/>
      <c r="C1617" s="217" t="str">
        <f>IFERROR(VLOOKUP(B1617, SourceData!$U$3:$V$190, 2, FALSE), "")</f>
        <v/>
      </c>
      <c r="D1617" s="240"/>
      <c r="E1617" s="241"/>
      <c r="F1617" s="248"/>
      <c r="G1617" s="207"/>
      <c r="H1617" s="209"/>
      <c r="I1617" s="209"/>
      <c r="J1617" s="209"/>
      <c r="K1617" s="208" t="str">
        <f>IF(Errors!$I1617=0,SourceData!$B$42,VLOOKUP(Errors!$I1617,SourceData!$A$2:$B$40,2,FALSE))</f>
        <v>Please select ERROR CODE column "I"</v>
      </c>
      <c r="L1617" s="207" t="str">
        <f>IF(Errors!$I1617=0,
    'List of Error Codes'!$E$29,
    IFERROR(VLOOKUP(Errors!$I1617, 'List of Error Codes'!D1616:I1646, 6, FALSE), 'List of Error Codes'!$E$29)
)</f>
        <v>Please select ERROR CODE column "I"</v>
      </c>
      <c r="M1617" s="209"/>
      <c r="N1617" s="209"/>
      <c r="O1617" s="209"/>
      <c r="P1617" s="209"/>
      <c r="Q1617" s="209"/>
      <c r="R1617" s="217"/>
      <c r="S1617" s="217"/>
      <c r="T1617" s="217"/>
      <c r="U1617" s="199"/>
      <c r="V1617" s="200"/>
      <c r="W1617" s="200"/>
      <c r="X1617" s="200"/>
      <c r="Y1617" s="200"/>
      <c r="Z1617" s="200"/>
      <c r="AA1617" s="201"/>
      <c r="AB1617" s="200"/>
      <c r="AC1617" s="200"/>
    </row>
    <row r="1618" ht="15.75" customHeight="1">
      <c r="A1618" s="210">
        <f t="shared" si="1"/>
        <v>1616</v>
      </c>
      <c r="B1618" s="217"/>
      <c r="C1618" s="217" t="str">
        <f>IFERROR(VLOOKUP(B1618, SourceData!$U$3:$V$190, 2, FALSE), "")</f>
        <v/>
      </c>
      <c r="D1618" s="240"/>
      <c r="E1618" s="241"/>
      <c r="F1618" s="248"/>
      <c r="G1618" s="207"/>
      <c r="H1618" s="209"/>
      <c r="I1618" s="209"/>
      <c r="J1618" s="209"/>
      <c r="K1618" s="208" t="str">
        <f>IF(Errors!$I1618=0,SourceData!$B$42,VLOOKUP(Errors!$I1618,SourceData!$A$2:$B$40,2,FALSE))</f>
        <v>Please select ERROR CODE column "I"</v>
      </c>
      <c r="L1618" s="207" t="str">
        <f>IF(Errors!$I1618=0,
    'List of Error Codes'!$E$29,
    IFERROR(VLOOKUP(Errors!$I1618, 'List of Error Codes'!D1617:I1647, 6, FALSE), 'List of Error Codes'!$E$29)
)</f>
        <v>Please select ERROR CODE column "I"</v>
      </c>
      <c r="M1618" s="209"/>
      <c r="N1618" s="209"/>
      <c r="O1618" s="209"/>
      <c r="P1618" s="209"/>
      <c r="Q1618" s="209"/>
      <c r="R1618" s="217"/>
      <c r="S1618" s="217"/>
      <c r="T1618" s="217"/>
      <c r="U1618" s="199"/>
      <c r="V1618" s="200"/>
      <c r="W1618" s="200"/>
      <c r="X1618" s="200"/>
      <c r="Y1618" s="200"/>
      <c r="Z1618" s="200"/>
      <c r="AA1618" s="201"/>
      <c r="AB1618" s="200"/>
      <c r="AC1618" s="200"/>
    </row>
    <row r="1619" ht="15.75" customHeight="1">
      <c r="A1619" s="210">
        <f t="shared" si="1"/>
        <v>1617</v>
      </c>
      <c r="B1619" s="217"/>
      <c r="C1619" s="217" t="str">
        <f>IFERROR(VLOOKUP(B1619, SourceData!$U$3:$V$190, 2, FALSE), "")</f>
        <v/>
      </c>
      <c r="D1619" s="240"/>
      <c r="E1619" s="241"/>
      <c r="F1619" s="248"/>
      <c r="G1619" s="207"/>
      <c r="H1619" s="209"/>
      <c r="I1619" s="209"/>
      <c r="J1619" s="209"/>
      <c r="K1619" s="208" t="str">
        <f>IF(Errors!$I1619=0,SourceData!$B$42,VLOOKUP(Errors!$I1619,SourceData!$A$2:$B$40,2,FALSE))</f>
        <v>Please select ERROR CODE column "I"</v>
      </c>
      <c r="L1619" s="207" t="str">
        <f>IF(Errors!$I1619=0,
    'List of Error Codes'!$E$29,
    IFERROR(VLOOKUP(Errors!$I1619, 'List of Error Codes'!D1618:I1648, 6, FALSE), 'List of Error Codes'!$E$29)
)</f>
        <v>Please select ERROR CODE column "I"</v>
      </c>
      <c r="M1619" s="209"/>
      <c r="N1619" s="209"/>
      <c r="O1619" s="209"/>
      <c r="P1619" s="209"/>
      <c r="Q1619" s="209"/>
      <c r="R1619" s="217"/>
      <c r="S1619" s="217"/>
      <c r="T1619" s="217"/>
      <c r="U1619" s="199"/>
      <c r="V1619" s="200"/>
      <c r="W1619" s="200"/>
      <c r="X1619" s="200"/>
      <c r="Y1619" s="200"/>
      <c r="Z1619" s="200"/>
      <c r="AA1619" s="201"/>
      <c r="AB1619" s="200"/>
      <c r="AC1619" s="200"/>
    </row>
    <row r="1620" ht="15.75" customHeight="1">
      <c r="A1620" s="210">
        <f t="shared" si="1"/>
        <v>1618</v>
      </c>
      <c r="B1620" s="217"/>
      <c r="C1620" s="217" t="str">
        <f>IFERROR(VLOOKUP(B1620, SourceData!$U$3:$V$190, 2, FALSE), "")</f>
        <v/>
      </c>
      <c r="D1620" s="240"/>
      <c r="E1620" s="241"/>
      <c r="F1620" s="248"/>
      <c r="G1620" s="207"/>
      <c r="H1620" s="209"/>
      <c r="I1620" s="209"/>
      <c r="J1620" s="209"/>
      <c r="K1620" s="208" t="str">
        <f>IF(Errors!$I1620=0,SourceData!$B$42,VLOOKUP(Errors!$I1620,SourceData!$A$2:$B$40,2,FALSE))</f>
        <v>Please select ERROR CODE column "I"</v>
      </c>
      <c r="L1620" s="207" t="str">
        <f>IF(Errors!$I1620=0,
    'List of Error Codes'!$E$29,
    IFERROR(VLOOKUP(Errors!$I1620, 'List of Error Codes'!D1619:I1649, 6, FALSE), 'List of Error Codes'!$E$29)
)</f>
        <v>Please select ERROR CODE column "I"</v>
      </c>
      <c r="M1620" s="209"/>
      <c r="N1620" s="209"/>
      <c r="O1620" s="209"/>
      <c r="P1620" s="209"/>
      <c r="Q1620" s="209"/>
      <c r="R1620" s="217"/>
      <c r="S1620" s="217"/>
      <c r="T1620" s="217"/>
      <c r="U1620" s="199"/>
      <c r="V1620" s="200"/>
      <c r="W1620" s="200"/>
      <c r="X1620" s="200"/>
      <c r="Y1620" s="200"/>
      <c r="Z1620" s="200"/>
      <c r="AA1620" s="201"/>
      <c r="AB1620" s="200"/>
      <c r="AC1620" s="200"/>
    </row>
    <row r="1621" ht="15.75" customHeight="1">
      <c r="A1621" s="210">
        <f t="shared" si="1"/>
        <v>1619</v>
      </c>
      <c r="B1621" s="217"/>
      <c r="C1621" s="217" t="str">
        <f>IFERROR(VLOOKUP(B1621, SourceData!$U$3:$V$190, 2, FALSE), "")</f>
        <v/>
      </c>
      <c r="D1621" s="240"/>
      <c r="E1621" s="241"/>
      <c r="F1621" s="248"/>
      <c r="G1621" s="207"/>
      <c r="H1621" s="209"/>
      <c r="I1621" s="209"/>
      <c r="J1621" s="209"/>
      <c r="K1621" s="208" t="str">
        <f>IF(Errors!$I1621=0,SourceData!$B$42,VLOOKUP(Errors!$I1621,SourceData!$A$2:$B$40,2,FALSE))</f>
        <v>Please select ERROR CODE column "I"</v>
      </c>
      <c r="L1621" s="207" t="str">
        <f>IF(Errors!$I1621=0,
    'List of Error Codes'!$E$29,
    IFERROR(VLOOKUP(Errors!$I1621, 'List of Error Codes'!D1620:I1650, 6, FALSE), 'List of Error Codes'!$E$29)
)</f>
        <v>Please select ERROR CODE column "I"</v>
      </c>
      <c r="M1621" s="209"/>
      <c r="N1621" s="209"/>
      <c r="O1621" s="209"/>
      <c r="P1621" s="209"/>
      <c r="Q1621" s="209"/>
      <c r="R1621" s="217"/>
      <c r="S1621" s="217"/>
      <c r="T1621" s="217"/>
      <c r="U1621" s="199"/>
      <c r="V1621" s="200"/>
      <c r="W1621" s="200"/>
      <c r="X1621" s="200"/>
      <c r="Y1621" s="200"/>
      <c r="Z1621" s="200"/>
      <c r="AA1621" s="201"/>
      <c r="AB1621" s="200"/>
      <c r="AC1621" s="200"/>
    </row>
    <row r="1622" ht="15.75" customHeight="1">
      <c r="A1622" s="210">
        <f t="shared" si="1"/>
        <v>1620</v>
      </c>
      <c r="B1622" s="217"/>
      <c r="C1622" s="217" t="str">
        <f>IFERROR(VLOOKUP(B1622, SourceData!$U$3:$V$190, 2, FALSE), "")</f>
        <v/>
      </c>
      <c r="D1622" s="240"/>
      <c r="E1622" s="241"/>
      <c r="F1622" s="248"/>
      <c r="G1622" s="207"/>
      <c r="H1622" s="209"/>
      <c r="I1622" s="209"/>
      <c r="J1622" s="209"/>
      <c r="K1622" s="208" t="str">
        <f>IF(Errors!$I1622=0,SourceData!$B$42,VLOOKUP(Errors!$I1622,SourceData!$A$2:$B$40,2,FALSE))</f>
        <v>Please select ERROR CODE column "I"</v>
      </c>
      <c r="L1622" s="207" t="str">
        <f>IF(Errors!$I1622=0,
    'List of Error Codes'!$E$29,
    IFERROR(VLOOKUP(Errors!$I1622, 'List of Error Codes'!D1621:I1651, 6, FALSE), 'List of Error Codes'!$E$29)
)</f>
        <v>Please select ERROR CODE column "I"</v>
      </c>
      <c r="M1622" s="209"/>
      <c r="N1622" s="209"/>
      <c r="O1622" s="209"/>
      <c r="P1622" s="209"/>
      <c r="Q1622" s="209"/>
      <c r="R1622" s="217"/>
      <c r="S1622" s="217"/>
      <c r="T1622" s="217"/>
      <c r="U1622" s="199"/>
      <c r="V1622" s="200"/>
      <c r="W1622" s="200"/>
      <c r="X1622" s="200"/>
      <c r="Y1622" s="200"/>
      <c r="Z1622" s="200"/>
      <c r="AA1622" s="201"/>
      <c r="AB1622" s="200"/>
      <c r="AC1622" s="200"/>
    </row>
    <row r="1623" ht="15.75" customHeight="1">
      <c r="A1623" s="210">
        <f t="shared" si="1"/>
        <v>1621</v>
      </c>
      <c r="B1623" s="217"/>
      <c r="C1623" s="217" t="str">
        <f>IFERROR(VLOOKUP(B1623, SourceData!$U$3:$V$190, 2, FALSE), "")</f>
        <v/>
      </c>
      <c r="D1623" s="240"/>
      <c r="E1623" s="241"/>
      <c r="F1623" s="248"/>
      <c r="G1623" s="207"/>
      <c r="H1623" s="209"/>
      <c r="I1623" s="209"/>
      <c r="J1623" s="209"/>
      <c r="K1623" s="208" t="str">
        <f>IF(Errors!$I1623=0,SourceData!$B$42,VLOOKUP(Errors!$I1623,SourceData!$A$2:$B$40,2,FALSE))</f>
        <v>Please select ERROR CODE column "I"</v>
      </c>
      <c r="L1623" s="207" t="str">
        <f>IF(Errors!$I1623=0,
    'List of Error Codes'!$E$29,
    IFERROR(VLOOKUP(Errors!$I1623, 'List of Error Codes'!D1622:I1652, 6, FALSE), 'List of Error Codes'!$E$29)
)</f>
        <v>Please select ERROR CODE column "I"</v>
      </c>
      <c r="M1623" s="209"/>
      <c r="N1623" s="209"/>
      <c r="O1623" s="209"/>
      <c r="P1623" s="209"/>
      <c r="Q1623" s="209"/>
      <c r="R1623" s="217"/>
      <c r="S1623" s="217"/>
      <c r="T1623" s="217"/>
      <c r="U1623" s="199"/>
      <c r="V1623" s="200"/>
      <c r="W1623" s="200"/>
      <c r="X1623" s="200"/>
      <c r="Y1623" s="200"/>
      <c r="Z1623" s="200"/>
      <c r="AA1623" s="201"/>
      <c r="AB1623" s="200"/>
      <c r="AC1623" s="200"/>
    </row>
    <row r="1624" ht="15.75" customHeight="1">
      <c r="A1624" s="210">
        <f t="shared" si="1"/>
        <v>1622</v>
      </c>
      <c r="B1624" s="217"/>
      <c r="C1624" s="217" t="str">
        <f>IFERROR(VLOOKUP(B1624, SourceData!$U$3:$V$190, 2, FALSE), "")</f>
        <v/>
      </c>
      <c r="D1624" s="240"/>
      <c r="E1624" s="241"/>
      <c r="F1624" s="248"/>
      <c r="G1624" s="207"/>
      <c r="H1624" s="209"/>
      <c r="I1624" s="209"/>
      <c r="J1624" s="209"/>
      <c r="K1624" s="208" t="str">
        <f>IF(Errors!$I1624=0,SourceData!$B$42,VLOOKUP(Errors!$I1624,SourceData!$A$2:$B$40,2,FALSE))</f>
        <v>Please select ERROR CODE column "I"</v>
      </c>
      <c r="L1624" s="207" t="str">
        <f>IF(Errors!$I1624=0,
    'List of Error Codes'!$E$29,
    IFERROR(VLOOKUP(Errors!$I1624, 'List of Error Codes'!D1623:I1653, 6, FALSE), 'List of Error Codes'!$E$29)
)</f>
        <v>Please select ERROR CODE column "I"</v>
      </c>
      <c r="M1624" s="209"/>
      <c r="N1624" s="209"/>
      <c r="O1624" s="209"/>
      <c r="P1624" s="209"/>
      <c r="Q1624" s="209"/>
      <c r="R1624" s="217"/>
      <c r="S1624" s="217"/>
      <c r="T1624" s="217"/>
      <c r="U1624" s="199"/>
      <c r="V1624" s="200"/>
      <c r="W1624" s="200"/>
      <c r="X1624" s="200"/>
      <c r="Y1624" s="200"/>
      <c r="Z1624" s="200"/>
      <c r="AA1624" s="201"/>
      <c r="AB1624" s="200"/>
      <c r="AC1624" s="200"/>
    </row>
    <row r="1625" ht="15.75" customHeight="1">
      <c r="A1625" s="210">
        <f t="shared" si="1"/>
        <v>1623</v>
      </c>
      <c r="B1625" s="217"/>
      <c r="C1625" s="217" t="str">
        <f>IFERROR(VLOOKUP(B1625, SourceData!$U$3:$V$190, 2, FALSE), "")</f>
        <v/>
      </c>
      <c r="D1625" s="240"/>
      <c r="E1625" s="241"/>
      <c r="F1625" s="248"/>
      <c r="G1625" s="207"/>
      <c r="H1625" s="209"/>
      <c r="I1625" s="209"/>
      <c r="J1625" s="209"/>
      <c r="K1625" s="208" t="str">
        <f>IF(Errors!$I1625=0,SourceData!$B$42,VLOOKUP(Errors!$I1625,SourceData!$A$2:$B$40,2,FALSE))</f>
        <v>Please select ERROR CODE column "I"</v>
      </c>
      <c r="L1625" s="207" t="str">
        <f>IF(Errors!$I1625=0,
    'List of Error Codes'!$E$29,
    IFERROR(VLOOKUP(Errors!$I1625, 'List of Error Codes'!D1624:I1654, 6, FALSE), 'List of Error Codes'!$E$29)
)</f>
        <v>Please select ERROR CODE column "I"</v>
      </c>
      <c r="M1625" s="209"/>
      <c r="N1625" s="209"/>
      <c r="O1625" s="209"/>
      <c r="P1625" s="209"/>
      <c r="Q1625" s="209"/>
      <c r="R1625" s="217"/>
      <c r="S1625" s="217"/>
      <c r="T1625" s="217"/>
      <c r="U1625" s="199"/>
      <c r="V1625" s="200"/>
      <c r="W1625" s="200"/>
      <c r="X1625" s="200"/>
      <c r="Y1625" s="200"/>
      <c r="Z1625" s="200"/>
      <c r="AA1625" s="201"/>
      <c r="AB1625" s="200"/>
      <c r="AC1625" s="200"/>
    </row>
    <row r="1626" ht="15.75" customHeight="1">
      <c r="A1626" s="210">
        <f t="shared" si="1"/>
        <v>1624</v>
      </c>
      <c r="B1626" s="217"/>
      <c r="C1626" s="217" t="str">
        <f>IFERROR(VLOOKUP(B1626, SourceData!$U$3:$V$190, 2, FALSE), "")</f>
        <v/>
      </c>
      <c r="D1626" s="240"/>
      <c r="E1626" s="241"/>
      <c r="F1626" s="248"/>
      <c r="G1626" s="207"/>
      <c r="H1626" s="209"/>
      <c r="I1626" s="209"/>
      <c r="J1626" s="209"/>
      <c r="K1626" s="208" t="str">
        <f>IF(Errors!$I1626=0,SourceData!$B$42,VLOOKUP(Errors!$I1626,SourceData!$A$2:$B$40,2,FALSE))</f>
        <v>Please select ERROR CODE column "I"</v>
      </c>
      <c r="L1626" s="207" t="str">
        <f>IF(Errors!$I1626=0,
    'List of Error Codes'!$E$29,
    IFERROR(VLOOKUP(Errors!$I1626, 'List of Error Codes'!D1625:I1655, 6, FALSE), 'List of Error Codes'!$E$29)
)</f>
        <v>Please select ERROR CODE column "I"</v>
      </c>
      <c r="M1626" s="209"/>
      <c r="N1626" s="209"/>
      <c r="O1626" s="209"/>
      <c r="P1626" s="209"/>
      <c r="Q1626" s="209"/>
      <c r="R1626" s="217"/>
      <c r="S1626" s="217"/>
      <c r="T1626" s="217"/>
      <c r="U1626" s="199"/>
      <c r="V1626" s="200"/>
      <c r="W1626" s="200"/>
      <c r="X1626" s="200"/>
      <c r="Y1626" s="200"/>
      <c r="Z1626" s="200"/>
      <c r="AA1626" s="201"/>
      <c r="AB1626" s="200"/>
      <c r="AC1626" s="200"/>
    </row>
    <row r="1627" ht="15.75" customHeight="1">
      <c r="A1627" s="210">
        <f t="shared" si="1"/>
        <v>1625</v>
      </c>
      <c r="B1627" s="217"/>
      <c r="C1627" s="217" t="str">
        <f>IFERROR(VLOOKUP(B1627, SourceData!$U$3:$V$190, 2, FALSE), "")</f>
        <v/>
      </c>
      <c r="D1627" s="240"/>
      <c r="E1627" s="241"/>
      <c r="F1627" s="248"/>
      <c r="G1627" s="207"/>
      <c r="H1627" s="209"/>
      <c r="I1627" s="209"/>
      <c r="J1627" s="209"/>
      <c r="K1627" s="208" t="str">
        <f>IF(Errors!$I1627=0,SourceData!$B$42,VLOOKUP(Errors!$I1627,SourceData!$A$2:$B$40,2,FALSE))</f>
        <v>Please select ERROR CODE column "I"</v>
      </c>
      <c r="L1627" s="207" t="str">
        <f>IF(Errors!$I1627=0,
    'List of Error Codes'!$E$29,
    IFERROR(VLOOKUP(Errors!$I1627, 'List of Error Codes'!D1626:I1656, 6, FALSE), 'List of Error Codes'!$E$29)
)</f>
        <v>Please select ERROR CODE column "I"</v>
      </c>
      <c r="M1627" s="209"/>
      <c r="N1627" s="209"/>
      <c r="O1627" s="209"/>
      <c r="P1627" s="209"/>
      <c r="Q1627" s="209"/>
      <c r="R1627" s="217"/>
      <c r="S1627" s="217"/>
      <c r="T1627" s="217"/>
      <c r="U1627" s="199"/>
      <c r="V1627" s="200"/>
      <c r="W1627" s="200"/>
      <c r="X1627" s="200"/>
      <c r="Y1627" s="200"/>
      <c r="Z1627" s="200"/>
      <c r="AA1627" s="201"/>
      <c r="AB1627" s="200"/>
      <c r="AC1627" s="200"/>
    </row>
    <row r="1628" ht="15.75" customHeight="1">
      <c r="A1628" s="210">
        <f t="shared" si="1"/>
        <v>1626</v>
      </c>
      <c r="B1628" s="217"/>
      <c r="C1628" s="217" t="str">
        <f>IFERROR(VLOOKUP(B1628, SourceData!$U$3:$V$190, 2, FALSE), "")</f>
        <v/>
      </c>
      <c r="D1628" s="240"/>
      <c r="E1628" s="241"/>
      <c r="F1628" s="248"/>
      <c r="G1628" s="207"/>
      <c r="H1628" s="209"/>
      <c r="I1628" s="209"/>
      <c r="J1628" s="209"/>
      <c r="K1628" s="208" t="str">
        <f>IF(Errors!$I1628=0,SourceData!$B$42,VLOOKUP(Errors!$I1628,SourceData!$A$2:$B$40,2,FALSE))</f>
        <v>Please select ERROR CODE column "I"</v>
      </c>
      <c r="L1628" s="207" t="str">
        <f>IF(Errors!$I1628=0,
    'List of Error Codes'!$E$29,
    IFERROR(VLOOKUP(Errors!$I1628, 'List of Error Codes'!D1627:I1657, 6, FALSE), 'List of Error Codes'!$E$29)
)</f>
        <v>Please select ERROR CODE column "I"</v>
      </c>
      <c r="M1628" s="209"/>
      <c r="N1628" s="209"/>
      <c r="O1628" s="209"/>
      <c r="P1628" s="209"/>
      <c r="Q1628" s="209"/>
      <c r="R1628" s="217"/>
      <c r="S1628" s="217"/>
      <c r="T1628" s="217"/>
      <c r="U1628" s="199"/>
      <c r="V1628" s="200"/>
      <c r="W1628" s="200"/>
      <c r="X1628" s="200"/>
      <c r="Y1628" s="200"/>
      <c r="Z1628" s="200"/>
      <c r="AA1628" s="201"/>
      <c r="AB1628" s="200"/>
      <c r="AC1628" s="200"/>
    </row>
    <row r="1629" ht="15.75" customHeight="1">
      <c r="A1629" s="210">
        <f t="shared" si="1"/>
        <v>1627</v>
      </c>
      <c r="B1629" s="217"/>
      <c r="C1629" s="217" t="str">
        <f>IFERROR(VLOOKUP(B1629, SourceData!$U$3:$V$190, 2, FALSE), "")</f>
        <v/>
      </c>
      <c r="D1629" s="240"/>
      <c r="E1629" s="241"/>
      <c r="F1629" s="248"/>
      <c r="G1629" s="207"/>
      <c r="H1629" s="209"/>
      <c r="I1629" s="209"/>
      <c r="J1629" s="209"/>
      <c r="K1629" s="208" t="str">
        <f>IF(Errors!$I1629=0,SourceData!$B$42,VLOOKUP(Errors!$I1629,SourceData!$A$2:$B$40,2,FALSE))</f>
        <v>Please select ERROR CODE column "I"</v>
      </c>
      <c r="L1629" s="207" t="str">
        <f>IF(Errors!$I1629=0,
    'List of Error Codes'!$E$29,
    IFERROR(VLOOKUP(Errors!$I1629, 'List of Error Codes'!D1628:I1658, 6, FALSE), 'List of Error Codes'!$E$29)
)</f>
        <v>Please select ERROR CODE column "I"</v>
      </c>
      <c r="M1629" s="209"/>
      <c r="N1629" s="209"/>
      <c r="O1629" s="209"/>
      <c r="P1629" s="209"/>
      <c r="Q1629" s="209"/>
      <c r="R1629" s="217"/>
      <c r="S1629" s="217"/>
      <c r="T1629" s="217"/>
      <c r="U1629" s="199"/>
      <c r="V1629" s="200"/>
      <c r="W1629" s="200"/>
      <c r="X1629" s="200"/>
      <c r="Y1629" s="200"/>
      <c r="Z1629" s="200"/>
      <c r="AA1629" s="201"/>
      <c r="AB1629" s="200"/>
      <c r="AC1629" s="200"/>
    </row>
    <row r="1630" ht="15.75" customHeight="1">
      <c r="A1630" s="210">
        <f t="shared" si="1"/>
        <v>1628</v>
      </c>
      <c r="B1630" s="217"/>
      <c r="C1630" s="217" t="str">
        <f>IFERROR(VLOOKUP(B1630, SourceData!$U$3:$V$190, 2, FALSE), "")</f>
        <v/>
      </c>
      <c r="D1630" s="240"/>
      <c r="E1630" s="241"/>
      <c r="F1630" s="248"/>
      <c r="G1630" s="207"/>
      <c r="H1630" s="209"/>
      <c r="I1630" s="209"/>
      <c r="J1630" s="209"/>
      <c r="K1630" s="208" t="str">
        <f>IF(Errors!$I1630=0,SourceData!$B$42,VLOOKUP(Errors!$I1630,SourceData!$A$2:$B$40,2,FALSE))</f>
        <v>Please select ERROR CODE column "I"</v>
      </c>
      <c r="L1630" s="207" t="str">
        <f>IF(Errors!$I1630=0,
    'List of Error Codes'!$E$29,
    IFERROR(VLOOKUP(Errors!$I1630, 'List of Error Codes'!D1629:I1659, 6, FALSE), 'List of Error Codes'!$E$29)
)</f>
        <v>Please select ERROR CODE column "I"</v>
      </c>
      <c r="M1630" s="209"/>
      <c r="N1630" s="209"/>
      <c r="O1630" s="209"/>
      <c r="P1630" s="209"/>
      <c r="Q1630" s="209"/>
      <c r="R1630" s="217"/>
      <c r="S1630" s="217"/>
      <c r="T1630" s="217"/>
      <c r="U1630" s="199"/>
      <c r="V1630" s="200"/>
      <c r="W1630" s="200"/>
      <c r="X1630" s="200"/>
      <c r="Y1630" s="200"/>
      <c r="Z1630" s="200"/>
      <c r="AA1630" s="201"/>
      <c r="AB1630" s="200"/>
      <c r="AC1630" s="200"/>
    </row>
    <row r="1631" ht="15.75" customHeight="1">
      <c r="A1631" s="210">
        <f t="shared" si="1"/>
        <v>1629</v>
      </c>
      <c r="B1631" s="217"/>
      <c r="C1631" s="217" t="str">
        <f>IFERROR(VLOOKUP(B1631, SourceData!$U$3:$V$190, 2, FALSE), "")</f>
        <v/>
      </c>
      <c r="D1631" s="240"/>
      <c r="E1631" s="241"/>
      <c r="F1631" s="248"/>
      <c r="G1631" s="207"/>
      <c r="H1631" s="209"/>
      <c r="I1631" s="209"/>
      <c r="J1631" s="209"/>
      <c r="K1631" s="208" t="str">
        <f>IF(Errors!$I1631=0,SourceData!$B$42,VLOOKUP(Errors!$I1631,SourceData!$A$2:$B$40,2,FALSE))</f>
        <v>Please select ERROR CODE column "I"</v>
      </c>
      <c r="L1631" s="207" t="str">
        <f>IF(Errors!$I1631=0,
    'List of Error Codes'!$E$29,
    IFERROR(VLOOKUP(Errors!$I1631, 'List of Error Codes'!D1630:I1660, 6, FALSE), 'List of Error Codes'!$E$29)
)</f>
        <v>Please select ERROR CODE column "I"</v>
      </c>
      <c r="M1631" s="209"/>
      <c r="N1631" s="209"/>
      <c r="O1631" s="209"/>
      <c r="P1631" s="209"/>
      <c r="Q1631" s="209"/>
      <c r="R1631" s="217"/>
      <c r="S1631" s="217"/>
      <c r="T1631" s="217"/>
      <c r="U1631" s="199"/>
      <c r="V1631" s="200"/>
      <c r="W1631" s="200"/>
      <c r="X1631" s="200"/>
      <c r="Y1631" s="200"/>
      <c r="Z1631" s="200"/>
      <c r="AA1631" s="201"/>
      <c r="AB1631" s="200"/>
      <c r="AC1631" s="200"/>
    </row>
    <row r="1632" ht="15.75" customHeight="1">
      <c r="A1632" s="210">
        <f t="shared" si="1"/>
        <v>1630</v>
      </c>
      <c r="B1632" s="217"/>
      <c r="C1632" s="217" t="str">
        <f>IFERROR(VLOOKUP(B1632, SourceData!$U$3:$V$190, 2, FALSE), "")</f>
        <v/>
      </c>
      <c r="D1632" s="240"/>
      <c r="E1632" s="241"/>
      <c r="F1632" s="248"/>
      <c r="G1632" s="207"/>
      <c r="H1632" s="209"/>
      <c r="I1632" s="209"/>
      <c r="J1632" s="209"/>
      <c r="K1632" s="208" t="str">
        <f>IF(Errors!$I1632=0,SourceData!$B$42,VLOOKUP(Errors!$I1632,SourceData!$A$2:$B$40,2,FALSE))</f>
        <v>Please select ERROR CODE column "I"</v>
      </c>
      <c r="L1632" s="207" t="str">
        <f>IF(Errors!$I1632=0,
    'List of Error Codes'!$E$29,
    IFERROR(VLOOKUP(Errors!$I1632, 'List of Error Codes'!D1631:I1661, 6, FALSE), 'List of Error Codes'!$E$29)
)</f>
        <v>Please select ERROR CODE column "I"</v>
      </c>
      <c r="M1632" s="209"/>
      <c r="N1632" s="209"/>
      <c r="O1632" s="209"/>
      <c r="P1632" s="209"/>
      <c r="Q1632" s="209"/>
      <c r="R1632" s="217"/>
      <c r="S1632" s="217"/>
      <c r="T1632" s="217"/>
      <c r="U1632" s="199"/>
      <c r="V1632" s="200"/>
      <c r="W1632" s="200"/>
      <c r="X1632" s="200"/>
      <c r="Y1632" s="200"/>
      <c r="Z1632" s="200"/>
      <c r="AA1632" s="201"/>
      <c r="AB1632" s="200"/>
      <c r="AC1632" s="200"/>
    </row>
    <row r="1633" ht="15.75" customHeight="1">
      <c r="A1633" s="210">
        <f t="shared" si="1"/>
        <v>1631</v>
      </c>
      <c r="B1633" s="217"/>
      <c r="C1633" s="217" t="str">
        <f>IFERROR(VLOOKUP(B1633, SourceData!$U$3:$V$190, 2, FALSE), "")</f>
        <v/>
      </c>
      <c r="D1633" s="240"/>
      <c r="E1633" s="241"/>
      <c r="F1633" s="248"/>
      <c r="G1633" s="207"/>
      <c r="H1633" s="209"/>
      <c r="I1633" s="209"/>
      <c r="J1633" s="209"/>
      <c r="K1633" s="208" t="str">
        <f>IF(Errors!$I1633=0,SourceData!$B$42,VLOOKUP(Errors!$I1633,SourceData!$A$2:$B$40,2,FALSE))</f>
        <v>Please select ERROR CODE column "I"</v>
      </c>
      <c r="L1633" s="207" t="str">
        <f>IF(Errors!$I1633=0,
    'List of Error Codes'!$E$29,
    IFERROR(VLOOKUP(Errors!$I1633, 'List of Error Codes'!D1632:I1662, 6, FALSE), 'List of Error Codes'!$E$29)
)</f>
        <v>Please select ERROR CODE column "I"</v>
      </c>
      <c r="M1633" s="209"/>
      <c r="N1633" s="209"/>
      <c r="O1633" s="209"/>
      <c r="P1633" s="209"/>
      <c r="Q1633" s="209"/>
      <c r="R1633" s="217"/>
      <c r="S1633" s="217"/>
      <c r="T1633" s="217"/>
      <c r="U1633" s="199"/>
      <c r="V1633" s="200"/>
      <c r="W1633" s="200"/>
      <c r="X1633" s="200"/>
      <c r="Y1633" s="200"/>
      <c r="Z1633" s="200"/>
      <c r="AA1633" s="201"/>
      <c r="AB1633" s="200"/>
      <c r="AC1633" s="200"/>
    </row>
    <row r="1634" ht="15.75" customHeight="1">
      <c r="A1634" s="210">
        <f t="shared" si="1"/>
        <v>1632</v>
      </c>
      <c r="B1634" s="217"/>
      <c r="C1634" s="217" t="str">
        <f>IFERROR(VLOOKUP(B1634, SourceData!$U$3:$V$190, 2, FALSE), "")</f>
        <v/>
      </c>
      <c r="D1634" s="240"/>
      <c r="E1634" s="241"/>
      <c r="F1634" s="248"/>
      <c r="G1634" s="207"/>
      <c r="H1634" s="209"/>
      <c r="I1634" s="209"/>
      <c r="J1634" s="209"/>
      <c r="K1634" s="208" t="str">
        <f>IF(Errors!$I1634=0,SourceData!$B$42,VLOOKUP(Errors!$I1634,SourceData!$A$2:$B$40,2,FALSE))</f>
        <v>Please select ERROR CODE column "I"</v>
      </c>
      <c r="L1634" s="207" t="str">
        <f>IF(Errors!$I1634=0,
    'List of Error Codes'!$E$29,
    IFERROR(VLOOKUP(Errors!$I1634, 'List of Error Codes'!D1633:I1663, 6, FALSE), 'List of Error Codes'!$E$29)
)</f>
        <v>Please select ERROR CODE column "I"</v>
      </c>
      <c r="M1634" s="209"/>
      <c r="N1634" s="209"/>
      <c r="O1634" s="209"/>
      <c r="P1634" s="209"/>
      <c r="Q1634" s="209"/>
      <c r="R1634" s="217"/>
      <c r="S1634" s="217"/>
      <c r="T1634" s="217"/>
      <c r="U1634" s="199"/>
      <c r="V1634" s="200"/>
      <c r="W1634" s="200"/>
      <c r="X1634" s="200"/>
      <c r="Y1634" s="200"/>
      <c r="Z1634" s="200"/>
      <c r="AA1634" s="201"/>
      <c r="AB1634" s="200"/>
      <c r="AC1634" s="200"/>
    </row>
    <row r="1635" ht="15.75" customHeight="1">
      <c r="A1635" s="210">
        <f t="shared" si="1"/>
        <v>1633</v>
      </c>
      <c r="B1635" s="217"/>
      <c r="C1635" s="217" t="str">
        <f>IFERROR(VLOOKUP(B1635, SourceData!$U$3:$V$190, 2, FALSE), "")</f>
        <v/>
      </c>
      <c r="D1635" s="240"/>
      <c r="E1635" s="241"/>
      <c r="F1635" s="248"/>
      <c r="G1635" s="207"/>
      <c r="H1635" s="209"/>
      <c r="I1635" s="209"/>
      <c r="J1635" s="209"/>
      <c r="K1635" s="208" t="str">
        <f>IF(Errors!$I1635=0,SourceData!$B$42,VLOOKUP(Errors!$I1635,SourceData!$A$2:$B$40,2,FALSE))</f>
        <v>Please select ERROR CODE column "I"</v>
      </c>
      <c r="L1635" s="207" t="str">
        <f>IF(Errors!$I1635=0,
    'List of Error Codes'!$E$29,
    IFERROR(VLOOKUP(Errors!$I1635, 'List of Error Codes'!D1634:I1664, 6, FALSE), 'List of Error Codes'!$E$29)
)</f>
        <v>Please select ERROR CODE column "I"</v>
      </c>
      <c r="M1635" s="209"/>
      <c r="N1635" s="209"/>
      <c r="O1635" s="209"/>
      <c r="P1635" s="209"/>
      <c r="Q1635" s="209"/>
      <c r="R1635" s="217"/>
      <c r="S1635" s="217"/>
      <c r="T1635" s="217"/>
      <c r="U1635" s="199"/>
      <c r="V1635" s="200"/>
      <c r="W1635" s="200"/>
      <c r="X1635" s="200"/>
      <c r="Y1635" s="200"/>
      <c r="Z1635" s="200"/>
      <c r="AA1635" s="201"/>
      <c r="AB1635" s="200"/>
      <c r="AC1635" s="200"/>
    </row>
    <row r="1636" ht="15.75" customHeight="1">
      <c r="A1636" s="210">
        <f t="shared" si="1"/>
        <v>1634</v>
      </c>
      <c r="B1636" s="217"/>
      <c r="C1636" s="217" t="str">
        <f>IFERROR(VLOOKUP(B1636, SourceData!$U$3:$V$190, 2, FALSE), "")</f>
        <v/>
      </c>
      <c r="D1636" s="240"/>
      <c r="E1636" s="241"/>
      <c r="F1636" s="248"/>
      <c r="G1636" s="207"/>
      <c r="H1636" s="209"/>
      <c r="I1636" s="209"/>
      <c r="J1636" s="209"/>
      <c r="K1636" s="208" t="str">
        <f>IF(Errors!$I1636=0,SourceData!$B$42,VLOOKUP(Errors!$I1636,SourceData!$A$2:$B$40,2,FALSE))</f>
        <v>Please select ERROR CODE column "I"</v>
      </c>
      <c r="L1636" s="207" t="str">
        <f>IF(Errors!$I1636=0,
    'List of Error Codes'!$E$29,
    IFERROR(VLOOKUP(Errors!$I1636, 'List of Error Codes'!D1635:I1665, 6, FALSE), 'List of Error Codes'!$E$29)
)</f>
        <v>Please select ERROR CODE column "I"</v>
      </c>
      <c r="M1636" s="209"/>
      <c r="N1636" s="209"/>
      <c r="O1636" s="209"/>
      <c r="P1636" s="209"/>
      <c r="Q1636" s="209"/>
      <c r="R1636" s="217"/>
      <c r="S1636" s="217"/>
      <c r="T1636" s="217"/>
      <c r="U1636" s="199"/>
      <c r="V1636" s="200"/>
      <c r="W1636" s="200"/>
      <c r="X1636" s="200"/>
      <c r="Y1636" s="200"/>
      <c r="Z1636" s="200"/>
      <c r="AA1636" s="201"/>
      <c r="AB1636" s="200"/>
      <c r="AC1636" s="200"/>
    </row>
    <row r="1637" ht="15.75" customHeight="1">
      <c r="A1637" s="210">
        <f t="shared" si="1"/>
        <v>1635</v>
      </c>
      <c r="B1637" s="217"/>
      <c r="C1637" s="217" t="str">
        <f>IFERROR(VLOOKUP(B1637, SourceData!$U$3:$V$190, 2, FALSE), "")</f>
        <v/>
      </c>
      <c r="D1637" s="240"/>
      <c r="E1637" s="241"/>
      <c r="F1637" s="248"/>
      <c r="G1637" s="207"/>
      <c r="H1637" s="209"/>
      <c r="I1637" s="209"/>
      <c r="J1637" s="209"/>
      <c r="K1637" s="208" t="str">
        <f>IF(Errors!$I1637=0,SourceData!$B$42,VLOOKUP(Errors!$I1637,SourceData!$A$2:$B$40,2,FALSE))</f>
        <v>Please select ERROR CODE column "I"</v>
      </c>
      <c r="L1637" s="207" t="str">
        <f>IF(Errors!$I1637=0,
    'List of Error Codes'!$E$29,
    IFERROR(VLOOKUP(Errors!$I1637, 'List of Error Codes'!D1636:I1666, 6, FALSE), 'List of Error Codes'!$E$29)
)</f>
        <v>Please select ERROR CODE column "I"</v>
      </c>
      <c r="M1637" s="209"/>
      <c r="N1637" s="209"/>
      <c r="O1637" s="209"/>
      <c r="P1637" s="209"/>
      <c r="Q1637" s="209"/>
      <c r="R1637" s="217"/>
      <c r="S1637" s="217"/>
      <c r="T1637" s="217"/>
      <c r="U1637" s="199"/>
      <c r="V1637" s="200"/>
      <c r="W1637" s="200"/>
      <c r="X1637" s="200"/>
      <c r="Y1637" s="200"/>
      <c r="Z1637" s="200"/>
      <c r="AA1637" s="201"/>
      <c r="AB1637" s="200"/>
      <c r="AC1637" s="200"/>
    </row>
    <row r="1638" ht="15.75" customHeight="1">
      <c r="A1638" s="210">
        <f t="shared" si="1"/>
        <v>1636</v>
      </c>
      <c r="B1638" s="217"/>
      <c r="C1638" s="217" t="str">
        <f>IFERROR(VLOOKUP(B1638, SourceData!$U$3:$V$190, 2, FALSE), "")</f>
        <v/>
      </c>
      <c r="D1638" s="240"/>
      <c r="E1638" s="241"/>
      <c r="F1638" s="248"/>
      <c r="G1638" s="207"/>
      <c r="H1638" s="209"/>
      <c r="I1638" s="209"/>
      <c r="J1638" s="209"/>
      <c r="K1638" s="208" t="str">
        <f>IF(Errors!$I1638=0,SourceData!$B$42,VLOOKUP(Errors!$I1638,SourceData!$A$2:$B$40,2,FALSE))</f>
        <v>Please select ERROR CODE column "I"</v>
      </c>
      <c r="L1638" s="207" t="str">
        <f>IF(Errors!$I1638=0,
    'List of Error Codes'!$E$29,
    IFERROR(VLOOKUP(Errors!$I1638, 'List of Error Codes'!D1637:I1667, 6, FALSE), 'List of Error Codes'!$E$29)
)</f>
        <v>Please select ERROR CODE column "I"</v>
      </c>
      <c r="M1638" s="209"/>
      <c r="N1638" s="209"/>
      <c r="O1638" s="209"/>
      <c r="P1638" s="209"/>
      <c r="Q1638" s="209"/>
      <c r="R1638" s="217"/>
      <c r="S1638" s="217"/>
      <c r="T1638" s="217"/>
      <c r="U1638" s="199"/>
      <c r="V1638" s="200"/>
      <c r="W1638" s="200"/>
      <c r="X1638" s="200"/>
      <c r="Y1638" s="200"/>
      <c r="Z1638" s="200"/>
      <c r="AA1638" s="201"/>
      <c r="AB1638" s="200"/>
      <c r="AC1638" s="200"/>
    </row>
    <row r="1639" ht="15.75" customHeight="1">
      <c r="A1639" s="210">
        <f t="shared" si="1"/>
        <v>1637</v>
      </c>
      <c r="B1639" s="217"/>
      <c r="C1639" s="217" t="str">
        <f>IFERROR(VLOOKUP(B1639, SourceData!$U$3:$V$190, 2, FALSE), "")</f>
        <v/>
      </c>
      <c r="D1639" s="240"/>
      <c r="E1639" s="241"/>
      <c r="F1639" s="248"/>
      <c r="G1639" s="207"/>
      <c r="H1639" s="209"/>
      <c r="I1639" s="209"/>
      <c r="J1639" s="209"/>
      <c r="K1639" s="208" t="str">
        <f>IF(Errors!$I1639=0,SourceData!$B$42,VLOOKUP(Errors!$I1639,SourceData!$A$2:$B$40,2,FALSE))</f>
        <v>Please select ERROR CODE column "I"</v>
      </c>
      <c r="L1639" s="207" t="str">
        <f>IF(Errors!$I1639=0,
    'List of Error Codes'!$E$29,
    IFERROR(VLOOKUP(Errors!$I1639, 'List of Error Codes'!D1638:I1668, 6, FALSE), 'List of Error Codes'!$E$29)
)</f>
        <v>Please select ERROR CODE column "I"</v>
      </c>
      <c r="M1639" s="209"/>
      <c r="N1639" s="209"/>
      <c r="O1639" s="209"/>
      <c r="P1639" s="209"/>
      <c r="Q1639" s="209"/>
      <c r="R1639" s="217"/>
      <c r="S1639" s="217"/>
      <c r="T1639" s="217"/>
      <c r="U1639" s="199"/>
      <c r="V1639" s="200"/>
      <c r="W1639" s="200"/>
      <c r="X1639" s="200"/>
      <c r="Y1639" s="200"/>
      <c r="Z1639" s="200"/>
      <c r="AA1639" s="201"/>
      <c r="AB1639" s="200"/>
      <c r="AC1639" s="200"/>
    </row>
    <row r="1640" ht="15.75" customHeight="1">
      <c r="A1640" s="210">
        <f t="shared" si="1"/>
        <v>1638</v>
      </c>
      <c r="B1640" s="217"/>
      <c r="C1640" s="217" t="str">
        <f>IFERROR(VLOOKUP(B1640, SourceData!$U$3:$V$190, 2, FALSE), "")</f>
        <v/>
      </c>
      <c r="D1640" s="240"/>
      <c r="E1640" s="241"/>
      <c r="F1640" s="248"/>
      <c r="G1640" s="207"/>
      <c r="H1640" s="209"/>
      <c r="I1640" s="209"/>
      <c r="J1640" s="209"/>
      <c r="K1640" s="208" t="str">
        <f>IF(Errors!$I1640=0,SourceData!$B$42,VLOOKUP(Errors!$I1640,SourceData!$A$2:$B$40,2,FALSE))</f>
        <v>Please select ERROR CODE column "I"</v>
      </c>
      <c r="L1640" s="207" t="str">
        <f>IF(Errors!$I1640=0,
    'List of Error Codes'!$E$29,
    IFERROR(VLOOKUP(Errors!$I1640, 'List of Error Codes'!D1639:I1669, 6, FALSE), 'List of Error Codes'!$E$29)
)</f>
        <v>Please select ERROR CODE column "I"</v>
      </c>
      <c r="M1640" s="209"/>
      <c r="N1640" s="209"/>
      <c r="O1640" s="209"/>
      <c r="P1640" s="209"/>
      <c r="Q1640" s="209"/>
      <c r="R1640" s="217"/>
      <c r="S1640" s="217"/>
      <c r="T1640" s="217"/>
      <c r="U1640" s="199"/>
      <c r="V1640" s="200"/>
      <c r="W1640" s="200"/>
      <c r="X1640" s="200"/>
      <c r="Y1640" s="200"/>
      <c r="Z1640" s="200"/>
      <c r="AA1640" s="201"/>
      <c r="AB1640" s="200"/>
      <c r="AC1640" s="200"/>
    </row>
    <row r="1641" ht="15.75" customHeight="1">
      <c r="A1641" s="210">
        <f t="shared" si="1"/>
        <v>1639</v>
      </c>
      <c r="B1641" s="217"/>
      <c r="C1641" s="217" t="str">
        <f>IFERROR(VLOOKUP(B1641, SourceData!$U$3:$V$190, 2, FALSE), "")</f>
        <v/>
      </c>
      <c r="D1641" s="240"/>
      <c r="E1641" s="241"/>
      <c r="F1641" s="248"/>
      <c r="G1641" s="207"/>
      <c r="H1641" s="209"/>
      <c r="I1641" s="209"/>
      <c r="J1641" s="209"/>
      <c r="K1641" s="208" t="str">
        <f>IF(Errors!$I1641=0,SourceData!$B$42,VLOOKUP(Errors!$I1641,SourceData!$A$2:$B$40,2,FALSE))</f>
        <v>Please select ERROR CODE column "I"</v>
      </c>
      <c r="L1641" s="207" t="str">
        <f>IF(Errors!$I1641=0,
    'List of Error Codes'!$E$29,
    IFERROR(VLOOKUP(Errors!$I1641, 'List of Error Codes'!D1640:I1670, 6, FALSE), 'List of Error Codes'!$E$29)
)</f>
        <v>Please select ERROR CODE column "I"</v>
      </c>
      <c r="M1641" s="209"/>
      <c r="N1641" s="209"/>
      <c r="O1641" s="209"/>
      <c r="P1641" s="209"/>
      <c r="Q1641" s="209"/>
      <c r="R1641" s="217"/>
      <c r="S1641" s="217"/>
      <c r="T1641" s="217"/>
      <c r="U1641" s="199"/>
      <c r="V1641" s="200"/>
      <c r="W1641" s="200"/>
      <c r="X1641" s="200"/>
      <c r="Y1641" s="200"/>
      <c r="Z1641" s="200"/>
      <c r="AA1641" s="201"/>
      <c r="AB1641" s="200"/>
      <c r="AC1641" s="200"/>
    </row>
    <row r="1642" ht="15.75" customHeight="1">
      <c r="A1642" s="210">
        <f t="shared" si="1"/>
        <v>1640</v>
      </c>
      <c r="B1642" s="217"/>
      <c r="C1642" s="217" t="str">
        <f>IFERROR(VLOOKUP(B1642, SourceData!$U$3:$V$190, 2, FALSE), "")</f>
        <v/>
      </c>
      <c r="D1642" s="240"/>
      <c r="E1642" s="241"/>
      <c r="F1642" s="248"/>
      <c r="G1642" s="207"/>
      <c r="H1642" s="209"/>
      <c r="I1642" s="209"/>
      <c r="J1642" s="209"/>
      <c r="K1642" s="208" t="str">
        <f>IF(Errors!$I1642=0,SourceData!$B$42,VLOOKUP(Errors!$I1642,SourceData!$A$2:$B$40,2,FALSE))</f>
        <v>Please select ERROR CODE column "I"</v>
      </c>
      <c r="L1642" s="207" t="str">
        <f>IF(Errors!$I1642=0,
    'List of Error Codes'!$E$29,
    IFERROR(VLOOKUP(Errors!$I1642, 'List of Error Codes'!D1641:I1671, 6, FALSE), 'List of Error Codes'!$E$29)
)</f>
        <v>Please select ERROR CODE column "I"</v>
      </c>
      <c r="M1642" s="209"/>
      <c r="N1642" s="209"/>
      <c r="O1642" s="209"/>
      <c r="P1642" s="209"/>
      <c r="Q1642" s="209"/>
      <c r="R1642" s="217"/>
      <c r="S1642" s="217"/>
      <c r="T1642" s="217"/>
      <c r="U1642" s="199"/>
      <c r="V1642" s="200"/>
      <c r="W1642" s="200"/>
      <c r="X1642" s="200"/>
      <c r="Y1642" s="200"/>
      <c r="Z1642" s="200"/>
      <c r="AA1642" s="201"/>
      <c r="AB1642" s="200"/>
      <c r="AC1642" s="200"/>
    </row>
    <row r="1643" ht="15.75" customHeight="1">
      <c r="A1643" s="210">
        <f t="shared" si="1"/>
        <v>1641</v>
      </c>
      <c r="B1643" s="217"/>
      <c r="C1643" s="217" t="str">
        <f>IFERROR(VLOOKUP(B1643, SourceData!$U$3:$V$190, 2, FALSE), "")</f>
        <v/>
      </c>
      <c r="D1643" s="240"/>
      <c r="E1643" s="241"/>
      <c r="F1643" s="248"/>
      <c r="G1643" s="207"/>
      <c r="H1643" s="209"/>
      <c r="I1643" s="209"/>
      <c r="J1643" s="209"/>
      <c r="K1643" s="208" t="str">
        <f>IF(Errors!$I1643=0,SourceData!$B$42,VLOOKUP(Errors!$I1643,SourceData!$A$2:$B$40,2,FALSE))</f>
        <v>Please select ERROR CODE column "I"</v>
      </c>
      <c r="L1643" s="207" t="str">
        <f>IF(Errors!$I1643=0,
    'List of Error Codes'!$E$29,
    IFERROR(VLOOKUP(Errors!$I1643, 'List of Error Codes'!D1642:I1672, 6, FALSE), 'List of Error Codes'!$E$29)
)</f>
        <v>Please select ERROR CODE column "I"</v>
      </c>
      <c r="M1643" s="209"/>
      <c r="N1643" s="209"/>
      <c r="O1643" s="209"/>
      <c r="P1643" s="209"/>
      <c r="Q1643" s="209"/>
      <c r="R1643" s="217"/>
      <c r="S1643" s="217"/>
      <c r="T1643" s="217"/>
      <c r="U1643" s="199"/>
      <c r="V1643" s="200"/>
      <c r="W1643" s="200"/>
      <c r="X1643" s="200"/>
      <c r="Y1643" s="200"/>
      <c r="Z1643" s="200"/>
      <c r="AA1643" s="201"/>
      <c r="AB1643" s="200"/>
      <c r="AC1643" s="200"/>
    </row>
    <row r="1644" ht="15.75" customHeight="1">
      <c r="A1644" s="210">
        <f t="shared" si="1"/>
        <v>1642</v>
      </c>
      <c r="B1644" s="217"/>
      <c r="C1644" s="217" t="str">
        <f>IFERROR(VLOOKUP(B1644, SourceData!$U$3:$V$190, 2, FALSE), "")</f>
        <v/>
      </c>
      <c r="D1644" s="240"/>
      <c r="E1644" s="241"/>
      <c r="F1644" s="248"/>
      <c r="G1644" s="207"/>
      <c r="H1644" s="209"/>
      <c r="I1644" s="209"/>
      <c r="J1644" s="209"/>
      <c r="K1644" s="208" t="str">
        <f>IF(Errors!$I1644=0,SourceData!$B$42,VLOOKUP(Errors!$I1644,SourceData!$A$2:$B$40,2,FALSE))</f>
        <v>Please select ERROR CODE column "I"</v>
      </c>
      <c r="L1644" s="207" t="str">
        <f>IF(Errors!$I1644=0,
    'List of Error Codes'!$E$29,
    IFERROR(VLOOKUP(Errors!$I1644, 'List of Error Codes'!D1643:I1673, 6, FALSE), 'List of Error Codes'!$E$29)
)</f>
        <v>Please select ERROR CODE column "I"</v>
      </c>
      <c r="M1644" s="209"/>
      <c r="N1644" s="209"/>
      <c r="O1644" s="209"/>
      <c r="P1644" s="209"/>
      <c r="Q1644" s="209"/>
      <c r="R1644" s="217"/>
      <c r="S1644" s="217"/>
      <c r="T1644" s="217"/>
      <c r="U1644" s="199"/>
      <c r="V1644" s="200"/>
      <c r="W1644" s="200"/>
      <c r="X1644" s="200"/>
      <c r="Y1644" s="200"/>
      <c r="Z1644" s="200"/>
      <c r="AA1644" s="201"/>
      <c r="AB1644" s="200"/>
      <c r="AC1644" s="200"/>
    </row>
    <row r="1645" ht="15.75" customHeight="1">
      <c r="A1645" s="210">
        <f t="shared" si="1"/>
        <v>1643</v>
      </c>
      <c r="B1645" s="217"/>
      <c r="C1645" s="217" t="str">
        <f>IFERROR(VLOOKUP(B1645, SourceData!$U$3:$V$190, 2, FALSE), "")</f>
        <v/>
      </c>
      <c r="D1645" s="240"/>
      <c r="E1645" s="241"/>
      <c r="F1645" s="248"/>
      <c r="G1645" s="207"/>
      <c r="H1645" s="209"/>
      <c r="I1645" s="209"/>
      <c r="J1645" s="209"/>
      <c r="K1645" s="208" t="str">
        <f>IF(Errors!$I1645=0,SourceData!$B$42,VLOOKUP(Errors!$I1645,SourceData!$A$2:$B$40,2,FALSE))</f>
        <v>Please select ERROR CODE column "I"</v>
      </c>
      <c r="L1645" s="207" t="str">
        <f>IF(Errors!$I1645=0,
    'List of Error Codes'!$E$29,
    IFERROR(VLOOKUP(Errors!$I1645, 'List of Error Codes'!D1644:I1674, 6, FALSE), 'List of Error Codes'!$E$29)
)</f>
        <v>Please select ERROR CODE column "I"</v>
      </c>
      <c r="M1645" s="209"/>
      <c r="N1645" s="209"/>
      <c r="O1645" s="209"/>
      <c r="P1645" s="209"/>
      <c r="Q1645" s="209"/>
      <c r="R1645" s="217"/>
      <c r="S1645" s="217"/>
      <c r="T1645" s="217"/>
      <c r="U1645" s="199"/>
      <c r="V1645" s="200"/>
      <c r="W1645" s="200"/>
      <c r="X1645" s="200"/>
      <c r="Y1645" s="200"/>
      <c r="Z1645" s="200"/>
      <c r="AA1645" s="201"/>
      <c r="AB1645" s="200"/>
      <c r="AC1645" s="200"/>
    </row>
    <row r="1646" ht="15.75" customHeight="1">
      <c r="A1646" s="210">
        <f t="shared" si="1"/>
        <v>1644</v>
      </c>
      <c r="B1646" s="217"/>
      <c r="C1646" s="217" t="str">
        <f>IFERROR(VLOOKUP(B1646, SourceData!$U$3:$V$190, 2, FALSE), "")</f>
        <v/>
      </c>
      <c r="D1646" s="240"/>
      <c r="E1646" s="241"/>
      <c r="F1646" s="248"/>
      <c r="G1646" s="207"/>
      <c r="H1646" s="209"/>
      <c r="I1646" s="209"/>
      <c r="J1646" s="209"/>
      <c r="K1646" s="208" t="str">
        <f>IF(Errors!$I1646=0,SourceData!$B$42,VLOOKUP(Errors!$I1646,SourceData!$A$2:$B$40,2,FALSE))</f>
        <v>Please select ERROR CODE column "I"</v>
      </c>
      <c r="L1646" s="207" t="str">
        <f>IF(Errors!$I1646=0,
    'List of Error Codes'!$E$29,
    IFERROR(VLOOKUP(Errors!$I1646, 'List of Error Codes'!D1645:I1675, 6, FALSE), 'List of Error Codes'!$E$29)
)</f>
        <v>Please select ERROR CODE column "I"</v>
      </c>
      <c r="M1646" s="209"/>
      <c r="N1646" s="209"/>
      <c r="O1646" s="209"/>
      <c r="P1646" s="209"/>
      <c r="Q1646" s="209"/>
      <c r="R1646" s="217"/>
      <c r="S1646" s="217"/>
      <c r="T1646" s="217"/>
      <c r="U1646" s="199"/>
      <c r="V1646" s="200"/>
      <c r="W1646" s="200"/>
      <c r="X1646" s="200"/>
      <c r="Y1646" s="200"/>
      <c r="Z1646" s="200"/>
      <c r="AA1646" s="201"/>
      <c r="AB1646" s="200"/>
      <c r="AC1646" s="200"/>
    </row>
    <row r="1647" ht="15.75" customHeight="1">
      <c r="A1647" s="210">
        <f t="shared" si="1"/>
        <v>1645</v>
      </c>
      <c r="B1647" s="217"/>
      <c r="C1647" s="217" t="str">
        <f>IFERROR(VLOOKUP(B1647, SourceData!$U$3:$V$190, 2, FALSE), "")</f>
        <v/>
      </c>
      <c r="D1647" s="240"/>
      <c r="E1647" s="241"/>
      <c r="F1647" s="248"/>
      <c r="G1647" s="207"/>
      <c r="H1647" s="209"/>
      <c r="I1647" s="209"/>
      <c r="J1647" s="209"/>
      <c r="K1647" s="208" t="str">
        <f>IF(Errors!$I1647=0,SourceData!$B$42,VLOOKUP(Errors!$I1647,SourceData!$A$2:$B$40,2,FALSE))</f>
        <v>Please select ERROR CODE column "I"</v>
      </c>
      <c r="L1647" s="207" t="str">
        <f>IF(Errors!$I1647=0,
    'List of Error Codes'!$E$29,
    IFERROR(VLOOKUP(Errors!$I1647, 'List of Error Codes'!D1646:I1676, 6, FALSE), 'List of Error Codes'!$E$29)
)</f>
        <v>Please select ERROR CODE column "I"</v>
      </c>
      <c r="M1647" s="209"/>
      <c r="N1647" s="209"/>
      <c r="O1647" s="209"/>
      <c r="P1647" s="209"/>
      <c r="Q1647" s="209"/>
      <c r="R1647" s="217"/>
      <c r="S1647" s="217"/>
      <c r="T1647" s="217"/>
      <c r="U1647" s="199"/>
      <c r="V1647" s="200"/>
      <c r="W1647" s="200"/>
      <c r="X1647" s="200"/>
      <c r="Y1647" s="200"/>
      <c r="Z1647" s="200"/>
      <c r="AA1647" s="201"/>
      <c r="AB1647" s="200"/>
      <c r="AC1647" s="200"/>
    </row>
    <row r="1648" ht="15.75" customHeight="1">
      <c r="A1648" s="210">
        <f t="shared" si="1"/>
        <v>1646</v>
      </c>
      <c r="B1648" s="217"/>
      <c r="C1648" s="217" t="str">
        <f>IFERROR(VLOOKUP(B1648, SourceData!$U$3:$V$190, 2, FALSE), "")</f>
        <v/>
      </c>
      <c r="D1648" s="240"/>
      <c r="E1648" s="241"/>
      <c r="F1648" s="248"/>
      <c r="G1648" s="207"/>
      <c r="H1648" s="209"/>
      <c r="I1648" s="209"/>
      <c r="J1648" s="209"/>
      <c r="K1648" s="208" t="str">
        <f>IF(Errors!$I1648=0,SourceData!$B$42,VLOOKUP(Errors!$I1648,SourceData!$A$2:$B$40,2,FALSE))</f>
        <v>Please select ERROR CODE column "I"</v>
      </c>
      <c r="L1648" s="207" t="str">
        <f>IF(Errors!$I1648=0,
    'List of Error Codes'!$E$29,
    IFERROR(VLOOKUP(Errors!$I1648, 'List of Error Codes'!D1647:I1677, 6, FALSE), 'List of Error Codes'!$E$29)
)</f>
        <v>Please select ERROR CODE column "I"</v>
      </c>
      <c r="M1648" s="209"/>
      <c r="N1648" s="209"/>
      <c r="O1648" s="209"/>
      <c r="P1648" s="209"/>
      <c r="Q1648" s="209"/>
      <c r="R1648" s="217"/>
      <c r="S1648" s="217"/>
      <c r="T1648" s="217"/>
      <c r="U1648" s="199"/>
      <c r="V1648" s="200"/>
      <c r="W1648" s="200"/>
      <c r="X1648" s="200"/>
      <c r="Y1648" s="200"/>
      <c r="Z1648" s="200"/>
      <c r="AA1648" s="201"/>
      <c r="AB1648" s="200"/>
      <c r="AC1648" s="200"/>
    </row>
    <row r="1649" ht="15.75" customHeight="1">
      <c r="A1649" s="210">
        <f t="shared" si="1"/>
        <v>1647</v>
      </c>
      <c r="B1649" s="217"/>
      <c r="C1649" s="217" t="str">
        <f>IFERROR(VLOOKUP(B1649, SourceData!$U$3:$V$190, 2, FALSE), "")</f>
        <v/>
      </c>
      <c r="D1649" s="240"/>
      <c r="E1649" s="241"/>
      <c r="F1649" s="248"/>
      <c r="G1649" s="207"/>
      <c r="H1649" s="209"/>
      <c r="I1649" s="209"/>
      <c r="J1649" s="209"/>
      <c r="K1649" s="208" t="str">
        <f>IF(Errors!$I1649=0,SourceData!$B$42,VLOOKUP(Errors!$I1649,SourceData!$A$2:$B$40,2,FALSE))</f>
        <v>Please select ERROR CODE column "I"</v>
      </c>
      <c r="L1649" s="207" t="str">
        <f>IF(Errors!$I1649=0,
    'List of Error Codes'!$E$29,
    IFERROR(VLOOKUP(Errors!$I1649, 'List of Error Codes'!D1648:I1678, 6, FALSE), 'List of Error Codes'!$E$29)
)</f>
        <v>Please select ERROR CODE column "I"</v>
      </c>
      <c r="M1649" s="209"/>
      <c r="N1649" s="209"/>
      <c r="O1649" s="209"/>
      <c r="P1649" s="209"/>
      <c r="Q1649" s="209"/>
      <c r="R1649" s="217"/>
      <c r="S1649" s="217"/>
      <c r="T1649" s="217"/>
      <c r="U1649" s="199"/>
      <c r="V1649" s="200"/>
      <c r="W1649" s="200"/>
      <c r="X1649" s="200"/>
      <c r="Y1649" s="200"/>
      <c r="Z1649" s="200"/>
      <c r="AA1649" s="201"/>
      <c r="AB1649" s="200"/>
      <c r="AC1649" s="200"/>
    </row>
    <row r="1650" ht="15.75" customHeight="1">
      <c r="A1650" s="210">
        <f t="shared" si="1"/>
        <v>1648</v>
      </c>
      <c r="B1650" s="217"/>
      <c r="C1650" s="217" t="str">
        <f>IFERROR(VLOOKUP(B1650, SourceData!$U$3:$V$190, 2, FALSE), "")</f>
        <v/>
      </c>
      <c r="D1650" s="240"/>
      <c r="E1650" s="241"/>
      <c r="F1650" s="248"/>
      <c r="G1650" s="207"/>
      <c r="H1650" s="209"/>
      <c r="I1650" s="209"/>
      <c r="J1650" s="209"/>
      <c r="K1650" s="208" t="str">
        <f>IF(Errors!$I1650=0,SourceData!$B$42,VLOOKUP(Errors!$I1650,SourceData!$A$2:$B$40,2,FALSE))</f>
        <v>Please select ERROR CODE column "I"</v>
      </c>
      <c r="L1650" s="207" t="str">
        <f>IF(Errors!$I1650=0,
    'List of Error Codes'!$E$29,
    IFERROR(VLOOKUP(Errors!$I1650, 'List of Error Codes'!D1649:I1679, 6, FALSE), 'List of Error Codes'!$E$29)
)</f>
        <v>Please select ERROR CODE column "I"</v>
      </c>
      <c r="M1650" s="209"/>
      <c r="N1650" s="209"/>
      <c r="O1650" s="209"/>
      <c r="P1650" s="209"/>
      <c r="Q1650" s="209"/>
      <c r="R1650" s="217"/>
      <c r="S1650" s="217"/>
      <c r="T1650" s="217"/>
      <c r="U1650" s="199"/>
      <c r="V1650" s="200"/>
      <c r="W1650" s="200"/>
      <c r="X1650" s="200"/>
      <c r="Y1650" s="200"/>
      <c r="Z1650" s="200"/>
      <c r="AA1650" s="201"/>
      <c r="AB1650" s="200"/>
      <c r="AC1650" s="200"/>
    </row>
    <row r="1651" ht="15.75" customHeight="1">
      <c r="A1651" s="210">
        <f t="shared" si="1"/>
        <v>1649</v>
      </c>
      <c r="B1651" s="217"/>
      <c r="C1651" s="217" t="str">
        <f>IFERROR(VLOOKUP(B1651, SourceData!$U$3:$V$190, 2, FALSE), "")</f>
        <v/>
      </c>
      <c r="D1651" s="240"/>
      <c r="E1651" s="241"/>
      <c r="F1651" s="248"/>
      <c r="G1651" s="207"/>
      <c r="H1651" s="209"/>
      <c r="I1651" s="209"/>
      <c r="J1651" s="209"/>
      <c r="K1651" s="208" t="str">
        <f>IF(Errors!$I1651=0,SourceData!$B$42,VLOOKUP(Errors!$I1651,SourceData!$A$2:$B$40,2,FALSE))</f>
        <v>Please select ERROR CODE column "I"</v>
      </c>
      <c r="L1651" s="207" t="str">
        <f>IF(Errors!$I1651=0,
    'List of Error Codes'!$E$29,
    IFERROR(VLOOKUP(Errors!$I1651, 'List of Error Codes'!D1650:I1680, 6, FALSE), 'List of Error Codes'!$E$29)
)</f>
        <v>Please select ERROR CODE column "I"</v>
      </c>
      <c r="M1651" s="209"/>
      <c r="N1651" s="209"/>
      <c r="O1651" s="209"/>
      <c r="P1651" s="209"/>
      <c r="Q1651" s="209"/>
      <c r="R1651" s="217"/>
      <c r="S1651" s="217"/>
      <c r="T1651" s="217"/>
      <c r="U1651" s="199"/>
      <c r="V1651" s="200"/>
      <c r="W1651" s="200"/>
      <c r="X1651" s="200"/>
      <c r="Y1651" s="200"/>
      <c r="Z1651" s="200"/>
      <c r="AA1651" s="201"/>
      <c r="AB1651" s="200"/>
      <c r="AC1651" s="200"/>
    </row>
    <row r="1652" ht="15.75" customHeight="1">
      <c r="A1652" s="210">
        <f t="shared" si="1"/>
        <v>1650</v>
      </c>
      <c r="B1652" s="217"/>
      <c r="C1652" s="217" t="str">
        <f>IFERROR(VLOOKUP(B1652, SourceData!$U$3:$V$190, 2, FALSE), "")</f>
        <v/>
      </c>
      <c r="D1652" s="240"/>
      <c r="E1652" s="241"/>
      <c r="F1652" s="248"/>
      <c r="G1652" s="207"/>
      <c r="H1652" s="209"/>
      <c r="I1652" s="209"/>
      <c r="J1652" s="209"/>
      <c r="K1652" s="208" t="str">
        <f>IF(Errors!$I1652=0,SourceData!$B$42,VLOOKUP(Errors!$I1652,SourceData!$A$2:$B$40,2,FALSE))</f>
        <v>Please select ERROR CODE column "I"</v>
      </c>
      <c r="L1652" s="207" t="str">
        <f>IF(Errors!$I1652=0,
    'List of Error Codes'!$E$29,
    IFERROR(VLOOKUP(Errors!$I1652, 'List of Error Codes'!D1651:I1681, 6, FALSE), 'List of Error Codes'!$E$29)
)</f>
        <v>Please select ERROR CODE column "I"</v>
      </c>
      <c r="M1652" s="209"/>
      <c r="N1652" s="209"/>
      <c r="O1652" s="209"/>
      <c r="P1652" s="209"/>
      <c r="Q1652" s="209"/>
      <c r="R1652" s="217"/>
      <c r="S1652" s="217"/>
      <c r="T1652" s="217"/>
      <c r="U1652" s="199"/>
      <c r="V1652" s="200"/>
      <c r="W1652" s="200"/>
      <c r="X1652" s="200"/>
      <c r="Y1652" s="200"/>
      <c r="Z1652" s="200"/>
      <c r="AA1652" s="201"/>
      <c r="AB1652" s="200"/>
      <c r="AC1652" s="200"/>
    </row>
    <row r="1653" ht="15.75" customHeight="1">
      <c r="A1653" s="210">
        <f t="shared" si="1"/>
        <v>1651</v>
      </c>
      <c r="B1653" s="217"/>
      <c r="C1653" s="217" t="str">
        <f>IFERROR(VLOOKUP(B1653, SourceData!$U$3:$V$190, 2, FALSE), "")</f>
        <v/>
      </c>
      <c r="D1653" s="240"/>
      <c r="E1653" s="241"/>
      <c r="F1653" s="248"/>
      <c r="G1653" s="207"/>
      <c r="H1653" s="209"/>
      <c r="I1653" s="209"/>
      <c r="J1653" s="209"/>
      <c r="K1653" s="208" t="str">
        <f>IF(Errors!$I1653=0,SourceData!$B$42,VLOOKUP(Errors!$I1653,SourceData!$A$2:$B$40,2,FALSE))</f>
        <v>Please select ERROR CODE column "I"</v>
      </c>
      <c r="L1653" s="207" t="str">
        <f>IF(Errors!$I1653=0,
    'List of Error Codes'!$E$29,
    IFERROR(VLOOKUP(Errors!$I1653, 'List of Error Codes'!D1652:I1682, 6, FALSE), 'List of Error Codes'!$E$29)
)</f>
        <v>Please select ERROR CODE column "I"</v>
      </c>
      <c r="M1653" s="209"/>
      <c r="N1653" s="209"/>
      <c r="O1653" s="209"/>
      <c r="P1653" s="209"/>
      <c r="Q1653" s="209"/>
      <c r="R1653" s="217"/>
      <c r="S1653" s="217"/>
      <c r="T1653" s="217"/>
      <c r="U1653" s="199"/>
      <c r="V1653" s="200"/>
      <c r="W1653" s="200"/>
      <c r="X1653" s="200"/>
      <c r="Y1653" s="200"/>
      <c r="Z1653" s="200"/>
      <c r="AA1653" s="201"/>
      <c r="AB1653" s="200"/>
      <c r="AC1653" s="200"/>
    </row>
    <row r="1654" ht="15.75" customHeight="1">
      <c r="A1654" s="210">
        <f t="shared" si="1"/>
        <v>1652</v>
      </c>
      <c r="B1654" s="217"/>
      <c r="C1654" s="217" t="str">
        <f>IFERROR(VLOOKUP(B1654, SourceData!$U$3:$V$190, 2, FALSE), "")</f>
        <v/>
      </c>
      <c r="D1654" s="240"/>
      <c r="E1654" s="241"/>
      <c r="F1654" s="248"/>
      <c r="G1654" s="207"/>
      <c r="H1654" s="209"/>
      <c r="I1654" s="209"/>
      <c r="J1654" s="209"/>
      <c r="K1654" s="208" t="str">
        <f>IF(Errors!$I1654=0,SourceData!$B$42,VLOOKUP(Errors!$I1654,SourceData!$A$2:$B$40,2,FALSE))</f>
        <v>Please select ERROR CODE column "I"</v>
      </c>
      <c r="L1654" s="207" t="str">
        <f>IF(Errors!$I1654=0,
    'List of Error Codes'!$E$29,
    IFERROR(VLOOKUP(Errors!$I1654, 'List of Error Codes'!D1653:I1683, 6, FALSE), 'List of Error Codes'!$E$29)
)</f>
        <v>Please select ERROR CODE column "I"</v>
      </c>
      <c r="M1654" s="209"/>
      <c r="N1654" s="209"/>
      <c r="O1654" s="209"/>
      <c r="P1654" s="209"/>
      <c r="Q1654" s="209"/>
      <c r="R1654" s="217"/>
      <c r="S1654" s="217"/>
      <c r="T1654" s="217"/>
      <c r="U1654" s="199"/>
      <c r="V1654" s="200"/>
      <c r="W1654" s="200"/>
      <c r="X1654" s="200"/>
      <c r="Y1654" s="200"/>
      <c r="Z1654" s="200"/>
      <c r="AA1654" s="201"/>
      <c r="AB1654" s="200"/>
      <c r="AC1654" s="200"/>
    </row>
    <row r="1655" ht="15.75" customHeight="1">
      <c r="A1655" s="210">
        <f t="shared" si="1"/>
        <v>1653</v>
      </c>
      <c r="B1655" s="217"/>
      <c r="C1655" s="217" t="str">
        <f>IFERROR(VLOOKUP(B1655, SourceData!$U$3:$V$190, 2, FALSE), "")</f>
        <v/>
      </c>
      <c r="D1655" s="240"/>
      <c r="E1655" s="241"/>
      <c r="F1655" s="248"/>
      <c r="G1655" s="207"/>
      <c r="H1655" s="209"/>
      <c r="I1655" s="209"/>
      <c r="J1655" s="209"/>
      <c r="K1655" s="208" t="str">
        <f>IF(Errors!$I1655=0,SourceData!$B$42,VLOOKUP(Errors!$I1655,SourceData!$A$2:$B$40,2,FALSE))</f>
        <v>Please select ERROR CODE column "I"</v>
      </c>
      <c r="L1655" s="207" t="str">
        <f>IF(Errors!$I1655=0,
    'List of Error Codes'!$E$29,
    IFERROR(VLOOKUP(Errors!$I1655, 'List of Error Codes'!D1654:I1684, 6, FALSE), 'List of Error Codes'!$E$29)
)</f>
        <v>Please select ERROR CODE column "I"</v>
      </c>
      <c r="M1655" s="209"/>
      <c r="N1655" s="209"/>
      <c r="O1655" s="209"/>
      <c r="P1655" s="209"/>
      <c r="Q1655" s="209"/>
      <c r="R1655" s="217"/>
      <c r="S1655" s="217"/>
      <c r="T1655" s="217"/>
      <c r="U1655" s="199"/>
      <c r="V1655" s="200"/>
      <c r="W1655" s="200"/>
      <c r="X1655" s="200"/>
      <c r="Y1655" s="200"/>
      <c r="Z1655" s="200"/>
      <c r="AA1655" s="201"/>
      <c r="AB1655" s="200"/>
      <c r="AC1655" s="200"/>
    </row>
    <row r="1656" ht="15.75" customHeight="1">
      <c r="A1656" s="210">
        <f t="shared" si="1"/>
        <v>1654</v>
      </c>
      <c r="B1656" s="217"/>
      <c r="C1656" s="217" t="str">
        <f>IFERROR(VLOOKUP(B1656, SourceData!$U$3:$V$190, 2, FALSE), "")</f>
        <v/>
      </c>
      <c r="D1656" s="240"/>
      <c r="E1656" s="241"/>
      <c r="F1656" s="248"/>
      <c r="G1656" s="207"/>
      <c r="H1656" s="209"/>
      <c r="I1656" s="209"/>
      <c r="J1656" s="209"/>
      <c r="K1656" s="208" t="str">
        <f>IF(Errors!$I1656=0,SourceData!$B$42,VLOOKUP(Errors!$I1656,SourceData!$A$2:$B$40,2,FALSE))</f>
        <v>Please select ERROR CODE column "I"</v>
      </c>
      <c r="L1656" s="207" t="str">
        <f>IF(Errors!$I1656=0,
    'List of Error Codes'!$E$29,
    IFERROR(VLOOKUP(Errors!$I1656, 'List of Error Codes'!D1655:I1685, 6, FALSE), 'List of Error Codes'!$E$29)
)</f>
        <v>Please select ERROR CODE column "I"</v>
      </c>
      <c r="M1656" s="209"/>
      <c r="N1656" s="209"/>
      <c r="O1656" s="209"/>
      <c r="P1656" s="209"/>
      <c r="Q1656" s="209"/>
      <c r="R1656" s="217"/>
      <c r="S1656" s="217"/>
      <c r="T1656" s="217"/>
      <c r="U1656" s="199"/>
      <c r="V1656" s="200"/>
      <c r="W1656" s="200"/>
      <c r="X1656" s="200"/>
      <c r="Y1656" s="200"/>
      <c r="Z1656" s="200"/>
      <c r="AA1656" s="201"/>
      <c r="AB1656" s="200"/>
      <c r="AC1656" s="200"/>
    </row>
    <row r="1657" ht="15.75" customHeight="1">
      <c r="A1657" s="210">
        <f t="shared" si="1"/>
        <v>1655</v>
      </c>
      <c r="B1657" s="217"/>
      <c r="C1657" s="217" t="str">
        <f>IFERROR(VLOOKUP(B1657, SourceData!$U$3:$V$190, 2, FALSE), "")</f>
        <v/>
      </c>
      <c r="D1657" s="240"/>
      <c r="E1657" s="241"/>
      <c r="F1657" s="248"/>
      <c r="G1657" s="207"/>
      <c r="H1657" s="209"/>
      <c r="I1657" s="209"/>
      <c r="J1657" s="209"/>
      <c r="K1657" s="208" t="str">
        <f>IF(Errors!$I1657=0,SourceData!$B$42,VLOOKUP(Errors!$I1657,SourceData!$A$2:$B$40,2,FALSE))</f>
        <v>Please select ERROR CODE column "I"</v>
      </c>
      <c r="L1657" s="207" t="str">
        <f>IF(Errors!$I1657=0,
    'List of Error Codes'!$E$29,
    IFERROR(VLOOKUP(Errors!$I1657, 'List of Error Codes'!D1656:I1686, 6, FALSE), 'List of Error Codes'!$E$29)
)</f>
        <v>Please select ERROR CODE column "I"</v>
      </c>
      <c r="M1657" s="209"/>
      <c r="N1657" s="209"/>
      <c r="O1657" s="209"/>
      <c r="P1657" s="209"/>
      <c r="Q1657" s="209"/>
      <c r="R1657" s="217"/>
      <c r="S1657" s="217"/>
      <c r="T1657" s="217"/>
      <c r="U1657" s="199"/>
      <c r="V1657" s="200"/>
      <c r="W1657" s="200"/>
      <c r="X1657" s="200"/>
      <c r="Y1657" s="200"/>
      <c r="Z1657" s="200"/>
      <c r="AA1657" s="201"/>
      <c r="AB1657" s="200"/>
      <c r="AC1657" s="200"/>
    </row>
    <row r="1658" ht="15.75" customHeight="1">
      <c r="A1658" s="210">
        <f t="shared" si="1"/>
        <v>1656</v>
      </c>
      <c r="B1658" s="217"/>
      <c r="C1658" s="217" t="str">
        <f>IFERROR(VLOOKUP(B1658, SourceData!$U$3:$V$190, 2, FALSE), "")</f>
        <v/>
      </c>
      <c r="D1658" s="240"/>
      <c r="E1658" s="241"/>
      <c r="F1658" s="248"/>
      <c r="G1658" s="207"/>
      <c r="H1658" s="209"/>
      <c r="I1658" s="209"/>
      <c r="J1658" s="209"/>
      <c r="K1658" s="208" t="str">
        <f>IF(Errors!$I1658=0,SourceData!$B$42,VLOOKUP(Errors!$I1658,SourceData!$A$2:$B$40,2,FALSE))</f>
        <v>Please select ERROR CODE column "I"</v>
      </c>
      <c r="L1658" s="207" t="str">
        <f>IF(Errors!$I1658=0,
    'List of Error Codes'!$E$29,
    IFERROR(VLOOKUP(Errors!$I1658, 'List of Error Codes'!D1657:I1687, 6, FALSE), 'List of Error Codes'!$E$29)
)</f>
        <v>Please select ERROR CODE column "I"</v>
      </c>
      <c r="M1658" s="209"/>
      <c r="N1658" s="209"/>
      <c r="O1658" s="209"/>
      <c r="P1658" s="209"/>
      <c r="Q1658" s="209"/>
      <c r="R1658" s="217"/>
      <c r="S1658" s="217"/>
      <c r="T1658" s="217"/>
      <c r="U1658" s="199"/>
      <c r="V1658" s="200"/>
      <c r="W1658" s="200"/>
      <c r="X1658" s="200"/>
      <c r="Y1658" s="200"/>
      <c r="Z1658" s="200"/>
      <c r="AA1658" s="201"/>
      <c r="AB1658" s="200"/>
      <c r="AC1658" s="200"/>
    </row>
    <row r="1659" ht="15.75" customHeight="1">
      <c r="A1659" s="210">
        <f t="shared" si="1"/>
        <v>1657</v>
      </c>
      <c r="B1659" s="217"/>
      <c r="C1659" s="217" t="str">
        <f>IFERROR(VLOOKUP(B1659, SourceData!$U$3:$V$190, 2, FALSE), "")</f>
        <v/>
      </c>
      <c r="D1659" s="240"/>
      <c r="E1659" s="241"/>
      <c r="F1659" s="248"/>
      <c r="G1659" s="207"/>
      <c r="H1659" s="209"/>
      <c r="I1659" s="209"/>
      <c r="J1659" s="209"/>
      <c r="K1659" s="208" t="str">
        <f>IF(Errors!$I1659=0,SourceData!$B$42,VLOOKUP(Errors!$I1659,SourceData!$A$2:$B$40,2,FALSE))</f>
        <v>Please select ERROR CODE column "I"</v>
      </c>
      <c r="L1659" s="207" t="str">
        <f>IF(Errors!$I1659=0,
    'List of Error Codes'!$E$29,
    IFERROR(VLOOKUP(Errors!$I1659, 'List of Error Codes'!D1658:I1688, 6, FALSE), 'List of Error Codes'!$E$29)
)</f>
        <v>Please select ERROR CODE column "I"</v>
      </c>
      <c r="M1659" s="209"/>
      <c r="N1659" s="209"/>
      <c r="O1659" s="209"/>
      <c r="P1659" s="209"/>
      <c r="Q1659" s="209"/>
      <c r="R1659" s="217"/>
      <c r="S1659" s="217"/>
      <c r="T1659" s="217"/>
      <c r="U1659" s="199"/>
      <c r="V1659" s="200"/>
      <c r="W1659" s="200"/>
      <c r="X1659" s="200"/>
      <c r="Y1659" s="200"/>
      <c r="Z1659" s="200"/>
      <c r="AA1659" s="201"/>
      <c r="AB1659" s="200"/>
      <c r="AC1659" s="200"/>
    </row>
    <row r="1660" ht="15.75" customHeight="1">
      <c r="A1660" s="210">
        <f t="shared" si="1"/>
        <v>1658</v>
      </c>
      <c r="B1660" s="217"/>
      <c r="C1660" s="217" t="str">
        <f>IFERROR(VLOOKUP(B1660, SourceData!$U$3:$V$190, 2, FALSE), "")</f>
        <v/>
      </c>
      <c r="D1660" s="240"/>
      <c r="E1660" s="241"/>
      <c r="F1660" s="248"/>
      <c r="G1660" s="207"/>
      <c r="H1660" s="209"/>
      <c r="I1660" s="209"/>
      <c r="J1660" s="209"/>
      <c r="K1660" s="208" t="str">
        <f>IF(Errors!$I1660=0,SourceData!$B$42,VLOOKUP(Errors!$I1660,SourceData!$A$2:$B$40,2,FALSE))</f>
        <v>Please select ERROR CODE column "I"</v>
      </c>
      <c r="L1660" s="207" t="str">
        <f>IF(Errors!$I1660=0,
    'List of Error Codes'!$E$29,
    IFERROR(VLOOKUP(Errors!$I1660, 'List of Error Codes'!D1659:I1689, 6, FALSE), 'List of Error Codes'!$E$29)
)</f>
        <v>Please select ERROR CODE column "I"</v>
      </c>
      <c r="M1660" s="209"/>
      <c r="N1660" s="209"/>
      <c r="O1660" s="209"/>
      <c r="P1660" s="209"/>
      <c r="Q1660" s="209"/>
      <c r="R1660" s="217"/>
      <c r="S1660" s="217"/>
      <c r="T1660" s="217"/>
      <c r="U1660" s="199"/>
      <c r="V1660" s="200"/>
      <c r="W1660" s="200"/>
      <c r="X1660" s="200"/>
      <c r="Y1660" s="200"/>
      <c r="Z1660" s="200"/>
      <c r="AA1660" s="201"/>
      <c r="AB1660" s="200"/>
      <c r="AC1660" s="200"/>
    </row>
    <row r="1661" ht="15.75" customHeight="1">
      <c r="A1661" s="210">
        <f t="shared" si="1"/>
        <v>1659</v>
      </c>
      <c r="B1661" s="217"/>
      <c r="C1661" s="217" t="str">
        <f>IFERROR(VLOOKUP(B1661, SourceData!$U$3:$V$190, 2, FALSE), "")</f>
        <v/>
      </c>
      <c r="D1661" s="240"/>
      <c r="E1661" s="241"/>
      <c r="F1661" s="248"/>
      <c r="G1661" s="207"/>
      <c r="H1661" s="209"/>
      <c r="I1661" s="209"/>
      <c r="J1661" s="209"/>
      <c r="K1661" s="208" t="str">
        <f>IF(Errors!$I1661=0,SourceData!$B$42,VLOOKUP(Errors!$I1661,SourceData!$A$2:$B$40,2,FALSE))</f>
        <v>Please select ERROR CODE column "I"</v>
      </c>
      <c r="L1661" s="207" t="str">
        <f>IF(Errors!$I1661=0,
    'List of Error Codes'!$E$29,
    IFERROR(VLOOKUP(Errors!$I1661, 'List of Error Codes'!D1660:I1690, 6, FALSE), 'List of Error Codes'!$E$29)
)</f>
        <v>Please select ERROR CODE column "I"</v>
      </c>
      <c r="M1661" s="209"/>
      <c r="N1661" s="209"/>
      <c r="O1661" s="209"/>
      <c r="P1661" s="209"/>
      <c r="Q1661" s="209"/>
      <c r="R1661" s="217"/>
      <c r="S1661" s="217"/>
      <c r="T1661" s="217"/>
      <c r="U1661" s="199"/>
      <c r="V1661" s="200"/>
      <c r="W1661" s="200"/>
      <c r="X1661" s="200"/>
      <c r="Y1661" s="200"/>
      <c r="Z1661" s="200"/>
      <c r="AA1661" s="201"/>
      <c r="AB1661" s="200"/>
      <c r="AC1661" s="200"/>
    </row>
    <row r="1662" ht="15.75" customHeight="1">
      <c r="A1662" s="210">
        <f t="shared" si="1"/>
        <v>1660</v>
      </c>
      <c r="B1662" s="217"/>
      <c r="C1662" s="217" t="str">
        <f>IFERROR(VLOOKUP(B1662, SourceData!$U$3:$V$190, 2, FALSE), "")</f>
        <v/>
      </c>
      <c r="D1662" s="240"/>
      <c r="E1662" s="241"/>
      <c r="F1662" s="248"/>
      <c r="G1662" s="207"/>
      <c r="H1662" s="209"/>
      <c r="I1662" s="209"/>
      <c r="J1662" s="209"/>
      <c r="K1662" s="208" t="str">
        <f>IF(Errors!$I1662=0,SourceData!$B$42,VLOOKUP(Errors!$I1662,SourceData!$A$2:$B$40,2,FALSE))</f>
        <v>Please select ERROR CODE column "I"</v>
      </c>
      <c r="L1662" s="207" t="str">
        <f>IF(Errors!$I1662=0,
    'List of Error Codes'!$E$29,
    IFERROR(VLOOKUP(Errors!$I1662, 'List of Error Codes'!D1661:I1691, 6, FALSE), 'List of Error Codes'!$E$29)
)</f>
        <v>Please select ERROR CODE column "I"</v>
      </c>
      <c r="M1662" s="209"/>
      <c r="N1662" s="209"/>
      <c r="O1662" s="209"/>
      <c r="P1662" s="209"/>
      <c r="Q1662" s="209"/>
      <c r="R1662" s="217"/>
      <c r="S1662" s="217"/>
      <c r="T1662" s="217"/>
      <c r="U1662" s="199"/>
      <c r="V1662" s="200"/>
      <c r="W1662" s="200"/>
      <c r="X1662" s="200"/>
      <c r="Y1662" s="200"/>
      <c r="Z1662" s="200"/>
      <c r="AA1662" s="201"/>
      <c r="AB1662" s="200"/>
      <c r="AC1662" s="200"/>
    </row>
    <row r="1663" ht="15.75" customHeight="1">
      <c r="A1663" s="210">
        <f t="shared" si="1"/>
        <v>1661</v>
      </c>
      <c r="B1663" s="217"/>
      <c r="C1663" s="217" t="str">
        <f>IFERROR(VLOOKUP(B1663, SourceData!$U$3:$V$190, 2, FALSE), "")</f>
        <v/>
      </c>
      <c r="D1663" s="240"/>
      <c r="E1663" s="241"/>
      <c r="F1663" s="248"/>
      <c r="G1663" s="207"/>
      <c r="H1663" s="209"/>
      <c r="I1663" s="209"/>
      <c r="J1663" s="209"/>
      <c r="K1663" s="208" t="str">
        <f>IF(Errors!$I1663=0,SourceData!$B$42,VLOOKUP(Errors!$I1663,SourceData!$A$2:$B$40,2,FALSE))</f>
        <v>Please select ERROR CODE column "I"</v>
      </c>
      <c r="L1663" s="207" t="str">
        <f>IF(Errors!$I1663=0,
    'List of Error Codes'!$E$29,
    IFERROR(VLOOKUP(Errors!$I1663, 'List of Error Codes'!D1662:I1692, 6, FALSE), 'List of Error Codes'!$E$29)
)</f>
        <v>Please select ERROR CODE column "I"</v>
      </c>
      <c r="M1663" s="209"/>
      <c r="N1663" s="209"/>
      <c r="O1663" s="209"/>
      <c r="P1663" s="209"/>
      <c r="Q1663" s="209"/>
      <c r="R1663" s="217"/>
      <c r="S1663" s="217"/>
      <c r="T1663" s="217"/>
      <c r="U1663" s="199"/>
      <c r="V1663" s="200"/>
      <c r="W1663" s="200"/>
      <c r="X1663" s="200"/>
      <c r="Y1663" s="200"/>
      <c r="Z1663" s="200"/>
      <c r="AA1663" s="201"/>
      <c r="AB1663" s="200"/>
      <c r="AC1663" s="200"/>
    </row>
    <row r="1664" ht="15.75" customHeight="1">
      <c r="A1664" s="210">
        <f t="shared" si="1"/>
        <v>1662</v>
      </c>
      <c r="B1664" s="217"/>
      <c r="C1664" s="217" t="str">
        <f>IFERROR(VLOOKUP(B1664, SourceData!$U$3:$V$190, 2, FALSE), "")</f>
        <v/>
      </c>
      <c r="D1664" s="240"/>
      <c r="E1664" s="241"/>
      <c r="F1664" s="248"/>
      <c r="G1664" s="207"/>
      <c r="H1664" s="209"/>
      <c r="I1664" s="209"/>
      <c r="J1664" s="209"/>
      <c r="K1664" s="208" t="str">
        <f>IF(Errors!$I1664=0,SourceData!$B$42,VLOOKUP(Errors!$I1664,SourceData!$A$2:$B$40,2,FALSE))</f>
        <v>Please select ERROR CODE column "I"</v>
      </c>
      <c r="L1664" s="207" t="str">
        <f>IF(Errors!$I1664=0,
    'List of Error Codes'!$E$29,
    IFERROR(VLOOKUP(Errors!$I1664, 'List of Error Codes'!D1663:I1693, 6, FALSE), 'List of Error Codes'!$E$29)
)</f>
        <v>Please select ERROR CODE column "I"</v>
      </c>
      <c r="M1664" s="209"/>
      <c r="N1664" s="209"/>
      <c r="O1664" s="209"/>
      <c r="P1664" s="209"/>
      <c r="Q1664" s="209"/>
      <c r="R1664" s="217"/>
      <c r="S1664" s="217"/>
      <c r="T1664" s="217"/>
      <c r="U1664" s="199"/>
      <c r="V1664" s="200"/>
      <c r="W1664" s="200"/>
      <c r="X1664" s="200"/>
      <c r="Y1664" s="200"/>
      <c r="Z1664" s="200"/>
      <c r="AA1664" s="201"/>
      <c r="AB1664" s="200"/>
      <c r="AC1664" s="200"/>
    </row>
    <row r="1665" ht="15.75" customHeight="1">
      <c r="A1665" s="210">
        <f t="shared" si="1"/>
        <v>1663</v>
      </c>
      <c r="B1665" s="217"/>
      <c r="C1665" s="217" t="str">
        <f>IFERROR(VLOOKUP(B1665, SourceData!$U$3:$V$190, 2, FALSE), "")</f>
        <v/>
      </c>
      <c r="D1665" s="240"/>
      <c r="E1665" s="241"/>
      <c r="F1665" s="248"/>
      <c r="G1665" s="207"/>
      <c r="H1665" s="209"/>
      <c r="I1665" s="209"/>
      <c r="J1665" s="209"/>
      <c r="K1665" s="208" t="str">
        <f>IF(Errors!$I1665=0,SourceData!$B$42,VLOOKUP(Errors!$I1665,SourceData!$A$2:$B$40,2,FALSE))</f>
        <v>Please select ERROR CODE column "I"</v>
      </c>
      <c r="L1665" s="207" t="str">
        <f>IF(Errors!$I1665=0,
    'List of Error Codes'!$E$29,
    IFERROR(VLOOKUP(Errors!$I1665, 'List of Error Codes'!D1664:I1694, 6, FALSE), 'List of Error Codes'!$E$29)
)</f>
        <v>Please select ERROR CODE column "I"</v>
      </c>
      <c r="M1665" s="209"/>
      <c r="N1665" s="209"/>
      <c r="O1665" s="209"/>
      <c r="P1665" s="209"/>
      <c r="Q1665" s="209"/>
      <c r="R1665" s="217"/>
      <c r="S1665" s="217"/>
      <c r="T1665" s="217"/>
      <c r="U1665" s="199"/>
      <c r="V1665" s="200"/>
      <c r="W1665" s="200"/>
      <c r="X1665" s="200"/>
      <c r="Y1665" s="200"/>
      <c r="Z1665" s="200"/>
      <c r="AA1665" s="201"/>
      <c r="AB1665" s="200"/>
      <c r="AC1665" s="200"/>
    </row>
    <row r="1666" ht="15.75" customHeight="1">
      <c r="A1666" s="210">
        <f t="shared" si="1"/>
        <v>1664</v>
      </c>
      <c r="B1666" s="217"/>
      <c r="C1666" s="217" t="str">
        <f>IFERROR(VLOOKUP(B1666, SourceData!$U$3:$V$190, 2, FALSE), "")</f>
        <v/>
      </c>
      <c r="D1666" s="240"/>
      <c r="E1666" s="241"/>
      <c r="F1666" s="248"/>
      <c r="G1666" s="207"/>
      <c r="H1666" s="209"/>
      <c r="I1666" s="209"/>
      <c r="J1666" s="209"/>
      <c r="K1666" s="208" t="str">
        <f>IF(Errors!$I1666=0,SourceData!$B$42,VLOOKUP(Errors!$I1666,SourceData!$A$2:$B$40,2,FALSE))</f>
        <v>Please select ERROR CODE column "I"</v>
      </c>
      <c r="L1666" s="207" t="str">
        <f>IF(Errors!$I1666=0,
    'List of Error Codes'!$E$29,
    IFERROR(VLOOKUP(Errors!$I1666, 'List of Error Codes'!D1665:I1695, 6, FALSE), 'List of Error Codes'!$E$29)
)</f>
        <v>Please select ERROR CODE column "I"</v>
      </c>
      <c r="M1666" s="209"/>
      <c r="N1666" s="209"/>
      <c r="O1666" s="209"/>
      <c r="P1666" s="209"/>
      <c r="Q1666" s="209"/>
      <c r="R1666" s="217"/>
      <c r="S1666" s="217"/>
      <c r="T1666" s="217"/>
      <c r="U1666" s="199"/>
      <c r="V1666" s="200"/>
      <c r="W1666" s="200"/>
      <c r="X1666" s="200"/>
      <c r="Y1666" s="200"/>
      <c r="Z1666" s="200"/>
      <c r="AA1666" s="201"/>
      <c r="AB1666" s="200"/>
      <c r="AC1666" s="200"/>
    </row>
    <row r="1667" ht="15.75" customHeight="1">
      <c r="A1667" s="210">
        <f t="shared" si="1"/>
        <v>1665</v>
      </c>
      <c r="B1667" s="217"/>
      <c r="C1667" s="217" t="str">
        <f>IFERROR(VLOOKUP(B1667, SourceData!$U$3:$V$190, 2, FALSE), "")</f>
        <v/>
      </c>
      <c r="D1667" s="240"/>
      <c r="E1667" s="241"/>
      <c r="F1667" s="248"/>
      <c r="G1667" s="207"/>
      <c r="H1667" s="209"/>
      <c r="I1667" s="209"/>
      <c r="J1667" s="209"/>
      <c r="K1667" s="208" t="str">
        <f>IF(Errors!$I1667=0,SourceData!$B$42,VLOOKUP(Errors!$I1667,SourceData!$A$2:$B$40,2,FALSE))</f>
        <v>Please select ERROR CODE column "I"</v>
      </c>
      <c r="L1667" s="207" t="str">
        <f>IF(Errors!$I1667=0,
    'List of Error Codes'!$E$29,
    IFERROR(VLOOKUP(Errors!$I1667, 'List of Error Codes'!D1666:I1696, 6, FALSE), 'List of Error Codes'!$E$29)
)</f>
        <v>Please select ERROR CODE column "I"</v>
      </c>
      <c r="M1667" s="209"/>
      <c r="N1667" s="209"/>
      <c r="O1667" s="209"/>
      <c r="P1667" s="209"/>
      <c r="Q1667" s="209"/>
      <c r="R1667" s="217"/>
      <c r="S1667" s="217"/>
      <c r="T1667" s="217"/>
      <c r="U1667" s="199"/>
      <c r="V1667" s="200"/>
      <c r="W1667" s="200"/>
      <c r="X1667" s="200"/>
      <c r="Y1667" s="200"/>
      <c r="Z1667" s="200"/>
      <c r="AA1667" s="201"/>
      <c r="AB1667" s="200"/>
      <c r="AC1667" s="200"/>
    </row>
    <row r="1668" ht="15.75" customHeight="1">
      <c r="A1668" s="210">
        <f t="shared" si="1"/>
        <v>1666</v>
      </c>
      <c r="B1668" s="217"/>
      <c r="C1668" s="217" t="str">
        <f>IFERROR(VLOOKUP(B1668, SourceData!$U$3:$V$190, 2, FALSE), "")</f>
        <v/>
      </c>
      <c r="D1668" s="240"/>
      <c r="E1668" s="241"/>
      <c r="F1668" s="248"/>
      <c r="G1668" s="207"/>
      <c r="H1668" s="209"/>
      <c r="I1668" s="209"/>
      <c r="J1668" s="209"/>
      <c r="K1668" s="208" t="str">
        <f>IF(Errors!$I1668=0,SourceData!$B$42,VLOOKUP(Errors!$I1668,SourceData!$A$2:$B$40,2,FALSE))</f>
        <v>Please select ERROR CODE column "I"</v>
      </c>
      <c r="L1668" s="207" t="str">
        <f>IF(Errors!$I1668=0,
    'List of Error Codes'!$E$29,
    IFERROR(VLOOKUP(Errors!$I1668, 'List of Error Codes'!D1667:I1697, 6, FALSE), 'List of Error Codes'!$E$29)
)</f>
        <v>Please select ERROR CODE column "I"</v>
      </c>
      <c r="M1668" s="209"/>
      <c r="N1668" s="209"/>
      <c r="O1668" s="209"/>
      <c r="P1668" s="209"/>
      <c r="Q1668" s="209"/>
      <c r="R1668" s="217"/>
      <c r="S1668" s="217"/>
      <c r="T1668" s="217"/>
      <c r="U1668" s="199"/>
      <c r="V1668" s="200"/>
      <c r="W1668" s="200"/>
      <c r="X1668" s="200"/>
      <c r="Y1668" s="200"/>
      <c r="Z1668" s="200"/>
      <c r="AA1668" s="201"/>
      <c r="AB1668" s="200"/>
      <c r="AC1668" s="200"/>
    </row>
    <row r="1669" ht="15.75" customHeight="1">
      <c r="A1669" s="210">
        <f t="shared" si="1"/>
        <v>1667</v>
      </c>
      <c r="B1669" s="217"/>
      <c r="C1669" s="217" t="str">
        <f>IFERROR(VLOOKUP(B1669, SourceData!$U$3:$V$190, 2, FALSE), "")</f>
        <v/>
      </c>
      <c r="D1669" s="240"/>
      <c r="E1669" s="241"/>
      <c r="F1669" s="248"/>
      <c r="G1669" s="207"/>
      <c r="H1669" s="209"/>
      <c r="I1669" s="209"/>
      <c r="J1669" s="209"/>
      <c r="K1669" s="208" t="str">
        <f>IF(Errors!$I1669=0,SourceData!$B$42,VLOOKUP(Errors!$I1669,SourceData!$A$2:$B$40,2,FALSE))</f>
        <v>Please select ERROR CODE column "I"</v>
      </c>
      <c r="L1669" s="207" t="str">
        <f>IF(Errors!$I1669=0,
    'List of Error Codes'!$E$29,
    IFERROR(VLOOKUP(Errors!$I1669, 'List of Error Codes'!D1668:I1698, 6, FALSE), 'List of Error Codes'!$E$29)
)</f>
        <v>Please select ERROR CODE column "I"</v>
      </c>
      <c r="M1669" s="209"/>
      <c r="N1669" s="209"/>
      <c r="O1669" s="209"/>
      <c r="P1669" s="209"/>
      <c r="Q1669" s="209"/>
      <c r="R1669" s="217"/>
      <c r="S1669" s="217"/>
      <c r="T1669" s="217"/>
      <c r="U1669" s="199"/>
      <c r="V1669" s="200"/>
      <c r="W1669" s="200"/>
      <c r="X1669" s="200"/>
      <c r="Y1669" s="200"/>
      <c r="Z1669" s="200"/>
      <c r="AA1669" s="201"/>
      <c r="AB1669" s="200"/>
      <c r="AC1669" s="200"/>
    </row>
    <row r="1670" ht="15.75" customHeight="1">
      <c r="A1670" s="210">
        <f t="shared" si="1"/>
        <v>1668</v>
      </c>
      <c r="B1670" s="217"/>
      <c r="C1670" s="217" t="str">
        <f>IFERROR(VLOOKUP(B1670, SourceData!$U$3:$V$190, 2, FALSE), "")</f>
        <v/>
      </c>
      <c r="D1670" s="240"/>
      <c r="E1670" s="241"/>
      <c r="F1670" s="248"/>
      <c r="G1670" s="207"/>
      <c r="H1670" s="209"/>
      <c r="I1670" s="209"/>
      <c r="J1670" s="209"/>
      <c r="K1670" s="208" t="str">
        <f>IF(Errors!$I1670=0,SourceData!$B$42,VLOOKUP(Errors!$I1670,SourceData!$A$2:$B$40,2,FALSE))</f>
        <v>Please select ERROR CODE column "I"</v>
      </c>
      <c r="L1670" s="207" t="str">
        <f>IF(Errors!$I1670=0,
    'List of Error Codes'!$E$29,
    IFERROR(VLOOKUP(Errors!$I1670, 'List of Error Codes'!D1669:I1699, 6, FALSE), 'List of Error Codes'!$E$29)
)</f>
        <v>Please select ERROR CODE column "I"</v>
      </c>
      <c r="M1670" s="209"/>
      <c r="N1670" s="209"/>
      <c r="O1670" s="209"/>
      <c r="P1670" s="209"/>
      <c r="Q1670" s="209"/>
      <c r="R1670" s="217"/>
      <c r="S1670" s="217"/>
      <c r="T1670" s="217"/>
      <c r="U1670" s="199"/>
      <c r="V1670" s="200"/>
      <c r="W1670" s="200"/>
      <c r="X1670" s="200"/>
      <c r="Y1670" s="200"/>
      <c r="Z1670" s="200"/>
      <c r="AA1670" s="201"/>
      <c r="AB1670" s="200"/>
      <c r="AC1670" s="200"/>
    </row>
    <row r="1671" ht="15.75" customHeight="1">
      <c r="A1671" s="210">
        <f t="shared" si="1"/>
        <v>1669</v>
      </c>
      <c r="B1671" s="217"/>
      <c r="C1671" s="217" t="str">
        <f>IFERROR(VLOOKUP(B1671, SourceData!$U$3:$V$190, 2, FALSE), "")</f>
        <v/>
      </c>
      <c r="D1671" s="240"/>
      <c r="E1671" s="241"/>
      <c r="F1671" s="248"/>
      <c r="G1671" s="207"/>
      <c r="H1671" s="209"/>
      <c r="I1671" s="209"/>
      <c r="J1671" s="209"/>
      <c r="K1671" s="208" t="str">
        <f>IF(Errors!$I1671=0,SourceData!$B$42,VLOOKUP(Errors!$I1671,SourceData!$A$2:$B$40,2,FALSE))</f>
        <v>Please select ERROR CODE column "I"</v>
      </c>
      <c r="L1671" s="207" t="str">
        <f>IF(Errors!$I1671=0,
    'List of Error Codes'!$E$29,
    IFERROR(VLOOKUP(Errors!$I1671, 'List of Error Codes'!D1670:I1700, 6, FALSE), 'List of Error Codes'!$E$29)
)</f>
        <v>Please select ERROR CODE column "I"</v>
      </c>
      <c r="M1671" s="209"/>
      <c r="N1671" s="209"/>
      <c r="O1671" s="209"/>
      <c r="P1671" s="209"/>
      <c r="Q1671" s="209"/>
      <c r="R1671" s="217"/>
      <c r="S1671" s="217"/>
      <c r="T1671" s="217"/>
      <c r="U1671" s="199"/>
      <c r="V1671" s="200"/>
      <c r="W1671" s="200"/>
      <c r="X1671" s="200"/>
      <c r="Y1671" s="200"/>
      <c r="Z1671" s="200"/>
      <c r="AA1671" s="201"/>
      <c r="AB1671" s="200"/>
      <c r="AC1671" s="200"/>
    </row>
    <row r="1672" ht="15.75" customHeight="1">
      <c r="A1672" s="210">
        <f t="shared" si="1"/>
        <v>1670</v>
      </c>
      <c r="B1672" s="217"/>
      <c r="C1672" s="217" t="str">
        <f>IFERROR(VLOOKUP(B1672, SourceData!$U$3:$V$190, 2, FALSE), "")</f>
        <v/>
      </c>
      <c r="D1672" s="240"/>
      <c r="E1672" s="241"/>
      <c r="F1672" s="248"/>
      <c r="G1672" s="207"/>
      <c r="H1672" s="209"/>
      <c r="I1672" s="209"/>
      <c r="J1672" s="209"/>
      <c r="K1672" s="208" t="str">
        <f>IF(Errors!$I1672=0,SourceData!$B$42,VLOOKUP(Errors!$I1672,SourceData!$A$2:$B$40,2,FALSE))</f>
        <v>Please select ERROR CODE column "I"</v>
      </c>
      <c r="L1672" s="207" t="str">
        <f>IF(Errors!$I1672=0,
    'List of Error Codes'!$E$29,
    IFERROR(VLOOKUP(Errors!$I1672, 'List of Error Codes'!D1671:I1701, 6, FALSE), 'List of Error Codes'!$E$29)
)</f>
        <v>Please select ERROR CODE column "I"</v>
      </c>
      <c r="M1672" s="209"/>
      <c r="N1672" s="209"/>
      <c r="O1672" s="209"/>
      <c r="P1672" s="209"/>
      <c r="Q1672" s="209"/>
      <c r="R1672" s="217"/>
      <c r="S1672" s="217"/>
      <c r="T1672" s="217"/>
      <c r="U1672" s="199"/>
      <c r="V1672" s="200"/>
      <c r="W1672" s="200"/>
      <c r="X1672" s="200"/>
      <c r="Y1672" s="200"/>
      <c r="Z1672" s="200"/>
      <c r="AA1672" s="201"/>
      <c r="AB1672" s="200"/>
      <c r="AC1672" s="200"/>
    </row>
    <row r="1673" ht="15.75" customHeight="1">
      <c r="A1673" s="210">
        <f t="shared" si="1"/>
        <v>1671</v>
      </c>
      <c r="B1673" s="217"/>
      <c r="C1673" s="217" t="str">
        <f>IFERROR(VLOOKUP(B1673, SourceData!$U$3:$V$190, 2, FALSE), "")</f>
        <v/>
      </c>
      <c r="D1673" s="240"/>
      <c r="E1673" s="241"/>
      <c r="F1673" s="248"/>
      <c r="G1673" s="207"/>
      <c r="H1673" s="209"/>
      <c r="I1673" s="209"/>
      <c r="J1673" s="209"/>
      <c r="K1673" s="208" t="str">
        <f>IF(Errors!$I1673=0,SourceData!$B$42,VLOOKUP(Errors!$I1673,SourceData!$A$2:$B$40,2,FALSE))</f>
        <v>Please select ERROR CODE column "I"</v>
      </c>
      <c r="L1673" s="207" t="str">
        <f>IF(Errors!$I1673=0,
    'List of Error Codes'!$E$29,
    IFERROR(VLOOKUP(Errors!$I1673, 'List of Error Codes'!D1672:I1702, 6, FALSE), 'List of Error Codes'!$E$29)
)</f>
        <v>Please select ERROR CODE column "I"</v>
      </c>
      <c r="M1673" s="209"/>
      <c r="N1673" s="209"/>
      <c r="O1673" s="209"/>
      <c r="P1673" s="209"/>
      <c r="Q1673" s="209"/>
      <c r="R1673" s="217"/>
      <c r="S1673" s="217"/>
      <c r="T1673" s="217"/>
      <c r="U1673" s="199"/>
      <c r="V1673" s="200"/>
      <c r="W1673" s="200"/>
      <c r="X1673" s="200"/>
      <c r="Y1673" s="200"/>
      <c r="Z1673" s="200"/>
      <c r="AA1673" s="201"/>
      <c r="AB1673" s="200"/>
      <c r="AC1673" s="200"/>
    </row>
    <row r="1674" ht="15.75" customHeight="1">
      <c r="A1674" s="210">
        <f t="shared" si="1"/>
        <v>1672</v>
      </c>
      <c r="B1674" s="217"/>
      <c r="C1674" s="217" t="str">
        <f>IFERROR(VLOOKUP(B1674, SourceData!$U$3:$V$190, 2, FALSE), "")</f>
        <v/>
      </c>
      <c r="D1674" s="240"/>
      <c r="E1674" s="241"/>
      <c r="F1674" s="248"/>
      <c r="G1674" s="207"/>
      <c r="H1674" s="209"/>
      <c r="I1674" s="209"/>
      <c r="J1674" s="209"/>
      <c r="K1674" s="208" t="str">
        <f>IF(Errors!$I1674=0,SourceData!$B$42,VLOOKUP(Errors!$I1674,SourceData!$A$2:$B$40,2,FALSE))</f>
        <v>Please select ERROR CODE column "I"</v>
      </c>
      <c r="L1674" s="207" t="str">
        <f>IF(Errors!$I1674=0,
    'List of Error Codes'!$E$29,
    IFERROR(VLOOKUP(Errors!$I1674, 'List of Error Codes'!D1673:I1703, 6, FALSE), 'List of Error Codes'!$E$29)
)</f>
        <v>Please select ERROR CODE column "I"</v>
      </c>
      <c r="M1674" s="209"/>
      <c r="N1674" s="209"/>
      <c r="O1674" s="209"/>
      <c r="P1674" s="209"/>
      <c r="Q1674" s="209"/>
      <c r="R1674" s="217"/>
      <c r="S1674" s="217"/>
      <c r="T1674" s="217"/>
      <c r="U1674" s="199"/>
      <c r="V1674" s="200"/>
      <c r="W1674" s="200"/>
      <c r="X1674" s="200"/>
      <c r="Y1674" s="200"/>
      <c r="Z1674" s="200"/>
      <c r="AA1674" s="201"/>
      <c r="AB1674" s="200"/>
      <c r="AC1674" s="200"/>
    </row>
    <row r="1675" ht="15.75" customHeight="1">
      <c r="A1675" s="210">
        <f t="shared" si="1"/>
        <v>1673</v>
      </c>
      <c r="B1675" s="217"/>
      <c r="C1675" s="217" t="str">
        <f>IFERROR(VLOOKUP(B1675, SourceData!$U$3:$V$190, 2, FALSE), "")</f>
        <v/>
      </c>
      <c r="D1675" s="240"/>
      <c r="E1675" s="241"/>
      <c r="F1675" s="248"/>
      <c r="G1675" s="207"/>
      <c r="H1675" s="209"/>
      <c r="I1675" s="209"/>
      <c r="J1675" s="209"/>
      <c r="K1675" s="208" t="str">
        <f>IF(Errors!$I1675=0,SourceData!$B$42,VLOOKUP(Errors!$I1675,SourceData!$A$2:$B$40,2,FALSE))</f>
        <v>Please select ERROR CODE column "I"</v>
      </c>
      <c r="L1675" s="207" t="str">
        <f>IF(Errors!$I1675=0,
    'List of Error Codes'!$E$29,
    IFERROR(VLOOKUP(Errors!$I1675, 'List of Error Codes'!D1674:I1704, 6, FALSE), 'List of Error Codes'!$E$29)
)</f>
        <v>Please select ERROR CODE column "I"</v>
      </c>
      <c r="M1675" s="209"/>
      <c r="N1675" s="209"/>
      <c r="O1675" s="209"/>
      <c r="P1675" s="209"/>
      <c r="Q1675" s="209"/>
      <c r="R1675" s="217"/>
      <c r="S1675" s="217"/>
      <c r="T1675" s="217"/>
      <c r="U1675" s="199"/>
      <c r="V1675" s="200"/>
      <c r="W1675" s="200"/>
      <c r="X1675" s="200"/>
      <c r="Y1675" s="200"/>
      <c r="Z1675" s="200"/>
      <c r="AA1675" s="201"/>
      <c r="AB1675" s="200"/>
      <c r="AC1675" s="200"/>
    </row>
    <row r="1676" ht="15.75" customHeight="1">
      <c r="A1676" s="210">
        <f t="shared" si="1"/>
        <v>1674</v>
      </c>
      <c r="B1676" s="217"/>
      <c r="C1676" s="217" t="str">
        <f>IFERROR(VLOOKUP(B1676, SourceData!$U$3:$V$190, 2, FALSE), "")</f>
        <v/>
      </c>
      <c r="D1676" s="240"/>
      <c r="E1676" s="241"/>
      <c r="F1676" s="248"/>
      <c r="G1676" s="207"/>
      <c r="H1676" s="209"/>
      <c r="I1676" s="209"/>
      <c r="J1676" s="209"/>
      <c r="K1676" s="208" t="str">
        <f>IF(Errors!$I1676=0,SourceData!$B$42,VLOOKUP(Errors!$I1676,SourceData!$A$2:$B$40,2,FALSE))</f>
        <v>Please select ERROR CODE column "I"</v>
      </c>
      <c r="L1676" s="207" t="str">
        <f>IF(Errors!$I1676=0,
    'List of Error Codes'!$E$29,
    IFERROR(VLOOKUP(Errors!$I1676, 'List of Error Codes'!D1675:I1705, 6, FALSE), 'List of Error Codes'!$E$29)
)</f>
        <v>Please select ERROR CODE column "I"</v>
      </c>
      <c r="M1676" s="209"/>
      <c r="N1676" s="209"/>
      <c r="O1676" s="209"/>
      <c r="P1676" s="209"/>
      <c r="Q1676" s="209"/>
      <c r="R1676" s="217"/>
      <c r="S1676" s="217"/>
      <c r="T1676" s="217"/>
      <c r="U1676" s="199"/>
      <c r="V1676" s="200"/>
      <c r="W1676" s="200"/>
      <c r="X1676" s="200"/>
      <c r="Y1676" s="200"/>
      <c r="Z1676" s="200"/>
      <c r="AA1676" s="201"/>
      <c r="AB1676" s="200"/>
      <c r="AC1676" s="200"/>
    </row>
    <row r="1677" ht="15.75" customHeight="1">
      <c r="A1677" s="210">
        <f t="shared" si="1"/>
        <v>1675</v>
      </c>
      <c r="B1677" s="217"/>
      <c r="C1677" s="217" t="str">
        <f>IFERROR(VLOOKUP(B1677, SourceData!$U$3:$V$190, 2, FALSE), "")</f>
        <v/>
      </c>
      <c r="D1677" s="240"/>
      <c r="E1677" s="241"/>
      <c r="F1677" s="248"/>
      <c r="G1677" s="207"/>
      <c r="H1677" s="209"/>
      <c r="I1677" s="209"/>
      <c r="J1677" s="209"/>
      <c r="K1677" s="208" t="str">
        <f>IF(Errors!$I1677=0,SourceData!$B$42,VLOOKUP(Errors!$I1677,SourceData!$A$2:$B$40,2,FALSE))</f>
        <v>Please select ERROR CODE column "I"</v>
      </c>
      <c r="L1677" s="207" t="str">
        <f>IF(Errors!$I1677=0,
    'List of Error Codes'!$E$29,
    IFERROR(VLOOKUP(Errors!$I1677, 'List of Error Codes'!D1676:I1706, 6, FALSE), 'List of Error Codes'!$E$29)
)</f>
        <v>Please select ERROR CODE column "I"</v>
      </c>
      <c r="M1677" s="209"/>
      <c r="N1677" s="209"/>
      <c r="O1677" s="209"/>
      <c r="P1677" s="209"/>
      <c r="Q1677" s="209"/>
      <c r="R1677" s="217"/>
      <c r="S1677" s="217"/>
      <c r="T1677" s="217"/>
      <c r="U1677" s="199"/>
      <c r="V1677" s="200"/>
      <c r="W1677" s="200"/>
      <c r="X1677" s="200"/>
      <c r="Y1677" s="200"/>
      <c r="Z1677" s="200"/>
      <c r="AA1677" s="201"/>
      <c r="AB1677" s="200"/>
      <c r="AC1677" s="200"/>
    </row>
    <row r="1678" ht="15.75" customHeight="1">
      <c r="A1678" s="210">
        <f t="shared" si="1"/>
        <v>1676</v>
      </c>
      <c r="B1678" s="217"/>
      <c r="C1678" s="217" t="str">
        <f>IFERROR(VLOOKUP(B1678, SourceData!$U$3:$V$190, 2, FALSE), "")</f>
        <v/>
      </c>
      <c r="D1678" s="240"/>
      <c r="E1678" s="241"/>
      <c r="F1678" s="248"/>
      <c r="G1678" s="207"/>
      <c r="H1678" s="209"/>
      <c r="I1678" s="209"/>
      <c r="J1678" s="209"/>
      <c r="K1678" s="208" t="str">
        <f>IF(Errors!$I1678=0,SourceData!$B$42,VLOOKUP(Errors!$I1678,SourceData!$A$2:$B$40,2,FALSE))</f>
        <v>Please select ERROR CODE column "I"</v>
      </c>
      <c r="L1678" s="207" t="str">
        <f>IF(Errors!$I1678=0,
    'List of Error Codes'!$E$29,
    IFERROR(VLOOKUP(Errors!$I1678, 'List of Error Codes'!D1677:I1707, 6, FALSE), 'List of Error Codes'!$E$29)
)</f>
        <v>Please select ERROR CODE column "I"</v>
      </c>
      <c r="M1678" s="209"/>
      <c r="N1678" s="209"/>
      <c r="O1678" s="209"/>
      <c r="P1678" s="209"/>
      <c r="Q1678" s="209"/>
      <c r="R1678" s="217"/>
      <c r="S1678" s="217"/>
      <c r="T1678" s="217"/>
      <c r="U1678" s="199"/>
      <c r="V1678" s="200"/>
      <c r="W1678" s="200"/>
      <c r="X1678" s="200"/>
      <c r="Y1678" s="200"/>
      <c r="Z1678" s="200"/>
      <c r="AA1678" s="201"/>
      <c r="AB1678" s="200"/>
      <c r="AC1678" s="200"/>
    </row>
    <row r="1679" ht="15.75" customHeight="1">
      <c r="A1679" s="210">
        <f t="shared" si="1"/>
        <v>1677</v>
      </c>
      <c r="B1679" s="217"/>
      <c r="C1679" s="217" t="str">
        <f>IFERROR(VLOOKUP(B1679, SourceData!$U$3:$V$190, 2, FALSE), "")</f>
        <v/>
      </c>
      <c r="D1679" s="240"/>
      <c r="E1679" s="241"/>
      <c r="F1679" s="248"/>
      <c r="G1679" s="207"/>
      <c r="H1679" s="209"/>
      <c r="I1679" s="209"/>
      <c r="J1679" s="209"/>
      <c r="K1679" s="208" t="str">
        <f>IF(Errors!$I1679=0,SourceData!$B$42,VLOOKUP(Errors!$I1679,SourceData!$A$2:$B$40,2,FALSE))</f>
        <v>Please select ERROR CODE column "I"</v>
      </c>
      <c r="L1679" s="207" t="str">
        <f>IF(Errors!$I1679=0,
    'List of Error Codes'!$E$29,
    IFERROR(VLOOKUP(Errors!$I1679, 'List of Error Codes'!D1678:I1708, 6, FALSE), 'List of Error Codes'!$E$29)
)</f>
        <v>Please select ERROR CODE column "I"</v>
      </c>
      <c r="M1679" s="209"/>
      <c r="N1679" s="209"/>
      <c r="O1679" s="209"/>
      <c r="P1679" s="209"/>
      <c r="Q1679" s="209"/>
      <c r="R1679" s="217"/>
      <c r="S1679" s="217"/>
      <c r="T1679" s="217"/>
      <c r="U1679" s="199"/>
      <c r="V1679" s="200"/>
      <c r="W1679" s="200"/>
      <c r="X1679" s="200"/>
      <c r="Y1679" s="200"/>
      <c r="Z1679" s="200"/>
      <c r="AA1679" s="201"/>
      <c r="AB1679" s="200"/>
      <c r="AC1679" s="200"/>
    </row>
    <row r="1680" ht="15.75" customHeight="1">
      <c r="A1680" s="210">
        <f t="shared" si="1"/>
        <v>1678</v>
      </c>
      <c r="B1680" s="217"/>
      <c r="C1680" s="217" t="str">
        <f>IFERROR(VLOOKUP(B1680, SourceData!$U$3:$V$190, 2, FALSE), "")</f>
        <v/>
      </c>
      <c r="D1680" s="240"/>
      <c r="E1680" s="241"/>
      <c r="F1680" s="248"/>
      <c r="G1680" s="207"/>
      <c r="H1680" s="209"/>
      <c r="I1680" s="209"/>
      <c r="J1680" s="209"/>
      <c r="K1680" s="208" t="str">
        <f>IF(Errors!$I1680=0,SourceData!$B$42,VLOOKUP(Errors!$I1680,SourceData!$A$2:$B$40,2,FALSE))</f>
        <v>Please select ERROR CODE column "I"</v>
      </c>
      <c r="L1680" s="207" t="str">
        <f>IF(Errors!$I1680=0,
    'List of Error Codes'!$E$29,
    IFERROR(VLOOKUP(Errors!$I1680, 'List of Error Codes'!D1679:I1709, 6, FALSE), 'List of Error Codes'!$E$29)
)</f>
        <v>Please select ERROR CODE column "I"</v>
      </c>
      <c r="M1680" s="209"/>
      <c r="N1680" s="209"/>
      <c r="O1680" s="209"/>
      <c r="P1680" s="209"/>
      <c r="Q1680" s="209"/>
      <c r="R1680" s="217"/>
      <c r="S1680" s="217"/>
      <c r="T1680" s="217"/>
      <c r="U1680" s="199"/>
      <c r="V1680" s="200"/>
      <c r="W1680" s="200"/>
      <c r="X1680" s="200"/>
      <c r="Y1680" s="200"/>
      <c r="Z1680" s="200"/>
      <c r="AA1680" s="201"/>
      <c r="AB1680" s="200"/>
      <c r="AC1680" s="200"/>
    </row>
    <row r="1681" ht="15.75" customHeight="1">
      <c r="A1681" s="210">
        <f t="shared" si="1"/>
        <v>1679</v>
      </c>
      <c r="B1681" s="217"/>
      <c r="C1681" s="217" t="str">
        <f>IFERROR(VLOOKUP(B1681, SourceData!$U$3:$V$190, 2, FALSE), "")</f>
        <v/>
      </c>
      <c r="D1681" s="240"/>
      <c r="E1681" s="241"/>
      <c r="F1681" s="248"/>
      <c r="G1681" s="207"/>
      <c r="H1681" s="209"/>
      <c r="I1681" s="209"/>
      <c r="J1681" s="209"/>
      <c r="K1681" s="208" t="str">
        <f>IF(Errors!$I1681=0,SourceData!$B$42,VLOOKUP(Errors!$I1681,SourceData!$A$2:$B$40,2,FALSE))</f>
        <v>Please select ERROR CODE column "I"</v>
      </c>
      <c r="L1681" s="207" t="str">
        <f>IF(Errors!$I1681=0,
    'List of Error Codes'!$E$29,
    IFERROR(VLOOKUP(Errors!$I1681, 'List of Error Codes'!D1680:I1710, 6, FALSE), 'List of Error Codes'!$E$29)
)</f>
        <v>Please select ERROR CODE column "I"</v>
      </c>
      <c r="M1681" s="209"/>
      <c r="N1681" s="209"/>
      <c r="O1681" s="209"/>
      <c r="P1681" s="209"/>
      <c r="Q1681" s="209"/>
      <c r="R1681" s="217"/>
      <c r="S1681" s="217"/>
      <c r="T1681" s="217"/>
      <c r="U1681" s="199"/>
      <c r="V1681" s="200"/>
      <c r="W1681" s="200"/>
      <c r="X1681" s="200"/>
      <c r="Y1681" s="200"/>
      <c r="Z1681" s="200"/>
      <c r="AA1681" s="201"/>
      <c r="AB1681" s="200"/>
      <c r="AC1681" s="200"/>
    </row>
    <row r="1682" ht="15.75" customHeight="1">
      <c r="A1682" s="210">
        <f t="shared" si="1"/>
        <v>1680</v>
      </c>
      <c r="B1682" s="217"/>
      <c r="C1682" s="217" t="str">
        <f>IFERROR(VLOOKUP(B1682, SourceData!$U$3:$V$190, 2, FALSE), "")</f>
        <v/>
      </c>
      <c r="D1682" s="240"/>
      <c r="E1682" s="241"/>
      <c r="F1682" s="248"/>
      <c r="G1682" s="207"/>
      <c r="H1682" s="209"/>
      <c r="I1682" s="209"/>
      <c r="J1682" s="209"/>
      <c r="K1682" s="208" t="str">
        <f>IF(Errors!$I1682=0,SourceData!$B$42,VLOOKUP(Errors!$I1682,SourceData!$A$2:$B$40,2,FALSE))</f>
        <v>Please select ERROR CODE column "I"</v>
      </c>
      <c r="L1682" s="207" t="str">
        <f>IF(Errors!$I1682=0,
    'List of Error Codes'!$E$29,
    IFERROR(VLOOKUP(Errors!$I1682, 'List of Error Codes'!D1681:I1711, 6, FALSE), 'List of Error Codes'!$E$29)
)</f>
        <v>Please select ERROR CODE column "I"</v>
      </c>
      <c r="M1682" s="209"/>
      <c r="N1682" s="209"/>
      <c r="O1682" s="209"/>
      <c r="P1682" s="209"/>
      <c r="Q1682" s="209"/>
      <c r="R1682" s="217"/>
      <c r="S1682" s="217"/>
      <c r="T1682" s="217"/>
      <c r="U1682" s="199"/>
      <c r="V1682" s="200"/>
      <c r="W1682" s="200"/>
      <c r="X1682" s="200"/>
      <c r="Y1682" s="200"/>
      <c r="Z1682" s="200"/>
      <c r="AA1682" s="201"/>
      <c r="AB1682" s="200"/>
      <c r="AC1682" s="200"/>
    </row>
    <row r="1683" ht="15.75" customHeight="1">
      <c r="A1683" s="210">
        <f t="shared" si="1"/>
        <v>1681</v>
      </c>
      <c r="B1683" s="217"/>
      <c r="C1683" s="217" t="str">
        <f>IFERROR(VLOOKUP(B1683, SourceData!$U$3:$V$190, 2, FALSE), "")</f>
        <v/>
      </c>
      <c r="D1683" s="240"/>
      <c r="E1683" s="241"/>
      <c r="F1683" s="248"/>
      <c r="G1683" s="207"/>
      <c r="H1683" s="209"/>
      <c r="I1683" s="209"/>
      <c r="J1683" s="209"/>
      <c r="K1683" s="208" t="str">
        <f>IF(Errors!$I1683=0,SourceData!$B$42,VLOOKUP(Errors!$I1683,SourceData!$A$2:$B$40,2,FALSE))</f>
        <v>Please select ERROR CODE column "I"</v>
      </c>
      <c r="L1683" s="207" t="str">
        <f>IF(Errors!$I1683=0,
    'List of Error Codes'!$E$29,
    IFERROR(VLOOKUP(Errors!$I1683, 'List of Error Codes'!D1682:I1712, 6, FALSE), 'List of Error Codes'!$E$29)
)</f>
        <v>Please select ERROR CODE column "I"</v>
      </c>
      <c r="M1683" s="209"/>
      <c r="N1683" s="209"/>
      <c r="O1683" s="209"/>
      <c r="P1683" s="209"/>
      <c r="Q1683" s="209"/>
      <c r="R1683" s="217"/>
      <c r="S1683" s="217"/>
      <c r="T1683" s="217"/>
      <c r="U1683" s="199"/>
      <c r="V1683" s="200"/>
      <c r="W1683" s="200"/>
      <c r="X1683" s="200"/>
      <c r="Y1683" s="200"/>
      <c r="Z1683" s="200"/>
      <c r="AA1683" s="201"/>
      <c r="AB1683" s="200"/>
      <c r="AC1683" s="200"/>
    </row>
    <row r="1684" ht="15.75" customHeight="1">
      <c r="A1684" s="210">
        <f t="shared" si="1"/>
        <v>1682</v>
      </c>
      <c r="B1684" s="217"/>
      <c r="C1684" s="217" t="str">
        <f>IFERROR(VLOOKUP(B1684, SourceData!$U$3:$V$190, 2, FALSE), "")</f>
        <v/>
      </c>
      <c r="D1684" s="240"/>
      <c r="E1684" s="241"/>
      <c r="F1684" s="248"/>
      <c r="G1684" s="207"/>
      <c r="H1684" s="209"/>
      <c r="I1684" s="209"/>
      <c r="J1684" s="209"/>
      <c r="K1684" s="208" t="str">
        <f>IF(Errors!$I1684=0,SourceData!$B$42,VLOOKUP(Errors!$I1684,SourceData!$A$2:$B$40,2,FALSE))</f>
        <v>Please select ERROR CODE column "I"</v>
      </c>
      <c r="L1684" s="207" t="str">
        <f>IF(Errors!$I1684=0,
    'List of Error Codes'!$E$29,
    IFERROR(VLOOKUP(Errors!$I1684, 'List of Error Codes'!D1683:I1713, 6, FALSE), 'List of Error Codes'!$E$29)
)</f>
        <v>Please select ERROR CODE column "I"</v>
      </c>
      <c r="M1684" s="209"/>
      <c r="N1684" s="209"/>
      <c r="O1684" s="209"/>
      <c r="P1684" s="209"/>
      <c r="Q1684" s="209"/>
      <c r="R1684" s="217"/>
      <c r="S1684" s="217"/>
      <c r="T1684" s="217"/>
      <c r="U1684" s="199"/>
      <c r="V1684" s="200"/>
      <c r="W1684" s="200"/>
      <c r="X1684" s="200"/>
      <c r="Y1684" s="200"/>
      <c r="Z1684" s="200"/>
      <c r="AA1684" s="201"/>
      <c r="AB1684" s="200"/>
      <c r="AC1684" s="200"/>
    </row>
    <row r="1685" ht="15.75" customHeight="1">
      <c r="A1685" s="210">
        <f t="shared" si="1"/>
        <v>1683</v>
      </c>
      <c r="B1685" s="217"/>
      <c r="C1685" s="217" t="str">
        <f>IFERROR(VLOOKUP(B1685, SourceData!$U$3:$V$190, 2, FALSE), "")</f>
        <v/>
      </c>
      <c r="D1685" s="240"/>
      <c r="E1685" s="241"/>
      <c r="F1685" s="248"/>
      <c r="G1685" s="207"/>
      <c r="H1685" s="209"/>
      <c r="I1685" s="209"/>
      <c r="J1685" s="209"/>
      <c r="K1685" s="208" t="str">
        <f>IF(Errors!$I1685=0,SourceData!$B$42,VLOOKUP(Errors!$I1685,SourceData!$A$2:$B$40,2,FALSE))</f>
        <v>Please select ERROR CODE column "I"</v>
      </c>
      <c r="L1685" s="207" t="str">
        <f>IF(Errors!$I1685=0,
    'List of Error Codes'!$E$29,
    IFERROR(VLOOKUP(Errors!$I1685, 'List of Error Codes'!D1684:I1714, 6, FALSE), 'List of Error Codes'!$E$29)
)</f>
        <v>Please select ERROR CODE column "I"</v>
      </c>
      <c r="M1685" s="209"/>
      <c r="N1685" s="209"/>
      <c r="O1685" s="209"/>
      <c r="P1685" s="209"/>
      <c r="Q1685" s="209"/>
      <c r="R1685" s="217"/>
      <c r="S1685" s="217"/>
      <c r="T1685" s="217"/>
      <c r="U1685" s="199"/>
      <c r="V1685" s="200"/>
      <c r="W1685" s="200"/>
      <c r="X1685" s="200"/>
      <c r="Y1685" s="200"/>
      <c r="Z1685" s="200"/>
      <c r="AA1685" s="201"/>
      <c r="AB1685" s="200"/>
      <c r="AC1685" s="200"/>
    </row>
    <row r="1686" ht="15.75" customHeight="1">
      <c r="A1686" s="210">
        <f t="shared" si="1"/>
        <v>1684</v>
      </c>
      <c r="B1686" s="217"/>
      <c r="C1686" s="217" t="str">
        <f>IFERROR(VLOOKUP(B1686, SourceData!$U$3:$V$190, 2, FALSE), "")</f>
        <v/>
      </c>
      <c r="D1686" s="240"/>
      <c r="E1686" s="241"/>
      <c r="F1686" s="248"/>
      <c r="G1686" s="207"/>
      <c r="H1686" s="209"/>
      <c r="I1686" s="209"/>
      <c r="J1686" s="209"/>
      <c r="K1686" s="208" t="str">
        <f>IF(Errors!$I1686=0,SourceData!$B$42,VLOOKUP(Errors!$I1686,SourceData!$A$2:$B$40,2,FALSE))</f>
        <v>Please select ERROR CODE column "I"</v>
      </c>
      <c r="L1686" s="207" t="str">
        <f>IF(Errors!$I1686=0,
    'List of Error Codes'!$E$29,
    IFERROR(VLOOKUP(Errors!$I1686, 'List of Error Codes'!D1685:I1715, 6, FALSE), 'List of Error Codes'!$E$29)
)</f>
        <v>Please select ERROR CODE column "I"</v>
      </c>
      <c r="M1686" s="209"/>
      <c r="N1686" s="209"/>
      <c r="O1686" s="209"/>
      <c r="P1686" s="209"/>
      <c r="Q1686" s="209"/>
      <c r="R1686" s="217"/>
      <c r="S1686" s="217"/>
      <c r="T1686" s="217"/>
      <c r="U1686" s="199"/>
      <c r="V1686" s="200"/>
      <c r="W1686" s="200"/>
      <c r="X1686" s="200"/>
      <c r="Y1686" s="200"/>
      <c r="Z1686" s="200"/>
      <c r="AA1686" s="201"/>
      <c r="AB1686" s="200"/>
      <c r="AC1686" s="200"/>
    </row>
    <row r="1687" ht="15.75" customHeight="1">
      <c r="A1687" s="210">
        <f t="shared" si="1"/>
        <v>1685</v>
      </c>
      <c r="B1687" s="217"/>
      <c r="C1687" s="217" t="str">
        <f>IFERROR(VLOOKUP(B1687, SourceData!$U$3:$V$190, 2, FALSE), "")</f>
        <v/>
      </c>
      <c r="D1687" s="240"/>
      <c r="E1687" s="241"/>
      <c r="F1687" s="248"/>
      <c r="G1687" s="207"/>
      <c r="H1687" s="209"/>
      <c r="I1687" s="209"/>
      <c r="J1687" s="209"/>
      <c r="K1687" s="208" t="str">
        <f>IF(Errors!$I1687=0,SourceData!$B$42,VLOOKUP(Errors!$I1687,SourceData!$A$2:$B$40,2,FALSE))</f>
        <v>Please select ERROR CODE column "I"</v>
      </c>
      <c r="L1687" s="207" t="str">
        <f>IF(Errors!$I1687=0,
    'List of Error Codes'!$E$29,
    IFERROR(VLOOKUP(Errors!$I1687, 'List of Error Codes'!D1686:I1716, 6, FALSE), 'List of Error Codes'!$E$29)
)</f>
        <v>Please select ERROR CODE column "I"</v>
      </c>
      <c r="M1687" s="209"/>
      <c r="N1687" s="209"/>
      <c r="O1687" s="209"/>
      <c r="P1687" s="209"/>
      <c r="Q1687" s="209"/>
      <c r="R1687" s="217"/>
      <c r="S1687" s="217"/>
      <c r="T1687" s="217"/>
      <c r="U1687" s="199"/>
      <c r="V1687" s="200"/>
      <c r="W1687" s="200"/>
      <c r="X1687" s="200"/>
      <c r="Y1687" s="200"/>
      <c r="Z1687" s="200"/>
      <c r="AA1687" s="201"/>
      <c r="AB1687" s="200"/>
      <c r="AC1687" s="200"/>
    </row>
    <row r="1688" ht="15.75" customHeight="1">
      <c r="A1688" s="210">
        <f t="shared" si="1"/>
        <v>1686</v>
      </c>
      <c r="B1688" s="217"/>
      <c r="C1688" s="217" t="str">
        <f>IFERROR(VLOOKUP(B1688, SourceData!$U$3:$V$190, 2, FALSE), "")</f>
        <v/>
      </c>
      <c r="D1688" s="240"/>
      <c r="E1688" s="241"/>
      <c r="F1688" s="248"/>
      <c r="G1688" s="207"/>
      <c r="H1688" s="209"/>
      <c r="I1688" s="209"/>
      <c r="J1688" s="209"/>
      <c r="K1688" s="208" t="str">
        <f>IF(Errors!$I1688=0,SourceData!$B$42,VLOOKUP(Errors!$I1688,SourceData!$A$2:$B$40,2,FALSE))</f>
        <v>Please select ERROR CODE column "I"</v>
      </c>
      <c r="L1688" s="207" t="str">
        <f>IF(Errors!$I1688=0,
    'List of Error Codes'!$E$29,
    IFERROR(VLOOKUP(Errors!$I1688, 'List of Error Codes'!D1687:I1717, 6, FALSE), 'List of Error Codes'!$E$29)
)</f>
        <v>Please select ERROR CODE column "I"</v>
      </c>
      <c r="M1688" s="209"/>
      <c r="N1688" s="209"/>
      <c r="O1688" s="209"/>
      <c r="P1688" s="209"/>
      <c r="Q1688" s="209"/>
      <c r="R1688" s="217"/>
      <c r="S1688" s="217"/>
      <c r="T1688" s="217"/>
      <c r="U1688" s="199"/>
      <c r="V1688" s="200"/>
      <c r="W1688" s="200"/>
      <c r="X1688" s="200"/>
      <c r="Y1688" s="200"/>
      <c r="Z1688" s="200"/>
      <c r="AA1688" s="201"/>
      <c r="AB1688" s="200"/>
      <c r="AC1688" s="200"/>
    </row>
    <row r="1689" ht="15.75" customHeight="1">
      <c r="A1689" s="210">
        <f t="shared" si="1"/>
        <v>1687</v>
      </c>
      <c r="B1689" s="217"/>
      <c r="C1689" s="217" t="str">
        <f>IFERROR(VLOOKUP(B1689, SourceData!$U$3:$V$190, 2, FALSE), "")</f>
        <v/>
      </c>
      <c r="D1689" s="240"/>
      <c r="E1689" s="241"/>
      <c r="F1689" s="248"/>
      <c r="G1689" s="207"/>
      <c r="H1689" s="209"/>
      <c r="I1689" s="209"/>
      <c r="J1689" s="209"/>
      <c r="K1689" s="208" t="str">
        <f>IF(Errors!$I1689=0,SourceData!$B$42,VLOOKUP(Errors!$I1689,SourceData!$A$2:$B$40,2,FALSE))</f>
        <v>Please select ERROR CODE column "I"</v>
      </c>
      <c r="L1689" s="207" t="str">
        <f>IF(Errors!$I1689=0,
    'List of Error Codes'!$E$29,
    IFERROR(VLOOKUP(Errors!$I1689, 'List of Error Codes'!D1688:I1718, 6, FALSE), 'List of Error Codes'!$E$29)
)</f>
        <v>Please select ERROR CODE column "I"</v>
      </c>
      <c r="M1689" s="209"/>
      <c r="N1689" s="209"/>
      <c r="O1689" s="209"/>
      <c r="P1689" s="209"/>
      <c r="Q1689" s="209"/>
      <c r="R1689" s="217"/>
      <c r="S1689" s="217"/>
      <c r="T1689" s="217"/>
      <c r="U1689" s="199"/>
      <c r="V1689" s="200"/>
      <c r="W1689" s="200"/>
      <c r="X1689" s="200"/>
      <c r="Y1689" s="200"/>
      <c r="Z1689" s="200"/>
      <c r="AA1689" s="201"/>
      <c r="AB1689" s="200"/>
      <c r="AC1689" s="200"/>
    </row>
    <row r="1690" ht="15.75" customHeight="1">
      <c r="A1690" s="210">
        <f t="shared" si="1"/>
        <v>1688</v>
      </c>
      <c r="B1690" s="217"/>
      <c r="C1690" s="217" t="str">
        <f>IFERROR(VLOOKUP(B1690, SourceData!$U$3:$V$190, 2, FALSE), "")</f>
        <v/>
      </c>
      <c r="D1690" s="240"/>
      <c r="E1690" s="241"/>
      <c r="F1690" s="248"/>
      <c r="G1690" s="207"/>
      <c r="H1690" s="209"/>
      <c r="I1690" s="209"/>
      <c r="J1690" s="209"/>
      <c r="K1690" s="208" t="str">
        <f>IF(Errors!$I1690=0,SourceData!$B$42,VLOOKUP(Errors!$I1690,SourceData!$A$2:$B$40,2,FALSE))</f>
        <v>Please select ERROR CODE column "I"</v>
      </c>
      <c r="L1690" s="207" t="str">
        <f>IF(Errors!$I1690=0,
    'List of Error Codes'!$E$29,
    IFERROR(VLOOKUP(Errors!$I1690, 'List of Error Codes'!D1689:I1719, 6, FALSE), 'List of Error Codes'!$E$29)
)</f>
        <v>Please select ERROR CODE column "I"</v>
      </c>
      <c r="M1690" s="209"/>
      <c r="N1690" s="209"/>
      <c r="O1690" s="209"/>
      <c r="P1690" s="209"/>
      <c r="Q1690" s="209"/>
      <c r="R1690" s="217"/>
      <c r="S1690" s="217"/>
      <c r="T1690" s="217"/>
      <c r="U1690" s="199"/>
      <c r="V1690" s="200"/>
      <c r="W1690" s="200"/>
      <c r="X1690" s="200"/>
      <c r="Y1690" s="200"/>
      <c r="Z1690" s="200"/>
      <c r="AA1690" s="201"/>
      <c r="AB1690" s="200"/>
      <c r="AC1690" s="200"/>
    </row>
    <row r="1691" ht="15.75" customHeight="1">
      <c r="A1691" s="210">
        <f t="shared" si="1"/>
        <v>1689</v>
      </c>
      <c r="B1691" s="217"/>
      <c r="C1691" s="217" t="str">
        <f>IFERROR(VLOOKUP(B1691, SourceData!$U$3:$V$190, 2, FALSE), "")</f>
        <v/>
      </c>
      <c r="D1691" s="240"/>
      <c r="E1691" s="241"/>
      <c r="F1691" s="248"/>
      <c r="G1691" s="207"/>
      <c r="H1691" s="209"/>
      <c r="I1691" s="209"/>
      <c r="J1691" s="209"/>
      <c r="K1691" s="208" t="str">
        <f>IF(Errors!$I1691=0,SourceData!$B$42,VLOOKUP(Errors!$I1691,SourceData!$A$2:$B$40,2,FALSE))</f>
        <v>Please select ERROR CODE column "I"</v>
      </c>
      <c r="L1691" s="207" t="str">
        <f>IF(Errors!$I1691=0,
    'List of Error Codes'!$E$29,
    IFERROR(VLOOKUP(Errors!$I1691, 'List of Error Codes'!D1690:I1720, 6, FALSE), 'List of Error Codes'!$E$29)
)</f>
        <v>Please select ERROR CODE column "I"</v>
      </c>
      <c r="M1691" s="209"/>
      <c r="N1691" s="209"/>
      <c r="O1691" s="209"/>
      <c r="P1691" s="209"/>
      <c r="Q1691" s="209"/>
      <c r="R1691" s="217"/>
      <c r="S1691" s="217"/>
      <c r="T1691" s="217"/>
      <c r="U1691" s="199"/>
      <c r="V1691" s="200"/>
      <c r="W1691" s="200"/>
      <c r="X1691" s="200"/>
      <c r="Y1691" s="200"/>
      <c r="Z1691" s="200"/>
      <c r="AA1691" s="201"/>
      <c r="AB1691" s="200"/>
      <c r="AC1691" s="200"/>
    </row>
    <row r="1692" ht="15.75" customHeight="1">
      <c r="A1692" s="210">
        <f t="shared" si="1"/>
        <v>1690</v>
      </c>
      <c r="B1692" s="217"/>
      <c r="C1692" s="217" t="str">
        <f>IFERROR(VLOOKUP(B1692, SourceData!$U$3:$V$190, 2, FALSE), "")</f>
        <v/>
      </c>
      <c r="D1692" s="240"/>
      <c r="E1692" s="241"/>
      <c r="F1692" s="248"/>
      <c r="G1692" s="207"/>
      <c r="H1692" s="209"/>
      <c r="I1692" s="209"/>
      <c r="J1692" s="209"/>
      <c r="K1692" s="208" t="str">
        <f>IF(Errors!$I1692=0,SourceData!$B$42,VLOOKUP(Errors!$I1692,SourceData!$A$2:$B$40,2,FALSE))</f>
        <v>Please select ERROR CODE column "I"</v>
      </c>
      <c r="L1692" s="207" t="str">
        <f>IF(Errors!$I1692=0,
    'List of Error Codes'!$E$29,
    IFERROR(VLOOKUP(Errors!$I1692, 'List of Error Codes'!D1691:I1721, 6, FALSE), 'List of Error Codes'!$E$29)
)</f>
        <v>Please select ERROR CODE column "I"</v>
      </c>
      <c r="M1692" s="209"/>
      <c r="N1692" s="209"/>
      <c r="O1692" s="209"/>
      <c r="P1692" s="209"/>
      <c r="Q1692" s="209"/>
      <c r="R1692" s="217"/>
      <c r="S1692" s="217"/>
      <c r="T1692" s="217"/>
      <c r="U1692" s="199"/>
      <c r="V1692" s="200"/>
      <c r="W1692" s="200"/>
      <c r="X1692" s="200"/>
      <c r="Y1692" s="200"/>
      <c r="Z1692" s="200"/>
      <c r="AA1692" s="201"/>
      <c r="AB1692" s="200"/>
      <c r="AC1692" s="200"/>
    </row>
    <row r="1693" ht="15.75" customHeight="1">
      <c r="A1693" s="210">
        <f t="shared" si="1"/>
        <v>1691</v>
      </c>
      <c r="B1693" s="217"/>
      <c r="C1693" s="217" t="str">
        <f>IFERROR(VLOOKUP(B1693, SourceData!$U$3:$V$190, 2, FALSE), "")</f>
        <v/>
      </c>
      <c r="D1693" s="240"/>
      <c r="E1693" s="241"/>
      <c r="F1693" s="248"/>
      <c r="G1693" s="207"/>
      <c r="H1693" s="209"/>
      <c r="I1693" s="209"/>
      <c r="J1693" s="209"/>
      <c r="K1693" s="208" t="str">
        <f>IF(Errors!$I1693=0,SourceData!$B$42,VLOOKUP(Errors!$I1693,SourceData!$A$2:$B$40,2,FALSE))</f>
        <v>Please select ERROR CODE column "I"</v>
      </c>
      <c r="L1693" s="207" t="str">
        <f>IF(Errors!$I1693=0,
    'List of Error Codes'!$E$29,
    IFERROR(VLOOKUP(Errors!$I1693, 'List of Error Codes'!D1692:I1722, 6, FALSE), 'List of Error Codes'!$E$29)
)</f>
        <v>Please select ERROR CODE column "I"</v>
      </c>
      <c r="M1693" s="209"/>
      <c r="N1693" s="209"/>
      <c r="O1693" s="209"/>
      <c r="P1693" s="209"/>
      <c r="Q1693" s="209"/>
      <c r="R1693" s="217"/>
      <c r="S1693" s="217"/>
      <c r="T1693" s="217"/>
      <c r="U1693" s="199"/>
      <c r="V1693" s="200"/>
      <c r="W1693" s="200"/>
      <c r="X1693" s="200"/>
      <c r="Y1693" s="200"/>
      <c r="Z1693" s="200"/>
      <c r="AA1693" s="201"/>
      <c r="AB1693" s="200"/>
      <c r="AC1693" s="200"/>
    </row>
    <row r="1694" ht="15.75" customHeight="1">
      <c r="A1694" s="210">
        <f t="shared" si="1"/>
        <v>1692</v>
      </c>
      <c r="B1694" s="217"/>
      <c r="C1694" s="217" t="str">
        <f>IFERROR(VLOOKUP(B1694, SourceData!$U$3:$V$190, 2, FALSE), "")</f>
        <v/>
      </c>
      <c r="D1694" s="240"/>
      <c r="E1694" s="241"/>
      <c r="F1694" s="248"/>
      <c r="G1694" s="207"/>
      <c r="H1694" s="209"/>
      <c r="I1694" s="209"/>
      <c r="J1694" s="209"/>
      <c r="K1694" s="208" t="str">
        <f>IF(Errors!$I1694=0,SourceData!$B$42,VLOOKUP(Errors!$I1694,SourceData!$A$2:$B$40,2,FALSE))</f>
        <v>Please select ERROR CODE column "I"</v>
      </c>
      <c r="L1694" s="207" t="str">
        <f>IF(Errors!$I1694=0,
    'List of Error Codes'!$E$29,
    IFERROR(VLOOKUP(Errors!$I1694, 'List of Error Codes'!D1693:I1723, 6, FALSE), 'List of Error Codes'!$E$29)
)</f>
        <v>Please select ERROR CODE column "I"</v>
      </c>
      <c r="M1694" s="209"/>
      <c r="N1694" s="209"/>
      <c r="O1694" s="209"/>
      <c r="P1694" s="209"/>
      <c r="Q1694" s="209"/>
      <c r="R1694" s="217"/>
      <c r="S1694" s="217"/>
      <c r="T1694" s="217"/>
      <c r="U1694" s="199"/>
      <c r="V1694" s="200"/>
      <c r="W1694" s="200"/>
      <c r="X1694" s="200"/>
      <c r="Y1694" s="200"/>
      <c r="Z1694" s="200"/>
      <c r="AA1694" s="201"/>
      <c r="AB1694" s="200"/>
      <c r="AC1694" s="200"/>
    </row>
    <row r="1695" ht="15.75" customHeight="1">
      <c r="A1695" s="210">
        <f t="shared" si="1"/>
        <v>1693</v>
      </c>
      <c r="B1695" s="217"/>
      <c r="C1695" s="217" t="str">
        <f>IFERROR(VLOOKUP(B1695, SourceData!$U$3:$V$190, 2, FALSE), "")</f>
        <v/>
      </c>
      <c r="D1695" s="240"/>
      <c r="E1695" s="241"/>
      <c r="F1695" s="248"/>
      <c r="G1695" s="207"/>
      <c r="H1695" s="209"/>
      <c r="I1695" s="209"/>
      <c r="J1695" s="209"/>
      <c r="K1695" s="208" t="str">
        <f>IF(Errors!$I1695=0,SourceData!$B$42,VLOOKUP(Errors!$I1695,SourceData!$A$2:$B$40,2,FALSE))</f>
        <v>Please select ERROR CODE column "I"</v>
      </c>
      <c r="L1695" s="207" t="str">
        <f>IF(Errors!$I1695=0,
    'List of Error Codes'!$E$29,
    IFERROR(VLOOKUP(Errors!$I1695, 'List of Error Codes'!D1694:I1724, 6, FALSE), 'List of Error Codes'!$E$29)
)</f>
        <v>Please select ERROR CODE column "I"</v>
      </c>
      <c r="M1695" s="209"/>
      <c r="N1695" s="209"/>
      <c r="O1695" s="209"/>
      <c r="P1695" s="209"/>
      <c r="Q1695" s="209"/>
      <c r="R1695" s="217"/>
      <c r="S1695" s="217"/>
      <c r="T1695" s="217"/>
      <c r="U1695" s="199"/>
      <c r="V1695" s="200"/>
      <c r="W1695" s="200"/>
      <c r="X1695" s="200"/>
      <c r="Y1695" s="200"/>
      <c r="Z1695" s="200"/>
      <c r="AA1695" s="201"/>
      <c r="AB1695" s="200"/>
      <c r="AC1695" s="200"/>
    </row>
    <row r="1696" ht="15.75" customHeight="1">
      <c r="A1696" s="210">
        <f t="shared" si="1"/>
        <v>1694</v>
      </c>
      <c r="B1696" s="217"/>
      <c r="C1696" s="217" t="str">
        <f>IFERROR(VLOOKUP(B1696, SourceData!$U$3:$V$190, 2, FALSE), "")</f>
        <v/>
      </c>
      <c r="D1696" s="240"/>
      <c r="E1696" s="241"/>
      <c r="F1696" s="248"/>
      <c r="G1696" s="207"/>
      <c r="H1696" s="209"/>
      <c r="I1696" s="209"/>
      <c r="J1696" s="209"/>
      <c r="K1696" s="208" t="str">
        <f>IF(Errors!$I1696=0,SourceData!$B$42,VLOOKUP(Errors!$I1696,SourceData!$A$2:$B$40,2,FALSE))</f>
        <v>Please select ERROR CODE column "I"</v>
      </c>
      <c r="L1696" s="207" t="str">
        <f>IF(Errors!$I1696=0,
    'List of Error Codes'!$E$29,
    IFERROR(VLOOKUP(Errors!$I1696, 'List of Error Codes'!D1695:I1725, 6, FALSE), 'List of Error Codes'!$E$29)
)</f>
        <v>Please select ERROR CODE column "I"</v>
      </c>
      <c r="M1696" s="209"/>
      <c r="N1696" s="209"/>
      <c r="O1696" s="209"/>
      <c r="P1696" s="209"/>
      <c r="Q1696" s="209"/>
      <c r="R1696" s="217"/>
      <c r="S1696" s="217"/>
      <c r="T1696" s="217"/>
      <c r="U1696" s="199"/>
      <c r="V1696" s="200"/>
      <c r="W1696" s="200"/>
      <c r="X1696" s="200"/>
      <c r="Y1696" s="200"/>
      <c r="Z1696" s="200"/>
      <c r="AA1696" s="201"/>
      <c r="AB1696" s="200"/>
      <c r="AC1696" s="200"/>
    </row>
    <row r="1697" ht="15.75" customHeight="1">
      <c r="A1697" s="210">
        <f t="shared" si="1"/>
        <v>1695</v>
      </c>
      <c r="B1697" s="217"/>
      <c r="C1697" s="217" t="str">
        <f>IFERROR(VLOOKUP(B1697, SourceData!$U$3:$V$190, 2, FALSE), "")</f>
        <v/>
      </c>
      <c r="D1697" s="240"/>
      <c r="E1697" s="241"/>
      <c r="F1697" s="248"/>
      <c r="G1697" s="207"/>
      <c r="H1697" s="209"/>
      <c r="I1697" s="209"/>
      <c r="J1697" s="209"/>
      <c r="K1697" s="208" t="str">
        <f>IF(Errors!$I1697=0,SourceData!$B$42,VLOOKUP(Errors!$I1697,SourceData!$A$2:$B$40,2,FALSE))</f>
        <v>Please select ERROR CODE column "I"</v>
      </c>
      <c r="L1697" s="207" t="str">
        <f>IF(Errors!$I1697=0,
    'List of Error Codes'!$E$29,
    IFERROR(VLOOKUP(Errors!$I1697, 'List of Error Codes'!D1696:I1726, 6, FALSE), 'List of Error Codes'!$E$29)
)</f>
        <v>Please select ERROR CODE column "I"</v>
      </c>
      <c r="M1697" s="209"/>
      <c r="N1697" s="209"/>
      <c r="O1697" s="209"/>
      <c r="P1697" s="209"/>
      <c r="Q1697" s="209"/>
      <c r="R1697" s="217"/>
      <c r="S1697" s="217"/>
      <c r="T1697" s="217"/>
      <c r="U1697" s="199"/>
      <c r="V1697" s="200"/>
      <c r="W1697" s="200"/>
      <c r="X1697" s="200"/>
      <c r="Y1697" s="200"/>
      <c r="Z1697" s="200"/>
      <c r="AA1697" s="201"/>
      <c r="AB1697" s="200"/>
      <c r="AC1697" s="200"/>
    </row>
    <row r="1698" ht="15.75" customHeight="1">
      <c r="A1698" s="210">
        <f t="shared" si="1"/>
        <v>1696</v>
      </c>
      <c r="B1698" s="217"/>
      <c r="C1698" s="217" t="str">
        <f>IFERROR(VLOOKUP(B1698, SourceData!$U$3:$V$190, 2, FALSE), "")</f>
        <v/>
      </c>
      <c r="D1698" s="240"/>
      <c r="E1698" s="241"/>
      <c r="F1698" s="248"/>
      <c r="G1698" s="207"/>
      <c r="H1698" s="209"/>
      <c r="I1698" s="209"/>
      <c r="J1698" s="209"/>
      <c r="K1698" s="208" t="str">
        <f>IF(Errors!$I1698=0,SourceData!$B$42,VLOOKUP(Errors!$I1698,SourceData!$A$2:$B$40,2,FALSE))</f>
        <v>Please select ERROR CODE column "I"</v>
      </c>
      <c r="L1698" s="207" t="str">
        <f>IF(Errors!$I1698=0,
    'List of Error Codes'!$E$29,
    IFERROR(VLOOKUP(Errors!$I1698, 'List of Error Codes'!D1697:I1727, 6, FALSE), 'List of Error Codes'!$E$29)
)</f>
        <v>Please select ERROR CODE column "I"</v>
      </c>
      <c r="M1698" s="209"/>
      <c r="N1698" s="209"/>
      <c r="O1698" s="209"/>
      <c r="P1698" s="209"/>
      <c r="Q1698" s="209"/>
      <c r="R1698" s="217"/>
      <c r="S1698" s="217"/>
      <c r="T1698" s="217"/>
      <c r="U1698" s="199"/>
      <c r="V1698" s="200"/>
      <c r="W1698" s="200"/>
      <c r="X1698" s="200"/>
      <c r="Y1698" s="200"/>
      <c r="Z1698" s="200"/>
      <c r="AA1698" s="201"/>
      <c r="AB1698" s="200"/>
      <c r="AC1698" s="200"/>
    </row>
    <row r="1699" ht="15.75" customHeight="1">
      <c r="A1699" s="210">
        <f t="shared" si="1"/>
        <v>1697</v>
      </c>
      <c r="B1699" s="217"/>
      <c r="C1699" s="217" t="str">
        <f>IFERROR(VLOOKUP(B1699, SourceData!$U$3:$V$190, 2, FALSE), "")</f>
        <v/>
      </c>
      <c r="D1699" s="240"/>
      <c r="E1699" s="241"/>
      <c r="F1699" s="248"/>
      <c r="G1699" s="207"/>
      <c r="H1699" s="209"/>
      <c r="I1699" s="209"/>
      <c r="J1699" s="209"/>
      <c r="K1699" s="208" t="str">
        <f>IF(Errors!$I1699=0,SourceData!$B$42,VLOOKUP(Errors!$I1699,SourceData!$A$2:$B$40,2,FALSE))</f>
        <v>Please select ERROR CODE column "I"</v>
      </c>
      <c r="L1699" s="207" t="str">
        <f>IF(Errors!$I1699=0,
    'List of Error Codes'!$E$29,
    IFERROR(VLOOKUP(Errors!$I1699, 'List of Error Codes'!D1698:I1728, 6, FALSE), 'List of Error Codes'!$E$29)
)</f>
        <v>Please select ERROR CODE column "I"</v>
      </c>
      <c r="M1699" s="209"/>
      <c r="N1699" s="209"/>
      <c r="O1699" s="209"/>
      <c r="P1699" s="209"/>
      <c r="Q1699" s="209"/>
      <c r="R1699" s="217"/>
      <c r="S1699" s="217"/>
      <c r="T1699" s="217"/>
      <c r="U1699" s="199"/>
      <c r="V1699" s="200"/>
      <c r="W1699" s="200"/>
      <c r="X1699" s="200"/>
      <c r="Y1699" s="200"/>
      <c r="Z1699" s="200"/>
      <c r="AA1699" s="201"/>
      <c r="AB1699" s="200"/>
      <c r="AC1699" s="200"/>
    </row>
    <row r="1700" ht="15.75" customHeight="1">
      <c r="A1700" s="210">
        <f t="shared" si="1"/>
        <v>1698</v>
      </c>
      <c r="B1700" s="217"/>
      <c r="C1700" s="217" t="str">
        <f>IFERROR(VLOOKUP(B1700, SourceData!$U$3:$V$190, 2, FALSE), "")</f>
        <v/>
      </c>
      <c r="D1700" s="240"/>
      <c r="E1700" s="241"/>
      <c r="F1700" s="248"/>
      <c r="G1700" s="207"/>
      <c r="H1700" s="209"/>
      <c r="I1700" s="209"/>
      <c r="J1700" s="209"/>
      <c r="K1700" s="208" t="str">
        <f>IF(Errors!$I1700=0,SourceData!$B$42,VLOOKUP(Errors!$I1700,SourceData!$A$2:$B$40,2,FALSE))</f>
        <v>Please select ERROR CODE column "I"</v>
      </c>
      <c r="L1700" s="207" t="str">
        <f>IF(Errors!$I1700=0,
    'List of Error Codes'!$E$29,
    IFERROR(VLOOKUP(Errors!$I1700, 'List of Error Codes'!D1699:I1729, 6, FALSE), 'List of Error Codes'!$E$29)
)</f>
        <v>Please select ERROR CODE column "I"</v>
      </c>
      <c r="M1700" s="209"/>
      <c r="N1700" s="209"/>
      <c r="O1700" s="209"/>
      <c r="P1700" s="209"/>
      <c r="Q1700" s="209"/>
      <c r="R1700" s="217"/>
      <c r="S1700" s="217"/>
      <c r="T1700" s="217"/>
      <c r="U1700" s="199"/>
      <c r="V1700" s="200"/>
      <c r="W1700" s="200"/>
      <c r="X1700" s="200"/>
      <c r="Y1700" s="200"/>
      <c r="Z1700" s="200"/>
      <c r="AA1700" s="201"/>
      <c r="AB1700" s="200"/>
      <c r="AC1700" s="200"/>
    </row>
    <row r="1701" ht="15.75" customHeight="1">
      <c r="A1701" s="210">
        <f t="shared" si="1"/>
        <v>1699</v>
      </c>
      <c r="B1701" s="217"/>
      <c r="C1701" s="217" t="str">
        <f>IFERROR(VLOOKUP(B1701, SourceData!$U$3:$V$190, 2, FALSE), "")</f>
        <v/>
      </c>
      <c r="D1701" s="240"/>
      <c r="E1701" s="241"/>
      <c r="F1701" s="248"/>
      <c r="G1701" s="207"/>
      <c r="H1701" s="209"/>
      <c r="I1701" s="209"/>
      <c r="J1701" s="209"/>
      <c r="K1701" s="208" t="str">
        <f>IF(Errors!$I1701=0,SourceData!$B$42,VLOOKUP(Errors!$I1701,SourceData!$A$2:$B$40,2,FALSE))</f>
        <v>Please select ERROR CODE column "I"</v>
      </c>
      <c r="L1701" s="207" t="str">
        <f>IF(Errors!$I1701=0,
    'List of Error Codes'!$E$29,
    IFERROR(VLOOKUP(Errors!$I1701, 'List of Error Codes'!D1700:I1730, 6, FALSE), 'List of Error Codes'!$E$29)
)</f>
        <v>Please select ERROR CODE column "I"</v>
      </c>
      <c r="M1701" s="209"/>
      <c r="N1701" s="209"/>
      <c r="O1701" s="209"/>
      <c r="P1701" s="209"/>
      <c r="Q1701" s="209"/>
      <c r="R1701" s="217"/>
      <c r="S1701" s="217"/>
      <c r="T1701" s="217"/>
      <c r="U1701" s="199"/>
      <c r="V1701" s="200"/>
      <c r="W1701" s="200"/>
      <c r="X1701" s="200"/>
      <c r="Y1701" s="200"/>
      <c r="Z1701" s="200"/>
      <c r="AA1701" s="201"/>
      <c r="AB1701" s="200"/>
      <c r="AC1701" s="200"/>
    </row>
    <row r="1702" ht="15.75" customHeight="1">
      <c r="A1702" s="210">
        <f t="shared" si="1"/>
        <v>1700</v>
      </c>
      <c r="B1702" s="217"/>
      <c r="C1702" s="217" t="str">
        <f>IFERROR(VLOOKUP(B1702, SourceData!$U$3:$V$190, 2, FALSE), "")</f>
        <v/>
      </c>
      <c r="D1702" s="240"/>
      <c r="E1702" s="241"/>
      <c r="F1702" s="248"/>
      <c r="G1702" s="207"/>
      <c r="H1702" s="209"/>
      <c r="I1702" s="209"/>
      <c r="J1702" s="209"/>
      <c r="K1702" s="208" t="str">
        <f>IF(Errors!$I1702=0,SourceData!$B$42,VLOOKUP(Errors!$I1702,SourceData!$A$2:$B$40,2,FALSE))</f>
        <v>Please select ERROR CODE column "I"</v>
      </c>
      <c r="L1702" s="207" t="str">
        <f>IF(Errors!$I1702=0,
    'List of Error Codes'!$E$29,
    IFERROR(VLOOKUP(Errors!$I1702, 'List of Error Codes'!D1701:I1731, 6, FALSE), 'List of Error Codes'!$E$29)
)</f>
        <v>Please select ERROR CODE column "I"</v>
      </c>
      <c r="M1702" s="209"/>
      <c r="N1702" s="209"/>
      <c r="O1702" s="209"/>
      <c r="P1702" s="209"/>
      <c r="Q1702" s="209"/>
      <c r="R1702" s="217"/>
      <c r="S1702" s="217"/>
      <c r="T1702" s="217"/>
      <c r="U1702" s="199"/>
      <c r="V1702" s="200"/>
      <c r="W1702" s="200"/>
      <c r="X1702" s="200"/>
      <c r="Y1702" s="200"/>
      <c r="Z1702" s="200"/>
      <c r="AA1702" s="201"/>
      <c r="AB1702" s="200"/>
      <c r="AC1702" s="200"/>
    </row>
    <row r="1703" ht="15.75" customHeight="1">
      <c r="A1703" s="210">
        <f t="shared" si="1"/>
        <v>1701</v>
      </c>
      <c r="B1703" s="217"/>
      <c r="C1703" s="217" t="str">
        <f>IFERROR(VLOOKUP(B1703, SourceData!$U$3:$V$190, 2, FALSE), "")</f>
        <v/>
      </c>
      <c r="D1703" s="240"/>
      <c r="E1703" s="241"/>
      <c r="F1703" s="248"/>
      <c r="G1703" s="207"/>
      <c r="H1703" s="209"/>
      <c r="I1703" s="209"/>
      <c r="J1703" s="209"/>
      <c r="K1703" s="208" t="str">
        <f>IF(Errors!$I1703=0,SourceData!$B$42,VLOOKUP(Errors!$I1703,SourceData!$A$2:$B$40,2,FALSE))</f>
        <v>Please select ERROR CODE column "I"</v>
      </c>
      <c r="L1703" s="207" t="str">
        <f>IF(Errors!$I1703=0,
    'List of Error Codes'!$E$29,
    IFERROR(VLOOKUP(Errors!$I1703, 'List of Error Codes'!D1702:I1732, 6, FALSE), 'List of Error Codes'!$E$29)
)</f>
        <v>Please select ERROR CODE column "I"</v>
      </c>
      <c r="M1703" s="209"/>
      <c r="N1703" s="209"/>
      <c r="O1703" s="209"/>
      <c r="P1703" s="209"/>
      <c r="Q1703" s="209"/>
      <c r="R1703" s="217"/>
      <c r="S1703" s="217"/>
      <c r="T1703" s="217"/>
      <c r="U1703" s="199"/>
      <c r="V1703" s="200"/>
      <c r="W1703" s="200"/>
      <c r="X1703" s="200"/>
      <c r="Y1703" s="200"/>
      <c r="Z1703" s="200"/>
      <c r="AA1703" s="201"/>
      <c r="AB1703" s="200"/>
      <c r="AC1703" s="200"/>
    </row>
    <row r="1704" ht="15.75" customHeight="1">
      <c r="A1704" s="210">
        <f t="shared" si="1"/>
        <v>1702</v>
      </c>
      <c r="B1704" s="217"/>
      <c r="C1704" s="217" t="str">
        <f>IFERROR(VLOOKUP(B1704, SourceData!$U$3:$V$190, 2, FALSE), "")</f>
        <v/>
      </c>
      <c r="D1704" s="240"/>
      <c r="E1704" s="241"/>
      <c r="F1704" s="248"/>
      <c r="G1704" s="207"/>
      <c r="H1704" s="209"/>
      <c r="I1704" s="209"/>
      <c r="J1704" s="209"/>
      <c r="K1704" s="208" t="str">
        <f>IF(Errors!$I1704=0,SourceData!$B$42,VLOOKUP(Errors!$I1704,SourceData!$A$2:$B$40,2,FALSE))</f>
        <v>Please select ERROR CODE column "I"</v>
      </c>
      <c r="L1704" s="207" t="str">
        <f>IF(Errors!$I1704=0,
    'List of Error Codes'!$E$29,
    IFERROR(VLOOKUP(Errors!$I1704, 'List of Error Codes'!D1703:I1733, 6, FALSE), 'List of Error Codes'!$E$29)
)</f>
        <v>Please select ERROR CODE column "I"</v>
      </c>
      <c r="M1704" s="209"/>
      <c r="N1704" s="209"/>
      <c r="O1704" s="209"/>
      <c r="P1704" s="209"/>
      <c r="Q1704" s="209"/>
      <c r="R1704" s="217"/>
      <c r="S1704" s="217"/>
      <c r="T1704" s="217"/>
      <c r="U1704" s="199"/>
      <c r="V1704" s="200"/>
      <c r="W1704" s="200"/>
      <c r="X1704" s="200"/>
      <c r="Y1704" s="200"/>
      <c r="Z1704" s="200"/>
      <c r="AA1704" s="201"/>
      <c r="AB1704" s="200"/>
      <c r="AC1704" s="200"/>
    </row>
    <row r="1705" ht="15.75" customHeight="1">
      <c r="A1705" s="210">
        <f t="shared" si="1"/>
        <v>1703</v>
      </c>
      <c r="B1705" s="217"/>
      <c r="C1705" s="217" t="str">
        <f>IFERROR(VLOOKUP(B1705, SourceData!$U$3:$V$190, 2, FALSE), "")</f>
        <v/>
      </c>
      <c r="D1705" s="240"/>
      <c r="E1705" s="241"/>
      <c r="F1705" s="248"/>
      <c r="G1705" s="207"/>
      <c r="H1705" s="209"/>
      <c r="I1705" s="209"/>
      <c r="J1705" s="209"/>
      <c r="K1705" s="208" t="str">
        <f>IF(Errors!$I1705=0,SourceData!$B$42,VLOOKUP(Errors!$I1705,SourceData!$A$2:$B$40,2,FALSE))</f>
        <v>Please select ERROR CODE column "I"</v>
      </c>
      <c r="L1705" s="207" t="str">
        <f>IF(Errors!$I1705=0,
    'List of Error Codes'!$E$29,
    IFERROR(VLOOKUP(Errors!$I1705, 'List of Error Codes'!D1704:I1734, 6, FALSE), 'List of Error Codes'!$E$29)
)</f>
        <v>Please select ERROR CODE column "I"</v>
      </c>
      <c r="M1705" s="209"/>
      <c r="N1705" s="209"/>
      <c r="O1705" s="209"/>
      <c r="P1705" s="209"/>
      <c r="Q1705" s="209"/>
      <c r="R1705" s="217"/>
      <c r="S1705" s="217"/>
      <c r="T1705" s="217"/>
      <c r="U1705" s="199"/>
      <c r="V1705" s="200"/>
      <c r="W1705" s="200"/>
      <c r="X1705" s="200"/>
      <c r="Y1705" s="200"/>
      <c r="Z1705" s="200"/>
      <c r="AA1705" s="201"/>
      <c r="AB1705" s="200"/>
      <c r="AC1705" s="200"/>
    </row>
    <row r="1706" ht="15.75" customHeight="1">
      <c r="A1706" s="210">
        <f t="shared" si="1"/>
        <v>1704</v>
      </c>
      <c r="B1706" s="217"/>
      <c r="C1706" s="217" t="str">
        <f>IFERROR(VLOOKUP(B1706, SourceData!$U$3:$V$190, 2, FALSE), "")</f>
        <v/>
      </c>
      <c r="D1706" s="240"/>
      <c r="E1706" s="241"/>
      <c r="F1706" s="248"/>
      <c r="G1706" s="207"/>
      <c r="H1706" s="209"/>
      <c r="I1706" s="209"/>
      <c r="J1706" s="209"/>
      <c r="K1706" s="208" t="str">
        <f>IF(Errors!$I1706=0,SourceData!$B$42,VLOOKUP(Errors!$I1706,SourceData!$A$2:$B$40,2,FALSE))</f>
        <v>Please select ERROR CODE column "I"</v>
      </c>
      <c r="L1706" s="207" t="str">
        <f>IF(Errors!$I1706=0,
    'List of Error Codes'!$E$29,
    IFERROR(VLOOKUP(Errors!$I1706, 'List of Error Codes'!D1705:I1735, 6, FALSE), 'List of Error Codes'!$E$29)
)</f>
        <v>Please select ERROR CODE column "I"</v>
      </c>
      <c r="M1706" s="209"/>
      <c r="N1706" s="209"/>
      <c r="O1706" s="209"/>
      <c r="P1706" s="209"/>
      <c r="Q1706" s="209"/>
      <c r="R1706" s="217"/>
      <c r="S1706" s="217"/>
      <c r="T1706" s="217"/>
      <c r="U1706" s="199"/>
      <c r="V1706" s="200"/>
      <c r="W1706" s="200"/>
      <c r="X1706" s="200"/>
      <c r="Y1706" s="200"/>
      <c r="Z1706" s="200"/>
      <c r="AA1706" s="201"/>
      <c r="AB1706" s="200"/>
      <c r="AC1706" s="200"/>
    </row>
    <row r="1707" ht="15.75" customHeight="1">
      <c r="A1707" s="210">
        <f t="shared" si="1"/>
        <v>1705</v>
      </c>
      <c r="B1707" s="217"/>
      <c r="C1707" s="217" t="str">
        <f>IFERROR(VLOOKUP(B1707, SourceData!$U$3:$V$190, 2, FALSE), "")</f>
        <v/>
      </c>
      <c r="D1707" s="240"/>
      <c r="E1707" s="241"/>
      <c r="F1707" s="248"/>
      <c r="G1707" s="207"/>
      <c r="H1707" s="209"/>
      <c r="I1707" s="209"/>
      <c r="J1707" s="209"/>
      <c r="K1707" s="208" t="str">
        <f>IF(Errors!$I1707=0,SourceData!$B$42,VLOOKUP(Errors!$I1707,SourceData!$A$2:$B$40,2,FALSE))</f>
        <v>Please select ERROR CODE column "I"</v>
      </c>
      <c r="L1707" s="207" t="str">
        <f>IF(Errors!$I1707=0,
    'List of Error Codes'!$E$29,
    IFERROR(VLOOKUP(Errors!$I1707, 'List of Error Codes'!D1706:I1736, 6, FALSE), 'List of Error Codes'!$E$29)
)</f>
        <v>Please select ERROR CODE column "I"</v>
      </c>
      <c r="M1707" s="209"/>
      <c r="N1707" s="209"/>
      <c r="O1707" s="209"/>
      <c r="P1707" s="209"/>
      <c r="Q1707" s="209"/>
      <c r="R1707" s="217"/>
      <c r="S1707" s="217"/>
      <c r="T1707" s="217"/>
      <c r="U1707" s="199"/>
      <c r="V1707" s="200"/>
      <c r="W1707" s="200"/>
      <c r="X1707" s="200"/>
      <c r="Y1707" s="200"/>
      <c r="Z1707" s="200"/>
      <c r="AA1707" s="201"/>
      <c r="AB1707" s="200"/>
      <c r="AC1707" s="200"/>
    </row>
    <row r="1708" ht="15.75" customHeight="1">
      <c r="A1708" s="210">
        <f t="shared" si="1"/>
        <v>1706</v>
      </c>
      <c r="B1708" s="217"/>
      <c r="C1708" s="217" t="str">
        <f>IFERROR(VLOOKUP(B1708, SourceData!$U$3:$V$190, 2, FALSE), "")</f>
        <v/>
      </c>
      <c r="D1708" s="240"/>
      <c r="E1708" s="241"/>
      <c r="F1708" s="248"/>
      <c r="G1708" s="207"/>
      <c r="H1708" s="209"/>
      <c r="I1708" s="209"/>
      <c r="J1708" s="209"/>
      <c r="K1708" s="208" t="str">
        <f>IF(Errors!$I1708=0,SourceData!$B$42,VLOOKUP(Errors!$I1708,SourceData!$A$2:$B$40,2,FALSE))</f>
        <v>Please select ERROR CODE column "I"</v>
      </c>
      <c r="L1708" s="207" t="str">
        <f>IF(Errors!$I1708=0,
    'List of Error Codes'!$E$29,
    IFERROR(VLOOKUP(Errors!$I1708, 'List of Error Codes'!D1707:I1737, 6, FALSE), 'List of Error Codes'!$E$29)
)</f>
        <v>Please select ERROR CODE column "I"</v>
      </c>
      <c r="M1708" s="209"/>
      <c r="N1708" s="209"/>
      <c r="O1708" s="209"/>
      <c r="P1708" s="209"/>
      <c r="Q1708" s="209"/>
      <c r="R1708" s="217"/>
      <c r="S1708" s="217"/>
      <c r="T1708" s="217"/>
      <c r="U1708" s="199"/>
      <c r="V1708" s="200"/>
      <c r="W1708" s="200"/>
      <c r="X1708" s="200"/>
      <c r="Y1708" s="200"/>
      <c r="Z1708" s="200"/>
      <c r="AA1708" s="201"/>
      <c r="AB1708" s="200"/>
      <c r="AC1708" s="200"/>
    </row>
    <row r="1709" ht="15.75" customHeight="1">
      <c r="A1709" s="210">
        <f t="shared" si="1"/>
        <v>1707</v>
      </c>
      <c r="B1709" s="217"/>
      <c r="C1709" s="217" t="str">
        <f>IFERROR(VLOOKUP(B1709, SourceData!$U$3:$V$190, 2, FALSE), "")</f>
        <v/>
      </c>
      <c r="D1709" s="240"/>
      <c r="E1709" s="241"/>
      <c r="F1709" s="248"/>
      <c r="G1709" s="207"/>
      <c r="H1709" s="209"/>
      <c r="I1709" s="209"/>
      <c r="J1709" s="209"/>
      <c r="K1709" s="208" t="str">
        <f>IF(Errors!$I1709=0,SourceData!$B$42,VLOOKUP(Errors!$I1709,SourceData!$A$2:$B$40,2,FALSE))</f>
        <v>Please select ERROR CODE column "I"</v>
      </c>
      <c r="L1709" s="207" t="str">
        <f>IF(Errors!$I1709=0,
    'List of Error Codes'!$E$29,
    IFERROR(VLOOKUP(Errors!$I1709, 'List of Error Codes'!D1708:I1738, 6, FALSE), 'List of Error Codes'!$E$29)
)</f>
        <v>Please select ERROR CODE column "I"</v>
      </c>
      <c r="M1709" s="209"/>
      <c r="N1709" s="209"/>
      <c r="O1709" s="209"/>
      <c r="P1709" s="209"/>
      <c r="Q1709" s="209"/>
      <c r="R1709" s="217"/>
      <c r="S1709" s="217"/>
      <c r="T1709" s="217"/>
      <c r="U1709" s="199"/>
      <c r="V1709" s="200"/>
      <c r="W1709" s="200"/>
      <c r="X1709" s="200"/>
      <c r="Y1709" s="200"/>
      <c r="Z1709" s="200"/>
      <c r="AA1709" s="201"/>
      <c r="AB1709" s="200"/>
      <c r="AC1709" s="200"/>
    </row>
    <row r="1710" ht="15.75" customHeight="1">
      <c r="A1710" s="210">
        <f t="shared" si="1"/>
        <v>1708</v>
      </c>
      <c r="B1710" s="217"/>
      <c r="C1710" s="217" t="str">
        <f>IFERROR(VLOOKUP(B1710, SourceData!$U$3:$V$190, 2, FALSE), "")</f>
        <v/>
      </c>
      <c r="D1710" s="240"/>
      <c r="E1710" s="241"/>
      <c r="F1710" s="248"/>
      <c r="G1710" s="207"/>
      <c r="H1710" s="209"/>
      <c r="I1710" s="209"/>
      <c r="J1710" s="209"/>
      <c r="K1710" s="208" t="str">
        <f>IF(Errors!$I1710=0,SourceData!$B$42,VLOOKUP(Errors!$I1710,SourceData!$A$2:$B$40,2,FALSE))</f>
        <v>Please select ERROR CODE column "I"</v>
      </c>
      <c r="L1710" s="207" t="str">
        <f>IF(Errors!$I1710=0,
    'List of Error Codes'!$E$29,
    IFERROR(VLOOKUP(Errors!$I1710, 'List of Error Codes'!D1709:I1739, 6, FALSE), 'List of Error Codes'!$E$29)
)</f>
        <v>Please select ERROR CODE column "I"</v>
      </c>
      <c r="M1710" s="209"/>
      <c r="N1710" s="209"/>
      <c r="O1710" s="209"/>
      <c r="P1710" s="209"/>
      <c r="Q1710" s="209"/>
      <c r="R1710" s="217"/>
      <c r="S1710" s="217"/>
      <c r="T1710" s="217"/>
      <c r="U1710" s="199"/>
      <c r="V1710" s="200"/>
      <c r="W1710" s="200"/>
      <c r="X1710" s="200"/>
      <c r="Y1710" s="200"/>
      <c r="Z1710" s="200"/>
      <c r="AA1710" s="201"/>
      <c r="AB1710" s="200"/>
      <c r="AC1710" s="200"/>
    </row>
    <row r="1711" ht="15.75" customHeight="1">
      <c r="A1711" s="210">
        <f t="shared" si="1"/>
        <v>1709</v>
      </c>
      <c r="B1711" s="217"/>
      <c r="C1711" s="217" t="str">
        <f>IFERROR(VLOOKUP(B1711, SourceData!$U$3:$V$190, 2, FALSE), "")</f>
        <v/>
      </c>
      <c r="D1711" s="240"/>
      <c r="E1711" s="241"/>
      <c r="F1711" s="248"/>
      <c r="G1711" s="207"/>
      <c r="H1711" s="209"/>
      <c r="I1711" s="209"/>
      <c r="J1711" s="209"/>
      <c r="K1711" s="208" t="str">
        <f>IF(Errors!$I1711=0,SourceData!$B$42,VLOOKUP(Errors!$I1711,SourceData!$A$2:$B$40,2,FALSE))</f>
        <v>Please select ERROR CODE column "I"</v>
      </c>
      <c r="L1711" s="207" t="str">
        <f>IF(Errors!$I1711=0,
    'List of Error Codes'!$E$29,
    IFERROR(VLOOKUP(Errors!$I1711, 'List of Error Codes'!D1710:I1740, 6, FALSE), 'List of Error Codes'!$E$29)
)</f>
        <v>Please select ERROR CODE column "I"</v>
      </c>
      <c r="M1711" s="209"/>
      <c r="N1711" s="209"/>
      <c r="O1711" s="209"/>
      <c r="P1711" s="209"/>
      <c r="Q1711" s="209"/>
      <c r="R1711" s="217"/>
      <c r="S1711" s="217"/>
      <c r="T1711" s="217"/>
      <c r="U1711" s="199"/>
      <c r="V1711" s="200"/>
      <c r="W1711" s="200"/>
      <c r="X1711" s="200"/>
      <c r="Y1711" s="200"/>
      <c r="Z1711" s="200"/>
      <c r="AA1711" s="201"/>
      <c r="AB1711" s="200"/>
      <c r="AC1711" s="200"/>
    </row>
    <row r="1712" ht="15.75" customHeight="1">
      <c r="A1712" s="210">
        <f t="shared" si="1"/>
        <v>1710</v>
      </c>
      <c r="B1712" s="217"/>
      <c r="C1712" s="217" t="str">
        <f>IFERROR(VLOOKUP(B1712, SourceData!$U$3:$V$190, 2, FALSE), "")</f>
        <v/>
      </c>
      <c r="D1712" s="240"/>
      <c r="E1712" s="241"/>
      <c r="F1712" s="248"/>
      <c r="G1712" s="207"/>
      <c r="H1712" s="209"/>
      <c r="I1712" s="209"/>
      <c r="J1712" s="209"/>
      <c r="K1712" s="208" t="str">
        <f>IF(Errors!$I1712=0,SourceData!$B$42,VLOOKUP(Errors!$I1712,SourceData!$A$2:$B$40,2,FALSE))</f>
        <v>Please select ERROR CODE column "I"</v>
      </c>
      <c r="L1712" s="207" t="str">
        <f>IF(Errors!$I1712=0,
    'List of Error Codes'!$E$29,
    IFERROR(VLOOKUP(Errors!$I1712, 'List of Error Codes'!D1711:I1741, 6, FALSE), 'List of Error Codes'!$E$29)
)</f>
        <v>Please select ERROR CODE column "I"</v>
      </c>
      <c r="M1712" s="209"/>
      <c r="N1712" s="209"/>
      <c r="O1712" s="209"/>
      <c r="P1712" s="209"/>
      <c r="Q1712" s="209"/>
      <c r="R1712" s="217"/>
      <c r="S1712" s="217"/>
      <c r="T1712" s="217"/>
      <c r="U1712" s="199"/>
      <c r="V1712" s="200"/>
      <c r="W1712" s="200"/>
      <c r="X1712" s="200"/>
      <c r="Y1712" s="200"/>
      <c r="Z1712" s="200"/>
      <c r="AA1712" s="201"/>
      <c r="AB1712" s="200"/>
      <c r="AC1712" s="200"/>
    </row>
    <row r="1713" ht="15.75" customHeight="1">
      <c r="A1713" s="210">
        <f t="shared" si="1"/>
        <v>1711</v>
      </c>
      <c r="B1713" s="217"/>
      <c r="C1713" s="217" t="str">
        <f>IFERROR(VLOOKUP(B1713, SourceData!$U$3:$V$190, 2, FALSE), "")</f>
        <v/>
      </c>
      <c r="D1713" s="240"/>
      <c r="E1713" s="241"/>
      <c r="F1713" s="248"/>
      <c r="G1713" s="207"/>
      <c r="H1713" s="209"/>
      <c r="I1713" s="209"/>
      <c r="J1713" s="209"/>
      <c r="K1713" s="208" t="str">
        <f>IF(Errors!$I1713=0,SourceData!$B$42,VLOOKUP(Errors!$I1713,SourceData!$A$2:$B$40,2,FALSE))</f>
        <v>Please select ERROR CODE column "I"</v>
      </c>
      <c r="L1713" s="207" t="str">
        <f>IF(Errors!$I1713=0,
    'List of Error Codes'!$E$29,
    IFERROR(VLOOKUP(Errors!$I1713, 'List of Error Codes'!D1712:I1742, 6, FALSE), 'List of Error Codes'!$E$29)
)</f>
        <v>Please select ERROR CODE column "I"</v>
      </c>
      <c r="M1713" s="209"/>
      <c r="N1713" s="209"/>
      <c r="O1713" s="209"/>
      <c r="P1713" s="209"/>
      <c r="Q1713" s="209"/>
      <c r="R1713" s="217"/>
      <c r="S1713" s="217"/>
      <c r="T1713" s="217"/>
      <c r="U1713" s="199"/>
      <c r="V1713" s="200"/>
      <c r="W1713" s="200"/>
      <c r="X1713" s="200"/>
      <c r="Y1713" s="200"/>
      <c r="Z1713" s="200"/>
      <c r="AA1713" s="201"/>
      <c r="AB1713" s="200"/>
      <c r="AC1713" s="200"/>
    </row>
    <row r="1714" ht="15.75" customHeight="1">
      <c r="A1714" s="210">
        <f t="shared" si="1"/>
        <v>1712</v>
      </c>
      <c r="B1714" s="217"/>
      <c r="C1714" s="217" t="str">
        <f>IFERROR(VLOOKUP(B1714, SourceData!$U$3:$V$190, 2, FALSE), "")</f>
        <v/>
      </c>
      <c r="D1714" s="240"/>
      <c r="E1714" s="241"/>
      <c r="F1714" s="248"/>
      <c r="G1714" s="207"/>
      <c r="H1714" s="209"/>
      <c r="I1714" s="209"/>
      <c r="J1714" s="209"/>
      <c r="K1714" s="208" t="str">
        <f>IF(Errors!$I1714=0,SourceData!$B$42,VLOOKUP(Errors!$I1714,SourceData!$A$2:$B$40,2,FALSE))</f>
        <v>Please select ERROR CODE column "I"</v>
      </c>
      <c r="L1714" s="207" t="str">
        <f>IF(Errors!$I1714=0,
    'List of Error Codes'!$E$29,
    IFERROR(VLOOKUP(Errors!$I1714, 'List of Error Codes'!D1713:I1743, 6, FALSE), 'List of Error Codes'!$E$29)
)</f>
        <v>Please select ERROR CODE column "I"</v>
      </c>
      <c r="M1714" s="209"/>
      <c r="N1714" s="209"/>
      <c r="O1714" s="209"/>
      <c r="P1714" s="209"/>
      <c r="Q1714" s="209"/>
      <c r="R1714" s="217"/>
      <c r="S1714" s="217"/>
      <c r="T1714" s="217"/>
      <c r="U1714" s="199"/>
      <c r="V1714" s="200"/>
      <c r="W1714" s="200"/>
      <c r="X1714" s="200"/>
      <c r="Y1714" s="200"/>
      <c r="Z1714" s="200"/>
      <c r="AA1714" s="201"/>
      <c r="AB1714" s="200"/>
      <c r="AC1714" s="200"/>
    </row>
    <row r="1715" ht="15.75" customHeight="1">
      <c r="A1715" s="210">
        <f t="shared" si="1"/>
        <v>1713</v>
      </c>
      <c r="B1715" s="217"/>
      <c r="C1715" s="217" t="str">
        <f>IFERROR(VLOOKUP(B1715, SourceData!$U$3:$V$190, 2, FALSE), "")</f>
        <v/>
      </c>
      <c r="D1715" s="240"/>
      <c r="E1715" s="241"/>
      <c r="F1715" s="248"/>
      <c r="G1715" s="207"/>
      <c r="H1715" s="209"/>
      <c r="I1715" s="209"/>
      <c r="J1715" s="209"/>
      <c r="K1715" s="208" t="str">
        <f>IF(Errors!$I1715=0,SourceData!$B$42,VLOOKUP(Errors!$I1715,SourceData!$A$2:$B$40,2,FALSE))</f>
        <v>Please select ERROR CODE column "I"</v>
      </c>
      <c r="L1715" s="207" t="str">
        <f>IF(Errors!$I1715=0,
    'List of Error Codes'!$E$29,
    IFERROR(VLOOKUP(Errors!$I1715, 'List of Error Codes'!D1714:I1744, 6, FALSE), 'List of Error Codes'!$E$29)
)</f>
        <v>Please select ERROR CODE column "I"</v>
      </c>
      <c r="M1715" s="209"/>
      <c r="N1715" s="209"/>
      <c r="O1715" s="209"/>
      <c r="P1715" s="209"/>
      <c r="Q1715" s="209"/>
      <c r="R1715" s="217"/>
      <c r="S1715" s="217"/>
      <c r="T1715" s="217"/>
      <c r="U1715" s="199"/>
      <c r="V1715" s="200"/>
      <c r="W1715" s="200"/>
      <c r="X1715" s="200"/>
      <c r="Y1715" s="200"/>
      <c r="Z1715" s="200"/>
      <c r="AA1715" s="201"/>
      <c r="AB1715" s="200"/>
      <c r="AC1715" s="200"/>
    </row>
    <row r="1716" ht="15.75" customHeight="1">
      <c r="A1716" s="210">
        <f t="shared" si="1"/>
        <v>1714</v>
      </c>
      <c r="B1716" s="217"/>
      <c r="C1716" s="217" t="str">
        <f>IFERROR(VLOOKUP(B1716, SourceData!$U$3:$V$190, 2, FALSE), "")</f>
        <v/>
      </c>
      <c r="D1716" s="240"/>
      <c r="E1716" s="241"/>
      <c r="F1716" s="248"/>
      <c r="G1716" s="207"/>
      <c r="H1716" s="209"/>
      <c r="I1716" s="209"/>
      <c r="J1716" s="209"/>
      <c r="K1716" s="208" t="str">
        <f>IF(Errors!$I1716=0,SourceData!$B$42,VLOOKUP(Errors!$I1716,SourceData!$A$2:$B$40,2,FALSE))</f>
        <v>Please select ERROR CODE column "I"</v>
      </c>
      <c r="L1716" s="207" t="str">
        <f>IF(Errors!$I1716=0,
    'List of Error Codes'!$E$29,
    IFERROR(VLOOKUP(Errors!$I1716, 'List of Error Codes'!D1715:I1745, 6, FALSE), 'List of Error Codes'!$E$29)
)</f>
        <v>Please select ERROR CODE column "I"</v>
      </c>
      <c r="M1716" s="209"/>
      <c r="N1716" s="209"/>
      <c r="O1716" s="209"/>
      <c r="P1716" s="209"/>
      <c r="Q1716" s="209"/>
      <c r="R1716" s="217"/>
      <c r="S1716" s="217"/>
      <c r="T1716" s="217"/>
      <c r="U1716" s="199"/>
      <c r="V1716" s="200"/>
      <c r="W1716" s="200"/>
      <c r="X1716" s="200"/>
      <c r="Y1716" s="200"/>
      <c r="Z1716" s="200"/>
      <c r="AA1716" s="201"/>
      <c r="AB1716" s="200"/>
      <c r="AC1716" s="200"/>
    </row>
    <row r="1717" ht="15.75" customHeight="1">
      <c r="A1717" s="210">
        <f t="shared" si="1"/>
        <v>1715</v>
      </c>
      <c r="B1717" s="217"/>
      <c r="C1717" s="217" t="str">
        <f>IFERROR(VLOOKUP(B1717, SourceData!$U$3:$V$190, 2, FALSE), "")</f>
        <v/>
      </c>
      <c r="D1717" s="240"/>
      <c r="E1717" s="241"/>
      <c r="F1717" s="248"/>
      <c r="G1717" s="207"/>
      <c r="H1717" s="209"/>
      <c r="I1717" s="209"/>
      <c r="J1717" s="209"/>
      <c r="K1717" s="208" t="str">
        <f>IF(Errors!$I1717=0,SourceData!$B$42,VLOOKUP(Errors!$I1717,SourceData!$A$2:$B$40,2,FALSE))</f>
        <v>Please select ERROR CODE column "I"</v>
      </c>
      <c r="L1717" s="207" t="str">
        <f>IF(Errors!$I1717=0,
    'List of Error Codes'!$E$29,
    IFERROR(VLOOKUP(Errors!$I1717, 'List of Error Codes'!D1716:I1746, 6, FALSE), 'List of Error Codes'!$E$29)
)</f>
        <v>Please select ERROR CODE column "I"</v>
      </c>
      <c r="M1717" s="209"/>
      <c r="N1717" s="209"/>
      <c r="O1717" s="209"/>
      <c r="P1717" s="209"/>
      <c r="Q1717" s="209"/>
      <c r="R1717" s="217"/>
      <c r="S1717" s="217"/>
      <c r="T1717" s="217"/>
      <c r="U1717" s="199"/>
      <c r="V1717" s="200"/>
      <c r="W1717" s="200"/>
      <c r="X1717" s="200"/>
      <c r="Y1717" s="200"/>
      <c r="Z1717" s="200"/>
      <c r="AA1717" s="201"/>
      <c r="AB1717" s="200"/>
      <c r="AC1717" s="200"/>
    </row>
    <row r="1718" ht="15.75" customHeight="1">
      <c r="A1718" s="210">
        <f t="shared" si="1"/>
        <v>1716</v>
      </c>
      <c r="B1718" s="217"/>
      <c r="C1718" s="217" t="str">
        <f>IFERROR(VLOOKUP(B1718, SourceData!$U$3:$V$190, 2, FALSE), "")</f>
        <v/>
      </c>
      <c r="D1718" s="240"/>
      <c r="E1718" s="241"/>
      <c r="F1718" s="248"/>
      <c r="G1718" s="207"/>
      <c r="H1718" s="209"/>
      <c r="I1718" s="209"/>
      <c r="J1718" s="209"/>
      <c r="K1718" s="208" t="str">
        <f>IF(Errors!$I1718=0,SourceData!$B$42,VLOOKUP(Errors!$I1718,SourceData!$A$2:$B$40,2,FALSE))</f>
        <v>Please select ERROR CODE column "I"</v>
      </c>
      <c r="L1718" s="207" t="str">
        <f>IF(Errors!$I1718=0,
    'List of Error Codes'!$E$29,
    IFERROR(VLOOKUP(Errors!$I1718, 'List of Error Codes'!D1717:I1747, 6, FALSE), 'List of Error Codes'!$E$29)
)</f>
        <v>Please select ERROR CODE column "I"</v>
      </c>
      <c r="M1718" s="209"/>
      <c r="N1718" s="209"/>
      <c r="O1718" s="209"/>
      <c r="P1718" s="209"/>
      <c r="Q1718" s="209"/>
      <c r="R1718" s="217"/>
      <c r="S1718" s="217"/>
      <c r="T1718" s="217"/>
      <c r="U1718" s="199"/>
      <c r="V1718" s="200"/>
      <c r="W1718" s="200"/>
      <c r="X1718" s="200"/>
      <c r="Y1718" s="200"/>
      <c r="Z1718" s="200"/>
      <c r="AA1718" s="201"/>
      <c r="AB1718" s="200"/>
      <c r="AC1718" s="200"/>
    </row>
    <row r="1719" ht="15.75" customHeight="1">
      <c r="A1719" s="210">
        <f t="shared" si="1"/>
        <v>1717</v>
      </c>
      <c r="B1719" s="217"/>
      <c r="C1719" s="217" t="str">
        <f>IFERROR(VLOOKUP(B1719, SourceData!$U$3:$V$190, 2, FALSE), "")</f>
        <v/>
      </c>
      <c r="D1719" s="240"/>
      <c r="E1719" s="241"/>
      <c r="F1719" s="248"/>
      <c r="G1719" s="207"/>
      <c r="H1719" s="209"/>
      <c r="I1719" s="209"/>
      <c r="J1719" s="209"/>
      <c r="K1719" s="208" t="str">
        <f>IF(Errors!$I1719=0,SourceData!$B$42,VLOOKUP(Errors!$I1719,SourceData!$A$2:$B$40,2,FALSE))</f>
        <v>Please select ERROR CODE column "I"</v>
      </c>
      <c r="L1719" s="207" t="str">
        <f>IF(Errors!$I1719=0,
    'List of Error Codes'!$E$29,
    IFERROR(VLOOKUP(Errors!$I1719, 'List of Error Codes'!D1718:I1748, 6, FALSE), 'List of Error Codes'!$E$29)
)</f>
        <v>Please select ERROR CODE column "I"</v>
      </c>
      <c r="M1719" s="209"/>
      <c r="N1719" s="209"/>
      <c r="O1719" s="209"/>
      <c r="P1719" s="209"/>
      <c r="Q1719" s="209"/>
      <c r="R1719" s="217"/>
      <c r="S1719" s="217"/>
      <c r="T1719" s="217"/>
      <c r="U1719" s="199"/>
      <c r="V1719" s="200"/>
      <c r="W1719" s="200"/>
      <c r="X1719" s="200"/>
      <c r="Y1719" s="200"/>
      <c r="Z1719" s="200"/>
      <c r="AA1719" s="201"/>
      <c r="AB1719" s="200"/>
      <c r="AC1719" s="200"/>
    </row>
    <row r="1720" ht="15.75" customHeight="1">
      <c r="A1720" s="210">
        <f t="shared" si="1"/>
        <v>1718</v>
      </c>
      <c r="B1720" s="217"/>
      <c r="C1720" s="217" t="str">
        <f>IFERROR(VLOOKUP(B1720, SourceData!$U$3:$V$190, 2, FALSE), "")</f>
        <v/>
      </c>
      <c r="D1720" s="240"/>
      <c r="E1720" s="241"/>
      <c r="F1720" s="248"/>
      <c r="G1720" s="207"/>
      <c r="H1720" s="209"/>
      <c r="I1720" s="209"/>
      <c r="J1720" s="209"/>
      <c r="K1720" s="208" t="str">
        <f>IF(Errors!$I1720=0,SourceData!$B$42,VLOOKUP(Errors!$I1720,SourceData!$A$2:$B$40,2,FALSE))</f>
        <v>Please select ERROR CODE column "I"</v>
      </c>
      <c r="L1720" s="207" t="str">
        <f>IF(Errors!$I1720=0,
    'List of Error Codes'!$E$29,
    IFERROR(VLOOKUP(Errors!$I1720, 'List of Error Codes'!D1719:I1749, 6, FALSE), 'List of Error Codes'!$E$29)
)</f>
        <v>Please select ERROR CODE column "I"</v>
      </c>
      <c r="M1720" s="209"/>
      <c r="N1720" s="209"/>
      <c r="O1720" s="209"/>
      <c r="P1720" s="209"/>
      <c r="Q1720" s="209"/>
      <c r="R1720" s="217"/>
      <c r="S1720" s="217"/>
      <c r="T1720" s="217"/>
      <c r="U1720" s="199"/>
      <c r="V1720" s="200"/>
      <c r="W1720" s="200"/>
      <c r="X1720" s="200"/>
      <c r="Y1720" s="200"/>
      <c r="Z1720" s="200"/>
      <c r="AA1720" s="201"/>
      <c r="AB1720" s="200"/>
      <c r="AC1720" s="200"/>
    </row>
    <row r="1721" ht="15.75" customHeight="1">
      <c r="A1721" s="210">
        <f t="shared" si="1"/>
        <v>1719</v>
      </c>
      <c r="B1721" s="217"/>
      <c r="C1721" s="217" t="str">
        <f>IFERROR(VLOOKUP(B1721, SourceData!$U$3:$V$190, 2, FALSE), "")</f>
        <v/>
      </c>
      <c r="D1721" s="240"/>
      <c r="E1721" s="241"/>
      <c r="F1721" s="248"/>
      <c r="G1721" s="207"/>
      <c r="H1721" s="209"/>
      <c r="I1721" s="209"/>
      <c r="J1721" s="209"/>
      <c r="K1721" s="208" t="str">
        <f>IF(Errors!$I1721=0,SourceData!$B$42,VLOOKUP(Errors!$I1721,SourceData!$A$2:$B$40,2,FALSE))</f>
        <v>Please select ERROR CODE column "I"</v>
      </c>
      <c r="L1721" s="207" t="str">
        <f>IF(Errors!$I1721=0,
    'List of Error Codes'!$E$29,
    IFERROR(VLOOKUP(Errors!$I1721, 'List of Error Codes'!D1720:I1750, 6, FALSE), 'List of Error Codes'!$E$29)
)</f>
        <v>Please select ERROR CODE column "I"</v>
      </c>
      <c r="M1721" s="209"/>
      <c r="N1721" s="209"/>
      <c r="O1721" s="209"/>
      <c r="P1721" s="209"/>
      <c r="Q1721" s="209"/>
      <c r="R1721" s="217"/>
      <c r="S1721" s="217"/>
      <c r="T1721" s="217"/>
      <c r="U1721" s="199"/>
      <c r="V1721" s="200"/>
      <c r="W1721" s="200"/>
      <c r="X1721" s="200"/>
      <c r="Y1721" s="200"/>
      <c r="Z1721" s="200"/>
      <c r="AA1721" s="201"/>
      <c r="AB1721" s="200"/>
      <c r="AC1721" s="200"/>
    </row>
    <row r="1722" ht="15.75" customHeight="1">
      <c r="A1722" s="210">
        <f t="shared" si="1"/>
        <v>1720</v>
      </c>
      <c r="B1722" s="217"/>
      <c r="C1722" s="217" t="str">
        <f>IFERROR(VLOOKUP(B1722, SourceData!$U$3:$V$190, 2, FALSE), "")</f>
        <v/>
      </c>
      <c r="D1722" s="240"/>
      <c r="E1722" s="241"/>
      <c r="F1722" s="248"/>
      <c r="G1722" s="207"/>
      <c r="H1722" s="209"/>
      <c r="I1722" s="209"/>
      <c r="J1722" s="209"/>
      <c r="K1722" s="208" t="str">
        <f>IF(Errors!$I1722=0,SourceData!$B$42,VLOOKUP(Errors!$I1722,SourceData!$A$2:$B$40,2,FALSE))</f>
        <v>Please select ERROR CODE column "I"</v>
      </c>
      <c r="L1722" s="207" t="str">
        <f>IF(Errors!$I1722=0,
    'List of Error Codes'!$E$29,
    IFERROR(VLOOKUP(Errors!$I1722, 'List of Error Codes'!D1721:I1751, 6, FALSE), 'List of Error Codes'!$E$29)
)</f>
        <v>Please select ERROR CODE column "I"</v>
      </c>
      <c r="M1722" s="209"/>
      <c r="N1722" s="209"/>
      <c r="O1722" s="209"/>
      <c r="P1722" s="209"/>
      <c r="Q1722" s="209"/>
      <c r="R1722" s="217"/>
      <c r="S1722" s="217"/>
      <c r="T1722" s="217"/>
      <c r="U1722" s="199"/>
      <c r="V1722" s="200"/>
      <c r="W1722" s="200"/>
      <c r="X1722" s="200"/>
      <c r="Y1722" s="200"/>
      <c r="Z1722" s="200"/>
      <c r="AA1722" s="201"/>
      <c r="AB1722" s="200"/>
      <c r="AC1722" s="200"/>
    </row>
    <row r="1723" ht="15.75" customHeight="1">
      <c r="A1723" s="210">
        <f t="shared" si="1"/>
        <v>1721</v>
      </c>
      <c r="B1723" s="217"/>
      <c r="C1723" s="217" t="str">
        <f>IFERROR(VLOOKUP(B1723, SourceData!$U$3:$V$190, 2, FALSE), "")</f>
        <v/>
      </c>
      <c r="D1723" s="240"/>
      <c r="E1723" s="241"/>
      <c r="F1723" s="248"/>
      <c r="G1723" s="207"/>
      <c r="H1723" s="209"/>
      <c r="I1723" s="209"/>
      <c r="J1723" s="209"/>
      <c r="K1723" s="208" t="str">
        <f>IF(Errors!$I1723=0,SourceData!$B$42,VLOOKUP(Errors!$I1723,SourceData!$A$2:$B$40,2,FALSE))</f>
        <v>Please select ERROR CODE column "I"</v>
      </c>
      <c r="L1723" s="207" t="str">
        <f>IF(Errors!$I1723=0,
    'List of Error Codes'!$E$29,
    IFERROR(VLOOKUP(Errors!$I1723, 'List of Error Codes'!D1722:I1752, 6, FALSE), 'List of Error Codes'!$E$29)
)</f>
        <v>Please select ERROR CODE column "I"</v>
      </c>
      <c r="M1723" s="209"/>
      <c r="N1723" s="209"/>
      <c r="O1723" s="209"/>
      <c r="P1723" s="209"/>
      <c r="Q1723" s="209"/>
      <c r="R1723" s="217"/>
      <c r="S1723" s="217"/>
      <c r="T1723" s="217"/>
      <c r="U1723" s="199"/>
      <c r="V1723" s="200"/>
      <c r="W1723" s="200"/>
      <c r="X1723" s="200"/>
      <c r="Y1723" s="200"/>
      <c r="Z1723" s="200"/>
      <c r="AA1723" s="201"/>
      <c r="AB1723" s="200"/>
      <c r="AC1723" s="200"/>
    </row>
    <row r="1724" ht="15.75" customHeight="1">
      <c r="A1724" s="210">
        <f t="shared" si="1"/>
        <v>1722</v>
      </c>
      <c r="B1724" s="217"/>
      <c r="C1724" s="217" t="str">
        <f>IFERROR(VLOOKUP(B1724, SourceData!$U$3:$V$190, 2, FALSE), "")</f>
        <v/>
      </c>
      <c r="D1724" s="240"/>
      <c r="E1724" s="241"/>
      <c r="F1724" s="248"/>
      <c r="G1724" s="207"/>
      <c r="H1724" s="209"/>
      <c r="I1724" s="209"/>
      <c r="J1724" s="209"/>
      <c r="K1724" s="208" t="str">
        <f>IF(Errors!$I1724=0,SourceData!$B$42,VLOOKUP(Errors!$I1724,SourceData!$A$2:$B$40,2,FALSE))</f>
        <v>Please select ERROR CODE column "I"</v>
      </c>
      <c r="L1724" s="207" t="str">
        <f>IF(Errors!$I1724=0,
    'List of Error Codes'!$E$29,
    IFERROR(VLOOKUP(Errors!$I1724, 'List of Error Codes'!D1723:I1753, 6, FALSE), 'List of Error Codes'!$E$29)
)</f>
        <v>Please select ERROR CODE column "I"</v>
      </c>
      <c r="M1724" s="209"/>
      <c r="N1724" s="209"/>
      <c r="O1724" s="209"/>
      <c r="P1724" s="209"/>
      <c r="Q1724" s="209"/>
      <c r="R1724" s="217"/>
      <c r="S1724" s="217"/>
      <c r="T1724" s="217"/>
      <c r="U1724" s="199"/>
      <c r="V1724" s="200"/>
      <c r="W1724" s="200"/>
      <c r="X1724" s="200"/>
      <c r="Y1724" s="200"/>
      <c r="Z1724" s="200"/>
      <c r="AA1724" s="201"/>
      <c r="AB1724" s="200"/>
      <c r="AC1724" s="200"/>
    </row>
    <row r="1725" ht="15.75" customHeight="1">
      <c r="A1725" s="210">
        <f t="shared" si="1"/>
        <v>1723</v>
      </c>
      <c r="B1725" s="217"/>
      <c r="C1725" s="217" t="str">
        <f>IFERROR(VLOOKUP(B1725, SourceData!$U$3:$V$190, 2, FALSE), "")</f>
        <v/>
      </c>
      <c r="D1725" s="240"/>
      <c r="E1725" s="241"/>
      <c r="F1725" s="248"/>
      <c r="G1725" s="207"/>
      <c r="H1725" s="209"/>
      <c r="I1725" s="209"/>
      <c r="J1725" s="209"/>
      <c r="K1725" s="208" t="str">
        <f>IF(Errors!$I1725=0,SourceData!$B$42,VLOOKUP(Errors!$I1725,SourceData!$A$2:$B$40,2,FALSE))</f>
        <v>Please select ERROR CODE column "I"</v>
      </c>
      <c r="L1725" s="207" t="str">
        <f>IF(Errors!$I1725=0,
    'List of Error Codes'!$E$29,
    IFERROR(VLOOKUP(Errors!$I1725, 'List of Error Codes'!D1724:I1754, 6, FALSE), 'List of Error Codes'!$E$29)
)</f>
        <v>Please select ERROR CODE column "I"</v>
      </c>
      <c r="M1725" s="209"/>
      <c r="N1725" s="209"/>
      <c r="O1725" s="209"/>
      <c r="P1725" s="209"/>
      <c r="Q1725" s="209"/>
      <c r="R1725" s="217"/>
      <c r="S1725" s="217"/>
      <c r="T1725" s="217"/>
      <c r="U1725" s="199"/>
      <c r="V1725" s="200"/>
      <c r="W1725" s="200"/>
      <c r="X1725" s="200"/>
      <c r="Y1725" s="200"/>
      <c r="Z1725" s="200"/>
      <c r="AA1725" s="201"/>
      <c r="AB1725" s="200"/>
      <c r="AC1725" s="200"/>
    </row>
    <row r="1726" ht="15.75" customHeight="1">
      <c r="A1726" s="210">
        <f t="shared" si="1"/>
        <v>1724</v>
      </c>
      <c r="B1726" s="217"/>
      <c r="C1726" s="217" t="str">
        <f>IFERROR(VLOOKUP(B1726, SourceData!$U$3:$V$190, 2, FALSE), "")</f>
        <v/>
      </c>
      <c r="D1726" s="240"/>
      <c r="E1726" s="241"/>
      <c r="F1726" s="248"/>
      <c r="G1726" s="207"/>
      <c r="H1726" s="209"/>
      <c r="I1726" s="209"/>
      <c r="J1726" s="209"/>
      <c r="K1726" s="208" t="str">
        <f>IF(Errors!$I1726=0,SourceData!$B$42,VLOOKUP(Errors!$I1726,SourceData!$A$2:$B$40,2,FALSE))</f>
        <v>Please select ERROR CODE column "I"</v>
      </c>
      <c r="L1726" s="207" t="str">
        <f>IF(Errors!$I1726=0,
    'List of Error Codes'!$E$29,
    IFERROR(VLOOKUP(Errors!$I1726, 'List of Error Codes'!D1725:I1755, 6, FALSE), 'List of Error Codes'!$E$29)
)</f>
        <v>Please select ERROR CODE column "I"</v>
      </c>
      <c r="M1726" s="209"/>
      <c r="N1726" s="209"/>
      <c r="O1726" s="209"/>
      <c r="P1726" s="209"/>
      <c r="Q1726" s="209"/>
      <c r="R1726" s="217"/>
      <c r="S1726" s="217"/>
      <c r="T1726" s="217"/>
      <c r="U1726" s="199"/>
      <c r="V1726" s="200"/>
      <c r="W1726" s="200"/>
      <c r="X1726" s="200"/>
      <c r="Y1726" s="200"/>
      <c r="Z1726" s="200"/>
      <c r="AA1726" s="201"/>
      <c r="AB1726" s="200"/>
      <c r="AC1726" s="200"/>
    </row>
    <row r="1727" ht="15.75" customHeight="1">
      <c r="A1727" s="210">
        <f t="shared" si="1"/>
        <v>1725</v>
      </c>
      <c r="B1727" s="217"/>
      <c r="C1727" s="217" t="str">
        <f>IFERROR(VLOOKUP(B1727, SourceData!$U$3:$V$190, 2, FALSE), "")</f>
        <v/>
      </c>
      <c r="D1727" s="240"/>
      <c r="E1727" s="241"/>
      <c r="F1727" s="248"/>
      <c r="G1727" s="207"/>
      <c r="H1727" s="209"/>
      <c r="I1727" s="209"/>
      <c r="J1727" s="209"/>
      <c r="K1727" s="208" t="str">
        <f>IF(Errors!$I1727=0,SourceData!$B$42,VLOOKUP(Errors!$I1727,SourceData!$A$2:$B$40,2,FALSE))</f>
        <v>Please select ERROR CODE column "I"</v>
      </c>
      <c r="L1727" s="207" t="str">
        <f>IF(Errors!$I1727=0,
    'List of Error Codes'!$E$29,
    IFERROR(VLOOKUP(Errors!$I1727, 'List of Error Codes'!D1726:I1756, 6, FALSE), 'List of Error Codes'!$E$29)
)</f>
        <v>Please select ERROR CODE column "I"</v>
      </c>
      <c r="M1727" s="209"/>
      <c r="N1727" s="209"/>
      <c r="O1727" s="209"/>
      <c r="P1727" s="209"/>
      <c r="Q1727" s="209"/>
      <c r="R1727" s="217"/>
      <c r="S1727" s="217"/>
      <c r="T1727" s="217"/>
      <c r="U1727" s="199"/>
      <c r="V1727" s="200"/>
      <c r="W1727" s="200"/>
      <c r="X1727" s="200"/>
      <c r="Y1727" s="200"/>
      <c r="Z1727" s="200"/>
      <c r="AA1727" s="201"/>
      <c r="AB1727" s="200"/>
      <c r="AC1727" s="200"/>
    </row>
    <row r="1728" ht="15.75" customHeight="1">
      <c r="A1728" s="210">
        <f t="shared" si="1"/>
        <v>1726</v>
      </c>
      <c r="B1728" s="217"/>
      <c r="C1728" s="217" t="str">
        <f>IFERROR(VLOOKUP(B1728, SourceData!$U$3:$V$190, 2, FALSE), "")</f>
        <v/>
      </c>
      <c r="D1728" s="240"/>
      <c r="E1728" s="241"/>
      <c r="F1728" s="248"/>
      <c r="G1728" s="207"/>
      <c r="H1728" s="209"/>
      <c r="I1728" s="209"/>
      <c r="J1728" s="209"/>
      <c r="K1728" s="208" t="str">
        <f>IF(Errors!$I1728=0,SourceData!$B$42,VLOOKUP(Errors!$I1728,SourceData!$A$2:$B$40,2,FALSE))</f>
        <v>Please select ERROR CODE column "I"</v>
      </c>
      <c r="L1728" s="207" t="str">
        <f>IF(Errors!$I1728=0,
    'List of Error Codes'!$E$29,
    IFERROR(VLOOKUP(Errors!$I1728, 'List of Error Codes'!D1727:I1757, 6, FALSE), 'List of Error Codes'!$E$29)
)</f>
        <v>Please select ERROR CODE column "I"</v>
      </c>
      <c r="M1728" s="209"/>
      <c r="N1728" s="209"/>
      <c r="O1728" s="209"/>
      <c r="P1728" s="209"/>
      <c r="Q1728" s="209"/>
      <c r="R1728" s="217"/>
      <c r="S1728" s="217"/>
      <c r="T1728" s="217"/>
      <c r="U1728" s="199"/>
      <c r="V1728" s="200"/>
      <c r="W1728" s="200"/>
      <c r="X1728" s="200"/>
      <c r="Y1728" s="200"/>
      <c r="Z1728" s="200"/>
      <c r="AA1728" s="201"/>
      <c r="AB1728" s="200"/>
      <c r="AC1728" s="200"/>
    </row>
    <row r="1729" ht="15.75" customHeight="1">
      <c r="A1729" s="210">
        <f t="shared" si="1"/>
        <v>1727</v>
      </c>
      <c r="B1729" s="217"/>
      <c r="C1729" s="217" t="str">
        <f>IFERROR(VLOOKUP(B1729, SourceData!$U$3:$V$190, 2, FALSE), "")</f>
        <v/>
      </c>
      <c r="D1729" s="240"/>
      <c r="E1729" s="241"/>
      <c r="F1729" s="248"/>
      <c r="G1729" s="207"/>
      <c r="H1729" s="209"/>
      <c r="I1729" s="209"/>
      <c r="J1729" s="209"/>
      <c r="K1729" s="208" t="str">
        <f>IF(Errors!$I1729=0,SourceData!$B$42,VLOOKUP(Errors!$I1729,SourceData!$A$2:$B$40,2,FALSE))</f>
        <v>Please select ERROR CODE column "I"</v>
      </c>
      <c r="L1729" s="207" t="str">
        <f>IF(Errors!$I1729=0,
    'List of Error Codes'!$E$29,
    IFERROR(VLOOKUP(Errors!$I1729, 'List of Error Codes'!D1728:I1758, 6, FALSE), 'List of Error Codes'!$E$29)
)</f>
        <v>Please select ERROR CODE column "I"</v>
      </c>
      <c r="M1729" s="209"/>
      <c r="N1729" s="209"/>
      <c r="O1729" s="209"/>
      <c r="P1729" s="209"/>
      <c r="Q1729" s="209"/>
      <c r="R1729" s="217"/>
      <c r="S1729" s="217"/>
      <c r="T1729" s="217"/>
      <c r="U1729" s="199"/>
      <c r="V1729" s="200"/>
      <c r="W1729" s="200"/>
      <c r="X1729" s="200"/>
      <c r="Y1729" s="200"/>
      <c r="Z1729" s="200"/>
      <c r="AA1729" s="201"/>
      <c r="AB1729" s="200"/>
      <c r="AC1729" s="200"/>
    </row>
    <row r="1730" ht="15.75" customHeight="1">
      <c r="A1730" s="210">
        <f t="shared" si="1"/>
        <v>1728</v>
      </c>
      <c r="B1730" s="217"/>
      <c r="C1730" s="217" t="str">
        <f>IFERROR(VLOOKUP(B1730, SourceData!$U$3:$V$190, 2, FALSE), "")</f>
        <v/>
      </c>
      <c r="D1730" s="240"/>
      <c r="E1730" s="241"/>
      <c r="F1730" s="248"/>
      <c r="G1730" s="207"/>
      <c r="H1730" s="209"/>
      <c r="I1730" s="209"/>
      <c r="J1730" s="209"/>
      <c r="K1730" s="208" t="str">
        <f>IF(Errors!$I1730=0,SourceData!$B$42,VLOOKUP(Errors!$I1730,SourceData!$A$2:$B$40,2,FALSE))</f>
        <v>Please select ERROR CODE column "I"</v>
      </c>
      <c r="L1730" s="207" t="str">
        <f>IF(Errors!$I1730=0,
    'List of Error Codes'!$E$29,
    IFERROR(VLOOKUP(Errors!$I1730, 'List of Error Codes'!D1729:I1759, 6, FALSE), 'List of Error Codes'!$E$29)
)</f>
        <v>Please select ERROR CODE column "I"</v>
      </c>
      <c r="M1730" s="209"/>
      <c r="N1730" s="209"/>
      <c r="O1730" s="209"/>
      <c r="P1730" s="209"/>
      <c r="Q1730" s="209"/>
      <c r="R1730" s="217"/>
      <c r="S1730" s="217"/>
      <c r="T1730" s="217"/>
      <c r="U1730" s="199"/>
      <c r="V1730" s="200"/>
      <c r="W1730" s="200"/>
      <c r="X1730" s="200"/>
      <c r="Y1730" s="200"/>
      <c r="Z1730" s="200"/>
      <c r="AA1730" s="201"/>
      <c r="AB1730" s="200"/>
      <c r="AC1730" s="200"/>
    </row>
    <row r="1731" ht="15.75" customHeight="1">
      <c r="A1731" s="210">
        <f t="shared" si="1"/>
        <v>1729</v>
      </c>
      <c r="B1731" s="217"/>
      <c r="C1731" s="217" t="str">
        <f>IFERROR(VLOOKUP(B1731, SourceData!$U$3:$V$190, 2, FALSE), "")</f>
        <v/>
      </c>
      <c r="D1731" s="240"/>
      <c r="E1731" s="241"/>
      <c r="F1731" s="248"/>
      <c r="G1731" s="207"/>
      <c r="H1731" s="209"/>
      <c r="I1731" s="209"/>
      <c r="J1731" s="209"/>
      <c r="K1731" s="208" t="str">
        <f>IF(Errors!$I1731=0,SourceData!$B$42,VLOOKUP(Errors!$I1731,SourceData!$A$2:$B$40,2,FALSE))</f>
        <v>Please select ERROR CODE column "I"</v>
      </c>
      <c r="L1731" s="207" t="str">
        <f>IF(Errors!$I1731=0,
    'List of Error Codes'!$E$29,
    IFERROR(VLOOKUP(Errors!$I1731, 'List of Error Codes'!D1730:I1760, 6, FALSE), 'List of Error Codes'!$E$29)
)</f>
        <v>Please select ERROR CODE column "I"</v>
      </c>
      <c r="M1731" s="209"/>
      <c r="N1731" s="209"/>
      <c r="O1731" s="209"/>
      <c r="P1731" s="209"/>
      <c r="Q1731" s="209"/>
      <c r="R1731" s="217"/>
      <c r="S1731" s="217"/>
      <c r="T1731" s="217"/>
      <c r="U1731" s="199"/>
      <c r="V1731" s="200"/>
      <c r="W1731" s="200"/>
      <c r="X1731" s="200"/>
      <c r="Y1731" s="200"/>
      <c r="Z1731" s="200"/>
      <c r="AA1731" s="201"/>
      <c r="AB1731" s="200"/>
      <c r="AC1731" s="200"/>
    </row>
    <row r="1732" ht="15.75" customHeight="1">
      <c r="A1732" s="210">
        <f t="shared" si="1"/>
        <v>1730</v>
      </c>
      <c r="B1732" s="217"/>
      <c r="C1732" s="217" t="str">
        <f>IFERROR(VLOOKUP(B1732, SourceData!$U$3:$V$190, 2, FALSE), "")</f>
        <v/>
      </c>
      <c r="D1732" s="240"/>
      <c r="E1732" s="241"/>
      <c r="F1732" s="248"/>
      <c r="G1732" s="207"/>
      <c r="H1732" s="209"/>
      <c r="I1732" s="209"/>
      <c r="J1732" s="209"/>
      <c r="K1732" s="208" t="str">
        <f>IF(Errors!$I1732=0,SourceData!$B$42,VLOOKUP(Errors!$I1732,SourceData!$A$2:$B$40,2,FALSE))</f>
        <v>Please select ERROR CODE column "I"</v>
      </c>
      <c r="L1732" s="207" t="str">
        <f>IF(Errors!$I1732=0,
    'List of Error Codes'!$E$29,
    IFERROR(VLOOKUP(Errors!$I1732, 'List of Error Codes'!D1731:I1761, 6, FALSE), 'List of Error Codes'!$E$29)
)</f>
        <v>Please select ERROR CODE column "I"</v>
      </c>
      <c r="M1732" s="209"/>
      <c r="N1732" s="209"/>
      <c r="O1732" s="209"/>
      <c r="P1732" s="209"/>
      <c r="Q1732" s="209"/>
      <c r="R1732" s="217"/>
      <c r="S1732" s="217"/>
      <c r="T1732" s="217"/>
      <c r="U1732" s="199"/>
      <c r="V1732" s="200"/>
      <c r="W1732" s="200"/>
      <c r="X1732" s="200"/>
      <c r="Y1732" s="200"/>
      <c r="Z1732" s="200"/>
      <c r="AA1732" s="201"/>
      <c r="AB1732" s="200"/>
      <c r="AC1732" s="200"/>
    </row>
    <row r="1733" ht="15.75" customHeight="1">
      <c r="A1733" s="210">
        <f t="shared" si="1"/>
        <v>1731</v>
      </c>
      <c r="B1733" s="217"/>
      <c r="C1733" s="217" t="str">
        <f>IFERROR(VLOOKUP(B1733, SourceData!$U$3:$V$190, 2, FALSE), "")</f>
        <v/>
      </c>
      <c r="D1733" s="240"/>
      <c r="E1733" s="241"/>
      <c r="F1733" s="248"/>
      <c r="G1733" s="207"/>
      <c r="H1733" s="209"/>
      <c r="I1733" s="209"/>
      <c r="J1733" s="209"/>
      <c r="K1733" s="208" t="str">
        <f>IF(Errors!$I1733=0,SourceData!$B$42,VLOOKUP(Errors!$I1733,SourceData!$A$2:$B$40,2,FALSE))</f>
        <v>Please select ERROR CODE column "I"</v>
      </c>
      <c r="L1733" s="207" t="str">
        <f>IF(Errors!$I1733=0,
    'List of Error Codes'!$E$29,
    IFERROR(VLOOKUP(Errors!$I1733, 'List of Error Codes'!D1732:I1762, 6, FALSE), 'List of Error Codes'!$E$29)
)</f>
        <v>Please select ERROR CODE column "I"</v>
      </c>
      <c r="M1733" s="209"/>
      <c r="N1733" s="209"/>
      <c r="O1733" s="209"/>
      <c r="P1733" s="209"/>
      <c r="Q1733" s="209"/>
      <c r="R1733" s="217"/>
      <c r="S1733" s="217"/>
      <c r="T1733" s="217"/>
      <c r="U1733" s="199"/>
      <c r="V1733" s="200"/>
      <c r="W1733" s="200"/>
      <c r="X1733" s="200"/>
      <c r="Y1733" s="200"/>
      <c r="Z1733" s="200"/>
      <c r="AA1733" s="201"/>
      <c r="AB1733" s="200"/>
      <c r="AC1733" s="200"/>
    </row>
    <row r="1734" ht="15.75" customHeight="1">
      <c r="A1734" s="210">
        <f t="shared" si="1"/>
        <v>1732</v>
      </c>
      <c r="B1734" s="217"/>
      <c r="C1734" s="217" t="str">
        <f>IFERROR(VLOOKUP(B1734, SourceData!$U$3:$V$190, 2, FALSE), "")</f>
        <v/>
      </c>
      <c r="D1734" s="240"/>
      <c r="E1734" s="241"/>
      <c r="F1734" s="248"/>
      <c r="G1734" s="207"/>
      <c r="H1734" s="209"/>
      <c r="I1734" s="209"/>
      <c r="J1734" s="209"/>
      <c r="K1734" s="208" t="str">
        <f>IF(Errors!$I1734=0,SourceData!$B$42,VLOOKUP(Errors!$I1734,SourceData!$A$2:$B$40,2,FALSE))</f>
        <v>Please select ERROR CODE column "I"</v>
      </c>
      <c r="L1734" s="207" t="str">
        <f>IF(Errors!$I1734=0,
    'List of Error Codes'!$E$29,
    IFERROR(VLOOKUP(Errors!$I1734, 'List of Error Codes'!D1733:I1763, 6, FALSE), 'List of Error Codes'!$E$29)
)</f>
        <v>Please select ERROR CODE column "I"</v>
      </c>
      <c r="M1734" s="209"/>
      <c r="N1734" s="209"/>
      <c r="O1734" s="209"/>
      <c r="P1734" s="209"/>
      <c r="Q1734" s="209"/>
      <c r="R1734" s="217"/>
      <c r="S1734" s="217"/>
      <c r="T1734" s="217"/>
      <c r="U1734" s="199"/>
      <c r="V1734" s="200"/>
      <c r="W1734" s="200"/>
      <c r="X1734" s="200"/>
      <c r="Y1734" s="200"/>
      <c r="Z1734" s="200"/>
      <c r="AA1734" s="201"/>
      <c r="AB1734" s="200"/>
      <c r="AC1734" s="200"/>
    </row>
    <row r="1735" ht="15.75" customHeight="1">
      <c r="A1735" s="210">
        <f t="shared" si="1"/>
        <v>1733</v>
      </c>
      <c r="B1735" s="217"/>
      <c r="C1735" s="217" t="str">
        <f>IFERROR(VLOOKUP(B1735, SourceData!$U$3:$V$190, 2, FALSE), "")</f>
        <v/>
      </c>
      <c r="D1735" s="240"/>
      <c r="E1735" s="241"/>
      <c r="F1735" s="248"/>
      <c r="G1735" s="207"/>
      <c r="H1735" s="209"/>
      <c r="I1735" s="209"/>
      <c r="J1735" s="209"/>
      <c r="K1735" s="208" t="str">
        <f>IF(Errors!$I1735=0,SourceData!$B$42,VLOOKUP(Errors!$I1735,SourceData!$A$2:$B$40,2,FALSE))</f>
        <v>Please select ERROR CODE column "I"</v>
      </c>
      <c r="L1735" s="207" t="str">
        <f>IF(Errors!$I1735=0,
    'List of Error Codes'!$E$29,
    IFERROR(VLOOKUP(Errors!$I1735, 'List of Error Codes'!D1734:I1764, 6, FALSE), 'List of Error Codes'!$E$29)
)</f>
        <v>Please select ERROR CODE column "I"</v>
      </c>
      <c r="M1735" s="209"/>
      <c r="N1735" s="209"/>
      <c r="O1735" s="209"/>
      <c r="P1735" s="209"/>
      <c r="Q1735" s="209"/>
      <c r="R1735" s="217"/>
      <c r="S1735" s="217"/>
      <c r="T1735" s="217"/>
      <c r="U1735" s="199"/>
      <c r="V1735" s="200"/>
      <c r="W1735" s="200"/>
      <c r="X1735" s="200"/>
      <c r="Y1735" s="200"/>
      <c r="Z1735" s="200"/>
      <c r="AA1735" s="201"/>
      <c r="AB1735" s="200"/>
      <c r="AC1735" s="200"/>
    </row>
    <row r="1736" ht="15.75" customHeight="1">
      <c r="A1736" s="210">
        <f t="shared" si="1"/>
        <v>1734</v>
      </c>
      <c r="B1736" s="217"/>
      <c r="C1736" s="217" t="str">
        <f>IFERROR(VLOOKUP(B1736, SourceData!$U$3:$V$190, 2, FALSE), "")</f>
        <v/>
      </c>
      <c r="D1736" s="240"/>
      <c r="E1736" s="241"/>
      <c r="F1736" s="248"/>
      <c r="G1736" s="207"/>
      <c r="H1736" s="209"/>
      <c r="I1736" s="209"/>
      <c r="J1736" s="209"/>
      <c r="K1736" s="208" t="str">
        <f>IF(Errors!$I1736=0,SourceData!$B$42,VLOOKUP(Errors!$I1736,SourceData!$A$2:$B$40,2,FALSE))</f>
        <v>Please select ERROR CODE column "I"</v>
      </c>
      <c r="L1736" s="207" t="str">
        <f>IF(Errors!$I1736=0,
    'List of Error Codes'!$E$29,
    IFERROR(VLOOKUP(Errors!$I1736, 'List of Error Codes'!D1735:I1765, 6, FALSE), 'List of Error Codes'!$E$29)
)</f>
        <v>Please select ERROR CODE column "I"</v>
      </c>
      <c r="M1736" s="209"/>
      <c r="N1736" s="209"/>
      <c r="O1736" s="209"/>
      <c r="P1736" s="209"/>
      <c r="Q1736" s="209"/>
      <c r="R1736" s="217"/>
      <c r="S1736" s="217"/>
      <c r="T1736" s="217"/>
      <c r="U1736" s="199"/>
      <c r="V1736" s="200"/>
      <c r="W1736" s="200"/>
      <c r="X1736" s="200"/>
      <c r="Y1736" s="200"/>
      <c r="Z1736" s="200"/>
      <c r="AA1736" s="201"/>
      <c r="AB1736" s="200"/>
      <c r="AC1736" s="200"/>
    </row>
    <row r="1737" ht="15.75" customHeight="1">
      <c r="A1737" s="210">
        <f t="shared" si="1"/>
        <v>1735</v>
      </c>
      <c r="B1737" s="217"/>
      <c r="C1737" s="217" t="str">
        <f>IFERROR(VLOOKUP(B1737, SourceData!$U$3:$V$190, 2, FALSE), "")</f>
        <v/>
      </c>
      <c r="D1737" s="240"/>
      <c r="E1737" s="241"/>
      <c r="F1737" s="248"/>
      <c r="G1737" s="207"/>
      <c r="H1737" s="209"/>
      <c r="I1737" s="209"/>
      <c r="J1737" s="209"/>
      <c r="K1737" s="208" t="str">
        <f>IF(Errors!$I1737=0,SourceData!$B$42,VLOOKUP(Errors!$I1737,SourceData!$A$2:$B$40,2,FALSE))</f>
        <v>Please select ERROR CODE column "I"</v>
      </c>
      <c r="L1737" s="207" t="str">
        <f>IF(Errors!$I1737=0,
    'List of Error Codes'!$E$29,
    IFERROR(VLOOKUP(Errors!$I1737, 'List of Error Codes'!D1736:I1766, 6, FALSE), 'List of Error Codes'!$E$29)
)</f>
        <v>Please select ERROR CODE column "I"</v>
      </c>
      <c r="M1737" s="209"/>
      <c r="N1737" s="209"/>
      <c r="O1737" s="209"/>
      <c r="P1737" s="209"/>
      <c r="Q1737" s="209"/>
      <c r="R1737" s="217"/>
      <c r="S1737" s="217"/>
      <c r="T1737" s="217"/>
      <c r="U1737" s="199"/>
      <c r="V1737" s="200"/>
      <c r="W1737" s="200"/>
      <c r="X1737" s="200"/>
      <c r="Y1737" s="200"/>
      <c r="Z1737" s="200"/>
      <c r="AA1737" s="201"/>
      <c r="AB1737" s="200"/>
      <c r="AC1737" s="200"/>
    </row>
    <row r="1738" ht="15.75" customHeight="1">
      <c r="A1738" s="210">
        <f t="shared" si="1"/>
        <v>1736</v>
      </c>
      <c r="B1738" s="217"/>
      <c r="C1738" s="217" t="str">
        <f>IFERROR(VLOOKUP(B1738, SourceData!$U$3:$V$190, 2, FALSE), "")</f>
        <v/>
      </c>
      <c r="D1738" s="240"/>
      <c r="E1738" s="241"/>
      <c r="F1738" s="248"/>
      <c r="G1738" s="207"/>
      <c r="H1738" s="209"/>
      <c r="I1738" s="209"/>
      <c r="J1738" s="209"/>
      <c r="K1738" s="208" t="str">
        <f>IF(Errors!$I1738=0,SourceData!$B$42,VLOOKUP(Errors!$I1738,SourceData!$A$2:$B$40,2,FALSE))</f>
        <v>Please select ERROR CODE column "I"</v>
      </c>
      <c r="L1738" s="207" t="str">
        <f>IF(Errors!$I1738=0,
    'List of Error Codes'!$E$29,
    IFERROR(VLOOKUP(Errors!$I1738, 'List of Error Codes'!D1737:I1767, 6, FALSE), 'List of Error Codes'!$E$29)
)</f>
        <v>Please select ERROR CODE column "I"</v>
      </c>
      <c r="M1738" s="209"/>
      <c r="N1738" s="209"/>
      <c r="O1738" s="209"/>
      <c r="P1738" s="209"/>
      <c r="Q1738" s="209"/>
      <c r="R1738" s="217"/>
      <c r="S1738" s="217"/>
      <c r="T1738" s="217"/>
      <c r="U1738" s="199"/>
      <c r="V1738" s="200"/>
      <c r="W1738" s="200"/>
      <c r="X1738" s="200"/>
      <c r="Y1738" s="200"/>
      <c r="Z1738" s="200"/>
      <c r="AA1738" s="201"/>
      <c r="AB1738" s="200"/>
      <c r="AC1738" s="200"/>
    </row>
    <row r="1739" ht="15.75" customHeight="1">
      <c r="A1739" s="210">
        <f t="shared" si="1"/>
        <v>1737</v>
      </c>
      <c r="B1739" s="217"/>
      <c r="C1739" s="217" t="str">
        <f>IFERROR(VLOOKUP(B1739, SourceData!$U$3:$V$190, 2, FALSE), "")</f>
        <v/>
      </c>
      <c r="D1739" s="240"/>
      <c r="E1739" s="241"/>
      <c r="F1739" s="248"/>
      <c r="G1739" s="207"/>
      <c r="H1739" s="209"/>
      <c r="I1739" s="209"/>
      <c r="J1739" s="209"/>
      <c r="K1739" s="208" t="str">
        <f>IF(Errors!$I1739=0,SourceData!$B$42,VLOOKUP(Errors!$I1739,SourceData!$A$2:$B$40,2,FALSE))</f>
        <v>Please select ERROR CODE column "I"</v>
      </c>
      <c r="L1739" s="207" t="str">
        <f>IF(Errors!$I1739=0,
    'List of Error Codes'!$E$29,
    IFERROR(VLOOKUP(Errors!$I1739, 'List of Error Codes'!D1738:I1768, 6, FALSE), 'List of Error Codes'!$E$29)
)</f>
        <v>Please select ERROR CODE column "I"</v>
      </c>
      <c r="M1739" s="209"/>
      <c r="N1739" s="209"/>
      <c r="O1739" s="209"/>
      <c r="P1739" s="209"/>
      <c r="Q1739" s="209"/>
      <c r="R1739" s="217"/>
      <c r="S1739" s="217"/>
      <c r="T1739" s="217"/>
      <c r="U1739" s="199"/>
      <c r="V1739" s="200"/>
      <c r="W1739" s="200"/>
      <c r="X1739" s="200"/>
      <c r="Y1739" s="200"/>
      <c r="Z1739" s="200"/>
      <c r="AA1739" s="201"/>
      <c r="AB1739" s="200"/>
      <c r="AC1739" s="200"/>
    </row>
    <row r="1740" ht="15.75" customHeight="1">
      <c r="A1740" s="210">
        <f t="shared" si="1"/>
        <v>1738</v>
      </c>
      <c r="B1740" s="217"/>
      <c r="C1740" s="217" t="str">
        <f>IFERROR(VLOOKUP(B1740, SourceData!$U$3:$V$190, 2, FALSE), "")</f>
        <v/>
      </c>
      <c r="D1740" s="240"/>
      <c r="E1740" s="241"/>
      <c r="F1740" s="248"/>
      <c r="G1740" s="207"/>
      <c r="H1740" s="209"/>
      <c r="I1740" s="209"/>
      <c r="J1740" s="209"/>
      <c r="K1740" s="208" t="str">
        <f>IF(Errors!$I1740=0,SourceData!$B$42,VLOOKUP(Errors!$I1740,SourceData!$A$2:$B$40,2,FALSE))</f>
        <v>Please select ERROR CODE column "I"</v>
      </c>
      <c r="L1740" s="207" t="str">
        <f>IF(Errors!$I1740=0,
    'List of Error Codes'!$E$29,
    IFERROR(VLOOKUP(Errors!$I1740, 'List of Error Codes'!D1739:I1769, 6, FALSE), 'List of Error Codes'!$E$29)
)</f>
        <v>Please select ERROR CODE column "I"</v>
      </c>
      <c r="M1740" s="209"/>
      <c r="N1740" s="209"/>
      <c r="O1740" s="209"/>
      <c r="P1740" s="209"/>
      <c r="Q1740" s="209"/>
      <c r="R1740" s="217"/>
      <c r="S1740" s="217"/>
      <c r="T1740" s="217"/>
      <c r="U1740" s="199"/>
      <c r="V1740" s="200"/>
      <c r="W1740" s="200"/>
      <c r="X1740" s="200"/>
      <c r="Y1740" s="200"/>
      <c r="Z1740" s="200"/>
      <c r="AA1740" s="201"/>
      <c r="AB1740" s="200"/>
      <c r="AC1740" s="200"/>
    </row>
    <row r="1741" ht="15.75" customHeight="1">
      <c r="A1741" s="210">
        <f t="shared" si="1"/>
        <v>1739</v>
      </c>
      <c r="B1741" s="217"/>
      <c r="C1741" s="217" t="str">
        <f>IFERROR(VLOOKUP(B1741, SourceData!$U$3:$V$190, 2, FALSE), "")</f>
        <v/>
      </c>
      <c r="D1741" s="240"/>
      <c r="E1741" s="241"/>
      <c r="F1741" s="248"/>
      <c r="G1741" s="207"/>
      <c r="H1741" s="209"/>
      <c r="I1741" s="209"/>
      <c r="J1741" s="209"/>
      <c r="K1741" s="208" t="str">
        <f>IF(Errors!$I1741=0,SourceData!$B$42,VLOOKUP(Errors!$I1741,SourceData!$A$2:$B$40,2,FALSE))</f>
        <v>Please select ERROR CODE column "I"</v>
      </c>
      <c r="L1741" s="207" t="str">
        <f>IF(Errors!$I1741=0,
    'List of Error Codes'!$E$29,
    IFERROR(VLOOKUP(Errors!$I1741, 'List of Error Codes'!D1740:I1770, 6, FALSE), 'List of Error Codes'!$E$29)
)</f>
        <v>Please select ERROR CODE column "I"</v>
      </c>
      <c r="M1741" s="209"/>
      <c r="N1741" s="209"/>
      <c r="O1741" s="209"/>
      <c r="P1741" s="209"/>
      <c r="Q1741" s="209"/>
      <c r="R1741" s="217"/>
      <c r="S1741" s="217"/>
      <c r="T1741" s="217"/>
      <c r="U1741" s="199"/>
      <c r="V1741" s="200"/>
      <c r="W1741" s="200"/>
      <c r="X1741" s="200"/>
      <c r="Y1741" s="200"/>
      <c r="Z1741" s="200"/>
      <c r="AA1741" s="201"/>
      <c r="AB1741" s="200"/>
      <c r="AC1741" s="200"/>
    </row>
    <row r="1742" ht="15.75" customHeight="1">
      <c r="A1742" s="210">
        <f t="shared" si="1"/>
        <v>1740</v>
      </c>
      <c r="B1742" s="217"/>
      <c r="C1742" s="217" t="str">
        <f>IFERROR(VLOOKUP(B1742, SourceData!$U$3:$V$190, 2, FALSE), "")</f>
        <v/>
      </c>
      <c r="D1742" s="240"/>
      <c r="E1742" s="241"/>
      <c r="F1742" s="248"/>
      <c r="G1742" s="207"/>
      <c r="H1742" s="209"/>
      <c r="I1742" s="209"/>
      <c r="J1742" s="209"/>
      <c r="K1742" s="208" t="str">
        <f>IF(Errors!$I1742=0,SourceData!$B$42,VLOOKUP(Errors!$I1742,SourceData!$A$2:$B$40,2,FALSE))</f>
        <v>Please select ERROR CODE column "I"</v>
      </c>
      <c r="L1742" s="207" t="str">
        <f>IF(Errors!$I1742=0,
    'List of Error Codes'!$E$29,
    IFERROR(VLOOKUP(Errors!$I1742, 'List of Error Codes'!D1741:I1771, 6, FALSE), 'List of Error Codes'!$E$29)
)</f>
        <v>Please select ERROR CODE column "I"</v>
      </c>
      <c r="M1742" s="209"/>
      <c r="N1742" s="209"/>
      <c r="O1742" s="209"/>
      <c r="P1742" s="209"/>
      <c r="Q1742" s="209"/>
      <c r="R1742" s="217"/>
      <c r="S1742" s="217"/>
      <c r="T1742" s="217"/>
      <c r="U1742" s="199"/>
      <c r="V1742" s="200"/>
      <c r="W1742" s="200"/>
      <c r="X1742" s="200"/>
      <c r="Y1742" s="200"/>
      <c r="Z1742" s="200"/>
      <c r="AA1742" s="201"/>
      <c r="AB1742" s="200"/>
      <c r="AC1742" s="200"/>
    </row>
    <row r="1743" ht="15.75" customHeight="1">
      <c r="A1743" s="210">
        <f t="shared" si="1"/>
        <v>1741</v>
      </c>
      <c r="B1743" s="217"/>
      <c r="C1743" s="217" t="str">
        <f>IFERROR(VLOOKUP(B1743, SourceData!$U$3:$V$190, 2, FALSE), "")</f>
        <v/>
      </c>
      <c r="D1743" s="240"/>
      <c r="E1743" s="241"/>
      <c r="F1743" s="248"/>
      <c r="G1743" s="207"/>
      <c r="H1743" s="209"/>
      <c r="I1743" s="209"/>
      <c r="J1743" s="209"/>
      <c r="K1743" s="208" t="str">
        <f>IF(Errors!$I1743=0,SourceData!$B$42,VLOOKUP(Errors!$I1743,SourceData!$A$2:$B$40,2,FALSE))</f>
        <v>Please select ERROR CODE column "I"</v>
      </c>
      <c r="L1743" s="207" t="str">
        <f>IF(Errors!$I1743=0,
    'List of Error Codes'!$E$29,
    IFERROR(VLOOKUP(Errors!$I1743, 'List of Error Codes'!D1742:I1772, 6, FALSE), 'List of Error Codes'!$E$29)
)</f>
        <v>Please select ERROR CODE column "I"</v>
      </c>
      <c r="M1743" s="209"/>
      <c r="N1743" s="209"/>
      <c r="O1743" s="209"/>
      <c r="P1743" s="209"/>
      <c r="Q1743" s="209"/>
      <c r="R1743" s="217"/>
      <c r="S1743" s="217"/>
      <c r="T1743" s="217"/>
      <c r="U1743" s="199"/>
      <c r="V1743" s="200"/>
      <c r="W1743" s="200"/>
      <c r="X1743" s="200"/>
      <c r="Y1743" s="200"/>
      <c r="Z1743" s="200"/>
      <c r="AA1743" s="201"/>
      <c r="AB1743" s="200"/>
      <c r="AC1743" s="200"/>
    </row>
    <row r="1744" ht="15.75" customHeight="1">
      <c r="A1744" s="210">
        <f t="shared" si="1"/>
        <v>1742</v>
      </c>
      <c r="B1744" s="217"/>
      <c r="C1744" s="217" t="str">
        <f>IFERROR(VLOOKUP(B1744, SourceData!$U$3:$V$190, 2, FALSE), "")</f>
        <v/>
      </c>
      <c r="D1744" s="240"/>
      <c r="E1744" s="241"/>
      <c r="F1744" s="248"/>
      <c r="G1744" s="207"/>
      <c r="H1744" s="209"/>
      <c r="I1744" s="209"/>
      <c r="J1744" s="209"/>
      <c r="K1744" s="208" t="str">
        <f>IF(Errors!$I1744=0,SourceData!$B$42,VLOOKUP(Errors!$I1744,SourceData!$A$2:$B$40,2,FALSE))</f>
        <v>Please select ERROR CODE column "I"</v>
      </c>
      <c r="L1744" s="207" t="str">
        <f>IF(Errors!$I1744=0,
    'List of Error Codes'!$E$29,
    IFERROR(VLOOKUP(Errors!$I1744, 'List of Error Codes'!D1743:I1773, 6, FALSE), 'List of Error Codes'!$E$29)
)</f>
        <v>Please select ERROR CODE column "I"</v>
      </c>
      <c r="M1744" s="209"/>
      <c r="N1744" s="209"/>
      <c r="O1744" s="209"/>
      <c r="P1744" s="209"/>
      <c r="Q1744" s="209"/>
      <c r="R1744" s="217"/>
      <c r="S1744" s="217"/>
      <c r="T1744" s="217"/>
      <c r="U1744" s="199"/>
      <c r="V1744" s="200"/>
      <c r="W1744" s="200"/>
      <c r="X1744" s="200"/>
      <c r="Y1744" s="200"/>
      <c r="Z1744" s="200"/>
      <c r="AA1744" s="201"/>
      <c r="AB1744" s="200"/>
      <c r="AC1744" s="200"/>
    </row>
    <row r="1745" ht="15.75" customHeight="1">
      <c r="A1745" s="210">
        <f t="shared" si="1"/>
        <v>1743</v>
      </c>
      <c r="B1745" s="217"/>
      <c r="C1745" s="217" t="str">
        <f>IFERROR(VLOOKUP(B1745, SourceData!$U$3:$V$190, 2, FALSE), "")</f>
        <v/>
      </c>
      <c r="D1745" s="240"/>
      <c r="E1745" s="241"/>
      <c r="F1745" s="248"/>
      <c r="G1745" s="207"/>
      <c r="H1745" s="209"/>
      <c r="I1745" s="209"/>
      <c r="J1745" s="209"/>
      <c r="K1745" s="208" t="str">
        <f>IF(Errors!$I1745=0,SourceData!$B$42,VLOOKUP(Errors!$I1745,SourceData!$A$2:$B$40,2,FALSE))</f>
        <v>Please select ERROR CODE column "I"</v>
      </c>
      <c r="L1745" s="207" t="str">
        <f>IF(Errors!$I1745=0,
    'List of Error Codes'!$E$29,
    IFERROR(VLOOKUP(Errors!$I1745, 'List of Error Codes'!D1744:I1774, 6, FALSE), 'List of Error Codes'!$E$29)
)</f>
        <v>Please select ERROR CODE column "I"</v>
      </c>
      <c r="M1745" s="209"/>
      <c r="N1745" s="209"/>
      <c r="O1745" s="209"/>
      <c r="P1745" s="209"/>
      <c r="Q1745" s="209"/>
      <c r="R1745" s="217"/>
      <c r="S1745" s="217"/>
      <c r="T1745" s="217"/>
      <c r="U1745" s="199"/>
      <c r="V1745" s="200"/>
      <c r="W1745" s="200"/>
      <c r="X1745" s="200"/>
      <c r="Y1745" s="200"/>
      <c r="Z1745" s="200"/>
      <c r="AA1745" s="201"/>
      <c r="AB1745" s="200"/>
      <c r="AC1745" s="200"/>
    </row>
    <row r="1746" ht="15.75" customHeight="1">
      <c r="A1746" s="210">
        <f t="shared" si="1"/>
        <v>1744</v>
      </c>
      <c r="B1746" s="217"/>
      <c r="C1746" s="217" t="str">
        <f>IFERROR(VLOOKUP(B1746, SourceData!$U$3:$V$190, 2, FALSE), "")</f>
        <v/>
      </c>
      <c r="D1746" s="240"/>
      <c r="E1746" s="241"/>
      <c r="F1746" s="248"/>
      <c r="G1746" s="207"/>
      <c r="H1746" s="209"/>
      <c r="I1746" s="209"/>
      <c r="J1746" s="209"/>
      <c r="K1746" s="208" t="str">
        <f>IF(Errors!$I1746=0,SourceData!$B$42,VLOOKUP(Errors!$I1746,SourceData!$A$2:$B$40,2,FALSE))</f>
        <v>Please select ERROR CODE column "I"</v>
      </c>
      <c r="L1746" s="207" t="str">
        <f>IF(Errors!$I1746=0,
    'List of Error Codes'!$E$29,
    IFERROR(VLOOKUP(Errors!$I1746, 'List of Error Codes'!D1745:I1775, 6, FALSE), 'List of Error Codes'!$E$29)
)</f>
        <v>Please select ERROR CODE column "I"</v>
      </c>
      <c r="M1746" s="209"/>
      <c r="N1746" s="209"/>
      <c r="O1746" s="209"/>
      <c r="P1746" s="209"/>
      <c r="Q1746" s="209"/>
      <c r="R1746" s="217"/>
      <c r="S1746" s="217"/>
      <c r="T1746" s="217"/>
      <c r="U1746" s="199"/>
      <c r="V1746" s="200"/>
      <c r="W1746" s="200"/>
      <c r="X1746" s="200"/>
      <c r="Y1746" s="200"/>
      <c r="Z1746" s="200"/>
      <c r="AA1746" s="201"/>
      <c r="AB1746" s="200"/>
      <c r="AC1746" s="200"/>
    </row>
    <row r="1747" ht="15.75" customHeight="1">
      <c r="A1747" s="210">
        <f t="shared" si="1"/>
        <v>1745</v>
      </c>
      <c r="B1747" s="217"/>
      <c r="C1747" s="217" t="str">
        <f>IFERROR(VLOOKUP(B1747, SourceData!$U$3:$V$190, 2, FALSE), "")</f>
        <v/>
      </c>
      <c r="D1747" s="240"/>
      <c r="E1747" s="241"/>
      <c r="F1747" s="248"/>
      <c r="G1747" s="207"/>
      <c r="H1747" s="209"/>
      <c r="I1747" s="209"/>
      <c r="J1747" s="209"/>
      <c r="K1747" s="208" t="str">
        <f>IF(Errors!$I1747=0,SourceData!$B$42,VLOOKUP(Errors!$I1747,SourceData!$A$2:$B$40,2,FALSE))</f>
        <v>Please select ERROR CODE column "I"</v>
      </c>
      <c r="L1747" s="207" t="str">
        <f>IF(Errors!$I1747=0,
    'List of Error Codes'!$E$29,
    IFERROR(VLOOKUP(Errors!$I1747, 'List of Error Codes'!D1746:I1776, 6, FALSE), 'List of Error Codes'!$E$29)
)</f>
        <v>Please select ERROR CODE column "I"</v>
      </c>
      <c r="M1747" s="209"/>
      <c r="N1747" s="209"/>
      <c r="O1747" s="209"/>
      <c r="P1747" s="209"/>
      <c r="Q1747" s="209"/>
      <c r="R1747" s="217"/>
      <c r="S1747" s="217"/>
      <c r="T1747" s="217"/>
      <c r="U1747" s="199"/>
      <c r="V1747" s="200"/>
      <c r="W1747" s="200"/>
      <c r="X1747" s="200"/>
      <c r="Y1747" s="200"/>
      <c r="Z1747" s="200"/>
      <c r="AA1747" s="201"/>
      <c r="AB1747" s="200"/>
      <c r="AC1747" s="200"/>
    </row>
    <row r="1748" ht="15.75" customHeight="1">
      <c r="A1748" s="210">
        <f t="shared" si="1"/>
        <v>1746</v>
      </c>
      <c r="B1748" s="217"/>
      <c r="C1748" s="217" t="str">
        <f>IFERROR(VLOOKUP(B1748, SourceData!$U$3:$V$190, 2, FALSE), "")</f>
        <v/>
      </c>
      <c r="D1748" s="240"/>
      <c r="E1748" s="241"/>
      <c r="F1748" s="248"/>
      <c r="G1748" s="207"/>
      <c r="H1748" s="209"/>
      <c r="I1748" s="209"/>
      <c r="J1748" s="209"/>
      <c r="K1748" s="208" t="str">
        <f>IF(Errors!$I1748=0,SourceData!$B$42,VLOOKUP(Errors!$I1748,SourceData!$A$2:$B$40,2,FALSE))</f>
        <v>Please select ERROR CODE column "I"</v>
      </c>
      <c r="L1748" s="207" t="str">
        <f>IF(Errors!$I1748=0,
    'List of Error Codes'!$E$29,
    IFERROR(VLOOKUP(Errors!$I1748, 'List of Error Codes'!D1747:I1777, 6, FALSE), 'List of Error Codes'!$E$29)
)</f>
        <v>Please select ERROR CODE column "I"</v>
      </c>
      <c r="M1748" s="209"/>
      <c r="N1748" s="209"/>
      <c r="O1748" s="209"/>
      <c r="P1748" s="209"/>
      <c r="Q1748" s="209"/>
      <c r="R1748" s="217"/>
      <c r="S1748" s="217"/>
      <c r="T1748" s="217"/>
      <c r="U1748" s="199"/>
      <c r="V1748" s="200"/>
      <c r="W1748" s="200"/>
      <c r="X1748" s="200"/>
      <c r="Y1748" s="200"/>
      <c r="Z1748" s="200"/>
      <c r="AA1748" s="201"/>
      <c r="AB1748" s="200"/>
      <c r="AC1748" s="200"/>
    </row>
    <row r="1749" ht="15.75" customHeight="1">
      <c r="A1749" s="210">
        <f t="shared" si="1"/>
        <v>1747</v>
      </c>
      <c r="B1749" s="217"/>
      <c r="C1749" s="217" t="str">
        <f>IFERROR(VLOOKUP(B1749, SourceData!$U$3:$V$190, 2, FALSE), "")</f>
        <v/>
      </c>
      <c r="D1749" s="240"/>
      <c r="E1749" s="241"/>
      <c r="F1749" s="248"/>
      <c r="G1749" s="207"/>
      <c r="H1749" s="209"/>
      <c r="I1749" s="209"/>
      <c r="J1749" s="209"/>
      <c r="K1749" s="208" t="str">
        <f>IF(Errors!$I1749=0,SourceData!$B$42,VLOOKUP(Errors!$I1749,SourceData!$A$2:$B$40,2,FALSE))</f>
        <v>Please select ERROR CODE column "I"</v>
      </c>
      <c r="L1749" s="207" t="str">
        <f>IF(Errors!$I1749=0,
    'List of Error Codes'!$E$29,
    IFERROR(VLOOKUP(Errors!$I1749, 'List of Error Codes'!D1748:I1778, 6, FALSE), 'List of Error Codes'!$E$29)
)</f>
        <v>Please select ERROR CODE column "I"</v>
      </c>
      <c r="M1749" s="209"/>
      <c r="N1749" s="209"/>
      <c r="O1749" s="209"/>
      <c r="P1749" s="209"/>
      <c r="Q1749" s="209"/>
      <c r="R1749" s="217"/>
      <c r="S1749" s="217"/>
      <c r="T1749" s="217"/>
      <c r="U1749" s="199"/>
      <c r="V1749" s="200"/>
      <c r="W1749" s="200"/>
      <c r="X1749" s="200"/>
      <c r="Y1749" s="200"/>
      <c r="Z1749" s="200"/>
      <c r="AA1749" s="201"/>
      <c r="AB1749" s="200"/>
      <c r="AC1749" s="200"/>
    </row>
    <row r="1750" ht="15.75" customHeight="1">
      <c r="A1750" s="210">
        <f t="shared" si="1"/>
        <v>1748</v>
      </c>
      <c r="B1750" s="217"/>
      <c r="C1750" s="217" t="str">
        <f>IFERROR(VLOOKUP(B1750, SourceData!$U$3:$V$190, 2, FALSE), "")</f>
        <v/>
      </c>
      <c r="D1750" s="240"/>
      <c r="E1750" s="241"/>
      <c r="F1750" s="248"/>
      <c r="G1750" s="207"/>
      <c r="H1750" s="209"/>
      <c r="I1750" s="209"/>
      <c r="J1750" s="209"/>
      <c r="K1750" s="208" t="str">
        <f>IF(Errors!$I1750=0,SourceData!$B$42,VLOOKUP(Errors!$I1750,SourceData!$A$2:$B$40,2,FALSE))</f>
        <v>Please select ERROR CODE column "I"</v>
      </c>
      <c r="L1750" s="207" t="str">
        <f>IF(Errors!$I1750=0,
    'List of Error Codes'!$E$29,
    IFERROR(VLOOKUP(Errors!$I1750, 'List of Error Codes'!D1749:I1779, 6, FALSE), 'List of Error Codes'!$E$29)
)</f>
        <v>Please select ERROR CODE column "I"</v>
      </c>
      <c r="M1750" s="209"/>
      <c r="N1750" s="209"/>
      <c r="O1750" s="209"/>
      <c r="P1750" s="209"/>
      <c r="Q1750" s="209"/>
      <c r="R1750" s="217"/>
      <c r="S1750" s="217"/>
      <c r="T1750" s="217"/>
      <c r="U1750" s="199"/>
      <c r="V1750" s="200"/>
      <c r="W1750" s="200"/>
      <c r="X1750" s="200"/>
      <c r="Y1750" s="200"/>
      <c r="Z1750" s="200"/>
      <c r="AA1750" s="201"/>
      <c r="AB1750" s="200"/>
      <c r="AC1750" s="200"/>
    </row>
    <row r="1751" ht="15.75" customHeight="1">
      <c r="A1751" s="210">
        <f t="shared" si="1"/>
        <v>1749</v>
      </c>
      <c r="B1751" s="217"/>
      <c r="C1751" s="217" t="str">
        <f>IFERROR(VLOOKUP(B1751, SourceData!$U$3:$V$190, 2, FALSE), "")</f>
        <v/>
      </c>
      <c r="D1751" s="240"/>
      <c r="E1751" s="241"/>
      <c r="F1751" s="248"/>
      <c r="G1751" s="207"/>
      <c r="H1751" s="209"/>
      <c r="I1751" s="209"/>
      <c r="J1751" s="209"/>
      <c r="K1751" s="208" t="str">
        <f>IF(Errors!$I1751=0,SourceData!$B$42,VLOOKUP(Errors!$I1751,SourceData!$A$2:$B$40,2,FALSE))</f>
        <v>Please select ERROR CODE column "I"</v>
      </c>
      <c r="L1751" s="207" t="str">
        <f>IF(Errors!$I1751=0,
    'List of Error Codes'!$E$29,
    IFERROR(VLOOKUP(Errors!$I1751, 'List of Error Codes'!D1750:I1780, 6, FALSE), 'List of Error Codes'!$E$29)
)</f>
        <v>Please select ERROR CODE column "I"</v>
      </c>
      <c r="M1751" s="209"/>
      <c r="N1751" s="209"/>
      <c r="O1751" s="209"/>
      <c r="P1751" s="209"/>
      <c r="Q1751" s="209"/>
      <c r="R1751" s="217"/>
      <c r="S1751" s="217"/>
      <c r="T1751" s="217"/>
      <c r="U1751" s="199"/>
      <c r="V1751" s="200"/>
      <c r="W1751" s="200"/>
      <c r="X1751" s="200"/>
      <c r="Y1751" s="200"/>
      <c r="Z1751" s="200"/>
      <c r="AA1751" s="201"/>
      <c r="AB1751" s="200"/>
      <c r="AC1751" s="200"/>
    </row>
    <row r="1752" ht="15.75" customHeight="1">
      <c r="A1752" s="210">
        <f t="shared" si="1"/>
        <v>1750</v>
      </c>
      <c r="B1752" s="217"/>
      <c r="C1752" s="217" t="str">
        <f>IFERROR(VLOOKUP(B1752, SourceData!$U$3:$V$190, 2, FALSE), "")</f>
        <v/>
      </c>
      <c r="D1752" s="240"/>
      <c r="E1752" s="241"/>
      <c r="F1752" s="248"/>
      <c r="G1752" s="207"/>
      <c r="H1752" s="209"/>
      <c r="I1752" s="209"/>
      <c r="J1752" s="209"/>
      <c r="K1752" s="208" t="str">
        <f>IF(Errors!$I1752=0,SourceData!$B$42,VLOOKUP(Errors!$I1752,SourceData!$A$2:$B$40,2,FALSE))</f>
        <v>Please select ERROR CODE column "I"</v>
      </c>
      <c r="L1752" s="207" t="str">
        <f>IF(Errors!$I1752=0,
    'List of Error Codes'!$E$29,
    IFERROR(VLOOKUP(Errors!$I1752, 'List of Error Codes'!D1751:I1781, 6, FALSE), 'List of Error Codes'!$E$29)
)</f>
        <v>Please select ERROR CODE column "I"</v>
      </c>
      <c r="M1752" s="209"/>
      <c r="N1752" s="209"/>
      <c r="O1752" s="209"/>
      <c r="P1752" s="209"/>
      <c r="Q1752" s="209"/>
      <c r="R1752" s="217"/>
      <c r="S1752" s="217"/>
      <c r="T1752" s="217"/>
      <c r="U1752" s="199"/>
      <c r="V1752" s="200"/>
      <c r="W1752" s="200"/>
      <c r="X1752" s="200"/>
      <c r="Y1752" s="200"/>
      <c r="Z1752" s="200"/>
      <c r="AA1752" s="201"/>
      <c r="AB1752" s="200"/>
      <c r="AC1752" s="200"/>
    </row>
    <row r="1753" ht="15.75" customHeight="1">
      <c r="A1753" s="210">
        <f t="shared" si="1"/>
        <v>1751</v>
      </c>
      <c r="B1753" s="217"/>
      <c r="C1753" s="217" t="str">
        <f>IFERROR(VLOOKUP(B1753, SourceData!$U$3:$V$190, 2, FALSE), "")</f>
        <v/>
      </c>
      <c r="D1753" s="240"/>
      <c r="E1753" s="241"/>
      <c r="F1753" s="248"/>
      <c r="G1753" s="207"/>
      <c r="H1753" s="209"/>
      <c r="I1753" s="209"/>
      <c r="J1753" s="209"/>
      <c r="K1753" s="208" t="str">
        <f>IF(Errors!$I1753=0,SourceData!$B$42,VLOOKUP(Errors!$I1753,SourceData!$A$2:$B$40,2,FALSE))</f>
        <v>Please select ERROR CODE column "I"</v>
      </c>
      <c r="L1753" s="207" t="str">
        <f>IF(Errors!$I1753=0,
    'List of Error Codes'!$E$29,
    IFERROR(VLOOKUP(Errors!$I1753, 'List of Error Codes'!D1752:I1782, 6, FALSE), 'List of Error Codes'!$E$29)
)</f>
        <v>Please select ERROR CODE column "I"</v>
      </c>
      <c r="M1753" s="209"/>
      <c r="N1753" s="209"/>
      <c r="O1753" s="209"/>
      <c r="P1753" s="209"/>
      <c r="Q1753" s="209"/>
      <c r="R1753" s="217"/>
      <c r="S1753" s="217"/>
      <c r="T1753" s="217"/>
      <c r="U1753" s="199"/>
      <c r="V1753" s="200"/>
      <c r="W1753" s="200"/>
      <c r="X1753" s="200"/>
      <c r="Y1753" s="200"/>
      <c r="Z1753" s="200"/>
      <c r="AA1753" s="201"/>
      <c r="AB1753" s="200"/>
      <c r="AC1753" s="200"/>
    </row>
    <row r="1754" ht="15.75" customHeight="1">
      <c r="A1754" s="210">
        <f t="shared" si="1"/>
        <v>1752</v>
      </c>
      <c r="B1754" s="217"/>
      <c r="C1754" s="217" t="str">
        <f>IFERROR(VLOOKUP(B1754, SourceData!$U$3:$V$190, 2, FALSE), "")</f>
        <v/>
      </c>
      <c r="D1754" s="240"/>
      <c r="E1754" s="241"/>
      <c r="F1754" s="248"/>
      <c r="G1754" s="207"/>
      <c r="H1754" s="209"/>
      <c r="I1754" s="209"/>
      <c r="J1754" s="209"/>
      <c r="K1754" s="208" t="str">
        <f>IF(Errors!$I1754=0,SourceData!$B$42,VLOOKUP(Errors!$I1754,SourceData!$A$2:$B$40,2,FALSE))</f>
        <v>Please select ERROR CODE column "I"</v>
      </c>
      <c r="L1754" s="207" t="str">
        <f>IF(Errors!$I1754=0,
    'List of Error Codes'!$E$29,
    IFERROR(VLOOKUP(Errors!$I1754, 'List of Error Codes'!D1753:I1783, 6, FALSE), 'List of Error Codes'!$E$29)
)</f>
        <v>Please select ERROR CODE column "I"</v>
      </c>
      <c r="M1754" s="209"/>
      <c r="N1754" s="209"/>
      <c r="O1754" s="209"/>
      <c r="P1754" s="209"/>
      <c r="Q1754" s="209"/>
      <c r="R1754" s="217"/>
      <c r="S1754" s="217"/>
      <c r="T1754" s="217"/>
      <c r="U1754" s="199"/>
      <c r="V1754" s="200"/>
      <c r="W1754" s="200"/>
      <c r="X1754" s="200"/>
      <c r="Y1754" s="200"/>
      <c r="Z1754" s="200"/>
      <c r="AA1754" s="201"/>
      <c r="AB1754" s="200"/>
      <c r="AC1754" s="200"/>
    </row>
    <row r="1755" ht="15.75" customHeight="1">
      <c r="A1755" s="210">
        <f t="shared" si="1"/>
        <v>1753</v>
      </c>
      <c r="B1755" s="217"/>
      <c r="C1755" s="217" t="str">
        <f>IFERROR(VLOOKUP(B1755, SourceData!$U$3:$V$190, 2, FALSE), "")</f>
        <v/>
      </c>
      <c r="D1755" s="240"/>
      <c r="E1755" s="241"/>
      <c r="F1755" s="248"/>
      <c r="G1755" s="207"/>
      <c r="H1755" s="209"/>
      <c r="I1755" s="209"/>
      <c r="J1755" s="209"/>
      <c r="K1755" s="208" t="str">
        <f>IF(Errors!$I1755=0,SourceData!$B$42,VLOOKUP(Errors!$I1755,SourceData!$A$2:$B$40,2,FALSE))</f>
        <v>Please select ERROR CODE column "I"</v>
      </c>
      <c r="L1755" s="207" t="str">
        <f>IF(Errors!$I1755=0,
    'List of Error Codes'!$E$29,
    IFERROR(VLOOKUP(Errors!$I1755, 'List of Error Codes'!D1754:I1784, 6, FALSE), 'List of Error Codes'!$E$29)
)</f>
        <v>Please select ERROR CODE column "I"</v>
      </c>
      <c r="M1755" s="209"/>
      <c r="N1755" s="209"/>
      <c r="O1755" s="209"/>
      <c r="P1755" s="209"/>
      <c r="Q1755" s="209"/>
      <c r="R1755" s="217"/>
      <c r="S1755" s="217"/>
      <c r="T1755" s="217"/>
      <c r="U1755" s="199"/>
      <c r="V1755" s="200"/>
      <c r="W1755" s="200"/>
      <c r="X1755" s="200"/>
      <c r="Y1755" s="200"/>
      <c r="Z1755" s="200"/>
      <c r="AA1755" s="201"/>
      <c r="AB1755" s="200"/>
      <c r="AC1755" s="200"/>
    </row>
    <row r="1756" ht="15.75" customHeight="1">
      <c r="A1756" s="210">
        <f t="shared" si="1"/>
        <v>1754</v>
      </c>
      <c r="B1756" s="217"/>
      <c r="C1756" s="217" t="str">
        <f>IFERROR(VLOOKUP(B1756, SourceData!$U$3:$V$190, 2, FALSE), "")</f>
        <v/>
      </c>
      <c r="D1756" s="240"/>
      <c r="E1756" s="241"/>
      <c r="F1756" s="248"/>
      <c r="G1756" s="207"/>
      <c r="H1756" s="209"/>
      <c r="I1756" s="209"/>
      <c r="J1756" s="209"/>
      <c r="K1756" s="208" t="str">
        <f>IF(Errors!$I1756=0,SourceData!$B$42,VLOOKUP(Errors!$I1756,SourceData!$A$2:$B$40,2,FALSE))</f>
        <v>Please select ERROR CODE column "I"</v>
      </c>
      <c r="L1756" s="207" t="str">
        <f>IF(Errors!$I1756=0,
    'List of Error Codes'!$E$29,
    IFERROR(VLOOKUP(Errors!$I1756, 'List of Error Codes'!D1755:I1785, 6, FALSE), 'List of Error Codes'!$E$29)
)</f>
        <v>Please select ERROR CODE column "I"</v>
      </c>
      <c r="M1756" s="209"/>
      <c r="N1756" s="209"/>
      <c r="O1756" s="209"/>
      <c r="P1756" s="209"/>
      <c r="Q1756" s="209"/>
      <c r="R1756" s="217"/>
      <c r="S1756" s="217"/>
      <c r="T1756" s="217"/>
      <c r="U1756" s="199"/>
      <c r="V1756" s="200"/>
      <c r="W1756" s="200"/>
      <c r="X1756" s="200"/>
      <c r="Y1756" s="200"/>
      <c r="Z1756" s="200"/>
      <c r="AA1756" s="201"/>
      <c r="AB1756" s="200"/>
      <c r="AC1756" s="200"/>
    </row>
    <row r="1757" ht="15.75" customHeight="1">
      <c r="A1757" s="210">
        <f t="shared" si="1"/>
        <v>1755</v>
      </c>
      <c r="B1757" s="217"/>
      <c r="C1757" s="217" t="str">
        <f>IFERROR(VLOOKUP(B1757, SourceData!$U$3:$V$190, 2, FALSE), "")</f>
        <v/>
      </c>
      <c r="D1757" s="240"/>
      <c r="E1757" s="241"/>
      <c r="F1757" s="248"/>
      <c r="G1757" s="207"/>
      <c r="H1757" s="209"/>
      <c r="I1757" s="209"/>
      <c r="J1757" s="209"/>
      <c r="K1757" s="208" t="str">
        <f>IF(Errors!$I1757=0,SourceData!$B$42,VLOOKUP(Errors!$I1757,SourceData!$A$2:$B$40,2,FALSE))</f>
        <v>Please select ERROR CODE column "I"</v>
      </c>
      <c r="L1757" s="207" t="str">
        <f>IF(Errors!$I1757=0,
    'List of Error Codes'!$E$29,
    IFERROR(VLOOKUP(Errors!$I1757, 'List of Error Codes'!D1756:I1786, 6, FALSE), 'List of Error Codes'!$E$29)
)</f>
        <v>Please select ERROR CODE column "I"</v>
      </c>
      <c r="M1757" s="209"/>
      <c r="N1757" s="209"/>
      <c r="O1757" s="209"/>
      <c r="P1757" s="209"/>
      <c r="Q1757" s="209"/>
      <c r="R1757" s="217"/>
      <c r="S1757" s="217"/>
      <c r="T1757" s="217"/>
      <c r="U1757" s="199"/>
      <c r="V1757" s="200"/>
      <c r="W1757" s="200"/>
      <c r="X1757" s="200"/>
      <c r="Y1757" s="200"/>
      <c r="Z1757" s="200"/>
      <c r="AA1757" s="201"/>
      <c r="AB1757" s="200"/>
      <c r="AC1757" s="200"/>
    </row>
    <row r="1758" ht="15.75" customHeight="1">
      <c r="A1758" s="210">
        <f t="shared" si="1"/>
        <v>1756</v>
      </c>
      <c r="B1758" s="217"/>
      <c r="C1758" s="217" t="str">
        <f>IFERROR(VLOOKUP(B1758, SourceData!$U$3:$V$190, 2, FALSE), "")</f>
        <v/>
      </c>
      <c r="D1758" s="240"/>
      <c r="E1758" s="241"/>
      <c r="F1758" s="248"/>
      <c r="G1758" s="207"/>
      <c r="H1758" s="209"/>
      <c r="I1758" s="209"/>
      <c r="J1758" s="209"/>
      <c r="K1758" s="208" t="str">
        <f>IF(Errors!$I1758=0,SourceData!$B$42,VLOOKUP(Errors!$I1758,SourceData!$A$2:$B$40,2,FALSE))</f>
        <v>Please select ERROR CODE column "I"</v>
      </c>
      <c r="L1758" s="207" t="str">
        <f>IF(Errors!$I1758=0,
    'List of Error Codes'!$E$29,
    IFERROR(VLOOKUP(Errors!$I1758, 'List of Error Codes'!D1757:I1787, 6, FALSE), 'List of Error Codes'!$E$29)
)</f>
        <v>Please select ERROR CODE column "I"</v>
      </c>
      <c r="M1758" s="209"/>
      <c r="N1758" s="209"/>
      <c r="O1758" s="209"/>
      <c r="P1758" s="209"/>
      <c r="Q1758" s="209"/>
      <c r="R1758" s="217"/>
      <c r="S1758" s="217"/>
      <c r="T1758" s="217"/>
      <c r="U1758" s="199"/>
      <c r="V1758" s="200"/>
      <c r="W1758" s="200"/>
      <c r="X1758" s="200"/>
      <c r="Y1758" s="200"/>
      <c r="Z1758" s="200"/>
      <c r="AA1758" s="201"/>
      <c r="AB1758" s="200"/>
      <c r="AC1758" s="200"/>
    </row>
    <row r="1759" ht="15.75" customHeight="1">
      <c r="A1759" s="210">
        <f t="shared" si="1"/>
        <v>1757</v>
      </c>
      <c r="B1759" s="217"/>
      <c r="C1759" s="217" t="str">
        <f>IFERROR(VLOOKUP(B1759, SourceData!$U$3:$V$190, 2, FALSE), "")</f>
        <v/>
      </c>
      <c r="D1759" s="240"/>
      <c r="E1759" s="241"/>
      <c r="F1759" s="248"/>
      <c r="G1759" s="207"/>
      <c r="H1759" s="209"/>
      <c r="I1759" s="209"/>
      <c r="J1759" s="209"/>
      <c r="K1759" s="208" t="str">
        <f>IF(Errors!$I1759=0,SourceData!$B$42,VLOOKUP(Errors!$I1759,SourceData!$A$2:$B$40,2,FALSE))</f>
        <v>Please select ERROR CODE column "I"</v>
      </c>
      <c r="L1759" s="207" t="str">
        <f>IF(Errors!$I1759=0,
    'List of Error Codes'!$E$29,
    IFERROR(VLOOKUP(Errors!$I1759, 'List of Error Codes'!D1758:I1788, 6, FALSE), 'List of Error Codes'!$E$29)
)</f>
        <v>Please select ERROR CODE column "I"</v>
      </c>
      <c r="M1759" s="209"/>
      <c r="N1759" s="209"/>
      <c r="O1759" s="209"/>
      <c r="P1759" s="209"/>
      <c r="Q1759" s="209"/>
      <c r="R1759" s="217"/>
      <c r="S1759" s="217"/>
      <c r="T1759" s="217"/>
      <c r="U1759" s="199"/>
      <c r="V1759" s="200"/>
      <c r="W1759" s="200"/>
      <c r="X1759" s="200"/>
      <c r="Y1759" s="200"/>
      <c r="Z1759" s="200"/>
      <c r="AA1759" s="201"/>
      <c r="AB1759" s="200"/>
      <c r="AC1759" s="200"/>
    </row>
    <row r="1760" ht="15.75" customHeight="1">
      <c r="A1760" s="210">
        <f t="shared" si="1"/>
        <v>1758</v>
      </c>
      <c r="B1760" s="217"/>
      <c r="C1760" s="217" t="str">
        <f>IFERROR(VLOOKUP(B1760, SourceData!$U$3:$V$190, 2, FALSE), "")</f>
        <v/>
      </c>
      <c r="D1760" s="240"/>
      <c r="E1760" s="241"/>
      <c r="F1760" s="248"/>
      <c r="G1760" s="207"/>
      <c r="H1760" s="209"/>
      <c r="I1760" s="209"/>
      <c r="J1760" s="209"/>
      <c r="K1760" s="208" t="str">
        <f>IF(Errors!$I1760=0,SourceData!$B$42,VLOOKUP(Errors!$I1760,SourceData!$A$2:$B$40,2,FALSE))</f>
        <v>Please select ERROR CODE column "I"</v>
      </c>
      <c r="L1760" s="207" t="str">
        <f>IF(Errors!$I1760=0,
    'List of Error Codes'!$E$29,
    IFERROR(VLOOKUP(Errors!$I1760, 'List of Error Codes'!D1759:I1789, 6, FALSE), 'List of Error Codes'!$E$29)
)</f>
        <v>Please select ERROR CODE column "I"</v>
      </c>
      <c r="M1760" s="209"/>
      <c r="N1760" s="209"/>
      <c r="O1760" s="209"/>
      <c r="P1760" s="209"/>
      <c r="Q1760" s="209"/>
      <c r="R1760" s="217"/>
      <c r="S1760" s="217"/>
      <c r="T1760" s="217"/>
      <c r="U1760" s="199"/>
      <c r="V1760" s="200"/>
      <c r="W1760" s="200"/>
      <c r="X1760" s="200"/>
      <c r="Y1760" s="200"/>
      <c r="Z1760" s="200"/>
      <c r="AA1760" s="201"/>
      <c r="AB1760" s="200"/>
      <c r="AC1760" s="200"/>
    </row>
    <row r="1761" ht="15.75" customHeight="1">
      <c r="A1761" s="210">
        <f t="shared" si="1"/>
        <v>1759</v>
      </c>
      <c r="B1761" s="217"/>
      <c r="C1761" s="217" t="str">
        <f>IFERROR(VLOOKUP(B1761, SourceData!$U$3:$V$190, 2, FALSE), "")</f>
        <v/>
      </c>
      <c r="D1761" s="240"/>
      <c r="E1761" s="241"/>
      <c r="F1761" s="248"/>
      <c r="G1761" s="207"/>
      <c r="H1761" s="209"/>
      <c r="I1761" s="209"/>
      <c r="J1761" s="209"/>
      <c r="K1761" s="208" t="str">
        <f>IF(Errors!$I1761=0,SourceData!$B$42,VLOOKUP(Errors!$I1761,SourceData!$A$2:$B$40,2,FALSE))</f>
        <v>Please select ERROR CODE column "I"</v>
      </c>
      <c r="L1761" s="207" t="str">
        <f>IF(Errors!$I1761=0,
    'List of Error Codes'!$E$29,
    IFERROR(VLOOKUP(Errors!$I1761, 'List of Error Codes'!D1760:I1790, 6, FALSE), 'List of Error Codes'!$E$29)
)</f>
        <v>Please select ERROR CODE column "I"</v>
      </c>
      <c r="M1761" s="209"/>
      <c r="N1761" s="209"/>
      <c r="O1761" s="209"/>
      <c r="P1761" s="209"/>
      <c r="Q1761" s="209"/>
      <c r="R1761" s="217"/>
      <c r="S1761" s="217"/>
      <c r="T1761" s="217"/>
      <c r="U1761" s="199"/>
      <c r="V1761" s="200"/>
      <c r="W1761" s="200"/>
      <c r="X1761" s="200"/>
      <c r="Y1761" s="200"/>
      <c r="Z1761" s="200"/>
      <c r="AA1761" s="201"/>
      <c r="AB1761" s="200"/>
      <c r="AC1761" s="200"/>
    </row>
    <row r="1762" ht="15.75" customHeight="1">
      <c r="A1762" s="210">
        <f t="shared" si="1"/>
        <v>1760</v>
      </c>
      <c r="B1762" s="217"/>
      <c r="C1762" s="217" t="str">
        <f>IFERROR(VLOOKUP(B1762, SourceData!$U$3:$V$190, 2, FALSE), "")</f>
        <v/>
      </c>
      <c r="D1762" s="240"/>
      <c r="E1762" s="241"/>
      <c r="F1762" s="248"/>
      <c r="G1762" s="207"/>
      <c r="H1762" s="209"/>
      <c r="I1762" s="209"/>
      <c r="J1762" s="209"/>
      <c r="K1762" s="208" t="str">
        <f>IF(Errors!$I1762=0,SourceData!$B$42,VLOOKUP(Errors!$I1762,SourceData!$A$2:$B$40,2,FALSE))</f>
        <v>Please select ERROR CODE column "I"</v>
      </c>
      <c r="L1762" s="207" t="str">
        <f>IF(Errors!$I1762=0,
    'List of Error Codes'!$E$29,
    IFERROR(VLOOKUP(Errors!$I1762, 'List of Error Codes'!D1761:I1791, 6, FALSE), 'List of Error Codes'!$E$29)
)</f>
        <v>Please select ERROR CODE column "I"</v>
      </c>
      <c r="M1762" s="209"/>
      <c r="N1762" s="209"/>
      <c r="O1762" s="209"/>
      <c r="P1762" s="209"/>
      <c r="Q1762" s="209"/>
      <c r="R1762" s="217"/>
      <c r="S1762" s="217"/>
      <c r="T1762" s="217"/>
      <c r="U1762" s="199"/>
      <c r="V1762" s="200"/>
      <c r="W1762" s="200"/>
      <c r="X1762" s="200"/>
      <c r="Y1762" s="200"/>
      <c r="Z1762" s="200"/>
      <c r="AA1762" s="201"/>
      <c r="AB1762" s="200"/>
      <c r="AC1762" s="200"/>
    </row>
    <row r="1763" ht="15.75" customHeight="1">
      <c r="A1763" s="210">
        <f t="shared" si="1"/>
        <v>1761</v>
      </c>
      <c r="B1763" s="217"/>
      <c r="C1763" s="217" t="str">
        <f>IFERROR(VLOOKUP(B1763, SourceData!$U$3:$V$190, 2, FALSE), "")</f>
        <v/>
      </c>
      <c r="D1763" s="240"/>
      <c r="E1763" s="241"/>
      <c r="F1763" s="248"/>
      <c r="G1763" s="207"/>
      <c r="H1763" s="209"/>
      <c r="I1763" s="209"/>
      <c r="J1763" s="209"/>
      <c r="K1763" s="208" t="str">
        <f>IF(Errors!$I1763=0,SourceData!$B$42,VLOOKUP(Errors!$I1763,SourceData!$A$2:$B$40,2,FALSE))</f>
        <v>Please select ERROR CODE column "I"</v>
      </c>
      <c r="L1763" s="207" t="str">
        <f>IF(Errors!$I1763=0,
    'List of Error Codes'!$E$29,
    IFERROR(VLOOKUP(Errors!$I1763, 'List of Error Codes'!D1762:I1792, 6, FALSE), 'List of Error Codes'!$E$29)
)</f>
        <v>Please select ERROR CODE column "I"</v>
      </c>
      <c r="M1763" s="209"/>
      <c r="N1763" s="209"/>
      <c r="O1763" s="209"/>
      <c r="P1763" s="209"/>
      <c r="Q1763" s="209"/>
      <c r="R1763" s="217"/>
      <c r="S1763" s="217"/>
      <c r="T1763" s="217"/>
      <c r="U1763" s="199"/>
      <c r="V1763" s="200"/>
      <c r="W1763" s="200"/>
      <c r="X1763" s="200"/>
      <c r="Y1763" s="200"/>
      <c r="Z1763" s="200"/>
      <c r="AA1763" s="201"/>
      <c r="AB1763" s="200"/>
      <c r="AC1763" s="200"/>
    </row>
    <row r="1764" ht="15.75" customHeight="1">
      <c r="A1764" s="210">
        <f t="shared" si="1"/>
        <v>1762</v>
      </c>
      <c r="B1764" s="217"/>
      <c r="C1764" s="217" t="str">
        <f>IFERROR(VLOOKUP(B1764, SourceData!$U$3:$V$190, 2, FALSE), "")</f>
        <v/>
      </c>
      <c r="D1764" s="240"/>
      <c r="E1764" s="241"/>
      <c r="F1764" s="248"/>
      <c r="G1764" s="207"/>
      <c r="H1764" s="209"/>
      <c r="I1764" s="209"/>
      <c r="J1764" s="209"/>
      <c r="K1764" s="208" t="str">
        <f>IF(Errors!$I1764=0,SourceData!$B$42,VLOOKUP(Errors!$I1764,SourceData!$A$2:$B$40,2,FALSE))</f>
        <v>Please select ERROR CODE column "I"</v>
      </c>
      <c r="L1764" s="207" t="str">
        <f>IF(Errors!$I1764=0,
    'List of Error Codes'!$E$29,
    IFERROR(VLOOKUP(Errors!$I1764, 'List of Error Codes'!D1763:I1793, 6, FALSE), 'List of Error Codes'!$E$29)
)</f>
        <v>Please select ERROR CODE column "I"</v>
      </c>
      <c r="M1764" s="209"/>
      <c r="N1764" s="209"/>
      <c r="O1764" s="209"/>
      <c r="P1764" s="209"/>
      <c r="Q1764" s="209"/>
      <c r="R1764" s="217"/>
      <c r="S1764" s="217"/>
      <c r="T1764" s="217"/>
      <c r="U1764" s="199"/>
      <c r="V1764" s="200"/>
      <c r="W1764" s="200"/>
      <c r="X1764" s="200"/>
      <c r="Y1764" s="200"/>
      <c r="Z1764" s="200"/>
      <c r="AA1764" s="201"/>
      <c r="AB1764" s="200"/>
      <c r="AC1764" s="200"/>
    </row>
    <row r="1765" ht="15.75" customHeight="1">
      <c r="A1765" s="210">
        <f t="shared" si="1"/>
        <v>1763</v>
      </c>
      <c r="B1765" s="217"/>
      <c r="C1765" s="217" t="str">
        <f>IFERROR(VLOOKUP(B1765, SourceData!$U$3:$V$190, 2, FALSE), "")</f>
        <v/>
      </c>
      <c r="D1765" s="240"/>
      <c r="E1765" s="241"/>
      <c r="F1765" s="248"/>
      <c r="G1765" s="207"/>
      <c r="H1765" s="209"/>
      <c r="I1765" s="209"/>
      <c r="J1765" s="209"/>
      <c r="K1765" s="208" t="str">
        <f>IF(Errors!$I1765=0,SourceData!$B$42,VLOOKUP(Errors!$I1765,SourceData!$A$2:$B$40,2,FALSE))</f>
        <v>Please select ERROR CODE column "I"</v>
      </c>
      <c r="L1765" s="207" t="str">
        <f>IF(Errors!$I1765=0,
    'List of Error Codes'!$E$29,
    IFERROR(VLOOKUP(Errors!$I1765, 'List of Error Codes'!D1764:I1794, 6, FALSE), 'List of Error Codes'!$E$29)
)</f>
        <v>Please select ERROR CODE column "I"</v>
      </c>
      <c r="M1765" s="209"/>
      <c r="N1765" s="209"/>
      <c r="O1765" s="209"/>
      <c r="P1765" s="209"/>
      <c r="Q1765" s="209"/>
      <c r="R1765" s="217"/>
      <c r="S1765" s="217"/>
      <c r="T1765" s="217"/>
      <c r="U1765" s="199"/>
      <c r="V1765" s="200"/>
      <c r="W1765" s="200"/>
      <c r="X1765" s="200"/>
      <c r="Y1765" s="200"/>
      <c r="Z1765" s="200"/>
      <c r="AA1765" s="201"/>
      <c r="AB1765" s="200"/>
      <c r="AC1765" s="200"/>
    </row>
    <row r="1766" ht="15.75" customHeight="1">
      <c r="A1766" s="210">
        <f t="shared" si="1"/>
        <v>1764</v>
      </c>
      <c r="B1766" s="217"/>
      <c r="C1766" s="217" t="str">
        <f>IFERROR(VLOOKUP(B1766, SourceData!$U$3:$V$190, 2, FALSE), "")</f>
        <v/>
      </c>
      <c r="D1766" s="240"/>
      <c r="E1766" s="241"/>
      <c r="F1766" s="248"/>
      <c r="G1766" s="207"/>
      <c r="H1766" s="209"/>
      <c r="I1766" s="209"/>
      <c r="J1766" s="209"/>
      <c r="K1766" s="208" t="str">
        <f>IF(Errors!$I1766=0,SourceData!$B$42,VLOOKUP(Errors!$I1766,SourceData!$A$2:$B$40,2,FALSE))</f>
        <v>Please select ERROR CODE column "I"</v>
      </c>
      <c r="L1766" s="207" t="str">
        <f>IF(Errors!$I1766=0,
    'List of Error Codes'!$E$29,
    IFERROR(VLOOKUP(Errors!$I1766, 'List of Error Codes'!D1765:I1795, 6, FALSE), 'List of Error Codes'!$E$29)
)</f>
        <v>Please select ERROR CODE column "I"</v>
      </c>
      <c r="M1766" s="209"/>
      <c r="N1766" s="209"/>
      <c r="O1766" s="209"/>
      <c r="P1766" s="209"/>
      <c r="Q1766" s="209"/>
      <c r="R1766" s="217"/>
      <c r="S1766" s="217"/>
      <c r="T1766" s="217"/>
      <c r="U1766" s="199"/>
      <c r="V1766" s="200"/>
      <c r="W1766" s="200"/>
      <c r="X1766" s="200"/>
      <c r="Y1766" s="200"/>
      <c r="Z1766" s="200"/>
      <c r="AA1766" s="201"/>
      <c r="AB1766" s="200"/>
      <c r="AC1766" s="200"/>
    </row>
    <row r="1767" ht="15.75" customHeight="1">
      <c r="A1767" s="210">
        <f t="shared" si="1"/>
        <v>1765</v>
      </c>
      <c r="B1767" s="217"/>
      <c r="C1767" s="217" t="str">
        <f>IFERROR(VLOOKUP(B1767, SourceData!$U$3:$V$190, 2, FALSE), "")</f>
        <v/>
      </c>
      <c r="D1767" s="240"/>
      <c r="E1767" s="241"/>
      <c r="F1767" s="248"/>
      <c r="G1767" s="207"/>
      <c r="H1767" s="209"/>
      <c r="I1767" s="209"/>
      <c r="J1767" s="209"/>
      <c r="K1767" s="208" t="str">
        <f>IF(Errors!$I1767=0,SourceData!$B$42,VLOOKUP(Errors!$I1767,SourceData!$A$2:$B$40,2,FALSE))</f>
        <v>Please select ERROR CODE column "I"</v>
      </c>
      <c r="L1767" s="207" t="str">
        <f>IF(Errors!$I1767=0,
    'List of Error Codes'!$E$29,
    IFERROR(VLOOKUP(Errors!$I1767, 'List of Error Codes'!D1766:I1796, 6, FALSE), 'List of Error Codes'!$E$29)
)</f>
        <v>Please select ERROR CODE column "I"</v>
      </c>
      <c r="M1767" s="209"/>
      <c r="N1767" s="209"/>
      <c r="O1767" s="209"/>
      <c r="P1767" s="209"/>
      <c r="Q1767" s="209"/>
      <c r="R1767" s="217"/>
      <c r="S1767" s="217"/>
      <c r="T1767" s="217"/>
      <c r="U1767" s="199"/>
      <c r="V1767" s="200"/>
      <c r="W1767" s="200"/>
      <c r="X1767" s="200"/>
      <c r="Y1767" s="200"/>
      <c r="Z1767" s="200"/>
      <c r="AA1767" s="201"/>
      <c r="AB1767" s="200"/>
      <c r="AC1767" s="200"/>
    </row>
    <row r="1768" ht="15.75" customHeight="1">
      <c r="A1768" s="210">
        <f t="shared" si="1"/>
        <v>1766</v>
      </c>
      <c r="B1768" s="217"/>
      <c r="C1768" s="217" t="str">
        <f>IFERROR(VLOOKUP(B1768, SourceData!$U$3:$V$190, 2, FALSE), "")</f>
        <v/>
      </c>
      <c r="D1768" s="240"/>
      <c r="E1768" s="241"/>
      <c r="F1768" s="248"/>
      <c r="G1768" s="207"/>
      <c r="H1768" s="209"/>
      <c r="I1768" s="209"/>
      <c r="J1768" s="209"/>
      <c r="K1768" s="208" t="str">
        <f>IF(Errors!$I1768=0,SourceData!$B$42,VLOOKUP(Errors!$I1768,SourceData!$A$2:$B$40,2,FALSE))</f>
        <v>Please select ERROR CODE column "I"</v>
      </c>
      <c r="L1768" s="207" t="str">
        <f>IF(Errors!$I1768=0,
    'List of Error Codes'!$E$29,
    IFERROR(VLOOKUP(Errors!$I1768, 'List of Error Codes'!D1767:I1797, 6, FALSE), 'List of Error Codes'!$E$29)
)</f>
        <v>Please select ERROR CODE column "I"</v>
      </c>
      <c r="M1768" s="209"/>
      <c r="N1768" s="209"/>
      <c r="O1768" s="209"/>
      <c r="P1768" s="209"/>
      <c r="Q1768" s="209"/>
      <c r="R1768" s="217"/>
      <c r="S1768" s="217"/>
      <c r="T1768" s="217"/>
      <c r="U1768" s="199"/>
      <c r="V1768" s="200"/>
      <c r="W1768" s="200"/>
      <c r="X1768" s="200"/>
      <c r="Y1768" s="200"/>
      <c r="Z1768" s="200"/>
      <c r="AA1768" s="201"/>
      <c r="AB1768" s="200"/>
      <c r="AC1768" s="200"/>
    </row>
    <row r="1769" ht="15.75" customHeight="1">
      <c r="A1769" s="210">
        <f t="shared" si="1"/>
        <v>1767</v>
      </c>
      <c r="B1769" s="217"/>
      <c r="C1769" s="217" t="str">
        <f>IFERROR(VLOOKUP(B1769, SourceData!$U$3:$V$190, 2, FALSE), "")</f>
        <v/>
      </c>
      <c r="D1769" s="240"/>
      <c r="E1769" s="241"/>
      <c r="F1769" s="248"/>
      <c r="G1769" s="207"/>
      <c r="H1769" s="209"/>
      <c r="I1769" s="209"/>
      <c r="J1769" s="209"/>
      <c r="K1769" s="208" t="str">
        <f>IF(Errors!$I1769=0,SourceData!$B$42,VLOOKUP(Errors!$I1769,SourceData!$A$2:$B$40,2,FALSE))</f>
        <v>Please select ERROR CODE column "I"</v>
      </c>
      <c r="L1769" s="207" t="str">
        <f>IF(Errors!$I1769=0,
    'List of Error Codes'!$E$29,
    IFERROR(VLOOKUP(Errors!$I1769, 'List of Error Codes'!D1768:I1798, 6, FALSE), 'List of Error Codes'!$E$29)
)</f>
        <v>Please select ERROR CODE column "I"</v>
      </c>
      <c r="M1769" s="209"/>
      <c r="N1769" s="209"/>
      <c r="O1769" s="209"/>
      <c r="P1769" s="209"/>
      <c r="Q1769" s="209"/>
      <c r="R1769" s="217"/>
      <c r="S1769" s="217"/>
      <c r="T1769" s="217"/>
      <c r="U1769" s="199"/>
      <c r="V1769" s="200"/>
      <c r="W1769" s="200"/>
      <c r="X1769" s="200"/>
      <c r="Y1769" s="200"/>
      <c r="Z1769" s="200"/>
      <c r="AA1769" s="201"/>
      <c r="AB1769" s="200"/>
      <c r="AC1769" s="200"/>
    </row>
    <row r="1770" ht="15.75" customHeight="1">
      <c r="A1770" s="210">
        <f t="shared" si="1"/>
        <v>1768</v>
      </c>
      <c r="B1770" s="217"/>
      <c r="C1770" s="217" t="str">
        <f>IFERROR(VLOOKUP(B1770, SourceData!$U$3:$V$190, 2, FALSE), "")</f>
        <v/>
      </c>
      <c r="D1770" s="240"/>
      <c r="E1770" s="241"/>
      <c r="F1770" s="248"/>
      <c r="G1770" s="207"/>
      <c r="H1770" s="209"/>
      <c r="I1770" s="209"/>
      <c r="J1770" s="209"/>
      <c r="K1770" s="208" t="str">
        <f>IF(Errors!$I1770=0,SourceData!$B$42,VLOOKUP(Errors!$I1770,SourceData!$A$2:$B$40,2,FALSE))</f>
        <v>Please select ERROR CODE column "I"</v>
      </c>
      <c r="L1770" s="207" t="str">
        <f>IF(Errors!$I1770=0,
    'List of Error Codes'!$E$29,
    IFERROR(VLOOKUP(Errors!$I1770, 'List of Error Codes'!D1769:I1799, 6, FALSE), 'List of Error Codes'!$E$29)
)</f>
        <v>Please select ERROR CODE column "I"</v>
      </c>
      <c r="M1770" s="209"/>
      <c r="N1770" s="209"/>
      <c r="O1770" s="209"/>
      <c r="P1770" s="209"/>
      <c r="Q1770" s="209"/>
      <c r="R1770" s="217"/>
      <c r="S1770" s="217"/>
      <c r="T1770" s="217"/>
      <c r="U1770" s="199"/>
      <c r="V1770" s="200"/>
      <c r="W1770" s="200"/>
      <c r="X1770" s="200"/>
      <c r="Y1770" s="200"/>
      <c r="Z1770" s="200"/>
      <c r="AA1770" s="201"/>
      <c r="AB1770" s="200"/>
      <c r="AC1770" s="200"/>
    </row>
    <row r="1771" ht="15.75" customHeight="1">
      <c r="A1771" s="210">
        <f t="shared" si="1"/>
        <v>1769</v>
      </c>
      <c r="B1771" s="217"/>
      <c r="C1771" s="217" t="str">
        <f>IFERROR(VLOOKUP(B1771, SourceData!$U$3:$V$190, 2, FALSE), "")</f>
        <v/>
      </c>
      <c r="D1771" s="240"/>
      <c r="E1771" s="241"/>
      <c r="F1771" s="248"/>
      <c r="G1771" s="207"/>
      <c r="H1771" s="209"/>
      <c r="I1771" s="209"/>
      <c r="J1771" s="209"/>
      <c r="K1771" s="208" t="str">
        <f>IF(Errors!$I1771=0,SourceData!$B$42,VLOOKUP(Errors!$I1771,SourceData!$A$2:$B$40,2,FALSE))</f>
        <v>Please select ERROR CODE column "I"</v>
      </c>
      <c r="L1771" s="207" t="str">
        <f>IF(Errors!$I1771=0,
    'List of Error Codes'!$E$29,
    IFERROR(VLOOKUP(Errors!$I1771, 'List of Error Codes'!D1770:I1800, 6, FALSE), 'List of Error Codes'!$E$29)
)</f>
        <v>Please select ERROR CODE column "I"</v>
      </c>
      <c r="M1771" s="209"/>
      <c r="N1771" s="209"/>
      <c r="O1771" s="209"/>
      <c r="P1771" s="209"/>
      <c r="Q1771" s="209"/>
      <c r="R1771" s="217"/>
      <c r="S1771" s="217"/>
      <c r="T1771" s="217"/>
      <c r="U1771" s="199"/>
      <c r="V1771" s="200"/>
      <c r="W1771" s="200"/>
      <c r="X1771" s="200"/>
      <c r="Y1771" s="200"/>
      <c r="Z1771" s="200"/>
      <c r="AA1771" s="201"/>
      <c r="AB1771" s="200"/>
      <c r="AC1771" s="200"/>
    </row>
    <row r="1772" ht="15.75" customHeight="1">
      <c r="A1772" s="210">
        <f t="shared" si="1"/>
        <v>1770</v>
      </c>
      <c r="B1772" s="217"/>
      <c r="C1772" s="217" t="str">
        <f>IFERROR(VLOOKUP(B1772, SourceData!$U$3:$V$190, 2, FALSE), "")</f>
        <v/>
      </c>
      <c r="D1772" s="240"/>
      <c r="E1772" s="241"/>
      <c r="F1772" s="248"/>
      <c r="G1772" s="207"/>
      <c r="H1772" s="209"/>
      <c r="I1772" s="209"/>
      <c r="J1772" s="209"/>
      <c r="K1772" s="208" t="str">
        <f>IF(Errors!$I1772=0,SourceData!$B$42,VLOOKUP(Errors!$I1772,SourceData!$A$2:$B$40,2,FALSE))</f>
        <v>Please select ERROR CODE column "I"</v>
      </c>
      <c r="L1772" s="207" t="str">
        <f>IF(Errors!$I1772=0,
    'List of Error Codes'!$E$29,
    IFERROR(VLOOKUP(Errors!$I1772, 'List of Error Codes'!D1771:I1801, 6, FALSE), 'List of Error Codes'!$E$29)
)</f>
        <v>Please select ERROR CODE column "I"</v>
      </c>
      <c r="M1772" s="209"/>
      <c r="N1772" s="209"/>
      <c r="O1772" s="209"/>
      <c r="P1772" s="209"/>
      <c r="Q1772" s="209"/>
      <c r="R1772" s="217"/>
      <c r="S1772" s="217"/>
      <c r="T1772" s="217"/>
      <c r="U1772" s="199"/>
      <c r="V1772" s="200"/>
      <c r="W1772" s="200"/>
      <c r="X1772" s="200"/>
      <c r="Y1772" s="200"/>
      <c r="Z1772" s="200"/>
      <c r="AA1772" s="201"/>
      <c r="AB1772" s="200"/>
      <c r="AC1772" s="200"/>
    </row>
    <row r="1773" ht="15.75" customHeight="1">
      <c r="A1773" s="210">
        <f t="shared" si="1"/>
        <v>1771</v>
      </c>
      <c r="B1773" s="217"/>
      <c r="C1773" s="217" t="str">
        <f>IFERROR(VLOOKUP(B1773, SourceData!$U$3:$V$190, 2, FALSE), "")</f>
        <v/>
      </c>
      <c r="D1773" s="240"/>
      <c r="E1773" s="241"/>
      <c r="F1773" s="248"/>
      <c r="G1773" s="207"/>
      <c r="H1773" s="209"/>
      <c r="I1773" s="209"/>
      <c r="J1773" s="209"/>
      <c r="K1773" s="208" t="str">
        <f>IF(Errors!$I1773=0,SourceData!$B$42,VLOOKUP(Errors!$I1773,SourceData!$A$2:$B$40,2,FALSE))</f>
        <v>Please select ERROR CODE column "I"</v>
      </c>
      <c r="L1773" s="207" t="str">
        <f>IF(Errors!$I1773=0,
    'List of Error Codes'!$E$29,
    IFERROR(VLOOKUP(Errors!$I1773, 'List of Error Codes'!D1772:I1802, 6, FALSE), 'List of Error Codes'!$E$29)
)</f>
        <v>Please select ERROR CODE column "I"</v>
      </c>
      <c r="M1773" s="209"/>
      <c r="N1773" s="209"/>
      <c r="O1773" s="209"/>
      <c r="P1773" s="209"/>
      <c r="Q1773" s="209"/>
      <c r="R1773" s="217"/>
      <c r="S1773" s="217"/>
      <c r="T1773" s="217"/>
      <c r="U1773" s="199"/>
      <c r="V1773" s="200"/>
      <c r="W1773" s="200"/>
      <c r="X1773" s="200"/>
      <c r="Y1773" s="200"/>
      <c r="Z1773" s="200"/>
      <c r="AA1773" s="201"/>
      <c r="AB1773" s="200"/>
      <c r="AC1773" s="200"/>
    </row>
    <row r="1774" ht="15.75" customHeight="1">
      <c r="A1774" s="210">
        <f t="shared" si="1"/>
        <v>1772</v>
      </c>
      <c r="B1774" s="217"/>
      <c r="C1774" s="217" t="str">
        <f>IFERROR(VLOOKUP(B1774, SourceData!$U$3:$V$190, 2, FALSE), "")</f>
        <v/>
      </c>
      <c r="D1774" s="240"/>
      <c r="E1774" s="241"/>
      <c r="F1774" s="248"/>
      <c r="G1774" s="207"/>
      <c r="H1774" s="209"/>
      <c r="I1774" s="209"/>
      <c r="J1774" s="209"/>
      <c r="K1774" s="208" t="str">
        <f>IF(Errors!$I1774=0,SourceData!$B$42,VLOOKUP(Errors!$I1774,SourceData!$A$2:$B$40,2,FALSE))</f>
        <v>Please select ERROR CODE column "I"</v>
      </c>
      <c r="L1774" s="207" t="str">
        <f>IF(Errors!$I1774=0,
    'List of Error Codes'!$E$29,
    IFERROR(VLOOKUP(Errors!$I1774, 'List of Error Codes'!D1773:I1803, 6, FALSE), 'List of Error Codes'!$E$29)
)</f>
        <v>Please select ERROR CODE column "I"</v>
      </c>
      <c r="M1774" s="209"/>
      <c r="N1774" s="209"/>
      <c r="O1774" s="209"/>
      <c r="P1774" s="209"/>
      <c r="Q1774" s="209"/>
      <c r="R1774" s="217"/>
      <c r="S1774" s="217"/>
      <c r="T1774" s="217"/>
      <c r="U1774" s="199"/>
      <c r="V1774" s="200"/>
      <c r="W1774" s="200"/>
      <c r="X1774" s="200"/>
      <c r="Y1774" s="200"/>
      <c r="Z1774" s="200"/>
      <c r="AA1774" s="201"/>
      <c r="AB1774" s="200"/>
      <c r="AC1774" s="200"/>
    </row>
    <row r="1775" ht="15.75" customHeight="1">
      <c r="A1775" s="210">
        <f t="shared" si="1"/>
        <v>1773</v>
      </c>
      <c r="B1775" s="217"/>
      <c r="C1775" s="217" t="str">
        <f>IFERROR(VLOOKUP(B1775, SourceData!$U$3:$V$190, 2, FALSE), "")</f>
        <v/>
      </c>
      <c r="D1775" s="240"/>
      <c r="E1775" s="241"/>
      <c r="F1775" s="248"/>
      <c r="G1775" s="207"/>
      <c r="H1775" s="209"/>
      <c r="I1775" s="209"/>
      <c r="J1775" s="209"/>
      <c r="K1775" s="208" t="str">
        <f>IF(Errors!$I1775=0,SourceData!$B$42,VLOOKUP(Errors!$I1775,SourceData!$A$2:$B$40,2,FALSE))</f>
        <v>Please select ERROR CODE column "I"</v>
      </c>
      <c r="L1775" s="207" t="str">
        <f>IF(Errors!$I1775=0,
    'List of Error Codes'!$E$29,
    IFERROR(VLOOKUP(Errors!$I1775, 'List of Error Codes'!D1774:I1804, 6, FALSE), 'List of Error Codes'!$E$29)
)</f>
        <v>Please select ERROR CODE column "I"</v>
      </c>
      <c r="M1775" s="209"/>
      <c r="N1775" s="209"/>
      <c r="O1775" s="209"/>
      <c r="P1775" s="209"/>
      <c r="Q1775" s="209"/>
      <c r="R1775" s="217"/>
      <c r="S1775" s="217"/>
      <c r="T1775" s="217"/>
      <c r="U1775" s="199"/>
      <c r="V1775" s="200"/>
      <c r="W1775" s="200"/>
      <c r="X1775" s="200"/>
      <c r="Y1775" s="200"/>
      <c r="Z1775" s="200"/>
      <c r="AA1775" s="201"/>
      <c r="AB1775" s="200"/>
      <c r="AC1775" s="200"/>
    </row>
    <row r="1776" ht="15.75" customHeight="1">
      <c r="A1776" s="210">
        <f t="shared" si="1"/>
        <v>1774</v>
      </c>
      <c r="B1776" s="217"/>
      <c r="C1776" s="217" t="str">
        <f>IFERROR(VLOOKUP(B1776, SourceData!$U$3:$V$190, 2, FALSE), "")</f>
        <v/>
      </c>
      <c r="D1776" s="240"/>
      <c r="E1776" s="241"/>
      <c r="F1776" s="248"/>
      <c r="G1776" s="207"/>
      <c r="H1776" s="209"/>
      <c r="I1776" s="209"/>
      <c r="J1776" s="209"/>
      <c r="K1776" s="208" t="str">
        <f>IF(Errors!$I1776=0,SourceData!$B$42,VLOOKUP(Errors!$I1776,SourceData!$A$2:$B$40,2,FALSE))</f>
        <v>Please select ERROR CODE column "I"</v>
      </c>
      <c r="L1776" s="207" t="str">
        <f>IF(Errors!$I1776=0,
    'List of Error Codes'!$E$29,
    IFERROR(VLOOKUP(Errors!$I1776, 'List of Error Codes'!D1775:I1805, 6, FALSE), 'List of Error Codes'!$E$29)
)</f>
        <v>Please select ERROR CODE column "I"</v>
      </c>
      <c r="M1776" s="209"/>
      <c r="N1776" s="209"/>
      <c r="O1776" s="209"/>
      <c r="P1776" s="209"/>
      <c r="Q1776" s="209"/>
      <c r="R1776" s="217"/>
      <c r="S1776" s="217"/>
      <c r="T1776" s="217"/>
      <c r="U1776" s="199"/>
      <c r="V1776" s="200"/>
      <c r="W1776" s="200"/>
      <c r="X1776" s="200"/>
      <c r="Y1776" s="200"/>
      <c r="Z1776" s="200"/>
      <c r="AA1776" s="201"/>
      <c r="AB1776" s="200"/>
      <c r="AC1776" s="200"/>
    </row>
    <row r="1777" ht="15.75" customHeight="1">
      <c r="A1777" s="210">
        <f t="shared" si="1"/>
        <v>1775</v>
      </c>
      <c r="B1777" s="217"/>
      <c r="C1777" s="217" t="str">
        <f>IFERROR(VLOOKUP(B1777, SourceData!$U$3:$V$190, 2, FALSE), "")</f>
        <v/>
      </c>
      <c r="D1777" s="240"/>
      <c r="E1777" s="241"/>
      <c r="F1777" s="248"/>
      <c r="G1777" s="207"/>
      <c r="H1777" s="209"/>
      <c r="I1777" s="209"/>
      <c r="J1777" s="209"/>
      <c r="K1777" s="208" t="str">
        <f>IF(Errors!$I1777=0,SourceData!$B$42,VLOOKUP(Errors!$I1777,SourceData!$A$2:$B$40,2,FALSE))</f>
        <v>Please select ERROR CODE column "I"</v>
      </c>
      <c r="L1777" s="207" t="str">
        <f>IF(Errors!$I1777=0,
    'List of Error Codes'!$E$29,
    IFERROR(VLOOKUP(Errors!$I1777, 'List of Error Codes'!D1776:I1806, 6, FALSE), 'List of Error Codes'!$E$29)
)</f>
        <v>Please select ERROR CODE column "I"</v>
      </c>
      <c r="M1777" s="209"/>
      <c r="N1777" s="209"/>
      <c r="O1777" s="209"/>
      <c r="P1777" s="209"/>
      <c r="Q1777" s="209"/>
      <c r="R1777" s="217"/>
      <c r="S1777" s="217"/>
      <c r="T1777" s="217"/>
      <c r="U1777" s="199"/>
      <c r="V1777" s="200"/>
      <c r="W1777" s="200"/>
      <c r="X1777" s="200"/>
      <c r="Y1777" s="200"/>
      <c r="Z1777" s="200"/>
      <c r="AA1777" s="201"/>
      <c r="AB1777" s="200"/>
      <c r="AC1777" s="200"/>
    </row>
    <row r="1778" ht="15.75" customHeight="1">
      <c r="A1778" s="210">
        <f t="shared" si="1"/>
        <v>1776</v>
      </c>
      <c r="B1778" s="217"/>
      <c r="C1778" s="217" t="str">
        <f>IFERROR(VLOOKUP(B1778, SourceData!$U$3:$V$190, 2, FALSE), "")</f>
        <v/>
      </c>
      <c r="D1778" s="240"/>
      <c r="E1778" s="241"/>
      <c r="F1778" s="248"/>
      <c r="G1778" s="207"/>
      <c r="H1778" s="209"/>
      <c r="I1778" s="209"/>
      <c r="J1778" s="209"/>
      <c r="K1778" s="208" t="str">
        <f>IF(Errors!$I1778=0,SourceData!$B$42,VLOOKUP(Errors!$I1778,SourceData!$A$2:$B$40,2,FALSE))</f>
        <v>Please select ERROR CODE column "I"</v>
      </c>
      <c r="L1778" s="207" t="str">
        <f>IF(Errors!$I1778=0,
    'List of Error Codes'!$E$29,
    IFERROR(VLOOKUP(Errors!$I1778, 'List of Error Codes'!D1777:I1807, 6, FALSE), 'List of Error Codes'!$E$29)
)</f>
        <v>Please select ERROR CODE column "I"</v>
      </c>
      <c r="M1778" s="209"/>
      <c r="N1778" s="209"/>
      <c r="O1778" s="209"/>
      <c r="P1778" s="209"/>
      <c r="Q1778" s="209"/>
      <c r="R1778" s="217"/>
      <c r="S1778" s="217"/>
      <c r="T1778" s="217"/>
      <c r="U1778" s="199"/>
      <c r="V1778" s="200"/>
      <c r="W1778" s="200"/>
      <c r="X1778" s="200"/>
      <c r="Y1778" s="200"/>
      <c r="Z1778" s="200"/>
      <c r="AA1778" s="201"/>
      <c r="AB1778" s="200"/>
      <c r="AC1778" s="200"/>
    </row>
    <row r="1779" ht="15.75" customHeight="1">
      <c r="A1779" s="210">
        <f t="shared" si="1"/>
        <v>1777</v>
      </c>
      <c r="B1779" s="217"/>
      <c r="C1779" s="217" t="str">
        <f>IFERROR(VLOOKUP(B1779, SourceData!$U$3:$V$190, 2, FALSE), "")</f>
        <v/>
      </c>
      <c r="D1779" s="240"/>
      <c r="E1779" s="241"/>
      <c r="F1779" s="248"/>
      <c r="G1779" s="207"/>
      <c r="H1779" s="209"/>
      <c r="I1779" s="209"/>
      <c r="J1779" s="209"/>
      <c r="K1779" s="208" t="str">
        <f>IF(Errors!$I1779=0,SourceData!$B$42,VLOOKUP(Errors!$I1779,SourceData!$A$2:$B$40,2,FALSE))</f>
        <v>Please select ERROR CODE column "I"</v>
      </c>
      <c r="L1779" s="207" t="str">
        <f>IF(Errors!$I1779=0,
    'List of Error Codes'!$E$29,
    IFERROR(VLOOKUP(Errors!$I1779, 'List of Error Codes'!D1778:I1808, 6, FALSE), 'List of Error Codes'!$E$29)
)</f>
        <v>Please select ERROR CODE column "I"</v>
      </c>
      <c r="M1779" s="209"/>
      <c r="N1779" s="209"/>
      <c r="O1779" s="209"/>
      <c r="P1779" s="209"/>
      <c r="Q1779" s="209"/>
      <c r="R1779" s="217"/>
      <c r="S1779" s="217"/>
      <c r="T1779" s="217"/>
      <c r="U1779" s="199"/>
      <c r="V1779" s="200"/>
      <c r="W1779" s="200"/>
      <c r="X1779" s="200"/>
      <c r="Y1779" s="200"/>
      <c r="Z1779" s="200"/>
      <c r="AA1779" s="201"/>
      <c r="AB1779" s="200"/>
      <c r="AC1779" s="200"/>
    </row>
    <row r="1780" ht="15.75" customHeight="1">
      <c r="A1780" s="210">
        <f t="shared" si="1"/>
        <v>1778</v>
      </c>
      <c r="B1780" s="217"/>
      <c r="C1780" s="217" t="str">
        <f>IFERROR(VLOOKUP(B1780, SourceData!$U$3:$V$190, 2, FALSE), "")</f>
        <v/>
      </c>
      <c r="D1780" s="240"/>
      <c r="E1780" s="241"/>
      <c r="F1780" s="248"/>
      <c r="G1780" s="207"/>
      <c r="H1780" s="209"/>
      <c r="I1780" s="209"/>
      <c r="J1780" s="209"/>
      <c r="K1780" s="208" t="str">
        <f>IF(Errors!$I1780=0,SourceData!$B$42,VLOOKUP(Errors!$I1780,SourceData!$A$2:$B$40,2,FALSE))</f>
        <v>Please select ERROR CODE column "I"</v>
      </c>
      <c r="L1780" s="207" t="str">
        <f>IF(Errors!$I1780=0,
    'List of Error Codes'!$E$29,
    IFERROR(VLOOKUP(Errors!$I1780, 'List of Error Codes'!D1779:I1809, 6, FALSE), 'List of Error Codes'!$E$29)
)</f>
        <v>Please select ERROR CODE column "I"</v>
      </c>
      <c r="M1780" s="209"/>
      <c r="N1780" s="209"/>
      <c r="O1780" s="209"/>
      <c r="P1780" s="209"/>
      <c r="Q1780" s="209"/>
      <c r="R1780" s="217"/>
      <c r="S1780" s="217"/>
      <c r="T1780" s="217"/>
      <c r="U1780" s="199"/>
      <c r="V1780" s="200"/>
      <c r="W1780" s="200"/>
      <c r="X1780" s="200"/>
      <c r="Y1780" s="200"/>
      <c r="Z1780" s="200"/>
      <c r="AA1780" s="201"/>
      <c r="AB1780" s="200"/>
      <c r="AC1780" s="200"/>
    </row>
    <row r="1781" ht="15.75" customHeight="1">
      <c r="A1781" s="210">
        <f t="shared" si="1"/>
        <v>1779</v>
      </c>
      <c r="B1781" s="217"/>
      <c r="C1781" s="217" t="str">
        <f>IFERROR(VLOOKUP(B1781, SourceData!$U$3:$V$190, 2, FALSE), "")</f>
        <v/>
      </c>
      <c r="D1781" s="240"/>
      <c r="E1781" s="241"/>
      <c r="F1781" s="248"/>
      <c r="G1781" s="207"/>
      <c r="H1781" s="209"/>
      <c r="I1781" s="209"/>
      <c r="J1781" s="209"/>
      <c r="K1781" s="208" t="str">
        <f>IF(Errors!$I1781=0,SourceData!$B$42,VLOOKUP(Errors!$I1781,SourceData!$A$2:$B$40,2,FALSE))</f>
        <v>Please select ERROR CODE column "I"</v>
      </c>
      <c r="L1781" s="207" t="str">
        <f>IF(Errors!$I1781=0,
    'List of Error Codes'!$E$29,
    IFERROR(VLOOKUP(Errors!$I1781, 'List of Error Codes'!D1780:I1810, 6, FALSE), 'List of Error Codes'!$E$29)
)</f>
        <v>Please select ERROR CODE column "I"</v>
      </c>
      <c r="M1781" s="209"/>
      <c r="N1781" s="209"/>
      <c r="O1781" s="209"/>
      <c r="P1781" s="209"/>
      <c r="Q1781" s="209"/>
      <c r="R1781" s="217"/>
      <c r="S1781" s="217"/>
      <c r="T1781" s="217"/>
      <c r="U1781" s="199"/>
      <c r="V1781" s="200"/>
      <c r="W1781" s="200"/>
      <c r="X1781" s="200"/>
      <c r="Y1781" s="200"/>
      <c r="Z1781" s="200"/>
      <c r="AA1781" s="201"/>
      <c r="AB1781" s="200"/>
      <c r="AC1781" s="200"/>
    </row>
    <row r="1782" ht="15.75" customHeight="1">
      <c r="A1782" s="210">
        <f t="shared" si="1"/>
        <v>1780</v>
      </c>
      <c r="B1782" s="217"/>
      <c r="C1782" s="217" t="str">
        <f>IFERROR(VLOOKUP(B1782, SourceData!$U$3:$V$190, 2, FALSE), "")</f>
        <v/>
      </c>
      <c r="D1782" s="240"/>
      <c r="E1782" s="241"/>
      <c r="F1782" s="248"/>
      <c r="G1782" s="207"/>
      <c r="H1782" s="209"/>
      <c r="I1782" s="209"/>
      <c r="J1782" s="209"/>
      <c r="K1782" s="208" t="str">
        <f>IF(Errors!$I1782=0,SourceData!$B$42,VLOOKUP(Errors!$I1782,SourceData!$A$2:$B$40,2,FALSE))</f>
        <v>Please select ERROR CODE column "I"</v>
      </c>
      <c r="L1782" s="207" t="str">
        <f>IF(Errors!$I1782=0,
    'List of Error Codes'!$E$29,
    IFERROR(VLOOKUP(Errors!$I1782, 'List of Error Codes'!D1781:I1811, 6, FALSE), 'List of Error Codes'!$E$29)
)</f>
        <v>Please select ERROR CODE column "I"</v>
      </c>
      <c r="M1782" s="209"/>
      <c r="N1782" s="209"/>
      <c r="O1782" s="209"/>
      <c r="P1782" s="209"/>
      <c r="Q1782" s="209"/>
      <c r="R1782" s="217"/>
      <c r="S1782" s="217"/>
      <c r="T1782" s="217"/>
      <c r="U1782" s="199"/>
      <c r="V1782" s="200"/>
      <c r="W1782" s="200"/>
      <c r="X1782" s="200"/>
      <c r="Y1782" s="200"/>
      <c r="Z1782" s="200"/>
      <c r="AA1782" s="201"/>
      <c r="AB1782" s="200"/>
      <c r="AC1782" s="200"/>
    </row>
    <row r="1783" ht="15.75" customHeight="1">
      <c r="A1783" s="210">
        <f t="shared" si="1"/>
        <v>1781</v>
      </c>
      <c r="B1783" s="217"/>
      <c r="C1783" s="217" t="str">
        <f>IFERROR(VLOOKUP(B1783, SourceData!$U$3:$V$190, 2, FALSE), "")</f>
        <v/>
      </c>
      <c r="D1783" s="240"/>
      <c r="E1783" s="241"/>
      <c r="F1783" s="248"/>
      <c r="G1783" s="207"/>
      <c r="H1783" s="209"/>
      <c r="I1783" s="209"/>
      <c r="J1783" s="209"/>
      <c r="K1783" s="208" t="str">
        <f>IF(Errors!$I1783=0,SourceData!$B$42,VLOOKUP(Errors!$I1783,SourceData!$A$2:$B$40,2,FALSE))</f>
        <v>Please select ERROR CODE column "I"</v>
      </c>
      <c r="L1783" s="207" t="str">
        <f>IF(Errors!$I1783=0,
    'List of Error Codes'!$E$29,
    IFERROR(VLOOKUP(Errors!$I1783, 'List of Error Codes'!D1782:I1812, 6, FALSE), 'List of Error Codes'!$E$29)
)</f>
        <v>Please select ERROR CODE column "I"</v>
      </c>
      <c r="M1783" s="209"/>
      <c r="N1783" s="209"/>
      <c r="O1783" s="209"/>
      <c r="P1783" s="209"/>
      <c r="Q1783" s="209"/>
      <c r="R1783" s="217"/>
      <c r="S1783" s="217"/>
      <c r="T1783" s="217"/>
      <c r="U1783" s="199"/>
      <c r="V1783" s="200"/>
      <c r="W1783" s="200"/>
      <c r="X1783" s="200"/>
      <c r="Y1783" s="200"/>
      <c r="Z1783" s="200"/>
      <c r="AA1783" s="201"/>
      <c r="AB1783" s="200"/>
      <c r="AC1783" s="200"/>
    </row>
    <row r="1784" ht="15.75" customHeight="1">
      <c r="A1784" s="210">
        <f t="shared" si="1"/>
        <v>1782</v>
      </c>
      <c r="B1784" s="217"/>
      <c r="C1784" s="217" t="str">
        <f>IFERROR(VLOOKUP(B1784, SourceData!$U$3:$V$190, 2, FALSE), "")</f>
        <v/>
      </c>
      <c r="D1784" s="240"/>
      <c r="E1784" s="241"/>
      <c r="F1784" s="248"/>
      <c r="G1784" s="207"/>
      <c r="H1784" s="209"/>
      <c r="I1784" s="209"/>
      <c r="J1784" s="209"/>
      <c r="K1784" s="208" t="str">
        <f>IF(Errors!$I1784=0,SourceData!$B$42,VLOOKUP(Errors!$I1784,SourceData!$A$2:$B$40,2,FALSE))</f>
        <v>Please select ERROR CODE column "I"</v>
      </c>
      <c r="L1784" s="207" t="str">
        <f>IF(Errors!$I1784=0,
    'List of Error Codes'!$E$29,
    IFERROR(VLOOKUP(Errors!$I1784, 'List of Error Codes'!D1783:I1813, 6, FALSE), 'List of Error Codes'!$E$29)
)</f>
        <v>Please select ERROR CODE column "I"</v>
      </c>
      <c r="M1784" s="209"/>
      <c r="N1784" s="209"/>
      <c r="O1784" s="209"/>
      <c r="P1784" s="209"/>
      <c r="Q1784" s="209"/>
      <c r="R1784" s="217"/>
      <c r="S1784" s="217"/>
      <c r="T1784" s="217"/>
      <c r="U1784" s="199"/>
      <c r="V1784" s="200"/>
      <c r="W1784" s="200"/>
      <c r="X1784" s="200"/>
      <c r="Y1784" s="200"/>
      <c r="Z1784" s="200"/>
      <c r="AA1784" s="201"/>
      <c r="AB1784" s="200"/>
      <c r="AC1784" s="200"/>
    </row>
    <row r="1785" ht="15.75" customHeight="1">
      <c r="A1785" s="210">
        <f t="shared" si="1"/>
        <v>1783</v>
      </c>
      <c r="B1785" s="217"/>
      <c r="C1785" s="217" t="str">
        <f>IFERROR(VLOOKUP(B1785, SourceData!$U$3:$V$190, 2, FALSE), "")</f>
        <v/>
      </c>
      <c r="D1785" s="240"/>
      <c r="E1785" s="241"/>
      <c r="F1785" s="248"/>
      <c r="G1785" s="207"/>
      <c r="H1785" s="209"/>
      <c r="I1785" s="209"/>
      <c r="J1785" s="209"/>
      <c r="K1785" s="208" t="str">
        <f>IF(Errors!$I1785=0,SourceData!$B$42,VLOOKUP(Errors!$I1785,SourceData!$A$2:$B$40,2,FALSE))</f>
        <v>Please select ERROR CODE column "I"</v>
      </c>
      <c r="L1785" s="207" t="str">
        <f>IF(Errors!$I1785=0,
    'List of Error Codes'!$E$29,
    IFERROR(VLOOKUP(Errors!$I1785, 'List of Error Codes'!D1784:I1814, 6, FALSE), 'List of Error Codes'!$E$29)
)</f>
        <v>Please select ERROR CODE column "I"</v>
      </c>
      <c r="M1785" s="209"/>
      <c r="N1785" s="209"/>
      <c r="O1785" s="209"/>
      <c r="P1785" s="209"/>
      <c r="Q1785" s="209"/>
      <c r="R1785" s="217"/>
      <c r="S1785" s="217"/>
      <c r="T1785" s="217"/>
      <c r="U1785" s="199"/>
      <c r="V1785" s="200"/>
      <c r="W1785" s="200"/>
      <c r="X1785" s="200"/>
      <c r="Y1785" s="200"/>
      <c r="Z1785" s="200"/>
      <c r="AA1785" s="201"/>
      <c r="AB1785" s="200"/>
      <c r="AC1785" s="200"/>
    </row>
    <row r="1786" ht="15.75" customHeight="1">
      <c r="A1786" s="210">
        <f t="shared" si="1"/>
        <v>1784</v>
      </c>
      <c r="B1786" s="217"/>
      <c r="C1786" s="217" t="str">
        <f>IFERROR(VLOOKUP(B1786, SourceData!$U$3:$V$190, 2, FALSE), "")</f>
        <v/>
      </c>
      <c r="D1786" s="240"/>
      <c r="E1786" s="241"/>
      <c r="F1786" s="248"/>
      <c r="G1786" s="207"/>
      <c r="H1786" s="209"/>
      <c r="I1786" s="209"/>
      <c r="J1786" s="209"/>
      <c r="K1786" s="208" t="str">
        <f>IF(Errors!$I1786=0,SourceData!$B$42,VLOOKUP(Errors!$I1786,SourceData!$A$2:$B$40,2,FALSE))</f>
        <v>Please select ERROR CODE column "I"</v>
      </c>
      <c r="L1786" s="207" t="str">
        <f>IF(Errors!$I1786=0,
    'List of Error Codes'!$E$29,
    IFERROR(VLOOKUP(Errors!$I1786, 'List of Error Codes'!D1785:I1815, 6, FALSE), 'List of Error Codes'!$E$29)
)</f>
        <v>Please select ERROR CODE column "I"</v>
      </c>
      <c r="M1786" s="209"/>
      <c r="N1786" s="209"/>
      <c r="O1786" s="209"/>
      <c r="P1786" s="209"/>
      <c r="Q1786" s="209"/>
      <c r="R1786" s="217"/>
      <c r="S1786" s="217"/>
      <c r="T1786" s="217"/>
      <c r="U1786" s="199"/>
      <c r="V1786" s="200"/>
      <c r="W1786" s="200"/>
      <c r="X1786" s="200"/>
      <c r="Y1786" s="200"/>
      <c r="Z1786" s="200"/>
      <c r="AA1786" s="201"/>
      <c r="AB1786" s="200"/>
      <c r="AC1786" s="200"/>
    </row>
    <row r="1787" ht="15.75" customHeight="1">
      <c r="A1787" s="210">
        <f t="shared" si="1"/>
        <v>1785</v>
      </c>
      <c r="B1787" s="217"/>
      <c r="C1787" s="217" t="str">
        <f>IFERROR(VLOOKUP(B1787, SourceData!$U$3:$V$190, 2, FALSE), "")</f>
        <v/>
      </c>
      <c r="D1787" s="240"/>
      <c r="E1787" s="241"/>
      <c r="F1787" s="248"/>
      <c r="G1787" s="207"/>
      <c r="H1787" s="209"/>
      <c r="I1787" s="209"/>
      <c r="J1787" s="209"/>
      <c r="K1787" s="208" t="str">
        <f>IF(Errors!$I1787=0,SourceData!$B$42,VLOOKUP(Errors!$I1787,SourceData!$A$2:$B$40,2,FALSE))</f>
        <v>Please select ERROR CODE column "I"</v>
      </c>
      <c r="L1787" s="207" t="str">
        <f>IF(Errors!$I1787=0,
    'List of Error Codes'!$E$29,
    IFERROR(VLOOKUP(Errors!$I1787, 'List of Error Codes'!D1786:I1816, 6, FALSE), 'List of Error Codes'!$E$29)
)</f>
        <v>Please select ERROR CODE column "I"</v>
      </c>
      <c r="M1787" s="209"/>
      <c r="N1787" s="209"/>
      <c r="O1787" s="209"/>
      <c r="P1787" s="209"/>
      <c r="Q1787" s="209"/>
      <c r="R1787" s="217"/>
      <c r="S1787" s="217"/>
      <c r="T1787" s="217"/>
      <c r="U1787" s="199"/>
      <c r="V1787" s="200"/>
      <c r="W1787" s="200"/>
      <c r="X1787" s="200"/>
      <c r="Y1787" s="200"/>
      <c r="Z1787" s="200"/>
      <c r="AA1787" s="201"/>
      <c r="AB1787" s="200"/>
      <c r="AC1787" s="200"/>
    </row>
    <row r="1788" ht="15.75" customHeight="1">
      <c r="A1788" s="210">
        <f t="shared" si="1"/>
        <v>1786</v>
      </c>
      <c r="B1788" s="217"/>
      <c r="C1788" s="217" t="str">
        <f>IFERROR(VLOOKUP(B1788, SourceData!$U$3:$V$190, 2, FALSE), "")</f>
        <v/>
      </c>
      <c r="D1788" s="240"/>
      <c r="E1788" s="241"/>
      <c r="F1788" s="248"/>
      <c r="G1788" s="207"/>
      <c r="H1788" s="209"/>
      <c r="I1788" s="209"/>
      <c r="J1788" s="209"/>
      <c r="K1788" s="208" t="str">
        <f>IF(Errors!$I1788=0,SourceData!$B$42,VLOOKUP(Errors!$I1788,SourceData!$A$2:$B$40,2,FALSE))</f>
        <v>Please select ERROR CODE column "I"</v>
      </c>
      <c r="L1788" s="207" t="str">
        <f>IF(Errors!$I1788=0,
    'List of Error Codes'!$E$29,
    IFERROR(VLOOKUP(Errors!$I1788, 'List of Error Codes'!D1787:I1817, 6, FALSE), 'List of Error Codes'!$E$29)
)</f>
        <v>Please select ERROR CODE column "I"</v>
      </c>
      <c r="M1788" s="209"/>
      <c r="N1788" s="209"/>
      <c r="O1788" s="209"/>
      <c r="P1788" s="209"/>
      <c r="Q1788" s="209"/>
      <c r="R1788" s="217"/>
      <c r="S1788" s="217"/>
      <c r="T1788" s="217"/>
      <c r="U1788" s="199"/>
      <c r="V1788" s="200"/>
      <c r="W1788" s="200"/>
      <c r="X1788" s="200"/>
      <c r="Y1788" s="200"/>
      <c r="Z1788" s="200"/>
      <c r="AA1788" s="201"/>
      <c r="AB1788" s="200"/>
      <c r="AC1788" s="200"/>
    </row>
    <row r="1789" ht="15.75" customHeight="1">
      <c r="A1789" s="210">
        <f t="shared" si="1"/>
        <v>1787</v>
      </c>
      <c r="B1789" s="217"/>
      <c r="C1789" s="217" t="str">
        <f>IFERROR(VLOOKUP(B1789, SourceData!$U$3:$V$190, 2, FALSE), "")</f>
        <v/>
      </c>
      <c r="D1789" s="240"/>
      <c r="E1789" s="241"/>
      <c r="F1789" s="248"/>
      <c r="G1789" s="207"/>
      <c r="H1789" s="209"/>
      <c r="I1789" s="209"/>
      <c r="J1789" s="209"/>
      <c r="K1789" s="208" t="str">
        <f>IF(Errors!$I1789=0,SourceData!$B$42,VLOOKUP(Errors!$I1789,SourceData!$A$2:$B$40,2,FALSE))</f>
        <v>Please select ERROR CODE column "I"</v>
      </c>
      <c r="L1789" s="207" t="str">
        <f>IF(Errors!$I1789=0,
    'List of Error Codes'!$E$29,
    IFERROR(VLOOKUP(Errors!$I1789, 'List of Error Codes'!D1788:I1818, 6, FALSE), 'List of Error Codes'!$E$29)
)</f>
        <v>Please select ERROR CODE column "I"</v>
      </c>
      <c r="M1789" s="209"/>
      <c r="N1789" s="209"/>
      <c r="O1789" s="209"/>
      <c r="P1789" s="209"/>
      <c r="Q1789" s="209"/>
      <c r="R1789" s="217"/>
      <c r="S1789" s="217"/>
      <c r="T1789" s="217"/>
      <c r="U1789" s="199"/>
      <c r="V1789" s="200"/>
      <c r="W1789" s="200"/>
      <c r="X1789" s="200"/>
      <c r="Y1789" s="200"/>
      <c r="Z1789" s="200"/>
      <c r="AA1789" s="201"/>
      <c r="AB1789" s="200"/>
      <c r="AC1789" s="200"/>
    </row>
    <row r="1790" ht="15.75" customHeight="1">
      <c r="A1790" s="210">
        <f t="shared" si="1"/>
        <v>1788</v>
      </c>
      <c r="B1790" s="217"/>
      <c r="C1790" s="217" t="str">
        <f>IFERROR(VLOOKUP(B1790, SourceData!$U$3:$V$190, 2, FALSE), "")</f>
        <v/>
      </c>
      <c r="D1790" s="240"/>
      <c r="E1790" s="241"/>
      <c r="F1790" s="248"/>
      <c r="G1790" s="207"/>
      <c r="H1790" s="209"/>
      <c r="I1790" s="209"/>
      <c r="J1790" s="209"/>
      <c r="K1790" s="208" t="str">
        <f>IF(Errors!$I1790=0,SourceData!$B$42,VLOOKUP(Errors!$I1790,SourceData!$A$2:$B$40,2,FALSE))</f>
        <v>Please select ERROR CODE column "I"</v>
      </c>
      <c r="L1790" s="207" t="str">
        <f>IF(Errors!$I1790=0,
    'List of Error Codes'!$E$29,
    IFERROR(VLOOKUP(Errors!$I1790, 'List of Error Codes'!D1789:I1819, 6, FALSE), 'List of Error Codes'!$E$29)
)</f>
        <v>Please select ERROR CODE column "I"</v>
      </c>
      <c r="M1790" s="209"/>
      <c r="N1790" s="209"/>
      <c r="O1790" s="209"/>
      <c r="P1790" s="209"/>
      <c r="Q1790" s="209"/>
      <c r="R1790" s="217"/>
      <c r="S1790" s="217"/>
      <c r="T1790" s="217"/>
      <c r="U1790" s="199"/>
      <c r="V1790" s="200"/>
      <c r="W1790" s="200"/>
      <c r="X1790" s="200"/>
      <c r="Y1790" s="200"/>
      <c r="Z1790" s="200"/>
      <c r="AA1790" s="201"/>
      <c r="AB1790" s="200"/>
      <c r="AC1790" s="200"/>
    </row>
    <row r="1791" ht="15.75" customHeight="1">
      <c r="A1791" s="210">
        <f t="shared" si="1"/>
        <v>1789</v>
      </c>
      <c r="B1791" s="217"/>
      <c r="C1791" s="217" t="str">
        <f>IFERROR(VLOOKUP(B1791, SourceData!$U$3:$V$190, 2, FALSE), "")</f>
        <v/>
      </c>
      <c r="D1791" s="240"/>
      <c r="E1791" s="241"/>
      <c r="F1791" s="248"/>
      <c r="G1791" s="207"/>
      <c r="H1791" s="209"/>
      <c r="I1791" s="209"/>
      <c r="J1791" s="209"/>
      <c r="K1791" s="208" t="str">
        <f>IF(Errors!$I1791=0,SourceData!$B$42,VLOOKUP(Errors!$I1791,SourceData!$A$2:$B$40,2,FALSE))</f>
        <v>Please select ERROR CODE column "I"</v>
      </c>
      <c r="L1791" s="207" t="str">
        <f>IF(Errors!$I1791=0,
    'List of Error Codes'!$E$29,
    IFERROR(VLOOKUP(Errors!$I1791, 'List of Error Codes'!D1790:I1820, 6, FALSE), 'List of Error Codes'!$E$29)
)</f>
        <v>Please select ERROR CODE column "I"</v>
      </c>
      <c r="M1791" s="209"/>
      <c r="N1791" s="209"/>
      <c r="O1791" s="209"/>
      <c r="P1791" s="209"/>
      <c r="Q1791" s="209"/>
      <c r="R1791" s="217"/>
      <c r="S1791" s="217"/>
      <c r="T1791" s="217"/>
      <c r="U1791" s="199"/>
      <c r="V1791" s="200"/>
      <c r="W1791" s="200"/>
      <c r="X1791" s="200"/>
      <c r="Y1791" s="200"/>
      <c r="Z1791" s="200"/>
      <c r="AA1791" s="201"/>
      <c r="AB1791" s="200"/>
      <c r="AC1791" s="200"/>
    </row>
    <row r="1792" ht="15.75" customHeight="1">
      <c r="A1792" s="210">
        <f t="shared" si="1"/>
        <v>1790</v>
      </c>
      <c r="B1792" s="217"/>
      <c r="C1792" s="217" t="str">
        <f>IFERROR(VLOOKUP(B1792, SourceData!$U$3:$V$190, 2, FALSE), "")</f>
        <v/>
      </c>
      <c r="D1792" s="240"/>
      <c r="E1792" s="241"/>
      <c r="F1792" s="248"/>
      <c r="G1792" s="207"/>
      <c r="H1792" s="209"/>
      <c r="I1792" s="209"/>
      <c r="J1792" s="209"/>
      <c r="K1792" s="208" t="str">
        <f>IF(Errors!$I1792=0,SourceData!$B$42,VLOOKUP(Errors!$I1792,SourceData!$A$2:$B$40,2,FALSE))</f>
        <v>Please select ERROR CODE column "I"</v>
      </c>
      <c r="L1792" s="207" t="str">
        <f>IF(Errors!$I1792=0,
    'List of Error Codes'!$E$29,
    IFERROR(VLOOKUP(Errors!$I1792, 'List of Error Codes'!D1791:I1821, 6, FALSE), 'List of Error Codes'!$E$29)
)</f>
        <v>Please select ERROR CODE column "I"</v>
      </c>
      <c r="M1792" s="209"/>
      <c r="N1792" s="209"/>
      <c r="O1792" s="209"/>
      <c r="P1792" s="209"/>
      <c r="Q1792" s="209"/>
      <c r="R1792" s="217"/>
      <c r="S1792" s="217"/>
      <c r="T1792" s="217"/>
      <c r="U1792" s="199"/>
      <c r="V1792" s="200"/>
      <c r="W1792" s="200"/>
      <c r="X1792" s="200"/>
      <c r="Y1792" s="200"/>
      <c r="Z1792" s="200"/>
      <c r="AA1792" s="201"/>
      <c r="AB1792" s="200"/>
      <c r="AC1792" s="200"/>
    </row>
    <row r="1793" ht="15.75" customHeight="1">
      <c r="A1793" s="210">
        <f t="shared" si="1"/>
        <v>1791</v>
      </c>
      <c r="B1793" s="217"/>
      <c r="C1793" s="217" t="str">
        <f>IFERROR(VLOOKUP(B1793, SourceData!$U$3:$V$190, 2, FALSE), "")</f>
        <v/>
      </c>
      <c r="D1793" s="240"/>
      <c r="E1793" s="241"/>
      <c r="F1793" s="248"/>
      <c r="G1793" s="207"/>
      <c r="H1793" s="209"/>
      <c r="I1793" s="209"/>
      <c r="J1793" s="209"/>
      <c r="K1793" s="208" t="str">
        <f>IF(Errors!$I1793=0,SourceData!$B$42,VLOOKUP(Errors!$I1793,SourceData!$A$2:$B$40,2,FALSE))</f>
        <v>Please select ERROR CODE column "I"</v>
      </c>
      <c r="L1793" s="207" t="str">
        <f>IF(Errors!$I1793=0,
    'List of Error Codes'!$E$29,
    IFERROR(VLOOKUP(Errors!$I1793, 'List of Error Codes'!D1792:I1822, 6, FALSE), 'List of Error Codes'!$E$29)
)</f>
        <v>Please select ERROR CODE column "I"</v>
      </c>
      <c r="M1793" s="209"/>
      <c r="N1793" s="209"/>
      <c r="O1793" s="209"/>
      <c r="P1793" s="209"/>
      <c r="Q1793" s="209"/>
      <c r="R1793" s="217"/>
      <c r="S1793" s="217"/>
      <c r="T1793" s="217"/>
      <c r="U1793" s="199"/>
      <c r="V1793" s="200"/>
      <c r="W1793" s="200"/>
      <c r="X1793" s="200"/>
      <c r="Y1793" s="200"/>
      <c r="Z1793" s="200"/>
      <c r="AA1793" s="201"/>
      <c r="AB1793" s="200"/>
      <c r="AC1793" s="200"/>
    </row>
    <row r="1794" ht="15.75" customHeight="1">
      <c r="A1794" s="210">
        <f t="shared" si="1"/>
        <v>1792</v>
      </c>
      <c r="B1794" s="217"/>
      <c r="C1794" s="217" t="str">
        <f>IFERROR(VLOOKUP(B1794, SourceData!$U$3:$V$190, 2, FALSE), "")</f>
        <v/>
      </c>
      <c r="D1794" s="240"/>
      <c r="E1794" s="241"/>
      <c r="F1794" s="248"/>
      <c r="G1794" s="207"/>
      <c r="H1794" s="209"/>
      <c r="I1794" s="209"/>
      <c r="J1794" s="209"/>
      <c r="K1794" s="208" t="str">
        <f>IF(Errors!$I1794=0,SourceData!$B$42,VLOOKUP(Errors!$I1794,SourceData!$A$2:$B$40,2,FALSE))</f>
        <v>Please select ERROR CODE column "I"</v>
      </c>
      <c r="L1794" s="207" t="str">
        <f>IF(Errors!$I1794=0,
    'List of Error Codes'!$E$29,
    IFERROR(VLOOKUP(Errors!$I1794, 'List of Error Codes'!D1793:I1823, 6, FALSE), 'List of Error Codes'!$E$29)
)</f>
        <v>Please select ERROR CODE column "I"</v>
      </c>
      <c r="M1794" s="209"/>
      <c r="N1794" s="209"/>
      <c r="O1794" s="209"/>
      <c r="P1794" s="209"/>
      <c r="Q1794" s="209"/>
      <c r="R1794" s="217"/>
      <c r="S1794" s="217"/>
      <c r="T1794" s="217"/>
      <c r="U1794" s="199"/>
      <c r="V1794" s="200"/>
      <c r="W1794" s="200"/>
      <c r="X1794" s="200"/>
      <c r="Y1794" s="200"/>
      <c r="Z1794" s="200"/>
      <c r="AA1794" s="201"/>
      <c r="AB1794" s="200"/>
      <c r="AC1794" s="200"/>
    </row>
    <row r="1795" ht="15.75" customHeight="1">
      <c r="A1795" s="210">
        <f t="shared" si="1"/>
        <v>1793</v>
      </c>
      <c r="B1795" s="217"/>
      <c r="C1795" s="217" t="str">
        <f>IFERROR(VLOOKUP(B1795, SourceData!$U$3:$V$190, 2, FALSE), "")</f>
        <v/>
      </c>
      <c r="D1795" s="240"/>
      <c r="E1795" s="241"/>
      <c r="F1795" s="248"/>
      <c r="G1795" s="207"/>
      <c r="H1795" s="209"/>
      <c r="I1795" s="209"/>
      <c r="J1795" s="209"/>
      <c r="K1795" s="208" t="str">
        <f>IF(Errors!$I1795=0,SourceData!$B$42,VLOOKUP(Errors!$I1795,SourceData!$A$2:$B$40,2,FALSE))</f>
        <v>Please select ERROR CODE column "I"</v>
      </c>
      <c r="L1795" s="207" t="str">
        <f>IF(Errors!$I1795=0,
    'List of Error Codes'!$E$29,
    IFERROR(VLOOKUP(Errors!$I1795, 'List of Error Codes'!D1794:I1824, 6, FALSE), 'List of Error Codes'!$E$29)
)</f>
        <v>Please select ERROR CODE column "I"</v>
      </c>
      <c r="M1795" s="209"/>
      <c r="N1795" s="209"/>
      <c r="O1795" s="209"/>
      <c r="P1795" s="209"/>
      <c r="Q1795" s="209"/>
      <c r="R1795" s="217"/>
      <c r="S1795" s="217"/>
      <c r="T1795" s="217"/>
      <c r="U1795" s="199"/>
      <c r="V1795" s="200"/>
      <c r="W1795" s="200"/>
      <c r="X1795" s="200"/>
      <c r="Y1795" s="200"/>
      <c r="Z1795" s="200"/>
      <c r="AA1795" s="201"/>
      <c r="AB1795" s="200"/>
      <c r="AC1795" s="200"/>
    </row>
    <row r="1796" ht="15.75" customHeight="1">
      <c r="A1796" s="210">
        <f t="shared" si="1"/>
        <v>1794</v>
      </c>
      <c r="B1796" s="217"/>
      <c r="C1796" s="217" t="str">
        <f>IFERROR(VLOOKUP(B1796, SourceData!$U$3:$V$190, 2, FALSE), "")</f>
        <v/>
      </c>
      <c r="D1796" s="240"/>
      <c r="E1796" s="241"/>
      <c r="F1796" s="248"/>
      <c r="G1796" s="207"/>
      <c r="H1796" s="209"/>
      <c r="I1796" s="209"/>
      <c r="J1796" s="209"/>
      <c r="K1796" s="208" t="str">
        <f>IF(Errors!$I1796=0,SourceData!$B$42,VLOOKUP(Errors!$I1796,SourceData!$A$2:$B$40,2,FALSE))</f>
        <v>Please select ERROR CODE column "I"</v>
      </c>
      <c r="L1796" s="207" t="str">
        <f>IF(Errors!$I1796=0,
    'List of Error Codes'!$E$29,
    IFERROR(VLOOKUP(Errors!$I1796, 'List of Error Codes'!D1795:I1825, 6, FALSE), 'List of Error Codes'!$E$29)
)</f>
        <v>Please select ERROR CODE column "I"</v>
      </c>
      <c r="M1796" s="209"/>
      <c r="N1796" s="209"/>
      <c r="O1796" s="209"/>
      <c r="P1796" s="209"/>
      <c r="Q1796" s="209"/>
      <c r="R1796" s="217"/>
      <c r="S1796" s="217"/>
      <c r="T1796" s="217"/>
      <c r="U1796" s="199"/>
      <c r="V1796" s="200"/>
      <c r="W1796" s="200"/>
      <c r="X1796" s="200"/>
      <c r="Y1796" s="200"/>
      <c r="Z1796" s="200"/>
      <c r="AA1796" s="201"/>
      <c r="AB1796" s="200"/>
      <c r="AC1796" s="200"/>
    </row>
    <row r="1797" ht="15.75" customHeight="1">
      <c r="A1797" s="210">
        <f t="shared" si="1"/>
        <v>1795</v>
      </c>
      <c r="B1797" s="217"/>
      <c r="C1797" s="217" t="str">
        <f>IFERROR(VLOOKUP(B1797, SourceData!$U$3:$V$190, 2, FALSE), "")</f>
        <v/>
      </c>
      <c r="D1797" s="240"/>
      <c r="E1797" s="241"/>
      <c r="F1797" s="248"/>
      <c r="G1797" s="207"/>
      <c r="H1797" s="209"/>
      <c r="I1797" s="209"/>
      <c r="J1797" s="209"/>
      <c r="K1797" s="208" t="str">
        <f>IF(Errors!$I1797=0,SourceData!$B$42,VLOOKUP(Errors!$I1797,SourceData!$A$2:$B$40,2,FALSE))</f>
        <v>Please select ERROR CODE column "I"</v>
      </c>
      <c r="L1797" s="207" t="str">
        <f>IF(Errors!$I1797=0,
    'List of Error Codes'!$E$29,
    IFERROR(VLOOKUP(Errors!$I1797, 'List of Error Codes'!D1796:I1826, 6, FALSE), 'List of Error Codes'!$E$29)
)</f>
        <v>Please select ERROR CODE column "I"</v>
      </c>
      <c r="M1797" s="209"/>
      <c r="N1797" s="209"/>
      <c r="O1797" s="209"/>
      <c r="P1797" s="209"/>
      <c r="Q1797" s="209"/>
      <c r="R1797" s="217"/>
      <c r="S1797" s="217"/>
      <c r="T1797" s="217"/>
      <c r="U1797" s="199"/>
      <c r="V1797" s="200"/>
      <c r="W1797" s="200"/>
      <c r="X1797" s="200"/>
      <c r="Y1797" s="200"/>
      <c r="Z1797" s="200"/>
      <c r="AA1797" s="201"/>
      <c r="AB1797" s="200"/>
      <c r="AC1797" s="200"/>
    </row>
    <row r="1798" ht="15.75" customHeight="1">
      <c r="A1798" s="210">
        <f t="shared" si="1"/>
        <v>1796</v>
      </c>
      <c r="B1798" s="217"/>
      <c r="C1798" s="217" t="str">
        <f>IFERROR(VLOOKUP(B1798, SourceData!$U$3:$V$190, 2, FALSE), "")</f>
        <v/>
      </c>
      <c r="D1798" s="240"/>
      <c r="E1798" s="241"/>
      <c r="F1798" s="248"/>
      <c r="G1798" s="207"/>
      <c r="H1798" s="209"/>
      <c r="I1798" s="209"/>
      <c r="J1798" s="209"/>
      <c r="K1798" s="208" t="str">
        <f>IF(Errors!$I1798=0,SourceData!$B$42,VLOOKUP(Errors!$I1798,SourceData!$A$2:$B$40,2,FALSE))</f>
        <v>Please select ERROR CODE column "I"</v>
      </c>
      <c r="L1798" s="207" t="str">
        <f>IF(Errors!$I1798=0,
    'List of Error Codes'!$E$29,
    IFERROR(VLOOKUP(Errors!$I1798, 'List of Error Codes'!D1797:I1827, 6, FALSE), 'List of Error Codes'!$E$29)
)</f>
        <v>Please select ERROR CODE column "I"</v>
      </c>
      <c r="M1798" s="209"/>
      <c r="N1798" s="209"/>
      <c r="O1798" s="209"/>
      <c r="P1798" s="209"/>
      <c r="Q1798" s="209"/>
      <c r="R1798" s="217"/>
      <c r="S1798" s="217"/>
      <c r="T1798" s="217"/>
      <c r="U1798" s="199"/>
      <c r="V1798" s="200"/>
      <c r="W1798" s="200"/>
      <c r="X1798" s="200"/>
      <c r="Y1798" s="200"/>
      <c r="Z1798" s="200"/>
      <c r="AA1798" s="201"/>
      <c r="AB1798" s="200"/>
      <c r="AC1798" s="200"/>
    </row>
    <row r="1799" ht="15.75" customHeight="1">
      <c r="A1799" s="210">
        <f t="shared" si="1"/>
        <v>1797</v>
      </c>
      <c r="B1799" s="217"/>
      <c r="C1799" s="217" t="str">
        <f>IFERROR(VLOOKUP(B1799, SourceData!$U$3:$V$190, 2, FALSE), "")</f>
        <v/>
      </c>
      <c r="D1799" s="240"/>
      <c r="E1799" s="241"/>
      <c r="F1799" s="248"/>
      <c r="G1799" s="207"/>
      <c r="H1799" s="209"/>
      <c r="I1799" s="209"/>
      <c r="J1799" s="209"/>
      <c r="K1799" s="208" t="str">
        <f>IF(Errors!$I1799=0,SourceData!$B$42,VLOOKUP(Errors!$I1799,SourceData!$A$2:$B$40,2,FALSE))</f>
        <v>Please select ERROR CODE column "I"</v>
      </c>
      <c r="L1799" s="207" t="str">
        <f>IF(Errors!$I1799=0,
    'List of Error Codes'!$E$29,
    IFERROR(VLOOKUP(Errors!$I1799, 'List of Error Codes'!D1798:I1828, 6, FALSE), 'List of Error Codes'!$E$29)
)</f>
        <v>Please select ERROR CODE column "I"</v>
      </c>
      <c r="M1799" s="209"/>
      <c r="N1799" s="209"/>
      <c r="O1799" s="209"/>
      <c r="P1799" s="209"/>
      <c r="Q1799" s="209"/>
      <c r="R1799" s="217"/>
      <c r="S1799" s="217"/>
      <c r="T1799" s="217"/>
      <c r="U1799" s="199"/>
      <c r="V1799" s="200"/>
      <c r="W1799" s="200"/>
      <c r="X1799" s="200"/>
      <c r="Y1799" s="200"/>
      <c r="Z1799" s="200"/>
      <c r="AA1799" s="201"/>
      <c r="AB1799" s="200"/>
      <c r="AC1799" s="200"/>
    </row>
    <row r="1800" ht="15.75" customHeight="1">
      <c r="A1800" s="210">
        <f t="shared" si="1"/>
        <v>1798</v>
      </c>
      <c r="B1800" s="217"/>
      <c r="C1800" s="217" t="str">
        <f>IFERROR(VLOOKUP(B1800, SourceData!$U$3:$V$190, 2, FALSE), "")</f>
        <v/>
      </c>
      <c r="D1800" s="240"/>
      <c r="E1800" s="241"/>
      <c r="F1800" s="248"/>
      <c r="G1800" s="207"/>
      <c r="H1800" s="209"/>
      <c r="I1800" s="209"/>
      <c r="J1800" s="209"/>
      <c r="K1800" s="208" t="str">
        <f>IF(Errors!$I1800=0,SourceData!$B$42,VLOOKUP(Errors!$I1800,SourceData!$A$2:$B$40,2,FALSE))</f>
        <v>Please select ERROR CODE column "I"</v>
      </c>
      <c r="L1800" s="207" t="str">
        <f>IF(Errors!$I1800=0,
    'List of Error Codes'!$E$29,
    IFERROR(VLOOKUP(Errors!$I1800, 'List of Error Codes'!D1799:I1829, 6, FALSE), 'List of Error Codes'!$E$29)
)</f>
        <v>Please select ERROR CODE column "I"</v>
      </c>
      <c r="M1800" s="209"/>
      <c r="N1800" s="209"/>
      <c r="O1800" s="209"/>
      <c r="P1800" s="209"/>
      <c r="Q1800" s="209"/>
      <c r="R1800" s="217"/>
      <c r="S1800" s="217"/>
      <c r="T1800" s="217"/>
      <c r="U1800" s="199"/>
      <c r="V1800" s="200"/>
      <c r="W1800" s="200"/>
      <c r="X1800" s="200"/>
      <c r="Y1800" s="200"/>
      <c r="Z1800" s="200"/>
      <c r="AA1800" s="201"/>
      <c r="AB1800" s="200"/>
      <c r="AC1800" s="200"/>
    </row>
    <row r="1801" ht="15.75" customHeight="1">
      <c r="A1801" s="210">
        <f t="shared" si="1"/>
        <v>1799</v>
      </c>
      <c r="B1801" s="217"/>
      <c r="C1801" s="217" t="str">
        <f>IFERROR(VLOOKUP(B1801, SourceData!$U$3:$V$190, 2, FALSE), "")</f>
        <v/>
      </c>
      <c r="D1801" s="240"/>
      <c r="E1801" s="241"/>
      <c r="F1801" s="248"/>
      <c r="G1801" s="207"/>
      <c r="H1801" s="209"/>
      <c r="I1801" s="209"/>
      <c r="J1801" s="209"/>
      <c r="K1801" s="208" t="str">
        <f>IF(Errors!$I1801=0,SourceData!$B$42,VLOOKUP(Errors!$I1801,SourceData!$A$2:$B$40,2,FALSE))</f>
        <v>Please select ERROR CODE column "I"</v>
      </c>
      <c r="L1801" s="207" t="str">
        <f>IF(Errors!$I1801=0,
    'List of Error Codes'!$E$29,
    IFERROR(VLOOKUP(Errors!$I1801, 'List of Error Codes'!D1800:I1830, 6, FALSE), 'List of Error Codes'!$E$29)
)</f>
        <v>Please select ERROR CODE column "I"</v>
      </c>
      <c r="M1801" s="209"/>
      <c r="N1801" s="209"/>
      <c r="O1801" s="209"/>
      <c r="P1801" s="209"/>
      <c r="Q1801" s="209"/>
      <c r="R1801" s="217"/>
      <c r="S1801" s="217"/>
      <c r="T1801" s="217"/>
      <c r="U1801" s="199"/>
      <c r="V1801" s="200"/>
      <c r="W1801" s="200"/>
      <c r="X1801" s="200"/>
      <c r="Y1801" s="200"/>
      <c r="Z1801" s="200"/>
      <c r="AA1801" s="201"/>
      <c r="AB1801" s="200"/>
      <c r="AC1801" s="200"/>
    </row>
    <row r="1802" ht="15.75" customHeight="1">
      <c r="A1802" s="210">
        <f t="shared" si="1"/>
        <v>1800</v>
      </c>
      <c r="B1802" s="217"/>
      <c r="C1802" s="217" t="str">
        <f>IFERROR(VLOOKUP(B1802, SourceData!$U$3:$V$190, 2, FALSE), "")</f>
        <v/>
      </c>
      <c r="D1802" s="240"/>
      <c r="E1802" s="241"/>
      <c r="F1802" s="248"/>
      <c r="G1802" s="207"/>
      <c r="H1802" s="209"/>
      <c r="I1802" s="209"/>
      <c r="J1802" s="209"/>
      <c r="K1802" s="208" t="str">
        <f>IF(Errors!$I1802=0,SourceData!$B$42,VLOOKUP(Errors!$I1802,SourceData!$A$2:$B$40,2,FALSE))</f>
        <v>Please select ERROR CODE column "I"</v>
      </c>
      <c r="L1802" s="207" t="str">
        <f>IF(Errors!$I1802=0,
    'List of Error Codes'!$E$29,
    IFERROR(VLOOKUP(Errors!$I1802, 'List of Error Codes'!D1801:I1831, 6, FALSE), 'List of Error Codes'!$E$29)
)</f>
        <v>Please select ERROR CODE column "I"</v>
      </c>
      <c r="M1802" s="209"/>
      <c r="N1802" s="209"/>
      <c r="O1802" s="209"/>
      <c r="P1802" s="209"/>
      <c r="Q1802" s="209"/>
      <c r="R1802" s="217"/>
      <c r="S1802" s="217"/>
      <c r="T1802" s="217"/>
      <c r="U1802" s="199"/>
      <c r="V1802" s="200"/>
      <c r="W1802" s="200"/>
      <c r="X1802" s="200"/>
      <c r="Y1802" s="200"/>
      <c r="Z1802" s="200"/>
      <c r="AA1802" s="201"/>
      <c r="AB1802" s="200"/>
      <c r="AC1802" s="200"/>
    </row>
    <row r="1803" ht="15.75" customHeight="1">
      <c r="A1803" s="210">
        <f t="shared" si="1"/>
        <v>1801</v>
      </c>
      <c r="B1803" s="217"/>
      <c r="C1803" s="217" t="str">
        <f>IFERROR(VLOOKUP(B1803, SourceData!$U$3:$V$190, 2, FALSE), "")</f>
        <v/>
      </c>
      <c r="D1803" s="240"/>
      <c r="E1803" s="241"/>
      <c r="F1803" s="248"/>
      <c r="G1803" s="207"/>
      <c r="H1803" s="209"/>
      <c r="I1803" s="209"/>
      <c r="J1803" s="209"/>
      <c r="K1803" s="208" t="str">
        <f>IF(Errors!$I1803=0,SourceData!$B$42,VLOOKUP(Errors!$I1803,SourceData!$A$2:$B$40,2,FALSE))</f>
        <v>Please select ERROR CODE column "I"</v>
      </c>
      <c r="L1803" s="207" t="str">
        <f>IF(Errors!$I1803=0,
    'List of Error Codes'!$E$29,
    IFERROR(VLOOKUP(Errors!$I1803, 'List of Error Codes'!D1802:I1832, 6, FALSE), 'List of Error Codes'!$E$29)
)</f>
        <v>Please select ERROR CODE column "I"</v>
      </c>
      <c r="M1803" s="209"/>
      <c r="N1803" s="209"/>
      <c r="O1803" s="209"/>
      <c r="P1803" s="209"/>
      <c r="Q1803" s="209"/>
      <c r="R1803" s="217"/>
      <c r="S1803" s="217"/>
      <c r="T1803" s="217"/>
      <c r="U1803" s="199"/>
      <c r="V1803" s="200"/>
      <c r="W1803" s="200"/>
      <c r="X1803" s="200"/>
      <c r="Y1803" s="200"/>
      <c r="Z1803" s="200"/>
      <c r="AA1803" s="201"/>
      <c r="AB1803" s="200"/>
      <c r="AC1803" s="200"/>
    </row>
    <row r="1804" ht="15.75" customHeight="1">
      <c r="A1804" s="210">
        <f t="shared" si="1"/>
        <v>1802</v>
      </c>
      <c r="B1804" s="217"/>
      <c r="C1804" s="217" t="str">
        <f>IFERROR(VLOOKUP(B1804, SourceData!$U$3:$V$190, 2, FALSE), "")</f>
        <v/>
      </c>
      <c r="D1804" s="240"/>
      <c r="E1804" s="241"/>
      <c r="F1804" s="248"/>
      <c r="G1804" s="207"/>
      <c r="H1804" s="209"/>
      <c r="I1804" s="209"/>
      <c r="J1804" s="209"/>
      <c r="K1804" s="208" t="str">
        <f>IF(Errors!$I1804=0,SourceData!$B$42,VLOOKUP(Errors!$I1804,SourceData!$A$2:$B$40,2,FALSE))</f>
        <v>Please select ERROR CODE column "I"</v>
      </c>
      <c r="L1804" s="207" t="str">
        <f>IF(Errors!$I1804=0,
    'List of Error Codes'!$E$29,
    IFERROR(VLOOKUP(Errors!$I1804, 'List of Error Codes'!D1803:I1833, 6, FALSE), 'List of Error Codes'!$E$29)
)</f>
        <v>Please select ERROR CODE column "I"</v>
      </c>
      <c r="M1804" s="209"/>
      <c r="N1804" s="209"/>
      <c r="O1804" s="209"/>
      <c r="P1804" s="209"/>
      <c r="Q1804" s="209"/>
      <c r="R1804" s="217"/>
      <c r="S1804" s="217"/>
      <c r="T1804" s="217"/>
      <c r="U1804" s="199"/>
      <c r="V1804" s="200"/>
      <c r="W1804" s="200"/>
      <c r="X1804" s="200"/>
      <c r="Y1804" s="200"/>
      <c r="Z1804" s="200"/>
      <c r="AA1804" s="201"/>
      <c r="AB1804" s="200"/>
      <c r="AC1804" s="200"/>
    </row>
    <row r="1805" ht="15.75" customHeight="1">
      <c r="A1805" s="210">
        <f t="shared" si="1"/>
        <v>1803</v>
      </c>
      <c r="B1805" s="217"/>
      <c r="C1805" s="217" t="str">
        <f>IFERROR(VLOOKUP(B1805, SourceData!$U$3:$V$190, 2, FALSE), "")</f>
        <v/>
      </c>
      <c r="D1805" s="240"/>
      <c r="E1805" s="241"/>
      <c r="F1805" s="248"/>
      <c r="G1805" s="207"/>
      <c r="H1805" s="209"/>
      <c r="I1805" s="209"/>
      <c r="J1805" s="209"/>
      <c r="K1805" s="208" t="str">
        <f>IF(Errors!$I1805=0,SourceData!$B$42,VLOOKUP(Errors!$I1805,SourceData!$A$2:$B$40,2,FALSE))</f>
        <v>Please select ERROR CODE column "I"</v>
      </c>
      <c r="L1805" s="207" t="str">
        <f>IF(Errors!$I1805=0,
    'List of Error Codes'!$E$29,
    IFERROR(VLOOKUP(Errors!$I1805, 'List of Error Codes'!D1804:I1834, 6, FALSE), 'List of Error Codes'!$E$29)
)</f>
        <v>Please select ERROR CODE column "I"</v>
      </c>
      <c r="M1805" s="209"/>
      <c r="N1805" s="209"/>
      <c r="O1805" s="209"/>
      <c r="P1805" s="209"/>
      <c r="Q1805" s="209"/>
      <c r="R1805" s="217"/>
      <c r="S1805" s="217"/>
      <c r="T1805" s="217"/>
      <c r="U1805" s="199"/>
      <c r="V1805" s="200"/>
      <c r="W1805" s="200"/>
      <c r="X1805" s="200"/>
      <c r="Y1805" s="200"/>
      <c r="Z1805" s="200"/>
      <c r="AA1805" s="201"/>
      <c r="AB1805" s="200"/>
      <c r="AC1805" s="200"/>
    </row>
    <row r="1806" ht="15.75" customHeight="1">
      <c r="A1806" s="210">
        <f t="shared" si="1"/>
        <v>1804</v>
      </c>
      <c r="B1806" s="217"/>
      <c r="C1806" s="217" t="str">
        <f>IFERROR(VLOOKUP(B1806, SourceData!$U$3:$V$190, 2, FALSE), "")</f>
        <v/>
      </c>
      <c r="D1806" s="240"/>
      <c r="E1806" s="241"/>
      <c r="F1806" s="248"/>
      <c r="G1806" s="207"/>
      <c r="H1806" s="209"/>
      <c r="I1806" s="209"/>
      <c r="J1806" s="209"/>
      <c r="K1806" s="208" t="str">
        <f>IF(Errors!$I1806=0,SourceData!$B$42,VLOOKUP(Errors!$I1806,SourceData!$A$2:$B$40,2,FALSE))</f>
        <v>Please select ERROR CODE column "I"</v>
      </c>
      <c r="L1806" s="207" t="str">
        <f>IF(Errors!$I1806=0,
    'List of Error Codes'!$E$29,
    IFERROR(VLOOKUP(Errors!$I1806, 'List of Error Codes'!D1805:I1835, 6, FALSE), 'List of Error Codes'!$E$29)
)</f>
        <v>Please select ERROR CODE column "I"</v>
      </c>
      <c r="M1806" s="209"/>
      <c r="N1806" s="209"/>
      <c r="O1806" s="209"/>
      <c r="P1806" s="209"/>
      <c r="Q1806" s="209"/>
      <c r="R1806" s="217"/>
      <c r="S1806" s="217"/>
      <c r="T1806" s="217"/>
      <c r="U1806" s="199"/>
      <c r="V1806" s="200"/>
      <c r="W1806" s="200"/>
      <c r="X1806" s="200"/>
      <c r="Y1806" s="200"/>
      <c r="Z1806" s="200"/>
      <c r="AA1806" s="201"/>
      <c r="AB1806" s="200"/>
      <c r="AC1806" s="200"/>
    </row>
    <row r="1807" ht="15.75" customHeight="1">
      <c r="A1807" s="210">
        <f t="shared" si="1"/>
        <v>1805</v>
      </c>
      <c r="B1807" s="217"/>
      <c r="C1807" s="217" t="str">
        <f>IFERROR(VLOOKUP(B1807, SourceData!$U$3:$V$190, 2, FALSE), "")</f>
        <v/>
      </c>
      <c r="D1807" s="240"/>
      <c r="E1807" s="241"/>
      <c r="F1807" s="248"/>
      <c r="G1807" s="207"/>
      <c r="H1807" s="209"/>
      <c r="I1807" s="209"/>
      <c r="J1807" s="209"/>
      <c r="K1807" s="208" t="str">
        <f>IF(Errors!$I1807=0,SourceData!$B$42,VLOOKUP(Errors!$I1807,SourceData!$A$2:$B$40,2,FALSE))</f>
        <v>Please select ERROR CODE column "I"</v>
      </c>
      <c r="L1807" s="207" t="str">
        <f>IF(Errors!$I1807=0,
    'List of Error Codes'!$E$29,
    IFERROR(VLOOKUP(Errors!$I1807, 'List of Error Codes'!D1806:I1836, 6, FALSE), 'List of Error Codes'!$E$29)
)</f>
        <v>Please select ERROR CODE column "I"</v>
      </c>
      <c r="M1807" s="209"/>
      <c r="N1807" s="209"/>
      <c r="O1807" s="209"/>
      <c r="P1807" s="209"/>
      <c r="Q1807" s="209"/>
      <c r="R1807" s="217"/>
      <c r="S1807" s="217"/>
      <c r="T1807" s="217"/>
      <c r="U1807" s="199"/>
      <c r="V1807" s="200"/>
      <c r="W1807" s="200"/>
      <c r="X1807" s="200"/>
      <c r="Y1807" s="200"/>
      <c r="Z1807" s="200"/>
      <c r="AA1807" s="201"/>
      <c r="AB1807" s="200"/>
      <c r="AC1807" s="200"/>
    </row>
    <row r="1808" ht="15.75" customHeight="1">
      <c r="A1808" s="210">
        <f t="shared" si="1"/>
        <v>1806</v>
      </c>
      <c r="B1808" s="217"/>
      <c r="C1808" s="217" t="str">
        <f>IFERROR(VLOOKUP(B1808, SourceData!$U$3:$V$190, 2, FALSE), "")</f>
        <v/>
      </c>
      <c r="D1808" s="240"/>
      <c r="E1808" s="241"/>
      <c r="F1808" s="248"/>
      <c r="G1808" s="207"/>
      <c r="H1808" s="209"/>
      <c r="I1808" s="209"/>
      <c r="J1808" s="209"/>
      <c r="K1808" s="208" t="str">
        <f>IF(Errors!$I1808=0,SourceData!$B$42,VLOOKUP(Errors!$I1808,SourceData!$A$2:$B$40,2,FALSE))</f>
        <v>Please select ERROR CODE column "I"</v>
      </c>
      <c r="L1808" s="207" t="str">
        <f>IF(Errors!$I1808=0,
    'List of Error Codes'!$E$29,
    IFERROR(VLOOKUP(Errors!$I1808, 'List of Error Codes'!D1807:I1837, 6, FALSE), 'List of Error Codes'!$E$29)
)</f>
        <v>Please select ERROR CODE column "I"</v>
      </c>
      <c r="M1808" s="209"/>
      <c r="N1808" s="209"/>
      <c r="O1808" s="209"/>
      <c r="P1808" s="209"/>
      <c r="Q1808" s="209"/>
      <c r="R1808" s="217"/>
      <c r="S1808" s="217"/>
      <c r="T1808" s="217"/>
      <c r="U1808" s="199"/>
      <c r="V1808" s="200"/>
      <c r="W1808" s="200"/>
      <c r="X1808" s="200"/>
      <c r="Y1808" s="200"/>
      <c r="Z1808" s="200"/>
      <c r="AA1808" s="201"/>
      <c r="AB1808" s="200"/>
      <c r="AC1808" s="200"/>
    </row>
    <row r="1809" ht="15.75" customHeight="1">
      <c r="A1809" s="210">
        <f t="shared" si="1"/>
        <v>1807</v>
      </c>
      <c r="B1809" s="217"/>
      <c r="C1809" s="217" t="str">
        <f>IFERROR(VLOOKUP(B1809, SourceData!$U$3:$V$190, 2, FALSE), "")</f>
        <v/>
      </c>
      <c r="D1809" s="240"/>
      <c r="E1809" s="241"/>
      <c r="F1809" s="248"/>
      <c r="G1809" s="207"/>
      <c r="H1809" s="209"/>
      <c r="I1809" s="209"/>
      <c r="J1809" s="209"/>
      <c r="K1809" s="208" t="str">
        <f>IF(Errors!$I1809=0,SourceData!$B$42,VLOOKUP(Errors!$I1809,SourceData!$A$2:$B$40,2,FALSE))</f>
        <v>Please select ERROR CODE column "I"</v>
      </c>
      <c r="L1809" s="207" t="str">
        <f>IF(Errors!$I1809=0,
    'List of Error Codes'!$E$29,
    IFERROR(VLOOKUP(Errors!$I1809, 'List of Error Codes'!D1808:I1838, 6, FALSE), 'List of Error Codes'!$E$29)
)</f>
        <v>Please select ERROR CODE column "I"</v>
      </c>
      <c r="M1809" s="209"/>
      <c r="N1809" s="209"/>
      <c r="O1809" s="209"/>
      <c r="P1809" s="209"/>
      <c r="Q1809" s="209"/>
      <c r="R1809" s="217"/>
      <c r="S1809" s="217"/>
      <c r="T1809" s="217"/>
      <c r="U1809" s="199"/>
      <c r="V1809" s="200"/>
      <c r="W1809" s="200"/>
      <c r="X1809" s="200"/>
      <c r="Y1809" s="200"/>
      <c r="Z1809" s="200"/>
      <c r="AA1809" s="201"/>
      <c r="AB1809" s="200"/>
      <c r="AC1809" s="200"/>
    </row>
    <row r="1810" ht="15.75" customHeight="1">
      <c r="A1810" s="210">
        <f t="shared" si="1"/>
        <v>1808</v>
      </c>
      <c r="B1810" s="217"/>
      <c r="C1810" s="217" t="str">
        <f>IFERROR(VLOOKUP(B1810, SourceData!$U$3:$V$190, 2, FALSE), "")</f>
        <v/>
      </c>
      <c r="D1810" s="240"/>
      <c r="E1810" s="241"/>
      <c r="F1810" s="248"/>
      <c r="G1810" s="207"/>
      <c r="H1810" s="209"/>
      <c r="I1810" s="209"/>
      <c r="J1810" s="209"/>
      <c r="K1810" s="208" t="str">
        <f>IF(Errors!$I1810=0,SourceData!$B$42,VLOOKUP(Errors!$I1810,SourceData!$A$2:$B$40,2,FALSE))</f>
        <v>Please select ERROR CODE column "I"</v>
      </c>
      <c r="L1810" s="207" t="str">
        <f>IF(Errors!$I1810=0,
    'List of Error Codes'!$E$29,
    IFERROR(VLOOKUP(Errors!$I1810, 'List of Error Codes'!D1809:I1839, 6, FALSE), 'List of Error Codes'!$E$29)
)</f>
        <v>Please select ERROR CODE column "I"</v>
      </c>
      <c r="M1810" s="209"/>
      <c r="N1810" s="209"/>
      <c r="O1810" s="209"/>
      <c r="P1810" s="209"/>
      <c r="Q1810" s="209"/>
      <c r="R1810" s="217"/>
      <c r="S1810" s="217"/>
      <c r="T1810" s="217"/>
      <c r="U1810" s="199"/>
      <c r="V1810" s="200"/>
      <c r="W1810" s="200"/>
      <c r="X1810" s="200"/>
      <c r="Y1810" s="200"/>
      <c r="Z1810" s="200"/>
      <c r="AA1810" s="201"/>
      <c r="AB1810" s="200"/>
      <c r="AC1810" s="200"/>
    </row>
    <row r="1811" ht="15.75" customHeight="1">
      <c r="A1811" s="210">
        <f t="shared" si="1"/>
        <v>1809</v>
      </c>
      <c r="B1811" s="217"/>
      <c r="C1811" s="217" t="str">
        <f>IFERROR(VLOOKUP(B1811, SourceData!$U$3:$V$190, 2, FALSE), "")</f>
        <v/>
      </c>
      <c r="D1811" s="240"/>
      <c r="E1811" s="241"/>
      <c r="F1811" s="248"/>
      <c r="G1811" s="207"/>
      <c r="H1811" s="209"/>
      <c r="I1811" s="209"/>
      <c r="J1811" s="209"/>
      <c r="K1811" s="208" t="str">
        <f>IF(Errors!$I1811=0,SourceData!$B$42,VLOOKUP(Errors!$I1811,SourceData!$A$2:$B$40,2,FALSE))</f>
        <v>Please select ERROR CODE column "I"</v>
      </c>
      <c r="L1811" s="207" t="str">
        <f>IF(Errors!$I1811=0,
    'List of Error Codes'!$E$29,
    IFERROR(VLOOKUP(Errors!$I1811, 'List of Error Codes'!D1810:I1840, 6, FALSE), 'List of Error Codes'!$E$29)
)</f>
        <v>Please select ERROR CODE column "I"</v>
      </c>
      <c r="M1811" s="209"/>
      <c r="N1811" s="209"/>
      <c r="O1811" s="209"/>
      <c r="P1811" s="209"/>
      <c r="Q1811" s="209"/>
      <c r="R1811" s="217"/>
      <c r="S1811" s="217"/>
      <c r="T1811" s="217"/>
      <c r="U1811" s="199"/>
      <c r="V1811" s="200"/>
      <c r="W1811" s="200"/>
      <c r="X1811" s="200"/>
      <c r="Y1811" s="200"/>
      <c r="Z1811" s="200"/>
      <c r="AA1811" s="201"/>
      <c r="AB1811" s="200"/>
      <c r="AC1811" s="200"/>
    </row>
    <row r="1812" ht="15.75" customHeight="1">
      <c r="A1812" s="210">
        <f t="shared" si="1"/>
        <v>1810</v>
      </c>
      <c r="B1812" s="217"/>
      <c r="C1812" s="217" t="str">
        <f>IFERROR(VLOOKUP(B1812, SourceData!$U$3:$V$190, 2, FALSE), "")</f>
        <v/>
      </c>
      <c r="D1812" s="240"/>
      <c r="E1812" s="241"/>
      <c r="F1812" s="248"/>
      <c r="G1812" s="207"/>
      <c r="H1812" s="209"/>
      <c r="I1812" s="209"/>
      <c r="J1812" s="209"/>
      <c r="K1812" s="208" t="str">
        <f>IF(Errors!$I1812=0,SourceData!$B$42,VLOOKUP(Errors!$I1812,SourceData!$A$2:$B$40,2,FALSE))</f>
        <v>Please select ERROR CODE column "I"</v>
      </c>
      <c r="L1812" s="207" t="str">
        <f>IF(Errors!$I1812=0,
    'List of Error Codes'!$E$29,
    IFERROR(VLOOKUP(Errors!$I1812, 'List of Error Codes'!D1811:I1841, 6, FALSE), 'List of Error Codes'!$E$29)
)</f>
        <v>Please select ERROR CODE column "I"</v>
      </c>
      <c r="M1812" s="209"/>
      <c r="N1812" s="209"/>
      <c r="O1812" s="209"/>
      <c r="P1812" s="209"/>
      <c r="Q1812" s="209"/>
      <c r="R1812" s="217"/>
      <c r="S1812" s="217"/>
      <c r="T1812" s="217"/>
      <c r="U1812" s="199"/>
      <c r="V1812" s="200"/>
      <c r="W1812" s="200"/>
      <c r="X1812" s="200"/>
      <c r="Y1812" s="200"/>
      <c r="Z1812" s="200"/>
      <c r="AA1812" s="201"/>
      <c r="AB1812" s="200"/>
      <c r="AC1812" s="200"/>
    </row>
    <row r="1813" ht="15.75" customHeight="1">
      <c r="A1813" s="210">
        <f t="shared" si="1"/>
        <v>1811</v>
      </c>
      <c r="B1813" s="217"/>
      <c r="C1813" s="217" t="str">
        <f>IFERROR(VLOOKUP(B1813, SourceData!$U$3:$V$190, 2, FALSE), "")</f>
        <v/>
      </c>
      <c r="D1813" s="240"/>
      <c r="E1813" s="241"/>
      <c r="F1813" s="248"/>
      <c r="G1813" s="207"/>
      <c r="H1813" s="209"/>
      <c r="I1813" s="209"/>
      <c r="J1813" s="209"/>
      <c r="K1813" s="208" t="str">
        <f>IF(Errors!$I1813=0,SourceData!$B$42,VLOOKUP(Errors!$I1813,SourceData!$A$2:$B$40,2,FALSE))</f>
        <v>Please select ERROR CODE column "I"</v>
      </c>
      <c r="L1813" s="207" t="str">
        <f>IF(Errors!$I1813=0,
    'List of Error Codes'!$E$29,
    IFERROR(VLOOKUP(Errors!$I1813, 'List of Error Codes'!D1812:I1842, 6, FALSE), 'List of Error Codes'!$E$29)
)</f>
        <v>Please select ERROR CODE column "I"</v>
      </c>
      <c r="M1813" s="209"/>
      <c r="N1813" s="209"/>
      <c r="O1813" s="209"/>
      <c r="P1813" s="209"/>
      <c r="Q1813" s="209"/>
      <c r="R1813" s="217"/>
      <c r="S1813" s="217"/>
      <c r="T1813" s="217"/>
      <c r="U1813" s="199"/>
      <c r="V1813" s="200"/>
      <c r="W1813" s="200"/>
      <c r="X1813" s="200"/>
      <c r="Y1813" s="200"/>
      <c r="Z1813" s="200"/>
      <c r="AA1813" s="201"/>
      <c r="AB1813" s="200"/>
      <c r="AC1813" s="200"/>
    </row>
    <row r="1814" ht="15.75" customHeight="1">
      <c r="A1814" s="210">
        <f t="shared" si="1"/>
        <v>1812</v>
      </c>
      <c r="B1814" s="217"/>
      <c r="C1814" s="217" t="str">
        <f>IFERROR(VLOOKUP(B1814, SourceData!$U$3:$V$190, 2, FALSE), "")</f>
        <v/>
      </c>
      <c r="D1814" s="240"/>
      <c r="E1814" s="241"/>
      <c r="F1814" s="248"/>
      <c r="G1814" s="207"/>
      <c r="H1814" s="209"/>
      <c r="I1814" s="209"/>
      <c r="J1814" s="209"/>
      <c r="K1814" s="208" t="str">
        <f>IF(Errors!$I1814=0,SourceData!$B$42,VLOOKUP(Errors!$I1814,SourceData!$A$2:$B$40,2,FALSE))</f>
        <v>Please select ERROR CODE column "I"</v>
      </c>
      <c r="L1814" s="207" t="str">
        <f>IF(Errors!$I1814=0,
    'List of Error Codes'!$E$29,
    IFERROR(VLOOKUP(Errors!$I1814, 'List of Error Codes'!D1813:I1843, 6, FALSE), 'List of Error Codes'!$E$29)
)</f>
        <v>Please select ERROR CODE column "I"</v>
      </c>
      <c r="M1814" s="209"/>
      <c r="N1814" s="209"/>
      <c r="O1814" s="209"/>
      <c r="P1814" s="209"/>
      <c r="Q1814" s="209"/>
      <c r="R1814" s="217"/>
      <c r="S1814" s="217"/>
      <c r="T1814" s="217"/>
      <c r="U1814" s="199"/>
      <c r="V1814" s="200"/>
      <c r="W1814" s="200"/>
      <c r="X1814" s="200"/>
      <c r="Y1814" s="200"/>
      <c r="Z1814" s="200"/>
      <c r="AA1814" s="201"/>
      <c r="AB1814" s="200"/>
      <c r="AC1814" s="200"/>
    </row>
    <row r="1815" ht="15.75" customHeight="1">
      <c r="A1815" s="210">
        <f t="shared" si="1"/>
        <v>1813</v>
      </c>
      <c r="B1815" s="217"/>
      <c r="C1815" s="217" t="str">
        <f>IFERROR(VLOOKUP(B1815, SourceData!$U$3:$V$190, 2, FALSE), "")</f>
        <v/>
      </c>
      <c r="D1815" s="240"/>
      <c r="E1815" s="241"/>
      <c r="F1815" s="248"/>
      <c r="G1815" s="207"/>
      <c r="H1815" s="209"/>
      <c r="I1815" s="209"/>
      <c r="J1815" s="209"/>
      <c r="K1815" s="208" t="str">
        <f>IF(Errors!$I1815=0,SourceData!$B$42,VLOOKUP(Errors!$I1815,SourceData!$A$2:$B$40,2,FALSE))</f>
        <v>Please select ERROR CODE column "I"</v>
      </c>
      <c r="L1815" s="207" t="str">
        <f>IF(Errors!$I1815=0,
    'List of Error Codes'!$E$29,
    IFERROR(VLOOKUP(Errors!$I1815, 'List of Error Codes'!D1814:I1844, 6, FALSE), 'List of Error Codes'!$E$29)
)</f>
        <v>Please select ERROR CODE column "I"</v>
      </c>
      <c r="M1815" s="209"/>
      <c r="N1815" s="209"/>
      <c r="O1815" s="209"/>
      <c r="P1815" s="209"/>
      <c r="Q1815" s="209"/>
      <c r="R1815" s="217"/>
      <c r="S1815" s="217"/>
      <c r="T1815" s="217"/>
      <c r="U1815" s="199"/>
      <c r="V1815" s="200"/>
      <c r="W1815" s="200"/>
      <c r="X1815" s="200"/>
      <c r="Y1815" s="200"/>
      <c r="Z1815" s="200"/>
      <c r="AA1815" s="201"/>
      <c r="AB1815" s="200"/>
      <c r="AC1815" s="200"/>
    </row>
    <row r="1816" ht="15.75" customHeight="1">
      <c r="A1816" s="210">
        <f t="shared" si="1"/>
        <v>1814</v>
      </c>
      <c r="B1816" s="217"/>
      <c r="C1816" s="217" t="str">
        <f>IFERROR(VLOOKUP(B1816, SourceData!$U$3:$V$190, 2, FALSE), "")</f>
        <v/>
      </c>
      <c r="D1816" s="240"/>
      <c r="E1816" s="241"/>
      <c r="F1816" s="248"/>
      <c r="G1816" s="207"/>
      <c r="H1816" s="209"/>
      <c r="I1816" s="209"/>
      <c r="J1816" s="209"/>
      <c r="K1816" s="208" t="str">
        <f>IF(Errors!$I1816=0,SourceData!$B$42,VLOOKUP(Errors!$I1816,SourceData!$A$2:$B$40,2,FALSE))</f>
        <v>Please select ERROR CODE column "I"</v>
      </c>
      <c r="L1816" s="207" t="str">
        <f>IF(Errors!$I1816=0,
    'List of Error Codes'!$E$29,
    IFERROR(VLOOKUP(Errors!$I1816, 'List of Error Codes'!D1815:I1845, 6, FALSE), 'List of Error Codes'!$E$29)
)</f>
        <v>Please select ERROR CODE column "I"</v>
      </c>
      <c r="M1816" s="209"/>
      <c r="N1816" s="209"/>
      <c r="O1816" s="209"/>
      <c r="P1816" s="209"/>
      <c r="Q1816" s="209"/>
      <c r="R1816" s="217"/>
      <c r="S1816" s="217"/>
      <c r="T1816" s="217"/>
      <c r="U1816" s="199"/>
      <c r="V1816" s="200"/>
      <c r="W1816" s="200"/>
      <c r="X1816" s="200"/>
      <c r="Y1816" s="200"/>
      <c r="Z1816" s="200"/>
      <c r="AA1816" s="201"/>
      <c r="AB1816" s="200"/>
      <c r="AC1816" s="200"/>
    </row>
    <row r="1817" ht="15.75" customHeight="1">
      <c r="A1817" s="210">
        <f t="shared" si="1"/>
        <v>1815</v>
      </c>
      <c r="B1817" s="217"/>
      <c r="C1817" s="217" t="str">
        <f>IFERROR(VLOOKUP(B1817, SourceData!$U$3:$V$190, 2, FALSE), "")</f>
        <v/>
      </c>
      <c r="D1817" s="240"/>
      <c r="E1817" s="241"/>
      <c r="F1817" s="248"/>
      <c r="G1817" s="207"/>
      <c r="H1817" s="209"/>
      <c r="I1817" s="209"/>
      <c r="J1817" s="209"/>
      <c r="K1817" s="208" t="str">
        <f>IF(Errors!$I1817=0,SourceData!$B$42,VLOOKUP(Errors!$I1817,SourceData!$A$2:$B$40,2,FALSE))</f>
        <v>Please select ERROR CODE column "I"</v>
      </c>
      <c r="L1817" s="207" t="str">
        <f>IF(Errors!$I1817=0,
    'List of Error Codes'!$E$29,
    IFERROR(VLOOKUP(Errors!$I1817, 'List of Error Codes'!D1816:I1846, 6, FALSE), 'List of Error Codes'!$E$29)
)</f>
        <v>Please select ERROR CODE column "I"</v>
      </c>
      <c r="M1817" s="209"/>
      <c r="N1817" s="209"/>
      <c r="O1817" s="209"/>
      <c r="P1817" s="209"/>
      <c r="Q1817" s="209"/>
      <c r="R1817" s="217"/>
      <c r="S1817" s="217"/>
      <c r="T1817" s="217"/>
      <c r="U1817" s="199"/>
      <c r="V1817" s="200"/>
      <c r="W1817" s="200"/>
      <c r="X1817" s="200"/>
      <c r="Y1817" s="200"/>
      <c r="Z1817" s="200"/>
      <c r="AA1817" s="201"/>
      <c r="AB1817" s="200"/>
      <c r="AC1817" s="200"/>
    </row>
    <row r="1818" ht="15.75" customHeight="1">
      <c r="A1818" s="210">
        <f t="shared" si="1"/>
        <v>1816</v>
      </c>
      <c r="B1818" s="217"/>
      <c r="C1818" s="217" t="str">
        <f>IFERROR(VLOOKUP(B1818, SourceData!$U$3:$V$190, 2, FALSE), "")</f>
        <v/>
      </c>
      <c r="D1818" s="240"/>
      <c r="E1818" s="241"/>
      <c r="F1818" s="248"/>
      <c r="G1818" s="207"/>
      <c r="H1818" s="209"/>
      <c r="I1818" s="209"/>
      <c r="J1818" s="209"/>
      <c r="K1818" s="208" t="str">
        <f>IF(Errors!$I1818=0,SourceData!$B$42,VLOOKUP(Errors!$I1818,SourceData!$A$2:$B$40,2,FALSE))</f>
        <v>Please select ERROR CODE column "I"</v>
      </c>
      <c r="L1818" s="207" t="str">
        <f>IF(Errors!$I1818=0,
    'List of Error Codes'!$E$29,
    IFERROR(VLOOKUP(Errors!$I1818, 'List of Error Codes'!D1817:I1847, 6, FALSE), 'List of Error Codes'!$E$29)
)</f>
        <v>Please select ERROR CODE column "I"</v>
      </c>
      <c r="M1818" s="209"/>
      <c r="N1818" s="209"/>
      <c r="O1818" s="209"/>
      <c r="P1818" s="209"/>
      <c r="Q1818" s="209"/>
      <c r="R1818" s="217"/>
      <c r="S1818" s="217"/>
      <c r="T1818" s="217"/>
      <c r="U1818" s="199"/>
      <c r="V1818" s="200"/>
      <c r="W1818" s="200"/>
      <c r="X1818" s="200"/>
      <c r="Y1818" s="200"/>
      <c r="Z1818" s="200"/>
      <c r="AA1818" s="201"/>
      <c r="AB1818" s="200"/>
      <c r="AC1818" s="200"/>
    </row>
    <row r="1819" ht="15.75" customHeight="1">
      <c r="A1819" s="210">
        <f t="shared" si="1"/>
        <v>1817</v>
      </c>
      <c r="B1819" s="217"/>
      <c r="C1819" s="217" t="str">
        <f>IFERROR(VLOOKUP(B1819, SourceData!$U$3:$V$190, 2, FALSE), "")</f>
        <v/>
      </c>
      <c r="D1819" s="240"/>
      <c r="E1819" s="241"/>
      <c r="F1819" s="248"/>
      <c r="G1819" s="207"/>
      <c r="H1819" s="209"/>
      <c r="I1819" s="209"/>
      <c r="J1819" s="209"/>
      <c r="K1819" s="208" t="str">
        <f>IF(Errors!$I1819=0,SourceData!$B$42,VLOOKUP(Errors!$I1819,SourceData!$A$2:$B$40,2,FALSE))</f>
        <v>Please select ERROR CODE column "I"</v>
      </c>
      <c r="L1819" s="207" t="str">
        <f>IF(Errors!$I1819=0,
    'List of Error Codes'!$E$29,
    IFERROR(VLOOKUP(Errors!$I1819, 'List of Error Codes'!D1818:I1848, 6, FALSE), 'List of Error Codes'!$E$29)
)</f>
        <v>Please select ERROR CODE column "I"</v>
      </c>
      <c r="M1819" s="209"/>
      <c r="N1819" s="209"/>
      <c r="O1819" s="209"/>
      <c r="P1819" s="209"/>
      <c r="Q1819" s="209"/>
      <c r="R1819" s="217"/>
      <c r="S1819" s="217"/>
      <c r="T1819" s="217"/>
      <c r="U1819" s="199"/>
      <c r="V1819" s="200"/>
      <c r="W1819" s="200"/>
      <c r="X1819" s="200"/>
      <c r="Y1819" s="200"/>
      <c r="Z1819" s="200"/>
      <c r="AA1819" s="201"/>
      <c r="AB1819" s="200"/>
      <c r="AC1819" s="200"/>
    </row>
    <row r="1820" ht="15.75" customHeight="1">
      <c r="A1820" s="210">
        <f t="shared" si="1"/>
        <v>1818</v>
      </c>
      <c r="B1820" s="217"/>
      <c r="C1820" s="217" t="str">
        <f>IFERROR(VLOOKUP(B1820, SourceData!$U$3:$V$190, 2, FALSE), "")</f>
        <v/>
      </c>
      <c r="D1820" s="240"/>
      <c r="E1820" s="241"/>
      <c r="F1820" s="248"/>
      <c r="G1820" s="207"/>
      <c r="H1820" s="209"/>
      <c r="I1820" s="209"/>
      <c r="J1820" s="209"/>
      <c r="K1820" s="208" t="str">
        <f>IF(Errors!$I1820=0,SourceData!$B$42,VLOOKUP(Errors!$I1820,SourceData!$A$2:$B$40,2,FALSE))</f>
        <v>Please select ERROR CODE column "I"</v>
      </c>
      <c r="L1820" s="207" t="str">
        <f>IF(Errors!$I1820=0,
    'List of Error Codes'!$E$29,
    IFERROR(VLOOKUP(Errors!$I1820, 'List of Error Codes'!D1819:I1849, 6, FALSE), 'List of Error Codes'!$E$29)
)</f>
        <v>Please select ERROR CODE column "I"</v>
      </c>
      <c r="M1820" s="209"/>
      <c r="N1820" s="209"/>
      <c r="O1820" s="209"/>
      <c r="P1820" s="209"/>
      <c r="Q1820" s="209"/>
      <c r="R1820" s="217"/>
      <c r="S1820" s="217"/>
      <c r="T1820" s="217"/>
      <c r="U1820" s="199"/>
      <c r="V1820" s="200"/>
      <c r="W1820" s="200"/>
      <c r="X1820" s="200"/>
      <c r="Y1820" s="200"/>
      <c r="Z1820" s="200"/>
      <c r="AA1820" s="201"/>
      <c r="AB1820" s="200"/>
      <c r="AC1820" s="200"/>
    </row>
    <row r="1821" ht="15.75" customHeight="1">
      <c r="A1821" s="210">
        <f t="shared" si="1"/>
        <v>1819</v>
      </c>
      <c r="B1821" s="217"/>
      <c r="C1821" s="217" t="str">
        <f>IFERROR(VLOOKUP(B1821, SourceData!$U$3:$V$190, 2, FALSE), "")</f>
        <v/>
      </c>
      <c r="D1821" s="240"/>
      <c r="E1821" s="241"/>
      <c r="F1821" s="248"/>
      <c r="G1821" s="207"/>
      <c r="H1821" s="209"/>
      <c r="I1821" s="209"/>
      <c r="J1821" s="209"/>
      <c r="K1821" s="208" t="str">
        <f>IF(Errors!$I1821=0,SourceData!$B$42,VLOOKUP(Errors!$I1821,SourceData!$A$2:$B$40,2,FALSE))</f>
        <v>Please select ERROR CODE column "I"</v>
      </c>
      <c r="L1821" s="207" t="str">
        <f>IF(Errors!$I1821=0,
    'List of Error Codes'!$E$29,
    IFERROR(VLOOKUP(Errors!$I1821, 'List of Error Codes'!D1820:I1850, 6, FALSE), 'List of Error Codes'!$E$29)
)</f>
        <v>Please select ERROR CODE column "I"</v>
      </c>
      <c r="M1821" s="209"/>
      <c r="N1821" s="209"/>
      <c r="O1821" s="209"/>
      <c r="P1821" s="209"/>
      <c r="Q1821" s="209"/>
      <c r="R1821" s="217"/>
      <c r="S1821" s="217"/>
      <c r="T1821" s="217"/>
      <c r="U1821" s="199"/>
      <c r="V1821" s="200"/>
      <c r="W1821" s="200"/>
      <c r="X1821" s="200"/>
      <c r="Y1821" s="200"/>
      <c r="Z1821" s="200"/>
      <c r="AA1821" s="201"/>
      <c r="AB1821" s="200"/>
      <c r="AC1821" s="200"/>
    </row>
    <row r="1822" ht="15.75" customHeight="1">
      <c r="A1822" s="210">
        <f t="shared" si="1"/>
        <v>1820</v>
      </c>
      <c r="B1822" s="217"/>
      <c r="C1822" s="217" t="str">
        <f>IFERROR(VLOOKUP(B1822, SourceData!$U$3:$V$190, 2, FALSE), "")</f>
        <v/>
      </c>
      <c r="D1822" s="240"/>
      <c r="E1822" s="241"/>
      <c r="F1822" s="248"/>
      <c r="G1822" s="207"/>
      <c r="H1822" s="209"/>
      <c r="I1822" s="209"/>
      <c r="J1822" s="209"/>
      <c r="K1822" s="208" t="str">
        <f>IF(Errors!$I1822=0,SourceData!$B$42,VLOOKUP(Errors!$I1822,SourceData!$A$2:$B$40,2,FALSE))</f>
        <v>Please select ERROR CODE column "I"</v>
      </c>
      <c r="L1822" s="207" t="str">
        <f>IF(Errors!$I1822=0,
    'List of Error Codes'!$E$29,
    IFERROR(VLOOKUP(Errors!$I1822, 'List of Error Codes'!D1821:I1851, 6, FALSE), 'List of Error Codes'!$E$29)
)</f>
        <v>Please select ERROR CODE column "I"</v>
      </c>
      <c r="M1822" s="209"/>
      <c r="N1822" s="209"/>
      <c r="O1822" s="209"/>
      <c r="P1822" s="209"/>
      <c r="Q1822" s="209"/>
      <c r="R1822" s="217"/>
      <c r="S1822" s="217"/>
      <c r="T1822" s="217"/>
      <c r="U1822" s="199"/>
      <c r="V1822" s="200"/>
      <c r="W1822" s="200"/>
      <c r="X1822" s="200"/>
      <c r="Y1822" s="200"/>
      <c r="Z1822" s="200"/>
      <c r="AA1822" s="201"/>
      <c r="AB1822" s="200"/>
      <c r="AC1822" s="200"/>
    </row>
    <row r="1823" ht="15.75" customHeight="1">
      <c r="A1823" s="210">
        <f t="shared" si="1"/>
        <v>1821</v>
      </c>
      <c r="B1823" s="217"/>
      <c r="C1823" s="217" t="str">
        <f>IFERROR(VLOOKUP(B1823, SourceData!$U$3:$V$190, 2, FALSE), "")</f>
        <v/>
      </c>
      <c r="D1823" s="240"/>
      <c r="E1823" s="241"/>
      <c r="F1823" s="248"/>
      <c r="G1823" s="207"/>
      <c r="H1823" s="209"/>
      <c r="I1823" s="209"/>
      <c r="J1823" s="209"/>
      <c r="K1823" s="208" t="str">
        <f>IF(Errors!$I1823=0,SourceData!$B$42,VLOOKUP(Errors!$I1823,SourceData!$A$2:$B$40,2,FALSE))</f>
        <v>Please select ERROR CODE column "I"</v>
      </c>
      <c r="L1823" s="207" t="str">
        <f>IF(Errors!$I1823=0,
    'List of Error Codes'!$E$29,
    IFERROR(VLOOKUP(Errors!$I1823, 'List of Error Codes'!D1822:I1852, 6, FALSE), 'List of Error Codes'!$E$29)
)</f>
        <v>Please select ERROR CODE column "I"</v>
      </c>
      <c r="M1823" s="209"/>
      <c r="N1823" s="209"/>
      <c r="O1823" s="209"/>
      <c r="P1823" s="209"/>
      <c r="Q1823" s="209"/>
      <c r="R1823" s="217"/>
      <c r="S1823" s="217"/>
      <c r="T1823" s="217"/>
      <c r="U1823" s="199"/>
      <c r="V1823" s="200"/>
      <c r="W1823" s="200"/>
      <c r="X1823" s="200"/>
      <c r="Y1823" s="200"/>
      <c r="Z1823" s="200"/>
      <c r="AA1823" s="201"/>
      <c r="AB1823" s="200"/>
      <c r="AC1823" s="200"/>
    </row>
    <row r="1824" ht="15.75" customHeight="1">
      <c r="A1824" s="210">
        <f t="shared" si="1"/>
        <v>1822</v>
      </c>
      <c r="B1824" s="217"/>
      <c r="C1824" s="217" t="str">
        <f>IFERROR(VLOOKUP(B1824, SourceData!$U$3:$V$190, 2, FALSE), "")</f>
        <v/>
      </c>
      <c r="D1824" s="240"/>
      <c r="E1824" s="241"/>
      <c r="F1824" s="248"/>
      <c r="G1824" s="207"/>
      <c r="H1824" s="209"/>
      <c r="I1824" s="209"/>
      <c r="J1824" s="209"/>
      <c r="K1824" s="208" t="str">
        <f>IF(Errors!$I1824=0,SourceData!$B$42,VLOOKUP(Errors!$I1824,SourceData!$A$2:$B$40,2,FALSE))</f>
        <v>Please select ERROR CODE column "I"</v>
      </c>
      <c r="L1824" s="207" t="str">
        <f>IF(Errors!$I1824=0,
    'List of Error Codes'!$E$29,
    IFERROR(VLOOKUP(Errors!$I1824, 'List of Error Codes'!D1823:I1853, 6, FALSE), 'List of Error Codes'!$E$29)
)</f>
        <v>Please select ERROR CODE column "I"</v>
      </c>
      <c r="M1824" s="209"/>
      <c r="N1824" s="209"/>
      <c r="O1824" s="209"/>
      <c r="P1824" s="209"/>
      <c r="Q1824" s="209"/>
      <c r="R1824" s="217"/>
      <c r="S1824" s="217"/>
      <c r="T1824" s="217"/>
      <c r="U1824" s="199"/>
      <c r="V1824" s="200"/>
      <c r="W1824" s="200"/>
      <c r="X1824" s="200"/>
      <c r="Y1824" s="200"/>
      <c r="Z1824" s="200"/>
      <c r="AA1824" s="201"/>
      <c r="AB1824" s="200"/>
      <c r="AC1824" s="200"/>
    </row>
    <row r="1825" ht="15.75" customHeight="1">
      <c r="A1825" s="210">
        <f t="shared" si="1"/>
        <v>1823</v>
      </c>
      <c r="B1825" s="217"/>
      <c r="C1825" s="217" t="str">
        <f>IFERROR(VLOOKUP(B1825, SourceData!$U$3:$V$190, 2, FALSE), "")</f>
        <v/>
      </c>
      <c r="D1825" s="240"/>
      <c r="E1825" s="241"/>
      <c r="F1825" s="248"/>
      <c r="G1825" s="207"/>
      <c r="H1825" s="209"/>
      <c r="I1825" s="209"/>
      <c r="J1825" s="209"/>
      <c r="K1825" s="208" t="str">
        <f>IF(Errors!$I1825=0,SourceData!$B$42,VLOOKUP(Errors!$I1825,SourceData!$A$2:$B$40,2,FALSE))</f>
        <v>Please select ERROR CODE column "I"</v>
      </c>
      <c r="L1825" s="207" t="str">
        <f>IF(Errors!$I1825=0,
    'List of Error Codes'!$E$29,
    IFERROR(VLOOKUP(Errors!$I1825, 'List of Error Codes'!D1824:I1854, 6, FALSE), 'List of Error Codes'!$E$29)
)</f>
        <v>Please select ERROR CODE column "I"</v>
      </c>
      <c r="M1825" s="209"/>
      <c r="N1825" s="209"/>
      <c r="O1825" s="209"/>
      <c r="P1825" s="209"/>
      <c r="Q1825" s="209"/>
      <c r="R1825" s="217"/>
      <c r="S1825" s="217"/>
      <c r="T1825" s="217"/>
      <c r="U1825" s="199"/>
      <c r="V1825" s="200"/>
      <c r="W1825" s="200"/>
      <c r="X1825" s="200"/>
      <c r="Y1825" s="200"/>
      <c r="Z1825" s="200"/>
      <c r="AA1825" s="201"/>
      <c r="AB1825" s="200"/>
      <c r="AC1825" s="200"/>
    </row>
    <row r="1826" ht="15.75" customHeight="1">
      <c r="A1826" s="210">
        <f t="shared" si="1"/>
        <v>1824</v>
      </c>
      <c r="B1826" s="217"/>
      <c r="C1826" s="217" t="str">
        <f>IFERROR(VLOOKUP(B1826, SourceData!$U$3:$V$190, 2, FALSE), "")</f>
        <v/>
      </c>
      <c r="D1826" s="240"/>
      <c r="E1826" s="241"/>
      <c r="F1826" s="248"/>
      <c r="G1826" s="207"/>
      <c r="H1826" s="209"/>
      <c r="I1826" s="209"/>
      <c r="J1826" s="209"/>
      <c r="K1826" s="208" t="str">
        <f>IF(Errors!$I1826=0,SourceData!$B$42,VLOOKUP(Errors!$I1826,SourceData!$A$2:$B$40,2,FALSE))</f>
        <v>Please select ERROR CODE column "I"</v>
      </c>
      <c r="L1826" s="207" t="str">
        <f>IF(Errors!$I1826=0,
    'List of Error Codes'!$E$29,
    IFERROR(VLOOKUP(Errors!$I1826, 'List of Error Codes'!D1825:I1855, 6, FALSE), 'List of Error Codes'!$E$29)
)</f>
        <v>Please select ERROR CODE column "I"</v>
      </c>
      <c r="M1826" s="209"/>
      <c r="N1826" s="209"/>
      <c r="O1826" s="209"/>
      <c r="P1826" s="209"/>
      <c r="Q1826" s="209"/>
      <c r="R1826" s="217"/>
      <c r="S1826" s="217"/>
      <c r="T1826" s="217"/>
      <c r="U1826" s="199"/>
      <c r="V1826" s="200"/>
      <c r="W1826" s="200"/>
      <c r="X1826" s="200"/>
      <c r="Y1826" s="200"/>
      <c r="Z1826" s="200"/>
      <c r="AA1826" s="201"/>
      <c r="AB1826" s="200"/>
      <c r="AC1826" s="200"/>
    </row>
    <row r="1827" ht="15.75" customHeight="1">
      <c r="A1827" s="210">
        <f t="shared" si="1"/>
        <v>1825</v>
      </c>
      <c r="B1827" s="217"/>
      <c r="C1827" s="217" t="str">
        <f>IFERROR(VLOOKUP(B1827, SourceData!$U$3:$V$190, 2, FALSE), "")</f>
        <v/>
      </c>
      <c r="D1827" s="240"/>
      <c r="E1827" s="241"/>
      <c r="F1827" s="248"/>
      <c r="G1827" s="207"/>
      <c r="H1827" s="209"/>
      <c r="I1827" s="209"/>
      <c r="J1827" s="209"/>
      <c r="K1827" s="208" t="str">
        <f>IF(Errors!$I1827=0,SourceData!$B$42,VLOOKUP(Errors!$I1827,SourceData!$A$2:$B$40,2,FALSE))</f>
        <v>Please select ERROR CODE column "I"</v>
      </c>
      <c r="L1827" s="207" t="str">
        <f>IF(Errors!$I1827=0,
    'List of Error Codes'!$E$29,
    IFERROR(VLOOKUP(Errors!$I1827, 'List of Error Codes'!D1826:I1856, 6, FALSE), 'List of Error Codes'!$E$29)
)</f>
        <v>Please select ERROR CODE column "I"</v>
      </c>
      <c r="M1827" s="209"/>
      <c r="N1827" s="209"/>
      <c r="O1827" s="209"/>
      <c r="P1827" s="209"/>
      <c r="Q1827" s="209"/>
      <c r="R1827" s="217"/>
      <c r="S1827" s="217"/>
      <c r="T1827" s="217"/>
      <c r="U1827" s="199"/>
      <c r="V1827" s="200"/>
      <c r="W1827" s="200"/>
      <c r="X1827" s="200"/>
      <c r="Y1827" s="200"/>
      <c r="Z1827" s="200"/>
      <c r="AA1827" s="201"/>
      <c r="AB1827" s="200"/>
      <c r="AC1827" s="200"/>
    </row>
    <row r="1828" ht="15.75" customHeight="1">
      <c r="A1828" s="210">
        <f t="shared" si="1"/>
        <v>1826</v>
      </c>
      <c r="B1828" s="217"/>
      <c r="C1828" s="217" t="str">
        <f>IFERROR(VLOOKUP(B1828, SourceData!$U$3:$V$190, 2, FALSE), "")</f>
        <v/>
      </c>
      <c r="D1828" s="240"/>
      <c r="E1828" s="241"/>
      <c r="F1828" s="248"/>
      <c r="G1828" s="207"/>
      <c r="H1828" s="209"/>
      <c r="I1828" s="209"/>
      <c r="J1828" s="209"/>
      <c r="K1828" s="208" t="str">
        <f>IF(Errors!$I1828=0,SourceData!$B$42,VLOOKUP(Errors!$I1828,SourceData!$A$2:$B$40,2,FALSE))</f>
        <v>Please select ERROR CODE column "I"</v>
      </c>
      <c r="L1828" s="207" t="str">
        <f>IF(Errors!$I1828=0,
    'List of Error Codes'!$E$29,
    IFERROR(VLOOKUP(Errors!$I1828, 'List of Error Codes'!D1827:I1857, 6, FALSE), 'List of Error Codes'!$E$29)
)</f>
        <v>Please select ERROR CODE column "I"</v>
      </c>
      <c r="M1828" s="209"/>
      <c r="N1828" s="209"/>
      <c r="O1828" s="209"/>
      <c r="P1828" s="209"/>
      <c r="Q1828" s="209"/>
      <c r="R1828" s="217"/>
      <c r="S1828" s="217"/>
      <c r="T1828" s="217"/>
      <c r="U1828" s="199"/>
      <c r="V1828" s="200"/>
      <c r="W1828" s="200"/>
      <c r="X1828" s="200"/>
      <c r="Y1828" s="200"/>
      <c r="Z1828" s="200"/>
      <c r="AA1828" s="201"/>
      <c r="AB1828" s="200"/>
      <c r="AC1828" s="200"/>
    </row>
    <row r="1829" ht="15.75" customHeight="1">
      <c r="A1829" s="210">
        <f t="shared" si="1"/>
        <v>1827</v>
      </c>
      <c r="B1829" s="217"/>
      <c r="C1829" s="217" t="str">
        <f>IFERROR(VLOOKUP(B1829, SourceData!$U$3:$V$190, 2, FALSE), "")</f>
        <v/>
      </c>
      <c r="D1829" s="240"/>
      <c r="E1829" s="241"/>
      <c r="F1829" s="248"/>
      <c r="G1829" s="207"/>
      <c r="H1829" s="209"/>
      <c r="I1829" s="209"/>
      <c r="J1829" s="209"/>
      <c r="K1829" s="208" t="str">
        <f>IF(Errors!$I1829=0,SourceData!$B$42,VLOOKUP(Errors!$I1829,SourceData!$A$2:$B$40,2,FALSE))</f>
        <v>Please select ERROR CODE column "I"</v>
      </c>
      <c r="L1829" s="207" t="str">
        <f>IF(Errors!$I1829=0,
    'List of Error Codes'!$E$29,
    IFERROR(VLOOKUP(Errors!$I1829, 'List of Error Codes'!D1828:I1858, 6, FALSE), 'List of Error Codes'!$E$29)
)</f>
        <v>Please select ERROR CODE column "I"</v>
      </c>
      <c r="M1829" s="209"/>
      <c r="N1829" s="209"/>
      <c r="O1829" s="209"/>
      <c r="P1829" s="209"/>
      <c r="Q1829" s="209"/>
      <c r="R1829" s="217"/>
      <c r="S1829" s="217"/>
      <c r="T1829" s="217"/>
      <c r="U1829" s="199"/>
      <c r="V1829" s="200"/>
      <c r="W1829" s="200"/>
      <c r="X1829" s="200"/>
      <c r="Y1829" s="200"/>
      <c r="Z1829" s="200"/>
      <c r="AA1829" s="201"/>
      <c r="AB1829" s="200"/>
      <c r="AC1829" s="200"/>
    </row>
    <row r="1830" ht="15.75" customHeight="1">
      <c r="A1830" s="210">
        <f t="shared" si="1"/>
        <v>1828</v>
      </c>
      <c r="B1830" s="217"/>
      <c r="C1830" s="217" t="str">
        <f>IFERROR(VLOOKUP(B1830, SourceData!$U$3:$V$190, 2, FALSE), "")</f>
        <v/>
      </c>
      <c r="D1830" s="240"/>
      <c r="E1830" s="241"/>
      <c r="F1830" s="248"/>
      <c r="G1830" s="207"/>
      <c r="H1830" s="209"/>
      <c r="I1830" s="209"/>
      <c r="J1830" s="209"/>
      <c r="K1830" s="208" t="str">
        <f>IF(Errors!$I1830=0,SourceData!$B$42,VLOOKUP(Errors!$I1830,SourceData!$A$2:$B$40,2,FALSE))</f>
        <v>Please select ERROR CODE column "I"</v>
      </c>
      <c r="L1830" s="207" t="str">
        <f>IF(Errors!$I1830=0,
    'List of Error Codes'!$E$29,
    IFERROR(VLOOKUP(Errors!$I1830, 'List of Error Codes'!D1829:I1859, 6, FALSE), 'List of Error Codes'!$E$29)
)</f>
        <v>Please select ERROR CODE column "I"</v>
      </c>
      <c r="M1830" s="209"/>
      <c r="N1830" s="209"/>
      <c r="O1830" s="209"/>
      <c r="P1830" s="209"/>
      <c r="Q1830" s="209"/>
      <c r="R1830" s="217"/>
      <c r="S1830" s="217"/>
      <c r="T1830" s="217"/>
      <c r="U1830" s="199"/>
      <c r="V1830" s="200"/>
      <c r="W1830" s="200"/>
      <c r="X1830" s="200"/>
      <c r="Y1830" s="200"/>
      <c r="Z1830" s="200"/>
      <c r="AA1830" s="201"/>
      <c r="AB1830" s="200"/>
      <c r="AC1830" s="200"/>
    </row>
    <row r="1831" ht="15.75" customHeight="1">
      <c r="A1831" s="210">
        <f t="shared" si="1"/>
        <v>1829</v>
      </c>
      <c r="B1831" s="217"/>
      <c r="C1831" s="217" t="str">
        <f>IFERROR(VLOOKUP(B1831, SourceData!$U$3:$V$190, 2, FALSE), "")</f>
        <v/>
      </c>
      <c r="D1831" s="240"/>
      <c r="E1831" s="241"/>
      <c r="F1831" s="248"/>
      <c r="G1831" s="207"/>
      <c r="H1831" s="209"/>
      <c r="I1831" s="209"/>
      <c r="J1831" s="209"/>
      <c r="K1831" s="208" t="str">
        <f>IF(Errors!$I1831=0,SourceData!$B$42,VLOOKUP(Errors!$I1831,SourceData!$A$2:$B$40,2,FALSE))</f>
        <v>Please select ERROR CODE column "I"</v>
      </c>
      <c r="L1831" s="207" t="str">
        <f>IF(Errors!$I1831=0,
    'List of Error Codes'!$E$29,
    IFERROR(VLOOKUP(Errors!$I1831, 'List of Error Codes'!D1830:I1860, 6, FALSE), 'List of Error Codes'!$E$29)
)</f>
        <v>Please select ERROR CODE column "I"</v>
      </c>
      <c r="M1831" s="209"/>
      <c r="N1831" s="209"/>
      <c r="O1831" s="209"/>
      <c r="P1831" s="209"/>
      <c r="Q1831" s="209"/>
      <c r="R1831" s="217"/>
      <c r="S1831" s="217"/>
      <c r="T1831" s="217"/>
      <c r="U1831" s="199"/>
      <c r="V1831" s="200"/>
      <c r="W1831" s="200"/>
      <c r="X1831" s="200"/>
      <c r="Y1831" s="200"/>
      <c r="Z1831" s="200"/>
      <c r="AA1831" s="201"/>
      <c r="AB1831" s="200"/>
      <c r="AC1831" s="200"/>
    </row>
    <row r="1832" ht="15.75" customHeight="1">
      <c r="A1832" s="210">
        <f t="shared" si="1"/>
        <v>1830</v>
      </c>
      <c r="B1832" s="217"/>
      <c r="C1832" s="217" t="str">
        <f>IFERROR(VLOOKUP(B1832, SourceData!$U$3:$V$190, 2, FALSE), "")</f>
        <v/>
      </c>
      <c r="D1832" s="240"/>
      <c r="E1832" s="241"/>
      <c r="F1832" s="248"/>
      <c r="G1832" s="207"/>
      <c r="H1832" s="209"/>
      <c r="I1832" s="209"/>
      <c r="J1832" s="209"/>
      <c r="K1832" s="208" t="str">
        <f>IF(Errors!$I1832=0,SourceData!$B$42,VLOOKUP(Errors!$I1832,SourceData!$A$2:$B$40,2,FALSE))</f>
        <v>Please select ERROR CODE column "I"</v>
      </c>
      <c r="L1832" s="207" t="str">
        <f>IF(Errors!$I1832=0,
    'List of Error Codes'!$E$29,
    IFERROR(VLOOKUP(Errors!$I1832, 'List of Error Codes'!D1831:I1861, 6, FALSE), 'List of Error Codes'!$E$29)
)</f>
        <v>Please select ERROR CODE column "I"</v>
      </c>
      <c r="M1832" s="209"/>
      <c r="N1832" s="209"/>
      <c r="O1832" s="209"/>
      <c r="P1832" s="209"/>
      <c r="Q1832" s="209"/>
      <c r="R1832" s="217"/>
      <c r="S1832" s="217"/>
      <c r="T1832" s="217"/>
      <c r="U1832" s="199"/>
      <c r="V1832" s="200"/>
      <c r="W1832" s="200"/>
      <c r="X1832" s="200"/>
      <c r="Y1832" s="200"/>
      <c r="Z1832" s="200"/>
      <c r="AA1832" s="201"/>
      <c r="AB1832" s="200"/>
      <c r="AC1832" s="200"/>
    </row>
    <row r="1833" ht="15.75" customHeight="1">
      <c r="A1833" s="210">
        <f t="shared" si="1"/>
        <v>1831</v>
      </c>
      <c r="B1833" s="217"/>
      <c r="C1833" s="217" t="str">
        <f>IFERROR(VLOOKUP(B1833, SourceData!$U$3:$V$190, 2, FALSE), "")</f>
        <v/>
      </c>
      <c r="D1833" s="240"/>
      <c r="E1833" s="241"/>
      <c r="F1833" s="248"/>
      <c r="G1833" s="207"/>
      <c r="H1833" s="209"/>
      <c r="I1833" s="209"/>
      <c r="J1833" s="209"/>
      <c r="K1833" s="208" t="str">
        <f>IF(Errors!$I1833=0,SourceData!$B$42,VLOOKUP(Errors!$I1833,SourceData!$A$2:$B$40,2,FALSE))</f>
        <v>Please select ERROR CODE column "I"</v>
      </c>
      <c r="L1833" s="207" t="str">
        <f>IF(Errors!$I1833=0,
    'List of Error Codes'!$E$29,
    IFERROR(VLOOKUP(Errors!$I1833, 'List of Error Codes'!D1832:I1862, 6, FALSE), 'List of Error Codes'!$E$29)
)</f>
        <v>Please select ERROR CODE column "I"</v>
      </c>
      <c r="M1833" s="209"/>
      <c r="N1833" s="209"/>
      <c r="O1833" s="209"/>
      <c r="P1833" s="209"/>
      <c r="Q1833" s="209"/>
      <c r="R1833" s="217"/>
      <c r="S1833" s="217"/>
      <c r="T1833" s="217"/>
      <c r="U1833" s="199"/>
      <c r="V1833" s="200"/>
      <c r="W1833" s="200"/>
      <c r="X1833" s="200"/>
      <c r="Y1833" s="200"/>
      <c r="Z1833" s="200"/>
      <c r="AA1833" s="201"/>
      <c r="AB1833" s="200"/>
      <c r="AC1833" s="200"/>
    </row>
    <row r="1834" ht="15.75" customHeight="1">
      <c r="A1834" s="210">
        <f t="shared" si="1"/>
        <v>1832</v>
      </c>
      <c r="B1834" s="217"/>
      <c r="C1834" s="217" t="str">
        <f>IFERROR(VLOOKUP(B1834, SourceData!$U$3:$V$190, 2, FALSE), "")</f>
        <v/>
      </c>
      <c r="D1834" s="240"/>
      <c r="E1834" s="241"/>
      <c r="F1834" s="248"/>
      <c r="G1834" s="207"/>
      <c r="H1834" s="209"/>
      <c r="I1834" s="209"/>
      <c r="J1834" s="209"/>
      <c r="K1834" s="208" t="str">
        <f>IF(Errors!$I1834=0,SourceData!$B$42,VLOOKUP(Errors!$I1834,SourceData!$A$2:$B$40,2,FALSE))</f>
        <v>Please select ERROR CODE column "I"</v>
      </c>
      <c r="L1834" s="207" t="str">
        <f>IF(Errors!$I1834=0,
    'List of Error Codes'!$E$29,
    IFERROR(VLOOKUP(Errors!$I1834, 'List of Error Codes'!D1833:I1863, 6, FALSE), 'List of Error Codes'!$E$29)
)</f>
        <v>Please select ERROR CODE column "I"</v>
      </c>
      <c r="M1834" s="209"/>
      <c r="N1834" s="209"/>
      <c r="O1834" s="209"/>
      <c r="P1834" s="209"/>
      <c r="Q1834" s="209"/>
      <c r="R1834" s="217"/>
      <c r="S1834" s="217"/>
      <c r="T1834" s="217"/>
      <c r="U1834" s="199"/>
      <c r="V1834" s="200"/>
      <c r="W1834" s="200"/>
      <c r="X1834" s="200"/>
      <c r="Y1834" s="200"/>
      <c r="Z1834" s="200"/>
      <c r="AA1834" s="201"/>
      <c r="AB1834" s="200"/>
      <c r="AC1834" s="200"/>
    </row>
    <row r="1835" ht="15.75" customHeight="1">
      <c r="A1835" s="210">
        <f t="shared" si="1"/>
        <v>1833</v>
      </c>
      <c r="B1835" s="217"/>
      <c r="C1835" s="217" t="str">
        <f>IFERROR(VLOOKUP(B1835, SourceData!$U$3:$V$190, 2, FALSE), "")</f>
        <v/>
      </c>
      <c r="D1835" s="240"/>
      <c r="E1835" s="241"/>
      <c r="F1835" s="248"/>
      <c r="G1835" s="207"/>
      <c r="H1835" s="209"/>
      <c r="I1835" s="209"/>
      <c r="J1835" s="209"/>
      <c r="K1835" s="208" t="str">
        <f>IF(Errors!$I1835=0,SourceData!$B$42,VLOOKUP(Errors!$I1835,SourceData!$A$2:$B$40,2,FALSE))</f>
        <v>Please select ERROR CODE column "I"</v>
      </c>
      <c r="L1835" s="207" t="str">
        <f>IF(Errors!$I1835=0,
    'List of Error Codes'!$E$29,
    IFERROR(VLOOKUP(Errors!$I1835, 'List of Error Codes'!D1834:I1864, 6, FALSE), 'List of Error Codes'!$E$29)
)</f>
        <v>Please select ERROR CODE column "I"</v>
      </c>
      <c r="M1835" s="209"/>
      <c r="N1835" s="209"/>
      <c r="O1835" s="209"/>
      <c r="P1835" s="209"/>
      <c r="Q1835" s="209"/>
      <c r="R1835" s="217"/>
      <c r="S1835" s="217"/>
      <c r="T1835" s="217"/>
      <c r="U1835" s="199"/>
      <c r="V1835" s="200"/>
      <c r="W1835" s="200"/>
      <c r="X1835" s="200"/>
      <c r="Y1835" s="200"/>
      <c r="Z1835" s="200"/>
      <c r="AA1835" s="201"/>
      <c r="AB1835" s="200"/>
      <c r="AC1835" s="200"/>
    </row>
    <row r="1836" ht="15.75" customHeight="1">
      <c r="A1836" s="210">
        <f t="shared" si="1"/>
        <v>1834</v>
      </c>
      <c r="B1836" s="217"/>
      <c r="C1836" s="217" t="str">
        <f>IFERROR(VLOOKUP(B1836, SourceData!$U$3:$V$190, 2, FALSE), "")</f>
        <v/>
      </c>
      <c r="D1836" s="240"/>
      <c r="E1836" s="241"/>
      <c r="F1836" s="248"/>
      <c r="G1836" s="207"/>
      <c r="H1836" s="209"/>
      <c r="I1836" s="209"/>
      <c r="J1836" s="209"/>
      <c r="K1836" s="208" t="str">
        <f>IF(Errors!$I1836=0,SourceData!$B$42,VLOOKUP(Errors!$I1836,SourceData!$A$2:$B$40,2,FALSE))</f>
        <v>Please select ERROR CODE column "I"</v>
      </c>
      <c r="L1836" s="207" t="str">
        <f>IF(Errors!$I1836=0,
    'List of Error Codes'!$E$29,
    IFERROR(VLOOKUP(Errors!$I1836, 'List of Error Codes'!D1835:I1865, 6, FALSE), 'List of Error Codes'!$E$29)
)</f>
        <v>Please select ERROR CODE column "I"</v>
      </c>
      <c r="M1836" s="209"/>
      <c r="N1836" s="209"/>
      <c r="O1836" s="209"/>
      <c r="P1836" s="209"/>
      <c r="Q1836" s="209"/>
      <c r="R1836" s="217"/>
      <c r="S1836" s="217"/>
      <c r="T1836" s="217"/>
      <c r="U1836" s="199"/>
      <c r="V1836" s="200"/>
      <c r="W1836" s="200"/>
      <c r="X1836" s="200"/>
      <c r="Y1836" s="200"/>
      <c r="Z1836" s="200"/>
      <c r="AA1836" s="201"/>
      <c r="AB1836" s="200"/>
      <c r="AC1836" s="200"/>
    </row>
    <row r="1837" ht="15.75" customHeight="1">
      <c r="A1837" s="210">
        <f t="shared" si="1"/>
        <v>1835</v>
      </c>
      <c r="B1837" s="217"/>
      <c r="C1837" s="217" t="str">
        <f>IFERROR(VLOOKUP(B1837, SourceData!$U$3:$V$190, 2, FALSE), "")</f>
        <v/>
      </c>
      <c r="D1837" s="240"/>
      <c r="E1837" s="241"/>
      <c r="F1837" s="248"/>
      <c r="G1837" s="207"/>
      <c r="H1837" s="209"/>
      <c r="I1837" s="209"/>
      <c r="J1837" s="209"/>
      <c r="K1837" s="208" t="str">
        <f>IF(Errors!$I1837=0,SourceData!$B$42,VLOOKUP(Errors!$I1837,SourceData!$A$2:$B$40,2,FALSE))</f>
        <v>Please select ERROR CODE column "I"</v>
      </c>
      <c r="L1837" s="207" t="str">
        <f>IF(Errors!$I1837=0,
    'List of Error Codes'!$E$29,
    IFERROR(VLOOKUP(Errors!$I1837, 'List of Error Codes'!D1836:I1866, 6, FALSE), 'List of Error Codes'!$E$29)
)</f>
        <v>Please select ERROR CODE column "I"</v>
      </c>
      <c r="M1837" s="209"/>
      <c r="N1837" s="209"/>
      <c r="O1837" s="209"/>
      <c r="P1837" s="209"/>
      <c r="Q1837" s="209"/>
      <c r="R1837" s="217"/>
      <c r="S1837" s="217"/>
      <c r="T1837" s="217"/>
      <c r="U1837" s="199"/>
      <c r="V1837" s="200"/>
      <c r="W1837" s="200"/>
      <c r="X1837" s="200"/>
      <c r="Y1837" s="200"/>
      <c r="Z1837" s="200"/>
      <c r="AA1837" s="201"/>
      <c r="AB1837" s="200"/>
      <c r="AC1837" s="200"/>
    </row>
    <row r="1838" ht="15.75" customHeight="1">
      <c r="A1838" s="210">
        <f t="shared" si="1"/>
        <v>1836</v>
      </c>
      <c r="B1838" s="217"/>
      <c r="C1838" s="217" t="str">
        <f>IFERROR(VLOOKUP(B1838, SourceData!$U$3:$V$190, 2, FALSE), "")</f>
        <v/>
      </c>
      <c r="D1838" s="240"/>
      <c r="E1838" s="241"/>
      <c r="F1838" s="248"/>
      <c r="G1838" s="207"/>
      <c r="H1838" s="209"/>
      <c r="I1838" s="209"/>
      <c r="J1838" s="209"/>
      <c r="K1838" s="208" t="str">
        <f>IF(Errors!$I1838=0,SourceData!$B$42,VLOOKUP(Errors!$I1838,SourceData!$A$2:$B$40,2,FALSE))</f>
        <v>Please select ERROR CODE column "I"</v>
      </c>
      <c r="L1838" s="207" t="str">
        <f>IF(Errors!$I1838=0,
    'List of Error Codes'!$E$29,
    IFERROR(VLOOKUP(Errors!$I1838, 'List of Error Codes'!D1837:I1867, 6, FALSE), 'List of Error Codes'!$E$29)
)</f>
        <v>Please select ERROR CODE column "I"</v>
      </c>
      <c r="M1838" s="209"/>
      <c r="N1838" s="209"/>
      <c r="O1838" s="209"/>
      <c r="P1838" s="209"/>
      <c r="Q1838" s="209"/>
      <c r="R1838" s="217"/>
      <c r="S1838" s="217"/>
      <c r="T1838" s="217"/>
      <c r="U1838" s="199"/>
      <c r="V1838" s="200"/>
      <c r="W1838" s="200"/>
      <c r="X1838" s="200"/>
      <c r="Y1838" s="200"/>
      <c r="Z1838" s="200"/>
      <c r="AA1838" s="201"/>
      <c r="AB1838" s="200"/>
      <c r="AC1838" s="200"/>
    </row>
    <row r="1839" ht="15.75" customHeight="1">
      <c r="A1839" s="210">
        <f t="shared" si="1"/>
        <v>1837</v>
      </c>
      <c r="B1839" s="217"/>
      <c r="C1839" s="217" t="str">
        <f>IFERROR(VLOOKUP(B1839, SourceData!$U$3:$V$190, 2, FALSE), "")</f>
        <v/>
      </c>
      <c r="D1839" s="240"/>
      <c r="E1839" s="241"/>
      <c r="F1839" s="248"/>
      <c r="G1839" s="207"/>
      <c r="H1839" s="209"/>
      <c r="I1839" s="209"/>
      <c r="J1839" s="209"/>
      <c r="K1839" s="208" t="str">
        <f>IF(Errors!$I1839=0,SourceData!$B$42,VLOOKUP(Errors!$I1839,SourceData!$A$2:$B$40,2,FALSE))</f>
        <v>Please select ERROR CODE column "I"</v>
      </c>
      <c r="L1839" s="207" t="str">
        <f>IF(Errors!$I1839=0,
    'List of Error Codes'!$E$29,
    IFERROR(VLOOKUP(Errors!$I1839, 'List of Error Codes'!D1838:I1868, 6, FALSE), 'List of Error Codes'!$E$29)
)</f>
        <v>Please select ERROR CODE column "I"</v>
      </c>
      <c r="M1839" s="209"/>
      <c r="N1839" s="209"/>
      <c r="O1839" s="209"/>
      <c r="P1839" s="209"/>
      <c r="Q1839" s="209"/>
      <c r="R1839" s="217"/>
      <c r="S1839" s="217"/>
      <c r="T1839" s="217"/>
      <c r="U1839" s="199"/>
      <c r="V1839" s="200"/>
      <c r="W1839" s="200"/>
      <c r="X1839" s="200"/>
      <c r="Y1839" s="200"/>
      <c r="Z1839" s="200"/>
      <c r="AA1839" s="201"/>
      <c r="AB1839" s="200"/>
      <c r="AC1839" s="200"/>
    </row>
    <row r="1840" ht="15.75" customHeight="1">
      <c r="A1840" s="210">
        <f t="shared" si="1"/>
        <v>1838</v>
      </c>
      <c r="B1840" s="217"/>
      <c r="C1840" s="217" t="str">
        <f>IFERROR(VLOOKUP(B1840, SourceData!$U$3:$V$190, 2, FALSE), "")</f>
        <v/>
      </c>
      <c r="D1840" s="240"/>
      <c r="E1840" s="241"/>
      <c r="F1840" s="248"/>
      <c r="G1840" s="207"/>
      <c r="H1840" s="209"/>
      <c r="I1840" s="209"/>
      <c r="J1840" s="209"/>
      <c r="K1840" s="208" t="str">
        <f>IF(Errors!$I1840=0,SourceData!$B$42,VLOOKUP(Errors!$I1840,SourceData!$A$2:$B$40,2,FALSE))</f>
        <v>Please select ERROR CODE column "I"</v>
      </c>
      <c r="L1840" s="207" t="str">
        <f>IF(Errors!$I1840=0,
    'List of Error Codes'!$E$29,
    IFERROR(VLOOKUP(Errors!$I1840, 'List of Error Codes'!D1839:I1869, 6, FALSE), 'List of Error Codes'!$E$29)
)</f>
        <v>Please select ERROR CODE column "I"</v>
      </c>
      <c r="M1840" s="209"/>
      <c r="N1840" s="209"/>
      <c r="O1840" s="209"/>
      <c r="P1840" s="209"/>
      <c r="Q1840" s="209"/>
      <c r="R1840" s="217"/>
      <c r="S1840" s="217"/>
      <c r="T1840" s="217"/>
      <c r="U1840" s="199"/>
      <c r="V1840" s="200"/>
      <c r="W1840" s="200"/>
      <c r="X1840" s="200"/>
      <c r="Y1840" s="200"/>
      <c r="Z1840" s="200"/>
      <c r="AA1840" s="201"/>
      <c r="AB1840" s="200"/>
      <c r="AC1840" s="200"/>
    </row>
    <row r="1841" ht="15.75" customHeight="1">
      <c r="A1841" s="210">
        <f t="shared" si="1"/>
        <v>1839</v>
      </c>
      <c r="B1841" s="217"/>
      <c r="C1841" s="217" t="str">
        <f>IFERROR(VLOOKUP(B1841, SourceData!$U$3:$V$190, 2, FALSE), "")</f>
        <v/>
      </c>
      <c r="D1841" s="240"/>
      <c r="E1841" s="241"/>
      <c r="F1841" s="248"/>
      <c r="G1841" s="207"/>
      <c r="H1841" s="209"/>
      <c r="I1841" s="209"/>
      <c r="J1841" s="209"/>
      <c r="K1841" s="208" t="str">
        <f>IF(Errors!$I1841=0,SourceData!$B$42,VLOOKUP(Errors!$I1841,SourceData!$A$2:$B$40,2,FALSE))</f>
        <v>Please select ERROR CODE column "I"</v>
      </c>
      <c r="L1841" s="207" t="str">
        <f>IF(Errors!$I1841=0,
    'List of Error Codes'!$E$29,
    IFERROR(VLOOKUP(Errors!$I1841, 'List of Error Codes'!D1840:I1870, 6, FALSE), 'List of Error Codes'!$E$29)
)</f>
        <v>Please select ERROR CODE column "I"</v>
      </c>
      <c r="M1841" s="209"/>
      <c r="N1841" s="209"/>
      <c r="O1841" s="209"/>
      <c r="P1841" s="209"/>
      <c r="Q1841" s="209"/>
      <c r="R1841" s="217"/>
      <c r="S1841" s="217"/>
      <c r="T1841" s="217"/>
      <c r="U1841" s="199"/>
      <c r="V1841" s="200"/>
      <c r="W1841" s="200"/>
      <c r="X1841" s="200"/>
      <c r="Y1841" s="200"/>
      <c r="Z1841" s="200"/>
      <c r="AA1841" s="201"/>
      <c r="AB1841" s="200"/>
      <c r="AC1841" s="200"/>
    </row>
    <row r="1842" ht="15.75" customHeight="1">
      <c r="A1842" s="210">
        <f t="shared" si="1"/>
        <v>1840</v>
      </c>
      <c r="B1842" s="217"/>
      <c r="C1842" s="217" t="str">
        <f>IFERROR(VLOOKUP(B1842, SourceData!$U$3:$V$190, 2, FALSE), "")</f>
        <v/>
      </c>
      <c r="D1842" s="240"/>
      <c r="E1842" s="241"/>
      <c r="F1842" s="248"/>
      <c r="G1842" s="207"/>
      <c r="H1842" s="209"/>
      <c r="I1842" s="209"/>
      <c r="J1842" s="209"/>
      <c r="K1842" s="208" t="str">
        <f>IF(Errors!$I1842=0,SourceData!$B$42,VLOOKUP(Errors!$I1842,SourceData!$A$2:$B$40,2,FALSE))</f>
        <v>Please select ERROR CODE column "I"</v>
      </c>
      <c r="L1842" s="207" t="str">
        <f>IF(Errors!$I1842=0,
    'List of Error Codes'!$E$29,
    IFERROR(VLOOKUP(Errors!$I1842, 'List of Error Codes'!D1841:I1871, 6, FALSE), 'List of Error Codes'!$E$29)
)</f>
        <v>Please select ERROR CODE column "I"</v>
      </c>
      <c r="M1842" s="209"/>
      <c r="N1842" s="209"/>
      <c r="O1842" s="209"/>
      <c r="P1842" s="209"/>
      <c r="Q1842" s="209"/>
      <c r="R1842" s="217"/>
      <c r="S1842" s="217"/>
      <c r="T1842" s="217"/>
      <c r="U1842" s="199"/>
      <c r="V1842" s="200"/>
      <c r="W1842" s="200"/>
      <c r="X1842" s="200"/>
      <c r="Y1842" s="200"/>
      <c r="Z1842" s="200"/>
      <c r="AA1842" s="201"/>
      <c r="AB1842" s="200"/>
      <c r="AC1842" s="200"/>
    </row>
    <row r="1843" ht="15.75" customHeight="1">
      <c r="A1843" s="210">
        <f t="shared" si="1"/>
        <v>1841</v>
      </c>
      <c r="B1843" s="217"/>
      <c r="C1843" s="217" t="str">
        <f>IFERROR(VLOOKUP(B1843, SourceData!$U$3:$V$190, 2, FALSE), "")</f>
        <v/>
      </c>
      <c r="D1843" s="240"/>
      <c r="E1843" s="241"/>
      <c r="F1843" s="248"/>
      <c r="G1843" s="207"/>
      <c r="H1843" s="209"/>
      <c r="I1843" s="209"/>
      <c r="J1843" s="209"/>
      <c r="K1843" s="208" t="str">
        <f>IF(Errors!$I1843=0,SourceData!$B$42,VLOOKUP(Errors!$I1843,SourceData!$A$2:$B$40,2,FALSE))</f>
        <v>Please select ERROR CODE column "I"</v>
      </c>
      <c r="L1843" s="207" t="str">
        <f>IF(Errors!$I1843=0,
    'List of Error Codes'!$E$29,
    IFERROR(VLOOKUP(Errors!$I1843, 'List of Error Codes'!D1842:I1872, 6, FALSE), 'List of Error Codes'!$E$29)
)</f>
        <v>Please select ERROR CODE column "I"</v>
      </c>
      <c r="M1843" s="209"/>
      <c r="N1843" s="209"/>
      <c r="O1843" s="209"/>
      <c r="P1843" s="209"/>
      <c r="Q1843" s="209"/>
      <c r="R1843" s="217"/>
      <c r="S1843" s="217"/>
      <c r="T1843" s="217"/>
      <c r="U1843" s="199"/>
      <c r="V1843" s="200"/>
      <c r="W1843" s="200"/>
      <c r="X1843" s="200"/>
      <c r="Y1843" s="200"/>
      <c r="Z1843" s="200"/>
      <c r="AA1843" s="201"/>
      <c r="AB1843" s="200"/>
      <c r="AC1843" s="200"/>
    </row>
    <row r="1844" ht="15.75" customHeight="1">
      <c r="A1844" s="210">
        <f t="shared" si="1"/>
        <v>1842</v>
      </c>
      <c r="B1844" s="217"/>
      <c r="C1844" s="217" t="str">
        <f>IFERROR(VLOOKUP(B1844, SourceData!$U$3:$V$190, 2, FALSE), "")</f>
        <v/>
      </c>
      <c r="D1844" s="240"/>
      <c r="E1844" s="241"/>
      <c r="F1844" s="248"/>
      <c r="G1844" s="207"/>
      <c r="H1844" s="209"/>
      <c r="I1844" s="209"/>
      <c r="J1844" s="209"/>
      <c r="K1844" s="208" t="str">
        <f>IF(Errors!$I1844=0,SourceData!$B$42,VLOOKUP(Errors!$I1844,SourceData!$A$2:$B$40,2,FALSE))</f>
        <v>Please select ERROR CODE column "I"</v>
      </c>
      <c r="L1844" s="207" t="str">
        <f>IF(Errors!$I1844=0,
    'List of Error Codes'!$E$29,
    IFERROR(VLOOKUP(Errors!$I1844, 'List of Error Codes'!D1843:I1873, 6, FALSE), 'List of Error Codes'!$E$29)
)</f>
        <v>Please select ERROR CODE column "I"</v>
      </c>
      <c r="M1844" s="209"/>
      <c r="N1844" s="209"/>
      <c r="O1844" s="209"/>
      <c r="P1844" s="209"/>
      <c r="Q1844" s="209"/>
      <c r="R1844" s="217"/>
      <c r="S1844" s="217"/>
      <c r="T1844" s="217"/>
      <c r="U1844" s="199"/>
      <c r="V1844" s="200"/>
      <c r="W1844" s="200"/>
      <c r="X1844" s="200"/>
      <c r="Y1844" s="200"/>
      <c r="Z1844" s="200"/>
      <c r="AA1844" s="201"/>
      <c r="AB1844" s="200"/>
      <c r="AC1844" s="200"/>
    </row>
    <row r="1845" ht="15.75" customHeight="1">
      <c r="A1845" s="210">
        <f t="shared" si="1"/>
        <v>1843</v>
      </c>
      <c r="B1845" s="217"/>
      <c r="C1845" s="217" t="str">
        <f>IFERROR(VLOOKUP(B1845, SourceData!$U$3:$V$190, 2, FALSE), "")</f>
        <v/>
      </c>
      <c r="D1845" s="240"/>
      <c r="E1845" s="241"/>
      <c r="F1845" s="248"/>
      <c r="G1845" s="207"/>
      <c r="H1845" s="209"/>
      <c r="I1845" s="209"/>
      <c r="J1845" s="209"/>
      <c r="K1845" s="208" t="str">
        <f>IF(Errors!$I1845=0,SourceData!$B$42,VLOOKUP(Errors!$I1845,SourceData!$A$2:$B$40,2,FALSE))</f>
        <v>Please select ERROR CODE column "I"</v>
      </c>
      <c r="L1845" s="207" t="str">
        <f>IF(Errors!$I1845=0,
    'List of Error Codes'!$E$29,
    IFERROR(VLOOKUP(Errors!$I1845, 'List of Error Codes'!D1844:I1874, 6, FALSE), 'List of Error Codes'!$E$29)
)</f>
        <v>Please select ERROR CODE column "I"</v>
      </c>
      <c r="M1845" s="209"/>
      <c r="N1845" s="209"/>
      <c r="O1845" s="209"/>
      <c r="P1845" s="209"/>
      <c r="Q1845" s="209"/>
      <c r="R1845" s="217"/>
      <c r="S1845" s="217"/>
      <c r="T1845" s="217"/>
      <c r="U1845" s="199"/>
      <c r="V1845" s="200"/>
      <c r="W1845" s="200"/>
      <c r="X1845" s="200"/>
      <c r="Y1845" s="200"/>
      <c r="Z1845" s="200"/>
      <c r="AA1845" s="201"/>
      <c r="AB1845" s="200"/>
      <c r="AC1845" s="200"/>
    </row>
    <row r="1846" ht="15.75" customHeight="1">
      <c r="A1846" s="210">
        <f t="shared" si="1"/>
        <v>1844</v>
      </c>
      <c r="B1846" s="217"/>
      <c r="C1846" s="217" t="str">
        <f>IFERROR(VLOOKUP(B1846, SourceData!$U$3:$V$190, 2, FALSE), "")</f>
        <v/>
      </c>
      <c r="D1846" s="240"/>
      <c r="E1846" s="241"/>
      <c r="F1846" s="248"/>
      <c r="G1846" s="207"/>
      <c r="H1846" s="209"/>
      <c r="I1846" s="209"/>
      <c r="J1846" s="209"/>
      <c r="K1846" s="208" t="str">
        <f>IF(Errors!$I1846=0,SourceData!$B$42,VLOOKUP(Errors!$I1846,SourceData!$A$2:$B$40,2,FALSE))</f>
        <v>Please select ERROR CODE column "I"</v>
      </c>
      <c r="L1846" s="207" t="str">
        <f>IF(Errors!$I1846=0,
    'List of Error Codes'!$E$29,
    IFERROR(VLOOKUP(Errors!$I1846, 'List of Error Codes'!D1845:I1875, 6, FALSE), 'List of Error Codes'!$E$29)
)</f>
        <v>Please select ERROR CODE column "I"</v>
      </c>
      <c r="M1846" s="209"/>
      <c r="N1846" s="209"/>
      <c r="O1846" s="209"/>
      <c r="P1846" s="209"/>
      <c r="Q1846" s="209"/>
      <c r="R1846" s="217"/>
      <c r="S1846" s="217"/>
      <c r="T1846" s="217"/>
      <c r="U1846" s="199"/>
      <c r="V1846" s="200"/>
      <c r="W1846" s="200"/>
      <c r="X1846" s="200"/>
      <c r="Y1846" s="200"/>
      <c r="Z1846" s="200"/>
      <c r="AA1846" s="201"/>
      <c r="AB1846" s="200"/>
      <c r="AC1846" s="200"/>
    </row>
    <row r="1847" ht="15.75" customHeight="1">
      <c r="A1847" s="210">
        <f t="shared" si="1"/>
        <v>1845</v>
      </c>
      <c r="B1847" s="217"/>
      <c r="C1847" s="217" t="str">
        <f>IFERROR(VLOOKUP(B1847, SourceData!$U$3:$V$190, 2, FALSE), "")</f>
        <v/>
      </c>
      <c r="D1847" s="240"/>
      <c r="E1847" s="241"/>
      <c r="F1847" s="248"/>
      <c r="G1847" s="207"/>
      <c r="H1847" s="209"/>
      <c r="I1847" s="209"/>
      <c r="J1847" s="209"/>
      <c r="K1847" s="208" t="str">
        <f>IF(Errors!$I1847=0,SourceData!$B$42,VLOOKUP(Errors!$I1847,SourceData!$A$2:$B$40,2,FALSE))</f>
        <v>Please select ERROR CODE column "I"</v>
      </c>
      <c r="L1847" s="207" t="str">
        <f>IF(Errors!$I1847=0,
    'List of Error Codes'!$E$29,
    IFERROR(VLOOKUP(Errors!$I1847, 'List of Error Codes'!D1846:I1876, 6, FALSE), 'List of Error Codes'!$E$29)
)</f>
        <v>Please select ERROR CODE column "I"</v>
      </c>
      <c r="M1847" s="209"/>
      <c r="N1847" s="209"/>
      <c r="O1847" s="209"/>
      <c r="P1847" s="209"/>
      <c r="Q1847" s="209"/>
      <c r="R1847" s="217"/>
      <c r="S1847" s="217"/>
      <c r="T1847" s="217"/>
      <c r="U1847" s="199"/>
      <c r="V1847" s="200"/>
      <c r="W1847" s="200"/>
      <c r="X1847" s="200"/>
      <c r="Y1847" s="200"/>
      <c r="Z1847" s="200"/>
      <c r="AA1847" s="201"/>
      <c r="AB1847" s="200"/>
      <c r="AC1847" s="200"/>
    </row>
    <row r="1848" ht="15.75" customHeight="1">
      <c r="A1848" s="210">
        <f t="shared" si="1"/>
        <v>1846</v>
      </c>
      <c r="B1848" s="217"/>
      <c r="C1848" s="217" t="str">
        <f>IFERROR(VLOOKUP(B1848, SourceData!$U$3:$V$190, 2, FALSE), "")</f>
        <v/>
      </c>
      <c r="D1848" s="240"/>
      <c r="E1848" s="241"/>
      <c r="F1848" s="248"/>
      <c r="G1848" s="207"/>
      <c r="H1848" s="209"/>
      <c r="I1848" s="209"/>
      <c r="J1848" s="209"/>
      <c r="K1848" s="208" t="str">
        <f>IF(Errors!$I1848=0,SourceData!$B$42,VLOOKUP(Errors!$I1848,SourceData!$A$2:$B$40,2,FALSE))</f>
        <v>Please select ERROR CODE column "I"</v>
      </c>
      <c r="L1848" s="207" t="str">
        <f>IF(Errors!$I1848=0,
    'List of Error Codes'!$E$29,
    IFERROR(VLOOKUP(Errors!$I1848, 'List of Error Codes'!D1847:I1877, 6, FALSE), 'List of Error Codes'!$E$29)
)</f>
        <v>Please select ERROR CODE column "I"</v>
      </c>
      <c r="M1848" s="209"/>
      <c r="N1848" s="209"/>
      <c r="O1848" s="209"/>
      <c r="P1848" s="209"/>
      <c r="Q1848" s="209"/>
      <c r="R1848" s="217"/>
      <c r="S1848" s="217"/>
      <c r="T1848" s="217"/>
      <c r="U1848" s="199"/>
      <c r="V1848" s="200"/>
      <c r="W1848" s="200"/>
      <c r="X1848" s="200"/>
      <c r="Y1848" s="200"/>
      <c r="Z1848" s="200"/>
      <c r="AA1848" s="201"/>
      <c r="AB1848" s="200"/>
      <c r="AC1848" s="200"/>
    </row>
    <row r="1849" ht="15.75" customHeight="1">
      <c r="A1849" s="210">
        <f t="shared" si="1"/>
        <v>1847</v>
      </c>
      <c r="B1849" s="217"/>
      <c r="C1849" s="217" t="str">
        <f>IFERROR(VLOOKUP(B1849, SourceData!$U$3:$V$190, 2, FALSE), "")</f>
        <v/>
      </c>
      <c r="D1849" s="240"/>
      <c r="E1849" s="241"/>
      <c r="F1849" s="248"/>
      <c r="G1849" s="207"/>
      <c r="H1849" s="209"/>
      <c r="I1849" s="209"/>
      <c r="J1849" s="209"/>
      <c r="K1849" s="208" t="str">
        <f>IF(Errors!$I1849=0,SourceData!$B$42,VLOOKUP(Errors!$I1849,SourceData!$A$2:$B$40,2,FALSE))</f>
        <v>Please select ERROR CODE column "I"</v>
      </c>
      <c r="L1849" s="207" t="str">
        <f>IF(Errors!$I1849=0,
    'List of Error Codes'!$E$29,
    IFERROR(VLOOKUP(Errors!$I1849, 'List of Error Codes'!D1848:I1878, 6, FALSE), 'List of Error Codes'!$E$29)
)</f>
        <v>Please select ERROR CODE column "I"</v>
      </c>
      <c r="M1849" s="209"/>
      <c r="N1849" s="209"/>
      <c r="O1849" s="209"/>
      <c r="P1849" s="209"/>
      <c r="Q1849" s="209"/>
      <c r="R1849" s="217"/>
      <c r="S1849" s="217"/>
      <c r="T1849" s="217"/>
      <c r="U1849" s="199"/>
      <c r="V1849" s="200"/>
      <c r="W1849" s="200"/>
      <c r="X1849" s="200"/>
      <c r="Y1849" s="200"/>
      <c r="Z1849" s="200"/>
      <c r="AA1849" s="201"/>
      <c r="AB1849" s="200"/>
      <c r="AC1849" s="200"/>
    </row>
    <row r="1850" ht="15.75" customHeight="1">
      <c r="A1850" s="210">
        <f t="shared" si="1"/>
        <v>1848</v>
      </c>
      <c r="B1850" s="217"/>
      <c r="C1850" s="217" t="str">
        <f>IFERROR(VLOOKUP(B1850, SourceData!$U$3:$V$190, 2, FALSE), "")</f>
        <v/>
      </c>
      <c r="D1850" s="240"/>
      <c r="E1850" s="241"/>
      <c r="F1850" s="248"/>
      <c r="G1850" s="207"/>
      <c r="H1850" s="209"/>
      <c r="I1850" s="209"/>
      <c r="J1850" s="209"/>
      <c r="K1850" s="208" t="str">
        <f>IF(Errors!$I1850=0,SourceData!$B$42,VLOOKUP(Errors!$I1850,SourceData!$A$2:$B$40,2,FALSE))</f>
        <v>Please select ERROR CODE column "I"</v>
      </c>
      <c r="L1850" s="207" t="str">
        <f>IF(Errors!$I1850=0,
    'List of Error Codes'!$E$29,
    IFERROR(VLOOKUP(Errors!$I1850, 'List of Error Codes'!D1849:I1879, 6, FALSE), 'List of Error Codes'!$E$29)
)</f>
        <v>Please select ERROR CODE column "I"</v>
      </c>
      <c r="M1850" s="209"/>
      <c r="N1850" s="209"/>
      <c r="O1850" s="209"/>
      <c r="P1850" s="209"/>
      <c r="Q1850" s="209"/>
      <c r="R1850" s="217"/>
      <c r="S1850" s="217"/>
      <c r="T1850" s="217"/>
      <c r="U1850" s="199"/>
      <c r="V1850" s="200"/>
      <c r="W1850" s="200"/>
      <c r="X1850" s="200"/>
      <c r="Y1850" s="200"/>
      <c r="Z1850" s="200"/>
      <c r="AA1850" s="201"/>
      <c r="AB1850" s="200"/>
      <c r="AC1850" s="200"/>
    </row>
    <row r="1851" ht="15.75" customHeight="1">
      <c r="A1851" s="210">
        <f t="shared" si="1"/>
        <v>1849</v>
      </c>
      <c r="B1851" s="217"/>
      <c r="C1851" s="217" t="str">
        <f>IFERROR(VLOOKUP(B1851, SourceData!$U$3:$V$190, 2, FALSE), "")</f>
        <v/>
      </c>
      <c r="D1851" s="240"/>
      <c r="E1851" s="241"/>
      <c r="F1851" s="248"/>
      <c r="G1851" s="207"/>
      <c r="H1851" s="209"/>
      <c r="I1851" s="209"/>
      <c r="J1851" s="209"/>
      <c r="K1851" s="208" t="str">
        <f>IF(Errors!$I1851=0,SourceData!$B$42,VLOOKUP(Errors!$I1851,SourceData!$A$2:$B$40,2,FALSE))</f>
        <v>Please select ERROR CODE column "I"</v>
      </c>
      <c r="L1851" s="207" t="str">
        <f>IF(Errors!$I1851=0,
    'List of Error Codes'!$E$29,
    IFERROR(VLOOKUP(Errors!$I1851, 'List of Error Codes'!D1850:I1880, 6, FALSE), 'List of Error Codes'!$E$29)
)</f>
        <v>Please select ERROR CODE column "I"</v>
      </c>
      <c r="M1851" s="209"/>
      <c r="N1851" s="209"/>
      <c r="O1851" s="209"/>
      <c r="P1851" s="209"/>
      <c r="Q1851" s="209"/>
      <c r="R1851" s="217"/>
      <c r="S1851" s="217"/>
      <c r="T1851" s="217"/>
      <c r="U1851" s="199"/>
      <c r="V1851" s="200"/>
      <c r="W1851" s="200"/>
      <c r="X1851" s="200"/>
      <c r="Y1851" s="200"/>
      <c r="Z1851" s="200"/>
      <c r="AA1851" s="201"/>
      <c r="AB1851" s="200"/>
      <c r="AC1851" s="200"/>
    </row>
    <row r="1852" ht="15.75" customHeight="1">
      <c r="A1852" s="210">
        <f t="shared" si="1"/>
        <v>1850</v>
      </c>
      <c r="B1852" s="217"/>
      <c r="C1852" s="217" t="str">
        <f>IFERROR(VLOOKUP(B1852, SourceData!$U$3:$V$190, 2, FALSE), "")</f>
        <v/>
      </c>
      <c r="D1852" s="240"/>
      <c r="E1852" s="241"/>
      <c r="F1852" s="248"/>
      <c r="G1852" s="207"/>
      <c r="H1852" s="209"/>
      <c r="I1852" s="209"/>
      <c r="J1852" s="209"/>
      <c r="K1852" s="208" t="str">
        <f>IF(Errors!$I1852=0,SourceData!$B$42,VLOOKUP(Errors!$I1852,SourceData!$A$2:$B$40,2,FALSE))</f>
        <v>Please select ERROR CODE column "I"</v>
      </c>
      <c r="L1852" s="207" t="str">
        <f>IF(Errors!$I1852=0,
    'List of Error Codes'!$E$29,
    IFERROR(VLOOKUP(Errors!$I1852, 'List of Error Codes'!D1851:I1881, 6, FALSE), 'List of Error Codes'!$E$29)
)</f>
        <v>Please select ERROR CODE column "I"</v>
      </c>
      <c r="M1852" s="209"/>
      <c r="N1852" s="209"/>
      <c r="O1852" s="209"/>
      <c r="P1852" s="209"/>
      <c r="Q1852" s="209"/>
      <c r="R1852" s="217"/>
      <c r="S1852" s="217"/>
      <c r="T1852" s="217"/>
      <c r="U1852" s="199"/>
      <c r="V1852" s="200"/>
      <c r="W1852" s="200"/>
      <c r="X1852" s="200"/>
      <c r="Y1852" s="200"/>
      <c r="Z1852" s="200"/>
      <c r="AA1852" s="201"/>
      <c r="AB1852" s="200"/>
      <c r="AC1852" s="200"/>
    </row>
    <row r="1853" ht="15.75" customHeight="1">
      <c r="A1853" s="210">
        <f t="shared" si="1"/>
        <v>1851</v>
      </c>
      <c r="B1853" s="217"/>
      <c r="C1853" s="217" t="str">
        <f>IFERROR(VLOOKUP(B1853, SourceData!$U$3:$V$190, 2, FALSE), "")</f>
        <v/>
      </c>
      <c r="D1853" s="240"/>
      <c r="E1853" s="241"/>
      <c r="F1853" s="248"/>
      <c r="G1853" s="207"/>
      <c r="H1853" s="209"/>
      <c r="I1853" s="209"/>
      <c r="J1853" s="209"/>
      <c r="K1853" s="208" t="str">
        <f>IF(Errors!$I1853=0,SourceData!$B$42,VLOOKUP(Errors!$I1853,SourceData!$A$2:$B$40,2,FALSE))</f>
        <v>Please select ERROR CODE column "I"</v>
      </c>
      <c r="L1853" s="207" t="str">
        <f>IF(Errors!$I1853=0,
    'List of Error Codes'!$E$29,
    IFERROR(VLOOKUP(Errors!$I1853, 'List of Error Codes'!D1852:I1882, 6, FALSE), 'List of Error Codes'!$E$29)
)</f>
        <v>Please select ERROR CODE column "I"</v>
      </c>
      <c r="M1853" s="209"/>
      <c r="N1853" s="209"/>
      <c r="O1853" s="209"/>
      <c r="P1853" s="209"/>
      <c r="Q1853" s="209"/>
      <c r="R1853" s="217"/>
      <c r="S1853" s="217"/>
      <c r="T1853" s="217"/>
      <c r="U1853" s="199"/>
      <c r="V1853" s="200"/>
      <c r="W1853" s="200"/>
      <c r="X1853" s="200"/>
      <c r="Y1853" s="200"/>
      <c r="Z1853" s="200"/>
      <c r="AA1853" s="201"/>
      <c r="AB1853" s="200"/>
      <c r="AC1853" s="200"/>
    </row>
    <row r="1854" ht="15.75" customHeight="1">
      <c r="A1854" s="210">
        <f t="shared" si="1"/>
        <v>1852</v>
      </c>
      <c r="B1854" s="217"/>
      <c r="C1854" s="217" t="str">
        <f>IFERROR(VLOOKUP(B1854, SourceData!$U$3:$V$190, 2, FALSE), "")</f>
        <v/>
      </c>
      <c r="D1854" s="240"/>
      <c r="E1854" s="241"/>
      <c r="F1854" s="248"/>
      <c r="G1854" s="207"/>
      <c r="H1854" s="209"/>
      <c r="I1854" s="209"/>
      <c r="J1854" s="209"/>
      <c r="K1854" s="208" t="str">
        <f>IF(Errors!$I1854=0,SourceData!$B$42,VLOOKUP(Errors!$I1854,SourceData!$A$2:$B$40,2,FALSE))</f>
        <v>Please select ERROR CODE column "I"</v>
      </c>
      <c r="L1854" s="207" t="str">
        <f>IF(Errors!$I1854=0,
    'List of Error Codes'!$E$29,
    IFERROR(VLOOKUP(Errors!$I1854, 'List of Error Codes'!D1853:I1883, 6, FALSE), 'List of Error Codes'!$E$29)
)</f>
        <v>Please select ERROR CODE column "I"</v>
      </c>
      <c r="M1854" s="209"/>
      <c r="N1854" s="209"/>
      <c r="O1854" s="209"/>
      <c r="P1854" s="209"/>
      <c r="Q1854" s="209"/>
      <c r="R1854" s="217"/>
      <c r="S1854" s="217"/>
      <c r="T1854" s="217"/>
      <c r="U1854" s="199"/>
      <c r="V1854" s="200"/>
      <c r="W1854" s="200"/>
      <c r="X1854" s="200"/>
      <c r="Y1854" s="200"/>
      <c r="Z1854" s="200"/>
      <c r="AA1854" s="201"/>
      <c r="AB1854" s="200"/>
      <c r="AC1854" s="200"/>
    </row>
    <row r="1855" ht="15.75" customHeight="1">
      <c r="A1855" s="210">
        <f t="shared" si="1"/>
        <v>1853</v>
      </c>
      <c r="B1855" s="217"/>
      <c r="C1855" s="217" t="str">
        <f>IFERROR(VLOOKUP(B1855, SourceData!$U$3:$V$190, 2, FALSE), "")</f>
        <v/>
      </c>
      <c r="D1855" s="240"/>
      <c r="E1855" s="241"/>
      <c r="F1855" s="248"/>
      <c r="G1855" s="207"/>
      <c r="H1855" s="209"/>
      <c r="I1855" s="209"/>
      <c r="J1855" s="209"/>
      <c r="K1855" s="208" t="str">
        <f>IF(Errors!$I1855=0,SourceData!$B$42,VLOOKUP(Errors!$I1855,SourceData!$A$2:$B$40,2,FALSE))</f>
        <v>Please select ERROR CODE column "I"</v>
      </c>
      <c r="L1855" s="207" t="str">
        <f>IF(Errors!$I1855=0,
    'List of Error Codes'!$E$29,
    IFERROR(VLOOKUP(Errors!$I1855, 'List of Error Codes'!D1854:I1884, 6, FALSE), 'List of Error Codes'!$E$29)
)</f>
        <v>Please select ERROR CODE column "I"</v>
      </c>
      <c r="M1855" s="209"/>
      <c r="N1855" s="209"/>
      <c r="O1855" s="209"/>
      <c r="P1855" s="209"/>
      <c r="Q1855" s="209"/>
      <c r="R1855" s="217"/>
      <c r="S1855" s="217"/>
      <c r="T1855" s="217"/>
      <c r="U1855" s="199"/>
      <c r="V1855" s="200"/>
      <c r="W1855" s="200"/>
      <c r="X1855" s="200"/>
      <c r="Y1855" s="200"/>
      <c r="Z1855" s="200"/>
      <c r="AA1855" s="201"/>
      <c r="AB1855" s="200"/>
      <c r="AC1855" s="200"/>
    </row>
    <row r="1856" ht="15.75" customHeight="1">
      <c r="A1856" s="210">
        <f t="shared" si="1"/>
        <v>1854</v>
      </c>
      <c r="B1856" s="217"/>
      <c r="C1856" s="217" t="str">
        <f>IFERROR(VLOOKUP(B1856, SourceData!$U$3:$V$190, 2, FALSE), "")</f>
        <v/>
      </c>
      <c r="D1856" s="240"/>
      <c r="E1856" s="241"/>
      <c r="F1856" s="248"/>
      <c r="G1856" s="207"/>
      <c r="H1856" s="209"/>
      <c r="I1856" s="209"/>
      <c r="J1856" s="209"/>
      <c r="K1856" s="208" t="str">
        <f>IF(Errors!$I1856=0,SourceData!$B$42,VLOOKUP(Errors!$I1856,SourceData!$A$2:$B$40,2,FALSE))</f>
        <v>Please select ERROR CODE column "I"</v>
      </c>
      <c r="L1856" s="207" t="str">
        <f>IF(Errors!$I1856=0,
    'List of Error Codes'!$E$29,
    IFERROR(VLOOKUP(Errors!$I1856, 'List of Error Codes'!D1855:I1885, 6, FALSE), 'List of Error Codes'!$E$29)
)</f>
        <v>Please select ERROR CODE column "I"</v>
      </c>
      <c r="M1856" s="209"/>
      <c r="N1856" s="209"/>
      <c r="O1856" s="209"/>
      <c r="P1856" s="209"/>
      <c r="Q1856" s="209"/>
      <c r="R1856" s="217"/>
      <c r="S1856" s="217"/>
      <c r="T1856" s="217"/>
      <c r="U1856" s="199"/>
      <c r="V1856" s="200"/>
      <c r="W1856" s="200"/>
      <c r="X1856" s="200"/>
      <c r="Y1856" s="200"/>
      <c r="Z1856" s="200"/>
      <c r="AA1856" s="201"/>
      <c r="AB1856" s="200"/>
      <c r="AC1856" s="200"/>
    </row>
    <row r="1857" ht="15.75" customHeight="1">
      <c r="A1857" s="210">
        <f t="shared" si="1"/>
        <v>1855</v>
      </c>
      <c r="B1857" s="217"/>
      <c r="C1857" s="217" t="str">
        <f>IFERROR(VLOOKUP(B1857, SourceData!$U$3:$V$190, 2, FALSE), "")</f>
        <v/>
      </c>
      <c r="D1857" s="240"/>
      <c r="E1857" s="241"/>
      <c r="F1857" s="248"/>
      <c r="G1857" s="207"/>
      <c r="H1857" s="209"/>
      <c r="I1857" s="209"/>
      <c r="J1857" s="209"/>
      <c r="K1857" s="208" t="str">
        <f>IF(Errors!$I1857=0,SourceData!$B$42,VLOOKUP(Errors!$I1857,SourceData!$A$2:$B$40,2,FALSE))</f>
        <v>Please select ERROR CODE column "I"</v>
      </c>
      <c r="L1857" s="207" t="str">
        <f>IF(Errors!$I1857=0,
    'List of Error Codes'!$E$29,
    IFERROR(VLOOKUP(Errors!$I1857, 'List of Error Codes'!D1856:I1886, 6, FALSE), 'List of Error Codes'!$E$29)
)</f>
        <v>Please select ERROR CODE column "I"</v>
      </c>
      <c r="M1857" s="209"/>
      <c r="N1857" s="209"/>
      <c r="O1857" s="209"/>
      <c r="P1857" s="209"/>
      <c r="Q1857" s="209"/>
      <c r="R1857" s="217"/>
      <c r="S1857" s="217"/>
      <c r="T1857" s="217"/>
      <c r="U1857" s="199"/>
      <c r="V1857" s="200"/>
      <c r="W1857" s="200"/>
      <c r="X1857" s="200"/>
      <c r="Y1857" s="200"/>
      <c r="Z1857" s="200"/>
      <c r="AA1857" s="201"/>
      <c r="AB1857" s="200"/>
      <c r="AC1857" s="200"/>
    </row>
    <row r="1858" ht="15.75" customHeight="1">
      <c r="A1858" s="210">
        <f t="shared" si="1"/>
        <v>1856</v>
      </c>
      <c r="B1858" s="217"/>
      <c r="C1858" s="217" t="str">
        <f>IFERROR(VLOOKUP(B1858, SourceData!$U$3:$V$190, 2, FALSE), "")</f>
        <v/>
      </c>
      <c r="D1858" s="240"/>
      <c r="E1858" s="241"/>
      <c r="F1858" s="248"/>
      <c r="G1858" s="207"/>
      <c r="H1858" s="209"/>
      <c r="I1858" s="209"/>
      <c r="J1858" s="209"/>
      <c r="K1858" s="208" t="str">
        <f>IF(Errors!$I1858=0,SourceData!$B$42,VLOOKUP(Errors!$I1858,SourceData!$A$2:$B$40,2,FALSE))</f>
        <v>Please select ERROR CODE column "I"</v>
      </c>
      <c r="L1858" s="207" t="str">
        <f>IF(Errors!$I1858=0,
    'List of Error Codes'!$E$29,
    IFERROR(VLOOKUP(Errors!$I1858, 'List of Error Codes'!D1857:I1887, 6, FALSE), 'List of Error Codes'!$E$29)
)</f>
        <v>Please select ERROR CODE column "I"</v>
      </c>
      <c r="M1858" s="209"/>
      <c r="N1858" s="209"/>
      <c r="O1858" s="209"/>
      <c r="P1858" s="209"/>
      <c r="Q1858" s="209"/>
      <c r="R1858" s="217"/>
      <c r="S1858" s="217"/>
      <c r="T1858" s="217"/>
      <c r="U1858" s="199"/>
      <c r="V1858" s="200"/>
      <c r="W1858" s="200"/>
      <c r="X1858" s="200"/>
      <c r="Y1858" s="200"/>
      <c r="Z1858" s="200"/>
      <c r="AA1858" s="201"/>
      <c r="AB1858" s="200"/>
      <c r="AC1858" s="200"/>
    </row>
    <row r="1859" ht="15.75" customHeight="1">
      <c r="A1859" s="210">
        <f t="shared" si="1"/>
        <v>1857</v>
      </c>
      <c r="B1859" s="217"/>
      <c r="C1859" s="217" t="str">
        <f>IFERROR(VLOOKUP(B1859, SourceData!$U$3:$V$190, 2, FALSE), "")</f>
        <v/>
      </c>
      <c r="D1859" s="240"/>
      <c r="E1859" s="241"/>
      <c r="F1859" s="248"/>
      <c r="G1859" s="207"/>
      <c r="H1859" s="209"/>
      <c r="I1859" s="209"/>
      <c r="J1859" s="209"/>
      <c r="K1859" s="208" t="str">
        <f>IF(Errors!$I1859=0,SourceData!$B$42,VLOOKUP(Errors!$I1859,SourceData!$A$2:$B$40,2,FALSE))</f>
        <v>Please select ERROR CODE column "I"</v>
      </c>
      <c r="L1859" s="207" t="str">
        <f>IF(Errors!$I1859=0,
    'List of Error Codes'!$E$29,
    IFERROR(VLOOKUP(Errors!$I1859, 'List of Error Codes'!D1858:I1888, 6, FALSE), 'List of Error Codes'!$E$29)
)</f>
        <v>Please select ERROR CODE column "I"</v>
      </c>
      <c r="M1859" s="209"/>
      <c r="N1859" s="209"/>
      <c r="O1859" s="209"/>
      <c r="P1859" s="209"/>
      <c r="Q1859" s="209"/>
      <c r="R1859" s="217"/>
      <c r="S1859" s="217"/>
      <c r="T1859" s="217"/>
      <c r="U1859" s="199"/>
      <c r="V1859" s="200"/>
      <c r="W1859" s="200"/>
      <c r="X1859" s="200"/>
      <c r="Y1859" s="200"/>
      <c r="Z1859" s="200"/>
      <c r="AA1859" s="201"/>
      <c r="AB1859" s="200"/>
      <c r="AC1859" s="200"/>
    </row>
    <row r="1860" ht="15.75" customHeight="1">
      <c r="A1860" s="210">
        <f t="shared" si="1"/>
        <v>1858</v>
      </c>
      <c r="B1860" s="217"/>
      <c r="C1860" s="217" t="str">
        <f>IFERROR(VLOOKUP(B1860, SourceData!$U$3:$V$190, 2, FALSE), "")</f>
        <v/>
      </c>
      <c r="D1860" s="240"/>
      <c r="E1860" s="241"/>
      <c r="F1860" s="248"/>
      <c r="G1860" s="207"/>
      <c r="H1860" s="209"/>
      <c r="I1860" s="209"/>
      <c r="J1860" s="209"/>
      <c r="K1860" s="208" t="str">
        <f>IF(Errors!$I1860=0,SourceData!$B$42,VLOOKUP(Errors!$I1860,SourceData!$A$2:$B$40,2,FALSE))</f>
        <v>Please select ERROR CODE column "I"</v>
      </c>
      <c r="L1860" s="207" t="str">
        <f>IF(Errors!$I1860=0,
    'List of Error Codes'!$E$29,
    IFERROR(VLOOKUP(Errors!$I1860, 'List of Error Codes'!D1859:I1889, 6, FALSE), 'List of Error Codes'!$E$29)
)</f>
        <v>Please select ERROR CODE column "I"</v>
      </c>
      <c r="M1860" s="209"/>
      <c r="N1860" s="209"/>
      <c r="O1860" s="209"/>
      <c r="P1860" s="209"/>
      <c r="Q1860" s="209"/>
      <c r="R1860" s="217"/>
      <c r="S1860" s="217"/>
      <c r="T1860" s="217"/>
      <c r="U1860" s="199"/>
      <c r="V1860" s="200"/>
      <c r="W1860" s="200"/>
      <c r="X1860" s="200"/>
      <c r="Y1860" s="200"/>
      <c r="Z1860" s="200"/>
      <c r="AA1860" s="201"/>
      <c r="AB1860" s="200"/>
      <c r="AC1860" s="200"/>
    </row>
    <row r="1861" ht="15.75" customHeight="1">
      <c r="A1861" s="210">
        <f t="shared" si="1"/>
        <v>1859</v>
      </c>
      <c r="B1861" s="217"/>
      <c r="C1861" s="217" t="str">
        <f>IFERROR(VLOOKUP(B1861, SourceData!$U$3:$V$190, 2, FALSE), "")</f>
        <v/>
      </c>
      <c r="D1861" s="240"/>
      <c r="E1861" s="241"/>
      <c r="F1861" s="248"/>
      <c r="G1861" s="207"/>
      <c r="H1861" s="209"/>
      <c r="I1861" s="209"/>
      <c r="J1861" s="209"/>
      <c r="K1861" s="208" t="str">
        <f>IF(Errors!$I1861=0,SourceData!$B$42,VLOOKUP(Errors!$I1861,SourceData!$A$2:$B$40,2,FALSE))</f>
        <v>Please select ERROR CODE column "I"</v>
      </c>
      <c r="L1861" s="207" t="str">
        <f>IF(Errors!$I1861=0,
    'List of Error Codes'!$E$29,
    IFERROR(VLOOKUP(Errors!$I1861, 'List of Error Codes'!D1860:I1890, 6, FALSE), 'List of Error Codes'!$E$29)
)</f>
        <v>Please select ERROR CODE column "I"</v>
      </c>
      <c r="M1861" s="209"/>
      <c r="N1861" s="209"/>
      <c r="O1861" s="209"/>
      <c r="P1861" s="209"/>
      <c r="Q1861" s="209"/>
      <c r="R1861" s="217"/>
      <c r="S1861" s="217"/>
      <c r="T1861" s="217"/>
      <c r="U1861" s="199"/>
      <c r="V1861" s="200"/>
      <c r="W1861" s="200"/>
      <c r="X1861" s="200"/>
      <c r="Y1861" s="200"/>
      <c r="Z1861" s="200"/>
      <c r="AA1861" s="201"/>
      <c r="AB1861" s="200"/>
      <c r="AC1861" s="200"/>
    </row>
    <row r="1862" ht="15.75" customHeight="1">
      <c r="A1862" s="210">
        <f t="shared" si="1"/>
        <v>1860</v>
      </c>
      <c r="B1862" s="217"/>
      <c r="C1862" s="217" t="str">
        <f>IFERROR(VLOOKUP(B1862, SourceData!$U$3:$V$190, 2, FALSE), "")</f>
        <v/>
      </c>
      <c r="D1862" s="240"/>
      <c r="E1862" s="241"/>
      <c r="F1862" s="248"/>
      <c r="G1862" s="207"/>
      <c r="H1862" s="209"/>
      <c r="I1862" s="209"/>
      <c r="J1862" s="209"/>
      <c r="K1862" s="208" t="str">
        <f>IF(Errors!$I1862=0,SourceData!$B$42,VLOOKUP(Errors!$I1862,SourceData!$A$2:$B$40,2,FALSE))</f>
        <v>Please select ERROR CODE column "I"</v>
      </c>
      <c r="L1862" s="207" t="str">
        <f>IF(Errors!$I1862=0,
    'List of Error Codes'!$E$29,
    IFERROR(VLOOKUP(Errors!$I1862, 'List of Error Codes'!D1861:I1891, 6, FALSE), 'List of Error Codes'!$E$29)
)</f>
        <v>Please select ERROR CODE column "I"</v>
      </c>
      <c r="M1862" s="209"/>
      <c r="N1862" s="209"/>
      <c r="O1862" s="209"/>
      <c r="P1862" s="209"/>
      <c r="Q1862" s="209"/>
      <c r="R1862" s="217"/>
      <c r="S1862" s="217"/>
      <c r="T1862" s="217"/>
      <c r="U1862" s="199"/>
      <c r="V1862" s="200"/>
      <c r="W1862" s="200"/>
      <c r="X1862" s="200"/>
      <c r="Y1862" s="200"/>
      <c r="Z1862" s="200"/>
      <c r="AA1862" s="201"/>
      <c r="AB1862" s="200"/>
      <c r="AC1862" s="200"/>
    </row>
    <row r="1863" ht="15.75" customHeight="1">
      <c r="A1863" s="210">
        <f t="shared" si="1"/>
        <v>1861</v>
      </c>
      <c r="B1863" s="217"/>
      <c r="C1863" s="217" t="str">
        <f>IFERROR(VLOOKUP(B1863, SourceData!$U$3:$V$190, 2, FALSE), "")</f>
        <v/>
      </c>
      <c r="D1863" s="240"/>
      <c r="E1863" s="241"/>
      <c r="F1863" s="248"/>
      <c r="G1863" s="207"/>
      <c r="H1863" s="209"/>
      <c r="I1863" s="209"/>
      <c r="J1863" s="209"/>
      <c r="K1863" s="208" t="str">
        <f>IF(Errors!$I1863=0,SourceData!$B$42,VLOOKUP(Errors!$I1863,SourceData!$A$2:$B$40,2,FALSE))</f>
        <v>Please select ERROR CODE column "I"</v>
      </c>
      <c r="L1863" s="207" t="str">
        <f>IF(Errors!$I1863=0,
    'List of Error Codes'!$E$29,
    IFERROR(VLOOKUP(Errors!$I1863, 'List of Error Codes'!D1862:I1892, 6, FALSE), 'List of Error Codes'!$E$29)
)</f>
        <v>Please select ERROR CODE column "I"</v>
      </c>
      <c r="M1863" s="209"/>
      <c r="N1863" s="209"/>
      <c r="O1863" s="209"/>
      <c r="P1863" s="209"/>
      <c r="Q1863" s="209"/>
      <c r="R1863" s="217"/>
      <c r="S1863" s="217"/>
      <c r="T1863" s="217"/>
      <c r="U1863" s="199"/>
      <c r="V1863" s="200"/>
      <c r="W1863" s="200"/>
      <c r="X1863" s="200"/>
      <c r="Y1863" s="200"/>
      <c r="Z1863" s="200"/>
      <c r="AA1863" s="201"/>
      <c r="AB1863" s="200"/>
      <c r="AC1863" s="200"/>
    </row>
    <row r="1864" ht="15.75" customHeight="1">
      <c r="A1864" s="210">
        <f t="shared" si="1"/>
        <v>1862</v>
      </c>
      <c r="B1864" s="217"/>
      <c r="C1864" s="217" t="str">
        <f>IFERROR(VLOOKUP(B1864, SourceData!$U$3:$V$190, 2, FALSE), "")</f>
        <v/>
      </c>
      <c r="D1864" s="240"/>
      <c r="E1864" s="241"/>
      <c r="F1864" s="248"/>
      <c r="G1864" s="207"/>
      <c r="H1864" s="209"/>
      <c r="I1864" s="209"/>
      <c r="J1864" s="209"/>
      <c r="K1864" s="208" t="str">
        <f>IF(Errors!$I1864=0,SourceData!$B$42,VLOOKUP(Errors!$I1864,SourceData!$A$2:$B$40,2,FALSE))</f>
        <v>Please select ERROR CODE column "I"</v>
      </c>
      <c r="L1864" s="207" t="str">
        <f>IF(Errors!$I1864=0,
    'List of Error Codes'!$E$29,
    IFERROR(VLOOKUP(Errors!$I1864, 'List of Error Codes'!D1863:I1893, 6, FALSE), 'List of Error Codes'!$E$29)
)</f>
        <v>Please select ERROR CODE column "I"</v>
      </c>
      <c r="M1864" s="209"/>
      <c r="N1864" s="209"/>
      <c r="O1864" s="209"/>
      <c r="P1864" s="209"/>
      <c r="Q1864" s="209"/>
      <c r="R1864" s="217"/>
      <c r="S1864" s="217"/>
      <c r="T1864" s="217"/>
      <c r="U1864" s="199"/>
      <c r="V1864" s="200"/>
      <c r="W1864" s="200"/>
      <c r="X1864" s="200"/>
      <c r="Y1864" s="200"/>
      <c r="Z1864" s="200"/>
      <c r="AA1864" s="201"/>
      <c r="AB1864" s="200"/>
      <c r="AC1864" s="200"/>
    </row>
    <row r="1865" ht="15.75" customHeight="1">
      <c r="A1865" s="210">
        <f t="shared" si="1"/>
        <v>1863</v>
      </c>
      <c r="B1865" s="217"/>
      <c r="C1865" s="217" t="str">
        <f>IFERROR(VLOOKUP(B1865, SourceData!$U$3:$V$190, 2, FALSE), "")</f>
        <v/>
      </c>
      <c r="D1865" s="240"/>
      <c r="E1865" s="241"/>
      <c r="F1865" s="248"/>
      <c r="G1865" s="207"/>
      <c r="H1865" s="209"/>
      <c r="I1865" s="209"/>
      <c r="J1865" s="209"/>
      <c r="K1865" s="208" t="str">
        <f>IF(Errors!$I1865=0,SourceData!$B$42,VLOOKUP(Errors!$I1865,SourceData!$A$2:$B$40,2,FALSE))</f>
        <v>Please select ERROR CODE column "I"</v>
      </c>
      <c r="L1865" s="207" t="str">
        <f>IF(Errors!$I1865=0,
    'List of Error Codes'!$E$29,
    IFERROR(VLOOKUP(Errors!$I1865, 'List of Error Codes'!D1864:I1894, 6, FALSE), 'List of Error Codes'!$E$29)
)</f>
        <v>Please select ERROR CODE column "I"</v>
      </c>
      <c r="M1865" s="209"/>
      <c r="N1865" s="209"/>
      <c r="O1865" s="209"/>
      <c r="P1865" s="209"/>
      <c r="Q1865" s="209"/>
      <c r="R1865" s="217"/>
      <c r="S1865" s="217"/>
      <c r="T1865" s="217"/>
      <c r="U1865" s="199"/>
      <c r="V1865" s="200"/>
      <c r="W1865" s="200"/>
      <c r="X1865" s="200"/>
      <c r="Y1865" s="200"/>
      <c r="Z1865" s="200"/>
      <c r="AA1865" s="201"/>
      <c r="AB1865" s="200"/>
      <c r="AC1865" s="200"/>
    </row>
    <row r="1866" ht="15.75" customHeight="1">
      <c r="A1866" s="210">
        <f t="shared" si="1"/>
        <v>1864</v>
      </c>
      <c r="B1866" s="217"/>
      <c r="C1866" s="217" t="str">
        <f>IFERROR(VLOOKUP(B1866, SourceData!$U$3:$V$190, 2, FALSE), "")</f>
        <v/>
      </c>
      <c r="D1866" s="240"/>
      <c r="E1866" s="241"/>
      <c r="F1866" s="248"/>
      <c r="G1866" s="207"/>
      <c r="H1866" s="209"/>
      <c r="I1866" s="209"/>
      <c r="J1866" s="209"/>
      <c r="K1866" s="208" t="str">
        <f>IF(Errors!$I1866=0,SourceData!$B$42,VLOOKUP(Errors!$I1866,SourceData!$A$2:$B$40,2,FALSE))</f>
        <v>Please select ERROR CODE column "I"</v>
      </c>
      <c r="L1866" s="207" t="str">
        <f>IF(Errors!$I1866=0,
    'List of Error Codes'!$E$29,
    IFERROR(VLOOKUP(Errors!$I1866, 'List of Error Codes'!D1865:I1895, 6, FALSE), 'List of Error Codes'!$E$29)
)</f>
        <v>Please select ERROR CODE column "I"</v>
      </c>
      <c r="M1866" s="209"/>
      <c r="N1866" s="209"/>
      <c r="O1866" s="209"/>
      <c r="P1866" s="209"/>
      <c r="Q1866" s="209"/>
      <c r="R1866" s="217"/>
      <c r="S1866" s="217"/>
      <c r="T1866" s="217"/>
      <c r="U1866" s="199"/>
      <c r="V1866" s="200"/>
      <c r="W1866" s="200"/>
      <c r="X1866" s="200"/>
      <c r="Y1866" s="200"/>
      <c r="Z1866" s="200"/>
      <c r="AA1866" s="201"/>
      <c r="AB1866" s="200"/>
      <c r="AC1866" s="200"/>
    </row>
    <row r="1867" ht="15.75" customHeight="1">
      <c r="A1867" s="210">
        <f t="shared" si="1"/>
        <v>1865</v>
      </c>
      <c r="B1867" s="217"/>
      <c r="C1867" s="217" t="str">
        <f>IFERROR(VLOOKUP(B1867, SourceData!$U$3:$V$190, 2, FALSE), "")</f>
        <v/>
      </c>
      <c r="D1867" s="240"/>
      <c r="E1867" s="241"/>
      <c r="F1867" s="248"/>
      <c r="G1867" s="207"/>
      <c r="H1867" s="209"/>
      <c r="I1867" s="209"/>
      <c r="J1867" s="209"/>
      <c r="K1867" s="208" t="str">
        <f>IF(Errors!$I1867=0,SourceData!$B$42,VLOOKUP(Errors!$I1867,SourceData!$A$2:$B$40,2,FALSE))</f>
        <v>Please select ERROR CODE column "I"</v>
      </c>
      <c r="L1867" s="207" t="str">
        <f>IF(Errors!$I1867=0,
    'List of Error Codes'!$E$29,
    IFERROR(VLOOKUP(Errors!$I1867, 'List of Error Codes'!D1866:I1896, 6, FALSE), 'List of Error Codes'!$E$29)
)</f>
        <v>Please select ERROR CODE column "I"</v>
      </c>
      <c r="M1867" s="209"/>
      <c r="N1867" s="209"/>
      <c r="O1867" s="209"/>
      <c r="P1867" s="209"/>
      <c r="Q1867" s="209"/>
      <c r="R1867" s="217"/>
      <c r="S1867" s="217"/>
      <c r="T1867" s="217"/>
      <c r="U1867" s="199"/>
      <c r="V1867" s="200"/>
      <c r="W1867" s="200"/>
      <c r="X1867" s="200"/>
      <c r="Y1867" s="200"/>
      <c r="Z1867" s="200"/>
      <c r="AA1867" s="201"/>
      <c r="AB1867" s="200"/>
      <c r="AC1867" s="200"/>
    </row>
    <row r="1868" ht="15.75" customHeight="1">
      <c r="A1868" s="210">
        <f t="shared" si="1"/>
        <v>1866</v>
      </c>
      <c r="B1868" s="217"/>
      <c r="C1868" s="217" t="str">
        <f>IFERROR(VLOOKUP(B1868, SourceData!$U$3:$V$190, 2, FALSE), "")</f>
        <v/>
      </c>
      <c r="D1868" s="240"/>
      <c r="E1868" s="241"/>
      <c r="F1868" s="248"/>
      <c r="G1868" s="207"/>
      <c r="H1868" s="209"/>
      <c r="I1868" s="209"/>
      <c r="J1868" s="209"/>
      <c r="K1868" s="208" t="str">
        <f>IF(Errors!$I1868=0,SourceData!$B$42,VLOOKUP(Errors!$I1868,SourceData!$A$2:$B$40,2,FALSE))</f>
        <v>Please select ERROR CODE column "I"</v>
      </c>
      <c r="L1868" s="207" t="str">
        <f>IF(Errors!$I1868=0,
    'List of Error Codes'!$E$29,
    IFERROR(VLOOKUP(Errors!$I1868, 'List of Error Codes'!D1867:I1897, 6, FALSE), 'List of Error Codes'!$E$29)
)</f>
        <v>Please select ERROR CODE column "I"</v>
      </c>
      <c r="M1868" s="209"/>
      <c r="N1868" s="209"/>
      <c r="O1868" s="209"/>
      <c r="P1868" s="209"/>
      <c r="Q1868" s="209"/>
      <c r="R1868" s="217"/>
      <c r="S1868" s="217"/>
      <c r="T1868" s="217"/>
      <c r="U1868" s="199"/>
      <c r="V1868" s="200"/>
      <c r="W1868" s="200"/>
      <c r="X1868" s="200"/>
      <c r="Y1868" s="200"/>
      <c r="Z1868" s="200"/>
      <c r="AA1868" s="201"/>
      <c r="AB1868" s="200"/>
      <c r="AC1868" s="200"/>
    </row>
    <row r="1869" ht="15.75" customHeight="1">
      <c r="A1869" s="210">
        <f t="shared" si="1"/>
        <v>1867</v>
      </c>
      <c r="B1869" s="217"/>
      <c r="C1869" s="217" t="str">
        <f>IFERROR(VLOOKUP(B1869, SourceData!$U$3:$V$190, 2, FALSE), "")</f>
        <v/>
      </c>
      <c r="D1869" s="240"/>
      <c r="E1869" s="241"/>
      <c r="F1869" s="248"/>
      <c r="G1869" s="207"/>
      <c r="H1869" s="209"/>
      <c r="I1869" s="209"/>
      <c r="J1869" s="209"/>
      <c r="K1869" s="208" t="str">
        <f>IF(Errors!$I1869=0,SourceData!$B$42,VLOOKUP(Errors!$I1869,SourceData!$A$2:$B$40,2,FALSE))</f>
        <v>Please select ERROR CODE column "I"</v>
      </c>
      <c r="L1869" s="207" t="str">
        <f>IF(Errors!$I1869=0,
    'List of Error Codes'!$E$29,
    IFERROR(VLOOKUP(Errors!$I1869, 'List of Error Codes'!D1868:I1898, 6, FALSE), 'List of Error Codes'!$E$29)
)</f>
        <v>Please select ERROR CODE column "I"</v>
      </c>
      <c r="M1869" s="209"/>
      <c r="N1869" s="209"/>
      <c r="O1869" s="209"/>
      <c r="P1869" s="209"/>
      <c r="Q1869" s="209"/>
      <c r="R1869" s="217"/>
      <c r="S1869" s="217"/>
      <c r="T1869" s="217"/>
      <c r="U1869" s="199"/>
      <c r="V1869" s="200"/>
      <c r="W1869" s="200"/>
      <c r="X1869" s="200"/>
      <c r="Y1869" s="200"/>
      <c r="Z1869" s="200"/>
      <c r="AA1869" s="201"/>
      <c r="AB1869" s="200"/>
      <c r="AC1869" s="200"/>
    </row>
    <row r="1870" ht="15.75" customHeight="1">
      <c r="A1870" s="210">
        <f t="shared" si="1"/>
        <v>1868</v>
      </c>
      <c r="B1870" s="217"/>
      <c r="C1870" s="217" t="str">
        <f>IFERROR(VLOOKUP(B1870, SourceData!$U$3:$V$190, 2, FALSE), "")</f>
        <v/>
      </c>
      <c r="D1870" s="240"/>
      <c r="E1870" s="241"/>
      <c r="F1870" s="248"/>
      <c r="G1870" s="207"/>
      <c r="H1870" s="209"/>
      <c r="I1870" s="209"/>
      <c r="J1870" s="209"/>
      <c r="K1870" s="208" t="str">
        <f>IF(Errors!$I1870=0,SourceData!$B$42,VLOOKUP(Errors!$I1870,SourceData!$A$2:$B$40,2,FALSE))</f>
        <v>Please select ERROR CODE column "I"</v>
      </c>
      <c r="L1870" s="207" t="str">
        <f>IF(Errors!$I1870=0,
    'List of Error Codes'!$E$29,
    IFERROR(VLOOKUP(Errors!$I1870, 'List of Error Codes'!D1869:I1899, 6, FALSE), 'List of Error Codes'!$E$29)
)</f>
        <v>Please select ERROR CODE column "I"</v>
      </c>
      <c r="M1870" s="209"/>
      <c r="N1870" s="209"/>
      <c r="O1870" s="209"/>
      <c r="P1870" s="209"/>
      <c r="Q1870" s="209"/>
      <c r="R1870" s="217"/>
      <c r="S1870" s="217"/>
      <c r="T1870" s="217"/>
      <c r="U1870" s="199"/>
      <c r="V1870" s="200"/>
      <c r="W1870" s="200"/>
      <c r="X1870" s="200"/>
      <c r="Y1870" s="200"/>
      <c r="Z1870" s="200"/>
      <c r="AA1870" s="201"/>
      <c r="AB1870" s="200"/>
      <c r="AC1870" s="200"/>
    </row>
    <row r="1871" ht="15.75" customHeight="1">
      <c r="A1871" s="210">
        <f t="shared" si="1"/>
        <v>1869</v>
      </c>
      <c r="B1871" s="217"/>
      <c r="C1871" s="217" t="str">
        <f>IFERROR(VLOOKUP(B1871, SourceData!$U$3:$V$190, 2, FALSE), "")</f>
        <v/>
      </c>
      <c r="D1871" s="240"/>
      <c r="E1871" s="241"/>
      <c r="F1871" s="248"/>
      <c r="G1871" s="207"/>
      <c r="H1871" s="209"/>
      <c r="I1871" s="209"/>
      <c r="J1871" s="209"/>
      <c r="K1871" s="208" t="str">
        <f>IF(Errors!$I1871=0,SourceData!$B$42,VLOOKUP(Errors!$I1871,SourceData!$A$2:$B$40,2,FALSE))</f>
        <v>Please select ERROR CODE column "I"</v>
      </c>
      <c r="L1871" s="207" t="str">
        <f>IF(Errors!$I1871=0,
    'List of Error Codes'!$E$29,
    IFERROR(VLOOKUP(Errors!$I1871, 'List of Error Codes'!D1870:I1900, 6, FALSE), 'List of Error Codes'!$E$29)
)</f>
        <v>Please select ERROR CODE column "I"</v>
      </c>
      <c r="M1871" s="209"/>
      <c r="N1871" s="209"/>
      <c r="O1871" s="209"/>
      <c r="P1871" s="209"/>
      <c r="Q1871" s="209"/>
      <c r="R1871" s="217"/>
      <c r="S1871" s="217"/>
      <c r="T1871" s="217"/>
      <c r="U1871" s="199"/>
      <c r="V1871" s="200"/>
      <c r="W1871" s="200"/>
      <c r="X1871" s="200"/>
      <c r="Y1871" s="200"/>
      <c r="Z1871" s="200"/>
      <c r="AA1871" s="201"/>
      <c r="AB1871" s="200"/>
      <c r="AC1871" s="200"/>
    </row>
    <row r="1872" ht="15.75" customHeight="1">
      <c r="A1872" s="210">
        <f t="shared" si="1"/>
        <v>1870</v>
      </c>
      <c r="B1872" s="217"/>
      <c r="C1872" s="217" t="str">
        <f>IFERROR(VLOOKUP(B1872, SourceData!$U$3:$V$190, 2, FALSE), "")</f>
        <v/>
      </c>
      <c r="D1872" s="240"/>
      <c r="E1872" s="241"/>
      <c r="F1872" s="248"/>
      <c r="G1872" s="207"/>
      <c r="H1872" s="209"/>
      <c r="I1872" s="209"/>
      <c r="J1872" s="209"/>
      <c r="K1872" s="208" t="str">
        <f>IF(Errors!$I1872=0,SourceData!$B$42,VLOOKUP(Errors!$I1872,SourceData!$A$2:$B$40,2,FALSE))</f>
        <v>Please select ERROR CODE column "I"</v>
      </c>
      <c r="L1872" s="207" t="str">
        <f>IF(Errors!$I1872=0,
    'List of Error Codes'!$E$29,
    IFERROR(VLOOKUP(Errors!$I1872, 'List of Error Codes'!D1871:I1901, 6, FALSE), 'List of Error Codes'!$E$29)
)</f>
        <v>Please select ERROR CODE column "I"</v>
      </c>
      <c r="M1872" s="209"/>
      <c r="N1872" s="209"/>
      <c r="O1872" s="209"/>
      <c r="P1872" s="209"/>
      <c r="Q1872" s="209"/>
      <c r="R1872" s="217"/>
      <c r="S1872" s="217"/>
      <c r="T1872" s="217"/>
      <c r="U1872" s="199"/>
      <c r="V1872" s="200"/>
      <c r="W1872" s="200"/>
      <c r="X1872" s="200"/>
      <c r="Y1872" s="200"/>
      <c r="Z1872" s="200"/>
      <c r="AA1872" s="201"/>
      <c r="AB1872" s="200"/>
      <c r="AC1872" s="200"/>
    </row>
    <row r="1873" ht="15.75" customHeight="1">
      <c r="A1873" s="210">
        <f t="shared" si="1"/>
        <v>1871</v>
      </c>
      <c r="B1873" s="217"/>
      <c r="C1873" s="217" t="str">
        <f>IFERROR(VLOOKUP(B1873, SourceData!$U$3:$V$190, 2, FALSE), "")</f>
        <v/>
      </c>
      <c r="D1873" s="240"/>
      <c r="E1873" s="241"/>
      <c r="F1873" s="248"/>
      <c r="G1873" s="207"/>
      <c r="H1873" s="209"/>
      <c r="I1873" s="209"/>
      <c r="J1873" s="209"/>
      <c r="K1873" s="208" t="str">
        <f>IF(Errors!$I1873=0,SourceData!$B$42,VLOOKUP(Errors!$I1873,SourceData!$A$2:$B$40,2,FALSE))</f>
        <v>Please select ERROR CODE column "I"</v>
      </c>
      <c r="L1873" s="207" t="str">
        <f>IF(Errors!$I1873=0,
    'List of Error Codes'!$E$29,
    IFERROR(VLOOKUP(Errors!$I1873, 'List of Error Codes'!D1872:I1902, 6, FALSE), 'List of Error Codes'!$E$29)
)</f>
        <v>Please select ERROR CODE column "I"</v>
      </c>
      <c r="M1873" s="209"/>
      <c r="N1873" s="209"/>
      <c r="O1873" s="209"/>
      <c r="P1873" s="209"/>
      <c r="Q1873" s="209"/>
      <c r="R1873" s="217"/>
      <c r="S1873" s="217"/>
      <c r="T1873" s="217"/>
      <c r="U1873" s="199"/>
      <c r="V1873" s="200"/>
      <c r="W1873" s="200"/>
      <c r="X1873" s="200"/>
      <c r="Y1873" s="200"/>
      <c r="Z1873" s="200"/>
      <c r="AA1873" s="201"/>
      <c r="AB1873" s="200"/>
      <c r="AC1873" s="200"/>
    </row>
    <row r="1874" ht="15.75" customHeight="1">
      <c r="A1874" s="210">
        <f t="shared" si="1"/>
        <v>1872</v>
      </c>
      <c r="B1874" s="217"/>
      <c r="C1874" s="217" t="str">
        <f>IFERROR(VLOOKUP(B1874, SourceData!$U$3:$V$190, 2, FALSE), "")</f>
        <v/>
      </c>
      <c r="D1874" s="240"/>
      <c r="E1874" s="241"/>
      <c r="F1874" s="248"/>
      <c r="G1874" s="207"/>
      <c r="H1874" s="209"/>
      <c r="I1874" s="209"/>
      <c r="J1874" s="209"/>
      <c r="K1874" s="208" t="str">
        <f>IF(Errors!$I1874=0,SourceData!$B$42,VLOOKUP(Errors!$I1874,SourceData!$A$2:$B$40,2,FALSE))</f>
        <v>Please select ERROR CODE column "I"</v>
      </c>
      <c r="L1874" s="207" t="str">
        <f>IF(Errors!$I1874=0,
    'List of Error Codes'!$E$29,
    IFERROR(VLOOKUP(Errors!$I1874, 'List of Error Codes'!D1873:I1903, 6, FALSE), 'List of Error Codes'!$E$29)
)</f>
        <v>Please select ERROR CODE column "I"</v>
      </c>
      <c r="M1874" s="209"/>
      <c r="N1874" s="209"/>
      <c r="O1874" s="209"/>
      <c r="P1874" s="209"/>
      <c r="Q1874" s="209"/>
      <c r="R1874" s="217"/>
      <c r="S1874" s="217"/>
      <c r="T1874" s="217"/>
      <c r="U1874" s="199"/>
      <c r="V1874" s="200"/>
      <c r="W1874" s="200"/>
      <c r="X1874" s="200"/>
      <c r="Y1874" s="200"/>
      <c r="Z1874" s="200"/>
      <c r="AA1874" s="201"/>
      <c r="AB1874" s="200"/>
      <c r="AC1874" s="200"/>
    </row>
    <row r="1875" ht="15.75" customHeight="1">
      <c r="A1875" s="210">
        <f t="shared" si="1"/>
        <v>1873</v>
      </c>
      <c r="B1875" s="217"/>
      <c r="C1875" s="217" t="str">
        <f>IFERROR(VLOOKUP(B1875, SourceData!$U$3:$V$190, 2, FALSE), "")</f>
        <v/>
      </c>
      <c r="D1875" s="240"/>
      <c r="E1875" s="241"/>
      <c r="F1875" s="248"/>
      <c r="G1875" s="207"/>
      <c r="H1875" s="209"/>
      <c r="I1875" s="209"/>
      <c r="J1875" s="209"/>
      <c r="K1875" s="208" t="str">
        <f>IF(Errors!$I1875=0,SourceData!$B$42,VLOOKUP(Errors!$I1875,SourceData!$A$2:$B$40,2,FALSE))</f>
        <v>Please select ERROR CODE column "I"</v>
      </c>
      <c r="L1875" s="207" t="str">
        <f>IF(Errors!$I1875=0,
    'List of Error Codes'!$E$29,
    IFERROR(VLOOKUP(Errors!$I1875, 'List of Error Codes'!D1874:I1904, 6, FALSE), 'List of Error Codes'!$E$29)
)</f>
        <v>Please select ERROR CODE column "I"</v>
      </c>
      <c r="M1875" s="209"/>
      <c r="N1875" s="209"/>
      <c r="O1875" s="209"/>
      <c r="P1875" s="209"/>
      <c r="Q1875" s="209"/>
      <c r="R1875" s="217"/>
      <c r="S1875" s="217"/>
      <c r="T1875" s="217"/>
      <c r="U1875" s="199"/>
      <c r="V1875" s="200"/>
      <c r="W1875" s="200"/>
      <c r="X1875" s="200"/>
      <c r="Y1875" s="200"/>
      <c r="Z1875" s="200"/>
      <c r="AA1875" s="201"/>
      <c r="AB1875" s="200"/>
      <c r="AC1875" s="200"/>
    </row>
    <row r="1876" ht="15.75" customHeight="1">
      <c r="A1876" s="210">
        <f t="shared" si="1"/>
        <v>1874</v>
      </c>
      <c r="B1876" s="217"/>
      <c r="C1876" s="217" t="str">
        <f>IFERROR(VLOOKUP(B1876, SourceData!$U$3:$V$190, 2, FALSE), "")</f>
        <v/>
      </c>
      <c r="D1876" s="240"/>
      <c r="E1876" s="241"/>
      <c r="F1876" s="248"/>
      <c r="G1876" s="207"/>
      <c r="H1876" s="209"/>
      <c r="I1876" s="209"/>
      <c r="J1876" s="209"/>
      <c r="K1876" s="208" t="str">
        <f>IF(Errors!$I1876=0,SourceData!$B$42,VLOOKUP(Errors!$I1876,SourceData!$A$2:$B$40,2,FALSE))</f>
        <v>Please select ERROR CODE column "I"</v>
      </c>
      <c r="L1876" s="207" t="str">
        <f>IF(Errors!$I1876=0,
    'List of Error Codes'!$E$29,
    IFERROR(VLOOKUP(Errors!$I1876, 'List of Error Codes'!D1875:I1905, 6, FALSE), 'List of Error Codes'!$E$29)
)</f>
        <v>Please select ERROR CODE column "I"</v>
      </c>
      <c r="M1876" s="209"/>
      <c r="N1876" s="209"/>
      <c r="O1876" s="209"/>
      <c r="P1876" s="209"/>
      <c r="Q1876" s="209"/>
      <c r="R1876" s="217"/>
      <c r="S1876" s="217"/>
      <c r="T1876" s="217"/>
      <c r="U1876" s="199"/>
      <c r="V1876" s="200"/>
      <c r="W1876" s="200"/>
      <c r="X1876" s="200"/>
      <c r="Y1876" s="200"/>
      <c r="Z1876" s="200"/>
      <c r="AA1876" s="201"/>
      <c r="AB1876" s="200"/>
      <c r="AC1876" s="200"/>
    </row>
    <row r="1877" ht="15.75" customHeight="1">
      <c r="A1877" s="210">
        <f t="shared" si="1"/>
        <v>1875</v>
      </c>
      <c r="B1877" s="217"/>
      <c r="C1877" s="217" t="str">
        <f>IFERROR(VLOOKUP(B1877, SourceData!$U$3:$V$190, 2, FALSE), "")</f>
        <v/>
      </c>
      <c r="D1877" s="240"/>
      <c r="E1877" s="241"/>
      <c r="F1877" s="248"/>
      <c r="G1877" s="207"/>
      <c r="H1877" s="209"/>
      <c r="I1877" s="209"/>
      <c r="J1877" s="209"/>
      <c r="K1877" s="208" t="str">
        <f>IF(Errors!$I1877=0,SourceData!$B$42,VLOOKUP(Errors!$I1877,SourceData!$A$2:$B$40,2,FALSE))</f>
        <v>Please select ERROR CODE column "I"</v>
      </c>
      <c r="L1877" s="207" t="str">
        <f>IF(Errors!$I1877=0,
    'List of Error Codes'!$E$29,
    IFERROR(VLOOKUP(Errors!$I1877, 'List of Error Codes'!D1876:I1906, 6, FALSE), 'List of Error Codes'!$E$29)
)</f>
        <v>Please select ERROR CODE column "I"</v>
      </c>
      <c r="M1877" s="209"/>
      <c r="N1877" s="209"/>
      <c r="O1877" s="209"/>
      <c r="P1877" s="209"/>
      <c r="Q1877" s="209"/>
      <c r="R1877" s="217"/>
      <c r="S1877" s="217"/>
      <c r="T1877" s="217"/>
      <c r="U1877" s="199"/>
      <c r="V1877" s="200"/>
      <c r="W1877" s="200"/>
      <c r="X1877" s="200"/>
      <c r="Y1877" s="200"/>
      <c r="Z1877" s="200"/>
      <c r="AA1877" s="201"/>
      <c r="AB1877" s="200"/>
      <c r="AC1877" s="200"/>
    </row>
    <row r="1878" ht="15.75" customHeight="1">
      <c r="A1878" s="210">
        <f t="shared" si="1"/>
        <v>1876</v>
      </c>
      <c r="B1878" s="217"/>
      <c r="C1878" s="217" t="str">
        <f>IFERROR(VLOOKUP(B1878, SourceData!$U$3:$V$190, 2, FALSE), "")</f>
        <v/>
      </c>
      <c r="D1878" s="240"/>
      <c r="E1878" s="241"/>
      <c r="F1878" s="248"/>
      <c r="G1878" s="207"/>
      <c r="H1878" s="209"/>
      <c r="I1878" s="209"/>
      <c r="J1878" s="209"/>
      <c r="K1878" s="208" t="str">
        <f>IF(Errors!$I1878=0,SourceData!$B$42,VLOOKUP(Errors!$I1878,SourceData!$A$2:$B$40,2,FALSE))</f>
        <v>Please select ERROR CODE column "I"</v>
      </c>
      <c r="L1878" s="207" t="str">
        <f>IF(Errors!$I1878=0,
    'List of Error Codes'!$E$29,
    IFERROR(VLOOKUP(Errors!$I1878, 'List of Error Codes'!D1877:I1907, 6, FALSE), 'List of Error Codes'!$E$29)
)</f>
        <v>Please select ERROR CODE column "I"</v>
      </c>
      <c r="M1878" s="209"/>
      <c r="N1878" s="209"/>
      <c r="O1878" s="209"/>
      <c r="P1878" s="209"/>
      <c r="Q1878" s="209"/>
      <c r="R1878" s="217"/>
      <c r="S1878" s="217"/>
      <c r="T1878" s="217"/>
      <c r="U1878" s="199"/>
      <c r="V1878" s="200"/>
      <c r="W1878" s="200"/>
      <c r="X1878" s="200"/>
      <c r="Y1878" s="200"/>
      <c r="Z1878" s="200"/>
      <c r="AA1878" s="201"/>
      <c r="AB1878" s="200"/>
      <c r="AC1878" s="200"/>
    </row>
    <row r="1879" ht="15.75" customHeight="1">
      <c r="A1879" s="210">
        <f t="shared" si="1"/>
        <v>1877</v>
      </c>
      <c r="B1879" s="217"/>
      <c r="C1879" s="217" t="str">
        <f>IFERROR(VLOOKUP(B1879, SourceData!$U$3:$V$190, 2, FALSE), "")</f>
        <v/>
      </c>
      <c r="D1879" s="240"/>
      <c r="E1879" s="241"/>
      <c r="F1879" s="248"/>
      <c r="G1879" s="207"/>
      <c r="H1879" s="209"/>
      <c r="I1879" s="209"/>
      <c r="J1879" s="209"/>
      <c r="K1879" s="208" t="str">
        <f>IF(Errors!$I1879=0,SourceData!$B$42,VLOOKUP(Errors!$I1879,SourceData!$A$2:$B$40,2,FALSE))</f>
        <v>Please select ERROR CODE column "I"</v>
      </c>
      <c r="L1879" s="207" t="str">
        <f>IF(Errors!$I1879=0,
    'List of Error Codes'!$E$29,
    IFERROR(VLOOKUP(Errors!$I1879, 'List of Error Codes'!D1878:I1908, 6, FALSE), 'List of Error Codes'!$E$29)
)</f>
        <v>Please select ERROR CODE column "I"</v>
      </c>
      <c r="M1879" s="209"/>
      <c r="N1879" s="209"/>
      <c r="O1879" s="209"/>
      <c r="P1879" s="209"/>
      <c r="Q1879" s="209"/>
      <c r="R1879" s="217"/>
      <c r="S1879" s="217"/>
      <c r="T1879" s="217"/>
      <c r="U1879" s="199"/>
      <c r="V1879" s="200"/>
      <c r="W1879" s="200"/>
      <c r="X1879" s="200"/>
      <c r="Y1879" s="200"/>
      <c r="Z1879" s="200"/>
      <c r="AA1879" s="201"/>
      <c r="AB1879" s="200"/>
      <c r="AC1879" s="200"/>
    </row>
    <row r="1880" ht="15.75" customHeight="1">
      <c r="A1880" s="210">
        <f t="shared" si="1"/>
        <v>1878</v>
      </c>
      <c r="B1880" s="217"/>
      <c r="C1880" s="217" t="str">
        <f>IFERROR(VLOOKUP(B1880, SourceData!$U$3:$V$190, 2, FALSE), "")</f>
        <v/>
      </c>
      <c r="D1880" s="240"/>
      <c r="E1880" s="241"/>
      <c r="F1880" s="248"/>
      <c r="G1880" s="207"/>
      <c r="H1880" s="209"/>
      <c r="I1880" s="209"/>
      <c r="J1880" s="209"/>
      <c r="K1880" s="208" t="str">
        <f>IF(Errors!$I1880=0,SourceData!$B$42,VLOOKUP(Errors!$I1880,SourceData!$A$2:$B$40,2,FALSE))</f>
        <v>Please select ERROR CODE column "I"</v>
      </c>
      <c r="L1880" s="207" t="str">
        <f>IF(Errors!$I1880=0,
    'List of Error Codes'!$E$29,
    IFERROR(VLOOKUP(Errors!$I1880, 'List of Error Codes'!D1879:I1909, 6, FALSE), 'List of Error Codes'!$E$29)
)</f>
        <v>Please select ERROR CODE column "I"</v>
      </c>
      <c r="M1880" s="209"/>
      <c r="N1880" s="209"/>
      <c r="O1880" s="209"/>
      <c r="P1880" s="209"/>
      <c r="Q1880" s="209"/>
      <c r="R1880" s="217"/>
      <c r="S1880" s="217"/>
      <c r="T1880" s="217"/>
      <c r="U1880" s="199"/>
      <c r="V1880" s="200"/>
      <c r="W1880" s="200"/>
      <c r="X1880" s="200"/>
      <c r="Y1880" s="200"/>
      <c r="Z1880" s="200"/>
      <c r="AA1880" s="201"/>
      <c r="AB1880" s="200"/>
      <c r="AC1880" s="200"/>
    </row>
    <row r="1881" ht="15.75" customHeight="1">
      <c r="A1881" s="210">
        <f t="shared" si="1"/>
        <v>1879</v>
      </c>
      <c r="B1881" s="217"/>
      <c r="C1881" s="217" t="str">
        <f>IFERROR(VLOOKUP(B1881, SourceData!$U$3:$V$190, 2, FALSE), "")</f>
        <v/>
      </c>
      <c r="D1881" s="240"/>
      <c r="E1881" s="241"/>
      <c r="F1881" s="248"/>
      <c r="G1881" s="207"/>
      <c r="H1881" s="209"/>
      <c r="I1881" s="209"/>
      <c r="J1881" s="209"/>
      <c r="K1881" s="208" t="str">
        <f>IF(Errors!$I1881=0,SourceData!$B$42,VLOOKUP(Errors!$I1881,SourceData!$A$2:$B$40,2,FALSE))</f>
        <v>Please select ERROR CODE column "I"</v>
      </c>
      <c r="L1881" s="207" t="str">
        <f>IF(Errors!$I1881=0,
    'List of Error Codes'!$E$29,
    IFERROR(VLOOKUP(Errors!$I1881, 'List of Error Codes'!D1880:I1910, 6, FALSE), 'List of Error Codes'!$E$29)
)</f>
        <v>Please select ERROR CODE column "I"</v>
      </c>
      <c r="M1881" s="209"/>
      <c r="N1881" s="209"/>
      <c r="O1881" s="209"/>
      <c r="P1881" s="209"/>
      <c r="Q1881" s="209"/>
      <c r="R1881" s="217"/>
      <c r="S1881" s="217"/>
      <c r="T1881" s="217"/>
      <c r="U1881" s="199"/>
      <c r="V1881" s="200"/>
      <c r="W1881" s="200"/>
      <c r="X1881" s="200"/>
      <c r="Y1881" s="200"/>
      <c r="Z1881" s="200"/>
      <c r="AA1881" s="201"/>
      <c r="AB1881" s="200"/>
      <c r="AC1881" s="200"/>
    </row>
    <row r="1882" ht="15.75" customHeight="1">
      <c r="A1882" s="210">
        <f t="shared" si="1"/>
        <v>1880</v>
      </c>
      <c r="B1882" s="217"/>
      <c r="C1882" s="217" t="str">
        <f>IFERROR(VLOOKUP(B1882, SourceData!$U$3:$V$190, 2, FALSE), "")</f>
        <v/>
      </c>
      <c r="D1882" s="240"/>
      <c r="E1882" s="241"/>
      <c r="F1882" s="248"/>
      <c r="G1882" s="207"/>
      <c r="H1882" s="209"/>
      <c r="I1882" s="209"/>
      <c r="J1882" s="209"/>
      <c r="K1882" s="208" t="str">
        <f>IF(Errors!$I1882=0,SourceData!$B$42,VLOOKUP(Errors!$I1882,SourceData!$A$2:$B$40,2,FALSE))</f>
        <v>Please select ERROR CODE column "I"</v>
      </c>
      <c r="L1882" s="207" t="str">
        <f>IF(Errors!$I1882=0,
    'List of Error Codes'!$E$29,
    IFERROR(VLOOKUP(Errors!$I1882, 'List of Error Codes'!D1881:I1911, 6, FALSE), 'List of Error Codes'!$E$29)
)</f>
        <v>Please select ERROR CODE column "I"</v>
      </c>
      <c r="M1882" s="209"/>
      <c r="N1882" s="209"/>
      <c r="O1882" s="209"/>
      <c r="P1882" s="209"/>
      <c r="Q1882" s="209"/>
      <c r="R1882" s="217"/>
      <c r="S1882" s="217"/>
      <c r="T1882" s="217"/>
      <c r="U1882" s="199"/>
      <c r="V1882" s="200"/>
      <c r="W1882" s="200"/>
      <c r="X1882" s="200"/>
      <c r="Y1882" s="200"/>
      <c r="Z1882" s="200"/>
      <c r="AA1882" s="201"/>
      <c r="AB1882" s="200"/>
      <c r="AC1882" s="200"/>
    </row>
    <row r="1883" ht="15.75" customHeight="1">
      <c r="A1883" s="210">
        <f t="shared" si="1"/>
        <v>1881</v>
      </c>
      <c r="B1883" s="217"/>
      <c r="C1883" s="217" t="str">
        <f>IFERROR(VLOOKUP(B1883, SourceData!$U$3:$V$190, 2, FALSE), "")</f>
        <v/>
      </c>
      <c r="D1883" s="240"/>
      <c r="E1883" s="241"/>
      <c r="F1883" s="248"/>
      <c r="G1883" s="207"/>
      <c r="H1883" s="209"/>
      <c r="I1883" s="209"/>
      <c r="J1883" s="209"/>
      <c r="K1883" s="208" t="str">
        <f>IF(Errors!$I1883=0,SourceData!$B$42,VLOOKUP(Errors!$I1883,SourceData!$A$2:$B$40,2,FALSE))</f>
        <v>Please select ERROR CODE column "I"</v>
      </c>
      <c r="L1883" s="207" t="str">
        <f>IF(Errors!$I1883=0,
    'List of Error Codes'!$E$29,
    IFERROR(VLOOKUP(Errors!$I1883, 'List of Error Codes'!D1882:I1912, 6, FALSE), 'List of Error Codes'!$E$29)
)</f>
        <v>Please select ERROR CODE column "I"</v>
      </c>
      <c r="M1883" s="209"/>
      <c r="N1883" s="209"/>
      <c r="O1883" s="209"/>
      <c r="P1883" s="209"/>
      <c r="Q1883" s="209"/>
      <c r="R1883" s="217"/>
      <c r="S1883" s="217"/>
      <c r="T1883" s="217"/>
      <c r="U1883" s="199"/>
      <c r="V1883" s="200"/>
      <c r="W1883" s="200"/>
      <c r="X1883" s="200"/>
      <c r="Y1883" s="200"/>
      <c r="Z1883" s="200"/>
      <c r="AA1883" s="201"/>
      <c r="AB1883" s="200"/>
      <c r="AC1883" s="200"/>
    </row>
    <row r="1884" ht="15.75" customHeight="1">
      <c r="A1884" s="210">
        <f t="shared" si="1"/>
        <v>1882</v>
      </c>
      <c r="B1884" s="217"/>
      <c r="C1884" s="217" t="str">
        <f>IFERROR(VLOOKUP(B1884, SourceData!$U$3:$V$190, 2, FALSE), "")</f>
        <v/>
      </c>
      <c r="D1884" s="240"/>
      <c r="E1884" s="241"/>
      <c r="F1884" s="248"/>
      <c r="G1884" s="207"/>
      <c r="H1884" s="209"/>
      <c r="I1884" s="209"/>
      <c r="J1884" s="209"/>
      <c r="K1884" s="208" t="str">
        <f>IF(Errors!$I1884=0,SourceData!$B$42,VLOOKUP(Errors!$I1884,SourceData!$A$2:$B$40,2,FALSE))</f>
        <v>Please select ERROR CODE column "I"</v>
      </c>
      <c r="L1884" s="207" t="str">
        <f>IF(Errors!$I1884=0,
    'List of Error Codes'!$E$29,
    IFERROR(VLOOKUP(Errors!$I1884, 'List of Error Codes'!D1883:I1913, 6, FALSE), 'List of Error Codes'!$E$29)
)</f>
        <v>Please select ERROR CODE column "I"</v>
      </c>
      <c r="M1884" s="209"/>
      <c r="N1884" s="209"/>
      <c r="O1884" s="209"/>
      <c r="P1884" s="209"/>
      <c r="Q1884" s="209"/>
      <c r="R1884" s="217"/>
      <c r="S1884" s="217"/>
      <c r="T1884" s="217"/>
      <c r="U1884" s="199"/>
      <c r="V1884" s="200"/>
      <c r="W1884" s="200"/>
      <c r="X1884" s="200"/>
      <c r="Y1884" s="200"/>
      <c r="Z1884" s="200"/>
      <c r="AA1884" s="201"/>
      <c r="AB1884" s="200"/>
      <c r="AC1884" s="200"/>
    </row>
    <row r="1885" ht="15.75" customHeight="1">
      <c r="A1885" s="210">
        <f t="shared" si="1"/>
        <v>1883</v>
      </c>
      <c r="B1885" s="217"/>
      <c r="C1885" s="217" t="str">
        <f>IFERROR(VLOOKUP(B1885, SourceData!$U$3:$V$190, 2, FALSE), "")</f>
        <v/>
      </c>
      <c r="D1885" s="240"/>
      <c r="E1885" s="241"/>
      <c r="F1885" s="248"/>
      <c r="G1885" s="207"/>
      <c r="H1885" s="209"/>
      <c r="I1885" s="209"/>
      <c r="J1885" s="209"/>
      <c r="K1885" s="208" t="str">
        <f>IF(Errors!$I1885=0,SourceData!$B$42,VLOOKUP(Errors!$I1885,SourceData!$A$2:$B$40,2,FALSE))</f>
        <v>Please select ERROR CODE column "I"</v>
      </c>
      <c r="L1885" s="207" t="str">
        <f>IF(Errors!$I1885=0,
    'List of Error Codes'!$E$29,
    IFERROR(VLOOKUP(Errors!$I1885, 'List of Error Codes'!D1884:I1914, 6, FALSE), 'List of Error Codes'!$E$29)
)</f>
        <v>Please select ERROR CODE column "I"</v>
      </c>
      <c r="M1885" s="209"/>
      <c r="N1885" s="209"/>
      <c r="O1885" s="209"/>
      <c r="P1885" s="209"/>
      <c r="Q1885" s="209"/>
      <c r="R1885" s="217"/>
      <c r="S1885" s="217"/>
      <c r="T1885" s="217"/>
      <c r="U1885" s="199"/>
      <c r="V1885" s="200"/>
      <c r="W1885" s="200"/>
      <c r="X1885" s="200"/>
      <c r="Y1885" s="200"/>
      <c r="Z1885" s="200"/>
      <c r="AA1885" s="201"/>
      <c r="AB1885" s="200"/>
      <c r="AC1885" s="200"/>
    </row>
    <row r="1886" ht="15.75" customHeight="1">
      <c r="A1886" s="210">
        <f t="shared" si="1"/>
        <v>1884</v>
      </c>
      <c r="B1886" s="217"/>
      <c r="C1886" s="217" t="str">
        <f>IFERROR(VLOOKUP(B1886, SourceData!$U$3:$V$190, 2, FALSE), "")</f>
        <v/>
      </c>
      <c r="D1886" s="240"/>
      <c r="E1886" s="241"/>
      <c r="F1886" s="248"/>
      <c r="G1886" s="207"/>
      <c r="H1886" s="209"/>
      <c r="I1886" s="209"/>
      <c r="J1886" s="209"/>
      <c r="K1886" s="208" t="str">
        <f>IF(Errors!$I1886=0,SourceData!$B$42,VLOOKUP(Errors!$I1886,SourceData!$A$2:$B$40,2,FALSE))</f>
        <v>Please select ERROR CODE column "I"</v>
      </c>
      <c r="L1886" s="207" t="str">
        <f>IF(Errors!$I1886=0,
    'List of Error Codes'!$E$29,
    IFERROR(VLOOKUP(Errors!$I1886, 'List of Error Codes'!D1885:I1915, 6, FALSE), 'List of Error Codes'!$E$29)
)</f>
        <v>Please select ERROR CODE column "I"</v>
      </c>
      <c r="M1886" s="209"/>
      <c r="N1886" s="209"/>
      <c r="O1886" s="209"/>
      <c r="P1886" s="209"/>
      <c r="Q1886" s="209"/>
      <c r="R1886" s="217"/>
      <c r="S1886" s="217"/>
      <c r="T1886" s="217"/>
      <c r="U1886" s="199"/>
      <c r="V1886" s="200"/>
      <c r="W1886" s="200"/>
      <c r="X1886" s="200"/>
      <c r="Y1886" s="200"/>
      <c r="Z1886" s="200"/>
      <c r="AA1886" s="201"/>
      <c r="AB1886" s="200"/>
      <c r="AC1886" s="200"/>
    </row>
    <row r="1887" ht="15.75" customHeight="1">
      <c r="A1887" s="210">
        <f t="shared" si="1"/>
        <v>1885</v>
      </c>
      <c r="B1887" s="217"/>
      <c r="C1887" s="217" t="str">
        <f>IFERROR(VLOOKUP(B1887, SourceData!$U$3:$V$190, 2, FALSE), "")</f>
        <v/>
      </c>
      <c r="D1887" s="240"/>
      <c r="E1887" s="241"/>
      <c r="F1887" s="248"/>
      <c r="G1887" s="207"/>
      <c r="H1887" s="209"/>
      <c r="I1887" s="209"/>
      <c r="J1887" s="209"/>
      <c r="K1887" s="208" t="str">
        <f>IF(Errors!$I1887=0,SourceData!$B$42,VLOOKUP(Errors!$I1887,SourceData!$A$2:$B$40,2,FALSE))</f>
        <v>Please select ERROR CODE column "I"</v>
      </c>
      <c r="L1887" s="207" t="str">
        <f>IF(Errors!$I1887=0,
    'List of Error Codes'!$E$29,
    IFERROR(VLOOKUP(Errors!$I1887, 'List of Error Codes'!D1886:I1916, 6, FALSE), 'List of Error Codes'!$E$29)
)</f>
        <v>Please select ERROR CODE column "I"</v>
      </c>
      <c r="M1887" s="209"/>
      <c r="N1887" s="209"/>
      <c r="O1887" s="209"/>
      <c r="P1887" s="209"/>
      <c r="Q1887" s="209"/>
      <c r="R1887" s="217"/>
      <c r="S1887" s="217"/>
      <c r="T1887" s="217"/>
      <c r="U1887" s="199"/>
      <c r="V1887" s="200"/>
      <c r="W1887" s="200"/>
      <c r="X1887" s="200"/>
      <c r="Y1887" s="200"/>
      <c r="Z1887" s="200"/>
      <c r="AA1887" s="201"/>
      <c r="AB1887" s="200"/>
      <c r="AC1887" s="200"/>
    </row>
    <row r="1888" ht="15.75" customHeight="1">
      <c r="A1888" s="210">
        <f t="shared" si="1"/>
        <v>1886</v>
      </c>
      <c r="B1888" s="217"/>
      <c r="C1888" s="217" t="str">
        <f>IFERROR(VLOOKUP(B1888, SourceData!$U$3:$V$190, 2, FALSE), "")</f>
        <v/>
      </c>
      <c r="D1888" s="240"/>
      <c r="E1888" s="241"/>
      <c r="F1888" s="248"/>
      <c r="G1888" s="207"/>
      <c r="H1888" s="209"/>
      <c r="I1888" s="209"/>
      <c r="J1888" s="209"/>
      <c r="K1888" s="208" t="str">
        <f>IF(Errors!$I1888=0,SourceData!$B$42,VLOOKUP(Errors!$I1888,SourceData!$A$2:$B$40,2,FALSE))</f>
        <v>Please select ERROR CODE column "I"</v>
      </c>
      <c r="L1888" s="207" t="str">
        <f>IF(Errors!$I1888=0,
    'List of Error Codes'!$E$29,
    IFERROR(VLOOKUP(Errors!$I1888, 'List of Error Codes'!D1887:I1917, 6, FALSE), 'List of Error Codes'!$E$29)
)</f>
        <v>Please select ERROR CODE column "I"</v>
      </c>
      <c r="M1888" s="209"/>
      <c r="N1888" s="209"/>
      <c r="O1888" s="209"/>
      <c r="P1888" s="209"/>
      <c r="Q1888" s="209"/>
      <c r="R1888" s="217"/>
      <c r="S1888" s="217"/>
      <c r="T1888" s="217"/>
      <c r="U1888" s="199"/>
      <c r="V1888" s="200"/>
      <c r="W1888" s="200"/>
      <c r="X1888" s="200"/>
      <c r="Y1888" s="200"/>
      <c r="Z1888" s="200"/>
      <c r="AA1888" s="201"/>
      <c r="AB1888" s="200"/>
      <c r="AC1888" s="200"/>
    </row>
    <row r="1889" ht="15.75" customHeight="1">
      <c r="A1889" s="210">
        <f t="shared" si="1"/>
        <v>1887</v>
      </c>
      <c r="B1889" s="217"/>
      <c r="C1889" s="217" t="str">
        <f>IFERROR(VLOOKUP(B1889, SourceData!$U$3:$V$190, 2, FALSE), "")</f>
        <v/>
      </c>
      <c r="D1889" s="240"/>
      <c r="E1889" s="241"/>
      <c r="F1889" s="248"/>
      <c r="G1889" s="207"/>
      <c r="H1889" s="209"/>
      <c r="I1889" s="209"/>
      <c r="J1889" s="209"/>
      <c r="K1889" s="208" t="str">
        <f>IF(Errors!$I1889=0,SourceData!$B$42,VLOOKUP(Errors!$I1889,SourceData!$A$2:$B$40,2,FALSE))</f>
        <v>Please select ERROR CODE column "I"</v>
      </c>
      <c r="L1889" s="207" t="str">
        <f>IF(Errors!$I1889=0,
    'List of Error Codes'!$E$29,
    IFERROR(VLOOKUP(Errors!$I1889, 'List of Error Codes'!D1888:I1918, 6, FALSE), 'List of Error Codes'!$E$29)
)</f>
        <v>Please select ERROR CODE column "I"</v>
      </c>
      <c r="M1889" s="209"/>
      <c r="N1889" s="209"/>
      <c r="O1889" s="209"/>
      <c r="P1889" s="209"/>
      <c r="Q1889" s="209"/>
      <c r="R1889" s="217"/>
      <c r="S1889" s="217"/>
      <c r="T1889" s="217"/>
      <c r="U1889" s="199"/>
      <c r="V1889" s="200"/>
      <c r="W1889" s="200"/>
      <c r="X1889" s="200"/>
      <c r="Y1889" s="200"/>
      <c r="Z1889" s="200"/>
      <c r="AA1889" s="201"/>
      <c r="AB1889" s="200"/>
      <c r="AC1889" s="200"/>
    </row>
    <row r="1890" ht="15.75" customHeight="1">
      <c r="A1890" s="210">
        <f t="shared" si="1"/>
        <v>1888</v>
      </c>
      <c r="B1890" s="217"/>
      <c r="C1890" s="217" t="str">
        <f>IFERROR(VLOOKUP(B1890, SourceData!$U$3:$V$190, 2, FALSE), "")</f>
        <v/>
      </c>
      <c r="D1890" s="240"/>
      <c r="E1890" s="241"/>
      <c r="F1890" s="248"/>
      <c r="G1890" s="207"/>
      <c r="H1890" s="209"/>
      <c r="I1890" s="209"/>
      <c r="J1890" s="209"/>
      <c r="K1890" s="208" t="str">
        <f>IF(Errors!$I1890=0,SourceData!$B$42,VLOOKUP(Errors!$I1890,SourceData!$A$2:$B$40,2,FALSE))</f>
        <v>Please select ERROR CODE column "I"</v>
      </c>
      <c r="L1890" s="207" t="str">
        <f>IF(Errors!$I1890=0,
    'List of Error Codes'!$E$29,
    IFERROR(VLOOKUP(Errors!$I1890, 'List of Error Codes'!D1889:I1919, 6, FALSE), 'List of Error Codes'!$E$29)
)</f>
        <v>Please select ERROR CODE column "I"</v>
      </c>
      <c r="M1890" s="209"/>
      <c r="N1890" s="209"/>
      <c r="O1890" s="209"/>
      <c r="P1890" s="209"/>
      <c r="Q1890" s="209"/>
      <c r="R1890" s="217"/>
      <c r="S1890" s="217"/>
      <c r="T1890" s="217"/>
      <c r="U1890" s="199"/>
      <c r="V1890" s="200"/>
      <c r="W1890" s="200"/>
      <c r="X1890" s="200"/>
      <c r="Y1890" s="200"/>
      <c r="Z1890" s="200"/>
      <c r="AA1890" s="201"/>
      <c r="AB1890" s="200"/>
      <c r="AC1890" s="200"/>
    </row>
    <row r="1891" ht="15.75" customHeight="1">
      <c r="A1891" s="210">
        <f t="shared" si="1"/>
        <v>1889</v>
      </c>
      <c r="B1891" s="217"/>
      <c r="C1891" s="217" t="str">
        <f>IFERROR(VLOOKUP(B1891, SourceData!$U$3:$V$190, 2, FALSE), "")</f>
        <v/>
      </c>
      <c r="D1891" s="240"/>
      <c r="E1891" s="241"/>
      <c r="F1891" s="248"/>
      <c r="G1891" s="207"/>
      <c r="H1891" s="209"/>
      <c r="I1891" s="209"/>
      <c r="J1891" s="209"/>
      <c r="K1891" s="208" t="str">
        <f>IF(Errors!$I1891=0,SourceData!$B$42,VLOOKUP(Errors!$I1891,SourceData!$A$2:$B$40,2,FALSE))</f>
        <v>Please select ERROR CODE column "I"</v>
      </c>
      <c r="L1891" s="207" t="str">
        <f>IF(Errors!$I1891=0,
    'List of Error Codes'!$E$29,
    IFERROR(VLOOKUP(Errors!$I1891, 'List of Error Codes'!D1890:I1920, 6, FALSE), 'List of Error Codes'!$E$29)
)</f>
        <v>Please select ERROR CODE column "I"</v>
      </c>
      <c r="M1891" s="209"/>
      <c r="N1891" s="209"/>
      <c r="O1891" s="209"/>
      <c r="P1891" s="209"/>
      <c r="Q1891" s="209"/>
      <c r="R1891" s="217"/>
      <c r="S1891" s="217"/>
      <c r="T1891" s="217"/>
      <c r="U1891" s="199"/>
      <c r="V1891" s="200"/>
      <c r="W1891" s="200"/>
      <c r="X1891" s="200"/>
      <c r="Y1891" s="200"/>
      <c r="Z1891" s="200"/>
      <c r="AA1891" s="201"/>
      <c r="AB1891" s="200"/>
      <c r="AC1891" s="200"/>
    </row>
    <row r="1892" ht="15.75" customHeight="1">
      <c r="A1892" s="210">
        <f t="shared" si="1"/>
        <v>1890</v>
      </c>
      <c r="B1892" s="217"/>
      <c r="C1892" s="217" t="str">
        <f>IFERROR(VLOOKUP(B1892, SourceData!$U$3:$V$190, 2, FALSE), "")</f>
        <v/>
      </c>
      <c r="D1892" s="240"/>
      <c r="E1892" s="241"/>
      <c r="F1892" s="248"/>
      <c r="G1892" s="207"/>
      <c r="H1892" s="209"/>
      <c r="I1892" s="209"/>
      <c r="J1892" s="209"/>
      <c r="K1892" s="208" t="str">
        <f>IF(Errors!$I1892=0,SourceData!$B$42,VLOOKUP(Errors!$I1892,SourceData!$A$2:$B$40,2,FALSE))</f>
        <v>Please select ERROR CODE column "I"</v>
      </c>
      <c r="L1892" s="207" t="str">
        <f>IF(Errors!$I1892=0,
    'List of Error Codes'!$E$29,
    IFERROR(VLOOKUP(Errors!$I1892, 'List of Error Codes'!D1891:I1921, 6, FALSE), 'List of Error Codes'!$E$29)
)</f>
        <v>Please select ERROR CODE column "I"</v>
      </c>
      <c r="M1892" s="209"/>
      <c r="N1892" s="209"/>
      <c r="O1892" s="209"/>
      <c r="P1892" s="209"/>
      <c r="Q1892" s="209"/>
      <c r="R1892" s="217"/>
      <c r="S1892" s="217"/>
      <c r="T1892" s="217"/>
      <c r="U1892" s="199"/>
      <c r="V1892" s="200"/>
      <c r="W1892" s="200"/>
      <c r="X1892" s="200"/>
      <c r="Y1892" s="200"/>
      <c r="Z1892" s="200"/>
      <c r="AA1892" s="201"/>
      <c r="AB1892" s="200"/>
      <c r="AC1892" s="200"/>
    </row>
    <row r="1893" ht="15.75" customHeight="1">
      <c r="A1893" s="210">
        <f t="shared" si="1"/>
        <v>1891</v>
      </c>
      <c r="B1893" s="217"/>
      <c r="C1893" s="217" t="str">
        <f>IFERROR(VLOOKUP(B1893, SourceData!$U$3:$V$190, 2, FALSE), "")</f>
        <v/>
      </c>
      <c r="D1893" s="240"/>
      <c r="E1893" s="241"/>
      <c r="F1893" s="248"/>
      <c r="G1893" s="207"/>
      <c r="H1893" s="209"/>
      <c r="I1893" s="209"/>
      <c r="J1893" s="209"/>
      <c r="K1893" s="208" t="str">
        <f>IF(Errors!$I1893=0,SourceData!$B$42,VLOOKUP(Errors!$I1893,SourceData!$A$2:$B$40,2,FALSE))</f>
        <v>Please select ERROR CODE column "I"</v>
      </c>
      <c r="L1893" s="207" t="str">
        <f>IF(Errors!$I1893=0,
    'List of Error Codes'!$E$29,
    IFERROR(VLOOKUP(Errors!$I1893, 'List of Error Codes'!D1892:I1922, 6, FALSE), 'List of Error Codes'!$E$29)
)</f>
        <v>Please select ERROR CODE column "I"</v>
      </c>
      <c r="M1893" s="209"/>
      <c r="N1893" s="209"/>
      <c r="O1893" s="209"/>
      <c r="P1893" s="209"/>
      <c r="Q1893" s="209"/>
      <c r="R1893" s="217"/>
      <c r="S1893" s="217"/>
      <c r="T1893" s="217"/>
      <c r="U1893" s="199"/>
      <c r="V1893" s="200"/>
      <c r="W1893" s="200"/>
      <c r="X1893" s="200"/>
      <c r="Y1893" s="200"/>
      <c r="Z1893" s="200"/>
      <c r="AA1893" s="201"/>
      <c r="AB1893" s="200"/>
      <c r="AC1893" s="200"/>
    </row>
    <row r="1894" ht="15.75" customHeight="1">
      <c r="A1894" s="210">
        <f t="shared" si="1"/>
        <v>1892</v>
      </c>
      <c r="B1894" s="217"/>
      <c r="C1894" s="217" t="str">
        <f>IFERROR(VLOOKUP(B1894, SourceData!$U$3:$V$190, 2, FALSE), "")</f>
        <v/>
      </c>
      <c r="D1894" s="240"/>
      <c r="E1894" s="241"/>
      <c r="F1894" s="248"/>
      <c r="G1894" s="207"/>
      <c r="H1894" s="209"/>
      <c r="I1894" s="209"/>
      <c r="J1894" s="209"/>
      <c r="K1894" s="208" t="str">
        <f>IF(Errors!$I1894=0,SourceData!$B$42,VLOOKUP(Errors!$I1894,SourceData!$A$2:$B$40,2,FALSE))</f>
        <v>Please select ERROR CODE column "I"</v>
      </c>
      <c r="L1894" s="207" t="str">
        <f>IF(Errors!$I1894=0,
    'List of Error Codes'!$E$29,
    IFERROR(VLOOKUP(Errors!$I1894, 'List of Error Codes'!D1893:I1923, 6, FALSE), 'List of Error Codes'!$E$29)
)</f>
        <v>Please select ERROR CODE column "I"</v>
      </c>
      <c r="M1894" s="209"/>
      <c r="N1894" s="209"/>
      <c r="O1894" s="209"/>
      <c r="P1894" s="209"/>
      <c r="Q1894" s="209"/>
      <c r="R1894" s="217"/>
      <c r="S1894" s="217"/>
      <c r="T1894" s="217"/>
      <c r="U1894" s="199"/>
      <c r="V1894" s="200"/>
      <c r="W1894" s="200"/>
      <c r="X1894" s="200"/>
      <c r="Y1894" s="200"/>
      <c r="Z1894" s="200"/>
      <c r="AA1894" s="201"/>
      <c r="AB1894" s="200"/>
      <c r="AC1894" s="200"/>
    </row>
    <row r="1895" ht="15.75" customHeight="1">
      <c r="A1895" s="210">
        <f t="shared" si="1"/>
        <v>1893</v>
      </c>
      <c r="B1895" s="217"/>
      <c r="C1895" s="217" t="str">
        <f>IFERROR(VLOOKUP(B1895, SourceData!$U$3:$V$190, 2, FALSE), "")</f>
        <v/>
      </c>
      <c r="D1895" s="240"/>
      <c r="E1895" s="241"/>
      <c r="F1895" s="248"/>
      <c r="G1895" s="207"/>
      <c r="H1895" s="209"/>
      <c r="I1895" s="209"/>
      <c r="J1895" s="209"/>
      <c r="K1895" s="208" t="str">
        <f>IF(Errors!$I1895=0,SourceData!$B$42,VLOOKUP(Errors!$I1895,SourceData!$A$2:$B$40,2,FALSE))</f>
        <v>Please select ERROR CODE column "I"</v>
      </c>
      <c r="L1895" s="207" t="str">
        <f>IF(Errors!$I1895=0,
    'List of Error Codes'!$E$29,
    IFERROR(VLOOKUP(Errors!$I1895, 'List of Error Codes'!D1894:I1924, 6, FALSE), 'List of Error Codes'!$E$29)
)</f>
        <v>Please select ERROR CODE column "I"</v>
      </c>
      <c r="M1895" s="209"/>
      <c r="N1895" s="209"/>
      <c r="O1895" s="209"/>
      <c r="P1895" s="209"/>
      <c r="Q1895" s="209"/>
      <c r="R1895" s="217"/>
      <c r="S1895" s="217"/>
      <c r="T1895" s="217"/>
      <c r="U1895" s="199"/>
      <c r="V1895" s="200"/>
      <c r="W1895" s="200"/>
      <c r="X1895" s="200"/>
      <c r="Y1895" s="200"/>
      <c r="Z1895" s="200"/>
      <c r="AA1895" s="201"/>
      <c r="AB1895" s="200"/>
      <c r="AC1895" s="200"/>
    </row>
    <row r="1896" ht="15.75" customHeight="1">
      <c r="A1896" s="210">
        <f t="shared" si="1"/>
        <v>1894</v>
      </c>
      <c r="B1896" s="217"/>
      <c r="C1896" s="217" t="str">
        <f>IFERROR(VLOOKUP(B1896, SourceData!$U$3:$V$190, 2, FALSE), "")</f>
        <v/>
      </c>
      <c r="D1896" s="240"/>
      <c r="E1896" s="241"/>
      <c r="F1896" s="248"/>
      <c r="G1896" s="207"/>
      <c r="H1896" s="209"/>
      <c r="I1896" s="209"/>
      <c r="J1896" s="209"/>
      <c r="K1896" s="208" t="str">
        <f>IF(Errors!$I1896=0,SourceData!$B$42,VLOOKUP(Errors!$I1896,SourceData!$A$2:$B$40,2,FALSE))</f>
        <v>Please select ERROR CODE column "I"</v>
      </c>
      <c r="L1896" s="207" t="str">
        <f>IF(Errors!$I1896=0,
    'List of Error Codes'!$E$29,
    IFERROR(VLOOKUP(Errors!$I1896, 'List of Error Codes'!D1895:I1925, 6, FALSE), 'List of Error Codes'!$E$29)
)</f>
        <v>Please select ERROR CODE column "I"</v>
      </c>
      <c r="M1896" s="209"/>
      <c r="N1896" s="209"/>
      <c r="O1896" s="209"/>
      <c r="P1896" s="209"/>
      <c r="Q1896" s="209"/>
      <c r="R1896" s="217"/>
      <c r="S1896" s="217"/>
      <c r="T1896" s="217"/>
      <c r="U1896" s="199"/>
      <c r="V1896" s="200"/>
      <c r="W1896" s="200"/>
      <c r="X1896" s="200"/>
      <c r="Y1896" s="200"/>
      <c r="Z1896" s="200"/>
      <c r="AA1896" s="201"/>
      <c r="AB1896" s="200"/>
      <c r="AC1896" s="200"/>
    </row>
    <row r="1897" ht="15.75" customHeight="1">
      <c r="A1897" s="210">
        <f t="shared" si="1"/>
        <v>1895</v>
      </c>
      <c r="B1897" s="217"/>
      <c r="C1897" s="217" t="str">
        <f>IFERROR(VLOOKUP(B1897, SourceData!$U$3:$V$190, 2, FALSE), "")</f>
        <v/>
      </c>
      <c r="D1897" s="240"/>
      <c r="E1897" s="241"/>
      <c r="F1897" s="248"/>
      <c r="G1897" s="207"/>
      <c r="H1897" s="209"/>
      <c r="I1897" s="209"/>
      <c r="J1897" s="209"/>
      <c r="K1897" s="208" t="str">
        <f>IF(Errors!$I1897=0,SourceData!$B$42,VLOOKUP(Errors!$I1897,SourceData!$A$2:$B$40,2,FALSE))</f>
        <v>Please select ERROR CODE column "I"</v>
      </c>
      <c r="L1897" s="207" t="str">
        <f>IF(Errors!$I1897=0,
    'List of Error Codes'!$E$29,
    IFERROR(VLOOKUP(Errors!$I1897, 'List of Error Codes'!D1896:I1926, 6, FALSE), 'List of Error Codes'!$E$29)
)</f>
        <v>Please select ERROR CODE column "I"</v>
      </c>
      <c r="M1897" s="209"/>
      <c r="N1897" s="209"/>
      <c r="O1897" s="209"/>
      <c r="P1897" s="209"/>
      <c r="Q1897" s="209"/>
      <c r="R1897" s="217"/>
      <c r="S1897" s="217"/>
      <c r="T1897" s="217"/>
      <c r="U1897" s="199"/>
      <c r="V1897" s="200"/>
      <c r="W1897" s="200"/>
      <c r="X1897" s="200"/>
      <c r="Y1897" s="200"/>
      <c r="Z1897" s="200"/>
      <c r="AA1897" s="201"/>
      <c r="AB1897" s="200"/>
      <c r="AC1897" s="200"/>
    </row>
    <row r="1898" ht="15.75" customHeight="1">
      <c r="A1898" s="210">
        <f t="shared" si="1"/>
        <v>1896</v>
      </c>
      <c r="B1898" s="217"/>
      <c r="C1898" s="217" t="str">
        <f>IFERROR(VLOOKUP(B1898, SourceData!$U$3:$V$190, 2, FALSE), "")</f>
        <v/>
      </c>
      <c r="D1898" s="240"/>
      <c r="E1898" s="241"/>
      <c r="F1898" s="248"/>
      <c r="G1898" s="207"/>
      <c r="H1898" s="209"/>
      <c r="I1898" s="209"/>
      <c r="J1898" s="209"/>
      <c r="K1898" s="208" t="str">
        <f>IF(Errors!$I1898=0,SourceData!$B$42,VLOOKUP(Errors!$I1898,SourceData!$A$2:$B$40,2,FALSE))</f>
        <v>Please select ERROR CODE column "I"</v>
      </c>
      <c r="L1898" s="207" t="str">
        <f>IF(Errors!$I1898=0,
    'List of Error Codes'!$E$29,
    IFERROR(VLOOKUP(Errors!$I1898, 'List of Error Codes'!D1897:I1927, 6, FALSE), 'List of Error Codes'!$E$29)
)</f>
        <v>Please select ERROR CODE column "I"</v>
      </c>
      <c r="M1898" s="209"/>
      <c r="N1898" s="209"/>
      <c r="O1898" s="209"/>
      <c r="P1898" s="209"/>
      <c r="Q1898" s="209"/>
      <c r="R1898" s="217"/>
      <c r="S1898" s="217"/>
      <c r="T1898" s="217"/>
      <c r="U1898" s="199"/>
      <c r="V1898" s="200"/>
      <c r="W1898" s="200"/>
      <c r="X1898" s="200"/>
      <c r="Y1898" s="200"/>
      <c r="Z1898" s="200"/>
      <c r="AA1898" s="201"/>
      <c r="AB1898" s="200"/>
      <c r="AC1898" s="200"/>
    </row>
    <row r="1899" ht="15.75" customHeight="1">
      <c r="A1899" s="210">
        <f t="shared" si="1"/>
        <v>1897</v>
      </c>
      <c r="B1899" s="217"/>
      <c r="C1899" s="217" t="str">
        <f>IFERROR(VLOOKUP(B1899, SourceData!$U$3:$V$190, 2, FALSE), "")</f>
        <v/>
      </c>
      <c r="D1899" s="240"/>
      <c r="E1899" s="241"/>
      <c r="F1899" s="248"/>
      <c r="G1899" s="207"/>
      <c r="H1899" s="209"/>
      <c r="I1899" s="209"/>
      <c r="J1899" s="209"/>
      <c r="K1899" s="208" t="str">
        <f>IF(Errors!$I1899=0,SourceData!$B$42,VLOOKUP(Errors!$I1899,SourceData!$A$2:$B$40,2,FALSE))</f>
        <v>Please select ERROR CODE column "I"</v>
      </c>
      <c r="L1899" s="207" t="str">
        <f>IF(Errors!$I1899=0,
    'List of Error Codes'!$E$29,
    IFERROR(VLOOKUP(Errors!$I1899, 'List of Error Codes'!D1898:I1928, 6, FALSE), 'List of Error Codes'!$E$29)
)</f>
        <v>Please select ERROR CODE column "I"</v>
      </c>
      <c r="M1899" s="209"/>
      <c r="N1899" s="209"/>
      <c r="O1899" s="209"/>
      <c r="P1899" s="209"/>
      <c r="Q1899" s="209"/>
      <c r="R1899" s="217"/>
      <c r="S1899" s="217"/>
      <c r="T1899" s="217"/>
      <c r="U1899" s="199"/>
      <c r="V1899" s="200"/>
      <c r="W1899" s="200"/>
      <c r="X1899" s="200"/>
      <c r="Y1899" s="200"/>
      <c r="Z1899" s="200"/>
      <c r="AA1899" s="201"/>
      <c r="AB1899" s="200"/>
      <c r="AC1899" s="200"/>
    </row>
    <row r="1900" ht="15.75" customHeight="1">
      <c r="A1900" s="210">
        <f t="shared" si="1"/>
        <v>1898</v>
      </c>
      <c r="B1900" s="217"/>
      <c r="C1900" s="217" t="str">
        <f>IFERROR(VLOOKUP(B1900, SourceData!$U$3:$V$190, 2, FALSE), "")</f>
        <v/>
      </c>
      <c r="D1900" s="240"/>
      <c r="E1900" s="241"/>
      <c r="F1900" s="248"/>
      <c r="G1900" s="207"/>
      <c r="H1900" s="209"/>
      <c r="I1900" s="209"/>
      <c r="J1900" s="209"/>
      <c r="K1900" s="208" t="str">
        <f>IF(Errors!$I1900=0,SourceData!$B$42,VLOOKUP(Errors!$I1900,SourceData!$A$2:$B$40,2,FALSE))</f>
        <v>Please select ERROR CODE column "I"</v>
      </c>
      <c r="L1900" s="207" t="str">
        <f>IF(Errors!$I1900=0,
    'List of Error Codes'!$E$29,
    IFERROR(VLOOKUP(Errors!$I1900, 'List of Error Codes'!D1899:I1929, 6, FALSE), 'List of Error Codes'!$E$29)
)</f>
        <v>Please select ERROR CODE column "I"</v>
      </c>
      <c r="M1900" s="209"/>
      <c r="N1900" s="209"/>
      <c r="O1900" s="209"/>
      <c r="P1900" s="209"/>
      <c r="Q1900" s="209"/>
      <c r="R1900" s="217"/>
      <c r="S1900" s="217"/>
      <c r="T1900" s="217"/>
      <c r="U1900" s="199"/>
      <c r="V1900" s="200"/>
      <c r="W1900" s="200"/>
      <c r="X1900" s="200"/>
      <c r="Y1900" s="200"/>
      <c r="Z1900" s="200"/>
      <c r="AA1900" s="201"/>
      <c r="AB1900" s="200"/>
      <c r="AC1900" s="200"/>
    </row>
    <row r="1901" ht="15.75" customHeight="1">
      <c r="A1901" s="210">
        <f t="shared" si="1"/>
        <v>1899</v>
      </c>
      <c r="B1901" s="217"/>
      <c r="C1901" s="217" t="str">
        <f>IFERROR(VLOOKUP(B1901, SourceData!$U$3:$V$190, 2, FALSE), "")</f>
        <v/>
      </c>
      <c r="D1901" s="240"/>
      <c r="E1901" s="241"/>
      <c r="F1901" s="248"/>
      <c r="G1901" s="207"/>
      <c r="H1901" s="209"/>
      <c r="I1901" s="209"/>
      <c r="J1901" s="209"/>
      <c r="K1901" s="208" t="str">
        <f>IF(Errors!$I1901=0,SourceData!$B$42,VLOOKUP(Errors!$I1901,SourceData!$A$2:$B$40,2,FALSE))</f>
        <v>Please select ERROR CODE column "I"</v>
      </c>
      <c r="L1901" s="207" t="str">
        <f>IF(Errors!$I1901=0,
    'List of Error Codes'!$E$29,
    IFERROR(VLOOKUP(Errors!$I1901, 'List of Error Codes'!D1900:I1930, 6, FALSE), 'List of Error Codes'!$E$29)
)</f>
        <v>Please select ERROR CODE column "I"</v>
      </c>
      <c r="M1901" s="209"/>
      <c r="N1901" s="209"/>
      <c r="O1901" s="209"/>
      <c r="P1901" s="209"/>
      <c r="Q1901" s="209"/>
      <c r="R1901" s="217"/>
      <c r="S1901" s="217"/>
      <c r="T1901" s="217"/>
      <c r="U1901" s="199"/>
      <c r="V1901" s="200"/>
      <c r="W1901" s="200"/>
      <c r="X1901" s="200"/>
      <c r="Y1901" s="200"/>
      <c r="Z1901" s="200"/>
      <c r="AA1901" s="201"/>
      <c r="AB1901" s="200"/>
      <c r="AC1901" s="200"/>
    </row>
    <row r="1902" ht="15.75" customHeight="1">
      <c r="A1902" s="210">
        <f t="shared" si="1"/>
        <v>1900</v>
      </c>
      <c r="B1902" s="217"/>
      <c r="C1902" s="217" t="str">
        <f>IFERROR(VLOOKUP(B1902, SourceData!$U$3:$V$190, 2, FALSE), "")</f>
        <v/>
      </c>
      <c r="D1902" s="240"/>
      <c r="E1902" s="241"/>
      <c r="F1902" s="248"/>
      <c r="G1902" s="207"/>
      <c r="H1902" s="209"/>
      <c r="I1902" s="209"/>
      <c r="J1902" s="209"/>
      <c r="K1902" s="208" t="str">
        <f>IF(Errors!$I1902=0,SourceData!$B$42,VLOOKUP(Errors!$I1902,SourceData!$A$2:$B$40,2,FALSE))</f>
        <v>Please select ERROR CODE column "I"</v>
      </c>
      <c r="L1902" s="207" t="str">
        <f>IF(Errors!$I1902=0,
    'List of Error Codes'!$E$29,
    IFERROR(VLOOKUP(Errors!$I1902, 'List of Error Codes'!D1901:I1931, 6, FALSE), 'List of Error Codes'!$E$29)
)</f>
        <v>Please select ERROR CODE column "I"</v>
      </c>
      <c r="M1902" s="209"/>
      <c r="N1902" s="209"/>
      <c r="O1902" s="209"/>
      <c r="P1902" s="209"/>
      <c r="Q1902" s="209"/>
      <c r="R1902" s="217"/>
      <c r="S1902" s="217"/>
      <c r="T1902" s="217"/>
      <c r="U1902" s="199"/>
      <c r="V1902" s="200"/>
      <c r="W1902" s="200"/>
      <c r="X1902" s="200"/>
      <c r="Y1902" s="200"/>
      <c r="Z1902" s="200"/>
      <c r="AA1902" s="201"/>
      <c r="AB1902" s="200"/>
      <c r="AC1902" s="200"/>
    </row>
    <row r="1903" ht="15.75" customHeight="1">
      <c r="A1903" s="210">
        <f t="shared" si="1"/>
        <v>1901</v>
      </c>
      <c r="B1903" s="217"/>
      <c r="C1903" s="217" t="str">
        <f>IFERROR(VLOOKUP(B1903, SourceData!$U$3:$V$190, 2, FALSE), "")</f>
        <v/>
      </c>
      <c r="D1903" s="240"/>
      <c r="E1903" s="241"/>
      <c r="F1903" s="248"/>
      <c r="G1903" s="207"/>
      <c r="H1903" s="209"/>
      <c r="I1903" s="209"/>
      <c r="J1903" s="209"/>
      <c r="K1903" s="208" t="str">
        <f>IF(Errors!$I1903=0,SourceData!$B$42,VLOOKUP(Errors!$I1903,SourceData!$A$2:$B$40,2,FALSE))</f>
        <v>Please select ERROR CODE column "I"</v>
      </c>
      <c r="L1903" s="207" t="str">
        <f>IF(Errors!$I1903=0,
    'List of Error Codes'!$E$29,
    IFERROR(VLOOKUP(Errors!$I1903, 'List of Error Codes'!D1902:I1932, 6, FALSE), 'List of Error Codes'!$E$29)
)</f>
        <v>Please select ERROR CODE column "I"</v>
      </c>
      <c r="M1903" s="209"/>
      <c r="N1903" s="209"/>
      <c r="O1903" s="209"/>
      <c r="P1903" s="209"/>
      <c r="Q1903" s="209"/>
      <c r="R1903" s="217"/>
      <c r="S1903" s="217"/>
      <c r="T1903" s="217"/>
      <c r="U1903" s="199"/>
      <c r="V1903" s="200"/>
      <c r="W1903" s="200"/>
      <c r="X1903" s="200"/>
      <c r="Y1903" s="200"/>
      <c r="Z1903" s="200"/>
      <c r="AA1903" s="201"/>
      <c r="AB1903" s="200"/>
      <c r="AC1903" s="200"/>
    </row>
    <row r="1904" ht="15.75" customHeight="1">
      <c r="A1904" s="210">
        <f t="shared" si="1"/>
        <v>1902</v>
      </c>
      <c r="B1904" s="217"/>
      <c r="C1904" s="217" t="str">
        <f>IFERROR(VLOOKUP(B1904, SourceData!$U$3:$V$190, 2, FALSE), "")</f>
        <v/>
      </c>
      <c r="D1904" s="240"/>
      <c r="E1904" s="241"/>
      <c r="F1904" s="248"/>
      <c r="G1904" s="207"/>
      <c r="H1904" s="209"/>
      <c r="I1904" s="209"/>
      <c r="J1904" s="209"/>
      <c r="K1904" s="208" t="str">
        <f>IF(Errors!$I1904=0,SourceData!$B$42,VLOOKUP(Errors!$I1904,SourceData!$A$2:$B$40,2,FALSE))</f>
        <v>Please select ERROR CODE column "I"</v>
      </c>
      <c r="L1904" s="207" t="str">
        <f>IF(Errors!$I1904=0,
    'List of Error Codes'!$E$29,
    IFERROR(VLOOKUP(Errors!$I1904, 'List of Error Codes'!D1903:I1933, 6, FALSE), 'List of Error Codes'!$E$29)
)</f>
        <v>Please select ERROR CODE column "I"</v>
      </c>
      <c r="M1904" s="209"/>
      <c r="N1904" s="209"/>
      <c r="O1904" s="209"/>
      <c r="P1904" s="209"/>
      <c r="Q1904" s="209"/>
      <c r="R1904" s="217"/>
      <c r="S1904" s="217"/>
      <c r="T1904" s="217"/>
      <c r="U1904" s="199"/>
      <c r="V1904" s="200"/>
      <c r="W1904" s="200"/>
      <c r="X1904" s="200"/>
      <c r="Y1904" s="200"/>
      <c r="Z1904" s="200"/>
      <c r="AA1904" s="201"/>
      <c r="AB1904" s="200"/>
      <c r="AC1904" s="200"/>
    </row>
    <row r="1905" ht="15.75" customHeight="1">
      <c r="A1905" s="210">
        <f t="shared" si="1"/>
        <v>1903</v>
      </c>
      <c r="B1905" s="217"/>
      <c r="C1905" s="217" t="str">
        <f>IFERROR(VLOOKUP(B1905, SourceData!$U$3:$V$190, 2, FALSE), "")</f>
        <v/>
      </c>
      <c r="D1905" s="240"/>
      <c r="E1905" s="241"/>
      <c r="F1905" s="248"/>
      <c r="G1905" s="207"/>
      <c r="H1905" s="209"/>
      <c r="I1905" s="209"/>
      <c r="J1905" s="209"/>
      <c r="K1905" s="208" t="str">
        <f>IF(Errors!$I1905=0,SourceData!$B$42,VLOOKUP(Errors!$I1905,SourceData!$A$2:$B$40,2,FALSE))</f>
        <v>Please select ERROR CODE column "I"</v>
      </c>
      <c r="L1905" s="207" t="str">
        <f>IF(Errors!$I1905=0,
    'List of Error Codes'!$E$29,
    IFERROR(VLOOKUP(Errors!$I1905, 'List of Error Codes'!D1904:I1934, 6, FALSE), 'List of Error Codes'!$E$29)
)</f>
        <v>Please select ERROR CODE column "I"</v>
      </c>
      <c r="M1905" s="209"/>
      <c r="N1905" s="209"/>
      <c r="O1905" s="209"/>
      <c r="P1905" s="209"/>
      <c r="Q1905" s="209"/>
      <c r="R1905" s="217"/>
      <c r="S1905" s="217"/>
      <c r="T1905" s="217"/>
      <c r="U1905" s="199"/>
      <c r="V1905" s="200"/>
      <c r="W1905" s="200"/>
      <c r="X1905" s="200"/>
      <c r="Y1905" s="200"/>
      <c r="Z1905" s="200"/>
      <c r="AA1905" s="201"/>
      <c r="AB1905" s="200"/>
      <c r="AC1905" s="200"/>
    </row>
    <row r="1906" ht="15.75" customHeight="1">
      <c r="A1906" s="210">
        <f t="shared" si="1"/>
        <v>1904</v>
      </c>
      <c r="B1906" s="217"/>
      <c r="C1906" s="217" t="str">
        <f>IFERROR(VLOOKUP(B1906, SourceData!$U$3:$V$190, 2, FALSE), "")</f>
        <v/>
      </c>
      <c r="D1906" s="240"/>
      <c r="E1906" s="241"/>
      <c r="F1906" s="248"/>
      <c r="G1906" s="207"/>
      <c r="H1906" s="209"/>
      <c r="I1906" s="209"/>
      <c r="J1906" s="209"/>
      <c r="K1906" s="208" t="str">
        <f>IF(Errors!$I1906=0,SourceData!$B$42,VLOOKUP(Errors!$I1906,SourceData!$A$2:$B$40,2,FALSE))</f>
        <v>Please select ERROR CODE column "I"</v>
      </c>
      <c r="L1906" s="207" t="str">
        <f>IF(Errors!$I1906=0,
    'List of Error Codes'!$E$29,
    IFERROR(VLOOKUP(Errors!$I1906, 'List of Error Codes'!D1905:I1935, 6, FALSE), 'List of Error Codes'!$E$29)
)</f>
        <v>Please select ERROR CODE column "I"</v>
      </c>
      <c r="M1906" s="209"/>
      <c r="N1906" s="209"/>
      <c r="O1906" s="209"/>
      <c r="P1906" s="209"/>
      <c r="Q1906" s="209"/>
      <c r="R1906" s="217"/>
      <c r="S1906" s="217"/>
      <c r="T1906" s="217"/>
      <c r="U1906" s="199"/>
      <c r="V1906" s="200"/>
      <c r="W1906" s="200"/>
      <c r="X1906" s="200"/>
      <c r="Y1906" s="200"/>
      <c r="Z1906" s="200"/>
      <c r="AA1906" s="201"/>
      <c r="AB1906" s="200"/>
      <c r="AC1906" s="200"/>
    </row>
    <row r="1907" ht="15.75" customHeight="1">
      <c r="A1907" s="210">
        <f t="shared" si="1"/>
        <v>1905</v>
      </c>
      <c r="B1907" s="217"/>
      <c r="C1907" s="217" t="str">
        <f>IFERROR(VLOOKUP(B1907, SourceData!$U$3:$V$190, 2, FALSE), "")</f>
        <v/>
      </c>
      <c r="D1907" s="240"/>
      <c r="E1907" s="241"/>
      <c r="F1907" s="248"/>
      <c r="G1907" s="207"/>
      <c r="H1907" s="209"/>
      <c r="I1907" s="209"/>
      <c r="J1907" s="209"/>
      <c r="K1907" s="208" t="str">
        <f>IF(Errors!$I1907=0,SourceData!$B$42,VLOOKUP(Errors!$I1907,SourceData!$A$2:$B$40,2,FALSE))</f>
        <v>Please select ERROR CODE column "I"</v>
      </c>
      <c r="L1907" s="207" t="str">
        <f>IF(Errors!$I1907=0,
    'List of Error Codes'!$E$29,
    IFERROR(VLOOKUP(Errors!$I1907, 'List of Error Codes'!D1906:I1936, 6, FALSE), 'List of Error Codes'!$E$29)
)</f>
        <v>Please select ERROR CODE column "I"</v>
      </c>
      <c r="M1907" s="209"/>
      <c r="N1907" s="209"/>
      <c r="O1907" s="209"/>
      <c r="P1907" s="209"/>
      <c r="Q1907" s="209"/>
      <c r="R1907" s="217"/>
      <c r="S1907" s="217"/>
      <c r="T1907" s="217"/>
      <c r="U1907" s="199"/>
      <c r="V1907" s="200"/>
      <c r="W1907" s="200"/>
      <c r="X1907" s="200"/>
      <c r="Y1907" s="200"/>
      <c r="Z1907" s="200"/>
      <c r="AA1907" s="201"/>
      <c r="AB1907" s="200"/>
      <c r="AC1907" s="200"/>
    </row>
    <row r="1908" ht="15.75" customHeight="1">
      <c r="A1908" s="210">
        <f t="shared" si="1"/>
        <v>1906</v>
      </c>
      <c r="B1908" s="217"/>
      <c r="C1908" s="217" t="str">
        <f>IFERROR(VLOOKUP(B1908, SourceData!$U$3:$V$190, 2, FALSE), "")</f>
        <v/>
      </c>
      <c r="D1908" s="240"/>
      <c r="E1908" s="241"/>
      <c r="F1908" s="248"/>
      <c r="G1908" s="207"/>
      <c r="H1908" s="209"/>
      <c r="I1908" s="209"/>
      <c r="J1908" s="209"/>
      <c r="K1908" s="208" t="str">
        <f>IF(Errors!$I1908=0,SourceData!$B$42,VLOOKUP(Errors!$I1908,SourceData!$A$2:$B$40,2,FALSE))</f>
        <v>Please select ERROR CODE column "I"</v>
      </c>
      <c r="L1908" s="207" t="str">
        <f>IF(Errors!$I1908=0,
    'List of Error Codes'!$E$29,
    IFERROR(VLOOKUP(Errors!$I1908, 'List of Error Codes'!D1907:I1937, 6, FALSE), 'List of Error Codes'!$E$29)
)</f>
        <v>Please select ERROR CODE column "I"</v>
      </c>
      <c r="M1908" s="209"/>
      <c r="N1908" s="209"/>
      <c r="O1908" s="209"/>
      <c r="P1908" s="209"/>
      <c r="Q1908" s="209"/>
      <c r="R1908" s="217"/>
      <c r="S1908" s="217"/>
      <c r="T1908" s="217"/>
      <c r="U1908" s="199"/>
      <c r="V1908" s="200"/>
      <c r="W1908" s="200"/>
      <c r="X1908" s="200"/>
      <c r="Y1908" s="200"/>
      <c r="Z1908" s="200"/>
      <c r="AA1908" s="201"/>
      <c r="AB1908" s="200"/>
      <c r="AC1908" s="200"/>
    </row>
    <row r="1909" ht="15.75" customHeight="1">
      <c r="A1909" s="210">
        <f t="shared" si="1"/>
        <v>1907</v>
      </c>
      <c r="B1909" s="217"/>
      <c r="C1909" s="217" t="str">
        <f>IFERROR(VLOOKUP(B1909, SourceData!$U$3:$V$190, 2, FALSE), "")</f>
        <v/>
      </c>
      <c r="D1909" s="240"/>
      <c r="E1909" s="241"/>
      <c r="F1909" s="248"/>
      <c r="G1909" s="207"/>
      <c r="H1909" s="209"/>
      <c r="I1909" s="209"/>
      <c r="J1909" s="209"/>
      <c r="K1909" s="208" t="str">
        <f>IF(Errors!$I1909=0,SourceData!$B$42,VLOOKUP(Errors!$I1909,SourceData!$A$2:$B$40,2,FALSE))</f>
        <v>Please select ERROR CODE column "I"</v>
      </c>
      <c r="L1909" s="207" t="str">
        <f>IF(Errors!$I1909=0,
    'List of Error Codes'!$E$29,
    IFERROR(VLOOKUP(Errors!$I1909, 'List of Error Codes'!D1908:I1938, 6, FALSE), 'List of Error Codes'!$E$29)
)</f>
        <v>Please select ERROR CODE column "I"</v>
      </c>
      <c r="M1909" s="209"/>
      <c r="N1909" s="209"/>
      <c r="O1909" s="209"/>
      <c r="P1909" s="209"/>
      <c r="Q1909" s="209"/>
      <c r="R1909" s="217"/>
      <c r="S1909" s="217"/>
      <c r="T1909" s="217"/>
      <c r="U1909" s="199"/>
      <c r="V1909" s="200"/>
      <c r="W1909" s="200"/>
      <c r="X1909" s="200"/>
      <c r="Y1909" s="200"/>
      <c r="Z1909" s="200"/>
      <c r="AA1909" s="201"/>
      <c r="AB1909" s="200"/>
      <c r="AC1909" s="200"/>
    </row>
    <row r="1910" ht="15.75" customHeight="1">
      <c r="A1910" s="210">
        <f t="shared" si="1"/>
        <v>1908</v>
      </c>
      <c r="B1910" s="217"/>
      <c r="C1910" s="217" t="str">
        <f>IFERROR(VLOOKUP(B1910, SourceData!$U$3:$V$190, 2, FALSE), "")</f>
        <v/>
      </c>
      <c r="D1910" s="240"/>
      <c r="E1910" s="241"/>
      <c r="F1910" s="248"/>
      <c r="G1910" s="207"/>
      <c r="H1910" s="209"/>
      <c r="I1910" s="209"/>
      <c r="J1910" s="209"/>
      <c r="K1910" s="208" t="str">
        <f>IF(Errors!$I1910=0,SourceData!$B$42,VLOOKUP(Errors!$I1910,SourceData!$A$2:$B$40,2,FALSE))</f>
        <v>Please select ERROR CODE column "I"</v>
      </c>
      <c r="L1910" s="207" t="str">
        <f>IF(Errors!$I1910=0,
    'List of Error Codes'!$E$29,
    IFERROR(VLOOKUP(Errors!$I1910, 'List of Error Codes'!D1909:I1939, 6, FALSE), 'List of Error Codes'!$E$29)
)</f>
        <v>Please select ERROR CODE column "I"</v>
      </c>
      <c r="M1910" s="209"/>
      <c r="N1910" s="209"/>
      <c r="O1910" s="209"/>
      <c r="P1910" s="209"/>
      <c r="Q1910" s="209"/>
      <c r="R1910" s="217"/>
      <c r="S1910" s="217"/>
      <c r="T1910" s="217"/>
      <c r="U1910" s="199"/>
      <c r="V1910" s="200"/>
      <c r="W1910" s="200"/>
      <c r="X1910" s="200"/>
      <c r="Y1910" s="200"/>
      <c r="Z1910" s="200"/>
      <c r="AA1910" s="201"/>
      <c r="AB1910" s="200"/>
      <c r="AC1910" s="200"/>
    </row>
    <row r="1911" ht="15.75" customHeight="1">
      <c r="A1911" s="210">
        <f t="shared" si="1"/>
        <v>1909</v>
      </c>
      <c r="B1911" s="217"/>
      <c r="C1911" s="217" t="str">
        <f>IFERROR(VLOOKUP(B1911, SourceData!$U$3:$V$190, 2, FALSE), "")</f>
        <v/>
      </c>
      <c r="D1911" s="240"/>
      <c r="E1911" s="241"/>
      <c r="F1911" s="248"/>
      <c r="G1911" s="207"/>
      <c r="H1911" s="209"/>
      <c r="I1911" s="209"/>
      <c r="J1911" s="209"/>
      <c r="K1911" s="208" t="str">
        <f>IF(Errors!$I1911=0,SourceData!$B$42,VLOOKUP(Errors!$I1911,SourceData!$A$2:$B$40,2,FALSE))</f>
        <v>Please select ERROR CODE column "I"</v>
      </c>
      <c r="L1911" s="207" t="str">
        <f>IF(Errors!$I1911=0,
    'List of Error Codes'!$E$29,
    IFERROR(VLOOKUP(Errors!$I1911, 'List of Error Codes'!D1910:I1940, 6, FALSE), 'List of Error Codes'!$E$29)
)</f>
        <v>Please select ERROR CODE column "I"</v>
      </c>
      <c r="M1911" s="209"/>
      <c r="N1911" s="209"/>
      <c r="O1911" s="209"/>
      <c r="P1911" s="209"/>
      <c r="Q1911" s="209"/>
      <c r="R1911" s="217"/>
      <c r="S1911" s="217"/>
      <c r="T1911" s="217"/>
      <c r="U1911" s="199"/>
      <c r="V1911" s="200"/>
      <c r="W1911" s="200"/>
      <c r="X1911" s="200"/>
      <c r="Y1911" s="200"/>
      <c r="Z1911" s="200"/>
      <c r="AA1911" s="201"/>
      <c r="AB1911" s="200"/>
      <c r="AC1911" s="200"/>
    </row>
    <row r="1912" ht="15.75" customHeight="1">
      <c r="A1912" s="210">
        <f t="shared" si="1"/>
        <v>1910</v>
      </c>
      <c r="B1912" s="217"/>
      <c r="C1912" s="217" t="str">
        <f>IFERROR(VLOOKUP(B1912, SourceData!$U$3:$V$190, 2, FALSE), "")</f>
        <v/>
      </c>
      <c r="D1912" s="240"/>
      <c r="E1912" s="241"/>
      <c r="F1912" s="248"/>
      <c r="G1912" s="207"/>
      <c r="H1912" s="209"/>
      <c r="I1912" s="209"/>
      <c r="J1912" s="209"/>
      <c r="K1912" s="208" t="str">
        <f>IF(Errors!$I1912=0,SourceData!$B$42,VLOOKUP(Errors!$I1912,SourceData!$A$2:$B$40,2,FALSE))</f>
        <v>Please select ERROR CODE column "I"</v>
      </c>
      <c r="L1912" s="207" t="str">
        <f>IF(Errors!$I1912=0,
    'List of Error Codes'!$E$29,
    IFERROR(VLOOKUP(Errors!$I1912, 'List of Error Codes'!D1911:I1941, 6, FALSE), 'List of Error Codes'!$E$29)
)</f>
        <v>Please select ERROR CODE column "I"</v>
      </c>
      <c r="M1912" s="209"/>
      <c r="N1912" s="209"/>
      <c r="O1912" s="209"/>
      <c r="P1912" s="209"/>
      <c r="Q1912" s="209"/>
      <c r="R1912" s="217"/>
      <c r="S1912" s="217"/>
      <c r="T1912" s="217"/>
      <c r="U1912" s="199"/>
      <c r="V1912" s="200"/>
      <c r="W1912" s="200"/>
      <c r="X1912" s="200"/>
      <c r="Y1912" s="200"/>
      <c r="Z1912" s="200"/>
      <c r="AA1912" s="201"/>
      <c r="AB1912" s="200"/>
      <c r="AC1912" s="200"/>
    </row>
    <row r="1913" ht="15.75" customHeight="1">
      <c r="A1913" s="210">
        <f t="shared" si="1"/>
        <v>1911</v>
      </c>
      <c r="B1913" s="217"/>
      <c r="C1913" s="217" t="str">
        <f>IFERROR(VLOOKUP(B1913, SourceData!$U$3:$V$190, 2, FALSE), "")</f>
        <v/>
      </c>
      <c r="D1913" s="240"/>
      <c r="E1913" s="241"/>
      <c r="F1913" s="248"/>
      <c r="G1913" s="207"/>
      <c r="H1913" s="209"/>
      <c r="I1913" s="209"/>
      <c r="J1913" s="209"/>
      <c r="K1913" s="208" t="str">
        <f>IF(Errors!$I1913=0,SourceData!$B$42,VLOOKUP(Errors!$I1913,SourceData!$A$2:$B$40,2,FALSE))</f>
        <v>Please select ERROR CODE column "I"</v>
      </c>
      <c r="L1913" s="207" t="str">
        <f>IF(Errors!$I1913=0,
    'List of Error Codes'!$E$29,
    IFERROR(VLOOKUP(Errors!$I1913, 'List of Error Codes'!D1912:I1942, 6, FALSE), 'List of Error Codes'!$E$29)
)</f>
        <v>Please select ERROR CODE column "I"</v>
      </c>
      <c r="M1913" s="209"/>
      <c r="N1913" s="209"/>
      <c r="O1913" s="209"/>
      <c r="P1913" s="209"/>
      <c r="Q1913" s="209"/>
      <c r="R1913" s="217"/>
      <c r="S1913" s="217"/>
      <c r="T1913" s="217"/>
      <c r="U1913" s="199"/>
      <c r="V1913" s="200"/>
      <c r="W1913" s="200"/>
      <c r="X1913" s="200"/>
      <c r="Y1913" s="200"/>
      <c r="Z1913" s="200"/>
      <c r="AA1913" s="201"/>
      <c r="AB1913" s="200"/>
      <c r="AC1913" s="200"/>
    </row>
    <row r="1914" ht="15.75" customHeight="1">
      <c r="A1914" s="210">
        <f t="shared" si="1"/>
        <v>1912</v>
      </c>
      <c r="B1914" s="217"/>
      <c r="C1914" s="217" t="str">
        <f>IFERROR(VLOOKUP(B1914, SourceData!$U$3:$V$190, 2, FALSE), "")</f>
        <v/>
      </c>
      <c r="D1914" s="240"/>
      <c r="E1914" s="241"/>
      <c r="F1914" s="248"/>
      <c r="G1914" s="207"/>
      <c r="H1914" s="209"/>
      <c r="I1914" s="209"/>
      <c r="J1914" s="209"/>
      <c r="K1914" s="208" t="str">
        <f>IF(Errors!$I1914=0,SourceData!$B$42,VLOOKUP(Errors!$I1914,SourceData!$A$2:$B$40,2,FALSE))</f>
        <v>Please select ERROR CODE column "I"</v>
      </c>
      <c r="L1914" s="207" t="str">
        <f>IF(Errors!$I1914=0,
    'List of Error Codes'!$E$29,
    IFERROR(VLOOKUP(Errors!$I1914, 'List of Error Codes'!D1913:I1943, 6, FALSE), 'List of Error Codes'!$E$29)
)</f>
        <v>Please select ERROR CODE column "I"</v>
      </c>
      <c r="M1914" s="209"/>
      <c r="N1914" s="209"/>
      <c r="O1914" s="209"/>
      <c r="P1914" s="209"/>
      <c r="Q1914" s="209"/>
      <c r="R1914" s="217"/>
      <c r="S1914" s="217"/>
      <c r="T1914" s="217"/>
      <c r="U1914" s="199"/>
      <c r="V1914" s="200"/>
      <c r="W1914" s="200"/>
      <c r="X1914" s="200"/>
      <c r="Y1914" s="200"/>
      <c r="Z1914" s="200"/>
      <c r="AA1914" s="201"/>
      <c r="AB1914" s="200"/>
      <c r="AC1914" s="200"/>
    </row>
    <row r="1915" ht="15.75" customHeight="1">
      <c r="A1915" s="210">
        <f t="shared" si="1"/>
        <v>1913</v>
      </c>
      <c r="B1915" s="217"/>
      <c r="C1915" s="217" t="str">
        <f>IFERROR(VLOOKUP(B1915, SourceData!$U$3:$V$190, 2, FALSE), "")</f>
        <v/>
      </c>
      <c r="D1915" s="240"/>
      <c r="E1915" s="241"/>
      <c r="F1915" s="248"/>
      <c r="G1915" s="207"/>
      <c r="H1915" s="209"/>
      <c r="I1915" s="209"/>
      <c r="J1915" s="209"/>
      <c r="K1915" s="208" t="str">
        <f>IF(Errors!$I1915=0,SourceData!$B$42,VLOOKUP(Errors!$I1915,SourceData!$A$2:$B$40,2,FALSE))</f>
        <v>Please select ERROR CODE column "I"</v>
      </c>
      <c r="L1915" s="207" t="str">
        <f>IF(Errors!$I1915=0,
    'List of Error Codes'!$E$29,
    IFERROR(VLOOKUP(Errors!$I1915, 'List of Error Codes'!D1914:I1944, 6, FALSE), 'List of Error Codes'!$E$29)
)</f>
        <v>Please select ERROR CODE column "I"</v>
      </c>
      <c r="M1915" s="209"/>
      <c r="N1915" s="209"/>
      <c r="O1915" s="209"/>
      <c r="P1915" s="209"/>
      <c r="Q1915" s="209"/>
      <c r="R1915" s="217"/>
      <c r="S1915" s="217"/>
      <c r="T1915" s="217"/>
      <c r="U1915" s="199"/>
      <c r="V1915" s="200"/>
      <c r="W1915" s="200"/>
      <c r="X1915" s="200"/>
      <c r="Y1915" s="200"/>
      <c r="Z1915" s="200"/>
      <c r="AA1915" s="201"/>
      <c r="AB1915" s="200"/>
      <c r="AC1915" s="200"/>
    </row>
    <row r="1916" ht="15.75" customHeight="1">
      <c r="A1916" s="210">
        <f t="shared" si="1"/>
        <v>1914</v>
      </c>
      <c r="B1916" s="217"/>
      <c r="C1916" s="217" t="str">
        <f>IFERROR(VLOOKUP(B1916, SourceData!$U$3:$V$190, 2, FALSE), "")</f>
        <v/>
      </c>
      <c r="D1916" s="240"/>
      <c r="E1916" s="241"/>
      <c r="F1916" s="248"/>
      <c r="G1916" s="207"/>
      <c r="H1916" s="209"/>
      <c r="I1916" s="209"/>
      <c r="J1916" s="209"/>
      <c r="K1916" s="208" t="str">
        <f>IF(Errors!$I1916=0,SourceData!$B$42,VLOOKUP(Errors!$I1916,SourceData!$A$2:$B$40,2,FALSE))</f>
        <v>Please select ERROR CODE column "I"</v>
      </c>
      <c r="L1916" s="207" t="str">
        <f>IF(Errors!$I1916=0,
    'List of Error Codes'!$E$29,
    IFERROR(VLOOKUP(Errors!$I1916, 'List of Error Codes'!D1915:I1945, 6, FALSE), 'List of Error Codes'!$E$29)
)</f>
        <v>Please select ERROR CODE column "I"</v>
      </c>
      <c r="M1916" s="209"/>
      <c r="N1916" s="209"/>
      <c r="O1916" s="209"/>
      <c r="P1916" s="209"/>
      <c r="Q1916" s="209"/>
      <c r="R1916" s="217"/>
      <c r="S1916" s="217"/>
      <c r="T1916" s="217"/>
      <c r="U1916" s="199"/>
      <c r="V1916" s="200"/>
      <c r="W1916" s="200"/>
      <c r="X1916" s="200"/>
      <c r="Y1916" s="200"/>
      <c r="Z1916" s="200"/>
      <c r="AA1916" s="201"/>
      <c r="AB1916" s="200"/>
      <c r="AC1916" s="200"/>
    </row>
    <row r="1917" ht="15.75" customHeight="1">
      <c r="A1917" s="210">
        <f t="shared" si="1"/>
        <v>1915</v>
      </c>
      <c r="B1917" s="217"/>
      <c r="C1917" s="217" t="str">
        <f>IFERROR(VLOOKUP(B1917, SourceData!$U$3:$V$190, 2, FALSE), "")</f>
        <v/>
      </c>
      <c r="D1917" s="240"/>
      <c r="E1917" s="241"/>
      <c r="F1917" s="248"/>
      <c r="G1917" s="207"/>
      <c r="H1917" s="209"/>
      <c r="I1917" s="209"/>
      <c r="J1917" s="209"/>
      <c r="K1917" s="208" t="str">
        <f>IF(Errors!$I1917=0,SourceData!$B$42,VLOOKUP(Errors!$I1917,SourceData!$A$2:$B$40,2,FALSE))</f>
        <v>Please select ERROR CODE column "I"</v>
      </c>
      <c r="L1917" s="207" t="str">
        <f>IF(Errors!$I1917=0,
    'List of Error Codes'!$E$29,
    IFERROR(VLOOKUP(Errors!$I1917, 'List of Error Codes'!D1916:I1946, 6, FALSE), 'List of Error Codes'!$E$29)
)</f>
        <v>Please select ERROR CODE column "I"</v>
      </c>
      <c r="M1917" s="209"/>
      <c r="N1917" s="209"/>
      <c r="O1917" s="209"/>
      <c r="P1917" s="209"/>
      <c r="Q1917" s="209"/>
      <c r="R1917" s="217"/>
      <c r="S1917" s="217"/>
      <c r="T1917" s="217"/>
      <c r="U1917" s="199"/>
      <c r="V1917" s="200"/>
      <c r="W1917" s="200"/>
      <c r="X1917" s="200"/>
      <c r="Y1917" s="200"/>
      <c r="Z1917" s="200"/>
      <c r="AA1917" s="201"/>
      <c r="AB1917" s="200"/>
      <c r="AC1917" s="200"/>
    </row>
    <row r="1918" ht="15.75" customHeight="1">
      <c r="A1918" s="210">
        <f t="shared" si="1"/>
        <v>1916</v>
      </c>
      <c r="B1918" s="217"/>
      <c r="C1918" s="217" t="str">
        <f>IFERROR(VLOOKUP(B1918, SourceData!$U$3:$V$190, 2, FALSE), "")</f>
        <v/>
      </c>
      <c r="D1918" s="240"/>
      <c r="E1918" s="241"/>
      <c r="F1918" s="248"/>
      <c r="G1918" s="207"/>
      <c r="H1918" s="209"/>
      <c r="I1918" s="209"/>
      <c r="J1918" s="209"/>
      <c r="K1918" s="208" t="str">
        <f>IF(Errors!$I1918=0,SourceData!$B$42,VLOOKUP(Errors!$I1918,SourceData!$A$2:$B$40,2,FALSE))</f>
        <v>Please select ERROR CODE column "I"</v>
      </c>
      <c r="L1918" s="207" t="str">
        <f>IF(Errors!$I1918=0,
    'List of Error Codes'!$E$29,
    IFERROR(VLOOKUP(Errors!$I1918, 'List of Error Codes'!D1917:I1947, 6, FALSE), 'List of Error Codes'!$E$29)
)</f>
        <v>Please select ERROR CODE column "I"</v>
      </c>
      <c r="M1918" s="209"/>
      <c r="N1918" s="209"/>
      <c r="O1918" s="209"/>
      <c r="P1918" s="209"/>
      <c r="Q1918" s="209"/>
      <c r="R1918" s="217"/>
      <c r="S1918" s="217"/>
      <c r="T1918" s="217"/>
      <c r="U1918" s="199"/>
      <c r="V1918" s="200"/>
      <c r="W1918" s="200"/>
      <c r="X1918" s="200"/>
      <c r="Y1918" s="200"/>
      <c r="Z1918" s="200"/>
      <c r="AA1918" s="201"/>
      <c r="AB1918" s="200"/>
      <c r="AC1918" s="200"/>
    </row>
    <row r="1919" ht="15.75" customHeight="1">
      <c r="A1919" s="210">
        <f t="shared" si="1"/>
        <v>1917</v>
      </c>
      <c r="B1919" s="217"/>
      <c r="C1919" s="217" t="str">
        <f>IFERROR(VLOOKUP(B1919, SourceData!$U$3:$V$190, 2, FALSE), "")</f>
        <v/>
      </c>
      <c r="D1919" s="240"/>
      <c r="E1919" s="241"/>
      <c r="F1919" s="248"/>
      <c r="G1919" s="207"/>
      <c r="H1919" s="209"/>
      <c r="I1919" s="209"/>
      <c r="J1919" s="209"/>
      <c r="K1919" s="208" t="str">
        <f>IF(Errors!$I1919=0,SourceData!$B$42,VLOOKUP(Errors!$I1919,SourceData!$A$2:$B$40,2,FALSE))</f>
        <v>Please select ERROR CODE column "I"</v>
      </c>
      <c r="L1919" s="207" t="str">
        <f>IF(Errors!$I1919=0,
    'List of Error Codes'!$E$29,
    IFERROR(VLOOKUP(Errors!$I1919, 'List of Error Codes'!D1918:I1948, 6, FALSE), 'List of Error Codes'!$E$29)
)</f>
        <v>Please select ERROR CODE column "I"</v>
      </c>
      <c r="M1919" s="209"/>
      <c r="N1919" s="209"/>
      <c r="O1919" s="209"/>
      <c r="P1919" s="209"/>
      <c r="Q1919" s="209"/>
      <c r="R1919" s="217"/>
      <c r="S1919" s="217"/>
      <c r="T1919" s="217"/>
      <c r="U1919" s="199"/>
      <c r="V1919" s="200"/>
      <c r="W1919" s="200"/>
      <c r="X1919" s="200"/>
      <c r="Y1919" s="200"/>
      <c r="Z1919" s="200"/>
      <c r="AA1919" s="201"/>
      <c r="AB1919" s="200"/>
      <c r="AC1919" s="200"/>
    </row>
    <row r="1920" ht="15.75" customHeight="1">
      <c r="A1920" s="210">
        <f t="shared" si="1"/>
        <v>1918</v>
      </c>
      <c r="B1920" s="217"/>
      <c r="C1920" s="217" t="str">
        <f>IFERROR(VLOOKUP(B1920, SourceData!$U$3:$V$190, 2, FALSE), "")</f>
        <v/>
      </c>
      <c r="D1920" s="240"/>
      <c r="E1920" s="241"/>
      <c r="F1920" s="248"/>
      <c r="G1920" s="207"/>
      <c r="H1920" s="209"/>
      <c r="I1920" s="209"/>
      <c r="J1920" s="209"/>
      <c r="K1920" s="208" t="str">
        <f>IF(Errors!$I1920=0,SourceData!$B$42,VLOOKUP(Errors!$I1920,SourceData!$A$2:$B$40,2,FALSE))</f>
        <v>Please select ERROR CODE column "I"</v>
      </c>
      <c r="L1920" s="207" t="str">
        <f>IF(Errors!$I1920=0,
    'List of Error Codes'!$E$29,
    IFERROR(VLOOKUP(Errors!$I1920, 'List of Error Codes'!D1919:I1949, 6, FALSE), 'List of Error Codes'!$E$29)
)</f>
        <v>Please select ERROR CODE column "I"</v>
      </c>
      <c r="M1920" s="209"/>
      <c r="N1920" s="209"/>
      <c r="O1920" s="209"/>
      <c r="P1920" s="209"/>
      <c r="Q1920" s="209"/>
      <c r="R1920" s="217"/>
      <c r="S1920" s="217"/>
      <c r="T1920" s="217"/>
      <c r="U1920" s="199"/>
      <c r="V1920" s="200"/>
      <c r="W1920" s="200"/>
      <c r="X1920" s="200"/>
      <c r="Y1920" s="200"/>
      <c r="Z1920" s="200"/>
      <c r="AA1920" s="201"/>
      <c r="AB1920" s="200"/>
      <c r="AC1920" s="200"/>
    </row>
    <row r="1921" ht="15.75" customHeight="1">
      <c r="A1921" s="210">
        <f t="shared" si="1"/>
        <v>1919</v>
      </c>
      <c r="B1921" s="217"/>
      <c r="C1921" s="217" t="str">
        <f>IFERROR(VLOOKUP(B1921, SourceData!$U$3:$V$190, 2, FALSE), "")</f>
        <v/>
      </c>
      <c r="D1921" s="240"/>
      <c r="E1921" s="241"/>
      <c r="F1921" s="248"/>
      <c r="G1921" s="207"/>
      <c r="H1921" s="209"/>
      <c r="I1921" s="209"/>
      <c r="J1921" s="209"/>
      <c r="K1921" s="208" t="str">
        <f>IF(Errors!$I1921=0,SourceData!$B$42,VLOOKUP(Errors!$I1921,SourceData!$A$2:$B$40,2,FALSE))</f>
        <v>Please select ERROR CODE column "I"</v>
      </c>
      <c r="L1921" s="207" t="str">
        <f>IF(Errors!$I1921=0,
    'List of Error Codes'!$E$29,
    IFERROR(VLOOKUP(Errors!$I1921, 'List of Error Codes'!D1920:I1950, 6, FALSE), 'List of Error Codes'!$E$29)
)</f>
        <v>Please select ERROR CODE column "I"</v>
      </c>
      <c r="M1921" s="209"/>
      <c r="N1921" s="209"/>
      <c r="O1921" s="209"/>
      <c r="P1921" s="209"/>
      <c r="Q1921" s="209"/>
      <c r="R1921" s="217"/>
      <c r="S1921" s="217"/>
      <c r="T1921" s="217"/>
      <c r="U1921" s="199"/>
      <c r="V1921" s="200"/>
      <c r="W1921" s="200"/>
      <c r="X1921" s="200"/>
      <c r="Y1921" s="200"/>
      <c r="Z1921" s="200"/>
      <c r="AA1921" s="201"/>
      <c r="AB1921" s="200"/>
      <c r="AC1921" s="200"/>
    </row>
    <row r="1922" ht="15.75" customHeight="1">
      <c r="A1922" s="210">
        <f t="shared" si="1"/>
        <v>1920</v>
      </c>
      <c r="B1922" s="217"/>
      <c r="C1922" s="217" t="str">
        <f>IFERROR(VLOOKUP(B1922, SourceData!$U$3:$V$190, 2, FALSE), "")</f>
        <v/>
      </c>
      <c r="D1922" s="240"/>
      <c r="E1922" s="241"/>
      <c r="F1922" s="248"/>
      <c r="G1922" s="207"/>
      <c r="H1922" s="209"/>
      <c r="I1922" s="209"/>
      <c r="J1922" s="209"/>
      <c r="K1922" s="208" t="str">
        <f>IF(Errors!$I1922=0,SourceData!$B$42,VLOOKUP(Errors!$I1922,SourceData!$A$2:$B$40,2,FALSE))</f>
        <v>Please select ERROR CODE column "I"</v>
      </c>
      <c r="L1922" s="207" t="str">
        <f>IF(Errors!$I1922=0,
    'List of Error Codes'!$E$29,
    IFERROR(VLOOKUP(Errors!$I1922, 'List of Error Codes'!D1921:I1951, 6, FALSE), 'List of Error Codes'!$E$29)
)</f>
        <v>Please select ERROR CODE column "I"</v>
      </c>
      <c r="M1922" s="209"/>
      <c r="N1922" s="209"/>
      <c r="O1922" s="209"/>
      <c r="P1922" s="209"/>
      <c r="Q1922" s="209"/>
      <c r="R1922" s="217"/>
      <c r="S1922" s="217"/>
      <c r="T1922" s="217"/>
      <c r="U1922" s="199"/>
      <c r="V1922" s="200"/>
      <c r="W1922" s="200"/>
      <c r="X1922" s="200"/>
      <c r="Y1922" s="200"/>
      <c r="Z1922" s="200"/>
      <c r="AA1922" s="201"/>
      <c r="AB1922" s="200"/>
      <c r="AC1922" s="200"/>
    </row>
    <row r="1923" ht="15.75" customHeight="1">
      <c r="A1923" s="210">
        <f t="shared" si="1"/>
        <v>1921</v>
      </c>
      <c r="B1923" s="217"/>
      <c r="C1923" s="217" t="str">
        <f>IFERROR(VLOOKUP(B1923, SourceData!$U$3:$V$190, 2, FALSE), "")</f>
        <v/>
      </c>
      <c r="D1923" s="240"/>
      <c r="E1923" s="241"/>
      <c r="F1923" s="248"/>
      <c r="G1923" s="207"/>
      <c r="H1923" s="209"/>
      <c r="I1923" s="209"/>
      <c r="J1923" s="209"/>
      <c r="K1923" s="208" t="str">
        <f>IF(Errors!$I1923=0,SourceData!$B$42,VLOOKUP(Errors!$I1923,SourceData!$A$2:$B$40,2,FALSE))</f>
        <v>Please select ERROR CODE column "I"</v>
      </c>
      <c r="L1923" s="207" t="str">
        <f>IF(Errors!$I1923=0,
    'List of Error Codes'!$E$29,
    IFERROR(VLOOKUP(Errors!$I1923, 'List of Error Codes'!D1922:I1952, 6, FALSE), 'List of Error Codes'!$E$29)
)</f>
        <v>Please select ERROR CODE column "I"</v>
      </c>
      <c r="M1923" s="209"/>
      <c r="N1923" s="209"/>
      <c r="O1923" s="209"/>
      <c r="P1923" s="209"/>
      <c r="Q1923" s="209"/>
      <c r="R1923" s="217"/>
      <c r="S1923" s="217"/>
      <c r="T1923" s="217"/>
      <c r="U1923" s="199"/>
      <c r="V1923" s="200"/>
      <c r="W1923" s="200"/>
      <c r="X1923" s="200"/>
      <c r="Y1923" s="200"/>
      <c r="Z1923" s="200"/>
      <c r="AA1923" s="201"/>
      <c r="AB1923" s="200"/>
      <c r="AC1923" s="200"/>
    </row>
    <row r="1924" ht="15.75" customHeight="1">
      <c r="A1924" s="210">
        <f t="shared" si="1"/>
        <v>1922</v>
      </c>
      <c r="B1924" s="217"/>
      <c r="C1924" s="217" t="str">
        <f>IFERROR(VLOOKUP(B1924, SourceData!$U$3:$V$190, 2, FALSE), "")</f>
        <v/>
      </c>
      <c r="D1924" s="240"/>
      <c r="E1924" s="241"/>
      <c r="F1924" s="248"/>
      <c r="G1924" s="207"/>
      <c r="H1924" s="209"/>
      <c r="I1924" s="209"/>
      <c r="J1924" s="209"/>
      <c r="K1924" s="208" t="str">
        <f>IF(Errors!$I1924=0,SourceData!$B$42,VLOOKUP(Errors!$I1924,SourceData!$A$2:$B$40,2,FALSE))</f>
        <v>Please select ERROR CODE column "I"</v>
      </c>
      <c r="L1924" s="207" t="str">
        <f>IF(Errors!$I1924=0,
    'List of Error Codes'!$E$29,
    IFERROR(VLOOKUP(Errors!$I1924, 'List of Error Codes'!D1923:I1953, 6, FALSE), 'List of Error Codes'!$E$29)
)</f>
        <v>Please select ERROR CODE column "I"</v>
      </c>
      <c r="M1924" s="209"/>
      <c r="N1924" s="209"/>
      <c r="O1924" s="209"/>
      <c r="P1924" s="209"/>
      <c r="Q1924" s="209"/>
      <c r="R1924" s="217"/>
      <c r="S1924" s="217"/>
      <c r="T1924" s="217"/>
      <c r="U1924" s="199"/>
      <c r="V1924" s="200"/>
      <c r="W1924" s="200"/>
      <c r="X1924" s="200"/>
      <c r="Y1924" s="200"/>
      <c r="Z1924" s="200"/>
      <c r="AA1924" s="201"/>
      <c r="AB1924" s="200"/>
      <c r="AC1924" s="200"/>
    </row>
    <row r="1925" ht="15.75" customHeight="1">
      <c r="A1925" s="210">
        <f t="shared" si="1"/>
        <v>1923</v>
      </c>
      <c r="B1925" s="217"/>
      <c r="C1925" s="217" t="str">
        <f>IFERROR(VLOOKUP(B1925, SourceData!$U$3:$V$190, 2, FALSE), "")</f>
        <v/>
      </c>
      <c r="D1925" s="240"/>
      <c r="E1925" s="241"/>
      <c r="F1925" s="248"/>
      <c r="G1925" s="207"/>
      <c r="H1925" s="209"/>
      <c r="I1925" s="209"/>
      <c r="J1925" s="209"/>
      <c r="K1925" s="208" t="str">
        <f>IF(Errors!$I1925=0,SourceData!$B$42,VLOOKUP(Errors!$I1925,SourceData!$A$2:$B$40,2,FALSE))</f>
        <v>Please select ERROR CODE column "I"</v>
      </c>
      <c r="L1925" s="207" t="str">
        <f>IF(Errors!$I1925=0,
    'List of Error Codes'!$E$29,
    IFERROR(VLOOKUP(Errors!$I1925, 'List of Error Codes'!D1924:I1954, 6, FALSE), 'List of Error Codes'!$E$29)
)</f>
        <v>Please select ERROR CODE column "I"</v>
      </c>
      <c r="M1925" s="209"/>
      <c r="N1925" s="209"/>
      <c r="O1925" s="209"/>
      <c r="P1925" s="209"/>
      <c r="Q1925" s="209"/>
      <c r="R1925" s="217"/>
      <c r="S1925" s="217"/>
      <c r="T1925" s="217"/>
      <c r="U1925" s="199"/>
      <c r="V1925" s="200"/>
      <c r="W1925" s="200"/>
      <c r="X1925" s="200"/>
      <c r="Y1925" s="200"/>
      <c r="Z1925" s="200"/>
      <c r="AA1925" s="201"/>
      <c r="AB1925" s="200"/>
      <c r="AC1925" s="200"/>
    </row>
    <row r="1926" ht="15.75" customHeight="1">
      <c r="A1926" s="210">
        <f t="shared" si="1"/>
        <v>1924</v>
      </c>
      <c r="B1926" s="217"/>
      <c r="C1926" s="217" t="str">
        <f>IFERROR(VLOOKUP(B1926, SourceData!$U$3:$V$190, 2, FALSE), "")</f>
        <v/>
      </c>
      <c r="D1926" s="240"/>
      <c r="E1926" s="241"/>
      <c r="F1926" s="248"/>
      <c r="G1926" s="207"/>
      <c r="H1926" s="209"/>
      <c r="I1926" s="209"/>
      <c r="J1926" s="209"/>
      <c r="K1926" s="208" t="str">
        <f>IF(Errors!$I1926=0,SourceData!$B$42,VLOOKUP(Errors!$I1926,SourceData!$A$2:$B$40,2,FALSE))</f>
        <v>Please select ERROR CODE column "I"</v>
      </c>
      <c r="L1926" s="207" t="str">
        <f>IF(Errors!$I1926=0,
    'List of Error Codes'!$E$29,
    IFERROR(VLOOKUP(Errors!$I1926, 'List of Error Codes'!D1925:I1955, 6, FALSE), 'List of Error Codes'!$E$29)
)</f>
        <v>Please select ERROR CODE column "I"</v>
      </c>
      <c r="M1926" s="209"/>
      <c r="N1926" s="209"/>
      <c r="O1926" s="209"/>
      <c r="P1926" s="209"/>
      <c r="Q1926" s="209"/>
      <c r="R1926" s="217"/>
      <c r="S1926" s="217"/>
      <c r="T1926" s="217"/>
      <c r="U1926" s="199"/>
      <c r="V1926" s="200"/>
      <c r="W1926" s="200"/>
      <c r="X1926" s="200"/>
      <c r="Y1926" s="200"/>
      <c r="Z1926" s="200"/>
      <c r="AA1926" s="201"/>
      <c r="AB1926" s="200"/>
      <c r="AC1926" s="200"/>
    </row>
    <row r="1927" ht="15.75" customHeight="1">
      <c r="A1927" s="210">
        <f t="shared" si="1"/>
        <v>1925</v>
      </c>
      <c r="B1927" s="217"/>
      <c r="C1927" s="217" t="str">
        <f>IFERROR(VLOOKUP(B1927, SourceData!$U$3:$V$190, 2, FALSE), "")</f>
        <v/>
      </c>
      <c r="D1927" s="240"/>
      <c r="E1927" s="241"/>
      <c r="F1927" s="248"/>
      <c r="G1927" s="207"/>
      <c r="H1927" s="209"/>
      <c r="I1927" s="209"/>
      <c r="J1927" s="209"/>
      <c r="K1927" s="208" t="str">
        <f>IF(Errors!$I1927=0,SourceData!$B$42,VLOOKUP(Errors!$I1927,SourceData!$A$2:$B$40,2,FALSE))</f>
        <v>Please select ERROR CODE column "I"</v>
      </c>
      <c r="L1927" s="207" t="str">
        <f>IF(Errors!$I1927=0,
    'List of Error Codes'!$E$29,
    IFERROR(VLOOKUP(Errors!$I1927, 'List of Error Codes'!D1926:I1956, 6, FALSE), 'List of Error Codes'!$E$29)
)</f>
        <v>Please select ERROR CODE column "I"</v>
      </c>
      <c r="M1927" s="209"/>
      <c r="N1927" s="209"/>
      <c r="O1927" s="209"/>
      <c r="P1927" s="209"/>
      <c r="Q1927" s="209"/>
      <c r="R1927" s="217"/>
      <c r="S1927" s="217"/>
      <c r="T1927" s="217"/>
      <c r="U1927" s="199"/>
      <c r="V1927" s="200"/>
      <c r="W1927" s="200"/>
      <c r="X1927" s="200"/>
      <c r="Y1927" s="200"/>
      <c r="Z1927" s="200"/>
      <c r="AA1927" s="201"/>
      <c r="AB1927" s="200"/>
      <c r="AC1927" s="200"/>
    </row>
    <row r="1928" ht="15.75" customHeight="1">
      <c r="A1928" s="210">
        <f t="shared" si="1"/>
        <v>1926</v>
      </c>
      <c r="B1928" s="217"/>
      <c r="C1928" s="217" t="str">
        <f>IFERROR(VLOOKUP(B1928, SourceData!$U$3:$V$190, 2, FALSE), "")</f>
        <v/>
      </c>
      <c r="D1928" s="240"/>
      <c r="E1928" s="241"/>
      <c r="F1928" s="248"/>
      <c r="G1928" s="207"/>
      <c r="H1928" s="209"/>
      <c r="I1928" s="209"/>
      <c r="J1928" s="209"/>
      <c r="K1928" s="208" t="str">
        <f>IF(Errors!$I1928=0,SourceData!$B$42,VLOOKUP(Errors!$I1928,SourceData!$A$2:$B$40,2,FALSE))</f>
        <v>Please select ERROR CODE column "I"</v>
      </c>
      <c r="L1928" s="207" t="str">
        <f>IF(Errors!$I1928=0,
    'List of Error Codes'!$E$29,
    IFERROR(VLOOKUP(Errors!$I1928, 'List of Error Codes'!D1927:I1957, 6, FALSE), 'List of Error Codes'!$E$29)
)</f>
        <v>Please select ERROR CODE column "I"</v>
      </c>
      <c r="M1928" s="209"/>
      <c r="N1928" s="209"/>
      <c r="O1928" s="209"/>
      <c r="P1928" s="209"/>
      <c r="Q1928" s="209"/>
      <c r="R1928" s="217"/>
      <c r="S1928" s="217"/>
      <c r="T1928" s="217"/>
      <c r="U1928" s="199"/>
      <c r="V1928" s="200"/>
      <c r="W1928" s="200"/>
      <c r="X1928" s="200"/>
      <c r="Y1928" s="200"/>
      <c r="Z1928" s="200"/>
      <c r="AA1928" s="201"/>
      <c r="AB1928" s="200"/>
      <c r="AC1928" s="200"/>
    </row>
    <row r="1929" ht="15.75" customHeight="1">
      <c r="A1929" s="210">
        <f t="shared" si="1"/>
        <v>1927</v>
      </c>
      <c r="B1929" s="217"/>
      <c r="C1929" s="217" t="str">
        <f>IFERROR(VLOOKUP(B1929, SourceData!$U$3:$V$190, 2, FALSE), "")</f>
        <v/>
      </c>
      <c r="D1929" s="240"/>
      <c r="E1929" s="241"/>
      <c r="F1929" s="248"/>
      <c r="G1929" s="207"/>
      <c r="H1929" s="209"/>
      <c r="I1929" s="209"/>
      <c r="J1929" s="209"/>
      <c r="K1929" s="208" t="str">
        <f>IF(Errors!$I1929=0,SourceData!$B$42,VLOOKUP(Errors!$I1929,SourceData!$A$2:$B$40,2,FALSE))</f>
        <v>Please select ERROR CODE column "I"</v>
      </c>
      <c r="L1929" s="207" t="str">
        <f>IF(Errors!$I1929=0,
    'List of Error Codes'!$E$29,
    IFERROR(VLOOKUP(Errors!$I1929, 'List of Error Codes'!D1928:I1958, 6, FALSE), 'List of Error Codes'!$E$29)
)</f>
        <v>Please select ERROR CODE column "I"</v>
      </c>
      <c r="M1929" s="209"/>
      <c r="N1929" s="209"/>
      <c r="O1929" s="209"/>
      <c r="P1929" s="209"/>
      <c r="Q1929" s="209"/>
      <c r="R1929" s="217"/>
      <c r="S1929" s="217"/>
      <c r="T1929" s="217"/>
      <c r="U1929" s="199"/>
      <c r="V1929" s="200"/>
      <c r="W1929" s="200"/>
      <c r="X1929" s="200"/>
      <c r="Y1929" s="200"/>
      <c r="Z1929" s="200"/>
      <c r="AA1929" s="201"/>
      <c r="AB1929" s="200"/>
      <c r="AC1929" s="200"/>
    </row>
    <row r="1930" ht="15.75" customHeight="1">
      <c r="A1930" s="210">
        <f t="shared" si="1"/>
        <v>1928</v>
      </c>
      <c r="B1930" s="217"/>
      <c r="C1930" s="217" t="str">
        <f>IFERROR(VLOOKUP(B1930, SourceData!$U$3:$V$190, 2, FALSE), "")</f>
        <v/>
      </c>
      <c r="D1930" s="240"/>
      <c r="E1930" s="241"/>
      <c r="F1930" s="248"/>
      <c r="G1930" s="207"/>
      <c r="H1930" s="209"/>
      <c r="I1930" s="209"/>
      <c r="J1930" s="209"/>
      <c r="K1930" s="208" t="str">
        <f>IF(Errors!$I1930=0,SourceData!$B$42,VLOOKUP(Errors!$I1930,SourceData!$A$2:$B$40,2,FALSE))</f>
        <v>Please select ERROR CODE column "I"</v>
      </c>
      <c r="L1930" s="207" t="str">
        <f>IF(Errors!$I1930=0,
    'List of Error Codes'!$E$29,
    IFERROR(VLOOKUP(Errors!$I1930, 'List of Error Codes'!D1929:I1959, 6, FALSE), 'List of Error Codes'!$E$29)
)</f>
        <v>Please select ERROR CODE column "I"</v>
      </c>
      <c r="M1930" s="209"/>
      <c r="N1930" s="209"/>
      <c r="O1930" s="209"/>
      <c r="P1930" s="209"/>
      <c r="Q1930" s="209"/>
      <c r="R1930" s="217"/>
      <c r="S1930" s="217"/>
      <c r="T1930" s="217"/>
      <c r="U1930" s="199"/>
      <c r="V1930" s="200"/>
      <c r="W1930" s="200"/>
      <c r="X1930" s="200"/>
      <c r="Y1930" s="200"/>
      <c r="Z1930" s="200"/>
      <c r="AA1930" s="201"/>
      <c r="AB1930" s="200"/>
      <c r="AC1930" s="200"/>
    </row>
    <row r="1931" ht="15.75" customHeight="1">
      <c r="A1931" s="210">
        <f t="shared" si="1"/>
        <v>1929</v>
      </c>
      <c r="B1931" s="217"/>
      <c r="C1931" s="217" t="str">
        <f>IFERROR(VLOOKUP(B1931, SourceData!$U$3:$V$190, 2, FALSE), "")</f>
        <v/>
      </c>
      <c r="D1931" s="240"/>
      <c r="E1931" s="241"/>
      <c r="F1931" s="248"/>
      <c r="G1931" s="207"/>
      <c r="H1931" s="209"/>
      <c r="I1931" s="209"/>
      <c r="J1931" s="209"/>
      <c r="K1931" s="208" t="str">
        <f>IF(Errors!$I1931=0,SourceData!$B$42,VLOOKUP(Errors!$I1931,SourceData!$A$2:$B$40,2,FALSE))</f>
        <v>Please select ERROR CODE column "I"</v>
      </c>
      <c r="L1931" s="207" t="str">
        <f>IF(Errors!$I1931=0,
    'List of Error Codes'!$E$29,
    IFERROR(VLOOKUP(Errors!$I1931, 'List of Error Codes'!D1930:I1960, 6, FALSE), 'List of Error Codes'!$E$29)
)</f>
        <v>Please select ERROR CODE column "I"</v>
      </c>
      <c r="M1931" s="209"/>
      <c r="N1931" s="209"/>
      <c r="O1931" s="209"/>
      <c r="P1931" s="209"/>
      <c r="Q1931" s="209"/>
      <c r="R1931" s="217"/>
      <c r="S1931" s="217"/>
      <c r="T1931" s="217"/>
      <c r="U1931" s="199"/>
      <c r="V1931" s="200"/>
      <c r="W1931" s="200"/>
      <c r="X1931" s="200"/>
      <c r="Y1931" s="200"/>
      <c r="Z1931" s="200"/>
      <c r="AA1931" s="201"/>
      <c r="AB1931" s="200"/>
      <c r="AC1931" s="200"/>
    </row>
    <row r="1932" ht="15.75" customHeight="1">
      <c r="A1932" s="210">
        <f t="shared" si="1"/>
        <v>1930</v>
      </c>
      <c r="B1932" s="217"/>
      <c r="C1932" s="217" t="str">
        <f>IFERROR(VLOOKUP(B1932, SourceData!$U$3:$V$190, 2, FALSE), "")</f>
        <v/>
      </c>
      <c r="D1932" s="240"/>
      <c r="E1932" s="241"/>
      <c r="F1932" s="248"/>
      <c r="G1932" s="207"/>
      <c r="H1932" s="209"/>
      <c r="I1932" s="209"/>
      <c r="J1932" s="209"/>
      <c r="K1932" s="208" t="str">
        <f>IF(Errors!$I1932=0,SourceData!$B$42,VLOOKUP(Errors!$I1932,SourceData!$A$2:$B$40,2,FALSE))</f>
        <v>Please select ERROR CODE column "I"</v>
      </c>
      <c r="L1932" s="207" t="str">
        <f>IF(Errors!$I1932=0,
    'List of Error Codes'!$E$29,
    IFERROR(VLOOKUP(Errors!$I1932, 'List of Error Codes'!D1931:I1961, 6, FALSE), 'List of Error Codes'!$E$29)
)</f>
        <v>Please select ERROR CODE column "I"</v>
      </c>
      <c r="M1932" s="209"/>
      <c r="N1932" s="209"/>
      <c r="O1932" s="209"/>
      <c r="P1932" s="209"/>
      <c r="Q1932" s="209"/>
      <c r="R1932" s="217"/>
      <c r="S1932" s="217"/>
      <c r="T1932" s="217"/>
      <c r="U1932" s="199"/>
      <c r="V1932" s="200"/>
      <c r="W1932" s="200"/>
      <c r="X1932" s="200"/>
      <c r="Y1932" s="200"/>
      <c r="Z1932" s="200"/>
      <c r="AA1932" s="201"/>
      <c r="AB1932" s="200"/>
      <c r="AC1932" s="200"/>
    </row>
    <row r="1933" ht="15.75" customHeight="1">
      <c r="A1933" s="210">
        <f t="shared" si="1"/>
        <v>1931</v>
      </c>
      <c r="B1933" s="217"/>
      <c r="C1933" s="217" t="str">
        <f>IFERROR(VLOOKUP(B1933, SourceData!$U$3:$V$190, 2, FALSE), "")</f>
        <v/>
      </c>
      <c r="D1933" s="240"/>
      <c r="E1933" s="241"/>
      <c r="F1933" s="248"/>
      <c r="G1933" s="207"/>
      <c r="H1933" s="209"/>
      <c r="I1933" s="209"/>
      <c r="J1933" s="209"/>
      <c r="K1933" s="208" t="str">
        <f>IF(Errors!$I1933=0,SourceData!$B$42,VLOOKUP(Errors!$I1933,SourceData!$A$2:$B$40,2,FALSE))</f>
        <v>Please select ERROR CODE column "I"</v>
      </c>
      <c r="L1933" s="207" t="str">
        <f>IF(Errors!$I1933=0,
    'List of Error Codes'!$E$29,
    IFERROR(VLOOKUP(Errors!$I1933, 'List of Error Codes'!D1932:I1962, 6, FALSE), 'List of Error Codes'!$E$29)
)</f>
        <v>Please select ERROR CODE column "I"</v>
      </c>
      <c r="M1933" s="209"/>
      <c r="N1933" s="209"/>
      <c r="O1933" s="209"/>
      <c r="P1933" s="209"/>
      <c r="Q1933" s="209"/>
      <c r="R1933" s="217"/>
      <c r="S1933" s="217"/>
      <c r="T1933" s="217"/>
      <c r="U1933" s="199"/>
      <c r="V1933" s="200"/>
      <c r="W1933" s="200"/>
      <c r="X1933" s="200"/>
      <c r="Y1933" s="200"/>
      <c r="Z1933" s="200"/>
      <c r="AA1933" s="201"/>
      <c r="AB1933" s="200"/>
      <c r="AC1933" s="200"/>
    </row>
    <row r="1934" ht="15.75" customHeight="1">
      <c r="A1934" s="210">
        <f t="shared" si="1"/>
        <v>1932</v>
      </c>
      <c r="B1934" s="217"/>
      <c r="C1934" s="217" t="str">
        <f>IFERROR(VLOOKUP(B1934, SourceData!$U$3:$V$190, 2, FALSE), "")</f>
        <v/>
      </c>
      <c r="D1934" s="240"/>
      <c r="E1934" s="241"/>
      <c r="F1934" s="248"/>
      <c r="G1934" s="207"/>
      <c r="H1934" s="209"/>
      <c r="I1934" s="209"/>
      <c r="J1934" s="209"/>
      <c r="K1934" s="208" t="str">
        <f>IF(Errors!$I1934=0,SourceData!$B$42,VLOOKUP(Errors!$I1934,SourceData!$A$2:$B$40,2,FALSE))</f>
        <v>Please select ERROR CODE column "I"</v>
      </c>
      <c r="L1934" s="207" t="str">
        <f>IF(Errors!$I1934=0,
    'List of Error Codes'!$E$29,
    IFERROR(VLOOKUP(Errors!$I1934, 'List of Error Codes'!D1933:I1963, 6, FALSE), 'List of Error Codes'!$E$29)
)</f>
        <v>Please select ERROR CODE column "I"</v>
      </c>
      <c r="M1934" s="209"/>
      <c r="N1934" s="209"/>
      <c r="O1934" s="209"/>
      <c r="P1934" s="209"/>
      <c r="Q1934" s="209"/>
      <c r="R1934" s="217"/>
      <c r="S1934" s="217"/>
      <c r="T1934" s="217"/>
      <c r="U1934" s="199"/>
      <c r="V1934" s="200"/>
      <c r="W1934" s="200"/>
      <c r="X1934" s="200"/>
      <c r="Y1934" s="200"/>
      <c r="Z1934" s="200"/>
      <c r="AA1934" s="201"/>
      <c r="AB1934" s="200"/>
      <c r="AC1934" s="200"/>
    </row>
    <row r="1935" ht="15.75" customHeight="1">
      <c r="A1935" s="210">
        <f t="shared" si="1"/>
        <v>1933</v>
      </c>
      <c r="B1935" s="217"/>
      <c r="C1935" s="217" t="str">
        <f>IFERROR(VLOOKUP(B1935, SourceData!$U$3:$V$190, 2, FALSE), "")</f>
        <v/>
      </c>
      <c r="D1935" s="240"/>
      <c r="E1935" s="241"/>
      <c r="F1935" s="248"/>
      <c r="G1935" s="207"/>
      <c r="H1935" s="209"/>
      <c r="I1935" s="209"/>
      <c r="J1935" s="209"/>
      <c r="K1935" s="208" t="str">
        <f>IF(Errors!$I1935=0,SourceData!$B$42,VLOOKUP(Errors!$I1935,SourceData!$A$2:$B$40,2,FALSE))</f>
        <v>Please select ERROR CODE column "I"</v>
      </c>
      <c r="L1935" s="207" t="str">
        <f>IF(Errors!$I1935=0,
    'List of Error Codes'!$E$29,
    IFERROR(VLOOKUP(Errors!$I1935, 'List of Error Codes'!D1934:I1964, 6, FALSE), 'List of Error Codes'!$E$29)
)</f>
        <v>Please select ERROR CODE column "I"</v>
      </c>
      <c r="M1935" s="209"/>
      <c r="N1935" s="209"/>
      <c r="O1935" s="209"/>
      <c r="P1935" s="209"/>
      <c r="Q1935" s="209"/>
      <c r="R1935" s="217"/>
      <c r="S1935" s="217"/>
      <c r="T1935" s="217"/>
      <c r="U1935" s="199"/>
      <c r="V1935" s="200"/>
      <c r="W1935" s="200"/>
      <c r="X1935" s="200"/>
      <c r="Y1935" s="200"/>
      <c r="Z1935" s="200"/>
      <c r="AA1935" s="201"/>
      <c r="AB1935" s="200"/>
      <c r="AC1935" s="200"/>
    </row>
    <row r="1936" ht="15.75" customHeight="1">
      <c r="A1936" s="210">
        <f t="shared" si="1"/>
        <v>1934</v>
      </c>
      <c r="B1936" s="217"/>
      <c r="C1936" s="217" t="str">
        <f>IFERROR(VLOOKUP(B1936, SourceData!$U$3:$V$190, 2, FALSE), "")</f>
        <v/>
      </c>
      <c r="D1936" s="240"/>
      <c r="E1936" s="241"/>
      <c r="F1936" s="248"/>
      <c r="G1936" s="207"/>
      <c r="H1936" s="209"/>
      <c r="I1936" s="209"/>
      <c r="J1936" s="209"/>
      <c r="K1936" s="208" t="str">
        <f>IF(Errors!$I1936=0,SourceData!$B$42,VLOOKUP(Errors!$I1936,SourceData!$A$2:$B$40,2,FALSE))</f>
        <v>Please select ERROR CODE column "I"</v>
      </c>
      <c r="L1936" s="207" t="str">
        <f>IF(Errors!$I1936=0,
    'List of Error Codes'!$E$29,
    IFERROR(VLOOKUP(Errors!$I1936, 'List of Error Codes'!D1935:I1965, 6, FALSE), 'List of Error Codes'!$E$29)
)</f>
        <v>Please select ERROR CODE column "I"</v>
      </c>
      <c r="M1936" s="209"/>
      <c r="N1936" s="209"/>
      <c r="O1936" s="209"/>
      <c r="P1936" s="209"/>
      <c r="Q1936" s="209"/>
      <c r="R1936" s="217"/>
      <c r="S1936" s="217"/>
      <c r="T1936" s="217"/>
      <c r="U1936" s="199"/>
      <c r="V1936" s="200"/>
      <c r="W1936" s="200"/>
      <c r="X1936" s="200"/>
      <c r="Y1936" s="200"/>
      <c r="Z1936" s="200"/>
      <c r="AA1936" s="201"/>
      <c r="AB1936" s="200"/>
      <c r="AC1936" s="200"/>
    </row>
    <row r="1937" ht="15.75" customHeight="1">
      <c r="A1937" s="210">
        <f t="shared" si="1"/>
        <v>1935</v>
      </c>
      <c r="B1937" s="217"/>
      <c r="C1937" s="217" t="str">
        <f>IFERROR(VLOOKUP(B1937, SourceData!$U$3:$V$190, 2, FALSE), "")</f>
        <v/>
      </c>
      <c r="D1937" s="240"/>
      <c r="E1937" s="241"/>
      <c r="F1937" s="248"/>
      <c r="G1937" s="207"/>
      <c r="H1937" s="209"/>
      <c r="I1937" s="209"/>
      <c r="J1937" s="209"/>
      <c r="K1937" s="208" t="str">
        <f>IF(Errors!$I1937=0,SourceData!$B$42,VLOOKUP(Errors!$I1937,SourceData!$A$2:$B$40,2,FALSE))</f>
        <v>Please select ERROR CODE column "I"</v>
      </c>
      <c r="L1937" s="207" t="str">
        <f>IF(Errors!$I1937=0,
    'List of Error Codes'!$E$29,
    IFERROR(VLOOKUP(Errors!$I1937, 'List of Error Codes'!D1936:I1966, 6, FALSE), 'List of Error Codes'!$E$29)
)</f>
        <v>Please select ERROR CODE column "I"</v>
      </c>
      <c r="M1937" s="209"/>
      <c r="N1937" s="209"/>
      <c r="O1937" s="209"/>
      <c r="P1937" s="209"/>
      <c r="Q1937" s="209"/>
      <c r="R1937" s="217"/>
      <c r="S1937" s="217"/>
      <c r="T1937" s="217"/>
      <c r="U1937" s="199"/>
      <c r="V1937" s="200"/>
      <c r="W1937" s="200"/>
      <c r="X1937" s="200"/>
      <c r="Y1937" s="200"/>
      <c r="Z1937" s="200"/>
      <c r="AA1937" s="201"/>
      <c r="AB1937" s="200"/>
      <c r="AC1937" s="200"/>
    </row>
    <row r="1938" ht="15.75" customHeight="1">
      <c r="A1938" s="210">
        <f t="shared" si="1"/>
        <v>1936</v>
      </c>
      <c r="B1938" s="217"/>
      <c r="C1938" s="217" t="str">
        <f>IFERROR(VLOOKUP(B1938, SourceData!$U$3:$V$190, 2, FALSE), "")</f>
        <v/>
      </c>
      <c r="D1938" s="240"/>
      <c r="E1938" s="241"/>
      <c r="F1938" s="248"/>
      <c r="G1938" s="207"/>
      <c r="H1938" s="209"/>
      <c r="I1938" s="209"/>
      <c r="J1938" s="209"/>
      <c r="K1938" s="208" t="str">
        <f>IF(Errors!$I1938=0,SourceData!$B$42,VLOOKUP(Errors!$I1938,SourceData!$A$2:$B$40,2,FALSE))</f>
        <v>Please select ERROR CODE column "I"</v>
      </c>
      <c r="L1938" s="207" t="str">
        <f>IF(Errors!$I1938=0,
    'List of Error Codes'!$E$29,
    IFERROR(VLOOKUP(Errors!$I1938, 'List of Error Codes'!D1937:I1967, 6, FALSE), 'List of Error Codes'!$E$29)
)</f>
        <v>Please select ERROR CODE column "I"</v>
      </c>
      <c r="M1938" s="209"/>
      <c r="N1938" s="209"/>
      <c r="O1938" s="209"/>
      <c r="P1938" s="209"/>
      <c r="Q1938" s="209"/>
      <c r="R1938" s="217"/>
      <c r="S1938" s="217"/>
      <c r="T1938" s="217"/>
      <c r="U1938" s="199"/>
      <c r="V1938" s="200"/>
      <c r="W1938" s="200"/>
      <c r="X1938" s="200"/>
      <c r="Y1938" s="200"/>
      <c r="Z1938" s="200"/>
      <c r="AA1938" s="201"/>
      <c r="AB1938" s="200"/>
      <c r="AC1938" s="200"/>
    </row>
    <row r="1939" ht="15.75" customHeight="1">
      <c r="A1939" s="210">
        <f t="shared" si="1"/>
        <v>1937</v>
      </c>
      <c r="B1939" s="217"/>
      <c r="C1939" s="217" t="str">
        <f>IFERROR(VLOOKUP(B1939, SourceData!$U$3:$V$190, 2, FALSE), "")</f>
        <v/>
      </c>
      <c r="D1939" s="240"/>
      <c r="E1939" s="241"/>
      <c r="F1939" s="248"/>
      <c r="G1939" s="207"/>
      <c r="H1939" s="209"/>
      <c r="I1939" s="209"/>
      <c r="J1939" s="209"/>
      <c r="K1939" s="208" t="str">
        <f>IF(Errors!$I1939=0,SourceData!$B$42,VLOOKUP(Errors!$I1939,SourceData!$A$2:$B$40,2,FALSE))</f>
        <v>Please select ERROR CODE column "I"</v>
      </c>
      <c r="L1939" s="207" t="str">
        <f>IF(Errors!$I1939=0,
    'List of Error Codes'!$E$29,
    IFERROR(VLOOKUP(Errors!$I1939, 'List of Error Codes'!D1938:I1968, 6, FALSE), 'List of Error Codes'!$E$29)
)</f>
        <v>Please select ERROR CODE column "I"</v>
      </c>
      <c r="M1939" s="209"/>
      <c r="N1939" s="209"/>
      <c r="O1939" s="209"/>
      <c r="P1939" s="209"/>
      <c r="Q1939" s="209"/>
      <c r="R1939" s="217"/>
      <c r="S1939" s="217"/>
      <c r="T1939" s="217"/>
      <c r="U1939" s="199"/>
      <c r="V1939" s="200"/>
      <c r="W1939" s="200"/>
      <c r="X1939" s="200"/>
      <c r="Y1939" s="200"/>
      <c r="Z1939" s="200"/>
      <c r="AA1939" s="201"/>
      <c r="AB1939" s="200"/>
      <c r="AC1939" s="200"/>
    </row>
    <row r="1940" ht="15.75" customHeight="1">
      <c r="A1940" s="210">
        <f t="shared" si="1"/>
        <v>1938</v>
      </c>
      <c r="B1940" s="217"/>
      <c r="C1940" s="217" t="str">
        <f>IFERROR(VLOOKUP(B1940, SourceData!$U$3:$V$190, 2, FALSE), "")</f>
        <v/>
      </c>
      <c r="D1940" s="240"/>
      <c r="E1940" s="241"/>
      <c r="F1940" s="248"/>
      <c r="G1940" s="207"/>
      <c r="H1940" s="209"/>
      <c r="I1940" s="209"/>
      <c r="J1940" s="209"/>
      <c r="K1940" s="208" t="str">
        <f>IF(Errors!$I1940=0,SourceData!$B$42,VLOOKUP(Errors!$I1940,SourceData!$A$2:$B$40,2,FALSE))</f>
        <v>Please select ERROR CODE column "I"</v>
      </c>
      <c r="L1940" s="207" t="str">
        <f>IF(Errors!$I1940=0,
    'List of Error Codes'!$E$29,
    IFERROR(VLOOKUP(Errors!$I1940, 'List of Error Codes'!D1939:I1969, 6, FALSE), 'List of Error Codes'!$E$29)
)</f>
        <v>Please select ERROR CODE column "I"</v>
      </c>
      <c r="M1940" s="209"/>
      <c r="N1940" s="209"/>
      <c r="O1940" s="209"/>
      <c r="P1940" s="209"/>
      <c r="Q1940" s="209"/>
      <c r="R1940" s="217"/>
      <c r="S1940" s="217"/>
      <c r="T1940" s="217"/>
      <c r="U1940" s="199"/>
      <c r="V1940" s="200"/>
      <c r="W1940" s="200"/>
      <c r="X1940" s="200"/>
      <c r="Y1940" s="200"/>
      <c r="Z1940" s="200"/>
      <c r="AA1940" s="201"/>
      <c r="AB1940" s="200"/>
      <c r="AC1940" s="200"/>
    </row>
    <row r="1941" ht="15.75" customHeight="1">
      <c r="A1941" s="210">
        <f t="shared" si="1"/>
        <v>1939</v>
      </c>
      <c r="B1941" s="217"/>
      <c r="C1941" s="217" t="str">
        <f>IFERROR(VLOOKUP(B1941, SourceData!$U$3:$V$190, 2, FALSE), "")</f>
        <v/>
      </c>
      <c r="D1941" s="240"/>
      <c r="E1941" s="241"/>
      <c r="F1941" s="248"/>
      <c r="G1941" s="207"/>
      <c r="H1941" s="209"/>
      <c r="I1941" s="209"/>
      <c r="J1941" s="209"/>
      <c r="K1941" s="208" t="str">
        <f>IF(Errors!$I1941=0,SourceData!$B$42,VLOOKUP(Errors!$I1941,SourceData!$A$2:$B$40,2,FALSE))</f>
        <v>Please select ERROR CODE column "I"</v>
      </c>
      <c r="L1941" s="207" t="str">
        <f>IF(Errors!$I1941=0,
    'List of Error Codes'!$E$29,
    IFERROR(VLOOKUP(Errors!$I1941, 'List of Error Codes'!D1940:I1970, 6, FALSE), 'List of Error Codes'!$E$29)
)</f>
        <v>Please select ERROR CODE column "I"</v>
      </c>
      <c r="M1941" s="209"/>
      <c r="N1941" s="209"/>
      <c r="O1941" s="209"/>
      <c r="P1941" s="209"/>
      <c r="Q1941" s="209"/>
      <c r="R1941" s="217"/>
      <c r="S1941" s="217"/>
      <c r="T1941" s="217"/>
      <c r="U1941" s="199"/>
      <c r="V1941" s="200"/>
      <c r="W1941" s="200"/>
      <c r="X1941" s="200"/>
      <c r="Y1941" s="200"/>
      <c r="Z1941" s="200"/>
      <c r="AA1941" s="201"/>
      <c r="AB1941" s="200"/>
      <c r="AC1941" s="200"/>
    </row>
    <row r="1942" ht="15.75" customHeight="1">
      <c r="A1942" s="210">
        <f t="shared" si="1"/>
        <v>1940</v>
      </c>
      <c r="B1942" s="217"/>
      <c r="C1942" s="217" t="str">
        <f>IFERROR(VLOOKUP(B1942, SourceData!$U$3:$V$190, 2, FALSE), "")</f>
        <v/>
      </c>
      <c r="D1942" s="240"/>
      <c r="E1942" s="241"/>
      <c r="F1942" s="248"/>
      <c r="G1942" s="207"/>
      <c r="H1942" s="209"/>
      <c r="I1942" s="209"/>
      <c r="J1942" s="209"/>
      <c r="K1942" s="208" t="str">
        <f>IF(Errors!$I1942=0,SourceData!$B$42,VLOOKUP(Errors!$I1942,SourceData!$A$2:$B$40,2,FALSE))</f>
        <v>Please select ERROR CODE column "I"</v>
      </c>
      <c r="L1942" s="207" t="str">
        <f>IF(Errors!$I1942=0,
    'List of Error Codes'!$E$29,
    IFERROR(VLOOKUP(Errors!$I1942, 'List of Error Codes'!D1941:I1971, 6, FALSE), 'List of Error Codes'!$E$29)
)</f>
        <v>Please select ERROR CODE column "I"</v>
      </c>
      <c r="M1942" s="209"/>
      <c r="N1942" s="209"/>
      <c r="O1942" s="209"/>
      <c r="P1942" s="209"/>
      <c r="Q1942" s="209"/>
      <c r="R1942" s="217"/>
      <c r="S1942" s="217"/>
      <c r="T1942" s="217"/>
      <c r="U1942" s="199"/>
      <c r="V1942" s="200"/>
      <c r="W1942" s="200"/>
      <c r="X1942" s="200"/>
      <c r="Y1942" s="200"/>
      <c r="Z1942" s="200"/>
      <c r="AA1942" s="201"/>
      <c r="AB1942" s="200"/>
      <c r="AC1942" s="200"/>
    </row>
    <row r="1943" ht="15.75" customHeight="1">
      <c r="A1943" s="210">
        <f t="shared" si="1"/>
        <v>1941</v>
      </c>
      <c r="B1943" s="217"/>
      <c r="C1943" s="217" t="str">
        <f>IFERROR(VLOOKUP(B1943, SourceData!$U$3:$V$190, 2, FALSE), "")</f>
        <v/>
      </c>
      <c r="D1943" s="240"/>
      <c r="E1943" s="241"/>
      <c r="F1943" s="248"/>
      <c r="G1943" s="207"/>
      <c r="H1943" s="209"/>
      <c r="I1943" s="209"/>
      <c r="J1943" s="209"/>
      <c r="K1943" s="208" t="str">
        <f>IF(Errors!$I1943=0,SourceData!$B$42,VLOOKUP(Errors!$I1943,SourceData!$A$2:$B$40,2,FALSE))</f>
        <v>Please select ERROR CODE column "I"</v>
      </c>
      <c r="L1943" s="207" t="str">
        <f>IF(Errors!$I1943=0,
    'List of Error Codes'!$E$29,
    IFERROR(VLOOKUP(Errors!$I1943, 'List of Error Codes'!D1942:I1972, 6, FALSE), 'List of Error Codes'!$E$29)
)</f>
        <v>Please select ERROR CODE column "I"</v>
      </c>
      <c r="M1943" s="209"/>
      <c r="N1943" s="209"/>
      <c r="O1943" s="209"/>
      <c r="P1943" s="209"/>
      <c r="Q1943" s="209"/>
      <c r="R1943" s="217"/>
      <c r="S1943" s="217"/>
      <c r="T1943" s="217"/>
      <c r="U1943" s="199"/>
      <c r="V1943" s="200"/>
      <c r="W1943" s="200"/>
      <c r="X1943" s="200"/>
      <c r="Y1943" s="200"/>
      <c r="Z1943" s="200"/>
      <c r="AA1943" s="201"/>
      <c r="AB1943" s="200"/>
      <c r="AC1943" s="200"/>
    </row>
    <row r="1944" ht="15.75" customHeight="1">
      <c r="A1944" s="210">
        <f t="shared" si="1"/>
        <v>1942</v>
      </c>
      <c r="B1944" s="217"/>
      <c r="C1944" s="217" t="str">
        <f>IFERROR(VLOOKUP(B1944, SourceData!$U$3:$V$190, 2, FALSE), "")</f>
        <v/>
      </c>
      <c r="D1944" s="240"/>
      <c r="E1944" s="241"/>
      <c r="F1944" s="248"/>
      <c r="G1944" s="207"/>
      <c r="H1944" s="209"/>
      <c r="I1944" s="209"/>
      <c r="J1944" s="209"/>
      <c r="K1944" s="208" t="str">
        <f>IF(Errors!$I1944=0,SourceData!$B$42,VLOOKUP(Errors!$I1944,SourceData!$A$2:$B$40,2,FALSE))</f>
        <v>Please select ERROR CODE column "I"</v>
      </c>
      <c r="L1944" s="207" t="str">
        <f>IF(Errors!$I1944=0,
    'List of Error Codes'!$E$29,
    IFERROR(VLOOKUP(Errors!$I1944, 'List of Error Codes'!D1943:I1973, 6, FALSE), 'List of Error Codes'!$E$29)
)</f>
        <v>Please select ERROR CODE column "I"</v>
      </c>
      <c r="M1944" s="209"/>
      <c r="N1944" s="209"/>
      <c r="O1944" s="209"/>
      <c r="P1944" s="209"/>
      <c r="Q1944" s="209"/>
      <c r="R1944" s="217"/>
      <c r="S1944" s="217"/>
      <c r="T1944" s="217"/>
      <c r="U1944" s="199"/>
      <c r="V1944" s="200"/>
      <c r="W1944" s="200"/>
      <c r="X1944" s="200"/>
      <c r="Y1944" s="200"/>
      <c r="Z1944" s="200"/>
      <c r="AA1944" s="201"/>
      <c r="AB1944" s="200"/>
      <c r="AC1944" s="200"/>
    </row>
    <row r="1945" ht="15.75" customHeight="1">
      <c r="A1945" s="210">
        <f t="shared" si="1"/>
        <v>1943</v>
      </c>
      <c r="B1945" s="217"/>
      <c r="C1945" s="217" t="str">
        <f>IFERROR(VLOOKUP(B1945, SourceData!$U$3:$V$190, 2, FALSE), "")</f>
        <v/>
      </c>
      <c r="D1945" s="240"/>
      <c r="E1945" s="241"/>
      <c r="F1945" s="248"/>
      <c r="G1945" s="207"/>
      <c r="H1945" s="209"/>
      <c r="I1945" s="209"/>
      <c r="J1945" s="209"/>
      <c r="K1945" s="208" t="str">
        <f>IF(Errors!$I1945=0,SourceData!$B$42,VLOOKUP(Errors!$I1945,SourceData!$A$2:$B$40,2,FALSE))</f>
        <v>Please select ERROR CODE column "I"</v>
      </c>
      <c r="L1945" s="207" t="str">
        <f>IF(Errors!$I1945=0,
    'List of Error Codes'!$E$29,
    IFERROR(VLOOKUP(Errors!$I1945, 'List of Error Codes'!D1944:I1974, 6, FALSE), 'List of Error Codes'!$E$29)
)</f>
        <v>Please select ERROR CODE column "I"</v>
      </c>
      <c r="M1945" s="209"/>
      <c r="N1945" s="209"/>
      <c r="O1945" s="209"/>
      <c r="P1945" s="209"/>
      <c r="Q1945" s="209"/>
      <c r="R1945" s="217"/>
      <c r="S1945" s="217"/>
      <c r="T1945" s="217"/>
      <c r="U1945" s="199"/>
      <c r="V1945" s="200"/>
      <c r="W1945" s="200"/>
      <c r="X1945" s="200"/>
      <c r="Y1945" s="200"/>
      <c r="Z1945" s="200"/>
      <c r="AA1945" s="201"/>
      <c r="AB1945" s="200"/>
      <c r="AC1945" s="200"/>
    </row>
    <row r="1946" ht="15.75" customHeight="1">
      <c r="A1946" s="210">
        <f t="shared" si="1"/>
        <v>1944</v>
      </c>
      <c r="B1946" s="217"/>
      <c r="C1946" s="217" t="str">
        <f>IFERROR(VLOOKUP(B1946, SourceData!$U$3:$V$190, 2, FALSE), "")</f>
        <v/>
      </c>
      <c r="D1946" s="240"/>
      <c r="E1946" s="241"/>
      <c r="F1946" s="248"/>
      <c r="G1946" s="207"/>
      <c r="H1946" s="209"/>
      <c r="I1946" s="209"/>
      <c r="J1946" s="209"/>
      <c r="K1946" s="208" t="str">
        <f>IF(Errors!$I1946=0,SourceData!$B$42,VLOOKUP(Errors!$I1946,SourceData!$A$2:$B$40,2,FALSE))</f>
        <v>Please select ERROR CODE column "I"</v>
      </c>
      <c r="L1946" s="207" t="str">
        <f>IF(Errors!$I1946=0,
    'List of Error Codes'!$E$29,
    IFERROR(VLOOKUP(Errors!$I1946, 'List of Error Codes'!D1945:I1975, 6, FALSE), 'List of Error Codes'!$E$29)
)</f>
        <v>Please select ERROR CODE column "I"</v>
      </c>
      <c r="M1946" s="209"/>
      <c r="N1946" s="209"/>
      <c r="O1946" s="209"/>
      <c r="P1946" s="209"/>
      <c r="Q1946" s="209"/>
      <c r="R1946" s="217"/>
      <c r="S1946" s="217"/>
      <c r="T1946" s="217"/>
      <c r="U1946" s="199"/>
      <c r="V1946" s="200"/>
      <c r="W1946" s="200"/>
      <c r="X1946" s="200"/>
      <c r="Y1946" s="200"/>
      <c r="Z1946" s="200"/>
      <c r="AA1946" s="201"/>
      <c r="AB1946" s="200"/>
      <c r="AC1946" s="200"/>
    </row>
    <row r="1947" ht="15.75" customHeight="1">
      <c r="A1947" s="210">
        <f t="shared" si="1"/>
        <v>1945</v>
      </c>
      <c r="B1947" s="217"/>
      <c r="C1947" s="217" t="str">
        <f>IFERROR(VLOOKUP(B1947, SourceData!$U$3:$V$190, 2, FALSE), "")</f>
        <v/>
      </c>
      <c r="D1947" s="240"/>
      <c r="E1947" s="241"/>
      <c r="F1947" s="248"/>
      <c r="G1947" s="207"/>
      <c r="H1947" s="209"/>
      <c r="I1947" s="209"/>
      <c r="J1947" s="209"/>
      <c r="K1947" s="208" t="str">
        <f>IF(Errors!$I1947=0,SourceData!$B$42,VLOOKUP(Errors!$I1947,SourceData!$A$2:$B$40,2,FALSE))</f>
        <v>Please select ERROR CODE column "I"</v>
      </c>
      <c r="L1947" s="207" t="str">
        <f>IF(Errors!$I1947=0,
    'List of Error Codes'!$E$29,
    IFERROR(VLOOKUP(Errors!$I1947, 'List of Error Codes'!D1946:I1976, 6, FALSE), 'List of Error Codes'!$E$29)
)</f>
        <v>Please select ERROR CODE column "I"</v>
      </c>
      <c r="M1947" s="209"/>
      <c r="N1947" s="209"/>
      <c r="O1947" s="209"/>
      <c r="P1947" s="209"/>
      <c r="Q1947" s="209"/>
      <c r="R1947" s="217"/>
      <c r="S1947" s="217"/>
      <c r="T1947" s="217"/>
      <c r="U1947" s="199"/>
      <c r="V1947" s="200"/>
      <c r="W1947" s="200"/>
      <c r="X1947" s="200"/>
      <c r="Y1947" s="200"/>
      <c r="Z1947" s="200"/>
      <c r="AA1947" s="201"/>
      <c r="AB1947" s="200"/>
      <c r="AC1947" s="200"/>
    </row>
    <row r="1948" ht="15.75" customHeight="1">
      <c r="A1948" s="210">
        <f t="shared" si="1"/>
        <v>1946</v>
      </c>
      <c r="B1948" s="217"/>
      <c r="C1948" s="217" t="str">
        <f>IFERROR(VLOOKUP(B1948, SourceData!$U$3:$V$190, 2, FALSE), "")</f>
        <v/>
      </c>
      <c r="D1948" s="240"/>
      <c r="E1948" s="241"/>
      <c r="F1948" s="248"/>
      <c r="G1948" s="207"/>
      <c r="H1948" s="209"/>
      <c r="I1948" s="209"/>
      <c r="J1948" s="209"/>
      <c r="K1948" s="208" t="str">
        <f>IF(Errors!$I1948=0,SourceData!$B$42,VLOOKUP(Errors!$I1948,SourceData!$A$2:$B$40,2,FALSE))</f>
        <v>Please select ERROR CODE column "I"</v>
      </c>
      <c r="L1948" s="207" t="str">
        <f>IF(Errors!$I1948=0,
    'List of Error Codes'!$E$29,
    IFERROR(VLOOKUP(Errors!$I1948, 'List of Error Codes'!D1947:I1977, 6, FALSE), 'List of Error Codes'!$E$29)
)</f>
        <v>Please select ERROR CODE column "I"</v>
      </c>
      <c r="M1948" s="209"/>
      <c r="N1948" s="209"/>
      <c r="O1948" s="209"/>
      <c r="P1948" s="209"/>
      <c r="Q1948" s="209"/>
      <c r="R1948" s="217"/>
      <c r="S1948" s="217"/>
      <c r="T1948" s="217"/>
      <c r="U1948" s="199"/>
      <c r="V1948" s="200"/>
      <c r="W1948" s="200"/>
      <c r="X1948" s="200"/>
      <c r="Y1948" s="200"/>
      <c r="Z1948" s="200"/>
      <c r="AA1948" s="201"/>
      <c r="AB1948" s="200"/>
      <c r="AC1948" s="200"/>
    </row>
    <row r="1949" ht="15.75" customHeight="1">
      <c r="A1949" s="210">
        <f t="shared" si="1"/>
        <v>1947</v>
      </c>
      <c r="B1949" s="217"/>
      <c r="C1949" s="217" t="str">
        <f>IFERROR(VLOOKUP(B1949, SourceData!$U$3:$V$190, 2, FALSE), "")</f>
        <v/>
      </c>
      <c r="D1949" s="240"/>
      <c r="E1949" s="241"/>
      <c r="F1949" s="248"/>
      <c r="G1949" s="207"/>
      <c r="H1949" s="209"/>
      <c r="I1949" s="209"/>
      <c r="J1949" s="209"/>
      <c r="K1949" s="208" t="str">
        <f>IF(Errors!$I1949=0,SourceData!$B$42,VLOOKUP(Errors!$I1949,SourceData!$A$2:$B$40,2,FALSE))</f>
        <v>Please select ERROR CODE column "I"</v>
      </c>
      <c r="L1949" s="207" t="str">
        <f>IF(Errors!$I1949=0,
    'List of Error Codes'!$E$29,
    IFERROR(VLOOKUP(Errors!$I1949, 'List of Error Codes'!D1948:I1978, 6, FALSE), 'List of Error Codes'!$E$29)
)</f>
        <v>Please select ERROR CODE column "I"</v>
      </c>
      <c r="M1949" s="209"/>
      <c r="N1949" s="209"/>
      <c r="O1949" s="209"/>
      <c r="P1949" s="209"/>
      <c r="Q1949" s="209"/>
      <c r="R1949" s="217"/>
      <c r="S1949" s="217"/>
      <c r="T1949" s="217"/>
      <c r="U1949" s="199"/>
      <c r="V1949" s="200"/>
      <c r="W1949" s="200"/>
      <c r="X1949" s="200"/>
      <c r="Y1949" s="200"/>
      <c r="Z1949" s="200"/>
      <c r="AA1949" s="201"/>
      <c r="AB1949" s="200"/>
      <c r="AC1949" s="200"/>
    </row>
    <row r="1950" ht="15.75" customHeight="1">
      <c r="A1950" s="210">
        <f t="shared" si="1"/>
        <v>1948</v>
      </c>
      <c r="B1950" s="217"/>
      <c r="C1950" s="217" t="str">
        <f>IFERROR(VLOOKUP(B1950, SourceData!$U$3:$V$190, 2, FALSE), "")</f>
        <v/>
      </c>
      <c r="D1950" s="240"/>
      <c r="E1950" s="241"/>
      <c r="F1950" s="248"/>
      <c r="G1950" s="207"/>
      <c r="H1950" s="209"/>
      <c r="I1950" s="209"/>
      <c r="J1950" s="209"/>
      <c r="K1950" s="208" t="str">
        <f>IF(Errors!$I1950=0,SourceData!$B$42,VLOOKUP(Errors!$I1950,SourceData!$A$2:$B$40,2,FALSE))</f>
        <v>Please select ERROR CODE column "I"</v>
      </c>
      <c r="L1950" s="207" t="str">
        <f>IF(Errors!$I1950=0,
    'List of Error Codes'!$E$29,
    IFERROR(VLOOKUP(Errors!$I1950, 'List of Error Codes'!D1949:I1979, 6, FALSE), 'List of Error Codes'!$E$29)
)</f>
        <v>Please select ERROR CODE column "I"</v>
      </c>
      <c r="M1950" s="209"/>
      <c r="N1950" s="209"/>
      <c r="O1950" s="209"/>
      <c r="P1950" s="209"/>
      <c r="Q1950" s="209"/>
      <c r="R1950" s="217"/>
      <c r="S1950" s="217"/>
      <c r="T1950" s="217"/>
      <c r="U1950" s="199"/>
      <c r="V1950" s="200"/>
      <c r="W1950" s="200"/>
      <c r="X1950" s="200"/>
      <c r="Y1950" s="200"/>
      <c r="Z1950" s="200"/>
      <c r="AA1950" s="201"/>
      <c r="AB1950" s="200"/>
      <c r="AC1950" s="200"/>
    </row>
    <row r="1951" ht="15.75" customHeight="1">
      <c r="A1951" s="210">
        <f t="shared" si="1"/>
        <v>1949</v>
      </c>
      <c r="B1951" s="217"/>
      <c r="C1951" s="217" t="str">
        <f>IFERROR(VLOOKUP(B1951, SourceData!$U$3:$V$190, 2, FALSE), "")</f>
        <v/>
      </c>
      <c r="D1951" s="240"/>
      <c r="E1951" s="241"/>
      <c r="F1951" s="248"/>
      <c r="G1951" s="207"/>
      <c r="H1951" s="209"/>
      <c r="I1951" s="209"/>
      <c r="J1951" s="209"/>
      <c r="K1951" s="208" t="str">
        <f>IF(Errors!$I1951=0,SourceData!$B$42,VLOOKUP(Errors!$I1951,SourceData!$A$2:$B$40,2,FALSE))</f>
        <v>Please select ERROR CODE column "I"</v>
      </c>
      <c r="L1951" s="207" t="str">
        <f>IF(Errors!$I1951=0,
    'List of Error Codes'!$E$29,
    IFERROR(VLOOKUP(Errors!$I1951, 'List of Error Codes'!D1950:I1980, 6, FALSE), 'List of Error Codes'!$E$29)
)</f>
        <v>Please select ERROR CODE column "I"</v>
      </c>
      <c r="M1951" s="209"/>
      <c r="N1951" s="209"/>
      <c r="O1951" s="209"/>
      <c r="P1951" s="209"/>
      <c r="Q1951" s="209"/>
      <c r="R1951" s="217"/>
      <c r="S1951" s="217"/>
      <c r="T1951" s="217"/>
      <c r="U1951" s="199"/>
      <c r="V1951" s="200"/>
      <c r="W1951" s="200"/>
      <c r="X1951" s="200"/>
      <c r="Y1951" s="200"/>
      <c r="Z1951" s="200"/>
      <c r="AA1951" s="201"/>
      <c r="AB1951" s="200"/>
      <c r="AC1951" s="200"/>
    </row>
    <row r="1952" ht="15.75" customHeight="1">
      <c r="A1952" s="210">
        <f t="shared" si="1"/>
        <v>1950</v>
      </c>
      <c r="B1952" s="217"/>
      <c r="C1952" s="217" t="str">
        <f>IFERROR(VLOOKUP(B1952, SourceData!$U$3:$V$190, 2, FALSE), "")</f>
        <v/>
      </c>
      <c r="D1952" s="240"/>
      <c r="E1952" s="241"/>
      <c r="F1952" s="248"/>
      <c r="G1952" s="207"/>
      <c r="H1952" s="209"/>
      <c r="I1952" s="209"/>
      <c r="J1952" s="209"/>
      <c r="K1952" s="208" t="str">
        <f>IF(Errors!$I1952=0,SourceData!$B$42,VLOOKUP(Errors!$I1952,SourceData!$A$2:$B$40,2,FALSE))</f>
        <v>Please select ERROR CODE column "I"</v>
      </c>
      <c r="L1952" s="207" t="str">
        <f>IF(Errors!$I1952=0,
    'List of Error Codes'!$E$29,
    IFERROR(VLOOKUP(Errors!$I1952, 'List of Error Codes'!D1951:I1981, 6, FALSE), 'List of Error Codes'!$E$29)
)</f>
        <v>Please select ERROR CODE column "I"</v>
      </c>
      <c r="M1952" s="209"/>
      <c r="N1952" s="209"/>
      <c r="O1952" s="209"/>
      <c r="P1952" s="209"/>
      <c r="Q1952" s="209"/>
      <c r="R1952" s="217"/>
      <c r="S1952" s="217"/>
      <c r="T1952" s="217"/>
      <c r="U1952" s="199"/>
      <c r="V1952" s="200"/>
      <c r="W1952" s="200"/>
      <c r="X1952" s="200"/>
      <c r="Y1952" s="200"/>
      <c r="Z1952" s="200"/>
      <c r="AA1952" s="201"/>
      <c r="AB1952" s="200"/>
      <c r="AC1952" s="200"/>
    </row>
    <row r="1953" ht="15.75" customHeight="1">
      <c r="A1953" s="210">
        <f t="shared" si="1"/>
        <v>1951</v>
      </c>
      <c r="B1953" s="217"/>
      <c r="C1953" s="217" t="str">
        <f>IFERROR(VLOOKUP(B1953, SourceData!$U$3:$V$190, 2, FALSE), "")</f>
        <v/>
      </c>
      <c r="D1953" s="240"/>
      <c r="E1953" s="241"/>
      <c r="F1953" s="248"/>
      <c r="G1953" s="207"/>
      <c r="H1953" s="209"/>
      <c r="I1953" s="209"/>
      <c r="J1953" s="209"/>
      <c r="K1953" s="208" t="str">
        <f>IF(Errors!$I1953=0,SourceData!$B$42,VLOOKUP(Errors!$I1953,SourceData!$A$2:$B$40,2,FALSE))</f>
        <v>Please select ERROR CODE column "I"</v>
      </c>
      <c r="L1953" s="207" t="str">
        <f>IF(Errors!$I1953=0,
    'List of Error Codes'!$E$29,
    IFERROR(VLOOKUP(Errors!$I1953, 'List of Error Codes'!D1952:I1982, 6, FALSE), 'List of Error Codes'!$E$29)
)</f>
        <v>Please select ERROR CODE column "I"</v>
      </c>
      <c r="M1953" s="209"/>
      <c r="N1953" s="209"/>
      <c r="O1953" s="209"/>
      <c r="P1953" s="209"/>
      <c r="Q1953" s="209"/>
      <c r="R1953" s="217"/>
      <c r="S1953" s="217"/>
      <c r="T1953" s="217"/>
      <c r="U1953" s="199"/>
      <c r="V1953" s="200"/>
      <c r="W1953" s="200"/>
      <c r="X1953" s="200"/>
      <c r="Y1953" s="200"/>
      <c r="Z1953" s="200"/>
      <c r="AA1953" s="201"/>
      <c r="AB1953" s="200"/>
      <c r="AC1953" s="200"/>
    </row>
    <row r="1954" ht="15.75" customHeight="1">
      <c r="A1954" s="210">
        <f t="shared" si="1"/>
        <v>1952</v>
      </c>
      <c r="B1954" s="217"/>
      <c r="C1954" s="217" t="str">
        <f>IFERROR(VLOOKUP(B1954, SourceData!$U$3:$V$190, 2, FALSE), "")</f>
        <v/>
      </c>
      <c r="D1954" s="240"/>
      <c r="E1954" s="241"/>
      <c r="F1954" s="248"/>
      <c r="G1954" s="207"/>
      <c r="H1954" s="209"/>
      <c r="I1954" s="209"/>
      <c r="J1954" s="209"/>
      <c r="K1954" s="208" t="str">
        <f>IF(Errors!$I1954=0,SourceData!$B$42,VLOOKUP(Errors!$I1954,SourceData!$A$2:$B$40,2,FALSE))</f>
        <v>Please select ERROR CODE column "I"</v>
      </c>
      <c r="L1954" s="207" t="str">
        <f>IF(Errors!$I1954=0,
    'List of Error Codes'!$E$29,
    IFERROR(VLOOKUP(Errors!$I1954, 'List of Error Codes'!D1953:I1983, 6, FALSE), 'List of Error Codes'!$E$29)
)</f>
        <v>Please select ERROR CODE column "I"</v>
      </c>
      <c r="M1954" s="209"/>
      <c r="N1954" s="209"/>
      <c r="O1954" s="209"/>
      <c r="P1954" s="209"/>
      <c r="Q1954" s="209"/>
      <c r="R1954" s="217"/>
      <c r="S1954" s="217"/>
      <c r="T1954" s="217"/>
      <c r="U1954" s="199"/>
      <c r="V1954" s="200"/>
      <c r="W1954" s="200"/>
      <c r="X1954" s="200"/>
      <c r="Y1954" s="200"/>
      <c r="Z1954" s="200"/>
      <c r="AA1954" s="201"/>
      <c r="AB1954" s="200"/>
      <c r="AC1954" s="200"/>
    </row>
    <row r="1955" ht="15.75" customHeight="1">
      <c r="A1955" s="210">
        <f t="shared" si="1"/>
        <v>1953</v>
      </c>
      <c r="B1955" s="217"/>
      <c r="C1955" s="217" t="str">
        <f>IFERROR(VLOOKUP(B1955, SourceData!$U$3:$V$190, 2, FALSE), "")</f>
        <v/>
      </c>
      <c r="D1955" s="240"/>
      <c r="E1955" s="241"/>
      <c r="F1955" s="248"/>
      <c r="G1955" s="207"/>
      <c r="H1955" s="209"/>
      <c r="I1955" s="209"/>
      <c r="J1955" s="209"/>
      <c r="K1955" s="208" t="str">
        <f>IF(Errors!$I1955=0,SourceData!$B$42,VLOOKUP(Errors!$I1955,SourceData!$A$2:$B$40,2,FALSE))</f>
        <v>Please select ERROR CODE column "I"</v>
      </c>
      <c r="L1955" s="207" t="str">
        <f>IF(Errors!$I1955=0,
    'List of Error Codes'!$E$29,
    IFERROR(VLOOKUP(Errors!$I1955, 'List of Error Codes'!D1954:I1984, 6, FALSE), 'List of Error Codes'!$E$29)
)</f>
        <v>Please select ERROR CODE column "I"</v>
      </c>
      <c r="M1955" s="209"/>
      <c r="N1955" s="209"/>
      <c r="O1955" s="209"/>
      <c r="P1955" s="209"/>
      <c r="Q1955" s="209"/>
      <c r="R1955" s="217"/>
      <c r="S1955" s="217"/>
      <c r="T1955" s="217"/>
      <c r="U1955" s="199"/>
      <c r="V1955" s="200"/>
      <c r="W1955" s="200"/>
      <c r="X1955" s="200"/>
      <c r="Y1955" s="200"/>
      <c r="Z1955" s="200"/>
      <c r="AA1955" s="201"/>
      <c r="AB1955" s="200"/>
      <c r="AC1955" s="200"/>
    </row>
    <row r="1956" ht="15.75" customHeight="1">
      <c r="A1956" s="210">
        <f t="shared" si="1"/>
        <v>1954</v>
      </c>
      <c r="B1956" s="217"/>
      <c r="C1956" s="217" t="str">
        <f>IFERROR(VLOOKUP(B1956, SourceData!$U$3:$V$190, 2, FALSE), "")</f>
        <v/>
      </c>
      <c r="D1956" s="240"/>
      <c r="E1956" s="241"/>
      <c r="F1956" s="248"/>
      <c r="G1956" s="207"/>
      <c r="H1956" s="209"/>
      <c r="I1956" s="209"/>
      <c r="J1956" s="209"/>
      <c r="K1956" s="208" t="str">
        <f>IF(Errors!$I1956=0,SourceData!$B$42,VLOOKUP(Errors!$I1956,SourceData!$A$2:$B$40,2,FALSE))</f>
        <v>Please select ERROR CODE column "I"</v>
      </c>
      <c r="L1956" s="207" t="str">
        <f>IF(Errors!$I1956=0,
    'List of Error Codes'!$E$29,
    IFERROR(VLOOKUP(Errors!$I1956, 'List of Error Codes'!D1955:I1985, 6, FALSE), 'List of Error Codes'!$E$29)
)</f>
        <v>Please select ERROR CODE column "I"</v>
      </c>
      <c r="M1956" s="209"/>
      <c r="N1956" s="209"/>
      <c r="O1956" s="209"/>
      <c r="P1956" s="209"/>
      <c r="Q1956" s="209"/>
      <c r="R1956" s="217"/>
      <c r="S1956" s="217"/>
      <c r="T1956" s="217"/>
      <c r="U1956" s="199"/>
      <c r="V1956" s="200"/>
      <c r="W1956" s="200"/>
      <c r="X1956" s="200"/>
      <c r="Y1956" s="200"/>
      <c r="Z1956" s="200"/>
      <c r="AA1956" s="201"/>
      <c r="AB1956" s="200"/>
      <c r="AC1956" s="200"/>
    </row>
    <row r="1957" ht="15.75" customHeight="1">
      <c r="A1957" s="210">
        <f t="shared" si="1"/>
        <v>1955</v>
      </c>
      <c r="B1957" s="217"/>
      <c r="C1957" s="217" t="str">
        <f>IFERROR(VLOOKUP(B1957, SourceData!$U$3:$V$190, 2, FALSE), "")</f>
        <v/>
      </c>
      <c r="D1957" s="240"/>
      <c r="E1957" s="241"/>
      <c r="F1957" s="248"/>
      <c r="G1957" s="207"/>
      <c r="H1957" s="209"/>
      <c r="I1957" s="209"/>
      <c r="J1957" s="209"/>
      <c r="K1957" s="208" t="str">
        <f>IF(Errors!$I1957=0,SourceData!$B$42,VLOOKUP(Errors!$I1957,SourceData!$A$2:$B$40,2,FALSE))</f>
        <v>Please select ERROR CODE column "I"</v>
      </c>
      <c r="L1957" s="207" t="str">
        <f>IF(Errors!$I1957=0,
    'List of Error Codes'!$E$29,
    IFERROR(VLOOKUP(Errors!$I1957, 'List of Error Codes'!D1956:I1986, 6, FALSE), 'List of Error Codes'!$E$29)
)</f>
        <v>Please select ERROR CODE column "I"</v>
      </c>
      <c r="M1957" s="209"/>
      <c r="N1957" s="209"/>
      <c r="O1957" s="209"/>
      <c r="P1957" s="209"/>
      <c r="Q1957" s="209"/>
      <c r="R1957" s="217"/>
      <c r="S1957" s="217"/>
      <c r="T1957" s="217"/>
      <c r="U1957" s="199"/>
      <c r="V1957" s="200"/>
      <c r="W1957" s="200"/>
      <c r="X1957" s="200"/>
      <c r="Y1957" s="200"/>
      <c r="Z1957" s="200"/>
      <c r="AA1957" s="201"/>
      <c r="AB1957" s="200"/>
      <c r="AC1957" s="200"/>
    </row>
    <row r="1958" ht="15.75" customHeight="1">
      <c r="A1958" s="210">
        <f t="shared" si="1"/>
        <v>1956</v>
      </c>
      <c r="B1958" s="217"/>
      <c r="C1958" s="217" t="str">
        <f>IFERROR(VLOOKUP(B1958, SourceData!$U$3:$V$190, 2, FALSE), "")</f>
        <v/>
      </c>
      <c r="D1958" s="240"/>
      <c r="E1958" s="241"/>
      <c r="F1958" s="248"/>
      <c r="G1958" s="207"/>
      <c r="H1958" s="209"/>
      <c r="I1958" s="209"/>
      <c r="J1958" s="209"/>
      <c r="K1958" s="208" t="str">
        <f>IF(Errors!$I1958=0,SourceData!$B$42,VLOOKUP(Errors!$I1958,SourceData!$A$2:$B$40,2,FALSE))</f>
        <v>Please select ERROR CODE column "I"</v>
      </c>
      <c r="L1958" s="207" t="str">
        <f>IF(Errors!$I1958=0,
    'List of Error Codes'!$E$29,
    IFERROR(VLOOKUP(Errors!$I1958, 'List of Error Codes'!D1957:I1987, 6, FALSE), 'List of Error Codes'!$E$29)
)</f>
        <v>Please select ERROR CODE column "I"</v>
      </c>
      <c r="M1958" s="209"/>
      <c r="N1958" s="209"/>
      <c r="O1958" s="209"/>
      <c r="P1958" s="209"/>
      <c r="Q1958" s="209"/>
      <c r="R1958" s="217"/>
      <c r="S1958" s="217"/>
      <c r="T1958" s="217"/>
      <c r="U1958" s="199"/>
      <c r="V1958" s="200"/>
      <c r="W1958" s="200"/>
      <c r="X1958" s="200"/>
      <c r="Y1958" s="200"/>
      <c r="Z1958" s="200"/>
      <c r="AA1958" s="201"/>
      <c r="AB1958" s="200"/>
      <c r="AC1958" s="200"/>
    </row>
    <row r="1959" ht="15.75" customHeight="1">
      <c r="A1959" s="210">
        <f t="shared" si="1"/>
        <v>1957</v>
      </c>
      <c r="B1959" s="217"/>
      <c r="C1959" s="217" t="str">
        <f>IFERROR(VLOOKUP(B1959, SourceData!$U$3:$V$190, 2, FALSE), "")</f>
        <v/>
      </c>
      <c r="D1959" s="240"/>
      <c r="E1959" s="241"/>
      <c r="F1959" s="248"/>
      <c r="G1959" s="207"/>
      <c r="H1959" s="209"/>
      <c r="I1959" s="209"/>
      <c r="J1959" s="209"/>
      <c r="K1959" s="208" t="str">
        <f>IF(Errors!$I1959=0,SourceData!$B$42,VLOOKUP(Errors!$I1959,SourceData!$A$2:$B$40,2,FALSE))</f>
        <v>Please select ERROR CODE column "I"</v>
      </c>
      <c r="L1959" s="207" t="str">
        <f>IF(Errors!$I1959=0,
    'List of Error Codes'!$E$29,
    IFERROR(VLOOKUP(Errors!$I1959, 'List of Error Codes'!D1958:I1988, 6, FALSE), 'List of Error Codes'!$E$29)
)</f>
        <v>Please select ERROR CODE column "I"</v>
      </c>
      <c r="M1959" s="209"/>
      <c r="N1959" s="209"/>
      <c r="O1959" s="209"/>
      <c r="P1959" s="209"/>
      <c r="Q1959" s="209"/>
      <c r="R1959" s="217"/>
      <c r="S1959" s="217"/>
      <c r="T1959" s="217"/>
      <c r="U1959" s="199"/>
      <c r="V1959" s="200"/>
      <c r="W1959" s="200"/>
      <c r="X1959" s="200"/>
      <c r="Y1959" s="200"/>
      <c r="Z1959" s="200"/>
      <c r="AA1959" s="201"/>
      <c r="AB1959" s="200"/>
      <c r="AC1959" s="200"/>
    </row>
    <row r="1960" ht="15.75" customHeight="1">
      <c r="A1960" s="210">
        <f t="shared" si="1"/>
        <v>1958</v>
      </c>
      <c r="B1960" s="217"/>
      <c r="C1960" s="217" t="str">
        <f>IFERROR(VLOOKUP(B1960, SourceData!$U$3:$V$190, 2, FALSE), "")</f>
        <v/>
      </c>
      <c r="D1960" s="240"/>
      <c r="E1960" s="241"/>
      <c r="F1960" s="248"/>
      <c r="G1960" s="207"/>
      <c r="H1960" s="209"/>
      <c r="I1960" s="209"/>
      <c r="J1960" s="209"/>
      <c r="K1960" s="208" t="str">
        <f>IF(Errors!$I1960=0,SourceData!$B$42,VLOOKUP(Errors!$I1960,SourceData!$A$2:$B$40,2,FALSE))</f>
        <v>Please select ERROR CODE column "I"</v>
      </c>
      <c r="L1960" s="207" t="str">
        <f>IF(Errors!$I1960=0,
    'List of Error Codes'!$E$29,
    IFERROR(VLOOKUP(Errors!$I1960, 'List of Error Codes'!D1959:I1989, 6, FALSE), 'List of Error Codes'!$E$29)
)</f>
        <v>Please select ERROR CODE column "I"</v>
      </c>
      <c r="M1960" s="209"/>
      <c r="N1960" s="209"/>
      <c r="O1960" s="209"/>
      <c r="P1960" s="209"/>
      <c r="Q1960" s="209"/>
      <c r="R1960" s="217"/>
      <c r="S1960" s="217"/>
      <c r="T1960" s="217"/>
      <c r="U1960" s="199"/>
      <c r="V1960" s="200"/>
      <c r="W1960" s="200"/>
      <c r="X1960" s="200"/>
      <c r="Y1960" s="200"/>
      <c r="Z1960" s="200"/>
      <c r="AA1960" s="201"/>
      <c r="AB1960" s="200"/>
      <c r="AC1960" s="200"/>
    </row>
    <row r="1961" ht="15.75" customHeight="1">
      <c r="A1961" s="210">
        <f t="shared" si="1"/>
        <v>1959</v>
      </c>
      <c r="B1961" s="217"/>
      <c r="C1961" s="217" t="str">
        <f>IFERROR(VLOOKUP(B1961, SourceData!$U$3:$V$190, 2, FALSE), "")</f>
        <v/>
      </c>
      <c r="D1961" s="240"/>
      <c r="E1961" s="241"/>
      <c r="F1961" s="248"/>
      <c r="G1961" s="207"/>
      <c r="H1961" s="209"/>
      <c r="I1961" s="209"/>
      <c r="J1961" s="209"/>
      <c r="K1961" s="208" t="str">
        <f>IF(Errors!$I1961=0,SourceData!$B$42,VLOOKUP(Errors!$I1961,SourceData!$A$2:$B$40,2,FALSE))</f>
        <v>Please select ERROR CODE column "I"</v>
      </c>
      <c r="L1961" s="207" t="str">
        <f>IF(Errors!$I1961=0,
    'List of Error Codes'!$E$29,
    IFERROR(VLOOKUP(Errors!$I1961, 'List of Error Codes'!D1960:I1990, 6, FALSE), 'List of Error Codes'!$E$29)
)</f>
        <v>Please select ERROR CODE column "I"</v>
      </c>
      <c r="M1961" s="209"/>
      <c r="N1961" s="209"/>
      <c r="O1961" s="209"/>
      <c r="P1961" s="209"/>
      <c r="Q1961" s="209"/>
      <c r="R1961" s="217"/>
      <c r="S1961" s="217"/>
      <c r="T1961" s="217"/>
      <c r="U1961" s="199"/>
      <c r="V1961" s="200"/>
      <c r="W1961" s="200"/>
      <c r="X1961" s="200"/>
      <c r="Y1961" s="200"/>
      <c r="Z1961" s="200"/>
      <c r="AA1961" s="201"/>
      <c r="AB1961" s="200"/>
      <c r="AC1961" s="200"/>
    </row>
    <row r="1962" ht="15.75" customHeight="1">
      <c r="A1962" s="210">
        <f t="shared" si="1"/>
        <v>1960</v>
      </c>
      <c r="B1962" s="217"/>
      <c r="C1962" s="217" t="str">
        <f>IFERROR(VLOOKUP(B1962, SourceData!$U$3:$V$190, 2, FALSE), "")</f>
        <v/>
      </c>
      <c r="D1962" s="240"/>
      <c r="E1962" s="241"/>
      <c r="F1962" s="248"/>
      <c r="G1962" s="207"/>
      <c r="H1962" s="209"/>
      <c r="I1962" s="209"/>
      <c r="J1962" s="209"/>
      <c r="K1962" s="208" t="str">
        <f>IF(Errors!$I1962=0,SourceData!$B$42,VLOOKUP(Errors!$I1962,SourceData!$A$2:$B$40,2,FALSE))</f>
        <v>Please select ERROR CODE column "I"</v>
      </c>
      <c r="L1962" s="207" t="str">
        <f>IF(Errors!$I1962=0,
    'List of Error Codes'!$E$29,
    IFERROR(VLOOKUP(Errors!$I1962, 'List of Error Codes'!D1961:I1991, 6, FALSE), 'List of Error Codes'!$E$29)
)</f>
        <v>Please select ERROR CODE column "I"</v>
      </c>
      <c r="M1962" s="209"/>
      <c r="N1962" s="209"/>
      <c r="O1962" s="209"/>
      <c r="P1962" s="209"/>
      <c r="Q1962" s="209"/>
      <c r="R1962" s="217"/>
      <c r="S1962" s="217"/>
      <c r="T1962" s="217"/>
      <c r="U1962" s="199"/>
      <c r="V1962" s="200"/>
      <c r="W1962" s="200"/>
      <c r="X1962" s="200"/>
      <c r="Y1962" s="200"/>
      <c r="Z1962" s="200"/>
      <c r="AA1962" s="201"/>
      <c r="AB1962" s="200"/>
      <c r="AC1962" s="200"/>
    </row>
    <row r="1963" ht="15.75" customHeight="1">
      <c r="A1963" s="210">
        <f t="shared" si="1"/>
        <v>1961</v>
      </c>
      <c r="B1963" s="217"/>
      <c r="C1963" s="217" t="str">
        <f>IFERROR(VLOOKUP(B1963, SourceData!$U$3:$V$190, 2, FALSE), "")</f>
        <v/>
      </c>
      <c r="D1963" s="240"/>
      <c r="E1963" s="241"/>
      <c r="F1963" s="248"/>
      <c r="G1963" s="207"/>
      <c r="H1963" s="209"/>
      <c r="I1963" s="209"/>
      <c r="J1963" s="209"/>
      <c r="K1963" s="208" t="str">
        <f>IF(Errors!$I1963=0,SourceData!$B$42,VLOOKUP(Errors!$I1963,SourceData!$A$2:$B$40,2,FALSE))</f>
        <v>Please select ERROR CODE column "I"</v>
      </c>
      <c r="L1963" s="207" t="str">
        <f>IF(Errors!$I1963=0,
    'List of Error Codes'!$E$29,
    IFERROR(VLOOKUP(Errors!$I1963, 'List of Error Codes'!D1962:I1992, 6, FALSE), 'List of Error Codes'!$E$29)
)</f>
        <v>Please select ERROR CODE column "I"</v>
      </c>
      <c r="M1963" s="209"/>
      <c r="N1963" s="209"/>
      <c r="O1963" s="209"/>
      <c r="P1963" s="209"/>
      <c r="Q1963" s="209"/>
      <c r="R1963" s="217"/>
      <c r="S1963" s="217"/>
      <c r="T1963" s="217"/>
      <c r="U1963" s="199"/>
      <c r="V1963" s="200"/>
      <c r="W1963" s="200"/>
      <c r="X1963" s="200"/>
      <c r="Y1963" s="200"/>
      <c r="Z1963" s="200"/>
      <c r="AA1963" s="201"/>
      <c r="AB1963" s="200"/>
      <c r="AC1963" s="200"/>
    </row>
    <row r="1964" ht="15.75" customHeight="1">
      <c r="A1964" s="210">
        <f t="shared" si="1"/>
        <v>1962</v>
      </c>
      <c r="B1964" s="217"/>
      <c r="C1964" s="217" t="str">
        <f>IFERROR(VLOOKUP(B1964, SourceData!$U$3:$V$190, 2, FALSE), "")</f>
        <v/>
      </c>
      <c r="D1964" s="240"/>
      <c r="E1964" s="241"/>
      <c r="F1964" s="248"/>
      <c r="G1964" s="207"/>
      <c r="H1964" s="209"/>
      <c r="I1964" s="209"/>
      <c r="J1964" s="209"/>
      <c r="K1964" s="208" t="str">
        <f>IF(Errors!$I1964=0,SourceData!$B$42,VLOOKUP(Errors!$I1964,SourceData!$A$2:$B$40,2,FALSE))</f>
        <v>Please select ERROR CODE column "I"</v>
      </c>
      <c r="L1964" s="207" t="str">
        <f>IF(Errors!$I1964=0,
    'List of Error Codes'!$E$29,
    IFERROR(VLOOKUP(Errors!$I1964, 'List of Error Codes'!D1963:I1993, 6, FALSE), 'List of Error Codes'!$E$29)
)</f>
        <v>Please select ERROR CODE column "I"</v>
      </c>
      <c r="M1964" s="209"/>
      <c r="N1964" s="209"/>
      <c r="O1964" s="209"/>
      <c r="P1964" s="209"/>
      <c r="Q1964" s="209"/>
      <c r="R1964" s="217"/>
      <c r="S1964" s="217"/>
      <c r="T1964" s="217"/>
      <c r="U1964" s="199"/>
      <c r="V1964" s="200"/>
      <c r="W1964" s="200"/>
      <c r="X1964" s="200"/>
      <c r="Y1964" s="200"/>
      <c r="Z1964" s="200"/>
      <c r="AA1964" s="201"/>
      <c r="AB1964" s="200"/>
      <c r="AC1964" s="200"/>
    </row>
    <row r="1965" ht="15.75" customHeight="1">
      <c r="A1965" s="210">
        <f t="shared" si="1"/>
        <v>1963</v>
      </c>
      <c r="B1965" s="217"/>
      <c r="C1965" s="217" t="str">
        <f>IFERROR(VLOOKUP(B1965, SourceData!$U$3:$V$190, 2, FALSE), "")</f>
        <v/>
      </c>
      <c r="D1965" s="240"/>
      <c r="E1965" s="241"/>
      <c r="F1965" s="248"/>
      <c r="G1965" s="207"/>
      <c r="H1965" s="209"/>
      <c r="I1965" s="209"/>
      <c r="J1965" s="209"/>
      <c r="K1965" s="208" t="str">
        <f>IF(Errors!$I1965=0,SourceData!$B$42,VLOOKUP(Errors!$I1965,SourceData!$A$2:$B$40,2,FALSE))</f>
        <v>Please select ERROR CODE column "I"</v>
      </c>
      <c r="L1965" s="207" t="str">
        <f>IF(Errors!$I1965=0,
    'List of Error Codes'!$E$29,
    IFERROR(VLOOKUP(Errors!$I1965, 'List of Error Codes'!D1964:I1994, 6, FALSE), 'List of Error Codes'!$E$29)
)</f>
        <v>Please select ERROR CODE column "I"</v>
      </c>
      <c r="M1965" s="209"/>
      <c r="N1965" s="209"/>
      <c r="O1965" s="209"/>
      <c r="P1965" s="209"/>
      <c r="Q1965" s="209"/>
      <c r="R1965" s="217"/>
      <c r="S1965" s="217"/>
      <c r="T1965" s="217"/>
      <c r="U1965" s="199"/>
      <c r="V1965" s="200"/>
      <c r="W1965" s="200"/>
      <c r="X1965" s="200"/>
      <c r="Y1965" s="200"/>
      <c r="Z1965" s="200"/>
      <c r="AA1965" s="201"/>
      <c r="AB1965" s="200"/>
      <c r="AC1965" s="200"/>
    </row>
    <row r="1966" ht="15.75" customHeight="1">
      <c r="A1966" s="210">
        <f t="shared" si="1"/>
        <v>1964</v>
      </c>
      <c r="B1966" s="217"/>
      <c r="C1966" s="217" t="str">
        <f>IFERROR(VLOOKUP(B1966, SourceData!$U$3:$V$190, 2, FALSE), "")</f>
        <v/>
      </c>
      <c r="D1966" s="240"/>
      <c r="E1966" s="241"/>
      <c r="F1966" s="248"/>
      <c r="G1966" s="207"/>
      <c r="H1966" s="209"/>
      <c r="I1966" s="209"/>
      <c r="J1966" s="209"/>
      <c r="K1966" s="208" t="str">
        <f>IF(Errors!$I1966=0,SourceData!$B$42,VLOOKUP(Errors!$I1966,SourceData!$A$2:$B$40,2,FALSE))</f>
        <v>Please select ERROR CODE column "I"</v>
      </c>
      <c r="L1966" s="207" t="str">
        <f>IF(Errors!$I1966=0,
    'List of Error Codes'!$E$29,
    IFERROR(VLOOKUP(Errors!$I1966, 'List of Error Codes'!D1965:I1995, 6, FALSE), 'List of Error Codes'!$E$29)
)</f>
        <v>Please select ERROR CODE column "I"</v>
      </c>
      <c r="M1966" s="209"/>
      <c r="N1966" s="209"/>
      <c r="O1966" s="209"/>
      <c r="P1966" s="209"/>
      <c r="Q1966" s="209"/>
      <c r="R1966" s="217"/>
      <c r="S1966" s="217"/>
      <c r="T1966" s="217"/>
      <c r="U1966" s="199"/>
      <c r="V1966" s="200"/>
      <c r="W1966" s="200"/>
      <c r="X1966" s="200"/>
      <c r="Y1966" s="200"/>
      <c r="Z1966" s="200"/>
      <c r="AA1966" s="201"/>
      <c r="AB1966" s="200"/>
      <c r="AC1966" s="200"/>
    </row>
    <row r="1967" ht="15.75" customHeight="1">
      <c r="A1967" s="210">
        <f t="shared" si="1"/>
        <v>1965</v>
      </c>
      <c r="B1967" s="217"/>
      <c r="C1967" s="217" t="str">
        <f>IFERROR(VLOOKUP(B1967, SourceData!$U$3:$V$190, 2, FALSE), "")</f>
        <v/>
      </c>
      <c r="D1967" s="240"/>
      <c r="E1967" s="241"/>
      <c r="F1967" s="248"/>
      <c r="G1967" s="207"/>
      <c r="H1967" s="209"/>
      <c r="I1967" s="209"/>
      <c r="J1967" s="209"/>
      <c r="K1967" s="208" t="str">
        <f>IF(Errors!$I1967=0,SourceData!$B$42,VLOOKUP(Errors!$I1967,SourceData!$A$2:$B$40,2,FALSE))</f>
        <v>Please select ERROR CODE column "I"</v>
      </c>
      <c r="L1967" s="207" t="str">
        <f>IF(Errors!$I1967=0,
    'List of Error Codes'!$E$29,
    IFERROR(VLOOKUP(Errors!$I1967, 'List of Error Codes'!D1966:I1996, 6, FALSE), 'List of Error Codes'!$E$29)
)</f>
        <v>Please select ERROR CODE column "I"</v>
      </c>
      <c r="M1967" s="209"/>
      <c r="N1967" s="209"/>
      <c r="O1967" s="209"/>
      <c r="P1967" s="209"/>
      <c r="Q1967" s="209"/>
      <c r="R1967" s="217"/>
      <c r="S1967" s="217"/>
      <c r="T1967" s="217"/>
      <c r="U1967" s="199"/>
      <c r="V1967" s="200"/>
      <c r="W1967" s="200"/>
      <c r="X1967" s="200"/>
      <c r="Y1967" s="200"/>
      <c r="Z1967" s="200"/>
      <c r="AA1967" s="201"/>
      <c r="AB1967" s="200"/>
      <c r="AC1967" s="200"/>
    </row>
    <row r="1968" ht="15.75" customHeight="1">
      <c r="A1968" s="210">
        <f t="shared" si="1"/>
        <v>1966</v>
      </c>
      <c r="B1968" s="217"/>
      <c r="C1968" s="217" t="str">
        <f>IFERROR(VLOOKUP(B1968, SourceData!$U$3:$V$190, 2, FALSE), "")</f>
        <v/>
      </c>
      <c r="D1968" s="240"/>
      <c r="E1968" s="241"/>
      <c r="F1968" s="248"/>
      <c r="G1968" s="207"/>
      <c r="H1968" s="209"/>
      <c r="I1968" s="209"/>
      <c r="J1968" s="209"/>
      <c r="K1968" s="208" t="str">
        <f>IF(Errors!$I1968=0,SourceData!$B$42,VLOOKUP(Errors!$I1968,SourceData!$A$2:$B$40,2,FALSE))</f>
        <v>Please select ERROR CODE column "I"</v>
      </c>
      <c r="L1968" s="207" t="str">
        <f>IF(Errors!$I1968=0,
    'List of Error Codes'!$E$29,
    IFERROR(VLOOKUP(Errors!$I1968, 'List of Error Codes'!D1967:I1997, 6, FALSE), 'List of Error Codes'!$E$29)
)</f>
        <v>Please select ERROR CODE column "I"</v>
      </c>
      <c r="M1968" s="209"/>
      <c r="N1968" s="209"/>
      <c r="O1968" s="209"/>
      <c r="P1968" s="209"/>
      <c r="Q1968" s="209"/>
      <c r="R1968" s="217"/>
      <c r="S1968" s="217"/>
      <c r="T1968" s="217"/>
      <c r="U1968" s="199"/>
      <c r="V1968" s="200"/>
      <c r="W1968" s="200"/>
      <c r="X1968" s="200"/>
      <c r="Y1968" s="200"/>
      <c r="Z1968" s="200"/>
      <c r="AA1968" s="201"/>
      <c r="AB1968" s="200"/>
      <c r="AC1968" s="200"/>
    </row>
    <row r="1969" ht="15.75" customHeight="1">
      <c r="A1969" s="210">
        <f t="shared" si="1"/>
        <v>1967</v>
      </c>
      <c r="B1969" s="217"/>
      <c r="C1969" s="217" t="str">
        <f>IFERROR(VLOOKUP(B1969, SourceData!$U$3:$V$190, 2, FALSE), "")</f>
        <v/>
      </c>
      <c r="D1969" s="240"/>
      <c r="E1969" s="241"/>
      <c r="F1969" s="248"/>
      <c r="G1969" s="207"/>
      <c r="H1969" s="209"/>
      <c r="I1969" s="209"/>
      <c r="J1969" s="209"/>
      <c r="K1969" s="208" t="str">
        <f>IF(Errors!$I1969=0,SourceData!$B$42,VLOOKUP(Errors!$I1969,SourceData!$A$2:$B$40,2,FALSE))</f>
        <v>Please select ERROR CODE column "I"</v>
      </c>
      <c r="L1969" s="207" t="str">
        <f>IF(Errors!$I1969=0,
    'List of Error Codes'!$E$29,
    IFERROR(VLOOKUP(Errors!$I1969, 'List of Error Codes'!D1968:I1998, 6, FALSE), 'List of Error Codes'!$E$29)
)</f>
        <v>Please select ERROR CODE column "I"</v>
      </c>
      <c r="M1969" s="209"/>
      <c r="N1969" s="209"/>
      <c r="O1969" s="209"/>
      <c r="P1969" s="209"/>
      <c r="Q1969" s="209"/>
      <c r="R1969" s="217"/>
      <c r="S1969" s="217"/>
      <c r="T1969" s="217"/>
      <c r="U1969" s="199"/>
      <c r="V1969" s="200"/>
      <c r="W1969" s="200"/>
      <c r="X1969" s="200"/>
      <c r="Y1969" s="200"/>
      <c r="Z1969" s="200"/>
      <c r="AA1969" s="201"/>
      <c r="AB1969" s="200"/>
      <c r="AC1969" s="200"/>
    </row>
    <row r="1970" ht="15.75" customHeight="1">
      <c r="A1970" s="210">
        <f t="shared" si="1"/>
        <v>1968</v>
      </c>
      <c r="B1970" s="217"/>
      <c r="C1970" s="217" t="str">
        <f>IFERROR(VLOOKUP(B1970, SourceData!$U$3:$V$190, 2, FALSE), "")</f>
        <v/>
      </c>
      <c r="D1970" s="240"/>
      <c r="E1970" s="241"/>
      <c r="F1970" s="248"/>
      <c r="G1970" s="207"/>
      <c r="H1970" s="209"/>
      <c r="I1970" s="209"/>
      <c r="J1970" s="209"/>
      <c r="K1970" s="208" t="str">
        <f>IF(Errors!$I1970=0,SourceData!$B$42,VLOOKUP(Errors!$I1970,SourceData!$A$2:$B$40,2,FALSE))</f>
        <v>Please select ERROR CODE column "I"</v>
      </c>
      <c r="L1970" s="207" t="str">
        <f>IF(Errors!$I1970=0,
    'List of Error Codes'!$E$29,
    IFERROR(VLOOKUP(Errors!$I1970, 'List of Error Codes'!D1969:I1999, 6, FALSE), 'List of Error Codes'!$E$29)
)</f>
        <v>Please select ERROR CODE column "I"</v>
      </c>
      <c r="M1970" s="209"/>
      <c r="N1970" s="209"/>
      <c r="O1970" s="209"/>
      <c r="P1970" s="209"/>
      <c r="Q1970" s="209"/>
      <c r="R1970" s="217"/>
      <c r="S1970" s="217"/>
      <c r="T1970" s="217"/>
      <c r="U1970" s="199"/>
      <c r="V1970" s="200"/>
      <c r="W1970" s="200"/>
      <c r="X1970" s="200"/>
      <c r="Y1970" s="200"/>
      <c r="Z1970" s="200"/>
      <c r="AA1970" s="201"/>
      <c r="AB1970" s="200"/>
      <c r="AC1970" s="200"/>
    </row>
    <row r="1971" ht="15.75" customHeight="1">
      <c r="A1971" s="210">
        <f t="shared" si="1"/>
        <v>1969</v>
      </c>
      <c r="B1971" s="217"/>
      <c r="C1971" s="217" t="str">
        <f>IFERROR(VLOOKUP(B1971, SourceData!$U$3:$V$190, 2, FALSE), "")</f>
        <v/>
      </c>
      <c r="D1971" s="240"/>
      <c r="E1971" s="241"/>
      <c r="F1971" s="248"/>
      <c r="G1971" s="207"/>
      <c r="H1971" s="209"/>
      <c r="I1971" s="209"/>
      <c r="J1971" s="209"/>
      <c r="K1971" s="208" t="str">
        <f>IF(Errors!$I1971=0,SourceData!$B$42,VLOOKUP(Errors!$I1971,SourceData!$A$2:$B$40,2,FALSE))</f>
        <v>Please select ERROR CODE column "I"</v>
      </c>
      <c r="L1971" s="207" t="str">
        <f>IF(Errors!$I1971=0,
    'List of Error Codes'!$E$29,
    IFERROR(VLOOKUP(Errors!$I1971, 'List of Error Codes'!D1970:I2000, 6, FALSE), 'List of Error Codes'!$E$29)
)</f>
        <v>Please select ERROR CODE column "I"</v>
      </c>
      <c r="M1971" s="209"/>
      <c r="N1971" s="209"/>
      <c r="O1971" s="209"/>
      <c r="P1971" s="209"/>
      <c r="Q1971" s="209"/>
      <c r="R1971" s="217"/>
      <c r="S1971" s="217"/>
      <c r="T1971" s="217"/>
      <c r="U1971" s="199"/>
      <c r="V1971" s="200"/>
      <c r="W1971" s="200"/>
      <c r="X1971" s="200"/>
      <c r="Y1971" s="200"/>
      <c r="Z1971" s="200"/>
      <c r="AA1971" s="201"/>
      <c r="AB1971" s="200"/>
      <c r="AC1971" s="200"/>
    </row>
    <row r="1972" ht="15.75" customHeight="1">
      <c r="A1972" s="210">
        <f t="shared" si="1"/>
        <v>1970</v>
      </c>
      <c r="B1972" s="217"/>
      <c r="C1972" s="217" t="str">
        <f>IFERROR(VLOOKUP(B1972, SourceData!$U$3:$V$190, 2, FALSE), "")</f>
        <v/>
      </c>
      <c r="D1972" s="240"/>
      <c r="E1972" s="241"/>
      <c r="F1972" s="248"/>
      <c r="G1972" s="207"/>
      <c r="H1972" s="209"/>
      <c r="I1972" s="209"/>
      <c r="J1972" s="209"/>
      <c r="K1972" s="208" t="str">
        <f>IF(Errors!$I1972=0,SourceData!$B$42,VLOOKUP(Errors!$I1972,SourceData!$A$2:$B$40,2,FALSE))</f>
        <v>Please select ERROR CODE column "I"</v>
      </c>
      <c r="L1972" s="207" t="str">
        <f>IF(Errors!$I1972=0,
    'List of Error Codes'!$E$29,
    IFERROR(VLOOKUP(Errors!$I1972, 'List of Error Codes'!D1971:I2001, 6, FALSE), 'List of Error Codes'!$E$29)
)</f>
        <v>Please select ERROR CODE column "I"</v>
      </c>
      <c r="M1972" s="209"/>
      <c r="N1972" s="209"/>
      <c r="O1972" s="209"/>
      <c r="P1972" s="209"/>
      <c r="Q1972" s="209"/>
      <c r="R1972" s="217"/>
      <c r="S1972" s="217"/>
      <c r="T1972" s="217"/>
      <c r="U1972" s="199"/>
      <c r="V1972" s="200"/>
      <c r="W1972" s="200"/>
      <c r="X1972" s="200"/>
      <c r="Y1972" s="200"/>
      <c r="Z1972" s="200"/>
      <c r="AA1972" s="201"/>
      <c r="AB1972" s="200"/>
      <c r="AC1972" s="200"/>
    </row>
    <row r="1973" ht="15.75" customHeight="1">
      <c r="A1973" s="210">
        <f t="shared" si="1"/>
        <v>1971</v>
      </c>
      <c r="B1973" s="217"/>
      <c r="C1973" s="217" t="str">
        <f>IFERROR(VLOOKUP(B1973, SourceData!$U$3:$V$190, 2, FALSE), "")</f>
        <v/>
      </c>
      <c r="D1973" s="240"/>
      <c r="E1973" s="241"/>
      <c r="F1973" s="248"/>
      <c r="G1973" s="207"/>
      <c r="H1973" s="209"/>
      <c r="I1973" s="209"/>
      <c r="J1973" s="209"/>
      <c r="K1973" s="208" t="str">
        <f>IF(Errors!$I1973=0,SourceData!$B$42,VLOOKUP(Errors!$I1973,SourceData!$A$2:$B$40,2,FALSE))</f>
        <v>Please select ERROR CODE column "I"</v>
      </c>
      <c r="L1973" s="207" t="str">
        <f>IF(Errors!$I1973=0,
    'List of Error Codes'!$E$29,
    IFERROR(VLOOKUP(Errors!$I1973, 'List of Error Codes'!D1972:I2002, 6, FALSE), 'List of Error Codes'!$E$29)
)</f>
        <v>Please select ERROR CODE column "I"</v>
      </c>
      <c r="M1973" s="209"/>
      <c r="N1973" s="209"/>
      <c r="O1973" s="209"/>
      <c r="P1973" s="209"/>
      <c r="Q1973" s="209"/>
      <c r="R1973" s="217"/>
      <c r="S1973" s="217"/>
      <c r="T1973" s="217"/>
      <c r="U1973" s="199"/>
      <c r="V1973" s="200"/>
      <c r="W1973" s="200"/>
      <c r="X1973" s="200"/>
      <c r="Y1973" s="200"/>
      <c r="Z1973" s="200"/>
      <c r="AA1973" s="201"/>
      <c r="AB1973" s="200"/>
      <c r="AC1973" s="200"/>
    </row>
    <row r="1974" ht="15.75" customHeight="1">
      <c r="A1974" s="210">
        <f t="shared" si="1"/>
        <v>1972</v>
      </c>
      <c r="B1974" s="217"/>
      <c r="C1974" s="217" t="str">
        <f>IFERROR(VLOOKUP(B1974, SourceData!$U$3:$V$190, 2, FALSE), "")</f>
        <v/>
      </c>
      <c r="D1974" s="240"/>
      <c r="E1974" s="241"/>
      <c r="F1974" s="248"/>
      <c r="G1974" s="207"/>
      <c r="H1974" s="209"/>
      <c r="I1974" s="209"/>
      <c r="J1974" s="209"/>
      <c r="K1974" s="208" t="str">
        <f>IF(Errors!$I1974=0,SourceData!$B$42,VLOOKUP(Errors!$I1974,SourceData!$A$2:$B$40,2,FALSE))</f>
        <v>Please select ERROR CODE column "I"</v>
      </c>
      <c r="L1974" s="207" t="str">
        <f>IF(Errors!$I1974=0,
    'List of Error Codes'!$E$29,
    IFERROR(VLOOKUP(Errors!$I1974, 'List of Error Codes'!D1973:I2003, 6, FALSE), 'List of Error Codes'!$E$29)
)</f>
        <v>Please select ERROR CODE column "I"</v>
      </c>
      <c r="M1974" s="209"/>
      <c r="N1974" s="209"/>
      <c r="O1974" s="209"/>
      <c r="P1974" s="209"/>
      <c r="Q1974" s="209"/>
      <c r="R1974" s="217"/>
      <c r="S1974" s="217"/>
      <c r="T1974" s="217"/>
      <c r="U1974" s="199"/>
      <c r="V1974" s="200"/>
      <c r="W1974" s="200"/>
      <c r="X1974" s="200"/>
      <c r="Y1974" s="200"/>
      <c r="Z1974" s="200"/>
      <c r="AA1974" s="201"/>
      <c r="AB1974" s="200"/>
      <c r="AC1974" s="200"/>
    </row>
    <row r="1975" ht="15.75" customHeight="1">
      <c r="A1975" s="210">
        <f t="shared" si="1"/>
        <v>1973</v>
      </c>
      <c r="B1975" s="217"/>
      <c r="C1975" s="217" t="str">
        <f>IFERROR(VLOOKUP(B1975, SourceData!$U$3:$V$190, 2, FALSE), "")</f>
        <v/>
      </c>
      <c r="D1975" s="240"/>
      <c r="E1975" s="241"/>
      <c r="F1975" s="248"/>
      <c r="G1975" s="207"/>
      <c r="H1975" s="209"/>
      <c r="I1975" s="209"/>
      <c r="J1975" s="209"/>
      <c r="K1975" s="208" t="str">
        <f>IF(Errors!$I1975=0,SourceData!$B$42,VLOOKUP(Errors!$I1975,SourceData!$A$2:$B$40,2,FALSE))</f>
        <v>Please select ERROR CODE column "I"</v>
      </c>
      <c r="L1975" s="207" t="str">
        <f>IF(Errors!$I1975=0,
    'List of Error Codes'!$E$29,
    IFERROR(VLOOKUP(Errors!$I1975, 'List of Error Codes'!D1974:I2004, 6, FALSE), 'List of Error Codes'!$E$29)
)</f>
        <v>Please select ERROR CODE column "I"</v>
      </c>
      <c r="M1975" s="209"/>
      <c r="N1975" s="209"/>
      <c r="O1975" s="209"/>
      <c r="P1975" s="209"/>
      <c r="Q1975" s="209"/>
      <c r="R1975" s="217"/>
      <c r="S1975" s="217"/>
      <c r="T1975" s="217"/>
      <c r="U1975" s="199"/>
      <c r="V1975" s="200"/>
      <c r="W1975" s="200"/>
      <c r="X1975" s="200"/>
      <c r="Y1975" s="200"/>
      <c r="Z1975" s="200"/>
      <c r="AA1975" s="201"/>
      <c r="AB1975" s="200"/>
      <c r="AC1975" s="200"/>
    </row>
    <row r="1976" ht="15.75" customHeight="1">
      <c r="A1976" s="210">
        <f t="shared" si="1"/>
        <v>1974</v>
      </c>
      <c r="B1976" s="217"/>
      <c r="C1976" s="217" t="str">
        <f>IFERROR(VLOOKUP(B1976, SourceData!$U$3:$V$190, 2, FALSE), "")</f>
        <v/>
      </c>
      <c r="D1976" s="240"/>
      <c r="E1976" s="241"/>
      <c r="F1976" s="248"/>
      <c r="G1976" s="207"/>
      <c r="H1976" s="209"/>
      <c r="I1976" s="209"/>
      <c r="J1976" s="209"/>
      <c r="K1976" s="208" t="str">
        <f>IF(Errors!$I1976=0,SourceData!$B$42,VLOOKUP(Errors!$I1976,SourceData!$A$2:$B$40,2,FALSE))</f>
        <v>Please select ERROR CODE column "I"</v>
      </c>
      <c r="L1976" s="207" t="str">
        <f>IF(Errors!$I1976=0,
    'List of Error Codes'!$E$29,
    IFERROR(VLOOKUP(Errors!$I1976, 'List of Error Codes'!D1975:I2005, 6, FALSE), 'List of Error Codes'!$E$29)
)</f>
        <v>Please select ERROR CODE column "I"</v>
      </c>
      <c r="M1976" s="209"/>
      <c r="N1976" s="209"/>
      <c r="O1976" s="209"/>
      <c r="P1976" s="209"/>
      <c r="Q1976" s="209"/>
      <c r="R1976" s="217"/>
      <c r="S1976" s="217"/>
      <c r="T1976" s="217"/>
      <c r="U1976" s="199"/>
      <c r="V1976" s="200"/>
      <c r="W1976" s="200"/>
      <c r="X1976" s="200"/>
      <c r="Y1976" s="200"/>
      <c r="Z1976" s="200"/>
      <c r="AA1976" s="201"/>
      <c r="AB1976" s="200"/>
      <c r="AC1976" s="200"/>
    </row>
    <row r="1977" ht="15.75" customHeight="1">
      <c r="A1977" s="210">
        <f t="shared" si="1"/>
        <v>1975</v>
      </c>
      <c r="B1977" s="217"/>
      <c r="C1977" s="217" t="str">
        <f>IFERROR(VLOOKUP(B1977, SourceData!$U$3:$V$190, 2, FALSE), "")</f>
        <v/>
      </c>
      <c r="D1977" s="240"/>
      <c r="E1977" s="241"/>
      <c r="F1977" s="248"/>
      <c r="G1977" s="207"/>
      <c r="H1977" s="209"/>
      <c r="I1977" s="209"/>
      <c r="J1977" s="209"/>
      <c r="K1977" s="208" t="str">
        <f>IF(Errors!$I1977=0,SourceData!$B$42,VLOOKUP(Errors!$I1977,SourceData!$A$2:$B$40,2,FALSE))</f>
        <v>Please select ERROR CODE column "I"</v>
      </c>
      <c r="L1977" s="207" t="str">
        <f>IF(Errors!$I1977=0,
    'List of Error Codes'!$E$29,
    IFERROR(VLOOKUP(Errors!$I1977, 'List of Error Codes'!D1976:I2006, 6, FALSE), 'List of Error Codes'!$E$29)
)</f>
        <v>Please select ERROR CODE column "I"</v>
      </c>
      <c r="M1977" s="209"/>
      <c r="N1977" s="209"/>
      <c r="O1977" s="209"/>
      <c r="P1977" s="209"/>
      <c r="Q1977" s="209"/>
      <c r="R1977" s="217"/>
      <c r="S1977" s="217"/>
      <c r="T1977" s="217"/>
      <c r="U1977" s="199"/>
      <c r="V1977" s="200"/>
      <c r="W1977" s="200"/>
      <c r="X1977" s="200"/>
      <c r="Y1977" s="200"/>
      <c r="Z1977" s="200"/>
      <c r="AA1977" s="201"/>
      <c r="AB1977" s="200"/>
      <c r="AC1977" s="200"/>
    </row>
    <row r="1978" ht="15.75" customHeight="1">
      <c r="A1978" s="210">
        <f t="shared" si="1"/>
        <v>1976</v>
      </c>
      <c r="B1978" s="217"/>
      <c r="C1978" s="217" t="str">
        <f>IFERROR(VLOOKUP(B1978, SourceData!$U$3:$V$190, 2, FALSE), "")</f>
        <v/>
      </c>
      <c r="D1978" s="240"/>
      <c r="E1978" s="241"/>
      <c r="F1978" s="248"/>
      <c r="G1978" s="207"/>
      <c r="H1978" s="209"/>
      <c r="I1978" s="209"/>
      <c r="J1978" s="209"/>
      <c r="K1978" s="208" t="str">
        <f>IF(Errors!$I1978=0,SourceData!$B$42,VLOOKUP(Errors!$I1978,SourceData!$A$2:$B$40,2,FALSE))</f>
        <v>Please select ERROR CODE column "I"</v>
      </c>
      <c r="L1978" s="207" t="str">
        <f>IF(Errors!$I1978=0,
    'List of Error Codes'!$E$29,
    IFERROR(VLOOKUP(Errors!$I1978, 'List of Error Codes'!D1977:I2007, 6, FALSE), 'List of Error Codes'!$E$29)
)</f>
        <v>Please select ERROR CODE column "I"</v>
      </c>
      <c r="M1978" s="209"/>
      <c r="N1978" s="209"/>
      <c r="O1978" s="209"/>
      <c r="P1978" s="209"/>
      <c r="Q1978" s="209"/>
      <c r="R1978" s="217"/>
      <c r="S1978" s="217"/>
      <c r="T1978" s="217"/>
      <c r="U1978" s="199"/>
      <c r="V1978" s="200"/>
      <c r="W1978" s="200"/>
      <c r="X1978" s="200"/>
      <c r="Y1978" s="200"/>
      <c r="Z1978" s="200"/>
      <c r="AA1978" s="201"/>
      <c r="AB1978" s="200"/>
      <c r="AC1978" s="200"/>
    </row>
    <row r="1979" ht="15.75" customHeight="1">
      <c r="A1979" s="210">
        <f t="shared" si="1"/>
        <v>1977</v>
      </c>
      <c r="B1979" s="217"/>
      <c r="C1979" s="217" t="str">
        <f>IFERROR(VLOOKUP(B1979, SourceData!$U$3:$V$190, 2, FALSE), "")</f>
        <v/>
      </c>
      <c r="D1979" s="240"/>
      <c r="E1979" s="241"/>
      <c r="F1979" s="248"/>
      <c r="G1979" s="207"/>
      <c r="H1979" s="209"/>
      <c r="I1979" s="209"/>
      <c r="J1979" s="209"/>
      <c r="K1979" s="208" t="str">
        <f>IF(Errors!$I1979=0,SourceData!$B$42,VLOOKUP(Errors!$I1979,SourceData!$A$2:$B$40,2,FALSE))</f>
        <v>Please select ERROR CODE column "I"</v>
      </c>
      <c r="L1979" s="207" t="str">
        <f>IF(Errors!$I1979=0,
    'List of Error Codes'!$E$29,
    IFERROR(VLOOKUP(Errors!$I1979, 'List of Error Codes'!D1978:I2008, 6, FALSE), 'List of Error Codes'!$E$29)
)</f>
        <v>Please select ERROR CODE column "I"</v>
      </c>
      <c r="M1979" s="209"/>
      <c r="N1979" s="209"/>
      <c r="O1979" s="209"/>
      <c r="P1979" s="209"/>
      <c r="Q1979" s="209"/>
      <c r="R1979" s="217"/>
      <c r="S1979" s="217"/>
      <c r="T1979" s="217"/>
      <c r="U1979" s="199"/>
      <c r="V1979" s="200"/>
      <c r="W1979" s="200"/>
      <c r="X1979" s="200"/>
      <c r="Y1979" s="200"/>
      <c r="Z1979" s="200"/>
      <c r="AA1979" s="201"/>
      <c r="AB1979" s="200"/>
      <c r="AC1979" s="200"/>
    </row>
    <row r="1980" ht="15.75" customHeight="1">
      <c r="A1980" s="210">
        <f t="shared" si="1"/>
        <v>1978</v>
      </c>
      <c r="B1980" s="217"/>
      <c r="C1980" s="217" t="str">
        <f>IFERROR(VLOOKUP(B1980, SourceData!$U$3:$V$190, 2, FALSE), "")</f>
        <v/>
      </c>
      <c r="D1980" s="240"/>
      <c r="E1980" s="241"/>
      <c r="F1980" s="248"/>
      <c r="G1980" s="207"/>
      <c r="H1980" s="209"/>
      <c r="I1980" s="209"/>
      <c r="J1980" s="209"/>
      <c r="K1980" s="208" t="str">
        <f>IF(Errors!$I1980=0,SourceData!$B$42,VLOOKUP(Errors!$I1980,SourceData!$A$2:$B$40,2,FALSE))</f>
        <v>Please select ERROR CODE column "I"</v>
      </c>
      <c r="L1980" s="207" t="str">
        <f>IF(Errors!$I1980=0,
    'List of Error Codes'!$E$29,
    IFERROR(VLOOKUP(Errors!$I1980, 'List of Error Codes'!D1979:I2009, 6, FALSE), 'List of Error Codes'!$E$29)
)</f>
        <v>Please select ERROR CODE column "I"</v>
      </c>
      <c r="M1980" s="209"/>
      <c r="N1980" s="209"/>
      <c r="O1980" s="209"/>
      <c r="P1980" s="209"/>
      <c r="Q1980" s="209"/>
      <c r="R1980" s="217"/>
      <c r="S1980" s="217"/>
      <c r="T1980" s="217"/>
      <c r="U1980" s="199"/>
      <c r="V1980" s="200"/>
      <c r="W1980" s="200"/>
      <c r="X1980" s="200"/>
      <c r="Y1980" s="200"/>
      <c r="Z1980" s="200"/>
      <c r="AA1980" s="201"/>
      <c r="AB1980" s="200"/>
      <c r="AC1980" s="200"/>
    </row>
    <row r="1981" ht="15.75" customHeight="1">
      <c r="A1981" s="210">
        <f t="shared" si="1"/>
        <v>1979</v>
      </c>
      <c r="B1981" s="217"/>
      <c r="C1981" s="217" t="str">
        <f>IFERROR(VLOOKUP(B1981, SourceData!$U$3:$V$190, 2, FALSE), "")</f>
        <v/>
      </c>
      <c r="D1981" s="240"/>
      <c r="E1981" s="241"/>
      <c r="F1981" s="248"/>
      <c r="G1981" s="207"/>
      <c r="H1981" s="209"/>
      <c r="I1981" s="209"/>
      <c r="J1981" s="209"/>
      <c r="K1981" s="208" t="str">
        <f>IF(Errors!$I1981=0,SourceData!$B$42,VLOOKUP(Errors!$I1981,SourceData!$A$2:$B$40,2,FALSE))</f>
        <v>Please select ERROR CODE column "I"</v>
      </c>
      <c r="L1981" s="207" t="str">
        <f>IF(Errors!$I1981=0,
    'List of Error Codes'!$E$29,
    IFERROR(VLOOKUP(Errors!$I1981, 'List of Error Codes'!D1980:I2010, 6, FALSE), 'List of Error Codes'!$E$29)
)</f>
        <v>Please select ERROR CODE column "I"</v>
      </c>
      <c r="M1981" s="209"/>
      <c r="N1981" s="209"/>
      <c r="O1981" s="209"/>
      <c r="P1981" s="209"/>
      <c r="Q1981" s="209"/>
      <c r="R1981" s="217"/>
      <c r="S1981" s="217"/>
      <c r="T1981" s="217"/>
      <c r="U1981" s="199"/>
      <c r="V1981" s="200"/>
      <c r="W1981" s="200"/>
      <c r="X1981" s="200"/>
      <c r="Y1981" s="200"/>
      <c r="Z1981" s="200"/>
      <c r="AA1981" s="201"/>
      <c r="AB1981" s="200"/>
      <c r="AC1981" s="200"/>
    </row>
    <row r="1982" ht="15.75" customHeight="1">
      <c r="A1982" s="210">
        <f t="shared" si="1"/>
        <v>1980</v>
      </c>
      <c r="B1982" s="217"/>
      <c r="C1982" s="217" t="str">
        <f>IFERROR(VLOOKUP(B1982, SourceData!$U$3:$V$190, 2, FALSE), "")</f>
        <v/>
      </c>
      <c r="D1982" s="240"/>
      <c r="E1982" s="241"/>
      <c r="F1982" s="248"/>
      <c r="G1982" s="207"/>
      <c r="H1982" s="209"/>
      <c r="I1982" s="209"/>
      <c r="J1982" s="209"/>
      <c r="K1982" s="208" t="str">
        <f>IF(Errors!$I1982=0,SourceData!$B$42,VLOOKUP(Errors!$I1982,SourceData!$A$2:$B$40,2,FALSE))</f>
        <v>Please select ERROR CODE column "I"</v>
      </c>
      <c r="L1982" s="207" t="str">
        <f>IF(Errors!$I1982=0,
    'List of Error Codes'!$E$29,
    IFERROR(VLOOKUP(Errors!$I1982, 'List of Error Codes'!D1981:I2011, 6, FALSE), 'List of Error Codes'!$E$29)
)</f>
        <v>Please select ERROR CODE column "I"</v>
      </c>
      <c r="M1982" s="209"/>
      <c r="N1982" s="209"/>
      <c r="O1982" s="209"/>
      <c r="P1982" s="209"/>
      <c r="Q1982" s="209"/>
      <c r="R1982" s="217"/>
      <c r="S1982" s="217"/>
      <c r="T1982" s="217"/>
      <c r="U1982" s="199"/>
      <c r="V1982" s="200"/>
      <c r="W1982" s="200"/>
      <c r="X1982" s="200"/>
      <c r="Y1982" s="200"/>
      <c r="Z1982" s="200"/>
      <c r="AA1982" s="201"/>
      <c r="AB1982" s="200"/>
      <c r="AC1982" s="200"/>
    </row>
    <row r="1983" ht="15.75" customHeight="1">
      <c r="A1983" s="210">
        <f t="shared" si="1"/>
        <v>1981</v>
      </c>
      <c r="B1983" s="217"/>
      <c r="C1983" s="217" t="str">
        <f>IFERROR(VLOOKUP(B1983, SourceData!$U$3:$V$190, 2, FALSE), "")</f>
        <v/>
      </c>
      <c r="D1983" s="240"/>
      <c r="E1983" s="241"/>
      <c r="F1983" s="248"/>
      <c r="G1983" s="207"/>
      <c r="H1983" s="209"/>
      <c r="I1983" s="209"/>
      <c r="J1983" s="209"/>
      <c r="K1983" s="208" t="str">
        <f>IF(Errors!$I1983=0,SourceData!$B$42,VLOOKUP(Errors!$I1983,SourceData!$A$2:$B$40,2,FALSE))</f>
        <v>Please select ERROR CODE column "I"</v>
      </c>
      <c r="L1983" s="207" t="str">
        <f>IF(Errors!$I1983=0,
    'List of Error Codes'!$E$29,
    IFERROR(VLOOKUP(Errors!$I1983, 'List of Error Codes'!D1982:I2012, 6, FALSE), 'List of Error Codes'!$E$29)
)</f>
        <v>Please select ERROR CODE column "I"</v>
      </c>
      <c r="M1983" s="209"/>
      <c r="N1983" s="209"/>
      <c r="O1983" s="209"/>
      <c r="P1983" s="209"/>
      <c r="Q1983" s="209"/>
      <c r="R1983" s="217"/>
      <c r="S1983" s="217"/>
      <c r="T1983" s="217"/>
      <c r="U1983" s="199"/>
      <c r="V1983" s="200"/>
      <c r="W1983" s="200"/>
      <c r="X1983" s="200"/>
      <c r="Y1983" s="200"/>
      <c r="Z1983" s="200"/>
      <c r="AA1983" s="201"/>
      <c r="AB1983" s="200"/>
      <c r="AC1983" s="200"/>
    </row>
    <row r="1984" ht="15.75" customHeight="1">
      <c r="A1984" s="210">
        <f t="shared" si="1"/>
        <v>1982</v>
      </c>
      <c r="B1984" s="217"/>
      <c r="C1984" s="217" t="str">
        <f>IFERROR(VLOOKUP(B1984, SourceData!$U$3:$V$190, 2, FALSE), "")</f>
        <v/>
      </c>
      <c r="D1984" s="240"/>
      <c r="E1984" s="241"/>
      <c r="F1984" s="248"/>
      <c r="G1984" s="207"/>
      <c r="H1984" s="209"/>
      <c r="I1984" s="209"/>
      <c r="J1984" s="209"/>
      <c r="K1984" s="208" t="str">
        <f>IF(Errors!$I1984=0,SourceData!$B$42,VLOOKUP(Errors!$I1984,SourceData!$A$2:$B$40,2,FALSE))</f>
        <v>Please select ERROR CODE column "I"</v>
      </c>
      <c r="L1984" s="207" t="str">
        <f>IF(Errors!$I1984=0,
    'List of Error Codes'!$E$29,
    IFERROR(VLOOKUP(Errors!$I1984, 'List of Error Codes'!D1983:I2013, 6, FALSE), 'List of Error Codes'!$E$29)
)</f>
        <v>Please select ERROR CODE column "I"</v>
      </c>
      <c r="M1984" s="209"/>
      <c r="N1984" s="209"/>
      <c r="O1984" s="209"/>
      <c r="P1984" s="209"/>
      <c r="Q1984" s="209"/>
      <c r="R1984" s="217"/>
      <c r="S1984" s="217"/>
      <c r="T1984" s="217"/>
      <c r="U1984" s="199"/>
      <c r="V1984" s="200"/>
      <c r="W1984" s="200"/>
      <c r="X1984" s="200"/>
      <c r="Y1984" s="200"/>
      <c r="Z1984" s="200"/>
      <c r="AA1984" s="201"/>
      <c r="AB1984" s="200"/>
      <c r="AC1984" s="200"/>
    </row>
    <row r="1985" ht="15.75" customHeight="1">
      <c r="A1985" s="210">
        <f t="shared" si="1"/>
        <v>1983</v>
      </c>
      <c r="B1985" s="217"/>
      <c r="C1985" s="217" t="str">
        <f>IFERROR(VLOOKUP(B1985, SourceData!$U$3:$V$190, 2, FALSE), "")</f>
        <v/>
      </c>
      <c r="D1985" s="240"/>
      <c r="E1985" s="241"/>
      <c r="F1985" s="248"/>
      <c r="G1985" s="207"/>
      <c r="H1985" s="209"/>
      <c r="I1985" s="209"/>
      <c r="J1985" s="209"/>
      <c r="K1985" s="208" t="str">
        <f>IF(Errors!$I1985=0,SourceData!$B$42,VLOOKUP(Errors!$I1985,SourceData!$A$2:$B$40,2,FALSE))</f>
        <v>Please select ERROR CODE column "I"</v>
      </c>
      <c r="L1985" s="207" t="str">
        <f>IF(Errors!$I1985=0,
    'List of Error Codes'!$E$29,
    IFERROR(VLOOKUP(Errors!$I1985, 'List of Error Codes'!D1984:I2014, 6, FALSE), 'List of Error Codes'!$E$29)
)</f>
        <v>Please select ERROR CODE column "I"</v>
      </c>
      <c r="M1985" s="209"/>
      <c r="N1985" s="209"/>
      <c r="O1985" s="209"/>
      <c r="P1985" s="209"/>
      <c r="Q1985" s="209"/>
      <c r="R1985" s="217"/>
      <c r="S1985" s="217"/>
      <c r="T1985" s="217"/>
      <c r="U1985" s="199"/>
      <c r="V1985" s="200"/>
      <c r="W1985" s="200"/>
      <c r="X1985" s="200"/>
      <c r="Y1985" s="200"/>
      <c r="Z1985" s="200"/>
      <c r="AA1985" s="201"/>
      <c r="AB1985" s="200"/>
      <c r="AC1985" s="200"/>
    </row>
    <row r="1986" ht="15.75" customHeight="1">
      <c r="A1986" s="210">
        <f t="shared" si="1"/>
        <v>1984</v>
      </c>
      <c r="B1986" s="217"/>
      <c r="C1986" s="217" t="str">
        <f>IFERROR(VLOOKUP(B1986, SourceData!$U$3:$V$190, 2, FALSE), "")</f>
        <v/>
      </c>
      <c r="D1986" s="240"/>
      <c r="E1986" s="241"/>
      <c r="F1986" s="248"/>
      <c r="G1986" s="207"/>
      <c r="H1986" s="209"/>
      <c r="I1986" s="209"/>
      <c r="J1986" s="209"/>
      <c r="K1986" s="208" t="str">
        <f>IF(Errors!$I1986=0,SourceData!$B$42,VLOOKUP(Errors!$I1986,SourceData!$A$2:$B$40,2,FALSE))</f>
        <v>Please select ERROR CODE column "I"</v>
      </c>
      <c r="L1986" s="207" t="str">
        <f>IF(Errors!$I1986=0,
    'List of Error Codes'!$E$29,
    IFERROR(VLOOKUP(Errors!$I1986, 'List of Error Codes'!D1985:I2015, 6, FALSE), 'List of Error Codes'!$E$29)
)</f>
        <v>Please select ERROR CODE column "I"</v>
      </c>
      <c r="M1986" s="209"/>
      <c r="N1986" s="209"/>
      <c r="O1986" s="209"/>
      <c r="P1986" s="209"/>
      <c r="Q1986" s="209"/>
      <c r="R1986" s="217"/>
      <c r="S1986" s="217"/>
      <c r="T1986" s="217"/>
      <c r="U1986" s="199"/>
      <c r="V1986" s="200"/>
      <c r="W1986" s="200"/>
      <c r="X1986" s="200"/>
      <c r="Y1986" s="200"/>
      <c r="Z1986" s="200"/>
      <c r="AA1986" s="201"/>
      <c r="AB1986" s="200"/>
      <c r="AC1986" s="200"/>
    </row>
    <row r="1987" ht="15.75" customHeight="1">
      <c r="A1987" s="210">
        <f t="shared" si="1"/>
        <v>1985</v>
      </c>
      <c r="B1987" s="217"/>
      <c r="C1987" s="217" t="str">
        <f>IFERROR(VLOOKUP(B1987, SourceData!$U$3:$V$190, 2, FALSE), "")</f>
        <v/>
      </c>
      <c r="D1987" s="240"/>
      <c r="E1987" s="241"/>
      <c r="F1987" s="248"/>
      <c r="G1987" s="207"/>
      <c r="H1987" s="209"/>
      <c r="I1987" s="209"/>
      <c r="J1987" s="209"/>
      <c r="K1987" s="208" t="str">
        <f>IF(Errors!$I1987=0,SourceData!$B$42,VLOOKUP(Errors!$I1987,SourceData!$A$2:$B$40,2,FALSE))</f>
        <v>Please select ERROR CODE column "I"</v>
      </c>
      <c r="L1987" s="207" t="str">
        <f>IF(Errors!$I1987=0,
    'List of Error Codes'!$E$29,
    IFERROR(VLOOKUP(Errors!$I1987, 'List of Error Codes'!D1986:I2016, 6, FALSE), 'List of Error Codes'!$E$29)
)</f>
        <v>Please select ERROR CODE column "I"</v>
      </c>
      <c r="M1987" s="209"/>
      <c r="N1987" s="209"/>
      <c r="O1987" s="209"/>
      <c r="P1987" s="209"/>
      <c r="Q1987" s="209"/>
      <c r="R1987" s="217"/>
      <c r="S1987" s="217"/>
      <c r="T1987" s="217"/>
      <c r="U1987" s="199"/>
      <c r="V1987" s="200"/>
      <c r="W1987" s="200"/>
      <c r="X1987" s="200"/>
      <c r="Y1987" s="200"/>
      <c r="Z1987" s="200"/>
      <c r="AA1987" s="201"/>
      <c r="AB1987" s="200"/>
      <c r="AC1987" s="200"/>
    </row>
    <row r="1988" ht="15.75" customHeight="1">
      <c r="A1988" s="210">
        <f t="shared" si="1"/>
        <v>1986</v>
      </c>
      <c r="B1988" s="217"/>
      <c r="C1988" s="217" t="str">
        <f>IFERROR(VLOOKUP(B1988, SourceData!$U$3:$V$190, 2, FALSE), "")</f>
        <v/>
      </c>
      <c r="D1988" s="240"/>
      <c r="E1988" s="241"/>
      <c r="F1988" s="248"/>
      <c r="G1988" s="207"/>
      <c r="H1988" s="209"/>
      <c r="I1988" s="209"/>
      <c r="J1988" s="209"/>
      <c r="K1988" s="208" t="str">
        <f>IF(Errors!$I1988=0,SourceData!$B$42,VLOOKUP(Errors!$I1988,SourceData!$A$2:$B$40,2,FALSE))</f>
        <v>Please select ERROR CODE column "I"</v>
      </c>
      <c r="L1988" s="207" t="str">
        <f>IF(Errors!$I1988=0,
    'List of Error Codes'!$E$29,
    IFERROR(VLOOKUP(Errors!$I1988, 'List of Error Codes'!D1987:I2017, 6, FALSE), 'List of Error Codes'!$E$29)
)</f>
        <v>Please select ERROR CODE column "I"</v>
      </c>
      <c r="M1988" s="209"/>
      <c r="N1988" s="209"/>
      <c r="O1988" s="209"/>
      <c r="P1988" s="209"/>
      <c r="Q1988" s="209"/>
      <c r="R1988" s="217"/>
      <c r="S1988" s="217"/>
      <c r="T1988" s="217"/>
      <c r="U1988" s="199"/>
      <c r="V1988" s="200"/>
      <c r="W1988" s="200"/>
      <c r="X1988" s="200"/>
      <c r="Y1988" s="200"/>
      <c r="Z1988" s="200"/>
      <c r="AA1988" s="201"/>
      <c r="AB1988" s="200"/>
      <c r="AC1988" s="200"/>
    </row>
    <row r="1989" ht="15.75" customHeight="1">
      <c r="A1989" s="210">
        <f t="shared" si="1"/>
        <v>1987</v>
      </c>
      <c r="B1989" s="217"/>
      <c r="C1989" s="217" t="str">
        <f>IFERROR(VLOOKUP(B1989, SourceData!$U$3:$V$190, 2, FALSE), "")</f>
        <v/>
      </c>
      <c r="D1989" s="240"/>
      <c r="E1989" s="241"/>
      <c r="F1989" s="248"/>
      <c r="G1989" s="207"/>
      <c r="H1989" s="209"/>
      <c r="I1989" s="209"/>
      <c r="J1989" s="209"/>
      <c r="K1989" s="208" t="str">
        <f>IF(Errors!$I1989=0,SourceData!$B$42,VLOOKUP(Errors!$I1989,SourceData!$A$2:$B$40,2,FALSE))</f>
        <v>Please select ERROR CODE column "I"</v>
      </c>
      <c r="L1989" s="207" t="str">
        <f>IF(Errors!$I1989=0,
    'List of Error Codes'!$E$29,
    IFERROR(VLOOKUP(Errors!$I1989, 'List of Error Codes'!D1988:I2018, 6, FALSE), 'List of Error Codes'!$E$29)
)</f>
        <v>Please select ERROR CODE column "I"</v>
      </c>
      <c r="M1989" s="209"/>
      <c r="N1989" s="209"/>
      <c r="O1989" s="209"/>
      <c r="P1989" s="209"/>
      <c r="Q1989" s="209"/>
      <c r="R1989" s="217"/>
      <c r="S1989" s="217"/>
      <c r="T1989" s="217"/>
      <c r="U1989" s="199"/>
      <c r="V1989" s="200"/>
      <c r="W1989" s="200"/>
      <c r="X1989" s="200"/>
      <c r="Y1989" s="200"/>
      <c r="Z1989" s="200"/>
      <c r="AA1989" s="201"/>
      <c r="AB1989" s="200"/>
      <c r="AC1989" s="200"/>
    </row>
    <row r="1990" ht="15.75" customHeight="1">
      <c r="A1990" s="210">
        <f t="shared" si="1"/>
        <v>1988</v>
      </c>
      <c r="B1990" s="217"/>
      <c r="C1990" s="217" t="str">
        <f>IFERROR(VLOOKUP(B1990, SourceData!$U$3:$V$190, 2, FALSE), "")</f>
        <v/>
      </c>
      <c r="D1990" s="240"/>
      <c r="E1990" s="241"/>
      <c r="F1990" s="248"/>
      <c r="G1990" s="207"/>
      <c r="H1990" s="209"/>
      <c r="I1990" s="209"/>
      <c r="J1990" s="209"/>
      <c r="K1990" s="208" t="str">
        <f>IF(Errors!$I1990=0,SourceData!$B$42,VLOOKUP(Errors!$I1990,SourceData!$A$2:$B$40,2,FALSE))</f>
        <v>Please select ERROR CODE column "I"</v>
      </c>
      <c r="L1990" s="207" t="str">
        <f>IF(Errors!$I1990=0,
    'List of Error Codes'!$E$29,
    IFERROR(VLOOKUP(Errors!$I1990, 'List of Error Codes'!D1989:I2019, 6, FALSE), 'List of Error Codes'!$E$29)
)</f>
        <v>Please select ERROR CODE column "I"</v>
      </c>
      <c r="M1990" s="209"/>
      <c r="N1990" s="209"/>
      <c r="O1990" s="209"/>
      <c r="P1990" s="209"/>
      <c r="Q1990" s="209"/>
      <c r="R1990" s="217"/>
      <c r="S1990" s="217"/>
      <c r="T1990" s="217"/>
      <c r="U1990" s="199"/>
      <c r="V1990" s="200"/>
      <c r="W1990" s="200"/>
      <c r="X1990" s="200"/>
      <c r="Y1990" s="200"/>
      <c r="Z1990" s="200"/>
      <c r="AA1990" s="201"/>
      <c r="AB1990" s="200"/>
      <c r="AC1990" s="200"/>
    </row>
    <row r="1991" ht="15.75" customHeight="1">
      <c r="A1991" s="210">
        <f t="shared" si="1"/>
        <v>1989</v>
      </c>
      <c r="B1991" s="217"/>
      <c r="C1991" s="217" t="str">
        <f>IFERROR(VLOOKUP(B1991, SourceData!$U$3:$V$190, 2, FALSE), "")</f>
        <v/>
      </c>
      <c r="D1991" s="240"/>
      <c r="E1991" s="241"/>
      <c r="F1991" s="248"/>
      <c r="G1991" s="207"/>
      <c r="H1991" s="209"/>
      <c r="I1991" s="209"/>
      <c r="J1991" s="209"/>
      <c r="K1991" s="208" t="str">
        <f>IF(Errors!$I1991=0,SourceData!$B$42,VLOOKUP(Errors!$I1991,SourceData!$A$2:$B$40,2,FALSE))</f>
        <v>Please select ERROR CODE column "I"</v>
      </c>
      <c r="L1991" s="207" t="str">
        <f>IF(Errors!$I1991=0,
    'List of Error Codes'!$E$29,
    IFERROR(VLOOKUP(Errors!$I1991, 'List of Error Codes'!D1990:I2020, 6, FALSE), 'List of Error Codes'!$E$29)
)</f>
        <v>Please select ERROR CODE column "I"</v>
      </c>
      <c r="M1991" s="209"/>
      <c r="N1991" s="209"/>
      <c r="O1991" s="209"/>
      <c r="P1991" s="209"/>
      <c r="Q1991" s="209"/>
      <c r="R1991" s="217"/>
      <c r="S1991" s="217"/>
      <c r="T1991" s="217"/>
      <c r="U1991" s="199"/>
      <c r="V1991" s="200"/>
      <c r="W1991" s="200"/>
      <c r="X1991" s="200"/>
      <c r="Y1991" s="200"/>
      <c r="Z1991" s="200"/>
      <c r="AA1991" s="201"/>
      <c r="AB1991" s="200"/>
      <c r="AC1991" s="200"/>
    </row>
    <row r="1992" ht="15.75" customHeight="1">
      <c r="A1992" s="210">
        <f t="shared" si="1"/>
        <v>1990</v>
      </c>
      <c r="B1992" s="217"/>
      <c r="C1992" s="217" t="str">
        <f>IFERROR(VLOOKUP(B1992, SourceData!$U$3:$V$190, 2, FALSE), "")</f>
        <v/>
      </c>
      <c r="D1992" s="240"/>
      <c r="E1992" s="241"/>
      <c r="F1992" s="248"/>
      <c r="G1992" s="207"/>
      <c r="H1992" s="209"/>
      <c r="I1992" s="209"/>
      <c r="J1992" s="209"/>
      <c r="K1992" s="208" t="str">
        <f>IF(Errors!$I1992=0,SourceData!$B$42,VLOOKUP(Errors!$I1992,SourceData!$A$2:$B$40,2,FALSE))</f>
        <v>Please select ERROR CODE column "I"</v>
      </c>
      <c r="L1992" s="207" t="str">
        <f>IF(Errors!$I1992=0,
    'List of Error Codes'!$E$29,
    IFERROR(VLOOKUP(Errors!$I1992, 'List of Error Codes'!D1991:I2021, 6, FALSE), 'List of Error Codes'!$E$29)
)</f>
        <v>Please select ERROR CODE column "I"</v>
      </c>
      <c r="M1992" s="209"/>
      <c r="N1992" s="209"/>
      <c r="O1992" s="209"/>
      <c r="P1992" s="209"/>
      <c r="Q1992" s="209"/>
      <c r="R1992" s="217"/>
      <c r="S1992" s="217"/>
      <c r="T1992" s="217"/>
      <c r="U1992" s="199"/>
      <c r="V1992" s="200"/>
      <c r="W1992" s="200"/>
      <c r="X1992" s="200"/>
      <c r="Y1992" s="200"/>
      <c r="Z1992" s="200"/>
      <c r="AA1992" s="201"/>
      <c r="AB1992" s="200"/>
      <c r="AC1992" s="200"/>
    </row>
    <row r="1993" ht="15.75" customHeight="1">
      <c r="A1993" s="210">
        <f t="shared" si="1"/>
        <v>1991</v>
      </c>
      <c r="B1993" s="217"/>
      <c r="C1993" s="217" t="str">
        <f>IFERROR(VLOOKUP(B1993, SourceData!$U$3:$V$190, 2, FALSE), "")</f>
        <v/>
      </c>
      <c r="D1993" s="240"/>
      <c r="E1993" s="241"/>
      <c r="F1993" s="248"/>
      <c r="G1993" s="207"/>
      <c r="H1993" s="209"/>
      <c r="I1993" s="209"/>
      <c r="J1993" s="209"/>
      <c r="K1993" s="208" t="str">
        <f>IF(Errors!$I1993=0,SourceData!$B$42,VLOOKUP(Errors!$I1993,SourceData!$A$2:$B$40,2,FALSE))</f>
        <v>Please select ERROR CODE column "I"</v>
      </c>
      <c r="L1993" s="207" t="str">
        <f>IF(Errors!$I1993=0,
    'List of Error Codes'!$E$29,
    IFERROR(VLOOKUP(Errors!$I1993, 'List of Error Codes'!D1992:I2022, 6, FALSE), 'List of Error Codes'!$E$29)
)</f>
        <v>Please select ERROR CODE column "I"</v>
      </c>
      <c r="M1993" s="209"/>
      <c r="N1993" s="209"/>
      <c r="O1993" s="209"/>
      <c r="P1993" s="209"/>
      <c r="Q1993" s="209"/>
      <c r="R1993" s="217"/>
      <c r="S1993" s="217"/>
      <c r="T1993" s="217"/>
      <c r="U1993" s="199"/>
      <c r="V1993" s="200"/>
      <c r="W1993" s="200"/>
      <c r="X1993" s="200"/>
      <c r="Y1993" s="200"/>
      <c r="Z1993" s="200"/>
      <c r="AA1993" s="201"/>
      <c r="AB1993" s="200"/>
      <c r="AC1993" s="200"/>
    </row>
    <row r="1994" ht="15.75" customHeight="1">
      <c r="A1994" s="210">
        <f t="shared" si="1"/>
        <v>1992</v>
      </c>
      <c r="B1994" s="217"/>
      <c r="C1994" s="217" t="str">
        <f>IFERROR(VLOOKUP(B1994, SourceData!$U$3:$V$190, 2, FALSE), "")</f>
        <v/>
      </c>
      <c r="D1994" s="240"/>
      <c r="E1994" s="241"/>
      <c r="F1994" s="248"/>
      <c r="G1994" s="207"/>
      <c r="H1994" s="209"/>
      <c r="I1994" s="209"/>
      <c r="J1994" s="209"/>
      <c r="K1994" s="208" t="str">
        <f>IF(Errors!$I1994=0,SourceData!$B$42,VLOOKUP(Errors!$I1994,SourceData!$A$2:$B$40,2,FALSE))</f>
        <v>Please select ERROR CODE column "I"</v>
      </c>
      <c r="L1994" s="207" t="str">
        <f>IF(Errors!$I1994=0,
    'List of Error Codes'!$E$29,
    IFERROR(VLOOKUP(Errors!$I1994, 'List of Error Codes'!D1993:I2023, 6, FALSE), 'List of Error Codes'!$E$29)
)</f>
        <v>Please select ERROR CODE column "I"</v>
      </c>
      <c r="M1994" s="209"/>
      <c r="N1994" s="209"/>
      <c r="O1994" s="209"/>
      <c r="P1994" s="209"/>
      <c r="Q1994" s="209"/>
      <c r="R1994" s="217"/>
      <c r="S1994" s="217"/>
      <c r="T1994" s="217"/>
      <c r="U1994" s="199"/>
      <c r="V1994" s="200"/>
      <c r="W1994" s="200"/>
      <c r="X1994" s="200"/>
      <c r="Y1994" s="200"/>
      <c r="Z1994" s="200"/>
      <c r="AA1994" s="201"/>
      <c r="AB1994" s="200"/>
      <c r="AC1994" s="200"/>
    </row>
    <row r="1995" ht="15.75" customHeight="1">
      <c r="A1995" s="210">
        <f t="shared" si="1"/>
        <v>1993</v>
      </c>
      <c r="B1995" s="217"/>
      <c r="C1995" s="217" t="str">
        <f>IFERROR(VLOOKUP(B1995, SourceData!$U$3:$V$190, 2, FALSE), "")</f>
        <v/>
      </c>
      <c r="D1995" s="240"/>
      <c r="E1995" s="241"/>
      <c r="F1995" s="248"/>
      <c r="G1995" s="207"/>
      <c r="H1995" s="209"/>
      <c r="I1995" s="209"/>
      <c r="J1995" s="209"/>
      <c r="K1995" s="208" t="str">
        <f>IF(Errors!$I1995=0,SourceData!$B$42,VLOOKUP(Errors!$I1995,SourceData!$A$2:$B$40,2,FALSE))</f>
        <v>Please select ERROR CODE column "I"</v>
      </c>
      <c r="L1995" s="207" t="str">
        <f>IF(Errors!$I1995=0,
    'List of Error Codes'!$E$29,
    IFERROR(VLOOKUP(Errors!$I1995, 'List of Error Codes'!D1994:I2024, 6, FALSE), 'List of Error Codes'!$E$29)
)</f>
        <v>Please select ERROR CODE column "I"</v>
      </c>
      <c r="M1995" s="209"/>
      <c r="N1995" s="209"/>
      <c r="O1995" s="209"/>
      <c r="P1995" s="209"/>
      <c r="Q1995" s="209"/>
      <c r="R1995" s="217"/>
      <c r="S1995" s="217"/>
      <c r="T1995" s="217"/>
      <c r="U1995" s="199"/>
      <c r="V1995" s="200"/>
      <c r="W1995" s="200"/>
      <c r="X1995" s="200"/>
      <c r="Y1995" s="200"/>
      <c r="Z1995" s="200"/>
      <c r="AA1995" s="201"/>
      <c r="AB1995" s="200"/>
      <c r="AC1995" s="200"/>
    </row>
    <row r="1996" ht="15.75" customHeight="1">
      <c r="A1996" s="210">
        <f t="shared" si="1"/>
        <v>1994</v>
      </c>
      <c r="B1996" s="217"/>
      <c r="C1996" s="217" t="str">
        <f>IFERROR(VLOOKUP(B1996, SourceData!$U$3:$V$190, 2, FALSE), "")</f>
        <v/>
      </c>
      <c r="D1996" s="240"/>
      <c r="E1996" s="241"/>
      <c r="F1996" s="248"/>
      <c r="G1996" s="207"/>
      <c r="H1996" s="209"/>
      <c r="I1996" s="209"/>
      <c r="J1996" s="209"/>
      <c r="K1996" s="208" t="str">
        <f>IF(Errors!$I1996=0,SourceData!$B$42,VLOOKUP(Errors!$I1996,SourceData!$A$2:$B$40,2,FALSE))</f>
        <v>Please select ERROR CODE column "I"</v>
      </c>
      <c r="L1996" s="207" t="str">
        <f>IF(Errors!$I1996=0,
    'List of Error Codes'!$E$29,
    IFERROR(VLOOKUP(Errors!$I1996, 'List of Error Codes'!D1995:I2025, 6, FALSE), 'List of Error Codes'!$E$29)
)</f>
        <v>Please select ERROR CODE column "I"</v>
      </c>
      <c r="M1996" s="209"/>
      <c r="N1996" s="209"/>
      <c r="O1996" s="209"/>
      <c r="P1996" s="209"/>
      <c r="Q1996" s="209"/>
      <c r="R1996" s="217"/>
      <c r="S1996" s="217"/>
      <c r="T1996" s="217"/>
      <c r="U1996" s="199"/>
      <c r="V1996" s="200"/>
      <c r="W1996" s="200"/>
      <c r="X1996" s="200"/>
      <c r="Y1996" s="200"/>
      <c r="Z1996" s="200"/>
      <c r="AA1996" s="201"/>
      <c r="AB1996" s="200"/>
      <c r="AC1996" s="200"/>
    </row>
    <row r="1997" ht="15.75" customHeight="1">
      <c r="A1997" s="210">
        <f t="shared" si="1"/>
        <v>1995</v>
      </c>
      <c r="B1997" s="217"/>
      <c r="C1997" s="217" t="str">
        <f>IFERROR(VLOOKUP(B1997, SourceData!$U$3:$V$190, 2, FALSE), "")</f>
        <v/>
      </c>
      <c r="D1997" s="240"/>
      <c r="E1997" s="241"/>
      <c r="F1997" s="248"/>
      <c r="G1997" s="207"/>
      <c r="H1997" s="209"/>
      <c r="I1997" s="209"/>
      <c r="J1997" s="209"/>
      <c r="K1997" s="208" t="str">
        <f>IF(Errors!$I1997=0,SourceData!$B$42,VLOOKUP(Errors!$I1997,SourceData!$A$2:$B$40,2,FALSE))</f>
        <v>Please select ERROR CODE column "I"</v>
      </c>
      <c r="L1997" s="207" t="str">
        <f>IF(Errors!$I1997=0,
    'List of Error Codes'!$E$29,
    IFERROR(VLOOKUP(Errors!$I1997, 'List of Error Codes'!D1996:I2026, 6, FALSE), 'List of Error Codes'!$E$29)
)</f>
        <v>Please select ERROR CODE column "I"</v>
      </c>
      <c r="M1997" s="209"/>
      <c r="N1997" s="209"/>
      <c r="O1997" s="209"/>
      <c r="P1997" s="209"/>
      <c r="Q1997" s="209"/>
      <c r="R1997" s="217"/>
      <c r="S1997" s="217"/>
      <c r="T1997" s="217"/>
      <c r="U1997" s="199"/>
      <c r="V1997" s="200"/>
      <c r="W1997" s="200"/>
      <c r="X1997" s="200"/>
      <c r="Y1997" s="200"/>
      <c r="Z1997" s="200"/>
      <c r="AA1997" s="201"/>
      <c r="AB1997" s="200"/>
      <c r="AC1997" s="200"/>
    </row>
    <row r="1998" ht="15.75" customHeight="1">
      <c r="A1998" s="210">
        <f t="shared" si="1"/>
        <v>1996</v>
      </c>
      <c r="B1998" s="217"/>
      <c r="C1998" s="217" t="str">
        <f>IFERROR(VLOOKUP(B1998, SourceData!$U$3:$V$190, 2, FALSE), "")</f>
        <v/>
      </c>
      <c r="D1998" s="240"/>
      <c r="E1998" s="241"/>
      <c r="F1998" s="248"/>
      <c r="G1998" s="207"/>
      <c r="H1998" s="209"/>
      <c r="I1998" s="209"/>
      <c r="J1998" s="209"/>
      <c r="K1998" s="208" t="str">
        <f>IF(Errors!$I1998=0,SourceData!$B$42,VLOOKUP(Errors!$I1998,SourceData!$A$2:$B$40,2,FALSE))</f>
        <v>Please select ERROR CODE column "I"</v>
      </c>
      <c r="L1998" s="207" t="str">
        <f>IF(Errors!$I1998=0,
    'List of Error Codes'!$E$29,
    IFERROR(VLOOKUP(Errors!$I1998, 'List of Error Codes'!D1997:I2027, 6, FALSE), 'List of Error Codes'!$E$29)
)</f>
        <v>Please select ERROR CODE column "I"</v>
      </c>
      <c r="M1998" s="209"/>
      <c r="N1998" s="209"/>
      <c r="O1998" s="209"/>
      <c r="P1998" s="209"/>
      <c r="Q1998" s="209"/>
      <c r="R1998" s="217"/>
      <c r="S1998" s="217"/>
      <c r="T1998" s="217"/>
      <c r="U1998" s="199"/>
      <c r="V1998" s="200"/>
      <c r="W1998" s="200"/>
      <c r="X1998" s="200"/>
      <c r="Y1998" s="200"/>
      <c r="Z1998" s="200"/>
      <c r="AA1998" s="201"/>
      <c r="AB1998" s="200"/>
      <c r="AC1998" s="200"/>
    </row>
    <row r="1999" ht="15.75" customHeight="1">
      <c r="A1999" s="210">
        <f t="shared" si="1"/>
        <v>1997</v>
      </c>
      <c r="B1999" s="217"/>
      <c r="C1999" s="217" t="str">
        <f>IFERROR(VLOOKUP(B1999, SourceData!$U$3:$V$190, 2, FALSE), "")</f>
        <v/>
      </c>
      <c r="D1999" s="240"/>
      <c r="E1999" s="241"/>
      <c r="F1999" s="248"/>
      <c r="G1999" s="207"/>
      <c r="H1999" s="209"/>
      <c r="I1999" s="209"/>
      <c r="J1999" s="209"/>
      <c r="K1999" s="208" t="str">
        <f>IF(Errors!$I1999=0,SourceData!$B$42,VLOOKUP(Errors!$I1999,SourceData!$A$2:$B$40,2,FALSE))</f>
        <v>Please select ERROR CODE column "I"</v>
      </c>
      <c r="L1999" s="207" t="str">
        <f>IF(Errors!$I1999=0,
    'List of Error Codes'!$E$29,
    IFERROR(VLOOKUP(Errors!$I1999, 'List of Error Codes'!D1998:I2028, 6, FALSE), 'List of Error Codes'!$E$29)
)</f>
        <v>Please select ERROR CODE column "I"</v>
      </c>
      <c r="M1999" s="209"/>
      <c r="N1999" s="209"/>
      <c r="O1999" s="209"/>
      <c r="P1999" s="209"/>
      <c r="Q1999" s="209"/>
      <c r="R1999" s="217"/>
      <c r="S1999" s="217"/>
      <c r="T1999" s="217"/>
      <c r="U1999" s="199"/>
      <c r="V1999" s="200"/>
      <c r="W1999" s="200"/>
      <c r="X1999" s="200"/>
      <c r="Y1999" s="200"/>
      <c r="Z1999" s="200"/>
      <c r="AA1999" s="201"/>
      <c r="AB1999" s="200"/>
      <c r="AC1999" s="200"/>
    </row>
    <row r="2000" ht="15.75" customHeight="1">
      <c r="A2000" s="210">
        <f t="shared" si="1"/>
        <v>1998</v>
      </c>
      <c r="B2000" s="217"/>
      <c r="C2000" s="217" t="str">
        <f>IFERROR(VLOOKUP(B2000, SourceData!$U$3:$V$190, 2, FALSE), "")</f>
        <v/>
      </c>
      <c r="D2000" s="240"/>
      <c r="E2000" s="241"/>
      <c r="F2000" s="248"/>
      <c r="G2000" s="207"/>
      <c r="H2000" s="209"/>
      <c r="I2000" s="209"/>
      <c r="J2000" s="209"/>
      <c r="K2000" s="208" t="str">
        <f>IF(Errors!$I2000=0,SourceData!$B$42,VLOOKUP(Errors!$I2000,SourceData!$A$2:$B$40,2,FALSE))</f>
        <v>Please select ERROR CODE column "I"</v>
      </c>
      <c r="L2000" s="207" t="str">
        <f>IF(Errors!$I2000=0,
    'List of Error Codes'!$E$29,
    IFERROR(VLOOKUP(Errors!$I2000, 'List of Error Codes'!D1999:I2029, 6, FALSE), 'List of Error Codes'!$E$29)
)</f>
        <v>Please select ERROR CODE column "I"</v>
      </c>
      <c r="M2000" s="209"/>
      <c r="N2000" s="209"/>
      <c r="O2000" s="209"/>
      <c r="P2000" s="209"/>
      <c r="Q2000" s="209"/>
      <c r="R2000" s="217"/>
      <c r="S2000" s="217"/>
      <c r="T2000" s="217"/>
      <c r="U2000" s="199"/>
      <c r="V2000" s="200"/>
      <c r="W2000" s="200"/>
      <c r="X2000" s="200"/>
      <c r="Y2000" s="200"/>
      <c r="Z2000" s="200"/>
      <c r="AA2000" s="201"/>
      <c r="AB2000" s="200"/>
      <c r="AC2000" s="200"/>
    </row>
    <row r="2001" ht="15.75" customHeight="1">
      <c r="A2001" s="210">
        <f t="shared" si="1"/>
        <v>1999</v>
      </c>
      <c r="B2001" s="217"/>
      <c r="C2001" s="217" t="str">
        <f>IFERROR(VLOOKUP(B2001, SourceData!$U$3:$V$190, 2, FALSE), "")</f>
        <v/>
      </c>
      <c r="D2001" s="240"/>
      <c r="E2001" s="241"/>
      <c r="F2001" s="248"/>
      <c r="G2001" s="207"/>
      <c r="H2001" s="209"/>
      <c r="I2001" s="209"/>
      <c r="J2001" s="209"/>
      <c r="K2001" s="208" t="str">
        <f>IF(Errors!$I2001=0,SourceData!$B$42,VLOOKUP(Errors!$I2001,SourceData!$A$2:$B$40,2,FALSE))</f>
        <v>Please select ERROR CODE column "I"</v>
      </c>
      <c r="L2001" s="207" t="str">
        <f>IF(Errors!$I2001=0,
    'List of Error Codes'!$E$29,
    IFERROR(VLOOKUP(Errors!$I2001, 'List of Error Codes'!D2000:I2030, 6, FALSE), 'List of Error Codes'!$E$29)
)</f>
        <v>Please select ERROR CODE column "I"</v>
      </c>
      <c r="M2001" s="209"/>
      <c r="N2001" s="209"/>
      <c r="O2001" s="209"/>
      <c r="P2001" s="209"/>
      <c r="Q2001" s="209"/>
      <c r="R2001" s="217"/>
      <c r="S2001" s="217"/>
      <c r="T2001" s="217"/>
      <c r="U2001" s="199"/>
      <c r="V2001" s="200"/>
      <c r="W2001" s="200"/>
      <c r="X2001" s="200"/>
      <c r="Y2001" s="200"/>
      <c r="Z2001" s="200"/>
      <c r="AA2001" s="201"/>
      <c r="AB2001" s="200"/>
      <c r="AC2001" s="200"/>
    </row>
    <row r="2002" ht="15.75" customHeight="1">
      <c r="A2002" s="210">
        <f t="shared" si="1"/>
        <v>2000</v>
      </c>
      <c r="B2002" s="217"/>
      <c r="C2002" s="217" t="str">
        <f>IFERROR(VLOOKUP(B2002, SourceData!$U$3:$V$190, 2, FALSE), "")</f>
        <v/>
      </c>
      <c r="D2002" s="240"/>
      <c r="E2002" s="241"/>
      <c r="F2002" s="248"/>
      <c r="G2002" s="207"/>
      <c r="H2002" s="209"/>
      <c r="I2002" s="209"/>
      <c r="J2002" s="209"/>
      <c r="K2002" s="208" t="str">
        <f>IF(Errors!$I2002=0,SourceData!$B$42,VLOOKUP(Errors!$I2002,SourceData!$A$2:$B$40,2,FALSE))</f>
        <v>Please select ERROR CODE column "I"</v>
      </c>
      <c r="L2002" s="207" t="str">
        <f>IF(Errors!$I2002=0,
    'List of Error Codes'!$E$29,
    IFERROR(VLOOKUP(Errors!$I2002, 'List of Error Codes'!D2001:I2031, 6, FALSE), 'List of Error Codes'!$E$29)
)</f>
        <v>Please select ERROR CODE column "I"</v>
      </c>
      <c r="M2002" s="209"/>
      <c r="N2002" s="209"/>
      <c r="O2002" s="209"/>
      <c r="P2002" s="209"/>
      <c r="Q2002" s="209"/>
      <c r="R2002" s="217"/>
      <c r="S2002" s="217"/>
      <c r="T2002" s="217"/>
      <c r="U2002" s="199"/>
      <c r="V2002" s="200"/>
      <c r="W2002" s="200"/>
      <c r="X2002" s="200"/>
      <c r="Y2002" s="200"/>
      <c r="Z2002" s="200"/>
      <c r="AA2002" s="201"/>
      <c r="AB2002" s="200"/>
      <c r="AC2002" s="200"/>
    </row>
    <row r="2003" ht="15.75" customHeight="1">
      <c r="A2003" s="210">
        <f t="shared" si="1"/>
        <v>2001</v>
      </c>
      <c r="B2003" s="217"/>
      <c r="C2003" s="217" t="str">
        <f>IFERROR(VLOOKUP(B2003, SourceData!$U$3:$V$190, 2, FALSE), "")</f>
        <v/>
      </c>
      <c r="D2003" s="240"/>
      <c r="E2003" s="241"/>
      <c r="F2003" s="248"/>
      <c r="G2003" s="207"/>
      <c r="H2003" s="209"/>
      <c r="I2003" s="209"/>
      <c r="J2003" s="209"/>
      <c r="K2003" s="208" t="str">
        <f>IF(Errors!$I2003=0,SourceData!$B$42,VLOOKUP(Errors!$I2003,SourceData!$A$2:$B$40,2,FALSE))</f>
        <v>Please select ERROR CODE column "I"</v>
      </c>
      <c r="L2003" s="207" t="str">
        <f>IF(Errors!$I2003=0,
    'List of Error Codes'!$E$29,
    IFERROR(VLOOKUP(Errors!$I2003, 'List of Error Codes'!D2002:I2032, 6, FALSE), 'List of Error Codes'!$E$29)
)</f>
        <v>Please select ERROR CODE column "I"</v>
      </c>
      <c r="M2003" s="209"/>
      <c r="N2003" s="209"/>
      <c r="O2003" s="209"/>
      <c r="P2003" s="209"/>
      <c r="Q2003" s="209"/>
      <c r="R2003" s="217"/>
      <c r="S2003" s="217"/>
      <c r="T2003" s="217"/>
      <c r="U2003" s="199"/>
      <c r="V2003" s="200"/>
      <c r="W2003" s="200"/>
      <c r="X2003" s="200"/>
      <c r="Y2003" s="200"/>
      <c r="Z2003" s="200"/>
      <c r="AA2003" s="201"/>
      <c r="AB2003" s="200"/>
      <c r="AC2003" s="200"/>
    </row>
    <row r="2004" ht="15.75" customHeight="1">
      <c r="A2004" s="210">
        <f t="shared" si="1"/>
        <v>2002</v>
      </c>
      <c r="B2004" s="217"/>
      <c r="C2004" s="217" t="str">
        <f>IFERROR(VLOOKUP(B2004, SourceData!$U$3:$V$190, 2, FALSE), "")</f>
        <v/>
      </c>
      <c r="D2004" s="240"/>
      <c r="E2004" s="241"/>
      <c r="F2004" s="248"/>
      <c r="G2004" s="207"/>
      <c r="H2004" s="209"/>
      <c r="I2004" s="209"/>
      <c r="J2004" s="209"/>
      <c r="K2004" s="208" t="str">
        <f>IF(Errors!$I2004=0,SourceData!$B$42,VLOOKUP(Errors!$I2004,SourceData!$A$2:$B$40,2,FALSE))</f>
        <v>Please select ERROR CODE column "I"</v>
      </c>
      <c r="L2004" s="207" t="str">
        <f>IF(Errors!$I2004=0,
    'List of Error Codes'!$E$29,
    IFERROR(VLOOKUP(Errors!$I2004, 'List of Error Codes'!D2003:I2033, 6, FALSE), 'List of Error Codes'!$E$29)
)</f>
        <v>Please select ERROR CODE column "I"</v>
      </c>
      <c r="M2004" s="209"/>
      <c r="N2004" s="209"/>
      <c r="O2004" s="209"/>
      <c r="P2004" s="209"/>
      <c r="Q2004" s="209"/>
      <c r="R2004" s="217"/>
      <c r="S2004" s="217"/>
      <c r="T2004" s="217"/>
      <c r="U2004" s="199"/>
      <c r="V2004" s="200"/>
      <c r="W2004" s="200"/>
      <c r="X2004" s="200"/>
      <c r="Y2004" s="200"/>
      <c r="Z2004" s="200"/>
      <c r="AA2004" s="201"/>
      <c r="AB2004" s="200"/>
      <c r="AC2004" s="200"/>
    </row>
    <row r="2005" ht="15.75" customHeight="1">
      <c r="A2005" s="210">
        <f t="shared" si="1"/>
        <v>2003</v>
      </c>
      <c r="B2005" s="217"/>
      <c r="C2005" s="217" t="str">
        <f>IFERROR(VLOOKUP(B2005, SourceData!$U$3:$V$190, 2, FALSE), "")</f>
        <v/>
      </c>
      <c r="D2005" s="240"/>
      <c r="E2005" s="241"/>
      <c r="F2005" s="248"/>
      <c r="G2005" s="207"/>
      <c r="H2005" s="209"/>
      <c r="I2005" s="209"/>
      <c r="J2005" s="209"/>
      <c r="K2005" s="208" t="str">
        <f>IF(Errors!$I2005=0,SourceData!$B$42,VLOOKUP(Errors!$I2005,SourceData!$A$2:$B$40,2,FALSE))</f>
        <v>Please select ERROR CODE column "I"</v>
      </c>
      <c r="L2005" s="207" t="str">
        <f>IF(Errors!$I2005=0,
    'List of Error Codes'!$E$29,
    IFERROR(VLOOKUP(Errors!$I2005, 'List of Error Codes'!D2004:I2034, 6, FALSE), 'List of Error Codes'!$E$29)
)</f>
        <v>Please select ERROR CODE column "I"</v>
      </c>
      <c r="M2005" s="209"/>
      <c r="N2005" s="209"/>
      <c r="O2005" s="209"/>
      <c r="P2005" s="209"/>
      <c r="Q2005" s="209"/>
      <c r="R2005" s="217"/>
      <c r="S2005" s="217"/>
      <c r="T2005" s="217"/>
      <c r="U2005" s="199"/>
      <c r="V2005" s="200"/>
      <c r="W2005" s="200"/>
      <c r="X2005" s="200"/>
      <c r="Y2005" s="200"/>
      <c r="Z2005" s="200"/>
      <c r="AA2005" s="201"/>
      <c r="AB2005" s="200"/>
      <c r="AC2005" s="200"/>
    </row>
    <row r="2006" ht="15.75" customHeight="1">
      <c r="A2006" s="210">
        <f t="shared" si="1"/>
        <v>2004</v>
      </c>
      <c r="B2006" s="217"/>
      <c r="C2006" s="217" t="str">
        <f>IFERROR(VLOOKUP(B2006, SourceData!$U$3:$V$190, 2, FALSE), "")</f>
        <v/>
      </c>
      <c r="D2006" s="240"/>
      <c r="E2006" s="241"/>
      <c r="F2006" s="248"/>
      <c r="G2006" s="207"/>
      <c r="H2006" s="209"/>
      <c r="I2006" s="209"/>
      <c r="J2006" s="209"/>
      <c r="K2006" s="208" t="str">
        <f>IF(Errors!$I2006=0,SourceData!$B$42,VLOOKUP(Errors!$I2006,SourceData!$A$2:$B$40,2,FALSE))</f>
        <v>Please select ERROR CODE column "I"</v>
      </c>
      <c r="L2006" s="207" t="str">
        <f>IF(Errors!$I2006=0,
    'List of Error Codes'!$E$29,
    IFERROR(VLOOKUP(Errors!$I2006, 'List of Error Codes'!D2005:I2035, 6, FALSE), 'List of Error Codes'!$E$29)
)</f>
        <v>Please select ERROR CODE column "I"</v>
      </c>
      <c r="M2006" s="209"/>
      <c r="N2006" s="209"/>
      <c r="O2006" s="209"/>
      <c r="P2006" s="209"/>
      <c r="Q2006" s="209"/>
      <c r="R2006" s="217"/>
      <c r="S2006" s="217"/>
      <c r="T2006" s="217"/>
      <c r="U2006" s="199"/>
      <c r="V2006" s="200"/>
      <c r="W2006" s="200"/>
      <c r="X2006" s="200"/>
      <c r="Y2006" s="200"/>
      <c r="Z2006" s="200"/>
      <c r="AA2006" s="201"/>
      <c r="AB2006" s="200"/>
      <c r="AC2006" s="200"/>
    </row>
    <row r="2007" ht="15.75" customHeight="1">
      <c r="A2007" s="210">
        <f t="shared" si="1"/>
        <v>2005</v>
      </c>
      <c r="B2007" s="217"/>
      <c r="C2007" s="217" t="str">
        <f>IFERROR(VLOOKUP(B2007, SourceData!$U$3:$V$190, 2, FALSE), "")</f>
        <v/>
      </c>
      <c r="D2007" s="240"/>
      <c r="E2007" s="241"/>
      <c r="F2007" s="248"/>
      <c r="G2007" s="207"/>
      <c r="H2007" s="209"/>
      <c r="I2007" s="209"/>
      <c r="J2007" s="209"/>
      <c r="K2007" s="208" t="str">
        <f>IF(Errors!$I2007=0,SourceData!$B$42,VLOOKUP(Errors!$I2007,SourceData!$A$2:$B$40,2,FALSE))</f>
        <v>Please select ERROR CODE column "I"</v>
      </c>
      <c r="L2007" s="207" t="str">
        <f>IF(Errors!$I2007=0,
    'List of Error Codes'!$E$29,
    IFERROR(VLOOKUP(Errors!$I2007, 'List of Error Codes'!D2006:I2036, 6, FALSE), 'List of Error Codes'!$E$29)
)</f>
        <v>Please select ERROR CODE column "I"</v>
      </c>
      <c r="M2007" s="209"/>
      <c r="N2007" s="209"/>
      <c r="O2007" s="209"/>
      <c r="P2007" s="209"/>
      <c r="Q2007" s="209"/>
      <c r="R2007" s="217"/>
      <c r="S2007" s="217"/>
      <c r="T2007" s="217"/>
      <c r="U2007" s="199"/>
      <c r="V2007" s="200"/>
      <c r="W2007" s="200"/>
      <c r="X2007" s="200"/>
      <c r="Y2007" s="200"/>
      <c r="Z2007" s="200"/>
      <c r="AA2007" s="201"/>
      <c r="AB2007" s="200"/>
      <c r="AC2007" s="200"/>
    </row>
    <row r="2008" ht="15.75" customHeight="1">
      <c r="A2008" s="210">
        <f t="shared" si="1"/>
        <v>2006</v>
      </c>
      <c r="B2008" s="217"/>
      <c r="C2008" s="217" t="str">
        <f>IFERROR(VLOOKUP(B2008, SourceData!$U$3:$V$190, 2, FALSE), "")</f>
        <v/>
      </c>
      <c r="D2008" s="240"/>
      <c r="E2008" s="241"/>
      <c r="F2008" s="248"/>
      <c r="G2008" s="207"/>
      <c r="H2008" s="209"/>
      <c r="I2008" s="209"/>
      <c r="J2008" s="209"/>
      <c r="K2008" s="208" t="str">
        <f>IF(Errors!$I2008=0,SourceData!$B$42,VLOOKUP(Errors!$I2008,SourceData!$A$2:$B$40,2,FALSE))</f>
        <v>Please select ERROR CODE column "I"</v>
      </c>
      <c r="L2008" s="207" t="str">
        <f>IF(Errors!$I2008=0,
    'List of Error Codes'!$E$29,
    IFERROR(VLOOKUP(Errors!$I2008, 'List of Error Codes'!D2007:I2037, 6, FALSE), 'List of Error Codes'!$E$29)
)</f>
        <v>Please select ERROR CODE column "I"</v>
      </c>
      <c r="M2008" s="209"/>
      <c r="N2008" s="209"/>
      <c r="O2008" s="209"/>
      <c r="P2008" s="209"/>
      <c r="Q2008" s="209"/>
      <c r="R2008" s="217"/>
      <c r="S2008" s="217"/>
      <c r="T2008" s="217"/>
      <c r="U2008" s="199"/>
      <c r="V2008" s="200"/>
      <c r="W2008" s="200"/>
      <c r="X2008" s="200"/>
      <c r="Y2008" s="200"/>
      <c r="Z2008" s="200"/>
      <c r="AA2008" s="201"/>
      <c r="AB2008" s="200"/>
      <c r="AC2008" s="200"/>
    </row>
    <row r="2009" ht="15.75" customHeight="1">
      <c r="A2009" s="210">
        <f t="shared" si="1"/>
        <v>2007</v>
      </c>
      <c r="B2009" s="217"/>
      <c r="C2009" s="217" t="str">
        <f>IFERROR(VLOOKUP(B2009, SourceData!$U$3:$V$190, 2, FALSE), "")</f>
        <v/>
      </c>
      <c r="D2009" s="240"/>
      <c r="E2009" s="241"/>
      <c r="F2009" s="248"/>
      <c r="G2009" s="207"/>
      <c r="H2009" s="209"/>
      <c r="I2009" s="209"/>
      <c r="J2009" s="209"/>
      <c r="K2009" s="208" t="str">
        <f>IF(Errors!$I2009=0,SourceData!$B$42,VLOOKUP(Errors!$I2009,SourceData!$A$2:$B$40,2,FALSE))</f>
        <v>Please select ERROR CODE column "I"</v>
      </c>
      <c r="L2009" s="207" t="str">
        <f>IF(Errors!$I2009=0,
    'List of Error Codes'!$E$29,
    IFERROR(VLOOKUP(Errors!$I2009, 'List of Error Codes'!D2008:I2038, 6, FALSE), 'List of Error Codes'!$E$29)
)</f>
        <v>Please select ERROR CODE column "I"</v>
      </c>
      <c r="M2009" s="209"/>
      <c r="N2009" s="209"/>
      <c r="O2009" s="209"/>
      <c r="P2009" s="209"/>
      <c r="Q2009" s="209"/>
      <c r="R2009" s="217"/>
      <c r="S2009" s="217"/>
      <c r="T2009" s="217"/>
      <c r="U2009" s="199"/>
      <c r="V2009" s="200"/>
      <c r="W2009" s="200"/>
      <c r="X2009" s="200"/>
      <c r="Y2009" s="200"/>
      <c r="Z2009" s="200"/>
      <c r="AA2009" s="201"/>
      <c r="AB2009" s="200"/>
      <c r="AC2009" s="200"/>
    </row>
    <row r="2010" ht="15.75" customHeight="1">
      <c r="A2010" s="210">
        <f t="shared" si="1"/>
        <v>2008</v>
      </c>
      <c r="B2010" s="217"/>
      <c r="C2010" s="217" t="str">
        <f>IFERROR(VLOOKUP(B2010, SourceData!$U$3:$V$190, 2, FALSE), "")</f>
        <v/>
      </c>
      <c r="D2010" s="240"/>
      <c r="E2010" s="241"/>
      <c r="F2010" s="248"/>
      <c r="G2010" s="207"/>
      <c r="H2010" s="209"/>
      <c r="I2010" s="209"/>
      <c r="J2010" s="209"/>
      <c r="K2010" s="208" t="str">
        <f>IF(Errors!$I2010=0,SourceData!$B$42,VLOOKUP(Errors!$I2010,SourceData!$A$2:$B$40,2,FALSE))</f>
        <v>Please select ERROR CODE column "I"</v>
      </c>
      <c r="L2010" s="207" t="str">
        <f>IF(Errors!$I2010=0,
    'List of Error Codes'!$E$29,
    IFERROR(VLOOKUP(Errors!$I2010, 'List of Error Codes'!D2009:I2039, 6, FALSE), 'List of Error Codes'!$E$29)
)</f>
        <v>Please select ERROR CODE column "I"</v>
      </c>
      <c r="M2010" s="209"/>
      <c r="N2010" s="209"/>
      <c r="O2010" s="209"/>
      <c r="P2010" s="209"/>
      <c r="Q2010" s="209"/>
      <c r="R2010" s="217"/>
      <c r="S2010" s="217"/>
      <c r="T2010" s="217"/>
      <c r="U2010" s="199"/>
      <c r="V2010" s="200"/>
      <c r="W2010" s="200"/>
      <c r="X2010" s="200"/>
      <c r="Y2010" s="200"/>
      <c r="Z2010" s="200"/>
      <c r="AA2010" s="201"/>
      <c r="AB2010" s="200"/>
      <c r="AC2010" s="200"/>
    </row>
    <row r="2011" ht="15.75" customHeight="1">
      <c r="A2011" s="210">
        <f t="shared" si="1"/>
        <v>2009</v>
      </c>
      <c r="B2011" s="217"/>
      <c r="C2011" s="217" t="str">
        <f>IFERROR(VLOOKUP(B2011, SourceData!$U$3:$V$190, 2, FALSE), "")</f>
        <v/>
      </c>
      <c r="D2011" s="240"/>
      <c r="E2011" s="241"/>
      <c r="F2011" s="248"/>
      <c r="G2011" s="207"/>
      <c r="H2011" s="209"/>
      <c r="I2011" s="209"/>
      <c r="J2011" s="209"/>
      <c r="K2011" s="208" t="str">
        <f>IF(Errors!$I2011=0,SourceData!$B$42,VLOOKUP(Errors!$I2011,SourceData!$A$2:$B$40,2,FALSE))</f>
        <v>Please select ERROR CODE column "I"</v>
      </c>
      <c r="L2011" s="207" t="str">
        <f>IF(Errors!$I2011=0,
    'List of Error Codes'!$E$29,
    IFERROR(VLOOKUP(Errors!$I2011, 'List of Error Codes'!D2010:I2040, 6, FALSE), 'List of Error Codes'!$E$29)
)</f>
        <v>Please select ERROR CODE column "I"</v>
      </c>
      <c r="M2011" s="209"/>
      <c r="N2011" s="209"/>
      <c r="O2011" s="209"/>
      <c r="P2011" s="209"/>
      <c r="Q2011" s="209"/>
      <c r="R2011" s="217"/>
      <c r="S2011" s="217"/>
      <c r="T2011" s="217"/>
      <c r="U2011" s="199"/>
      <c r="V2011" s="200"/>
      <c r="W2011" s="200"/>
      <c r="X2011" s="200"/>
      <c r="Y2011" s="200"/>
      <c r="Z2011" s="200"/>
      <c r="AA2011" s="201"/>
      <c r="AB2011" s="200"/>
      <c r="AC2011" s="200"/>
    </row>
    <row r="2012" ht="15.75" customHeight="1">
      <c r="A2012" s="210">
        <f t="shared" si="1"/>
        <v>2010</v>
      </c>
      <c r="B2012" s="217"/>
      <c r="C2012" s="217" t="str">
        <f>IFERROR(VLOOKUP(B2012, SourceData!$U$3:$V$190, 2, FALSE), "")</f>
        <v/>
      </c>
      <c r="D2012" s="240"/>
      <c r="E2012" s="241"/>
      <c r="F2012" s="248"/>
      <c r="G2012" s="207"/>
      <c r="H2012" s="209"/>
      <c r="I2012" s="209"/>
      <c r="J2012" s="209"/>
      <c r="K2012" s="208" t="str">
        <f>IF(Errors!$I2012=0,SourceData!$B$42,VLOOKUP(Errors!$I2012,SourceData!$A$2:$B$40,2,FALSE))</f>
        <v>Please select ERROR CODE column "I"</v>
      </c>
      <c r="L2012" s="207" t="str">
        <f>IF(Errors!$I2012=0,
    'List of Error Codes'!$E$29,
    IFERROR(VLOOKUP(Errors!$I2012, 'List of Error Codes'!D2011:I2041, 6, FALSE), 'List of Error Codes'!$E$29)
)</f>
        <v>Please select ERROR CODE column "I"</v>
      </c>
      <c r="M2012" s="209"/>
      <c r="N2012" s="209"/>
      <c r="O2012" s="209"/>
      <c r="P2012" s="209"/>
      <c r="Q2012" s="209"/>
      <c r="R2012" s="217"/>
      <c r="S2012" s="217"/>
      <c r="T2012" s="217"/>
      <c r="U2012" s="199"/>
      <c r="V2012" s="200"/>
      <c r="W2012" s="200"/>
      <c r="X2012" s="200"/>
      <c r="Y2012" s="200"/>
      <c r="Z2012" s="200"/>
      <c r="AA2012" s="201"/>
      <c r="AB2012" s="200"/>
      <c r="AC2012" s="200"/>
    </row>
    <row r="2013" ht="15.75" customHeight="1">
      <c r="A2013" s="210">
        <f t="shared" si="1"/>
        <v>2011</v>
      </c>
      <c r="B2013" s="217"/>
      <c r="C2013" s="217" t="str">
        <f>IFERROR(VLOOKUP(B2013, SourceData!$U$3:$V$190, 2, FALSE), "")</f>
        <v/>
      </c>
      <c r="D2013" s="240"/>
      <c r="E2013" s="241"/>
      <c r="F2013" s="248"/>
      <c r="G2013" s="207"/>
      <c r="H2013" s="209"/>
      <c r="I2013" s="209"/>
      <c r="J2013" s="209"/>
      <c r="K2013" s="208" t="str">
        <f>IF(Errors!$I2013=0,SourceData!$B$42,VLOOKUP(Errors!$I2013,SourceData!$A$2:$B$40,2,FALSE))</f>
        <v>Please select ERROR CODE column "I"</v>
      </c>
      <c r="L2013" s="207" t="str">
        <f>IF(Errors!$I2013=0,
    'List of Error Codes'!$E$29,
    IFERROR(VLOOKUP(Errors!$I2013, 'List of Error Codes'!D2012:I2042, 6, FALSE), 'List of Error Codes'!$E$29)
)</f>
        <v>Please select ERROR CODE column "I"</v>
      </c>
      <c r="M2013" s="209"/>
      <c r="N2013" s="209"/>
      <c r="O2013" s="209"/>
      <c r="P2013" s="209"/>
      <c r="Q2013" s="209"/>
      <c r="R2013" s="217"/>
      <c r="S2013" s="217"/>
      <c r="T2013" s="217"/>
      <c r="U2013" s="199"/>
      <c r="V2013" s="200"/>
      <c r="W2013" s="200"/>
      <c r="X2013" s="200"/>
      <c r="Y2013" s="200"/>
      <c r="Z2013" s="200"/>
      <c r="AA2013" s="201"/>
      <c r="AB2013" s="200"/>
      <c r="AC2013" s="200"/>
    </row>
    <row r="2014" ht="15.75" customHeight="1">
      <c r="A2014" s="210">
        <f t="shared" si="1"/>
        <v>2012</v>
      </c>
      <c r="B2014" s="217"/>
      <c r="C2014" s="217" t="str">
        <f>IFERROR(VLOOKUP(B2014, SourceData!$U$3:$V$190, 2, FALSE), "")</f>
        <v/>
      </c>
      <c r="D2014" s="240"/>
      <c r="E2014" s="241"/>
      <c r="F2014" s="248"/>
      <c r="G2014" s="207"/>
      <c r="H2014" s="209"/>
      <c r="I2014" s="209"/>
      <c r="J2014" s="209"/>
      <c r="K2014" s="208" t="str">
        <f>IF(Errors!$I2014=0,SourceData!$B$42,VLOOKUP(Errors!$I2014,SourceData!$A$2:$B$40,2,FALSE))</f>
        <v>Please select ERROR CODE column "I"</v>
      </c>
      <c r="L2014" s="207" t="str">
        <f>IF(Errors!$I2014=0,
    'List of Error Codes'!$E$29,
    IFERROR(VLOOKUP(Errors!$I2014, 'List of Error Codes'!D2013:I2043, 6, FALSE), 'List of Error Codes'!$E$29)
)</f>
        <v>Please select ERROR CODE column "I"</v>
      </c>
      <c r="M2014" s="209"/>
      <c r="N2014" s="209"/>
      <c r="O2014" s="209"/>
      <c r="P2014" s="209"/>
      <c r="Q2014" s="209"/>
      <c r="R2014" s="217"/>
      <c r="S2014" s="217"/>
      <c r="T2014" s="217"/>
      <c r="U2014" s="199"/>
      <c r="V2014" s="200"/>
      <c r="W2014" s="200"/>
      <c r="X2014" s="200"/>
      <c r="Y2014" s="200"/>
      <c r="Z2014" s="200"/>
      <c r="AA2014" s="201"/>
      <c r="AB2014" s="200"/>
      <c r="AC2014" s="200"/>
    </row>
    <row r="2015" ht="15.75" customHeight="1">
      <c r="A2015" s="210">
        <f t="shared" si="1"/>
        <v>2013</v>
      </c>
      <c r="B2015" s="217"/>
      <c r="C2015" s="217" t="str">
        <f>IFERROR(VLOOKUP(B2015, SourceData!$U$3:$V$190, 2, FALSE), "")</f>
        <v/>
      </c>
      <c r="D2015" s="240"/>
      <c r="E2015" s="241"/>
      <c r="F2015" s="248"/>
      <c r="G2015" s="207"/>
      <c r="H2015" s="209"/>
      <c r="I2015" s="209"/>
      <c r="J2015" s="209"/>
      <c r="K2015" s="208" t="str">
        <f>IF(Errors!$I2015=0,SourceData!$B$42,VLOOKUP(Errors!$I2015,SourceData!$A$2:$B$40,2,FALSE))</f>
        <v>Please select ERROR CODE column "I"</v>
      </c>
      <c r="L2015" s="207" t="str">
        <f>IF(Errors!$I2015=0,
    'List of Error Codes'!$E$29,
    IFERROR(VLOOKUP(Errors!$I2015, 'List of Error Codes'!D2014:I2044, 6, FALSE), 'List of Error Codes'!$E$29)
)</f>
        <v>Please select ERROR CODE column "I"</v>
      </c>
      <c r="M2015" s="209"/>
      <c r="N2015" s="209"/>
      <c r="O2015" s="209"/>
      <c r="P2015" s="209"/>
      <c r="Q2015" s="209"/>
      <c r="R2015" s="217"/>
      <c r="S2015" s="217"/>
      <c r="T2015" s="217"/>
      <c r="U2015" s="199"/>
      <c r="V2015" s="200"/>
      <c r="W2015" s="200"/>
      <c r="X2015" s="200"/>
      <c r="Y2015" s="200"/>
      <c r="Z2015" s="200"/>
      <c r="AA2015" s="201"/>
      <c r="AB2015" s="200"/>
      <c r="AC2015" s="200"/>
    </row>
    <row r="2016" ht="15.75" customHeight="1">
      <c r="A2016" s="210">
        <f t="shared" si="1"/>
        <v>2014</v>
      </c>
      <c r="B2016" s="217"/>
      <c r="C2016" s="217" t="str">
        <f>IFERROR(VLOOKUP(B2016, SourceData!$U$3:$V$190, 2, FALSE), "")</f>
        <v/>
      </c>
      <c r="D2016" s="240"/>
      <c r="E2016" s="241"/>
      <c r="F2016" s="248"/>
      <c r="G2016" s="207"/>
      <c r="H2016" s="209"/>
      <c r="I2016" s="209"/>
      <c r="J2016" s="209"/>
      <c r="K2016" s="208" t="str">
        <f>IF(Errors!$I2016=0,SourceData!$B$42,VLOOKUP(Errors!$I2016,SourceData!$A$2:$B$40,2,FALSE))</f>
        <v>Please select ERROR CODE column "I"</v>
      </c>
      <c r="L2016" s="207" t="str">
        <f>IF(Errors!$I2016=0,
    'List of Error Codes'!$E$29,
    IFERROR(VLOOKUP(Errors!$I2016, 'List of Error Codes'!D2015:I2045, 6, FALSE), 'List of Error Codes'!$E$29)
)</f>
        <v>Please select ERROR CODE column "I"</v>
      </c>
      <c r="M2016" s="209"/>
      <c r="N2016" s="209"/>
      <c r="O2016" s="209"/>
      <c r="P2016" s="209"/>
      <c r="Q2016" s="209"/>
      <c r="R2016" s="217"/>
      <c r="S2016" s="217"/>
      <c r="T2016" s="217"/>
      <c r="U2016" s="199"/>
      <c r="V2016" s="200"/>
      <c r="W2016" s="200"/>
      <c r="X2016" s="200"/>
      <c r="Y2016" s="200"/>
      <c r="Z2016" s="200"/>
      <c r="AA2016" s="201"/>
      <c r="AB2016" s="200"/>
      <c r="AC2016" s="200"/>
    </row>
    <row r="2017" ht="15.75" customHeight="1">
      <c r="A2017" s="210">
        <f t="shared" si="1"/>
        <v>2015</v>
      </c>
      <c r="B2017" s="217"/>
      <c r="C2017" s="217" t="str">
        <f>IFERROR(VLOOKUP(B2017, SourceData!$U$3:$V$190, 2, FALSE), "")</f>
        <v/>
      </c>
      <c r="D2017" s="240"/>
      <c r="E2017" s="241"/>
      <c r="F2017" s="248"/>
      <c r="G2017" s="207"/>
      <c r="H2017" s="209"/>
      <c r="I2017" s="209"/>
      <c r="J2017" s="209"/>
      <c r="K2017" s="208" t="str">
        <f>IF(Errors!$I2017=0,SourceData!$B$42,VLOOKUP(Errors!$I2017,SourceData!$A$2:$B$40,2,FALSE))</f>
        <v>Please select ERROR CODE column "I"</v>
      </c>
      <c r="L2017" s="207" t="str">
        <f>IF(Errors!$I2017=0,
    'List of Error Codes'!$E$29,
    IFERROR(VLOOKUP(Errors!$I2017, 'List of Error Codes'!D2016:I2046, 6, FALSE), 'List of Error Codes'!$E$29)
)</f>
        <v>Please select ERROR CODE column "I"</v>
      </c>
      <c r="M2017" s="209"/>
      <c r="N2017" s="209"/>
      <c r="O2017" s="209"/>
      <c r="P2017" s="209"/>
      <c r="Q2017" s="209"/>
      <c r="R2017" s="217"/>
      <c r="S2017" s="217"/>
      <c r="T2017" s="217"/>
      <c r="U2017" s="199"/>
      <c r="V2017" s="200"/>
      <c r="W2017" s="200"/>
      <c r="X2017" s="200"/>
      <c r="Y2017" s="200"/>
      <c r="Z2017" s="200"/>
      <c r="AA2017" s="201"/>
      <c r="AB2017" s="200"/>
      <c r="AC2017" s="200"/>
    </row>
    <row r="2018" ht="15.75" customHeight="1">
      <c r="A2018" s="210">
        <f t="shared" si="1"/>
        <v>2016</v>
      </c>
      <c r="B2018" s="217"/>
      <c r="C2018" s="217" t="str">
        <f>IFERROR(VLOOKUP(B2018, SourceData!$U$3:$V$190, 2, FALSE), "")</f>
        <v/>
      </c>
      <c r="D2018" s="240"/>
      <c r="E2018" s="241"/>
      <c r="F2018" s="248"/>
      <c r="G2018" s="207"/>
      <c r="H2018" s="209"/>
      <c r="I2018" s="209"/>
      <c r="J2018" s="209"/>
      <c r="K2018" s="208" t="str">
        <f>IF(Errors!$I2018=0,SourceData!$B$42,VLOOKUP(Errors!$I2018,SourceData!$A$2:$B$40,2,FALSE))</f>
        <v>Please select ERROR CODE column "I"</v>
      </c>
      <c r="L2018" s="207" t="str">
        <f>IF(Errors!$I2018=0,
    'List of Error Codes'!$E$29,
    IFERROR(VLOOKUP(Errors!$I2018, 'List of Error Codes'!D2017:I2047, 6, FALSE), 'List of Error Codes'!$E$29)
)</f>
        <v>Please select ERROR CODE column "I"</v>
      </c>
      <c r="M2018" s="209"/>
      <c r="N2018" s="209"/>
      <c r="O2018" s="209"/>
      <c r="P2018" s="209"/>
      <c r="Q2018" s="209"/>
      <c r="R2018" s="217"/>
      <c r="S2018" s="217"/>
      <c r="T2018" s="217"/>
      <c r="U2018" s="199"/>
      <c r="V2018" s="200"/>
      <c r="W2018" s="200"/>
      <c r="X2018" s="200"/>
      <c r="Y2018" s="200"/>
      <c r="Z2018" s="200"/>
      <c r="AA2018" s="201"/>
      <c r="AB2018" s="200"/>
      <c r="AC2018" s="200"/>
    </row>
    <row r="2019" ht="15.75" customHeight="1">
      <c r="A2019" s="210">
        <f t="shared" si="1"/>
        <v>2017</v>
      </c>
      <c r="B2019" s="217"/>
      <c r="C2019" s="217" t="str">
        <f>IFERROR(VLOOKUP(B2019, SourceData!$U$3:$V$190, 2, FALSE), "")</f>
        <v/>
      </c>
      <c r="D2019" s="240"/>
      <c r="E2019" s="241"/>
      <c r="F2019" s="248"/>
      <c r="G2019" s="207"/>
      <c r="H2019" s="209"/>
      <c r="I2019" s="209"/>
      <c r="J2019" s="209"/>
      <c r="K2019" s="208" t="str">
        <f>IF(Errors!$I2019=0,SourceData!$B$42,VLOOKUP(Errors!$I2019,SourceData!$A$2:$B$40,2,FALSE))</f>
        <v>Please select ERROR CODE column "I"</v>
      </c>
      <c r="L2019" s="207" t="str">
        <f>IF(Errors!$I2019=0,
    'List of Error Codes'!$E$29,
    IFERROR(VLOOKUP(Errors!$I2019, 'List of Error Codes'!D2018:I2048, 6, FALSE), 'List of Error Codes'!$E$29)
)</f>
        <v>Please select ERROR CODE column "I"</v>
      </c>
      <c r="M2019" s="209"/>
      <c r="N2019" s="209"/>
      <c r="O2019" s="209"/>
      <c r="P2019" s="209"/>
      <c r="Q2019" s="209"/>
      <c r="R2019" s="217"/>
      <c r="S2019" s="217"/>
      <c r="T2019" s="217"/>
      <c r="U2019" s="199"/>
      <c r="V2019" s="200"/>
      <c r="W2019" s="200"/>
      <c r="X2019" s="200"/>
      <c r="Y2019" s="200"/>
      <c r="Z2019" s="200"/>
      <c r="AA2019" s="201"/>
      <c r="AB2019" s="200"/>
      <c r="AC2019" s="200"/>
    </row>
    <row r="2020" ht="15.75" customHeight="1">
      <c r="A2020" s="210">
        <f t="shared" si="1"/>
        <v>2018</v>
      </c>
      <c r="B2020" s="217"/>
      <c r="C2020" s="217" t="str">
        <f>IFERROR(VLOOKUP(B2020, SourceData!$U$3:$V$190, 2, FALSE), "")</f>
        <v/>
      </c>
      <c r="D2020" s="240"/>
      <c r="E2020" s="241"/>
      <c r="F2020" s="248"/>
      <c r="G2020" s="207"/>
      <c r="H2020" s="209"/>
      <c r="I2020" s="209"/>
      <c r="J2020" s="209"/>
      <c r="K2020" s="208" t="str">
        <f>IF(Errors!$I2020=0,SourceData!$B$42,VLOOKUP(Errors!$I2020,SourceData!$A$2:$B$40,2,FALSE))</f>
        <v>Please select ERROR CODE column "I"</v>
      </c>
      <c r="L2020" s="207" t="str">
        <f>IF(Errors!$I2020=0,
    'List of Error Codes'!$E$29,
    IFERROR(VLOOKUP(Errors!$I2020, 'List of Error Codes'!D2019:I2049, 6, FALSE), 'List of Error Codes'!$E$29)
)</f>
        <v>Please select ERROR CODE column "I"</v>
      </c>
      <c r="M2020" s="209"/>
      <c r="N2020" s="209"/>
      <c r="O2020" s="209"/>
      <c r="P2020" s="209"/>
      <c r="Q2020" s="209"/>
      <c r="R2020" s="217"/>
      <c r="S2020" s="217"/>
      <c r="T2020" s="217"/>
      <c r="U2020" s="199"/>
      <c r="V2020" s="200"/>
      <c r="W2020" s="200"/>
      <c r="X2020" s="200"/>
      <c r="Y2020" s="200"/>
      <c r="Z2020" s="200"/>
      <c r="AA2020" s="201"/>
      <c r="AB2020" s="200"/>
      <c r="AC2020" s="200"/>
    </row>
    <row r="2021" ht="15.75" customHeight="1">
      <c r="A2021" s="210">
        <f t="shared" si="1"/>
        <v>2019</v>
      </c>
      <c r="B2021" s="217"/>
      <c r="C2021" s="217" t="str">
        <f>IFERROR(VLOOKUP(B2021, SourceData!$U$3:$V$190, 2, FALSE), "")</f>
        <v/>
      </c>
      <c r="D2021" s="240"/>
      <c r="E2021" s="241"/>
      <c r="F2021" s="248"/>
      <c r="G2021" s="207"/>
      <c r="H2021" s="209"/>
      <c r="I2021" s="209"/>
      <c r="J2021" s="209"/>
      <c r="K2021" s="208" t="str">
        <f>IF(Errors!$I2021=0,SourceData!$B$42,VLOOKUP(Errors!$I2021,SourceData!$A$2:$B$40,2,FALSE))</f>
        <v>Please select ERROR CODE column "I"</v>
      </c>
      <c r="L2021" s="207" t="str">
        <f>IF(Errors!$I2021=0,
    'List of Error Codes'!$E$29,
    IFERROR(VLOOKUP(Errors!$I2021, 'List of Error Codes'!D2020:I2050, 6, FALSE), 'List of Error Codes'!$E$29)
)</f>
        <v>Please select ERROR CODE column "I"</v>
      </c>
      <c r="M2021" s="209"/>
      <c r="N2021" s="209"/>
      <c r="O2021" s="209"/>
      <c r="P2021" s="209"/>
      <c r="Q2021" s="209"/>
      <c r="R2021" s="217"/>
      <c r="S2021" s="217"/>
      <c r="T2021" s="217"/>
      <c r="U2021" s="199"/>
      <c r="V2021" s="200"/>
      <c r="W2021" s="200"/>
      <c r="X2021" s="200"/>
      <c r="Y2021" s="200"/>
      <c r="Z2021" s="200"/>
      <c r="AA2021" s="201"/>
      <c r="AB2021" s="200"/>
      <c r="AC2021" s="200"/>
    </row>
    <row r="2022" ht="15.75" customHeight="1">
      <c r="A2022" s="210">
        <f t="shared" si="1"/>
        <v>2020</v>
      </c>
      <c r="B2022" s="217"/>
      <c r="C2022" s="217" t="str">
        <f>IFERROR(VLOOKUP(B2022, SourceData!$U$3:$V$190, 2, FALSE), "")</f>
        <v/>
      </c>
      <c r="D2022" s="240"/>
      <c r="E2022" s="241"/>
      <c r="F2022" s="248"/>
      <c r="G2022" s="207"/>
      <c r="H2022" s="209"/>
      <c r="I2022" s="209"/>
      <c r="J2022" s="209"/>
      <c r="K2022" s="208" t="str">
        <f>IF(Errors!$I2022=0,SourceData!$B$42,VLOOKUP(Errors!$I2022,SourceData!$A$2:$B$40,2,FALSE))</f>
        <v>Please select ERROR CODE column "I"</v>
      </c>
      <c r="L2022" s="207" t="str">
        <f>IF(Errors!$I2022=0,
    'List of Error Codes'!$E$29,
    IFERROR(VLOOKUP(Errors!$I2022, 'List of Error Codes'!D2021:I2051, 6, FALSE), 'List of Error Codes'!$E$29)
)</f>
        <v>Please select ERROR CODE column "I"</v>
      </c>
      <c r="M2022" s="209"/>
      <c r="N2022" s="209"/>
      <c r="O2022" s="209"/>
      <c r="P2022" s="209"/>
      <c r="Q2022" s="209"/>
      <c r="R2022" s="217"/>
      <c r="S2022" s="217"/>
      <c r="T2022" s="217"/>
      <c r="U2022" s="199"/>
      <c r="V2022" s="200"/>
      <c r="W2022" s="200"/>
      <c r="X2022" s="200"/>
      <c r="Y2022" s="200"/>
      <c r="Z2022" s="200"/>
      <c r="AA2022" s="201"/>
      <c r="AB2022" s="200"/>
      <c r="AC2022" s="200"/>
    </row>
    <row r="2023" ht="15.75" customHeight="1">
      <c r="A2023" s="210">
        <f t="shared" si="1"/>
        <v>2021</v>
      </c>
      <c r="B2023" s="217"/>
      <c r="C2023" s="217" t="str">
        <f>IFERROR(VLOOKUP(B2023, SourceData!$U$3:$V$190, 2, FALSE), "")</f>
        <v/>
      </c>
      <c r="D2023" s="240"/>
      <c r="E2023" s="241"/>
      <c r="F2023" s="248"/>
      <c r="G2023" s="207"/>
      <c r="H2023" s="209"/>
      <c r="I2023" s="209"/>
      <c r="J2023" s="209"/>
      <c r="K2023" s="208" t="str">
        <f>IF(Errors!$I2023=0,SourceData!$B$42,VLOOKUP(Errors!$I2023,SourceData!$A$2:$B$40,2,FALSE))</f>
        <v>Please select ERROR CODE column "I"</v>
      </c>
      <c r="L2023" s="207" t="str">
        <f>IF(Errors!$I2023=0,
    'List of Error Codes'!$E$29,
    IFERROR(VLOOKUP(Errors!$I2023, 'List of Error Codes'!D2022:I2052, 6, FALSE), 'List of Error Codes'!$E$29)
)</f>
        <v>Please select ERROR CODE column "I"</v>
      </c>
      <c r="M2023" s="209"/>
      <c r="N2023" s="209"/>
      <c r="O2023" s="209"/>
      <c r="P2023" s="209"/>
      <c r="Q2023" s="209"/>
      <c r="R2023" s="217"/>
      <c r="S2023" s="217"/>
      <c r="T2023" s="217"/>
      <c r="U2023" s="199"/>
      <c r="V2023" s="200"/>
      <c r="W2023" s="200"/>
      <c r="X2023" s="200"/>
      <c r="Y2023" s="200"/>
      <c r="Z2023" s="200"/>
      <c r="AA2023" s="201"/>
      <c r="AB2023" s="200"/>
      <c r="AC2023" s="200"/>
    </row>
    <row r="2024" ht="15.75" customHeight="1">
      <c r="A2024" s="210">
        <f t="shared" si="1"/>
        <v>2022</v>
      </c>
      <c r="B2024" s="217"/>
      <c r="C2024" s="217" t="str">
        <f>IFERROR(VLOOKUP(B2024, SourceData!$U$3:$V$190, 2, FALSE), "")</f>
        <v/>
      </c>
      <c r="D2024" s="240"/>
      <c r="E2024" s="241"/>
      <c r="F2024" s="248"/>
      <c r="G2024" s="207"/>
      <c r="H2024" s="209"/>
      <c r="I2024" s="209"/>
      <c r="J2024" s="209"/>
      <c r="K2024" s="208" t="str">
        <f>IF(Errors!$I2024=0,SourceData!$B$42,VLOOKUP(Errors!$I2024,SourceData!$A$2:$B$40,2,FALSE))</f>
        <v>Please select ERROR CODE column "I"</v>
      </c>
      <c r="L2024" s="207" t="str">
        <f>IF(Errors!$I2024=0,
    'List of Error Codes'!$E$29,
    IFERROR(VLOOKUP(Errors!$I2024, 'List of Error Codes'!D2023:I2053, 6, FALSE), 'List of Error Codes'!$E$29)
)</f>
        <v>Please select ERROR CODE column "I"</v>
      </c>
      <c r="M2024" s="209"/>
      <c r="N2024" s="209"/>
      <c r="O2024" s="209"/>
      <c r="P2024" s="209"/>
      <c r="Q2024" s="209"/>
      <c r="R2024" s="217"/>
      <c r="S2024" s="217"/>
      <c r="T2024" s="217"/>
      <c r="U2024" s="199"/>
      <c r="V2024" s="200"/>
      <c r="W2024" s="200"/>
      <c r="X2024" s="200"/>
      <c r="Y2024" s="200"/>
      <c r="Z2024" s="200"/>
      <c r="AA2024" s="201"/>
      <c r="AB2024" s="200"/>
      <c r="AC2024" s="200"/>
    </row>
    <row r="2025" ht="15.75" customHeight="1">
      <c r="A2025" s="210">
        <f t="shared" si="1"/>
        <v>2023</v>
      </c>
      <c r="B2025" s="217"/>
      <c r="C2025" s="217" t="str">
        <f>IFERROR(VLOOKUP(B2025, SourceData!$U$3:$V$190, 2, FALSE), "")</f>
        <v/>
      </c>
      <c r="D2025" s="240"/>
      <c r="E2025" s="241"/>
      <c r="F2025" s="248"/>
      <c r="G2025" s="207"/>
      <c r="H2025" s="209"/>
      <c r="I2025" s="209"/>
      <c r="J2025" s="209"/>
      <c r="K2025" s="208" t="str">
        <f>IF(Errors!$I2025=0,SourceData!$B$42,VLOOKUP(Errors!$I2025,SourceData!$A$2:$B$40,2,FALSE))</f>
        <v>Please select ERROR CODE column "I"</v>
      </c>
      <c r="L2025" s="207" t="str">
        <f>IF(Errors!$I2025=0,
    'List of Error Codes'!$E$29,
    IFERROR(VLOOKUP(Errors!$I2025, 'List of Error Codes'!D2024:I2054, 6, FALSE), 'List of Error Codes'!$E$29)
)</f>
        <v>Please select ERROR CODE column "I"</v>
      </c>
      <c r="M2025" s="209"/>
      <c r="N2025" s="209"/>
      <c r="O2025" s="209"/>
      <c r="P2025" s="209"/>
      <c r="Q2025" s="209"/>
      <c r="R2025" s="217"/>
      <c r="S2025" s="217"/>
      <c r="T2025" s="217"/>
      <c r="U2025" s="199"/>
      <c r="V2025" s="200"/>
      <c r="W2025" s="200"/>
      <c r="X2025" s="200"/>
      <c r="Y2025" s="200"/>
      <c r="Z2025" s="200"/>
      <c r="AA2025" s="201"/>
      <c r="AB2025" s="200"/>
      <c r="AC2025" s="200"/>
    </row>
    <row r="2026" ht="15.75" customHeight="1">
      <c r="A2026" s="210">
        <f t="shared" si="1"/>
        <v>2024</v>
      </c>
      <c r="B2026" s="217"/>
      <c r="C2026" s="217" t="str">
        <f>IFERROR(VLOOKUP(B2026, SourceData!$U$3:$V$190, 2, FALSE), "")</f>
        <v/>
      </c>
      <c r="D2026" s="240"/>
      <c r="E2026" s="241"/>
      <c r="F2026" s="248"/>
      <c r="G2026" s="207"/>
      <c r="H2026" s="209"/>
      <c r="I2026" s="209"/>
      <c r="J2026" s="209"/>
      <c r="K2026" s="208" t="str">
        <f>IF(Errors!$I2026=0,SourceData!$B$42,VLOOKUP(Errors!$I2026,SourceData!$A$2:$B$40,2,FALSE))</f>
        <v>Please select ERROR CODE column "I"</v>
      </c>
      <c r="L2026" s="207" t="str">
        <f>IF(Errors!$I2026=0,
    'List of Error Codes'!$E$29,
    IFERROR(VLOOKUP(Errors!$I2026, 'List of Error Codes'!D2025:I2055, 6, FALSE), 'List of Error Codes'!$E$29)
)</f>
        <v>Please select ERROR CODE column "I"</v>
      </c>
      <c r="M2026" s="209"/>
      <c r="N2026" s="209"/>
      <c r="O2026" s="209"/>
      <c r="P2026" s="209"/>
      <c r="Q2026" s="209"/>
      <c r="R2026" s="217"/>
      <c r="S2026" s="217"/>
      <c r="T2026" s="217"/>
      <c r="U2026" s="199"/>
      <c r="V2026" s="200"/>
      <c r="W2026" s="200"/>
      <c r="X2026" s="200"/>
      <c r="Y2026" s="200"/>
      <c r="Z2026" s="200"/>
      <c r="AA2026" s="201"/>
      <c r="AB2026" s="200"/>
      <c r="AC2026" s="200"/>
    </row>
    <row r="2027" ht="15.75" customHeight="1">
      <c r="A2027" s="210">
        <f t="shared" si="1"/>
        <v>2025</v>
      </c>
      <c r="B2027" s="217"/>
      <c r="C2027" s="217" t="str">
        <f>IFERROR(VLOOKUP(B2027, SourceData!$U$3:$V$190, 2, FALSE), "")</f>
        <v/>
      </c>
      <c r="D2027" s="240"/>
      <c r="E2027" s="241"/>
      <c r="F2027" s="248"/>
      <c r="G2027" s="207"/>
      <c r="H2027" s="209"/>
      <c r="I2027" s="209"/>
      <c r="J2027" s="209"/>
      <c r="K2027" s="208" t="str">
        <f>IF(Errors!$I2027=0,SourceData!$B$42,VLOOKUP(Errors!$I2027,SourceData!$A$2:$B$40,2,FALSE))</f>
        <v>Please select ERROR CODE column "I"</v>
      </c>
      <c r="L2027" s="207" t="str">
        <f>IF(Errors!$I2027=0,
    'List of Error Codes'!$E$29,
    IFERROR(VLOOKUP(Errors!$I2027, 'List of Error Codes'!D2026:I2056, 6, FALSE), 'List of Error Codes'!$E$29)
)</f>
        <v>Please select ERROR CODE column "I"</v>
      </c>
      <c r="M2027" s="209"/>
      <c r="N2027" s="209"/>
      <c r="O2027" s="209"/>
      <c r="P2027" s="209"/>
      <c r="Q2027" s="209"/>
      <c r="R2027" s="217"/>
      <c r="S2027" s="217"/>
      <c r="T2027" s="217"/>
      <c r="U2027" s="199"/>
      <c r="V2027" s="200"/>
      <c r="W2027" s="200"/>
      <c r="X2027" s="200"/>
      <c r="Y2027" s="200"/>
      <c r="Z2027" s="200"/>
      <c r="AA2027" s="201"/>
      <c r="AB2027" s="200"/>
      <c r="AC2027" s="200"/>
    </row>
    <row r="2028" ht="15.75" customHeight="1">
      <c r="A2028" s="210">
        <f t="shared" si="1"/>
        <v>2026</v>
      </c>
      <c r="B2028" s="217"/>
      <c r="C2028" s="217" t="str">
        <f>IFERROR(VLOOKUP(B2028, SourceData!$U$3:$V$190, 2, FALSE), "")</f>
        <v/>
      </c>
      <c r="D2028" s="240"/>
      <c r="E2028" s="241"/>
      <c r="F2028" s="248"/>
      <c r="G2028" s="207"/>
      <c r="H2028" s="209"/>
      <c r="I2028" s="209"/>
      <c r="J2028" s="209"/>
      <c r="K2028" s="208" t="str">
        <f>IF(Errors!$I2028=0,SourceData!$B$42,VLOOKUP(Errors!$I2028,SourceData!$A$2:$B$40,2,FALSE))</f>
        <v>Please select ERROR CODE column "I"</v>
      </c>
      <c r="L2028" s="207" t="str">
        <f>IF(Errors!$I2028=0,
    'List of Error Codes'!$E$29,
    IFERROR(VLOOKUP(Errors!$I2028, 'List of Error Codes'!D2027:I2057, 6, FALSE), 'List of Error Codes'!$E$29)
)</f>
        <v>Please select ERROR CODE column "I"</v>
      </c>
      <c r="M2028" s="209"/>
      <c r="N2028" s="209"/>
      <c r="O2028" s="209"/>
      <c r="P2028" s="209"/>
      <c r="Q2028" s="209"/>
      <c r="R2028" s="217"/>
      <c r="S2028" s="217"/>
      <c r="T2028" s="217"/>
      <c r="U2028" s="199"/>
      <c r="V2028" s="200"/>
      <c r="W2028" s="200"/>
      <c r="X2028" s="200"/>
      <c r="Y2028" s="200"/>
      <c r="Z2028" s="200"/>
      <c r="AA2028" s="201"/>
      <c r="AB2028" s="200"/>
      <c r="AC2028" s="200"/>
    </row>
    <row r="2029" ht="15.75" customHeight="1">
      <c r="A2029" s="210">
        <f t="shared" si="1"/>
        <v>2027</v>
      </c>
      <c r="B2029" s="217"/>
      <c r="C2029" s="217" t="str">
        <f>IFERROR(VLOOKUP(B2029, SourceData!$U$3:$V$190, 2, FALSE), "")</f>
        <v/>
      </c>
      <c r="D2029" s="240"/>
      <c r="E2029" s="241"/>
      <c r="F2029" s="248"/>
      <c r="G2029" s="207"/>
      <c r="H2029" s="209"/>
      <c r="I2029" s="209"/>
      <c r="J2029" s="209"/>
      <c r="K2029" s="208" t="str">
        <f>IF(Errors!$I2029=0,SourceData!$B$42,VLOOKUP(Errors!$I2029,SourceData!$A$2:$B$40,2,FALSE))</f>
        <v>Please select ERROR CODE column "I"</v>
      </c>
      <c r="L2029" s="207" t="str">
        <f>IF(Errors!$I2029=0,
    'List of Error Codes'!$E$29,
    IFERROR(VLOOKUP(Errors!$I2029, 'List of Error Codes'!D2028:I2058, 6, FALSE), 'List of Error Codes'!$E$29)
)</f>
        <v>Please select ERROR CODE column "I"</v>
      </c>
      <c r="M2029" s="209"/>
      <c r="N2029" s="209"/>
      <c r="O2029" s="209"/>
      <c r="P2029" s="209"/>
      <c r="Q2029" s="209"/>
      <c r="R2029" s="217"/>
      <c r="S2029" s="217"/>
      <c r="T2029" s="217"/>
      <c r="U2029" s="199"/>
      <c r="V2029" s="200"/>
      <c r="W2029" s="200"/>
      <c r="X2029" s="200"/>
      <c r="Y2029" s="200"/>
      <c r="Z2029" s="200"/>
      <c r="AA2029" s="201"/>
      <c r="AB2029" s="200"/>
      <c r="AC2029" s="200"/>
    </row>
    <row r="2030" ht="15.75" customHeight="1">
      <c r="A2030" s="210">
        <f t="shared" si="1"/>
        <v>2028</v>
      </c>
      <c r="B2030" s="217"/>
      <c r="C2030" s="217" t="str">
        <f>IFERROR(VLOOKUP(B2030, SourceData!$U$3:$V$190, 2, FALSE), "")</f>
        <v/>
      </c>
      <c r="D2030" s="240"/>
      <c r="E2030" s="241"/>
      <c r="F2030" s="248"/>
      <c r="G2030" s="207"/>
      <c r="H2030" s="209"/>
      <c r="I2030" s="209"/>
      <c r="J2030" s="209"/>
      <c r="K2030" s="208" t="str">
        <f>IF(Errors!$I2030=0,SourceData!$B$42,VLOOKUP(Errors!$I2030,SourceData!$A$2:$B$40,2,FALSE))</f>
        <v>Please select ERROR CODE column "I"</v>
      </c>
      <c r="L2030" s="207" t="str">
        <f>IF(Errors!$I2030=0,
    'List of Error Codes'!$E$29,
    IFERROR(VLOOKUP(Errors!$I2030, 'List of Error Codes'!D2029:I2059, 6, FALSE), 'List of Error Codes'!$E$29)
)</f>
        <v>Please select ERROR CODE column "I"</v>
      </c>
      <c r="M2030" s="209"/>
      <c r="N2030" s="209"/>
      <c r="O2030" s="209"/>
      <c r="P2030" s="209"/>
      <c r="Q2030" s="209"/>
      <c r="R2030" s="217"/>
      <c r="S2030" s="217"/>
      <c r="T2030" s="217"/>
      <c r="U2030" s="199"/>
      <c r="V2030" s="200"/>
      <c r="W2030" s="200"/>
      <c r="X2030" s="200"/>
      <c r="Y2030" s="200"/>
      <c r="Z2030" s="200"/>
      <c r="AA2030" s="201"/>
      <c r="AB2030" s="200"/>
      <c r="AC2030" s="200"/>
    </row>
    <row r="2031" ht="15.75" customHeight="1">
      <c r="A2031" s="210">
        <f t="shared" si="1"/>
        <v>2029</v>
      </c>
      <c r="B2031" s="217"/>
      <c r="C2031" s="217" t="str">
        <f>IFERROR(VLOOKUP(B2031, SourceData!$U$3:$V$190, 2, FALSE), "")</f>
        <v/>
      </c>
      <c r="D2031" s="240"/>
      <c r="E2031" s="241"/>
      <c r="F2031" s="248"/>
      <c r="G2031" s="207"/>
      <c r="H2031" s="209"/>
      <c r="I2031" s="209"/>
      <c r="J2031" s="209"/>
      <c r="K2031" s="208" t="str">
        <f>IF(Errors!$I2031=0,SourceData!$B$42,VLOOKUP(Errors!$I2031,SourceData!$A$2:$B$40,2,FALSE))</f>
        <v>Please select ERROR CODE column "I"</v>
      </c>
      <c r="L2031" s="207" t="str">
        <f>IF(Errors!$I2031=0,
    'List of Error Codes'!$E$29,
    IFERROR(VLOOKUP(Errors!$I2031, 'List of Error Codes'!D2030:I2060, 6, FALSE), 'List of Error Codes'!$E$29)
)</f>
        <v>Please select ERROR CODE column "I"</v>
      </c>
      <c r="M2031" s="209"/>
      <c r="N2031" s="209"/>
      <c r="O2031" s="209"/>
      <c r="P2031" s="209"/>
      <c r="Q2031" s="209"/>
      <c r="R2031" s="217"/>
      <c r="S2031" s="217"/>
      <c r="T2031" s="217"/>
      <c r="U2031" s="199"/>
      <c r="V2031" s="200"/>
      <c r="W2031" s="200"/>
      <c r="X2031" s="200"/>
      <c r="Y2031" s="200"/>
      <c r="Z2031" s="200"/>
      <c r="AA2031" s="201"/>
      <c r="AB2031" s="200"/>
      <c r="AC2031" s="200"/>
    </row>
    <row r="2032" ht="15.75" customHeight="1">
      <c r="A2032" s="210">
        <f t="shared" si="1"/>
        <v>2030</v>
      </c>
      <c r="B2032" s="217"/>
      <c r="C2032" s="217" t="str">
        <f>IFERROR(VLOOKUP(B2032, SourceData!$U$3:$V$190, 2, FALSE), "")</f>
        <v/>
      </c>
      <c r="D2032" s="240"/>
      <c r="E2032" s="241"/>
      <c r="F2032" s="248"/>
      <c r="G2032" s="207"/>
      <c r="H2032" s="209"/>
      <c r="I2032" s="209"/>
      <c r="J2032" s="209"/>
      <c r="K2032" s="208" t="str">
        <f>IF(Errors!$I2032=0,SourceData!$B$42,VLOOKUP(Errors!$I2032,SourceData!$A$2:$B$40,2,FALSE))</f>
        <v>Please select ERROR CODE column "I"</v>
      </c>
      <c r="L2032" s="207" t="str">
        <f>IF(Errors!$I2032=0,
    'List of Error Codes'!$E$29,
    IFERROR(VLOOKUP(Errors!$I2032, 'List of Error Codes'!D2031:I2061, 6, FALSE), 'List of Error Codes'!$E$29)
)</f>
        <v>Please select ERROR CODE column "I"</v>
      </c>
      <c r="M2032" s="209"/>
      <c r="N2032" s="209"/>
      <c r="O2032" s="209"/>
      <c r="P2032" s="209"/>
      <c r="Q2032" s="209"/>
      <c r="R2032" s="217"/>
      <c r="S2032" s="217"/>
      <c r="T2032" s="217"/>
      <c r="U2032" s="199"/>
      <c r="V2032" s="200"/>
      <c r="W2032" s="200"/>
      <c r="X2032" s="200"/>
      <c r="Y2032" s="200"/>
      <c r="Z2032" s="200"/>
      <c r="AA2032" s="201"/>
      <c r="AB2032" s="200"/>
      <c r="AC2032" s="200"/>
    </row>
    <row r="2033" ht="15.75" customHeight="1">
      <c r="A2033" s="210">
        <f t="shared" si="1"/>
        <v>2031</v>
      </c>
      <c r="B2033" s="217"/>
      <c r="C2033" s="217" t="str">
        <f>IFERROR(VLOOKUP(B2033, SourceData!$U$3:$V$190, 2, FALSE), "")</f>
        <v/>
      </c>
      <c r="D2033" s="240"/>
      <c r="E2033" s="241"/>
      <c r="F2033" s="248"/>
      <c r="G2033" s="207"/>
      <c r="H2033" s="209"/>
      <c r="I2033" s="209"/>
      <c r="J2033" s="209"/>
      <c r="K2033" s="208" t="str">
        <f>IF(Errors!$I2033=0,SourceData!$B$42,VLOOKUP(Errors!$I2033,SourceData!$A$2:$B$40,2,FALSE))</f>
        <v>Please select ERROR CODE column "I"</v>
      </c>
      <c r="L2033" s="207" t="str">
        <f>IF(Errors!$I2033=0,
    'List of Error Codes'!$E$29,
    IFERROR(VLOOKUP(Errors!$I2033, 'List of Error Codes'!D2032:I2062, 6, FALSE), 'List of Error Codes'!$E$29)
)</f>
        <v>Please select ERROR CODE column "I"</v>
      </c>
      <c r="M2033" s="209"/>
      <c r="N2033" s="209"/>
      <c r="O2033" s="209"/>
      <c r="P2033" s="209"/>
      <c r="Q2033" s="209"/>
      <c r="R2033" s="217"/>
      <c r="S2033" s="217"/>
      <c r="T2033" s="217"/>
      <c r="U2033" s="199"/>
      <c r="V2033" s="200"/>
      <c r="W2033" s="200"/>
      <c r="X2033" s="200"/>
      <c r="Y2033" s="200"/>
      <c r="Z2033" s="200"/>
      <c r="AA2033" s="201"/>
      <c r="AB2033" s="200"/>
      <c r="AC2033" s="200"/>
    </row>
    <row r="2034" ht="15.75" customHeight="1">
      <c r="A2034" s="210">
        <f t="shared" si="1"/>
        <v>2032</v>
      </c>
      <c r="B2034" s="217"/>
      <c r="C2034" s="217" t="str">
        <f>IFERROR(VLOOKUP(B2034, SourceData!$U$3:$V$190, 2, FALSE), "")</f>
        <v/>
      </c>
      <c r="D2034" s="240"/>
      <c r="E2034" s="241"/>
      <c r="F2034" s="248"/>
      <c r="G2034" s="207"/>
      <c r="H2034" s="209"/>
      <c r="I2034" s="209"/>
      <c r="J2034" s="209"/>
      <c r="K2034" s="208" t="str">
        <f>IF(Errors!$I2034=0,SourceData!$B$42,VLOOKUP(Errors!$I2034,SourceData!$A$2:$B$40,2,FALSE))</f>
        <v>Please select ERROR CODE column "I"</v>
      </c>
      <c r="L2034" s="207" t="str">
        <f>IF(Errors!$I2034=0,
    'List of Error Codes'!$E$29,
    IFERROR(VLOOKUP(Errors!$I2034, 'List of Error Codes'!D2033:I2063, 6, FALSE), 'List of Error Codes'!$E$29)
)</f>
        <v>Please select ERROR CODE column "I"</v>
      </c>
      <c r="M2034" s="209"/>
      <c r="N2034" s="209"/>
      <c r="O2034" s="209"/>
      <c r="P2034" s="209"/>
      <c r="Q2034" s="209"/>
      <c r="R2034" s="217"/>
      <c r="S2034" s="217"/>
      <c r="T2034" s="217"/>
      <c r="U2034" s="199"/>
      <c r="V2034" s="200"/>
      <c r="W2034" s="200"/>
      <c r="X2034" s="200"/>
      <c r="Y2034" s="200"/>
      <c r="Z2034" s="200"/>
      <c r="AA2034" s="201"/>
      <c r="AB2034" s="200"/>
      <c r="AC2034" s="200"/>
    </row>
    <row r="2035" ht="15.75" customHeight="1">
      <c r="A2035" s="210">
        <f t="shared" si="1"/>
        <v>2033</v>
      </c>
      <c r="B2035" s="217"/>
      <c r="C2035" s="217" t="str">
        <f>IFERROR(VLOOKUP(B2035, SourceData!$U$3:$V$190, 2, FALSE), "")</f>
        <v/>
      </c>
      <c r="D2035" s="240"/>
      <c r="E2035" s="241"/>
      <c r="F2035" s="248"/>
      <c r="G2035" s="207"/>
      <c r="H2035" s="209"/>
      <c r="I2035" s="209"/>
      <c r="J2035" s="209"/>
      <c r="K2035" s="208" t="str">
        <f>IF(Errors!$I2035=0,SourceData!$B$42,VLOOKUP(Errors!$I2035,SourceData!$A$2:$B$40,2,FALSE))</f>
        <v>Please select ERROR CODE column "I"</v>
      </c>
      <c r="L2035" s="207" t="str">
        <f>IF(Errors!$I2035=0,
    'List of Error Codes'!$E$29,
    IFERROR(VLOOKUP(Errors!$I2035, 'List of Error Codes'!D2034:I2064, 6, FALSE), 'List of Error Codes'!$E$29)
)</f>
        <v>Please select ERROR CODE column "I"</v>
      </c>
      <c r="M2035" s="209"/>
      <c r="N2035" s="209"/>
      <c r="O2035" s="209"/>
      <c r="P2035" s="209"/>
      <c r="Q2035" s="209"/>
      <c r="R2035" s="217"/>
      <c r="S2035" s="217"/>
      <c r="T2035" s="217"/>
      <c r="U2035" s="199"/>
      <c r="V2035" s="200"/>
      <c r="W2035" s="200"/>
      <c r="X2035" s="200"/>
      <c r="Y2035" s="200"/>
      <c r="Z2035" s="200"/>
      <c r="AA2035" s="201"/>
      <c r="AB2035" s="200"/>
      <c r="AC2035" s="200"/>
    </row>
    <row r="2036" ht="15.75" customHeight="1">
      <c r="A2036" s="210">
        <f t="shared" si="1"/>
        <v>2034</v>
      </c>
      <c r="B2036" s="217"/>
      <c r="C2036" s="217" t="str">
        <f>IFERROR(VLOOKUP(B2036, SourceData!$U$3:$V$190, 2, FALSE), "")</f>
        <v/>
      </c>
      <c r="D2036" s="240"/>
      <c r="E2036" s="241"/>
      <c r="F2036" s="248"/>
      <c r="G2036" s="207"/>
      <c r="H2036" s="209"/>
      <c r="I2036" s="209"/>
      <c r="J2036" s="209"/>
      <c r="K2036" s="208" t="str">
        <f>IF(Errors!$I2036=0,SourceData!$B$42,VLOOKUP(Errors!$I2036,SourceData!$A$2:$B$40,2,FALSE))</f>
        <v>Please select ERROR CODE column "I"</v>
      </c>
      <c r="L2036" s="207" t="str">
        <f>IF(Errors!$I2036=0,
    'List of Error Codes'!$E$29,
    IFERROR(VLOOKUP(Errors!$I2036, 'List of Error Codes'!D2035:I2065, 6, FALSE), 'List of Error Codes'!$E$29)
)</f>
        <v>Please select ERROR CODE column "I"</v>
      </c>
      <c r="M2036" s="209"/>
      <c r="N2036" s="209"/>
      <c r="O2036" s="209"/>
      <c r="P2036" s="209"/>
      <c r="Q2036" s="209"/>
      <c r="R2036" s="217"/>
      <c r="S2036" s="217"/>
      <c r="T2036" s="217"/>
      <c r="U2036" s="199"/>
      <c r="V2036" s="200"/>
      <c r="W2036" s="200"/>
      <c r="X2036" s="200"/>
      <c r="Y2036" s="200"/>
      <c r="Z2036" s="200"/>
      <c r="AA2036" s="201"/>
      <c r="AB2036" s="200"/>
      <c r="AC2036" s="200"/>
    </row>
    <row r="2037" ht="15.75" customHeight="1">
      <c r="A2037" s="210">
        <f t="shared" si="1"/>
        <v>2035</v>
      </c>
      <c r="B2037" s="217"/>
      <c r="C2037" s="217" t="str">
        <f>IFERROR(VLOOKUP(B2037, SourceData!$U$3:$V$190, 2, FALSE), "")</f>
        <v/>
      </c>
      <c r="D2037" s="240"/>
      <c r="E2037" s="241"/>
      <c r="F2037" s="248"/>
      <c r="G2037" s="207"/>
      <c r="H2037" s="209"/>
      <c r="I2037" s="209"/>
      <c r="J2037" s="209"/>
      <c r="K2037" s="208" t="str">
        <f>IF(Errors!$I2037=0,SourceData!$B$42,VLOOKUP(Errors!$I2037,SourceData!$A$2:$B$40,2,FALSE))</f>
        <v>Please select ERROR CODE column "I"</v>
      </c>
      <c r="L2037" s="207" t="str">
        <f>IF(Errors!$I2037=0,
    'List of Error Codes'!$E$29,
    IFERROR(VLOOKUP(Errors!$I2037, 'List of Error Codes'!D2036:I2066, 6, FALSE), 'List of Error Codes'!$E$29)
)</f>
        <v>Please select ERROR CODE column "I"</v>
      </c>
      <c r="M2037" s="209"/>
      <c r="N2037" s="209"/>
      <c r="O2037" s="209"/>
      <c r="P2037" s="209"/>
      <c r="Q2037" s="209"/>
      <c r="R2037" s="217"/>
      <c r="S2037" s="217"/>
      <c r="T2037" s="217"/>
      <c r="U2037" s="199"/>
      <c r="V2037" s="200"/>
      <c r="W2037" s="200"/>
      <c r="X2037" s="200"/>
      <c r="Y2037" s="200"/>
      <c r="Z2037" s="200"/>
      <c r="AA2037" s="201"/>
      <c r="AB2037" s="200"/>
      <c r="AC2037" s="200"/>
    </row>
    <row r="2038" ht="15.75" customHeight="1">
      <c r="A2038" s="210">
        <f t="shared" si="1"/>
        <v>2036</v>
      </c>
      <c r="B2038" s="217"/>
      <c r="C2038" s="217" t="str">
        <f>IFERROR(VLOOKUP(B2038, SourceData!$U$3:$V$190, 2, FALSE), "")</f>
        <v/>
      </c>
      <c r="D2038" s="240"/>
      <c r="E2038" s="241"/>
      <c r="F2038" s="248"/>
      <c r="G2038" s="207"/>
      <c r="H2038" s="209"/>
      <c r="I2038" s="209"/>
      <c r="J2038" s="209"/>
      <c r="K2038" s="208" t="str">
        <f>IF(Errors!$I2038=0,SourceData!$B$42,VLOOKUP(Errors!$I2038,SourceData!$A$2:$B$40,2,FALSE))</f>
        <v>Please select ERROR CODE column "I"</v>
      </c>
      <c r="L2038" s="207" t="str">
        <f>IF(Errors!$I2038=0,
    'List of Error Codes'!$E$29,
    IFERROR(VLOOKUP(Errors!$I2038, 'List of Error Codes'!D2037:I2067, 6, FALSE), 'List of Error Codes'!$E$29)
)</f>
        <v>Please select ERROR CODE column "I"</v>
      </c>
      <c r="M2038" s="209"/>
      <c r="N2038" s="209"/>
      <c r="O2038" s="209"/>
      <c r="P2038" s="209"/>
      <c r="Q2038" s="209"/>
      <c r="R2038" s="217"/>
      <c r="S2038" s="217"/>
      <c r="T2038" s="217"/>
      <c r="U2038" s="199"/>
      <c r="V2038" s="200"/>
      <c r="W2038" s="200"/>
      <c r="X2038" s="200"/>
      <c r="Y2038" s="200"/>
      <c r="Z2038" s="200"/>
      <c r="AA2038" s="201"/>
      <c r="AB2038" s="200"/>
      <c r="AC2038" s="200"/>
    </row>
    <row r="2039" ht="15.75" customHeight="1">
      <c r="A2039" s="210">
        <f t="shared" si="1"/>
        <v>2037</v>
      </c>
      <c r="B2039" s="217"/>
      <c r="C2039" s="217" t="str">
        <f>IFERROR(VLOOKUP(B2039, SourceData!$U$3:$V$190, 2, FALSE), "")</f>
        <v/>
      </c>
      <c r="D2039" s="240"/>
      <c r="E2039" s="241"/>
      <c r="F2039" s="248"/>
      <c r="G2039" s="207"/>
      <c r="H2039" s="209"/>
      <c r="I2039" s="209"/>
      <c r="J2039" s="209"/>
      <c r="K2039" s="208" t="str">
        <f>IF(Errors!$I2039=0,SourceData!$B$42,VLOOKUP(Errors!$I2039,SourceData!$A$2:$B$40,2,FALSE))</f>
        <v>Please select ERROR CODE column "I"</v>
      </c>
      <c r="L2039" s="207" t="str">
        <f>IF(Errors!$I2039=0,
    'List of Error Codes'!$E$29,
    IFERROR(VLOOKUP(Errors!$I2039, 'List of Error Codes'!D2038:I2068, 6, FALSE), 'List of Error Codes'!$E$29)
)</f>
        <v>Please select ERROR CODE column "I"</v>
      </c>
      <c r="M2039" s="209"/>
      <c r="N2039" s="209"/>
      <c r="O2039" s="209"/>
      <c r="P2039" s="209"/>
      <c r="Q2039" s="209"/>
      <c r="R2039" s="217"/>
      <c r="S2039" s="217"/>
      <c r="T2039" s="217"/>
      <c r="U2039" s="199"/>
      <c r="V2039" s="200"/>
      <c r="W2039" s="200"/>
      <c r="X2039" s="200"/>
      <c r="Y2039" s="200"/>
      <c r="Z2039" s="200"/>
      <c r="AA2039" s="201"/>
      <c r="AB2039" s="200"/>
      <c r="AC2039" s="200"/>
    </row>
    <row r="2040" ht="15.75" customHeight="1">
      <c r="A2040" s="210">
        <f t="shared" si="1"/>
        <v>2038</v>
      </c>
      <c r="B2040" s="217"/>
      <c r="C2040" s="217" t="str">
        <f>IFERROR(VLOOKUP(B2040, SourceData!$U$3:$V$190, 2, FALSE), "")</f>
        <v/>
      </c>
      <c r="D2040" s="240"/>
      <c r="E2040" s="241"/>
      <c r="F2040" s="248"/>
      <c r="G2040" s="207"/>
      <c r="H2040" s="209"/>
      <c r="I2040" s="209"/>
      <c r="J2040" s="209"/>
      <c r="K2040" s="208" t="str">
        <f>IF(Errors!$I2040=0,SourceData!$B$42,VLOOKUP(Errors!$I2040,SourceData!$A$2:$B$40,2,FALSE))</f>
        <v>Please select ERROR CODE column "I"</v>
      </c>
      <c r="L2040" s="207" t="str">
        <f>IF(Errors!$I2040=0,
    'List of Error Codes'!$E$29,
    IFERROR(VLOOKUP(Errors!$I2040, 'List of Error Codes'!D2039:I2069, 6, FALSE), 'List of Error Codes'!$E$29)
)</f>
        <v>Please select ERROR CODE column "I"</v>
      </c>
      <c r="M2040" s="209"/>
      <c r="N2040" s="209"/>
      <c r="O2040" s="209"/>
      <c r="P2040" s="209"/>
      <c r="Q2040" s="209"/>
      <c r="R2040" s="217"/>
      <c r="S2040" s="217"/>
      <c r="T2040" s="217"/>
      <c r="U2040" s="199"/>
      <c r="V2040" s="200"/>
      <c r="W2040" s="200"/>
      <c r="X2040" s="200"/>
      <c r="Y2040" s="200"/>
      <c r="Z2040" s="200"/>
      <c r="AA2040" s="201"/>
      <c r="AB2040" s="200"/>
      <c r="AC2040" s="200"/>
    </row>
    <row r="2041" ht="15.75" customHeight="1">
      <c r="A2041" s="210">
        <f t="shared" si="1"/>
        <v>2039</v>
      </c>
      <c r="B2041" s="217"/>
      <c r="C2041" s="217" t="str">
        <f>IFERROR(VLOOKUP(B2041, SourceData!$U$3:$V$190, 2, FALSE), "")</f>
        <v/>
      </c>
      <c r="D2041" s="240"/>
      <c r="E2041" s="241"/>
      <c r="F2041" s="248"/>
      <c r="G2041" s="207"/>
      <c r="H2041" s="209"/>
      <c r="I2041" s="209"/>
      <c r="J2041" s="209"/>
      <c r="K2041" s="208" t="str">
        <f>IF(Errors!$I2041=0,SourceData!$B$42,VLOOKUP(Errors!$I2041,SourceData!$A$2:$B$40,2,FALSE))</f>
        <v>Please select ERROR CODE column "I"</v>
      </c>
      <c r="L2041" s="207" t="str">
        <f>IF(Errors!$I2041=0,
    'List of Error Codes'!$E$29,
    IFERROR(VLOOKUP(Errors!$I2041, 'List of Error Codes'!D2040:I2070, 6, FALSE), 'List of Error Codes'!$E$29)
)</f>
        <v>Please select ERROR CODE column "I"</v>
      </c>
      <c r="M2041" s="209"/>
      <c r="N2041" s="209"/>
      <c r="O2041" s="209"/>
      <c r="P2041" s="209"/>
      <c r="Q2041" s="209"/>
      <c r="R2041" s="217"/>
      <c r="S2041" s="217"/>
      <c r="T2041" s="217"/>
      <c r="U2041" s="199"/>
      <c r="V2041" s="200"/>
      <c r="W2041" s="200"/>
      <c r="X2041" s="200"/>
      <c r="Y2041" s="200"/>
      <c r="Z2041" s="200"/>
      <c r="AA2041" s="201"/>
      <c r="AB2041" s="200"/>
      <c r="AC2041" s="200"/>
    </row>
    <row r="2042" ht="15.75" customHeight="1">
      <c r="A2042" s="210">
        <f t="shared" si="1"/>
        <v>2040</v>
      </c>
      <c r="B2042" s="217"/>
      <c r="C2042" s="217" t="str">
        <f>IFERROR(VLOOKUP(B2042, SourceData!$U$3:$V$190, 2, FALSE), "")</f>
        <v/>
      </c>
      <c r="D2042" s="240"/>
      <c r="E2042" s="241"/>
      <c r="F2042" s="248"/>
      <c r="G2042" s="207"/>
      <c r="H2042" s="209"/>
      <c r="I2042" s="209"/>
      <c r="J2042" s="209"/>
      <c r="K2042" s="208" t="str">
        <f>IF(Errors!$I2042=0,SourceData!$B$42,VLOOKUP(Errors!$I2042,SourceData!$A$2:$B$40,2,FALSE))</f>
        <v>Please select ERROR CODE column "I"</v>
      </c>
      <c r="L2042" s="207" t="str">
        <f>IF(Errors!$I2042=0,
    'List of Error Codes'!$E$29,
    IFERROR(VLOOKUP(Errors!$I2042, 'List of Error Codes'!D2041:I2071, 6, FALSE), 'List of Error Codes'!$E$29)
)</f>
        <v>Please select ERROR CODE column "I"</v>
      </c>
      <c r="M2042" s="209"/>
      <c r="N2042" s="209"/>
      <c r="O2042" s="209"/>
      <c r="P2042" s="209"/>
      <c r="Q2042" s="209"/>
      <c r="R2042" s="217"/>
      <c r="S2042" s="217"/>
      <c r="T2042" s="217"/>
      <c r="U2042" s="199"/>
      <c r="V2042" s="200"/>
      <c r="W2042" s="200"/>
      <c r="X2042" s="200"/>
      <c r="Y2042" s="200"/>
      <c r="Z2042" s="200"/>
      <c r="AA2042" s="201"/>
      <c r="AB2042" s="200"/>
      <c r="AC2042" s="200"/>
    </row>
    <row r="2043" ht="15.75" customHeight="1">
      <c r="A2043" s="210">
        <f t="shared" si="1"/>
        <v>2041</v>
      </c>
      <c r="B2043" s="217"/>
      <c r="C2043" s="217" t="str">
        <f>IFERROR(VLOOKUP(B2043, SourceData!$U$3:$V$190, 2, FALSE), "")</f>
        <v/>
      </c>
      <c r="D2043" s="240"/>
      <c r="E2043" s="241"/>
      <c r="F2043" s="248"/>
      <c r="G2043" s="207"/>
      <c r="H2043" s="209"/>
      <c r="I2043" s="209"/>
      <c r="J2043" s="209"/>
      <c r="K2043" s="208" t="str">
        <f>IF(Errors!$I2043=0,SourceData!$B$42,VLOOKUP(Errors!$I2043,SourceData!$A$2:$B$40,2,FALSE))</f>
        <v>Please select ERROR CODE column "I"</v>
      </c>
      <c r="L2043" s="207" t="str">
        <f>IF(Errors!$I2043=0,
    'List of Error Codes'!$E$29,
    IFERROR(VLOOKUP(Errors!$I2043, 'List of Error Codes'!D2042:I2072, 6, FALSE), 'List of Error Codes'!$E$29)
)</f>
        <v>Please select ERROR CODE column "I"</v>
      </c>
      <c r="M2043" s="209"/>
      <c r="N2043" s="209"/>
      <c r="O2043" s="209"/>
      <c r="P2043" s="209"/>
      <c r="Q2043" s="209"/>
      <c r="R2043" s="217"/>
      <c r="S2043" s="217"/>
      <c r="T2043" s="217"/>
      <c r="U2043" s="199"/>
      <c r="V2043" s="200"/>
      <c r="W2043" s="200"/>
      <c r="X2043" s="200"/>
      <c r="Y2043" s="200"/>
      <c r="Z2043" s="200"/>
      <c r="AA2043" s="201"/>
      <c r="AB2043" s="200"/>
      <c r="AC2043" s="200"/>
    </row>
    <row r="2044" ht="15.75" customHeight="1">
      <c r="A2044" s="210">
        <f t="shared" si="1"/>
        <v>2042</v>
      </c>
      <c r="B2044" s="217"/>
      <c r="C2044" s="217" t="str">
        <f>IFERROR(VLOOKUP(B2044, SourceData!$U$3:$V$190, 2, FALSE), "")</f>
        <v/>
      </c>
      <c r="D2044" s="240"/>
      <c r="E2044" s="241"/>
      <c r="F2044" s="248"/>
      <c r="G2044" s="207"/>
      <c r="H2044" s="209"/>
      <c r="I2044" s="209"/>
      <c r="J2044" s="209"/>
      <c r="K2044" s="208" t="str">
        <f>IF(Errors!$I2044=0,SourceData!$B$42,VLOOKUP(Errors!$I2044,SourceData!$A$2:$B$40,2,FALSE))</f>
        <v>Please select ERROR CODE column "I"</v>
      </c>
      <c r="L2044" s="207" t="str">
        <f>IF(Errors!$I2044=0,
    'List of Error Codes'!$E$29,
    IFERROR(VLOOKUP(Errors!$I2044, 'List of Error Codes'!D2043:I2073, 6, FALSE), 'List of Error Codes'!$E$29)
)</f>
        <v>Please select ERROR CODE column "I"</v>
      </c>
      <c r="M2044" s="209"/>
      <c r="N2044" s="209"/>
      <c r="O2044" s="209"/>
      <c r="P2044" s="209"/>
      <c r="Q2044" s="209"/>
      <c r="R2044" s="217"/>
      <c r="S2044" s="217"/>
      <c r="T2044" s="217"/>
      <c r="U2044" s="199"/>
      <c r="V2044" s="200"/>
      <c r="W2044" s="200"/>
      <c r="X2044" s="200"/>
      <c r="Y2044" s="200"/>
      <c r="Z2044" s="200"/>
      <c r="AA2044" s="201"/>
      <c r="AB2044" s="200"/>
      <c r="AC2044" s="200"/>
    </row>
    <row r="2045" ht="15.75" customHeight="1">
      <c r="A2045" s="210">
        <f t="shared" si="1"/>
        <v>2043</v>
      </c>
      <c r="B2045" s="217"/>
      <c r="C2045" s="217" t="str">
        <f>IFERROR(VLOOKUP(B2045, SourceData!$U$3:$V$190, 2, FALSE), "")</f>
        <v/>
      </c>
      <c r="D2045" s="240"/>
      <c r="E2045" s="241"/>
      <c r="F2045" s="248"/>
      <c r="G2045" s="207"/>
      <c r="H2045" s="209"/>
      <c r="I2045" s="209"/>
      <c r="J2045" s="209"/>
      <c r="K2045" s="208" t="str">
        <f>IF(Errors!$I2045=0,SourceData!$B$42,VLOOKUP(Errors!$I2045,SourceData!$A$2:$B$40,2,FALSE))</f>
        <v>Please select ERROR CODE column "I"</v>
      </c>
      <c r="L2045" s="207" t="str">
        <f>IF(Errors!$I2045=0,
    'List of Error Codes'!$E$29,
    IFERROR(VLOOKUP(Errors!$I2045, 'List of Error Codes'!D2044:I2074, 6, FALSE), 'List of Error Codes'!$E$29)
)</f>
        <v>Please select ERROR CODE column "I"</v>
      </c>
      <c r="M2045" s="209"/>
      <c r="N2045" s="209"/>
      <c r="O2045" s="209"/>
      <c r="P2045" s="209"/>
      <c r="Q2045" s="209"/>
      <c r="R2045" s="217"/>
      <c r="S2045" s="217"/>
      <c r="T2045" s="217"/>
      <c r="U2045" s="199"/>
      <c r="V2045" s="200"/>
      <c r="W2045" s="200"/>
      <c r="X2045" s="200"/>
      <c r="Y2045" s="200"/>
      <c r="Z2045" s="200"/>
      <c r="AA2045" s="201"/>
      <c r="AB2045" s="200"/>
      <c r="AC2045" s="200"/>
    </row>
    <row r="2046" ht="15.75" customHeight="1">
      <c r="A2046" s="210">
        <f t="shared" si="1"/>
        <v>2044</v>
      </c>
      <c r="B2046" s="217"/>
      <c r="C2046" s="217" t="str">
        <f>IFERROR(VLOOKUP(B2046, SourceData!$U$3:$V$190, 2, FALSE), "")</f>
        <v/>
      </c>
      <c r="D2046" s="240"/>
      <c r="E2046" s="241"/>
      <c r="F2046" s="248"/>
      <c r="G2046" s="207"/>
      <c r="H2046" s="209"/>
      <c r="I2046" s="209"/>
      <c r="J2046" s="209"/>
      <c r="K2046" s="208" t="str">
        <f>IF(Errors!$I2046=0,SourceData!$B$42,VLOOKUP(Errors!$I2046,SourceData!$A$2:$B$40,2,FALSE))</f>
        <v>Please select ERROR CODE column "I"</v>
      </c>
      <c r="L2046" s="207" t="str">
        <f>IF(Errors!$I2046=0,
    'List of Error Codes'!$E$29,
    IFERROR(VLOOKUP(Errors!$I2046, 'List of Error Codes'!D2045:I2075, 6, FALSE), 'List of Error Codes'!$E$29)
)</f>
        <v>Please select ERROR CODE column "I"</v>
      </c>
      <c r="M2046" s="209"/>
      <c r="N2046" s="209"/>
      <c r="O2046" s="209"/>
      <c r="P2046" s="209"/>
      <c r="Q2046" s="209"/>
      <c r="R2046" s="217"/>
      <c r="S2046" s="217"/>
      <c r="T2046" s="217"/>
      <c r="U2046" s="199"/>
      <c r="V2046" s="200"/>
      <c r="W2046" s="200"/>
      <c r="X2046" s="200"/>
      <c r="Y2046" s="200"/>
      <c r="Z2046" s="200"/>
      <c r="AA2046" s="201"/>
      <c r="AB2046" s="200"/>
      <c r="AC2046" s="200"/>
    </row>
    <row r="2047" ht="15.75" customHeight="1">
      <c r="A2047" s="210">
        <f t="shared" si="1"/>
        <v>2045</v>
      </c>
      <c r="B2047" s="217"/>
      <c r="C2047" s="217" t="str">
        <f>IFERROR(VLOOKUP(B2047, SourceData!$U$3:$V$190, 2, FALSE), "")</f>
        <v/>
      </c>
      <c r="D2047" s="240"/>
      <c r="E2047" s="241"/>
      <c r="F2047" s="248"/>
      <c r="G2047" s="207"/>
      <c r="H2047" s="209"/>
      <c r="I2047" s="209"/>
      <c r="J2047" s="209"/>
      <c r="K2047" s="208" t="str">
        <f>IF(Errors!$I2047=0,SourceData!$B$42,VLOOKUP(Errors!$I2047,SourceData!$A$2:$B$40,2,FALSE))</f>
        <v>Please select ERROR CODE column "I"</v>
      </c>
      <c r="L2047" s="207" t="str">
        <f>IF(Errors!$I2047=0,
    'List of Error Codes'!$E$29,
    IFERROR(VLOOKUP(Errors!$I2047, 'List of Error Codes'!D2046:I2076, 6, FALSE), 'List of Error Codes'!$E$29)
)</f>
        <v>Please select ERROR CODE column "I"</v>
      </c>
      <c r="M2047" s="209"/>
      <c r="N2047" s="209"/>
      <c r="O2047" s="209"/>
      <c r="P2047" s="209"/>
      <c r="Q2047" s="209"/>
      <c r="R2047" s="217"/>
      <c r="S2047" s="217"/>
      <c r="T2047" s="217"/>
      <c r="U2047" s="199"/>
      <c r="V2047" s="200"/>
      <c r="W2047" s="200"/>
      <c r="X2047" s="200"/>
      <c r="Y2047" s="200"/>
      <c r="Z2047" s="200"/>
      <c r="AA2047" s="201"/>
      <c r="AB2047" s="200"/>
      <c r="AC2047" s="200"/>
    </row>
    <row r="2048" ht="15.75" customHeight="1">
      <c r="A2048" s="210">
        <f t="shared" si="1"/>
        <v>2046</v>
      </c>
      <c r="B2048" s="217"/>
      <c r="C2048" s="217" t="str">
        <f>IFERROR(VLOOKUP(B2048, SourceData!$U$3:$V$190, 2, FALSE), "")</f>
        <v/>
      </c>
      <c r="D2048" s="240"/>
      <c r="E2048" s="241"/>
      <c r="F2048" s="248"/>
      <c r="G2048" s="207"/>
      <c r="H2048" s="209"/>
      <c r="I2048" s="209"/>
      <c r="J2048" s="209"/>
      <c r="K2048" s="208" t="str">
        <f>IF(Errors!$I2048=0,SourceData!$B$42,VLOOKUP(Errors!$I2048,SourceData!$A$2:$B$40,2,FALSE))</f>
        <v>Please select ERROR CODE column "I"</v>
      </c>
      <c r="L2048" s="207" t="str">
        <f>IF(Errors!$I2048=0,
    'List of Error Codes'!$E$29,
    IFERROR(VLOOKUP(Errors!$I2048, 'List of Error Codes'!D2047:I2077, 6, FALSE), 'List of Error Codes'!$E$29)
)</f>
        <v>Please select ERROR CODE column "I"</v>
      </c>
      <c r="M2048" s="209"/>
      <c r="N2048" s="209"/>
      <c r="O2048" s="209"/>
      <c r="P2048" s="209"/>
      <c r="Q2048" s="209"/>
      <c r="R2048" s="217"/>
      <c r="S2048" s="217"/>
      <c r="T2048" s="217"/>
      <c r="U2048" s="199"/>
      <c r="V2048" s="200"/>
      <c r="W2048" s="200"/>
      <c r="X2048" s="200"/>
      <c r="Y2048" s="200"/>
      <c r="Z2048" s="200"/>
      <c r="AA2048" s="201"/>
      <c r="AB2048" s="200"/>
      <c r="AC2048" s="200"/>
    </row>
    <row r="2049" ht="15.75" customHeight="1">
      <c r="A2049" s="210">
        <f t="shared" si="1"/>
        <v>2047</v>
      </c>
      <c r="B2049" s="217"/>
      <c r="C2049" s="217" t="str">
        <f>IFERROR(VLOOKUP(B2049, SourceData!$U$3:$V$190, 2, FALSE), "")</f>
        <v/>
      </c>
      <c r="D2049" s="240"/>
      <c r="E2049" s="241"/>
      <c r="F2049" s="248"/>
      <c r="G2049" s="207"/>
      <c r="H2049" s="209"/>
      <c r="I2049" s="209"/>
      <c r="J2049" s="209"/>
      <c r="K2049" s="208" t="str">
        <f>IF(Errors!$I2049=0,SourceData!$B$42,VLOOKUP(Errors!$I2049,SourceData!$A$2:$B$40,2,FALSE))</f>
        <v>Please select ERROR CODE column "I"</v>
      </c>
      <c r="L2049" s="207" t="str">
        <f>IF(Errors!$I2049=0,
    'List of Error Codes'!$E$29,
    IFERROR(VLOOKUP(Errors!$I2049, 'List of Error Codes'!D2048:I2078, 6, FALSE), 'List of Error Codes'!$E$29)
)</f>
        <v>Please select ERROR CODE column "I"</v>
      </c>
      <c r="M2049" s="209"/>
      <c r="N2049" s="209"/>
      <c r="O2049" s="209"/>
      <c r="P2049" s="209"/>
      <c r="Q2049" s="209"/>
      <c r="R2049" s="217"/>
      <c r="S2049" s="217"/>
      <c r="T2049" s="217"/>
      <c r="U2049" s="199"/>
      <c r="V2049" s="200"/>
      <c r="W2049" s="200"/>
      <c r="X2049" s="200"/>
      <c r="Y2049" s="200"/>
      <c r="Z2049" s="200"/>
      <c r="AA2049" s="201"/>
      <c r="AB2049" s="200"/>
      <c r="AC2049" s="200"/>
    </row>
    <row r="2050" ht="15.75" customHeight="1">
      <c r="A2050" s="210">
        <f t="shared" si="1"/>
        <v>2048</v>
      </c>
      <c r="B2050" s="217"/>
      <c r="C2050" s="217" t="str">
        <f>IFERROR(VLOOKUP(B2050, SourceData!$U$3:$V$190, 2, FALSE), "")</f>
        <v/>
      </c>
      <c r="D2050" s="240"/>
      <c r="E2050" s="241"/>
      <c r="F2050" s="248"/>
      <c r="G2050" s="207"/>
      <c r="H2050" s="209"/>
      <c r="I2050" s="209"/>
      <c r="J2050" s="209"/>
      <c r="K2050" s="208" t="str">
        <f>IF(Errors!$I2050=0,SourceData!$B$42,VLOOKUP(Errors!$I2050,SourceData!$A$2:$B$40,2,FALSE))</f>
        <v>Please select ERROR CODE column "I"</v>
      </c>
      <c r="L2050" s="207" t="str">
        <f>IF(Errors!$I2050=0,
    'List of Error Codes'!$E$29,
    IFERROR(VLOOKUP(Errors!$I2050, 'List of Error Codes'!D2049:I2079, 6, FALSE), 'List of Error Codes'!$E$29)
)</f>
        <v>Please select ERROR CODE column "I"</v>
      </c>
      <c r="M2050" s="209"/>
      <c r="N2050" s="209"/>
      <c r="O2050" s="209"/>
      <c r="P2050" s="209"/>
      <c r="Q2050" s="209"/>
      <c r="R2050" s="217"/>
      <c r="S2050" s="217"/>
      <c r="T2050" s="217"/>
      <c r="U2050" s="199"/>
      <c r="V2050" s="200"/>
      <c r="W2050" s="200"/>
      <c r="X2050" s="200"/>
      <c r="Y2050" s="200"/>
      <c r="Z2050" s="200"/>
      <c r="AA2050" s="201"/>
      <c r="AB2050" s="200"/>
      <c r="AC2050" s="200"/>
    </row>
    <row r="2051" ht="15.75" customHeight="1">
      <c r="A2051" s="210">
        <f t="shared" si="1"/>
        <v>2049</v>
      </c>
      <c r="B2051" s="217"/>
      <c r="C2051" s="217" t="str">
        <f>IFERROR(VLOOKUP(B2051, SourceData!$U$3:$V$190, 2, FALSE), "")</f>
        <v/>
      </c>
      <c r="D2051" s="240"/>
      <c r="E2051" s="241"/>
      <c r="F2051" s="248"/>
      <c r="G2051" s="207"/>
      <c r="H2051" s="209"/>
      <c r="I2051" s="209"/>
      <c r="J2051" s="209"/>
      <c r="K2051" s="208" t="str">
        <f>IF(Errors!$I2051=0,SourceData!$B$42,VLOOKUP(Errors!$I2051,SourceData!$A$2:$B$40,2,FALSE))</f>
        <v>Please select ERROR CODE column "I"</v>
      </c>
      <c r="L2051" s="207" t="str">
        <f>IF(Errors!$I2051=0,
    'List of Error Codes'!$E$29,
    IFERROR(VLOOKUP(Errors!$I2051, 'List of Error Codes'!D2050:I2080, 6, FALSE), 'List of Error Codes'!$E$29)
)</f>
        <v>Please select ERROR CODE column "I"</v>
      </c>
      <c r="M2051" s="209"/>
      <c r="N2051" s="209"/>
      <c r="O2051" s="209"/>
      <c r="P2051" s="209"/>
      <c r="Q2051" s="209"/>
      <c r="R2051" s="217"/>
      <c r="S2051" s="217"/>
      <c r="T2051" s="217"/>
      <c r="U2051" s="199"/>
      <c r="V2051" s="200"/>
      <c r="W2051" s="200"/>
      <c r="X2051" s="200"/>
      <c r="Y2051" s="200"/>
      <c r="Z2051" s="200"/>
      <c r="AA2051" s="201"/>
      <c r="AB2051" s="200"/>
      <c r="AC2051" s="200"/>
    </row>
    <row r="2052" ht="15.75" customHeight="1">
      <c r="A2052" s="210">
        <f t="shared" si="1"/>
        <v>2050</v>
      </c>
      <c r="B2052" s="217"/>
      <c r="C2052" s="217" t="str">
        <f>IFERROR(VLOOKUP(B2052, SourceData!$U$3:$V$190, 2, FALSE), "")</f>
        <v/>
      </c>
      <c r="D2052" s="240"/>
      <c r="E2052" s="241"/>
      <c r="F2052" s="248"/>
      <c r="G2052" s="207"/>
      <c r="H2052" s="209"/>
      <c r="I2052" s="209"/>
      <c r="J2052" s="209"/>
      <c r="K2052" s="208" t="str">
        <f>IF(Errors!$I2052=0,SourceData!$B$42,VLOOKUP(Errors!$I2052,SourceData!$A$2:$B$40,2,FALSE))</f>
        <v>Please select ERROR CODE column "I"</v>
      </c>
      <c r="L2052" s="207" t="str">
        <f>IF(Errors!$I2052=0,
    'List of Error Codes'!$E$29,
    IFERROR(VLOOKUP(Errors!$I2052, 'List of Error Codes'!D2051:I2081, 6, FALSE), 'List of Error Codes'!$E$29)
)</f>
        <v>Please select ERROR CODE column "I"</v>
      </c>
      <c r="M2052" s="209"/>
      <c r="N2052" s="209"/>
      <c r="O2052" s="209"/>
      <c r="P2052" s="209"/>
      <c r="Q2052" s="209"/>
      <c r="R2052" s="217"/>
      <c r="S2052" s="217"/>
      <c r="T2052" s="217"/>
      <c r="U2052" s="199"/>
      <c r="V2052" s="200"/>
      <c r="W2052" s="200"/>
      <c r="X2052" s="200"/>
      <c r="Y2052" s="200"/>
      <c r="Z2052" s="200"/>
      <c r="AA2052" s="201"/>
      <c r="AB2052" s="200"/>
      <c r="AC2052" s="200"/>
    </row>
    <row r="2053" ht="15.75" customHeight="1">
      <c r="A2053" s="210">
        <f t="shared" si="1"/>
        <v>2051</v>
      </c>
      <c r="B2053" s="217"/>
      <c r="C2053" s="217" t="str">
        <f>IFERROR(VLOOKUP(B2053, SourceData!$U$3:$V$190, 2, FALSE), "")</f>
        <v/>
      </c>
      <c r="D2053" s="240"/>
      <c r="E2053" s="241"/>
      <c r="F2053" s="248"/>
      <c r="G2053" s="207"/>
      <c r="H2053" s="209"/>
      <c r="I2053" s="209"/>
      <c r="J2053" s="209"/>
      <c r="K2053" s="208" t="str">
        <f>IF(Errors!$I2053=0,SourceData!$B$42,VLOOKUP(Errors!$I2053,SourceData!$A$2:$B$40,2,FALSE))</f>
        <v>Please select ERROR CODE column "I"</v>
      </c>
      <c r="L2053" s="207" t="str">
        <f>IF(Errors!$I2053=0,
    'List of Error Codes'!$E$29,
    IFERROR(VLOOKUP(Errors!$I2053, 'List of Error Codes'!D2052:I2082, 6, FALSE), 'List of Error Codes'!$E$29)
)</f>
        <v>Please select ERROR CODE column "I"</v>
      </c>
      <c r="M2053" s="209"/>
      <c r="N2053" s="209"/>
      <c r="O2053" s="209"/>
      <c r="P2053" s="209"/>
      <c r="Q2053" s="209"/>
      <c r="R2053" s="217"/>
      <c r="S2053" s="217"/>
      <c r="T2053" s="217"/>
      <c r="U2053" s="199"/>
      <c r="V2053" s="200"/>
      <c r="W2053" s="200"/>
      <c r="X2053" s="200"/>
      <c r="Y2053" s="200"/>
      <c r="Z2053" s="200"/>
      <c r="AA2053" s="201"/>
      <c r="AB2053" s="200"/>
      <c r="AC2053" s="200"/>
    </row>
    <row r="2054" ht="15.75" customHeight="1">
      <c r="A2054" s="210">
        <f t="shared" si="1"/>
        <v>2052</v>
      </c>
      <c r="B2054" s="217"/>
      <c r="C2054" s="217" t="str">
        <f>IFERROR(VLOOKUP(B2054, SourceData!$U$3:$V$190, 2, FALSE), "")</f>
        <v/>
      </c>
      <c r="D2054" s="240"/>
      <c r="E2054" s="241"/>
      <c r="F2054" s="248"/>
      <c r="G2054" s="207"/>
      <c r="H2054" s="209"/>
      <c r="I2054" s="209"/>
      <c r="J2054" s="209"/>
      <c r="K2054" s="208" t="str">
        <f>IF(Errors!$I2054=0,SourceData!$B$42,VLOOKUP(Errors!$I2054,SourceData!$A$2:$B$40,2,FALSE))</f>
        <v>Please select ERROR CODE column "I"</v>
      </c>
      <c r="L2054" s="207" t="str">
        <f>IF(Errors!$I2054=0,
    'List of Error Codes'!$E$29,
    IFERROR(VLOOKUP(Errors!$I2054, 'List of Error Codes'!D2053:I2083, 6, FALSE), 'List of Error Codes'!$E$29)
)</f>
        <v>Please select ERROR CODE column "I"</v>
      </c>
      <c r="M2054" s="209"/>
      <c r="N2054" s="209"/>
      <c r="O2054" s="209"/>
      <c r="P2054" s="209"/>
      <c r="Q2054" s="209"/>
      <c r="R2054" s="217"/>
      <c r="S2054" s="217"/>
      <c r="T2054" s="217"/>
      <c r="U2054" s="199"/>
      <c r="V2054" s="200"/>
      <c r="W2054" s="200"/>
      <c r="X2054" s="200"/>
      <c r="Y2054" s="200"/>
      <c r="Z2054" s="200"/>
      <c r="AA2054" s="201"/>
      <c r="AB2054" s="200"/>
      <c r="AC2054" s="200"/>
    </row>
    <row r="2055" ht="15.75" customHeight="1">
      <c r="A2055" s="210">
        <f t="shared" si="1"/>
        <v>2053</v>
      </c>
      <c r="B2055" s="217"/>
      <c r="C2055" s="217" t="str">
        <f>IFERROR(VLOOKUP(B2055, SourceData!$U$3:$V$190, 2, FALSE), "")</f>
        <v/>
      </c>
      <c r="D2055" s="240"/>
      <c r="E2055" s="241"/>
      <c r="F2055" s="248"/>
      <c r="G2055" s="207"/>
      <c r="H2055" s="209"/>
      <c r="I2055" s="209"/>
      <c r="J2055" s="209"/>
      <c r="K2055" s="208" t="str">
        <f>IF(Errors!$I2055=0,SourceData!$B$42,VLOOKUP(Errors!$I2055,SourceData!$A$2:$B$40,2,FALSE))</f>
        <v>Please select ERROR CODE column "I"</v>
      </c>
      <c r="L2055" s="207" t="str">
        <f>IF(Errors!$I2055=0,
    'List of Error Codes'!$E$29,
    IFERROR(VLOOKUP(Errors!$I2055, 'List of Error Codes'!D2054:I2084, 6, FALSE), 'List of Error Codes'!$E$29)
)</f>
        <v>Please select ERROR CODE column "I"</v>
      </c>
      <c r="M2055" s="209"/>
      <c r="N2055" s="209"/>
      <c r="O2055" s="209"/>
      <c r="P2055" s="209"/>
      <c r="Q2055" s="209"/>
      <c r="R2055" s="217"/>
      <c r="S2055" s="217"/>
      <c r="T2055" s="217"/>
      <c r="U2055" s="199"/>
      <c r="V2055" s="200"/>
      <c r="W2055" s="200"/>
      <c r="X2055" s="200"/>
      <c r="Y2055" s="200"/>
      <c r="Z2055" s="200"/>
      <c r="AA2055" s="201"/>
      <c r="AB2055" s="200"/>
      <c r="AC2055" s="200"/>
    </row>
    <row r="2056" ht="15.75" customHeight="1">
      <c r="A2056" s="210">
        <f t="shared" si="1"/>
        <v>2054</v>
      </c>
      <c r="B2056" s="217"/>
      <c r="C2056" s="217" t="str">
        <f>IFERROR(VLOOKUP(B2056, SourceData!$U$3:$V$190, 2, FALSE), "")</f>
        <v/>
      </c>
      <c r="D2056" s="240"/>
      <c r="E2056" s="241"/>
      <c r="F2056" s="248"/>
      <c r="G2056" s="207"/>
      <c r="H2056" s="209"/>
      <c r="I2056" s="209"/>
      <c r="J2056" s="209"/>
      <c r="K2056" s="208" t="str">
        <f>IF(Errors!$I2056=0,SourceData!$B$42,VLOOKUP(Errors!$I2056,SourceData!$A$2:$B$40,2,FALSE))</f>
        <v>Please select ERROR CODE column "I"</v>
      </c>
      <c r="L2056" s="207" t="str">
        <f>IF(Errors!$I2056=0,
    'List of Error Codes'!$E$29,
    IFERROR(VLOOKUP(Errors!$I2056, 'List of Error Codes'!D2055:I2085, 6, FALSE), 'List of Error Codes'!$E$29)
)</f>
        <v>Please select ERROR CODE column "I"</v>
      </c>
      <c r="M2056" s="209"/>
      <c r="N2056" s="209"/>
      <c r="O2056" s="209"/>
      <c r="P2056" s="209"/>
      <c r="Q2056" s="209"/>
      <c r="R2056" s="217"/>
      <c r="S2056" s="217"/>
      <c r="T2056" s="217"/>
      <c r="U2056" s="199"/>
      <c r="V2056" s="200"/>
      <c r="W2056" s="200"/>
      <c r="X2056" s="200"/>
      <c r="Y2056" s="200"/>
      <c r="Z2056" s="200"/>
      <c r="AA2056" s="201"/>
      <c r="AB2056" s="200"/>
      <c r="AC2056" s="200"/>
    </row>
    <row r="2057" ht="15.75" customHeight="1">
      <c r="A2057" s="210">
        <f t="shared" si="1"/>
        <v>2055</v>
      </c>
      <c r="B2057" s="217"/>
      <c r="C2057" s="217" t="str">
        <f>IFERROR(VLOOKUP(B2057, SourceData!$U$3:$V$190, 2, FALSE), "")</f>
        <v/>
      </c>
      <c r="D2057" s="240"/>
      <c r="E2057" s="241"/>
      <c r="F2057" s="248"/>
      <c r="G2057" s="207"/>
      <c r="H2057" s="209"/>
      <c r="I2057" s="209"/>
      <c r="J2057" s="209"/>
      <c r="K2057" s="208" t="str">
        <f>IF(Errors!$I2057=0,SourceData!$B$42,VLOOKUP(Errors!$I2057,SourceData!$A$2:$B$40,2,FALSE))</f>
        <v>Please select ERROR CODE column "I"</v>
      </c>
      <c r="L2057" s="207" t="str">
        <f>IF(Errors!$I2057=0,
    'List of Error Codes'!$E$29,
    IFERROR(VLOOKUP(Errors!$I2057, 'List of Error Codes'!D2056:I2086, 6, FALSE), 'List of Error Codes'!$E$29)
)</f>
        <v>Please select ERROR CODE column "I"</v>
      </c>
      <c r="M2057" s="209"/>
      <c r="N2057" s="209"/>
      <c r="O2057" s="209"/>
      <c r="P2057" s="209"/>
      <c r="Q2057" s="209"/>
      <c r="R2057" s="217"/>
      <c r="S2057" s="217"/>
      <c r="T2057" s="217"/>
      <c r="U2057" s="199"/>
      <c r="V2057" s="200"/>
      <c r="W2057" s="200"/>
      <c r="X2057" s="200"/>
      <c r="Y2057" s="200"/>
      <c r="Z2057" s="200"/>
      <c r="AA2057" s="201"/>
      <c r="AB2057" s="200"/>
      <c r="AC2057" s="200"/>
    </row>
    <row r="2058" ht="15.75" customHeight="1">
      <c r="A2058" s="210">
        <f t="shared" si="1"/>
        <v>2056</v>
      </c>
      <c r="B2058" s="217"/>
      <c r="C2058" s="217" t="str">
        <f>IFERROR(VLOOKUP(B2058, SourceData!$U$3:$V$190, 2, FALSE), "")</f>
        <v/>
      </c>
      <c r="D2058" s="240"/>
      <c r="E2058" s="241"/>
      <c r="F2058" s="248"/>
      <c r="G2058" s="207"/>
      <c r="H2058" s="209"/>
      <c r="I2058" s="209"/>
      <c r="J2058" s="209"/>
      <c r="K2058" s="208" t="str">
        <f>IF(Errors!$I2058=0,SourceData!$B$42,VLOOKUP(Errors!$I2058,SourceData!$A$2:$B$40,2,FALSE))</f>
        <v>Please select ERROR CODE column "I"</v>
      </c>
      <c r="L2058" s="207" t="str">
        <f>IF(Errors!$I2058=0,
    'List of Error Codes'!$E$29,
    IFERROR(VLOOKUP(Errors!$I2058, 'List of Error Codes'!D2057:I2087, 6, FALSE), 'List of Error Codes'!$E$29)
)</f>
        <v>Please select ERROR CODE column "I"</v>
      </c>
      <c r="M2058" s="209"/>
      <c r="N2058" s="209"/>
      <c r="O2058" s="209"/>
      <c r="P2058" s="209"/>
      <c r="Q2058" s="209"/>
      <c r="R2058" s="217"/>
      <c r="S2058" s="217"/>
      <c r="T2058" s="217"/>
      <c r="U2058" s="199"/>
      <c r="V2058" s="200"/>
      <c r="W2058" s="200"/>
      <c r="X2058" s="200"/>
      <c r="Y2058" s="200"/>
      <c r="Z2058" s="200"/>
      <c r="AA2058" s="201"/>
      <c r="AB2058" s="200"/>
      <c r="AC2058" s="200"/>
    </row>
    <row r="2059" ht="15.75" customHeight="1">
      <c r="A2059" s="210">
        <f t="shared" si="1"/>
        <v>2057</v>
      </c>
      <c r="B2059" s="217"/>
      <c r="C2059" s="217" t="str">
        <f>IFERROR(VLOOKUP(B2059, SourceData!$U$3:$V$190, 2, FALSE), "")</f>
        <v/>
      </c>
      <c r="D2059" s="240"/>
      <c r="E2059" s="241"/>
      <c r="F2059" s="248"/>
      <c r="G2059" s="207"/>
      <c r="H2059" s="209"/>
      <c r="I2059" s="209"/>
      <c r="J2059" s="209"/>
      <c r="K2059" s="208" t="str">
        <f>IF(Errors!$I2059=0,SourceData!$B$42,VLOOKUP(Errors!$I2059,SourceData!$A$2:$B$40,2,FALSE))</f>
        <v>Please select ERROR CODE column "I"</v>
      </c>
      <c r="L2059" s="207" t="str">
        <f>IF(Errors!$I2059=0,
    'List of Error Codes'!$E$29,
    IFERROR(VLOOKUP(Errors!$I2059, 'List of Error Codes'!D2058:I2088, 6, FALSE), 'List of Error Codes'!$E$29)
)</f>
        <v>Please select ERROR CODE column "I"</v>
      </c>
      <c r="M2059" s="209"/>
      <c r="N2059" s="209"/>
      <c r="O2059" s="209"/>
      <c r="P2059" s="209"/>
      <c r="Q2059" s="209"/>
      <c r="R2059" s="217"/>
      <c r="S2059" s="217"/>
      <c r="T2059" s="217"/>
      <c r="U2059" s="199"/>
      <c r="V2059" s="200"/>
      <c r="W2059" s="200"/>
      <c r="X2059" s="200"/>
      <c r="Y2059" s="200"/>
      <c r="Z2059" s="200"/>
      <c r="AA2059" s="201"/>
      <c r="AB2059" s="200"/>
      <c r="AC2059" s="200"/>
    </row>
    <row r="2060" ht="15.75" customHeight="1">
      <c r="A2060" s="210">
        <f t="shared" si="1"/>
        <v>2058</v>
      </c>
      <c r="B2060" s="217"/>
      <c r="C2060" s="217" t="str">
        <f>IFERROR(VLOOKUP(B2060, SourceData!$U$3:$V$190, 2, FALSE), "")</f>
        <v/>
      </c>
      <c r="D2060" s="240"/>
      <c r="E2060" s="241"/>
      <c r="F2060" s="248"/>
      <c r="G2060" s="207"/>
      <c r="H2060" s="209"/>
      <c r="I2060" s="209"/>
      <c r="J2060" s="209"/>
      <c r="K2060" s="208" t="str">
        <f>IF(Errors!$I2060=0,SourceData!$B$42,VLOOKUP(Errors!$I2060,SourceData!$A$2:$B$40,2,FALSE))</f>
        <v>Please select ERROR CODE column "I"</v>
      </c>
      <c r="L2060" s="207" t="str">
        <f>IF(Errors!$I2060=0,
    'List of Error Codes'!$E$29,
    IFERROR(VLOOKUP(Errors!$I2060, 'List of Error Codes'!D2059:I2089, 6, FALSE), 'List of Error Codes'!$E$29)
)</f>
        <v>Please select ERROR CODE column "I"</v>
      </c>
      <c r="M2060" s="209"/>
      <c r="N2060" s="209"/>
      <c r="O2060" s="209"/>
      <c r="P2060" s="209"/>
      <c r="Q2060" s="209"/>
      <c r="R2060" s="217"/>
      <c r="S2060" s="217"/>
      <c r="T2060" s="217"/>
      <c r="U2060" s="199"/>
      <c r="V2060" s="200"/>
      <c r="W2060" s="200"/>
      <c r="X2060" s="200"/>
      <c r="Y2060" s="200"/>
      <c r="Z2060" s="200"/>
      <c r="AA2060" s="201"/>
      <c r="AB2060" s="200"/>
      <c r="AC2060" s="200"/>
    </row>
    <row r="2061" ht="15.75" customHeight="1">
      <c r="A2061" s="210">
        <f t="shared" si="1"/>
        <v>2059</v>
      </c>
      <c r="B2061" s="217"/>
      <c r="C2061" s="217" t="str">
        <f>IFERROR(VLOOKUP(B2061, SourceData!$U$3:$V$190, 2, FALSE), "")</f>
        <v/>
      </c>
      <c r="D2061" s="240"/>
      <c r="E2061" s="241"/>
      <c r="F2061" s="248"/>
      <c r="G2061" s="207"/>
      <c r="H2061" s="209"/>
      <c r="I2061" s="209"/>
      <c r="J2061" s="209"/>
      <c r="K2061" s="208" t="str">
        <f>IF(Errors!$I2061=0,SourceData!$B$42,VLOOKUP(Errors!$I2061,SourceData!$A$2:$B$40,2,FALSE))</f>
        <v>Please select ERROR CODE column "I"</v>
      </c>
      <c r="L2061" s="207" t="str">
        <f>IF(Errors!$I2061=0,
    'List of Error Codes'!$E$29,
    IFERROR(VLOOKUP(Errors!$I2061, 'List of Error Codes'!D2060:I2090, 6, FALSE), 'List of Error Codes'!$E$29)
)</f>
        <v>Please select ERROR CODE column "I"</v>
      </c>
      <c r="M2061" s="209"/>
      <c r="N2061" s="209"/>
      <c r="O2061" s="209"/>
      <c r="P2061" s="209"/>
      <c r="Q2061" s="209"/>
      <c r="R2061" s="217"/>
      <c r="S2061" s="217"/>
      <c r="T2061" s="217"/>
      <c r="U2061" s="199"/>
      <c r="V2061" s="200"/>
      <c r="W2061" s="200"/>
      <c r="X2061" s="200"/>
      <c r="Y2061" s="200"/>
      <c r="Z2061" s="200"/>
      <c r="AA2061" s="201"/>
      <c r="AB2061" s="200"/>
      <c r="AC2061" s="200"/>
    </row>
    <row r="2062" ht="15.75" customHeight="1">
      <c r="A2062" s="210">
        <f t="shared" si="1"/>
        <v>2060</v>
      </c>
      <c r="B2062" s="217"/>
      <c r="C2062" s="217" t="str">
        <f>IFERROR(VLOOKUP(B2062, SourceData!$U$3:$V$190, 2, FALSE), "")</f>
        <v/>
      </c>
      <c r="D2062" s="240"/>
      <c r="E2062" s="241"/>
      <c r="F2062" s="248"/>
      <c r="G2062" s="207"/>
      <c r="H2062" s="209"/>
      <c r="I2062" s="209"/>
      <c r="J2062" s="209"/>
      <c r="K2062" s="208" t="str">
        <f>IF(Errors!$I2062=0,SourceData!$B$42,VLOOKUP(Errors!$I2062,SourceData!$A$2:$B$40,2,FALSE))</f>
        <v>Please select ERROR CODE column "I"</v>
      </c>
      <c r="L2062" s="207" t="str">
        <f>IF(Errors!$I2062=0,
    'List of Error Codes'!$E$29,
    IFERROR(VLOOKUP(Errors!$I2062, 'List of Error Codes'!D2061:I2091, 6, FALSE), 'List of Error Codes'!$E$29)
)</f>
        <v>Please select ERROR CODE column "I"</v>
      </c>
      <c r="M2062" s="209"/>
      <c r="N2062" s="209"/>
      <c r="O2062" s="209"/>
      <c r="P2062" s="209"/>
      <c r="Q2062" s="209"/>
      <c r="R2062" s="217"/>
      <c r="S2062" s="217"/>
      <c r="T2062" s="217"/>
      <c r="U2062" s="199"/>
      <c r="V2062" s="200"/>
      <c r="W2062" s="200"/>
      <c r="X2062" s="200"/>
      <c r="Y2062" s="200"/>
      <c r="Z2062" s="200"/>
      <c r="AA2062" s="201"/>
      <c r="AB2062" s="200"/>
      <c r="AC2062" s="200"/>
    </row>
    <row r="2063" ht="15.75" customHeight="1">
      <c r="A2063" s="210">
        <f t="shared" si="1"/>
        <v>2061</v>
      </c>
      <c r="B2063" s="217"/>
      <c r="C2063" s="217" t="str">
        <f>IFERROR(VLOOKUP(B2063, SourceData!$U$3:$V$190, 2, FALSE), "")</f>
        <v/>
      </c>
      <c r="D2063" s="240"/>
      <c r="E2063" s="241"/>
      <c r="F2063" s="248"/>
      <c r="G2063" s="207"/>
      <c r="H2063" s="209"/>
      <c r="I2063" s="209"/>
      <c r="J2063" s="209"/>
      <c r="K2063" s="208" t="str">
        <f>IF(Errors!$I2063=0,SourceData!$B$42,VLOOKUP(Errors!$I2063,SourceData!$A$2:$B$40,2,FALSE))</f>
        <v>Please select ERROR CODE column "I"</v>
      </c>
      <c r="L2063" s="207" t="str">
        <f>IF(Errors!$I2063=0,
    'List of Error Codes'!$E$29,
    IFERROR(VLOOKUP(Errors!$I2063, 'List of Error Codes'!D2062:I2092, 6, FALSE), 'List of Error Codes'!$E$29)
)</f>
        <v>Please select ERROR CODE column "I"</v>
      </c>
      <c r="M2063" s="209"/>
      <c r="N2063" s="209"/>
      <c r="O2063" s="209"/>
      <c r="P2063" s="209"/>
      <c r="Q2063" s="209"/>
      <c r="R2063" s="217"/>
      <c r="S2063" s="217"/>
      <c r="T2063" s="217"/>
      <c r="U2063" s="199"/>
      <c r="V2063" s="200"/>
      <c r="W2063" s="200"/>
      <c r="X2063" s="200"/>
      <c r="Y2063" s="200"/>
      <c r="Z2063" s="200"/>
      <c r="AA2063" s="201"/>
      <c r="AB2063" s="200"/>
      <c r="AC2063" s="200"/>
    </row>
    <row r="2064" ht="15.75" customHeight="1">
      <c r="A2064" s="210">
        <f t="shared" si="1"/>
        <v>2062</v>
      </c>
      <c r="B2064" s="217"/>
      <c r="C2064" s="217" t="str">
        <f>IFERROR(VLOOKUP(B2064, SourceData!$U$3:$V$190, 2, FALSE), "")</f>
        <v/>
      </c>
      <c r="D2064" s="240"/>
      <c r="E2064" s="241"/>
      <c r="F2064" s="248"/>
      <c r="G2064" s="207"/>
      <c r="H2064" s="209"/>
      <c r="I2064" s="209"/>
      <c r="J2064" s="209"/>
      <c r="K2064" s="208" t="str">
        <f>IF(Errors!$I2064=0,SourceData!$B$42,VLOOKUP(Errors!$I2064,SourceData!$A$2:$B$40,2,FALSE))</f>
        <v>Please select ERROR CODE column "I"</v>
      </c>
      <c r="L2064" s="207" t="str">
        <f>IF(Errors!$I2064=0,
    'List of Error Codes'!$E$29,
    IFERROR(VLOOKUP(Errors!$I2064, 'List of Error Codes'!D2063:I2093, 6, FALSE), 'List of Error Codes'!$E$29)
)</f>
        <v>Please select ERROR CODE column "I"</v>
      </c>
      <c r="M2064" s="209"/>
      <c r="N2064" s="209"/>
      <c r="O2064" s="209"/>
      <c r="P2064" s="209"/>
      <c r="Q2064" s="209"/>
      <c r="R2064" s="217"/>
      <c r="S2064" s="217"/>
      <c r="T2064" s="217"/>
      <c r="U2064" s="199"/>
      <c r="V2064" s="200"/>
      <c r="W2064" s="200"/>
      <c r="X2064" s="200"/>
      <c r="Y2064" s="200"/>
      <c r="Z2064" s="200"/>
      <c r="AA2064" s="201"/>
      <c r="AB2064" s="200"/>
      <c r="AC2064" s="200"/>
    </row>
    <row r="2065" ht="15.75" customHeight="1">
      <c r="A2065" s="210">
        <f t="shared" si="1"/>
        <v>2063</v>
      </c>
      <c r="B2065" s="217"/>
      <c r="C2065" s="217" t="str">
        <f>IFERROR(VLOOKUP(B2065, SourceData!$U$3:$V$190, 2, FALSE), "")</f>
        <v/>
      </c>
      <c r="D2065" s="240"/>
      <c r="E2065" s="241"/>
      <c r="F2065" s="248"/>
      <c r="G2065" s="207"/>
      <c r="H2065" s="209"/>
      <c r="I2065" s="209"/>
      <c r="J2065" s="209"/>
      <c r="K2065" s="208" t="str">
        <f>IF(Errors!$I2065=0,SourceData!$B$42,VLOOKUP(Errors!$I2065,SourceData!$A$2:$B$40,2,FALSE))</f>
        <v>Please select ERROR CODE column "I"</v>
      </c>
      <c r="L2065" s="207" t="str">
        <f>IF(Errors!$I2065=0,
    'List of Error Codes'!$E$29,
    IFERROR(VLOOKUP(Errors!$I2065, 'List of Error Codes'!D2064:I2094, 6, FALSE), 'List of Error Codes'!$E$29)
)</f>
        <v>Please select ERROR CODE column "I"</v>
      </c>
      <c r="M2065" s="209"/>
      <c r="N2065" s="209"/>
      <c r="O2065" s="209"/>
      <c r="P2065" s="209"/>
      <c r="Q2065" s="209"/>
      <c r="R2065" s="217"/>
      <c r="S2065" s="217"/>
      <c r="T2065" s="217"/>
      <c r="U2065" s="199"/>
      <c r="V2065" s="200"/>
      <c r="W2065" s="200"/>
      <c r="X2065" s="200"/>
      <c r="Y2065" s="200"/>
      <c r="Z2065" s="200"/>
      <c r="AA2065" s="201"/>
      <c r="AB2065" s="200"/>
      <c r="AC2065" s="200"/>
    </row>
    <row r="2066" ht="15.75" customHeight="1">
      <c r="A2066" s="210">
        <f t="shared" si="1"/>
        <v>2064</v>
      </c>
      <c r="B2066" s="217"/>
      <c r="C2066" s="217" t="str">
        <f>IFERROR(VLOOKUP(B2066, SourceData!$U$3:$V$190, 2, FALSE), "")</f>
        <v/>
      </c>
      <c r="D2066" s="240"/>
      <c r="E2066" s="241"/>
      <c r="F2066" s="248"/>
      <c r="G2066" s="207"/>
      <c r="H2066" s="209"/>
      <c r="I2066" s="209"/>
      <c r="J2066" s="209"/>
      <c r="K2066" s="208" t="str">
        <f>IF(Errors!$I2066=0,SourceData!$B$42,VLOOKUP(Errors!$I2066,SourceData!$A$2:$B$40,2,FALSE))</f>
        <v>Please select ERROR CODE column "I"</v>
      </c>
      <c r="L2066" s="207" t="str">
        <f>IF(Errors!$I2066=0,
    'List of Error Codes'!$E$29,
    IFERROR(VLOOKUP(Errors!$I2066, 'List of Error Codes'!D2065:I2095, 6, FALSE), 'List of Error Codes'!$E$29)
)</f>
        <v>Please select ERROR CODE column "I"</v>
      </c>
      <c r="M2066" s="209"/>
      <c r="N2066" s="209"/>
      <c r="O2066" s="209"/>
      <c r="P2066" s="209"/>
      <c r="Q2066" s="209"/>
      <c r="R2066" s="217"/>
      <c r="S2066" s="217"/>
      <c r="T2066" s="217"/>
      <c r="U2066" s="199"/>
      <c r="V2066" s="200"/>
      <c r="W2066" s="200"/>
      <c r="X2066" s="200"/>
      <c r="Y2066" s="200"/>
      <c r="Z2066" s="200"/>
      <c r="AA2066" s="201"/>
      <c r="AB2066" s="200"/>
      <c r="AC2066" s="200"/>
    </row>
    <row r="2067" ht="15.75" customHeight="1">
      <c r="A2067" s="210">
        <f t="shared" si="1"/>
        <v>2065</v>
      </c>
      <c r="B2067" s="217"/>
      <c r="C2067" s="217" t="str">
        <f>IFERROR(VLOOKUP(B2067, SourceData!$U$3:$V$190, 2, FALSE), "")</f>
        <v/>
      </c>
      <c r="D2067" s="240"/>
      <c r="E2067" s="241"/>
      <c r="F2067" s="248"/>
      <c r="G2067" s="207"/>
      <c r="H2067" s="209"/>
      <c r="I2067" s="209"/>
      <c r="J2067" s="209"/>
      <c r="K2067" s="208" t="str">
        <f>IF(Errors!$I2067=0,SourceData!$B$42,VLOOKUP(Errors!$I2067,SourceData!$A$2:$B$40,2,FALSE))</f>
        <v>Please select ERROR CODE column "I"</v>
      </c>
      <c r="L2067" s="207" t="str">
        <f>IF(Errors!$I2067=0,
    'List of Error Codes'!$E$29,
    IFERROR(VLOOKUP(Errors!$I2067, 'List of Error Codes'!D2066:I2096, 6, FALSE), 'List of Error Codes'!$E$29)
)</f>
        <v>Please select ERROR CODE column "I"</v>
      </c>
      <c r="M2067" s="209"/>
      <c r="N2067" s="209"/>
      <c r="O2067" s="209"/>
      <c r="P2067" s="209"/>
      <c r="Q2067" s="209"/>
      <c r="R2067" s="217"/>
      <c r="S2067" s="217"/>
      <c r="T2067" s="217"/>
      <c r="U2067" s="199"/>
      <c r="V2067" s="200"/>
      <c r="W2067" s="200"/>
      <c r="X2067" s="200"/>
      <c r="Y2067" s="200"/>
      <c r="Z2067" s="200"/>
      <c r="AA2067" s="201"/>
      <c r="AB2067" s="200"/>
      <c r="AC2067" s="200"/>
    </row>
    <row r="2068" ht="15.75" customHeight="1">
      <c r="A2068" s="210">
        <f t="shared" si="1"/>
        <v>2066</v>
      </c>
      <c r="B2068" s="217"/>
      <c r="C2068" s="217" t="str">
        <f>IFERROR(VLOOKUP(B2068, SourceData!$U$3:$V$190, 2, FALSE), "")</f>
        <v/>
      </c>
      <c r="D2068" s="240"/>
      <c r="E2068" s="241"/>
      <c r="F2068" s="248"/>
      <c r="G2068" s="207"/>
      <c r="H2068" s="209"/>
      <c r="I2068" s="209"/>
      <c r="J2068" s="209"/>
      <c r="K2068" s="208" t="str">
        <f>IF(Errors!$I2068=0,SourceData!$B$42,VLOOKUP(Errors!$I2068,SourceData!$A$2:$B$40,2,FALSE))</f>
        <v>Please select ERROR CODE column "I"</v>
      </c>
      <c r="L2068" s="207" t="str">
        <f>IF(Errors!$I2068=0,
    'List of Error Codes'!$E$29,
    IFERROR(VLOOKUP(Errors!$I2068, 'List of Error Codes'!D2067:I2097, 6, FALSE), 'List of Error Codes'!$E$29)
)</f>
        <v>Please select ERROR CODE column "I"</v>
      </c>
      <c r="M2068" s="209"/>
      <c r="N2068" s="209"/>
      <c r="O2068" s="209"/>
      <c r="P2068" s="209"/>
      <c r="Q2068" s="209"/>
      <c r="R2068" s="217"/>
      <c r="S2068" s="217"/>
      <c r="T2068" s="217"/>
      <c r="U2068" s="199"/>
      <c r="V2068" s="200"/>
      <c r="W2068" s="200"/>
      <c r="X2068" s="200"/>
      <c r="Y2068" s="200"/>
      <c r="Z2068" s="200"/>
      <c r="AA2068" s="201"/>
      <c r="AB2068" s="200"/>
      <c r="AC2068" s="200"/>
    </row>
    <row r="2069" ht="15.75" customHeight="1">
      <c r="A2069" s="210">
        <f t="shared" si="1"/>
        <v>2067</v>
      </c>
      <c r="B2069" s="217"/>
      <c r="C2069" s="217" t="str">
        <f>IFERROR(VLOOKUP(B2069, SourceData!$U$3:$V$190, 2, FALSE), "")</f>
        <v/>
      </c>
      <c r="D2069" s="240"/>
      <c r="E2069" s="241"/>
      <c r="F2069" s="248"/>
      <c r="G2069" s="207"/>
      <c r="H2069" s="209"/>
      <c r="I2069" s="209"/>
      <c r="J2069" s="209"/>
      <c r="K2069" s="208" t="str">
        <f>IF(Errors!$I2069=0,SourceData!$B$42,VLOOKUP(Errors!$I2069,SourceData!$A$2:$B$40,2,FALSE))</f>
        <v>Please select ERROR CODE column "I"</v>
      </c>
      <c r="L2069" s="207" t="str">
        <f>IF(Errors!$I2069=0,
    'List of Error Codes'!$E$29,
    IFERROR(VLOOKUP(Errors!$I2069, 'List of Error Codes'!D2068:I2098, 6, FALSE), 'List of Error Codes'!$E$29)
)</f>
        <v>Please select ERROR CODE column "I"</v>
      </c>
      <c r="M2069" s="209"/>
      <c r="N2069" s="209"/>
      <c r="O2069" s="209"/>
      <c r="P2069" s="209"/>
      <c r="Q2069" s="209"/>
      <c r="R2069" s="217"/>
      <c r="S2069" s="217"/>
      <c r="T2069" s="217"/>
      <c r="U2069" s="199"/>
      <c r="V2069" s="200"/>
      <c r="W2069" s="200"/>
      <c r="X2069" s="200"/>
      <c r="Y2069" s="200"/>
      <c r="Z2069" s="200"/>
      <c r="AA2069" s="201"/>
      <c r="AB2069" s="200"/>
      <c r="AC2069" s="200"/>
    </row>
    <row r="2070" ht="15.75" customHeight="1">
      <c r="A2070" s="210">
        <f t="shared" si="1"/>
        <v>2068</v>
      </c>
      <c r="B2070" s="217"/>
      <c r="C2070" s="217" t="str">
        <f>IFERROR(VLOOKUP(B2070, SourceData!$U$3:$V$190, 2, FALSE), "")</f>
        <v/>
      </c>
      <c r="D2070" s="240"/>
      <c r="E2070" s="241"/>
      <c r="F2070" s="248"/>
      <c r="G2070" s="207"/>
      <c r="H2070" s="209"/>
      <c r="I2070" s="209"/>
      <c r="J2070" s="209"/>
      <c r="K2070" s="208" t="str">
        <f>IF(Errors!$I2070=0,SourceData!$B$42,VLOOKUP(Errors!$I2070,SourceData!$A$2:$B$40,2,FALSE))</f>
        <v>Please select ERROR CODE column "I"</v>
      </c>
      <c r="L2070" s="207" t="str">
        <f>IF(Errors!$I2070=0,
    'List of Error Codes'!$E$29,
    IFERROR(VLOOKUP(Errors!$I2070, 'List of Error Codes'!D2069:I2099, 6, FALSE), 'List of Error Codes'!$E$29)
)</f>
        <v>Please select ERROR CODE column "I"</v>
      </c>
      <c r="M2070" s="209"/>
      <c r="N2070" s="209"/>
      <c r="O2070" s="209"/>
      <c r="P2070" s="209"/>
      <c r="Q2070" s="209"/>
      <c r="R2070" s="217"/>
      <c r="S2070" s="217"/>
      <c r="T2070" s="217"/>
      <c r="U2070" s="199"/>
      <c r="V2070" s="200"/>
      <c r="W2070" s="200"/>
      <c r="X2070" s="200"/>
      <c r="Y2070" s="200"/>
      <c r="Z2070" s="200"/>
      <c r="AA2070" s="201"/>
      <c r="AB2070" s="200"/>
      <c r="AC2070" s="200"/>
    </row>
    <row r="2071" ht="15.75" customHeight="1">
      <c r="A2071" s="210">
        <f t="shared" si="1"/>
        <v>2069</v>
      </c>
      <c r="B2071" s="217"/>
      <c r="C2071" s="217" t="str">
        <f>IFERROR(VLOOKUP(B2071, SourceData!$U$3:$V$190, 2, FALSE), "")</f>
        <v/>
      </c>
      <c r="D2071" s="240"/>
      <c r="E2071" s="241"/>
      <c r="F2071" s="248"/>
      <c r="G2071" s="207"/>
      <c r="H2071" s="209"/>
      <c r="I2071" s="209"/>
      <c r="J2071" s="209"/>
      <c r="K2071" s="208" t="str">
        <f>IF(Errors!$I2071=0,SourceData!$B$42,VLOOKUP(Errors!$I2071,SourceData!$A$2:$B$40,2,FALSE))</f>
        <v>Please select ERROR CODE column "I"</v>
      </c>
      <c r="L2071" s="207" t="str">
        <f>IF(Errors!$I2071=0,
    'List of Error Codes'!$E$29,
    IFERROR(VLOOKUP(Errors!$I2071, 'List of Error Codes'!D2070:I2100, 6, FALSE), 'List of Error Codes'!$E$29)
)</f>
        <v>Please select ERROR CODE column "I"</v>
      </c>
      <c r="M2071" s="209"/>
      <c r="N2071" s="209"/>
      <c r="O2071" s="209"/>
      <c r="P2071" s="209"/>
      <c r="Q2071" s="209"/>
      <c r="R2071" s="217"/>
      <c r="S2071" s="217"/>
      <c r="T2071" s="217"/>
      <c r="U2071" s="199"/>
      <c r="V2071" s="200"/>
      <c r="W2071" s="200"/>
      <c r="X2071" s="200"/>
      <c r="Y2071" s="200"/>
      <c r="Z2071" s="200"/>
      <c r="AA2071" s="201"/>
      <c r="AB2071" s="200"/>
      <c r="AC2071" s="200"/>
    </row>
    <row r="2072" ht="15.75" customHeight="1">
      <c r="A2072" s="210">
        <f t="shared" si="1"/>
        <v>2070</v>
      </c>
      <c r="B2072" s="217"/>
      <c r="C2072" s="217" t="str">
        <f>IFERROR(VLOOKUP(B2072, SourceData!$U$3:$V$190, 2, FALSE), "")</f>
        <v/>
      </c>
      <c r="D2072" s="240"/>
      <c r="E2072" s="241"/>
      <c r="F2072" s="248"/>
      <c r="G2072" s="207"/>
      <c r="H2072" s="209"/>
      <c r="I2072" s="209"/>
      <c r="J2072" s="209"/>
      <c r="K2072" s="208" t="str">
        <f>IF(Errors!$I2072=0,SourceData!$B$42,VLOOKUP(Errors!$I2072,SourceData!$A$2:$B$40,2,FALSE))</f>
        <v>Please select ERROR CODE column "I"</v>
      </c>
      <c r="L2072" s="207" t="str">
        <f>IF(Errors!$I2072=0,
    'List of Error Codes'!$E$29,
    IFERROR(VLOOKUP(Errors!$I2072, 'List of Error Codes'!D2071:I2101, 6, FALSE), 'List of Error Codes'!$E$29)
)</f>
        <v>Please select ERROR CODE column "I"</v>
      </c>
      <c r="M2072" s="209"/>
      <c r="N2072" s="209"/>
      <c r="O2072" s="209"/>
      <c r="P2072" s="209"/>
      <c r="Q2072" s="209"/>
      <c r="R2072" s="217"/>
      <c r="S2072" s="217"/>
      <c r="T2072" s="217"/>
      <c r="U2072" s="199"/>
      <c r="V2072" s="200"/>
      <c r="W2072" s="200"/>
      <c r="X2072" s="200"/>
      <c r="Y2072" s="200"/>
      <c r="Z2072" s="200"/>
      <c r="AA2072" s="201"/>
      <c r="AB2072" s="200"/>
      <c r="AC2072" s="200"/>
    </row>
    <row r="2073" ht="15.75" customHeight="1">
      <c r="A2073" s="210">
        <f t="shared" si="1"/>
        <v>2071</v>
      </c>
      <c r="B2073" s="217"/>
      <c r="C2073" s="217" t="str">
        <f>IFERROR(VLOOKUP(B2073, SourceData!$U$3:$V$190, 2, FALSE), "")</f>
        <v/>
      </c>
      <c r="D2073" s="240"/>
      <c r="E2073" s="241"/>
      <c r="F2073" s="248"/>
      <c r="G2073" s="207"/>
      <c r="H2073" s="209"/>
      <c r="I2073" s="209"/>
      <c r="J2073" s="209"/>
      <c r="K2073" s="208" t="str">
        <f>IF(Errors!$I2073=0,SourceData!$B$42,VLOOKUP(Errors!$I2073,SourceData!$A$2:$B$40,2,FALSE))</f>
        <v>Please select ERROR CODE column "I"</v>
      </c>
      <c r="L2073" s="207" t="str">
        <f>IF(Errors!$I2073=0,
    'List of Error Codes'!$E$29,
    IFERROR(VLOOKUP(Errors!$I2073, 'List of Error Codes'!D2072:I2102, 6, FALSE), 'List of Error Codes'!$E$29)
)</f>
        <v>Please select ERROR CODE column "I"</v>
      </c>
      <c r="M2073" s="209"/>
      <c r="N2073" s="209"/>
      <c r="O2073" s="209"/>
      <c r="P2073" s="209"/>
      <c r="Q2073" s="209"/>
      <c r="R2073" s="217"/>
      <c r="S2073" s="217"/>
      <c r="T2073" s="217"/>
      <c r="U2073" s="199"/>
      <c r="V2073" s="200"/>
      <c r="W2073" s="200"/>
      <c r="X2073" s="200"/>
      <c r="Y2073" s="200"/>
      <c r="Z2073" s="200"/>
      <c r="AA2073" s="201"/>
      <c r="AB2073" s="200"/>
      <c r="AC2073" s="200"/>
    </row>
    <row r="2074" ht="15.75" customHeight="1">
      <c r="A2074" s="210">
        <f t="shared" si="1"/>
        <v>2072</v>
      </c>
      <c r="B2074" s="217"/>
      <c r="C2074" s="217" t="str">
        <f>IFERROR(VLOOKUP(B2074, SourceData!$U$3:$V$190, 2, FALSE), "")</f>
        <v/>
      </c>
      <c r="D2074" s="240"/>
      <c r="E2074" s="241"/>
      <c r="F2074" s="248"/>
      <c r="G2074" s="207"/>
      <c r="H2074" s="209"/>
      <c r="I2074" s="209"/>
      <c r="J2074" s="209"/>
      <c r="K2074" s="208" t="str">
        <f>IF(Errors!$I2074=0,SourceData!$B$42,VLOOKUP(Errors!$I2074,SourceData!$A$2:$B$40,2,FALSE))</f>
        <v>Please select ERROR CODE column "I"</v>
      </c>
      <c r="L2074" s="207" t="str">
        <f>IF(Errors!$I2074=0,
    'List of Error Codes'!$E$29,
    IFERROR(VLOOKUP(Errors!$I2074, 'List of Error Codes'!D2073:I2103, 6, FALSE), 'List of Error Codes'!$E$29)
)</f>
        <v>Please select ERROR CODE column "I"</v>
      </c>
      <c r="M2074" s="209"/>
      <c r="N2074" s="209"/>
      <c r="O2074" s="209"/>
      <c r="P2074" s="209"/>
      <c r="Q2074" s="209"/>
      <c r="R2074" s="217"/>
      <c r="S2074" s="217"/>
      <c r="T2074" s="217"/>
      <c r="U2074" s="199"/>
      <c r="V2074" s="200"/>
      <c r="W2074" s="200"/>
      <c r="X2074" s="200"/>
      <c r="Y2074" s="200"/>
      <c r="Z2074" s="200"/>
      <c r="AA2074" s="201"/>
      <c r="AB2074" s="200"/>
      <c r="AC2074" s="200"/>
    </row>
    <row r="2075" ht="15.75" customHeight="1">
      <c r="A2075" s="210">
        <f t="shared" si="1"/>
        <v>2073</v>
      </c>
      <c r="B2075" s="217"/>
      <c r="C2075" s="217" t="str">
        <f>IFERROR(VLOOKUP(B2075, SourceData!$U$3:$V$190, 2, FALSE), "")</f>
        <v/>
      </c>
      <c r="D2075" s="240"/>
      <c r="E2075" s="241"/>
      <c r="F2075" s="248"/>
      <c r="G2075" s="207"/>
      <c r="H2075" s="209"/>
      <c r="I2075" s="209"/>
      <c r="J2075" s="209"/>
      <c r="K2075" s="208" t="str">
        <f>IF(Errors!$I2075=0,SourceData!$B$42,VLOOKUP(Errors!$I2075,SourceData!$A$2:$B$40,2,FALSE))</f>
        <v>Please select ERROR CODE column "I"</v>
      </c>
      <c r="L2075" s="207" t="str">
        <f>IF(Errors!$I2075=0,
    'List of Error Codes'!$E$29,
    IFERROR(VLOOKUP(Errors!$I2075, 'List of Error Codes'!D2074:I2104, 6, FALSE), 'List of Error Codes'!$E$29)
)</f>
        <v>Please select ERROR CODE column "I"</v>
      </c>
      <c r="M2075" s="209"/>
      <c r="N2075" s="209"/>
      <c r="O2075" s="209"/>
      <c r="P2075" s="209"/>
      <c r="Q2075" s="209"/>
      <c r="R2075" s="217"/>
      <c r="S2075" s="217"/>
      <c r="T2075" s="217"/>
      <c r="U2075" s="199"/>
      <c r="V2075" s="200"/>
      <c r="W2075" s="200"/>
      <c r="X2075" s="200"/>
      <c r="Y2075" s="200"/>
      <c r="Z2075" s="200"/>
      <c r="AA2075" s="201"/>
      <c r="AB2075" s="200"/>
      <c r="AC2075" s="200"/>
    </row>
    <row r="2076" ht="15.75" customHeight="1">
      <c r="A2076" s="210">
        <f t="shared" si="1"/>
        <v>2074</v>
      </c>
      <c r="B2076" s="217"/>
      <c r="C2076" s="217" t="str">
        <f>IFERROR(VLOOKUP(B2076, SourceData!$U$3:$V$190, 2, FALSE), "")</f>
        <v/>
      </c>
      <c r="D2076" s="240"/>
      <c r="E2076" s="241"/>
      <c r="F2076" s="248"/>
      <c r="G2076" s="207"/>
      <c r="H2076" s="209"/>
      <c r="I2076" s="209"/>
      <c r="J2076" s="209"/>
      <c r="K2076" s="208" t="str">
        <f>IF(Errors!$I2076=0,SourceData!$B$42,VLOOKUP(Errors!$I2076,SourceData!$A$2:$B$40,2,FALSE))</f>
        <v>Please select ERROR CODE column "I"</v>
      </c>
      <c r="L2076" s="207" t="str">
        <f>IF(Errors!$I2076=0,
    'List of Error Codes'!$E$29,
    IFERROR(VLOOKUP(Errors!$I2076, 'List of Error Codes'!D2075:I2105, 6, FALSE), 'List of Error Codes'!$E$29)
)</f>
        <v>Please select ERROR CODE column "I"</v>
      </c>
      <c r="M2076" s="209"/>
      <c r="N2076" s="209"/>
      <c r="O2076" s="209"/>
      <c r="P2076" s="209"/>
      <c r="Q2076" s="209"/>
      <c r="R2076" s="217"/>
      <c r="S2076" s="217"/>
      <c r="T2076" s="217"/>
      <c r="U2076" s="199"/>
      <c r="V2076" s="200"/>
      <c r="W2076" s="200"/>
      <c r="X2076" s="200"/>
      <c r="Y2076" s="200"/>
      <c r="Z2076" s="200"/>
      <c r="AA2076" s="201"/>
      <c r="AB2076" s="200"/>
      <c r="AC2076" s="200"/>
    </row>
    <row r="2077" ht="15.75" customHeight="1">
      <c r="A2077" s="210">
        <f t="shared" si="1"/>
        <v>2075</v>
      </c>
      <c r="B2077" s="217"/>
      <c r="C2077" s="217" t="str">
        <f>IFERROR(VLOOKUP(B2077, SourceData!$U$3:$V$190, 2, FALSE), "")</f>
        <v/>
      </c>
      <c r="D2077" s="240"/>
      <c r="E2077" s="241"/>
      <c r="F2077" s="248"/>
      <c r="G2077" s="207"/>
      <c r="H2077" s="209"/>
      <c r="I2077" s="209"/>
      <c r="J2077" s="209"/>
      <c r="K2077" s="208" t="str">
        <f>IF(Errors!$I2077=0,SourceData!$B$42,VLOOKUP(Errors!$I2077,SourceData!$A$2:$B$40,2,FALSE))</f>
        <v>Please select ERROR CODE column "I"</v>
      </c>
      <c r="L2077" s="207" t="str">
        <f>IF(Errors!$I2077=0,
    'List of Error Codes'!$E$29,
    IFERROR(VLOOKUP(Errors!$I2077, 'List of Error Codes'!D2076:I2106, 6, FALSE), 'List of Error Codes'!$E$29)
)</f>
        <v>Please select ERROR CODE column "I"</v>
      </c>
      <c r="M2077" s="209"/>
      <c r="N2077" s="209"/>
      <c r="O2077" s="209"/>
      <c r="P2077" s="209"/>
      <c r="Q2077" s="209"/>
      <c r="R2077" s="217"/>
      <c r="S2077" s="217"/>
      <c r="T2077" s="217"/>
      <c r="U2077" s="199"/>
      <c r="V2077" s="200"/>
      <c r="W2077" s="200"/>
      <c r="X2077" s="200"/>
      <c r="Y2077" s="200"/>
      <c r="Z2077" s="200"/>
      <c r="AA2077" s="201"/>
      <c r="AB2077" s="200"/>
      <c r="AC2077" s="200"/>
    </row>
    <row r="2078" ht="15.75" customHeight="1">
      <c r="A2078" s="210">
        <f t="shared" si="1"/>
        <v>2076</v>
      </c>
      <c r="B2078" s="217"/>
      <c r="C2078" s="217" t="str">
        <f>IFERROR(VLOOKUP(B2078, SourceData!$U$3:$V$190, 2, FALSE), "")</f>
        <v/>
      </c>
      <c r="D2078" s="240"/>
      <c r="E2078" s="241"/>
      <c r="F2078" s="248"/>
      <c r="G2078" s="207"/>
      <c r="H2078" s="209"/>
      <c r="I2078" s="209"/>
      <c r="J2078" s="209"/>
      <c r="K2078" s="208" t="str">
        <f>IF(Errors!$I2078=0,SourceData!$B$42,VLOOKUP(Errors!$I2078,SourceData!$A$2:$B$40,2,FALSE))</f>
        <v>Please select ERROR CODE column "I"</v>
      </c>
      <c r="L2078" s="207" t="str">
        <f>IF(Errors!$I2078=0,
    'List of Error Codes'!$E$29,
    IFERROR(VLOOKUP(Errors!$I2078, 'List of Error Codes'!D2077:I2107, 6, FALSE), 'List of Error Codes'!$E$29)
)</f>
        <v>Please select ERROR CODE column "I"</v>
      </c>
      <c r="M2078" s="209"/>
      <c r="N2078" s="209"/>
      <c r="O2078" s="209"/>
      <c r="P2078" s="209"/>
      <c r="Q2078" s="209"/>
      <c r="R2078" s="217"/>
      <c r="S2078" s="217"/>
      <c r="T2078" s="217"/>
      <c r="U2078" s="199"/>
      <c r="V2078" s="200"/>
      <c r="W2078" s="200"/>
      <c r="X2078" s="200"/>
      <c r="Y2078" s="200"/>
      <c r="Z2078" s="200"/>
      <c r="AA2078" s="201"/>
      <c r="AB2078" s="200"/>
      <c r="AC2078" s="200"/>
    </row>
    <row r="2079" ht="15.75" customHeight="1">
      <c r="A2079" s="210">
        <f t="shared" si="1"/>
        <v>2077</v>
      </c>
      <c r="B2079" s="217"/>
      <c r="C2079" s="217" t="str">
        <f>IFERROR(VLOOKUP(B2079, SourceData!$U$3:$V$190, 2, FALSE), "")</f>
        <v/>
      </c>
      <c r="D2079" s="240"/>
      <c r="E2079" s="241"/>
      <c r="F2079" s="248"/>
      <c r="G2079" s="207"/>
      <c r="H2079" s="209"/>
      <c r="I2079" s="209"/>
      <c r="J2079" s="209"/>
      <c r="K2079" s="208" t="str">
        <f>IF(Errors!$I2079=0,SourceData!$B$42,VLOOKUP(Errors!$I2079,SourceData!$A$2:$B$40,2,FALSE))</f>
        <v>Please select ERROR CODE column "I"</v>
      </c>
      <c r="L2079" s="207" t="str">
        <f>IF(Errors!$I2079=0,
    'List of Error Codes'!$E$29,
    IFERROR(VLOOKUP(Errors!$I2079, 'List of Error Codes'!D2078:I2108, 6, FALSE), 'List of Error Codes'!$E$29)
)</f>
        <v>Please select ERROR CODE column "I"</v>
      </c>
      <c r="M2079" s="209"/>
      <c r="N2079" s="209"/>
      <c r="O2079" s="209"/>
      <c r="P2079" s="209"/>
      <c r="Q2079" s="209"/>
      <c r="R2079" s="217"/>
      <c r="S2079" s="217"/>
      <c r="T2079" s="217"/>
      <c r="U2079" s="199"/>
      <c r="V2079" s="200"/>
      <c r="W2079" s="200"/>
      <c r="X2079" s="200"/>
      <c r="Y2079" s="200"/>
      <c r="Z2079" s="200"/>
      <c r="AA2079" s="201"/>
      <c r="AB2079" s="200"/>
      <c r="AC2079" s="200"/>
    </row>
    <row r="2080" ht="15.75" customHeight="1">
      <c r="A2080" s="210">
        <f t="shared" si="1"/>
        <v>2078</v>
      </c>
      <c r="B2080" s="217"/>
      <c r="C2080" s="217" t="str">
        <f>IFERROR(VLOOKUP(B2080, SourceData!$U$3:$V$190, 2, FALSE), "")</f>
        <v/>
      </c>
      <c r="D2080" s="240"/>
      <c r="E2080" s="241"/>
      <c r="F2080" s="248"/>
      <c r="G2080" s="207"/>
      <c r="H2080" s="209"/>
      <c r="I2080" s="209"/>
      <c r="J2080" s="209"/>
      <c r="K2080" s="208" t="str">
        <f>IF(Errors!$I2080=0,SourceData!$B$42,VLOOKUP(Errors!$I2080,SourceData!$A$2:$B$40,2,FALSE))</f>
        <v>Please select ERROR CODE column "I"</v>
      </c>
      <c r="L2080" s="207" t="str">
        <f>IF(Errors!$I2080=0,
    'List of Error Codes'!$E$29,
    IFERROR(VLOOKUP(Errors!$I2080, 'List of Error Codes'!D2079:I2109, 6, FALSE), 'List of Error Codes'!$E$29)
)</f>
        <v>Please select ERROR CODE column "I"</v>
      </c>
      <c r="M2080" s="209"/>
      <c r="N2080" s="209"/>
      <c r="O2080" s="209"/>
      <c r="P2080" s="209"/>
      <c r="Q2080" s="209"/>
      <c r="R2080" s="217"/>
      <c r="S2080" s="217"/>
      <c r="T2080" s="217"/>
      <c r="U2080" s="199"/>
      <c r="V2080" s="200"/>
      <c r="W2080" s="200"/>
      <c r="X2080" s="200"/>
      <c r="Y2080" s="200"/>
      <c r="Z2080" s="200"/>
      <c r="AA2080" s="201"/>
      <c r="AB2080" s="200"/>
      <c r="AC2080" s="200"/>
    </row>
    <row r="2081" ht="15.75" customHeight="1">
      <c r="A2081" s="210">
        <f t="shared" si="1"/>
        <v>2079</v>
      </c>
      <c r="B2081" s="217"/>
      <c r="C2081" s="217" t="str">
        <f>IFERROR(VLOOKUP(B2081, SourceData!$U$3:$V$190, 2, FALSE), "")</f>
        <v/>
      </c>
      <c r="D2081" s="240"/>
      <c r="E2081" s="241"/>
      <c r="F2081" s="248"/>
      <c r="G2081" s="207"/>
      <c r="H2081" s="209"/>
      <c r="I2081" s="209"/>
      <c r="J2081" s="209"/>
      <c r="K2081" s="208" t="str">
        <f>IF(Errors!$I2081=0,SourceData!$B$42,VLOOKUP(Errors!$I2081,SourceData!$A$2:$B$40,2,FALSE))</f>
        <v>Please select ERROR CODE column "I"</v>
      </c>
      <c r="L2081" s="207" t="str">
        <f>IF(Errors!$I2081=0,
    'List of Error Codes'!$E$29,
    IFERROR(VLOOKUP(Errors!$I2081, 'List of Error Codes'!D2080:I2110, 6, FALSE), 'List of Error Codes'!$E$29)
)</f>
        <v>Please select ERROR CODE column "I"</v>
      </c>
      <c r="M2081" s="209"/>
      <c r="N2081" s="209"/>
      <c r="O2081" s="209"/>
      <c r="P2081" s="209"/>
      <c r="Q2081" s="209"/>
      <c r="R2081" s="217"/>
      <c r="S2081" s="217"/>
      <c r="T2081" s="217"/>
      <c r="U2081" s="199"/>
      <c r="V2081" s="200"/>
      <c r="W2081" s="200"/>
      <c r="X2081" s="200"/>
      <c r="Y2081" s="200"/>
      <c r="Z2081" s="200"/>
      <c r="AA2081" s="201"/>
      <c r="AB2081" s="200"/>
      <c r="AC2081" s="200"/>
    </row>
    <row r="2082" ht="15.75" customHeight="1">
      <c r="A2082" s="210">
        <f t="shared" si="1"/>
        <v>2080</v>
      </c>
      <c r="B2082" s="217"/>
      <c r="C2082" s="217" t="str">
        <f>IFERROR(VLOOKUP(B2082, SourceData!$U$3:$V$190, 2, FALSE), "")</f>
        <v/>
      </c>
      <c r="D2082" s="240"/>
      <c r="E2082" s="241"/>
      <c r="F2082" s="248"/>
      <c r="G2082" s="207"/>
      <c r="H2082" s="209"/>
      <c r="I2082" s="209"/>
      <c r="J2082" s="209"/>
      <c r="K2082" s="208" t="str">
        <f>IF(Errors!$I2082=0,SourceData!$B$42,VLOOKUP(Errors!$I2082,SourceData!$A$2:$B$40,2,FALSE))</f>
        <v>Please select ERROR CODE column "I"</v>
      </c>
      <c r="L2082" s="207" t="str">
        <f>IF(Errors!$I2082=0,
    'List of Error Codes'!$E$29,
    IFERROR(VLOOKUP(Errors!$I2082, 'List of Error Codes'!D2081:I2111, 6, FALSE), 'List of Error Codes'!$E$29)
)</f>
        <v>Please select ERROR CODE column "I"</v>
      </c>
      <c r="M2082" s="209"/>
      <c r="N2082" s="209"/>
      <c r="O2082" s="209"/>
      <c r="P2082" s="209"/>
      <c r="Q2082" s="209"/>
      <c r="R2082" s="217"/>
      <c r="S2082" s="217"/>
      <c r="T2082" s="217"/>
      <c r="U2082" s="199"/>
      <c r="V2082" s="200"/>
      <c r="W2082" s="200"/>
      <c r="X2082" s="200"/>
      <c r="Y2082" s="200"/>
      <c r="Z2082" s="200"/>
      <c r="AA2082" s="201"/>
      <c r="AB2082" s="200"/>
      <c r="AC2082" s="200"/>
    </row>
    <row r="2083" ht="15.75" customHeight="1">
      <c r="A2083" s="210">
        <f t="shared" si="1"/>
        <v>2081</v>
      </c>
      <c r="B2083" s="217"/>
      <c r="C2083" s="217" t="str">
        <f>IFERROR(VLOOKUP(B2083, SourceData!$U$3:$V$190, 2, FALSE), "")</f>
        <v/>
      </c>
      <c r="D2083" s="240"/>
      <c r="E2083" s="241"/>
      <c r="F2083" s="248"/>
      <c r="G2083" s="207"/>
      <c r="H2083" s="209"/>
      <c r="I2083" s="209"/>
      <c r="J2083" s="209"/>
      <c r="K2083" s="208" t="str">
        <f>IF(Errors!$I2083=0,SourceData!$B$42,VLOOKUP(Errors!$I2083,SourceData!$A$2:$B$40,2,FALSE))</f>
        <v>Please select ERROR CODE column "I"</v>
      </c>
      <c r="L2083" s="207" t="str">
        <f>IF(Errors!$I2083=0,
    'List of Error Codes'!$E$29,
    IFERROR(VLOOKUP(Errors!$I2083, 'List of Error Codes'!D2082:I2112, 6, FALSE), 'List of Error Codes'!$E$29)
)</f>
        <v>Please select ERROR CODE column "I"</v>
      </c>
      <c r="M2083" s="209"/>
      <c r="N2083" s="209"/>
      <c r="O2083" s="209"/>
      <c r="P2083" s="209"/>
      <c r="Q2083" s="209"/>
      <c r="R2083" s="217"/>
      <c r="S2083" s="217"/>
      <c r="T2083" s="217"/>
      <c r="U2083" s="199"/>
      <c r="V2083" s="200"/>
      <c r="W2083" s="200"/>
      <c r="X2083" s="200"/>
      <c r="Y2083" s="200"/>
      <c r="Z2083" s="200"/>
      <c r="AA2083" s="201"/>
      <c r="AB2083" s="200"/>
      <c r="AC2083" s="200"/>
    </row>
    <row r="2084" ht="15.75" customHeight="1">
      <c r="A2084" s="210">
        <f t="shared" si="1"/>
        <v>2082</v>
      </c>
      <c r="B2084" s="217"/>
      <c r="C2084" s="217" t="str">
        <f>IFERROR(VLOOKUP(B2084, SourceData!$U$3:$V$190, 2, FALSE), "")</f>
        <v/>
      </c>
      <c r="D2084" s="240"/>
      <c r="E2084" s="241"/>
      <c r="F2084" s="248"/>
      <c r="G2084" s="207"/>
      <c r="H2084" s="209"/>
      <c r="I2084" s="209"/>
      <c r="J2084" s="209"/>
      <c r="K2084" s="208" t="str">
        <f>IF(Errors!$I2084=0,SourceData!$B$42,VLOOKUP(Errors!$I2084,SourceData!$A$2:$B$40,2,FALSE))</f>
        <v>Please select ERROR CODE column "I"</v>
      </c>
      <c r="L2084" s="207" t="str">
        <f>IF(Errors!$I2084=0,
    'List of Error Codes'!$E$29,
    IFERROR(VLOOKUP(Errors!$I2084, 'List of Error Codes'!D2083:I2113, 6, FALSE), 'List of Error Codes'!$E$29)
)</f>
        <v>Please select ERROR CODE column "I"</v>
      </c>
      <c r="M2084" s="209"/>
      <c r="N2084" s="209"/>
      <c r="O2084" s="209"/>
      <c r="P2084" s="209"/>
      <c r="Q2084" s="209"/>
      <c r="R2084" s="217"/>
      <c r="S2084" s="217"/>
      <c r="T2084" s="217"/>
      <c r="U2084" s="199"/>
      <c r="V2084" s="200"/>
      <c r="W2084" s="200"/>
      <c r="X2084" s="200"/>
      <c r="Y2084" s="200"/>
      <c r="Z2084" s="200"/>
      <c r="AA2084" s="201"/>
      <c r="AB2084" s="200"/>
      <c r="AC2084" s="200"/>
    </row>
    <row r="2085" ht="15.75" customHeight="1">
      <c r="A2085" s="210">
        <f t="shared" si="1"/>
        <v>2083</v>
      </c>
      <c r="B2085" s="217"/>
      <c r="C2085" s="217" t="str">
        <f>IFERROR(VLOOKUP(B2085, SourceData!$U$3:$V$190, 2, FALSE), "")</f>
        <v/>
      </c>
      <c r="D2085" s="240"/>
      <c r="E2085" s="241"/>
      <c r="F2085" s="248"/>
      <c r="G2085" s="207"/>
      <c r="H2085" s="209"/>
      <c r="I2085" s="209"/>
      <c r="J2085" s="209"/>
      <c r="K2085" s="208" t="str">
        <f>IF(Errors!$I2085=0,SourceData!$B$42,VLOOKUP(Errors!$I2085,SourceData!$A$2:$B$40,2,FALSE))</f>
        <v>Please select ERROR CODE column "I"</v>
      </c>
      <c r="L2085" s="207" t="str">
        <f>IF(Errors!$I2085=0,
    'List of Error Codes'!$E$29,
    IFERROR(VLOOKUP(Errors!$I2085, 'List of Error Codes'!D2084:I2114, 6, FALSE), 'List of Error Codes'!$E$29)
)</f>
        <v>Please select ERROR CODE column "I"</v>
      </c>
      <c r="M2085" s="209"/>
      <c r="N2085" s="209"/>
      <c r="O2085" s="209"/>
      <c r="P2085" s="209"/>
      <c r="Q2085" s="209"/>
      <c r="R2085" s="217"/>
      <c r="S2085" s="217"/>
      <c r="T2085" s="217"/>
      <c r="U2085" s="199"/>
      <c r="V2085" s="200"/>
      <c r="W2085" s="200"/>
      <c r="X2085" s="200"/>
      <c r="Y2085" s="200"/>
      <c r="Z2085" s="200"/>
      <c r="AA2085" s="201"/>
      <c r="AB2085" s="200"/>
      <c r="AC2085" s="200"/>
    </row>
    <row r="2086" ht="15.75" customHeight="1">
      <c r="A2086" s="210">
        <f t="shared" si="1"/>
        <v>2084</v>
      </c>
      <c r="B2086" s="217"/>
      <c r="C2086" s="217" t="str">
        <f>IFERROR(VLOOKUP(B2086, SourceData!$U$3:$V$190, 2, FALSE), "")</f>
        <v/>
      </c>
      <c r="D2086" s="240"/>
      <c r="E2086" s="241"/>
      <c r="F2086" s="248"/>
      <c r="G2086" s="207"/>
      <c r="H2086" s="209"/>
      <c r="I2086" s="209"/>
      <c r="J2086" s="209"/>
      <c r="K2086" s="208" t="str">
        <f>IF(Errors!$I2086=0,SourceData!$B$42,VLOOKUP(Errors!$I2086,SourceData!$A$2:$B$40,2,FALSE))</f>
        <v>Please select ERROR CODE column "I"</v>
      </c>
      <c r="L2086" s="207" t="str">
        <f>IF(Errors!$I2086=0,
    'List of Error Codes'!$E$29,
    IFERROR(VLOOKUP(Errors!$I2086, 'List of Error Codes'!D2085:I2115, 6, FALSE), 'List of Error Codes'!$E$29)
)</f>
        <v>Please select ERROR CODE column "I"</v>
      </c>
      <c r="M2086" s="209"/>
      <c r="N2086" s="209"/>
      <c r="O2086" s="209"/>
      <c r="P2086" s="209"/>
      <c r="Q2086" s="209"/>
      <c r="R2086" s="217"/>
      <c r="S2086" s="217"/>
      <c r="T2086" s="217"/>
      <c r="U2086" s="199"/>
      <c r="V2086" s="200"/>
      <c r="W2086" s="200"/>
      <c r="X2086" s="200"/>
      <c r="Y2086" s="200"/>
      <c r="Z2086" s="200"/>
      <c r="AA2086" s="201"/>
      <c r="AB2086" s="200"/>
      <c r="AC2086" s="200"/>
    </row>
    <row r="2087" ht="15.75" customHeight="1">
      <c r="A2087" s="210">
        <f t="shared" si="1"/>
        <v>2085</v>
      </c>
      <c r="B2087" s="217"/>
      <c r="C2087" s="217" t="str">
        <f>IFERROR(VLOOKUP(B2087, SourceData!$U$3:$V$190, 2, FALSE), "")</f>
        <v/>
      </c>
      <c r="D2087" s="240"/>
      <c r="E2087" s="241"/>
      <c r="F2087" s="248"/>
      <c r="G2087" s="207"/>
      <c r="H2087" s="209"/>
      <c r="I2087" s="209"/>
      <c r="J2087" s="209"/>
      <c r="K2087" s="208" t="str">
        <f>IF(Errors!$I2087=0,SourceData!$B$42,VLOOKUP(Errors!$I2087,SourceData!$A$2:$B$40,2,FALSE))</f>
        <v>Please select ERROR CODE column "I"</v>
      </c>
      <c r="L2087" s="207" t="str">
        <f>IF(Errors!$I2087=0,
    'List of Error Codes'!$E$29,
    IFERROR(VLOOKUP(Errors!$I2087, 'List of Error Codes'!D2086:I2116, 6, FALSE), 'List of Error Codes'!$E$29)
)</f>
        <v>Please select ERROR CODE column "I"</v>
      </c>
      <c r="M2087" s="209"/>
      <c r="N2087" s="209"/>
      <c r="O2087" s="209"/>
      <c r="P2087" s="209"/>
      <c r="Q2087" s="209"/>
      <c r="R2087" s="217"/>
      <c r="S2087" s="217"/>
      <c r="T2087" s="217"/>
      <c r="U2087" s="199"/>
      <c r="V2087" s="200"/>
      <c r="W2087" s="200"/>
      <c r="X2087" s="200"/>
      <c r="Y2087" s="200"/>
      <c r="Z2087" s="200"/>
      <c r="AA2087" s="201"/>
      <c r="AB2087" s="200"/>
      <c r="AC2087" s="200"/>
    </row>
    <row r="2088" ht="15.75" customHeight="1">
      <c r="A2088" s="210">
        <f t="shared" si="1"/>
        <v>2086</v>
      </c>
      <c r="B2088" s="217"/>
      <c r="C2088" s="217" t="str">
        <f>IFERROR(VLOOKUP(B2088, SourceData!$U$3:$V$190, 2, FALSE), "")</f>
        <v/>
      </c>
      <c r="D2088" s="240"/>
      <c r="E2088" s="241"/>
      <c r="F2088" s="248"/>
      <c r="G2088" s="207"/>
      <c r="H2088" s="209"/>
      <c r="I2088" s="209"/>
      <c r="J2088" s="209"/>
      <c r="K2088" s="208" t="str">
        <f>IF(Errors!$I2088=0,SourceData!$B$42,VLOOKUP(Errors!$I2088,SourceData!$A$2:$B$40,2,FALSE))</f>
        <v>Please select ERROR CODE column "I"</v>
      </c>
      <c r="L2088" s="207" t="str">
        <f>IF(Errors!$I2088=0,
    'List of Error Codes'!$E$29,
    IFERROR(VLOOKUP(Errors!$I2088, 'List of Error Codes'!D2087:I2117, 6, FALSE), 'List of Error Codes'!$E$29)
)</f>
        <v>Please select ERROR CODE column "I"</v>
      </c>
      <c r="M2088" s="209"/>
      <c r="N2088" s="209"/>
      <c r="O2088" s="209"/>
      <c r="P2088" s="209"/>
      <c r="Q2088" s="209"/>
      <c r="R2088" s="217"/>
      <c r="S2088" s="217"/>
      <c r="T2088" s="217"/>
      <c r="U2088" s="199"/>
      <c r="V2088" s="200"/>
      <c r="W2088" s="200"/>
      <c r="X2088" s="200"/>
      <c r="Y2088" s="200"/>
      <c r="Z2088" s="200"/>
      <c r="AA2088" s="201"/>
      <c r="AB2088" s="200"/>
      <c r="AC2088" s="200"/>
    </row>
    <row r="2089" ht="15.75" customHeight="1">
      <c r="A2089" s="210">
        <f t="shared" si="1"/>
        <v>2087</v>
      </c>
      <c r="B2089" s="217"/>
      <c r="C2089" s="217" t="str">
        <f>IFERROR(VLOOKUP(B2089, SourceData!$U$3:$V$190, 2, FALSE), "")</f>
        <v/>
      </c>
      <c r="D2089" s="240"/>
      <c r="E2089" s="241"/>
      <c r="F2089" s="248"/>
      <c r="G2089" s="207"/>
      <c r="H2089" s="209"/>
      <c r="I2089" s="209"/>
      <c r="J2089" s="209"/>
      <c r="K2089" s="208" t="str">
        <f>IF(Errors!$I2089=0,SourceData!$B$42,VLOOKUP(Errors!$I2089,SourceData!$A$2:$B$40,2,FALSE))</f>
        <v>Please select ERROR CODE column "I"</v>
      </c>
      <c r="L2089" s="207" t="str">
        <f>IF(Errors!$I2089=0,
    'List of Error Codes'!$E$29,
    IFERROR(VLOOKUP(Errors!$I2089, 'List of Error Codes'!D2088:I2118, 6, FALSE), 'List of Error Codes'!$E$29)
)</f>
        <v>Please select ERROR CODE column "I"</v>
      </c>
      <c r="M2089" s="209"/>
      <c r="N2089" s="209"/>
      <c r="O2089" s="209"/>
      <c r="P2089" s="209"/>
      <c r="Q2089" s="209"/>
      <c r="R2089" s="217"/>
      <c r="S2089" s="217"/>
      <c r="T2089" s="217"/>
      <c r="U2089" s="199"/>
      <c r="V2089" s="200"/>
      <c r="W2089" s="200"/>
      <c r="X2089" s="200"/>
      <c r="Y2089" s="200"/>
      <c r="Z2089" s="200"/>
      <c r="AA2089" s="201"/>
      <c r="AB2089" s="200"/>
      <c r="AC2089" s="200"/>
    </row>
    <row r="2090" ht="15.75" customHeight="1">
      <c r="A2090" s="210">
        <f t="shared" si="1"/>
        <v>2088</v>
      </c>
      <c r="B2090" s="217"/>
      <c r="C2090" s="217" t="str">
        <f>IFERROR(VLOOKUP(B2090, SourceData!$U$3:$V$190, 2, FALSE), "")</f>
        <v/>
      </c>
      <c r="D2090" s="240"/>
      <c r="E2090" s="241"/>
      <c r="F2090" s="248"/>
      <c r="G2090" s="207"/>
      <c r="H2090" s="209"/>
      <c r="I2090" s="209"/>
      <c r="J2090" s="209"/>
      <c r="K2090" s="208" t="str">
        <f>IF(Errors!$I2090=0,SourceData!$B$42,VLOOKUP(Errors!$I2090,SourceData!$A$2:$B$40,2,FALSE))</f>
        <v>Please select ERROR CODE column "I"</v>
      </c>
      <c r="L2090" s="207" t="str">
        <f>IF(Errors!$I2090=0,
    'List of Error Codes'!$E$29,
    IFERROR(VLOOKUP(Errors!$I2090, 'List of Error Codes'!D2089:I2119, 6, FALSE), 'List of Error Codes'!$E$29)
)</f>
        <v>Please select ERROR CODE column "I"</v>
      </c>
      <c r="M2090" s="209"/>
      <c r="N2090" s="209"/>
      <c r="O2090" s="209"/>
      <c r="P2090" s="209"/>
      <c r="Q2090" s="209"/>
      <c r="R2090" s="217"/>
      <c r="S2090" s="217"/>
      <c r="T2090" s="217"/>
      <c r="U2090" s="199"/>
      <c r="V2090" s="200"/>
      <c r="W2090" s="200"/>
      <c r="X2090" s="200"/>
      <c r="Y2090" s="200"/>
      <c r="Z2090" s="200"/>
      <c r="AA2090" s="201"/>
      <c r="AB2090" s="200"/>
      <c r="AC2090" s="200"/>
    </row>
    <row r="2091" ht="15.75" customHeight="1">
      <c r="A2091" s="210">
        <f t="shared" si="1"/>
        <v>2089</v>
      </c>
      <c r="B2091" s="217"/>
      <c r="C2091" s="217" t="str">
        <f>IFERROR(VLOOKUP(B2091, SourceData!$U$3:$V$190, 2, FALSE), "")</f>
        <v/>
      </c>
      <c r="D2091" s="240"/>
      <c r="E2091" s="241"/>
      <c r="F2091" s="248"/>
      <c r="G2091" s="207"/>
      <c r="H2091" s="209"/>
      <c r="I2091" s="209"/>
      <c r="J2091" s="209"/>
      <c r="K2091" s="208" t="str">
        <f>IF(Errors!$I2091=0,SourceData!$B$42,VLOOKUP(Errors!$I2091,SourceData!$A$2:$B$40,2,FALSE))</f>
        <v>Please select ERROR CODE column "I"</v>
      </c>
      <c r="L2091" s="207" t="str">
        <f>IF(Errors!$I2091=0,
    'List of Error Codes'!$E$29,
    IFERROR(VLOOKUP(Errors!$I2091, 'List of Error Codes'!D2090:I2120, 6, FALSE), 'List of Error Codes'!$E$29)
)</f>
        <v>Please select ERROR CODE column "I"</v>
      </c>
      <c r="M2091" s="209"/>
      <c r="N2091" s="209"/>
      <c r="O2091" s="209"/>
      <c r="P2091" s="209"/>
      <c r="Q2091" s="209"/>
      <c r="R2091" s="217"/>
      <c r="S2091" s="217"/>
      <c r="T2091" s="217"/>
      <c r="U2091" s="199"/>
      <c r="V2091" s="200"/>
      <c r="W2091" s="200"/>
      <c r="X2091" s="200"/>
      <c r="Y2091" s="200"/>
      <c r="Z2091" s="200"/>
      <c r="AA2091" s="201"/>
      <c r="AB2091" s="200"/>
      <c r="AC2091" s="200"/>
    </row>
    <row r="2092" ht="15.75" customHeight="1">
      <c r="A2092" s="210">
        <f t="shared" si="1"/>
        <v>2090</v>
      </c>
      <c r="B2092" s="217"/>
      <c r="C2092" s="217" t="str">
        <f>IFERROR(VLOOKUP(B2092, SourceData!$U$3:$V$190, 2, FALSE), "")</f>
        <v/>
      </c>
      <c r="D2092" s="240"/>
      <c r="E2092" s="241"/>
      <c r="F2092" s="248"/>
      <c r="G2092" s="207"/>
      <c r="H2092" s="209"/>
      <c r="I2092" s="209"/>
      <c r="J2092" s="209"/>
      <c r="K2092" s="208" t="str">
        <f>IF(Errors!$I2092=0,SourceData!$B$42,VLOOKUP(Errors!$I2092,SourceData!$A$2:$B$40,2,FALSE))</f>
        <v>Please select ERROR CODE column "I"</v>
      </c>
      <c r="L2092" s="207" t="str">
        <f>IF(Errors!$I2092=0,
    'List of Error Codes'!$E$29,
    IFERROR(VLOOKUP(Errors!$I2092, 'List of Error Codes'!D2091:I2121, 6, FALSE), 'List of Error Codes'!$E$29)
)</f>
        <v>Please select ERROR CODE column "I"</v>
      </c>
      <c r="M2092" s="209"/>
      <c r="N2092" s="209"/>
      <c r="O2092" s="209"/>
      <c r="P2092" s="209"/>
      <c r="Q2092" s="209"/>
      <c r="R2092" s="217"/>
      <c r="S2092" s="217"/>
      <c r="T2092" s="217"/>
      <c r="U2092" s="199"/>
      <c r="V2092" s="200"/>
      <c r="W2092" s="200"/>
      <c r="X2092" s="200"/>
      <c r="Y2092" s="200"/>
      <c r="Z2092" s="200"/>
      <c r="AA2092" s="201"/>
      <c r="AB2092" s="200"/>
      <c r="AC2092" s="200"/>
    </row>
    <row r="2093" ht="15.75" customHeight="1">
      <c r="A2093" s="210">
        <f t="shared" si="1"/>
        <v>2091</v>
      </c>
      <c r="B2093" s="217"/>
      <c r="C2093" s="217" t="str">
        <f>IFERROR(VLOOKUP(B2093, SourceData!$U$3:$V$190, 2, FALSE), "")</f>
        <v/>
      </c>
      <c r="D2093" s="240"/>
      <c r="E2093" s="241"/>
      <c r="F2093" s="248"/>
      <c r="G2093" s="207"/>
      <c r="H2093" s="209"/>
      <c r="I2093" s="209"/>
      <c r="J2093" s="209"/>
      <c r="K2093" s="208" t="str">
        <f>IF(Errors!$I2093=0,SourceData!$B$42,VLOOKUP(Errors!$I2093,SourceData!$A$2:$B$40,2,FALSE))</f>
        <v>Please select ERROR CODE column "I"</v>
      </c>
      <c r="L2093" s="207" t="str">
        <f>IF(Errors!$I2093=0,
    'List of Error Codes'!$E$29,
    IFERROR(VLOOKUP(Errors!$I2093, 'List of Error Codes'!D2092:I2122, 6, FALSE), 'List of Error Codes'!$E$29)
)</f>
        <v>Please select ERROR CODE column "I"</v>
      </c>
      <c r="M2093" s="209"/>
      <c r="N2093" s="209"/>
      <c r="O2093" s="209"/>
      <c r="P2093" s="209"/>
      <c r="Q2093" s="209"/>
      <c r="R2093" s="217"/>
      <c r="S2093" s="217"/>
      <c r="T2093" s="217"/>
      <c r="U2093" s="199"/>
      <c r="V2093" s="200"/>
      <c r="W2093" s="200"/>
      <c r="X2093" s="200"/>
      <c r="Y2093" s="200"/>
      <c r="Z2093" s="200"/>
      <c r="AA2093" s="201"/>
      <c r="AB2093" s="200"/>
      <c r="AC2093" s="200"/>
    </row>
    <row r="2094" ht="15.75" customHeight="1">
      <c r="A2094" s="210">
        <f t="shared" si="1"/>
        <v>2092</v>
      </c>
      <c r="B2094" s="217"/>
      <c r="C2094" s="217" t="str">
        <f>IFERROR(VLOOKUP(B2094, SourceData!$U$3:$V$190, 2, FALSE), "")</f>
        <v/>
      </c>
      <c r="D2094" s="240"/>
      <c r="E2094" s="241"/>
      <c r="F2094" s="248"/>
      <c r="G2094" s="207"/>
      <c r="H2094" s="209"/>
      <c r="I2094" s="209"/>
      <c r="J2094" s="209"/>
      <c r="K2094" s="208" t="str">
        <f>IF(Errors!$I2094=0,SourceData!$B$42,VLOOKUP(Errors!$I2094,SourceData!$A$2:$B$40,2,FALSE))</f>
        <v>Please select ERROR CODE column "I"</v>
      </c>
      <c r="L2094" s="207" t="str">
        <f>IF(Errors!$I2094=0,
    'List of Error Codes'!$E$29,
    IFERROR(VLOOKUP(Errors!$I2094, 'List of Error Codes'!D2093:I2123, 6, FALSE), 'List of Error Codes'!$E$29)
)</f>
        <v>Please select ERROR CODE column "I"</v>
      </c>
      <c r="M2094" s="209"/>
      <c r="N2094" s="209"/>
      <c r="O2094" s="209"/>
      <c r="P2094" s="209"/>
      <c r="Q2094" s="209"/>
      <c r="R2094" s="217"/>
      <c r="S2094" s="217"/>
      <c r="T2094" s="217"/>
      <c r="U2094" s="199"/>
      <c r="V2094" s="200"/>
      <c r="W2094" s="200"/>
      <c r="X2094" s="200"/>
      <c r="Y2094" s="200"/>
      <c r="Z2094" s="200"/>
      <c r="AA2094" s="201"/>
      <c r="AB2094" s="200"/>
      <c r="AC2094" s="200"/>
    </row>
    <row r="2095" ht="15.75" customHeight="1">
      <c r="A2095" s="210">
        <f t="shared" si="1"/>
        <v>2093</v>
      </c>
      <c r="B2095" s="217"/>
      <c r="C2095" s="217" t="str">
        <f>IFERROR(VLOOKUP(B2095, SourceData!$U$3:$V$190, 2, FALSE), "")</f>
        <v/>
      </c>
      <c r="D2095" s="240"/>
      <c r="E2095" s="241"/>
      <c r="F2095" s="248"/>
      <c r="G2095" s="207"/>
      <c r="H2095" s="209"/>
      <c r="I2095" s="209"/>
      <c r="J2095" s="209"/>
      <c r="K2095" s="208" t="str">
        <f>IF(Errors!$I2095=0,SourceData!$B$42,VLOOKUP(Errors!$I2095,SourceData!$A$2:$B$40,2,FALSE))</f>
        <v>Please select ERROR CODE column "I"</v>
      </c>
      <c r="L2095" s="207" t="str">
        <f>IF(Errors!$I2095=0,
    'List of Error Codes'!$E$29,
    IFERROR(VLOOKUP(Errors!$I2095, 'List of Error Codes'!D2094:I2124, 6, FALSE), 'List of Error Codes'!$E$29)
)</f>
        <v>Please select ERROR CODE column "I"</v>
      </c>
      <c r="M2095" s="209"/>
      <c r="N2095" s="209"/>
      <c r="O2095" s="209"/>
      <c r="P2095" s="209"/>
      <c r="Q2095" s="209"/>
      <c r="R2095" s="217"/>
      <c r="S2095" s="217"/>
      <c r="T2095" s="217"/>
      <c r="U2095" s="199"/>
      <c r="V2095" s="200"/>
      <c r="W2095" s="200"/>
      <c r="X2095" s="200"/>
      <c r="Y2095" s="200"/>
      <c r="Z2095" s="200"/>
      <c r="AA2095" s="201"/>
      <c r="AB2095" s="200"/>
      <c r="AC2095" s="200"/>
    </row>
    <row r="2096" ht="15.75" customHeight="1">
      <c r="A2096" s="210">
        <f t="shared" si="1"/>
        <v>2094</v>
      </c>
      <c r="B2096" s="217"/>
      <c r="C2096" s="217" t="str">
        <f>IFERROR(VLOOKUP(B2096, SourceData!$U$3:$V$190, 2, FALSE), "")</f>
        <v/>
      </c>
      <c r="D2096" s="240"/>
      <c r="E2096" s="241"/>
      <c r="F2096" s="248"/>
      <c r="G2096" s="207"/>
      <c r="H2096" s="209"/>
      <c r="I2096" s="209"/>
      <c r="J2096" s="209"/>
      <c r="K2096" s="208" t="str">
        <f>IF(Errors!$I2096=0,SourceData!$B$42,VLOOKUP(Errors!$I2096,SourceData!$A$2:$B$40,2,FALSE))</f>
        <v>Please select ERROR CODE column "I"</v>
      </c>
      <c r="L2096" s="207" t="str">
        <f>IF(Errors!$I2096=0,
    'List of Error Codes'!$E$29,
    IFERROR(VLOOKUP(Errors!$I2096, 'List of Error Codes'!D2095:I2125, 6, FALSE), 'List of Error Codes'!$E$29)
)</f>
        <v>Please select ERROR CODE column "I"</v>
      </c>
      <c r="M2096" s="209"/>
      <c r="N2096" s="209"/>
      <c r="O2096" s="209"/>
      <c r="P2096" s="209"/>
      <c r="Q2096" s="209"/>
      <c r="R2096" s="217"/>
      <c r="S2096" s="217"/>
      <c r="T2096" s="217"/>
      <c r="U2096" s="199"/>
      <c r="V2096" s="200"/>
      <c r="W2096" s="200"/>
      <c r="X2096" s="200"/>
      <c r="Y2096" s="200"/>
      <c r="Z2096" s="200"/>
      <c r="AA2096" s="201"/>
      <c r="AB2096" s="200"/>
      <c r="AC2096" s="200"/>
    </row>
    <row r="2097" ht="15.75" customHeight="1">
      <c r="A2097" s="210">
        <f t="shared" si="1"/>
        <v>2095</v>
      </c>
      <c r="B2097" s="217"/>
      <c r="C2097" s="217" t="str">
        <f>IFERROR(VLOOKUP(B2097, SourceData!$U$3:$V$190, 2, FALSE), "")</f>
        <v/>
      </c>
      <c r="D2097" s="240"/>
      <c r="E2097" s="241"/>
      <c r="F2097" s="248"/>
      <c r="G2097" s="207"/>
      <c r="H2097" s="209"/>
      <c r="I2097" s="209"/>
      <c r="J2097" s="209"/>
      <c r="K2097" s="208" t="str">
        <f>IF(Errors!$I2097=0,SourceData!$B$42,VLOOKUP(Errors!$I2097,SourceData!$A$2:$B$40,2,FALSE))</f>
        <v>Please select ERROR CODE column "I"</v>
      </c>
      <c r="L2097" s="207" t="str">
        <f>IF(Errors!$I2097=0,
    'List of Error Codes'!$E$29,
    IFERROR(VLOOKUP(Errors!$I2097, 'List of Error Codes'!D2096:I2126, 6, FALSE), 'List of Error Codes'!$E$29)
)</f>
        <v>Please select ERROR CODE column "I"</v>
      </c>
      <c r="M2097" s="209"/>
      <c r="N2097" s="209"/>
      <c r="O2097" s="209"/>
      <c r="P2097" s="209"/>
      <c r="Q2097" s="209"/>
      <c r="R2097" s="217"/>
      <c r="S2097" s="217"/>
      <c r="T2097" s="217"/>
      <c r="U2097" s="199"/>
      <c r="V2097" s="200"/>
      <c r="W2097" s="200"/>
      <c r="X2097" s="200"/>
      <c r="Y2097" s="200"/>
      <c r="Z2097" s="200"/>
      <c r="AA2097" s="201"/>
      <c r="AB2097" s="200"/>
      <c r="AC2097" s="200"/>
    </row>
    <row r="2098" ht="15.75" customHeight="1">
      <c r="A2098" s="210">
        <f t="shared" si="1"/>
        <v>2096</v>
      </c>
      <c r="B2098" s="217"/>
      <c r="C2098" s="217" t="str">
        <f>IFERROR(VLOOKUP(B2098, SourceData!$U$3:$V$190, 2, FALSE), "")</f>
        <v/>
      </c>
      <c r="D2098" s="240"/>
      <c r="E2098" s="241"/>
      <c r="F2098" s="248"/>
      <c r="G2098" s="207"/>
      <c r="H2098" s="209"/>
      <c r="I2098" s="209"/>
      <c r="J2098" s="209"/>
      <c r="K2098" s="208" t="str">
        <f>IF(Errors!$I2098=0,SourceData!$B$42,VLOOKUP(Errors!$I2098,SourceData!$A$2:$B$40,2,FALSE))</f>
        <v>Please select ERROR CODE column "I"</v>
      </c>
      <c r="L2098" s="207" t="str">
        <f>IF(Errors!$I2098=0,
    'List of Error Codes'!$E$29,
    IFERROR(VLOOKUP(Errors!$I2098, 'List of Error Codes'!D2097:I2127, 6, FALSE), 'List of Error Codes'!$E$29)
)</f>
        <v>Please select ERROR CODE column "I"</v>
      </c>
      <c r="M2098" s="209"/>
      <c r="N2098" s="209"/>
      <c r="O2098" s="209"/>
      <c r="P2098" s="209"/>
      <c r="Q2098" s="209"/>
      <c r="R2098" s="217"/>
      <c r="S2098" s="217"/>
      <c r="T2098" s="217"/>
      <c r="U2098" s="199"/>
      <c r="V2098" s="200"/>
      <c r="W2098" s="200"/>
      <c r="X2098" s="200"/>
      <c r="Y2098" s="200"/>
      <c r="Z2098" s="200"/>
      <c r="AA2098" s="201"/>
      <c r="AB2098" s="200"/>
      <c r="AC2098" s="200"/>
    </row>
    <row r="2099" ht="15.75" customHeight="1">
      <c r="A2099" s="210">
        <f t="shared" si="1"/>
        <v>2097</v>
      </c>
      <c r="B2099" s="217"/>
      <c r="C2099" s="217" t="str">
        <f>IFERROR(VLOOKUP(B2099, SourceData!$U$3:$V$190, 2, FALSE), "")</f>
        <v/>
      </c>
      <c r="D2099" s="240"/>
      <c r="E2099" s="241"/>
      <c r="F2099" s="248"/>
      <c r="G2099" s="207"/>
      <c r="H2099" s="209"/>
      <c r="I2099" s="209"/>
      <c r="J2099" s="209"/>
      <c r="K2099" s="208" t="str">
        <f>IF(Errors!$I2099=0,SourceData!$B$42,VLOOKUP(Errors!$I2099,SourceData!$A$2:$B$40,2,FALSE))</f>
        <v>Please select ERROR CODE column "I"</v>
      </c>
      <c r="L2099" s="207" t="str">
        <f>IF(Errors!$I2099=0,
    'List of Error Codes'!$E$29,
    IFERROR(VLOOKUP(Errors!$I2099, 'List of Error Codes'!D2098:I2128, 6, FALSE), 'List of Error Codes'!$E$29)
)</f>
        <v>Please select ERROR CODE column "I"</v>
      </c>
      <c r="M2099" s="209"/>
      <c r="N2099" s="209"/>
      <c r="O2099" s="209"/>
      <c r="P2099" s="209"/>
      <c r="Q2099" s="209"/>
      <c r="R2099" s="217"/>
      <c r="S2099" s="217"/>
      <c r="T2099" s="217"/>
      <c r="U2099" s="199"/>
      <c r="V2099" s="200"/>
      <c r="W2099" s="200"/>
      <c r="X2099" s="200"/>
      <c r="Y2099" s="200"/>
      <c r="Z2099" s="200"/>
      <c r="AA2099" s="201"/>
      <c r="AB2099" s="200"/>
      <c r="AC2099" s="200"/>
    </row>
    <row r="2100" ht="15.75" customHeight="1">
      <c r="A2100" s="210">
        <f t="shared" si="1"/>
        <v>2098</v>
      </c>
      <c r="B2100" s="217"/>
      <c r="C2100" s="217" t="str">
        <f>IFERROR(VLOOKUP(B2100, SourceData!$U$3:$V$190, 2, FALSE), "")</f>
        <v/>
      </c>
      <c r="D2100" s="240"/>
      <c r="E2100" s="241"/>
      <c r="F2100" s="248"/>
      <c r="G2100" s="207"/>
      <c r="H2100" s="209"/>
      <c r="I2100" s="209"/>
      <c r="J2100" s="209"/>
      <c r="K2100" s="208" t="str">
        <f>IF(Errors!$I2100=0,SourceData!$B$42,VLOOKUP(Errors!$I2100,SourceData!$A$2:$B$40,2,FALSE))</f>
        <v>Please select ERROR CODE column "I"</v>
      </c>
      <c r="L2100" s="207" t="str">
        <f>IF(Errors!$I2100=0,
    'List of Error Codes'!$E$29,
    IFERROR(VLOOKUP(Errors!$I2100, 'List of Error Codes'!D2099:I2129, 6, FALSE), 'List of Error Codes'!$E$29)
)</f>
        <v>Please select ERROR CODE column "I"</v>
      </c>
      <c r="M2100" s="209"/>
      <c r="N2100" s="209"/>
      <c r="O2100" s="209"/>
      <c r="P2100" s="209"/>
      <c r="Q2100" s="209"/>
      <c r="R2100" s="217"/>
      <c r="S2100" s="217"/>
      <c r="T2100" s="217"/>
      <c r="U2100" s="199"/>
      <c r="V2100" s="200"/>
      <c r="W2100" s="200"/>
      <c r="X2100" s="200"/>
      <c r="Y2100" s="200"/>
      <c r="Z2100" s="200"/>
      <c r="AA2100" s="201"/>
      <c r="AB2100" s="200"/>
      <c r="AC2100" s="200"/>
    </row>
    <row r="2101" ht="15.75" customHeight="1">
      <c r="A2101" s="210">
        <f t="shared" si="1"/>
        <v>2099</v>
      </c>
      <c r="B2101" s="217"/>
      <c r="C2101" s="217" t="str">
        <f>IFERROR(VLOOKUP(B2101, SourceData!$U$3:$V$190, 2, FALSE), "")</f>
        <v/>
      </c>
      <c r="D2101" s="240"/>
      <c r="E2101" s="241"/>
      <c r="F2101" s="248"/>
      <c r="G2101" s="207"/>
      <c r="H2101" s="209"/>
      <c r="I2101" s="209"/>
      <c r="J2101" s="209"/>
      <c r="K2101" s="208" t="str">
        <f>IF(Errors!$I2101=0,SourceData!$B$42,VLOOKUP(Errors!$I2101,SourceData!$A$2:$B$40,2,FALSE))</f>
        <v>Please select ERROR CODE column "I"</v>
      </c>
      <c r="L2101" s="207" t="str">
        <f>IF(Errors!$I2101=0,
    'List of Error Codes'!$E$29,
    IFERROR(VLOOKUP(Errors!$I2101, 'List of Error Codes'!D2100:I2130, 6, FALSE), 'List of Error Codes'!$E$29)
)</f>
        <v>Please select ERROR CODE column "I"</v>
      </c>
      <c r="M2101" s="209"/>
      <c r="N2101" s="209"/>
      <c r="O2101" s="209"/>
      <c r="P2101" s="209"/>
      <c r="Q2101" s="209"/>
      <c r="R2101" s="217"/>
      <c r="S2101" s="217"/>
      <c r="T2101" s="217"/>
      <c r="U2101" s="199"/>
      <c r="V2101" s="200"/>
      <c r="W2101" s="200"/>
      <c r="X2101" s="200"/>
      <c r="Y2101" s="200"/>
      <c r="Z2101" s="200"/>
      <c r="AA2101" s="201"/>
      <c r="AB2101" s="200"/>
      <c r="AC2101" s="200"/>
    </row>
    <row r="2102" ht="15.75" customHeight="1">
      <c r="A2102" s="210">
        <f t="shared" si="1"/>
        <v>2100</v>
      </c>
      <c r="B2102" s="217"/>
      <c r="C2102" s="217" t="str">
        <f>IFERROR(VLOOKUP(B2102, SourceData!$U$3:$V$190, 2, FALSE), "")</f>
        <v/>
      </c>
      <c r="D2102" s="240"/>
      <c r="E2102" s="241"/>
      <c r="F2102" s="248"/>
      <c r="G2102" s="207"/>
      <c r="H2102" s="209"/>
      <c r="I2102" s="209"/>
      <c r="J2102" s="209"/>
      <c r="K2102" s="208" t="str">
        <f>IF(Errors!$I2102=0,SourceData!$B$42,VLOOKUP(Errors!$I2102,SourceData!$A$2:$B$40,2,FALSE))</f>
        <v>Please select ERROR CODE column "I"</v>
      </c>
      <c r="L2102" s="207" t="str">
        <f>IF(Errors!$I2102=0,
    'List of Error Codes'!$E$29,
    IFERROR(VLOOKUP(Errors!$I2102, 'List of Error Codes'!D2101:I2131, 6, FALSE), 'List of Error Codes'!$E$29)
)</f>
        <v>Please select ERROR CODE column "I"</v>
      </c>
      <c r="M2102" s="209"/>
      <c r="N2102" s="209"/>
      <c r="O2102" s="209"/>
      <c r="P2102" s="209"/>
      <c r="Q2102" s="209"/>
      <c r="R2102" s="217"/>
      <c r="S2102" s="217"/>
      <c r="T2102" s="217"/>
      <c r="U2102" s="199"/>
      <c r="V2102" s="200"/>
      <c r="W2102" s="200"/>
      <c r="X2102" s="200"/>
      <c r="Y2102" s="200"/>
      <c r="Z2102" s="200"/>
      <c r="AA2102" s="201"/>
      <c r="AB2102" s="200"/>
      <c r="AC2102" s="200"/>
    </row>
    <row r="2103" ht="15.75" customHeight="1">
      <c r="A2103" s="210">
        <f t="shared" si="1"/>
        <v>2101</v>
      </c>
      <c r="B2103" s="217"/>
      <c r="C2103" s="217" t="str">
        <f>IFERROR(VLOOKUP(B2103, SourceData!$U$3:$V$190, 2, FALSE), "")</f>
        <v/>
      </c>
      <c r="D2103" s="240"/>
      <c r="E2103" s="241"/>
      <c r="F2103" s="248"/>
      <c r="G2103" s="207"/>
      <c r="H2103" s="209"/>
      <c r="I2103" s="209"/>
      <c r="J2103" s="209"/>
      <c r="K2103" s="208" t="str">
        <f>IF(Errors!$I2103=0,SourceData!$B$42,VLOOKUP(Errors!$I2103,SourceData!$A$2:$B$40,2,FALSE))</f>
        <v>Please select ERROR CODE column "I"</v>
      </c>
      <c r="L2103" s="207" t="str">
        <f>IF(Errors!$I2103=0,
    'List of Error Codes'!$E$29,
    IFERROR(VLOOKUP(Errors!$I2103, 'List of Error Codes'!D2102:I2132, 6, FALSE), 'List of Error Codes'!$E$29)
)</f>
        <v>Please select ERROR CODE column "I"</v>
      </c>
      <c r="M2103" s="209"/>
      <c r="N2103" s="209"/>
      <c r="O2103" s="209"/>
      <c r="P2103" s="209"/>
      <c r="Q2103" s="209"/>
      <c r="R2103" s="217"/>
      <c r="S2103" s="217"/>
      <c r="T2103" s="217"/>
      <c r="U2103" s="199"/>
      <c r="V2103" s="200"/>
      <c r="W2103" s="200"/>
      <c r="X2103" s="200"/>
      <c r="Y2103" s="200"/>
      <c r="Z2103" s="200"/>
      <c r="AA2103" s="201"/>
      <c r="AB2103" s="200"/>
      <c r="AC2103" s="200"/>
    </row>
    <row r="2104" ht="15.75" customHeight="1">
      <c r="A2104" s="210">
        <f t="shared" si="1"/>
        <v>2102</v>
      </c>
      <c r="B2104" s="217"/>
      <c r="C2104" s="217" t="str">
        <f>IFERROR(VLOOKUP(B2104, SourceData!$U$3:$V$190, 2, FALSE), "")</f>
        <v/>
      </c>
      <c r="D2104" s="240"/>
      <c r="E2104" s="241"/>
      <c r="F2104" s="248"/>
      <c r="G2104" s="207"/>
      <c r="H2104" s="209"/>
      <c r="I2104" s="209"/>
      <c r="J2104" s="209"/>
      <c r="K2104" s="208" t="str">
        <f>IF(Errors!$I2104=0,SourceData!$B$42,VLOOKUP(Errors!$I2104,SourceData!$A$2:$B$40,2,FALSE))</f>
        <v>Please select ERROR CODE column "I"</v>
      </c>
      <c r="L2104" s="207" t="str">
        <f>IF(Errors!$I2104=0,
    'List of Error Codes'!$E$29,
    IFERROR(VLOOKUP(Errors!$I2104, 'List of Error Codes'!D2103:I2133, 6, FALSE), 'List of Error Codes'!$E$29)
)</f>
        <v>Please select ERROR CODE column "I"</v>
      </c>
      <c r="M2104" s="209"/>
      <c r="N2104" s="209"/>
      <c r="O2104" s="209"/>
      <c r="P2104" s="209"/>
      <c r="Q2104" s="209"/>
      <c r="R2104" s="217"/>
      <c r="S2104" s="217"/>
      <c r="T2104" s="217"/>
      <c r="U2104" s="199"/>
      <c r="V2104" s="200"/>
      <c r="W2104" s="200"/>
      <c r="X2104" s="200"/>
      <c r="Y2104" s="200"/>
      <c r="Z2104" s="200"/>
      <c r="AA2104" s="201"/>
      <c r="AB2104" s="200"/>
      <c r="AC2104" s="200"/>
    </row>
    <row r="2105" ht="15.75" customHeight="1">
      <c r="A2105" s="210">
        <f t="shared" si="1"/>
        <v>2103</v>
      </c>
      <c r="B2105" s="217"/>
      <c r="C2105" s="217" t="str">
        <f>IFERROR(VLOOKUP(B2105, SourceData!$U$3:$V$190, 2, FALSE), "")</f>
        <v/>
      </c>
      <c r="D2105" s="240"/>
      <c r="E2105" s="241"/>
      <c r="F2105" s="248"/>
      <c r="G2105" s="207"/>
      <c r="H2105" s="209"/>
      <c r="I2105" s="209"/>
      <c r="J2105" s="209"/>
      <c r="K2105" s="208" t="str">
        <f>IF(Errors!$I2105=0,SourceData!$B$42,VLOOKUP(Errors!$I2105,SourceData!$A$2:$B$40,2,FALSE))</f>
        <v>Please select ERROR CODE column "I"</v>
      </c>
      <c r="L2105" s="207" t="str">
        <f>IF(Errors!$I2105=0,
    'List of Error Codes'!$E$29,
    IFERROR(VLOOKUP(Errors!$I2105, 'List of Error Codes'!D2104:I2134, 6, FALSE), 'List of Error Codes'!$E$29)
)</f>
        <v>Please select ERROR CODE column "I"</v>
      </c>
      <c r="M2105" s="209"/>
      <c r="N2105" s="209"/>
      <c r="O2105" s="209"/>
      <c r="P2105" s="209"/>
      <c r="Q2105" s="209"/>
      <c r="R2105" s="217"/>
      <c r="S2105" s="217"/>
      <c r="T2105" s="217"/>
      <c r="U2105" s="199"/>
      <c r="V2105" s="200"/>
      <c r="W2105" s="200"/>
      <c r="X2105" s="200"/>
      <c r="Y2105" s="200"/>
      <c r="Z2105" s="200"/>
      <c r="AA2105" s="201"/>
      <c r="AB2105" s="200"/>
      <c r="AC2105" s="200"/>
    </row>
    <row r="2106" ht="15.75" customHeight="1">
      <c r="A2106" s="210">
        <f t="shared" si="1"/>
        <v>2104</v>
      </c>
      <c r="B2106" s="217"/>
      <c r="C2106" s="217" t="str">
        <f>IFERROR(VLOOKUP(B2106, SourceData!$U$3:$V$190, 2, FALSE), "")</f>
        <v/>
      </c>
      <c r="D2106" s="240"/>
      <c r="E2106" s="241"/>
      <c r="F2106" s="248"/>
      <c r="G2106" s="207"/>
      <c r="H2106" s="209"/>
      <c r="I2106" s="209"/>
      <c r="J2106" s="209"/>
      <c r="K2106" s="208" t="str">
        <f>IF(Errors!$I2106=0,SourceData!$B$42,VLOOKUP(Errors!$I2106,SourceData!$A$2:$B$40,2,FALSE))</f>
        <v>Please select ERROR CODE column "I"</v>
      </c>
      <c r="L2106" s="207" t="str">
        <f>IF(Errors!$I2106=0,
    'List of Error Codes'!$E$29,
    IFERROR(VLOOKUP(Errors!$I2106, 'List of Error Codes'!D2105:I2135, 6, FALSE), 'List of Error Codes'!$E$29)
)</f>
        <v>Please select ERROR CODE column "I"</v>
      </c>
      <c r="M2106" s="209"/>
      <c r="N2106" s="209"/>
      <c r="O2106" s="209"/>
      <c r="P2106" s="209"/>
      <c r="Q2106" s="209"/>
      <c r="R2106" s="217"/>
      <c r="S2106" s="217"/>
      <c r="T2106" s="217"/>
      <c r="U2106" s="199"/>
      <c r="V2106" s="200"/>
      <c r="W2106" s="200"/>
      <c r="X2106" s="200"/>
      <c r="Y2106" s="200"/>
      <c r="Z2106" s="200"/>
      <c r="AA2106" s="201"/>
      <c r="AB2106" s="200"/>
      <c r="AC2106" s="200"/>
    </row>
    <row r="2107" ht="15.75" customHeight="1">
      <c r="A2107" s="210">
        <f t="shared" si="1"/>
        <v>2105</v>
      </c>
      <c r="B2107" s="217"/>
      <c r="C2107" s="217" t="str">
        <f>IFERROR(VLOOKUP(B2107, SourceData!$U$3:$V$190, 2, FALSE), "")</f>
        <v/>
      </c>
      <c r="D2107" s="240"/>
      <c r="E2107" s="241"/>
      <c r="F2107" s="248"/>
      <c r="G2107" s="207"/>
      <c r="H2107" s="209"/>
      <c r="I2107" s="209"/>
      <c r="J2107" s="209"/>
      <c r="K2107" s="208" t="str">
        <f>IF(Errors!$I2107=0,SourceData!$B$42,VLOOKUP(Errors!$I2107,SourceData!$A$2:$B$40,2,FALSE))</f>
        <v>Please select ERROR CODE column "I"</v>
      </c>
      <c r="L2107" s="207" t="str">
        <f>IF(Errors!$I2107=0,
    'List of Error Codes'!$E$29,
    IFERROR(VLOOKUP(Errors!$I2107, 'List of Error Codes'!D2106:I2136, 6, FALSE), 'List of Error Codes'!$E$29)
)</f>
        <v>Please select ERROR CODE column "I"</v>
      </c>
      <c r="M2107" s="209"/>
      <c r="N2107" s="209"/>
      <c r="O2107" s="209"/>
      <c r="P2107" s="209"/>
      <c r="Q2107" s="209"/>
      <c r="R2107" s="217"/>
      <c r="S2107" s="217"/>
      <c r="T2107" s="217"/>
      <c r="U2107" s="199"/>
      <c r="V2107" s="200"/>
      <c r="W2107" s="200"/>
      <c r="X2107" s="200"/>
      <c r="Y2107" s="200"/>
      <c r="Z2107" s="200"/>
      <c r="AA2107" s="201"/>
      <c r="AB2107" s="200"/>
      <c r="AC2107" s="200"/>
    </row>
    <row r="2108" ht="15.75" customHeight="1">
      <c r="A2108" s="210">
        <f t="shared" si="1"/>
        <v>2106</v>
      </c>
      <c r="B2108" s="217"/>
      <c r="C2108" s="217" t="str">
        <f>IFERROR(VLOOKUP(B2108, SourceData!$U$3:$V$190, 2, FALSE), "")</f>
        <v/>
      </c>
      <c r="D2108" s="240"/>
      <c r="E2108" s="241"/>
      <c r="F2108" s="248"/>
      <c r="G2108" s="207"/>
      <c r="H2108" s="209"/>
      <c r="I2108" s="209"/>
      <c r="J2108" s="209"/>
      <c r="K2108" s="208" t="str">
        <f>IF(Errors!$I2108=0,SourceData!$B$42,VLOOKUP(Errors!$I2108,SourceData!$A$2:$B$40,2,FALSE))</f>
        <v>Please select ERROR CODE column "I"</v>
      </c>
      <c r="L2108" s="207" t="str">
        <f>IF(Errors!$I2108=0,
    'List of Error Codes'!$E$29,
    IFERROR(VLOOKUP(Errors!$I2108, 'List of Error Codes'!D2107:I2137, 6, FALSE), 'List of Error Codes'!$E$29)
)</f>
        <v>Please select ERROR CODE column "I"</v>
      </c>
      <c r="M2108" s="209"/>
      <c r="N2108" s="209"/>
      <c r="O2108" s="209"/>
      <c r="P2108" s="209"/>
      <c r="Q2108" s="209"/>
      <c r="R2108" s="217"/>
      <c r="S2108" s="217"/>
      <c r="T2108" s="217"/>
      <c r="U2108" s="199"/>
      <c r="V2108" s="200"/>
      <c r="W2108" s="200"/>
      <c r="X2108" s="200"/>
      <c r="Y2108" s="200"/>
      <c r="Z2108" s="200"/>
      <c r="AA2108" s="201"/>
      <c r="AB2108" s="200"/>
      <c r="AC2108" s="200"/>
    </row>
    <row r="2109" ht="15.75" customHeight="1">
      <c r="A2109" s="210">
        <f t="shared" si="1"/>
        <v>2107</v>
      </c>
      <c r="B2109" s="217"/>
      <c r="C2109" s="217" t="str">
        <f>IFERROR(VLOOKUP(B2109, SourceData!$U$3:$V$190, 2, FALSE), "")</f>
        <v/>
      </c>
      <c r="D2109" s="240"/>
      <c r="E2109" s="241"/>
      <c r="F2109" s="248"/>
      <c r="G2109" s="207"/>
      <c r="H2109" s="209"/>
      <c r="I2109" s="209"/>
      <c r="J2109" s="209"/>
      <c r="K2109" s="208" t="str">
        <f>IF(Errors!$I2109=0,SourceData!$B$42,VLOOKUP(Errors!$I2109,SourceData!$A$2:$B$40,2,FALSE))</f>
        <v>Please select ERROR CODE column "I"</v>
      </c>
      <c r="L2109" s="207" t="str">
        <f>IF(Errors!$I2109=0,
    'List of Error Codes'!$E$29,
    IFERROR(VLOOKUP(Errors!$I2109, 'List of Error Codes'!D2108:I2138, 6, FALSE), 'List of Error Codes'!$E$29)
)</f>
        <v>Please select ERROR CODE column "I"</v>
      </c>
      <c r="M2109" s="209"/>
      <c r="N2109" s="209"/>
      <c r="O2109" s="209"/>
      <c r="P2109" s="209"/>
      <c r="Q2109" s="209"/>
      <c r="R2109" s="217"/>
      <c r="S2109" s="217"/>
      <c r="T2109" s="217"/>
      <c r="U2109" s="199"/>
      <c r="V2109" s="200"/>
      <c r="W2109" s="200"/>
      <c r="X2109" s="200"/>
      <c r="Y2109" s="200"/>
      <c r="Z2109" s="200"/>
      <c r="AA2109" s="201"/>
      <c r="AB2109" s="200"/>
      <c r="AC2109" s="200"/>
    </row>
    <row r="2110" ht="15.75" customHeight="1">
      <c r="A2110" s="210">
        <f t="shared" si="1"/>
        <v>2108</v>
      </c>
      <c r="B2110" s="217"/>
      <c r="C2110" s="217" t="str">
        <f>IFERROR(VLOOKUP(B2110, SourceData!$U$3:$V$190, 2, FALSE), "")</f>
        <v/>
      </c>
      <c r="D2110" s="240"/>
      <c r="E2110" s="241"/>
      <c r="F2110" s="248"/>
      <c r="G2110" s="207"/>
      <c r="H2110" s="209"/>
      <c r="I2110" s="209"/>
      <c r="J2110" s="209"/>
      <c r="K2110" s="208" t="str">
        <f>IF(Errors!$I2110=0,SourceData!$B$42,VLOOKUP(Errors!$I2110,SourceData!$A$2:$B$40,2,FALSE))</f>
        <v>Please select ERROR CODE column "I"</v>
      </c>
      <c r="L2110" s="207" t="str">
        <f>IF(Errors!$I2110=0,
    'List of Error Codes'!$E$29,
    IFERROR(VLOOKUP(Errors!$I2110, 'List of Error Codes'!D2109:I2139, 6, FALSE), 'List of Error Codes'!$E$29)
)</f>
        <v>Please select ERROR CODE column "I"</v>
      </c>
      <c r="M2110" s="209"/>
      <c r="N2110" s="209"/>
      <c r="O2110" s="209"/>
      <c r="P2110" s="209"/>
      <c r="Q2110" s="209"/>
      <c r="R2110" s="217"/>
      <c r="S2110" s="217"/>
      <c r="T2110" s="217"/>
      <c r="U2110" s="199"/>
      <c r="V2110" s="200"/>
      <c r="W2110" s="200"/>
      <c r="X2110" s="200"/>
      <c r="Y2110" s="200"/>
      <c r="Z2110" s="200"/>
      <c r="AA2110" s="201"/>
      <c r="AB2110" s="200"/>
      <c r="AC2110" s="200"/>
    </row>
    <row r="2111" ht="15.75" customHeight="1">
      <c r="A2111" s="210">
        <f t="shared" si="1"/>
        <v>2109</v>
      </c>
      <c r="B2111" s="217"/>
      <c r="C2111" s="217" t="str">
        <f>IFERROR(VLOOKUP(B2111, SourceData!$U$3:$V$190, 2, FALSE), "")</f>
        <v/>
      </c>
      <c r="D2111" s="240"/>
      <c r="E2111" s="241"/>
      <c r="F2111" s="248"/>
      <c r="G2111" s="207"/>
      <c r="H2111" s="209"/>
      <c r="I2111" s="209"/>
      <c r="J2111" s="209"/>
      <c r="K2111" s="208" t="str">
        <f>IF(Errors!$I2111=0,SourceData!$B$42,VLOOKUP(Errors!$I2111,SourceData!$A$2:$B$40,2,FALSE))</f>
        <v>Please select ERROR CODE column "I"</v>
      </c>
      <c r="L2111" s="207" t="str">
        <f>IF(Errors!$I2111=0,
    'List of Error Codes'!$E$29,
    IFERROR(VLOOKUP(Errors!$I2111, 'List of Error Codes'!D2110:I2140, 6, FALSE), 'List of Error Codes'!$E$29)
)</f>
        <v>Please select ERROR CODE column "I"</v>
      </c>
      <c r="M2111" s="209"/>
      <c r="N2111" s="209"/>
      <c r="O2111" s="209"/>
      <c r="P2111" s="209"/>
      <c r="Q2111" s="209"/>
      <c r="R2111" s="217"/>
      <c r="S2111" s="217"/>
      <c r="T2111" s="217"/>
      <c r="U2111" s="199"/>
      <c r="V2111" s="200"/>
      <c r="W2111" s="200"/>
      <c r="X2111" s="200"/>
      <c r="Y2111" s="200"/>
      <c r="Z2111" s="200"/>
      <c r="AA2111" s="201"/>
      <c r="AB2111" s="200"/>
      <c r="AC2111" s="200"/>
    </row>
    <row r="2112" ht="15.75" customHeight="1">
      <c r="A2112" s="210">
        <f t="shared" si="1"/>
        <v>2110</v>
      </c>
      <c r="B2112" s="217"/>
      <c r="C2112" s="217" t="str">
        <f>IFERROR(VLOOKUP(B2112, SourceData!$U$3:$V$190, 2, FALSE), "")</f>
        <v/>
      </c>
      <c r="D2112" s="240"/>
      <c r="E2112" s="241"/>
      <c r="F2112" s="248"/>
      <c r="G2112" s="207"/>
      <c r="H2112" s="209"/>
      <c r="I2112" s="209"/>
      <c r="J2112" s="209"/>
      <c r="K2112" s="208" t="str">
        <f>IF(Errors!$I2112=0,SourceData!$B$42,VLOOKUP(Errors!$I2112,SourceData!$A$2:$B$40,2,FALSE))</f>
        <v>Please select ERROR CODE column "I"</v>
      </c>
      <c r="L2112" s="207" t="str">
        <f>IF(Errors!$I2112=0,
    'List of Error Codes'!$E$29,
    IFERROR(VLOOKUP(Errors!$I2112, 'List of Error Codes'!D2111:I2141, 6, FALSE), 'List of Error Codes'!$E$29)
)</f>
        <v>Please select ERROR CODE column "I"</v>
      </c>
      <c r="M2112" s="209"/>
      <c r="N2112" s="209"/>
      <c r="O2112" s="209"/>
      <c r="P2112" s="209"/>
      <c r="Q2112" s="209"/>
      <c r="R2112" s="217"/>
      <c r="S2112" s="217"/>
      <c r="T2112" s="217"/>
      <c r="U2112" s="199"/>
      <c r="V2112" s="200"/>
      <c r="W2112" s="200"/>
      <c r="X2112" s="200"/>
      <c r="Y2112" s="200"/>
      <c r="Z2112" s="200"/>
      <c r="AA2112" s="201"/>
      <c r="AB2112" s="200"/>
      <c r="AC2112" s="200"/>
    </row>
    <row r="2113" ht="15.75" customHeight="1">
      <c r="A2113" s="210">
        <f t="shared" si="1"/>
        <v>2111</v>
      </c>
      <c r="B2113" s="217"/>
      <c r="C2113" s="217" t="str">
        <f>IFERROR(VLOOKUP(B2113, SourceData!$U$3:$V$190, 2, FALSE), "")</f>
        <v/>
      </c>
      <c r="D2113" s="240"/>
      <c r="E2113" s="241"/>
      <c r="F2113" s="248"/>
      <c r="G2113" s="207"/>
      <c r="H2113" s="209"/>
      <c r="I2113" s="209"/>
      <c r="J2113" s="209"/>
      <c r="K2113" s="208" t="str">
        <f>IF(Errors!$I2113=0,SourceData!$B$42,VLOOKUP(Errors!$I2113,SourceData!$A$2:$B$40,2,FALSE))</f>
        <v>Please select ERROR CODE column "I"</v>
      </c>
      <c r="L2113" s="207" t="str">
        <f>IF(Errors!$I2113=0,
    'List of Error Codes'!$E$29,
    IFERROR(VLOOKUP(Errors!$I2113, 'List of Error Codes'!D2112:I2142, 6, FALSE), 'List of Error Codes'!$E$29)
)</f>
        <v>Please select ERROR CODE column "I"</v>
      </c>
      <c r="M2113" s="209"/>
      <c r="N2113" s="209"/>
      <c r="O2113" s="209"/>
      <c r="P2113" s="209"/>
      <c r="Q2113" s="209"/>
      <c r="R2113" s="217"/>
      <c r="S2113" s="217"/>
      <c r="T2113" s="217"/>
      <c r="U2113" s="199"/>
      <c r="V2113" s="200"/>
      <c r="W2113" s="200"/>
      <c r="X2113" s="200"/>
      <c r="Y2113" s="200"/>
      <c r="Z2113" s="200"/>
      <c r="AA2113" s="201"/>
      <c r="AB2113" s="200"/>
      <c r="AC2113" s="200"/>
    </row>
    <row r="2114" ht="15.75" customHeight="1">
      <c r="A2114" s="210">
        <f t="shared" si="1"/>
        <v>2112</v>
      </c>
      <c r="B2114" s="217"/>
      <c r="C2114" s="217" t="str">
        <f>IFERROR(VLOOKUP(B2114, SourceData!$U$3:$V$190, 2, FALSE), "")</f>
        <v/>
      </c>
      <c r="D2114" s="240"/>
      <c r="E2114" s="241"/>
      <c r="F2114" s="248"/>
      <c r="G2114" s="207"/>
      <c r="H2114" s="209"/>
      <c r="I2114" s="209"/>
      <c r="J2114" s="209"/>
      <c r="K2114" s="208" t="str">
        <f>IF(Errors!$I2114=0,SourceData!$B$42,VLOOKUP(Errors!$I2114,SourceData!$A$2:$B$40,2,FALSE))</f>
        <v>Please select ERROR CODE column "I"</v>
      </c>
      <c r="L2114" s="207" t="str">
        <f>IF(Errors!$I2114=0,
    'List of Error Codes'!$E$29,
    IFERROR(VLOOKUP(Errors!$I2114, 'List of Error Codes'!D2113:I2143, 6, FALSE), 'List of Error Codes'!$E$29)
)</f>
        <v>Please select ERROR CODE column "I"</v>
      </c>
      <c r="M2114" s="209"/>
      <c r="N2114" s="209"/>
      <c r="O2114" s="209"/>
      <c r="P2114" s="209"/>
      <c r="Q2114" s="209"/>
      <c r="R2114" s="217"/>
      <c r="S2114" s="217"/>
      <c r="T2114" s="217"/>
      <c r="U2114" s="199"/>
      <c r="V2114" s="200"/>
      <c r="W2114" s="200"/>
      <c r="X2114" s="200"/>
      <c r="Y2114" s="200"/>
      <c r="Z2114" s="200"/>
      <c r="AA2114" s="201"/>
      <c r="AB2114" s="200"/>
      <c r="AC2114" s="200"/>
    </row>
    <row r="2115" ht="15.75" customHeight="1">
      <c r="A2115" s="210">
        <f t="shared" si="1"/>
        <v>2113</v>
      </c>
      <c r="B2115" s="217"/>
      <c r="C2115" s="217" t="str">
        <f>IFERROR(VLOOKUP(B2115, SourceData!$U$3:$V$190, 2, FALSE), "")</f>
        <v/>
      </c>
      <c r="D2115" s="240"/>
      <c r="E2115" s="241"/>
      <c r="F2115" s="248"/>
      <c r="G2115" s="207"/>
      <c r="H2115" s="209"/>
      <c r="I2115" s="209"/>
      <c r="J2115" s="209"/>
      <c r="K2115" s="208" t="str">
        <f>IF(Errors!$I2115=0,SourceData!$B$42,VLOOKUP(Errors!$I2115,SourceData!$A$2:$B$40,2,FALSE))</f>
        <v>Please select ERROR CODE column "I"</v>
      </c>
      <c r="L2115" s="207" t="str">
        <f>IF(Errors!$I2115=0,
    'List of Error Codes'!$E$29,
    IFERROR(VLOOKUP(Errors!$I2115, 'List of Error Codes'!D2114:I2144, 6, FALSE), 'List of Error Codes'!$E$29)
)</f>
        <v>Please select ERROR CODE column "I"</v>
      </c>
      <c r="M2115" s="209"/>
      <c r="N2115" s="209"/>
      <c r="O2115" s="209"/>
      <c r="P2115" s="209"/>
      <c r="Q2115" s="209"/>
      <c r="R2115" s="217"/>
      <c r="S2115" s="217"/>
      <c r="T2115" s="217"/>
      <c r="U2115" s="199"/>
      <c r="V2115" s="200"/>
      <c r="W2115" s="200"/>
      <c r="X2115" s="200"/>
      <c r="Y2115" s="200"/>
      <c r="Z2115" s="200"/>
      <c r="AA2115" s="201"/>
      <c r="AB2115" s="200"/>
      <c r="AC2115" s="200"/>
    </row>
    <row r="2116" ht="15.75" customHeight="1">
      <c r="A2116" s="210">
        <f t="shared" si="1"/>
        <v>2114</v>
      </c>
      <c r="B2116" s="217"/>
      <c r="C2116" s="217" t="str">
        <f>IFERROR(VLOOKUP(B2116, SourceData!$U$3:$V$190, 2, FALSE), "")</f>
        <v/>
      </c>
      <c r="D2116" s="240"/>
      <c r="E2116" s="241"/>
      <c r="F2116" s="248"/>
      <c r="G2116" s="207"/>
      <c r="H2116" s="209"/>
      <c r="I2116" s="209"/>
      <c r="J2116" s="209"/>
      <c r="K2116" s="208" t="str">
        <f>IF(Errors!$I2116=0,SourceData!$B$42,VLOOKUP(Errors!$I2116,SourceData!$A$2:$B$40,2,FALSE))</f>
        <v>Please select ERROR CODE column "I"</v>
      </c>
      <c r="L2116" s="207" t="str">
        <f>IF(Errors!$I2116=0,
    'List of Error Codes'!$E$29,
    IFERROR(VLOOKUP(Errors!$I2116, 'List of Error Codes'!D2115:I2145, 6, FALSE), 'List of Error Codes'!$E$29)
)</f>
        <v>Please select ERROR CODE column "I"</v>
      </c>
      <c r="M2116" s="209"/>
      <c r="N2116" s="209"/>
      <c r="O2116" s="209"/>
      <c r="P2116" s="209"/>
      <c r="Q2116" s="209"/>
      <c r="R2116" s="217"/>
      <c r="S2116" s="217"/>
      <c r="T2116" s="217"/>
      <c r="U2116" s="199"/>
      <c r="V2116" s="200"/>
      <c r="W2116" s="200"/>
      <c r="X2116" s="200"/>
      <c r="Y2116" s="200"/>
      <c r="Z2116" s="200"/>
      <c r="AA2116" s="201"/>
      <c r="AB2116" s="200"/>
      <c r="AC2116" s="200"/>
    </row>
    <row r="2117" ht="15.75" customHeight="1">
      <c r="A2117" s="210">
        <f t="shared" si="1"/>
        <v>2115</v>
      </c>
      <c r="B2117" s="217"/>
      <c r="C2117" s="217" t="str">
        <f>IFERROR(VLOOKUP(B2117, SourceData!$U$3:$V$190, 2, FALSE), "")</f>
        <v/>
      </c>
      <c r="D2117" s="240"/>
      <c r="E2117" s="241"/>
      <c r="F2117" s="248"/>
      <c r="G2117" s="207"/>
      <c r="H2117" s="209"/>
      <c r="I2117" s="209"/>
      <c r="J2117" s="209"/>
      <c r="K2117" s="208" t="str">
        <f>IF(Errors!$I2117=0,SourceData!$B$42,VLOOKUP(Errors!$I2117,SourceData!$A$2:$B$40,2,FALSE))</f>
        <v>Please select ERROR CODE column "I"</v>
      </c>
      <c r="L2117" s="207" t="str">
        <f>IF(Errors!$I2117=0,
    'List of Error Codes'!$E$29,
    IFERROR(VLOOKUP(Errors!$I2117, 'List of Error Codes'!D2116:I2146, 6, FALSE), 'List of Error Codes'!$E$29)
)</f>
        <v>Please select ERROR CODE column "I"</v>
      </c>
      <c r="M2117" s="209"/>
      <c r="N2117" s="209"/>
      <c r="O2117" s="209"/>
      <c r="P2117" s="209"/>
      <c r="Q2117" s="209"/>
      <c r="R2117" s="217"/>
      <c r="S2117" s="217"/>
      <c r="T2117" s="217"/>
      <c r="U2117" s="199"/>
      <c r="V2117" s="200"/>
      <c r="W2117" s="200"/>
      <c r="X2117" s="200"/>
      <c r="Y2117" s="200"/>
      <c r="Z2117" s="200"/>
      <c r="AA2117" s="201"/>
      <c r="AB2117" s="200"/>
      <c r="AC2117" s="200"/>
    </row>
    <row r="2118" ht="15.75" customHeight="1">
      <c r="A2118" s="210">
        <f t="shared" si="1"/>
        <v>2116</v>
      </c>
      <c r="B2118" s="217"/>
      <c r="C2118" s="217" t="str">
        <f>IFERROR(VLOOKUP(B2118, SourceData!$U$3:$V$190, 2, FALSE), "")</f>
        <v/>
      </c>
      <c r="D2118" s="240"/>
      <c r="E2118" s="241"/>
      <c r="F2118" s="248"/>
      <c r="G2118" s="207"/>
      <c r="H2118" s="209"/>
      <c r="I2118" s="209"/>
      <c r="J2118" s="209"/>
      <c r="K2118" s="208" t="str">
        <f>IF(Errors!$I2118=0,SourceData!$B$42,VLOOKUP(Errors!$I2118,SourceData!$A$2:$B$40,2,FALSE))</f>
        <v>Please select ERROR CODE column "I"</v>
      </c>
      <c r="L2118" s="207" t="str">
        <f>IF(Errors!$I2118=0,
    'List of Error Codes'!$E$29,
    IFERROR(VLOOKUP(Errors!$I2118, 'List of Error Codes'!D2117:I2147, 6, FALSE), 'List of Error Codes'!$E$29)
)</f>
        <v>Please select ERROR CODE column "I"</v>
      </c>
      <c r="M2118" s="209"/>
      <c r="N2118" s="209"/>
      <c r="O2118" s="209"/>
      <c r="P2118" s="209"/>
      <c r="Q2118" s="209"/>
      <c r="R2118" s="217"/>
      <c r="S2118" s="217"/>
      <c r="T2118" s="217"/>
      <c r="U2118" s="199"/>
      <c r="V2118" s="200"/>
      <c r="W2118" s="200"/>
      <c r="X2118" s="200"/>
      <c r="Y2118" s="200"/>
      <c r="Z2118" s="200"/>
      <c r="AA2118" s="201"/>
      <c r="AB2118" s="200"/>
      <c r="AC2118" s="200"/>
    </row>
    <row r="2119" ht="15.75" customHeight="1">
      <c r="A2119" s="210">
        <f t="shared" si="1"/>
        <v>2117</v>
      </c>
      <c r="B2119" s="217"/>
      <c r="C2119" s="217" t="str">
        <f>IFERROR(VLOOKUP(B2119, SourceData!$U$3:$V$190, 2, FALSE), "")</f>
        <v/>
      </c>
      <c r="D2119" s="240"/>
      <c r="E2119" s="241"/>
      <c r="F2119" s="248"/>
      <c r="G2119" s="207"/>
      <c r="H2119" s="209"/>
      <c r="I2119" s="209"/>
      <c r="J2119" s="209"/>
      <c r="K2119" s="208" t="str">
        <f>IF(Errors!$I2119=0,SourceData!$B$42,VLOOKUP(Errors!$I2119,SourceData!$A$2:$B$40,2,FALSE))</f>
        <v>Please select ERROR CODE column "I"</v>
      </c>
      <c r="L2119" s="207" t="str">
        <f>IF(Errors!$I2119=0,
    'List of Error Codes'!$E$29,
    IFERROR(VLOOKUP(Errors!$I2119, 'List of Error Codes'!D2118:I2148, 6, FALSE), 'List of Error Codes'!$E$29)
)</f>
        <v>Please select ERROR CODE column "I"</v>
      </c>
      <c r="M2119" s="209"/>
      <c r="N2119" s="209"/>
      <c r="O2119" s="209"/>
      <c r="P2119" s="209"/>
      <c r="Q2119" s="209"/>
      <c r="R2119" s="217"/>
      <c r="S2119" s="217"/>
      <c r="T2119" s="217"/>
      <c r="U2119" s="199"/>
      <c r="V2119" s="200"/>
      <c r="W2119" s="200"/>
      <c r="X2119" s="200"/>
      <c r="Y2119" s="200"/>
      <c r="Z2119" s="200"/>
      <c r="AA2119" s="201"/>
      <c r="AB2119" s="200"/>
      <c r="AC2119" s="200"/>
    </row>
    <row r="2120" ht="15.75" customHeight="1">
      <c r="A2120" s="210">
        <f t="shared" si="1"/>
        <v>2118</v>
      </c>
      <c r="B2120" s="217"/>
      <c r="C2120" s="217" t="str">
        <f>IFERROR(VLOOKUP(B2120, SourceData!$U$3:$V$190, 2, FALSE), "")</f>
        <v/>
      </c>
      <c r="D2120" s="240"/>
      <c r="E2120" s="241"/>
      <c r="F2120" s="248"/>
      <c r="G2120" s="207"/>
      <c r="H2120" s="209"/>
      <c r="I2120" s="209"/>
      <c r="J2120" s="209"/>
      <c r="K2120" s="208" t="str">
        <f>IF(Errors!$I2120=0,SourceData!$B$42,VLOOKUP(Errors!$I2120,SourceData!$A$2:$B$40,2,FALSE))</f>
        <v>Please select ERROR CODE column "I"</v>
      </c>
      <c r="L2120" s="207" t="str">
        <f>IF(Errors!$I2120=0,
    'List of Error Codes'!$E$29,
    IFERROR(VLOOKUP(Errors!$I2120, 'List of Error Codes'!D2119:I2149, 6, FALSE), 'List of Error Codes'!$E$29)
)</f>
        <v>Please select ERROR CODE column "I"</v>
      </c>
      <c r="M2120" s="209"/>
      <c r="N2120" s="209"/>
      <c r="O2120" s="209"/>
      <c r="P2120" s="209"/>
      <c r="Q2120" s="209"/>
      <c r="R2120" s="217"/>
      <c r="S2120" s="217"/>
      <c r="T2120" s="217"/>
      <c r="U2120" s="199"/>
      <c r="V2120" s="200"/>
      <c r="W2120" s="200"/>
      <c r="X2120" s="200"/>
      <c r="Y2120" s="200"/>
      <c r="Z2120" s="200"/>
      <c r="AA2120" s="201"/>
      <c r="AB2120" s="200"/>
      <c r="AC2120" s="200"/>
    </row>
    <row r="2121" ht="15.75" customHeight="1">
      <c r="A2121" s="210">
        <f t="shared" si="1"/>
        <v>2119</v>
      </c>
      <c r="B2121" s="217"/>
      <c r="C2121" s="217" t="str">
        <f>IFERROR(VLOOKUP(B2121, SourceData!$U$3:$V$190, 2, FALSE), "")</f>
        <v/>
      </c>
      <c r="D2121" s="240"/>
      <c r="E2121" s="241"/>
      <c r="F2121" s="248"/>
      <c r="G2121" s="207"/>
      <c r="H2121" s="209"/>
      <c r="I2121" s="209"/>
      <c r="J2121" s="209"/>
      <c r="K2121" s="208" t="str">
        <f>IF(Errors!$I2121=0,SourceData!$B$42,VLOOKUP(Errors!$I2121,SourceData!$A$2:$B$40,2,FALSE))</f>
        <v>Please select ERROR CODE column "I"</v>
      </c>
      <c r="L2121" s="207" t="str">
        <f>IF(Errors!$I2121=0,
    'List of Error Codes'!$E$29,
    IFERROR(VLOOKUP(Errors!$I2121, 'List of Error Codes'!D2120:I2150, 6, FALSE), 'List of Error Codes'!$E$29)
)</f>
        <v>Please select ERROR CODE column "I"</v>
      </c>
      <c r="M2121" s="209"/>
      <c r="N2121" s="209"/>
      <c r="O2121" s="209"/>
      <c r="P2121" s="209"/>
      <c r="Q2121" s="209"/>
      <c r="R2121" s="217"/>
      <c r="S2121" s="217"/>
      <c r="T2121" s="217"/>
      <c r="U2121" s="199"/>
      <c r="V2121" s="200"/>
      <c r="W2121" s="200"/>
      <c r="X2121" s="200"/>
      <c r="Y2121" s="200"/>
      <c r="Z2121" s="200"/>
      <c r="AA2121" s="201"/>
      <c r="AB2121" s="200"/>
      <c r="AC2121" s="200"/>
    </row>
    <row r="2122" ht="15.75" customHeight="1">
      <c r="A2122" s="210">
        <f t="shared" si="1"/>
        <v>2120</v>
      </c>
      <c r="B2122" s="217"/>
      <c r="C2122" s="217" t="str">
        <f>IFERROR(VLOOKUP(B2122, SourceData!$U$3:$V$190, 2, FALSE), "")</f>
        <v/>
      </c>
      <c r="D2122" s="240"/>
      <c r="E2122" s="241"/>
      <c r="F2122" s="248"/>
      <c r="G2122" s="207"/>
      <c r="H2122" s="209"/>
      <c r="I2122" s="209"/>
      <c r="J2122" s="209"/>
      <c r="K2122" s="208" t="str">
        <f>IF(Errors!$I2122=0,SourceData!$B$42,VLOOKUP(Errors!$I2122,SourceData!$A$2:$B$40,2,FALSE))</f>
        <v>Please select ERROR CODE column "I"</v>
      </c>
      <c r="L2122" s="207" t="str">
        <f>IF(Errors!$I2122=0,
    'List of Error Codes'!$E$29,
    IFERROR(VLOOKUP(Errors!$I2122, 'List of Error Codes'!D2121:I2151, 6, FALSE), 'List of Error Codes'!$E$29)
)</f>
        <v>Please select ERROR CODE column "I"</v>
      </c>
      <c r="M2122" s="209"/>
      <c r="N2122" s="209"/>
      <c r="O2122" s="209"/>
      <c r="P2122" s="209"/>
      <c r="Q2122" s="209"/>
      <c r="R2122" s="217"/>
      <c r="S2122" s="217"/>
      <c r="T2122" s="217"/>
      <c r="U2122" s="199"/>
      <c r="V2122" s="200"/>
      <c r="W2122" s="200"/>
      <c r="X2122" s="200"/>
      <c r="Y2122" s="200"/>
      <c r="Z2122" s="200"/>
      <c r="AA2122" s="201"/>
      <c r="AB2122" s="200"/>
      <c r="AC2122" s="200"/>
    </row>
    <row r="2123" ht="15.75" customHeight="1">
      <c r="A2123" s="210">
        <f t="shared" si="1"/>
        <v>2121</v>
      </c>
      <c r="B2123" s="217"/>
      <c r="C2123" s="217" t="str">
        <f>IFERROR(VLOOKUP(B2123, SourceData!$U$3:$V$190, 2, FALSE), "")</f>
        <v/>
      </c>
      <c r="D2123" s="240"/>
      <c r="E2123" s="241"/>
      <c r="F2123" s="248"/>
      <c r="G2123" s="207"/>
      <c r="H2123" s="209"/>
      <c r="I2123" s="209"/>
      <c r="J2123" s="209"/>
      <c r="K2123" s="208" t="str">
        <f>IF(Errors!$I2123=0,SourceData!$B$42,VLOOKUP(Errors!$I2123,SourceData!$A$2:$B$40,2,FALSE))</f>
        <v>Please select ERROR CODE column "I"</v>
      </c>
      <c r="L2123" s="207" t="str">
        <f>IF(Errors!$I2123=0,
    'List of Error Codes'!$E$29,
    IFERROR(VLOOKUP(Errors!$I2123, 'List of Error Codes'!D2122:I2152, 6, FALSE), 'List of Error Codes'!$E$29)
)</f>
        <v>Please select ERROR CODE column "I"</v>
      </c>
      <c r="M2123" s="209"/>
      <c r="N2123" s="209"/>
      <c r="O2123" s="209"/>
      <c r="P2123" s="209"/>
      <c r="Q2123" s="209"/>
      <c r="R2123" s="217"/>
      <c r="S2123" s="217"/>
      <c r="T2123" s="217"/>
      <c r="U2123" s="199"/>
      <c r="V2123" s="200"/>
      <c r="W2123" s="200"/>
      <c r="X2123" s="200"/>
      <c r="Y2123" s="200"/>
      <c r="Z2123" s="200"/>
      <c r="AA2123" s="201"/>
      <c r="AB2123" s="200"/>
      <c r="AC2123" s="200"/>
    </row>
    <row r="2124" ht="15.75" customHeight="1">
      <c r="A2124" s="210">
        <f t="shared" si="1"/>
        <v>2122</v>
      </c>
      <c r="B2124" s="217"/>
      <c r="C2124" s="217" t="str">
        <f>IFERROR(VLOOKUP(B2124, SourceData!$U$3:$V$190, 2, FALSE), "")</f>
        <v/>
      </c>
      <c r="D2124" s="240"/>
      <c r="E2124" s="241"/>
      <c r="F2124" s="248"/>
      <c r="G2124" s="207"/>
      <c r="H2124" s="209"/>
      <c r="I2124" s="209"/>
      <c r="J2124" s="209"/>
      <c r="K2124" s="208" t="str">
        <f>IF(Errors!$I2124=0,SourceData!$B$42,VLOOKUP(Errors!$I2124,SourceData!$A$2:$B$40,2,FALSE))</f>
        <v>Please select ERROR CODE column "I"</v>
      </c>
      <c r="L2124" s="207" t="str">
        <f>IF(Errors!$I2124=0,
    'List of Error Codes'!$E$29,
    IFERROR(VLOOKUP(Errors!$I2124, 'List of Error Codes'!D2123:I2153, 6, FALSE), 'List of Error Codes'!$E$29)
)</f>
        <v>Please select ERROR CODE column "I"</v>
      </c>
      <c r="M2124" s="209"/>
      <c r="N2124" s="209"/>
      <c r="O2124" s="209"/>
      <c r="P2124" s="209"/>
      <c r="Q2124" s="209"/>
      <c r="R2124" s="217"/>
      <c r="S2124" s="217"/>
      <c r="T2124" s="217"/>
      <c r="U2124" s="199"/>
      <c r="V2124" s="200"/>
      <c r="W2124" s="200"/>
      <c r="X2124" s="200"/>
      <c r="Y2124" s="200"/>
      <c r="Z2124" s="200"/>
      <c r="AA2124" s="201"/>
      <c r="AB2124" s="200"/>
      <c r="AC2124" s="200"/>
    </row>
    <row r="2125" ht="15.75" customHeight="1">
      <c r="A2125" s="210">
        <f t="shared" si="1"/>
        <v>2123</v>
      </c>
      <c r="B2125" s="217"/>
      <c r="C2125" s="217" t="str">
        <f>IFERROR(VLOOKUP(B2125, SourceData!$U$3:$V$190, 2, FALSE), "")</f>
        <v/>
      </c>
      <c r="D2125" s="240"/>
      <c r="E2125" s="241"/>
      <c r="F2125" s="248"/>
      <c r="G2125" s="207"/>
      <c r="H2125" s="209"/>
      <c r="I2125" s="209"/>
      <c r="J2125" s="209"/>
      <c r="K2125" s="208" t="str">
        <f>IF(Errors!$I2125=0,SourceData!$B$42,VLOOKUP(Errors!$I2125,SourceData!$A$2:$B$40,2,FALSE))</f>
        <v>Please select ERROR CODE column "I"</v>
      </c>
      <c r="L2125" s="207" t="str">
        <f>IF(Errors!$I2125=0,
    'List of Error Codes'!$E$29,
    IFERROR(VLOOKUP(Errors!$I2125, 'List of Error Codes'!D2124:I2154, 6, FALSE), 'List of Error Codes'!$E$29)
)</f>
        <v>Please select ERROR CODE column "I"</v>
      </c>
      <c r="M2125" s="209"/>
      <c r="N2125" s="209"/>
      <c r="O2125" s="209"/>
      <c r="P2125" s="209"/>
      <c r="Q2125" s="209"/>
      <c r="R2125" s="217"/>
      <c r="S2125" s="217"/>
      <c r="T2125" s="217"/>
      <c r="U2125" s="199"/>
      <c r="V2125" s="200"/>
      <c r="W2125" s="200"/>
      <c r="X2125" s="200"/>
      <c r="Y2125" s="200"/>
      <c r="Z2125" s="200"/>
      <c r="AA2125" s="201"/>
      <c r="AB2125" s="200"/>
      <c r="AC2125" s="200"/>
    </row>
    <row r="2126" ht="15.75" customHeight="1">
      <c r="A2126" s="210">
        <f t="shared" si="1"/>
        <v>2124</v>
      </c>
      <c r="B2126" s="217"/>
      <c r="C2126" s="217" t="str">
        <f>IFERROR(VLOOKUP(B2126, SourceData!$U$3:$V$190, 2, FALSE), "")</f>
        <v/>
      </c>
      <c r="D2126" s="240"/>
      <c r="E2126" s="241"/>
      <c r="F2126" s="248"/>
      <c r="G2126" s="207"/>
      <c r="H2126" s="209"/>
      <c r="I2126" s="209"/>
      <c r="J2126" s="209"/>
      <c r="K2126" s="208" t="str">
        <f>IF(Errors!$I2126=0,SourceData!$B$42,VLOOKUP(Errors!$I2126,SourceData!$A$2:$B$40,2,FALSE))</f>
        <v>Please select ERROR CODE column "I"</v>
      </c>
      <c r="L2126" s="207" t="str">
        <f>IF(Errors!$I2126=0,
    'List of Error Codes'!$E$29,
    IFERROR(VLOOKUP(Errors!$I2126, 'List of Error Codes'!D2125:I2155, 6, FALSE), 'List of Error Codes'!$E$29)
)</f>
        <v>Please select ERROR CODE column "I"</v>
      </c>
      <c r="M2126" s="209"/>
      <c r="N2126" s="209"/>
      <c r="O2126" s="209"/>
      <c r="P2126" s="209"/>
      <c r="Q2126" s="209"/>
      <c r="R2126" s="217"/>
      <c r="S2126" s="217"/>
      <c r="T2126" s="217"/>
      <c r="U2126" s="199"/>
      <c r="V2126" s="200"/>
      <c r="W2126" s="200"/>
      <c r="X2126" s="200"/>
      <c r="Y2126" s="200"/>
      <c r="Z2126" s="200"/>
      <c r="AA2126" s="201"/>
      <c r="AB2126" s="200"/>
      <c r="AC2126" s="200"/>
    </row>
    <row r="2127" ht="15.75" customHeight="1">
      <c r="A2127" s="210">
        <f t="shared" si="1"/>
        <v>2125</v>
      </c>
      <c r="B2127" s="217"/>
      <c r="C2127" s="217" t="str">
        <f>IFERROR(VLOOKUP(B2127, SourceData!$U$3:$V$190, 2, FALSE), "")</f>
        <v/>
      </c>
      <c r="D2127" s="240"/>
      <c r="E2127" s="241"/>
      <c r="F2127" s="248"/>
      <c r="G2127" s="207"/>
      <c r="H2127" s="209"/>
      <c r="I2127" s="209"/>
      <c r="J2127" s="209"/>
      <c r="K2127" s="208" t="str">
        <f>IF(Errors!$I2127=0,SourceData!$B$42,VLOOKUP(Errors!$I2127,SourceData!$A$2:$B$40,2,FALSE))</f>
        <v>Please select ERROR CODE column "I"</v>
      </c>
      <c r="L2127" s="207" t="str">
        <f>IF(Errors!$I2127=0,
    'List of Error Codes'!$E$29,
    IFERROR(VLOOKUP(Errors!$I2127, 'List of Error Codes'!D2126:I2156, 6, FALSE), 'List of Error Codes'!$E$29)
)</f>
        <v>Please select ERROR CODE column "I"</v>
      </c>
      <c r="M2127" s="209"/>
      <c r="N2127" s="209"/>
      <c r="O2127" s="209"/>
      <c r="P2127" s="209"/>
      <c r="Q2127" s="209"/>
      <c r="R2127" s="217"/>
      <c r="S2127" s="217"/>
      <c r="T2127" s="217"/>
      <c r="U2127" s="199"/>
      <c r="V2127" s="200"/>
      <c r="W2127" s="200"/>
      <c r="X2127" s="200"/>
      <c r="Y2127" s="200"/>
      <c r="Z2127" s="200"/>
      <c r="AA2127" s="201"/>
      <c r="AB2127" s="200"/>
      <c r="AC2127" s="200"/>
    </row>
    <row r="2128" ht="15.75" customHeight="1">
      <c r="A2128" s="210">
        <f t="shared" si="1"/>
        <v>2126</v>
      </c>
      <c r="B2128" s="217"/>
      <c r="C2128" s="217" t="str">
        <f>IFERROR(VLOOKUP(B2128, SourceData!$U$3:$V$190, 2, FALSE), "")</f>
        <v/>
      </c>
      <c r="D2128" s="240"/>
      <c r="E2128" s="241"/>
      <c r="F2128" s="248"/>
      <c r="G2128" s="207"/>
      <c r="H2128" s="209"/>
      <c r="I2128" s="209"/>
      <c r="J2128" s="209"/>
      <c r="K2128" s="208" t="str">
        <f>IF(Errors!$I2128=0,SourceData!$B$42,VLOOKUP(Errors!$I2128,SourceData!$A$2:$B$40,2,FALSE))</f>
        <v>Please select ERROR CODE column "I"</v>
      </c>
      <c r="L2128" s="207" t="str">
        <f>IF(Errors!$I2128=0,
    'List of Error Codes'!$E$29,
    IFERROR(VLOOKUP(Errors!$I2128, 'List of Error Codes'!D2127:I2157, 6, FALSE), 'List of Error Codes'!$E$29)
)</f>
        <v>Please select ERROR CODE column "I"</v>
      </c>
      <c r="M2128" s="209"/>
      <c r="N2128" s="209"/>
      <c r="O2128" s="209"/>
      <c r="P2128" s="209"/>
      <c r="Q2128" s="209"/>
      <c r="R2128" s="217"/>
      <c r="S2128" s="217"/>
      <c r="T2128" s="217"/>
      <c r="U2128" s="199"/>
      <c r="V2128" s="200"/>
      <c r="W2128" s="200"/>
      <c r="X2128" s="200"/>
      <c r="Y2128" s="200"/>
      <c r="Z2128" s="200"/>
      <c r="AA2128" s="201"/>
      <c r="AB2128" s="200"/>
      <c r="AC2128" s="200"/>
    </row>
    <row r="2129" ht="15.75" customHeight="1">
      <c r="A2129" s="210">
        <f t="shared" si="1"/>
        <v>2127</v>
      </c>
      <c r="B2129" s="217"/>
      <c r="C2129" s="217" t="str">
        <f>IFERROR(VLOOKUP(B2129, SourceData!$U$3:$V$190, 2, FALSE), "")</f>
        <v/>
      </c>
      <c r="D2129" s="240"/>
      <c r="E2129" s="241"/>
      <c r="F2129" s="248"/>
      <c r="G2129" s="207"/>
      <c r="H2129" s="209"/>
      <c r="I2129" s="209"/>
      <c r="J2129" s="209"/>
      <c r="K2129" s="208" t="str">
        <f>IF(Errors!$I2129=0,SourceData!$B$42,VLOOKUP(Errors!$I2129,SourceData!$A$2:$B$40,2,FALSE))</f>
        <v>Please select ERROR CODE column "I"</v>
      </c>
      <c r="L2129" s="207" t="str">
        <f>IF(Errors!$I2129=0,
    'List of Error Codes'!$E$29,
    IFERROR(VLOOKUP(Errors!$I2129, 'List of Error Codes'!D2128:I2158, 6, FALSE), 'List of Error Codes'!$E$29)
)</f>
        <v>Please select ERROR CODE column "I"</v>
      </c>
      <c r="M2129" s="209"/>
      <c r="N2129" s="209"/>
      <c r="O2129" s="209"/>
      <c r="P2129" s="209"/>
      <c r="Q2129" s="209"/>
      <c r="R2129" s="217"/>
      <c r="S2129" s="217"/>
      <c r="T2129" s="217"/>
      <c r="U2129" s="199"/>
      <c r="V2129" s="200"/>
      <c r="W2129" s="200"/>
      <c r="X2129" s="200"/>
      <c r="Y2129" s="200"/>
      <c r="Z2129" s="200"/>
      <c r="AA2129" s="201"/>
      <c r="AB2129" s="200"/>
      <c r="AC2129" s="200"/>
    </row>
    <row r="2130" ht="15.75" customHeight="1">
      <c r="A2130" s="210">
        <f t="shared" si="1"/>
        <v>2128</v>
      </c>
      <c r="B2130" s="217"/>
      <c r="C2130" s="217" t="str">
        <f>IFERROR(VLOOKUP(B2130, SourceData!$U$3:$V$190, 2, FALSE), "")</f>
        <v/>
      </c>
      <c r="D2130" s="240"/>
      <c r="E2130" s="241"/>
      <c r="F2130" s="248"/>
      <c r="G2130" s="207"/>
      <c r="H2130" s="209"/>
      <c r="I2130" s="209"/>
      <c r="J2130" s="209"/>
      <c r="K2130" s="208" t="str">
        <f>IF(Errors!$I2130=0,SourceData!$B$42,VLOOKUP(Errors!$I2130,SourceData!$A$2:$B$40,2,FALSE))</f>
        <v>Please select ERROR CODE column "I"</v>
      </c>
      <c r="L2130" s="207" t="str">
        <f>IF(Errors!$I2130=0,
    'List of Error Codes'!$E$29,
    IFERROR(VLOOKUP(Errors!$I2130, 'List of Error Codes'!D2129:I2159, 6, FALSE), 'List of Error Codes'!$E$29)
)</f>
        <v>Please select ERROR CODE column "I"</v>
      </c>
      <c r="M2130" s="209"/>
      <c r="N2130" s="209"/>
      <c r="O2130" s="209"/>
      <c r="P2130" s="209"/>
      <c r="Q2130" s="209"/>
      <c r="R2130" s="217"/>
      <c r="S2130" s="217"/>
      <c r="T2130" s="217"/>
      <c r="U2130" s="199"/>
      <c r="V2130" s="200"/>
      <c r="W2130" s="200"/>
      <c r="X2130" s="200"/>
      <c r="Y2130" s="200"/>
      <c r="Z2130" s="200"/>
      <c r="AA2130" s="201"/>
      <c r="AB2130" s="200"/>
      <c r="AC2130" s="200"/>
    </row>
    <row r="2131" ht="15.75" customHeight="1">
      <c r="A2131" s="210">
        <f t="shared" si="1"/>
        <v>2129</v>
      </c>
      <c r="B2131" s="217"/>
      <c r="C2131" s="217" t="str">
        <f>IFERROR(VLOOKUP(B2131, SourceData!$U$3:$V$190, 2, FALSE), "")</f>
        <v/>
      </c>
      <c r="D2131" s="240"/>
      <c r="E2131" s="241"/>
      <c r="F2131" s="248"/>
      <c r="G2131" s="207"/>
      <c r="H2131" s="209"/>
      <c r="I2131" s="209"/>
      <c r="J2131" s="209"/>
      <c r="K2131" s="208" t="str">
        <f>IF(Errors!$I2131=0,SourceData!$B$42,VLOOKUP(Errors!$I2131,SourceData!$A$2:$B$40,2,FALSE))</f>
        <v>Please select ERROR CODE column "I"</v>
      </c>
      <c r="L2131" s="207" t="str">
        <f>IF(Errors!$I2131=0,
    'List of Error Codes'!$E$29,
    IFERROR(VLOOKUP(Errors!$I2131, 'List of Error Codes'!D2130:I2160, 6, FALSE), 'List of Error Codes'!$E$29)
)</f>
        <v>Please select ERROR CODE column "I"</v>
      </c>
      <c r="M2131" s="209"/>
      <c r="N2131" s="209"/>
      <c r="O2131" s="209"/>
      <c r="P2131" s="209"/>
      <c r="Q2131" s="209"/>
      <c r="R2131" s="217"/>
      <c r="S2131" s="217"/>
      <c r="T2131" s="217"/>
      <c r="U2131" s="199"/>
      <c r="V2131" s="200"/>
      <c r="W2131" s="200"/>
      <c r="X2131" s="200"/>
      <c r="Y2131" s="200"/>
      <c r="Z2131" s="200"/>
      <c r="AA2131" s="201"/>
      <c r="AB2131" s="200"/>
      <c r="AC2131" s="200"/>
    </row>
    <row r="2132" ht="15.75" customHeight="1">
      <c r="A2132" s="210">
        <f t="shared" si="1"/>
        <v>2130</v>
      </c>
      <c r="B2132" s="217"/>
      <c r="C2132" s="217" t="str">
        <f>IFERROR(VLOOKUP(B2132, SourceData!$U$3:$V$190, 2, FALSE), "")</f>
        <v/>
      </c>
      <c r="D2132" s="240"/>
      <c r="E2132" s="241"/>
      <c r="F2132" s="248"/>
      <c r="G2132" s="207"/>
      <c r="H2132" s="209"/>
      <c r="I2132" s="209"/>
      <c r="J2132" s="209"/>
      <c r="K2132" s="208" t="str">
        <f>IF(Errors!$I2132=0,SourceData!$B$42,VLOOKUP(Errors!$I2132,SourceData!$A$2:$B$40,2,FALSE))</f>
        <v>Please select ERROR CODE column "I"</v>
      </c>
      <c r="L2132" s="207" t="str">
        <f>IF(Errors!$I2132=0,
    'List of Error Codes'!$E$29,
    IFERROR(VLOOKUP(Errors!$I2132, 'List of Error Codes'!D2131:I2161, 6, FALSE), 'List of Error Codes'!$E$29)
)</f>
        <v>Please select ERROR CODE column "I"</v>
      </c>
      <c r="M2132" s="209"/>
      <c r="N2132" s="209"/>
      <c r="O2132" s="209"/>
      <c r="P2132" s="209"/>
      <c r="Q2132" s="209"/>
      <c r="R2132" s="217"/>
      <c r="S2132" s="217"/>
      <c r="T2132" s="217"/>
      <c r="U2132" s="199"/>
      <c r="V2132" s="200"/>
      <c r="W2132" s="200"/>
      <c r="X2132" s="200"/>
      <c r="Y2132" s="200"/>
      <c r="Z2132" s="200"/>
      <c r="AA2132" s="201"/>
      <c r="AB2132" s="200"/>
      <c r="AC2132" s="200"/>
    </row>
    <row r="2133" ht="15.75" customHeight="1">
      <c r="A2133" s="210">
        <f t="shared" si="1"/>
        <v>2131</v>
      </c>
      <c r="B2133" s="217"/>
      <c r="C2133" s="217" t="str">
        <f>IFERROR(VLOOKUP(B2133, SourceData!$U$3:$V$190, 2, FALSE), "")</f>
        <v/>
      </c>
      <c r="D2133" s="240"/>
      <c r="E2133" s="241"/>
      <c r="F2133" s="248"/>
      <c r="G2133" s="207"/>
      <c r="H2133" s="209"/>
      <c r="I2133" s="209"/>
      <c r="J2133" s="209"/>
      <c r="K2133" s="208" t="str">
        <f>IF(Errors!$I2133=0,SourceData!$B$42,VLOOKUP(Errors!$I2133,SourceData!$A$2:$B$40,2,FALSE))</f>
        <v>Please select ERROR CODE column "I"</v>
      </c>
      <c r="L2133" s="207" t="str">
        <f>IF(Errors!$I2133=0,
    'List of Error Codes'!$E$29,
    IFERROR(VLOOKUP(Errors!$I2133, 'List of Error Codes'!D2132:I2162, 6, FALSE), 'List of Error Codes'!$E$29)
)</f>
        <v>Please select ERROR CODE column "I"</v>
      </c>
      <c r="M2133" s="209"/>
      <c r="N2133" s="209"/>
      <c r="O2133" s="209"/>
      <c r="P2133" s="209"/>
      <c r="Q2133" s="209"/>
      <c r="R2133" s="217"/>
      <c r="S2133" s="217"/>
      <c r="T2133" s="217"/>
      <c r="U2133" s="199"/>
      <c r="V2133" s="200"/>
      <c r="W2133" s="200"/>
      <c r="X2133" s="200"/>
      <c r="Y2133" s="200"/>
      <c r="Z2133" s="200"/>
      <c r="AA2133" s="201"/>
      <c r="AB2133" s="200"/>
      <c r="AC2133" s="200"/>
    </row>
    <row r="2134" ht="15.75" customHeight="1">
      <c r="A2134" s="210">
        <f t="shared" si="1"/>
        <v>2132</v>
      </c>
      <c r="B2134" s="217"/>
      <c r="C2134" s="217" t="str">
        <f>IFERROR(VLOOKUP(B2134, SourceData!$U$3:$V$190, 2, FALSE), "")</f>
        <v/>
      </c>
      <c r="D2134" s="240"/>
      <c r="E2134" s="241"/>
      <c r="F2134" s="248"/>
      <c r="G2134" s="207"/>
      <c r="H2134" s="209"/>
      <c r="I2134" s="209"/>
      <c r="J2134" s="209"/>
      <c r="K2134" s="208" t="str">
        <f>IF(Errors!$I2134=0,SourceData!$B$42,VLOOKUP(Errors!$I2134,SourceData!$A$2:$B$40,2,FALSE))</f>
        <v>Please select ERROR CODE column "I"</v>
      </c>
      <c r="L2134" s="207" t="str">
        <f>IF(Errors!$I2134=0,
    'List of Error Codes'!$E$29,
    IFERROR(VLOOKUP(Errors!$I2134, 'List of Error Codes'!D2133:I2163, 6, FALSE), 'List of Error Codes'!$E$29)
)</f>
        <v>Please select ERROR CODE column "I"</v>
      </c>
      <c r="M2134" s="209"/>
      <c r="N2134" s="209"/>
      <c r="O2134" s="209"/>
      <c r="P2134" s="209"/>
      <c r="Q2134" s="209"/>
      <c r="R2134" s="217"/>
      <c r="S2134" s="217"/>
      <c r="T2134" s="217"/>
      <c r="U2134" s="199"/>
      <c r="V2134" s="200"/>
      <c r="W2134" s="200"/>
      <c r="X2134" s="200"/>
      <c r="Y2134" s="200"/>
      <c r="Z2134" s="200"/>
      <c r="AA2134" s="201"/>
      <c r="AB2134" s="200"/>
      <c r="AC2134" s="200"/>
    </row>
    <row r="2135" ht="15.75" customHeight="1">
      <c r="A2135" s="210">
        <f t="shared" si="1"/>
        <v>2133</v>
      </c>
      <c r="B2135" s="217"/>
      <c r="C2135" s="217" t="str">
        <f>IFERROR(VLOOKUP(B2135, SourceData!$U$3:$V$190, 2, FALSE), "")</f>
        <v/>
      </c>
      <c r="D2135" s="240"/>
      <c r="E2135" s="241"/>
      <c r="F2135" s="248"/>
      <c r="G2135" s="207"/>
      <c r="H2135" s="209"/>
      <c r="I2135" s="209"/>
      <c r="J2135" s="209"/>
      <c r="K2135" s="208" t="str">
        <f>IF(Errors!$I2135=0,SourceData!$B$42,VLOOKUP(Errors!$I2135,SourceData!$A$2:$B$40,2,FALSE))</f>
        <v>Please select ERROR CODE column "I"</v>
      </c>
      <c r="L2135" s="207" t="str">
        <f>IF(Errors!$I2135=0,
    'List of Error Codes'!$E$29,
    IFERROR(VLOOKUP(Errors!$I2135, 'List of Error Codes'!D2134:I2164, 6, FALSE), 'List of Error Codes'!$E$29)
)</f>
        <v>Please select ERROR CODE column "I"</v>
      </c>
      <c r="M2135" s="209"/>
      <c r="N2135" s="209"/>
      <c r="O2135" s="209"/>
      <c r="P2135" s="209"/>
      <c r="Q2135" s="209"/>
      <c r="R2135" s="217"/>
      <c r="S2135" s="217"/>
      <c r="T2135" s="217"/>
      <c r="U2135" s="199"/>
      <c r="V2135" s="200"/>
      <c r="W2135" s="200"/>
      <c r="X2135" s="200"/>
      <c r="Y2135" s="200"/>
      <c r="Z2135" s="200"/>
      <c r="AA2135" s="201"/>
      <c r="AB2135" s="200"/>
      <c r="AC2135" s="200"/>
    </row>
    <row r="2136" ht="15.75" customHeight="1">
      <c r="A2136" s="210">
        <f t="shared" si="1"/>
        <v>2134</v>
      </c>
      <c r="B2136" s="217"/>
      <c r="C2136" s="217" t="str">
        <f>IFERROR(VLOOKUP(B2136, SourceData!$U$3:$V$190, 2, FALSE), "")</f>
        <v/>
      </c>
      <c r="D2136" s="240"/>
      <c r="E2136" s="241"/>
      <c r="F2136" s="248"/>
      <c r="G2136" s="207"/>
      <c r="H2136" s="209"/>
      <c r="I2136" s="209"/>
      <c r="J2136" s="209"/>
      <c r="K2136" s="208" t="str">
        <f>IF(Errors!$I2136=0,SourceData!$B$42,VLOOKUP(Errors!$I2136,SourceData!$A$2:$B$40,2,FALSE))</f>
        <v>Please select ERROR CODE column "I"</v>
      </c>
      <c r="L2136" s="207" t="str">
        <f>IF(Errors!$I2136=0,
    'List of Error Codes'!$E$29,
    IFERROR(VLOOKUP(Errors!$I2136, 'List of Error Codes'!D2135:I2165, 6, FALSE), 'List of Error Codes'!$E$29)
)</f>
        <v>Please select ERROR CODE column "I"</v>
      </c>
      <c r="M2136" s="209"/>
      <c r="N2136" s="209"/>
      <c r="O2136" s="209"/>
      <c r="P2136" s="209"/>
      <c r="Q2136" s="209"/>
      <c r="R2136" s="217"/>
      <c r="S2136" s="217"/>
      <c r="T2136" s="217"/>
      <c r="U2136" s="199"/>
      <c r="V2136" s="200"/>
      <c r="W2136" s="200"/>
      <c r="X2136" s="200"/>
      <c r="Y2136" s="200"/>
      <c r="Z2136" s="200"/>
      <c r="AA2136" s="201"/>
      <c r="AB2136" s="200"/>
      <c r="AC2136" s="200"/>
    </row>
    <row r="2137" ht="15.75" customHeight="1">
      <c r="A2137" s="210">
        <f t="shared" si="1"/>
        <v>2135</v>
      </c>
      <c r="B2137" s="217"/>
      <c r="C2137" s="217" t="str">
        <f>IFERROR(VLOOKUP(B2137, SourceData!$U$3:$V$190, 2, FALSE), "")</f>
        <v/>
      </c>
      <c r="D2137" s="240"/>
      <c r="E2137" s="241"/>
      <c r="F2137" s="248"/>
      <c r="G2137" s="207"/>
      <c r="H2137" s="209"/>
      <c r="I2137" s="209"/>
      <c r="J2137" s="209"/>
      <c r="K2137" s="208" t="str">
        <f>IF(Errors!$I2137=0,SourceData!$B$42,VLOOKUP(Errors!$I2137,SourceData!$A$2:$B$40,2,FALSE))</f>
        <v>Please select ERROR CODE column "I"</v>
      </c>
      <c r="L2137" s="207" t="str">
        <f>IF(Errors!$I2137=0,
    'List of Error Codes'!$E$29,
    IFERROR(VLOOKUP(Errors!$I2137, 'List of Error Codes'!D2136:I2166, 6, FALSE), 'List of Error Codes'!$E$29)
)</f>
        <v>Please select ERROR CODE column "I"</v>
      </c>
      <c r="M2137" s="209"/>
      <c r="N2137" s="209"/>
      <c r="O2137" s="209"/>
      <c r="P2137" s="209"/>
      <c r="Q2137" s="209"/>
      <c r="R2137" s="217"/>
      <c r="S2137" s="217"/>
      <c r="T2137" s="217"/>
      <c r="U2137" s="199"/>
      <c r="V2137" s="200"/>
      <c r="W2137" s="200"/>
      <c r="X2137" s="200"/>
      <c r="Y2137" s="200"/>
      <c r="Z2137" s="200"/>
      <c r="AA2137" s="201"/>
      <c r="AB2137" s="200"/>
      <c r="AC2137" s="200"/>
    </row>
    <row r="2138" ht="15.75" customHeight="1">
      <c r="A2138" s="210">
        <f t="shared" si="1"/>
        <v>2136</v>
      </c>
      <c r="B2138" s="217"/>
      <c r="C2138" s="217" t="str">
        <f>IFERROR(VLOOKUP(B2138, SourceData!$U$3:$V$190, 2, FALSE), "")</f>
        <v/>
      </c>
      <c r="D2138" s="240"/>
      <c r="E2138" s="241"/>
      <c r="F2138" s="248"/>
      <c r="G2138" s="207"/>
      <c r="H2138" s="209"/>
      <c r="I2138" s="209"/>
      <c r="J2138" s="209"/>
      <c r="K2138" s="208" t="str">
        <f>IF(Errors!$I2138=0,SourceData!$B$42,VLOOKUP(Errors!$I2138,SourceData!$A$2:$B$40,2,FALSE))</f>
        <v>Please select ERROR CODE column "I"</v>
      </c>
      <c r="L2138" s="207" t="str">
        <f>IF(Errors!$I2138=0,
    'List of Error Codes'!$E$29,
    IFERROR(VLOOKUP(Errors!$I2138, 'List of Error Codes'!D2137:I2167, 6, FALSE), 'List of Error Codes'!$E$29)
)</f>
        <v>Please select ERROR CODE column "I"</v>
      </c>
      <c r="M2138" s="209"/>
      <c r="N2138" s="209"/>
      <c r="O2138" s="209"/>
      <c r="P2138" s="209"/>
      <c r="Q2138" s="209"/>
      <c r="R2138" s="217"/>
      <c r="S2138" s="217"/>
      <c r="T2138" s="217"/>
      <c r="U2138" s="199"/>
      <c r="V2138" s="200"/>
      <c r="W2138" s="200"/>
      <c r="X2138" s="200"/>
      <c r="Y2138" s="200"/>
      <c r="Z2138" s="200"/>
      <c r="AA2138" s="201"/>
      <c r="AB2138" s="200"/>
      <c r="AC2138" s="200"/>
    </row>
    <row r="2139" ht="15.75" customHeight="1">
      <c r="A2139" s="210">
        <f t="shared" si="1"/>
        <v>2137</v>
      </c>
      <c r="B2139" s="217"/>
      <c r="C2139" s="217" t="str">
        <f>IFERROR(VLOOKUP(B2139, SourceData!$U$3:$V$190, 2, FALSE), "")</f>
        <v/>
      </c>
      <c r="D2139" s="240"/>
      <c r="E2139" s="241"/>
      <c r="F2139" s="248"/>
      <c r="G2139" s="207"/>
      <c r="H2139" s="209"/>
      <c r="I2139" s="209"/>
      <c r="J2139" s="209"/>
      <c r="K2139" s="208" t="str">
        <f>IF(Errors!$I2139=0,SourceData!$B$42,VLOOKUP(Errors!$I2139,SourceData!$A$2:$B$40,2,FALSE))</f>
        <v>Please select ERROR CODE column "I"</v>
      </c>
      <c r="L2139" s="207" t="str">
        <f>IF(Errors!$I2139=0,
    'List of Error Codes'!$E$29,
    IFERROR(VLOOKUP(Errors!$I2139, 'List of Error Codes'!D2138:I2168, 6, FALSE), 'List of Error Codes'!$E$29)
)</f>
        <v>Please select ERROR CODE column "I"</v>
      </c>
      <c r="M2139" s="209"/>
      <c r="N2139" s="209"/>
      <c r="O2139" s="209"/>
      <c r="P2139" s="209"/>
      <c r="Q2139" s="209"/>
      <c r="R2139" s="217"/>
      <c r="S2139" s="217"/>
      <c r="T2139" s="217"/>
      <c r="U2139" s="199"/>
      <c r="V2139" s="200"/>
      <c r="W2139" s="200"/>
      <c r="X2139" s="200"/>
      <c r="Y2139" s="200"/>
      <c r="Z2139" s="200"/>
      <c r="AA2139" s="201"/>
      <c r="AB2139" s="200"/>
      <c r="AC2139" s="200"/>
    </row>
    <row r="2140" ht="15.75" customHeight="1">
      <c r="A2140" s="210">
        <f t="shared" si="1"/>
        <v>2138</v>
      </c>
      <c r="B2140" s="217"/>
      <c r="C2140" s="217" t="str">
        <f>IFERROR(VLOOKUP(B2140, SourceData!$U$3:$V$190, 2, FALSE), "")</f>
        <v/>
      </c>
      <c r="D2140" s="240"/>
      <c r="E2140" s="241"/>
      <c r="F2140" s="248"/>
      <c r="G2140" s="207"/>
      <c r="H2140" s="209"/>
      <c r="I2140" s="209"/>
      <c r="J2140" s="209"/>
      <c r="K2140" s="208" t="str">
        <f>IF(Errors!$I2140=0,SourceData!$B$42,VLOOKUP(Errors!$I2140,SourceData!$A$2:$B$40,2,FALSE))</f>
        <v>Please select ERROR CODE column "I"</v>
      </c>
      <c r="L2140" s="207" t="str">
        <f>IF(Errors!$I2140=0,
    'List of Error Codes'!$E$29,
    IFERROR(VLOOKUP(Errors!$I2140, 'List of Error Codes'!D2139:I2169, 6, FALSE), 'List of Error Codes'!$E$29)
)</f>
        <v>Please select ERROR CODE column "I"</v>
      </c>
      <c r="M2140" s="209"/>
      <c r="N2140" s="209"/>
      <c r="O2140" s="209"/>
      <c r="P2140" s="209"/>
      <c r="Q2140" s="209"/>
      <c r="R2140" s="217"/>
      <c r="S2140" s="217"/>
      <c r="T2140" s="217"/>
      <c r="U2140" s="199"/>
      <c r="V2140" s="200"/>
      <c r="W2140" s="200"/>
      <c r="X2140" s="200"/>
      <c r="Y2140" s="200"/>
      <c r="Z2140" s="200"/>
      <c r="AA2140" s="201"/>
      <c r="AB2140" s="200"/>
      <c r="AC2140" s="200"/>
    </row>
    <row r="2141" ht="15.75" customHeight="1">
      <c r="A2141" s="210">
        <f t="shared" si="1"/>
        <v>2139</v>
      </c>
      <c r="B2141" s="217"/>
      <c r="C2141" s="217" t="str">
        <f>IFERROR(VLOOKUP(B2141, SourceData!$U$3:$V$190, 2, FALSE), "")</f>
        <v/>
      </c>
      <c r="D2141" s="240"/>
      <c r="E2141" s="241"/>
      <c r="F2141" s="248"/>
      <c r="G2141" s="207"/>
      <c r="H2141" s="209"/>
      <c r="I2141" s="209"/>
      <c r="J2141" s="209"/>
      <c r="K2141" s="208" t="str">
        <f>IF(Errors!$I2141=0,SourceData!$B$42,VLOOKUP(Errors!$I2141,SourceData!$A$2:$B$40,2,FALSE))</f>
        <v>Please select ERROR CODE column "I"</v>
      </c>
      <c r="L2141" s="207" t="str">
        <f>IF(Errors!$I2141=0,
    'List of Error Codes'!$E$29,
    IFERROR(VLOOKUP(Errors!$I2141, 'List of Error Codes'!D2140:I2170, 6, FALSE), 'List of Error Codes'!$E$29)
)</f>
        <v>Please select ERROR CODE column "I"</v>
      </c>
      <c r="M2141" s="209"/>
      <c r="N2141" s="209"/>
      <c r="O2141" s="209"/>
      <c r="P2141" s="209"/>
      <c r="Q2141" s="209"/>
      <c r="R2141" s="217"/>
      <c r="S2141" s="217"/>
      <c r="T2141" s="217"/>
      <c r="U2141" s="199"/>
      <c r="V2141" s="200"/>
      <c r="W2141" s="200"/>
      <c r="X2141" s="200"/>
      <c r="Y2141" s="200"/>
      <c r="Z2141" s="200"/>
      <c r="AA2141" s="201"/>
      <c r="AB2141" s="200"/>
      <c r="AC2141" s="200"/>
    </row>
    <row r="2142" ht="15.75" customHeight="1">
      <c r="A2142" s="210">
        <f t="shared" si="1"/>
        <v>2140</v>
      </c>
      <c r="B2142" s="217"/>
      <c r="C2142" s="217" t="str">
        <f>IFERROR(VLOOKUP(B2142, SourceData!$U$3:$V$190, 2, FALSE), "")</f>
        <v/>
      </c>
      <c r="D2142" s="240"/>
      <c r="E2142" s="241"/>
      <c r="F2142" s="248"/>
      <c r="G2142" s="207"/>
      <c r="H2142" s="209"/>
      <c r="I2142" s="209"/>
      <c r="J2142" s="209"/>
      <c r="K2142" s="208" t="str">
        <f>IF(Errors!$I2142=0,SourceData!$B$42,VLOOKUP(Errors!$I2142,SourceData!$A$2:$B$40,2,FALSE))</f>
        <v>Please select ERROR CODE column "I"</v>
      </c>
      <c r="L2142" s="207" t="str">
        <f>IF(Errors!$I2142=0,
    'List of Error Codes'!$E$29,
    IFERROR(VLOOKUP(Errors!$I2142, 'List of Error Codes'!D2141:I2171, 6, FALSE), 'List of Error Codes'!$E$29)
)</f>
        <v>Please select ERROR CODE column "I"</v>
      </c>
      <c r="M2142" s="209"/>
      <c r="N2142" s="209"/>
      <c r="O2142" s="209"/>
      <c r="P2142" s="209"/>
      <c r="Q2142" s="209"/>
      <c r="R2142" s="217"/>
      <c r="S2142" s="217"/>
      <c r="T2142" s="217"/>
      <c r="U2142" s="199"/>
      <c r="V2142" s="200"/>
      <c r="W2142" s="200"/>
      <c r="X2142" s="200"/>
      <c r="Y2142" s="200"/>
      <c r="Z2142" s="200"/>
      <c r="AA2142" s="201"/>
      <c r="AB2142" s="200"/>
      <c r="AC2142" s="200"/>
    </row>
    <row r="2143" ht="15.75" customHeight="1">
      <c r="A2143" s="210">
        <f t="shared" si="1"/>
        <v>2141</v>
      </c>
      <c r="B2143" s="217"/>
      <c r="C2143" s="217" t="str">
        <f>IFERROR(VLOOKUP(B2143, SourceData!$U$3:$V$190, 2, FALSE), "")</f>
        <v/>
      </c>
      <c r="D2143" s="240"/>
      <c r="E2143" s="241"/>
      <c r="F2143" s="248"/>
      <c r="G2143" s="207"/>
      <c r="H2143" s="209"/>
      <c r="I2143" s="209"/>
      <c r="J2143" s="209"/>
      <c r="K2143" s="208" t="str">
        <f>IF(Errors!$I2143=0,SourceData!$B$42,VLOOKUP(Errors!$I2143,SourceData!$A$2:$B$40,2,FALSE))</f>
        <v>Please select ERROR CODE column "I"</v>
      </c>
      <c r="L2143" s="207" t="str">
        <f>IF(Errors!$I2143=0,
    'List of Error Codes'!$E$29,
    IFERROR(VLOOKUP(Errors!$I2143, 'List of Error Codes'!D2142:I2172, 6, FALSE), 'List of Error Codes'!$E$29)
)</f>
        <v>Please select ERROR CODE column "I"</v>
      </c>
      <c r="M2143" s="209"/>
      <c r="N2143" s="209"/>
      <c r="O2143" s="209"/>
      <c r="P2143" s="209"/>
      <c r="Q2143" s="209"/>
      <c r="R2143" s="217"/>
      <c r="S2143" s="217"/>
      <c r="T2143" s="217"/>
      <c r="U2143" s="199"/>
      <c r="V2143" s="200"/>
      <c r="W2143" s="200"/>
      <c r="X2143" s="200"/>
      <c r="Y2143" s="200"/>
      <c r="Z2143" s="200"/>
      <c r="AA2143" s="201"/>
      <c r="AB2143" s="200"/>
      <c r="AC2143" s="200"/>
    </row>
    <row r="2144" ht="15.75" customHeight="1">
      <c r="A2144" s="210">
        <f t="shared" si="1"/>
        <v>2142</v>
      </c>
      <c r="B2144" s="217"/>
      <c r="C2144" s="217" t="str">
        <f>IFERROR(VLOOKUP(B2144, SourceData!$U$3:$V$190, 2, FALSE), "")</f>
        <v/>
      </c>
      <c r="D2144" s="240"/>
      <c r="E2144" s="241"/>
      <c r="F2144" s="248"/>
      <c r="G2144" s="207"/>
      <c r="H2144" s="209"/>
      <c r="I2144" s="209"/>
      <c r="J2144" s="209"/>
      <c r="K2144" s="208" t="str">
        <f>IF(Errors!$I2144=0,SourceData!$B$42,VLOOKUP(Errors!$I2144,SourceData!$A$2:$B$40,2,FALSE))</f>
        <v>Please select ERROR CODE column "I"</v>
      </c>
      <c r="L2144" s="207" t="str">
        <f>IF(Errors!$I2144=0,
    'List of Error Codes'!$E$29,
    IFERROR(VLOOKUP(Errors!$I2144, 'List of Error Codes'!D2143:I2173, 6, FALSE), 'List of Error Codes'!$E$29)
)</f>
        <v>Please select ERROR CODE column "I"</v>
      </c>
      <c r="M2144" s="209"/>
      <c r="N2144" s="209"/>
      <c r="O2144" s="209"/>
      <c r="P2144" s="209"/>
      <c r="Q2144" s="209"/>
      <c r="R2144" s="217"/>
      <c r="S2144" s="217"/>
      <c r="T2144" s="217"/>
      <c r="U2144" s="199"/>
      <c r="V2144" s="200"/>
      <c r="W2144" s="200"/>
      <c r="X2144" s="200"/>
      <c r="Y2144" s="200"/>
      <c r="Z2144" s="200"/>
      <c r="AA2144" s="201"/>
      <c r="AB2144" s="200"/>
      <c r="AC2144" s="200"/>
    </row>
    <row r="2145" ht="15.75" customHeight="1">
      <c r="A2145" s="210">
        <f t="shared" si="1"/>
        <v>2143</v>
      </c>
      <c r="B2145" s="217"/>
      <c r="C2145" s="217" t="str">
        <f>IFERROR(VLOOKUP(B2145, SourceData!$U$3:$V$190, 2, FALSE), "")</f>
        <v/>
      </c>
      <c r="D2145" s="240"/>
      <c r="E2145" s="241"/>
      <c r="F2145" s="248"/>
      <c r="G2145" s="207"/>
      <c r="H2145" s="209"/>
      <c r="I2145" s="209"/>
      <c r="J2145" s="209"/>
      <c r="K2145" s="208" t="str">
        <f>IF(Errors!$I2145=0,SourceData!$B$42,VLOOKUP(Errors!$I2145,SourceData!$A$2:$B$40,2,FALSE))</f>
        <v>Please select ERROR CODE column "I"</v>
      </c>
      <c r="L2145" s="207" t="str">
        <f>IF(Errors!$I2145=0,
    'List of Error Codes'!$E$29,
    IFERROR(VLOOKUP(Errors!$I2145, 'List of Error Codes'!D2144:I2174, 6, FALSE), 'List of Error Codes'!$E$29)
)</f>
        <v>Please select ERROR CODE column "I"</v>
      </c>
      <c r="M2145" s="209"/>
      <c r="N2145" s="209"/>
      <c r="O2145" s="209"/>
      <c r="P2145" s="209"/>
      <c r="Q2145" s="209"/>
      <c r="R2145" s="217"/>
      <c r="S2145" s="217"/>
      <c r="T2145" s="217"/>
      <c r="U2145" s="199"/>
      <c r="V2145" s="200"/>
      <c r="W2145" s="200"/>
      <c r="X2145" s="200"/>
      <c r="Y2145" s="200"/>
      <c r="Z2145" s="200"/>
      <c r="AA2145" s="201"/>
      <c r="AB2145" s="200"/>
      <c r="AC2145" s="200"/>
    </row>
    <row r="2146" ht="15.75" customHeight="1">
      <c r="A2146" s="210">
        <f t="shared" si="1"/>
        <v>2144</v>
      </c>
      <c r="B2146" s="217"/>
      <c r="C2146" s="217" t="str">
        <f>IFERROR(VLOOKUP(B2146, SourceData!$U$3:$V$190, 2, FALSE), "")</f>
        <v/>
      </c>
      <c r="D2146" s="240"/>
      <c r="E2146" s="241"/>
      <c r="F2146" s="248"/>
      <c r="G2146" s="207"/>
      <c r="H2146" s="209"/>
      <c r="I2146" s="209"/>
      <c r="J2146" s="209"/>
      <c r="K2146" s="208" t="str">
        <f>IF(Errors!$I2146=0,SourceData!$B$42,VLOOKUP(Errors!$I2146,SourceData!$A$2:$B$40,2,FALSE))</f>
        <v>Please select ERROR CODE column "I"</v>
      </c>
      <c r="L2146" s="207" t="str">
        <f>IF(Errors!$I2146=0,
    'List of Error Codes'!$E$29,
    IFERROR(VLOOKUP(Errors!$I2146, 'List of Error Codes'!D2145:I2175, 6, FALSE), 'List of Error Codes'!$E$29)
)</f>
        <v>Please select ERROR CODE column "I"</v>
      </c>
      <c r="M2146" s="209"/>
      <c r="N2146" s="209"/>
      <c r="O2146" s="209"/>
      <c r="P2146" s="209"/>
      <c r="Q2146" s="209"/>
      <c r="R2146" s="217"/>
      <c r="S2146" s="217"/>
      <c r="T2146" s="217"/>
      <c r="U2146" s="199"/>
      <c r="V2146" s="200"/>
      <c r="W2146" s="200"/>
      <c r="X2146" s="200"/>
      <c r="Y2146" s="200"/>
      <c r="Z2146" s="200"/>
      <c r="AA2146" s="201"/>
      <c r="AB2146" s="200"/>
      <c r="AC2146" s="200"/>
    </row>
    <row r="2147" ht="15.75" customHeight="1">
      <c r="A2147" s="210">
        <f t="shared" si="1"/>
        <v>2145</v>
      </c>
      <c r="B2147" s="217"/>
      <c r="C2147" s="217" t="str">
        <f>IFERROR(VLOOKUP(B2147, SourceData!$U$3:$V$190, 2, FALSE), "")</f>
        <v/>
      </c>
      <c r="D2147" s="240"/>
      <c r="E2147" s="241"/>
      <c r="F2147" s="248"/>
      <c r="G2147" s="207"/>
      <c r="H2147" s="209"/>
      <c r="I2147" s="209"/>
      <c r="J2147" s="209"/>
      <c r="K2147" s="208" t="str">
        <f>IF(Errors!$I2147=0,SourceData!$B$42,VLOOKUP(Errors!$I2147,SourceData!$A$2:$B$40,2,FALSE))</f>
        <v>Please select ERROR CODE column "I"</v>
      </c>
      <c r="L2147" s="207" t="str">
        <f>IF(Errors!$I2147=0,
    'List of Error Codes'!$E$29,
    IFERROR(VLOOKUP(Errors!$I2147, 'List of Error Codes'!D2146:I2176, 6, FALSE), 'List of Error Codes'!$E$29)
)</f>
        <v>Please select ERROR CODE column "I"</v>
      </c>
      <c r="M2147" s="209"/>
      <c r="N2147" s="209"/>
      <c r="O2147" s="209"/>
      <c r="P2147" s="209"/>
      <c r="Q2147" s="209"/>
      <c r="R2147" s="217"/>
      <c r="S2147" s="217"/>
      <c r="T2147" s="217"/>
      <c r="U2147" s="199"/>
      <c r="V2147" s="200"/>
      <c r="W2147" s="200"/>
      <c r="X2147" s="200"/>
      <c r="Y2147" s="200"/>
      <c r="Z2147" s="200"/>
      <c r="AA2147" s="201"/>
      <c r="AB2147" s="200"/>
      <c r="AC2147" s="200"/>
    </row>
    <row r="2148" ht="15.75" customHeight="1">
      <c r="A2148" s="210">
        <f t="shared" si="1"/>
        <v>2146</v>
      </c>
      <c r="B2148" s="217"/>
      <c r="C2148" s="217" t="str">
        <f>IFERROR(VLOOKUP(B2148, SourceData!$U$3:$V$190, 2, FALSE), "")</f>
        <v/>
      </c>
      <c r="D2148" s="240"/>
      <c r="E2148" s="241"/>
      <c r="F2148" s="248"/>
      <c r="G2148" s="207"/>
      <c r="H2148" s="209"/>
      <c r="I2148" s="209"/>
      <c r="J2148" s="209"/>
      <c r="K2148" s="208" t="str">
        <f>IF(Errors!$I2148=0,SourceData!$B$42,VLOOKUP(Errors!$I2148,SourceData!$A$2:$B$40,2,FALSE))</f>
        <v>Please select ERROR CODE column "I"</v>
      </c>
      <c r="L2148" s="207" t="str">
        <f>IF(Errors!$I2148=0,
    'List of Error Codes'!$E$29,
    IFERROR(VLOOKUP(Errors!$I2148, 'List of Error Codes'!D2147:I2177, 6, FALSE), 'List of Error Codes'!$E$29)
)</f>
        <v>Please select ERROR CODE column "I"</v>
      </c>
      <c r="M2148" s="209"/>
      <c r="N2148" s="209"/>
      <c r="O2148" s="209"/>
      <c r="P2148" s="209"/>
      <c r="Q2148" s="209"/>
      <c r="R2148" s="217"/>
      <c r="S2148" s="217"/>
      <c r="T2148" s="217"/>
      <c r="U2148" s="199"/>
      <c r="V2148" s="200"/>
      <c r="W2148" s="200"/>
      <c r="X2148" s="200"/>
      <c r="Y2148" s="200"/>
      <c r="Z2148" s="200"/>
      <c r="AA2148" s="201"/>
      <c r="AB2148" s="200"/>
      <c r="AC2148" s="200"/>
    </row>
    <row r="2149" ht="15.75" customHeight="1">
      <c r="A2149" s="210">
        <f t="shared" si="1"/>
        <v>2147</v>
      </c>
      <c r="B2149" s="217"/>
      <c r="C2149" s="217" t="str">
        <f>IFERROR(VLOOKUP(B2149, SourceData!$U$3:$V$190, 2, FALSE), "")</f>
        <v/>
      </c>
      <c r="D2149" s="240"/>
      <c r="E2149" s="241"/>
      <c r="F2149" s="248"/>
      <c r="G2149" s="207"/>
      <c r="H2149" s="209"/>
      <c r="I2149" s="209"/>
      <c r="J2149" s="209"/>
      <c r="K2149" s="208" t="str">
        <f>IF(Errors!$I2149=0,SourceData!$B$42,VLOOKUP(Errors!$I2149,SourceData!$A$2:$B$40,2,FALSE))</f>
        <v>Please select ERROR CODE column "I"</v>
      </c>
      <c r="L2149" s="207" t="str">
        <f>IF(Errors!$I2149=0,
    'List of Error Codes'!$E$29,
    IFERROR(VLOOKUP(Errors!$I2149, 'List of Error Codes'!D2148:I2178, 6, FALSE), 'List of Error Codes'!$E$29)
)</f>
        <v>Please select ERROR CODE column "I"</v>
      </c>
      <c r="M2149" s="209"/>
      <c r="N2149" s="209"/>
      <c r="O2149" s="209"/>
      <c r="P2149" s="209"/>
      <c r="Q2149" s="209"/>
      <c r="R2149" s="217"/>
      <c r="S2149" s="217"/>
      <c r="T2149" s="217"/>
      <c r="U2149" s="199"/>
      <c r="V2149" s="200"/>
      <c r="W2149" s="200"/>
      <c r="X2149" s="200"/>
      <c r="Y2149" s="200"/>
      <c r="Z2149" s="200"/>
      <c r="AA2149" s="201"/>
      <c r="AB2149" s="200"/>
      <c r="AC2149" s="200"/>
    </row>
    <row r="2150" ht="15.75" customHeight="1">
      <c r="A2150" s="210">
        <f t="shared" si="1"/>
        <v>2148</v>
      </c>
      <c r="B2150" s="217"/>
      <c r="C2150" s="217" t="str">
        <f>IFERROR(VLOOKUP(B2150, SourceData!$U$3:$V$190, 2, FALSE), "")</f>
        <v/>
      </c>
      <c r="D2150" s="240"/>
      <c r="E2150" s="241"/>
      <c r="F2150" s="248"/>
      <c r="G2150" s="207"/>
      <c r="H2150" s="209"/>
      <c r="I2150" s="209"/>
      <c r="J2150" s="209"/>
      <c r="K2150" s="208" t="str">
        <f>IF(Errors!$I2150=0,SourceData!$B$42,VLOOKUP(Errors!$I2150,SourceData!$A$2:$B$40,2,FALSE))</f>
        <v>Please select ERROR CODE column "I"</v>
      </c>
      <c r="L2150" s="207" t="str">
        <f>IF(Errors!$I2150=0,
    'List of Error Codes'!$E$29,
    IFERROR(VLOOKUP(Errors!$I2150, 'List of Error Codes'!D2149:I2179, 6, FALSE), 'List of Error Codes'!$E$29)
)</f>
        <v>Please select ERROR CODE column "I"</v>
      </c>
      <c r="M2150" s="209"/>
      <c r="N2150" s="209"/>
      <c r="O2150" s="209"/>
      <c r="P2150" s="209"/>
      <c r="Q2150" s="209"/>
      <c r="R2150" s="217"/>
      <c r="S2150" s="217"/>
      <c r="T2150" s="217"/>
      <c r="U2150" s="199"/>
      <c r="V2150" s="200"/>
      <c r="W2150" s="200"/>
      <c r="X2150" s="200"/>
      <c r="Y2150" s="200"/>
      <c r="Z2150" s="200"/>
      <c r="AA2150" s="201"/>
      <c r="AB2150" s="200"/>
      <c r="AC2150" s="200"/>
    </row>
    <row r="2151" ht="15.75" customHeight="1">
      <c r="A2151" s="210">
        <f t="shared" si="1"/>
        <v>2149</v>
      </c>
      <c r="B2151" s="217"/>
      <c r="C2151" s="217" t="str">
        <f>IFERROR(VLOOKUP(B2151, SourceData!$U$3:$V$190, 2, FALSE), "")</f>
        <v/>
      </c>
      <c r="D2151" s="240"/>
      <c r="E2151" s="241"/>
      <c r="F2151" s="248"/>
      <c r="G2151" s="207"/>
      <c r="H2151" s="209"/>
      <c r="I2151" s="209"/>
      <c r="J2151" s="209"/>
      <c r="K2151" s="208" t="str">
        <f>IF(Errors!$I2151=0,SourceData!$B$42,VLOOKUP(Errors!$I2151,SourceData!$A$2:$B$40,2,FALSE))</f>
        <v>Please select ERROR CODE column "I"</v>
      </c>
      <c r="L2151" s="207" t="str">
        <f>IF(Errors!$I2151=0,
    'List of Error Codes'!$E$29,
    IFERROR(VLOOKUP(Errors!$I2151, 'List of Error Codes'!D2150:I2180, 6, FALSE), 'List of Error Codes'!$E$29)
)</f>
        <v>Please select ERROR CODE column "I"</v>
      </c>
      <c r="M2151" s="209"/>
      <c r="N2151" s="209"/>
      <c r="O2151" s="209"/>
      <c r="P2151" s="209"/>
      <c r="Q2151" s="209"/>
      <c r="R2151" s="217"/>
      <c r="S2151" s="217"/>
      <c r="T2151" s="217"/>
      <c r="U2151" s="199"/>
      <c r="V2151" s="200"/>
      <c r="W2151" s="200"/>
      <c r="X2151" s="200"/>
      <c r="Y2151" s="200"/>
      <c r="Z2151" s="200"/>
      <c r="AA2151" s="201"/>
      <c r="AB2151" s="200"/>
      <c r="AC2151" s="200"/>
    </row>
    <row r="2152" ht="15.75" customHeight="1">
      <c r="A2152" s="210">
        <f t="shared" si="1"/>
        <v>2150</v>
      </c>
      <c r="B2152" s="217"/>
      <c r="C2152" s="217" t="str">
        <f>IFERROR(VLOOKUP(B2152, SourceData!$U$3:$V$190, 2, FALSE), "")</f>
        <v/>
      </c>
      <c r="D2152" s="240"/>
      <c r="E2152" s="241"/>
      <c r="F2152" s="248"/>
      <c r="G2152" s="207"/>
      <c r="H2152" s="209"/>
      <c r="I2152" s="209"/>
      <c r="J2152" s="209"/>
      <c r="K2152" s="208" t="str">
        <f>IF(Errors!$I2152=0,SourceData!$B$42,VLOOKUP(Errors!$I2152,SourceData!$A$2:$B$40,2,FALSE))</f>
        <v>Please select ERROR CODE column "I"</v>
      </c>
      <c r="L2152" s="207" t="str">
        <f>IF(Errors!$I2152=0,
    'List of Error Codes'!$E$29,
    IFERROR(VLOOKUP(Errors!$I2152, 'List of Error Codes'!D2151:I2181, 6, FALSE), 'List of Error Codes'!$E$29)
)</f>
        <v>Please select ERROR CODE column "I"</v>
      </c>
      <c r="M2152" s="209"/>
      <c r="N2152" s="209"/>
      <c r="O2152" s="209"/>
      <c r="P2152" s="209"/>
      <c r="Q2152" s="209"/>
      <c r="R2152" s="217"/>
      <c r="S2152" s="217"/>
      <c r="T2152" s="217"/>
      <c r="U2152" s="199"/>
      <c r="V2152" s="200"/>
      <c r="W2152" s="200"/>
      <c r="X2152" s="200"/>
      <c r="Y2152" s="200"/>
      <c r="Z2152" s="200"/>
      <c r="AA2152" s="201"/>
      <c r="AB2152" s="200"/>
      <c r="AC2152" s="200"/>
    </row>
    <row r="2153" ht="15.75" customHeight="1">
      <c r="A2153" s="210">
        <f t="shared" si="1"/>
        <v>2151</v>
      </c>
      <c r="B2153" s="217"/>
      <c r="C2153" s="217" t="str">
        <f>IFERROR(VLOOKUP(B2153, SourceData!$U$3:$V$190, 2, FALSE), "")</f>
        <v/>
      </c>
      <c r="D2153" s="240"/>
      <c r="E2153" s="241"/>
      <c r="F2153" s="248"/>
      <c r="G2153" s="207"/>
      <c r="H2153" s="209"/>
      <c r="I2153" s="209"/>
      <c r="J2153" s="209"/>
      <c r="K2153" s="208" t="str">
        <f>IF(Errors!$I2153=0,SourceData!$B$42,VLOOKUP(Errors!$I2153,SourceData!$A$2:$B$40,2,FALSE))</f>
        <v>Please select ERROR CODE column "I"</v>
      </c>
      <c r="L2153" s="207" t="str">
        <f>IF(Errors!$I2153=0,
    'List of Error Codes'!$E$29,
    IFERROR(VLOOKUP(Errors!$I2153, 'List of Error Codes'!D2152:I2182, 6, FALSE), 'List of Error Codes'!$E$29)
)</f>
        <v>Please select ERROR CODE column "I"</v>
      </c>
      <c r="M2153" s="209"/>
      <c r="N2153" s="209"/>
      <c r="O2153" s="209"/>
      <c r="P2153" s="209"/>
      <c r="Q2153" s="209"/>
      <c r="R2153" s="217"/>
      <c r="S2153" s="217"/>
      <c r="T2153" s="217"/>
      <c r="U2153" s="199"/>
      <c r="V2153" s="200"/>
      <c r="W2153" s="200"/>
      <c r="X2153" s="200"/>
      <c r="Y2153" s="200"/>
      <c r="Z2153" s="200"/>
      <c r="AA2153" s="201"/>
      <c r="AB2153" s="200"/>
      <c r="AC2153" s="200"/>
    </row>
    <row r="2154" ht="15.75" customHeight="1">
      <c r="A2154" s="210">
        <f t="shared" si="1"/>
        <v>2152</v>
      </c>
      <c r="B2154" s="217"/>
      <c r="C2154" s="217" t="str">
        <f>IFERROR(VLOOKUP(B2154, SourceData!$U$3:$V$190, 2, FALSE), "")</f>
        <v/>
      </c>
      <c r="D2154" s="240"/>
      <c r="E2154" s="241"/>
      <c r="F2154" s="248"/>
      <c r="G2154" s="207"/>
      <c r="H2154" s="209"/>
      <c r="I2154" s="209"/>
      <c r="J2154" s="209"/>
      <c r="K2154" s="208" t="str">
        <f>IF(Errors!$I2154=0,SourceData!$B$42,VLOOKUP(Errors!$I2154,SourceData!$A$2:$B$40,2,FALSE))</f>
        <v>Please select ERROR CODE column "I"</v>
      </c>
      <c r="L2154" s="207" t="str">
        <f>IF(Errors!$I2154=0,
    'List of Error Codes'!$E$29,
    IFERROR(VLOOKUP(Errors!$I2154, 'List of Error Codes'!D2153:I2183, 6, FALSE), 'List of Error Codes'!$E$29)
)</f>
        <v>Please select ERROR CODE column "I"</v>
      </c>
      <c r="M2154" s="209"/>
      <c r="N2154" s="209"/>
      <c r="O2154" s="209"/>
      <c r="P2154" s="209"/>
      <c r="Q2154" s="209"/>
      <c r="R2154" s="217"/>
      <c r="S2154" s="217"/>
      <c r="T2154" s="217"/>
      <c r="U2154" s="199"/>
      <c r="V2154" s="200"/>
      <c r="W2154" s="200"/>
      <c r="X2154" s="200"/>
      <c r="Y2154" s="200"/>
      <c r="Z2154" s="200"/>
      <c r="AA2154" s="201"/>
      <c r="AB2154" s="200"/>
      <c r="AC2154" s="200"/>
    </row>
    <row r="2155" ht="15.75" customHeight="1">
      <c r="A2155" s="210">
        <f t="shared" si="1"/>
        <v>2153</v>
      </c>
      <c r="B2155" s="217"/>
      <c r="C2155" s="217" t="str">
        <f>IFERROR(VLOOKUP(B2155, SourceData!$U$3:$V$190, 2, FALSE), "")</f>
        <v/>
      </c>
      <c r="D2155" s="240"/>
      <c r="E2155" s="241"/>
      <c r="F2155" s="248"/>
      <c r="G2155" s="207"/>
      <c r="H2155" s="209"/>
      <c r="I2155" s="209"/>
      <c r="J2155" s="209"/>
      <c r="K2155" s="208" t="str">
        <f>IF(Errors!$I2155=0,SourceData!$B$42,VLOOKUP(Errors!$I2155,SourceData!$A$2:$B$40,2,FALSE))</f>
        <v>Please select ERROR CODE column "I"</v>
      </c>
      <c r="L2155" s="207" t="str">
        <f>IF(Errors!$I2155=0,
    'List of Error Codes'!$E$29,
    IFERROR(VLOOKUP(Errors!$I2155, 'List of Error Codes'!D2154:I2184, 6, FALSE), 'List of Error Codes'!$E$29)
)</f>
        <v>Please select ERROR CODE column "I"</v>
      </c>
      <c r="M2155" s="209"/>
      <c r="N2155" s="209"/>
      <c r="O2155" s="209"/>
      <c r="P2155" s="209"/>
      <c r="Q2155" s="209"/>
      <c r="R2155" s="217"/>
      <c r="S2155" s="217"/>
      <c r="T2155" s="217"/>
      <c r="U2155" s="199"/>
      <c r="V2155" s="200"/>
      <c r="W2155" s="200"/>
      <c r="X2155" s="200"/>
      <c r="Y2155" s="200"/>
      <c r="Z2155" s="200"/>
      <c r="AA2155" s="201"/>
      <c r="AB2155" s="200"/>
      <c r="AC2155" s="200"/>
    </row>
    <row r="2156" ht="15.75" customHeight="1">
      <c r="A2156" s="210">
        <f t="shared" si="1"/>
        <v>2154</v>
      </c>
      <c r="B2156" s="217"/>
      <c r="C2156" s="217" t="str">
        <f>IFERROR(VLOOKUP(B2156, SourceData!$U$3:$V$190, 2, FALSE), "")</f>
        <v/>
      </c>
      <c r="D2156" s="240"/>
      <c r="E2156" s="241"/>
      <c r="F2156" s="248"/>
      <c r="G2156" s="207"/>
      <c r="H2156" s="209"/>
      <c r="I2156" s="209"/>
      <c r="J2156" s="209"/>
      <c r="K2156" s="208" t="str">
        <f>IF(Errors!$I2156=0,SourceData!$B$42,VLOOKUP(Errors!$I2156,SourceData!$A$2:$B$40,2,FALSE))</f>
        <v>Please select ERROR CODE column "I"</v>
      </c>
      <c r="L2156" s="207" t="str">
        <f>IF(Errors!$I2156=0,
    'List of Error Codes'!$E$29,
    IFERROR(VLOOKUP(Errors!$I2156, 'List of Error Codes'!D2155:I2185, 6, FALSE), 'List of Error Codes'!$E$29)
)</f>
        <v>Please select ERROR CODE column "I"</v>
      </c>
      <c r="M2156" s="209"/>
      <c r="N2156" s="209"/>
      <c r="O2156" s="209"/>
      <c r="P2156" s="209"/>
      <c r="Q2156" s="209"/>
      <c r="R2156" s="217"/>
      <c r="S2156" s="217"/>
      <c r="T2156" s="217"/>
      <c r="U2156" s="199"/>
      <c r="V2156" s="200"/>
      <c r="W2156" s="200"/>
      <c r="X2156" s="200"/>
      <c r="Y2156" s="200"/>
      <c r="Z2156" s="200"/>
      <c r="AA2156" s="201"/>
      <c r="AB2156" s="200"/>
      <c r="AC2156" s="200"/>
    </row>
    <row r="2157" ht="15.75" customHeight="1">
      <c r="A2157" s="210">
        <f t="shared" si="1"/>
        <v>2155</v>
      </c>
      <c r="B2157" s="217"/>
      <c r="C2157" s="217" t="str">
        <f>IFERROR(VLOOKUP(B2157, SourceData!$U$3:$V$190, 2, FALSE), "")</f>
        <v/>
      </c>
      <c r="D2157" s="240"/>
      <c r="E2157" s="241"/>
      <c r="F2157" s="248"/>
      <c r="G2157" s="207"/>
      <c r="H2157" s="209"/>
      <c r="I2157" s="209"/>
      <c r="J2157" s="209"/>
      <c r="K2157" s="208" t="str">
        <f>IF(Errors!$I2157=0,SourceData!$B$42,VLOOKUP(Errors!$I2157,SourceData!$A$2:$B$40,2,FALSE))</f>
        <v>Please select ERROR CODE column "I"</v>
      </c>
      <c r="L2157" s="207" t="str">
        <f>IF(Errors!$I2157=0,
    'List of Error Codes'!$E$29,
    IFERROR(VLOOKUP(Errors!$I2157, 'List of Error Codes'!D2156:I2186, 6, FALSE), 'List of Error Codes'!$E$29)
)</f>
        <v>Please select ERROR CODE column "I"</v>
      </c>
      <c r="M2157" s="209"/>
      <c r="N2157" s="209"/>
      <c r="O2157" s="209"/>
      <c r="P2157" s="209"/>
      <c r="Q2157" s="209"/>
      <c r="R2157" s="217"/>
      <c r="S2157" s="217"/>
      <c r="T2157" s="217"/>
      <c r="U2157" s="199"/>
      <c r="V2157" s="200"/>
      <c r="W2157" s="200"/>
      <c r="X2157" s="200"/>
      <c r="Y2157" s="200"/>
      <c r="Z2157" s="200"/>
      <c r="AA2157" s="201"/>
      <c r="AB2157" s="200"/>
      <c r="AC2157" s="200"/>
    </row>
    <row r="2158" ht="15.75" customHeight="1">
      <c r="A2158" s="210">
        <f t="shared" si="1"/>
        <v>2156</v>
      </c>
      <c r="B2158" s="217"/>
      <c r="C2158" s="217" t="str">
        <f>IFERROR(VLOOKUP(B2158, SourceData!$U$3:$V$190, 2, FALSE), "")</f>
        <v/>
      </c>
      <c r="D2158" s="240"/>
      <c r="E2158" s="241"/>
      <c r="F2158" s="248"/>
      <c r="G2158" s="207"/>
      <c r="H2158" s="209"/>
      <c r="I2158" s="209"/>
      <c r="J2158" s="209"/>
      <c r="K2158" s="208" t="str">
        <f>IF(Errors!$I2158=0,SourceData!$B$42,VLOOKUP(Errors!$I2158,SourceData!$A$2:$B$40,2,FALSE))</f>
        <v>Please select ERROR CODE column "I"</v>
      </c>
      <c r="L2158" s="207" t="str">
        <f>IF(Errors!$I2158=0,
    'List of Error Codes'!$E$29,
    IFERROR(VLOOKUP(Errors!$I2158, 'List of Error Codes'!D2157:I2187, 6, FALSE), 'List of Error Codes'!$E$29)
)</f>
        <v>Please select ERROR CODE column "I"</v>
      </c>
      <c r="M2158" s="209"/>
      <c r="N2158" s="209"/>
      <c r="O2158" s="209"/>
      <c r="P2158" s="209"/>
      <c r="Q2158" s="209"/>
      <c r="R2158" s="217"/>
      <c r="S2158" s="217"/>
      <c r="T2158" s="217"/>
      <c r="U2158" s="199"/>
      <c r="V2158" s="200"/>
      <c r="W2158" s="200"/>
      <c r="X2158" s="200"/>
      <c r="Y2158" s="200"/>
      <c r="Z2158" s="200"/>
      <c r="AA2158" s="201"/>
      <c r="AB2158" s="200"/>
      <c r="AC2158" s="200"/>
    </row>
    <row r="2159" ht="15.75" customHeight="1">
      <c r="A2159" s="210">
        <f t="shared" si="1"/>
        <v>2157</v>
      </c>
      <c r="B2159" s="217"/>
      <c r="C2159" s="217" t="str">
        <f>IFERROR(VLOOKUP(B2159, SourceData!$U$3:$V$190, 2, FALSE), "")</f>
        <v/>
      </c>
      <c r="D2159" s="240"/>
      <c r="E2159" s="241"/>
      <c r="F2159" s="248"/>
      <c r="G2159" s="207"/>
      <c r="H2159" s="209"/>
      <c r="I2159" s="209"/>
      <c r="J2159" s="209"/>
      <c r="K2159" s="208" t="str">
        <f>IF(Errors!$I2159=0,SourceData!$B$42,VLOOKUP(Errors!$I2159,SourceData!$A$2:$B$40,2,FALSE))</f>
        <v>Please select ERROR CODE column "I"</v>
      </c>
      <c r="L2159" s="207" t="str">
        <f>IF(Errors!$I2159=0,
    'List of Error Codes'!$E$29,
    IFERROR(VLOOKUP(Errors!$I2159, 'List of Error Codes'!D2158:I2188, 6, FALSE), 'List of Error Codes'!$E$29)
)</f>
        <v>Please select ERROR CODE column "I"</v>
      </c>
      <c r="M2159" s="209"/>
      <c r="N2159" s="209"/>
      <c r="O2159" s="209"/>
      <c r="P2159" s="209"/>
      <c r="Q2159" s="209"/>
      <c r="R2159" s="217"/>
      <c r="S2159" s="217"/>
      <c r="T2159" s="217"/>
      <c r="U2159" s="199"/>
      <c r="V2159" s="200"/>
      <c r="W2159" s="200"/>
      <c r="X2159" s="200"/>
      <c r="Y2159" s="200"/>
      <c r="Z2159" s="200"/>
      <c r="AA2159" s="201"/>
      <c r="AB2159" s="200"/>
      <c r="AC2159" s="200"/>
    </row>
    <row r="2160" ht="15.75" customHeight="1">
      <c r="A2160" s="210">
        <f t="shared" si="1"/>
        <v>2158</v>
      </c>
      <c r="B2160" s="217"/>
      <c r="C2160" s="217" t="str">
        <f>IFERROR(VLOOKUP(B2160, SourceData!$U$3:$V$190, 2, FALSE), "")</f>
        <v/>
      </c>
      <c r="D2160" s="240"/>
      <c r="E2160" s="241"/>
      <c r="F2160" s="248"/>
      <c r="G2160" s="207"/>
      <c r="H2160" s="209"/>
      <c r="I2160" s="209"/>
      <c r="J2160" s="209"/>
      <c r="K2160" s="208" t="str">
        <f>IF(Errors!$I2160=0,SourceData!$B$42,VLOOKUP(Errors!$I2160,SourceData!$A$2:$B$40,2,FALSE))</f>
        <v>Please select ERROR CODE column "I"</v>
      </c>
      <c r="L2160" s="207" t="str">
        <f>IF(Errors!$I2160=0,
    'List of Error Codes'!$E$29,
    IFERROR(VLOOKUP(Errors!$I2160, 'List of Error Codes'!D2159:I2189, 6, FALSE), 'List of Error Codes'!$E$29)
)</f>
        <v>Please select ERROR CODE column "I"</v>
      </c>
      <c r="M2160" s="209"/>
      <c r="N2160" s="209"/>
      <c r="O2160" s="209"/>
      <c r="P2160" s="209"/>
      <c r="Q2160" s="209"/>
      <c r="R2160" s="217"/>
      <c r="S2160" s="217"/>
      <c r="T2160" s="217"/>
      <c r="U2160" s="199"/>
      <c r="V2160" s="200"/>
      <c r="W2160" s="200"/>
      <c r="X2160" s="200"/>
      <c r="Y2160" s="200"/>
      <c r="Z2160" s="200"/>
      <c r="AA2160" s="201"/>
      <c r="AB2160" s="200"/>
      <c r="AC2160" s="200"/>
    </row>
    <row r="2161" ht="15.75" customHeight="1">
      <c r="A2161" s="210">
        <f t="shared" si="1"/>
        <v>2159</v>
      </c>
      <c r="B2161" s="217"/>
      <c r="C2161" s="217" t="str">
        <f>IFERROR(VLOOKUP(B2161, SourceData!$U$3:$V$190, 2, FALSE), "")</f>
        <v/>
      </c>
      <c r="D2161" s="240"/>
      <c r="E2161" s="241"/>
      <c r="F2161" s="248"/>
      <c r="G2161" s="207"/>
      <c r="H2161" s="209"/>
      <c r="I2161" s="209"/>
      <c r="J2161" s="209"/>
      <c r="K2161" s="208" t="str">
        <f>IF(Errors!$I2161=0,SourceData!$B$42,VLOOKUP(Errors!$I2161,SourceData!$A$2:$B$40,2,FALSE))</f>
        <v>Please select ERROR CODE column "I"</v>
      </c>
      <c r="L2161" s="207" t="str">
        <f>IF(Errors!$I2161=0,
    'List of Error Codes'!$E$29,
    IFERROR(VLOOKUP(Errors!$I2161, 'List of Error Codes'!D2160:I2190, 6, FALSE), 'List of Error Codes'!$E$29)
)</f>
        <v>Please select ERROR CODE column "I"</v>
      </c>
      <c r="M2161" s="209"/>
      <c r="N2161" s="209"/>
      <c r="O2161" s="209"/>
      <c r="P2161" s="209"/>
      <c r="Q2161" s="209"/>
      <c r="R2161" s="217"/>
      <c r="S2161" s="217"/>
      <c r="T2161" s="217"/>
      <c r="U2161" s="199"/>
      <c r="V2161" s="200"/>
      <c r="W2161" s="200"/>
      <c r="X2161" s="200"/>
      <c r="Y2161" s="200"/>
      <c r="Z2161" s="200"/>
      <c r="AA2161" s="201"/>
      <c r="AB2161" s="200"/>
      <c r="AC2161" s="200"/>
    </row>
    <row r="2162" ht="15.75" customHeight="1">
      <c r="A2162" s="210">
        <f t="shared" si="1"/>
        <v>2160</v>
      </c>
      <c r="B2162" s="217"/>
      <c r="C2162" s="217" t="str">
        <f>IFERROR(VLOOKUP(B2162, SourceData!$U$3:$V$190, 2, FALSE), "")</f>
        <v/>
      </c>
      <c r="D2162" s="240"/>
      <c r="E2162" s="241"/>
      <c r="F2162" s="248"/>
      <c r="G2162" s="207"/>
      <c r="H2162" s="209"/>
      <c r="I2162" s="209"/>
      <c r="J2162" s="209"/>
      <c r="K2162" s="208" t="str">
        <f>IF(Errors!$I2162=0,SourceData!$B$42,VLOOKUP(Errors!$I2162,SourceData!$A$2:$B$40,2,FALSE))</f>
        <v>Please select ERROR CODE column "I"</v>
      </c>
      <c r="L2162" s="207" t="str">
        <f>IF(Errors!$I2162=0,
    'List of Error Codes'!$E$29,
    IFERROR(VLOOKUP(Errors!$I2162, 'List of Error Codes'!D2161:I2191, 6, FALSE), 'List of Error Codes'!$E$29)
)</f>
        <v>Please select ERROR CODE column "I"</v>
      </c>
      <c r="M2162" s="209"/>
      <c r="N2162" s="209"/>
      <c r="O2162" s="209"/>
      <c r="P2162" s="209"/>
      <c r="Q2162" s="209"/>
      <c r="R2162" s="217"/>
      <c r="S2162" s="217"/>
      <c r="T2162" s="217"/>
      <c r="U2162" s="199"/>
      <c r="V2162" s="200"/>
      <c r="W2162" s="200"/>
      <c r="X2162" s="200"/>
      <c r="Y2162" s="200"/>
      <c r="Z2162" s="200"/>
      <c r="AA2162" s="201"/>
      <c r="AB2162" s="200"/>
      <c r="AC2162" s="200"/>
    </row>
    <row r="2163" ht="15.75" customHeight="1">
      <c r="A2163" s="210">
        <f t="shared" si="1"/>
        <v>2161</v>
      </c>
      <c r="B2163" s="217"/>
      <c r="C2163" s="217" t="str">
        <f>IFERROR(VLOOKUP(B2163, SourceData!$U$3:$V$190, 2, FALSE), "")</f>
        <v/>
      </c>
      <c r="D2163" s="240"/>
      <c r="E2163" s="241"/>
      <c r="F2163" s="248"/>
      <c r="G2163" s="207"/>
      <c r="H2163" s="209"/>
      <c r="I2163" s="209"/>
      <c r="J2163" s="209"/>
      <c r="K2163" s="208" t="str">
        <f>IF(Errors!$I2163=0,SourceData!$B$42,VLOOKUP(Errors!$I2163,SourceData!$A$2:$B$40,2,FALSE))</f>
        <v>Please select ERROR CODE column "I"</v>
      </c>
      <c r="L2163" s="207" t="str">
        <f>IF(Errors!$I2163=0,
    'List of Error Codes'!$E$29,
    IFERROR(VLOOKUP(Errors!$I2163, 'List of Error Codes'!D2162:I2192, 6, FALSE), 'List of Error Codes'!$E$29)
)</f>
        <v>Please select ERROR CODE column "I"</v>
      </c>
      <c r="M2163" s="209"/>
      <c r="N2163" s="209"/>
      <c r="O2163" s="209"/>
      <c r="P2163" s="209"/>
      <c r="Q2163" s="209"/>
      <c r="R2163" s="217"/>
      <c r="S2163" s="217"/>
      <c r="T2163" s="217"/>
      <c r="U2163" s="199"/>
      <c r="V2163" s="200"/>
      <c r="W2163" s="200"/>
      <c r="X2163" s="200"/>
      <c r="Y2163" s="200"/>
      <c r="Z2163" s="200"/>
      <c r="AA2163" s="201"/>
      <c r="AB2163" s="200"/>
      <c r="AC2163" s="200"/>
    </row>
    <row r="2164" ht="15.75" customHeight="1">
      <c r="A2164" s="210">
        <f t="shared" si="1"/>
        <v>2162</v>
      </c>
      <c r="B2164" s="217"/>
      <c r="C2164" s="217" t="str">
        <f>IFERROR(VLOOKUP(B2164, SourceData!$U$3:$V$190, 2, FALSE), "")</f>
        <v/>
      </c>
      <c r="D2164" s="240"/>
      <c r="E2164" s="241"/>
      <c r="F2164" s="248"/>
      <c r="G2164" s="207"/>
      <c r="H2164" s="209"/>
      <c r="I2164" s="209"/>
      <c r="J2164" s="209"/>
      <c r="K2164" s="208" t="str">
        <f>IF(Errors!$I2164=0,SourceData!$B$42,VLOOKUP(Errors!$I2164,SourceData!$A$2:$B$40,2,FALSE))</f>
        <v>Please select ERROR CODE column "I"</v>
      </c>
      <c r="L2164" s="207" t="str">
        <f>IF(Errors!$I2164=0,
    'List of Error Codes'!$E$29,
    IFERROR(VLOOKUP(Errors!$I2164, 'List of Error Codes'!D2163:I2193, 6, FALSE), 'List of Error Codes'!$E$29)
)</f>
        <v>Please select ERROR CODE column "I"</v>
      </c>
      <c r="M2164" s="209"/>
      <c r="N2164" s="209"/>
      <c r="O2164" s="209"/>
      <c r="P2164" s="209"/>
      <c r="Q2164" s="209"/>
      <c r="R2164" s="217"/>
      <c r="S2164" s="217"/>
      <c r="T2164" s="217"/>
      <c r="U2164" s="199"/>
      <c r="V2164" s="200"/>
      <c r="W2164" s="200"/>
      <c r="X2164" s="200"/>
      <c r="Y2164" s="200"/>
      <c r="Z2164" s="200"/>
      <c r="AA2164" s="201"/>
      <c r="AB2164" s="200"/>
      <c r="AC2164" s="200"/>
    </row>
    <row r="2165" ht="15.75" customHeight="1">
      <c r="A2165" s="210">
        <f t="shared" si="1"/>
        <v>2163</v>
      </c>
      <c r="B2165" s="217"/>
      <c r="C2165" s="217" t="str">
        <f>IFERROR(VLOOKUP(B2165, SourceData!$U$3:$V$190, 2, FALSE), "")</f>
        <v/>
      </c>
      <c r="D2165" s="240"/>
      <c r="E2165" s="241"/>
      <c r="F2165" s="248"/>
      <c r="G2165" s="207"/>
      <c r="H2165" s="209"/>
      <c r="I2165" s="209"/>
      <c r="J2165" s="209"/>
      <c r="K2165" s="208" t="str">
        <f>IF(Errors!$I2165=0,SourceData!$B$42,VLOOKUP(Errors!$I2165,SourceData!$A$2:$B$40,2,FALSE))</f>
        <v>Please select ERROR CODE column "I"</v>
      </c>
      <c r="L2165" s="207" t="str">
        <f>IF(Errors!$I2165=0,
    'List of Error Codes'!$E$29,
    IFERROR(VLOOKUP(Errors!$I2165, 'List of Error Codes'!D2164:I2194, 6, FALSE), 'List of Error Codes'!$E$29)
)</f>
        <v>Please select ERROR CODE column "I"</v>
      </c>
      <c r="M2165" s="209"/>
      <c r="N2165" s="209"/>
      <c r="O2165" s="209"/>
      <c r="P2165" s="209"/>
      <c r="Q2165" s="209"/>
      <c r="R2165" s="217"/>
      <c r="S2165" s="217"/>
      <c r="T2165" s="217"/>
      <c r="U2165" s="199"/>
      <c r="V2165" s="200"/>
      <c r="W2165" s="200"/>
      <c r="X2165" s="200"/>
      <c r="Y2165" s="200"/>
      <c r="Z2165" s="200"/>
      <c r="AA2165" s="201"/>
      <c r="AB2165" s="200"/>
      <c r="AC2165" s="200"/>
    </row>
    <row r="2166" ht="15.75" customHeight="1">
      <c r="A2166" s="210">
        <f t="shared" si="1"/>
        <v>2164</v>
      </c>
      <c r="B2166" s="217"/>
      <c r="C2166" s="217" t="str">
        <f>IFERROR(VLOOKUP(B2166, SourceData!$U$3:$V$190, 2, FALSE), "")</f>
        <v/>
      </c>
      <c r="D2166" s="240"/>
      <c r="E2166" s="241"/>
      <c r="F2166" s="248"/>
      <c r="G2166" s="207"/>
      <c r="H2166" s="209"/>
      <c r="I2166" s="209"/>
      <c r="J2166" s="209"/>
      <c r="K2166" s="208" t="str">
        <f>IF(Errors!$I2166=0,SourceData!$B$42,VLOOKUP(Errors!$I2166,SourceData!$A$2:$B$40,2,FALSE))</f>
        <v>Please select ERROR CODE column "I"</v>
      </c>
      <c r="L2166" s="207" t="str">
        <f>IF(Errors!$I2166=0,
    'List of Error Codes'!$E$29,
    IFERROR(VLOOKUP(Errors!$I2166, 'List of Error Codes'!D2165:I2195, 6, FALSE), 'List of Error Codes'!$E$29)
)</f>
        <v>Please select ERROR CODE column "I"</v>
      </c>
      <c r="M2166" s="209"/>
      <c r="N2166" s="209"/>
      <c r="O2166" s="209"/>
      <c r="P2166" s="209"/>
      <c r="Q2166" s="209"/>
      <c r="R2166" s="217"/>
      <c r="S2166" s="217"/>
      <c r="T2166" s="217"/>
      <c r="U2166" s="199"/>
      <c r="V2166" s="200"/>
      <c r="W2166" s="200"/>
      <c r="X2166" s="200"/>
      <c r="Y2166" s="200"/>
      <c r="Z2166" s="200"/>
      <c r="AA2166" s="201"/>
      <c r="AB2166" s="200"/>
      <c r="AC2166" s="200"/>
    </row>
    <row r="2167" ht="15.75" customHeight="1">
      <c r="A2167" s="210">
        <f t="shared" si="1"/>
        <v>2165</v>
      </c>
      <c r="B2167" s="217"/>
      <c r="C2167" s="217" t="str">
        <f>IFERROR(VLOOKUP(B2167, SourceData!$U$3:$V$190, 2, FALSE), "")</f>
        <v/>
      </c>
      <c r="D2167" s="240"/>
      <c r="E2167" s="241"/>
      <c r="F2167" s="248"/>
      <c r="G2167" s="207"/>
      <c r="H2167" s="209"/>
      <c r="I2167" s="209"/>
      <c r="J2167" s="209"/>
      <c r="K2167" s="208" t="str">
        <f>IF(Errors!$I2167=0,SourceData!$B$42,VLOOKUP(Errors!$I2167,SourceData!$A$2:$B$40,2,FALSE))</f>
        <v>Please select ERROR CODE column "I"</v>
      </c>
      <c r="L2167" s="207" t="str">
        <f>IF(Errors!$I2167=0,
    'List of Error Codes'!$E$29,
    IFERROR(VLOOKUP(Errors!$I2167, 'List of Error Codes'!D2166:I2196, 6, FALSE), 'List of Error Codes'!$E$29)
)</f>
        <v>Please select ERROR CODE column "I"</v>
      </c>
      <c r="M2167" s="209"/>
      <c r="N2167" s="209"/>
      <c r="O2167" s="209"/>
      <c r="P2167" s="209"/>
      <c r="Q2167" s="209"/>
      <c r="R2167" s="217"/>
      <c r="S2167" s="217"/>
      <c r="T2167" s="217"/>
      <c r="U2167" s="199"/>
      <c r="V2167" s="200"/>
      <c r="W2167" s="200"/>
      <c r="X2167" s="200"/>
      <c r="Y2167" s="200"/>
      <c r="Z2167" s="200"/>
      <c r="AA2167" s="201"/>
      <c r="AB2167" s="200"/>
      <c r="AC2167" s="200"/>
    </row>
    <row r="2168" ht="15.75" customHeight="1">
      <c r="A2168" s="210">
        <f t="shared" si="1"/>
        <v>2166</v>
      </c>
      <c r="B2168" s="217"/>
      <c r="C2168" s="217" t="str">
        <f>IFERROR(VLOOKUP(B2168, SourceData!$U$3:$V$190, 2, FALSE), "")</f>
        <v/>
      </c>
      <c r="D2168" s="240"/>
      <c r="E2168" s="241"/>
      <c r="F2168" s="248"/>
      <c r="G2168" s="207"/>
      <c r="H2168" s="209"/>
      <c r="I2168" s="209"/>
      <c r="J2168" s="209"/>
      <c r="K2168" s="208" t="str">
        <f>IF(Errors!$I2168=0,SourceData!$B$42,VLOOKUP(Errors!$I2168,SourceData!$A$2:$B$40,2,FALSE))</f>
        <v>Please select ERROR CODE column "I"</v>
      </c>
      <c r="L2168" s="207" t="str">
        <f>IF(Errors!$I2168=0,
    'List of Error Codes'!$E$29,
    IFERROR(VLOOKUP(Errors!$I2168, 'List of Error Codes'!D2167:I2197, 6, FALSE), 'List of Error Codes'!$E$29)
)</f>
        <v>Please select ERROR CODE column "I"</v>
      </c>
      <c r="M2168" s="209"/>
      <c r="N2168" s="209"/>
      <c r="O2168" s="209"/>
      <c r="P2168" s="209"/>
      <c r="Q2168" s="209"/>
      <c r="R2168" s="217"/>
      <c r="S2168" s="217"/>
      <c r="T2168" s="217"/>
      <c r="U2168" s="199"/>
      <c r="V2168" s="200"/>
      <c r="W2168" s="200"/>
      <c r="X2168" s="200"/>
      <c r="Y2168" s="200"/>
      <c r="Z2168" s="200"/>
      <c r="AA2168" s="201"/>
      <c r="AB2168" s="200"/>
      <c r="AC2168" s="200"/>
    </row>
    <row r="2169" ht="15.75" customHeight="1">
      <c r="A2169" s="210">
        <f t="shared" si="1"/>
        <v>2167</v>
      </c>
      <c r="B2169" s="217"/>
      <c r="C2169" s="217" t="str">
        <f>IFERROR(VLOOKUP(B2169, SourceData!$U$3:$V$190, 2, FALSE), "")</f>
        <v/>
      </c>
      <c r="D2169" s="240"/>
      <c r="E2169" s="241"/>
      <c r="F2169" s="248"/>
      <c r="G2169" s="207"/>
      <c r="H2169" s="209"/>
      <c r="I2169" s="209"/>
      <c r="J2169" s="209"/>
      <c r="K2169" s="208" t="str">
        <f>IF(Errors!$I2169=0,SourceData!$B$42,VLOOKUP(Errors!$I2169,SourceData!$A$2:$B$40,2,FALSE))</f>
        <v>Please select ERROR CODE column "I"</v>
      </c>
      <c r="L2169" s="207" t="str">
        <f>IF(Errors!$I2169=0,
    'List of Error Codes'!$E$29,
    IFERROR(VLOOKUP(Errors!$I2169, 'List of Error Codes'!D2168:I2198, 6, FALSE), 'List of Error Codes'!$E$29)
)</f>
        <v>Please select ERROR CODE column "I"</v>
      </c>
      <c r="M2169" s="209"/>
      <c r="N2169" s="209"/>
      <c r="O2169" s="209"/>
      <c r="P2169" s="209"/>
      <c r="Q2169" s="209"/>
      <c r="R2169" s="217"/>
      <c r="S2169" s="217"/>
      <c r="T2169" s="217"/>
      <c r="U2169" s="199"/>
      <c r="V2169" s="200"/>
      <c r="W2169" s="200"/>
      <c r="X2169" s="200"/>
      <c r="Y2169" s="200"/>
      <c r="Z2169" s="200"/>
      <c r="AA2169" s="201"/>
      <c r="AB2169" s="200"/>
      <c r="AC2169" s="200"/>
    </row>
    <row r="2170" ht="15.75" customHeight="1">
      <c r="A2170" s="210">
        <f t="shared" si="1"/>
        <v>2168</v>
      </c>
      <c r="B2170" s="217"/>
      <c r="C2170" s="217" t="str">
        <f>IFERROR(VLOOKUP(B2170, SourceData!$U$3:$V$190, 2, FALSE), "")</f>
        <v/>
      </c>
      <c r="D2170" s="240"/>
      <c r="E2170" s="241"/>
      <c r="F2170" s="248"/>
      <c r="G2170" s="207"/>
      <c r="H2170" s="209"/>
      <c r="I2170" s="209"/>
      <c r="J2170" s="209"/>
      <c r="K2170" s="208" t="str">
        <f>IF(Errors!$I2170=0,SourceData!$B$42,VLOOKUP(Errors!$I2170,SourceData!$A$2:$B$40,2,FALSE))</f>
        <v>Please select ERROR CODE column "I"</v>
      </c>
      <c r="L2170" s="207" t="str">
        <f>IF(Errors!$I2170=0,
    'List of Error Codes'!$E$29,
    IFERROR(VLOOKUP(Errors!$I2170, 'List of Error Codes'!D2169:I2199, 6, FALSE), 'List of Error Codes'!$E$29)
)</f>
        <v>Please select ERROR CODE column "I"</v>
      </c>
      <c r="M2170" s="209"/>
      <c r="N2170" s="209"/>
      <c r="O2170" s="209"/>
      <c r="P2170" s="209"/>
      <c r="Q2170" s="209"/>
      <c r="R2170" s="217"/>
      <c r="S2170" s="217"/>
      <c r="T2170" s="217"/>
      <c r="U2170" s="199"/>
      <c r="V2170" s="200"/>
      <c r="W2170" s="200"/>
      <c r="X2170" s="200"/>
      <c r="Y2170" s="200"/>
      <c r="Z2170" s="200"/>
      <c r="AA2170" s="201"/>
      <c r="AB2170" s="200"/>
      <c r="AC2170" s="200"/>
    </row>
    <row r="2171" ht="15.75" customHeight="1">
      <c r="A2171" s="210">
        <f t="shared" si="1"/>
        <v>2169</v>
      </c>
      <c r="B2171" s="217"/>
      <c r="C2171" s="217" t="str">
        <f>IFERROR(VLOOKUP(B2171, SourceData!$U$3:$V$190, 2, FALSE), "")</f>
        <v/>
      </c>
      <c r="D2171" s="240"/>
      <c r="E2171" s="241"/>
      <c r="F2171" s="248"/>
      <c r="G2171" s="207"/>
      <c r="H2171" s="209"/>
      <c r="I2171" s="209"/>
      <c r="J2171" s="209"/>
      <c r="K2171" s="208" t="str">
        <f>IF(Errors!$I2171=0,SourceData!$B$42,VLOOKUP(Errors!$I2171,SourceData!$A$2:$B$40,2,FALSE))</f>
        <v>Please select ERROR CODE column "I"</v>
      </c>
      <c r="L2171" s="207" t="str">
        <f>IF(Errors!$I2171=0,
    'List of Error Codes'!$E$29,
    IFERROR(VLOOKUP(Errors!$I2171, 'List of Error Codes'!D2170:I2200, 6, FALSE), 'List of Error Codes'!$E$29)
)</f>
        <v>Please select ERROR CODE column "I"</v>
      </c>
      <c r="M2171" s="209"/>
      <c r="N2171" s="209"/>
      <c r="O2171" s="209"/>
      <c r="P2171" s="209"/>
      <c r="Q2171" s="209"/>
      <c r="R2171" s="217"/>
      <c r="S2171" s="217"/>
      <c r="T2171" s="217"/>
      <c r="U2171" s="199"/>
      <c r="V2171" s="200"/>
      <c r="W2171" s="200"/>
      <c r="X2171" s="200"/>
      <c r="Y2171" s="200"/>
      <c r="Z2171" s="200"/>
      <c r="AA2171" s="201"/>
      <c r="AB2171" s="200"/>
      <c r="AC2171" s="200"/>
    </row>
    <row r="2172" ht="15.75" customHeight="1">
      <c r="A2172" s="210">
        <f t="shared" si="1"/>
        <v>2170</v>
      </c>
      <c r="B2172" s="217"/>
      <c r="C2172" s="217" t="str">
        <f>IFERROR(VLOOKUP(B2172, SourceData!$U$3:$V$190, 2, FALSE), "")</f>
        <v/>
      </c>
      <c r="D2172" s="240"/>
      <c r="E2172" s="241"/>
      <c r="F2172" s="248"/>
      <c r="G2172" s="207"/>
      <c r="H2172" s="209"/>
      <c r="I2172" s="209"/>
      <c r="J2172" s="209"/>
      <c r="K2172" s="208" t="str">
        <f>IF(Errors!$I2172=0,SourceData!$B$42,VLOOKUP(Errors!$I2172,SourceData!$A$2:$B$40,2,FALSE))</f>
        <v>Please select ERROR CODE column "I"</v>
      </c>
      <c r="L2172" s="207" t="str">
        <f>IF(Errors!$I2172=0,
    'List of Error Codes'!$E$29,
    IFERROR(VLOOKUP(Errors!$I2172, 'List of Error Codes'!D2171:I2201, 6, FALSE), 'List of Error Codes'!$E$29)
)</f>
        <v>Please select ERROR CODE column "I"</v>
      </c>
      <c r="M2172" s="209"/>
      <c r="N2172" s="209"/>
      <c r="O2172" s="209"/>
      <c r="P2172" s="209"/>
      <c r="Q2172" s="209"/>
      <c r="R2172" s="217"/>
      <c r="S2172" s="217"/>
      <c r="T2172" s="217"/>
      <c r="U2172" s="199"/>
      <c r="V2172" s="200"/>
      <c r="W2172" s="200"/>
      <c r="X2172" s="200"/>
      <c r="Y2172" s="200"/>
      <c r="Z2172" s="200"/>
      <c r="AA2172" s="201"/>
      <c r="AB2172" s="200"/>
      <c r="AC2172" s="200"/>
    </row>
    <row r="2173" ht="15.75" customHeight="1">
      <c r="A2173" s="210">
        <f t="shared" si="1"/>
        <v>2171</v>
      </c>
      <c r="B2173" s="217"/>
      <c r="C2173" s="217" t="str">
        <f>IFERROR(VLOOKUP(B2173, SourceData!$U$3:$V$190, 2, FALSE), "")</f>
        <v/>
      </c>
      <c r="D2173" s="240"/>
      <c r="E2173" s="241"/>
      <c r="F2173" s="248"/>
      <c r="G2173" s="207"/>
      <c r="H2173" s="209"/>
      <c r="I2173" s="209"/>
      <c r="J2173" s="209"/>
      <c r="K2173" s="208" t="str">
        <f>IF(Errors!$I2173=0,SourceData!$B$42,VLOOKUP(Errors!$I2173,SourceData!$A$2:$B$40,2,FALSE))</f>
        <v>Please select ERROR CODE column "I"</v>
      </c>
      <c r="L2173" s="207" t="str">
        <f>IF(Errors!$I2173=0,
    'List of Error Codes'!$E$29,
    IFERROR(VLOOKUP(Errors!$I2173, 'List of Error Codes'!D2172:I2202, 6, FALSE), 'List of Error Codes'!$E$29)
)</f>
        <v>Please select ERROR CODE column "I"</v>
      </c>
      <c r="M2173" s="209"/>
      <c r="N2173" s="209"/>
      <c r="O2173" s="209"/>
      <c r="P2173" s="209"/>
      <c r="Q2173" s="209"/>
      <c r="R2173" s="217"/>
      <c r="S2173" s="217"/>
      <c r="T2173" s="217"/>
      <c r="U2173" s="199"/>
      <c r="V2173" s="200"/>
      <c r="W2173" s="200"/>
      <c r="X2173" s="200"/>
      <c r="Y2173" s="200"/>
      <c r="Z2173" s="200"/>
      <c r="AA2173" s="201"/>
      <c r="AB2173" s="200"/>
      <c r="AC2173" s="200"/>
    </row>
    <row r="2174" ht="15.75" customHeight="1">
      <c r="A2174" s="210">
        <f t="shared" si="1"/>
        <v>2172</v>
      </c>
      <c r="B2174" s="217"/>
      <c r="C2174" s="217" t="str">
        <f>IFERROR(VLOOKUP(B2174, SourceData!$U$3:$V$190, 2, FALSE), "")</f>
        <v/>
      </c>
      <c r="D2174" s="240"/>
      <c r="E2174" s="241"/>
      <c r="F2174" s="248"/>
      <c r="G2174" s="207"/>
      <c r="H2174" s="209"/>
      <c r="I2174" s="209"/>
      <c r="J2174" s="209"/>
      <c r="K2174" s="208" t="str">
        <f>IF(Errors!$I2174=0,SourceData!$B$42,VLOOKUP(Errors!$I2174,SourceData!$A$2:$B$40,2,FALSE))</f>
        <v>Please select ERROR CODE column "I"</v>
      </c>
      <c r="L2174" s="207" t="str">
        <f>IF(Errors!$I2174=0,
    'List of Error Codes'!$E$29,
    IFERROR(VLOOKUP(Errors!$I2174, 'List of Error Codes'!D2173:I2203, 6, FALSE), 'List of Error Codes'!$E$29)
)</f>
        <v>Please select ERROR CODE column "I"</v>
      </c>
      <c r="M2174" s="209"/>
      <c r="N2174" s="209"/>
      <c r="O2174" s="209"/>
      <c r="P2174" s="209"/>
      <c r="Q2174" s="209"/>
      <c r="R2174" s="217"/>
      <c r="S2174" s="217"/>
      <c r="T2174" s="217"/>
      <c r="U2174" s="199"/>
      <c r="V2174" s="200"/>
      <c r="W2174" s="200"/>
      <c r="X2174" s="200"/>
      <c r="Y2174" s="200"/>
      <c r="Z2174" s="200"/>
      <c r="AA2174" s="201"/>
      <c r="AB2174" s="200"/>
      <c r="AC2174" s="200"/>
    </row>
    <row r="2175" ht="15.75" customHeight="1">
      <c r="A2175" s="210">
        <f t="shared" si="1"/>
        <v>2173</v>
      </c>
      <c r="B2175" s="217"/>
      <c r="C2175" s="217" t="str">
        <f>IFERROR(VLOOKUP(B2175, SourceData!$U$3:$V$190, 2, FALSE), "")</f>
        <v/>
      </c>
      <c r="D2175" s="240"/>
      <c r="E2175" s="241"/>
      <c r="F2175" s="248"/>
      <c r="G2175" s="207"/>
      <c r="H2175" s="209"/>
      <c r="I2175" s="209"/>
      <c r="J2175" s="209"/>
      <c r="K2175" s="208" t="str">
        <f>IF(Errors!$I2175=0,SourceData!$B$42,VLOOKUP(Errors!$I2175,SourceData!$A$2:$B$40,2,FALSE))</f>
        <v>Please select ERROR CODE column "I"</v>
      </c>
      <c r="L2175" s="207" t="str">
        <f>IF(Errors!$I2175=0,
    'List of Error Codes'!$E$29,
    IFERROR(VLOOKUP(Errors!$I2175, 'List of Error Codes'!D2174:I2204, 6, FALSE), 'List of Error Codes'!$E$29)
)</f>
        <v>Please select ERROR CODE column "I"</v>
      </c>
      <c r="M2175" s="209"/>
      <c r="N2175" s="209"/>
      <c r="O2175" s="209"/>
      <c r="P2175" s="209"/>
      <c r="Q2175" s="209"/>
      <c r="R2175" s="217"/>
      <c r="S2175" s="217"/>
      <c r="T2175" s="217"/>
      <c r="U2175" s="199"/>
      <c r="V2175" s="200"/>
      <c r="W2175" s="200"/>
      <c r="X2175" s="200"/>
      <c r="Y2175" s="200"/>
      <c r="Z2175" s="200"/>
      <c r="AA2175" s="201"/>
      <c r="AB2175" s="200"/>
      <c r="AC2175" s="200"/>
    </row>
    <row r="2176" ht="15.75" customHeight="1">
      <c r="A2176" s="210">
        <f t="shared" si="1"/>
        <v>2174</v>
      </c>
      <c r="B2176" s="217"/>
      <c r="C2176" s="217" t="str">
        <f>IFERROR(VLOOKUP(B2176, SourceData!$U$3:$V$190, 2, FALSE), "")</f>
        <v/>
      </c>
      <c r="D2176" s="240"/>
      <c r="E2176" s="241"/>
      <c r="F2176" s="248"/>
      <c r="G2176" s="207"/>
      <c r="H2176" s="209"/>
      <c r="I2176" s="209"/>
      <c r="J2176" s="209"/>
      <c r="K2176" s="208" t="str">
        <f>IF(Errors!$I2176=0,SourceData!$B$42,VLOOKUP(Errors!$I2176,SourceData!$A$2:$B$40,2,FALSE))</f>
        <v>Please select ERROR CODE column "I"</v>
      </c>
      <c r="L2176" s="207" t="str">
        <f>IF(Errors!$I2176=0,
    'List of Error Codes'!$E$29,
    IFERROR(VLOOKUP(Errors!$I2176, 'List of Error Codes'!D2175:I2205, 6, FALSE), 'List of Error Codes'!$E$29)
)</f>
        <v>Please select ERROR CODE column "I"</v>
      </c>
      <c r="M2176" s="209"/>
      <c r="N2176" s="209"/>
      <c r="O2176" s="209"/>
      <c r="P2176" s="209"/>
      <c r="Q2176" s="209"/>
      <c r="R2176" s="217"/>
      <c r="S2176" s="217"/>
      <c r="T2176" s="217"/>
      <c r="U2176" s="199"/>
      <c r="V2176" s="200"/>
      <c r="W2176" s="200"/>
      <c r="X2176" s="200"/>
      <c r="Y2176" s="200"/>
      <c r="Z2176" s="200"/>
      <c r="AA2176" s="201"/>
      <c r="AB2176" s="200"/>
      <c r="AC2176" s="200"/>
    </row>
    <row r="2177" ht="15.75" customHeight="1">
      <c r="A2177" s="210">
        <f t="shared" si="1"/>
        <v>2175</v>
      </c>
      <c r="B2177" s="217"/>
      <c r="C2177" s="217" t="str">
        <f>IFERROR(VLOOKUP(B2177, SourceData!$U$3:$V$190, 2, FALSE), "")</f>
        <v/>
      </c>
      <c r="D2177" s="240"/>
      <c r="E2177" s="241"/>
      <c r="F2177" s="248"/>
      <c r="G2177" s="207"/>
      <c r="H2177" s="209"/>
      <c r="I2177" s="209"/>
      <c r="J2177" s="209"/>
      <c r="K2177" s="208" t="str">
        <f>IF(Errors!$I2177=0,SourceData!$B$42,VLOOKUP(Errors!$I2177,SourceData!$A$2:$B$40,2,FALSE))</f>
        <v>Please select ERROR CODE column "I"</v>
      </c>
      <c r="L2177" s="207" t="str">
        <f>IF(Errors!$I2177=0,
    'List of Error Codes'!$E$29,
    IFERROR(VLOOKUP(Errors!$I2177, 'List of Error Codes'!D2176:I2206, 6, FALSE), 'List of Error Codes'!$E$29)
)</f>
        <v>Please select ERROR CODE column "I"</v>
      </c>
      <c r="M2177" s="209"/>
      <c r="N2177" s="209"/>
      <c r="O2177" s="209"/>
      <c r="P2177" s="209"/>
      <c r="Q2177" s="209"/>
      <c r="R2177" s="217"/>
      <c r="S2177" s="217"/>
      <c r="T2177" s="217"/>
      <c r="U2177" s="199"/>
      <c r="V2177" s="200"/>
      <c r="W2177" s="200"/>
      <c r="X2177" s="200"/>
      <c r="Y2177" s="200"/>
      <c r="Z2177" s="200"/>
      <c r="AA2177" s="201"/>
      <c r="AB2177" s="200"/>
      <c r="AC2177" s="200"/>
    </row>
    <row r="2178" ht="15.75" customHeight="1">
      <c r="A2178" s="210">
        <f t="shared" si="1"/>
        <v>2176</v>
      </c>
      <c r="B2178" s="217"/>
      <c r="C2178" s="217" t="str">
        <f>IFERROR(VLOOKUP(B2178, SourceData!$U$3:$V$190, 2, FALSE), "")</f>
        <v/>
      </c>
      <c r="D2178" s="240"/>
      <c r="E2178" s="241"/>
      <c r="F2178" s="248"/>
      <c r="G2178" s="207"/>
      <c r="H2178" s="209"/>
      <c r="I2178" s="209"/>
      <c r="J2178" s="209"/>
      <c r="K2178" s="208" t="str">
        <f>IF(Errors!$I2178=0,SourceData!$B$42,VLOOKUP(Errors!$I2178,SourceData!$A$2:$B$40,2,FALSE))</f>
        <v>Please select ERROR CODE column "I"</v>
      </c>
      <c r="L2178" s="207" t="str">
        <f>IF(Errors!$I2178=0,
    'List of Error Codes'!$E$29,
    IFERROR(VLOOKUP(Errors!$I2178, 'List of Error Codes'!D2177:I2207, 6, FALSE), 'List of Error Codes'!$E$29)
)</f>
        <v>Please select ERROR CODE column "I"</v>
      </c>
      <c r="M2178" s="209"/>
      <c r="N2178" s="209"/>
      <c r="O2178" s="209"/>
      <c r="P2178" s="209"/>
      <c r="Q2178" s="209"/>
      <c r="R2178" s="217"/>
      <c r="S2178" s="217"/>
      <c r="T2178" s="217"/>
      <c r="U2178" s="199"/>
      <c r="V2178" s="200"/>
      <c r="W2178" s="200"/>
      <c r="X2178" s="200"/>
      <c r="Y2178" s="200"/>
      <c r="Z2178" s="200"/>
      <c r="AA2178" s="201"/>
      <c r="AB2178" s="200"/>
      <c r="AC2178" s="200"/>
    </row>
    <row r="2179" ht="15.75" customHeight="1">
      <c r="A2179" s="210">
        <f t="shared" si="1"/>
        <v>2177</v>
      </c>
      <c r="B2179" s="217"/>
      <c r="C2179" s="217" t="str">
        <f>IFERROR(VLOOKUP(B2179, SourceData!$U$3:$V$190, 2, FALSE), "")</f>
        <v/>
      </c>
      <c r="D2179" s="240"/>
      <c r="E2179" s="241"/>
      <c r="F2179" s="248"/>
      <c r="G2179" s="207"/>
      <c r="H2179" s="209"/>
      <c r="I2179" s="209"/>
      <c r="J2179" s="209"/>
      <c r="K2179" s="208" t="str">
        <f>IF(Errors!$I2179=0,SourceData!$B$42,VLOOKUP(Errors!$I2179,SourceData!$A$2:$B$40,2,FALSE))</f>
        <v>Please select ERROR CODE column "I"</v>
      </c>
      <c r="L2179" s="207" t="str">
        <f>IF(Errors!$I2179=0,
    'List of Error Codes'!$E$29,
    IFERROR(VLOOKUP(Errors!$I2179, 'List of Error Codes'!D2178:I2208, 6, FALSE), 'List of Error Codes'!$E$29)
)</f>
        <v>Please select ERROR CODE column "I"</v>
      </c>
      <c r="M2179" s="209"/>
      <c r="N2179" s="209"/>
      <c r="O2179" s="209"/>
      <c r="P2179" s="209"/>
      <c r="Q2179" s="209"/>
      <c r="R2179" s="217"/>
      <c r="S2179" s="217"/>
      <c r="T2179" s="217"/>
      <c r="U2179" s="199"/>
      <c r="V2179" s="200"/>
      <c r="W2179" s="200"/>
      <c r="X2179" s="200"/>
      <c r="Y2179" s="200"/>
      <c r="Z2179" s="200"/>
      <c r="AA2179" s="201"/>
      <c r="AB2179" s="200"/>
      <c r="AC2179" s="200"/>
    </row>
    <row r="2180" ht="15.75" customHeight="1">
      <c r="A2180" s="210">
        <f t="shared" si="1"/>
        <v>2178</v>
      </c>
      <c r="B2180" s="217"/>
      <c r="C2180" s="217" t="str">
        <f>IFERROR(VLOOKUP(B2180, SourceData!$U$3:$V$190, 2, FALSE), "")</f>
        <v/>
      </c>
      <c r="D2180" s="240"/>
      <c r="E2180" s="241"/>
      <c r="F2180" s="248"/>
      <c r="G2180" s="207"/>
      <c r="H2180" s="209"/>
      <c r="I2180" s="209"/>
      <c r="J2180" s="209"/>
      <c r="K2180" s="208" t="str">
        <f>IF(Errors!$I2180=0,SourceData!$B$42,VLOOKUP(Errors!$I2180,SourceData!$A$2:$B$40,2,FALSE))</f>
        <v>Please select ERROR CODE column "I"</v>
      </c>
      <c r="L2180" s="207" t="str">
        <f>IF(Errors!$I2180=0,
    'List of Error Codes'!$E$29,
    IFERROR(VLOOKUP(Errors!$I2180, 'List of Error Codes'!D2179:I2209, 6, FALSE), 'List of Error Codes'!$E$29)
)</f>
        <v>Please select ERROR CODE column "I"</v>
      </c>
      <c r="M2180" s="209"/>
      <c r="N2180" s="209"/>
      <c r="O2180" s="209"/>
      <c r="P2180" s="209"/>
      <c r="Q2180" s="209"/>
      <c r="R2180" s="217"/>
      <c r="S2180" s="217"/>
      <c r="T2180" s="217"/>
      <c r="U2180" s="199"/>
      <c r="V2180" s="200"/>
      <c r="W2180" s="200"/>
      <c r="X2180" s="200"/>
      <c r="Y2180" s="200"/>
      <c r="Z2180" s="200"/>
      <c r="AA2180" s="201"/>
      <c r="AB2180" s="200"/>
      <c r="AC2180" s="200"/>
    </row>
    <row r="2181" ht="15.75" customHeight="1">
      <c r="A2181" s="210">
        <f t="shared" si="1"/>
        <v>2179</v>
      </c>
      <c r="B2181" s="217"/>
      <c r="C2181" s="217" t="str">
        <f>IFERROR(VLOOKUP(B2181, SourceData!$U$3:$V$190, 2, FALSE), "")</f>
        <v/>
      </c>
      <c r="D2181" s="240"/>
      <c r="E2181" s="241"/>
      <c r="F2181" s="248"/>
      <c r="G2181" s="207"/>
      <c r="H2181" s="209"/>
      <c r="I2181" s="209"/>
      <c r="J2181" s="209"/>
      <c r="K2181" s="208" t="str">
        <f>IF(Errors!$I2181=0,SourceData!$B$42,VLOOKUP(Errors!$I2181,SourceData!$A$2:$B$40,2,FALSE))</f>
        <v>Please select ERROR CODE column "I"</v>
      </c>
      <c r="L2181" s="207" t="str">
        <f>IF(Errors!$I2181=0,
    'List of Error Codes'!$E$29,
    IFERROR(VLOOKUP(Errors!$I2181, 'List of Error Codes'!D2180:I2210, 6, FALSE), 'List of Error Codes'!$E$29)
)</f>
        <v>Please select ERROR CODE column "I"</v>
      </c>
      <c r="M2181" s="209"/>
      <c r="N2181" s="209"/>
      <c r="O2181" s="209"/>
      <c r="P2181" s="209"/>
      <c r="Q2181" s="209"/>
      <c r="R2181" s="217"/>
      <c r="S2181" s="217"/>
      <c r="T2181" s="217"/>
      <c r="U2181" s="199"/>
      <c r="V2181" s="200"/>
      <c r="W2181" s="200"/>
      <c r="X2181" s="200"/>
      <c r="Y2181" s="200"/>
      <c r="Z2181" s="200"/>
      <c r="AA2181" s="201"/>
      <c r="AB2181" s="200"/>
      <c r="AC2181" s="200"/>
    </row>
    <row r="2182" ht="15.75" customHeight="1">
      <c r="A2182" s="210">
        <f t="shared" si="1"/>
        <v>2180</v>
      </c>
      <c r="B2182" s="217"/>
      <c r="C2182" s="217" t="str">
        <f>IFERROR(VLOOKUP(B2182, SourceData!$U$3:$V$190, 2, FALSE), "")</f>
        <v/>
      </c>
      <c r="D2182" s="240"/>
      <c r="E2182" s="241"/>
      <c r="F2182" s="248"/>
      <c r="G2182" s="207"/>
      <c r="H2182" s="209"/>
      <c r="I2182" s="209"/>
      <c r="J2182" s="209"/>
      <c r="K2182" s="208" t="str">
        <f>IF(Errors!$I2182=0,SourceData!$B$42,VLOOKUP(Errors!$I2182,SourceData!$A$2:$B$40,2,FALSE))</f>
        <v>Please select ERROR CODE column "I"</v>
      </c>
      <c r="L2182" s="207" t="str">
        <f>IF(Errors!$I2182=0,
    'List of Error Codes'!$E$29,
    IFERROR(VLOOKUP(Errors!$I2182, 'List of Error Codes'!D2181:I2211, 6, FALSE), 'List of Error Codes'!$E$29)
)</f>
        <v>Please select ERROR CODE column "I"</v>
      </c>
      <c r="M2182" s="209"/>
      <c r="N2182" s="209"/>
      <c r="O2182" s="209"/>
      <c r="P2182" s="209"/>
      <c r="Q2182" s="209"/>
      <c r="R2182" s="217"/>
      <c r="S2182" s="217"/>
      <c r="T2182" s="217"/>
      <c r="U2182" s="199"/>
      <c r="V2182" s="200"/>
      <c r="W2182" s="200"/>
      <c r="X2182" s="200"/>
      <c r="Y2182" s="200"/>
      <c r="Z2182" s="200"/>
      <c r="AA2182" s="201"/>
      <c r="AB2182" s="200"/>
      <c r="AC2182" s="200"/>
    </row>
    <row r="2183" ht="15.75" customHeight="1">
      <c r="A2183" s="210">
        <f t="shared" si="1"/>
        <v>2181</v>
      </c>
      <c r="B2183" s="217"/>
      <c r="C2183" s="217" t="str">
        <f>IFERROR(VLOOKUP(B2183, SourceData!$U$3:$V$190, 2, FALSE), "")</f>
        <v/>
      </c>
      <c r="D2183" s="240"/>
      <c r="E2183" s="241"/>
      <c r="F2183" s="248"/>
      <c r="G2183" s="207"/>
      <c r="H2183" s="209"/>
      <c r="I2183" s="209"/>
      <c r="J2183" s="209"/>
      <c r="K2183" s="208" t="str">
        <f>IF(Errors!$I2183=0,SourceData!$B$42,VLOOKUP(Errors!$I2183,SourceData!$A$2:$B$40,2,FALSE))</f>
        <v>Please select ERROR CODE column "I"</v>
      </c>
      <c r="L2183" s="207" t="str">
        <f>IF(Errors!$I2183=0,
    'List of Error Codes'!$E$29,
    IFERROR(VLOOKUP(Errors!$I2183, 'List of Error Codes'!D2182:I2212, 6, FALSE), 'List of Error Codes'!$E$29)
)</f>
        <v>Please select ERROR CODE column "I"</v>
      </c>
      <c r="M2183" s="209"/>
      <c r="N2183" s="209"/>
      <c r="O2183" s="209"/>
      <c r="P2183" s="209"/>
      <c r="Q2183" s="209"/>
      <c r="R2183" s="217"/>
      <c r="S2183" s="217"/>
      <c r="T2183" s="217"/>
      <c r="U2183" s="199"/>
      <c r="V2183" s="200"/>
      <c r="W2183" s="200"/>
      <c r="X2183" s="200"/>
      <c r="Y2183" s="200"/>
      <c r="Z2183" s="200"/>
      <c r="AA2183" s="201"/>
      <c r="AB2183" s="200"/>
      <c r="AC2183" s="200"/>
    </row>
    <row r="2184" ht="15.75" customHeight="1">
      <c r="A2184" s="210">
        <f t="shared" si="1"/>
        <v>2182</v>
      </c>
      <c r="B2184" s="217"/>
      <c r="C2184" s="217" t="str">
        <f>IFERROR(VLOOKUP(B2184, SourceData!$U$3:$V$190, 2, FALSE), "")</f>
        <v/>
      </c>
      <c r="D2184" s="240"/>
      <c r="E2184" s="241"/>
      <c r="F2184" s="248"/>
      <c r="G2184" s="207"/>
      <c r="H2184" s="209"/>
      <c r="I2184" s="209"/>
      <c r="J2184" s="209"/>
      <c r="K2184" s="208" t="str">
        <f>IF(Errors!$I2184=0,SourceData!$B$42,VLOOKUP(Errors!$I2184,SourceData!$A$2:$B$40,2,FALSE))</f>
        <v>Please select ERROR CODE column "I"</v>
      </c>
      <c r="L2184" s="207" t="str">
        <f>IF(Errors!$I2184=0,
    'List of Error Codes'!$E$29,
    IFERROR(VLOOKUP(Errors!$I2184, 'List of Error Codes'!D2183:I2213, 6, FALSE), 'List of Error Codes'!$E$29)
)</f>
        <v>Please select ERROR CODE column "I"</v>
      </c>
      <c r="M2184" s="209"/>
      <c r="N2184" s="209"/>
      <c r="O2184" s="209"/>
      <c r="P2184" s="209"/>
      <c r="Q2184" s="209"/>
      <c r="R2184" s="217"/>
      <c r="S2184" s="217"/>
      <c r="T2184" s="217"/>
      <c r="U2184" s="199"/>
      <c r="V2184" s="200"/>
      <c r="W2184" s="200"/>
      <c r="X2184" s="200"/>
      <c r="Y2184" s="200"/>
      <c r="Z2184" s="200"/>
      <c r="AA2184" s="201"/>
      <c r="AB2184" s="200"/>
      <c r="AC2184" s="200"/>
    </row>
    <row r="2185" ht="15.75" customHeight="1">
      <c r="A2185" s="210">
        <f t="shared" si="1"/>
        <v>2183</v>
      </c>
      <c r="B2185" s="217"/>
      <c r="C2185" s="217" t="str">
        <f>IFERROR(VLOOKUP(B2185, SourceData!$U$3:$V$190, 2, FALSE), "")</f>
        <v/>
      </c>
      <c r="D2185" s="240"/>
      <c r="E2185" s="241"/>
      <c r="F2185" s="248"/>
      <c r="G2185" s="207"/>
      <c r="H2185" s="209"/>
      <c r="I2185" s="209"/>
      <c r="J2185" s="209"/>
      <c r="K2185" s="208" t="str">
        <f>IF(Errors!$I2185=0,SourceData!$B$42,VLOOKUP(Errors!$I2185,SourceData!$A$2:$B$40,2,FALSE))</f>
        <v>Please select ERROR CODE column "I"</v>
      </c>
      <c r="L2185" s="207" t="str">
        <f>IF(Errors!$I2185=0,
    'List of Error Codes'!$E$29,
    IFERROR(VLOOKUP(Errors!$I2185, 'List of Error Codes'!D2184:I2214, 6, FALSE), 'List of Error Codes'!$E$29)
)</f>
        <v>Please select ERROR CODE column "I"</v>
      </c>
      <c r="M2185" s="209"/>
      <c r="N2185" s="209"/>
      <c r="O2185" s="209"/>
      <c r="P2185" s="209"/>
      <c r="Q2185" s="209"/>
      <c r="R2185" s="217"/>
      <c r="S2185" s="217"/>
      <c r="T2185" s="217"/>
      <c r="U2185" s="199"/>
      <c r="V2185" s="200"/>
      <c r="W2185" s="200"/>
      <c r="X2185" s="200"/>
      <c r="Y2185" s="200"/>
      <c r="Z2185" s="200"/>
      <c r="AA2185" s="201"/>
      <c r="AB2185" s="200"/>
      <c r="AC2185" s="200"/>
    </row>
    <row r="2186" ht="15.75" customHeight="1">
      <c r="A2186" s="210">
        <f t="shared" si="1"/>
        <v>2184</v>
      </c>
      <c r="B2186" s="217"/>
      <c r="C2186" s="217" t="str">
        <f>IFERROR(VLOOKUP(B2186, SourceData!$U$3:$V$190, 2, FALSE), "")</f>
        <v/>
      </c>
      <c r="D2186" s="240"/>
      <c r="E2186" s="241"/>
      <c r="F2186" s="248"/>
      <c r="G2186" s="207"/>
      <c r="H2186" s="209"/>
      <c r="I2186" s="209"/>
      <c r="J2186" s="209"/>
      <c r="K2186" s="208" t="str">
        <f>IF(Errors!$I2186=0,SourceData!$B$42,VLOOKUP(Errors!$I2186,SourceData!$A$2:$B$40,2,FALSE))</f>
        <v>Please select ERROR CODE column "I"</v>
      </c>
      <c r="L2186" s="207" t="str">
        <f>IF(Errors!$I2186=0,
    'List of Error Codes'!$E$29,
    IFERROR(VLOOKUP(Errors!$I2186, 'List of Error Codes'!D2185:I2215, 6, FALSE), 'List of Error Codes'!$E$29)
)</f>
        <v>Please select ERROR CODE column "I"</v>
      </c>
      <c r="M2186" s="209"/>
      <c r="N2186" s="209"/>
      <c r="O2186" s="209"/>
      <c r="P2186" s="209"/>
      <c r="Q2186" s="209"/>
      <c r="R2186" s="217"/>
      <c r="S2186" s="217"/>
      <c r="T2186" s="217"/>
      <c r="U2186" s="199"/>
      <c r="V2186" s="200"/>
      <c r="W2186" s="200"/>
      <c r="X2186" s="200"/>
      <c r="Y2186" s="200"/>
      <c r="Z2186" s="200"/>
      <c r="AA2186" s="201"/>
      <c r="AB2186" s="200"/>
      <c r="AC2186" s="200"/>
    </row>
    <row r="2187" ht="15.75" customHeight="1">
      <c r="A2187" s="210">
        <f t="shared" si="1"/>
        <v>2185</v>
      </c>
      <c r="B2187" s="217"/>
      <c r="C2187" s="217" t="str">
        <f>IFERROR(VLOOKUP(B2187, SourceData!$U$3:$V$190, 2, FALSE), "")</f>
        <v/>
      </c>
      <c r="D2187" s="240"/>
      <c r="E2187" s="241"/>
      <c r="F2187" s="248"/>
      <c r="G2187" s="207"/>
      <c r="H2187" s="209"/>
      <c r="I2187" s="209"/>
      <c r="J2187" s="209"/>
      <c r="K2187" s="208" t="str">
        <f>IF(Errors!$I2187=0,SourceData!$B$42,VLOOKUP(Errors!$I2187,SourceData!$A$2:$B$40,2,FALSE))</f>
        <v>Please select ERROR CODE column "I"</v>
      </c>
      <c r="L2187" s="207" t="str">
        <f>IF(Errors!$I2187=0,
    'List of Error Codes'!$E$29,
    IFERROR(VLOOKUP(Errors!$I2187, 'List of Error Codes'!D2186:I2216, 6, FALSE), 'List of Error Codes'!$E$29)
)</f>
        <v>Please select ERROR CODE column "I"</v>
      </c>
      <c r="M2187" s="209"/>
      <c r="N2187" s="209"/>
      <c r="O2187" s="209"/>
      <c r="P2187" s="209"/>
      <c r="Q2187" s="209"/>
      <c r="R2187" s="217"/>
      <c r="S2187" s="217"/>
      <c r="T2187" s="217"/>
      <c r="U2187" s="199"/>
      <c r="V2187" s="200"/>
      <c r="W2187" s="200"/>
      <c r="X2187" s="200"/>
      <c r="Y2187" s="200"/>
      <c r="Z2187" s="200"/>
      <c r="AA2187" s="201"/>
      <c r="AB2187" s="200"/>
      <c r="AC2187" s="200"/>
    </row>
    <row r="2188" ht="15.75" customHeight="1">
      <c r="A2188" s="210">
        <f t="shared" si="1"/>
        <v>2186</v>
      </c>
      <c r="B2188" s="217"/>
      <c r="C2188" s="217" t="str">
        <f>IFERROR(VLOOKUP(B2188, SourceData!$U$3:$V$190, 2, FALSE), "")</f>
        <v/>
      </c>
      <c r="D2188" s="240"/>
      <c r="E2188" s="241"/>
      <c r="F2188" s="248"/>
      <c r="G2188" s="207"/>
      <c r="H2188" s="209"/>
      <c r="I2188" s="209"/>
      <c r="J2188" s="209"/>
      <c r="K2188" s="208" t="str">
        <f>IF(Errors!$I2188=0,SourceData!$B$42,VLOOKUP(Errors!$I2188,SourceData!$A$2:$B$40,2,FALSE))</f>
        <v>Please select ERROR CODE column "I"</v>
      </c>
      <c r="L2188" s="207" t="str">
        <f>IF(Errors!$I2188=0,
    'List of Error Codes'!$E$29,
    IFERROR(VLOOKUP(Errors!$I2188, 'List of Error Codes'!D2187:I2217, 6, FALSE), 'List of Error Codes'!$E$29)
)</f>
        <v>Please select ERROR CODE column "I"</v>
      </c>
      <c r="M2188" s="209"/>
      <c r="N2188" s="209"/>
      <c r="O2188" s="209"/>
      <c r="P2188" s="209"/>
      <c r="Q2188" s="209"/>
      <c r="R2188" s="217"/>
      <c r="S2188" s="217"/>
      <c r="T2188" s="217"/>
      <c r="U2188" s="199"/>
      <c r="V2188" s="200"/>
      <c r="W2188" s="200"/>
      <c r="X2188" s="200"/>
      <c r="Y2188" s="200"/>
      <c r="Z2188" s="200"/>
      <c r="AA2188" s="201"/>
      <c r="AB2188" s="200"/>
      <c r="AC2188" s="200"/>
    </row>
    <row r="2189" ht="15.75" customHeight="1">
      <c r="A2189" s="210">
        <f t="shared" si="1"/>
        <v>2187</v>
      </c>
      <c r="B2189" s="217"/>
      <c r="C2189" s="217" t="str">
        <f>IFERROR(VLOOKUP(B2189, SourceData!$U$3:$V$190, 2, FALSE), "")</f>
        <v/>
      </c>
      <c r="D2189" s="240"/>
      <c r="E2189" s="241"/>
      <c r="F2189" s="248"/>
      <c r="G2189" s="207"/>
      <c r="H2189" s="209"/>
      <c r="I2189" s="209"/>
      <c r="J2189" s="209"/>
      <c r="K2189" s="208" t="str">
        <f>IF(Errors!$I2189=0,SourceData!$B$42,VLOOKUP(Errors!$I2189,SourceData!$A$2:$B$40,2,FALSE))</f>
        <v>Please select ERROR CODE column "I"</v>
      </c>
      <c r="L2189" s="207" t="str">
        <f>IF(Errors!$I2189=0,
    'List of Error Codes'!$E$29,
    IFERROR(VLOOKUP(Errors!$I2189, 'List of Error Codes'!D2188:I2218, 6, FALSE), 'List of Error Codes'!$E$29)
)</f>
        <v>Please select ERROR CODE column "I"</v>
      </c>
      <c r="M2189" s="209"/>
      <c r="N2189" s="209"/>
      <c r="O2189" s="209"/>
      <c r="P2189" s="209"/>
      <c r="Q2189" s="209"/>
      <c r="R2189" s="217"/>
      <c r="S2189" s="217"/>
      <c r="T2189" s="217"/>
      <c r="U2189" s="199"/>
      <c r="V2189" s="200"/>
      <c r="W2189" s="200"/>
      <c r="X2189" s="200"/>
      <c r="Y2189" s="200"/>
      <c r="Z2189" s="200"/>
      <c r="AA2189" s="201"/>
      <c r="AB2189" s="200"/>
      <c r="AC2189" s="200"/>
    </row>
    <row r="2190" ht="15.75" customHeight="1">
      <c r="A2190" s="210">
        <f t="shared" si="1"/>
        <v>2188</v>
      </c>
      <c r="B2190" s="217"/>
      <c r="C2190" s="217" t="str">
        <f>IFERROR(VLOOKUP(B2190, SourceData!$U$3:$V$190, 2, FALSE), "")</f>
        <v/>
      </c>
      <c r="D2190" s="240"/>
      <c r="E2190" s="241"/>
      <c r="F2190" s="248"/>
      <c r="G2190" s="207"/>
      <c r="H2190" s="209"/>
      <c r="I2190" s="209"/>
      <c r="J2190" s="209"/>
      <c r="K2190" s="208" t="str">
        <f>IF(Errors!$I2190=0,SourceData!$B$42,VLOOKUP(Errors!$I2190,SourceData!$A$2:$B$40,2,FALSE))</f>
        <v>Please select ERROR CODE column "I"</v>
      </c>
      <c r="L2190" s="207" t="str">
        <f>IF(Errors!$I2190=0,
    'List of Error Codes'!$E$29,
    IFERROR(VLOOKUP(Errors!$I2190, 'List of Error Codes'!D2189:I2219, 6, FALSE), 'List of Error Codes'!$E$29)
)</f>
        <v>Please select ERROR CODE column "I"</v>
      </c>
      <c r="M2190" s="209"/>
      <c r="N2190" s="209"/>
      <c r="O2190" s="209"/>
      <c r="P2190" s="209"/>
      <c r="Q2190" s="209"/>
      <c r="R2190" s="217"/>
      <c r="S2190" s="217"/>
      <c r="T2190" s="217"/>
      <c r="U2190" s="199"/>
      <c r="V2190" s="200"/>
      <c r="W2190" s="200"/>
      <c r="X2190" s="200"/>
      <c r="Y2190" s="200"/>
      <c r="Z2190" s="200"/>
      <c r="AA2190" s="201"/>
      <c r="AB2190" s="200"/>
      <c r="AC2190" s="200"/>
    </row>
    <row r="2191" ht="15.75" customHeight="1">
      <c r="A2191" s="210">
        <f t="shared" si="1"/>
        <v>2189</v>
      </c>
      <c r="B2191" s="217"/>
      <c r="C2191" s="217" t="str">
        <f>IFERROR(VLOOKUP(B2191, SourceData!$U$3:$V$190, 2, FALSE), "")</f>
        <v/>
      </c>
      <c r="D2191" s="240"/>
      <c r="E2191" s="241"/>
      <c r="F2191" s="248"/>
      <c r="G2191" s="207"/>
      <c r="H2191" s="209"/>
      <c r="I2191" s="209"/>
      <c r="J2191" s="209"/>
      <c r="K2191" s="208" t="str">
        <f>IF(Errors!$I2191=0,SourceData!$B$42,VLOOKUP(Errors!$I2191,SourceData!$A$2:$B$40,2,FALSE))</f>
        <v>Please select ERROR CODE column "I"</v>
      </c>
      <c r="L2191" s="207" t="str">
        <f>IF(Errors!$I2191=0,
    'List of Error Codes'!$E$29,
    IFERROR(VLOOKUP(Errors!$I2191, 'List of Error Codes'!D2190:I2220, 6, FALSE), 'List of Error Codes'!$E$29)
)</f>
        <v>Please select ERROR CODE column "I"</v>
      </c>
      <c r="M2191" s="209"/>
      <c r="N2191" s="209"/>
      <c r="O2191" s="209"/>
      <c r="P2191" s="209"/>
      <c r="Q2191" s="209"/>
      <c r="R2191" s="217"/>
      <c r="S2191" s="217"/>
      <c r="T2191" s="217"/>
      <c r="U2191" s="199"/>
      <c r="V2191" s="200"/>
      <c r="W2191" s="200"/>
      <c r="X2191" s="200"/>
      <c r="Y2191" s="200"/>
      <c r="Z2191" s="200"/>
      <c r="AA2191" s="201"/>
      <c r="AB2191" s="200"/>
      <c r="AC2191" s="200"/>
    </row>
    <row r="2192" ht="15.75" customHeight="1">
      <c r="A2192" s="210">
        <f t="shared" si="1"/>
        <v>2190</v>
      </c>
      <c r="B2192" s="217"/>
      <c r="C2192" s="217" t="str">
        <f>IFERROR(VLOOKUP(B2192, SourceData!$U$3:$V$190, 2, FALSE), "")</f>
        <v/>
      </c>
      <c r="D2192" s="240"/>
      <c r="E2192" s="241"/>
      <c r="F2192" s="248"/>
      <c r="G2192" s="207"/>
      <c r="H2192" s="209"/>
      <c r="I2192" s="209"/>
      <c r="J2192" s="209"/>
      <c r="K2192" s="208" t="str">
        <f>IF(Errors!$I2192=0,SourceData!$B$42,VLOOKUP(Errors!$I2192,SourceData!$A$2:$B$40,2,FALSE))</f>
        <v>Please select ERROR CODE column "I"</v>
      </c>
      <c r="L2192" s="207" t="str">
        <f>IF(Errors!$I2192=0,
    'List of Error Codes'!$E$29,
    IFERROR(VLOOKUP(Errors!$I2192, 'List of Error Codes'!D2191:I2221, 6, FALSE), 'List of Error Codes'!$E$29)
)</f>
        <v>Please select ERROR CODE column "I"</v>
      </c>
      <c r="M2192" s="209"/>
      <c r="N2192" s="209"/>
      <c r="O2192" s="209"/>
      <c r="P2192" s="209"/>
      <c r="Q2192" s="209"/>
      <c r="R2192" s="217"/>
      <c r="S2192" s="217"/>
      <c r="T2192" s="217"/>
      <c r="U2192" s="199"/>
      <c r="V2192" s="200"/>
      <c r="W2192" s="200"/>
      <c r="X2192" s="200"/>
      <c r="Y2192" s="200"/>
      <c r="Z2192" s="200"/>
      <c r="AA2192" s="201"/>
      <c r="AB2192" s="200"/>
      <c r="AC2192" s="200"/>
    </row>
    <row r="2193" ht="15.75" customHeight="1">
      <c r="A2193" s="210">
        <f t="shared" si="1"/>
        <v>2191</v>
      </c>
      <c r="B2193" s="217"/>
      <c r="C2193" s="217" t="str">
        <f>IFERROR(VLOOKUP(B2193, SourceData!$U$3:$V$190, 2, FALSE), "")</f>
        <v/>
      </c>
      <c r="D2193" s="240"/>
      <c r="E2193" s="241"/>
      <c r="F2193" s="248"/>
      <c r="G2193" s="207"/>
      <c r="H2193" s="209"/>
      <c r="I2193" s="209"/>
      <c r="J2193" s="209"/>
      <c r="K2193" s="208" t="str">
        <f>IF(Errors!$I2193=0,SourceData!$B$42,VLOOKUP(Errors!$I2193,SourceData!$A$2:$B$40,2,FALSE))</f>
        <v>Please select ERROR CODE column "I"</v>
      </c>
      <c r="L2193" s="207" t="str">
        <f>IF(Errors!$I2193=0,
    'List of Error Codes'!$E$29,
    IFERROR(VLOOKUP(Errors!$I2193, 'List of Error Codes'!D2192:I2222, 6, FALSE), 'List of Error Codes'!$E$29)
)</f>
        <v>Please select ERROR CODE column "I"</v>
      </c>
      <c r="M2193" s="209"/>
      <c r="N2193" s="209"/>
      <c r="O2193" s="209"/>
      <c r="P2193" s="209"/>
      <c r="Q2193" s="209"/>
      <c r="R2193" s="217"/>
      <c r="S2193" s="217"/>
      <c r="T2193" s="217"/>
      <c r="U2193" s="199"/>
      <c r="V2193" s="200"/>
      <c r="W2193" s="200"/>
      <c r="X2193" s="200"/>
      <c r="Y2193" s="200"/>
      <c r="Z2193" s="200"/>
      <c r="AA2193" s="201"/>
      <c r="AB2193" s="200"/>
      <c r="AC2193" s="200"/>
    </row>
    <row r="2194" ht="15.75" customHeight="1">
      <c r="A2194" s="210">
        <f t="shared" si="1"/>
        <v>2192</v>
      </c>
      <c r="B2194" s="217"/>
      <c r="C2194" s="217" t="str">
        <f>IFERROR(VLOOKUP(B2194, SourceData!$U$3:$V$190, 2, FALSE), "")</f>
        <v/>
      </c>
      <c r="D2194" s="240"/>
      <c r="E2194" s="241"/>
      <c r="F2194" s="248"/>
      <c r="G2194" s="207"/>
      <c r="H2194" s="209"/>
      <c r="I2194" s="209"/>
      <c r="J2194" s="209"/>
      <c r="K2194" s="208" t="str">
        <f>IF(Errors!$I2194=0,SourceData!$B$42,VLOOKUP(Errors!$I2194,SourceData!$A$2:$B$40,2,FALSE))</f>
        <v>Please select ERROR CODE column "I"</v>
      </c>
      <c r="L2194" s="207" t="str">
        <f>IF(Errors!$I2194=0,
    'List of Error Codes'!$E$29,
    IFERROR(VLOOKUP(Errors!$I2194, 'List of Error Codes'!D2193:I2223, 6, FALSE), 'List of Error Codes'!$E$29)
)</f>
        <v>Please select ERROR CODE column "I"</v>
      </c>
      <c r="M2194" s="209"/>
      <c r="N2194" s="209"/>
      <c r="O2194" s="209"/>
      <c r="P2194" s="209"/>
      <c r="Q2194" s="209"/>
      <c r="R2194" s="217"/>
      <c r="S2194" s="217"/>
      <c r="T2194" s="217"/>
      <c r="U2194" s="199"/>
      <c r="V2194" s="200"/>
      <c r="W2194" s="200"/>
      <c r="X2194" s="200"/>
      <c r="Y2194" s="200"/>
      <c r="Z2194" s="200"/>
      <c r="AA2194" s="201"/>
      <c r="AB2194" s="200"/>
      <c r="AC2194" s="200"/>
    </row>
    <row r="2195" ht="15.75" customHeight="1">
      <c r="A2195" s="210">
        <f t="shared" si="1"/>
        <v>2193</v>
      </c>
      <c r="B2195" s="217"/>
      <c r="C2195" s="217" t="str">
        <f>IFERROR(VLOOKUP(B2195, SourceData!$U$3:$V$190, 2, FALSE), "")</f>
        <v/>
      </c>
      <c r="D2195" s="240"/>
      <c r="E2195" s="241"/>
      <c r="F2195" s="248"/>
      <c r="G2195" s="207"/>
      <c r="H2195" s="209"/>
      <c r="I2195" s="209"/>
      <c r="J2195" s="209"/>
      <c r="K2195" s="208" t="str">
        <f>IF(Errors!$I2195=0,SourceData!$B$42,VLOOKUP(Errors!$I2195,SourceData!$A$2:$B$40,2,FALSE))</f>
        <v>Please select ERROR CODE column "I"</v>
      </c>
      <c r="L2195" s="207" t="str">
        <f>IF(Errors!$I2195=0,
    'List of Error Codes'!$E$29,
    IFERROR(VLOOKUP(Errors!$I2195, 'List of Error Codes'!D2194:I2224, 6, FALSE), 'List of Error Codes'!$E$29)
)</f>
        <v>Please select ERROR CODE column "I"</v>
      </c>
      <c r="M2195" s="209"/>
      <c r="N2195" s="209"/>
      <c r="O2195" s="209"/>
      <c r="P2195" s="209"/>
      <c r="Q2195" s="209"/>
      <c r="R2195" s="217"/>
      <c r="S2195" s="217"/>
      <c r="T2195" s="217"/>
      <c r="U2195" s="199"/>
      <c r="V2195" s="200"/>
      <c r="W2195" s="200"/>
      <c r="X2195" s="200"/>
      <c r="Y2195" s="200"/>
      <c r="Z2195" s="200"/>
      <c r="AA2195" s="201"/>
      <c r="AB2195" s="200"/>
      <c r="AC2195" s="200"/>
    </row>
    <row r="2196" ht="15.75" customHeight="1">
      <c r="A2196" s="210">
        <f t="shared" si="1"/>
        <v>2194</v>
      </c>
      <c r="B2196" s="217"/>
      <c r="C2196" s="217" t="str">
        <f>IFERROR(VLOOKUP(B2196, SourceData!$U$3:$V$190, 2, FALSE), "")</f>
        <v/>
      </c>
      <c r="D2196" s="240"/>
      <c r="E2196" s="241"/>
      <c r="F2196" s="248"/>
      <c r="G2196" s="207"/>
      <c r="H2196" s="209"/>
      <c r="I2196" s="209"/>
      <c r="J2196" s="209"/>
      <c r="K2196" s="208" t="str">
        <f>IF(Errors!$I2196=0,SourceData!$B$42,VLOOKUP(Errors!$I2196,SourceData!$A$2:$B$40,2,FALSE))</f>
        <v>Please select ERROR CODE column "I"</v>
      </c>
      <c r="L2196" s="207" t="str">
        <f>IF(Errors!$I2196=0,
    'List of Error Codes'!$E$29,
    IFERROR(VLOOKUP(Errors!$I2196, 'List of Error Codes'!D2195:I2225, 6, FALSE), 'List of Error Codes'!$E$29)
)</f>
        <v>Please select ERROR CODE column "I"</v>
      </c>
      <c r="M2196" s="209"/>
      <c r="N2196" s="209"/>
      <c r="O2196" s="209"/>
      <c r="P2196" s="209"/>
      <c r="Q2196" s="209"/>
      <c r="R2196" s="217"/>
      <c r="S2196" s="217"/>
      <c r="T2196" s="217"/>
      <c r="U2196" s="199"/>
      <c r="V2196" s="200"/>
      <c r="W2196" s="200"/>
      <c r="X2196" s="200"/>
      <c r="Y2196" s="200"/>
      <c r="Z2196" s="200"/>
      <c r="AA2196" s="201"/>
      <c r="AB2196" s="200"/>
      <c r="AC2196" s="200"/>
    </row>
    <row r="2197" ht="15.75" customHeight="1">
      <c r="A2197" s="210">
        <f t="shared" si="1"/>
        <v>2195</v>
      </c>
      <c r="B2197" s="217"/>
      <c r="C2197" s="217" t="str">
        <f>IFERROR(VLOOKUP(B2197, SourceData!$U$3:$V$190, 2, FALSE), "")</f>
        <v/>
      </c>
      <c r="D2197" s="240"/>
      <c r="E2197" s="241"/>
      <c r="F2197" s="248"/>
      <c r="G2197" s="207"/>
      <c r="H2197" s="209"/>
      <c r="I2197" s="209"/>
      <c r="J2197" s="209"/>
      <c r="K2197" s="208" t="str">
        <f>IF(Errors!$I2197=0,SourceData!$B$42,VLOOKUP(Errors!$I2197,SourceData!$A$2:$B$40,2,FALSE))</f>
        <v>Please select ERROR CODE column "I"</v>
      </c>
      <c r="L2197" s="207" t="str">
        <f>IF(Errors!$I2197=0,
    'List of Error Codes'!$E$29,
    IFERROR(VLOOKUP(Errors!$I2197, 'List of Error Codes'!D2196:I2226, 6, FALSE), 'List of Error Codes'!$E$29)
)</f>
        <v>Please select ERROR CODE column "I"</v>
      </c>
      <c r="M2197" s="209"/>
      <c r="N2197" s="209"/>
      <c r="O2197" s="209"/>
      <c r="P2197" s="209"/>
      <c r="Q2197" s="209"/>
      <c r="R2197" s="217"/>
      <c r="S2197" s="217"/>
      <c r="T2197" s="217"/>
      <c r="U2197" s="199"/>
      <c r="V2197" s="200"/>
      <c r="W2197" s="200"/>
      <c r="X2197" s="200"/>
      <c r="Y2197" s="200"/>
      <c r="Z2197" s="200"/>
      <c r="AA2197" s="201"/>
      <c r="AB2197" s="200"/>
      <c r="AC2197" s="200"/>
    </row>
    <row r="2198" ht="15.75" customHeight="1">
      <c r="A2198" s="210">
        <f t="shared" si="1"/>
        <v>2196</v>
      </c>
      <c r="B2198" s="217"/>
      <c r="C2198" s="217" t="str">
        <f>IFERROR(VLOOKUP(B2198, SourceData!$U$3:$V$190, 2, FALSE), "")</f>
        <v/>
      </c>
      <c r="D2198" s="240"/>
      <c r="E2198" s="241"/>
      <c r="F2198" s="248"/>
      <c r="G2198" s="207"/>
      <c r="H2198" s="209"/>
      <c r="I2198" s="209"/>
      <c r="J2198" s="209"/>
      <c r="K2198" s="208" t="str">
        <f>IF(Errors!$I2198=0,SourceData!$B$42,VLOOKUP(Errors!$I2198,SourceData!$A$2:$B$40,2,FALSE))</f>
        <v>Please select ERROR CODE column "I"</v>
      </c>
      <c r="L2198" s="207" t="str">
        <f>IF(Errors!$I2198=0,
    'List of Error Codes'!$E$29,
    IFERROR(VLOOKUP(Errors!$I2198, 'List of Error Codes'!D2197:I2227, 6, FALSE), 'List of Error Codes'!$E$29)
)</f>
        <v>Please select ERROR CODE column "I"</v>
      </c>
      <c r="M2198" s="209"/>
      <c r="N2198" s="209"/>
      <c r="O2198" s="209"/>
      <c r="P2198" s="209"/>
      <c r="Q2198" s="209"/>
      <c r="R2198" s="217"/>
      <c r="S2198" s="217"/>
      <c r="T2198" s="217"/>
      <c r="U2198" s="199"/>
      <c r="V2198" s="200"/>
      <c r="W2198" s="200"/>
      <c r="X2198" s="200"/>
      <c r="Y2198" s="200"/>
      <c r="Z2198" s="200"/>
      <c r="AA2198" s="201"/>
      <c r="AB2198" s="200"/>
      <c r="AC2198" s="200"/>
    </row>
    <row r="2199" ht="15.75" customHeight="1">
      <c r="A2199" s="210">
        <f t="shared" si="1"/>
        <v>2197</v>
      </c>
      <c r="B2199" s="217"/>
      <c r="C2199" s="217" t="str">
        <f>IFERROR(VLOOKUP(B2199, SourceData!$U$3:$V$190, 2, FALSE), "")</f>
        <v/>
      </c>
      <c r="D2199" s="240"/>
      <c r="E2199" s="241"/>
      <c r="F2199" s="248"/>
      <c r="G2199" s="207"/>
      <c r="H2199" s="209"/>
      <c r="I2199" s="209"/>
      <c r="J2199" s="209"/>
      <c r="K2199" s="208" t="str">
        <f>IF(Errors!$I2199=0,SourceData!$B$42,VLOOKUP(Errors!$I2199,SourceData!$A$2:$B$40,2,FALSE))</f>
        <v>Please select ERROR CODE column "I"</v>
      </c>
      <c r="L2199" s="207" t="str">
        <f>IF(Errors!$I2199=0,
    'List of Error Codes'!$E$29,
    IFERROR(VLOOKUP(Errors!$I2199, 'List of Error Codes'!D2198:I2228, 6, FALSE), 'List of Error Codes'!$E$29)
)</f>
        <v>Please select ERROR CODE column "I"</v>
      </c>
      <c r="M2199" s="209"/>
      <c r="N2199" s="209"/>
      <c r="O2199" s="209"/>
      <c r="P2199" s="209"/>
      <c r="Q2199" s="209"/>
      <c r="R2199" s="217"/>
      <c r="S2199" s="217"/>
      <c r="T2199" s="217"/>
      <c r="U2199" s="199"/>
      <c r="V2199" s="200"/>
      <c r="W2199" s="200"/>
      <c r="X2199" s="200"/>
      <c r="Y2199" s="200"/>
      <c r="Z2199" s="200"/>
      <c r="AA2199" s="201"/>
      <c r="AB2199" s="200"/>
      <c r="AC2199" s="200"/>
    </row>
    <row r="2200" ht="15.75" customHeight="1">
      <c r="A2200" s="210">
        <f t="shared" si="1"/>
        <v>2198</v>
      </c>
      <c r="B2200" s="217"/>
      <c r="C2200" s="217" t="str">
        <f>IFERROR(VLOOKUP(B2200, SourceData!$U$3:$V$190, 2, FALSE), "")</f>
        <v/>
      </c>
      <c r="D2200" s="240"/>
      <c r="E2200" s="241"/>
      <c r="F2200" s="248"/>
      <c r="G2200" s="207"/>
      <c r="H2200" s="209"/>
      <c r="I2200" s="209"/>
      <c r="J2200" s="209"/>
      <c r="K2200" s="208" t="str">
        <f>IF(Errors!$I2200=0,SourceData!$B$42,VLOOKUP(Errors!$I2200,SourceData!$A$2:$B$40,2,FALSE))</f>
        <v>Please select ERROR CODE column "I"</v>
      </c>
      <c r="L2200" s="207" t="str">
        <f>IF(Errors!$I2200=0,
    'List of Error Codes'!$E$29,
    IFERROR(VLOOKUP(Errors!$I2200, 'List of Error Codes'!D2199:I2229, 6, FALSE), 'List of Error Codes'!$E$29)
)</f>
        <v>Please select ERROR CODE column "I"</v>
      </c>
      <c r="M2200" s="209"/>
      <c r="N2200" s="209"/>
      <c r="O2200" s="209"/>
      <c r="P2200" s="209"/>
      <c r="Q2200" s="209"/>
      <c r="R2200" s="217"/>
      <c r="S2200" s="217"/>
      <c r="T2200" s="217"/>
      <c r="U2200" s="199"/>
      <c r="V2200" s="200"/>
      <c r="W2200" s="200"/>
      <c r="X2200" s="200"/>
      <c r="Y2200" s="200"/>
      <c r="Z2200" s="200"/>
      <c r="AA2200" s="201"/>
      <c r="AB2200" s="200"/>
      <c r="AC2200" s="200"/>
    </row>
    <row r="2201" ht="15.75" customHeight="1">
      <c r="A2201" s="210">
        <f t="shared" si="1"/>
        <v>2199</v>
      </c>
      <c r="B2201" s="217"/>
      <c r="C2201" s="217" t="str">
        <f>IFERROR(VLOOKUP(B2201, SourceData!$U$3:$V$190, 2, FALSE), "")</f>
        <v/>
      </c>
      <c r="D2201" s="240"/>
      <c r="E2201" s="241"/>
      <c r="F2201" s="248"/>
      <c r="G2201" s="207"/>
      <c r="H2201" s="209"/>
      <c r="I2201" s="209"/>
      <c r="J2201" s="209"/>
      <c r="K2201" s="208" t="str">
        <f>IF(Errors!$I2201=0,SourceData!$B$42,VLOOKUP(Errors!$I2201,SourceData!$A$2:$B$40,2,FALSE))</f>
        <v>Please select ERROR CODE column "I"</v>
      </c>
      <c r="L2201" s="207" t="str">
        <f>IF(Errors!$I2201=0,
    'List of Error Codes'!$E$29,
    IFERROR(VLOOKUP(Errors!$I2201, 'List of Error Codes'!D2200:I2230, 6, FALSE), 'List of Error Codes'!$E$29)
)</f>
        <v>Please select ERROR CODE column "I"</v>
      </c>
      <c r="M2201" s="209"/>
      <c r="N2201" s="209"/>
      <c r="O2201" s="209"/>
      <c r="P2201" s="209"/>
      <c r="Q2201" s="209"/>
      <c r="R2201" s="217"/>
      <c r="S2201" s="217"/>
      <c r="T2201" s="217"/>
      <c r="U2201" s="199"/>
      <c r="V2201" s="200"/>
      <c r="W2201" s="200"/>
      <c r="X2201" s="200"/>
      <c r="Y2201" s="200"/>
      <c r="Z2201" s="200"/>
      <c r="AA2201" s="201"/>
      <c r="AB2201" s="200"/>
      <c r="AC2201" s="200"/>
    </row>
    <row r="2202" ht="15.75" customHeight="1">
      <c r="A2202" s="210">
        <f t="shared" si="1"/>
        <v>2200</v>
      </c>
      <c r="B2202" s="217"/>
      <c r="C2202" s="217" t="str">
        <f>IFERROR(VLOOKUP(B2202, SourceData!$U$3:$V$190, 2, FALSE), "")</f>
        <v/>
      </c>
      <c r="D2202" s="240"/>
      <c r="E2202" s="241"/>
      <c r="F2202" s="248"/>
      <c r="G2202" s="207"/>
      <c r="H2202" s="209"/>
      <c r="I2202" s="209"/>
      <c r="J2202" s="209"/>
      <c r="K2202" s="208" t="str">
        <f>IF(Errors!$I2202=0,SourceData!$B$42,VLOOKUP(Errors!$I2202,SourceData!$A$2:$B$40,2,FALSE))</f>
        <v>Please select ERROR CODE column "I"</v>
      </c>
      <c r="L2202" s="207" t="str">
        <f>IF(Errors!$I2202=0,
    'List of Error Codes'!$E$29,
    IFERROR(VLOOKUP(Errors!$I2202, 'List of Error Codes'!D2201:I2231, 6, FALSE), 'List of Error Codes'!$E$29)
)</f>
        <v>Please select ERROR CODE column "I"</v>
      </c>
      <c r="M2202" s="209"/>
      <c r="N2202" s="209"/>
      <c r="O2202" s="209"/>
      <c r="P2202" s="209"/>
      <c r="Q2202" s="209"/>
      <c r="R2202" s="217"/>
      <c r="S2202" s="217"/>
      <c r="T2202" s="217"/>
      <c r="U2202" s="199"/>
      <c r="V2202" s="200"/>
      <c r="W2202" s="200"/>
      <c r="X2202" s="200"/>
      <c r="Y2202" s="200"/>
      <c r="Z2202" s="200"/>
      <c r="AA2202" s="201"/>
      <c r="AB2202" s="200"/>
      <c r="AC2202" s="200"/>
    </row>
    <row r="2203" ht="15.75" customHeight="1">
      <c r="A2203" s="210">
        <f t="shared" si="1"/>
        <v>2201</v>
      </c>
      <c r="B2203" s="217"/>
      <c r="C2203" s="217" t="str">
        <f>IFERROR(VLOOKUP(B2203, SourceData!$U$3:$V$190, 2, FALSE), "")</f>
        <v/>
      </c>
      <c r="D2203" s="240"/>
      <c r="E2203" s="241"/>
      <c r="F2203" s="248"/>
      <c r="G2203" s="207"/>
      <c r="H2203" s="209"/>
      <c r="I2203" s="209"/>
      <c r="J2203" s="209"/>
      <c r="K2203" s="208" t="str">
        <f>IF(Errors!$I2203=0,SourceData!$B$42,VLOOKUP(Errors!$I2203,SourceData!$A$2:$B$40,2,FALSE))</f>
        <v>Please select ERROR CODE column "I"</v>
      </c>
      <c r="L2203" s="207" t="str">
        <f>IF(Errors!$I2203=0,
    'List of Error Codes'!$E$29,
    IFERROR(VLOOKUP(Errors!$I2203, 'List of Error Codes'!D2202:I2232, 6, FALSE), 'List of Error Codes'!$E$29)
)</f>
        <v>Please select ERROR CODE column "I"</v>
      </c>
      <c r="M2203" s="209"/>
      <c r="N2203" s="209"/>
      <c r="O2203" s="209"/>
      <c r="P2203" s="209"/>
      <c r="Q2203" s="209"/>
      <c r="R2203" s="217"/>
      <c r="S2203" s="217"/>
      <c r="T2203" s="217"/>
      <c r="U2203" s="199"/>
      <c r="V2203" s="200"/>
      <c r="W2203" s="200"/>
      <c r="X2203" s="200"/>
      <c r="Y2203" s="200"/>
      <c r="Z2203" s="200"/>
      <c r="AA2203" s="201"/>
      <c r="AB2203" s="200"/>
      <c r="AC2203" s="200"/>
    </row>
    <row r="2204" ht="15.75" customHeight="1">
      <c r="A2204" s="210">
        <f t="shared" si="1"/>
        <v>2202</v>
      </c>
      <c r="B2204" s="217"/>
      <c r="C2204" s="217" t="str">
        <f>IFERROR(VLOOKUP(B2204, SourceData!$U$3:$V$190, 2, FALSE), "")</f>
        <v/>
      </c>
      <c r="D2204" s="240"/>
      <c r="E2204" s="241"/>
      <c r="F2204" s="248"/>
      <c r="G2204" s="207"/>
      <c r="H2204" s="209"/>
      <c r="I2204" s="209"/>
      <c r="J2204" s="209"/>
      <c r="K2204" s="208" t="str">
        <f>IF(Errors!$I2204=0,SourceData!$B$42,VLOOKUP(Errors!$I2204,SourceData!$A$2:$B$40,2,FALSE))</f>
        <v>Please select ERROR CODE column "I"</v>
      </c>
      <c r="L2204" s="207" t="str">
        <f>IF(Errors!$I2204=0,
    'List of Error Codes'!$E$29,
    IFERROR(VLOOKUP(Errors!$I2204, 'List of Error Codes'!D2203:I2233, 6, FALSE), 'List of Error Codes'!$E$29)
)</f>
        <v>Please select ERROR CODE column "I"</v>
      </c>
      <c r="M2204" s="209"/>
      <c r="N2204" s="209"/>
      <c r="O2204" s="209"/>
      <c r="P2204" s="209"/>
      <c r="Q2204" s="209"/>
      <c r="R2204" s="217"/>
      <c r="S2204" s="217"/>
      <c r="T2204" s="217"/>
      <c r="U2204" s="199"/>
      <c r="V2204" s="200"/>
      <c r="W2204" s="200"/>
      <c r="X2204" s="200"/>
      <c r="Y2204" s="200"/>
      <c r="Z2204" s="200"/>
      <c r="AA2204" s="201"/>
      <c r="AB2204" s="200"/>
      <c r="AC2204" s="200"/>
    </row>
    <row r="2205" ht="15.75" customHeight="1">
      <c r="A2205" s="210">
        <f t="shared" si="1"/>
        <v>2203</v>
      </c>
      <c r="B2205" s="217"/>
      <c r="C2205" s="217" t="str">
        <f>IFERROR(VLOOKUP(B2205, SourceData!$U$3:$V$190, 2, FALSE), "")</f>
        <v/>
      </c>
      <c r="D2205" s="240"/>
      <c r="E2205" s="241"/>
      <c r="F2205" s="248"/>
      <c r="G2205" s="207"/>
      <c r="H2205" s="209"/>
      <c r="I2205" s="209"/>
      <c r="J2205" s="209"/>
      <c r="K2205" s="208" t="str">
        <f>IF(Errors!$I2205=0,SourceData!$B$42,VLOOKUP(Errors!$I2205,SourceData!$A$2:$B$40,2,FALSE))</f>
        <v>Please select ERROR CODE column "I"</v>
      </c>
      <c r="L2205" s="207" t="str">
        <f>IF(Errors!$I2205=0,
    'List of Error Codes'!$E$29,
    IFERROR(VLOOKUP(Errors!$I2205, 'List of Error Codes'!D2204:I2234, 6, FALSE), 'List of Error Codes'!$E$29)
)</f>
        <v>Please select ERROR CODE column "I"</v>
      </c>
      <c r="M2205" s="209"/>
      <c r="N2205" s="209"/>
      <c r="O2205" s="209"/>
      <c r="P2205" s="209"/>
      <c r="Q2205" s="209"/>
      <c r="R2205" s="217"/>
      <c r="S2205" s="217"/>
      <c r="T2205" s="217"/>
      <c r="U2205" s="199"/>
      <c r="V2205" s="200"/>
      <c r="W2205" s="200"/>
      <c r="X2205" s="200"/>
      <c r="Y2205" s="200"/>
      <c r="Z2205" s="200"/>
      <c r="AA2205" s="201"/>
      <c r="AB2205" s="200"/>
      <c r="AC2205" s="200"/>
    </row>
    <row r="2206" ht="15.75" customHeight="1">
      <c r="A2206" s="210">
        <f t="shared" si="1"/>
        <v>2204</v>
      </c>
      <c r="B2206" s="217"/>
      <c r="C2206" s="217" t="str">
        <f>IFERROR(VLOOKUP(B2206, SourceData!$U$3:$V$190, 2, FALSE), "")</f>
        <v/>
      </c>
      <c r="D2206" s="240"/>
      <c r="E2206" s="241"/>
      <c r="F2206" s="248"/>
      <c r="G2206" s="207"/>
      <c r="H2206" s="209"/>
      <c r="I2206" s="209"/>
      <c r="J2206" s="209"/>
      <c r="K2206" s="208" t="str">
        <f>IF(Errors!$I2206=0,SourceData!$B$42,VLOOKUP(Errors!$I2206,SourceData!$A$2:$B$40,2,FALSE))</f>
        <v>Please select ERROR CODE column "I"</v>
      </c>
      <c r="L2206" s="207" t="str">
        <f>IF(Errors!$I2206=0,
    'List of Error Codes'!$E$29,
    IFERROR(VLOOKUP(Errors!$I2206, 'List of Error Codes'!D2205:I2235, 6, FALSE), 'List of Error Codes'!$E$29)
)</f>
        <v>Please select ERROR CODE column "I"</v>
      </c>
      <c r="M2206" s="209"/>
      <c r="N2206" s="209"/>
      <c r="O2206" s="209"/>
      <c r="P2206" s="209"/>
      <c r="Q2206" s="209"/>
      <c r="R2206" s="217"/>
      <c r="S2206" s="217"/>
      <c r="T2206" s="217"/>
      <c r="U2206" s="199"/>
      <c r="V2206" s="200"/>
      <c r="W2206" s="200"/>
      <c r="X2206" s="200"/>
      <c r="Y2206" s="200"/>
      <c r="Z2206" s="200"/>
      <c r="AA2206" s="201"/>
      <c r="AB2206" s="200"/>
      <c r="AC2206" s="200"/>
    </row>
    <row r="2207" ht="15.75" customHeight="1">
      <c r="A2207" s="210">
        <f t="shared" si="1"/>
        <v>2205</v>
      </c>
      <c r="B2207" s="217"/>
      <c r="C2207" s="217" t="str">
        <f>IFERROR(VLOOKUP(B2207, SourceData!$U$3:$V$190, 2, FALSE), "")</f>
        <v/>
      </c>
      <c r="D2207" s="240"/>
      <c r="E2207" s="241"/>
      <c r="F2207" s="248"/>
      <c r="G2207" s="207"/>
      <c r="H2207" s="209"/>
      <c r="I2207" s="209"/>
      <c r="J2207" s="209"/>
      <c r="K2207" s="208" t="str">
        <f>IF(Errors!$I2207=0,SourceData!$B$42,VLOOKUP(Errors!$I2207,SourceData!$A$2:$B$40,2,FALSE))</f>
        <v>Please select ERROR CODE column "I"</v>
      </c>
      <c r="L2207" s="207" t="str">
        <f>IF(Errors!$I2207=0,
    'List of Error Codes'!$E$29,
    IFERROR(VLOOKUP(Errors!$I2207, 'List of Error Codes'!D2206:I2236, 6, FALSE), 'List of Error Codes'!$E$29)
)</f>
        <v>Please select ERROR CODE column "I"</v>
      </c>
      <c r="M2207" s="209"/>
      <c r="N2207" s="209"/>
      <c r="O2207" s="209"/>
      <c r="P2207" s="209"/>
      <c r="Q2207" s="209"/>
      <c r="R2207" s="217"/>
      <c r="S2207" s="217"/>
      <c r="T2207" s="217"/>
      <c r="U2207" s="199"/>
      <c r="V2207" s="200"/>
      <c r="W2207" s="200"/>
      <c r="X2207" s="200"/>
      <c r="Y2207" s="200"/>
      <c r="Z2207" s="200"/>
      <c r="AA2207" s="201"/>
      <c r="AB2207" s="200"/>
      <c r="AC2207" s="200"/>
    </row>
    <row r="2208" ht="15.75" customHeight="1">
      <c r="A2208" s="210">
        <f t="shared" si="1"/>
        <v>2206</v>
      </c>
      <c r="B2208" s="217"/>
      <c r="C2208" s="217" t="str">
        <f>IFERROR(VLOOKUP(B2208, SourceData!$U$3:$V$190, 2, FALSE), "")</f>
        <v/>
      </c>
      <c r="D2208" s="240"/>
      <c r="E2208" s="241"/>
      <c r="F2208" s="248"/>
      <c r="G2208" s="207"/>
      <c r="H2208" s="209"/>
      <c r="I2208" s="209"/>
      <c r="J2208" s="209"/>
      <c r="K2208" s="208" t="str">
        <f>IF(Errors!$I2208=0,SourceData!$B$42,VLOOKUP(Errors!$I2208,SourceData!$A$2:$B$40,2,FALSE))</f>
        <v>Please select ERROR CODE column "I"</v>
      </c>
      <c r="L2208" s="207" t="str">
        <f>IF(Errors!$I2208=0,
    'List of Error Codes'!$E$29,
    IFERROR(VLOOKUP(Errors!$I2208, 'List of Error Codes'!D2207:I2237, 6, FALSE), 'List of Error Codes'!$E$29)
)</f>
        <v>Please select ERROR CODE column "I"</v>
      </c>
      <c r="M2208" s="209"/>
      <c r="N2208" s="209"/>
      <c r="O2208" s="209"/>
      <c r="P2208" s="209"/>
      <c r="Q2208" s="209"/>
      <c r="R2208" s="217"/>
      <c r="S2208" s="217"/>
      <c r="T2208" s="217"/>
      <c r="U2208" s="199"/>
      <c r="V2208" s="200"/>
      <c r="W2208" s="200"/>
      <c r="X2208" s="200"/>
      <c r="Y2208" s="200"/>
      <c r="Z2208" s="200"/>
      <c r="AA2208" s="201"/>
      <c r="AB2208" s="200"/>
      <c r="AC2208" s="200"/>
    </row>
    <row r="2209" ht="15.75" customHeight="1">
      <c r="A2209" s="210">
        <f t="shared" si="1"/>
        <v>2207</v>
      </c>
      <c r="B2209" s="217"/>
      <c r="C2209" s="217" t="str">
        <f>IFERROR(VLOOKUP(B2209, SourceData!$U$3:$V$190, 2, FALSE), "")</f>
        <v/>
      </c>
      <c r="D2209" s="240"/>
      <c r="E2209" s="241"/>
      <c r="F2209" s="248"/>
      <c r="G2209" s="207"/>
      <c r="H2209" s="209"/>
      <c r="I2209" s="209"/>
      <c r="J2209" s="209"/>
      <c r="K2209" s="208" t="str">
        <f>IF(Errors!$I2209=0,SourceData!$B$42,VLOOKUP(Errors!$I2209,SourceData!$A$2:$B$40,2,FALSE))</f>
        <v>Please select ERROR CODE column "I"</v>
      </c>
      <c r="L2209" s="207" t="str">
        <f>IF(Errors!$I2209=0,
    'List of Error Codes'!$E$29,
    IFERROR(VLOOKUP(Errors!$I2209, 'List of Error Codes'!D2208:I2238, 6, FALSE), 'List of Error Codes'!$E$29)
)</f>
        <v>Please select ERROR CODE column "I"</v>
      </c>
      <c r="M2209" s="209"/>
      <c r="N2209" s="209"/>
      <c r="O2209" s="209"/>
      <c r="P2209" s="209"/>
      <c r="Q2209" s="209"/>
      <c r="R2209" s="217"/>
      <c r="S2209" s="217"/>
      <c r="T2209" s="217"/>
      <c r="U2209" s="199"/>
      <c r="V2209" s="200"/>
      <c r="W2209" s="200"/>
      <c r="X2209" s="200"/>
      <c r="Y2209" s="200"/>
      <c r="Z2209" s="200"/>
      <c r="AA2209" s="201"/>
      <c r="AB2209" s="200"/>
      <c r="AC2209" s="200"/>
    </row>
    <row r="2210" ht="15.75" customHeight="1">
      <c r="A2210" s="210">
        <f t="shared" si="1"/>
        <v>2208</v>
      </c>
      <c r="B2210" s="217"/>
      <c r="C2210" s="217" t="str">
        <f>IFERROR(VLOOKUP(B2210, SourceData!$U$3:$V$190, 2, FALSE), "")</f>
        <v/>
      </c>
      <c r="D2210" s="240"/>
      <c r="E2210" s="241"/>
      <c r="F2210" s="248"/>
      <c r="G2210" s="207"/>
      <c r="H2210" s="209"/>
      <c r="I2210" s="209"/>
      <c r="J2210" s="209"/>
      <c r="K2210" s="208" t="str">
        <f>IF(Errors!$I2210=0,SourceData!$B$42,VLOOKUP(Errors!$I2210,SourceData!$A$2:$B$40,2,FALSE))</f>
        <v>Please select ERROR CODE column "I"</v>
      </c>
      <c r="L2210" s="207" t="str">
        <f>IF(Errors!$I2210=0,
    'List of Error Codes'!$E$29,
    IFERROR(VLOOKUP(Errors!$I2210, 'List of Error Codes'!D2209:I2239, 6, FALSE), 'List of Error Codes'!$E$29)
)</f>
        <v>Please select ERROR CODE column "I"</v>
      </c>
      <c r="M2210" s="209"/>
      <c r="N2210" s="209"/>
      <c r="O2210" s="209"/>
      <c r="P2210" s="209"/>
      <c r="Q2210" s="209"/>
      <c r="R2210" s="217"/>
      <c r="S2210" s="217"/>
      <c r="T2210" s="217"/>
      <c r="U2210" s="199"/>
      <c r="V2210" s="200"/>
      <c r="W2210" s="200"/>
      <c r="X2210" s="200"/>
      <c r="Y2210" s="200"/>
      <c r="Z2210" s="200"/>
      <c r="AA2210" s="201"/>
      <c r="AB2210" s="200"/>
      <c r="AC2210" s="200"/>
    </row>
    <row r="2211" ht="15.75" customHeight="1">
      <c r="A2211" s="210">
        <f t="shared" si="1"/>
        <v>2209</v>
      </c>
      <c r="B2211" s="217"/>
      <c r="C2211" s="217" t="str">
        <f>IFERROR(VLOOKUP(B2211, SourceData!$U$3:$V$190, 2, FALSE), "")</f>
        <v/>
      </c>
      <c r="D2211" s="240"/>
      <c r="E2211" s="241"/>
      <c r="F2211" s="248"/>
      <c r="G2211" s="207"/>
      <c r="H2211" s="209"/>
      <c r="I2211" s="209"/>
      <c r="J2211" s="209"/>
      <c r="K2211" s="208" t="str">
        <f>IF(Errors!$I2211=0,SourceData!$B$42,VLOOKUP(Errors!$I2211,SourceData!$A$2:$B$40,2,FALSE))</f>
        <v>Please select ERROR CODE column "I"</v>
      </c>
      <c r="L2211" s="207" t="str">
        <f>IF(Errors!$I2211=0,
    'List of Error Codes'!$E$29,
    IFERROR(VLOOKUP(Errors!$I2211, 'List of Error Codes'!D2210:I2240, 6, FALSE), 'List of Error Codes'!$E$29)
)</f>
        <v>Please select ERROR CODE column "I"</v>
      </c>
      <c r="M2211" s="209"/>
      <c r="N2211" s="209"/>
      <c r="O2211" s="209"/>
      <c r="P2211" s="209"/>
      <c r="Q2211" s="209"/>
      <c r="R2211" s="217"/>
      <c r="S2211" s="217"/>
      <c r="T2211" s="217"/>
      <c r="U2211" s="199"/>
      <c r="V2211" s="200"/>
      <c r="W2211" s="200"/>
      <c r="X2211" s="200"/>
      <c r="Y2211" s="200"/>
      <c r="Z2211" s="200"/>
      <c r="AA2211" s="201"/>
      <c r="AB2211" s="200"/>
      <c r="AC2211" s="200"/>
    </row>
    <row r="2212" ht="15.75" customHeight="1">
      <c r="A2212" s="210">
        <f t="shared" si="1"/>
        <v>2210</v>
      </c>
      <c r="B2212" s="217"/>
      <c r="C2212" s="217" t="str">
        <f>IFERROR(VLOOKUP(B2212, SourceData!$U$3:$V$190, 2, FALSE), "")</f>
        <v/>
      </c>
      <c r="D2212" s="240"/>
      <c r="E2212" s="241"/>
      <c r="F2212" s="248"/>
      <c r="G2212" s="207"/>
      <c r="H2212" s="209"/>
      <c r="I2212" s="209"/>
      <c r="J2212" s="209"/>
      <c r="K2212" s="208" t="str">
        <f>IF(Errors!$I2212=0,SourceData!$B$42,VLOOKUP(Errors!$I2212,SourceData!$A$2:$B$40,2,FALSE))</f>
        <v>Please select ERROR CODE column "I"</v>
      </c>
      <c r="L2212" s="207" t="str">
        <f>IF(Errors!$I2212=0,
    'List of Error Codes'!$E$29,
    IFERROR(VLOOKUP(Errors!$I2212, 'List of Error Codes'!D2211:I2241, 6, FALSE), 'List of Error Codes'!$E$29)
)</f>
        <v>Please select ERROR CODE column "I"</v>
      </c>
      <c r="M2212" s="209"/>
      <c r="N2212" s="209"/>
      <c r="O2212" s="209"/>
      <c r="P2212" s="209"/>
      <c r="Q2212" s="209"/>
      <c r="R2212" s="217"/>
      <c r="S2212" s="217"/>
      <c r="T2212" s="217"/>
      <c r="U2212" s="199"/>
      <c r="V2212" s="200"/>
      <c r="W2212" s="200"/>
      <c r="X2212" s="200"/>
      <c r="Y2212" s="200"/>
      <c r="Z2212" s="200"/>
      <c r="AA2212" s="201"/>
      <c r="AB2212" s="200"/>
      <c r="AC2212" s="200"/>
    </row>
    <row r="2213" ht="15.75" customHeight="1">
      <c r="A2213" s="210">
        <f t="shared" si="1"/>
        <v>2211</v>
      </c>
      <c r="B2213" s="217"/>
      <c r="C2213" s="217" t="str">
        <f>IFERROR(VLOOKUP(B2213, SourceData!$U$3:$V$190, 2, FALSE), "")</f>
        <v/>
      </c>
      <c r="D2213" s="240"/>
      <c r="E2213" s="241"/>
      <c r="F2213" s="248"/>
      <c r="G2213" s="207"/>
      <c r="H2213" s="209"/>
      <c r="I2213" s="209"/>
      <c r="J2213" s="209"/>
      <c r="K2213" s="208" t="str">
        <f>IF(Errors!$I2213=0,SourceData!$B$42,VLOOKUP(Errors!$I2213,SourceData!$A$2:$B$40,2,FALSE))</f>
        <v>Please select ERROR CODE column "I"</v>
      </c>
      <c r="L2213" s="207" t="str">
        <f>IF(Errors!$I2213=0,
    'List of Error Codes'!$E$29,
    IFERROR(VLOOKUP(Errors!$I2213, 'List of Error Codes'!D2212:I2242, 6, FALSE), 'List of Error Codes'!$E$29)
)</f>
        <v>Please select ERROR CODE column "I"</v>
      </c>
      <c r="M2213" s="209"/>
      <c r="N2213" s="209"/>
      <c r="O2213" s="209"/>
      <c r="P2213" s="209"/>
      <c r="Q2213" s="209"/>
      <c r="R2213" s="217"/>
      <c r="S2213" s="217"/>
      <c r="T2213" s="217"/>
      <c r="U2213" s="199"/>
      <c r="V2213" s="200"/>
      <c r="W2213" s="200"/>
      <c r="X2213" s="200"/>
      <c r="Y2213" s="200"/>
      <c r="Z2213" s="200"/>
      <c r="AA2213" s="201"/>
      <c r="AB2213" s="200"/>
      <c r="AC2213" s="200"/>
    </row>
    <row r="2214" ht="15.75" customHeight="1">
      <c r="A2214" s="210">
        <f t="shared" si="1"/>
        <v>2212</v>
      </c>
      <c r="B2214" s="217"/>
      <c r="C2214" s="217" t="str">
        <f>IFERROR(VLOOKUP(B2214, SourceData!$U$3:$V$190, 2, FALSE), "")</f>
        <v/>
      </c>
      <c r="D2214" s="240"/>
      <c r="E2214" s="241"/>
      <c r="F2214" s="248"/>
      <c r="G2214" s="207"/>
      <c r="H2214" s="209"/>
      <c r="I2214" s="209"/>
      <c r="J2214" s="209"/>
      <c r="K2214" s="208" t="str">
        <f>IF(Errors!$I2214=0,SourceData!$B$42,VLOOKUP(Errors!$I2214,SourceData!$A$2:$B$40,2,FALSE))</f>
        <v>Please select ERROR CODE column "I"</v>
      </c>
      <c r="L2214" s="207" t="str">
        <f>IF(Errors!$I2214=0,
    'List of Error Codes'!$E$29,
    IFERROR(VLOOKUP(Errors!$I2214, 'List of Error Codes'!D2213:I2243, 6, FALSE), 'List of Error Codes'!$E$29)
)</f>
        <v>Please select ERROR CODE column "I"</v>
      </c>
      <c r="M2214" s="209"/>
      <c r="N2214" s="209"/>
      <c r="O2214" s="209"/>
      <c r="P2214" s="209"/>
      <c r="Q2214" s="209"/>
      <c r="R2214" s="217"/>
      <c r="S2214" s="217"/>
      <c r="T2214" s="217"/>
      <c r="U2214" s="199"/>
      <c r="V2214" s="200"/>
      <c r="W2214" s="200"/>
      <c r="X2214" s="200"/>
      <c r="Y2214" s="200"/>
      <c r="Z2214" s="200"/>
      <c r="AA2214" s="201"/>
      <c r="AB2214" s="200"/>
      <c r="AC2214" s="200"/>
    </row>
    <row r="2215" ht="15.75" customHeight="1">
      <c r="A2215" s="210">
        <f t="shared" si="1"/>
        <v>2213</v>
      </c>
      <c r="B2215" s="217"/>
      <c r="C2215" s="217" t="str">
        <f>IFERROR(VLOOKUP(B2215, SourceData!$U$3:$V$190, 2, FALSE), "")</f>
        <v/>
      </c>
      <c r="D2215" s="240"/>
      <c r="E2215" s="241"/>
      <c r="F2215" s="248"/>
      <c r="G2215" s="207"/>
      <c r="H2215" s="209"/>
      <c r="I2215" s="209"/>
      <c r="J2215" s="209"/>
      <c r="K2215" s="208" t="str">
        <f>IF(Errors!$I2215=0,SourceData!$B$42,VLOOKUP(Errors!$I2215,SourceData!$A$2:$B$40,2,FALSE))</f>
        <v>Please select ERROR CODE column "I"</v>
      </c>
      <c r="L2215" s="207" t="str">
        <f>IF(Errors!$I2215=0,
    'List of Error Codes'!$E$29,
    IFERROR(VLOOKUP(Errors!$I2215, 'List of Error Codes'!D2214:I2244, 6, FALSE), 'List of Error Codes'!$E$29)
)</f>
        <v>Please select ERROR CODE column "I"</v>
      </c>
      <c r="M2215" s="209"/>
      <c r="N2215" s="209"/>
      <c r="O2215" s="209"/>
      <c r="P2215" s="209"/>
      <c r="Q2215" s="209"/>
      <c r="R2215" s="217"/>
      <c r="S2215" s="217"/>
      <c r="T2215" s="217"/>
      <c r="U2215" s="199"/>
      <c r="V2215" s="200"/>
      <c r="W2215" s="200"/>
      <c r="X2215" s="200"/>
      <c r="Y2215" s="200"/>
      <c r="Z2215" s="200"/>
      <c r="AA2215" s="201"/>
      <c r="AB2215" s="200"/>
      <c r="AC2215" s="200"/>
    </row>
    <row r="2216" ht="15.75" customHeight="1">
      <c r="A2216" s="210">
        <f t="shared" si="1"/>
        <v>2214</v>
      </c>
      <c r="B2216" s="217"/>
      <c r="C2216" s="217" t="str">
        <f>IFERROR(VLOOKUP(B2216, SourceData!$U$3:$V$190, 2, FALSE), "")</f>
        <v/>
      </c>
      <c r="D2216" s="240"/>
      <c r="E2216" s="241"/>
      <c r="F2216" s="248"/>
      <c r="G2216" s="207"/>
      <c r="H2216" s="209"/>
      <c r="I2216" s="209"/>
      <c r="J2216" s="209"/>
      <c r="K2216" s="208" t="str">
        <f>IF(Errors!$I2216=0,SourceData!$B$42,VLOOKUP(Errors!$I2216,SourceData!$A$2:$B$40,2,FALSE))</f>
        <v>Please select ERROR CODE column "I"</v>
      </c>
      <c r="L2216" s="207" t="str">
        <f>IF(Errors!$I2216=0,
    'List of Error Codes'!$E$29,
    IFERROR(VLOOKUP(Errors!$I2216, 'List of Error Codes'!D2215:I2245, 6, FALSE), 'List of Error Codes'!$E$29)
)</f>
        <v>Please select ERROR CODE column "I"</v>
      </c>
      <c r="M2216" s="209"/>
      <c r="N2216" s="209"/>
      <c r="O2216" s="209"/>
      <c r="P2216" s="209"/>
      <c r="Q2216" s="209"/>
      <c r="R2216" s="217"/>
      <c r="S2216" s="217"/>
      <c r="T2216" s="217"/>
      <c r="U2216" s="199"/>
      <c r="V2216" s="200"/>
      <c r="W2216" s="200"/>
      <c r="X2216" s="200"/>
      <c r="Y2216" s="200"/>
      <c r="Z2216" s="200"/>
      <c r="AA2216" s="201"/>
      <c r="AB2216" s="200"/>
      <c r="AC2216" s="200"/>
    </row>
    <row r="2217" ht="15.75" customHeight="1">
      <c r="A2217" s="210">
        <f t="shared" si="1"/>
        <v>2215</v>
      </c>
      <c r="B2217" s="217"/>
      <c r="C2217" s="217" t="str">
        <f>IFERROR(VLOOKUP(B2217, SourceData!$U$3:$V$190, 2, FALSE), "")</f>
        <v/>
      </c>
      <c r="D2217" s="240"/>
      <c r="E2217" s="241"/>
      <c r="F2217" s="248"/>
      <c r="G2217" s="207"/>
      <c r="H2217" s="209"/>
      <c r="I2217" s="209"/>
      <c r="J2217" s="209"/>
      <c r="K2217" s="208" t="str">
        <f>IF(Errors!$I2217=0,SourceData!$B$42,VLOOKUP(Errors!$I2217,SourceData!$A$2:$B$40,2,FALSE))</f>
        <v>Please select ERROR CODE column "I"</v>
      </c>
      <c r="L2217" s="207" t="str">
        <f>IF(Errors!$I2217=0,
    'List of Error Codes'!$E$29,
    IFERROR(VLOOKUP(Errors!$I2217, 'List of Error Codes'!D2216:I2246, 6, FALSE), 'List of Error Codes'!$E$29)
)</f>
        <v>Please select ERROR CODE column "I"</v>
      </c>
      <c r="M2217" s="209"/>
      <c r="N2217" s="209"/>
      <c r="O2217" s="209"/>
      <c r="P2217" s="209"/>
      <c r="Q2217" s="209"/>
      <c r="R2217" s="217"/>
      <c r="S2217" s="217"/>
      <c r="T2217" s="217"/>
      <c r="U2217" s="199"/>
      <c r="V2217" s="200"/>
      <c r="W2217" s="200"/>
      <c r="X2217" s="200"/>
      <c r="Y2217" s="200"/>
      <c r="Z2217" s="200"/>
      <c r="AA2217" s="201"/>
      <c r="AB2217" s="200"/>
      <c r="AC2217" s="200"/>
    </row>
    <row r="2218" ht="15.75" customHeight="1">
      <c r="A2218" s="210">
        <f t="shared" si="1"/>
        <v>2216</v>
      </c>
      <c r="B2218" s="217"/>
      <c r="C2218" s="217" t="str">
        <f>IFERROR(VLOOKUP(B2218, SourceData!$U$3:$V$190, 2, FALSE), "")</f>
        <v/>
      </c>
      <c r="D2218" s="240"/>
      <c r="E2218" s="241"/>
      <c r="F2218" s="248"/>
      <c r="G2218" s="207"/>
      <c r="H2218" s="209"/>
      <c r="I2218" s="209"/>
      <c r="J2218" s="209"/>
      <c r="K2218" s="208" t="str">
        <f>IF(Errors!$I2218=0,SourceData!$B$42,VLOOKUP(Errors!$I2218,SourceData!$A$2:$B$40,2,FALSE))</f>
        <v>Please select ERROR CODE column "I"</v>
      </c>
      <c r="L2218" s="207" t="str">
        <f>IF(Errors!$I2218=0,
    'List of Error Codes'!$E$29,
    IFERROR(VLOOKUP(Errors!$I2218, 'List of Error Codes'!D2217:I2247, 6, FALSE), 'List of Error Codes'!$E$29)
)</f>
        <v>Please select ERROR CODE column "I"</v>
      </c>
      <c r="M2218" s="209"/>
      <c r="N2218" s="209"/>
      <c r="O2218" s="209"/>
      <c r="P2218" s="209"/>
      <c r="Q2218" s="209"/>
      <c r="R2218" s="217"/>
      <c r="S2218" s="217"/>
      <c r="T2218" s="217"/>
      <c r="U2218" s="199"/>
      <c r="V2218" s="200"/>
      <c r="W2218" s="200"/>
      <c r="X2218" s="200"/>
      <c r="Y2218" s="200"/>
      <c r="Z2218" s="200"/>
      <c r="AA2218" s="201"/>
      <c r="AB2218" s="200"/>
      <c r="AC2218" s="200"/>
    </row>
    <row r="2219" ht="15.75" customHeight="1">
      <c r="A2219" s="210">
        <f t="shared" si="1"/>
        <v>2217</v>
      </c>
      <c r="B2219" s="217"/>
      <c r="C2219" s="217" t="str">
        <f>IFERROR(VLOOKUP(B2219, SourceData!$U$3:$V$190, 2, FALSE), "")</f>
        <v/>
      </c>
      <c r="D2219" s="240"/>
      <c r="E2219" s="241"/>
      <c r="F2219" s="248"/>
      <c r="G2219" s="207"/>
      <c r="H2219" s="209"/>
      <c r="I2219" s="209"/>
      <c r="J2219" s="209"/>
      <c r="K2219" s="208" t="str">
        <f>IF(Errors!$I2219=0,SourceData!$B$42,VLOOKUP(Errors!$I2219,SourceData!$A$2:$B$40,2,FALSE))</f>
        <v>Please select ERROR CODE column "I"</v>
      </c>
      <c r="L2219" s="207" t="str">
        <f>IF(Errors!$I2219=0,
    'List of Error Codes'!$E$29,
    IFERROR(VLOOKUP(Errors!$I2219, 'List of Error Codes'!D2218:I2248, 6, FALSE), 'List of Error Codes'!$E$29)
)</f>
        <v>Please select ERROR CODE column "I"</v>
      </c>
      <c r="M2219" s="209"/>
      <c r="N2219" s="209"/>
      <c r="O2219" s="209"/>
      <c r="P2219" s="209"/>
      <c r="Q2219" s="209"/>
      <c r="R2219" s="217"/>
      <c r="S2219" s="217"/>
      <c r="T2219" s="217"/>
      <c r="U2219" s="199"/>
      <c r="V2219" s="200"/>
      <c r="W2219" s="200"/>
      <c r="X2219" s="200"/>
      <c r="Y2219" s="200"/>
      <c r="Z2219" s="200"/>
      <c r="AA2219" s="201"/>
      <c r="AB2219" s="200"/>
      <c r="AC2219" s="200"/>
    </row>
    <row r="2220" ht="15.75" customHeight="1">
      <c r="A2220" s="210">
        <f t="shared" si="1"/>
        <v>2218</v>
      </c>
      <c r="B2220" s="217"/>
      <c r="C2220" s="217" t="str">
        <f>IFERROR(VLOOKUP(B2220, SourceData!$U$3:$V$190, 2, FALSE), "")</f>
        <v/>
      </c>
      <c r="D2220" s="240"/>
      <c r="E2220" s="241"/>
      <c r="F2220" s="248"/>
      <c r="G2220" s="207"/>
      <c r="H2220" s="209"/>
      <c r="I2220" s="209"/>
      <c r="J2220" s="209"/>
      <c r="K2220" s="208" t="str">
        <f>IF(Errors!$I2220=0,SourceData!$B$42,VLOOKUP(Errors!$I2220,SourceData!$A$2:$B$40,2,FALSE))</f>
        <v>Please select ERROR CODE column "I"</v>
      </c>
      <c r="L2220" s="207" t="str">
        <f>IF(Errors!$I2220=0,
    'List of Error Codes'!$E$29,
    IFERROR(VLOOKUP(Errors!$I2220, 'List of Error Codes'!D2219:I2249, 6, FALSE), 'List of Error Codes'!$E$29)
)</f>
        <v>Please select ERROR CODE column "I"</v>
      </c>
      <c r="M2220" s="209"/>
      <c r="N2220" s="209"/>
      <c r="O2220" s="209"/>
      <c r="P2220" s="209"/>
      <c r="Q2220" s="209"/>
      <c r="R2220" s="217"/>
      <c r="S2220" s="217"/>
      <c r="T2220" s="217"/>
      <c r="U2220" s="199"/>
      <c r="V2220" s="200"/>
      <c r="W2220" s="200"/>
      <c r="X2220" s="200"/>
      <c r="Y2220" s="200"/>
      <c r="Z2220" s="200"/>
      <c r="AA2220" s="201"/>
      <c r="AB2220" s="200"/>
      <c r="AC2220" s="200"/>
    </row>
    <row r="2221" ht="15.75" customHeight="1">
      <c r="A2221" s="210">
        <f t="shared" si="1"/>
        <v>2219</v>
      </c>
      <c r="B2221" s="217"/>
      <c r="C2221" s="217" t="str">
        <f>IFERROR(VLOOKUP(B2221, SourceData!$U$3:$V$190, 2, FALSE), "")</f>
        <v/>
      </c>
      <c r="D2221" s="240"/>
      <c r="E2221" s="241"/>
      <c r="F2221" s="248"/>
      <c r="G2221" s="207"/>
      <c r="H2221" s="209"/>
      <c r="I2221" s="209"/>
      <c r="J2221" s="209"/>
      <c r="K2221" s="208" t="str">
        <f>IF(Errors!$I2221=0,SourceData!$B$42,VLOOKUP(Errors!$I2221,SourceData!$A$2:$B$40,2,FALSE))</f>
        <v>Please select ERROR CODE column "I"</v>
      </c>
      <c r="L2221" s="207" t="str">
        <f>IF(Errors!$I2221=0,
    'List of Error Codes'!$E$29,
    IFERROR(VLOOKUP(Errors!$I2221, 'List of Error Codes'!D2220:I2250, 6, FALSE), 'List of Error Codes'!$E$29)
)</f>
        <v>Please select ERROR CODE column "I"</v>
      </c>
      <c r="M2221" s="209"/>
      <c r="N2221" s="209"/>
      <c r="O2221" s="209"/>
      <c r="P2221" s="209"/>
      <c r="Q2221" s="209"/>
      <c r="R2221" s="217"/>
      <c r="S2221" s="217"/>
      <c r="T2221" s="217"/>
      <c r="U2221" s="199"/>
      <c r="V2221" s="200"/>
      <c r="W2221" s="200"/>
      <c r="X2221" s="200"/>
      <c r="Y2221" s="200"/>
      <c r="Z2221" s="200"/>
      <c r="AA2221" s="201"/>
      <c r="AB2221" s="200"/>
      <c r="AC2221" s="200"/>
    </row>
    <row r="2222" ht="15.75" customHeight="1">
      <c r="A2222" s="210">
        <f t="shared" si="1"/>
        <v>2220</v>
      </c>
      <c r="B2222" s="217"/>
      <c r="C2222" s="217" t="str">
        <f>IFERROR(VLOOKUP(B2222, SourceData!$U$3:$V$190, 2, FALSE), "")</f>
        <v/>
      </c>
      <c r="D2222" s="240"/>
      <c r="E2222" s="241"/>
      <c r="F2222" s="248"/>
      <c r="G2222" s="207"/>
      <c r="H2222" s="209"/>
      <c r="I2222" s="209"/>
      <c r="J2222" s="209"/>
      <c r="K2222" s="208" t="str">
        <f>IF(Errors!$I2222=0,SourceData!$B$42,VLOOKUP(Errors!$I2222,SourceData!$A$2:$B$40,2,FALSE))</f>
        <v>Please select ERROR CODE column "I"</v>
      </c>
      <c r="L2222" s="207" t="str">
        <f>IF(Errors!$I2222=0,
    'List of Error Codes'!$E$29,
    IFERROR(VLOOKUP(Errors!$I2222, 'List of Error Codes'!D2221:I2251, 6, FALSE), 'List of Error Codes'!$E$29)
)</f>
        <v>Please select ERROR CODE column "I"</v>
      </c>
      <c r="M2222" s="209"/>
      <c r="N2222" s="209"/>
      <c r="O2222" s="209"/>
      <c r="P2222" s="209"/>
      <c r="Q2222" s="209"/>
      <c r="R2222" s="217"/>
      <c r="S2222" s="217"/>
      <c r="T2222" s="217"/>
      <c r="U2222" s="199"/>
      <c r="V2222" s="200"/>
      <c r="W2222" s="200"/>
      <c r="X2222" s="200"/>
      <c r="Y2222" s="200"/>
      <c r="Z2222" s="200"/>
      <c r="AA2222" s="201"/>
      <c r="AB2222" s="200"/>
      <c r="AC2222" s="200"/>
    </row>
    <row r="2223" ht="15.75" customHeight="1">
      <c r="A2223" s="210">
        <f t="shared" si="1"/>
        <v>2221</v>
      </c>
      <c r="B2223" s="217"/>
      <c r="C2223" s="217" t="str">
        <f>IFERROR(VLOOKUP(B2223, SourceData!$U$3:$V$190, 2, FALSE), "")</f>
        <v/>
      </c>
      <c r="D2223" s="240"/>
      <c r="E2223" s="241"/>
      <c r="F2223" s="248"/>
      <c r="G2223" s="207"/>
      <c r="H2223" s="209"/>
      <c r="I2223" s="209"/>
      <c r="J2223" s="209"/>
      <c r="K2223" s="208" t="str">
        <f>IF(Errors!$I2223=0,SourceData!$B$42,VLOOKUP(Errors!$I2223,SourceData!$A$2:$B$40,2,FALSE))</f>
        <v>Please select ERROR CODE column "I"</v>
      </c>
      <c r="L2223" s="207" t="str">
        <f>IF(Errors!$I2223=0,
    'List of Error Codes'!$E$29,
    IFERROR(VLOOKUP(Errors!$I2223, 'List of Error Codes'!D2222:I2252, 6, FALSE), 'List of Error Codes'!$E$29)
)</f>
        <v>Please select ERROR CODE column "I"</v>
      </c>
      <c r="M2223" s="209"/>
      <c r="N2223" s="209"/>
      <c r="O2223" s="209"/>
      <c r="P2223" s="209"/>
      <c r="Q2223" s="209"/>
      <c r="R2223" s="217"/>
      <c r="S2223" s="217"/>
      <c r="T2223" s="217"/>
      <c r="U2223" s="199"/>
      <c r="V2223" s="200"/>
      <c r="W2223" s="200"/>
      <c r="X2223" s="200"/>
      <c r="Y2223" s="200"/>
      <c r="Z2223" s="200"/>
      <c r="AA2223" s="201"/>
      <c r="AB2223" s="200"/>
      <c r="AC2223" s="200"/>
    </row>
    <row r="2224" ht="15.75" customHeight="1">
      <c r="A2224" s="210">
        <f t="shared" si="1"/>
        <v>2222</v>
      </c>
      <c r="B2224" s="217"/>
      <c r="C2224" s="217" t="str">
        <f>IFERROR(VLOOKUP(B2224, SourceData!$U$3:$V$190, 2, FALSE), "")</f>
        <v/>
      </c>
      <c r="D2224" s="240"/>
      <c r="E2224" s="241"/>
      <c r="F2224" s="248"/>
      <c r="G2224" s="207"/>
      <c r="H2224" s="209"/>
      <c r="I2224" s="209"/>
      <c r="J2224" s="209"/>
      <c r="K2224" s="208" t="str">
        <f>IF(Errors!$I2224=0,SourceData!$B$42,VLOOKUP(Errors!$I2224,SourceData!$A$2:$B$40,2,FALSE))</f>
        <v>Please select ERROR CODE column "I"</v>
      </c>
      <c r="L2224" s="207" t="str">
        <f>IF(Errors!$I2224=0,
    'List of Error Codes'!$E$29,
    IFERROR(VLOOKUP(Errors!$I2224, 'List of Error Codes'!D2223:I2253, 6, FALSE), 'List of Error Codes'!$E$29)
)</f>
        <v>Please select ERROR CODE column "I"</v>
      </c>
      <c r="M2224" s="209"/>
      <c r="N2224" s="209"/>
      <c r="O2224" s="209"/>
      <c r="P2224" s="209"/>
      <c r="Q2224" s="209"/>
      <c r="R2224" s="217"/>
      <c r="S2224" s="217"/>
      <c r="T2224" s="217"/>
      <c r="U2224" s="199"/>
      <c r="V2224" s="200"/>
      <c r="W2224" s="200"/>
      <c r="X2224" s="200"/>
      <c r="Y2224" s="200"/>
      <c r="Z2224" s="200"/>
      <c r="AA2224" s="201"/>
      <c r="AB2224" s="200"/>
      <c r="AC2224" s="200"/>
    </row>
    <row r="2225" ht="15.75" customHeight="1">
      <c r="A2225" s="210">
        <f t="shared" si="1"/>
        <v>2223</v>
      </c>
      <c r="B2225" s="217"/>
      <c r="C2225" s="217" t="str">
        <f>IFERROR(VLOOKUP(B2225, SourceData!$U$3:$V$190, 2, FALSE), "")</f>
        <v/>
      </c>
      <c r="D2225" s="240"/>
      <c r="E2225" s="241"/>
      <c r="F2225" s="248"/>
      <c r="G2225" s="207"/>
      <c r="H2225" s="209"/>
      <c r="I2225" s="209"/>
      <c r="J2225" s="209"/>
      <c r="K2225" s="208" t="str">
        <f>IF(Errors!$I2225=0,SourceData!$B$42,VLOOKUP(Errors!$I2225,SourceData!$A$2:$B$40,2,FALSE))</f>
        <v>Please select ERROR CODE column "I"</v>
      </c>
      <c r="L2225" s="207" t="str">
        <f>IF(Errors!$I2225=0,
    'List of Error Codes'!$E$29,
    IFERROR(VLOOKUP(Errors!$I2225, 'List of Error Codes'!D2224:I2254, 6, FALSE), 'List of Error Codes'!$E$29)
)</f>
        <v>Please select ERROR CODE column "I"</v>
      </c>
      <c r="M2225" s="209"/>
      <c r="N2225" s="209"/>
      <c r="O2225" s="209"/>
      <c r="P2225" s="209"/>
      <c r="Q2225" s="209"/>
      <c r="R2225" s="217"/>
      <c r="S2225" s="217"/>
      <c r="T2225" s="217"/>
      <c r="U2225" s="199"/>
      <c r="V2225" s="200"/>
      <c r="W2225" s="200"/>
      <c r="X2225" s="200"/>
      <c r="Y2225" s="200"/>
      <c r="Z2225" s="200"/>
      <c r="AA2225" s="201"/>
      <c r="AB2225" s="200"/>
      <c r="AC2225" s="200"/>
    </row>
    <row r="2226" ht="15.75" customHeight="1">
      <c r="A2226" s="210">
        <f t="shared" si="1"/>
        <v>2224</v>
      </c>
      <c r="B2226" s="217"/>
      <c r="C2226" s="217" t="str">
        <f>IFERROR(VLOOKUP(B2226, SourceData!$U$3:$V$190, 2, FALSE), "")</f>
        <v/>
      </c>
      <c r="D2226" s="240"/>
      <c r="E2226" s="241"/>
      <c r="F2226" s="248"/>
      <c r="G2226" s="207"/>
      <c r="H2226" s="209"/>
      <c r="I2226" s="209"/>
      <c r="J2226" s="209"/>
      <c r="K2226" s="208" t="str">
        <f>IF(Errors!$I2226=0,SourceData!$B$42,VLOOKUP(Errors!$I2226,SourceData!$A$2:$B$40,2,FALSE))</f>
        <v>Please select ERROR CODE column "I"</v>
      </c>
      <c r="L2226" s="207" t="str">
        <f>IF(Errors!$I2226=0,
    'List of Error Codes'!$E$29,
    IFERROR(VLOOKUP(Errors!$I2226, 'List of Error Codes'!D2225:I2255, 6, FALSE), 'List of Error Codes'!$E$29)
)</f>
        <v>Please select ERROR CODE column "I"</v>
      </c>
      <c r="M2226" s="209"/>
      <c r="N2226" s="209"/>
      <c r="O2226" s="209"/>
      <c r="P2226" s="209"/>
      <c r="Q2226" s="209"/>
      <c r="R2226" s="217"/>
      <c r="S2226" s="217"/>
      <c r="T2226" s="217"/>
      <c r="U2226" s="199"/>
      <c r="V2226" s="200"/>
      <c r="W2226" s="200"/>
      <c r="X2226" s="200"/>
      <c r="Y2226" s="200"/>
      <c r="Z2226" s="200"/>
      <c r="AA2226" s="201"/>
      <c r="AB2226" s="200"/>
      <c r="AC2226" s="200"/>
    </row>
    <row r="2227" ht="15.75" customHeight="1">
      <c r="A2227" s="210">
        <f t="shared" si="1"/>
        <v>2225</v>
      </c>
      <c r="B2227" s="217"/>
      <c r="C2227" s="217" t="str">
        <f>IFERROR(VLOOKUP(B2227, SourceData!$U$3:$V$190, 2, FALSE), "")</f>
        <v/>
      </c>
      <c r="D2227" s="240"/>
      <c r="E2227" s="241"/>
      <c r="F2227" s="248"/>
      <c r="G2227" s="207"/>
      <c r="H2227" s="209"/>
      <c r="I2227" s="209"/>
      <c r="J2227" s="209"/>
      <c r="K2227" s="208" t="str">
        <f>IF(Errors!$I2227=0,SourceData!$B$42,VLOOKUP(Errors!$I2227,SourceData!$A$2:$B$40,2,FALSE))</f>
        <v>Please select ERROR CODE column "I"</v>
      </c>
      <c r="L2227" s="207" t="str">
        <f>IF(Errors!$I2227=0,
    'List of Error Codes'!$E$29,
    IFERROR(VLOOKUP(Errors!$I2227, 'List of Error Codes'!D2226:I2256, 6, FALSE), 'List of Error Codes'!$E$29)
)</f>
        <v>Please select ERROR CODE column "I"</v>
      </c>
      <c r="M2227" s="209"/>
      <c r="N2227" s="209"/>
      <c r="O2227" s="209"/>
      <c r="P2227" s="209"/>
      <c r="Q2227" s="209"/>
      <c r="R2227" s="217"/>
      <c r="S2227" s="217"/>
      <c r="T2227" s="217"/>
      <c r="U2227" s="199"/>
      <c r="V2227" s="200"/>
      <c r="W2227" s="200"/>
      <c r="X2227" s="200"/>
      <c r="Y2227" s="200"/>
      <c r="Z2227" s="200"/>
      <c r="AA2227" s="201"/>
      <c r="AB2227" s="200"/>
      <c r="AC2227" s="200"/>
    </row>
    <row r="2228" ht="15.75" customHeight="1">
      <c r="A2228" s="210">
        <f t="shared" si="1"/>
        <v>2226</v>
      </c>
      <c r="B2228" s="217"/>
      <c r="C2228" s="217" t="str">
        <f>IFERROR(VLOOKUP(B2228, SourceData!$U$3:$V$190, 2, FALSE), "")</f>
        <v/>
      </c>
      <c r="D2228" s="240"/>
      <c r="E2228" s="241"/>
      <c r="F2228" s="248"/>
      <c r="G2228" s="207"/>
      <c r="H2228" s="209"/>
      <c r="I2228" s="209"/>
      <c r="J2228" s="209"/>
      <c r="K2228" s="208" t="str">
        <f>IF(Errors!$I2228=0,SourceData!$B$42,VLOOKUP(Errors!$I2228,SourceData!$A$2:$B$40,2,FALSE))</f>
        <v>Please select ERROR CODE column "I"</v>
      </c>
      <c r="L2228" s="207" t="str">
        <f>IF(Errors!$I2228=0,
    'List of Error Codes'!$E$29,
    IFERROR(VLOOKUP(Errors!$I2228, 'List of Error Codes'!D2227:I2257, 6, FALSE), 'List of Error Codes'!$E$29)
)</f>
        <v>Please select ERROR CODE column "I"</v>
      </c>
      <c r="M2228" s="209"/>
      <c r="N2228" s="209"/>
      <c r="O2228" s="209"/>
      <c r="P2228" s="209"/>
      <c r="Q2228" s="209"/>
      <c r="R2228" s="217"/>
      <c r="S2228" s="217"/>
      <c r="T2228" s="217"/>
      <c r="U2228" s="199"/>
      <c r="V2228" s="200"/>
      <c r="W2228" s="200"/>
      <c r="X2228" s="200"/>
      <c r="Y2228" s="200"/>
      <c r="Z2228" s="200"/>
      <c r="AA2228" s="201"/>
      <c r="AB2228" s="200"/>
      <c r="AC2228" s="200"/>
    </row>
    <row r="2229" ht="15.75" customHeight="1">
      <c r="A2229" s="210">
        <f t="shared" si="1"/>
        <v>2227</v>
      </c>
      <c r="B2229" s="217"/>
      <c r="C2229" s="217" t="str">
        <f>IFERROR(VLOOKUP(B2229, SourceData!$U$3:$V$190, 2, FALSE), "")</f>
        <v/>
      </c>
      <c r="D2229" s="240"/>
      <c r="E2229" s="241"/>
      <c r="F2229" s="248"/>
      <c r="G2229" s="207"/>
      <c r="H2229" s="209"/>
      <c r="I2229" s="209"/>
      <c r="J2229" s="209"/>
      <c r="K2229" s="208" t="str">
        <f>IF(Errors!$I2229=0,SourceData!$B$42,VLOOKUP(Errors!$I2229,SourceData!$A$2:$B$40,2,FALSE))</f>
        <v>Please select ERROR CODE column "I"</v>
      </c>
      <c r="L2229" s="207" t="str">
        <f>IF(Errors!$I2229=0,
    'List of Error Codes'!$E$29,
    IFERROR(VLOOKUP(Errors!$I2229, 'List of Error Codes'!D2228:I2258, 6, FALSE), 'List of Error Codes'!$E$29)
)</f>
        <v>Please select ERROR CODE column "I"</v>
      </c>
      <c r="M2229" s="209"/>
      <c r="N2229" s="209"/>
      <c r="O2229" s="209"/>
      <c r="P2229" s="209"/>
      <c r="Q2229" s="209"/>
      <c r="R2229" s="217"/>
      <c r="S2229" s="217"/>
      <c r="T2229" s="217"/>
      <c r="U2229" s="199"/>
      <c r="V2229" s="200"/>
      <c r="W2229" s="200"/>
      <c r="X2229" s="200"/>
      <c r="Y2229" s="200"/>
      <c r="Z2229" s="200"/>
      <c r="AA2229" s="201"/>
      <c r="AB2229" s="200"/>
      <c r="AC2229" s="200"/>
    </row>
    <row r="2230" ht="15.75" customHeight="1">
      <c r="A2230" s="210">
        <f t="shared" si="1"/>
        <v>2228</v>
      </c>
      <c r="B2230" s="217"/>
      <c r="C2230" s="217" t="str">
        <f>IFERROR(VLOOKUP(B2230, SourceData!$U$3:$V$190, 2, FALSE), "")</f>
        <v/>
      </c>
      <c r="D2230" s="240"/>
      <c r="E2230" s="241"/>
      <c r="F2230" s="248"/>
      <c r="G2230" s="207"/>
      <c r="H2230" s="209"/>
      <c r="I2230" s="209"/>
      <c r="J2230" s="209"/>
      <c r="K2230" s="208" t="str">
        <f>IF(Errors!$I2230=0,SourceData!$B$42,VLOOKUP(Errors!$I2230,SourceData!$A$2:$B$40,2,FALSE))</f>
        <v>Please select ERROR CODE column "I"</v>
      </c>
      <c r="L2230" s="207" t="str">
        <f>IF(Errors!$I2230=0,
    'List of Error Codes'!$E$29,
    IFERROR(VLOOKUP(Errors!$I2230, 'List of Error Codes'!D2229:I2259, 6, FALSE), 'List of Error Codes'!$E$29)
)</f>
        <v>Please select ERROR CODE column "I"</v>
      </c>
      <c r="M2230" s="209"/>
      <c r="N2230" s="209"/>
      <c r="O2230" s="209"/>
      <c r="P2230" s="209"/>
      <c r="Q2230" s="209"/>
      <c r="R2230" s="217"/>
      <c r="S2230" s="217"/>
      <c r="T2230" s="217"/>
      <c r="U2230" s="199"/>
      <c r="V2230" s="200"/>
      <c r="W2230" s="200"/>
      <c r="X2230" s="200"/>
      <c r="Y2230" s="200"/>
      <c r="Z2230" s="200"/>
      <c r="AA2230" s="201"/>
      <c r="AB2230" s="200"/>
      <c r="AC2230" s="200"/>
    </row>
    <row r="2231" ht="15.75" customHeight="1">
      <c r="A2231" s="210">
        <f t="shared" si="1"/>
        <v>2229</v>
      </c>
      <c r="B2231" s="217"/>
      <c r="C2231" s="217" t="str">
        <f>IFERROR(VLOOKUP(B2231, SourceData!$U$3:$V$190, 2, FALSE), "")</f>
        <v/>
      </c>
      <c r="D2231" s="240"/>
      <c r="E2231" s="241"/>
      <c r="F2231" s="248"/>
      <c r="G2231" s="207"/>
      <c r="H2231" s="209"/>
      <c r="I2231" s="209"/>
      <c r="J2231" s="209"/>
      <c r="K2231" s="208" t="str">
        <f>IF(Errors!$I2231=0,SourceData!$B$42,VLOOKUP(Errors!$I2231,SourceData!$A$2:$B$40,2,FALSE))</f>
        <v>Please select ERROR CODE column "I"</v>
      </c>
      <c r="L2231" s="207" t="str">
        <f>IF(Errors!$I2231=0,
    'List of Error Codes'!$E$29,
    IFERROR(VLOOKUP(Errors!$I2231, 'List of Error Codes'!D2230:I2260, 6, FALSE), 'List of Error Codes'!$E$29)
)</f>
        <v>Please select ERROR CODE column "I"</v>
      </c>
      <c r="M2231" s="209"/>
      <c r="N2231" s="209"/>
      <c r="O2231" s="209"/>
      <c r="P2231" s="209"/>
      <c r="Q2231" s="209"/>
      <c r="R2231" s="217"/>
      <c r="S2231" s="217"/>
      <c r="T2231" s="217"/>
      <c r="U2231" s="199"/>
      <c r="V2231" s="200"/>
      <c r="W2231" s="200"/>
      <c r="X2231" s="200"/>
      <c r="Y2231" s="200"/>
      <c r="Z2231" s="200"/>
      <c r="AA2231" s="201"/>
      <c r="AB2231" s="200"/>
      <c r="AC2231" s="200"/>
    </row>
    <row r="2232" ht="15.75" customHeight="1">
      <c r="A2232" s="210">
        <f t="shared" si="1"/>
        <v>2230</v>
      </c>
      <c r="B2232" s="217"/>
      <c r="C2232" s="217" t="str">
        <f>IFERROR(VLOOKUP(B2232, SourceData!$U$3:$V$190, 2, FALSE), "")</f>
        <v/>
      </c>
      <c r="D2232" s="240"/>
      <c r="E2232" s="241"/>
      <c r="F2232" s="248"/>
      <c r="G2232" s="207"/>
      <c r="H2232" s="209"/>
      <c r="I2232" s="209"/>
      <c r="J2232" s="209"/>
      <c r="K2232" s="208" t="str">
        <f>IF(Errors!$I2232=0,SourceData!$B$42,VLOOKUP(Errors!$I2232,SourceData!$A$2:$B$40,2,FALSE))</f>
        <v>Please select ERROR CODE column "I"</v>
      </c>
      <c r="L2232" s="207" t="str">
        <f>IF(Errors!$I2232=0,
    'List of Error Codes'!$E$29,
    IFERROR(VLOOKUP(Errors!$I2232, 'List of Error Codes'!D2231:I2261, 6, FALSE), 'List of Error Codes'!$E$29)
)</f>
        <v>Please select ERROR CODE column "I"</v>
      </c>
      <c r="M2232" s="209"/>
      <c r="N2232" s="209"/>
      <c r="O2232" s="209"/>
      <c r="P2232" s="209"/>
      <c r="Q2232" s="209"/>
      <c r="R2232" s="217"/>
      <c r="S2232" s="217"/>
      <c r="T2232" s="217"/>
      <c r="U2232" s="199"/>
      <c r="V2232" s="200"/>
      <c r="W2232" s="200"/>
      <c r="X2232" s="200"/>
      <c r="Y2232" s="200"/>
      <c r="Z2232" s="200"/>
      <c r="AA2232" s="201"/>
      <c r="AB2232" s="200"/>
      <c r="AC2232" s="200"/>
    </row>
    <row r="2233" ht="15.75" customHeight="1">
      <c r="A2233" s="210">
        <f t="shared" si="1"/>
        <v>2231</v>
      </c>
      <c r="B2233" s="217"/>
      <c r="C2233" s="217" t="str">
        <f>IFERROR(VLOOKUP(B2233, SourceData!$U$3:$V$190, 2, FALSE), "")</f>
        <v/>
      </c>
      <c r="D2233" s="240"/>
      <c r="E2233" s="241"/>
      <c r="F2233" s="248"/>
      <c r="G2233" s="207"/>
      <c r="H2233" s="209"/>
      <c r="I2233" s="209"/>
      <c r="J2233" s="209"/>
      <c r="K2233" s="208" t="str">
        <f>IF(Errors!$I2233=0,SourceData!$B$42,VLOOKUP(Errors!$I2233,SourceData!$A$2:$B$40,2,FALSE))</f>
        <v>Please select ERROR CODE column "I"</v>
      </c>
      <c r="L2233" s="207" t="str">
        <f>IF(Errors!$I2233=0,
    'List of Error Codes'!$E$29,
    IFERROR(VLOOKUP(Errors!$I2233, 'List of Error Codes'!D2232:I2262, 6, FALSE), 'List of Error Codes'!$E$29)
)</f>
        <v>Please select ERROR CODE column "I"</v>
      </c>
      <c r="M2233" s="209"/>
      <c r="N2233" s="209"/>
      <c r="O2233" s="209"/>
      <c r="P2233" s="209"/>
      <c r="Q2233" s="209"/>
      <c r="R2233" s="217"/>
      <c r="S2233" s="217"/>
      <c r="T2233" s="217"/>
      <c r="U2233" s="199"/>
      <c r="V2233" s="200"/>
      <c r="W2233" s="200"/>
      <c r="X2233" s="200"/>
      <c r="Y2233" s="200"/>
      <c r="Z2233" s="200"/>
      <c r="AA2233" s="201"/>
      <c r="AB2233" s="200"/>
      <c r="AC2233" s="200"/>
    </row>
    <row r="2234" ht="15.75" customHeight="1">
      <c r="A2234" s="210">
        <f t="shared" si="1"/>
        <v>2232</v>
      </c>
      <c r="B2234" s="217"/>
      <c r="C2234" s="217" t="str">
        <f>IFERROR(VLOOKUP(B2234, SourceData!$U$3:$V$190, 2, FALSE), "")</f>
        <v/>
      </c>
      <c r="D2234" s="240"/>
      <c r="E2234" s="241"/>
      <c r="F2234" s="248"/>
      <c r="G2234" s="207"/>
      <c r="H2234" s="209"/>
      <c r="I2234" s="209"/>
      <c r="J2234" s="209"/>
      <c r="K2234" s="208" t="str">
        <f>IF(Errors!$I2234=0,SourceData!$B$42,VLOOKUP(Errors!$I2234,SourceData!$A$2:$B$40,2,FALSE))</f>
        <v>Please select ERROR CODE column "I"</v>
      </c>
      <c r="L2234" s="207" t="str">
        <f>IF(Errors!$I2234=0,
    'List of Error Codes'!$E$29,
    IFERROR(VLOOKUP(Errors!$I2234, 'List of Error Codes'!D2233:I2263, 6, FALSE), 'List of Error Codes'!$E$29)
)</f>
        <v>Please select ERROR CODE column "I"</v>
      </c>
      <c r="M2234" s="209"/>
      <c r="N2234" s="209"/>
      <c r="O2234" s="209"/>
      <c r="P2234" s="209"/>
      <c r="Q2234" s="209"/>
      <c r="R2234" s="217"/>
      <c r="S2234" s="217"/>
      <c r="T2234" s="217"/>
      <c r="U2234" s="199"/>
      <c r="V2234" s="200"/>
      <c r="W2234" s="200"/>
      <c r="X2234" s="200"/>
      <c r="Y2234" s="200"/>
      <c r="Z2234" s="200"/>
      <c r="AA2234" s="201"/>
      <c r="AB2234" s="200"/>
      <c r="AC2234" s="200"/>
    </row>
    <row r="2235" ht="15.75" customHeight="1">
      <c r="A2235" s="210">
        <f t="shared" si="1"/>
        <v>2233</v>
      </c>
      <c r="B2235" s="217"/>
      <c r="C2235" s="217" t="str">
        <f>IFERROR(VLOOKUP(B2235, SourceData!$U$3:$V$190, 2, FALSE), "")</f>
        <v/>
      </c>
      <c r="D2235" s="240"/>
      <c r="E2235" s="241"/>
      <c r="F2235" s="248"/>
      <c r="G2235" s="207"/>
      <c r="H2235" s="209"/>
      <c r="I2235" s="209"/>
      <c r="J2235" s="209"/>
      <c r="K2235" s="208" t="str">
        <f>IF(Errors!$I2235=0,SourceData!$B$42,VLOOKUP(Errors!$I2235,SourceData!$A$2:$B$40,2,FALSE))</f>
        <v>Please select ERROR CODE column "I"</v>
      </c>
      <c r="L2235" s="207" t="str">
        <f>IF(Errors!$I2235=0,
    'List of Error Codes'!$E$29,
    IFERROR(VLOOKUP(Errors!$I2235, 'List of Error Codes'!D2234:I2264, 6, FALSE), 'List of Error Codes'!$E$29)
)</f>
        <v>Please select ERROR CODE column "I"</v>
      </c>
      <c r="M2235" s="209"/>
      <c r="N2235" s="209"/>
      <c r="O2235" s="209"/>
      <c r="P2235" s="209"/>
      <c r="Q2235" s="209"/>
      <c r="R2235" s="217"/>
      <c r="S2235" s="217"/>
      <c r="T2235" s="217"/>
      <c r="U2235" s="199"/>
      <c r="V2235" s="200"/>
      <c r="W2235" s="200"/>
      <c r="X2235" s="200"/>
      <c r="Y2235" s="200"/>
      <c r="Z2235" s="200"/>
      <c r="AA2235" s="201"/>
      <c r="AB2235" s="200"/>
      <c r="AC2235" s="200"/>
    </row>
    <row r="2236" ht="15.75" customHeight="1">
      <c r="A2236" s="210">
        <f t="shared" si="1"/>
        <v>2234</v>
      </c>
      <c r="B2236" s="217"/>
      <c r="C2236" s="217" t="str">
        <f>IFERROR(VLOOKUP(B2236, SourceData!$U$3:$V$190, 2, FALSE), "")</f>
        <v/>
      </c>
      <c r="D2236" s="240"/>
      <c r="E2236" s="241"/>
      <c r="F2236" s="248"/>
      <c r="G2236" s="207"/>
      <c r="H2236" s="209"/>
      <c r="I2236" s="209"/>
      <c r="J2236" s="209"/>
      <c r="K2236" s="208" t="str">
        <f>IF(Errors!$I2236=0,SourceData!$B$42,VLOOKUP(Errors!$I2236,SourceData!$A$2:$B$40,2,FALSE))</f>
        <v>Please select ERROR CODE column "I"</v>
      </c>
      <c r="L2236" s="207" t="str">
        <f>IF(Errors!$I2236=0,
    'List of Error Codes'!$E$29,
    IFERROR(VLOOKUP(Errors!$I2236, 'List of Error Codes'!D2235:I2265, 6, FALSE), 'List of Error Codes'!$E$29)
)</f>
        <v>Please select ERROR CODE column "I"</v>
      </c>
      <c r="M2236" s="209"/>
      <c r="N2236" s="209"/>
      <c r="O2236" s="209"/>
      <c r="P2236" s="209"/>
      <c r="Q2236" s="209"/>
      <c r="R2236" s="217"/>
      <c r="S2236" s="217"/>
      <c r="T2236" s="217"/>
      <c r="U2236" s="199"/>
      <c r="V2236" s="200"/>
      <c r="W2236" s="200"/>
      <c r="X2236" s="200"/>
      <c r="Y2236" s="200"/>
      <c r="Z2236" s="200"/>
      <c r="AA2236" s="201"/>
      <c r="AB2236" s="200"/>
      <c r="AC2236" s="200"/>
    </row>
    <row r="2237" ht="15.75" customHeight="1">
      <c r="A2237" s="210">
        <f t="shared" si="1"/>
        <v>2235</v>
      </c>
      <c r="B2237" s="217"/>
      <c r="C2237" s="217" t="str">
        <f>IFERROR(VLOOKUP(B2237, SourceData!$U$3:$V$190, 2, FALSE), "")</f>
        <v/>
      </c>
      <c r="D2237" s="240"/>
      <c r="E2237" s="241"/>
      <c r="F2237" s="248"/>
      <c r="G2237" s="207"/>
      <c r="H2237" s="209"/>
      <c r="I2237" s="209"/>
      <c r="J2237" s="209"/>
      <c r="K2237" s="208" t="str">
        <f>IF(Errors!$I2237=0,SourceData!$B$42,VLOOKUP(Errors!$I2237,SourceData!$A$2:$B$40,2,FALSE))</f>
        <v>Please select ERROR CODE column "I"</v>
      </c>
      <c r="L2237" s="207" t="str">
        <f>IF(Errors!$I2237=0,
    'List of Error Codes'!$E$29,
    IFERROR(VLOOKUP(Errors!$I2237, 'List of Error Codes'!D2236:I2266, 6, FALSE), 'List of Error Codes'!$E$29)
)</f>
        <v>Please select ERROR CODE column "I"</v>
      </c>
      <c r="M2237" s="209"/>
      <c r="N2237" s="209"/>
      <c r="O2237" s="209"/>
      <c r="P2237" s="209"/>
      <c r="Q2237" s="209"/>
      <c r="R2237" s="217"/>
      <c r="S2237" s="217"/>
      <c r="T2237" s="217"/>
      <c r="U2237" s="199"/>
      <c r="V2237" s="200"/>
      <c r="W2237" s="200"/>
      <c r="X2237" s="200"/>
      <c r="Y2237" s="200"/>
      <c r="Z2237" s="200"/>
      <c r="AA2237" s="201"/>
      <c r="AB2237" s="200"/>
      <c r="AC2237" s="200"/>
    </row>
    <row r="2238" ht="15.75" customHeight="1">
      <c r="A2238" s="210">
        <f t="shared" si="1"/>
        <v>2236</v>
      </c>
      <c r="B2238" s="217"/>
      <c r="C2238" s="217" t="str">
        <f>IFERROR(VLOOKUP(B2238, SourceData!$U$3:$V$190, 2, FALSE), "")</f>
        <v/>
      </c>
      <c r="D2238" s="240"/>
      <c r="E2238" s="241"/>
      <c r="F2238" s="248"/>
      <c r="G2238" s="207"/>
      <c r="H2238" s="209"/>
      <c r="I2238" s="209"/>
      <c r="J2238" s="209"/>
      <c r="K2238" s="208" t="str">
        <f>IF(Errors!$I2238=0,SourceData!$B$42,VLOOKUP(Errors!$I2238,SourceData!$A$2:$B$40,2,FALSE))</f>
        <v>Please select ERROR CODE column "I"</v>
      </c>
      <c r="L2238" s="207" t="str">
        <f>IF(Errors!$I2238=0,
    'List of Error Codes'!$E$29,
    IFERROR(VLOOKUP(Errors!$I2238, 'List of Error Codes'!D2237:I2267, 6, FALSE), 'List of Error Codes'!$E$29)
)</f>
        <v>Please select ERROR CODE column "I"</v>
      </c>
      <c r="M2238" s="209"/>
      <c r="N2238" s="209"/>
      <c r="O2238" s="209"/>
      <c r="P2238" s="209"/>
      <c r="Q2238" s="209"/>
      <c r="R2238" s="217"/>
      <c r="S2238" s="217"/>
      <c r="T2238" s="217"/>
      <c r="U2238" s="199"/>
      <c r="V2238" s="200"/>
      <c r="W2238" s="200"/>
      <c r="X2238" s="200"/>
      <c r="Y2238" s="200"/>
      <c r="Z2238" s="200"/>
      <c r="AA2238" s="201"/>
      <c r="AB2238" s="200"/>
      <c r="AC2238" s="200"/>
    </row>
    <row r="2239" ht="15.75" customHeight="1">
      <c r="A2239" s="210">
        <f t="shared" si="1"/>
        <v>2237</v>
      </c>
      <c r="B2239" s="217"/>
      <c r="C2239" s="217" t="str">
        <f>IFERROR(VLOOKUP(B2239, SourceData!$U$3:$V$190, 2, FALSE), "")</f>
        <v/>
      </c>
      <c r="D2239" s="240"/>
      <c r="E2239" s="241"/>
      <c r="F2239" s="248"/>
      <c r="G2239" s="207"/>
      <c r="H2239" s="209"/>
      <c r="I2239" s="209"/>
      <c r="J2239" s="209"/>
      <c r="K2239" s="208" t="str">
        <f>IF(Errors!$I2239=0,SourceData!$B$42,VLOOKUP(Errors!$I2239,SourceData!$A$2:$B$40,2,FALSE))</f>
        <v>Please select ERROR CODE column "I"</v>
      </c>
      <c r="L2239" s="207" t="str">
        <f>IF(Errors!$I2239=0,
    'List of Error Codes'!$E$29,
    IFERROR(VLOOKUP(Errors!$I2239, 'List of Error Codes'!D2238:I2268, 6, FALSE), 'List of Error Codes'!$E$29)
)</f>
        <v>Please select ERROR CODE column "I"</v>
      </c>
      <c r="M2239" s="209"/>
      <c r="N2239" s="209"/>
      <c r="O2239" s="209"/>
      <c r="P2239" s="209"/>
      <c r="Q2239" s="209"/>
      <c r="R2239" s="217"/>
      <c r="S2239" s="217"/>
      <c r="T2239" s="217"/>
      <c r="U2239" s="199"/>
      <c r="V2239" s="200"/>
      <c r="W2239" s="200"/>
      <c r="X2239" s="200"/>
      <c r="Y2239" s="200"/>
      <c r="Z2239" s="200"/>
      <c r="AA2239" s="201"/>
      <c r="AB2239" s="200"/>
      <c r="AC2239" s="200"/>
    </row>
    <row r="2240" ht="15.75" customHeight="1">
      <c r="A2240" s="210">
        <f t="shared" si="1"/>
        <v>2238</v>
      </c>
      <c r="B2240" s="217"/>
      <c r="C2240" s="217" t="str">
        <f>IFERROR(VLOOKUP(B2240, SourceData!$U$3:$V$190, 2, FALSE), "")</f>
        <v/>
      </c>
      <c r="D2240" s="240"/>
      <c r="E2240" s="241"/>
      <c r="F2240" s="248"/>
      <c r="G2240" s="207"/>
      <c r="H2240" s="209"/>
      <c r="I2240" s="209"/>
      <c r="J2240" s="209"/>
      <c r="K2240" s="208" t="str">
        <f>IF(Errors!$I2240=0,SourceData!$B$42,VLOOKUP(Errors!$I2240,SourceData!$A$2:$B$40,2,FALSE))</f>
        <v>Please select ERROR CODE column "I"</v>
      </c>
      <c r="L2240" s="207" t="str">
        <f>IF(Errors!$I2240=0,
    'List of Error Codes'!$E$29,
    IFERROR(VLOOKUP(Errors!$I2240, 'List of Error Codes'!D2239:I2269, 6, FALSE), 'List of Error Codes'!$E$29)
)</f>
        <v>Please select ERROR CODE column "I"</v>
      </c>
      <c r="M2240" s="209"/>
      <c r="N2240" s="209"/>
      <c r="O2240" s="209"/>
      <c r="P2240" s="209"/>
      <c r="Q2240" s="209"/>
      <c r="R2240" s="217"/>
      <c r="S2240" s="217"/>
      <c r="T2240" s="217"/>
      <c r="U2240" s="199"/>
      <c r="V2240" s="200"/>
      <c r="W2240" s="200"/>
      <c r="X2240" s="200"/>
      <c r="Y2240" s="200"/>
      <c r="Z2240" s="200"/>
      <c r="AA2240" s="201"/>
      <c r="AB2240" s="200"/>
      <c r="AC2240" s="200"/>
    </row>
    <row r="2241" ht="15.75" customHeight="1">
      <c r="A2241" s="210">
        <f t="shared" si="1"/>
        <v>2239</v>
      </c>
      <c r="B2241" s="217"/>
      <c r="C2241" s="217" t="str">
        <f>IFERROR(VLOOKUP(B2241, SourceData!$U$3:$V$190, 2, FALSE), "")</f>
        <v/>
      </c>
      <c r="D2241" s="240"/>
      <c r="E2241" s="241"/>
      <c r="F2241" s="248"/>
      <c r="G2241" s="207"/>
      <c r="H2241" s="209"/>
      <c r="I2241" s="209"/>
      <c r="J2241" s="209"/>
      <c r="K2241" s="208" t="str">
        <f>IF(Errors!$I2241=0,SourceData!$B$42,VLOOKUP(Errors!$I2241,SourceData!$A$2:$B$40,2,FALSE))</f>
        <v>Please select ERROR CODE column "I"</v>
      </c>
      <c r="L2241" s="207" t="str">
        <f>IF(Errors!$I2241=0,
    'List of Error Codes'!$E$29,
    IFERROR(VLOOKUP(Errors!$I2241, 'List of Error Codes'!D2240:I2270, 6, FALSE), 'List of Error Codes'!$E$29)
)</f>
        <v>Please select ERROR CODE column "I"</v>
      </c>
      <c r="M2241" s="209"/>
      <c r="N2241" s="209"/>
      <c r="O2241" s="209"/>
      <c r="P2241" s="209"/>
      <c r="Q2241" s="209"/>
      <c r="R2241" s="217"/>
      <c r="S2241" s="217"/>
      <c r="T2241" s="217"/>
      <c r="U2241" s="199"/>
      <c r="V2241" s="200"/>
      <c r="W2241" s="200"/>
      <c r="X2241" s="200"/>
      <c r="Y2241" s="200"/>
      <c r="Z2241" s="200"/>
      <c r="AA2241" s="201"/>
      <c r="AB2241" s="200"/>
      <c r="AC2241" s="200"/>
    </row>
    <row r="2242" ht="15.75" customHeight="1">
      <c r="A2242" s="210">
        <f t="shared" si="1"/>
        <v>2240</v>
      </c>
      <c r="B2242" s="217"/>
      <c r="C2242" s="217" t="str">
        <f>IFERROR(VLOOKUP(B2242, SourceData!$U$3:$V$190, 2, FALSE), "")</f>
        <v/>
      </c>
      <c r="D2242" s="240"/>
      <c r="E2242" s="241"/>
      <c r="F2242" s="248"/>
      <c r="G2242" s="207"/>
      <c r="H2242" s="209"/>
      <c r="I2242" s="209"/>
      <c r="J2242" s="209"/>
      <c r="K2242" s="208" t="str">
        <f>IF(Errors!$I2242=0,SourceData!$B$42,VLOOKUP(Errors!$I2242,SourceData!$A$2:$B$40,2,FALSE))</f>
        <v>Please select ERROR CODE column "I"</v>
      </c>
      <c r="L2242" s="207" t="str">
        <f>IF(Errors!$I2242=0,
    'List of Error Codes'!$E$29,
    IFERROR(VLOOKUP(Errors!$I2242, 'List of Error Codes'!D2241:I2271, 6, FALSE), 'List of Error Codes'!$E$29)
)</f>
        <v>Please select ERROR CODE column "I"</v>
      </c>
      <c r="M2242" s="209"/>
      <c r="N2242" s="209"/>
      <c r="O2242" s="209"/>
      <c r="P2242" s="209"/>
      <c r="Q2242" s="209"/>
      <c r="R2242" s="217"/>
      <c r="S2242" s="217"/>
      <c r="T2242" s="217"/>
      <c r="U2242" s="199"/>
      <c r="V2242" s="200"/>
      <c r="W2242" s="200"/>
      <c r="X2242" s="200"/>
      <c r="Y2242" s="200"/>
      <c r="Z2242" s="200"/>
      <c r="AA2242" s="201"/>
      <c r="AB2242" s="200"/>
      <c r="AC2242" s="200"/>
    </row>
    <row r="2243" ht="15.75" customHeight="1">
      <c r="A2243" s="210">
        <f t="shared" si="1"/>
        <v>2241</v>
      </c>
      <c r="B2243" s="217"/>
      <c r="C2243" s="217" t="str">
        <f>IFERROR(VLOOKUP(B2243, SourceData!$U$3:$V$190, 2, FALSE), "")</f>
        <v/>
      </c>
      <c r="D2243" s="240"/>
      <c r="E2243" s="241"/>
      <c r="F2243" s="248"/>
      <c r="G2243" s="207"/>
      <c r="H2243" s="209"/>
      <c r="I2243" s="209"/>
      <c r="J2243" s="209"/>
      <c r="K2243" s="208" t="str">
        <f>IF(Errors!$I2243=0,SourceData!$B$42,VLOOKUP(Errors!$I2243,SourceData!$A$2:$B$40,2,FALSE))</f>
        <v>Please select ERROR CODE column "I"</v>
      </c>
      <c r="L2243" s="207" t="str">
        <f>IF(Errors!$I2243=0,
    'List of Error Codes'!$E$29,
    IFERROR(VLOOKUP(Errors!$I2243, 'List of Error Codes'!D2242:I2272, 6, FALSE), 'List of Error Codes'!$E$29)
)</f>
        <v>Please select ERROR CODE column "I"</v>
      </c>
      <c r="M2243" s="209"/>
      <c r="N2243" s="209"/>
      <c r="O2243" s="209"/>
      <c r="P2243" s="209"/>
      <c r="Q2243" s="209"/>
      <c r="R2243" s="217"/>
      <c r="S2243" s="217"/>
      <c r="T2243" s="217"/>
      <c r="U2243" s="199"/>
      <c r="V2243" s="200"/>
      <c r="W2243" s="200"/>
      <c r="X2243" s="200"/>
      <c r="Y2243" s="200"/>
      <c r="Z2243" s="200"/>
      <c r="AA2243" s="201"/>
      <c r="AB2243" s="200"/>
      <c r="AC2243" s="200"/>
    </row>
    <row r="2244" ht="15.75" customHeight="1">
      <c r="A2244" s="210">
        <f t="shared" si="1"/>
        <v>2242</v>
      </c>
      <c r="B2244" s="217"/>
      <c r="C2244" s="217" t="str">
        <f>IFERROR(VLOOKUP(B2244, SourceData!$U$3:$V$190, 2, FALSE), "")</f>
        <v/>
      </c>
      <c r="D2244" s="240"/>
      <c r="E2244" s="241"/>
      <c r="F2244" s="248"/>
      <c r="G2244" s="207"/>
      <c r="H2244" s="209"/>
      <c r="I2244" s="209"/>
      <c r="J2244" s="209"/>
      <c r="K2244" s="208" t="str">
        <f>IF(Errors!$I2244=0,SourceData!$B$42,VLOOKUP(Errors!$I2244,SourceData!$A$2:$B$40,2,FALSE))</f>
        <v>Please select ERROR CODE column "I"</v>
      </c>
      <c r="L2244" s="207" t="str">
        <f>IF(Errors!$I2244=0,
    'List of Error Codes'!$E$29,
    IFERROR(VLOOKUP(Errors!$I2244, 'List of Error Codes'!D2243:I2273, 6, FALSE), 'List of Error Codes'!$E$29)
)</f>
        <v>Please select ERROR CODE column "I"</v>
      </c>
      <c r="M2244" s="209"/>
      <c r="N2244" s="209"/>
      <c r="O2244" s="209"/>
      <c r="P2244" s="209"/>
      <c r="Q2244" s="209"/>
      <c r="R2244" s="217"/>
      <c r="S2244" s="217"/>
      <c r="T2244" s="217"/>
      <c r="U2244" s="199"/>
      <c r="V2244" s="200"/>
      <c r="W2244" s="200"/>
      <c r="X2244" s="200"/>
      <c r="Y2244" s="200"/>
      <c r="Z2244" s="200"/>
      <c r="AA2244" s="201"/>
      <c r="AB2244" s="200"/>
      <c r="AC2244" s="200"/>
    </row>
    <row r="2245" ht="15.75" customHeight="1">
      <c r="A2245" s="210">
        <f t="shared" si="1"/>
        <v>2243</v>
      </c>
      <c r="B2245" s="217"/>
      <c r="C2245" s="217" t="str">
        <f>IFERROR(VLOOKUP(B2245, SourceData!$U$3:$V$190, 2, FALSE), "")</f>
        <v/>
      </c>
      <c r="D2245" s="240"/>
      <c r="E2245" s="241"/>
      <c r="F2245" s="248"/>
      <c r="G2245" s="207"/>
      <c r="H2245" s="209"/>
      <c r="I2245" s="209"/>
      <c r="J2245" s="209"/>
      <c r="K2245" s="208" t="str">
        <f>IF(Errors!$I2245=0,SourceData!$B$42,VLOOKUP(Errors!$I2245,SourceData!$A$2:$B$40,2,FALSE))</f>
        <v>Please select ERROR CODE column "I"</v>
      </c>
      <c r="L2245" s="207" t="str">
        <f>IF(Errors!$I2245=0,
    'List of Error Codes'!$E$29,
    IFERROR(VLOOKUP(Errors!$I2245, 'List of Error Codes'!D2244:I2274, 6, FALSE), 'List of Error Codes'!$E$29)
)</f>
        <v>Please select ERROR CODE column "I"</v>
      </c>
      <c r="M2245" s="209"/>
      <c r="N2245" s="209"/>
      <c r="O2245" s="209"/>
      <c r="P2245" s="209"/>
      <c r="Q2245" s="209"/>
      <c r="R2245" s="217"/>
      <c r="S2245" s="217"/>
      <c r="T2245" s="217"/>
      <c r="U2245" s="199"/>
      <c r="V2245" s="200"/>
      <c r="W2245" s="200"/>
      <c r="X2245" s="200"/>
      <c r="Y2245" s="200"/>
      <c r="Z2245" s="200"/>
      <c r="AA2245" s="201"/>
      <c r="AB2245" s="200"/>
      <c r="AC2245" s="200"/>
    </row>
    <row r="2246" ht="15.75" customHeight="1">
      <c r="A2246" s="210">
        <f t="shared" si="1"/>
        <v>2244</v>
      </c>
      <c r="B2246" s="217"/>
      <c r="C2246" s="217" t="str">
        <f>IFERROR(VLOOKUP(B2246, SourceData!$U$3:$V$190, 2, FALSE), "")</f>
        <v/>
      </c>
      <c r="D2246" s="240"/>
      <c r="E2246" s="241"/>
      <c r="F2246" s="248"/>
      <c r="G2246" s="207"/>
      <c r="H2246" s="209"/>
      <c r="I2246" s="209"/>
      <c r="J2246" s="209"/>
      <c r="K2246" s="208" t="str">
        <f>IF(Errors!$I2246=0,SourceData!$B$42,VLOOKUP(Errors!$I2246,SourceData!$A$2:$B$40,2,FALSE))</f>
        <v>Please select ERROR CODE column "I"</v>
      </c>
      <c r="L2246" s="207" t="str">
        <f>IF(Errors!$I2246=0,
    'List of Error Codes'!$E$29,
    IFERROR(VLOOKUP(Errors!$I2246, 'List of Error Codes'!D2245:I2275, 6, FALSE), 'List of Error Codes'!$E$29)
)</f>
        <v>Please select ERROR CODE column "I"</v>
      </c>
      <c r="M2246" s="209"/>
      <c r="N2246" s="209"/>
      <c r="O2246" s="209"/>
      <c r="P2246" s="209"/>
      <c r="Q2246" s="209"/>
      <c r="R2246" s="217"/>
      <c r="S2246" s="217"/>
      <c r="T2246" s="217"/>
      <c r="U2246" s="199"/>
      <c r="V2246" s="200"/>
      <c r="W2246" s="200"/>
      <c r="X2246" s="200"/>
      <c r="Y2246" s="200"/>
      <c r="Z2246" s="200"/>
      <c r="AA2246" s="201"/>
      <c r="AB2246" s="200"/>
      <c r="AC2246" s="200"/>
    </row>
    <row r="2247" ht="15.75" customHeight="1">
      <c r="A2247" s="210">
        <f t="shared" si="1"/>
        <v>2245</v>
      </c>
      <c r="B2247" s="217"/>
      <c r="C2247" s="217" t="str">
        <f>IFERROR(VLOOKUP(B2247, SourceData!$U$3:$V$190, 2, FALSE), "")</f>
        <v/>
      </c>
      <c r="D2247" s="240"/>
      <c r="E2247" s="241"/>
      <c r="F2247" s="248"/>
      <c r="G2247" s="207"/>
      <c r="H2247" s="209"/>
      <c r="I2247" s="209"/>
      <c r="J2247" s="209"/>
      <c r="K2247" s="208" t="str">
        <f>IF(Errors!$I2247=0,SourceData!$B$42,VLOOKUP(Errors!$I2247,SourceData!$A$2:$B$40,2,FALSE))</f>
        <v>Please select ERROR CODE column "I"</v>
      </c>
      <c r="L2247" s="207" t="str">
        <f>IF(Errors!$I2247=0,
    'List of Error Codes'!$E$29,
    IFERROR(VLOOKUP(Errors!$I2247, 'List of Error Codes'!D2246:I2276, 6, FALSE), 'List of Error Codes'!$E$29)
)</f>
        <v>Please select ERROR CODE column "I"</v>
      </c>
      <c r="M2247" s="209"/>
      <c r="N2247" s="209"/>
      <c r="O2247" s="209"/>
      <c r="P2247" s="209"/>
      <c r="Q2247" s="209"/>
      <c r="R2247" s="217"/>
      <c r="S2247" s="217"/>
      <c r="T2247" s="217"/>
      <c r="U2247" s="199"/>
      <c r="V2247" s="200"/>
      <c r="W2247" s="200"/>
      <c r="X2247" s="200"/>
      <c r="Y2247" s="200"/>
      <c r="Z2247" s="200"/>
      <c r="AA2247" s="201"/>
      <c r="AB2247" s="200"/>
      <c r="AC2247" s="200"/>
    </row>
    <row r="2248" ht="15.75" customHeight="1">
      <c r="A2248" s="210">
        <f t="shared" si="1"/>
        <v>2246</v>
      </c>
      <c r="B2248" s="217"/>
      <c r="C2248" s="217" t="str">
        <f>IFERROR(VLOOKUP(B2248, SourceData!$U$3:$V$190, 2, FALSE), "")</f>
        <v/>
      </c>
      <c r="D2248" s="240"/>
      <c r="E2248" s="241"/>
      <c r="F2248" s="248"/>
      <c r="G2248" s="207"/>
      <c r="H2248" s="209"/>
      <c r="I2248" s="209"/>
      <c r="J2248" s="209"/>
      <c r="K2248" s="208" t="str">
        <f>IF(Errors!$I2248=0,SourceData!$B$42,VLOOKUP(Errors!$I2248,SourceData!$A$2:$B$40,2,FALSE))</f>
        <v>Please select ERROR CODE column "I"</v>
      </c>
      <c r="L2248" s="207" t="str">
        <f>IF(Errors!$I2248=0,
    'List of Error Codes'!$E$29,
    IFERROR(VLOOKUP(Errors!$I2248, 'List of Error Codes'!D2247:I2277, 6, FALSE), 'List of Error Codes'!$E$29)
)</f>
        <v>Please select ERROR CODE column "I"</v>
      </c>
      <c r="M2248" s="209"/>
      <c r="N2248" s="209"/>
      <c r="O2248" s="209"/>
      <c r="P2248" s="209"/>
      <c r="Q2248" s="209"/>
      <c r="R2248" s="217"/>
      <c r="S2248" s="217"/>
      <c r="T2248" s="217"/>
      <c r="U2248" s="199"/>
      <c r="V2248" s="200"/>
      <c r="W2248" s="200"/>
      <c r="X2248" s="200"/>
      <c r="Y2248" s="200"/>
      <c r="Z2248" s="200"/>
      <c r="AA2248" s="201"/>
      <c r="AB2248" s="200"/>
      <c r="AC2248" s="200"/>
    </row>
    <row r="2249" ht="15.75" customHeight="1">
      <c r="A2249" s="210">
        <f t="shared" si="1"/>
        <v>2247</v>
      </c>
      <c r="B2249" s="217"/>
      <c r="C2249" s="217" t="str">
        <f>IFERROR(VLOOKUP(B2249, SourceData!$U$3:$V$190, 2, FALSE), "")</f>
        <v/>
      </c>
      <c r="D2249" s="240"/>
      <c r="E2249" s="241"/>
      <c r="F2249" s="248"/>
      <c r="G2249" s="207"/>
      <c r="H2249" s="209"/>
      <c r="I2249" s="209"/>
      <c r="J2249" s="209"/>
      <c r="K2249" s="208" t="str">
        <f>IF(Errors!$I2249=0,SourceData!$B$42,VLOOKUP(Errors!$I2249,SourceData!$A$2:$B$40,2,FALSE))</f>
        <v>Please select ERROR CODE column "I"</v>
      </c>
      <c r="L2249" s="207" t="str">
        <f>IF(Errors!$I2249=0,
    'List of Error Codes'!$E$29,
    IFERROR(VLOOKUP(Errors!$I2249, 'List of Error Codes'!D2248:I2278, 6, FALSE), 'List of Error Codes'!$E$29)
)</f>
        <v>Please select ERROR CODE column "I"</v>
      </c>
      <c r="M2249" s="209"/>
      <c r="N2249" s="209"/>
      <c r="O2249" s="209"/>
      <c r="P2249" s="209"/>
      <c r="Q2249" s="209"/>
      <c r="R2249" s="217"/>
      <c r="S2249" s="217"/>
      <c r="T2249" s="217"/>
      <c r="U2249" s="199"/>
      <c r="V2249" s="200"/>
      <c r="W2249" s="200"/>
      <c r="X2249" s="200"/>
      <c r="Y2249" s="200"/>
      <c r="Z2249" s="200"/>
      <c r="AA2249" s="201"/>
      <c r="AB2249" s="200"/>
      <c r="AC2249" s="200"/>
    </row>
    <row r="2250" ht="15.75" customHeight="1">
      <c r="A2250" s="210">
        <f t="shared" si="1"/>
        <v>2248</v>
      </c>
      <c r="B2250" s="217"/>
      <c r="C2250" s="217" t="str">
        <f>IFERROR(VLOOKUP(B2250, SourceData!$U$3:$V$190, 2, FALSE), "")</f>
        <v/>
      </c>
      <c r="D2250" s="240"/>
      <c r="E2250" s="241"/>
      <c r="F2250" s="248"/>
      <c r="G2250" s="207"/>
      <c r="H2250" s="209"/>
      <c r="I2250" s="209"/>
      <c r="J2250" s="209"/>
      <c r="K2250" s="208" t="str">
        <f>IF(Errors!$I2250=0,SourceData!$B$42,VLOOKUP(Errors!$I2250,SourceData!$A$2:$B$40,2,FALSE))</f>
        <v>Please select ERROR CODE column "I"</v>
      </c>
      <c r="L2250" s="207" t="str">
        <f>IF(Errors!$I2250=0,
    'List of Error Codes'!$E$29,
    IFERROR(VLOOKUP(Errors!$I2250, 'List of Error Codes'!D2249:I2279, 6, FALSE), 'List of Error Codes'!$E$29)
)</f>
        <v>Please select ERROR CODE column "I"</v>
      </c>
      <c r="M2250" s="209"/>
      <c r="N2250" s="209"/>
      <c r="O2250" s="209"/>
      <c r="P2250" s="209"/>
      <c r="Q2250" s="209"/>
      <c r="R2250" s="217"/>
      <c r="S2250" s="217"/>
      <c r="T2250" s="217"/>
      <c r="U2250" s="199"/>
      <c r="V2250" s="200"/>
      <c r="W2250" s="200"/>
      <c r="X2250" s="200"/>
      <c r="Y2250" s="200"/>
      <c r="Z2250" s="200"/>
      <c r="AA2250" s="201"/>
      <c r="AB2250" s="200"/>
      <c r="AC2250" s="200"/>
    </row>
    <row r="2251" ht="15.75" customHeight="1">
      <c r="A2251" s="210">
        <f t="shared" si="1"/>
        <v>2249</v>
      </c>
      <c r="B2251" s="217"/>
      <c r="C2251" s="217" t="str">
        <f>IFERROR(VLOOKUP(B2251, SourceData!$U$3:$V$190, 2, FALSE), "")</f>
        <v/>
      </c>
      <c r="D2251" s="240"/>
      <c r="E2251" s="241"/>
      <c r="F2251" s="248"/>
      <c r="G2251" s="207"/>
      <c r="H2251" s="209"/>
      <c r="I2251" s="209"/>
      <c r="J2251" s="209"/>
      <c r="K2251" s="208" t="str">
        <f>IF(Errors!$I2251=0,SourceData!$B$42,VLOOKUP(Errors!$I2251,SourceData!$A$2:$B$40,2,FALSE))</f>
        <v>Please select ERROR CODE column "I"</v>
      </c>
      <c r="L2251" s="207" t="str">
        <f>IF(Errors!$I2251=0,
    'List of Error Codes'!$E$29,
    IFERROR(VLOOKUP(Errors!$I2251, 'List of Error Codes'!D2250:I2280, 6, FALSE), 'List of Error Codes'!$E$29)
)</f>
        <v>Please select ERROR CODE column "I"</v>
      </c>
      <c r="M2251" s="209"/>
      <c r="N2251" s="209"/>
      <c r="O2251" s="209"/>
      <c r="P2251" s="209"/>
      <c r="Q2251" s="209"/>
      <c r="R2251" s="217"/>
      <c r="S2251" s="217"/>
      <c r="T2251" s="217"/>
      <c r="U2251" s="199"/>
      <c r="V2251" s="200"/>
      <c r="W2251" s="200"/>
      <c r="X2251" s="200"/>
      <c r="Y2251" s="200"/>
      <c r="Z2251" s="200"/>
      <c r="AA2251" s="201"/>
      <c r="AB2251" s="200"/>
      <c r="AC2251" s="200"/>
    </row>
    <row r="2252" ht="15.75" customHeight="1">
      <c r="A2252" s="210">
        <f t="shared" si="1"/>
        <v>2250</v>
      </c>
      <c r="B2252" s="217"/>
      <c r="C2252" s="217" t="str">
        <f>IFERROR(VLOOKUP(B2252, SourceData!$U$3:$V$190, 2, FALSE), "")</f>
        <v/>
      </c>
      <c r="D2252" s="240"/>
      <c r="E2252" s="241"/>
      <c r="F2252" s="248"/>
      <c r="G2252" s="207"/>
      <c r="H2252" s="209"/>
      <c r="I2252" s="209"/>
      <c r="J2252" s="209"/>
      <c r="K2252" s="208" t="str">
        <f>IF(Errors!$I2252=0,SourceData!$B$42,VLOOKUP(Errors!$I2252,SourceData!$A$2:$B$40,2,FALSE))</f>
        <v>Please select ERROR CODE column "I"</v>
      </c>
      <c r="L2252" s="207" t="str">
        <f>IF(Errors!$I2252=0,
    'List of Error Codes'!$E$29,
    IFERROR(VLOOKUP(Errors!$I2252, 'List of Error Codes'!D2251:I2281, 6, FALSE), 'List of Error Codes'!$E$29)
)</f>
        <v>Please select ERROR CODE column "I"</v>
      </c>
      <c r="M2252" s="209"/>
      <c r="N2252" s="209"/>
      <c r="O2252" s="209"/>
      <c r="P2252" s="209"/>
      <c r="Q2252" s="209"/>
      <c r="R2252" s="217"/>
      <c r="S2252" s="217"/>
      <c r="T2252" s="217"/>
      <c r="U2252" s="199"/>
      <c r="V2252" s="200"/>
      <c r="W2252" s="200"/>
      <c r="X2252" s="200"/>
      <c r="Y2252" s="200"/>
      <c r="Z2252" s="200"/>
      <c r="AA2252" s="201"/>
      <c r="AB2252" s="200"/>
      <c r="AC2252" s="200"/>
    </row>
    <row r="2253" ht="15.75" customHeight="1">
      <c r="A2253" s="210">
        <f t="shared" si="1"/>
        <v>2251</v>
      </c>
      <c r="B2253" s="217"/>
      <c r="C2253" s="217" t="str">
        <f>IFERROR(VLOOKUP(B2253, SourceData!$U$3:$V$190, 2, FALSE), "")</f>
        <v/>
      </c>
      <c r="D2253" s="240"/>
      <c r="E2253" s="241"/>
      <c r="F2253" s="248"/>
      <c r="G2253" s="207"/>
      <c r="H2253" s="209"/>
      <c r="I2253" s="209"/>
      <c r="J2253" s="209"/>
      <c r="K2253" s="208" t="str">
        <f>IF(Errors!$I2253=0,SourceData!$B$42,VLOOKUP(Errors!$I2253,SourceData!$A$2:$B$40,2,FALSE))</f>
        <v>Please select ERROR CODE column "I"</v>
      </c>
      <c r="L2253" s="207" t="str">
        <f>IF(Errors!$I2253=0,
    'List of Error Codes'!$E$29,
    IFERROR(VLOOKUP(Errors!$I2253, 'List of Error Codes'!D2252:I2282, 6, FALSE), 'List of Error Codes'!$E$29)
)</f>
        <v>Please select ERROR CODE column "I"</v>
      </c>
      <c r="M2253" s="209"/>
      <c r="N2253" s="209"/>
      <c r="O2253" s="209"/>
      <c r="P2253" s="209"/>
      <c r="Q2253" s="209"/>
      <c r="R2253" s="217"/>
      <c r="S2253" s="217"/>
      <c r="T2253" s="217"/>
      <c r="U2253" s="199"/>
      <c r="V2253" s="200"/>
      <c r="W2253" s="200"/>
      <c r="X2253" s="200"/>
      <c r="Y2253" s="200"/>
      <c r="Z2253" s="200"/>
      <c r="AA2253" s="201"/>
      <c r="AB2253" s="200"/>
      <c r="AC2253" s="200"/>
    </row>
    <row r="2254" ht="15.75" customHeight="1">
      <c r="A2254" s="210">
        <f t="shared" si="1"/>
        <v>2252</v>
      </c>
      <c r="B2254" s="217"/>
      <c r="C2254" s="217" t="str">
        <f>IFERROR(VLOOKUP(B2254, SourceData!$U$3:$V$190, 2, FALSE), "")</f>
        <v/>
      </c>
      <c r="D2254" s="240"/>
      <c r="E2254" s="241"/>
      <c r="F2254" s="248"/>
      <c r="G2254" s="207"/>
      <c r="H2254" s="209"/>
      <c r="I2254" s="209"/>
      <c r="J2254" s="209"/>
      <c r="K2254" s="208" t="str">
        <f>IF(Errors!$I2254=0,SourceData!$B$42,VLOOKUP(Errors!$I2254,SourceData!$A$2:$B$40,2,FALSE))</f>
        <v>Please select ERROR CODE column "I"</v>
      </c>
      <c r="L2254" s="207" t="str">
        <f>IF(Errors!$I2254=0,
    'List of Error Codes'!$E$29,
    IFERROR(VLOOKUP(Errors!$I2254, 'List of Error Codes'!D2253:I2283, 6, FALSE), 'List of Error Codes'!$E$29)
)</f>
        <v>Please select ERROR CODE column "I"</v>
      </c>
      <c r="M2254" s="209"/>
      <c r="N2254" s="209"/>
      <c r="O2254" s="209"/>
      <c r="P2254" s="209"/>
      <c r="Q2254" s="209"/>
      <c r="R2254" s="217"/>
      <c r="S2254" s="217"/>
      <c r="T2254" s="217"/>
      <c r="U2254" s="199"/>
      <c r="V2254" s="200"/>
      <c r="W2254" s="200"/>
      <c r="X2254" s="200"/>
      <c r="Y2254" s="200"/>
      <c r="Z2254" s="200"/>
      <c r="AA2254" s="201"/>
      <c r="AB2254" s="200"/>
      <c r="AC2254" s="200"/>
    </row>
    <row r="2255" ht="15.75" customHeight="1">
      <c r="A2255" s="210">
        <f t="shared" si="1"/>
        <v>2253</v>
      </c>
      <c r="B2255" s="217"/>
      <c r="C2255" s="217" t="str">
        <f>IFERROR(VLOOKUP(B2255, SourceData!$U$3:$V$190, 2, FALSE), "")</f>
        <v/>
      </c>
      <c r="D2255" s="240"/>
      <c r="E2255" s="241"/>
      <c r="F2255" s="248"/>
      <c r="G2255" s="207"/>
      <c r="H2255" s="209"/>
      <c r="I2255" s="209"/>
      <c r="J2255" s="209"/>
      <c r="K2255" s="208" t="str">
        <f>IF(Errors!$I2255=0,SourceData!$B$42,VLOOKUP(Errors!$I2255,SourceData!$A$2:$B$40,2,FALSE))</f>
        <v>Please select ERROR CODE column "I"</v>
      </c>
      <c r="L2255" s="207" t="str">
        <f>IF(Errors!$I2255=0,
    'List of Error Codes'!$E$29,
    IFERROR(VLOOKUP(Errors!$I2255, 'List of Error Codes'!D2254:I2284, 6, FALSE), 'List of Error Codes'!$E$29)
)</f>
        <v>Please select ERROR CODE column "I"</v>
      </c>
      <c r="M2255" s="209"/>
      <c r="N2255" s="209"/>
      <c r="O2255" s="209"/>
      <c r="P2255" s="209"/>
      <c r="Q2255" s="209"/>
      <c r="R2255" s="217"/>
      <c r="S2255" s="217"/>
      <c r="T2255" s="217"/>
      <c r="U2255" s="199"/>
      <c r="V2255" s="200"/>
      <c r="W2255" s="200"/>
      <c r="X2255" s="200"/>
      <c r="Y2255" s="200"/>
      <c r="Z2255" s="200"/>
      <c r="AA2255" s="201"/>
      <c r="AB2255" s="200"/>
      <c r="AC2255" s="200"/>
    </row>
    <row r="2256" ht="15.75" customHeight="1">
      <c r="A2256" s="210">
        <f t="shared" si="1"/>
        <v>2254</v>
      </c>
      <c r="B2256" s="217"/>
      <c r="C2256" s="217" t="str">
        <f>IFERROR(VLOOKUP(B2256, SourceData!$U$3:$V$190, 2, FALSE), "")</f>
        <v/>
      </c>
      <c r="D2256" s="240"/>
      <c r="E2256" s="241"/>
      <c r="F2256" s="248"/>
      <c r="G2256" s="207"/>
      <c r="H2256" s="209"/>
      <c r="I2256" s="209"/>
      <c r="J2256" s="209"/>
      <c r="K2256" s="208" t="str">
        <f>IF(Errors!$I2256=0,SourceData!$B$42,VLOOKUP(Errors!$I2256,SourceData!$A$2:$B$40,2,FALSE))</f>
        <v>Please select ERROR CODE column "I"</v>
      </c>
      <c r="L2256" s="207" t="str">
        <f>IF(Errors!$I2256=0,
    'List of Error Codes'!$E$29,
    IFERROR(VLOOKUP(Errors!$I2256, 'List of Error Codes'!D2255:I2285, 6, FALSE), 'List of Error Codes'!$E$29)
)</f>
        <v>Please select ERROR CODE column "I"</v>
      </c>
      <c r="M2256" s="209"/>
      <c r="N2256" s="209"/>
      <c r="O2256" s="209"/>
      <c r="P2256" s="209"/>
      <c r="Q2256" s="209"/>
      <c r="R2256" s="217"/>
      <c r="S2256" s="217"/>
      <c r="T2256" s="217"/>
      <c r="U2256" s="199"/>
      <c r="V2256" s="200"/>
      <c r="W2256" s="200"/>
      <c r="X2256" s="200"/>
      <c r="Y2256" s="200"/>
      <c r="Z2256" s="200"/>
      <c r="AA2256" s="201"/>
      <c r="AB2256" s="200"/>
      <c r="AC2256" s="200"/>
    </row>
    <row r="2257" ht="15.75" customHeight="1">
      <c r="A2257" s="210">
        <f t="shared" si="1"/>
        <v>2255</v>
      </c>
      <c r="B2257" s="217"/>
      <c r="C2257" s="217" t="str">
        <f>IFERROR(VLOOKUP(B2257, SourceData!$U$3:$V$190, 2, FALSE), "")</f>
        <v/>
      </c>
      <c r="D2257" s="240"/>
      <c r="E2257" s="241"/>
      <c r="F2257" s="248"/>
      <c r="G2257" s="207"/>
      <c r="H2257" s="209"/>
      <c r="I2257" s="209"/>
      <c r="J2257" s="209"/>
      <c r="K2257" s="208" t="str">
        <f>IF(Errors!$I2257=0,SourceData!$B$42,VLOOKUP(Errors!$I2257,SourceData!$A$2:$B$40,2,FALSE))</f>
        <v>Please select ERROR CODE column "I"</v>
      </c>
      <c r="L2257" s="207" t="str">
        <f>IF(Errors!$I2257=0,
    'List of Error Codes'!$E$29,
    IFERROR(VLOOKUP(Errors!$I2257, 'List of Error Codes'!D2256:I2286, 6, FALSE), 'List of Error Codes'!$E$29)
)</f>
        <v>Please select ERROR CODE column "I"</v>
      </c>
      <c r="M2257" s="209"/>
      <c r="N2257" s="209"/>
      <c r="O2257" s="209"/>
      <c r="P2257" s="209"/>
      <c r="Q2257" s="209"/>
      <c r="R2257" s="217"/>
      <c r="S2257" s="217"/>
      <c r="T2257" s="217"/>
      <c r="U2257" s="199"/>
      <c r="V2257" s="200"/>
      <c r="W2257" s="200"/>
      <c r="X2257" s="200"/>
      <c r="Y2257" s="200"/>
      <c r="Z2257" s="200"/>
      <c r="AA2257" s="201"/>
      <c r="AB2257" s="200"/>
      <c r="AC2257" s="200"/>
    </row>
    <row r="2258" ht="15.75" customHeight="1">
      <c r="A2258" s="210">
        <f t="shared" si="1"/>
        <v>2256</v>
      </c>
      <c r="B2258" s="217"/>
      <c r="C2258" s="217" t="str">
        <f>IFERROR(VLOOKUP(B2258, SourceData!$U$3:$V$190, 2, FALSE), "")</f>
        <v/>
      </c>
      <c r="D2258" s="240"/>
      <c r="E2258" s="241"/>
      <c r="F2258" s="248"/>
      <c r="G2258" s="207"/>
      <c r="H2258" s="209"/>
      <c r="I2258" s="209"/>
      <c r="J2258" s="209"/>
      <c r="K2258" s="208" t="str">
        <f>IF(Errors!$I2258=0,SourceData!$B$42,VLOOKUP(Errors!$I2258,SourceData!$A$2:$B$40,2,FALSE))</f>
        <v>Please select ERROR CODE column "I"</v>
      </c>
      <c r="L2258" s="207" t="str">
        <f>IF(Errors!$I2258=0,
    'List of Error Codes'!$E$29,
    IFERROR(VLOOKUP(Errors!$I2258, 'List of Error Codes'!D2257:I2287, 6, FALSE), 'List of Error Codes'!$E$29)
)</f>
        <v>Please select ERROR CODE column "I"</v>
      </c>
      <c r="M2258" s="209"/>
      <c r="N2258" s="209"/>
      <c r="O2258" s="209"/>
      <c r="P2258" s="209"/>
      <c r="Q2258" s="209"/>
      <c r="R2258" s="217"/>
      <c r="S2258" s="217"/>
      <c r="T2258" s="217"/>
      <c r="U2258" s="199"/>
      <c r="V2258" s="200"/>
      <c r="W2258" s="200"/>
      <c r="X2258" s="200"/>
      <c r="Y2258" s="200"/>
      <c r="Z2258" s="200"/>
      <c r="AA2258" s="201"/>
      <c r="AB2258" s="200"/>
      <c r="AC2258" s="200"/>
    </row>
    <row r="2259" ht="15.75" customHeight="1">
      <c r="A2259" s="210">
        <f t="shared" si="1"/>
        <v>2257</v>
      </c>
      <c r="B2259" s="217"/>
      <c r="C2259" s="217" t="str">
        <f>IFERROR(VLOOKUP(B2259, SourceData!$U$3:$V$190, 2, FALSE), "")</f>
        <v/>
      </c>
      <c r="D2259" s="240"/>
      <c r="E2259" s="241"/>
      <c r="F2259" s="248"/>
      <c r="G2259" s="207"/>
      <c r="H2259" s="209"/>
      <c r="I2259" s="209"/>
      <c r="J2259" s="209"/>
      <c r="K2259" s="208" t="str">
        <f>IF(Errors!$I2259=0,SourceData!$B$42,VLOOKUP(Errors!$I2259,SourceData!$A$2:$B$40,2,FALSE))</f>
        <v>Please select ERROR CODE column "I"</v>
      </c>
      <c r="L2259" s="207" t="str">
        <f>IF(Errors!$I2259=0,
    'List of Error Codes'!$E$29,
    IFERROR(VLOOKUP(Errors!$I2259, 'List of Error Codes'!D2258:I2288, 6, FALSE), 'List of Error Codes'!$E$29)
)</f>
        <v>Please select ERROR CODE column "I"</v>
      </c>
      <c r="M2259" s="209"/>
      <c r="N2259" s="209"/>
      <c r="O2259" s="209"/>
      <c r="P2259" s="209"/>
      <c r="Q2259" s="209"/>
      <c r="R2259" s="217"/>
      <c r="S2259" s="217"/>
      <c r="T2259" s="217"/>
      <c r="U2259" s="199"/>
      <c r="V2259" s="200"/>
      <c r="W2259" s="200"/>
      <c r="X2259" s="200"/>
      <c r="Y2259" s="200"/>
      <c r="Z2259" s="200"/>
      <c r="AA2259" s="201"/>
      <c r="AB2259" s="200"/>
      <c r="AC2259" s="200"/>
    </row>
    <row r="2260" ht="15.75" customHeight="1">
      <c r="A2260" s="210">
        <f t="shared" si="1"/>
        <v>2258</v>
      </c>
      <c r="B2260" s="217"/>
      <c r="C2260" s="217" t="str">
        <f>IFERROR(VLOOKUP(B2260, SourceData!$U$3:$V$190, 2, FALSE), "")</f>
        <v/>
      </c>
      <c r="D2260" s="240"/>
      <c r="E2260" s="241"/>
      <c r="F2260" s="248"/>
      <c r="G2260" s="207"/>
      <c r="H2260" s="209"/>
      <c r="I2260" s="209"/>
      <c r="J2260" s="209"/>
      <c r="K2260" s="208" t="str">
        <f>IF(Errors!$I2260=0,SourceData!$B$42,VLOOKUP(Errors!$I2260,SourceData!$A$2:$B$40,2,FALSE))</f>
        <v>Please select ERROR CODE column "I"</v>
      </c>
      <c r="L2260" s="207" t="str">
        <f>IF(Errors!$I2260=0,
    'List of Error Codes'!$E$29,
    IFERROR(VLOOKUP(Errors!$I2260, 'List of Error Codes'!D2259:I2289, 6, FALSE), 'List of Error Codes'!$E$29)
)</f>
        <v>Please select ERROR CODE column "I"</v>
      </c>
      <c r="M2260" s="209"/>
      <c r="N2260" s="209"/>
      <c r="O2260" s="209"/>
      <c r="P2260" s="209"/>
      <c r="Q2260" s="209"/>
      <c r="R2260" s="217"/>
      <c r="S2260" s="217"/>
      <c r="T2260" s="217"/>
      <c r="U2260" s="199"/>
      <c r="V2260" s="200"/>
      <c r="W2260" s="200"/>
      <c r="X2260" s="200"/>
      <c r="Y2260" s="200"/>
      <c r="Z2260" s="200"/>
      <c r="AA2260" s="201"/>
      <c r="AB2260" s="200"/>
      <c r="AC2260" s="200"/>
    </row>
    <row r="2261" ht="15.75" customHeight="1">
      <c r="A2261" s="210">
        <f t="shared" si="1"/>
        <v>2259</v>
      </c>
      <c r="B2261" s="217"/>
      <c r="C2261" s="217" t="str">
        <f>IFERROR(VLOOKUP(B2261, SourceData!$U$3:$V$190, 2, FALSE), "")</f>
        <v/>
      </c>
      <c r="D2261" s="240"/>
      <c r="E2261" s="241"/>
      <c r="F2261" s="248"/>
      <c r="G2261" s="207"/>
      <c r="H2261" s="209"/>
      <c r="I2261" s="209"/>
      <c r="J2261" s="209"/>
      <c r="K2261" s="208" t="str">
        <f>IF(Errors!$I2261=0,SourceData!$B$42,VLOOKUP(Errors!$I2261,SourceData!$A$2:$B$40,2,FALSE))</f>
        <v>Please select ERROR CODE column "I"</v>
      </c>
      <c r="L2261" s="207" t="str">
        <f>IF(Errors!$I2261=0,
    'List of Error Codes'!$E$29,
    IFERROR(VLOOKUP(Errors!$I2261, 'List of Error Codes'!D2260:I2290, 6, FALSE), 'List of Error Codes'!$E$29)
)</f>
        <v>Please select ERROR CODE column "I"</v>
      </c>
      <c r="M2261" s="209"/>
      <c r="N2261" s="209"/>
      <c r="O2261" s="209"/>
      <c r="P2261" s="209"/>
      <c r="Q2261" s="209"/>
      <c r="R2261" s="217"/>
      <c r="S2261" s="217"/>
      <c r="T2261" s="217"/>
      <c r="U2261" s="199"/>
      <c r="V2261" s="200"/>
      <c r="W2261" s="200"/>
      <c r="X2261" s="200"/>
      <c r="Y2261" s="200"/>
      <c r="Z2261" s="200"/>
      <c r="AA2261" s="201"/>
      <c r="AB2261" s="200"/>
      <c r="AC2261" s="200"/>
    </row>
    <row r="2262" ht="15.75" customHeight="1">
      <c r="A2262" s="210">
        <f t="shared" si="1"/>
        <v>2260</v>
      </c>
      <c r="B2262" s="217"/>
      <c r="C2262" s="217" t="str">
        <f>IFERROR(VLOOKUP(B2262, SourceData!$U$3:$V$190, 2, FALSE), "")</f>
        <v/>
      </c>
      <c r="D2262" s="240"/>
      <c r="E2262" s="241"/>
      <c r="F2262" s="248"/>
      <c r="G2262" s="207"/>
      <c r="H2262" s="209"/>
      <c r="I2262" s="209"/>
      <c r="J2262" s="209"/>
      <c r="K2262" s="208" t="str">
        <f>IF(Errors!$I2262=0,SourceData!$B$42,VLOOKUP(Errors!$I2262,SourceData!$A$2:$B$40,2,FALSE))</f>
        <v>Please select ERROR CODE column "I"</v>
      </c>
      <c r="L2262" s="207" t="str">
        <f>IF(Errors!$I2262=0,
    'List of Error Codes'!$E$29,
    IFERROR(VLOOKUP(Errors!$I2262, 'List of Error Codes'!D2261:I2291, 6, FALSE), 'List of Error Codes'!$E$29)
)</f>
        <v>Please select ERROR CODE column "I"</v>
      </c>
      <c r="M2262" s="209"/>
      <c r="N2262" s="209"/>
      <c r="O2262" s="209"/>
      <c r="P2262" s="209"/>
      <c r="Q2262" s="209"/>
      <c r="R2262" s="217"/>
      <c r="S2262" s="217"/>
      <c r="T2262" s="217"/>
      <c r="U2262" s="199"/>
      <c r="V2262" s="200"/>
      <c r="W2262" s="200"/>
      <c r="X2262" s="200"/>
      <c r="Y2262" s="200"/>
      <c r="Z2262" s="200"/>
      <c r="AA2262" s="201"/>
      <c r="AB2262" s="200"/>
      <c r="AC2262" s="200"/>
    </row>
    <row r="2263" ht="15.75" customHeight="1">
      <c r="A2263" s="210">
        <f t="shared" si="1"/>
        <v>2261</v>
      </c>
      <c r="B2263" s="217"/>
      <c r="C2263" s="217" t="str">
        <f>IFERROR(VLOOKUP(B2263, SourceData!$U$3:$V$190, 2, FALSE), "")</f>
        <v/>
      </c>
      <c r="D2263" s="240"/>
      <c r="E2263" s="241"/>
      <c r="F2263" s="248"/>
      <c r="G2263" s="207"/>
      <c r="H2263" s="209"/>
      <c r="I2263" s="209"/>
      <c r="J2263" s="209"/>
      <c r="K2263" s="208" t="str">
        <f>IF(Errors!$I2263=0,SourceData!$B$42,VLOOKUP(Errors!$I2263,SourceData!$A$2:$B$40,2,FALSE))</f>
        <v>Please select ERROR CODE column "I"</v>
      </c>
      <c r="L2263" s="207" t="str">
        <f>IF(Errors!$I2263=0,
    'List of Error Codes'!$E$29,
    IFERROR(VLOOKUP(Errors!$I2263, 'List of Error Codes'!D2262:I2292, 6, FALSE), 'List of Error Codes'!$E$29)
)</f>
        <v>Please select ERROR CODE column "I"</v>
      </c>
      <c r="M2263" s="209"/>
      <c r="N2263" s="209"/>
      <c r="O2263" s="209"/>
      <c r="P2263" s="209"/>
      <c r="Q2263" s="209"/>
      <c r="R2263" s="217"/>
      <c r="S2263" s="217"/>
      <c r="T2263" s="217"/>
      <c r="U2263" s="199"/>
      <c r="V2263" s="200"/>
      <c r="W2263" s="200"/>
      <c r="X2263" s="200"/>
      <c r="Y2263" s="200"/>
      <c r="Z2263" s="200"/>
      <c r="AA2263" s="201"/>
      <c r="AB2263" s="200"/>
      <c r="AC2263" s="200"/>
    </row>
    <row r="2264" ht="15.75" customHeight="1">
      <c r="A2264" s="210">
        <f t="shared" si="1"/>
        <v>2262</v>
      </c>
      <c r="B2264" s="217"/>
      <c r="C2264" s="217" t="str">
        <f>IFERROR(VLOOKUP(B2264, SourceData!$U$3:$V$190, 2, FALSE), "")</f>
        <v/>
      </c>
      <c r="D2264" s="240"/>
      <c r="E2264" s="241"/>
      <c r="F2264" s="248"/>
      <c r="G2264" s="207"/>
      <c r="H2264" s="209"/>
      <c r="I2264" s="209"/>
      <c r="J2264" s="209"/>
      <c r="K2264" s="208" t="str">
        <f>IF(Errors!$I2264=0,SourceData!$B$42,VLOOKUP(Errors!$I2264,SourceData!$A$2:$B$40,2,FALSE))</f>
        <v>Please select ERROR CODE column "I"</v>
      </c>
      <c r="L2264" s="207" t="str">
        <f>IF(Errors!$I2264=0,
    'List of Error Codes'!$E$29,
    IFERROR(VLOOKUP(Errors!$I2264, 'List of Error Codes'!D2263:I2293, 6, FALSE), 'List of Error Codes'!$E$29)
)</f>
        <v>Please select ERROR CODE column "I"</v>
      </c>
      <c r="M2264" s="209"/>
      <c r="N2264" s="209"/>
      <c r="O2264" s="209"/>
      <c r="P2264" s="209"/>
      <c r="Q2264" s="209"/>
      <c r="R2264" s="217"/>
      <c r="S2264" s="217"/>
      <c r="T2264" s="217"/>
      <c r="U2264" s="199"/>
      <c r="V2264" s="200"/>
      <c r="W2264" s="200"/>
      <c r="X2264" s="200"/>
      <c r="Y2264" s="200"/>
      <c r="Z2264" s="200"/>
      <c r="AA2264" s="201"/>
      <c r="AB2264" s="200"/>
      <c r="AC2264" s="200"/>
    </row>
    <row r="2265" ht="15.75" customHeight="1">
      <c r="A2265" s="210">
        <f t="shared" si="1"/>
        <v>2263</v>
      </c>
      <c r="B2265" s="217"/>
      <c r="C2265" s="217" t="str">
        <f>IFERROR(VLOOKUP(B2265, SourceData!$U$3:$V$190, 2, FALSE), "")</f>
        <v/>
      </c>
      <c r="D2265" s="240"/>
      <c r="E2265" s="241"/>
      <c r="F2265" s="248"/>
      <c r="G2265" s="207"/>
      <c r="H2265" s="209"/>
      <c r="I2265" s="209"/>
      <c r="J2265" s="209"/>
      <c r="K2265" s="208" t="str">
        <f>IF(Errors!$I2265=0,SourceData!$B$42,VLOOKUP(Errors!$I2265,SourceData!$A$2:$B$40,2,FALSE))</f>
        <v>Please select ERROR CODE column "I"</v>
      </c>
      <c r="L2265" s="207" t="str">
        <f>IF(Errors!$I2265=0,
    'List of Error Codes'!$E$29,
    IFERROR(VLOOKUP(Errors!$I2265, 'List of Error Codes'!D2264:I2294, 6, FALSE), 'List of Error Codes'!$E$29)
)</f>
        <v>Please select ERROR CODE column "I"</v>
      </c>
      <c r="M2265" s="209"/>
      <c r="N2265" s="209"/>
      <c r="O2265" s="209"/>
      <c r="P2265" s="209"/>
      <c r="Q2265" s="209"/>
      <c r="R2265" s="217"/>
      <c r="S2265" s="217"/>
      <c r="T2265" s="217"/>
      <c r="U2265" s="199"/>
      <c r="V2265" s="200"/>
      <c r="W2265" s="200"/>
      <c r="X2265" s="200"/>
      <c r="Y2265" s="200"/>
      <c r="Z2265" s="200"/>
      <c r="AA2265" s="201"/>
      <c r="AB2265" s="200"/>
      <c r="AC2265" s="200"/>
    </row>
    <row r="2266" ht="15.75" customHeight="1">
      <c r="A2266" s="210">
        <f t="shared" si="1"/>
        <v>2264</v>
      </c>
      <c r="B2266" s="217"/>
      <c r="C2266" s="217" t="str">
        <f>IFERROR(VLOOKUP(B2266, SourceData!$U$3:$V$190, 2, FALSE), "")</f>
        <v/>
      </c>
      <c r="D2266" s="240"/>
      <c r="E2266" s="241"/>
      <c r="F2266" s="248"/>
      <c r="G2266" s="207"/>
      <c r="H2266" s="209"/>
      <c r="I2266" s="209"/>
      <c r="J2266" s="209"/>
      <c r="K2266" s="208" t="str">
        <f>IF(Errors!$I2266=0,SourceData!$B$42,VLOOKUP(Errors!$I2266,SourceData!$A$2:$B$40,2,FALSE))</f>
        <v>Please select ERROR CODE column "I"</v>
      </c>
      <c r="L2266" s="207" t="str">
        <f>IF(Errors!$I2266=0,
    'List of Error Codes'!$E$29,
    IFERROR(VLOOKUP(Errors!$I2266, 'List of Error Codes'!D2265:I2295, 6, FALSE), 'List of Error Codes'!$E$29)
)</f>
        <v>Please select ERROR CODE column "I"</v>
      </c>
      <c r="M2266" s="209"/>
      <c r="N2266" s="209"/>
      <c r="O2266" s="209"/>
      <c r="P2266" s="209"/>
      <c r="Q2266" s="209"/>
      <c r="R2266" s="217"/>
      <c r="S2266" s="217"/>
      <c r="T2266" s="217"/>
      <c r="U2266" s="199"/>
      <c r="V2266" s="200"/>
      <c r="W2266" s="200"/>
      <c r="X2266" s="200"/>
      <c r="Y2266" s="200"/>
      <c r="Z2266" s="200"/>
      <c r="AA2266" s="201"/>
      <c r="AB2266" s="200"/>
      <c r="AC2266" s="200"/>
    </row>
    <row r="2267" ht="15.75" customHeight="1">
      <c r="A2267" s="210">
        <f t="shared" si="1"/>
        <v>2265</v>
      </c>
      <c r="B2267" s="217"/>
      <c r="C2267" s="217" t="str">
        <f>IFERROR(VLOOKUP(B2267, SourceData!$U$3:$V$190, 2, FALSE), "")</f>
        <v/>
      </c>
      <c r="D2267" s="240"/>
      <c r="E2267" s="241"/>
      <c r="F2267" s="248"/>
      <c r="G2267" s="207"/>
      <c r="H2267" s="209"/>
      <c r="I2267" s="209"/>
      <c r="J2267" s="209"/>
      <c r="K2267" s="208" t="str">
        <f>IF(Errors!$I2267=0,SourceData!$B$42,VLOOKUP(Errors!$I2267,SourceData!$A$2:$B$40,2,FALSE))</f>
        <v>Please select ERROR CODE column "I"</v>
      </c>
      <c r="L2267" s="207" t="str">
        <f>IF(Errors!$I2267=0,
    'List of Error Codes'!$E$29,
    IFERROR(VLOOKUP(Errors!$I2267, 'List of Error Codes'!D2266:I2296, 6, FALSE), 'List of Error Codes'!$E$29)
)</f>
        <v>Please select ERROR CODE column "I"</v>
      </c>
      <c r="M2267" s="209"/>
      <c r="N2267" s="209"/>
      <c r="O2267" s="209"/>
      <c r="P2267" s="209"/>
      <c r="Q2267" s="209"/>
      <c r="R2267" s="217"/>
      <c r="S2267" s="217"/>
      <c r="T2267" s="217"/>
      <c r="U2267" s="199"/>
      <c r="V2267" s="200"/>
      <c r="W2267" s="200"/>
      <c r="X2267" s="200"/>
      <c r="Y2267" s="200"/>
      <c r="Z2267" s="200"/>
      <c r="AA2267" s="201"/>
      <c r="AB2267" s="200"/>
      <c r="AC2267" s="200"/>
    </row>
    <row r="2268" ht="15.75" customHeight="1">
      <c r="A2268" s="210">
        <f t="shared" si="1"/>
        <v>2266</v>
      </c>
      <c r="B2268" s="217"/>
      <c r="C2268" s="217" t="str">
        <f>IFERROR(VLOOKUP(B2268, SourceData!$U$3:$V$190, 2, FALSE), "")</f>
        <v/>
      </c>
      <c r="D2268" s="240"/>
      <c r="E2268" s="241"/>
      <c r="F2268" s="248"/>
      <c r="G2268" s="207"/>
      <c r="H2268" s="209"/>
      <c r="I2268" s="209"/>
      <c r="J2268" s="209"/>
      <c r="K2268" s="208" t="str">
        <f>IF(Errors!$I2268=0,SourceData!$B$42,VLOOKUP(Errors!$I2268,SourceData!$A$2:$B$40,2,FALSE))</f>
        <v>Please select ERROR CODE column "I"</v>
      </c>
      <c r="L2268" s="207" t="str">
        <f>IF(Errors!$I2268=0,
    'List of Error Codes'!$E$29,
    IFERROR(VLOOKUP(Errors!$I2268, 'List of Error Codes'!D2267:I2297, 6, FALSE), 'List of Error Codes'!$E$29)
)</f>
        <v>Please select ERROR CODE column "I"</v>
      </c>
      <c r="M2268" s="209"/>
      <c r="N2268" s="209"/>
      <c r="O2268" s="209"/>
      <c r="P2268" s="209"/>
      <c r="Q2268" s="209"/>
      <c r="R2268" s="217"/>
      <c r="S2268" s="217"/>
      <c r="T2268" s="217"/>
      <c r="U2268" s="199"/>
      <c r="V2268" s="200"/>
      <c r="W2268" s="200"/>
      <c r="X2268" s="200"/>
      <c r="Y2268" s="200"/>
      <c r="Z2268" s="200"/>
      <c r="AA2268" s="201"/>
      <c r="AB2268" s="200"/>
      <c r="AC2268" s="200"/>
    </row>
    <row r="2269" ht="15.75" customHeight="1">
      <c r="A2269" s="210">
        <f t="shared" si="1"/>
        <v>2267</v>
      </c>
      <c r="B2269" s="217"/>
      <c r="C2269" s="217" t="str">
        <f>IFERROR(VLOOKUP(B2269, SourceData!$U$3:$V$190, 2, FALSE), "")</f>
        <v/>
      </c>
      <c r="D2269" s="240"/>
      <c r="E2269" s="241"/>
      <c r="F2269" s="248"/>
      <c r="G2269" s="207"/>
      <c r="H2269" s="209"/>
      <c r="I2269" s="209"/>
      <c r="J2269" s="209"/>
      <c r="K2269" s="208" t="str">
        <f>IF(Errors!$I2269=0,SourceData!$B$42,VLOOKUP(Errors!$I2269,SourceData!$A$2:$B$40,2,FALSE))</f>
        <v>Please select ERROR CODE column "I"</v>
      </c>
      <c r="L2269" s="207" t="str">
        <f>IF(Errors!$I2269=0,
    'List of Error Codes'!$E$29,
    IFERROR(VLOOKUP(Errors!$I2269, 'List of Error Codes'!D2268:I2298, 6, FALSE), 'List of Error Codes'!$E$29)
)</f>
        <v>Please select ERROR CODE column "I"</v>
      </c>
      <c r="M2269" s="209"/>
      <c r="N2269" s="209"/>
      <c r="O2269" s="209"/>
      <c r="P2269" s="209"/>
      <c r="Q2269" s="209"/>
      <c r="R2269" s="217"/>
      <c r="S2269" s="217"/>
      <c r="T2269" s="217"/>
      <c r="U2269" s="199"/>
      <c r="V2269" s="200"/>
      <c r="W2269" s="200"/>
      <c r="X2269" s="200"/>
      <c r="Y2269" s="200"/>
      <c r="Z2269" s="200"/>
      <c r="AA2269" s="201"/>
      <c r="AB2269" s="200"/>
      <c r="AC2269" s="200"/>
    </row>
    <row r="2270" ht="15.75" customHeight="1">
      <c r="A2270" s="210">
        <f t="shared" si="1"/>
        <v>2268</v>
      </c>
      <c r="B2270" s="217"/>
      <c r="C2270" s="217" t="str">
        <f>IFERROR(VLOOKUP(B2270, SourceData!$U$3:$V$190, 2, FALSE), "")</f>
        <v/>
      </c>
      <c r="D2270" s="240"/>
      <c r="E2270" s="241"/>
      <c r="F2270" s="248"/>
      <c r="G2270" s="207"/>
      <c r="H2270" s="209"/>
      <c r="I2270" s="209"/>
      <c r="J2270" s="209"/>
      <c r="K2270" s="208" t="str">
        <f>IF(Errors!$I2270=0,SourceData!$B$42,VLOOKUP(Errors!$I2270,SourceData!$A$2:$B$40,2,FALSE))</f>
        <v>Please select ERROR CODE column "I"</v>
      </c>
      <c r="L2270" s="207" t="str">
        <f>IF(Errors!$I2270=0,
    'List of Error Codes'!$E$29,
    IFERROR(VLOOKUP(Errors!$I2270, 'List of Error Codes'!D2269:I2299, 6, FALSE), 'List of Error Codes'!$E$29)
)</f>
        <v>Please select ERROR CODE column "I"</v>
      </c>
      <c r="M2270" s="209"/>
      <c r="N2270" s="209"/>
      <c r="O2270" s="209"/>
      <c r="P2270" s="209"/>
      <c r="Q2270" s="209"/>
      <c r="R2270" s="217"/>
      <c r="S2270" s="217"/>
      <c r="T2270" s="217"/>
      <c r="U2270" s="199"/>
      <c r="V2270" s="200"/>
      <c r="W2270" s="200"/>
      <c r="X2270" s="200"/>
      <c r="Y2270" s="200"/>
      <c r="Z2270" s="200"/>
      <c r="AA2270" s="201"/>
      <c r="AB2270" s="200"/>
      <c r="AC2270" s="200"/>
    </row>
    <row r="2271" ht="15.75" customHeight="1">
      <c r="A2271" s="210">
        <f t="shared" si="1"/>
        <v>2269</v>
      </c>
      <c r="B2271" s="217"/>
      <c r="C2271" s="217" t="str">
        <f>IFERROR(VLOOKUP(B2271, SourceData!$U$3:$V$190, 2, FALSE), "")</f>
        <v/>
      </c>
      <c r="D2271" s="240"/>
      <c r="E2271" s="241"/>
      <c r="F2271" s="248"/>
      <c r="G2271" s="207"/>
      <c r="H2271" s="209"/>
      <c r="I2271" s="209"/>
      <c r="J2271" s="209"/>
      <c r="K2271" s="208" t="str">
        <f>IF(Errors!$I2271=0,SourceData!$B$42,VLOOKUP(Errors!$I2271,SourceData!$A$2:$B$40,2,FALSE))</f>
        <v>Please select ERROR CODE column "I"</v>
      </c>
      <c r="L2271" s="207" t="str">
        <f>IF(Errors!$I2271=0,
    'List of Error Codes'!$E$29,
    IFERROR(VLOOKUP(Errors!$I2271, 'List of Error Codes'!D2270:I2300, 6, FALSE), 'List of Error Codes'!$E$29)
)</f>
        <v>Please select ERROR CODE column "I"</v>
      </c>
      <c r="M2271" s="209"/>
      <c r="N2271" s="209"/>
      <c r="O2271" s="209"/>
      <c r="P2271" s="209"/>
      <c r="Q2271" s="209"/>
      <c r="R2271" s="217"/>
      <c r="S2271" s="217"/>
      <c r="T2271" s="217"/>
      <c r="U2271" s="199"/>
      <c r="V2271" s="200"/>
      <c r="W2271" s="200"/>
      <c r="X2271" s="200"/>
      <c r="Y2271" s="200"/>
      <c r="Z2271" s="200"/>
      <c r="AA2271" s="201"/>
      <c r="AB2271" s="200"/>
      <c r="AC2271" s="200"/>
    </row>
    <row r="2272" ht="15.75" customHeight="1">
      <c r="A2272" s="210">
        <f t="shared" si="1"/>
        <v>2270</v>
      </c>
      <c r="B2272" s="217"/>
      <c r="C2272" s="217" t="str">
        <f>IFERROR(VLOOKUP(B2272, SourceData!$U$3:$V$190, 2, FALSE), "")</f>
        <v/>
      </c>
      <c r="D2272" s="240"/>
      <c r="E2272" s="241"/>
      <c r="F2272" s="248"/>
      <c r="G2272" s="207"/>
      <c r="H2272" s="209"/>
      <c r="I2272" s="209"/>
      <c r="J2272" s="209"/>
      <c r="K2272" s="208" t="str">
        <f>IF(Errors!$I2272=0,SourceData!$B$42,VLOOKUP(Errors!$I2272,SourceData!$A$2:$B$40,2,FALSE))</f>
        <v>Please select ERROR CODE column "I"</v>
      </c>
      <c r="L2272" s="207" t="str">
        <f>IF(Errors!$I2272=0,
    'List of Error Codes'!$E$29,
    IFERROR(VLOOKUP(Errors!$I2272, 'List of Error Codes'!D2271:I2301, 6, FALSE), 'List of Error Codes'!$E$29)
)</f>
        <v>Please select ERROR CODE column "I"</v>
      </c>
      <c r="M2272" s="209"/>
      <c r="N2272" s="209"/>
      <c r="O2272" s="209"/>
      <c r="P2272" s="209"/>
      <c r="Q2272" s="209"/>
      <c r="R2272" s="217"/>
      <c r="S2272" s="217"/>
      <c r="T2272" s="217"/>
      <c r="U2272" s="199"/>
      <c r="V2272" s="200"/>
      <c r="W2272" s="200"/>
      <c r="X2272" s="200"/>
      <c r="Y2272" s="200"/>
      <c r="Z2272" s="200"/>
      <c r="AA2272" s="201"/>
      <c r="AB2272" s="200"/>
      <c r="AC2272" s="200"/>
    </row>
    <row r="2273" ht="15.75" customHeight="1">
      <c r="A2273" s="210">
        <f t="shared" si="1"/>
        <v>2271</v>
      </c>
      <c r="B2273" s="217"/>
      <c r="C2273" s="217" t="str">
        <f>IFERROR(VLOOKUP(B2273, SourceData!$U$3:$V$190, 2, FALSE), "")</f>
        <v/>
      </c>
      <c r="D2273" s="240"/>
      <c r="E2273" s="241"/>
      <c r="F2273" s="248"/>
      <c r="G2273" s="207"/>
      <c r="H2273" s="209"/>
      <c r="I2273" s="209"/>
      <c r="J2273" s="209"/>
      <c r="K2273" s="208" t="str">
        <f>IF(Errors!$I2273=0,SourceData!$B$42,VLOOKUP(Errors!$I2273,SourceData!$A$2:$B$40,2,FALSE))</f>
        <v>Please select ERROR CODE column "I"</v>
      </c>
      <c r="L2273" s="207" t="str">
        <f>IF(Errors!$I2273=0,
    'List of Error Codes'!$E$29,
    IFERROR(VLOOKUP(Errors!$I2273, 'List of Error Codes'!D2272:I2302, 6, FALSE), 'List of Error Codes'!$E$29)
)</f>
        <v>Please select ERROR CODE column "I"</v>
      </c>
      <c r="M2273" s="209"/>
      <c r="N2273" s="209"/>
      <c r="O2273" s="209"/>
      <c r="P2273" s="209"/>
      <c r="Q2273" s="209"/>
      <c r="R2273" s="217"/>
      <c r="S2273" s="217"/>
      <c r="T2273" s="217"/>
      <c r="U2273" s="199"/>
      <c r="V2273" s="200"/>
      <c r="W2273" s="200"/>
      <c r="X2273" s="200"/>
      <c r="Y2273" s="200"/>
      <c r="Z2273" s="200"/>
      <c r="AA2273" s="201"/>
      <c r="AB2273" s="200"/>
      <c r="AC2273" s="200"/>
    </row>
    <row r="2274" ht="15.75" customHeight="1">
      <c r="A2274" s="210">
        <f t="shared" si="1"/>
        <v>2272</v>
      </c>
      <c r="B2274" s="217"/>
      <c r="C2274" s="217" t="str">
        <f>IFERROR(VLOOKUP(B2274, SourceData!$U$3:$V$190, 2, FALSE), "")</f>
        <v/>
      </c>
      <c r="D2274" s="240"/>
      <c r="E2274" s="241"/>
      <c r="F2274" s="248"/>
      <c r="G2274" s="207"/>
      <c r="H2274" s="209"/>
      <c r="I2274" s="209"/>
      <c r="J2274" s="209"/>
      <c r="K2274" s="208" t="str">
        <f>IF(Errors!$I2274=0,SourceData!$B$42,VLOOKUP(Errors!$I2274,SourceData!$A$2:$B$40,2,FALSE))</f>
        <v>Please select ERROR CODE column "I"</v>
      </c>
      <c r="L2274" s="207" t="str">
        <f>IF(Errors!$I2274=0,
    'List of Error Codes'!$E$29,
    IFERROR(VLOOKUP(Errors!$I2274, 'List of Error Codes'!D2273:I2303, 6, FALSE), 'List of Error Codes'!$E$29)
)</f>
        <v>Please select ERROR CODE column "I"</v>
      </c>
      <c r="M2274" s="209"/>
      <c r="N2274" s="209"/>
      <c r="O2274" s="209"/>
      <c r="P2274" s="209"/>
      <c r="Q2274" s="209"/>
      <c r="R2274" s="217"/>
      <c r="S2274" s="217"/>
      <c r="T2274" s="217"/>
      <c r="U2274" s="199"/>
      <c r="V2274" s="200"/>
      <c r="W2274" s="200"/>
      <c r="X2274" s="200"/>
      <c r="Y2274" s="200"/>
      <c r="Z2274" s="200"/>
      <c r="AA2274" s="201"/>
      <c r="AB2274" s="200"/>
      <c r="AC2274" s="200"/>
    </row>
    <row r="2275" ht="15.75" customHeight="1">
      <c r="A2275" s="210">
        <f t="shared" si="1"/>
        <v>2273</v>
      </c>
      <c r="B2275" s="217"/>
      <c r="C2275" s="217" t="str">
        <f>IFERROR(VLOOKUP(B2275, SourceData!$U$3:$V$190, 2, FALSE), "")</f>
        <v/>
      </c>
      <c r="D2275" s="240"/>
      <c r="E2275" s="241"/>
      <c r="F2275" s="248"/>
      <c r="G2275" s="207"/>
      <c r="H2275" s="209"/>
      <c r="I2275" s="209"/>
      <c r="J2275" s="209"/>
      <c r="K2275" s="208" t="str">
        <f>IF(Errors!$I2275=0,SourceData!$B$42,VLOOKUP(Errors!$I2275,SourceData!$A$2:$B$40,2,FALSE))</f>
        <v>Please select ERROR CODE column "I"</v>
      </c>
      <c r="L2275" s="207" t="str">
        <f>IF(Errors!$I2275=0,
    'List of Error Codes'!$E$29,
    IFERROR(VLOOKUP(Errors!$I2275, 'List of Error Codes'!D2274:I2304, 6, FALSE), 'List of Error Codes'!$E$29)
)</f>
        <v>Please select ERROR CODE column "I"</v>
      </c>
      <c r="M2275" s="209"/>
      <c r="N2275" s="209"/>
      <c r="O2275" s="209"/>
      <c r="P2275" s="209"/>
      <c r="Q2275" s="209"/>
      <c r="R2275" s="217"/>
      <c r="S2275" s="217"/>
      <c r="T2275" s="217"/>
      <c r="U2275" s="199"/>
      <c r="V2275" s="200"/>
      <c r="W2275" s="200"/>
      <c r="X2275" s="200"/>
      <c r="Y2275" s="200"/>
      <c r="Z2275" s="200"/>
      <c r="AA2275" s="201"/>
      <c r="AB2275" s="200"/>
      <c r="AC2275" s="200"/>
    </row>
    <row r="2276" ht="15.75" customHeight="1">
      <c r="A2276" s="210">
        <f t="shared" si="1"/>
        <v>2274</v>
      </c>
      <c r="B2276" s="217"/>
      <c r="C2276" s="217" t="str">
        <f>IFERROR(VLOOKUP(B2276, SourceData!$U$3:$V$190, 2, FALSE), "")</f>
        <v/>
      </c>
      <c r="D2276" s="240"/>
      <c r="E2276" s="241"/>
      <c r="F2276" s="248"/>
      <c r="G2276" s="207"/>
      <c r="H2276" s="209"/>
      <c r="I2276" s="209"/>
      <c r="J2276" s="209"/>
      <c r="K2276" s="208" t="str">
        <f>IF(Errors!$I2276=0,SourceData!$B$42,VLOOKUP(Errors!$I2276,SourceData!$A$2:$B$40,2,FALSE))</f>
        <v>Please select ERROR CODE column "I"</v>
      </c>
      <c r="L2276" s="207" t="str">
        <f>IF(Errors!$I2276=0,
    'List of Error Codes'!$E$29,
    IFERROR(VLOOKUP(Errors!$I2276, 'List of Error Codes'!D2275:I2305, 6, FALSE), 'List of Error Codes'!$E$29)
)</f>
        <v>Please select ERROR CODE column "I"</v>
      </c>
      <c r="M2276" s="209"/>
      <c r="N2276" s="209"/>
      <c r="O2276" s="209"/>
      <c r="P2276" s="209"/>
      <c r="Q2276" s="209"/>
      <c r="R2276" s="217"/>
      <c r="S2276" s="217"/>
      <c r="T2276" s="217"/>
      <c r="U2276" s="199"/>
      <c r="V2276" s="200"/>
      <c r="W2276" s="200"/>
      <c r="X2276" s="200"/>
      <c r="Y2276" s="200"/>
      <c r="Z2276" s="200"/>
      <c r="AA2276" s="201"/>
      <c r="AB2276" s="200"/>
      <c r="AC2276" s="200"/>
    </row>
    <row r="2277" ht="15.75" customHeight="1">
      <c r="A2277" s="210">
        <f t="shared" si="1"/>
        <v>2275</v>
      </c>
      <c r="B2277" s="217"/>
      <c r="C2277" s="217" t="str">
        <f>IFERROR(VLOOKUP(B2277, SourceData!$U$3:$V$190, 2, FALSE), "")</f>
        <v/>
      </c>
      <c r="D2277" s="240"/>
      <c r="E2277" s="241"/>
      <c r="F2277" s="248"/>
      <c r="G2277" s="207"/>
      <c r="H2277" s="209"/>
      <c r="I2277" s="209"/>
      <c r="J2277" s="209"/>
      <c r="K2277" s="208" t="str">
        <f>IF(Errors!$I2277=0,SourceData!$B$42,VLOOKUP(Errors!$I2277,SourceData!$A$2:$B$40,2,FALSE))</f>
        <v>Please select ERROR CODE column "I"</v>
      </c>
      <c r="L2277" s="207" t="str">
        <f>IF(Errors!$I2277=0,
    'List of Error Codes'!$E$29,
    IFERROR(VLOOKUP(Errors!$I2277, 'List of Error Codes'!D2276:I2306, 6, FALSE), 'List of Error Codes'!$E$29)
)</f>
        <v>Please select ERROR CODE column "I"</v>
      </c>
      <c r="M2277" s="209"/>
      <c r="N2277" s="209"/>
      <c r="O2277" s="209"/>
      <c r="P2277" s="209"/>
      <c r="Q2277" s="209"/>
      <c r="R2277" s="217"/>
      <c r="S2277" s="217"/>
      <c r="T2277" s="217"/>
      <c r="U2277" s="199"/>
      <c r="V2277" s="200"/>
      <c r="W2277" s="200"/>
      <c r="X2277" s="200"/>
      <c r="Y2277" s="200"/>
      <c r="Z2277" s="200"/>
      <c r="AA2277" s="201"/>
      <c r="AB2277" s="200"/>
      <c r="AC2277" s="200"/>
    </row>
    <row r="2278" ht="15.75" customHeight="1">
      <c r="A2278" s="210">
        <f t="shared" si="1"/>
        <v>2276</v>
      </c>
      <c r="B2278" s="217"/>
      <c r="C2278" s="217" t="str">
        <f>IFERROR(VLOOKUP(B2278, SourceData!$U$3:$V$190, 2, FALSE), "")</f>
        <v/>
      </c>
      <c r="D2278" s="240"/>
      <c r="E2278" s="241"/>
      <c r="F2278" s="248"/>
      <c r="G2278" s="207"/>
      <c r="H2278" s="209"/>
      <c r="I2278" s="209"/>
      <c r="J2278" s="209"/>
      <c r="K2278" s="208" t="str">
        <f>IF(Errors!$I2278=0,SourceData!$B$42,VLOOKUP(Errors!$I2278,SourceData!$A$2:$B$40,2,FALSE))</f>
        <v>Please select ERROR CODE column "I"</v>
      </c>
      <c r="L2278" s="207" t="str">
        <f>IF(Errors!$I2278=0,
    'List of Error Codes'!$E$29,
    IFERROR(VLOOKUP(Errors!$I2278, 'List of Error Codes'!D2277:I2307, 6, FALSE), 'List of Error Codes'!$E$29)
)</f>
        <v>Please select ERROR CODE column "I"</v>
      </c>
      <c r="M2278" s="209"/>
      <c r="N2278" s="209"/>
      <c r="O2278" s="209"/>
      <c r="P2278" s="209"/>
      <c r="Q2278" s="209"/>
      <c r="R2278" s="217"/>
      <c r="S2278" s="217"/>
      <c r="T2278" s="217"/>
      <c r="U2278" s="199"/>
      <c r="V2278" s="200"/>
      <c r="W2278" s="200"/>
      <c r="X2278" s="200"/>
      <c r="Y2278" s="200"/>
      <c r="Z2278" s="200"/>
      <c r="AA2278" s="201"/>
      <c r="AB2278" s="200"/>
      <c r="AC2278" s="200"/>
    </row>
    <row r="2279" ht="15.75" customHeight="1">
      <c r="A2279" s="210">
        <f t="shared" si="1"/>
        <v>2277</v>
      </c>
      <c r="B2279" s="217"/>
      <c r="C2279" s="217" t="str">
        <f>IFERROR(VLOOKUP(B2279, SourceData!$U$3:$V$190, 2, FALSE), "")</f>
        <v/>
      </c>
      <c r="D2279" s="240"/>
      <c r="E2279" s="241"/>
      <c r="F2279" s="248"/>
      <c r="G2279" s="207"/>
      <c r="H2279" s="209"/>
      <c r="I2279" s="209"/>
      <c r="J2279" s="209"/>
      <c r="K2279" s="208" t="str">
        <f>IF(Errors!$I2279=0,SourceData!$B$42,VLOOKUP(Errors!$I2279,SourceData!$A$2:$B$40,2,FALSE))</f>
        <v>Please select ERROR CODE column "I"</v>
      </c>
      <c r="L2279" s="207" t="str">
        <f>IF(Errors!$I2279=0,
    'List of Error Codes'!$E$29,
    IFERROR(VLOOKUP(Errors!$I2279, 'List of Error Codes'!D2278:I2308, 6, FALSE), 'List of Error Codes'!$E$29)
)</f>
        <v>Please select ERROR CODE column "I"</v>
      </c>
      <c r="M2279" s="209"/>
      <c r="N2279" s="209"/>
      <c r="O2279" s="209"/>
      <c r="P2279" s="209"/>
      <c r="Q2279" s="209"/>
      <c r="R2279" s="217"/>
      <c r="S2279" s="217"/>
      <c r="T2279" s="217"/>
      <c r="U2279" s="199"/>
      <c r="V2279" s="200"/>
      <c r="W2279" s="200"/>
      <c r="X2279" s="200"/>
      <c r="Y2279" s="200"/>
      <c r="Z2279" s="200"/>
      <c r="AA2279" s="201"/>
      <c r="AB2279" s="200"/>
      <c r="AC2279" s="200"/>
    </row>
    <row r="2280" ht="15.75" customHeight="1">
      <c r="A2280" s="210">
        <f t="shared" si="1"/>
        <v>2278</v>
      </c>
      <c r="B2280" s="217"/>
      <c r="C2280" s="217" t="str">
        <f>IFERROR(VLOOKUP(B2280, SourceData!$U$3:$V$190, 2, FALSE), "")</f>
        <v/>
      </c>
      <c r="D2280" s="240"/>
      <c r="E2280" s="241"/>
      <c r="F2280" s="248"/>
      <c r="G2280" s="207"/>
      <c r="H2280" s="209"/>
      <c r="I2280" s="209"/>
      <c r="J2280" s="209"/>
      <c r="K2280" s="208" t="str">
        <f>IF(Errors!$I2280=0,SourceData!$B$42,VLOOKUP(Errors!$I2280,SourceData!$A$2:$B$40,2,FALSE))</f>
        <v>Please select ERROR CODE column "I"</v>
      </c>
      <c r="L2280" s="207" t="str">
        <f>IF(Errors!$I2280=0,
    'List of Error Codes'!$E$29,
    IFERROR(VLOOKUP(Errors!$I2280, 'List of Error Codes'!D2279:I2309, 6, FALSE), 'List of Error Codes'!$E$29)
)</f>
        <v>Please select ERROR CODE column "I"</v>
      </c>
      <c r="M2280" s="209"/>
      <c r="N2280" s="209"/>
      <c r="O2280" s="209"/>
      <c r="P2280" s="209"/>
      <c r="Q2280" s="209"/>
      <c r="R2280" s="217"/>
      <c r="S2280" s="217"/>
      <c r="T2280" s="217"/>
      <c r="U2280" s="199"/>
      <c r="V2280" s="200"/>
      <c r="W2280" s="200"/>
      <c r="X2280" s="200"/>
      <c r="Y2280" s="200"/>
      <c r="Z2280" s="200"/>
      <c r="AA2280" s="201"/>
      <c r="AB2280" s="200"/>
      <c r="AC2280" s="200"/>
    </row>
    <row r="2281" ht="15.75" customHeight="1">
      <c r="A2281" s="210">
        <f t="shared" si="1"/>
        <v>2279</v>
      </c>
      <c r="B2281" s="217"/>
      <c r="C2281" s="217" t="str">
        <f>IFERROR(VLOOKUP(B2281, SourceData!$U$3:$V$190, 2, FALSE), "")</f>
        <v/>
      </c>
      <c r="D2281" s="240"/>
      <c r="E2281" s="241"/>
      <c r="F2281" s="248"/>
      <c r="G2281" s="207"/>
      <c r="H2281" s="209"/>
      <c r="I2281" s="209"/>
      <c r="J2281" s="209"/>
      <c r="K2281" s="208" t="str">
        <f>IF(Errors!$I2281=0,SourceData!$B$42,VLOOKUP(Errors!$I2281,SourceData!$A$2:$B$40,2,FALSE))</f>
        <v>Please select ERROR CODE column "I"</v>
      </c>
      <c r="L2281" s="207" t="str">
        <f>IF(Errors!$I2281=0,
    'List of Error Codes'!$E$29,
    IFERROR(VLOOKUP(Errors!$I2281, 'List of Error Codes'!D2280:I2310, 6, FALSE), 'List of Error Codes'!$E$29)
)</f>
        <v>Please select ERROR CODE column "I"</v>
      </c>
      <c r="M2281" s="209"/>
      <c r="N2281" s="209"/>
      <c r="O2281" s="209"/>
      <c r="P2281" s="209"/>
      <c r="Q2281" s="209"/>
      <c r="R2281" s="217"/>
      <c r="S2281" s="217"/>
      <c r="T2281" s="217"/>
      <c r="U2281" s="199"/>
      <c r="V2281" s="200"/>
      <c r="W2281" s="200"/>
      <c r="X2281" s="200"/>
      <c r="Y2281" s="200"/>
      <c r="Z2281" s="200"/>
      <c r="AA2281" s="201"/>
      <c r="AB2281" s="200"/>
      <c r="AC2281" s="200"/>
    </row>
    <row r="2282" ht="15.75" customHeight="1">
      <c r="A2282" s="210">
        <f t="shared" si="1"/>
        <v>2280</v>
      </c>
      <c r="B2282" s="217"/>
      <c r="C2282" s="217" t="str">
        <f>IFERROR(VLOOKUP(B2282, SourceData!$U$3:$V$190, 2, FALSE), "")</f>
        <v/>
      </c>
      <c r="D2282" s="240"/>
      <c r="E2282" s="241"/>
      <c r="F2282" s="248"/>
      <c r="G2282" s="207"/>
      <c r="H2282" s="209"/>
      <c r="I2282" s="209"/>
      <c r="J2282" s="209"/>
      <c r="K2282" s="208" t="str">
        <f>IF(Errors!$I2282=0,SourceData!$B$42,VLOOKUP(Errors!$I2282,SourceData!$A$2:$B$40,2,FALSE))</f>
        <v>Please select ERROR CODE column "I"</v>
      </c>
      <c r="L2282" s="207" t="str">
        <f>IF(Errors!$I2282=0,
    'List of Error Codes'!$E$29,
    IFERROR(VLOOKUP(Errors!$I2282, 'List of Error Codes'!D2281:I2311, 6, FALSE), 'List of Error Codes'!$E$29)
)</f>
        <v>Please select ERROR CODE column "I"</v>
      </c>
      <c r="M2282" s="209"/>
      <c r="N2282" s="209"/>
      <c r="O2282" s="209"/>
      <c r="P2282" s="209"/>
      <c r="Q2282" s="209"/>
      <c r="R2282" s="217"/>
      <c r="S2282" s="217"/>
      <c r="T2282" s="217"/>
      <c r="U2282" s="199"/>
      <c r="V2282" s="200"/>
      <c r="W2282" s="200"/>
      <c r="X2282" s="200"/>
      <c r="Y2282" s="200"/>
      <c r="Z2282" s="200"/>
      <c r="AA2282" s="201"/>
      <c r="AB2282" s="200"/>
      <c r="AC2282" s="200"/>
    </row>
    <row r="2283" ht="15.75" customHeight="1">
      <c r="A2283" s="210">
        <f t="shared" si="1"/>
        <v>2281</v>
      </c>
      <c r="B2283" s="217"/>
      <c r="C2283" s="217" t="str">
        <f>IFERROR(VLOOKUP(B2283, SourceData!$U$3:$V$190, 2, FALSE), "")</f>
        <v/>
      </c>
      <c r="D2283" s="240"/>
      <c r="E2283" s="241"/>
      <c r="F2283" s="248"/>
      <c r="G2283" s="207"/>
      <c r="H2283" s="209"/>
      <c r="I2283" s="209"/>
      <c r="J2283" s="209"/>
      <c r="K2283" s="208" t="str">
        <f>IF(Errors!$I2283=0,SourceData!$B$42,VLOOKUP(Errors!$I2283,SourceData!$A$2:$B$40,2,FALSE))</f>
        <v>Please select ERROR CODE column "I"</v>
      </c>
      <c r="L2283" s="207" t="str">
        <f>IF(Errors!$I2283=0,
    'List of Error Codes'!$E$29,
    IFERROR(VLOOKUP(Errors!$I2283, 'List of Error Codes'!D2282:I2312, 6, FALSE), 'List of Error Codes'!$E$29)
)</f>
        <v>Please select ERROR CODE column "I"</v>
      </c>
      <c r="M2283" s="209"/>
      <c r="N2283" s="209"/>
      <c r="O2283" s="209"/>
      <c r="P2283" s="209"/>
      <c r="Q2283" s="209"/>
      <c r="R2283" s="217"/>
      <c r="S2283" s="217"/>
      <c r="T2283" s="217"/>
      <c r="U2283" s="199"/>
      <c r="V2283" s="200"/>
      <c r="W2283" s="200"/>
      <c r="X2283" s="200"/>
      <c r="Y2283" s="200"/>
      <c r="Z2283" s="200"/>
      <c r="AA2283" s="201"/>
      <c r="AB2283" s="200"/>
      <c r="AC2283" s="200"/>
    </row>
    <row r="2284" ht="15.75" customHeight="1">
      <c r="A2284" s="210">
        <f t="shared" si="1"/>
        <v>2282</v>
      </c>
      <c r="B2284" s="217"/>
      <c r="C2284" s="217" t="str">
        <f>IFERROR(VLOOKUP(B2284, SourceData!$U$3:$V$190, 2, FALSE), "")</f>
        <v/>
      </c>
      <c r="D2284" s="240"/>
      <c r="E2284" s="241"/>
      <c r="F2284" s="248"/>
      <c r="G2284" s="207"/>
      <c r="H2284" s="209"/>
      <c r="I2284" s="209"/>
      <c r="J2284" s="209"/>
      <c r="K2284" s="208" t="str">
        <f>IF(Errors!$I2284=0,SourceData!$B$42,VLOOKUP(Errors!$I2284,SourceData!$A$2:$B$40,2,FALSE))</f>
        <v>Please select ERROR CODE column "I"</v>
      </c>
      <c r="L2284" s="207" t="str">
        <f>IF(Errors!$I2284=0,
    'List of Error Codes'!$E$29,
    IFERROR(VLOOKUP(Errors!$I2284, 'List of Error Codes'!D2283:I2313, 6, FALSE), 'List of Error Codes'!$E$29)
)</f>
        <v>Please select ERROR CODE column "I"</v>
      </c>
      <c r="M2284" s="209"/>
      <c r="N2284" s="209"/>
      <c r="O2284" s="209"/>
      <c r="P2284" s="209"/>
      <c r="Q2284" s="209"/>
      <c r="R2284" s="217"/>
      <c r="S2284" s="217"/>
      <c r="T2284" s="217"/>
      <c r="U2284" s="199"/>
      <c r="V2284" s="200"/>
      <c r="W2284" s="200"/>
      <c r="X2284" s="200"/>
      <c r="Y2284" s="200"/>
      <c r="Z2284" s="200"/>
      <c r="AA2284" s="201"/>
      <c r="AB2284" s="200"/>
      <c r="AC2284" s="200"/>
    </row>
    <row r="2285" ht="15.75" customHeight="1">
      <c r="A2285" s="210">
        <f t="shared" si="1"/>
        <v>2283</v>
      </c>
      <c r="B2285" s="217"/>
      <c r="C2285" s="217" t="str">
        <f>IFERROR(VLOOKUP(B2285, SourceData!$U$3:$V$190, 2, FALSE), "")</f>
        <v/>
      </c>
      <c r="D2285" s="240"/>
      <c r="E2285" s="241"/>
      <c r="F2285" s="248"/>
      <c r="G2285" s="207"/>
      <c r="H2285" s="209"/>
      <c r="I2285" s="209"/>
      <c r="J2285" s="209"/>
      <c r="K2285" s="208" t="str">
        <f>IF(Errors!$I2285=0,SourceData!$B$42,VLOOKUP(Errors!$I2285,SourceData!$A$2:$B$40,2,FALSE))</f>
        <v>Please select ERROR CODE column "I"</v>
      </c>
      <c r="L2285" s="207" t="str">
        <f>IF(Errors!$I2285=0,
    'List of Error Codes'!$E$29,
    IFERROR(VLOOKUP(Errors!$I2285, 'List of Error Codes'!D2284:I2314, 6, FALSE), 'List of Error Codes'!$E$29)
)</f>
        <v>Please select ERROR CODE column "I"</v>
      </c>
      <c r="M2285" s="209"/>
      <c r="N2285" s="209"/>
      <c r="O2285" s="209"/>
      <c r="P2285" s="209"/>
      <c r="Q2285" s="209"/>
      <c r="R2285" s="217"/>
      <c r="S2285" s="217"/>
      <c r="T2285" s="217"/>
      <c r="U2285" s="199"/>
      <c r="V2285" s="200"/>
      <c r="W2285" s="200"/>
      <c r="X2285" s="200"/>
      <c r="Y2285" s="200"/>
      <c r="Z2285" s="200"/>
      <c r="AA2285" s="201"/>
      <c r="AB2285" s="200"/>
      <c r="AC2285" s="200"/>
    </row>
    <row r="2286" ht="15.75" customHeight="1">
      <c r="A2286" s="210">
        <f t="shared" si="1"/>
        <v>2284</v>
      </c>
      <c r="B2286" s="217"/>
      <c r="C2286" s="217" t="str">
        <f>IFERROR(VLOOKUP(B2286, SourceData!$U$3:$V$190, 2, FALSE), "")</f>
        <v/>
      </c>
      <c r="D2286" s="240"/>
      <c r="E2286" s="241"/>
      <c r="F2286" s="248"/>
      <c r="G2286" s="207"/>
      <c r="H2286" s="209"/>
      <c r="I2286" s="209"/>
      <c r="J2286" s="209"/>
      <c r="K2286" s="208" t="str">
        <f>IF(Errors!$I2286=0,SourceData!$B$42,VLOOKUP(Errors!$I2286,SourceData!$A$2:$B$40,2,FALSE))</f>
        <v>Please select ERROR CODE column "I"</v>
      </c>
      <c r="L2286" s="207" t="str">
        <f>IF(Errors!$I2286=0,
    'List of Error Codes'!$E$29,
    IFERROR(VLOOKUP(Errors!$I2286, 'List of Error Codes'!D2285:I2315, 6, FALSE), 'List of Error Codes'!$E$29)
)</f>
        <v>Please select ERROR CODE column "I"</v>
      </c>
      <c r="M2286" s="209"/>
      <c r="N2286" s="209"/>
      <c r="O2286" s="209"/>
      <c r="P2286" s="209"/>
      <c r="Q2286" s="209"/>
      <c r="R2286" s="217"/>
      <c r="S2286" s="217"/>
      <c r="T2286" s="217"/>
      <c r="U2286" s="199"/>
      <c r="V2286" s="200"/>
      <c r="W2286" s="200"/>
      <c r="X2286" s="200"/>
      <c r="Y2286" s="200"/>
      <c r="Z2286" s="200"/>
      <c r="AA2286" s="201"/>
      <c r="AB2286" s="200"/>
      <c r="AC2286" s="200"/>
    </row>
    <row r="2287" ht="15.75" customHeight="1">
      <c r="A2287" s="210">
        <f t="shared" si="1"/>
        <v>2285</v>
      </c>
      <c r="B2287" s="217"/>
      <c r="C2287" s="217" t="str">
        <f>IFERROR(VLOOKUP(B2287, SourceData!$U$3:$V$190, 2, FALSE), "")</f>
        <v/>
      </c>
      <c r="D2287" s="240"/>
      <c r="E2287" s="241"/>
      <c r="F2287" s="248"/>
      <c r="G2287" s="207"/>
      <c r="H2287" s="209"/>
      <c r="I2287" s="209"/>
      <c r="J2287" s="209"/>
      <c r="K2287" s="208" t="str">
        <f>IF(Errors!$I2287=0,SourceData!$B$42,VLOOKUP(Errors!$I2287,SourceData!$A$2:$B$40,2,FALSE))</f>
        <v>Please select ERROR CODE column "I"</v>
      </c>
      <c r="L2287" s="207" t="str">
        <f>IF(Errors!$I2287=0,
    'List of Error Codes'!$E$29,
    IFERROR(VLOOKUP(Errors!$I2287, 'List of Error Codes'!D2286:I2316, 6, FALSE), 'List of Error Codes'!$E$29)
)</f>
        <v>Please select ERROR CODE column "I"</v>
      </c>
      <c r="M2287" s="209"/>
      <c r="N2287" s="209"/>
      <c r="O2287" s="209"/>
      <c r="P2287" s="209"/>
      <c r="Q2287" s="209"/>
      <c r="R2287" s="217"/>
      <c r="S2287" s="217"/>
      <c r="T2287" s="217"/>
      <c r="U2287" s="199"/>
      <c r="V2287" s="200"/>
      <c r="W2287" s="200"/>
      <c r="X2287" s="200"/>
      <c r="Y2287" s="200"/>
      <c r="Z2287" s="200"/>
      <c r="AA2287" s="201"/>
      <c r="AB2287" s="200"/>
      <c r="AC2287" s="200"/>
    </row>
    <row r="2288" ht="15.75" customHeight="1">
      <c r="A2288" s="210">
        <f t="shared" si="1"/>
        <v>2286</v>
      </c>
      <c r="B2288" s="217"/>
      <c r="C2288" s="217" t="str">
        <f>IFERROR(VLOOKUP(B2288, SourceData!$U$3:$V$190, 2, FALSE), "")</f>
        <v/>
      </c>
      <c r="D2288" s="240"/>
      <c r="E2288" s="241"/>
      <c r="F2288" s="248"/>
      <c r="G2288" s="207"/>
      <c r="H2288" s="209"/>
      <c r="I2288" s="209"/>
      <c r="J2288" s="209"/>
      <c r="K2288" s="208" t="str">
        <f>IF(Errors!$I2288=0,SourceData!$B$42,VLOOKUP(Errors!$I2288,SourceData!$A$2:$B$40,2,FALSE))</f>
        <v>Please select ERROR CODE column "I"</v>
      </c>
      <c r="L2288" s="207" t="str">
        <f>IF(Errors!$I2288=0,
    'List of Error Codes'!$E$29,
    IFERROR(VLOOKUP(Errors!$I2288, 'List of Error Codes'!D2287:I2317, 6, FALSE), 'List of Error Codes'!$E$29)
)</f>
        <v>Please select ERROR CODE column "I"</v>
      </c>
      <c r="M2288" s="209"/>
      <c r="N2288" s="209"/>
      <c r="O2288" s="209"/>
      <c r="P2288" s="209"/>
      <c r="Q2288" s="209"/>
      <c r="R2288" s="217"/>
      <c r="S2288" s="217"/>
      <c r="T2288" s="217"/>
      <c r="U2288" s="199"/>
      <c r="V2288" s="200"/>
      <c r="W2288" s="200"/>
      <c r="X2288" s="200"/>
      <c r="Y2288" s="200"/>
      <c r="Z2288" s="200"/>
      <c r="AA2288" s="201"/>
      <c r="AB2288" s="200"/>
      <c r="AC2288" s="200"/>
    </row>
    <row r="2289" ht="15.75" customHeight="1">
      <c r="A2289" s="210">
        <f t="shared" si="1"/>
        <v>2287</v>
      </c>
      <c r="B2289" s="217"/>
      <c r="C2289" s="217" t="str">
        <f>IFERROR(VLOOKUP(B2289, SourceData!$U$3:$V$190, 2, FALSE), "")</f>
        <v/>
      </c>
      <c r="D2289" s="240"/>
      <c r="E2289" s="241"/>
      <c r="F2289" s="248"/>
      <c r="G2289" s="207"/>
      <c r="H2289" s="209"/>
      <c r="I2289" s="209"/>
      <c r="J2289" s="209"/>
      <c r="K2289" s="208" t="str">
        <f>IF(Errors!$I2289=0,SourceData!$B$42,VLOOKUP(Errors!$I2289,SourceData!$A$2:$B$40,2,FALSE))</f>
        <v>Please select ERROR CODE column "I"</v>
      </c>
      <c r="L2289" s="207" t="str">
        <f>IF(Errors!$I2289=0,
    'List of Error Codes'!$E$29,
    IFERROR(VLOOKUP(Errors!$I2289, 'List of Error Codes'!D2288:I2318, 6, FALSE), 'List of Error Codes'!$E$29)
)</f>
        <v>Please select ERROR CODE column "I"</v>
      </c>
      <c r="M2289" s="209"/>
      <c r="N2289" s="209"/>
      <c r="O2289" s="209"/>
      <c r="P2289" s="209"/>
      <c r="Q2289" s="209"/>
      <c r="R2289" s="217"/>
      <c r="S2289" s="217"/>
      <c r="T2289" s="217"/>
      <c r="U2289" s="199"/>
      <c r="V2289" s="200"/>
      <c r="W2289" s="200"/>
      <c r="X2289" s="200"/>
      <c r="Y2289" s="200"/>
      <c r="Z2289" s="200"/>
      <c r="AA2289" s="201"/>
      <c r="AB2289" s="200"/>
      <c r="AC2289" s="200"/>
    </row>
    <row r="2290" ht="15.75" customHeight="1">
      <c r="A2290" s="210">
        <f t="shared" si="1"/>
        <v>2288</v>
      </c>
      <c r="B2290" s="217"/>
      <c r="C2290" s="217" t="str">
        <f>IFERROR(VLOOKUP(B2290, SourceData!$U$3:$V$190, 2, FALSE), "")</f>
        <v/>
      </c>
      <c r="D2290" s="240"/>
      <c r="E2290" s="241"/>
      <c r="F2290" s="248"/>
      <c r="G2290" s="207"/>
      <c r="H2290" s="209"/>
      <c r="I2290" s="209"/>
      <c r="J2290" s="209"/>
      <c r="K2290" s="208" t="str">
        <f>IF(Errors!$I2290=0,SourceData!$B$42,VLOOKUP(Errors!$I2290,SourceData!$A$2:$B$40,2,FALSE))</f>
        <v>Please select ERROR CODE column "I"</v>
      </c>
      <c r="L2290" s="207" t="str">
        <f>IF(Errors!$I2290=0,
    'List of Error Codes'!$E$29,
    IFERROR(VLOOKUP(Errors!$I2290, 'List of Error Codes'!D2289:I2319, 6, FALSE), 'List of Error Codes'!$E$29)
)</f>
        <v>Please select ERROR CODE column "I"</v>
      </c>
      <c r="M2290" s="209"/>
      <c r="N2290" s="209"/>
      <c r="O2290" s="209"/>
      <c r="P2290" s="209"/>
      <c r="Q2290" s="209"/>
      <c r="R2290" s="217"/>
      <c r="S2290" s="217"/>
      <c r="T2290" s="217"/>
      <c r="U2290" s="199"/>
      <c r="V2290" s="200"/>
      <c r="W2290" s="200"/>
      <c r="X2290" s="200"/>
      <c r="Y2290" s="200"/>
      <c r="Z2290" s="200"/>
      <c r="AA2290" s="201"/>
      <c r="AB2290" s="200"/>
      <c r="AC2290" s="200"/>
    </row>
    <row r="2291" ht="15.75" customHeight="1">
      <c r="A2291" s="210">
        <f t="shared" si="1"/>
        <v>2289</v>
      </c>
      <c r="B2291" s="217"/>
      <c r="C2291" s="217" t="str">
        <f>IFERROR(VLOOKUP(B2291, SourceData!$U$3:$V$190, 2, FALSE), "")</f>
        <v/>
      </c>
      <c r="D2291" s="240"/>
      <c r="E2291" s="241"/>
      <c r="F2291" s="248"/>
      <c r="G2291" s="207"/>
      <c r="H2291" s="209"/>
      <c r="I2291" s="209"/>
      <c r="J2291" s="209"/>
      <c r="K2291" s="208" t="str">
        <f>IF(Errors!$I2291=0,SourceData!$B$42,VLOOKUP(Errors!$I2291,SourceData!$A$2:$B$40,2,FALSE))</f>
        <v>Please select ERROR CODE column "I"</v>
      </c>
      <c r="L2291" s="207" t="str">
        <f>IF(Errors!$I2291=0,
    'List of Error Codes'!$E$29,
    IFERROR(VLOOKUP(Errors!$I2291, 'List of Error Codes'!D2290:I2320, 6, FALSE), 'List of Error Codes'!$E$29)
)</f>
        <v>Please select ERROR CODE column "I"</v>
      </c>
      <c r="M2291" s="209"/>
      <c r="N2291" s="209"/>
      <c r="O2291" s="209"/>
      <c r="P2291" s="209"/>
      <c r="Q2291" s="209"/>
      <c r="R2291" s="217"/>
      <c r="S2291" s="217"/>
      <c r="T2291" s="217"/>
      <c r="U2291" s="199"/>
      <c r="V2291" s="200"/>
      <c r="W2291" s="200"/>
      <c r="X2291" s="200"/>
      <c r="Y2291" s="200"/>
      <c r="Z2291" s="200"/>
      <c r="AA2291" s="201"/>
      <c r="AB2291" s="200"/>
      <c r="AC2291" s="200"/>
    </row>
    <row r="2292" ht="15.75" customHeight="1">
      <c r="A2292" s="210">
        <f t="shared" si="1"/>
        <v>2290</v>
      </c>
      <c r="B2292" s="217"/>
      <c r="C2292" s="217" t="str">
        <f>IFERROR(VLOOKUP(B2292, SourceData!$U$3:$V$190, 2, FALSE), "")</f>
        <v/>
      </c>
      <c r="D2292" s="240"/>
      <c r="E2292" s="241"/>
      <c r="F2292" s="248"/>
      <c r="G2292" s="207"/>
      <c r="H2292" s="209"/>
      <c r="I2292" s="209"/>
      <c r="J2292" s="209"/>
      <c r="K2292" s="208" t="str">
        <f>IF(Errors!$I2292=0,SourceData!$B$42,VLOOKUP(Errors!$I2292,SourceData!$A$2:$B$40,2,FALSE))</f>
        <v>Please select ERROR CODE column "I"</v>
      </c>
      <c r="L2292" s="207" t="str">
        <f>IF(Errors!$I2292=0,
    'List of Error Codes'!$E$29,
    IFERROR(VLOOKUP(Errors!$I2292, 'List of Error Codes'!D2291:I2321, 6, FALSE), 'List of Error Codes'!$E$29)
)</f>
        <v>Please select ERROR CODE column "I"</v>
      </c>
      <c r="M2292" s="209"/>
      <c r="N2292" s="209"/>
      <c r="O2292" s="209"/>
      <c r="P2292" s="209"/>
      <c r="Q2292" s="209"/>
      <c r="R2292" s="217"/>
      <c r="S2292" s="217"/>
      <c r="T2292" s="217"/>
      <c r="U2292" s="199"/>
      <c r="V2292" s="200"/>
      <c r="W2292" s="200"/>
      <c r="X2292" s="200"/>
      <c r="Y2292" s="200"/>
      <c r="Z2292" s="200"/>
      <c r="AA2292" s="201"/>
      <c r="AB2292" s="200"/>
      <c r="AC2292" s="200"/>
    </row>
    <row r="2293" ht="15.75" customHeight="1">
      <c r="A2293" s="210">
        <f t="shared" si="1"/>
        <v>2291</v>
      </c>
      <c r="B2293" s="217"/>
      <c r="C2293" s="217" t="str">
        <f>IFERROR(VLOOKUP(B2293, SourceData!$U$3:$V$190, 2, FALSE), "")</f>
        <v/>
      </c>
      <c r="D2293" s="240"/>
      <c r="E2293" s="241"/>
      <c r="F2293" s="248"/>
      <c r="G2293" s="207"/>
      <c r="H2293" s="209"/>
      <c r="I2293" s="209"/>
      <c r="J2293" s="209"/>
      <c r="K2293" s="208" t="str">
        <f>IF(Errors!$I2293=0,SourceData!$B$42,VLOOKUP(Errors!$I2293,SourceData!$A$2:$B$40,2,FALSE))</f>
        <v>Please select ERROR CODE column "I"</v>
      </c>
      <c r="L2293" s="207" t="str">
        <f>IF(Errors!$I2293=0,
    'List of Error Codes'!$E$29,
    IFERROR(VLOOKUP(Errors!$I2293, 'List of Error Codes'!D2292:I2322, 6, FALSE), 'List of Error Codes'!$E$29)
)</f>
        <v>Please select ERROR CODE column "I"</v>
      </c>
      <c r="M2293" s="209"/>
      <c r="N2293" s="209"/>
      <c r="O2293" s="209"/>
      <c r="P2293" s="209"/>
      <c r="Q2293" s="209"/>
      <c r="R2293" s="217"/>
      <c r="S2293" s="217"/>
      <c r="T2293" s="217"/>
      <c r="U2293" s="199"/>
      <c r="V2293" s="200"/>
      <c r="W2293" s="200"/>
      <c r="X2293" s="200"/>
      <c r="Y2293" s="200"/>
      <c r="Z2293" s="200"/>
      <c r="AA2293" s="201"/>
      <c r="AB2293" s="200"/>
      <c r="AC2293" s="200"/>
    </row>
    <row r="2294" ht="15.75" customHeight="1">
      <c r="A2294" s="210">
        <f t="shared" si="1"/>
        <v>2292</v>
      </c>
      <c r="B2294" s="217"/>
      <c r="C2294" s="217" t="str">
        <f>IFERROR(VLOOKUP(B2294, SourceData!$U$3:$V$190, 2, FALSE), "")</f>
        <v/>
      </c>
      <c r="D2294" s="240"/>
      <c r="E2294" s="241"/>
      <c r="F2294" s="248"/>
      <c r="G2294" s="207"/>
      <c r="H2294" s="209"/>
      <c r="I2294" s="209"/>
      <c r="J2294" s="209"/>
      <c r="K2294" s="208" t="str">
        <f>IF(Errors!$I2294=0,SourceData!$B$42,VLOOKUP(Errors!$I2294,SourceData!$A$2:$B$40,2,FALSE))</f>
        <v>Please select ERROR CODE column "I"</v>
      </c>
      <c r="L2294" s="207" t="str">
        <f>IF(Errors!$I2294=0,
    'List of Error Codes'!$E$29,
    IFERROR(VLOOKUP(Errors!$I2294, 'List of Error Codes'!D2293:I2323, 6, FALSE), 'List of Error Codes'!$E$29)
)</f>
        <v>Please select ERROR CODE column "I"</v>
      </c>
      <c r="M2294" s="209"/>
      <c r="N2294" s="209"/>
      <c r="O2294" s="209"/>
      <c r="P2294" s="209"/>
      <c r="Q2294" s="209"/>
      <c r="R2294" s="217"/>
      <c r="S2294" s="217"/>
      <c r="T2294" s="217"/>
      <c r="U2294" s="199"/>
      <c r="V2294" s="200"/>
      <c r="W2294" s="200"/>
      <c r="X2294" s="200"/>
      <c r="Y2294" s="200"/>
      <c r="Z2294" s="200"/>
      <c r="AA2294" s="201"/>
      <c r="AB2294" s="200"/>
      <c r="AC2294" s="200"/>
    </row>
    <row r="2295" ht="15.75" customHeight="1">
      <c r="A2295" s="210">
        <f t="shared" si="1"/>
        <v>2293</v>
      </c>
      <c r="B2295" s="217"/>
      <c r="C2295" s="217" t="str">
        <f>IFERROR(VLOOKUP(B2295, SourceData!$U$3:$V$190, 2, FALSE), "")</f>
        <v/>
      </c>
      <c r="D2295" s="240"/>
      <c r="E2295" s="241"/>
      <c r="F2295" s="248"/>
      <c r="G2295" s="207"/>
      <c r="H2295" s="209"/>
      <c r="I2295" s="209"/>
      <c r="J2295" s="209"/>
      <c r="K2295" s="208" t="str">
        <f>IF(Errors!$I2295=0,SourceData!$B$42,VLOOKUP(Errors!$I2295,SourceData!$A$2:$B$40,2,FALSE))</f>
        <v>Please select ERROR CODE column "I"</v>
      </c>
      <c r="L2295" s="207" t="str">
        <f>IF(Errors!$I2295=0,
    'List of Error Codes'!$E$29,
    IFERROR(VLOOKUP(Errors!$I2295, 'List of Error Codes'!D2294:I2324, 6, FALSE), 'List of Error Codes'!$E$29)
)</f>
        <v>Please select ERROR CODE column "I"</v>
      </c>
      <c r="M2295" s="209"/>
      <c r="N2295" s="209"/>
      <c r="O2295" s="209"/>
      <c r="P2295" s="209"/>
      <c r="Q2295" s="209"/>
      <c r="R2295" s="217"/>
      <c r="S2295" s="217"/>
      <c r="T2295" s="217"/>
      <c r="U2295" s="199"/>
      <c r="V2295" s="200"/>
      <c r="W2295" s="200"/>
      <c r="X2295" s="200"/>
      <c r="Y2295" s="200"/>
      <c r="Z2295" s="200"/>
      <c r="AA2295" s="201"/>
      <c r="AB2295" s="200"/>
      <c r="AC2295" s="200"/>
    </row>
    <row r="2296" ht="15.75" customHeight="1">
      <c r="A2296" s="210">
        <f t="shared" si="1"/>
        <v>2294</v>
      </c>
      <c r="B2296" s="217"/>
      <c r="C2296" s="217" t="str">
        <f>IFERROR(VLOOKUP(B2296, SourceData!$U$3:$V$190, 2, FALSE), "")</f>
        <v/>
      </c>
      <c r="D2296" s="240"/>
      <c r="E2296" s="241"/>
      <c r="F2296" s="248"/>
      <c r="G2296" s="207"/>
      <c r="H2296" s="209"/>
      <c r="I2296" s="209"/>
      <c r="J2296" s="209"/>
      <c r="K2296" s="208" t="str">
        <f>IF(Errors!$I2296=0,SourceData!$B$42,VLOOKUP(Errors!$I2296,SourceData!$A$2:$B$40,2,FALSE))</f>
        <v>Please select ERROR CODE column "I"</v>
      </c>
      <c r="L2296" s="207" t="str">
        <f>IF(Errors!$I2296=0,
    'List of Error Codes'!$E$29,
    IFERROR(VLOOKUP(Errors!$I2296, 'List of Error Codes'!D2295:I2325, 6, FALSE), 'List of Error Codes'!$E$29)
)</f>
        <v>Please select ERROR CODE column "I"</v>
      </c>
      <c r="M2296" s="209"/>
      <c r="N2296" s="209"/>
      <c r="O2296" s="209"/>
      <c r="P2296" s="209"/>
      <c r="Q2296" s="209"/>
      <c r="R2296" s="217"/>
      <c r="S2296" s="217"/>
      <c r="T2296" s="217"/>
      <c r="U2296" s="199"/>
      <c r="V2296" s="200"/>
      <c r="W2296" s="200"/>
      <c r="X2296" s="200"/>
      <c r="Y2296" s="200"/>
      <c r="Z2296" s="200"/>
      <c r="AA2296" s="201"/>
      <c r="AB2296" s="200"/>
      <c r="AC2296" s="200"/>
    </row>
    <row r="2297" ht="15.75" customHeight="1">
      <c r="A2297" s="210">
        <f t="shared" si="1"/>
        <v>2295</v>
      </c>
      <c r="B2297" s="217"/>
      <c r="C2297" s="217" t="str">
        <f>IFERROR(VLOOKUP(B2297, SourceData!$U$3:$V$190, 2, FALSE), "")</f>
        <v/>
      </c>
      <c r="D2297" s="240"/>
      <c r="E2297" s="241"/>
      <c r="F2297" s="248"/>
      <c r="G2297" s="207"/>
      <c r="H2297" s="209"/>
      <c r="I2297" s="209"/>
      <c r="J2297" s="209"/>
      <c r="K2297" s="208" t="str">
        <f>IF(Errors!$I2297=0,SourceData!$B$42,VLOOKUP(Errors!$I2297,SourceData!$A$2:$B$40,2,FALSE))</f>
        <v>Please select ERROR CODE column "I"</v>
      </c>
      <c r="L2297" s="207" t="str">
        <f>IF(Errors!$I2297=0,
    'List of Error Codes'!$E$29,
    IFERROR(VLOOKUP(Errors!$I2297, 'List of Error Codes'!D2296:I2326, 6, FALSE), 'List of Error Codes'!$E$29)
)</f>
        <v>Please select ERROR CODE column "I"</v>
      </c>
      <c r="M2297" s="209"/>
      <c r="N2297" s="209"/>
      <c r="O2297" s="209"/>
      <c r="P2297" s="209"/>
      <c r="Q2297" s="209"/>
      <c r="R2297" s="217"/>
      <c r="S2297" s="217"/>
      <c r="T2297" s="217"/>
      <c r="U2297" s="199"/>
      <c r="V2297" s="200"/>
      <c r="W2297" s="200"/>
      <c r="X2297" s="200"/>
      <c r="Y2297" s="200"/>
      <c r="Z2297" s="200"/>
      <c r="AA2297" s="201"/>
      <c r="AB2297" s="200"/>
      <c r="AC2297" s="200"/>
    </row>
    <row r="2298" ht="15.75" customHeight="1">
      <c r="A2298" s="210">
        <f t="shared" si="1"/>
        <v>2296</v>
      </c>
      <c r="B2298" s="217"/>
      <c r="C2298" s="217" t="str">
        <f>IFERROR(VLOOKUP(B2298, SourceData!$U$3:$V$190, 2, FALSE), "")</f>
        <v/>
      </c>
      <c r="D2298" s="240"/>
      <c r="E2298" s="241"/>
      <c r="F2298" s="248"/>
      <c r="G2298" s="207"/>
      <c r="H2298" s="209"/>
      <c r="I2298" s="209"/>
      <c r="J2298" s="209"/>
      <c r="K2298" s="208" t="str">
        <f>IF(Errors!$I2298=0,SourceData!$B$42,VLOOKUP(Errors!$I2298,SourceData!$A$2:$B$40,2,FALSE))</f>
        <v>Please select ERROR CODE column "I"</v>
      </c>
      <c r="L2298" s="207" t="str">
        <f>IF(Errors!$I2298=0,
    'List of Error Codes'!$E$29,
    IFERROR(VLOOKUP(Errors!$I2298, 'List of Error Codes'!D2297:I2327, 6, FALSE), 'List of Error Codes'!$E$29)
)</f>
        <v>Please select ERROR CODE column "I"</v>
      </c>
      <c r="M2298" s="209"/>
      <c r="N2298" s="209"/>
      <c r="O2298" s="209"/>
      <c r="P2298" s="209"/>
      <c r="Q2298" s="209"/>
      <c r="R2298" s="217"/>
      <c r="S2298" s="217"/>
      <c r="T2298" s="217"/>
      <c r="U2298" s="199"/>
      <c r="V2298" s="200"/>
      <c r="W2298" s="200"/>
      <c r="X2298" s="200"/>
      <c r="Y2298" s="200"/>
      <c r="Z2298" s="200"/>
      <c r="AA2298" s="201"/>
      <c r="AB2298" s="200"/>
      <c r="AC2298" s="200"/>
    </row>
    <row r="2299" ht="15.75" customHeight="1">
      <c r="A2299" s="210">
        <f t="shared" si="1"/>
        <v>2297</v>
      </c>
      <c r="B2299" s="217"/>
      <c r="C2299" s="217" t="str">
        <f>IFERROR(VLOOKUP(B2299, SourceData!$U$3:$V$190, 2, FALSE), "")</f>
        <v/>
      </c>
      <c r="D2299" s="240"/>
      <c r="E2299" s="241"/>
      <c r="F2299" s="248"/>
      <c r="G2299" s="207"/>
      <c r="H2299" s="209"/>
      <c r="I2299" s="209"/>
      <c r="J2299" s="209"/>
      <c r="K2299" s="208" t="str">
        <f>IF(Errors!$I2299=0,SourceData!$B$42,VLOOKUP(Errors!$I2299,SourceData!$A$2:$B$40,2,FALSE))</f>
        <v>Please select ERROR CODE column "I"</v>
      </c>
      <c r="L2299" s="207" t="str">
        <f>IF(Errors!$I2299=0,
    'List of Error Codes'!$E$29,
    IFERROR(VLOOKUP(Errors!$I2299, 'List of Error Codes'!D2298:I2328, 6, FALSE), 'List of Error Codes'!$E$29)
)</f>
        <v>Please select ERROR CODE column "I"</v>
      </c>
      <c r="M2299" s="209"/>
      <c r="N2299" s="209"/>
      <c r="O2299" s="209"/>
      <c r="P2299" s="209"/>
      <c r="Q2299" s="209"/>
      <c r="R2299" s="217"/>
      <c r="S2299" s="217"/>
      <c r="T2299" s="217"/>
      <c r="U2299" s="199"/>
      <c r="V2299" s="200"/>
      <c r="W2299" s="200"/>
      <c r="X2299" s="200"/>
      <c r="Y2299" s="200"/>
      <c r="Z2299" s="200"/>
      <c r="AA2299" s="201"/>
      <c r="AB2299" s="200"/>
      <c r="AC2299" s="200"/>
    </row>
    <row r="2300" ht="15.75" customHeight="1">
      <c r="A2300" s="210">
        <f t="shared" si="1"/>
        <v>2298</v>
      </c>
      <c r="B2300" s="217"/>
      <c r="C2300" s="217" t="str">
        <f>IFERROR(VLOOKUP(B2300, SourceData!$U$3:$V$190, 2, FALSE), "")</f>
        <v/>
      </c>
      <c r="D2300" s="240"/>
      <c r="E2300" s="241"/>
      <c r="F2300" s="248"/>
      <c r="G2300" s="207"/>
      <c r="H2300" s="209"/>
      <c r="I2300" s="209"/>
      <c r="J2300" s="209"/>
      <c r="K2300" s="208" t="str">
        <f>IF(Errors!$I2300=0,SourceData!$B$42,VLOOKUP(Errors!$I2300,SourceData!$A$2:$B$40,2,FALSE))</f>
        <v>Please select ERROR CODE column "I"</v>
      </c>
      <c r="L2300" s="207" t="str">
        <f>IF(Errors!$I2300=0,
    'List of Error Codes'!$E$29,
    IFERROR(VLOOKUP(Errors!$I2300, 'List of Error Codes'!D2299:I2329, 6, FALSE), 'List of Error Codes'!$E$29)
)</f>
        <v>Please select ERROR CODE column "I"</v>
      </c>
      <c r="M2300" s="209"/>
      <c r="N2300" s="209"/>
      <c r="O2300" s="209"/>
      <c r="P2300" s="209"/>
      <c r="Q2300" s="209"/>
      <c r="R2300" s="217"/>
      <c r="S2300" s="217"/>
      <c r="T2300" s="217"/>
      <c r="U2300" s="199"/>
      <c r="V2300" s="200"/>
      <c r="W2300" s="200"/>
      <c r="X2300" s="200"/>
      <c r="Y2300" s="200"/>
      <c r="Z2300" s="200"/>
      <c r="AA2300" s="201"/>
      <c r="AB2300" s="200"/>
      <c r="AC2300" s="200"/>
    </row>
    <row r="2301" ht="15.75" customHeight="1">
      <c r="A2301" s="210">
        <f t="shared" si="1"/>
        <v>2299</v>
      </c>
      <c r="B2301" s="217"/>
      <c r="C2301" s="217" t="str">
        <f>IFERROR(VLOOKUP(B2301, SourceData!$U$3:$V$190, 2, FALSE), "")</f>
        <v/>
      </c>
      <c r="D2301" s="240"/>
      <c r="E2301" s="241"/>
      <c r="F2301" s="248"/>
      <c r="G2301" s="207"/>
      <c r="H2301" s="209"/>
      <c r="I2301" s="209"/>
      <c r="J2301" s="209"/>
      <c r="K2301" s="208" t="str">
        <f>IF(Errors!$I2301=0,SourceData!$B$42,VLOOKUP(Errors!$I2301,SourceData!$A$2:$B$40,2,FALSE))</f>
        <v>Please select ERROR CODE column "I"</v>
      </c>
      <c r="L2301" s="207" t="str">
        <f>IF(Errors!$I2301=0,
    'List of Error Codes'!$E$29,
    IFERROR(VLOOKUP(Errors!$I2301, 'List of Error Codes'!D2300:I2330, 6, FALSE), 'List of Error Codes'!$E$29)
)</f>
        <v>Please select ERROR CODE column "I"</v>
      </c>
      <c r="M2301" s="209"/>
      <c r="N2301" s="209"/>
      <c r="O2301" s="209"/>
      <c r="P2301" s="209"/>
      <c r="Q2301" s="209"/>
      <c r="R2301" s="217"/>
      <c r="S2301" s="217"/>
      <c r="T2301" s="217"/>
      <c r="U2301" s="199"/>
      <c r="V2301" s="200"/>
      <c r="W2301" s="200"/>
      <c r="X2301" s="200"/>
      <c r="Y2301" s="200"/>
      <c r="Z2301" s="200"/>
      <c r="AA2301" s="201"/>
      <c r="AB2301" s="200"/>
      <c r="AC2301" s="200"/>
    </row>
    <row r="2302" ht="15.75" customHeight="1">
      <c r="A2302" s="210">
        <f t="shared" si="1"/>
        <v>2300</v>
      </c>
      <c r="B2302" s="217"/>
      <c r="C2302" s="217" t="str">
        <f>IFERROR(VLOOKUP(B2302, SourceData!$U$3:$V$190, 2, FALSE), "")</f>
        <v/>
      </c>
      <c r="D2302" s="240"/>
      <c r="E2302" s="241"/>
      <c r="F2302" s="248"/>
      <c r="G2302" s="207"/>
      <c r="H2302" s="209"/>
      <c r="I2302" s="209"/>
      <c r="J2302" s="209"/>
      <c r="K2302" s="208" t="str">
        <f>IF(Errors!$I2302=0,SourceData!$B$42,VLOOKUP(Errors!$I2302,SourceData!$A$2:$B$40,2,FALSE))</f>
        <v>Please select ERROR CODE column "I"</v>
      </c>
      <c r="L2302" s="207" t="str">
        <f>IF(Errors!$I2302=0,
    'List of Error Codes'!$E$29,
    IFERROR(VLOOKUP(Errors!$I2302, 'List of Error Codes'!D2301:I2331, 6, FALSE), 'List of Error Codes'!$E$29)
)</f>
        <v>Please select ERROR CODE column "I"</v>
      </c>
      <c r="M2302" s="209"/>
      <c r="N2302" s="209"/>
      <c r="O2302" s="209"/>
      <c r="P2302" s="209"/>
      <c r="Q2302" s="209"/>
      <c r="R2302" s="217"/>
      <c r="S2302" s="217"/>
      <c r="T2302" s="217"/>
      <c r="U2302" s="199"/>
      <c r="V2302" s="200"/>
      <c r="W2302" s="200"/>
      <c r="X2302" s="200"/>
      <c r="Y2302" s="200"/>
      <c r="Z2302" s="200"/>
      <c r="AA2302" s="201"/>
      <c r="AB2302" s="200"/>
      <c r="AC2302" s="200"/>
    </row>
    <row r="2303" ht="15.75" customHeight="1">
      <c r="A2303" s="210">
        <f t="shared" si="1"/>
        <v>2301</v>
      </c>
      <c r="B2303" s="217"/>
      <c r="C2303" s="217" t="str">
        <f>IFERROR(VLOOKUP(B2303, SourceData!$U$3:$V$190, 2, FALSE), "")</f>
        <v/>
      </c>
      <c r="D2303" s="240"/>
      <c r="E2303" s="241"/>
      <c r="F2303" s="248"/>
      <c r="G2303" s="207"/>
      <c r="H2303" s="209"/>
      <c r="I2303" s="209"/>
      <c r="J2303" s="209"/>
      <c r="K2303" s="208" t="str">
        <f>IF(Errors!$I2303=0,SourceData!$B$42,VLOOKUP(Errors!$I2303,SourceData!$A$2:$B$40,2,FALSE))</f>
        <v>Please select ERROR CODE column "I"</v>
      </c>
      <c r="L2303" s="207" t="str">
        <f>IF(Errors!$I2303=0,
    'List of Error Codes'!$E$29,
    IFERROR(VLOOKUP(Errors!$I2303, 'List of Error Codes'!D2302:I2332, 6, FALSE), 'List of Error Codes'!$E$29)
)</f>
        <v>Please select ERROR CODE column "I"</v>
      </c>
      <c r="M2303" s="209"/>
      <c r="N2303" s="209"/>
      <c r="O2303" s="209"/>
      <c r="P2303" s="209"/>
      <c r="Q2303" s="209"/>
      <c r="R2303" s="217"/>
      <c r="S2303" s="217"/>
      <c r="T2303" s="217"/>
      <c r="U2303" s="199"/>
      <c r="V2303" s="200"/>
      <c r="W2303" s="200"/>
      <c r="X2303" s="200"/>
      <c r="Y2303" s="200"/>
      <c r="Z2303" s="200"/>
      <c r="AA2303" s="201"/>
      <c r="AB2303" s="200"/>
      <c r="AC2303" s="200"/>
    </row>
    <row r="2304" ht="15.75" customHeight="1">
      <c r="A2304" s="210">
        <f t="shared" si="1"/>
        <v>2302</v>
      </c>
      <c r="B2304" s="217"/>
      <c r="C2304" s="217" t="str">
        <f>IFERROR(VLOOKUP(B2304, SourceData!$U$3:$V$190, 2, FALSE), "")</f>
        <v/>
      </c>
      <c r="D2304" s="240"/>
      <c r="E2304" s="241"/>
      <c r="F2304" s="248"/>
      <c r="G2304" s="207"/>
      <c r="H2304" s="209"/>
      <c r="I2304" s="209"/>
      <c r="J2304" s="209"/>
      <c r="K2304" s="208" t="str">
        <f>IF(Errors!$I2304=0,SourceData!$B$42,VLOOKUP(Errors!$I2304,SourceData!$A$2:$B$40,2,FALSE))</f>
        <v>Please select ERROR CODE column "I"</v>
      </c>
      <c r="L2304" s="207" t="str">
        <f>IF(Errors!$I2304=0,
    'List of Error Codes'!$E$29,
    IFERROR(VLOOKUP(Errors!$I2304, 'List of Error Codes'!D2303:I2333, 6, FALSE), 'List of Error Codes'!$E$29)
)</f>
        <v>Please select ERROR CODE column "I"</v>
      </c>
      <c r="M2304" s="209"/>
      <c r="N2304" s="209"/>
      <c r="O2304" s="209"/>
      <c r="P2304" s="209"/>
      <c r="Q2304" s="209"/>
      <c r="R2304" s="217"/>
      <c r="S2304" s="217"/>
      <c r="T2304" s="217"/>
      <c r="U2304" s="199"/>
      <c r="V2304" s="200"/>
      <c r="W2304" s="200"/>
      <c r="X2304" s="200"/>
      <c r="Y2304" s="200"/>
      <c r="Z2304" s="200"/>
      <c r="AA2304" s="201"/>
      <c r="AB2304" s="200"/>
      <c r="AC2304" s="200"/>
    </row>
    <row r="2305" ht="15.75" customHeight="1">
      <c r="A2305" s="210">
        <f t="shared" si="1"/>
        <v>2303</v>
      </c>
      <c r="B2305" s="217"/>
      <c r="C2305" s="217" t="str">
        <f>IFERROR(VLOOKUP(B2305, SourceData!$U$3:$V$190, 2, FALSE), "")</f>
        <v/>
      </c>
      <c r="D2305" s="240"/>
      <c r="E2305" s="241"/>
      <c r="F2305" s="248"/>
      <c r="G2305" s="207"/>
      <c r="H2305" s="209"/>
      <c r="I2305" s="209"/>
      <c r="J2305" s="209"/>
      <c r="K2305" s="208" t="str">
        <f>IF(Errors!$I2305=0,SourceData!$B$42,VLOOKUP(Errors!$I2305,SourceData!$A$2:$B$40,2,FALSE))</f>
        <v>Please select ERROR CODE column "I"</v>
      </c>
      <c r="L2305" s="207" t="str">
        <f>IF(Errors!$I2305=0,
    'List of Error Codes'!$E$29,
    IFERROR(VLOOKUP(Errors!$I2305, 'List of Error Codes'!D2304:I2334, 6, FALSE), 'List of Error Codes'!$E$29)
)</f>
        <v>Please select ERROR CODE column "I"</v>
      </c>
      <c r="M2305" s="209"/>
      <c r="N2305" s="209"/>
      <c r="O2305" s="209"/>
      <c r="P2305" s="209"/>
      <c r="Q2305" s="209"/>
      <c r="R2305" s="217"/>
      <c r="S2305" s="217"/>
      <c r="T2305" s="217"/>
      <c r="U2305" s="199"/>
      <c r="V2305" s="200"/>
      <c r="W2305" s="200"/>
      <c r="X2305" s="200"/>
      <c r="Y2305" s="200"/>
      <c r="Z2305" s="200"/>
      <c r="AA2305" s="201"/>
      <c r="AB2305" s="200"/>
      <c r="AC2305" s="200"/>
    </row>
    <row r="2306" ht="15.75" customHeight="1">
      <c r="A2306" s="210">
        <f t="shared" si="1"/>
        <v>2304</v>
      </c>
      <c r="B2306" s="217"/>
      <c r="C2306" s="217" t="str">
        <f>IFERROR(VLOOKUP(B2306, SourceData!$U$3:$V$190, 2, FALSE), "")</f>
        <v/>
      </c>
      <c r="D2306" s="240"/>
      <c r="E2306" s="241"/>
      <c r="F2306" s="248"/>
      <c r="G2306" s="207"/>
      <c r="H2306" s="209"/>
      <c r="I2306" s="209"/>
      <c r="J2306" s="209"/>
      <c r="K2306" s="208" t="str">
        <f>IF(Errors!$I2306=0,SourceData!$B$42,VLOOKUP(Errors!$I2306,SourceData!$A$2:$B$40,2,FALSE))</f>
        <v>Please select ERROR CODE column "I"</v>
      </c>
      <c r="L2306" s="207" t="str">
        <f>IF(Errors!$I2306=0,
    'List of Error Codes'!$E$29,
    IFERROR(VLOOKUP(Errors!$I2306, 'List of Error Codes'!D2305:I2335, 6, FALSE), 'List of Error Codes'!$E$29)
)</f>
        <v>Please select ERROR CODE column "I"</v>
      </c>
      <c r="M2306" s="209"/>
      <c r="N2306" s="209"/>
      <c r="O2306" s="209"/>
      <c r="P2306" s="209"/>
      <c r="Q2306" s="209"/>
      <c r="R2306" s="217"/>
      <c r="S2306" s="217"/>
      <c r="T2306" s="217"/>
      <c r="U2306" s="199"/>
      <c r="V2306" s="200"/>
      <c r="W2306" s="200"/>
      <c r="X2306" s="200"/>
      <c r="Y2306" s="200"/>
      <c r="Z2306" s="200"/>
      <c r="AA2306" s="201"/>
      <c r="AB2306" s="200"/>
      <c r="AC2306" s="200"/>
    </row>
    <row r="2307" ht="15.75" customHeight="1">
      <c r="A2307" s="210">
        <f t="shared" si="1"/>
        <v>2305</v>
      </c>
      <c r="B2307" s="217"/>
      <c r="C2307" s="217" t="str">
        <f>IFERROR(VLOOKUP(B2307, SourceData!$U$3:$V$190, 2, FALSE), "")</f>
        <v/>
      </c>
      <c r="D2307" s="240"/>
      <c r="E2307" s="241"/>
      <c r="F2307" s="248"/>
      <c r="G2307" s="207"/>
      <c r="H2307" s="209"/>
      <c r="I2307" s="209"/>
      <c r="J2307" s="209"/>
      <c r="K2307" s="208" t="str">
        <f>IF(Errors!$I2307=0,SourceData!$B$42,VLOOKUP(Errors!$I2307,SourceData!$A$2:$B$40,2,FALSE))</f>
        <v>Please select ERROR CODE column "I"</v>
      </c>
      <c r="L2307" s="207" t="str">
        <f>IF(Errors!$I2307=0,
    'List of Error Codes'!$E$29,
    IFERROR(VLOOKUP(Errors!$I2307, 'List of Error Codes'!D2306:I2336, 6, FALSE), 'List of Error Codes'!$E$29)
)</f>
        <v>Please select ERROR CODE column "I"</v>
      </c>
      <c r="M2307" s="209"/>
      <c r="N2307" s="209"/>
      <c r="O2307" s="209"/>
      <c r="P2307" s="209"/>
      <c r="Q2307" s="209"/>
      <c r="R2307" s="217"/>
      <c r="S2307" s="217"/>
      <c r="T2307" s="217"/>
      <c r="U2307" s="199"/>
      <c r="V2307" s="200"/>
      <c r="W2307" s="200"/>
      <c r="X2307" s="200"/>
      <c r="Y2307" s="200"/>
      <c r="Z2307" s="200"/>
      <c r="AA2307" s="201"/>
      <c r="AB2307" s="200"/>
      <c r="AC2307" s="200"/>
    </row>
    <row r="2308" ht="15.75" customHeight="1">
      <c r="A2308" s="210">
        <f t="shared" si="1"/>
        <v>2306</v>
      </c>
      <c r="B2308" s="217"/>
      <c r="C2308" s="217" t="str">
        <f>IFERROR(VLOOKUP(B2308, SourceData!$U$3:$V$190, 2, FALSE), "")</f>
        <v/>
      </c>
      <c r="D2308" s="240"/>
      <c r="E2308" s="241"/>
      <c r="F2308" s="248"/>
      <c r="G2308" s="207"/>
      <c r="H2308" s="209"/>
      <c r="I2308" s="209"/>
      <c r="J2308" s="209"/>
      <c r="K2308" s="208" t="str">
        <f>IF(Errors!$I2308=0,SourceData!$B$42,VLOOKUP(Errors!$I2308,SourceData!$A$2:$B$40,2,FALSE))</f>
        <v>Please select ERROR CODE column "I"</v>
      </c>
      <c r="L2308" s="207" t="str">
        <f>IF(Errors!$I2308=0,
    'List of Error Codes'!$E$29,
    IFERROR(VLOOKUP(Errors!$I2308, 'List of Error Codes'!D2307:I2337, 6, FALSE), 'List of Error Codes'!$E$29)
)</f>
        <v>Please select ERROR CODE column "I"</v>
      </c>
      <c r="M2308" s="209"/>
      <c r="N2308" s="209"/>
      <c r="O2308" s="209"/>
      <c r="P2308" s="209"/>
      <c r="Q2308" s="209"/>
      <c r="R2308" s="217"/>
      <c r="S2308" s="217"/>
      <c r="T2308" s="217"/>
      <c r="U2308" s="199"/>
      <c r="V2308" s="200"/>
      <c r="W2308" s="200"/>
      <c r="X2308" s="200"/>
      <c r="Y2308" s="200"/>
      <c r="Z2308" s="200"/>
      <c r="AA2308" s="201"/>
      <c r="AB2308" s="200"/>
      <c r="AC2308" s="200"/>
    </row>
    <row r="2309" ht="15.75" customHeight="1">
      <c r="A2309" s="210">
        <f t="shared" si="1"/>
        <v>2307</v>
      </c>
      <c r="B2309" s="217"/>
      <c r="C2309" s="217" t="str">
        <f>IFERROR(VLOOKUP(B2309, SourceData!$U$3:$V$190, 2, FALSE), "")</f>
        <v/>
      </c>
      <c r="D2309" s="240"/>
      <c r="E2309" s="241"/>
      <c r="F2309" s="248"/>
      <c r="G2309" s="207"/>
      <c r="H2309" s="209"/>
      <c r="I2309" s="209"/>
      <c r="J2309" s="209"/>
      <c r="K2309" s="208" t="str">
        <f>IF(Errors!$I2309=0,SourceData!$B$42,VLOOKUP(Errors!$I2309,SourceData!$A$2:$B$40,2,FALSE))</f>
        <v>Please select ERROR CODE column "I"</v>
      </c>
      <c r="L2309" s="207" t="str">
        <f>IF(Errors!$I2309=0,
    'List of Error Codes'!$E$29,
    IFERROR(VLOOKUP(Errors!$I2309, 'List of Error Codes'!D2308:I2338, 6, FALSE), 'List of Error Codes'!$E$29)
)</f>
        <v>Please select ERROR CODE column "I"</v>
      </c>
      <c r="M2309" s="209"/>
      <c r="N2309" s="209"/>
      <c r="O2309" s="209"/>
      <c r="P2309" s="209"/>
      <c r="Q2309" s="209"/>
      <c r="R2309" s="217"/>
      <c r="S2309" s="217"/>
      <c r="T2309" s="217"/>
      <c r="U2309" s="199"/>
      <c r="V2309" s="200"/>
      <c r="W2309" s="200"/>
      <c r="X2309" s="200"/>
      <c r="Y2309" s="200"/>
      <c r="Z2309" s="200"/>
      <c r="AA2309" s="201"/>
      <c r="AB2309" s="200"/>
      <c r="AC2309" s="200"/>
    </row>
    <row r="2310" ht="15.75" customHeight="1">
      <c r="A2310" s="210">
        <f t="shared" si="1"/>
        <v>2308</v>
      </c>
      <c r="B2310" s="217"/>
      <c r="C2310" s="217" t="str">
        <f>IFERROR(VLOOKUP(B2310, SourceData!$U$3:$V$190, 2, FALSE), "")</f>
        <v/>
      </c>
      <c r="D2310" s="240"/>
      <c r="E2310" s="241"/>
      <c r="F2310" s="248"/>
      <c r="G2310" s="207"/>
      <c r="H2310" s="209"/>
      <c r="I2310" s="209"/>
      <c r="J2310" s="209"/>
      <c r="K2310" s="208" t="str">
        <f>IF(Errors!$I2310=0,SourceData!$B$42,VLOOKUP(Errors!$I2310,SourceData!$A$2:$B$40,2,FALSE))</f>
        <v>Please select ERROR CODE column "I"</v>
      </c>
      <c r="L2310" s="207" t="str">
        <f>IF(Errors!$I2310=0,
    'List of Error Codes'!$E$29,
    IFERROR(VLOOKUP(Errors!$I2310, 'List of Error Codes'!D2309:I2339, 6, FALSE), 'List of Error Codes'!$E$29)
)</f>
        <v>Please select ERROR CODE column "I"</v>
      </c>
      <c r="M2310" s="209"/>
      <c r="N2310" s="209"/>
      <c r="O2310" s="209"/>
      <c r="P2310" s="209"/>
      <c r="Q2310" s="209"/>
      <c r="R2310" s="217"/>
      <c r="S2310" s="217"/>
      <c r="T2310" s="217"/>
      <c r="U2310" s="199"/>
      <c r="V2310" s="200"/>
      <c r="W2310" s="200"/>
      <c r="X2310" s="200"/>
      <c r="Y2310" s="200"/>
      <c r="Z2310" s="200"/>
      <c r="AA2310" s="201"/>
      <c r="AB2310" s="200"/>
      <c r="AC2310" s="200"/>
    </row>
    <row r="2311" ht="15.75" customHeight="1">
      <c r="A2311" s="210">
        <f t="shared" si="1"/>
        <v>2309</v>
      </c>
      <c r="B2311" s="217"/>
      <c r="C2311" s="217" t="str">
        <f>IFERROR(VLOOKUP(B2311, SourceData!$U$3:$V$190, 2, FALSE), "")</f>
        <v/>
      </c>
      <c r="D2311" s="240"/>
      <c r="E2311" s="241"/>
      <c r="F2311" s="248"/>
      <c r="G2311" s="207"/>
      <c r="H2311" s="209"/>
      <c r="I2311" s="209"/>
      <c r="J2311" s="209"/>
      <c r="K2311" s="208" t="str">
        <f>IF(Errors!$I2311=0,SourceData!$B$42,VLOOKUP(Errors!$I2311,SourceData!$A$2:$B$40,2,FALSE))</f>
        <v>Please select ERROR CODE column "I"</v>
      </c>
      <c r="L2311" s="207" t="str">
        <f>IF(Errors!$I2311=0,
    'List of Error Codes'!$E$29,
    IFERROR(VLOOKUP(Errors!$I2311, 'List of Error Codes'!D2310:I2340, 6, FALSE), 'List of Error Codes'!$E$29)
)</f>
        <v>Please select ERROR CODE column "I"</v>
      </c>
      <c r="M2311" s="209"/>
      <c r="N2311" s="209"/>
      <c r="O2311" s="209"/>
      <c r="P2311" s="209"/>
      <c r="Q2311" s="209"/>
      <c r="R2311" s="217"/>
      <c r="S2311" s="217"/>
      <c r="T2311" s="217"/>
      <c r="U2311" s="199"/>
      <c r="V2311" s="200"/>
      <c r="W2311" s="200"/>
      <c r="X2311" s="200"/>
      <c r="Y2311" s="200"/>
      <c r="Z2311" s="200"/>
      <c r="AA2311" s="201"/>
      <c r="AB2311" s="200"/>
      <c r="AC2311" s="200"/>
    </row>
    <row r="2312" ht="15.75" customHeight="1">
      <c r="A2312" s="210">
        <f t="shared" si="1"/>
        <v>2310</v>
      </c>
      <c r="B2312" s="217"/>
      <c r="C2312" s="217" t="str">
        <f>IFERROR(VLOOKUP(B2312, SourceData!$U$3:$V$190, 2, FALSE), "")</f>
        <v/>
      </c>
      <c r="D2312" s="240"/>
      <c r="E2312" s="241"/>
      <c r="F2312" s="248"/>
      <c r="G2312" s="207"/>
      <c r="H2312" s="209"/>
      <c r="I2312" s="209"/>
      <c r="J2312" s="209"/>
      <c r="K2312" s="208" t="str">
        <f>IF(Errors!$I2312=0,SourceData!$B$42,VLOOKUP(Errors!$I2312,SourceData!$A$2:$B$40,2,FALSE))</f>
        <v>Please select ERROR CODE column "I"</v>
      </c>
      <c r="L2312" s="207" t="str">
        <f>IF(Errors!$I2312=0,
    'List of Error Codes'!$E$29,
    IFERROR(VLOOKUP(Errors!$I2312, 'List of Error Codes'!D2311:I2341, 6, FALSE), 'List of Error Codes'!$E$29)
)</f>
        <v>Please select ERROR CODE column "I"</v>
      </c>
      <c r="M2312" s="209"/>
      <c r="N2312" s="209"/>
      <c r="O2312" s="209"/>
      <c r="P2312" s="209"/>
      <c r="Q2312" s="209"/>
      <c r="R2312" s="217"/>
      <c r="S2312" s="217"/>
      <c r="T2312" s="217"/>
      <c r="U2312" s="199"/>
      <c r="V2312" s="200"/>
      <c r="W2312" s="200"/>
      <c r="X2312" s="200"/>
      <c r="Y2312" s="200"/>
      <c r="Z2312" s="200"/>
      <c r="AA2312" s="201"/>
      <c r="AB2312" s="200"/>
      <c r="AC2312" s="200"/>
    </row>
    <row r="2313" ht="15.75" customHeight="1">
      <c r="A2313" s="210">
        <f t="shared" si="1"/>
        <v>2311</v>
      </c>
      <c r="B2313" s="217"/>
      <c r="C2313" s="217" t="str">
        <f>IFERROR(VLOOKUP(B2313, SourceData!$U$3:$V$190, 2, FALSE), "")</f>
        <v/>
      </c>
      <c r="D2313" s="240"/>
      <c r="E2313" s="241"/>
      <c r="F2313" s="248"/>
      <c r="G2313" s="207"/>
      <c r="H2313" s="209"/>
      <c r="I2313" s="209"/>
      <c r="J2313" s="209"/>
      <c r="K2313" s="208" t="str">
        <f>IF(Errors!$I2313=0,SourceData!$B$42,VLOOKUP(Errors!$I2313,SourceData!$A$2:$B$40,2,FALSE))</f>
        <v>Please select ERROR CODE column "I"</v>
      </c>
      <c r="L2313" s="207" t="str">
        <f>IF(Errors!$I2313=0,
    'List of Error Codes'!$E$29,
    IFERROR(VLOOKUP(Errors!$I2313, 'List of Error Codes'!D2312:I2342, 6, FALSE), 'List of Error Codes'!$E$29)
)</f>
        <v>Please select ERROR CODE column "I"</v>
      </c>
      <c r="M2313" s="209"/>
      <c r="N2313" s="209"/>
      <c r="O2313" s="209"/>
      <c r="P2313" s="209"/>
      <c r="Q2313" s="209"/>
      <c r="R2313" s="217"/>
      <c r="S2313" s="217"/>
      <c r="T2313" s="217"/>
      <c r="U2313" s="199"/>
      <c r="V2313" s="200"/>
      <c r="W2313" s="200"/>
      <c r="X2313" s="200"/>
      <c r="Y2313" s="200"/>
      <c r="Z2313" s="200"/>
      <c r="AA2313" s="201"/>
      <c r="AB2313" s="200"/>
      <c r="AC2313" s="200"/>
    </row>
    <row r="2314" ht="15.75" customHeight="1">
      <c r="A2314" s="210">
        <f t="shared" si="1"/>
        <v>2312</v>
      </c>
      <c r="B2314" s="217"/>
      <c r="C2314" s="217" t="str">
        <f>IFERROR(VLOOKUP(B2314, SourceData!$U$3:$V$190, 2, FALSE), "")</f>
        <v/>
      </c>
      <c r="D2314" s="240"/>
      <c r="E2314" s="241"/>
      <c r="F2314" s="248"/>
      <c r="G2314" s="207"/>
      <c r="H2314" s="209"/>
      <c r="I2314" s="209"/>
      <c r="J2314" s="209"/>
      <c r="K2314" s="208" t="str">
        <f>IF(Errors!$I2314=0,SourceData!$B$42,VLOOKUP(Errors!$I2314,SourceData!$A$2:$B$40,2,FALSE))</f>
        <v>Please select ERROR CODE column "I"</v>
      </c>
      <c r="L2314" s="207" t="str">
        <f>IF(Errors!$I2314=0,
    'List of Error Codes'!$E$29,
    IFERROR(VLOOKUP(Errors!$I2314, 'List of Error Codes'!D2313:I2343, 6, FALSE), 'List of Error Codes'!$E$29)
)</f>
        <v>Please select ERROR CODE column "I"</v>
      </c>
      <c r="M2314" s="209"/>
      <c r="N2314" s="209"/>
      <c r="O2314" s="209"/>
      <c r="P2314" s="209"/>
      <c r="Q2314" s="209"/>
      <c r="R2314" s="217"/>
      <c r="S2314" s="217"/>
      <c r="T2314" s="217"/>
      <c r="U2314" s="199"/>
      <c r="V2314" s="200"/>
      <c r="W2314" s="200"/>
      <c r="X2314" s="200"/>
      <c r="Y2314" s="200"/>
      <c r="Z2314" s="200"/>
      <c r="AA2314" s="201"/>
      <c r="AB2314" s="200"/>
      <c r="AC2314" s="200"/>
    </row>
    <row r="2315" ht="15.75" customHeight="1">
      <c r="A2315" s="210">
        <f t="shared" si="1"/>
        <v>2313</v>
      </c>
      <c r="B2315" s="217"/>
      <c r="C2315" s="217" t="str">
        <f>IFERROR(VLOOKUP(B2315, SourceData!$U$3:$V$190, 2, FALSE), "")</f>
        <v/>
      </c>
      <c r="D2315" s="240"/>
      <c r="E2315" s="241"/>
      <c r="F2315" s="248"/>
      <c r="G2315" s="207"/>
      <c r="H2315" s="209"/>
      <c r="I2315" s="209"/>
      <c r="J2315" s="209"/>
      <c r="K2315" s="208" t="str">
        <f>IF(Errors!$I2315=0,SourceData!$B$42,VLOOKUP(Errors!$I2315,SourceData!$A$2:$B$40,2,FALSE))</f>
        <v>Please select ERROR CODE column "I"</v>
      </c>
      <c r="L2315" s="207" t="str">
        <f>IF(Errors!$I2315=0,
    'List of Error Codes'!$E$29,
    IFERROR(VLOOKUP(Errors!$I2315, 'List of Error Codes'!D2314:I2344, 6, FALSE), 'List of Error Codes'!$E$29)
)</f>
        <v>Please select ERROR CODE column "I"</v>
      </c>
      <c r="M2315" s="209"/>
      <c r="N2315" s="209"/>
      <c r="O2315" s="209"/>
      <c r="P2315" s="209"/>
      <c r="Q2315" s="209"/>
      <c r="R2315" s="217"/>
      <c r="S2315" s="217"/>
      <c r="T2315" s="217"/>
      <c r="U2315" s="199"/>
      <c r="V2315" s="200"/>
      <c r="W2315" s="200"/>
      <c r="X2315" s="200"/>
      <c r="Y2315" s="200"/>
      <c r="Z2315" s="200"/>
      <c r="AA2315" s="201"/>
      <c r="AB2315" s="200"/>
      <c r="AC2315" s="200"/>
    </row>
    <row r="2316" ht="15.75" customHeight="1">
      <c r="A2316" s="210">
        <f t="shared" si="1"/>
        <v>2314</v>
      </c>
      <c r="B2316" s="217"/>
      <c r="C2316" s="217" t="str">
        <f>IFERROR(VLOOKUP(B2316, SourceData!$U$3:$V$190, 2, FALSE), "")</f>
        <v/>
      </c>
      <c r="D2316" s="240"/>
      <c r="E2316" s="241"/>
      <c r="F2316" s="248"/>
      <c r="G2316" s="207"/>
      <c r="H2316" s="209"/>
      <c r="I2316" s="209"/>
      <c r="J2316" s="209"/>
      <c r="K2316" s="208" t="str">
        <f>IF(Errors!$I2316=0,SourceData!$B$42,VLOOKUP(Errors!$I2316,SourceData!$A$2:$B$40,2,FALSE))</f>
        <v>Please select ERROR CODE column "I"</v>
      </c>
      <c r="L2316" s="207" t="str">
        <f>IF(Errors!$I2316=0,
    'List of Error Codes'!$E$29,
    IFERROR(VLOOKUP(Errors!$I2316, 'List of Error Codes'!D2315:I2345, 6, FALSE), 'List of Error Codes'!$E$29)
)</f>
        <v>Please select ERROR CODE column "I"</v>
      </c>
      <c r="M2316" s="209"/>
      <c r="N2316" s="209"/>
      <c r="O2316" s="209"/>
      <c r="P2316" s="209"/>
      <c r="Q2316" s="209"/>
      <c r="R2316" s="217"/>
      <c r="S2316" s="217"/>
      <c r="T2316" s="217"/>
      <c r="U2316" s="199"/>
      <c r="V2316" s="200"/>
      <c r="W2316" s="200"/>
      <c r="X2316" s="200"/>
      <c r="Y2316" s="200"/>
      <c r="Z2316" s="200"/>
      <c r="AA2316" s="201"/>
      <c r="AB2316" s="200"/>
      <c r="AC2316" s="200"/>
    </row>
    <row r="2317" ht="15.75" customHeight="1">
      <c r="A2317" s="210">
        <f t="shared" si="1"/>
        <v>2315</v>
      </c>
      <c r="B2317" s="217"/>
      <c r="C2317" s="217" t="str">
        <f>IFERROR(VLOOKUP(B2317, SourceData!$U$3:$V$190, 2, FALSE), "")</f>
        <v/>
      </c>
      <c r="D2317" s="240"/>
      <c r="E2317" s="241"/>
      <c r="F2317" s="248"/>
      <c r="G2317" s="207"/>
      <c r="H2317" s="209"/>
      <c r="I2317" s="209"/>
      <c r="J2317" s="209"/>
      <c r="K2317" s="208" t="str">
        <f>IF(Errors!$I2317=0,SourceData!$B$42,VLOOKUP(Errors!$I2317,SourceData!$A$2:$B$40,2,FALSE))</f>
        <v>Please select ERROR CODE column "I"</v>
      </c>
      <c r="L2317" s="207" t="str">
        <f>IF(Errors!$I2317=0,
    'List of Error Codes'!$E$29,
    IFERROR(VLOOKUP(Errors!$I2317, 'List of Error Codes'!D2316:I2346, 6, FALSE), 'List of Error Codes'!$E$29)
)</f>
        <v>Please select ERROR CODE column "I"</v>
      </c>
      <c r="M2317" s="209"/>
      <c r="N2317" s="209"/>
      <c r="O2317" s="209"/>
      <c r="P2317" s="209"/>
      <c r="Q2317" s="209"/>
      <c r="R2317" s="217"/>
      <c r="S2317" s="217"/>
      <c r="T2317" s="217"/>
      <c r="U2317" s="199"/>
      <c r="V2317" s="200"/>
      <c r="W2317" s="200"/>
      <c r="X2317" s="200"/>
      <c r="Y2317" s="200"/>
      <c r="Z2317" s="200"/>
      <c r="AA2317" s="201"/>
      <c r="AB2317" s="200"/>
      <c r="AC2317" s="200"/>
    </row>
    <row r="2318" ht="15.75" customHeight="1">
      <c r="A2318" s="210">
        <f t="shared" si="1"/>
        <v>2316</v>
      </c>
      <c r="B2318" s="217"/>
      <c r="C2318" s="217" t="str">
        <f>IFERROR(VLOOKUP(B2318, SourceData!$U$3:$V$190, 2, FALSE), "")</f>
        <v/>
      </c>
      <c r="D2318" s="240"/>
      <c r="E2318" s="241"/>
      <c r="F2318" s="248"/>
      <c r="G2318" s="207"/>
      <c r="H2318" s="209"/>
      <c r="I2318" s="209"/>
      <c r="J2318" s="209"/>
      <c r="K2318" s="208" t="str">
        <f>IF(Errors!$I2318=0,SourceData!$B$42,VLOOKUP(Errors!$I2318,SourceData!$A$2:$B$40,2,FALSE))</f>
        <v>Please select ERROR CODE column "I"</v>
      </c>
      <c r="L2318" s="207" t="str">
        <f>IF(Errors!$I2318=0,
    'List of Error Codes'!$E$29,
    IFERROR(VLOOKUP(Errors!$I2318, 'List of Error Codes'!D2317:I2347, 6, FALSE), 'List of Error Codes'!$E$29)
)</f>
        <v>Please select ERROR CODE column "I"</v>
      </c>
      <c r="M2318" s="209"/>
      <c r="N2318" s="209"/>
      <c r="O2318" s="209"/>
      <c r="P2318" s="209"/>
      <c r="Q2318" s="209"/>
      <c r="R2318" s="217"/>
      <c r="S2318" s="217"/>
      <c r="T2318" s="217"/>
      <c r="U2318" s="199"/>
      <c r="V2318" s="200"/>
      <c r="W2318" s="200"/>
      <c r="X2318" s="200"/>
      <c r="Y2318" s="200"/>
      <c r="Z2318" s="200"/>
      <c r="AA2318" s="201"/>
      <c r="AB2318" s="200"/>
      <c r="AC2318" s="200"/>
    </row>
    <row r="2319" ht="15.75" customHeight="1">
      <c r="A2319" s="210">
        <f t="shared" si="1"/>
        <v>2317</v>
      </c>
      <c r="B2319" s="217"/>
      <c r="C2319" s="217" t="str">
        <f>IFERROR(VLOOKUP(B2319, SourceData!$U$3:$V$190, 2, FALSE), "")</f>
        <v/>
      </c>
      <c r="D2319" s="240"/>
      <c r="E2319" s="241"/>
      <c r="F2319" s="248"/>
      <c r="G2319" s="207"/>
      <c r="H2319" s="209"/>
      <c r="I2319" s="209"/>
      <c r="J2319" s="209"/>
      <c r="K2319" s="208" t="str">
        <f>IF(Errors!$I2319=0,SourceData!$B$42,VLOOKUP(Errors!$I2319,SourceData!$A$2:$B$40,2,FALSE))</f>
        <v>Please select ERROR CODE column "I"</v>
      </c>
      <c r="L2319" s="207" t="str">
        <f>IF(Errors!$I2319=0,
    'List of Error Codes'!$E$29,
    IFERROR(VLOOKUP(Errors!$I2319, 'List of Error Codes'!D2318:I2348, 6, FALSE), 'List of Error Codes'!$E$29)
)</f>
        <v>Please select ERROR CODE column "I"</v>
      </c>
      <c r="M2319" s="209"/>
      <c r="N2319" s="209"/>
      <c r="O2319" s="209"/>
      <c r="P2319" s="209"/>
      <c r="Q2319" s="209"/>
      <c r="R2319" s="217"/>
      <c r="S2319" s="217"/>
      <c r="T2319" s="217"/>
      <c r="U2319" s="199"/>
      <c r="V2319" s="200"/>
      <c r="W2319" s="200"/>
      <c r="X2319" s="200"/>
      <c r="Y2319" s="200"/>
      <c r="Z2319" s="200"/>
      <c r="AA2319" s="201"/>
      <c r="AB2319" s="200"/>
      <c r="AC2319" s="200"/>
    </row>
    <row r="2320" ht="15.75" customHeight="1">
      <c r="A2320" s="210">
        <f t="shared" si="1"/>
        <v>2318</v>
      </c>
      <c r="B2320" s="217"/>
      <c r="C2320" s="217" t="str">
        <f>IFERROR(VLOOKUP(B2320, SourceData!$U$3:$V$190, 2, FALSE), "")</f>
        <v/>
      </c>
      <c r="D2320" s="240"/>
      <c r="E2320" s="241"/>
      <c r="F2320" s="248"/>
      <c r="G2320" s="207"/>
      <c r="H2320" s="209"/>
      <c r="I2320" s="209"/>
      <c r="J2320" s="209"/>
      <c r="K2320" s="208" t="str">
        <f>IF(Errors!$I2320=0,SourceData!$B$42,VLOOKUP(Errors!$I2320,SourceData!$A$2:$B$40,2,FALSE))</f>
        <v>Please select ERROR CODE column "I"</v>
      </c>
      <c r="L2320" s="207" t="str">
        <f>IF(Errors!$I2320=0,
    'List of Error Codes'!$E$29,
    IFERROR(VLOOKUP(Errors!$I2320, 'List of Error Codes'!D2319:I2349, 6, FALSE), 'List of Error Codes'!$E$29)
)</f>
        <v>Please select ERROR CODE column "I"</v>
      </c>
      <c r="M2320" s="209"/>
      <c r="N2320" s="209"/>
      <c r="O2320" s="209"/>
      <c r="P2320" s="209"/>
      <c r="Q2320" s="209"/>
      <c r="R2320" s="217"/>
      <c r="S2320" s="217"/>
      <c r="T2320" s="217"/>
      <c r="U2320" s="199"/>
      <c r="V2320" s="200"/>
      <c r="W2320" s="200"/>
      <c r="X2320" s="200"/>
      <c r="Y2320" s="200"/>
      <c r="Z2320" s="200"/>
      <c r="AA2320" s="201"/>
      <c r="AB2320" s="200"/>
      <c r="AC2320" s="200"/>
    </row>
    <row r="2321" ht="15.75" customHeight="1">
      <c r="A2321" s="210">
        <f t="shared" si="1"/>
        <v>2319</v>
      </c>
      <c r="B2321" s="217"/>
      <c r="C2321" s="217" t="str">
        <f>IFERROR(VLOOKUP(B2321, SourceData!$U$3:$V$190, 2, FALSE), "")</f>
        <v/>
      </c>
      <c r="D2321" s="240"/>
      <c r="E2321" s="241"/>
      <c r="F2321" s="248"/>
      <c r="G2321" s="207"/>
      <c r="H2321" s="209"/>
      <c r="I2321" s="209"/>
      <c r="J2321" s="209"/>
      <c r="K2321" s="208" t="str">
        <f>IF(Errors!$I2321=0,SourceData!$B$42,VLOOKUP(Errors!$I2321,SourceData!$A$2:$B$40,2,FALSE))</f>
        <v>Please select ERROR CODE column "I"</v>
      </c>
      <c r="L2321" s="207" t="str">
        <f>IF(Errors!$I2321=0,
    'List of Error Codes'!$E$29,
    IFERROR(VLOOKUP(Errors!$I2321, 'List of Error Codes'!D2320:I2350, 6, FALSE), 'List of Error Codes'!$E$29)
)</f>
        <v>Please select ERROR CODE column "I"</v>
      </c>
      <c r="M2321" s="209"/>
      <c r="N2321" s="209"/>
      <c r="O2321" s="209"/>
      <c r="P2321" s="209"/>
      <c r="Q2321" s="209"/>
      <c r="R2321" s="217"/>
      <c r="S2321" s="217"/>
      <c r="T2321" s="217"/>
      <c r="U2321" s="199"/>
      <c r="V2321" s="200"/>
      <c r="W2321" s="200"/>
      <c r="X2321" s="200"/>
      <c r="Y2321" s="200"/>
      <c r="Z2321" s="200"/>
      <c r="AA2321" s="201"/>
      <c r="AB2321" s="200"/>
      <c r="AC2321" s="200"/>
    </row>
    <row r="2322" ht="15.75" customHeight="1">
      <c r="A2322" s="210">
        <f t="shared" si="1"/>
        <v>2320</v>
      </c>
      <c r="B2322" s="217"/>
      <c r="C2322" s="217" t="str">
        <f>IFERROR(VLOOKUP(B2322, SourceData!$U$3:$V$190, 2, FALSE), "")</f>
        <v/>
      </c>
      <c r="D2322" s="240"/>
      <c r="E2322" s="241"/>
      <c r="F2322" s="248"/>
      <c r="G2322" s="207"/>
      <c r="H2322" s="209"/>
      <c r="I2322" s="209"/>
      <c r="J2322" s="209"/>
      <c r="K2322" s="208" t="str">
        <f>IF(Errors!$I2322=0,SourceData!$B$42,VLOOKUP(Errors!$I2322,SourceData!$A$2:$B$40,2,FALSE))</f>
        <v>Please select ERROR CODE column "I"</v>
      </c>
      <c r="L2322" s="207" t="str">
        <f>IF(Errors!$I2322=0,
    'List of Error Codes'!$E$29,
    IFERROR(VLOOKUP(Errors!$I2322, 'List of Error Codes'!D2321:I2351, 6, FALSE), 'List of Error Codes'!$E$29)
)</f>
        <v>Please select ERROR CODE column "I"</v>
      </c>
      <c r="M2322" s="209"/>
      <c r="N2322" s="209"/>
      <c r="O2322" s="209"/>
      <c r="P2322" s="209"/>
      <c r="Q2322" s="209"/>
      <c r="R2322" s="217"/>
      <c r="S2322" s="217"/>
      <c r="T2322" s="217"/>
      <c r="U2322" s="199"/>
      <c r="V2322" s="200"/>
      <c r="W2322" s="200"/>
      <c r="X2322" s="200"/>
      <c r="Y2322" s="200"/>
      <c r="Z2322" s="200"/>
      <c r="AA2322" s="201"/>
      <c r="AB2322" s="200"/>
      <c r="AC2322" s="200"/>
    </row>
    <row r="2323" ht="15.75" customHeight="1">
      <c r="A2323" s="210">
        <f t="shared" si="1"/>
        <v>2321</v>
      </c>
      <c r="B2323" s="217"/>
      <c r="C2323" s="217" t="str">
        <f>IFERROR(VLOOKUP(B2323, SourceData!$U$3:$V$190, 2, FALSE), "")</f>
        <v/>
      </c>
      <c r="D2323" s="240"/>
      <c r="E2323" s="241"/>
      <c r="F2323" s="248"/>
      <c r="G2323" s="207"/>
      <c r="H2323" s="209"/>
      <c r="I2323" s="209"/>
      <c r="J2323" s="209"/>
      <c r="K2323" s="208" t="str">
        <f>IF(Errors!$I2323=0,SourceData!$B$42,VLOOKUP(Errors!$I2323,SourceData!$A$2:$B$40,2,FALSE))</f>
        <v>Please select ERROR CODE column "I"</v>
      </c>
      <c r="L2323" s="207" t="str">
        <f>IF(Errors!$I2323=0,
    'List of Error Codes'!$E$29,
    IFERROR(VLOOKUP(Errors!$I2323, 'List of Error Codes'!D2322:I2352, 6, FALSE), 'List of Error Codes'!$E$29)
)</f>
        <v>Please select ERROR CODE column "I"</v>
      </c>
      <c r="M2323" s="209"/>
      <c r="N2323" s="209"/>
      <c r="O2323" s="209"/>
      <c r="P2323" s="209"/>
      <c r="Q2323" s="209"/>
      <c r="R2323" s="217"/>
      <c r="S2323" s="217"/>
      <c r="T2323" s="217"/>
      <c r="U2323" s="199"/>
      <c r="V2323" s="200"/>
      <c r="W2323" s="200"/>
      <c r="X2323" s="200"/>
      <c r="Y2323" s="200"/>
      <c r="Z2323" s="200"/>
      <c r="AA2323" s="201"/>
      <c r="AB2323" s="200"/>
      <c r="AC2323" s="200"/>
    </row>
    <row r="2324" ht="15.75" customHeight="1">
      <c r="A2324" s="210">
        <f t="shared" si="1"/>
        <v>2322</v>
      </c>
      <c r="B2324" s="217"/>
      <c r="C2324" s="217" t="str">
        <f>IFERROR(VLOOKUP(B2324, SourceData!$U$3:$V$190, 2, FALSE), "")</f>
        <v/>
      </c>
      <c r="D2324" s="240"/>
      <c r="E2324" s="241"/>
      <c r="F2324" s="248"/>
      <c r="G2324" s="207"/>
      <c r="H2324" s="209"/>
      <c r="I2324" s="209"/>
      <c r="J2324" s="209"/>
      <c r="K2324" s="208" t="str">
        <f>IF(Errors!$I2324=0,SourceData!$B$42,VLOOKUP(Errors!$I2324,SourceData!$A$2:$B$40,2,FALSE))</f>
        <v>Please select ERROR CODE column "I"</v>
      </c>
      <c r="L2324" s="207" t="str">
        <f>IF(Errors!$I2324=0,
    'List of Error Codes'!$E$29,
    IFERROR(VLOOKUP(Errors!$I2324, 'List of Error Codes'!D2323:I2353, 6, FALSE), 'List of Error Codes'!$E$29)
)</f>
        <v>Please select ERROR CODE column "I"</v>
      </c>
      <c r="M2324" s="209"/>
      <c r="N2324" s="209"/>
      <c r="O2324" s="209"/>
      <c r="P2324" s="209"/>
      <c r="Q2324" s="209"/>
      <c r="R2324" s="217"/>
      <c r="S2324" s="217"/>
      <c r="T2324" s="217"/>
      <c r="U2324" s="199"/>
      <c r="V2324" s="200"/>
      <c r="W2324" s="200"/>
      <c r="X2324" s="200"/>
      <c r="Y2324" s="200"/>
      <c r="Z2324" s="200"/>
      <c r="AA2324" s="201"/>
      <c r="AB2324" s="200"/>
      <c r="AC2324" s="200"/>
    </row>
    <row r="2325" ht="15.75" customHeight="1">
      <c r="A2325" s="210">
        <f t="shared" si="1"/>
        <v>2323</v>
      </c>
      <c r="B2325" s="217"/>
      <c r="C2325" s="217" t="str">
        <f>IFERROR(VLOOKUP(B2325, SourceData!$U$3:$V$190, 2, FALSE), "")</f>
        <v/>
      </c>
      <c r="D2325" s="240"/>
      <c r="E2325" s="241"/>
      <c r="F2325" s="248"/>
      <c r="G2325" s="207"/>
      <c r="H2325" s="209"/>
      <c r="I2325" s="209"/>
      <c r="J2325" s="209"/>
      <c r="K2325" s="208" t="str">
        <f>IF(Errors!$I2325=0,SourceData!$B$42,VLOOKUP(Errors!$I2325,SourceData!$A$2:$B$40,2,FALSE))</f>
        <v>Please select ERROR CODE column "I"</v>
      </c>
      <c r="L2325" s="207" t="str">
        <f>IF(Errors!$I2325=0,
    'List of Error Codes'!$E$29,
    IFERROR(VLOOKUP(Errors!$I2325, 'List of Error Codes'!D2324:I2354, 6, FALSE), 'List of Error Codes'!$E$29)
)</f>
        <v>Please select ERROR CODE column "I"</v>
      </c>
      <c r="M2325" s="209"/>
      <c r="N2325" s="209"/>
      <c r="O2325" s="209"/>
      <c r="P2325" s="209"/>
      <c r="Q2325" s="209"/>
      <c r="R2325" s="217"/>
      <c r="S2325" s="217"/>
      <c r="T2325" s="217"/>
      <c r="U2325" s="199"/>
      <c r="V2325" s="200"/>
      <c r="W2325" s="200"/>
      <c r="X2325" s="200"/>
      <c r="Y2325" s="200"/>
      <c r="Z2325" s="200"/>
      <c r="AA2325" s="201"/>
      <c r="AB2325" s="200"/>
      <c r="AC2325" s="200"/>
    </row>
    <row r="2326" ht="15.75" customHeight="1">
      <c r="A2326" s="210">
        <f t="shared" si="1"/>
        <v>2324</v>
      </c>
      <c r="B2326" s="217"/>
      <c r="C2326" s="217" t="str">
        <f>IFERROR(VLOOKUP(B2326, SourceData!$U$3:$V$190, 2, FALSE), "")</f>
        <v/>
      </c>
      <c r="D2326" s="240"/>
      <c r="E2326" s="241"/>
      <c r="F2326" s="248"/>
      <c r="G2326" s="207"/>
      <c r="H2326" s="209"/>
      <c r="I2326" s="209"/>
      <c r="J2326" s="209"/>
      <c r="K2326" s="208" t="str">
        <f>IF(Errors!$I2326=0,SourceData!$B$42,VLOOKUP(Errors!$I2326,SourceData!$A$2:$B$40,2,FALSE))</f>
        <v>Please select ERROR CODE column "I"</v>
      </c>
      <c r="L2326" s="207" t="str">
        <f>IF(Errors!$I2326=0,
    'List of Error Codes'!$E$29,
    IFERROR(VLOOKUP(Errors!$I2326, 'List of Error Codes'!D2325:I2355, 6, FALSE), 'List of Error Codes'!$E$29)
)</f>
        <v>Please select ERROR CODE column "I"</v>
      </c>
      <c r="M2326" s="209"/>
      <c r="N2326" s="209"/>
      <c r="O2326" s="209"/>
      <c r="P2326" s="209"/>
      <c r="Q2326" s="209"/>
      <c r="R2326" s="217"/>
      <c r="S2326" s="217"/>
      <c r="T2326" s="217"/>
      <c r="U2326" s="199"/>
      <c r="V2326" s="200"/>
      <c r="W2326" s="200"/>
      <c r="X2326" s="200"/>
      <c r="Y2326" s="200"/>
      <c r="Z2326" s="200"/>
      <c r="AA2326" s="201"/>
      <c r="AB2326" s="200"/>
      <c r="AC2326" s="200"/>
    </row>
    <row r="2327" ht="15.75" customHeight="1">
      <c r="A2327" s="210">
        <f t="shared" si="1"/>
        <v>2325</v>
      </c>
      <c r="B2327" s="217"/>
      <c r="C2327" s="217" t="str">
        <f>IFERROR(VLOOKUP(B2327, SourceData!$U$3:$V$190, 2, FALSE), "")</f>
        <v/>
      </c>
      <c r="D2327" s="240"/>
      <c r="E2327" s="241"/>
      <c r="F2327" s="248"/>
      <c r="G2327" s="207"/>
      <c r="H2327" s="209"/>
      <c r="I2327" s="209"/>
      <c r="J2327" s="209"/>
      <c r="K2327" s="208" t="str">
        <f>IF(Errors!$I2327=0,SourceData!$B$42,VLOOKUP(Errors!$I2327,SourceData!$A$2:$B$40,2,FALSE))</f>
        <v>Please select ERROR CODE column "I"</v>
      </c>
      <c r="L2327" s="207" t="str">
        <f>IF(Errors!$I2327=0,
    'List of Error Codes'!$E$29,
    IFERROR(VLOOKUP(Errors!$I2327, 'List of Error Codes'!D2326:I2356, 6, FALSE), 'List of Error Codes'!$E$29)
)</f>
        <v>Please select ERROR CODE column "I"</v>
      </c>
      <c r="M2327" s="209"/>
      <c r="N2327" s="209"/>
      <c r="O2327" s="209"/>
      <c r="P2327" s="209"/>
      <c r="Q2327" s="209"/>
      <c r="R2327" s="217"/>
      <c r="S2327" s="217"/>
      <c r="T2327" s="217"/>
      <c r="U2327" s="199"/>
      <c r="V2327" s="200"/>
      <c r="W2327" s="200"/>
      <c r="X2327" s="200"/>
      <c r="Y2327" s="200"/>
      <c r="Z2327" s="200"/>
      <c r="AA2327" s="201"/>
      <c r="AB2327" s="200"/>
      <c r="AC2327" s="200"/>
    </row>
    <row r="2328" ht="15.75" customHeight="1">
      <c r="A2328" s="210">
        <f t="shared" si="1"/>
        <v>2326</v>
      </c>
      <c r="B2328" s="217"/>
      <c r="C2328" s="217" t="str">
        <f>IFERROR(VLOOKUP(B2328, SourceData!$U$3:$V$190, 2, FALSE), "")</f>
        <v/>
      </c>
      <c r="D2328" s="240"/>
      <c r="E2328" s="241"/>
      <c r="F2328" s="248"/>
      <c r="G2328" s="207"/>
      <c r="H2328" s="209"/>
      <c r="I2328" s="209"/>
      <c r="J2328" s="209"/>
      <c r="K2328" s="208" t="str">
        <f>IF(Errors!$I2328=0,SourceData!$B$42,VLOOKUP(Errors!$I2328,SourceData!$A$2:$B$40,2,FALSE))</f>
        <v>Please select ERROR CODE column "I"</v>
      </c>
      <c r="L2328" s="207" t="str">
        <f>IF(Errors!$I2328=0,
    'List of Error Codes'!$E$29,
    IFERROR(VLOOKUP(Errors!$I2328, 'List of Error Codes'!D2327:I2357, 6, FALSE), 'List of Error Codes'!$E$29)
)</f>
        <v>Please select ERROR CODE column "I"</v>
      </c>
      <c r="M2328" s="209"/>
      <c r="N2328" s="209"/>
      <c r="O2328" s="209"/>
      <c r="P2328" s="209"/>
      <c r="Q2328" s="209"/>
      <c r="R2328" s="217"/>
      <c r="S2328" s="217"/>
      <c r="T2328" s="217"/>
      <c r="U2328" s="199"/>
      <c r="V2328" s="200"/>
      <c r="W2328" s="200"/>
      <c r="X2328" s="200"/>
      <c r="Y2328" s="200"/>
      <c r="Z2328" s="200"/>
      <c r="AA2328" s="201"/>
      <c r="AB2328" s="200"/>
      <c r="AC2328" s="200"/>
    </row>
    <row r="2329" ht="15.75" customHeight="1">
      <c r="A2329" s="210">
        <f t="shared" si="1"/>
        <v>2327</v>
      </c>
      <c r="B2329" s="217"/>
      <c r="C2329" s="217" t="str">
        <f>IFERROR(VLOOKUP(B2329, SourceData!$U$3:$V$190, 2, FALSE), "")</f>
        <v/>
      </c>
      <c r="D2329" s="240"/>
      <c r="E2329" s="241"/>
      <c r="F2329" s="248"/>
      <c r="G2329" s="207"/>
      <c r="H2329" s="209"/>
      <c r="I2329" s="209"/>
      <c r="J2329" s="209"/>
      <c r="K2329" s="208" t="str">
        <f>IF(Errors!$I2329=0,SourceData!$B$42,VLOOKUP(Errors!$I2329,SourceData!$A$2:$B$40,2,FALSE))</f>
        <v>Please select ERROR CODE column "I"</v>
      </c>
      <c r="L2329" s="207" t="str">
        <f>IF(Errors!$I2329=0,
    'List of Error Codes'!$E$29,
    IFERROR(VLOOKUP(Errors!$I2329, 'List of Error Codes'!D2328:I2358, 6, FALSE), 'List of Error Codes'!$E$29)
)</f>
        <v>Please select ERROR CODE column "I"</v>
      </c>
      <c r="M2329" s="209"/>
      <c r="N2329" s="209"/>
      <c r="O2329" s="209"/>
      <c r="P2329" s="209"/>
      <c r="Q2329" s="209"/>
      <c r="R2329" s="217"/>
      <c r="S2329" s="217"/>
      <c r="T2329" s="217"/>
      <c r="U2329" s="199"/>
      <c r="V2329" s="200"/>
      <c r="W2329" s="200"/>
      <c r="X2329" s="200"/>
      <c r="Y2329" s="200"/>
      <c r="Z2329" s="200"/>
      <c r="AA2329" s="201"/>
      <c r="AB2329" s="200"/>
      <c r="AC2329" s="200"/>
    </row>
    <row r="2330" ht="15.75" customHeight="1">
      <c r="A2330" s="210">
        <f t="shared" si="1"/>
        <v>2328</v>
      </c>
      <c r="B2330" s="217"/>
      <c r="C2330" s="217" t="str">
        <f>IFERROR(VLOOKUP(B2330, SourceData!$U$3:$V$190, 2, FALSE), "")</f>
        <v/>
      </c>
      <c r="D2330" s="240"/>
      <c r="E2330" s="241"/>
      <c r="F2330" s="248"/>
      <c r="G2330" s="207"/>
      <c r="H2330" s="209"/>
      <c r="I2330" s="209"/>
      <c r="J2330" s="209"/>
      <c r="K2330" s="208" t="str">
        <f>IF(Errors!$I2330=0,SourceData!$B$42,VLOOKUP(Errors!$I2330,SourceData!$A$2:$B$40,2,FALSE))</f>
        <v>Please select ERROR CODE column "I"</v>
      </c>
      <c r="L2330" s="207" t="str">
        <f>IF(Errors!$I2330=0,
    'List of Error Codes'!$E$29,
    IFERROR(VLOOKUP(Errors!$I2330, 'List of Error Codes'!D2329:I2359, 6, FALSE), 'List of Error Codes'!$E$29)
)</f>
        <v>Please select ERROR CODE column "I"</v>
      </c>
      <c r="M2330" s="209"/>
      <c r="N2330" s="209"/>
      <c r="O2330" s="209"/>
      <c r="P2330" s="209"/>
      <c r="Q2330" s="209"/>
      <c r="R2330" s="217"/>
      <c r="S2330" s="217"/>
      <c r="T2330" s="217"/>
      <c r="U2330" s="199"/>
      <c r="V2330" s="200"/>
      <c r="W2330" s="200"/>
      <c r="X2330" s="200"/>
      <c r="Y2330" s="200"/>
      <c r="Z2330" s="200"/>
      <c r="AA2330" s="201"/>
      <c r="AB2330" s="200"/>
      <c r="AC2330" s="200"/>
    </row>
    <row r="2331" ht="15.75" customHeight="1">
      <c r="A2331" s="210">
        <f t="shared" si="1"/>
        <v>2329</v>
      </c>
      <c r="B2331" s="217"/>
      <c r="C2331" s="217" t="str">
        <f>IFERROR(VLOOKUP(B2331, SourceData!$U$3:$V$190, 2, FALSE), "")</f>
        <v/>
      </c>
      <c r="D2331" s="240"/>
      <c r="E2331" s="241"/>
      <c r="F2331" s="248"/>
      <c r="G2331" s="207"/>
      <c r="H2331" s="209"/>
      <c r="I2331" s="209"/>
      <c r="J2331" s="209"/>
      <c r="K2331" s="208" t="str">
        <f>IF(Errors!$I2331=0,SourceData!$B$42,VLOOKUP(Errors!$I2331,SourceData!$A$2:$B$40,2,FALSE))</f>
        <v>Please select ERROR CODE column "I"</v>
      </c>
      <c r="L2331" s="207" t="str">
        <f>IF(Errors!$I2331=0,
    'List of Error Codes'!$E$29,
    IFERROR(VLOOKUP(Errors!$I2331, 'List of Error Codes'!D2330:I2360, 6, FALSE), 'List of Error Codes'!$E$29)
)</f>
        <v>Please select ERROR CODE column "I"</v>
      </c>
      <c r="M2331" s="209"/>
      <c r="N2331" s="209"/>
      <c r="O2331" s="209"/>
      <c r="P2331" s="209"/>
      <c r="Q2331" s="209"/>
      <c r="R2331" s="217"/>
      <c r="S2331" s="217"/>
      <c r="T2331" s="217"/>
      <c r="U2331" s="199"/>
      <c r="V2331" s="200"/>
      <c r="W2331" s="200"/>
      <c r="X2331" s="200"/>
      <c r="Y2331" s="200"/>
      <c r="Z2331" s="200"/>
      <c r="AA2331" s="201"/>
      <c r="AB2331" s="200"/>
      <c r="AC2331" s="200"/>
    </row>
    <row r="2332" ht="15.75" customHeight="1">
      <c r="A2332" s="210">
        <f t="shared" si="1"/>
        <v>2330</v>
      </c>
      <c r="B2332" s="217"/>
      <c r="C2332" s="217" t="str">
        <f>IFERROR(VLOOKUP(B2332, SourceData!$U$3:$V$190, 2, FALSE), "")</f>
        <v/>
      </c>
      <c r="D2332" s="240"/>
      <c r="E2332" s="241"/>
      <c r="F2332" s="248"/>
      <c r="G2332" s="207"/>
      <c r="H2332" s="209"/>
      <c r="I2332" s="209"/>
      <c r="J2332" s="209"/>
      <c r="K2332" s="208" t="str">
        <f>IF(Errors!$I2332=0,SourceData!$B$42,VLOOKUP(Errors!$I2332,SourceData!$A$2:$B$40,2,FALSE))</f>
        <v>Please select ERROR CODE column "I"</v>
      </c>
      <c r="L2332" s="207" t="str">
        <f>IF(Errors!$I2332=0,
    'List of Error Codes'!$E$29,
    IFERROR(VLOOKUP(Errors!$I2332, 'List of Error Codes'!D2331:I2361, 6, FALSE), 'List of Error Codes'!$E$29)
)</f>
        <v>Please select ERROR CODE column "I"</v>
      </c>
      <c r="M2332" s="209"/>
      <c r="N2332" s="209"/>
      <c r="O2332" s="209"/>
      <c r="P2332" s="209"/>
      <c r="Q2332" s="209"/>
      <c r="R2332" s="217"/>
      <c r="S2332" s="217"/>
      <c r="T2332" s="217"/>
      <c r="U2332" s="199"/>
      <c r="V2332" s="200"/>
      <c r="W2332" s="200"/>
      <c r="X2332" s="200"/>
      <c r="Y2332" s="200"/>
      <c r="Z2332" s="200"/>
      <c r="AA2332" s="201"/>
      <c r="AB2332" s="200"/>
      <c r="AC2332" s="200"/>
    </row>
    <row r="2333" ht="15.75" customHeight="1">
      <c r="A2333" s="210">
        <f t="shared" si="1"/>
        <v>2331</v>
      </c>
      <c r="B2333" s="217"/>
      <c r="C2333" s="217" t="str">
        <f>IFERROR(VLOOKUP(B2333, SourceData!$U$3:$V$190, 2, FALSE), "")</f>
        <v/>
      </c>
      <c r="D2333" s="240"/>
      <c r="E2333" s="241"/>
      <c r="F2333" s="248"/>
      <c r="G2333" s="207"/>
      <c r="H2333" s="209"/>
      <c r="I2333" s="209"/>
      <c r="J2333" s="209"/>
      <c r="K2333" s="208" t="str">
        <f>IF(Errors!$I2333=0,SourceData!$B$42,VLOOKUP(Errors!$I2333,SourceData!$A$2:$B$40,2,FALSE))</f>
        <v>Please select ERROR CODE column "I"</v>
      </c>
      <c r="L2333" s="207" t="str">
        <f>IF(Errors!$I2333=0,
    'List of Error Codes'!$E$29,
    IFERROR(VLOOKUP(Errors!$I2333, 'List of Error Codes'!D2332:I2362, 6, FALSE), 'List of Error Codes'!$E$29)
)</f>
        <v>Please select ERROR CODE column "I"</v>
      </c>
      <c r="M2333" s="209"/>
      <c r="N2333" s="209"/>
      <c r="O2333" s="209"/>
      <c r="P2333" s="209"/>
      <c r="Q2333" s="209"/>
      <c r="R2333" s="217"/>
      <c r="S2333" s="217"/>
      <c r="T2333" s="217"/>
      <c r="U2333" s="199"/>
      <c r="V2333" s="200"/>
      <c r="W2333" s="200"/>
      <c r="X2333" s="200"/>
      <c r="Y2333" s="200"/>
      <c r="Z2333" s="200"/>
      <c r="AA2333" s="201"/>
      <c r="AB2333" s="200"/>
      <c r="AC2333" s="200"/>
    </row>
    <row r="2334" ht="15.75" customHeight="1">
      <c r="A2334" s="210">
        <f t="shared" si="1"/>
        <v>2332</v>
      </c>
      <c r="B2334" s="217"/>
      <c r="C2334" s="217" t="str">
        <f>IFERROR(VLOOKUP(B2334, SourceData!$U$3:$V$190, 2, FALSE), "")</f>
        <v/>
      </c>
      <c r="D2334" s="240"/>
      <c r="E2334" s="241"/>
      <c r="F2334" s="248"/>
      <c r="G2334" s="207"/>
      <c r="H2334" s="209"/>
      <c r="I2334" s="209"/>
      <c r="J2334" s="209"/>
      <c r="K2334" s="208" t="str">
        <f>IF(Errors!$I2334=0,SourceData!$B$42,VLOOKUP(Errors!$I2334,SourceData!$A$2:$B$40,2,FALSE))</f>
        <v>Please select ERROR CODE column "I"</v>
      </c>
      <c r="L2334" s="207" t="str">
        <f>IF(Errors!$I2334=0,
    'List of Error Codes'!$E$29,
    IFERROR(VLOOKUP(Errors!$I2334, 'List of Error Codes'!D2333:I2363, 6, FALSE), 'List of Error Codes'!$E$29)
)</f>
        <v>Please select ERROR CODE column "I"</v>
      </c>
      <c r="M2334" s="209"/>
      <c r="N2334" s="209"/>
      <c r="O2334" s="209"/>
      <c r="P2334" s="209"/>
      <c r="Q2334" s="209"/>
      <c r="R2334" s="217"/>
      <c r="S2334" s="217"/>
      <c r="T2334" s="217"/>
      <c r="U2334" s="199"/>
      <c r="V2334" s="200"/>
      <c r="W2334" s="200"/>
      <c r="X2334" s="200"/>
      <c r="Y2334" s="200"/>
      <c r="Z2334" s="200"/>
      <c r="AA2334" s="201"/>
      <c r="AB2334" s="200"/>
      <c r="AC2334" s="200"/>
    </row>
    <row r="2335" ht="15.75" customHeight="1">
      <c r="A2335" s="210">
        <f t="shared" si="1"/>
        <v>2333</v>
      </c>
      <c r="B2335" s="217"/>
      <c r="C2335" s="217" t="str">
        <f>IFERROR(VLOOKUP(B2335, SourceData!$U$3:$V$190, 2, FALSE), "")</f>
        <v/>
      </c>
      <c r="D2335" s="240"/>
      <c r="E2335" s="241"/>
      <c r="F2335" s="248"/>
      <c r="G2335" s="207"/>
      <c r="H2335" s="209"/>
      <c r="I2335" s="209"/>
      <c r="J2335" s="209"/>
      <c r="K2335" s="208" t="str">
        <f>IF(Errors!$I2335=0,SourceData!$B$42,VLOOKUP(Errors!$I2335,SourceData!$A$2:$B$40,2,FALSE))</f>
        <v>Please select ERROR CODE column "I"</v>
      </c>
      <c r="L2335" s="207" t="str">
        <f>IF(Errors!$I2335=0,
    'List of Error Codes'!$E$29,
    IFERROR(VLOOKUP(Errors!$I2335, 'List of Error Codes'!D2334:I2364, 6, FALSE), 'List of Error Codes'!$E$29)
)</f>
        <v>Please select ERROR CODE column "I"</v>
      </c>
      <c r="M2335" s="209"/>
      <c r="N2335" s="209"/>
      <c r="O2335" s="209"/>
      <c r="P2335" s="209"/>
      <c r="Q2335" s="209"/>
      <c r="R2335" s="217"/>
      <c r="S2335" s="217"/>
      <c r="T2335" s="217"/>
      <c r="U2335" s="199"/>
      <c r="V2335" s="200"/>
      <c r="W2335" s="200"/>
      <c r="X2335" s="200"/>
      <c r="Y2335" s="200"/>
      <c r="Z2335" s="200"/>
      <c r="AA2335" s="201"/>
      <c r="AB2335" s="200"/>
      <c r="AC2335" s="200"/>
    </row>
    <row r="2336" ht="15.75" customHeight="1">
      <c r="A2336" s="210">
        <f t="shared" si="1"/>
        <v>2334</v>
      </c>
      <c r="B2336" s="217"/>
      <c r="C2336" s="217" t="str">
        <f>IFERROR(VLOOKUP(B2336, SourceData!$U$3:$V$190, 2, FALSE), "")</f>
        <v/>
      </c>
      <c r="D2336" s="240"/>
      <c r="E2336" s="241"/>
      <c r="F2336" s="248"/>
      <c r="G2336" s="207"/>
      <c r="H2336" s="209"/>
      <c r="I2336" s="209"/>
      <c r="J2336" s="209"/>
      <c r="K2336" s="208" t="str">
        <f>IF(Errors!$I2336=0,SourceData!$B$42,VLOOKUP(Errors!$I2336,SourceData!$A$2:$B$40,2,FALSE))</f>
        <v>Please select ERROR CODE column "I"</v>
      </c>
      <c r="L2336" s="207" t="str">
        <f>IF(Errors!$I2336=0,
    'List of Error Codes'!$E$29,
    IFERROR(VLOOKUP(Errors!$I2336, 'List of Error Codes'!D2335:I2365, 6, FALSE), 'List of Error Codes'!$E$29)
)</f>
        <v>Please select ERROR CODE column "I"</v>
      </c>
      <c r="M2336" s="209"/>
      <c r="N2336" s="209"/>
      <c r="O2336" s="209"/>
      <c r="P2336" s="209"/>
      <c r="Q2336" s="209"/>
      <c r="R2336" s="217"/>
      <c r="S2336" s="217"/>
      <c r="T2336" s="217"/>
      <c r="U2336" s="199"/>
      <c r="V2336" s="200"/>
      <c r="W2336" s="200"/>
      <c r="X2336" s="200"/>
      <c r="Y2336" s="200"/>
      <c r="Z2336" s="200"/>
      <c r="AA2336" s="201"/>
      <c r="AB2336" s="200"/>
      <c r="AC2336" s="200"/>
    </row>
    <row r="2337" ht="15.75" customHeight="1">
      <c r="A2337" s="210">
        <f t="shared" si="1"/>
        <v>2335</v>
      </c>
      <c r="B2337" s="217"/>
      <c r="C2337" s="217" t="str">
        <f>IFERROR(VLOOKUP(B2337, SourceData!$U$3:$V$190, 2, FALSE), "")</f>
        <v/>
      </c>
      <c r="D2337" s="240"/>
      <c r="E2337" s="241"/>
      <c r="F2337" s="248"/>
      <c r="G2337" s="207"/>
      <c r="H2337" s="209"/>
      <c r="I2337" s="209"/>
      <c r="J2337" s="209"/>
      <c r="K2337" s="208" t="str">
        <f>IF(Errors!$I2337=0,SourceData!$B$42,VLOOKUP(Errors!$I2337,SourceData!$A$2:$B$40,2,FALSE))</f>
        <v>Please select ERROR CODE column "I"</v>
      </c>
      <c r="L2337" s="207" t="str">
        <f>IF(Errors!$I2337=0,
    'List of Error Codes'!$E$29,
    IFERROR(VLOOKUP(Errors!$I2337, 'List of Error Codes'!D2336:I2366, 6, FALSE), 'List of Error Codes'!$E$29)
)</f>
        <v>Please select ERROR CODE column "I"</v>
      </c>
      <c r="M2337" s="209"/>
      <c r="N2337" s="209"/>
      <c r="O2337" s="209"/>
      <c r="P2337" s="209"/>
      <c r="Q2337" s="209"/>
      <c r="R2337" s="217"/>
      <c r="S2337" s="217"/>
      <c r="T2337" s="217"/>
      <c r="U2337" s="199"/>
      <c r="V2337" s="200"/>
      <c r="W2337" s="200"/>
      <c r="X2337" s="200"/>
      <c r="Y2337" s="200"/>
      <c r="Z2337" s="200"/>
      <c r="AA2337" s="201"/>
      <c r="AB2337" s="200"/>
      <c r="AC2337" s="200"/>
    </row>
    <row r="2338" ht="15.75" customHeight="1">
      <c r="A2338" s="210">
        <f t="shared" si="1"/>
        <v>2336</v>
      </c>
      <c r="B2338" s="217"/>
      <c r="C2338" s="217" t="str">
        <f>IFERROR(VLOOKUP(B2338, SourceData!$U$3:$V$190, 2, FALSE), "")</f>
        <v/>
      </c>
      <c r="D2338" s="240"/>
      <c r="E2338" s="241"/>
      <c r="F2338" s="248"/>
      <c r="G2338" s="207"/>
      <c r="H2338" s="209"/>
      <c r="I2338" s="209"/>
      <c r="J2338" s="209"/>
      <c r="K2338" s="208" t="str">
        <f>IF(Errors!$I2338=0,SourceData!$B$42,VLOOKUP(Errors!$I2338,SourceData!$A$2:$B$40,2,FALSE))</f>
        <v>Please select ERROR CODE column "I"</v>
      </c>
      <c r="L2338" s="207" t="str">
        <f>IF(Errors!$I2338=0,
    'List of Error Codes'!$E$29,
    IFERROR(VLOOKUP(Errors!$I2338, 'List of Error Codes'!D2337:I2367, 6, FALSE), 'List of Error Codes'!$E$29)
)</f>
        <v>Please select ERROR CODE column "I"</v>
      </c>
      <c r="M2338" s="209"/>
      <c r="N2338" s="209"/>
      <c r="O2338" s="209"/>
      <c r="P2338" s="209"/>
      <c r="Q2338" s="209"/>
      <c r="R2338" s="217"/>
      <c r="S2338" s="217"/>
      <c r="T2338" s="217"/>
      <c r="U2338" s="199"/>
      <c r="V2338" s="200"/>
      <c r="W2338" s="200"/>
      <c r="X2338" s="200"/>
      <c r="Y2338" s="200"/>
      <c r="Z2338" s="200"/>
      <c r="AA2338" s="201"/>
      <c r="AB2338" s="200"/>
      <c r="AC2338" s="200"/>
    </row>
    <row r="2339" ht="15.75" customHeight="1">
      <c r="A2339" s="210">
        <f t="shared" si="1"/>
        <v>2337</v>
      </c>
      <c r="B2339" s="217"/>
      <c r="C2339" s="217" t="str">
        <f>IFERROR(VLOOKUP(B2339, SourceData!$U$3:$V$190, 2, FALSE), "")</f>
        <v/>
      </c>
      <c r="D2339" s="240"/>
      <c r="E2339" s="241"/>
      <c r="F2339" s="248"/>
      <c r="G2339" s="207"/>
      <c r="H2339" s="209"/>
      <c r="I2339" s="209"/>
      <c r="J2339" s="209"/>
      <c r="K2339" s="208" t="str">
        <f>IF(Errors!$I2339=0,SourceData!$B$42,VLOOKUP(Errors!$I2339,SourceData!$A$2:$B$40,2,FALSE))</f>
        <v>Please select ERROR CODE column "I"</v>
      </c>
      <c r="L2339" s="207" t="str">
        <f>IF(Errors!$I2339=0,
    'List of Error Codes'!$E$29,
    IFERROR(VLOOKUP(Errors!$I2339, 'List of Error Codes'!D2338:I2368, 6, FALSE), 'List of Error Codes'!$E$29)
)</f>
        <v>Please select ERROR CODE column "I"</v>
      </c>
      <c r="M2339" s="209"/>
      <c r="N2339" s="209"/>
      <c r="O2339" s="209"/>
      <c r="P2339" s="209"/>
      <c r="Q2339" s="209"/>
      <c r="R2339" s="217"/>
      <c r="S2339" s="217"/>
      <c r="T2339" s="217"/>
      <c r="U2339" s="199"/>
      <c r="V2339" s="200"/>
      <c r="W2339" s="200"/>
      <c r="X2339" s="200"/>
      <c r="Y2339" s="200"/>
      <c r="Z2339" s="200"/>
      <c r="AA2339" s="201"/>
      <c r="AB2339" s="200"/>
      <c r="AC2339" s="200"/>
    </row>
    <row r="2340" ht="15.75" customHeight="1">
      <c r="A2340" s="210">
        <f t="shared" si="1"/>
        <v>2338</v>
      </c>
      <c r="B2340" s="217"/>
      <c r="C2340" s="217" t="str">
        <f>IFERROR(VLOOKUP(B2340, SourceData!$U$3:$V$190, 2, FALSE), "")</f>
        <v/>
      </c>
      <c r="D2340" s="240"/>
      <c r="E2340" s="241"/>
      <c r="F2340" s="248"/>
      <c r="G2340" s="207"/>
      <c r="H2340" s="209"/>
      <c r="I2340" s="209"/>
      <c r="J2340" s="209"/>
      <c r="K2340" s="208" t="str">
        <f>IF(Errors!$I2340=0,SourceData!$B$42,VLOOKUP(Errors!$I2340,SourceData!$A$2:$B$40,2,FALSE))</f>
        <v>Please select ERROR CODE column "I"</v>
      </c>
      <c r="L2340" s="207" t="str">
        <f>IF(Errors!$I2340=0,
    'List of Error Codes'!$E$29,
    IFERROR(VLOOKUP(Errors!$I2340, 'List of Error Codes'!D2339:I2369, 6, FALSE), 'List of Error Codes'!$E$29)
)</f>
        <v>Please select ERROR CODE column "I"</v>
      </c>
      <c r="M2340" s="209"/>
      <c r="N2340" s="209"/>
      <c r="O2340" s="209"/>
      <c r="P2340" s="209"/>
      <c r="Q2340" s="209"/>
      <c r="R2340" s="217"/>
      <c r="S2340" s="217"/>
      <c r="T2340" s="217"/>
      <c r="U2340" s="199"/>
      <c r="V2340" s="200"/>
      <c r="W2340" s="200"/>
      <c r="X2340" s="200"/>
      <c r="Y2340" s="200"/>
      <c r="Z2340" s="200"/>
      <c r="AA2340" s="201"/>
      <c r="AB2340" s="200"/>
      <c r="AC2340" s="200"/>
    </row>
    <row r="2341" ht="15.75" customHeight="1">
      <c r="A2341" s="210">
        <f t="shared" si="1"/>
        <v>2339</v>
      </c>
      <c r="B2341" s="217"/>
      <c r="C2341" s="217" t="str">
        <f>IFERROR(VLOOKUP(B2341, SourceData!$U$3:$V$190, 2, FALSE), "")</f>
        <v/>
      </c>
      <c r="D2341" s="240"/>
      <c r="E2341" s="241"/>
      <c r="F2341" s="248"/>
      <c r="G2341" s="207"/>
      <c r="H2341" s="209"/>
      <c r="I2341" s="209"/>
      <c r="J2341" s="209"/>
      <c r="K2341" s="208" t="str">
        <f>IF(Errors!$I2341=0,SourceData!$B$42,VLOOKUP(Errors!$I2341,SourceData!$A$2:$B$40,2,FALSE))</f>
        <v>Please select ERROR CODE column "I"</v>
      </c>
      <c r="L2341" s="207" t="str">
        <f>IF(Errors!$I2341=0,
    'List of Error Codes'!$E$29,
    IFERROR(VLOOKUP(Errors!$I2341, 'List of Error Codes'!D2340:I2370, 6, FALSE), 'List of Error Codes'!$E$29)
)</f>
        <v>Please select ERROR CODE column "I"</v>
      </c>
      <c r="M2341" s="209"/>
      <c r="N2341" s="209"/>
      <c r="O2341" s="209"/>
      <c r="P2341" s="209"/>
      <c r="Q2341" s="209"/>
      <c r="R2341" s="217"/>
      <c r="S2341" s="217"/>
      <c r="T2341" s="217"/>
      <c r="U2341" s="199"/>
      <c r="V2341" s="200"/>
      <c r="W2341" s="200"/>
      <c r="X2341" s="200"/>
      <c r="Y2341" s="200"/>
      <c r="Z2341" s="200"/>
      <c r="AA2341" s="201"/>
      <c r="AB2341" s="200"/>
      <c r="AC2341" s="200"/>
    </row>
    <row r="2342" ht="15.75" customHeight="1">
      <c r="A2342" s="210">
        <f t="shared" si="1"/>
        <v>2340</v>
      </c>
      <c r="B2342" s="217"/>
      <c r="C2342" s="217" t="str">
        <f>IFERROR(VLOOKUP(B2342, SourceData!$U$3:$V$190, 2, FALSE), "")</f>
        <v/>
      </c>
      <c r="D2342" s="240"/>
      <c r="E2342" s="241"/>
      <c r="F2342" s="248"/>
      <c r="G2342" s="207"/>
      <c r="H2342" s="209"/>
      <c r="I2342" s="209"/>
      <c r="J2342" s="209"/>
      <c r="K2342" s="208" t="str">
        <f>IF(Errors!$I2342=0,SourceData!$B$42,VLOOKUP(Errors!$I2342,SourceData!$A$2:$B$40,2,FALSE))</f>
        <v>Please select ERROR CODE column "I"</v>
      </c>
      <c r="L2342" s="207" t="str">
        <f>IF(Errors!$I2342=0,
    'List of Error Codes'!$E$29,
    IFERROR(VLOOKUP(Errors!$I2342, 'List of Error Codes'!D2341:I2371, 6, FALSE), 'List of Error Codes'!$E$29)
)</f>
        <v>Please select ERROR CODE column "I"</v>
      </c>
      <c r="M2342" s="209"/>
      <c r="N2342" s="209"/>
      <c r="O2342" s="209"/>
      <c r="P2342" s="209"/>
      <c r="Q2342" s="209"/>
      <c r="R2342" s="217"/>
      <c r="S2342" s="217"/>
      <c r="T2342" s="217"/>
      <c r="U2342" s="199"/>
      <c r="V2342" s="200"/>
      <c r="W2342" s="200"/>
      <c r="X2342" s="200"/>
      <c r="Y2342" s="200"/>
      <c r="Z2342" s="200"/>
      <c r="AA2342" s="201"/>
      <c r="AB2342" s="200"/>
      <c r="AC2342" s="200"/>
    </row>
    <row r="2343" ht="15.75" customHeight="1">
      <c r="A2343" s="210">
        <f t="shared" si="1"/>
        <v>2341</v>
      </c>
      <c r="B2343" s="217"/>
      <c r="C2343" s="217" t="str">
        <f>IFERROR(VLOOKUP(B2343, SourceData!$U$3:$V$190, 2, FALSE), "")</f>
        <v/>
      </c>
      <c r="D2343" s="240"/>
      <c r="E2343" s="241"/>
      <c r="F2343" s="248"/>
      <c r="G2343" s="207"/>
      <c r="H2343" s="209"/>
      <c r="I2343" s="209"/>
      <c r="J2343" s="209"/>
      <c r="K2343" s="208" t="str">
        <f>IF(Errors!$I2343=0,SourceData!$B$42,VLOOKUP(Errors!$I2343,SourceData!$A$2:$B$40,2,FALSE))</f>
        <v>Please select ERROR CODE column "I"</v>
      </c>
      <c r="L2343" s="207" t="str">
        <f>IF(Errors!$I2343=0,
    'List of Error Codes'!$E$29,
    IFERROR(VLOOKUP(Errors!$I2343, 'List of Error Codes'!D2342:I2372, 6, FALSE), 'List of Error Codes'!$E$29)
)</f>
        <v>Please select ERROR CODE column "I"</v>
      </c>
      <c r="M2343" s="209"/>
      <c r="N2343" s="209"/>
      <c r="O2343" s="209"/>
      <c r="P2343" s="209"/>
      <c r="Q2343" s="209"/>
      <c r="R2343" s="217"/>
      <c r="S2343" s="217"/>
      <c r="T2343" s="217"/>
      <c r="U2343" s="199"/>
      <c r="V2343" s="200"/>
      <c r="W2343" s="200"/>
      <c r="X2343" s="200"/>
      <c r="Y2343" s="200"/>
      <c r="Z2343" s="200"/>
      <c r="AA2343" s="201"/>
      <c r="AB2343" s="200"/>
      <c r="AC2343" s="200"/>
    </row>
    <row r="2344" ht="15.75" customHeight="1">
      <c r="A2344" s="210">
        <f t="shared" si="1"/>
        <v>2342</v>
      </c>
      <c r="B2344" s="217"/>
      <c r="C2344" s="217" t="str">
        <f>IFERROR(VLOOKUP(B2344, SourceData!$U$3:$V$190, 2, FALSE), "")</f>
        <v/>
      </c>
      <c r="D2344" s="240"/>
      <c r="E2344" s="241"/>
      <c r="F2344" s="248"/>
      <c r="G2344" s="207"/>
      <c r="H2344" s="209"/>
      <c r="I2344" s="209"/>
      <c r="J2344" s="209"/>
      <c r="K2344" s="208" t="str">
        <f>IF(Errors!$I2344=0,SourceData!$B$42,VLOOKUP(Errors!$I2344,SourceData!$A$2:$B$40,2,FALSE))</f>
        <v>Please select ERROR CODE column "I"</v>
      </c>
      <c r="L2344" s="207" t="str">
        <f>IF(Errors!$I2344=0,
    'List of Error Codes'!$E$29,
    IFERROR(VLOOKUP(Errors!$I2344, 'List of Error Codes'!D2343:I2373, 6, FALSE), 'List of Error Codes'!$E$29)
)</f>
        <v>Please select ERROR CODE column "I"</v>
      </c>
      <c r="M2344" s="209"/>
      <c r="N2344" s="209"/>
      <c r="O2344" s="209"/>
      <c r="P2344" s="209"/>
      <c r="Q2344" s="209"/>
      <c r="R2344" s="217"/>
      <c r="S2344" s="217"/>
      <c r="T2344" s="217"/>
      <c r="U2344" s="199"/>
      <c r="V2344" s="200"/>
      <c r="W2344" s="200"/>
      <c r="X2344" s="200"/>
      <c r="Y2344" s="200"/>
      <c r="Z2344" s="200"/>
      <c r="AA2344" s="201"/>
      <c r="AB2344" s="200"/>
      <c r="AC2344" s="200"/>
    </row>
    <row r="2345" ht="15.75" customHeight="1">
      <c r="A2345" s="210">
        <f t="shared" si="1"/>
        <v>2343</v>
      </c>
      <c r="B2345" s="217"/>
      <c r="C2345" s="217" t="str">
        <f>IFERROR(VLOOKUP(B2345, SourceData!$U$3:$V$190, 2, FALSE), "")</f>
        <v/>
      </c>
      <c r="D2345" s="240"/>
      <c r="E2345" s="241"/>
      <c r="F2345" s="248"/>
      <c r="G2345" s="207"/>
      <c r="H2345" s="209"/>
      <c r="I2345" s="209"/>
      <c r="J2345" s="209"/>
      <c r="K2345" s="208" t="str">
        <f>IF(Errors!$I2345=0,SourceData!$B$42,VLOOKUP(Errors!$I2345,SourceData!$A$2:$B$40,2,FALSE))</f>
        <v>Please select ERROR CODE column "I"</v>
      </c>
      <c r="L2345" s="207" t="str">
        <f>IF(Errors!$I2345=0,
    'List of Error Codes'!$E$29,
    IFERROR(VLOOKUP(Errors!$I2345, 'List of Error Codes'!D2344:I2374, 6, FALSE), 'List of Error Codes'!$E$29)
)</f>
        <v>Please select ERROR CODE column "I"</v>
      </c>
      <c r="M2345" s="209"/>
      <c r="N2345" s="209"/>
      <c r="O2345" s="209"/>
      <c r="P2345" s="209"/>
      <c r="Q2345" s="209"/>
      <c r="R2345" s="217"/>
      <c r="S2345" s="217"/>
      <c r="T2345" s="217"/>
      <c r="U2345" s="199"/>
      <c r="V2345" s="200"/>
      <c r="W2345" s="200"/>
      <c r="X2345" s="200"/>
      <c r="Y2345" s="200"/>
      <c r="Z2345" s="200"/>
      <c r="AA2345" s="201"/>
      <c r="AB2345" s="200"/>
      <c r="AC2345" s="200"/>
    </row>
    <row r="2346" ht="15.75" customHeight="1">
      <c r="A2346" s="210">
        <f t="shared" si="1"/>
        <v>2344</v>
      </c>
      <c r="B2346" s="217"/>
      <c r="C2346" s="217" t="str">
        <f>IFERROR(VLOOKUP(B2346, SourceData!$U$3:$V$190, 2, FALSE), "")</f>
        <v/>
      </c>
      <c r="D2346" s="240"/>
      <c r="E2346" s="241"/>
      <c r="F2346" s="248"/>
      <c r="G2346" s="207"/>
      <c r="H2346" s="209"/>
      <c r="I2346" s="209"/>
      <c r="J2346" s="209"/>
      <c r="K2346" s="208" t="str">
        <f>IF(Errors!$I2346=0,SourceData!$B$42,VLOOKUP(Errors!$I2346,SourceData!$A$2:$B$40,2,FALSE))</f>
        <v>Please select ERROR CODE column "I"</v>
      </c>
      <c r="L2346" s="207" t="str">
        <f>IF(Errors!$I2346=0,
    'List of Error Codes'!$E$29,
    IFERROR(VLOOKUP(Errors!$I2346, 'List of Error Codes'!D2345:I2375, 6, FALSE), 'List of Error Codes'!$E$29)
)</f>
        <v>Please select ERROR CODE column "I"</v>
      </c>
      <c r="M2346" s="209"/>
      <c r="N2346" s="209"/>
      <c r="O2346" s="209"/>
      <c r="P2346" s="209"/>
      <c r="Q2346" s="209"/>
      <c r="R2346" s="217"/>
      <c r="S2346" s="217"/>
      <c r="T2346" s="217"/>
      <c r="U2346" s="199"/>
      <c r="V2346" s="200"/>
      <c r="W2346" s="200"/>
      <c r="X2346" s="200"/>
      <c r="Y2346" s="200"/>
      <c r="Z2346" s="200"/>
      <c r="AA2346" s="201"/>
      <c r="AB2346" s="200"/>
      <c r="AC2346" s="200"/>
    </row>
    <row r="2347" ht="15.75" customHeight="1">
      <c r="A2347" s="210">
        <f t="shared" si="1"/>
        <v>2345</v>
      </c>
      <c r="B2347" s="217"/>
      <c r="C2347" s="217" t="str">
        <f>IFERROR(VLOOKUP(B2347, SourceData!$U$3:$V$190, 2, FALSE), "")</f>
        <v/>
      </c>
      <c r="D2347" s="240"/>
      <c r="E2347" s="241"/>
      <c r="F2347" s="248"/>
      <c r="G2347" s="207"/>
      <c r="H2347" s="209"/>
      <c r="I2347" s="209"/>
      <c r="J2347" s="209"/>
      <c r="K2347" s="208" t="str">
        <f>IF(Errors!$I2347=0,SourceData!$B$42,VLOOKUP(Errors!$I2347,SourceData!$A$2:$B$40,2,FALSE))</f>
        <v>Please select ERROR CODE column "I"</v>
      </c>
      <c r="L2347" s="207" t="str">
        <f>IF(Errors!$I2347=0,
    'List of Error Codes'!$E$29,
    IFERROR(VLOOKUP(Errors!$I2347, 'List of Error Codes'!D2346:I2376, 6, FALSE), 'List of Error Codes'!$E$29)
)</f>
        <v>Please select ERROR CODE column "I"</v>
      </c>
      <c r="M2347" s="209"/>
      <c r="N2347" s="209"/>
      <c r="O2347" s="209"/>
      <c r="P2347" s="209"/>
      <c r="Q2347" s="209"/>
      <c r="R2347" s="217"/>
      <c r="S2347" s="217"/>
      <c r="T2347" s="217"/>
      <c r="U2347" s="199"/>
      <c r="V2347" s="200"/>
      <c r="W2347" s="200"/>
      <c r="X2347" s="200"/>
      <c r="Y2347" s="200"/>
      <c r="Z2347" s="200"/>
      <c r="AA2347" s="201"/>
      <c r="AB2347" s="200"/>
      <c r="AC2347" s="200"/>
    </row>
    <row r="2348" ht="15.75" customHeight="1">
      <c r="A2348" s="210">
        <f t="shared" si="1"/>
        <v>2346</v>
      </c>
      <c r="B2348" s="217"/>
      <c r="C2348" s="217" t="str">
        <f>IFERROR(VLOOKUP(B2348, SourceData!$U$3:$V$190, 2, FALSE), "")</f>
        <v/>
      </c>
      <c r="D2348" s="240"/>
      <c r="E2348" s="241"/>
      <c r="F2348" s="248"/>
      <c r="G2348" s="207"/>
      <c r="H2348" s="209"/>
      <c r="I2348" s="209"/>
      <c r="J2348" s="209"/>
      <c r="K2348" s="208" t="str">
        <f>IF(Errors!$I2348=0,SourceData!$B$42,VLOOKUP(Errors!$I2348,SourceData!$A$2:$B$40,2,FALSE))</f>
        <v>Please select ERROR CODE column "I"</v>
      </c>
      <c r="L2348" s="207" t="str">
        <f>IF(Errors!$I2348=0,
    'List of Error Codes'!$E$29,
    IFERROR(VLOOKUP(Errors!$I2348, 'List of Error Codes'!D2347:I2377, 6, FALSE), 'List of Error Codes'!$E$29)
)</f>
        <v>Please select ERROR CODE column "I"</v>
      </c>
      <c r="M2348" s="209"/>
      <c r="N2348" s="209"/>
      <c r="O2348" s="209"/>
      <c r="P2348" s="209"/>
      <c r="Q2348" s="209"/>
      <c r="R2348" s="217"/>
      <c r="S2348" s="217"/>
      <c r="T2348" s="217"/>
      <c r="U2348" s="199"/>
      <c r="V2348" s="200"/>
      <c r="W2348" s="200"/>
      <c r="X2348" s="200"/>
      <c r="Y2348" s="200"/>
      <c r="Z2348" s="200"/>
      <c r="AA2348" s="201"/>
      <c r="AB2348" s="200"/>
      <c r="AC2348" s="200"/>
    </row>
    <row r="2349" ht="15.75" customHeight="1">
      <c r="A2349" s="210">
        <f t="shared" si="1"/>
        <v>2347</v>
      </c>
      <c r="B2349" s="217"/>
      <c r="C2349" s="217" t="str">
        <f>IFERROR(VLOOKUP(B2349, SourceData!$U$3:$V$190, 2, FALSE), "")</f>
        <v/>
      </c>
      <c r="D2349" s="240"/>
      <c r="E2349" s="241"/>
      <c r="F2349" s="248"/>
      <c r="G2349" s="207"/>
      <c r="H2349" s="209"/>
      <c r="I2349" s="209"/>
      <c r="J2349" s="209"/>
      <c r="K2349" s="208" t="str">
        <f>IF(Errors!$I2349=0,SourceData!$B$42,VLOOKUP(Errors!$I2349,SourceData!$A$2:$B$40,2,FALSE))</f>
        <v>Please select ERROR CODE column "I"</v>
      </c>
      <c r="L2349" s="207" t="str">
        <f>IF(Errors!$I2349=0,
    'List of Error Codes'!$E$29,
    IFERROR(VLOOKUP(Errors!$I2349, 'List of Error Codes'!D2348:I2378, 6, FALSE), 'List of Error Codes'!$E$29)
)</f>
        <v>Please select ERROR CODE column "I"</v>
      </c>
      <c r="M2349" s="209"/>
      <c r="N2349" s="209"/>
      <c r="O2349" s="209"/>
      <c r="P2349" s="209"/>
      <c r="Q2349" s="209"/>
      <c r="R2349" s="217"/>
      <c r="S2349" s="217"/>
      <c r="T2349" s="217"/>
      <c r="U2349" s="199"/>
      <c r="V2349" s="200"/>
      <c r="W2349" s="200"/>
      <c r="X2349" s="200"/>
      <c r="Y2349" s="200"/>
      <c r="Z2349" s="200"/>
      <c r="AA2349" s="201"/>
      <c r="AB2349" s="200"/>
      <c r="AC2349" s="200"/>
    </row>
    <row r="2350" ht="15.75" customHeight="1">
      <c r="A2350" s="210">
        <f t="shared" si="1"/>
        <v>2348</v>
      </c>
      <c r="B2350" s="217"/>
      <c r="C2350" s="217" t="str">
        <f>IFERROR(VLOOKUP(B2350, SourceData!$U$3:$V$190, 2, FALSE), "")</f>
        <v/>
      </c>
      <c r="D2350" s="240"/>
      <c r="E2350" s="241"/>
      <c r="F2350" s="248"/>
      <c r="G2350" s="207"/>
      <c r="H2350" s="209"/>
      <c r="I2350" s="209"/>
      <c r="J2350" s="209"/>
      <c r="K2350" s="208" t="str">
        <f>IF(Errors!$I2350=0,SourceData!$B$42,VLOOKUP(Errors!$I2350,SourceData!$A$2:$B$40,2,FALSE))</f>
        <v>Please select ERROR CODE column "I"</v>
      </c>
      <c r="L2350" s="207" t="str">
        <f>IF(Errors!$I2350=0,
    'List of Error Codes'!$E$29,
    IFERROR(VLOOKUP(Errors!$I2350, 'List of Error Codes'!D2349:I2379, 6, FALSE), 'List of Error Codes'!$E$29)
)</f>
        <v>Please select ERROR CODE column "I"</v>
      </c>
      <c r="M2350" s="209"/>
      <c r="N2350" s="209"/>
      <c r="O2350" s="209"/>
      <c r="P2350" s="209"/>
      <c r="Q2350" s="209"/>
      <c r="R2350" s="217"/>
      <c r="S2350" s="217"/>
      <c r="T2350" s="217"/>
      <c r="U2350" s="199"/>
      <c r="V2350" s="200"/>
      <c r="W2350" s="200"/>
      <c r="X2350" s="200"/>
      <c r="Y2350" s="200"/>
      <c r="Z2350" s="200"/>
      <c r="AA2350" s="201"/>
      <c r="AB2350" s="200"/>
      <c r="AC2350" s="200"/>
    </row>
    <row r="2351" ht="15.75" customHeight="1">
      <c r="A2351" s="210">
        <f t="shared" si="1"/>
        <v>2349</v>
      </c>
      <c r="B2351" s="217"/>
      <c r="C2351" s="217" t="str">
        <f>IFERROR(VLOOKUP(B2351, SourceData!$U$3:$V$190, 2, FALSE), "")</f>
        <v/>
      </c>
      <c r="D2351" s="240"/>
      <c r="E2351" s="241"/>
      <c r="F2351" s="248"/>
      <c r="G2351" s="207"/>
      <c r="H2351" s="209"/>
      <c r="I2351" s="209"/>
      <c r="J2351" s="209"/>
      <c r="K2351" s="208" t="str">
        <f>IF(Errors!$I2351=0,SourceData!$B$42,VLOOKUP(Errors!$I2351,SourceData!$A$2:$B$40,2,FALSE))</f>
        <v>Please select ERROR CODE column "I"</v>
      </c>
      <c r="L2351" s="207" t="str">
        <f>IF(Errors!$I2351=0,
    'List of Error Codes'!$E$29,
    IFERROR(VLOOKUP(Errors!$I2351, 'List of Error Codes'!D2350:I2380, 6, FALSE), 'List of Error Codes'!$E$29)
)</f>
        <v>Please select ERROR CODE column "I"</v>
      </c>
      <c r="M2351" s="209"/>
      <c r="N2351" s="209"/>
      <c r="O2351" s="209"/>
      <c r="P2351" s="209"/>
      <c r="Q2351" s="209"/>
      <c r="R2351" s="217"/>
      <c r="S2351" s="217"/>
      <c r="T2351" s="217"/>
      <c r="U2351" s="199"/>
      <c r="V2351" s="200"/>
      <c r="W2351" s="200"/>
      <c r="X2351" s="200"/>
      <c r="Y2351" s="200"/>
      <c r="Z2351" s="200"/>
      <c r="AA2351" s="201"/>
      <c r="AB2351" s="200"/>
      <c r="AC2351" s="200"/>
    </row>
    <row r="2352" ht="15.75" customHeight="1">
      <c r="A2352" s="210">
        <f t="shared" si="1"/>
        <v>2350</v>
      </c>
      <c r="B2352" s="217"/>
      <c r="C2352" s="217" t="str">
        <f>IFERROR(VLOOKUP(B2352, SourceData!$U$3:$V$190, 2, FALSE), "")</f>
        <v/>
      </c>
      <c r="D2352" s="240"/>
      <c r="E2352" s="241"/>
      <c r="F2352" s="248"/>
      <c r="G2352" s="207"/>
      <c r="H2352" s="209"/>
      <c r="I2352" s="209"/>
      <c r="J2352" s="209"/>
      <c r="K2352" s="208" t="str">
        <f>IF(Errors!$I2352=0,SourceData!$B$42,VLOOKUP(Errors!$I2352,SourceData!$A$2:$B$40,2,FALSE))</f>
        <v>Please select ERROR CODE column "I"</v>
      </c>
      <c r="L2352" s="207" t="str">
        <f>IF(Errors!$I2352=0,
    'List of Error Codes'!$E$29,
    IFERROR(VLOOKUP(Errors!$I2352, 'List of Error Codes'!D2351:I2381, 6, FALSE), 'List of Error Codes'!$E$29)
)</f>
        <v>Please select ERROR CODE column "I"</v>
      </c>
      <c r="M2352" s="209"/>
      <c r="N2352" s="209"/>
      <c r="O2352" s="209"/>
      <c r="P2352" s="209"/>
      <c r="Q2352" s="209"/>
      <c r="R2352" s="217"/>
      <c r="S2352" s="217"/>
      <c r="T2352" s="217"/>
      <c r="U2352" s="199"/>
      <c r="V2352" s="200"/>
      <c r="W2352" s="200"/>
      <c r="X2352" s="200"/>
      <c r="Y2352" s="200"/>
      <c r="Z2352" s="200"/>
      <c r="AA2352" s="201"/>
      <c r="AB2352" s="200"/>
      <c r="AC2352" s="200"/>
    </row>
    <row r="2353" ht="15.75" customHeight="1">
      <c r="A2353" s="210">
        <f t="shared" si="1"/>
        <v>2351</v>
      </c>
      <c r="B2353" s="217"/>
      <c r="C2353" s="217" t="str">
        <f>IFERROR(VLOOKUP(B2353, SourceData!$U$3:$V$190, 2, FALSE), "")</f>
        <v/>
      </c>
      <c r="D2353" s="240"/>
      <c r="E2353" s="241"/>
      <c r="F2353" s="248"/>
      <c r="G2353" s="207"/>
      <c r="H2353" s="209"/>
      <c r="I2353" s="209"/>
      <c r="J2353" s="209"/>
      <c r="K2353" s="208" t="str">
        <f>IF(Errors!$I2353=0,SourceData!$B$42,VLOOKUP(Errors!$I2353,SourceData!$A$2:$B$40,2,FALSE))</f>
        <v>Please select ERROR CODE column "I"</v>
      </c>
      <c r="L2353" s="207" t="str">
        <f>IF(Errors!$I2353=0,
    'List of Error Codes'!$E$29,
    IFERROR(VLOOKUP(Errors!$I2353, 'List of Error Codes'!D2352:I2382, 6, FALSE), 'List of Error Codes'!$E$29)
)</f>
        <v>Please select ERROR CODE column "I"</v>
      </c>
      <c r="M2353" s="209"/>
      <c r="N2353" s="209"/>
      <c r="O2353" s="209"/>
      <c r="P2353" s="209"/>
      <c r="Q2353" s="209"/>
      <c r="R2353" s="217"/>
      <c r="S2353" s="217"/>
      <c r="T2353" s="217"/>
      <c r="U2353" s="199"/>
      <c r="V2353" s="200"/>
      <c r="W2353" s="200"/>
      <c r="X2353" s="200"/>
      <c r="Y2353" s="200"/>
      <c r="Z2353" s="200"/>
      <c r="AA2353" s="201"/>
      <c r="AB2353" s="200"/>
      <c r="AC2353" s="200"/>
    </row>
    <row r="2354" ht="15.75" customHeight="1">
      <c r="A2354" s="210">
        <f t="shared" si="1"/>
        <v>2352</v>
      </c>
      <c r="B2354" s="217"/>
      <c r="C2354" s="217" t="str">
        <f>IFERROR(VLOOKUP(B2354, SourceData!$U$3:$V$190, 2, FALSE), "")</f>
        <v/>
      </c>
      <c r="D2354" s="240"/>
      <c r="E2354" s="241"/>
      <c r="F2354" s="248"/>
      <c r="G2354" s="207"/>
      <c r="H2354" s="209"/>
      <c r="I2354" s="209"/>
      <c r="J2354" s="209"/>
      <c r="K2354" s="208" t="str">
        <f>IF(Errors!$I2354=0,SourceData!$B$42,VLOOKUP(Errors!$I2354,SourceData!$A$2:$B$40,2,FALSE))</f>
        <v>Please select ERROR CODE column "I"</v>
      </c>
      <c r="L2354" s="207" t="str">
        <f>IF(Errors!$I2354=0,
    'List of Error Codes'!$E$29,
    IFERROR(VLOOKUP(Errors!$I2354, 'List of Error Codes'!D2353:I2383, 6, FALSE), 'List of Error Codes'!$E$29)
)</f>
        <v>Please select ERROR CODE column "I"</v>
      </c>
      <c r="M2354" s="209"/>
      <c r="N2354" s="209"/>
      <c r="O2354" s="209"/>
      <c r="P2354" s="209"/>
      <c r="Q2354" s="209"/>
      <c r="R2354" s="217"/>
      <c r="S2354" s="217"/>
      <c r="T2354" s="217"/>
      <c r="U2354" s="199"/>
      <c r="V2354" s="200"/>
      <c r="W2354" s="200"/>
      <c r="X2354" s="200"/>
      <c r="Y2354" s="200"/>
      <c r="Z2354" s="200"/>
      <c r="AA2354" s="201"/>
      <c r="AB2354" s="200"/>
      <c r="AC2354" s="200"/>
    </row>
    <row r="2355" ht="15.75" customHeight="1">
      <c r="A2355" s="210">
        <f t="shared" si="1"/>
        <v>2353</v>
      </c>
      <c r="B2355" s="217"/>
      <c r="C2355" s="217" t="str">
        <f>IFERROR(VLOOKUP(B2355, SourceData!$U$3:$V$190, 2, FALSE), "")</f>
        <v/>
      </c>
      <c r="D2355" s="240"/>
      <c r="E2355" s="241"/>
      <c r="F2355" s="248"/>
      <c r="G2355" s="207"/>
      <c r="H2355" s="209"/>
      <c r="I2355" s="209"/>
      <c r="J2355" s="209"/>
      <c r="K2355" s="208" t="str">
        <f>IF(Errors!$I2355=0,SourceData!$B$42,VLOOKUP(Errors!$I2355,SourceData!$A$2:$B$40,2,FALSE))</f>
        <v>Please select ERROR CODE column "I"</v>
      </c>
      <c r="L2355" s="207" t="str">
        <f>IF(Errors!$I2355=0,
    'List of Error Codes'!$E$29,
    IFERROR(VLOOKUP(Errors!$I2355, 'List of Error Codes'!D2354:I2384, 6, FALSE), 'List of Error Codes'!$E$29)
)</f>
        <v>Please select ERROR CODE column "I"</v>
      </c>
      <c r="M2355" s="209"/>
      <c r="N2355" s="209"/>
      <c r="O2355" s="209"/>
      <c r="P2355" s="209"/>
      <c r="Q2355" s="209"/>
      <c r="R2355" s="217"/>
      <c r="S2355" s="217"/>
      <c r="T2355" s="217"/>
      <c r="U2355" s="199"/>
      <c r="V2355" s="200"/>
      <c r="W2355" s="200"/>
      <c r="X2355" s="200"/>
      <c r="Y2355" s="200"/>
      <c r="Z2355" s="200"/>
      <c r="AA2355" s="201"/>
      <c r="AB2355" s="200"/>
      <c r="AC2355" s="200"/>
    </row>
    <row r="2356" ht="15.75" customHeight="1">
      <c r="A2356" s="210">
        <f t="shared" si="1"/>
        <v>2354</v>
      </c>
      <c r="B2356" s="217"/>
      <c r="C2356" s="217" t="str">
        <f>IFERROR(VLOOKUP(B2356, SourceData!$U$3:$V$190, 2, FALSE), "")</f>
        <v/>
      </c>
      <c r="D2356" s="240"/>
      <c r="E2356" s="241"/>
      <c r="F2356" s="248"/>
      <c r="G2356" s="207"/>
      <c r="H2356" s="209"/>
      <c r="I2356" s="209"/>
      <c r="J2356" s="209"/>
      <c r="K2356" s="208" t="str">
        <f>IF(Errors!$I2356=0,SourceData!$B$42,VLOOKUP(Errors!$I2356,SourceData!$A$2:$B$40,2,FALSE))</f>
        <v>Please select ERROR CODE column "I"</v>
      </c>
      <c r="L2356" s="207" t="str">
        <f>IF(Errors!$I2356=0,
    'List of Error Codes'!$E$29,
    IFERROR(VLOOKUP(Errors!$I2356, 'List of Error Codes'!D2355:I2385, 6, FALSE), 'List of Error Codes'!$E$29)
)</f>
        <v>Please select ERROR CODE column "I"</v>
      </c>
      <c r="M2356" s="209"/>
      <c r="N2356" s="209"/>
      <c r="O2356" s="209"/>
      <c r="P2356" s="209"/>
      <c r="Q2356" s="209"/>
      <c r="R2356" s="217"/>
      <c r="S2356" s="217"/>
      <c r="T2356" s="217"/>
      <c r="U2356" s="199"/>
      <c r="V2356" s="200"/>
      <c r="W2356" s="200"/>
      <c r="X2356" s="200"/>
      <c r="Y2356" s="200"/>
      <c r="Z2356" s="200"/>
      <c r="AA2356" s="201"/>
      <c r="AB2356" s="200"/>
      <c r="AC2356" s="200"/>
    </row>
    <row r="2357" ht="15.75" customHeight="1">
      <c r="A2357" s="210">
        <f t="shared" si="1"/>
        <v>2355</v>
      </c>
      <c r="B2357" s="217"/>
      <c r="C2357" s="217" t="str">
        <f>IFERROR(VLOOKUP(B2357, SourceData!$U$3:$V$190, 2, FALSE), "")</f>
        <v/>
      </c>
      <c r="D2357" s="240"/>
      <c r="E2357" s="241"/>
      <c r="F2357" s="248"/>
      <c r="G2357" s="207"/>
      <c r="H2357" s="209"/>
      <c r="I2357" s="209"/>
      <c r="J2357" s="209"/>
      <c r="K2357" s="208" t="str">
        <f>IF(Errors!$I2357=0,SourceData!$B$42,VLOOKUP(Errors!$I2357,SourceData!$A$2:$B$40,2,FALSE))</f>
        <v>Please select ERROR CODE column "I"</v>
      </c>
      <c r="L2357" s="207" t="str">
        <f>IF(Errors!$I2357=0,
    'List of Error Codes'!$E$29,
    IFERROR(VLOOKUP(Errors!$I2357, 'List of Error Codes'!D2356:I2386, 6, FALSE), 'List of Error Codes'!$E$29)
)</f>
        <v>Please select ERROR CODE column "I"</v>
      </c>
      <c r="M2357" s="209"/>
      <c r="N2357" s="209"/>
      <c r="O2357" s="209"/>
      <c r="P2357" s="209"/>
      <c r="Q2357" s="209"/>
      <c r="R2357" s="217"/>
      <c r="S2357" s="217"/>
      <c r="T2357" s="217"/>
      <c r="U2357" s="199"/>
      <c r="V2357" s="200"/>
      <c r="W2357" s="200"/>
      <c r="X2357" s="200"/>
      <c r="Y2357" s="200"/>
      <c r="Z2357" s="200"/>
      <c r="AA2357" s="201"/>
      <c r="AB2357" s="200"/>
      <c r="AC2357" s="200"/>
    </row>
    <row r="2358" ht="15.75" customHeight="1">
      <c r="A2358" s="210">
        <f t="shared" si="1"/>
        <v>2356</v>
      </c>
      <c r="B2358" s="217"/>
      <c r="C2358" s="217" t="str">
        <f>IFERROR(VLOOKUP(B2358, SourceData!$U$3:$V$190, 2, FALSE), "")</f>
        <v/>
      </c>
      <c r="D2358" s="240"/>
      <c r="E2358" s="241"/>
      <c r="F2358" s="248"/>
      <c r="G2358" s="207"/>
      <c r="H2358" s="209"/>
      <c r="I2358" s="209"/>
      <c r="J2358" s="209"/>
      <c r="K2358" s="208" t="str">
        <f>IF(Errors!$I2358=0,SourceData!$B$42,VLOOKUP(Errors!$I2358,SourceData!$A$2:$B$40,2,FALSE))</f>
        <v>Please select ERROR CODE column "I"</v>
      </c>
      <c r="L2358" s="207" t="str">
        <f>IF(Errors!$I2358=0,
    'List of Error Codes'!$E$29,
    IFERROR(VLOOKUP(Errors!$I2358, 'List of Error Codes'!D2357:I2387, 6, FALSE), 'List of Error Codes'!$E$29)
)</f>
        <v>Please select ERROR CODE column "I"</v>
      </c>
      <c r="M2358" s="209"/>
      <c r="N2358" s="209"/>
      <c r="O2358" s="209"/>
      <c r="P2358" s="209"/>
      <c r="Q2358" s="209"/>
      <c r="R2358" s="217"/>
      <c r="S2358" s="217"/>
      <c r="T2358" s="217"/>
      <c r="U2358" s="199"/>
      <c r="V2358" s="200"/>
      <c r="W2358" s="200"/>
      <c r="X2358" s="200"/>
      <c r="Y2358" s="200"/>
      <c r="Z2358" s="200"/>
      <c r="AA2358" s="201"/>
      <c r="AB2358" s="200"/>
      <c r="AC2358" s="200"/>
    </row>
    <row r="2359" ht="15.75" customHeight="1">
      <c r="A2359" s="210">
        <f t="shared" si="1"/>
        <v>2357</v>
      </c>
      <c r="B2359" s="217"/>
      <c r="C2359" s="217" t="str">
        <f>IFERROR(VLOOKUP(B2359, SourceData!$U$3:$V$190, 2, FALSE), "")</f>
        <v/>
      </c>
      <c r="D2359" s="240"/>
      <c r="E2359" s="241"/>
      <c r="F2359" s="248"/>
      <c r="G2359" s="207"/>
      <c r="H2359" s="209"/>
      <c r="I2359" s="209"/>
      <c r="J2359" s="209"/>
      <c r="K2359" s="208" t="str">
        <f>IF(Errors!$I2359=0,SourceData!$B$42,VLOOKUP(Errors!$I2359,SourceData!$A$2:$B$40,2,FALSE))</f>
        <v>Please select ERROR CODE column "I"</v>
      </c>
      <c r="L2359" s="207" t="str">
        <f>IF(Errors!$I2359=0,
    'List of Error Codes'!$E$29,
    IFERROR(VLOOKUP(Errors!$I2359, 'List of Error Codes'!D2358:I2388, 6, FALSE), 'List of Error Codes'!$E$29)
)</f>
        <v>Please select ERROR CODE column "I"</v>
      </c>
      <c r="M2359" s="209"/>
      <c r="N2359" s="209"/>
      <c r="O2359" s="209"/>
      <c r="P2359" s="209"/>
      <c r="Q2359" s="209"/>
      <c r="R2359" s="217"/>
      <c r="S2359" s="217"/>
      <c r="T2359" s="217"/>
      <c r="U2359" s="199"/>
      <c r="V2359" s="200"/>
      <c r="W2359" s="200"/>
      <c r="X2359" s="200"/>
      <c r="Y2359" s="200"/>
      <c r="Z2359" s="200"/>
      <c r="AA2359" s="201"/>
      <c r="AB2359" s="200"/>
      <c r="AC2359" s="200"/>
    </row>
    <row r="2360" ht="15.75" customHeight="1">
      <c r="A2360" s="210">
        <f t="shared" si="1"/>
        <v>2358</v>
      </c>
      <c r="B2360" s="217"/>
      <c r="C2360" s="217" t="str">
        <f>IFERROR(VLOOKUP(B2360, SourceData!$U$3:$V$190, 2, FALSE), "")</f>
        <v/>
      </c>
      <c r="D2360" s="240"/>
      <c r="E2360" s="241"/>
      <c r="F2360" s="248"/>
      <c r="G2360" s="207"/>
      <c r="H2360" s="209"/>
      <c r="I2360" s="209"/>
      <c r="J2360" s="209"/>
      <c r="K2360" s="208" t="str">
        <f>IF(Errors!$I2360=0,SourceData!$B$42,VLOOKUP(Errors!$I2360,SourceData!$A$2:$B$40,2,FALSE))</f>
        <v>Please select ERROR CODE column "I"</v>
      </c>
      <c r="L2360" s="207" t="str">
        <f>IF(Errors!$I2360=0,
    'List of Error Codes'!$E$29,
    IFERROR(VLOOKUP(Errors!$I2360, 'List of Error Codes'!D2359:I2389, 6, FALSE), 'List of Error Codes'!$E$29)
)</f>
        <v>Please select ERROR CODE column "I"</v>
      </c>
      <c r="M2360" s="209"/>
      <c r="N2360" s="209"/>
      <c r="O2360" s="209"/>
      <c r="P2360" s="209"/>
      <c r="Q2360" s="209"/>
      <c r="R2360" s="217"/>
      <c r="S2360" s="217"/>
      <c r="T2360" s="217"/>
      <c r="U2360" s="199"/>
      <c r="V2360" s="200"/>
      <c r="W2360" s="200"/>
      <c r="X2360" s="200"/>
      <c r="Y2360" s="200"/>
      <c r="Z2360" s="200"/>
      <c r="AA2360" s="201"/>
      <c r="AB2360" s="200"/>
      <c r="AC2360" s="200"/>
    </row>
    <row r="2361" ht="15.75" customHeight="1">
      <c r="A2361" s="210">
        <f t="shared" si="1"/>
        <v>2359</v>
      </c>
      <c r="B2361" s="217"/>
      <c r="C2361" s="217" t="str">
        <f>IFERROR(VLOOKUP(B2361, SourceData!$U$3:$V$190, 2, FALSE), "")</f>
        <v/>
      </c>
      <c r="D2361" s="240"/>
      <c r="E2361" s="241"/>
      <c r="F2361" s="248"/>
      <c r="G2361" s="207"/>
      <c r="H2361" s="209"/>
      <c r="I2361" s="209"/>
      <c r="J2361" s="209"/>
      <c r="K2361" s="208" t="str">
        <f>IF(Errors!$I2361=0,SourceData!$B$42,VLOOKUP(Errors!$I2361,SourceData!$A$2:$B$40,2,FALSE))</f>
        <v>Please select ERROR CODE column "I"</v>
      </c>
      <c r="L2361" s="207" t="str">
        <f>IF(Errors!$I2361=0,
    'List of Error Codes'!$E$29,
    IFERROR(VLOOKUP(Errors!$I2361, 'List of Error Codes'!D2360:I2390, 6, FALSE), 'List of Error Codes'!$E$29)
)</f>
        <v>Please select ERROR CODE column "I"</v>
      </c>
      <c r="M2361" s="209"/>
      <c r="N2361" s="209"/>
      <c r="O2361" s="209"/>
      <c r="P2361" s="209"/>
      <c r="Q2361" s="209"/>
      <c r="R2361" s="217"/>
      <c r="S2361" s="217"/>
      <c r="T2361" s="217"/>
      <c r="U2361" s="199"/>
      <c r="V2361" s="200"/>
      <c r="W2361" s="200"/>
      <c r="X2361" s="200"/>
      <c r="Y2361" s="200"/>
      <c r="Z2361" s="200"/>
      <c r="AA2361" s="201"/>
      <c r="AB2361" s="200"/>
      <c r="AC2361" s="200"/>
    </row>
    <row r="2362" ht="15.75" customHeight="1">
      <c r="A2362" s="210">
        <f t="shared" si="1"/>
        <v>2360</v>
      </c>
      <c r="B2362" s="217"/>
      <c r="C2362" s="217" t="str">
        <f>IFERROR(VLOOKUP(B2362, SourceData!$U$3:$V$190, 2, FALSE), "")</f>
        <v/>
      </c>
      <c r="D2362" s="240"/>
      <c r="E2362" s="241"/>
      <c r="F2362" s="248"/>
      <c r="G2362" s="207"/>
      <c r="H2362" s="209"/>
      <c r="I2362" s="209"/>
      <c r="J2362" s="209"/>
      <c r="K2362" s="208" t="str">
        <f>IF(Errors!$I2362=0,SourceData!$B$42,VLOOKUP(Errors!$I2362,SourceData!$A$2:$B$40,2,FALSE))</f>
        <v>Please select ERROR CODE column "I"</v>
      </c>
      <c r="L2362" s="207" t="str">
        <f>IF(Errors!$I2362=0,
    'List of Error Codes'!$E$29,
    IFERROR(VLOOKUP(Errors!$I2362, 'List of Error Codes'!D2361:I2391, 6, FALSE), 'List of Error Codes'!$E$29)
)</f>
        <v>Please select ERROR CODE column "I"</v>
      </c>
      <c r="M2362" s="209"/>
      <c r="N2362" s="209"/>
      <c r="O2362" s="209"/>
      <c r="P2362" s="209"/>
      <c r="Q2362" s="209"/>
      <c r="R2362" s="217"/>
      <c r="S2362" s="217"/>
      <c r="T2362" s="217"/>
      <c r="U2362" s="199"/>
      <c r="V2362" s="200"/>
      <c r="W2362" s="200"/>
      <c r="X2362" s="200"/>
      <c r="Y2362" s="200"/>
      <c r="Z2362" s="200"/>
      <c r="AA2362" s="201"/>
      <c r="AB2362" s="200"/>
      <c r="AC2362" s="200"/>
    </row>
    <row r="2363" ht="15.75" customHeight="1">
      <c r="A2363" s="210">
        <f t="shared" si="1"/>
        <v>2361</v>
      </c>
      <c r="B2363" s="217"/>
      <c r="C2363" s="217" t="str">
        <f>IFERROR(VLOOKUP(B2363, SourceData!$U$3:$V$190, 2, FALSE), "")</f>
        <v/>
      </c>
      <c r="D2363" s="240"/>
      <c r="E2363" s="241"/>
      <c r="F2363" s="248"/>
      <c r="G2363" s="207"/>
      <c r="H2363" s="209"/>
      <c r="I2363" s="209"/>
      <c r="J2363" s="209"/>
      <c r="K2363" s="208" t="str">
        <f>IF(Errors!$I2363=0,SourceData!$B$42,VLOOKUP(Errors!$I2363,SourceData!$A$2:$B$40,2,FALSE))</f>
        <v>Please select ERROR CODE column "I"</v>
      </c>
      <c r="L2363" s="207" t="str">
        <f>IF(Errors!$I2363=0,
    'List of Error Codes'!$E$29,
    IFERROR(VLOOKUP(Errors!$I2363, 'List of Error Codes'!D2362:I2392, 6, FALSE), 'List of Error Codes'!$E$29)
)</f>
        <v>Please select ERROR CODE column "I"</v>
      </c>
      <c r="M2363" s="209"/>
      <c r="N2363" s="209"/>
      <c r="O2363" s="209"/>
      <c r="P2363" s="209"/>
      <c r="Q2363" s="209"/>
      <c r="R2363" s="217"/>
      <c r="S2363" s="217"/>
      <c r="T2363" s="217"/>
      <c r="U2363" s="199"/>
      <c r="V2363" s="200"/>
      <c r="W2363" s="200"/>
      <c r="X2363" s="200"/>
      <c r="Y2363" s="200"/>
      <c r="Z2363" s="200"/>
      <c r="AA2363" s="201"/>
      <c r="AB2363" s="200"/>
      <c r="AC2363" s="200"/>
    </row>
    <row r="2364" ht="15.75" customHeight="1">
      <c r="A2364" s="210">
        <f t="shared" si="1"/>
        <v>2362</v>
      </c>
      <c r="B2364" s="217"/>
      <c r="C2364" s="217" t="str">
        <f>IFERROR(VLOOKUP(B2364, SourceData!$U$3:$V$190, 2, FALSE), "")</f>
        <v/>
      </c>
      <c r="D2364" s="240"/>
      <c r="E2364" s="241"/>
      <c r="F2364" s="248"/>
      <c r="G2364" s="207"/>
      <c r="H2364" s="209"/>
      <c r="I2364" s="209"/>
      <c r="J2364" s="209"/>
      <c r="K2364" s="208" t="str">
        <f>IF(Errors!$I2364=0,SourceData!$B$42,VLOOKUP(Errors!$I2364,SourceData!$A$2:$B$40,2,FALSE))</f>
        <v>Please select ERROR CODE column "I"</v>
      </c>
      <c r="L2364" s="207" t="str">
        <f>IF(Errors!$I2364=0,
    'List of Error Codes'!$E$29,
    IFERROR(VLOOKUP(Errors!$I2364, 'List of Error Codes'!D2363:I2393, 6, FALSE), 'List of Error Codes'!$E$29)
)</f>
        <v>Please select ERROR CODE column "I"</v>
      </c>
      <c r="M2364" s="209"/>
      <c r="N2364" s="209"/>
      <c r="O2364" s="209"/>
      <c r="P2364" s="209"/>
      <c r="Q2364" s="209"/>
      <c r="R2364" s="217"/>
      <c r="S2364" s="217"/>
      <c r="T2364" s="217"/>
      <c r="U2364" s="199"/>
      <c r="V2364" s="200"/>
      <c r="W2364" s="200"/>
      <c r="X2364" s="200"/>
      <c r="Y2364" s="200"/>
      <c r="Z2364" s="200"/>
      <c r="AA2364" s="201"/>
      <c r="AB2364" s="200"/>
      <c r="AC2364" s="200"/>
    </row>
    <row r="2365" ht="15.75" customHeight="1">
      <c r="A2365" s="210">
        <f t="shared" si="1"/>
        <v>2363</v>
      </c>
      <c r="B2365" s="217"/>
      <c r="C2365" s="217" t="str">
        <f>IFERROR(VLOOKUP(B2365, SourceData!$U$3:$V$190, 2, FALSE), "")</f>
        <v/>
      </c>
      <c r="D2365" s="240"/>
      <c r="E2365" s="241"/>
      <c r="F2365" s="248"/>
      <c r="G2365" s="207"/>
      <c r="H2365" s="209"/>
      <c r="I2365" s="209"/>
      <c r="J2365" s="209"/>
      <c r="K2365" s="208" t="str">
        <f>IF(Errors!$I2365=0,SourceData!$B$42,VLOOKUP(Errors!$I2365,SourceData!$A$2:$B$40,2,FALSE))</f>
        <v>Please select ERROR CODE column "I"</v>
      </c>
      <c r="L2365" s="207" t="str">
        <f>IF(Errors!$I2365=0,
    'List of Error Codes'!$E$29,
    IFERROR(VLOOKUP(Errors!$I2365, 'List of Error Codes'!D2364:I2394, 6, FALSE), 'List of Error Codes'!$E$29)
)</f>
        <v>Please select ERROR CODE column "I"</v>
      </c>
      <c r="M2365" s="209"/>
      <c r="N2365" s="209"/>
      <c r="O2365" s="209"/>
      <c r="P2365" s="209"/>
      <c r="Q2365" s="209"/>
      <c r="R2365" s="217"/>
      <c r="S2365" s="217"/>
      <c r="T2365" s="217"/>
      <c r="U2365" s="199"/>
      <c r="V2365" s="200"/>
      <c r="W2365" s="200"/>
      <c r="X2365" s="200"/>
      <c r="Y2365" s="200"/>
      <c r="Z2365" s="200"/>
      <c r="AA2365" s="201"/>
      <c r="AB2365" s="200"/>
      <c r="AC2365" s="200"/>
    </row>
    <row r="2366" ht="15.75" customHeight="1">
      <c r="A2366" s="210">
        <f t="shared" si="1"/>
        <v>2364</v>
      </c>
      <c r="B2366" s="217"/>
      <c r="C2366" s="217" t="str">
        <f>IFERROR(VLOOKUP(B2366, SourceData!$U$3:$V$190, 2, FALSE), "")</f>
        <v/>
      </c>
      <c r="D2366" s="240"/>
      <c r="E2366" s="241"/>
      <c r="F2366" s="248"/>
      <c r="G2366" s="207"/>
      <c r="H2366" s="209"/>
      <c r="I2366" s="209"/>
      <c r="J2366" s="209"/>
      <c r="K2366" s="208" t="str">
        <f>IF(Errors!$I2366=0,SourceData!$B$42,VLOOKUP(Errors!$I2366,SourceData!$A$2:$B$40,2,FALSE))</f>
        <v>Please select ERROR CODE column "I"</v>
      </c>
      <c r="L2366" s="207" t="str">
        <f>IF(Errors!$I2366=0,
    'List of Error Codes'!$E$29,
    IFERROR(VLOOKUP(Errors!$I2366, 'List of Error Codes'!D2365:I2395, 6, FALSE), 'List of Error Codes'!$E$29)
)</f>
        <v>Please select ERROR CODE column "I"</v>
      </c>
      <c r="M2366" s="209"/>
      <c r="N2366" s="209"/>
      <c r="O2366" s="209"/>
      <c r="P2366" s="209"/>
      <c r="Q2366" s="209"/>
      <c r="R2366" s="217"/>
      <c r="S2366" s="217"/>
      <c r="T2366" s="217"/>
      <c r="U2366" s="199"/>
      <c r="V2366" s="200"/>
      <c r="W2366" s="200"/>
      <c r="X2366" s="200"/>
      <c r="Y2366" s="200"/>
      <c r="Z2366" s="200"/>
      <c r="AA2366" s="201"/>
      <c r="AB2366" s="200"/>
      <c r="AC2366" s="200"/>
    </row>
    <row r="2367" ht="15.75" customHeight="1">
      <c r="A2367" s="210">
        <f t="shared" si="1"/>
        <v>2365</v>
      </c>
      <c r="B2367" s="217"/>
      <c r="C2367" s="217" t="str">
        <f>IFERROR(VLOOKUP(B2367, SourceData!$U$3:$V$190, 2, FALSE), "")</f>
        <v/>
      </c>
      <c r="D2367" s="240"/>
      <c r="E2367" s="241"/>
      <c r="F2367" s="248"/>
      <c r="G2367" s="207"/>
      <c r="H2367" s="209"/>
      <c r="I2367" s="209"/>
      <c r="J2367" s="209"/>
      <c r="K2367" s="208" t="str">
        <f>IF(Errors!$I2367=0,SourceData!$B$42,VLOOKUP(Errors!$I2367,SourceData!$A$2:$B$40,2,FALSE))</f>
        <v>Please select ERROR CODE column "I"</v>
      </c>
      <c r="L2367" s="207" t="str">
        <f>IF(Errors!$I2367=0,
    'List of Error Codes'!$E$29,
    IFERROR(VLOOKUP(Errors!$I2367, 'List of Error Codes'!D2366:I2396, 6, FALSE), 'List of Error Codes'!$E$29)
)</f>
        <v>Please select ERROR CODE column "I"</v>
      </c>
      <c r="M2367" s="209"/>
      <c r="N2367" s="209"/>
      <c r="O2367" s="209"/>
      <c r="P2367" s="209"/>
      <c r="Q2367" s="209"/>
      <c r="R2367" s="217"/>
      <c r="S2367" s="217"/>
      <c r="T2367" s="217"/>
      <c r="U2367" s="199"/>
      <c r="V2367" s="200"/>
      <c r="W2367" s="200"/>
      <c r="X2367" s="200"/>
      <c r="Y2367" s="200"/>
      <c r="Z2367" s="200"/>
      <c r="AA2367" s="201"/>
      <c r="AB2367" s="200"/>
      <c r="AC2367" s="200"/>
    </row>
    <row r="2368" ht="15.75" customHeight="1">
      <c r="A2368" s="210">
        <f t="shared" si="1"/>
        <v>2366</v>
      </c>
      <c r="B2368" s="217"/>
      <c r="C2368" s="217" t="str">
        <f>IFERROR(VLOOKUP(B2368, SourceData!$U$3:$V$190, 2, FALSE), "")</f>
        <v/>
      </c>
      <c r="D2368" s="240"/>
      <c r="E2368" s="241"/>
      <c r="F2368" s="248"/>
      <c r="G2368" s="207"/>
      <c r="H2368" s="209"/>
      <c r="I2368" s="209"/>
      <c r="J2368" s="209"/>
      <c r="K2368" s="208" t="str">
        <f>IF(Errors!$I2368=0,SourceData!$B$42,VLOOKUP(Errors!$I2368,SourceData!$A$2:$B$40,2,FALSE))</f>
        <v>Please select ERROR CODE column "I"</v>
      </c>
      <c r="L2368" s="207" t="str">
        <f>IF(Errors!$I2368=0,
    'List of Error Codes'!$E$29,
    IFERROR(VLOOKUP(Errors!$I2368, 'List of Error Codes'!D2367:I2397, 6, FALSE), 'List of Error Codes'!$E$29)
)</f>
        <v>Please select ERROR CODE column "I"</v>
      </c>
      <c r="M2368" s="209"/>
      <c r="N2368" s="209"/>
      <c r="O2368" s="209"/>
      <c r="P2368" s="209"/>
      <c r="Q2368" s="209"/>
      <c r="R2368" s="217"/>
      <c r="S2368" s="217"/>
      <c r="T2368" s="217"/>
      <c r="U2368" s="199"/>
      <c r="V2368" s="200"/>
      <c r="W2368" s="200"/>
      <c r="X2368" s="200"/>
      <c r="Y2368" s="200"/>
      <c r="Z2368" s="200"/>
      <c r="AA2368" s="201"/>
      <c r="AB2368" s="200"/>
      <c r="AC2368" s="200"/>
    </row>
    <row r="2369" ht="15.75" customHeight="1">
      <c r="A2369" s="210">
        <f t="shared" si="1"/>
        <v>2367</v>
      </c>
      <c r="B2369" s="217"/>
      <c r="C2369" s="217" t="str">
        <f>IFERROR(VLOOKUP(B2369, SourceData!$U$3:$V$190, 2, FALSE), "")</f>
        <v/>
      </c>
      <c r="D2369" s="240"/>
      <c r="E2369" s="241"/>
      <c r="F2369" s="248"/>
      <c r="G2369" s="207"/>
      <c r="H2369" s="209"/>
      <c r="I2369" s="209"/>
      <c r="J2369" s="209"/>
      <c r="K2369" s="208" t="str">
        <f>IF(Errors!$I2369=0,SourceData!$B$42,VLOOKUP(Errors!$I2369,SourceData!$A$2:$B$40,2,FALSE))</f>
        <v>Please select ERROR CODE column "I"</v>
      </c>
      <c r="L2369" s="207" t="str">
        <f>IF(Errors!$I2369=0,
    'List of Error Codes'!$E$29,
    IFERROR(VLOOKUP(Errors!$I2369, 'List of Error Codes'!D2368:I2398, 6, FALSE), 'List of Error Codes'!$E$29)
)</f>
        <v>Please select ERROR CODE column "I"</v>
      </c>
      <c r="M2369" s="209"/>
      <c r="N2369" s="209"/>
      <c r="O2369" s="209"/>
      <c r="P2369" s="209"/>
      <c r="Q2369" s="209"/>
      <c r="R2369" s="217"/>
      <c r="S2369" s="217"/>
      <c r="T2369" s="217"/>
      <c r="U2369" s="199"/>
      <c r="V2369" s="200"/>
      <c r="W2369" s="200"/>
      <c r="X2369" s="200"/>
      <c r="Y2369" s="200"/>
      <c r="Z2369" s="200"/>
      <c r="AA2369" s="201"/>
      <c r="AB2369" s="200"/>
      <c r="AC2369" s="200"/>
    </row>
    <row r="2370" ht="15.75" customHeight="1">
      <c r="A2370" s="210">
        <f t="shared" si="1"/>
        <v>2368</v>
      </c>
      <c r="B2370" s="217"/>
      <c r="C2370" s="217" t="str">
        <f>IFERROR(VLOOKUP(B2370, SourceData!$U$3:$V$190, 2, FALSE), "")</f>
        <v/>
      </c>
      <c r="D2370" s="240"/>
      <c r="E2370" s="241"/>
      <c r="F2370" s="248"/>
      <c r="G2370" s="207"/>
      <c r="H2370" s="209"/>
      <c r="I2370" s="209"/>
      <c r="J2370" s="209"/>
      <c r="K2370" s="208" t="str">
        <f>IF(Errors!$I2370=0,SourceData!$B$42,VLOOKUP(Errors!$I2370,SourceData!$A$2:$B$40,2,FALSE))</f>
        <v>Please select ERROR CODE column "I"</v>
      </c>
      <c r="L2370" s="207" t="str">
        <f>IF(Errors!$I2370=0,
    'List of Error Codes'!$E$29,
    IFERROR(VLOOKUP(Errors!$I2370, 'List of Error Codes'!D2369:I2399, 6, FALSE), 'List of Error Codes'!$E$29)
)</f>
        <v>Please select ERROR CODE column "I"</v>
      </c>
      <c r="M2370" s="209"/>
      <c r="N2370" s="209"/>
      <c r="O2370" s="209"/>
      <c r="P2370" s="209"/>
      <c r="Q2370" s="209"/>
      <c r="R2370" s="217"/>
      <c r="S2370" s="217"/>
      <c r="T2370" s="217"/>
      <c r="U2370" s="199"/>
      <c r="V2370" s="200"/>
      <c r="W2370" s="200"/>
      <c r="X2370" s="200"/>
      <c r="Y2370" s="200"/>
      <c r="Z2370" s="200"/>
      <c r="AA2370" s="201"/>
      <c r="AB2370" s="200"/>
      <c r="AC2370" s="200"/>
    </row>
    <row r="2371" ht="15.75" customHeight="1">
      <c r="A2371" s="210">
        <f t="shared" si="1"/>
        <v>2369</v>
      </c>
      <c r="B2371" s="217"/>
      <c r="C2371" s="217" t="str">
        <f>IFERROR(VLOOKUP(B2371, SourceData!$U$3:$V$190, 2, FALSE), "")</f>
        <v/>
      </c>
      <c r="D2371" s="240"/>
      <c r="E2371" s="241"/>
      <c r="F2371" s="248"/>
      <c r="G2371" s="207"/>
      <c r="H2371" s="209"/>
      <c r="I2371" s="209"/>
      <c r="J2371" s="209"/>
      <c r="K2371" s="208" t="str">
        <f>IF(Errors!$I2371=0,SourceData!$B$42,VLOOKUP(Errors!$I2371,SourceData!$A$2:$B$40,2,FALSE))</f>
        <v>Please select ERROR CODE column "I"</v>
      </c>
      <c r="L2371" s="207" t="str">
        <f>IF(Errors!$I2371=0,
    'List of Error Codes'!$E$29,
    IFERROR(VLOOKUP(Errors!$I2371, 'List of Error Codes'!D2370:I2400, 6, FALSE), 'List of Error Codes'!$E$29)
)</f>
        <v>Please select ERROR CODE column "I"</v>
      </c>
      <c r="M2371" s="209"/>
      <c r="N2371" s="209"/>
      <c r="O2371" s="209"/>
      <c r="P2371" s="209"/>
      <c r="Q2371" s="209"/>
      <c r="R2371" s="217"/>
      <c r="S2371" s="217"/>
      <c r="T2371" s="217"/>
      <c r="U2371" s="199"/>
      <c r="V2371" s="200"/>
      <c r="W2371" s="200"/>
      <c r="X2371" s="200"/>
      <c r="Y2371" s="200"/>
      <c r="Z2371" s="200"/>
      <c r="AA2371" s="201"/>
      <c r="AB2371" s="200"/>
      <c r="AC2371" s="200"/>
    </row>
    <row r="2372" ht="15.75" customHeight="1">
      <c r="A2372" s="210">
        <f t="shared" si="1"/>
        <v>2370</v>
      </c>
      <c r="B2372" s="217"/>
      <c r="C2372" s="217" t="str">
        <f>IFERROR(VLOOKUP(B2372, SourceData!$U$3:$V$190, 2, FALSE), "")</f>
        <v/>
      </c>
      <c r="D2372" s="240"/>
      <c r="E2372" s="241"/>
      <c r="F2372" s="248"/>
      <c r="G2372" s="207"/>
      <c r="H2372" s="209"/>
      <c r="I2372" s="209"/>
      <c r="J2372" s="209"/>
      <c r="K2372" s="208" t="str">
        <f>IF(Errors!$I2372=0,SourceData!$B$42,VLOOKUP(Errors!$I2372,SourceData!$A$2:$B$40,2,FALSE))</f>
        <v>Please select ERROR CODE column "I"</v>
      </c>
      <c r="L2372" s="207" t="str">
        <f>IF(Errors!$I2372=0,
    'List of Error Codes'!$E$29,
    IFERROR(VLOOKUP(Errors!$I2372, 'List of Error Codes'!D2371:I2401, 6, FALSE), 'List of Error Codes'!$E$29)
)</f>
        <v>Please select ERROR CODE column "I"</v>
      </c>
      <c r="M2372" s="209"/>
      <c r="N2372" s="209"/>
      <c r="O2372" s="209"/>
      <c r="P2372" s="209"/>
      <c r="Q2372" s="209"/>
      <c r="R2372" s="217"/>
      <c r="S2372" s="217"/>
      <c r="T2372" s="217"/>
      <c r="U2372" s="199"/>
      <c r="V2372" s="200"/>
      <c r="W2372" s="200"/>
      <c r="X2372" s="200"/>
      <c r="Y2372" s="200"/>
      <c r="Z2372" s="200"/>
      <c r="AA2372" s="201"/>
      <c r="AB2372" s="200"/>
      <c r="AC2372" s="200"/>
    </row>
    <row r="2373" ht="15.75" customHeight="1">
      <c r="A2373" s="210">
        <f t="shared" si="1"/>
        <v>2371</v>
      </c>
      <c r="B2373" s="217"/>
      <c r="C2373" s="217" t="str">
        <f>IFERROR(VLOOKUP(B2373, SourceData!$U$3:$V$190, 2, FALSE), "")</f>
        <v/>
      </c>
      <c r="D2373" s="240"/>
      <c r="E2373" s="241"/>
      <c r="F2373" s="248"/>
      <c r="G2373" s="207"/>
      <c r="H2373" s="209"/>
      <c r="I2373" s="209"/>
      <c r="J2373" s="209"/>
      <c r="K2373" s="208" t="str">
        <f>IF(Errors!$I2373=0,SourceData!$B$42,VLOOKUP(Errors!$I2373,SourceData!$A$2:$B$40,2,FALSE))</f>
        <v>Please select ERROR CODE column "I"</v>
      </c>
      <c r="L2373" s="207" t="str">
        <f>IF(Errors!$I2373=0,
    'List of Error Codes'!$E$29,
    IFERROR(VLOOKUP(Errors!$I2373, 'List of Error Codes'!D2372:I2402, 6, FALSE), 'List of Error Codes'!$E$29)
)</f>
        <v>Please select ERROR CODE column "I"</v>
      </c>
      <c r="M2373" s="209"/>
      <c r="N2373" s="209"/>
      <c r="O2373" s="209"/>
      <c r="P2373" s="209"/>
      <c r="Q2373" s="209"/>
      <c r="R2373" s="217"/>
      <c r="S2373" s="217"/>
      <c r="T2373" s="217"/>
      <c r="U2373" s="199"/>
      <c r="V2373" s="200"/>
      <c r="W2373" s="200"/>
      <c r="X2373" s="200"/>
      <c r="Y2373" s="200"/>
      <c r="Z2373" s="200"/>
      <c r="AA2373" s="201"/>
      <c r="AB2373" s="200"/>
      <c r="AC2373" s="200"/>
    </row>
    <row r="2374" ht="15.75" customHeight="1">
      <c r="A2374" s="210">
        <f t="shared" si="1"/>
        <v>2372</v>
      </c>
      <c r="B2374" s="217"/>
      <c r="C2374" s="217" t="str">
        <f>IFERROR(VLOOKUP(B2374, SourceData!$U$3:$V$190, 2, FALSE), "")</f>
        <v/>
      </c>
      <c r="D2374" s="240"/>
      <c r="E2374" s="241"/>
      <c r="F2374" s="248"/>
      <c r="G2374" s="207"/>
      <c r="H2374" s="209"/>
      <c r="I2374" s="209"/>
      <c r="J2374" s="209"/>
      <c r="K2374" s="208" t="str">
        <f>IF(Errors!$I2374=0,SourceData!$B$42,VLOOKUP(Errors!$I2374,SourceData!$A$2:$B$40,2,FALSE))</f>
        <v>Please select ERROR CODE column "I"</v>
      </c>
      <c r="L2374" s="207" t="str">
        <f>IF(Errors!$I2374=0,
    'List of Error Codes'!$E$29,
    IFERROR(VLOOKUP(Errors!$I2374, 'List of Error Codes'!D2373:I2403, 6, FALSE), 'List of Error Codes'!$E$29)
)</f>
        <v>Please select ERROR CODE column "I"</v>
      </c>
      <c r="M2374" s="209"/>
      <c r="N2374" s="209"/>
      <c r="O2374" s="209"/>
      <c r="P2374" s="209"/>
      <c r="Q2374" s="209"/>
      <c r="R2374" s="217"/>
      <c r="S2374" s="217"/>
      <c r="T2374" s="217"/>
      <c r="U2374" s="199"/>
      <c r="V2374" s="200"/>
      <c r="W2374" s="200"/>
      <c r="X2374" s="200"/>
      <c r="Y2374" s="200"/>
      <c r="Z2374" s="200"/>
      <c r="AA2374" s="201"/>
      <c r="AB2374" s="200"/>
      <c r="AC2374" s="200"/>
    </row>
    <row r="2375" ht="15.75" customHeight="1">
      <c r="A2375" s="210">
        <f t="shared" si="1"/>
        <v>2373</v>
      </c>
      <c r="B2375" s="217"/>
      <c r="C2375" s="217" t="str">
        <f>IFERROR(VLOOKUP(B2375, SourceData!$U$3:$V$190, 2, FALSE), "")</f>
        <v/>
      </c>
      <c r="D2375" s="240"/>
      <c r="E2375" s="241"/>
      <c r="F2375" s="248"/>
      <c r="G2375" s="207"/>
      <c r="H2375" s="209"/>
      <c r="I2375" s="209"/>
      <c r="J2375" s="209"/>
      <c r="K2375" s="208" t="str">
        <f>IF(Errors!$I2375=0,SourceData!$B$42,VLOOKUP(Errors!$I2375,SourceData!$A$2:$B$40,2,FALSE))</f>
        <v>Please select ERROR CODE column "I"</v>
      </c>
      <c r="L2375" s="207" t="str">
        <f>IF(Errors!$I2375=0,
    'List of Error Codes'!$E$29,
    IFERROR(VLOOKUP(Errors!$I2375, 'List of Error Codes'!D2374:I2404, 6, FALSE), 'List of Error Codes'!$E$29)
)</f>
        <v>Please select ERROR CODE column "I"</v>
      </c>
      <c r="M2375" s="209"/>
      <c r="N2375" s="209"/>
      <c r="O2375" s="209"/>
      <c r="P2375" s="209"/>
      <c r="Q2375" s="209"/>
      <c r="R2375" s="217"/>
      <c r="S2375" s="217"/>
      <c r="T2375" s="217"/>
      <c r="U2375" s="199"/>
      <c r="V2375" s="200"/>
      <c r="W2375" s="200"/>
      <c r="X2375" s="200"/>
      <c r="Y2375" s="200"/>
      <c r="Z2375" s="200"/>
      <c r="AA2375" s="201"/>
      <c r="AB2375" s="200"/>
      <c r="AC2375" s="200"/>
    </row>
    <row r="2376" ht="15.75" customHeight="1">
      <c r="A2376" s="210">
        <f t="shared" si="1"/>
        <v>2374</v>
      </c>
      <c r="B2376" s="217"/>
      <c r="C2376" s="217" t="str">
        <f>IFERROR(VLOOKUP(B2376, SourceData!$U$3:$V$190, 2, FALSE), "")</f>
        <v/>
      </c>
      <c r="D2376" s="240"/>
      <c r="E2376" s="241"/>
      <c r="F2376" s="248"/>
      <c r="G2376" s="207"/>
      <c r="H2376" s="209"/>
      <c r="I2376" s="209"/>
      <c r="J2376" s="209"/>
      <c r="K2376" s="208" t="str">
        <f>IF(Errors!$I2376=0,SourceData!$B$42,VLOOKUP(Errors!$I2376,SourceData!$A$2:$B$40,2,FALSE))</f>
        <v>Please select ERROR CODE column "I"</v>
      </c>
      <c r="L2376" s="207" t="str">
        <f>IF(Errors!$I2376=0,
    'List of Error Codes'!$E$29,
    IFERROR(VLOOKUP(Errors!$I2376, 'List of Error Codes'!D2375:I2405, 6, FALSE), 'List of Error Codes'!$E$29)
)</f>
        <v>Please select ERROR CODE column "I"</v>
      </c>
      <c r="M2376" s="209"/>
      <c r="N2376" s="209"/>
      <c r="O2376" s="209"/>
      <c r="P2376" s="209"/>
      <c r="Q2376" s="209"/>
      <c r="R2376" s="217"/>
      <c r="S2376" s="217"/>
      <c r="T2376" s="217"/>
      <c r="U2376" s="199"/>
      <c r="V2376" s="200"/>
      <c r="W2376" s="200"/>
      <c r="X2376" s="200"/>
      <c r="Y2376" s="200"/>
      <c r="Z2376" s="200"/>
      <c r="AA2376" s="201"/>
      <c r="AB2376" s="200"/>
      <c r="AC2376" s="200"/>
    </row>
    <row r="2377" ht="15.75" customHeight="1">
      <c r="A2377" s="210">
        <f t="shared" si="1"/>
        <v>2375</v>
      </c>
      <c r="B2377" s="217"/>
      <c r="C2377" s="217" t="str">
        <f>IFERROR(VLOOKUP(B2377, SourceData!$U$3:$V$190, 2, FALSE), "")</f>
        <v/>
      </c>
      <c r="D2377" s="240"/>
      <c r="E2377" s="241"/>
      <c r="F2377" s="248"/>
      <c r="G2377" s="207"/>
      <c r="H2377" s="209"/>
      <c r="I2377" s="209"/>
      <c r="J2377" s="209"/>
      <c r="K2377" s="208" t="str">
        <f>IF(Errors!$I2377=0,SourceData!$B$42,VLOOKUP(Errors!$I2377,SourceData!$A$2:$B$40,2,FALSE))</f>
        <v>Please select ERROR CODE column "I"</v>
      </c>
      <c r="L2377" s="207" t="str">
        <f>IF(Errors!$I2377=0,
    'List of Error Codes'!$E$29,
    IFERROR(VLOOKUP(Errors!$I2377, 'List of Error Codes'!D2376:I2406, 6, FALSE), 'List of Error Codes'!$E$29)
)</f>
        <v>Please select ERROR CODE column "I"</v>
      </c>
      <c r="M2377" s="209"/>
      <c r="N2377" s="209"/>
      <c r="O2377" s="209"/>
      <c r="P2377" s="209"/>
      <c r="Q2377" s="209"/>
      <c r="R2377" s="217"/>
      <c r="S2377" s="217"/>
      <c r="T2377" s="217"/>
      <c r="U2377" s="199"/>
      <c r="V2377" s="200"/>
      <c r="W2377" s="200"/>
      <c r="X2377" s="200"/>
      <c r="Y2377" s="200"/>
      <c r="Z2377" s="200"/>
      <c r="AA2377" s="201"/>
      <c r="AB2377" s="200"/>
      <c r="AC2377" s="200"/>
    </row>
    <row r="2378" ht="15.75" customHeight="1">
      <c r="A2378" s="210">
        <f t="shared" si="1"/>
        <v>2376</v>
      </c>
      <c r="B2378" s="217"/>
      <c r="C2378" s="217" t="str">
        <f>IFERROR(VLOOKUP(B2378, SourceData!$U$3:$V$190, 2, FALSE), "")</f>
        <v/>
      </c>
      <c r="D2378" s="240"/>
      <c r="E2378" s="241"/>
      <c r="F2378" s="248"/>
      <c r="G2378" s="207"/>
      <c r="H2378" s="209"/>
      <c r="I2378" s="209"/>
      <c r="J2378" s="209"/>
      <c r="K2378" s="208" t="str">
        <f>IF(Errors!$I2378=0,SourceData!$B$42,VLOOKUP(Errors!$I2378,SourceData!$A$2:$B$40,2,FALSE))</f>
        <v>Please select ERROR CODE column "I"</v>
      </c>
      <c r="L2378" s="207" t="str">
        <f>IF(Errors!$I2378=0,
    'List of Error Codes'!$E$29,
    IFERROR(VLOOKUP(Errors!$I2378, 'List of Error Codes'!D2377:I2407, 6, FALSE), 'List of Error Codes'!$E$29)
)</f>
        <v>Please select ERROR CODE column "I"</v>
      </c>
      <c r="M2378" s="209"/>
      <c r="N2378" s="209"/>
      <c r="O2378" s="209"/>
      <c r="P2378" s="209"/>
      <c r="Q2378" s="209"/>
      <c r="R2378" s="217"/>
      <c r="S2378" s="217"/>
      <c r="T2378" s="217"/>
      <c r="U2378" s="199"/>
      <c r="V2378" s="200"/>
      <c r="W2378" s="200"/>
      <c r="X2378" s="200"/>
      <c r="Y2378" s="200"/>
      <c r="Z2378" s="200"/>
      <c r="AA2378" s="201"/>
      <c r="AB2378" s="200"/>
      <c r="AC2378" s="200"/>
    </row>
    <row r="2379" ht="15.75" customHeight="1">
      <c r="A2379" s="210">
        <f t="shared" si="1"/>
        <v>2377</v>
      </c>
      <c r="B2379" s="217"/>
      <c r="C2379" s="217" t="str">
        <f>IFERROR(VLOOKUP(B2379, SourceData!$U$3:$V$190, 2, FALSE), "")</f>
        <v/>
      </c>
      <c r="D2379" s="240"/>
      <c r="E2379" s="241"/>
      <c r="F2379" s="248"/>
      <c r="G2379" s="207"/>
      <c r="H2379" s="209"/>
      <c r="I2379" s="209"/>
      <c r="J2379" s="209"/>
      <c r="K2379" s="208" t="str">
        <f>IF(Errors!$I2379=0,SourceData!$B$42,VLOOKUP(Errors!$I2379,SourceData!$A$2:$B$40,2,FALSE))</f>
        <v>Please select ERROR CODE column "I"</v>
      </c>
      <c r="L2379" s="207" t="str">
        <f>IF(Errors!$I2379=0,
    'List of Error Codes'!$E$29,
    IFERROR(VLOOKUP(Errors!$I2379, 'List of Error Codes'!D2378:I2408, 6, FALSE), 'List of Error Codes'!$E$29)
)</f>
        <v>Please select ERROR CODE column "I"</v>
      </c>
      <c r="M2379" s="209"/>
      <c r="N2379" s="209"/>
      <c r="O2379" s="209"/>
      <c r="P2379" s="209"/>
      <c r="Q2379" s="209"/>
      <c r="R2379" s="217"/>
      <c r="S2379" s="217"/>
      <c r="T2379" s="217"/>
      <c r="U2379" s="199"/>
      <c r="V2379" s="200"/>
      <c r="W2379" s="200"/>
      <c r="X2379" s="200"/>
      <c r="Y2379" s="200"/>
      <c r="Z2379" s="200"/>
      <c r="AA2379" s="201"/>
      <c r="AB2379" s="200"/>
      <c r="AC2379" s="200"/>
    </row>
    <row r="2380" ht="15.75" customHeight="1">
      <c r="A2380" s="210">
        <f t="shared" si="1"/>
        <v>2378</v>
      </c>
      <c r="B2380" s="217"/>
      <c r="C2380" s="217" t="str">
        <f>IFERROR(VLOOKUP(B2380, SourceData!$U$3:$V$190, 2, FALSE), "")</f>
        <v/>
      </c>
      <c r="D2380" s="240"/>
      <c r="E2380" s="241"/>
      <c r="F2380" s="248"/>
      <c r="G2380" s="207"/>
      <c r="H2380" s="209"/>
      <c r="I2380" s="209"/>
      <c r="J2380" s="209"/>
      <c r="K2380" s="208" t="str">
        <f>IF(Errors!$I2380=0,SourceData!$B$42,VLOOKUP(Errors!$I2380,SourceData!$A$2:$B$40,2,FALSE))</f>
        <v>Please select ERROR CODE column "I"</v>
      </c>
      <c r="L2380" s="207" t="str">
        <f>IF(Errors!$I2380=0,
    'List of Error Codes'!$E$29,
    IFERROR(VLOOKUP(Errors!$I2380, 'List of Error Codes'!D2379:I2409, 6, FALSE), 'List of Error Codes'!$E$29)
)</f>
        <v>Please select ERROR CODE column "I"</v>
      </c>
      <c r="M2380" s="209"/>
      <c r="N2380" s="209"/>
      <c r="O2380" s="209"/>
      <c r="P2380" s="209"/>
      <c r="Q2380" s="209"/>
      <c r="R2380" s="217"/>
      <c r="S2380" s="217"/>
      <c r="T2380" s="217"/>
      <c r="U2380" s="199"/>
      <c r="V2380" s="200"/>
      <c r="W2380" s="200"/>
      <c r="X2380" s="200"/>
      <c r="Y2380" s="200"/>
      <c r="Z2380" s="200"/>
      <c r="AA2380" s="201"/>
      <c r="AB2380" s="200"/>
      <c r="AC2380" s="200"/>
    </row>
    <row r="2381" ht="15.75" customHeight="1">
      <c r="A2381" s="210">
        <f t="shared" si="1"/>
        <v>2379</v>
      </c>
      <c r="B2381" s="217"/>
      <c r="C2381" s="217" t="str">
        <f>IFERROR(VLOOKUP(B2381, SourceData!$U$3:$V$190, 2, FALSE), "")</f>
        <v/>
      </c>
      <c r="D2381" s="240"/>
      <c r="E2381" s="241"/>
      <c r="F2381" s="248"/>
      <c r="G2381" s="207"/>
      <c r="H2381" s="209"/>
      <c r="I2381" s="209"/>
      <c r="J2381" s="209"/>
      <c r="K2381" s="208" t="str">
        <f>IF(Errors!$I2381=0,SourceData!$B$42,VLOOKUP(Errors!$I2381,SourceData!$A$2:$B$40,2,FALSE))</f>
        <v>Please select ERROR CODE column "I"</v>
      </c>
      <c r="L2381" s="207" t="str">
        <f>IF(Errors!$I2381=0,
    'List of Error Codes'!$E$29,
    IFERROR(VLOOKUP(Errors!$I2381, 'List of Error Codes'!D2380:I2410, 6, FALSE), 'List of Error Codes'!$E$29)
)</f>
        <v>Please select ERROR CODE column "I"</v>
      </c>
      <c r="M2381" s="209"/>
      <c r="N2381" s="209"/>
      <c r="O2381" s="209"/>
      <c r="P2381" s="209"/>
      <c r="Q2381" s="209"/>
      <c r="R2381" s="217"/>
      <c r="S2381" s="217"/>
      <c r="T2381" s="217"/>
      <c r="U2381" s="199"/>
      <c r="V2381" s="200"/>
      <c r="W2381" s="200"/>
      <c r="X2381" s="200"/>
      <c r="Y2381" s="200"/>
      <c r="Z2381" s="200"/>
      <c r="AA2381" s="201"/>
      <c r="AB2381" s="200"/>
      <c r="AC2381" s="200"/>
    </row>
    <row r="2382" ht="15.75" customHeight="1">
      <c r="A2382" s="210">
        <f t="shared" si="1"/>
        <v>2380</v>
      </c>
      <c r="B2382" s="217"/>
      <c r="C2382" s="217" t="str">
        <f>IFERROR(VLOOKUP(B2382, SourceData!$U$3:$V$190, 2, FALSE), "")</f>
        <v/>
      </c>
      <c r="D2382" s="240"/>
      <c r="E2382" s="241"/>
      <c r="F2382" s="248"/>
      <c r="G2382" s="207"/>
      <c r="H2382" s="209"/>
      <c r="I2382" s="209"/>
      <c r="J2382" s="209"/>
      <c r="K2382" s="208" t="str">
        <f>IF(Errors!$I2382=0,SourceData!$B$42,VLOOKUP(Errors!$I2382,SourceData!$A$2:$B$40,2,FALSE))</f>
        <v>Please select ERROR CODE column "I"</v>
      </c>
      <c r="L2382" s="207" t="str">
        <f>IF(Errors!$I2382=0,
    'List of Error Codes'!$E$29,
    IFERROR(VLOOKUP(Errors!$I2382, 'List of Error Codes'!D2381:I2411, 6, FALSE), 'List of Error Codes'!$E$29)
)</f>
        <v>Please select ERROR CODE column "I"</v>
      </c>
      <c r="M2382" s="209"/>
      <c r="N2382" s="209"/>
      <c r="O2382" s="209"/>
      <c r="P2382" s="209"/>
      <c r="Q2382" s="209"/>
      <c r="R2382" s="217"/>
      <c r="S2382" s="217"/>
      <c r="T2382" s="217"/>
      <c r="U2382" s="199"/>
      <c r="V2382" s="200"/>
      <c r="W2382" s="200"/>
      <c r="X2382" s="200"/>
      <c r="Y2382" s="200"/>
      <c r="Z2382" s="200"/>
      <c r="AA2382" s="201"/>
      <c r="AB2382" s="200"/>
      <c r="AC2382" s="200"/>
    </row>
    <row r="2383" ht="15.75" customHeight="1">
      <c r="A2383" s="210">
        <f t="shared" si="1"/>
        <v>2381</v>
      </c>
      <c r="B2383" s="217"/>
      <c r="C2383" s="217" t="str">
        <f>IFERROR(VLOOKUP(B2383, SourceData!$U$3:$V$190, 2, FALSE), "")</f>
        <v/>
      </c>
      <c r="D2383" s="240"/>
      <c r="E2383" s="241"/>
      <c r="F2383" s="248"/>
      <c r="G2383" s="207"/>
      <c r="H2383" s="209"/>
      <c r="I2383" s="209"/>
      <c r="J2383" s="209"/>
      <c r="K2383" s="208" t="str">
        <f>IF(Errors!$I2383=0,SourceData!$B$42,VLOOKUP(Errors!$I2383,SourceData!$A$2:$B$40,2,FALSE))</f>
        <v>Please select ERROR CODE column "I"</v>
      </c>
      <c r="L2383" s="207" t="str">
        <f>IF(Errors!$I2383=0,
    'List of Error Codes'!$E$29,
    IFERROR(VLOOKUP(Errors!$I2383, 'List of Error Codes'!D2382:I2412, 6, FALSE), 'List of Error Codes'!$E$29)
)</f>
        <v>Please select ERROR CODE column "I"</v>
      </c>
      <c r="M2383" s="209"/>
      <c r="N2383" s="209"/>
      <c r="O2383" s="209"/>
      <c r="P2383" s="209"/>
      <c r="Q2383" s="209"/>
      <c r="R2383" s="217"/>
      <c r="S2383" s="217"/>
      <c r="T2383" s="217"/>
      <c r="U2383" s="199"/>
      <c r="V2383" s="200"/>
      <c r="W2383" s="200"/>
      <c r="X2383" s="200"/>
      <c r="Y2383" s="200"/>
      <c r="Z2383" s="200"/>
      <c r="AA2383" s="201"/>
      <c r="AB2383" s="200"/>
      <c r="AC2383" s="200"/>
    </row>
    <row r="2384" ht="15.75" customHeight="1">
      <c r="A2384" s="210">
        <f t="shared" si="1"/>
        <v>2382</v>
      </c>
      <c r="B2384" s="217"/>
      <c r="C2384" s="217" t="str">
        <f>IFERROR(VLOOKUP(B2384, SourceData!$U$3:$V$190, 2, FALSE), "")</f>
        <v/>
      </c>
      <c r="D2384" s="240"/>
      <c r="E2384" s="241"/>
      <c r="F2384" s="248"/>
      <c r="G2384" s="207"/>
      <c r="H2384" s="209"/>
      <c r="I2384" s="209"/>
      <c r="J2384" s="209"/>
      <c r="K2384" s="208" t="str">
        <f>IF(Errors!$I2384=0,SourceData!$B$42,VLOOKUP(Errors!$I2384,SourceData!$A$2:$B$40,2,FALSE))</f>
        <v>Please select ERROR CODE column "I"</v>
      </c>
      <c r="L2384" s="207" t="str">
        <f>IF(Errors!$I2384=0,
    'List of Error Codes'!$E$29,
    IFERROR(VLOOKUP(Errors!$I2384, 'List of Error Codes'!D2383:I2413, 6, FALSE), 'List of Error Codes'!$E$29)
)</f>
        <v>Please select ERROR CODE column "I"</v>
      </c>
      <c r="M2384" s="209"/>
      <c r="N2384" s="209"/>
      <c r="O2384" s="209"/>
      <c r="P2384" s="209"/>
      <c r="Q2384" s="209"/>
      <c r="R2384" s="217"/>
      <c r="S2384" s="217"/>
      <c r="T2384" s="217"/>
      <c r="U2384" s="199"/>
      <c r="V2384" s="200"/>
      <c r="W2384" s="200"/>
      <c r="X2384" s="200"/>
      <c r="Y2384" s="200"/>
      <c r="Z2384" s="200"/>
      <c r="AA2384" s="201"/>
      <c r="AB2384" s="200"/>
      <c r="AC2384" s="200"/>
    </row>
    <row r="2385" ht="15.75" customHeight="1">
      <c r="A2385" s="210">
        <f t="shared" si="1"/>
        <v>2383</v>
      </c>
      <c r="B2385" s="217"/>
      <c r="C2385" s="217" t="str">
        <f>IFERROR(VLOOKUP(B2385, SourceData!$U$3:$V$190, 2, FALSE), "")</f>
        <v/>
      </c>
      <c r="D2385" s="240"/>
      <c r="E2385" s="241"/>
      <c r="F2385" s="248"/>
      <c r="G2385" s="207"/>
      <c r="H2385" s="209"/>
      <c r="I2385" s="209"/>
      <c r="J2385" s="209"/>
      <c r="K2385" s="208" t="str">
        <f>IF(Errors!$I2385=0,SourceData!$B$42,VLOOKUP(Errors!$I2385,SourceData!$A$2:$B$40,2,FALSE))</f>
        <v>Please select ERROR CODE column "I"</v>
      </c>
      <c r="L2385" s="207" t="str">
        <f>IF(Errors!$I2385=0,
    'List of Error Codes'!$E$29,
    IFERROR(VLOOKUP(Errors!$I2385, 'List of Error Codes'!D2384:I2414, 6, FALSE), 'List of Error Codes'!$E$29)
)</f>
        <v>Please select ERROR CODE column "I"</v>
      </c>
      <c r="M2385" s="209"/>
      <c r="N2385" s="209"/>
      <c r="O2385" s="209"/>
      <c r="P2385" s="209"/>
      <c r="Q2385" s="209"/>
      <c r="R2385" s="217"/>
      <c r="S2385" s="217"/>
      <c r="T2385" s="217"/>
      <c r="U2385" s="199"/>
      <c r="V2385" s="200"/>
      <c r="W2385" s="200"/>
      <c r="X2385" s="200"/>
      <c r="Y2385" s="200"/>
      <c r="Z2385" s="200"/>
      <c r="AA2385" s="201"/>
      <c r="AB2385" s="200"/>
      <c r="AC2385" s="200"/>
    </row>
    <row r="2386" ht="15.75" customHeight="1">
      <c r="A2386" s="210">
        <f t="shared" si="1"/>
        <v>2384</v>
      </c>
      <c r="B2386" s="217"/>
      <c r="C2386" s="217" t="str">
        <f>IFERROR(VLOOKUP(B2386, SourceData!$U$3:$V$190, 2, FALSE), "")</f>
        <v/>
      </c>
      <c r="D2386" s="240"/>
      <c r="E2386" s="241"/>
      <c r="F2386" s="248"/>
      <c r="G2386" s="207"/>
      <c r="H2386" s="209"/>
      <c r="I2386" s="209"/>
      <c r="J2386" s="209"/>
      <c r="K2386" s="208" t="str">
        <f>IF(Errors!$I2386=0,SourceData!$B$42,VLOOKUP(Errors!$I2386,SourceData!$A$2:$B$40,2,FALSE))</f>
        <v>Please select ERROR CODE column "I"</v>
      </c>
      <c r="L2386" s="207" t="str">
        <f>IF(Errors!$I2386=0,
    'List of Error Codes'!$E$29,
    IFERROR(VLOOKUP(Errors!$I2386, 'List of Error Codes'!D2385:I2415, 6, FALSE), 'List of Error Codes'!$E$29)
)</f>
        <v>Please select ERROR CODE column "I"</v>
      </c>
      <c r="M2386" s="209"/>
      <c r="N2386" s="209"/>
      <c r="O2386" s="209"/>
      <c r="P2386" s="209"/>
      <c r="Q2386" s="209"/>
      <c r="R2386" s="217"/>
      <c r="S2386" s="217"/>
      <c r="T2386" s="217"/>
      <c r="U2386" s="199"/>
      <c r="V2386" s="200"/>
      <c r="W2386" s="200"/>
      <c r="X2386" s="200"/>
      <c r="Y2386" s="200"/>
      <c r="Z2386" s="200"/>
      <c r="AA2386" s="201"/>
      <c r="AB2386" s="200"/>
      <c r="AC2386" s="200"/>
    </row>
    <row r="2387" ht="15.75" customHeight="1">
      <c r="A2387" s="210">
        <f t="shared" si="1"/>
        <v>2385</v>
      </c>
      <c r="B2387" s="217"/>
      <c r="C2387" s="217" t="str">
        <f>IFERROR(VLOOKUP(B2387, SourceData!$U$3:$V$190, 2, FALSE), "")</f>
        <v/>
      </c>
      <c r="D2387" s="240"/>
      <c r="E2387" s="241"/>
      <c r="F2387" s="248"/>
      <c r="G2387" s="207"/>
      <c r="H2387" s="209"/>
      <c r="I2387" s="209"/>
      <c r="J2387" s="209"/>
      <c r="K2387" s="208" t="str">
        <f>IF(Errors!$I2387=0,SourceData!$B$42,VLOOKUP(Errors!$I2387,SourceData!$A$2:$B$40,2,FALSE))</f>
        <v>Please select ERROR CODE column "I"</v>
      </c>
      <c r="L2387" s="207" t="str">
        <f>IF(Errors!$I2387=0,
    'List of Error Codes'!$E$29,
    IFERROR(VLOOKUP(Errors!$I2387, 'List of Error Codes'!D2386:I2416, 6, FALSE), 'List of Error Codes'!$E$29)
)</f>
        <v>Please select ERROR CODE column "I"</v>
      </c>
      <c r="M2387" s="209"/>
      <c r="N2387" s="209"/>
      <c r="O2387" s="209"/>
      <c r="P2387" s="209"/>
      <c r="Q2387" s="209"/>
      <c r="R2387" s="217"/>
      <c r="S2387" s="217"/>
      <c r="T2387" s="217"/>
      <c r="U2387" s="199"/>
      <c r="V2387" s="200"/>
      <c r="W2387" s="200"/>
      <c r="X2387" s="200"/>
      <c r="Y2387" s="200"/>
      <c r="Z2387" s="200"/>
      <c r="AA2387" s="201"/>
      <c r="AB2387" s="200"/>
      <c r="AC2387" s="200"/>
    </row>
    <row r="2388" ht="15.75" customHeight="1">
      <c r="A2388" s="210">
        <f t="shared" si="1"/>
        <v>2386</v>
      </c>
      <c r="B2388" s="217"/>
      <c r="C2388" s="217" t="str">
        <f>IFERROR(VLOOKUP(B2388, SourceData!$U$3:$V$190, 2, FALSE), "")</f>
        <v/>
      </c>
      <c r="D2388" s="240"/>
      <c r="E2388" s="241"/>
      <c r="F2388" s="248"/>
      <c r="G2388" s="207"/>
      <c r="H2388" s="209"/>
      <c r="I2388" s="209"/>
      <c r="J2388" s="209"/>
      <c r="K2388" s="208" t="str">
        <f>IF(Errors!$I2388=0,SourceData!$B$42,VLOOKUP(Errors!$I2388,SourceData!$A$2:$B$40,2,FALSE))</f>
        <v>Please select ERROR CODE column "I"</v>
      </c>
      <c r="L2388" s="207" t="str">
        <f>IF(Errors!$I2388=0,
    'List of Error Codes'!$E$29,
    IFERROR(VLOOKUP(Errors!$I2388, 'List of Error Codes'!D2387:I2417, 6, FALSE), 'List of Error Codes'!$E$29)
)</f>
        <v>Please select ERROR CODE column "I"</v>
      </c>
      <c r="M2388" s="209"/>
      <c r="N2388" s="209"/>
      <c r="O2388" s="209"/>
      <c r="P2388" s="209"/>
      <c r="Q2388" s="209"/>
      <c r="R2388" s="217"/>
      <c r="S2388" s="217"/>
      <c r="T2388" s="217"/>
      <c r="U2388" s="199"/>
      <c r="V2388" s="200"/>
      <c r="W2388" s="200"/>
      <c r="X2388" s="200"/>
      <c r="Y2388" s="200"/>
      <c r="Z2388" s="200"/>
      <c r="AA2388" s="201"/>
      <c r="AB2388" s="200"/>
      <c r="AC2388" s="200"/>
    </row>
    <row r="2389" ht="15.75" customHeight="1">
      <c r="A2389" s="210">
        <f t="shared" si="1"/>
        <v>2387</v>
      </c>
      <c r="B2389" s="217"/>
      <c r="C2389" s="217" t="str">
        <f>IFERROR(VLOOKUP(B2389, SourceData!$U$3:$V$190, 2, FALSE), "")</f>
        <v/>
      </c>
      <c r="D2389" s="240"/>
      <c r="E2389" s="241"/>
      <c r="F2389" s="248"/>
      <c r="G2389" s="207"/>
      <c r="H2389" s="209"/>
      <c r="I2389" s="209"/>
      <c r="J2389" s="209"/>
      <c r="K2389" s="208" t="str">
        <f>IF(Errors!$I2389=0,SourceData!$B$42,VLOOKUP(Errors!$I2389,SourceData!$A$2:$B$40,2,FALSE))</f>
        <v>Please select ERROR CODE column "I"</v>
      </c>
      <c r="L2389" s="207" t="str">
        <f>IF(Errors!$I2389=0,
    'List of Error Codes'!$E$29,
    IFERROR(VLOOKUP(Errors!$I2389, 'List of Error Codes'!D2388:I2418, 6, FALSE), 'List of Error Codes'!$E$29)
)</f>
        <v>Please select ERROR CODE column "I"</v>
      </c>
      <c r="M2389" s="209"/>
      <c r="N2389" s="209"/>
      <c r="O2389" s="209"/>
      <c r="P2389" s="209"/>
      <c r="Q2389" s="209"/>
      <c r="R2389" s="217"/>
      <c r="S2389" s="217"/>
      <c r="T2389" s="217"/>
      <c r="U2389" s="199"/>
      <c r="V2389" s="200"/>
      <c r="W2389" s="200"/>
      <c r="X2389" s="200"/>
      <c r="Y2389" s="200"/>
      <c r="Z2389" s="200"/>
      <c r="AA2389" s="201"/>
      <c r="AB2389" s="200"/>
      <c r="AC2389" s="200"/>
    </row>
    <row r="2390" ht="15.75" customHeight="1">
      <c r="A2390" s="210">
        <f t="shared" si="1"/>
        <v>2388</v>
      </c>
      <c r="B2390" s="217"/>
      <c r="C2390" s="217" t="str">
        <f>IFERROR(VLOOKUP(B2390, SourceData!$U$3:$V$190, 2, FALSE), "")</f>
        <v/>
      </c>
      <c r="D2390" s="240"/>
      <c r="E2390" s="241"/>
      <c r="F2390" s="248"/>
      <c r="G2390" s="207"/>
      <c r="H2390" s="209"/>
      <c r="I2390" s="209"/>
      <c r="J2390" s="209"/>
      <c r="K2390" s="208" t="str">
        <f>IF(Errors!$I2390=0,SourceData!$B$42,VLOOKUP(Errors!$I2390,SourceData!$A$2:$B$40,2,FALSE))</f>
        <v>Please select ERROR CODE column "I"</v>
      </c>
      <c r="L2390" s="207" t="str">
        <f>IF(Errors!$I2390=0,
    'List of Error Codes'!$E$29,
    IFERROR(VLOOKUP(Errors!$I2390, 'List of Error Codes'!D2389:I2419, 6, FALSE), 'List of Error Codes'!$E$29)
)</f>
        <v>Please select ERROR CODE column "I"</v>
      </c>
      <c r="M2390" s="209"/>
      <c r="N2390" s="209"/>
      <c r="O2390" s="209"/>
      <c r="P2390" s="209"/>
      <c r="Q2390" s="209"/>
      <c r="R2390" s="217"/>
      <c r="S2390" s="217"/>
      <c r="T2390" s="217"/>
      <c r="U2390" s="199"/>
      <c r="V2390" s="200"/>
      <c r="W2390" s="200"/>
      <c r="X2390" s="200"/>
      <c r="Y2390" s="200"/>
      <c r="Z2390" s="200"/>
      <c r="AA2390" s="201"/>
      <c r="AB2390" s="200"/>
      <c r="AC2390" s="200"/>
    </row>
    <row r="2391" ht="15.75" customHeight="1">
      <c r="A2391" s="210">
        <f t="shared" si="1"/>
        <v>2389</v>
      </c>
      <c r="B2391" s="217"/>
      <c r="C2391" s="217" t="str">
        <f>IFERROR(VLOOKUP(B2391, SourceData!$U$3:$V$190, 2, FALSE), "")</f>
        <v/>
      </c>
      <c r="D2391" s="240"/>
      <c r="E2391" s="241"/>
      <c r="F2391" s="248"/>
      <c r="G2391" s="207"/>
      <c r="H2391" s="209"/>
      <c r="I2391" s="209"/>
      <c r="J2391" s="209"/>
      <c r="K2391" s="208" t="str">
        <f>IF(Errors!$I2391=0,SourceData!$B$42,VLOOKUP(Errors!$I2391,SourceData!$A$2:$B$40,2,FALSE))</f>
        <v>Please select ERROR CODE column "I"</v>
      </c>
      <c r="L2391" s="207" t="str">
        <f>IF(Errors!$I2391=0,
    'List of Error Codes'!$E$29,
    IFERROR(VLOOKUP(Errors!$I2391, 'List of Error Codes'!D2390:I2420, 6, FALSE), 'List of Error Codes'!$E$29)
)</f>
        <v>Please select ERROR CODE column "I"</v>
      </c>
      <c r="M2391" s="209"/>
      <c r="N2391" s="209"/>
      <c r="O2391" s="209"/>
      <c r="P2391" s="209"/>
      <c r="Q2391" s="209"/>
      <c r="R2391" s="217"/>
      <c r="S2391" s="217"/>
      <c r="T2391" s="217"/>
      <c r="U2391" s="199"/>
      <c r="V2391" s="200"/>
      <c r="W2391" s="200"/>
      <c r="X2391" s="200"/>
      <c r="Y2391" s="200"/>
      <c r="Z2391" s="200"/>
      <c r="AA2391" s="201"/>
      <c r="AB2391" s="200"/>
      <c r="AC2391" s="200"/>
    </row>
    <row r="2392" ht="15.75" customHeight="1">
      <c r="A2392" s="210">
        <f t="shared" si="1"/>
        <v>2390</v>
      </c>
      <c r="B2392" s="217"/>
      <c r="C2392" s="217" t="str">
        <f>IFERROR(VLOOKUP(B2392, SourceData!$U$3:$V$190, 2, FALSE), "")</f>
        <v/>
      </c>
      <c r="D2392" s="240"/>
      <c r="E2392" s="241"/>
      <c r="F2392" s="248"/>
      <c r="G2392" s="207"/>
      <c r="H2392" s="209"/>
      <c r="I2392" s="209"/>
      <c r="J2392" s="209"/>
      <c r="K2392" s="208" t="str">
        <f>IF(Errors!$I2392=0,SourceData!$B$42,VLOOKUP(Errors!$I2392,SourceData!$A$2:$B$40,2,FALSE))</f>
        <v>Please select ERROR CODE column "I"</v>
      </c>
      <c r="L2392" s="207" t="str">
        <f>IF(Errors!$I2392=0,
    'List of Error Codes'!$E$29,
    IFERROR(VLOOKUP(Errors!$I2392, 'List of Error Codes'!D2391:I2421, 6, FALSE), 'List of Error Codes'!$E$29)
)</f>
        <v>Please select ERROR CODE column "I"</v>
      </c>
      <c r="M2392" s="209"/>
      <c r="N2392" s="209"/>
      <c r="O2392" s="209"/>
      <c r="P2392" s="209"/>
      <c r="Q2392" s="209"/>
      <c r="R2392" s="217"/>
      <c r="S2392" s="217"/>
      <c r="T2392" s="217"/>
      <c r="U2392" s="199"/>
      <c r="V2392" s="200"/>
      <c r="W2392" s="200"/>
      <c r="X2392" s="200"/>
      <c r="Y2392" s="200"/>
      <c r="Z2392" s="200"/>
      <c r="AA2392" s="201"/>
      <c r="AB2392" s="200"/>
      <c r="AC2392" s="200"/>
    </row>
    <row r="2393" ht="15.75" customHeight="1">
      <c r="A2393" s="210">
        <f t="shared" si="1"/>
        <v>2391</v>
      </c>
      <c r="B2393" s="217"/>
      <c r="C2393" s="217" t="str">
        <f>IFERROR(VLOOKUP(B2393, SourceData!$U$3:$V$190, 2, FALSE), "")</f>
        <v/>
      </c>
      <c r="D2393" s="240"/>
      <c r="E2393" s="241"/>
      <c r="F2393" s="248"/>
      <c r="G2393" s="207"/>
      <c r="H2393" s="209"/>
      <c r="I2393" s="209"/>
      <c r="J2393" s="209"/>
      <c r="K2393" s="208" t="str">
        <f>IF(Errors!$I2393=0,SourceData!$B$42,VLOOKUP(Errors!$I2393,SourceData!$A$2:$B$40,2,FALSE))</f>
        <v>Please select ERROR CODE column "I"</v>
      </c>
      <c r="L2393" s="207" t="str">
        <f>IF(Errors!$I2393=0,
    'List of Error Codes'!$E$29,
    IFERROR(VLOOKUP(Errors!$I2393, 'List of Error Codes'!D2392:I2422, 6, FALSE), 'List of Error Codes'!$E$29)
)</f>
        <v>Please select ERROR CODE column "I"</v>
      </c>
      <c r="M2393" s="209"/>
      <c r="N2393" s="209"/>
      <c r="O2393" s="209"/>
      <c r="P2393" s="209"/>
      <c r="Q2393" s="209"/>
      <c r="R2393" s="217"/>
      <c r="S2393" s="217"/>
      <c r="T2393" s="217"/>
      <c r="U2393" s="199"/>
      <c r="V2393" s="200"/>
      <c r="W2393" s="200"/>
      <c r="X2393" s="200"/>
      <c r="Y2393" s="200"/>
      <c r="Z2393" s="200"/>
      <c r="AA2393" s="201"/>
      <c r="AB2393" s="200"/>
      <c r="AC2393" s="200"/>
    </row>
    <row r="2394" ht="15.75" customHeight="1">
      <c r="A2394" s="210">
        <f t="shared" si="1"/>
        <v>2392</v>
      </c>
      <c r="B2394" s="217"/>
      <c r="C2394" s="217" t="str">
        <f>IFERROR(VLOOKUP(B2394, SourceData!$U$3:$V$190, 2, FALSE), "")</f>
        <v/>
      </c>
      <c r="D2394" s="240"/>
      <c r="E2394" s="241"/>
      <c r="F2394" s="248"/>
      <c r="G2394" s="207"/>
      <c r="H2394" s="209"/>
      <c r="I2394" s="209"/>
      <c r="J2394" s="209"/>
      <c r="K2394" s="208" t="str">
        <f>IF(Errors!$I2394=0,SourceData!$B$42,VLOOKUP(Errors!$I2394,SourceData!$A$2:$B$40,2,FALSE))</f>
        <v>Please select ERROR CODE column "I"</v>
      </c>
      <c r="L2394" s="207" t="str">
        <f>IF(Errors!$I2394=0,
    'List of Error Codes'!$E$29,
    IFERROR(VLOOKUP(Errors!$I2394, 'List of Error Codes'!D2393:I2423, 6, FALSE), 'List of Error Codes'!$E$29)
)</f>
        <v>Please select ERROR CODE column "I"</v>
      </c>
      <c r="M2394" s="209"/>
      <c r="N2394" s="209"/>
      <c r="O2394" s="209"/>
      <c r="P2394" s="209"/>
      <c r="Q2394" s="209"/>
      <c r="R2394" s="217"/>
      <c r="S2394" s="217"/>
      <c r="T2394" s="217"/>
      <c r="U2394" s="199"/>
      <c r="V2394" s="200"/>
      <c r="W2394" s="200"/>
      <c r="X2394" s="200"/>
      <c r="Y2394" s="200"/>
      <c r="Z2394" s="200"/>
      <c r="AA2394" s="201"/>
      <c r="AB2394" s="200"/>
      <c r="AC2394" s="200"/>
    </row>
    <row r="2395" ht="15.75" customHeight="1">
      <c r="A2395" s="210">
        <f t="shared" si="1"/>
        <v>2393</v>
      </c>
      <c r="B2395" s="217"/>
      <c r="C2395" s="217" t="str">
        <f>IFERROR(VLOOKUP(B2395, SourceData!$U$3:$V$190, 2, FALSE), "")</f>
        <v/>
      </c>
      <c r="D2395" s="240"/>
      <c r="E2395" s="241"/>
      <c r="F2395" s="248"/>
      <c r="G2395" s="207"/>
      <c r="H2395" s="209"/>
      <c r="I2395" s="209"/>
      <c r="J2395" s="209"/>
      <c r="K2395" s="208" t="str">
        <f>IF(Errors!$I2395=0,SourceData!$B$42,VLOOKUP(Errors!$I2395,SourceData!$A$2:$B$40,2,FALSE))</f>
        <v>Please select ERROR CODE column "I"</v>
      </c>
      <c r="L2395" s="207" t="str">
        <f>IF(Errors!$I2395=0,
    'List of Error Codes'!$E$29,
    IFERROR(VLOOKUP(Errors!$I2395, 'List of Error Codes'!D2394:I2424, 6, FALSE), 'List of Error Codes'!$E$29)
)</f>
        <v>Please select ERROR CODE column "I"</v>
      </c>
      <c r="M2395" s="209"/>
      <c r="N2395" s="209"/>
      <c r="O2395" s="209"/>
      <c r="P2395" s="209"/>
      <c r="Q2395" s="209"/>
      <c r="R2395" s="217"/>
      <c r="S2395" s="217"/>
      <c r="T2395" s="217"/>
      <c r="U2395" s="199"/>
      <c r="V2395" s="200"/>
      <c r="W2395" s="200"/>
      <c r="X2395" s="200"/>
      <c r="Y2395" s="200"/>
      <c r="Z2395" s="200"/>
      <c r="AA2395" s="201"/>
      <c r="AB2395" s="200"/>
      <c r="AC2395" s="200"/>
    </row>
    <row r="2396" ht="15.75" customHeight="1">
      <c r="A2396" s="210">
        <f t="shared" si="1"/>
        <v>2394</v>
      </c>
      <c r="B2396" s="217"/>
      <c r="C2396" s="217" t="str">
        <f>IFERROR(VLOOKUP(B2396, SourceData!$U$3:$V$190, 2, FALSE), "")</f>
        <v/>
      </c>
      <c r="D2396" s="240"/>
      <c r="E2396" s="241"/>
      <c r="F2396" s="248"/>
      <c r="G2396" s="207"/>
      <c r="H2396" s="209"/>
      <c r="I2396" s="209"/>
      <c r="J2396" s="209"/>
      <c r="K2396" s="208" t="str">
        <f>IF(Errors!$I2396=0,SourceData!$B$42,VLOOKUP(Errors!$I2396,SourceData!$A$2:$B$40,2,FALSE))</f>
        <v>Please select ERROR CODE column "I"</v>
      </c>
      <c r="L2396" s="207" t="str">
        <f>IF(Errors!$I2396=0,
    'List of Error Codes'!$E$29,
    IFERROR(VLOOKUP(Errors!$I2396, 'List of Error Codes'!D2395:I2425, 6, FALSE), 'List of Error Codes'!$E$29)
)</f>
        <v>Please select ERROR CODE column "I"</v>
      </c>
      <c r="M2396" s="209"/>
      <c r="N2396" s="209"/>
      <c r="O2396" s="209"/>
      <c r="P2396" s="209"/>
      <c r="Q2396" s="209"/>
      <c r="R2396" s="217"/>
      <c r="S2396" s="217"/>
      <c r="T2396" s="217"/>
      <c r="U2396" s="199"/>
      <c r="V2396" s="200"/>
      <c r="W2396" s="200"/>
      <c r="X2396" s="200"/>
      <c r="Y2396" s="200"/>
      <c r="Z2396" s="200"/>
      <c r="AA2396" s="201"/>
      <c r="AB2396" s="200"/>
      <c r="AC2396" s="200"/>
    </row>
    <row r="2397" ht="15.75" customHeight="1">
      <c r="A2397" s="210">
        <f t="shared" si="1"/>
        <v>2395</v>
      </c>
      <c r="B2397" s="217"/>
      <c r="C2397" s="217" t="str">
        <f>IFERROR(VLOOKUP(B2397, SourceData!$U$3:$V$190, 2, FALSE), "")</f>
        <v/>
      </c>
      <c r="D2397" s="240"/>
      <c r="E2397" s="241"/>
      <c r="F2397" s="248"/>
      <c r="G2397" s="207"/>
      <c r="H2397" s="209"/>
      <c r="I2397" s="209"/>
      <c r="J2397" s="209"/>
      <c r="K2397" s="208" t="str">
        <f>IF(Errors!$I2397=0,SourceData!$B$42,VLOOKUP(Errors!$I2397,SourceData!$A$2:$B$40,2,FALSE))</f>
        <v>Please select ERROR CODE column "I"</v>
      </c>
      <c r="L2397" s="207" t="str">
        <f>IF(Errors!$I2397=0,
    'List of Error Codes'!$E$29,
    IFERROR(VLOOKUP(Errors!$I2397, 'List of Error Codes'!D2396:I2426, 6, FALSE), 'List of Error Codes'!$E$29)
)</f>
        <v>Please select ERROR CODE column "I"</v>
      </c>
      <c r="M2397" s="209"/>
      <c r="N2397" s="209"/>
      <c r="O2397" s="209"/>
      <c r="P2397" s="209"/>
      <c r="Q2397" s="209"/>
      <c r="R2397" s="217"/>
      <c r="S2397" s="217"/>
      <c r="T2397" s="217"/>
      <c r="U2397" s="199"/>
      <c r="V2397" s="200"/>
      <c r="W2397" s="200"/>
      <c r="X2397" s="200"/>
      <c r="Y2397" s="200"/>
      <c r="Z2397" s="200"/>
      <c r="AA2397" s="201"/>
      <c r="AB2397" s="200"/>
      <c r="AC2397" s="200"/>
    </row>
    <row r="2398" ht="15.75" customHeight="1">
      <c r="A2398" s="210">
        <f t="shared" si="1"/>
        <v>2396</v>
      </c>
      <c r="B2398" s="217"/>
      <c r="C2398" s="217" t="str">
        <f>IFERROR(VLOOKUP(B2398, SourceData!$U$3:$V$190, 2, FALSE), "")</f>
        <v/>
      </c>
      <c r="D2398" s="240"/>
      <c r="E2398" s="241"/>
      <c r="F2398" s="248"/>
      <c r="G2398" s="207"/>
      <c r="H2398" s="209"/>
      <c r="I2398" s="209"/>
      <c r="J2398" s="209"/>
      <c r="K2398" s="208" t="str">
        <f>IF(Errors!$I2398=0,SourceData!$B$42,VLOOKUP(Errors!$I2398,SourceData!$A$2:$B$40,2,FALSE))</f>
        <v>Please select ERROR CODE column "I"</v>
      </c>
      <c r="L2398" s="207" t="str">
        <f>IF(Errors!$I2398=0,
    'List of Error Codes'!$E$29,
    IFERROR(VLOOKUP(Errors!$I2398, 'List of Error Codes'!D2397:I2427, 6, FALSE), 'List of Error Codes'!$E$29)
)</f>
        <v>Please select ERROR CODE column "I"</v>
      </c>
      <c r="M2398" s="209"/>
      <c r="N2398" s="209"/>
      <c r="O2398" s="209"/>
      <c r="P2398" s="209"/>
      <c r="Q2398" s="209"/>
      <c r="R2398" s="217"/>
      <c r="S2398" s="217"/>
      <c r="T2398" s="217"/>
      <c r="U2398" s="199"/>
      <c r="V2398" s="200"/>
      <c r="W2398" s="200"/>
      <c r="X2398" s="200"/>
      <c r="Y2398" s="200"/>
      <c r="Z2398" s="200"/>
      <c r="AA2398" s="201"/>
      <c r="AB2398" s="200"/>
      <c r="AC2398" s="200"/>
    </row>
    <row r="2399" ht="15.75" customHeight="1">
      <c r="A2399" s="210">
        <f t="shared" si="1"/>
        <v>2397</v>
      </c>
      <c r="B2399" s="217"/>
      <c r="C2399" s="217" t="str">
        <f>IFERROR(VLOOKUP(B2399, SourceData!$U$3:$V$190, 2, FALSE), "")</f>
        <v/>
      </c>
      <c r="D2399" s="240"/>
      <c r="E2399" s="241"/>
      <c r="F2399" s="248"/>
      <c r="G2399" s="207"/>
      <c r="H2399" s="209"/>
      <c r="I2399" s="209"/>
      <c r="J2399" s="209"/>
      <c r="K2399" s="208" t="str">
        <f>IF(Errors!$I2399=0,SourceData!$B$42,VLOOKUP(Errors!$I2399,SourceData!$A$2:$B$40,2,FALSE))</f>
        <v>Please select ERROR CODE column "I"</v>
      </c>
      <c r="L2399" s="207" t="str">
        <f>IF(Errors!$I2399=0,
    'List of Error Codes'!$E$29,
    IFERROR(VLOOKUP(Errors!$I2399, 'List of Error Codes'!D2398:I2428, 6, FALSE), 'List of Error Codes'!$E$29)
)</f>
        <v>Please select ERROR CODE column "I"</v>
      </c>
      <c r="M2399" s="209"/>
      <c r="N2399" s="209"/>
      <c r="O2399" s="209"/>
      <c r="P2399" s="209"/>
      <c r="Q2399" s="209"/>
      <c r="R2399" s="217"/>
      <c r="S2399" s="217"/>
      <c r="T2399" s="217"/>
      <c r="U2399" s="199"/>
      <c r="V2399" s="200"/>
      <c r="W2399" s="200"/>
      <c r="X2399" s="200"/>
      <c r="Y2399" s="200"/>
      <c r="Z2399" s="200"/>
      <c r="AA2399" s="201"/>
      <c r="AB2399" s="200"/>
      <c r="AC2399" s="200"/>
    </row>
    <row r="2400" ht="15.75" customHeight="1">
      <c r="A2400" s="210">
        <f t="shared" si="1"/>
        <v>2398</v>
      </c>
      <c r="B2400" s="217"/>
      <c r="C2400" s="217" t="str">
        <f>IFERROR(VLOOKUP(B2400, SourceData!$U$3:$V$190, 2, FALSE), "")</f>
        <v/>
      </c>
      <c r="D2400" s="240"/>
      <c r="E2400" s="241"/>
      <c r="F2400" s="248"/>
      <c r="G2400" s="207"/>
      <c r="H2400" s="209"/>
      <c r="I2400" s="209"/>
      <c r="J2400" s="209"/>
      <c r="K2400" s="208" t="str">
        <f>IF(Errors!$I2400=0,SourceData!$B$42,VLOOKUP(Errors!$I2400,SourceData!$A$2:$B$40,2,FALSE))</f>
        <v>Please select ERROR CODE column "I"</v>
      </c>
      <c r="L2400" s="207" t="str">
        <f>IF(Errors!$I2400=0,
    'List of Error Codes'!$E$29,
    IFERROR(VLOOKUP(Errors!$I2400, 'List of Error Codes'!D2399:I2429, 6, FALSE), 'List of Error Codes'!$E$29)
)</f>
        <v>Please select ERROR CODE column "I"</v>
      </c>
      <c r="M2400" s="209"/>
      <c r="N2400" s="209"/>
      <c r="O2400" s="209"/>
      <c r="P2400" s="209"/>
      <c r="Q2400" s="209"/>
      <c r="R2400" s="217"/>
      <c r="S2400" s="217"/>
      <c r="T2400" s="217"/>
      <c r="U2400" s="199"/>
      <c r="V2400" s="200"/>
      <c r="W2400" s="200"/>
      <c r="X2400" s="200"/>
      <c r="Y2400" s="200"/>
      <c r="Z2400" s="200"/>
      <c r="AA2400" s="201"/>
      <c r="AB2400" s="200"/>
      <c r="AC2400" s="200"/>
    </row>
    <row r="2401" ht="15.75" customHeight="1">
      <c r="A2401" s="210">
        <f t="shared" si="1"/>
        <v>2399</v>
      </c>
      <c r="B2401" s="217"/>
      <c r="C2401" s="217" t="str">
        <f>IFERROR(VLOOKUP(B2401, SourceData!$U$3:$V$190, 2, FALSE), "")</f>
        <v/>
      </c>
      <c r="D2401" s="240"/>
      <c r="E2401" s="241"/>
      <c r="F2401" s="248"/>
      <c r="G2401" s="207"/>
      <c r="H2401" s="209"/>
      <c r="I2401" s="209"/>
      <c r="J2401" s="209"/>
      <c r="K2401" s="208" t="str">
        <f>IF(Errors!$I2401=0,SourceData!$B$42,VLOOKUP(Errors!$I2401,SourceData!$A$2:$B$40,2,FALSE))</f>
        <v>Please select ERROR CODE column "I"</v>
      </c>
      <c r="L2401" s="207" t="str">
        <f>IF(Errors!$I2401=0,
    'List of Error Codes'!$E$29,
    IFERROR(VLOOKUP(Errors!$I2401, 'List of Error Codes'!D2400:I2430, 6, FALSE), 'List of Error Codes'!$E$29)
)</f>
        <v>Please select ERROR CODE column "I"</v>
      </c>
      <c r="M2401" s="209"/>
      <c r="N2401" s="209"/>
      <c r="O2401" s="209"/>
      <c r="P2401" s="209"/>
      <c r="Q2401" s="209"/>
      <c r="R2401" s="217"/>
      <c r="S2401" s="217"/>
      <c r="T2401" s="217"/>
      <c r="U2401" s="199"/>
      <c r="V2401" s="200"/>
      <c r="W2401" s="200"/>
      <c r="X2401" s="200"/>
      <c r="Y2401" s="200"/>
      <c r="Z2401" s="200"/>
      <c r="AA2401" s="201"/>
      <c r="AB2401" s="200"/>
      <c r="AC2401" s="200"/>
    </row>
    <row r="2402" ht="15.75" customHeight="1">
      <c r="A2402" s="210">
        <f t="shared" si="1"/>
        <v>2400</v>
      </c>
      <c r="B2402" s="217"/>
      <c r="C2402" s="217" t="str">
        <f>IFERROR(VLOOKUP(B2402, SourceData!$U$3:$V$190, 2, FALSE), "")</f>
        <v/>
      </c>
      <c r="D2402" s="240"/>
      <c r="E2402" s="241"/>
      <c r="F2402" s="248"/>
      <c r="G2402" s="207"/>
      <c r="H2402" s="209"/>
      <c r="I2402" s="209"/>
      <c r="J2402" s="209"/>
      <c r="K2402" s="208" t="str">
        <f>IF(Errors!$I2402=0,SourceData!$B$42,VLOOKUP(Errors!$I2402,SourceData!$A$2:$B$40,2,FALSE))</f>
        <v>Please select ERROR CODE column "I"</v>
      </c>
      <c r="L2402" s="207" t="str">
        <f>IF(Errors!$I2402=0,
    'List of Error Codes'!$E$29,
    IFERROR(VLOOKUP(Errors!$I2402, 'List of Error Codes'!D2401:I2431, 6, FALSE), 'List of Error Codes'!$E$29)
)</f>
        <v>Please select ERROR CODE column "I"</v>
      </c>
      <c r="M2402" s="209"/>
      <c r="N2402" s="209"/>
      <c r="O2402" s="209"/>
      <c r="P2402" s="209"/>
      <c r="Q2402" s="209"/>
      <c r="R2402" s="217"/>
      <c r="S2402" s="217"/>
      <c r="T2402" s="217"/>
      <c r="U2402" s="199"/>
      <c r="V2402" s="200"/>
      <c r="W2402" s="200"/>
      <c r="X2402" s="200"/>
      <c r="Y2402" s="200"/>
      <c r="Z2402" s="200"/>
      <c r="AA2402" s="201"/>
      <c r="AB2402" s="200"/>
      <c r="AC2402" s="200"/>
    </row>
    <row r="2403" ht="15.75" customHeight="1">
      <c r="A2403" s="210">
        <f t="shared" si="1"/>
        <v>2401</v>
      </c>
      <c r="B2403" s="217"/>
      <c r="C2403" s="217" t="str">
        <f>IFERROR(VLOOKUP(B2403, SourceData!$U$3:$V$190, 2, FALSE), "")</f>
        <v/>
      </c>
      <c r="D2403" s="240"/>
      <c r="E2403" s="241"/>
      <c r="F2403" s="248"/>
      <c r="G2403" s="207"/>
      <c r="H2403" s="209"/>
      <c r="I2403" s="209"/>
      <c r="J2403" s="209"/>
      <c r="K2403" s="208" t="str">
        <f>IF(Errors!$I2403=0,SourceData!$B$42,VLOOKUP(Errors!$I2403,SourceData!$A$2:$B$40,2,FALSE))</f>
        <v>Please select ERROR CODE column "I"</v>
      </c>
      <c r="L2403" s="207" t="str">
        <f>IF(Errors!$I2403=0,
    'List of Error Codes'!$E$29,
    IFERROR(VLOOKUP(Errors!$I2403, 'List of Error Codes'!D2402:I2432, 6, FALSE), 'List of Error Codes'!$E$29)
)</f>
        <v>Please select ERROR CODE column "I"</v>
      </c>
      <c r="M2403" s="209"/>
      <c r="N2403" s="209"/>
      <c r="O2403" s="209"/>
      <c r="P2403" s="209"/>
      <c r="Q2403" s="209"/>
      <c r="R2403" s="217"/>
      <c r="S2403" s="217"/>
      <c r="T2403" s="217"/>
      <c r="U2403" s="199"/>
      <c r="V2403" s="200"/>
      <c r="W2403" s="200"/>
      <c r="X2403" s="200"/>
      <c r="Y2403" s="200"/>
      <c r="Z2403" s="200"/>
      <c r="AA2403" s="201"/>
      <c r="AB2403" s="200"/>
      <c r="AC2403" s="200"/>
    </row>
    <row r="2404" ht="15.75" customHeight="1">
      <c r="A2404" s="210">
        <f t="shared" si="1"/>
        <v>2402</v>
      </c>
      <c r="B2404" s="217"/>
      <c r="C2404" s="217" t="str">
        <f>IFERROR(VLOOKUP(B2404, SourceData!$U$3:$V$190, 2, FALSE), "")</f>
        <v/>
      </c>
      <c r="D2404" s="240"/>
      <c r="E2404" s="241"/>
      <c r="F2404" s="248"/>
      <c r="G2404" s="207"/>
      <c r="H2404" s="209"/>
      <c r="I2404" s="209"/>
      <c r="J2404" s="209"/>
      <c r="K2404" s="208" t="str">
        <f>IF(Errors!$I2404=0,SourceData!$B$42,VLOOKUP(Errors!$I2404,SourceData!$A$2:$B$40,2,FALSE))</f>
        <v>Please select ERROR CODE column "I"</v>
      </c>
      <c r="L2404" s="207" t="str">
        <f>IF(Errors!$I2404=0,
    'List of Error Codes'!$E$29,
    IFERROR(VLOOKUP(Errors!$I2404, 'List of Error Codes'!D2403:I2433, 6, FALSE), 'List of Error Codes'!$E$29)
)</f>
        <v>Please select ERROR CODE column "I"</v>
      </c>
      <c r="M2404" s="209"/>
      <c r="N2404" s="209"/>
      <c r="O2404" s="209"/>
      <c r="P2404" s="209"/>
      <c r="Q2404" s="209"/>
      <c r="R2404" s="217"/>
      <c r="S2404" s="217"/>
      <c r="T2404" s="217"/>
      <c r="U2404" s="199"/>
      <c r="V2404" s="200"/>
      <c r="W2404" s="200"/>
      <c r="X2404" s="200"/>
      <c r="Y2404" s="200"/>
      <c r="Z2404" s="200"/>
      <c r="AA2404" s="201"/>
      <c r="AB2404" s="200"/>
      <c r="AC2404" s="200"/>
    </row>
    <row r="2405" ht="15.75" customHeight="1">
      <c r="A2405" s="210">
        <f t="shared" si="1"/>
        <v>2403</v>
      </c>
      <c r="B2405" s="217"/>
      <c r="C2405" s="217" t="str">
        <f>IFERROR(VLOOKUP(B2405, SourceData!$U$3:$V$190, 2, FALSE), "")</f>
        <v/>
      </c>
      <c r="D2405" s="240"/>
      <c r="E2405" s="241"/>
      <c r="F2405" s="248"/>
      <c r="G2405" s="207"/>
      <c r="H2405" s="209"/>
      <c r="I2405" s="209"/>
      <c r="J2405" s="209"/>
      <c r="K2405" s="208" t="str">
        <f>IF(Errors!$I2405=0,SourceData!$B$42,VLOOKUP(Errors!$I2405,SourceData!$A$2:$B$40,2,FALSE))</f>
        <v>Please select ERROR CODE column "I"</v>
      </c>
      <c r="L2405" s="207" t="str">
        <f>IF(Errors!$I2405=0,
    'List of Error Codes'!$E$29,
    IFERROR(VLOOKUP(Errors!$I2405, 'List of Error Codes'!D2404:I2434, 6, FALSE), 'List of Error Codes'!$E$29)
)</f>
        <v>Please select ERROR CODE column "I"</v>
      </c>
      <c r="M2405" s="209"/>
      <c r="N2405" s="209"/>
      <c r="O2405" s="209"/>
      <c r="P2405" s="209"/>
      <c r="Q2405" s="209"/>
      <c r="R2405" s="217"/>
      <c r="S2405" s="217"/>
      <c r="T2405" s="217"/>
      <c r="U2405" s="199"/>
      <c r="V2405" s="200"/>
      <c r="W2405" s="200"/>
      <c r="X2405" s="200"/>
      <c r="Y2405" s="200"/>
      <c r="Z2405" s="200"/>
      <c r="AA2405" s="201"/>
      <c r="AB2405" s="200"/>
      <c r="AC2405" s="200"/>
    </row>
    <row r="2406" ht="15.75" customHeight="1">
      <c r="A2406" s="210">
        <f t="shared" si="1"/>
        <v>2404</v>
      </c>
      <c r="B2406" s="217"/>
      <c r="C2406" s="217" t="str">
        <f>IFERROR(VLOOKUP(B2406, SourceData!$U$3:$V$190, 2, FALSE), "")</f>
        <v/>
      </c>
      <c r="D2406" s="240"/>
      <c r="E2406" s="241"/>
      <c r="F2406" s="248"/>
      <c r="G2406" s="207"/>
      <c r="H2406" s="209"/>
      <c r="I2406" s="209"/>
      <c r="J2406" s="209"/>
      <c r="K2406" s="208" t="str">
        <f>IF(Errors!$I2406=0,SourceData!$B$42,VLOOKUP(Errors!$I2406,SourceData!$A$2:$B$40,2,FALSE))</f>
        <v>Please select ERROR CODE column "I"</v>
      </c>
      <c r="L2406" s="207" t="str">
        <f>IF(Errors!$I2406=0,
    'List of Error Codes'!$E$29,
    IFERROR(VLOOKUP(Errors!$I2406, 'List of Error Codes'!D2405:I2435, 6, FALSE), 'List of Error Codes'!$E$29)
)</f>
        <v>Please select ERROR CODE column "I"</v>
      </c>
      <c r="M2406" s="209"/>
      <c r="N2406" s="209"/>
      <c r="O2406" s="209"/>
      <c r="P2406" s="209"/>
      <c r="Q2406" s="209"/>
      <c r="R2406" s="217"/>
      <c r="S2406" s="217"/>
      <c r="T2406" s="217"/>
      <c r="U2406" s="199"/>
      <c r="V2406" s="200"/>
      <c r="W2406" s="200"/>
      <c r="X2406" s="200"/>
      <c r="Y2406" s="200"/>
      <c r="Z2406" s="200"/>
      <c r="AA2406" s="201"/>
      <c r="AB2406" s="200"/>
      <c r="AC2406" s="200"/>
    </row>
    <row r="2407" ht="15.75" customHeight="1">
      <c r="A2407" s="210">
        <f t="shared" si="1"/>
        <v>2405</v>
      </c>
      <c r="B2407" s="217"/>
      <c r="C2407" s="217" t="str">
        <f>IFERROR(VLOOKUP(B2407, SourceData!$U$3:$V$190, 2, FALSE), "")</f>
        <v/>
      </c>
      <c r="D2407" s="240"/>
      <c r="E2407" s="241"/>
      <c r="F2407" s="248"/>
      <c r="G2407" s="207"/>
      <c r="H2407" s="209"/>
      <c r="I2407" s="209"/>
      <c r="J2407" s="209"/>
      <c r="K2407" s="208" t="str">
        <f>IF(Errors!$I2407=0,SourceData!$B$42,VLOOKUP(Errors!$I2407,SourceData!$A$2:$B$40,2,FALSE))</f>
        <v>Please select ERROR CODE column "I"</v>
      </c>
      <c r="L2407" s="207" t="str">
        <f>IF(Errors!$I2407=0,
    'List of Error Codes'!$E$29,
    IFERROR(VLOOKUP(Errors!$I2407, 'List of Error Codes'!D2406:I2436, 6, FALSE), 'List of Error Codes'!$E$29)
)</f>
        <v>Please select ERROR CODE column "I"</v>
      </c>
      <c r="M2407" s="209"/>
      <c r="N2407" s="209"/>
      <c r="O2407" s="209"/>
      <c r="P2407" s="209"/>
      <c r="Q2407" s="209"/>
      <c r="R2407" s="217"/>
      <c r="S2407" s="217"/>
      <c r="T2407" s="217"/>
      <c r="U2407" s="199"/>
      <c r="V2407" s="200"/>
      <c r="W2407" s="200"/>
      <c r="X2407" s="200"/>
      <c r="Y2407" s="200"/>
      <c r="Z2407" s="200"/>
      <c r="AA2407" s="201"/>
      <c r="AB2407" s="200"/>
      <c r="AC2407" s="200"/>
    </row>
    <row r="2408" ht="15.75" customHeight="1">
      <c r="A2408" s="210">
        <f t="shared" si="1"/>
        <v>2406</v>
      </c>
      <c r="B2408" s="217"/>
      <c r="C2408" s="217" t="str">
        <f>IFERROR(VLOOKUP(B2408, SourceData!$U$3:$V$190, 2, FALSE), "")</f>
        <v/>
      </c>
      <c r="D2408" s="240"/>
      <c r="E2408" s="241"/>
      <c r="F2408" s="248"/>
      <c r="G2408" s="207"/>
      <c r="H2408" s="209"/>
      <c r="I2408" s="209"/>
      <c r="J2408" s="209"/>
      <c r="K2408" s="208" t="str">
        <f>IF(Errors!$I2408=0,SourceData!$B$42,VLOOKUP(Errors!$I2408,SourceData!$A$2:$B$40,2,FALSE))</f>
        <v>Please select ERROR CODE column "I"</v>
      </c>
      <c r="L2408" s="207" t="str">
        <f>IF(Errors!$I2408=0,
    'List of Error Codes'!$E$29,
    IFERROR(VLOOKUP(Errors!$I2408, 'List of Error Codes'!D2407:I2437, 6, FALSE), 'List of Error Codes'!$E$29)
)</f>
        <v>Please select ERROR CODE column "I"</v>
      </c>
      <c r="M2408" s="209"/>
      <c r="N2408" s="209"/>
      <c r="O2408" s="209"/>
      <c r="P2408" s="209"/>
      <c r="Q2408" s="209"/>
      <c r="R2408" s="217"/>
      <c r="S2408" s="217"/>
      <c r="T2408" s="217"/>
      <c r="U2408" s="199"/>
      <c r="V2408" s="200"/>
      <c r="W2408" s="200"/>
      <c r="X2408" s="200"/>
      <c r="Y2408" s="200"/>
      <c r="Z2408" s="200"/>
      <c r="AA2408" s="201"/>
      <c r="AB2408" s="200"/>
      <c r="AC2408" s="200"/>
    </row>
    <row r="2409" ht="15.75" customHeight="1">
      <c r="A2409" s="210">
        <f t="shared" si="1"/>
        <v>2407</v>
      </c>
      <c r="B2409" s="217"/>
      <c r="C2409" s="217" t="str">
        <f>IFERROR(VLOOKUP(B2409, SourceData!$U$3:$V$190, 2, FALSE), "")</f>
        <v/>
      </c>
      <c r="D2409" s="240"/>
      <c r="E2409" s="241"/>
      <c r="F2409" s="248"/>
      <c r="G2409" s="207"/>
      <c r="H2409" s="209"/>
      <c r="I2409" s="209"/>
      <c r="J2409" s="209"/>
      <c r="K2409" s="208" t="str">
        <f>IF(Errors!$I2409=0,SourceData!$B$42,VLOOKUP(Errors!$I2409,SourceData!$A$2:$B$40,2,FALSE))</f>
        <v>Please select ERROR CODE column "I"</v>
      </c>
      <c r="L2409" s="207" t="str">
        <f>IF(Errors!$I2409=0,
    'List of Error Codes'!$E$29,
    IFERROR(VLOOKUP(Errors!$I2409, 'List of Error Codes'!D2408:I2438, 6, FALSE), 'List of Error Codes'!$E$29)
)</f>
        <v>Please select ERROR CODE column "I"</v>
      </c>
      <c r="M2409" s="209"/>
      <c r="N2409" s="209"/>
      <c r="O2409" s="209"/>
      <c r="P2409" s="209"/>
      <c r="Q2409" s="209"/>
      <c r="R2409" s="217"/>
      <c r="S2409" s="217"/>
      <c r="T2409" s="217"/>
      <c r="U2409" s="199"/>
      <c r="V2409" s="200"/>
      <c r="W2409" s="200"/>
      <c r="X2409" s="200"/>
      <c r="Y2409" s="200"/>
      <c r="Z2409" s="200"/>
      <c r="AA2409" s="201"/>
      <c r="AB2409" s="200"/>
      <c r="AC2409" s="200"/>
    </row>
    <row r="2410" ht="15.75" customHeight="1">
      <c r="A2410" s="210">
        <f t="shared" si="1"/>
        <v>2408</v>
      </c>
      <c r="B2410" s="217"/>
      <c r="C2410" s="217" t="str">
        <f>IFERROR(VLOOKUP(B2410, SourceData!$U$3:$V$190, 2, FALSE), "")</f>
        <v/>
      </c>
      <c r="D2410" s="240"/>
      <c r="E2410" s="241"/>
      <c r="F2410" s="248"/>
      <c r="G2410" s="207"/>
      <c r="H2410" s="209"/>
      <c r="I2410" s="209"/>
      <c r="J2410" s="209"/>
      <c r="K2410" s="208" t="str">
        <f>IF(Errors!$I2410=0,SourceData!$B$42,VLOOKUP(Errors!$I2410,SourceData!$A$2:$B$40,2,FALSE))</f>
        <v>Please select ERROR CODE column "I"</v>
      </c>
      <c r="L2410" s="207" t="str">
        <f>IF(Errors!$I2410=0,
    'List of Error Codes'!$E$29,
    IFERROR(VLOOKUP(Errors!$I2410, 'List of Error Codes'!D2409:I2439, 6, FALSE), 'List of Error Codes'!$E$29)
)</f>
        <v>Please select ERROR CODE column "I"</v>
      </c>
      <c r="M2410" s="209"/>
      <c r="N2410" s="209"/>
      <c r="O2410" s="209"/>
      <c r="P2410" s="209"/>
      <c r="Q2410" s="209"/>
      <c r="R2410" s="217"/>
      <c r="S2410" s="217"/>
      <c r="T2410" s="217"/>
      <c r="U2410" s="199"/>
      <c r="V2410" s="200"/>
      <c r="W2410" s="200"/>
      <c r="X2410" s="200"/>
      <c r="Y2410" s="200"/>
      <c r="Z2410" s="200"/>
      <c r="AA2410" s="201"/>
      <c r="AB2410" s="200"/>
      <c r="AC2410" s="200"/>
    </row>
    <row r="2411" ht="15.75" customHeight="1">
      <c r="A2411" s="210">
        <f t="shared" si="1"/>
        <v>2409</v>
      </c>
      <c r="B2411" s="217"/>
      <c r="C2411" s="217" t="str">
        <f>IFERROR(VLOOKUP(B2411, SourceData!$U$3:$V$190, 2, FALSE), "")</f>
        <v/>
      </c>
      <c r="D2411" s="240"/>
      <c r="E2411" s="241"/>
      <c r="F2411" s="248"/>
      <c r="G2411" s="207"/>
      <c r="H2411" s="209"/>
      <c r="I2411" s="209"/>
      <c r="J2411" s="209"/>
      <c r="K2411" s="208" t="str">
        <f>IF(Errors!$I2411=0,SourceData!$B$42,VLOOKUP(Errors!$I2411,SourceData!$A$2:$B$40,2,FALSE))</f>
        <v>Please select ERROR CODE column "I"</v>
      </c>
      <c r="L2411" s="207" t="str">
        <f>IF(Errors!$I2411=0,
    'List of Error Codes'!$E$29,
    IFERROR(VLOOKUP(Errors!$I2411, 'List of Error Codes'!D2410:I2440, 6, FALSE), 'List of Error Codes'!$E$29)
)</f>
        <v>Please select ERROR CODE column "I"</v>
      </c>
      <c r="M2411" s="209"/>
      <c r="N2411" s="209"/>
      <c r="O2411" s="209"/>
      <c r="P2411" s="209"/>
      <c r="Q2411" s="209"/>
      <c r="R2411" s="217"/>
      <c r="S2411" s="217"/>
      <c r="T2411" s="217"/>
      <c r="U2411" s="199"/>
      <c r="V2411" s="200"/>
      <c r="W2411" s="200"/>
      <c r="X2411" s="200"/>
      <c r="Y2411" s="200"/>
      <c r="Z2411" s="200"/>
      <c r="AA2411" s="201"/>
      <c r="AB2411" s="200"/>
      <c r="AC2411" s="200"/>
    </row>
    <row r="2412" ht="15.75" customHeight="1">
      <c r="A2412" s="210">
        <f t="shared" si="1"/>
        <v>2410</v>
      </c>
      <c r="B2412" s="217"/>
      <c r="C2412" s="217" t="str">
        <f>IFERROR(VLOOKUP(B2412, SourceData!$U$3:$V$190, 2, FALSE), "")</f>
        <v/>
      </c>
      <c r="D2412" s="240"/>
      <c r="E2412" s="241"/>
      <c r="F2412" s="248"/>
      <c r="G2412" s="207"/>
      <c r="H2412" s="209"/>
      <c r="I2412" s="209"/>
      <c r="J2412" s="209"/>
      <c r="K2412" s="208" t="str">
        <f>IF(Errors!$I2412=0,SourceData!$B$42,VLOOKUP(Errors!$I2412,SourceData!$A$2:$B$40,2,FALSE))</f>
        <v>Please select ERROR CODE column "I"</v>
      </c>
      <c r="L2412" s="207" t="str">
        <f>IF(Errors!$I2412=0,
    'List of Error Codes'!$E$29,
    IFERROR(VLOOKUP(Errors!$I2412, 'List of Error Codes'!D2411:I2441, 6, FALSE), 'List of Error Codes'!$E$29)
)</f>
        <v>Please select ERROR CODE column "I"</v>
      </c>
      <c r="M2412" s="209"/>
      <c r="N2412" s="209"/>
      <c r="O2412" s="209"/>
      <c r="P2412" s="209"/>
      <c r="Q2412" s="209"/>
      <c r="R2412" s="217"/>
      <c r="S2412" s="217"/>
      <c r="T2412" s="217"/>
      <c r="U2412" s="199"/>
      <c r="V2412" s="200"/>
      <c r="W2412" s="200"/>
      <c r="X2412" s="200"/>
      <c r="Y2412" s="200"/>
      <c r="Z2412" s="200"/>
      <c r="AA2412" s="201"/>
      <c r="AB2412" s="200"/>
      <c r="AC2412" s="200"/>
    </row>
    <row r="2413" ht="15.75" customHeight="1">
      <c r="A2413" s="210">
        <f t="shared" si="1"/>
        <v>2411</v>
      </c>
      <c r="B2413" s="217"/>
      <c r="C2413" s="217" t="str">
        <f>IFERROR(VLOOKUP(B2413, SourceData!$U$3:$V$190, 2, FALSE), "")</f>
        <v/>
      </c>
      <c r="D2413" s="240"/>
      <c r="E2413" s="241"/>
      <c r="F2413" s="248"/>
      <c r="G2413" s="207"/>
      <c r="H2413" s="209"/>
      <c r="I2413" s="209"/>
      <c r="J2413" s="209"/>
      <c r="K2413" s="208" t="str">
        <f>IF(Errors!$I2413=0,SourceData!$B$42,VLOOKUP(Errors!$I2413,SourceData!$A$2:$B$40,2,FALSE))</f>
        <v>Please select ERROR CODE column "I"</v>
      </c>
      <c r="L2413" s="207" t="str">
        <f>IF(Errors!$I2413=0,
    'List of Error Codes'!$E$29,
    IFERROR(VLOOKUP(Errors!$I2413, 'List of Error Codes'!D2412:I2442, 6, FALSE), 'List of Error Codes'!$E$29)
)</f>
        <v>Please select ERROR CODE column "I"</v>
      </c>
      <c r="M2413" s="209"/>
      <c r="N2413" s="209"/>
      <c r="O2413" s="209"/>
      <c r="P2413" s="209"/>
      <c r="Q2413" s="209"/>
      <c r="R2413" s="217"/>
      <c r="S2413" s="217"/>
      <c r="T2413" s="217"/>
      <c r="U2413" s="199"/>
      <c r="V2413" s="200"/>
      <c r="W2413" s="200"/>
      <c r="X2413" s="200"/>
      <c r="Y2413" s="200"/>
      <c r="Z2413" s="200"/>
      <c r="AA2413" s="201"/>
      <c r="AB2413" s="200"/>
      <c r="AC2413" s="200"/>
    </row>
    <row r="2414" ht="15.75" customHeight="1">
      <c r="A2414" s="210">
        <f t="shared" si="1"/>
        <v>2412</v>
      </c>
      <c r="B2414" s="217"/>
      <c r="C2414" s="217" t="str">
        <f>IFERROR(VLOOKUP(B2414, SourceData!$U$3:$V$190, 2, FALSE), "")</f>
        <v/>
      </c>
      <c r="D2414" s="240"/>
      <c r="E2414" s="241"/>
      <c r="F2414" s="248"/>
      <c r="G2414" s="207"/>
      <c r="H2414" s="209"/>
      <c r="I2414" s="209"/>
      <c r="J2414" s="209"/>
      <c r="K2414" s="208" t="str">
        <f>IF(Errors!$I2414=0,SourceData!$B$42,VLOOKUP(Errors!$I2414,SourceData!$A$2:$B$40,2,FALSE))</f>
        <v>Please select ERROR CODE column "I"</v>
      </c>
      <c r="L2414" s="207" t="str">
        <f>IF(Errors!$I2414=0,
    'List of Error Codes'!$E$29,
    IFERROR(VLOOKUP(Errors!$I2414, 'List of Error Codes'!D2413:I2443, 6, FALSE), 'List of Error Codes'!$E$29)
)</f>
        <v>Please select ERROR CODE column "I"</v>
      </c>
      <c r="M2414" s="209"/>
      <c r="N2414" s="209"/>
      <c r="O2414" s="209"/>
      <c r="P2414" s="209"/>
      <c r="Q2414" s="209"/>
      <c r="R2414" s="217"/>
      <c r="S2414" s="217"/>
      <c r="T2414" s="217"/>
      <c r="U2414" s="199"/>
      <c r="V2414" s="200"/>
      <c r="W2414" s="200"/>
      <c r="X2414" s="200"/>
      <c r="Y2414" s="200"/>
      <c r="Z2414" s="200"/>
      <c r="AA2414" s="201"/>
      <c r="AB2414" s="200"/>
      <c r="AC2414" s="200"/>
    </row>
    <row r="2415" ht="15.75" customHeight="1">
      <c r="A2415" s="210">
        <f t="shared" si="1"/>
        <v>2413</v>
      </c>
      <c r="B2415" s="217"/>
      <c r="C2415" s="217" t="str">
        <f>IFERROR(VLOOKUP(B2415, SourceData!$U$3:$V$190, 2, FALSE), "")</f>
        <v/>
      </c>
      <c r="D2415" s="240"/>
      <c r="E2415" s="241"/>
      <c r="F2415" s="248"/>
      <c r="G2415" s="207"/>
      <c r="H2415" s="209"/>
      <c r="I2415" s="209"/>
      <c r="J2415" s="209"/>
      <c r="K2415" s="208" t="str">
        <f>IF(Errors!$I2415=0,SourceData!$B$42,VLOOKUP(Errors!$I2415,SourceData!$A$2:$B$40,2,FALSE))</f>
        <v>Please select ERROR CODE column "I"</v>
      </c>
      <c r="L2415" s="207" t="str">
        <f>IF(Errors!$I2415=0,
    'List of Error Codes'!$E$29,
    IFERROR(VLOOKUP(Errors!$I2415, 'List of Error Codes'!D2414:I2444, 6, FALSE), 'List of Error Codes'!$E$29)
)</f>
        <v>Please select ERROR CODE column "I"</v>
      </c>
      <c r="M2415" s="209"/>
      <c r="N2415" s="209"/>
      <c r="O2415" s="209"/>
      <c r="P2415" s="209"/>
      <c r="Q2415" s="209"/>
      <c r="R2415" s="217"/>
      <c r="S2415" s="217"/>
      <c r="T2415" s="217"/>
      <c r="U2415" s="199"/>
      <c r="V2415" s="200"/>
      <c r="W2415" s="200"/>
      <c r="X2415" s="200"/>
      <c r="Y2415" s="200"/>
      <c r="Z2415" s="200"/>
      <c r="AA2415" s="201"/>
      <c r="AB2415" s="200"/>
      <c r="AC2415" s="200"/>
    </row>
    <row r="2416" ht="15.75" customHeight="1">
      <c r="A2416" s="210">
        <f t="shared" si="1"/>
        <v>2414</v>
      </c>
      <c r="B2416" s="217"/>
      <c r="C2416" s="217" t="str">
        <f>IFERROR(VLOOKUP(B2416, SourceData!$U$3:$V$190, 2, FALSE), "")</f>
        <v/>
      </c>
      <c r="D2416" s="240"/>
      <c r="E2416" s="241"/>
      <c r="F2416" s="248"/>
      <c r="G2416" s="207"/>
      <c r="H2416" s="209"/>
      <c r="I2416" s="209"/>
      <c r="J2416" s="209"/>
      <c r="K2416" s="208" t="str">
        <f>IF(Errors!$I2416=0,SourceData!$B$42,VLOOKUP(Errors!$I2416,SourceData!$A$2:$B$40,2,FALSE))</f>
        <v>Please select ERROR CODE column "I"</v>
      </c>
      <c r="L2416" s="207" t="str">
        <f>IF(Errors!$I2416=0,
    'List of Error Codes'!$E$29,
    IFERROR(VLOOKUP(Errors!$I2416, 'List of Error Codes'!D2415:I2445, 6, FALSE), 'List of Error Codes'!$E$29)
)</f>
        <v>Please select ERROR CODE column "I"</v>
      </c>
      <c r="M2416" s="209"/>
      <c r="N2416" s="209"/>
      <c r="O2416" s="209"/>
      <c r="P2416" s="209"/>
      <c r="Q2416" s="209"/>
      <c r="R2416" s="217"/>
      <c r="S2416" s="217"/>
      <c r="T2416" s="217"/>
      <c r="U2416" s="199"/>
      <c r="V2416" s="200"/>
      <c r="W2416" s="200"/>
      <c r="X2416" s="200"/>
      <c r="Y2416" s="200"/>
      <c r="Z2416" s="200"/>
      <c r="AA2416" s="201"/>
      <c r="AB2416" s="200"/>
      <c r="AC2416" s="200"/>
    </row>
    <row r="2417" ht="15.75" customHeight="1">
      <c r="A2417" s="210">
        <f t="shared" si="1"/>
        <v>2415</v>
      </c>
      <c r="B2417" s="217"/>
      <c r="C2417" s="217" t="str">
        <f>IFERROR(VLOOKUP(B2417, SourceData!$U$3:$V$190, 2, FALSE), "")</f>
        <v/>
      </c>
      <c r="D2417" s="240"/>
      <c r="E2417" s="241"/>
      <c r="F2417" s="248"/>
      <c r="G2417" s="207"/>
      <c r="H2417" s="209"/>
      <c r="I2417" s="209"/>
      <c r="J2417" s="209"/>
      <c r="K2417" s="208" t="str">
        <f>IF(Errors!$I2417=0,SourceData!$B$42,VLOOKUP(Errors!$I2417,SourceData!$A$2:$B$40,2,FALSE))</f>
        <v>Please select ERROR CODE column "I"</v>
      </c>
      <c r="L2417" s="207" t="str">
        <f>IF(Errors!$I2417=0,
    'List of Error Codes'!$E$29,
    IFERROR(VLOOKUP(Errors!$I2417, 'List of Error Codes'!D2416:I2446, 6, FALSE), 'List of Error Codes'!$E$29)
)</f>
        <v>Please select ERROR CODE column "I"</v>
      </c>
      <c r="M2417" s="209"/>
      <c r="N2417" s="209"/>
      <c r="O2417" s="209"/>
      <c r="P2417" s="209"/>
      <c r="Q2417" s="209"/>
      <c r="R2417" s="217"/>
      <c r="S2417" s="217"/>
      <c r="T2417" s="217"/>
      <c r="U2417" s="199"/>
      <c r="V2417" s="200"/>
      <c r="W2417" s="200"/>
      <c r="X2417" s="200"/>
      <c r="Y2417" s="200"/>
      <c r="Z2417" s="200"/>
      <c r="AA2417" s="201"/>
      <c r="AB2417" s="200"/>
      <c r="AC2417" s="200"/>
    </row>
    <row r="2418" ht="15.75" customHeight="1">
      <c r="A2418" s="210">
        <f t="shared" si="1"/>
        <v>2416</v>
      </c>
      <c r="B2418" s="217"/>
      <c r="C2418" s="217" t="str">
        <f>IFERROR(VLOOKUP(B2418, SourceData!$U$3:$V$190, 2, FALSE), "")</f>
        <v/>
      </c>
      <c r="D2418" s="240"/>
      <c r="E2418" s="241"/>
      <c r="F2418" s="248"/>
      <c r="G2418" s="207"/>
      <c r="H2418" s="209"/>
      <c r="I2418" s="209"/>
      <c r="J2418" s="209"/>
      <c r="K2418" s="208" t="str">
        <f>IF(Errors!$I2418=0,SourceData!$B$42,VLOOKUP(Errors!$I2418,SourceData!$A$2:$B$40,2,FALSE))</f>
        <v>Please select ERROR CODE column "I"</v>
      </c>
      <c r="L2418" s="207" t="str">
        <f>IF(Errors!$I2418=0,
    'List of Error Codes'!$E$29,
    IFERROR(VLOOKUP(Errors!$I2418, 'List of Error Codes'!D2417:I2447, 6, FALSE), 'List of Error Codes'!$E$29)
)</f>
        <v>Please select ERROR CODE column "I"</v>
      </c>
      <c r="M2418" s="209"/>
      <c r="N2418" s="209"/>
      <c r="O2418" s="209"/>
      <c r="P2418" s="209"/>
      <c r="Q2418" s="209"/>
      <c r="R2418" s="217"/>
      <c r="S2418" s="217"/>
      <c r="T2418" s="217"/>
      <c r="U2418" s="199"/>
      <c r="V2418" s="200"/>
      <c r="W2418" s="200"/>
      <c r="X2418" s="200"/>
      <c r="Y2418" s="200"/>
      <c r="Z2418" s="200"/>
      <c r="AA2418" s="201"/>
      <c r="AB2418" s="200"/>
      <c r="AC2418" s="200"/>
    </row>
    <row r="2419" ht="15.75" customHeight="1">
      <c r="A2419" s="210">
        <f t="shared" si="1"/>
        <v>2417</v>
      </c>
      <c r="B2419" s="217"/>
      <c r="C2419" s="217" t="str">
        <f>IFERROR(VLOOKUP(B2419, SourceData!$U$3:$V$190, 2, FALSE), "")</f>
        <v/>
      </c>
      <c r="D2419" s="240"/>
      <c r="E2419" s="241"/>
      <c r="F2419" s="248"/>
      <c r="G2419" s="207"/>
      <c r="H2419" s="209"/>
      <c r="I2419" s="209"/>
      <c r="J2419" s="209"/>
      <c r="K2419" s="208" t="str">
        <f>IF(Errors!$I2419=0,SourceData!$B$42,VLOOKUP(Errors!$I2419,SourceData!$A$2:$B$40,2,FALSE))</f>
        <v>Please select ERROR CODE column "I"</v>
      </c>
      <c r="L2419" s="207" t="str">
        <f>IF(Errors!$I2419=0,
    'List of Error Codes'!$E$29,
    IFERROR(VLOOKUP(Errors!$I2419, 'List of Error Codes'!D2418:I2448, 6, FALSE), 'List of Error Codes'!$E$29)
)</f>
        <v>Please select ERROR CODE column "I"</v>
      </c>
      <c r="M2419" s="209"/>
      <c r="N2419" s="209"/>
      <c r="O2419" s="209"/>
      <c r="P2419" s="209"/>
      <c r="Q2419" s="209"/>
      <c r="R2419" s="217"/>
      <c r="S2419" s="217"/>
      <c r="T2419" s="217"/>
      <c r="U2419" s="199"/>
      <c r="V2419" s="200"/>
      <c r="W2419" s="200"/>
      <c r="X2419" s="200"/>
      <c r="Y2419" s="200"/>
      <c r="Z2419" s="200"/>
      <c r="AA2419" s="201"/>
      <c r="AB2419" s="200"/>
      <c r="AC2419" s="200"/>
    </row>
    <row r="2420" ht="15.75" customHeight="1">
      <c r="A2420" s="210">
        <f t="shared" si="1"/>
        <v>2418</v>
      </c>
      <c r="B2420" s="217"/>
      <c r="C2420" s="217" t="str">
        <f>IFERROR(VLOOKUP(B2420, SourceData!$U$3:$V$190, 2, FALSE), "")</f>
        <v/>
      </c>
      <c r="D2420" s="240"/>
      <c r="E2420" s="241"/>
      <c r="F2420" s="248"/>
      <c r="G2420" s="207"/>
      <c r="H2420" s="209"/>
      <c r="I2420" s="209"/>
      <c r="J2420" s="209"/>
      <c r="K2420" s="208" t="str">
        <f>IF(Errors!$I2420=0,SourceData!$B$42,VLOOKUP(Errors!$I2420,SourceData!$A$2:$B$40,2,FALSE))</f>
        <v>Please select ERROR CODE column "I"</v>
      </c>
      <c r="L2420" s="207" t="str">
        <f>IF(Errors!$I2420=0,
    'List of Error Codes'!$E$29,
    IFERROR(VLOOKUP(Errors!$I2420, 'List of Error Codes'!D2419:I2449, 6, FALSE), 'List of Error Codes'!$E$29)
)</f>
        <v>Please select ERROR CODE column "I"</v>
      </c>
      <c r="M2420" s="209"/>
      <c r="N2420" s="209"/>
      <c r="O2420" s="209"/>
      <c r="P2420" s="209"/>
      <c r="Q2420" s="209"/>
      <c r="R2420" s="217"/>
      <c r="S2420" s="217"/>
      <c r="T2420" s="217"/>
      <c r="U2420" s="199"/>
      <c r="V2420" s="200"/>
      <c r="W2420" s="200"/>
      <c r="X2420" s="200"/>
      <c r="Y2420" s="200"/>
      <c r="Z2420" s="200"/>
      <c r="AA2420" s="201"/>
      <c r="AB2420" s="200"/>
      <c r="AC2420" s="200"/>
    </row>
    <row r="2421" ht="15.75" customHeight="1">
      <c r="A2421" s="210">
        <f t="shared" si="1"/>
        <v>2419</v>
      </c>
      <c r="B2421" s="217"/>
      <c r="C2421" s="217" t="str">
        <f>IFERROR(VLOOKUP(B2421, SourceData!$U$3:$V$190, 2, FALSE), "")</f>
        <v/>
      </c>
      <c r="D2421" s="240"/>
      <c r="E2421" s="241"/>
      <c r="F2421" s="248"/>
      <c r="G2421" s="207"/>
      <c r="H2421" s="209"/>
      <c r="I2421" s="209"/>
      <c r="J2421" s="209"/>
      <c r="K2421" s="208" t="str">
        <f>IF(Errors!$I2421=0,SourceData!$B$42,VLOOKUP(Errors!$I2421,SourceData!$A$2:$B$40,2,FALSE))</f>
        <v>Please select ERROR CODE column "I"</v>
      </c>
      <c r="L2421" s="207" t="str">
        <f>IF(Errors!$I2421=0,
    'List of Error Codes'!$E$29,
    IFERROR(VLOOKUP(Errors!$I2421, 'List of Error Codes'!D2420:I2450, 6, FALSE), 'List of Error Codes'!$E$29)
)</f>
        <v>Please select ERROR CODE column "I"</v>
      </c>
      <c r="M2421" s="209"/>
      <c r="N2421" s="209"/>
      <c r="O2421" s="209"/>
      <c r="P2421" s="209"/>
      <c r="Q2421" s="209"/>
      <c r="R2421" s="217"/>
      <c r="S2421" s="217"/>
      <c r="T2421" s="217"/>
      <c r="U2421" s="199"/>
      <c r="V2421" s="200"/>
      <c r="W2421" s="200"/>
      <c r="X2421" s="200"/>
      <c r="Y2421" s="200"/>
      <c r="Z2421" s="200"/>
      <c r="AA2421" s="201"/>
      <c r="AB2421" s="200"/>
      <c r="AC2421" s="200"/>
    </row>
    <row r="2422" ht="15.75" customHeight="1">
      <c r="A2422" s="210">
        <f t="shared" si="1"/>
        <v>2420</v>
      </c>
      <c r="B2422" s="217"/>
      <c r="C2422" s="217" t="str">
        <f>IFERROR(VLOOKUP(B2422, SourceData!$U$3:$V$190, 2, FALSE), "")</f>
        <v/>
      </c>
      <c r="D2422" s="240"/>
      <c r="E2422" s="241"/>
      <c r="F2422" s="248"/>
      <c r="G2422" s="207"/>
      <c r="H2422" s="209"/>
      <c r="I2422" s="209"/>
      <c r="J2422" s="209"/>
      <c r="K2422" s="208" t="str">
        <f>IF(Errors!$I2422=0,SourceData!$B$42,VLOOKUP(Errors!$I2422,SourceData!$A$2:$B$40,2,FALSE))</f>
        <v>Please select ERROR CODE column "I"</v>
      </c>
      <c r="L2422" s="207" t="str">
        <f>IF(Errors!$I2422=0,
    'List of Error Codes'!$E$29,
    IFERROR(VLOOKUP(Errors!$I2422, 'List of Error Codes'!D2421:I2451, 6, FALSE), 'List of Error Codes'!$E$29)
)</f>
        <v>Please select ERROR CODE column "I"</v>
      </c>
      <c r="M2422" s="209"/>
      <c r="N2422" s="209"/>
      <c r="O2422" s="209"/>
      <c r="P2422" s="209"/>
      <c r="Q2422" s="209"/>
      <c r="R2422" s="217"/>
      <c r="S2422" s="217"/>
      <c r="T2422" s="217"/>
      <c r="U2422" s="199"/>
      <c r="V2422" s="200"/>
      <c r="W2422" s="200"/>
      <c r="X2422" s="200"/>
      <c r="Y2422" s="200"/>
      <c r="Z2422" s="200"/>
      <c r="AA2422" s="201"/>
      <c r="AB2422" s="200"/>
      <c r="AC2422" s="200"/>
    </row>
    <row r="2423" ht="15.75" customHeight="1">
      <c r="A2423" s="210">
        <f t="shared" si="1"/>
        <v>2421</v>
      </c>
      <c r="B2423" s="217"/>
      <c r="C2423" s="217" t="str">
        <f>IFERROR(VLOOKUP(B2423, SourceData!$U$3:$V$190, 2, FALSE), "")</f>
        <v/>
      </c>
      <c r="D2423" s="240"/>
      <c r="E2423" s="241"/>
      <c r="F2423" s="248"/>
      <c r="G2423" s="207"/>
      <c r="H2423" s="209"/>
      <c r="I2423" s="209"/>
      <c r="J2423" s="209"/>
      <c r="K2423" s="208" t="str">
        <f>IF(Errors!$I2423=0,SourceData!$B$42,VLOOKUP(Errors!$I2423,SourceData!$A$2:$B$40,2,FALSE))</f>
        <v>Please select ERROR CODE column "I"</v>
      </c>
      <c r="L2423" s="207" t="str">
        <f>IF(Errors!$I2423=0,
    'List of Error Codes'!$E$29,
    IFERROR(VLOOKUP(Errors!$I2423, 'List of Error Codes'!D2422:I2452, 6, FALSE), 'List of Error Codes'!$E$29)
)</f>
        <v>Please select ERROR CODE column "I"</v>
      </c>
      <c r="M2423" s="209"/>
      <c r="N2423" s="209"/>
      <c r="O2423" s="209"/>
      <c r="P2423" s="209"/>
      <c r="Q2423" s="209"/>
      <c r="R2423" s="217"/>
      <c r="S2423" s="217"/>
      <c r="T2423" s="217"/>
      <c r="U2423" s="199"/>
      <c r="V2423" s="200"/>
      <c r="W2423" s="200"/>
      <c r="X2423" s="200"/>
      <c r="Y2423" s="200"/>
      <c r="Z2423" s="200"/>
      <c r="AA2423" s="201"/>
      <c r="AB2423" s="200"/>
      <c r="AC2423" s="200"/>
    </row>
    <row r="2424" ht="15.75" customHeight="1">
      <c r="A2424" s="210">
        <f t="shared" si="1"/>
        <v>2422</v>
      </c>
      <c r="B2424" s="217"/>
      <c r="C2424" s="217" t="str">
        <f>IFERROR(VLOOKUP(B2424, SourceData!$U$3:$V$190, 2, FALSE), "")</f>
        <v/>
      </c>
      <c r="D2424" s="240"/>
      <c r="E2424" s="241"/>
      <c r="F2424" s="248"/>
      <c r="G2424" s="207"/>
      <c r="H2424" s="209"/>
      <c r="I2424" s="209"/>
      <c r="J2424" s="209"/>
      <c r="K2424" s="208" t="str">
        <f>IF(Errors!$I2424=0,SourceData!$B$42,VLOOKUP(Errors!$I2424,SourceData!$A$2:$B$40,2,FALSE))</f>
        <v>Please select ERROR CODE column "I"</v>
      </c>
      <c r="L2424" s="207" t="str">
        <f>IF(Errors!$I2424=0,
    'List of Error Codes'!$E$29,
    IFERROR(VLOOKUP(Errors!$I2424, 'List of Error Codes'!D2423:I2453, 6, FALSE), 'List of Error Codes'!$E$29)
)</f>
        <v>Please select ERROR CODE column "I"</v>
      </c>
      <c r="M2424" s="209"/>
      <c r="N2424" s="209"/>
      <c r="O2424" s="209"/>
      <c r="P2424" s="209"/>
      <c r="Q2424" s="209"/>
      <c r="R2424" s="217"/>
      <c r="S2424" s="217"/>
      <c r="T2424" s="217"/>
      <c r="U2424" s="199"/>
      <c r="V2424" s="200"/>
      <c r="W2424" s="200"/>
      <c r="X2424" s="200"/>
      <c r="Y2424" s="200"/>
      <c r="Z2424" s="200"/>
      <c r="AA2424" s="201"/>
      <c r="AB2424" s="200"/>
      <c r="AC2424" s="200"/>
    </row>
    <row r="2425" ht="15.75" customHeight="1">
      <c r="A2425" s="210">
        <f t="shared" si="1"/>
        <v>2423</v>
      </c>
      <c r="B2425" s="217"/>
      <c r="C2425" s="217" t="str">
        <f>IFERROR(VLOOKUP(B2425, SourceData!$U$3:$V$190, 2, FALSE), "")</f>
        <v/>
      </c>
      <c r="D2425" s="240"/>
      <c r="E2425" s="241"/>
      <c r="F2425" s="248"/>
      <c r="G2425" s="207"/>
      <c r="H2425" s="209"/>
      <c r="I2425" s="209"/>
      <c r="J2425" s="209"/>
      <c r="K2425" s="208" t="str">
        <f>IF(Errors!$I2425=0,SourceData!$B$42,VLOOKUP(Errors!$I2425,SourceData!$A$2:$B$40,2,FALSE))</f>
        <v>Please select ERROR CODE column "I"</v>
      </c>
      <c r="L2425" s="207" t="str">
        <f>IF(Errors!$I2425=0,
    'List of Error Codes'!$E$29,
    IFERROR(VLOOKUP(Errors!$I2425, 'List of Error Codes'!D2424:I2454, 6, FALSE), 'List of Error Codes'!$E$29)
)</f>
        <v>Please select ERROR CODE column "I"</v>
      </c>
      <c r="M2425" s="209"/>
      <c r="N2425" s="209"/>
      <c r="O2425" s="209"/>
      <c r="P2425" s="209"/>
      <c r="Q2425" s="209"/>
      <c r="R2425" s="217"/>
      <c r="S2425" s="217"/>
      <c r="T2425" s="217"/>
      <c r="U2425" s="199"/>
      <c r="V2425" s="200"/>
      <c r="W2425" s="200"/>
      <c r="X2425" s="200"/>
      <c r="Y2425" s="200"/>
      <c r="Z2425" s="200"/>
      <c r="AA2425" s="201"/>
      <c r="AB2425" s="200"/>
      <c r="AC2425" s="200"/>
    </row>
    <row r="2426" ht="15.75" customHeight="1">
      <c r="A2426" s="210">
        <f t="shared" si="1"/>
        <v>2424</v>
      </c>
      <c r="B2426" s="217"/>
      <c r="C2426" s="217" t="str">
        <f>IFERROR(VLOOKUP(B2426, SourceData!$U$3:$V$190, 2, FALSE), "")</f>
        <v/>
      </c>
      <c r="D2426" s="240"/>
      <c r="E2426" s="241"/>
      <c r="F2426" s="248"/>
      <c r="G2426" s="207"/>
      <c r="H2426" s="209"/>
      <c r="I2426" s="209"/>
      <c r="J2426" s="209"/>
      <c r="K2426" s="208" t="str">
        <f>IF(Errors!$I2426=0,SourceData!$B$42,VLOOKUP(Errors!$I2426,SourceData!$A$2:$B$40,2,FALSE))</f>
        <v>Please select ERROR CODE column "I"</v>
      </c>
      <c r="L2426" s="207" t="str">
        <f>IF(Errors!$I2426=0,
    'List of Error Codes'!$E$29,
    IFERROR(VLOOKUP(Errors!$I2426, 'List of Error Codes'!D2425:I2455, 6, FALSE), 'List of Error Codes'!$E$29)
)</f>
        <v>Please select ERROR CODE column "I"</v>
      </c>
      <c r="M2426" s="209"/>
      <c r="N2426" s="209"/>
      <c r="O2426" s="209"/>
      <c r="P2426" s="209"/>
      <c r="Q2426" s="209"/>
      <c r="R2426" s="217"/>
      <c r="S2426" s="217"/>
      <c r="T2426" s="217"/>
      <c r="U2426" s="199"/>
      <c r="V2426" s="200"/>
      <c r="W2426" s="200"/>
      <c r="X2426" s="200"/>
      <c r="Y2426" s="200"/>
      <c r="Z2426" s="200"/>
      <c r="AA2426" s="201"/>
      <c r="AB2426" s="200"/>
      <c r="AC2426" s="200"/>
    </row>
    <row r="2427" ht="15.75" customHeight="1">
      <c r="A2427" s="210">
        <f t="shared" si="1"/>
        <v>2425</v>
      </c>
      <c r="B2427" s="217"/>
      <c r="C2427" s="217" t="str">
        <f>IFERROR(VLOOKUP(B2427, SourceData!$U$3:$V$190, 2, FALSE), "")</f>
        <v/>
      </c>
      <c r="D2427" s="240"/>
      <c r="E2427" s="241"/>
      <c r="F2427" s="248"/>
      <c r="G2427" s="207"/>
      <c r="H2427" s="209"/>
      <c r="I2427" s="209"/>
      <c r="J2427" s="209"/>
      <c r="K2427" s="208" t="str">
        <f>IF(Errors!$I2427=0,SourceData!$B$42,VLOOKUP(Errors!$I2427,SourceData!$A$2:$B$40,2,FALSE))</f>
        <v>Please select ERROR CODE column "I"</v>
      </c>
      <c r="L2427" s="207" t="str">
        <f>IF(Errors!$I2427=0,
    'List of Error Codes'!$E$29,
    IFERROR(VLOOKUP(Errors!$I2427, 'List of Error Codes'!D2426:I2456, 6, FALSE), 'List of Error Codes'!$E$29)
)</f>
        <v>Please select ERROR CODE column "I"</v>
      </c>
      <c r="M2427" s="209"/>
      <c r="N2427" s="209"/>
      <c r="O2427" s="209"/>
      <c r="P2427" s="209"/>
      <c r="Q2427" s="209"/>
      <c r="R2427" s="217"/>
      <c r="S2427" s="217"/>
      <c r="T2427" s="217"/>
      <c r="U2427" s="199"/>
      <c r="V2427" s="200"/>
      <c r="W2427" s="200"/>
      <c r="X2427" s="200"/>
      <c r="Y2427" s="200"/>
      <c r="Z2427" s="200"/>
      <c r="AA2427" s="201"/>
      <c r="AB2427" s="200"/>
      <c r="AC2427" s="200"/>
    </row>
    <row r="2428" ht="15.75" customHeight="1">
      <c r="A2428" s="210">
        <f t="shared" si="1"/>
        <v>2426</v>
      </c>
      <c r="B2428" s="217"/>
      <c r="C2428" s="217" t="str">
        <f>IFERROR(VLOOKUP(B2428, SourceData!$U$3:$V$190, 2, FALSE), "")</f>
        <v/>
      </c>
      <c r="D2428" s="240"/>
      <c r="E2428" s="241"/>
      <c r="F2428" s="248"/>
      <c r="G2428" s="207"/>
      <c r="H2428" s="209"/>
      <c r="I2428" s="209"/>
      <c r="J2428" s="209"/>
      <c r="K2428" s="208" t="str">
        <f>IF(Errors!$I2428=0,SourceData!$B$42,VLOOKUP(Errors!$I2428,SourceData!$A$2:$B$40,2,FALSE))</f>
        <v>Please select ERROR CODE column "I"</v>
      </c>
      <c r="L2428" s="207" t="str">
        <f>IF(Errors!$I2428=0,
    'List of Error Codes'!$E$29,
    IFERROR(VLOOKUP(Errors!$I2428, 'List of Error Codes'!D2427:I2457, 6, FALSE), 'List of Error Codes'!$E$29)
)</f>
        <v>Please select ERROR CODE column "I"</v>
      </c>
      <c r="M2428" s="209"/>
      <c r="N2428" s="209"/>
      <c r="O2428" s="209"/>
      <c r="P2428" s="209"/>
      <c r="Q2428" s="209"/>
      <c r="R2428" s="217"/>
      <c r="S2428" s="217"/>
      <c r="T2428" s="217"/>
      <c r="U2428" s="199"/>
      <c r="V2428" s="200"/>
      <c r="W2428" s="200"/>
      <c r="X2428" s="200"/>
      <c r="Y2428" s="200"/>
      <c r="Z2428" s="200"/>
      <c r="AA2428" s="201"/>
      <c r="AB2428" s="200"/>
      <c r="AC2428" s="200"/>
    </row>
    <row r="2429" ht="15.75" customHeight="1">
      <c r="A2429" s="210">
        <f t="shared" si="1"/>
        <v>2427</v>
      </c>
      <c r="B2429" s="217"/>
      <c r="C2429" s="217" t="str">
        <f>IFERROR(VLOOKUP(B2429, SourceData!$U$3:$V$190, 2, FALSE), "")</f>
        <v/>
      </c>
      <c r="D2429" s="240"/>
      <c r="E2429" s="241"/>
      <c r="F2429" s="248"/>
      <c r="G2429" s="207"/>
      <c r="H2429" s="209"/>
      <c r="I2429" s="209"/>
      <c r="J2429" s="209"/>
      <c r="K2429" s="208" t="str">
        <f>IF(Errors!$I2429=0,SourceData!$B$42,VLOOKUP(Errors!$I2429,SourceData!$A$2:$B$40,2,FALSE))</f>
        <v>Please select ERROR CODE column "I"</v>
      </c>
      <c r="L2429" s="207" t="str">
        <f>IF(Errors!$I2429=0,
    'List of Error Codes'!$E$29,
    IFERROR(VLOOKUP(Errors!$I2429, 'List of Error Codes'!D2428:I2458, 6, FALSE), 'List of Error Codes'!$E$29)
)</f>
        <v>Please select ERROR CODE column "I"</v>
      </c>
      <c r="M2429" s="209"/>
      <c r="N2429" s="209"/>
      <c r="O2429" s="209"/>
      <c r="P2429" s="209"/>
      <c r="Q2429" s="209"/>
      <c r="R2429" s="217"/>
      <c r="S2429" s="217"/>
      <c r="T2429" s="217"/>
      <c r="U2429" s="199"/>
      <c r="V2429" s="200"/>
      <c r="W2429" s="200"/>
      <c r="X2429" s="200"/>
      <c r="Y2429" s="200"/>
      <c r="Z2429" s="200"/>
      <c r="AA2429" s="201"/>
      <c r="AB2429" s="200"/>
      <c r="AC2429" s="200"/>
    </row>
    <row r="2430" ht="15.75" customHeight="1">
      <c r="A2430" s="210">
        <f t="shared" si="1"/>
        <v>2428</v>
      </c>
      <c r="B2430" s="217"/>
      <c r="C2430" s="217" t="str">
        <f>IFERROR(VLOOKUP(B2430, SourceData!$U$3:$V$190, 2, FALSE), "")</f>
        <v/>
      </c>
      <c r="D2430" s="240"/>
      <c r="E2430" s="241"/>
      <c r="F2430" s="248"/>
      <c r="G2430" s="207"/>
      <c r="H2430" s="209"/>
      <c r="I2430" s="209"/>
      <c r="J2430" s="209"/>
      <c r="K2430" s="208" t="str">
        <f>IF(Errors!$I2430=0,SourceData!$B$42,VLOOKUP(Errors!$I2430,SourceData!$A$2:$B$40,2,FALSE))</f>
        <v>Please select ERROR CODE column "I"</v>
      </c>
      <c r="L2430" s="207" t="str">
        <f>IF(Errors!$I2430=0,
    'List of Error Codes'!$E$29,
    IFERROR(VLOOKUP(Errors!$I2430, 'List of Error Codes'!D2429:I2459, 6, FALSE), 'List of Error Codes'!$E$29)
)</f>
        <v>Please select ERROR CODE column "I"</v>
      </c>
      <c r="M2430" s="209"/>
      <c r="N2430" s="209"/>
      <c r="O2430" s="209"/>
      <c r="P2430" s="209"/>
      <c r="Q2430" s="209"/>
      <c r="R2430" s="217"/>
      <c r="S2430" s="217"/>
      <c r="T2430" s="217"/>
      <c r="U2430" s="199"/>
      <c r="V2430" s="200"/>
      <c r="W2430" s="200"/>
      <c r="X2430" s="200"/>
      <c r="Y2430" s="200"/>
      <c r="Z2430" s="200"/>
      <c r="AA2430" s="201"/>
      <c r="AB2430" s="200"/>
      <c r="AC2430" s="200"/>
    </row>
    <row r="2431" ht="15.75" customHeight="1">
      <c r="A2431" s="210">
        <f t="shared" si="1"/>
        <v>2429</v>
      </c>
      <c r="B2431" s="217"/>
      <c r="C2431" s="217" t="str">
        <f>IFERROR(VLOOKUP(B2431, SourceData!$U$3:$V$190, 2, FALSE), "")</f>
        <v/>
      </c>
      <c r="D2431" s="240"/>
      <c r="E2431" s="241"/>
      <c r="F2431" s="248"/>
      <c r="G2431" s="207"/>
      <c r="H2431" s="209"/>
      <c r="I2431" s="209"/>
      <c r="J2431" s="209"/>
      <c r="K2431" s="208" t="str">
        <f>IF(Errors!$I2431=0,SourceData!$B$42,VLOOKUP(Errors!$I2431,SourceData!$A$2:$B$40,2,FALSE))</f>
        <v>Please select ERROR CODE column "I"</v>
      </c>
      <c r="L2431" s="207" t="str">
        <f>IF(Errors!$I2431=0,
    'List of Error Codes'!$E$29,
    IFERROR(VLOOKUP(Errors!$I2431, 'List of Error Codes'!D2430:I2460, 6, FALSE), 'List of Error Codes'!$E$29)
)</f>
        <v>Please select ERROR CODE column "I"</v>
      </c>
      <c r="M2431" s="209"/>
      <c r="N2431" s="209"/>
      <c r="O2431" s="209"/>
      <c r="P2431" s="209"/>
      <c r="Q2431" s="209"/>
      <c r="R2431" s="217"/>
      <c r="S2431" s="217"/>
      <c r="T2431" s="217"/>
      <c r="U2431" s="199"/>
      <c r="V2431" s="200"/>
      <c r="W2431" s="200"/>
      <c r="X2431" s="200"/>
      <c r="Y2431" s="200"/>
      <c r="Z2431" s="200"/>
      <c r="AA2431" s="201"/>
      <c r="AB2431" s="200"/>
      <c r="AC2431" s="200"/>
    </row>
    <row r="2432" ht="15.75" customHeight="1">
      <c r="A2432" s="210">
        <f t="shared" si="1"/>
        <v>2430</v>
      </c>
      <c r="B2432" s="217"/>
      <c r="C2432" s="217" t="str">
        <f>IFERROR(VLOOKUP(B2432, SourceData!$U$3:$V$190, 2, FALSE), "")</f>
        <v/>
      </c>
      <c r="D2432" s="240"/>
      <c r="E2432" s="241"/>
      <c r="F2432" s="248"/>
      <c r="G2432" s="207"/>
      <c r="H2432" s="209"/>
      <c r="I2432" s="209"/>
      <c r="J2432" s="209"/>
      <c r="K2432" s="208" t="str">
        <f>IF(Errors!$I2432=0,SourceData!$B$42,VLOOKUP(Errors!$I2432,SourceData!$A$2:$B$40,2,FALSE))</f>
        <v>Please select ERROR CODE column "I"</v>
      </c>
      <c r="L2432" s="207" t="str">
        <f>IF(Errors!$I2432=0,
    'List of Error Codes'!$E$29,
    IFERROR(VLOOKUP(Errors!$I2432, 'List of Error Codes'!D2431:I2461, 6, FALSE), 'List of Error Codes'!$E$29)
)</f>
        <v>Please select ERROR CODE column "I"</v>
      </c>
      <c r="M2432" s="209"/>
      <c r="N2432" s="209"/>
      <c r="O2432" s="209"/>
      <c r="P2432" s="209"/>
      <c r="Q2432" s="209"/>
      <c r="R2432" s="217"/>
      <c r="S2432" s="217"/>
      <c r="T2432" s="217"/>
      <c r="U2432" s="199"/>
      <c r="V2432" s="200"/>
      <c r="W2432" s="200"/>
      <c r="X2432" s="200"/>
      <c r="Y2432" s="200"/>
      <c r="Z2432" s="200"/>
      <c r="AA2432" s="201"/>
      <c r="AB2432" s="200"/>
      <c r="AC2432" s="200"/>
    </row>
    <row r="2433" ht="15.75" customHeight="1">
      <c r="A2433" s="210">
        <f t="shared" si="1"/>
        <v>2431</v>
      </c>
      <c r="B2433" s="217"/>
      <c r="C2433" s="217" t="str">
        <f>IFERROR(VLOOKUP(B2433, SourceData!$U$3:$V$190, 2, FALSE), "")</f>
        <v/>
      </c>
      <c r="D2433" s="240"/>
      <c r="E2433" s="241"/>
      <c r="F2433" s="248"/>
      <c r="G2433" s="207"/>
      <c r="H2433" s="209"/>
      <c r="I2433" s="209"/>
      <c r="J2433" s="209"/>
      <c r="K2433" s="208" t="str">
        <f>IF(Errors!$I2433=0,SourceData!$B$42,VLOOKUP(Errors!$I2433,SourceData!$A$2:$B$40,2,FALSE))</f>
        <v>Please select ERROR CODE column "I"</v>
      </c>
      <c r="L2433" s="207" t="str">
        <f>IF(Errors!$I2433=0,
    'List of Error Codes'!$E$29,
    IFERROR(VLOOKUP(Errors!$I2433, 'List of Error Codes'!D2432:I2462, 6, FALSE), 'List of Error Codes'!$E$29)
)</f>
        <v>Please select ERROR CODE column "I"</v>
      </c>
      <c r="M2433" s="209"/>
      <c r="N2433" s="209"/>
      <c r="O2433" s="209"/>
      <c r="P2433" s="209"/>
      <c r="Q2433" s="209"/>
      <c r="R2433" s="217"/>
      <c r="S2433" s="217"/>
      <c r="T2433" s="217"/>
      <c r="U2433" s="199"/>
      <c r="V2433" s="200"/>
      <c r="W2433" s="200"/>
      <c r="X2433" s="200"/>
      <c r="Y2433" s="200"/>
      <c r="Z2433" s="200"/>
      <c r="AA2433" s="201"/>
      <c r="AB2433" s="200"/>
      <c r="AC2433" s="200"/>
    </row>
    <row r="2434" ht="15.75" customHeight="1">
      <c r="A2434" s="210">
        <f t="shared" si="1"/>
        <v>2432</v>
      </c>
      <c r="B2434" s="217"/>
      <c r="C2434" s="217" t="str">
        <f>IFERROR(VLOOKUP(B2434, SourceData!$U$3:$V$190, 2, FALSE), "")</f>
        <v/>
      </c>
      <c r="D2434" s="240"/>
      <c r="E2434" s="241"/>
      <c r="F2434" s="248"/>
      <c r="G2434" s="207"/>
      <c r="H2434" s="209"/>
      <c r="I2434" s="209"/>
      <c r="J2434" s="209"/>
      <c r="K2434" s="208" t="str">
        <f>IF(Errors!$I2434=0,SourceData!$B$42,VLOOKUP(Errors!$I2434,SourceData!$A$2:$B$40,2,FALSE))</f>
        <v>Please select ERROR CODE column "I"</v>
      </c>
      <c r="L2434" s="207" t="str">
        <f>IF(Errors!$I2434=0,
    'List of Error Codes'!$E$29,
    IFERROR(VLOOKUP(Errors!$I2434, 'List of Error Codes'!D2433:I2463, 6, FALSE), 'List of Error Codes'!$E$29)
)</f>
        <v>Please select ERROR CODE column "I"</v>
      </c>
      <c r="M2434" s="209"/>
      <c r="N2434" s="209"/>
      <c r="O2434" s="209"/>
      <c r="P2434" s="209"/>
      <c r="Q2434" s="209"/>
      <c r="R2434" s="217"/>
      <c r="S2434" s="217"/>
      <c r="T2434" s="217"/>
      <c r="U2434" s="199"/>
      <c r="V2434" s="200"/>
      <c r="W2434" s="200"/>
      <c r="X2434" s="200"/>
      <c r="Y2434" s="200"/>
      <c r="Z2434" s="200"/>
      <c r="AA2434" s="201"/>
      <c r="AB2434" s="200"/>
      <c r="AC2434" s="200"/>
    </row>
    <row r="2435" ht="15.75" customHeight="1">
      <c r="A2435" s="210">
        <f t="shared" si="1"/>
        <v>2433</v>
      </c>
      <c r="B2435" s="217"/>
      <c r="C2435" s="217" t="str">
        <f>IFERROR(VLOOKUP(B2435, SourceData!$U$3:$V$190, 2, FALSE), "")</f>
        <v/>
      </c>
      <c r="D2435" s="240"/>
      <c r="E2435" s="241"/>
      <c r="F2435" s="248"/>
      <c r="G2435" s="207"/>
      <c r="H2435" s="209"/>
      <c r="I2435" s="209"/>
      <c r="J2435" s="209"/>
      <c r="K2435" s="208" t="str">
        <f>IF(Errors!$I2435=0,SourceData!$B$42,VLOOKUP(Errors!$I2435,SourceData!$A$2:$B$40,2,FALSE))</f>
        <v>Please select ERROR CODE column "I"</v>
      </c>
      <c r="L2435" s="207" t="str">
        <f>IF(Errors!$I2435=0,
    'List of Error Codes'!$E$29,
    IFERROR(VLOOKUP(Errors!$I2435, 'List of Error Codes'!D2434:I2464, 6, FALSE), 'List of Error Codes'!$E$29)
)</f>
        <v>Please select ERROR CODE column "I"</v>
      </c>
      <c r="M2435" s="209"/>
      <c r="N2435" s="209"/>
      <c r="O2435" s="209"/>
      <c r="P2435" s="209"/>
      <c r="Q2435" s="209"/>
      <c r="R2435" s="217"/>
      <c r="S2435" s="217"/>
      <c r="T2435" s="217"/>
      <c r="U2435" s="199"/>
      <c r="V2435" s="200"/>
      <c r="W2435" s="200"/>
      <c r="X2435" s="200"/>
      <c r="Y2435" s="200"/>
      <c r="Z2435" s="200"/>
      <c r="AA2435" s="201"/>
      <c r="AB2435" s="200"/>
      <c r="AC2435" s="200"/>
    </row>
    <row r="2436" ht="15.75" customHeight="1">
      <c r="A2436" s="210">
        <f t="shared" si="1"/>
        <v>2434</v>
      </c>
      <c r="B2436" s="217"/>
      <c r="C2436" s="217" t="str">
        <f>IFERROR(VLOOKUP(B2436, SourceData!$U$3:$V$190, 2, FALSE), "")</f>
        <v/>
      </c>
      <c r="D2436" s="240"/>
      <c r="E2436" s="241"/>
      <c r="F2436" s="248"/>
      <c r="G2436" s="207"/>
      <c r="H2436" s="209"/>
      <c r="I2436" s="209"/>
      <c r="J2436" s="209"/>
      <c r="K2436" s="208" t="str">
        <f>IF(Errors!$I2436=0,SourceData!$B$42,VLOOKUP(Errors!$I2436,SourceData!$A$2:$B$40,2,FALSE))</f>
        <v>Please select ERROR CODE column "I"</v>
      </c>
      <c r="L2436" s="207" t="str">
        <f>IF(Errors!$I2436=0,
    'List of Error Codes'!$E$29,
    IFERROR(VLOOKUP(Errors!$I2436, 'List of Error Codes'!D2435:I2465, 6, FALSE), 'List of Error Codes'!$E$29)
)</f>
        <v>Please select ERROR CODE column "I"</v>
      </c>
      <c r="M2436" s="209"/>
      <c r="N2436" s="209"/>
      <c r="O2436" s="209"/>
      <c r="P2436" s="209"/>
      <c r="Q2436" s="209"/>
      <c r="R2436" s="217"/>
      <c r="S2436" s="217"/>
      <c r="T2436" s="217"/>
      <c r="U2436" s="199"/>
      <c r="V2436" s="200"/>
      <c r="W2436" s="200"/>
      <c r="X2436" s="200"/>
      <c r="Y2436" s="200"/>
      <c r="Z2436" s="200"/>
      <c r="AA2436" s="201"/>
      <c r="AB2436" s="200"/>
      <c r="AC2436" s="200"/>
    </row>
    <row r="2437" ht="15.75" customHeight="1">
      <c r="A2437" s="210">
        <f t="shared" si="1"/>
        <v>2435</v>
      </c>
      <c r="B2437" s="217"/>
      <c r="C2437" s="217" t="str">
        <f>IFERROR(VLOOKUP(B2437, SourceData!$U$3:$V$190, 2, FALSE), "")</f>
        <v/>
      </c>
      <c r="D2437" s="240"/>
      <c r="E2437" s="241"/>
      <c r="F2437" s="248"/>
      <c r="G2437" s="207"/>
      <c r="H2437" s="209"/>
      <c r="I2437" s="209"/>
      <c r="J2437" s="209"/>
      <c r="K2437" s="208" t="str">
        <f>IF(Errors!$I2437=0,SourceData!$B$42,VLOOKUP(Errors!$I2437,SourceData!$A$2:$B$40,2,FALSE))</f>
        <v>Please select ERROR CODE column "I"</v>
      </c>
      <c r="L2437" s="207" t="str">
        <f>IF(Errors!$I2437=0,
    'List of Error Codes'!$E$29,
    IFERROR(VLOOKUP(Errors!$I2437, 'List of Error Codes'!D2436:I2466, 6, FALSE), 'List of Error Codes'!$E$29)
)</f>
        <v>Please select ERROR CODE column "I"</v>
      </c>
      <c r="M2437" s="209"/>
      <c r="N2437" s="209"/>
      <c r="O2437" s="209"/>
      <c r="P2437" s="209"/>
      <c r="Q2437" s="209"/>
      <c r="R2437" s="217"/>
      <c r="S2437" s="217"/>
      <c r="T2437" s="217"/>
      <c r="U2437" s="199"/>
      <c r="V2437" s="200"/>
      <c r="W2437" s="200"/>
      <c r="X2437" s="200"/>
      <c r="Y2437" s="200"/>
      <c r="Z2437" s="200"/>
      <c r="AA2437" s="201"/>
      <c r="AB2437" s="200"/>
      <c r="AC2437" s="200"/>
    </row>
    <row r="2438" ht="15.75" customHeight="1">
      <c r="A2438" s="210">
        <f t="shared" si="1"/>
        <v>2436</v>
      </c>
      <c r="B2438" s="217"/>
      <c r="C2438" s="217" t="str">
        <f>IFERROR(VLOOKUP(B2438, SourceData!$U$3:$V$190, 2, FALSE), "")</f>
        <v/>
      </c>
      <c r="D2438" s="240"/>
      <c r="E2438" s="241"/>
      <c r="F2438" s="248"/>
      <c r="G2438" s="207"/>
      <c r="H2438" s="209"/>
      <c r="I2438" s="209"/>
      <c r="J2438" s="209"/>
      <c r="K2438" s="208" t="str">
        <f>IF(Errors!$I2438=0,SourceData!$B$42,VLOOKUP(Errors!$I2438,SourceData!$A$2:$B$40,2,FALSE))</f>
        <v>Please select ERROR CODE column "I"</v>
      </c>
      <c r="L2438" s="207" t="str">
        <f>IF(Errors!$I2438=0,
    'List of Error Codes'!$E$29,
    IFERROR(VLOOKUP(Errors!$I2438, 'List of Error Codes'!D2437:I2467, 6, FALSE), 'List of Error Codes'!$E$29)
)</f>
        <v>Please select ERROR CODE column "I"</v>
      </c>
      <c r="M2438" s="209"/>
      <c r="N2438" s="209"/>
      <c r="O2438" s="209"/>
      <c r="P2438" s="209"/>
      <c r="Q2438" s="209"/>
      <c r="R2438" s="217"/>
      <c r="S2438" s="217"/>
      <c r="T2438" s="217"/>
      <c r="U2438" s="199"/>
      <c r="V2438" s="200"/>
      <c r="W2438" s="200"/>
      <c r="X2438" s="200"/>
      <c r="Y2438" s="200"/>
      <c r="Z2438" s="200"/>
      <c r="AA2438" s="201"/>
      <c r="AB2438" s="200"/>
      <c r="AC2438" s="200"/>
    </row>
    <row r="2439" ht="15.75" customHeight="1">
      <c r="A2439" s="210">
        <f t="shared" si="1"/>
        <v>2437</v>
      </c>
      <c r="B2439" s="217"/>
      <c r="C2439" s="217" t="str">
        <f>IFERROR(VLOOKUP(B2439, SourceData!$U$3:$V$190, 2, FALSE), "")</f>
        <v/>
      </c>
      <c r="D2439" s="240"/>
      <c r="E2439" s="241"/>
      <c r="F2439" s="248"/>
      <c r="G2439" s="207"/>
      <c r="H2439" s="209"/>
      <c r="I2439" s="209"/>
      <c r="J2439" s="209"/>
      <c r="K2439" s="208" t="str">
        <f>IF(Errors!$I2439=0,SourceData!$B$42,VLOOKUP(Errors!$I2439,SourceData!$A$2:$B$40,2,FALSE))</f>
        <v>Please select ERROR CODE column "I"</v>
      </c>
      <c r="L2439" s="207" t="str">
        <f>IF(Errors!$I2439=0,
    'List of Error Codes'!$E$29,
    IFERROR(VLOOKUP(Errors!$I2439, 'List of Error Codes'!D2438:I2468, 6, FALSE), 'List of Error Codes'!$E$29)
)</f>
        <v>Please select ERROR CODE column "I"</v>
      </c>
      <c r="M2439" s="209"/>
      <c r="N2439" s="209"/>
      <c r="O2439" s="209"/>
      <c r="P2439" s="209"/>
      <c r="Q2439" s="209"/>
      <c r="R2439" s="217"/>
      <c r="S2439" s="217"/>
      <c r="T2439" s="217"/>
      <c r="U2439" s="199"/>
      <c r="V2439" s="200"/>
      <c r="W2439" s="200"/>
      <c r="X2439" s="200"/>
      <c r="Y2439" s="200"/>
      <c r="Z2439" s="200"/>
      <c r="AA2439" s="201"/>
      <c r="AB2439" s="200"/>
      <c r="AC2439" s="200"/>
    </row>
    <row r="2440" ht="15.75" customHeight="1">
      <c r="A2440" s="210">
        <f t="shared" si="1"/>
        <v>2438</v>
      </c>
      <c r="B2440" s="217"/>
      <c r="C2440" s="217" t="str">
        <f>IFERROR(VLOOKUP(B2440, SourceData!$U$3:$V$190, 2, FALSE), "")</f>
        <v/>
      </c>
      <c r="D2440" s="240"/>
      <c r="E2440" s="241"/>
      <c r="F2440" s="248"/>
      <c r="G2440" s="207"/>
      <c r="H2440" s="209"/>
      <c r="I2440" s="209"/>
      <c r="J2440" s="209"/>
      <c r="K2440" s="208" t="str">
        <f>IF(Errors!$I2440=0,SourceData!$B$42,VLOOKUP(Errors!$I2440,SourceData!$A$2:$B$40,2,FALSE))</f>
        <v>Please select ERROR CODE column "I"</v>
      </c>
      <c r="L2440" s="207" t="str">
        <f>IF(Errors!$I2440=0,
    'List of Error Codes'!$E$29,
    IFERROR(VLOOKUP(Errors!$I2440, 'List of Error Codes'!D2439:I2469, 6, FALSE), 'List of Error Codes'!$E$29)
)</f>
        <v>Please select ERROR CODE column "I"</v>
      </c>
      <c r="M2440" s="209"/>
      <c r="N2440" s="209"/>
      <c r="O2440" s="209"/>
      <c r="P2440" s="209"/>
      <c r="Q2440" s="209"/>
      <c r="R2440" s="217"/>
      <c r="S2440" s="217"/>
      <c r="T2440" s="217"/>
      <c r="U2440" s="199"/>
      <c r="V2440" s="200"/>
      <c r="W2440" s="200"/>
      <c r="X2440" s="200"/>
      <c r="Y2440" s="200"/>
      <c r="Z2440" s="200"/>
      <c r="AA2440" s="201"/>
      <c r="AB2440" s="200"/>
      <c r="AC2440" s="200"/>
    </row>
    <row r="2441" ht="15.75" customHeight="1">
      <c r="A2441" s="210">
        <f t="shared" si="1"/>
        <v>2439</v>
      </c>
      <c r="B2441" s="217"/>
      <c r="C2441" s="217" t="str">
        <f>IFERROR(VLOOKUP(B2441, SourceData!$U$3:$V$190, 2, FALSE), "")</f>
        <v/>
      </c>
      <c r="D2441" s="240"/>
      <c r="E2441" s="241"/>
      <c r="F2441" s="248"/>
      <c r="G2441" s="207"/>
      <c r="H2441" s="209"/>
      <c r="I2441" s="209"/>
      <c r="J2441" s="209"/>
      <c r="K2441" s="208" t="str">
        <f>IF(Errors!$I2441=0,SourceData!$B$42,VLOOKUP(Errors!$I2441,SourceData!$A$2:$B$40,2,FALSE))</f>
        <v>Please select ERROR CODE column "I"</v>
      </c>
      <c r="L2441" s="207" t="str">
        <f>IF(Errors!$I2441=0,
    'List of Error Codes'!$E$29,
    IFERROR(VLOOKUP(Errors!$I2441, 'List of Error Codes'!D2440:I2470, 6, FALSE), 'List of Error Codes'!$E$29)
)</f>
        <v>Please select ERROR CODE column "I"</v>
      </c>
      <c r="M2441" s="209"/>
      <c r="N2441" s="209"/>
      <c r="O2441" s="209"/>
      <c r="P2441" s="209"/>
      <c r="Q2441" s="209"/>
      <c r="R2441" s="217"/>
      <c r="S2441" s="217"/>
      <c r="T2441" s="217"/>
      <c r="U2441" s="199"/>
      <c r="V2441" s="200"/>
      <c r="W2441" s="200"/>
      <c r="X2441" s="200"/>
      <c r="Y2441" s="200"/>
      <c r="Z2441" s="200"/>
      <c r="AA2441" s="201"/>
      <c r="AB2441" s="200"/>
      <c r="AC2441" s="200"/>
    </row>
    <row r="2442" ht="15.75" customHeight="1">
      <c r="A2442" s="210">
        <f t="shared" si="1"/>
        <v>2440</v>
      </c>
      <c r="B2442" s="217"/>
      <c r="C2442" s="217" t="str">
        <f>IFERROR(VLOOKUP(B2442, SourceData!$U$3:$V$190, 2, FALSE), "")</f>
        <v/>
      </c>
      <c r="D2442" s="240"/>
      <c r="E2442" s="241"/>
      <c r="F2442" s="248"/>
      <c r="G2442" s="207"/>
      <c r="H2442" s="209"/>
      <c r="I2442" s="209"/>
      <c r="J2442" s="209"/>
      <c r="K2442" s="208" t="str">
        <f>IF(Errors!$I2442=0,SourceData!$B$42,VLOOKUP(Errors!$I2442,SourceData!$A$2:$B$40,2,FALSE))</f>
        <v>Please select ERROR CODE column "I"</v>
      </c>
      <c r="L2442" s="207" t="str">
        <f>IF(Errors!$I2442=0,
    'List of Error Codes'!$E$29,
    IFERROR(VLOOKUP(Errors!$I2442, 'List of Error Codes'!D2441:I2471, 6, FALSE), 'List of Error Codes'!$E$29)
)</f>
        <v>Please select ERROR CODE column "I"</v>
      </c>
      <c r="M2442" s="209"/>
      <c r="N2442" s="209"/>
      <c r="O2442" s="209"/>
      <c r="P2442" s="209"/>
      <c r="Q2442" s="209"/>
      <c r="R2442" s="217"/>
      <c r="S2442" s="217"/>
      <c r="T2442" s="217"/>
      <c r="U2442" s="199"/>
      <c r="V2442" s="200"/>
      <c r="W2442" s="200"/>
      <c r="X2442" s="200"/>
      <c r="Y2442" s="200"/>
      <c r="Z2442" s="200"/>
      <c r="AA2442" s="201"/>
      <c r="AB2442" s="200"/>
      <c r="AC2442" s="200"/>
    </row>
    <row r="2443" ht="15.75" customHeight="1">
      <c r="A2443" s="210">
        <f t="shared" si="1"/>
        <v>2441</v>
      </c>
      <c r="B2443" s="217"/>
      <c r="C2443" s="217" t="str">
        <f>IFERROR(VLOOKUP(B2443, SourceData!$U$3:$V$190, 2, FALSE), "")</f>
        <v/>
      </c>
      <c r="D2443" s="240"/>
      <c r="E2443" s="241"/>
      <c r="F2443" s="248"/>
      <c r="G2443" s="207"/>
      <c r="H2443" s="209"/>
      <c r="I2443" s="209"/>
      <c r="J2443" s="209"/>
      <c r="K2443" s="208" t="str">
        <f>IF(Errors!$I2443=0,SourceData!$B$42,VLOOKUP(Errors!$I2443,SourceData!$A$2:$B$40,2,FALSE))</f>
        <v>Please select ERROR CODE column "I"</v>
      </c>
      <c r="L2443" s="207" t="str">
        <f>IF(Errors!$I2443=0,
    'List of Error Codes'!$E$29,
    IFERROR(VLOOKUP(Errors!$I2443, 'List of Error Codes'!D2442:I2472, 6, FALSE), 'List of Error Codes'!$E$29)
)</f>
        <v>Please select ERROR CODE column "I"</v>
      </c>
      <c r="M2443" s="209"/>
      <c r="N2443" s="209"/>
      <c r="O2443" s="209"/>
      <c r="P2443" s="209"/>
      <c r="Q2443" s="209"/>
      <c r="R2443" s="217"/>
      <c r="S2443" s="217"/>
      <c r="T2443" s="217"/>
      <c r="U2443" s="199"/>
      <c r="V2443" s="200"/>
      <c r="W2443" s="200"/>
      <c r="X2443" s="200"/>
      <c r="Y2443" s="200"/>
      <c r="Z2443" s="200"/>
      <c r="AA2443" s="201"/>
      <c r="AB2443" s="200"/>
      <c r="AC2443" s="200"/>
    </row>
    <row r="2444" ht="15.75" customHeight="1">
      <c r="A2444" s="210">
        <f t="shared" si="1"/>
        <v>2442</v>
      </c>
      <c r="B2444" s="217"/>
      <c r="C2444" s="217" t="str">
        <f>IFERROR(VLOOKUP(B2444, SourceData!$U$3:$V$190, 2, FALSE), "")</f>
        <v/>
      </c>
      <c r="D2444" s="240"/>
      <c r="E2444" s="241"/>
      <c r="F2444" s="248"/>
      <c r="G2444" s="207"/>
      <c r="H2444" s="209"/>
      <c r="I2444" s="209"/>
      <c r="J2444" s="209"/>
      <c r="K2444" s="208" t="str">
        <f>IF(Errors!$I2444=0,SourceData!$B$42,VLOOKUP(Errors!$I2444,SourceData!$A$2:$B$40,2,FALSE))</f>
        <v>Please select ERROR CODE column "I"</v>
      </c>
      <c r="L2444" s="207" t="str">
        <f>IF(Errors!$I2444=0,
    'List of Error Codes'!$E$29,
    IFERROR(VLOOKUP(Errors!$I2444, 'List of Error Codes'!D2443:I2473, 6, FALSE), 'List of Error Codes'!$E$29)
)</f>
        <v>Please select ERROR CODE column "I"</v>
      </c>
      <c r="M2444" s="209"/>
      <c r="N2444" s="209"/>
      <c r="O2444" s="209"/>
      <c r="P2444" s="209"/>
      <c r="Q2444" s="209"/>
      <c r="R2444" s="217"/>
      <c r="S2444" s="217"/>
      <c r="T2444" s="217"/>
      <c r="U2444" s="199"/>
      <c r="V2444" s="200"/>
      <c r="W2444" s="200"/>
      <c r="X2444" s="200"/>
      <c r="Y2444" s="200"/>
      <c r="Z2444" s="200"/>
      <c r="AA2444" s="201"/>
      <c r="AB2444" s="200"/>
      <c r="AC2444" s="200"/>
    </row>
    <row r="2445" ht="15.75" customHeight="1">
      <c r="A2445" s="210">
        <f t="shared" si="1"/>
        <v>2443</v>
      </c>
      <c r="B2445" s="217"/>
      <c r="C2445" s="217" t="str">
        <f>IFERROR(VLOOKUP(B2445, SourceData!$U$3:$V$190, 2, FALSE), "")</f>
        <v/>
      </c>
      <c r="D2445" s="240"/>
      <c r="E2445" s="241"/>
      <c r="F2445" s="248"/>
      <c r="G2445" s="207"/>
      <c r="H2445" s="209"/>
      <c r="I2445" s="209"/>
      <c r="J2445" s="209"/>
      <c r="K2445" s="208" t="str">
        <f>IF(Errors!$I2445=0,SourceData!$B$42,VLOOKUP(Errors!$I2445,SourceData!$A$2:$B$40,2,FALSE))</f>
        <v>Please select ERROR CODE column "I"</v>
      </c>
      <c r="L2445" s="207" t="str">
        <f>IF(Errors!$I2445=0,
    'List of Error Codes'!$E$29,
    IFERROR(VLOOKUP(Errors!$I2445, 'List of Error Codes'!D2444:I2474, 6, FALSE), 'List of Error Codes'!$E$29)
)</f>
        <v>Please select ERROR CODE column "I"</v>
      </c>
      <c r="M2445" s="209"/>
      <c r="N2445" s="209"/>
      <c r="O2445" s="209"/>
      <c r="P2445" s="209"/>
      <c r="Q2445" s="209"/>
      <c r="R2445" s="217"/>
      <c r="S2445" s="217"/>
      <c r="T2445" s="217"/>
      <c r="U2445" s="199"/>
      <c r="V2445" s="200"/>
      <c r="W2445" s="200"/>
      <c r="X2445" s="200"/>
      <c r="Y2445" s="200"/>
      <c r="Z2445" s="200"/>
      <c r="AA2445" s="201"/>
      <c r="AB2445" s="200"/>
      <c r="AC2445" s="200"/>
    </row>
    <row r="2446" ht="15.75" customHeight="1">
      <c r="A2446" s="210">
        <f t="shared" si="1"/>
        <v>2444</v>
      </c>
      <c r="B2446" s="217"/>
      <c r="C2446" s="217" t="str">
        <f>IFERROR(VLOOKUP(B2446, SourceData!$U$3:$V$190, 2, FALSE), "")</f>
        <v/>
      </c>
      <c r="D2446" s="240"/>
      <c r="E2446" s="241"/>
      <c r="F2446" s="248"/>
      <c r="G2446" s="207"/>
      <c r="H2446" s="209"/>
      <c r="I2446" s="209"/>
      <c r="J2446" s="209"/>
      <c r="K2446" s="208" t="str">
        <f>IF(Errors!$I2446=0,SourceData!$B$42,VLOOKUP(Errors!$I2446,SourceData!$A$2:$B$40,2,FALSE))</f>
        <v>Please select ERROR CODE column "I"</v>
      </c>
      <c r="L2446" s="207" t="str">
        <f>IF(Errors!$I2446=0,
    'List of Error Codes'!$E$29,
    IFERROR(VLOOKUP(Errors!$I2446, 'List of Error Codes'!D2445:I2475, 6, FALSE), 'List of Error Codes'!$E$29)
)</f>
        <v>Please select ERROR CODE column "I"</v>
      </c>
      <c r="M2446" s="209"/>
      <c r="N2446" s="209"/>
      <c r="O2446" s="209"/>
      <c r="P2446" s="209"/>
      <c r="Q2446" s="209"/>
      <c r="R2446" s="217"/>
      <c r="S2446" s="217"/>
      <c r="T2446" s="217"/>
      <c r="U2446" s="199"/>
      <c r="V2446" s="200"/>
      <c r="W2446" s="200"/>
      <c r="X2446" s="200"/>
      <c r="Y2446" s="200"/>
      <c r="Z2446" s="200"/>
      <c r="AA2446" s="201"/>
      <c r="AB2446" s="200"/>
      <c r="AC2446" s="200"/>
    </row>
    <row r="2447" ht="15.75" customHeight="1">
      <c r="A2447" s="210">
        <f t="shared" si="1"/>
        <v>2445</v>
      </c>
      <c r="B2447" s="217"/>
      <c r="C2447" s="217" t="str">
        <f>IFERROR(VLOOKUP(B2447, SourceData!$U$3:$V$190, 2, FALSE), "")</f>
        <v/>
      </c>
      <c r="D2447" s="240"/>
      <c r="E2447" s="241"/>
      <c r="F2447" s="248"/>
      <c r="G2447" s="207"/>
      <c r="H2447" s="209"/>
      <c r="I2447" s="209"/>
      <c r="J2447" s="209"/>
      <c r="K2447" s="208" t="str">
        <f>IF(Errors!$I2447=0,SourceData!$B$42,VLOOKUP(Errors!$I2447,SourceData!$A$2:$B$40,2,FALSE))</f>
        <v>Please select ERROR CODE column "I"</v>
      </c>
      <c r="L2447" s="207" t="str">
        <f>IF(Errors!$I2447=0,
    'List of Error Codes'!$E$29,
    IFERROR(VLOOKUP(Errors!$I2447, 'List of Error Codes'!D2446:I2476, 6, FALSE), 'List of Error Codes'!$E$29)
)</f>
        <v>Please select ERROR CODE column "I"</v>
      </c>
      <c r="M2447" s="209"/>
      <c r="N2447" s="209"/>
      <c r="O2447" s="209"/>
      <c r="P2447" s="209"/>
      <c r="Q2447" s="209"/>
      <c r="R2447" s="217"/>
      <c r="S2447" s="217"/>
      <c r="T2447" s="217"/>
      <c r="U2447" s="199"/>
      <c r="V2447" s="200"/>
      <c r="W2447" s="200"/>
      <c r="X2447" s="200"/>
      <c r="Y2447" s="200"/>
      <c r="Z2447" s="200"/>
      <c r="AA2447" s="201"/>
      <c r="AB2447" s="200"/>
      <c r="AC2447" s="200"/>
    </row>
    <row r="2448" ht="15.75" customHeight="1">
      <c r="A2448" s="210">
        <f t="shared" si="1"/>
        <v>2446</v>
      </c>
      <c r="B2448" s="217"/>
      <c r="C2448" s="217" t="str">
        <f>IFERROR(VLOOKUP(B2448, SourceData!$U$3:$V$190, 2, FALSE), "")</f>
        <v/>
      </c>
      <c r="D2448" s="240"/>
      <c r="E2448" s="241"/>
      <c r="F2448" s="248"/>
      <c r="G2448" s="207"/>
      <c r="H2448" s="209"/>
      <c r="I2448" s="209"/>
      <c r="J2448" s="209"/>
      <c r="K2448" s="208" t="str">
        <f>IF(Errors!$I2448=0,SourceData!$B$42,VLOOKUP(Errors!$I2448,SourceData!$A$2:$B$40,2,FALSE))</f>
        <v>Please select ERROR CODE column "I"</v>
      </c>
      <c r="L2448" s="207" t="str">
        <f>IF(Errors!$I2448=0,
    'List of Error Codes'!$E$29,
    IFERROR(VLOOKUP(Errors!$I2448, 'List of Error Codes'!D2447:I2477, 6, FALSE), 'List of Error Codes'!$E$29)
)</f>
        <v>Please select ERROR CODE column "I"</v>
      </c>
      <c r="M2448" s="209"/>
      <c r="N2448" s="209"/>
      <c r="O2448" s="209"/>
      <c r="P2448" s="209"/>
      <c r="Q2448" s="209"/>
      <c r="R2448" s="217"/>
      <c r="S2448" s="217"/>
      <c r="T2448" s="217"/>
      <c r="U2448" s="199"/>
      <c r="V2448" s="200"/>
      <c r="W2448" s="200"/>
      <c r="X2448" s="200"/>
      <c r="Y2448" s="200"/>
      <c r="Z2448" s="200"/>
      <c r="AA2448" s="201"/>
      <c r="AB2448" s="200"/>
      <c r="AC2448" s="200"/>
    </row>
    <row r="2449" ht="15.75" customHeight="1">
      <c r="A2449" s="210">
        <f t="shared" si="1"/>
        <v>2447</v>
      </c>
      <c r="B2449" s="217"/>
      <c r="C2449" s="217" t="str">
        <f>IFERROR(VLOOKUP(B2449, SourceData!$U$3:$V$190, 2, FALSE), "")</f>
        <v/>
      </c>
      <c r="D2449" s="240"/>
      <c r="E2449" s="241"/>
      <c r="F2449" s="248"/>
      <c r="G2449" s="207"/>
      <c r="H2449" s="209"/>
      <c r="I2449" s="209"/>
      <c r="J2449" s="209"/>
      <c r="K2449" s="208" t="str">
        <f>IF(Errors!$I2449=0,SourceData!$B$42,VLOOKUP(Errors!$I2449,SourceData!$A$2:$B$40,2,FALSE))</f>
        <v>Please select ERROR CODE column "I"</v>
      </c>
      <c r="L2449" s="207" t="str">
        <f>IF(Errors!$I2449=0,
    'List of Error Codes'!$E$29,
    IFERROR(VLOOKUP(Errors!$I2449, 'List of Error Codes'!D2448:I2478, 6, FALSE), 'List of Error Codes'!$E$29)
)</f>
        <v>Please select ERROR CODE column "I"</v>
      </c>
      <c r="M2449" s="209"/>
      <c r="N2449" s="209"/>
      <c r="O2449" s="209"/>
      <c r="P2449" s="209"/>
      <c r="Q2449" s="209"/>
      <c r="R2449" s="217"/>
      <c r="S2449" s="217"/>
      <c r="T2449" s="217"/>
      <c r="U2449" s="199"/>
      <c r="V2449" s="200"/>
      <c r="W2449" s="200"/>
      <c r="X2449" s="200"/>
      <c r="Y2449" s="200"/>
      <c r="Z2449" s="200"/>
      <c r="AA2449" s="201"/>
      <c r="AB2449" s="200"/>
      <c r="AC2449" s="200"/>
    </row>
    <row r="2450" ht="15.75" customHeight="1">
      <c r="A2450" s="210">
        <f t="shared" si="1"/>
        <v>2448</v>
      </c>
      <c r="B2450" s="217"/>
      <c r="C2450" s="217" t="str">
        <f>IFERROR(VLOOKUP(B2450, SourceData!$U$3:$V$190, 2, FALSE), "")</f>
        <v/>
      </c>
      <c r="D2450" s="240"/>
      <c r="E2450" s="241"/>
      <c r="F2450" s="248"/>
      <c r="G2450" s="207"/>
      <c r="H2450" s="209"/>
      <c r="I2450" s="209"/>
      <c r="J2450" s="209"/>
      <c r="K2450" s="208" t="str">
        <f>IF(Errors!$I2450=0,SourceData!$B$42,VLOOKUP(Errors!$I2450,SourceData!$A$2:$B$40,2,FALSE))</f>
        <v>Please select ERROR CODE column "I"</v>
      </c>
      <c r="L2450" s="207" t="str">
        <f>IF(Errors!$I2450=0,
    'List of Error Codes'!$E$29,
    IFERROR(VLOOKUP(Errors!$I2450, 'List of Error Codes'!D2449:I2479, 6, FALSE), 'List of Error Codes'!$E$29)
)</f>
        <v>Please select ERROR CODE column "I"</v>
      </c>
      <c r="M2450" s="209"/>
      <c r="N2450" s="209"/>
      <c r="O2450" s="209"/>
      <c r="P2450" s="209"/>
      <c r="Q2450" s="209"/>
      <c r="R2450" s="217"/>
      <c r="S2450" s="217"/>
      <c r="T2450" s="217"/>
      <c r="U2450" s="199"/>
      <c r="V2450" s="200"/>
      <c r="W2450" s="200"/>
      <c r="X2450" s="200"/>
      <c r="Y2450" s="200"/>
      <c r="Z2450" s="200"/>
      <c r="AA2450" s="201"/>
      <c r="AB2450" s="200"/>
      <c r="AC2450" s="200"/>
    </row>
    <row r="2451" ht="15.75" customHeight="1">
      <c r="A2451" s="210">
        <f t="shared" si="1"/>
        <v>2449</v>
      </c>
      <c r="B2451" s="217"/>
      <c r="C2451" s="217" t="str">
        <f>IFERROR(VLOOKUP(B2451, SourceData!$U$3:$V$190, 2, FALSE), "")</f>
        <v/>
      </c>
      <c r="D2451" s="240"/>
      <c r="E2451" s="241"/>
      <c r="F2451" s="248"/>
      <c r="G2451" s="207"/>
      <c r="H2451" s="209"/>
      <c r="I2451" s="209"/>
      <c r="J2451" s="209"/>
      <c r="K2451" s="208" t="str">
        <f>IF(Errors!$I2451=0,SourceData!$B$42,VLOOKUP(Errors!$I2451,SourceData!$A$2:$B$40,2,FALSE))</f>
        <v>Please select ERROR CODE column "I"</v>
      </c>
      <c r="L2451" s="207" t="str">
        <f>IF(Errors!$I2451=0,
    'List of Error Codes'!$E$29,
    IFERROR(VLOOKUP(Errors!$I2451, 'List of Error Codes'!D2450:I2480, 6, FALSE), 'List of Error Codes'!$E$29)
)</f>
        <v>Please select ERROR CODE column "I"</v>
      </c>
      <c r="M2451" s="209"/>
      <c r="N2451" s="209"/>
      <c r="O2451" s="209"/>
      <c r="P2451" s="209"/>
      <c r="Q2451" s="209"/>
      <c r="R2451" s="217"/>
      <c r="S2451" s="217"/>
      <c r="T2451" s="217"/>
      <c r="U2451" s="199"/>
      <c r="V2451" s="200"/>
      <c r="W2451" s="200"/>
      <c r="X2451" s="200"/>
      <c r="Y2451" s="200"/>
      <c r="Z2451" s="200"/>
      <c r="AA2451" s="201"/>
      <c r="AB2451" s="200"/>
      <c r="AC2451" s="200"/>
    </row>
    <row r="2452" ht="15.75" customHeight="1">
      <c r="A2452" s="210">
        <f t="shared" si="1"/>
        <v>2450</v>
      </c>
      <c r="B2452" s="217"/>
      <c r="C2452" s="217" t="str">
        <f>IFERROR(VLOOKUP(B2452, SourceData!$U$3:$V$190, 2, FALSE), "")</f>
        <v/>
      </c>
      <c r="D2452" s="240"/>
      <c r="E2452" s="241"/>
      <c r="F2452" s="248"/>
      <c r="G2452" s="207"/>
      <c r="H2452" s="209"/>
      <c r="I2452" s="209"/>
      <c r="J2452" s="209"/>
      <c r="K2452" s="208" t="str">
        <f>IF(Errors!$I2452=0,SourceData!$B$42,VLOOKUP(Errors!$I2452,SourceData!$A$2:$B$40,2,FALSE))</f>
        <v>Please select ERROR CODE column "I"</v>
      </c>
      <c r="L2452" s="207" t="str">
        <f>IF(Errors!$I2452=0,
    'List of Error Codes'!$E$29,
    IFERROR(VLOOKUP(Errors!$I2452, 'List of Error Codes'!D2451:I2481, 6, FALSE), 'List of Error Codes'!$E$29)
)</f>
        <v>Please select ERROR CODE column "I"</v>
      </c>
      <c r="M2452" s="209"/>
      <c r="N2452" s="209"/>
      <c r="O2452" s="209"/>
      <c r="P2452" s="209"/>
      <c r="Q2452" s="209"/>
      <c r="R2452" s="217"/>
      <c r="S2452" s="217"/>
      <c r="T2452" s="217"/>
      <c r="U2452" s="199"/>
      <c r="V2452" s="200"/>
      <c r="W2452" s="200"/>
      <c r="X2452" s="200"/>
      <c r="Y2452" s="200"/>
      <c r="Z2452" s="200"/>
      <c r="AA2452" s="201"/>
      <c r="AB2452" s="200"/>
      <c r="AC2452" s="200"/>
    </row>
    <row r="2453" ht="15.75" customHeight="1">
      <c r="A2453" s="210">
        <f t="shared" si="1"/>
        <v>2451</v>
      </c>
      <c r="B2453" s="217"/>
      <c r="C2453" s="217" t="str">
        <f>IFERROR(VLOOKUP(B2453, SourceData!$U$3:$V$190, 2, FALSE), "")</f>
        <v/>
      </c>
      <c r="D2453" s="240"/>
      <c r="E2453" s="241"/>
      <c r="F2453" s="248"/>
      <c r="G2453" s="207"/>
      <c r="H2453" s="209"/>
      <c r="I2453" s="209"/>
      <c r="J2453" s="209"/>
      <c r="K2453" s="208" t="str">
        <f>IF(Errors!$I2453=0,SourceData!$B$42,VLOOKUP(Errors!$I2453,SourceData!$A$2:$B$40,2,FALSE))</f>
        <v>Please select ERROR CODE column "I"</v>
      </c>
      <c r="L2453" s="207" t="str">
        <f>IF(Errors!$I2453=0,
    'List of Error Codes'!$E$29,
    IFERROR(VLOOKUP(Errors!$I2453, 'List of Error Codes'!D2452:I2482, 6, FALSE), 'List of Error Codes'!$E$29)
)</f>
        <v>Please select ERROR CODE column "I"</v>
      </c>
      <c r="M2453" s="209"/>
      <c r="N2453" s="209"/>
      <c r="O2453" s="209"/>
      <c r="P2453" s="209"/>
      <c r="Q2453" s="209"/>
      <c r="R2453" s="217"/>
      <c r="S2453" s="217"/>
      <c r="T2453" s="217"/>
      <c r="U2453" s="199"/>
      <c r="V2453" s="200"/>
      <c r="W2453" s="200"/>
      <c r="X2453" s="200"/>
      <c r="Y2453" s="200"/>
      <c r="Z2453" s="200"/>
      <c r="AA2453" s="201"/>
      <c r="AB2453" s="200"/>
      <c r="AC2453" s="200"/>
    </row>
    <row r="2454" ht="15.75" customHeight="1">
      <c r="A2454" s="210">
        <f t="shared" si="1"/>
        <v>2452</v>
      </c>
      <c r="B2454" s="217"/>
      <c r="C2454" s="217" t="str">
        <f>IFERROR(VLOOKUP(B2454, SourceData!$U$3:$V$190, 2, FALSE), "")</f>
        <v/>
      </c>
      <c r="D2454" s="240"/>
      <c r="E2454" s="241"/>
      <c r="F2454" s="248"/>
      <c r="G2454" s="207"/>
      <c r="H2454" s="209"/>
      <c r="I2454" s="209"/>
      <c r="J2454" s="209"/>
      <c r="K2454" s="208" t="str">
        <f>IF(Errors!$I2454=0,SourceData!$B$42,VLOOKUP(Errors!$I2454,SourceData!$A$2:$B$40,2,FALSE))</f>
        <v>Please select ERROR CODE column "I"</v>
      </c>
      <c r="L2454" s="207" t="str">
        <f>IF(Errors!$I2454=0,
    'List of Error Codes'!$E$29,
    IFERROR(VLOOKUP(Errors!$I2454, 'List of Error Codes'!D2453:I2483, 6, FALSE), 'List of Error Codes'!$E$29)
)</f>
        <v>Please select ERROR CODE column "I"</v>
      </c>
      <c r="M2454" s="209"/>
      <c r="N2454" s="209"/>
      <c r="O2454" s="209"/>
      <c r="P2454" s="209"/>
      <c r="Q2454" s="209"/>
      <c r="R2454" s="217"/>
      <c r="S2454" s="217"/>
      <c r="T2454" s="217"/>
      <c r="U2454" s="199"/>
      <c r="V2454" s="200"/>
      <c r="W2454" s="200"/>
      <c r="X2454" s="200"/>
      <c r="Y2454" s="200"/>
      <c r="Z2454" s="200"/>
      <c r="AA2454" s="201"/>
      <c r="AB2454" s="200"/>
      <c r="AC2454" s="200"/>
    </row>
    <row r="2455" ht="15.75" customHeight="1">
      <c r="A2455" s="210">
        <f t="shared" si="1"/>
        <v>2453</v>
      </c>
      <c r="B2455" s="217"/>
      <c r="C2455" s="217" t="str">
        <f>IFERROR(VLOOKUP(B2455, SourceData!$U$3:$V$190, 2, FALSE), "")</f>
        <v/>
      </c>
      <c r="D2455" s="240"/>
      <c r="E2455" s="241"/>
      <c r="F2455" s="248"/>
      <c r="G2455" s="207"/>
      <c r="H2455" s="209"/>
      <c r="I2455" s="209"/>
      <c r="J2455" s="209"/>
      <c r="K2455" s="208" t="str">
        <f>IF(Errors!$I2455=0,SourceData!$B$42,VLOOKUP(Errors!$I2455,SourceData!$A$2:$B$40,2,FALSE))</f>
        <v>Please select ERROR CODE column "I"</v>
      </c>
      <c r="L2455" s="207" t="str">
        <f>IF(Errors!$I2455=0,
    'List of Error Codes'!$E$29,
    IFERROR(VLOOKUP(Errors!$I2455, 'List of Error Codes'!D2454:I2484, 6, FALSE), 'List of Error Codes'!$E$29)
)</f>
        <v>Please select ERROR CODE column "I"</v>
      </c>
      <c r="M2455" s="209"/>
      <c r="N2455" s="209"/>
      <c r="O2455" s="209"/>
      <c r="P2455" s="209"/>
      <c r="Q2455" s="209"/>
      <c r="R2455" s="217"/>
      <c r="S2455" s="217"/>
      <c r="T2455" s="217"/>
      <c r="U2455" s="199"/>
      <c r="V2455" s="200"/>
      <c r="W2455" s="200"/>
      <c r="X2455" s="200"/>
      <c r="Y2455" s="200"/>
      <c r="Z2455" s="200"/>
      <c r="AA2455" s="201"/>
      <c r="AB2455" s="200"/>
      <c r="AC2455" s="200"/>
    </row>
    <row r="2456" ht="15.75" customHeight="1">
      <c r="A2456" s="210">
        <f t="shared" si="1"/>
        <v>2454</v>
      </c>
      <c r="B2456" s="217"/>
      <c r="C2456" s="217" t="str">
        <f>IFERROR(VLOOKUP(B2456, SourceData!$U$3:$V$190, 2, FALSE), "")</f>
        <v/>
      </c>
      <c r="D2456" s="240"/>
      <c r="E2456" s="241"/>
      <c r="F2456" s="248"/>
      <c r="G2456" s="207"/>
      <c r="H2456" s="209"/>
      <c r="I2456" s="209"/>
      <c r="J2456" s="209"/>
      <c r="K2456" s="208" t="str">
        <f>IF(Errors!$I2456=0,SourceData!$B$42,VLOOKUP(Errors!$I2456,SourceData!$A$2:$B$40,2,FALSE))</f>
        <v>Please select ERROR CODE column "I"</v>
      </c>
      <c r="L2456" s="207" t="str">
        <f>IF(Errors!$I2456=0,
    'List of Error Codes'!$E$29,
    IFERROR(VLOOKUP(Errors!$I2456, 'List of Error Codes'!D2455:I2485, 6, FALSE), 'List of Error Codes'!$E$29)
)</f>
        <v>Please select ERROR CODE column "I"</v>
      </c>
      <c r="M2456" s="209"/>
      <c r="N2456" s="209"/>
      <c r="O2456" s="209"/>
      <c r="P2456" s="209"/>
      <c r="Q2456" s="209"/>
      <c r="R2456" s="217"/>
      <c r="S2456" s="217"/>
      <c r="T2456" s="217"/>
      <c r="U2456" s="199"/>
      <c r="V2456" s="200"/>
      <c r="W2456" s="200"/>
      <c r="X2456" s="200"/>
      <c r="Y2456" s="200"/>
      <c r="Z2456" s="200"/>
      <c r="AA2456" s="201"/>
      <c r="AB2456" s="200"/>
      <c r="AC2456" s="200"/>
    </row>
    <row r="2457" ht="15.75" customHeight="1">
      <c r="A2457" s="210">
        <f t="shared" si="1"/>
        <v>2455</v>
      </c>
      <c r="B2457" s="217"/>
      <c r="C2457" s="217" t="str">
        <f>IFERROR(VLOOKUP(B2457, SourceData!$U$3:$V$190, 2, FALSE), "")</f>
        <v/>
      </c>
      <c r="D2457" s="240"/>
      <c r="E2457" s="241"/>
      <c r="F2457" s="248"/>
      <c r="G2457" s="207"/>
      <c r="H2457" s="209"/>
      <c r="I2457" s="209"/>
      <c r="J2457" s="209"/>
      <c r="K2457" s="208" t="str">
        <f>IF(Errors!$I2457=0,SourceData!$B$42,VLOOKUP(Errors!$I2457,SourceData!$A$2:$B$40,2,FALSE))</f>
        <v>Please select ERROR CODE column "I"</v>
      </c>
      <c r="L2457" s="207" t="str">
        <f>IF(Errors!$I2457=0,
    'List of Error Codes'!$E$29,
    IFERROR(VLOOKUP(Errors!$I2457, 'List of Error Codes'!D2456:I2486, 6, FALSE), 'List of Error Codes'!$E$29)
)</f>
        <v>Please select ERROR CODE column "I"</v>
      </c>
      <c r="M2457" s="209"/>
      <c r="N2457" s="209"/>
      <c r="O2457" s="209"/>
      <c r="P2457" s="209"/>
      <c r="Q2457" s="209"/>
      <c r="R2457" s="217"/>
      <c r="S2457" s="217"/>
      <c r="T2457" s="217"/>
      <c r="U2457" s="199"/>
      <c r="V2457" s="200"/>
      <c r="W2457" s="200"/>
      <c r="X2457" s="200"/>
      <c r="Y2457" s="200"/>
      <c r="Z2457" s="200"/>
      <c r="AA2457" s="201"/>
      <c r="AB2457" s="200"/>
      <c r="AC2457" s="200"/>
    </row>
    <row r="2458" ht="15.75" customHeight="1">
      <c r="A2458" s="210">
        <f t="shared" si="1"/>
        <v>2456</v>
      </c>
      <c r="B2458" s="217"/>
      <c r="C2458" s="217" t="str">
        <f>IFERROR(VLOOKUP(B2458, SourceData!$U$3:$V$190, 2, FALSE), "")</f>
        <v/>
      </c>
      <c r="D2458" s="240"/>
      <c r="E2458" s="241"/>
      <c r="F2458" s="248"/>
      <c r="G2458" s="207"/>
      <c r="H2458" s="209"/>
      <c r="I2458" s="209"/>
      <c r="J2458" s="209"/>
      <c r="K2458" s="208" t="str">
        <f>IF(Errors!$I2458=0,SourceData!$B$42,VLOOKUP(Errors!$I2458,SourceData!$A$2:$B$40,2,FALSE))</f>
        <v>Please select ERROR CODE column "I"</v>
      </c>
      <c r="L2458" s="207" t="str">
        <f>IF(Errors!$I2458=0,
    'List of Error Codes'!$E$29,
    IFERROR(VLOOKUP(Errors!$I2458, 'List of Error Codes'!D2457:I2487, 6, FALSE), 'List of Error Codes'!$E$29)
)</f>
        <v>Please select ERROR CODE column "I"</v>
      </c>
      <c r="M2458" s="209"/>
      <c r="N2458" s="209"/>
      <c r="O2458" s="209"/>
      <c r="P2458" s="209"/>
      <c r="Q2458" s="209"/>
      <c r="R2458" s="217"/>
      <c r="S2458" s="217"/>
      <c r="T2458" s="217"/>
      <c r="U2458" s="199"/>
      <c r="V2458" s="200"/>
      <c r="W2458" s="200"/>
      <c r="X2458" s="200"/>
      <c r="Y2458" s="200"/>
      <c r="Z2458" s="200"/>
      <c r="AA2458" s="201"/>
      <c r="AB2458" s="200"/>
      <c r="AC2458" s="200"/>
    </row>
    <row r="2459" ht="15.75" customHeight="1">
      <c r="A2459" s="210">
        <f t="shared" si="1"/>
        <v>2457</v>
      </c>
      <c r="B2459" s="217"/>
      <c r="C2459" s="217" t="str">
        <f>IFERROR(VLOOKUP(B2459, SourceData!$U$3:$V$190, 2, FALSE), "")</f>
        <v/>
      </c>
      <c r="D2459" s="240"/>
      <c r="E2459" s="241"/>
      <c r="F2459" s="248"/>
      <c r="G2459" s="207"/>
      <c r="H2459" s="209"/>
      <c r="I2459" s="209"/>
      <c r="J2459" s="209"/>
      <c r="K2459" s="208" t="str">
        <f>IF(Errors!$I2459=0,SourceData!$B$42,VLOOKUP(Errors!$I2459,SourceData!$A$2:$B$40,2,FALSE))</f>
        <v>Please select ERROR CODE column "I"</v>
      </c>
      <c r="L2459" s="207" t="str">
        <f>IF(Errors!$I2459=0,
    'List of Error Codes'!$E$29,
    IFERROR(VLOOKUP(Errors!$I2459, 'List of Error Codes'!D2458:I2488, 6, FALSE), 'List of Error Codes'!$E$29)
)</f>
        <v>Please select ERROR CODE column "I"</v>
      </c>
      <c r="M2459" s="209"/>
      <c r="N2459" s="209"/>
      <c r="O2459" s="209"/>
      <c r="P2459" s="209"/>
      <c r="Q2459" s="209"/>
      <c r="R2459" s="217"/>
      <c r="S2459" s="217"/>
      <c r="T2459" s="217"/>
      <c r="U2459" s="199"/>
      <c r="V2459" s="200"/>
      <c r="W2459" s="200"/>
      <c r="X2459" s="200"/>
      <c r="Y2459" s="200"/>
      <c r="Z2459" s="200"/>
      <c r="AA2459" s="201"/>
      <c r="AB2459" s="200"/>
      <c r="AC2459" s="200"/>
    </row>
    <row r="2460" ht="15.75" customHeight="1">
      <c r="A2460" s="210">
        <f t="shared" si="1"/>
        <v>2458</v>
      </c>
      <c r="B2460" s="217"/>
      <c r="C2460" s="217" t="str">
        <f>IFERROR(VLOOKUP(B2460, SourceData!$U$3:$V$190, 2, FALSE), "")</f>
        <v/>
      </c>
      <c r="D2460" s="240"/>
      <c r="E2460" s="241"/>
      <c r="F2460" s="248"/>
      <c r="G2460" s="207"/>
      <c r="H2460" s="209"/>
      <c r="I2460" s="209"/>
      <c r="J2460" s="209"/>
      <c r="K2460" s="208" t="str">
        <f>IF(Errors!$I2460=0,SourceData!$B$42,VLOOKUP(Errors!$I2460,SourceData!$A$2:$B$40,2,FALSE))</f>
        <v>Please select ERROR CODE column "I"</v>
      </c>
      <c r="L2460" s="207" t="str">
        <f>IF(Errors!$I2460=0,
    'List of Error Codes'!$E$29,
    IFERROR(VLOOKUP(Errors!$I2460, 'List of Error Codes'!D2459:I2489, 6, FALSE), 'List of Error Codes'!$E$29)
)</f>
        <v>Please select ERROR CODE column "I"</v>
      </c>
      <c r="M2460" s="209"/>
      <c r="N2460" s="209"/>
      <c r="O2460" s="209"/>
      <c r="P2460" s="209"/>
      <c r="Q2460" s="209"/>
      <c r="R2460" s="217"/>
      <c r="S2460" s="217"/>
      <c r="T2460" s="217"/>
      <c r="U2460" s="199"/>
      <c r="V2460" s="200"/>
      <c r="W2460" s="200"/>
      <c r="X2460" s="200"/>
      <c r="Y2460" s="200"/>
      <c r="Z2460" s="200"/>
      <c r="AA2460" s="201"/>
      <c r="AB2460" s="200"/>
      <c r="AC2460" s="200"/>
    </row>
    <row r="2461" ht="15.75" customHeight="1">
      <c r="A2461" s="210">
        <f t="shared" si="1"/>
        <v>2459</v>
      </c>
      <c r="B2461" s="217"/>
      <c r="C2461" s="217" t="str">
        <f>IFERROR(VLOOKUP(B2461, SourceData!$U$3:$V$190, 2, FALSE), "")</f>
        <v/>
      </c>
      <c r="D2461" s="240"/>
      <c r="E2461" s="241"/>
      <c r="F2461" s="248"/>
      <c r="G2461" s="207"/>
      <c r="H2461" s="209"/>
      <c r="I2461" s="209"/>
      <c r="J2461" s="209"/>
      <c r="K2461" s="208" t="str">
        <f>IF(Errors!$I2461=0,SourceData!$B$42,VLOOKUP(Errors!$I2461,SourceData!$A$2:$B$40,2,FALSE))</f>
        <v>Please select ERROR CODE column "I"</v>
      </c>
      <c r="L2461" s="207" t="str">
        <f>IF(Errors!$I2461=0,
    'List of Error Codes'!$E$29,
    IFERROR(VLOOKUP(Errors!$I2461, 'List of Error Codes'!D2460:I2490, 6, FALSE), 'List of Error Codes'!$E$29)
)</f>
        <v>Please select ERROR CODE column "I"</v>
      </c>
      <c r="M2461" s="209"/>
      <c r="N2461" s="209"/>
      <c r="O2461" s="209"/>
      <c r="P2461" s="209"/>
      <c r="Q2461" s="209"/>
      <c r="R2461" s="217"/>
      <c r="S2461" s="217"/>
      <c r="T2461" s="217"/>
      <c r="U2461" s="199"/>
      <c r="V2461" s="200"/>
      <c r="W2461" s="200"/>
      <c r="X2461" s="200"/>
      <c r="Y2461" s="200"/>
      <c r="Z2461" s="200"/>
      <c r="AA2461" s="201"/>
      <c r="AB2461" s="200"/>
      <c r="AC2461" s="200"/>
    </row>
    <row r="2462" ht="15.75" customHeight="1">
      <c r="A2462" s="210">
        <f t="shared" si="1"/>
        <v>2460</v>
      </c>
      <c r="B2462" s="217"/>
      <c r="C2462" s="217" t="str">
        <f>IFERROR(VLOOKUP(B2462, SourceData!$U$3:$V$190, 2, FALSE), "")</f>
        <v/>
      </c>
      <c r="D2462" s="240"/>
      <c r="E2462" s="241"/>
      <c r="F2462" s="248"/>
      <c r="G2462" s="207"/>
      <c r="H2462" s="209"/>
      <c r="I2462" s="209"/>
      <c r="J2462" s="209"/>
      <c r="K2462" s="208" t="str">
        <f>IF(Errors!$I2462=0,SourceData!$B$42,VLOOKUP(Errors!$I2462,SourceData!$A$2:$B$40,2,FALSE))</f>
        <v>Please select ERROR CODE column "I"</v>
      </c>
      <c r="L2462" s="207" t="str">
        <f>IF(Errors!$I2462=0,
    'List of Error Codes'!$E$29,
    IFERROR(VLOOKUP(Errors!$I2462, 'List of Error Codes'!D2461:I2491, 6, FALSE), 'List of Error Codes'!$E$29)
)</f>
        <v>Please select ERROR CODE column "I"</v>
      </c>
      <c r="M2462" s="209"/>
      <c r="N2462" s="209"/>
      <c r="O2462" s="209"/>
      <c r="P2462" s="209"/>
      <c r="Q2462" s="209"/>
      <c r="R2462" s="217"/>
      <c r="S2462" s="217"/>
      <c r="T2462" s="217"/>
      <c r="U2462" s="199"/>
      <c r="V2462" s="200"/>
      <c r="W2462" s="200"/>
      <c r="X2462" s="200"/>
      <c r="Y2462" s="200"/>
      <c r="Z2462" s="200"/>
      <c r="AA2462" s="201"/>
      <c r="AB2462" s="200"/>
      <c r="AC2462" s="200"/>
    </row>
    <row r="2463" ht="15.75" customHeight="1">
      <c r="A2463" s="210">
        <f t="shared" si="1"/>
        <v>2461</v>
      </c>
      <c r="B2463" s="217"/>
      <c r="C2463" s="217" t="str">
        <f>IFERROR(VLOOKUP(B2463, SourceData!$U$3:$V$190, 2, FALSE), "")</f>
        <v/>
      </c>
      <c r="D2463" s="240"/>
      <c r="E2463" s="241"/>
      <c r="F2463" s="248"/>
      <c r="G2463" s="207"/>
      <c r="H2463" s="209"/>
      <c r="I2463" s="209"/>
      <c r="J2463" s="209"/>
      <c r="K2463" s="208" t="str">
        <f>IF(Errors!$I2463=0,SourceData!$B$42,VLOOKUP(Errors!$I2463,SourceData!$A$2:$B$40,2,FALSE))</f>
        <v>Please select ERROR CODE column "I"</v>
      </c>
      <c r="L2463" s="207" t="str">
        <f>IF(Errors!$I2463=0,
    'List of Error Codes'!$E$29,
    IFERROR(VLOOKUP(Errors!$I2463, 'List of Error Codes'!D2462:I2492, 6, FALSE), 'List of Error Codes'!$E$29)
)</f>
        <v>Please select ERROR CODE column "I"</v>
      </c>
      <c r="M2463" s="209"/>
      <c r="N2463" s="209"/>
      <c r="O2463" s="209"/>
      <c r="P2463" s="209"/>
      <c r="Q2463" s="209"/>
      <c r="R2463" s="217"/>
      <c r="S2463" s="217"/>
      <c r="T2463" s="217"/>
      <c r="U2463" s="199"/>
      <c r="V2463" s="200"/>
      <c r="W2463" s="200"/>
      <c r="X2463" s="200"/>
      <c r="Y2463" s="200"/>
      <c r="Z2463" s="200"/>
      <c r="AA2463" s="201"/>
      <c r="AB2463" s="200"/>
      <c r="AC2463" s="200"/>
    </row>
    <row r="2464" ht="15.75" customHeight="1">
      <c r="A2464" s="210">
        <f t="shared" si="1"/>
        <v>2462</v>
      </c>
      <c r="B2464" s="217"/>
      <c r="C2464" s="217" t="str">
        <f>IFERROR(VLOOKUP(B2464, SourceData!$U$3:$V$190, 2, FALSE), "")</f>
        <v/>
      </c>
      <c r="D2464" s="240"/>
      <c r="E2464" s="241"/>
      <c r="F2464" s="248"/>
      <c r="G2464" s="207"/>
      <c r="H2464" s="209"/>
      <c r="I2464" s="209"/>
      <c r="J2464" s="209"/>
      <c r="K2464" s="208" t="str">
        <f>IF(Errors!$I2464=0,SourceData!$B$42,VLOOKUP(Errors!$I2464,SourceData!$A$2:$B$40,2,FALSE))</f>
        <v>Please select ERROR CODE column "I"</v>
      </c>
      <c r="L2464" s="207" t="str">
        <f>IF(Errors!$I2464=0,
    'List of Error Codes'!$E$29,
    IFERROR(VLOOKUP(Errors!$I2464, 'List of Error Codes'!D2463:I2493, 6, FALSE), 'List of Error Codes'!$E$29)
)</f>
        <v>Please select ERROR CODE column "I"</v>
      </c>
      <c r="M2464" s="209"/>
      <c r="N2464" s="209"/>
      <c r="O2464" s="209"/>
      <c r="P2464" s="209"/>
      <c r="Q2464" s="209"/>
      <c r="R2464" s="217"/>
      <c r="S2464" s="217"/>
      <c r="T2464" s="217"/>
      <c r="U2464" s="199"/>
      <c r="V2464" s="200"/>
      <c r="W2464" s="200"/>
      <c r="X2464" s="200"/>
      <c r="Y2464" s="200"/>
      <c r="Z2464" s="200"/>
      <c r="AA2464" s="201"/>
      <c r="AB2464" s="200"/>
      <c r="AC2464" s="200"/>
    </row>
    <row r="2465" ht="15.75" customHeight="1">
      <c r="A2465" s="210">
        <f t="shared" si="1"/>
        <v>2463</v>
      </c>
      <c r="B2465" s="217"/>
      <c r="C2465" s="217" t="str">
        <f>IFERROR(VLOOKUP(B2465, SourceData!$U$3:$V$190, 2, FALSE), "")</f>
        <v/>
      </c>
      <c r="D2465" s="240"/>
      <c r="E2465" s="241"/>
      <c r="F2465" s="248"/>
      <c r="G2465" s="207"/>
      <c r="H2465" s="209"/>
      <c r="I2465" s="209"/>
      <c r="J2465" s="209"/>
      <c r="K2465" s="208" t="str">
        <f>IF(Errors!$I2465=0,SourceData!$B$42,VLOOKUP(Errors!$I2465,SourceData!$A$2:$B$40,2,FALSE))</f>
        <v>Please select ERROR CODE column "I"</v>
      </c>
      <c r="L2465" s="207" t="str">
        <f>IF(Errors!$I2465=0,
    'List of Error Codes'!$E$29,
    IFERROR(VLOOKUP(Errors!$I2465, 'List of Error Codes'!D2464:I2494, 6, FALSE), 'List of Error Codes'!$E$29)
)</f>
        <v>Please select ERROR CODE column "I"</v>
      </c>
      <c r="M2465" s="209"/>
      <c r="N2465" s="209"/>
      <c r="O2465" s="209"/>
      <c r="P2465" s="209"/>
      <c r="Q2465" s="209"/>
      <c r="R2465" s="217"/>
      <c r="S2465" s="217"/>
      <c r="T2465" s="217"/>
      <c r="U2465" s="199"/>
      <c r="V2465" s="200"/>
      <c r="W2465" s="200"/>
      <c r="X2465" s="200"/>
      <c r="Y2465" s="200"/>
      <c r="Z2465" s="200"/>
      <c r="AA2465" s="201"/>
      <c r="AB2465" s="200"/>
      <c r="AC2465" s="200"/>
    </row>
    <row r="2466" ht="15.75" customHeight="1">
      <c r="A2466" s="210">
        <f t="shared" si="1"/>
        <v>2464</v>
      </c>
      <c r="B2466" s="217"/>
      <c r="C2466" s="217" t="str">
        <f>IFERROR(VLOOKUP(B2466, SourceData!$U$3:$V$190, 2, FALSE), "")</f>
        <v/>
      </c>
      <c r="D2466" s="240"/>
      <c r="E2466" s="241"/>
      <c r="F2466" s="248"/>
      <c r="G2466" s="207"/>
      <c r="H2466" s="209"/>
      <c r="I2466" s="209"/>
      <c r="J2466" s="209"/>
      <c r="K2466" s="208" t="str">
        <f>IF(Errors!$I2466=0,SourceData!$B$42,VLOOKUP(Errors!$I2466,SourceData!$A$2:$B$40,2,FALSE))</f>
        <v>Please select ERROR CODE column "I"</v>
      </c>
      <c r="L2466" s="207" t="str">
        <f>IF(Errors!$I2466=0,
    'List of Error Codes'!$E$29,
    IFERROR(VLOOKUP(Errors!$I2466, 'List of Error Codes'!D2465:I2495, 6, FALSE), 'List of Error Codes'!$E$29)
)</f>
        <v>Please select ERROR CODE column "I"</v>
      </c>
      <c r="M2466" s="209"/>
      <c r="N2466" s="209"/>
      <c r="O2466" s="209"/>
      <c r="P2466" s="209"/>
      <c r="Q2466" s="209"/>
      <c r="R2466" s="217"/>
      <c r="S2466" s="217"/>
      <c r="T2466" s="217"/>
      <c r="U2466" s="199"/>
      <c r="V2466" s="200"/>
      <c r="W2466" s="200"/>
      <c r="X2466" s="200"/>
      <c r="Y2466" s="200"/>
      <c r="Z2466" s="200"/>
      <c r="AA2466" s="201"/>
      <c r="AB2466" s="200"/>
      <c r="AC2466" s="200"/>
    </row>
    <row r="2467" ht="15.75" customHeight="1">
      <c r="A2467" s="210">
        <f t="shared" si="1"/>
        <v>2465</v>
      </c>
      <c r="B2467" s="217"/>
      <c r="C2467" s="217" t="str">
        <f>IFERROR(VLOOKUP(B2467, SourceData!$U$3:$V$190, 2, FALSE), "")</f>
        <v/>
      </c>
      <c r="D2467" s="240"/>
      <c r="E2467" s="241"/>
      <c r="F2467" s="248"/>
      <c r="G2467" s="207"/>
      <c r="H2467" s="209"/>
      <c r="I2467" s="209"/>
      <c r="J2467" s="209"/>
      <c r="K2467" s="208" t="str">
        <f>IF(Errors!$I2467=0,SourceData!$B$42,VLOOKUP(Errors!$I2467,SourceData!$A$2:$B$40,2,FALSE))</f>
        <v>Please select ERROR CODE column "I"</v>
      </c>
      <c r="L2467" s="207" t="str">
        <f>IF(Errors!$I2467=0,
    'List of Error Codes'!$E$29,
    IFERROR(VLOOKUP(Errors!$I2467, 'List of Error Codes'!D2466:I2496, 6, FALSE), 'List of Error Codes'!$E$29)
)</f>
        <v>Please select ERROR CODE column "I"</v>
      </c>
      <c r="M2467" s="209"/>
      <c r="N2467" s="209"/>
      <c r="O2467" s="209"/>
      <c r="P2467" s="209"/>
      <c r="Q2467" s="209"/>
      <c r="R2467" s="217"/>
      <c r="S2467" s="217"/>
      <c r="T2467" s="217"/>
      <c r="U2467" s="199"/>
      <c r="V2467" s="200"/>
      <c r="W2467" s="200"/>
      <c r="X2467" s="200"/>
      <c r="Y2467" s="200"/>
      <c r="Z2467" s="200"/>
      <c r="AA2467" s="201"/>
      <c r="AB2467" s="200"/>
      <c r="AC2467" s="200"/>
    </row>
    <row r="2468" ht="15.75" customHeight="1">
      <c r="A2468" s="210">
        <f t="shared" si="1"/>
        <v>2466</v>
      </c>
      <c r="B2468" s="217"/>
      <c r="C2468" s="217" t="str">
        <f>IFERROR(VLOOKUP(B2468, SourceData!$U$3:$V$190, 2, FALSE), "")</f>
        <v/>
      </c>
      <c r="D2468" s="240"/>
      <c r="E2468" s="241"/>
      <c r="F2468" s="248"/>
      <c r="G2468" s="207"/>
      <c r="H2468" s="209"/>
      <c r="I2468" s="209"/>
      <c r="J2468" s="209"/>
      <c r="K2468" s="208" t="str">
        <f>IF(Errors!$I2468=0,SourceData!$B$42,VLOOKUP(Errors!$I2468,SourceData!$A$2:$B$40,2,FALSE))</f>
        <v>Please select ERROR CODE column "I"</v>
      </c>
      <c r="L2468" s="207" t="str">
        <f>IF(Errors!$I2468=0,
    'List of Error Codes'!$E$29,
    IFERROR(VLOOKUP(Errors!$I2468, 'List of Error Codes'!D2467:I2497, 6, FALSE), 'List of Error Codes'!$E$29)
)</f>
        <v>Please select ERROR CODE column "I"</v>
      </c>
      <c r="M2468" s="209"/>
      <c r="N2468" s="209"/>
      <c r="O2468" s="209"/>
      <c r="P2468" s="209"/>
      <c r="Q2468" s="209"/>
      <c r="R2468" s="217"/>
      <c r="S2468" s="217"/>
      <c r="T2468" s="217"/>
      <c r="U2468" s="199"/>
      <c r="V2468" s="200"/>
      <c r="W2468" s="200"/>
      <c r="X2468" s="200"/>
      <c r="Y2468" s="200"/>
      <c r="Z2468" s="200"/>
      <c r="AA2468" s="201"/>
      <c r="AB2468" s="200"/>
      <c r="AC2468" s="200"/>
    </row>
    <row r="2469" ht="15.75" customHeight="1">
      <c r="A2469" s="210">
        <f t="shared" si="1"/>
        <v>2467</v>
      </c>
      <c r="B2469" s="217"/>
      <c r="C2469" s="217" t="str">
        <f>IFERROR(VLOOKUP(B2469, SourceData!$U$3:$V$190, 2, FALSE), "")</f>
        <v/>
      </c>
      <c r="D2469" s="240"/>
      <c r="E2469" s="241"/>
      <c r="F2469" s="248"/>
      <c r="G2469" s="207"/>
      <c r="H2469" s="209"/>
      <c r="I2469" s="209"/>
      <c r="J2469" s="209"/>
      <c r="K2469" s="208" t="str">
        <f>IF(Errors!$I2469=0,SourceData!$B$42,VLOOKUP(Errors!$I2469,SourceData!$A$2:$B$40,2,FALSE))</f>
        <v>Please select ERROR CODE column "I"</v>
      </c>
      <c r="L2469" s="207" t="str">
        <f>IF(Errors!$I2469=0,
    'List of Error Codes'!$E$29,
    IFERROR(VLOOKUP(Errors!$I2469, 'List of Error Codes'!D2468:I2498, 6, FALSE), 'List of Error Codes'!$E$29)
)</f>
        <v>Please select ERROR CODE column "I"</v>
      </c>
      <c r="M2469" s="209"/>
      <c r="N2469" s="209"/>
      <c r="O2469" s="209"/>
      <c r="P2469" s="209"/>
      <c r="Q2469" s="209"/>
      <c r="R2469" s="217"/>
      <c r="S2469" s="217"/>
      <c r="T2469" s="217"/>
      <c r="U2469" s="199"/>
      <c r="V2469" s="200"/>
      <c r="W2469" s="200"/>
      <c r="X2469" s="200"/>
      <c r="Y2469" s="200"/>
      <c r="Z2469" s="200"/>
      <c r="AA2469" s="201"/>
      <c r="AB2469" s="200"/>
      <c r="AC2469" s="200"/>
    </row>
    <row r="2470" ht="15.75" customHeight="1">
      <c r="A2470" s="210">
        <f t="shared" si="1"/>
        <v>2468</v>
      </c>
      <c r="B2470" s="217"/>
      <c r="C2470" s="217" t="str">
        <f>IFERROR(VLOOKUP(B2470, SourceData!$U$3:$V$190, 2, FALSE), "")</f>
        <v/>
      </c>
      <c r="D2470" s="240"/>
      <c r="E2470" s="241"/>
      <c r="F2470" s="248"/>
      <c r="G2470" s="207"/>
      <c r="H2470" s="209"/>
      <c r="I2470" s="209"/>
      <c r="J2470" s="209"/>
      <c r="K2470" s="208" t="str">
        <f>IF(Errors!$I2470=0,SourceData!$B$42,VLOOKUP(Errors!$I2470,SourceData!$A$2:$B$40,2,FALSE))</f>
        <v>Please select ERROR CODE column "I"</v>
      </c>
      <c r="L2470" s="207" t="str">
        <f>IF(Errors!$I2470=0,
    'List of Error Codes'!$E$29,
    IFERROR(VLOOKUP(Errors!$I2470, 'List of Error Codes'!D2469:I2499, 6, FALSE), 'List of Error Codes'!$E$29)
)</f>
        <v>Please select ERROR CODE column "I"</v>
      </c>
      <c r="M2470" s="209"/>
      <c r="N2470" s="209"/>
      <c r="O2470" s="209"/>
      <c r="P2470" s="209"/>
      <c r="Q2470" s="209"/>
      <c r="R2470" s="217"/>
      <c r="S2470" s="217"/>
      <c r="T2470" s="217"/>
      <c r="U2470" s="199"/>
      <c r="V2470" s="200"/>
      <c r="W2470" s="200"/>
      <c r="X2470" s="200"/>
      <c r="Y2470" s="200"/>
      <c r="Z2470" s="200"/>
      <c r="AA2470" s="201"/>
      <c r="AB2470" s="200"/>
      <c r="AC2470" s="200"/>
    </row>
    <row r="2471" ht="15.75" customHeight="1">
      <c r="A2471" s="210">
        <f t="shared" si="1"/>
        <v>2469</v>
      </c>
      <c r="B2471" s="217"/>
      <c r="C2471" s="217" t="str">
        <f>IFERROR(VLOOKUP(B2471, SourceData!$U$3:$V$190, 2, FALSE), "")</f>
        <v/>
      </c>
      <c r="D2471" s="240"/>
      <c r="E2471" s="241"/>
      <c r="F2471" s="248"/>
      <c r="G2471" s="207"/>
      <c r="H2471" s="209"/>
      <c r="I2471" s="209"/>
      <c r="J2471" s="209"/>
      <c r="K2471" s="208" t="str">
        <f>IF(Errors!$I2471=0,SourceData!$B$42,VLOOKUP(Errors!$I2471,SourceData!$A$2:$B$40,2,FALSE))</f>
        <v>Please select ERROR CODE column "I"</v>
      </c>
      <c r="L2471" s="207" t="str">
        <f>IF(Errors!$I2471=0,
    'List of Error Codes'!$E$29,
    IFERROR(VLOOKUP(Errors!$I2471, 'List of Error Codes'!D2470:I2500, 6, FALSE), 'List of Error Codes'!$E$29)
)</f>
        <v>Please select ERROR CODE column "I"</v>
      </c>
      <c r="M2471" s="209"/>
      <c r="N2471" s="209"/>
      <c r="O2471" s="209"/>
      <c r="P2471" s="209"/>
      <c r="Q2471" s="209"/>
      <c r="R2471" s="217"/>
      <c r="S2471" s="217"/>
      <c r="T2471" s="217"/>
      <c r="U2471" s="199"/>
      <c r="V2471" s="200"/>
      <c r="W2471" s="200"/>
      <c r="X2471" s="200"/>
      <c r="Y2471" s="200"/>
      <c r="Z2471" s="200"/>
      <c r="AA2471" s="201"/>
      <c r="AB2471" s="200"/>
      <c r="AC2471" s="200"/>
    </row>
    <row r="2472" ht="15.75" customHeight="1">
      <c r="A2472" s="210">
        <f t="shared" si="1"/>
        <v>2470</v>
      </c>
      <c r="B2472" s="217"/>
      <c r="C2472" s="217" t="str">
        <f>IFERROR(VLOOKUP(B2472, SourceData!$U$3:$V$190, 2, FALSE), "")</f>
        <v/>
      </c>
      <c r="D2472" s="240"/>
      <c r="E2472" s="241"/>
      <c r="F2472" s="248"/>
      <c r="G2472" s="207"/>
      <c r="H2472" s="209"/>
      <c r="I2472" s="209"/>
      <c r="J2472" s="209"/>
      <c r="K2472" s="208" t="str">
        <f>IF(Errors!$I2472=0,SourceData!$B$42,VLOOKUP(Errors!$I2472,SourceData!$A$2:$B$40,2,FALSE))</f>
        <v>Please select ERROR CODE column "I"</v>
      </c>
      <c r="L2472" s="207" t="str">
        <f>IF(Errors!$I2472=0,
    'List of Error Codes'!$E$29,
    IFERROR(VLOOKUP(Errors!$I2472, 'List of Error Codes'!D2471:I2501, 6, FALSE), 'List of Error Codes'!$E$29)
)</f>
        <v>Please select ERROR CODE column "I"</v>
      </c>
      <c r="M2472" s="209"/>
      <c r="N2472" s="209"/>
      <c r="O2472" s="209"/>
      <c r="P2472" s="209"/>
      <c r="Q2472" s="209"/>
      <c r="R2472" s="217"/>
      <c r="S2472" s="217"/>
      <c r="T2472" s="217"/>
      <c r="U2472" s="199"/>
      <c r="V2472" s="200"/>
      <c r="W2472" s="200"/>
      <c r="X2472" s="200"/>
      <c r="Y2472" s="200"/>
      <c r="Z2472" s="200"/>
      <c r="AA2472" s="201"/>
      <c r="AB2472" s="200"/>
      <c r="AC2472" s="200"/>
    </row>
    <row r="2473" ht="15.75" customHeight="1">
      <c r="A2473" s="210">
        <f t="shared" si="1"/>
        <v>2471</v>
      </c>
      <c r="B2473" s="217"/>
      <c r="C2473" s="217" t="str">
        <f>IFERROR(VLOOKUP(B2473, SourceData!$U$3:$V$190, 2, FALSE), "")</f>
        <v/>
      </c>
      <c r="D2473" s="240"/>
      <c r="E2473" s="241"/>
      <c r="F2473" s="248"/>
      <c r="G2473" s="207"/>
      <c r="H2473" s="209"/>
      <c r="I2473" s="209"/>
      <c r="J2473" s="209"/>
      <c r="K2473" s="208" t="str">
        <f>IF(Errors!$I2473=0,SourceData!$B$42,VLOOKUP(Errors!$I2473,SourceData!$A$2:$B$40,2,FALSE))</f>
        <v>Please select ERROR CODE column "I"</v>
      </c>
      <c r="L2473" s="207" t="str">
        <f>IF(Errors!$I2473=0,
    'List of Error Codes'!$E$29,
    IFERROR(VLOOKUP(Errors!$I2473, 'List of Error Codes'!D2472:I2502, 6, FALSE), 'List of Error Codes'!$E$29)
)</f>
        <v>Please select ERROR CODE column "I"</v>
      </c>
      <c r="M2473" s="209"/>
      <c r="N2473" s="209"/>
      <c r="O2473" s="209"/>
      <c r="P2473" s="209"/>
      <c r="Q2473" s="209"/>
      <c r="R2473" s="217"/>
      <c r="S2473" s="217"/>
      <c r="T2473" s="217"/>
      <c r="U2473" s="199"/>
      <c r="V2473" s="200"/>
      <c r="W2473" s="200"/>
      <c r="X2473" s="200"/>
      <c r="Y2473" s="200"/>
      <c r="Z2473" s="200"/>
      <c r="AA2473" s="201"/>
      <c r="AB2473" s="200"/>
      <c r="AC2473" s="200"/>
    </row>
    <row r="2474" ht="15.75" customHeight="1">
      <c r="A2474" s="210">
        <f t="shared" si="1"/>
        <v>2472</v>
      </c>
      <c r="B2474" s="217"/>
      <c r="C2474" s="217" t="str">
        <f>IFERROR(VLOOKUP(B2474, SourceData!$U$3:$V$190, 2, FALSE), "")</f>
        <v/>
      </c>
      <c r="D2474" s="240"/>
      <c r="E2474" s="241"/>
      <c r="F2474" s="248"/>
      <c r="G2474" s="207"/>
      <c r="H2474" s="209"/>
      <c r="I2474" s="209"/>
      <c r="J2474" s="209"/>
      <c r="K2474" s="208" t="str">
        <f>IF(Errors!$I2474=0,SourceData!$B$42,VLOOKUP(Errors!$I2474,SourceData!$A$2:$B$40,2,FALSE))</f>
        <v>Please select ERROR CODE column "I"</v>
      </c>
      <c r="L2474" s="207" t="str">
        <f>IF(Errors!$I2474=0,
    'List of Error Codes'!$E$29,
    IFERROR(VLOOKUP(Errors!$I2474, 'List of Error Codes'!D2473:I2503, 6, FALSE), 'List of Error Codes'!$E$29)
)</f>
        <v>Please select ERROR CODE column "I"</v>
      </c>
      <c r="M2474" s="209"/>
      <c r="N2474" s="209"/>
      <c r="O2474" s="209"/>
      <c r="P2474" s="209"/>
      <c r="Q2474" s="209"/>
      <c r="R2474" s="217"/>
      <c r="S2474" s="217"/>
      <c r="T2474" s="217"/>
      <c r="U2474" s="199"/>
      <c r="V2474" s="200"/>
      <c r="W2474" s="200"/>
      <c r="X2474" s="200"/>
      <c r="Y2474" s="200"/>
      <c r="Z2474" s="200"/>
      <c r="AA2474" s="201"/>
      <c r="AB2474" s="200"/>
      <c r="AC2474" s="200"/>
    </row>
    <row r="2475" ht="15.75" customHeight="1">
      <c r="A2475" s="210">
        <f t="shared" si="1"/>
        <v>2473</v>
      </c>
      <c r="B2475" s="217"/>
      <c r="C2475" s="217" t="str">
        <f>IFERROR(VLOOKUP(B2475, SourceData!$U$3:$V$190, 2, FALSE), "")</f>
        <v/>
      </c>
      <c r="D2475" s="240"/>
      <c r="E2475" s="241"/>
      <c r="F2475" s="248"/>
      <c r="G2475" s="207"/>
      <c r="H2475" s="209"/>
      <c r="I2475" s="209"/>
      <c r="J2475" s="209"/>
      <c r="K2475" s="208" t="str">
        <f>IF(Errors!$I2475=0,SourceData!$B$42,VLOOKUP(Errors!$I2475,SourceData!$A$2:$B$40,2,FALSE))</f>
        <v>Please select ERROR CODE column "I"</v>
      </c>
      <c r="L2475" s="207" t="str">
        <f>IF(Errors!$I2475=0,
    'List of Error Codes'!$E$29,
    IFERROR(VLOOKUP(Errors!$I2475, 'List of Error Codes'!D2474:I2504, 6, FALSE), 'List of Error Codes'!$E$29)
)</f>
        <v>Please select ERROR CODE column "I"</v>
      </c>
      <c r="M2475" s="209"/>
      <c r="N2475" s="209"/>
      <c r="O2475" s="209"/>
      <c r="P2475" s="209"/>
      <c r="Q2475" s="209"/>
      <c r="R2475" s="217"/>
      <c r="S2475" s="217"/>
      <c r="T2475" s="217"/>
      <c r="U2475" s="199"/>
      <c r="V2475" s="200"/>
      <c r="W2475" s="200"/>
      <c r="X2475" s="200"/>
      <c r="Y2475" s="200"/>
      <c r="Z2475" s="200"/>
      <c r="AA2475" s="201"/>
      <c r="AB2475" s="200"/>
      <c r="AC2475" s="200"/>
    </row>
    <row r="2476" ht="15.75" customHeight="1">
      <c r="A2476" s="210">
        <f t="shared" si="1"/>
        <v>2474</v>
      </c>
      <c r="B2476" s="217"/>
      <c r="C2476" s="217" t="str">
        <f>IFERROR(VLOOKUP(B2476, SourceData!$U$3:$V$190, 2, FALSE), "")</f>
        <v/>
      </c>
      <c r="D2476" s="240"/>
      <c r="E2476" s="241"/>
      <c r="F2476" s="248"/>
      <c r="G2476" s="207"/>
      <c r="H2476" s="209"/>
      <c r="I2476" s="209"/>
      <c r="J2476" s="209"/>
      <c r="K2476" s="208" t="str">
        <f>IF(Errors!$I2476=0,SourceData!$B$42,VLOOKUP(Errors!$I2476,SourceData!$A$2:$B$40,2,FALSE))</f>
        <v>Please select ERROR CODE column "I"</v>
      </c>
      <c r="L2476" s="207" t="str">
        <f>IF(Errors!$I2476=0,
    'List of Error Codes'!$E$29,
    IFERROR(VLOOKUP(Errors!$I2476, 'List of Error Codes'!D2475:I2505, 6, FALSE), 'List of Error Codes'!$E$29)
)</f>
        <v>Please select ERROR CODE column "I"</v>
      </c>
      <c r="M2476" s="209"/>
      <c r="N2476" s="209"/>
      <c r="O2476" s="209"/>
      <c r="P2476" s="209"/>
      <c r="Q2476" s="209"/>
      <c r="R2476" s="217"/>
      <c r="S2476" s="217"/>
      <c r="T2476" s="217"/>
      <c r="U2476" s="199"/>
      <c r="V2476" s="200"/>
      <c r="W2476" s="200"/>
      <c r="X2476" s="200"/>
      <c r="Y2476" s="200"/>
      <c r="Z2476" s="200"/>
      <c r="AA2476" s="201"/>
      <c r="AB2476" s="200"/>
      <c r="AC2476" s="200"/>
    </row>
    <row r="2477" ht="15.75" customHeight="1">
      <c r="A2477" s="210">
        <f t="shared" si="1"/>
        <v>2475</v>
      </c>
      <c r="B2477" s="217"/>
      <c r="C2477" s="217" t="str">
        <f>IFERROR(VLOOKUP(B2477, SourceData!$U$3:$V$190, 2, FALSE), "")</f>
        <v/>
      </c>
      <c r="D2477" s="240"/>
      <c r="E2477" s="241"/>
      <c r="F2477" s="248"/>
      <c r="G2477" s="207"/>
      <c r="H2477" s="209"/>
      <c r="I2477" s="209"/>
      <c r="J2477" s="209"/>
      <c r="K2477" s="208" t="str">
        <f>IF(Errors!$I2477=0,SourceData!$B$42,VLOOKUP(Errors!$I2477,SourceData!$A$2:$B$40,2,FALSE))</f>
        <v>Please select ERROR CODE column "I"</v>
      </c>
      <c r="L2477" s="207" t="str">
        <f>IF(Errors!$I2477=0,
    'List of Error Codes'!$E$29,
    IFERROR(VLOOKUP(Errors!$I2477, 'List of Error Codes'!D2476:I2506, 6, FALSE), 'List of Error Codes'!$E$29)
)</f>
        <v>Please select ERROR CODE column "I"</v>
      </c>
      <c r="M2477" s="209"/>
      <c r="N2477" s="209"/>
      <c r="O2477" s="209"/>
      <c r="P2477" s="209"/>
      <c r="Q2477" s="209"/>
      <c r="R2477" s="217"/>
      <c r="S2477" s="217"/>
      <c r="T2477" s="217"/>
      <c r="U2477" s="199"/>
      <c r="V2477" s="200"/>
      <c r="W2477" s="200"/>
      <c r="X2477" s="200"/>
      <c r="Y2477" s="200"/>
      <c r="Z2477" s="200"/>
      <c r="AA2477" s="201"/>
      <c r="AB2477" s="200"/>
      <c r="AC2477" s="200"/>
    </row>
    <row r="2478" ht="15.75" customHeight="1">
      <c r="A2478" s="210">
        <f t="shared" si="1"/>
        <v>2476</v>
      </c>
      <c r="B2478" s="217"/>
      <c r="C2478" s="217" t="str">
        <f>IFERROR(VLOOKUP(B2478, SourceData!$U$3:$V$190, 2, FALSE), "")</f>
        <v/>
      </c>
      <c r="D2478" s="240"/>
      <c r="E2478" s="241"/>
      <c r="F2478" s="248"/>
      <c r="G2478" s="207"/>
      <c r="H2478" s="209"/>
      <c r="I2478" s="209"/>
      <c r="J2478" s="209"/>
      <c r="K2478" s="208" t="str">
        <f>IF(Errors!$I2478=0,SourceData!$B$42,VLOOKUP(Errors!$I2478,SourceData!$A$2:$B$40,2,FALSE))</f>
        <v>Please select ERROR CODE column "I"</v>
      </c>
      <c r="L2478" s="207" t="str">
        <f>IF(Errors!$I2478=0,
    'List of Error Codes'!$E$29,
    IFERROR(VLOOKUP(Errors!$I2478, 'List of Error Codes'!D2477:I2507, 6, FALSE), 'List of Error Codes'!$E$29)
)</f>
        <v>Please select ERROR CODE column "I"</v>
      </c>
      <c r="M2478" s="209"/>
      <c r="N2478" s="209"/>
      <c r="O2478" s="209"/>
      <c r="P2478" s="209"/>
      <c r="Q2478" s="209"/>
      <c r="R2478" s="217"/>
      <c r="S2478" s="217"/>
      <c r="T2478" s="217"/>
      <c r="U2478" s="199"/>
      <c r="V2478" s="200"/>
      <c r="W2478" s="200"/>
      <c r="X2478" s="200"/>
      <c r="Y2478" s="200"/>
      <c r="Z2478" s="200"/>
      <c r="AA2478" s="201"/>
      <c r="AB2478" s="200"/>
      <c r="AC2478" s="200"/>
    </row>
    <row r="2479" ht="15.75" customHeight="1">
      <c r="A2479" s="210">
        <f t="shared" si="1"/>
        <v>2477</v>
      </c>
      <c r="B2479" s="217"/>
      <c r="C2479" s="217" t="str">
        <f>IFERROR(VLOOKUP(B2479, SourceData!$U$3:$V$190, 2, FALSE), "")</f>
        <v/>
      </c>
      <c r="D2479" s="240"/>
      <c r="E2479" s="241"/>
      <c r="F2479" s="248"/>
      <c r="G2479" s="207"/>
      <c r="H2479" s="209"/>
      <c r="I2479" s="209"/>
      <c r="J2479" s="209"/>
      <c r="K2479" s="208" t="str">
        <f>IF(Errors!$I2479=0,SourceData!$B$42,VLOOKUP(Errors!$I2479,SourceData!$A$2:$B$40,2,FALSE))</f>
        <v>Please select ERROR CODE column "I"</v>
      </c>
      <c r="L2479" s="207" t="str">
        <f>IF(Errors!$I2479=0,
    'List of Error Codes'!$E$29,
    IFERROR(VLOOKUP(Errors!$I2479, 'List of Error Codes'!D2478:I2508, 6, FALSE), 'List of Error Codes'!$E$29)
)</f>
        <v>Please select ERROR CODE column "I"</v>
      </c>
      <c r="M2479" s="209"/>
      <c r="N2479" s="209"/>
      <c r="O2479" s="209"/>
      <c r="P2479" s="209"/>
      <c r="Q2479" s="209"/>
      <c r="R2479" s="217"/>
      <c r="S2479" s="217"/>
      <c r="T2479" s="217"/>
      <c r="U2479" s="199"/>
      <c r="V2479" s="200"/>
      <c r="W2479" s="200"/>
      <c r="X2479" s="200"/>
      <c r="Y2479" s="200"/>
      <c r="Z2479" s="200"/>
      <c r="AA2479" s="201"/>
      <c r="AB2479" s="200"/>
      <c r="AC2479" s="200"/>
    </row>
    <row r="2480" ht="15.75" customHeight="1">
      <c r="A2480" s="210">
        <f t="shared" si="1"/>
        <v>2478</v>
      </c>
      <c r="B2480" s="217"/>
      <c r="C2480" s="217" t="str">
        <f>IFERROR(VLOOKUP(B2480, SourceData!$U$3:$V$190, 2, FALSE), "")</f>
        <v/>
      </c>
      <c r="D2480" s="240"/>
      <c r="E2480" s="241"/>
      <c r="F2480" s="248"/>
      <c r="G2480" s="207"/>
      <c r="H2480" s="209"/>
      <c r="I2480" s="209"/>
      <c r="J2480" s="209"/>
      <c r="K2480" s="208" t="str">
        <f>IF(Errors!$I2480=0,SourceData!$B$42,VLOOKUP(Errors!$I2480,SourceData!$A$2:$B$40,2,FALSE))</f>
        <v>Please select ERROR CODE column "I"</v>
      </c>
      <c r="L2480" s="207" t="str">
        <f>IF(Errors!$I2480=0,
    'List of Error Codes'!$E$29,
    IFERROR(VLOOKUP(Errors!$I2480, 'List of Error Codes'!D2479:I2509, 6, FALSE), 'List of Error Codes'!$E$29)
)</f>
        <v>Please select ERROR CODE column "I"</v>
      </c>
      <c r="M2480" s="209"/>
      <c r="N2480" s="209"/>
      <c r="O2480" s="209"/>
      <c r="P2480" s="209"/>
      <c r="Q2480" s="209"/>
      <c r="R2480" s="217"/>
      <c r="S2480" s="217"/>
      <c r="T2480" s="217"/>
      <c r="U2480" s="199"/>
      <c r="V2480" s="200"/>
      <c r="W2480" s="200"/>
      <c r="X2480" s="200"/>
      <c r="Y2480" s="200"/>
      <c r="Z2480" s="200"/>
      <c r="AA2480" s="201"/>
      <c r="AB2480" s="200"/>
      <c r="AC2480" s="200"/>
    </row>
    <row r="2481" ht="15.75" customHeight="1">
      <c r="A2481" s="210">
        <f t="shared" si="1"/>
        <v>2479</v>
      </c>
      <c r="B2481" s="217"/>
      <c r="C2481" s="217" t="str">
        <f>IFERROR(VLOOKUP(B2481, SourceData!$U$3:$V$190, 2, FALSE), "")</f>
        <v/>
      </c>
      <c r="D2481" s="240"/>
      <c r="E2481" s="241"/>
      <c r="F2481" s="248"/>
      <c r="G2481" s="207"/>
      <c r="H2481" s="209"/>
      <c r="I2481" s="209"/>
      <c r="J2481" s="209"/>
      <c r="K2481" s="208" t="str">
        <f>IF(Errors!$I2481=0,SourceData!$B$42,VLOOKUP(Errors!$I2481,SourceData!$A$2:$B$40,2,FALSE))</f>
        <v>Please select ERROR CODE column "I"</v>
      </c>
      <c r="L2481" s="207" t="str">
        <f>IF(Errors!$I2481=0,
    'List of Error Codes'!$E$29,
    IFERROR(VLOOKUP(Errors!$I2481, 'List of Error Codes'!D2480:I2510, 6, FALSE), 'List of Error Codes'!$E$29)
)</f>
        <v>Please select ERROR CODE column "I"</v>
      </c>
      <c r="M2481" s="209"/>
      <c r="N2481" s="209"/>
      <c r="O2481" s="209"/>
      <c r="P2481" s="209"/>
      <c r="Q2481" s="209"/>
      <c r="R2481" s="217"/>
      <c r="S2481" s="217"/>
      <c r="T2481" s="217"/>
      <c r="U2481" s="199"/>
      <c r="V2481" s="200"/>
      <c r="W2481" s="200"/>
      <c r="X2481" s="200"/>
      <c r="Y2481" s="200"/>
      <c r="Z2481" s="200"/>
      <c r="AA2481" s="201"/>
      <c r="AB2481" s="200"/>
      <c r="AC2481" s="200"/>
    </row>
    <row r="2482" ht="15.75" customHeight="1">
      <c r="A2482" s="210">
        <f t="shared" si="1"/>
        <v>2480</v>
      </c>
      <c r="B2482" s="217"/>
      <c r="C2482" s="217" t="str">
        <f>IFERROR(VLOOKUP(B2482, SourceData!$U$3:$V$190, 2, FALSE), "")</f>
        <v/>
      </c>
      <c r="D2482" s="240"/>
      <c r="E2482" s="241"/>
      <c r="F2482" s="248"/>
      <c r="G2482" s="207"/>
      <c r="H2482" s="209"/>
      <c r="I2482" s="209"/>
      <c r="J2482" s="209"/>
      <c r="K2482" s="208" t="str">
        <f>IF(Errors!$I2482=0,SourceData!$B$42,VLOOKUP(Errors!$I2482,SourceData!$A$2:$B$40,2,FALSE))</f>
        <v>Please select ERROR CODE column "I"</v>
      </c>
      <c r="L2482" s="207" t="str">
        <f>IF(Errors!$I2482=0,
    'List of Error Codes'!$E$29,
    IFERROR(VLOOKUP(Errors!$I2482, 'List of Error Codes'!D2481:I2511, 6, FALSE), 'List of Error Codes'!$E$29)
)</f>
        <v>Please select ERROR CODE column "I"</v>
      </c>
      <c r="M2482" s="209"/>
      <c r="N2482" s="209"/>
      <c r="O2482" s="209"/>
      <c r="P2482" s="209"/>
      <c r="Q2482" s="209"/>
      <c r="R2482" s="217"/>
      <c r="S2482" s="217"/>
      <c r="T2482" s="217"/>
      <c r="U2482" s="199"/>
      <c r="V2482" s="200"/>
      <c r="W2482" s="200"/>
      <c r="X2482" s="200"/>
      <c r="Y2482" s="200"/>
      <c r="Z2482" s="200"/>
      <c r="AA2482" s="201"/>
      <c r="AB2482" s="200"/>
      <c r="AC2482" s="200"/>
    </row>
    <row r="2483" ht="15.75" customHeight="1">
      <c r="A2483" s="210">
        <f t="shared" si="1"/>
        <v>2481</v>
      </c>
      <c r="B2483" s="217"/>
      <c r="C2483" s="217" t="str">
        <f>IFERROR(VLOOKUP(B2483, SourceData!$U$3:$V$190, 2, FALSE), "")</f>
        <v/>
      </c>
      <c r="D2483" s="240"/>
      <c r="E2483" s="241"/>
      <c r="F2483" s="248"/>
      <c r="G2483" s="207"/>
      <c r="H2483" s="209"/>
      <c r="I2483" s="209"/>
      <c r="J2483" s="209"/>
      <c r="K2483" s="208" t="str">
        <f>IF(Errors!$I2483=0,SourceData!$B$42,VLOOKUP(Errors!$I2483,SourceData!$A$2:$B$40,2,FALSE))</f>
        <v>Please select ERROR CODE column "I"</v>
      </c>
      <c r="L2483" s="207" t="str">
        <f>IF(Errors!$I2483=0,
    'List of Error Codes'!$E$29,
    IFERROR(VLOOKUP(Errors!$I2483, 'List of Error Codes'!D2482:I2512, 6, FALSE), 'List of Error Codes'!$E$29)
)</f>
        <v>Please select ERROR CODE column "I"</v>
      </c>
      <c r="M2483" s="209"/>
      <c r="N2483" s="209"/>
      <c r="O2483" s="209"/>
      <c r="P2483" s="209"/>
      <c r="Q2483" s="209"/>
      <c r="R2483" s="217"/>
      <c r="S2483" s="217"/>
      <c r="T2483" s="217"/>
      <c r="U2483" s="199"/>
      <c r="V2483" s="200"/>
      <c r="W2483" s="200"/>
      <c r="X2483" s="200"/>
      <c r="Y2483" s="200"/>
      <c r="Z2483" s="200"/>
      <c r="AA2483" s="201"/>
      <c r="AB2483" s="200"/>
      <c r="AC2483" s="200"/>
    </row>
    <row r="2484" ht="15.75" customHeight="1">
      <c r="A2484" s="210">
        <f t="shared" si="1"/>
        <v>2482</v>
      </c>
      <c r="B2484" s="217"/>
      <c r="C2484" s="217" t="str">
        <f>IFERROR(VLOOKUP(B2484, SourceData!$U$3:$V$190, 2, FALSE), "")</f>
        <v/>
      </c>
      <c r="D2484" s="240"/>
      <c r="E2484" s="241"/>
      <c r="F2484" s="248"/>
      <c r="G2484" s="207"/>
      <c r="H2484" s="209"/>
      <c r="I2484" s="209"/>
      <c r="J2484" s="209"/>
      <c r="K2484" s="208" t="str">
        <f>IF(Errors!$I2484=0,SourceData!$B$42,VLOOKUP(Errors!$I2484,SourceData!$A$2:$B$40,2,FALSE))</f>
        <v>Please select ERROR CODE column "I"</v>
      </c>
      <c r="L2484" s="207" t="str">
        <f>IF(Errors!$I2484=0,
    'List of Error Codes'!$E$29,
    IFERROR(VLOOKUP(Errors!$I2484, 'List of Error Codes'!D2483:I2513, 6, FALSE), 'List of Error Codes'!$E$29)
)</f>
        <v>Please select ERROR CODE column "I"</v>
      </c>
      <c r="M2484" s="209"/>
      <c r="N2484" s="209"/>
      <c r="O2484" s="209"/>
      <c r="P2484" s="209"/>
      <c r="Q2484" s="209"/>
      <c r="R2484" s="217"/>
      <c r="S2484" s="217"/>
      <c r="T2484" s="217"/>
      <c r="U2484" s="199"/>
      <c r="V2484" s="200"/>
      <c r="W2484" s="200"/>
      <c r="X2484" s="200"/>
      <c r="Y2484" s="200"/>
      <c r="Z2484" s="200"/>
      <c r="AA2484" s="201"/>
      <c r="AB2484" s="200"/>
      <c r="AC2484" s="200"/>
    </row>
    <row r="2485" ht="15.75" customHeight="1">
      <c r="A2485" s="210">
        <f t="shared" si="1"/>
        <v>2483</v>
      </c>
      <c r="B2485" s="217"/>
      <c r="C2485" s="217" t="str">
        <f>IFERROR(VLOOKUP(B2485, SourceData!$U$3:$V$190, 2, FALSE), "")</f>
        <v/>
      </c>
      <c r="D2485" s="240"/>
      <c r="E2485" s="241"/>
      <c r="F2485" s="248"/>
      <c r="G2485" s="207"/>
      <c r="H2485" s="209"/>
      <c r="I2485" s="209"/>
      <c r="J2485" s="209"/>
      <c r="K2485" s="208" t="str">
        <f>IF(Errors!$I2485=0,SourceData!$B$42,VLOOKUP(Errors!$I2485,SourceData!$A$2:$B$40,2,FALSE))</f>
        <v>Please select ERROR CODE column "I"</v>
      </c>
      <c r="L2485" s="207" t="str">
        <f>IF(Errors!$I2485=0,
    'List of Error Codes'!$E$29,
    IFERROR(VLOOKUP(Errors!$I2485, 'List of Error Codes'!D2484:I2514, 6, FALSE), 'List of Error Codes'!$E$29)
)</f>
        <v>Please select ERROR CODE column "I"</v>
      </c>
      <c r="M2485" s="209"/>
      <c r="N2485" s="209"/>
      <c r="O2485" s="209"/>
      <c r="P2485" s="209"/>
      <c r="Q2485" s="209"/>
      <c r="R2485" s="217"/>
      <c r="S2485" s="217"/>
      <c r="T2485" s="217"/>
      <c r="U2485" s="199"/>
      <c r="V2485" s="200"/>
      <c r="W2485" s="200"/>
      <c r="X2485" s="200"/>
      <c r="Y2485" s="200"/>
      <c r="Z2485" s="200"/>
      <c r="AA2485" s="201"/>
      <c r="AB2485" s="200"/>
      <c r="AC2485" s="200"/>
    </row>
    <row r="2486" ht="15.75" customHeight="1">
      <c r="A2486" s="210">
        <f t="shared" si="1"/>
        <v>2484</v>
      </c>
      <c r="B2486" s="217"/>
      <c r="C2486" s="217" t="str">
        <f>IFERROR(VLOOKUP(B2486, SourceData!$U$3:$V$190, 2, FALSE), "")</f>
        <v/>
      </c>
      <c r="D2486" s="240"/>
      <c r="E2486" s="241"/>
      <c r="F2486" s="248"/>
      <c r="G2486" s="207"/>
      <c r="H2486" s="209"/>
      <c r="I2486" s="209"/>
      <c r="J2486" s="209"/>
      <c r="K2486" s="208" t="str">
        <f>IF(Errors!$I2486=0,SourceData!$B$42,VLOOKUP(Errors!$I2486,SourceData!$A$2:$B$40,2,FALSE))</f>
        <v>Please select ERROR CODE column "I"</v>
      </c>
      <c r="L2486" s="207" t="str">
        <f>IF(Errors!$I2486=0,
    'List of Error Codes'!$E$29,
    IFERROR(VLOOKUP(Errors!$I2486, 'List of Error Codes'!D2485:I2515, 6, FALSE), 'List of Error Codes'!$E$29)
)</f>
        <v>Please select ERROR CODE column "I"</v>
      </c>
      <c r="M2486" s="209"/>
      <c r="N2486" s="209"/>
      <c r="O2486" s="209"/>
      <c r="P2486" s="209"/>
      <c r="Q2486" s="209"/>
      <c r="R2486" s="217"/>
      <c r="S2486" s="217"/>
      <c r="T2486" s="217"/>
      <c r="U2486" s="199"/>
      <c r="V2486" s="200"/>
      <c r="W2486" s="200"/>
      <c r="X2486" s="200"/>
      <c r="Y2486" s="200"/>
      <c r="Z2486" s="200"/>
      <c r="AA2486" s="201"/>
      <c r="AB2486" s="200"/>
      <c r="AC2486" s="200"/>
    </row>
    <row r="2487" ht="15.75" customHeight="1">
      <c r="A2487" s="210">
        <f t="shared" si="1"/>
        <v>2485</v>
      </c>
      <c r="B2487" s="217"/>
      <c r="C2487" s="217" t="str">
        <f>IFERROR(VLOOKUP(B2487, SourceData!$U$3:$V$190, 2, FALSE), "")</f>
        <v/>
      </c>
      <c r="D2487" s="240"/>
      <c r="E2487" s="241"/>
      <c r="F2487" s="248"/>
      <c r="G2487" s="207"/>
      <c r="H2487" s="209"/>
      <c r="I2487" s="209"/>
      <c r="J2487" s="209"/>
      <c r="K2487" s="208" t="str">
        <f>IF(Errors!$I2487=0,SourceData!$B$42,VLOOKUP(Errors!$I2487,SourceData!$A$2:$B$40,2,FALSE))</f>
        <v>Please select ERROR CODE column "I"</v>
      </c>
      <c r="L2487" s="207" t="str">
        <f>IF(Errors!$I2487=0,
    'List of Error Codes'!$E$29,
    IFERROR(VLOOKUP(Errors!$I2487, 'List of Error Codes'!D2486:I2516, 6, FALSE), 'List of Error Codes'!$E$29)
)</f>
        <v>Please select ERROR CODE column "I"</v>
      </c>
      <c r="M2487" s="209"/>
      <c r="N2487" s="209"/>
      <c r="O2487" s="209"/>
      <c r="P2487" s="209"/>
      <c r="Q2487" s="209"/>
      <c r="R2487" s="217"/>
      <c r="S2487" s="217"/>
      <c r="T2487" s="217"/>
      <c r="U2487" s="199"/>
      <c r="V2487" s="200"/>
      <c r="W2487" s="200"/>
      <c r="X2487" s="200"/>
      <c r="Y2487" s="200"/>
      <c r="Z2487" s="200"/>
      <c r="AA2487" s="201"/>
      <c r="AB2487" s="200"/>
      <c r="AC2487" s="200"/>
    </row>
    <row r="2488" ht="15.75" customHeight="1">
      <c r="A2488" s="210">
        <f t="shared" si="1"/>
        <v>2486</v>
      </c>
      <c r="B2488" s="217"/>
      <c r="C2488" s="217" t="str">
        <f>IFERROR(VLOOKUP(B2488, SourceData!$U$3:$V$190, 2, FALSE), "")</f>
        <v/>
      </c>
      <c r="D2488" s="240"/>
      <c r="E2488" s="241"/>
      <c r="F2488" s="248"/>
      <c r="G2488" s="207"/>
      <c r="H2488" s="209"/>
      <c r="I2488" s="209"/>
      <c r="J2488" s="209"/>
      <c r="K2488" s="208" t="str">
        <f>IF(Errors!$I2488=0,SourceData!$B$42,VLOOKUP(Errors!$I2488,SourceData!$A$2:$B$40,2,FALSE))</f>
        <v>Please select ERROR CODE column "I"</v>
      </c>
      <c r="L2488" s="207" t="str">
        <f>IF(Errors!$I2488=0,
    'List of Error Codes'!$E$29,
    IFERROR(VLOOKUP(Errors!$I2488, 'List of Error Codes'!D2487:I2517, 6, FALSE), 'List of Error Codes'!$E$29)
)</f>
        <v>Please select ERROR CODE column "I"</v>
      </c>
      <c r="M2488" s="209"/>
      <c r="N2488" s="209"/>
      <c r="O2488" s="209"/>
      <c r="P2488" s="209"/>
      <c r="Q2488" s="209"/>
      <c r="R2488" s="217"/>
      <c r="S2488" s="217"/>
      <c r="T2488" s="217"/>
      <c r="U2488" s="199"/>
      <c r="V2488" s="200"/>
      <c r="W2488" s="200"/>
      <c r="X2488" s="200"/>
      <c r="Y2488" s="200"/>
      <c r="Z2488" s="200"/>
      <c r="AA2488" s="201"/>
      <c r="AB2488" s="200"/>
      <c r="AC2488" s="200"/>
    </row>
    <row r="2489" ht="15.75" customHeight="1">
      <c r="A2489" s="210">
        <f t="shared" si="1"/>
        <v>2487</v>
      </c>
      <c r="B2489" s="217"/>
      <c r="C2489" s="217" t="str">
        <f>IFERROR(VLOOKUP(B2489, SourceData!$U$3:$V$190, 2, FALSE), "")</f>
        <v/>
      </c>
      <c r="D2489" s="240"/>
      <c r="E2489" s="241"/>
      <c r="F2489" s="248"/>
      <c r="G2489" s="207"/>
      <c r="H2489" s="209"/>
      <c r="I2489" s="209"/>
      <c r="J2489" s="209"/>
      <c r="K2489" s="208" t="str">
        <f>IF(Errors!$I2489=0,SourceData!$B$42,VLOOKUP(Errors!$I2489,SourceData!$A$2:$B$40,2,FALSE))</f>
        <v>Please select ERROR CODE column "I"</v>
      </c>
      <c r="L2489" s="207" t="str">
        <f>IF(Errors!$I2489=0,
    'List of Error Codes'!$E$29,
    IFERROR(VLOOKUP(Errors!$I2489, 'List of Error Codes'!D2488:I2518, 6, FALSE), 'List of Error Codes'!$E$29)
)</f>
        <v>Please select ERROR CODE column "I"</v>
      </c>
      <c r="M2489" s="209"/>
      <c r="N2489" s="209"/>
      <c r="O2489" s="209"/>
      <c r="P2489" s="209"/>
      <c r="Q2489" s="209"/>
      <c r="R2489" s="217"/>
      <c r="S2489" s="217"/>
      <c r="T2489" s="217"/>
      <c r="U2489" s="199"/>
      <c r="V2489" s="200"/>
      <c r="W2489" s="200"/>
      <c r="X2489" s="200"/>
      <c r="Y2489" s="200"/>
      <c r="Z2489" s="200"/>
      <c r="AA2489" s="201"/>
      <c r="AB2489" s="200"/>
      <c r="AC2489" s="200"/>
    </row>
    <row r="2490" ht="15.75" customHeight="1">
      <c r="A2490" s="210">
        <f t="shared" si="1"/>
        <v>2488</v>
      </c>
      <c r="B2490" s="217"/>
      <c r="C2490" s="217" t="str">
        <f>IFERROR(VLOOKUP(B2490, SourceData!$U$3:$V$190, 2, FALSE), "")</f>
        <v/>
      </c>
      <c r="D2490" s="240"/>
      <c r="E2490" s="241"/>
      <c r="F2490" s="248"/>
      <c r="G2490" s="207"/>
      <c r="H2490" s="209"/>
      <c r="I2490" s="209"/>
      <c r="J2490" s="209"/>
      <c r="K2490" s="208" t="str">
        <f>IF(Errors!$I2490=0,SourceData!$B$42,VLOOKUP(Errors!$I2490,SourceData!$A$2:$B$40,2,FALSE))</f>
        <v>Please select ERROR CODE column "I"</v>
      </c>
      <c r="L2490" s="207" t="str">
        <f>IF(Errors!$I2490=0,
    'List of Error Codes'!$E$29,
    IFERROR(VLOOKUP(Errors!$I2490, 'List of Error Codes'!D2489:I2519, 6, FALSE), 'List of Error Codes'!$E$29)
)</f>
        <v>Please select ERROR CODE column "I"</v>
      </c>
      <c r="M2490" s="209"/>
      <c r="N2490" s="209"/>
      <c r="O2490" s="209"/>
      <c r="P2490" s="209"/>
      <c r="Q2490" s="209"/>
      <c r="R2490" s="217"/>
      <c r="S2490" s="217"/>
      <c r="T2490" s="217"/>
      <c r="U2490" s="199"/>
      <c r="V2490" s="200"/>
      <c r="W2490" s="200"/>
      <c r="X2490" s="200"/>
      <c r="Y2490" s="200"/>
      <c r="Z2490" s="200"/>
      <c r="AA2490" s="201"/>
      <c r="AB2490" s="200"/>
      <c r="AC2490" s="200"/>
    </row>
    <row r="2491" ht="15.75" customHeight="1">
      <c r="A2491" s="210">
        <f t="shared" si="1"/>
        <v>2489</v>
      </c>
      <c r="B2491" s="217"/>
      <c r="C2491" s="217" t="str">
        <f>IFERROR(VLOOKUP(B2491, SourceData!$U$3:$V$190, 2, FALSE), "")</f>
        <v/>
      </c>
      <c r="D2491" s="240"/>
      <c r="E2491" s="241"/>
      <c r="F2491" s="248"/>
      <c r="G2491" s="207"/>
      <c r="H2491" s="209"/>
      <c r="I2491" s="209"/>
      <c r="J2491" s="209"/>
      <c r="K2491" s="208" t="str">
        <f>IF(Errors!$I2491=0,SourceData!$B$42,VLOOKUP(Errors!$I2491,SourceData!$A$2:$B$40,2,FALSE))</f>
        <v>Please select ERROR CODE column "I"</v>
      </c>
      <c r="L2491" s="207" t="str">
        <f>IF(Errors!$I2491=0,
    'List of Error Codes'!$E$29,
    IFERROR(VLOOKUP(Errors!$I2491, 'List of Error Codes'!D2490:I2520, 6, FALSE), 'List of Error Codes'!$E$29)
)</f>
        <v>Please select ERROR CODE column "I"</v>
      </c>
      <c r="M2491" s="209"/>
      <c r="N2491" s="209"/>
      <c r="O2491" s="209"/>
      <c r="P2491" s="209"/>
      <c r="Q2491" s="209"/>
      <c r="R2491" s="217"/>
      <c r="S2491" s="217"/>
      <c r="T2491" s="217"/>
      <c r="U2491" s="199"/>
      <c r="V2491" s="200"/>
      <c r="W2491" s="200"/>
      <c r="X2491" s="200"/>
      <c r="Y2491" s="200"/>
      <c r="Z2491" s="200"/>
      <c r="AA2491" s="201"/>
      <c r="AB2491" s="200"/>
      <c r="AC2491" s="200"/>
    </row>
    <row r="2492" ht="15.75" customHeight="1">
      <c r="A2492" s="210">
        <f t="shared" si="1"/>
        <v>2490</v>
      </c>
      <c r="B2492" s="217"/>
      <c r="C2492" s="217" t="str">
        <f>IFERROR(VLOOKUP(B2492, SourceData!$U$3:$V$190, 2, FALSE), "")</f>
        <v/>
      </c>
      <c r="D2492" s="240"/>
      <c r="E2492" s="241"/>
      <c r="F2492" s="248"/>
      <c r="G2492" s="207"/>
      <c r="H2492" s="209"/>
      <c r="I2492" s="209"/>
      <c r="J2492" s="209"/>
      <c r="K2492" s="208" t="str">
        <f>IF(Errors!$I2492=0,SourceData!$B$42,VLOOKUP(Errors!$I2492,SourceData!$A$2:$B$40,2,FALSE))</f>
        <v>Please select ERROR CODE column "I"</v>
      </c>
      <c r="L2492" s="207" t="str">
        <f>IF(Errors!$I2492=0,
    'List of Error Codes'!$E$29,
    IFERROR(VLOOKUP(Errors!$I2492, 'List of Error Codes'!D2491:I2521, 6, FALSE), 'List of Error Codes'!$E$29)
)</f>
        <v>Please select ERROR CODE column "I"</v>
      </c>
      <c r="M2492" s="209"/>
      <c r="N2492" s="209"/>
      <c r="O2492" s="209"/>
      <c r="P2492" s="209"/>
      <c r="Q2492" s="209"/>
      <c r="R2492" s="217"/>
      <c r="S2492" s="217"/>
      <c r="T2492" s="217"/>
      <c r="U2492" s="199"/>
      <c r="V2492" s="200"/>
      <c r="W2492" s="200"/>
      <c r="X2492" s="200"/>
      <c r="Y2492" s="200"/>
      <c r="Z2492" s="200"/>
      <c r="AA2492" s="201"/>
      <c r="AB2492" s="200"/>
      <c r="AC2492" s="200"/>
    </row>
    <row r="2493" ht="15.75" customHeight="1">
      <c r="A2493" s="210">
        <f t="shared" si="1"/>
        <v>2491</v>
      </c>
      <c r="B2493" s="217"/>
      <c r="C2493" s="217" t="str">
        <f>IFERROR(VLOOKUP(B2493, SourceData!$U$3:$V$190, 2, FALSE), "")</f>
        <v/>
      </c>
      <c r="D2493" s="240"/>
      <c r="E2493" s="241"/>
      <c r="F2493" s="248"/>
      <c r="G2493" s="207"/>
      <c r="H2493" s="209"/>
      <c r="I2493" s="209"/>
      <c r="J2493" s="209"/>
      <c r="K2493" s="208" t="str">
        <f>IF(Errors!$I2493=0,SourceData!$B$42,VLOOKUP(Errors!$I2493,SourceData!$A$2:$B$40,2,FALSE))</f>
        <v>Please select ERROR CODE column "I"</v>
      </c>
      <c r="L2493" s="207" t="str">
        <f>IF(Errors!$I2493=0,
    'List of Error Codes'!$E$29,
    IFERROR(VLOOKUP(Errors!$I2493, 'List of Error Codes'!D2492:I2522, 6, FALSE), 'List of Error Codes'!$E$29)
)</f>
        <v>Please select ERROR CODE column "I"</v>
      </c>
      <c r="M2493" s="209"/>
      <c r="N2493" s="209"/>
      <c r="O2493" s="209"/>
      <c r="P2493" s="209"/>
      <c r="Q2493" s="209"/>
      <c r="R2493" s="217"/>
      <c r="S2493" s="217"/>
      <c r="T2493" s="217"/>
      <c r="U2493" s="199"/>
      <c r="V2493" s="200"/>
      <c r="W2493" s="200"/>
      <c r="X2493" s="200"/>
      <c r="Y2493" s="200"/>
      <c r="Z2493" s="200"/>
      <c r="AA2493" s="201"/>
      <c r="AB2493" s="200"/>
      <c r="AC2493" s="200"/>
    </row>
    <row r="2494" ht="15.75" customHeight="1">
      <c r="A2494" s="210">
        <f t="shared" si="1"/>
        <v>2492</v>
      </c>
      <c r="B2494" s="217"/>
      <c r="C2494" s="217" t="str">
        <f>IFERROR(VLOOKUP(B2494, SourceData!$U$3:$V$190, 2, FALSE), "")</f>
        <v/>
      </c>
      <c r="D2494" s="240"/>
      <c r="E2494" s="241"/>
      <c r="F2494" s="248"/>
      <c r="G2494" s="207"/>
      <c r="H2494" s="209"/>
      <c r="I2494" s="209"/>
      <c r="J2494" s="209"/>
      <c r="K2494" s="208" t="str">
        <f>IF(Errors!$I2494=0,SourceData!$B$42,VLOOKUP(Errors!$I2494,SourceData!$A$2:$B$40,2,FALSE))</f>
        <v>Please select ERROR CODE column "I"</v>
      </c>
      <c r="L2494" s="207" t="str">
        <f>IF(Errors!$I2494=0,
    'List of Error Codes'!$E$29,
    IFERROR(VLOOKUP(Errors!$I2494, 'List of Error Codes'!D2493:I2523, 6, FALSE), 'List of Error Codes'!$E$29)
)</f>
        <v>Please select ERROR CODE column "I"</v>
      </c>
      <c r="M2494" s="209"/>
      <c r="N2494" s="209"/>
      <c r="O2494" s="209"/>
      <c r="P2494" s="209"/>
      <c r="Q2494" s="209"/>
      <c r="R2494" s="217"/>
      <c r="S2494" s="217"/>
      <c r="T2494" s="217"/>
      <c r="U2494" s="199"/>
      <c r="V2494" s="200"/>
      <c r="W2494" s="200"/>
      <c r="X2494" s="200"/>
      <c r="Y2494" s="200"/>
      <c r="Z2494" s="200"/>
      <c r="AA2494" s="201"/>
      <c r="AB2494" s="200"/>
      <c r="AC2494" s="200"/>
    </row>
    <row r="2495" ht="15.75" customHeight="1">
      <c r="A2495" s="210">
        <f t="shared" si="1"/>
        <v>2493</v>
      </c>
      <c r="B2495" s="217"/>
      <c r="C2495" s="217" t="str">
        <f>IFERROR(VLOOKUP(B2495, SourceData!$U$3:$V$190, 2, FALSE), "")</f>
        <v/>
      </c>
      <c r="D2495" s="240"/>
      <c r="E2495" s="241"/>
      <c r="F2495" s="248"/>
      <c r="G2495" s="207"/>
      <c r="H2495" s="209"/>
      <c r="I2495" s="209"/>
      <c r="J2495" s="209"/>
      <c r="K2495" s="208" t="str">
        <f>IF(Errors!$I2495=0,SourceData!$B$42,VLOOKUP(Errors!$I2495,SourceData!$A$2:$B$40,2,FALSE))</f>
        <v>Please select ERROR CODE column "I"</v>
      </c>
      <c r="L2495" s="207" t="str">
        <f>IF(Errors!$I2495=0,
    'List of Error Codes'!$E$29,
    IFERROR(VLOOKUP(Errors!$I2495, 'List of Error Codes'!D2494:I2524, 6, FALSE), 'List of Error Codes'!$E$29)
)</f>
        <v>Please select ERROR CODE column "I"</v>
      </c>
      <c r="M2495" s="209"/>
      <c r="N2495" s="209"/>
      <c r="O2495" s="209"/>
      <c r="P2495" s="209"/>
      <c r="Q2495" s="209"/>
      <c r="R2495" s="217"/>
      <c r="S2495" s="217"/>
      <c r="T2495" s="217"/>
      <c r="U2495" s="199"/>
      <c r="V2495" s="200"/>
      <c r="W2495" s="200"/>
      <c r="X2495" s="200"/>
      <c r="Y2495" s="200"/>
      <c r="Z2495" s="200"/>
      <c r="AA2495" s="201"/>
      <c r="AB2495" s="200"/>
      <c r="AC2495" s="200"/>
    </row>
    <row r="2496" ht="15.75" customHeight="1">
      <c r="A2496" s="210">
        <f t="shared" si="1"/>
        <v>2494</v>
      </c>
      <c r="B2496" s="217"/>
      <c r="C2496" s="217" t="str">
        <f>IFERROR(VLOOKUP(B2496, SourceData!$U$3:$V$190, 2, FALSE), "")</f>
        <v/>
      </c>
      <c r="D2496" s="240"/>
      <c r="E2496" s="241"/>
      <c r="F2496" s="248"/>
      <c r="G2496" s="207"/>
      <c r="H2496" s="209"/>
      <c r="I2496" s="209"/>
      <c r="J2496" s="209"/>
      <c r="K2496" s="208" t="str">
        <f>IF(Errors!$I2496=0,SourceData!$B$42,VLOOKUP(Errors!$I2496,SourceData!$A$2:$B$40,2,FALSE))</f>
        <v>Please select ERROR CODE column "I"</v>
      </c>
      <c r="L2496" s="207" t="str">
        <f>IF(Errors!$I2496=0,
    'List of Error Codes'!$E$29,
    IFERROR(VLOOKUP(Errors!$I2496, 'List of Error Codes'!D2495:I2525, 6, FALSE), 'List of Error Codes'!$E$29)
)</f>
        <v>Please select ERROR CODE column "I"</v>
      </c>
      <c r="M2496" s="209"/>
      <c r="N2496" s="209"/>
      <c r="O2496" s="209"/>
      <c r="P2496" s="209"/>
      <c r="Q2496" s="209"/>
      <c r="R2496" s="217"/>
      <c r="S2496" s="217"/>
      <c r="T2496" s="217"/>
      <c r="U2496" s="199"/>
      <c r="V2496" s="200"/>
      <c r="W2496" s="200"/>
      <c r="X2496" s="200"/>
      <c r="Y2496" s="200"/>
      <c r="Z2496" s="200"/>
      <c r="AA2496" s="201"/>
      <c r="AB2496" s="200"/>
      <c r="AC2496" s="200"/>
    </row>
    <row r="2497" ht="15.75" customHeight="1">
      <c r="A2497" s="210">
        <f t="shared" si="1"/>
        <v>2495</v>
      </c>
      <c r="B2497" s="217"/>
      <c r="C2497" s="217" t="str">
        <f>IFERROR(VLOOKUP(B2497, SourceData!$U$3:$V$190, 2, FALSE), "")</f>
        <v/>
      </c>
      <c r="D2497" s="240"/>
      <c r="E2497" s="241"/>
      <c r="F2497" s="248"/>
      <c r="G2497" s="207"/>
      <c r="H2497" s="209"/>
      <c r="I2497" s="209"/>
      <c r="J2497" s="209"/>
      <c r="K2497" s="208" t="str">
        <f>IF(Errors!$I2497=0,SourceData!$B$42,VLOOKUP(Errors!$I2497,SourceData!$A$2:$B$40,2,FALSE))</f>
        <v>Please select ERROR CODE column "I"</v>
      </c>
      <c r="L2497" s="207" t="str">
        <f>IF(Errors!$I2497=0,
    'List of Error Codes'!$E$29,
    IFERROR(VLOOKUP(Errors!$I2497, 'List of Error Codes'!D2496:I2526, 6, FALSE), 'List of Error Codes'!$E$29)
)</f>
        <v>Please select ERROR CODE column "I"</v>
      </c>
      <c r="M2497" s="209"/>
      <c r="N2497" s="209"/>
      <c r="O2497" s="209"/>
      <c r="P2497" s="209"/>
      <c r="Q2497" s="209"/>
      <c r="R2497" s="217"/>
      <c r="S2497" s="217"/>
      <c r="T2497" s="217"/>
      <c r="U2497" s="199"/>
      <c r="V2497" s="200"/>
      <c r="W2497" s="200"/>
      <c r="X2497" s="200"/>
      <c r="Y2497" s="200"/>
      <c r="Z2497" s="200"/>
      <c r="AA2497" s="201"/>
      <c r="AB2497" s="200"/>
      <c r="AC2497" s="200"/>
    </row>
    <row r="2498" ht="15.75" customHeight="1">
      <c r="A2498" s="210">
        <f t="shared" si="1"/>
        <v>2496</v>
      </c>
      <c r="B2498" s="217"/>
      <c r="C2498" s="217" t="str">
        <f>IFERROR(VLOOKUP(B2498, SourceData!$U$3:$V$190, 2, FALSE), "")</f>
        <v/>
      </c>
      <c r="D2498" s="240"/>
      <c r="E2498" s="241"/>
      <c r="F2498" s="248"/>
      <c r="G2498" s="207"/>
      <c r="H2498" s="209"/>
      <c r="I2498" s="209"/>
      <c r="J2498" s="209"/>
      <c r="K2498" s="208" t="str">
        <f>IF(Errors!$I2498=0,SourceData!$B$42,VLOOKUP(Errors!$I2498,SourceData!$A$2:$B$40,2,FALSE))</f>
        <v>Please select ERROR CODE column "I"</v>
      </c>
      <c r="L2498" s="207" t="str">
        <f>IF(Errors!$I2498=0,
    'List of Error Codes'!$E$29,
    IFERROR(VLOOKUP(Errors!$I2498, 'List of Error Codes'!D2497:I2527, 6, FALSE), 'List of Error Codes'!$E$29)
)</f>
        <v>Please select ERROR CODE column "I"</v>
      </c>
      <c r="M2498" s="209"/>
      <c r="N2498" s="209"/>
      <c r="O2498" s="209"/>
      <c r="P2498" s="209"/>
      <c r="Q2498" s="209"/>
      <c r="R2498" s="217"/>
      <c r="S2498" s="217"/>
      <c r="T2498" s="217"/>
      <c r="U2498" s="199"/>
      <c r="V2498" s="200"/>
      <c r="W2498" s="200"/>
      <c r="X2498" s="200"/>
      <c r="Y2498" s="200"/>
      <c r="Z2498" s="200"/>
      <c r="AA2498" s="201"/>
      <c r="AB2498" s="200"/>
      <c r="AC2498" s="200"/>
    </row>
    <row r="2499" ht="15.75" customHeight="1">
      <c r="A2499" s="210">
        <f t="shared" si="1"/>
        <v>2497</v>
      </c>
      <c r="B2499" s="217"/>
      <c r="C2499" s="217" t="str">
        <f>IFERROR(VLOOKUP(B2499, SourceData!$U$3:$V$190, 2, FALSE), "")</f>
        <v/>
      </c>
      <c r="D2499" s="240"/>
      <c r="E2499" s="241"/>
      <c r="F2499" s="248"/>
      <c r="G2499" s="207"/>
      <c r="H2499" s="209"/>
      <c r="I2499" s="209"/>
      <c r="J2499" s="209"/>
      <c r="K2499" s="208" t="str">
        <f>IF(Errors!$I2499=0,SourceData!$B$42,VLOOKUP(Errors!$I2499,SourceData!$A$2:$B$40,2,FALSE))</f>
        <v>Please select ERROR CODE column "I"</v>
      </c>
      <c r="L2499" s="207" t="str">
        <f>IF(Errors!$I2499=0,
    'List of Error Codes'!$E$29,
    IFERROR(VLOOKUP(Errors!$I2499, 'List of Error Codes'!D2498:I2528, 6, FALSE), 'List of Error Codes'!$E$29)
)</f>
        <v>Please select ERROR CODE column "I"</v>
      </c>
      <c r="M2499" s="209"/>
      <c r="N2499" s="209"/>
      <c r="O2499" s="209"/>
      <c r="P2499" s="209"/>
      <c r="Q2499" s="209"/>
      <c r="R2499" s="217"/>
      <c r="S2499" s="217"/>
      <c r="T2499" s="217"/>
      <c r="U2499" s="199"/>
      <c r="V2499" s="200"/>
      <c r="W2499" s="200"/>
      <c r="X2499" s="200"/>
      <c r="Y2499" s="200"/>
      <c r="Z2499" s="200"/>
      <c r="AA2499" s="201"/>
      <c r="AB2499" s="200"/>
      <c r="AC2499" s="200"/>
    </row>
    <row r="2500" ht="15.75" customHeight="1">
      <c r="A2500" s="210">
        <f t="shared" si="1"/>
        <v>2498</v>
      </c>
      <c r="B2500" s="217"/>
      <c r="C2500" s="217" t="str">
        <f>IFERROR(VLOOKUP(B2500, SourceData!$U$3:$V$190, 2, FALSE), "")</f>
        <v/>
      </c>
      <c r="D2500" s="240"/>
      <c r="E2500" s="241"/>
      <c r="F2500" s="248"/>
      <c r="G2500" s="207"/>
      <c r="H2500" s="209"/>
      <c r="I2500" s="209"/>
      <c r="J2500" s="209"/>
      <c r="K2500" s="208" t="str">
        <f>IF(Errors!$I2500=0,SourceData!$B$42,VLOOKUP(Errors!$I2500,SourceData!$A$2:$B$40,2,FALSE))</f>
        <v>Please select ERROR CODE column "I"</v>
      </c>
      <c r="L2500" s="207" t="str">
        <f>IF(Errors!$I2500=0,
    'List of Error Codes'!$E$29,
    IFERROR(VLOOKUP(Errors!$I2500, 'List of Error Codes'!D2499:I2529, 6, FALSE), 'List of Error Codes'!$E$29)
)</f>
        <v>Please select ERROR CODE column "I"</v>
      </c>
      <c r="M2500" s="209"/>
      <c r="N2500" s="209"/>
      <c r="O2500" s="209"/>
      <c r="P2500" s="209"/>
      <c r="Q2500" s="209"/>
      <c r="R2500" s="217"/>
      <c r="S2500" s="217"/>
      <c r="T2500" s="217"/>
      <c r="U2500" s="199"/>
      <c r="V2500" s="200"/>
      <c r="W2500" s="200"/>
      <c r="X2500" s="200"/>
      <c r="Y2500" s="200"/>
      <c r="Z2500" s="200"/>
      <c r="AA2500" s="201"/>
      <c r="AB2500" s="200"/>
      <c r="AC2500" s="200"/>
    </row>
    <row r="2501" ht="15.75" customHeight="1">
      <c r="A2501" s="210">
        <f t="shared" si="1"/>
        <v>2499</v>
      </c>
      <c r="B2501" s="217"/>
      <c r="C2501" s="217" t="str">
        <f>IFERROR(VLOOKUP(B2501, SourceData!$U$3:$V$190, 2, FALSE), "")</f>
        <v/>
      </c>
      <c r="D2501" s="240"/>
      <c r="E2501" s="241"/>
      <c r="F2501" s="248"/>
      <c r="G2501" s="207"/>
      <c r="H2501" s="209"/>
      <c r="I2501" s="209"/>
      <c r="J2501" s="209"/>
      <c r="K2501" s="208" t="str">
        <f>IF(Errors!$I2501=0,SourceData!$B$42,VLOOKUP(Errors!$I2501,SourceData!$A$2:$B$40,2,FALSE))</f>
        <v>Please select ERROR CODE column "I"</v>
      </c>
      <c r="L2501" s="207" t="str">
        <f>IF(Errors!$I2501=0,
    'List of Error Codes'!$E$29,
    IFERROR(VLOOKUP(Errors!$I2501, 'List of Error Codes'!D2500:I2530, 6, FALSE), 'List of Error Codes'!$E$29)
)</f>
        <v>Please select ERROR CODE column "I"</v>
      </c>
      <c r="M2501" s="209"/>
      <c r="N2501" s="209"/>
      <c r="O2501" s="209"/>
      <c r="P2501" s="209"/>
      <c r="Q2501" s="209"/>
      <c r="R2501" s="217"/>
      <c r="S2501" s="217"/>
      <c r="T2501" s="217"/>
      <c r="U2501" s="199"/>
      <c r="V2501" s="200"/>
      <c r="W2501" s="200"/>
      <c r="X2501" s="200"/>
      <c r="Y2501" s="200"/>
      <c r="Z2501" s="200"/>
      <c r="AA2501" s="201"/>
      <c r="AB2501" s="200"/>
      <c r="AC2501" s="200"/>
    </row>
    <row r="2502" ht="15.75" customHeight="1">
      <c r="A2502" s="210">
        <f t="shared" si="1"/>
        <v>2500</v>
      </c>
      <c r="B2502" s="217"/>
      <c r="C2502" s="217" t="str">
        <f>IFERROR(VLOOKUP(B2502, SourceData!$U$3:$V$190, 2, FALSE), "")</f>
        <v/>
      </c>
      <c r="D2502" s="240"/>
      <c r="E2502" s="241"/>
      <c r="F2502" s="248"/>
      <c r="G2502" s="207"/>
      <c r="H2502" s="209"/>
      <c r="I2502" s="209"/>
      <c r="J2502" s="209"/>
      <c r="K2502" s="208" t="str">
        <f>IF(Errors!$I2502=0,SourceData!$B$42,VLOOKUP(Errors!$I2502,SourceData!$A$2:$B$40,2,FALSE))</f>
        <v>Please select ERROR CODE column "I"</v>
      </c>
      <c r="L2502" s="207" t="str">
        <f>IF(Errors!$I2502=0,
    'List of Error Codes'!$E$29,
    IFERROR(VLOOKUP(Errors!$I2502, 'List of Error Codes'!D2501:I2531, 6, FALSE), 'List of Error Codes'!$E$29)
)</f>
        <v>Please select ERROR CODE column "I"</v>
      </c>
      <c r="M2502" s="209"/>
      <c r="N2502" s="209"/>
      <c r="O2502" s="209"/>
      <c r="P2502" s="209"/>
      <c r="Q2502" s="209"/>
      <c r="R2502" s="217"/>
      <c r="S2502" s="217"/>
      <c r="T2502" s="217"/>
      <c r="U2502" s="199"/>
      <c r="V2502" s="200"/>
      <c r="W2502" s="200"/>
      <c r="X2502" s="200"/>
      <c r="Y2502" s="200"/>
      <c r="Z2502" s="200"/>
      <c r="AA2502" s="201"/>
      <c r="AB2502" s="200"/>
      <c r="AC2502" s="200"/>
    </row>
    <row r="2503" ht="15.75" customHeight="1">
      <c r="A2503" s="210">
        <f t="shared" si="1"/>
        <v>2501</v>
      </c>
      <c r="B2503" s="217"/>
      <c r="C2503" s="217" t="str">
        <f>IFERROR(VLOOKUP(B2503, SourceData!$U$3:$V$190, 2, FALSE), "")</f>
        <v/>
      </c>
      <c r="D2503" s="240"/>
      <c r="E2503" s="241"/>
      <c r="F2503" s="248"/>
      <c r="G2503" s="207"/>
      <c r="H2503" s="209"/>
      <c r="I2503" s="209"/>
      <c r="J2503" s="209"/>
      <c r="K2503" s="208" t="str">
        <f>IF(Errors!$I2503=0,SourceData!$B$42,VLOOKUP(Errors!$I2503,SourceData!$A$2:$B$40,2,FALSE))</f>
        <v>Please select ERROR CODE column "I"</v>
      </c>
      <c r="L2503" s="207" t="str">
        <f>IF(Errors!$I2503=0,
    'List of Error Codes'!$E$29,
    IFERROR(VLOOKUP(Errors!$I2503, 'List of Error Codes'!D2502:I2532, 6, FALSE), 'List of Error Codes'!$E$29)
)</f>
        <v>Please select ERROR CODE column "I"</v>
      </c>
      <c r="M2503" s="209"/>
      <c r="N2503" s="209"/>
      <c r="O2503" s="209"/>
      <c r="P2503" s="209"/>
      <c r="Q2503" s="209"/>
      <c r="R2503" s="217"/>
      <c r="S2503" s="217"/>
      <c r="T2503" s="217"/>
      <c r="U2503" s="199"/>
      <c r="V2503" s="200"/>
      <c r="W2503" s="200"/>
      <c r="X2503" s="200"/>
      <c r="Y2503" s="200"/>
      <c r="Z2503" s="200"/>
      <c r="AA2503" s="201"/>
      <c r="AB2503" s="200"/>
      <c r="AC2503" s="200"/>
    </row>
    <row r="2504" ht="15.75" customHeight="1">
      <c r="A2504" s="210">
        <f t="shared" si="1"/>
        <v>2502</v>
      </c>
      <c r="B2504" s="217"/>
      <c r="C2504" s="217" t="str">
        <f>IFERROR(VLOOKUP(B2504, SourceData!$U$3:$V$190, 2, FALSE), "")</f>
        <v/>
      </c>
      <c r="D2504" s="240"/>
      <c r="E2504" s="241"/>
      <c r="F2504" s="248"/>
      <c r="G2504" s="207"/>
      <c r="H2504" s="209"/>
      <c r="I2504" s="209"/>
      <c r="J2504" s="209"/>
      <c r="K2504" s="208" t="str">
        <f>IF(Errors!$I2504=0,SourceData!$B$42,VLOOKUP(Errors!$I2504,SourceData!$A$2:$B$40,2,FALSE))</f>
        <v>Please select ERROR CODE column "I"</v>
      </c>
      <c r="L2504" s="207" t="str">
        <f>IF(Errors!$I2504=0,
    'List of Error Codes'!$E$29,
    IFERROR(VLOOKUP(Errors!$I2504, 'List of Error Codes'!D2503:I2533, 6, FALSE), 'List of Error Codes'!$E$29)
)</f>
        <v>Please select ERROR CODE column "I"</v>
      </c>
      <c r="M2504" s="209"/>
      <c r="N2504" s="209"/>
      <c r="O2504" s="209"/>
      <c r="P2504" s="209"/>
      <c r="Q2504" s="209"/>
      <c r="R2504" s="217"/>
      <c r="S2504" s="217"/>
      <c r="T2504" s="217"/>
      <c r="U2504" s="199"/>
      <c r="V2504" s="200"/>
      <c r="W2504" s="200"/>
      <c r="X2504" s="200"/>
      <c r="Y2504" s="200"/>
      <c r="Z2504" s="200"/>
      <c r="AA2504" s="201"/>
      <c r="AB2504" s="200"/>
      <c r="AC2504" s="200"/>
    </row>
    <row r="2505" ht="15.75" customHeight="1">
      <c r="A2505" s="210">
        <f t="shared" si="1"/>
        <v>2503</v>
      </c>
      <c r="B2505" s="217"/>
      <c r="C2505" s="217" t="str">
        <f>IFERROR(VLOOKUP(B2505, SourceData!$U$3:$V$190, 2, FALSE), "")</f>
        <v/>
      </c>
      <c r="D2505" s="240"/>
      <c r="E2505" s="241"/>
      <c r="F2505" s="248"/>
      <c r="G2505" s="207"/>
      <c r="H2505" s="209"/>
      <c r="I2505" s="209"/>
      <c r="J2505" s="209"/>
      <c r="K2505" s="208" t="str">
        <f>IF(Errors!$I2505=0,SourceData!$B$42,VLOOKUP(Errors!$I2505,SourceData!$A$2:$B$40,2,FALSE))</f>
        <v>Please select ERROR CODE column "I"</v>
      </c>
      <c r="L2505" s="207" t="str">
        <f>IF(Errors!$I2505=0,
    'List of Error Codes'!$E$29,
    IFERROR(VLOOKUP(Errors!$I2505, 'List of Error Codes'!D2504:I2534, 6, FALSE), 'List of Error Codes'!$E$29)
)</f>
        <v>Please select ERROR CODE column "I"</v>
      </c>
      <c r="M2505" s="209"/>
      <c r="N2505" s="209"/>
      <c r="O2505" s="209"/>
      <c r="P2505" s="209"/>
      <c r="Q2505" s="209"/>
      <c r="R2505" s="217"/>
      <c r="S2505" s="217"/>
      <c r="T2505" s="217"/>
      <c r="U2505" s="199"/>
      <c r="V2505" s="200"/>
      <c r="W2505" s="200"/>
      <c r="X2505" s="200"/>
      <c r="Y2505" s="200"/>
      <c r="Z2505" s="200"/>
      <c r="AA2505" s="201"/>
      <c r="AB2505" s="200"/>
      <c r="AC2505" s="200"/>
    </row>
    <row r="2506" ht="15.75" customHeight="1">
      <c r="A2506" s="210">
        <f t="shared" si="1"/>
        <v>2504</v>
      </c>
      <c r="B2506" s="217"/>
      <c r="C2506" s="217" t="str">
        <f>IFERROR(VLOOKUP(B2506, SourceData!$U$3:$V$190, 2, FALSE), "")</f>
        <v/>
      </c>
      <c r="D2506" s="240"/>
      <c r="E2506" s="241"/>
      <c r="F2506" s="248"/>
      <c r="G2506" s="207"/>
      <c r="H2506" s="209"/>
      <c r="I2506" s="209"/>
      <c r="J2506" s="209"/>
      <c r="K2506" s="208" t="str">
        <f>IF(Errors!$I2506=0,SourceData!$B$42,VLOOKUP(Errors!$I2506,SourceData!$A$2:$B$40,2,FALSE))</f>
        <v>Please select ERROR CODE column "I"</v>
      </c>
      <c r="L2506" s="207" t="str">
        <f>IF(Errors!$I2506=0,
    'List of Error Codes'!$E$29,
    IFERROR(VLOOKUP(Errors!$I2506, 'List of Error Codes'!D2505:I2535, 6, FALSE), 'List of Error Codes'!$E$29)
)</f>
        <v>Please select ERROR CODE column "I"</v>
      </c>
      <c r="M2506" s="209"/>
      <c r="N2506" s="209"/>
      <c r="O2506" s="209"/>
      <c r="P2506" s="209"/>
      <c r="Q2506" s="209"/>
      <c r="R2506" s="217"/>
      <c r="S2506" s="217"/>
      <c r="T2506" s="217"/>
      <c r="U2506" s="199"/>
      <c r="V2506" s="200"/>
      <c r="W2506" s="200"/>
      <c r="X2506" s="200"/>
      <c r="Y2506" s="200"/>
      <c r="Z2506" s="200"/>
      <c r="AA2506" s="201"/>
      <c r="AB2506" s="200"/>
      <c r="AC2506" s="200"/>
    </row>
    <row r="2507" ht="15.75" customHeight="1">
      <c r="A2507" s="210">
        <f t="shared" si="1"/>
        <v>2505</v>
      </c>
      <c r="B2507" s="217"/>
      <c r="C2507" s="217" t="str">
        <f>IFERROR(VLOOKUP(B2507, SourceData!$U$3:$V$190, 2, FALSE), "")</f>
        <v/>
      </c>
      <c r="D2507" s="240"/>
      <c r="E2507" s="241"/>
      <c r="F2507" s="248"/>
      <c r="G2507" s="207"/>
      <c r="H2507" s="209"/>
      <c r="I2507" s="209"/>
      <c r="J2507" s="209"/>
      <c r="K2507" s="208" t="str">
        <f>IF(Errors!$I2507=0,SourceData!$B$42,VLOOKUP(Errors!$I2507,SourceData!$A$2:$B$40,2,FALSE))</f>
        <v>Please select ERROR CODE column "I"</v>
      </c>
      <c r="L2507" s="207" t="str">
        <f>IF(Errors!$I2507=0,
    'List of Error Codes'!$E$29,
    IFERROR(VLOOKUP(Errors!$I2507, 'List of Error Codes'!D2506:I2536, 6, FALSE), 'List of Error Codes'!$E$29)
)</f>
        <v>Please select ERROR CODE column "I"</v>
      </c>
      <c r="M2507" s="209"/>
      <c r="N2507" s="209"/>
      <c r="O2507" s="209"/>
      <c r="P2507" s="209"/>
      <c r="Q2507" s="209"/>
      <c r="R2507" s="217"/>
      <c r="S2507" s="217"/>
      <c r="T2507" s="217"/>
      <c r="U2507" s="199"/>
      <c r="V2507" s="200"/>
      <c r="W2507" s="200"/>
      <c r="X2507" s="200"/>
      <c r="Y2507" s="200"/>
      <c r="Z2507" s="200"/>
      <c r="AA2507" s="201"/>
      <c r="AB2507" s="200"/>
      <c r="AC2507" s="200"/>
    </row>
    <row r="2508" ht="15.75" customHeight="1">
      <c r="A2508" s="210">
        <f t="shared" si="1"/>
        <v>2506</v>
      </c>
      <c r="B2508" s="217"/>
      <c r="C2508" s="217" t="str">
        <f>IFERROR(VLOOKUP(B2508, SourceData!$U$3:$V$190, 2, FALSE), "")</f>
        <v/>
      </c>
      <c r="D2508" s="240"/>
      <c r="E2508" s="241"/>
      <c r="F2508" s="248"/>
      <c r="G2508" s="207"/>
      <c r="H2508" s="209"/>
      <c r="I2508" s="209"/>
      <c r="J2508" s="209"/>
      <c r="K2508" s="208" t="str">
        <f>IF(Errors!$I2508=0,SourceData!$B$42,VLOOKUP(Errors!$I2508,SourceData!$A$2:$B$40,2,FALSE))</f>
        <v>Please select ERROR CODE column "I"</v>
      </c>
      <c r="L2508" s="207" t="str">
        <f>IF(Errors!$I2508=0,
    'List of Error Codes'!$E$29,
    IFERROR(VLOOKUP(Errors!$I2508, 'List of Error Codes'!D2507:I2537, 6, FALSE), 'List of Error Codes'!$E$29)
)</f>
        <v>Please select ERROR CODE column "I"</v>
      </c>
      <c r="M2508" s="209"/>
      <c r="N2508" s="209"/>
      <c r="O2508" s="209"/>
      <c r="P2508" s="209"/>
      <c r="Q2508" s="209"/>
      <c r="R2508" s="217"/>
      <c r="S2508" s="217"/>
      <c r="T2508" s="217"/>
      <c r="U2508" s="199"/>
      <c r="V2508" s="200"/>
      <c r="W2508" s="200"/>
      <c r="X2508" s="200"/>
      <c r="Y2508" s="200"/>
      <c r="Z2508" s="200"/>
      <c r="AA2508" s="201"/>
      <c r="AB2508" s="200"/>
      <c r="AC2508" s="200"/>
    </row>
    <row r="2509" ht="15.75" customHeight="1">
      <c r="A2509" s="210">
        <f t="shared" si="1"/>
        <v>2507</v>
      </c>
      <c r="B2509" s="217"/>
      <c r="C2509" s="217" t="str">
        <f>IFERROR(VLOOKUP(B2509, SourceData!$U$3:$V$190, 2, FALSE), "")</f>
        <v/>
      </c>
      <c r="D2509" s="240"/>
      <c r="E2509" s="241"/>
      <c r="F2509" s="248"/>
      <c r="G2509" s="207"/>
      <c r="H2509" s="209"/>
      <c r="I2509" s="209"/>
      <c r="J2509" s="209"/>
      <c r="K2509" s="208" t="str">
        <f>IF(Errors!$I2509=0,SourceData!$B$42,VLOOKUP(Errors!$I2509,SourceData!$A$2:$B$40,2,FALSE))</f>
        <v>Please select ERROR CODE column "I"</v>
      </c>
      <c r="L2509" s="207" t="str">
        <f>IF(Errors!$I2509=0,
    'List of Error Codes'!$E$29,
    IFERROR(VLOOKUP(Errors!$I2509, 'List of Error Codes'!D2508:I2538, 6, FALSE), 'List of Error Codes'!$E$29)
)</f>
        <v>Please select ERROR CODE column "I"</v>
      </c>
      <c r="M2509" s="209"/>
      <c r="N2509" s="209"/>
      <c r="O2509" s="209"/>
      <c r="P2509" s="209"/>
      <c r="Q2509" s="209"/>
      <c r="R2509" s="217"/>
      <c r="S2509" s="217"/>
      <c r="T2509" s="217"/>
      <c r="U2509" s="199"/>
      <c r="V2509" s="200"/>
      <c r="W2509" s="200"/>
      <c r="X2509" s="200"/>
      <c r="Y2509" s="200"/>
      <c r="Z2509" s="200"/>
      <c r="AA2509" s="201"/>
      <c r="AB2509" s="200"/>
      <c r="AC2509" s="200"/>
    </row>
    <row r="2510" ht="15.75" customHeight="1">
      <c r="A2510" s="210">
        <f t="shared" si="1"/>
        <v>2508</v>
      </c>
      <c r="B2510" s="217"/>
      <c r="C2510" s="217" t="str">
        <f>IFERROR(VLOOKUP(B2510, SourceData!$U$3:$V$190, 2, FALSE), "")</f>
        <v/>
      </c>
      <c r="D2510" s="240"/>
      <c r="E2510" s="241"/>
      <c r="F2510" s="248"/>
      <c r="G2510" s="207"/>
      <c r="H2510" s="209"/>
      <c r="I2510" s="209"/>
      <c r="J2510" s="209"/>
      <c r="K2510" s="208" t="str">
        <f>IF(Errors!$I2510=0,SourceData!$B$42,VLOOKUP(Errors!$I2510,SourceData!$A$2:$B$40,2,FALSE))</f>
        <v>Please select ERROR CODE column "I"</v>
      </c>
      <c r="L2510" s="207" t="str">
        <f>IF(Errors!$I2510=0,
    'List of Error Codes'!$E$29,
    IFERROR(VLOOKUP(Errors!$I2510, 'List of Error Codes'!D2509:I2539, 6, FALSE), 'List of Error Codes'!$E$29)
)</f>
        <v>Please select ERROR CODE column "I"</v>
      </c>
      <c r="M2510" s="209"/>
      <c r="N2510" s="209"/>
      <c r="O2510" s="209"/>
      <c r="P2510" s="209"/>
      <c r="Q2510" s="209"/>
      <c r="R2510" s="217"/>
      <c r="S2510" s="217"/>
      <c r="T2510" s="217"/>
      <c r="U2510" s="199"/>
      <c r="V2510" s="200"/>
      <c r="W2510" s="200"/>
      <c r="X2510" s="200"/>
      <c r="Y2510" s="200"/>
      <c r="Z2510" s="200"/>
      <c r="AA2510" s="201"/>
      <c r="AB2510" s="200"/>
      <c r="AC2510" s="200"/>
    </row>
    <row r="2511" ht="15.75" customHeight="1">
      <c r="A2511" s="210">
        <f t="shared" si="1"/>
        <v>2509</v>
      </c>
      <c r="B2511" s="217"/>
      <c r="C2511" s="217" t="str">
        <f>IFERROR(VLOOKUP(B2511, SourceData!$U$3:$V$190, 2, FALSE), "")</f>
        <v/>
      </c>
      <c r="D2511" s="240"/>
      <c r="E2511" s="241"/>
      <c r="F2511" s="248"/>
      <c r="G2511" s="207"/>
      <c r="H2511" s="209"/>
      <c r="I2511" s="209"/>
      <c r="J2511" s="209"/>
      <c r="K2511" s="208" t="str">
        <f>IF(Errors!$I2511=0,SourceData!$B$42,VLOOKUP(Errors!$I2511,SourceData!$A$2:$B$40,2,FALSE))</f>
        <v>Please select ERROR CODE column "I"</v>
      </c>
      <c r="L2511" s="207" t="str">
        <f>IF(Errors!$I2511=0,
    'List of Error Codes'!$E$29,
    IFERROR(VLOOKUP(Errors!$I2511, 'List of Error Codes'!D2510:I2540, 6, FALSE), 'List of Error Codes'!$E$29)
)</f>
        <v>Please select ERROR CODE column "I"</v>
      </c>
      <c r="M2511" s="209"/>
      <c r="N2511" s="209"/>
      <c r="O2511" s="209"/>
      <c r="P2511" s="209"/>
      <c r="Q2511" s="209"/>
      <c r="R2511" s="217"/>
      <c r="S2511" s="217"/>
      <c r="T2511" s="217"/>
      <c r="U2511" s="199"/>
      <c r="V2511" s="200"/>
      <c r="W2511" s="200"/>
      <c r="X2511" s="200"/>
      <c r="Y2511" s="200"/>
      <c r="Z2511" s="200"/>
      <c r="AA2511" s="201"/>
      <c r="AB2511" s="200"/>
      <c r="AC2511" s="200"/>
    </row>
    <row r="2512" ht="15.75" customHeight="1">
      <c r="A2512" s="210">
        <f t="shared" si="1"/>
        <v>2510</v>
      </c>
      <c r="B2512" s="217"/>
      <c r="C2512" s="217" t="str">
        <f>IFERROR(VLOOKUP(B2512, SourceData!$U$3:$V$190, 2, FALSE), "")</f>
        <v/>
      </c>
      <c r="D2512" s="240"/>
      <c r="E2512" s="241"/>
      <c r="F2512" s="248"/>
      <c r="G2512" s="207"/>
      <c r="H2512" s="209"/>
      <c r="I2512" s="209"/>
      <c r="J2512" s="209"/>
      <c r="K2512" s="208" t="str">
        <f>IF(Errors!$I2512=0,SourceData!$B$42,VLOOKUP(Errors!$I2512,SourceData!$A$2:$B$40,2,FALSE))</f>
        <v>Please select ERROR CODE column "I"</v>
      </c>
      <c r="L2512" s="207" t="str">
        <f>IF(Errors!$I2512=0,
    'List of Error Codes'!$E$29,
    IFERROR(VLOOKUP(Errors!$I2512, 'List of Error Codes'!D2511:I2541, 6, FALSE), 'List of Error Codes'!$E$29)
)</f>
        <v>Please select ERROR CODE column "I"</v>
      </c>
      <c r="M2512" s="209"/>
      <c r="N2512" s="209"/>
      <c r="O2512" s="209"/>
      <c r="P2512" s="209"/>
      <c r="Q2512" s="209"/>
      <c r="R2512" s="217"/>
      <c r="S2512" s="217"/>
      <c r="T2512" s="217"/>
      <c r="U2512" s="199"/>
      <c r="V2512" s="200"/>
      <c r="W2512" s="200"/>
      <c r="X2512" s="200"/>
      <c r="Y2512" s="200"/>
      <c r="Z2512" s="200"/>
      <c r="AA2512" s="201"/>
      <c r="AB2512" s="200"/>
      <c r="AC2512" s="200"/>
    </row>
    <row r="2513" ht="15.75" customHeight="1">
      <c r="A2513" s="210">
        <f t="shared" si="1"/>
        <v>2511</v>
      </c>
      <c r="B2513" s="217"/>
      <c r="C2513" s="217" t="str">
        <f>IFERROR(VLOOKUP(B2513, SourceData!$U$3:$V$190, 2, FALSE), "")</f>
        <v/>
      </c>
      <c r="D2513" s="240"/>
      <c r="E2513" s="241"/>
      <c r="F2513" s="248"/>
      <c r="G2513" s="207"/>
      <c r="H2513" s="209"/>
      <c r="I2513" s="209"/>
      <c r="J2513" s="209"/>
      <c r="K2513" s="208" t="str">
        <f>IF(Errors!$I2513=0,SourceData!$B$42,VLOOKUP(Errors!$I2513,SourceData!$A$2:$B$40,2,FALSE))</f>
        <v>Please select ERROR CODE column "I"</v>
      </c>
      <c r="L2513" s="207" t="str">
        <f>IF(Errors!$I2513=0,
    'List of Error Codes'!$E$29,
    IFERROR(VLOOKUP(Errors!$I2513, 'List of Error Codes'!D2512:I2542, 6, FALSE), 'List of Error Codes'!$E$29)
)</f>
        <v>Please select ERROR CODE column "I"</v>
      </c>
      <c r="M2513" s="209"/>
      <c r="N2513" s="209"/>
      <c r="O2513" s="209"/>
      <c r="P2513" s="209"/>
      <c r="Q2513" s="209"/>
      <c r="R2513" s="217"/>
      <c r="S2513" s="217"/>
      <c r="T2513" s="217"/>
      <c r="U2513" s="199"/>
      <c r="V2513" s="200"/>
      <c r="W2513" s="200"/>
      <c r="X2513" s="200"/>
      <c r="Y2513" s="200"/>
      <c r="Z2513" s="200"/>
      <c r="AA2513" s="201"/>
      <c r="AB2513" s="200"/>
      <c r="AC2513" s="200"/>
    </row>
    <row r="2514" ht="15.75" customHeight="1">
      <c r="A2514" s="210">
        <f t="shared" si="1"/>
        <v>2512</v>
      </c>
      <c r="B2514" s="217"/>
      <c r="C2514" s="217" t="str">
        <f>IFERROR(VLOOKUP(B2514, SourceData!$U$3:$V$190, 2, FALSE), "")</f>
        <v/>
      </c>
      <c r="D2514" s="240"/>
      <c r="E2514" s="241"/>
      <c r="F2514" s="248"/>
      <c r="G2514" s="207"/>
      <c r="H2514" s="209"/>
      <c r="I2514" s="209"/>
      <c r="J2514" s="209"/>
      <c r="K2514" s="208" t="str">
        <f>IF(Errors!$I2514=0,SourceData!$B$42,VLOOKUP(Errors!$I2514,SourceData!$A$2:$B$40,2,FALSE))</f>
        <v>Please select ERROR CODE column "I"</v>
      </c>
      <c r="L2514" s="207" t="str">
        <f>IF(Errors!$I2514=0,
    'List of Error Codes'!$E$29,
    IFERROR(VLOOKUP(Errors!$I2514, 'List of Error Codes'!D2513:I2543, 6, FALSE), 'List of Error Codes'!$E$29)
)</f>
        <v>Please select ERROR CODE column "I"</v>
      </c>
      <c r="M2514" s="209"/>
      <c r="N2514" s="209"/>
      <c r="O2514" s="209"/>
      <c r="P2514" s="209"/>
      <c r="Q2514" s="209"/>
      <c r="R2514" s="217"/>
      <c r="S2514" s="217"/>
      <c r="T2514" s="217"/>
      <c r="U2514" s="199"/>
      <c r="V2514" s="200"/>
      <c r="W2514" s="200"/>
      <c r="X2514" s="200"/>
      <c r="Y2514" s="200"/>
      <c r="Z2514" s="200"/>
      <c r="AA2514" s="201"/>
      <c r="AB2514" s="200"/>
      <c r="AC2514" s="200"/>
    </row>
    <row r="2515" ht="15.75" customHeight="1">
      <c r="A2515" s="210">
        <f t="shared" si="1"/>
        <v>2513</v>
      </c>
      <c r="B2515" s="217"/>
      <c r="C2515" s="217" t="str">
        <f>IFERROR(VLOOKUP(B2515, SourceData!$U$3:$V$190, 2, FALSE), "")</f>
        <v/>
      </c>
      <c r="D2515" s="240"/>
      <c r="E2515" s="241"/>
      <c r="F2515" s="248"/>
      <c r="G2515" s="207"/>
      <c r="H2515" s="209"/>
      <c r="I2515" s="209"/>
      <c r="J2515" s="209"/>
      <c r="K2515" s="208" t="str">
        <f>IF(Errors!$I2515=0,SourceData!$B$42,VLOOKUP(Errors!$I2515,SourceData!$A$2:$B$40,2,FALSE))</f>
        <v>Please select ERROR CODE column "I"</v>
      </c>
      <c r="L2515" s="207" t="str">
        <f>IF(Errors!$I2515=0,
    'List of Error Codes'!$E$29,
    IFERROR(VLOOKUP(Errors!$I2515, 'List of Error Codes'!D2514:I2544, 6, FALSE), 'List of Error Codes'!$E$29)
)</f>
        <v>Please select ERROR CODE column "I"</v>
      </c>
      <c r="M2515" s="209"/>
      <c r="N2515" s="209"/>
      <c r="O2515" s="209"/>
      <c r="P2515" s="209"/>
      <c r="Q2515" s="209"/>
      <c r="R2515" s="217"/>
      <c r="S2515" s="217"/>
      <c r="T2515" s="217"/>
      <c r="U2515" s="199"/>
      <c r="V2515" s="200"/>
      <c r="W2515" s="200"/>
      <c r="X2515" s="200"/>
      <c r="Y2515" s="200"/>
      <c r="Z2515" s="200"/>
      <c r="AA2515" s="201"/>
      <c r="AB2515" s="200"/>
      <c r="AC2515" s="200"/>
    </row>
    <row r="2516" ht="15.75" customHeight="1">
      <c r="A2516" s="210">
        <f t="shared" si="1"/>
        <v>2514</v>
      </c>
      <c r="B2516" s="217"/>
      <c r="C2516" s="217" t="str">
        <f>IFERROR(VLOOKUP(B2516, SourceData!$U$3:$V$190, 2, FALSE), "")</f>
        <v/>
      </c>
      <c r="D2516" s="240"/>
      <c r="E2516" s="241"/>
      <c r="F2516" s="248"/>
      <c r="G2516" s="207"/>
      <c r="H2516" s="209"/>
      <c r="I2516" s="209"/>
      <c r="J2516" s="209"/>
      <c r="K2516" s="208" t="str">
        <f>IF(Errors!$I2516=0,SourceData!$B$42,VLOOKUP(Errors!$I2516,SourceData!$A$2:$B$40,2,FALSE))</f>
        <v>Please select ERROR CODE column "I"</v>
      </c>
      <c r="L2516" s="207" t="str">
        <f>IF(Errors!$I2516=0,
    'List of Error Codes'!$E$29,
    IFERROR(VLOOKUP(Errors!$I2516, 'List of Error Codes'!D2515:I2545, 6, FALSE), 'List of Error Codes'!$E$29)
)</f>
        <v>Please select ERROR CODE column "I"</v>
      </c>
      <c r="M2516" s="209"/>
      <c r="N2516" s="209"/>
      <c r="O2516" s="209"/>
      <c r="P2516" s="209"/>
      <c r="Q2516" s="209"/>
      <c r="R2516" s="217"/>
      <c r="S2516" s="217"/>
      <c r="T2516" s="217"/>
      <c r="U2516" s="199"/>
      <c r="V2516" s="200"/>
      <c r="W2516" s="200"/>
      <c r="X2516" s="200"/>
      <c r="Y2516" s="200"/>
      <c r="Z2516" s="200"/>
      <c r="AA2516" s="201"/>
      <c r="AB2516" s="200"/>
      <c r="AC2516" s="200"/>
    </row>
    <row r="2517" ht="15.75" customHeight="1">
      <c r="A2517" s="210">
        <f t="shared" si="1"/>
        <v>2515</v>
      </c>
      <c r="B2517" s="217"/>
      <c r="C2517" s="217" t="str">
        <f>IFERROR(VLOOKUP(B2517, SourceData!$U$3:$V$190, 2, FALSE), "")</f>
        <v/>
      </c>
      <c r="D2517" s="240"/>
      <c r="E2517" s="241"/>
      <c r="F2517" s="248"/>
      <c r="G2517" s="207"/>
      <c r="H2517" s="209"/>
      <c r="I2517" s="209"/>
      <c r="J2517" s="209"/>
      <c r="K2517" s="208" t="str">
        <f>IF(Errors!$I2517=0,SourceData!$B$42,VLOOKUP(Errors!$I2517,SourceData!$A$2:$B$40,2,FALSE))</f>
        <v>Please select ERROR CODE column "I"</v>
      </c>
      <c r="L2517" s="207" t="str">
        <f>IF(Errors!$I2517=0,
    'List of Error Codes'!$E$29,
    IFERROR(VLOOKUP(Errors!$I2517, 'List of Error Codes'!D2516:I2546, 6, FALSE), 'List of Error Codes'!$E$29)
)</f>
        <v>Please select ERROR CODE column "I"</v>
      </c>
      <c r="M2517" s="209"/>
      <c r="N2517" s="209"/>
      <c r="O2517" s="209"/>
      <c r="P2517" s="209"/>
      <c r="Q2517" s="209"/>
      <c r="R2517" s="217"/>
      <c r="S2517" s="217"/>
      <c r="T2517" s="217"/>
      <c r="U2517" s="199"/>
      <c r="V2517" s="200"/>
      <c r="W2517" s="200"/>
      <c r="X2517" s="200"/>
      <c r="Y2517" s="200"/>
      <c r="Z2517" s="200"/>
      <c r="AA2517" s="201"/>
      <c r="AB2517" s="200"/>
      <c r="AC2517" s="200"/>
    </row>
    <row r="2518" ht="15.75" customHeight="1">
      <c r="A2518" s="210">
        <f t="shared" si="1"/>
        <v>2516</v>
      </c>
      <c r="B2518" s="217"/>
      <c r="C2518" s="217" t="str">
        <f>IFERROR(VLOOKUP(B2518, SourceData!$U$3:$V$190, 2, FALSE), "")</f>
        <v/>
      </c>
      <c r="D2518" s="240"/>
      <c r="E2518" s="241"/>
      <c r="F2518" s="248"/>
      <c r="G2518" s="207"/>
      <c r="H2518" s="209"/>
      <c r="I2518" s="209"/>
      <c r="J2518" s="209"/>
      <c r="K2518" s="208" t="str">
        <f>IF(Errors!$I2518=0,SourceData!$B$42,VLOOKUP(Errors!$I2518,SourceData!$A$2:$B$40,2,FALSE))</f>
        <v>Please select ERROR CODE column "I"</v>
      </c>
      <c r="L2518" s="207" t="str">
        <f>IF(Errors!$I2518=0,
    'List of Error Codes'!$E$29,
    IFERROR(VLOOKUP(Errors!$I2518, 'List of Error Codes'!D2517:I2547, 6, FALSE), 'List of Error Codes'!$E$29)
)</f>
        <v>Please select ERROR CODE column "I"</v>
      </c>
      <c r="M2518" s="209"/>
      <c r="N2518" s="209"/>
      <c r="O2518" s="209"/>
      <c r="P2518" s="209"/>
      <c r="Q2518" s="209"/>
      <c r="R2518" s="217"/>
      <c r="S2518" s="217"/>
      <c r="T2518" s="217"/>
      <c r="U2518" s="199"/>
      <c r="V2518" s="200"/>
      <c r="W2518" s="200"/>
      <c r="X2518" s="200"/>
      <c r="Y2518" s="200"/>
      <c r="Z2518" s="200"/>
      <c r="AA2518" s="201"/>
      <c r="AB2518" s="200"/>
      <c r="AC2518" s="200"/>
    </row>
    <row r="2519" ht="15.75" customHeight="1">
      <c r="A2519" s="210">
        <f t="shared" si="1"/>
        <v>2517</v>
      </c>
      <c r="B2519" s="217"/>
      <c r="C2519" s="217" t="str">
        <f>IFERROR(VLOOKUP(B2519, SourceData!$U$3:$V$190, 2, FALSE), "")</f>
        <v/>
      </c>
      <c r="D2519" s="240"/>
      <c r="E2519" s="241"/>
      <c r="F2519" s="248"/>
      <c r="G2519" s="207"/>
      <c r="H2519" s="209"/>
      <c r="I2519" s="209"/>
      <c r="J2519" s="209"/>
      <c r="K2519" s="208" t="str">
        <f>IF(Errors!$I2519=0,SourceData!$B$42,VLOOKUP(Errors!$I2519,SourceData!$A$2:$B$40,2,FALSE))</f>
        <v>Please select ERROR CODE column "I"</v>
      </c>
      <c r="L2519" s="207" t="str">
        <f>IF(Errors!$I2519=0,
    'List of Error Codes'!$E$29,
    IFERROR(VLOOKUP(Errors!$I2519, 'List of Error Codes'!D2518:I2548, 6, FALSE), 'List of Error Codes'!$E$29)
)</f>
        <v>Please select ERROR CODE column "I"</v>
      </c>
      <c r="M2519" s="209"/>
      <c r="N2519" s="209"/>
      <c r="O2519" s="209"/>
      <c r="P2519" s="209"/>
      <c r="Q2519" s="209"/>
      <c r="R2519" s="217"/>
      <c r="S2519" s="217"/>
      <c r="T2519" s="217"/>
      <c r="U2519" s="199"/>
      <c r="V2519" s="200"/>
      <c r="W2519" s="200"/>
      <c r="X2519" s="200"/>
      <c r="Y2519" s="200"/>
      <c r="Z2519" s="200"/>
      <c r="AA2519" s="201"/>
      <c r="AB2519" s="200"/>
      <c r="AC2519" s="200"/>
    </row>
    <row r="2520" ht="15.75" customHeight="1">
      <c r="A2520" s="210">
        <f t="shared" si="1"/>
        <v>2518</v>
      </c>
      <c r="B2520" s="217"/>
      <c r="C2520" s="217" t="str">
        <f>IFERROR(VLOOKUP(B2520, SourceData!$U$3:$V$190, 2, FALSE), "")</f>
        <v/>
      </c>
      <c r="D2520" s="240"/>
      <c r="E2520" s="241"/>
      <c r="F2520" s="248"/>
      <c r="G2520" s="207"/>
      <c r="H2520" s="209"/>
      <c r="I2520" s="209"/>
      <c r="J2520" s="209"/>
      <c r="K2520" s="208" t="str">
        <f>IF(Errors!$I2520=0,SourceData!$B$42,VLOOKUP(Errors!$I2520,SourceData!$A$2:$B$40,2,FALSE))</f>
        <v>Please select ERROR CODE column "I"</v>
      </c>
      <c r="L2520" s="207" t="str">
        <f>IF(Errors!$I2520=0,
    'List of Error Codes'!$E$29,
    IFERROR(VLOOKUP(Errors!$I2520, 'List of Error Codes'!D2519:I2549, 6, FALSE), 'List of Error Codes'!$E$29)
)</f>
        <v>Please select ERROR CODE column "I"</v>
      </c>
      <c r="M2520" s="209"/>
      <c r="N2520" s="209"/>
      <c r="O2520" s="209"/>
      <c r="P2520" s="209"/>
      <c r="Q2520" s="209"/>
      <c r="R2520" s="217"/>
      <c r="S2520" s="217"/>
      <c r="T2520" s="217"/>
      <c r="U2520" s="199"/>
      <c r="V2520" s="200"/>
      <c r="W2520" s="200"/>
      <c r="X2520" s="200"/>
      <c r="Y2520" s="200"/>
      <c r="Z2520" s="200"/>
      <c r="AA2520" s="201"/>
      <c r="AB2520" s="200"/>
      <c r="AC2520" s="200"/>
    </row>
    <row r="2521" ht="15.75" customHeight="1">
      <c r="A2521" s="210">
        <f t="shared" si="1"/>
        <v>2519</v>
      </c>
      <c r="B2521" s="217"/>
      <c r="C2521" s="217" t="str">
        <f>IFERROR(VLOOKUP(B2521, SourceData!$U$3:$V$190, 2, FALSE), "")</f>
        <v/>
      </c>
      <c r="D2521" s="240"/>
      <c r="E2521" s="241"/>
      <c r="F2521" s="248"/>
      <c r="G2521" s="207"/>
      <c r="H2521" s="209"/>
      <c r="I2521" s="209"/>
      <c r="J2521" s="209"/>
      <c r="K2521" s="208" t="str">
        <f>IF(Errors!$I2521=0,SourceData!$B$42,VLOOKUP(Errors!$I2521,SourceData!$A$2:$B$40,2,FALSE))</f>
        <v>Please select ERROR CODE column "I"</v>
      </c>
      <c r="L2521" s="207" t="str">
        <f>IF(Errors!$I2521=0,
    'List of Error Codes'!$E$29,
    IFERROR(VLOOKUP(Errors!$I2521, 'List of Error Codes'!D2520:I2550, 6, FALSE), 'List of Error Codes'!$E$29)
)</f>
        <v>Please select ERROR CODE column "I"</v>
      </c>
      <c r="M2521" s="209"/>
      <c r="N2521" s="209"/>
      <c r="O2521" s="209"/>
      <c r="P2521" s="209"/>
      <c r="Q2521" s="209"/>
      <c r="R2521" s="217"/>
      <c r="S2521" s="217"/>
      <c r="T2521" s="217"/>
      <c r="U2521" s="199"/>
      <c r="V2521" s="200"/>
      <c r="W2521" s="200"/>
      <c r="X2521" s="200"/>
      <c r="Y2521" s="200"/>
      <c r="Z2521" s="200"/>
      <c r="AA2521" s="201"/>
      <c r="AB2521" s="200"/>
      <c r="AC2521" s="200"/>
    </row>
    <row r="2522" ht="15.75" customHeight="1">
      <c r="A2522" s="210">
        <f t="shared" si="1"/>
        <v>2520</v>
      </c>
      <c r="B2522" s="217"/>
      <c r="C2522" s="217" t="str">
        <f>IFERROR(VLOOKUP(B2522, SourceData!$U$3:$V$190, 2, FALSE), "")</f>
        <v/>
      </c>
      <c r="D2522" s="240"/>
      <c r="E2522" s="241"/>
      <c r="F2522" s="248"/>
      <c r="G2522" s="207"/>
      <c r="H2522" s="209"/>
      <c r="I2522" s="209"/>
      <c r="J2522" s="209"/>
      <c r="K2522" s="208" t="str">
        <f>IF(Errors!$I2522=0,SourceData!$B$42,VLOOKUP(Errors!$I2522,SourceData!$A$2:$B$40,2,FALSE))</f>
        <v>Please select ERROR CODE column "I"</v>
      </c>
      <c r="L2522" s="207" t="str">
        <f>IF(Errors!$I2522=0,
    'List of Error Codes'!$E$29,
    IFERROR(VLOOKUP(Errors!$I2522, 'List of Error Codes'!D2521:I2551, 6, FALSE), 'List of Error Codes'!$E$29)
)</f>
        <v>Please select ERROR CODE column "I"</v>
      </c>
      <c r="M2522" s="209"/>
      <c r="N2522" s="209"/>
      <c r="O2522" s="209"/>
      <c r="P2522" s="209"/>
      <c r="Q2522" s="209"/>
      <c r="R2522" s="217"/>
      <c r="S2522" s="217"/>
      <c r="T2522" s="217"/>
      <c r="U2522" s="199"/>
      <c r="V2522" s="200"/>
      <c r="W2522" s="200"/>
      <c r="X2522" s="200"/>
      <c r="Y2522" s="200"/>
      <c r="Z2522" s="200"/>
      <c r="AA2522" s="201"/>
      <c r="AB2522" s="200"/>
      <c r="AC2522" s="200"/>
    </row>
    <row r="2523" ht="15.75" customHeight="1">
      <c r="A2523" s="210">
        <f t="shared" si="1"/>
        <v>2521</v>
      </c>
      <c r="B2523" s="217"/>
      <c r="C2523" s="217" t="str">
        <f>IFERROR(VLOOKUP(B2523, SourceData!$U$3:$V$190, 2, FALSE), "")</f>
        <v/>
      </c>
      <c r="D2523" s="240"/>
      <c r="E2523" s="241"/>
      <c r="F2523" s="248"/>
      <c r="G2523" s="207"/>
      <c r="H2523" s="209"/>
      <c r="I2523" s="209"/>
      <c r="J2523" s="209"/>
      <c r="K2523" s="208" t="str">
        <f>IF(Errors!$I2523=0,SourceData!$B$42,VLOOKUP(Errors!$I2523,SourceData!$A$2:$B$40,2,FALSE))</f>
        <v>Please select ERROR CODE column "I"</v>
      </c>
      <c r="L2523" s="207" t="str">
        <f>IF(Errors!$I2523=0,
    'List of Error Codes'!$E$29,
    IFERROR(VLOOKUP(Errors!$I2523, 'List of Error Codes'!D2522:I2552, 6, FALSE), 'List of Error Codes'!$E$29)
)</f>
        <v>Please select ERROR CODE column "I"</v>
      </c>
      <c r="M2523" s="209"/>
      <c r="N2523" s="209"/>
      <c r="O2523" s="209"/>
      <c r="P2523" s="209"/>
      <c r="Q2523" s="209"/>
      <c r="R2523" s="217"/>
      <c r="S2523" s="217"/>
      <c r="T2523" s="217"/>
      <c r="U2523" s="199"/>
      <c r="V2523" s="200"/>
      <c r="W2523" s="200"/>
      <c r="X2523" s="200"/>
      <c r="Y2523" s="200"/>
      <c r="Z2523" s="200"/>
      <c r="AA2523" s="201"/>
      <c r="AB2523" s="200"/>
      <c r="AC2523" s="200"/>
    </row>
    <row r="2524" ht="15.75" customHeight="1">
      <c r="A2524" s="210">
        <f t="shared" si="1"/>
        <v>2522</v>
      </c>
      <c r="B2524" s="217"/>
      <c r="C2524" s="217" t="str">
        <f>IFERROR(VLOOKUP(B2524, SourceData!$U$3:$V$190, 2, FALSE), "")</f>
        <v/>
      </c>
      <c r="D2524" s="240"/>
      <c r="E2524" s="241"/>
      <c r="F2524" s="248"/>
      <c r="G2524" s="207"/>
      <c r="H2524" s="209"/>
      <c r="I2524" s="209"/>
      <c r="J2524" s="209"/>
      <c r="K2524" s="208" t="str">
        <f>IF(Errors!$I2524=0,SourceData!$B$42,VLOOKUP(Errors!$I2524,SourceData!$A$2:$B$40,2,FALSE))</f>
        <v>Please select ERROR CODE column "I"</v>
      </c>
      <c r="L2524" s="207" t="str">
        <f>IF(Errors!$I2524=0,
    'List of Error Codes'!$E$29,
    IFERROR(VLOOKUP(Errors!$I2524, 'List of Error Codes'!D2523:I2553, 6, FALSE), 'List of Error Codes'!$E$29)
)</f>
        <v>Please select ERROR CODE column "I"</v>
      </c>
      <c r="M2524" s="209"/>
      <c r="N2524" s="209"/>
      <c r="O2524" s="209"/>
      <c r="P2524" s="209"/>
      <c r="Q2524" s="209"/>
      <c r="R2524" s="217"/>
      <c r="S2524" s="217"/>
      <c r="T2524" s="217"/>
      <c r="U2524" s="199"/>
      <c r="V2524" s="200"/>
      <c r="W2524" s="200"/>
      <c r="X2524" s="200"/>
      <c r="Y2524" s="200"/>
      <c r="Z2524" s="200"/>
      <c r="AA2524" s="201"/>
      <c r="AB2524" s="200"/>
      <c r="AC2524" s="200"/>
    </row>
    <row r="2525" ht="15.75" customHeight="1">
      <c r="A2525" s="210">
        <f t="shared" si="1"/>
        <v>2523</v>
      </c>
      <c r="B2525" s="217"/>
      <c r="C2525" s="217" t="str">
        <f>IFERROR(VLOOKUP(B2525, SourceData!$U$3:$V$190, 2, FALSE), "")</f>
        <v/>
      </c>
      <c r="D2525" s="240"/>
      <c r="E2525" s="241"/>
      <c r="F2525" s="248"/>
      <c r="G2525" s="207"/>
      <c r="H2525" s="209"/>
      <c r="I2525" s="209"/>
      <c r="J2525" s="209"/>
      <c r="K2525" s="208" t="str">
        <f>IF(Errors!$I2525=0,SourceData!$B$42,VLOOKUP(Errors!$I2525,SourceData!$A$2:$B$40,2,FALSE))</f>
        <v>Please select ERROR CODE column "I"</v>
      </c>
      <c r="L2525" s="207" t="str">
        <f>IF(Errors!$I2525=0,
    'List of Error Codes'!$E$29,
    IFERROR(VLOOKUP(Errors!$I2525, 'List of Error Codes'!D2524:I2554, 6, FALSE), 'List of Error Codes'!$E$29)
)</f>
        <v>Please select ERROR CODE column "I"</v>
      </c>
      <c r="M2525" s="209"/>
      <c r="N2525" s="209"/>
      <c r="O2525" s="209"/>
      <c r="P2525" s="209"/>
      <c r="Q2525" s="209"/>
      <c r="R2525" s="217"/>
      <c r="S2525" s="217"/>
      <c r="T2525" s="217"/>
      <c r="U2525" s="199"/>
      <c r="V2525" s="200"/>
      <c r="W2525" s="200"/>
      <c r="X2525" s="200"/>
      <c r="Y2525" s="200"/>
      <c r="Z2525" s="200"/>
      <c r="AA2525" s="201"/>
      <c r="AB2525" s="200"/>
      <c r="AC2525" s="200"/>
    </row>
    <row r="2526" ht="15.75" customHeight="1">
      <c r="A2526" s="210">
        <f t="shared" si="1"/>
        <v>2524</v>
      </c>
      <c r="B2526" s="217"/>
      <c r="C2526" s="217" t="str">
        <f>IFERROR(VLOOKUP(B2526, SourceData!$U$3:$V$190, 2, FALSE), "")</f>
        <v/>
      </c>
      <c r="D2526" s="240"/>
      <c r="E2526" s="241"/>
      <c r="F2526" s="248"/>
      <c r="G2526" s="207"/>
      <c r="H2526" s="209"/>
      <c r="I2526" s="209"/>
      <c r="J2526" s="209"/>
      <c r="K2526" s="208" t="str">
        <f>IF(Errors!$I2526=0,SourceData!$B$42,VLOOKUP(Errors!$I2526,SourceData!$A$2:$B$40,2,FALSE))</f>
        <v>Please select ERROR CODE column "I"</v>
      </c>
      <c r="L2526" s="207" t="str">
        <f>IF(Errors!$I2526=0,
    'List of Error Codes'!$E$29,
    IFERROR(VLOOKUP(Errors!$I2526, 'List of Error Codes'!D2525:I2555, 6, FALSE), 'List of Error Codes'!$E$29)
)</f>
        <v>Please select ERROR CODE column "I"</v>
      </c>
      <c r="M2526" s="209"/>
      <c r="N2526" s="209"/>
      <c r="O2526" s="209"/>
      <c r="P2526" s="209"/>
      <c r="Q2526" s="209"/>
      <c r="R2526" s="217"/>
      <c r="S2526" s="217"/>
      <c r="T2526" s="217"/>
      <c r="U2526" s="199"/>
      <c r="V2526" s="200"/>
      <c r="W2526" s="200"/>
      <c r="X2526" s="200"/>
      <c r="Y2526" s="200"/>
      <c r="Z2526" s="200"/>
      <c r="AA2526" s="201"/>
      <c r="AB2526" s="200"/>
      <c r="AC2526" s="200"/>
    </row>
    <row r="2527" ht="15.75" customHeight="1">
      <c r="A2527" s="210">
        <f t="shared" si="1"/>
        <v>2525</v>
      </c>
      <c r="B2527" s="217"/>
      <c r="C2527" s="217" t="str">
        <f>IFERROR(VLOOKUP(B2527, SourceData!$U$3:$V$190, 2, FALSE), "")</f>
        <v/>
      </c>
      <c r="D2527" s="240"/>
      <c r="E2527" s="241"/>
      <c r="F2527" s="248"/>
      <c r="G2527" s="207"/>
      <c r="H2527" s="209"/>
      <c r="I2527" s="209"/>
      <c r="J2527" s="209"/>
      <c r="K2527" s="208" t="str">
        <f>IF(Errors!$I2527=0,SourceData!$B$42,VLOOKUP(Errors!$I2527,SourceData!$A$2:$B$40,2,FALSE))</f>
        <v>Please select ERROR CODE column "I"</v>
      </c>
      <c r="L2527" s="207" t="str">
        <f>IF(Errors!$I2527=0,
    'List of Error Codes'!$E$29,
    IFERROR(VLOOKUP(Errors!$I2527, 'List of Error Codes'!D2526:I2556, 6, FALSE), 'List of Error Codes'!$E$29)
)</f>
        <v>Please select ERROR CODE column "I"</v>
      </c>
      <c r="M2527" s="209"/>
      <c r="N2527" s="209"/>
      <c r="O2527" s="209"/>
      <c r="P2527" s="209"/>
      <c r="Q2527" s="209"/>
      <c r="R2527" s="217"/>
      <c r="S2527" s="217"/>
      <c r="T2527" s="217"/>
      <c r="U2527" s="199"/>
      <c r="V2527" s="200"/>
      <c r="W2527" s="200"/>
      <c r="X2527" s="200"/>
      <c r="Y2527" s="200"/>
      <c r="Z2527" s="200"/>
      <c r="AA2527" s="201"/>
      <c r="AB2527" s="200"/>
      <c r="AC2527" s="200"/>
    </row>
    <row r="2528" ht="15.75" customHeight="1">
      <c r="A2528" s="210">
        <f t="shared" si="1"/>
        <v>2526</v>
      </c>
      <c r="B2528" s="217"/>
      <c r="C2528" s="217" t="str">
        <f>IFERROR(VLOOKUP(B2528, SourceData!$U$3:$V$190, 2, FALSE), "")</f>
        <v/>
      </c>
      <c r="D2528" s="240"/>
      <c r="E2528" s="241"/>
      <c r="F2528" s="248"/>
      <c r="G2528" s="207"/>
      <c r="H2528" s="209"/>
      <c r="I2528" s="209"/>
      <c r="J2528" s="209"/>
      <c r="K2528" s="208" t="str">
        <f>IF(Errors!$I2528=0,SourceData!$B$42,VLOOKUP(Errors!$I2528,SourceData!$A$2:$B$40,2,FALSE))</f>
        <v>Please select ERROR CODE column "I"</v>
      </c>
      <c r="L2528" s="207" t="str">
        <f>IF(Errors!$I2528=0,
    'List of Error Codes'!$E$29,
    IFERROR(VLOOKUP(Errors!$I2528, 'List of Error Codes'!D2527:I2557, 6, FALSE), 'List of Error Codes'!$E$29)
)</f>
        <v>Please select ERROR CODE column "I"</v>
      </c>
      <c r="M2528" s="209"/>
      <c r="N2528" s="209"/>
      <c r="O2528" s="209"/>
      <c r="P2528" s="209"/>
      <c r="Q2528" s="209"/>
      <c r="R2528" s="217"/>
      <c r="S2528" s="217"/>
      <c r="T2528" s="217"/>
      <c r="U2528" s="199"/>
      <c r="V2528" s="200"/>
      <c r="W2528" s="200"/>
      <c r="X2528" s="200"/>
      <c r="Y2528" s="200"/>
      <c r="Z2528" s="200"/>
      <c r="AA2528" s="201"/>
      <c r="AB2528" s="200"/>
      <c r="AC2528" s="200"/>
    </row>
    <row r="2529" ht="15.75" customHeight="1">
      <c r="A2529" s="210">
        <f t="shared" si="1"/>
        <v>2527</v>
      </c>
      <c r="B2529" s="217"/>
      <c r="C2529" s="217" t="str">
        <f>IFERROR(VLOOKUP(B2529, SourceData!$U$3:$V$190, 2, FALSE), "")</f>
        <v/>
      </c>
      <c r="D2529" s="240"/>
      <c r="E2529" s="241"/>
      <c r="F2529" s="248"/>
      <c r="G2529" s="207"/>
      <c r="H2529" s="209"/>
      <c r="I2529" s="209"/>
      <c r="J2529" s="209"/>
      <c r="K2529" s="208" t="str">
        <f>IF(Errors!$I2529=0,SourceData!$B$42,VLOOKUP(Errors!$I2529,SourceData!$A$2:$B$40,2,FALSE))</f>
        <v>Please select ERROR CODE column "I"</v>
      </c>
      <c r="L2529" s="207" t="str">
        <f>IF(Errors!$I2529=0,
    'List of Error Codes'!$E$29,
    IFERROR(VLOOKUP(Errors!$I2529, 'List of Error Codes'!D2528:I2558, 6, FALSE), 'List of Error Codes'!$E$29)
)</f>
        <v>Please select ERROR CODE column "I"</v>
      </c>
      <c r="M2529" s="209"/>
      <c r="N2529" s="209"/>
      <c r="O2529" s="209"/>
      <c r="P2529" s="209"/>
      <c r="Q2529" s="209"/>
      <c r="R2529" s="217"/>
      <c r="S2529" s="217"/>
      <c r="T2529" s="217"/>
      <c r="U2529" s="199"/>
      <c r="V2529" s="200"/>
      <c r="W2529" s="200"/>
      <c r="X2529" s="200"/>
      <c r="Y2529" s="200"/>
      <c r="Z2529" s="200"/>
      <c r="AA2529" s="201"/>
      <c r="AB2529" s="200"/>
      <c r="AC2529" s="200"/>
    </row>
    <row r="2530" ht="15.75" customHeight="1">
      <c r="A2530" s="210">
        <f t="shared" si="1"/>
        <v>2528</v>
      </c>
      <c r="B2530" s="217"/>
      <c r="C2530" s="217" t="str">
        <f>IFERROR(VLOOKUP(B2530, SourceData!$U$3:$V$190, 2, FALSE), "")</f>
        <v/>
      </c>
      <c r="D2530" s="240"/>
      <c r="E2530" s="241"/>
      <c r="F2530" s="248"/>
      <c r="G2530" s="207"/>
      <c r="H2530" s="209"/>
      <c r="I2530" s="209"/>
      <c r="J2530" s="209"/>
      <c r="K2530" s="208" t="str">
        <f>IF(Errors!$I2530=0,SourceData!$B$42,VLOOKUP(Errors!$I2530,SourceData!$A$2:$B$40,2,FALSE))</f>
        <v>Please select ERROR CODE column "I"</v>
      </c>
      <c r="L2530" s="207" t="str">
        <f>IF(Errors!$I2530=0,
    'List of Error Codes'!$E$29,
    IFERROR(VLOOKUP(Errors!$I2530, 'List of Error Codes'!D2529:I2559, 6, FALSE), 'List of Error Codes'!$E$29)
)</f>
        <v>Please select ERROR CODE column "I"</v>
      </c>
      <c r="M2530" s="209"/>
      <c r="N2530" s="209"/>
      <c r="O2530" s="209"/>
      <c r="P2530" s="209"/>
      <c r="Q2530" s="209"/>
      <c r="R2530" s="217"/>
      <c r="S2530" s="217"/>
      <c r="T2530" s="217"/>
      <c r="U2530" s="199"/>
      <c r="V2530" s="200"/>
      <c r="W2530" s="200"/>
      <c r="X2530" s="200"/>
      <c r="Y2530" s="200"/>
      <c r="Z2530" s="200"/>
      <c r="AA2530" s="201"/>
      <c r="AB2530" s="200"/>
      <c r="AC2530" s="200"/>
    </row>
    <row r="2531" ht="15.75" customHeight="1">
      <c r="A2531" s="210">
        <f t="shared" si="1"/>
        <v>2529</v>
      </c>
      <c r="B2531" s="217"/>
      <c r="C2531" s="217" t="str">
        <f>IFERROR(VLOOKUP(B2531, SourceData!$U$3:$V$190, 2, FALSE), "")</f>
        <v/>
      </c>
      <c r="D2531" s="240"/>
      <c r="E2531" s="241"/>
      <c r="F2531" s="248"/>
      <c r="G2531" s="207"/>
      <c r="H2531" s="209"/>
      <c r="I2531" s="209"/>
      <c r="J2531" s="209"/>
      <c r="K2531" s="208" t="str">
        <f>IF(Errors!$I2531=0,SourceData!$B$42,VLOOKUP(Errors!$I2531,SourceData!$A$2:$B$40,2,FALSE))</f>
        <v>Please select ERROR CODE column "I"</v>
      </c>
      <c r="L2531" s="207" t="str">
        <f>IF(Errors!$I2531=0,
    'List of Error Codes'!$E$29,
    IFERROR(VLOOKUP(Errors!$I2531, 'List of Error Codes'!D2530:I2560, 6, FALSE), 'List of Error Codes'!$E$29)
)</f>
        <v>Please select ERROR CODE column "I"</v>
      </c>
      <c r="M2531" s="209"/>
      <c r="N2531" s="209"/>
      <c r="O2531" s="209"/>
      <c r="P2531" s="209"/>
      <c r="Q2531" s="209"/>
      <c r="R2531" s="217"/>
      <c r="S2531" s="217"/>
      <c r="T2531" s="217"/>
      <c r="U2531" s="199"/>
      <c r="V2531" s="200"/>
      <c r="W2531" s="200"/>
      <c r="X2531" s="200"/>
      <c r="Y2531" s="200"/>
      <c r="Z2531" s="200"/>
      <c r="AA2531" s="201"/>
      <c r="AB2531" s="200"/>
      <c r="AC2531" s="200"/>
    </row>
    <row r="2532" ht="15.75" customHeight="1">
      <c r="A2532" s="210">
        <f t="shared" si="1"/>
        <v>2530</v>
      </c>
      <c r="B2532" s="217"/>
      <c r="C2532" s="217" t="str">
        <f>IFERROR(VLOOKUP(B2532, SourceData!$U$3:$V$190, 2, FALSE), "")</f>
        <v/>
      </c>
      <c r="D2532" s="240"/>
      <c r="E2532" s="241"/>
      <c r="F2532" s="248"/>
      <c r="G2532" s="207"/>
      <c r="H2532" s="209"/>
      <c r="I2532" s="209"/>
      <c r="J2532" s="209"/>
      <c r="K2532" s="208" t="str">
        <f>IF(Errors!$I2532=0,SourceData!$B$42,VLOOKUP(Errors!$I2532,SourceData!$A$2:$B$40,2,FALSE))</f>
        <v>Please select ERROR CODE column "I"</v>
      </c>
      <c r="L2532" s="207" t="str">
        <f>IF(Errors!$I2532=0,
    'List of Error Codes'!$E$29,
    IFERROR(VLOOKUP(Errors!$I2532, 'List of Error Codes'!D2531:I2561, 6, FALSE), 'List of Error Codes'!$E$29)
)</f>
        <v>Please select ERROR CODE column "I"</v>
      </c>
      <c r="M2532" s="209"/>
      <c r="N2532" s="209"/>
      <c r="O2532" s="209"/>
      <c r="P2532" s="209"/>
      <c r="Q2532" s="209"/>
      <c r="R2532" s="217"/>
      <c r="S2532" s="217"/>
      <c r="T2532" s="217"/>
      <c r="U2532" s="199"/>
      <c r="V2532" s="200"/>
      <c r="W2532" s="200"/>
      <c r="X2532" s="200"/>
      <c r="Y2532" s="200"/>
      <c r="Z2532" s="200"/>
      <c r="AA2532" s="201"/>
      <c r="AB2532" s="200"/>
      <c r="AC2532" s="200"/>
    </row>
    <row r="2533" ht="15.75" customHeight="1">
      <c r="A2533" s="210">
        <f t="shared" si="1"/>
        <v>2531</v>
      </c>
      <c r="B2533" s="217"/>
      <c r="C2533" s="217" t="str">
        <f>IFERROR(VLOOKUP(B2533, SourceData!$U$3:$V$190, 2, FALSE), "")</f>
        <v/>
      </c>
      <c r="D2533" s="240"/>
      <c r="E2533" s="241"/>
      <c r="F2533" s="248"/>
      <c r="G2533" s="207"/>
      <c r="H2533" s="209"/>
      <c r="I2533" s="209"/>
      <c r="J2533" s="209"/>
      <c r="K2533" s="208" t="str">
        <f>IF(Errors!$I2533=0,SourceData!$B$42,VLOOKUP(Errors!$I2533,SourceData!$A$2:$B$40,2,FALSE))</f>
        <v>Please select ERROR CODE column "I"</v>
      </c>
      <c r="L2533" s="207" t="str">
        <f>IF(Errors!$I2533=0,
    'List of Error Codes'!$E$29,
    IFERROR(VLOOKUP(Errors!$I2533, 'List of Error Codes'!D2532:I2562, 6, FALSE), 'List of Error Codes'!$E$29)
)</f>
        <v>Please select ERROR CODE column "I"</v>
      </c>
      <c r="M2533" s="209"/>
      <c r="N2533" s="209"/>
      <c r="O2533" s="209"/>
      <c r="P2533" s="209"/>
      <c r="Q2533" s="209"/>
      <c r="R2533" s="217"/>
      <c r="S2533" s="217"/>
      <c r="T2533" s="217"/>
      <c r="U2533" s="199"/>
      <c r="V2533" s="200"/>
      <c r="W2533" s="200"/>
      <c r="X2533" s="200"/>
      <c r="Y2533" s="200"/>
      <c r="Z2533" s="200"/>
      <c r="AA2533" s="201"/>
      <c r="AB2533" s="200"/>
      <c r="AC2533" s="200"/>
    </row>
    <row r="2534" ht="15.75" customHeight="1">
      <c r="A2534" s="210">
        <f t="shared" si="1"/>
        <v>2532</v>
      </c>
      <c r="B2534" s="217"/>
      <c r="C2534" s="217" t="str">
        <f>IFERROR(VLOOKUP(B2534, SourceData!$U$3:$V$190, 2, FALSE), "")</f>
        <v/>
      </c>
      <c r="D2534" s="240"/>
      <c r="E2534" s="241"/>
      <c r="F2534" s="248"/>
      <c r="G2534" s="207"/>
      <c r="H2534" s="209"/>
      <c r="I2534" s="209"/>
      <c r="J2534" s="209"/>
      <c r="K2534" s="208" t="str">
        <f>IF(Errors!$I2534=0,SourceData!$B$42,VLOOKUP(Errors!$I2534,SourceData!$A$2:$B$40,2,FALSE))</f>
        <v>Please select ERROR CODE column "I"</v>
      </c>
      <c r="L2534" s="207" t="str">
        <f>IF(Errors!$I2534=0,
    'List of Error Codes'!$E$29,
    IFERROR(VLOOKUP(Errors!$I2534, 'List of Error Codes'!D2533:I2563, 6, FALSE), 'List of Error Codes'!$E$29)
)</f>
        <v>Please select ERROR CODE column "I"</v>
      </c>
      <c r="M2534" s="209"/>
      <c r="N2534" s="209"/>
      <c r="O2534" s="209"/>
      <c r="P2534" s="209"/>
      <c r="Q2534" s="209"/>
      <c r="R2534" s="217"/>
      <c r="S2534" s="217"/>
      <c r="T2534" s="217"/>
      <c r="U2534" s="199"/>
      <c r="V2534" s="200"/>
      <c r="W2534" s="200"/>
      <c r="X2534" s="200"/>
      <c r="Y2534" s="200"/>
      <c r="Z2534" s="200"/>
      <c r="AA2534" s="201"/>
      <c r="AB2534" s="200"/>
      <c r="AC2534" s="200"/>
    </row>
    <row r="2535" ht="15.75" customHeight="1">
      <c r="A2535" s="210">
        <f t="shared" si="1"/>
        <v>2533</v>
      </c>
      <c r="B2535" s="217"/>
      <c r="C2535" s="217" t="str">
        <f>IFERROR(VLOOKUP(B2535, SourceData!$U$3:$V$190, 2, FALSE), "")</f>
        <v/>
      </c>
      <c r="D2535" s="240"/>
      <c r="E2535" s="241"/>
      <c r="F2535" s="248"/>
      <c r="G2535" s="207"/>
      <c r="H2535" s="209"/>
      <c r="I2535" s="209"/>
      <c r="J2535" s="209"/>
      <c r="K2535" s="208" t="str">
        <f>IF(Errors!$I2535=0,SourceData!$B$42,VLOOKUP(Errors!$I2535,SourceData!$A$2:$B$40,2,FALSE))</f>
        <v>Please select ERROR CODE column "I"</v>
      </c>
      <c r="L2535" s="207" t="str">
        <f>IF(Errors!$I2535=0,
    'List of Error Codes'!$E$29,
    IFERROR(VLOOKUP(Errors!$I2535, 'List of Error Codes'!D2534:I2564, 6, FALSE), 'List of Error Codes'!$E$29)
)</f>
        <v>Please select ERROR CODE column "I"</v>
      </c>
      <c r="M2535" s="209"/>
      <c r="N2535" s="209"/>
      <c r="O2535" s="209"/>
      <c r="P2535" s="209"/>
      <c r="Q2535" s="209"/>
      <c r="R2535" s="217"/>
      <c r="S2535" s="217"/>
      <c r="T2535" s="217"/>
      <c r="U2535" s="199"/>
      <c r="V2535" s="200"/>
      <c r="W2535" s="200"/>
      <c r="X2535" s="200"/>
      <c r="Y2535" s="200"/>
      <c r="Z2535" s="200"/>
      <c r="AA2535" s="201"/>
      <c r="AB2535" s="200"/>
      <c r="AC2535" s="200"/>
    </row>
    <row r="2536" ht="15.75" customHeight="1">
      <c r="A2536" s="210">
        <f t="shared" si="1"/>
        <v>2534</v>
      </c>
      <c r="B2536" s="217"/>
      <c r="C2536" s="217" t="str">
        <f>IFERROR(VLOOKUP(B2536, SourceData!$U$3:$V$190, 2, FALSE), "")</f>
        <v/>
      </c>
      <c r="D2536" s="240"/>
      <c r="E2536" s="241"/>
      <c r="F2536" s="248"/>
      <c r="G2536" s="207"/>
      <c r="H2536" s="209"/>
      <c r="I2536" s="209"/>
      <c r="J2536" s="209"/>
      <c r="K2536" s="208" t="str">
        <f>IF(Errors!$I2536=0,SourceData!$B$42,VLOOKUP(Errors!$I2536,SourceData!$A$2:$B$40,2,FALSE))</f>
        <v>Please select ERROR CODE column "I"</v>
      </c>
      <c r="L2536" s="207" t="str">
        <f>IF(Errors!$I2536=0,
    'List of Error Codes'!$E$29,
    IFERROR(VLOOKUP(Errors!$I2536, 'List of Error Codes'!D2535:I2565, 6, FALSE), 'List of Error Codes'!$E$29)
)</f>
        <v>Please select ERROR CODE column "I"</v>
      </c>
      <c r="M2536" s="209"/>
      <c r="N2536" s="209"/>
      <c r="O2536" s="209"/>
      <c r="P2536" s="209"/>
      <c r="Q2536" s="209"/>
      <c r="R2536" s="217"/>
      <c r="S2536" s="217"/>
      <c r="T2536" s="217"/>
      <c r="U2536" s="199"/>
      <c r="V2536" s="200"/>
      <c r="W2536" s="200"/>
      <c r="X2536" s="200"/>
      <c r="Y2536" s="200"/>
      <c r="Z2536" s="200"/>
      <c r="AA2536" s="201"/>
      <c r="AB2536" s="200"/>
      <c r="AC2536" s="200"/>
    </row>
    <row r="2537" ht="15.75" customHeight="1">
      <c r="A2537" s="210">
        <f t="shared" si="1"/>
        <v>2535</v>
      </c>
      <c r="B2537" s="217"/>
      <c r="C2537" s="217" t="str">
        <f>IFERROR(VLOOKUP(B2537, SourceData!$U$3:$V$190, 2, FALSE), "")</f>
        <v/>
      </c>
      <c r="D2537" s="240"/>
      <c r="E2537" s="241"/>
      <c r="F2537" s="248"/>
      <c r="G2537" s="207"/>
      <c r="H2537" s="209"/>
      <c r="I2537" s="209"/>
      <c r="J2537" s="209"/>
      <c r="K2537" s="208" t="str">
        <f>IF(Errors!$I2537=0,SourceData!$B$42,VLOOKUP(Errors!$I2537,SourceData!$A$2:$B$40,2,FALSE))</f>
        <v>Please select ERROR CODE column "I"</v>
      </c>
      <c r="L2537" s="207" t="str">
        <f>IF(Errors!$I2537=0,
    'List of Error Codes'!$E$29,
    IFERROR(VLOOKUP(Errors!$I2537, 'List of Error Codes'!D2536:I2566, 6, FALSE), 'List of Error Codes'!$E$29)
)</f>
        <v>Please select ERROR CODE column "I"</v>
      </c>
      <c r="M2537" s="209"/>
      <c r="N2537" s="209"/>
      <c r="O2537" s="209"/>
      <c r="P2537" s="209"/>
      <c r="Q2537" s="209"/>
      <c r="R2537" s="217"/>
      <c r="S2537" s="217"/>
      <c r="T2537" s="217"/>
      <c r="U2537" s="199"/>
      <c r="V2537" s="200"/>
      <c r="W2537" s="200"/>
      <c r="X2537" s="200"/>
      <c r="Y2537" s="200"/>
      <c r="Z2537" s="200"/>
      <c r="AA2537" s="201"/>
      <c r="AB2537" s="200"/>
      <c r="AC2537" s="200"/>
    </row>
    <row r="2538" ht="15.75" customHeight="1">
      <c r="A2538" s="210">
        <f t="shared" si="1"/>
        <v>2536</v>
      </c>
      <c r="B2538" s="217"/>
      <c r="C2538" s="217" t="str">
        <f>IFERROR(VLOOKUP(B2538, SourceData!$U$3:$V$190, 2, FALSE), "")</f>
        <v/>
      </c>
      <c r="D2538" s="240"/>
      <c r="E2538" s="241"/>
      <c r="F2538" s="248"/>
      <c r="G2538" s="207"/>
      <c r="H2538" s="209"/>
      <c r="I2538" s="209"/>
      <c r="J2538" s="209"/>
      <c r="K2538" s="208" t="str">
        <f>IF(Errors!$I2538=0,SourceData!$B$42,VLOOKUP(Errors!$I2538,SourceData!$A$2:$B$40,2,FALSE))</f>
        <v>Please select ERROR CODE column "I"</v>
      </c>
      <c r="L2538" s="207" t="str">
        <f>IF(Errors!$I2538=0,
    'List of Error Codes'!$E$29,
    IFERROR(VLOOKUP(Errors!$I2538, 'List of Error Codes'!D2537:I2567, 6, FALSE), 'List of Error Codes'!$E$29)
)</f>
        <v>Please select ERROR CODE column "I"</v>
      </c>
      <c r="M2538" s="209"/>
      <c r="N2538" s="209"/>
      <c r="O2538" s="209"/>
      <c r="P2538" s="209"/>
      <c r="Q2538" s="209"/>
      <c r="R2538" s="217"/>
      <c r="S2538" s="217"/>
      <c r="T2538" s="217"/>
      <c r="U2538" s="199"/>
      <c r="V2538" s="200"/>
      <c r="W2538" s="200"/>
      <c r="X2538" s="200"/>
      <c r="Y2538" s="200"/>
      <c r="Z2538" s="200"/>
      <c r="AA2538" s="201"/>
      <c r="AB2538" s="200"/>
      <c r="AC2538" s="200"/>
    </row>
    <row r="2539" ht="15.75" customHeight="1">
      <c r="A2539" s="210">
        <f t="shared" si="1"/>
        <v>2537</v>
      </c>
      <c r="B2539" s="217"/>
      <c r="C2539" s="217" t="str">
        <f>IFERROR(VLOOKUP(B2539, SourceData!$U$3:$V$190, 2, FALSE), "")</f>
        <v/>
      </c>
      <c r="D2539" s="240"/>
      <c r="E2539" s="241"/>
      <c r="F2539" s="248"/>
      <c r="G2539" s="207"/>
      <c r="H2539" s="209"/>
      <c r="I2539" s="209"/>
      <c r="J2539" s="209"/>
      <c r="K2539" s="208" t="str">
        <f>IF(Errors!$I2539=0,SourceData!$B$42,VLOOKUP(Errors!$I2539,SourceData!$A$2:$B$40,2,FALSE))</f>
        <v>Please select ERROR CODE column "I"</v>
      </c>
      <c r="L2539" s="207" t="str">
        <f>IF(Errors!$I2539=0,
    'List of Error Codes'!$E$29,
    IFERROR(VLOOKUP(Errors!$I2539, 'List of Error Codes'!D2538:I2568, 6, FALSE), 'List of Error Codes'!$E$29)
)</f>
        <v>Please select ERROR CODE column "I"</v>
      </c>
      <c r="M2539" s="209"/>
      <c r="N2539" s="209"/>
      <c r="O2539" s="209"/>
      <c r="P2539" s="209"/>
      <c r="Q2539" s="209"/>
      <c r="R2539" s="217"/>
      <c r="S2539" s="217"/>
      <c r="T2539" s="217"/>
      <c r="U2539" s="199"/>
      <c r="V2539" s="200"/>
      <c r="W2539" s="200"/>
      <c r="X2539" s="200"/>
      <c r="Y2539" s="200"/>
      <c r="Z2539" s="200"/>
      <c r="AA2539" s="201"/>
      <c r="AB2539" s="200"/>
      <c r="AC2539" s="200"/>
    </row>
    <row r="2540" ht="15.75" customHeight="1">
      <c r="A2540" s="210">
        <f t="shared" si="1"/>
        <v>2538</v>
      </c>
      <c r="B2540" s="217"/>
      <c r="C2540" s="217" t="str">
        <f>IFERROR(VLOOKUP(B2540, SourceData!$U$3:$V$190, 2, FALSE), "")</f>
        <v/>
      </c>
      <c r="D2540" s="240"/>
      <c r="E2540" s="241"/>
      <c r="F2540" s="248"/>
      <c r="G2540" s="207"/>
      <c r="H2540" s="209"/>
      <c r="I2540" s="209"/>
      <c r="J2540" s="209"/>
      <c r="K2540" s="208" t="str">
        <f>IF(Errors!$I2540=0,SourceData!$B$42,VLOOKUP(Errors!$I2540,SourceData!$A$2:$B$40,2,FALSE))</f>
        <v>Please select ERROR CODE column "I"</v>
      </c>
      <c r="L2540" s="207" t="str">
        <f>IF(Errors!$I2540=0,
    'List of Error Codes'!$E$29,
    IFERROR(VLOOKUP(Errors!$I2540, 'List of Error Codes'!D2539:I2569, 6, FALSE), 'List of Error Codes'!$E$29)
)</f>
        <v>Please select ERROR CODE column "I"</v>
      </c>
      <c r="M2540" s="209"/>
      <c r="N2540" s="209"/>
      <c r="O2540" s="209"/>
      <c r="P2540" s="209"/>
      <c r="Q2540" s="209"/>
      <c r="R2540" s="217"/>
      <c r="S2540" s="217"/>
      <c r="T2540" s="217"/>
      <c r="U2540" s="199"/>
      <c r="V2540" s="200"/>
      <c r="W2540" s="200"/>
      <c r="X2540" s="200"/>
      <c r="Y2540" s="200"/>
      <c r="Z2540" s="200"/>
      <c r="AA2540" s="201"/>
      <c r="AB2540" s="200"/>
      <c r="AC2540" s="200"/>
    </row>
    <row r="2541" ht="15.75" customHeight="1">
      <c r="A2541" s="210">
        <f t="shared" si="1"/>
        <v>2539</v>
      </c>
      <c r="B2541" s="217"/>
      <c r="C2541" s="217" t="str">
        <f>IFERROR(VLOOKUP(B2541, SourceData!$U$3:$V$190, 2, FALSE), "")</f>
        <v/>
      </c>
      <c r="D2541" s="240"/>
      <c r="E2541" s="241"/>
      <c r="F2541" s="248"/>
      <c r="G2541" s="207"/>
      <c r="H2541" s="209"/>
      <c r="I2541" s="209"/>
      <c r="J2541" s="209"/>
      <c r="K2541" s="208" t="str">
        <f>IF(Errors!$I2541=0,SourceData!$B$42,VLOOKUP(Errors!$I2541,SourceData!$A$2:$B$40,2,FALSE))</f>
        <v>Please select ERROR CODE column "I"</v>
      </c>
      <c r="L2541" s="207" t="str">
        <f>IF(Errors!$I2541=0,
    'List of Error Codes'!$E$29,
    IFERROR(VLOOKUP(Errors!$I2541, 'List of Error Codes'!D2540:I2570, 6, FALSE), 'List of Error Codes'!$E$29)
)</f>
        <v>Please select ERROR CODE column "I"</v>
      </c>
      <c r="M2541" s="209"/>
      <c r="N2541" s="209"/>
      <c r="O2541" s="209"/>
      <c r="P2541" s="209"/>
      <c r="Q2541" s="209"/>
      <c r="R2541" s="217"/>
      <c r="S2541" s="217"/>
      <c r="T2541" s="217"/>
      <c r="U2541" s="199"/>
      <c r="V2541" s="200"/>
      <c r="W2541" s="200"/>
      <c r="X2541" s="200"/>
      <c r="Y2541" s="200"/>
      <c r="Z2541" s="200"/>
      <c r="AA2541" s="201"/>
      <c r="AB2541" s="200"/>
      <c r="AC2541" s="200"/>
    </row>
    <row r="2542" ht="15.75" customHeight="1">
      <c r="A2542" s="210">
        <f t="shared" si="1"/>
        <v>2540</v>
      </c>
      <c r="B2542" s="217"/>
      <c r="C2542" s="217" t="str">
        <f>IFERROR(VLOOKUP(B2542, SourceData!$U$3:$V$190, 2, FALSE), "")</f>
        <v/>
      </c>
      <c r="D2542" s="240"/>
      <c r="E2542" s="241"/>
      <c r="F2542" s="248"/>
      <c r="G2542" s="207"/>
      <c r="H2542" s="209"/>
      <c r="I2542" s="209"/>
      <c r="J2542" s="209"/>
      <c r="K2542" s="208" t="str">
        <f>IF(Errors!$I2542=0,SourceData!$B$42,VLOOKUP(Errors!$I2542,SourceData!$A$2:$B$40,2,FALSE))</f>
        <v>Please select ERROR CODE column "I"</v>
      </c>
      <c r="L2542" s="207" t="str">
        <f>IF(Errors!$I2542=0,
    'List of Error Codes'!$E$29,
    IFERROR(VLOOKUP(Errors!$I2542, 'List of Error Codes'!D2541:I2571, 6, FALSE), 'List of Error Codes'!$E$29)
)</f>
        <v>Please select ERROR CODE column "I"</v>
      </c>
      <c r="M2542" s="209"/>
      <c r="N2542" s="209"/>
      <c r="O2542" s="209"/>
      <c r="P2542" s="209"/>
      <c r="Q2542" s="209"/>
      <c r="R2542" s="217"/>
      <c r="S2542" s="217"/>
      <c r="T2542" s="217"/>
      <c r="U2542" s="199"/>
      <c r="V2542" s="200"/>
      <c r="W2542" s="200"/>
      <c r="X2542" s="200"/>
      <c r="Y2542" s="200"/>
      <c r="Z2542" s="200"/>
      <c r="AA2542" s="201"/>
      <c r="AB2542" s="200"/>
      <c r="AC2542" s="200"/>
    </row>
    <row r="2543" ht="15.75" customHeight="1">
      <c r="A2543" s="210">
        <f t="shared" si="1"/>
        <v>2541</v>
      </c>
      <c r="B2543" s="217"/>
      <c r="C2543" s="217" t="str">
        <f>IFERROR(VLOOKUP(B2543, SourceData!$U$3:$V$190, 2, FALSE), "")</f>
        <v/>
      </c>
      <c r="D2543" s="240"/>
      <c r="E2543" s="241"/>
      <c r="F2543" s="248"/>
      <c r="G2543" s="207"/>
      <c r="H2543" s="209"/>
      <c r="I2543" s="209"/>
      <c r="J2543" s="209"/>
      <c r="K2543" s="208" t="str">
        <f>IF(Errors!$I2543=0,SourceData!$B$42,VLOOKUP(Errors!$I2543,SourceData!$A$2:$B$40,2,FALSE))</f>
        <v>Please select ERROR CODE column "I"</v>
      </c>
      <c r="L2543" s="207" t="str">
        <f>IF(Errors!$I2543=0,
    'List of Error Codes'!$E$29,
    IFERROR(VLOOKUP(Errors!$I2543, 'List of Error Codes'!D2542:I2572, 6, FALSE), 'List of Error Codes'!$E$29)
)</f>
        <v>Please select ERROR CODE column "I"</v>
      </c>
      <c r="M2543" s="209"/>
      <c r="N2543" s="209"/>
      <c r="O2543" s="209"/>
      <c r="P2543" s="209"/>
      <c r="Q2543" s="209"/>
      <c r="R2543" s="217"/>
      <c r="S2543" s="217"/>
      <c r="T2543" s="217"/>
      <c r="U2543" s="199"/>
      <c r="V2543" s="200"/>
      <c r="W2543" s="200"/>
      <c r="X2543" s="200"/>
      <c r="Y2543" s="200"/>
      <c r="Z2543" s="200"/>
      <c r="AA2543" s="201"/>
      <c r="AB2543" s="200"/>
      <c r="AC2543" s="200"/>
    </row>
    <row r="2544" ht="15.75" customHeight="1">
      <c r="A2544" s="210">
        <f t="shared" si="1"/>
        <v>2542</v>
      </c>
      <c r="B2544" s="217"/>
      <c r="C2544" s="217" t="str">
        <f>IFERROR(VLOOKUP(B2544, SourceData!$U$3:$V$190, 2, FALSE), "")</f>
        <v/>
      </c>
      <c r="D2544" s="240"/>
      <c r="E2544" s="241"/>
      <c r="F2544" s="248"/>
      <c r="G2544" s="207"/>
      <c r="H2544" s="209"/>
      <c r="I2544" s="209"/>
      <c r="J2544" s="209"/>
      <c r="K2544" s="208" t="str">
        <f>IF(Errors!$I2544=0,SourceData!$B$42,VLOOKUP(Errors!$I2544,SourceData!$A$2:$B$40,2,FALSE))</f>
        <v>Please select ERROR CODE column "I"</v>
      </c>
      <c r="L2544" s="207" t="str">
        <f>IF(Errors!$I2544=0,
    'List of Error Codes'!$E$29,
    IFERROR(VLOOKUP(Errors!$I2544, 'List of Error Codes'!D2543:I2573, 6, FALSE), 'List of Error Codes'!$E$29)
)</f>
        <v>Please select ERROR CODE column "I"</v>
      </c>
      <c r="M2544" s="209"/>
      <c r="N2544" s="209"/>
      <c r="O2544" s="209"/>
      <c r="P2544" s="209"/>
      <c r="Q2544" s="209"/>
      <c r="R2544" s="217"/>
      <c r="S2544" s="217"/>
      <c r="T2544" s="217"/>
      <c r="U2544" s="199"/>
      <c r="V2544" s="200"/>
      <c r="W2544" s="200"/>
      <c r="X2544" s="200"/>
      <c r="Y2544" s="200"/>
      <c r="Z2544" s="200"/>
      <c r="AA2544" s="201"/>
      <c r="AB2544" s="200"/>
      <c r="AC2544" s="200"/>
    </row>
    <row r="2545" ht="15.75" customHeight="1">
      <c r="A2545" s="210">
        <f t="shared" si="1"/>
        <v>2543</v>
      </c>
      <c r="B2545" s="217"/>
      <c r="C2545" s="217" t="str">
        <f>IFERROR(VLOOKUP(B2545, SourceData!$U$3:$V$190, 2, FALSE), "")</f>
        <v/>
      </c>
      <c r="D2545" s="240"/>
      <c r="E2545" s="241"/>
      <c r="F2545" s="248"/>
      <c r="G2545" s="207"/>
      <c r="H2545" s="209"/>
      <c r="I2545" s="209"/>
      <c r="J2545" s="209"/>
      <c r="K2545" s="208" t="str">
        <f>IF(Errors!$I2545=0,SourceData!$B$42,VLOOKUP(Errors!$I2545,SourceData!$A$2:$B$40,2,FALSE))</f>
        <v>Please select ERROR CODE column "I"</v>
      </c>
      <c r="L2545" s="207" t="str">
        <f>IF(Errors!$I2545=0,
    'List of Error Codes'!$E$29,
    IFERROR(VLOOKUP(Errors!$I2545, 'List of Error Codes'!D2544:I2574, 6, FALSE), 'List of Error Codes'!$E$29)
)</f>
        <v>Please select ERROR CODE column "I"</v>
      </c>
      <c r="M2545" s="209"/>
      <c r="N2545" s="209"/>
      <c r="O2545" s="209"/>
      <c r="P2545" s="209"/>
      <c r="Q2545" s="209"/>
      <c r="R2545" s="217"/>
      <c r="S2545" s="217"/>
      <c r="T2545" s="217"/>
      <c r="U2545" s="199"/>
      <c r="V2545" s="200"/>
      <c r="W2545" s="200"/>
      <c r="X2545" s="200"/>
      <c r="Y2545" s="200"/>
      <c r="Z2545" s="200"/>
      <c r="AA2545" s="201"/>
      <c r="AB2545" s="200"/>
      <c r="AC2545" s="200"/>
    </row>
    <row r="2546" ht="15.75" customHeight="1">
      <c r="A2546" s="210">
        <f t="shared" si="1"/>
        <v>2544</v>
      </c>
      <c r="B2546" s="217"/>
      <c r="C2546" s="217" t="str">
        <f>IFERROR(VLOOKUP(B2546, SourceData!$U$3:$V$190, 2, FALSE), "")</f>
        <v/>
      </c>
      <c r="D2546" s="240"/>
      <c r="E2546" s="241"/>
      <c r="F2546" s="248"/>
      <c r="G2546" s="207"/>
      <c r="H2546" s="209"/>
      <c r="I2546" s="209"/>
      <c r="J2546" s="209"/>
      <c r="K2546" s="208" t="str">
        <f>IF(Errors!$I2546=0,SourceData!$B$42,VLOOKUP(Errors!$I2546,SourceData!$A$2:$B$40,2,FALSE))</f>
        <v>Please select ERROR CODE column "I"</v>
      </c>
      <c r="L2546" s="207" t="str">
        <f>IF(Errors!$I2546=0,
    'List of Error Codes'!$E$29,
    IFERROR(VLOOKUP(Errors!$I2546, 'List of Error Codes'!D2545:I2575, 6, FALSE), 'List of Error Codes'!$E$29)
)</f>
        <v>Please select ERROR CODE column "I"</v>
      </c>
      <c r="M2546" s="209"/>
      <c r="N2546" s="209"/>
      <c r="O2546" s="209"/>
      <c r="P2546" s="209"/>
      <c r="Q2546" s="209"/>
      <c r="R2546" s="217"/>
      <c r="S2546" s="217"/>
      <c r="T2546" s="217"/>
      <c r="U2546" s="199"/>
      <c r="V2546" s="200"/>
      <c r="W2546" s="200"/>
      <c r="X2546" s="200"/>
      <c r="Y2546" s="200"/>
      <c r="Z2546" s="200"/>
      <c r="AA2546" s="201"/>
      <c r="AB2546" s="200"/>
      <c r="AC2546" s="200"/>
    </row>
    <row r="2547" ht="15.75" customHeight="1">
      <c r="A2547" s="210">
        <f t="shared" si="1"/>
        <v>2545</v>
      </c>
      <c r="B2547" s="217"/>
      <c r="C2547" s="217" t="str">
        <f>IFERROR(VLOOKUP(B2547, SourceData!$U$3:$V$190, 2, FALSE), "")</f>
        <v/>
      </c>
      <c r="D2547" s="240"/>
      <c r="E2547" s="241"/>
      <c r="F2547" s="248"/>
      <c r="G2547" s="207"/>
      <c r="H2547" s="209"/>
      <c r="I2547" s="209"/>
      <c r="J2547" s="209"/>
      <c r="K2547" s="208" t="str">
        <f>IF(Errors!$I2547=0,SourceData!$B$42,VLOOKUP(Errors!$I2547,SourceData!$A$2:$B$40,2,FALSE))</f>
        <v>Please select ERROR CODE column "I"</v>
      </c>
      <c r="L2547" s="207" t="str">
        <f>IF(Errors!$I2547=0,
    'List of Error Codes'!$E$29,
    IFERROR(VLOOKUP(Errors!$I2547, 'List of Error Codes'!D2546:I2576, 6, FALSE), 'List of Error Codes'!$E$29)
)</f>
        <v>Please select ERROR CODE column "I"</v>
      </c>
      <c r="M2547" s="209"/>
      <c r="N2547" s="209"/>
      <c r="O2547" s="209"/>
      <c r="P2547" s="209"/>
      <c r="Q2547" s="209"/>
      <c r="R2547" s="217"/>
      <c r="S2547" s="217"/>
      <c r="T2547" s="217"/>
      <c r="U2547" s="199"/>
      <c r="V2547" s="200"/>
      <c r="W2547" s="200"/>
      <c r="X2547" s="200"/>
      <c r="Y2547" s="200"/>
      <c r="Z2547" s="200"/>
      <c r="AA2547" s="201"/>
      <c r="AB2547" s="200"/>
      <c r="AC2547" s="200"/>
    </row>
    <row r="2548" ht="15.75" customHeight="1">
      <c r="A2548" s="210">
        <f t="shared" si="1"/>
        <v>2546</v>
      </c>
      <c r="B2548" s="217"/>
      <c r="C2548" s="217" t="str">
        <f>IFERROR(VLOOKUP(B2548, SourceData!$U$3:$V$190, 2, FALSE), "")</f>
        <v/>
      </c>
      <c r="D2548" s="240"/>
      <c r="E2548" s="241"/>
      <c r="F2548" s="248"/>
      <c r="G2548" s="207"/>
      <c r="H2548" s="209"/>
      <c r="I2548" s="209"/>
      <c r="J2548" s="209"/>
      <c r="K2548" s="208" t="str">
        <f>IF(Errors!$I2548=0,SourceData!$B$42,VLOOKUP(Errors!$I2548,SourceData!$A$2:$B$40,2,FALSE))</f>
        <v>Please select ERROR CODE column "I"</v>
      </c>
      <c r="L2548" s="207" t="str">
        <f>IF(Errors!$I2548=0,
    'List of Error Codes'!$E$29,
    IFERROR(VLOOKUP(Errors!$I2548, 'List of Error Codes'!D2547:I2577, 6, FALSE), 'List of Error Codes'!$E$29)
)</f>
        <v>Please select ERROR CODE column "I"</v>
      </c>
      <c r="M2548" s="209"/>
      <c r="N2548" s="209"/>
      <c r="O2548" s="209"/>
      <c r="P2548" s="209"/>
      <c r="Q2548" s="209"/>
      <c r="R2548" s="217"/>
      <c r="S2548" s="217"/>
      <c r="T2548" s="217"/>
      <c r="U2548" s="199"/>
      <c r="V2548" s="200"/>
      <c r="W2548" s="200"/>
      <c r="X2548" s="200"/>
      <c r="Y2548" s="200"/>
      <c r="Z2548" s="200"/>
      <c r="AA2548" s="201"/>
      <c r="AB2548" s="200"/>
      <c r="AC2548" s="200"/>
    </row>
    <row r="2549" ht="15.75" customHeight="1">
      <c r="A2549" s="210">
        <f t="shared" si="1"/>
        <v>2547</v>
      </c>
      <c r="B2549" s="217"/>
      <c r="C2549" s="217" t="str">
        <f>IFERROR(VLOOKUP(B2549, SourceData!$U$3:$V$190, 2, FALSE), "")</f>
        <v/>
      </c>
      <c r="D2549" s="240"/>
      <c r="E2549" s="241"/>
      <c r="F2549" s="248"/>
      <c r="G2549" s="207"/>
      <c r="H2549" s="209"/>
      <c r="I2549" s="209"/>
      <c r="J2549" s="209"/>
      <c r="K2549" s="208" t="str">
        <f>IF(Errors!$I2549=0,SourceData!$B$42,VLOOKUP(Errors!$I2549,SourceData!$A$2:$B$40,2,FALSE))</f>
        <v>Please select ERROR CODE column "I"</v>
      </c>
      <c r="L2549" s="207" t="str">
        <f>IF(Errors!$I2549=0,
    'List of Error Codes'!$E$29,
    IFERROR(VLOOKUP(Errors!$I2549, 'List of Error Codes'!D2548:I2578, 6, FALSE), 'List of Error Codes'!$E$29)
)</f>
        <v>Please select ERROR CODE column "I"</v>
      </c>
      <c r="M2549" s="209"/>
      <c r="N2549" s="209"/>
      <c r="O2549" s="209"/>
      <c r="P2549" s="209"/>
      <c r="Q2549" s="209"/>
      <c r="R2549" s="217"/>
      <c r="S2549" s="217"/>
      <c r="T2549" s="217"/>
      <c r="U2549" s="199"/>
      <c r="V2549" s="200"/>
      <c r="W2549" s="200"/>
      <c r="X2549" s="200"/>
      <c r="Y2549" s="200"/>
      <c r="Z2549" s="200"/>
      <c r="AA2549" s="201"/>
      <c r="AB2549" s="200"/>
      <c r="AC2549" s="200"/>
    </row>
    <row r="2550" ht="15.75" customHeight="1">
      <c r="A2550" s="210">
        <f t="shared" si="1"/>
        <v>2548</v>
      </c>
      <c r="B2550" s="217"/>
      <c r="C2550" s="217" t="str">
        <f>IFERROR(VLOOKUP(B2550, SourceData!$U$3:$V$190, 2, FALSE), "")</f>
        <v/>
      </c>
      <c r="D2550" s="240"/>
      <c r="E2550" s="241"/>
      <c r="F2550" s="248"/>
      <c r="G2550" s="207"/>
      <c r="H2550" s="209"/>
      <c r="I2550" s="209"/>
      <c r="J2550" s="209"/>
      <c r="K2550" s="208" t="str">
        <f>IF(Errors!$I2550=0,SourceData!$B$42,VLOOKUP(Errors!$I2550,SourceData!$A$2:$B$40,2,FALSE))</f>
        <v>Please select ERROR CODE column "I"</v>
      </c>
      <c r="L2550" s="207" t="str">
        <f>IF(Errors!$I2550=0,
    'List of Error Codes'!$E$29,
    IFERROR(VLOOKUP(Errors!$I2550, 'List of Error Codes'!D2549:I2579, 6, FALSE), 'List of Error Codes'!$E$29)
)</f>
        <v>Please select ERROR CODE column "I"</v>
      </c>
      <c r="M2550" s="209"/>
      <c r="N2550" s="209"/>
      <c r="O2550" s="209"/>
      <c r="P2550" s="209"/>
      <c r="Q2550" s="209"/>
      <c r="R2550" s="217"/>
      <c r="S2550" s="217"/>
      <c r="T2550" s="217"/>
      <c r="U2550" s="199"/>
      <c r="V2550" s="200"/>
      <c r="W2550" s="200"/>
      <c r="X2550" s="200"/>
      <c r="Y2550" s="200"/>
      <c r="Z2550" s="200"/>
      <c r="AA2550" s="201"/>
      <c r="AB2550" s="200"/>
      <c r="AC2550" s="200"/>
    </row>
    <row r="2551" ht="15.75" customHeight="1">
      <c r="A2551" s="210">
        <f t="shared" si="1"/>
        <v>2549</v>
      </c>
      <c r="B2551" s="217"/>
      <c r="C2551" s="217" t="str">
        <f>IFERROR(VLOOKUP(B2551, SourceData!$U$3:$V$190, 2, FALSE), "")</f>
        <v/>
      </c>
      <c r="D2551" s="240"/>
      <c r="E2551" s="241"/>
      <c r="F2551" s="248"/>
      <c r="G2551" s="207"/>
      <c r="H2551" s="209"/>
      <c r="I2551" s="209"/>
      <c r="J2551" s="209"/>
      <c r="K2551" s="208" t="str">
        <f>IF(Errors!$I2551=0,SourceData!$B$42,VLOOKUP(Errors!$I2551,SourceData!$A$2:$B$40,2,FALSE))</f>
        <v>Please select ERROR CODE column "I"</v>
      </c>
      <c r="L2551" s="207" t="str">
        <f>IF(Errors!$I2551=0,
    'List of Error Codes'!$E$29,
    IFERROR(VLOOKUP(Errors!$I2551, 'List of Error Codes'!D2550:I2580, 6, FALSE), 'List of Error Codes'!$E$29)
)</f>
        <v>Please select ERROR CODE column "I"</v>
      </c>
      <c r="M2551" s="209"/>
      <c r="N2551" s="209"/>
      <c r="O2551" s="209"/>
      <c r="P2551" s="209"/>
      <c r="Q2551" s="209"/>
      <c r="R2551" s="217"/>
      <c r="S2551" s="217"/>
      <c r="T2551" s="217"/>
      <c r="U2551" s="199"/>
      <c r="V2551" s="200"/>
      <c r="W2551" s="200"/>
      <c r="X2551" s="200"/>
      <c r="Y2551" s="200"/>
      <c r="Z2551" s="200"/>
      <c r="AA2551" s="201"/>
      <c r="AB2551" s="200"/>
      <c r="AC2551" s="200"/>
    </row>
    <row r="2552" ht="15.75" customHeight="1">
      <c r="A2552" s="210">
        <f t="shared" si="1"/>
        <v>2550</v>
      </c>
      <c r="B2552" s="217"/>
      <c r="C2552" s="217" t="str">
        <f>IFERROR(VLOOKUP(B2552, SourceData!$U$3:$V$190, 2, FALSE), "")</f>
        <v/>
      </c>
      <c r="D2552" s="240"/>
      <c r="E2552" s="241"/>
      <c r="F2552" s="248"/>
      <c r="G2552" s="207"/>
      <c r="H2552" s="209"/>
      <c r="I2552" s="209"/>
      <c r="J2552" s="209"/>
      <c r="K2552" s="208" t="str">
        <f>IF(Errors!$I2552=0,SourceData!$B$42,VLOOKUP(Errors!$I2552,SourceData!$A$2:$B$40,2,FALSE))</f>
        <v>Please select ERROR CODE column "I"</v>
      </c>
      <c r="L2552" s="207" t="str">
        <f>IF(Errors!$I2552=0,
    'List of Error Codes'!$E$29,
    IFERROR(VLOOKUP(Errors!$I2552, 'List of Error Codes'!D2551:I2581, 6, FALSE), 'List of Error Codes'!$E$29)
)</f>
        <v>Please select ERROR CODE column "I"</v>
      </c>
      <c r="M2552" s="209"/>
      <c r="N2552" s="209"/>
      <c r="O2552" s="209"/>
      <c r="P2552" s="209"/>
      <c r="Q2552" s="209"/>
      <c r="R2552" s="217"/>
      <c r="S2552" s="217"/>
      <c r="T2552" s="217"/>
      <c r="U2552" s="199"/>
      <c r="V2552" s="200"/>
      <c r="W2552" s="200"/>
      <c r="X2552" s="200"/>
      <c r="Y2552" s="200"/>
      <c r="Z2552" s="200"/>
      <c r="AA2552" s="201"/>
      <c r="AB2552" s="200"/>
      <c r="AC2552" s="200"/>
    </row>
    <row r="2553" ht="15.75" customHeight="1">
      <c r="A2553" s="210">
        <f t="shared" si="1"/>
        <v>2551</v>
      </c>
      <c r="B2553" s="217"/>
      <c r="C2553" s="217" t="str">
        <f>IFERROR(VLOOKUP(B2553, SourceData!$U$3:$V$190, 2, FALSE), "")</f>
        <v/>
      </c>
      <c r="D2553" s="240"/>
      <c r="E2553" s="241"/>
      <c r="F2553" s="248"/>
      <c r="G2553" s="207"/>
      <c r="H2553" s="209"/>
      <c r="I2553" s="209"/>
      <c r="J2553" s="209"/>
      <c r="K2553" s="208" t="str">
        <f>IF(Errors!$I2553=0,SourceData!$B$42,VLOOKUP(Errors!$I2553,SourceData!$A$2:$B$40,2,FALSE))</f>
        <v>Please select ERROR CODE column "I"</v>
      </c>
      <c r="L2553" s="207" t="str">
        <f>IF(Errors!$I2553=0,
    'List of Error Codes'!$E$29,
    IFERROR(VLOOKUP(Errors!$I2553, 'List of Error Codes'!D2552:I2582, 6, FALSE), 'List of Error Codes'!$E$29)
)</f>
        <v>Please select ERROR CODE column "I"</v>
      </c>
      <c r="M2553" s="209"/>
      <c r="N2553" s="209"/>
      <c r="O2553" s="209"/>
      <c r="P2553" s="209"/>
      <c r="Q2553" s="209"/>
      <c r="R2553" s="217"/>
      <c r="S2553" s="217"/>
      <c r="T2553" s="217"/>
      <c r="U2553" s="199"/>
      <c r="V2553" s="200"/>
      <c r="W2553" s="200"/>
      <c r="X2553" s="200"/>
      <c r="Y2553" s="200"/>
      <c r="Z2553" s="200"/>
      <c r="AA2553" s="201"/>
      <c r="AB2553" s="200"/>
      <c r="AC2553" s="200"/>
    </row>
    <row r="2554" ht="15.75" customHeight="1">
      <c r="A2554" s="210">
        <f t="shared" si="1"/>
        <v>2552</v>
      </c>
      <c r="B2554" s="217"/>
      <c r="C2554" s="217" t="str">
        <f>IFERROR(VLOOKUP(B2554, SourceData!$U$3:$V$190, 2, FALSE), "")</f>
        <v/>
      </c>
      <c r="D2554" s="240"/>
      <c r="E2554" s="241"/>
      <c r="F2554" s="248"/>
      <c r="G2554" s="207"/>
      <c r="H2554" s="209"/>
      <c r="I2554" s="209"/>
      <c r="J2554" s="209"/>
      <c r="K2554" s="208" t="str">
        <f>IF(Errors!$I2554=0,SourceData!$B$42,VLOOKUP(Errors!$I2554,SourceData!$A$2:$B$40,2,FALSE))</f>
        <v>Please select ERROR CODE column "I"</v>
      </c>
      <c r="L2554" s="207" t="str">
        <f>IF(Errors!$I2554=0,
    'List of Error Codes'!$E$29,
    IFERROR(VLOOKUP(Errors!$I2554, 'List of Error Codes'!D2553:I2583, 6, FALSE), 'List of Error Codes'!$E$29)
)</f>
        <v>Please select ERROR CODE column "I"</v>
      </c>
      <c r="M2554" s="209"/>
      <c r="N2554" s="209"/>
      <c r="O2554" s="209"/>
      <c r="P2554" s="209"/>
      <c r="Q2554" s="209"/>
      <c r="R2554" s="217"/>
      <c r="S2554" s="217"/>
      <c r="T2554" s="217"/>
      <c r="U2554" s="199"/>
      <c r="V2554" s="200"/>
      <c r="W2554" s="200"/>
      <c r="X2554" s="200"/>
      <c r="Y2554" s="200"/>
      <c r="Z2554" s="200"/>
      <c r="AA2554" s="201"/>
      <c r="AB2554" s="200"/>
      <c r="AC2554" s="200"/>
    </row>
    <row r="2555" ht="15.75" customHeight="1">
      <c r="A2555" s="210">
        <f t="shared" si="1"/>
        <v>2553</v>
      </c>
      <c r="B2555" s="217"/>
      <c r="C2555" s="217" t="str">
        <f>IFERROR(VLOOKUP(B2555, SourceData!$U$3:$V$190, 2, FALSE), "")</f>
        <v/>
      </c>
      <c r="D2555" s="240"/>
      <c r="E2555" s="241"/>
      <c r="F2555" s="248"/>
      <c r="G2555" s="207"/>
      <c r="H2555" s="209"/>
      <c r="I2555" s="209"/>
      <c r="J2555" s="209"/>
      <c r="K2555" s="208" t="str">
        <f>IF(Errors!$I2555=0,SourceData!$B$42,VLOOKUP(Errors!$I2555,SourceData!$A$2:$B$40,2,FALSE))</f>
        <v>Please select ERROR CODE column "I"</v>
      </c>
      <c r="L2555" s="207" t="str">
        <f>IF(Errors!$I2555=0,
    'List of Error Codes'!$E$29,
    IFERROR(VLOOKUP(Errors!$I2555, 'List of Error Codes'!D2554:I2584, 6, FALSE), 'List of Error Codes'!$E$29)
)</f>
        <v>Please select ERROR CODE column "I"</v>
      </c>
      <c r="M2555" s="209"/>
      <c r="N2555" s="209"/>
      <c r="O2555" s="209"/>
      <c r="P2555" s="209"/>
      <c r="Q2555" s="209"/>
      <c r="R2555" s="217"/>
      <c r="S2555" s="217"/>
      <c r="T2555" s="217"/>
      <c r="U2555" s="199"/>
      <c r="V2555" s="200"/>
      <c r="W2555" s="200"/>
      <c r="X2555" s="200"/>
      <c r="Y2555" s="200"/>
      <c r="Z2555" s="200"/>
      <c r="AA2555" s="201"/>
      <c r="AB2555" s="200"/>
      <c r="AC2555" s="200"/>
    </row>
    <row r="2556" ht="15.75" customHeight="1">
      <c r="A2556" s="210">
        <f t="shared" si="1"/>
        <v>2554</v>
      </c>
      <c r="B2556" s="217"/>
      <c r="C2556" s="217" t="str">
        <f>IFERROR(VLOOKUP(B2556, SourceData!$U$3:$V$190, 2, FALSE), "")</f>
        <v/>
      </c>
      <c r="D2556" s="240"/>
      <c r="E2556" s="241"/>
      <c r="F2556" s="248"/>
      <c r="G2556" s="207"/>
      <c r="H2556" s="209"/>
      <c r="I2556" s="209"/>
      <c r="J2556" s="209"/>
      <c r="K2556" s="208" t="str">
        <f>IF(Errors!$I2556=0,SourceData!$B$42,VLOOKUP(Errors!$I2556,SourceData!$A$2:$B$40,2,FALSE))</f>
        <v>Please select ERROR CODE column "I"</v>
      </c>
      <c r="L2556" s="207" t="str">
        <f>IF(Errors!$I2556=0,
    'List of Error Codes'!$E$29,
    IFERROR(VLOOKUP(Errors!$I2556, 'List of Error Codes'!D2555:I2585, 6, FALSE), 'List of Error Codes'!$E$29)
)</f>
        <v>Please select ERROR CODE column "I"</v>
      </c>
      <c r="M2556" s="209"/>
      <c r="N2556" s="209"/>
      <c r="O2556" s="209"/>
      <c r="P2556" s="209"/>
      <c r="Q2556" s="209"/>
      <c r="R2556" s="217"/>
      <c r="S2556" s="217"/>
      <c r="T2556" s="217"/>
      <c r="U2556" s="199"/>
      <c r="V2556" s="200"/>
      <c r="W2556" s="200"/>
      <c r="X2556" s="200"/>
      <c r="Y2556" s="200"/>
      <c r="Z2556" s="200"/>
      <c r="AA2556" s="201"/>
      <c r="AB2556" s="200"/>
      <c r="AC2556" s="200"/>
    </row>
    <row r="2557" ht="15.75" customHeight="1">
      <c r="A2557" s="210">
        <f t="shared" si="1"/>
        <v>2555</v>
      </c>
      <c r="B2557" s="217"/>
      <c r="C2557" s="217" t="str">
        <f>IFERROR(VLOOKUP(B2557, SourceData!$U$3:$V$190, 2, FALSE), "")</f>
        <v/>
      </c>
      <c r="D2557" s="240"/>
      <c r="E2557" s="241"/>
      <c r="F2557" s="248"/>
      <c r="G2557" s="207"/>
      <c r="H2557" s="209"/>
      <c r="I2557" s="209"/>
      <c r="J2557" s="209"/>
      <c r="K2557" s="208" t="str">
        <f>IF(Errors!$I2557=0,SourceData!$B$42,VLOOKUP(Errors!$I2557,SourceData!$A$2:$B$40,2,FALSE))</f>
        <v>Please select ERROR CODE column "I"</v>
      </c>
      <c r="L2557" s="207" t="str">
        <f>IF(Errors!$I2557=0,
    'List of Error Codes'!$E$29,
    IFERROR(VLOOKUP(Errors!$I2557, 'List of Error Codes'!D2556:I2586, 6, FALSE), 'List of Error Codes'!$E$29)
)</f>
        <v>Please select ERROR CODE column "I"</v>
      </c>
      <c r="M2557" s="209"/>
      <c r="N2557" s="209"/>
      <c r="O2557" s="209"/>
      <c r="P2557" s="209"/>
      <c r="Q2557" s="209"/>
      <c r="R2557" s="217"/>
      <c r="S2557" s="217"/>
      <c r="T2557" s="217"/>
      <c r="U2557" s="199"/>
      <c r="V2557" s="200"/>
      <c r="W2557" s="200"/>
      <c r="X2557" s="200"/>
      <c r="Y2557" s="200"/>
      <c r="Z2557" s="200"/>
      <c r="AA2557" s="201"/>
      <c r="AB2557" s="200"/>
      <c r="AC2557" s="200"/>
    </row>
    <row r="2558" ht="15.75" customHeight="1">
      <c r="A2558" s="210">
        <f t="shared" si="1"/>
        <v>2556</v>
      </c>
      <c r="B2558" s="217"/>
      <c r="C2558" s="217" t="str">
        <f>IFERROR(VLOOKUP(B2558, SourceData!$U$3:$V$190, 2, FALSE), "")</f>
        <v/>
      </c>
      <c r="D2558" s="240"/>
      <c r="E2558" s="241"/>
      <c r="F2558" s="248"/>
      <c r="G2558" s="207"/>
      <c r="H2558" s="209"/>
      <c r="I2558" s="209"/>
      <c r="J2558" s="209"/>
      <c r="K2558" s="208" t="str">
        <f>IF(Errors!$I2558=0,SourceData!$B$42,VLOOKUP(Errors!$I2558,SourceData!$A$2:$B$40,2,FALSE))</f>
        <v>Please select ERROR CODE column "I"</v>
      </c>
      <c r="L2558" s="207" t="str">
        <f>IF(Errors!$I2558=0,
    'List of Error Codes'!$E$29,
    IFERROR(VLOOKUP(Errors!$I2558, 'List of Error Codes'!D2557:I2587, 6, FALSE), 'List of Error Codes'!$E$29)
)</f>
        <v>Please select ERROR CODE column "I"</v>
      </c>
      <c r="M2558" s="209"/>
      <c r="N2558" s="209"/>
      <c r="O2558" s="209"/>
      <c r="P2558" s="209"/>
      <c r="Q2558" s="209"/>
      <c r="R2558" s="217"/>
      <c r="S2558" s="217"/>
      <c r="T2558" s="217"/>
      <c r="U2558" s="199"/>
      <c r="V2558" s="200"/>
      <c r="W2558" s="200"/>
      <c r="X2558" s="200"/>
      <c r="Y2558" s="200"/>
      <c r="Z2558" s="200"/>
      <c r="AA2558" s="201"/>
      <c r="AB2558" s="200"/>
      <c r="AC2558" s="200"/>
    </row>
    <row r="2559" ht="15.75" customHeight="1">
      <c r="A2559" s="210">
        <f t="shared" si="1"/>
        <v>2557</v>
      </c>
      <c r="B2559" s="217"/>
      <c r="C2559" s="217" t="str">
        <f>IFERROR(VLOOKUP(B2559, SourceData!$U$3:$V$190, 2, FALSE), "")</f>
        <v/>
      </c>
      <c r="D2559" s="240"/>
      <c r="E2559" s="241"/>
      <c r="F2559" s="248"/>
      <c r="G2559" s="207"/>
      <c r="H2559" s="209"/>
      <c r="I2559" s="209"/>
      <c r="J2559" s="209"/>
      <c r="K2559" s="208" t="str">
        <f>IF(Errors!$I2559=0,SourceData!$B$42,VLOOKUP(Errors!$I2559,SourceData!$A$2:$B$40,2,FALSE))</f>
        <v>Please select ERROR CODE column "I"</v>
      </c>
      <c r="L2559" s="207" t="str">
        <f>IF(Errors!$I2559=0,
    'List of Error Codes'!$E$29,
    IFERROR(VLOOKUP(Errors!$I2559, 'List of Error Codes'!D2558:I2588, 6, FALSE), 'List of Error Codes'!$E$29)
)</f>
        <v>Please select ERROR CODE column "I"</v>
      </c>
      <c r="M2559" s="209"/>
      <c r="N2559" s="209"/>
      <c r="O2559" s="209"/>
      <c r="P2559" s="209"/>
      <c r="Q2559" s="209"/>
      <c r="R2559" s="217"/>
      <c r="S2559" s="217"/>
      <c r="T2559" s="217"/>
      <c r="U2559" s="199"/>
      <c r="V2559" s="200"/>
      <c r="W2559" s="200"/>
      <c r="X2559" s="200"/>
      <c r="Y2559" s="200"/>
      <c r="Z2559" s="200"/>
      <c r="AA2559" s="201"/>
      <c r="AB2559" s="200"/>
      <c r="AC2559" s="200"/>
    </row>
    <row r="2560" ht="15.75" customHeight="1">
      <c r="A2560" s="210">
        <f t="shared" si="1"/>
        <v>2558</v>
      </c>
      <c r="B2560" s="217"/>
      <c r="C2560" s="217" t="str">
        <f>IFERROR(VLOOKUP(B2560, SourceData!$U$3:$V$190, 2, FALSE), "")</f>
        <v/>
      </c>
      <c r="D2560" s="240"/>
      <c r="E2560" s="241"/>
      <c r="F2560" s="248"/>
      <c r="G2560" s="207"/>
      <c r="H2560" s="209"/>
      <c r="I2560" s="209"/>
      <c r="J2560" s="209"/>
      <c r="K2560" s="208" t="str">
        <f>IF(Errors!$I2560=0,SourceData!$B$42,VLOOKUP(Errors!$I2560,SourceData!$A$2:$B$40,2,FALSE))</f>
        <v>Please select ERROR CODE column "I"</v>
      </c>
      <c r="L2560" s="207" t="str">
        <f>IF(Errors!$I2560=0,
    'List of Error Codes'!$E$29,
    IFERROR(VLOOKUP(Errors!$I2560, 'List of Error Codes'!D2559:I2589, 6, FALSE), 'List of Error Codes'!$E$29)
)</f>
        <v>Please select ERROR CODE column "I"</v>
      </c>
      <c r="M2560" s="209"/>
      <c r="N2560" s="209"/>
      <c r="O2560" s="209"/>
      <c r="P2560" s="209"/>
      <c r="Q2560" s="209"/>
      <c r="R2560" s="217"/>
      <c r="S2560" s="217"/>
      <c r="T2560" s="217"/>
      <c r="U2560" s="199"/>
      <c r="V2560" s="200"/>
      <c r="W2560" s="200"/>
      <c r="X2560" s="200"/>
      <c r="Y2560" s="200"/>
      <c r="Z2560" s="200"/>
      <c r="AA2560" s="201"/>
      <c r="AB2560" s="200"/>
      <c r="AC2560" s="200"/>
    </row>
    <row r="2561" ht="15.75" customHeight="1">
      <c r="A2561" s="210">
        <f t="shared" si="1"/>
        <v>2559</v>
      </c>
      <c r="B2561" s="217"/>
      <c r="C2561" s="217" t="str">
        <f>IFERROR(VLOOKUP(B2561, SourceData!$U$3:$V$190, 2, FALSE), "")</f>
        <v/>
      </c>
      <c r="D2561" s="240"/>
      <c r="E2561" s="241"/>
      <c r="F2561" s="248"/>
      <c r="G2561" s="207"/>
      <c r="H2561" s="209"/>
      <c r="I2561" s="209"/>
      <c r="J2561" s="209"/>
      <c r="K2561" s="208" t="str">
        <f>IF(Errors!$I2561=0,SourceData!$B$42,VLOOKUP(Errors!$I2561,SourceData!$A$2:$B$40,2,FALSE))</f>
        <v>Please select ERROR CODE column "I"</v>
      </c>
      <c r="L2561" s="207" t="str">
        <f>IF(Errors!$I2561=0,
    'List of Error Codes'!$E$29,
    IFERROR(VLOOKUP(Errors!$I2561, 'List of Error Codes'!D2560:I2590, 6, FALSE), 'List of Error Codes'!$E$29)
)</f>
        <v>Please select ERROR CODE column "I"</v>
      </c>
      <c r="M2561" s="209"/>
      <c r="N2561" s="209"/>
      <c r="O2561" s="209"/>
      <c r="P2561" s="209"/>
      <c r="Q2561" s="209"/>
      <c r="R2561" s="217"/>
      <c r="S2561" s="217"/>
      <c r="T2561" s="217"/>
      <c r="U2561" s="199"/>
      <c r="V2561" s="200"/>
      <c r="W2561" s="200"/>
      <c r="X2561" s="200"/>
      <c r="Y2561" s="200"/>
      <c r="Z2561" s="200"/>
      <c r="AA2561" s="201"/>
      <c r="AB2561" s="200"/>
      <c r="AC2561" s="200"/>
    </row>
    <row r="2562" ht="15.75" customHeight="1">
      <c r="A2562" s="210">
        <f t="shared" si="1"/>
        <v>2560</v>
      </c>
      <c r="B2562" s="217"/>
      <c r="C2562" s="217" t="str">
        <f>IFERROR(VLOOKUP(B2562, SourceData!$U$3:$V$190, 2, FALSE), "")</f>
        <v/>
      </c>
      <c r="D2562" s="240"/>
      <c r="E2562" s="241"/>
      <c r="F2562" s="248"/>
      <c r="G2562" s="207"/>
      <c r="H2562" s="209"/>
      <c r="I2562" s="209"/>
      <c r="J2562" s="209"/>
      <c r="K2562" s="208" t="str">
        <f>IF(Errors!$I2562=0,SourceData!$B$42,VLOOKUP(Errors!$I2562,SourceData!$A$2:$B$40,2,FALSE))</f>
        <v>Please select ERROR CODE column "I"</v>
      </c>
      <c r="L2562" s="207" t="str">
        <f>IF(Errors!$I2562=0,
    'List of Error Codes'!$E$29,
    IFERROR(VLOOKUP(Errors!$I2562, 'List of Error Codes'!D2561:I2591, 6, FALSE), 'List of Error Codes'!$E$29)
)</f>
        <v>Please select ERROR CODE column "I"</v>
      </c>
      <c r="M2562" s="209"/>
      <c r="N2562" s="209"/>
      <c r="O2562" s="209"/>
      <c r="P2562" s="209"/>
      <c r="Q2562" s="209"/>
      <c r="R2562" s="217"/>
      <c r="S2562" s="217"/>
      <c r="T2562" s="217"/>
      <c r="U2562" s="199"/>
      <c r="V2562" s="200"/>
      <c r="W2562" s="200"/>
      <c r="X2562" s="200"/>
      <c r="Y2562" s="200"/>
      <c r="Z2562" s="200"/>
      <c r="AA2562" s="201"/>
      <c r="AB2562" s="200"/>
      <c r="AC2562" s="200"/>
    </row>
    <row r="2563" ht="15.75" customHeight="1">
      <c r="A2563" s="210">
        <f t="shared" si="1"/>
        <v>2561</v>
      </c>
      <c r="B2563" s="217"/>
      <c r="C2563" s="217" t="str">
        <f>IFERROR(VLOOKUP(B2563, SourceData!$U$3:$V$190, 2, FALSE), "")</f>
        <v/>
      </c>
      <c r="D2563" s="240"/>
      <c r="E2563" s="241"/>
      <c r="F2563" s="248"/>
      <c r="G2563" s="207"/>
      <c r="H2563" s="209"/>
      <c r="I2563" s="209"/>
      <c r="J2563" s="209"/>
      <c r="K2563" s="208" t="str">
        <f>IF(Errors!$I2563=0,SourceData!$B$42,VLOOKUP(Errors!$I2563,SourceData!$A$2:$B$40,2,FALSE))</f>
        <v>Please select ERROR CODE column "I"</v>
      </c>
      <c r="L2563" s="207" t="str">
        <f>IF(Errors!$I2563=0,
    'List of Error Codes'!$E$29,
    IFERROR(VLOOKUP(Errors!$I2563, 'List of Error Codes'!D2562:I2592, 6, FALSE), 'List of Error Codes'!$E$29)
)</f>
        <v>Please select ERROR CODE column "I"</v>
      </c>
      <c r="M2563" s="209"/>
      <c r="N2563" s="209"/>
      <c r="O2563" s="209"/>
      <c r="P2563" s="209"/>
      <c r="Q2563" s="209"/>
      <c r="R2563" s="217"/>
      <c r="S2563" s="217"/>
      <c r="T2563" s="217"/>
      <c r="U2563" s="199"/>
      <c r="V2563" s="200"/>
      <c r="W2563" s="200"/>
      <c r="X2563" s="200"/>
      <c r="Y2563" s="200"/>
      <c r="Z2563" s="200"/>
      <c r="AA2563" s="201"/>
      <c r="AB2563" s="200"/>
      <c r="AC2563" s="200"/>
    </row>
    <row r="2564" ht="15.75" customHeight="1">
      <c r="A2564" s="210">
        <f t="shared" si="1"/>
        <v>2562</v>
      </c>
      <c r="B2564" s="217"/>
      <c r="C2564" s="217" t="str">
        <f>IFERROR(VLOOKUP(B2564, SourceData!$U$3:$V$190, 2, FALSE), "")</f>
        <v/>
      </c>
      <c r="D2564" s="240"/>
      <c r="E2564" s="241"/>
      <c r="F2564" s="248"/>
      <c r="G2564" s="207"/>
      <c r="H2564" s="209"/>
      <c r="I2564" s="209"/>
      <c r="J2564" s="209"/>
      <c r="K2564" s="208" t="str">
        <f>IF(Errors!$I2564=0,SourceData!$B$42,VLOOKUP(Errors!$I2564,SourceData!$A$2:$B$40,2,FALSE))</f>
        <v>Please select ERROR CODE column "I"</v>
      </c>
      <c r="L2564" s="207" t="str">
        <f>IF(Errors!$I2564=0,
    'List of Error Codes'!$E$29,
    IFERROR(VLOOKUP(Errors!$I2564, 'List of Error Codes'!D2563:I2593, 6, FALSE), 'List of Error Codes'!$E$29)
)</f>
        <v>Please select ERROR CODE column "I"</v>
      </c>
      <c r="M2564" s="209"/>
      <c r="N2564" s="209"/>
      <c r="O2564" s="209"/>
      <c r="P2564" s="209"/>
      <c r="Q2564" s="209"/>
      <c r="R2564" s="217"/>
      <c r="S2564" s="217"/>
      <c r="T2564" s="217"/>
      <c r="U2564" s="199"/>
      <c r="V2564" s="200"/>
      <c r="W2564" s="200"/>
      <c r="X2564" s="200"/>
      <c r="Y2564" s="200"/>
      <c r="Z2564" s="200"/>
      <c r="AA2564" s="201"/>
      <c r="AB2564" s="200"/>
      <c r="AC2564" s="200"/>
    </row>
    <row r="2565" ht="15.75" customHeight="1">
      <c r="A2565" s="210">
        <f t="shared" si="1"/>
        <v>2563</v>
      </c>
      <c r="B2565" s="217"/>
      <c r="C2565" s="217" t="str">
        <f>IFERROR(VLOOKUP(B2565, SourceData!$U$3:$V$190, 2, FALSE), "")</f>
        <v/>
      </c>
      <c r="D2565" s="240"/>
      <c r="E2565" s="241"/>
      <c r="F2565" s="248"/>
      <c r="G2565" s="207"/>
      <c r="H2565" s="209"/>
      <c r="I2565" s="209"/>
      <c r="J2565" s="209"/>
      <c r="K2565" s="208" t="str">
        <f>IF(Errors!$I2565=0,SourceData!$B$42,VLOOKUP(Errors!$I2565,SourceData!$A$2:$B$40,2,FALSE))</f>
        <v>Please select ERROR CODE column "I"</v>
      </c>
      <c r="L2565" s="207" t="str">
        <f>IF(Errors!$I2565=0,
    'List of Error Codes'!$E$29,
    IFERROR(VLOOKUP(Errors!$I2565, 'List of Error Codes'!D2564:I2594, 6, FALSE), 'List of Error Codes'!$E$29)
)</f>
        <v>Please select ERROR CODE column "I"</v>
      </c>
      <c r="M2565" s="209"/>
      <c r="N2565" s="209"/>
      <c r="O2565" s="209"/>
      <c r="P2565" s="209"/>
      <c r="Q2565" s="209"/>
      <c r="R2565" s="217"/>
      <c r="S2565" s="217"/>
      <c r="T2565" s="217"/>
      <c r="U2565" s="199"/>
      <c r="V2565" s="200"/>
      <c r="W2565" s="200"/>
      <c r="X2565" s="200"/>
      <c r="Y2565" s="200"/>
      <c r="Z2565" s="200"/>
      <c r="AA2565" s="201"/>
      <c r="AB2565" s="200"/>
      <c r="AC2565" s="200"/>
    </row>
    <row r="2566" ht="15.75" customHeight="1">
      <c r="A2566" s="210">
        <f t="shared" si="1"/>
        <v>2564</v>
      </c>
      <c r="B2566" s="217"/>
      <c r="C2566" s="217" t="str">
        <f>IFERROR(VLOOKUP(B2566, SourceData!$U$3:$V$190, 2, FALSE), "")</f>
        <v/>
      </c>
      <c r="D2566" s="240"/>
      <c r="E2566" s="241"/>
      <c r="F2566" s="248"/>
      <c r="G2566" s="207"/>
      <c r="H2566" s="209"/>
      <c r="I2566" s="209"/>
      <c r="J2566" s="209"/>
      <c r="K2566" s="208" t="str">
        <f>IF(Errors!$I2566=0,SourceData!$B$42,VLOOKUP(Errors!$I2566,SourceData!$A$2:$B$40,2,FALSE))</f>
        <v>Please select ERROR CODE column "I"</v>
      </c>
      <c r="L2566" s="207" t="str">
        <f>IF(Errors!$I2566=0,
    'List of Error Codes'!$E$29,
    IFERROR(VLOOKUP(Errors!$I2566, 'List of Error Codes'!D2565:I2595, 6, FALSE), 'List of Error Codes'!$E$29)
)</f>
        <v>Please select ERROR CODE column "I"</v>
      </c>
      <c r="M2566" s="209"/>
      <c r="N2566" s="209"/>
      <c r="O2566" s="209"/>
      <c r="P2566" s="209"/>
      <c r="Q2566" s="209"/>
      <c r="R2566" s="217"/>
      <c r="S2566" s="217"/>
      <c r="T2566" s="217"/>
      <c r="U2566" s="199"/>
      <c r="V2566" s="200"/>
      <c r="W2566" s="200"/>
      <c r="X2566" s="200"/>
      <c r="Y2566" s="200"/>
      <c r="Z2566" s="200"/>
      <c r="AA2566" s="201"/>
      <c r="AB2566" s="200"/>
      <c r="AC2566" s="200"/>
    </row>
    <row r="2567" ht="15.75" customHeight="1">
      <c r="A2567" s="210">
        <f t="shared" si="1"/>
        <v>2565</v>
      </c>
      <c r="B2567" s="217"/>
      <c r="C2567" s="217" t="str">
        <f>IFERROR(VLOOKUP(B2567, SourceData!$U$3:$V$190, 2, FALSE), "")</f>
        <v/>
      </c>
      <c r="D2567" s="240"/>
      <c r="E2567" s="241"/>
      <c r="F2567" s="248"/>
      <c r="G2567" s="207"/>
      <c r="H2567" s="209"/>
      <c r="I2567" s="209"/>
      <c r="J2567" s="209"/>
      <c r="K2567" s="208" t="str">
        <f>IF(Errors!$I2567=0,SourceData!$B$42,VLOOKUP(Errors!$I2567,SourceData!$A$2:$B$40,2,FALSE))</f>
        <v>Please select ERROR CODE column "I"</v>
      </c>
      <c r="L2567" s="207" t="str">
        <f>IF(Errors!$I2567=0,
    'List of Error Codes'!$E$29,
    IFERROR(VLOOKUP(Errors!$I2567, 'List of Error Codes'!D2566:I2596, 6, FALSE), 'List of Error Codes'!$E$29)
)</f>
        <v>Please select ERROR CODE column "I"</v>
      </c>
      <c r="M2567" s="209"/>
      <c r="N2567" s="209"/>
      <c r="O2567" s="209"/>
      <c r="P2567" s="209"/>
      <c r="Q2567" s="209"/>
      <c r="R2567" s="217"/>
      <c r="S2567" s="217"/>
      <c r="T2567" s="217"/>
      <c r="U2567" s="199"/>
      <c r="V2567" s="200"/>
      <c r="W2567" s="200"/>
      <c r="X2567" s="200"/>
      <c r="Y2567" s="200"/>
      <c r="Z2567" s="200"/>
      <c r="AA2567" s="201"/>
      <c r="AB2567" s="200"/>
      <c r="AC2567" s="200"/>
    </row>
    <row r="2568" ht="15.75" customHeight="1">
      <c r="A2568" s="210">
        <f t="shared" si="1"/>
        <v>2566</v>
      </c>
      <c r="B2568" s="217"/>
      <c r="C2568" s="217" t="str">
        <f>IFERROR(VLOOKUP(B2568, SourceData!$U$3:$V$190, 2, FALSE), "")</f>
        <v/>
      </c>
      <c r="D2568" s="240"/>
      <c r="E2568" s="241"/>
      <c r="F2568" s="248"/>
      <c r="G2568" s="207"/>
      <c r="H2568" s="209"/>
      <c r="I2568" s="209"/>
      <c r="J2568" s="209"/>
      <c r="K2568" s="208" t="str">
        <f>IF(Errors!$I2568=0,SourceData!$B$42,VLOOKUP(Errors!$I2568,SourceData!$A$2:$B$40,2,FALSE))</f>
        <v>Please select ERROR CODE column "I"</v>
      </c>
      <c r="L2568" s="207" t="str">
        <f>IF(Errors!$I2568=0,
    'List of Error Codes'!$E$29,
    IFERROR(VLOOKUP(Errors!$I2568, 'List of Error Codes'!D2567:I2597, 6, FALSE), 'List of Error Codes'!$E$29)
)</f>
        <v>Please select ERROR CODE column "I"</v>
      </c>
      <c r="M2568" s="209"/>
      <c r="N2568" s="209"/>
      <c r="O2568" s="209"/>
      <c r="P2568" s="209"/>
      <c r="Q2568" s="209"/>
      <c r="R2568" s="217"/>
      <c r="S2568" s="217"/>
      <c r="T2568" s="217"/>
      <c r="U2568" s="199"/>
      <c r="V2568" s="200"/>
      <c r="W2568" s="200"/>
      <c r="X2568" s="200"/>
      <c r="Y2568" s="200"/>
      <c r="Z2568" s="200"/>
      <c r="AA2568" s="201"/>
      <c r="AB2568" s="200"/>
      <c r="AC2568" s="200"/>
    </row>
    <row r="2569" ht="15.75" customHeight="1">
      <c r="A2569" s="210">
        <f t="shared" si="1"/>
        <v>2567</v>
      </c>
      <c r="B2569" s="217"/>
      <c r="C2569" s="217" t="str">
        <f>IFERROR(VLOOKUP(B2569, SourceData!$U$3:$V$190, 2, FALSE), "")</f>
        <v/>
      </c>
      <c r="D2569" s="240"/>
      <c r="E2569" s="241"/>
      <c r="F2569" s="248"/>
      <c r="G2569" s="207"/>
      <c r="H2569" s="209"/>
      <c r="I2569" s="209"/>
      <c r="J2569" s="209"/>
      <c r="K2569" s="208" t="str">
        <f>IF(Errors!$I2569=0,SourceData!$B$42,VLOOKUP(Errors!$I2569,SourceData!$A$2:$B$40,2,FALSE))</f>
        <v>Please select ERROR CODE column "I"</v>
      </c>
      <c r="L2569" s="207" t="str">
        <f>IF(Errors!$I2569=0,
    'List of Error Codes'!$E$29,
    IFERROR(VLOOKUP(Errors!$I2569, 'List of Error Codes'!D2568:I2598, 6, FALSE), 'List of Error Codes'!$E$29)
)</f>
        <v>Please select ERROR CODE column "I"</v>
      </c>
      <c r="M2569" s="209"/>
      <c r="N2569" s="209"/>
      <c r="O2569" s="209"/>
      <c r="P2569" s="209"/>
      <c r="Q2569" s="209"/>
      <c r="R2569" s="217"/>
      <c r="S2569" s="217"/>
      <c r="T2569" s="217"/>
      <c r="U2569" s="199"/>
      <c r="V2569" s="200"/>
      <c r="W2569" s="200"/>
      <c r="X2569" s="200"/>
      <c r="Y2569" s="200"/>
      <c r="Z2569" s="200"/>
      <c r="AA2569" s="201"/>
      <c r="AB2569" s="200"/>
      <c r="AC2569" s="200"/>
    </row>
    <row r="2570" ht="15.75" customHeight="1">
      <c r="A2570" s="210">
        <f t="shared" si="1"/>
        <v>2568</v>
      </c>
      <c r="B2570" s="217"/>
      <c r="C2570" s="217" t="str">
        <f>IFERROR(VLOOKUP(B2570, SourceData!$U$3:$V$190, 2, FALSE), "")</f>
        <v/>
      </c>
      <c r="D2570" s="240"/>
      <c r="E2570" s="241"/>
      <c r="F2570" s="248"/>
      <c r="G2570" s="207"/>
      <c r="H2570" s="209"/>
      <c r="I2570" s="209"/>
      <c r="J2570" s="209"/>
      <c r="K2570" s="208" t="str">
        <f>IF(Errors!$I2570=0,SourceData!$B$42,VLOOKUP(Errors!$I2570,SourceData!$A$2:$B$40,2,FALSE))</f>
        <v>Please select ERROR CODE column "I"</v>
      </c>
      <c r="L2570" s="207" t="str">
        <f>IF(Errors!$I2570=0,
    'List of Error Codes'!$E$29,
    IFERROR(VLOOKUP(Errors!$I2570, 'List of Error Codes'!D2569:I2599, 6, FALSE), 'List of Error Codes'!$E$29)
)</f>
        <v>Please select ERROR CODE column "I"</v>
      </c>
      <c r="M2570" s="209"/>
      <c r="N2570" s="209"/>
      <c r="O2570" s="209"/>
      <c r="P2570" s="209"/>
      <c r="Q2570" s="209"/>
      <c r="R2570" s="217"/>
      <c r="S2570" s="217"/>
      <c r="T2570" s="217"/>
      <c r="U2570" s="199"/>
      <c r="V2570" s="200"/>
      <c r="W2570" s="200"/>
      <c r="X2570" s="200"/>
      <c r="Y2570" s="200"/>
      <c r="Z2570" s="200"/>
      <c r="AA2570" s="201"/>
      <c r="AB2570" s="200"/>
      <c r="AC2570" s="200"/>
    </row>
    <row r="2571" ht="15.75" customHeight="1">
      <c r="A2571" s="210">
        <f t="shared" si="1"/>
        <v>2569</v>
      </c>
      <c r="B2571" s="217"/>
      <c r="C2571" s="217" t="str">
        <f>IFERROR(VLOOKUP(B2571, SourceData!$U$3:$V$190, 2, FALSE), "")</f>
        <v/>
      </c>
      <c r="D2571" s="240"/>
      <c r="E2571" s="241"/>
      <c r="F2571" s="248"/>
      <c r="G2571" s="207"/>
      <c r="H2571" s="209"/>
      <c r="I2571" s="209"/>
      <c r="J2571" s="209"/>
      <c r="K2571" s="208" t="str">
        <f>IF(Errors!$I2571=0,SourceData!$B$42,VLOOKUP(Errors!$I2571,SourceData!$A$2:$B$40,2,FALSE))</f>
        <v>Please select ERROR CODE column "I"</v>
      </c>
      <c r="L2571" s="207" t="str">
        <f>IF(Errors!$I2571=0,
    'List of Error Codes'!$E$29,
    IFERROR(VLOOKUP(Errors!$I2571, 'List of Error Codes'!D2570:I2600, 6, FALSE), 'List of Error Codes'!$E$29)
)</f>
        <v>Please select ERROR CODE column "I"</v>
      </c>
      <c r="M2571" s="209"/>
      <c r="N2571" s="209"/>
      <c r="O2571" s="209"/>
      <c r="P2571" s="209"/>
      <c r="Q2571" s="209"/>
      <c r="R2571" s="217"/>
      <c r="S2571" s="217"/>
      <c r="T2571" s="217"/>
      <c r="U2571" s="199"/>
      <c r="V2571" s="200"/>
      <c r="W2571" s="200"/>
      <c r="X2571" s="200"/>
      <c r="Y2571" s="200"/>
      <c r="Z2571" s="200"/>
      <c r="AA2571" s="201"/>
      <c r="AB2571" s="200"/>
      <c r="AC2571" s="200"/>
    </row>
    <row r="2572" ht="15.75" customHeight="1">
      <c r="A2572" s="210">
        <f t="shared" si="1"/>
        <v>2570</v>
      </c>
      <c r="B2572" s="217"/>
      <c r="C2572" s="217" t="str">
        <f>IFERROR(VLOOKUP(B2572, SourceData!$U$3:$V$190, 2, FALSE), "")</f>
        <v/>
      </c>
      <c r="D2572" s="240"/>
      <c r="E2572" s="241"/>
      <c r="F2572" s="248"/>
      <c r="G2572" s="207"/>
      <c r="H2572" s="209"/>
      <c r="I2572" s="209"/>
      <c r="J2572" s="209"/>
      <c r="K2572" s="208" t="str">
        <f>IF(Errors!$I2572=0,SourceData!$B$42,VLOOKUP(Errors!$I2572,SourceData!$A$2:$B$40,2,FALSE))</f>
        <v>Please select ERROR CODE column "I"</v>
      </c>
      <c r="L2572" s="207" t="str">
        <f>IF(Errors!$I2572=0,
    'List of Error Codes'!$E$29,
    IFERROR(VLOOKUP(Errors!$I2572, 'List of Error Codes'!D2571:I2601, 6, FALSE), 'List of Error Codes'!$E$29)
)</f>
        <v>Please select ERROR CODE column "I"</v>
      </c>
      <c r="M2572" s="209"/>
      <c r="N2572" s="209"/>
      <c r="O2572" s="209"/>
      <c r="P2572" s="209"/>
      <c r="Q2572" s="209"/>
      <c r="R2572" s="217"/>
      <c r="S2572" s="217"/>
      <c r="T2572" s="217"/>
      <c r="U2572" s="199"/>
      <c r="V2572" s="200"/>
      <c r="W2572" s="200"/>
      <c r="X2572" s="200"/>
      <c r="Y2572" s="200"/>
      <c r="Z2572" s="200"/>
      <c r="AA2572" s="201"/>
      <c r="AB2572" s="200"/>
      <c r="AC2572" s="200"/>
    </row>
    <row r="2573" ht="15.75" customHeight="1">
      <c r="A2573" s="210">
        <f t="shared" si="1"/>
        <v>2571</v>
      </c>
      <c r="B2573" s="217"/>
      <c r="C2573" s="217" t="str">
        <f>IFERROR(VLOOKUP(B2573, SourceData!$U$3:$V$190, 2, FALSE), "")</f>
        <v/>
      </c>
      <c r="D2573" s="240"/>
      <c r="E2573" s="241"/>
      <c r="F2573" s="248"/>
      <c r="G2573" s="207"/>
      <c r="H2573" s="209"/>
      <c r="I2573" s="209"/>
      <c r="J2573" s="209"/>
      <c r="K2573" s="208" t="str">
        <f>IF(Errors!$I2573=0,SourceData!$B$42,VLOOKUP(Errors!$I2573,SourceData!$A$2:$B$40,2,FALSE))</f>
        <v>Please select ERROR CODE column "I"</v>
      </c>
      <c r="L2573" s="207" t="str">
        <f>IF(Errors!$I2573=0,
    'List of Error Codes'!$E$29,
    IFERROR(VLOOKUP(Errors!$I2573, 'List of Error Codes'!D2572:I2602, 6, FALSE), 'List of Error Codes'!$E$29)
)</f>
        <v>Please select ERROR CODE column "I"</v>
      </c>
      <c r="M2573" s="209"/>
      <c r="N2573" s="209"/>
      <c r="O2573" s="209"/>
      <c r="P2573" s="209"/>
      <c r="Q2573" s="209"/>
      <c r="R2573" s="217"/>
      <c r="S2573" s="217"/>
      <c r="T2573" s="217"/>
      <c r="U2573" s="199"/>
      <c r="V2573" s="200"/>
      <c r="W2573" s="200"/>
      <c r="X2573" s="200"/>
      <c r="Y2573" s="200"/>
      <c r="Z2573" s="200"/>
      <c r="AA2573" s="201"/>
      <c r="AB2573" s="200"/>
      <c r="AC2573" s="200"/>
    </row>
    <row r="2574" ht="15.75" customHeight="1">
      <c r="A2574" s="210">
        <f t="shared" si="1"/>
        <v>2572</v>
      </c>
      <c r="B2574" s="217"/>
      <c r="C2574" s="217" t="str">
        <f>IFERROR(VLOOKUP(B2574, SourceData!$U$3:$V$190, 2, FALSE), "")</f>
        <v/>
      </c>
      <c r="D2574" s="240"/>
      <c r="E2574" s="241"/>
      <c r="F2574" s="248"/>
      <c r="G2574" s="207"/>
      <c r="H2574" s="209"/>
      <c r="I2574" s="209"/>
      <c r="J2574" s="209"/>
      <c r="K2574" s="208" t="str">
        <f>IF(Errors!$I2574=0,SourceData!$B$42,VLOOKUP(Errors!$I2574,SourceData!$A$2:$B$40,2,FALSE))</f>
        <v>Please select ERROR CODE column "I"</v>
      </c>
      <c r="L2574" s="207" t="str">
        <f>IF(Errors!$I2574=0,
    'List of Error Codes'!$E$29,
    IFERROR(VLOOKUP(Errors!$I2574, 'List of Error Codes'!D2573:I2603, 6, FALSE), 'List of Error Codes'!$E$29)
)</f>
        <v>Please select ERROR CODE column "I"</v>
      </c>
      <c r="M2574" s="209"/>
      <c r="N2574" s="209"/>
      <c r="O2574" s="209"/>
      <c r="P2574" s="209"/>
      <c r="Q2574" s="209"/>
      <c r="R2574" s="217"/>
      <c r="S2574" s="217"/>
      <c r="T2574" s="217"/>
      <c r="U2574" s="199"/>
      <c r="V2574" s="200"/>
      <c r="W2574" s="200"/>
      <c r="X2574" s="200"/>
      <c r="Y2574" s="200"/>
      <c r="Z2574" s="200"/>
      <c r="AA2574" s="201"/>
      <c r="AB2574" s="200"/>
      <c r="AC2574" s="200"/>
    </row>
    <row r="2575" ht="15.75" customHeight="1">
      <c r="A2575" s="210">
        <f t="shared" si="1"/>
        <v>2573</v>
      </c>
      <c r="B2575" s="217"/>
      <c r="C2575" s="217" t="str">
        <f>IFERROR(VLOOKUP(B2575, SourceData!$U$3:$V$190, 2, FALSE), "")</f>
        <v/>
      </c>
      <c r="D2575" s="240"/>
      <c r="E2575" s="241"/>
      <c r="F2575" s="248"/>
      <c r="G2575" s="207"/>
      <c r="H2575" s="209"/>
      <c r="I2575" s="209"/>
      <c r="J2575" s="209"/>
      <c r="K2575" s="208" t="str">
        <f>IF(Errors!$I2575=0,SourceData!$B$42,VLOOKUP(Errors!$I2575,SourceData!$A$2:$B$40,2,FALSE))</f>
        <v>Please select ERROR CODE column "I"</v>
      </c>
      <c r="L2575" s="207" t="str">
        <f>IF(Errors!$I2575=0,
    'List of Error Codes'!$E$29,
    IFERROR(VLOOKUP(Errors!$I2575, 'List of Error Codes'!D2574:I2604, 6, FALSE), 'List of Error Codes'!$E$29)
)</f>
        <v>Please select ERROR CODE column "I"</v>
      </c>
      <c r="M2575" s="209"/>
      <c r="N2575" s="209"/>
      <c r="O2575" s="209"/>
      <c r="P2575" s="209"/>
      <c r="Q2575" s="209"/>
      <c r="R2575" s="217"/>
      <c r="S2575" s="217"/>
      <c r="T2575" s="217"/>
      <c r="U2575" s="199"/>
      <c r="V2575" s="200"/>
      <c r="W2575" s="200"/>
      <c r="X2575" s="200"/>
      <c r="Y2575" s="200"/>
      <c r="Z2575" s="200"/>
      <c r="AA2575" s="201"/>
      <c r="AB2575" s="200"/>
      <c r="AC2575" s="200"/>
    </row>
    <row r="2576" ht="15.75" customHeight="1">
      <c r="A2576" s="210">
        <f t="shared" si="1"/>
        <v>2574</v>
      </c>
      <c r="B2576" s="217"/>
      <c r="C2576" s="217" t="str">
        <f>IFERROR(VLOOKUP(B2576, SourceData!$U$3:$V$190, 2, FALSE), "")</f>
        <v/>
      </c>
      <c r="D2576" s="240"/>
      <c r="E2576" s="241"/>
      <c r="F2576" s="248"/>
      <c r="G2576" s="207"/>
      <c r="H2576" s="209"/>
      <c r="I2576" s="209"/>
      <c r="J2576" s="209"/>
      <c r="K2576" s="208" t="str">
        <f>IF(Errors!$I2576=0,SourceData!$B$42,VLOOKUP(Errors!$I2576,SourceData!$A$2:$B$40,2,FALSE))</f>
        <v>Please select ERROR CODE column "I"</v>
      </c>
      <c r="L2576" s="207" t="str">
        <f>IF(Errors!$I2576=0,
    'List of Error Codes'!$E$29,
    IFERROR(VLOOKUP(Errors!$I2576, 'List of Error Codes'!D2575:I2605, 6, FALSE), 'List of Error Codes'!$E$29)
)</f>
        <v>Please select ERROR CODE column "I"</v>
      </c>
      <c r="M2576" s="209"/>
      <c r="N2576" s="209"/>
      <c r="O2576" s="209"/>
      <c r="P2576" s="209"/>
      <c r="Q2576" s="209"/>
      <c r="R2576" s="217"/>
      <c r="S2576" s="217"/>
      <c r="T2576" s="217"/>
      <c r="U2576" s="199"/>
      <c r="V2576" s="200"/>
      <c r="W2576" s="200"/>
      <c r="X2576" s="200"/>
      <c r="Y2576" s="200"/>
      <c r="Z2576" s="200"/>
      <c r="AA2576" s="201"/>
      <c r="AB2576" s="200"/>
      <c r="AC2576" s="200"/>
    </row>
    <row r="2577" ht="15.75" customHeight="1">
      <c r="A2577" s="210">
        <f t="shared" si="1"/>
        <v>2575</v>
      </c>
      <c r="B2577" s="217"/>
      <c r="C2577" s="217" t="str">
        <f>IFERROR(VLOOKUP(B2577, SourceData!$U$3:$V$190, 2, FALSE), "")</f>
        <v/>
      </c>
      <c r="D2577" s="240"/>
      <c r="E2577" s="241"/>
      <c r="F2577" s="248"/>
      <c r="G2577" s="207"/>
      <c r="H2577" s="209"/>
      <c r="I2577" s="209"/>
      <c r="J2577" s="209"/>
      <c r="K2577" s="208" t="str">
        <f>IF(Errors!$I2577=0,SourceData!$B$42,VLOOKUP(Errors!$I2577,SourceData!$A$2:$B$40,2,FALSE))</f>
        <v>Please select ERROR CODE column "I"</v>
      </c>
      <c r="L2577" s="207" t="str">
        <f>IF(Errors!$I2577=0,
    'List of Error Codes'!$E$29,
    IFERROR(VLOOKUP(Errors!$I2577, 'List of Error Codes'!D2576:I2606, 6, FALSE), 'List of Error Codes'!$E$29)
)</f>
        <v>Please select ERROR CODE column "I"</v>
      </c>
      <c r="M2577" s="209"/>
      <c r="N2577" s="209"/>
      <c r="O2577" s="209"/>
      <c r="P2577" s="209"/>
      <c r="Q2577" s="209"/>
      <c r="R2577" s="217"/>
      <c r="S2577" s="217"/>
      <c r="T2577" s="217"/>
      <c r="U2577" s="199"/>
      <c r="V2577" s="200"/>
      <c r="W2577" s="200"/>
      <c r="X2577" s="200"/>
      <c r="Y2577" s="200"/>
      <c r="Z2577" s="200"/>
      <c r="AA2577" s="201"/>
      <c r="AB2577" s="200"/>
      <c r="AC2577" s="200"/>
    </row>
    <row r="2578" ht="15.75" customHeight="1">
      <c r="A2578" s="210">
        <f t="shared" si="1"/>
        <v>2576</v>
      </c>
      <c r="B2578" s="217"/>
      <c r="C2578" s="217" t="str">
        <f>IFERROR(VLOOKUP(B2578, SourceData!$U$3:$V$190, 2, FALSE), "")</f>
        <v/>
      </c>
      <c r="D2578" s="240"/>
      <c r="E2578" s="241"/>
      <c r="F2578" s="248"/>
      <c r="G2578" s="207"/>
      <c r="H2578" s="209"/>
      <c r="I2578" s="209"/>
      <c r="J2578" s="209"/>
      <c r="K2578" s="208" t="str">
        <f>IF(Errors!$I2578=0,SourceData!$B$42,VLOOKUP(Errors!$I2578,SourceData!$A$2:$B$40,2,FALSE))</f>
        <v>Please select ERROR CODE column "I"</v>
      </c>
      <c r="L2578" s="207" t="str">
        <f>IF(Errors!$I2578=0,
    'List of Error Codes'!$E$29,
    IFERROR(VLOOKUP(Errors!$I2578, 'List of Error Codes'!D2577:I2607, 6, FALSE), 'List of Error Codes'!$E$29)
)</f>
        <v>Please select ERROR CODE column "I"</v>
      </c>
      <c r="M2578" s="209"/>
      <c r="N2578" s="209"/>
      <c r="O2578" s="209"/>
      <c r="P2578" s="209"/>
      <c r="Q2578" s="209"/>
      <c r="R2578" s="217"/>
      <c r="S2578" s="217"/>
      <c r="T2578" s="217"/>
      <c r="U2578" s="199"/>
      <c r="V2578" s="200"/>
      <c r="W2578" s="200"/>
      <c r="X2578" s="200"/>
      <c r="Y2578" s="200"/>
      <c r="Z2578" s="200"/>
      <c r="AA2578" s="201"/>
      <c r="AB2578" s="200"/>
      <c r="AC2578" s="200"/>
    </row>
    <row r="2579" ht="15.75" customHeight="1">
      <c r="A2579" s="210">
        <f t="shared" si="1"/>
        <v>2577</v>
      </c>
      <c r="B2579" s="217"/>
      <c r="C2579" s="217" t="str">
        <f>IFERROR(VLOOKUP(B2579, SourceData!$U$3:$V$190, 2, FALSE), "")</f>
        <v/>
      </c>
      <c r="D2579" s="240"/>
      <c r="E2579" s="241"/>
      <c r="F2579" s="248"/>
      <c r="G2579" s="207"/>
      <c r="H2579" s="209"/>
      <c r="I2579" s="209"/>
      <c r="J2579" s="209"/>
      <c r="K2579" s="208" t="str">
        <f>IF(Errors!$I2579=0,SourceData!$B$42,VLOOKUP(Errors!$I2579,SourceData!$A$2:$B$40,2,FALSE))</f>
        <v>Please select ERROR CODE column "I"</v>
      </c>
      <c r="L2579" s="207" t="str">
        <f>IF(Errors!$I2579=0,
    'List of Error Codes'!$E$29,
    IFERROR(VLOOKUP(Errors!$I2579, 'List of Error Codes'!D2578:I2608, 6, FALSE), 'List of Error Codes'!$E$29)
)</f>
        <v>Please select ERROR CODE column "I"</v>
      </c>
      <c r="M2579" s="209"/>
      <c r="N2579" s="209"/>
      <c r="O2579" s="209"/>
      <c r="P2579" s="209"/>
      <c r="Q2579" s="209"/>
      <c r="R2579" s="217"/>
      <c r="S2579" s="217"/>
      <c r="T2579" s="217"/>
      <c r="U2579" s="199"/>
      <c r="V2579" s="200"/>
      <c r="W2579" s="200"/>
      <c r="X2579" s="200"/>
      <c r="Y2579" s="200"/>
      <c r="Z2579" s="200"/>
      <c r="AA2579" s="201"/>
      <c r="AB2579" s="200"/>
      <c r="AC2579" s="200"/>
    </row>
    <row r="2580" ht="15.75" customHeight="1">
      <c r="A2580" s="210">
        <f t="shared" si="1"/>
        <v>2578</v>
      </c>
      <c r="B2580" s="217"/>
      <c r="C2580" s="217" t="str">
        <f>IFERROR(VLOOKUP(B2580, SourceData!$U$3:$V$190, 2, FALSE), "")</f>
        <v/>
      </c>
      <c r="D2580" s="240"/>
      <c r="E2580" s="241"/>
      <c r="F2580" s="248"/>
      <c r="G2580" s="207"/>
      <c r="H2580" s="209"/>
      <c r="I2580" s="209"/>
      <c r="J2580" s="209"/>
      <c r="K2580" s="208" t="str">
        <f>IF(Errors!$I2580=0,SourceData!$B$42,VLOOKUP(Errors!$I2580,SourceData!$A$2:$B$40,2,FALSE))</f>
        <v>Please select ERROR CODE column "I"</v>
      </c>
      <c r="L2580" s="207" t="str">
        <f>IF(Errors!$I2580=0,
    'List of Error Codes'!$E$29,
    IFERROR(VLOOKUP(Errors!$I2580, 'List of Error Codes'!D2579:I2609, 6, FALSE), 'List of Error Codes'!$E$29)
)</f>
        <v>Please select ERROR CODE column "I"</v>
      </c>
      <c r="M2580" s="209"/>
      <c r="N2580" s="209"/>
      <c r="O2580" s="209"/>
      <c r="P2580" s="209"/>
      <c r="Q2580" s="209"/>
      <c r="R2580" s="217"/>
      <c r="S2580" s="217"/>
      <c r="T2580" s="217"/>
      <c r="U2580" s="199"/>
      <c r="V2580" s="200"/>
      <c r="W2580" s="200"/>
      <c r="X2580" s="200"/>
      <c r="Y2580" s="200"/>
      <c r="Z2580" s="200"/>
      <c r="AA2580" s="201"/>
      <c r="AB2580" s="200"/>
      <c r="AC2580" s="200"/>
    </row>
    <row r="2581" ht="15.75" customHeight="1">
      <c r="A2581" s="210">
        <f t="shared" si="1"/>
        <v>2579</v>
      </c>
      <c r="B2581" s="217"/>
      <c r="C2581" s="217" t="str">
        <f>IFERROR(VLOOKUP(B2581, SourceData!$U$3:$V$190, 2, FALSE), "")</f>
        <v/>
      </c>
      <c r="D2581" s="240"/>
      <c r="E2581" s="241"/>
      <c r="F2581" s="248"/>
      <c r="G2581" s="207"/>
      <c r="H2581" s="209"/>
      <c r="I2581" s="209"/>
      <c r="J2581" s="209"/>
      <c r="K2581" s="208" t="str">
        <f>IF(Errors!$I2581=0,SourceData!$B$42,VLOOKUP(Errors!$I2581,SourceData!$A$2:$B$40,2,FALSE))</f>
        <v>Please select ERROR CODE column "I"</v>
      </c>
      <c r="L2581" s="207" t="str">
        <f>IF(Errors!$I2581=0,
    'List of Error Codes'!$E$29,
    IFERROR(VLOOKUP(Errors!$I2581, 'List of Error Codes'!D2580:I2610, 6, FALSE), 'List of Error Codes'!$E$29)
)</f>
        <v>Please select ERROR CODE column "I"</v>
      </c>
      <c r="M2581" s="209"/>
      <c r="N2581" s="209"/>
      <c r="O2581" s="209"/>
      <c r="P2581" s="209"/>
      <c r="Q2581" s="209"/>
      <c r="R2581" s="217"/>
      <c r="S2581" s="217"/>
      <c r="T2581" s="217"/>
      <c r="U2581" s="199"/>
      <c r="V2581" s="200"/>
      <c r="W2581" s="200"/>
      <c r="X2581" s="200"/>
      <c r="Y2581" s="200"/>
      <c r="Z2581" s="200"/>
      <c r="AA2581" s="201"/>
      <c r="AB2581" s="200"/>
      <c r="AC2581" s="200"/>
    </row>
    <row r="2582" ht="15.75" customHeight="1">
      <c r="A2582" s="210">
        <f t="shared" si="1"/>
        <v>2580</v>
      </c>
      <c r="B2582" s="217"/>
      <c r="C2582" s="217" t="str">
        <f>IFERROR(VLOOKUP(B2582, SourceData!$U$3:$V$190, 2, FALSE), "")</f>
        <v/>
      </c>
      <c r="D2582" s="240"/>
      <c r="E2582" s="241"/>
      <c r="F2582" s="248"/>
      <c r="G2582" s="207"/>
      <c r="H2582" s="209"/>
      <c r="I2582" s="209"/>
      <c r="J2582" s="209"/>
      <c r="K2582" s="208" t="str">
        <f>IF(Errors!$I2582=0,SourceData!$B$42,VLOOKUP(Errors!$I2582,SourceData!$A$2:$B$40,2,FALSE))</f>
        <v>Please select ERROR CODE column "I"</v>
      </c>
      <c r="L2582" s="207" t="str">
        <f>IF(Errors!$I2582=0,
    'List of Error Codes'!$E$29,
    IFERROR(VLOOKUP(Errors!$I2582, 'List of Error Codes'!D2581:I2611, 6, FALSE), 'List of Error Codes'!$E$29)
)</f>
        <v>Please select ERROR CODE column "I"</v>
      </c>
      <c r="M2582" s="209"/>
      <c r="N2582" s="209"/>
      <c r="O2582" s="209"/>
      <c r="P2582" s="209"/>
      <c r="Q2582" s="209"/>
      <c r="R2582" s="217"/>
      <c r="S2582" s="217"/>
      <c r="T2582" s="217"/>
      <c r="U2582" s="199"/>
      <c r="V2582" s="200"/>
      <c r="W2582" s="200"/>
      <c r="X2582" s="200"/>
      <c r="Y2582" s="200"/>
      <c r="Z2582" s="200"/>
      <c r="AA2582" s="201"/>
      <c r="AB2582" s="200"/>
      <c r="AC2582" s="200"/>
    </row>
    <row r="2583" ht="15.75" customHeight="1">
      <c r="A2583" s="210">
        <f t="shared" si="1"/>
        <v>2581</v>
      </c>
      <c r="B2583" s="217"/>
      <c r="C2583" s="217" t="str">
        <f>IFERROR(VLOOKUP(B2583, SourceData!$U$3:$V$190, 2, FALSE), "")</f>
        <v/>
      </c>
      <c r="D2583" s="240"/>
      <c r="E2583" s="241"/>
      <c r="F2583" s="248"/>
      <c r="G2583" s="207"/>
      <c r="H2583" s="209"/>
      <c r="I2583" s="209"/>
      <c r="J2583" s="209"/>
      <c r="K2583" s="208" t="str">
        <f>IF(Errors!$I2583=0,SourceData!$B$42,VLOOKUP(Errors!$I2583,SourceData!$A$2:$B$40,2,FALSE))</f>
        <v>Please select ERROR CODE column "I"</v>
      </c>
      <c r="L2583" s="207" t="str">
        <f>IF(Errors!$I2583=0,
    'List of Error Codes'!$E$29,
    IFERROR(VLOOKUP(Errors!$I2583, 'List of Error Codes'!D2582:I2612, 6, FALSE), 'List of Error Codes'!$E$29)
)</f>
        <v>Please select ERROR CODE column "I"</v>
      </c>
      <c r="M2583" s="209"/>
      <c r="N2583" s="209"/>
      <c r="O2583" s="209"/>
      <c r="P2583" s="209"/>
      <c r="Q2583" s="209"/>
      <c r="R2583" s="217"/>
      <c r="S2583" s="217"/>
      <c r="T2583" s="217"/>
      <c r="U2583" s="199"/>
      <c r="V2583" s="200"/>
      <c r="W2583" s="200"/>
      <c r="X2583" s="200"/>
      <c r="Y2583" s="200"/>
      <c r="Z2583" s="200"/>
      <c r="AA2583" s="201"/>
      <c r="AB2583" s="200"/>
      <c r="AC2583" s="200"/>
    </row>
    <row r="2584" ht="15.75" customHeight="1">
      <c r="A2584" s="210">
        <f t="shared" si="1"/>
        <v>2582</v>
      </c>
      <c r="B2584" s="217"/>
      <c r="C2584" s="217" t="str">
        <f>IFERROR(VLOOKUP(B2584, SourceData!$U$3:$V$190, 2, FALSE), "")</f>
        <v/>
      </c>
      <c r="D2584" s="240"/>
      <c r="E2584" s="241"/>
      <c r="F2584" s="248"/>
      <c r="G2584" s="207"/>
      <c r="H2584" s="209"/>
      <c r="I2584" s="209"/>
      <c r="J2584" s="209"/>
      <c r="K2584" s="208" t="str">
        <f>IF(Errors!$I2584=0,SourceData!$B$42,VLOOKUP(Errors!$I2584,SourceData!$A$2:$B$40,2,FALSE))</f>
        <v>Please select ERROR CODE column "I"</v>
      </c>
      <c r="L2584" s="207" t="str">
        <f>IF(Errors!$I2584=0,
    'List of Error Codes'!$E$29,
    IFERROR(VLOOKUP(Errors!$I2584, 'List of Error Codes'!D2583:I2613, 6, FALSE), 'List of Error Codes'!$E$29)
)</f>
        <v>Please select ERROR CODE column "I"</v>
      </c>
      <c r="M2584" s="209"/>
      <c r="N2584" s="209"/>
      <c r="O2584" s="209"/>
      <c r="P2584" s="209"/>
      <c r="Q2584" s="209"/>
      <c r="R2584" s="217"/>
      <c r="S2584" s="217"/>
      <c r="T2584" s="217"/>
      <c r="U2584" s="199"/>
      <c r="V2584" s="200"/>
      <c r="W2584" s="200"/>
      <c r="X2584" s="200"/>
      <c r="Y2584" s="200"/>
      <c r="Z2584" s="200"/>
      <c r="AA2584" s="201"/>
      <c r="AB2584" s="200"/>
      <c r="AC2584" s="200"/>
    </row>
    <row r="2585" ht="15.75" customHeight="1">
      <c r="A2585" s="210">
        <f t="shared" si="1"/>
        <v>2583</v>
      </c>
      <c r="B2585" s="217"/>
      <c r="C2585" s="217" t="str">
        <f>IFERROR(VLOOKUP(B2585, SourceData!$U$3:$V$190, 2, FALSE), "")</f>
        <v/>
      </c>
      <c r="D2585" s="240"/>
      <c r="E2585" s="241"/>
      <c r="F2585" s="248"/>
      <c r="G2585" s="207"/>
      <c r="H2585" s="209"/>
      <c r="I2585" s="209"/>
      <c r="J2585" s="209"/>
      <c r="K2585" s="208" t="str">
        <f>IF(Errors!$I2585=0,SourceData!$B$42,VLOOKUP(Errors!$I2585,SourceData!$A$2:$B$40,2,FALSE))</f>
        <v>Please select ERROR CODE column "I"</v>
      </c>
      <c r="L2585" s="207" t="str">
        <f>IF(Errors!$I2585=0,
    'List of Error Codes'!$E$29,
    IFERROR(VLOOKUP(Errors!$I2585, 'List of Error Codes'!D2584:I2614, 6, FALSE), 'List of Error Codes'!$E$29)
)</f>
        <v>Please select ERROR CODE column "I"</v>
      </c>
      <c r="M2585" s="209"/>
      <c r="N2585" s="209"/>
      <c r="O2585" s="209"/>
      <c r="P2585" s="209"/>
      <c r="Q2585" s="209"/>
      <c r="R2585" s="217"/>
      <c r="S2585" s="217"/>
      <c r="T2585" s="217"/>
      <c r="U2585" s="199"/>
      <c r="V2585" s="200"/>
      <c r="W2585" s="200"/>
      <c r="X2585" s="200"/>
      <c r="Y2585" s="200"/>
      <c r="Z2585" s="200"/>
      <c r="AA2585" s="201"/>
      <c r="AB2585" s="200"/>
      <c r="AC2585" s="200"/>
    </row>
    <row r="2586" ht="15.75" customHeight="1">
      <c r="A2586" s="210">
        <f t="shared" si="1"/>
        <v>2584</v>
      </c>
      <c r="B2586" s="217"/>
      <c r="C2586" s="217" t="str">
        <f>IFERROR(VLOOKUP(B2586, SourceData!$U$3:$V$190, 2, FALSE), "")</f>
        <v/>
      </c>
      <c r="D2586" s="240"/>
      <c r="E2586" s="241"/>
      <c r="F2586" s="248"/>
      <c r="G2586" s="207"/>
      <c r="H2586" s="209"/>
      <c r="I2586" s="209"/>
      <c r="J2586" s="209"/>
      <c r="K2586" s="208" t="str">
        <f>IF(Errors!$I2586=0,SourceData!$B$42,VLOOKUP(Errors!$I2586,SourceData!$A$2:$B$40,2,FALSE))</f>
        <v>Please select ERROR CODE column "I"</v>
      </c>
      <c r="L2586" s="207" t="str">
        <f>IF(Errors!$I2586=0,
    'List of Error Codes'!$E$29,
    IFERROR(VLOOKUP(Errors!$I2586, 'List of Error Codes'!D2585:I2615, 6, FALSE), 'List of Error Codes'!$E$29)
)</f>
        <v>Please select ERROR CODE column "I"</v>
      </c>
      <c r="M2586" s="209"/>
      <c r="N2586" s="209"/>
      <c r="O2586" s="209"/>
      <c r="P2586" s="209"/>
      <c r="Q2586" s="209"/>
      <c r="R2586" s="217"/>
      <c r="S2586" s="217"/>
      <c r="T2586" s="217"/>
      <c r="U2586" s="199"/>
      <c r="V2586" s="200"/>
      <c r="W2586" s="200"/>
      <c r="X2586" s="200"/>
      <c r="Y2586" s="200"/>
      <c r="Z2586" s="200"/>
      <c r="AA2586" s="201"/>
      <c r="AB2586" s="200"/>
      <c r="AC2586" s="200"/>
    </row>
    <row r="2587" ht="15.75" customHeight="1">
      <c r="A2587" s="210">
        <f t="shared" si="1"/>
        <v>2585</v>
      </c>
      <c r="B2587" s="217"/>
      <c r="C2587" s="217" t="str">
        <f>IFERROR(VLOOKUP(B2587, SourceData!$U$3:$V$190, 2, FALSE), "")</f>
        <v/>
      </c>
      <c r="D2587" s="240"/>
      <c r="E2587" s="241"/>
      <c r="F2587" s="248"/>
      <c r="G2587" s="207"/>
      <c r="H2587" s="209"/>
      <c r="I2587" s="209"/>
      <c r="J2587" s="209"/>
      <c r="K2587" s="208" t="str">
        <f>IF(Errors!$I2587=0,SourceData!$B$42,VLOOKUP(Errors!$I2587,SourceData!$A$2:$B$40,2,FALSE))</f>
        <v>Please select ERROR CODE column "I"</v>
      </c>
      <c r="L2587" s="207" t="str">
        <f>IF(Errors!$I2587=0,
    'List of Error Codes'!$E$29,
    IFERROR(VLOOKUP(Errors!$I2587, 'List of Error Codes'!D2586:I2616, 6, FALSE), 'List of Error Codes'!$E$29)
)</f>
        <v>Please select ERROR CODE column "I"</v>
      </c>
      <c r="M2587" s="209"/>
      <c r="N2587" s="209"/>
      <c r="O2587" s="209"/>
      <c r="P2587" s="209"/>
      <c r="Q2587" s="209"/>
      <c r="R2587" s="217"/>
      <c r="S2587" s="217"/>
      <c r="T2587" s="217"/>
      <c r="U2587" s="199"/>
      <c r="V2587" s="200"/>
      <c r="W2587" s="200"/>
      <c r="X2587" s="200"/>
      <c r="Y2587" s="200"/>
      <c r="Z2587" s="200"/>
      <c r="AA2587" s="201"/>
      <c r="AB2587" s="200"/>
      <c r="AC2587" s="200"/>
    </row>
    <row r="2588" ht="15.75" customHeight="1">
      <c r="A2588" s="210">
        <f t="shared" si="1"/>
        <v>2586</v>
      </c>
      <c r="B2588" s="217"/>
      <c r="C2588" s="217" t="str">
        <f>IFERROR(VLOOKUP(B2588, SourceData!$U$3:$V$190, 2, FALSE), "")</f>
        <v/>
      </c>
      <c r="D2588" s="240"/>
      <c r="E2588" s="241"/>
      <c r="F2588" s="248"/>
      <c r="G2588" s="207"/>
      <c r="H2588" s="209"/>
      <c r="I2588" s="209"/>
      <c r="J2588" s="209"/>
      <c r="K2588" s="208" t="str">
        <f>IF(Errors!$I2588=0,SourceData!$B$42,VLOOKUP(Errors!$I2588,SourceData!$A$2:$B$40,2,FALSE))</f>
        <v>Please select ERROR CODE column "I"</v>
      </c>
      <c r="L2588" s="207" t="str">
        <f>IF(Errors!$I2588=0,
    'List of Error Codes'!$E$29,
    IFERROR(VLOOKUP(Errors!$I2588, 'List of Error Codes'!D2587:I2617, 6, FALSE), 'List of Error Codes'!$E$29)
)</f>
        <v>Please select ERROR CODE column "I"</v>
      </c>
      <c r="M2588" s="209"/>
      <c r="N2588" s="209"/>
      <c r="O2588" s="209"/>
      <c r="P2588" s="209"/>
      <c r="Q2588" s="209"/>
      <c r="R2588" s="217"/>
      <c r="S2588" s="217"/>
      <c r="T2588" s="217"/>
      <c r="U2588" s="199"/>
      <c r="V2588" s="200"/>
      <c r="W2588" s="200"/>
      <c r="X2588" s="200"/>
      <c r="Y2588" s="200"/>
      <c r="Z2588" s="200"/>
      <c r="AA2588" s="201"/>
      <c r="AB2588" s="200"/>
      <c r="AC2588" s="200"/>
    </row>
    <row r="2589" ht="15.75" customHeight="1">
      <c r="A2589" s="210">
        <f t="shared" si="1"/>
        <v>2587</v>
      </c>
      <c r="B2589" s="217"/>
      <c r="C2589" s="217" t="str">
        <f>IFERROR(VLOOKUP(B2589, SourceData!$U$3:$V$190, 2, FALSE), "")</f>
        <v/>
      </c>
      <c r="D2589" s="240"/>
      <c r="E2589" s="241"/>
      <c r="F2589" s="248"/>
      <c r="G2589" s="207"/>
      <c r="H2589" s="209"/>
      <c r="I2589" s="209"/>
      <c r="J2589" s="209"/>
      <c r="K2589" s="208" t="str">
        <f>IF(Errors!$I2589=0,SourceData!$B$42,VLOOKUP(Errors!$I2589,SourceData!$A$2:$B$40,2,FALSE))</f>
        <v>Please select ERROR CODE column "I"</v>
      </c>
      <c r="L2589" s="207" t="str">
        <f>IF(Errors!$I2589=0,
    'List of Error Codes'!$E$29,
    IFERROR(VLOOKUP(Errors!$I2589, 'List of Error Codes'!D2588:I2618, 6, FALSE), 'List of Error Codes'!$E$29)
)</f>
        <v>Please select ERROR CODE column "I"</v>
      </c>
      <c r="M2589" s="209"/>
      <c r="N2589" s="209"/>
      <c r="O2589" s="209"/>
      <c r="P2589" s="209"/>
      <c r="Q2589" s="209"/>
      <c r="R2589" s="217"/>
      <c r="S2589" s="217"/>
      <c r="T2589" s="217"/>
      <c r="U2589" s="199"/>
      <c r="V2589" s="200"/>
      <c r="W2589" s="200"/>
      <c r="X2589" s="200"/>
      <c r="Y2589" s="200"/>
      <c r="Z2589" s="200"/>
      <c r="AA2589" s="201"/>
      <c r="AB2589" s="200"/>
      <c r="AC2589" s="200"/>
    </row>
    <row r="2590" ht="15.75" customHeight="1">
      <c r="A2590" s="210">
        <f t="shared" si="1"/>
        <v>2588</v>
      </c>
      <c r="B2590" s="217"/>
      <c r="C2590" s="217" t="str">
        <f>IFERROR(VLOOKUP(B2590, SourceData!$U$3:$V$190, 2, FALSE), "")</f>
        <v/>
      </c>
      <c r="D2590" s="240"/>
      <c r="E2590" s="241"/>
      <c r="F2590" s="248"/>
      <c r="G2590" s="207"/>
      <c r="H2590" s="209"/>
      <c r="I2590" s="209"/>
      <c r="J2590" s="209"/>
      <c r="K2590" s="208" t="str">
        <f>IF(Errors!$I2590=0,SourceData!$B$42,VLOOKUP(Errors!$I2590,SourceData!$A$2:$B$40,2,FALSE))</f>
        <v>Please select ERROR CODE column "I"</v>
      </c>
      <c r="L2590" s="207" t="str">
        <f>IF(Errors!$I2590=0,
    'List of Error Codes'!$E$29,
    IFERROR(VLOOKUP(Errors!$I2590, 'List of Error Codes'!D2589:I2619, 6, FALSE), 'List of Error Codes'!$E$29)
)</f>
        <v>Please select ERROR CODE column "I"</v>
      </c>
      <c r="M2590" s="209"/>
      <c r="N2590" s="209"/>
      <c r="O2590" s="209"/>
      <c r="P2590" s="209"/>
      <c r="Q2590" s="209"/>
      <c r="R2590" s="217"/>
      <c r="S2590" s="217"/>
      <c r="T2590" s="217"/>
      <c r="U2590" s="199"/>
      <c r="V2590" s="200"/>
      <c r="W2590" s="200"/>
      <c r="X2590" s="200"/>
      <c r="Y2590" s="200"/>
      <c r="Z2590" s="200"/>
      <c r="AA2590" s="201"/>
      <c r="AB2590" s="200"/>
      <c r="AC2590" s="200"/>
    </row>
    <row r="2591" ht="15.75" customHeight="1">
      <c r="A2591" s="210">
        <f t="shared" si="1"/>
        <v>2589</v>
      </c>
      <c r="B2591" s="217"/>
      <c r="C2591" s="217" t="str">
        <f>IFERROR(VLOOKUP(B2591, SourceData!$U$3:$V$190, 2, FALSE), "")</f>
        <v/>
      </c>
      <c r="D2591" s="240"/>
      <c r="E2591" s="241"/>
      <c r="F2591" s="248"/>
      <c r="G2591" s="207"/>
      <c r="H2591" s="209"/>
      <c r="I2591" s="209"/>
      <c r="J2591" s="209"/>
      <c r="K2591" s="208" t="str">
        <f>IF(Errors!$I2591=0,SourceData!$B$42,VLOOKUP(Errors!$I2591,SourceData!$A$2:$B$40,2,FALSE))</f>
        <v>Please select ERROR CODE column "I"</v>
      </c>
      <c r="L2591" s="207" t="str">
        <f>IF(Errors!$I2591=0,
    'List of Error Codes'!$E$29,
    IFERROR(VLOOKUP(Errors!$I2591, 'List of Error Codes'!D2590:I2620, 6, FALSE), 'List of Error Codes'!$E$29)
)</f>
        <v>Please select ERROR CODE column "I"</v>
      </c>
      <c r="M2591" s="209"/>
      <c r="N2591" s="209"/>
      <c r="O2591" s="209"/>
      <c r="P2591" s="209"/>
      <c r="Q2591" s="209"/>
      <c r="R2591" s="217"/>
      <c r="S2591" s="217"/>
      <c r="T2591" s="217"/>
      <c r="U2591" s="199"/>
      <c r="V2591" s="200"/>
      <c r="W2591" s="200"/>
      <c r="X2591" s="200"/>
      <c r="Y2591" s="200"/>
      <c r="Z2591" s="200"/>
      <c r="AA2591" s="201"/>
      <c r="AB2591" s="200"/>
      <c r="AC2591" s="200"/>
    </row>
    <row r="2592" ht="15.75" customHeight="1">
      <c r="A2592" s="210">
        <f t="shared" si="1"/>
        <v>2590</v>
      </c>
      <c r="B2592" s="217"/>
      <c r="C2592" s="217" t="str">
        <f>IFERROR(VLOOKUP(B2592, SourceData!$U$3:$V$190, 2, FALSE), "")</f>
        <v/>
      </c>
      <c r="D2592" s="240"/>
      <c r="E2592" s="241"/>
      <c r="F2592" s="248"/>
      <c r="G2592" s="207"/>
      <c r="H2592" s="209"/>
      <c r="I2592" s="209"/>
      <c r="J2592" s="209"/>
      <c r="K2592" s="208" t="str">
        <f>IF(Errors!$I2592=0,SourceData!$B$42,VLOOKUP(Errors!$I2592,SourceData!$A$2:$B$40,2,FALSE))</f>
        <v>Please select ERROR CODE column "I"</v>
      </c>
      <c r="L2592" s="207" t="str">
        <f>IF(Errors!$I2592=0,
    'List of Error Codes'!$E$29,
    IFERROR(VLOOKUP(Errors!$I2592, 'List of Error Codes'!D2591:I2621, 6, FALSE), 'List of Error Codes'!$E$29)
)</f>
        <v>Please select ERROR CODE column "I"</v>
      </c>
      <c r="M2592" s="209"/>
      <c r="N2592" s="209"/>
      <c r="O2592" s="209"/>
      <c r="P2592" s="209"/>
      <c r="Q2592" s="209"/>
      <c r="R2592" s="217"/>
      <c r="S2592" s="217"/>
      <c r="T2592" s="217"/>
      <c r="U2592" s="199"/>
      <c r="V2592" s="200"/>
      <c r="W2592" s="200"/>
      <c r="X2592" s="200"/>
      <c r="Y2592" s="200"/>
      <c r="Z2592" s="200"/>
      <c r="AA2592" s="201"/>
      <c r="AB2592" s="200"/>
      <c r="AC2592" s="200"/>
    </row>
    <row r="2593" ht="15.75" customHeight="1">
      <c r="A2593" s="210">
        <f t="shared" si="1"/>
        <v>2591</v>
      </c>
      <c r="B2593" s="217"/>
      <c r="C2593" s="217" t="str">
        <f>IFERROR(VLOOKUP(B2593, SourceData!$U$3:$V$190, 2, FALSE), "")</f>
        <v/>
      </c>
      <c r="D2593" s="240"/>
      <c r="E2593" s="241"/>
      <c r="F2593" s="248"/>
      <c r="G2593" s="207"/>
      <c r="H2593" s="209"/>
      <c r="I2593" s="209"/>
      <c r="J2593" s="209"/>
      <c r="K2593" s="208" t="str">
        <f>IF(Errors!$I2593=0,SourceData!$B$42,VLOOKUP(Errors!$I2593,SourceData!$A$2:$B$40,2,FALSE))</f>
        <v>Please select ERROR CODE column "I"</v>
      </c>
      <c r="L2593" s="207" t="str">
        <f>IF(Errors!$I2593=0,
    'List of Error Codes'!$E$29,
    IFERROR(VLOOKUP(Errors!$I2593, 'List of Error Codes'!D2592:I2622, 6, FALSE), 'List of Error Codes'!$E$29)
)</f>
        <v>Please select ERROR CODE column "I"</v>
      </c>
      <c r="M2593" s="209"/>
      <c r="N2593" s="209"/>
      <c r="O2593" s="209"/>
      <c r="P2593" s="209"/>
      <c r="Q2593" s="209"/>
      <c r="R2593" s="217"/>
      <c r="S2593" s="217"/>
      <c r="T2593" s="217"/>
      <c r="U2593" s="199"/>
      <c r="V2593" s="200"/>
      <c r="W2593" s="200"/>
      <c r="X2593" s="200"/>
      <c r="Y2593" s="200"/>
      <c r="Z2593" s="200"/>
      <c r="AA2593" s="201"/>
      <c r="AB2593" s="200"/>
      <c r="AC2593" s="200"/>
    </row>
    <row r="2594" ht="15.75" customHeight="1">
      <c r="A2594" s="210">
        <f t="shared" si="1"/>
        <v>2592</v>
      </c>
      <c r="B2594" s="217"/>
      <c r="C2594" s="217" t="str">
        <f>IFERROR(VLOOKUP(B2594, SourceData!$U$3:$V$190, 2, FALSE), "")</f>
        <v/>
      </c>
      <c r="D2594" s="240"/>
      <c r="E2594" s="241"/>
      <c r="F2594" s="248"/>
      <c r="G2594" s="207"/>
      <c r="H2594" s="209"/>
      <c r="I2594" s="209"/>
      <c r="J2594" s="209"/>
      <c r="K2594" s="208" t="str">
        <f>IF(Errors!$I2594=0,SourceData!$B$42,VLOOKUP(Errors!$I2594,SourceData!$A$2:$B$40,2,FALSE))</f>
        <v>Please select ERROR CODE column "I"</v>
      </c>
      <c r="L2594" s="207" t="str">
        <f>IF(Errors!$I2594=0,
    'List of Error Codes'!$E$29,
    IFERROR(VLOOKUP(Errors!$I2594, 'List of Error Codes'!D2593:I2623, 6, FALSE), 'List of Error Codes'!$E$29)
)</f>
        <v>Please select ERROR CODE column "I"</v>
      </c>
      <c r="M2594" s="209"/>
      <c r="N2594" s="209"/>
      <c r="O2594" s="209"/>
      <c r="P2594" s="209"/>
      <c r="Q2594" s="209"/>
      <c r="R2594" s="217"/>
      <c r="S2594" s="217"/>
      <c r="T2594" s="217"/>
      <c r="U2594" s="199"/>
      <c r="V2594" s="200"/>
      <c r="W2594" s="200"/>
      <c r="X2594" s="200"/>
      <c r="Y2594" s="200"/>
      <c r="Z2594" s="200"/>
      <c r="AA2594" s="201"/>
      <c r="AB2594" s="200"/>
      <c r="AC2594" s="200"/>
    </row>
    <row r="2595" ht="15.75" customHeight="1">
      <c r="A2595" s="210">
        <f t="shared" si="1"/>
        <v>2593</v>
      </c>
      <c r="B2595" s="217"/>
      <c r="C2595" s="217" t="str">
        <f>IFERROR(VLOOKUP(B2595, SourceData!$U$3:$V$190, 2, FALSE), "")</f>
        <v/>
      </c>
      <c r="D2595" s="240"/>
      <c r="E2595" s="241"/>
      <c r="F2595" s="248"/>
      <c r="G2595" s="207"/>
      <c r="H2595" s="209"/>
      <c r="I2595" s="209"/>
      <c r="J2595" s="209"/>
      <c r="K2595" s="208" t="str">
        <f>IF(Errors!$I2595=0,SourceData!$B$42,VLOOKUP(Errors!$I2595,SourceData!$A$2:$B$40,2,FALSE))</f>
        <v>Please select ERROR CODE column "I"</v>
      </c>
      <c r="L2595" s="207" t="str">
        <f>IF(Errors!$I2595=0,
    'List of Error Codes'!$E$29,
    IFERROR(VLOOKUP(Errors!$I2595, 'List of Error Codes'!D2594:I2624, 6, FALSE), 'List of Error Codes'!$E$29)
)</f>
        <v>Please select ERROR CODE column "I"</v>
      </c>
      <c r="M2595" s="209"/>
      <c r="N2595" s="209"/>
      <c r="O2595" s="209"/>
      <c r="P2595" s="209"/>
      <c r="Q2595" s="209"/>
      <c r="R2595" s="217"/>
      <c r="S2595" s="217"/>
      <c r="T2595" s="217"/>
      <c r="U2595" s="199"/>
      <c r="V2595" s="200"/>
      <c r="W2595" s="200"/>
      <c r="X2595" s="200"/>
      <c r="Y2595" s="200"/>
      <c r="Z2595" s="200"/>
      <c r="AA2595" s="201"/>
      <c r="AB2595" s="200"/>
      <c r="AC2595" s="200"/>
    </row>
    <row r="2596" ht="15.75" customHeight="1">
      <c r="A2596" s="210">
        <f t="shared" si="1"/>
        <v>2594</v>
      </c>
      <c r="B2596" s="217"/>
      <c r="C2596" s="217" t="str">
        <f>IFERROR(VLOOKUP(B2596, SourceData!$U$3:$V$190, 2, FALSE), "")</f>
        <v/>
      </c>
      <c r="D2596" s="240"/>
      <c r="E2596" s="241"/>
      <c r="F2596" s="248"/>
      <c r="G2596" s="207"/>
      <c r="H2596" s="209"/>
      <c r="I2596" s="209"/>
      <c r="J2596" s="209"/>
      <c r="K2596" s="208" t="str">
        <f>IF(Errors!$I2596=0,SourceData!$B$42,VLOOKUP(Errors!$I2596,SourceData!$A$2:$B$40,2,FALSE))</f>
        <v>Please select ERROR CODE column "I"</v>
      </c>
      <c r="L2596" s="207" t="str">
        <f>IF(Errors!$I2596=0,
    'List of Error Codes'!$E$29,
    IFERROR(VLOOKUP(Errors!$I2596, 'List of Error Codes'!D2595:I2625, 6, FALSE), 'List of Error Codes'!$E$29)
)</f>
        <v>Please select ERROR CODE column "I"</v>
      </c>
      <c r="M2596" s="209"/>
      <c r="N2596" s="209"/>
      <c r="O2596" s="209"/>
      <c r="P2596" s="209"/>
      <c r="Q2596" s="209"/>
      <c r="R2596" s="217"/>
      <c r="S2596" s="217"/>
      <c r="T2596" s="217"/>
      <c r="U2596" s="199"/>
      <c r="V2596" s="200"/>
      <c r="W2596" s="200"/>
      <c r="X2596" s="200"/>
      <c r="Y2596" s="200"/>
      <c r="Z2596" s="200"/>
      <c r="AA2596" s="201"/>
      <c r="AB2596" s="200"/>
      <c r="AC2596" s="200"/>
    </row>
    <row r="2597" ht="15.75" customHeight="1">
      <c r="A2597" s="210">
        <f t="shared" si="1"/>
        <v>2595</v>
      </c>
      <c r="B2597" s="217"/>
      <c r="C2597" s="217" t="str">
        <f>IFERROR(VLOOKUP(B2597, SourceData!$U$3:$V$190, 2, FALSE), "")</f>
        <v/>
      </c>
      <c r="D2597" s="240"/>
      <c r="E2597" s="241"/>
      <c r="F2597" s="248"/>
      <c r="G2597" s="207"/>
      <c r="H2597" s="209"/>
      <c r="I2597" s="209"/>
      <c r="J2597" s="209"/>
      <c r="K2597" s="208" t="str">
        <f>IF(Errors!$I2597=0,SourceData!$B$42,VLOOKUP(Errors!$I2597,SourceData!$A$2:$B$40,2,FALSE))</f>
        <v>Please select ERROR CODE column "I"</v>
      </c>
      <c r="L2597" s="207" t="str">
        <f>IF(Errors!$I2597=0,
    'List of Error Codes'!$E$29,
    IFERROR(VLOOKUP(Errors!$I2597, 'List of Error Codes'!D2596:I2626, 6, FALSE), 'List of Error Codes'!$E$29)
)</f>
        <v>Please select ERROR CODE column "I"</v>
      </c>
      <c r="M2597" s="209"/>
      <c r="N2597" s="209"/>
      <c r="O2597" s="209"/>
      <c r="P2597" s="209"/>
      <c r="Q2597" s="209"/>
      <c r="R2597" s="217"/>
      <c r="S2597" s="217"/>
      <c r="T2597" s="217"/>
      <c r="U2597" s="199"/>
      <c r="V2597" s="200"/>
      <c r="W2597" s="200"/>
      <c r="X2597" s="200"/>
      <c r="Y2597" s="200"/>
      <c r="Z2597" s="200"/>
      <c r="AA2597" s="201"/>
      <c r="AB2597" s="200"/>
      <c r="AC2597" s="200"/>
    </row>
    <row r="2598" ht="15.75" customHeight="1">
      <c r="A2598" s="210">
        <f t="shared" si="1"/>
        <v>2596</v>
      </c>
      <c r="B2598" s="217"/>
      <c r="C2598" s="217" t="str">
        <f>IFERROR(VLOOKUP(B2598, SourceData!$U$3:$V$190, 2, FALSE), "")</f>
        <v/>
      </c>
      <c r="D2598" s="240"/>
      <c r="E2598" s="241"/>
      <c r="F2598" s="248"/>
      <c r="G2598" s="207"/>
      <c r="H2598" s="209"/>
      <c r="I2598" s="209"/>
      <c r="J2598" s="209"/>
      <c r="K2598" s="208" t="str">
        <f>IF(Errors!$I2598=0,SourceData!$B$42,VLOOKUP(Errors!$I2598,SourceData!$A$2:$B$40,2,FALSE))</f>
        <v>Please select ERROR CODE column "I"</v>
      </c>
      <c r="L2598" s="207" t="str">
        <f>IF(Errors!$I2598=0,
    'List of Error Codes'!$E$29,
    IFERROR(VLOOKUP(Errors!$I2598, 'List of Error Codes'!D2597:I2627, 6, FALSE), 'List of Error Codes'!$E$29)
)</f>
        <v>Please select ERROR CODE column "I"</v>
      </c>
      <c r="M2598" s="209"/>
      <c r="N2598" s="209"/>
      <c r="O2598" s="209"/>
      <c r="P2598" s="209"/>
      <c r="Q2598" s="209"/>
      <c r="R2598" s="217"/>
      <c r="S2598" s="217"/>
      <c r="T2598" s="217"/>
      <c r="U2598" s="199"/>
      <c r="V2598" s="200"/>
      <c r="W2598" s="200"/>
      <c r="X2598" s="200"/>
      <c r="Y2598" s="200"/>
      <c r="Z2598" s="200"/>
      <c r="AA2598" s="201"/>
      <c r="AB2598" s="200"/>
      <c r="AC2598" s="200"/>
    </row>
    <row r="2599" ht="15.75" customHeight="1">
      <c r="A2599" s="210">
        <f t="shared" si="1"/>
        <v>2597</v>
      </c>
      <c r="B2599" s="217"/>
      <c r="C2599" s="217" t="str">
        <f>IFERROR(VLOOKUP(B2599, SourceData!$U$3:$V$190, 2, FALSE), "")</f>
        <v/>
      </c>
      <c r="D2599" s="240"/>
      <c r="E2599" s="241"/>
      <c r="F2599" s="248"/>
      <c r="G2599" s="207"/>
      <c r="H2599" s="209"/>
      <c r="I2599" s="209"/>
      <c r="J2599" s="209"/>
      <c r="K2599" s="208" t="str">
        <f>IF(Errors!$I2599=0,SourceData!$B$42,VLOOKUP(Errors!$I2599,SourceData!$A$2:$B$40,2,FALSE))</f>
        <v>Please select ERROR CODE column "I"</v>
      </c>
      <c r="L2599" s="207" t="str">
        <f>IF(Errors!$I2599=0,
    'List of Error Codes'!$E$29,
    IFERROR(VLOOKUP(Errors!$I2599, 'List of Error Codes'!D2598:I2628, 6, FALSE), 'List of Error Codes'!$E$29)
)</f>
        <v>Please select ERROR CODE column "I"</v>
      </c>
      <c r="M2599" s="209"/>
      <c r="N2599" s="209"/>
      <c r="O2599" s="209"/>
      <c r="P2599" s="209"/>
      <c r="Q2599" s="209"/>
      <c r="R2599" s="217"/>
      <c r="S2599" s="217"/>
      <c r="T2599" s="217"/>
      <c r="U2599" s="199"/>
      <c r="V2599" s="200"/>
      <c r="W2599" s="200"/>
      <c r="X2599" s="200"/>
      <c r="Y2599" s="200"/>
      <c r="Z2599" s="200"/>
      <c r="AA2599" s="201"/>
      <c r="AB2599" s="200"/>
      <c r="AC2599" s="200"/>
    </row>
    <row r="2600" ht="15.75" customHeight="1">
      <c r="A2600" s="210">
        <f t="shared" si="1"/>
        <v>2598</v>
      </c>
      <c r="B2600" s="217"/>
      <c r="C2600" s="217" t="str">
        <f>IFERROR(VLOOKUP(B2600, SourceData!$U$3:$V$190, 2, FALSE), "")</f>
        <v/>
      </c>
      <c r="D2600" s="240"/>
      <c r="E2600" s="241"/>
      <c r="F2600" s="248"/>
      <c r="G2600" s="207"/>
      <c r="H2600" s="209"/>
      <c r="I2600" s="209"/>
      <c r="J2600" s="209"/>
      <c r="K2600" s="208" t="str">
        <f>IF(Errors!$I2600=0,SourceData!$B$42,VLOOKUP(Errors!$I2600,SourceData!$A$2:$B$40,2,FALSE))</f>
        <v>Please select ERROR CODE column "I"</v>
      </c>
      <c r="L2600" s="207" t="str">
        <f>IF(Errors!$I2600=0,
    'List of Error Codes'!$E$29,
    IFERROR(VLOOKUP(Errors!$I2600, 'List of Error Codes'!D2599:I2629, 6, FALSE), 'List of Error Codes'!$E$29)
)</f>
        <v>Please select ERROR CODE column "I"</v>
      </c>
      <c r="M2600" s="209"/>
      <c r="N2600" s="209"/>
      <c r="O2600" s="209"/>
      <c r="P2600" s="209"/>
      <c r="Q2600" s="209"/>
      <c r="R2600" s="217"/>
      <c r="S2600" s="217"/>
      <c r="T2600" s="217"/>
      <c r="U2600" s="199"/>
      <c r="V2600" s="200"/>
      <c r="W2600" s="200"/>
      <c r="X2600" s="200"/>
      <c r="Y2600" s="200"/>
      <c r="Z2600" s="200"/>
      <c r="AA2600" s="201"/>
      <c r="AB2600" s="200"/>
      <c r="AC2600" s="200"/>
    </row>
    <row r="2601" ht="15.75" customHeight="1">
      <c r="A2601" s="210">
        <f t="shared" si="1"/>
        <v>2599</v>
      </c>
      <c r="B2601" s="217"/>
      <c r="C2601" s="217" t="str">
        <f>IFERROR(VLOOKUP(B2601, SourceData!$U$3:$V$190, 2, FALSE), "")</f>
        <v/>
      </c>
      <c r="D2601" s="240"/>
      <c r="E2601" s="241"/>
      <c r="F2601" s="248"/>
      <c r="G2601" s="207"/>
      <c r="H2601" s="209"/>
      <c r="I2601" s="209"/>
      <c r="J2601" s="209"/>
      <c r="K2601" s="208" t="str">
        <f>IF(Errors!$I2601=0,SourceData!$B$42,VLOOKUP(Errors!$I2601,SourceData!$A$2:$B$40,2,FALSE))</f>
        <v>Please select ERROR CODE column "I"</v>
      </c>
      <c r="L2601" s="207" t="str">
        <f>IF(Errors!$I2601=0,
    'List of Error Codes'!$E$29,
    IFERROR(VLOOKUP(Errors!$I2601, 'List of Error Codes'!D2600:I2630, 6, FALSE), 'List of Error Codes'!$E$29)
)</f>
        <v>Please select ERROR CODE column "I"</v>
      </c>
      <c r="M2601" s="209"/>
      <c r="N2601" s="209"/>
      <c r="O2601" s="209"/>
      <c r="P2601" s="209"/>
      <c r="Q2601" s="209"/>
      <c r="R2601" s="217"/>
      <c r="S2601" s="217"/>
      <c r="T2601" s="217"/>
      <c r="U2601" s="199"/>
      <c r="V2601" s="200"/>
      <c r="W2601" s="200"/>
      <c r="X2601" s="200"/>
      <c r="Y2601" s="200"/>
      <c r="Z2601" s="200"/>
      <c r="AA2601" s="201"/>
      <c r="AB2601" s="200"/>
      <c r="AC2601" s="200"/>
    </row>
    <row r="2602" ht="15.75" customHeight="1">
      <c r="A2602" s="210">
        <f t="shared" si="1"/>
        <v>2600</v>
      </c>
      <c r="B2602" s="217"/>
      <c r="C2602" s="217" t="str">
        <f>IFERROR(VLOOKUP(B2602, SourceData!$U$3:$V$190, 2, FALSE), "")</f>
        <v/>
      </c>
      <c r="D2602" s="240"/>
      <c r="E2602" s="241"/>
      <c r="F2602" s="248"/>
      <c r="G2602" s="207"/>
      <c r="H2602" s="209"/>
      <c r="I2602" s="209"/>
      <c r="J2602" s="209"/>
      <c r="K2602" s="208" t="str">
        <f>IF(Errors!$I2602=0,SourceData!$B$42,VLOOKUP(Errors!$I2602,SourceData!$A$2:$B$40,2,FALSE))</f>
        <v>Please select ERROR CODE column "I"</v>
      </c>
      <c r="L2602" s="207" t="str">
        <f>IF(Errors!$I2602=0,
    'List of Error Codes'!$E$29,
    IFERROR(VLOOKUP(Errors!$I2602, 'List of Error Codes'!D2601:I2631, 6, FALSE), 'List of Error Codes'!$E$29)
)</f>
        <v>Please select ERROR CODE column "I"</v>
      </c>
      <c r="M2602" s="209"/>
      <c r="N2602" s="209"/>
      <c r="O2602" s="209"/>
      <c r="P2602" s="209"/>
      <c r="Q2602" s="209"/>
      <c r="R2602" s="217"/>
      <c r="S2602" s="217"/>
      <c r="T2602" s="217"/>
      <c r="U2602" s="199"/>
      <c r="V2602" s="200"/>
      <c r="W2602" s="200"/>
      <c r="X2602" s="200"/>
      <c r="Y2602" s="200"/>
      <c r="Z2602" s="200"/>
      <c r="AA2602" s="201"/>
      <c r="AB2602" s="200"/>
      <c r="AC2602" s="200"/>
    </row>
    <row r="2603" ht="15.75" customHeight="1">
      <c r="A2603" s="210">
        <f t="shared" si="1"/>
        <v>2601</v>
      </c>
      <c r="B2603" s="217"/>
      <c r="C2603" s="217" t="str">
        <f>IFERROR(VLOOKUP(B2603, SourceData!$U$3:$V$190, 2, FALSE), "")</f>
        <v/>
      </c>
      <c r="D2603" s="240"/>
      <c r="E2603" s="241"/>
      <c r="F2603" s="248"/>
      <c r="G2603" s="207"/>
      <c r="H2603" s="209"/>
      <c r="I2603" s="209"/>
      <c r="J2603" s="209"/>
      <c r="K2603" s="208" t="str">
        <f>IF(Errors!$I2603=0,SourceData!$B$42,VLOOKUP(Errors!$I2603,SourceData!$A$2:$B$40,2,FALSE))</f>
        <v>Please select ERROR CODE column "I"</v>
      </c>
      <c r="L2603" s="207" t="str">
        <f>IF(Errors!$I2603=0,
    'List of Error Codes'!$E$29,
    IFERROR(VLOOKUP(Errors!$I2603, 'List of Error Codes'!D2602:I2632, 6, FALSE), 'List of Error Codes'!$E$29)
)</f>
        <v>Please select ERROR CODE column "I"</v>
      </c>
      <c r="M2603" s="209"/>
      <c r="N2603" s="209"/>
      <c r="O2603" s="209"/>
      <c r="P2603" s="209"/>
      <c r="Q2603" s="209"/>
      <c r="R2603" s="217"/>
      <c r="S2603" s="217"/>
      <c r="T2603" s="217"/>
      <c r="U2603" s="199"/>
      <c r="V2603" s="200"/>
      <c r="W2603" s="200"/>
      <c r="X2603" s="200"/>
      <c r="Y2603" s="200"/>
      <c r="Z2603" s="200"/>
      <c r="AA2603" s="201"/>
      <c r="AB2603" s="200"/>
      <c r="AC2603" s="200"/>
    </row>
    <row r="2604" ht="15.75" customHeight="1">
      <c r="A2604" s="210">
        <f t="shared" si="1"/>
        <v>2602</v>
      </c>
      <c r="B2604" s="217"/>
      <c r="C2604" s="217" t="str">
        <f>IFERROR(VLOOKUP(B2604, SourceData!$U$3:$V$190, 2, FALSE), "")</f>
        <v/>
      </c>
      <c r="D2604" s="240"/>
      <c r="E2604" s="241"/>
      <c r="F2604" s="248"/>
      <c r="G2604" s="207"/>
      <c r="H2604" s="209"/>
      <c r="I2604" s="209"/>
      <c r="J2604" s="209"/>
      <c r="K2604" s="208" t="str">
        <f>IF(Errors!$I2604=0,SourceData!$B$42,VLOOKUP(Errors!$I2604,SourceData!$A$2:$B$40,2,FALSE))</f>
        <v>Please select ERROR CODE column "I"</v>
      </c>
      <c r="L2604" s="207" t="str">
        <f>IF(Errors!$I2604=0,
    'List of Error Codes'!$E$29,
    IFERROR(VLOOKUP(Errors!$I2604, 'List of Error Codes'!D2603:I2633, 6, FALSE), 'List of Error Codes'!$E$29)
)</f>
        <v>Please select ERROR CODE column "I"</v>
      </c>
      <c r="M2604" s="209"/>
      <c r="N2604" s="209"/>
      <c r="O2604" s="209"/>
      <c r="P2604" s="209"/>
      <c r="Q2604" s="209"/>
      <c r="R2604" s="217"/>
      <c r="S2604" s="217"/>
      <c r="T2604" s="217"/>
      <c r="U2604" s="199"/>
      <c r="V2604" s="200"/>
      <c r="W2604" s="200"/>
      <c r="X2604" s="200"/>
      <c r="Y2604" s="200"/>
      <c r="Z2604" s="200"/>
      <c r="AA2604" s="201"/>
      <c r="AB2604" s="200"/>
      <c r="AC2604" s="200"/>
    </row>
    <row r="2605" ht="15.75" customHeight="1">
      <c r="A2605" s="210">
        <f t="shared" si="1"/>
        <v>2603</v>
      </c>
      <c r="B2605" s="217"/>
      <c r="C2605" s="217" t="str">
        <f>IFERROR(VLOOKUP(B2605, SourceData!$U$3:$V$190, 2, FALSE), "")</f>
        <v/>
      </c>
      <c r="D2605" s="240"/>
      <c r="E2605" s="241"/>
      <c r="F2605" s="248"/>
      <c r="G2605" s="207"/>
      <c r="H2605" s="209"/>
      <c r="I2605" s="209"/>
      <c r="J2605" s="209"/>
      <c r="K2605" s="208" t="str">
        <f>IF(Errors!$I2605=0,SourceData!$B$42,VLOOKUP(Errors!$I2605,SourceData!$A$2:$B$40,2,FALSE))</f>
        <v>Please select ERROR CODE column "I"</v>
      </c>
      <c r="L2605" s="207" t="str">
        <f>IF(Errors!$I2605=0,
    'List of Error Codes'!$E$29,
    IFERROR(VLOOKUP(Errors!$I2605, 'List of Error Codes'!D2604:I2634, 6, FALSE), 'List of Error Codes'!$E$29)
)</f>
        <v>Please select ERROR CODE column "I"</v>
      </c>
      <c r="M2605" s="209"/>
      <c r="N2605" s="209"/>
      <c r="O2605" s="209"/>
      <c r="P2605" s="209"/>
      <c r="Q2605" s="209"/>
      <c r="R2605" s="217"/>
      <c r="S2605" s="217"/>
      <c r="T2605" s="217"/>
      <c r="U2605" s="199"/>
      <c r="V2605" s="200"/>
      <c r="W2605" s="200"/>
      <c r="X2605" s="200"/>
      <c r="Y2605" s="200"/>
      <c r="Z2605" s="200"/>
      <c r="AA2605" s="201"/>
      <c r="AB2605" s="200"/>
      <c r="AC2605" s="200"/>
    </row>
    <row r="2606" ht="15.75" customHeight="1">
      <c r="A2606" s="210">
        <f t="shared" si="1"/>
        <v>2604</v>
      </c>
      <c r="B2606" s="217"/>
      <c r="C2606" s="217" t="str">
        <f>IFERROR(VLOOKUP(B2606, SourceData!$U$3:$V$190, 2, FALSE), "")</f>
        <v/>
      </c>
      <c r="D2606" s="240"/>
      <c r="E2606" s="241"/>
      <c r="F2606" s="248"/>
      <c r="G2606" s="207"/>
      <c r="H2606" s="209"/>
      <c r="I2606" s="209"/>
      <c r="J2606" s="209"/>
      <c r="K2606" s="208" t="str">
        <f>IF(Errors!$I2606=0,SourceData!$B$42,VLOOKUP(Errors!$I2606,SourceData!$A$2:$B$40,2,FALSE))</f>
        <v>Please select ERROR CODE column "I"</v>
      </c>
      <c r="L2606" s="207" t="str">
        <f>IF(Errors!$I2606=0,
    'List of Error Codes'!$E$29,
    IFERROR(VLOOKUP(Errors!$I2606, 'List of Error Codes'!D2605:I2635, 6, FALSE), 'List of Error Codes'!$E$29)
)</f>
        <v>Please select ERROR CODE column "I"</v>
      </c>
      <c r="M2606" s="209"/>
      <c r="N2606" s="209"/>
      <c r="O2606" s="209"/>
      <c r="P2606" s="209"/>
      <c r="Q2606" s="209"/>
      <c r="R2606" s="217"/>
      <c r="S2606" s="217"/>
      <c r="T2606" s="217"/>
      <c r="U2606" s="199"/>
      <c r="V2606" s="200"/>
      <c r="W2606" s="200"/>
      <c r="X2606" s="200"/>
      <c r="Y2606" s="200"/>
      <c r="Z2606" s="200"/>
      <c r="AA2606" s="201"/>
      <c r="AB2606" s="200"/>
      <c r="AC2606" s="200"/>
    </row>
    <row r="2607" ht="15.75" customHeight="1">
      <c r="A2607" s="210">
        <f t="shared" si="1"/>
        <v>2605</v>
      </c>
      <c r="B2607" s="217"/>
      <c r="C2607" s="217" t="str">
        <f>IFERROR(VLOOKUP(B2607, SourceData!$U$3:$V$190, 2, FALSE), "")</f>
        <v/>
      </c>
      <c r="D2607" s="240"/>
      <c r="E2607" s="241"/>
      <c r="F2607" s="248"/>
      <c r="G2607" s="207"/>
      <c r="H2607" s="209"/>
      <c r="I2607" s="209"/>
      <c r="J2607" s="209"/>
      <c r="K2607" s="208" t="str">
        <f>IF(Errors!$I2607=0,SourceData!$B$42,VLOOKUP(Errors!$I2607,SourceData!$A$2:$B$40,2,FALSE))</f>
        <v>Please select ERROR CODE column "I"</v>
      </c>
      <c r="L2607" s="207" t="str">
        <f>IF(Errors!$I2607=0,
    'List of Error Codes'!$E$29,
    IFERROR(VLOOKUP(Errors!$I2607, 'List of Error Codes'!D2606:I2636, 6, FALSE), 'List of Error Codes'!$E$29)
)</f>
        <v>Please select ERROR CODE column "I"</v>
      </c>
      <c r="M2607" s="209"/>
      <c r="N2607" s="209"/>
      <c r="O2607" s="209"/>
      <c r="P2607" s="209"/>
      <c r="Q2607" s="209"/>
      <c r="R2607" s="217"/>
      <c r="S2607" s="217"/>
      <c r="T2607" s="217"/>
      <c r="U2607" s="199"/>
      <c r="V2607" s="200"/>
      <c r="W2607" s="200"/>
      <c r="X2607" s="200"/>
      <c r="Y2607" s="200"/>
      <c r="Z2607" s="200"/>
      <c r="AA2607" s="201"/>
      <c r="AB2607" s="200"/>
      <c r="AC2607" s="200"/>
    </row>
    <row r="2608" ht="15.75" customHeight="1">
      <c r="A2608" s="210">
        <f t="shared" si="1"/>
        <v>2606</v>
      </c>
      <c r="B2608" s="217"/>
      <c r="C2608" s="217" t="str">
        <f>IFERROR(VLOOKUP(B2608, SourceData!$U$3:$V$190, 2, FALSE), "")</f>
        <v/>
      </c>
      <c r="D2608" s="240"/>
      <c r="E2608" s="241"/>
      <c r="F2608" s="248"/>
      <c r="G2608" s="207"/>
      <c r="H2608" s="209"/>
      <c r="I2608" s="209"/>
      <c r="J2608" s="209"/>
      <c r="K2608" s="208" t="str">
        <f>IF(Errors!$I2608=0,SourceData!$B$42,VLOOKUP(Errors!$I2608,SourceData!$A$2:$B$40,2,FALSE))</f>
        <v>Please select ERROR CODE column "I"</v>
      </c>
      <c r="L2608" s="207" t="str">
        <f>IF(Errors!$I2608=0,
    'List of Error Codes'!$E$29,
    IFERROR(VLOOKUP(Errors!$I2608, 'List of Error Codes'!D2607:I2637, 6, FALSE), 'List of Error Codes'!$E$29)
)</f>
        <v>Please select ERROR CODE column "I"</v>
      </c>
      <c r="M2608" s="209"/>
      <c r="N2608" s="209"/>
      <c r="O2608" s="209"/>
      <c r="P2608" s="209"/>
      <c r="Q2608" s="209"/>
      <c r="R2608" s="217"/>
      <c r="S2608" s="217"/>
      <c r="T2608" s="217"/>
      <c r="U2608" s="199"/>
      <c r="V2608" s="200"/>
      <c r="W2608" s="200"/>
      <c r="X2608" s="200"/>
      <c r="Y2608" s="200"/>
      <c r="Z2608" s="200"/>
      <c r="AA2608" s="201"/>
      <c r="AB2608" s="200"/>
      <c r="AC2608" s="200"/>
    </row>
    <row r="2609" ht="15.75" customHeight="1">
      <c r="A2609" s="210">
        <f t="shared" si="1"/>
        <v>2607</v>
      </c>
      <c r="B2609" s="217"/>
      <c r="C2609" s="217" t="str">
        <f>IFERROR(VLOOKUP(B2609, SourceData!$U$3:$V$190, 2, FALSE), "")</f>
        <v/>
      </c>
      <c r="D2609" s="240"/>
      <c r="E2609" s="241"/>
      <c r="F2609" s="248"/>
      <c r="G2609" s="207"/>
      <c r="H2609" s="209"/>
      <c r="I2609" s="209"/>
      <c r="J2609" s="209"/>
      <c r="K2609" s="208" t="str">
        <f>IF(Errors!$I2609=0,SourceData!$B$42,VLOOKUP(Errors!$I2609,SourceData!$A$2:$B$40,2,FALSE))</f>
        <v>Please select ERROR CODE column "I"</v>
      </c>
      <c r="L2609" s="207" t="str">
        <f>IF(Errors!$I2609=0,
    'List of Error Codes'!$E$29,
    IFERROR(VLOOKUP(Errors!$I2609, 'List of Error Codes'!D2608:I2638, 6, FALSE), 'List of Error Codes'!$E$29)
)</f>
        <v>Please select ERROR CODE column "I"</v>
      </c>
      <c r="M2609" s="209"/>
      <c r="N2609" s="209"/>
      <c r="O2609" s="209"/>
      <c r="P2609" s="209"/>
      <c r="Q2609" s="209"/>
      <c r="R2609" s="217"/>
      <c r="S2609" s="217"/>
      <c r="T2609" s="217"/>
      <c r="U2609" s="199"/>
      <c r="V2609" s="200"/>
      <c r="W2609" s="200"/>
      <c r="X2609" s="200"/>
      <c r="Y2609" s="200"/>
      <c r="Z2609" s="200"/>
      <c r="AA2609" s="201"/>
      <c r="AB2609" s="200"/>
      <c r="AC2609" s="200"/>
    </row>
    <row r="2610" ht="15.75" customHeight="1">
      <c r="A2610" s="210">
        <f t="shared" si="1"/>
        <v>2608</v>
      </c>
      <c r="B2610" s="217"/>
      <c r="C2610" s="217" t="str">
        <f>IFERROR(VLOOKUP(B2610, SourceData!$U$3:$V$190, 2, FALSE), "")</f>
        <v/>
      </c>
      <c r="D2610" s="240"/>
      <c r="E2610" s="241"/>
      <c r="F2610" s="248"/>
      <c r="G2610" s="207"/>
      <c r="H2610" s="209"/>
      <c r="I2610" s="209"/>
      <c r="J2610" s="209"/>
      <c r="K2610" s="208" t="str">
        <f>IF(Errors!$I2610=0,SourceData!$B$42,VLOOKUP(Errors!$I2610,SourceData!$A$2:$B$40,2,FALSE))</f>
        <v>Please select ERROR CODE column "I"</v>
      </c>
      <c r="L2610" s="207" t="str">
        <f>IF(Errors!$I2610=0,
    'List of Error Codes'!$E$29,
    IFERROR(VLOOKUP(Errors!$I2610, 'List of Error Codes'!D2609:I2639, 6, FALSE), 'List of Error Codes'!$E$29)
)</f>
        <v>Please select ERROR CODE column "I"</v>
      </c>
      <c r="M2610" s="209"/>
      <c r="N2610" s="209"/>
      <c r="O2610" s="209"/>
      <c r="P2610" s="209"/>
      <c r="Q2610" s="209"/>
      <c r="R2610" s="217"/>
      <c r="S2610" s="217"/>
      <c r="T2610" s="217"/>
      <c r="U2610" s="199"/>
      <c r="V2610" s="200"/>
      <c r="W2610" s="200"/>
      <c r="X2610" s="200"/>
      <c r="Y2610" s="200"/>
      <c r="Z2610" s="200"/>
      <c r="AA2610" s="201"/>
      <c r="AB2610" s="200"/>
      <c r="AC2610" s="200"/>
    </row>
    <row r="2611" ht="15.75" customHeight="1">
      <c r="A2611" s="210">
        <f t="shared" si="1"/>
        <v>2609</v>
      </c>
      <c r="B2611" s="217"/>
      <c r="C2611" s="217" t="str">
        <f>IFERROR(VLOOKUP(B2611, SourceData!$U$3:$V$190, 2, FALSE), "")</f>
        <v/>
      </c>
      <c r="D2611" s="240"/>
      <c r="E2611" s="241"/>
      <c r="F2611" s="248"/>
      <c r="G2611" s="207"/>
      <c r="H2611" s="209"/>
      <c r="I2611" s="209"/>
      <c r="J2611" s="209"/>
      <c r="K2611" s="208" t="str">
        <f>IF(Errors!$I2611=0,SourceData!$B$42,VLOOKUP(Errors!$I2611,SourceData!$A$2:$B$40,2,FALSE))</f>
        <v>Please select ERROR CODE column "I"</v>
      </c>
      <c r="L2611" s="207" t="str">
        <f>IF(Errors!$I2611=0,
    'List of Error Codes'!$E$29,
    IFERROR(VLOOKUP(Errors!$I2611, 'List of Error Codes'!D2610:I2640, 6, FALSE), 'List of Error Codes'!$E$29)
)</f>
        <v>Please select ERROR CODE column "I"</v>
      </c>
      <c r="M2611" s="209"/>
      <c r="N2611" s="209"/>
      <c r="O2611" s="209"/>
      <c r="P2611" s="209"/>
      <c r="Q2611" s="209"/>
      <c r="R2611" s="217"/>
      <c r="S2611" s="217"/>
      <c r="T2611" s="217"/>
      <c r="U2611" s="199"/>
      <c r="V2611" s="200"/>
      <c r="W2611" s="200"/>
      <c r="X2611" s="200"/>
      <c r="Y2611" s="200"/>
      <c r="Z2611" s="200"/>
      <c r="AA2611" s="201"/>
      <c r="AB2611" s="200"/>
      <c r="AC2611" s="200"/>
    </row>
    <row r="2612" ht="15.75" customHeight="1">
      <c r="A2612" s="210">
        <f t="shared" si="1"/>
        <v>2610</v>
      </c>
      <c r="B2612" s="217"/>
      <c r="C2612" s="217" t="str">
        <f>IFERROR(VLOOKUP(B2612, SourceData!$U$3:$V$190, 2, FALSE), "")</f>
        <v/>
      </c>
      <c r="D2612" s="240"/>
      <c r="E2612" s="241"/>
      <c r="F2612" s="248"/>
      <c r="G2612" s="207"/>
      <c r="H2612" s="209"/>
      <c r="I2612" s="209"/>
      <c r="J2612" s="209"/>
      <c r="K2612" s="208" t="str">
        <f>IF(Errors!$I2612=0,SourceData!$B$42,VLOOKUP(Errors!$I2612,SourceData!$A$2:$B$40,2,FALSE))</f>
        <v>Please select ERROR CODE column "I"</v>
      </c>
      <c r="L2612" s="207" t="str">
        <f>IF(Errors!$I2612=0,
    'List of Error Codes'!$E$29,
    IFERROR(VLOOKUP(Errors!$I2612, 'List of Error Codes'!D2611:I2641, 6, FALSE), 'List of Error Codes'!$E$29)
)</f>
        <v>Please select ERROR CODE column "I"</v>
      </c>
      <c r="M2612" s="209"/>
      <c r="N2612" s="209"/>
      <c r="O2612" s="209"/>
      <c r="P2612" s="209"/>
      <c r="Q2612" s="209"/>
      <c r="R2612" s="217"/>
      <c r="S2612" s="217"/>
      <c r="T2612" s="217"/>
      <c r="U2612" s="199"/>
      <c r="V2612" s="200"/>
      <c r="W2612" s="200"/>
      <c r="X2612" s="200"/>
      <c r="Y2612" s="200"/>
      <c r="Z2612" s="200"/>
      <c r="AA2612" s="201"/>
      <c r="AB2612" s="200"/>
      <c r="AC2612" s="200"/>
    </row>
    <row r="2613" ht="15.75" customHeight="1">
      <c r="A2613" s="210">
        <f t="shared" si="1"/>
        <v>2611</v>
      </c>
      <c r="B2613" s="217"/>
      <c r="C2613" s="217" t="str">
        <f>IFERROR(VLOOKUP(B2613, SourceData!$U$3:$V$190, 2, FALSE), "")</f>
        <v/>
      </c>
      <c r="D2613" s="240"/>
      <c r="E2613" s="241"/>
      <c r="F2613" s="248"/>
      <c r="G2613" s="207"/>
      <c r="H2613" s="209"/>
      <c r="I2613" s="209"/>
      <c r="J2613" s="209"/>
      <c r="K2613" s="208" t="str">
        <f>IF(Errors!$I2613=0,SourceData!$B$42,VLOOKUP(Errors!$I2613,SourceData!$A$2:$B$40,2,FALSE))</f>
        <v>Please select ERROR CODE column "I"</v>
      </c>
      <c r="L2613" s="207" t="str">
        <f>IF(Errors!$I2613=0,
    'List of Error Codes'!$E$29,
    IFERROR(VLOOKUP(Errors!$I2613, 'List of Error Codes'!D2612:I2642, 6, FALSE), 'List of Error Codes'!$E$29)
)</f>
        <v>Please select ERROR CODE column "I"</v>
      </c>
      <c r="M2613" s="209"/>
      <c r="N2613" s="209"/>
      <c r="O2613" s="209"/>
      <c r="P2613" s="209"/>
      <c r="Q2613" s="209"/>
      <c r="R2613" s="217"/>
      <c r="S2613" s="217"/>
      <c r="T2613" s="217"/>
      <c r="U2613" s="199"/>
      <c r="V2613" s="200"/>
      <c r="W2613" s="200"/>
      <c r="X2613" s="200"/>
      <c r="Y2613" s="200"/>
      <c r="Z2613" s="200"/>
      <c r="AA2613" s="201"/>
      <c r="AB2613" s="200"/>
      <c r="AC2613" s="200"/>
    </row>
    <row r="2614" ht="15.75" customHeight="1">
      <c r="A2614" s="210">
        <f t="shared" si="1"/>
        <v>2612</v>
      </c>
      <c r="B2614" s="217"/>
      <c r="C2614" s="217" t="str">
        <f>IFERROR(VLOOKUP(B2614, SourceData!$U$3:$V$190, 2, FALSE), "")</f>
        <v/>
      </c>
      <c r="D2614" s="240"/>
      <c r="E2614" s="241"/>
      <c r="F2614" s="248"/>
      <c r="G2614" s="207"/>
      <c r="H2614" s="209"/>
      <c r="I2614" s="209"/>
      <c r="J2614" s="209"/>
      <c r="K2614" s="208" t="str">
        <f>IF(Errors!$I2614=0,SourceData!$B$42,VLOOKUP(Errors!$I2614,SourceData!$A$2:$B$40,2,FALSE))</f>
        <v>Please select ERROR CODE column "I"</v>
      </c>
      <c r="L2614" s="207" t="str">
        <f>IF(Errors!$I2614=0,
    'List of Error Codes'!$E$29,
    IFERROR(VLOOKUP(Errors!$I2614, 'List of Error Codes'!D2613:I2643, 6, FALSE), 'List of Error Codes'!$E$29)
)</f>
        <v>Please select ERROR CODE column "I"</v>
      </c>
      <c r="M2614" s="209"/>
      <c r="N2614" s="209"/>
      <c r="O2614" s="209"/>
      <c r="P2614" s="209"/>
      <c r="Q2614" s="209"/>
      <c r="R2614" s="217"/>
      <c r="S2614" s="217"/>
      <c r="T2614" s="217"/>
      <c r="U2614" s="199"/>
      <c r="V2614" s="200"/>
      <c r="W2614" s="200"/>
      <c r="X2614" s="200"/>
      <c r="Y2614" s="200"/>
      <c r="Z2614" s="200"/>
      <c r="AA2614" s="201"/>
      <c r="AB2614" s="200"/>
      <c r="AC2614" s="200"/>
    </row>
    <row r="2615" ht="15.75" customHeight="1">
      <c r="A2615" s="210">
        <f t="shared" si="1"/>
        <v>2613</v>
      </c>
      <c r="B2615" s="217"/>
      <c r="C2615" s="217" t="str">
        <f>IFERROR(VLOOKUP(B2615, SourceData!$U$3:$V$190, 2, FALSE), "")</f>
        <v/>
      </c>
      <c r="D2615" s="240"/>
      <c r="E2615" s="241"/>
      <c r="F2615" s="248"/>
      <c r="G2615" s="207"/>
      <c r="H2615" s="209"/>
      <c r="I2615" s="209"/>
      <c r="J2615" s="209"/>
      <c r="K2615" s="208" t="str">
        <f>IF(Errors!$I2615=0,SourceData!$B$42,VLOOKUP(Errors!$I2615,SourceData!$A$2:$B$40,2,FALSE))</f>
        <v>Please select ERROR CODE column "I"</v>
      </c>
      <c r="L2615" s="207" t="str">
        <f>IF(Errors!$I2615=0,
    'List of Error Codes'!$E$29,
    IFERROR(VLOOKUP(Errors!$I2615, 'List of Error Codes'!D2614:I2644, 6, FALSE), 'List of Error Codes'!$E$29)
)</f>
        <v>Please select ERROR CODE column "I"</v>
      </c>
      <c r="M2615" s="209"/>
      <c r="N2615" s="209"/>
      <c r="O2615" s="209"/>
      <c r="P2615" s="209"/>
      <c r="Q2615" s="209"/>
      <c r="R2615" s="217"/>
      <c r="S2615" s="217"/>
      <c r="T2615" s="217"/>
      <c r="U2615" s="199"/>
      <c r="V2615" s="200"/>
      <c r="W2615" s="200"/>
      <c r="X2615" s="200"/>
      <c r="Y2615" s="200"/>
      <c r="Z2615" s="200"/>
      <c r="AA2615" s="201"/>
      <c r="AB2615" s="200"/>
      <c r="AC2615" s="200"/>
    </row>
    <row r="2616" ht="15.75" customHeight="1">
      <c r="A2616" s="210">
        <f t="shared" si="1"/>
        <v>2614</v>
      </c>
      <c r="B2616" s="217"/>
      <c r="C2616" s="217" t="str">
        <f>IFERROR(VLOOKUP(B2616, SourceData!$U$3:$V$190, 2, FALSE), "")</f>
        <v/>
      </c>
      <c r="D2616" s="240"/>
      <c r="E2616" s="241"/>
      <c r="F2616" s="248"/>
      <c r="G2616" s="207"/>
      <c r="H2616" s="209"/>
      <c r="I2616" s="209"/>
      <c r="J2616" s="209"/>
      <c r="K2616" s="208" t="str">
        <f>IF(Errors!$I2616=0,SourceData!$B$42,VLOOKUP(Errors!$I2616,SourceData!$A$2:$B$40,2,FALSE))</f>
        <v>Please select ERROR CODE column "I"</v>
      </c>
      <c r="L2616" s="207" t="str">
        <f>IF(Errors!$I2616=0,
    'List of Error Codes'!$E$29,
    IFERROR(VLOOKUP(Errors!$I2616, 'List of Error Codes'!D2615:I2645, 6, FALSE), 'List of Error Codes'!$E$29)
)</f>
        <v>Please select ERROR CODE column "I"</v>
      </c>
      <c r="M2616" s="209"/>
      <c r="N2616" s="209"/>
      <c r="O2616" s="209"/>
      <c r="P2616" s="209"/>
      <c r="Q2616" s="209"/>
      <c r="R2616" s="217"/>
      <c r="S2616" s="217"/>
      <c r="T2616" s="217"/>
      <c r="U2616" s="199"/>
      <c r="V2616" s="200"/>
      <c r="W2616" s="200"/>
      <c r="X2616" s="200"/>
      <c r="Y2616" s="200"/>
      <c r="Z2616" s="200"/>
      <c r="AA2616" s="201"/>
      <c r="AB2616" s="200"/>
      <c r="AC2616" s="200"/>
    </row>
    <row r="2617" ht="15.75" customHeight="1">
      <c r="A2617" s="210">
        <f t="shared" si="1"/>
        <v>2615</v>
      </c>
      <c r="B2617" s="217"/>
      <c r="C2617" s="217" t="str">
        <f>IFERROR(VLOOKUP(B2617, SourceData!$U$3:$V$190, 2, FALSE), "")</f>
        <v/>
      </c>
      <c r="D2617" s="240"/>
      <c r="E2617" s="241"/>
      <c r="F2617" s="248"/>
      <c r="G2617" s="207"/>
      <c r="H2617" s="209"/>
      <c r="I2617" s="209"/>
      <c r="J2617" s="209"/>
      <c r="K2617" s="208" t="str">
        <f>IF(Errors!$I2617=0,SourceData!$B$42,VLOOKUP(Errors!$I2617,SourceData!$A$2:$B$40,2,FALSE))</f>
        <v>Please select ERROR CODE column "I"</v>
      </c>
      <c r="L2617" s="207" t="str">
        <f>IF(Errors!$I2617=0,
    'List of Error Codes'!$E$29,
    IFERROR(VLOOKUP(Errors!$I2617, 'List of Error Codes'!D2616:I2646, 6, FALSE), 'List of Error Codes'!$E$29)
)</f>
        <v>Please select ERROR CODE column "I"</v>
      </c>
      <c r="M2617" s="209"/>
      <c r="N2617" s="209"/>
      <c r="O2617" s="209"/>
      <c r="P2617" s="209"/>
      <c r="Q2617" s="209"/>
      <c r="R2617" s="217"/>
      <c r="S2617" s="217"/>
      <c r="T2617" s="217"/>
      <c r="U2617" s="199"/>
      <c r="V2617" s="200"/>
      <c r="W2617" s="200"/>
      <c r="X2617" s="200"/>
      <c r="Y2617" s="200"/>
      <c r="Z2617" s="200"/>
      <c r="AA2617" s="201"/>
      <c r="AB2617" s="200"/>
      <c r="AC2617" s="200"/>
    </row>
    <row r="2618" ht="15.75" customHeight="1">
      <c r="A2618" s="210">
        <f t="shared" si="1"/>
        <v>2616</v>
      </c>
      <c r="B2618" s="217"/>
      <c r="C2618" s="217" t="str">
        <f>IFERROR(VLOOKUP(B2618, SourceData!$U$3:$V$190, 2, FALSE), "")</f>
        <v/>
      </c>
      <c r="D2618" s="240"/>
      <c r="E2618" s="241"/>
      <c r="F2618" s="248"/>
      <c r="G2618" s="207"/>
      <c r="H2618" s="209"/>
      <c r="I2618" s="209"/>
      <c r="J2618" s="209"/>
      <c r="K2618" s="208" t="str">
        <f>IF(Errors!$I2618=0,SourceData!$B$42,VLOOKUP(Errors!$I2618,SourceData!$A$2:$B$40,2,FALSE))</f>
        <v>Please select ERROR CODE column "I"</v>
      </c>
      <c r="L2618" s="207" t="str">
        <f>IF(Errors!$I2618=0,
    'List of Error Codes'!$E$29,
    IFERROR(VLOOKUP(Errors!$I2618, 'List of Error Codes'!D2617:I2647, 6, FALSE), 'List of Error Codes'!$E$29)
)</f>
        <v>Please select ERROR CODE column "I"</v>
      </c>
      <c r="M2618" s="209"/>
      <c r="N2618" s="209"/>
      <c r="O2618" s="209"/>
      <c r="P2618" s="209"/>
      <c r="Q2618" s="209"/>
      <c r="R2618" s="217"/>
      <c r="S2618" s="217"/>
      <c r="T2618" s="217"/>
      <c r="U2618" s="199"/>
      <c r="V2618" s="200"/>
      <c r="W2618" s="200"/>
      <c r="X2618" s="200"/>
      <c r="Y2618" s="200"/>
      <c r="Z2618" s="200"/>
      <c r="AA2618" s="201"/>
      <c r="AB2618" s="200"/>
      <c r="AC2618" s="200"/>
    </row>
    <row r="2619" ht="15.75" customHeight="1">
      <c r="A2619" s="210">
        <f t="shared" si="1"/>
        <v>2617</v>
      </c>
      <c r="B2619" s="217"/>
      <c r="C2619" s="217" t="str">
        <f>IFERROR(VLOOKUP(B2619, SourceData!$U$3:$V$190, 2, FALSE), "")</f>
        <v/>
      </c>
      <c r="D2619" s="240"/>
      <c r="E2619" s="241"/>
      <c r="F2619" s="248"/>
      <c r="G2619" s="207"/>
      <c r="H2619" s="209"/>
      <c r="I2619" s="209"/>
      <c r="J2619" s="209"/>
      <c r="K2619" s="208" t="str">
        <f>IF(Errors!$I2619=0,SourceData!$B$42,VLOOKUP(Errors!$I2619,SourceData!$A$2:$B$40,2,FALSE))</f>
        <v>Please select ERROR CODE column "I"</v>
      </c>
      <c r="L2619" s="207" t="str">
        <f>IF(Errors!$I2619=0,
    'List of Error Codes'!$E$29,
    IFERROR(VLOOKUP(Errors!$I2619, 'List of Error Codes'!D2618:I2648, 6, FALSE), 'List of Error Codes'!$E$29)
)</f>
        <v>Please select ERROR CODE column "I"</v>
      </c>
      <c r="M2619" s="209"/>
      <c r="N2619" s="209"/>
      <c r="O2619" s="209"/>
      <c r="P2619" s="209"/>
      <c r="Q2619" s="209"/>
      <c r="R2619" s="217"/>
      <c r="S2619" s="217"/>
      <c r="T2619" s="217"/>
      <c r="U2619" s="199"/>
      <c r="V2619" s="200"/>
      <c r="W2619" s="200"/>
      <c r="X2619" s="200"/>
      <c r="Y2619" s="200"/>
      <c r="Z2619" s="200"/>
      <c r="AA2619" s="201"/>
      <c r="AB2619" s="200"/>
      <c r="AC2619" s="200"/>
    </row>
    <row r="2620" ht="15.75" customHeight="1">
      <c r="A2620" s="210">
        <f t="shared" si="1"/>
        <v>2618</v>
      </c>
      <c r="B2620" s="217"/>
      <c r="C2620" s="217" t="str">
        <f>IFERROR(VLOOKUP(B2620, SourceData!$U$3:$V$190, 2, FALSE), "")</f>
        <v/>
      </c>
      <c r="D2620" s="240"/>
      <c r="E2620" s="241"/>
      <c r="F2620" s="248"/>
      <c r="G2620" s="207"/>
      <c r="H2620" s="209"/>
      <c r="I2620" s="209"/>
      <c r="J2620" s="209"/>
      <c r="K2620" s="208" t="str">
        <f>IF(Errors!$I2620=0,SourceData!$B$42,VLOOKUP(Errors!$I2620,SourceData!$A$2:$B$40,2,FALSE))</f>
        <v>Please select ERROR CODE column "I"</v>
      </c>
      <c r="L2620" s="207" t="str">
        <f>IF(Errors!$I2620=0,
    'List of Error Codes'!$E$29,
    IFERROR(VLOOKUP(Errors!$I2620, 'List of Error Codes'!D2619:I2649, 6, FALSE), 'List of Error Codes'!$E$29)
)</f>
        <v>Please select ERROR CODE column "I"</v>
      </c>
      <c r="M2620" s="209"/>
      <c r="N2620" s="209"/>
      <c r="O2620" s="209"/>
      <c r="P2620" s="209"/>
      <c r="Q2620" s="209"/>
      <c r="R2620" s="217"/>
      <c r="S2620" s="217"/>
      <c r="T2620" s="217"/>
      <c r="U2620" s="199"/>
      <c r="V2620" s="200"/>
      <c r="W2620" s="200"/>
      <c r="X2620" s="200"/>
      <c r="Y2620" s="200"/>
      <c r="Z2620" s="200"/>
      <c r="AA2620" s="201"/>
      <c r="AB2620" s="200"/>
      <c r="AC2620" s="200"/>
    </row>
    <row r="2621" ht="15.75" customHeight="1">
      <c r="A2621" s="210">
        <f t="shared" si="1"/>
        <v>2619</v>
      </c>
      <c r="B2621" s="217"/>
      <c r="C2621" s="217" t="str">
        <f>IFERROR(VLOOKUP(B2621, SourceData!$U$3:$V$190, 2, FALSE), "")</f>
        <v/>
      </c>
      <c r="D2621" s="240"/>
      <c r="E2621" s="241"/>
      <c r="F2621" s="248"/>
      <c r="G2621" s="207"/>
      <c r="H2621" s="209"/>
      <c r="I2621" s="209"/>
      <c r="J2621" s="209"/>
      <c r="K2621" s="208" t="str">
        <f>IF(Errors!$I2621=0,SourceData!$B$42,VLOOKUP(Errors!$I2621,SourceData!$A$2:$B$40,2,FALSE))</f>
        <v>Please select ERROR CODE column "I"</v>
      </c>
      <c r="L2621" s="207" t="str">
        <f>IF(Errors!$I2621=0,
    'List of Error Codes'!$E$29,
    IFERROR(VLOOKUP(Errors!$I2621, 'List of Error Codes'!D2620:I2650, 6, FALSE), 'List of Error Codes'!$E$29)
)</f>
        <v>Please select ERROR CODE column "I"</v>
      </c>
      <c r="M2621" s="209"/>
      <c r="N2621" s="209"/>
      <c r="O2621" s="209"/>
      <c r="P2621" s="209"/>
      <c r="Q2621" s="209"/>
      <c r="R2621" s="217"/>
      <c r="S2621" s="217"/>
      <c r="T2621" s="217"/>
      <c r="U2621" s="199"/>
      <c r="V2621" s="200"/>
      <c r="W2621" s="200"/>
      <c r="X2621" s="200"/>
      <c r="Y2621" s="200"/>
      <c r="Z2621" s="200"/>
      <c r="AA2621" s="201"/>
      <c r="AB2621" s="200"/>
      <c r="AC2621" s="200"/>
    </row>
    <row r="2622" ht="15.75" customHeight="1">
      <c r="A2622" s="210">
        <f t="shared" si="1"/>
        <v>2620</v>
      </c>
      <c r="B2622" s="217"/>
      <c r="C2622" s="217" t="str">
        <f>IFERROR(VLOOKUP(B2622, SourceData!$U$3:$V$190, 2, FALSE), "")</f>
        <v/>
      </c>
      <c r="D2622" s="240"/>
      <c r="E2622" s="241"/>
      <c r="F2622" s="248"/>
      <c r="G2622" s="207"/>
      <c r="H2622" s="209"/>
      <c r="I2622" s="209"/>
      <c r="J2622" s="209"/>
      <c r="K2622" s="208" t="str">
        <f>IF(Errors!$I2622=0,SourceData!$B$42,VLOOKUP(Errors!$I2622,SourceData!$A$2:$B$40,2,FALSE))</f>
        <v>Please select ERROR CODE column "I"</v>
      </c>
      <c r="L2622" s="207" t="str">
        <f>IF(Errors!$I2622=0,
    'List of Error Codes'!$E$29,
    IFERROR(VLOOKUP(Errors!$I2622, 'List of Error Codes'!D2621:I2651, 6, FALSE), 'List of Error Codes'!$E$29)
)</f>
        <v>Please select ERROR CODE column "I"</v>
      </c>
      <c r="M2622" s="209"/>
      <c r="N2622" s="209"/>
      <c r="O2622" s="209"/>
      <c r="P2622" s="209"/>
      <c r="Q2622" s="209"/>
      <c r="R2622" s="217"/>
      <c r="S2622" s="217"/>
      <c r="T2622" s="217"/>
      <c r="U2622" s="199"/>
      <c r="V2622" s="200"/>
      <c r="W2622" s="200"/>
      <c r="X2622" s="200"/>
      <c r="Y2622" s="200"/>
      <c r="Z2622" s="200"/>
      <c r="AA2622" s="201"/>
      <c r="AB2622" s="200"/>
      <c r="AC2622" s="200"/>
    </row>
    <row r="2623" ht="15.75" customHeight="1">
      <c r="A2623" s="210">
        <f t="shared" si="1"/>
        <v>2621</v>
      </c>
      <c r="B2623" s="217"/>
      <c r="C2623" s="217" t="str">
        <f>IFERROR(VLOOKUP(B2623, SourceData!$U$3:$V$190, 2, FALSE), "")</f>
        <v/>
      </c>
      <c r="D2623" s="240"/>
      <c r="E2623" s="241"/>
      <c r="F2623" s="248"/>
      <c r="G2623" s="207"/>
      <c r="H2623" s="209"/>
      <c r="I2623" s="209"/>
      <c r="J2623" s="209"/>
      <c r="K2623" s="208" t="str">
        <f>IF(Errors!$I2623=0,SourceData!$B$42,VLOOKUP(Errors!$I2623,SourceData!$A$2:$B$40,2,FALSE))</f>
        <v>Please select ERROR CODE column "I"</v>
      </c>
      <c r="L2623" s="207" t="str">
        <f>IF(Errors!$I2623=0,
    'List of Error Codes'!$E$29,
    IFERROR(VLOOKUP(Errors!$I2623, 'List of Error Codes'!D2622:I2652, 6, FALSE), 'List of Error Codes'!$E$29)
)</f>
        <v>Please select ERROR CODE column "I"</v>
      </c>
      <c r="M2623" s="209"/>
      <c r="N2623" s="209"/>
      <c r="O2623" s="209"/>
      <c r="P2623" s="209"/>
      <c r="Q2623" s="209"/>
      <c r="R2623" s="217"/>
      <c r="S2623" s="217"/>
      <c r="T2623" s="217"/>
      <c r="U2623" s="199"/>
      <c r="V2623" s="200"/>
      <c r="W2623" s="200"/>
      <c r="X2623" s="200"/>
      <c r="Y2623" s="200"/>
      <c r="Z2623" s="200"/>
      <c r="AA2623" s="201"/>
      <c r="AB2623" s="200"/>
      <c r="AC2623" s="200"/>
    </row>
    <row r="2624" ht="15.75" customHeight="1">
      <c r="A2624" s="210">
        <f t="shared" si="1"/>
        <v>2622</v>
      </c>
      <c r="B2624" s="217"/>
      <c r="C2624" s="217" t="str">
        <f>IFERROR(VLOOKUP(B2624, SourceData!$U$3:$V$190, 2, FALSE), "")</f>
        <v/>
      </c>
      <c r="D2624" s="240"/>
      <c r="E2624" s="241"/>
      <c r="F2624" s="248"/>
      <c r="G2624" s="207"/>
      <c r="H2624" s="209"/>
      <c r="I2624" s="209"/>
      <c r="J2624" s="209"/>
      <c r="K2624" s="208" t="str">
        <f>IF(Errors!$I2624=0,SourceData!$B$42,VLOOKUP(Errors!$I2624,SourceData!$A$2:$B$40,2,FALSE))</f>
        <v>Please select ERROR CODE column "I"</v>
      </c>
      <c r="L2624" s="207" t="str">
        <f>IF(Errors!$I2624=0,
    'List of Error Codes'!$E$29,
    IFERROR(VLOOKUP(Errors!$I2624, 'List of Error Codes'!D2623:I2653, 6, FALSE), 'List of Error Codes'!$E$29)
)</f>
        <v>Please select ERROR CODE column "I"</v>
      </c>
      <c r="M2624" s="209"/>
      <c r="N2624" s="209"/>
      <c r="O2624" s="209"/>
      <c r="P2624" s="209"/>
      <c r="Q2624" s="209"/>
      <c r="R2624" s="217"/>
      <c r="S2624" s="217"/>
      <c r="T2624" s="217"/>
      <c r="U2624" s="199"/>
      <c r="V2624" s="200"/>
      <c r="W2624" s="200"/>
      <c r="X2624" s="200"/>
      <c r="Y2624" s="200"/>
      <c r="Z2624" s="200"/>
      <c r="AA2624" s="201"/>
      <c r="AB2624" s="200"/>
      <c r="AC2624" s="200"/>
    </row>
    <row r="2625" ht="15.75" customHeight="1">
      <c r="A2625" s="210">
        <f t="shared" si="1"/>
        <v>2623</v>
      </c>
      <c r="B2625" s="217"/>
      <c r="C2625" s="217" t="str">
        <f>IFERROR(VLOOKUP(B2625, SourceData!$U$3:$V$190, 2, FALSE), "")</f>
        <v/>
      </c>
      <c r="D2625" s="240"/>
      <c r="E2625" s="241"/>
      <c r="F2625" s="248"/>
      <c r="G2625" s="207"/>
      <c r="H2625" s="209"/>
      <c r="I2625" s="209"/>
      <c r="J2625" s="209"/>
      <c r="K2625" s="208" t="str">
        <f>IF(Errors!$I2625=0,SourceData!$B$42,VLOOKUP(Errors!$I2625,SourceData!$A$2:$B$40,2,FALSE))</f>
        <v>Please select ERROR CODE column "I"</v>
      </c>
      <c r="L2625" s="207" t="str">
        <f>IF(Errors!$I2625=0,
    'List of Error Codes'!$E$29,
    IFERROR(VLOOKUP(Errors!$I2625, 'List of Error Codes'!D2624:I2654, 6, FALSE), 'List of Error Codes'!$E$29)
)</f>
        <v>Please select ERROR CODE column "I"</v>
      </c>
      <c r="M2625" s="209"/>
      <c r="N2625" s="209"/>
      <c r="O2625" s="209"/>
      <c r="P2625" s="209"/>
      <c r="Q2625" s="209"/>
      <c r="R2625" s="217"/>
      <c r="S2625" s="217"/>
      <c r="T2625" s="217"/>
      <c r="U2625" s="199"/>
      <c r="V2625" s="200"/>
      <c r="W2625" s="200"/>
      <c r="X2625" s="200"/>
      <c r="Y2625" s="200"/>
      <c r="Z2625" s="200"/>
      <c r="AA2625" s="201"/>
      <c r="AB2625" s="200"/>
      <c r="AC2625" s="200"/>
    </row>
    <row r="2626" ht="15.75" customHeight="1">
      <c r="A2626" s="210">
        <f t="shared" si="1"/>
        <v>2624</v>
      </c>
      <c r="B2626" s="217"/>
      <c r="C2626" s="217" t="str">
        <f>IFERROR(VLOOKUP(B2626, SourceData!$U$3:$V$190, 2, FALSE), "")</f>
        <v/>
      </c>
      <c r="D2626" s="240"/>
      <c r="E2626" s="241"/>
      <c r="F2626" s="248"/>
      <c r="G2626" s="207"/>
      <c r="H2626" s="209"/>
      <c r="I2626" s="209"/>
      <c r="J2626" s="209"/>
      <c r="K2626" s="208" t="str">
        <f>IF(Errors!$I2626=0,SourceData!$B$42,VLOOKUP(Errors!$I2626,SourceData!$A$2:$B$40,2,FALSE))</f>
        <v>Please select ERROR CODE column "I"</v>
      </c>
      <c r="L2626" s="207" t="str">
        <f>IF(Errors!$I2626=0,
    'List of Error Codes'!$E$29,
    IFERROR(VLOOKUP(Errors!$I2626, 'List of Error Codes'!D2625:I2655, 6, FALSE), 'List of Error Codes'!$E$29)
)</f>
        <v>Please select ERROR CODE column "I"</v>
      </c>
      <c r="M2626" s="209"/>
      <c r="N2626" s="209"/>
      <c r="O2626" s="209"/>
      <c r="P2626" s="209"/>
      <c r="Q2626" s="209"/>
      <c r="R2626" s="217"/>
      <c r="S2626" s="217"/>
      <c r="T2626" s="217"/>
      <c r="U2626" s="199"/>
      <c r="V2626" s="200"/>
      <c r="W2626" s="200"/>
      <c r="X2626" s="200"/>
      <c r="Y2626" s="200"/>
      <c r="Z2626" s="200"/>
      <c r="AA2626" s="201"/>
      <c r="AB2626" s="200"/>
      <c r="AC2626" s="200"/>
    </row>
    <row r="2627" ht="15.75" customHeight="1">
      <c r="A2627" s="210">
        <f t="shared" si="1"/>
        <v>2625</v>
      </c>
      <c r="B2627" s="217"/>
      <c r="C2627" s="217" t="str">
        <f>IFERROR(VLOOKUP(B2627, SourceData!$U$3:$V$190, 2, FALSE), "")</f>
        <v/>
      </c>
      <c r="D2627" s="240"/>
      <c r="E2627" s="241"/>
      <c r="F2627" s="248"/>
      <c r="G2627" s="207"/>
      <c r="H2627" s="209"/>
      <c r="I2627" s="209"/>
      <c r="J2627" s="209"/>
      <c r="K2627" s="208" t="str">
        <f>IF(Errors!$I2627=0,SourceData!$B$42,VLOOKUP(Errors!$I2627,SourceData!$A$2:$B$40,2,FALSE))</f>
        <v>Please select ERROR CODE column "I"</v>
      </c>
      <c r="L2627" s="207" t="str">
        <f>IF(Errors!$I2627=0,
    'List of Error Codes'!$E$29,
    IFERROR(VLOOKUP(Errors!$I2627, 'List of Error Codes'!D2626:I2656, 6, FALSE), 'List of Error Codes'!$E$29)
)</f>
        <v>Please select ERROR CODE column "I"</v>
      </c>
      <c r="M2627" s="209"/>
      <c r="N2627" s="209"/>
      <c r="O2627" s="209"/>
      <c r="P2627" s="209"/>
      <c r="Q2627" s="209"/>
      <c r="R2627" s="217"/>
      <c r="S2627" s="217"/>
      <c r="T2627" s="217"/>
      <c r="U2627" s="199"/>
      <c r="V2627" s="200"/>
      <c r="W2627" s="200"/>
      <c r="X2627" s="200"/>
      <c r="Y2627" s="200"/>
      <c r="Z2627" s="200"/>
      <c r="AA2627" s="201"/>
      <c r="AB2627" s="200"/>
      <c r="AC2627" s="200"/>
    </row>
    <row r="2628" ht="15.75" customHeight="1">
      <c r="A2628" s="210">
        <f t="shared" si="1"/>
        <v>2626</v>
      </c>
      <c r="B2628" s="217"/>
      <c r="C2628" s="217" t="str">
        <f>IFERROR(VLOOKUP(B2628, SourceData!$U$3:$V$190, 2, FALSE), "")</f>
        <v/>
      </c>
      <c r="D2628" s="240"/>
      <c r="E2628" s="241"/>
      <c r="F2628" s="248"/>
      <c r="G2628" s="207"/>
      <c r="H2628" s="209"/>
      <c r="I2628" s="209"/>
      <c r="J2628" s="209"/>
      <c r="K2628" s="208" t="str">
        <f>IF(Errors!$I2628=0,SourceData!$B$42,VLOOKUP(Errors!$I2628,SourceData!$A$2:$B$40,2,FALSE))</f>
        <v>Please select ERROR CODE column "I"</v>
      </c>
      <c r="L2628" s="207" t="str">
        <f>IF(Errors!$I2628=0,
    'List of Error Codes'!$E$29,
    IFERROR(VLOOKUP(Errors!$I2628, 'List of Error Codes'!D2627:I2657, 6, FALSE), 'List of Error Codes'!$E$29)
)</f>
        <v>Please select ERROR CODE column "I"</v>
      </c>
      <c r="M2628" s="209"/>
      <c r="N2628" s="209"/>
      <c r="O2628" s="209"/>
      <c r="P2628" s="209"/>
      <c r="Q2628" s="209"/>
      <c r="R2628" s="217"/>
      <c r="S2628" s="217"/>
      <c r="T2628" s="217"/>
      <c r="U2628" s="199"/>
      <c r="V2628" s="200"/>
      <c r="W2628" s="200"/>
      <c r="X2628" s="200"/>
      <c r="Y2628" s="200"/>
      <c r="Z2628" s="200"/>
      <c r="AA2628" s="201"/>
      <c r="AB2628" s="200"/>
      <c r="AC2628" s="200"/>
    </row>
    <row r="2629" ht="15.75" customHeight="1">
      <c r="A2629" s="210">
        <f t="shared" si="1"/>
        <v>2627</v>
      </c>
      <c r="B2629" s="217"/>
      <c r="C2629" s="217" t="str">
        <f>IFERROR(VLOOKUP(B2629, SourceData!$U$3:$V$190, 2, FALSE), "")</f>
        <v/>
      </c>
      <c r="D2629" s="240"/>
      <c r="E2629" s="241"/>
      <c r="F2629" s="248"/>
      <c r="G2629" s="207"/>
      <c r="H2629" s="209"/>
      <c r="I2629" s="209"/>
      <c r="J2629" s="209"/>
      <c r="K2629" s="208" t="str">
        <f>IF(Errors!$I2629=0,SourceData!$B$42,VLOOKUP(Errors!$I2629,SourceData!$A$2:$B$40,2,FALSE))</f>
        <v>Please select ERROR CODE column "I"</v>
      </c>
      <c r="L2629" s="207" t="str">
        <f>IF(Errors!$I2629=0,
    'List of Error Codes'!$E$29,
    IFERROR(VLOOKUP(Errors!$I2629, 'List of Error Codes'!D2628:I2658, 6, FALSE), 'List of Error Codes'!$E$29)
)</f>
        <v>Please select ERROR CODE column "I"</v>
      </c>
      <c r="M2629" s="209"/>
      <c r="N2629" s="209"/>
      <c r="O2629" s="209"/>
      <c r="P2629" s="209"/>
      <c r="Q2629" s="209"/>
      <c r="R2629" s="217"/>
      <c r="S2629" s="217"/>
      <c r="T2629" s="217"/>
      <c r="U2629" s="199"/>
      <c r="V2629" s="200"/>
      <c r="W2629" s="200"/>
      <c r="X2629" s="200"/>
      <c r="Y2629" s="200"/>
      <c r="Z2629" s="200"/>
      <c r="AA2629" s="201"/>
      <c r="AB2629" s="200"/>
      <c r="AC2629" s="200"/>
    </row>
    <row r="2630" ht="15.75" customHeight="1">
      <c r="A2630" s="210">
        <f t="shared" si="1"/>
        <v>2628</v>
      </c>
      <c r="B2630" s="217"/>
      <c r="C2630" s="217" t="str">
        <f>IFERROR(VLOOKUP(B2630, SourceData!$U$3:$V$190, 2, FALSE), "")</f>
        <v/>
      </c>
      <c r="D2630" s="240"/>
      <c r="E2630" s="241"/>
      <c r="F2630" s="248"/>
      <c r="G2630" s="207"/>
      <c r="H2630" s="209"/>
      <c r="I2630" s="209"/>
      <c r="J2630" s="209"/>
      <c r="K2630" s="208" t="str">
        <f>IF(Errors!$I2630=0,SourceData!$B$42,VLOOKUP(Errors!$I2630,SourceData!$A$2:$B$40,2,FALSE))</f>
        <v>Please select ERROR CODE column "I"</v>
      </c>
      <c r="L2630" s="207" t="str">
        <f>IF(Errors!$I2630=0,
    'List of Error Codes'!$E$29,
    IFERROR(VLOOKUP(Errors!$I2630, 'List of Error Codes'!D2629:I2659, 6, FALSE), 'List of Error Codes'!$E$29)
)</f>
        <v>Please select ERROR CODE column "I"</v>
      </c>
      <c r="M2630" s="209"/>
      <c r="N2630" s="209"/>
      <c r="O2630" s="209"/>
      <c r="P2630" s="209"/>
      <c r="Q2630" s="209"/>
      <c r="R2630" s="217"/>
      <c r="S2630" s="217"/>
      <c r="T2630" s="217"/>
      <c r="U2630" s="199"/>
      <c r="V2630" s="200"/>
      <c r="W2630" s="200"/>
      <c r="X2630" s="200"/>
      <c r="Y2630" s="200"/>
      <c r="Z2630" s="200"/>
      <c r="AA2630" s="201"/>
      <c r="AB2630" s="200"/>
      <c r="AC2630" s="200"/>
    </row>
    <row r="2631" ht="15.75" customHeight="1">
      <c r="A2631" s="210">
        <f t="shared" si="1"/>
        <v>2629</v>
      </c>
      <c r="B2631" s="217"/>
      <c r="C2631" s="217" t="str">
        <f>IFERROR(VLOOKUP(B2631, SourceData!$U$3:$V$190, 2, FALSE), "")</f>
        <v/>
      </c>
      <c r="D2631" s="240"/>
      <c r="E2631" s="241"/>
      <c r="F2631" s="248"/>
      <c r="G2631" s="207"/>
      <c r="H2631" s="209"/>
      <c r="I2631" s="209"/>
      <c r="J2631" s="209"/>
      <c r="K2631" s="208" t="str">
        <f>IF(Errors!$I2631=0,SourceData!$B$42,VLOOKUP(Errors!$I2631,SourceData!$A$2:$B$40,2,FALSE))</f>
        <v>Please select ERROR CODE column "I"</v>
      </c>
      <c r="L2631" s="207" t="str">
        <f>IF(Errors!$I2631=0,
    'List of Error Codes'!$E$29,
    IFERROR(VLOOKUP(Errors!$I2631, 'List of Error Codes'!D2630:I2660, 6, FALSE), 'List of Error Codes'!$E$29)
)</f>
        <v>Please select ERROR CODE column "I"</v>
      </c>
      <c r="M2631" s="209"/>
      <c r="N2631" s="209"/>
      <c r="O2631" s="209"/>
      <c r="P2631" s="209"/>
      <c r="Q2631" s="209"/>
      <c r="R2631" s="217"/>
      <c r="S2631" s="217"/>
      <c r="T2631" s="217"/>
      <c r="U2631" s="199"/>
      <c r="V2631" s="200"/>
      <c r="W2631" s="200"/>
      <c r="X2631" s="200"/>
      <c r="Y2631" s="200"/>
      <c r="Z2631" s="200"/>
      <c r="AA2631" s="201"/>
      <c r="AB2631" s="200"/>
      <c r="AC2631" s="200"/>
    </row>
    <row r="2632" ht="15.75" customHeight="1">
      <c r="A2632" s="210">
        <f t="shared" si="1"/>
        <v>2630</v>
      </c>
      <c r="B2632" s="217"/>
      <c r="C2632" s="217" t="str">
        <f>IFERROR(VLOOKUP(B2632, SourceData!$U$3:$V$190, 2, FALSE), "")</f>
        <v/>
      </c>
      <c r="D2632" s="240"/>
      <c r="E2632" s="241"/>
      <c r="F2632" s="248"/>
      <c r="G2632" s="207"/>
      <c r="H2632" s="209"/>
      <c r="I2632" s="209"/>
      <c r="J2632" s="209"/>
      <c r="K2632" s="208" t="str">
        <f>IF(Errors!$I2632=0,SourceData!$B$42,VLOOKUP(Errors!$I2632,SourceData!$A$2:$B$40,2,FALSE))</f>
        <v>Please select ERROR CODE column "I"</v>
      </c>
      <c r="L2632" s="207" t="str">
        <f>IF(Errors!$I2632=0,
    'List of Error Codes'!$E$29,
    IFERROR(VLOOKUP(Errors!$I2632, 'List of Error Codes'!D2631:I2661, 6, FALSE), 'List of Error Codes'!$E$29)
)</f>
        <v>Please select ERROR CODE column "I"</v>
      </c>
      <c r="M2632" s="209"/>
      <c r="N2632" s="209"/>
      <c r="O2632" s="209"/>
      <c r="P2632" s="209"/>
      <c r="Q2632" s="209"/>
      <c r="R2632" s="217"/>
      <c r="S2632" s="217"/>
      <c r="T2632" s="217"/>
      <c r="U2632" s="199"/>
      <c r="V2632" s="200"/>
      <c r="W2632" s="200"/>
      <c r="X2632" s="200"/>
      <c r="Y2632" s="200"/>
      <c r="Z2632" s="200"/>
      <c r="AA2632" s="201"/>
      <c r="AB2632" s="200"/>
      <c r="AC2632" s="200"/>
    </row>
    <row r="2633" ht="15.75" customHeight="1">
      <c r="A2633" s="210">
        <f t="shared" si="1"/>
        <v>2631</v>
      </c>
      <c r="B2633" s="217"/>
      <c r="C2633" s="217" t="str">
        <f>IFERROR(VLOOKUP(B2633, SourceData!$U$3:$V$190, 2, FALSE), "")</f>
        <v/>
      </c>
      <c r="D2633" s="240"/>
      <c r="E2633" s="241"/>
      <c r="F2633" s="248"/>
      <c r="G2633" s="207"/>
      <c r="H2633" s="209"/>
      <c r="I2633" s="209"/>
      <c r="J2633" s="209"/>
      <c r="K2633" s="208" t="str">
        <f>IF(Errors!$I2633=0,SourceData!$B$42,VLOOKUP(Errors!$I2633,SourceData!$A$2:$B$40,2,FALSE))</f>
        <v>Please select ERROR CODE column "I"</v>
      </c>
      <c r="L2633" s="207" t="str">
        <f>IF(Errors!$I2633=0,
    'List of Error Codes'!$E$29,
    IFERROR(VLOOKUP(Errors!$I2633, 'List of Error Codes'!D2632:I2662, 6, FALSE), 'List of Error Codes'!$E$29)
)</f>
        <v>Please select ERROR CODE column "I"</v>
      </c>
      <c r="M2633" s="209"/>
      <c r="N2633" s="209"/>
      <c r="O2633" s="209"/>
      <c r="P2633" s="209"/>
      <c r="Q2633" s="209"/>
      <c r="R2633" s="217"/>
      <c r="S2633" s="217"/>
      <c r="T2633" s="217"/>
      <c r="U2633" s="199"/>
      <c r="V2633" s="200"/>
      <c r="W2633" s="200"/>
      <c r="X2633" s="200"/>
      <c r="Y2633" s="200"/>
      <c r="Z2633" s="200"/>
      <c r="AA2633" s="201"/>
      <c r="AB2633" s="200"/>
      <c r="AC2633" s="200"/>
    </row>
    <row r="2634" ht="15.75" customHeight="1">
      <c r="A2634" s="210">
        <f t="shared" si="1"/>
        <v>2632</v>
      </c>
      <c r="B2634" s="217"/>
      <c r="C2634" s="217" t="str">
        <f>IFERROR(VLOOKUP(B2634, SourceData!$U$3:$V$190, 2, FALSE), "")</f>
        <v/>
      </c>
      <c r="D2634" s="240"/>
      <c r="E2634" s="241"/>
      <c r="F2634" s="248"/>
      <c r="G2634" s="207"/>
      <c r="H2634" s="209"/>
      <c r="I2634" s="209"/>
      <c r="J2634" s="209"/>
      <c r="K2634" s="208" t="str">
        <f>IF(Errors!$I2634=0,SourceData!$B$42,VLOOKUP(Errors!$I2634,SourceData!$A$2:$B$40,2,FALSE))</f>
        <v>Please select ERROR CODE column "I"</v>
      </c>
      <c r="L2634" s="207" t="str">
        <f>IF(Errors!$I2634=0,
    'List of Error Codes'!$E$29,
    IFERROR(VLOOKUP(Errors!$I2634, 'List of Error Codes'!D2633:I2663, 6, FALSE), 'List of Error Codes'!$E$29)
)</f>
        <v>Please select ERROR CODE column "I"</v>
      </c>
      <c r="M2634" s="209"/>
      <c r="N2634" s="209"/>
      <c r="O2634" s="209"/>
      <c r="P2634" s="209"/>
      <c r="Q2634" s="209"/>
      <c r="R2634" s="217"/>
      <c r="S2634" s="217"/>
      <c r="T2634" s="217"/>
      <c r="U2634" s="199"/>
      <c r="V2634" s="200"/>
      <c r="W2634" s="200"/>
      <c r="X2634" s="200"/>
      <c r="Y2634" s="200"/>
      <c r="Z2634" s="200"/>
      <c r="AA2634" s="201"/>
      <c r="AB2634" s="200"/>
      <c r="AC2634" s="200"/>
    </row>
    <row r="2635" ht="15.75" customHeight="1">
      <c r="A2635" s="210">
        <f t="shared" si="1"/>
        <v>2633</v>
      </c>
      <c r="B2635" s="217"/>
      <c r="C2635" s="217" t="str">
        <f>IFERROR(VLOOKUP(B2635, SourceData!$U$3:$V$190, 2, FALSE), "")</f>
        <v/>
      </c>
      <c r="D2635" s="240"/>
      <c r="E2635" s="241"/>
      <c r="F2635" s="248"/>
      <c r="G2635" s="207"/>
      <c r="H2635" s="209"/>
      <c r="I2635" s="209"/>
      <c r="J2635" s="209"/>
      <c r="K2635" s="208" t="str">
        <f>IF(Errors!$I2635=0,SourceData!$B$42,VLOOKUP(Errors!$I2635,SourceData!$A$2:$B$40,2,FALSE))</f>
        <v>Please select ERROR CODE column "I"</v>
      </c>
      <c r="L2635" s="207" t="str">
        <f>IF(Errors!$I2635=0,
    'List of Error Codes'!$E$29,
    IFERROR(VLOOKUP(Errors!$I2635, 'List of Error Codes'!D2634:I2664, 6, FALSE), 'List of Error Codes'!$E$29)
)</f>
        <v>Please select ERROR CODE column "I"</v>
      </c>
      <c r="M2635" s="209"/>
      <c r="N2635" s="209"/>
      <c r="O2635" s="209"/>
      <c r="P2635" s="209"/>
      <c r="Q2635" s="209"/>
      <c r="R2635" s="217"/>
      <c r="S2635" s="217"/>
      <c r="T2635" s="217"/>
      <c r="U2635" s="199"/>
      <c r="V2635" s="200"/>
      <c r="W2635" s="200"/>
      <c r="X2635" s="200"/>
      <c r="Y2635" s="200"/>
      <c r="Z2635" s="200"/>
      <c r="AA2635" s="201"/>
      <c r="AB2635" s="200"/>
      <c r="AC2635" s="200"/>
    </row>
    <row r="2636" ht="15.75" customHeight="1">
      <c r="A2636" s="210">
        <f t="shared" si="1"/>
        <v>2634</v>
      </c>
      <c r="B2636" s="217"/>
      <c r="C2636" s="217" t="str">
        <f>IFERROR(VLOOKUP(B2636, SourceData!$U$3:$V$190, 2, FALSE), "")</f>
        <v/>
      </c>
      <c r="D2636" s="240"/>
      <c r="E2636" s="241"/>
      <c r="F2636" s="248"/>
      <c r="G2636" s="207"/>
      <c r="H2636" s="209"/>
      <c r="I2636" s="209"/>
      <c r="J2636" s="209"/>
      <c r="K2636" s="208" t="str">
        <f>IF(Errors!$I2636=0,SourceData!$B$42,VLOOKUP(Errors!$I2636,SourceData!$A$2:$B$40,2,FALSE))</f>
        <v>Please select ERROR CODE column "I"</v>
      </c>
      <c r="L2636" s="207" t="str">
        <f>IF(Errors!$I2636=0,
    'List of Error Codes'!$E$29,
    IFERROR(VLOOKUP(Errors!$I2636, 'List of Error Codes'!D2635:I2665, 6, FALSE), 'List of Error Codes'!$E$29)
)</f>
        <v>Please select ERROR CODE column "I"</v>
      </c>
      <c r="M2636" s="209"/>
      <c r="N2636" s="209"/>
      <c r="O2636" s="209"/>
      <c r="P2636" s="209"/>
      <c r="Q2636" s="209"/>
      <c r="R2636" s="217"/>
      <c r="S2636" s="217"/>
      <c r="T2636" s="217"/>
      <c r="U2636" s="199"/>
      <c r="V2636" s="200"/>
      <c r="W2636" s="200"/>
      <c r="X2636" s="200"/>
      <c r="Y2636" s="200"/>
      <c r="Z2636" s="200"/>
      <c r="AA2636" s="201"/>
      <c r="AB2636" s="200"/>
      <c r="AC2636" s="200"/>
    </row>
    <row r="2637" ht="15.75" customHeight="1">
      <c r="A2637" s="210">
        <f t="shared" si="1"/>
        <v>2635</v>
      </c>
      <c r="B2637" s="217"/>
      <c r="C2637" s="217" t="str">
        <f>IFERROR(VLOOKUP(B2637, SourceData!$U$3:$V$190, 2, FALSE), "")</f>
        <v/>
      </c>
      <c r="D2637" s="240"/>
      <c r="E2637" s="241"/>
      <c r="F2637" s="248"/>
      <c r="G2637" s="207"/>
      <c r="H2637" s="209"/>
      <c r="I2637" s="209"/>
      <c r="J2637" s="209"/>
      <c r="K2637" s="208" t="str">
        <f>IF(Errors!$I2637=0,SourceData!$B$42,VLOOKUP(Errors!$I2637,SourceData!$A$2:$B$40,2,FALSE))</f>
        <v>Please select ERROR CODE column "I"</v>
      </c>
      <c r="L2637" s="207" t="str">
        <f>IF(Errors!$I2637=0,
    'List of Error Codes'!$E$29,
    IFERROR(VLOOKUP(Errors!$I2637, 'List of Error Codes'!D2636:I2666, 6, FALSE), 'List of Error Codes'!$E$29)
)</f>
        <v>Please select ERROR CODE column "I"</v>
      </c>
      <c r="M2637" s="209"/>
      <c r="N2637" s="209"/>
      <c r="O2637" s="209"/>
      <c r="P2637" s="209"/>
      <c r="Q2637" s="209"/>
      <c r="R2637" s="217"/>
      <c r="S2637" s="217"/>
      <c r="T2637" s="217"/>
      <c r="U2637" s="199"/>
      <c r="V2637" s="200"/>
      <c r="W2637" s="200"/>
      <c r="X2637" s="200"/>
      <c r="Y2637" s="200"/>
      <c r="Z2637" s="200"/>
      <c r="AA2637" s="201"/>
      <c r="AB2637" s="200"/>
      <c r="AC2637" s="200"/>
    </row>
    <row r="2638" ht="15.75" customHeight="1">
      <c r="A2638" s="210">
        <f t="shared" si="1"/>
        <v>2636</v>
      </c>
      <c r="B2638" s="217"/>
      <c r="C2638" s="217" t="str">
        <f>IFERROR(VLOOKUP(B2638, SourceData!$U$3:$V$190, 2, FALSE), "")</f>
        <v/>
      </c>
      <c r="D2638" s="240"/>
      <c r="E2638" s="241"/>
      <c r="F2638" s="248"/>
      <c r="G2638" s="207"/>
      <c r="H2638" s="209"/>
      <c r="I2638" s="209"/>
      <c r="J2638" s="209"/>
      <c r="K2638" s="208" t="str">
        <f>IF(Errors!$I2638=0,SourceData!$B$42,VLOOKUP(Errors!$I2638,SourceData!$A$2:$B$40,2,FALSE))</f>
        <v>Please select ERROR CODE column "I"</v>
      </c>
      <c r="L2638" s="207" t="str">
        <f>IF(Errors!$I2638=0,
    'List of Error Codes'!$E$29,
    IFERROR(VLOOKUP(Errors!$I2638, 'List of Error Codes'!D2637:I2667, 6, FALSE), 'List of Error Codes'!$E$29)
)</f>
        <v>Please select ERROR CODE column "I"</v>
      </c>
      <c r="M2638" s="209"/>
      <c r="N2638" s="209"/>
      <c r="O2638" s="209"/>
      <c r="P2638" s="209"/>
      <c r="Q2638" s="209"/>
      <c r="R2638" s="217"/>
      <c r="S2638" s="217"/>
      <c r="T2638" s="217"/>
      <c r="U2638" s="199"/>
      <c r="V2638" s="200"/>
      <c r="W2638" s="200"/>
      <c r="X2638" s="200"/>
      <c r="Y2638" s="200"/>
      <c r="Z2638" s="200"/>
      <c r="AA2638" s="201"/>
      <c r="AB2638" s="200"/>
      <c r="AC2638" s="200"/>
    </row>
    <row r="2639" ht="15.75" customHeight="1">
      <c r="A2639" s="210">
        <f t="shared" si="1"/>
        <v>2637</v>
      </c>
      <c r="B2639" s="217"/>
      <c r="C2639" s="217" t="str">
        <f>IFERROR(VLOOKUP(B2639, SourceData!$U$3:$V$190, 2, FALSE), "")</f>
        <v/>
      </c>
      <c r="D2639" s="240"/>
      <c r="E2639" s="241"/>
      <c r="F2639" s="248"/>
      <c r="G2639" s="207"/>
      <c r="H2639" s="209"/>
      <c r="I2639" s="209"/>
      <c r="J2639" s="209"/>
      <c r="K2639" s="208" t="str">
        <f>IF(Errors!$I2639=0,SourceData!$B$42,VLOOKUP(Errors!$I2639,SourceData!$A$2:$B$40,2,FALSE))</f>
        <v>Please select ERROR CODE column "I"</v>
      </c>
      <c r="L2639" s="207" t="str">
        <f>IF(Errors!$I2639=0,
    'List of Error Codes'!$E$29,
    IFERROR(VLOOKUP(Errors!$I2639, 'List of Error Codes'!D2638:I2668, 6, FALSE), 'List of Error Codes'!$E$29)
)</f>
        <v>Please select ERROR CODE column "I"</v>
      </c>
      <c r="M2639" s="209"/>
      <c r="N2639" s="209"/>
      <c r="O2639" s="209"/>
      <c r="P2639" s="209"/>
      <c r="Q2639" s="209"/>
      <c r="R2639" s="217"/>
      <c r="S2639" s="217"/>
      <c r="T2639" s="217"/>
      <c r="U2639" s="199"/>
      <c r="V2639" s="200"/>
      <c r="W2639" s="200"/>
      <c r="X2639" s="200"/>
      <c r="Y2639" s="200"/>
      <c r="Z2639" s="200"/>
      <c r="AA2639" s="201"/>
      <c r="AB2639" s="200"/>
      <c r="AC2639" s="200"/>
    </row>
    <row r="2640" ht="15.75" customHeight="1">
      <c r="A2640" s="210">
        <f t="shared" si="1"/>
        <v>2638</v>
      </c>
      <c r="B2640" s="217"/>
      <c r="C2640" s="217" t="str">
        <f>IFERROR(VLOOKUP(B2640, SourceData!$U$3:$V$190, 2, FALSE), "")</f>
        <v/>
      </c>
      <c r="D2640" s="240"/>
      <c r="E2640" s="241"/>
      <c r="F2640" s="248"/>
      <c r="G2640" s="207"/>
      <c r="H2640" s="209"/>
      <c r="I2640" s="209"/>
      <c r="J2640" s="209"/>
      <c r="K2640" s="208" t="str">
        <f>IF(Errors!$I2640=0,SourceData!$B$42,VLOOKUP(Errors!$I2640,SourceData!$A$2:$B$40,2,FALSE))</f>
        <v>Please select ERROR CODE column "I"</v>
      </c>
      <c r="L2640" s="207" t="str">
        <f>IF(Errors!$I2640=0,
    'List of Error Codes'!$E$29,
    IFERROR(VLOOKUP(Errors!$I2640, 'List of Error Codes'!D2639:I2669, 6, FALSE), 'List of Error Codes'!$E$29)
)</f>
        <v>Please select ERROR CODE column "I"</v>
      </c>
      <c r="M2640" s="209"/>
      <c r="N2640" s="209"/>
      <c r="O2640" s="209"/>
      <c r="P2640" s="209"/>
      <c r="Q2640" s="209"/>
      <c r="R2640" s="217"/>
      <c r="S2640" s="217"/>
      <c r="T2640" s="217"/>
      <c r="U2640" s="199"/>
      <c r="V2640" s="200"/>
      <c r="W2640" s="200"/>
      <c r="X2640" s="200"/>
      <c r="Y2640" s="200"/>
      <c r="Z2640" s="200"/>
      <c r="AA2640" s="201"/>
      <c r="AB2640" s="200"/>
      <c r="AC2640" s="200"/>
    </row>
    <row r="2641" ht="15.75" customHeight="1">
      <c r="A2641" s="210">
        <f t="shared" si="1"/>
        <v>2639</v>
      </c>
      <c r="B2641" s="217"/>
      <c r="C2641" s="217" t="str">
        <f>IFERROR(VLOOKUP(B2641, SourceData!$U$3:$V$190, 2, FALSE), "")</f>
        <v/>
      </c>
      <c r="D2641" s="240"/>
      <c r="E2641" s="241"/>
      <c r="F2641" s="248"/>
      <c r="G2641" s="207"/>
      <c r="H2641" s="209"/>
      <c r="I2641" s="209"/>
      <c r="J2641" s="209"/>
      <c r="K2641" s="208" t="str">
        <f>IF(Errors!$I2641=0,SourceData!$B$42,VLOOKUP(Errors!$I2641,SourceData!$A$2:$B$40,2,FALSE))</f>
        <v>Please select ERROR CODE column "I"</v>
      </c>
      <c r="L2641" s="207" t="str">
        <f>IF(Errors!$I2641=0,
    'List of Error Codes'!$E$29,
    IFERROR(VLOOKUP(Errors!$I2641, 'List of Error Codes'!D2640:I2670, 6, FALSE), 'List of Error Codes'!$E$29)
)</f>
        <v>Please select ERROR CODE column "I"</v>
      </c>
      <c r="M2641" s="209"/>
      <c r="N2641" s="209"/>
      <c r="O2641" s="209"/>
      <c r="P2641" s="209"/>
      <c r="Q2641" s="209"/>
      <c r="R2641" s="217"/>
      <c r="S2641" s="217"/>
      <c r="T2641" s="217"/>
      <c r="U2641" s="199"/>
      <c r="V2641" s="200"/>
      <c r="W2641" s="200"/>
      <c r="X2641" s="200"/>
      <c r="Y2641" s="200"/>
      <c r="Z2641" s="200"/>
      <c r="AA2641" s="201"/>
      <c r="AB2641" s="200"/>
      <c r="AC2641" s="200"/>
    </row>
    <row r="2642" ht="15.75" customHeight="1">
      <c r="A2642" s="210">
        <f t="shared" si="1"/>
        <v>2640</v>
      </c>
      <c r="B2642" s="217"/>
      <c r="C2642" s="217" t="str">
        <f>IFERROR(VLOOKUP(B2642, SourceData!$U$3:$V$190, 2, FALSE), "")</f>
        <v/>
      </c>
      <c r="D2642" s="240"/>
      <c r="E2642" s="241"/>
      <c r="F2642" s="248"/>
      <c r="G2642" s="207"/>
      <c r="H2642" s="209"/>
      <c r="I2642" s="209"/>
      <c r="J2642" s="209"/>
      <c r="K2642" s="208" t="str">
        <f>IF(Errors!$I2642=0,SourceData!$B$42,VLOOKUP(Errors!$I2642,SourceData!$A$2:$B$40,2,FALSE))</f>
        <v>Please select ERROR CODE column "I"</v>
      </c>
      <c r="L2642" s="207" t="str">
        <f>IF(Errors!$I2642=0,
    'List of Error Codes'!$E$29,
    IFERROR(VLOOKUP(Errors!$I2642, 'List of Error Codes'!D2641:I2671, 6, FALSE), 'List of Error Codes'!$E$29)
)</f>
        <v>Please select ERROR CODE column "I"</v>
      </c>
      <c r="M2642" s="209"/>
      <c r="N2642" s="209"/>
      <c r="O2642" s="209"/>
      <c r="P2642" s="209"/>
      <c r="Q2642" s="209"/>
      <c r="R2642" s="217"/>
      <c r="S2642" s="217"/>
      <c r="T2642" s="217"/>
      <c r="U2642" s="199"/>
      <c r="V2642" s="200"/>
      <c r="W2642" s="200"/>
      <c r="X2642" s="200"/>
      <c r="Y2642" s="200"/>
      <c r="Z2642" s="200"/>
      <c r="AA2642" s="201"/>
      <c r="AB2642" s="200"/>
      <c r="AC2642" s="200"/>
    </row>
    <row r="2643" ht="15.75" customHeight="1">
      <c r="A2643" s="210">
        <f t="shared" si="1"/>
        <v>2641</v>
      </c>
      <c r="B2643" s="217"/>
      <c r="C2643" s="217" t="str">
        <f>IFERROR(VLOOKUP(B2643, SourceData!$U$3:$V$190, 2, FALSE), "")</f>
        <v/>
      </c>
      <c r="D2643" s="240"/>
      <c r="E2643" s="241"/>
      <c r="F2643" s="248"/>
      <c r="G2643" s="207"/>
      <c r="H2643" s="209"/>
      <c r="I2643" s="209"/>
      <c r="J2643" s="209"/>
      <c r="K2643" s="208" t="str">
        <f>IF(Errors!$I2643=0,SourceData!$B$42,VLOOKUP(Errors!$I2643,SourceData!$A$2:$B$40,2,FALSE))</f>
        <v>Please select ERROR CODE column "I"</v>
      </c>
      <c r="L2643" s="207" t="str">
        <f>IF(Errors!$I2643=0,
    'List of Error Codes'!$E$29,
    IFERROR(VLOOKUP(Errors!$I2643, 'List of Error Codes'!D2642:I2672, 6, FALSE), 'List of Error Codes'!$E$29)
)</f>
        <v>Please select ERROR CODE column "I"</v>
      </c>
      <c r="M2643" s="209"/>
      <c r="N2643" s="209"/>
      <c r="O2643" s="209"/>
      <c r="P2643" s="209"/>
      <c r="Q2643" s="209"/>
      <c r="R2643" s="217"/>
      <c r="S2643" s="217"/>
      <c r="T2643" s="217"/>
      <c r="U2643" s="199"/>
      <c r="V2643" s="200"/>
      <c r="W2643" s="200"/>
      <c r="X2643" s="200"/>
      <c r="Y2643" s="200"/>
      <c r="Z2643" s="200"/>
      <c r="AA2643" s="201"/>
      <c r="AB2643" s="200"/>
      <c r="AC2643" s="200"/>
    </row>
    <row r="2644" ht="15.75" customHeight="1">
      <c r="A2644" s="210">
        <f t="shared" si="1"/>
        <v>2642</v>
      </c>
      <c r="B2644" s="217"/>
      <c r="C2644" s="217" t="str">
        <f>IFERROR(VLOOKUP(B2644, SourceData!$U$3:$V$190, 2, FALSE), "")</f>
        <v/>
      </c>
      <c r="D2644" s="240"/>
      <c r="E2644" s="241"/>
      <c r="F2644" s="248"/>
      <c r="G2644" s="207"/>
      <c r="H2644" s="209"/>
      <c r="I2644" s="209"/>
      <c r="J2644" s="209"/>
      <c r="K2644" s="208" t="str">
        <f>IF(Errors!$I2644=0,SourceData!$B$42,VLOOKUP(Errors!$I2644,SourceData!$A$2:$B$40,2,FALSE))</f>
        <v>Please select ERROR CODE column "I"</v>
      </c>
      <c r="L2644" s="207" t="str">
        <f>IF(Errors!$I2644=0,
    'List of Error Codes'!$E$29,
    IFERROR(VLOOKUP(Errors!$I2644, 'List of Error Codes'!D2643:I2673, 6, FALSE), 'List of Error Codes'!$E$29)
)</f>
        <v>Please select ERROR CODE column "I"</v>
      </c>
      <c r="M2644" s="209"/>
      <c r="N2644" s="209"/>
      <c r="O2644" s="209"/>
      <c r="P2644" s="209"/>
      <c r="Q2644" s="209"/>
      <c r="R2644" s="217"/>
      <c r="S2644" s="217"/>
      <c r="T2644" s="217"/>
      <c r="U2644" s="199"/>
      <c r="V2644" s="200"/>
      <c r="W2644" s="200"/>
      <c r="X2644" s="200"/>
      <c r="Y2644" s="200"/>
      <c r="Z2644" s="200"/>
      <c r="AA2644" s="201"/>
      <c r="AB2644" s="200"/>
      <c r="AC2644" s="200"/>
    </row>
    <row r="2645" ht="15.75" customHeight="1">
      <c r="A2645" s="210">
        <f t="shared" si="1"/>
        <v>2643</v>
      </c>
      <c r="B2645" s="217"/>
      <c r="C2645" s="217" t="str">
        <f>IFERROR(VLOOKUP(B2645, SourceData!$U$3:$V$190, 2, FALSE), "")</f>
        <v/>
      </c>
      <c r="D2645" s="240"/>
      <c r="E2645" s="241"/>
      <c r="F2645" s="248"/>
      <c r="G2645" s="207"/>
      <c r="H2645" s="209"/>
      <c r="I2645" s="209"/>
      <c r="J2645" s="209"/>
      <c r="K2645" s="208" t="str">
        <f>IF(Errors!$I2645=0,SourceData!$B$42,VLOOKUP(Errors!$I2645,SourceData!$A$2:$B$40,2,FALSE))</f>
        <v>Please select ERROR CODE column "I"</v>
      </c>
      <c r="L2645" s="207" t="str">
        <f>IF(Errors!$I2645=0,
    'List of Error Codes'!$E$29,
    IFERROR(VLOOKUP(Errors!$I2645, 'List of Error Codes'!D2644:I2674, 6, FALSE), 'List of Error Codes'!$E$29)
)</f>
        <v>Please select ERROR CODE column "I"</v>
      </c>
      <c r="M2645" s="209"/>
      <c r="N2645" s="209"/>
      <c r="O2645" s="209"/>
      <c r="P2645" s="209"/>
      <c r="Q2645" s="209"/>
      <c r="R2645" s="217"/>
      <c r="S2645" s="217"/>
      <c r="T2645" s="217"/>
      <c r="U2645" s="199"/>
      <c r="V2645" s="200"/>
      <c r="W2645" s="200"/>
      <c r="X2645" s="200"/>
      <c r="Y2645" s="200"/>
      <c r="Z2645" s="200"/>
      <c r="AA2645" s="201"/>
      <c r="AB2645" s="200"/>
      <c r="AC2645" s="200"/>
    </row>
    <row r="2646" ht="15.75" customHeight="1">
      <c r="A2646" s="210">
        <f t="shared" si="1"/>
        <v>2644</v>
      </c>
      <c r="B2646" s="217"/>
      <c r="C2646" s="217" t="str">
        <f>IFERROR(VLOOKUP(B2646, SourceData!$U$3:$V$190, 2, FALSE), "")</f>
        <v/>
      </c>
      <c r="D2646" s="240"/>
      <c r="E2646" s="241"/>
      <c r="F2646" s="248"/>
      <c r="G2646" s="207"/>
      <c r="H2646" s="209"/>
      <c r="I2646" s="209"/>
      <c r="J2646" s="209"/>
      <c r="K2646" s="208" t="str">
        <f>IF(Errors!$I2646=0,SourceData!$B$42,VLOOKUP(Errors!$I2646,SourceData!$A$2:$B$40,2,FALSE))</f>
        <v>Please select ERROR CODE column "I"</v>
      </c>
      <c r="L2646" s="207" t="str">
        <f>IF(Errors!$I2646=0,
    'List of Error Codes'!$E$29,
    IFERROR(VLOOKUP(Errors!$I2646, 'List of Error Codes'!D2645:I2675, 6, FALSE), 'List of Error Codes'!$E$29)
)</f>
        <v>Please select ERROR CODE column "I"</v>
      </c>
      <c r="M2646" s="209"/>
      <c r="N2646" s="209"/>
      <c r="O2646" s="209"/>
      <c r="P2646" s="209"/>
      <c r="Q2646" s="209"/>
      <c r="R2646" s="217"/>
      <c r="S2646" s="217"/>
      <c r="T2646" s="217"/>
      <c r="U2646" s="199"/>
      <c r="V2646" s="200"/>
      <c r="W2646" s="200"/>
      <c r="X2646" s="200"/>
      <c r="Y2646" s="200"/>
      <c r="Z2646" s="200"/>
      <c r="AA2646" s="201"/>
      <c r="AB2646" s="200"/>
      <c r="AC2646" s="200"/>
    </row>
    <row r="2647" ht="15.75" customHeight="1">
      <c r="A2647" s="210">
        <f t="shared" si="1"/>
        <v>2645</v>
      </c>
      <c r="B2647" s="217"/>
      <c r="C2647" s="217" t="str">
        <f>IFERROR(VLOOKUP(B2647, SourceData!$U$3:$V$190, 2, FALSE), "")</f>
        <v/>
      </c>
      <c r="D2647" s="240"/>
      <c r="E2647" s="241"/>
      <c r="F2647" s="248"/>
      <c r="G2647" s="207"/>
      <c r="H2647" s="209"/>
      <c r="I2647" s="209"/>
      <c r="J2647" s="209"/>
      <c r="K2647" s="208" t="str">
        <f>IF(Errors!$I2647=0,SourceData!$B$42,VLOOKUP(Errors!$I2647,SourceData!$A$2:$B$40,2,FALSE))</f>
        <v>Please select ERROR CODE column "I"</v>
      </c>
      <c r="L2647" s="207" t="str">
        <f>IF(Errors!$I2647=0,
    'List of Error Codes'!$E$29,
    IFERROR(VLOOKUP(Errors!$I2647, 'List of Error Codes'!D2646:I2676, 6, FALSE), 'List of Error Codes'!$E$29)
)</f>
        <v>Please select ERROR CODE column "I"</v>
      </c>
      <c r="M2647" s="209"/>
      <c r="N2647" s="209"/>
      <c r="O2647" s="209"/>
      <c r="P2647" s="209"/>
      <c r="Q2647" s="209"/>
      <c r="R2647" s="217"/>
      <c r="S2647" s="217"/>
      <c r="T2647" s="217"/>
      <c r="U2647" s="199"/>
      <c r="V2647" s="200"/>
      <c r="W2647" s="200"/>
      <c r="X2647" s="200"/>
      <c r="Y2647" s="200"/>
      <c r="Z2647" s="200"/>
      <c r="AA2647" s="201"/>
      <c r="AB2647" s="200"/>
      <c r="AC2647" s="200"/>
    </row>
    <row r="2648" ht="15.75" customHeight="1">
      <c r="A2648" s="210">
        <f t="shared" si="1"/>
        <v>2646</v>
      </c>
      <c r="B2648" s="217"/>
      <c r="C2648" s="217" t="str">
        <f>IFERROR(VLOOKUP(B2648, SourceData!$U$3:$V$190, 2, FALSE), "")</f>
        <v/>
      </c>
      <c r="D2648" s="240"/>
      <c r="E2648" s="241"/>
      <c r="F2648" s="248"/>
      <c r="G2648" s="207"/>
      <c r="H2648" s="209"/>
      <c r="I2648" s="209"/>
      <c r="J2648" s="209"/>
      <c r="K2648" s="208" t="str">
        <f>IF(Errors!$I2648=0,SourceData!$B$42,VLOOKUP(Errors!$I2648,SourceData!$A$2:$B$40,2,FALSE))</f>
        <v>Please select ERROR CODE column "I"</v>
      </c>
      <c r="L2648" s="207" t="str">
        <f>IF(Errors!$I2648=0,
    'List of Error Codes'!$E$29,
    IFERROR(VLOOKUP(Errors!$I2648, 'List of Error Codes'!D2647:I2677, 6, FALSE), 'List of Error Codes'!$E$29)
)</f>
        <v>Please select ERROR CODE column "I"</v>
      </c>
      <c r="M2648" s="209"/>
      <c r="N2648" s="209"/>
      <c r="O2648" s="209"/>
      <c r="P2648" s="209"/>
      <c r="Q2648" s="209"/>
      <c r="R2648" s="217"/>
      <c r="S2648" s="217"/>
      <c r="T2648" s="217"/>
      <c r="U2648" s="199"/>
      <c r="V2648" s="200"/>
      <c r="W2648" s="200"/>
      <c r="X2648" s="200"/>
      <c r="Y2648" s="200"/>
      <c r="Z2648" s="200"/>
      <c r="AA2648" s="201"/>
      <c r="AB2648" s="200"/>
      <c r="AC2648" s="200"/>
    </row>
    <row r="2649" ht="15.75" customHeight="1">
      <c r="A2649" s="210">
        <f t="shared" si="1"/>
        <v>2647</v>
      </c>
      <c r="B2649" s="217"/>
      <c r="C2649" s="217" t="str">
        <f>IFERROR(VLOOKUP(B2649, SourceData!$U$3:$V$190, 2, FALSE), "")</f>
        <v/>
      </c>
      <c r="D2649" s="240"/>
      <c r="E2649" s="241"/>
      <c r="F2649" s="248"/>
      <c r="G2649" s="207"/>
      <c r="H2649" s="209"/>
      <c r="I2649" s="209"/>
      <c r="J2649" s="209"/>
      <c r="K2649" s="208" t="str">
        <f>IF(Errors!$I2649=0,SourceData!$B$42,VLOOKUP(Errors!$I2649,SourceData!$A$2:$B$40,2,FALSE))</f>
        <v>Please select ERROR CODE column "I"</v>
      </c>
      <c r="L2649" s="207" t="str">
        <f>IF(Errors!$I2649=0,
    'List of Error Codes'!$E$29,
    IFERROR(VLOOKUP(Errors!$I2649, 'List of Error Codes'!D2648:I2678, 6, FALSE), 'List of Error Codes'!$E$29)
)</f>
        <v>Please select ERROR CODE column "I"</v>
      </c>
      <c r="M2649" s="209"/>
      <c r="N2649" s="209"/>
      <c r="O2649" s="209"/>
      <c r="P2649" s="209"/>
      <c r="Q2649" s="209"/>
      <c r="R2649" s="217"/>
      <c r="S2649" s="217"/>
      <c r="T2649" s="217"/>
      <c r="U2649" s="199"/>
      <c r="V2649" s="200"/>
      <c r="W2649" s="200"/>
      <c r="X2649" s="200"/>
      <c r="Y2649" s="200"/>
      <c r="Z2649" s="200"/>
      <c r="AA2649" s="201"/>
      <c r="AB2649" s="200"/>
      <c r="AC2649" s="200"/>
    </row>
    <row r="2650" ht="15.75" customHeight="1">
      <c r="A2650" s="210">
        <f t="shared" si="1"/>
        <v>2648</v>
      </c>
      <c r="B2650" s="217"/>
      <c r="C2650" s="217" t="str">
        <f>IFERROR(VLOOKUP(B2650, SourceData!$U$3:$V$190, 2, FALSE), "")</f>
        <v/>
      </c>
      <c r="D2650" s="240"/>
      <c r="E2650" s="241"/>
      <c r="F2650" s="248"/>
      <c r="G2650" s="207"/>
      <c r="H2650" s="209"/>
      <c r="I2650" s="209"/>
      <c r="J2650" s="209"/>
      <c r="K2650" s="208" t="str">
        <f>IF(Errors!$I2650=0,SourceData!$B$42,VLOOKUP(Errors!$I2650,SourceData!$A$2:$B$40,2,FALSE))</f>
        <v>Please select ERROR CODE column "I"</v>
      </c>
      <c r="L2650" s="207" t="str">
        <f>IF(Errors!$I2650=0,
    'List of Error Codes'!$E$29,
    IFERROR(VLOOKUP(Errors!$I2650, 'List of Error Codes'!D2649:I2679, 6, FALSE), 'List of Error Codes'!$E$29)
)</f>
        <v>Please select ERROR CODE column "I"</v>
      </c>
      <c r="M2650" s="209"/>
      <c r="N2650" s="209"/>
      <c r="O2650" s="209"/>
      <c r="P2650" s="209"/>
      <c r="Q2650" s="209"/>
      <c r="R2650" s="217"/>
      <c r="S2650" s="217"/>
      <c r="T2650" s="217"/>
      <c r="U2650" s="199"/>
      <c r="V2650" s="200"/>
      <c r="W2650" s="200"/>
      <c r="X2650" s="200"/>
      <c r="Y2650" s="200"/>
      <c r="Z2650" s="200"/>
      <c r="AA2650" s="201"/>
      <c r="AB2650" s="200"/>
      <c r="AC2650" s="200"/>
    </row>
    <row r="2651" ht="15.75" customHeight="1">
      <c r="A2651" s="210">
        <f t="shared" si="1"/>
        <v>2649</v>
      </c>
      <c r="B2651" s="217"/>
      <c r="C2651" s="217" t="str">
        <f>IFERROR(VLOOKUP(B2651, SourceData!$U$3:$V$190, 2, FALSE), "")</f>
        <v/>
      </c>
      <c r="D2651" s="240"/>
      <c r="E2651" s="241"/>
      <c r="F2651" s="248"/>
      <c r="G2651" s="207"/>
      <c r="H2651" s="209"/>
      <c r="I2651" s="209"/>
      <c r="J2651" s="209"/>
      <c r="K2651" s="208" t="str">
        <f>IF(Errors!$I2651=0,SourceData!$B$42,VLOOKUP(Errors!$I2651,SourceData!$A$2:$B$40,2,FALSE))</f>
        <v>Please select ERROR CODE column "I"</v>
      </c>
      <c r="L2651" s="207" t="str">
        <f>IF(Errors!$I2651=0,
    'List of Error Codes'!$E$29,
    IFERROR(VLOOKUP(Errors!$I2651, 'List of Error Codes'!D2650:I2680, 6, FALSE), 'List of Error Codes'!$E$29)
)</f>
        <v>Please select ERROR CODE column "I"</v>
      </c>
      <c r="M2651" s="209"/>
      <c r="N2651" s="209"/>
      <c r="O2651" s="209"/>
      <c r="P2651" s="209"/>
      <c r="Q2651" s="209"/>
      <c r="R2651" s="217"/>
      <c r="S2651" s="217"/>
      <c r="T2651" s="217"/>
      <c r="U2651" s="199"/>
      <c r="V2651" s="200"/>
      <c r="W2651" s="200"/>
      <c r="X2651" s="200"/>
      <c r="Y2651" s="200"/>
      <c r="Z2651" s="200"/>
      <c r="AA2651" s="201"/>
      <c r="AB2651" s="200"/>
      <c r="AC2651" s="200"/>
    </row>
    <row r="2652" ht="15.75" customHeight="1">
      <c r="A2652" s="210">
        <f t="shared" si="1"/>
        <v>2650</v>
      </c>
      <c r="B2652" s="217"/>
      <c r="C2652" s="217" t="str">
        <f>IFERROR(VLOOKUP(B2652, SourceData!$U$3:$V$190, 2, FALSE), "")</f>
        <v/>
      </c>
      <c r="D2652" s="240"/>
      <c r="E2652" s="241"/>
      <c r="F2652" s="248"/>
      <c r="G2652" s="207"/>
      <c r="H2652" s="209"/>
      <c r="I2652" s="209"/>
      <c r="J2652" s="209"/>
      <c r="K2652" s="208" t="str">
        <f>IF(Errors!$I2652=0,SourceData!$B$42,VLOOKUP(Errors!$I2652,SourceData!$A$2:$B$40,2,FALSE))</f>
        <v>Please select ERROR CODE column "I"</v>
      </c>
      <c r="L2652" s="207" t="str">
        <f>IF(Errors!$I2652=0,
    'List of Error Codes'!$E$29,
    IFERROR(VLOOKUP(Errors!$I2652, 'List of Error Codes'!D2651:I2681, 6, FALSE), 'List of Error Codes'!$E$29)
)</f>
        <v>Please select ERROR CODE column "I"</v>
      </c>
      <c r="M2652" s="209"/>
      <c r="N2652" s="209"/>
      <c r="O2652" s="209"/>
      <c r="P2652" s="209"/>
      <c r="Q2652" s="209"/>
      <c r="R2652" s="217"/>
      <c r="S2652" s="217"/>
      <c r="T2652" s="217"/>
      <c r="U2652" s="199"/>
      <c r="V2652" s="200"/>
      <c r="W2652" s="200"/>
      <c r="X2652" s="200"/>
      <c r="Y2652" s="200"/>
      <c r="Z2652" s="200"/>
      <c r="AA2652" s="201"/>
      <c r="AB2652" s="200"/>
      <c r="AC2652" s="200"/>
    </row>
    <row r="2653" ht="15.75" customHeight="1">
      <c r="A2653" s="210">
        <f t="shared" si="1"/>
        <v>2651</v>
      </c>
      <c r="B2653" s="217"/>
      <c r="C2653" s="217" t="str">
        <f>IFERROR(VLOOKUP(B2653, SourceData!$U$3:$V$190, 2, FALSE), "")</f>
        <v/>
      </c>
      <c r="D2653" s="240"/>
      <c r="E2653" s="241"/>
      <c r="F2653" s="248"/>
      <c r="G2653" s="207"/>
      <c r="H2653" s="209"/>
      <c r="I2653" s="209"/>
      <c r="J2653" s="209"/>
      <c r="K2653" s="208" t="str">
        <f>IF(Errors!$I2653=0,SourceData!$B$42,VLOOKUP(Errors!$I2653,SourceData!$A$2:$B$40,2,FALSE))</f>
        <v>Please select ERROR CODE column "I"</v>
      </c>
      <c r="L2653" s="207" t="str">
        <f>IF(Errors!$I2653=0,
    'List of Error Codes'!$E$29,
    IFERROR(VLOOKUP(Errors!$I2653, 'List of Error Codes'!D2652:I2682, 6, FALSE), 'List of Error Codes'!$E$29)
)</f>
        <v>Please select ERROR CODE column "I"</v>
      </c>
      <c r="M2653" s="209"/>
      <c r="N2653" s="209"/>
      <c r="O2653" s="209"/>
      <c r="P2653" s="209"/>
      <c r="Q2653" s="209"/>
      <c r="R2653" s="217"/>
      <c r="S2653" s="217"/>
      <c r="T2653" s="217"/>
      <c r="U2653" s="199"/>
      <c r="V2653" s="200"/>
      <c r="W2653" s="200"/>
      <c r="X2653" s="200"/>
      <c r="Y2653" s="200"/>
      <c r="Z2653" s="200"/>
      <c r="AA2653" s="201"/>
      <c r="AB2653" s="200"/>
      <c r="AC2653" s="200"/>
    </row>
    <row r="2654" ht="15.75" customHeight="1">
      <c r="A2654" s="210">
        <f t="shared" si="1"/>
        <v>2652</v>
      </c>
      <c r="B2654" s="217"/>
      <c r="C2654" s="217" t="str">
        <f>IFERROR(VLOOKUP(B2654, SourceData!$U$3:$V$190, 2, FALSE), "")</f>
        <v/>
      </c>
      <c r="D2654" s="240"/>
      <c r="E2654" s="241"/>
      <c r="F2654" s="248"/>
      <c r="G2654" s="207"/>
      <c r="H2654" s="209"/>
      <c r="I2654" s="209"/>
      <c r="J2654" s="209"/>
      <c r="K2654" s="208" t="str">
        <f>IF(Errors!$I2654=0,SourceData!$B$42,VLOOKUP(Errors!$I2654,SourceData!$A$2:$B$40,2,FALSE))</f>
        <v>Please select ERROR CODE column "I"</v>
      </c>
      <c r="L2654" s="207" t="str">
        <f>IF(Errors!$I2654=0,
    'List of Error Codes'!$E$29,
    IFERROR(VLOOKUP(Errors!$I2654, 'List of Error Codes'!D2653:I2683, 6, FALSE), 'List of Error Codes'!$E$29)
)</f>
        <v>Please select ERROR CODE column "I"</v>
      </c>
      <c r="M2654" s="209"/>
      <c r="N2654" s="209"/>
      <c r="O2654" s="209"/>
      <c r="P2654" s="209"/>
      <c r="Q2654" s="209"/>
      <c r="R2654" s="217"/>
      <c r="S2654" s="217"/>
      <c r="T2654" s="217"/>
      <c r="U2654" s="199"/>
      <c r="V2654" s="200"/>
      <c r="W2654" s="200"/>
      <c r="X2654" s="200"/>
      <c r="Y2654" s="200"/>
      <c r="Z2654" s="200"/>
      <c r="AA2654" s="201"/>
      <c r="AB2654" s="200"/>
      <c r="AC2654" s="200"/>
    </row>
    <row r="2655" ht="15.75" customHeight="1">
      <c r="A2655" s="210">
        <f t="shared" si="1"/>
        <v>2653</v>
      </c>
      <c r="B2655" s="217"/>
      <c r="C2655" s="217" t="str">
        <f>IFERROR(VLOOKUP(B2655, SourceData!$U$3:$V$190, 2, FALSE), "")</f>
        <v/>
      </c>
      <c r="D2655" s="240"/>
      <c r="E2655" s="241"/>
      <c r="F2655" s="248"/>
      <c r="G2655" s="207"/>
      <c r="H2655" s="209"/>
      <c r="I2655" s="209"/>
      <c r="J2655" s="209"/>
      <c r="K2655" s="208" t="str">
        <f>IF(Errors!$I2655=0,SourceData!$B$42,VLOOKUP(Errors!$I2655,SourceData!$A$2:$B$40,2,FALSE))</f>
        <v>Please select ERROR CODE column "I"</v>
      </c>
      <c r="L2655" s="207" t="str">
        <f>IF(Errors!$I2655=0,
    'List of Error Codes'!$E$29,
    IFERROR(VLOOKUP(Errors!$I2655, 'List of Error Codes'!D2654:I2684, 6, FALSE), 'List of Error Codes'!$E$29)
)</f>
        <v>Please select ERROR CODE column "I"</v>
      </c>
      <c r="M2655" s="209"/>
      <c r="N2655" s="209"/>
      <c r="O2655" s="209"/>
      <c r="P2655" s="209"/>
      <c r="Q2655" s="209"/>
      <c r="R2655" s="217"/>
      <c r="S2655" s="217"/>
      <c r="T2655" s="217"/>
      <c r="U2655" s="199"/>
      <c r="V2655" s="200"/>
      <c r="W2655" s="200"/>
      <c r="X2655" s="200"/>
      <c r="Y2655" s="200"/>
      <c r="Z2655" s="200"/>
      <c r="AA2655" s="201"/>
      <c r="AB2655" s="200"/>
      <c r="AC2655" s="200"/>
    </row>
    <row r="2656" ht="15.75" customHeight="1">
      <c r="A2656" s="210">
        <f t="shared" si="1"/>
        <v>2654</v>
      </c>
      <c r="B2656" s="217"/>
      <c r="C2656" s="217" t="str">
        <f>IFERROR(VLOOKUP(B2656, SourceData!$U$3:$V$190, 2, FALSE), "")</f>
        <v/>
      </c>
      <c r="D2656" s="240"/>
      <c r="E2656" s="241"/>
      <c r="F2656" s="248"/>
      <c r="G2656" s="207"/>
      <c r="H2656" s="209"/>
      <c r="I2656" s="209"/>
      <c r="J2656" s="209"/>
      <c r="K2656" s="208" t="str">
        <f>IF(Errors!$I2656=0,SourceData!$B$42,VLOOKUP(Errors!$I2656,SourceData!$A$2:$B$40,2,FALSE))</f>
        <v>Please select ERROR CODE column "I"</v>
      </c>
      <c r="L2656" s="207" t="str">
        <f>IF(Errors!$I2656=0,
    'List of Error Codes'!$E$29,
    IFERROR(VLOOKUP(Errors!$I2656, 'List of Error Codes'!D2655:I2685, 6, FALSE), 'List of Error Codes'!$E$29)
)</f>
        <v>Please select ERROR CODE column "I"</v>
      </c>
      <c r="M2656" s="209"/>
      <c r="N2656" s="209"/>
      <c r="O2656" s="209"/>
      <c r="P2656" s="209"/>
      <c r="Q2656" s="209"/>
      <c r="R2656" s="217"/>
      <c r="S2656" s="217"/>
      <c r="T2656" s="217"/>
      <c r="U2656" s="199"/>
      <c r="V2656" s="200"/>
      <c r="W2656" s="200"/>
      <c r="X2656" s="200"/>
      <c r="Y2656" s="200"/>
      <c r="Z2656" s="200"/>
      <c r="AA2656" s="201"/>
      <c r="AB2656" s="200"/>
      <c r="AC2656" s="200"/>
    </row>
    <row r="2657" ht="15.75" customHeight="1">
      <c r="A2657" s="210">
        <f t="shared" si="1"/>
        <v>2655</v>
      </c>
      <c r="B2657" s="217"/>
      <c r="C2657" s="217" t="str">
        <f>IFERROR(VLOOKUP(B2657, SourceData!$U$3:$V$190, 2, FALSE), "")</f>
        <v/>
      </c>
      <c r="D2657" s="240"/>
      <c r="E2657" s="241"/>
      <c r="F2657" s="248"/>
      <c r="G2657" s="207"/>
      <c r="H2657" s="209"/>
      <c r="I2657" s="209"/>
      <c r="J2657" s="209"/>
      <c r="K2657" s="208" t="str">
        <f>IF(Errors!$I2657=0,SourceData!$B$42,VLOOKUP(Errors!$I2657,SourceData!$A$2:$B$40,2,FALSE))</f>
        <v>Please select ERROR CODE column "I"</v>
      </c>
      <c r="L2657" s="207" t="str">
        <f>IF(Errors!$I2657=0,
    'List of Error Codes'!$E$29,
    IFERROR(VLOOKUP(Errors!$I2657, 'List of Error Codes'!D2656:I2686, 6, FALSE), 'List of Error Codes'!$E$29)
)</f>
        <v>Please select ERROR CODE column "I"</v>
      </c>
      <c r="M2657" s="209"/>
      <c r="N2657" s="209"/>
      <c r="O2657" s="209"/>
      <c r="P2657" s="209"/>
      <c r="Q2657" s="209"/>
      <c r="R2657" s="217"/>
      <c r="S2657" s="217"/>
      <c r="T2657" s="217"/>
      <c r="U2657" s="199"/>
      <c r="V2657" s="200"/>
      <c r="W2657" s="200"/>
      <c r="X2657" s="200"/>
      <c r="Y2657" s="200"/>
      <c r="Z2657" s="200"/>
      <c r="AA2657" s="201"/>
      <c r="AB2657" s="200"/>
      <c r="AC2657" s="200"/>
    </row>
    <row r="2658" ht="15.75" customHeight="1">
      <c r="A2658" s="210">
        <f t="shared" si="1"/>
        <v>2656</v>
      </c>
      <c r="B2658" s="217"/>
      <c r="C2658" s="217" t="str">
        <f>IFERROR(VLOOKUP(B2658, SourceData!$U$3:$V$190, 2, FALSE), "")</f>
        <v/>
      </c>
      <c r="D2658" s="240"/>
      <c r="E2658" s="241"/>
      <c r="F2658" s="248"/>
      <c r="G2658" s="207"/>
      <c r="H2658" s="209"/>
      <c r="I2658" s="209"/>
      <c r="J2658" s="209"/>
      <c r="K2658" s="208" t="str">
        <f>IF(Errors!$I2658=0,SourceData!$B$42,VLOOKUP(Errors!$I2658,SourceData!$A$2:$B$40,2,FALSE))</f>
        <v>Please select ERROR CODE column "I"</v>
      </c>
      <c r="L2658" s="207" t="str">
        <f>IF(Errors!$I2658=0,
    'List of Error Codes'!$E$29,
    IFERROR(VLOOKUP(Errors!$I2658, 'List of Error Codes'!D2657:I2687, 6, FALSE), 'List of Error Codes'!$E$29)
)</f>
        <v>Please select ERROR CODE column "I"</v>
      </c>
      <c r="M2658" s="209"/>
      <c r="N2658" s="209"/>
      <c r="O2658" s="209"/>
      <c r="P2658" s="209"/>
      <c r="Q2658" s="209"/>
      <c r="R2658" s="217"/>
      <c r="S2658" s="217"/>
      <c r="T2658" s="217"/>
      <c r="U2658" s="199"/>
      <c r="V2658" s="200"/>
      <c r="W2658" s="200"/>
      <c r="X2658" s="200"/>
      <c r="Y2658" s="200"/>
      <c r="Z2658" s="200"/>
      <c r="AA2658" s="201"/>
      <c r="AB2658" s="200"/>
      <c r="AC2658" s="200"/>
    </row>
    <row r="2659" ht="15.75" customHeight="1">
      <c r="A2659" s="210">
        <f t="shared" si="1"/>
        <v>2657</v>
      </c>
      <c r="B2659" s="217"/>
      <c r="C2659" s="217" t="str">
        <f>IFERROR(VLOOKUP(B2659, SourceData!$U$3:$V$190, 2, FALSE), "")</f>
        <v/>
      </c>
      <c r="D2659" s="240"/>
      <c r="E2659" s="241"/>
      <c r="F2659" s="248"/>
      <c r="G2659" s="207"/>
      <c r="H2659" s="209"/>
      <c r="I2659" s="209"/>
      <c r="J2659" s="209"/>
      <c r="K2659" s="208" t="str">
        <f>IF(Errors!$I2659=0,SourceData!$B$42,VLOOKUP(Errors!$I2659,SourceData!$A$2:$B$40,2,FALSE))</f>
        <v>Please select ERROR CODE column "I"</v>
      </c>
      <c r="L2659" s="207" t="str">
        <f>IF(Errors!$I2659=0,
    'List of Error Codes'!$E$29,
    IFERROR(VLOOKUP(Errors!$I2659, 'List of Error Codes'!D2658:I2688, 6, FALSE), 'List of Error Codes'!$E$29)
)</f>
        <v>Please select ERROR CODE column "I"</v>
      </c>
      <c r="M2659" s="209"/>
      <c r="N2659" s="209"/>
      <c r="O2659" s="209"/>
      <c r="P2659" s="209"/>
      <c r="Q2659" s="209"/>
      <c r="R2659" s="217"/>
      <c r="S2659" s="217"/>
      <c r="T2659" s="217"/>
      <c r="U2659" s="199"/>
      <c r="V2659" s="200"/>
      <c r="W2659" s="200"/>
      <c r="X2659" s="200"/>
      <c r="Y2659" s="200"/>
      <c r="Z2659" s="200"/>
      <c r="AA2659" s="201"/>
      <c r="AB2659" s="200"/>
      <c r="AC2659" s="200"/>
    </row>
    <row r="2660" ht="15.75" customHeight="1">
      <c r="A2660" s="210">
        <f t="shared" si="1"/>
        <v>2658</v>
      </c>
      <c r="B2660" s="217"/>
      <c r="C2660" s="217" t="str">
        <f>IFERROR(VLOOKUP(B2660, SourceData!$U$3:$V$190, 2, FALSE), "")</f>
        <v/>
      </c>
      <c r="D2660" s="240"/>
      <c r="E2660" s="241"/>
      <c r="F2660" s="248"/>
      <c r="G2660" s="207"/>
      <c r="H2660" s="209"/>
      <c r="I2660" s="209"/>
      <c r="J2660" s="209"/>
      <c r="K2660" s="208" t="str">
        <f>IF(Errors!$I2660=0,SourceData!$B$42,VLOOKUP(Errors!$I2660,SourceData!$A$2:$B$40,2,FALSE))</f>
        <v>Please select ERROR CODE column "I"</v>
      </c>
      <c r="L2660" s="207" t="str">
        <f>IF(Errors!$I2660=0,
    'List of Error Codes'!$E$29,
    IFERROR(VLOOKUP(Errors!$I2660, 'List of Error Codes'!D2659:I2689, 6, FALSE), 'List of Error Codes'!$E$29)
)</f>
        <v>Please select ERROR CODE column "I"</v>
      </c>
      <c r="M2660" s="209"/>
      <c r="N2660" s="209"/>
      <c r="O2660" s="209"/>
      <c r="P2660" s="209"/>
      <c r="Q2660" s="209"/>
      <c r="R2660" s="217"/>
      <c r="S2660" s="217"/>
      <c r="T2660" s="217"/>
      <c r="U2660" s="199"/>
      <c r="V2660" s="200"/>
      <c r="W2660" s="200"/>
      <c r="X2660" s="200"/>
      <c r="Y2660" s="200"/>
      <c r="Z2660" s="200"/>
      <c r="AA2660" s="201"/>
      <c r="AB2660" s="200"/>
      <c r="AC2660" s="200"/>
    </row>
    <row r="2661" ht="15.75" customHeight="1">
      <c r="A2661" s="210">
        <f t="shared" si="1"/>
        <v>2659</v>
      </c>
      <c r="B2661" s="217"/>
      <c r="C2661" s="217" t="str">
        <f>IFERROR(VLOOKUP(B2661, SourceData!$U$3:$V$190, 2, FALSE), "")</f>
        <v/>
      </c>
      <c r="D2661" s="240"/>
      <c r="E2661" s="241"/>
      <c r="F2661" s="248"/>
      <c r="G2661" s="207"/>
      <c r="H2661" s="209"/>
      <c r="I2661" s="209"/>
      <c r="J2661" s="209"/>
      <c r="K2661" s="208" t="str">
        <f>IF(Errors!$I2661=0,SourceData!$B$42,VLOOKUP(Errors!$I2661,SourceData!$A$2:$B$40,2,FALSE))</f>
        <v>Please select ERROR CODE column "I"</v>
      </c>
      <c r="L2661" s="207" t="str">
        <f>IF(Errors!$I2661=0,
    'List of Error Codes'!$E$29,
    IFERROR(VLOOKUP(Errors!$I2661, 'List of Error Codes'!D2660:I2690, 6, FALSE), 'List of Error Codes'!$E$29)
)</f>
        <v>Please select ERROR CODE column "I"</v>
      </c>
      <c r="M2661" s="209"/>
      <c r="N2661" s="209"/>
      <c r="O2661" s="209"/>
      <c r="P2661" s="209"/>
      <c r="Q2661" s="209"/>
      <c r="R2661" s="217"/>
      <c r="S2661" s="217"/>
      <c r="T2661" s="217"/>
      <c r="U2661" s="199"/>
      <c r="V2661" s="200"/>
      <c r="W2661" s="200"/>
      <c r="X2661" s="200"/>
      <c r="Y2661" s="200"/>
      <c r="Z2661" s="200"/>
      <c r="AA2661" s="201"/>
      <c r="AB2661" s="200"/>
      <c r="AC2661" s="200"/>
    </row>
    <row r="2662" ht="15.75" customHeight="1">
      <c r="A2662" s="210">
        <f t="shared" si="1"/>
        <v>2660</v>
      </c>
      <c r="B2662" s="217"/>
      <c r="C2662" s="217" t="str">
        <f>IFERROR(VLOOKUP(B2662, SourceData!$U$3:$V$190, 2, FALSE), "")</f>
        <v/>
      </c>
      <c r="D2662" s="240"/>
      <c r="E2662" s="241"/>
      <c r="F2662" s="248"/>
      <c r="G2662" s="207"/>
      <c r="H2662" s="209"/>
      <c r="I2662" s="209"/>
      <c r="J2662" s="209"/>
      <c r="K2662" s="208" t="str">
        <f>IF(Errors!$I2662=0,SourceData!$B$42,VLOOKUP(Errors!$I2662,SourceData!$A$2:$B$40,2,FALSE))</f>
        <v>Please select ERROR CODE column "I"</v>
      </c>
      <c r="L2662" s="207" t="str">
        <f>IF(Errors!$I2662=0,
    'List of Error Codes'!$E$29,
    IFERROR(VLOOKUP(Errors!$I2662, 'List of Error Codes'!D2661:I2691, 6, FALSE), 'List of Error Codes'!$E$29)
)</f>
        <v>Please select ERROR CODE column "I"</v>
      </c>
      <c r="M2662" s="209"/>
      <c r="N2662" s="209"/>
      <c r="O2662" s="209"/>
      <c r="P2662" s="209"/>
      <c r="Q2662" s="209"/>
      <c r="R2662" s="217"/>
      <c r="S2662" s="217"/>
      <c r="T2662" s="217"/>
      <c r="U2662" s="199"/>
      <c r="V2662" s="200"/>
      <c r="W2662" s="200"/>
      <c r="X2662" s="200"/>
      <c r="Y2662" s="200"/>
      <c r="Z2662" s="200"/>
      <c r="AA2662" s="201"/>
      <c r="AB2662" s="200"/>
      <c r="AC2662" s="200"/>
    </row>
    <row r="2663" ht="15.75" customHeight="1">
      <c r="A2663" s="210">
        <f t="shared" si="1"/>
        <v>2661</v>
      </c>
      <c r="B2663" s="217"/>
      <c r="C2663" s="217" t="str">
        <f>IFERROR(VLOOKUP(B2663, SourceData!$U$3:$V$190, 2, FALSE), "")</f>
        <v/>
      </c>
      <c r="D2663" s="240"/>
      <c r="E2663" s="241"/>
      <c r="F2663" s="248"/>
      <c r="G2663" s="207"/>
      <c r="H2663" s="209"/>
      <c r="I2663" s="209"/>
      <c r="J2663" s="209"/>
      <c r="K2663" s="208" t="str">
        <f>IF(Errors!$I2663=0,SourceData!$B$42,VLOOKUP(Errors!$I2663,SourceData!$A$2:$B$40,2,FALSE))</f>
        <v>Please select ERROR CODE column "I"</v>
      </c>
      <c r="L2663" s="207" t="str">
        <f>IF(Errors!$I2663=0,
    'List of Error Codes'!$E$29,
    IFERROR(VLOOKUP(Errors!$I2663, 'List of Error Codes'!D2662:I2692, 6, FALSE), 'List of Error Codes'!$E$29)
)</f>
        <v>Please select ERROR CODE column "I"</v>
      </c>
      <c r="M2663" s="209"/>
      <c r="N2663" s="209"/>
      <c r="O2663" s="209"/>
      <c r="P2663" s="209"/>
      <c r="Q2663" s="209"/>
      <c r="R2663" s="217"/>
      <c r="S2663" s="217"/>
      <c r="T2663" s="217"/>
      <c r="U2663" s="199"/>
      <c r="V2663" s="200"/>
      <c r="W2663" s="200"/>
      <c r="X2663" s="200"/>
      <c r="Y2663" s="200"/>
      <c r="Z2663" s="200"/>
      <c r="AA2663" s="201"/>
      <c r="AB2663" s="200"/>
      <c r="AC2663" s="200"/>
    </row>
    <row r="2664" ht="15.75" customHeight="1">
      <c r="A2664" s="210">
        <f t="shared" si="1"/>
        <v>2662</v>
      </c>
      <c r="B2664" s="217"/>
      <c r="C2664" s="217" t="str">
        <f>IFERROR(VLOOKUP(B2664, SourceData!$U$3:$V$190, 2, FALSE), "")</f>
        <v/>
      </c>
      <c r="D2664" s="240"/>
      <c r="E2664" s="241"/>
      <c r="F2664" s="248"/>
      <c r="G2664" s="207"/>
      <c r="H2664" s="209"/>
      <c r="I2664" s="209"/>
      <c r="J2664" s="209"/>
      <c r="K2664" s="208" t="str">
        <f>IF(Errors!$I2664=0,SourceData!$B$42,VLOOKUP(Errors!$I2664,SourceData!$A$2:$B$40,2,FALSE))</f>
        <v>Please select ERROR CODE column "I"</v>
      </c>
      <c r="L2664" s="207" t="str">
        <f>IF(Errors!$I2664=0,
    'List of Error Codes'!$E$29,
    IFERROR(VLOOKUP(Errors!$I2664, 'List of Error Codes'!D2663:I2693, 6, FALSE), 'List of Error Codes'!$E$29)
)</f>
        <v>Please select ERROR CODE column "I"</v>
      </c>
      <c r="M2664" s="209"/>
      <c r="N2664" s="209"/>
      <c r="O2664" s="209"/>
      <c r="P2664" s="209"/>
      <c r="Q2664" s="209"/>
      <c r="R2664" s="217"/>
      <c r="S2664" s="217"/>
      <c r="T2664" s="217"/>
      <c r="U2664" s="199"/>
      <c r="V2664" s="200"/>
      <c r="W2664" s="200"/>
      <c r="X2664" s="200"/>
      <c r="Y2664" s="200"/>
      <c r="Z2664" s="200"/>
      <c r="AA2664" s="201"/>
      <c r="AB2664" s="200"/>
      <c r="AC2664" s="200"/>
    </row>
    <row r="2665" ht="15.75" customHeight="1">
      <c r="A2665" s="210">
        <f t="shared" si="1"/>
        <v>2663</v>
      </c>
      <c r="B2665" s="217"/>
      <c r="C2665" s="217" t="str">
        <f>IFERROR(VLOOKUP(B2665, SourceData!$U$3:$V$190, 2, FALSE), "")</f>
        <v/>
      </c>
      <c r="D2665" s="240"/>
      <c r="E2665" s="241"/>
      <c r="F2665" s="248"/>
      <c r="G2665" s="207"/>
      <c r="H2665" s="209"/>
      <c r="I2665" s="209"/>
      <c r="J2665" s="209"/>
      <c r="K2665" s="208" t="str">
        <f>IF(Errors!$I2665=0,SourceData!$B$42,VLOOKUP(Errors!$I2665,SourceData!$A$2:$B$40,2,FALSE))</f>
        <v>Please select ERROR CODE column "I"</v>
      </c>
      <c r="L2665" s="207" t="str">
        <f>IF(Errors!$I2665=0,
    'List of Error Codes'!$E$29,
    IFERROR(VLOOKUP(Errors!$I2665, 'List of Error Codes'!D2664:I2694, 6, FALSE), 'List of Error Codes'!$E$29)
)</f>
        <v>Please select ERROR CODE column "I"</v>
      </c>
      <c r="M2665" s="209"/>
      <c r="N2665" s="209"/>
      <c r="O2665" s="209"/>
      <c r="P2665" s="209"/>
      <c r="Q2665" s="209"/>
      <c r="R2665" s="217"/>
      <c r="S2665" s="217"/>
      <c r="T2665" s="217"/>
      <c r="U2665" s="199"/>
      <c r="V2665" s="200"/>
      <c r="W2665" s="200"/>
      <c r="X2665" s="200"/>
      <c r="Y2665" s="200"/>
      <c r="Z2665" s="200"/>
      <c r="AA2665" s="201"/>
      <c r="AB2665" s="200"/>
      <c r="AC2665" s="200"/>
    </row>
    <row r="2666" ht="15.75" customHeight="1">
      <c r="A2666" s="210">
        <f t="shared" si="1"/>
        <v>2664</v>
      </c>
      <c r="B2666" s="217"/>
      <c r="C2666" s="217" t="str">
        <f>IFERROR(VLOOKUP(B2666, SourceData!$U$3:$V$190, 2, FALSE), "")</f>
        <v/>
      </c>
      <c r="D2666" s="240"/>
      <c r="E2666" s="241"/>
      <c r="F2666" s="248"/>
      <c r="G2666" s="207"/>
      <c r="H2666" s="209"/>
      <c r="I2666" s="209"/>
      <c r="J2666" s="209"/>
      <c r="K2666" s="208" t="str">
        <f>IF(Errors!$I2666=0,SourceData!$B$42,VLOOKUP(Errors!$I2666,SourceData!$A$2:$B$40,2,FALSE))</f>
        <v>Please select ERROR CODE column "I"</v>
      </c>
      <c r="L2666" s="207" t="str">
        <f>IF(Errors!$I2666=0,
    'List of Error Codes'!$E$29,
    IFERROR(VLOOKUP(Errors!$I2666, 'List of Error Codes'!D2665:I2695, 6, FALSE), 'List of Error Codes'!$E$29)
)</f>
        <v>Please select ERROR CODE column "I"</v>
      </c>
      <c r="M2666" s="209"/>
      <c r="N2666" s="209"/>
      <c r="O2666" s="209"/>
      <c r="P2666" s="209"/>
      <c r="Q2666" s="209"/>
      <c r="R2666" s="217"/>
      <c r="S2666" s="217"/>
      <c r="T2666" s="217"/>
      <c r="U2666" s="199"/>
      <c r="V2666" s="200"/>
      <c r="W2666" s="200"/>
      <c r="X2666" s="200"/>
      <c r="Y2666" s="200"/>
      <c r="Z2666" s="200"/>
      <c r="AA2666" s="201"/>
      <c r="AB2666" s="200"/>
      <c r="AC2666" s="200"/>
    </row>
    <row r="2667" ht="15.75" customHeight="1">
      <c r="A2667" s="210">
        <f t="shared" si="1"/>
        <v>2665</v>
      </c>
      <c r="B2667" s="217"/>
      <c r="C2667" s="217" t="str">
        <f>IFERROR(VLOOKUP(B2667, SourceData!$U$3:$V$190, 2, FALSE), "")</f>
        <v/>
      </c>
      <c r="D2667" s="240"/>
      <c r="E2667" s="241"/>
      <c r="F2667" s="248"/>
      <c r="G2667" s="207"/>
      <c r="H2667" s="209"/>
      <c r="I2667" s="209"/>
      <c r="J2667" s="209"/>
      <c r="K2667" s="208" t="str">
        <f>IF(Errors!$I2667=0,SourceData!$B$42,VLOOKUP(Errors!$I2667,SourceData!$A$2:$B$40,2,FALSE))</f>
        <v>Please select ERROR CODE column "I"</v>
      </c>
      <c r="L2667" s="207" t="str">
        <f>IF(Errors!$I2667=0,
    'List of Error Codes'!$E$29,
    IFERROR(VLOOKUP(Errors!$I2667, 'List of Error Codes'!D2666:I2696, 6, FALSE), 'List of Error Codes'!$E$29)
)</f>
        <v>Please select ERROR CODE column "I"</v>
      </c>
      <c r="M2667" s="209"/>
      <c r="N2667" s="209"/>
      <c r="O2667" s="209"/>
      <c r="P2667" s="209"/>
      <c r="Q2667" s="209"/>
      <c r="R2667" s="217"/>
      <c r="S2667" s="217"/>
      <c r="T2667" s="217"/>
      <c r="U2667" s="199"/>
      <c r="V2667" s="200"/>
      <c r="W2667" s="200"/>
      <c r="X2667" s="200"/>
      <c r="Y2667" s="200"/>
      <c r="Z2667" s="200"/>
      <c r="AA2667" s="201"/>
      <c r="AB2667" s="200"/>
      <c r="AC2667" s="200"/>
    </row>
    <row r="2668" ht="15.75" customHeight="1">
      <c r="A2668" s="210">
        <f t="shared" si="1"/>
        <v>2666</v>
      </c>
      <c r="B2668" s="217"/>
      <c r="C2668" s="217" t="str">
        <f>IFERROR(VLOOKUP(B2668, SourceData!$U$3:$V$190, 2, FALSE), "")</f>
        <v/>
      </c>
      <c r="D2668" s="240"/>
      <c r="E2668" s="241"/>
      <c r="F2668" s="248"/>
      <c r="G2668" s="207"/>
      <c r="H2668" s="209"/>
      <c r="I2668" s="209"/>
      <c r="J2668" s="209"/>
      <c r="K2668" s="208" t="str">
        <f>IF(Errors!$I2668=0,SourceData!$B$42,VLOOKUP(Errors!$I2668,SourceData!$A$2:$B$40,2,FALSE))</f>
        <v>Please select ERROR CODE column "I"</v>
      </c>
      <c r="L2668" s="207" t="str">
        <f>IF(Errors!$I2668=0,
    'List of Error Codes'!$E$29,
    IFERROR(VLOOKUP(Errors!$I2668, 'List of Error Codes'!D2667:I2697, 6, FALSE), 'List of Error Codes'!$E$29)
)</f>
        <v>Please select ERROR CODE column "I"</v>
      </c>
      <c r="M2668" s="209"/>
      <c r="N2668" s="209"/>
      <c r="O2668" s="209"/>
      <c r="P2668" s="209"/>
      <c r="Q2668" s="209"/>
      <c r="R2668" s="217"/>
      <c r="S2668" s="217"/>
      <c r="T2668" s="217"/>
      <c r="U2668" s="199"/>
      <c r="V2668" s="200"/>
      <c r="W2668" s="200"/>
      <c r="X2668" s="200"/>
      <c r="Y2668" s="200"/>
      <c r="Z2668" s="200"/>
      <c r="AA2668" s="201"/>
      <c r="AB2668" s="200"/>
      <c r="AC2668" s="200"/>
    </row>
    <row r="2669" ht="15.75" customHeight="1">
      <c r="A2669" s="210">
        <f t="shared" si="1"/>
        <v>2667</v>
      </c>
      <c r="B2669" s="217"/>
      <c r="C2669" s="217" t="str">
        <f>IFERROR(VLOOKUP(B2669, SourceData!$U$3:$V$190, 2, FALSE), "")</f>
        <v/>
      </c>
      <c r="D2669" s="240"/>
      <c r="E2669" s="241"/>
      <c r="F2669" s="248"/>
      <c r="G2669" s="207"/>
      <c r="H2669" s="209"/>
      <c r="I2669" s="209"/>
      <c r="J2669" s="209"/>
      <c r="K2669" s="208" t="str">
        <f>IF(Errors!$I2669=0,SourceData!$B$42,VLOOKUP(Errors!$I2669,SourceData!$A$2:$B$40,2,FALSE))</f>
        <v>Please select ERROR CODE column "I"</v>
      </c>
      <c r="L2669" s="207" t="str">
        <f>IF(Errors!$I2669=0,
    'List of Error Codes'!$E$29,
    IFERROR(VLOOKUP(Errors!$I2669, 'List of Error Codes'!D2668:I2698, 6, FALSE), 'List of Error Codes'!$E$29)
)</f>
        <v>Please select ERROR CODE column "I"</v>
      </c>
      <c r="M2669" s="209"/>
      <c r="N2669" s="209"/>
      <c r="O2669" s="209"/>
      <c r="P2669" s="209"/>
      <c r="Q2669" s="209"/>
      <c r="R2669" s="217"/>
      <c r="S2669" s="217"/>
      <c r="T2669" s="217"/>
      <c r="U2669" s="199"/>
      <c r="V2669" s="200"/>
      <c r="W2669" s="200"/>
      <c r="X2669" s="200"/>
      <c r="Y2669" s="200"/>
      <c r="Z2669" s="200"/>
      <c r="AA2669" s="201"/>
      <c r="AB2669" s="200"/>
      <c r="AC2669" s="200"/>
    </row>
    <row r="2670" ht="15.75" customHeight="1">
      <c r="A2670" s="210">
        <f t="shared" si="1"/>
        <v>2668</v>
      </c>
      <c r="B2670" s="217"/>
      <c r="C2670" s="217" t="str">
        <f>IFERROR(VLOOKUP(B2670, SourceData!$U$3:$V$190, 2, FALSE), "")</f>
        <v/>
      </c>
      <c r="D2670" s="240"/>
      <c r="E2670" s="241"/>
      <c r="F2670" s="248"/>
      <c r="G2670" s="207"/>
      <c r="H2670" s="209"/>
      <c r="I2670" s="209"/>
      <c r="J2670" s="209"/>
      <c r="K2670" s="208" t="str">
        <f>IF(Errors!$I2670=0,SourceData!$B$42,VLOOKUP(Errors!$I2670,SourceData!$A$2:$B$40,2,FALSE))</f>
        <v>Please select ERROR CODE column "I"</v>
      </c>
      <c r="L2670" s="207" t="str">
        <f>IF(Errors!$I2670=0,
    'List of Error Codes'!$E$29,
    IFERROR(VLOOKUP(Errors!$I2670, 'List of Error Codes'!D2669:I2699, 6, FALSE), 'List of Error Codes'!$E$29)
)</f>
        <v>Please select ERROR CODE column "I"</v>
      </c>
      <c r="M2670" s="209"/>
      <c r="N2670" s="209"/>
      <c r="O2670" s="209"/>
      <c r="P2670" s="209"/>
      <c r="Q2670" s="209"/>
      <c r="R2670" s="217"/>
      <c r="S2670" s="217"/>
      <c r="T2670" s="217"/>
      <c r="U2670" s="199"/>
      <c r="V2670" s="200"/>
      <c r="W2670" s="200"/>
      <c r="X2670" s="200"/>
      <c r="Y2670" s="200"/>
      <c r="Z2670" s="200"/>
      <c r="AA2670" s="201"/>
      <c r="AB2670" s="200"/>
      <c r="AC2670" s="200"/>
    </row>
    <row r="2671" ht="15.75" customHeight="1">
      <c r="A2671" s="210">
        <f t="shared" si="1"/>
        <v>2669</v>
      </c>
      <c r="B2671" s="217"/>
      <c r="C2671" s="217" t="str">
        <f>IFERROR(VLOOKUP(B2671, SourceData!$U$3:$V$190, 2, FALSE), "")</f>
        <v/>
      </c>
      <c r="D2671" s="240"/>
      <c r="E2671" s="241"/>
      <c r="F2671" s="248"/>
      <c r="G2671" s="207"/>
      <c r="H2671" s="209"/>
      <c r="I2671" s="209"/>
      <c r="J2671" s="209"/>
      <c r="K2671" s="208" t="str">
        <f>IF(Errors!$I2671=0,SourceData!$B$42,VLOOKUP(Errors!$I2671,SourceData!$A$2:$B$40,2,FALSE))</f>
        <v>Please select ERROR CODE column "I"</v>
      </c>
      <c r="L2671" s="207" t="str">
        <f>IF(Errors!$I2671=0,
    'List of Error Codes'!$E$29,
    IFERROR(VLOOKUP(Errors!$I2671, 'List of Error Codes'!D2670:I2700, 6, FALSE), 'List of Error Codes'!$E$29)
)</f>
        <v>Please select ERROR CODE column "I"</v>
      </c>
      <c r="M2671" s="209"/>
      <c r="N2671" s="209"/>
      <c r="O2671" s="209"/>
      <c r="P2671" s="209"/>
      <c r="Q2671" s="209"/>
      <c r="R2671" s="217"/>
      <c r="S2671" s="217"/>
      <c r="T2671" s="217"/>
      <c r="U2671" s="199"/>
      <c r="V2671" s="200"/>
      <c r="W2671" s="200"/>
      <c r="X2671" s="200"/>
      <c r="Y2671" s="200"/>
      <c r="Z2671" s="200"/>
      <c r="AA2671" s="201"/>
      <c r="AB2671" s="200"/>
      <c r="AC2671" s="200"/>
    </row>
    <row r="2672" ht="15.75" customHeight="1">
      <c r="A2672" s="210">
        <f t="shared" si="1"/>
        <v>2670</v>
      </c>
      <c r="B2672" s="217"/>
      <c r="C2672" s="217" t="str">
        <f>IFERROR(VLOOKUP(B2672, SourceData!$U$3:$V$190, 2, FALSE), "")</f>
        <v/>
      </c>
      <c r="D2672" s="240"/>
      <c r="E2672" s="241"/>
      <c r="F2672" s="248"/>
      <c r="G2672" s="207"/>
      <c r="H2672" s="209"/>
      <c r="I2672" s="209"/>
      <c r="J2672" s="209"/>
      <c r="K2672" s="208" t="str">
        <f>IF(Errors!$I2672=0,SourceData!$B$42,VLOOKUP(Errors!$I2672,SourceData!$A$2:$B$40,2,FALSE))</f>
        <v>Please select ERROR CODE column "I"</v>
      </c>
      <c r="L2672" s="207" t="str">
        <f>IF(Errors!$I2672=0,
    'List of Error Codes'!$E$29,
    IFERROR(VLOOKUP(Errors!$I2672, 'List of Error Codes'!D2671:I2701, 6, FALSE), 'List of Error Codes'!$E$29)
)</f>
        <v>Please select ERROR CODE column "I"</v>
      </c>
      <c r="M2672" s="209"/>
      <c r="N2672" s="209"/>
      <c r="O2672" s="209"/>
      <c r="P2672" s="209"/>
      <c r="Q2672" s="209"/>
      <c r="R2672" s="217"/>
      <c r="S2672" s="217"/>
      <c r="T2672" s="217"/>
      <c r="U2672" s="199"/>
      <c r="V2672" s="200"/>
      <c r="W2672" s="200"/>
      <c r="X2672" s="200"/>
      <c r="Y2672" s="200"/>
      <c r="Z2672" s="200"/>
      <c r="AA2672" s="201"/>
      <c r="AB2672" s="200"/>
      <c r="AC2672" s="200"/>
    </row>
    <row r="2673" ht="15.75" customHeight="1">
      <c r="A2673" s="210">
        <f t="shared" si="1"/>
        <v>2671</v>
      </c>
      <c r="B2673" s="217"/>
      <c r="C2673" s="217" t="str">
        <f>IFERROR(VLOOKUP(B2673, SourceData!$U$3:$V$190, 2, FALSE), "")</f>
        <v/>
      </c>
      <c r="D2673" s="240"/>
      <c r="E2673" s="241"/>
      <c r="F2673" s="248"/>
      <c r="G2673" s="207"/>
      <c r="H2673" s="209"/>
      <c r="I2673" s="209"/>
      <c r="J2673" s="209"/>
      <c r="K2673" s="208" t="str">
        <f>IF(Errors!$I2673=0,SourceData!$B$42,VLOOKUP(Errors!$I2673,SourceData!$A$2:$B$40,2,FALSE))</f>
        <v>Please select ERROR CODE column "I"</v>
      </c>
      <c r="L2673" s="207" t="str">
        <f>IF(Errors!$I2673=0,
    'List of Error Codes'!$E$29,
    IFERROR(VLOOKUP(Errors!$I2673, 'List of Error Codes'!D2672:I2702, 6, FALSE), 'List of Error Codes'!$E$29)
)</f>
        <v>Please select ERROR CODE column "I"</v>
      </c>
      <c r="M2673" s="209"/>
      <c r="N2673" s="209"/>
      <c r="O2673" s="209"/>
      <c r="P2673" s="209"/>
      <c r="Q2673" s="209"/>
      <c r="R2673" s="217"/>
      <c r="S2673" s="217"/>
      <c r="T2673" s="217"/>
      <c r="U2673" s="199"/>
      <c r="V2673" s="200"/>
      <c r="W2673" s="200"/>
      <c r="X2673" s="200"/>
      <c r="Y2673" s="200"/>
      <c r="Z2673" s="200"/>
      <c r="AA2673" s="201"/>
      <c r="AB2673" s="200"/>
      <c r="AC2673" s="200"/>
    </row>
    <row r="2674" ht="15.75" customHeight="1">
      <c r="A2674" s="210">
        <f t="shared" si="1"/>
        <v>2672</v>
      </c>
      <c r="B2674" s="217"/>
      <c r="C2674" s="217" t="str">
        <f>IFERROR(VLOOKUP(B2674, SourceData!$U$3:$V$190, 2, FALSE), "")</f>
        <v/>
      </c>
      <c r="D2674" s="240"/>
      <c r="E2674" s="241"/>
      <c r="F2674" s="248"/>
      <c r="G2674" s="207"/>
      <c r="H2674" s="209"/>
      <c r="I2674" s="209"/>
      <c r="J2674" s="209"/>
      <c r="K2674" s="208" t="str">
        <f>IF(Errors!$I2674=0,SourceData!$B$42,VLOOKUP(Errors!$I2674,SourceData!$A$2:$B$40,2,FALSE))</f>
        <v>Please select ERROR CODE column "I"</v>
      </c>
      <c r="L2674" s="207" t="str">
        <f>IF(Errors!$I2674=0,
    'List of Error Codes'!$E$29,
    IFERROR(VLOOKUP(Errors!$I2674, 'List of Error Codes'!D2673:I2703, 6, FALSE), 'List of Error Codes'!$E$29)
)</f>
        <v>Please select ERROR CODE column "I"</v>
      </c>
      <c r="M2674" s="209"/>
      <c r="N2674" s="209"/>
      <c r="O2674" s="209"/>
      <c r="P2674" s="209"/>
      <c r="Q2674" s="209"/>
      <c r="R2674" s="217"/>
      <c r="S2674" s="217"/>
      <c r="T2674" s="217"/>
      <c r="U2674" s="199"/>
      <c r="V2674" s="200"/>
      <c r="W2674" s="200"/>
      <c r="X2674" s="200"/>
      <c r="Y2674" s="200"/>
      <c r="Z2674" s="200"/>
      <c r="AA2674" s="201"/>
      <c r="AB2674" s="200"/>
      <c r="AC2674" s="200"/>
    </row>
    <row r="2675" ht="15.75" customHeight="1">
      <c r="A2675" s="210">
        <f t="shared" si="1"/>
        <v>2673</v>
      </c>
      <c r="B2675" s="217"/>
      <c r="C2675" s="217" t="str">
        <f>IFERROR(VLOOKUP(B2675, SourceData!$U$3:$V$190, 2, FALSE), "")</f>
        <v/>
      </c>
      <c r="D2675" s="240"/>
      <c r="E2675" s="241"/>
      <c r="F2675" s="248"/>
      <c r="G2675" s="207"/>
      <c r="H2675" s="209"/>
      <c r="I2675" s="209"/>
      <c r="J2675" s="209"/>
      <c r="K2675" s="208" t="str">
        <f>IF(Errors!$I2675=0,SourceData!$B$42,VLOOKUP(Errors!$I2675,SourceData!$A$2:$B$40,2,FALSE))</f>
        <v>Please select ERROR CODE column "I"</v>
      </c>
      <c r="L2675" s="207" t="str">
        <f>IF(Errors!$I2675=0,
    'List of Error Codes'!$E$29,
    IFERROR(VLOOKUP(Errors!$I2675, 'List of Error Codes'!D2674:I2704, 6, FALSE), 'List of Error Codes'!$E$29)
)</f>
        <v>Please select ERROR CODE column "I"</v>
      </c>
      <c r="M2675" s="209"/>
      <c r="N2675" s="209"/>
      <c r="O2675" s="209"/>
      <c r="P2675" s="209"/>
      <c r="Q2675" s="209"/>
      <c r="R2675" s="217"/>
      <c r="S2675" s="217"/>
      <c r="T2675" s="217"/>
      <c r="U2675" s="199"/>
      <c r="V2675" s="200"/>
      <c r="W2675" s="200"/>
      <c r="X2675" s="200"/>
      <c r="Y2675" s="200"/>
      <c r="Z2675" s="200"/>
      <c r="AA2675" s="201"/>
      <c r="AB2675" s="200"/>
      <c r="AC2675" s="200"/>
    </row>
    <row r="2676" ht="15.75" customHeight="1">
      <c r="A2676" s="210">
        <f t="shared" si="1"/>
        <v>2674</v>
      </c>
      <c r="B2676" s="217"/>
      <c r="C2676" s="217" t="str">
        <f>IFERROR(VLOOKUP(B2676, SourceData!$U$3:$V$190, 2, FALSE), "")</f>
        <v/>
      </c>
      <c r="D2676" s="240"/>
      <c r="E2676" s="241"/>
      <c r="F2676" s="248"/>
      <c r="G2676" s="207"/>
      <c r="H2676" s="209"/>
      <c r="I2676" s="209"/>
      <c r="J2676" s="209"/>
      <c r="K2676" s="208" t="str">
        <f>IF(Errors!$I2676=0,SourceData!$B$42,VLOOKUP(Errors!$I2676,SourceData!$A$2:$B$40,2,FALSE))</f>
        <v>Please select ERROR CODE column "I"</v>
      </c>
      <c r="L2676" s="207" t="str">
        <f>IF(Errors!$I2676=0,
    'List of Error Codes'!$E$29,
    IFERROR(VLOOKUP(Errors!$I2676, 'List of Error Codes'!D2675:I2705, 6, FALSE), 'List of Error Codes'!$E$29)
)</f>
        <v>Please select ERROR CODE column "I"</v>
      </c>
      <c r="M2676" s="209"/>
      <c r="N2676" s="209"/>
      <c r="O2676" s="209"/>
      <c r="P2676" s="209"/>
      <c r="Q2676" s="209"/>
      <c r="R2676" s="217"/>
      <c r="S2676" s="217"/>
      <c r="T2676" s="217"/>
      <c r="U2676" s="199"/>
      <c r="V2676" s="200"/>
      <c r="W2676" s="200"/>
      <c r="X2676" s="200"/>
      <c r="Y2676" s="200"/>
      <c r="Z2676" s="200"/>
      <c r="AA2676" s="201"/>
      <c r="AB2676" s="200"/>
      <c r="AC2676" s="200"/>
    </row>
    <row r="2677" ht="15.75" customHeight="1">
      <c r="A2677" s="210">
        <f t="shared" si="1"/>
        <v>2675</v>
      </c>
      <c r="B2677" s="217"/>
      <c r="C2677" s="217" t="str">
        <f>IFERROR(VLOOKUP(B2677, SourceData!$U$3:$V$190, 2, FALSE), "")</f>
        <v/>
      </c>
      <c r="D2677" s="240"/>
      <c r="E2677" s="241"/>
      <c r="F2677" s="248"/>
      <c r="G2677" s="207"/>
      <c r="H2677" s="209"/>
      <c r="I2677" s="209"/>
      <c r="J2677" s="209"/>
      <c r="K2677" s="208" t="str">
        <f>IF(Errors!$I2677=0,SourceData!$B$42,VLOOKUP(Errors!$I2677,SourceData!$A$2:$B$40,2,FALSE))</f>
        <v>Please select ERROR CODE column "I"</v>
      </c>
      <c r="L2677" s="207" t="str">
        <f>IF(Errors!$I2677=0,
    'List of Error Codes'!$E$29,
    IFERROR(VLOOKUP(Errors!$I2677, 'List of Error Codes'!D2676:I2706, 6, FALSE), 'List of Error Codes'!$E$29)
)</f>
        <v>Please select ERROR CODE column "I"</v>
      </c>
      <c r="M2677" s="209"/>
      <c r="N2677" s="209"/>
      <c r="O2677" s="209"/>
      <c r="P2677" s="209"/>
      <c r="Q2677" s="209"/>
      <c r="R2677" s="217"/>
      <c r="S2677" s="217"/>
      <c r="T2677" s="217"/>
      <c r="U2677" s="199"/>
      <c r="V2677" s="200"/>
      <c r="W2677" s="200"/>
      <c r="X2677" s="200"/>
      <c r="Y2677" s="200"/>
      <c r="Z2677" s="200"/>
      <c r="AA2677" s="201"/>
      <c r="AB2677" s="200"/>
      <c r="AC2677" s="200"/>
    </row>
    <row r="2678" ht="15.75" customHeight="1">
      <c r="A2678" s="210">
        <f t="shared" si="1"/>
        <v>2676</v>
      </c>
      <c r="B2678" s="217"/>
      <c r="C2678" s="217" t="str">
        <f>IFERROR(VLOOKUP(B2678, SourceData!$U$3:$V$190, 2, FALSE), "")</f>
        <v/>
      </c>
      <c r="D2678" s="240"/>
      <c r="E2678" s="241"/>
      <c r="F2678" s="248"/>
      <c r="G2678" s="207"/>
      <c r="H2678" s="209"/>
      <c r="I2678" s="209"/>
      <c r="J2678" s="209"/>
      <c r="K2678" s="208" t="str">
        <f>IF(Errors!$I2678=0,SourceData!$B$42,VLOOKUP(Errors!$I2678,SourceData!$A$2:$B$40,2,FALSE))</f>
        <v>Please select ERROR CODE column "I"</v>
      </c>
      <c r="L2678" s="207" t="str">
        <f>IF(Errors!$I2678=0,
    'List of Error Codes'!$E$29,
    IFERROR(VLOOKUP(Errors!$I2678, 'List of Error Codes'!D2677:I2707, 6, FALSE), 'List of Error Codes'!$E$29)
)</f>
        <v>Please select ERROR CODE column "I"</v>
      </c>
      <c r="M2678" s="209"/>
      <c r="N2678" s="209"/>
      <c r="O2678" s="209"/>
      <c r="P2678" s="209"/>
      <c r="Q2678" s="209"/>
      <c r="R2678" s="217"/>
      <c r="S2678" s="217"/>
      <c r="T2678" s="217"/>
      <c r="U2678" s="199"/>
      <c r="V2678" s="200"/>
      <c r="W2678" s="200"/>
      <c r="X2678" s="200"/>
      <c r="Y2678" s="200"/>
      <c r="Z2678" s="200"/>
      <c r="AA2678" s="201"/>
      <c r="AB2678" s="200"/>
      <c r="AC2678" s="200"/>
    </row>
    <row r="2679" ht="15.75" customHeight="1">
      <c r="A2679" s="210">
        <f t="shared" si="1"/>
        <v>2677</v>
      </c>
      <c r="B2679" s="217"/>
      <c r="C2679" s="217" t="str">
        <f>IFERROR(VLOOKUP(B2679, SourceData!$U$3:$V$190, 2, FALSE), "")</f>
        <v/>
      </c>
      <c r="D2679" s="240"/>
      <c r="E2679" s="241"/>
      <c r="F2679" s="248"/>
      <c r="G2679" s="207"/>
      <c r="H2679" s="209"/>
      <c r="I2679" s="209"/>
      <c r="J2679" s="209"/>
      <c r="K2679" s="208" t="str">
        <f>IF(Errors!$I2679=0,SourceData!$B$42,VLOOKUP(Errors!$I2679,SourceData!$A$2:$B$40,2,FALSE))</f>
        <v>Please select ERROR CODE column "I"</v>
      </c>
      <c r="L2679" s="207" t="str">
        <f>IF(Errors!$I2679=0,
    'List of Error Codes'!$E$29,
    IFERROR(VLOOKUP(Errors!$I2679, 'List of Error Codes'!D2678:I2708, 6, FALSE), 'List of Error Codes'!$E$29)
)</f>
        <v>Please select ERROR CODE column "I"</v>
      </c>
      <c r="M2679" s="209"/>
      <c r="N2679" s="209"/>
      <c r="O2679" s="209"/>
      <c r="P2679" s="209"/>
      <c r="Q2679" s="209"/>
      <c r="R2679" s="217"/>
      <c r="S2679" s="217"/>
      <c r="T2679" s="217"/>
      <c r="U2679" s="199"/>
      <c r="V2679" s="200"/>
      <c r="W2679" s="200"/>
      <c r="X2679" s="200"/>
      <c r="Y2679" s="200"/>
      <c r="Z2679" s="200"/>
      <c r="AA2679" s="201"/>
      <c r="AB2679" s="200"/>
      <c r="AC2679" s="200"/>
    </row>
    <row r="2680" ht="15.75" customHeight="1">
      <c r="A2680" s="210">
        <f t="shared" si="1"/>
        <v>2678</v>
      </c>
      <c r="B2680" s="217"/>
      <c r="C2680" s="217" t="str">
        <f>IFERROR(VLOOKUP(B2680, SourceData!$U$3:$V$190, 2, FALSE), "")</f>
        <v/>
      </c>
      <c r="D2680" s="240"/>
      <c r="E2680" s="241"/>
      <c r="F2680" s="248"/>
      <c r="G2680" s="207"/>
      <c r="H2680" s="209"/>
      <c r="I2680" s="209"/>
      <c r="J2680" s="209"/>
      <c r="K2680" s="208" t="str">
        <f>IF(Errors!$I2680=0,SourceData!$B$42,VLOOKUP(Errors!$I2680,SourceData!$A$2:$B$40,2,FALSE))</f>
        <v>Please select ERROR CODE column "I"</v>
      </c>
      <c r="L2680" s="207" t="str">
        <f>IF(Errors!$I2680=0,
    'List of Error Codes'!$E$29,
    IFERROR(VLOOKUP(Errors!$I2680, 'List of Error Codes'!D2679:I2709, 6, FALSE), 'List of Error Codes'!$E$29)
)</f>
        <v>Please select ERROR CODE column "I"</v>
      </c>
      <c r="M2680" s="209"/>
      <c r="N2680" s="209"/>
      <c r="O2680" s="209"/>
      <c r="P2680" s="209"/>
      <c r="Q2680" s="209"/>
      <c r="R2680" s="217"/>
      <c r="S2680" s="217"/>
      <c r="T2680" s="217"/>
      <c r="U2680" s="199"/>
      <c r="V2680" s="200"/>
      <c r="W2680" s="200"/>
      <c r="X2680" s="200"/>
      <c r="Y2680" s="200"/>
      <c r="Z2680" s="200"/>
      <c r="AA2680" s="201"/>
      <c r="AB2680" s="200"/>
      <c r="AC2680" s="200"/>
    </row>
    <row r="2681" ht="15.75" customHeight="1">
      <c r="A2681" s="210">
        <f t="shared" si="1"/>
        <v>2679</v>
      </c>
      <c r="B2681" s="217"/>
      <c r="C2681" s="217" t="str">
        <f>IFERROR(VLOOKUP(B2681, SourceData!$U$3:$V$190, 2, FALSE), "")</f>
        <v/>
      </c>
      <c r="D2681" s="240"/>
      <c r="E2681" s="241"/>
      <c r="F2681" s="248"/>
      <c r="G2681" s="207"/>
      <c r="H2681" s="209"/>
      <c r="I2681" s="209"/>
      <c r="J2681" s="209"/>
      <c r="K2681" s="208" t="str">
        <f>IF(Errors!$I2681=0,SourceData!$B$42,VLOOKUP(Errors!$I2681,SourceData!$A$2:$B$40,2,FALSE))</f>
        <v>Please select ERROR CODE column "I"</v>
      </c>
      <c r="L2681" s="207" t="str">
        <f>IF(Errors!$I2681=0,
    'List of Error Codes'!$E$29,
    IFERROR(VLOOKUP(Errors!$I2681, 'List of Error Codes'!D2680:I2710, 6, FALSE), 'List of Error Codes'!$E$29)
)</f>
        <v>Please select ERROR CODE column "I"</v>
      </c>
      <c r="M2681" s="209"/>
      <c r="N2681" s="209"/>
      <c r="O2681" s="209"/>
      <c r="P2681" s="209"/>
      <c r="Q2681" s="209"/>
      <c r="R2681" s="217"/>
      <c r="S2681" s="217"/>
      <c r="T2681" s="217"/>
      <c r="U2681" s="199"/>
      <c r="V2681" s="200"/>
      <c r="W2681" s="200"/>
      <c r="X2681" s="200"/>
      <c r="Y2681" s="200"/>
      <c r="Z2681" s="200"/>
      <c r="AA2681" s="201"/>
      <c r="AB2681" s="200"/>
      <c r="AC2681" s="200"/>
    </row>
    <row r="2682" ht="15.75" customHeight="1">
      <c r="A2682" s="210">
        <f t="shared" si="1"/>
        <v>2680</v>
      </c>
      <c r="B2682" s="217"/>
      <c r="C2682" s="217" t="str">
        <f>IFERROR(VLOOKUP(B2682, SourceData!$U$3:$V$190, 2, FALSE), "")</f>
        <v/>
      </c>
      <c r="D2682" s="240"/>
      <c r="E2682" s="241"/>
      <c r="F2682" s="248"/>
      <c r="G2682" s="207"/>
      <c r="H2682" s="209"/>
      <c r="I2682" s="209"/>
      <c r="J2682" s="209"/>
      <c r="K2682" s="208" t="str">
        <f>IF(Errors!$I2682=0,SourceData!$B$42,VLOOKUP(Errors!$I2682,SourceData!$A$2:$B$40,2,FALSE))</f>
        <v>Please select ERROR CODE column "I"</v>
      </c>
      <c r="L2682" s="207" t="str">
        <f>IF(Errors!$I2682=0,
    'List of Error Codes'!$E$29,
    IFERROR(VLOOKUP(Errors!$I2682, 'List of Error Codes'!D2681:I2711, 6, FALSE), 'List of Error Codes'!$E$29)
)</f>
        <v>Please select ERROR CODE column "I"</v>
      </c>
      <c r="M2682" s="209"/>
      <c r="N2682" s="209"/>
      <c r="O2682" s="209"/>
      <c r="P2682" s="209"/>
      <c r="Q2682" s="209"/>
      <c r="R2682" s="217"/>
      <c r="S2682" s="217"/>
      <c r="T2682" s="217"/>
      <c r="U2682" s="199"/>
      <c r="V2682" s="200"/>
      <c r="W2682" s="200"/>
      <c r="X2682" s="200"/>
      <c r="Y2682" s="200"/>
      <c r="Z2682" s="200"/>
      <c r="AA2682" s="201"/>
      <c r="AB2682" s="200"/>
      <c r="AC2682" s="200"/>
    </row>
    <row r="2683" ht="15.75" customHeight="1">
      <c r="A2683" s="210">
        <f t="shared" si="1"/>
        <v>2681</v>
      </c>
      <c r="B2683" s="217"/>
      <c r="C2683" s="217" t="str">
        <f>IFERROR(VLOOKUP(B2683, SourceData!$U$3:$V$190, 2, FALSE), "")</f>
        <v/>
      </c>
      <c r="D2683" s="240"/>
      <c r="E2683" s="241"/>
      <c r="F2683" s="248"/>
      <c r="G2683" s="207"/>
      <c r="H2683" s="209"/>
      <c r="I2683" s="209"/>
      <c r="J2683" s="209"/>
      <c r="K2683" s="208" t="str">
        <f>IF(Errors!$I2683=0,SourceData!$B$42,VLOOKUP(Errors!$I2683,SourceData!$A$2:$B$40,2,FALSE))</f>
        <v>Please select ERROR CODE column "I"</v>
      </c>
      <c r="L2683" s="207" t="str">
        <f>IF(Errors!$I2683=0,
    'List of Error Codes'!$E$29,
    IFERROR(VLOOKUP(Errors!$I2683, 'List of Error Codes'!D2682:I2712, 6, FALSE), 'List of Error Codes'!$E$29)
)</f>
        <v>Please select ERROR CODE column "I"</v>
      </c>
      <c r="M2683" s="209"/>
      <c r="N2683" s="209"/>
      <c r="O2683" s="209"/>
      <c r="P2683" s="209"/>
      <c r="Q2683" s="209"/>
      <c r="R2683" s="217"/>
      <c r="S2683" s="217"/>
      <c r="T2683" s="217"/>
      <c r="U2683" s="199"/>
      <c r="V2683" s="200"/>
      <c r="W2683" s="200"/>
      <c r="X2683" s="200"/>
      <c r="Y2683" s="200"/>
      <c r="Z2683" s="200"/>
      <c r="AA2683" s="201"/>
      <c r="AB2683" s="200"/>
      <c r="AC2683" s="200"/>
    </row>
    <row r="2684" ht="15.75" customHeight="1">
      <c r="A2684" s="210">
        <f t="shared" si="1"/>
        <v>2682</v>
      </c>
      <c r="B2684" s="217"/>
      <c r="C2684" s="217" t="str">
        <f>IFERROR(VLOOKUP(B2684, SourceData!$U$3:$V$190, 2, FALSE), "")</f>
        <v/>
      </c>
      <c r="D2684" s="240"/>
      <c r="E2684" s="241"/>
      <c r="F2684" s="248"/>
      <c r="G2684" s="207"/>
      <c r="H2684" s="209"/>
      <c r="I2684" s="209"/>
      <c r="J2684" s="209"/>
      <c r="K2684" s="208" t="str">
        <f>IF(Errors!$I2684=0,SourceData!$B$42,VLOOKUP(Errors!$I2684,SourceData!$A$2:$B$40,2,FALSE))</f>
        <v>Please select ERROR CODE column "I"</v>
      </c>
      <c r="L2684" s="207" t="str">
        <f>IF(Errors!$I2684=0,
    'List of Error Codes'!$E$29,
    IFERROR(VLOOKUP(Errors!$I2684, 'List of Error Codes'!D2683:I2713, 6, FALSE), 'List of Error Codes'!$E$29)
)</f>
        <v>Please select ERROR CODE column "I"</v>
      </c>
      <c r="M2684" s="209"/>
      <c r="N2684" s="209"/>
      <c r="O2684" s="209"/>
      <c r="P2684" s="209"/>
      <c r="Q2684" s="209"/>
      <c r="R2684" s="217"/>
      <c r="S2684" s="217"/>
      <c r="T2684" s="217"/>
      <c r="U2684" s="199"/>
      <c r="V2684" s="200"/>
      <c r="W2684" s="200"/>
      <c r="X2684" s="200"/>
      <c r="Y2684" s="200"/>
      <c r="Z2684" s="200"/>
      <c r="AA2684" s="201"/>
      <c r="AB2684" s="200"/>
      <c r="AC2684" s="200"/>
    </row>
    <row r="2685" ht="15.75" customHeight="1">
      <c r="A2685" s="210">
        <f t="shared" si="1"/>
        <v>2683</v>
      </c>
      <c r="B2685" s="217"/>
      <c r="C2685" s="217" t="str">
        <f>IFERROR(VLOOKUP(B2685, SourceData!$U$3:$V$190, 2, FALSE), "")</f>
        <v/>
      </c>
      <c r="D2685" s="240"/>
      <c r="E2685" s="241"/>
      <c r="F2685" s="248"/>
      <c r="G2685" s="207"/>
      <c r="H2685" s="209"/>
      <c r="I2685" s="209"/>
      <c r="J2685" s="209"/>
      <c r="K2685" s="208" t="str">
        <f>IF(Errors!$I2685=0,SourceData!$B$42,VLOOKUP(Errors!$I2685,SourceData!$A$2:$B$40,2,FALSE))</f>
        <v>Please select ERROR CODE column "I"</v>
      </c>
      <c r="L2685" s="207" t="str">
        <f>IF(Errors!$I2685=0,
    'List of Error Codes'!$E$29,
    IFERROR(VLOOKUP(Errors!$I2685, 'List of Error Codes'!D2684:I2714, 6, FALSE), 'List of Error Codes'!$E$29)
)</f>
        <v>Please select ERROR CODE column "I"</v>
      </c>
      <c r="M2685" s="209"/>
      <c r="N2685" s="209"/>
      <c r="O2685" s="209"/>
      <c r="P2685" s="209"/>
      <c r="Q2685" s="209"/>
      <c r="R2685" s="217"/>
      <c r="S2685" s="217"/>
      <c r="T2685" s="217"/>
      <c r="U2685" s="199"/>
      <c r="V2685" s="200"/>
      <c r="W2685" s="200"/>
      <c r="X2685" s="200"/>
      <c r="Y2685" s="200"/>
      <c r="Z2685" s="200"/>
      <c r="AA2685" s="201"/>
      <c r="AB2685" s="200"/>
      <c r="AC2685" s="200"/>
    </row>
    <row r="2686" ht="15.75" customHeight="1">
      <c r="A2686" s="210">
        <f t="shared" si="1"/>
        <v>2684</v>
      </c>
      <c r="B2686" s="217"/>
      <c r="C2686" s="217" t="str">
        <f>IFERROR(VLOOKUP(B2686, SourceData!$U$3:$V$190, 2, FALSE), "")</f>
        <v/>
      </c>
      <c r="D2686" s="240"/>
      <c r="E2686" s="241"/>
      <c r="F2686" s="248"/>
      <c r="G2686" s="207"/>
      <c r="H2686" s="209"/>
      <c r="I2686" s="209"/>
      <c r="J2686" s="209"/>
      <c r="K2686" s="208" t="str">
        <f>IF(Errors!$I2686=0,SourceData!$B$42,VLOOKUP(Errors!$I2686,SourceData!$A$2:$B$40,2,FALSE))</f>
        <v>Please select ERROR CODE column "I"</v>
      </c>
      <c r="L2686" s="207" t="str">
        <f>IF(Errors!$I2686=0,
    'List of Error Codes'!$E$29,
    IFERROR(VLOOKUP(Errors!$I2686, 'List of Error Codes'!D2685:I2715, 6, FALSE), 'List of Error Codes'!$E$29)
)</f>
        <v>Please select ERROR CODE column "I"</v>
      </c>
      <c r="M2686" s="209"/>
      <c r="N2686" s="209"/>
      <c r="O2686" s="209"/>
      <c r="P2686" s="209"/>
      <c r="Q2686" s="209"/>
      <c r="R2686" s="217"/>
      <c r="S2686" s="217"/>
      <c r="T2686" s="217"/>
      <c r="U2686" s="199"/>
      <c r="V2686" s="200"/>
      <c r="W2686" s="200"/>
      <c r="X2686" s="200"/>
      <c r="Y2686" s="200"/>
      <c r="Z2686" s="200"/>
      <c r="AA2686" s="201"/>
      <c r="AB2686" s="200"/>
      <c r="AC2686" s="200"/>
    </row>
    <row r="2687" ht="15.75" customHeight="1">
      <c r="A2687" s="210">
        <f t="shared" si="1"/>
        <v>2685</v>
      </c>
      <c r="B2687" s="217"/>
      <c r="C2687" s="217" t="str">
        <f>IFERROR(VLOOKUP(B2687, SourceData!$U$3:$V$190, 2, FALSE), "")</f>
        <v/>
      </c>
      <c r="D2687" s="240"/>
      <c r="E2687" s="241"/>
      <c r="F2687" s="248"/>
      <c r="G2687" s="207"/>
      <c r="H2687" s="209"/>
      <c r="I2687" s="209"/>
      <c r="J2687" s="209"/>
      <c r="K2687" s="208" t="str">
        <f>IF(Errors!$I2687=0,SourceData!$B$42,VLOOKUP(Errors!$I2687,SourceData!$A$2:$B$40,2,FALSE))</f>
        <v>Please select ERROR CODE column "I"</v>
      </c>
      <c r="L2687" s="207" t="str">
        <f>IF(Errors!$I2687=0,
    'List of Error Codes'!$E$29,
    IFERROR(VLOOKUP(Errors!$I2687, 'List of Error Codes'!D2686:I2716, 6, FALSE), 'List of Error Codes'!$E$29)
)</f>
        <v>Please select ERROR CODE column "I"</v>
      </c>
      <c r="M2687" s="209"/>
      <c r="N2687" s="209"/>
      <c r="O2687" s="209"/>
      <c r="P2687" s="209"/>
      <c r="Q2687" s="209"/>
      <c r="R2687" s="217"/>
      <c r="S2687" s="217"/>
      <c r="T2687" s="217"/>
      <c r="U2687" s="199"/>
      <c r="V2687" s="200"/>
      <c r="W2687" s="200"/>
      <c r="X2687" s="200"/>
      <c r="Y2687" s="200"/>
      <c r="Z2687" s="200"/>
      <c r="AA2687" s="201"/>
      <c r="AB2687" s="200"/>
      <c r="AC2687" s="200"/>
    </row>
    <row r="2688" ht="15.75" customHeight="1">
      <c r="A2688" s="210">
        <f t="shared" si="1"/>
        <v>2686</v>
      </c>
      <c r="B2688" s="217"/>
      <c r="C2688" s="217" t="str">
        <f>IFERROR(VLOOKUP(B2688, SourceData!$U$3:$V$190, 2, FALSE), "")</f>
        <v/>
      </c>
      <c r="D2688" s="240"/>
      <c r="E2688" s="241"/>
      <c r="F2688" s="248"/>
      <c r="G2688" s="207"/>
      <c r="H2688" s="209"/>
      <c r="I2688" s="209"/>
      <c r="J2688" s="209"/>
      <c r="K2688" s="208" t="str">
        <f>IF(Errors!$I2688=0,SourceData!$B$42,VLOOKUP(Errors!$I2688,SourceData!$A$2:$B$40,2,FALSE))</f>
        <v>Please select ERROR CODE column "I"</v>
      </c>
      <c r="L2688" s="207" t="str">
        <f>IF(Errors!$I2688=0,
    'List of Error Codes'!$E$29,
    IFERROR(VLOOKUP(Errors!$I2688, 'List of Error Codes'!D2687:I2717, 6, FALSE), 'List of Error Codes'!$E$29)
)</f>
        <v>Please select ERROR CODE column "I"</v>
      </c>
      <c r="M2688" s="209"/>
      <c r="N2688" s="209"/>
      <c r="O2688" s="209"/>
      <c r="P2688" s="209"/>
      <c r="Q2688" s="209"/>
      <c r="R2688" s="217"/>
      <c r="S2688" s="217"/>
      <c r="T2688" s="217"/>
      <c r="U2688" s="199"/>
      <c r="V2688" s="200"/>
      <c r="W2688" s="200"/>
      <c r="X2688" s="200"/>
      <c r="Y2688" s="200"/>
      <c r="Z2688" s="200"/>
      <c r="AA2688" s="201"/>
      <c r="AB2688" s="200"/>
      <c r="AC2688" s="200"/>
    </row>
    <row r="2689" ht="15.75" customHeight="1">
      <c r="A2689" s="210">
        <f t="shared" si="1"/>
        <v>2687</v>
      </c>
      <c r="B2689" s="217"/>
      <c r="C2689" s="217" t="str">
        <f>IFERROR(VLOOKUP(B2689, SourceData!$U$3:$V$190, 2, FALSE), "")</f>
        <v/>
      </c>
      <c r="D2689" s="240"/>
      <c r="E2689" s="241"/>
      <c r="F2689" s="248"/>
      <c r="G2689" s="207"/>
      <c r="H2689" s="209"/>
      <c r="I2689" s="209"/>
      <c r="J2689" s="209"/>
      <c r="K2689" s="208" t="str">
        <f>IF(Errors!$I2689=0,SourceData!$B$42,VLOOKUP(Errors!$I2689,SourceData!$A$2:$B$40,2,FALSE))</f>
        <v>Please select ERROR CODE column "I"</v>
      </c>
      <c r="L2689" s="207" t="str">
        <f>IF(Errors!$I2689=0,
    'List of Error Codes'!$E$29,
    IFERROR(VLOOKUP(Errors!$I2689, 'List of Error Codes'!D2688:I2718, 6, FALSE), 'List of Error Codes'!$E$29)
)</f>
        <v>Please select ERROR CODE column "I"</v>
      </c>
      <c r="M2689" s="209"/>
      <c r="N2689" s="209"/>
      <c r="O2689" s="209"/>
      <c r="P2689" s="209"/>
      <c r="Q2689" s="209"/>
      <c r="R2689" s="217"/>
      <c r="S2689" s="217"/>
      <c r="T2689" s="217"/>
      <c r="U2689" s="199"/>
      <c r="V2689" s="200"/>
      <c r="W2689" s="200"/>
      <c r="X2689" s="200"/>
      <c r="Y2689" s="200"/>
      <c r="Z2689" s="200"/>
      <c r="AA2689" s="201"/>
      <c r="AB2689" s="200"/>
      <c r="AC2689" s="200"/>
    </row>
    <row r="2690" ht="15.75" customHeight="1">
      <c r="A2690" s="210">
        <f t="shared" si="1"/>
        <v>2688</v>
      </c>
      <c r="B2690" s="217"/>
      <c r="C2690" s="217" t="str">
        <f>IFERROR(VLOOKUP(B2690, SourceData!$U$3:$V$190, 2, FALSE), "")</f>
        <v/>
      </c>
      <c r="D2690" s="240"/>
      <c r="E2690" s="241"/>
      <c r="F2690" s="248"/>
      <c r="G2690" s="207"/>
      <c r="H2690" s="209"/>
      <c r="I2690" s="209"/>
      <c r="J2690" s="209"/>
      <c r="K2690" s="208" t="str">
        <f>IF(Errors!$I2690=0,SourceData!$B$42,VLOOKUP(Errors!$I2690,SourceData!$A$2:$B$40,2,FALSE))</f>
        <v>Please select ERROR CODE column "I"</v>
      </c>
      <c r="L2690" s="207" t="str">
        <f>IF(Errors!$I2690=0,
    'List of Error Codes'!$E$29,
    IFERROR(VLOOKUP(Errors!$I2690, 'List of Error Codes'!D2689:I2719, 6, FALSE), 'List of Error Codes'!$E$29)
)</f>
        <v>Please select ERROR CODE column "I"</v>
      </c>
      <c r="M2690" s="209"/>
      <c r="N2690" s="209"/>
      <c r="O2690" s="209"/>
      <c r="P2690" s="209"/>
      <c r="Q2690" s="209"/>
      <c r="R2690" s="217"/>
      <c r="S2690" s="217"/>
      <c r="T2690" s="217"/>
      <c r="U2690" s="199"/>
      <c r="V2690" s="200"/>
      <c r="W2690" s="200"/>
      <c r="X2690" s="200"/>
      <c r="Y2690" s="200"/>
      <c r="Z2690" s="200"/>
      <c r="AA2690" s="201"/>
      <c r="AB2690" s="200"/>
      <c r="AC2690" s="200"/>
    </row>
    <row r="2691" ht="15.75" customHeight="1">
      <c r="A2691" s="210">
        <f t="shared" si="1"/>
        <v>2689</v>
      </c>
      <c r="B2691" s="217"/>
      <c r="C2691" s="217" t="str">
        <f>IFERROR(VLOOKUP(B2691, SourceData!$U$3:$V$190, 2, FALSE), "")</f>
        <v/>
      </c>
      <c r="D2691" s="240"/>
      <c r="E2691" s="241"/>
      <c r="F2691" s="248"/>
      <c r="G2691" s="207"/>
      <c r="H2691" s="209"/>
      <c r="I2691" s="209"/>
      <c r="J2691" s="209"/>
      <c r="K2691" s="208" t="str">
        <f>IF(Errors!$I2691=0,SourceData!$B$42,VLOOKUP(Errors!$I2691,SourceData!$A$2:$B$40,2,FALSE))</f>
        <v>Please select ERROR CODE column "I"</v>
      </c>
      <c r="L2691" s="207" t="str">
        <f>IF(Errors!$I2691=0,
    'List of Error Codes'!$E$29,
    IFERROR(VLOOKUP(Errors!$I2691, 'List of Error Codes'!D2690:I2720, 6, FALSE), 'List of Error Codes'!$E$29)
)</f>
        <v>Please select ERROR CODE column "I"</v>
      </c>
      <c r="M2691" s="209"/>
      <c r="N2691" s="209"/>
      <c r="O2691" s="209"/>
      <c r="P2691" s="209"/>
      <c r="Q2691" s="209"/>
      <c r="R2691" s="217"/>
      <c r="S2691" s="217"/>
      <c r="T2691" s="217"/>
      <c r="U2691" s="199"/>
      <c r="V2691" s="200"/>
      <c r="W2691" s="200"/>
      <c r="X2691" s="200"/>
      <c r="Y2691" s="200"/>
      <c r="Z2691" s="200"/>
      <c r="AA2691" s="201"/>
      <c r="AB2691" s="200"/>
      <c r="AC2691" s="200"/>
    </row>
    <row r="2692" ht="15.75" customHeight="1">
      <c r="A2692" s="210">
        <f t="shared" si="1"/>
        <v>2690</v>
      </c>
      <c r="B2692" s="217"/>
      <c r="C2692" s="217" t="str">
        <f>IFERROR(VLOOKUP(B2692, SourceData!$U$3:$V$190, 2, FALSE), "")</f>
        <v/>
      </c>
      <c r="D2692" s="240"/>
      <c r="E2692" s="241"/>
      <c r="F2692" s="248"/>
      <c r="G2692" s="207"/>
      <c r="H2692" s="209"/>
      <c r="I2692" s="209"/>
      <c r="J2692" s="209"/>
      <c r="K2692" s="208" t="str">
        <f>IF(Errors!$I2692=0,SourceData!$B$42,VLOOKUP(Errors!$I2692,SourceData!$A$2:$B$40,2,FALSE))</f>
        <v>Please select ERROR CODE column "I"</v>
      </c>
      <c r="L2692" s="207" t="str">
        <f>IF(Errors!$I2692=0,
    'List of Error Codes'!$E$29,
    IFERROR(VLOOKUP(Errors!$I2692, 'List of Error Codes'!D2691:I2721, 6, FALSE), 'List of Error Codes'!$E$29)
)</f>
        <v>Please select ERROR CODE column "I"</v>
      </c>
      <c r="M2692" s="209"/>
      <c r="N2692" s="209"/>
      <c r="O2692" s="209"/>
      <c r="P2692" s="209"/>
      <c r="Q2692" s="209"/>
      <c r="R2692" s="217"/>
      <c r="S2692" s="217"/>
      <c r="T2692" s="217"/>
      <c r="U2692" s="199"/>
      <c r="V2692" s="200"/>
      <c r="W2692" s="200"/>
      <c r="X2692" s="200"/>
      <c r="Y2692" s="200"/>
      <c r="Z2692" s="200"/>
      <c r="AA2692" s="201"/>
      <c r="AB2692" s="200"/>
      <c r="AC2692" s="200"/>
    </row>
    <row r="2693" ht="15.75" customHeight="1">
      <c r="A2693" s="210">
        <f t="shared" si="1"/>
        <v>2691</v>
      </c>
      <c r="B2693" s="217"/>
      <c r="C2693" s="217" t="str">
        <f>IFERROR(VLOOKUP(B2693, SourceData!$U$3:$V$190, 2, FALSE), "")</f>
        <v/>
      </c>
      <c r="D2693" s="240"/>
      <c r="E2693" s="241"/>
      <c r="F2693" s="248"/>
      <c r="G2693" s="207"/>
      <c r="H2693" s="209"/>
      <c r="I2693" s="209"/>
      <c r="J2693" s="209"/>
      <c r="K2693" s="208" t="str">
        <f>IF(Errors!$I2693=0,SourceData!$B$42,VLOOKUP(Errors!$I2693,SourceData!$A$2:$B$40,2,FALSE))</f>
        <v>Please select ERROR CODE column "I"</v>
      </c>
      <c r="L2693" s="207" t="str">
        <f>IF(Errors!$I2693=0,
    'List of Error Codes'!$E$29,
    IFERROR(VLOOKUP(Errors!$I2693, 'List of Error Codes'!D2692:I2722, 6, FALSE), 'List of Error Codes'!$E$29)
)</f>
        <v>Please select ERROR CODE column "I"</v>
      </c>
      <c r="M2693" s="209"/>
      <c r="N2693" s="209"/>
      <c r="O2693" s="209"/>
      <c r="P2693" s="209"/>
      <c r="Q2693" s="209"/>
      <c r="R2693" s="217"/>
      <c r="S2693" s="217"/>
      <c r="T2693" s="217"/>
      <c r="U2693" s="199"/>
      <c r="V2693" s="200"/>
      <c r="W2693" s="200"/>
      <c r="X2693" s="200"/>
      <c r="Y2693" s="200"/>
      <c r="Z2693" s="200"/>
      <c r="AA2693" s="201"/>
      <c r="AB2693" s="200"/>
      <c r="AC2693" s="200"/>
    </row>
    <row r="2694" ht="15.75" customHeight="1">
      <c r="A2694" s="210">
        <f t="shared" si="1"/>
        <v>2692</v>
      </c>
      <c r="B2694" s="217"/>
      <c r="C2694" s="217" t="str">
        <f>IFERROR(VLOOKUP(B2694, SourceData!$U$3:$V$190, 2, FALSE), "")</f>
        <v/>
      </c>
      <c r="D2694" s="240"/>
      <c r="E2694" s="241"/>
      <c r="F2694" s="248"/>
      <c r="G2694" s="207"/>
      <c r="H2694" s="209"/>
      <c r="I2694" s="209"/>
      <c r="J2694" s="209"/>
      <c r="K2694" s="208" t="str">
        <f>IF(Errors!$I2694=0,SourceData!$B$42,VLOOKUP(Errors!$I2694,SourceData!$A$2:$B$40,2,FALSE))</f>
        <v>Please select ERROR CODE column "I"</v>
      </c>
      <c r="L2694" s="207" t="str">
        <f>IF(Errors!$I2694=0,
    'List of Error Codes'!$E$29,
    IFERROR(VLOOKUP(Errors!$I2694, 'List of Error Codes'!D2693:I2723, 6, FALSE), 'List of Error Codes'!$E$29)
)</f>
        <v>Please select ERROR CODE column "I"</v>
      </c>
      <c r="M2694" s="209"/>
      <c r="N2694" s="209"/>
      <c r="O2694" s="209"/>
      <c r="P2694" s="209"/>
      <c r="Q2694" s="209"/>
      <c r="R2694" s="217"/>
      <c r="S2694" s="217"/>
      <c r="T2694" s="217"/>
      <c r="U2694" s="199"/>
      <c r="V2694" s="200"/>
      <c r="W2694" s="200"/>
      <c r="X2694" s="200"/>
      <c r="Y2694" s="200"/>
      <c r="Z2694" s="200"/>
      <c r="AA2694" s="201"/>
      <c r="AB2694" s="200"/>
      <c r="AC2694" s="200"/>
    </row>
    <row r="2695" ht="15.75" customHeight="1">
      <c r="A2695" s="210">
        <f t="shared" si="1"/>
        <v>2693</v>
      </c>
      <c r="B2695" s="217"/>
      <c r="C2695" s="217" t="str">
        <f>IFERROR(VLOOKUP(B2695, SourceData!$U$3:$V$190, 2, FALSE), "")</f>
        <v/>
      </c>
      <c r="D2695" s="240"/>
      <c r="E2695" s="241"/>
      <c r="F2695" s="248"/>
      <c r="G2695" s="207"/>
      <c r="H2695" s="209"/>
      <c r="I2695" s="209"/>
      <c r="J2695" s="209"/>
      <c r="K2695" s="208" t="str">
        <f>IF(Errors!$I2695=0,SourceData!$B$42,VLOOKUP(Errors!$I2695,SourceData!$A$2:$B$40,2,FALSE))</f>
        <v>Please select ERROR CODE column "I"</v>
      </c>
      <c r="L2695" s="207" t="str">
        <f>IF(Errors!$I2695=0,
    'List of Error Codes'!$E$29,
    IFERROR(VLOOKUP(Errors!$I2695, 'List of Error Codes'!D2694:I2724, 6, FALSE), 'List of Error Codes'!$E$29)
)</f>
        <v>Please select ERROR CODE column "I"</v>
      </c>
      <c r="M2695" s="209"/>
      <c r="N2695" s="209"/>
      <c r="O2695" s="209"/>
      <c r="P2695" s="209"/>
      <c r="Q2695" s="209"/>
      <c r="R2695" s="217"/>
      <c r="S2695" s="217"/>
      <c r="T2695" s="217"/>
      <c r="U2695" s="199"/>
      <c r="V2695" s="200"/>
      <c r="W2695" s="200"/>
      <c r="X2695" s="200"/>
      <c r="Y2695" s="200"/>
      <c r="Z2695" s="200"/>
      <c r="AA2695" s="201"/>
      <c r="AB2695" s="200"/>
      <c r="AC2695" s="200"/>
    </row>
    <row r="2696" ht="15.75" customHeight="1">
      <c r="A2696" s="210">
        <f t="shared" si="1"/>
        <v>2694</v>
      </c>
      <c r="B2696" s="217"/>
      <c r="C2696" s="217" t="str">
        <f>IFERROR(VLOOKUP(B2696, SourceData!$U$3:$V$190, 2, FALSE), "")</f>
        <v/>
      </c>
      <c r="D2696" s="240"/>
      <c r="E2696" s="241"/>
      <c r="F2696" s="248"/>
      <c r="G2696" s="207"/>
      <c r="H2696" s="209"/>
      <c r="I2696" s="209"/>
      <c r="J2696" s="209"/>
      <c r="K2696" s="208" t="str">
        <f>IF(Errors!$I2696=0,SourceData!$B$42,VLOOKUP(Errors!$I2696,SourceData!$A$2:$B$40,2,FALSE))</f>
        <v>Please select ERROR CODE column "I"</v>
      </c>
      <c r="L2696" s="207" t="str">
        <f>IF(Errors!$I2696=0,
    'List of Error Codes'!$E$29,
    IFERROR(VLOOKUP(Errors!$I2696, 'List of Error Codes'!D2695:I2725, 6, FALSE), 'List of Error Codes'!$E$29)
)</f>
        <v>Please select ERROR CODE column "I"</v>
      </c>
      <c r="M2696" s="209"/>
      <c r="N2696" s="209"/>
      <c r="O2696" s="209"/>
      <c r="P2696" s="209"/>
      <c r="Q2696" s="209"/>
      <c r="R2696" s="217"/>
      <c r="S2696" s="217"/>
      <c r="T2696" s="217"/>
      <c r="U2696" s="199"/>
      <c r="V2696" s="200"/>
      <c r="W2696" s="200"/>
      <c r="X2696" s="200"/>
      <c r="Y2696" s="200"/>
      <c r="Z2696" s="200"/>
      <c r="AA2696" s="201"/>
      <c r="AB2696" s="200"/>
      <c r="AC2696" s="200"/>
    </row>
    <row r="2697" ht="15.75" customHeight="1">
      <c r="A2697" s="210">
        <f t="shared" si="1"/>
        <v>2695</v>
      </c>
      <c r="B2697" s="217"/>
      <c r="C2697" s="217" t="str">
        <f>IFERROR(VLOOKUP(B2697, SourceData!$U$3:$V$190, 2, FALSE), "")</f>
        <v/>
      </c>
      <c r="D2697" s="240"/>
      <c r="E2697" s="241"/>
      <c r="F2697" s="248"/>
      <c r="G2697" s="207"/>
      <c r="H2697" s="209"/>
      <c r="I2697" s="209"/>
      <c r="J2697" s="209"/>
      <c r="K2697" s="208" t="str">
        <f>IF(Errors!$I2697=0,SourceData!$B$42,VLOOKUP(Errors!$I2697,SourceData!$A$2:$B$40,2,FALSE))</f>
        <v>Please select ERROR CODE column "I"</v>
      </c>
      <c r="L2697" s="207" t="str">
        <f>IF(Errors!$I2697=0,
    'List of Error Codes'!$E$29,
    IFERROR(VLOOKUP(Errors!$I2697, 'List of Error Codes'!D2696:I2726, 6, FALSE), 'List of Error Codes'!$E$29)
)</f>
        <v>Please select ERROR CODE column "I"</v>
      </c>
      <c r="M2697" s="209"/>
      <c r="N2697" s="209"/>
      <c r="O2697" s="209"/>
      <c r="P2697" s="209"/>
      <c r="Q2697" s="209"/>
      <c r="R2697" s="217"/>
      <c r="S2697" s="217"/>
      <c r="T2697" s="217"/>
      <c r="U2697" s="199"/>
      <c r="V2697" s="200"/>
      <c r="W2697" s="200"/>
      <c r="X2697" s="200"/>
      <c r="Y2697" s="200"/>
      <c r="Z2697" s="200"/>
      <c r="AA2697" s="201"/>
      <c r="AB2697" s="200"/>
      <c r="AC2697" s="200"/>
    </row>
    <row r="2698" ht="15.75" customHeight="1">
      <c r="A2698" s="210">
        <f t="shared" si="1"/>
        <v>2696</v>
      </c>
      <c r="B2698" s="217"/>
      <c r="C2698" s="217" t="str">
        <f>IFERROR(VLOOKUP(B2698, SourceData!$U$3:$V$190, 2, FALSE), "")</f>
        <v/>
      </c>
      <c r="D2698" s="240"/>
      <c r="E2698" s="241"/>
      <c r="F2698" s="248"/>
      <c r="G2698" s="207"/>
      <c r="H2698" s="209"/>
      <c r="I2698" s="209"/>
      <c r="J2698" s="209"/>
      <c r="K2698" s="208" t="str">
        <f>IF(Errors!$I2698=0,SourceData!$B$42,VLOOKUP(Errors!$I2698,SourceData!$A$2:$B$40,2,FALSE))</f>
        <v>Please select ERROR CODE column "I"</v>
      </c>
      <c r="L2698" s="207" t="str">
        <f>IF(Errors!$I2698=0,
    'List of Error Codes'!$E$29,
    IFERROR(VLOOKUP(Errors!$I2698, 'List of Error Codes'!D2697:I2727, 6, FALSE), 'List of Error Codes'!$E$29)
)</f>
        <v>Please select ERROR CODE column "I"</v>
      </c>
      <c r="M2698" s="209"/>
      <c r="N2698" s="209"/>
      <c r="O2698" s="209"/>
      <c r="P2698" s="209"/>
      <c r="Q2698" s="209"/>
      <c r="R2698" s="217"/>
      <c r="S2698" s="217"/>
      <c r="T2698" s="217"/>
      <c r="U2698" s="199"/>
      <c r="V2698" s="200"/>
      <c r="W2698" s="200"/>
      <c r="X2698" s="200"/>
      <c r="Y2698" s="200"/>
      <c r="Z2698" s="200"/>
      <c r="AA2698" s="201"/>
      <c r="AB2698" s="200"/>
      <c r="AC2698" s="200"/>
    </row>
    <row r="2699" ht="15.75" customHeight="1">
      <c r="A2699" s="210">
        <f t="shared" si="1"/>
        <v>2697</v>
      </c>
      <c r="B2699" s="217"/>
      <c r="C2699" s="217" t="str">
        <f>IFERROR(VLOOKUP(B2699, SourceData!$U$3:$V$190, 2, FALSE), "")</f>
        <v/>
      </c>
      <c r="D2699" s="240"/>
      <c r="E2699" s="241"/>
      <c r="F2699" s="248"/>
      <c r="G2699" s="207"/>
      <c r="H2699" s="209"/>
      <c r="I2699" s="209"/>
      <c r="J2699" s="209"/>
      <c r="K2699" s="208" t="str">
        <f>IF(Errors!$I2699=0,SourceData!$B$42,VLOOKUP(Errors!$I2699,SourceData!$A$2:$B$40,2,FALSE))</f>
        <v>Please select ERROR CODE column "I"</v>
      </c>
      <c r="L2699" s="207" t="str">
        <f>IF(Errors!$I2699=0,
    'List of Error Codes'!$E$29,
    IFERROR(VLOOKUP(Errors!$I2699, 'List of Error Codes'!D2698:I2728, 6, FALSE), 'List of Error Codes'!$E$29)
)</f>
        <v>Please select ERROR CODE column "I"</v>
      </c>
      <c r="M2699" s="209"/>
      <c r="N2699" s="209"/>
      <c r="O2699" s="209"/>
      <c r="P2699" s="209"/>
      <c r="Q2699" s="209"/>
      <c r="R2699" s="217"/>
      <c r="S2699" s="217"/>
      <c r="T2699" s="217"/>
      <c r="U2699" s="199"/>
      <c r="V2699" s="200"/>
      <c r="W2699" s="200"/>
      <c r="X2699" s="200"/>
      <c r="Y2699" s="200"/>
      <c r="Z2699" s="200"/>
      <c r="AA2699" s="201"/>
      <c r="AB2699" s="200"/>
      <c r="AC2699" s="200"/>
    </row>
    <row r="2700" ht="15.75" customHeight="1">
      <c r="A2700" s="210">
        <f t="shared" si="1"/>
        <v>2698</v>
      </c>
      <c r="B2700" s="217"/>
      <c r="C2700" s="217" t="str">
        <f>IFERROR(VLOOKUP(B2700, SourceData!$U$3:$V$190, 2, FALSE), "")</f>
        <v/>
      </c>
      <c r="D2700" s="240"/>
      <c r="E2700" s="241"/>
      <c r="F2700" s="248"/>
      <c r="G2700" s="207"/>
      <c r="H2700" s="209"/>
      <c r="I2700" s="209"/>
      <c r="J2700" s="209"/>
      <c r="K2700" s="208" t="str">
        <f>IF(Errors!$I2700=0,SourceData!$B$42,VLOOKUP(Errors!$I2700,SourceData!$A$2:$B$40,2,FALSE))</f>
        <v>Please select ERROR CODE column "I"</v>
      </c>
      <c r="L2700" s="207" t="str">
        <f>IF(Errors!$I2700=0,
    'List of Error Codes'!$E$29,
    IFERROR(VLOOKUP(Errors!$I2700, 'List of Error Codes'!D2699:I2729, 6, FALSE), 'List of Error Codes'!$E$29)
)</f>
        <v>Please select ERROR CODE column "I"</v>
      </c>
      <c r="M2700" s="209"/>
      <c r="N2700" s="209"/>
      <c r="O2700" s="209"/>
      <c r="P2700" s="209"/>
      <c r="Q2700" s="209"/>
      <c r="R2700" s="217"/>
      <c r="S2700" s="217"/>
      <c r="T2700" s="217"/>
      <c r="U2700" s="199"/>
      <c r="V2700" s="200"/>
      <c r="W2700" s="200"/>
      <c r="X2700" s="200"/>
      <c r="Y2700" s="200"/>
      <c r="Z2700" s="200"/>
      <c r="AA2700" s="201"/>
      <c r="AB2700" s="200"/>
      <c r="AC2700" s="200"/>
    </row>
    <row r="2701" ht="15.75" customHeight="1">
      <c r="A2701" s="210">
        <f t="shared" si="1"/>
        <v>2699</v>
      </c>
      <c r="B2701" s="217"/>
      <c r="C2701" s="217" t="str">
        <f>IFERROR(VLOOKUP(B2701, SourceData!$U$3:$V$190, 2, FALSE), "")</f>
        <v/>
      </c>
      <c r="D2701" s="240"/>
      <c r="E2701" s="241"/>
      <c r="F2701" s="248"/>
      <c r="G2701" s="207"/>
      <c r="H2701" s="209"/>
      <c r="I2701" s="209"/>
      <c r="J2701" s="209"/>
      <c r="K2701" s="208" t="str">
        <f>IF(Errors!$I2701=0,SourceData!$B$42,VLOOKUP(Errors!$I2701,SourceData!$A$2:$B$40,2,FALSE))</f>
        <v>Please select ERROR CODE column "I"</v>
      </c>
      <c r="L2701" s="207" t="str">
        <f>IF(Errors!$I2701=0,
    'List of Error Codes'!$E$29,
    IFERROR(VLOOKUP(Errors!$I2701, 'List of Error Codes'!D2700:I2730, 6, FALSE), 'List of Error Codes'!$E$29)
)</f>
        <v>Please select ERROR CODE column "I"</v>
      </c>
      <c r="M2701" s="209"/>
      <c r="N2701" s="209"/>
      <c r="O2701" s="209"/>
      <c r="P2701" s="209"/>
      <c r="Q2701" s="209"/>
      <c r="R2701" s="217"/>
      <c r="S2701" s="217"/>
      <c r="T2701" s="217"/>
      <c r="U2701" s="199"/>
      <c r="V2701" s="200"/>
      <c r="W2701" s="200"/>
      <c r="X2701" s="200"/>
      <c r="Y2701" s="200"/>
      <c r="Z2701" s="200"/>
      <c r="AA2701" s="201"/>
      <c r="AB2701" s="200"/>
      <c r="AC2701" s="200"/>
    </row>
    <row r="2702" ht="15.75" customHeight="1">
      <c r="A2702" s="210">
        <f t="shared" si="1"/>
        <v>2700</v>
      </c>
      <c r="B2702" s="217"/>
      <c r="C2702" s="217" t="str">
        <f>IFERROR(VLOOKUP(B2702, SourceData!$U$3:$V$190, 2, FALSE), "")</f>
        <v/>
      </c>
      <c r="D2702" s="240"/>
      <c r="E2702" s="241"/>
      <c r="F2702" s="248"/>
      <c r="G2702" s="207"/>
      <c r="H2702" s="209"/>
      <c r="I2702" s="209"/>
      <c r="J2702" s="209"/>
      <c r="K2702" s="208" t="str">
        <f>IF(Errors!$I2702=0,SourceData!$B$42,VLOOKUP(Errors!$I2702,SourceData!$A$2:$B$40,2,FALSE))</f>
        <v>Please select ERROR CODE column "I"</v>
      </c>
      <c r="L2702" s="207" t="str">
        <f>IF(Errors!$I2702=0,
    'List of Error Codes'!$E$29,
    IFERROR(VLOOKUP(Errors!$I2702, 'List of Error Codes'!D2701:I2731, 6, FALSE), 'List of Error Codes'!$E$29)
)</f>
        <v>Please select ERROR CODE column "I"</v>
      </c>
      <c r="M2702" s="209"/>
      <c r="N2702" s="209"/>
      <c r="O2702" s="209"/>
      <c r="P2702" s="209"/>
      <c r="Q2702" s="209"/>
      <c r="R2702" s="217"/>
      <c r="S2702" s="217"/>
      <c r="T2702" s="217"/>
      <c r="U2702" s="199"/>
      <c r="V2702" s="200"/>
      <c r="W2702" s="200"/>
      <c r="X2702" s="200"/>
      <c r="Y2702" s="200"/>
      <c r="Z2702" s="200"/>
      <c r="AA2702" s="201"/>
      <c r="AB2702" s="200"/>
      <c r="AC2702" s="200"/>
    </row>
    <row r="2703" ht="15.75" customHeight="1">
      <c r="A2703" s="210">
        <f t="shared" si="1"/>
        <v>2701</v>
      </c>
      <c r="B2703" s="217"/>
      <c r="C2703" s="217" t="str">
        <f>IFERROR(VLOOKUP(B2703, SourceData!$U$3:$V$190, 2, FALSE), "")</f>
        <v/>
      </c>
      <c r="D2703" s="240"/>
      <c r="E2703" s="241"/>
      <c r="F2703" s="248"/>
      <c r="G2703" s="207"/>
      <c r="H2703" s="209"/>
      <c r="I2703" s="209"/>
      <c r="J2703" s="209"/>
      <c r="K2703" s="208" t="str">
        <f>IF(Errors!$I2703=0,SourceData!$B$42,VLOOKUP(Errors!$I2703,SourceData!$A$2:$B$40,2,FALSE))</f>
        <v>Please select ERROR CODE column "I"</v>
      </c>
      <c r="L2703" s="207" t="str">
        <f>IF(Errors!$I2703=0,
    'List of Error Codes'!$E$29,
    IFERROR(VLOOKUP(Errors!$I2703, 'List of Error Codes'!D2702:I2732, 6, FALSE), 'List of Error Codes'!$E$29)
)</f>
        <v>Please select ERROR CODE column "I"</v>
      </c>
      <c r="M2703" s="209"/>
      <c r="N2703" s="209"/>
      <c r="O2703" s="209"/>
      <c r="P2703" s="209"/>
      <c r="Q2703" s="209"/>
      <c r="R2703" s="217"/>
      <c r="S2703" s="217"/>
      <c r="T2703" s="217"/>
      <c r="U2703" s="199"/>
      <c r="V2703" s="200"/>
      <c r="W2703" s="200"/>
      <c r="X2703" s="200"/>
      <c r="Y2703" s="200"/>
      <c r="Z2703" s="200"/>
      <c r="AA2703" s="201"/>
      <c r="AB2703" s="200"/>
      <c r="AC2703" s="200"/>
    </row>
    <row r="2704" ht="15.75" customHeight="1">
      <c r="A2704" s="210">
        <f t="shared" si="1"/>
        <v>2702</v>
      </c>
      <c r="B2704" s="217"/>
      <c r="C2704" s="217" t="str">
        <f>IFERROR(VLOOKUP(B2704, SourceData!$U$3:$V$190, 2, FALSE), "")</f>
        <v/>
      </c>
      <c r="D2704" s="240"/>
      <c r="E2704" s="241"/>
      <c r="F2704" s="248"/>
      <c r="G2704" s="207"/>
      <c r="H2704" s="209"/>
      <c r="I2704" s="209"/>
      <c r="J2704" s="209"/>
      <c r="K2704" s="208" t="str">
        <f>IF(Errors!$I2704=0,SourceData!$B$42,VLOOKUP(Errors!$I2704,SourceData!$A$2:$B$40,2,FALSE))</f>
        <v>Please select ERROR CODE column "I"</v>
      </c>
      <c r="L2704" s="207" t="str">
        <f>IF(Errors!$I2704=0,
    'List of Error Codes'!$E$29,
    IFERROR(VLOOKUP(Errors!$I2704, 'List of Error Codes'!D2703:I2733, 6, FALSE), 'List of Error Codes'!$E$29)
)</f>
        <v>Please select ERROR CODE column "I"</v>
      </c>
      <c r="M2704" s="209"/>
      <c r="N2704" s="209"/>
      <c r="O2704" s="209"/>
      <c r="P2704" s="209"/>
      <c r="Q2704" s="209"/>
      <c r="R2704" s="217"/>
      <c r="S2704" s="217"/>
      <c r="T2704" s="217"/>
      <c r="U2704" s="199"/>
      <c r="V2704" s="200"/>
      <c r="W2704" s="200"/>
      <c r="X2704" s="200"/>
      <c r="Y2704" s="200"/>
      <c r="Z2704" s="200"/>
      <c r="AA2704" s="201"/>
      <c r="AB2704" s="200"/>
      <c r="AC2704" s="200"/>
    </row>
    <row r="2705" ht="15.75" customHeight="1">
      <c r="A2705" s="210">
        <f t="shared" si="1"/>
        <v>2703</v>
      </c>
      <c r="B2705" s="217"/>
      <c r="C2705" s="217" t="str">
        <f>IFERROR(VLOOKUP(B2705, SourceData!$U$3:$V$190, 2, FALSE), "")</f>
        <v/>
      </c>
      <c r="D2705" s="240"/>
      <c r="E2705" s="241"/>
      <c r="F2705" s="248"/>
      <c r="G2705" s="207"/>
      <c r="H2705" s="209"/>
      <c r="I2705" s="209"/>
      <c r="J2705" s="209"/>
      <c r="K2705" s="208" t="str">
        <f>IF(Errors!$I2705=0,SourceData!$B$42,VLOOKUP(Errors!$I2705,SourceData!$A$2:$B$40,2,FALSE))</f>
        <v>Please select ERROR CODE column "I"</v>
      </c>
      <c r="L2705" s="207" t="str">
        <f>IF(Errors!$I2705=0,
    'List of Error Codes'!$E$29,
    IFERROR(VLOOKUP(Errors!$I2705, 'List of Error Codes'!D2704:I2734, 6, FALSE), 'List of Error Codes'!$E$29)
)</f>
        <v>Please select ERROR CODE column "I"</v>
      </c>
      <c r="M2705" s="209"/>
      <c r="N2705" s="209"/>
      <c r="O2705" s="209"/>
      <c r="P2705" s="209"/>
      <c r="Q2705" s="209"/>
      <c r="R2705" s="217"/>
      <c r="S2705" s="217"/>
      <c r="T2705" s="217"/>
      <c r="U2705" s="199"/>
      <c r="V2705" s="200"/>
      <c r="W2705" s="200"/>
      <c r="X2705" s="200"/>
      <c r="Y2705" s="200"/>
      <c r="Z2705" s="200"/>
      <c r="AA2705" s="201"/>
      <c r="AB2705" s="200"/>
      <c r="AC2705" s="200"/>
    </row>
    <row r="2706" ht="15.75" customHeight="1">
      <c r="A2706" s="210">
        <f t="shared" si="1"/>
        <v>2704</v>
      </c>
      <c r="B2706" s="217"/>
      <c r="C2706" s="217" t="str">
        <f>IFERROR(VLOOKUP(B2706, SourceData!$U$3:$V$190, 2, FALSE), "")</f>
        <v/>
      </c>
      <c r="D2706" s="240"/>
      <c r="E2706" s="241"/>
      <c r="F2706" s="248"/>
      <c r="G2706" s="207"/>
      <c r="H2706" s="209"/>
      <c r="I2706" s="209"/>
      <c r="J2706" s="209"/>
      <c r="K2706" s="208" t="str">
        <f>IF(Errors!$I2706=0,SourceData!$B$42,VLOOKUP(Errors!$I2706,SourceData!$A$2:$B$40,2,FALSE))</f>
        <v>Please select ERROR CODE column "I"</v>
      </c>
      <c r="L2706" s="207" t="str">
        <f>IF(Errors!$I2706=0,
    'List of Error Codes'!$E$29,
    IFERROR(VLOOKUP(Errors!$I2706, 'List of Error Codes'!D2705:I2735, 6, FALSE), 'List of Error Codes'!$E$29)
)</f>
        <v>Please select ERROR CODE column "I"</v>
      </c>
      <c r="M2706" s="209"/>
      <c r="N2706" s="209"/>
      <c r="O2706" s="209"/>
      <c r="P2706" s="209"/>
      <c r="Q2706" s="209"/>
      <c r="R2706" s="217"/>
      <c r="S2706" s="217"/>
      <c r="T2706" s="217"/>
      <c r="U2706" s="199"/>
      <c r="V2706" s="200"/>
      <c r="W2706" s="200"/>
      <c r="X2706" s="200"/>
      <c r="Y2706" s="200"/>
      <c r="Z2706" s="200"/>
      <c r="AA2706" s="201"/>
      <c r="AB2706" s="200"/>
      <c r="AC2706" s="200"/>
    </row>
    <row r="2707" ht="15.75" customHeight="1">
      <c r="A2707" s="210">
        <f t="shared" si="1"/>
        <v>2705</v>
      </c>
      <c r="B2707" s="217"/>
      <c r="C2707" s="217" t="str">
        <f>IFERROR(VLOOKUP(B2707, SourceData!$U$3:$V$190, 2, FALSE), "")</f>
        <v/>
      </c>
      <c r="D2707" s="240"/>
      <c r="E2707" s="241"/>
      <c r="F2707" s="248"/>
      <c r="G2707" s="207"/>
      <c r="H2707" s="209"/>
      <c r="I2707" s="209"/>
      <c r="J2707" s="209"/>
      <c r="K2707" s="208" t="str">
        <f>IF(Errors!$I2707=0,SourceData!$B$42,VLOOKUP(Errors!$I2707,SourceData!$A$2:$B$40,2,FALSE))</f>
        <v>Please select ERROR CODE column "I"</v>
      </c>
      <c r="L2707" s="207" t="str">
        <f>IF(Errors!$I2707=0,
    'List of Error Codes'!$E$29,
    IFERROR(VLOOKUP(Errors!$I2707, 'List of Error Codes'!D2706:I2736, 6, FALSE), 'List of Error Codes'!$E$29)
)</f>
        <v>Please select ERROR CODE column "I"</v>
      </c>
      <c r="M2707" s="209"/>
      <c r="N2707" s="209"/>
      <c r="O2707" s="209"/>
      <c r="P2707" s="209"/>
      <c r="Q2707" s="209"/>
      <c r="R2707" s="217"/>
      <c r="S2707" s="217"/>
      <c r="T2707" s="217"/>
      <c r="U2707" s="199"/>
      <c r="V2707" s="200"/>
      <c r="W2707" s="200"/>
      <c r="X2707" s="200"/>
      <c r="Y2707" s="200"/>
      <c r="Z2707" s="200"/>
      <c r="AA2707" s="201"/>
      <c r="AB2707" s="200"/>
      <c r="AC2707" s="200"/>
    </row>
    <row r="2708" ht="15.75" customHeight="1">
      <c r="A2708" s="210">
        <f t="shared" si="1"/>
        <v>2706</v>
      </c>
      <c r="B2708" s="217"/>
      <c r="C2708" s="217" t="str">
        <f>IFERROR(VLOOKUP(B2708, SourceData!$U$3:$V$190, 2, FALSE), "")</f>
        <v/>
      </c>
      <c r="D2708" s="240"/>
      <c r="E2708" s="241"/>
      <c r="F2708" s="248"/>
      <c r="G2708" s="207"/>
      <c r="H2708" s="209"/>
      <c r="I2708" s="209"/>
      <c r="J2708" s="209"/>
      <c r="K2708" s="208" t="str">
        <f>IF(Errors!$I2708=0,SourceData!$B$42,VLOOKUP(Errors!$I2708,SourceData!$A$2:$B$40,2,FALSE))</f>
        <v>Please select ERROR CODE column "I"</v>
      </c>
      <c r="L2708" s="207" t="str">
        <f>IF(Errors!$I2708=0,
    'List of Error Codes'!$E$29,
    IFERROR(VLOOKUP(Errors!$I2708, 'List of Error Codes'!D2707:I2737, 6, FALSE), 'List of Error Codes'!$E$29)
)</f>
        <v>Please select ERROR CODE column "I"</v>
      </c>
      <c r="M2708" s="209"/>
      <c r="N2708" s="209"/>
      <c r="O2708" s="209"/>
      <c r="P2708" s="209"/>
      <c r="Q2708" s="209"/>
      <c r="R2708" s="217"/>
      <c r="S2708" s="217"/>
      <c r="T2708" s="217"/>
      <c r="U2708" s="199"/>
      <c r="V2708" s="200"/>
      <c r="W2708" s="200"/>
      <c r="X2708" s="200"/>
      <c r="Y2708" s="200"/>
      <c r="Z2708" s="200"/>
      <c r="AA2708" s="201"/>
      <c r="AB2708" s="200"/>
      <c r="AC2708" s="200"/>
    </row>
    <row r="2709" ht="15.75" customHeight="1">
      <c r="A2709" s="210">
        <f t="shared" si="1"/>
        <v>2707</v>
      </c>
      <c r="B2709" s="217"/>
      <c r="C2709" s="217" t="str">
        <f>IFERROR(VLOOKUP(B2709, SourceData!$U$3:$V$190, 2, FALSE), "")</f>
        <v/>
      </c>
      <c r="D2709" s="240"/>
      <c r="E2709" s="241"/>
      <c r="F2709" s="248"/>
      <c r="G2709" s="207"/>
      <c r="H2709" s="209"/>
      <c r="I2709" s="209"/>
      <c r="J2709" s="209"/>
      <c r="K2709" s="208" t="str">
        <f>IF(Errors!$I2709=0,SourceData!$B$42,VLOOKUP(Errors!$I2709,SourceData!$A$2:$B$40,2,FALSE))</f>
        <v>Please select ERROR CODE column "I"</v>
      </c>
      <c r="L2709" s="207" t="str">
        <f>IF(Errors!$I2709=0,
    'List of Error Codes'!$E$29,
    IFERROR(VLOOKUP(Errors!$I2709, 'List of Error Codes'!D2708:I2738, 6, FALSE), 'List of Error Codes'!$E$29)
)</f>
        <v>Please select ERROR CODE column "I"</v>
      </c>
      <c r="M2709" s="209"/>
      <c r="N2709" s="209"/>
      <c r="O2709" s="209"/>
      <c r="P2709" s="209"/>
      <c r="Q2709" s="209"/>
      <c r="R2709" s="217"/>
      <c r="S2709" s="217"/>
      <c r="T2709" s="217"/>
      <c r="U2709" s="199"/>
      <c r="V2709" s="200"/>
      <c r="W2709" s="200"/>
      <c r="X2709" s="200"/>
      <c r="Y2709" s="200"/>
      <c r="Z2709" s="200"/>
      <c r="AA2709" s="201"/>
      <c r="AB2709" s="200"/>
      <c r="AC2709" s="200"/>
    </row>
    <row r="2710" ht="15.75" customHeight="1">
      <c r="A2710" s="210">
        <f t="shared" si="1"/>
        <v>2708</v>
      </c>
      <c r="B2710" s="217"/>
      <c r="C2710" s="217" t="str">
        <f>IFERROR(VLOOKUP(B2710, SourceData!$U$3:$V$190, 2, FALSE), "")</f>
        <v/>
      </c>
      <c r="D2710" s="240"/>
      <c r="E2710" s="241"/>
      <c r="F2710" s="248"/>
      <c r="G2710" s="207"/>
      <c r="H2710" s="209"/>
      <c r="I2710" s="209"/>
      <c r="J2710" s="209"/>
      <c r="K2710" s="208" t="str">
        <f>IF(Errors!$I2710=0,SourceData!$B$42,VLOOKUP(Errors!$I2710,SourceData!$A$2:$B$40,2,FALSE))</f>
        <v>Please select ERROR CODE column "I"</v>
      </c>
      <c r="L2710" s="207" t="str">
        <f>IF(Errors!$I2710=0,
    'List of Error Codes'!$E$29,
    IFERROR(VLOOKUP(Errors!$I2710, 'List of Error Codes'!D2709:I2739, 6, FALSE), 'List of Error Codes'!$E$29)
)</f>
        <v>Please select ERROR CODE column "I"</v>
      </c>
      <c r="M2710" s="209"/>
      <c r="N2710" s="209"/>
      <c r="O2710" s="209"/>
      <c r="P2710" s="209"/>
      <c r="Q2710" s="209"/>
      <c r="R2710" s="217"/>
      <c r="S2710" s="217"/>
      <c r="T2710" s="217"/>
      <c r="U2710" s="199"/>
      <c r="V2710" s="200"/>
      <c r="W2710" s="200"/>
      <c r="X2710" s="200"/>
      <c r="Y2710" s="200"/>
      <c r="Z2710" s="200"/>
      <c r="AA2710" s="201"/>
      <c r="AB2710" s="200"/>
      <c r="AC2710" s="200"/>
    </row>
    <row r="2711" ht="15.75" customHeight="1">
      <c r="A2711" s="210">
        <f t="shared" si="1"/>
        <v>2709</v>
      </c>
      <c r="B2711" s="217"/>
      <c r="C2711" s="217" t="str">
        <f>IFERROR(VLOOKUP(B2711, SourceData!$U$3:$V$190, 2, FALSE), "")</f>
        <v/>
      </c>
      <c r="D2711" s="240"/>
      <c r="E2711" s="241"/>
      <c r="F2711" s="248"/>
      <c r="G2711" s="207"/>
      <c r="H2711" s="209"/>
      <c r="I2711" s="209"/>
      <c r="J2711" s="209"/>
      <c r="K2711" s="208" t="str">
        <f>IF(Errors!$I2711=0,SourceData!$B$42,VLOOKUP(Errors!$I2711,SourceData!$A$2:$B$40,2,FALSE))</f>
        <v>Please select ERROR CODE column "I"</v>
      </c>
      <c r="L2711" s="207" t="str">
        <f>IF(Errors!$I2711=0,
    'List of Error Codes'!$E$29,
    IFERROR(VLOOKUP(Errors!$I2711, 'List of Error Codes'!D2710:I2740, 6, FALSE), 'List of Error Codes'!$E$29)
)</f>
        <v>Please select ERROR CODE column "I"</v>
      </c>
      <c r="M2711" s="209"/>
      <c r="N2711" s="209"/>
      <c r="O2711" s="209"/>
      <c r="P2711" s="209"/>
      <c r="Q2711" s="209"/>
      <c r="R2711" s="217"/>
      <c r="S2711" s="217"/>
      <c r="T2711" s="217"/>
      <c r="U2711" s="199"/>
      <c r="V2711" s="200"/>
      <c r="W2711" s="200"/>
      <c r="X2711" s="200"/>
      <c r="Y2711" s="200"/>
      <c r="Z2711" s="200"/>
      <c r="AA2711" s="201"/>
      <c r="AB2711" s="200"/>
      <c r="AC2711" s="200"/>
    </row>
    <row r="2712" ht="15.75" customHeight="1">
      <c r="A2712" s="210">
        <f t="shared" si="1"/>
        <v>2710</v>
      </c>
      <c r="B2712" s="217"/>
      <c r="C2712" s="217" t="str">
        <f>IFERROR(VLOOKUP(B2712, SourceData!$U$3:$V$190, 2, FALSE), "")</f>
        <v/>
      </c>
      <c r="D2712" s="240"/>
      <c r="E2712" s="241"/>
      <c r="F2712" s="248"/>
      <c r="G2712" s="207"/>
      <c r="H2712" s="209"/>
      <c r="I2712" s="209"/>
      <c r="J2712" s="209"/>
      <c r="K2712" s="208" t="str">
        <f>IF(Errors!$I2712=0,SourceData!$B$42,VLOOKUP(Errors!$I2712,SourceData!$A$2:$B$40,2,FALSE))</f>
        <v>Please select ERROR CODE column "I"</v>
      </c>
      <c r="L2712" s="207" t="str">
        <f>IF(Errors!$I2712=0,
    'List of Error Codes'!$E$29,
    IFERROR(VLOOKUP(Errors!$I2712, 'List of Error Codes'!D2711:I2741, 6, FALSE), 'List of Error Codes'!$E$29)
)</f>
        <v>Please select ERROR CODE column "I"</v>
      </c>
      <c r="M2712" s="209"/>
      <c r="N2712" s="209"/>
      <c r="O2712" s="209"/>
      <c r="P2712" s="209"/>
      <c r="Q2712" s="209"/>
      <c r="R2712" s="217"/>
      <c r="S2712" s="217"/>
      <c r="T2712" s="217"/>
      <c r="U2712" s="199"/>
      <c r="V2712" s="200"/>
      <c r="W2712" s="200"/>
      <c r="X2712" s="200"/>
      <c r="Y2712" s="200"/>
      <c r="Z2712" s="200"/>
      <c r="AA2712" s="201"/>
      <c r="AB2712" s="200"/>
      <c r="AC2712" s="200"/>
    </row>
    <row r="2713" ht="15.75" customHeight="1">
      <c r="A2713" s="210">
        <f t="shared" si="1"/>
        <v>2711</v>
      </c>
      <c r="B2713" s="217"/>
      <c r="C2713" s="217" t="str">
        <f>IFERROR(VLOOKUP(B2713, SourceData!$U$3:$V$190, 2, FALSE), "")</f>
        <v/>
      </c>
      <c r="D2713" s="240"/>
      <c r="E2713" s="241"/>
      <c r="F2713" s="248"/>
      <c r="G2713" s="207"/>
      <c r="H2713" s="209"/>
      <c r="I2713" s="209"/>
      <c r="J2713" s="209"/>
      <c r="K2713" s="208" t="str">
        <f>IF(Errors!$I2713=0,SourceData!$B$42,VLOOKUP(Errors!$I2713,SourceData!$A$2:$B$40,2,FALSE))</f>
        <v>Please select ERROR CODE column "I"</v>
      </c>
      <c r="L2713" s="207" t="str">
        <f>IF(Errors!$I2713=0,
    'List of Error Codes'!$E$29,
    IFERROR(VLOOKUP(Errors!$I2713, 'List of Error Codes'!D2712:I2742, 6, FALSE), 'List of Error Codes'!$E$29)
)</f>
        <v>Please select ERROR CODE column "I"</v>
      </c>
      <c r="M2713" s="209"/>
      <c r="N2713" s="209"/>
      <c r="O2713" s="209"/>
      <c r="P2713" s="209"/>
      <c r="Q2713" s="209"/>
      <c r="R2713" s="217"/>
      <c r="S2713" s="217"/>
      <c r="T2713" s="217"/>
      <c r="U2713" s="199"/>
      <c r="V2713" s="200"/>
      <c r="W2713" s="200"/>
      <c r="X2713" s="200"/>
      <c r="Y2713" s="200"/>
      <c r="Z2713" s="200"/>
      <c r="AA2713" s="201"/>
      <c r="AB2713" s="200"/>
      <c r="AC2713" s="200"/>
    </row>
    <row r="2714" ht="15.75" customHeight="1">
      <c r="A2714" s="210">
        <f t="shared" si="1"/>
        <v>2712</v>
      </c>
      <c r="B2714" s="217"/>
      <c r="C2714" s="217" t="str">
        <f>IFERROR(VLOOKUP(B2714, SourceData!$U$3:$V$190, 2, FALSE), "")</f>
        <v/>
      </c>
      <c r="D2714" s="240"/>
      <c r="E2714" s="241"/>
      <c r="F2714" s="248"/>
      <c r="G2714" s="207"/>
      <c r="H2714" s="209"/>
      <c r="I2714" s="209"/>
      <c r="J2714" s="209"/>
      <c r="K2714" s="208" t="str">
        <f>IF(Errors!$I2714=0,SourceData!$B$42,VLOOKUP(Errors!$I2714,SourceData!$A$2:$B$40,2,FALSE))</f>
        <v>Please select ERROR CODE column "I"</v>
      </c>
      <c r="L2714" s="207" t="str">
        <f>IF(Errors!$I2714=0,
    'List of Error Codes'!$E$29,
    IFERROR(VLOOKUP(Errors!$I2714, 'List of Error Codes'!D2713:I2743, 6, FALSE), 'List of Error Codes'!$E$29)
)</f>
        <v>Please select ERROR CODE column "I"</v>
      </c>
      <c r="M2714" s="209"/>
      <c r="N2714" s="209"/>
      <c r="O2714" s="209"/>
      <c r="P2714" s="209"/>
      <c r="Q2714" s="209"/>
      <c r="R2714" s="217"/>
      <c r="S2714" s="217"/>
      <c r="T2714" s="217"/>
      <c r="U2714" s="199"/>
      <c r="V2714" s="200"/>
      <c r="W2714" s="200"/>
      <c r="X2714" s="200"/>
      <c r="Y2714" s="200"/>
      <c r="Z2714" s="200"/>
      <c r="AA2714" s="201"/>
      <c r="AB2714" s="200"/>
      <c r="AC2714" s="200"/>
    </row>
    <row r="2715" ht="15.75" customHeight="1">
      <c r="A2715" s="210">
        <f t="shared" si="1"/>
        <v>2713</v>
      </c>
      <c r="B2715" s="217"/>
      <c r="C2715" s="217" t="str">
        <f>IFERROR(VLOOKUP(B2715, SourceData!$U$3:$V$190, 2, FALSE), "")</f>
        <v/>
      </c>
      <c r="D2715" s="240"/>
      <c r="E2715" s="241"/>
      <c r="F2715" s="248"/>
      <c r="G2715" s="207"/>
      <c r="H2715" s="209"/>
      <c r="I2715" s="209"/>
      <c r="J2715" s="209"/>
      <c r="K2715" s="208" t="str">
        <f>IF(Errors!$I2715=0,SourceData!$B$42,VLOOKUP(Errors!$I2715,SourceData!$A$2:$B$40,2,FALSE))</f>
        <v>Please select ERROR CODE column "I"</v>
      </c>
      <c r="L2715" s="207" t="str">
        <f>IF(Errors!$I2715=0,
    'List of Error Codes'!$E$29,
    IFERROR(VLOOKUP(Errors!$I2715, 'List of Error Codes'!D2714:I2744, 6, FALSE), 'List of Error Codes'!$E$29)
)</f>
        <v>Please select ERROR CODE column "I"</v>
      </c>
      <c r="M2715" s="209"/>
      <c r="N2715" s="209"/>
      <c r="O2715" s="209"/>
      <c r="P2715" s="209"/>
      <c r="Q2715" s="209"/>
      <c r="R2715" s="217"/>
      <c r="S2715" s="217"/>
      <c r="T2715" s="217"/>
      <c r="U2715" s="199"/>
      <c r="V2715" s="200"/>
      <c r="W2715" s="200"/>
      <c r="X2715" s="200"/>
      <c r="Y2715" s="200"/>
      <c r="Z2715" s="200"/>
      <c r="AA2715" s="201"/>
      <c r="AB2715" s="200"/>
      <c r="AC2715" s="200"/>
    </row>
    <row r="2716" ht="15.75" customHeight="1">
      <c r="A2716" s="210">
        <f t="shared" si="1"/>
        <v>2714</v>
      </c>
      <c r="B2716" s="217"/>
      <c r="C2716" s="217" t="str">
        <f>IFERROR(VLOOKUP(B2716, SourceData!$U$3:$V$190, 2, FALSE), "")</f>
        <v/>
      </c>
      <c r="D2716" s="240"/>
      <c r="E2716" s="241"/>
      <c r="F2716" s="248"/>
      <c r="G2716" s="207"/>
      <c r="H2716" s="209"/>
      <c r="I2716" s="209"/>
      <c r="J2716" s="209"/>
      <c r="K2716" s="208" t="str">
        <f>IF(Errors!$I2716=0,SourceData!$B$42,VLOOKUP(Errors!$I2716,SourceData!$A$2:$B$40,2,FALSE))</f>
        <v>Please select ERROR CODE column "I"</v>
      </c>
      <c r="L2716" s="207" t="str">
        <f>IF(Errors!$I2716=0,
    'List of Error Codes'!$E$29,
    IFERROR(VLOOKUP(Errors!$I2716, 'List of Error Codes'!D2715:I2745, 6, FALSE), 'List of Error Codes'!$E$29)
)</f>
        <v>Please select ERROR CODE column "I"</v>
      </c>
      <c r="M2716" s="209"/>
      <c r="N2716" s="209"/>
      <c r="O2716" s="209"/>
      <c r="P2716" s="209"/>
      <c r="Q2716" s="209"/>
      <c r="R2716" s="217"/>
      <c r="S2716" s="217"/>
      <c r="T2716" s="217"/>
      <c r="U2716" s="199"/>
      <c r="V2716" s="200"/>
      <c r="W2716" s="200"/>
      <c r="X2716" s="200"/>
      <c r="Y2716" s="200"/>
      <c r="Z2716" s="200"/>
      <c r="AA2716" s="201"/>
      <c r="AB2716" s="200"/>
      <c r="AC2716" s="200"/>
    </row>
    <row r="2717" ht="15.75" customHeight="1">
      <c r="A2717" s="210">
        <f t="shared" si="1"/>
        <v>2715</v>
      </c>
      <c r="B2717" s="217"/>
      <c r="C2717" s="217" t="str">
        <f>IFERROR(VLOOKUP(B2717, SourceData!$U$3:$V$190, 2, FALSE), "")</f>
        <v/>
      </c>
      <c r="D2717" s="240"/>
      <c r="E2717" s="241"/>
      <c r="F2717" s="248"/>
      <c r="G2717" s="207"/>
      <c r="H2717" s="209"/>
      <c r="I2717" s="209"/>
      <c r="J2717" s="209"/>
      <c r="K2717" s="208" t="str">
        <f>IF(Errors!$I2717=0,SourceData!$B$42,VLOOKUP(Errors!$I2717,SourceData!$A$2:$B$40,2,FALSE))</f>
        <v>Please select ERROR CODE column "I"</v>
      </c>
      <c r="L2717" s="207" t="str">
        <f>IF(Errors!$I2717=0,
    'List of Error Codes'!$E$29,
    IFERROR(VLOOKUP(Errors!$I2717, 'List of Error Codes'!D2716:I2746, 6, FALSE), 'List of Error Codes'!$E$29)
)</f>
        <v>Please select ERROR CODE column "I"</v>
      </c>
      <c r="M2717" s="209"/>
      <c r="N2717" s="209"/>
      <c r="O2717" s="209"/>
      <c r="P2717" s="209"/>
      <c r="Q2717" s="209"/>
      <c r="R2717" s="217"/>
      <c r="S2717" s="217"/>
      <c r="T2717" s="217"/>
      <c r="U2717" s="199"/>
      <c r="V2717" s="200"/>
      <c r="W2717" s="200"/>
      <c r="X2717" s="200"/>
      <c r="Y2717" s="200"/>
      <c r="Z2717" s="200"/>
      <c r="AA2717" s="201"/>
      <c r="AB2717" s="200"/>
      <c r="AC2717" s="200"/>
    </row>
    <row r="2718" ht="15.75" customHeight="1">
      <c r="A2718" s="210">
        <f t="shared" si="1"/>
        <v>2716</v>
      </c>
      <c r="B2718" s="217"/>
      <c r="C2718" s="217" t="str">
        <f>IFERROR(VLOOKUP(B2718, SourceData!$U$3:$V$190, 2, FALSE), "")</f>
        <v/>
      </c>
      <c r="D2718" s="240"/>
      <c r="E2718" s="241"/>
      <c r="F2718" s="248"/>
      <c r="G2718" s="207"/>
      <c r="H2718" s="209"/>
      <c r="I2718" s="209"/>
      <c r="J2718" s="209"/>
      <c r="K2718" s="208" t="str">
        <f>IF(Errors!$I2718=0,SourceData!$B$42,VLOOKUP(Errors!$I2718,SourceData!$A$2:$B$40,2,FALSE))</f>
        <v>Please select ERROR CODE column "I"</v>
      </c>
      <c r="L2718" s="207" t="str">
        <f>IF(Errors!$I2718=0,
    'List of Error Codes'!$E$29,
    IFERROR(VLOOKUP(Errors!$I2718, 'List of Error Codes'!D2717:I2747, 6, FALSE), 'List of Error Codes'!$E$29)
)</f>
        <v>Please select ERROR CODE column "I"</v>
      </c>
      <c r="M2718" s="209"/>
      <c r="N2718" s="209"/>
      <c r="O2718" s="209"/>
      <c r="P2718" s="209"/>
      <c r="Q2718" s="209"/>
      <c r="R2718" s="217"/>
      <c r="S2718" s="217"/>
      <c r="T2718" s="217"/>
      <c r="U2718" s="199"/>
      <c r="V2718" s="200"/>
      <c r="W2718" s="200"/>
      <c r="X2718" s="200"/>
      <c r="Y2718" s="200"/>
      <c r="Z2718" s="200"/>
      <c r="AA2718" s="201"/>
      <c r="AB2718" s="200"/>
      <c r="AC2718" s="200"/>
    </row>
    <row r="2719" ht="15.75" customHeight="1">
      <c r="A2719" s="210">
        <f t="shared" si="1"/>
        <v>2717</v>
      </c>
      <c r="B2719" s="217"/>
      <c r="C2719" s="217" t="str">
        <f>IFERROR(VLOOKUP(B2719, SourceData!$U$3:$V$190, 2, FALSE), "")</f>
        <v/>
      </c>
      <c r="D2719" s="240"/>
      <c r="E2719" s="241"/>
      <c r="F2719" s="248"/>
      <c r="G2719" s="207"/>
      <c r="H2719" s="209"/>
      <c r="I2719" s="209"/>
      <c r="J2719" s="209"/>
      <c r="K2719" s="208" t="str">
        <f>IF(Errors!$I2719=0,SourceData!$B$42,VLOOKUP(Errors!$I2719,SourceData!$A$2:$B$40,2,FALSE))</f>
        <v>Please select ERROR CODE column "I"</v>
      </c>
      <c r="L2719" s="207" t="str">
        <f>IF(Errors!$I2719=0,
    'List of Error Codes'!$E$29,
    IFERROR(VLOOKUP(Errors!$I2719, 'List of Error Codes'!D2718:I2748, 6, FALSE), 'List of Error Codes'!$E$29)
)</f>
        <v>Please select ERROR CODE column "I"</v>
      </c>
      <c r="M2719" s="209"/>
      <c r="N2719" s="209"/>
      <c r="O2719" s="209"/>
      <c r="P2719" s="209"/>
      <c r="Q2719" s="209"/>
      <c r="R2719" s="217"/>
      <c r="S2719" s="217"/>
      <c r="T2719" s="217"/>
      <c r="U2719" s="199"/>
      <c r="V2719" s="200"/>
      <c r="W2719" s="200"/>
      <c r="X2719" s="200"/>
      <c r="Y2719" s="200"/>
      <c r="Z2719" s="200"/>
      <c r="AA2719" s="201"/>
      <c r="AB2719" s="200"/>
      <c r="AC2719" s="200"/>
    </row>
    <row r="2720" ht="15.75" customHeight="1">
      <c r="A2720" s="210">
        <f t="shared" si="1"/>
        <v>2718</v>
      </c>
      <c r="B2720" s="217"/>
      <c r="C2720" s="217" t="str">
        <f>IFERROR(VLOOKUP(B2720, SourceData!$U$3:$V$190, 2, FALSE), "")</f>
        <v/>
      </c>
      <c r="D2720" s="240"/>
      <c r="E2720" s="241"/>
      <c r="F2720" s="248"/>
      <c r="G2720" s="207"/>
      <c r="H2720" s="209"/>
      <c r="I2720" s="209"/>
      <c r="J2720" s="209"/>
      <c r="K2720" s="208" t="str">
        <f>IF(Errors!$I2720=0,SourceData!$B$42,VLOOKUP(Errors!$I2720,SourceData!$A$2:$B$40,2,FALSE))</f>
        <v>Please select ERROR CODE column "I"</v>
      </c>
      <c r="L2720" s="207" t="str">
        <f>IF(Errors!$I2720=0,
    'List of Error Codes'!$E$29,
    IFERROR(VLOOKUP(Errors!$I2720, 'List of Error Codes'!D2719:I2749, 6, FALSE), 'List of Error Codes'!$E$29)
)</f>
        <v>Please select ERROR CODE column "I"</v>
      </c>
      <c r="M2720" s="209"/>
      <c r="N2720" s="209"/>
      <c r="O2720" s="209"/>
      <c r="P2720" s="209"/>
      <c r="Q2720" s="209"/>
      <c r="R2720" s="217"/>
      <c r="S2720" s="217"/>
      <c r="T2720" s="217"/>
      <c r="U2720" s="199"/>
      <c r="V2720" s="200"/>
      <c r="W2720" s="200"/>
      <c r="X2720" s="200"/>
      <c r="Y2720" s="200"/>
      <c r="Z2720" s="200"/>
      <c r="AA2720" s="201"/>
      <c r="AB2720" s="200"/>
      <c r="AC2720" s="200"/>
    </row>
    <row r="2721" ht="15.75" customHeight="1">
      <c r="A2721" s="210">
        <f t="shared" si="1"/>
        <v>2719</v>
      </c>
      <c r="B2721" s="217"/>
      <c r="C2721" s="217" t="str">
        <f>IFERROR(VLOOKUP(B2721, SourceData!$U$3:$V$190, 2, FALSE), "")</f>
        <v/>
      </c>
      <c r="D2721" s="240"/>
      <c r="E2721" s="241"/>
      <c r="F2721" s="248"/>
      <c r="G2721" s="207"/>
      <c r="H2721" s="209"/>
      <c r="I2721" s="209"/>
      <c r="J2721" s="209"/>
      <c r="K2721" s="208" t="str">
        <f>IF(Errors!$I2721=0,SourceData!$B$42,VLOOKUP(Errors!$I2721,SourceData!$A$2:$B$40,2,FALSE))</f>
        <v>Please select ERROR CODE column "I"</v>
      </c>
      <c r="L2721" s="207" t="str">
        <f>IF(Errors!$I2721=0,
    'List of Error Codes'!$E$29,
    IFERROR(VLOOKUP(Errors!$I2721, 'List of Error Codes'!D2720:I2750, 6, FALSE), 'List of Error Codes'!$E$29)
)</f>
        <v>Please select ERROR CODE column "I"</v>
      </c>
      <c r="M2721" s="209"/>
      <c r="N2721" s="209"/>
      <c r="O2721" s="209"/>
      <c r="P2721" s="209"/>
      <c r="Q2721" s="209"/>
      <c r="R2721" s="217"/>
      <c r="S2721" s="217"/>
      <c r="T2721" s="217"/>
      <c r="U2721" s="199"/>
      <c r="V2721" s="200"/>
      <c r="W2721" s="200"/>
      <c r="X2721" s="200"/>
      <c r="Y2721" s="200"/>
      <c r="Z2721" s="200"/>
      <c r="AA2721" s="201"/>
      <c r="AB2721" s="200"/>
      <c r="AC2721" s="200"/>
    </row>
    <row r="2722" ht="15.75" customHeight="1">
      <c r="A2722" s="210">
        <f t="shared" si="1"/>
        <v>2720</v>
      </c>
      <c r="B2722" s="217"/>
      <c r="C2722" s="217" t="str">
        <f>IFERROR(VLOOKUP(B2722, SourceData!$U$3:$V$190, 2, FALSE), "")</f>
        <v/>
      </c>
      <c r="D2722" s="240"/>
      <c r="E2722" s="241"/>
      <c r="F2722" s="248"/>
      <c r="G2722" s="207"/>
      <c r="H2722" s="209"/>
      <c r="I2722" s="209"/>
      <c r="J2722" s="209"/>
      <c r="K2722" s="208" t="str">
        <f>IF(Errors!$I2722=0,SourceData!$B$42,VLOOKUP(Errors!$I2722,SourceData!$A$2:$B$40,2,FALSE))</f>
        <v>Please select ERROR CODE column "I"</v>
      </c>
      <c r="L2722" s="207" t="str">
        <f>IF(Errors!$I2722=0,
    'List of Error Codes'!$E$29,
    IFERROR(VLOOKUP(Errors!$I2722, 'List of Error Codes'!D2721:I2751, 6, FALSE), 'List of Error Codes'!$E$29)
)</f>
        <v>Please select ERROR CODE column "I"</v>
      </c>
      <c r="M2722" s="209"/>
      <c r="N2722" s="209"/>
      <c r="O2722" s="209"/>
      <c r="P2722" s="209"/>
      <c r="Q2722" s="209"/>
      <c r="R2722" s="217"/>
      <c r="S2722" s="217"/>
      <c r="T2722" s="217"/>
      <c r="U2722" s="199"/>
      <c r="V2722" s="200"/>
      <c r="W2722" s="200"/>
      <c r="X2722" s="200"/>
      <c r="Y2722" s="200"/>
      <c r="Z2722" s="200"/>
      <c r="AA2722" s="201"/>
      <c r="AB2722" s="200"/>
      <c r="AC2722" s="200"/>
    </row>
    <row r="2723" ht="15.75" customHeight="1">
      <c r="A2723" s="210">
        <f t="shared" si="1"/>
        <v>2721</v>
      </c>
      <c r="B2723" s="217"/>
      <c r="C2723" s="217" t="str">
        <f>IFERROR(VLOOKUP(B2723, SourceData!$U$3:$V$190, 2, FALSE), "")</f>
        <v/>
      </c>
      <c r="D2723" s="240"/>
      <c r="E2723" s="241"/>
      <c r="F2723" s="248"/>
      <c r="G2723" s="207"/>
      <c r="H2723" s="209"/>
      <c r="I2723" s="209"/>
      <c r="J2723" s="209"/>
      <c r="K2723" s="208" t="str">
        <f>IF(Errors!$I2723=0,SourceData!$B$42,VLOOKUP(Errors!$I2723,SourceData!$A$2:$B$40,2,FALSE))</f>
        <v>Please select ERROR CODE column "I"</v>
      </c>
      <c r="L2723" s="207" t="str">
        <f>IF(Errors!$I2723=0,
    'List of Error Codes'!$E$29,
    IFERROR(VLOOKUP(Errors!$I2723, 'List of Error Codes'!D2722:I2752, 6, FALSE), 'List of Error Codes'!$E$29)
)</f>
        <v>Please select ERROR CODE column "I"</v>
      </c>
      <c r="M2723" s="209"/>
      <c r="N2723" s="209"/>
      <c r="O2723" s="209"/>
      <c r="P2723" s="209"/>
      <c r="Q2723" s="209"/>
      <c r="R2723" s="217"/>
      <c r="S2723" s="217"/>
      <c r="T2723" s="217"/>
      <c r="U2723" s="199"/>
      <c r="V2723" s="200"/>
      <c r="W2723" s="200"/>
      <c r="X2723" s="200"/>
      <c r="Y2723" s="200"/>
      <c r="Z2723" s="200"/>
      <c r="AA2723" s="201"/>
      <c r="AB2723" s="200"/>
      <c r="AC2723" s="200"/>
    </row>
    <row r="2724" ht="15.75" customHeight="1">
      <c r="A2724" s="210">
        <f t="shared" si="1"/>
        <v>2722</v>
      </c>
      <c r="B2724" s="217"/>
      <c r="C2724" s="217" t="str">
        <f>IFERROR(VLOOKUP(B2724, SourceData!$U$3:$V$190, 2, FALSE), "")</f>
        <v/>
      </c>
      <c r="D2724" s="240"/>
      <c r="E2724" s="241"/>
      <c r="F2724" s="248"/>
      <c r="G2724" s="207"/>
      <c r="H2724" s="209"/>
      <c r="I2724" s="209"/>
      <c r="J2724" s="209"/>
      <c r="K2724" s="208" t="str">
        <f>IF(Errors!$I2724=0,SourceData!$B$42,VLOOKUP(Errors!$I2724,SourceData!$A$2:$B$40,2,FALSE))</f>
        <v>Please select ERROR CODE column "I"</v>
      </c>
      <c r="L2724" s="207" t="str">
        <f>IF(Errors!$I2724=0,
    'List of Error Codes'!$E$29,
    IFERROR(VLOOKUP(Errors!$I2724, 'List of Error Codes'!D2723:I2753, 6, FALSE), 'List of Error Codes'!$E$29)
)</f>
        <v>Please select ERROR CODE column "I"</v>
      </c>
      <c r="M2724" s="209"/>
      <c r="N2724" s="209"/>
      <c r="O2724" s="209"/>
      <c r="P2724" s="209"/>
      <c r="Q2724" s="209"/>
      <c r="R2724" s="217"/>
      <c r="S2724" s="217"/>
      <c r="T2724" s="217"/>
      <c r="U2724" s="199"/>
      <c r="V2724" s="200"/>
      <c r="W2724" s="200"/>
      <c r="X2724" s="200"/>
      <c r="Y2724" s="200"/>
      <c r="Z2724" s="200"/>
      <c r="AA2724" s="201"/>
      <c r="AB2724" s="200"/>
      <c r="AC2724" s="200"/>
    </row>
    <row r="2725" ht="15.75" customHeight="1">
      <c r="A2725" s="210">
        <f t="shared" si="1"/>
        <v>2723</v>
      </c>
      <c r="B2725" s="217"/>
      <c r="C2725" s="217" t="str">
        <f>IFERROR(VLOOKUP(B2725, SourceData!$U$3:$V$190, 2, FALSE), "")</f>
        <v/>
      </c>
      <c r="D2725" s="240"/>
      <c r="E2725" s="241"/>
      <c r="F2725" s="248"/>
      <c r="G2725" s="207"/>
      <c r="H2725" s="209"/>
      <c r="I2725" s="209"/>
      <c r="J2725" s="209"/>
      <c r="K2725" s="208" t="str">
        <f>IF(Errors!$I2725=0,SourceData!$B$42,VLOOKUP(Errors!$I2725,SourceData!$A$2:$B$40,2,FALSE))</f>
        <v>Please select ERROR CODE column "I"</v>
      </c>
      <c r="L2725" s="207" t="str">
        <f>IF(Errors!$I2725=0,
    'List of Error Codes'!$E$29,
    IFERROR(VLOOKUP(Errors!$I2725, 'List of Error Codes'!D2724:I2754, 6, FALSE), 'List of Error Codes'!$E$29)
)</f>
        <v>Please select ERROR CODE column "I"</v>
      </c>
      <c r="M2725" s="209"/>
      <c r="N2725" s="209"/>
      <c r="O2725" s="209"/>
      <c r="P2725" s="209"/>
      <c r="Q2725" s="209"/>
      <c r="R2725" s="217"/>
      <c r="S2725" s="217"/>
      <c r="T2725" s="217"/>
      <c r="U2725" s="199"/>
      <c r="V2725" s="200"/>
      <c r="W2725" s="200"/>
      <c r="X2725" s="200"/>
      <c r="Y2725" s="200"/>
      <c r="Z2725" s="200"/>
      <c r="AA2725" s="201"/>
      <c r="AB2725" s="200"/>
      <c r="AC2725" s="200"/>
    </row>
    <row r="2726" ht="15.75" customHeight="1">
      <c r="A2726" s="210">
        <f t="shared" si="1"/>
        <v>2724</v>
      </c>
      <c r="B2726" s="217"/>
      <c r="C2726" s="217" t="str">
        <f>IFERROR(VLOOKUP(B2726, SourceData!$U$3:$V$190, 2, FALSE), "")</f>
        <v/>
      </c>
      <c r="D2726" s="240"/>
      <c r="E2726" s="241"/>
      <c r="F2726" s="248"/>
      <c r="G2726" s="207"/>
      <c r="H2726" s="209"/>
      <c r="I2726" s="209"/>
      <c r="J2726" s="209"/>
      <c r="K2726" s="208" t="str">
        <f>IF(Errors!$I2726=0,SourceData!$B$42,VLOOKUP(Errors!$I2726,SourceData!$A$2:$B$40,2,FALSE))</f>
        <v>Please select ERROR CODE column "I"</v>
      </c>
      <c r="L2726" s="207" t="str">
        <f>IF(Errors!$I2726=0,
    'List of Error Codes'!$E$29,
    IFERROR(VLOOKUP(Errors!$I2726, 'List of Error Codes'!D2725:I2755, 6, FALSE), 'List of Error Codes'!$E$29)
)</f>
        <v>Please select ERROR CODE column "I"</v>
      </c>
      <c r="M2726" s="209"/>
      <c r="N2726" s="209"/>
      <c r="O2726" s="209"/>
      <c r="P2726" s="209"/>
      <c r="Q2726" s="209"/>
      <c r="R2726" s="217"/>
      <c r="S2726" s="217"/>
      <c r="T2726" s="217"/>
      <c r="U2726" s="199"/>
      <c r="V2726" s="200"/>
      <c r="W2726" s="200"/>
      <c r="X2726" s="200"/>
      <c r="Y2726" s="200"/>
      <c r="Z2726" s="200"/>
      <c r="AA2726" s="201"/>
      <c r="AB2726" s="200"/>
      <c r="AC2726" s="200"/>
    </row>
    <row r="2727" ht="15.75" customHeight="1">
      <c r="A2727" s="210">
        <f t="shared" si="1"/>
        <v>2725</v>
      </c>
      <c r="B2727" s="217"/>
      <c r="C2727" s="217" t="str">
        <f>IFERROR(VLOOKUP(B2727, SourceData!$U$3:$V$190, 2, FALSE), "")</f>
        <v/>
      </c>
      <c r="D2727" s="240"/>
      <c r="E2727" s="241"/>
      <c r="F2727" s="248"/>
      <c r="G2727" s="207"/>
      <c r="H2727" s="209"/>
      <c r="I2727" s="209"/>
      <c r="J2727" s="209"/>
      <c r="K2727" s="208" t="str">
        <f>IF(Errors!$I2727=0,SourceData!$B$42,VLOOKUP(Errors!$I2727,SourceData!$A$2:$B$40,2,FALSE))</f>
        <v>Please select ERROR CODE column "I"</v>
      </c>
      <c r="L2727" s="207" t="str">
        <f>IF(Errors!$I2727=0,
    'List of Error Codes'!$E$29,
    IFERROR(VLOOKUP(Errors!$I2727, 'List of Error Codes'!D2726:I2756, 6, FALSE), 'List of Error Codes'!$E$29)
)</f>
        <v>Please select ERROR CODE column "I"</v>
      </c>
      <c r="M2727" s="209"/>
      <c r="N2727" s="209"/>
      <c r="O2727" s="209"/>
      <c r="P2727" s="209"/>
      <c r="Q2727" s="209"/>
      <c r="R2727" s="217"/>
      <c r="S2727" s="217"/>
      <c r="T2727" s="217"/>
      <c r="U2727" s="199"/>
      <c r="V2727" s="200"/>
      <c r="W2727" s="200"/>
      <c r="X2727" s="200"/>
      <c r="Y2727" s="200"/>
      <c r="Z2727" s="200"/>
      <c r="AA2727" s="201"/>
      <c r="AB2727" s="200"/>
      <c r="AC2727" s="200"/>
    </row>
    <row r="2728" ht="15.75" customHeight="1">
      <c r="A2728" s="210">
        <f t="shared" si="1"/>
        <v>2726</v>
      </c>
      <c r="B2728" s="217"/>
      <c r="C2728" s="217" t="str">
        <f>IFERROR(VLOOKUP(B2728, SourceData!$U$3:$V$190, 2, FALSE), "")</f>
        <v/>
      </c>
      <c r="D2728" s="240"/>
      <c r="E2728" s="241"/>
      <c r="F2728" s="248"/>
      <c r="G2728" s="207"/>
      <c r="H2728" s="209"/>
      <c r="I2728" s="209"/>
      <c r="J2728" s="209"/>
      <c r="K2728" s="208" t="str">
        <f>IF(Errors!$I2728=0,SourceData!$B$42,VLOOKUP(Errors!$I2728,SourceData!$A$2:$B$40,2,FALSE))</f>
        <v>Please select ERROR CODE column "I"</v>
      </c>
      <c r="L2728" s="207" t="str">
        <f>IF(Errors!$I2728=0,
    'List of Error Codes'!$E$29,
    IFERROR(VLOOKUP(Errors!$I2728, 'List of Error Codes'!D2727:I2757, 6, FALSE), 'List of Error Codes'!$E$29)
)</f>
        <v>Please select ERROR CODE column "I"</v>
      </c>
      <c r="M2728" s="209"/>
      <c r="N2728" s="209"/>
      <c r="O2728" s="209"/>
      <c r="P2728" s="209"/>
      <c r="Q2728" s="209"/>
      <c r="R2728" s="217"/>
      <c r="S2728" s="217"/>
      <c r="T2728" s="217"/>
      <c r="U2728" s="199"/>
      <c r="V2728" s="200"/>
      <c r="W2728" s="200"/>
      <c r="X2728" s="200"/>
      <c r="Y2728" s="200"/>
      <c r="Z2728" s="200"/>
      <c r="AA2728" s="201"/>
      <c r="AB2728" s="200"/>
      <c r="AC2728" s="200"/>
    </row>
    <row r="2729" ht="15.75" customHeight="1">
      <c r="A2729" s="210">
        <f t="shared" si="1"/>
        <v>2727</v>
      </c>
      <c r="B2729" s="217"/>
      <c r="C2729" s="217" t="str">
        <f>IFERROR(VLOOKUP(B2729, SourceData!$U$3:$V$190, 2, FALSE), "")</f>
        <v/>
      </c>
      <c r="D2729" s="240"/>
      <c r="E2729" s="241"/>
      <c r="F2729" s="248"/>
      <c r="G2729" s="207"/>
      <c r="H2729" s="209"/>
      <c r="I2729" s="209"/>
      <c r="J2729" s="209"/>
      <c r="K2729" s="208" t="str">
        <f>IF(Errors!$I2729=0,SourceData!$B$42,VLOOKUP(Errors!$I2729,SourceData!$A$2:$B$40,2,FALSE))</f>
        <v>Please select ERROR CODE column "I"</v>
      </c>
      <c r="L2729" s="207" t="str">
        <f>IF(Errors!$I2729=0,
    'List of Error Codes'!$E$29,
    IFERROR(VLOOKUP(Errors!$I2729, 'List of Error Codes'!D2728:I2758, 6, FALSE), 'List of Error Codes'!$E$29)
)</f>
        <v>Please select ERROR CODE column "I"</v>
      </c>
      <c r="M2729" s="209"/>
      <c r="N2729" s="209"/>
      <c r="O2729" s="209"/>
      <c r="P2729" s="209"/>
      <c r="Q2729" s="209"/>
      <c r="R2729" s="217"/>
      <c r="S2729" s="217"/>
      <c r="T2729" s="217"/>
      <c r="U2729" s="199"/>
      <c r="V2729" s="200"/>
      <c r="W2729" s="200"/>
      <c r="X2729" s="200"/>
      <c r="Y2729" s="200"/>
      <c r="Z2729" s="200"/>
      <c r="AA2729" s="201"/>
      <c r="AB2729" s="200"/>
      <c r="AC2729" s="200"/>
    </row>
    <row r="2730" ht="15.75" customHeight="1">
      <c r="A2730" s="210">
        <f t="shared" si="1"/>
        <v>2728</v>
      </c>
      <c r="B2730" s="217"/>
      <c r="C2730" s="217" t="str">
        <f>IFERROR(VLOOKUP(B2730, SourceData!$U$3:$V$190, 2, FALSE), "")</f>
        <v/>
      </c>
      <c r="D2730" s="240"/>
      <c r="E2730" s="241"/>
      <c r="F2730" s="248"/>
      <c r="G2730" s="207"/>
      <c r="H2730" s="209"/>
      <c r="I2730" s="209"/>
      <c r="J2730" s="209"/>
      <c r="K2730" s="208" t="str">
        <f>IF(Errors!$I2730=0,SourceData!$B$42,VLOOKUP(Errors!$I2730,SourceData!$A$2:$B$40,2,FALSE))</f>
        <v>Please select ERROR CODE column "I"</v>
      </c>
      <c r="L2730" s="207" t="str">
        <f>IF(Errors!$I2730=0,
    'List of Error Codes'!$E$29,
    IFERROR(VLOOKUP(Errors!$I2730, 'List of Error Codes'!D2729:I2759, 6, FALSE), 'List of Error Codes'!$E$29)
)</f>
        <v>Please select ERROR CODE column "I"</v>
      </c>
      <c r="M2730" s="209"/>
      <c r="N2730" s="209"/>
      <c r="O2730" s="209"/>
      <c r="P2730" s="209"/>
      <c r="Q2730" s="209"/>
      <c r="R2730" s="217"/>
      <c r="S2730" s="217"/>
      <c r="T2730" s="217"/>
      <c r="U2730" s="199"/>
      <c r="V2730" s="200"/>
      <c r="W2730" s="200"/>
      <c r="X2730" s="200"/>
      <c r="Y2730" s="200"/>
      <c r="Z2730" s="200"/>
      <c r="AA2730" s="201"/>
      <c r="AB2730" s="200"/>
      <c r="AC2730" s="200"/>
    </row>
    <row r="2731" ht="15.75" customHeight="1">
      <c r="A2731" s="210">
        <f t="shared" si="1"/>
        <v>2729</v>
      </c>
      <c r="B2731" s="217"/>
      <c r="C2731" s="217" t="str">
        <f>IFERROR(VLOOKUP(B2731, SourceData!$U$3:$V$190, 2, FALSE), "")</f>
        <v/>
      </c>
      <c r="D2731" s="240"/>
      <c r="E2731" s="241"/>
      <c r="F2731" s="248"/>
      <c r="G2731" s="207"/>
      <c r="H2731" s="209"/>
      <c r="I2731" s="209"/>
      <c r="J2731" s="209"/>
      <c r="K2731" s="208" t="str">
        <f>IF(Errors!$I2731=0,SourceData!$B$42,VLOOKUP(Errors!$I2731,SourceData!$A$2:$B$40,2,FALSE))</f>
        <v>Please select ERROR CODE column "I"</v>
      </c>
      <c r="L2731" s="207" t="str">
        <f>IF(Errors!$I2731=0,
    'List of Error Codes'!$E$29,
    IFERROR(VLOOKUP(Errors!$I2731, 'List of Error Codes'!D2730:I2760, 6, FALSE), 'List of Error Codes'!$E$29)
)</f>
        <v>Please select ERROR CODE column "I"</v>
      </c>
      <c r="M2731" s="209"/>
      <c r="N2731" s="209"/>
      <c r="O2731" s="209"/>
      <c r="P2731" s="209"/>
      <c r="Q2731" s="209"/>
      <c r="R2731" s="217"/>
      <c r="S2731" s="217"/>
      <c r="T2731" s="217"/>
      <c r="U2731" s="199"/>
      <c r="V2731" s="200"/>
      <c r="W2731" s="200"/>
      <c r="X2731" s="200"/>
      <c r="Y2731" s="200"/>
      <c r="Z2731" s="200"/>
      <c r="AA2731" s="201"/>
      <c r="AB2731" s="200"/>
      <c r="AC2731" s="200"/>
    </row>
    <row r="2732" ht="15.75" customHeight="1">
      <c r="A2732" s="210">
        <f t="shared" si="1"/>
        <v>2730</v>
      </c>
      <c r="B2732" s="217"/>
      <c r="C2732" s="217" t="str">
        <f>IFERROR(VLOOKUP(B2732, SourceData!$U$3:$V$190, 2, FALSE), "")</f>
        <v/>
      </c>
      <c r="D2732" s="240"/>
      <c r="E2732" s="241"/>
      <c r="F2732" s="248"/>
      <c r="G2732" s="207"/>
      <c r="H2732" s="209"/>
      <c r="I2732" s="209"/>
      <c r="J2732" s="209"/>
      <c r="K2732" s="208" t="str">
        <f>IF(Errors!$I2732=0,SourceData!$B$42,VLOOKUP(Errors!$I2732,SourceData!$A$2:$B$40,2,FALSE))</f>
        <v>Please select ERROR CODE column "I"</v>
      </c>
      <c r="L2732" s="207" t="str">
        <f>IF(Errors!$I2732=0,
    'List of Error Codes'!$E$29,
    IFERROR(VLOOKUP(Errors!$I2732, 'List of Error Codes'!D2731:I2761, 6, FALSE), 'List of Error Codes'!$E$29)
)</f>
        <v>Please select ERROR CODE column "I"</v>
      </c>
      <c r="M2732" s="209"/>
      <c r="N2732" s="209"/>
      <c r="O2732" s="209"/>
      <c r="P2732" s="209"/>
      <c r="Q2732" s="209"/>
      <c r="R2732" s="217"/>
      <c r="S2732" s="217"/>
      <c r="T2732" s="217"/>
      <c r="U2732" s="199"/>
      <c r="V2732" s="200"/>
      <c r="W2732" s="200"/>
      <c r="X2732" s="200"/>
      <c r="Y2732" s="200"/>
      <c r="Z2732" s="200"/>
      <c r="AA2732" s="201"/>
      <c r="AB2732" s="200"/>
      <c r="AC2732" s="200"/>
    </row>
    <row r="2733" ht="15.75" customHeight="1">
      <c r="A2733" s="210">
        <f t="shared" si="1"/>
        <v>2731</v>
      </c>
      <c r="B2733" s="217"/>
      <c r="C2733" s="217" t="str">
        <f>IFERROR(VLOOKUP(B2733, SourceData!$U$3:$V$190, 2, FALSE), "")</f>
        <v/>
      </c>
      <c r="D2733" s="240"/>
      <c r="E2733" s="241"/>
      <c r="F2733" s="248"/>
      <c r="G2733" s="207"/>
      <c r="H2733" s="209"/>
      <c r="I2733" s="209"/>
      <c r="J2733" s="209"/>
      <c r="K2733" s="208" t="str">
        <f>IF(Errors!$I2733=0,SourceData!$B$42,VLOOKUP(Errors!$I2733,SourceData!$A$2:$B$40,2,FALSE))</f>
        <v>Please select ERROR CODE column "I"</v>
      </c>
      <c r="L2733" s="207" t="str">
        <f>IF(Errors!$I2733=0,
    'List of Error Codes'!$E$29,
    IFERROR(VLOOKUP(Errors!$I2733, 'List of Error Codes'!D2732:I2762, 6, FALSE), 'List of Error Codes'!$E$29)
)</f>
        <v>Please select ERROR CODE column "I"</v>
      </c>
      <c r="M2733" s="209"/>
      <c r="N2733" s="209"/>
      <c r="O2733" s="209"/>
      <c r="P2733" s="209"/>
      <c r="Q2733" s="209"/>
      <c r="R2733" s="217"/>
      <c r="S2733" s="217"/>
      <c r="T2733" s="217"/>
      <c r="U2733" s="199"/>
      <c r="V2733" s="200"/>
      <c r="W2733" s="200"/>
      <c r="X2733" s="200"/>
      <c r="Y2733" s="200"/>
      <c r="Z2733" s="200"/>
      <c r="AA2733" s="201"/>
      <c r="AB2733" s="200"/>
      <c r="AC2733" s="200"/>
    </row>
    <row r="2734" ht="15.75" customHeight="1">
      <c r="A2734" s="210">
        <f t="shared" si="1"/>
        <v>2732</v>
      </c>
      <c r="B2734" s="217"/>
      <c r="C2734" s="217" t="str">
        <f>IFERROR(VLOOKUP(B2734, SourceData!$U$3:$V$190, 2, FALSE), "")</f>
        <v/>
      </c>
      <c r="D2734" s="240"/>
      <c r="E2734" s="241"/>
      <c r="F2734" s="248"/>
      <c r="G2734" s="207"/>
      <c r="H2734" s="209"/>
      <c r="I2734" s="209"/>
      <c r="J2734" s="209"/>
      <c r="K2734" s="208" t="str">
        <f>IF(Errors!$I2734=0,SourceData!$B$42,VLOOKUP(Errors!$I2734,SourceData!$A$2:$B$40,2,FALSE))</f>
        <v>Please select ERROR CODE column "I"</v>
      </c>
      <c r="L2734" s="207" t="str">
        <f>IF(Errors!$I2734=0,
    'List of Error Codes'!$E$29,
    IFERROR(VLOOKUP(Errors!$I2734, 'List of Error Codes'!D2733:I2763, 6, FALSE), 'List of Error Codes'!$E$29)
)</f>
        <v>Please select ERROR CODE column "I"</v>
      </c>
      <c r="M2734" s="209"/>
      <c r="N2734" s="209"/>
      <c r="O2734" s="209"/>
      <c r="P2734" s="209"/>
      <c r="Q2734" s="209"/>
      <c r="R2734" s="217"/>
      <c r="S2734" s="217"/>
      <c r="T2734" s="217"/>
      <c r="U2734" s="199"/>
      <c r="V2734" s="200"/>
      <c r="W2734" s="200"/>
      <c r="X2734" s="200"/>
      <c r="Y2734" s="200"/>
      <c r="Z2734" s="200"/>
      <c r="AA2734" s="201"/>
      <c r="AB2734" s="200"/>
      <c r="AC2734" s="200"/>
    </row>
    <row r="2735" ht="15.75" customHeight="1">
      <c r="A2735" s="210">
        <f t="shared" si="1"/>
        <v>2733</v>
      </c>
      <c r="B2735" s="217"/>
      <c r="C2735" s="217" t="str">
        <f>IFERROR(VLOOKUP(B2735, SourceData!$U$3:$V$190, 2, FALSE), "")</f>
        <v/>
      </c>
      <c r="D2735" s="240"/>
      <c r="E2735" s="241"/>
      <c r="F2735" s="248"/>
      <c r="G2735" s="207"/>
      <c r="H2735" s="209"/>
      <c r="I2735" s="209"/>
      <c r="J2735" s="209"/>
      <c r="K2735" s="208" t="str">
        <f>IF(Errors!$I2735=0,SourceData!$B$42,VLOOKUP(Errors!$I2735,SourceData!$A$2:$B$40,2,FALSE))</f>
        <v>Please select ERROR CODE column "I"</v>
      </c>
      <c r="L2735" s="207" t="str">
        <f>IF(Errors!$I2735=0,
    'List of Error Codes'!$E$29,
    IFERROR(VLOOKUP(Errors!$I2735, 'List of Error Codes'!D2734:I2764, 6, FALSE), 'List of Error Codes'!$E$29)
)</f>
        <v>Please select ERROR CODE column "I"</v>
      </c>
      <c r="M2735" s="209"/>
      <c r="N2735" s="209"/>
      <c r="O2735" s="209"/>
      <c r="P2735" s="209"/>
      <c r="Q2735" s="209"/>
      <c r="R2735" s="217"/>
      <c r="S2735" s="217"/>
      <c r="T2735" s="217"/>
      <c r="U2735" s="199"/>
      <c r="V2735" s="200"/>
      <c r="W2735" s="200"/>
      <c r="X2735" s="200"/>
      <c r="Y2735" s="200"/>
      <c r="Z2735" s="200"/>
      <c r="AA2735" s="201"/>
      <c r="AB2735" s="200"/>
      <c r="AC2735" s="200"/>
    </row>
    <row r="2736" ht="15.75" customHeight="1">
      <c r="A2736" s="210">
        <f t="shared" si="1"/>
        <v>2734</v>
      </c>
      <c r="B2736" s="217"/>
      <c r="C2736" s="217" t="str">
        <f>IFERROR(VLOOKUP(B2736, SourceData!$U$3:$V$190, 2, FALSE), "")</f>
        <v/>
      </c>
      <c r="D2736" s="240"/>
      <c r="E2736" s="241"/>
      <c r="F2736" s="248"/>
      <c r="G2736" s="207"/>
      <c r="H2736" s="209"/>
      <c r="I2736" s="209"/>
      <c r="J2736" s="209"/>
      <c r="K2736" s="208" t="str">
        <f>IF(Errors!$I2736=0,SourceData!$B$42,VLOOKUP(Errors!$I2736,SourceData!$A$2:$B$40,2,FALSE))</f>
        <v>Please select ERROR CODE column "I"</v>
      </c>
      <c r="L2736" s="207" t="str">
        <f>IF(Errors!$I2736=0,
    'List of Error Codes'!$E$29,
    IFERROR(VLOOKUP(Errors!$I2736, 'List of Error Codes'!D2735:I2765, 6, FALSE), 'List of Error Codes'!$E$29)
)</f>
        <v>Please select ERROR CODE column "I"</v>
      </c>
      <c r="M2736" s="209"/>
      <c r="N2736" s="209"/>
      <c r="O2736" s="209"/>
      <c r="P2736" s="209"/>
      <c r="Q2736" s="209"/>
      <c r="R2736" s="217"/>
      <c r="S2736" s="217"/>
      <c r="T2736" s="217"/>
      <c r="U2736" s="199"/>
      <c r="V2736" s="200"/>
      <c r="W2736" s="200"/>
      <c r="X2736" s="200"/>
      <c r="Y2736" s="200"/>
      <c r="Z2736" s="200"/>
      <c r="AA2736" s="201"/>
      <c r="AB2736" s="200"/>
      <c r="AC2736" s="200"/>
    </row>
    <row r="2737" ht="15.75" customHeight="1">
      <c r="A2737" s="210">
        <f t="shared" si="1"/>
        <v>2735</v>
      </c>
      <c r="B2737" s="217"/>
      <c r="C2737" s="217" t="str">
        <f>IFERROR(VLOOKUP(B2737, SourceData!$U$3:$V$190, 2, FALSE), "")</f>
        <v/>
      </c>
      <c r="D2737" s="240"/>
      <c r="E2737" s="241"/>
      <c r="F2737" s="248"/>
      <c r="G2737" s="207"/>
      <c r="H2737" s="209"/>
      <c r="I2737" s="209"/>
      <c r="J2737" s="209"/>
      <c r="K2737" s="208" t="str">
        <f>IF(Errors!$I2737=0,SourceData!$B$42,VLOOKUP(Errors!$I2737,SourceData!$A$2:$B$40,2,FALSE))</f>
        <v>Please select ERROR CODE column "I"</v>
      </c>
      <c r="L2737" s="207" t="str">
        <f>IF(Errors!$I2737=0,
    'List of Error Codes'!$E$29,
    IFERROR(VLOOKUP(Errors!$I2737, 'List of Error Codes'!D2736:I2766, 6, FALSE), 'List of Error Codes'!$E$29)
)</f>
        <v>Please select ERROR CODE column "I"</v>
      </c>
      <c r="M2737" s="209"/>
      <c r="N2737" s="209"/>
      <c r="O2737" s="209"/>
      <c r="P2737" s="209"/>
      <c r="Q2737" s="209"/>
      <c r="R2737" s="217"/>
      <c r="S2737" s="217"/>
      <c r="T2737" s="217"/>
      <c r="U2737" s="199"/>
      <c r="V2737" s="200"/>
      <c r="W2737" s="200"/>
      <c r="X2737" s="200"/>
      <c r="Y2737" s="200"/>
      <c r="Z2737" s="200"/>
      <c r="AA2737" s="201"/>
      <c r="AB2737" s="200"/>
      <c r="AC2737" s="200"/>
    </row>
    <row r="2738" ht="15.75" customHeight="1">
      <c r="A2738" s="210">
        <f t="shared" si="1"/>
        <v>2736</v>
      </c>
      <c r="B2738" s="217"/>
      <c r="C2738" s="217" t="str">
        <f>IFERROR(VLOOKUP(B2738, SourceData!$U$3:$V$190, 2, FALSE), "")</f>
        <v/>
      </c>
      <c r="D2738" s="240"/>
      <c r="E2738" s="241"/>
      <c r="F2738" s="248"/>
      <c r="G2738" s="207"/>
      <c r="H2738" s="209"/>
      <c r="I2738" s="209"/>
      <c r="J2738" s="209"/>
      <c r="K2738" s="208" t="str">
        <f>IF(Errors!$I2738=0,SourceData!$B$42,VLOOKUP(Errors!$I2738,SourceData!$A$2:$B$40,2,FALSE))</f>
        <v>Please select ERROR CODE column "I"</v>
      </c>
      <c r="L2738" s="207" t="str">
        <f>IF(Errors!$I2738=0,
    'List of Error Codes'!$E$29,
    IFERROR(VLOOKUP(Errors!$I2738, 'List of Error Codes'!D2737:I2767, 6, FALSE), 'List of Error Codes'!$E$29)
)</f>
        <v>Please select ERROR CODE column "I"</v>
      </c>
      <c r="M2738" s="209"/>
      <c r="N2738" s="209"/>
      <c r="O2738" s="209"/>
      <c r="P2738" s="209"/>
      <c r="Q2738" s="209"/>
      <c r="R2738" s="217"/>
      <c r="S2738" s="217"/>
      <c r="T2738" s="217"/>
      <c r="U2738" s="199"/>
      <c r="V2738" s="200"/>
      <c r="W2738" s="200"/>
      <c r="X2738" s="200"/>
      <c r="Y2738" s="200"/>
      <c r="Z2738" s="200"/>
      <c r="AA2738" s="201"/>
      <c r="AB2738" s="200"/>
      <c r="AC2738" s="200"/>
    </row>
    <row r="2739" ht="15.75" customHeight="1">
      <c r="A2739" s="210">
        <f t="shared" si="1"/>
        <v>2737</v>
      </c>
      <c r="B2739" s="217"/>
      <c r="C2739" s="217" t="str">
        <f>IFERROR(VLOOKUP(B2739, SourceData!$U$3:$V$190, 2, FALSE), "")</f>
        <v/>
      </c>
      <c r="D2739" s="240"/>
      <c r="E2739" s="241"/>
      <c r="F2739" s="248"/>
      <c r="G2739" s="207"/>
      <c r="H2739" s="209"/>
      <c r="I2739" s="209"/>
      <c r="J2739" s="209"/>
      <c r="K2739" s="208" t="str">
        <f>IF(Errors!$I2739=0,SourceData!$B$42,VLOOKUP(Errors!$I2739,SourceData!$A$2:$B$40,2,FALSE))</f>
        <v>Please select ERROR CODE column "I"</v>
      </c>
      <c r="L2739" s="207" t="str">
        <f>IF(Errors!$I2739=0,
    'List of Error Codes'!$E$29,
    IFERROR(VLOOKUP(Errors!$I2739, 'List of Error Codes'!D2738:I2768, 6, FALSE), 'List of Error Codes'!$E$29)
)</f>
        <v>Please select ERROR CODE column "I"</v>
      </c>
      <c r="M2739" s="209"/>
      <c r="N2739" s="209"/>
      <c r="O2739" s="209"/>
      <c r="P2739" s="209"/>
      <c r="Q2739" s="209"/>
      <c r="R2739" s="217"/>
      <c r="S2739" s="217"/>
      <c r="T2739" s="217"/>
      <c r="U2739" s="199"/>
      <c r="V2739" s="200"/>
      <c r="W2739" s="200"/>
      <c r="X2739" s="200"/>
      <c r="Y2739" s="200"/>
      <c r="Z2739" s="200"/>
      <c r="AA2739" s="201"/>
      <c r="AB2739" s="200"/>
      <c r="AC2739" s="200"/>
    </row>
    <row r="2740" ht="15.75" customHeight="1">
      <c r="A2740" s="210">
        <f t="shared" si="1"/>
        <v>2738</v>
      </c>
      <c r="B2740" s="217"/>
      <c r="C2740" s="217" t="str">
        <f>IFERROR(VLOOKUP(B2740, SourceData!$U$3:$V$190, 2, FALSE), "")</f>
        <v/>
      </c>
      <c r="D2740" s="240"/>
      <c r="E2740" s="241"/>
      <c r="F2740" s="248"/>
      <c r="G2740" s="207"/>
      <c r="H2740" s="209"/>
      <c r="I2740" s="209"/>
      <c r="J2740" s="209"/>
      <c r="K2740" s="208" t="str">
        <f>IF(Errors!$I2740=0,SourceData!$B$42,VLOOKUP(Errors!$I2740,SourceData!$A$2:$B$40,2,FALSE))</f>
        <v>Please select ERROR CODE column "I"</v>
      </c>
      <c r="L2740" s="207" t="str">
        <f>IF(Errors!$I2740=0,
    'List of Error Codes'!$E$29,
    IFERROR(VLOOKUP(Errors!$I2740, 'List of Error Codes'!D2739:I2769, 6, FALSE), 'List of Error Codes'!$E$29)
)</f>
        <v>Please select ERROR CODE column "I"</v>
      </c>
      <c r="M2740" s="209"/>
      <c r="N2740" s="209"/>
      <c r="O2740" s="209"/>
      <c r="P2740" s="209"/>
      <c r="Q2740" s="209"/>
      <c r="R2740" s="217"/>
      <c r="S2740" s="217"/>
      <c r="T2740" s="217"/>
      <c r="U2740" s="199"/>
      <c r="V2740" s="200"/>
      <c r="W2740" s="200"/>
      <c r="X2740" s="200"/>
      <c r="Y2740" s="200"/>
      <c r="Z2740" s="200"/>
      <c r="AA2740" s="201"/>
      <c r="AB2740" s="200"/>
      <c r="AC2740" s="200"/>
    </row>
    <row r="2741" ht="15.75" customHeight="1">
      <c r="A2741" s="210">
        <f t="shared" si="1"/>
        <v>2739</v>
      </c>
      <c r="B2741" s="217"/>
      <c r="C2741" s="217" t="str">
        <f>IFERROR(VLOOKUP(B2741, SourceData!$U$3:$V$190, 2, FALSE), "")</f>
        <v/>
      </c>
      <c r="D2741" s="240"/>
      <c r="E2741" s="241"/>
      <c r="F2741" s="248"/>
      <c r="G2741" s="207"/>
      <c r="H2741" s="209"/>
      <c r="I2741" s="209"/>
      <c r="J2741" s="209"/>
      <c r="K2741" s="208" t="str">
        <f>IF(Errors!$I2741=0,SourceData!$B$42,VLOOKUP(Errors!$I2741,SourceData!$A$2:$B$40,2,FALSE))</f>
        <v>Please select ERROR CODE column "I"</v>
      </c>
      <c r="L2741" s="207" t="str">
        <f>IF(Errors!$I2741=0,
    'List of Error Codes'!$E$29,
    IFERROR(VLOOKUP(Errors!$I2741, 'List of Error Codes'!D2740:I2770, 6, FALSE), 'List of Error Codes'!$E$29)
)</f>
        <v>Please select ERROR CODE column "I"</v>
      </c>
      <c r="M2741" s="209"/>
      <c r="N2741" s="209"/>
      <c r="O2741" s="209"/>
      <c r="P2741" s="209"/>
      <c r="Q2741" s="209"/>
      <c r="R2741" s="217"/>
      <c r="S2741" s="217"/>
      <c r="T2741" s="217"/>
      <c r="U2741" s="199"/>
      <c r="V2741" s="200"/>
      <c r="W2741" s="200"/>
      <c r="X2741" s="200"/>
      <c r="Y2741" s="200"/>
      <c r="Z2741" s="200"/>
      <c r="AA2741" s="201"/>
      <c r="AB2741" s="200"/>
      <c r="AC2741" s="200"/>
    </row>
    <row r="2742" ht="15.75" customHeight="1">
      <c r="A2742" s="210">
        <f t="shared" si="1"/>
        <v>2740</v>
      </c>
      <c r="B2742" s="217"/>
      <c r="C2742" s="217" t="str">
        <f>IFERROR(VLOOKUP(B2742, SourceData!$U$3:$V$190, 2, FALSE), "")</f>
        <v/>
      </c>
      <c r="D2742" s="240"/>
      <c r="E2742" s="241"/>
      <c r="F2742" s="248"/>
      <c r="G2742" s="207"/>
      <c r="H2742" s="209"/>
      <c r="I2742" s="209"/>
      <c r="J2742" s="209"/>
      <c r="K2742" s="208" t="str">
        <f>IF(Errors!$I2742=0,SourceData!$B$42,VLOOKUP(Errors!$I2742,SourceData!$A$2:$B$40,2,FALSE))</f>
        <v>Please select ERROR CODE column "I"</v>
      </c>
      <c r="L2742" s="207" t="str">
        <f>IF(Errors!$I2742=0,
    'List of Error Codes'!$E$29,
    IFERROR(VLOOKUP(Errors!$I2742, 'List of Error Codes'!D2741:I2771, 6, FALSE), 'List of Error Codes'!$E$29)
)</f>
        <v>Please select ERROR CODE column "I"</v>
      </c>
      <c r="M2742" s="209"/>
      <c r="N2742" s="209"/>
      <c r="O2742" s="209"/>
      <c r="P2742" s="209"/>
      <c r="Q2742" s="209"/>
      <c r="R2742" s="217"/>
      <c r="S2742" s="217"/>
      <c r="T2742" s="217"/>
      <c r="U2742" s="199"/>
      <c r="V2742" s="200"/>
      <c r="W2742" s="200"/>
      <c r="X2742" s="200"/>
      <c r="Y2742" s="200"/>
      <c r="Z2742" s="200"/>
      <c r="AA2742" s="201"/>
      <c r="AB2742" s="200"/>
      <c r="AC2742" s="200"/>
    </row>
    <row r="2743" ht="15.75" customHeight="1">
      <c r="A2743" s="210">
        <f t="shared" si="1"/>
        <v>2741</v>
      </c>
      <c r="B2743" s="217"/>
      <c r="C2743" s="217" t="str">
        <f>IFERROR(VLOOKUP(B2743, SourceData!$U$3:$V$190, 2, FALSE), "")</f>
        <v/>
      </c>
      <c r="D2743" s="240"/>
      <c r="E2743" s="241"/>
      <c r="F2743" s="248"/>
      <c r="G2743" s="207"/>
      <c r="H2743" s="209"/>
      <c r="I2743" s="209"/>
      <c r="J2743" s="209"/>
      <c r="K2743" s="208" t="str">
        <f>IF(Errors!$I2743=0,SourceData!$B$42,VLOOKUP(Errors!$I2743,SourceData!$A$2:$B$40,2,FALSE))</f>
        <v>Please select ERROR CODE column "I"</v>
      </c>
      <c r="L2743" s="207" t="str">
        <f>IF(Errors!$I2743=0,
    'List of Error Codes'!$E$29,
    IFERROR(VLOOKUP(Errors!$I2743, 'List of Error Codes'!D2742:I2772, 6, FALSE), 'List of Error Codes'!$E$29)
)</f>
        <v>Please select ERROR CODE column "I"</v>
      </c>
      <c r="M2743" s="209"/>
      <c r="N2743" s="209"/>
      <c r="O2743" s="209"/>
      <c r="P2743" s="209"/>
      <c r="Q2743" s="209"/>
      <c r="R2743" s="217"/>
      <c r="S2743" s="217"/>
      <c r="T2743" s="217"/>
      <c r="U2743" s="199"/>
      <c r="V2743" s="200"/>
      <c r="W2743" s="200"/>
      <c r="X2743" s="200"/>
      <c r="Y2743" s="200"/>
      <c r="Z2743" s="200"/>
      <c r="AA2743" s="201"/>
      <c r="AB2743" s="200"/>
      <c r="AC2743" s="200"/>
    </row>
    <row r="2744" ht="15.75" customHeight="1">
      <c r="A2744" s="210">
        <f t="shared" si="1"/>
        <v>2742</v>
      </c>
      <c r="B2744" s="217"/>
      <c r="C2744" s="217" t="str">
        <f>IFERROR(VLOOKUP(B2744, SourceData!$U$3:$V$190, 2, FALSE), "")</f>
        <v/>
      </c>
      <c r="D2744" s="240"/>
      <c r="E2744" s="241"/>
      <c r="F2744" s="248"/>
      <c r="G2744" s="207"/>
      <c r="H2744" s="209"/>
      <c r="I2744" s="209"/>
      <c r="J2744" s="209"/>
      <c r="K2744" s="208" t="str">
        <f>IF(Errors!$I2744=0,SourceData!$B$42,VLOOKUP(Errors!$I2744,SourceData!$A$2:$B$40,2,FALSE))</f>
        <v>Please select ERROR CODE column "I"</v>
      </c>
      <c r="L2744" s="207" t="str">
        <f>IF(Errors!$I2744=0,
    'List of Error Codes'!$E$29,
    IFERROR(VLOOKUP(Errors!$I2744, 'List of Error Codes'!D2743:I2773, 6, FALSE), 'List of Error Codes'!$E$29)
)</f>
        <v>Please select ERROR CODE column "I"</v>
      </c>
      <c r="M2744" s="209"/>
      <c r="N2744" s="209"/>
      <c r="O2744" s="209"/>
      <c r="P2744" s="209"/>
      <c r="Q2744" s="209"/>
      <c r="R2744" s="217"/>
      <c r="S2744" s="217"/>
      <c r="T2744" s="217"/>
      <c r="U2744" s="199"/>
      <c r="V2744" s="200"/>
      <c r="W2744" s="200"/>
      <c r="X2744" s="200"/>
      <c r="Y2744" s="200"/>
      <c r="Z2744" s="200"/>
      <c r="AA2744" s="201"/>
      <c r="AB2744" s="200"/>
      <c r="AC2744" s="200"/>
    </row>
    <row r="2745" ht="15.75" customHeight="1">
      <c r="A2745" s="210">
        <f t="shared" si="1"/>
        <v>2743</v>
      </c>
      <c r="B2745" s="217"/>
      <c r="C2745" s="217" t="str">
        <f>IFERROR(VLOOKUP(B2745, SourceData!$U$3:$V$190, 2, FALSE), "")</f>
        <v/>
      </c>
      <c r="D2745" s="240"/>
      <c r="E2745" s="241"/>
      <c r="F2745" s="248"/>
      <c r="G2745" s="207"/>
      <c r="H2745" s="209"/>
      <c r="I2745" s="209"/>
      <c r="J2745" s="209"/>
      <c r="K2745" s="208" t="str">
        <f>IF(Errors!$I2745=0,SourceData!$B$42,VLOOKUP(Errors!$I2745,SourceData!$A$2:$B$40,2,FALSE))</f>
        <v>Please select ERROR CODE column "I"</v>
      </c>
      <c r="L2745" s="207" t="str">
        <f>IF(Errors!$I2745=0,
    'List of Error Codes'!$E$29,
    IFERROR(VLOOKUP(Errors!$I2745, 'List of Error Codes'!D2744:I2774, 6, FALSE), 'List of Error Codes'!$E$29)
)</f>
        <v>Please select ERROR CODE column "I"</v>
      </c>
      <c r="M2745" s="209"/>
      <c r="N2745" s="209"/>
      <c r="O2745" s="209"/>
      <c r="P2745" s="209"/>
      <c r="Q2745" s="209"/>
      <c r="R2745" s="217"/>
      <c r="S2745" s="217"/>
      <c r="T2745" s="217"/>
      <c r="U2745" s="199"/>
      <c r="V2745" s="200"/>
      <c r="W2745" s="200"/>
      <c r="X2745" s="200"/>
      <c r="Y2745" s="200"/>
      <c r="Z2745" s="200"/>
      <c r="AA2745" s="201"/>
      <c r="AB2745" s="200"/>
      <c r="AC2745" s="200"/>
    </row>
    <row r="2746" ht="15.75" customHeight="1">
      <c r="A2746" s="210">
        <f t="shared" si="1"/>
        <v>2744</v>
      </c>
      <c r="B2746" s="217"/>
      <c r="C2746" s="217" t="str">
        <f>IFERROR(VLOOKUP(B2746, SourceData!$U$3:$V$190, 2, FALSE), "")</f>
        <v/>
      </c>
      <c r="D2746" s="240"/>
      <c r="E2746" s="241"/>
      <c r="F2746" s="248"/>
      <c r="G2746" s="207"/>
      <c r="H2746" s="209"/>
      <c r="I2746" s="209"/>
      <c r="J2746" s="209"/>
      <c r="K2746" s="208" t="str">
        <f>IF(Errors!$I2746=0,SourceData!$B$42,VLOOKUP(Errors!$I2746,SourceData!$A$2:$B$40,2,FALSE))</f>
        <v>Please select ERROR CODE column "I"</v>
      </c>
      <c r="L2746" s="207" t="str">
        <f>IF(Errors!$I2746=0,
    'List of Error Codes'!$E$29,
    IFERROR(VLOOKUP(Errors!$I2746, 'List of Error Codes'!D2745:I2775, 6, FALSE), 'List of Error Codes'!$E$29)
)</f>
        <v>Please select ERROR CODE column "I"</v>
      </c>
      <c r="M2746" s="209"/>
      <c r="N2746" s="209"/>
      <c r="O2746" s="209"/>
      <c r="P2746" s="209"/>
      <c r="Q2746" s="209"/>
      <c r="R2746" s="217"/>
      <c r="S2746" s="217"/>
      <c r="T2746" s="217"/>
      <c r="U2746" s="199"/>
      <c r="V2746" s="200"/>
      <c r="W2746" s="200"/>
      <c r="X2746" s="200"/>
      <c r="Y2746" s="200"/>
      <c r="Z2746" s="200"/>
      <c r="AA2746" s="201"/>
      <c r="AB2746" s="200"/>
      <c r="AC2746" s="200"/>
    </row>
    <row r="2747" ht="15.75" customHeight="1">
      <c r="A2747" s="210">
        <f t="shared" si="1"/>
        <v>2745</v>
      </c>
      <c r="B2747" s="217"/>
      <c r="C2747" s="217" t="str">
        <f>IFERROR(VLOOKUP(B2747, SourceData!$U$3:$V$190, 2, FALSE), "")</f>
        <v/>
      </c>
      <c r="D2747" s="240"/>
      <c r="E2747" s="241"/>
      <c r="F2747" s="248"/>
      <c r="G2747" s="207"/>
      <c r="H2747" s="209"/>
      <c r="I2747" s="209"/>
      <c r="J2747" s="209"/>
      <c r="K2747" s="208" t="str">
        <f>IF(Errors!$I2747=0,SourceData!$B$42,VLOOKUP(Errors!$I2747,SourceData!$A$2:$B$40,2,FALSE))</f>
        <v>Please select ERROR CODE column "I"</v>
      </c>
      <c r="L2747" s="207" t="str">
        <f>IF(Errors!$I2747=0,
    'List of Error Codes'!$E$29,
    IFERROR(VLOOKUP(Errors!$I2747, 'List of Error Codes'!D2746:I2776, 6, FALSE), 'List of Error Codes'!$E$29)
)</f>
        <v>Please select ERROR CODE column "I"</v>
      </c>
      <c r="M2747" s="209"/>
      <c r="N2747" s="209"/>
      <c r="O2747" s="209"/>
      <c r="P2747" s="209"/>
      <c r="Q2747" s="209"/>
      <c r="R2747" s="217"/>
      <c r="S2747" s="217"/>
      <c r="T2747" s="217"/>
      <c r="U2747" s="199"/>
      <c r="V2747" s="200"/>
      <c r="W2747" s="200"/>
      <c r="X2747" s="200"/>
      <c r="Y2747" s="200"/>
      <c r="Z2747" s="200"/>
      <c r="AA2747" s="201"/>
      <c r="AB2747" s="200"/>
      <c r="AC2747" s="200"/>
    </row>
    <row r="2748" ht="15.75" customHeight="1">
      <c r="A2748" s="210">
        <f t="shared" si="1"/>
        <v>2746</v>
      </c>
      <c r="B2748" s="217"/>
      <c r="C2748" s="217" t="str">
        <f>IFERROR(VLOOKUP(B2748, SourceData!$U$3:$V$190, 2, FALSE), "")</f>
        <v/>
      </c>
      <c r="D2748" s="240"/>
      <c r="E2748" s="241"/>
      <c r="F2748" s="248"/>
      <c r="G2748" s="207"/>
      <c r="H2748" s="209"/>
      <c r="I2748" s="209"/>
      <c r="J2748" s="209"/>
      <c r="K2748" s="208" t="str">
        <f>IF(Errors!$I2748=0,SourceData!$B$42,VLOOKUP(Errors!$I2748,SourceData!$A$2:$B$40,2,FALSE))</f>
        <v>Please select ERROR CODE column "I"</v>
      </c>
      <c r="L2748" s="207" t="str">
        <f>IF(Errors!$I2748=0,
    'List of Error Codes'!$E$29,
    IFERROR(VLOOKUP(Errors!$I2748, 'List of Error Codes'!D2747:I2777, 6, FALSE), 'List of Error Codes'!$E$29)
)</f>
        <v>Please select ERROR CODE column "I"</v>
      </c>
      <c r="M2748" s="209"/>
      <c r="N2748" s="209"/>
      <c r="O2748" s="209"/>
      <c r="P2748" s="209"/>
      <c r="Q2748" s="209"/>
      <c r="R2748" s="217"/>
      <c r="S2748" s="217"/>
      <c r="T2748" s="217"/>
      <c r="U2748" s="199"/>
      <c r="V2748" s="200"/>
      <c r="W2748" s="200"/>
      <c r="X2748" s="200"/>
      <c r="Y2748" s="200"/>
      <c r="Z2748" s="200"/>
      <c r="AA2748" s="201"/>
      <c r="AB2748" s="200"/>
      <c r="AC2748" s="200"/>
    </row>
    <row r="2749" ht="15.75" customHeight="1">
      <c r="A2749" s="210">
        <f t="shared" si="1"/>
        <v>2747</v>
      </c>
      <c r="B2749" s="217"/>
      <c r="C2749" s="217" t="str">
        <f>IFERROR(VLOOKUP(B2749, SourceData!$U$3:$V$190, 2, FALSE), "")</f>
        <v/>
      </c>
      <c r="D2749" s="240"/>
      <c r="E2749" s="241"/>
      <c r="F2749" s="248"/>
      <c r="G2749" s="207"/>
      <c r="H2749" s="209"/>
      <c r="I2749" s="209"/>
      <c r="J2749" s="209"/>
      <c r="K2749" s="208" t="str">
        <f>IF(Errors!$I2749=0,SourceData!$B$42,VLOOKUP(Errors!$I2749,SourceData!$A$2:$B$40,2,FALSE))</f>
        <v>Please select ERROR CODE column "I"</v>
      </c>
      <c r="L2749" s="207" t="str">
        <f>IF(Errors!$I2749=0,
    'List of Error Codes'!$E$29,
    IFERROR(VLOOKUP(Errors!$I2749, 'List of Error Codes'!D2748:I2778, 6, FALSE), 'List of Error Codes'!$E$29)
)</f>
        <v>Please select ERROR CODE column "I"</v>
      </c>
      <c r="M2749" s="209"/>
      <c r="N2749" s="209"/>
      <c r="O2749" s="209"/>
      <c r="P2749" s="209"/>
      <c r="Q2749" s="209"/>
      <c r="R2749" s="217"/>
      <c r="S2749" s="217"/>
      <c r="T2749" s="217"/>
      <c r="U2749" s="199"/>
      <c r="V2749" s="200"/>
      <c r="W2749" s="200"/>
      <c r="X2749" s="200"/>
      <c r="Y2749" s="200"/>
      <c r="Z2749" s="200"/>
      <c r="AA2749" s="201"/>
      <c r="AB2749" s="200"/>
      <c r="AC2749" s="200"/>
    </row>
    <row r="2750" ht="15.75" customHeight="1">
      <c r="A2750" s="210">
        <f t="shared" si="1"/>
        <v>2748</v>
      </c>
      <c r="B2750" s="217"/>
      <c r="C2750" s="217" t="str">
        <f>IFERROR(VLOOKUP(B2750, SourceData!$U$3:$V$190, 2, FALSE), "")</f>
        <v/>
      </c>
      <c r="D2750" s="240"/>
      <c r="E2750" s="241"/>
      <c r="F2750" s="248"/>
      <c r="G2750" s="207"/>
      <c r="H2750" s="209"/>
      <c r="I2750" s="209"/>
      <c r="J2750" s="209"/>
      <c r="K2750" s="208" t="str">
        <f>IF(Errors!$I2750=0,SourceData!$B$42,VLOOKUP(Errors!$I2750,SourceData!$A$2:$B$40,2,FALSE))</f>
        <v>Please select ERROR CODE column "I"</v>
      </c>
      <c r="L2750" s="207" t="str">
        <f>IF(Errors!$I2750=0,
    'List of Error Codes'!$E$29,
    IFERROR(VLOOKUP(Errors!$I2750, 'List of Error Codes'!D2749:I2779, 6, FALSE), 'List of Error Codes'!$E$29)
)</f>
        <v>Please select ERROR CODE column "I"</v>
      </c>
      <c r="M2750" s="209"/>
      <c r="N2750" s="209"/>
      <c r="O2750" s="209"/>
      <c r="P2750" s="209"/>
      <c r="Q2750" s="209"/>
      <c r="R2750" s="217"/>
      <c r="S2750" s="217"/>
      <c r="T2750" s="217"/>
      <c r="U2750" s="199"/>
      <c r="V2750" s="200"/>
      <c r="W2750" s="200"/>
      <c r="X2750" s="200"/>
      <c r="Y2750" s="200"/>
      <c r="Z2750" s="200"/>
      <c r="AA2750" s="201"/>
      <c r="AB2750" s="200"/>
      <c r="AC2750" s="200"/>
    </row>
    <row r="2751" ht="15.75" customHeight="1">
      <c r="A2751" s="210">
        <f t="shared" si="1"/>
        <v>2749</v>
      </c>
      <c r="B2751" s="217"/>
      <c r="C2751" s="217" t="str">
        <f>IFERROR(VLOOKUP(B2751, SourceData!$U$3:$V$190, 2, FALSE), "")</f>
        <v/>
      </c>
      <c r="D2751" s="240"/>
      <c r="E2751" s="241"/>
      <c r="F2751" s="248"/>
      <c r="G2751" s="207"/>
      <c r="H2751" s="209"/>
      <c r="I2751" s="209"/>
      <c r="J2751" s="209"/>
      <c r="K2751" s="208" t="str">
        <f>IF(Errors!$I2751=0,SourceData!$B$42,VLOOKUP(Errors!$I2751,SourceData!$A$2:$B$40,2,FALSE))</f>
        <v>Please select ERROR CODE column "I"</v>
      </c>
      <c r="L2751" s="207" t="str">
        <f>IF(Errors!$I2751=0,
    'List of Error Codes'!$E$29,
    IFERROR(VLOOKUP(Errors!$I2751, 'List of Error Codes'!D2750:I2780, 6, FALSE), 'List of Error Codes'!$E$29)
)</f>
        <v>Please select ERROR CODE column "I"</v>
      </c>
      <c r="M2751" s="209"/>
      <c r="N2751" s="209"/>
      <c r="O2751" s="209"/>
      <c r="P2751" s="209"/>
      <c r="Q2751" s="209"/>
      <c r="R2751" s="217"/>
      <c r="S2751" s="217"/>
      <c r="T2751" s="217"/>
      <c r="U2751" s="199"/>
      <c r="V2751" s="200"/>
      <c r="W2751" s="200"/>
      <c r="X2751" s="200"/>
      <c r="Y2751" s="200"/>
      <c r="Z2751" s="200"/>
      <c r="AA2751" s="201"/>
      <c r="AB2751" s="200"/>
      <c r="AC2751" s="200"/>
    </row>
    <row r="2752" ht="15.75" customHeight="1">
      <c r="A2752" s="210">
        <f t="shared" si="1"/>
        <v>2750</v>
      </c>
      <c r="B2752" s="217"/>
      <c r="C2752" s="217" t="str">
        <f>IFERROR(VLOOKUP(B2752, SourceData!$U$3:$V$190, 2, FALSE), "")</f>
        <v/>
      </c>
      <c r="D2752" s="240"/>
      <c r="E2752" s="241"/>
      <c r="F2752" s="248"/>
      <c r="G2752" s="207"/>
      <c r="H2752" s="209"/>
      <c r="I2752" s="209"/>
      <c r="J2752" s="209"/>
      <c r="K2752" s="208" t="str">
        <f>IF(Errors!$I2752=0,SourceData!$B$42,VLOOKUP(Errors!$I2752,SourceData!$A$2:$B$40,2,FALSE))</f>
        <v>Please select ERROR CODE column "I"</v>
      </c>
      <c r="L2752" s="207" t="str">
        <f>IF(Errors!$I2752=0,
    'List of Error Codes'!$E$29,
    IFERROR(VLOOKUP(Errors!$I2752, 'List of Error Codes'!D2751:I2781, 6, FALSE), 'List of Error Codes'!$E$29)
)</f>
        <v>Please select ERROR CODE column "I"</v>
      </c>
      <c r="M2752" s="209"/>
      <c r="N2752" s="209"/>
      <c r="O2752" s="209"/>
      <c r="P2752" s="209"/>
      <c r="Q2752" s="209"/>
      <c r="R2752" s="217"/>
      <c r="S2752" s="217"/>
      <c r="T2752" s="217"/>
      <c r="U2752" s="199"/>
      <c r="V2752" s="200"/>
      <c r="W2752" s="200"/>
      <c r="X2752" s="200"/>
      <c r="Y2752" s="200"/>
      <c r="Z2752" s="200"/>
      <c r="AA2752" s="201"/>
      <c r="AB2752" s="200"/>
      <c r="AC2752" s="200"/>
    </row>
    <row r="2753" ht="15.75" customHeight="1">
      <c r="A2753" s="210">
        <f t="shared" si="1"/>
        <v>2751</v>
      </c>
      <c r="B2753" s="217"/>
      <c r="C2753" s="217" t="str">
        <f>IFERROR(VLOOKUP(B2753, SourceData!$U$3:$V$190, 2, FALSE), "")</f>
        <v/>
      </c>
      <c r="D2753" s="240"/>
      <c r="E2753" s="241"/>
      <c r="F2753" s="248"/>
      <c r="G2753" s="207"/>
      <c r="H2753" s="209"/>
      <c r="I2753" s="209"/>
      <c r="J2753" s="209"/>
      <c r="K2753" s="208" t="str">
        <f>IF(Errors!$I2753=0,SourceData!$B$42,VLOOKUP(Errors!$I2753,SourceData!$A$2:$B$40,2,FALSE))</f>
        <v>Please select ERROR CODE column "I"</v>
      </c>
      <c r="L2753" s="207" t="str">
        <f>IF(Errors!$I2753=0,
    'List of Error Codes'!$E$29,
    IFERROR(VLOOKUP(Errors!$I2753, 'List of Error Codes'!D2752:I2782, 6, FALSE), 'List of Error Codes'!$E$29)
)</f>
        <v>Please select ERROR CODE column "I"</v>
      </c>
      <c r="M2753" s="209"/>
      <c r="N2753" s="209"/>
      <c r="O2753" s="209"/>
      <c r="P2753" s="209"/>
      <c r="Q2753" s="209"/>
      <c r="R2753" s="217"/>
      <c r="S2753" s="217"/>
      <c r="T2753" s="217"/>
      <c r="U2753" s="199"/>
      <c r="V2753" s="200"/>
      <c r="W2753" s="200"/>
      <c r="X2753" s="200"/>
      <c r="Y2753" s="200"/>
      <c r="Z2753" s="200"/>
      <c r="AA2753" s="201"/>
      <c r="AB2753" s="200"/>
      <c r="AC2753" s="200"/>
    </row>
    <row r="2754" ht="15.75" customHeight="1">
      <c r="A2754" s="210">
        <f t="shared" si="1"/>
        <v>2752</v>
      </c>
      <c r="B2754" s="217"/>
      <c r="C2754" s="217" t="str">
        <f>IFERROR(VLOOKUP(B2754, SourceData!$U$3:$V$190, 2, FALSE), "")</f>
        <v/>
      </c>
      <c r="D2754" s="240"/>
      <c r="E2754" s="241"/>
      <c r="F2754" s="248"/>
      <c r="G2754" s="207"/>
      <c r="H2754" s="209"/>
      <c r="I2754" s="209"/>
      <c r="J2754" s="209"/>
      <c r="K2754" s="208" t="str">
        <f>IF(Errors!$I2754=0,SourceData!$B$42,VLOOKUP(Errors!$I2754,SourceData!$A$2:$B$40,2,FALSE))</f>
        <v>Please select ERROR CODE column "I"</v>
      </c>
      <c r="L2754" s="207" t="str">
        <f>IF(Errors!$I2754=0,
    'List of Error Codes'!$E$29,
    IFERROR(VLOOKUP(Errors!$I2754, 'List of Error Codes'!D2753:I2783, 6, FALSE), 'List of Error Codes'!$E$29)
)</f>
        <v>Please select ERROR CODE column "I"</v>
      </c>
      <c r="M2754" s="209"/>
      <c r="N2754" s="209"/>
      <c r="O2754" s="209"/>
      <c r="P2754" s="209"/>
      <c r="Q2754" s="209"/>
      <c r="R2754" s="217"/>
      <c r="S2754" s="217"/>
      <c r="T2754" s="217"/>
      <c r="U2754" s="199"/>
      <c r="V2754" s="200"/>
      <c r="W2754" s="200"/>
      <c r="X2754" s="200"/>
      <c r="Y2754" s="200"/>
      <c r="Z2754" s="200"/>
      <c r="AA2754" s="201"/>
      <c r="AB2754" s="200"/>
      <c r="AC2754" s="200"/>
    </row>
    <row r="2755" ht="15.75" customHeight="1">
      <c r="A2755" s="210">
        <f t="shared" si="1"/>
        <v>2753</v>
      </c>
      <c r="B2755" s="217"/>
      <c r="C2755" s="217" t="str">
        <f>IFERROR(VLOOKUP(B2755, SourceData!$U$3:$V$190, 2, FALSE), "")</f>
        <v/>
      </c>
      <c r="D2755" s="240"/>
      <c r="E2755" s="241"/>
      <c r="F2755" s="248"/>
      <c r="G2755" s="207"/>
      <c r="H2755" s="209"/>
      <c r="I2755" s="209"/>
      <c r="J2755" s="209"/>
      <c r="K2755" s="208" t="str">
        <f>IF(Errors!$I2755=0,SourceData!$B$42,VLOOKUP(Errors!$I2755,SourceData!$A$2:$B$40,2,FALSE))</f>
        <v>Please select ERROR CODE column "I"</v>
      </c>
      <c r="L2755" s="207" t="str">
        <f>IF(Errors!$I2755=0,
    'List of Error Codes'!$E$29,
    IFERROR(VLOOKUP(Errors!$I2755, 'List of Error Codes'!D2754:I2784, 6, FALSE), 'List of Error Codes'!$E$29)
)</f>
        <v>Please select ERROR CODE column "I"</v>
      </c>
      <c r="M2755" s="209"/>
      <c r="N2755" s="209"/>
      <c r="O2755" s="209"/>
      <c r="P2755" s="209"/>
      <c r="Q2755" s="209"/>
      <c r="R2755" s="217"/>
      <c r="S2755" s="217"/>
      <c r="T2755" s="217"/>
      <c r="U2755" s="199"/>
      <c r="V2755" s="200"/>
      <c r="W2755" s="200"/>
      <c r="X2755" s="200"/>
      <c r="Y2755" s="200"/>
      <c r="Z2755" s="200"/>
      <c r="AA2755" s="201"/>
      <c r="AB2755" s="200"/>
      <c r="AC2755" s="200"/>
    </row>
    <row r="2756" ht="15.75" customHeight="1">
      <c r="A2756" s="210">
        <f t="shared" si="1"/>
        <v>2754</v>
      </c>
      <c r="B2756" s="217"/>
      <c r="C2756" s="217" t="str">
        <f>IFERROR(VLOOKUP(B2756, SourceData!$U$3:$V$190, 2, FALSE), "")</f>
        <v/>
      </c>
      <c r="D2756" s="240"/>
      <c r="E2756" s="241"/>
      <c r="F2756" s="248"/>
      <c r="G2756" s="207"/>
      <c r="H2756" s="209"/>
      <c r="I2756" s="209"/>
      <c r="J2756" s="209"/>
      <c r="K2756" s="208" t="str">
        <f>IF(Errors!$I2756=0,SourceData!$B$42,VLOOKUP(Errors!$I2756,SourceData!$A$2:$B$40,2,FALSE))</f>
        <v>Please select ERROR CODE column "I"</v>
      </c>
      <c r="L2756" s="207" t="str">
        <f>IF(Errors!$I2756=0,
    'List of Error Codes'!$E$29,
    IFERROR(VLOOKUP(Errors!$I2756, 'List of Error Codes'!D2755:I2785, 6, FALSE), 'List of Error Codes'!$E$29)
)</f>
        <v>Please select ERROR CODE column "I"</v>
      </c>
      <c r="M2756" s="209"/>
      <c r="N2756" s="209"/>
      <c r="O2756" s="209"/>
      <c r="P2756" s="209"/>
      <c r="Q2756" s="209"/>
      <c r="R2756" s="217"/>
      <c r="S2756" s="217"/>
      <c r="T2756" s="217"/>
      <c r="U2756" s="199"/>
      <c r="V2756" s="200"/>
      <c r="W2756" s="200"/>
      <c r="X2756" s="200"/>
      <c r="Y2756" s="200"/>
      <c r="Z2756" s="200"/>
      <c r="AA2756" s="201"/>
      <c r="AB2756" s="200"/>
      <c r="AC2756" s="200"/>
    </row>
    <row r="2757" ht="15.75" customHeight="1">
      <c r="A2757" s="210">
        <f t="shared" si="1"/>
        <v>2755</v>
      </c>
      <c r="B2757" s="217"/>
      <c r="C2757" s="217" t="str">
        <f>IFERROR(VLOOKUP(B2757, SourceData!$U$3:$V$190, 2, FALSE), "")</f>
        <v/>
      </c>
      <c r="D2757" s="240"/>
      <c r="E2757" s="241"/>
      <c r="F2757" s="248"/>
      <c r="G2757" s="207"/>
      <c r="H2757" s="209"/>
      <c r="I2757" s="209"/>
      <c r="J2757" s="209"/>
      <c r="K2757" s="208" t="str">
        <f>IF(Errors!$I2757=0,SourceData!$B$42,VLOOKUP(Errors!$I2757,SourceData!$A$2:$B$40,2,FALSE))</f>
        <v>Please select ERROR CODE column "I"</v>
      </c>
      <c r="L2757" s="207" t="str">
        <f>IF(Errors!$I2757=0,
    'List of Error Codes'!$E$29,
    IFERROR(VLOOKUP(Errors!$I2757, 'List of Error Codes'!D2756:I2786, 6, FALSE), 'List of Error Codes'!$E$29)
)</f>
        <v>Please select ERROR CODE column "I"</v>
      </c>
      <c r="M2757" s="209"/>
      <c r="N2757" s="209"/>
      <c r="O2757" s="209"/>
      <c r="P2757" s="209"/>
      <c r="Q2757" s="209"/>
      <c r="R2757" s="217"/>
      <c r="S2757" s="217"/>
      <c r="T2757" s="217"/>
      <c r="U2757" s="199"/>
      <c r="V2757" s="200"/>
      <c r="W2757" s="200"/>
      <c r="X2757" s="200"/>
      <c r="Y2757" s="200"/>
      <c r="Z2757" s="200"/>
      <c r="AA2757" s="201"/>
      <c r="AB2757" s="200"/>
      <c r="AC2757" s="200"/>
    </row>
    <row r="2758" ht="15.75" customHeight="1">
      <c r="A2758" s="210">
        <f t="shared" si="1"/>
        <v>2756</v>
      </c>
      <c r="B2758" s="217"/>
      <c r="C2758" s="217" t="str">
        <f>IFERROR(VLOOKUP(B2758, SourceData!$U$3:$V$190, 2, FALSE), "")</f>
        <v/>
      </c>
      <c r="D2758" s="240"/>
      <c r="E2758" s="241"/>
      <c r="F2758" s="248"/>
      <c r="G2758" s="207"/>
      <c r="H2758" s="209"/>
      <c r="I2758" s="209"/>
      <c r="J2758" s="209"/>
      <c r="K2758" s="208" t="str">
        <f>IF(Errors!$I2758=0,SourceData!$B$42,VLOOKUP(Errors!$I2758,SourceData!$A$2:$B$40,2,FALSE))</f>
        <v>Please select ERROR CODE column "I"</v>
      </c>
      <c r="L2758" s="207" t="str">
        <f>IF(Errors!$I2758=0,
    'List of Error Codes'!$E$29,
    IFERROR(VLOOKUP(Errors!$I2758, 'List of Error Codes'!D2757:I2787, 6, FALSE), 'List of Error Codes'!$E$29)
)</f>
        <v>Please select ERROR CODE column "I"</v>
      </c>
      <c r="M2758" s="209"/>
      <c r="N2758" s="209"/>
      <c r="O2758" s="209"/>
      <c r="P2758" s="209"/>
      <c r="Q2758" s="209"/>
      <c r="R2758" s="217"/>
      <c r="S2758" s="217"/>
      <c r="T2758" s="217"/>
      <c r="U2758" s="199"/>
      <c r="V2758" s="200"/>
      <c r="W2758" s="200"/>
      <c r="X2758" s="200"/>
      <c r="Y2758" s="200"/>
      <c r="Z2758" s="200"/>
      <c r="AA2758" s="201"/>
      <c r="AB2758" s="200"/>
      <c r="AC2758" s="200"/>
    </row>
    <row r="2759" ht="15.75" customHeight="1">
      <c r="A2759" s="210">
        <f t="shared" si="1"/>
        <v>2757</v>
      </c>
      <c r="B2759" s="217"/>
      <c r="C2759" s="217" t="str">
        <f>IFERROR(VLOOKUP(B2759, SourceData!$U$3:$V$190, 2, FALSE), "")</f>
        <v/>
      </c>
      <c r="D2759" s="240"/>
      <c r="E2759" s="241"/>
      <c r="F2759" s="248"/>
      <c r="G2759" s="207"/>
      <c r="H2759" s="209"/>
      <c r="I2759" s="209"/>
      <c r="J2759" s="209"/>
      <c r="K2759" s="208" t="str">
        <f>IF(Errors!$I2759=0,SourceData!$B$42,VLOOKUP(Errors!$I2759,SourceData!$A$2:$B$40,2,FALSE))</f>
        <v>Please select ERROR CODE column "I"</v>
      </c>
      <c r="L2759" s="207" t="str">
        <f>IF(Errors!$I2759=0,
    'List of Error Codes'!$E$29,
    IFERROR(VLOOKUP(Errors!$I2759, 'List of Error Codes'!D2758:I2788, 6, FALSE), 'List of Error Codes'!$E$29)
)</f>
        <v>Please select ERROR CODE column "I"</v>
      </c>
      <c r="M2759" s="209"/>
      <c r="N2759" s="209"/>
      <c r="O2759" s="209"/>
      <c r="P2759" s="209"/>
      <c r="Q2759" s="209"/>
      <c r="R2759" s="217"/>
      <c r="S2759" s="217"/>
      <c r="T2759" s="217"/>
      <c r="U2759" s="199"/>
      <c r="V2759" s="200"/>
      <c r="W2759" s="200"/>
      <c r="X2759" s="200"/>
      <c r="Y2759" s="200"/>
      <c r="Z2759" s="200"/>
      <c r="AA2759" s="201"/>
      <c r="AB2759" s="200"/>
      <c r="AC2759" s="200"/>
    </row>
    <row r="2760" ht="15.75" customHeight="1">
      <c r="A2760" s="210">
        <f t="shared" si="1"/>
        <v>2758</v>
      </c>
      <c r="B2760" s="217"/>
      <c r="C2760" s="217" t="str">
        <f>IFERROR(VLOOKUP(B2760, SourceData!$U$3:$V$190, 2, FALSE), "")</f>
        <v/>
      </c>
      <c r="D2760" s="240"/>
      <c r="E2760" s="241"/>
      <c r="F2760" s="248"/>
      <c r="G2760" s="207"/>
      <c r="H2760" s="209"/>
      <c r="I2760" s="209"/>
      <c r="J2760" s="209"/>
      <c r="K2760" s="208" t="str">
        <f>IF(Errors!$I2760=0,SourceData!$B$42,VLOOKUP(Errors!$I2760,SourceData!$A$2:$B$40,2,FALSE))</f>
        <v>Please select ERROR CODE column "I"</v>
      </c>
      <c r="L2760" s="207" t="str">
        <f>IF(Errors!$I2760=0,
    'List of Error Codes'!$E$29,
    IFERROR(VLOOKUP(Errors!$I2760, 'List of Error Codes'!D2759:I2789, 6, FALSE), 'List of Error Codes'!$E$29)
)</f>
        <v>Please select ERROR CODE column "I"</v>
      </c>
      <c r="M2760" s="209"/>
      <c r="N2760" s="209"/>
      <c r="O2760" s="209"/>
      <c r="P2760" s="209"/>
      <c r="Q2760" s="209"/>
      <c r="R2760" s="217"/>
      <c r="S2760" s="217"/>
      <c r="T2760" s="217"/>
      <c r="U2760" s="199"/>
      <c r="V2760" s="200"/>
      <c r="W2760" s="200"/>
      <c r="X2760" s="200"/>
      <c r="Y2760" s="200"/>
      <c r="Z2760" s="200"/>
      <c r="AA2760" s="201"/>
      <c r="AB2760" s="200"/>
      <c r="AC2760" s="200"/>
    </row>
    <row r="2761" ht="15.75" customHeight="1">
      <c r="A2761" s="210">
        <f t="shared" si="1"/>
        <v>2759</v>
      </c>
      <c r="B2761" s="217"/>
      <c r="C2761" s="217" t="str">
        <f>IFERROR(VLOOKUP(B2761, SourceData!$U$3:$V$190, 2, FALSE), "")</f>
        <v/>
      </c>
      <c r="D2761" s="240"/>
      <c r="E2761" s="241"/>
      <c r="F2761" s="248"/>
      <c r="G2761" s="207"/>
      <c r="H2761" s="209"/>
      <c r="I2761" s="209"/>
      <c r="J2761" s="209"/>
      <c r="K2761" s="208" t="str">
        <f>IF(Errors!$I2761=0,SourceData!$B$42,VLOOKUP(Errors!$I2761,SourceData!$A$2:$B$40,2,FALSE))</f>
        <v>Please select ERROR CODE column "I"</v>
      </c>
      <c r="L2761" s="207" t="str">
        <f>IF(Errors!$I2761=0,
    'List of Error Codes'!$E$29,
    IFERROR(VLOOKUP(Errors!$I2761, 'List of Error Codes'!D2760:I2790, 6, FALSE), 'List of Error Codes'!$E$29)
)</f>
        <v>Please select ERROR CODE column "I"</v>
      </c>
      <c r="M2761" s="209"/>
      <c r="N2761" s="209"/>
      <c r="O2761" s="209"/>
      <c r="P2761" s="209"/>
      <c r="Q2761" s="209"/>
      <c r="R2761" s="217"/>
      <c r="S2761" s="217"/>
      <c r="T2761" s="217"/>
      <c r="U2761" s="199"/>
      <c r="V2761" s="200"/>
      <c r="W2761" s="200"/>
      <c r="X2761" s="200"/>
      <c r="Y2761" s="200"/>
      <c r="Z2761" s="200"/>
      <c r="AA2761" s="201"/>
      <c r="AB2761" s="200"/>
      <c r="AC2761" s="200"/>
    </row>
    <row r="2762" ht="15.75" customHeight="1">
      <c r="A2762" s="210">
        <f t="shared" si="1"/>
        <v>2760</v>
      </c>
      <c r="B2762" s="217"/>
      <c r="C2762" s="217" t="str">
        <f>IFERROR(VLOOKUP(B2762, SourceData!$U$3:$V$190, 2, FALSE), "")</f>
        <v/>
      </c>
      <c r="D2762" s="240"/>
      <c r="E2762" s="241"/>
      <c r="F2762" s="248"/>
      <c r="G2762" s="207"/>
      <c r="H2762" s="209"/>
      <c r="I2762" s="209"/>
      <c r="J2762" s="209"/>
      <c r="K2762" s="208" t="str">
        <f>IF(Errors!$I2762=0,SourceData!$B$42,VLOOKUP(Errors!$I2762,SourceData!$A$2:$B$40,2,FALSE))</f>
        <v>Please select ERROR CODE column "I"</v>
      </c>
      <c r="L2762" s="207" t="str">
        <f>IF(Errors!$I2762=0,
    'List of Error Codes'!$E$29,
    IFERROR(VLOOKUP(Errors!$I2762, 'List of Error Codes'!D2761:I2791, 6, FALSE), 'List of Error Codes'!$E$29)
)</f>
        <v>Please select ERROR CODE column "I"</v>
      </c>
      <c r="M2762" s="209"/>
      <c r="N2762" s="209"/>
      <c r="O2762" s="209"/>
      <c r="P2762" s="209"/>
      <c r="Q2762" s="209"/>
      <c r="R2762" s="217"/>
      <c r="S2762" s="217"/>
      <c r="T2762" s="217"/>
      <c r="U2762" s="199"/>
      <c r="V2762" s="200"/>
      <c r="W2762" s="200"/>
      <c r="X2762" s="200"/>
      <c r="Y2762" s="200"/>
      <c r="Z2762" s="200"/>
      <c r="AA2762" s="201"/>
      <c r="AB2762" s="200"/>
      <c r="AC2762" s="200"/>
    </row>
    <row r="2763" ht="15.75" customHeight="1">
      <c r="A2763" s="210">
        <f t="shared" si="1"/>
        <v>2761</v>
      </c>
      <c r="B2763" s="217"/>
      <c r="C2763" s="217" t="str">
        <f>IFERROR(VLOOKUP(B2763, SourceData!$U$3:$V$190, 2, FALSE), "")</f>
        <v/>
      </c>
      <c r="D2763" s="240"/>
      <c r="E2763" s="241"/>
      <c r="F2763" s="248"/>
      <c r="G2763" s="207"/>
      <c r="H2763" s="209"/>
      <c r="I2763" s="209"/>
      <c r="J2763" s="209"/>
      <c r="K2763" s="208" t="str">
        <f>IF(Errors!$I2763=0,SourceData!$B$42,VLOOKUP(Errors!$I2763,SourceData!$A$2:$B$40,2,FALSE))</f>
        <v>Please select ERROR CODE column "I"</v>
      </c>
      <c r="L2763" s="207" t="str">
        <f>IF(Errors!$I2763=0,
    'List of Error Codes'!$E$29,
    IFERROR(VLOOKUP(Errors!$I2763, 'List of Error Codes'!D2762:I2792, 6, FALSE), 'List of Error Codes'!$E$29)
)</f>
        <v>Please select ERROR CODE column "I"</v>
      </c>
      <c r="M2763" s="209"/>
      <c r="N2763" s="209"/>
      <c r="O2763" s="209"/>
      <c r="P2763" s="209"/>
      <c r="Q2763" s="209"/>
      <c r="R2763" s="217"/>
      <c r="S2763" s="217"/>
      <c r="T2763" s="217"/>
      <c r="U2763" s="199"/>
      <c r="V2763" s="200"/>
      <c r="W2763" s="200"/>
      <c r="X2763" s="200"/>
      <c r="Y2763" s="200"/>
      <c r="Z2763" s="200"/>
      <c r="AA2763" s="201"/>
      <c r="AB2763" s="200"/>
      <c r="AC2763" s="200"/>
    </row>
    <row r="2764" ht="15.75" customHeight="1">
      <c r="A2764" s="210">
        <f t="shared" si="1"/>
        <v>2762</v>
      </c>
      <c r="B2764" s="217"/>
      <c r="C2764" s="217" t="str">
        <f>IFERROR(VLOOKUP(B2764, SourceData!$U$3:$V$190, 2, FALSE), "")</f>
        <v/>
      </c>
      <c r="D2764" s="240"/>
      <c r="E2764" s="241"/>
      <c r="F2764" s="248"/>
      <c r="G2764" s="207"/>
      <c r="H2764" s="209"/>
      <c r="I2764" s="209"/>
      <c r="J2764" s="209"/>
      <c r="K2764" s="208" t="str">
        <f>IF(Errors!$I2764=0,SourceData!$B$42,VLOOKUP(Errors!$I2764,SourceData!$A$2:$B$40,2,FALSE))</f>
        <v>Please select ERROR CODE column "I"</v>
      </c>
      <c r="L2764" s="207" t="str">
        <f>IF(Errors!$I2764=0,
    'List of Error Codes'!$E$29,
    IFERROR(VLOOKUP(Errors!$I2764, 'List of Error Codes'!D2763:I2793, 6, FALSE), 'List of Error Codes'!$E$29)
)</f>
        <v>Please select ERROR CODE column "I"</v>
      </c>
      <c r="M2764" s="209"/>
      <c r="N2764" s="209"/>
      <c r="O2764" s="209"/>
      <c r="P2764" s="209"/>
      <c r="Q2764" s="209"/>
      <c r="R2764" s="217"/>
      <c r="S2764" s="217"/>
      <c r="T2764" s="217"/>
      <c r="U2764" s="199"/>
      <c r="V2764" s="200"/>
      <c r="W2764" s="200"/>
      <c r="X2764" s="200"/>
      <c r="Y2764" s="200"/>
      <c r="Z2764" s="200"/>
      <c r="AA2764" s="201"/>
      <c r="AB2764" s="200"/>
      <c r="AC2764" s="200"/>
    </row>
    <row r="2765" ht="15.75" customHeight="1">
      <c r="A2765" s="210">
        <f t="shared" si="1"/>
        <v>2763</v>
      </c>
      <c r="B2765" s="217"/>
      <c r="C2765" s="217" t="str">
        <f>IFERROR(VLOOKUP(B2765, SourceData!$U$3:$V$190, 2, FALSE), "")</f>
        <v/>
      </c>
      <c r="D2765" s="240"/>
      <c r="E2765" s="241"/>
      <c r="F2765" s="248"/>
      <c r="G2765" s="207"/>
      <c r="H2765" s="209"/>
      <c r="I2765" s="209"/>
      <c r="J2765" s="209"/>
      <c r="K2765" s="208" t="str">
        <f>IF(Errors!$I2765=0,SourceData!$B$42,VLOOKUP(Errors!$I2765,SourceData!$A$2:$B$40,2,FALSE))</f>
        <v>Please select ERROR CODE column "I"</v>
      </c>
      <c r="L2765" s="207" t="str">
        <f>IF(Errors!$I2765=0,
    'List of Error Codes'!$E$29,
    IFERROR(VLOOKUP(Errors!$I2765, 'List of Error Codes'!D2764:I2794, 6, FALSE), 'List of Error Codes'!$E$29)
)</f>
        <v>Please select ERROR CODE column "I"</v>
      </c>
      <c r="M2765" s="209"/>
      <c r="N2765" s="209"/>
      <c r="O2765" s="209"/>
      <c r="P2765" s="209"/>
      <c r="Q2765" s="209"/>
      <c r="R2765" s="217"/>
      <c r="S2765" s="217"/>
      <c r="T2765" s="217"/>
      <c r="U2765" s="199"/>
      <c r="V2765" s="200"/>
      <c r="W2765" s="200"/>
      <c r="X2765" s="200"/>
      <c r="Y2765" s="200"/>
      <c r="Z2765" s="200"/>
      <c r="AA2765" s="201"/>
      <c r="AB2765" s="200"/>
      <c r="AC2765" s="200"/>
    </row>
    <row r="2766" ht="15.75" customHeight="1">
      <c r="A2766" s="210">
        <f t="shared" si="1"/>
        <v>2764</v>
      </c>
      <c r="B2766" s="217"/>
      <c r="C2766" s="217" t="str">
        <f>IFERROR(VLOOKUP(B2766, SourceData!$U$3:$V$190, 2, FALSE), "")</f>
        <v/>
      </c>
      <c r="D2766" s="240"/>
      <c r="E2766" s="241"/>
      <c r="F2766" s="248"/>
      <c r="G2766" s="207"/>
      <c r="H2766" s="209"/>
      <c r="I2766" s="209"/>
      <c r="J2766" s="209"/>
      <c r="K2766" s="208" t="str">
        <f>IF(Errors!$I2766=0,SourceData!$B$42,VLOOKUP(Errors!$I2766,SourceData!$A$2:$B$40,2,FALSE))</f>
        <v>Please select ERROR CODE column "I"</v>
      </c>
      <c r="L2766" s="207" t="str">
        <f>IF(Errors!$I2766=0,
    'List of Error Codes'!$E$29,
    IFERROR(VLOOKUP(Errors!$I2766, 'List of Error Codes'!D2765:I2795, 6, FALSE), 'List of Error Codes'!$E$29)
)</f>
        <v>Please select ERROR CODE column "I"</v>
      </c>
      <c r="M2766" s="209"/>
      <c r="N2766" s="209"/>
      <c r="O2766" s="209"/>
      <c r="P2766" s="209"/>
      <c r="Q2766" s="209"/>
      <c r="R2766" s="217"/>
      <c r="S2766" s="217"/>
      <c r="T2766" s="217"/>
      <c r="U2766" s="199"/>
      <c r="V2766" s="200"/>
      <c r="W2766" s="200"/>
      <c r="X2766" s="200"/>
      <c r="Y2766" s="200"/>
      <c r="Z2766" s="200"/>
      <c r="AA2766" s="201"/>
      <c r="AB2766" s="200"/>
      <c r="AC2766" s="200"/>
    </row>
    <row r="2767" ht="15.75" customHeight="1">
      <c r="A2767" s="210">
        <f t="shared" si="1"/>
        <v>2765</v>
      </c>
      <c r="B2767" s="217"/>
      <c r="C2767" s="217" t="str">
        <f>IFERROR(VLOOKUP(B2767, SourceData!$U$3:$V$190, 2, FALSE), "")</f>
        <v/>
      </c>
      <c r="D2767" s="240"/>
      <c r="E2767" s="241"/>
      <c r="F2767" s="248"/>
      <c r="G2767" s="207"/>
      <c r="H2767" s="209"/>
      <c r="I2767" s="209"/>
      <c r="J2767" s="209"/>
      <c r="K2767" s="208" t="str">
        <f>IF(Errors!$I2767=0,SourceData!$B$42,VLOOKUP(Errors!$I2767,SourceData!$A$2:$B$40,2,FALSE))</f>
        <v>Please select ERROR CODE column "I"</v>
      </c>
      <c r="L2767" s="207" t="str">
        <f>IF(Errors!$I2767=0,
    'List of Error Codes'!$E$29,
    IFERROR(VLOOKUP(Errors!$I2767, 'List of Error Codes'!D2766:I2796, 6, FALSE), 'List of Error Codes'!$E$29)
)</f>
        <v>Please select ERROR CODE column "I"</v>
      </c>
      <c r="M2767" s="209"/>
      <c r="N2767" s="209"/>
      <c r="O2767" s="209"/>
      <c r="P2767" s="209"/>
      <c r="Q2767" s="209"/>
      <c r="R2767" s="217"/>
      <c r="S2767" s="217"/>
      <c r="T2767" s="217"/>
      <c r="U2767" s="199"/>
      <c r="V2767" s="200"/>
      <c r="W2767" s="200"/>
      <c r="X2767" s="200"/>
      <c r="Y2767" s="200"/>
      <c r="Z2767" s="200"/>
      <c r="AA2767" s="201"/>
      <c r="AB2767" s="200"/>
      <c r="AC2767" s="200"/>
    </row>
    <row r="2768" ht="15.75" customHeight="1">
      <c r="A2768" s="210">
        <f t="shared" si="1"/>
        <v>2766</v>
      </c>
      <c r="B2768" s="217"/>
      <c r="C2768" s="217" t="str">
        <f>IFERROR(VLOOKUP(B2768, SourceData!$U$3:$V$190, 2, FALSE), "")</f>
        <v/>
      </c>
      <c r="D2768" s="240"/>
      <c r="E2768" s="241"/>
      <c r="F2768" s="248"/>
      <c r="G2768" s="207"/>
      <c r="H2768" s="209"/>
      <c r="I2768" s="209"/>
      <c r="J2768" s="209"/>
      <c r="K2768" s="208" t="str">
        <f>IF(Errors!$I2768=0,SourceData!$B$42,VLOOKUP(Errors!$I2768,SourceData!$A$2:$B$40,2,FALSE))</f>
        <v>Please select ERROR CODE column "I"</v>
      </c>
      <c r="L2768" s="207" t="str">
        <f>IF(Errors!$I2768=0,
    'List of Error Codes'!$E$29,
    IFERROR(VLOOKUP(Errors!$I2768, 'List of Error Codes'!D2767:I2797, 6, FALSE), 'List of Error Codes'!$E$29)
)</f>
        <v>Please select ERROR CODE column "I"</v>
      </c>
      <c r="M2768" s="209"/>
      <c r="N2768" s="209"/>
      <c r="O2768" s="209"/>
      <c r="P2768" s="209"/>
      <c r="Q2768" s="209"/>
      <c r="R2768" s="217"/>
      <c r="S2768" s="217"/>
      <c r="T2768" s="217"/>
      <c r="U2768" s="199"/>
      <c r="V2768" s="200"/>
      <c r="W2768" s="200"/>
      <c r="X2768" s="200"/>
      <c r="Y2768" s="200"/>
      <c r="Z2768" s="200"/>
      <c r="AA2768" s="201"/>
      <c r="AB2768" s="200"/>
      <c r="AC2768" s="200"/>
    </row>
    <row r="2769" ht="15.75" customHeight="1">
      <c r="A2769" s="210">
        <f t="shared" si="1"/>
        <v>2767</v>
      </c>
      <c r="B2769" s="217"/>
      <c r="C2769" s="217" t="str">
        <f>IFERROR(VLOOKUP(B2769, SourceData!$U$3:$V$190, 2, FALSE), "")</f>
        <v/>
      </c>
      <c r="D2769" s="240"/>
      <c r="E2769" s="241"/>
      <c r="F2769" s="248"/>
      <c r="G2769" s="207"/>
      <c r="H2769" s="209"/>
      <c r="I2769" s="209"/>
      <c r="J2769" s="209"/>
      <c r="K2769" s="208" t="str">
        <f>IF(Errors!$I2769=0,SourceData!$B$42,VLOOKUP(Errors!$I2769,SourceData!$A$2:$B$40,2,FALSE))</f>
        <v>Please select ERROR CODE column "I"</v>
      </c>
      <c r="L2769" s="207" t="str">
        <f>IF(Errors!$I2769=0,
    'List of Error Codes'!$E$29,
    IFERROR(VLOOKUP(Errors!$I2769, 'List of Error Codes'!D2768:I2798, 6, FALSE), 'List of Error Codes'!$E$29)
)</f>
        <v>Please select ERROR CODE column "I"</v>
      </c>
      <c r="M2769" s="209"/>
      <c r="N2769" s="209"/>
      <c r="O2769" s="209"/>
      <c r="P2769" s="209"/>
      <c r="Q2769" s="209"/>
      <c r="R2769" s="217"/>
      <c r="S2769" s="217"/>
      <c r="T2769" s="217"/>
      <c r="U2769" s="199"/>
      <c r="V2769" s="200"/>
      <c r="W2769" s="200"/>
      <c r="X2769" s="200"/>
      <c r="Y2769" s="200"/>
      <c r="Z2769" s="200"/>
      <c r="AA2769" s="201"/>
      <c r="AB2769" s="200"/>
      <c r="AC2769" s="200"/>
    </row>
    <row r="2770" ht="15.75" customHeight="1">
      <c r="A2770" s="210">
        <f t="shared" si="1"/>
        <v>2768</v>
      </c>
      <c r="B2770" s="217"/>
      <c r="C2770" s="217" t="str">
        <f>IFERROR(VLOOKUP(B2770, SourceData!$U$3:$V$190, 2, FALSE), "")</f>
        <v/>
      </c>
      <c r="D2770" s="240"/>
      <c r="E2770" s="241"/>
      <c r="F2770" s="248"/>
      <c r="G2770" s="207"/>
      <c r="H2770" s="209"/>
      <c r="I2770" s="209"/>
      <c r="J2770" s="209"/>
      <c r="K2770" s="208" t="str">
        <f>IF(Errors!$I2770=0,SourceData!$B$42,VLOOKUP(Errors!$I2770,SourceData!$A$2:$B$40,2,FALSE))</f>
        <v>Please select ERROR CODE column "I"</v>
      </c>
      <c r="L2770" s="207" t="str">
        <f>IF(Errors!$I2770=0,
    'List of Error Codes'!$E$29,
    IFERROR(VLOOKUP(Errors!$I2770, 'List of Error Codes'!D2769:I2799, 6, FALSE), 'List of Error Codes'!$E$29)
)</f>
        <v>Please select ERROR CODE column "I"</v>
      </c>
      <c r="M2770" s="209"/>
      <c r="N2770" s="209"/>
      <c r="O2770" s="209"/>
      <c r="P2770" s="209"/>
      <c r="Q2770" s="209"/>
      <c r="R2770" s="217"/>
      <c r="S2770" s="217"/>
      <c r="T2770" s="217"/>
      <c r="U2770" s="199"/>
      <c r="V2770" s="200"/>
      <c r="W2770" s="200"/>
      <c r="X2770" s="200"/>
      <c r="Y2770" s="200"/>
      <c r="Z2770" s="200"/>
      <c r="AA2770" s="201"/>
      <c r="AB2770" s="200"/>
      <c r="AC2770" s="200"/>
    </row>
    <row r="2771" ht="15.75" customHeight="1">
      <c r="A2771" s="210">
        <f t="shared" si="1"/>
        <v>2769</v>
      </c>
      <c r="B2771" s="217"/>
      <c r="C2771" s="217" t="str">
        <f>IFERROR(VLOOKUP(B2771, SourceData!$U$3:$V$190, 2, FALSE), "")</f>
        <v/>
      </c>
      <c r="D2771" s="240"/>
      <c r="E2771" s="241"/>
      <c r="F2771" s="248"/>
      <c r="G2771" s="207"/>
      <c r="H2771" s="209"/>
      <c r="I2771" s="209"/>
      <c r="J2771" s="209"/>
      <c r="K2771" s="208" t="str">
        <f>IF(Errors!$I2771=0,SourceData!$B$42,VLOOKUP(Errors!$I2771,SourceData!$A$2:$B$40,2,FALSE))</f>
        <v>Please select ERROR CODE column "I"</v>
      </c>
      <c r="L2771" s="207" t="str">
        <f>IF(Errors!$I2771=0,
    'List of Error Codes'!$E$29,
    IFERROR(VLOOKUP(Errors!$I2771, 'List of Error Codes'!D2770:I2800, 6, FALSE), 'List of Error Codes'!$E$29)
)</f>
        <v>Please select ERROR CODE column "I"</v>
      </c>
      <c r="M2771" s="209"/>
      <c r="N2771" s="209"/>
      <c r="O2771" s="209"/>
      <c r="P2771" s="209"/>
      <c r="Q2771" s="209"/>
      <c r="R2771" s="217"/>
      <c r="S2771" s="217"/>
      <c r="T2771" s="217"/>
      <c r="U2771" s="199"/>
      <c r="V2771" s="200"/>
      <c r="W2771" s="200"/>
      <c r="X2771" s="200"/>
      <c r="Y2771" s="200"/>
      <c r="Z2771" s="200"/>
      <c r="AA2771" s="201"/>
      <c r="AB2771" s="200"/>
      <c r="AC2771" s="200"/>
    </row>
    <row r="2772" ht="15.75" customHeight="1">
      <c r="A2772" s="210">
        <f t="shared" si="1"/>
        <v>2770</v>
      </c>
      <c r="B2772" s="217"/>
      <c r="C2772" s="217" t="str">
        <f>IFERROR(VLOOKUP(B2772, SourceData!$U$3:$V$190, 2, FALSE), "")</f>
        <v/>
      </c>
      <c r="D2772" s="240"/>
      <c r="E2772" s="241"/>
      <c r="F2772" s="248"/>
      <c r="G2772" s="207"/>
      <c r="H2772" s="209"/>
      <c r="I2772" s="209"/>
      <c r="J2772" s="209"/>
      <c r="K2772" s="208" t="str">
        <f>IF(Errors!$I2772=0,SourceData!$B$42,VLOOKUP(Errors!$I2772,SourceData!$A$2:$B$40,2,FALSE))</f>
        <v>Please select ERROR CODE column "I"</v>
      </c>
      <c r="L2772" s="207" t="str">
        <f>IF(Errors!$I2772=0,
    'List of Error Codes'!$E$29,
    IFERROR(VLOOKUP(Errors!$I2772, 'List of Error Codes'!D2771:I2801, 6, FALSE), 'List of Error Codes'!$E$29)
)</f>
        <v>Please select ERROR CODE column "I"</v>
      </c>
      <c r="M2772" s="209"/>
      <c r="N2772" s="209"/>
      <c r="O2772" s="209"/>
      <c r="P2772" s="209"/>
      <c r="Q2772" s="209"/>
      <c r="R2772" s="217"/>
      <c r="S2772" s="217"/>
      <c r="T2772" s="217"/>
      <c r="U2772" s="199"/>
      <c r="V2772" s="200"/>
      <c r="W2772" s="200"/>
      <c r="X2772" s="200"/>
      <c r="Y2772" s="200"/>
      <c r="Z2772" s="200"/>
      <c r="AA2772" s="201"/>
      <c r="AB2772" s="200"/>
      <c r="AC2772" s="200"/>
    </row>
    <row r="2773" ht="15.75" customHeight="1">
      <c r="A2773" s="210">
        <f t="shared" si="1"/>
        <v>2771</v>
      </c>
      <c r="B2773" s="217"/>
      <c r="C2773" s="217" t="str">
        <f>IFERROR(VLOOKUP(B2773, SourceData!$U$3:$V$190, 2, FALSE), "")</f>
        <v/>
      </c>
      <c r="D2773" s="240"/>
      <c r="E2773" s="241"/>
      <c r="F2773" s="248"/>
      <c r="G2773" s="207"/>
      <c r="H2773" s="209"/>
      <c r="I2773" s="209"/>
      <c r="J2773" s="209"/>
      <c r="K2773" s="208" t="str">
        <f>IF(Errors!$I2773=0,SourceData!$B$42,VLOOKUP(Errors!$I2773,SourceData!$A$2:$B$40,2,FALSE))</f>
        <v>Please select ERROR CODE column "I"</v>
      </c>
      <c r="L2773" s="207" t="str">
        <f>IF(Errors!$I2773=0,
    'List of Error Codes'!$E$29,
    IFERROR(VLOOKUP(Errors!$I2773, 'List of Error Codes'!D2772:I2802, 6, FALSE), 'List of Error Codes'!$E$29)
)</f>
        <v>Please select ERROR CODE column "I"</v>
      </c>
      <c r="M2773" s="209"/>
      <c r="N2773" s="209"/>
      <c r="O2773" s="209"/>
      <c r="P2773" s="209"/>
      <c r="Q2773" s="209"/>
      <c r="R2773" s="217"/>
      <c r="S2773" s="217"/>
      <c r="T2773" s="217"/>
      <c r="U2773" s="199"/>
      <c r="V2773" s="200"/>
      <c r="W2773" s="200"/>
      <c r="X2773" s="200"/>
      <c r="Y2773" s="200"/>
      <c r="Z2773" s="200"/>
      <c r="AA2773" s="201"/>
      <c r="AB2773" s="200"/>
      <c r="AC2773" s="200"/>
    </row>
    <row r="2774" ht="15.75" customHeight="1">
      <c r="A2774" s="210">
        <f t="shared" si="1"/>
        <v>2772</v>
      </c>
      <c r="B2774" s="217"/>
      <c r="C2774" s="217" t="str">
        <f>IFERROR(VLOOKUP(B2774, SourceData!$U$3:$V$190, 2, FALSE), "")</f>
        <v/>
      </c>
      <c r="D2774" s="240"/>
      <c r="E2774" s="241"/>
      <c r="F2774" s="248"/>
      <c r="G2774" s="207"/>
      <c r="H2774" s="209"/>
      <c r="I2774" s="209"/>
      <c r="J2774" s="209"/>
      <c r="K2774" s="208" t="str">
        <f>IF(Errors!$I2774=0,SourceData!$B$42,VLOOKUP(Errors!$I2774,SourceData!$A$2:$B$40,2,FALSE))</f>
        <v>Please select ERROR CODE column "I"</v>
      </c>
      <c r="L2774" s="207" t="str">
        <f>IF(Errors!$I2774=0,
    'List of Error Codes'!$E$29,
    IFERROR(VLOOKUP(Errors!$I2774, 'List of Error Codes'!D2773:I2803, 6, FALSE), 'List of Error Codes'!$E$29)
)</f>
        <v>Please select ERROR CODE column "I"</v>
      </c>
      <c r="M2774" s="209"/>
      <c r="N2774" s="209"/>
      <c r="O2774" s="209"/>
      <c r="P2774" s="209"/>
      <c r="Q2774" s="209"/>
      <c r="R2774" s="217"/>
      <c r="S2774" s="217"/>
      <c r="T2774" s="217"/>
      <c r="U2774" s="199"/>
      <c r="V2774" s="200"/>
      <c r="W2774" s="200"/>
      <c r="X2774" s="200"/>
      <c r="Y2774" s="200"/>
      <c r="Z2774" s="200"/>
      <c r="AA2774" s="201"/>
      <c r="AB2774" s="200"/>
      <c r="AC2774" s="200"/>
    </row>
    <row r="2775" ht="15.75" customHeight="1">
      <c r="A2775" s="210">
        <f t="shared" si="1"/>
        <v>2773</v>
      </c>
      <c r="B2775" s="217"/>
      <c r="C2775" s="217" t="str">
        <f>IFERROR(VLOOKUP(B2775, SourceData!$U$3:$V$190, 2, FALSE), "")</f>
        <v/>
      </c>
      <c r="D2775" s="240"/>
      <c r="E2775" s="241"/>
      <c r="F2775" s="248"/>
      <c r="G2775" s="207"/>
      <c r="H2775" s="209"/>
      <c r="I2775" s="209"/>
      <c r="J2775" s="209"/>
      <c r="K2775" s="208" t="str">
        <f>IF(Errors!$I2775=0,SourceData!$B$42,VLOOKUP(Errors!$I2775,SourceData!$A$2:$B$40,2,FALSE))</f>
        <v>Please select ERROR CODE column "I"</v>
      </c>
      <c r="L2775" s="207" t="str">
        <f>IF(Errors!$I2775=0,
    'List of Error Codes'!$E$29,
    IFERROR(VLOOKUP(Errors!$I2775, 'List of Error Codes'!D2774:I2804, 6, FALSE), 'List of Error Codes'!$E$29)
)</f>
        <v>Please select ERROR CODE column "I"</v>
      </c>
      <c r="M2775" s="209"/>
      <c r="N2775" s="209"/>
      <c r="O2775" s="209"/>
      <c r="P2775" s="209"/>
      <c r="Q2775" s="209"/>
      <c r="R2775" s="217"/>
      <c r="S2775" s="217"/>
      <c r="T2775" s="217"/>
      <c r="U2775" s="199"/>
      <c r="V2775" s="200"/>
      <c r="W2775" s="200"/>
      <c r="X2775" s="200"/>
      <c r="Y2775" s="200"/>
      <c r="Z2775" s="200"/>
      <c r="AA2775" s="201"/>
      <c r="AB2775" s="200"/>
      <c r="AC2775" s="200"/>
    </row>
    <row r="2776" ht="15.75" customHeight="1">
      <c r="A2776" s="210">
        <f t="shared" si="1"/>
        <v>2774</v>
      </c>
      <c r="B2776" s="217"/>
      <c r="C2776" s="217" t="str">
        <f>IFERROR(VLOOKUP(B2776, SourceData!$U$3:$V$190, 2, FALSE), "")</f>
        <v/>
      </c>
      <c r="D2776" s="240"/>
      <c r="E2776" s="241"/>
      <c r="F2776" s="248"/>
      <c r="G2776" s="207"/>
      <c r="H2776" s="209"/>
      <c r="I2776" s="209"/>
      <c r="J2776" s="209"/>
      <c r="K2776" s="208" t="str">
        <f>IF(Errors!$I2776=0,SourceData!$B$42,VLOOKUP(Errors!$I2776,SourceData!$A$2:$B$40,2,FALSE))</f>
        <v>Please select ERROR CODE column "I"</v>
      </c>
      <c r="L2776" s="207" t="str">
        <f>IF(Errors!$I2776=0,
    'List of Error Codes'!$E$29,
    IFERROR(VLOOKUP(Errors!$I2776, 'List of Error Codes'!D2775:I2805, 6, FALSE), 'List of Error Codes'!$E$29)
)</f>
        <v>Please select ERROR CODE column "I"</v>
      </c>
      <c r="M2776" s="209"/>
      <c r="N2776" s="209"/>
      <c r="O2776" s="209"/>
      <c r="P2776" s="209"/>
      <c r="Q2776" s="209"/>
      <c r="R2776" s="217"/>
      <c r="S2776" s="217"/>
      <c r="T2776" s="217"/>
      <c r="U2776" s="199"/>
      <c r="V2776" s="200"/>
      <c r="W2776" s="200"/>
      <c r="X2776" s="200"/>
      <c r="Y2776" s="200"/>
      <c r="Z2776" s="200"/>
      <c r="AA2776" s="201"/>
      <c r="AB2776" s="200"/>
      <c r="AC2776" s="200"/>
    </row>
    <row r="2777" ht="15.75" customHeight="1">
      <c r="A2777" s="210">
        <f t="shared" si="1"/>
        <v>2775</v>
      </c>
      <c r="B2777" s="217"/>
      <c r="C2777" s="217" t="str">
        <f>IFERROR(VLOOKUP(B2777, SourceData!$U$3:$V$190, 2, FALSE), "")</f>
        <v/>
      </c>
      <c r="D2777" s="240"/>
      <c r="E2777" s="241"/>
      <c r="F2777" s="248"/>
      <c r="G2777" s="207"/>
      <c r="H2777" s="209"/>
      <c r="I2777" s="209"/>
      <c r="J2777" s="209"/>
      <c r="K2777" s="208" t="str">
        <f>IF(Errors!$I2777=0,SourceData!$B$42,VLOOKUP(Errors!$I2777,SourceData!$A$2:$B$40,2,FALSE))</f>
        <v>Please select ERROR CODE column "I"</v>
      </c>
      <c r="L2777" s="207" t="str">
        <f>IF(Errors!$I2777=0,
    'List of Error Codes'!$E$29,
    IFERROR(VLOOKUP(Errors!$I2777, 'List of Error Codes'!D2776:I2806, 6, FALSE), 'List of Error Codes'!$E$29)
)</f>
        <v>Please select ERROR CODE column "I"</v>
      </c>
      <c r="M2777" s="209"/>
      <c r="N2777" s="209"/>
      <c r="O2777" s="209"/>
      <c r="P2777" s="209"/>
      <c r="Q2777" s="209"/>
      <c r="R2777" s="217"/>
      <c r="S2777" s="217"/>
      <c r="T2777" s="217"/>
      <c r="U2777" s="199"/>
      <c r="V2777" s="200"/>
      <c r="W2777" s="200"/>
      <c r="X2777" s="200"/>
      <c r="Y2777" s="200"/>
      <c r="Z2777" s="200"/>
      <c r="AA2777" s="201"/>
      <c r="AB2777" s="200"/>
      <c r="AC2777" s="200"/>
    </row>
    <row r="2778" ht="15.75" customHeight="1">
      <c r="A2778" s="210">
        <f t="shared" si="1"/>
        <v>2776</v>
      </c>
      <c r="B2778" s="217"/>
      <c r="C2778" s="217" t="str">
        <f>IFERROR(VLOOKUP(B2778, SourceData!$U$3:$V$190, 2, FALSE), "")</f>
        <v/>
      </c>
      <c r="D2778" s="240"/>
      <c r="E2778" s="241"/>
      <c r="F2778" s="248"/>
      <c r="G2778" s="207"/>
      <c r="H2778" s="209"/>
      <c r="I2778" s="209"/>
      <c r="J2778" s="209"/>
      <c r="K2778" s="208" t="str">
        <f>IF(Errors!$I2778=0,SourceData!$B$42,VLOOKUP(Errors!$I2778,SourceData!$A$2:$B$40,2,FALSE))</f>
        <v>Please select ERROR CODE column "I"</v>
      </c>
      <c r="L2778" s="207" t="str">
        <f>IF(Errors!$I2778=0,
    'List of Error Codes'!$E$29,
    IFERROR(VLOOKUP(Errors!$I2778, 'List of Error Codes'!D2777:I2807, 6, FALSE), 'List of Error Codes'!$E$29)
)</f>
        <v>Please select ERROR CODE column "I"</v>
      </c>
      <c r="M2778" s="209"/>
      <c r="N2778" s="209"/>
      <c r="O2778" s="209"/>
      <c r="P2778" s="209"/>
      <c r="Q2778" s="209"/>
      <c r="R2778" s="217"/>
      <c r="S2778" s="217"/>
      <c r="T2778" s="217"/>
      <c r="U2778" s="199"/>
      <c r="V2778" s="200"/>
      <c r="W2778" s="200"/>
      <c r="X2778" s="200"/>
      <c r="Y2778" s="200"/>
      <c r="Z2778" s="200"/>
      <c r="AA2778" s="201"/>
      <c r="AB2778" s="200"/>
      <c r="AC2778" s="200"/>
    </row>
    <row r="2779" ht="15.75" customHeight="1">
      <c r="A2779" s="210">
        <f t="shared" si="1"/>
        <v>2777</v>
      </c>
      <c r="B2779" s="217"/>
      <c r="C2779" s="217" t="str">
        <f>IFERROR(VLOOKUP(B2779, SourceData!$U$3:$V$190, 2, FALSE), "")</f>
        <v/>
      </c>
      <c r="D2779" s="240"/>
      <c r="E2779" s="241"/>
      <c r="F2779" s="248"/>
      <c r="G2779" s="207"/>
      <c r="H2779" s="209"/>
      <c r="I2779" s="209"/>
      <c r="J2779" s="209"/>
      <c r="K2779" s="208" t="str">
        <f>IF(Errors!$I2779=0,SourceData!$B$42,VLOOKUP(Errors!$I2779,SourceData!$A$2:$B$40,2,FALSE))</f>
        <v>Please select ERROR CODE column "I"</v>
      </c>
      <c r="L2779" s="207" t="str">
        <f>IF(Errors!$I2779=0,
    'List of Error Codes'!$E$29,
    IFERROR(VLOOKUP(Errors!$I2779, 'List of Error Codes'!D2778:I2808, 6, FALSE), 'List of Error Codes'!$E$29)
)</f>
        <v>Please select ERROR CODE column "I"</v>
      </c>
      <c r="M2779" s="209"/>
      <c r="N2779" s="209"/>
      <c r="O2779" s="209"/>
      <c r="P2779" s="209"/>
      <c r="Q2779" s="209"/>
      <c r="R2779" s="217"/>
      <c r="S2779" s="217"/>
      <c r="T2779" s="217"/>
      <c r="U2779" s="199"/>
      <c r="V2779" s="200"/>
      <c r="W2779" s="200"/>
      <c r="X2779" s="200"/>
      <c r="Y2779" s="200"/>
      <c r="Z2779" s="200"/>
      <c r="AA2779" s="201"/>
      <c r="AB2779" s="200"/>
      <c r="AC2779" s="200"/>
    </row>
    <row r="2780" ht="15.75" customHeight="1">
      <c r="A2780" s="210">
        <f t="shared" si="1"/>
        <v>2778</v>
      </c>
      <c r="B2780" s="217"/>
      <c r="C2780" s="217" t="str">
        <f>IFERROR(VLOOKUP(B2780, SourceData!$U$3:$V$190, 2, FALSE), "")</f>
        <v/>
      </c>
      <c r="D2780" s="240"/>
      <c r="E2780" s="241"/>
      <c r="F2780" s="248"/>
      <c r="G2780" s="207"/>
      <c r="H2780" s="209"/>
      <c r="I2780" s="209"/>
      <c r="J2780" s="209"/>
      <c r="K2780" s="208" t="str">
        <f>IF(Errors!$I2780=0,SourceData!$B$42,VLOOKUP(Errors!$I2780,SourceData!$A$2:$B$40,2,FALSE))</f>
        <v>Please select ERROR CODE column "I"</v>
      </c>
      <c r="L2780" s="207" t="str">
        <f>IF(Errors!$I2780=0,
    'List of Error Codes'!$E$29,
    IFERROR(VLOOKUP(Errors!$I2780, 'List of Error Codes'!D2779:I2809, 6, FALSE), 'List of Error Codes'!$E$29)
)</f>
        <v>Please select ERROR CODE column "I"</v>
      </c>
      <c r="M2780" s="209"/>
      <c r="N2780" s="209"/>
      <c r="O2780" s="209"/>
      <c r="P2780" s="209"/>
      <c r="Q2780" s="209"/>
      <c r="R2780" s="217"/>
      <c r="S2780" s="217"/>
      <c r="T2780" s="217"/>
      <c r="U2780" s="199"/>
      <c r="V2780" s="200"/>
      <c r="W2780" s="200"/>
      <c r="X2780" s="200"/>
      <c r="Y2780" s="200"/>
      <c r="Z2780" s="200"/>
      <c r="AA2780" s="201"/>
      <c r="AB2780" s="200"/>
      <c r="AC2780" s="200"/>
    </row>
    <row r="2781" ht="15.75" customHeight="1">
      <c r="A2781" s="210">
        <f t="shared" si="1"/>
        <v>2779</v>
      </c>
      <c r="B2781" s="217"/>
      <c r="C2781" s="217" t="str">
        <f>IFERROR(VLOOKUP(B2781, SourceData!$U$3:$V$190, 2, FALSE), "")</f>
        <v/>
      </c>
      <c r="D2781" s="240"/>
      <c r="E2781" s="241"/>
      <c r="F2781" s="248"/>
      <c r="G2781" s="207"/>
      <c r="H2781" s="209"/>
      <c r="I2781" s="209"/>
      <c r="J2781" s="209"/>
      <c r="K2781" s="208" t="str">
        <f>IF(Errors!$I2781=0,SourceData!$B$42,VLOOKUP(Errors!$I2781,SourceData!$A$2:$B$40,2,FALSE))</f>
        <v>Please select ERROR CODE column "I"</v>
      </c>
      <c r="L2781" s="207" t="str">
        <f>IF(Errors!$I2781=0,
    'List of Error Codes'!$E$29,
    IFERROR(VLOOKUP(Errors!$I2781, 'List of Error Codes'!D2780:I2810, 6, FALSE), 'List of Error Codes'!$E$29)
)</f>
        <v>Please select ERROR CODE column "I"</v>
      </c>
      <c r="M2781" s="209"/>
      <c r="N2781" s="209"/>
      <c r="O2781" s="209"/>
      <c r="P2781" s="209"/>
      <c r="Q2781" s="209"/>
      <c r="R2781" s="217"/>
      <c r="S2781" s="217"/>
      <c r="T2781" s="217"/>
      <c r="U2781" s="199"/>
      <c r="V2781" s="200"/>
      <c r="W2781" s="200"/>
      <c r="X2781" s="200"/>
      <c r="Y2781" s="200"/>
      <c r="Z2781" s="200"/>
      <c r="AA2781" s="201"/>
      <c r="AB2781" s="200"/>
      <c r="AC2781" s="200"/>
    </row>
    <row r="2782" ht="15.75" customHeight="1">
      <c r="A2782" s="210">
        <f t="shared" si="1"/>
        <v>2780</v>
      </c>
      <c r="B2782" s="217"/>
      <c r="C2782" s="217" t="str">
        <f>IFERROR(VLOOKUP(B2782, SourceData!$U$3:$V$190, 2, FALSE), "")</f>
        <v/>
      </c>
      <c r="D2782" s="240"/>
      <c r="E2782" s="241"/>
      <c r="F2782" s="248"/>
      <c r="G2782" s="207"/>
      <c r="H2782" s="209"/>
      <c r="I2782" s="209"/>
      <c r="J2782" s="209"/>
      <c r="K2782" s="208" t="str">
        <f>IF(Errors!$I2782=0,SourceData!$B$42,VLOOKUP(Errors!$I2782,SourceData!$A$2:$B$40,2,FALSE))</f>
        <v>Please select ERROR CODE column "I"</v>
      </c>
      <c r="L2782" s="207" t="str">
        <f>IF(Errors!$I2782=0,
    'List of Error Codes'!$E$29,
    IFERROR(VLOOKUP(Errors!$I2782, 'List of Error Codes'!D2781:I2811, 6, FALSE), 'List of Error Codes'!$E$29)
)</f>
        <v>Please select ERROR CODE column "I"</v>
      </c>
      <c r="M2782" s="209"/>
      <c r="N2782" s="209"/>
      <c r="O2782" s="209"/>
      <c r="P2782" s="209"/>
      <c r="Q2782" s="209"/>
      <c r="R2782" s="217"/>
      <c r="S2782" s="217"/>
      <c r="T2782" s="217"/>
      <c r="U2782" s="199"/>
      <c r="V2782" s="200"/>
      <c r="W2782" s="200"/>
      <c r="X2782" s="200"/>
      <c r="Y2782" s="200"/>
      <c r="Z2782" s="200"/>
      <c r="AA2782" s="201"/>
      <c r="AB2782" s="200"/>
      <c r="AC2782" s="200"/>
    </row>
    <row r="2783" ht="15.75" customHeight="1">
      <c r="A2783" s="210">
        <f t="shared" si="1"/>
        <v>2781</v>
      </c>
      <c r="B2783" s="217"/>
      <c r="C2783" s="217" t="str">
        <f>IFERROR(VLOOKUP(B2783, SourceData!$U$3:$V$190, 2, FALSE), "")</f>
        <v/>
      </c>
      <c r="D2783" s="240"/>
      <c r="E2783" s="241"/>
      <c r="F2783" s="248"/>
      <c r="G2783" s="207"/>
      <c r="H2783" s="209"/>
      <c r="I2783" s="209"/>
      <c r="J2783" s="209"/>
      <c r="K2783" s="208" t="str">
        <f>IF(Errors!$I2783=0,SourceData!$B$42,VLOOKUP(Errors!$I2783,SourceData!$A$2:$B$40,2,FALSE))</f>
        <v>Please select ERROR CODE column "I"</v>
      </c>
      <c r="L2783" s="207" t="str">
        <f>IF(Errors!$I2783=0,
    'List of Error Codes'!$E$29,
    IFERROR(VLOOKUP(Errors!$I2783, 'List of Error Codes'!D2782:I2812, 6, FALSE), 'List of Error Codes'!$E$29)
)</f>
        <v>Please select ERROR CODE column "I"</v>
      </c>
      <c r="M2783" s="209"/>
      <c r="N2783" s="209"/>
      <c r="O2783" s="209"/>
      <c r="P2783" s="209"/>
      <c r="Q2783" s="209"/>
      <c r="R2783" s="217"/>
      <c r="S2783" s="217"/>
      <c r="T2783" s="217"/>
      <c r="U2783" s="199"/>
      <c r="V2783" s="200"/>
      <c r="W2783" s="200"/>
      <c r="X2783" s="200"/>
      <c r="Y2783" s="200"/>
      <c r="Z2783" s="200"/>
      <c r="AA2783" s="201"/>
      <c r="AB2783" s="200"/>
      <c r="AC2783" s="200"/>
    </row>
    <row r="2784" ht="15.75" customHeight="1">
      <c r="A2784" s="210">
        <f t="shared" si="1"/>
        <v>2782</v>
      </c>
      <c r="B2784" s="217"/>
      <c r="C2784" s="217" t="str">
        <f>IFERROR(VLOOKUP(B2784, SourceData!$U$3:$V$190, 2, FALSE), "")</f>
        <v/>
      </c>
      <c r="D2784" s="240"/>
      <c r="E2784" s="241"/>
      <c r="F2784" s="248"/>
      <c r="G2784" s="207"/>
      <c r="H2784" s="209"/>
      <c r="I2784" s="209"/>
      <c r="J2784" s="209"/>
      <c r="K2784" s="208" t="str">
        <f>IF(Errors!$I2784=0,SourceData!$B$42,VLOOKUP(Errors!$I2784,SourceData!$A$2:$B$40,2,FALSE))</f>
        <v>Please select ERROR CODE column "I"</v>
      </c>
      <c r="L2784" s="207" t="str">
        <f>IF(Errors!$I2784=0,
    'List of Error Codes'!$E$29,
    IFERROR(VLOOKUP(Errors!$I2784, 'List of Error Codes'!D2783:I2813, 6, FALSE), 'List of Error Codes'!$E$29)
)</f>
        <v>Please select ERROR CODE column "I"</v>
      </c>
      <c r="M2784" s="209"/>
      <c r="N2784" s="209"/>
      <c r="O2784" s="209"/>
      <c r="P2784" s="209"/>
      <c r="Q2784" s="209"/>
      <c r="R2784" s="217"/>
      <c r="S2784" s="217"/>
      <c r="T2784" s="217"/>
      <c r="U2784" s="199"/>
      <c r="V2784" s="200"/>
      <c r="W2784" s="200"/>
      <c r="X2784" s="200"/>
      <c r="Y2784" s="200"/>
      <c r="Z2784" s="200"/>
      <c r="AA2784" s="201"/>
      <c r="AB2784" s="200"/>
      <c r="AC2784" s="200"/>
    </row>
    <row r="2785" ht="15.75" customHeight="1">
      <c r="A2785" s="210">
        <f t="shared" si="1"/>
        <v>2783</v>
      </c>
      <c r="B2785" s="217"/>
      <c r="C2785" s="217" t="str">
        <f>IFERROR(VLOOKUP(B2785, SourceData!$U$3:$V$190, 2, FALSE), "")</f>
        <v/>
      </c>
      <c r="D2785" s="240"/>
      <c r="E2785" s="241"/>
      <c r="F2785" s="248"/>
      <c r="G2785" s="207"/>
      <c r="H2785" s="209"/>
      <c r="I2785" s="209"/>
      <c r="J2785" s="209"/>
      <c r="K2785" s="208" t="str">
        <f>IF(Errors!$I2785=0,SourceData!$B$42,VLOOKUP(Errors!$I2785,SourceData!$A$2:$B$40,2,FALSE))</f>
        <v>Please select ERROR CODE column "I"</v>
      </c>
      <c r="L2785" s="207" t="str">
        <f>IF(Errors!$I2785=0,
    'List of Error Codes'!$E$29,
    IFERROR(VLOOKUP(Errors!$I2785, 'List of Error Codes'!D2784:I2814, 6, FALSE), 'List of Error Codes'!$E$29)
)</f>
        <v>Please select ERROR CODE column "I"</v>
      </c>
      <c r="M2785" s="209"/>
      <c r="N2785" s="209"/>
      <c r="O2785" s="209"/>
      <c r="P2785" s="209"/>
      <c r="Q2785" s="209"/>
      <c r="R2785" s="217"/>
      <c r="S2785" s="217"/>
      <c r="T2785" s="217"/>
      <c r="U2785" s="199"/>
      <c r="V2785" s="200"/>
      <c r="W2785" s="200"/>
      <c r="X2785" s="200"/>
      <c r="Y2785" s="200"/>
      <c r="Z2785" s="200"/>
      <c r="AA2785" s="201"/>
      <c r="AB2785" s="200"/>
      <c r="AC2785" s="200"/>
    </row>
    <row r="2786" ht="15.75" customHeight="1">
      <c r="A2786" s="210">
        <f t="shared" si="1"/>
        <v>2784</v>
      </c>
      <c r="B2786" s="217"/>
      <c r="C2786" s="217" t="str">
        <f>IFERROR(VLOOKUP(B2786, SourceData!$U$3:$V$190, 2, FALSE), "")</f>
        <v/>
      </c>
      <c r="D2786" s="240"/>
      <c r="E2786" s="241"/>
      <c r="F2786" s="248"/>
      <c r="G2786" s="207"/>
      <c r="H2786" s="209"/>
      <c r="I2786" s="209"/>
      <c r="J2786" s="209"/>
      <c r="K2786" s="208" t="str">
        <f>IF(Errors!$I2786=0,SourceData!$B$42,VLOOKUP(Errors!$I2786,SourceData!$A$2:$B$40,2,FALSE))</f>
        <v>Please select ERROR CODE column "I"</v>
      </c>
      <c r="L2786" s="207" t="str">
        <f>IF(Errors!$I2786=0,
    'List of Error Codes'!$E$29,
    IFERROR(VLOOKUP(Errors!$I2786, 'List of Error Codes'!D2785:I2815, 6, FALSE), 'List of Error Codes'!$E$29)
)</f>
        <v>Please select ERROR CODE column "I"</v>
      </c>
      <c r="M2786" s="209"/>
      <c r="N2786" s="209"/>
      <c r="O2786" s="209"/>
      <c r="P2786" s="209"/>
      <c r="Q2786" s="209"/>
      <c r="R2786" s="217"/>
      <c r="S2786" s="217"/>
      <c r="T2786" s="217"/>
      <c r="U2786" s="199"/>
      <c r="V2786" s="200"/>
      <c r="W2786" s="200"/>
      <c r="X2786" s="200"/>
      <c r="Y2786" s="200"/>
      <c r="Z2786" s="200"/>
      <c r="AA2786" s="201"/>
      <c r="AB2786" s="200"/>
      <c r="AC2786" s="200"/>
    </row>
    <row r="2787" ht="15.75" customHeight="1">
      <c r="A2787" s="210">
        <f t="shared" si="1"/>
        <v>2785</v>
      </c>
      <c r="B2787" s="217"/>
      <c r="C2787" s="217" t="str">
        <f>IFERROR(VLOOKUP(B2787, SourceData!$U$3:$V$190, 2, FALSE), "")</f>
        <v/>
      </c>
      <c r="D2787" s="240"/>
      <c r="E2787" s="241"/>
      <c r="F2787" s="248"/>
      <c r="G2787" s="207"/>
      <c r="H2787" s="209"/>
      <c r="I2787" s="209"/>
      <c r="J2787" s="209"/>
      <c r="K2787" s="208" t="str">
        <f>IF(Errors!$I2787=0,SourceData!$B$42,VLOOKUP(Errors!$I2787,SourceData!$A$2:$B$40,2,FALSE))</f>
        <v>Please select ERROR CODE column "I"</v>
      </c>
      <c r="L2787" s="207" t="str">
        <f>IF(Errors!$I2787=0,
    'List of Error Codes'!$E$29,
    IFERROR(VLOOKUP(Errors!$I2787, 'List of Error Codes'!D2786:I2816, 6, FALSE), 'List of Error Codes'!$E$29)
)</f>
        <v>Please select ERROR CODE column "I"</v>
      </c>
      <c r="M2787" s="209"/>
      <c r="N2787" s="209"/>
      <c r="O2787" s="209"/>
      <c r="P2787" s="209"/>
      <c r="Q2787" s="209"/>
      <c r="R2787" s="217"/>
      <c r="S2787" s="217"/>
      <c r="T2787" s="217"/>
      <c r="U2787" s="199"/>
      <c r="V2787" s="200"/>
      <c r="W2787" s="200"/>
      <c r="X2787" s="200"/>
      <c r="Y2787" s="200"/>
      <c r="Z2787" s="200"/>
      <c r="AA2787" s="201"/>
      <c r="AB2787" s="200"/>
      <c r="AC2787" s="200"/>
    </row>
    <row r="2788" ht="15.75" customHeight="1">
      <c r="A2788" s="210">
        <f t="shared" si="1"/>
        <v>2786</v>
      </c>
      <c r="B2788" s="217"/>
      <c r="C2788" s="217" t="str">
        <f>IFERROR(VLOOKUP(B2788, SourceData!$U$3:$V$190, 2, FALSE), "")</f>
        <v/>
      </c>
      <c r="D2788" s="240"/>
      <c r="E2788" s="241"/>
      <c r="F2788" s="248"/>
      <c r="G2788" s="207"/>
      <c r="H2788" s="209"/>
      <c r="I2788" s="209"/>
      <c r="J2788" s="209"/>
      <c r="K2788" s="208" t="str">
        <f>IF(Errors!$I2788=0,SourceData!$B$42,VLOOKUP(Errors!$I2788,SourceData!$A$2:$B$40,2,FALSE))</f>
        <v>Please select ERROR CODE column "I"</v>
      </c>
      <c r="L2788" s="207" t="str">
        <f>IF(Errors!$I2788=0,
    'List of Error Codes'!$E$29,
    IFERROR(VLOOKUP(Errors!$I2788, 'List of Error Codes'!D2787:I2817, 6, FALSE), 'List of Error Codes'!$E$29)
)</f>
        <v>Please select ERROR CODE column "I"</v>
      </c>
      <c r="M2788" s="209"/>
      <c r="N2788" s="209"/>
      <c r="O2788" s="209"/>
      <c r="P2788" s="209"/>
      <c r="Q2788" s="209"/>
      <c r="R2788" s="217"/>
      <c r="S2788" s="217"/>
      <c r="T2788" s="217"/>
      <c r="U2788" s="199"/>
      <c r="V2788" s="200"/>
      <c r="W2788" s="200"/>
      <c r="X2788" s="200"/>
      <c r="Y2788" s="200"/>
      <c r="Z2788" s="200"/>
      <c r="AA2788" s="201"/>
      <c r="AB2788" s="200"/>
      <c r="AC2788" s="200"/>
    </row>
    <row r="2789" ht="15.75" customHeight="1">
      <c r="A2789" s="210">
        <f t="shared" si="1"/>
        <v>2787</v>
      </c>
      <c r="B2789" s="217"/>
      <c r="C2789" s="217" t="str">
        <f>IFERROR(VLOOKUP(B2789, SourceData!$U$3:$V$190, 2, FALSE), "")</f>
        <v/>
      </c>
      <c r="D2789" s="240"/>
      <c r="E2789" s="241"/>
      <c r="F2789" s="248"/>
      <c r="G2789" s="207"/>
      <c r="H2789" s="209"/>
      <c r="I2789" s="209"/>
      <c r="J2789" s="209"/>
      <c r="K2789" s="208" t="str">
        <f>IF(Errors!$I2789=0,SourceData!$B$42,VLOOKUP(Errors!$I2789,SourceData!$A$2:$B$40,2,FALSE))</f>
        <v>Please select ERROR CODE column "I"</v>
      </c>
      <c r="L2789" s="207" t="str">
        <f>IF(Errors!$I2789=0,
    'List of Error Codes'!$E$29,
    IFERROR(VLOOKUP(Errors!$I2789, 'List of Error Codes'!D2788:I2818, 6, FALSE), 'List of Error Codes'!$E$29)
)</f>
        <v>Please select ERROR CODE column "I"</v>
      </c>
      <c r="M2789" s="209"/>
      <c r="N2789" s="209"/>
      <c r="O2789" s="209"/>
      <c r="P2789" s="209"/>
      <c r="Q2789" s="209"/>
      <c r="R2789" s="217"/>
      <c r="S2789" s="217"/>
      <c r="T2789" s="217"/>
      <c r="U2789" s="199"/>
      <c r="V2789" s="200"/>
      <c r="W2789" s="200"/>
      <c r="X2789" s="200"/>
      <c r="Y2789" s="200"/>
      <c r="Z2789" s="200"/>
      <c r="AA2789" s="201"/>
      <c r="AB2789" s="200"/>
      <c r="AC2789" s="200"/>
    </row>
    <row r="2790" ht="15.75" customHeight="1">
      <c r="A2790" s="210">
        <f t="shared" si="1"/>
        <v>2788</v>
      </c>
      <c r="B2790" s="217"/>
      <c r="C2790" s="217" t="str">
        <f>IFERROR(VLOOKUP(B2790, SourceData!$U$3:$V$190, 2, FALSE), "")</f>
        <v/>
      </c>
      <c r="D2790" s="240"/>
      <c r="E2790" s="241"/>
      <c r="F2790" s="248"/>
      <c r="G2790" s="207"/>
      <c r="H2790" s="209"/>
      <c r="I2790" s="209"/>
      <c r="J2790" s="209"/>
      <c r="K2790" s="208" t="str">
        <f>IF(Errors!$I2790=0,SourceData!$B$42,VLOOKUP(Errors!$I2790,SourceData!$A$2:$B$40,2,FALSE))</f>
        <v>Please select ERROR CODE column "I"</v>
      </c>
      <c r="L2790" s="207" t="str">
        <f>IF(Errors!$I2790=0,
    'List of Error Codes'!$E$29,
    IFERROR(VLOOKUP(Errors!$I2790, 'List of Error Codes'!D2789:I2819, 6, FALSE), 'List of Error Codes'!$E$29)
)</f>
        <v>Please select ERROR CODE column "I"</v>
      </c>
      <c r="M2790" s="209"/>
      <c r="N2790" s="209"/>
      <c r="O2790" s="209"/>
      <c r="P2790" s="209"/>
      <c r="Q2790" s="209"/>
      <c r="R2790" s="217"/>
      <c r="S2790" s="217"/>
      <c r="T2790" s="217"/>
      <c r="U2790" s="199"/>
      <c r="V2790" s="200"/>
      <c r="W2790" s="200"/>
      <c r="X2790" s="200"/>
      <c r="Y2790" s="200"/>
      <c r="Z2790" s="200"/>
      <c r="AA2790" s="201"/>
      <c r="AB2790" s="200"/>
      <c r="AC2790" s="200"/>
    </row>
    <row r="2791" ht="15.75" customHeight="1">
      <c r="A2791" s="210">
        <f t="shared" si="1"/>
        <v>2789</v>
      </c>
      <c r="B2791" s="217"/>
      <c r="C2791" s="217" t="str">
        <f>IFERROR(VLOOKUP(B2791, SourceData!$U$3:$V$190, 2, FALSE), "")</f>
        <v/>
      </c>
      <c r="D2791" s="240"/>
      <c r="E2791" s="241"/>
      <c r="F2791" s="248"/>
      <c r="G2791" s="207"/>
      <c r="H2791" s="209"/>
      <c r="I2791" s="209"/>
      <c r="J2791" s="209"/>
      <c r="K2791" s="208" t="str">
        <f>IF(Errors!$I2791=0,SourceData!$B$42,VLOOKUP(Errors!$I2791,SourceData!$A$2:$B$40,2,FALSE))</f>
        <v>Please select ERROR CODE column "I"</v>
      </c>
      <c r="L2791" s="207" t="str">
        <f>IF(Errors!$I2791=0,
    'List of Error Codes'!$E$29,
    IFERROR(VLOOKUP(Errors!$I2791, 'List of Error Codes'!D2790:I2820, 6, FALSE), 'List of Error Codes'!$E$29)
)</f>
        <v>Please select ERROR CODE column "I"</v>
      </c>
      <c r="M2791" s="209"/>
      <c r="N2791" s="209"/>
      <c r="O2791" s="209"/>
      <c r="P2791" s="209"/>
      <c r="Q2791" s="209"/>
      <c r="R2791" s="217"/>
      <c r="S2791" s="217"/>
      <c r="T2791" s="217"/>
      <c r="U2791" s="199"/>
      <c r="V2791" s="200"/>
      <c r="W2791" s="200"/>
      <c r="X2791" s="200"/>
      <c r="Y2791" s="200"/>
      <c r="Z2791" s="200"/>
      <c r="AA2791" s="201"/>
      <c r="AB2791" s="200"/>
      <c r="AC2791" s="200"/>
    </row>
    <row r="2792" ht="15.75" customHeight="1">
      <c r="A2792" s="210">
        <f t="shared" si="1"/>
        <v>2790</v>
      </c>
      <c r="B2792" s="217"/>
      <c r="C2792" s="217" t="str">
        <f>IFERROR(VLOOKUP(B2792, SourceData!$U$3:$V$190, 2, FALSE), "")</f>
        <v/>
      </c>
      <c r="D2792" s="240"/>
      <c r="E2792" s="241"/>
      <c r="F2792" s="248"/>
      <c r="G2792" s="207"/>
      <c r="H2792" s="209"/>
      <c r="I2792" s="209"/>
      <c r="J2792" s="209"/>
      <c r="K2792" s="208" t="str">
        <f>IF(Errors!$I2792=0,SourceData!$B$42,VLOOKUP(Errors!$I2792,SourceData!$A$2:$B$40,2,FALSE))</f>
        <v>Please select ERROR CODE column "I"</v>
      </c>
      <c r="L2792" s="207" t="str">
        <f>IF(Errors!$I2792=0,
    'List of Error Codes'!$E$29,
    IFERROR(VLOOKUP(Errors!$I2792, 'List of Error Codes'!D2791:I2821, 6, FALSE), 'List of Error Codes'!$E$29)
)</f>
        <v>Please select ERROR CODE column "I"</v>
      </c>
      <c r="M2792" s="209"/>
      <c r="N2792" s="209"/>
      <c r="O2792" s="209"/>
      <c r="P2792" s="209"/>
      <c r="Q2792" s="209"/>
      <c r="R2792" s="217"/>
      <c r="S2792" s="217"/>
      <c r="T2792" s="217"/>
      <c r="U2792" s="199"/>
      <c r="V2792" s="200"/>
      <c r="W2792" s="200"/>
      <c r="X2792" s="200"/>
      <c r="Y2792" s="200"/>
      <c r="Z2792" s="200"/>
      <c r="AA2792" s="201"/>
      <c r="AB2792" s="200"/>
      <c r="AC2792" s="200"/>
    </row>
    <row r="2793" ht="15.75" customHeight="1">
      <c r="A2793" s="210">
        <f t="shared" si="1"/>
        <v>2791</v>
      </c>
      <c r="B2793" s="217"/>
      <c r="C2793" s="217" t="str">
        <f>IFERROR(VLOOKUP(B2793, SourceData!$U$3:$V$190, 2, FALSE), "")</f>
        <v/>
      </c>
      <c r="D2793" s="240"/>
      <c r="E2793" s="241"/>
      <c r="F2793" s="248"/>
      <c r="G2793" s="207"/>
      <c r="H2793" s="209"/>
      <c r="I2793" s="209"/>
      <c r="J2793" s="209"/>
      <c r="K2793" s="208" t="str">
        <f>IF(Errors!$I2793=0,SourceData!$B$42,VLOOKUP(Errors!$I2793,SourceData!$A$2:$B$40,2,FALSE))</f>
        <v>Please select ERROR CODE column "I"</v>
      </c>
      <c r="L2793" s="207" t="str">
        <f>IF(Errors!$I2793=0,
    'List of Error Codes'!$E$29,
    IFERROR(VLOOKUP(Errors!$I2793, 'List of Error Codes'!D2792:I2822, 6, FALSE), 'List of Error Codes'!$E$29)
)</f>
        <v>Please select ERROR CODE column "I"</v>
      </c>
      <c r="M2793" s="209"/>
      <c r="N2793" s="209"/>
      <c r="O2793" s="209"/>
      <c r="P2793" s="209"/>
      <c r="Q2793" s="209"/>
      <c r="R2793" s="217"/>
      <c r="S2793" s="217"/>
      <c r="T2793" s="217"/>
      <c r="U2793" s="199"/>
      <c r="V2793" s="200"/>
      <c r="W2793" s="200"/>
      <c r="X2793" s="200"/>
      <c r="Y2793" s="200"/>
      <c r="Z2793" s="200"/>
      <c r="AA2793" s="201"/>
      <c r="AB2793" s="200"/>
      <c r="AC2793" s="200"/>
    </row>
    <row r="2794" ht="15.75" customHeight="1">
      <c r="A2794" s="210">
        <f t="shared" si="1"/>
        <v>2792</v>
      </c>
      <c r="B2794" s="217"/>
      <c r="C2794" s="217" t="str">
        <f>IFERROR(VLOOKUP(B2794, SourceData!$U$3:$V$190, 2, FALSE), "")</f>
        <v/>
      </c>
      <c r="D2794" s="240"/>
      <c r="E2794" s="241"/>
      <c r="F2794" s="248"/>
      <c r="G2794" s="207"/>
      <c r="H2794" s="209"/>
      <c r="I2794" s="209"/>
      <c r="J2794" s="209"/>
      <c r="K2794" s="208" t="str">
        <f>IF(Errors!$I2794=0,SourceData!$B$42,VLOOKUP(Errors!$I2794,SourceData!$A$2:$B$40,2,FALSE))</f>
        <v>Please select ERROR CODE column "I"</v>
      </c>
      <c r="L2794" s="207" t="str">
        <f>IF(Errors!$I2794=0,
    'List of Error Codes'!$E$29,
    IFERROR(VLOOKUP(Errors!$I2794, 'List of Error Codes'!D2793:I2823, 6, FALSE), 'List of Error Codes'!$E$29)
)</f>
        <v>Please select ERROR CODE column "I"</v>
      </c>
      <c r="M2794" s="209"/>
      <c r="N2794" s="209"/>
      <c r="O2794" s="209"/>
      <c r="P2794" s="209"/>
      <c r="Q2794" s="209"/>
      <c r="R2794" s="217"/>
      <c r="S2794" s="217"/>
      <c r="T2794" s="217"/>
      <c r="U2794" s="199"/>
      <c r="V2794" s="200"/>
      <c r="W2794" s="200"/>
      <c r="X2794" s="200"/>
      <c r="Y2794" s="200"/>
      <c r="Z2794" s="200"/>
      <c r="AA2794" s="201"/>
      <c r="AB2794" s="200"/>
      <c r="AC2794" s="200"/>
    </row>
    <row r="2795" ht="15.75" customHeight="1">
      <c r="A2795" s="210">
        <f t="shared" si="1"/>
        <v>2793</v>
      </c>
      <c r="B2795" s="217"/>
      <c r="C2795" s="217" t="str">
        <f>IFERROR(VLOOKUP(B2795, SourceData!$U$3:$V$190, 2, FALSE), "")</f>
        <v/>
      </c>
      <c r="D2795" s="240"/>
      <c r="E2795" s="241"/>
      <c r="F2795" s="248"/>
      <c r="G2795" s="207"/>
      <c r="H2795" s="209"/>
      <c r="I2795" s="209"/>
      <c r="J2795" s="209"/>
      <c r="K2795" s="208" t="str">
        <f>IF(Errors!$I2795=0,SourceData!$B$42,VLOOKUP(Errors!$I2795,SourceData!$A$2:$B$40,2,FALSE))</f>
        <v>Please select ERROR CODE column "I"</v>
      </c>
      <c r="L2795" s="207" t="str">
        <f>IF(Errors!$I2795=0,
    'List of Error Codes'!$E$29,
    IFERROR(VLOOKUP(Errors!$I2795, 'List of Error Codes'!D2794:I2824, 6, FALSE), 'List of Error Codes'!$E$29)
)</f>
        <v>Please select ERROR CODE column "I"</v>
      </c>
      <c r="M2795" s="209"/>
      <c r="N2795" s="209"/>
      <c r="O2795" s="209"/>
      <c r="P2795" s="209"/>
      <c r="Q2795" s="209"/>
      <c r="R2795" s="217"/>
      <c r="S2795" s="217"/>
      <c r="T2795" s="217"/>
      <c r="U2795" s="199"/>
      <c r="V2795" s="200"/>
      <c r="W2795" s="200"/>
      <c r="X2795" s="200"/>
      <c r="Y2795" s="200"/>
      <c r="Z2795" s="200"/>
      <c r="AA2795" s="201"/>
      <c r="AB2795" s="200"/>
      <c r="AC2795" s="200"/>
    </row>
    <row r="2796" ht="15.75" customHeight="1">
      <c r="A2796" s="210">
        <f t="shared" si="1"/>
        <v>2794</v>
      </c>
      <c r="B2796" s="217"/>
      <c r="C2796" s="217" t="str">
        <f>IFERROR(VLOOKUP(B2796, SourceData!$U$3:$V$190, 2, FALSE), "")</f>
        <v/>
      </c>
      <c r="D2796" s="240"/>
      <c r="E2796" s="241"/>
      <c r="F2796" s="248"/>
      <c r="G2796" s="207"/>
      <c r="H2796" s="209"/>
      <c r="I2796" s="209"/>
      <c r="J2796" s="209"/>
      <c r="K2796" s="208" t="str">
        <f>IF(Errors!$I2796=0,SourceData!$B$42,VLOOKUP(Errors!$I2796,SourceData!$A$2:$B$40,2,FALSE))</f>
        <v>Please select ERROR CODE column "I"</v>
      </c>
      <c r="L2796" s="207" t="str">
        <f>IF(Errors!$I2796=0,
    'List of Error Codes'!$E$29,
    IFERROR(VLOOKUP(Errors!$I2796, 'List of Error Codes'!D2795:I2825, 6, FALSE), 'List of Error Codes'!$E$29)
)</f>
        <v>Please select ERROR CODE column "I"</v>
      </c>
      <c r="M2796" s="209"/>
      <c r="N2796" s="209"/>
      <c r="O2796" s="209"/>
      <c r="P2796" s="209"/>
      <c r="Q2796" s="209"/>
      <c r="R2796" s="217"/>
      <c r="S2796" s="217"/>
      <c r="T2796" s="217"/>
      <c r="U2796" s="199"/>
      <c r="V2796" s="200"/>
      <c r="W2796" s="200"/>
      <c r="X2796" s="200"/>
      <c r="Y2796" s="200"/>
      <c r="Z2796" s="200"/>
      <c r="AA2796" s="201"/>
      <c r="AB2796" s="200"/>
      <c r="AC2796" s="200"/>
    </row>
    <row r="2797" ht="15.75" customHeight="1">
      <c r="A2797" s="210">
        <f t="shared" si="1"/>
        <v>2795</v>
      </c>
      <c r="B2797" s="217"/>
      <c r="C2797" s="217" t="str">
        <f>IFERROR(VLOOKUP(B2797, SourceData!$U$3:$V$190, 2, FALSE), "")</f>
        <v/>
      </c>
      <c r="D2797" s="240"/>
      <c r="E2797" s="241"/>
      <c r="F2797" s="248"/>
      <c r="G2797" s="207"/>
      <c r="H2797" s="209"/>
      <c r="I2797" s="209"/>
      <c r="J2797" s="209"/>
      <c r="K2797" s="208" t="str">
        <f>IF(Errors!$I2797=0,SourceData!$B$42,VLOOKUP(Errors!$I2797,SourceData!$A$2:$B$40,2,FALSE))</f>
        <v>Please select ERROR CODE column "I"</v>
      </c>
      <c r="L2797" s="207" t="str">
        <f>IF(Errors!$I2797=0,
    'List of Error Codes'!$E$29,
    IFERROR(VLOOKUP(Errors!$I2797, 'List of Error Codes'!D2796:I2826, 6, FALSE), 'List of Error Codes'!$E$29)
)</f>
        <v>Please select ERROR CODE column "I"</v>
      </c>
      <c r="M2797" s="209"/>
      <c r="N2797" s="209"/>
      <c r="O2797" s="209"/>
      <c r="P2797" s="209"/>
      <c r="Q2797" s="209"/>
      <c r="R2797" s="217"/>
      <c r="S2797" s="217"/>
      <c r="T2797" s="217"/>
      <c r="U2797" s="199"/>
      <c r="V2797" s="200"/>
      <c r="W2797" s="200"/>
      <c r="X2797" s="200"/>
      <c r="Y2797" s="200"/>
      <c r="Z2797" s="200"/>
      <c r="AA2797" s="201"/>
      <c r="AB2797" s="200"/>
      <c r="AC2797" s="200"/>
    </row>
    <row r="2798" ht="15.75" customHeight="1">
      <c r="A2798" s="210">
        <f t="shared" si="1"/>
        <v>2796</v>
      </c>
      <c r="B2798" s="217"/>
      <c r="C2798" s="217" t="str">
        <f>IFERROR(VLOOKUP(B2798, SourceData!$U$3:$V$190, 2, FALSE), "")</f>
        <v/>
      </c>
      <c r="D2798" s="240"/>
      <c r="E2798" s="241"/>
      <c r="F2798" s="248"/>
      <c r="G2798" s="207"/>
      <c r="H2798" s="209"/>
      <c r="I2798" s="209"/>
      <c r="J2798" s="209"/>
      <c r="K2798" s="208" t="str">
        <f>IF(Errors!$I2798=0,SourceData!$B$42,VLOOKUP(Errors!$I2798,SourceData!$A$2:$B$40,2,FALSE))</f>
        <v>Please select ERROR CODE column "I"</v>
      </c>
      <c r="L2798" s="207" t="str">
        <f>IF(Errors!$I2798=0,
    'List of Error Codes'!$E$29,
    IFERROR(VLOOKUP(Errors!$I2798, 'List of Error Codes'!D2797:I2827, 6, FALSE), 'List of Error Codes'!$E$29)
)</f>
        <v>Please select ERROR CODE column "I"</v>
      </c>
      <c r="M2798" s="209"/>
      <c r="N2798" s="209"/>
      <c r="O2798" s="209"/>
      <c r="P2798" s="209"/>
      <c r="Q2798" s="209"/>
      <c r="R2798" s="217"/>
      <c r="S2798" s="217"/>
      <c r="T2798" s="217"/>
      <c r="U2798" s="199"/>
      <c r="V2798" s="200"/>
      <c r="W2798" s="200"/>
      <c r="X2798" s="200"/>
      <c r="Y2798" s="200"/>
      <c r="Z2798" s="200"/>
      <c r="AA2798" s="201"/>
      <c r="AB2798" s="200"/>
      <c r="AC2798" s="200"/>
    </row>
    <row r="2799" ht="15.75" customHeight="1">
      <c r="A2799" s="210">
        <f t="shared" si="1"/>
        <v>2797</v>
      </c>
      <c r="B2799" s="217"/>
      <c r="C2799" s="217" t="str">
        <f>IFERROR(VLOOKUP(B2799, SourceData!$U$3:$V$190, 2, FALSE), "")</f>
        <v/>
      </c>
      <c r="D2799" s="240"/>
      <c r="E2799" s="241"/>
      <c r="F2799" s="248"/>
      <c r="G2799" s="207"/>
      <c r="H2799" s="209"/>
      <c r="I2799" s="209"/>
      <c r="J2799" s="209"/>
      <c r="K2799" s="208" t="str">
        <f>IF(Errors!$I2799=0,SourceData!$B$42,VLOOKUP(Errors!$I2799,SourceData!$A$2:$B$40,2,FALSE))</f>
        <v>Please select ERROR CODE column "I"</v>
      </c>
      <c r="L2799" s="207" t="str">
        <f>IF(Errors!$I2799=0,
    'List of Error Codes'!$E$29,
    IFERROR(VLOOKUP(Errors!$I2799, 'List of Error Codes'!D2798:I2828, 6, FALSE), 'List of Error Codes'!$E$29)
)</f>
        <v>Please select ERROR CODE column "I"</v>
      </c>
      <c r="M2799" s="209"/>
      <c r="N2799" s="209"/>
      <c r="O2799" s="209"/>
      <c r="P2799" s="209"/>
      <c r="Q2799" s="209"/>
      <c r="R2799" s="217"/>
      <c r="S2799" s="217"/>
      <c r="T2799" s="217"/>
      <c r="U2799" s="199"/>
      <c r="V2799" s="200"/>
      <c r="W2799" s="200"/>
      <c r="X2799" s="200"/>
      <c r="Y2799" s="200"/>
      <c r="Z2799" s="200"/>
      <c r="AA2799" s="201"/>
      <c r="AB2799" s="200"/>
      <c r="AC2799" s="200"/>
    </row>
    <row r="2800" ht="15.75" customHeight="1">
      <c r="A2800" s="210">
        <f t="shared" si="1"/>
        <v>2798</v>
      </c>
      <c r="B2800" s="217"/>
      <c r="C2800" s="217" t="str">
        <f>IFERROR(VLOOKUP(B2800, SourceData!$U$3:$V$190, 2, FALSE), "")</f>
        <v/>
      </c>
      <c r="D2800" s="240"/>
      <c r="E2800" s="241"/>
      <c r="F2800" s="248"/>
      <c r="G2800" s="207"/>
      <c r="H2800" s="209"/>
      <c r="I2800" s="209"/>
      <c r="J2800" s="209"/>
      <c r="K2800" s="208" t="str">
        <f>IF(Errors!$I2800=0,SourceData!$B$42,VLOOKUP(Errors!$I2800,SourceData!$A$2:$B$40,2,FALSE))</f>
        <v>Please select ERROR CODE column "I"</v>
      </c>
      <c r="L2800" s="207" t="str">
        <f>IF(Errors!$I2800=0,
    'List of Error Codes'!$E$29,
    IFERROR(VLOOKUP(Errors!$I2800, 'List of Error Codes'!D2799:I2829, 6, FALSE), 'List of Error Codes'!$E$29)
)</f>
        <v>Please select ERROR CODE column "I"</v>
      </c>
      <c r="M2800" s="209"/>
      <c r="N2800" s="209"/>
      <c r="O2800" s="209"/>
      <c r="P2800" s="209"/>
      <c r="Q2800" s="209"/>
      <c r="R2800" s="217"/>
      <c r="S2800" s="217"/>
      <c r="T2800" s="217"/>
      <c r="U2800" s="199"/>
      <c r="V2800" s="200"/>
      <c r="W2800" s="200"/>
      <c r="X2800" s="200"/>
      <c r="Y2800" s="200"/>
      <c r="Z2800" s="200"/>
      <c r="AA2800" s="201"/>
      <c r="AB2800" s="200"/>
      <c r="AC2800" s="200"/>
    </row>
    <row r="2801" ht="15.75" customHeight="1">
      <c r="A2801" s="210">
        <f t="shared" si="1"/>
        <v>2799</v>
      </c>
      <c r="B2801" s="217"/>
      <c r="C2801" s="217" t="str">
        <f>IFERROR(VLOOKUP(B2801, SourceData!$U$3:$V$190, 2, FALSE), "")</f>
        <v/>
      </c>
      <c r="D2801" s="240"/>
      <c r="E2801" s="241"/>
      <c r="F2801" s="248"/>
      <c r="G2801" s="207"/>
      <c r="H2801" s="209"/>
      <c r="I2801" s="209"/>
      <c r="J2801" s="209"/>
      <c r="K2801" s="208" t="str">
        <f>IF(Errors!$I2801=0,SourceData!$B$42,VLOOKUP(Errors!$I2801,SourceData!$A$2:$B$40,2,FALSE))</f>
        <v>Please select ERROR CODE column "I"</v>
      </c>
      <c r="L2801" s="207" t="str">
        <f>IF(Errors!$I2801=0,
    'List of Error Codes'!$E$29,
    IFERROR(VLOOKUP(Errors!$I2801, 'List of Error Codes'!D2800:I2830, 6, FALSE), 'List of Error Codes'!$E$29)
)</f>
        <v>Please select ERROR CODE column "I"</v>
      </c>
      <c r="M2801" s="209"/>
      <c r="N2801" s="209"/>
      <c r="O2801" s="209"/>
      <c r="P2801" s="209"/>
      <c r="Q2801" s="209"/>
      <c r="R2801" s="217"/>
      <c r="S2801" s="217"/>
      <c r="T2801" s="217"/>
      <c r="U2801" s="199"/>
      <c r="V2801" s="200"/>
      <c r="W2801" s="200"/>
      <c r="X2801" s="200"/>
      <c r="Y2801" s="200"/>
      <c r="Z2801" s="200"/>
      <c r="AA2801" s="201"/>
      <c r="AB2801" s="200"/>
      <c r="AC2801" s="200"/>
    </row>
    <row r="2802" ht="15.75" customHeight="1">
      <c r="A2802" s="210">
        <f t="shared" si="1"/>
        <v>2800</v>
      </c>
      <c r="B2802" s="217"/>
      <c r="C2802" s="217" t="str">
        <f>IFERROR(VLOOKUP(B2802, SourceData!$U$3:$V$190, 2, FALSE), "")</f>
        <v/>
      </c>
      <c r="D2802" s="240"/>
      <c r="E2802" s="241"/>
      <c r="F2802" s="248"/>
      <c r="G2802" s="207"/>
      <c r="H2802" s="209"/>
      <c r="I2802" s="209"/>
      <c r="J2802" s="209"/>
      <c r="K2802" s="208" t="str">
        <f>IF(Errors!$I2802=0,SourceData!$B$42,VLOOKUP(Errors!$I2802,SourceData!$A$2:$B$40,2,FALSE))</f>
        <v>Please select ERROR CODE column "I"</v>
      </c>
      <c r="L2802" s="207" t="str">
        <f>IF(Errors!$I2802=0,
    'List of Error Codes'!$E$29,
    IFERROR(VLOOKUP(Errors!$I2802, 'List of Error Codes'!D2801:I2831, 6, FALSE), 'List of Error Codes'!$E$29)
)</f>
        <v>Please select ERROR CODE column "I"</v>
      </c>
      <c r="M2802" s="209"/>
      <c r="N2802" s="209"/>
      <c r="O2802" s="209"/>
      <c r="P2802" s="209"/>
      <c r="Q2802" s="209"/>
      <c r="R2802" s="217"/>
      <c r="S2802" s="217"/>
      <c r="T2802" s="217"/>
      <c r="U2802" s="199"/>
      <c r="V2802" s="200"/>
      <c r="W2802" s="200"/>
      <c r="X2802" s="200"/>
      <c r="Y2802" s="200"/>
      <c r="Z2802" s="200"/>
      <c r="AA2802" s="201"/>
      <c r="AB2802" s="200"/>
      <c r="AC2802" s="200"/>
    </row>
    <row r="2803" ht="15.75" customHeight="1">
      <c r="A2803" s="210">
        <f t="shared" si="1"/>
        <v>2801</v>
      </c>
      <c r="B2803" s="217"/>
      <c r="C2803" s="217" t="str">
        <f>IFERROR(VLOOKUP(B2803, SourceData!$U$3:$V$190, 2, FALSE), "")</f>
        <v/>
      </c>
      <c r="D2803" s="240"/>
      <c r="E2803" s="241"/>
      <c r="F2803" s="248"/>
      <c r="G2803" s="207"/>
      <c r="H2803" s="209"/>
      <c r="I2803" s="209"/>
      <c r="J2803" s="209"/>
      <c r="K2803" s="208" t="str">
        <f>IF(Errors!$I2803=0,SourceData!$B$42,VLOOKUP(Errors!$I2803,SourceData!$A$2:$B$40,2,FALSE))</f>
        <v>Please select ERROR CODE column "I"</v>
      </c>
      <c r="L2803" s="207" t="str">
        <f>IF(Errors!$I2803=0,
    'List of Error Codes'!$E$29,
    IFERROR(VLOOKUP(Errors!$I2803, 'List of Error Codes'!D2802:I2832, 6, FALSE), 'List of Error Codes'!$E$29)
)</f>
        <v>Please select ERROR CODE column "I"</v>
      </c>
      <c r="M2803" s="209"/>
      <c r="N2803" s="209"/>
      <c r="O2803" s="209"/>
      <c r="P2803" s="209"/>
      <c r="Q2803" s="209"/>
      <c r="R2803" s="217"/>
      <c r="S2803" s="217"/>
      <c r="T2803" s="217"/>
      <c r="U2803" s="199"/>
      <c r="V2803" s="200"/>
      <c r="W2803" s="200"/>
      <c r="X2803" s="200"/>
      <c r="Y2803" s="200"/>
      <c r="Z2803" s="200"/>
      <c r="AA2803" s="201"/>
      <c r="AB2803" s="200"/>
      <c r="AC2803" s="200"/>
    </row>
    <row r="2804" ht="15.75" customHeight="1">
      <c r="A2804" s="210">
        <f t="shared" si="1"/>
        <v>2802</v>
      </c>
      <c r="B2804" s="217"/>
      <c r="C2804" s="217" t="str">
        <f>IFERROR(VLOOKUP(B2804, SourceData!$U$3:$V$190, 2, FALSE), "")</f>
        <v/>
      </c>
      <c r="D2804" s="240"/>
      <c r="E2804" s="241"/>
      <c r="F2804" s="248"/>
      <c r="G2804" s="207"/>
      <c r="H2804" s="209"/>
      <c r="I2804" s="209"/>
      <c r="J2804" s="209"/>
      <c r="K2804" s="208" t="str">
        <f>IF(Errors!$I2804=0,SourceData!$B$42,VLOOKUP(Errors!$I2804,SourceData!$A$2:$B$40,2,FALSE))</f>
        <v>Please select ERROR CODE column "I"</v>
      </c>
      <c r="L2804" s="207" t="str">
        <f>IF(Errors!$I2804=0,
    'List of Error Codes'!$E$29,
    IFERROR(VLOOKUP(Errors!$I2804, 'List of Error Codes'!D2803:I2833, 6, FALSE), 'List of Error Codes'!$E$29)
)</f>
        <v>Please select ERROR CODE column "I"</v>
      </c>
      <c r="M2804" s="209"/>
      <c r="N2804" s="209"/>
      <c r="O2804" s="209"/>
      <c r="P2804" s="209"/>
      <c r="Q2804" s="209"/>
      <c r="R2804" s="217"/>
      <c r="S2804" s="217"/>
      <c r="T2804" s="217"/>
      <c r="U2804" s="199"/>
      <c r="V2804" s="200"/>
      <c r="W2804" s="200"/>
      <c r="X2804" s="200"/>
      <c r="Y2804" s="200"/>
      <c r="Z2804" s="200"/>
      <c r="AA2804" s="201"/>
      <c r="AB2804" s="200"/>
      <c r="AC2804" s="200"/>
    </row>
    <row r="2805" ht="15.75" customHeight="1">
      <c r="A2805" s="210">
        <f t="shared" si="1"/>
        <v>2803</v>
      </c>
      <c r="B2805" s="217"/>
      <c r="C2805" s="217" t="str">
        <f>IFERROR(VLOOKUP(B2805, SourceData!$U$3:$V$190, 2, FALSE), "")</f>
        <v/>
      </c>
      <c r="D2805" s="240"/>
      <c r="E2805" s="241"/>
      <c r="F2805" s="248"/>
      <c r="G2805" s="207"/>
      <c r="H2805" s="209"/>
      <c r="I2805" s="209"/>
      <c r="J2805" s="209"/>
      <c r="K2805" s="208" t="str">
        <f>IF(Errors!$I2805=0,SourceData!$B$42,VLOOKUP(Errors!$I2805,SourceData!$A$2:$B$40,2,FALSE))</f>
        <v>Please select ERROR CODE column "I"</v>
      </c>
      <c r="L2805" s="207" t="str">
        <f>IF(Errors!$I2805=0,
    'List of Error Codes'!$E$29,
    IFERROR(VLOOKUP(Errors!$I2805, 'List of Error Codes'!D2804:I2834, 6, FALSE), 'List of Error Codes'!$E$29)
)</f>
        <v>Please select ERROR CODE column "I"</v>
      </c>
      <c r="M2805" s="209"/>
      <c r="N2805" s="209"/>
      <c r="O2805" s="209"/>
      <c r="P2805" s="209"/>
      <c r="Q2805" s="209"/>
      <c r="R2805" s="217"/>
      <c r="S2805" s="217"/>
      <c r="T2805" s="217"/>
      <c r="U2805" s="199"/>
      <c r="V2805" s="200"/>
      <c r="W2805" s="200"/>
      <c r="X2805" s="200"/>
      <c r="Y2805" s="200"/>
      <c r="Z2805" s="200"/>
      <c r="AA2805" s="201"/>
      <c r="AB2805" s="200"/>
      <c r="AC2805" s="200"/>
    </row>
    <row r="2806" ht="15.75" customHeight="1">
      <c r="A2806" s="210">
        <f t="shared" si="1"/>
        <v>2804</v>
      </c>
      <c r="B2806" s="217"/>
      <c r="C2806" s="217" t="str">
        <f>IFERROR(VLOOKUP(B2806, SourceData!$U$3:$V$190, 2, FALSE), "")</f>
        <v/>
      </c>
      <c r="D2806" s="240"/>
      <c r="E2806" s="241"/>
      <c r="F2806" s="248"/>
      <c r="G2806" s="207"/>
      <c r="H2806" s="209"/>
      <c r="I2806" s="209"/>
      <c r="J2806" s="209"/>
      <c r="K2806" s="208" t="str">
        <f>IF(Errors!$I2806=0,SourceData!$B$42,VLOOKUP(Errors!$I2806,SourceData!$A$2:$B$40,2,FALSE))</f>
        <v>Please select ERROR CODE column "I"</v>
      </c>
      <c r="L2806" s="207" t="str">
        <f>IF(Errors!$I2806=0,
    'List of Error Codes'!$E$29,
    IFERROR(VLOOKUP(Errors!$I2806, 'List of Error Codes'!D2805:I2835, 6, FALSE), 'List of Error Codes'!$E$29)
)</f>
        <v>Please select ERROR CODE column "I"</v>
      </c>
      <c r="M2806" s="209"/>
      <c r="N2806" s="209"/>
      <c r="O2806" s="209"/>
      <c r="P2806" s="209"/>
      <c r="Q2806" s="209"/>
      <c r="R2806" s="217"/>
      <c r="S2806" s="217"/>
      <c r="T2806" s="217"/>
      <c r="U2806" s="199"/>
      <c r="V2806" s="200"/>
      <c r="W2806" s="200"/>
      <c r="X2806" s="200"/>
      <c r="Y2806" s="200"/>
      <c r="Z2806" s="200"/>
      <c r="AA2806" s="201"/>
      <c r="AB2806" s="200"/>
      <c r="AC2806" s="200"/>
    </row>
    <row r="2807" ht="15.75" customHeight="1">
      <c r="A2807" s="210">
        <f t="shared" si="1"/>
        <v>2805</v>
      </c>
      <c r="B2807" s="217"/>
      <c r="C2807" s="217" t="str">
        <f>IFERROR(VLOOKUP(B2807, SourceData!$U$3:$V$190, 2, FALSE), "")</f>
        <v/>
      </c>
      <c r="D2807" s="240"/>
      <c r="E2807" s="241"/>
      <c r="F2807" s="248"/>
      <c r="G2807" s="207"/>
      <c r="H2807" s="209"/>
      <c r="I2807" s="209"/>
      <c r="J2807" s="209"/>
      <c r="K2807" s="208" t="str">
        <f>IF(Errors!$I2807=0,SourceData!$B$42,VLOOKUP(Errors!$I2807,SourceData!$A$2:$B$40,2,FALSE))</f>
        <v>Please select ERROR CODE column "I"</v>
      </c>
      <c r="L2807" s="207" t="str">
        <f>IF(Errors!$I2807=0,
    'List of Error Codes'!$E$29,
    IFERROR(VLOOKUP(Errors!$I2807, 'List of Error Codes'!D2806:I2836, 6, FALSE), 'List of Error Codes'!$E$29)
)</f>
        <v>Please select ERROR CODE column "I"</v>
      </c>
      <c r="M2807" s="209"/>
      <c r="N2807" s="209"/>
      <c r="O2807" s="209"/>
      <c r="P2807" s="209"/>
      <c r="Q2807" s="209"/>
      <c r="R2807" s="217"/>
      <c r="S2807" s="217"/>
      <c r="T2807" s="217"/>
      <c r="U2807" s="199"/>
      <c r="V2807" s="200"/>
      <c r="W2807" s="200"/>
      <c r="X2807" s="200"/>
      <c r="Y2807" s="200"/>
      <c r="Z2807" s="200"/>
      <c r="AA2807" s="201"/>
      <c r="AB2807" s="200"/>
      <c r="AC2807" s="200"/>
    </row>
    <row r="2808" ht="15.75" customHeight="1">
      <c r="A2808" s="210">
        <f t="shared" si="1"/>
        <v>2806</v>
      </c>
      <c r="B2808" s="217"/>
      <c r="C2808" s="217" t="str">
        <f>IFERROR(VLOOKUP(B2808, SourceData!$U$3:$V$190, 2, FALSE), "")</f>
        <v/>
      </c>
      <c r="D2808" s="240"/>
      <c r="E2808" s="241"/>
      <c r="F2808" s="248"/>
      <c r="G2808" s="207"/>
      <c r="H2808" s="209"/>
      <c r="I2808" s="209"/>
      <c r="J2808" s="209"/>
      <c r="K2808" s="208" t="str">
        <f>IF(Errors!$I2808=0,SourceData!$B$42,VLOOKUP(Errors!$I2808,SourceData!$A$2:$B$40,2,FALSE))</f>
        <v>Please select ERROR CODE column "I"</v>
      </c>
      <c r="L2808" s="207" t="str">
        <f>IF(Errors!$I2808=0,
    'List of Error Codes'!$E$29,
    IFERROR(VLOOKUP(Errors!$I2808, 'List of Error Codes'!D2807:I2837, 6, FALSE), 'List of Error Codes'!$E$29)
)</f>
        <v>Please select ERROR CODE column "I"</v>
      </c>
      <c r="M2808" s="209"/>
      <c r="N2808" s="209"/>
      <c r="O2808" s="209"/>
      <c r="P2808" s="209"/>
      <c r="Q2808" s="209"/>
      <c r="R2808" s="217"/>
      <c r="S2808" s="217"/>
      <c r="T2808" s="217"/>
      <c r="U2808" s="199"/>
      <c r="V2808" s="200"/>
      <c r="W2808" s="200"/>
      <c r="X2808" s="200"/>
      <c r="Y2808" s="200"/>
      <c r="Z2808" s="200"/>
      <c r="AA2808" s="201"/>
      <c r="AB2808" s="200"/>
      <c r="AC2808" s="200"/>
    </row>
    <row r="2809" ht="15.75" customHeight="1">
      <c r="A2809" s="210">
        <f t="shared" si="1"/>
        <v>2807</v>
      </c>
      <c r="B2809" s="217"/>
      <c r="C2809" s="217" t="str">
        <f>IFERROR(VLOOKUP(B2809, SourceData!$U$3:$V$190, 2, FALSE), "")</f>
        <v/>
      </c>
      <c r="D2809" s="240"/>
      <c r="E2809" s="241"/>
      <c r="F2809" s="248"/>
      <c r="G2809" s="207"/>
      <c r="H2809" s="209"/>
      <c r="I2809" s="209"/>
      <c r="J2809" s="209"/>
      <c r="K2809" s="208" t="str">
        <f>IF(Errors!$I2809=0,SourceData!$B$42,VLOOKUP(Errors!$I2809,SourceData!$A$2:$B$40,2,FALSE))</f>
        <v>Please select ERROR CODE column "I"</v>
      </c>
      <c r="L2809" s="207" t="str">
        <f>IF(Errors!$I2809=0,
    'List of Error Codes'!$E$29,
    IFERROR(VLOOKUP(Errors!$I2809, 'List of Error Codes'!D2808:I2838, 6, FALSE), 'List of Error Codes'!$E$29)
)</f>
        <v>Please select ERROR CODE column "I"</v>
      </c>
      <c r="M2809" s="209"/>
      <c r="N2809" s="209"/>
      <c r="O2809" s="209"/>
      <c r="P2809" s="209"/>
      <c r="Q2809" s="209"/>
      <c r="R2809" s="217"/>
      <c r="S2809" s="217"/>
      <c r="T2809" s="217"/>
      <c r="U2809" s="199"/>
      <c r="V2809" s="200"/>
      <c r="W2809" s="200"/>
      <c r="X2809" s="200"/>
      <c r="Y2809" s="200"/>
      <c r="Z2809" s="200"/>
      <c r="AA2809" s="201"/>
      <c r="AB2809" s="200"/>
      <c r="AC2809" s="200"/>
    </row>
    <row r="2810" ht="15.75" customHeight="1">
      <c r="A2810" s="210">
        <f t="shared" si="1"/>
        <v>2808</v>
      </c>
      <c r="B2810" s="217"/>
      <c r="C2810" s="217" t="str">
        <f>IFERROR(VLOOKUP(B2810, SourceData!$U$3:$V$190, 2, FALSE), "")</f>
        <v/>
      </c>
      <c r="D2810" s="240"/>
      <c r="E2810" s="241"/>
      <c r="F2810" s="248"/>
      <c r="G2810" s="207"/>
      <c r="H2810" s="209"/>
      <c r="I2810" s="209"/>
      <c r="J2810" s="209"/>
      <c r="K2810" s="208" t="str">
        <f>IF(Errors!$I2810=0,SourceData!$B$42,VLOOKUP(Errors!$I2810,SourceData!$A$2:$B$40,2,FALSE))</f>
        <v>Please select ERROR CODE column "I"</v>
      </c>
      <c r="L2810" s="207" t="str">
        <f>IF(Errors!$I2810=0,
    'List of Error Codes'!$E$29,
    IFERROR(VLOOKUP(Errors!$I2810, 'List of Error Codes'!D2809:I2839, 6, FALSE), 'List of Error Codes'!$E$29)
)</f>
        <v>Please select ERROR CODE column "I"</v>
      </c>
      <c r="M2810" s="209"/>
      <c r="N2810" s="209"/>
      <c r="O2810" s="209"/>
      <c r="P2810" s="209"/>
      <c r="Q2810" s="209"/>
      <c r="R2810" s="217"/>
      <c r="S2810" s="217"/>
      <c r="T2810" s="217"/>
      <c r="U2810" s="199"/>
      <c r="V2810" s="200"/>
      <c r="W2810" s="200"/>
      <c r="X2810" s="200"/>
      <c r="Y2810" s="200"/>
      <c r="Z2810" s="200"/>
      <c r="AA2810" s="201"/>
      <c r="AB2810" s="200"/>
      <c r="AC2810" s="200"/>
    </row>
    <row r="2811" ht="15.75" customHeight="1">
      <c r="A2811" s="210">
        <f t="shared" si="1"/>
        <v>2809</v>
      </c>
      <c r="B2811" s="217"/>
      <c r="C2811" s="217" t="str">
        <f>IFERROR(VLOOKUP(B2811, SourceData!$U$3:$V$190, 2, FALSE), "")</f>
        <v/>
      </c>
      <c r="D2811" s="240"/>
      <c r="E2811" s="241"/>
      <c r="F2811" s="248"/>
      <c r="G2811" s="207"/>
      <c r="H2811" s="209"/>
      <c r="I2811" s="209"/>
      <c r="J2811" s="209"/>
      <c r="K2811" s="208" t="str">
        <f>IF(Errors!$I2811=0,SourceData!$B$42,VLOOKUP(Errors!$I2811,SourceData!$A$2:$B$40,2,FALSE))</f>
        <v>Please select ERROR CODE column "I"</v>
      </c>
      <c r="L2811" s="207" t="str">
        <f>IF(Errors!$I2811=0,
    'List of Error Codes'!$E$29,
    IFERROR(VLOOKUP(Errors!$I2811, 'List of Error Codes'!D2810:I2840, 6, FALSE), 'List of Error Codes'!$E$29)
)</f>
        <v>Please select ERROR CODE column "I"</v>
      </c>
      <c r="M2811" s="209"/>
      <c r="N2811" s="209"/>
      <c r="O2811" s="209"/>
      <c r="P2811" s="209"/>
      <c r="Q2811" s="209"/>
      <c r="R2811" s="217"/>
      <c r="S2811" s="217"/>
      <c r="T2811" s="217"/>
      <c r="U2811" s="199"/>
      <c r="V2811" s="200"/>
      <c r="W2811" s="200"/>
      <c r="X2811" s="200"/>
      <c r="Y2811" s="200"/>
      <c r="Z2811" s="200"/>
      <c r="AA2811" s="201"/>
      <c r="AB2811" s="200"/>
      <c r="AC2811" s="200"/>
    </row>
    <row r="2812" ht="15.75" customHeight="1">
      <c r="A2812" s="210">
        <f t="shared" si="1"/>
        <v>2810</v>
      </c>
      <c r="B2812" s="217"/>
      <c r="C2812" s="217" t="str">
        <f>IFERROR(VLOOKUP(B2812, SourceData!$U$3:$V$190, 2, FALSE), "")</f>
        <v/>
      </c>
      <c r="D2812" s="240"/>
      <c r="E2812" s="241"/>
      <c r="F2812" s="248"/>
      <c r="G2812" s="207"/>
      <c r="H2812" s="209"/>
      <c r="I2812" s="209"/>
      <c r="J2812" s="209"/>
      <c r="K2812" s="208" t="str">
        <f>IF(Errors!$I2812=0,SourceData!$B$42,VLOOKUP(Errors!$I2812,SourceData!$A$2:$B$40,2,FALSE))</f>
        <v>Please select ERROR CODE column "I"</v>
      </c>
      <c r="L2812" s="207" t="str">
        <f>IF(Errors!$I2812=0,
    'List of Error Codes'!$E$29,
    IFERROR(VLOOKUP(Errors!$I2812, 'List of Error Codes'!D2811:I2841, 6, FALSE), 'List of Error Codes'!$E$29)
)</f>
        <v>Please select ERROR CODE column "I"</v>
      </c>
      <c r="M2812" s="209"/>
      <c r="N2812" s="209"/>
      <c r="O2812" s="209"/>
      <c r="P2812" s="209"/>
      <c r="Q2812" s="209"/>
      <c r="R2812" s="217"/>
      <c r="S2812" s="217"/>
      <c r="T2812" s="217"/>
      <c r="U2812" s="199"/>
      <c r="V2812" s="200"/>
      <c r="W2812" s="200"/>
      <c r="X2812" s="200"/>
      <c r="Y2812" s="200"/>
      <c r="Z2812" s="200"/>
      <c r="AA2812" s="201"/>
      <c r="AB2812" s="200"/>
      <c r="AC2812" s="200"/>
    </row>
    <row r="2813" ht="15.75" customHeight="1">
      <c r="A2813" s="210">
        <f t="shared" si="1"/>
        <v>2811</v>
      </c>
      <c r="B2813" s="217"/>
      <c r="C2813" s="217" t="str">
        <f>IFERROR(VLOOKUP(B2813, SourceData!$U$3:$V$190, 2, FALSE), "")</f>
        <v/>
      </c>
      <c r="D2813" s="240"/>
      <c r="E2813" s="241"/>
      <c r="F2813" s="248"/>
      <c r="G2813" s="207"/>
      <c r="H2813" s="209"/>
      <c r="I2813" s="209"/>
      <c r="J2813" s="209"/>
      <c r="K2813" s="208" t="str">
        <f>IF(Errors!$I2813=0,SourceData!$B$42,VLOOKUP(Errors!$I2813,SourceData!$A$2:$B$40,2,FALSE))</f>
        <v>Please select ERROR CODE column "I"</v>
      </c>
      <c r="L2813" s="207" t="str">
        <f>IF(Errors!$I2813=0,
    'List of Error Codes'!$E$29,
    IFERROR(VLOOKUP(Errors!$I2813, 'List of Error Codes'!D2812:I2842, 6, FALSE), 'List of Error Codes'!$E$29)
)</f>
        <v>Please select ERROR CODE column "I"</v>
      </c>
      <c r="M2813" s="209"/>
      <c r="N2813" s="209"/>
      <c r="O2813" s="209"/>
      <c r="P2813" s="209"/>
      <c r="Q2813" s="209"/>
      <c r="R2813" s="217"/>
      <c r="S2813" s="217"/>
      <c r="T2813" s="217"/>
      <c r="U2813" s="199"/>
      <c r="V2813" s="200"/>
      <c r="W2813" s="200"/>
      <c r="X2813" s="200"/>
      <c r="Y2813" s="200"/>
      <c r="Z2813" s="200"/>
      <c r="AA2813" s="201"/>
      <c r="AB2813" s="200"/>
      <c r="AC2813" s="200"/>
    </row>
    <row r="2814" ht="15.75" customHeight="1">
      <c r="A2814" s="210">
        <f t="shared" si="1"/>
        <v>2812</v>
      </c>
      <c r="B2814" s="217"/>
      <c r="C2814" s="217" t="str">
        <f>IFERROR(VLOOKUP(B2814, SourceData!$U$3:$V$190, 2, FALSE), "")</f>
        <v/>
      </c>
      <c r="D2814" s="240"/>
      <c r="E2814" s="241"/>
      <c r="F2814" s="248"/>
      <c r="G2814" s="207"/>
      <c r="H2814" s="209"/>
      <c r="I2814" s="209"/>
      <c r="J2814" s="209"/>
      <c r="K2814" s="208" t="str">
        <f>IF(Errors!$I2814=0,SourceData!$B$42,VLOOKUP(Errors!$I2814,SourceData!$A$2:$B$40,2,FALSE))</f>
        <v>Please select ERROR CODE column "I"</v>
      </c>
      <c r="L2814" s="207" t="str">
        <f>IF(Errors!$I2814=0,
    'List of Error Codes'!$E$29,
    IFERROR(VLOOKUP(Errors!$I2814, 'List of Error Codes'!D2813:I2843, 6, FALSE), 'List of Error Codes'!$E$29)
)</f>
        <v>Please select ERROR CODE column "I"</v>
      </c>
      <c r="M2814" s="209"/>
      <c r="N2814" s="209"/>
      <c r="O2814" s="209"/>
      <c r="P2814" s="209"/>
      <c r="Q2814" s="209"/>
      <c r="R2814" s="217"/>
      <c r="S2814" s="217"/>
      <c r="T2814" s="217"/>
      <c r="U2814" s="199"/>
      <c r="V2814" s="200"/>
      <c r="W2814" s="200"/>
      <c r="X2814" s="200"/>
      <c r="Y2814" s="200"/>
      <c r="Z2814" s="200"/>
      <c r="AA2814" s="201"/>
      <c r="AB2814" s="200"/>
      <c r="AC2814" s="200"/>
    </row>
    <row r="2815" ht="15.75" customHeight="1">
      <c r="A2815" s="210">
        <f t="shared" si="1"/>
        <v>2813</v>
      </c>
      <c r="B2815" s="217"/>
      <c r="C2815" s="217" t="str">
        <f>IFERROR(VLOOKUP(B2815, SourceData!$U$3:$V$190, 2, FALSE), "")</f>
        <v/>
      </c>
      <c r="D2815" s="240"/>
      <c r="E2815" s="241"/>
      <c r="F2815" s="248"/>
      <c r="G2815" s="207"/>
      <c r="H2815" s="209"/>
      <c r="I2815" s="209"/>
      <c r="J2815" s="209"/>
      <c r="K2815" s="208" t="str">
        <f>IF(Errors!$I2815=0,SourceData!$B$42,VLOOKUP(Errors!$I2815,SourceData!$A$2:$B$40,2,FALSE))</f>
        <v>Please select ERROR CODE column "I"</v>
      </c>
      <c r="L2815" s="207" t="str">
        <f>IF(Errors!$I2815=0,
    'List of Error Codes'!$E$29,
    IFERROR(VLOOKUP(Errors!$I2815, 'List of Error Codes'!D2814:I2844, 6, FALSE), 'List of Error Codes'!$E$29)
)</f>
        <v>Please select ERROR CODE column "I"</v>
      </c>
      <c r="M2815" s="209"/>
      <c r="N2815" s="209"/>
      <c r="O2815" s="209"/>
      <c r="P2815" s="209"/>
      <c r="Q2815" s="209"/>
      <c r="R2815" s="217"/>
      <c r="S2815" s="217"/>
      <c r="T2815" s="217"/>
      <c r="U2815" s="199"/>
      <c r="V2815" s="200"/>
      <c r="W2815" s="200"/>
      <c r="X2815" s="200"/>
      <c r="Y2815" s="200"/>
      <c r="Z2815" s="200"/>
      <c r="AA2815" s="201"/>
      <c r="AB2815" s="200"/>
      <c r="AC2815" s="200"/>
    </row>
    <row r="2816" ht="15.75" customHeight="1">
      <c r="A2816" s="210">
        <f t="shared" si="1"/>
        <v>2814</v>
      </c>
      <c r="B2816" s="217"/>
      <c r="C2816" s="217" t="str">
        <f>IFERROR(VLOOKUP(B2816, SourceData!$U$3:$V$190, 2, FALSE), "")</f>
        <v/>
      </c>
      <c r="D2816" s="240"/>
      <c r="E2816" s="241"/>
      <c r="F2816" s="248"/>
      <c r="G2816" s="207"/>
      <c r="H2816" s="209"/>
      <c r="I2816" s="209"/>
      <c r="J2816" s="209"/>
      <c r="K2816" s="208" t="str">
        <f>IF(Errors!$I2816=0,SourceData!$B$42,VLOOKUP(Errors!$I2816,SourceData!$A$2:$B$40,2,FALSE))</f>
        <v>Please select ERROR CODE column "I"</v>
      </c>
      <c r="L2816" s="207" t="str">
        <f>IF(Errors!$I2816=0,
    'List of Error Codes'!$E$29,
    IFERROR(VLOOKUP(Errors!$I2816, 'List of Error Codes'!D2815:I2845, 6, FALSE), 'List of Error Codes'!$E$29)
)</f>
        <v>Please select ERROR CODE column "I"</v>
      </c>
      <c r="M2816" s="209"/>
      <c r="N2816" s="209"/>
      <c r="O2816" s="209"/>
      <c r="P2816" s="209"/>
      <c r="Q2816" s="209"/>
      <c r="R2816" s="217"/>
      <c r="S2816" s="217"/>
      <c r="T2816" s="217"/>
      <c r="U2816" s="199"/>
      <c r="V2816" s="200"/>
      <c r="W2816" s="200"/>
      <c r="X2816" s="200"/>
      <c r="Y2816" s="200"/>
      <c r="Z2816" s="200"/>
      <c r="AA2816" s="201"/>
      <c r="AB2816" s="200"/>
      <c r="AC2816" s="200"/>
    </row>
    <row r="2817" ht="15.75" customHeight="1">
      <c r="A2817" s="210">
        <f t="shared" si="1"/>
        <v>2815</v>
      </c>
      <c r="B2817" s="217"/>
      <c r="C2817" s="217" t="str">
        <f>IFERROR(VLOOKUP(B2817, SourceData!$U$3:$V$190, 2, FALSE), "")</f>
        <v/>
      </c>
      <c r="D2817" s="240"/>
      <c r="E2817" s="241"/>
      <c r="F2817" s="248"/>
      <c r="G2817" s="207"/>
      <c r="H2817" s="209"/>
      <c r="I2817" s="209"/>
      <c r="J2817" s="209"/>
      <c r="K2817" s="208" t="str">
        <f>IF(Errors!$I2817=0,SourceData!$B$42,VLOOKUP(Errors!$I2817,SourceData!$A$2:$B$40,2,FALSE))</f>
        <v>Please select ERROR CODE column "I"</v>
      </c>
      <c r="L2817" s="207" t="str">
        <f>IF(Errors!$I2817=0,
    'List of Error Codes'!$E$29,
    IFERROR(VLOOKUP(Errors!$I2817, 'List of Error Codes'!D2816:I2846, 6, FALSE), 'List of Error Codes'!$E$29)
)</f>
        <v>Please select ERROR CODE column "I"</v>
      </c>
      <c r="M2817" s="209"/>
      <c r="N2817" s="209"/>
      <c r="O2817" s="209"/>
      <c r="P2817" s="209"/>
      <c r="Q2817" s="209"/>
      <c r="R2817" s="217"/>
      <c r="S2817" s="217"/>
      <c r="T2817" s="217"/>
      <c r="U2817" s="199"/>
      <c r="V2817" s="200"/>
      <c r="W2817" s="200"/>
      <c r="X2817" s="200"/>
      <c r="Y2817" s="200"/>
      <c r="Z2817" s="200"/>
      <c r="AA2817" s="201"/>
      <c r="AB2817" s="200"/>
      <c r="AC2817" s="200"/>
    </row>
    <row r="2818" ht="15.75" customHeight="1">
      <c r="A2818" s="210">
        <f t="shared" si="1"/>
        <v>2816</v>
      </c>
      <c r="B2818" s="217"/>
      <c r="C2818" s="217" t="str">
        <f>IFERROR(VLOOKUP(B2818, SourceData!$U$3:$V$190, 2, FALSE), "")</f>
        <v/>
      </c>
      <c r="D2818" s="240"/>
      <c r="E2818" s="241"/>
      <c r="F2818" s="248"/>
      <c r="G2818" s="207"/>
      <c r="H2818" s="209"/>
      <c r="I2818" s="209"/>
      <c r="J2818" s="209"/>
      <c r="K2818" s="208" t="str">
        <f>IF(Errors!$I2818=0,SourceData!$B$42,VLOOKUP(Errors!$I2818,SourceData!$A$2:$B$40,2,FALSE))</f>
        <v>Please select ERROR CODE column "I"</v>
      </c>
      <c r="L2818" s="207" t="str">
        <f>IF(Errors!$I2818=0,
    'List of Error Codes'!$E$29,
    IFERROR(VLOOKUP(Errors!$I2818, 'List of Error Codes'!D2817:I2847, 6, FALSE), 'List of Error Codes'!$E$29)
)</f>
        <v>Please select ERROR CODE column "I"</v>
      </c>
      <c r="M2818" s="209"/>
      <c r="N2818" s="209"/>
      <c r="O2818" s="209"/>
      <c r="P2818" s="209"/>
      <c r="Q2818" s="209"/>
      <c r="R2818" s="217"/>
      <c r="S2818" s="217"/>
      <c r="T2818" s="217"/>
      <c r="U2818" s="199"/>
      <c r="V2818" s="200"/>
      <c r="W2818" s="200"/>
      <c r="X2818" s="200"/>
      <c r="Y2818" s="200"/>
      <c r="Z2818" s="200"/>
      <c r="AA2818" s="201"/>
      <c r="AB2818" s="200"/>
      <c r="AC2818" s="200"/>
    </row>
    <row r="2819" ht="15.75" customHeight="1">
      <c r="A2819" s="210">
        <f t="shared" si="1"/>
        <v>2817</v>
      </c>
      <c r="B2819" s="217"/>
      <c r="C2819" s="217" t="str">
        <f>IFERROR(VLOOKUP(B2819, SourceData!$U$3:$V$190, 2, FALSE), "")</f>
        <v/>
      </c>
      <c r="D2819" s="240"/>
      <c r="E2819" s="241"/>
      <c r="F2819" s="248"/>
      <c r="G2819" s="207"/>
      <c r="H2819" s="209"/>
      <c r="I2819" s="209"/>
      <c r="J2819" s="209"/>
      <c r="K2819" s="208" t="str">
        <f>IF(Errors!$I2819=0,SourceData!$B$42,VLOOKUP(Errors!$I2819,SourceData!$A$2:$B$40,2,FALSE))</f>
        <v>Please select ERROR CODE column "I"</v>
      </c>
      <c r="L2819" s="207" t="str">
        <f>IF(Errors!$I2819=0,
    'List of Error Codes'!$E$29,
    IFERROR(VLOOKUP(Errors!$I2819, 'List of Error Codes'!D2818:I2848, 6, FALSE), 'List of Error Codes'!$E$29)
)</f>
        <v>Please select ERROR CODE column "I"</v>
      </c>
      <c r="M2819" s="209"/>
      <c r="N2819" s="209"/>
      <c r="O2819" s="209"/>
      <c r="P2819" s="209"/>
      <c r="Q2819" s="209"/>
      <c r="R2819" s="217"/>
      <c r="S2819" s="217"/>
      <c r="T2819" s="217"/>
      <c r="U2819" s="199"/>
      <c r="V2819" s="200"/>
      <c r="W2819" s="200"/>
      <c r="X2819" s="200"/>
      <c r="Y2819" s="200"/>
      <c r="Z2819" s="200"/>
      <c r="AA2819" s="201"/>
      <c r="AB2819" s="200"/>
      <c r="AC2819" s="200"/>
    </row>
    <row r="2820" ht="15.75" customHeight="1">
      <c r="A2820" s="210">
        <f t="shared" si="1"/>
        <v>2818</v>
      </c>
      <c r="B2820" s="217"/>
      <c r="C2820" s="217" t="str">
        <f>IFERROR(VLOOKUP(B2820, SourceData!$U$3:$V$190, 2, FALSE), "")</f>
        <v/>
      </c>
      <c r="D2820" s="240"/>
      <c r="E2820" s="241"/>
      <c r="F2820" s="248"/>
      <c r="G2820" s="207"/>
      <c r="H2820" s="209"/>
      <c r="I2820" s="209"/>
      <c r="J2820" s="209"/>
      <c r="K2820" s="208" t="str">
        <f>IF(Errors!$I2820=0,SourceData!$B$42,VLOOKUP(Errors!$I2820,SourceData!$A$2:$B$40,2,FALSE))</f>
        <v>Please select ERROR CODE column "I"</v>
      </c>
      <c r="L2820" s="207" t="str">
        <f>IF(Errors!$I2820=0,
    'List of Error Codes'!$E$29,
    IFERROR(VLOOKUP(Errors!$I2820, 'List of Error Codes'!D2819:I2849, 6, FALSE), 'List of Error Codes'!$E$29)
)</f>
        <v>Please select ERROR CODE column "I"</v>
      </c>
      <c r="M2820" s="209"/>
      <c r="N2820" s="209"/>
      <c r="O2820" s="209"/>
      <c r="P2820" s="209"/>
      <c r="Q2820" s="209"/>
      <c r="R2820" s="217"/>
      <c r="S2820" s="217"/>
      <c r="T2820" s="217"/>
      <c r="U2820" s="199"/>
      <c r="V2820" s="200"/>
      <c r="W2820" s="200"/>
      <c r="X2820" s="200"/>
      <c r="Y2820" s="200"/>
      <c r="Z2820" s="200"/>
      <c r="AA2820" s="201"/>
      <c r="AB2820" s="200"/>
      <c r="AC2820" s="200"/>
    </row>
    <row r="2821" ht="15.75" customHeight="1">
      <c r="A2821" s="210">
        <f t="shared" si="1"/>
        <v>2819</v>
      </c>
      <c r="B2821" s="217"/>
      <c r="C2821" s="217" t="str">
        <f>IFERROR(VLOOKUP(B2821, SourceData!$U$3:$V$190, 2, FALSE), "")</f>
        <v/>
      </c>
      <c r="D2821" s="240"/>
      <c r="E2821" s="241"/>
      <c r="F2821" s="248"/>
      <c r="G2821" s="207"/>
      <c r="H2821" s="209"/>
      <c r="I2821" s="209"/>
      <c r="J2821" s="209"/>
      <c r="K2821" s="208" t="str">
        <f>IF(Errors!$I2821=0,SourceData!$B$42,VLOOKUP(Errors!$I2821,SourceData!$A$2:$B$40,2,FALSE))</f>
        <v>Please select ERROR CODE column "I"</v>
      </c>
      <c r="L2821" s="207" t="str">
        <f>IF(Errors!$I2821=0,
    'List of Error Codes'!$E$29,
    IFERROR(VLOOKUP(Errors!$I2821, 'List of Error Codes'!D2820:I2850, 6, FALSE), 'List of Error Codes'!$E$29)
)</f>
        <v>Please select ERROR CODE column "I"</v>
      </c>
      <c r="M2821" s="209"/>
      <c r="N2821" s="209"/>
      <c r="O2821" s="209"/>
      <c r="P2821" s="209"/>
      <c r="Q2821" s="209"/>
      <c r="R2821" s="217"/>
      <c r="S2821" s="217"/>
      <c r="T2821" s="217"/>
      <c r="U2821" s="199"/>
      <c r="V2821" s="200"/>
      <c r="W2821" s="200"/>
      <c r="X2821" s="200"/>
      <c r="Y2821" s="200"/>
      <c r="Z2821" s="200"/>
      <c r="AA2821" s="201"/>
      <c r="AB2821" s="200"/>
      <c r="AC2821" s="200"/>
    </row>
    <row r="2822" ht="15.75" customHeight="1">
      <c r="A2822" s="210">
        <f t="shared" si="1"/>
        <v>2820</v>
      </c>
      <c r="B2822" s="217"/>
      <c r="C2822" s="217" t="str">
        <f>IFERROR(VLOOKUP(B2822, SourceData!$U$3:$V$190, 2, FALSE), "")</f>
        <v/>
      </c>
      <c r="D2822" s="240"/>
      <c r="E2822" s="241"/>
      <c r="F2822" s="248"/>
      <c r="G2822" s="207"/>
      <c r="H2822" s="209"/>
      <c r="I2822" s="209"/>
      <c r="J2822" s="209"/>
      <c r="K2822" s="208" t="str">
        <f>IF(Errors!$I2822=0,SourceData!$B$42,VLOOKUP(Errors!$I2822,SourceData!$A$2:$B$40,2,FALSE))</f>
        <v>Please select ERROR CODE column "I"</v>
      </c>
      <c r="L2822" s="207" t="str">
        <f>IF(Errors!$I2822=0,
    'List of Error Codes'!$E$29,
    IFERROR(VLOOKUP(Errors!$I2822, 'List of Error Codes'!D2821:I2851, 6, FALSE), 'List of Error Codes'!$E$29)
)</f>
        <v>Please select ERROR CODE column "I"</v>
      </c>
      <c r="M2822" s="209"/>
      <c r="N2822" s="209"/>
      <c r="O2822" s="209"/>
      <c r="P2822" s="209"/>
      <c r="Q2822" s="209"/>
      <c r="R2822" s="217"/>
      <c r="S2822" s="217"/>
      <c r="T2822" s="217"/>
      <c r="U2822" s="199"/>
      <c r="V2822" s="200"/>
      <c r="W2822" s="200"/>
      <c r="X2822" s="200"/>
      <c r="Y2822" s="200"/>
      <c r="Z2822" s="200"/>
      <c r="AA2822" s="201"/>
      <c r="AB2822" s="200"/>
      <c r="AC2822" s="200"/>
    </row>
    <row r="2823" ht="15.75" customHeight="1">
      <c r="A2823" s="210">
        <f t="shared" si="1"/>
        <v>2821</v>
      </c>
      <c r="B2823" s="217"/>
      <c r="C2823" s="217" t="str">
        <f>IFERROR(VLOOKUP(B2823, SourceData!$U$3:$V$190, 2, FALSE), "")</f>
        <v/>
      </c>
      <c r="D2823" s="240"/>
      <c r="E2823" s="241"/>
      <c r="F2823" s="248"/>
      <c r="G2823" s="207"/>
      <c r="H2823" s="209"/>
      <c r="I2823" s="209"/>
      <c r="J2823" s="209"/>
      <c r="K2823" s="208" t="str">
        <f>IF(Errors!$I2823=0,SourceData!$B$42,VLOOKUP(Errors!$I2823,SourceData!$A$2:$B$40,2,FALSE))</f>
        <v>Please select ERROR CODE column "I"</v>
      </c>
      <c r="L2823" s="207" t="str">
        <f>IF(Errors!$I2823=0,
    'List of Error Codes'!$E$29,
    IFERROR(VLOOKUP(Errors!$I2823, 'List of Error Codes'!D2822:I2852, 6, FALSE), 'List of Error Codes'!$E$29)
)</f>
        <v>Please select ERROR CODE column "I"</v>
      </c>
      <c r="M2823" s="209"/>
      <c r="N2823" s="209"/>
      <c r="O2823" s="209"/>
      <c r="P2823" s="209"/>
      <c r="Q2823" s="209"/>
      <c r="R2823" s="217"/>
      <c r="S2823" s="217"/>
      <c r="T2823" s="217"/>
      <c r="U2823" s="199"/>
      <c r="V2823" s="200"/>
      <c r="W2823" s="200"/>
      <c r="X2823" s="200"/>
      <c r="Y2823" s="200"/>
      <c r="Z2823" s="200"/>
      <c r="AA2823" s="201"/>
      <c r="AB2823" s="200"/>
      <c r="AC2823" s="200"/>
    </row>
    <row r="2824" ht="15.75" customHeight="1">
      <c r="A2824" s="210">
        <f t="shared" si="1"/>
        <v>2822</v>
      </c>
      <c r="B2824" s="217"/>
      <c r="C2824" s="217" t="str">
        <f>IFERROR(VLOOKUP(B2824, SourceData!$U$3:$V$190, 2, FALSE), "")</f>
        <v/>
      </c>
      <c r="D2824" s="240"/>
      <c r="E2824" s="241"/>
      <c r="F2824" s="248"/>
      <c r="G2824" s="207"/>
      <c r="H2824" s="209"/>
      <c r="I2824" s="209"/>
      <c r="J2824" s="209"/>
      <c r="K2824" s="208" t="str">
        <f>IF(Errors!$I2824=0,SourceData!$B$42,VLOOKUP(Errors!$I2824,SourceData!$A$2:$B$40,2,FALSE))</f>
        <v>Please select ERROR CODE column "I"</v>
      </c>
      <c r="L2824" s="207" t="str">
        <f>IF(Errors!$I2824=0,
    'List of Error Codes'!$E$29,
    IFERROR(VLOOKUP(Errors!$I2824, 'List of Error Codes'!D2823:I2853, 6, FALSE), 'List of Error Codes'!$E$29)
)</f>
        <v>Please select ERROR CODE column "I"</v>
      </c>
      <c r="M2824" s="209"/>
      <c r="N2824" s="209"/>
      <c r="O2824" s="209"/>
      <c r="P2824" s="209"/>
      <c r="Q2824" s="209"/>
      <c r="R2824" s="217"/>
      <c r="S2824" s="217"/>
      <c r="T2824" s="217"/>
      <c r="U2824" s="199"/>
      <c r="V2824" s="200"/>
      <c r="W2824" s="200"/>
      <c r="X2824" s="200"/>
      <c r="Y2824" s="200"/>
      <c r="Z2824" s="200"/>
      <c r="AA2824" s="201"/>
      <c r="AB2824" s="200"/>
      <c r="AC2824" s="200"/>
    </row>
    <row r="2825" ht="15.75" customHeight="1">
      <c r="A2825" s="210">
        <f t="shared" si="1"/>
        <v>2823</v>
      </c>
      <c r="B2825" s="217"/>
      <c r="C2825" s="217" t="str">
        <f>IFERROR(VLOOKUP(B2825, SourceData!$U$3:$V$190, 2, FALSE), "")</f>
        <v/>
      </c>
      <c r="D2825" s="240"/>
      <c r="E2825" s="241"/>
      <c r="F2825" s="248"/>
      <c r="G2825" s="207"/>
      <c r="H2825" s="209"/>
      <c r="I2825" s="209"/>
      <c r="J2825" s="209"/>
      <c r="K2825" s="208" t="str">
        <f>IF(Errors!$I2825=0,SourceData!$B$42,VLOOKUP(Errors!$I2825,SourceData!$A$2:$B$40,2,FALSE))</f>
        <v>Please select ERROR CODE column "I"</v>
      </c>
      <c r="L2825" s="207" t="str">
        <f>IF(Errors!$I2825=0,
    'List of Error Codes'!$E$29,
    IFERROR(VLOOKUP(Errors!$I2825, 'List of Error Codes'!D2824:I2854, 6, FALSE), 'List of Error Codes'!$E$29)
)</f>
        <v>Please select ERROR CODE column "I"</v>
      </c>
      <c r="M2825" s="209"/>
      <c r="N2825" s="209"/>
      <c r="O2825" s="209"/>
      <c r="P2825" s="209"/>
      <c r="Q2825" s="209"/>
      <c r="R2825" s="217"/>
      <c r="S2825" s="217"/>
      <c r="T2825" s="217"/>
      <c r="U2825" s="199"/>
      <c r="V2825" s="200"/>
      <c r="W2825" s="200"/>
      <c r="X2825" s="200"/>
      <c r="Y2825" s="200"/>
      <c r="Z2825" s="200"/>
      <c r="AA2825" s="201"/>
      <c r="AB2825" s="200"/>
      <c r="AC2825" s="200"/>
    </row>
    <row r="2826" ht="15.75" customHeight="1">
      <c r="A2826" s="210">
        <f t="shared" si="1"/>
        <v>2824</v>
      </c>
      <c r="B2826" s="217"/>
      <c r="C2826" s="217" t="str">
        <f>IFERROR(VLOOKUP(B2826, SourceData!$U$3:$V$190, 2, FALSE), "")</f>
        <v/>
      </c>
      <c r="D2826" s="240"/>
      <c r="E2826" s="241"/>
      <c r="F2826" s="248"/>
      <c r="G2826" s="207"/>
      <c r="H2826" s="209"/>
      <c r="I2826" s="209"/>
      <c r="J2826" s="209"/>
      <c r="K2826" s="208" t="str">
        <f>IF(Errors!$I2826=0,SourceData!$B$42,VLOOKUP(Errors!$I2826,SourceData!$A$2:$B$40,2,FALSE))</f>
        <v>Please select ERROR CODE column "I"</v>
      </c>
      <c r="L2826" s="207" t="str">
        <f>IF(Errors!$I2826=0,
    'List of Error Codes'!$E$29,
    IFERROR(VLOOKUP(Errors!$I2826, 'List of Error Codes'!D2825:I2855, 6, FALSE), 'List of Error Codes'!$E$29)
)</f>
        <v>Please select ERROR CODE column "I"</v>
      </c>
      <c r="M2826" s="209"/>
      <c r="N2826" s="209"/>
      <c r="O2826" s="209"/>
      <c r="P2826" s="209"/>
      <c r="Q2826" s="209"/>
      <c r="R2826" s="217"/>
      <c r="S2826" s="217"/>
      <c r="T2826" s="217"/>
      <c r="U2826" s="199"/>
      <c r="V2826" s="200"/>
      <c r="W2826" s="200"/>
      <c r="X2826" s="200"/>
      <c r="Y2826" s="200"/>
      <c r="Z2826" s="200"/>
      <c r="AA2826" s="201"/>
      <c r="AB2826" s="200"/>
      <c r="AC2826" s="200"/>
    </row>
    <row r="2827" ht="15.75" customHeight="1">
      <c r="A2827" s="210">
        <f t="shared" si="1"/>
        <v>2825</v>
      </c>
      <c r="B2827" s="217"/>
      <c r="C2827" s="217" t="str">
        <f>IFERROR(VLOOKUP(B2827, SourceData!$U$3:$V$190, 2, FALSE), "")</f>
        <v/>
      </c>
      <c r="D2827" s="240"/>
      <c r="E2827" s="241"/>
      <c r="F2827" s="248"/>
      <c r="G2827" s="207"/>
      <c r="H2827" s="209"/>
      <c r="I2827" s="209"/>
      <c r="J2827" s="209"/>
      <c r="K2827" s="208" t="str">
        <f>IF(Errors!$I2827=0,SourceData!$B$42,VLOOKUP(Errors!$I2827,SourceData!$A$2:$B$40,2,FALSE))</f>
        <v>Please select ERROR CODE column "I"</v>
      </c>
      <c r="L2827" s="207" t="str">
        <f>IF(Errors!$I2827=0,
    'List of Error Codes'!$E$29,
    IFERROR(VLOOKUP(Errors!$I2827, 'List of Error Codes'!D2826:I2856, 6, FALSE), 'List of Error Codes'!$E$29)
)</f>
        <v>Please select ERROR CODE column "I"</v>
      </c>
      <c r="M2827" s="209"/>
      <c r="N2827" s="209"/>
      <c r="O2827" s="209"/>
      <c r="P2827" s="209"/>
      <c r="Q2827" s="209"/>
      <c r="R2827" s="217"/>
      <c r="S2827" s="217"/>
      <c r="T2827" s="217"/>
      <c r="U2827" s="199"/>
      <c r="V2827" s="200"/>
      <c r="W2827" s="200"/>
      <c r="X2827" s="200"/>
      <c r="Y2827" s="200"/>
      <c r="Z2827" s="200"/>
      <c r="AA2827" s="201"/>
      <c r="AB2827" s="200"/>
      <c r="AC2827" s="200"/>
    </row>
    <row r="2828" ht="15.75" customHeight="1">
      <c r="A2828" s="210">
        <f t="shared" si="1"/>
        <v>2826</v>
      </c>
      <c r="B2828" s="217"/>
      <c r="C2828" s="217" t="str">
        <f>IFERROR(VLOOKUP(B2828, SourceData!$U$3:$V$190, 2, FALSE), "")</f>
        <v/>
      </c>
      <c r="D2828" s="240"/>
      <c r="E2828" s="241"/>
      <c r="F2828" s="248"/>
      <c r="G2828" s="207"/>
      <c r="H2828" s="209"/>
      <c r="I2828" s="209"/>
      <c r="J2828" s="209"/>
      <c r="K2828" s="208" t="str">
        <f>IF(Errors!$I2828=0,SourceData!$B$42,VLOOKUP(Errors!$I2828,SourceData!$A$2:$B$40,2,FALSE))</f>
        <v>Please select ERROR CODE column "I"</v>
      </c>
      <c r="L2828" s="207" t="str">
        <f>IF(Errors!$I2828=0,
    'List of Error Codes'!$E$29,
    IFERROR(VLOOKUP(Errors!$I2828, 'List of Error Codes'!D2827:I2857, 6, FALSE), 'List of Error Codes'!$E$29)
)</f>
        <v>Please select ERROR CODE column "I"</v>
      </c>
      <c r="M2828" s="209"/>
      <c r="N2828" s="209"/>
      <c r="O2828" s="209"/>
      <c r="P2828" s="209"/>
      <c r="Q2828" s="209"/>
      <c r="R2828" s="217"/>
      <c r="S2828" s="217"/>
      <c r="T2828" s="217"/>
      <c r="U2828" s="199"/>
      <c r="V2828" s="200"/>
      <c r="W2828" s="200"/>
      <c r="X2828" s="200"/>
      <c r="Y2828" s="200"/>
      <c r="Z2828" s="200"/>
      <c r="AA2828" s="201"/>
      <c r="AB2828" s="200"/>
      <c r="AC2828" s="200"/>
    </row>
    <row r="2829" ht="15.75" customHeight="1">
      <c r="A2829" s="210">
        <f t="shared" si="1"/>
        <v>2827</v>
      </c>
      <c r="B2829" s="217"/>
      <c r="C2829" s="217" t="str">
        <f>IFERROR(VLOOKUP(B2829, SourceData!$U$3:$V$190, 2, FALSE), "")</f>
        <v/>
      </c>
      <c r="D2829" s="240"/>
      <c r="E2829" s="241"/>
      <c r="F2829" s="248"/>
      <c r="G2829" s="207"/>
      <c r="H2829" s="209"/>
      <c r="I2829" s="209"/>
      <c r="J2829" s="209"/>
      <c r="K2829" s="208" t="str">
        <f>IF(Errors!$I2829=0,SourceData!$B$42,VLOOKUP(Errors!$I2829,SourceData!$A$2:$B$40,2,FALSE))</f>
        <v>Please select ERROR CODE column "I"</v>
      </c>
      <c r="L2829" s="207" t="str">
        <f>IF(Errors!$I2829=0,
    'List of Error Codes'!$E$29,
    IFERROR(VLOOKUP(Errors!$I2829, 'List of Error Codes'!D2828:I2858, 6, FALSE), 'List of Error Codes'!$E$29)
)</f>
        <v>Please select ERROR CODE column "I"</v>
      </c>
      <c r="M2829" s="209"/>
      <c r="N2829" s="209"/>
      <c r="O2829" s="209"/>
      <c r="P2829" s="209"/>
      <c r="Q2829" s="209"/>
      <c r="R2829" s="217"/>
      <c r="S2829" s="217"/>
      <c r="T2829" s="217"/>
      <c r="U2829" s="199"/>
      <c r="V2829" s="200"/>
      <c r="W2829" s="200"/>
      <c r="X2829" s="200"/>
      <c r="Y2829" s="200"/>
      <c r="Z2829" s="200"/>
      <c r="AA2829" s="201"/>
      <c r="AB2829" s="200"/>
      <c r="AC2829" s="200"/>
    </row>
    <row r="2830" ht="15.75" customHeight="1">
      <c r="A2830" s="210">
        <f t="shared" si="1"/>
        <v>2828</v>
      </c>
      <c r="B2830" s="217"/>
      <c r="C2830" s="217" t="str">
        <f>IFERROR(VLOOKUP(B2830, SourceData!$U$3:$V$190, 2, FALSE), "")</f>
        <v/>
      </c>
      <c r="D2830" s="240"/>
      <c r="E2830" s="241"/>
      <c r="F2830" s="248"/>
      <c r="G2830" s="207"/>
      <c r="H2830" s="209"/>
      <c r="I2830" s="209"/>
      <c r="J2830" s="209"/>
      <c r="K2830" s="208" t="str">
        <f>IF(Errors!$I2830=0,SourceData!$B$42,VLOOKUP(Errors!$I2830,SourceData!$A$2:$B$40,2,FALSE))</f>
        <v>Please select ERROR CODE column "I"</v>
      </c>
      <c r="L2830" s="207" t="str">
        <f>IF(Errors!$I2830=0,
    'List of Error Codes'!$E$29,
    IFERROR(VLOOKUP(Errors!$I2830, 'List of Error Codes'!D2829:I2859, 6, FALSE), 'List of Error Codes'!$E$29)
)</f>
        <v>Please select ERROR CODE column "I"</v>
      </c>
      <c r="M2830" s="209"/>
      <c r="N2830" s="209"/>
      <c r="O2830" s="209"/>
      <c r="P2830" s="209"/>
      <c r="Q2830" s="209"/>
      <c r="R2830" s="217"/>
      <c r="S2830" s="217"/>
      <c r="T2830" s="217"/>
      <c r="U2830" s="199"/>
      <c r="V2830" s="200"/>
      <c r="W2830" s="200"/>
      <c r="X2830" s="200"/>
      <c r="Y2830" s="200"/>
      <c r="Z2830" s="200"/>
      <c r="AA2830" s="201"/>
      <c r="AB2830" s="200"/>
      <c r="AC2830" s="200"/>
    </row>
    <row r="2831" ht="15.75" customHeight="1">
      <c r="A2831" s="210">
        <f t="shared" si="1"/>
        <v>2829</v>
      </c>
      <c r="B2831" s="217"/>
      <c r="C2831" s="217" t="str">
        <f>IFERROR(VLOOKUP(B2831, SourceData!$U$3:$V$190, 2, FALSE), "")</f>
        <v/>
      </c>
      <c r="D2831" s="240"/>
      <c r="E2831" s="241"/>
      <c r="F2831" s="248"/>
      <c r="G2831" s="207"/>
      <c r="H2831" s="209"/>
      <c r="I2831" s="209"/>
      <c r="J2831" s="209"/>
      <c r="K2831" s="208" t="str">
        <f>IF(Errors!$I2831=0,SourceData!$B$42,VLOOKUP(Errors!$I2831,SourceData!$A$2:$B$40,2,FALSE))</f>
        <v>Please select ERROR CODE column "I"</v>
      </c>
      <c r="L2831" s="207" t="str">
        <f>IF(Errors!$I2831=0,
    'List of Error Codes'!$E$29,
    IFERROR(VLOOKUP(Errors!$I2831, 'List of Error Codes'!D2830:I2860, 6, FALSE), 'List of Error Codes'!$E$29)
)</f>
        <v>Please select ERROR CODE column "I"</v>
      </c>
      <c r="M2831" s="209"/>
      <c r="N2831" s="209"/>
      <c r="O2831" s="209"/>
      <c r="P2831" s="209"/>
      <c r="Q2831" s="209"/>
      <c r="R2831" s="217"/>
      <c r="S2831" s="217"/>
      <c r="T2831" s="217"/>
      <c r="U2831" s="199"/>
      <c r="V2831" s="200"/>
      <c r="W2831" s="200"/>
      <c r="X2831" s="200"/>
      <c r="Y2831" s="200"/>
      <c r="Z2831" s="200"/>
      <c r="AA2831" s="201"/>
      <c r="AB2831" s="200"/>
      <c r="AC2831" s="200"/>
    </row>
    <row r="2832" ht="15.75" customHeight="1">
      <c r="A2832" s="210">
        <f t="shared" si="1"/>
        <v>2830</v>
      </c>
      <c r="B2832" s="217"/>
      <c r="C2832" s="217" t="str">
        <f>IFERROR(VLOOKUP(B2832, SourceData!$U$3:$V$190, 2, FALSE), "")</f>
        <v/>
      </c>
      <c r="D2832" s="240"/>
      <c r="E2832" s="241"/>
      <c r="F2832" s="248"/>
      <c r="G2832" s="207"/>
      <c r="H2832" s="209"/>
      <c r="I2832" s="209"/>
      <c r="J2832" s="209"/>
      <c r="K2832" s="208" t="str">
        <f>IF(Errors!$I2832=0,SourceData!$B$42,VLOOKUP(Errors!$I2832,SourceData!$A$2:$B$40,2,FALSE))</f>
        <v>Please select ERROR CODE column "I"</v>
      </c>
      <c r="L2832" s="207" t="str">
        <f>IF(Errors!$I2832=0,
    'List of Error Codes'!$E$29,
    IFERROR(VLOOKUP(Errors!$I2832, 'List of Error Codes'!D2831:I2861, 6, FALSE), 'List of Error Codes'!$E$29)
)</f>
        <v>Please select ERROR CODE column "I"</v>
      </c>
      <c r="M2832" s="209"/>
      <c r="N2832" s="209"/>
      <c r="O2832" s="209"/>
      <c r="P2832" s="209"/>
      <c r="Q2832" s="209"/>
      <c r="R2832" s="217"/>
      <c r="S2832" s="217"/>
      <c r="T2832" s="217"/>
      <c r="U2832" s="199"/>
      <c r="V2832" s="200"/>
      <c r="W2832" s="200"/>
      <c r="X2832" s="200"/>
      <c r="Y2832" s="200"/>
      <c r="Z2832" s="200"/>
      <c r="AA2832" s="201"/>
      <c r="AB2832" s="200"/>
      <c r="AC2832" s="200"/>
    </row>
    <row r="2833" ht="15.75" customHeight="1">
      <c r="A2833" s="210">
        <f t="shared" si="1"/>
        <v>2831</v>
      </c>
      <c r="B2833" s="217"/>
      <c r="C2833" s="217" t="str">
        <f>IFERROR(VLOOKUP(B2833, SourceData!$U$3:$V$190, 2, FALSE), "")</f>
        <v/>
      </c>
      <c r="D2833" s="240"/>
      <c r="E2833" s="241"/>
      <c r="F2833" s="248"/>
      <c r="G2833" s="207"/>
      <c r="H2833" s="209"/>
      <c r="I2833" s="209"/>
      <c r="J2833" s="209"/>
      <c r="K2833" s="208" t="str">
        <f>IF(Errors!$I2833=0,SourceData!$B$42,VLOOKUP(Errors!$I2833,SourceData!$A$2:$B$40,2,FALSE))</f>
        <v>Please select ERROR CODE column "I"</v>
      </c>
      <c r="L2833" s="207" t="str">
        <f>IF(Errors!$I2833=0,
    'List of Error Codes'!$E$29,
    IFERROR(VLOOKUP(Errors!$I2833, 'List of Error Codes'!D2832:I2862, 6, FALSE), 'List of Error Codes'!$E$29)
)</f>
        <v>Please select ERROR CODE column "I"</v>
      </c>
      <c r="M2833" s="209"/>
      <c r="N2833" s="209"/>
      <c r="O2833" s="209"/>
      <c r="P2833" s="209"/>
      <c r="Q2833" s="209"/>
      <c r="R2833" s="217"/>
      <c r="S2833" s="217"/>
      <c r="T2833" s="217"/>
      <c r="U2833" s="199"/>
      <c r="V2833" s="200"/>
      <c r="W2833" s="200"/>
      <c r="X2833" s="200"/>
      <c r="Y2833" s="200"/>
      <c r="Z2833" s="200"/>
      <c r="AA2833" s="201"/>
      <c r="AB2833" s="200"/>
      <c r="AC2833" s="200"/>
    </row>
    <row r="2834" ht="15.75" customHeight="1">
      <c r="A2834" s="210">
        <f t="shared" si="1"/>
        <v>2832</v>
      </c>
      <c r="B2834" s="217"/>
      <c r="C2834" s="217" t="str">
        <f>IFERROR(VLOOKUP(B2834, SourceData!$U$3:$V$190, 2, FALSE), "")</f>
        <v/>
      </c>
      <c r="D2834" s="240"/>
      <c r="E2834" s="241"/>
      <c r="F2834" s="248"/>
      <c r="G2834" s="207"/>
      <c r="H2834" s="209"/>
      <c r="I2834" s="209"/>
      <c r="J2834" s="209"/>
      <c r="K2834" s="208" t="str">
        <f>IF(Errors!$I2834=0,SourceData!$B$42,VLOOKUP(Errors!$I2834,SourceData!$A$2:$B$40,2,FALSE))</f>
        <v>Please select ERROR CODE column "I"</v>
      </c>
      <c r="L2834" s="207" t="str">
        <f>IF(Errors!$I2834=0,
    'List of Error Codes'!$E$29,
    IFERROR(VLOOKUP(Errors!$I2834, 'List of Error Codes'!D2833:I2863, 6, FALSE), 'List of Error Codes'!$E$29)
)</f>
        <v>Please select ERROR CODE column "I"</v>
      </c>
      <c r="M2834" s="209"/>
      <c r="N2834" s="209"/>
      <c r="O2834" s="209"/>
      <c r="P2834" s="209"/>
      <c r="Q2834" s="209"/>
      <c r="R2834" s="217"/>
      <c r="S2834" s="217"/>
      <c r="T2834" s="217"/>
      <c r="U2834" s="199"/>
      <c r="V2834" s="200"/>
      <c r="W2834" s="200"/>
      <c r="X2834" s="200"/>
      <c r="Y2834" s="200"/>
      <c r="Z2834" s="200"/>
      <c r="AA2834" s="201"/>
      <c r="AB2834" s="200"/>
      <c r="AC2834" s="200"/>
    </row>
    <row r="2835" ht="15.75" customHeight="1">
      <c r="A2835" s="210">
        <f t="shared" si="1"/>
        <v>2833</v>
      </c>
      <c r="B2835" s="217"/>
      <c r="C2835" s="217" t="str">
        <f>IFERROR(VLOOKUP(B2835, SourceData!$U$3:$V$190, 2, FALSE), "")</f>
        <v/>
      </c>
      <c r="D2835" s="240"/>
      <c r="E2835" s="241"/>
      <c r="F2835" s="248"/>
      <c r="G2835" s="207"/>
      <c r="H2835" s="209"/>
      <c r="I2835" s="209"/>
      <c r="J2835" s="209"/>
      <c r="K2835" s="208" t="str">
        <f>IF(Errors!$I2835=0,SourceData!$B$42,VLOOKUP(Errors!$I2835,SourceData!$A$2:$B$40,2,FALSE))</f>
        <v>Please select ERROR CODE column "I"</v>
      </c>
      <c r="L2835" s="207" t="str">
        <f>IF(Errors!$I2835=0,
    'List of Error Codes'!$E$29,
    IFERROR(VLOOKUP(Errors!$I2835, 'List of Error Codes'!D2834:I2864, 6, FALSE), 'List of Error Codes'!$E$29)
)</f>
        <v>Please select ERROR CODE column "I"</v>
      </c>
      <c r="M2835" s="209"/>
      <c r="N2835" s="209"/>
      <c r="O2835" s="209"/>
      <c r="P2835" s="209"/>
      <c r="Q2835" s="209"/>
      <c r="R2835" s="217"/>
      <c r="S2835" s="217"/>
      <c r="T2835" s="217"/>
      <c r="U2835" s="199"/>
      <c r="V2835" s="200"/>
      <c r="W2835" s="200"/>
      <c r="X2835" s="200"/>
      <c r="Y2835" s="200"/>
      <c r="Z2835" s="200"/>
      <c r="AA2835" s="201"/>
      <c r="AB2835" s="200"/>
      <c r="AC2835" s="200"/>
    </row>
    <row r="2836" ht="15.75" customHeight="1">
      <c r="A2836" s="210">
        <f t="shared" si="1"/>
        <v>2834</v>
      </c>
      <c r="B2836" s="217"/>
      <c r="C2836" s="217" t="str">
        <f>IFERROR(VLOOKUP(B2836, SourceData!$U$3:$V$190, 2, FALSE), "")</f>
        <v/>
      </c>
      <c r="D2836" s="240"/>
      <c r="E2836" s="241"/>
      <c r="F2836" s="248"/>
      <c r="G2836" s="207"/>
      <c r="H2836" s="209"/>
      <c r="I2836" s="209"/>
      <c r="J2836" s="209"/>
      <c r="K2836" s="208" t="str">
        <f>IF(Errors!$I2836=0,SourceData!$B$42,VLOOKUP(Errors!$I2836,SourceData!$A$2:$B$40,2,FALSE))</f>
        <v>Please select ERROR CODE column "I"</v>
      </c>
      <c r="L2836" s="207" t="str">
        <f>IF(Errors!$I2836=0,
    'List of Error Codes'!$E$29,
    IFERROR(VLOOKUP(Errors!$I2836, 'List of Error Codes'!D2835:I2865, 6, FALSE), 'List of Error Codes'!$E$29)
)</f>
        <v>Please select ERROR CODE column "I"</v>
      </c>
      <c r="M2836" s="209"/>
      <c r="N2836" s="209"/>
      <c r="O2836" s="209"/>
      <c r="P2836" s="209"/>
      <c r="Q2836" s="209"/>
      <c r="R2836" s="217"/>
      <c r="S2836" s="217"/>
      <c r="T2836" s="217"/>
      <c r="U2836" s="199"/>
      <c r="V2836" s="200"/>
      <c r="W2836" s="200"/>
      <c r="X2836" s="200"/>
      <c r="Y2836" s="200"/>
      <c r="Z2836" s="200"/>
      <c r="AA2836" s="201"/>
      <c r="AB2836" s="200"/>
      <c r="AC2836" s="200"/>
    </row>
    <row r="2837" ht="15.75" customHeight="1">
      <c r="A2837" s="210">
        <f t="shared" si="1"/>
        <v>2835</v>
      </c>
      <c r="B2837" s="217"/>
      <c r="C2837" s="217" t="str">
        <f>IFERROR(VLOOKUP(B2837, SourceData!$U$3:$V$190, 2, FALSE), "")</f>
        <v/>
      </c>
      <c r="D2837" s="240"/>
      <c r="E2837" s="241"/>
      <c r="F2837" s="248"/>
      <c r="G2837" s="207"/>
      <c r="H2837" s="209"/>
      <c r="I2837" s="209"/>
      <c r="J2837" s="209"/>
      <c r="K2837" s="208" t="str">
        <f>IF(Errors!$I2837=0,SourceData!$B$42,VLOOKUP(Errors!$I2837,SourceData!$A$2:$B$40,2,FALSE))</f>
        <v>Please select ERROR CODE column "I"</v>
      </c>
      <c r="L2837" s="207" t="str">
        <f>IF(Errors!$I2837=0,
    'List of Error Codes'!$E$29,
    IFERROR(VLOOKUP(Errors!$I2837, 'List of Error Codes'!D2836:I2866, 6, FALSE), 'List of Error Codes'!$E$29)
)</f>
        <v>Please select ERROR CODE column "I"</v>
      </c>
      <c r="M2837" s="209"/>
      <c r="N2837" s="209"/>
      <c r="O2837" s="209"/>
      <c r="P2837" s="209"/>
      <c r="Q2837" s="209"/>
      <c r="R2837" s="217"/>
      <c r="S2837" s="217"/>
      <c r="T2837" s="217"/>
      <c r="U2837" s="199"/>
      <c r="V2837" s="200"/>
      <c r="W2837" s="200"/>
      <c r="X2837" s="200"/>
      <c r="Y2837" s="200"/>
      <c r="Z2837" s="200"/>
      <c r="AA2837" s="201"/>
      <c r="AB2837" s="200"/>
      <c r="AC2837" s="200"/>
    </row>
    <row r="2838" ht="15.75" customHeight="1">
      <c r="A2838" s="210">
        <f t="shared" si="1"/>
        <v>2836</v>
      </c>
      <c r="B2838" s="217"/>
      <c r="C2838" s="217" t="str">
        <f>IFERROR(VLOOKUP(B2838, SourceData!$U$3:$V$190, 2, FALSE), "")</f>
        <v/>
      </c>
      <c r="D2838" s="240"/>
      <c r="E2838" s="241"/>
      <c r="F2838" s="248"/>
      <c r="G2838" s="207"/>
      <c r="H2838" s="209"/>
      <c r="I2838" s="209"/>
      <c r="J2838" s="209"/>
      <c r="K2838" s="208" t="str">
        <f>IF(Errors!$I2838=0,SourceData!$B$42,VLOOKUP(Errors!$I2838,SourceData!$A$2:$B$40,2,FALSE))</f>
        <v>Please select ERROR CODE column "I"</v>
      </c>
      <c r="L2838" s="207" t="str">
        <f>IF(Errors!$I2838=0,
    'List of Error Codes'!$E$29,
    IFERROR(VLOOKUP(Errors!$I2838, 'List of Error Codes'!D2837:I2867, 6, FALSE), 'List of Error Codes'!$E$29)
)</f>
        <v>Please select ERROR CODE column "I"</v>
      </c>
      <c r="M2838" s="209"/>
      <c r="N2838" s="209"/>
      <c r="O2838" s="209"/>
      <c r="P2838" s="209"/>
      <c r="Q2838" s="209"/>
      <c r="R2838" s="217"/>
      <c r="S2838" s="217"/>
      <c r="T2838" s="217"/>
      <c r="U2838" s="199"/>
      <c r="V2838" s="200"/>
      <c r="W2838" s="200"/>
      <c r="X2838" s="200"/>
      <c r="Y2838" s="200"/>
      <c r="Z2838" s="200"/>
      <c r="AA2838" s="201"/>
      <c r="AB2838" s="200"/>
      <c r="AC2838" s="200"/>
    </row>
    <row r="2839" ht="15.75" customHeight="1">
      <c r="A2839" s="210">
        <f t="shared" si="1"/>
        <v>2837</v>
      </c>
      <c r="B2839" s="217"/>
      <c r="C2839" s="217" t="str">
        <f>IFERROR(VLOOKUP(B2839, SourceData!$U$3:$V$190, 2, FALSE), "")</f>
        <v/>
      </c>
      <c r="D2839" s="240"/>
      <c r="E2839" s="241"/>
      <c r="F2839" s="248"/>
      <c r="G2839" s="207"/>
      <c r="H2839" s="209"/>
      <c r="I2839" s="209"/>
      <c r="J2839" s="209"/>
      <c r="K2839" s="208" t="str">
        <f>IF(Errors!$I2839=0,SourceData!$B$42,VLOOKUP(Errors!$I2839,SourceData!$A$2:$B$40,2,FALSE))</f>
        <v>Please select ERROR CODE column "I"</v>
      </c>
      <c r="L2839" s="207" t="str">
        <f>IF(Errors!$I2839=0,
    'List of Error Codes'!$E$29,
    IFERROR(VLOOKUP(Errors!$I2839, 'List of Error Codes'!D2838:I2868, 6, FALSE), 'List of Error Codes'!$E$29)
)</f>
        <v>Please select ERROR CODE column "I"</v>
      </c>
      <c r="M2839" s="209"/>
      <c r="N2839" s="209"/>
      <c r="O2839" s="209"/>
      <c r="P2839" s="209"/>
      <c r="Q2839" s="209"/>
      <c r="R2839" s="217"/>
      <c r="S2839" s="217"/>
      <c r="T2839" s="217"/>
      <c r="U2839" s="199"/>
      <c r="V2839" s="200"/>
      <c r="W2839" s="200"/>
      <c r="X2839" s="200"/>
      <c r="Y2839" s="200"/>
      <c r="Z2839" s="200"/>
      <c r="AA2839" s="201"/>
      <c r="AB2839" s="200"/>
      <c r="AC2839" s="200"/>
    </row>
    <row r="2840" ht="15.75" customHeight="1">
      <c r="A2840" s="210">
        <f t="shared" si="1"/>
        <v>2838</v>
      </c>
      <c r="B2840" s="217"/>
      <c r="C2840" s="217" t="str">
        <f>IFERROR(VLOOKUP(B2840, SourceData!$U$3:$V$190, 2, FALSE), "")</f>
        <v/>
      </c>
      <c r="D2840" s="240"/>
      <c r="E2840" s="241"/>
      <c r="F2840" s="248"/>
      <c r="G2840" s="207"/>
      <c r="H2840" s="209"/>
      <c r="I2840" s="209"/>
      <c r="J2840" s="209"/>
      <c r="K2840" s="208" t="str">
        <f>IF(Errors!$I2840=0,SourceData!$B$42,VLOOKUP(Errors!$I2840,SourceData!$A$2:$B$40,2,FALSE))</f>
        <v>Please select ERROR CODE column "I"</v>
      </c>
      <c r="L2840" s="207" t="str">
        <f>IF(Errors!$I2840=0,
    'List of Error Codes'!$E$29,
    IFERROR(VLOOKUP(Errors!$I2840, 'List of Error Codes'!D2839:I2869, 6, FALSE), 'List of Error Codes'!$E$29)
)</f>
        <v>Please select ERROR CODE column "I"</v>
      </c>
      <c r="M2840" s="209"/>
      <c r="N2840" s="209"/>
      <c r="O2840" s="209"/>
      <c r="P2840" s="209"/>
      <c r="Q2840" s="209"/>
      <c r="R2840" s="217"/>
      <c r="S2840" s="217"/>
      <c r="T2840" s="217"/>
      <c r="U2840" s="199"/>
      <c r="V2840" s="200"/>
      <c r="W2840" s="200"/>
      <c r="X2840" s="200"/>
      <c r="Y2840" s="200"/>
      <c r="Z2840" s="200"/>
      <c r="AA2840" s="201"/>
      <c r="AB2840" s="200"/>
      <c r="AC2840" s="200"/>
    </row>
    <row r="2841" ht="15.75" customHeight="1">
      <c r="A2841" s="210">
        <f t="shared" si="1"/>
        <v>2839</v>
      </c>
      <c r="B2841" s="217"/>
      <c r="C2841" s="217" t="str">
        <f>IFERROR(VLOOKUP(B2841, SourceData!$U$3:$V$190, 2, FALSE), "")</f>
        <v/>
      </c>
      <c r="D2841" s="240"/>
      <c r="E2841" s="241"/>
      <c r="F2841" s="248"/>
      <c r="G2841" s="207"/>
      <c r="H2841" s="209"/>
      <c r="I2841" s="209"/>
      <c r="J2841" s="209"/>
      <c r="K2841" s="208" t="str">
        <f>IF(Errors!$I2841=0,SourceData!$B$42,VLOOKUP(Errors!$I2841,SourceData!$A$2:$B$40,2,FALSE))</f>
        <v>Please select ERROR CODE column "I"</v>
      </c>
      <c r="L2841" s="207" t="str">
        <f>IF(Errors!$I2841=0,
    'List of Error Codes'!$E$29,
    IFERROR(VLOOKUP(Errors!$I2841, 'List of Error Codes'!D2840:I2870, 6, FALSE), 'List of Error Codes'!$E$29)
)</f>
        <v>Please select ERROR CODE column "I"</v>
      </c>
      <c r="M2841" s="209"/>
      <c r="N2841" s="209"/>
      <c r="O2841" s="209"/>
      <c r="P2841" s="209"/>
      <c r="Q2841" s="209"/>
      <c r="R2841" s="217"/>
      <c r="S2841" s="217"/>
      <c r="T2841" s="217"/>
      <c r="U2841" s="199"/>
      <c r="V2841" s="200"/>
      <c r="W2841" s="200"/>
      <c r="X2841" s="200"/>
      <c r="Y2841" s="200"/>
      <c r="Z2841" s="200"/>
      <c r="AA2841" s="201"/>
      <c r="AB2841" s="200"/>
      <c r="AC2841" s="200"/>
    </row>
    <row r="2842" ht="15.75" customHeight="1">
      <c r="A2842" s="210">
        <f t="shared" si="1"/>
        <v>2840</v>
      </c>
      <c r="B2842" s="217"/>
      <c r="C2842" s="217" t="str">
        <f>IFERROR(VLOOKUP(B2842, SourceData!$U$3:$V$190, 2, FALSE), "")</f>
        <v/>
      </c>
      <c r="D2842" s="240"/>
      <c r="E2842" s="241"/>
      <c r="F2842" s="248"/>
      <c r="G2842" s="207"/>
      <c r="H2842" s="209"/>
      <c r="I2842" s="209"/>
      <c r="J2842" s="209"/>
      <c r="K2842" s="208" t="str">
        <f>IF(Errors!$I2842=0,SourceData!$B$42,VLOOKUP(Errors!$I2842,SourceData!$A$2:$B$40,2,FALSE))</f>
        <v>Please select ERROR CODE column "I"</v>
      </c>
      <c r="L2842" s="207" t="str">
        <f>IF(Errors!$I2842=0,
    'List of Error Codes'!$E$29,
    IFERROR(VLOOKUP(Errors!$I2842, 'List of Error Codes'!D2841:I2871, 6, FALSE), 'List of Error Codes'!$E$29)
)</f>
        <v>Please select ERROR CODE column "I"</v>
      </c>
      <c r="M2842" s="209"/>
      <c r="N2842" s="209"/>
      <c r="O2842" s="209"/>
      <c r="P2842" s="209"/>
      <c r="Q2842" s="209"/>
      <c r="R2842" s="217"/>
      <c r="S2842" s="217"/>
      <c r="T2842" s="217"/>
      <c r="U2842" s="199"/>
      <c r="V2842" s="200"/>
      <c r="W2842" s="200"/>
      <c r="X2842" s="200"/>
      <c r="Y2842" s="200"/>
      <c r="Z2842" s="200"/>
      <c r="AA2842" s="201"/>
      <c r="AB2842" s="200"/>
      <c r="AC2842" s="200"/>
    </row>
    <row r="2843" ht="15.75" customHeight="1">
      <c r="A2843" s="210">
        <f t="shared" si="1"/>
        <v>2841</v>
      </c>
      <c r="B2843" s="217"/>
      <c r="C2843" s="217" t="str">
        <f>IFERROR(VLOOKUP(B2843, SourceData!$U$3:$V$190, 2, FALSE), "")</f>
        <v/>
      </c>
      <c r="D2843" s="240"/>
      <c r="E2843" s="241"/>
      <c r="F2843" s="248"/>
      <c r="G2843" s="207"/>
      <c r="H2843" s="209"/>
      <c r="I2843" s="209"/>
      <c r="J2843" s="209"/>
      <c r="K2843" s="208" t="str">
        <f>IF(Errors!$I2843=0,SourceData!$B$42,VLOOKUP(Errors!$I2843,SourceData!$A$2:$B$40,2,FALSE))</f>
        <v>Please select ERROR CODE column "I"</v>
      </c>
      <c r="L2843" s="207" t="str">
        <f>IF(Errors!$I2843=0,
    'List of Error Codes'!$E$29,
    IFERROR(VLOOKUP(Errors!$I2843, 'List of Error Codes'!D2842:I2872, 6, FALSE), 'List of Error Codes'!$E$29)
)</f>
        <v>Please select ERROR CODE column "I"</v>
      </c>
      <c r="M2843" s="209"/>
      <c r="N2843" s="209"/>
      <c r="O2843" s="209"/>
      <c r="P2843" s="209"/>
      <c r="Q2843" s="209"/>
      <c r="R2843" s="217"/>
      <c r="S2843" s="217"/>
      <c r="T2843" s="217"/>
      <c r="U2843" s="199"/>
      <c r="V2843" s="200"/>
      <c r="W2843" s="200"/>
      <c r="X2843" s="200"/>
      <c r="Y2843" s="200"/>
      <c r="Z2843" s="200"/>
      <c r="AA2843" s="201"/>
      <c r="AB2843" s="200"/>
      <c r="AC2843" s="200"/>
    </row>
    <row r="2844" ht="15.75" customHeight="1">
      <c r="A2844" s="210">
        <f t="shared" si="1"/>
        <v>2842</v>
      </c>
      <c r="B2844" s="217"/>
      <c r="C2844" s="217" t="str">
        <f>IFERROR(VLOOKUP(B2844, SourceData!$U$3:$V$190, 2, FALSE), "")</f>
        <v/>
      </c>
      <c r="D2844" s="240"/>
      <c r="E2844" s="241"/>
      <c r="F2844" s="248"/>
      <c r="G2844" s="207"/>
      <c r="H2844" s="209"/>
      <c r="I2844" s="209"/>
      <c r="J2844" s="209"/>
      <c r="K2844" s="208" t="str">
        <f>IF(Errors!$I2844=0,SourceData!$B$42,VLOOKUP(Errors!$I2844,SourceData!$A$2:$B$40,2,FALSE))</f>
        <v>Please select ERROR CODE column "I"</v>
      </c>
      <c r="L2844" s="207" t="str">
        <f>IF(Errors!$I2844=0,
    'List of Error Codes'!$E$29,
    IFERROR(VLOOKUP(Errors!$I2844, 'List of Error Codes'!D2843:I2873, 6, FALSE), 'List of Error Codes'!$E$29)
)</f>
        <v>Please select ERROR CODE column "I"</v>
      </c>
      <c r="M2844" s="209"/>
      <c r="N2844" s="209"/>
      <c r="O2844" s="209"/>
      <c r="P2844" s="209"/>
      <c r="Q2844" s="209"/>
      <c r="R2844" s="217"/>
      <c r="S2844" s="217"/>
      <c r="T2844" s="217"/>
      <c r="U2844" s="199"/>
      <c r="V2844" s="200"/>
      <c r="W2844" s="200"/>
      <c r="X2844" s="200"/>
      <c r="Y2844" s="200"/>
      <c r="Z2844" s="200"/>
      <c r="AA2844" s="201"/>
      <c r="AB2844" s="200"/>
      <c r="AC2844" s="200"/>
    </row>
    <row r="2845" ht="15.75" customHeight="1">
      <c r="A2845" s="210">
        <f t="shared" si="1"/>
        <v>2843</v>
      </c>
      <c r="B2845" s="217"/>
      <c r="C2845" s="217" t="str">
        <f>IFERROR(VLOOKUP(B2845, SourceData!$U$3:$V$190, 2, FALSE), "")</f>
        <v/>
      </c>
      <c r="D2845" s="240"/>
      <c r="E2845" s="241"/>
      <c r="F2845" s="248"/>
      <c r="G2845" s="207"/>
      <c r="H2845" s="209"/>
      <c r="I2845" s="209"/>
      <c r="J2845" s="209"/>
      <c r="K2845" s="208" t="str">
        <f>IF(Errors!$I2845=0,SourceData!$B$42,VLOOKUP(Errors!$I2845,SourceData!$A$2:$B$40,2,FALSE))</f>
        <v>Please select ERROR CODE column "I"</v>
      </c>
      <c r="L2845" s="207" t="str">
        <f>IF(Errors!$I2845=0,
    'List of Error Codes'!$E$29,
    IFERROR(VLOOKUP(Errors!$I2845, 'List of Error Codes'!D2844:I2874, 6, FALSE), 'List of Error Codes'!$E$29)
)</f>
        <v>Please select ERROR CODE column "I"</v>
      </c>
      <c r="M2845" s="209"/>
      <c r="N2845" s="209"/>
      <c r="O2845" s="209"/>
      <c r="P2845" s="209"/>
      <c r="Q2845" s="209"/>
      <c r="R2845" s="217"/>
      <c r="S2845" s="217"/>
      <c r="T2845" s="217"/>
      <c r="U2845" s="199"/>
      <c r="V2845" s="200"/>
      <c r="W2845" s="200"/>
      <c r="X2845" s="200"/>
      <c r="Y2845" s="200"/>
      <c r="Z2845" s="200"/>
      <c r="AA2845" s="201"/>
      <c r="AB2845" s="200"/>
      <c r="AC2845" s="200"/>
    </row>
    <row r="2846" ht="15.75" customHeight="1">
      <c r="A2846" s="210">
        <f t="shared" si="1"/>
        <v>2844</v>
      </c>
      <c r="B2846" s="217"/>
      <c r="C2846" s="217" t="str">
        <f>IFERROR(VLOOKUP(B2846, SourceData!$U$3:$V$190, 2, FALSE), "")</f>
        <v/>
      </c>
      <c r="D2846" s="240"/>
      <c r="E2846" s="241"/>
      <c r="F2846" s="248"/>
      <c r="G2846" s="207"/>
      <c r="H2846" s="209"/>
      <c r="I2846" s="209"/>
      <c r="J2846" s="209"/>
      <c r="K2846" s="208" t="str">
        <f>IF(Errors!$I2846=0,SourceData!$B$42,VLOOKUP(Errors!$I2846,SourceData!$A$2:$B$40,2,FALSE))</f>
        <v>Please select ERROR CODE column "I"</v>
      </c>
      <c r="L2846" s="207" t="str">
        <f>IF(Errors!$I2846=0,
    'List of Error Codes'!$E$29,
    IFERROR(VLOOKUP(Errors!$I2846, 'List of Error Codes'!D2845:I2875, 6, FALSE), 'List of Error Codes'!$E$29)
)</f>
        <v>Please select ERROR CODE column "I"</v>
      </c>
      <c r="M2846" s="209"/>
      <c r="N2846" s="209"/>
      <c r="O2846" s="209"/>
      <c r="P2846" s="209"/>
      <c r="Q2846" s="209"/>
      <c r="R2846" s="217"/>
      <c r="S2846" s="217"/>
      <c r="T2846" s="217"/>
      <c r="U2846" s="199"/>
      <c r="V2846" s="200"/>
      <c r="W2846" s="200"/>
      <c r="X2846" s="200"/>
      <c r="Y2846" s="200"/>
      <c r="Z2846" s="200"/>
      <c r="AA2846" s="201"/>
      <c r="AB2846" s="200"/>
      <c r="AC2846" s="200"/>
    </row>
    <row r="2847" ht="15.75" customHeight="1">
      <c r="A2847" s="210">
        <f t="shared" si="1"/>
        <v>2845</v>
      </c>
      <c r="B2847" s="217"/>
      <c r="C2847" s="217" t="str">
        <f>IFERROR(VLOOKUP(B2847, SourceData!$U$3:$V$190, 2, FALSE), "")</f>
        <v/>
      </c>
      <c r="D2847" s="240"/>
      <c r="E2847" s="241"/>
      <c r="F2847" s="248"/>
      <c r="G2847" s="207"/>
      <c r="H2847" s="209"/>
      <c r="I2847" s="209"/>
      <c r="J2847" s="209"/>
      <c r="K2847" s="208" t="str">
        <f>IF(Errors!$I2847=0,SourceData!$B$42,VLOOKUP(Errors!$I2847,SourceData!$A$2:$B$40,2,FALSE))</f>
        <v>Please select ERROR CODE column "I"</v>
      </c>
      <c r="L2847" s="207" t="str">
        <f>IF(Errors!$I2847=0,
    'List of Error Codes'!$E$29,
    IFERROR(VLOOKUP(Errors!$I2847, 'List of Error Codes'!D2846:I2876, 6, FALSE), 'List of Error Codes'!$E$29)
)</f>
        <v>Please select ERROR CODE column "I"</v>
      </c>
      <c r="M2847" s="209"/>
      <c r="N2847" s="209"/>
      <c r="O2847" s="209"/>
      <c r="P2847" s="209"/>
      <c r="Q2847" s="209"/>
      <c r="R2847" s="217"/>
      <c r="S2847" s="217"/>
      <c r="T2847" s="217"/>
      <c r="U2847" s="199"/>
      <c r="V2847" s="200"/>
      <c r="W2847" s="200"/>
      <c r="X2847" s="200"/>
      <c r="Y2847" s="200"/>
      <c r="Z2847" s="200"/>
      <c r="AA2847" s="201"/>
      <c r="AB2847" s="200"/>
      <c r="AC2847" s="200"/>
    </row>
    <row r="2848" ht="15.75" customHeight="1">
      <c r="A2848" s="210">
        <f t="shared" si="1"/>
        <v>2846</v>
      </c>
      <c r="B2848" s="217"/>
      <c r="C2848" s="217" t="str">
        <f>IFERROR(VLOOKUP(B2848, SourceData!$U$3:$V$190, 2, FALSE), "")</f>
        <v/>
      </c>
      <c r="D2848" s="240"/>
      <c r="E2848" s="241"/>
      <c r="F2848" s="248"/>
      <c r="G2848" s="207"/>
      <c r="H2848" s="209"/>
      <c r="I2848" s="209"/>
      <c r="J2848" s="209"/>
      <c r="K2848" s="208" t="str">
        <f>IF(Errors!$I2848=0,SourceData!$B$42,VLOOKUP(Errors!$I2848,SourceData!$A$2:$B$40,2,FALSE))</f>
        <v>Please select ERROR CODE column "I"</v>
      </c>
      <c r="L2848" s="207" t="str">
        <f>IF(Errors!$I2848=0,
    'List of Error Codes'!$E$29,
    IFERROR(VLOOKUP(Errors!$I2848, 'List of Error Codes'!D2847:I2877, 6, FALSE), 'List of Error Codes'!$E$29)
)</f>
        <v>Please select ERROR CODE column "I"</v>
      </c>
      <c r="M2848" s="209"/>
      <c r="N2848" s="209"/>
      <c r="O2848" s="209"/>
      <c r="P2848" s="209"/>
      <c r="Q2848" s="209"/>
      <c r="R2848" s="217"/>
      <c r="S2848" s="217"/>
      <c r="T2848" s="217"/>
      <c r="U2848" s="199"/>
      <c r="V2848" s="200"/>
      <c r="W2848" s="200"/>
      <c r="X2848" s="200"/>
      <c r="Y2848" s="200"/>
      <c r="Z2848" s="200"/>
      <c r="AA2848" s="201"/>
      <c r="AB2848" s="200"/>
      <c r="AC2848" s="200"/>
    </row>
    <row r="2849" ht="15.75" customHeight="1">
      <c r="A2849" s="210">
        <f t="shared" si="1"/>
        <v>2847</v>
      </c>
      <c r="B2849" s="217"/>
      <c r="C2849" s="217" t="str">
        <f>IFERROR(VLOOKUP(B2849, SourceData!$U$3:$V$190, 2, FALSE), "")</f>
        <v/>
      </c>
      <c r="D2849" s="240"/>
      <c r="E2849" s="241"/>
      <c r="F2849" s="248"/>
      <c r="G2849" s="207"/>
      <c r="H2849" s="209"/>
      <c r="I2849" s="209"/>
      <c r="J2849" s="209"/>
      <c r="K2849" s="208" t="str">
        <f>IF(Errors!$I2849=0,SourceData!$B$42,VLOOKUP(Errors!$I2849,SourceData!$A$2:$B$40,2,FALSE))</f>
        <v>Please select ERROR CODE column "I"</v>
      </c>
      <c r="L2849" s="207" t="str">
        <f>IF(Errors!$I2849=0,
    'List of Error Codes'!$E$29,
    IFERROR(VLOOKUP(Errors!$I2849, 'List of Error Codes'!D2848:I2878, 6, FALSE), 'List of Error Codes'!$E$29)
)</f>
        <v>Please select ERROR CODE column "I"</v>
      </c>
      <c r="M2849" s="209"/>
      <c r="N2849" s="209"/>
      <c r="O2849" s="209"/>
      <c r="P2849" s="209"/>
      <c r="Q2849" s="209"/>
      <c r="R2849" s="217"/>
      <c r="S2849" s="217"/>
      <c r="T2849" s="217"/>
      <c r="U2849" s="199"/>
      <c r="V2849" s="200"/>
      <c r="W2849" s="200"/>
      <c r="X2849" s="200"/>
      <c r="Y2849" s="200"/>
      <c r="Z2849" s="200"/>
      <c r="AA2849" s="201"/>
      <c r="AB2849" s="200"/>
      <c r="AC2849" s="200"/>
    </row>
    <row r="2850" ht="15.75" customHeight="1">
      <c r="A2850" s="210">
        <f t="shared" si="1"/>
        <v>2848</v>
      </c>
      <c r="B2850" s="217"/>
      <c r="C2850" s="217" t="str">
        <f>IFERROR(VLOOKUP(B2850, SourceData!$U$3:$V$190, 2, FALSE), "")</f>
        <v/>
      </c>
      <c r="D2850" s="240"/>
      <c r="E2850" s="241"/>
      <c r="F2850" s="248"/>
      <c r="G2850" s="207"/>
      <c r="H2850" s="209"/>
      <c r="I2850" s="209"/>
      <c r="J2850" s="209"/>
      <c r="K2850" s="208" t="str">
        <f>IF(Errors!$I2850=0,SourceData!$B$42,VLOOKUP(Errors!$I2850,SourceData!$A$2:$B$40,2,FALSE))</f>
        <v>Please select ERROR CODE column "I"</v>
      </c>
      <c r="L2850" s="207" t="str">
        <f>IF(Errors!$I2850=0,
    'List of Error Codes'!$E$29,
    IFERROR(VLOOKUP(Errors!$I2850, 'List of Error Codes'!D2849:I2879, 6, FALSE), 'List of Error Codes'!$E$29)
)</f>
        <v>Please select ERROR CODE column "I"</v>
      </c>
      <c r="M2850" s="209"/>
      <c r="N2850" s="209"/>
      <c r="O2850" s="209"/>
      <c r="P2850" s="209"/>
      <c r="Q2850" s="209"/>
      <c r="R2850" s="217"/>
      <c r="S2850" s="217"/>
      <c r="T2850" s="217"/>
      <c r="U2850" s="199"/>
      <c r="V2850" s="200"/>
      <c r="W2850" s="200"/>
      <c r="X2850" s="200"/>
      <c r="Y2850" s="200"/>
      <c r="Z2850" s="200"/>
      <c r="AA2850" s="201"/>
      <c r="AB2850" s="200"/>
      <c r="AC2850" s="200"/>
    </row>
    <row r="2851" ht="15.75" customHeight="1">
      <c r="A2851" s="210">
        <f t="shared" si="1"/>
        <v>2849</v>
      </c>
      <c r="B2851" s="217"/>
      <c r="C2851" s="217" t="str">
        <f>IFERROR(VLOOKUP(B2851, SourceData!$U$3:$V$190, 2, FALSE), "")</f>
        <v/>
      </c>
      <c r="D2851" s="240"/>
      <c r="E2851" s="241"/>
      <c r="F2851" s="248"/>
      <c r="G2851" s="207"/>
      <c r="H2851" s="209"/>
      <c r="I2851" s="209"/>
      <c r="J2851" s="209"/>
      <c r="K2851" s="208" t="str">
        <f>IF(Errors!$I2851=0,SourceData!$B$42,VLOOKUP(Errors!$I2851,SourceData!$A$2:$B$40,2,FALSE))</f>
        <v>Please select ERROR CODE column "I"</v>
      </c>
      <c r="L2851" s="207" t="str">
        <f>IF(Errors!$I2851=0,
    'List of Error Codes'!$E$29,
    IFERROR(VLOOKUP(Errors!$I2851, 'List of Error Codes'!D2850:I2880, 6, FALSE), 'List of Error Codes'!$E$29)
)</f>
        <v>Please select ERROR CODE column "I"</v>
      </c>
      <c r="M2851" s="209"/>
      <c r="N2851" s="209"/>
      <c r="O2851" s="209"/>
      <c r="P2851" s="209"/>
      <c r="Q2851" s="209"/>
      <c r="R2851" s="217"/>
      <c r="S2851" s="217"/>
      <c r="T2851" s="217"/>
      <c r="U2851" s="199"/>
      <c r="V2851" s="200"/>
      <c r="W2851" s="200"/>
      <c r="X2851" s="200"/>
      <c r="Y2851" s="200"/>
      <c r="Z2851" s="200"/>
      <c r="AA2851" s="201"/>
      <c r="AB2851" s="200"/>
      <c r="AC2851" s="200"/>
    </row>
    <row r="2852" ht="15.75" customHeight="1">
      <c r="A2852" s="210">
        <f t="shared" si="1"/>
        <v>2850</v>
      </c>
      <c r="B2852" s="217"/>
      <c r="C2852" s="217" t="str">
        <f>IFERROR(VLOOKUP(B2852, SourceData!$U$3:$V$190, 2, FALSE), "")</f>
        <v/>
      </c>
      <c r="D2852" s="240"/>
      <c r="E2852" s="241"/>
      <c r="F2852" s="248"/>
      <c r="G2852" s="207"/>
      <c r="H2852" s="209"/>
      <c r="I2852" s="209"/>
      <c r="J2852" s="209"/>
      <c r="K2852" s="208" t="str">
        <f>IF(Errors!$I2852=0,SourceData!$B$42,VLOOKUP(Errors!$I2852,SourceData!$A$2:$B$40,2,FALSE))</f>
        <v>Please select ERROR CODE column "I"</v>
      </c>
      <c r="L2852" s="207" t="str">
        <f>IF(Errors!$I2852=0,
    'List of Error Codes'!$E$29,
    IFERROR(VLOOKUP(Errors!$I2852, 'List of Error Codes'!D2851:I2881, 6, FALSE), 'List of Error Codes'!$E$29)
)</f>
        <v>Please select ERROR CODE column "I"</v>
      </c>
      <c r="M2852" s="209"/>
      <c r="N2852" s="209"/>
      <c r="O2852" s="209"/>
      <c r="P2852" s="209"/>
      <c r="Q2852" s="209"/>
      <c r="R2852" s="217"/>
      <c r="S2852" s="217"/>
      <c r="T2852" s="217"/>
      <c r="U2852" s="199"/>
      <c r="V2852" s="200"/>
      <c r="W2852" s="200"/>
      <c r="X2852" s="200"/>
      <c r="Y2852" s="200"/>
      <c r="Z2852" s="200"/>
      <c r="AA2852" s="201"/>
      <c r="AB2852" s="200"/>
      <c r="AC2852" s="200"/>
    </row>
    <row r="2853" ht="15.75" customHeight="1">
      <c r="A2853" s="210">
        <f t="shared" si="1"/>
        <v>2851</v>
      </c>
      <c r="B2853" s="217"/>
      <c r="C2853" s="217" t="str">
        <f>IFERROR(VLOOKUP(B2853, SourceData!$U$3:$V$190, 2, FALSE), "")</f>
        <v/>
      </c>
      <c r="D2853" s="240"/>
      <c r="E2853" s="241"/>
      <c r="F2853" s="248"/>
      <c r="G2853" s="207"/>
      <c r="H2853" s="209"/>
      <c r="I2853" s="209"/>
      <c r="J2853" s="209"/>
      <c r="K2853" s="208" t="str">
        <f>IF(Errors!$I2853=0,SourceData!$B$42,VLOOKUP(Errors!$I2853,SourceData!$A$2:$B$40,2,FALSE))</f>
        <v>Please select ERROR CODE column "I"</v>
      </c>
      <c r="L2853" s="207" t="str">
        <f>IF(Errors!$I2853=0,
    'List of Error Codes'!$E$29,
    IFERROR(VLOOKUP(Errors!$I2853, 'List of Error Codes'!D2852:I2882, 6, FALSE), 'List of Error Codes'!$E$29)
)</f>
        <v>Please select ERROR CODE column "I"</v>
      </c>
      <c r="M2853" s="209"/>
      <c r="N2853" s="209"/>
      <c r="O2853" s="209"/>
      <c r="P2853" s="209"/>
      <c r="Q2853" s="209"/>
      <c r="R2853" s="217"/>
      <c r="S2853" s="217"/>
      <c r="T2853" s="217"/>
      <c r="U2853" s="199"/>
      <c r="V2853" s="200"/>
      <c r="W2853" s="200"/>
      <c r="X2853" s="200"/>
      <c r="Y2853" s="200"/>
      <c r="Z2853" s="200"/>
      <c r="AA2853" s="201"/>
      <c r="AB2853" s="200"/>
      <c r="AC2853" s="200"/>
    </row>
    <row r="2854" ht="15.75" customHeight="1">
      <c r="A2854" s="210">
        <f t="shared" si="1"/>
        <v>2852</v>
      </c>
      <c r="B2854" s="217"/>
      <c r="C2854" s="217" t="str">
        <f>IFERROR(VLOOKUP(B2854, SourceData!$U$3:$V$190, 2, FALSE), "")</f>
        <v/>
      </c>
      <c r="D2854" s="240"/>
      <c r="E2854" s="241"/>
      <c r="F2854" s="248"/>
      <c r="G2854" s="207"/>
      <c r="H2854" s="209"/>
      <c r="I2854" s="209"/>
      <c r="J2854" s="209"/>
      <c r="K2854" s="208" t="str">
        <f>IF(Errors!$I2854=0,SourceData!$B$42,VLOOKUP(Errors!$I2854,SourceData!$A$2:$B$40,2,FALSE))</f>
        <v>Please select ERROR CODE column "I"</v>
      </c>
      <c r="L2854" s="207" t="str">
        <f>IF(Errors!$I2854=0,
    'List of Error Codes'!$E$29,
    IFERROR(VLOOKUP(Errors!$I2854, 'List of Error Codes'!D2853:I2883, 6, FALSE), 'List of Error Codes'!$E$29)
)</f>
        <v>Please select ERROR CODE column "I"</v>
      </c>
      <c r="M2854" s="209"/>
      <c r="N2854" s="209"/>
      <c r="O2854" s="209"/>
      <c r="P2854" s="209"/>
      <c r="Q2854" s="209"/>
      <c r="R2854" s="217"/>
      <c r="S2854" s="217"/>
      <c r="T2854" s="217"/>
      <c r="U2854" s="199"/>
      <c r="V2854" s="200"/>
      <c r="W2854" s="200"/>
      <c r="X2854" s="200"/>
      <c r="Y2854" s="200"/>
      <c r="Z2854" s="200"/>
      <c r="AA2854" s="201"/>
      <c r="AB2854" s="200"/>
      <c r="AC2854" s="200"/>
    </row>
    <row r="2855" ht="15.75" customHeight="1">
      <c r="A2855" s="210">
        <f t="shared" si="1"/>
        <v>2853</v>
      </c>
      <c r="B2855" s="217"/>
      <c r="C2855" s="217" t="str">
        <f>IFERROR(VLOOKUP(B2855, SourceData!$U$3:$V$190, 2, FALSE), "")</f>
        <v/>
      </c>
      <c r="D2855" s="240"/>
      <c r="E2855" s="241"/>
      <c r="F2855" s="248"/>
      <c r="G2855" s="207"/>
      <c r="H2855" s="209"/>
      <c r="I2855" s="209"/>
      <c r="J2855" s="209"/>
      <c r="K2855" s="208" t="str">
        <f>IF(Errors!$I2855=0,SourceData!$B$42,VLOOKUP(Errors!$I2855,SourceData!$A$2:$B$40,2,FALSE))</f>
        <v>Please select ERROR CODE column "I"</v>
      </c>
      <c r="L2855" s="207" t="str">
        <f>IF(Errors!$I2855=0,
    'List of Error Codes'!$E$29,
    IFERROR(VLOOKUP(Errors!$I2855, 'List of Error Codes'!D2854:I2884, 6, FALSE), 'List of Error Codes'!$E$29)
)</f>
        <v>Please select ERROR CODE column "I"</v>
      </c>
      <c r="M2855" s="209"/>
      <c r="N2855" s="209"/>
      <c r="O2855" s="209"/>
      <c r="P2855" s="209"/>
      <c r="Q2855" s="209"/>
      <c r="R2855" s="217"/>
      <c r="S2855" s="217"/>
      <c r="T2855" s="217"/>
      <c r="U2855" s="199"/>
      <c r="V2855" s="200"/>
      <c r="W2855" s="200"/>
      <c r="X2855" s="200"/>
      <c r="Y2855" s="200"/>
      <c r="Z2855" s="200"/>
      <c r="AA2855" s="201"/>
      <c r="AB2855" s="200"/>
      <c r="AC2855" s="200"/>
    </row>
    <row r="2856" ht="15.75" customHeight="1">
      <c r="A2856" s="210">
        <f t="shared" si="1"/>
        <v>2854</v>
      </c>
      <c r="B2856" s="217"/>
      <c r="C2856" s="217" t="str">
        <f>IFERROR(VLOOKUP(B2856, SourceData!$U$3:$V$190, 2, FALSE), "")</f>
        <v/>
      </c>
      <c r="D2856" s="240"/>
      <c r="E2856" s="241"/>
      <c r="F2856" s="248"/>
      <c r="G2856" s="207"/>
      <c r="H2856" s="209"/>
      <c r="I2856" s="209"/>
      <c r="J2856" s="209"/>
      <c r="K2856" s="208" t="str">
        <f>IF(Errors!$I2856=0,SourceData!$B$42,VLOOKUP(Errors!$I2856,SourceData!$A$2:$B$40,2,FALSE))</f>
        <v>Please select ERROR CODE column "I"</v>
      </c>
      <c r="L2856" s="207" t="str">
        <f>IF(Errors!$I2856=0,
    'List of Error Codes'!$E$29,
    IFERROR(VLOOKUP(Errors!$I2856, 'List of Error Codes'!D2855:I2885, 6, FALSE), 'List of Error Codes'!$E$29)
)</f>
        <v>Please select ERROR CODE column "I"</v>
      </c>
      <c r="M2856" s="209"/>
      <c r="N2856" s="209"/>
      <c r="O2856" s="209"/>
      <c r="P2856" s="209"/>
      <c r="Q2856" s="209"/>
      <c r="R2856" s="217"/>
      <c r="S2856" s="217"/>
      <c r="T2856" s="217"/>
      <c r="U2856" s="199"/>
      <c r="V2856" s="200"/>
      <c r="W2856" s="200"/>
      <c r="X2856" s="200"/>
      <c r="Y2856" s="200"/>
      <c r="Z2856" s="200"/>
      <c r="AA2856" s="201"/>
      <c r="AB2856" s="200"/>
      <c r="AC2856" s="200"/>
    </row>
    <row r="2857" ht="15.75" customHeight="1">
      <c r="A2857" s="210">
        <f t="shared" si="1"/>
        <v>2855</v>
      </c>
      <c r="B2857" s="217"/>
      <c r="C2857" s="217" t="str">
        <f>IFERROR(VLOOKUP(B2857, SourceData!$U$3:$V$190, 2, FALSE), "")</f>
        <v/>
      </c>
      <c r="D2857" s="240"/>
      <c r="E2857" s="241"/>
      <c r="F2857" s="248"/>
      <c r="G2857" s="207"/>
      <c r="H2857" s="209"/>
      <c r="I2857" s="209"/>
      <c r="J2857" s="209"/>
      <c r="K2857" s="208" t="str">
        <f>IF(Errors!$I2857=0,SourceData!$B$42,VLOOKUP(Errors!$I2857,SourceData!$A$2:$B$40,2,FALSE))</f>
        <v>Please select ERROR CODE column "I"</v>
      </c>
      <c r="L2857" s="207" t="str">
        <f>IF(Errors!$I2857=0,
    'List of Error Codes'!$E$29,
    IFERROR(VLOOKUP(Errors!$I2857, 'List of Error Codes'!D2856:I2886, 6, FALSE), 'List of Error Codes'!$E$29)
)</f>
        <v>Please select ERROR CODE column "I"</v>
      </c>
      <c r="M2857" s="209"/>
      <c r="N2857" s="209"/>
      <c r="O2857" s="209"/>
      <c r="P2857" s="209"/>
      <c r="Q2857" s="209"/>
      <c r="R2857" s="217"/>
      <c r="S2857" s="217"/>
      <c r="T2857" s="217"/>
      <c r="U2857" s="199"/>
      <c r="V2857" s="200"/>
      <c r="W2857" s="200"/>
      <c r="X2857" s="200"/>
      <c r="Y2857" s="200"/>
      <c r="Z2857" s="200"/>
      <c r="AA2857" s="201"/>
      <c r="AB2857" s="200"/>
      <c r="AC2857" s="200"/>
    </row>
    <row r="2858" ht="15.75" customHeight="1">
      <c r="A2858" s="210">
        <f t="shared" si="1"/>
        <v>2856</v>
      </c>
      <c r="B2858" s="217"/>
      <c r="C2858" s="217" t="str">
        <f>IFERROR(VLOOKUP(B2858, SourceData!$U$3:$V$190, 2, FALSE), "")</f>
        <v/>
      </c>
      <c r="D2858" s="240"/>
      <c r="E2858" s="241"/>
      <c r="F2858" s="248"/>
      <c r="G2858" s="207"/>
      <c r="H2858" s="209"/>
      <c r="I2858" s="209"/>
      <c r="J2858" s="209"/>
      <c r="K2858" s="208" t="str">
        <f>IF(Errors!$I2858=0,SourceData!$B$42,VLOOKUP(Errors!$I2858,SourceData!$A$2:$B$40,2,FALSE))</f>
        <v>Please select ERROR CODE column "I"</v>
      </c>
      <c r="L2858" s="207" t="str">
        <f>IF(Errors!$I2858=0,
    'List of Error Codes'!$E$29,
    IFERROR(VLOOKUP(Errors!$I2858, 'List of Error Codes'!D2857:I2887, 6, FALSE), 'List of Error Codes'!$E$29)
)</f>
        <v>Please select ERROR CODE column "I"</v>
      </c>
      <c r="M2858" s="209"/>
      <c r="N2858" s="209"/>
      <c r="O2858" s="209"/>
      <c r="P2858" s="209"/>
      <c r="Q2858" s="209"/>
      <c r="R2858" s="217"/>
      <c r="S2858" s="217"/>
      <c r="T2858" s="217"/>
      <c r="U2858" s="199"/>
      <c r="V2858" s="200"/>
      <c r="W2858" s="200"/>
      <c r="X2858" s="200"/>
      <c r="Y2858" s="200"/>
      <c r="Z2858" s="200"/>
      <c r="AA2858" s="201"/>
      <c r="AB2858" s="200"/>
      <c r="AC2858" s="200"/>
    </row>
    <row r="2859" ht="15.75" customHeight="1">
      <c r="A2859" s="210">
        <f t="shared" si="1"/>
        <v>2857</v>
      </c>
      <c r="B2859" s="217"/>
      <c r="C2859" s="217" t="str">
        <f>IFERROR(VLOOKUP(B2859, SourceData!$U$3:$V$190, 2, FALSE), "")</f>
        <v/>
      </c>
      <c r="D2859" s="240"/>
      <c r="E2859" s="241"/>
      <c r="F2859" s="248"/>
      <c r="G2859" s="207"/>
      <c r="H2859" s="209"/>
      <c r="I2859" s="209"/>
      <c r="J2859" s="209"/>
      <c r="K2859" s="208" t="str">
        <f>IF(Errors!$I2859=0,SourceData!$B$42,VLOOKUP(Errors!$I2859,SourceData!$A$2:$B$40,2,FALSE))</f>
        <v>Please select ERROR CODE column "I"</v>
      </c>
      <c r="L2859" s="207" t="str">
        <f>IF(Errors!$I2859=0,
    'List of Error Codes'!$E$29,
    IFERROR(VLOOKUP(Errors!$I2859, 'List of Error Codes'!D2858:I2888, 6, FALSE), 'List of Error Codes'!$E$29)
)</f>
        <v>Please select ERROR CODE column "I"</v>
      </c>
      <c r="M2859" s="209"/>
      <c r="N2859" s="209"/>
      <c r="O2859" s="209"/>
      <c r="P2859" s="209"/>
      <c r="Q2859" s="209"/>
      <c r="R2859" s="217"/>
      <c r="S2859" s="217"/>
      <c r="T2859" s="217"/>
      <c r="U2859" s="199"/>
      <c r="V2859" s="200"/>
      <c r="W2859" s="200"/>
      <c r="X2859" s="200"/>
      <c r="Y2859" s="200"/>
      <c r="Z2859" s="200"/>
      <c r="AA2859" s="201"/>
      <c r="AB2859" s="200"/>
      <c r="AC2859" s="200"/>
    </row>
    <row r="2860" ht="15.75" customHeight="1">
      <c r="A2860" s="210">
        <f t="shared" si="1"/>
        <v>2858</v>
      </c>
      <c r="B2860" s="217"/>
      <c r="C2860" s="217" t="str">
        <f>IFERROR(VLOOKUP(B2860, SourceData!$U$3:$V$190, 2, FALSE), "")</f>
        <v/>
      </c>
      <c r="D2860" s="240"/>
      <c r="E2860" s="241"/>
      <c r="F2860" s="248"/>
      <c r="G2860" s="207"/>
      <c r="H2860" s="209"/>
      <c r="I2860" s="209"/>
      <c r="J2860" s="209"/>
      <c r="K2860" s="208" t="str">
        <f>IF(Errors!$I2860=0,SourceData!$B$42,VLOOKUP(Errors!$I2860,SourceData!$A$2:$B$40,2,FALSE))</f>
        <v>Please select ERROR CODE column "I"</v>
      </c>
      <c r="L2860" s="207" t="str">
        <f>IF(Errors!$I2860=0,
    'List of Error Codes'!$E$29,
    IFERROR(VLOOKUP(Errors!$I2860, 'List of Error Codes'!D2859:I2889, 6, FALSE), 'List of Error Codes'!$E$29)
)</f>
        <v>Please select ERROR CODE column "I"</v>
      </c>
      <c r="M2860" s="209"/>
      <c r="N2860" s="209"/>
      <c r="O2860" s="209"/>
      <c r="P2860" s="209"/>
      <c r="Q2860" s="209"/>
      <c r="R2860" s="217"/>
      <c r="S2860" s="217"/>
      <c r="T2860" s="217"/>
      <c r="U2860" s="199"/>
      <c r="V2860" s="200"/>
      <c r="W2860" s="200"/>
      <c r="X2860" s="200"/>
      <c r="Y2860" s="200"/>
      <c r="Z2860" s="200"/>
      <c r="AA2860" s="201"/>
      <c r="AB2860" s="200"/>
      <c r="AC2860" s="200"/>
    </row>
    <row r="2861" ht="15.75" customHeight="1">
      <c r="A2861" s="210">
        <f t="shared" si="1"/>
        <v>2859</v>
      </c>
      <c r="B2861" s="217"/>
      <c r="C2861" s="217" t="str">
        <f>IFERROR(VLOOKUP(B2861, SourceData!$U$3:$V$190, 2, FALSE), "")</f>
        <v/>
      </c>
      <c r="D2861" s="240"/>
      <c r="E2861" s="241"/>
      <c r="F2861" s="248"/>
      <c r="G2861" s="207"/>
      <c r="H2861" s="209"/>
      <c r="I2861" s="209"/>
      <c r="J2861" s="209"/>
      <c r="K2861" s="208" t="str">
        <f>IF(Errors!$I2861=0,SourceData!$B$42,VLOOKUP(Errors!$I2861,SourceData!$A$2:$B$40,2,FALSE))</f>
        <v>Please select ERROR CODE column "I"</v>
      </c>
      <c r="L2861" s="207" t="str">
        <f>IF(Errors!$I2861=0,
    'List of Error Codes'!$E$29,
    IFERROR(VLOOKUP(Errors!$I2861, 'List of Error Codes'!D2860:I2890, 6, FALSE), 'List of Error Codes'!$E$29)
)</f>
        <v>Please select ERROR CODE column "I"</v>
      </c>
      <c r="M2861" s="209"/>
      <c r="N2861" s="209"/>
      <c r="O2861" s="209"/>
      <c r="P2861" s="209"/>
      <c r="Q2861" s="209"/>
      <c r="R2861" s="217"/>
      <c r="S2861" s="217"/>
      <c r="T2861" s="217"/>
      <c r="U2861" s="199"/>
      <c r="V2861" s="200"/>
      <c r="W2861" s="200"/>
      <c r="X2861" s="200"/>
      <c r="Y2861" s="200"/>
      <c r="Z2861" s="200"/>
      <c r="AA2861" s="201"/>
      <c r="AB2861" s="200"/>
      <c r="AC2861" s="200"/>
    </row>
    <row r="2862" ht="15.75" customHeight="1">
      <c r="A2862" s="210">
        <f t="shared" si="1"/>
        <v>2860</v>
      </c>
      <c r="B2862" s="217"/>
      <c r="C2862" s="217" t="str">
        <f>IFERROR(VLOOKUP(B2862, SourceData!$U$3:$V$190, 2, FALSE), "")</f>
        <v/>
      </c>
      <c r="D2862" s="240"/>
      <c r="E2862" s="241"/>
      <c r="F2862" s="248"/>
      <c r="G2862" s="207"/>
      <c r="H2862" s="209"/>
      <c r="I2862" s="209"/>
      <c r="J2862" s="209"/>
      <c r="K2862" s="208" t="str">
        <f>IF(Errors!$I2862=0,SourceData!$B$42,VLOOKUP(Errors!$I2862,SourceData!$A$2:$B$40,2,FALSE))</f>
        <v>Please select ERROR CODE column "I"</v>
      </c>
      <c r="L2862" s="207" t="str">
        <f>IF(Errors!$I2862=0,
    'List of Error Codes'!$E$29,
    IFERROR(VLOOKUP(Errors!$I2862, 'List of Error Codes'!D2861:I2891, 6, FALSE), 'List of Error Codes'!$E$29)
)</f>
        <v>Please select ERROR CODE column "I"</v>
      </c>
      <c r="M2862" s="209"/>
      <c r="N2862" s="209"/>
      <c r="O2862" s="209"/>
      <c r="P2862" s="209"/>
      <c r="Q2862" s="209"/>
      <c r="R2862" s="217"/>
      <c r="S2862" s="217"/>
      <c r="T2862" s="217"/>
      <c r="U2862" s="199"/>
      <c r="V2862" s="200"/>
      <c r="W2862" s="200"/>
      <c r="X2862" s="200"/>
      <c r="Y2862" s="200"/>
      <c r="Z2862" s="200"/>
      <c r="AA2862" s="201"/>
      <c r="AB2862" s="200"/>
      <c r="AC2862" s="200"/>
    </row>
    <row r="2863" ht="15.75" customHeight="1">
      <c r="A2863" s="210">
        <f t="shared" si="1"/>
        <v>2861</v>
      </c>
      <c r="B2863" s="217"/>
      <c r="C2863" s="217" t="str">
        <f>IFERROR(VLOOKUP(B2863, SourceData!$U$3:$V$190, 2, FALSE), "")</f>
        <v/>
      </c>
      <c r="D2863" s="240"/>
      <c r="E2863" s="241"/>
      <c r="F2863" s="248"/>
      <c r="G2863" s="207"/>
      <c r="H2863" s="209"/>
      <c r="I2863" s="209"/>
      <c r="J2863" s="209"/>
      <c r="K2863" s="208" t="str">
        <f>IF(Errors!$I2863=0,SourceData!$B$42,VLOOKUP(Errors!$I2863,SourceData!$A$2:$B$40,2,FALSE))</f>
        <v>Please select ERROR CODE column "I"</v>
      </c>
      <c r="L2863" s="207" t="str">
        <f>IF(Errors!$I2863=0,
    'List of Error Codes'!$E$29,
    IFERROR(VLOOKUP(Errors!$I2863, 'List of Error Codes'!D2862:I2892, 6, FALSE), 'List of Error Codes'!$E$29)
)</f>
        <v>Please select ERROR CODE column "I"</v>
      </c>
      <c r="M2863" s="209"/>
      <c r="N2863" s="209"/>
      <c r="O2863" s="209"/>
      <c r="P2863" s="209"/>
      <c r="Q2863" s="209"/>
      <c r="R2863" s="217"/>
      <c r="S2863" s="217"/>
      <c r="T2863" s="217"/>
      <c r="U2863" s="199"/>
      <c r="V2863" s="200"/>
      <c r="W2863" s="200"/>
      <c r="X2863" s="200"/>
      <c r="Y2863" s="200"/>
      <c r="Z2863" s="200"/>
      <c r="AA2863" s="201"/>
      <c r="AB2863" s="200"/>
      <c r="AC2863" s="200"/>
    </row>
    <row r="2864" ht="15.75" customHeight="1">
      <c r="A2864" s="210">
        <f t="shared" si="1"/>
        <v>2862</v>
      </c>
      <c r="B2864" s="217"/>
      <c r="C2864" s="217" t="str">
        <f>IFERROR(VLOOKUP(B2864, SourceData!$U$3:$V$190, 2, FALSE), "")</f>
        <v/>
      </c>
      <c r="D2864" s="240"/>
      <c r="E2864" s="241"/>
      <c r="F2864" s="248"/>
      <c r="G2864" s="207"/>
      <c r="H2864" s="209"/>
      <c r="I2864" s="209"/>
      <c r="J2864" s="209"/>
      <c r="K2864" s="208" t="str">
        <f>IF(Errors!$I2864=0,SourceData!$B$42,VLOOKUP(Errors!$I2864,SourceData!$A$2:$B$40,2,FALSE))</f>
        <v>Please select ERROR CODE column "I"</v>
      </c>
      <c r="L2864" s="207" t="str">
        <f>IF(Errors!$I2864=0,
    'List of Error Codes'!$E$29,
    IFERROR(VLOOKUP(Errors!$I2864, 'List of Error Codes'!D2863:I2893, 6, FALSE), 'List of Error Codes'!$E$29)
)</f>
        <v>Please select ERROR CODE column "I"</v>
      </c>
      <c r="M2864" s="209"/>
      <c r="N2864" s="209"/>
      <c r="O2864" s="209"/>
      <c r="P2864" s="209"/>
      <c r="Q2864" s="209"/>
      <c r="R2864" s="217"/>
      <c r="S2864" s="217"/>
      <c r="T2864" s="217"/>
      <c r="U2864" s="199"/>
      <c r="V2864" s="200"/>
      <c r="W2864" s="200"/>
      <c r="X2864" s="200"/>
      <c r="Y2864" s="200"/>
      <c r="Z2864" s="200"/>
      <c r="AA2864" s="201"/>
      <c r="AB2864" s="200"/>
      <c r="AC2864" s="200"/>
    </row>
    <row r="2865" ht="15.75" customHeight="1">
      <c r="A2865" s="210">
        <f t="shared" si="1"/>
        <v>2863</v>
      </c>
      <c r="B2865" s="217"/>
      <c r="C2865" s="217" t="str">
        <f>IFERROR(VLOOKUP(B2865, SourceData!$U$3:$V$190, 2, FALSE), "")</f>
        <v/>
      </c>
      <c r="D2865" s="240"/>
      <c r="E2865" s="241"/>
      <c r="F2865" s="248"/>
      <c r="G2865" s="207"/>
      <c r="H2865" s="209"/>
      <c r="I2865" s="209"/>
      <c r="J2865" s="209"/>
      <c r="K2865" s="208" t="str">
        <f>IF(Errors!$I2865=0,SourceData!$B$42,VLOOKUP(Errors!$I2865,SourceData!$A$2:$B$40,2,FALSE))</f>
        <v>Please select ERROR CODE column "I"</v>
      </c>
      <c r="L2865" s="207" t="str">
        <f>IF(Errors!$I2865=0,
    'List of Error Codes'!$E$29,
    IFERROR(VLOOKUP(Errors!$I2865, 'List of Error Codes'!D2864:I2894, 6, FALSE), 'List of Error Codes'!$E$29)
)</f>
        <v>Please select ERROR CODE column "I"</v>
      </c>
      <c r="M2865" s="209"/>
      <c r="N2865" s="209"/>
      <c r="O2865" s="209"/>
      <c r="P2865" s="209"/>
      <c r="Q2865" s="209"/>
      <c r="R2865" s="217"/>
      <c r="S2865" s="217"/>
      <c r="T2865" s="217"/>
      <c r="U2865" s="199"/>
      <c r="V2865" s="200"/>
      <c r="W2865" s="200"/>
      <c r="X2865" s="200"/>
      <c r="Y2865" s="200"/>
      <c r="Z2865" s="200"/>
      <c r="AA2865" s="201"/>
      <c r="AB2865" s="200"/>
      <c r="AC2865" s="200"/>
    </row>
    <row r="2866" ht="15.75" customHeight="1">
      <c r="A2866" s="210">
        <f t="shared" si="1"/>
        <v>2864</v>
      </c>
      <c r="B2866" s="217"/>
      <c r="C2866" s="217" t="str">
        <f>IFERROR(VLOOKUP(B2866, SourceData!$U$3:$V$190, 2, FALSE), "")</f>
        <v/>
      </c>
      <c r="D2866" s="240"/>
      <c r="E2866" s="241"/>
      <c r="F2866" s="248"/>
      <c r="G2866" s="207"/>
      <c r="H2866" s="209"/>
      <c r="I2866" s="209"/>
      <c r="J2866" s="209"/>
      <c r="K2866" s="208" t="str">
        <f>IF(Errors!$I2866=0,SourceData!$B$42,VLOOKUP(Errors!$I2866,SourceData!$A$2:$B$40,2,FALSE))</f>
        <v>Please select ERROR CODE column "I"</v>
      </c>
      <c r="L2866" s="207" t="str">
        <f>IF(Errors!$I2866=0,
    'List of Error Codes'!$E$29,
    IFERROR(VLOOKUP(Errors!$I2866, 'List of Error Codes'!D2865:I2895, 6, FALSE), 'List of Error Codes'!$E$29)
)</f>
        <v>Please select ERROR CODE column "I"</v>
      </c>
      <c r="M2866" s="209"/>
      <c r="N2866" s="209"/>
      <c r="O2866" s="209"/>
      <c r="P2866" s="209"/>
      <c r="Q2866" s="209"/>
      <c r="R2866" s="217"/>
      <c r="S2866" s="217"/>
      <c r="T2866" s="217"/>
      <c r="U2866" s="199"/>
      <c r="V2866" s="200"/>
      <c r="W2866" s="200"/>
      <c r="X2866" s="200"/>
      <c r="Y2866" s="200"/>
      <c r="Z2866" s="200"/>
      <c r="AA2866" s="201"/>
      <c r="AB2866" s="200"/>
      <c r="AC2866" s="200"/>
    </row>
    <row r="2867" ht="15.75" customHeight="1">
      <c r="A2867" s="210">
        <f t="shared" si="1"/>
        <v>2865</v>
      </c>
      <c r="B2867" s="217"/>
      <c r="C2867" s="217" t="str">
        <f>IFERROR(VLOOKUP(B2867, SourceData!$U$3:$V$190, 2, FALSE), "")</f>
        <v/>
      </c>
      <c r="D2867" s="240"/>
      <c r="E2867" s="241"/>
      <c r="F2867" s="248"/>
      <c r="G2867" s="207"/>
      <c r="H2867" s="209"/>
      <c r="I2867" s="209"/>
      <c r="J2867" s="209"/>
      <c r="K2867" s="208" t="str">
        <f>IF(Errors!$I2867=0,SourceData!$B$42,VLOOKUP(Errors!$I2867,SourceData!$A$2:$B$40,2,FALSE))</f>
        <v>Please select ERROR CODE column "I"</v>
      </c>
      <c r="L2867" s="207" t="str">
        <f>IF(Errors!$I2867=0,
    'List of Error Codes'!$E$29,
    IFERROR(VLOOKUP(Errors!$I2867, 'List of Error Codes'!D2866:I2896, 6, FALSE), 'List of Error Codes'!$E$29)
)</f>
        <v>Please select ERROR CODE column "I"</v>
      </c>
      <c r="M2867" s="209"/>
      <c r="N2867" s="209"/>
      <c r="O2867" s="209"/>
      <c r="P2867" s="209"/>
      <c r="Q2867" s="209"/>
      <c r="R2867" s="217"/>
      <c r="S2867" s="217"/>
      <c r="T2867" s="217"/>
      <c r="U2867" s="199"/>
      <c r="V2867" s="200"/>
      <c r="W2867" s="200"/>
      <c r="X2867" s="200"/>
      <c r="Y2867" s="200"/>
      <c r="Z2867" s="200"/>
      <c r="AA2867" s="201"/>
      <c r="AB2867" s="200"/>
      <c r="AC2867" s="200"/>
    </row>
    <row r="2868" ht="15.75" customHeight="1">
      <c r="A2868" s="210">
        <f t="shared" si="1"/>
        <v>2866</v>
      </c>
      <c r="B2868" s="217"/>
      <c r="C2868" s="217" t="str">
        <f>IFERROR(VLOOKUP(B2868, SourceData!$U$3:$V$190, 2, FALSE), "")</f>
        <v/>
      </c>
      <c r="D2868" s="240"/>
      <c r="E2868" s="241"/>
      <c r="F2868" s="248"/>
      <c r="G2868" s="207"/>
      <c r="H2868" s="209"/>
      <c r="I2868" s="209"/>
      <c r="J2868" s="209"/>
      <c r="K2868" s="208" t="str">
        <f>IF(Errors!$I2868=0,SourceData!$B$42,VLOOKUP(Errors!$I2868,SourceData!$A$2:$B$40,2,FALSE))</f>
        <v>Please select ERROR CODE column "I"</v>
      </c>
      <c r="L2868" s="207" t="str">
        <f>IF(Errors!$I2868=0,
    'List of Error Codes'!$E$29,
    IFERROR(VLOOKUP(Errors!$I2868, 'List of Error Codes'!D2867:I2897, 6, FALSE), 'List of Error Codes'!$E$29)
)</f>
        <v>Please select ERROR CODE column "I"</v>
      </c>
      <c r="M2868" s="209"/>
      <c r="N2868" s="209"/>
      <c r="O2868" s="209"/>
      <c r="P2868" s="209"/>
      <c r="Q2868" s="209"/>
      <c r="R2868" s="217"/>
      <c r="S2868" s="217"/>
      <c r="T2868" s="217"/>
      <c r="U2868" s="199"/>
      <c r="V2868" s="200"/>
      <c r="W2868" s="200"/>
      <c r="X2868" s="200"/>
      <c r="Y2868" s="200"/>
      <c r="Z2868" s="200"/>
      <c r="AA2868" s="201"/>
      <c r="AB2868" s="200"/>
      <c r="AC2868" s="200"/>
    </row>
    <row r="2869" ht="15.75" customHeight="1">
      <c r="A2869" s="210">
        <f t="shared" si="1"/>
        <v>2867</v>
      </c>
      <c r="B2869" s="217"/>
      <c r="C2869" s="217" t="str">
        <f>IFERROR(VLOOKUP(B2869, SourceData!$U$3:$V$190, 2, FALSE), "")</f>
        <v/>
      </c>
      <c r="D2869" s="240"/>
      <c r="E2869" s="241"/>
      <c r="F2869" s="248"/>
      <c r="G2869" s="207"/>
      <c r="H2869" s="209"/>
      <c r="I2869" s="209"/>
      <c r="J2869" s="209"/>
      <c r="K2869" s="208" t="str">
        <f>IF(Errors!$I2869=0,SourceData!$B$42,VLOOKUP(Errors!$I2869,SourceData!$A$2:$B$40,2,FALSE))</f>
        <v>Please select ERROR CODE column "I"</v>
      </c>
      <c r="L2869" s="207" t="str">
        <f>IF(Errors!$I2869=0,
    'List of Error Codes'!$E$29,
    IFERROR(VLOOKUP(Errors!$I2869, 'List of Error Codes'!D2868:I2898, 6, FALSE), 'List of Error Codes'!$E$29)
)</f>
        <v>Please select ERROR CODE column "I"</v>
      </c>
      <c r="M2869" s="209"/>
      <c r="N2869" s="209"/>
      <c r="O2869" s="209"/>
      <c r="P2869" s="209"/>
      <c r="Q2869" s="209"/>
      <c r="R2869" s="217"/>
      <c r="S2869" s="217"/>
      <c r="T2869" s="217"/>
      <c r="U2869" s="199"/>
      <c r="V2869" s="200"/>
      <c r="W2869" s="200"/>
      <c r="X2869" s="200"/>
      <c r="Y2869" s="200"/>
      <c r="Z2869" s="200"/>
      <c r="AA2869" s="201"/>
      <c r="AB2869" s="200"/>
      <c r="AC2869" s="200"/>
    </row>
    <row r="2870" ht="15.75" customHeight="1">
      <c r="A2870" s="210">
        <f t="shared" si="1"/>
        <v>2868</v>
      </c>
      <c r="B2870" s="217"/>
      <c r="C2870" s="217" t="str">
        <f>IFERROR(VLOOKUP(B2870, SourceData!$U$3:$V$190, 2, FALSE), "")</f>
        <v/>
      </c>
      <c r="D2870" s="240"/>
      <c r="E2870" s="241"/>
      <c r="F2870" s="248"/>
      <c r="G2870" s="207"/>
      <c r="H2870" s="209"/>
      <c r="I2870" s="209"/>
      <c r="J2870" s="209"/>
      <c r="K2870" s="208" t="str">
        <f>IF(Errors!$I2870=0,SourceData!$B$42,VLOOKUP(Errors!$I2870,SourceData!$A$2:$B$40,2,FALSE))</f>
        <v>Please select ERROR CODE column "I"</v>
      </c>
      <c r="L2870" s="207" t="str">
        <f>IF(Errors!$I2870=0,
    'List of Error Codes'!$E$29,
    IFERROR(VLOOKUP(Errors!$I2870, 'List of Error Codes'!D2869:I2899, 6, FALSE), 'List of Error Codes'!$E$29)
)</f>
        <v>Please select ERROR CODE column "I"</v>
      </c>
      <c r="M2870" s="209"/>
      <c r="N2870" s="209"/>
      <c r="O2870" s="209"/>
      <c r="P2870" s="209"/>
      <c r="Q2870" s="209"/>
      <c r="R2870" s="217"/>
      <c r="S2870" s="217"/>
      <c r="T2870" s="217"/>
      <c r="U2870" s="199"/>
      <c r="V2870" s="200"/>
      <c r="W2870" s="200"/>
      <c r="X2870" s="200"/>
      <c r="Y2870" s="200"/>
      <c r="Z2870" s="200"/>
      <c r="AA2870" s="201"/>
      <c r="AB2870" s="200"/>
      <c r="AC2870" s="200"/>
    </row>
    <row r="2871" ht="15.75" customHeight="1">
      <c r="A2871" s="210">
        <f t="shared" si="1"/>
        <v>2869</v>
      </c>
      <c r="B2871" s="217"/>
      <c r="C2871" s="217" t="str">
        <f>IFERROR(VLOOKUP(B2871, SourceData!$U$3:$V$190, 2, FALSE), "")</f>
        <v/>
      </c>
      <c r="D2871" s="240"/>
      <c r="E2871" s="241"/>
      <c r="F2871" s="248"/>
      <c r="G2871" s="207"/>
      <c r="H2871" s="209"/>
      <c r="I2871" s="209"/>
      <c r="J2871" s="209"/>
      <c r="K2871" s="208" t="str">
        <f>IF(Errors!$I2871=0,SourceData!$B$42,VLOOKUP(Errors!$I2871,SourceData!$A$2:$B$40,2,FALSE))</f>
        <v>Please select ERROR CODE column "I"</v>
      </c>
      <c r="L2871" s="207" t="str">
        <f>IF(Errors!$I2871=0,
    'List of Error Codes'!$E$29,
    IFERROR(VLOOKUP(Errors!$I2871, 'List of Error Codes'!D2870:I2900, 6, FALSE), 'List of Error Codes'!$E$29)
)</f>
        <v>Please select ERROR CODE column "I"</v>
      </c>
      <c r="M2871" s="209"/>
      <c r="N2871" s="209"/>
      <c r="O2871" s="209"/>
      <c r="P2871" s="209"/>
      <c r="Q2871" s="209"/>
      <c r="R2871" s="217"/>
      <c r="S2871" s="217"/>
      <c r="T2871" s="217"/>
      <c r="U2871" s="199"/>
      <c r="V2871" s="200"/>
      <c r="W2871" s="200"/>
      <c r="X2871" s="200"/>
      <c r="Y2871" s="200"/>
      <c r="Z2871" s="200"/>
      <c r="AA2871" s="201"/>
      <c r="AB2871" s="200"/>
      <c r="AC2871" s="200"/>
    </row>
    <row r="2872" ht="15.75" customHeight="1">
      <c r="A2872" s="210">
        <f t="shared" si="1"/>
        <v>2870</v>
      </c>
      <c r="B2872" s="217"/>
      <c r="C2872" s="217" t="str">
        <f>IFERROR(VLOOKUP(B2872, SourceData!$U$3:$V$190, 2, FALSE), "")</f>
        <v/>
      </c>
      <c r="D2872" s="240"/>
      <c r="E2872" s="241"/>
      <c r="F2872" s="248"/>
      <c r="G2872" s="207"/>
      <c r="H2872" s="209"/>
      <c r="I2872" s="209"/>
      <c r="J2872" s="209"/>
      <c r="K2872" s="208" t="str">
        <f>IF(Errors!$I2872=0,SourceData!$B$42,VLOOKUP(Errors!$I2872,SourceData!$A$2:$B$40,2,FALSE))</f>
        <v>Please select ERROR CODE column "I"</v>
      </c>
      <c r="L2872" s="207" t="str">
        <f>IF(Errors!$I2872=0,
    'List of Error Codes'!$E$29,
    IFERROR(VLOOKUP(Errors!$I2872, 'List of Error Codes'!D2871:I2901, 6, FALSE), 'List of Error Codes'!$E$29)
)</f>
        <v>Please select ERROR CODE column "I"</v>
      </c>
      <c r="M2872" s="209"/>
      <c r="N2872" s="209"/>
      <c r="O2872" s="209"/>
      <c r="P2872" s="209"/>
      <c r="Q2872" s="209"/>
      <c r="R2872" s="217"/>
      <c r="S2872" s="217"/>
      <c r="T2872" s="217"/>
      <c r="U2872" s="199"/>
      <c r="V2872" s="200"/>
      <c r="W2872" s="200"/>
      <c r="X2872" s="200"/>
      <c r="Y2872" s="200"/>
      <c r="Z2872" s="200"/>
      <c r="AA2872" s="201"/>
      <c r="AB2872" s="200"/>
      <c r="AC2872" s="200"/>
    </row>
    <row r="2873" ht="15.75" customHeight="1">
      <c r="A2873" s="210">
        <f t="shared" si="1"/>
        <v>2871</v>
      </c>
      <c r="B2873" s="217"/>
      <c r="C2873" s="217" t="str">
        <f>IFERROR(VLOOKUP(B2873, SourceData!$U$3:$V$190, 2, FALSE), "")</f>
        <v/>
      </c>
      <c r="D2873" s="240"/>
      <c r="E2873" s="241"/>
      <c r="F2873" s="248"/>
      <c r="G2873" s="207"/>
      <c r="H2873" s="209"/>
      <c r="I2873" s="209"/>
      <c r="J2873" s="209"/>
      <c r="K2873" s="208" t="str">
        <f>IF(Errors!$I2873=0,SourceData!$B$42,VLOOKUP(Errors!$I2873,SourceData!$A$2:$B$40,2,FALSE))</f>
        <v>Please select ERROR CODE column "I"</v>
      </c>
      <c r="L2873" s="207" t="str">
        <f>IF(Errors!$I2873=0,
    'List of Error Codes'!$E$29,
    IFERROR(VLOOKUP(Errors!$I2873, 'List of Error Codes'!D2872:I2902, 6, FALSE), 'List of Error Codes'!$E$29)
)</f>
        <v>Please select ERROR CODE column "I"</v>
      </c>
      <c r="M2873" s="209"/>
      <c r="N2873" s="209"/>
      <c r="O2873" s="209"/>
      <c r="P2873" s="209"/>
      <c r="Q2873" s="209"/>
      <c r="R2873" s="217"/>
      <c r="S2873" s="217"/>
      <c r="T2873" s="217"/>
      <c r="U2873" s="199"/>
      <c r="V2873" s="200"/>
      <c r="W2873" s="200"/>
      <c r="X2873" s="200"/>
      <c r="Y2873" s="200"/>
      <c r="Z2873" s="200"/>
      <c r="AA2873" s="201"/>
      <c r="AB2873" s="200"/>
      <c r="AC2873" s="200"/>
    </row>
    <row r="2874" ht="15.75" customHeight="1">
      <c r="A2874" s="210">
        <f t="shared" si="1"/>
        <v>2872</v>
      </c>
      <c r="B2874" s="217"/>
      <c r="C2874" s="217" t="str">
        <f>IFERROR(VLOOKUP(B2874, SourceData!$U$3:$V$190, 2, FALSE), "")</f>
        <v/>
      </c>
      <c r="D2874" s="240"/>
      <c r="E2874" s="241"/>
      <c r="F2874" s="248"/>
      <c r="G2874" s="207"/>
      <c r="H2874" s="209"/>
      <c r="I2874" s="209"/>
      <c r="J2874" s="209"/>
      <c r="K2874" s="208" t="str">
        <f>IF(Errors!$I2874=0,SourceData!$B$42,VLOOKUP(Errors!$I2874,SourceData!$A$2:$B$40,2,FALSE))</f>
        <v>Please select ERROR CODE column "I"</v>
      </c>
      <c r="L2874" s="207" t="str">
        <f>IF(Errors!$I2874=0,
    'List of Error Codes'!$E$29,
    IFERROR(VLOOKUP(Errors!$I2874, 'List of Error Codes'!D2873:I2903, 6, FALSE), 'List of Error Codes'!$E$29)
)</f>
        <v>Please select ERROR CODE column "I"</v>
      </c>
      <c r="M2874" s="209"/>
      <c r="N2874" s="209"/>
      <c r="O2874" s="209"/>
      <c r="P2874" s="209"/>
      <c r="Q2874" s="209"/>
      <c r="R2874" s="217"/>
      <c r="S2874" s="217"/>
      <c r="T2874" s="217"/>
      <c r="U2874" s="199"/>
      <c r="V2874" s="200"/>
      <c r="W2874" s="200"/>
      <c r="X2874" s="200"/>
      <c r="Y2874" s="200"/>
      <c r="Z2874" s="200"/>
      <c r="AA2874" s="201"/>
      <c r="AB2874" s="200"/>
      <c r="AC2874" s="200"/>
    </row>
    <row r="2875" ht="15.75" customHeight="1">
      <c r="A2875" s="210">
        <f t="shared" si="1"/>
        <v>2873</v>
      </c>
      <c r="B2875" s="217"/>
      <c r="C2875" s="217" t="str">
        <f>IFERROR(VLOOKUP(B2875, SourceData!$U$3:$V$190, 2, FALSE), "")</f>
        <v/>
      </c>
      <c r="D2875" s="240"/>
      <c r="E2875" s="241"/>
      <c r="F2875" s="248"/>
      <c r="G2875" s="207"/>
      <c r="H2875" s="209"/>
      <c r="I2875" s="209"/>
      <c r="J2875" s="209"/>
      <c r="K2875" s="208" t="str">
        <f>IF(Errors!$I2875=0,SourceData!$B$42,VLOOKUP(Errors!$I2875,SourceData!$A$2:$B$40,2,FALSE))</f>
        <v>Please select ERROR CODE column "I"</v>
      </c>
      <c r="L2875" s="207" t="str">
        <f>IF(Errors!$I2875=0,
    'List of Error Codes'!$E$29,
    IFERROR(VLOOKUP(Errors!$I2875, 'List of Error Codes'!D2874:I2904, 6, FALSE), 'List of Error Codes'!$E$29)
)</f>
        <v>Please select ERROR CODE column "I"</v>
      </c>
      <c r="M2875" s="209"/>
      <c r="N2875" s="209"/>
      <c r="O2875" s="209"/>
      <c r="P2875" s="209"/>
      <c r="Q2875" s="209"/>
      <c r="R2875" s="217"/>
      <c r="S2875" s="217"/>
      <c r="T2875" s="217"/>
      <c r="U2875" s="199"/>
      <c r="V2875" s="200"/>
      <c r="W2875" s="200"/>
      <c r="X2875" s="200"/>
      <c r="Y2875" s="200"/>
      <c r="Z2875" s="200"/>
      <c r="AA2875" s="201"/>
      <c r="AB2875" s="200"/>
      <c r="AC2875" s="200"/>
    </row>
    <row r="2876" ht="15.75" customHeight="1">
      <c r="A2876" s="210">
        <f t="shared" si="1"/>
        <v>2874</v>
      </c>
      <c r="B2876" s="217"/>
      <c r="C2876" s="217" t="str">
        <f>IFERROR(VLOOKUP(B2876, SourceData!$U$3:$V$190, 2, FALSE), "")</f>
        <v/>
      </c>
      <c r="D2876" s="240"/>
      <c r="E2876" s="241"/>
      <c r="F2876" s="248"/>
      <c r="G2876" s="207"/>
      <c r="H2876" s="209"/>
      <c r="I2876" s="209"/>
      <c r="J2876" s="209"/>
      <c r="K2876" s="208" t="str">
        <f>IF(Errors!$I2876=0,SourceData!$B$42,VLOOKUP(Errors!$I2876,SourceData!$A$2:$B$40,2,FALSE))</f>
        <v>Please select ERROR CODE column "I"</v>
      </c>
      <c r="L2876" s="207" t="str">
        <f>IF(Errors!$I2876=0,
    'List of Error Codes'!$E$29,
    IFERROR(VLOOKUP(Errors!$I2876, 'List of Error Codes'!D2875:I2905, 6, FALSE), 'List of Error Codes'!$E$29)
)</f>
        <v>Please select ERROR CODE column "I"</v>
      </c>
      <c r="M2876" s="209"/>
      <c r="N2876" s="209"/>
      <c r="O2876" s="209"/>
      <c r="P2876" s="209"/>
      <c r="Q2876" s="209"/>
      <c r="R2876" s="217"/>
      <c r="S2876" s="217"/>
      <c r="T2876" s="217"/>
      <c r="U2876" s="199"/>
      <c r="V2876" s="200"/>
      <c r="W2876" s="200"/>
      <c r="X2876" s="200"/>
      <c r="Y2876" s="200"/>
      <c r="Z2876" s="200"/>
      <c r="AA2876" s="201"/>
      <c r="AB2876" s="200"/>
      <c r="AC2876" s="200"/>
    </row>
    <row r="2877" ht="15.75" customHeight="1">
      <c r="A2877" s="210">
        <f t="shared" si="1"/>
        <v>2875</v>
      </c>
      <c r="B2877" s="217"/>
      <c r="C2877" s="217" t="str">
        <f>IFERROR(VLOOKUP(B2877, SourceData!$U$3:$V$190, 2, FALSE), "")</f>
        <v/>
      </c>
      <c r="D2877" s="240"/>
      <c r="E2877" s="241"/>
      <c r="F2877" s="248"/>
      <c r="G2877" s="207"/>
      <c r="H2877" s="209"/>
      <c r="I2877" s="209"/>
      <c r="J2877" s="209"/>
      <c r="K2877" s="208" t="str">
        <f>IF(Errors!$I2877=0,SourceData!$B$42,VLOOKUP(Errors!$I2877,SourceData!$A$2:$B$40,2,FALSE))</f>
        <v>Please select ERROR CODE column "I"</v>
      </c>
      <c r="L2877" s="207" t="str">
        <f>IF(Errors!$I2877=0,
    'List of Error Codes'!$E$29,
    IFERROR(VLOOKUP(Errors!$I2877, 'List of Error Codes'!D2876:I2906, 6, FALSE), 'List of Error Codes'!$E$29)
)</f>
        <v>Please select ERROR CODE column "I"</v>
      </c>
      <c r="M2877" s="209"/>
      <c r="N2877" s="209"/>
      <c r="O2877" s="209"/>
      <c r="P2877" s="209"/>
      <c r="Q2877" s="209"/>
      <c r="R2877" s="217"/>
      <c r="S2877" s="217"/>
      <c r="T2877" s="217"/>
      <c r="U2877" s="199"/>
      <c r="V2877" s="200"/>
      <c r="W2877" s="200"/>
      <c r="X2877" s="200"/>
      <c r="Y2877" s="200"/>
      <c r="Z2877" s="200"/>
      <c r="AA2877" s="201"/>
      <c r="AB2877" s="200"/>
      <c r="AC2877" s="200"/>
    </row>
    <row r="2878" ht="15.75" customHeight="1">
      <c r="A2878" s="210">
        <f t="shared" si="1"/>
        <v>2876</v>
      </c>
      <c r="B2878" s="217"/>
      <c r="C2878" s="217" t="str">
        <f>IFERROR(VLOOKUP(B2878, SourceData!$U$3:$V$190, 2, FALSE), "")</f>
        <v/>
      </c>
      <c r="D2878" s="240"/>
      <c r="E2878" s="241"/>
      <c r="F2878" s="248"/>
      <c r="G2878" s="207"/>
      <c r="H2878" s="209"/>
      <c r="I2878" s="209"/>
      <c r="J2878" s="209"/>
      <c r="K2878" s="208" t="str">
        <f>IF(Errors!$I2878=0,SourceData!$B$42,VLOOKUP(Errors!$I2878,SourceData!$A$2:$B$40,2,FALSE))</f>
        <v>Please select ERROR CODE column "I"</v>
      </c>
      <c r="L2878" s="207" t="str">
        <f>IF(Errors!$I2878=0,
    'List of Error Codes'!$E$29,
    IFERROR(VLOOKUP(Errors!$I2878, 'List of Error Codes'!D2877:I2907, 6, FALSE), 'List of Error Codes'!$E$29)
)</f>
        <v>Please select ERROR CODE column "I"</v>
      </c>
      <c r="M2878" s="209"/>
      <c r="N2878" s="209"/>
      <c r="O2878" s="209"/>
      <c r="P2878" s="209"/>
      <c r="Q2878" s="209"/>
      <c r="R2878" s="217"/>
      <c r="S2878" s="217"/>
      <c r="T2878" s="217"/>
      <c r="U2878" s="199"/>
      <c r="V2878" s="200"/>
      <c r="W2878" s="200"/>
      <c r="X2878" s="200"/>
      <c r="Y2878" s="200"/>
      <c r="Z2878" s="200"/>
      <c r="AA2878" s="201"/>
      <c r="AB2878" s="200"/>
      <c r="AC2878" s="200"/>
    </row>
    <row r="2879" ht="15.75" customHeight="1">
      <c r="A2879" s="210">
        <f t="shared" si="1"/>
        <v>2877</v>
      </c>
      <c r="B2879" s="217"/>
      <c r="C2879" s="217" t="str">
        <f>IFERROR(VLOOKUP(B2879, SourceData!$U$3:$V$190, 2, FALSE), "")</f>
        <v/>
      </c>
      <c r="D2879" s="240"/>
      <c r="E2879" s="241"/>
      <c r="F2879" s="248"/>
      <c r="G2879" s="207"/>
      <c r="H2879" s="209"/>
      <c r="I2879" s="209"/>
      <c r="J2879" s="209"/>
      <c r="K2879" s="208" t="str">
        <f>IF(Errors!$I2879=0,SourceData!$B$42,VLOOKUP(Errors!$I2879,SourceData!$A$2:$B$40,2,FALSE))</f>
        <v>Please select ERROR CODE column "I"</v>
      </c>
      <c r="L2879" s="207" t="str">
        <f>IF(Errors!$I2879=0,
    'List of Error Codes'!$E$29,
    IFERROR(VLOOKUP(Errors!$I2879, 'List of Error Codes'!D2878:I2908, 6, FALSE), 'List of Error Codes'!$E$29)
)</f>
        <v>Please select ERROR CODE column "I"</v>
      </c>
      <c r="M2879" s="209"/>
      <c r="N2879" s="209"/>
      <c r="O2879" s="209"/>
      <c r="P2879" s="209"/>
      <c r="Q2879" s="209"/>
      <c r="R2879" s="217"/>
      <c r="S2879" s="217"/>
      <c r="T2879" s="217"/>
      <c r="U2879" s="199"/>
      <c r="V2879" s="200"/>
      <c r="W2879" s="200"/>
      <c r="X2879" s="200"/>
      <c r="Y2879" s="200"/>
      <c r="Z2879" s="200"/>
      <c r="AA2879" s="201"/>
      <c r="AB2879" s="200"/>
      <c r="AC2879" s="200"/>
    </row>
    <row r="2880" ht="15.75" customHeight="1">
      <c r="A2880" s="210">
        <f t="shared" si="1"/>
        <v>2878</v>
      </c>
      <c r="B2880" s="217"/>
      <c r="C2880" s="217" t="str">
        <f>IFERROR(VLOOKUP(B2880, SourceData!$U$3:$V$190, 2, FALSE), "")</f>
        <v/>
      </c>
      <c r="D2880" s="240"/>
      <c r="E2880" s="241"/>
      <c r="F2880" s="248"/>
      <c r="G2880" s="207"/>
      <c r="H2880" s="209"/>
      <c r="I2880" s="209"/>
      <c r="J2880" s="209"/>
      <c r="K2880" s="208" t="str">
        <f>IF(Errors!$I2880=0,SourceData!$B$42,VLOOKUP(Errors!$I2880,SourceData!$A$2:$B$40,2,FALSE))</f>
        <v>Please select ERROR CODE column "I"</v>
      </c>
      <c r="L2880" s="207" t="str">
        <f>IF(Errors!$I2880=0,
    'List of Error Codes'!$E$29,
    IFERROR(VLOOKUP(Errors!$I2880, 'List of Error Codes'!D2879:I2909, 6, FALSE), 'List of Error Codes'!$E$29)
)</f>
        <v>Please select ERROR CODE column "I"</v>
      </c>
      <c r="M2880" s="209"/>
      <c r="N2880" s="209"/>
      <c r="O2880" s="209"/>
      <c r="P2880" s="209"/>
      <c r="Q2880" s="209"/>
      <c r="R2880" s="217"/>
      <c r="S2880" s="217"/>
      <c r="T2880" s="217"/>
      <c r="U2880" s="199"/>
      <c r="V2880" s="200"/>
      <c r="W2880" s="200"/>
      <c r="X2880" s="200"/>
      <c r="Y2880" s="200"/>
      <c r="Z2880" s="200"/>
      <c r="AA2880" s="201"/>
      <c r="AB2880" s="200"/>
      <c r="AC2880" s="200"/>
    </row>
    <row r="2881" ht="15.75" customHeight="1">
      <c r="A2881" s="210">
        <f t="shared" si="1"/>
        <v>2879</v>
      </c>
      <c r="B2881" s="217"/>
      <c r="C2881" s="217" t="str">
        <f>IFERROR(VLOOKUP(B2881, SourceData!$U$3:$V$190, 2, FALSE), "")</f>
        <v/>
      </c>
      <c r="D2881" s="240"/>
      <c r="E2881" s="241"/>
      <c r="F2881" s="248"/>
      <c r="G2881" s="207"/>
      <c r="H2881" s="209"/>
      <c r="I2881" s="209"/>
      <c r="J2881" s="209"/>
      <c r="K2881" s="208" t="str">
        <f>IF(Errors!$I2881=0,SourceData!$B$42,VLOOKUP(Errors!$I2881,SourceData!$A$2:$B$40,2,FALSE))</f>
        <v>Please select ERROR CODE column "I"</v>
      </c>
      <c r="L2881" s="207" t="str">
        <f>IF(Errors!$I2881=0,
    'List of Error Codes'!$E$29,
    IFERROR(VLOOKUP(Errors!$I2881, 'List of Error Codes'!D2880:I2910, 6, FALSE), 'List of Error Codes'!$E$29)
)</f>
        <v>Please select ERROR CODE column "I"</v>
      </c>
      <c r="M2881" s="209"/>
      <c r="N2881" s="209"/>
      <c r="O2881" s="209"/>
      <c r="P2881" s="209"/>
      <c r="Q2881" s="209"/>
      <c r="R2881" s="217"/>
      <c r="S2881" s="217"/>
      <c r="T2881" s="217"/>
      <c r="U2881" s="199"/>
      <c r="V2881" s="200"/>
      <c r="W2881" s="200"/>
      <c r="X2881" s="200"/>
      <c r="Y2881" s="200"/>
      <c r="Z2881" s="200"/>
      <c r="AA2881" s="201"/>
      <c r="AB2881" s="200"/>
      <c r="AC2881" s="200"/>
    </row>
    <row r="2882" ht="15.75" customHeight="1">
      <c r="A2882" s="210">
        <f t="shared" si="1"/>
        <v>2880</v>
      </c>
      <c r="B2882" s="217"/>
      <c r="C2882" s="217" t="str">
        <f>IFERROR(VLOOKUP(B2882, SourceData!$U$3:$V$190, 2, FALSE), "")</f>
        <v/>
      </c>
      <c r="D2882" s="240"/>
      <c r="E2882" s="241"/>
      <c r="F2882" s="248"/>
      <c r="G2882" s="207"/>
      <c r="H2882" s="209"/>
      <c r="I2882" s="209"/>
      <c r="J2882" s="209"/>
      <c r="K2882" s="208" t="str">
        <f>IF(Errors!$I2882=0,SourceData!$B$42,VLOOKUP(Errors!$I2882,SourceData!$A$2:$B$40,2,FALSE))</f>
        <v>Please select ERROR CODE column "I"</v>
      </c>
      <c r="L2882" s="207" t="str">
        <f>IF(Errors!$I2882=0,
    'List of Error Codes'!$E$29,
    IFERROR(VLOOKUP(Errors!$I2882, 'List of Error Codes'!D2881:I2911, 6, FALSE), 'List of Error Codes'!$E$29)
)</f>
        <v>Please select ERROR CODE column "I"</v>
      </c>
      <c r="M2882" s="209"/>
      <c r="N2882" s="209"/>
      <c r="O2882" s="209"/>
      <c r="P2882" s="209"/>
      <c r="Q2882" s="209"/>
      <c r="R2882" s="217"/>
      <c r="S2882" s="217"/>
      <c r="T2882" s="217"/>
      <c r="U2882" s="199"/>
      <c r="V2882" s="200"/>
      <c r="W2882" s="200"/>
      <c r="X2882" s="200"/>
      <c r="Y2882" s="200"/>
      <c r="Z2882" s="200"/>
      <c r="AA2882" s="201"/>
      <c r="AB2882" s="200"/>
      <c r="AC2882" s="200"/>
    </row>
    <row r="2883" ht="15.75" customHeight="1">
      <c r="A2883" s="210">
        <f t="shared" si="1"/>
        <v>2881</v>
      </c>
      <c r="B2883" s="217"/>
      <c r="C2883" s="217" t="str">
        <f>IFERROR(VLOOKUP(B2883, SourceData!$U$3:$V$190, 2, FALSE), "")</f>
        <v/>
      </c>
      <c r="D2883" s="240"/>
      <c r="E2883" s="241"/>
      <c r="F2883" s="248"/>
      <c r="G2883" s="207"/>
      <c r="H2883" s="209"/>
      <c r="I2883" s="209"/>
      <c r="J2883" s="209"/>
      <c r="K2883" s="208" t="str">
        <f>IF(Errors!$I2883=0,SourceData!$B$42,VLOOKUP(Errors!$I2883,SourceData!$A$2:$B$40,2,FALSE))</f>
        <v>Please select ERROR CODE column "I"</v>
      </c>
      <c r="L2883" s="207" t="str">
        <f>IF(Errors!$I2883=0,
    'List of Error Codes'!$E$29,
    IFERROR(VLOOKUP(Errors!$I2883, 'List of Error Codes'!D2882:I2912, 6, FALSE), 'List of Error Codes'!$E$29)
)</f>
        <v>Please select ERROR CODE column "I"</v>
      </c>
      <c r="M2883" s="209"/>
      <c r="N2883" s="209"/>
      <c r="O2883" s="209"/>
      <c r="P2883" s="209"/>
      <c r="Q2883" s="209"/>
      <c r="R2883" s="217"/>
      <c r="S2883" s="217"/>
      <c r="T2883" s="217"/>
      <c r="U2883" s="199"/>
      <c r="V2883" s="200"/>
      <c r="W2883" s="200"/>
      <c r="X2883" s="200"/>
      <c r="Y2883" s="200"/>
      <c r="Z2883" s="200"/>
      <c r="AA2883" s="201"/>
      <c r="AB2883" s="200"/>
      <c r="AC2883" s="200"/>
    </row>
    <row r="2884" ht="15.75" customHeight="1">
      <c r="A2884" s="210">
        <f t="shared" si="1"/>
        <v>2882</v>
      </c>
      <c r="B2884" s="217"/>
      <c r="C2884" s="217" t="str">
        <f>IFERROR(VLOOKUP(B2884, SourceData!$U$3:$V$190, 2, FALSE), "")</f>
        <v/>
      </c>
      <c r="D2884" s="240"/>
      <c r="E2884" s="241"/>
      <c r="F2884" s="248"/>
      <c r="G2884" s="207"/>
      <c r="H2884" s="209"/>
      <c r="I2884" s="209"/>
      <c r="J2884" s="209"/>
      <c r="K2884" s="208" t="str">
        <f>IF(Errors!$I2884=0,SourceData!$B$42,VLOOKUP(Errors!$I2884,SourceData!$A$2:$B$40,2,FALSE))</f>
        <v>Please select ERROR CODE column "I"</v>
      </c>
      <c r="L2884" s="207" t="str">
        <f>IF(Errors!$I2884=0,
    'List of Error Codes'!$E$29,
    IFERROR(VLOOKUP(Errors!$I2884, 'List of Error Codes'!D2883:I2913, 6, FALSE), 'List of Error Codes'!$E$29)
)</f>
        <v>Please select ERROR CODE column "I"</v>
      </c>
      <c r="M2884" s="209"/>
      <c r="N2884" s="209"/>
      <c r="O2884" s="209"/>
      <c r="P2884" s="209"/>
      <c r="Q2884" s="209"/>
      <c r="R2884" s="217"/>
      <c r="S2884" s="217"/>
      <c r="T2884" s="217"/>
      <c r="U2884" s="199"/>
      <c r="V2884" s="200"/>
      <c r="W2884" s="200"/>
      <c r="X2884" s="200"/>
      <c r="Y2884" s="200"/>
      <c r="Z2884" s="200"/>
      <c r="AA2884" s="201"/>
      <c r="AB2884" s="200"/>
      <c r="AC2884" s="200"/>
    </row>
    <row r="2885" ht="15.75" customHeight="1">
      <c r="A2885" s="210">
        <f t="shared" si="1"/>
        <v>2883</v>
      </c>
      <c r="B2885" s="217"/>
      <c r="C2885" s="217" t="str">
        <f>IFERROR(VLOOKUP(B2885, SourceData!$U$3:$V$190, 2, FALSE), "")</f>
        <v/>
      </c>
      <c r="D2885" s="240"/>
      <c r="E2885" s="241"/>
      <c r="F2885" s="248"/>
      <c r="G2885" s="207"/>
      <c r="H2885" s="209"/>
      <c r="I2885" s="209"/>
      <c r="J2885" s="209"/>
      <c r="K2885" s="208" t="str">
        <f>IF(Errors!$I2885=0,SourceData!$B$42,VLOOKUP(Errors!$I2885,SourceData!$A$2:$B$40,2,FALSE))</f>
        <v>Please select ERROR CODE column "I"</v>
      </c>
      <c r="L2885" s="207" t="str">
        <f>IF(Errors!$I2885=0,
    'List of Error Codes'!$E$29,
    IFERROR(VLOOKUP(Errors!$I2885, 'List of Error Codes'!D2884:I2914, 6, FALSE), 'List of Error Codes'!$E$29)
)</f>
        <v>Please select ERROR CODE column "I"</v>
      </c>
      <c r="M2885" s="209"/>
      <c r="N2885" s="209"/>
      <c r="O2885" s="209"/>
      <c r="P2885" s="209"/>
      <c r="Q2885" s="209"/>
      <c r="R2885" s="217"/>
      <c r="S2885" s="217"/>
      <c r="T2885" s="217"/>
      <c r="U2885" s="199"/>
      <c r="V2885" s="200"/>
      <c r="W2885" s="200"/>
      <c r="X2885" s="200"/>
      <c r="Y2885" s="200"/>
      <c r="Z2885" s="200"/>
      <c r="AA2885" s="201"/>
      <c r="AB2885" s="200"/>
      <c r="AC2885" s="200"/>
    </row>
    <row r="2886" ht="15.75" customHeight="1">
      <c r="A2886" s="210">
        <f t="shared" si="1"/>
        <v>2884</v>
      </c>
      <c r="B2886" s="217"/>
      <c r="C2886" s="217" t="str">
        <f>IFERROR(VLOOKUP(B2886, SourceData!$U$3:$V$190, 2, FALSE), "")</f>
        <v/>
      </c>
      <c r="D2886" s="240"/>
      <c r="E2886" s="241"/>
      <c r="F2886" s="248"/>
      <c r="G2886" s="207"/>
      <c r="H2886" s="209"/>
      <c r="I2886" s="209"/>
      <c r="J2886" s="209"/>
      <c r="K2886" s="208" t="str">
        <f>IF(Errors!$I2886=0,SourceData!$B$42,VLOOKUP(Errors!$I2886,SourceData!$A$2:$B$40,2,FALSE))</f>
        <v>Please select ERROR CODE column "I"</v>
      </c>
      <c r="L2886" s="207" t="str">
        <f>IF(Errors!$I2886=0,
    'List of Error Codes'!$E$29,
    IFERROR(VLOOKUP(Errors!$I2886, 'List of Error Codes'!D2885:I2915, 6, FALSE), 'List of Error Codes'!$E$29)
)</f>
        <v>Please select ERROR CODE column "I"</v>
      </c>
      <c r="M2886" s="209"/>
      <c r="N2886" s="209"/>
      <c r="O2886" s="209"/>
      <c r="P2886" s="209"/>
      <c r="Q2886" s="209"/>
      <c r="R2886" s="217"/>
      <c r="S2886" s="217"/>
      <c r="T2886" s="217"/>
      <c r="U2886" s="199"/>
      <c r="V2886" s="200"/>
      <c r="W2886" s="200"/>
      <c r="X2886" s="200"/>
      <c r="Y2886" s="200"/>
      <c r="Z2886" s="200"/>
      <c r="AA2886" s="201"/>
      <c r="AB2886" s="200"/>
      <c r="AC2886" s="200"/>
    </row>
    <row r="2887" ht="15.75" customHeight="1">
      <c r="A2887" s="210">
        <f t="shared" si="1"/>
        <v>2885</v>
      </c>
      <c r="B2887" s="217"/>
      <c r="C2887" s="217" t="str">
        <f>IFERROR(VLOOKUP(B2887, SourceData!$U$3:$V$190, 2, FALSE), "")</f>
        <v/>
      </c>
      <c r="D2887" s="240"/>
      <c r="E2887" s="241"/>
      <c r="F2887" s="248"/>
      <c r="G2887" s="207"/>
      <c r="H2887" s="209"/>
      <c r="I2887" s="209"/>
      <c r="J2887" s="209"/>
      <c r="K2887" s="208" t="str">
        <f>IF(Errors!$I2887=0,SourceData!$B$42,VLOOKUP(Errors!$I2887,SourceData!$A$2:$B$40,2,FALSE))</f>
        <v>Please select ERROR CODE column "I"</v>
      </c>
      <c r="L2887" s="207" t="str">
        <f>IF(Errors!$I2887=0,
    'List of Error Codes'!$E$29,
    IFERROR(VLOOKUP(Errors!$I2887, 'List of Error Codes'!D2886:I2916, 6, FALSE), 'List of Error Codes'!$E$29)
)</f>
        <v>Please select ERROR CODE column "I"</v>
      </c>
      <c r="M2887" s="209"/>
      <c r="N2887" s="209"/>
      <c r="O2887" s="209"/>
      <c r="P2887" s="209"/>
      <c r="Q2887" s="209"/>
      <c r="R2887" s="217"/>
      <c r="S2887" s="217"/>
      <c r="T2887" s="217"/>
      <c r="U2887" s="199"/>
      <c r="V2887" s="200"/>
      <c r="W2887" s="200"/>
      <c r="X2887" s="200"/>
      <c r="Y2887" s="200"/>
      <c r="Z2887" s="200"/>
      <c r="AA2887" s="201"/>
      <c r="AB2887" s="200"/>
      <c r="AC2887" s="200"/>
    </row>
    <row r="2888" ht="15.75" customHeight="1">
      <c r="A2888" s="210">
        <f t="shared" si="1"/>
        <v>2886</v>
      </c>
      <c r="B2888" s="217"/>
      <c r="C2888" s="217" t="str">
        <f>IFERROR(VLOOKUP(B2888, SourceData!$U$3:$V$190, 2, FALSE), "")</f>
        <v/>
      </c>
      <c r="D2888" s="240"/>
      <c r="E2888" s="241"/>
      <c r="F2888" s="248"/>
      <c r="G2888" s="207"/>
      <c r="H2888" s="209"/>
      <c r="I2888" s="209"/>
      <c r="J2888" s="209"/>
      <c r="K2888" s="208" t="str">
        <f>IF(Errors!$I2888=0,SourceData!$B$42,VLOOKUP(Errors!$I2888,SourceData!$A$2:$B$40,2,FALSE))</f>
        <v>Please select ERROR CODE column "I"</v>
      </c>
      <c r="L2888" s="207" t="str">
        <f>IF(Errors!$I2888=0,
    'List of Error Codes'!$E$29,
    IFERROR(VLOOKUP(Errors!$I2888, 'List of Error Codes'!D2887:I2917, 6, FALSE), 'List of Error Codes'!$E$29)
)</f>
        <v>Please select ERROR CODE column "I"</v>
      </c>
      <c r="M2888" s="209"/>
      <c r="N2888" s="209"/>
      <c r="O2888" s="209"/>
      <c r="P2888" s="209"/>
      <c r="Q2888" s="209"/>
      <c r="R2888" s="217"/>
      <c r="S2888" s="217"/>
      <c r="T2888" s="217"/>
      <c r="U2888" s="199"/>
      <c r="V2888" s="200"/>
      <c r="W2888" s="200"/>
      <c r="X2888" s="200"/>
      <c r="Y2888" s="200"/>
      <c r="Z2888" s="200"/>
      <c r="AA2888" s="201"/>
      <c r="AB2888" s="200"/>
      <c r="AC2888" s="200"/>
    </row>
    <row r="2889" ht="15.75" customHeight="1">
      <c r="A2889" s="210">
        <f t="shared" si="1"/>
        <v>2887</v>
      </c>
      <c r="B2889" s="217"/>
      <c r="C2889" s="217" t="str">
        <f>IFERROR(VLOOKUP(B2889, SourceData!$U$3:$V$190, 2, FALSE), "")</f>
        <v/>
      </c>
      <c r="D2889" s="240"/>
      <c r="E2889" s="241"/>
      <c r="F2889" s="248"/>
      <c r="G2889" s="207"/>
      <c r="H2889" s="209"/>
      <c r="I2889" s="209"/>
      <c r="J2889" s="209"/>
      <c r="K2889" s="208" t="str">
        <f>IF(Errors!$I2889=0,SourceData!$B$42,VLOOKUP(Errors!$I2889,SourceData!$A$2:$B$40,2,FALSE))</f>
        <v>Please select ERROR CODE column "I"</v>
      </c>
      <c r="L2889" s="207" t="str">
        <f>IF(Errors!$I2889=0,
    'List of Error Codes'!$E$29,
    IFERROR(VLOOKUP(Errors!$I2889, 'List of Error Codes'!D2888:I2918, 6, FALSE), 'List of Error Codes'!$E$29)
)</f>
        <v>Please select ERROR CODE column "I"</v>
      </c>
      <c r="M2889" s="209"/>
      <c r="N2889" s="209"/>
      <c r="O2889" s="209"/>
      <c r="P2889" s="209"/>
      <c r="Q2889" s="209"/>
      <c r="R2889" s="217"/>
      <c r="S2889" s="217"/>
      <c r="T2889" s="217"/>
      <c r="U2889" s="199"/>
      <c r="V2889" s="200"/>
      <c r="W2889" s="200"/>
      <c r="X2889" s="200"/>
      <c r="Y2889" s="200"/>
      <c r="Z2889" s="200"/>
      <c r="AA2889" s="201"/>
      <c r="AB2889" s="200"/>
      <c r="AC2889" s="200"/>
    </row>
    <row r="2890" ht="15.75" customHeight="1">
      <c r="A2890" s="210">
        <f t="shared" si="1"/>
        <v>2888</v>
      </c>
      <c r="B2890" s="217"/>
      <c r="C2890" s="217" t="str">
        <f>IFERROR(VLOOKUP(B2890, SourceData!$U$3:$V$190, 2, FALSE), "")</f>
        <v/>
      </c>
      <c r="D2890" s="240"/>
      <c r="E2890" s="241"/>
      <c r="F2890" s="248"/>
      <c r="G2890" s="207"/>
      <c r="H2890" s="209"/>
      <c r="I2890" s="209"/>
      <c r="J2890" s="209"/>
      <c r="K2890" s="208" t="str">
        <f>IF(Errors!$I2890=0,SourceData!$B$42,VLOOKUP(Errors!$I2890,SourceData!$A$2:$B$40,2,FALSE))</f>
        <v>Please select ERROR CODE column "I"</v>
      </c>
      <c r="L2890" s="207" t="str">
        <f>IF(Errors!$I2890=0,
    'List of Error Codes'!$E$29,
    IFERROR(VLOOKUP(Errors!$I2890, 'List of Error Codes'!D2889:I2919, 6, FALSE), 'List of Error Codes'!$E$29)
)</f>
        <v>Please select ERROR CODE column "I"</v>
      </c>
      <c r="M2890" s="209"/>
      <c r="N2890" s="209"/>
      <c r="O2890" s="209"/>
      <c r="P2890" s="209"/>
      <c r="Q2890" s="209"/>
      <c r="R2890" s="217"/>
      <c r="S2890" s="217"/>
      <c r="T2890" s="217"/>
      <c r="U2890" s="199"/>
      <c r="V2890" s="200"/>
      <c r="W2890" s="200"/>
      <c r="X2890" s="200"/>
      <c r="Y2890" s="200"/>
      <c r="Z2890" s="200"/>
      <c r="AA2890" s="201"/>
      <c r="AB2890" s="200"/>
      <c r="AC2890" s="200"/>
    </row>
    <row r="2891" ht="15.75" customHeight="1">
      <c r="A2891" s="210">
        <f t="shared" si="1"/>
        <v>2889</v>
      </c>
      <c r="B2891" s="217"/>
      <c r="C2891" s="217" t="str">
        <f>IFERROR(VLOOKUP(B2891, SourceData!$U$3:$V$190, 2, FALSE), "")</f>
        <v/>
      </c>
      <c r="D2891" s="240"/>
      <c r="E2891" s="241"/>
      <c r="F2891" s="248"/>
      <c r="G2891" s="207"/>
      <c r="H2891" s="209"/>
      <c r="I2891" s="209"/>
      <c r="J2891" s="209"/>
      <c r="K2891" s="208" t="str">
        <f>IF(Errors!$I2891=0,SourceData!$B$42,VLOOKUP(Errors!$I2891,SourceData!$A$2:$B$40,2,FALSE))</f>
        <v>Please select ERROR CODE column "I"</v>
      </c>
      <c r="L2891" s="207" t="str">
        <f>IF(Errors!$I2891=0,
    'List of Error Codes'!$E$29,
    IFERROR(VLOOKUP(Errors!$I2891, 'List of Error Codes'!D2890:I2920, 6, FALSE), 'List of Error Codes'!$E$29)
)</f>
        <v>Please select ERROR CODE column "I"</v>
      </c>
      <c r="M2891" s="209"/>
      <c r="N2891" s="209"/>
      <c r="O2891" s="209"/>
      <c r="P2891" s="209"/>
      <c r="Q2891" s="209"/>
      <c r="R2891" s="217"/>
      <c r="S2891" s="217"/>
      <c r="T2891" s="217"/>
      <c r="U2891" s="199"/>
      <c r="V2891" s="200"/>
      <c r="W2891" s="200"/>
      <c r="X2891" s="200"/>
      <c r="Y2891" s="200"/>
      <c r="Z2891" s="200"/>
      <c r="AA2891" s="201"/>
      <c r="AB2891" s="200"/>
      <c r="AC2891" s="200"/>
    </row>
    <row r="2892" ht="15.75" customHeight="1">
      <c r="A2892" s="210">
        <f t="shared" si="1"/>
        <v>2890</v>
      </c>
      <c r="B2892" s="217"/>
      <c r="C2892" s="217" t="str">
        <f>IFERROR(VLOOKUP(B2892, SourceData!$U$3:$V$190, 2, FALSE), "")</f>
        <v/>
      </c>
      <c r="D2892" s="240"/>
      <c r="E2892" s="241"/>
      <c r="F2892" s="248"/>
      <c r="G2892" s="207"/>
      <c r="H2892" s="209"/>
      <c r="I2892" s="209"/>
      <c r="J2892" s="209"/>
      <c r="K2892" s="208" t="str">
        <f>IF(Errors!$I2892=0,SourceData!$B$42,VLOOKUP(Errors!$I2892,SourceData!$A$2:$B$40,2,FALSE))</f>
        <v>Please select ERROR CODE column "I"</v>
      </c>
      <c r="L2892" s="207" t="str">
        <f>IF(Errors!$I2892=0,
    'List of Error Codes'!$E$29,
    IFERROR(VLOOKUP(Errors!$I2892, 'List of Error Codes'!D2891:I2921, 6, FALSE), 'List of Error Codes'!$E$29)
)</f>
        <v>Please select ERROR CODE column "I"</v>
      </c>
      <c r="M2892" s="209"/>
      <c r="N2892" s="209"/>
      <c r="O2892" s="209"/>
      <c r="P2892" s="209"/>
      <c r="Q2892" s="209"/>
      <c r="R2892" s="217"/>
      <c r="S2892" s="217"/>
      <c r="T2892" s="217"/>
      <c r="U2892" s="199"/>
      <c r="V2892" s="200"/>
      <c r="W2892" s="200"/>
      <c r="X2892" s="200"/>
      <c r="Y2892" s="200"/>
      <c r="Z2892" s="200"/>
      <c r="AA2892" s="201"/>
      <c r="AB2892" s="200"/>
      <c r="AC2892" s="200"/>
    </row>
    <row r="2893" ht="15.75" customHeight="1">
      <c r="A2893" s="210">
        <f t="shared" si="1"/>
        <v>2891</v>
      </c>
      <c r="B2893" s="217"/>
      <c r="C2893" s="217" t="str">
        <f>IFERROR(VLOOKUP(B2893, SourceData!$U$3:$V$190, 2, FALSE), "")</f>
        <v/>
      </c>
      <c r="D2893" s="240"/>
      <c r="E2893" s="241"/>
      <c r="F2893" s="248"/>
      <c r="G2893" s="207"/>
      <c r="H2893" s="209"/>
      <c r="I2893" s="209"/>
      <c r="J2893" s="209"/>
      <c r="K2893" s="208" t="str">
        <f>IF(Errors!$I2893=0,SourceData!$B$42,VLOOKUP(Errors!$I2893,SourceData!$A$2:$B$40,2,FALSE))</f>
        <v>Please select ERROR CODE column "I"</v>
      </c>
      <c r="L2893" s="207" t="str">
        <f>IF(Errors!$I2893=0,
    'List of Error Codes'!$E$29,
    IFERROR(VLOOKUP(Errors!$I2893, 'List of Error Codes'!D2892:I2922, 6, FALSE), 'List of Error Codes'!$E$29)
)</f>
        <v>Please select ERROR CODE column "I"</v>
      </c>
      <c r="M2893" s="209"/>
      <c r="N2893" s="209"/>
      <c r="O2893" s="209"/>
      <c r="P2893" s="209"/>
      <c r="Q2893" s="209"/>
      <c r="R2893" s="217"/>
      <c r="S2893" s="217"/>
      <c r="T2893" s="217"/>
      <c r="U2893" s="199"/>
      <c r="V2893" s="200"/>
      <c r="W2893" s="200"/>
      <c r="X2893" s="200"/>
      <c r="Y2893" s="200"/>
      <c r="Z2893" s="200"/>
      <c r="AA2893" s="201"/>
      <c r="AB2893" s="200"/>
      <c r="AC2893" s="200"/>
    </row>
    <row r="2894" ht="15.75" customHeight="1">
      <c r="A2894" s="210">
        <f t="shared" si="1"/>
        <v>2892</v>
      </c>
      <c r="B2894" s="217"/>
      <c r="C2894" s="217" t="str">
        <f>IFERROR(VLOOKUP(B2894, SourceData!$U$3:$V$190, 2, FALSE), "")</f>
        <v/>
      </c>
      <c r="D2894" s="240"/>
      <c r="E2894" s="241"/>
      <c r="F2894" s="248"/>
      <c r="G2894" s="207"/>
      <c r="H2894" s="209"/>
      <c r="I2894" s="209"/>
      <c r="J2894" s="209"/>
      <c r="K2894" s="208" t="str">
        <f>IF(Errors!$I2894=0,SourceData!$B$42,VLOOKUP(Errors!$I2894,SourceData!$A$2:$B$40,2,FALSE))</f>
        <v>Please select ERROR CODE column "I"</v>
      </c>
      <c r="L2894" s="207" t="str">
        <f>IF(Errors!$I2894=0,
    'List of Error Codes'!$E$29,
    IFERROR(VLOOKUP(Errors!$I2894, 'List of Error Codes'!D2893:I2923, 6, FALSE), 'List of Error Codes'!$E$29)
)</f>
        <v>Please select ERROR CODE column "I"</v>
      </c>
      <c r="M2894" s="209"/>
      <c r="N2894" s="209"/>
      <c r="O2894" s="209"/>
      <c r="P2894" s="209"/>
      <c r="Q2894" s="209"/>
      <c r="R2894" s="217"/>
      <c r="S2894" s="217"/>
      <c r="T2894" s="217"/>
      <c r="U2894" s="199"/>
      <c r="V2894" s="200"/>
      <c r="W2894" s="200"/>
      <c r="X2894" s="200"/>
      <c r="Y2894" s="200"/>
      <c r="Z2894" s="200"/>
      <c r="AA2894" s="201"/>
      <c r="AB2894" s="200"/>
      <c r="AC2894" s="200"/>
    </row>
    <row r="2895" ht="15.75" customHeight="1">
      <c r="A2895" s="210">
        <f t="shared" si="1"/>
        <v>2893</v>
      </c>
      <c r="B2895" s="217"/>
      <c r="C2895" s="217" t="str">
        <f>IFERROR(VLOOKUP(B2895, SourceData!$U$3:$V$190, 2, FALSE), "")</f>
        <v/>
      </c>
      <c r="D2895" s="240"/>
      <c r="E2895" s="241"/>
      <c r="F2895" s="248"/>
      <c r="G2895" s="207"/>
      <c r="H2895" s="209"/>
      <c r="I2895" s="209"/>
      <c r="J2895" s="209"/>
      <c r="K2895" s="208" t="str">
        <f>IF(Errors!$I2895=0,SourceData!$B$42,VLOOKUP(Errors!$I2895,SourceData!$A$2:$B$40,2,FALSE))</f>
        <v>Please select ERROR CODE column "I"</v>
      </c>
      <c r="L2895" s="207" t="str">
        <f>IF(Errors!$I2895=0,
    'List of Error Codes'!$E$29,
    IFERROR(VLOOKUP(Errors!$I2895, 'List of Error Codes'!D2894:I2924, 6, FALSE), 'List of Error Codes'!$E$29)
)</f>
        <v>Please select ERROR CODE column "I"</v>
      </c>
      <c r="M2895" s="209"/>
      <c r="N2895" s="209"/>
      <c r="O2895" s="209"/>
      <c r="P2895" s="209"/>
      <c r="Q2895" s="209"/>
      <c r="R2895" s="217"/>
      <c r="S2895" s="217"/>
      <c r="T2895" s="217"/>
      <c r="U2895" s="199"/>
      <c r="V2895" s="200"/>
      <c r="W2895" s="200"/>
      <c r="X2895" s="200"/>
      <c r="Y2895" s="200"/>
      <c r="Z2895" s="200"/>
      <c r="AA2895" s="201"/>
      <c r="AB2895" s="200"/>
      <c r="AC2895" s="200"/>
    </row>
    <row r="2896" ht="15.75" customHeight="1">
      <c r="A2896" s="210">
        <f t="shared" si="1"/>
        <v>2894</v>
      </c>
      <c r="B2896" s="217"/>
      <c r="C2896" s="217" t="str">
        <f>IFERROR(VLOOKUP(B2896, SourceData!$U$3:$V$190, 2, FALSE), "")</f>
        <v/>
      </c>
      <c r="D2896" s="240"/>
      <c r="E2896" s="241"/>
      <c r="F2896" s="248"/>
      <c r="G2896" s="207"/>
      <c r="H2896" s="209"/>
      <c r="I2896" s="209"/>
      <c r="J2896" s="209"/>
      <c r="K2896" s="208" t="str">
        <f>IF(Errors!$I2896=0,SourceData!$B$42,VLOOKUP(Errors!$I2896,SourceData!$A$2:$B$40,2,FALSE))</f>
        <v>Please select ERROR CODE column "I"</v>
      </c>
      <c r="L2896" s="207" t="str">
        <f>IF(Errors!$I2896=0,
    'List of Error Codes'!$E$29,
    IFERROR(VLOOKUP(Errors!$I2896, 'List of Error Codes'!D2895:I2925, 6, FALSE), 'List of Error Codes'!$E$29)
)</f>
        <v>Please select ERROR CODE column "I"</v>
      </c>
      <c r="M2896" s="209"/>
      <c r="N2896" s="209"/>
      <c r="O2896" s="209"/>
      <c r="P2896" s="209"/>
      <c r="Q2896" s="209"/>
      <c r="R2896" s="217"/>
      <c r="S2896" s="217"/>
      <c r="T2896" s="217"/>
      <c r="U2896" s="199"/>
      <c r="V2896" s="200"/>
      <c r="W2896" s="200"/>
      <c r="X2896" s="200"/>
      <c r="Y2896" s="200"/>
      <c r="Z2896" s="200"/>
      <c r="AA2896" s="201"/>
      <c r="AB2896" s="200"/>
      <c r="AC2896" s="200"/>
    </row>
    <row r="2897" ht="15.75" customHeight="1">
      <c r="A2897" s="210">
        <f t="shared" si="1"/>
        <v>2895</v>
      </c>
      <c r="B2897" s="217"/>
      <c r="C2897" s="217" t="str">
        <f>IFERROR(VLOOKUP(B2897, SourceData!$U$3:$V$190, 2, FALSE), "")</f>
        <v/>
      </c>
      <c r="D2897" s="240"/>
      <c r="E2897" s="241"/>
      <c r="F2897" s="248"/>
      <c r="G2897" s="207"/>
      <c r="H2897" s="209"/>
      <c r="I2897" s="209"/>
      <c r="J2897" s="209"/>
      <c r="K2897" s="208" t="str">
        <f>IF(Errors!$I2897=0,SourceData!$B$42,VLOOKUP(Errors!$I2897,SourceData!$A$2:$B$40,2,FALSE))</f>
        <v>Please select ERROR CODE column "I"</v>
      </c>
      <c r="L2897" s="207" t="str">
        <f>IF(Errors!$I2897=0,
    'List of Error Codes'!$E$29,
    IFERROR(VLOOKUP(Errors!$I2897, 'List of Error Codes'!D2896:I2926, 6, FALSE), 'List of Error Codes'!$E$29)
)</f>
        <v>Please select ERROR CODE column "I"</v>
      </c>
      <c r="M2897" s="209"/>
      <c r="N2897" s="209"/>
      <c r="O2897" s="209"/>
      <c r="P2897" s="209"/>
      <c r="Q2897" s="209"/>
      <c r="R2897" s="217"/>
      <c r="S2897" s="217"/>
      <c r="T2897" s="217"/>
      <c r="U2897" s="199"/>
      <c r="V2897" s="200"/>
      <c r="W2897" s="200"/>
      <c r="X2897" s="200"/>
      <c r="Y2897" s="200"/>
      <c r="Z2897" s="200"/>
      <c r="AA2897" s="201"/>
      <c r="AB2897" s="200"/>
      <c r="AC2897" s="200"/>
    </row>
    <row r="2898" ht="15.75" customHeight="1">
      <c r="A2898" s="210">
        <f t="shared" si="1"/>
        <v>2896</v>
      </c>
      <c r="B2898" s="217"/>
      <c r="C2898" s="217" t="str">
        <f>IFERROR(VLOOKUP(B2898, SourceData!$U$3:$V$190, 2, FALSE), "")</f>
        <v/>
      </c>
      <c r="D2898" s="240"/>
      <c r="E2898" s="241"/>
      <c r="F2898" s="248"/>
      <c r="G2898" s="207"/>
      <c r="H2898" s="209"/>
      <c r="I2898" s="209"/>
      <c r="J2898" s="209"/>
      <c r="K2898" s="208" t="str">
        <f>IF(Errors!$I2898=0,SourceData!$B$42,VLOOKUP(Errors!$I2898,SourceData!$A$2:$B$40,2,FALSE))</f>
        <v>Please select ERROR CODE column "I"</v>
      </c>
      <c r="L2898" s="207" t="str">
        <f>IF(Errors!$I2898=0,
    'List of Error Codes'!$E$29,
    IFERROR(VLOOKUP(Errors!$I2898, 'List of Error Codes'!D2897:I2927, 6, FALSE), 'List of Error Codes'!$E$29)
)</f>
        <v>Please select ERROR CODE column "I"</v>
      </c>
      <c r="M2898" s="209"/>
      <c r="N2898" s="209"/>
      <c r="O2898" s="209"/>
      <c r="P2898" s="209"/>
      <c r="Q2898" s="209"/>
      <c r="R2898" s="217"/>
      <c r="S2898" s="217"/>
      <c r="T2898" s="217"/>
      <c r="U2898" s="199"/>
      <c r="V2898" s="200"/>
      <c r="W2898" s="200"/>
      <c r="X2898" s="200"/>
      <c r="Y2898" s="200"/>
      <c r="Z2898" s="200"/>
      <c r="AA2898" s="201"/>
      <c r="AB2898" s="200"/>
      <c r="AC2898" s="200"/>
    </row>
    <row r="2899" ht="15.75" customHeight="1">
      <c r="A2899" s="210">
        <f t="shared" si="1"/>
        <v>2897</v>
      </c>
      <c r="B2899" s="217"/>
      <c r="C2899" s="217" t="str">
        <f>IFERROR(VLOOKUP(B2899, SourceData!$U$3:$V$190, 2, FALSE), "")</f>
        <v/>
      </c>
      <c r="D2899" s="240"/>
      <c r="E2899" s="241"/>
      <c r="F2899" s="248"/>
      <c r="G2899" s="207"/>
      <c r="H2899" s="209"/>
      <c r="I2899" s="209"/>
      <c r="J2899" s="209"/>
      <c r="K2899" s="208" t="str">
        <f>IF(Errors!$I2899=0,SourceData!$B$42,VLOOKUP(Errors!$I2899,SourceData!$A$2:$B$40,2,FALSE))</f>
        <v>Please select ERROR CODE column "I"</v>
      </c>
      <c r="L2899" s="207" t="str">
        <f>IF(Errors!$I2899=0,
    'List of Error Codes'!$E$29,
    IFERROR(VLOOKUP(Errors!$I2899, 'List of Error Codes'!D2898:I2928, 6, FALSE), 'List of Error Codes'!$E$29)
)</f>
        <v>Please select ERROR CODE column "I"</v>
      </c>
      <c r="M2899" s="209"/>
      <c r="N2899" s="209"/>
      <c r="O2899" s="209"/>
      <c r="P2899" s="209"/>
      <c r="Q2899" s="209"/>
      <c r="R2899" s="217"/>
      <c r="S2899" s="217"/>
      <c r="T2899" s="217"/>
      <c r="U2899" s="199"/>
      <c r="V2899" s="200"/>
      <c r="W2899" s="200"/>
      <c r="X2899" s="200"/>
      <c r="Y2899" s="200"/>
      <c r="Z2899" s="200"/>
      <c r="AA2899" s="201"/>
      <c r="AB2899" s="200"/>
      <c r="AC2899" s="200"/>
    </row>
    <row r="2900" ht="15.75" customHeight="1">
      <c r="A2900" s="210">
        <f t="shared" si="1"/>
        <v>2898</v>
      </c>
      <c r="B2900" s="217"/>
      <c r="C2900" s="217" t="str">
        <f>IFERROR(VLOOKUP(B2900, SourceData!$U$3:$V$190, 2, FALSE), "")</f>
        <v/>
      </c>
      <c r="D2900" s="240"/>
      <c r="E2900" s="241"/>
      <c r="F2900" s="248"/>
      <c r="G2900" s="207"/>
      <c r="H2900" s="209"/>
      <c r="I2900" s="209"/>
      <c r="J2900" s="209"/>
      <c r="K2900" s="208" t="str">
        <f>IF(Errors!$I2900=0,SourceData!$B$42,VLOOKUP(Errors!$I2900,SourceData!$A$2:$B$40,2,FALSE))</f>
        <v>Please select ERROR CODE column "I"</v>
      </c>
      <c r="L2900" s="207" t="str">
        <f>IF(Errors!$I2900=0,
    'List of Error Codes'!$E$29,
    IFERROR(VLOOKUP(Errors!$I2900, 'List of Error Codes'!D2899:I2929, 6, FALSE), 'List of Error Codes'!$E$29)
)</f>
        <v>Please select ERROR CODE column "I"</v>
      </c>
      <c r="M2900" s="209"/>
      <c r="N2900" s="209"/>
      <c r="O2900" s="209"/>
      <c r="P2900" s="209"/>
      <c r="Q2900" s="209"/>
      <c r="R2900" s="217"/>
      <c r="S2900" s="217"/>
      <c r="T2900" s="217"/>
      <c r="U2900" s="199"/>
      <c r="V2900" s="200"/>
      <c r="W2900" s="200"/>
      <c r="X2900" s="200"/>
      <c r="Y2900" s="200"/>
      <c r="Z2900" s="200"/>
      <c r="AA2900" s="201"/>
      <c r="AB2900" s="200"/>
      <c r="AC2900" s="200"/>
    </row>
    <row r="2901" ht="15.75" customHeight="1">
      <c r="A2901" s="210">
        <f t="shared" si="1"/>
        <v>2899</v>
      </c>
      <c r="B2901" s="217"/>
      <c r="C2901" s="217" t="str">
        <f>IFERROR(VLOOKUP(B2901, SourceData!$U$3:$V$190, 2, FALSE), "")</f>
        <v/>
      </c>
      <c r="D2901" s="240"/>
      <c r="E2901" s="241"/>
      <c r="F2901" s="248"/>
      <c r="G2901" s="207"/>
      <c r="H2901" s="209"/>
      <c r="I2901" s="209"/>
      <c r="J2901" s="209"/>
      <c r="K2901" s="208" t="str">
        <f>IF(Errors!$I2901=0,SourceData!$B$42,VLOOKUP(Errors!$I2901,SourceData!$A$2:$B$40,2,FALSE))</f>
        <v>Please select ERROR CODE column "I"</v>
      </c>
      <c r="L2901" s="207" t="str">
        <f>IF(Errors!$I2901=0,
    'List of Error Codes'!$E$29,
    IFERROR(VLOOKUP(Errors!$I2901, 'List of Error Codes'!D2900:I2930, 6, FALSE), 'List of Error Codes'!$E$29)
)</f>
        <v>Please select ERROR CODE column "I"</v>
      </c>
      <c r="M2901" s="209"/>
      <c r="N2901" s="209"/>
      <c r="O2901" s="209"/>
      <c r="P2901" s="209"/>
      <c r="Q2901" s="209"/>
      <c r="R2901" s="217"/>
      <c r="S2901" s="217"/>
      <c r="T2901" s="217"/>
      <c r="U2901" s="199"/>
      <c r="V2901" s="200"/>
      <c r="W2901" s="200"/>
      <c r="X2901" s="200"/>
      <c r="Y2901" s="200"/>
      <c r="Z2901" s="200"/>
      <c r="AA2901" s="201"/>
      <c r="AB2901" s="200"/>
      <c r="AC2901" s="200"/>
    </row>
    <row r="2902" ht="15.75" customHeight="1">
      <c r="A2902" s="210">
        <f t="shared" si="1"/>
        <v>2900</v>
      </c>
      <c r="B2902" s="217"/>
      <c r="C2902" s="217" t="str">
        <f>IFERROR(VLOOKUP(B2902, SourceData!$U$3:$V$190, 2, FALSE), "")</f>
        <v/>
      </c>
      <c r="D2902" s="240"/>
      <c r="E2902" s="241"/>
      <c r="F2902" s="248"/>
      <c r="G2902" s="207"/>
      <c r="H2902" s="209"/>
      <c r="I2902" s="209"/>
      <c r="J2902" s="209"/>
      <c r="K2902" s="208" t="str">
        <f>IF(Errors!$I2902=0,SourceData!$B$42,VLOOKUP(Errors!$I2902,SourceData!$A$2:$B$40,2,FALSE))</f>
        <v>Please select ERROR CODE column "I"</v>
      </c>
      <c r="L2902" s="207" t="str">
        <f>IF(Errors!$I2902=0,
    'List of Error Codes'!$E$29,
    IFERROR(VLOOKUP(Errors!$I2902, 'List of Error Codes'!D2901:I2931, 6, FALSE), 'List of Error Codes'!$E$29)
)</f>
        <v>Please select ERROR CODE column "I"</v>
      </c>
      <c r="M2902" s="209"/>
      <c r="N2902" s="209"/>
      <c r="O2902" s="209"/>
      <c r="P2902" s="209"/>
      <c r="Q2902" s="209"/>
      <c r="R2902" s="217"/>
      <c r="S2902" s="217"/>
      <c r="T2902" s="217"/>
      <c r="U2902" s="199"/>
      <c r="V2902" s="200"/>
      <c r="W2902" s="200"/>
      <c r="X2902" s="200"/>
      <c r="Y2902" s="200"/>
      <c r="Z2902" s="200"/>
      <c r="AA2902" s="201"/>
      <c r="AB2902" s="200"/>
      <c r="AC2902" s="200"/>
    </row>
    <row r="2903" ht="15.75" customHeight="1">
      <c r="A2903" s="210">
        <f t="shared" si="1"/>
        <v>2901</v>
      </c>
      <c r="B2903" s="217"/>
      <c r="C2903" s="217" t="str">
        <f>IFERROR(VLOOKUP(B2903, SourceData!$U$3:$V$190, 2, FALSE), "")</f>
        <v/>
      </c>
      <c r="D2903" s="240"/>
      <c r="E2903" s="241"/>
      <c r="F2903" s="248"/>
      <c r="G2903" s="207"/>
      <c r="H2903" s="209"/>
      <c r="I2903" s="209"/>
      <c r="J2903" s="209"/>
      <c r="K2903" s="208" t="str">
        <f>IF(Errors!$I2903=0,SourceData!$B$42,VLOOKUP(Errors!$I2903,SourceData!$A$2:$B$40,2,FALSE))</f>
        <v>Please select ERROR CODE column "I"</v>
      </c>
      <c r="L2903" s="207" t="str">
        <f>IF(Errors!$I2903=0,
    'List of Error Codes'!$E$29,
    IFERROR(VLOOKUP(Errors!$I2903, 'List of Error Codes'!D2902:I2932, 6, FALSE), 'List of Error Codes'!$E$29)
)</f>
        <v>Please select ERROR CODE column "I"</v>
      </c>
      <c r="M2903" s="209"/>
      <c r="N2903" s="209"/>
      <c r="O2903" s="209"/>
      <c r="P2903" s="209"/>
      <c r="Q2903" s="209"/>
      <c r="R2903" s="217"/>
      <c r="S2903" s="217"/>
      <c r="T2903" s="217"/>
      <c r="U2903" s="199"/>
      <c r="V2903" s="200"/>
      <c r="W2903" s="200"/>
      <c r="X2903" s="200"/>
      <c r="Y2903" s="200"/>
      <c r="Z2903" s="200"/>
      <c r="AA2903" s="201"/>
      <c r="AB2903" s="200"/>
      <c r="AC2903" s="200"/>
    </row>
    <row r="2904" ht="15.75" customHeight="1">
      <c r="A2904" s="210">
        <f t="shared" si="1"/>
        <v>2902</v>
      </c>
      <c r="B2904" s="217"/>
      <c r="C2904" s="217" t="str">
        <f>IFERROR(VLOOKUP(B2904, SourceData!$U$3:$V$190, 2, FALSE), "")</f>
        <v/>
      </c>
      <c r="D2904" s="240"/>
      <c r="E2904" s="241"/>
      <c r="F2904" s="248"/>
      <c r="G2904" s="207"/>
      <c r="H2904" s="209"/>
      <c r="I2904" s="209"/>
      <c r="J2904" s="209"/>
      <c r="K2904" s="208" t="str">
        <f>IF(Errors!$I2904=0,SourceData!$B$42,VLOOKUP(Errors!$I2904,SourceData!$A$2:$B$40,2,FALSE))</f>
        <v>Please select ERROR CODE column "I"</v>
      </c>
      <c r="L2904" s="207" t="str">
        <f>IF(Errors!$I2904=0,
    'List of Error Codes'!$E$29,
    IFERROR(VLOOKUP(Errors!$I2904, 'List of Error Codes'!D2903:I2933, 6, FALSE), 'List of Error Codes'!$E$29)
)</f>
        <v>Please select ERROR CODE column "I"</v>
      </c>
      <c r="M2904" s="209"/>
      <c r="N2904" s="209"/>
      <c r="O2904" s="209"/>
      <c r="P2904" s="209"/>
      <c r="Q2904" s="209"/>
      <c r="R2904" s="217"/>
      <c r="S2904" s="217"/>
      <c r="T2904" s="217"/>
      <c r="U2904" s="199"/>
      <c r="V2904" s="200"/>
      <c r="W2904" s="200"/>
      <c r="X2904" s="200"/>
      <c r="Y2904" s="200"/>
      <c r="Z2904" s="200"/>
      <c r="AA2904" s="201"/>
      <c r="AB2904" s="200"/>
      <c r="AC2904" s="200"/>
    </row>
    <row r="2905" ht="15.75" customHeight="1">
      <c r="A2905" s="210">
        <f t="shared" si="1"/>
        <v>2903</v>
      </c>
      <c r="B2905" s="217"/>
      <c r="C2905" s="217" t="str">
        <f>IFERROR(VLOOKUP(B2905, SourceData!$U$3:$V$190, 2, FALSE), "")</f>
        <v/>
      </c>
      <c r="D2905" s="240"/>
      <c r="E2905" s="241"/>
      <c r="F2905" s="248"/>
      <c r="G2905" s="207"/>
      <c r="H2905" s="209"/>
      <c r="I2905" s="209"/>
      <c r="J2905" s="209"/>
      <c r="K2905" s="208" t="str">
        <f>IF(Errors!$I2905=0,SourceData!$B$42,VLOOKUP(Errors!$I2905,SourceData!$A$2:$B$40,2,FALSE))</f>
        <v>Please select ERROR CODE column "I"</v>
      </c>
      <c r="L2905" s="207" t="str">
        <f>IF(Errors!$I2905=0,
    'List of Error Codes'!$E$29,
    IFERROR(VLOOKUP(Errors!$I2905, 'List of Error Codes'!D2904:I2934, 6, FALSE), 'List of Error Codes'!$E$29)
)</f>
        <v>Please select ERROR CODE column "I"</v>
      </c>
      <c r="M2905" s="209"/>
      <c r="N2905" s="209"/>
      <c r="O2905" s="209"/>
      <c r="P2905" s="209"/>
      <c r="Q2905" s="209"/>
      <c r="R2905" s="217"/>
      <c r="S2905" s="217"/>
      <c r="T2905" s="217"/>
      <c r="U2905" s="199"/>
      <c r="V2905" s="200"/>
      <c r="W2905" s="200"/>
      <c r="X2905" s="200"/>
      <c r="Y2905" s="200"/>
      <c r="Z2905" s="200"/>
      <c r="AA2905" s="201"/>
      <c r="AB2905" s="200"/>
      <c r="AC2905" s="200"/>
    </row>
    <row r="2906" ht="15.75" customHeight="1">
      <c r="A2906" s="210">
        <f t="shared" si="1"/>
        <v>2904</v>
      </c>
      <c r="B2906" s="217"/>
      <c r="C2906" s="217" t="str">
        <f>IFERROR(VLOOKUP(B2906, SourceData!$U$3:$V$190, 2, FALSE), "")</f>
        <v/>
      </c>
      <c r="D2906" s="240"/>
      <c r="E2906" s="241"/>
      <c r="F2906" s="248"/>
      <c r="G2906" s="207"/>
      <c r="H2906" s="209"/>
      <c r="I2906" s="209"/>
      <c r="J2906" s="209"/>
      <c r="K2906" s="208" t="str">
        <f>IF(Errors!$I2906=0,SourceData!$B$42,VLOOKUP(Errors!$I2906,SourceData!$A$2:$B$40,2,FALSE))</f>
        <v>Please select ERROR CODE column "I"</v>
      </c>
      <c r="L2906" s="207" t="str">
        <f>IF(Errors!$I2906=0,
    'List of Error Codes'!$E$29,
    IFERROR(VLOOKUP(Errors!$I2906, 'List of Error Codes'!D2905:I2935, 6, FALSE), 'List of Error Codes'!$E$29)
)</f>
        <v>Please select ERROR CODE column "I"</v>
      </c>
      <c r="M2906" s="209"/>
      <c r="N2906" s="209"/>
      <c r="O2906" s="209"/>
      <c r="P2906" s="209"/>
      <c r="Q2906" s="209"/>
      <c r="R2906" s="217"/>
      <c r="S2906" s="217"/>
      <c r="T2906" s="217"/>
      <c r="U2906" s="199"/>
      <c r="V2906" s="200"/>
      <c r="W2906" s="200"/>
      <c r="X2906" s="200"/>
      <c r="Y2906" s="200"/>
      <c r="Z2906" s="200"/>
      <c r="AA2906" s="201"/>
      <c r="AB2906" s="200"/>
      <c r="AC2906" s="200"/>
    </row>
    <row r="2907" ht="15.75" customHeight="1">
      <c r="A2907" s="210">
        <f t="shared" si="1"/>
        <v>2905</v>
      </c>
      <c r="B2907" s="217"/>
      <c r="C2907" s="217" t="str">
        <f>IFERROR(VLOOKUP(B2907, SourceData!$U$3:$V$190, 2, FALSE), "")</f>
        <v/>
      </c>
      <c r="D2907" s="240"/>
      <c r="E2907" s="241"/>
      <c r="F2907" s="248"/>
      <c r="G2907" s="207"/>
      <c r="H2907" s="209"/>
      <c r="I2907" s="209"/>
      <c r="J2907" s="209"/>
      <c r="K2907" s="208" t="str">
        <f>IF(Errors!$I2907=0,SourceData!$B$42,VLOOKUP(Errors!$I2907,SourceData!$A$2:$B$40,2,FALSE))</f>
        <v>Please select ERROR CODE column "I"</v>
      </c>
      <c r="L2907" s="207" t="str">
        <f>IF(Errors!$I2907=0,
    'List of Error Codes'!$E$29,
    IFERROR(VLOOKUP(Errors!$I2907, 'List of Error Codes'!D2906:I2936, 6, FALSE), 'List of Error Codes'!$E$29)
)</f>
        <v>Please select ERROR CODE column "I"</v>
      </c>
      <c r="M2907" s="209"/>
      <c r="N2907" s="209"/>
      <c r="O2907" s="209"/>
      <c r="P2907" s="209"/>
      <c r="Q2907" s="209"/>
      <c r="R2907" s="217"/>
      <c r="S2907" s="217"/>
      <c r="T2907" s="217"/>
      <c r="U2907" s="199"/>
      <c r="V2907" s="200"/>
      <c r="W2907" s="200"/>
      <c r="X2907" s="200"/>
      <c r="Y2907" s="200"/>
      <c r="Z2907" s="200"/>
      <c r="AA2907" s="201"/>
      <c r="AB2907" s="200"/>
      <c r="AC2907" s="200"/>
    </row>
    <row r="2908" ht="15.75" customHeight="1">
      <c r="A2908" s="210">
        <f t="shared" si="1"/>
        <v>2906</v>
      </c>
      <c r="B2908" s="217"/>
      <c r="C2908" s="217" t="str">
        <f>IFERROR(VLOOKUP(B2908, SourceData!$U$3:$V$190, 2, FALSE), "")</f>
        <v/>
      </c>
      <c r="D2908" s="240"/>
      <c r="E2908" s="241"/>
      <c r="F2908" s="248"/>
      <c r="G2908" s="207"/>
      <c r="H2908" s="209"/>
      <c r="I2908" s="209"/>
      <c r="J2908" s="209"/>
      <c r="K2908" s="208" t="str">
        <f>IF(Errors!$I2908=0,SourceData!$B$42,VLOOKUP(Errors!$I2908,SourceData!$A$2:$B$40,2,FALSE))</f>
        <v>Please select ERROR CODE column "I"</v>
      </c>
      <c r="L2908" s="207" t="str">
        <f>IF(Errors!$I2908=0,
    'List of Error Codes'!$E$29,
    IFERROR(VLOOKUP(Errors!$I2908, 'List of Error Codes'!D2907:I2937, 6, FALSE), 'List of Error Codes'!$E$29)
)</f>
        <v>Please select ERROR CODE column "I"</v>
      </c>
      <c r="M2908" s="209"/>
      <c r="N2908" s="209"/>
      <c r="O2908" s="209"/>
      <c r="P2908" s="209"/>
      <c r="Q2908" s="209"/>
      <c r="R2908" s="217"/>
      <c r="S2908" s="217"/>
      <c r="T2908" s="217"/>
      <c r="U2908" s="199"/>
      <c r="V2908" s="200"/>
      <c r="W2908" s="200"/>
      <c r="X2908" s="200"/>
      <c r="Y2908" s="200"/>
      <c r="Z2908" s="200"/>
      <c r="AA2908" s="201"/>
      <c r="AB2908" s="200"/>
      <c r="AC2908" s="200"/>
    </row>
    <row r="2909" ht="15.75" customHeight="1">
      <c r="A2909" s="210">
        <f t="shared" si="1"/>
        <v>2907</v>
      </c>
      <c r="B2909" s="217"/>
      <c r="C2909" s="217" t="str">
        <f>IFERROR(VLOOKUP(B2909, SourceData!$U$3:$V$190, 2, FALSE), "")</f>
        <v/>
      </c>
      <c r="D2909" s="240"/>
      <c r="E2909" s="241"/>
      <c r="F2909" s="248"/>
      <c r="G2909" s="207"/>
      <c r="H2909" s="209"/>
      <c r="I2909" s="209"/>
      <c r="J2909" s="209"/>
      <c r="K2909" s="208" t="str">
        <f>IF(Errors!$I2909=0,SourceData!$B$42,VLOOKUP(Errors!$I2909,SourceData!$A$2:$B$40,2,FALSE))</f>
        <v>Please select ERROR CODE column "I"</v>
      </c>
      <c r="L2909" s="207" t="str">
        <f>IF(Errors!$I2909=0,
    'List of Error Codes'!$E$29,
    IFERROR(VLOOKUP(Errors!$I2909, 'List of Error Codes'!D2908:I2938, 6, FALSE), 'List of Error Codes'!$E$29)
)</f>
        <v>Please select ERROR CODE column "I"</v>
      </c>
      <c r="M2909" s="209"/>
      <c r="N2909" s="209"/>
      <c r="O2909" s="209"/>
      <c r="P2909" s="209"/>
      <c r="Q2909" s="209"/>
      <c r="R2909" s="217"/>
      <c r="S2909" s="217"/>
      <c r="T2909" s="217"/>
      <c r="U2909" s="199"/>
      <c r="V2909" s="200"/>
      <c r="W2909" s="200"/>
      <c r="X2909" s="200"/>
      <c r="Y2909" s="200"/>
      <c r="Z2909" s="200"/>
      <c r="AA2909" s="201"/>
      <c r="AB2909" s="200"/>
      <c r="AC2909" s="200"/>
    </row>
    <row r="2910" ht="15.75" customHeight="1">
      <c r="A2910" s="210">
        <f t="shared" si="1"/>
        <v>2908</v>
      </c>
      <c r="B2910" s="217"/>
      <c r="C2910" s="217" t="str">
        <f>IFERROR(VLOOKUP(B2910, SourceData!$U$3:$V$190, 2, FALSE), "")</f>
        <v/>
      </c>
      <c r="D2910" s="240"/>
      <c r="E2910" s="241"/>
      <c r="F2910" s="248"/>
      <c r="G2910" s="207"/>
      <c r="H2910" s="209"/>
      <c r="I2910" s="209"/>
      <c r="J2910" s="209"/>
      <c r="K2910" s="208" t="str">
        <f>IF(Errors!$I2910=0,SourceData!$B$42,VLOOKUP(Errors!$I2910,SourceData!$A$2:$B$40,2,FALSE))</f>
        <v>Please select ERROR CODE column "I"</v>
      </c>
      <c r="L2910" s="207" t="str">
        <f>IF(Errors!$I2910=0,
    'List of Error Codes'!$E$29,
    IFERROR(VLOOKUP(Errors!$I2910, 'List of Error Codes'!D2909:I2939, 6, FALSE), 'List of Error Codes'!$E$29)
)</f>
        <v>Please select ERROR CODE column "I"</v>
      </c>
      <c r="M2910" s="209"/>
      <c r="N2910" s="209"/>
      <c r="O2910" s="209"/>
      <c r="P2910" s="209"/>
      <c r="Q2910" s="209"/>
      <c r="R2910" s="217"/>
      <c r="S2910" s="217"/>
      <c r="T2910" s="217"/>
      <c r="U2910" s="199"/>
      <c r="V2910" s="200"/>
      <c r="W2910" s="200"/>
      <c r="X2910" s="200"/>
      <c r="Y2910" s="200"/>
      <c r="Z2910" s="200"/>
      <c r="AA2910" s="201"/>
      <c r="AB2910" s="200"/>
      <c r="AC2910" s="200"/>
    </row>
    <row r="2911" ht="15.75" customHeight="1">
      <c r="A2911" s="210">
        <f t="shared" si="1"/>
        <v>2909</v>
      </c>
      <c r="B2911" s="217"/>
      <c r="C2911" s="217" t="str">
        <f>IFERROR(VLOOKUP(B2911, SourceData!$U$3:$V$190, 2, FALSE), "")</f>
        <v/>
      </c>
      <c r="D2911" s="240"/>
      <c r="E2911" s="241"/>
      <c r="F2911" s="248"/>
      <c r="G2911" s="207"/>
      <c r="H2911" s="209"/>
      <c r="I2911" s="209"/>
      <c r="J2911" s="209"/>
      <c r="K2911" s="208" t="str">
        <f>IF(Errors!$I2911=0,SourceData!$B$42,VLOOKUP(Errors!$I2911,SourceData!$A$2:$B$40,2,FALSE))</f>
        <v>Please select ERROR CODE column "I"</v>
      </c>
      <c r="L2911" s="207" t="str">
        <f>IF(Errors!$I2911=0,
    'List of Error Codes'!$E$29,
    IFERROR(VLOOKUP(Errors!$I2911, 'List of Error Codes'!D2910:I2940, 6, FALSE), 'List of Error Codes'!$E$29)
)</f>
        <v>Please select ERROR CODE column "I"</v>
      </c>
      <c r="M2911" s="209"/>
      <c r="N2911" s="209"/>
      <c r="O2911" s="209"/>
      <c r="P2911" s="209"/>
      <c r="Q2911" s="209"/>
      <c r="R2911" s="217"/>
      <c r="S2911" s="217"/>
      <c r="T2911" s="217"/>
      <c r="U2911" s="199"/>
      <c r="V2911" s="200"/>
      <c r="W2911" s="200"/>
      <c r="X2911" s="200"/>
      <c r="Y2911" s="200"/>
      <c r="Z2911" s="200"/>
      <c r="AA2911" s="201"/>
      <c r="AB2911" s="200"/>
      <c r="AC2911" s="200"/>
    </row>
    <row r="2912" ht="15.75" customHeight="1">
      <c r="A2912" s="210">
        <f t="shared" si="1"/>
        <v>2910</v>
      </c>
      <c r="B2912" s="217"/>
      <c r="C2912" s="217" t="str">
        <f>IFERROR(VLOOKUP(B2912, SourceData!$U$3:$V$190, 2, FALSE), "")</f>
        <v/>
      </c>
      <c r="D2912" s="240"/>
      <c r="E2912" s="241"/>
      <c r="F2912" s="248"/>
      <c r="G2912" s="207"/>
      <c r="H2912" s="209"/>
      <c r="I2912" s="209"/>
      <c r="J2912" s="209"/>
      <c r="K2912" s="208" t="str">
        <f>IF(Errors!$I2912=0,SourceData!$B$42,VLOOKUP(Errors!$I2912,SourceData!$A$2:$B$40,2,FALSE))</f>
        <v>Please select ERROR CODE column "I"</v>
      </c>
      <c r="L2912" s="207" t="str">
        <f>IF(Errors!$I2912=0,
    'List of Error Codes'!$E$29,
    IFERROR(VLOOKUP(Errors!$I2912, 'List of Error Codes'!D2911:I2941, 6, FALSE), 'List of Error Codes'!$E$29)
)</f>
        <v>Please select ERROR CODE column "I"</v>
      </c>
      <c r="M2912" s="209"/>
      <c r="N2912" s="209"/>
      <c r="O2912" s="209"/>
      <c r="P2912" s="209"/>
      <c r="Q2912" s="209"/>
      <c r="R2912" s="217"/>
      <c r="S2912" s="217"/>
      <c r="T2912" s="217"/>
      <c r="U2912" s="199"/>
      <c r="V2912" s="200"/>
      <c r="W2912" s="200"/>
      <c r="X2912" s="200"/>
      <c r="Y2912" s="200"/>
      <c r="Z2912" s="200"/>
      <c r="AA2912" s="201"/>
      <c r="AB2912" s="200"/>
      <c r="AC2912" s="200"/>
    </row>
    <row r="2913" ht="15.75" customHeight="1">
      <c r="A2913" s="210">
        <f t="shared" si="1"/>
        <v>2911</v>
      </c>
      <c r="B2913" s="217"/>
      <c r="C2913" s="217" t="str">
        <f>IFERROR(VLOOKUP(B2913, SourceData!$U$3:$V$190, 2, FALSE), "")</f>
        <v/>
      </c>
      <c r="D2913" s="240"/>
      <c r="E2913" s="241"/>
      <c r="F2913" s="248"/>
      <c r="G2913" s="207"/>
      <c r="H2913" s="209"/>
      <c r="I2913" s="209"/>
      <c r="J2913" s="209"/>
      <c r="K2913" s="208" t="str">
        <f>IF(Errors!$I2913=0,SourceData!$B$42,VLOOKUP(Errors!$I2913,SourceData!$A$2:$B$40,2,FALSE))</f>
        <v>Please select ERROR CODE column "I"</v>
      </c>
      <c r="L2913" s="207" t="str">
        <f>IF(Errors!$I2913=0,
    'List of Error Codes'!$E$29,
    IFERROR(VLOOKUP(Errors!$I2913, 'List of Error Codes'!D2912:I2942, 6, FALSE), 'List of Error Codes'!$E$29)
)</f>
        <v>Please select ERROR CODE column "I"</v>
      </c>
      <c r="M2913" s="209"/>
      <c r="N2913" s="209"/>
      <c r="O2913" s="209"/>
      <c r="P2913" s="209"/>
      <c r="Q2913" s="209"/>
      <c r="R2913" s="217"/>
      <c r="S2913" s="217"/>
      <c r="T2913" s="217"/>
      <c r="U2913" s="199"/>
      <c r="V2913" s="200"/>
      <c r="W2913" s="200"/>
      <c r="X2913" s="200"/>
      <c r="Y2913" s="200"/>
      <c r="Z2913" s="200"/>
      <c r="AA2913" s="201"/>
      <c r="AB2913" s="200"/>
      <c r="AC2913" s="200"/>
    </row>
    <row r="2914" ht="15.75" customHeight="1">
      <c r="A2914" s="210">
        <f t="shared" si="1"/>
        <v>2912</v>
      </c>
      <c r="B2914" s="217"/>
      <c r="C2914" s="217" t="str">
        <f>IFERROR(VLOOKUP(B2914, SourceData!$U$3:$V$190, 2, FALSE), "")</f>
        <v/>
      </c>
      <c r="D2914" s="240"/>
      <c r="E2914" s="241"/>
      <c r="F2914" s="248"/>
      <c r="G2914" s="207"/>
      <c r="H2914" s="209"/>
      <c r="I2914" s="209"/>
      <c r="J2914" s="209"/>
      <c r="K2914" s="208" t="str">
        <f>IF(Errors!$I2914=0,SourceData!$B$42,VLOOKUP(Errors!$I2914,SourceData!$A$2:$B$40,2,FALSE))</f>
        <v>Please select ERROR CODE column "I"</v>
      </c>
      <c r="L2914" s="207" t="str">
        <f>IF(Errors!$I2914=0,
    'List of Error Codes'!$E$29,
    IFERROR(VLOOKUP(Errors!$I2914, 'List of Error Codes'!D2913:I2943, 6, FALSE), 'List of Error Codes'!$E$29)
)</f>
        <v>Please select ERROR CODE column "I"</v>
      </c>
      <c r="M2914" s="209"/>
      <c r="N2914" s="209"/>
      <c r="O2914" s="209"/>
      <c r="P2914" s="209"/>
      <c r="Q2914" s="209"/>
      <c r="R2914" s="217"/>
      <c r="S2914" s="217"/>
      <c r="T2914" s="217"/>
      <c r="U2914" s="199"/>
      <c r="V2914" s="200"/>
      <c r="W2914" s="200"/>
      <c r="X2914" s="200"/>
      <c r="Y2914" s="200"/>
      <c r="Z2914" s="200"/>
      <c r="AA2914" s="201"/>
      <c r="AB2914" s="200"/>
      <c r="AC2914" s="200"/>
    </row>
    <row r="2915" ht="15.75" customHeight="1">
      <c r="A2915" s="210">
        <f t="shared" si="1"/>
        <v>2913</v>
      </c>
      <c r="B2915" s="217"/>
      <c r="C2915" s="217" t="str">
        <f>IFERROR(VLOOKUP(B2915, SourceData!$U$3:$V$190, 2, FALSE), "")</f>
        <v/>
      </c>
      <c r="D2915" s="240"/>
      <c r="E2915" s="241"/>
      <c r="F2915" s="248"/>
      <c r="G2915" s="207"/>
      <c r="H2915" s="209"/>
      <c r="I2915" s="209"/>
      <c r="J2915" s="209"/>
      <c r="K2915" s="208" t="str">
        <f>IF(Errors!$I2915=0,SourceData!$B$42,VLOOKUP(Errors!$I2915,SourceData!$A$2:$B$40,2,FALSE))</f>
        <v>Please select ERROR CODE column "I"</v>
      </c>
      <c r="L2915" s="207" t="str">
        <f>IF(Errors!$I2915=0,
    'List of Error Codes'!$E$29,
    IFERROR(VLOOKUP(Errors!$I2915, 'List of Error Codes'!D2914:I2944, 6, FALSE), 'List of Error Codes'!$E$29)
)</f>
        <v>Please select ERROR CODE column "I"</v>
      </c>
      <c r="M2915" s="209"/>
      <c r="N2915" s="209"/>
      <c r="O2915" s="209"/>
      <c r="P2915" s="209"/>
      <c r="Q2915" s="209"/>
      <c r="R2915" s="217"/>
      <c r="S2915" s="217"/>
      <c r="T2915" s="217"/>
      <c r="U2915" s="199"/>
      <c r="V2915" s="200"/>
      <c r="W2915" s="200"/>
      <c r="X2915" s="200"/>
      <c r="Y2915" s="200"/>
      <c r="Z2915" s="200"/>
      <c r="AA2915" s="201"/>
      <c r="AB2915" s="200"/>
      <c r="AC2915" s="200"/>
    </row>
    <row r="2916" ht="15.75" customHeight="1">
      <c r="A2916" s="210">
        <f t="shared" si="1"/>
        <v>2914</v>
      </c>
      <c r="B2916" s="217"/>
      <c r="C2916" s="217" t="str">
        <f>IFERROR(VLOOKUP(B2916, SourceData!$U$3:$V$190, 2, FALSE), "")</f>
        <v/>
      </c>
      <c r="D2916" s="240"/>
      <c r="E2916" s="241"/>
      <c r="F2916" s="248"/>
      <c r="G2916" s="207"/>
      <c r="H2916" s="209"/>
      <c r="I2916" s="209"/>
      <c r="J2916" s="209"/>
      <c r="K2916" s="208" t="str">
        <f>IF(Errors!$I2916=0,SourceData!$B$42,VLOOKUP(Errors!$I2916,SourceData!$A$2:$B$40,2,FALSE))</f>
        <v>Please select ERROR CODE column "I"</v>
      </c>
      <c r="L2916" s="207" t="str">
        <f>IF(Errors!$I2916=0,
    'List of Error Codes'!$E$29,
    IFERROR(VLOOKUP(Errors!$I2916, 'List of Error Codes'!D2915:I2945, 6, FALSE), 'List of Error Codes'!$E$29)
)</f>
        <v>Please select ERROR CODE column "I"</v>
      </c>
      <c r="M2916" s="209"/>
      <c r="N2916" s="209"/>
      <c r="O2916" s="209"/>
      <c r="P2916" s="209"/>
      <c r="Q2916" s="209"/>
      <c r="R2916" s="217"/>
      <c r="S2916" s="217"/>
      <c r="T2916" s="217"/>
      <c r="U2916" s="199"/>
      <c r="V2916" s="200"/>
      <c r="W2916" s="200"/>
      <c r="X2916" s="200"/>
      <c r="Y2916" s="200"/>
      <c r="Z2916" s="200"/>
      <c r="AA2916" s="201"/>
      <c r="AB2916" s="200"/>
      <c r="AC2916" s="200"/>
    </row>
    <row r="2917" ht="15.75" customHeight="1">
      <c r="A2917" s="210">
        <f t="shared" si="1"/>
        <v>2915</v>
      </c>
      <c r="B2917" s="217"/>
      <c r="C2917" s="217" t="str">
        <f>IFERROR(VLOOKUP(B2917, SourceData!$U$3:$V$190, 2, FALSE), "")</f>
        <v/>
      </c>
      <c r="D2917" s="240"/>
      <c r="E2917" s="241"/>
      <c r="F2917" s="248"/>
      <c r="G2917" s="207"/>
      <c r="H2917" s="209"/>
      <c r="I2917" s="209"/>
      <c r="J2917" s="209"/>
      <c r="K2917" s="208" t="str">
        <f>IF(Errors!$I2917=0,SourceData!$B$42,VLOOKUP(Errors!$I2917,SourceData!$A$2:$B$40,2,FALSE))</f>
        <v>Please select ERROR CODE column "I"</v>
      </c>
      <c r="L2917" s="207" t="str">
        <f>IF(Errors!$I2917=0,
    'List of Error Codes'!$E$29,
    IFERROR(VLOOKUP(Errors!$I2917, 'List of Error Codes'!D2916:I2946, 6, FALSE), 'List of Error Codes'!$E$29)
)</f>
        <v>Please select ERROR CODE column "I"</v>
      </c>
      <c r="M2917" s="209"/>
      <c r="N2917" s="209"/>
      <c r="O2917" s="209"/>
      <c r="P2917" s="209"/>
      <c r="Q2917" s="209"/>
      <c r="R2917" s="217"/>
      <c r="S2917" s="217"/>
      <c r="T2917" s="217"/>
      <c r="U2917" s="199"/>
      <c r="V2917" s="200"/>
      <c r="W2917" s="200"/>
      <c r="X2917" s="200"/>
      <c r="Y2917" s="200"/>
      <c r="Z2917" s="200"/>
      <c r="AA2917" s="201"/>
      <c r="AB2917" s="200"/>
      <c r="AC2917" s="200"/>
    </row>
    <row r="2918" ht="15.75" customHeight="1">
      <c r="A2918" s="210">
        <f t="shared" si="1"/>
        <v>2916</v>
      </c>
      <c r="B2918" s="217"/>
      <c r="C2918" s="217" t="str">
        <f>IFERROR(VLOOKUP(B2918, SourceData!$U$3:$V$190, 2, FALSE), "")</f>
        <v/>
      </c>
      <c r="D2918" s="240"/>
      <c r="E2918" s="241"/>
      <c r="F2918" s="248"/>
      <c r="G2918" s="207"/>
      <c r="H2918" s="209"/>
      <c r="I2918" s="209"/>
      <c r="J2918" s="209"/>
      <c r="K2918" s="208" t="str">
        <f>IF(Errors!$I2918=0,SourceData!$B$42,VLOOKUP(Errors!$I2918,SourceData!$A$2:$B$40,2,FALSE))</f>
        <v>Please select ERROR CODE column "I"</v>
      </c>
      <c r="L2918" s="207" t="str">
        <f>IF(Errors!$I2918=0,
    'List of Error Codes'!$E$29,
    IFERROR(VLOOKUP(Errors!$I2918, 'List of Error Codes'!D2917:I2947, 6, FALSE), 'List of Error Codes'!$E$29)
)</f>
        <v>Please select ERROR CODE column "I"</v>
      </c>
      <c r="M2918" s="209"/>
      <c r="N2918" s="209"/>
      <c r="O2918" s="209"/>
      <c r="P2918" s="209"/>
      <c r="Q2918" s="209"/>
      <c r="R2918" s="217"/>
      <c r="S2918" s="217"/>
      <c r="T2918" s="217"/>
      <c r="U2918" s="199"/>
      <c r="V2918" s="200"/>
      <c r="W2918" s="200"/>
      <c r="X2918" s="200"/>
      <c r="Y2918" s="200"/>
      <c r="Z2918" s="200"/>
      <c r="AA2918" s="201"/>
      <c r="AB2918" s="200"/>
      <c r="AC2918" s="200"/>
    </row>
    <row r="2919" ht="15.75" customHeight="1">
      <c r="A2919" s="210">
        <f t="shared" si="1"/>
        <v>2917</v>
      </c>
      <c r="B2919" s="217"/>
      <c r="C2919" s="217" t="str">
        <f>IFERROR(VLOOKUP(B2919, SourceData!$U$3:$V$190, 2, FALSE), "")</f>
        <v/>
      </c>
      <c r="D2919" s="240"/>
      <c r="E2919" s="241"/>
      <c r="F2919" s="248"/>
      <c r="G2919" s="207"/>
      <c r="H2919" s="209"/>
      <c r="I2919" s="209"/>
      <c r="J2919" s="209"/>
      <c r="K2919" s="208" t="str">
        <f>IF(Errors!$I2919=0,SourceData!$B$42,VLOOKUP(Errors!$I2919,SourceData!$A$2:$B$40,2,FALSE))</f>
        <v>Please select ERROR CODE column "I"</v>
      </c>
      <c r="L2919" s="207" t="str">
        <f>IF(Errors!$I2919=0,
    'List of Error Codes'!$E$29,
    IFERROR(VLOOKUP(Errors!$I2919, 'List of Error Codes'!D2918:I2948, 6, FALSE), 'List of Error Codes'!$E$29)
)</f>
        <v>Please select ERROR CODE column "I"</v>
      </c>
      <c r="M2919" s="209"/>
      <c r="N2919" s="209"/>
      <c r="O2919" s="209"/>
      <c r="P2919" s="209"/>
      <c r="Q2919" s="209"/>
      <c r="R2919" s="217"/>
      <c r="S2919" s="217"/>
      <c r="T2919" s="217"/>
      <c r="U2919" s="199"/>
      <c r="V2919" s="200"/>
      <c r="W2919" s="200"/>
      <c r="X2919" s="200"/>
      <c r="Y2919" s="200"/>
      <c r="Z2919" s="200"/>
      <c r="AA2919" s="201"/>
      <c r="AB2919" s="200"/>
      <c r="AC2919" s="200"/>
    </row>
    <row r="2920" ht="15.75" customHeight="1">
      <c r="A2920" s="210">
        <f t="shared" si="1"/>
        <v>2918</v>
      </c>
      <c r="B2920" s="217"/>
      <c r="C2920" s="217" t="str">
        <f>IFERROR(VLOOKUP(B2920, SourceData!$U$3:$V$190, 2, FALSE), "")</f>
        <v/>
      </c>
      <c r="D2920" s="240"/>
      <c r="E2920" s="241"/>
      <c r="F2920" s="248"/>
      <c r="G2920" s="207"/>
      <c r="H2920" s="209"/>
      <c r="I2920" s="209"/>
      <c r="J2920" s="209"/>
      <c r="K2920" s="208" t="str">
        <f>IF(Errors!$I2920=0,SourceData!$B$42,VLOOKUP(Errors!$I2920,SourceData!$A$2:$B$40,2,FALSE))</f>
        <v>Please select ERROR CODE column "I"</v>
      </c>
      <c r="L2920" s="207" t="str">
        <f>IF(Errors!$I2920=0,
    'List of Error Codes'!$E$29,
    IFERROR(VLOOKUP(Errors!$I2920, 'List of Error Codes'!D2919:I2949, 6, FALSE), 'List of Error Codes'!$E$29)
)</f>
        <v>Please select ERROR CODE column "I"</v>
      </c>
      <c r="M2920" s="209"/>
      <c r="N2920" s="209"/>
      <c r="O2920" s="209"/>
      <c r="P2920" s="209"/>
      <c r="Q2920" s="209"/>
      <c r="R2920" s="217"/>
      <c r="S2920" s="217"/>
      <c r="T2920" s="217"/>
      <c r="U2920" s="199"/>
      <c r="V2920" s="200"/>
      <c r="W2920" s="200"/>
      <c r="X2920" s="200"/>
      <c r="Y2920" s="200"/>
      <c r="Z2920" s="200"/>
      <c r="AA2920" s="201"/>
      <c r="AB2920" s="200"/>
      <c r="AC2920" s="200"/>
    </row>
    <row r="2921" ht="15.75" customHeight="1">
      <c r="A2921" s="210">
        <f t="shared" si="1"/>
        <v>2919</v>
      </c>
      <c r="B2921" s="217"/>
      <c r="C2921" s="217" t="str">
        <f>IFERROR(VLOOKUP(B2921, SourceData!$U$3:$V$190, 2, FALSE), "")</f>
        <v/>
      </c>
      <c r="D2921" s="240"/>
      <c r="E2921" s="241"/>
      <c r="F2921" s="248"/>
      <c r="G2921" s="207"/>
      <c r="H2921" s="209"/>
      <c r="I2921" s="209"/>
      <c r="J2921" s="209"/>
      <c r="K2921" s="208" t="str">
        <f>IF(Errors!$I2921=0,SourceData!$B$42,VLOOKUP(Errors!$I2921,SourceData!$A$2:$B$40,2,FALSE))</f>
        <v>Please select ERROR CODE column "I"</v>
      </c>
      <c r="L2921" s="207" t="str">
        <f>IF(Errors!$I2921=0,
    'List of Error Codes'!$E$29,
    IFERROR(VLOOKUP(Errors!$I2921, 'List of Error Codes'!D2920:I2950, 6, FALSE), 'List of Error Codes'!$E$29)
)</f>
        <v>Please select ERROR CODE column "I"</v>
      </c>
      <c r="M2921" s="209"/>
      <c r="N2921" s="209"/>
      <c r="O2921" s="209"/>
      <c r="P2921" s="209"/>
      <c r="Q2921" s="209"/>
      <c r="R2921" s="217"/>
      <c r="S2921" s="217"/>
      <c r="T2921" s="217"/>
      <c r="U2921" s="199"/>
      <c r="V2921" s="200"/>
      <c r="W2921" s="200"/>
      <c r="X2921" s="200"/>
      <c r="Y2921" s="200"/>
      <c r="Z2921" s="200"/>
      <c r="AA2921" s="201"/>
      <c r="AB2921" s="200"/>
      <c r="AC2921" s="200"/>
    </row>
    <row r="2922" ht="15.75" customHeight="1">
      <c r="A2922" s="210">
        <f t="shared" si="1"/>
        <v>2920</v>
      </c>
      <c r="B2922" s="217"/>
      <c r="C2922" s="217" t="str">
        <f>IFERROR(VLOOKUP(B2922, SourceData!$U$3:$V$190, 2, FALSE), "")</f>
        <v/>
      </c>
      <c r="D2922" s="240"/>
      <c r="E2922" s="241"/>
      <c r="F2922" s="248"/>
      <c r="G2922" s="207"/>
      <c r="H2922" s="209"/>
      <c r="I2922" s="209"/>
      <c r="J2922" s="209"/>
      <c r="K2922" s="208" t="str">
        <f>IF(Errors!$I2922=0,SourceData!$B$42,VLOOKUP(Errors!$I2922,SourceData!$A$2:$B$40,2,FALSE))</f>
        <v>Please select ERROR CODE column "I"</v>
      </c>
      <c r="L2922" s="207" t="str">
        <f>IF(Errors!$I2922=0,
    'List of Error Codes'!$E$29,
    IFERROR(VLOOKUP(Errors!$I2922, 'List of Error Codes'!D2921:I2951, 6, FALSE), 'List of Error Codes'!$E$29)
)</f>
        <v>Please select ERROR CODE column "I"</v>
      </c>
      <c r="M2922" s="209"/>
      <c r="N2922" s="209"/>
      <c r="O2922" s="209"/>
      <c r="P2922" s="209"/>
      <c r="Q2922" s="209"/>
      <c r="R2922" s="217"/>
      <c r="S2922" s="217"/>
      <c r="T2922" s="217"/>
      <c r="U2922" s="199"/>
      <c r="V2922" s="200"/>
      <c r="W2922" s="200"/>
      <c r="X2922" s="200"/>
      <c r="Y2922" s="200"/>
      <c r="Z2922" s="200"/>
      <c r="AA2922" s="201"/>
      <c r="AB2922" s="200"/>
      <c r="AC2922" s="200"/>
    </row>
    <row r="2923" ht="15.75" customHeight="1">
      <c r="A2923" s="210">
        <f t="shared" si="1"/>
        <v>2921</v>
      </c>
      <c r="B2923" s="217"/>
      <c r="C2923" s="217" t="str">
        <f>IFERROR(VLOOKUP(B2923, SourceData!$U$3:$V$190, 2, FALSE), "")</f>
        <v/>
      </c>
      <c r="D2923" s="240"/>
      <c r="E2923" s="241"/>
      <c r="F2923" s="248"/>
      <c r="G2923" s="207"/>
      <c r="H2923" s="209"/>
      <c r="I2923" s="209"/>
      <c r="J2923" s="209"/>
      <c r="K2923" s="208" t="str">
        <f>IF(Errors!$I2923=0,SourceData!$B$42,VLOOKUP(Errors!$I2923,SourceData!$A$2:$B$40,2,FALSE))</f>
        <v>Please select ERROR CODE column "I"</v>
      </c>
      <c r="L2923" s="207" t="str">
        <f>IF(Errors!$I2923=0,
    'List of Error Codes'!$E$29,
    IFERROR(VLOOKUP(Errors!$I2923, 'List of Error Codes'!D2922:I2952, 6, FALSE), 'List of Error Codes'!$E$29)
)</f>
        <v>Please select ERROR CODE column "I"</v>
      </c>
      <c r="M2923" s="209"/>
      <c r="N2923" s="209"/>
      <c r="O2923" s="209"/>
      <c r="P2923" s="209"/>
      <c r="Q2923" s="209"/>
      <c r="R2923" s="217"/>
      <c r="S2923" s="217"/>
      <c r="T2923" s="217"/>
      <c r="U2923" s="199"/>
      <c r="V2923" s="200"/>
      <c r="W2923" s="200"/>
      <c r="X2923" s="200"/>
      <c r="Y2923" s="200"/>
      <c r="Z2923" s="200"/>
      <c r="AA2923" s="201"/>
      <c r="AB2923" s="200"/>
      <c r="AC2923" s="200"/>
    </row>
    <row r="2924" ht="15.75" customHeight="1">
      <c r="A2924" s="210">
        <f t="shared" si="1"/>
        <v>2922</v>
      </c>
      <c r="B2924" s="217"/>
      <c r="C2924" s="217" t="str">
        <f>IFERROR(VLOOKUP(B2924, SourceData!$U$3:$V$190, 2, FALSE), "")</f>
        <v/>
      </c>
      <c r="D2924" s="240"/>
      <c r="E2924" s="241"/>
      <c r="F2924" s="248"/>
      <c r="G2924" s="207"/>
      <c r="H2924" s="209"/>
      <c r="I2924" s="209"/>
      <c r="J2924" s="209"/>
      <c r="K2924" s="208" t="str">
        <f>IF(Errors!$I2924=0,SourceData!$B$42,VLOOKUP(Errors!$I2924,SourceData!$A$2:$B$40,2,FALSE))</f>
        <v>Please select ERROR CODE column "I"</v>
      </c>
      <c r="L2924" s="207" t="str">
        <f>IF(Errors!$I2924=0,
    'List of Error Codes'!$E$29,
    IFERROR(VLOOKUP(Errors!$I2924, 'List of Error Codes'!D2923:I2953, 6, FALSE), 'List of Error Codes'!$E$29)
)</f>
        <v>Please select ERROR CODE column "I"</v>
      </c>
      <c r="M2924" s="209"/>
      <c r="N2924" s="209"/>
      <c r="O2924" s="209"/>
      <c r="P2924" s="209"/>
      <c r="Q2924" s="209"/>
      <c r="R2924" s="217"/>
      <c r="S2924" s="217"/>
      <c r="T2924" s="217"/>
      <c r="U2924" s="199"/>
      <c r="V2924" s="200"/>
      <c r="W2924" s="200"/>
      <c r="X2924" s="200"/>
      <c r="Y2924" s="200"/>
      <c r="Z2924" s="200"/>
      <c r="AA2924" s="201"/>
      <c r="AB2924" s="200"/>
      <c r="AC2924" s="200"/>
    </row>
    <row r="2925" ht="15.75" customHeight="1">
      <c r="A2925" s="210">
        <f t="shared" si="1"/>
        <v>2923</v>
      </c>
      <c r="B2925" s="217"/>
      <c r="C2925" s="217" t="str">
        <f>IFERROR(VLOOKUP(B2925, SourceData!$U$3:$V$190, 2, FALSE), "")</f>
        <v/>
      </c>
      <c r="D2925" s="240"/>
      <c r="E2925" s="241"/>
      <c r="F2925" s="248"/>
      <c r="G2925" s="207"/>
      <c r="H2925" s="209"/>
      <c r="I2925" s="209"/>
      <c r="J2925" s="209"/>
      <c r="K2925" s="208" t="str">
        <f>IF(Errors!$I2925=0,SourceData!$B$42,VLOOKUP(Errors!$I2925,SourceData!$A$2:$B$40,2,FALSE))</f>
        <v>Please select ERROR CODE column "I"</v>
      </c>
      <c r="L2925" s="207" t="str">
        <f>IF(Errors!$I2925=0,
    'List of Error Codes'!$E$29,
    IFERROR(VLOOKUP(Errors!$I2925, 'List of Error Codes'!D2924:I2954, 6, FALSE), 'List of Error Codes'!$E$29)
)</f>
        <v>Please select ERROR CODE column "I"</v>
      </c>
      <c r="M2925" s="209"/>
      <c r="N2925" s="209"/>
      <c r="O2925" s="209"/>
      <c r="P2925" s="209"/>
      <c r="Q2925" s="209"/>
      <c r="R2925" s="217"/>
      <c r="S2925" s="217"/>
      <c r="T2925" s="217"/>
      <c r="U2925" s="199"/>
      <c r="V2925" s="200"/>
      <c r="W2925" s="200"/>
      <c r="X2925" s="200"/>
      <c r="Y2925" s="200"/>
      <c r="Z2925" s="200"/>
      <c r="AA2925" s="201"/>
      <c r="AB2925" s="200"/>
      <c r="AC2925" s="200"/>
    </row>
    <row r="2926" ht="15.75" customHeight="1">
      <c r="A2926" s="210">
        <f t="shared" si="1"/>
        <v>2924</v>
      </c>
      <c r="B2926" s="217"/>
      <c r="C2926" s="217" t="str">
        <f>IFERROR(VLOOKUP(B2926, SourceData!$U$3:$V$190, 2, FALSE), "")</f>
        <v/>
      </c>
      <c r="D2926" s="240"/>
      <c r="E2926" s="241"/>
      <c r="F2926" s="248"/>
      <c r="G2926" s="207"/>
      <c r="H2926" s="209"/>
      <c r="I2926" s="209"/>
      <c r="J2926" s="209"/>
      <c r="K2926" s="208" t="str">
        <f>IF(Errors!$I2926=0,SourceData!$B$42,VLOOKUP(Errors!$I2926,SourceData!$A$2:$B$40,2,FALSE))</f>
        <v>Please select ERROR CODE column "I"</v>
      </c>
      <c r="L2926" s="207" t="str">
        <f>IF(Errors!$I2926=0,
    'List of Error Codes'!$E$29,
    IFERROR(VLOOKUP(Errors!$I2926, 'List of Error Codes'!D2925:I2955, 6, FALSE), 'List of Error Codes'!$E$29)
)</f>
        <v>Please select ERROR CODE column "I"</v>
      </c>
      <c r="M2926" s="209"/>
      <c r="N2926" s="209"/>
      <c r="O2926" s="209"/>
      <c r="P2926" s="209"/>
      <c r="Q2926" s="209"/>
      <c r="R2926" s="217"/>
      <c r="S2926" s="217"/>
      <c r="T2926" s="217"/>
      <c r="U2926" s="199"/>
      <c r="V2926" s="200"/>
      <c r="W2926" s="200"/>
      <c r="X2926" s="200"/>
      <c r="Y2926" s="200"/>
      <c r="Z2926" s="200"/>
      <c r="AA2926" s="201"/>
      <c r="AB2926" s="200"/>
      <c r="AC2926" s="200"/>
    </row>
    <row r="2927" ht="15.75" customHeight="1">
      <c r="A2927" s="210">
        <f t="shared" si="1"/>
        <v>2925</v>
      </c>
      <c r="B2927" s="217"/>
      <c r="C2927" s="217" t="str">
        <f>IFERROR(VLOOKUP(B2927, SourceData!$U$3:$V$190, 2, FALSE), "")</f>
        <v/>
      </c>
      <c r="D2927" s="240"/>
      <c r="E2927" s="241"/>
      <c r="F2927" s="248"/>
      <c r="G2927" s="207"/>
      <c r="H2927" s="209"/>
      <c r="I2927" s="209"/>
      <c r="J2927" s="209"/>
      <c r="K2927" s="208" t="str">
        <f>IF(Errors!$I2927=0,SourceData!$B$42,VLOOKUP(Errors!$I2927,SourceData!$A$2:$B$40,2,FALSE))</f>
        <v>Please select ERROR CODE column "I"</v>
      </c>
      <c r="L2927" s="207" t="str">
        <f>IF(Errors!$I2927=0,
    'List of Error Codes'!$E$29,
    IFERROR(VLOOKUP(Errors!$I2927, 'List of Error Codes'!D2926:I2956, 6, FALSE), 'List of Error Codes'!$E$29)
)</f>
        <v>Please select ERROR CODE column "I"</v>
      </c>
      <c r="M2927" s="209"/>
      <c r="N2927" s="209"/>
      <c r="O2927" s="209"/>
      <c r="P2927" s="209"/>
      <c r="Q2927" s="209"/>
      <c r="R2927" s="217"/>
      <c r="S2927" s="217"/>
      <c r="T2927" s="217"/>
      <c r="U2927" s="199"/>
      <c r="V2927" s="200"/>
      <c r="W2927" s="200"/>
      <c r="X2927" s="200"/>
      <c r="Y2927" s="200"/>
      <c r="Z2927" s="200"/>
      <c r="AA2927" s="201"/>
      <c r="AB2927" s="200"/>
      <c r="AC2927" s="200"/>
    </row>
    <row r="2928" ht="15.75" customHeight="1">
      <c r="A2928" s="210">
        <f t="shared" si="1"/>
        <v>2926</v>
      </c>
      <c r="B2928" s="217"/>
      <c r="C2928" s="217" t="str">
        <f>IFERROR(VLOOKUP(B2928, SourceData!$U$3:$V$190, 2, FALSE), "")</f>
        <v/>
      </c>
      <c r="D2928" s="240"/>
      <c r="E2928" s="241"/>
      <c r="F2928" s="248"/>
      <c r="G2928" s="207"/>
      <c r="H2928" s="209"/>
      <c r="I2928" s="209"/>
      <c r="J2928" s="209"/>
      <c r="K2928" s="208" t="str">
        <f>IF(Errors!$I2928=0,SourceData!$B$42,VLOOKUP(Errors!$I2928,SourceData!$A$2:$B$40,2,FALSE))</f>
        <v>Please select ERROR CODE column "I"</v>
      </c>
      <c r="L2928" s="207" t="str">
        <f>IF(Errors!$I2928=0,
    'List of Error Codes'!$E$29,
    IFERROR(VLOOKUP(Errors!$I2928, 'List of Error Codes'!D2927:I2957, 6, FALSE), 'List of Error Codes'!$E$29)
)</f>
        <v>Please select ERROR CODE column "I"</v>
      </c>
      <c r="M2928" s="209"/>
      <c r="N2928" s="209"/>
      <c r="O2928" s="209"/>
      <c r="P2928" s="209"/>
      <c r="Q2928" s="209"/>
      <c r="R2928" s="217"/>
      <c r="S2928" s="217"/>
      <c r="T2928" s="217"/>
      <c r="U2928" s="199"/>
      <c r="V2928" s="200"/>
      <c r="W2928" s="200"/>
      <c r="X2928" s="200"/>
      <c r="Y2928" s="200"/>
      <c r="Z2928" s="200"/>
      <c r="AA2928" s="201"/>
      <c r="AB2928" s="200"/>
      <c r="AC2928" s="200"/>
    </row>
    <row r="2929" ht="15.75" customHeight="1">
      <c r="A2929" s="210">
        <f t="shared" si="1"/>
        <v>2927</v>
      </c>
      <c r="B2929" s="217"/>
      <c r="C2929" s="217" t="str">
        <f>IFERROR(VLOOKUP(B2929, SourceData!$U$3:$V$190, 2, FALSE), "")</f>
        <v/>
      </c>
      <c r="D2929" s="240"/>
      <c r="E2929" s="241"/>
      <c r="F2929" s="248"/>
      <c r="G2929" s="207"/>
      <c r="H2929" s="209"/>
      <c r="I2929" s="209"/>
      <c r="J2929" s="209"/>
      <c r="K2929" s="208" t="str">
        <f>IF(Errors!$I2929=0,SourceData!$B$42,VLOOKUP(Errors!$I2929,SourceData!$A$2:$B$40,2,FALSE))</f>
        <v>Please select ERROR CODE column "I"</v>
      </c>
      <c r="L2929" s="207" t="str">
        <f>IF(Errors!$I2929=0,
    'List of Error Codes'!$E$29,
    IFERROR(VLOOKUP(Errors!$I2929, 'List of Error Codes'!D2928:I2958, 6, FALSE), 'List of Error Codes'!$E$29)
)</f>
        <v>Please select ERROR CODE column "I"</v>
      </c>
      <c r="M2929" s="209"/>
      <c r="N2929" s="209"/>
      <c r="O2929" s="209"/>
      <c r="P2929" s="209"/>
      <c r="Q2929" s="209"/>
      <c r="R2929" s="217"/>
      <c r="S2929" s="217"/>
      <c r="T2929" s="217"/>
      <c r="U2929" s="199"/>
      <c r="V2929" s="200"/>
      <c r="W2929" s="200"/>
      <c r="X2929" s="200"/>
      <c r="Y2929" s="200"/>
      <c r="Z2929" s="200"/>
      <c r="AA2929" s="201"/>
      <c r="AB2929" s="200"/>
      <c r="AC2929" s="200"/>
    </row>
    <row r="2930" ht="15.75" customHeight="1">
      <c r="A2930" s="210">
        <f t="shared" si="1"/>
        <v>2928</v>
      </c>
      <c r="B2930" s="217"/>
      <c r="C2930" s="217" t="str">
        <f>IFERROR(VLOOKUP(B2930, SourceData!$U$3:$V$190, 2, FALSE), "")</f>
        <v/>
      </c>
      <c r="D2930" s="240"/>
      <c r="E2930" s="241"/>
      <c r="F2930" s="248"/>
      <c r="G2930" s="207"/>
      <c r="H2930" s="209"/>
      <c r="I2930" s="209"/>
      <c r="J2930" s="209"/>
      <c r="K2930" s="208" t="str">
        <f>IF(Errors!$I2930=0,SourceData!$B$42,VLOOKUP(Errors!$I2930,SourceData!$A$2:$B$40,2,FALSE))</f>
        <v>Please select ERROR CODE column "I"</v>
      </c>
      <c r="L2930" s="207" t="str">
        <f>IF(Errors!$I2930=0,
    'List of Error Codes'!$E$29,
    IFERROR(VLOOKUP(Errors!$I2930, 'List of Error Codes'!D2929:I2959, 6, FALSE), 'List of Error Codes'!$E$29)
)</f>
        <v>Please select ERROR CODE column "I"</v>
      </c>
      <c r="M2930" s="209"/>
      <c r="N2930" s="209"/>
      <c r="O2930" s="209"/>
      <c r="P2930" s="209"/>
      <c r="Q2930" s="209"/>
      <c r="R2930" s="217"/>
      <c r="S2930" s="217"/>
      <c r="T2930" s="217"/>
      <c r="U2930" s="199"/>
      <c r="V2930" s="200"/>
      <c r="W2930" s="200"/>
      <c r="X2930" s="200"/>
      <c r="Y2930" s="200"/>
      <c r="Z2930" s="200"/>
      <c r="AA2930" s="201"/>
      <c r="AB2930" s="200"/>
      <c r="AC2930" s="200"/>
    </row>
    <row r="2931" ht="15.75" customHeight="1">
      <c r="A2931" s="210">
        <f t="shared" si="1"/>
        <v>2929</v>
      </c>
      <c r="B2931" s="217"/>
      <c r="C2931" s="217" t="str">
        <f>IFERROR(VLOOKUP(B2931, SourceData!$U$3:$V$190, 2, FALSE), "")</f>
        <v/>
      </c>
      <c r="D2931" s="240"/>
      <c r="E2931" s="241"/>
      <c r="F2931" s="248"/>
      <c r="G2931" s="207"/>
      <c r="H2931" s="209"/>
      <c r="I2931" s="209"/>
      <c r="J2931" s="209"/>
      <c r="K2931" s="208" t="str">
        <f>IF(Errors!$I2931=0,SourceData!$B$42,VLOOKUP(Errors!$I2931,SourceData!$A$2:$B$40,2,FALSE))</f>
        <v>Please select ERROR CODE column "I"</v>
      </c>
      <c r="L2931" s="207" t="str">
        <f>IF(Errors!$I2931=0,
    'List of Error Codes'!$E$29,
    IFERROR(VLOOKUP(Errors!$I2931, 'List of Error Codes'!D2930:I2960, 6, FALSE), 'List of Error Codes'!$E$29)
)</f>
        <v>Please select ERROR CODE column "I"</v>
      </c>
      <c r="M2931" s="209"/>
      <c r="N2931" s="209"/>
      <c r="O2931" s="209"/>
      <c r="P2931" s="209"/>
      <c r="Q2931" s="209"/>
      <c r="R2931" s="217"/>
      <c r="S2931" s="217"/>
      <c r="T2931" s="217"/>
      <c r="U2931" s="199"/>
      <c r="V2931" s="200"/>
      <c r="W2931" s="200"/>
      <c r="X2931" s="200"/>
      <c r="Y2931" s="200"/>
      <c r="Z2931" s="200"/>
      <c r="AA2931" s="201"/>
      <c r="AB2931" s="200"/>
      <c r="AC2931" s="200"/>
    </row>
    <row r="2932" ht="15.75" customHeight="1">
      <c r="A2932" s="210">
        <f t="shared" si="1"/>
        <v>2930</v>
      </c>
      <c r="B2932" s="217"/>
      <c r="C2932" s="217" t="str">
        <f>IFERROR(VLOOKUP(B2932, SourceData!$U$3:$V$190, 2, FALSE), "")</f>
        <v/>
      </c>
      <c r="D2932" s="240"/>
      <c r="E2932" s="241"/>
      <c r="F2932" s="248"/>
      <c r="G2932" s="207"/>
      <c r="H2932" s="209"/>
      <c r="I2932" s="209"/>
      <c r="J2932" s="209"/>
      <c r="K2932" s="208" t="str">
        <f>IF(Errors!$I2932=0,SourceData!$B$42,VLOOKUP(Errors!$I2932,SourceData!$A$2:$B$40,2,FALSE))</f>
        <v>Please select ERROR CODE column "I"</v>
      </c>
      <c r="L2932" s="207" t="str">
        <f>IF(Errors!$I2932=0,
    'List of Error Codes'!$E$29,
    IFERROR(VLOOKUP(Errors!$I2932, 'List of Error Codes'!D2931:I2961, 6, FALSE), 'List of Error Codes'!$E$29)
)</f>
        <v>Please select ERROR CODE column "I"</v>
      </c>
      <c r="M2932" s="209"/>
      <c r="N2932" s="209"/>
      <c r="O2932" s="209"/>
      <c r="P2932" s="209"/>
      <c r="Q2932" s="209"/>
      <c r="R2932" s="217"/>
      <c r="S2932" s="217"/>
      <c r="T2932" s="217"/>
      <c r="U2932" s="199"/>
      <c r="V2932" s="200"/>
      <c r="W2932" s="200"/>
      <c r="X2932" s="200"/>
      <c r="Y2932" s="200"/>
      <c r="Z2932" s="200"/>
      <c r="AA2932" s="201"/>
      <c r="AB2932" s="200"/>
      <c r="AC2932" s="200"/>
    </row>
    <row r="2933" ht="15.75" customHeight="1">
      <c r="A2933" s="210">
        <f t="shared" si="1"/>
        <v>2931</v>
      </c>
      <c r="B2933" s="217"/>
      <c r="C2933" s="217" t="str">
        <f>IFERROR(VLOOKUP(B2933, SourceData!$U$3:$V$190, 2, FALSE), "")</f>
        <v/>
      </c>
      <c r="D2933" s="240"/>
      <c r="E2933" s="241"/>
      <c r="F2933" s="248"/>
      <c r="G2933" s="207"/>
      <c r="H2933" s="209"/>
      <c r="I2933" s="209"/>
      <c r="J2933" s="209"/>
      <c r="K2933" s="208" t="str">
        <f>IF(Errors!$I2933=0,SourceData!$B$42,VLOOKUP(Errors!$I2933,SourceData!$A$2:$B$40,2,FALSE))</f>
        <v>Please select ERROR CODE column "I"</v>
      </c>
      <c r="L2933" s="207" t="str">
        <f>IF(Errors!$I2933=0,
    'List of Error Codes'!$E$29,
    IFERROR(VLOOKUP(Errors!$I2933, 'List of Error Codes'!D2932:I2962, 6, FALSE), 'List of Error Codes'!$E$29)
)</f>
        <v>Please select ERROR CODE column "I"</v>
      </c>
      <c r="M2933" s="209"/>
      <c r="N2933" s="209"/>
      <c r="O2933" s="209"/>
      <c r="P2933" s="209"/>
      <c r="Q2933" s="209"/>
      <c r="R2933" s="217"/>
      <c r="S2933" s="217"/>
      <c r="T2933" s="217"/>
      <c r="U2933" s="199"/>
      <c r="V2933" s="200"/>
      <c r="W2933" s="200"/>
      <c r="X2933" s="200"/>
      <c r="Y2933" s="200"/>
      <c r="Z2933" s="200"/>
      <c r="AA2933" s="201"/>
      <c r="AB2933" s="200"/>
      <c r="AC2933" s="200"/>
    </row>
    <row r="2934" ht="15.75" customHeight="1">
      <c r="A2934" s="210">
        <f t="shared" si="1"/>
        <v>2932</v>
      </c>
      <c r="B2934" s="217"/>
      <c r="C2934" s="217" t="str">
        <f>IFERROR(VLOOKUP(B2934, SourceData!$U$3:$V$190, 2, FALSE), "")</f>
        <v/>
      </c>
      <c r="D2934" s="240"/>
      <c r="E2934" s="241"/>
      <c r="F2934" s="248"/>
      <c r="G2934" s="207"/>
      <c r="H2934" s="209"/>
      <c r="I2934" s="209"/>
      <c r="J2934" s="209"/>
      <c r="K2934" s="208" t="str">
        <f>IF(Errors!$I2934=0,SourceData!$B$42,VLOOKUP(Errors!$I2934,SourceData!$A$2:$B$40,2,FALSE))</f>
        <v>Please select ERROR CODE column "I"</v>
      </c>
      <c r="L2934" s="207" t="str">
        <f>IF(Errors!$I2934=0,
    'List of Error Codes'!$E$29,
    IFERROR(VLOOKUP(Errors!$I2934, 'List of Error Codes'!D2933:I2963, 6, FALSE), 'List of Error Codes'!$E$29)
)</f>
        <v>Please select ERROR CODE column "I"</v>
      </c>
      <c r="M2934" s="209"/>
      <c r="N2934" s="209"/>
      <c r="O2934" s="209"/>
      <c r="P2934" s="209"/>
      <c r="Q2934" s="209"/>
      <c r="R2934" s="217"/>
      <c r="S2934" s="217"/>
      <c r="T2934" s="217"/>
      <c r="U2934" s="199"/>
      <c r="V2934" s="200"/>
      <c r="W2934" s="200"/>
      <c r="X2934" s="200"/>
      <c r="Y2934" s="200"/>
      <c r="Z2934" s="200"/>
      <c r="AA2934" s="201"/>
      <c r="AB2934" s="200"/>
      <c r="AC2934" s="200"/>
    </row>
    <row r="2935" ht="15.75" customHeight="1">
      <c r="A2935" s="210">
        <f t="shared" si="1"/>
        <v>2933</v>
      </c>
      <c r="B2935" s="217"/>
      <c r="C2935" s="217" t="str">
        <f>IFERROR(VLOOKUP(B2935, SourceData!$U$3:$V$190, 2, FALSE), "")</f>
        <v/>
      </c>
      <c r="D2935" s="240"/>
      <c r="E2935" s="241"/>
      <c r="F2935" s="248"/>
      <c r="G2935" s="207"/>
      <c r="H2935" s="209"/>
      <c r="I2935" s="209"/>
      <c r="J2935" s="209"/>
      <c r="K2935" s="208" t="str">
        <f>IF(Errors!$I2935=0,SourceData!$B$42,VLOOKUP(Errors!$I2935,SourceData!$A$2:$B$40,2,FALSE))</f>
        <v>Please select ERROR CODE column "I"</v>
      </c>
      <c r="L2935" s="207" t="str">
        <f>IF(Errors!$I2935=0,
    'List of Error Codes'!$E$29,
    IFERROR(VLOOKUP(Errors!$I2935, 'List of Error Codes'!D2934:I2964, 6, FALSE), 'List of Error Codes'!$E$29)
)</f>
        <v>Please select ERROR CODE column "I"</v>
      </c>
      <c r="M2935" s="209"/>
      <c r="N2935" s="209"/>
      <c r="O2935" s="209"/>
      <c r="P2935" s="209"/>
      <c r="Q2935" s="209"/>
      <c r="R2935" s="217"/>
      <c r="S2935" s="217"/>
      <c r="T2935" s="217"/>
      <c r="U2935" s="199"/>
      <c r="V2935" s="200"/>
      <c r="W2935" s="200"/>
      <c r="X2935" s="200"/>
      <c r="Y2935" s="200"/>
      <c r="Z2935" s="200"/>
      <c r="AA2935" s="201"/>
      <c r="AB2935" s="200"/>
      <c r="AC2935" s="200"/>
    </row>
    <row r="2936" ht="15.75" customHeight="1">
      <c r="A2936" s="210">
        <f t="shared" si="1"/>
        <v>2934</v>
      </c>
      <c r="B2936" s="217"/>
      <c r="C2936" s="217" t="str">
        <f>IFERROR(VLOOKUP(B2936, SourceData!$U$3:$V$190, 2, FALSE), "")</f>
        <v/>
      </c>
      <c r="D2936" s="240"/>
      <c r="E2936" s="241"/>
      <c r="F2936" s="248"/>
      <c r="G2936" s="207"/>
      <c r="H2936" s="209"/>
      <c r="I2936" s="209"/>
      <c r="J2936" s="209"/>
      <c r="K2936" s="208" t="str">
        <f>IF(Errors!$I2936=0,SourceData!$B$42,VLOOKUP(Errors!$I2936,SourceData!$A$2:$B$40,2,FALSE))</f>
        <v>Please select ERROR CODE column "I"</v>
      </c>
      <c r="L2936" s="207" t="str">
        <f>IF(Errors!$I2936=0,
    'List of Error Codes'!$E$29,
    IFERROR(VLOOKUP(Errors!$I2936, 'List of Error Codes'!D2935:I2965, 6, FALSE), 'List of Error Codes'!$E$29)
)</f>
        <v>Please select ERROR CODE column "I"</v>
      </c>
      <c r="M2936" s="209"/>
      <c r="N2936" s="209"/>
      <c r="O2936" s="209"/>
      <c r="P2936" s="209"/>
      <c r="Q2936" s="209"/>
      <c r="R2936" s="217"/>
      <c r="S2936" s="217"/>
      <c r="T2936" s="217"/>
      <c r="U2936" s="199"/>
      <c r="V2936" s="200"/>
      <c r="W2936" s="200"/>
      <c r="X2936" s="200"/>
      <c r="Y2936" s="200"/>
      <c r="Z2936" s="200"/>
      <c r="AA2936" s="201"/>
      <c r="AB2936" s="200"/>
      <c r="AC2936" s="200"/>
    </row>
    <row r="2937" ht="15.75" customHeight="1">
      <c r="A2937" s="210">
        <f t="shared" si="1"/>
        <v>2935</v>
      </c>
      <c r="B2937" s="217"/>
      <c r="C2937" s="217" t="str">
        <f>IFERROR(VLOOKUP(B2937, SourceData!$U$3:$V$190, 2, FALSE), "")</f>
        <v/>
      </c>
      <c r="D2937" s="240"/>
      <c r="E2937" s="241"/>
      <c r="F2937" s="248"/>
      <c r="G2937" s="207"/>
      <c r="H2937" s="209"/>
      <c r="I2937" s="209"/>
      <c r="J2937" s="209"/>
      <c r="K2937" s="208" t="str">
        <f>IF(Errors!$I2937=0,SourceData!$B$42,VLOOKUP(Errors!$I2937,SourceData!$A$2:$B$40,2,FALSE))</f>
        <v>Please select ERROR CODE column "I"</v>
      </c>
      <c r="L2937" s="207" t="str">
        <f>IF(Errors!$I2937=0,
    'List of Error Codes'!$E$29,
    IFERROR(VLOOKUP(Errors!$I2937, 'List of Error Codes'!D2936:I2966, 6, FALSE), 'List of Error Codes'!$E$29)
)</f>
        <v>Please select ERROR CODE column "I"</v>
      </c>
      <c r="M2937" s="209"/>
      <c r="N2937" s="209"/>
      <c r="O2937" s="209"/>
      <c r="P2937" s="209"/>
      <c r="Q2937" s="209"/>
      <c r="R2937" s="217"/>
      <c r="S2937" s="217"/>
      <c r="T2937" s="217"/>
      <c r="U2937" s="199"/>
      <c r="V2937" s="200"/>
      <c r="W2937" s="200"/>
      <c r="X2937" s="200"/>
      <c r="Y2937" s="200"/>
      <c r="Z2937" s="200"/>
      <c r="AA2937" s="201"/>
      <c r="AB2937" s="200"/>
      <c r="AC2937" s="200"/>
    </row>
    <row r="2938" ht="15.75" customHeight="1">
      <c r="A2938" s="210">
        <f t="shared" si="1"/>
        <v>2936</v>
      </c>
      <c r="B2938" s="217"/>
      <c r="C2938" s="217" t="str">
        <f>IFERROR(VLOOKUP(B2938, SourceData!$U$3:$V$190, 2, FALSE), "")</f>
        <v/>
      </c>
      <c r="D2938" s="240"/>
      <c r="E2938" s="241"/>
      <c r="F2938" s="248"/>
      <c r="G2938" s="207"/>
      <c r="H2938" s="209"/>
      <c r="I2938" s="209"/>
      <c r="J2938" s="209"/>
      <c r="K2938" s="208" t="str">
        <f>IF(Errors!$I2938=0,SourceData!$B$42,VLOOKUP(Errors!$I2938,SourceData!$A$2:$B$40,2,FALSE))</f>
        <v>Please select ERROR CODE column "I"</v>
      </c>
      <c r="L2938" s="207" t="str">
        <f>IF(Errors!$I2938=0,
    'List of Error Codes'!$E$29,
    IFERROR(VLOOKUP(Errors!$I2938, 'List of Error Codes'!D2937:I2967, 6, FALSE), 'List of Error Codes'!$E$29)
)</f>
        <v>Please select ERROR CODE column "I"</v>
      </c>
      <c r="M2938" s="209"/>
      <c r="N2938" s="209"/>
      <c r="O2938" s="209"/>
      <c r="P2938" s="209"/>
      <c r="Q2938" s="209"/>
      <c r="R2938" s="217"/>
      <c r="S2938" s="217"/>
      <c r="T2938" s="217"/>
      <c r="U2938" s="199"/>
      <c r="V2938" s="200"/>
      <c r="W2938" s="200"/>
      <c r="X2938" s="200"/>
      <c r="Y2938" s="200"/>
      <c r="Z2938" s="200"/>
      <c r="AA2938" s="201"/>
      <c r="AB2938" s="200"/>
      <c r="AC2938" s="200"/>
    </row>
    <row r="2939" ht="15.75" customHeight="1">
      <c r="A2939" s="210">
        <f t="shared" si="1"/>
        <v>2937</v>
      </c>
      <c r="B2939" s="217"/>
      <c r="C2939" s="217" t="str">
        <f>IFERROR(VLOOKUP(B2939, SourceData!$U$3:$V$190, 2, FALSE), "")</f>
        <v/>
      </c>
      <c r="D2939" s="240"/>
      <c r="E2939" s="241"/>
      <c r="F2939" s="248"/>
      <c r="G2939" s="207"/>
      <c r="H2939" s="209"/>
      <c r="I2939" s="209"/>
      <c r="J2939" s="209"/>
      <c r="K2939" s="208" t="str">
        <f>IF(Errors!$I2939=0,SourceData!$B$42,VLOOKUP(Errors!$I2939,SourceData!$A$2:$B$40,2,FALSE))</f>
        <v>Please select ERROR CODE column "I"</v>
      </c>
      <c r="L2939" s="207" t="str">
        <f>IF(Errors!$I2939=0,
    'List of Error Codes'!$E$29,
    IFERROR(VLOOKUP(Errors!$I2939, 'List of Error Codes'!D2938:I2968, 6, FALSE), 'List of Error Codes'!$E$29)
)</f>
        <v>Please select ERROR CODE column "I"</v>
      </c>
      <c r="M2939" s="209"/>
      <c r="N2939" s="209"/>
      <c r="O2939" s="209"/>
      <c r="P2939" s="209"/>
      <c r="Q2939" s="209"/>
      <c r="R2939" s="217"/>
      <c r="S2939" s="217"/>
      <c r="T2939" s="217"/>
      <c r="U2939" s="199"/>
      <c r="V2939" s="200"/>
      <c r="W2939" s="200"/>
      <c r="X2939" s="200"/>
      <c r="Y2939" s="200"/>
      <c r="Z2939" s="200"/>
      <c r="AA2939" s="201"/>
      <c r="AB2939" s="200"/>
      <c r="AC2939" s="200"/>
    </row>
    <row r="2940" ht="15.75" customHeight="1">
      <c r="A2940" s="210">
        <f t="shared" si="1"/>
        <v>2938</v>
      </c>
      <c r="B2940" s="217"/>
      <c r="C2940" s="217" t="str">
        <f>IFERROR(VLOOKUP(B2940, SourceData!$U$3:$V$190, 2, FALSE), "")</f>
        <v/>
      </c>
      <c r="D2940" s="240"/>
      <c r="E2940" s="241"/>
      <c r="F2940" s="248"/>
      <c r="G2940" s="207"/>
      <c r="H2940" s="209"/>
      <c r="I2940" s="209"/>
      <c r="J2940" s="209"/>
      <c r="K2940" s="208" t="str">
        <f>IF(Errors!$I2940=0,SourceData!$B$42,VLOOKUP(Errors!$I2940,SourceData!$A$2:$B$40,2,FALSE))</f>
        <v>Please select ERROR CODE column "I"</v>
      </c>
      <c r="L2940" s="207" t="str">
        <f>IF(Errors!$I2940=0,
    'List of Error Codes'!$E$29,
    IFERROR(VLOOKUP(Errors!$I2940, 'List of Error Codes'!D2939:I2969, 6, FALSE), 'List of Error Codes'!$E$29)
)</f>
        <v>Please select ERROR CODE column "I"</v>
      </c>
      <c r="M2940" s="209"/>
      <c r="N2940" s="209"/>
      <c r="O2940" s="209"/>
      <c r="P2940" s="209"/>
      <c r="Q2940" s="209"/>
      <c r="R2940" s="217"/>
      <c r="S2940" s="217"/>
      <c r="T2940" s="217"/>
      <c r="U2940" s="199"/>
      <c r="V2940" s="200"/>
      <c r="W2940" s="200"/>
      <c r="X2940" s="200"/>
      <c r="Y2940" s="200"/>
      <c r="Z2940" s="200"/>
      <c r="AA2940" s="201"/>
      <c r="AB2940" s="200"/>
      <c r="AC2940" s="200"/>
    </row>
    <row r="2941" ht="15.75" customHeight="1">
      <c r="A2941" s="210">
        <f t="shared" si="1"/>
        <v>2939</v>
      </c>
      <c r="B2941" s="217"/>
      <c r="C2941" s="217" t="str">
        <f>IFERROR(VLOOKUP(B2941, SourceData!$U$3:$V$190, 2, FALSE), "")</f>
        <v/>
      </c>
      <c r="D2941" s="240"/>
      <c r="E2941" s="241"/>
      <c r="F2941" s="248"/>
      <c r="G2941" s="207"/>
      <c r="H2941" s="209"/>
      <c r="I2941" s="209"/>
      <c r="J2941" s="209"/>
      <c r="K2941" s="208" t="str">
        <f>IF(Errors!$I2941=0,SourceData!$B$42,VLOOKUP(Errors!$I2941,SourceData!$A$2:$B$40,2,FALSE))</f>
        <v>Please select ERROR CODE column "I"</v>
      </c>
      <c r="L2941" s="207" t="str">
        <f>IF(Errors!$I2941=0,
    'List of Error Codes'!$E$29,
    IFERROR(VLOOKUP(Errors!$I2941, 'List of Error Codes'!D2940:I2970, 6, FALSE), 'List of Error Codes'!$E$29)
)</f>
        <v>Please select ERROR CODE column "I"</v>
      </c>
      <c r="M2941" s="209"/>
      <c r="N2941" s="209"/>
      <c r="O2941" s="209"/>
      <c r="P2941" s="209"/>
      <c r="Q2941" s="209"/>
      <c r="R2941" s="217"/>
      <c r="S2941" s="217"/>
      <c r="T2941" s="217"/>
      <c r="U2941" s="199"/>
      <c r="V2941" s="200"/>
      <c r="W2941" s="200"/>
      <c r="X2941" s="200"/>
      <c r="Y2941" s="200"/>
      <c r="Z2941" s="200"/>
      <c r="AA2941" s="201"/>
      <c r="AB2941" s="200"/>
      <c r="AC2941" s="200"/>
    </row>
    <row r="2942" ht="15.75" customHeight="1">
      <c r="A2942" s="210">
        <f t="shared" si="1"/>
        <v>2940</v>
      </c>
      <c r="B2942" s="217"/>
      <c r="C2942" s="217" t="str">
        <f>IFERROR(VLOOKUP(B2942, SourceData!$U$3:$V$190, 2, FALSE), "")</f>
        <v/>
      </c>
      <c r="D2942" s="240"/>
      <c r="E2942" s="241"/>
      <c r="F2942" s="248"/>
      <c r="G2942" s="207"/>
      <c r="H2942" s="209"/>
      <c r="I2942" s="209"/>
      <c r="J2942" s="209"/>
      <c r="K2942" s="208" t="str">
        <f>IF(Errors!$I2942=0,SourceData!$B$42,VLOOKUP(Errors!$I2942,SourceData!$A$2:$B$40,2,FALSE))</f>
        <v>Please select ERROR CODE column "I"</v>
      </c>
      <c r="L2942" s="207" t="str">
        <f>IF(Errors!$I2942=0,
    'List of Error Codes'!$E$29,
    IFERROR(VLOOKUP(Errors!$I2942, 'List of Error Codes'!D2941:I2971, 6, FALSE), 'List of Error Codes'!$E$29)
)</f>
        <v>Please select ERROR CODE column "I"</v>
      </c>
      <c r="M2942" s="209"/>
      <c r="N2942" s="209"/>
      <c r="O2942" s="209"/>
      <c r="P2942" s="209"/>
      <c r="Q2942" s="209"/>
      <c r="R2942" s="217"/>
      <c r="S2942" s="217"/>
      <c r="T2942" s="217"/>
      <c r="U2942" s="199"/>
      <c r="V2942" s="200"/>
      <c r="W2942" s="200"/>
      <c r="X2942" s="200"/>
      <c r="Y2942" s="200"/>
      <c r="Z2942" s="200"/>
      <c r="AA2942" s="201"/>
      <c r="AB2942" s="200"/>
      <c r="AC2942" s="200"/>
    </row>
    <row r="2943" ht="15.75" customHeight="1">
      <c r="A2943" s="210">
        <f t="shared" si="1"/>
        <v>2941</v>
      </c>
      <c r="B2943" s="217"/>
      <c r="C2943" s="217" t="str">
        <f>IFERROR(VLOOKUP(B2943, SourceData!$U$3:$V$190, 2, FALSE), "")</f>
        <v/>
      </c>
      <c r="D2943" s="240"/>
      <c r="E2943" s="241"/>
      <c r="F2943" s="248"/>
      <c r="G2943" s="207"/>
      <c r="H2943" s="209"/>
      <c r="I2943" s="209"/>
      <c r="J2943" s="209"/>
      <c r="K2943" s="208" t="str">
        <f>IF(Errors!$I2943=0,SourceData!$B$42,VLOOKUP(Errors!$I2943,SourceData!$A$2:$B$40,2,FALSE))</f>
        <v>Please select ERROR CODE column "I"</v>
      </c>
      <c r="L2943" s="207" t="str">
        <f>IF(Errors!$I2943=0,
    'List of Error Codes'!$E$29,
    IFERROR(VLOOKUP(Errors!$I2943, 'List of Error Codes'!D2942:I2972, 6, FALSE), 'List of Error Codes'!$E$29)
)</f>
        <v>Please select ERROR CODE column "I"</v>
      </c>
      <c r="M2943" s="209"/>
      <c r="N2943" s="209"/>
      <c r="O2943" s="209"/>
      <c r="P2943" s="209"/>
      <c r="Q2943" s="209"/>
      <c r="R2943" s="217"/>
      <c r="S2943" s="217"/>
      <c r="T2943" s="217"/>
      <c r="U2943" s="199"/>
      <c r="V2943" s="200"/>
      <c r="W2943" s="200"/>
      <c r="X2943" s="200"/>
      <c r="Y2943" s="200"/>
      <c r="Z2943" s="200"/>
      <c r="AA2943" s="201"/>
      <c r="AB2943" s="200"/>
      <c r="AC2943" s="200"/>
    </row>
    <row r="2944" ht="15.75" customHeight="1">
      <c r="A2944" s="210">
        <f t="shared" si="1"/>
        <v>2942</v>
      </c>
      <c r="B2944" s="217"/>
      <c r="C2944" s="217" t="str">
        <f>IFERROR(VLOOKUP(B2944, SourceData!$U$3:$V$190, 2, FALSE), "")</f>
        <v/>
      </c>
      <c r="D2944" s="240"/>
      <c r="E2944" s="241"/>
      <c r="F2944" s="248"/>
      <c r="G2944" s="207"/>
      <c r="H2944" s="209"/>
      <c r="I2944" s="209"/>
      <c r="J2944" s="209"/>
      <c r="K2944" s="208" t="str">
        <f>IF(Errors!$I2944=0,SourceData!$B$42,VLOOKUP(Errors!$I2944,SourceData!$A$2:$B$40,2,FALSE))</f>
        <v>Please select ERROR CODE column "I"</v>
      </c>
      <c r="L2944" s="207" t="str">
        <f>IF(Errors!$I2944=0,
    'List of Error Codes'!$E$29,
    IFERROR(VLOOKUP(Errors!$I2944, 'List of Error Codes'!D2943:I2973, 6, FALSE), 'List of Error Codes'!$E$29)
)</f>
        <v>Please select ERROR CODE column "I"</v>
      </c>
      <c r="M2944" s="209"/>
      <c r="N2944" s="209"/>
      <c r="O2944" s="209"/>
      <c r="P2944" s="209"/>
      <c r="Q2944" s="209"/>
      <c r="R2944" s="217"/>
      <c r="S2944" s="217"/>
      <c r="T2944" s="217"/>
      <c r="U2944" s="199"/>
      <c r="V2944" s="200"/>
      <c r="W2944" s="200"/>
      <c r="X2944" s="200"/>
      <c r="Y2944" s="200"/>
      <c r="Z2944" s="200"/>
      <c r="AA2944" s="201"/>
      <c r="AB2944" s="200"/>
      <c r="AC2944" s="200"/>
    </row>
    <row r="2945" ht="15.75" customHeight="1">
      <c r="A2945" s="210">
        <f t="shared" si="1"/>
        <v>2943</v>
      </c>
      <c r="B2945" s="217"/>
      <c r="C2945" s="217" t="str">
        <f>IFERROR(VLOOKUP(B2945, SourceData!$U$3:$V$190, 2, FALSE), "")</f>
        <v/>
      </c>
      <c r="D2945" s="240"/>
      <c r="E2945" s="241"/>
      <c r="F2945" s="248"/>
      <c r="G2945" s="207"/>
      <c r="H2945" s="209"/>
      <c r="I2945" s="209"/>
      <c r="J2945" s="209"/>
      <c r="K2945" s="208" t="str">
        <f>IF(Errors!$I2945=0,SourceData!$B$42,VLOOKUP(Errors!$I2945,SourceData!$A$2:$B$40,2,FALSE))</f>
        <v>Please select ERROR CODE column "I"</v>
      </c>
      <c r="L2945" s="207" t="str">
        <f>IF(Errors!$I2945=0,
    'List of Error Codes'!$E$29,
    IFERROR(VLOOKUP(Errors!$I2945, 'List of Error Codes'!D2944:I2974, 6, FALSE), 'List of Error Codes'!$E$29)
)</f>
        <v>Please select ERROR CODE column "I"</v>
      </c>
      <c r="M2945" s="209"/>
      <c r="N2945" s="209"/>
      <c r="O2945" s="209"/>
      <c r="P2945" s="209"/>
      <c r="Q2945" s="209"/>
      <c r="R2945" s="217"/>
      <c r="S2945" s="217"/>
      <c r="T2945" s="217"/>
      <c r="U2945" s="199"/>
      <c r="V2945" s="200"/>
      <c r="W2945" s="200"/>
      <c r="X2945" s="200"/>
      <c r="Y2945" s="200"/>
      <c r="Z2945" s="200"/>
      <c r="AA2945" s="201"/>
      <c r="AB2945" s="200"/>
      <c r="AC2945" s="200"/>
    </row>
    <row r="2946" ht="15.75" customHeight="1">
      <c r="A2946" s="210">
        <f t="shared" si="1"/>
        <v>2944</v>
      </c>
      <c r="B2946" s="217"/>
      <c r="C2946" s="217" t="str">
        <f>IFERROR(VLOOKUP(B2946, SourceData!$U$3:$V$190, 2, FALSE), "")</f>
        <v/>
      </c>
      <c r="D2946" s="240"/>
      <c r="E2946" s="241"/>
      <c r="F2946" s="248"/>
      <c r="G2946" s="207"/>
      <c r="H2946" s="209"/>
      <c r="I2946" s="209"/>
      <c r="J2946" s="209"/>
      <c r="K2946" s="208" t="str">
        <f>IF(Errors!$I2946=0,SourceData!$B$42,VLOOKUP(Errors!$I2946,SourceData!$A$2:$B$40,2,FALSE))</f>
        <v>Please select ERROR CODE column "I"</v>
      </c>
      <c r="L2946" s="207" t="str">
        <f>IF(Errors!$I2946=0,
    'List of Error Codes'!$E$29,
    IFERROR(VLOOKUP(Errors!$I2946, 'List of Error Codes'!D2945:I2975, 6, FALSE), 'List of Error Codes'!$E$29)
)</f>
        <v>Please select ERROR CODE column "I"</v>
      </c>
      <c r="M2946" s="209"/>
      <c r="N2946" s="209"/>
      <c r="O2946" s="209"/>
      <c r="P2946" s="209"/>
      <c r="Q2946" s="209"/>
      <c r="R2946" s="217"/>
      <c r="S2946" s="217"/>
      <c r="T2946" s="217"/>
      <c r="U2946" s="199"/>
      <c r="V2946" s="200"/>
      <c r="W2946" s="200"/>
      <c r="X2946" s="200"/>
      <c r="Y2946" s="200"/>
      <c r="Z2946" s="200"/>
      <c r="AA2946" s="201"/>
      <c r="AB2946" s="200"/>
      <c r="AC2946" s="200"/>
    </row>
    <row r="2947" ht="15.75" customHeight="1">
      <c r="A2947" s="210">
        <f t="shared" si="1"/>
        <v>2945</v>
      </c>
      <c r="B2947" s="217"/>
      <c r="C2947" s="217" t="str">
        <f>IFERROR(VLOOKUP(B2947, SourceData!$U$3:$V$190, 2, FALSE), "")</f>
        <v/>
      </c>
      <c r="D2947" s="240"/>
      <c r="E2947" s="241"/>
      <c r="F2947" s="248"/>
      <c r="G2947" s="207"/>
      <c r="H2947" s="209"/>
      <c r="I2947" s="209"/>
      <c r="J2947" s="209"/>
      <c r="K2947" s="208" t="str">
        <f>IF(Errors!$I2947=0,SourceData!$B$42,VLOOKUP(Errors!$I2947,SourceData!$A$2:$B$40,2,FALSE))</f>
        <v>Please select ERROR CODE column "I"</v>
      </c>
      <c r="L2947" s="207" t="str">
        <f>IF(Errors!$I2947=0,
    'List of Error Codes'!$E$29,
    IFERROR(VLOOKUP(Errors!$I2947, 'List of Error Codes'!D2946:I2976, 6, FALSE), 'List of Error Codes'!$E$29)
)</f>
        <v>Please select ERROR CODE column "I"</v>
      </c>
      <c r="M2947" s="209"/>
      <c r="N2947" s="209"/>
      <c r="O2947" s="209"/>
      <c r="P2947" s="209"/>
      <c r="Q2947" s="209"/>
      <c r="R2947" s="217"/>
      <c r="S2947" s="217"/>
      <c r="T2947" s="217"/>
      <c r="U2947" s="199"/>
      <c r="V2947" s="200"/>
      <c r="W2947" s="200"/>
      <c r="X2947" s="200"/>
      <c r="Y2947" s="200"/>
      <c r="Z2947" s="200"/>
      <c r="AA2947" s="201"/>
      <c r="AB2947" s="200"/>
      <c r="AC2947" s="200"/>
    </row>
    <row r="2948" ht="15.75" customHeight="1">
      <c r="A2948" s="210">
        <f t="shared" si="1"/>
        <v>2946</v>
      </c>
      <c r="B2948" s="217"/>
      <c r="C2948" s="217" t="str">
        <f>IFERROR(VLOOKUP(B2948, SourceData!$U$3:$V$190, 2, FALSE), "")</f>
        <v/>
      </c>
      <c r="D2948" s="240"/>
      <c r="E2948" s="241"/>
      <c r="F2948" s="248"/>
      <c r="G2948" s="207"/>
      <c r="H2948" s="209"/>
      <c r="I2948" s="209"/>
      <c r="J2948" s="209"/>
      <c r="K2948" s="208" t="str">
        <f>IF(Errors!$I2948=0,SourceData!$B$42,VLOOKUP(Errors!$I2948,SourceData!$A$2:$B$40,2,FALSE))</f>
        <v>Please select ERROR CODE column "I"</v>
      </c>
      <c r="L2948" s="207" t="str">
        <f>IF(Errors!$I2948=0,
    'List of Error Codes'!$E$29,
    IFERROR(VLOOKUP(Errors!$I2948, 'List of Error Codes'!D2947:I2977, 6, FALSE), 'List of Error Codes'!$E$29)
)</f>
        <v>Please select ERROR CODE column "I"</v>
      </c>
      <c r="M2948" s="209"/>
      <c r="N2948" s="209"/>
      <c r="O2948" s="209"/>
      <c r="P2948" s="209"/>
      <c r="Q2948" s="209"/>
      <c r="R2948" s="217"/>
      <c r="S2948" s="217"/>
      <c r="T2948" s="217"/>
      <c r="U2948" s="199"/>
      <c r="V2948" s="200"/>
      <c r="W2948" s="200"/>
      <c r="X2948" s="200"/>
      <c r="Y2948" s="200"/>
      <c r="Z2948" s="200"/>
      <c r="AA2948" s="201"/>
      <c r="AB2948" s="200"/>
      <c r="AC2948" s="200"/>
    </row>
    <row r="2949" ht="15.75" customHeight="1">
      <c r="A2949" s="210">
        <f t="shared" si="1"/>
        <v>2947</v>
      </c>
      <c r="B2949" s="217"/>
      <c r="C2949" s="217" t="str">
        <f>IFERROR(VLOOKUP(B2949, SourceData!$U$3:$V$190, 2, FALSE), "")</f>
        <v/>
      </c>
      <c r="D2949" s="240"/>
      <c r="E2949" s="241"/>
      <c r="F2949" s="248"/>
      <c r="G2949" s="207"/>
      <c r="H2949" s="209"/>
      <c r="I2949" s="209"/>
      <c r="J2949" s="209"/>
      <c r="K2949" s="208" t="str">
        <f>IF(Errors!$I2949=0,SourceData!$B$42,VLOOKUP(Errors!$I2949,SourceData!$A$2:$B$40,2,FALSE))</f>
        <v>Please select ERROR CODE column "I"</v>
      </c>
      <c r="L2949" s="207" t="str">
        <f>IF(Errors!$I2949=0,
    'List of Error Codes'!$E$29,
    IFERROR(VLOOKUP(Errors!$I2949, 'List of Error Codes'!D2948:I2978, 6, FALSE), 'List of Error Codes'!$E$29)
)</f>
        <v>Please select ERROR CODE column "I"</v>
      </c>
      <c r="M2949" s="209"/>
      <c r="N2949" s="209"/>
      <c r="O2949" s="209"/>
      <c r="P2949" s="209"/>
      <c r="Q2949" s="209"/>
      <c r="R2949" s="217"/>
      <c r="S2949" s="217"/>
      <c r="T2949" s="217"/>
      <c r="U2949" s="199"/>
      <c r="V2949" s="200"/>
      <c r="W2949" s="200"/>
      <c r="X2949" s="200"/>
      <c r="Y2949" s="200"/>
      <c r="Z2949" s="200"/>
      <c r="AA2949" s="201"/>
      <c r="AB2949" s="200"/>
      <c r="AC2949" s="200"/>
    </row>
    <row r="2950" ht="15.75" customHeight="1">
      <c r="A2950" s="210">
        <f t="shared" si="1"/>
        <v>2948</v>
      </c>
      <c r="B2950" s="217"/>
      <c r="C2950" s="217" t="str">
        <f>IFERROR(VLOOKUP(B2950, SourceData!$U$3:$V$190, 2, FALSE), "")</f>
        <v/>
      </c>
      <c r="D2950" s="240"/>
      <c r="E2950" s="241"/>
      <c r="F2950" s="248"/>
      <c r="G2950" s="207"/>
      <c r="H2950" s="209"/>
      <c r="I2950" s="209"/>
      <c r="J2950" s="209"/>
      <c r="K2950" s="208" t="str">
        <f>IF(Errors!$I2950=0,SourceData!$B$42,VLOOKUP(Errors!$I2950,SourceData!$A$2:$B$40,2,FALSE))</f>
        <v>Please select ERROR CODE column "I"</v>
      </c>
      <c r="L2950" s="207" t="str">
        <f>IF(Errors!$I2950=0,
    'List of Error Codes'!$E$29,
    IFERROR(VLOOKUP(Errors!$I2950, 'List of Error Codes'!D2949:I2979, 6, FALSE), 'List of Error Codes'!$E$29)
)</f>
        <v>Please select ERROR CODE column "I"</v>
      </c>
      <c r="M2950" s="209"/>
      <c r="N2950" s="209"/>
      <c r="O2950" s="209"/>
      <c r="P2950" s="209"/>
      <c r="Q2950" s="209"/>
      <c r="R2950" s="217"/>
      <c r="S2950" s="217"/>
      <c r="T2950" s="217"/>
      <c r="U2950" s="199"/>
      <c r="V2950" s="200"/>
      <c r="W2950" s="200"/>
      <c r="X2950" s="200"/>
      <c r="Y2950" s="200"/>
      <c r="Z2950" s="200"/>
      <c r="AA2950" s="201"/>
      <c r="AB2950" s="200"/>
      <c r="AC2950" s="200"/>
    </row>
    <row r="2951" ht="15.75" customHeight="1">
      <c r="A2951" s="210">
        <f t="shared" si="1"/>
        <v>2949</v>
      </c>
      <c r="B2951" s="217"/>
      <c r="C2951" s="217" t="str">
        <f>IFERROR(VLOOKUP(B2951, SourceData!$U$3:$V$190, 2, FALSE), "")</f>
        <v/>
      </c>
      <c r="D2951" s="240"/>
      <c r="E2951" s="241"/>
      <c r="F2951" s="248"/>
      <c r="G2951" s="207"/>
      <c r="H2951" s="209"/>
      <c r="I2951" s="209"/>
      <c r="J2951" s="209"/>
      <c r="K2951" s="208" t="str">
        <f>IF(Errors!$I2951=0,SourceData!$B$42,VLOOKUP(Errors!$I2951,SourceData!$A$2:$B$40,2,FALSE))</f>
        <v>Please select ERROR CODE column "I"</v>
      </c>
      <c r="L2951" s="207" t="str">
        <f>IF(Errors!$I2951=0,
    'List of Error Codes'!$E$29,
    IFERROR(VLOOKUP(Errors!$I2951, 'List of Error Codes'!D2950:I2980, 6, FALSE), 'List of Error Codes'!$E$29)
)</f>
        <v>Please select ERROR CODE column "I"</v>
      </c>
      <c r="M2951" s="209"/>
      <c r="N2951" s="209"/>
      <c r="O2951" s="209"/>
      <c r="P2951" s="209"/>
      <c r="Q2951" s="209"/>
      <c r="R2951" s="217"/>
      <c r="S2951" s="217"/>
      <c r="T2951" s="217"/>
      <c r="U2951" s="199"/>
      <c r="V2951" s="200"/>
      <c r="W2951" s="200"/>
      <c r="X2951" s="200"/>
      <c r="Y2951" s="200"/>
      <c r="Z2951" s="200"/>
      <c r="AA2951" s="201"/>
      <c r="AB2951" s="200"/>
      <c r="AC2951" s="200"/>
    </row>
    <row r="2952" ht="15.75" customHeight="1">
      <c r="A2952" s="210">
        <f t="shared" si="1"/>
        <v>2950</v>
      </c>
      <c r="B2952" s="217"/>
      <c r="C2952" s="217" t="str">
        <f>IFERROR(VLOOKUP(B2952, SourceData!$U$3:$V$190, 2, FALSE), "")</f>
        <v/>
      </c>
      <c r="D2952" s="240"/>
      <c r="E2952" s="241"/>
      <c r="F2952" s="248"/>
      <c r="G2952" s="207"/>
      <c r="H2952" s="209"/>
      <c r="I2952" s="209"/>
      <c r="J2952" s="209"/>
      <c r="K2952" s="208" t="str">
        <f>IF(Errors!$I2952=0,SourceData!$B$42,VLOOKUP(Errors!$I2952,SourceData!$A$2:$B$40,2,FALSE))</f>
        <v>Please select ERROR CODE column "I"</v>
      </c>
      <c r="L2952" s="207" t="str">
        <f>IF(Errors!$I2952=0,
    'List of Error Codes'!$E$29,
    IFERROR(VLOOKUP(Errors!$I2952, 'List of Error Codes'!D2951:I2981, 6, FALSE), 'List of Error Codes'!$E$29)
)</f>
        <v>Please select ERROR CODE column "I"</v>
      </c>
      <c r="M2952" s="209"/>
      <c r="N2952" s="209"/>
      <c r="O2952" s="209"/>
      <c r="P2952" s="209"/>
      <c r="Q2952" s="209"/>
      <c r="R2952" s="217"/>
      <c r="S2952" s="217"/>
      <c r="T2952" s="217"/>
      <c r="U2952" s="199"/>
      <c r="V2952" s="200"/>
      <c r="W2952" s="200"/>
      <c r="X2952" s="200"/>
      <c r="Y2952" s="200"/>
      <c r="Z2952" s="200"/>
      <c r="AA2952" s="201"/>
      <c r="AB2952" s="200"/>
      <c r="AC2952" s="200"/>
    </row>
    <row r="2953" ht="15.75" customHeight="1">
      <c r="A2953" s="210">
        <f t="shared" si="1"/>
        <v>2951</v>
      </c>
      <c r="B2953" s="217"/>
      <c r="C2953" s="217" t="str">
        <f>IFERROR(VLOOKUP(B2953, SourceData!$U$3:$V$190, 2, FALSE), "")</f>
        <v/>
      </c>
      <c r="D2953" s="240"/>
      <c r="E2953" s="241"/>
      <c r="F2953" s="248"/>
      <c r="G2953" s="207"/>
      <c r="H2953" s="209"/>
      <c r="I2953" s="209"/>
      <c r="J2953" s="209"/>
      <c r="K2953" s="208" t="str">
        <f>IF(Errors!$I2953=0,SourceData!$B$42,VLOOKUP(Errors!$I2953,SourceData!$A$2:$B$40,2,FALSE))</f>
        <v>Please select ERROR CODE column "I"</v>
      </c>
      <c r="L2953" s="207" t="str">
        <f>IF(Errors!$I2953=0,
    'List of Error Codes'!$E$29,
    IFERROR(VLOOKUP(Errors!$I2953, 'List of Error Codes'!D2952:I2982, 6, FALSE), 'List of Error Codes'!$E$29)
)</f>
        <v>Please select ERROR CODE column "I"</v>
      </c>
      <c r="M2953" s="209"/>
      <c r="N2953" s="209"/>
      <c r="O2953" s="209"/>
      <c r="P2953" s="209"/>
      <c r="Q2953" s="209"/>
      <c r="R2953" s="217"/>
      <c r="S2953" s="217"/>
      <c r="T2953" s="217"/>
      <c r="U2953" s="199"/>
      <c r="V2953" s="200"/>
      <c r="W2953" s="200"/>
      <c r="X2953" s="200"/>
      <c r="Y2953" s="200"/>
      <c r="Z2953" s="200"/>
      <c r="AA2953" s="201"/>
      <c r="AB2953" s="200"/>
      <c r="AC2953" s="200"/>
    </row>
    <row r="2954" ht="15.75" customHeight="1">
      <c r="A2954" s="210">
        <f t="shared" si="1"/>
        <v>2952</v>
      </c>
      <c r="B2954" s="217"/>
      <c r="C2954" s="217" t="str">
        <f>IFERROR(VLOOKUP(B2954, SourceData!$U$3:$V$190, 2, FALSE), "")</f>
        <v/>
      </c>
      <c r="D2954" s="240"/>
      <c r="E2954" s="241"/>
      <c r="F2954" s="248"/>
      <c r="G2954" s="207"/>
      <c r="H2954" s="209"/>
      <c r="I2954" s="209"/>
      <c r="J2954" s="209"/>
      <c r="K2954" s="208" t="str">
        <f>IF(Errors!$I2954=0,SourceData!$B$42,VLOOKUP(Errors!$I2954,SourceData!$A$2:$B$40,2,FALSE))</f>
        <v>Please select ERROR CODE column "I"</v>
      </c>
      <c r="L2954" s="207" t="str">
        <f>IF(Errors!$I2954=0,
    'List of Error Codes'!$E$29,
    IFERROR(VLOOKUP(Errors!$I2954, 'List of Error Codes'!D2953:I2983, 6, FALSE), 'List of Error Codes'!$E$29)
)</f>
        <v>Please select ERROR CODE column "I"</v>
      </c>
      <c r="M2954" s="209"/>
      <c r="N2954" s="209"/>
      <c r="O2954" s="209"/>
      <c r="P2954" s="209"/>
      <c r="Q2954" s="209"/>
      <c r="R2954" s="217"/>
      <c r="S2954" s="217"/>
      <c r="T2954" s="217"/>
      <c r="U2954" s="199"/>
      <c r="V2954" s="200"/>
      <c r="W2954" s="200"/>
      <c r="X2954" s="200"/>
      <c r="Y2954" s="200"/>
      <c r="Z2954" s="200"/>
      <c r="AA2954" s="201"/>
      <c r="AB2954" s="200"/>
      <c r="AC2954" s="200"/>
    </row>
    <row r="2955" ht="15.75" customHeight="1">
      <c r="A2955" s="210">
        <f t="shared" si="1"/>
        <v>2953</v>
      </c>
      <c r="B2955" s="217"/>
      <c r="C2955" s="217" t="str">
        <f>IFERROR(VLOOKUP(B2955, SourceData!$U$3:$V$190, 2, FALSE), "")</f>
        <v/>
      </c>
      <c r="D2955" s="240"/>
      <c r="E2955" s="241"/>
      <c r="F2955" s="248"/>
      <c r="G2955" s="207"/>
      <c r="H2955" s="209"/>
      <c r="I2955" s="209"/>
      <c r="J2955" s="209"/>
      <c r="K2955" s="208" t="str">
        <f>IF(Errors!$I2955=0,SourceData!$B$42,VLOOKUP(Errors!$I2955,SourceData!$A$2:$B$40,2,FALSE))</f>
        <v>Please select ERROR CODE column "I"</v>
      </c>
      <c r="L2955" s="207" t="str">
        <f>IF(Errors!$I2955=0,
    'List of Error Codes'!$E$29,
    IFERROR(VLOOKUP(Errors!$I2955, 'List of Error Codes'!D2954:I2984, 6, FALSE), 'List of Error Codes'!$E$29)
)</f>
        <v>Please select ERROR CODE column "I"</v>
      </c>
      <c r="M2955" s="209"/>
      <c r="N2955" s="209"/>
      <c r="O2955" s="209"/>
      <c r="P2955" s="209"/>
      <c r="Q2955" s="209"/>
      <c r="R2955" s="217"/>
      <c r="S2955" s="217"/>
      <c r="T2955" s="217"/>
      <c r="U2955" s="199"/>
      <c r="V2955" s="200"/>
      <c r="W2955" s="200"/>
      <c r="X2955" s="200"/>
      <c r="Y2955" s="200"/>
      <c r="Z2955" s="200"/>
      <c r="AA2955" s="201"/>
      <c r="AB2955" s="200"/>
      <c r="AC2955" s="200"/>
    </row>
    <row r="2956" ht="15.75" customHeight="1">
      <c r="A2956" s="210">
        <f t="shared" si="1"/>
        <v>2954</v>
      </c>
      <c r="B2956" s="217"/>
      <c r="C2956" s="217" t="str">
        <f>IFERROR(VLOOKUP(B2956, SourceData!$U$3:$V$190, 2, FALSE), "")</f>
        <v/>
      </c>
      <c r="D2956" s="240"/>
      <c r="E2956" s="241"/>
      <c r="F2956" s="248"/>
      <c r="G2956" s="207"/>
      <c r="H2956" s="209"/>
      <c r="I2956" s="209"/>
      <c r="J2956" s="209"/>
      <c r="K2956" s="208" t="str">
        <f>IF(Errors!$I2956=0,SourceData!$B$42,VLOOKUP(Errors!$I2956,SourceData!$A$2:$B$40,2,FALSE))</f>
        <v>Please select ERROR CODE column "I"</v>
      </c>
      <c r="L2956" s="207" t="str">
        <f>IF(Errors!$I2956=0,
    'List of Error Codes'!$E$29,
    IFERROR(VLOOKUP(Errors!$I2956, 'List of Error Codes'!D2955:I2985, 6, FALSE), 'List of Error Codes'!$E$29)
)</f>
        <v>Please select ERROR CODE column "I"</v>
      </c>
      <c r="M2956" s="209"/>
      <c r="N2956" s="209"/>
      <c r="O2956" s="209"/>
      <c r="P2956" s="209"/>
      <c r="Q2956" s="209"/>
      <c r="R2956" s="217"/>
      <c r="S2956" s="217"/>
      <c r="T2956" s="217"/>
      <c r="U2956" s="199"/>
      <c r="V2956" s="200"/>
      <c r="W2956" s="200"/>
      <c r="X2956" s="200"/>
      <c r="Y2956" s="200"/>
      <c r="Z2956" s="200"/>
      <c r="AA2956" s="201"/>
      <c r="AB2956" s="200"/>
      <c r="AC2956" s="200"/>
    </row>
    <row r="2957" ht="15.75" customHeight="1">
      <c r="A2957" s="210">
        <f t="shared" si="1"/>
        <v>2955</v>
      </c>
      <c r="B2957" s="217"/>
      <c r="C2957" s="217" t="str">
        <f>IFERROR(VLOOKUP(B2957, SourceData!$U$3:$V$190, 2, FALSE), "")</f>
        <v/>
      </c>
      <c r="D2957" s="240"/>
      <c r="E2957" s="241"/>
      <c r="F2957" s="248"/>
      <c r="G2957" s="207"/>
      <c r="H2957" s="209"/>
      <c r="I2957" s="209"/>
      <c r="J2957" s="209"/>
      <c r="K2957" s="208" t="str">
        <f>IF(Errors!$I2957=0,SourceData!$B$42,VLOOKUP(Errors!$I2957,SourceData!$A$2:$B$40,2,FALSE))</f>
        <v>Please select ERROR CODE column "I"</v>
      </c>
      <c r="L2957" s="207" t="str">
        <f>IF(Errors!$I2957=0,
    'List of Error Codes'!$E$29,
    IFERROR(VLOOKUP(Errors!$I2957, 'List of Error Codes'!D2956:I2986, 6, FALSE), 'List of Error Codes'!$E$29)
)</f>
        <v>Please select ERROR CODE column "I"</v>
      </c>
      <c r="M2957" s="209"/>
      <c r="N2957" s="209"/>
      <c r="O2957" s="209"/>
      <c r="P2957" s="209"/>
      <c r="Q2957" s="209"/>
      <c r="R2957" s="217"/>
      <c r="S2957" s="217"/>
      <c r="T2957" s="217"/>
      <c r="U2957" s="199"/>
      <c r="V2957" s="200"/>
      <c r="W2957" s="200"/>
      <c r="X2957" s="200"/>
      <c r="Y2957" s="200"/>
      <c r="Z2957" s="200"/>
      <c r="AA2957" s="201"/>
      <c r="AB2957" s="200"/>
      <c r="AC2957" s="200"/>
    </row>
    <row r="2958" ht="15.75" customHeight="1">
      <c r="A2958" s="210">
        <f t="shared" si="1"/>
        <v>2956</v>
      </c>
      <c r="B2958" s="217"/>
      <c r="C2958" s="217" t="str">
        <f>IFERROR(VLOOKUP(B2958, SourceData!$U$3:$V$190, 2, FALSE), "")</f>
        <v/>
      </c>
      <c r="D2958" s="240"/>
      <c r="E2958" s="241"/>
      <c r="F2958" s="248"/>
      <c r="G2958" s="207"/>
      <c r="H2958" s="209"/>
      <c r="I2958" s="209"/>
      <c r="J2958" s="209"/>
      <c r="K2958" s="208" t="str">
        <f>IF(Errors!$I2958=0,SourceData!$B$42,VLOOKUP(Errors!$I2958,SourceData!$A$2:$B$40,2,FALSE))</f>
        <v>Please select ERROR CODE column "I"</v>
      </c>
      <c r="L2958" s="207" t="str">
        <f>IF(Errors!$I2958=0,
    'List of Error Codes'!$E$29,
    IFERROR(VLOOKUP(Errors!$I2958, 'List of Error Codes'!D2957:I2987, 6, FALSE), 'List of Error Codes'!$E$29)
)</f>
        <v>Please select ERROR CODE column "I"</v>
      </c>
      <c r="M2958" s="209"/>
      <c r="N2958" s="209"/>
      <c r="O2958" s="209"/>
      <c r="P2958" s="209"/>
      <c r="Q2958" s="209"/>
      <c r="R2958" s="217"/>
      <c r="S2958" s="217"/>
      <c r="T2958" s="217"/>
      <c r="U2958" s="199"/>
      <c r="V2958" s="200"/>
      <c r="W2958" s="200"/>
      <c r="X2958" s="200"/>
      <c r="Y2958" s="200"/>
      <c r="Z2958" s="200"/>
      <c r="AA2958" s="201"/>
      <c r="AB2958" s="200"/>
      <c r="AC2958" s="200"/>
    </row>
    <row r="2959" ht="15.75" customHeight="1">
      <c r="A2959" s="210">
        <f t="shared" si="1"/>
        <v>2957</v>
      </c>
      <c r="B2959" s="217"/>
      <c r="C2959" s="217" t="str">
        <f>IFERROR(VLOOKUP(B2959, SourceData!$U$3:$V$190, 2, FALSE), "")</f>
        <v/>
      </c>
      <c r="D2959" s="240"/>
      <c r="E2959" s="241"/>
      <c r="F2959" s="248"/>
      <c r="G2959" s="207"/>
      <c r="H2959" s="209"/>
      <c r="I2959" s="209"/>
      <c r="J2959" s="209"/>
      <c r="K2959" s="208" t="str">
        <f>IF(Errors!$I2959=0,SourceData!$B$42,VLOOKUP(Errors!$I2959,SourceData!$A$2:$B$40,2,FALSE))</f>
        <v>Please select ERROR CODE column "I"</v>
      </c>
      <c r="L2959" s="207" t="str">
        <f>IF(Errors!$I2959=0,
    'List of Error Codes'!$E$29,
    IFERROR(VLOOKUP(Errors!$I2959, 'List of Error Codes'!D2958:I2988, 6, FALSE), 'List of Error Codes'!$E$29)
)</f>
        <v>Please select ERROR CODE column "I"</v>
      </c>
      <c r="M2959" s="209"/>
      <c r="N2959" s="209"/>
      <c r="O2959" s="209"/>
      <c r="P2959" s="209"/>
      <c r="Q2959" s="209"/>
      <c r="R2959" s="217"/>
      <c r="S2959" s="217"/>
      <c r="T2959" s="217"/>
      <c r="U2959" s="199"/>
      <c r="V2959" s="200"/>
      <c r="W2959" s="200"/>
      <c r="X2959" s="200"/>
      <c r="Y2959" s="200"/>
      <c r="Z2959" s="200"/>
      <c r="AA2959" s="201"/>
      <c r="AB2959" s="200"/>
      <c r="AC2959" s="200"/>
    </row>
    <row r="2960" ht="15.75" customHeight="1">
      <c r="A2960" s="210">
        <f t="shared" si="1"/>
        <v>2958</v>
      </c>
      <c r="B2960" s="217"/>
      <c r="C2960" s="217" t="str">
        <f>IFERROR(VLOOKUP(B2960, SourceData!$U$3:$V$190, 2, FALSE), "")</f>
        <v/>
      </c>
      <c r="D2960" s="240"/>
      <c r="E2960" s="241"/>
      <c r="F2960" s="248"/>
      <c r="G2960" s="207"/>
      <c r="H2960" s="209"/>
      <c r="I2960" s="209"/>
      <c r="J2960" s="209"/>
      <c r="K2960" s="208" t="str">
        <f>IF(Errors!$I2960=0,SourceData!$B$42,VLOOKUP(Errors!$I2960,SourceData!$A$2:$B$40,2,FALSE))</f>
        <v>Please select ERROR CODE column "I"</v>
      </c>
      <c r="L2960" s="207" t="str">
        <f>IF(Errors!$I2960=0,
    'List of Error Codes'!$E$29,
    IFERROR(VLOOKUP(Errors!$I2960, 'List of Error Codes'!D2959:I2989, 6, FALSE), 'List of Error Codes'!$E$29)
)</f>
        <v>Please select ERROR CODE column "I"</v>
      </c>
      <c r="M2960" s="209"/>
      <c r="N2960" s="209"/>
      <c r="O2960" s="209"/>
      <c r="P2960" s="209"/>
      <c r="Q2960" s="209"/>
      <c r="R2960" s="217"/>
      <c r="S2960" s="217"/>
      <c r="T2960" s="217"/>
      <c r="U2960" s="199"/>
      <c r="V2960" s="200"/>
      <c r="W2960" s="200"/>
      <c r="X2960" s="200"/>
      <c r="Y2960" s="200"/>
      <c r="Z2960" s="200"/>
      <c r="AA2960" s="201"/>
      <c r="AB2960" s="200"/>
      <c r="AC2960" s="200"/>
    </row>
    <row r="2961" ht="15.75" customHeight="1">
      <c r="A2961" s="210">
        <f t="shared" si="1"/>
        <v>2959</v>
      </c>
      <c r="B2961" s="217"/>
      <c r="C2961" s="217" t="str">
        <f>IFERROR(VLOOKUP(B2961, SourceData!$U$3:$V$190, 2, FALSE), "")</f>
        <v/>
      </c>
      <c r="D2961" s="240"/>
      <c r="E2961" s="241"/>
      <c r="F2961" s="248"/>
      <c r="G2961" s="207"/>
      <c r="H2961" s="209"/>
      <c r="I2961" s="209"/>
      <c r="J2961" s="209"/>
      <c r="K2961" s="208" t="str">
        <f>IF(Errors!$I2961=0,SourceData!$B$42,VLOOKUP(Errors!$I2961,SourceData!$A$2:$B$40,2,FALSE))</f>
        <v>Please select ERROR CODE column "I"</v>
      </c>
      <c r="L2961" s="207" t="str">
        <f>IF(Errors!$I2961=0,
    'List of Error Codes'!$E$29,
    IFERROR(VLOOKUP(Errors!$I2961, 'List of Error Codes'!D2960:I2990, 6, FALSE), 'List of Error Codes'!$E$29)
)</f>
        <v>Please select ERROR CODE column "I"</v>
      </c>
      <c r="M2961" s="209"/>
      <c r="N2961" s="209"/>
      <c r="O2961" s="209"/>
      <c r="P2961" s="209"/>
      <c r="Q2961" s="209"/>
      <c r="R2961" s="217"/>
      <c r="S2961" s="217"/>
      <c r="T2961" s="217"/>
      <c r="U2961" s="199"/>
      <c r="V2961" s="200"/>
      <c r="W2961" s="200"/>
      <c r="X2961" s="200"/>
      <c r="Y2961" s="200"/>
      <c r="Z2961" s="200"/>
      <c r="AA2961" s="201"/>
      <c r="AB2961" s="200"/>
      <c r="AC2961" s="200"/>
    </row>
    <row r="2962" ht="15.75" customHeight="1">
      <c r="A2962" s="210">
        <f t="shared" si="1"/>
        <v>2960</v>
      </c>
      <c r="B2962" s="217"/>
      <c r="C2962" s="217" t="str">
        <f>IFERROR(VLOOKUP(B2962, SourceData!$U$3:$V$190, 2, FALSE), "")</f>
        <v/>
      </c>
      <c r="D2962" s="240"/>
      <c r="E2962" s="241"/>
      <c r="F2962" s="248"/>
      <c r="G2962" s="207"/>
      <c r="H2962" s="209"/>
      <c r="I2962" s="209"/>
      <c r="J2962" s="209"/>
      <c r="K2962" s="208" t="str">
        <f>IF(Errors!$I2962=0,SourceData!$B$42,VLOOKUP(Errors!$I2962,SourceData!$A$2:$B$40,2,FALSE))</f>
        <v>Please select ERROR CODE column "I"</v>
      </c>
      <c r="L2962" s="207" t="str">
        <f>IF(Errors!$I2962=0,
    'List of Error Codes'!$E$29,
    IFERROR(VLOOKUP(Errors!$I2962, 'List of Error Codes'!D2961:I2991, 6, FALSE), 'List of Error Codes'!$E$29)
)</f>
        <v>Please select ERROR CODE column "I"</v>
      </c>
      <c r="M2962" s="209"/>
      <c r="N2962" s="209"/>
      <c r="O2962" s="209"/>
      <c r="P2962" s="209"/>
      <c r="Q2962" s="209"/>
      <c r="R2962" s="217"/>
      <c r="S2962" s="217"/>
      <c r="T2962" s="217"/>
      <c r="U2962" s="199"/>
      <c r="V2962" s="200"/>
      <c r="W2962" s="200"/>
      <c r="X2962" s="200"/>
      <c r="Y2962" s="200"/>
      <c r="Z2962" s="200"/>
      <c r="AA2962" s="201"/>
      <c r="AB2962" s="200"/>
      <c r="AC2962" s="200"/>
    </row>
    <row r="2963" ht="15.75" customHeight="1">
      <c r="A2963" s="210">
        <f t="shared" si="1"/>
        <v>2961</v>
      </c>
      <c r="B2963" s="217"/>
      <c r="C2963" s="217" t="str">
        <f>IFERROR(VLOOKUP(B2963, SourceData!$U$3:$V$190, 2, FALSE), "")</f>
        <v/>
      </c>
      <c r="D2963" s="240"/>
      <c r="E2963" s="241"/>
      <c r="F2963" s="248"/>
      <c r="G2963" s="207"/>
      <c r="H2963" s="209"/>
      <c r="I2963" s="209"/>
      <c r="J2963" s="209"/>
      <c r="K2963" s="208" t="str">
        <f>IF(Errors!$I2963=0,SourceData!$B$42,VLOOKUP(Errors!$I2963,SourceData!$A$2:$B$40,2,FALSE))</f>
        <v>Please select ERROR CODE column "I"</v>
      </c>
      <c r="L2963" s="207" t="str">
        <f>IF(Errors!$I2963=0,
    'List of Error Codes'!$E$29,
    IFERROR(VLOOKUP(Errors!$I2963, 'List of Error Codes'!D2962:I2992, 6, FALSE), 'List of Error Codes'!$E$29)
)</f>
        <v>Please select ERROR CODE column "I"</v>
      </c>
      <c r="M2963" s="209"/>
      <c r="N2963" s="209"/>
      <c r="O2963" s="209"/>
      <c r="P2963" s="209"/>
      <c r="Q2963" s="209"/>
      <c r="R2963" s="217"/>
      <c r="S2963" s="217"/>
      <c r="T2963" s="217"/>
      <c r="U2963" s="199"/>
      <c r="V2963" s="200"/>
      <c r="W2963" s="200"/>
      <c r="X2963" s="200"/>
      <c r="Y2963" s="200"/>
      <c r="Z2963" s="200"/>
      <c r="AA2963" s="201"/>
      <c r="AB2963" s="200"/>
      <c r="AC2963" s="200"/>
    </row>
    <row r="2964" ht="15.75" customHeight="1">
      <c r="A2964" s="210">
        <f t="shared" si="1"/>
        <v>2962</v>
      </c>
      <c r="B2964" s="217"/>
      <c r="C2964" s="217" t="str">
        <f>IFERROR(VLOOKUP(B2964, SourceData!$U$3:$V$190, 2, FALSE), "")</f>
        <v/>
      </c>
      <c r="D2964" s="240"/>
      <c r="E2964" s="241"/>
      <c r="F2964" s="248"/>
      <c r="G2964" s="207"/>
      <c r="H2964" s="209"/>
      <c r="I2964" s="209"/>
      <c r="J2964" s="209"/>
      <c r="K2964" s="208" t="str">
        <f>IF(Errors!$I2964=0,SourceData!$B$42,VLOOKUP(Errors!$I2964,SourceData!$A$2:$B$40,2,FALSE))</f>
        <v>Please select ERROR CODE column "I"</v>
      </c>
      <c r="L2964" s="207" t="str">
        <f>IF(Errors!$I2964=0,
    'List of Error Codes'!$E$29,
    IFERROR(VLOOKUP(Errors!$I2964, 'List of Error Codes'!D2963:I2993, 6, FALSE), 'List of Error Codes'!$E$29)
)</f>
        <v>Please select ERROR CODE column "I"</v>
      </c>
      <c r="M2964" s="209"/>
      <c r="N2964" s="209"/>
      <c r="O2964" s="209"/>
      <c r="P2964" s="209"/>
      <c r="Q2964" s="209"/>
      <c r="R2964" s="217"/>
      <c r="S2964" s="217"/>
      <c r="T2964" s="217"/>
      <c r="U2964" s="199"/>
      <c r="V2964" s="200"/>
      <c r="W2964" s="200"/>
      <c r="X2964" s="200"/>
      <c r="Y2964" s="200"/>
      <c r="Z2964" s="200"/>
      <c r="AA2964" s="201"/>
      <c r="AB2964" s="200"/>
      <c r="AC2964" s="200"/>
    </row>
    <row r="2965" ht="15.75" customHeight="1">
      <c r="A2965" s="210">
        <f t="shared" si="1"/>
        <v>2963</v>
      </c>
      <c r="B2965" s="217"/>
      <c r="C2965" s="217" t="str">
        <f>IFERROR(VLOOKUP(B2965, SourceData!$U$3:$V$190, 2, FALSE), "")</f>
        <v/>
      </c>
      <c r="D2965" s="240"/>
      <c r="E2965" s="241"/>
      <c r="F2965" s="248"/>
      <c r="G2965" s="207"/>
      <c r="H2965" s="209"/>
      <c r="I2965" s="209"/>
      <c r="J2965" s="209"/>
      <c r="K2965" s="208" t="str">
        <f>IF(Errors!$I2965=0,SourceData!$B$42,VLOOKUP(Errors!$I2965,SourceData!$A$2:$B$40,2,FALSE))</f>
        <v>Please select ERROR CODE column "I"</v>
      </c>
      <c r="L2965" s="207" t="str">
        <f>IF(Errors!$I2965=0,
    'List of Error Codes'!$E$29,
    IFERROR(VLOOKUP(Errors!$I2965, 'List of Error Codes'!D2964:I2994, 6, FALSE), 'List of Error Codes'!$E$29)
)</f>
        <v>Please select ERROR CODE column "I"</v>
      </c>
      <c r="M2965" s="209"/>
      <c r="N2965" s="209"/>
      <c r="O2965" s="209"/>
      <c r="P2965" s="209"/>
      <c r="Q2965" s="209"/>
      <c r="R2965" s="217"/>
      <c r="S2965" s="217"/>
      <c r="T2965" s="217"/>
      <c r="U2965" s="199"/>
      <c r="V2965" s="200"/>
      <c r="W2965" s="200"/>
      <c r="X2965" s="200"/>
      <c r="Y2965" s="200"/>
      <c r="Z2965" s="200"/>
      <c r="AA2965" s="201"/>
      <c r="AB2965" s="200"/>
      <c r="AC2965" s="200"/>
    </row>
    <row r="2966" ht="15.75" customHeight="1">
      <c r="A2966" s="210">
        <f t="shared" si="1"/>
        <v>2964</v>
      </c>
      <c r="B2966" s="217"/>
      <c r="C2966" s="217" t="str">
        <f>IFERROR(VLOOKUP(B2966, SourceData!$U$3:$V$190, 2, FALSE), "")</f>
        <v/>
      </c>
      <c r="D2966" s="240"/>
      <c r="E2966" s="241"/>
      <c r="F2966" s="248"/>
      <c r="G2966" s="207"/>
      <c r="H2966" s="209"/>
      <c r="I2966" s="209"/>
      <c r="J2966" s="209"/>
      <c r="K2966" s="208" t="str">
        <f>IF(Errors!$I2966=0,SourceData!$B$42,VLOOKUP(Errors!$I2966,SourceData!$A$2:$B$40,2,FALSE))</f>
        <v>Please select ERROR CODE column "I"</v>
      </c>
      <c r="L2966" s="207" t="str">
        <f>IF(Errors!$I2966=0,
    'List of Error Codes'!$E$29,
    IFERROR(VLOOKUP(Errors!$I2966, 'List of Error Codes'!D2965:I2995, 6, FALSE), 'List of Error Codes'!$E$29)
)</f>
        <v>Please select ERROR CODE column "I"</v>
      </c>
      <c r="M2966" s="209"/>
      <c r="N2966" s="209"/>
      <c r="O2966" s="209"/>
      <c r="P2966" s="209"/>
      <c r="Q2966" s="209"/>
      <c r="R2966" s="217"/>
      <c r="S2966" s="217"/>
      <c r="T2966" s="217"/>
      <c r="U2966" s="199"/>
      <c r="V2966" s="200"/>
      <c r="W2966" s="200"/>
      <c r="X2966" s="200"/>
      <c r="Y2966" s="200"/>
      <c r="Z2966" s="200"/>
      <c r="AA2966" s="201"/>
      <c r="AB2966" s="200"/>
      <c r="AC2966" s="200"/>
    </row>
    <row r="2967" ht="15.75" customHeight="1">
      <c r="A2967" s="210">
        <f t="shared" si="1"/>
        <v>2965</v>
      </c>
      <c r="B2967" s="217"/>
      <c r="C2967" s="217" t="str">
        <f>IFERROR(VLOOKUP(B2967, SourceData!$U$3:$V$190, 2, FALSE), "")</f>
        <v/>
      </c>
      <c r="D2967" s="240"/>
      <c r="E2967" s="241"/>
      <c r="F2967" s="248"/>
      <c r="G2967" s="207"/>
      <c r="H2967" s="209"/>
      <c r="I2967" s="209"/>
      <c r="J2967" s="209"/>
      <c r="K2967" s="208" t="str">
        <f>IF(Errors!$I2967=0,SourceData!$B$42,VLOOKUP(Errors!$I2967,SourceData!$A$2:$B$40,2,FALSE))</f>
        <v>Please select ERROR CODE column "I"</v>
      </c>
      <c r="L2967" s="207" t="str">
        <f>IF(Errors!$I2967=0,
    'List of Error Codes'!$E$29,
    IFERROR(VLOOKUP(Errors!$I2967, 'List of Error Codes'!D2966:I2996, 6, FALSE), 'List of Error Codes'!$E$29)
)</f>
        <v>Please select ERROR CODE column "I"</v>
      </c>
      <c r="M2967" s="209"/>
      <c r="N2967" s="209"/>
      <c r="O2967" s="209"/>
      <c r="P2967" s="209"/>
      <c r="Q2967" s="209"/>
      <c r="R2967" s="217"/>
      <c r="S2967" s="217"/>
      <c r="T2967" s="217"/>
      <c r="U2967" s="199"/>
      <c r="V2967" s="200"/>
      <c r="W2967" s="200"/>
      <c r="X2967" s="200"/>
      <c r="Y2967" s="200"/>
      <c r="Z2967" s="200"/>
      <c r="AA2967" s="201"/>
      <c r="AB2967" s="200"/>
      <c r="AC2967" s="200"/>
    </row>
    <row r="2968" ht="15.75" customHeight="1">
      <c r="A2968" s="210">
        <f t="shared" si="1"/>
        <v>2966</v>
      </c>
      <c r="B2968" s="217"/>
      <c r="C2968" s="217" t="str">
        <f>IFERROR(VLOOKUP(B2968, SourceData!$U$3:$V$190, 2, FALSE), "")</f>
        <v/>
      </c>
      <c r="D2968" s="240"/>
      <c r="E2968" s="241"/>
      <c r="F2968" s="248"/>
      <c r="G2968" s="207"/>
      <c r="H2968" s="209"/>
      <c r="I2968" s="209"/>
      <c r="J2968" s="209"/>
      <c r="K2968" s="208" t="str">
        <f>IF(Errors!$I2968=0,SourceData!$B$42,VLOOKUP(Errors!$I2968,SourceData!$A$2:$B$40,2,FALSE))</f>
        <v>Please select ERROR CODE column "I"</v>
      </c>
      <c r="L2968" s="207" t="str">
        <f>IF(Errors!$I2968=0,
    'List of Error Codes'!$E$29,
    IFERROR(VLOOKUP(Errors!$I2968, 'List of Error Codes'!D2967:I2997, 6, FALSE), 'List of Error Codes'!$E$29)
)</f>
        <v>Please select ERROR CODE column "I"</v>
      </c>
      <c r="M2968" s="209"/>
      <c r="N2968" s="209"/>
      <c r="O2968" s="209"/>
      <c r="P2968" s="209"/>
      <c r="Q2968" s="209"/>
      <c r="R2968" s="217"/>
      <c r="S2968" s="217"/>
      <c r="T2968" s="217"/>
      <c r="U2968" s="199"/>
      <c r="V2968" s="200"/>
      <c r="W2968" s="200"/>
      <c r="X2968" s="200"/>
      <c r="Y2968" s="200"/>
      <c r="Z2968" s="200"/>
      <c r="AA2968" s="201"/>
      <c r="AB2968" s="200"/>
      <c r="AC2968" s="200"/>
    </row>
    <row r="2969" ht="15.75" customHeight="1">
      <c r="A2969" s="210">
        <f t="shared" si="1"/>
        <v>2967</v>
      </c>
      <c r="B2969" s="217"/>
      <c r="C2969" s="217" t="str">
        <f>IFERROR(VLOOKUP(B2969, SourceData!$U$3:$V$190, 2, FALSE), "")</f>
        <v/>
      </c>
      <c r="D2969" s="240"/>
      <c r="E2969" s="241"/>
      <c r="F2969" s="248"/>
      <c r="G2969" s="207"/>
      <c r="H2969" s="209"/>
      <c r="I2969" s="209"/>
      <c r="J2969" s="209"/>
      <c r="K2969" s="208" t="str">
        <f>IF(Errors!$I2969=0,SourceData!$B$42,VLOOKUP(Errors!$I2969,SourceData!$A$2:$B$40,2,FALSE))</f>
        <v>Please select ERROR CODE column "I"</v>
      </c>
      <c r="L2969" s="207" t="str">
        <f>IF(Errors!$I2969=0,
    'List of Error Codes'!$E$29,
    IFERROR(VLOOKUP(Errors!$I2969, 'List of Error Codes'!D2968:I2998, 6, FALSE), 'List of Error Codes'!$E$29)
)</f>
        <v>Please select ERROR CODE column "I"</v>
      </c>
      <c r="M2969" s="209"/>
      <c r="N2969" s="209"/>
      <c r="O2969" s="209"/>
      <c r="P2969" s="209"/>
      <c r="Q2969" s="209"/>
      <c r="R2969" s="217"/>
      <c r="S2969" s="217"/>
      <c r="T2969" s="217"/>
      <c r="U2969" s="199"/>
      <c r="V2969" s="200"/>
      <c r="W2969" s="200"/>
      <c r="X2969" s="200"/>
      <c r="Y2969" s="200"/>
      <c r="Z2969" s="200"/>
      <c r="AA2969" s="201"/>
      <c r="AB2969" s="200"/>
      <c r="AC2969" s="200"/>
    </row>
    <row r="2970" ht="15.75" customHeight="1">
      <c r="A2970" s="210">
        <f t="shared" si="1"/>
        <v>2968</v>
      </c>
      <c r="B2970" s="217"/>
      <c r="C2970" s="217" t="str">
        <f>IFERROR(VLOOKUP(B2970, SourceData!$U$3:$V$190, 2, FALSE), "")</f>
        <v/>
      </c>
      <c r="D2970" s="240"/>
      <c r="E2970" s="241"/>
      <c r="F2970" s="248"/>
      <c r="G2970" s="207"/>
      <c r="H2970" s="209"/>
      <c r="I2970" s="209"/>
      <c r="J2970" s="209"/>
      <c r="K2970" s="208" t="str">
        <f>IF(Errors!$I2970=0,SourceData!$B$42,VLOOKUP(Errors!$I2970,SourceData!$A$2:$B$40,2,FALSE))</f>
        <v>Please select ERROR CODE column "I"</v>
      </c>
      <c r="L2970" s="207" t="str">
        <f>IF(Errors!$I2970=0,
    'List of Error Codes'!$E$29,
    IFERROR(VLOOKUP(Errors!$I2970, 'List of Error Codes'!D2969:I2999, 6, FALSE), 'List of Error Codes'!$E$29)
)</f>
        <v>Please select ERROR CODE column "I"</v>
      </c>
      <c r="M2970" s="209"/>
      <c r="N2970" s="209"/>
      <c r="O2970" s="209"/>
      <c r="P2970" s="209"/>
      <c r="Q2970" s="209"/>
      <c r="R2970" s="217"/>
      <c r="S2970" s="217"/>
      <c r="T2970" s="217"/>
      <c r="U2970" s="199"/>
      <c r="V2970" s="200"/>
      <c r="W2970" s="200"/>
      <c r="X2970" s="200"/>
      <c r="Y2970" s="200"/>
      <c r="Z2970" s="200"/>
      <c r="AA2970" s="201"/>
      <c r="AB2970" s="200"/>
      <c r="AC2970" s="200"/>
    </row>
    <row r="2971" ht="15.75" customHeight="1">
      <c r="A2971" s="210">
        <f t="shared" si="1"/>
        <v>2969</v>
      </c>
      <c r="B2971" s="217"/>
      <c r="C2971" s="217" t="str">
        <f>IFERROR(VLOOKUP(B2971, SourceData!$U$3:$V$190, 2, FALSE), "")</f>
        <v/>
      </c>
      <c r="D2971" s="240"/>
      <c r="E2971" s="241"/>
      <c r="F2971" s="248"/>
      <c r="G2971" s="207"/>
      <c r="H2971" s="209"/>
      <c r="I2971" s="209"/>
      <c r="J2971" s="209"/>
      <c r="K2971" s="208" t="str">
        <f>IF(Errors!$I2971=0,SourceData!$B$42,VLOOKUP(Errors!$I2971,SourceData!$A$2:$B$40,2,FALSE))</f>
        <v>Please select ERROR CODE column "I"</v>
      </c>
      <c r="L2971" s="207" t="str">
        <f>IF(Errors!$I2971=0,
    'List of Error Codes'!$E$29,
    IFERROR(VLOOKUP(Errors!$I2971, 'List of Error Codes'!D2970:I3000, 6, FALSE), 'List of Error Codes'!$E$29)
)</f>
        <v>Please select ERROR CODE column "I"</v>
      </c>
      <c r="M2971" s="209"/>
      <c r="N2971" s="209"/>
      <c r="O2971" s="209"/>
      <c r="P2971" s="209"/>
      <c r="Q2971" s="209"/>
      <c r="R2971" s="217"/>
      <c r="S2971" s="217"/>
      <c r="T2971" s="217"/>
      <c r="U2971" s="199"/>
      <c r="V2971" s="200"/>
      <c r="W2971" s="200"/>
      <c r="X2971" s="200"/>
      <c r="Y2971" s="200"/>
      <c r="Z2971" s="200"/>
      <c r="AA2971" s="201"/>
      <c r="AB2971" s="200"/>
      <c r="AC2971" s="200"/>
    </row>
    <row r="2972" ht="15.75" customHeight="1">
      <c r="A2972" s="210">
        <f t="shared" si="1"/>
        <v>2970</v>
      </c>
      <c r="B2972" s="217"/>
      <c r="C2972" s="217" t="str">
        <f>IFERROR(VLOOKUP(B2972, SourceData!$U$3:$V$190, 2, FALSE), "")</f>
        <v/>
      </c>
      <c r="D2972" s="240"/>
      <c r="E2972" s="241"/>
      <c r="F2972" s="248"/>
      <c r="G2972" s="207"/>
      <c r="H2972" s="209"/>
      <c r="I2972" s="209"/>
      <c r="J2972" s="209"/>
      <c r="K2972" s="208" t="str">
        <f>IF(Errors!$I2972=0,SourceData!$B$42,VLOOKUP(Errors!$I2972,SourceData!$A$2:$B$40,2,FALSE))</f>
        <v>Please select ERROR CODE column "I"</v>
      </c>
      <c r="L2972" s="207" t="str">
        <f>IF(Errors!$I2972=0,
    'List of Error Codes'!$E$29,
    IFERROR(VLOOKUP(Errors!$I2972, 'List of Error Codes'!D2971:I3001, 6, FALSE), 'List of Error Codes'!$E$29)
)</f>
        <v>Please select ERROR CODE column "I"</v>
      </c>
      <c r="M2972" s="209"/>
      <c r="N2972" s="209"/>
      <c r="O2972" s="209"/>
      <c r="P2972" s="209"/>
      <c r="Q2972" s="209"/>
      <c r="R2972" s="217"/>
      <c r="S2972" s="217"/>
      <c r="T2972" s="217"/>
      <c r="U2972" s="199"/>
      <c r="V2972" s="200"/>
      <c r="W2972" s="200"/>
      <c r="X2972" s="200"/>
      <c r="Y2972" s="200"/>
      <c r="Z2972" s="200"/>
      <c r="AA2972" s="201"/>
      <c r="AB2972" s="200"/>
      <c r="AC2972" s="200"/>
    </row>
    <row r="2973" ht="15.75" customHeight="1">
      <c r="A2973" s="210">
        <f t="shared" si="1"/>
        <v>2971</v>
      </c>
      <c r="B2973" s="217"/>
      <c r="C2973" s="217" t="str">
        <f>IFERROR(VLOOKUP(B2973, SourceData!$U$3:$V$190, 2, FALSE), "")</f>
        <v/>
      </c>
      <c r="D2973" s="240"/>
      <c r="E2973" s="241"/>
      <c r="F2973" s="248"/>
      <c r="G2973" s="207"/>
      <c r="H2973" s="209"/>
      <c r="I2973" s="209"/>
      <c r="J2973" s="209"/>
      <c r="K2973" s="208" t="str">
        <f>IF(Errors!$I2973=0,SourceData!$B$42,VLOOKUP(Errors!$I2973,SourceData!$A$2:$B$40,2,FALSE))</f>
        <v>Please select ERROR CODE column "I"</v>
      </c>
      <c r="L2973" s="207" t="str">
        <f>IF(Errors!$I2973=0,
    'List of Error Codes'!$E$29,
    IFERROR(VLOOKUP(Errors!$I2973, 'List of Error Codes'!D2972:I3002, 6, FALSE), 'List of Error Codes'!$E$29)
)</f>
        <v>Please select ERROR CODE column "I"</v>
      </c>
      <c r="M2973" s="209"/>
      <c r="N2973" s="209"/>
      <c r="O2973" s="209"/>
      <c r="P2973" s="209"/>
      <c r="Q2973" s="209"/>
      <c r="R2973" s="217"/>
      <c r="S2973" s="217"/>
      <c r="T2973" s="217"/>
      <c r="U2973" s="199"/>
      <c r="V2973" s="200"/>
      <c r="W2973" s="200"/>
      <c r="X2973" s="200"/>
      <c r="Y2973" s="200"/>
      <c r="Z2973" s="200"/>
      <c r="AA2973" s="201"/>
      <c r="AB2973" s="200"/>
      <c r="AC2973" s="200"/>
    </row>
    <row r="2974" ht="15.75" customHeight="1">
      <c r="A2974" s="210">
        <f t="shared" si="1"/>
        <v>2972</v>
      </c>
      <c r="B2974" s="217"/>
      <c r="C2974" s="217" t="str">
        <f>IFERROR(VLOOKUP(B2974, SourceData!$U$3:$V$190, 2, FALSE), "")</f>
        <v/>
      </c>
      <c r="D2974" s="240"/>
      <c r="E2974" s="241"/>
      <c r="F2974" s="248"/>
      <c r="G2974" s="207"/>
      <c r="H2974" s="209"/>
      <c r="I2974" s="209"/>
      <c r="J2974" s="209"/>
      <c r="K2974" s="208" t="str">
        <f>IF(Errors!$I2974=0,SourceData!$B$42,VLOOKUP(Errors!$I2974,SourceData!$A$2:$B$40,2,FALSE))</f>
        <v>Please select ERROR CODE column "I"</v>
      </c>
      <c r="L2974" s="207" t="str">
        <f>IF(Errors!$I2974=0,
    'List of Error Codes'!$E$29,
    IFERROR(VLOOKUP(Errors!$I2974, 'List of Error Codes'!D2973:I3003, 6, FALSE), 'List of Error Codes'!$E$29)
)</f>
        <v>Please select ERROR CODE column "I"</v>
      </c>
      <c r="M2974" s="209"/>
      <c r="N2974" s="209"/>
      <c r="O2974" s="209"/>
      <c r="P2974" s="209"/>
      <c r="Q2974" s="209"/>
      <c r="R2974" s="217"/>
      <c r="S2974" s="217"/>
      <c r="T2974" s="217"/>
      <c r="U2974" s="199"/>
      <c r="V2974" s="200"/>
      <c r="W2974" s="200"/>
      <c r="X2974" s="200"/>
      <c r="Y2974" s="200"/>
      <c r="Z2974" s="200"/>
      <c r="AA2974" s="201"/>
      <c r="AB2974" s="200"/>
      <c r="AC2974" s="200"/>
    </row>
    <row r="2975" ht="15.75" customHeight="1">
      <c r="A2975" s="210">
        <f t="shared" si="1"/>
        <v>2973</v>
      </c>
      <c r="B2975" s="217"/>
      <c r="C2975" s="217" t="str">
        <f>IFERROR(VLOOKUP(B2975, SourceData!$U$3:$V$190, 2, FALSE), "")</f>
        <v/>
      </c>
      <c r="D2975" s="240"/>
      <c r="E2975" s="241"/>
      <c r="F2975" s="248"/>
      <c r="G2975" s="207"/>
      <c r="H2975" s="209"/>
      <c r="I2975" s="209"/>
      <c r="J2975" s="209"/>
      <c r="K2975" s="208" t="str">
        <f>IF(Errors!$I2975=0,SourceData!$B$42,VLOOKUP(Errors!$I2975,SourceData!$A$2:$B$40,2,FALSE))</f>
        <v>Please select ERROR CODE column "I"</v>
      </c>
      <c r="L2975" s="207" t="str">
        <f>IF(Errors!$I2975=0,
    'List of Error Codes'!$E$29,
    IFERROR(VLOOKUP(Errors!$I2975, 'List of Error Codes'!D2974:I3004, 6, FALSE), 'List of Error Codes'!$E$29)
)</f>
        <v>Please select ERROR CODE column "I"</v>
      </c>
      <c r="M2975" s="209"/>
      <c r="N2975" s="209"/>
      <c r="O2975" s="209"/>
      <c r="P2975" s="209"/>
      <c r="Q2975" s="209"/>
      <c r="R2975" s="217"/>
      <c r="S2975" s="217"/>
      <c r="T2975" s="217"/>
      <c r="U2975" s="199"/>
      <c r="V2975" s="200"/>
      <c r="W2975" s="200"/>
      <c r="X2975" s="200"/>
      <c r="Y2975" s="200"/>
      <c r="Z2975" s="200"/>
      <c r="AA2975" s="201"/>
      <c r="AB2975" s="200"/>
      <c r="AC2975" s="200"/>
    </row>
    <row r="2976" ht="15.75" customHeight="1">
      <c r="A2976" s="210">
        <f t="shared" si="1"/>
        <v>2974</v>
      </c>
      <c r="B2976" s="217"/>
      <c r="C2976" s="217" t="str">
        <f>IFERROR(VLOOKUP(B2976, SourceData!$U$3:$V$190, 2, FALSE), "")</f>
        <v/>
      </c>
      <c r="D2976" s="240"/>
      <c r="E2976" s="241"/>
      <c r="F2976" s="248"/>
      <c r="G2976" s="207"/>
      <c r="H2976" s="209"/>
      <c r="I2976" s="209"/>
      <c r="J2976" s="209"/>
      <c r="K2976" s="208" t="str">
        <f>IF(Errors!$I2976=0,SourceData!$B$42,VLOOKUP(Errors!$I2976,SourceData!$A$2:$B$40,2,FALSE))</f>
        <v>Please select ERROR CODE column "I"</v>
      </c>
      <c r="L2976" s="207" t="str">
        <f>IF(Errors!$I2976=0,
    'List of Error Codes'!$E$29,
    IFERROR(VLOOKUP(Errors!$I2976, 'List of Error Codes'!D2975:I3005, 6, FALSE), 'List of Error Codes'!$E$29)
)</f>
        <v>Please select ERROR CODE column "I"</v>
      </c>
      <c r="M2976" s="209"/>
      <c r="N2976" s="209"/>
      <c r="O2976" s="209"/>
      <c r="P2976" s="209"/>
      <c r="Q2976" s="209"/>
      <c r="R2976" s="217"/>
      <c r="S2976" s="217"/>
      <c r="T2976" s="217"/>
      <c r="U2976" s="199"/>
      <c r="V2976" s="200"/>
      <c r="W2976" s="200"/>
      <c r="X2976" s="200"/>
      <c r="Y2976" s="200"/>
      <c r="Z2976" s="200"/>
      <c r="AA2976" s="201"/>
      <c r="AB2976" s="200"/>
      <c r="AC2976" s="200"/>
    </row>
    <row r="2977" ht="15.75" customHeight="1">
      <c r="A2977" s="210">
        <f t="shared" si="1"/>
        <v>2975</v>
      </c>
      <c r="B2977" s="217"/>
      <c r="C2977" s="217" t="str">
        <f>IFERROR(VLOOKUP(B2977, SourceData!$U$3:$V$190, 2, FALSE), "")</f>
        <v/>
      </c>
      <c r="D2977" s="240"/>
      <c r="E2977" s="241"/>
      <c r="F2977" s="248"/>
      <c r="G2977" s="207"/>
      <c r="H2977" s="209"/>
      <c r="I2977" s="209"/>
      <c r="J2977" s="209"/>
      <c r="K2977" s="208" t="str">
        <f>IF(Errors!$I2977=0,SourceData!$B$42,VLOOKUP(Errors!$I2977,SourceData!$A$2:$B$40,2,FALSE))</f>
        <v>Please select ERROR CODE column "I"</v>
      </c>
      <c r="L2977" s="207" t="str">
        <f>IF(Errors!$I2977=0,
    'List of Error Codes'!$E$29,
    IFERROR(VLOOKUP(Errors!$I2977, 'List of Error Codes'!D2976:I3006, 6, FALSE), 'List of Error Codes'!$E$29)
)</f>
        <v>Please select ERROR CODE column "I"</v>
      </c>
      <c r="M2977" s="209"/>
      <c r="N2977" s="209"/>
      <c r="O2977" s="209"/>
      <c r="P2977" s="209"/>
      <c r="Q2977" s="209"/>
      <c r="R2977" s="217"/>
      <c r="S2977" s="217"/>
      <c r="T2977" s="217"/>
      <c r="U2977" s="199"/>
      <c r="V2977" s="200"/>
      <c r="W2977" s="200"/>
      <c r="X2977" s="200"/>
      <c r="Y2977" s="200"/>
      <c r="Z2977" s="200"/>
      <c r="AA2977" s="201"/>
      <c r="AB2977" s="200"/>
      <c r="AC2977" s="200"/>
    </row>
    <row r="2978" ht="15.75" customHeight="1">
      <c r="A2978" s="210">
        <f t="shared" si="1"/>
        <v>2976</v>
      </c>
      <c r="B2978" s="217"/>
      <c r="C2978" s="217" t="str">
        <f>IFERROR(VLOOKUP(B2978, SourceData!$U$3:$V$190, 2, FALSE), "")</f>
        <v/>
      </c>
      <c r="D2978" s="240"/>
      <c r="E2978" s="241"/>
      <c r="F2978" s="248"/>
      <c r="G2978" s="207"/>
      <c r="H2978" s="209"/>
      <c r="I2978" s="209"/>
      <c r="J2978" s="209"/>
      <c r="K2978" s="208" t="str">
        <f>IF(Errors!$I2978=0,SourceData!$B$42,VLOOKUP(Errors!$I2978,SourceData!$A$2:$B$40,2,FALSE))</f>
        <v>Please select ERROR CODE column "I"</v>
      </c>
      <c r="L2978" s="207" t="str">
        <f>IF(Errors!$I2978=0,
    'List of Error Codes'!$E$29,
    IFERROR(VLOOKUP(Errors!$I2978, 'List of Error Codes'!D2977:I3007, 6, FALSE), 'List of Error Codes'!$E$29)
)</f>
        <v>Please select ERROR CODE column "I"</v>
      </c>
      <c r="M2978" s="209"/>
      <c r="N2978" s="209"/>
      <c r="O2978" s="209"/>
      <c r="P2978" s="209"/>
      <c r="Q2978" s="209"/>
      <c r="R2978" s="217"/>
      <c r="S2978" s="217"/>
      <c r="T2978" s="217"/>
      <c r="U2978" s="199"/>
      <c r="V2978" s="200"/>
      <c r="W2978" s="200"/>
      <c r="X2978" s="200"/>
      <c r="Y2978" s="200"/>
      <c r="Z2978" s="200"/>
      <c r="AA2978" s="201"/>
      <c r="AB2978" s="200"/>
      <c r="AC2978" s="200"/>
    </row>
    <row r="2979" ht="15.75" customHeight="1">
      <c r="A2979" s="210">
        <f t="shared" si="1"/>
        <v>2977</v>
      </c>
      <c r="B2979" s="217"/>
      <c r="C2979" s="217" t="str">
        <f>IFERROR(VLOOKUP(B2979, SourceData!$U$3:$V$190, 2, FALSE), "")</f>
        <v/>
      </c>
      <c r="D2979" s="240"/>
      <c r="E2979" s="241"/>
      <c r="F2979" s="248"/>
      <c r="G2979" s="207"/>
      <c r="H2979" s="209"/>
      <c r="I2979" s="209"/>
      <c r="J2979" s="209"/>
      <c r="K2979" s="208" t="str">
        <f>IF(Errors!$I2979=0,SourceData!$B$42,VLOOKUP(Errors!$I2979,SourceData!$A$2:$B$40,2,FALSE))</f>
        <v>Please select ERROR CODE column "I"</v>
      </c>
      <c r="L2979" s="207" t="str">
        <f>IF(Errors!$I2979=0,
    'List of Error Codes'!$E$29,
    IFERROR(VLOOKUP(Errors!$I2979, 'List of Error Codes'!D2978:I3008, 6, FALSE), 'List of Error Codes'!$E$29)
)</f>
        <v>Please select ERROR CODE column "I"</v>
      </c>
      <c r="M2979" s="209"/>
      <c r="N2979" s="209"/>
      <c r="O2979" s="209"/>
      <c r="P2979" s="209"/>
      <c r="Q2979" s="209"/>
      <c r="R2979" s="217"/>
      <c r="S2979" s="217"/>
      <c r="T2979" s="217"/>
      <c r="U2979" s="199"/>
      <c r="V2979" s="200"/>
      <c r="W2979" s="200"/>
      <c r="X2979" s="200"/>
      <c r="Y2979" s="200"/>
      <c r="Z2979" s="200"/>
      <c r="AA2979" s="201"/>
      <c r="AB2979" s="200"/>
      <c r="AC2979" s="200"/>
    </row>
    <row r="2980" ht="15.75" customHeight="1">
      <c r="A2980" s="210">
        <f t="shared" si="1"/>
        <v>2978</v>
      </c>
      <c r="B2980" s="217"/>
      <c r="C2980" s="217" t="str">
        <f>IFERROR(VLOOKUP(B2980, SourceData!$U$3:$V$190, 2, FALSE), "")</f>
        <v/>
      </c>
      <c r="D2980" s="240"/>
      <c r="E2980" s="241"/>
      <c r="F2980" s="248"/>
      <c r="G2980" s="207"/>
      <c r="H2980" s="209"/>
      <c r="I2980" s="209"/>
      <c r="J2980" s="209"/>
      <c r="K2980" s="208" t="str">
        <f>IF(Errors!$I2980=0,SourceData!$B$42,VLOOKUP(Errors!$I2980,SourceData!$A$2:$B$40,2,FALSE))</f>
        <v>Please select ERROR CODE column "I"</v>
      </c>
      <c r="L2980" s="207" t="str">
        <f>IF(Errors!$I2980=0,
    'List of Error Codes'!$E$29,
    IFERROR(VLOOKUP(Errors!$I2980, 'List of Error Codes'!D2979:I3009, 6, FALSE), 'List of Error Codes'!$E$29)
)</f>
        <v>Please select ERROR CODE column "I"</v>
      </c>
      <c r="M2980" s="209"/>
      <c r="N2980" s="209"/>
      <c r="O2980" s="209"/>
      <c r="P2980" s="209"/>
      <c r="Q2980" s="209"/>
      <c r="R2980" s="217"/>
      <c r="S2980" s="217"/>
      <c r="T2980" s="217"/>
      <c r="U2980" s="199"/>
      <c r="V2980" s="200"/>
      <c r="W2980" s="200"/>
      <c r="X2980" s="200"/>
      <c r="Y2980" s="200"/>
      <c r="Z2980" s="200"/>
      <c r="AA2980" s="201"/>
      <c r="AB2980" s="200"/>
      <c r="AC2980" s="200"/>
    </row>
    <row r="2981" ht="15.75" customHeight="1">
      <c r="A2981" s="210">
        <f t="shared" si="1"/>
        <v>2979</v>
      </c>
      <c r="B2981" s="217"/>
      <c r="C2981" s="217" t="str">
        <f>IFERROR(VLOOKUP(B2981, SourceData!$U$3:$V$190, 2, FALSE), "")</f>
        <v/>
      </c>
      <c r="D2981" s="240"/>
      <c r="E2981" s="241"/>
      <c r="F2981" s="248"/>
      <c r="G2981" s="207"/>
      <c r="H2981" s="209"/>
      <c r="I2981" s="209"/>
      <c r="J2981" s="209"/>
      <c r="K2981" s="208" t="str">
        <f>IF(Errors!$I2981=0,SourceData!$B$42,VLOOKUP(Errors!$I2981,SourceData!$A$2:$B$40,2,FALSE))</f>
        <v>Please select ERROR CODE column "I"</v>
      </c>
      <c r="L2981" s="207" t="str">
        <f>IF(Errors!$I2981=0,
    'List of Error Codes'!$E$29,
    IFERROR(VLOOKUP(Errors!$I2981, 'List of Error Codes'!D2980:I3010, 6, FALSE), 'List of Error Codes'!$E$29)
)</f>
        <v>Please select ERROR CODE column "I"</v>
      </c>
      <c r="M2981" s="209"/>
      <c r="N2981" s="209"/>
      <c r="O2981" s="209"/>
      <c r="P2981" s="209"/>
      <c r="Q2981" s="209"/>
      <c r="R2981" s="217"/>
      <c r="S2981" s="217"/>
      <c r="T2981" s="217"/>
      <c r="U2981" s="199"/>
      <c r="V2981" s="200"/>
      <c r="W2981" s="200"/>
      <c r="X2981" s="200"/>
      <c r="Y2981" s="200"/>
      <c r="Z2981" s="200"/>
      <c r="AA2981" s="201"/>
      <c r="AB2981" s="200"/>
      <c r="AC2981" s="200"/>
    </row>
    <row r="2982" ht="15.75" customHeight="1">
      <c r="A2982" s="210">
        <f t="shared" si="1"/>
        <v>2980</v>
      </c>
      <c r="B2982" s="217"/>
      <c r="C2982" s="217" t="str">
        <f>IFERROR(VLOOKUP(B2982, SourceData!$U$3:$V$190, 2, FALSE), "")</f>
        <v/>
      </c>
      <c r="D2982" s="240"/>
      <c r="E2982" s="241"/>
      <c r="F2982" s="248"/>
      <c r="G2982" s="207"/>
      <c r="H2982" s="209"/>
      <c r="I2982" s="209"/>
      <c r="J2982" s="209"/>
      <c r="K2982" s="208" t="str">
        <f>IF(Errors!$I2982=0,SourceData!$B$42,VLOOKUP(Errors!$I2982,SourceData!$A$2:$B$40,2,FALSE))</f>
        <v>Please select ERROR CODE column "I"</v>
      </c>
      <c r="L2982" s="207" t="str">
        <f>IF(Errors!$I2982=0,
    'List of Error Codes'!$E$29,
    IFERROR(VLOOKUP(Errors!$I2982, 'List of Error Codes'!D2981:I3011, 6, FALSE), 'List of Error Codes'!$E$29)
)</f>
        <v>Please select ERROR CODE column "I"</v>
      </c>
      <c r="M2982" s="209"/>
      <c r="N2982" s="209"/>
      <c r="O2982" s="209"/>
      <c r="P2982" s="209"/>
      <c r="Q2982" s="209"/>
      <c r="R2982" s="217"/>
      <c r="S2982" s="217"/>
      <c r="T2982" s="217"/>
      <c r="U2982" s="199"/>
      <c r="V2982" s="200"/>
      <c r="W2982" s="200"/>
      <c r="X2982" s="200"/>
      <c r="Y2982" s="200"/>
      <c r="Z2982" s="200"/>
      <c r="AA2982" s="201"/>
      <c r="AB2982" s="200"/>
      <c r="AC2982" s="200"/>
    </row>
    <row r="2983" ht="15.75" customHeight="1">
      <c r="A2983" s="210">
        <f t="shared" si="1"/>
        <v>2981</v>
      </c>
      <c r="B2983" s="217"/>
      <c r="C2983" s="217" t="str">
        <f>IFERROR(VLOOKUP(B2983, SourceData!$U$3:$V$190, 2, FALSE), "")</f>
        <v/>
      </c>
      <c r="D2983" s="240"/>
      <c r="E2983" s="241"/>
      <c r="F2983" s="248"/>
      <c r="G2983" s="207"/>
      <c r="H2983" s="209"/>
      <c r="I2983" s="209"/>
      <c r="J2983" s="209"/>
      <c r="K2983" s="208" t="str">
        <f>IF(Errors!$I2983=0,SourceData!$B$42,VLOOKUP(Errors!$I2983,SourceData!$A$2:$B$40,2,FALSE))</f>
        <v>Please select ERROR CODE column "I"</v>
      </c>
      <c r="L2983" s="207" t="str">
        <f>IF(Errors!$I2983=0,
    'List of Error Codes'!$E$29,
    IFERROR(VLOOKUP(Errors!$I2983, 'List of Error Codes'!D2982:I3012, 6, FALSE), 'List of Error Codes'!$E$29)
)</f>
        <v>Please select ERROR CODE column "I"</v>
      </c>
      <c r="M2983" s="209"/>
      <c r="N2983" s="209"/>
      <c r="O2983" s="209"/>
      <c r="P2983" s="209"/>
      <c r="Q2983" s="209"/>
      <c r="R2983" s="217"/>
      <c r="S2983" s="217"/>
      <c r="T2983" s="217"/>
      <c r="U2983" s="199"/>
      <c r="V2983" s="200"/>
      <c r="W2983" s="200"/>
      <c r="X2983" s="200"/>
      <c r="Y2983" s="200"/>
      <c r="Z2983" s="200"/>
      <c r="AA2983" s="201"/>
      <c r="AB2983" s="200"/>
      <c r="AC2983" s="200"/>
    </row>
    <row r="2984" ht="15.75" customHeight="1">
      <c r="A2984" s="210">
        <f t="shared" si="1"/>
        <v>2982</v>
      </c>
      <c r="B2984" s="217"/>
      <c r="C2984" s="217" t="str">
        <f>IFERROR(VLOOKUP(B2984, SourceData!$U$3:$V$190, 2, FALSE), "")</f>
        <v/>
      </c>
      <c r="D2984" s="240"/>
      <c r="E2984" s="241"/>
      <c r="F2984" s="248"/>
      <c r="G2984" s="207"/>
      <c r="H2984" s="209"/>
      <c r="I2984" s="209"/>
      <c r="J2984" s="209"/>
      <c r="K2984" s="208" t="str">
        <f>IF(Errors!$I2984=0,SourceData!$B$42,VLOOKUP(Errors!$I2984,SourceData!$A$2:$B$40,2,FALSE))</f>
        <v>Please select ERROR CODE column "I"</v>
      </c>
      <c r="L2984" s="207" t="str">
        <f>IF(Errors!$I2984=0,
    'List of Error Codes'!$E$29,
    IFERROR(VLOOKUP(Errors!$I2984, 'List of Error Codes'!D2983:I3013, 6, FALSE), 'List of Error Codes'!$E$29)
)</f>
        <v>Please select ERROR CODE column "I"</v>
      </c>
      <c r="M2984" s="209"/>
      <c r="N2984" s="209"/>
      <c r="O2984" s="209"/>
      <c r="P2984" s="209"/>
      <c r="Q2984" s="209"/>
      <c r="R2984" s="217"/>
      <c r="S2984" s="217"/>
      <c r="T2984" s="217"/>
      <c r="U2984" s="199"/>
      <c r="V2984" s="200"/>
      <c r="W2984" s="200"/>
      <c r="X2984" s="200"/>
      <c r="Y2984" s="200"/>
      <c r="Z2984" s="200"/>
      <c r="AA2984" s="201"/>
      <c r="AB2984" s="200"/>
      <c r="AC2984" s="200"/>
    </row>
    <row r="2985" ht="15.75" customHeight="1">
      <c r="A2985" s="210">
        <f t="shared" si="1"/>
        <v>2983</v>
      </c>
      <c r="B2985" s="217"/>
      <c r="C2985" s="217" t="str">
        <f>IFERROR(VLOOKUP(B2985, SourceData!$U$3:$V$190, 2, FALSE), "")</f>
        <v/>
      </c>
      <c r="D2985" s="240"/>
      <c r="E2985" s="241"/>
      <c r="F2985" s="248"/>
      <c r="G2985" s="207"/>
      <c r="H2985" s="209"/>
      <c r="I2985" s="209"/>
      <c r="J2985" s="209"/>
      <c r="K2985" s="208" t="str">
        <f>IF(Errors!$I2985=0,SourceData!$B$42,VLOOKUP(Errors!$I2985,SourceData!$A$2:$B$40,2,FALSE))</f>
        <v>Please select ERROR CODE column "I"</v>
      </c>
      <c r="L2985" s="207" t="str">
        <f>IF(Errors!$I2985=0,
    'List of Error Codes'!$E$29,
    IFERROR(VLOOKUP(Errors!$I2985, 'List of Error Codes'!D2984:I3014, 6, FALSE), 'List of Error Codes'!$E$29)
)</f>
        <v>Please select ERROR CODE column "I"</v>
      </c>
      <c r="M2985" s="209"/>
      <c r="N2985" s="209"/>
      <c r="O2985" s="209"/>
      <c r="P2985" s="209"/>
      <c r="Q2985" s="209"/>
      <c r="R2985" s="217"/>
      <c r="S2985" s="217"/>
      <c r="T2985" s="217"/>
      <c r="U2985" s="199"/>
      <c r="V2985" s="200"/>
      <c r="W2985" s="200"/>
      <c r="X2985" s="200"/>
      <c r="Y2985" s="200"/>
      <c r="Z2985" s="200"/>
      <c r="AA2985" s="201"/>
      <c r="AB2985" s="200"/>
      <c r="AC2985" s="200"/>
    </row>
    <row r="2986" ht="15.75" customHeight="1">
      <c r="A2986" s="210">
        <f t="shared" si="1"/>
        <v>2984</v>
      </c>
      <c r="B2986" s="217"/>
      <c r="C2986" s="217" t="str">
        <f>IFERROR(VLOOKUP(B2986, SourceData!$U$3:$V$190, 2, FALSE), "")</f>
        <v/>
      </c>
      <c r="D2986" s="240"/>
      <c r="E2986" s="241"/>
      <c r="F2986" s="248"/>
      <c r="G2986" s="207"/>
      <c r="H2986" s="209"/>
      <c r="I2986" s="209"/>
      <c r="J2986" s="209"/>
      <c r="K2986" s="208" t="str">
        <f>IF(Errors!$I2986=0,SourceData!$B$42,VLOOKUP(Errors!$I2986,SourceData!$A$2:$B$40,2,FALSE))</f>
        <v>Please select ERROR CODE column "I"</v>
      </c>
      <c r="L2986" s="207" t="str">
        <f>IF(Errors!$I2986=0,
    'List of Error Codes'!$E$29,
    IFERROR(VLOOKUP(Errors!$I2986, 'List of Error Codes'!D2985:I3015, 6, FALSE), 'List of Error Codes'!$E$29)
)</f>
        <v>Please select ERROR CODE column "I"</v>
      </c>
      <c r="M2986" s="209"/>
      <c r="N2986" s="209"/>
      <c r="O2986" s="209"/>
      <c r="P2986" s="209"/>
      <c r="Q2986" s="209"/>
      <c r="R2986" s="217"/>
      <c r="S2986" s="217"/>
      <c r="T2986" s="217"/>
      <c r="U2986" s="199"/>
      <c r="V2986" s="200"/>
      <c r="W2986" s="200"/>
      <c r="X2986" s="200"/>
      <c r="Y2986" s="200"/>
      <c r="Z2986" s="200"/>
      <c r="AA2986" s="201"/>
      <c r="AB2986" s="200"/>
      <c r="AC2986" s="200"/>
    </row>
    <row r="2987" ht="15.75" customHeight="1">
      <c r="A2987" s="210">
        <f t="shared" si="1"/>
        <v>2985</v>
      </c>
      <c r="B2987" s="217"/>
      <c r="C2987" s="217" t="str">
        <f>IFERROR(VLOOKUP(B2987, SourceData!$U$3:$V$190, 2, FALSE), "")</f>
        <v/>
      </c>
      <c r="D2987" s="240"/>
      <c r="E2987" s="241"/>
      <c r="F2987" s="248"/>
      <c r="G2987" s="207"/>
      <c r="H2987" s="209"/>
      <c r="I2987" s="209"/>
      <c r="J2987" s="209"/>
      <c r="K2987" s="208" t="str">
        <f>IF(Errors!$I2987=0,SourceData!$B$42,VLOOKUP(Errors!$I2987,SourceData!$A$2:$B$40,2,FALSE))</f>
        <v>Please select ERROR CODE column "I"</v>
      </c>
      <c r="L2987" s="207" t="str">
        <f>IF(Errors!$I2987=0,
    'List of Error Codes'!$E$29,
    IFERROR(VLOOKUP(Errors!$I2987, 'List of Error Codes'!D2986:I3016, 6, FALSE), 'List of Error Codes'!$E$29)
)</f>
        <v>Please select ERROR CODE column "I"</v>
      </c>
      <c r="M2987" s="209"/>
      <c r="N2987" s="209"/>
      <c r="O2987" s="209"/>
      <c r="P2987" s="209"/>
      <c r="Q2987" s="209"/>
      <c r="R2987" s="217"/>
      <c r="S2987" s="217"/>
      <c r="T2987" s="217"/>
      <c r="U2987" s="199"/>
      <c r="V2987" s="200"/>
      <c r="W2987" s="200"/>
      <c r="X2987" s="200"/>
      <c r="Y2987" s="200"/>
      <c r="Z2987" s="200"/>
      <c r="AA2987" s="201"/>
      <c r="AB2987" s="200"/>
      <c r="AC2987" s="200"/>
    </row>
    <row r="2988" ht="15.75" customHeight="1">
      <c r="A2988" s="210">
        <f t="shared" si="1"/>
        <v>2986</v>
      </c>
      <c r="B2988" s="217"/>
      <c r="C2988" s="217" t="str">
        <f>IFERROR(VLOOKUP(B2988, SourceData!$U$3:$V$190, 2, FALSE), "")</f>
        <v/>
      </c>
      <c r="D2988" s="240"/>
      <c r="E2988" s="241"/>
      <c r="F2988" s="248"/>
      <c r="G2988" s="207"/>
      <c r="H2988" s="209"/>
      <c r="I2988" s="209"/>
      <c r="J2988" s="209"/>
      <c r="K2988" s="208" t="str">
        <f>IF(Errors!$I2988=0,SourceData!$B$42,VLOOKUP(Errors!$I2988,SourceData!$A$2:$B$40,2,FALSE))</f>
        <v>Please select ERROR CODE column "I"</v>
      </c>
      <c r="L2988" s="207" t="str">
        <f>IF(Errors!$I2988=0,
    'List of Error Codes'!$E$29,
    IFERROR(VLOOKUP(Errors!$I2988, 'List of Error Codes'!D2987:I3017, 6, FALSE), 'List of Error Codes'!$E$29)
)</f>
        <v>Please select ERROR CODE column "I"</v>
      </c>
      <c r="M2988" s="209"/>
      <c r="N2988" s="209"/>
      <c r="O2988" s="209"/>
      <c r="P2988" s="209"/>
      <c r="Q2988" s="209"/>
      <c r="R2988" s="217"/>
      <c r="S2988" s="217"/>
      <c r="T2988" s="217"/>
      <c r="U2988" s="199"/>
      <c r="V2988" s="200"/>
      <c r="W2988" s="200"/>
      <c r="X2988" s="200"/>
      <c r="Y2988" s="200"/>
      <c r="Z2988" s="200"/>
      <c r="AA2988" s="201"/>
      <c r="AB2988" s="200"/>
      <c r="AC2988" s="200"/>
    </row>
    <row r="2989" ht="15.75" customHeight="1">
      <c r="A2989" s="210">
        <f t="shared" si="1"/>
        <v>2987</v>
      </c>
      <c r="B2989" s="217"/>
      <c r="C2989" s="217" t="str">
        <f>IFERROR(VLOOKUP(B2989, SourceData!$U$3:$V$190, 2, FALSE), "")</f>
        <v/>
      </c>
      <c r="D2989" s="240"/>
      <c r="E2989" s="241"/>
      <c r="F2989" s="248"/>
      <c r="G2989" s="207"/>
      <c r="H2989" s="209"/>
      <c r="I2989" s="209"/>
      <c r="J2989" s="209"/>
      <c r="K2989" s="208" t="str">
        <f>IF(Errors!$I2989=0,SourceData!$B$42,VLOOKUP(Errors!$I2989,SourceData!$A$2:$B$40,2,FALSE))</f>
        <v>Please select ERROR CODE column "I"</v>
      </c>
      <c r="L2989" s="207" t="str">
        <f>IF(Errors!$I2989=0,
    'List of Error Codes'!$E$29,
    IFERROR(VLOOKUP(Errors!$I2989, 'List of Error Codes'!D2988:I3018, 6, FALSE), 'List of Error Codes'!$E$29)
)</f>
        <v>Please select ERROR CODE column "I"</v>
      </c>
      <c r="M2989" s="209"/>
      <c r="N2989" s="209"/>
      <c r="O2989" s="209"/>
      <c r="P2989" s="209"/>
      <c r="Q2989" s="209"/>
      <c r="R2989" s="217"/>
      <c r="S2989" s="217"/>
      <c r="T2989" s="217"/>
      <c r="U2989" s="199"/>
      <c r="V2989" s="200"/>
      <c r="W2989" s="200"/>
      <c r="X2989" s="200"/>
      <c r="Y2989" s="200"/>
      <c r="Z2989" s="200"/>
      <c r="AA2989" s="201"/>
      <c r="AB2989" s="200"/>
      <c r="AC2989" s="200"/>
    </row>
    <row r="2990" ht="15.75" customHeight="1">
      <c r="A2990" s="210">
        <f t="shared" si="1"/>
        <v>2988</v>
      </c>
      <c r="B2990" s="217"/>
      <c r="C2990" s="217" t="str">
        <f>IFERROR(VLOOKUP(B2990, SourceData!$U$3:$V$190, 2, FALSE), "")</f>
        <v/>
      </c>
      <c r="D2990" s="240"/>
      <c r="E2990" s="241"/>
      <c r="F2990" s="248"/>
      <c r="G2990" s="207"/>
      <c r="H2990" s="209"/>
      <c r="I2990" s="209"/>
      <c r="J2990" s="209"/>
      <c r="K2990" s="208" t="str">
        <f>IF(Errors!$I2990=0,SourceData!$B$42,VLOOKUP(Errors!$I2990,SourceData!$A$2:$B$40,2,FALSE))</f>
        <v>Please select ERROR CODE column "I"</v>
      </c>
      <c r="L2990" s="207" t="str">
        <f>IF(Errors!$I2990=0,
    'List of Error Codes'!$E$29,
    IFERROR(VLOOKUP(Errors!$I2990, 'List of Error Codes'!D2989:I3019, 6, FALSE), 'List of Error Codes'!$E$29)
)</f>
        <v>Please select ERROR CODE column "I"</v>
      </c>
      <c r="M2990" s="209"/>
      <c r="N2990" s="209"/>
      <c r="O2990" s="209"/>
      <c r="P2990" s="209"/>
      <c r="Q2990" s="209"/>
      <c r="R2990" s="217"/>
      <c r="S2990" s="217"/>
      <c r="T2990" s="217"/>
      <c r="U2990" s="199"/>
      <c r="V2990" s="200"/>
      <c r="W2990" s="200"/>
      <c r="X2990" s="200"/>
      <c r="Y2990" s="200"/>
      <c r="Z2990" s="200"/>
      <c r="AA2990" s="201"/>
      <c r="AB2990" s="200"/>
      <c r="AC2990" s="200"/>
    </row>
    <row r="2991" ht="15.75" customHeight="1">
      <c r="A2991" s="210">
        <f t="shared" si="1"/>
        <v>2989</v>
      </c>
      <c r="B2991" s="217"/>
      <c r="C2991" s="217" t="str">
        <f>IFERROR(VLOOKUP(B2991, SourceData!$U$3:$V$190, 2, FALSE), "")</f>
        <v/>
      </c>
      <c r="D2991" s="240"/>
      <c r="E2991" s="241"/>
      <c r="F2991" s="248"/>
      <c r="G2991" s="207"/>
      <c r="H2991" s="209"/>
      <c r="I2991" s="209"/>
      <c r="J2991" s="209"/>
      <c r="K2991" s="208" t="str">
        <f>IF(Errors!$I2991=0,SourceData!$B$42,VLOOKUP(Errors!$I2991,SourceData!$A$2:$B$40,2,FALSE))</f>
        <v>Please select ERROR CODE column "I"</v>
      </c>
      <c r="L2991" s="207" t="str">
        <f>IF(Errors!$I2991=0,
    'List of Error Codes'!$E$29,
    IFERROR(VLOOKUP(Errors!$I2991, 'List of Error Codes'!D2990:I3020, 6, FALSE), 'List of Error Codes'!$E$29)
)</f>
        <v>Please select ERROR CODE column "I"</v>
      </c>
      <c r="M2991" s="209"/>
      <c r="N2991" s="209"/>
      <c r="O2991" s="209"/>
      <c r="P2991" s="209"/>
      <c r="Q2991" s="209"/>
      <c r="R2991" s="217"/>
      <c r="S2991" s="217"/>
      <c r="T2991" s="217"/>
      <c r="U2991" s="199"/>
      <c r="V2991" s="200"/>
      <c r="W2991" s="200"/>
      <c r="X2991" s="200"/>
      <c r="Y2991" s="200"/>
      <c r="Z2991" s="200"/>
      <c r="AA2991" s="201"/>
      <c r="AB2991" s="200"/>
      <c r="AC2991" s="200"/>
    </row>
    <row r="2992" ht="15.75" customHeight="1">
      <c r="A2992" s="210">
        <f t="shared" si="1"/>
        <v>2990</v>
      </c>
      <c r="B2992" s="217"/>
      <c r="C2992" s="217" t="str">
        <f>IFERROR(VLOOKUP(B2992, SourceData!$U$3:$V$190, 2, FALSE), "")</f>
        <v/>
      </c>
      <c r="D2992" s="240"/>
      <c r="E2992" s="241"/>
      <c r="F2992" s="248"/>
      <c r="G2992" s="207"/>
      <c r="H2992" s="209"/>
      <c r="I2992" s="209"/>
      <c r="J2992" s="209"/>
      <c r="K2992" s="208" t="str">
        <f>IF(Errors!$I2992=0,SourceData!$B$42,VLOOKUP(Errors!$I2992,SourceData!$A$2:$B$40,2,FALSE))</f>
        <v>Please select ERROR CODE column "I"</v>
      </c>
      <c r="L2992" s="207" t="str">
        <f>IF(Errors!$I2992=0,
    'List of Error Codes'!$E$29,
    IFERROR(VLOOKUP(Errors!$I2992, 'List of Error Codes'!D2991:I3021, 6, FALSE), 'List of Error Codes'!$E$29)
)</f>
        <v>Please select ERROR CODE column "I"</v>
      </c>
      <c r="M2992" s="209"/>
      <c r="N2992" s="209"/>
      <c r="O2992" s="209"/>
      <c r="P2992" s="209"/>
      <c r="Q2992" s="209"/>
      <c r="R2992" s="217"/>
      <c r="S2992" s="217"/>
      <c r="T2992" s="217"/>
      <c r="U2992" s="199"/>
      <c r="V2992" s="200"/>
      <c r="W2992" s="200"/>
      <c r="X2992" s="200"/>
      <c r="Y2992" s="200"/>
      <c r="Z2992" s="200"/>
      <c r="AA2992" s="201"/>
      <c r="AB2992" s="200"/>
      <c r="AC2992" s="200"/>
    </row>
    <row r="2993" ht="15.75" customHeight="1">
      <c r="A2993" s="210">
        <f t="shared" si="1"/>
        <v>2991</v>
      </c>
      <c r="B2993" s="217"/>
      <c r="C2993" s="217" t="str">
        <f>IFERROR(VLOOKUP(B2993, SourceData!$U$3:$V$190, 2, FALSE), "")</f>
        <v/>
      </c>
      <c r="D2993" s="240"/>
      <c r="E2993" s="241"/>
      <c r="F2993" s="248"/>
      <c r="G2993" s="207"/>
      <c r="H2993" s="209"/>
      <c r="I2993" s="209"/>
      <c r="J2993" s="209"/>
      <c r="K2993" s="208" t="str">
        <f>IF(Errors!$I2993=0,SourceData!$B$42,VLOOKUP(Errors!$I2993,SourceData!$A$2:$B$40,2,FALSE))</f>
        <v>Please select ERROR CODE column "I"</v>
      </c>
      <c r="L2993" s="207" t="str">
        <f>IF(Errors!$I2993=0,
    'List of Error Codes'!$E$29,
    IFERROR(VLOOKUP(Errors!$I2993, 'List of Error Codes'!D2992:I3022, 6, FALSE), 'List of Error Codes'!$E$29)
)</f>
        <v>Please select ERROR CODE column "I"</v>
      </c>
      <c r="M2993" s="209"/>
      <c r="N2993" s="209"/>
      <c r="O2993" s="209"/>
      <c r="P2993" s="209"/>
      <c r="Q2993" s="209"/>
      <c r="R2993" s="217"/>
      <c r="S2993" s="217"/>
      <c r="T2993" s="217"/>
      <c r="U2993" s="199"/>
      <c r="V2993" s="200"/>
      <c r="W2993" s="200"/>
      <c r="X2993" s="200"/>
      <c r="Y2993" s="200"/>
      <c r="Z2993" s="200"/>
      <c r="AA2993" s="201"/>
      <c r="AB2993" s="200"/>
      <c r="AC2993" s="200"/>
    </row>
    <row r="2994" ht="15.75" customHeight="1">
      <c r="A2994" s="210">
        <f t="shared" si="1"/>
        <v>2992</v>
      </c>
      <c r="B2994" s="217"/>
      <c r="C2994" s="217" t="str">
        <f>IFERROR(VLOOKUP(B2994, SourceData!$U$3:$V$190, 2, FALSE), "")</f>
        <v/>
      </c>
      <c r="D2994" s="240"/>
      <c r="E2994" s="241"/>
      <c r="F2994" s="248"/>
      <c r="G2994" s="207"/>
      <c r="H2994" s="209"/>
      <c r="I2994" s="209"/>
      <c r="J2994" s="209"/>
      <c r="K2994" s="208" t="str">
        <f>IF(Errors!$I2994=0,SourceData!$B$42,VLOOKUP(Errors!$I2994,SourceData!$A$2:$B$40,2,FALSE))</f>
        <v>Please select ERROR CODE column "I"</v>
      </c>
      <c r="L2994" s="207" t="str">
        <f>IF(Errors!$I2994=0,
    'List of Error Codes'!$E$29,
    IFERROR(VLOOKUP(Errors!$I2994, 'List of Error Codes'!D2993:I3023, 6, FALSE), 'List of Error Codes'!$E$29)
)</f>
        <v>Please select ERROR CODE column "I"</v>
      </c>
      <c r="M2994" s="209"/>
      <c r="N2994" s="209"/>
      <c r="O2994" s="209"/>
      <c r="P2994" s="209"/>
      <c r="Q2994" s="209"/>
      <c r="R2994" s="217"/>
      <c r="S2994" s="217"/>
      <c r="T2994" s="217"/>
      <c r="U2994" s="199"/>
      <c r="V2994" s="200"/>
      <c r="W2994" s="200"/>
      <c r="X2994" s="200"/>
      <c r="Y2994" s="200"/>
      <c r="Z2994" s="200"/>
      <c r="AA2994" s="201"/>
      <c r="AB2994" s="200"/>
      <c r="AC2994" s="200"/>
    </row>
    <row r="2995" ht="15.75" customHeight="1">
      <c r="A2995" s="210">
        <f t="shared" si="1"/>
        <v>2993</v>
      </c>
      <c r="B2995" s="217"/>
      <c r="C2995" s="217" t="str">
        <f>IFERROR(VLOOKUP(B2995, SourceData!$U$3:$V$190, 2, FALSE), "")</f>
        <v/>
      </c>
      <c r="D2995" s="240"/>
      <c r="E2995" s="241"/>
      <c r="F2995" s="248"/>
      <c r="G2995" s="207"/>
      <c r="H2995" s="209"/>
      <c r="I2995" s="209"/>
      <c r="J2995" s="209"/>
      <c r="K2995" s="208" t="str">
        <f>IF(Errors!$I2995=0,SourceData!$B$42,VLOOKUP(Errors!$I2995,SourceData!$A$2:$B$40,2,FALSE))</f>
        <v>Please select ERROR CODE column "I"</v>
      </c>
      <c r="L2995" s="207" t="str">
        <f>IF(Errors!$I2995=0,
    'List of Error Codes'!$E$29,
    IFERROR(VLOOKUP(Errors!$I2995, 'List of Error Codes'!D2994:I3024, 6, FALSE), 'List of Error Codes'!$E$29)
)</f>
        <v>Please select ERROR CODE column "I"</v>
      </c>
      <c r="M2995" s="209"/>
      <c r="N2995" s="209"/>
      <c r="O2995" s="209"/>
      <c r="P2995" s="209"/>
      <c r="Q2995" s="209"/>
      <c r="R2995" s="217"/>
      <c r="S2995" s="217"/>
      <c r="T2995" s="217"/>
      <c r="U2995" s="199"/>
      <c r="V2995" s="200"/>
      <c r="W2995" s="200"/>
      <c r="X2995" s="200"/>
      <c r="Y2995" s="200"/>
      <c r="Z2995" s="200"/>
      <c r="AA2995" s="201"/>
      <c r="AB2995" s="200"/>
      <c r="AC2995" s="200"/>
    </row>
    <row r="2996" ht="15.75" customHeight="1">
      <c r="A2996" s="210">
        <f t="shared" si="1"/>
        <v>2994</v>
      </c>
      <c r="B2996" s="217"/>
      <c r="C2996" s="217" t="str">
        <f>IFERROR(VLOOKUP(B2996, SourceData!$U$3:$V$190, 2, FALSE), "")</f>
        <v/>
      </c>
      <c r="D2996" s="240"/>
      <c r="E2996" s="241"/>
      <c r="F2996" s="248"/>
      <c r="G2996" s="207"/>
      <c r="H2996" s="209"/>
      <c r="I2996" s="209"/>
      <c r="J2996" s="209"/>
      <c r="K2996" s="208" t="str">
        <f>IF(Errors!$I2996=0,SourceData!$B$42,VLOOKUP(Errors!$I2996,SourceData!$A$2:$B$40,2,FALSE))</f>
        <v>Please select ERROR CODE column "I"</v>
      </c>
      <c r="L2996" s="207" t="str">
        <f>IF(Errors!$I2996=0,
    'List of Error Codes'!$E$29,
    IFERROR(VLOOKUP(Errors!$I2996, 'List of Error Codes'!D2995:I3025, 6, FALSE), 'List of Error Codes'!$E$29)
)</f>
        <v>Please select ERROR CODE column "I"</v>
      </c>
      <c r="M2996" s="209"/>
      <c r="N2996" s="209"/>
      <c r="O2996" s="209"/>
      <c r="P2996" s="209"/>
      <c r="Q2996" s="209"/>
      <c r="R2996" s="217"/>
      <c r="S2996" s="217"/>
      <c r="T2996" s="217"/>
      <c r="U2996" s="199"/>
      <c r="V2996" s="200"/>
      <c r="W2996" s="200"/>
      <c r="X2996" s="200"/>
      <c r="Y2996" s="200"/>
      <c r="Z2996" s="200"/>
      <c r="AA2996" s="201"/>
      <c r="AB2996" s="200"/>
      <c r="AC2996" s="200"/>
    </row>
    <row r="2997" ht="15.75" customHeight="1">
      <c r="A2997" s="210">
        <f t="shared" si="1"/>
        <v>2995</v>
      </c>
      <c r="B2997" s="217"/>
      <c r="C2997" s="217" t="str">
        <f>IFERROR(VLOOKUP(B2997, SourceData!$U$3:$V$190, 2, FALSE), "")</f>
        <v/>
      </c>
      <c r="D2997" s="240"/>
      <c r="E2997" s="241"/>
      <c r="F2997" s="248"/>
      <c r="G2997" s="207"/>
      <c r="H2997" s="209"/>
      <c r="I2997" s="209"/>
      <c r="J2997" s="209"/>
      <c r="K2997" s="208" t="str">
        <f>IF(Errors!$I2997=0,SourceData!$B$42,VLOOKUP(Errors!$I2997,SourceData!$A$2:$B$40,2,FALSE))</f>
        <v>Please select ERROR CODE column "I"</v>
      </c>
      <c r="L2997" s="207" t="str">
        <f>IF(Errors!$I2997=0,
    'List of Error Codes'!$E$29,
    IFERROR(VLOOKUP(Errors!$I2997, 'List of Error Codes'!D2996:I3026, 6, FALSE), 'List of Error Codes'!$E$29)
)</f>
        <v>Please select ERROR CODE column "I"</v>
      </c>
      <c r="M2997" s="209"/>
      <c r="N2997" s="209"/>
      <c r="O2997" s="209"/>
      <c r="P2997" s="209"/>
      <c r="Q2997" s="209"/>
      <c r="R2997" s="217"/>
      <c r="S2997" s="217"/>
      <c r="T2997" s="217"/>
      <c r="U2997" s="199"/>
      <c r="V2997" s="200"/>
      <c r="W2997" s="200"/>
      <c r="X2997" s="200"/>
      <c r="Y2997" s="200"/>
      <c r="Z2997" s="200"/>
      <c r="AA2997" s="201"/>
      <c r="AB2997" s="200"/>
      <c r="AC2997" s="200"/>
    </row>
    <row r="2998" ht="15.75" customHeight="1">
      <c r="A2998" s="210">
        <f t="shared" si="1"/>
        <v>2996</v>
      </c>
      <c r="B2998" s="217"/>
      <c r="C2998" s="217" t="str">
        <f>IFERROR(VLOOKUP(B2998, SourceData!$U$3:$V$190, 2, FALSE), "")</f>
        <v/>
      </c>
      <c r="D2998" s="240"/>
      <c r="E2998" s="241"/>
      <c r="F2998" s="248"/>
      <c r="G2998" s="207"/>
      <c r="H2998" s="209"/>
      <c r="I2998" s="209"/>
      <c r="J2998" s="209"/>
      <c r="K2998" s="208" t="str">
        <f>IF(Errors!$I2998=0,SourceData!$B$42,VLOOKUP(Errors!$I2998,SourceData!$A$2:$B$40,2,FALSE))</f>
        <v>Please select ERROR CODE column "I"</v>
      </c>
      <c r="L2998" s="207" t="str">
        <f>IF(Errors!$I2998=0,
    'List of Error Codes'!$E$29,
    IFERROR(VLOOKUP(Errors!$I2998, 'List of Error Codes'!D2997:I3027, 6, FALSE), 'List of Error Codes'!$E$29)
)</f>
        <v>Please select ERROR CODE column "I"</v>
      </c>
      <c r="M2998" s="209"/>
      <c r="N2998" s="209"/>
      <c r="O2998" s="209"/>
      <c r="P2998" s="209"/>
      <c r="Q2998" s="209"/>
      <c r="R2998" s="217"/>
      <c r="S2998" s="217"/>
      <c r="T2998" s="217"/>
      <c r="U2998" s="199"/>
      <c r="V2998" s="200"/>
      <c r="W2998" s="200"/>
      <c r="X2998" s="200"/>
      <c r="Y2998" s="200"/>
      <c r="Z2998" s="200"/>
      <c r="AA2998" s="201"/>
      <c r="AB2998" s="200"/>
      <c r="AC2998" s="200"/>
    </row>
    <row r="2999" ht="15.75" customHeight="1">
      <c r="A2999" s="210">
        <f t="shared" si="1"/>
        <v>2997</v>
      </c>
      <c r="B2999" s="217"/>
      <c r="C2999" s="217" t="str">
        <f>IFERROR(VLOOKUP(B2999, SourceData!$U$3:$V$190, 2, FALSE), "")</f>
        <v/>
      </c>
      <c r="D2999" s="240"/>
      <c r="E2999" s="241"/>
      <c r="F2999" s="248"/>
      <c r="G2999" s="207"/>
      <c r="H2999" s="209"/>
      <c r="I2999" s="209"/>
      <c r="J2999" s="209"/>
      <c r="K2999" s="208" t="str">
        <f>IF(Errors!$I2999=0,SourceData!$B$42,VLOOKUP(Errors!$I2999,SourceData!$A$2:$B$40,2,FALSE))</f>
        <v>Please select ERROR CODE column "I"</v>
      </c>
      <c r="L2999" s="207" t="str">
        <f>IF(Errors!$I2999=0,
    'List of Error Codes'!$E$29,
    IFERROR(VLOOKUP(Errors!$I2999, 'List of Error Codes'!D2998:I3028, 6, FALSE), 'List of Error Codes'!$E$29)
)</f>
        <v>Please select ERROR CODE column "I"</v>
      </c>
      <c r="M2999" s="209"/>
      <c r="N2999" s="209"/>
      <c r="O2999" s="209"/>
      <c r="P2999" s="209"/>
      <c r="Q2999" s="209"/>
      <c r="R2999" s="217"/>
      <c r="S2999" s="217"/>
      <c r="T2999" s="217"/>
      <c r="U2999" s="199"/>
      <c r="V2999" s="200"/>
      <c r="W2999" s="200"/>
      <c r="X2999" s="200"/>
      <c r="Y2999" s="200"/>
      <c r="Z2999" s="200"/>
      <c r="AA2999" s="201"/>
      <c r="AB2999" s="200"/>
      <c r="AC2999" s="200"/>
    </row>
    <row r="3000" ht="15.75" customHeight="1">
      <c r="A3000" s="210">
        <f t="shared" si="1"/>
        <v>2998</v>
      </c>
      <c r="B3000" s="217"/>
      <c r="C3000" s="217" t="str">
        <f>IFERROR(VLOOKUP(B3000, SourceData!$U$3:$V$190, 2, FALSE), "")</f>
        <v/>
      </c>
      <c r="D3000" s="240"/>
      <c r="E3000" s="241"/>
      <c r="F3000" s="248"/>
      <c r="G3000" s="207"/>
      <c r="H3000" s="209"/>
      <c r="I3000" s="209"/>
      <c r="J3000" s="209"/>
      <c r="K3000" s="208" t="str">
        <f>IF(Errors!$I3000=0,SourceData!$B$42,VLOOKUP(Errors!$I3000,SourceData!$A$2:$B$40,2,FALSE))</f>
        <v>Please select ERROR CODE column "I"</v>
      </c>
      <c r="L3000" s="207" t="str">
        <f>IF(Errors!$I3000=0,
    'List of Error Codes'!$E$29,
    IFERROR(VLOOKUP(Errors!$I3000, 'List of Error Codes'!D2999:I3029, 6, FALSE), 'List of Error Codes'!$E$29)
)</f>
        <v>Please select ERROR CODE column "I"</v>
      </c>
      <c r="M3000" s="209"/>
      <c r="N3000" s="209"/>
      <c r="O3000" s="209"/>
      <c r="P3000" s="209"/>
      <c r="Q3000" s="209"/>
      <c r="R3000" s="217"/>
      <c r="S3000" s="217"/>
      <c r="T3000" s="217"/>
      <c r="U3000" s="199"/>
      <c r="V3000" s="200"/>
      <c r="W3000" s="200"/>
      <c r="X3000" s="200"/>
      <c r="Y3000" s="200"/>
      <c r="Z3000" s="200"/>
      <c r="AA3000" s="201"/>
      <c r="AB3000" s="200"/>
      <c r="AC3000" s="200"/>
    </row>
    <row r="3001" ht="15.75" customHeight="1">
      <c r="A3001" s="210">
        <f t="shared" si="1"/>
        <v>2999</v>
      </c>
      <c r="B3001" s="217"/>
      <c r="C3001" s="217" t="str">
        <f>IFERROR(VLOOKUP(B3001, SourceData!$U$3:$V$190, 2, FALSE), "")</f>
        <v/>
      </c>
      <c r="D3001" s="240"/>
      <c r="E3001" s="241"/>
      <c r="F3001" s="248"/>
      <c r="G3001" s="207"/>
      <c r="H3001" s="209"/>
      <c r="I3001" s="209"/>
      <c r="J3001" s="209"/>
      <c r="K3001" s="208" t="str">
        <f>IF(Errors!$I3001=0,SourceData!$B$42,VLOOKUP(Errors!$I3001,SourceData!$A$2:$B$40,2,FALSE))</f>
        <v>Please select ERROR CODE column "I"</v>
      </c>
      <c r="L3001" s="207" t="str">
        <f>IF(Errors!$I3001=0,
    'List of Error Codes'!$E$29,
    IFERROR(VLOOKUP(Errors!$I3001, 'List of Error Codes'!D3000:I3030, 6, FALSE), 'List of Error Codes'!$E$29)
)</f>
        <v>Please select ERROR CODE column "I"</v>
      </c>
      <c r="M3001" s="209"/>
      <c r="N3001" s="209"/>
      <c r="O3001" s="209"/>
      <c r="P3001" s="209"/>
      <c r="Q3001" s="209"/>
      <c r="R3001" s="217"/>
      <c r="S3001" s="217"/>
      <c r="T3001" s="217"/>
      <c r="U3001" s="199"/>
      <c r="V3001" s="200"/>
      <c r="W3001" s="200"/>
      <c r="X3001" s="200"/>
      <c r="Y3001" s="200"/>
      <c r="Z3001" s="200"/>
      <c r="AA3001" s="201"/>
      <c r="AB3001" s="200"/>
      <c r="AC3001" s="200"/>
    </row>
    <row r="3002" ht="15.75" customHeight="1">
      <c r="A3002" s="210">
        <f t="shared" si="1"/>
        <v>3000</v>
      </c>
      <c r="B3002" s="217"/>
      <c r="C3002" s="217" t="str">
        <f>IFERROR(VLOOKUP(B3002, SourceData!$U$3:$V$190, 2, FALSE), "")</f>
        <v/>
      </c>
      <c r="D3002" s="240"/>
      <c r="E3002" s="241"/>
      <c r="F3002" s="248"/>
      <c r="G3002" s="207"/>
      <c r="H3002" s="209"/>
      <c r="I3002" s="209"/>
      <c r="J3002" s="209"/>
      <c r="K3002" s="208" t="str">
        <f>IF(Errors!$I3002=0,SourceData!$B$42,VLOOKUP(Errors!$I3002,SourceData!$A$2:$B$40,2,FALSE))</f>
        <v>Please select ERROR CODE column "I"</v>
      </c>
      <c r="L3002" s="207" t="str">
        <f>IF(Errors!$I3002=0,
    'List of Error Codes'!$E$29,
    IFERROR(VLOOKUP(Errors!$I3002, 'List of Error Codes'!D3001:I3031, 6, FALSE), 'List of Error Codes'!$E$29)
)</f>
        <v>Please select ERROR CODE column "I"</v>
      </c>
      <c r="M3002" s="209"/>
      <c r="N3002" s="209"/>
      <c r="O3002" s="209"/>
      <c r="P3002" s="209"/>
      <c r="Q3002" s="209"/>
      <c r="R3002" s="217"/>
      <c r="S3002" s="217"/>
      <c r="T3002" s="217"/>
      <c r="U3002" s="199"/>
      <c r="V3002" s="200"/>
      <c r="W3002" s="200"/>
      <c r="X3002" s="200"/>
      <c r="Y3002" s="200"/>
      <c r="Z3002" s="200"/>
      <c r="AA3002" s="201"/>
      <c r="AB3002" s="200"/>
      <c r="AC3002" s="200"/>
    </row>
    <row r="3003" ht="15.75" customHeight="1">
      <c r="A3003" s="210">
        <f t="shared" si="1"/>
        <v>3001</v>
      </c>
      <c r="B3003" s="217"/>
      <c r="C3003" s="217" t="str">
        <f>IFERROR(VLOOKUP(B3003, SourceData!$U$3:$V$190, 2, FALSE), "")</f>
        <v/>
      </c>
      <c r="D3003" s="240"/>
      <c r="E3003" s="241"/>
      <c r="F3003" s="248"/>
      <c r="G3003" s="207"/>
      <c r="H3003" s="209"/>
      <c r="I3003" s="209"/>
      <c r="J3003" s="209"/>
      <c r="K3003" s="208" t="str">
        <f>IF(Errors!$I3003=0,SourceData!$B$42,VLOOKUP(Errors!$I3003,SourceData!$A$2:$B$40,2,FALSE))</f>
        <v>Please select ERROR CODE column "I"</v>
      </c>
      <c r="L3003" s="207" t="str">
        <f>IF(Errors!$I3003=0,
    'List of Error Codes'!$E$29,
    IFERROR(VLOOKUP(Errors!$I3003, 'List of Error Codes'!D3002:I3032, 6, FALSE), 'List of Error Codes'!$E$29)
)</f>
        <v>Please select ERROR CODE column "I"</v>
      </c>
      <c r="M3003" s="209"/>
      <c r="N3003" s="209"/>
      <c r="O3003" s="209"/>
      <c r="P3003" s="209"/>
      <c r="Q3003" s="209"/>
      <c r="R3003" s="217"/>
      <c r="S3003" s="217"/>
      <c r="T3003" s="217"/>
      <c r="U3003" s="199"/>
      <c r="V3003" s="200"/>
      <c r="W3003" s="200"/>
      <c r="X3003" s="200"/>
      <c r="Y3003" s="200"/>
      <c r="Z3003" s="200"/>
      <c r="AA3003" s="201"/>
      <c r="AB3003" s="200"/>
      <c r="AC3003" s="200"/>
    </row>
    <row r="3004" ht="15.75" customHeight="1">
      <c r="A3004" s="210">
        <f t="shared" si="1"/>
        <v>3002</v>
      </c>
      <c r="B3004" s="217"/>
      <c r="C3004" s="217" t="str">
        <f>IFERROR(VLOOKUP(B3004, SourceData!$U$3:$V$190, 2, FALSE), "")</f>
        <v/>
      </c>
      <c r="D3004" s="240"/>
      <c r="E3004" s="241"/>
      <c r="F3004" s="248"/>
      <c r="G3004" s="207"/>
      <c r="H3004" s="209"/>
      <c r="I3004" s="209"/>
      <c r="J3004" s="209"/>
      <c r="K3004" s="208" t="str">
        <f>IF(Errors!$I3004=0,SourceData!$B$42,VLOOKUP(Errors!$I3004,SourceData!$A$2:$B$40,2,FALSE))</f>
        <v>Please select ERROR CODE column "I"</v>
      </c>
      <c r="L3004" s="207" t="str">
        <f>IF(Errors!$I3004=0,
    'List of Error Codes'!$E$29,
    IFERROR(VLOOKUP(Errors!$I3004, 'List of Error Codes'!D3003:I3033, 6, FALSE), 'List of Error Codes'!$E$29)
)</f>
        <v>Please select ERROR CODE column "I"</v>
      </c>
      <c r="M3004" s="209"/>
      <c r="N3004" s="209"/>
      <c r="O3004" s="209"/>
      <c r="P3004" s="209"/>
      <c r="Q3004" s="209"/>
      <c r="R3004" s="217"/>
      <c r="S3004" s="217"/>
      <c r="T3004" s="217"/>
      <c r="U3004" s="199"/>
      <c r="V3004" s="200"/>
      <c r="W3004" s="200"/>
      <c r="X3004" s="200"/>
      <c r="Y3004" s="200"/>
      <c r="Z3004" s="200"/>
      <c r="AA3004" s="201"/>
      <c r="AB3004" s="200"/>
      <c r="AC3004" s="200"/>
    </row>
    <row r="3005" ht="15.75" customHeight="1">
      <c r="A3005" s="210">
        <f t="shared" si="1"/>
        <v>3003</v>
      </c>
      <c r="B3005" s="217"/>
      <c r="C3005" s="217" t="str">
        <f>IFERROR(VLOOKUP(B3005, SourceData!$U$3:$V$190, 2, FALSE), "")</f>
        <v/>
      </c>
      <c r="D3005" s="240"/>
      <c r="E3005" s="241"/>
      <c r="F3005" s="248"/>
      <c r="G3005" s="207"/>
      <c r="H3005" s="209"/>
      <c r="I3005" s="209"/>
      <c r="J3005" s="209"/>
      <c r="K3005" s="208" t="str">
        <f>IF(Errors!$I3005=0,SourceData!$B$42,VLOOKUP(Errors!$I3005,SourceData!$A$2:$B$40,2,FALSE))</f>
        <v>Please select ERROR CODE column "I"</v>
      </c>
      <c r="L3005" s="207" t="str">
        <f>IF(Errors!$I3005=0,
    'List of Error Codes'!$E$29,
    IFERROR(VLOOKUP(Errors!$I3005, 'List of Error Codes'!D3004:I3034, 6, FALSE), 'List of Error Codes'!$E$29)
)</f>
        <v>Please select ERROR CODE column "I"</v>
      </c>
      <c r="M3005" s="209"/>
      <c r="N3005" s="209"/>
      <c r="O3005" s="209"/>
      <c r="P3005" s="209"/>
      <c r="Q3005" s="209"/>
      <c r="R3005" s="217"/>
      <c r="S3005" s="217"/>
      <c r="T3005" s="217"/>
      <c r="U3005" s="199"/>
      <c r="V3005" s="200"/>
      <c r="W3005" s="200"/>
      <c r="X3005" s="200"/>
      <c r="Y3005" s="200"/>
      <c r="Z3005" s="200"/>
      <c r="AA3005" s="201"/>
      <c r="AB3005" s="200"/>
      <c r="AC3005" s="200"/>
    </row>
    <row r="3006" ht="15.75" customHeight="1">
      <c r="A3006" s="210">
        <f t="shared" si="1"/>
        <v>3004</v>
      </c>
      <c r="B3006" s="217"/>
      <c r="C3006" s="217" t="str">
        <f>IFERROR(VLOOKUP(B3006, SourceData!$U$3:$V$190, 2, FALSE), "")</f>
        <v/>
      </c>
      <c r="D3006" s="240"/>
      <c r="E3006" s="241"/>
      <c r="F3006" s="248"/>
      <c r="G3006" s="207"/>
      <c r="H3006" s="209"/>
      <c r="I3006" s="209"/>
      <c r="J3006" s="209"/>
      <c r="K3006" s="208" t="str">
        <f>IF(Errors!$I3006=0,SourceData!$B$42,VLOOKUP(Errors!$I3006,SourceData!$A$2:$B$40,2,FALSE))</f>
        <v>Please select ERROR CODE column "I"</v>
      </c>
      <c r="L3006" s="207" t="str">
        <f>IF(Errors!$I3006=0,
    'List of Error Codes'!$E$29,
    IFERROR(VLOOKUP(Errors!$I3006, 'List of Error Codes'!D3005:I3035, 6, FALSE), 'List of Error Codes'!$E$29)
)</f>
        <v>Please select ERROR CODE column "I"</v>
      </c>
      <c r="M3006" s="209"/>
      <c r="N3006" s="209"/>
      <c r="O3006" s="209"/>
      <c r="P3006" s="209"/>
      <c r="Q3006" s="209"/>
      <c r="R3006" s="217"/>
      <c r="S3006" s="217"/>
      <c r="T3006" s="217"/>
      <c r="U3006" s="199"/>
      <c r="V3006" s="200"/>
      <c r="W3006" s="200"/>
      <c r="X3006" s="200"/>
      <c r="Y3006" s="200"/>
      <c r="Z3006" s="200"/>
      <c r="AA3006" s="201"/>
      <c r="AB3006" s="200"/>
      <c r="AC3006" s="200"/>
    </row>
    <row r="3007" ht="15.75" customHeight="1">
      <c r="A3007" s="210">
        <f t="shared" si="1"/>
        <v>3005</v>
      </c>
      <c r="B3007" s="217"/>
      <c r="C3007" s="217" t="str">
        <f>IFERROR(VLOOKUP(B3007, SourceData!$U$3:$V$190, 2, FALSE), "")</f>
        <v/>
      </c>
      <c r="D3007" s="240"/>
      <c r="E3007" s="241"/>
      <c r="F3007" s="248"/>
      <c r="G3007" s="207"/>
      <c r="H3007" s="209"/>
      <c r="I3007" s="209"/>
      <c r="J3007" s="209"/>
      <c r="K3007" s="208" t="str">
        <f>IF(Errors!$I3007=0,SourceData!$B$42,VLOOKUP(Errors!$I3007,SourceData!$A$2:$B$40,2,FALSE))</f>
        <v>Please select ERROR CODE column "I"</v>
      </c>
      <c r="L3007" s="207" t="str">
        <f>IF(Errors!$I3007=0,
    'List of Error Codes'!$E$29,
    IFERROR(VLOOKUP(Errors!$I3007, 'List of Error Codes'!D3006:I3036, 6, FALSE), 'List of Error Codes'!$E$29)
)</f>
        <v>Please select ERROR CODE column "I"</v>
      </c>
      <c r="M3007" s="209"/>
      <c r="N3007" s="209"/>
      <c r="O3007" s="209"/>
      <c r="P3007" s="209"/>
      <c r="Q3007" s="209"/>
      <c r="R3007" s="217"/>
      <c r="S3007" s="217"/>
      <c r="T3007" s="217"/>
      <c r="U3007" s="199"/>
      <c r="V3007" s="200"/>
      <c r="W3007" s="200"/>
      <c r="X3007" s="200"/>
      <c r="Y3007" s="200"/>
      <c r="Z3007" s="200"/>
      <c r="AA3007" s="201"/>
      <c r="AB3007" s="200"/>
      <c r="AC3007" s="200"/>
    </row>
    <row r="3008" ht="15.75" customHeight="1">
      <c r="A3008" s="210">
        <f t="shared" si="1"/>
        <v>3006</v>
      </c>
      <c r="B3008" s="217"/>
      <c r="C3008" s="217" t="str">
        <f>IFERROR(VLOOKUP(B3008, SourceData!$U$3:$V$190, 2, FALSE), "")</f>
        <v/>
      </c>
      <c r="D3008" s="240"/>
      <c r="E3008" s="241"/>
      <c r="F3008" s="248"/>
      <c r="G3008" s="207"/>
      <c r="H3008" s="209"/>
      <c r="I3008" s="209"/>
      <c r="J3008" s="209"/>
      <c r="K3008" s="208" t="str">
        <f>IF(Errors!$I3008=0,SourceData!$B$42,VLOOKUP(Errors!$I3008,SourceData!$A$2:$B$40,2,FALSE))</f>
        <v>Please select ERROR CODE column "I"</v>
      </c>
      <c r="L3008" s="207" t="str">
        <f>IF(Errors!$I3008=0,
    'List of Error Codes'!$E$29,
    IFERROR(VLOOKUP(Errors!$I3008, 'List of Error Codes'!D3007:I3037, 6, FALSE), 'List of Error Codes'!$E$29)
)</f>
        <v>Please select ERROR CODE column "I"</v>
      </c>
      <c r="M3008" s="209"/>
      <c r="N3008" s="209"/>
      <c r="O3008" s="209"/>
      <c r="P3008" s="209"/>
      <c r="Q3008" s="209"/>
      <c r="R3008" s="217"/>
      <c r="S3008" s="217"/>
      <c r="T3008" s="217"/>
      <c r="U3008" s="199"/>
      <c r="V3008" s="200"/>
      <c r="W3008" s="200"/>
      <c r="X3008" s="200"/>
      <c r="Y3008" s="200"/>
      <c r="Z3008" s="200"/>
      <c r="AA3008" s="201"/>
      <c r="AB3008" s="263"/>
      <c r="AC3008" s="263"/>
    </row>
  </sheetData>
  <conditionalFormatting sqref="C185 C190 C193">
    <cfRule type="expression" dxfId="8" priority="1">
      <formula>COUNTIF($V:$V, C185) &gt; 1</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P597:Q597 P628:Q631 O629 P670:Q670 O693:Q697">
    <cfRule type="containsText" dxfId="9" priority="2" operator="containsText" text="No">
      <formula>NOT(ISERROR(SEARCH(("No"),(N3))))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P597:Q597 P628:Q631 O629 P670:Q670 O693:Q697">
    <cfRule type="containsText" dxfId="9" priority="3" operator="containsText" text="No">
      <formula>NOT(ISERROR(SEARCH(("No"),(N3))))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P597:Q597 P628:Q631 O629 P670:Q670 O693:Q697">
    <cfRule type="containsText" dxfId="9" priority="4" operator="containsText" text="No">
      <formula>NOT(ISERROR(SEARCH(("No"),(N3))))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P597:Q597 P628:Q631 O629 P670:Q670 O693:Q697">
    <cfRule type="containsText" dxfId="2" priority="5" operator="containsText" text="Yes">
      <formula>NOT(ISERROR(SEARCH(("Yes"),(N3))))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P597:Q597 P628:Q631 O629 P670:Q670 O693:Q697">
    <cfRule type="containsText" dxfId="2" priority="6" operator="containsText" text="Yes">
      <formula>NOT(ISERROR(SEARCH(("Yes"),(N3))))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P597:Q597 P628:Q631 O629 P670:Q670 O693:Q697">
    <cfRule type="containsText" dxfId="2" priority="7" operator="containsText" text="Yes">
      <formula>NOT(ISERROR(SEARCH(("Yes"),(N3))))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P597:Q597 P628:Q631 O629 P670:Q670 O693:Q697">
    <cfRule type="containsText" dxfId="2" priority="8" operator="containsText" text="Yes">
      <formula>NOT(ISERROR(SEARCH(("Yes"),(N3))))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P597:Q597 P628:Q631 O629 P670:Q670 O693:Q697">
    <cfRule type="containsText" dxfId="2" priority="9" operator="containsText" text="Yes">
      <formula>NOT(ISERROR(SEARCH(("Yes"),(N3))))</formula>
    </cfRule>
  </conditionalFormatting>
  <conditionalFormatting sqref="N3:Q3008 U204:V204">
    <cfRule type="containsText" dxfId="9" priority="10" operator="containsText" text="No">
      <formula>NOT(ISERROR(SEARCH(("No"),(N3))))</formula>
    </cfRule>
  </conditionalFormatting>
  <conditionalFormatting sqref="N877:O877 N880:O880 N883:O883 N893:O894 O819 O833:O834 O845:O846 O854 O856 O861:O862 O865:O866 O873 Q819 Q833:Q834 Q865:Q866 Q877 Q880 Q883">
    <cfRule type="containsText" dxfId="9" priority="11" operator="containsText" text="No">
      <formula>NOT(ISERROR(SEARCH(("No"),(N877))))</formula>
    </cfRule>
  </conditionalFormatting>
  <conditionalFormatting sqref="N36:N56 N58:N83 N85:N87 N89:N91 N96:N99 N102:N109 N112:N113 N115:N118 N121:N126 N128:N133 N136:N139 N142:N143 N146:N152 N154 N159 N161">
    <cfRule type="containsText" dxfId="9" priority="12" operator="containsText" text="No">
      <formula>NOT(ISERROR(SEARCH(("No"),(N36))))</formula>
    </cfRule>
  </conditionalFormatting>
  <conditionalFormatting sqref="N88:N89 N91:N96 N100:N101 N153 N155:N158 P155:Q155 N160 N162:N214 O165:Q165 O170:Q170 O203 O205:O214">
    <cfRule type="containsText" dxfId="9" priority="13" operator="containsText" text="No">
      <formula>NOT(ISERROR(SEARCH(("No"),(N88))))</formula>
    </cfRule>
  </conditionalFormatting>
  <conditionalFormatting sqref="N88:N89 N91:N96 N100:N101 N122:N133 Q122:Q126 Q128:Q133 N136:N139 Q136:Q139 N142:N143 Q142:Q143 N146:N214 Q146:Q149 Q151:Q152 Q154:Q155 P155 Q159 Q161:Q162 Q164:Q167 O165:P165 O170:Q170 Q172 Q174 Q176 Q180:Q182 Q184 O203 O205:O214 N230:N234 Q230:Q234 N237:N275 Q237:Q252 Q272:Q273 N285 N287:N292 N294:N409 O296 P362:Q362 Q364 Q367 O378 Q378:Q380 O380 O383 Q383 Q386:Q388 Q391:Q392 Q395 N587:O589 N591:O591 N593:N794 O593 O595:O794 P597:Q598 P628:Q631 P670:Q670 P693:Q697 P704:Q704 Q741:Q750 P759:Q762 P770:Q770 P773:Q773 P782:Q782 P784:Q785 N816 N819 N831 N833:N834 N845:N846 N854 N856 N860:N862 N865:N866 N868 N1431">
    <cfRule type="containsText" dxfId="9" priority="14" operator="containsText" text="No">
      <formula>NOT(ISERROR(SEARCH(("No"),(N88))))</formula>
    </cfRule>
  </conditionalFormatting>
  <conditionalFormatting sqref="N801:N803">
    <cfRule type="containsText" dxfId="9" priority="15" operator="containsText" text="No">
      <formula>NOT(ISERROR(SEARCH(("No"),(N801))))</formula>
    </cfRule>
  </conditionalFormatting>
  <conditionalFormatting sqref="N801:N803">
    <cfRule type="containsText" dxfId="2" priority="16" operator="containsText" text="Yes">
      <formula>NOT(ISERROR(SEARCH(("Yes"),(N801))))</formula>
    </cfRule>
  </conditionalFormatting>
  <conditionalFormatting sqref="N805">
    <cfRule type="containsText" dxfId="9" priority="17" operator="containsText" text="No">
      <formula>NOT(ISERROR(SEARCH(("No"),(N805))))</formula>
    </cfRule>
  </conditionalFormatting>
  <conditionalFormatting sqref="N805">
    <cfRule type="containsText" dxfId="2" priority="18" operator="containsText" text="Yes">
      <formula>NOT(ISERROR(SEARCH(("Yes"),(N805))))</formula>
    </cfRule>
  </conditionalFormatting>
  <conditionalFormatting sqref="N873">
    <cfRule type="containsText" dxfId="9" priority="19" operator="containsText" text="No">
      <formula>NOT(ISERROR(SEARCH(("No"),(N873))))</formula>
    </cfRule>
  </conditionalFormatting>
  <conditionalFormatting sqref="N873">
    <cfRule type="containsText" dxfId="2" priority="20" operator="containsText" text="Yes">
      <formula>NOT(ISERROR(SEARCH(("Yes"),(N873))))</formula>
    </cfRule>
  </conditionalFormatting>
  <conditionalFormatting sqref="N887:N888">
    <cfRule type="containsText" dxfId="9" priority="21" operator="containsText" text="No">
      <formula>NOT(ISERROR(SEARCH(("No"),(N887))))</formula>
    </cfRule>
  </conditionalFormatting>
  <conditionalFormatting sqref="N887:N888">
    <cfRule type="containsText" dxfId="2" priority="22" operator="containsText" text="Yes">
      <formula>NOT(ISERROR(SEARCH(("Yes"),(N887))))</formula>
    </cfRule>
  </conditionalFormatting>
  <conditionalFormatting sqref="N901">
    <cfRule type="containsText" dxfId="9" priority="23" operator="containsText" text="No">
      <formula>NOT(ISERROR(SEARCH(("No"),(N901))))</formula>
    </cfRule>
  </conditionalFormatting>
  <conditionalFormatting sqref="N901">
    <cfRule type="containsText" dxfId="2" priority="24" operator="containsText" text="Yes">
      <formula>NOT(ISERROR(SEARCH(("Yes"),(N901))))</formula>
    </cfRule>
  </conditionalFormatting>
  <conditionalFormatting sqref="N904">
    <cfRule type="containsText" dxfId="9" priority="25" operator="containsText" text="No">
      <formula>NOT(ISERROR(SEARCH(("No"),(N904))))</formula>
    </cfRule>
  </conditionalFormatting>
  <conditionalFormatting sqref="N904">
    <cfRule type="containsText" dxfId="2" priority="26" operator="containsText" text="Yes">
      <formula>NOT(ISERROR(SEARCH(("Yes"),(N904))))</formula>
    </cfRule>
  </conditionalFormatting>
  <conditionalFormatting sqref="N908">
    <cfRule type="containsText" dxfId="9" priority="27" operator="containsText" text="No">
      <formula>NOT(ISERROR(SEARCH(("No"),(N908))))</formula>
    </cfRule>
  </conditionalFormatting>
  <conditionalFormatting sqref="N908">
    <cfRule type="containsText" dxfId="2" priority="28" operator="containsText" text="Yes">
      <formula>NOT(ISERROR(SEARCH(("Yes"),(N908))))</formula>
    </cfRule>
  </conditionalFormatting>
  <conditionalFormatting sqref="N930">
    <cfRule type="containsText" dxfId="9" priority="29" operator="containsText" text="No">
      <formula>NOT(ISERROR(SEARCH(("No"),(N930))))</formula>
    </cfRule>
  </conditionalFormatting>
  <conditionalFormatting sqref="N930">
    <cfRule type="containsText" dxfId="2" priority="30" operator="containsText" text="Yes">
      <formula>NOT(ISERROR(SEARCH(("Yes"),(N930))))</formula>
    </cfRule>
  </conditionalFormatting>
  <conditionalFormatting sqref="N930">
    <cfRule type="containsText" dxfId="9" priority="31" operator="containsText" text="No">
      <formula>NOT(ISERROR(SEARCH(("No"),(N930))))</formula>
    </cfRule>
  </conditionalFormatting>
  <conditionalFormatting sqref="N930">
    <cfRule type="containsText" dxfId="2" priority="32" operator="containsText" text="Yes">
      <formula>NOT(ISERROR(SEARCH(("Yes"),(N930))))</formula>
    </cfRule>
  </conditionalFormatting>
  <conditionalFormatting sqref="N930">
    <cfRule type="containsText" dxfId="9" priority="33" operator="containsText" text="No">
      <formula>NOT(ISERROR(SEARCH(("No"),(N930))))</formula>
    </cfRule>
  </conditionalFormatting>
  <conditionalFormatting sqref="N930">
    <cfRule type="containsText" dxfId="2" priority="34" operator="containsText" text="Yes">
      <formula>NOT(ISERROR(SEARCH(("Yes"),(N930))))</formula>
    </cfRule>
  </conditionalFormatting>
  <conditionalFormatting sqref="N932:N934">
    <cfRule type="containsText" dxfId="9" priority="35" operator="containsText" text="No">
      <formula>NOT(ISERROR(SEARCH(("No"),(N932))))</formula>
    </cfRule>
  </conditionalFormatting>
  <conditionalFormatting sqref="N932:N934">
    <cfRule type="containsText" dxfId="2" priority="36" operator="containsText" text="Yes">
      <formula>NOT(ISERROR(SEARCH(("Yes"),(N932))))</formula>
    </cfRule>
  </conditionalFormatting>
  <conditionalFormatting sqref="N932:N934">
    <cfRule type="containsText" dxfId="9" priority="37" operator="containsText" text="No">
      <formula>NOT(ISERROR(SEARCH(("No"),(N932))))</formula>
    </cfRule>
  </conditionalFormatting>
  <conditionalFormatting sqref="N932:N934">
    <cfRule type="containsText" dxfId="2" priority="38" operator="containsText" text="Yes">
      <formula>NOT(ISERROR(SEARCH(("Yes"),(N932))))</formula>
    </cfRule>
  </conditionalFormatting>
  <conditionalFormatting sqref="N932:N934">
    <cfRule type="containsText" dxfId="9" priority="39" operator="containsText" text="No">
      <formula>NOT(ISERROR(SEARCH(("No"),(N932))))</formula>
    </cfRule>
  </conditionalFormatting>
  <conditionalFormatting sqref="N932:N934">
    <cfRule type="containsText" dxfId="2" priority="40" operator="containsText" text="Yes">
      <formula>NOT(ISERROR(SEARCH(("Yes"),(N932))))</formula>
    </cfRule>
  </conditionalFormatting>
  <conditionalFormatting sqref="N941">
    <cfRule type="containsText" dxfId="9" priority="41" operator="containsText" text="No">
      <formula>NOT(ISERROR(SEARCH(("No"),(N941))))</formula>
    </cfRule>
  </conditionalFormatting>
  <conditionalFormatting sqref="N941">
    <cfRule type="containsText" dxfId="2" priority="42" operator="containsText" text="Yes">
      <formula>NOT(ISERROR(SEARCH(("Yes"),(N941))))</formula>
    </cfRule>
  </conditionalFormatting>
  <conditionalFormatting sqref="N946">
    <cfRule type="containsText" dxfId="9" priority="43" operator="containsText" text="No">
      <formula>NOT(ISERROR(SEARCH(("No"),(N946))))</formula>
    </cfRule>
  </conditionalFormatting>
  <conditionalFormatting sqref="N946">
    <cfRule type="containsText" dxfId="2" priority="44" operator="containsText" text="Yes">
      <formula>NOT(ISERROR(SEARCH(("Yes"),(N946))))</formula>
    </cfRule>
  </conditionalFormatting>
  <conditionalFormatting sqref="N949">
    <cfRule type="containsText" dxfId="9" priority="45" operator="containsText" text="No">
      <formula>NOT(ISERROR(SEARCH(("No"),(N949))))</formula>
    </cfRule>
  </conditionalFormatting>
  <conditionalFormatting sqref="N949">
    <cfRule type="containsText" dxfId="2" priority="46" operator="containsText" text="Yes">
      <formula>NOT(ISERROR(SEARCH(("Yes"),(N949))))</formula>
    </cfRule>
  </conditionalFormatting>
  <conditionalFormatting sqref="N976:N977">
    <cfRule type="containsText" dxfId="9" priority="47" operator="containsText" text="No">
      <formula>NOT(ISERROR(SEARCH(("No"),(N976))))</formula>
    </cfRule>
  </conditionalFormatting>
  <conditionalFormatting sqref="N976:N977">
    <cfRule type="containsText" dxfId="2" priority="48" operator="containsText" text="Yes">
      <formula>NOT(ISERROR(SEARCH(("Yes"),(N976))))</formula>
    </cfRule>
  </conditionalFormatting>
  <conditionalFormatting sqref="N978:N993">
    <cfRule type="containsText" dxfId="9" priority="49" operator="containsText" text="No">
      <formula>NOT(ISERROR(SEARCH(("No"),(N978))))</formula>
    </cfRule>
  </conditionalFormatting>
  <conditionalFormatting sqref="N978:N993">
    <cfRule type="containsText" dxfId="9" priority="50" operator="containsText" text="No">
      <formula>NOT(ISERROR(SEARCH(("No"),(N978))))</formula>
    </cfRule>
  </conditionalFormatting>
  <conditionalFormatting sqref="N978:N993">
    <cfRule type="containsText" dxfId="2" priority="51" operator="containsText" text="Yes">
      <formula>NOT(ISERROR(SEARCH(("Yes"),(N978))))</formula>
    </cfRule>
  </conditionalFormatting>
  <conditionalFormatting sqref="N978:N993">
    <cfRule type="containsText" dxfId="2" priority="52" operator="containsText" text="Yes">
      <formula>NOT(ISERROR(SEARCH(("Yes"),(N978))))</formula>
    </cfRule>
  </conditionalFormatting>
  <conditionalFormatting sqref="N978:N993">
    <cfRule type="containsText" dxfId="9" priority="53" operator="containsText" text="No">
      <formula>NOT(ISERROR(SEARCH(("No"),(N978))))</formula>
    </cfRule>
  </conditionalFormatting>
  <conditionalFormatting sqref="N978:N993">
    <cfRule type="containsText" dxfId="2" priority="54" operator="containsText" text="Yes">
      <formula>NOT(ISERROR(SEARCH(("Yes"),(N978))))</formula>
    </cfRule>
  </conditionalFormatting>
  <conditionalFormatting sqref="N978:N993">
    <cfRule type="containsText" dxfId="9" priority="55" operator="containsText" text="No">
      <formula>NOT(ISERROR(SEARCH(("No"),(N978))))</formula>
    </cfRule>
  </conditionalFormatting>
  <conditionalFormatting sqref="N978:N993">
    <cfRule type="containsText" dxfId="2" priority="56" operator="containsText" text="Yes">
      <formula>NOT(ISERROR(SEARCH(("Yes"),(N978))))</formula>
    </cfRule>
  </conditionalFormatting>
  <conditionalFormatting sqref="N978:N993">
    <cfRule type="containsText" dxfId="9" priority="57" operator="containsText" text="No">
      <formula>NOT(ISERROR(SEARCH(("No"),(N978))))</formula>
    </cfRule>
  </conditionalFormatting>
  <conditionalFormatting sqref="N978:N993">
    <cfRule type="containsText" dxfId="2" priority="58" operator="containsText" text="Yes">
      <formula>NOT(ISERROR(SEARCH(("Yes"),(N978))))</formula>
    </cfRule>
  </conditionalFormatting>
  <conditionalFormatting sqref="N995:N997">
    <cfRule type="containsText" dxfId="9" priority="59" operator="containsText" text="No">
      <formula>NOT(ISERROR(SEARCH(("No"),(N995))))</formula>
    </cfRule>
  </conditionalFormatting>
  <conditionalFormatting sqref="N995:N997">
    <cfRule type="containsText" dxfId="2" priority="60" operator="containsText" text="Yes">
      <formula>NOT(ISERROR(SEARCH(("Yes"),(N995))))</formula>
    </cfRule>
  </conditionalFormatting>
  <conditionalFormatting sqref="N998">
    <cfRule type="containsText" dxfId="9" priority="61" operator="containsText" text="No">
      <formula>NOT(ISERROR(SEARCH(("No"),(N998))))</formula>
    </cfRule>
  </conditionalFormatting>
  <conditionalFormatting sqref="N998">
    <cfRule type="containsText" dxfId="2" priority="62" operator="containsText" text="Yes">
      <formula>NOT(ISERROR(SEARCH(("Yes"),(N998))))</formula>
    </cfRule>
  </conditionalFormatting>
  <conditionalFormatting sqref="N999:N1003">
    <cfRule type="containsText" dxfId="9" priority="63" operator="containsText" text="No">
      <formula>NOT(ISERROR(SEARCH(("No"),(N999))))</formula>
    </cfRule>
  </conditionalFormatting>
  <conditionalFormatting sqref="N999:N1003">
    <cfRule type="containsText" dxfId="2" priority="64" operator="containsText" text="Yes">
      <formula>NOT(ISERROR(SEARCH(("Yes"),(N999))))</formula>
    </cfRule>
  </conditionalFormatting>
  <conditionalFormatting sqref="N1004">
    <cfRule type="containsText" dxfId="9" priority="65" operator="containsText" text="No">
      <formula>NOT(ISERROR(SEARCH(("No"),(N1004))))</formula>
    </cfRule>
  </conditionalFormatting>
  <conditionalFormatting sqref="N1004">
    <cfRule type="containsText" dxfId="2" priority="66" operator="containsText" text="Yes">
      <formula>NOT(ISERROR(SEARCH(("Yes"),(N1004))))</formula>
    </cfRule>
  </conditionalFormatting>
  <conditionalFormatting sqref="N1005:N1006">
    <cfRule type="containsText" dxfId="9" priority="67" operator="containsText" text="No">
      <formula>NOT(ISERROR(SEARCH(("No"),(N1005))))</formula>
    </cfRule>
  </conditionalFormatting>
  <conditionalFormatting sqref="N1005:N1006">
    <cfRule type="containsText" dxfId="2" priority="68" operator="containsText" text="Yes">
      <formula>NOT(ISERROR(SEARCH(("Yes"),(N1005))))</formula>
    </cfRule>
  </conditionalFormatting>
  <conditionalFormatting sqref="N1007">
    <cfRule type="containsText" dxfId="9" priority="69" operator="containsText" text="No">
      <formula>NOT(ISERROR(SEARCH(("No"),(N1007))))</formula>
    </cfRule>
  </conditionalFormatting>
  <conditionalFormatting sqref="N1007">
    <cfRule type="containsText" dxfId="2" priority="70" operator="containsText" text="Yes">
      <formula>NOT(ISERROR(SEARCH(("Yes"),(N1007))))</formula>
    </cfRule>
  </conditionalFormatting>
  <conditionalFormatting sqref="N1008:N1010">
    <cfRule type="containsText" dxfId="9" priority="71" operator="containsText" text="No">
      <formula>NOT(ISERROR(SEARCH(("No"),(N1008))))</formula>
    </cfRule>
  </conditionalFormatting>
  <conditionalFormatting sqref="N1008:N1010">
    <cfRule type="containsText" dxfId="2" priority="72" operator="containsText" text="Yes">
      <formula>NOT(ISERROR(SEARCH(("Yes"),(N1008))))</formula>
    </cfRule>
  </conditionalFormatting>
  <conditionalFormatting sqref="N1011">
    <cfRule type="containsText" dxfId="9" priority="73" operator="containsText" text="No">
      <formula>NOT(ISERROR(SEARCH(("No"),(N1011))))</formula>
    </cfRule>
  </conditionalFormatting>
  <conditionalFormatting sqref="N1011">
    <cfRule type="containsText" dxfId="2" priority="74" operator="containsText" text="Yes">
      <formula>NOT(ISERROR(SEARCH(("Yes"),(N1011))))</formula>
    </cfRule>
  </conditionalFormatting>
  <conditionalFormatting sqref="N1012">
    <cfRule type="containsText" dxfId="9" priority="75" operator="containsText" text="No">
      <formula>NOT(ISERROR(SEARCH(("No"),(N1012))))</formula>
    </cfRule>
  </conditionalFormatting>
  <conditionalFormatting sqref="N1012">
    <cfRule type="containsText" dxfId="2" priority="76" operator="containsText" text="Yes">
      <formula>NOT(ISERROR(SEARCH(("Yes"),(N1012))))</formula>
    </cfRule>
  </conditionalFormatting>
  <conditionalFormatting sqref="N1014">
    <cfRule type="containsText" dxfId="9" priority="77" operator="containsText" text="No">
      <formula>NOT(ISERROR(SEARCH(("No"),(N1014))))</formula>
    </cfRule>
  </conditionalFormatting>
  <conditionalFormatting sqref="N1014">
    <cfRule type="containsText" dxfId="2" priority="78" operator="containsText" text="Yes">
      <formula>NOT(ISERROR(SEARCH(("Yes"),(N1014))))</formula>
    </cfRule>
  </conditionalFormatting>
  <conditionalFormatting sqref="N1015">
    <cfRule type="containsText" dxfId="9" priority="79" operator="containsText" text="No">
      <formula>NOT(ISERROR(SEARCH(("No"),(N1015))))</formula>
    </cfRule>
  </conditionalFormatting>
  <conditionalFormatting sqref="N1015">
    <cfRule type="containsText" dxfId="2" priority="80" operator="containsText" text="Yes">
      <formula>NOT(ISERROR(SEARCH(("Yes"),(N1015))))</formula>
    </cfRule>
  </conditionalFormatting>
  <conditionalFormatting sqref="N1018">
    <cfRule type="containsText" dxfId="9" priority="81" operator="containsText" text="No">
      <formula>NOT(ISERROR(SEARCH(("No"),(N1018))))</formula>
    </cfRule>
  </conditionalFormatting>
  <conditionalFormatting sqref="N1018">
    <cfRule type="containsText" dxfId="2" priority="82" operator="containsText" text="Yes">
      <formula>NOT(ISERROR(SEARCH(("Yes"),(N1018))))</formula>
    </cfRule>
  </conditionalFormatting>
  <conditionalFormatting sqref="N1019">
    <cfRule type="containsText" dxfId="9" priority="83" operator="containsText" text="No">
      <formula>NOT(ISERROR(SEARCH(("No"),(N1019))))</formula>
    </cfRule>
  </conditionalFormatting>
  <conditionalFormatting sqref="N1019">
    <cfRule type="containsText" dxfId="2" priority="84" operator="containsText" text="Yes">
      <formula>NOT(ISERROR(SEARCH(("Yes"),(N1019))))</formula>
    </cfRule>
  </conditionalFormatting>
  <conditionalFormatting sqref="N1020:N1022">
    <cfRule type="containsText" dxfId="9" priority="85" operator="containsText" text="No">
      <formula>NOT(ISERROR(SEARCH(("No"),(N1020))))</formula>
    </cfRule>
  </conditionalFormatting>
  <conditionalFormatting sqref="N1020:N1022">
    <cfRule type="containsText" dxfId="2" priority="86" operator="containsText" text="Yes">
      <formula>NOT(ISERROR(SEARCH(("Yes"),(N1020))))</formula>
    </cfRule>
  </conditionalFormatting>
  <conditionalFormatting sqref="N1023">
    <cfRule type="containsText" dxfId="9" priority="87" operator="containsText" text="No">
      <formula>NOT(ISERROR(SEARCH(("No"),(N1023))))</formula>
    </cfRule>
  </conditionalFormatting>
  <conditionalFormatting sqref="N1023">
    <cfRule type="containsText" dxfId="2" priority="88" operator="containsText" text="Yes">
      <formula>NOT(ISERROR(SEARCH(("Yes"),(N1023))))</formula>
    </cfRule>
  </conditionalFormatting>
  <conditionalFormatting sqref="N1024:N1026">
    <cfRule type="containsText" dxfId="9" priority="89" operator="containsText" text="No">
      <formula>NOT(ISERROR(SEARCH(("No"),(N1024))))</formula>
    </cfRule>
  </conditionalFormatting>
  <conditionalFormatting sqref="N1024:N1026">
    <cfRule type="containsText" dxfId="2" priority="90" operator="containsText" text="Yes">
      <formula>NOT(ISERROR(SEARCH(("Yes"),(N1024))))</formula>
    </cfRule>
  </conditionalFormatting>
  <conditionalFormatting sqref="N1029:N1032">
    <cfRule type="containsText" dxfId="9" priority="91" operator="containsText" text="No">
      <formula>NOT(ISERROR(SEARCH(("No"),(N1029))))</formula>
    </cfRule>
  </conditionalFormatting>
  <conditionalFormatting sqref="N1029:N1032">
    <cfRule type="containsText" dxfId="2" priority="92" operator="containsText" text="Yes">
      <formula>NOT(ISERROR(SEARCH(("Yes"),(N1029))))</formula>
    </cfRule>
  </conditionalFormatting>
  <conditionalFormatting sqref="N1033:N1034">
    <cfRule type="containsText" dxfId="9" priority="93" operator="containsText" text="No">
      <formula>NOT(ISERROR(SEARCH(("No"),(N1033))))</formula>
    </cfRule>
  </conditionalFormatting>
  <conditionalFormatting sqref="N1033:N1034">
    <cfRule type="containsText" dxfId="2" priority="94" operator="containsText" text="Yes">
      <formula>NOT(ISERROR(SEARCH(("Yes"),(N1033))))</formula>
    </cfRule>
  </conditionalFormatting>
  <conditionalFormatting sqref="N1035:N1050">
    <cfRule type="containsText" dxfId="9" priority="95" operator="containsText" text="No">
      <formula>NOT(ISERROR(SEARCH(("No"),(N1035))))</formula>
    </cfRule>
  </conditionalFormatting>
  <conditionalFormatting sqref="N1035:N1050">
    <cfRule type="containsText" dxfId="2" priority="96" operator="containsText" text="Yes">
      <formula>NOT(ISERROR(SEARCH(("Yes"),(N1035))))</formula>
    </cfRule>
  </conditionalFormatting>
  <conditionalFormatting sqref="N1052:N1053">
    <cfRule type="containsText" dxfId="9" priority="97" operator="containsText" text="No">
      <formula>NOT(ISERROR(SEARCH(("No"),(N1052))))</formula>
    </cfRule>
  </conditionalFormatting>
  <conditionalFormatting sqref="N1052:N1053">
    <cfRule type="containsText" dxfId="2" priority="98" operator="containsText" text="Yes">
      <formula>NOT(ISERROR(SEARCH(("Yes"),(N1052))))</formula>
    </cfRule>
  </conditionalFormatting>
  <conditionalFormatting sqref="N1052:N1053">
    <cfRule type="containsText" dxfId="9" priority="99" operator="containsText" text="No">
      <formula>NOT(ISERROR(SEARCH(("No"),(N1052))))</formula>
    </cfRule>
  </conditionalFormatting>
  <conditionalFormatting sqref="N1052:N1053">
    <cfRule type="containsText" dxfId="9" priority="100" operator="containsText" text="No">
      <formula>NOT(ISERROR(SEARCH(("No"),(N1052))))</formula>
    </cfRule>
  </conditionalFormatting>
  <conditionalFormatting sqref="N1052:N1053">
    <cfRule type="containsText" dxfId="2" priority="101" operator="containsText" text="Yes">
      <formula>NOT(ISERROR(SEARCH(("Yes"),(N1052))))</formula>
    </cfRule>
  </conditionalFormatting>
  <conditionalFormatting sqref="N1052:N1053">
    <cfRule type="containsText" dxfId="2" priority="102" operator="containsText" text="Yes">
      <formula>NOT(ISERROR(SEARCH(("Yes"),(N1052))))</formula>
    </cfRule>
  </conditionalFormatting>
  <conditionalFormatting sqref="N1052:N1053">
    <cfRule type="containsText" dxfId="9" priority="103" operator="containsText" text="No">
      <formula>NOT(ISERROR(SEARCH(("No"),(N1052))))</formula>
    </cfRule>
  </conditionalFormatting>
  <conditionalFormatting sqref="N1052:N1053">
    <cfRule type="containsText" dxfId="2" priority="104" operator="containsText" text="Yes">
      <formula>NOT(ISERROR(SEARCH(("Yes"),(N1052))))</formula>
    </cfRule>
  </conditionalFormatting>
  <conditionalFormatting sqref="N1052:N1053">
    <cfRule type="containsText" dxfId="9" priority="105" operator="containsText" text="No">
      <formula>NOT(ISERROR(SEARCH(("No"),(N1052))))</formula>
    </cfRule>
  </conditionalFormatting>
  <conditionalFormatting sqref="N1052:N1053">
    <cfRule type="containsText" dxfId="2" priority="106" operator="containsText" text="Yes">
      <formula>NOT(ISERROR(SEARCH(("Yes"),(N1052))))</formula>
    </cfRule>
  </conditionalFormatting>
  <conditionalFormatting sqref="N1052:N1053">
    <cfRule type="containsText" dxfId="9" priority="107" operator="containsText" text="No">
      <formula>NOT(ISERROR(SEARCH(("No"),(N1052))))</formula>
    </cfRule>
  </conditionalFormatting>
  <conditionalFormatting sqref="N1052:N1053">
    <cfRule type="containsText" dxfId="2" priority="108" operator="containsText" text="Yes">
      <formula>NOT(ISERROR(SEARCH(("Yes"),(N1052))))</formula>
    </cfRule>
  </conditionalFormatting>
  <conditionalFormatting sqref="N1055:N1057">
    <cfRule type="containsText" dxfId="9" priority="109" operator="containsText" text="No">
      <formula>NOT(ISERROR(SEARCH(("No"),(N1055))))</formula>
    </cfRule>
  </conditionalFormatting>
  <conditionalFormatting sqref="N1055:N1057">
    <cfRule type="containsText" dxfId="2" priority="110" operator="containsText" text="Yes">
      <formula>NOT(ISERROR(SEARCH(("Yes"),(N1055))))</formula>
    </cfRule>
  </conditionalFormatting>
  <conditionalFormatting sqref="N1055:N1057">
    <cfRule type="containsText" dxfId="9" priority="111" operator="containsText" text="No">
      <formula>NOT(ISERROR(SEARCH(("No"),(N1055))))</formula>
    </cfRule>
  </conditionalFormatting>
  <conditionalFormatting sqref="N1055:N1057">
    <cfRule type="containsText" dxfId="9" priority="112" operator="containsText" text="No">
      <formula>NOT(ISERROR(SEARCH(("No"),(N1055))))</formula>
    </cfRule>
  </conditionalFormatting>
  <conditionalFormatting sqref="N1055:N1057">
    <cfRule type="containsText" dxfId="2" priority="113" operator="containsText" text="Yes">
      <formula>NOT(ISERROR(SEARCH(("Yes"),(N1055))))</formula>
    </cfRule>
  </conditionalFormatting>
  <conditionalFormatting sqref="N1055:N1057">
    <cfRule type="containsText" dxfId="2" priority="114" operator="containsText" text="Yes">
      <formula>NOT(ISERROR(SEARCH(("Yes"),(N1055))))</formula>
    </cfRule>
  </conditionalFormatting>
  <conditionalFormatting sqref="N1055:N1057">
    <cfRule type="containsText" dxfId="9" priority="115" operator="containsText" text="No">
      <formula>NOT(ISERROR(SEARCH(("No"),(N1055))))</formula>
    </cfRule>
  </conditionalFormatting>
  <conditionalFormatting sqref="N1055:N1057">
    <cfRule type="containsText" dxfId="2" priority="116" operator="containsText" text="Yes">
      <formula>NOT(ISERROR(SEARCH(("Yes"),(N1055))))</formula>
    </cfRule>
  </conditionalFormatting>
  <conditionalFormatting sqref="N1055:N1057">
    <cfRule type="containsText" dxfId="9" priority="117" operator="containsText" text="No">
      <formula>NOT(ISERROR(SEARCH(("No"),(N1055))))</formula>
    </cfRule>
  </conditionalFormatting>
  <conditionalFormatting sqref="N1055:N1057">
    <cfRule type="containsText" dxfId="2" priority="118" operator="containsText" text="Yes">
      <formula>NOT(ISERROR(SEARCH(("Yes"),(N1055))))</formula>
    </cfRule>
  </conditionalFormatting>
  <conditionalFormatting sqref="N1055:N1057">
    <cfRule type="containsText" dxfId="9" priority="119" operator="containsText" text="No">
      <formula>NOT(ISERROR(SEARCH(("No"),(N1055))))</formula>
    </cfRule>
  </conditionalFormatting>
  <conditionalFormatting sqref="N1055:N1057">
    <cfRule type="containsText" dxfId="2" priority="120" operator="containsText" text="Yes">
      <formula>NOT(ISERROR(SEARCH(("Yes"),(N1055))))</formula>
    </cfRule>
  </conditionalFormatting>
  <conditionalFormatting sqref="N1060">
    <cfRule type="containsText" dxfId="9" priority="121" operator="containsText" text="No">
      <formula>NOT(ISERROR(SEARCH(("No"),(N1060))))</formula>
    </cfRule>
  </conditionalFormatting>
  <conditionalFormatting sqref="N1060">
    <cfRule type="containsText" dxfId="2" priority="122" operator="containsText" text="Yes">
      <formula>NOT(ISERROR(SEARCH(("Yes"),(N1060))))</formula>
    </cfRule>
  </conditionalFormatting>
  <conditionalFormatting sqref="N1060">
    <cfRule type="containsText" dxfId="9" priority="123" operator="containsText" text="No">
      <formula>NOT(ISERROR(SEARCH(("No"),(N1060))))</formula>
    </cfRule>
  </conditionalFormatting>
  <conditionalFormatting sqref="N1060">
    <cfRule type="containsText" dxfId="9" priority="124" operator="containsText" text="No">
      <formula>NOT(ISERROR(SEARCH(("No"),(N1060))))</formula>
    </cfRule>
  </conditionalFormatting>
  <conditionalFormatting sqref="N1060">
    <cfRule type="containsText" dxfId="2" priority="125" operator="containsText" text="Yes">
      <formula>NOT(ISERROR(SEARCH(("Yes"),(N1060))))</formula>
    </cfRule>
  </conditionalFormatting>
  <conditionalFormatting sqref="N1060">
    <cfRule type="containsText" dxfId="2" priority="126" operator="containsText" text="Yes">
      <formula>NOT(ISERROR(SEARCH(("Yes"),(N1060))))</formula>
    </cfRule>
  </conditionalFormatting>
  <conditionalFormatting sqref="N1060">
    <cfRule type="containsText" dxfId="9" priority="127" operator="containsText" text="No">
      <formula>NOT(ISERROR(SEARCH(("No"),(N1060))))</formula>
    </cfRule>
  </conditionalFormatting>
  <conditionalFormatting sqref="N1060">
    <cfRule type="containsText" dxfId="2" priority="128" operator="containsText" text="Yes">
      <formula>NOT(ISERROR(SEARCH(("Yes"),(N1060))))</formula>
    </cfRule>
  </conditionalFormatting>
  <conditionalFormatting sqref="N1060">
    <cfRule type="containsText" dxfId="9" priority="129" operator="containsText" text="No">
      <formula>NOT(ISERROR(SEARCH(("No"),(N1060))))</formula>
    </cfRule>
  </conditionalFormatting>
  <conditionalFormatting sqref="N1060">
    <cfRule type="containsText" dxfId="2" priority="130" operator="containsText" text="Yes">
      <formula>NOT(ISERROR(SEARCH(("Yes"),(N1060))))</formula>
    </cfRule>
  </conditionalFormatting>
  <conditionalFormatting sqref="N1060">
    <cfRule type="containsText" dxfId="9" priority="131" operator="containsText" text="No">
      <formula>NOT(ISERROR(SEARCH(("No"),(N1060))))</formula>
    </cfRule>
  </conditionalFormatting>
  <conditionalFormatting sqref="N1060">
    <cfRule type="containsText" dxfId="2" priority="132" operator="containsText" text="Yes">
      <formula>NOT(ISERROR(SEARCH(("Yes"),(N1060))))</formula>
    </cfRule>
  </conditionalFormatting>
  <conditionalFormatting sqref="N1064:N1068 N1071:N1073 N1075:N1077 N1079 N1081 N1083:N1084">
    <cfRule type="containsText" dxfId="9" priority="133" operator="containsText" text="No">
      <formula>NOT(ISERROR(SEARCH(("No"),(N1064))))</formula>
    </cfRule>
  </conditionalFormatting>
  <conditionalFormatting sqref="N1064:N1068 N1071:N1073 N1075:N1077 N1079 N1081 N1083:N1084">
    <cfRule type="containsText" dxfId="2" priority="134" operator="containsText" text="Yes">
      <formula>NOT(ISERROR(SEARCH(("Yes"),(N1064))))</formula>
    </cfRule>
  </conditionalFormatting>
  <conditionalFormatting sqref="N1064:N1068 N1071:N1073 N1075:N1077 N1079 N1081 N1083:N1084">
    <cfRule type="containsText" dxfId="9" priority="135" operator="containsText" text="No">
      <formula>NOT(ISERROR(SEARCH(("No"),(N1064))))</formula>
    </cfRule>
  </conditionalFormatting>
  <conditionalFormatting sqref="N1064:N1068 N1071:N1073 N1075:N1077 N1079 N1081 N1083:N1084">
    <cfRule type="containsText" dxfId="9" priority="136" operator="containsText" text="No">
      <formula>NOT(ISERROR(SEARCH(("No"),(N1064))))</formula>
    </cfRule>
  </conditionalFormatting>
  <conditionalFormatting sqref="N1064:N1068 N1071:N1073 N1075:N1077 N1079 N1081 N1083:N1084">
    <cfRule type="containsText" dxfId="2" priority="137" operator="containsText" text="Yes">
      <formula>NOT(ISERROR(SEARCH(("Yes"),(N1064))))</formula>
    </cfRule>
  </conditionalFormatting>
  <conditionalFormatting sqref="N1064:N1068 N1071:N1073 N1075:N1077 N1079 N1081 N1083:N1084">
    <cfRule type="containsText" dxfId="2" priority="138" operator="containsText" text="Yes">
      <formula>NOT(ISERROR(SEARCH(("Yes"),(N1064))))</formula>
    </cfRule>
  </conditionalFormatting>
  <conditionalFormatting sqref="N1064:N1068 N1071:N1073 N1075:N1077 N1079 N1081 N1083:N1084">
    <cfRule type="containsText" dxfId="9" priority="139" operator="containsText" text="No">
      <formula>NOT(ISERROR(SEARCH(("No"),(N1064))))</formula>
    </cfRule>
  </conditionalFormatting>
  <conditionalFormatting sqref="N1064:N1068 N1071:N1073 N1075:N1077 N1079 N1081 N1083:N1084">
    <cfRule type="containsText" dxfId="2" priority="140" operator="containsText" text="Yes">
      <formula>NOT(ISERROR(SEARCH(("Yes"),(N1064))))</formula>
    </cfRule>
  </conditionalFormatting>
  <conditionalFormatting sqref="N1064:N1068 N1071:N1073 N1075:N1077 N1079 N1081 N1083:N1084">
    <cfRule type="containsText" dxfId="9" priority="141" operator="containsText" text="No">
      <formula>NOT(ISERROR(SEARCH(("No"),(N1064))))</formula>
    </cfRule>
  </conditionalFormatting>
  <conditionalFormatting sqref="N1064:N1068 N1071:N1073 N1075:N1077 N1079 N1081 N1083:N1084">
    <cfRule type="containsText" dxfId="2" priority="142" operator="containsText" text="Yes">
      <formula>NOT(ISERROR(SEARCH(("Yes"),(N1064))))</formula>
    </cfRule>
  </conditionalFormatting>
  <conditionalFormatting sqref="N1064:N1068 N1071:N1073 N1075:N1077 N1079 N1081 N1083:N1084">
    <cfRule type="containsText" dxfId="9" priority="143" operator="containsText" text="No">
      <formula>NOT(ISERROR(SEARCH(("No"),(N1064))))</formula>
    </cfRule>
  </conditionalFormatting>
  <conditionalFormatting sqref="N1064:N1068 N1071:N1073 N1075:N1077 N1079 N1081 N1083:N1084">
    <cfRule type="containsText" dxfId="2" priority="144" operator="containsText" text="Yes">
      <formula>NOT(ISERROR(SEARCH(("Yes"),(N1064))))</formula>
    </cfRule>
  </conditionalFormatting>
  <conditionalFormatting sqref="N1069:N1070">
    <cfRule type="containsText" dxfId="9" priority="145" operator="containsText" text="No">
      <formula>NOT(ISERROR(SEARCH(("No"),(N1069))))</formula>
    </cfRule>
  </conditionalFormatting>
  <conditionalFormatting sqref="N1069:N1070">
    <cfRule type="containsText" dxfId="2" priority="146" operator="containsText" text="Yes">
      <formula>NOT(ISERROR(SEARCH(("Yes"),(N1069))))</formula>
    </cfRule>
  </conditionalFormatting>
  <conditionalFormatting sqref="N1074">
    <cfRule type="containsText" dxfId="9" priority="147" operator="containsText" text="No">
      <formula>NOT(ISERROR(SEARCH(("No"),(N1074))))</formula>
    </cfRule>
  </conditionalFormatting>
  <conditionalFormatting sqref="N1074">
    <cfRule type="containsText" dxfId="2" priority="148" operator="containsText" text="Yes">
      <formula>NOT(ISERROR(SEARCH(("Yes"),(N1074))))</formula>
    </cfRule>
  </conditionalFormatting>
  <conditionalFormatting sqref="N1078">
    <cfRule type="containsText" dxfId="9" priority="149" operator="containsText" text="No">
      <formula>NOT(ISERROR(SEARCH(("No"),(N1078))))</formula>
    </cfRule>
  </conditionalFormatting>
  <conditionalFormatting sqref="N1078">
    <cfRule type="containsText" dxfId="2" priority="150" operator="containsText" text="Yes">
      <formula>NOT(ISERROR(SEARCH(("Yes"),(N1078))))</formula>
    </cfRule>
  </conditionalFormatting>
  <conditionalFormatting sqref="N1080">
    <cfRule type="containsText" dxfId="9" priority="151" operator="containsText" text="No">
      <formula>NOT(ISERROR(SEARCH(("No"),(N1080))))</formula>
    </cfRule>
  </conditionalFormatting>
  <conditionalFormatting sqref="N1080">
    <cfRule type="containsText" dxfId="2" priority="152" operator="containsText" text="Yes">
      <formula>NOT(ISERROR(SEARCH(("Yes"),(N1080))))</formula>
    </cfRule>
  </conditionalFormatting>
  <conditionalFormatting sqref="N1082">
    <cfRule type="containsText" dxfId="9" priority="153" operator="containsText" text="No">
      <formula>NOT(ISERROR(SEARCH(("No"),(N1082))))</formula>
    </cfRule>
  </conditionalFormatting>
  <conditionalFormatting sqref="N1082">
    <cfRule type="containsText" dxfId="2" priority="154" operator="containsText" text="Yes">
      <formula>NOT(ISERROR(SEARCH(("Yes"),(N1082))))</formula>
    </cfRule>
  </conditionalFormatting>
  <conditionalFormatting sqref="N1085">
    <cfRule type="containsText" dxfId="9" priority="155" operator="containsText" text="No">
      <formula>NOT(ISERROR(SEARCH(("No"),(N1085))))</formula>
    </cfRule>
  </conditionalFormatting>
  <conditionalFormatting sqref="N1085">
    <cfRule type="containsText" dxfId="2" priority="156" operator="containsText" text="Yes">
      <formula>NOT(ISERROR(SEARCH(("Yes"),(N1085))))</formula>
    </cfRule>
  </conditionalFormatting>
  <conditionalFormatting sqref="N1086:N1092">
    <cfRule type="containsText" dxfId="9" priority="157" operator="containsText" text="No">
      <formula>NOT(ISERROR(SEARCH(("No"),(N1086))))</formula>
    </cfRule>
  </conditionalFormatting>
  <conditionalFormatting sqref="N1086:N1092">
    <cfRule type="containsText" dxfId="2" priority="158" operator="containsText" text="Yes">
      <formula>NOT(ISERROR(SEARCH(("Yes"),(N1086))))</formula>
    </cfRule>
  </conditionalFormatting>
  <conditionalFormatting sqref="N1086:N1092">
    <cfRule type="containsText" dxfId="9" priority="159" operator="containsText" text="No">
      <formula>NOT(ISERROR(SEARCH(("No"),(N1086))))</formula>
    </cfRule>
  </conditionalFormatting>
  <conditionalFormatting sqref="N1086:N1092">
    <cfRule type="containsText" dxfId="9" priority="160" operator="containsText" text="No">
      <formula>NOT(ISERROR(SEARCH(("No"),(N1086))))</formula>
    </cfRule>
  </conditionalFormatting>
  <conditionalFormatting sqref="N1086:N1092">
    <cfRule type="containsText" dxfId="2" priority="161" operator="containsText" text="Yes">
      <formula>NOT(ISERROR(SEARCH(("Yes"),(N1086))))</formula>
    </cfRule>
  </conditionalFormatting>
  <conditionalFormatting sqref="N1086:N1092">
    <cfRule type="containsText" dxfId="2" priority="162" operator="containsText" text="Yes">
      <formula>NOT(ISERROR(SEARCH(("Yes"),(N1086))))</formula>
    </cfRule>
  </conditionalFormatting>
  <conditionalFormatting sqref="N1086:N1092">
    <cfRule type="containsText" dxfId="9" priority="163" operator="containsText" text="No">
      <formula>NOT(ISERROR(SEARCH(("No"),(N1086))))</formula>
    </cfRule>
  </conditionalFormatting>
  <conditionalFormatting sqref="N1086:N1092">
    <cfRule type="containsText" dxfId="2" priority="164" operator="containsText" text="Yes">
      <formula>NOT(ISERROR(SEARCH(("Yes"),(N1086))))</formula>
    </cfRule>
  </conditionalFormatting>
  <conditionalFormatting sqref="N1086:N1092">
    <cfRule type="containsText" dxfId="9" priority="165" operator="containsText" text="No">
      <formula>NOT(ISERROR(SEARCH(("No"),(N1086))))</formula>
    </cfRule>
  </conditionalFormatting>
  <conditionalFormatting sqref="N1086:N1092">
    <cfRule type="containsText" dxfId="2" priority="166" operator="containsText" text="Yes">
      <formula>NOT(ISERROR(SEARCH(("Yes"),(N1086))))</formula>
    </cfRule>
  </conditionalFormatting>
  <conditionalFormatting sqref="N1086:N1092">
    <cfRule type="containsText" dxfId="9" priority="167" operator="containsText" text="No">
      <formula>NOT(ISERROR(SEARCH(("No"),(N1086))))</formula>
    </cfRule>
  </conditionalFormatting>
  <conditionalFormatting sqref="N1086:N1092">
    <cfRule type="containsText" dxfId="2" priority="168" operator="containsText" text="Yes">
      <formula>NOT(ISERROR(SEARCH(("Yes"),(N1086))))</formula>
    </cfRule>
  </conditionalFormatting>
  <conditionalFormatting sqref="N1086:N1092">
    <cfRule type="containsText" dxfId="9" priority="169" operator="containsText" text="No">
      <formula>NOT(ISERROR(SEARCH(("No"),(N1086))))</formula>
    </cfRule>
  </conditionalFormatting>
  <conditionalFormatting sqref="N1086:N1092">
    <cfRule type="containsText" dxfId="2" priority="170" operator="containsText" text="Yes">
      <formula>NOT(ISERROR(SEARCH(("Yes"),(N1086))))</formula>
    </cfRule>
  </conditionalFormatting>
  <conditionalFormatting sqref="N1093">
    <cfRule type="containsText" dxfId="9" priority="171" operator="containsText" text="No">
      <formula>NOT(ISERROR(SEARCH(("No"),(N1093))))</formula>
    </cfRule>
  </conditionalFormatting>
  <conditionalFormatting sqref="N1093">
    <cfRule type="containsText" dxfId="2" priority="172" operator="containsText" text="Yes">
      <formula>NOT(ISERROR(SEARCH(("Yes"),(N1093))))</formula>
    </cfRule>
  </conditionalFormatting>
  <conditionalFormatting sqref="N1094:N1099">
    <cfRule type="containsText" dxfId="9" priority="173" operator="containsText" text="No">
      <formula>NOT(ISERROR(SEARCH(("No"),(N1094))))</formula>
    </cfRule>
  </conditionalFormatting>
  <conditionalFormatting sqref="N1094:N1099">
    <cfRule type="containsText" dxfId="2" priority="174" operator="containsText" text="Yes">
      <formula>NOT(ISERROR(SEARCH(("Yes"),(N1094))))</formula>
    </cfRule>
  </conditionalFormatting>
  <conditionalFormatting sqref="N1094:N1099">
    <cfRule type="containsText" dxfId="9" priority="175" operator="containsText" text="No">
      <formula>NOT(ISERROR(SEARCH(("No"),(N1094))))</formula>
    </cfRule>
  </conditionalFormatting>
  <conditionalFormatting sqref="N1094:N1099">
    <cfRule type="containsText" dxfId="9" priority="176" operator="containsText" text="No">
      <formula>NOT(ISERROR(SEARCH(("No"),(N1094))))</formula>
    </cfRule>
  </conditionalFormatting>
  <conditionalFormatting sqref="N1094:N1099">
    <cfRule type="containsText" dxfId="2" priority="177" operator="containsText" text="Yes">
      <formula>NOT(ISERROR(SEARCH(("Yes"),(N1094))))</formula>
    </cfRule>
  </conditionalFormatting>
  <conditionalFormatting sqref="N1094:N1099">
    <cfRule type="containsText" dxfId="2" priority="178" operator="containsText" text="Yes">
      <formula>NOT(ISERROR(SEARCH(("Yes"),(N1094))))</formula>
    </cfRule>
  </conditionalFormatting>
  <conditionalFormatting sqref="N1094:N1099">
    <cfRule type="containsText" dxfId="9" priority="179" operator="containsText" text="No">
      <formula>NOT(ISERROR(SEARCH(("No"),(N1094))))</formula>
    </cfRule>
  </conditionalFormatting>
  <conditionalFormatting sqref="N1094:N1099">
    <cfRule type="containsText" dxfId="2" priority="180" operator="containsText" text="Yes">
      <formula>NOT(ISERROR(SEARCH(("Yes"),(N1094))))</formula>
    </cfRule>
  </conditionalFormatting>
  <conditionalFormatting sqref="N1094:N1099">
    <cfRule type="containsText" dxfId="9" priority="181" operator="containsText" text="No">
      <formula>NOT(ISERROR(SEARCH(("No"),(N1094))))</formula>
    </cfRule>
  </conditionalFormatting>
  <conditionalFormatting sqref="N1094:N1099">
    <cfRule type="containsText" dxfId="2" priority="182" operator="containsText" text="Yes">
      <formula>NOT(ISERROR(SEARCH(("Yes"),(N1094))))</formula>
    </cfRule>
  </conditionalFormatting>
  <conditionalFormatting sqref="N1094:N1099">
    <cfRule type="containsText" dxfId="9" priority="183" operator="containsText" text="No">
      <formula>NOT(ISERROR(SEARCH(("No"),(N1094))))</formula>
    </cfRule>
  </conditionalFormatting>
  <conditionalFormatting sqref="N1094:N1099">
    <cfRule type="containsText" dxfId="2" priority="184" operator="containsText" text="Yes">
      <formula>NOT(ISERROR(SEARCH(("Yes"),(N1094))))</formula>
    </cfRule>
  </conditionalFormatting>
  <conditionalFormatting sqref="N1094:N1099">
    <cfRule type="containsText" dxfId="9" priority="185" operator="containsText" text="No">
      <formula>NOT(ISERROR(SEARCH(("No"),(N1094))))</formula>
    </cfRule>
  </conditionalFormatting>
  <conditionalFormatting sqref="N1094:N1099">
    <cfRule type="containsText" dxfId="2" priority="186" operator="containsText" text="Yes">
      <formula>NOT(ISERROR(SEARCH(("Yes"),(N1094))))</formula>
    </cfRule>
  </conditionalFormatting>
  <conditionalFormatting sqref="N1101">
    <cfRule type="containsText" dxfId="9" priority="187" operator="containsText" text="No">
      <formula>NOT(ISERROR(SEARCH(("No"),(N1101))))</formula>
    </cfRule>
  </conditionalFormatting>
  <conditionalFormatting sqref="N1101">
    <cfRule type="containsText" dxfId="2" priority="188" operator="containsText" text="Yes">
      <formula>NOT(ISERROR(SEARCH(("Yes"),(N1101))))</formula>
    </cfRule>
  </conditionalFormatting>
  <conditionalFormatting sqref="N1102">
    <cfRule type="containsText" dxfId="9" priority="189" operator="containsText" text="No">
      <formula>NOT(ISERROR(SEARCH(("No"),(N1102))))</formula>
    </cfRule>
  </conditionalFormatting>
  <conditionalFormatting sqref="N1102">
    <cfRule type="containsText" dxfId="2" priority="190" operator="containsText" text="Yes">
      <formula>NOT(ISERROR(SEARCH(("Yes"),(N1102))))</formula>
    </cfRule>
  </conditionalFormatting>
  <conditionalFormatting sqref="N1102">
    <cfRule type="containsText" dxfId="9" priority="191" operator="containsText" text="No">
      <formula>NOT(ISERROR(SEARCH(("No"),(N1102))))</formula>
    </cfRule>
  </conditionalFormatting>
  <conditionalFormatting sqref="N1102">
    <cfRule type="containsText" dxfId="9" priority="192" operator="containsText" text="No">
      <formula>NOT(ISERROR(SEARCH(("No"),(N1102))))</formula>
    </cfRule>
  </conditionalFormatting>
  <conditionalFormatting sqref="N1102">
    <cfRule type="containsText" dxfId="2" priority="193" operator="containsText" text="Yes">
      <formula>NOT(ISERROR(SEARCH(("Yes"),(N1102))))</formula>
    </cfRule>
  </conditionalFormatting>
  <conditionalFormatting sqref="N1102">
    <cfRule type="containsText" dxfId="2" priority="194" operator="containsText" text="Yes">
      <formula>NOT(ISERROR(SEARCH(("Yes"),(N1102))))</formula>
    </cfRule>
  </conditionalFormatting>
  <conditionalFormatting sqref="N1102">
    <cfRule type="containsText" dxfId="9" priority="195" operator="containsText" text="No">
      <formula>NOT(ISERROR(SEARCH(("No"),(N1102))))</formula>
    </cfRule>
  </conditionalFormatting>
  <conditionalFormatting sqref="N1102">
    <cfRule type="containsText" dxfId="2" priority="196" operator="containsText" text="Yes">
      <formula>NOT(ISERROR(SEARCH(("Yes"),(N1102))))</formula>
    </cfRule>
  </conditionalFormatting>
  <conditionalFormatting sqref="N1102">
    <cfRule type="containsText" dxfId="9" priority="197" operator="containsText" text="No">
      <formula>NOT(ISERROR(SEARCH(("No"),(N1102))))</formula>
    </cfRule>
  </conditionalFormatting>
  <conditionalFormatting sqref="N1102">
    <cfRule type="containsText" dxfId="2" priority="198" operator="containsText" text="Yes">
      <formula>NOT(ISERROR(SEARCH(("Yes"),(N1102))))</formula>
    </cfRule>
  </conditionalFormatting>
  <conditionalFormatting sqref="N1102">
    <cfRule type="containsText" dxfId="9" priority="199" operator="containsText" text="No">
      <formula>NOT(ISERROR(SEARCH(("No"),(N1102))))</formula>
    </cfRule>
  </conditionalFormatting>
  <conditionalFormatting sqref="N1102">
    <cfRule type="containsText" dxfId="2" priority="200" operator="containsText" text="Yes">
      <formula>NOT(ISERROR(SEARCH(("Yes"),(N1102))))</formula>
    </cfRule>
  </conditionalFormatting>
  <conditionalFormatting sqref="N1102">
    <cfRule type="containsText" dxfId="9" priority="201" operator="containsText" text="No">
      <formula>NOT(ISERROR(SEARCH(("No"),(N1102))))</formula>
    </cfRule>
  </conditionalFormatting>
  <conditionalFormatting sqref="N1102">
    <cfRule type="containsText" dxfId="2" priority="202" operator="containsText" text="Yes">
      <formula>NOT(ISERROR(SEARCH(("Yes"),(N1102))))</formula>
    </cfRule>
  </conditionalFormatting>
  <conditionalFormatting sqref="N1108:N1109">
    <cfRule type="containsText" dxfId="9" priority="203" operator="containsText" text="No">
      <formula>NOT(ISERROR(SEARCH(("No"),(N1108))))</formula>
    </cfRule>
  </conditionalFormatting>
  <conditionalFormatting sqref="N1108:N1109">
    <cfRule type="containsText" dxfId="2" priority="204" operator="containsText" text="Yes">
      <formula>NOT(ISERROR(SEARCH(("Yes"),(N1108))))</formula>
    </cfRule>
  </conditionalFormatting>
  <conditionalFormatting sqref="N1108:N1109">
    <cfRule type="containsText" dxfId="9" priority="205" operator="containsText" text="No">
      <formula>NOT(ISERROR(SEARCH(("No"),(N1108))))</formula>
    </cfRule>
  </conditionalFormatting>
  <conditionalFormatting sqref="N1108:N1109">
    <cfRule type="containsText" dxfId="9" priority="206" operator="containsText" text="No">
      <formula>NOT(ISERROR(SEARCH(("No"),(N1108))))</formula>
    </cfRule>
  </conditionalFormatting>
  <conditionalFormatting sqref="N1108:N1109">
    <cfRule type="containsText" dxfId="2" priority="207" operator="containsText" text="Yes">
      <formula>NOT(ISERROR(SEARCH(("Yes"),(N1108))))</formula>
    </cfRule>
  </conditionalFormatting>
  <conditionalFormatting sqref="N1108:N1109">
    <cfRule type="containsText" dxfId="2" priority="208" operator="containsText" text="Yes">
      <formula>NOT(ISERROR(SEARCH(("Yes"),(N1108))))</formula>
    </cfRule>
  </conditionalFormatting>
  <conditionalFormatting sqref="N1108:N1109">
    <cfRule type="containsText" dxfId="9" priority="209" operator="containsText" text="No">
      <formula>NOT(ISERROR(SEARCH(("No"),(N1108))))</formula>
    </cfRule>
  </conditionalFormatting>
  <conditionalFormatting sqref="N1108:N1109">
    <cfRule type="containsText" dxfId="2" priority="210" operator="containsText" text="Yes">
      <formula>NOT(ISERROR(SEARCH(("Yes"),(N1108))))</formula>
    </cfRule>
  </conditionalFormatting>
  <conditionalFormatting sqref="N1108:N1109">
    <cfRule type="containsText" dxfId="9" priority="211" operator="containsText" text="No">
      <formula>NOT(ISERROR(SEARCH(("No"),(N1108))))</formula>
    </cfRule>
  </conditionalFormatting>
  <conditionalFormatting sqref="N1108:N1109">
    <cfRule type="containsText" dxfId="2" priority="212" operator="containsText" text="Yes">
      <formula>NOT(ISERROR(SEARCH(("Yes"),(N1108))))</formula>
    </cfRule>
  </conditionalFormatting>
  <conditionalFormatting sqref="N1108:N1109">
    <cfRule type="containsText" dxfId="9" priority="213" operator="containsText" text="No">
      <formula>NOT(ISERROR(SEARCH(("No"),(N1108))))</formula>
    </cfRule>
  </conditionalFormatting>
  <conditionalFormatting sqref="N1108:N1109">
    <cfRule type="containsText" dxfId="2" priority="214" operator="containsText" text="Yes">
      <formula>NOT(ISERROR(SEARCH(("Yes"),(N1108))))</formula>
    </cfRule>
  </conditionalFormatting>
  <conditionalFormatting sqref="N1108:N1109">
    <cfRule type="containsText" dxfId="9" priority="215" operator="containsText" text="No">
      <formula>NOT(ISERROR(SEARCH(("No"),(N1108))))</formula>
    </cfRule>
  </conditionalFormatting>
  <conditionalFormatting sqref="N1108:N1109">
    <cfRule type="containsText" dxfId="2" priority="216" operator="containsText" text="Yes">
      <formula>NOT(ISERROR(SEARCH(("Yes"),(N1108))))</formula>
    </cfRule>
  </conditionalFormatting>
  <conditionalFormatting sqref="N1111:N1113">
    <cfRule type="containsText" dxfId="9" priority="217" operator="containsText" text="No">
      <formula>NOT(ISERROR(SEARCH(("No"),(N1111))))</formula>
    </cfRule>
  </conditionalFormatting>
  <conditionalFormatting sqref="N1111:N1113">
    <cfRule type="containsText" dxfId="2" priority="218" operator="containsText" text="Yes">
      <formula>NOT(ISERROR(SEARCH(("Yes"),(N1111))))</formula>
    </cfRule>
  </conditionalFormatting>
  <conditionalFormatting sqref="N1111:N1113">
    <cfRule type="containsText" dxfId="9" priority="219" operator="containsText" text="No">
      <formula>NOT(ISERROR(SEARCH(("No"),(N1111))))</formula>
    </cfRule>
  </conditionalFormatting>
  <conditionalFormatting sqref="N1111:N1113">
    <cfRule type="containsText" dxfId="9" priority="220" operator="containsText" text="No">
      <formula>NOT(ISERROR(SEARCH(("No"),(N1111))))</formula>
    </cfRule>
  </conditionalFormatting>
  <conditionalFormatting sqref="N1111:N1113">
    <cfRule type="containsText" dxfId="2" priority="221" operator="containsText" text="Yes">
      <formula>NOT(ISERROR(SEARCH(("Yes"),(N1111))))</formula>
    </cfRule>
  </conditionalFormatting>
  <conditionalFormatting sqref="N1111:N1113">
    <cfRule type="containsText" dxfId="2" priority="222" operator="containsText" text="Yes">
      <formula>NOT(ISERROR(SEARCH(("Yes"),(N1111))))</formula>
    </cfRule>
  </conditionalFormatting>
  <conditionalFormatting sqref="N1111:N1113">
    <cfRule type="containsText" dxfId="9" priority="223" operator="containsText" text="No">
      <formula>NOT(ISERROR(SEARCH(("No"),(N1111))))</formula>
    </cfRule>
  </conditionalFormatting>
  <conditionalFormatting sqref="N1111:N1113">
    <cfRule type="containsText" dxfId="2" priority="224" operator="containsText" text="Yes">
      <formula>NOT(ISERROR(SEARCH(("Yes"),(N1111))))</formula>
    </cfRule>
  </conditionalFormatting>
  <conditionalFormatting sqref="N1111:N1113">
    <cfRule type="containsText" dxfId="9" priority="225" operator="containsText" text="No">
      <formula>NOT(ISERROR(SEARCH(("No"),(N1111))))</formula>
    </cfRule>
  </conditionalFormatting>
  <conditionalFormatting sqref="N1111:N1113">
    <cfRule type="containsText" dxfId="2" priority="226" operator="containsText" text="Yes">
      <formula>NOT(ISERROR(SEARCH(("Yes"),(N1111))))</formula>
    </cfRule>
  </conditionalFormatting>
  <conditionalFormatting sqref="N1111:N1113">
    <cfRule type="containsText" dxfId="9" priority="227" operator="containsText" text="No">
      <formula>NOT(ISERROR(SEARCH(("No"),(N1111))))</formula>
    </cfRule>
  </conditionalFormatting>
  <conditionalFormatting sqref="N1111:N1113">
    <cfRule type="containsText" dxfId="2" priority="228" operator="containsText" text="Yes">
      <formula>NOT(ISERROR(SEARCH(("Yes"),(N1111))))</formula>
    </cfRule>
  </conditionalFormatting>
  <conditionalFormatting sqref="N1111:N1113">
    <cfRule type="containsText" dxfId="9" priority="229" operator="containsText" text="No">
      <formula>NOT(ISERROR(SEARCH(("No"),(N1111))))</formula>
    </cfRule>
  </conditionalFormatting>
  <conditionalFormatting sqref="N1111:N1113">
    <cfRule type="containsText" dxfId="2" priority="230" operator="containsText" text="Yes">
      <formula>NOT(ISERROR(SEARCH(("Yes"),(N1111))))</formula>
    </cfRule>
  </conditionalFormatting>
  <conditionalFormatting sqref="N1114">
    <cfRule type="containsText" dxfId="9" priority="231" operator="containsText" text="No">
      <formula>NOT(ISERROR(SEARCH(("No"),(N1114))))</formula>
    </cfRule>
  </conditionalFormatting>
  <conditionalFormatting sqref="N1114">
    <cfRule type="containsText" dxfId="2" priority="232" operator="containsText" text="Yes">
      <formula>NOT(ISERROR(SEARCH(("Yes"),(N1114))))</formula>
    </cfRule>
  </conditionalFormatting>
  <conditionalFormatting sqref="N1117:N1121">
    <cfRule type="containsText" dxfId="9" priority="233" operator="containsText" text="No">
      <formula>NOT(ISERROR(SEARCH(("No"),(N1117))))</formula>
    </cfRule>
  </conditionalFormatting>
  <conditionalFormatting sqref="N1117:N1121">
    <cfRule type="containsText" dxfId="2" priority="234" operator="containsText" text="Yes">
      <formula>NOT(ISERROR(SEARCH(("Yes"),(N1117))))</formula>
    </cfRule>
  </conditionalFormatting>
  <conditionalFormatting sqref="N1117:N1121">
    <cfRule type="containsText" dxfId="9" priority="235" operator="containsText" text="No">
      <formula>NOT(ISERROR(SEARCH(("No"),(N1117))))</formula>
    </cfRule>
  </conditionalFormatting>
  <conditionalFormatting sqref="N1117:N1121">
    <cfRule type="containsText" dxfId="9" priority="236" operator="containsText" text="No">
      <formula>NOT(ISERROR(SEARCH(("No"),(N1117))))</formula>
    </cfRule>
  </conditionalFormatting>
  <conditionalFormatting sqref="N1117:N1121">
    <cfRule type="containsText" dxfId="2" priority="237" operator="containsText" text="Yes">
      <formula>NOT(ISERROR(SEARCH(("Yes"),(N1117))))</formula>
    </cfRule>
  </conditionalFormatting>
  <conditionalFormatting sqref="N1117:N1121">
    <cfRule type="containsText" dxfId="2" priority="238" operator="containsText" text="Yes">
      <formula>NOT(ISERROR(SEARCH(("Yes"),(N1117))))</formula>
    </cfRule>
  </conditionalFormatting>
  <conditionalFormatting sqref="N1117:N1121">
    <cfRule type="containsText" dxfId="9" priority="239" operator="containsText" text="No">
      <formula>NOT(ISERROR(SEARCH(("No"),(N1117))))</formula>
    </cfRule>
  </conditionalFormatting>
  <conditionalFormatting sqref="N1117:N1121">
    <cfRule type="containsText" dxfId="2" priority="240" operator="containsText" text="Yes">
      <formula>NOT(ISERROR(SEARCH(("Yes"),(N1117))))</formula>
    </cfRule>
  </conditionalFormatting>
  <conditionalFormatting sqref="N1117:N1121">
    <cfRule type="containsText" dxfId="9" priority="241" operator="containsText" text="No">
      <formula>NOT(ISERROR(SEARCH(("No"),(N1117))))</formula>
    </cfRule>
  </conditionalFormatting>
  <conditionalFormatting sqref="N1117:N1121">
    <cfRule type="containsText" dxfId="2" priority="242" operator="containsText" text="Yes">
      <formula>NOT(ISERROR(SEARCH(("Yes"),(N1117))))</formula>
    </cfRule>
  </conditionalFormatting>
  <conditionalFormatting sqref="N1117:N1121">
    <cfRule type="containsText" dxfId="9" priority="243" operator="containsText" text="No">
      <formula>NOT(ISERROR(SEARCH(("No"),(N1117))))</formula>
    </cfRule>
  </conditionalFormatting>
  <conditionalFormatting sqref="N1117:N1121">
    <cfRule type="containsText" dxfId="2" priority="244" operator="containsText" text="Yes">
      <formula>NOT(ISERROR(SEARCH(("Yes"),(N1117))))</formula>
    </cfRule>
  </conditionalFormatting>
  <conditionalFormatting sqref="N1117:N1121">
    <cfRule type="containsText" dxfId="9" priority="245" operator="containsText" text="No">
      <formula>NOT(ISERROR(SEARCH(("No"),(N1117))))</formula>
    </cfRule>
  </conditionalFormatting>
  <conditionalFormatting sqref="N1117:N1121">
    <cfRule type="containsText" dxfId="2" priority="246" operator="containsText" text="Yes">
      <formula>NOT(ISERROR(SEARCH(("Yes"),(N1117))))</formula>
    </cfRule>
  </conditionalFormatting>
  <conditionalFormatting sqref="N1123:N1128">
    <cfRule type="containsText" dxfId="9" priority="247" operator="containsText" text="No">
      <formula>NOT(ISERROR(SEARCH(("No"),(N1123))))</formula>
    </cfRule>
  </conditionalFormatting>
  <conditionalFormatting sqref="N1123:N1128">
    <cfRule type="containsText" dxfId="2" priority="248" operator="containsText" text="Yes">
      <formula>NOT(ISERROR(SEARCH(("Yes"),(N1123))))</formula>
    </cfRule>
  </conditionalFormatting>
  <conditionalFormatting sqref="N1123:N1128">
    <cfRule type="containsText" dxfId="9" priority="249" operator="containsText" text="No">
      <formula>NOT(ISERROR(SEARCH(("No"),(N1123))))</formula>
    </cfRule>
  </conditionalFormatting>
  <conditionalFormatting sqref="N1123:N1128">
    <cfRule type="containsText" dxfId="9" priority="250" operator="containsText" text="No">
      <formula>NOT(ISERROR(SEARCH(("No"),(N1123))))</formula>
    </cfRule>
  </conditionalFormatting>
  <conditionalFormatting sqref="N1123:N1128">
    <cfRule type="containsText" dxfId="2" priority="251" operator="containsText" text="Yes">
      <formula>NOT(ISERROR(SEARCH(("Yes"),(N1123))))</formula>
    </cfRule>
  </conditionalFormatting>
  <conditionalFormatting sqref="N1123:N1128">
    <cfRule type="containsText" dxfId="2" priority="252" operator="containsText" text="Yes">
      <formula>NOT(ISERROR(SEARCH(("Yes"),(N1123))))</formula>
    </cfRule>
  </conditionalFormatting>
  <conditionalFormatting sqref="N1123:N1128">
    <cfRule type="containsText" dxfId="9" priority="253" operator="containsText" text="No">
      <formula>NOT(ISERROR(SEARCH(("No"),(N1123))))</formula>
    </cfRule>
  </conditionalFormatting>
  <conditionalFormatting sqref="N1123:N1128">
    <cfRule type="containsText" dxfId="2" priority="254" operator="containsText" text="Yes">
      <formula>NOT(ISERROR(SEARCH(("Yes"),(N1123))))</formula>
    </cfRule>
  </conditionalFormatting>
  <conditionalFormatting sqref="N1123:N1128">
    <cfRule type="containsText" dxfId="9" priority="255" operator="containsText" text="No">
      <formula>NOT(ISERROR(SEARCH(("No"),(N1123))))</formula>
    </cfRule>
  </conditionalFormatting>
  <conditionalFormatting sqref="N1123:N1128">
    <cfRule type="containsText" dxfId="2" priority="256" operator="containsText" text="Yes">
      <formula>NOT(ISERROR(SEARCH(("Yes"),(N1123))))</formula>
    </cfRule>
  </conditionalFormatting>
  <conditionalFormatting sqref="N1123:N1128">
    <cfRule type="containsText" dxfId="9" priority="257" operator="containsText" text="No">
      <formula>NOT(ISERROR(SEARCH(("No"),(N1123))))</formula>
    </cfRule>
  </conditionalFormatting>
  <conditionalFormatting sqref="N1123:N1128">
    <cfRule type="containsText" dxfId="2" priority="258" operator="containsText" text="Yes">
      <formula>NOT(ISERROR(SEARCH(("Yes"),(N1123))))</formula>
    </cfRule>
  </conditionalFormatting>
  <conditionalFormatting sqref="N1123:N1128">
    <cfRule type="containsText" dxfId="9" priority="259" operator="containsText" text="No">
      <formula>NOT(ISERROR(SEARCH(("No"),(N1123))))</formula>
    </cfRule>
  </conditionalFormatting>
  <conditionalFormatting sqref="N1123:N1128">
    <cfRule type="containsText" dxfId="2" priority="260" operator="containsText" text="Yes">
      <formula>NOT(ISERROR(SEARCH(("Yes"),(N1123))))</formula>
    </cfRule>
  </conditionalFormatting>
  <conditionalFormatting sqref="N1130:N1138">
    <cfRule type="containsText" dxfId="9" priority="261" operator="containsText" text="No">
      <formula>NOT(ISERROR(SEARCH(("No"),(N1130))))</formula>
    </cfRule>
  </conditionalFormatting>
  <conditionalFormatting sqref="N1130:N1138">
    <cfRule type="containsText" dxfId="2" priority="262" operator="containsText" text="Yes">
      <formula>NOT(ISERROR(SEARCH(("Yes"),(N1130))))</formula>
    </cfRule>
  </conditionalFormatting>
  <conditionalFormatting sqref="N1130:N1138">
    <cfRule type="containsText" dxfId="9" priority="263" operator="containsText" text="No">
      <formula>NOT(ISERROR(SEARCH(("No"),(N1130))))</formula>
    </cfRule>
  </conditionalFormatting>
  <conditionalFormatting sqref="N1130:N1138">
    <cfRule type="containsText" dxfId="9" priority="264" operator="containsText" text="No">
      <formula>NOT(ISERROR(SEARCH(("No"),(N1130))))</formula>
    </cfRule>
  </conditionalFormatting>
  <conditionalFormatting sqref="N1130:N1138">
    <cfRule type="containsText" dxfId="2" priority="265" operator="containsText" text="Yes">
      <formula>NOT(ISERROR(SEARCH(("Yes"),(N1130))))</formula>
    </cfRule>
  </conditionalFormatting>
  <conditionalFormatting sqref="N1130:N1138">
    <cfRule type="containsText" dxfId="2" priority="266" operator="containsText" text="Yes">
      <formula>NOT(ISERROR(SEARCH(("Yes"),(N1130))))</formula>
    </cfRule>
  </conditionalFormatting>
  <conditionalFormatting sqref="N1130:N1138">
    <cfRule type="containsText" dxfId="9" priority="267" operator="containsText" text="No">
      <formula>NOT(ISERROR(SEARCH(("No"),(N1130))))</formula>
    </cfRule>
  </conditionalFormatting>
  <conditionalFormatting sqref="N1130:N1138">
    <cfRule type="containsText" dxfId="2" priority="268" operator="containsText" text="Yes">
      <formula>NOT(ISERROR(SEARCH(("Yes"),(N1130))))</formula>
    </cfRule>
  </conditionalFormatting>
  <conditionalFormatting sqref="N1130:N1138">
    <cfRule type="containsText" dxfId="9" priority="269" operator="containsText" text="No">
      <formula>NOT(ISERROR(SEARCH(("No"),(N1130))))</formula>
    </cfRule>
  </conditionalFormatting>
  <conditionalFormatting sqref="N1130:N1138">
    <cfRule type="containsText" dxfId="2" priority="270" operator="containsText" text="Yes">
      <formula>NOT(ISERROR(SEARCH(("Yes"),(N1130))))</formula>
    </cfRule>
  </conditionalFormatting>
  <conditionalFormatting sqref="N1130:N1138">
    <cfRule type="containsText" dxfId="9" priority="271" operator="containsText" text="No">
      <formula>NOT(ISERROR(SEARCH(("No"),(N1130))))</formula>
    </cfRule>
  </conditionalFormatting>
  <conditionalFormatting sqref="N1130:N1138">
    <cfRule type="containsText" dxfId="2" priority="272" operator="containsText" text="Yes">
      <formula>NOT(ISERROR(SEARCH(("Yes"),(N1130))))</formula>
    </cfRule>
  </conditionalFormatting>
  <conditionalFormatting sqref="N1130:N1138">
    <cfRule type="containsText" dxfId="9" priority="273" operator="containsText" text="No">
      <formula>NOT(ISERROR(SEARCH(("No"),(N1130))))</formula>
    </cfRule>
  </conditionalFormatting>
  <conditionalFormatting sqref="N1130:N1138">
    <cfRule type="containsText" dxfId="2" priority="274" operator="containsText" text="Yes">
      <formula>NOT(ISERROR(SEARCH(("Yes"),(N1130))))</formula>
    </cfRule>
  </conditionalFormatting>
  <conditionalFormatting sqref="N1139:N1140">
    <cfRule type="containsText" dxfId="9" priority="275" operator="containsText" text="No">
      <formula>NOT(ISERROR(SEARCH(("No"),(N1139))))</formula>
    </cfRule>
  </conditionalFormatting>
  <conditionalFormatting sqref="N1139:N1140">
    <cfRule type="containsText" dxfId="2" priority="276" operator="containsText" text="Yes">
      <formula>NOT(ISERROR(SEARCH(("Yes"),(N1139))))</formula>
    </cfRule>
  </conditionalFormatting>
  <conditionalFormatting sqref="N1141">
    <cfRule type="containsText" dxfId="9" priority="277" operator="containsText" text="No">
      <formula>NOT(ISERROR(SEARCH(("No"),(N1141))))</formula>
    </cfRule>
  </conditionalFormatting>
  <conditionalFormatting sqref="N1141">
    <cfRule type="containsText" dxfId="2" priority="278" operator="containsText" text="Yes">
      <formula>NOT(ISERROR(SEARCH(("Yes"),(N1141))))</formula>
    </cfRule>
  </conditionalFormatting>
  <conditionalFormatting sqref="N1141">
    <cfRule type="containsText" dxfId="9" priority="279" operator="containsText" text="No">
      <formula>NOT(ISERROR(SEARCH(("No"),(N1141))))</formula>
    </cfRule>
  </conditionalFormatting>
  <conditionalFormatting sqref="N1141">
    <cfRule type="containsText" dxfId="9" priority="280" operator="containsText" text="No">
      <formula>NOT(ISERROR(SEARCH(("No"),(N1141))))</formula>
    </cfRule>
  </conditionalFormatting>
  <conditionalFormatting sqref="N1141">
    <cfRule type="containsText" dxfId="2" priority="281" operator="containsText" text="Yes">
      <formula>NOT(ISERROR(SEARCH(("Yes"),(N1141))))</formula>
    </cfRule>
  </conditionalFormatting>
  <conditionalFormatting sqref="N1141">
    <cfRule type="containsText" dxfId="2" priority="282" operator="containsText" text="Yes">
      <formula>NOT(ISERROR(SEARCH(("Yes"),(N1141))))</formula>
    </cfRule>
  </conditionalFormatting>
  <conditionalFormatting sqref="N1141">
    <cfRule type="containsText" dxfId="9" priority="283" operator="containsText" text="No">
      <formula>NOT(ISERROR(SEARCH(("No"),(N1141))))</formula>
    </cfRule>
  </conditionalFormatting>
  <conditionalFormatting sqref="N1141">
    <cfRule type="containsText" dxfId="2" priority="284" operator="containsText" text="Yes">
      <formula>NOT(ISERROR(SEARCH(("Yes"),(N1141))))</formula>
    </cfRule>
  </conditionalFormatting>
  <conditionalFormatting sqref="N1141">
    <cfRule type="containsText" dxfId="9" priority="285" operator="containsText" text="No">
      <formula>NOT(ISERROR(SEARCH(("No"),(N1141))))</formula>
    </cfRule>
  </conditionalFormatting>
  <conditionalFormatting sqref="N1141">
    <cfRule type="containsText" dxfId="2" priority="286" operator="containsText" text="Yes">
      <formula>NOT(ISERROR(SEARCH(("Yes"),(N1141))))</formula>
    </cfRule>
  </conditionalFormatting>
  <conditionalFormatting sqref="N1141">
    <cfRule type="containsText" dxfId="9" priority="287" operator="containsText" text="No">
      <formula>NOT(ISERROR(SEARCH(("No"),(N1141))))</formula>
    </cfRule>
  </conditionalFormatting>
  <conditionalFormatting sqref="N1141">
    <cfRule type="containsText" dxfId="2" priority="288" operator="containsText" text="Yes">
      <formula>NOT(ISERROR(SEARCH(("Yes"),(N1141))))</formula>
    </cfRule>
  </conditionalFormatting>
  <conditionalFormatting sqref="N1141">
    <cfRule type="containsText" dxfId="9" priority="289" operator="containsText" text="No">
      <formula>NOT(ISERROR(SEARCH(("No"),(N1141))))</formula>
    </cfRule>
  </conditionalFormatting>
  <conditionalFormatting sqref="N1141">
    <cfRule type="containsText" dxfId="2" priority="290" operator="containsText" text="Yes">
      <formula>NOT(ISERROR(SEARCH(("Yes"),(N1141))))</formula>
    </cfRule>
  </conditionalFormatting>
  <conditionalFormatting sqref="N1142:N1143">
    <cfRule type="containsText" dxfId="9" priority="291" operator="containsText" text="No">
      <formula>NOT(ISERROR(SEARCH(("No"),(N1142))))</formula>
    </cfRule>
  </conditionalFormatting>
  <conditionalFormatting sqref="N1142:N1143">
    <cfRule type="containsText" dxfId="2" priority="292" operator="containsText" text="Yes">
      <formula>NOT(ISERROR(SEARCH(("Yes"),(N1142))))</formula>
    </cfRule>
  </conditionalFormatting>
  <conditionalFormatting sqref="N1144:N1150">
    <cfRule type="containsText" dxfId="9" priority="293" operator="containsText" text="No">
      <formula>NOT(ISERROR(SEARCH(("No"),(N1144))))</formula>
    </cfRule>
  </conditionalFormatting>
  <conditionalFormatting sqref="N1144:N1150">
    <cfRule type="containsText" dxfId="2" priority="294" operator="containsText" text="Yes">
      <formula>NOT(ISERROR(SEARCH(("Yes"),(N1144))))</formula>
    </cfRule>
  </conditionalFormatting>
  <conditionalFormatting sqref="N1144:N1150">
    <cfRule type="containsText" dxfId="9" priority="295" operator="containsText" text="No">
      <formula>NOT(ISERROR(SEARCH(("No"),(N1144))))</formula>
    </cfRule>
  </conditionalFormatting>
  <conditionalFormatting sqref="N1144:N1150">
    <cfRule type="containsText" dxfId="9" priority="296" operator="containsText" text="No">
      <formula>NOT(ISERROR(SEARCH(("No"),(N1144))))</formula>
    </cfRule>
  </conditionalFormatting>
  <conditionalFormatting sqref="N1144:N1150">
    <cfRule type="containsText" dxfId="2" priority="297" operator="containsText" text="Yes">
      <formula>NOT(ISERROR(SEARCH(("Yes"),(N1144))))</formula>
    </cfRule>
  </conditionalFormatting>
  <conditionalFormatting sqref="N1144:N1150">
    <cfRule type="containsText" dxfId="2" priority="298" operator="containsText" text="Yes">
      <formula>NOT(ISERROR(SEARCH(("Yes"),(N1144))))</formula>
    </cfRule>
  </conditionalFormatting>
  <conditionalFormatting sqref="N1144:N1150">
    <cfRule type="containsText" dxfId="9" priority="299" operator="containsText" text="No">
      <formula>NOT(ISERROR(SEARCH(("No"),(N1144))))</formula>
    </cfRule>
  </conditionalFormatting>
  <conditionalFormatting sqref="N1144:N1150">
    <cfRule type="containsText" dxfId="2" priority="300" operator="containsText" text="Yes">
      <formula>NOT(ISERROR(SEARCH(("Yes"),(N1144))))</formula>
    </cfRule>
  </conditionalFormatting>
  <conditionalFormatting sqref="N1144:N1150">
    <cfRule type="containsText" dxfId="9" priority="301" operator="containsText" text="No">
      <formula>NOT(ISERROR(SEARCH(("No"),(N1144))))</formula>
    </cfRule>
  </conditionalFormatting>
  <conditionalFormatting sqref="N1144:N1150">
    <cfRule type="containsText" dxfId="2" priority="302" operator="containsText" text="Yes">
      <formula>NOT(ISERROR(SEARCH(("Yes"),(N1144))))</formula>
    </cfRule>
  </conditionalFormatting>
  <conditionalFormatting sqref="N1144:N1150">
    <cfRule type="containsText" dxfId="9" priority="303" operator="containsText" text="No">
      <formula>NOT(ISERROR(SEARCH(("No"),(N1144))))</formula>
    </cfRule>
  </conditionalFormatting>
  <conditionalFormatting sqref="N1144:N1150">
    <cfRule type="containsText" dxfId="2" priority="304" operator="containsText" text="Yes">
      <formula>NOT(ISERROR(SEARCH(("Yes"),(N1144))))</formula>
    </cfRule>
  </conditionalFormatting>
  <conditionalFormatting sqref="N1144:N1150">
    <cfRule type="containsText" dxfId="9" priority="305" operator="containsText" text="No">
      <formula>NOT(ISERROR(SEARCH(("No"),(N1144))))</formula>
    </cfRule>
  </conditionalFormatting>
  <conditionalFormatting sqref="N1144:N1150">
    <cfRule type="containsText" dxfId="2" priority="306" operator="containsText" text="Yes">
      <formula>NOT(ISERROR(SEARCH(("Yes"),(N1144))))</formula>
    </cfRule>
  </conditionalFormatting>
  <conditionalFormatting sqref="N1156:N1157">
    <cfRule type="containsText" dxfId="9" priority="307" operator="containsText" text="No">
      <formula>NOT(ISERROR(SEARCH(("No"),(N1156))))</formula>
    </cfRule>
  </conditionalFormatting>
  <conditionalFormatting sqref="N1156:N1157">
    <cfRule type="containsText" dxfId="2" priority="308" operator="containsText" text="Yes">
      <formula>NOT(ISERROR(SEARCH(("Yes"),(N1156))))</formula>
    </cfRule>
  </conditionalFormatting>
  <conditionalFormatting sqref="N1156:N1157">
    <cfRule type="containsText" dxfId="9" priority="309" operator="containsText" text="No">
      <formula>NOT(ISERROR(SEARCH(("No"),(N1156))))</formula>
    </cfRule>
  </conditionalFormatting>
  <conditionalFormatting sqref="N1156:N1157">
    <cfRule type="containsText" dxfId="9" priority="310" operator="containsText" text="No">
      <formula>NOT(ISERROR(SEARCH(("No"),(N1156))))</formula>
    </cfRule>
  </conditionalFormatting>
  <conditionalFormatting sqref="N1156:N1157">
    <cfRule type="containsText" dxfId="2" priority="311" operator="containsText" text="Yes">
      <formula>NOT(ISERROR(SEARCH(("Yes"),(N1156))))</formula>
    </cfRule>
  </conditionalFormatting>
  <conditionalFormatting sqref="N1156:N1157">
    <cfRule type="containsText" dxfId="2" priority="312" operator="containsText" text="Yes">
      <formula>NOT(ISERROR(SEARCH(("Yes"),(N1156))))</formula>
    </cfRule>
  </conditionalFormatting>
  <conditionalFormatting sqref="N1156:N1157">
    <cfRule type="containsText" dxfId="9" priority="313" operator="containsText" text="No">
      <formula>NOT(ISERROR(SEARCH(("No"),(N1156))))</formula>
    </cfRule>
  </conditionalFormatting>
  <conditionalFormatting sqref="N1156:N1157">
    <cfRule type="containsText" dxfId="2" priority="314" operator="containsText" text="Yes">
      <formula>NOT(ISERROR(SEARCH(("Yes"),(N1156))))</formula>
    </cfRule>
  </conditionalFormatting>
  <conditionalFormatting sqref="N1156:N1157">
    <cfRule type="containsText" dxfId="9" priority="315" operator="containsText" text="No">
      <formula>NOT(ISERROR(SEARCH(("No"),(N1156))))</formula>
    </cfRule>
  </conditionalFormatting>
  <conditionalFormatting sqref="N1156:N1157">
    <cfRule type="containsText" dxfId="2" priority="316" operator="containsText" text="Yes">
      <formula>NOT(ISERROR(SEARCH(("Yes"),(N1156))))</formula>
    </cfRule>
  </conditionalFormatting>
  <conditionalFormatting sqref="N1156:N1157">
    <cfRule type="containsText" dxfId="9" priority="317" operator="containsText" text="No">
      <formula>NOT(ISERROR(SEARCH(("No"),(N1156))))</formula>
    </cfRule>
  </conditionalFormatting>
  <conditionalFormatting sqref="N1156:N1157">
    <cfRule type="containsText" dxfId="2" priority="318" operator="containsText" text="Yes">
      <formula>NOT(ISERROR(SEARCH(("Yes"),(N1156))))</formula>
    </cfRule>
  </conditionalFormatting>
  <conditionalFormatting sqref="N1156:N1157">
    <cfRule type="containsText" dxfId="9" priority="319" operator="containsText" text="No">
      <formula>NOT(ISERROR(SEARCH(("No"),(N1156))))</formula>
    </cfRule>
  </conditionalFormatting>
  <conditionalFormatting sqref="N1156:N1157">
    <cfRule type="containsText" dxfId="2" priority="320" operator="containsText" text="Yes">
      <formula>NOT(ISERROR(SEARCH(("Yes"),(N1156))))</formula>
    </cfRule>
  </conditionalFormatting>
  <conditionalFormatting sqref="N1160:N1162">
    <cfRule type="containsText" dxfId="9" priority="321" operator="containsText" text="No">
      <formula>NOT(ISERROR(SEARCH(("No"),(N1160))))</formula>
    </cfRule>
  </conditionalFormatting>
  <conditionalFormatting sqref="N1160:N1162">
    <cfRule type="containsText" dxfId="2" priority="322" operator="containsText" text="Yes">
      <formula>NOT(ISERROR(SEARCH(("Yes"),(N1160))))</formula>
    </cfRule>
  </conditionalFormatting>
  <conditionalFormatting sqref="N1160:N1162">
    <cfRule type="containsText" dxfId="9" priority="323" operator="containsText" text="No">
      <formula>NOT(ISERROR(SEARCH(("No"),(N1160))))</formula>
    </cfRule>
  </conditionalFormatting>
  <conditionalFormatting sqref="N1160:N1162">
    <cfRule type="containsText" dxfId="9" priority="324" operator="containsText" text="No">
      <formula>NOT(ISERROR(SEARCH(("No"),(N1160))))</formula>
    </cfRule>
  </conditionalFormatting>
  <conditionalFormatting sqref="N1160:N1162">
    <cfRule type="containsText" dxfId="2" priority="325" operator="containsText" text="Yes">
      <formula>NOT(ISERROR(SEARCH(("Yes"),(N1160))))</formula>
    </cfRule>
  </conditionalFormatting>
  <conditionalFormatting sqref="N1160:N1162">
    <cfRule type="containsText" dxfId="2" priority="326" operator="containsText" text="Yes">
      <formula>NOT(ISERROR(SEARCH(("Yes"),(N1160))))</formula>
    </cfRule>
  </conditionalFormatting>
  <conditionalFormatting sqref="N1160:N1162">
    <cfRule type="containsText" dxfId="9" priority="327" operator="containsText" text="No">
      <formula>NOT(ISERROR(SEARCH(("No"),(N1160))))</formula>
    </cfRule>
  </conditionalFormatting>
  <conditionalFormatting sqref="N1160:N1162">
    <cfRule type="containsText" dxfId="2" priority="328" operator="containsText" text="Yes">
      <formula>NOT(ISERROR(SEARCH(("Yes"),(N1160))))</formula>
    </cfRule>
  </conditionalFormatting>
  <conditionalFormatting sqref="N1160:N1162">
    <cfRule type="containsText" dxfId="9" priority="329" operator="containsText" text="No">
      <formula>NOT(ISERROR(SEARCH(("No"),(N1160))))</formula>
    </cfRule>
  </conditionalFormatting>
  <conditionalFormatting sqref="N1160:N1162">
    <cfRule type="containsText" dxfId="2" priority="330" operator="containsText" text="Yes">
      <formula>NOT(ISERROR(SEARCH(("Yes"),(N1160))))</formula>
    </cfRule>
  </conditionalFormatting>
  <conditionalFormatting sqref="N1160:N1162">
    <cfRule type="containsText" dxfId="9" priority="331" operator="containsText" text="No">
      <formula>NOT(ISERROR(SEARCH(("No"),(N1160))))</formula>
    </cfRule>
  </conditionalFormatting>
  <conditionalFormatting sqref="N1160:N1162">
    <cfRule type="containsText" dxfId="2" priority="332" operator="containsText" text="Yes">
      <formula>NOT(ISERROR(SEARCH(("Yes"),(N1160))))</formula>
    </cfRule>
  </conditionalFormatting>
  <conditionalFormatting sqref="N1160:N1162">
    <cfRule type="containsText" dxfId="9" priority="333" operator="containsText" text="No">
      <formula>NOT(ISERROR(SEARCH(("No"),(N1160))))</formula>
    </cfRule>
  </conditionalFormatting>
  <conditionalFormatting sqref="N1160:N1162">
    <cfRule type="containsText" dxfId="2" priority="334" operator="containsText" text="Yes">
      <formula>NOT(ISERROR(SEARCH(("Yes"),(N1160))))</formula>
    </cfRule>
  </conditionalFormatting>
  <conditionalFormatting sqref="N3:N3008 P3:Q3008 O13:O83 O85:O91 O96:O99 O102:O109 O112:O113 O115:O118 O121:O133 O136:O139 O142:O143 O145:O152 O154:O155 O159 O161:O162 O164:O167 O170 O172 O174:O226 U204:V204 O228:O252 O254:O256 O258:O264 O267:O269 O272:O273 O275 O295:O296 O362 O383:O384 O587:O589 O591 O593 O595:O794 V692">
    <cfRule type="containsText" dxfId="2" priority="335" operator="containsText" text="Yes">
      <formula>NOT(ISERROR(SEARCH(("Yes"),(N3))))</formula>
    </cfRule>
  </conditionalFormatting>
  <conditionalFormatting sqref="N795:O795">
    <cfRule type="containsText" dxfId="9" priority="336" operator="containsText" text="No">
      <formula>NOT(ISERROR(SEARCH(("No"),(N795))))</formula>
    </cfRule>
  </conditionalFormatting>
  <conditionalFormatting sqref="N795:O795">
    <cfRule type="containsText" dxfId="2" priority="337" operator="containsText" text="Yes">
      <formula>NOT(ISERROR(SEARCH(("Yes"),(N795))))</formula>
    </cfRule>
  </conditionalFormatting>
  <conditionalFormatting sqref="N796:O796">
    <cfRule type="containsText" dxfId="9" priority="338" operator="containsText" text="No">
      <formula>NOT(ISERROR(SEARCH(("No"),(N796))))</formula>
    </cfRule>
  </conditionalFormatting>
  <conditionalFormatting sqref="N796:O796">
    <cfRule type="containsText" dxfId="2" priority="339" operator="containsText" text="Yes">
      <formula>NOT(ISERROR(SEARCH(("Yes"),(N796))))</formula>
    </cfRule>
  </conditionalFormatting>
  <conditionalFormatting sqref="N797:O797">
    <cfRule type="containsText" dxfId="9" priority="340" operator="containsText" text="No">
      <formula>NOT(ISERROR(SEARCH(("No"),(N797))))</formula>
    </cfRule>
  </conditionalFormatting>
  <conditionalFormatting sqref="N797:O797">
    <cfRule type="containsText" dxfId="2" priority="341" operator="containsText" text="Yes">
      <formula>NOT(ISERROR(SEARCH(("Yes"),(N797))))</formula>
    </cfRule>
  </conditionalFormatting>
  <conditionalFormatting sqref="N798:O798">
    <cfRule type="containsText" dxfId="9" priority="342" operator="containsText" text="No">
      <formula>NOT(ISERROR(SEARCH(("No"),(N798))))</formula>
    </cfRule>
  </conditionalFormatting>
  <conditionalFormatting sqref="N798:O798">
    <cfRule type="containsText" dxfId="2" priority="343" operator="containsText" text="Yes">
      <formula>NOT(ISERROR(SEARCH(("Yes"),(N798))))</formula>
    </cfRule>
  </conditionalFormatting>
  <conditionalFormatting sqref="N799:O799">
    <cfRule type="containsText" dxfId="9" priority="344" operator="containsText" text="No">
      <formula>NOT(ISERROR(SEARCH(("No"),(N799))))</formula>
    </cfRule>
  </conditionalFormatting>
  <conditionalFormatting sqref="N799:O799">
    <cfRule type="containsText" dxfId="2" priority="345" operator="containsText" text="Yes">
      <formula>NOT(ISERROR(SEARCH(("Yes"),(N799))))</formula>
    </cfRule>
  </conditionalFormatting>
  <conditionalFormatting sqref="N800:O800">
    <cfRule type="containsText" dxfId="9" priority="346" operator="containsText" text="No">
      <formula>NOT(ISERROR(SEARCH(("No"),(N800))))</formula>
    </cfRule>
  </conditionalFormatting>
  <conditionalFormatting sqref="N800:O800">
    <cfRule type="containsText" dxfId="2" priority="347" operator="containsText" text="Yes">
      <formula>NOT(ISERROR(SEARCH(("Yes"),(N800))))</formula>
    </cfRule>
  </conditionalFormatting>
  <conditionalFormatting sqref="N804:O804">
    <cfRule type="containsText" dxfId="9" priority="348" operator="containsText" text="No">
      <formula>NOT(ISERROR(SEARCH(("No"),(N804))))</formula>
    </cfRule>
  </conditionalFormatting>
  <conditionalFormatting sqref="N804:O804">
    <cfRule type="containsText" dxfId="2" priority="349" operator="containsText" text="Yes">
      <formula>NOT(ISERROR(SEARCH(("Yes"),(N804))))</formula>
    </cfRule>
  </conditionalFormatting>
  <conditionalFormatting sqref="N806:O806">
    <cfRule type="containsText" dxfId="9" priority="350" operator="containsText" text="No">
      <formula>NOT(ISERROR(SEARCH(("No"),(N806))))</formula>
    </cfRule>
  </conditionalFormatting>
  <conditionalFormatting sqref="N806:O806">
    <cfRule type="containsText" dxfId="2" priority="351" operator="containsText" text="Yes">
      <formula>NOT(ISERROR(SEARCH(("Yes"),(N806))))</formula>
    </cfRule>
  </conditionalFormatting>
  <conditionalFormatting sqref="N807:O807">
    <cfRule type="containsText" dxfId="9" priority="352" operator="containsText" text="No">
      <formula>NOT(ISERROR(SEARCH(("No"),(N807))))</formula>
    </cfRule>
  </conditionalFormatting>
  <conditionalFormatting sqref="N807:O807">
    <cfRule type="containsText" dxfId="2" priority="353" operator="containsText" text="Yes">
      <formula>NOT(ISERROR(SEARCH(("Yes"),(N807))))</formula>
    </cfRule>
  </conditionalFormatting>
  <conditionalFormatting sqref="N808:O808">
    <cfRule type="containsText" dxfId="9" priority="354" operator="containsText" text="No">
      <formula>NOT(ISERROR(SEARCH(("No"),(N808))))</formula>
    </cfRule>
  </conditionalFormatting>
  <conditionalFormatting sqref="N808:O808">
    <cfRule type="containsText" dxfId="2" priority="355" operator="containsText" text="Yes">
      <formula>NOT(ISERROR(SEARCH(("Yes"),(N808))))</formula>
    </cfRule>
  </conditionalFormatting>
  <conditionalFormatting sqref="N809:O809">
    <cfRule type="containsText" dxfId="9" priority="356" operator="containsText" text="No">
      <formula>NOT(ISERROR(SEARCH(("No"),(N809))))</formula>
    </cfRule>
  </conditionalFormatting>
  <conditionalFormatting sqref="N809:O809">
    <cfRule type="containsText" dxfId="2" priority="357" operator="containsText" text="Yes">
      <formula>NOT(ISERROR(SEARCH(("Yes"),(N809))))</formula>
    </cfRule>
  </conditionalFormatting>
  <conditionalFormatting sqref="N810:O810">
    <cfRule type="containsText" dxfId="9" priority="358" operator="containsText" text="No">
      <formula>NOT(ISERROR(SEARCH(("No"),(N810))))</formula>
    </cfRule>
  </conditionalFormatting>
  <conditionalFormatting sqref="N810:O810">
    <cfRule type="containsText" dxfId="2" priority="359" operator="containsText" text="Yes">
      <formula>NOT(ISERROR(SEARCH(("Yes"),(N810))))</formula>
    </cfRule>
  </conditionalFormatting>
  <conditionalFormatting sqref="N811:O811">
    <cfRule type="containsText" dxfId="9" priority="360" operator="containsText" text="No">
      <formula>NOT(ISERROR(SEARCH(("No"),(N811))))</formula>
    </cfRule>
  </conditionalFormatting>
  <conditionalFormatting sqref="N811:O811">
    <cfRule type="containsText" dxfId="2" priority="361" operator="containsText" text="Yes">
      <formula>NOT(ISERROR(SEARCH(("Yes"),(N811))))</formula>
    </cfRule>
  </conditionalFormatting>
  <conditionalFormatting sqref="N812:O812">
    <cfRule type="containsText" dxfId="9" priority="362" operator="containsText" text="No">
      <formula>NOT(ISERROR(SEARCH(("No"),(N812))))</formula>
    </cfRule>
  </conditionalFormatting>
  <conditionalFormatting sqref="N812:O812">
    <cfRule type="containsText" dxfId="2" priority="363" operator="containsText" text="Yes">
      <formula>NOT(ISERROR(SEARCH(("Yes"),(N812))))</formula>
    </cfRule>
  </conditionalFormatting>
  <conditionalFormatting sqref="N813:O813">
    <cfRule type="containsText" dxfId="9" priority="364" operator="containsText" text="No">
      <formula>NOT(ISERROR(SEARCH(("No"),(N813))))</formula>
    </cfRule>
  </conditionalFormatting>
  <conditionalFormatting sqref="N813:O813">
    <cfRule type="containsText" dxfId="2" priority="365" operator="containsText" text="Yes">
      <formula>NOT(ISERROR(SEARCH(("Yes"),(N813))))</formula>
    </cfRule>
  </conditionalFormatting>
  <conditionalFormatting sqref="N814:O814">
    <cfRule type="containsText" dxfId="9" priority="366" operator="containsText" text="No">
      <formula>NOT(ISERROR(SEARCH(("No"),(N814))))</formula>
    </cfRule>
  </conditionalFormatting>
  <conditionalFormatting sqref="N814:O814">
    <cfRule type="containsText" dxfId="2" priority="367" operator="containsText" text="Yes">
      <formula>NOT(ISERROR(SEARCH(("Yes"),(N814))))</formula>
    </cfRule>
  </conditionalFormatting>
  <conditionalFormatting sqref="N815:O815">
    <cfRule type="containsText" dxfId="9" priority="368" operator="containsText" text="No">
      <formula>NOT(ISERROR(SEARCH(("No"),(N815))))</formula>
    </cfRule>
  </conditionalFormatting>
  <conditionalFormatting sqref="N815:O815">
    <cfRule type="containsText" dxfId="2" priority="369" operator="containsText" text="Yes">
      <formula>NOT(ISERROR(SEARCH(("Yes"),(N815))))</formula>
    </cfRule>
  </conditionalFormatting>
  <conditionalFormatting sqref="N817:O818">
    <cfRule type="containsText" dxfId="9" priority="370" operator="containsText" text="No">
      <formula>NOT(ISERROR(SEARCH(("No"),(N817))))</formula>
    </cfRule>
  </conditionalFormatting>
  <conditionalFormatting sqref="N817:O818">
    <cfRule type="containsText" dxfId="2" priority="371" operator="containsText" text="Yes">
      <formula>NOT(ISERROR(SEARCH(("Yes"),(N817))))</formula>
    </cfRule>
  </conditionalFormatting>
  <conditionalFormatting sqref="N820:O820">
    <cfRule type="containsText" dxfId="9" priority="372" operator="containsText" text="No">
      <formula>NOT(ISERROR(SEARCH(("No"),(N820))))</formula>
    </cfRule>
  </conditionalFormatting>
  <conditionalFormatting sqref="N820:O820">
    <cfRule type="containsText" dxfId="2" priority="373" operator="containsText" text="Yes">
      <formula>NOT(ISERROR(SEARCH(("Yes"),(N820))))</formula>
    </cfRule>
  </conditionalFormatting>
  <conditionalFormatting sqref="N821:O821">
    <cfRule type="containsText" dxfId="9" priority="374" operator="containsText" text="No">
      <formula>NOT(ISERROR(SEARCH(("No"),(N821))))</formula>
    </cfRule>
  </conditionalFormatting>
  <conditionalFormatting sqref="N821:O821">
    <cfRule type="containsText" dxfId="2" priority="375" operator="containsText" text="Yes">
      <formula>NOT(ISERROR(SEARCH(("Yes"),(N821))))</formula>
    </cfRule>
  </conditionalFormatting>
  <conditionalFormatting sqref="N822:O822">
    <cfRule type="containsText" dxfId="9" priority="376" operator="containsText" text="No">
      <formula>NOT(ISERROR(SEARCH(("No"),(N822))))</formula>
    </cfRule>
  </conditionalFormatting>
  <conditionalFormatting sqref="N822:O822">
    <cfRule type="containsText" dxfId="2" priority="377" operator="containsText" text="Yes">
      <formula>NOT(ISERROR(SEARCH(("Yes"),(N822))))</formula>
    </cfRule>
  </conditionalFormatting>
  <conditionalFormatting sqref="N823:O823">
    <cfRule type="containsText" dxfId="9" priority="378" operator="containsText" text="No">
      <formula>NOT(ISERROR(SEARCH(("No"),(N823))))</formula>
    </cfRule>
  </conditionalFormatting>
  <conditionalFormatting sqref="N823:O823">
    <cfRule type="containsText" dxfId="2" priority="379" operator="containsText" text="Yes">
      <formula>NOT(ISERROR(SEARCH(("Yes"),(N823))))</formula>
    </cfRule>
  </conditionalFormatting>
  <conditionalFormatting sqref="N824:O824">
    <cfRule type="containsText" dxfId="9" priority="380" operator="containsText" text="No">
      <formula>NOT(ISERROR(SEARCH(("No"),(N824))))</formula>
    </cfRule>
  </conditionalFormatting>
  <conditionalFormatting sqref="N824:O824">
    <cfRule type="containsText" dxfId="2" priority="381" operator="containsText" text="Yes">
      <formula>NOT(ISERROR(SEARCH(("Yes"),(N824))))</formula>
    </cfRule>
  </conditionalFormatting>
  <conditionalFormatting sqref="N825:O825">
    <cfRule type="containsText" dxfId="9" priority="382" operator="containsText" text="No">
      <formula>NOT(ISERROR(SEARCH(("No"),(N825))))</formula>
    </cfRule>
  </conditionalFormatting>
  <conditionalFormatting sqref="N825:O825">
    <cfRule type="containsText" dxfId="2" priority="383" operator="containsText" text="Yes">
      <formula>NOT(ISERROR(SEARCH(("Yes"),(N825))))</formula>
    </cfRule>
  </conditionalFormatting>
  <conditionalFormatting sqref="N826:O826">
    <cfRule type="containsText" dxfId="9" priority="384" operator="containsText" text="No">
      <formula>NOT(ISERROR(SEARCH(("No"),(N826))))</formula>
    </cfRule>
  </conditionalFormatting>
  <conditionalFormatting sqref="N826:O826">
    <cfRule type="containsText" dxfId="2" priority="385" operator="containsText" text="Yes">
      <formula>NOT(ISERROR(SEARCH(("Yes"),(N826))))</formula>
    </cfRule>
  </conditionalFormatting>
  <conditionalFormatting sqref="N827:O827">
    <cfRule type="containsText" dxfId="9" priority="386" operator="containsText" text="No">
      <formula>NOT(ISERROR(SEARCH(("No"),(N827))))</formula>
    </cfRule>
  </conditionalFormatting>
  <conditionalFormatting sqref="N827:O827">
    <cfRule type="containsText" dxfId="2" priority="387" operator="containsText" text="Yes">
      <formula>NOT(ISERROR(SEARCH(("Yes"),(N827))))</formula>
    </cfRule>
  </conditionalFormatting>
  <conditionalFormatting sqref="N828:O828">
    <cfRule type="containsText" dxfId="9" priority="388" operator="containsText" text="No">
      <formula>NOT(ISERROR(SEARCH(("No"),(N828))))</formula>
    </cfRule>
  </conditionalFormatting>
  <conditionalFormatting sqref="N828:O828">
    <cfRule type="containsText" dxfId="2" priority="389" operator="containsText" text="Yes">
      <formula>NOT(ISERROR(SEARCH(("Yes"),(N828))))</formula>
    </cfRule>
  </conditionalFormatting>
  <conditionalFormatting sqref="N829:O829">
    <cfRule type="containsText" dxfId="9" priority="390" operator="containsText" text="No">
      <formula>NOT(ISERROR(SEARCH(("No"),(N829))))</formula>
    </cfRule>
  </conditionalFormatting>
  <conditionalFormatting sqref="N829:O829">
    <cfRule type="containsText" dxfId="2" priority="391" operator="containsText" text="Yes">
      <formula>NOT(ISERROR(SEARCH(("Yes"),(N829))))</formula>
    </cfRule>
  </conditionalFormatting>
  <conditionalFormatting sqref="N830:O830">
    <cfRule type="containsText" dxfId="9" priority="392" operator="containsText" text="No">
      <formula>NOT(ISERROR(SEARCH(("No"),(N830))))</formula>
    </cfRule>
  </conditionalFormatting>
  <conditionalFormatting sqref="N830:O830">
    <cfRule type="containsText" dxfId="2" priority="393" operator="containsText" text="Yes">
      <formula>NOT(ISERROR(SEARCH(("Yes"),(N830))))</formula>
    </cfRule>
  </conditionalFormatting>
  <conditionalFormatting sqref="N832:O832">
    <cfRule type="containsText" dxfId="9" priority="394" operator="containsText" text="No">
      <formula>NOT(ISERROR(SEARCH(("No"),(N832))))</formula>
    </cfRule>
  </conditionalFormatting>
  <conditionalFormatting sqref="N832:O832">
    <cfRule type="containsText" dxfId="2" priority="395" operator="containsText" text="Yes">
      <formula>NOT(ISERROR(SEARCH(("Yes"),(N832))))</formula>
    </cfRule>
  </conditionalFormatting>
  <conditionalFormatting sqref="N835:O835">
    <cfRule type="containsText" dxfId="9" priority="396" operator="containsText" text="No">
      <formula>NOT(ISERROR(SEARCH(("No"),(N835))))</formula>
    </cfRule>
  </conditionalFormatting>
  <conditionalFormatting sqref="N835:O835">
    <cfRule type="containsText" dxfId="2" priority="397" operator="containsText" text="Yes">
      <formula>NOT(ISERROR(SEARCH(("Yes"),(N835))))</formula>
    </cfRule>
  </conditionalFormatting>
  <conditionalFormatting sqref="N836:O836">
    <cfRule type="containsText" dxfId="9" priority="398" operator="containsText" text="No">
      <formula>NOT(ISERROR(SEARCH(("No"),(N836))))</formula>
    </cfRule>
  </conditionalFormatting>
  <conditionalFormatting sqref="N836:O836">
    <cfRule type="containsText" dxfId="2" priority="399" operator="containsText" text="Yes">
      <formula>NOT(ISERROR(SEARCH(("Yes"),(N836))))</formula>
    </cfRule>
  </conditionalFormatting>
  <conditionalFormatting sqref="N837:O837">
    <cfRule type="containsText" dxfId="9" priority="400" operator="containsText" text="No">
      <formula>NOT(ISERROR(SEARCH(("No"),(N837))))</formula>
    </cfRule>
  </conditionalFormatting>
  <conditionalFormatting sqref="N837:O837">
    <cfRule type="containsText" dxfId="2" priority="401" operator="containsText" text="Yes">
      <formula>NOT(ISERROR(SEARCH(("Yes"),(N837))))</formula>
    </cfRule>
  </conditionalFormatting>
  <conditionalFormatting sqref="N838:O838">
    <cfRule type="containsText" dxfId="9" priority="402" operator="containsText" text="No">
      <formula>NOT(ISERROR(SEARCH(("No"),(N838))))</formula>
    </cfRule>
  </conditionalFormatting>
  <conditionalFormatting sqref="N838:O838">
    <cfRule type="containsText" dxfId="2" priority="403" operator="containsText" text="Yes">
      <formula>NOT(ISERROR(SEARCH(("Yes"),(N838))))</formula>
    </cfRule>
  </conditionalFormatting>
  <conditionalFormatting sqref="N839:O839">
    <cfRule type="containsText" dxfId="9" priority="404" operator="containsText" text="No">
      <formula>NOT(ISERROR(SEARCH(("No"),(N839))))</formula>
    </cfRule>
  </conditionalFormatting>
  <conditionalFormatting sqref="N839:O839">
    <cfRule type="containsText" dxfId="2" priority="405" operator="containsText" text="Yes">
      <formula>NOT(ISERROR(SEARCH(("Yes"),(N839))))</formula>
    </cfRule>
  </conditionalFormatting>
  <conditionalFormatting sqref="N840:O840">
    <cfRule type="containsText" dxfId="9" priority="406" operator="containsText" text="No">
      <formula>NOT(ISERROR(SEARCH(("No"),(N840))))</formula>
    </cfRule>
  </conditionalFormatting>
  <conditionalFormatting sqref="N840:O840">
    <cfRule type="containsText" dxfId="2" priority="407" operator="containsText" text="Yes">
      <formula>NOT(ISERROR(SEARCH(("Yes"),(N840))))</formula>
    </cfRule>
  </conditionalFormatting>
  <conditionalFormatting sqref="N841:O841">
    <cfRule type="containsText" dxfId="9" priority="408" operator="containsText" text="No">
      <formula>NOT(ISERROR(SEARCH(("No"),(N841))))</formula>
    </cfRule>
  </conditionalFormatting>
  <conditionalFormatting sqref="N841:O841">
    <cfRule type="containsText" dxfId="2" priority="409" operator="containsText" text="Yes">
      <formula>NOT(ISERROR(SEARCH(("Yes"),(N841))))</formula>
    </cfRule>
  </conditionalFormatting>
  <conditionalFormatting sqref="N842:O842">
    <cfRule type="containsText" dxfId="9" priority="410" operator="containsText" text="No">
      <formula>NOT(ISERROR(SEARCH(("No"),(N842))))</formula>
    </cfRule>
  </conditionalFormatting>
  <conditionalFormatting sqref="N842:O842">
    <cfRule type="containsText" dxfId="2" priority="411" operator="containsText" text="Yes">
      <formula>NOT(ISERROR(SEARCH(("Yes"),(N842))))</formula>
    </cfRule>
  </conditionalFormatting>
  <conditionalFormatting sqref="N843:O843">
    <cfRule type="containsText" dxfId="9" priority="412" operator="containsText" text="No">
      <formula>NOT(ISERROR(SEARCH(("No"),(N843))))</formula>
    </cfRule>
  </conditionalFormatting>
  <conditionalFormatting sqref="N843:O843">
    <cfRule type="containsText" dxfId="2" priority="413" operator="containsText" text="Yes">
      <formula>NOT(ISERROR(SEARCH(("Yes"),(N843))))</formula>
    </cfRule>
  </conditionalFormatting>
  <conditionalFormatting sqref="N844:O844">
    <cfRule type="containsText" dxfId="9" priority="414" operator="containsText" text="No">
      <formula>NOT(ISERROR(SEARCH(("No"),(N844))))</formula>
    </cfRule>
  </conditionalFormatting>
  <conditionalFormatting sqref="N844:O844">
    <cfRule type="containsText" dxfId="2" priority="415" operator="containsText" text="Yes">
      <formula>NOT(ISERROR(SEARCH(("Yes"),(N844))))</formula>
    </cfRule>
  </conditionalFormatting>
  <conditionalFormatting sqref="N847:O847">
    <cfRule type="containsText" dxfId="9" priority="416" operator="containsText" text="No">
      <formula>NOT(ISERROR(SEARCH(("No"),(N847))))</formula>
    </cfRule>
  </conditionalFormatting>
  <conditionalFormatting sqref="N847:O847">
    <cfRule type="containsText" dxfId="2" priority="417" operator="containsText" text="Yes">
      <formula>NOT(ISERROR(SEARCH(("Yes"),(N847))))</formula>
    </cfRule>
  </conditionalFormatting>
  <conditionalFormatting sqref="N848:O848">
    <cfRule type="containsText" dxfId="9" priority="418" operator="containsText" text="No">
      <formula>NOT(ISERROR(SEARCH(("No"),(N848))))</formula>
    </cfRule>
  </conditionalFormatting>
  <conditionalFormatting sqref="N848:O848">
    <cfRule type="containsText" dxfId="2" priority="419" operator="containsText" text="Yes">
      <formula>NOT(ISERROR(SEARCH(("Yes"),(N848))))</formula>
    </cfRule>
  </conditionalFormatting>
  <conditionalFormatting sqref="N849:O849">
    <cfRule type="containsText" dxfId="9" priority="420" operator="containsText" text="No">
      <formula>NOT(ISERROR(SEARCH(("No"),(N849))))</formula>
    </cfRule>
  </conditionalFormatting>
  <conditionalFormatting sqref="N849:O849">
    <cfRule type="containsText" dxfId="2" priority="421" operator="containsText" text="Yes">
      <formula>NOT(ISERROR(SEARCH(("Yes"),(N849))))</formula>
    </cfRule>
  </conditionalFormatting>
  <conditionalFormatting sqref="N850:O850">
    <cfRule type="containsText" dxfId="9" priority="422" operator="containsText" text="No">
      <formula>NOT(ISERROR(SEARCH(("No"),(N850))))</formula>
    </cfRule>
  </conditionalFormatting>
  <conditionalFormatting sqref="N850:O850">
    <cfRule type="containsText" dxfId="2" priority="423" operator="containsText" text="Yes">
      <formula>NOT(ISERROR(SEARCH(("Yes"),(N850))))</formula>
    </cfRule>
  </conditionalFormatting>
  <conditionalFormatting sqref="N851:O851">
    <cfRule type="containsText" dxfId="9" priority="424" operator="containsText" text="No">
      <formula>NOT(ISERROR(SEARCH(("No"),(N851))))</formula>
    </cfRule>
  </conditionalFormatting>
  <conditionalFormatting sqref="N851:O851">
    <cfRule type="containsText" dxfId="2" priority="425" operator="containsText" text="Yes">
      <formula>NOT(ISERROR(SEARCH(("Yes"),(N851))))</formula>
    </cfRule>
  </conditionalFormatting>
  <conditionalFormatting sqref="N852:O852">
    <cfRule type="containsText" dxfId="9" priority="426" operator="containsText" text="No">
      <formula>NOT(ISERROR(SEARCH(("No"),(N852))))</formula>
    </cfRule>
  </conditionalFormatting>
  <conditionalFormatting sqref="N852:O852">
    <cfRule type="containsText" dxfId="2" priority="427" operator="containsText" text="Yes">
      <formula>NOT(ISERROR(SEARCH(("Yes"),(N852))))</formula>
    </cfRule>
  </conditionalFormatting>
  <conditionalFormatting sqref="N853:O853">
    <cfRule type="containsText" dxfId="9" priority="428" operator="containsText" text="No">
      <formula>NOT(ISERROR(SEARCH(("No"),(N853))))</formula>
    </cfRule>
  </conditionalFormatting>
  <conditionalFormatting sqref="N853:O853">
    <cfRule type="containsText" dxfId="2" priority="429" operator="containsText" text="Yes">
      <formula>NOT(ISERROR(SEARCH(("Yes"),(N853))))</formula>
    </cfRule>
  </conditionalFormatting>
  <conditionalFormatting sqref="N855:O855">
    <cfRule type="containsText" dxfId="9" priority="430" operator="containsText" text="No">
      <formula>NOT(ISERROR(SEARCH(("No"),(N855))))</formula>
    </cfRule>
  </conditionalFormatting>
  <conditionalFormatting sqref="N855:O855">
    <cfRule type="containsText" dxfId="2" priority="431" operator="containsText" text="Yes">
      <formula>NOT(ISERROR(SEARCH(("Yes"),(N855))))</formula>
    </cfRule>
  </conditionalFormatting>
  <conditionalFormatting sqref="N857:O857">
    <cfRule type="containsText" dxfId="9" priority="432" operator="containsText" text="No">
      <formula>NOT(ISERROR(SEARCH(("No"),(N857))))</formula>
    </cfRule>
  </conditionalFormatting>
  <conditionalFormatting sqref="N857:O857">
    <cfRule type="containsText" dxfId="2" priority="433" operator="containsText" text="Yes">
      <formula>NOT(ISERROR(SEARCH(("Yes"),(N857))))</formula>
    </cfRule>
  </conditionalFormatting>
  <conditionalFormatting sqref="N858:O858">
    <cfRule type="containsText" dxfId="9" priority="434" operator="containsText" text="No">
      <formula>NOT(ISERROR(SEARCH(("No"),(N858))))</formula>
    </cfRule>
  </conditionalFormatting>
  <conditionalFormatting sqref="N858:O858">
    <cfRule type="containsText" dxfId="2" priority="435" operator="containsText" text="Yes">
      <formula>NOT(ISERROR(SEARCH(("Yes"),(N858))))</formula>
    </cfRule>
  </conditionalFormatting>
  <conditionalFormatting sqref="N859:O859">
    <cfRule type="containsText" dxfId="9" priority="436" operator="containsText" text="No">
      <formula>NOT(ISERROR(SEARCH(("No"),(N859))))</formula>
    </cfRule>
  </conditionalFormatting>
  <conditionalFormatting sqref="N859:O859">
    <cfRule type="containsText" dxfId="2" priority="437" operator="containsText" text="Yes">
      <formula>NOT(ISERROR(SEARCH(("Yes"),(N859))))</formula>
    </cfRule>
  </conditionalFormatting>
  <conditionalFormatting sqref="N863:O863">
    <cfRule type="containsText" dxfId="9" priority="438" operator="containsText" text="No">
      <formula>NOT(ISERROR(SEARCH(("No"),(N863))))</formula>
    </cfRule>
  </conditionalFormatting>
  <conditionalFormatting sqref="N863:O863">
    <cfRule type="containsText" dxfId="2" priority="439" operator="containsText" text="Yes">
      <formula>NOT(ISERROR(SEARCH(("Yes"),(N863))))</formula>
    </cfRule>
  </conditionalFormatting>
  <conditionalFormatting sqref="N864:O864">
    <cfRule type="containsText" dxfId="9" priority="440" operator="containsText" text="No">
      <formula>NOT(ISERROR(SEARCH(("No"),(N864))))</formula>
    </cfRule>
  </conditionalFormatting>
  <conditionalFormatting sqref="N864:O864">
    <cfRule type="containsText" dxfId="2" priority="441" operator="containsText" text="Yes">
      <formula>NOT(ISERROR(SEARCH(("Yes"),(N864))))</formula>
    </cfRule>
  </conditionalFormatting>
  <conditionalFormatting sqref="N867:O867">
    <cfRule type="containsText" dxfId="9" priority="442" operator="containsText" text="No">
      <formula>NOT(ISERROR(SEARCH(("No"),(N867))))</formula>
    </cfRule>
  </conditionalFormatting>
  <conditionalFormatting sqref="N867:O867">
    <cfRule type="containsText" dxfId="2" priority="443" operator="containsText" text="Yes">
      <formula>NOT(ISERROR(SEARCH(("Yes"),(N867))))</formula>
    </cfRule>
  </conditionalFormatting>
  <conditionalFormatting sqref="N869:O869">
    <cfRule type="containsText" dxfId="9" priority="444" operator="containsText" text="No">
      <formula>NOT(ISERROR(SEARCH(("No"),(N869))))</formula>
    </cfRule>
  </conditionalFormatting>
  <conditionalFormatting sqref="N869:O869">
    <cfRule type="containsText" dxfId="2" priority="445" operator="containsText" text="Yes">
      <formula>NOT(ISERROR(SEARCH(("Yes"),(N869))))</formula>
    </cfRule>
  </conditionalFormatting>
  <conditionalFormatting sqref="N870:O870">
    <cfRule type="containsText" dxfId="9" priority="446" operator="containsText" text="No">
      <formula>NOT(ISERROR(SEARCH(("No"),(N870))))</formula>
    </cfRule>
  </conditionalFormatting>
  <conditionalFormatting sqref="N870:O870">
    <cfRule type="containsText" dxfId="2" priority="447" operator="containsText" text="Yes">
      <formula>NOT(ISERROR(SEARCH(("Yes"),(N870))))</formula>
    </cfRule>
  </conditionalFormatting>
  <conditionalFormatting sqref="N871:O871">
    <cfRule type="containsText" dxfId="9" priority="448" operator="containsText" text="No">
      <formula>NOT(ISERROR(SEARCH(("No"),(N871))))</formula>
    </cfRule>
  </conditionalFormatting>
  <conditionalFormatting sqref="N871:O871">
    <cfRule type="containsText" dxfId="2" priority="449" operator="containsText" text="Yes">
      <formula>NOT(ISERROR(SEARCH(("Yes"),(N871))))</formula>
    </cfRule>
  </conditionalFormatting>
  <conditionalFormatting sqref="N872:O872">
    <cfRule type="containsText" dxfId="9" priority="450" operator="containsText" text="No">
      <formula>NOT(ISERROR(SEARCH(("No"),(N872))))</formula>
    </cfRule>
  </conditionalFormatting>
  <conditionalFormatting sqref="N872:O872">
    <cfRule type="containsText" dxfId="2" priority="451" operator="containsText" text="Yes">
      <formula>NOT(ISERROR(SEARCH(("Yes"),(N872))))</formula>
    </cfRule>
  </conditionalFormatting>
  <conditionalFormatting sqref="N874:O874">
    <cfRule type="containsText" dxfId="9" priority="452" operator="containsText" text="No">
      <formula>NOT(ISERROR(SEARCH(("No"),(N874))))</formula>
    </cfRule>
  </conditionalFormatting>
  <conditionalFormatting sqref="N874:O874">
    <cfRule type="containsText" dxfId="2" priority="453" operator="containsText" text="Yes">
      <formula>NOT(ISERROR(SEARCH(("Yes"),(N874))))</formula>
    </cfRule>
  </conditionalFormatting>
  <conditionalFormatting sqref="N875:O875">
    <cfRule type="containsText" dxfId="9" priority="454" operator="containsText" text="No">
      <formula>NOT(ISERROR(SEARCH(("No"),(N875))))</formula>
    </cfRule>
  </conditionalFormatting>
  <conditionalFormatting sqref="N875:O875">
    <cfRule type="containsText" dxfId="2" priority="455" operator="containsText" text="Yes">
      <formula>NOT(ISERROR(SEARCH(("Yes"),(N875))))</formula>
    </cfRule>
  </conditionalFormatting>
  <conditionalFormatting sqref="N876:O876">
    <cfRule type="containsText" dxfId="9" priority="456" operator="containsText" text="No">
      <formula>NOT(ISERROR(SEARCH(("No"),(N876))))</formula>
    </cfRule>
  </conditionalFormatting>
  <conditionalFormatting sqref="N876:O876">
    <cfRule type="containsText" dxfId="2" priority="457" operator="containsText" text="Yes">
      <formula>NOT(ISERROR(SEARCH(("Yes"),(N876))))</formula>
    </cfRule>
  </conditionalFormatting>
  <conditionalFormatting sqref="N36:N56 N58:N83 N85:N87 N89:N91 N96:N99 N102:N109 N112:N113 N115:N118 N121:N126 N128:N133 N136:N139 N142:N143 N146:N152 N154 N159 N161 O819 Q819 O833:O834 Q833:Q834 O845:O846 O854 O856 O861:O862 O865:O866 Q865:Q866 O873 N877:O877 Q877 N880:O880 Q880 N883:O883 Q883 N893:O894">
    <cfRule type="containsText" dxfId="2" priority="458" operator="containsText" text="Yes">
      <formula>NOT(ISERROR(SEARCH(("Yes"),(N36))))</formula>
    </cfRule>
  </conditionalFormatting>
  <conditionalFormatting sqref="N878:O878">
    <cfRule type="containsText" dxfId="9" priority="459" operator="containsText" text="No">
      <formula>NOT(ISERROR(SEARCH(("No"),(N878))))</formula>
    </cfRule>
  </conditionalFormatting>
  <conditionalFormatting sqref="N878:O878">
    <cfRule type="containsText" dxfId="2" priority="460" operator="containsText" text="Yes">
      <formula>NOT(ISERROR(SEARCH(("Yes"),(N878))))</formula>
    </cfRule>
  </conditionalFormatting>
  <conditionalFormatting sqref="N879:O879">
    <cfRule type="containsText" dxfId="9" priority="461" operator="containsText" text="No">
      <formula>NOT(ISERROR(SEARCH(("No"),(N879))))</formula>
    </cfRule>
  </conditionalFormatting>
  <conditionalFormatting sqref="N879:O879">
    <cfRule type="containsText" dxfId="2" priority="462" operator="containsText" text="Yes">
      <formula>NOT(ISERROR(SEARCH(("Yes"),(N879))))</formula>
    </cfRule>
  </conditionalFormatting>
  <conditionalFormatting sqref="N881:O881">
    <cfRule type="containsText" dxfId="9" priority="463" operator="containsText" text="No">
      <formula>NOT(ISERROR(SEARCH(("No"),(N881))))</formula>
    </cfRule>
  </conditionalFormatting>
  <conditionalFormatting sqref="N881:O881">
    <cfRule type="containsText" dxfId="2" priority="464" operator="containsText" text="Yes">
      <formula>NOT(ISERROR(SEARCH(("Yes"),(N881))))</formula>
    </cfRule>
  </conditionalFormatting>
  <conditionalFormatting sqref="N882:O882">
    <cfRule type="containsText" dxfId="9" priority="465" operator="containsText" text="No">
      <formula>NOT(ISERROR(SEARCH(("No"),(N882))))</formula>
    </cfRule>
  </conditionalFormatting>
  <conditionalFormatting sqref="N882:O882">
    <cfRule type="containsText" dxfId="2" priority="466" operator="containsText" text="Yes">
      <formula>NOT(ISERROR(SEARCH(("Yes"),(N882))))</formula>
    </cfRule>
  </conditionalFormatting>
  <conditionalFormatting sqref="N884:O884">
    <cfRule type="containsText" dxfId="9" priority="467" operator="containsText" text="No">
      <formula>NOT(ISERROR(SEARCH(("No"),(N884))))</formula>
    </cfRule>
  </conditionalFormatting>
  <conditionalFormatting sqref="N884:O884">
    <cfRule type="containsText" dxfId="2" priority="468" operator="containsText" text="Yes">
      <formula>NOT(ISERROR(SEARCH(("Yes"),(N884))))</formula>
    </cfRule>
  </conditionalFormatting>
  <conditionalFormatting sqref="N885:O885">
    <cfRule type="containsText" dxfId="9" priority="469" operator="containsText" text="No">
      <formula>NOT(ISERROR(SEARCH(("No"),(N885))))</formula>
    </cfRule>
  </conditionalFormatting>
  <conditionalFormatting sqref="N885:O885">
    <cfRule type="containsText" dxfId="2" priority="470" operator="containsText" text="Yes">
      <formula>NOT(ISERROR(SEARCH(("Yes"),(N885))))</formula>
    </cfRule>
  </conditionalFormatting>
  <conditionalFormatting sqref="N886:O886">
    <cfRule type="containsText" dxfId="9" priority="471" operator="containsText" text="No">
      <formula>NOT(ISERROR(SEARCH(("No"),(N886))))</formula>
    </cfRule>
  </conditionalFormatting>
  <conditionalFormatting sqref="N886:O886">
    <cfRule type="containsText" dxfId="2" priority="472" operator="containsText" text="Yes">
      <formula>NOT(ISERROR(SEARCH(("Yes"),(N886))))</formula>
    </cfRule>
  </conditionalFormatting>
  <conditionalFormatting sqref="N889:O890">
    <cfRule type="containsText" dxfId="9" priority="473" operator="containsText" text="No">
      <formula>NOT(ISERROR(SEARCH(("No"),(N889))))</formula>
    </cfRule>
  </conditionalFormatting>
  <conditionalFormatting sqref="N889:O890">
    <cfRule type="containsText" dxfId="2" priority="474" operator="containsText" text="Yes">
      <formula>NOT(ISERROR(SEARCH(("Yes"),(N889))))</formula>
    </cfRule>
  </conditionalFormatting>
  <conditionalFormatting sqref="N891:O891">
    <cfRule type="containsText" dxfId="9" priority="475" operator="containsText" text="No">
      <formula>NOT(ISERROR(SEARCH(("No"),(N891))))</formula>
    </cfRule>
  </conditionalFormatting>
  <conditionalFormatting sqref="N891:O891">
    <cfRule type="containsText" dxfId="2" priority="476" operator="containsText" text="Yes">
      <formula>NOT(ISERROR(SEARCH(("Yes"),(N891))))</formula>
    </cfRule>
  </conditionalFormatting>
  <conditionalFormatting sqref="N892:O892">
    <cfRule type="containsText" dxfId="9" priority="477" operator="containsText" text="No">
      <formula>NOT(ISERROR(SEARCH(("No"),(N892))))</formula>
    </cfRule>
  </conditionalFormatting>
  <conditionalFormatting sqref="N892:O892">
    <cfRule type="containsText" dxfId="2" priority="478" operator="containsText" text="Yes">
      <formula>NOT(ISERROR(SEARCH(("Yes"),(N892))))</formula>
    </cfRule>
  </conditionalFormatting>
  <conditionalFormatting sqref="N895:O895">
    <cfRule type="containsText" dxfId="9" priority="479" operator="containsText" text="No">
      <formula>NOT(ISERROR(SEARCH(("No"),(N895))))</formula>
    </cfRule>
  </conditionalFormatting>
  <conditionalFormatting sqref="N895:O895">
    <cfRule type="containsText" dxfId="2" priority="480" operator="containsText" text="Yes">
      <formula>NOT(ISERROR(SEARCH(("Yes"),(N895))))</formula>
    </cfRule>
  </conditionalFormatting>
  <conditionalFormatting sqref="N896:O896">
    <cfRule type="containsText" dxfId="9" priority="481" operator="containsText" text="No">
      <formula>NOT(ISERROR(SEARCH(("No"),(N896))))</formula>
    </cfRule>
  </conditionalFormatting>
  <conditionalFormatting sqref="N896:O896">
    <cfRule type="containsText" dxfId="2" priority="482" operator="containsText" text="Yes">
      <formula>NOT(ISERROR(SEARCH(("Yes"),(N896))))</formula>
    </cfRule>
  </conditionalFormatting>
  <conditionalFormatting sqref="N897:O897">
    <cfRule type="containsText" dxfId="9" priority="483" operator="containsText" text="No">
      <formula>NOT(ISERROR(SEARCH(("No"),(N897))))</formula>
    </cfRule>
  </conditionalFormatting>
  <conditionalFormatting sqref="N897:O897">
    <cfRule type="containsText" dxfId="2" priority="484" operator="containsText" text="Yes">
      <formula>NOT(ISERROR(SEARCH(("Yes"),(N897))))</formula>
    </cfRule>
  </conditionalFormatting>
  <conditionalFormatting sqref="N898:O898">
    <cfRule type="containsText" dxfId="9" priority="485" operator="containsText" text="No">
      <formula>NOT(ISERROR(SEARCH(("No"),(N898))))</formula>
    </cfRule>
  </conditionalFormatting>
  <conditionalFormatting sqref="N898:O898">
    <cfRule type="containsText" dxfId="2" priority="486" operator="containsText" text="Yes">
      <formula>NOT(ISERROR(SEARCH(("Yes"),(N898))))</formula>
    </cfRule>
  </conditionalFormatting>
  <conditionalFormatting sqref="N899:O899">
    <cfRule type="containsText" dxfId="9" priority="487" operator="containsText" text="No">
      <formula>NOT(ISERROR(SEARCH(("No"),(N899))))</formula>
    </cfRule>
  </conditionalFormatting>
  <conditionalFormatting sqref="N899:O899">
    <cfRule type="containsText" dxfId="2" priority="488" operator="containsText" text="Yes">
      <formula>NOT(ISERROR(SEARCH(("Yes"),(N899))))</formula>
    </cfRule>
  </conditionalFormatting>
  <conditionalFormatting sqref="N900:O900">
    <cfRule type="containsText" dxfId="9" priority="489" operator="containsText" text="No">
      <formula>NOT(ISERROR(SEARCH(("No"),(N900))))</formula>
    </cfRule>
  </conditionalFormatting>
  <conditionalFormatting sqref="N900:O900">
    <cfRule type="containsText" dxfId="2" priority="490" operator="containsText" text="Yes">
      <formula>NOT(ISERROR(SEARCH(("Yes"),(N900))))</formula>
    </cfRule>
  </conditionalFormatting>
  <conditionalFormatting sqref="N902:O902">
    <cfRule type="containsText" dxfId="9" priority="491" operator="containsText" text="No">
      <formula>NOT(ISERROR(SEARCH(("No"),(N902))))</formula>
    </cfRule>
  </conditionalFormatting>
  <conditionalFormatting sqref="N902:O902">
    <cfRule type="containsText" dxfId="2" priority="492" operator="containsText" text="Yes">
      <formula>NOT(ISERROR(SEARCH(("Yes"),(N902))))</formula>
    </cfRule>
  </conditionalFormatting>
  <conditionalFormatting sqref="N903:O903">
    <cfRule type="containsText" dxfId="9" priority="493" operator="containsText" text="No">
      <formula>NOT(ISERROR(SEARCH(("No"),(N903))))</formula>
    </cfRule>
  </conditionalFormatting>
  <conditionalFormatting sqref="N903:O903">
    <cfRule type="containsText" dxfId="2" priority="494" operator="containsText" text="Yes">
      <formula>NOT(ISERROR(SEARCH(("Yes"),(N903))))</formula>
    </cfRule>
  </conditionalFormatting>
  <conditionalFormatting sqref="N905:O905">
    <cfRule type="containsText" dxfId="9" priority="495" operator="containsText" text="No">
      <formula>NOT(ISERROR(SEARCH(("No"),(N905))))</formula>
    </cfRule>
  </conditionalFormatting>
  <conditionalFormatting sqref="N905:O905">
    <cfRule type="containsText" dxfId="2" priority="496" operator="containsText" text="Yes">
      <formula>NOT(ISERROR(SEARCH(("Yes"),(N905))))</formula>
    </cfRule>
  </conditionalFormatting>
  <conditionalFormatting sqref="N906:O906">
    <cfRule type="containsText" dxfId="9" priority="497" operator="containsText" text="No">
      <formula>NOT(ISERROR(SEARCH(("No"),(N906))))</formula>
    </cfRule>
  </conditionalFormatting>
  <conditionalFormatting sqref="N906:O906">
    <cfRule type="containsText" dxfId="2" priority="498" operator="containsText" text="Yes">
      <formula>NOT(ISERROR(SEARCH(("Yes"),(N906))))</formula>
    </cfRule>
  </conditionalFormatting>
  <conditionalFormatting sqref="N909:O909">
    <cfRule type="containsText" dxfId="9" priority="499" operator="containsText" text="No">
      <formula>NOT(ISERROR(SEARCH(("No"),(N909))))</formula>
    </cfRule>
  </conditionalFormatting>
  <conditionalFormatting sqref="N909:O909">
    <cfRule type="containsText" dxfId="2" priority="500" operator="containsText" text="Yes">
      <formula>NOT(ISERROR(SEARCH(("Yes"),(N909))))</formula>
    </cfRule>
  </conditionalFormatting>
  <conditionalFormatting sqref="N910:O910">
    <cfRule type="containsText" dxfId="9" priority="501" operator="containsText" text="No">
      <formula>NOT(ISERROR(SEARCH(("No"),(N910))))</formula>
    </cfRule>
  </conditionalFormatting>
  <conditionalFormatting sqref="N910:O910">
    <cfRule type="containsText" dxfId="2" priority="502" operator="containsText" text="Yes">
      <formula>NOT(ISERROR(SEARCH(("Yes"),(N910))))</formula>
    </cfRule>
  </conditionalFormatting>
  <conditionalFormatting sqref="N911:O911">
    <cfRule type="containsText" dxfId="9" priority="503" operator="containsText" text="No">
      <formula>NOT(ISERROR(SEARCH(("No"),(N911))))</formula>
    </cfRule>
  </conditionalFormatting>
  <conditionalFormatting sqref="N911:O911">
    <cfRule type="containsText" dxfId="2" priority="504" operator="containsText" text="Yes">
      <formula>NOT(ISERROR(SEARCH(("Yes"),(N911))))</formula>
    </cfRule>
  </conditionalFormatting>
  <conditionalFormatting sqref="N912:O912">
    <cfRule type="containsText" dxfId="9" priority="505" operator="containsText" text="No">
      <formula>NOT(ISERROR(SEARCH(("No"),(N912))))</formula>
    </cfRule>
  </conditionalFormatting>
  <conditionalFormatting sqref="N912:O912">
    <cfRule type="containsText" dxfId="2" priority="506" operator="containsText" text="Yes">
      <formula>NOT(ISERROR(SEARCH(("Yes"),(N912))))</formula>
    </cfRule>
  </conditionalFormatting>
  <conditionalFormatting sqref="N913:O913">
    <cfRule type="containsText" dxfId="9" priority="507" operator="containsText" text="No">
      <formula>NOT(ISERROR(SEARCH(("No"),(N913))))</formula>
    </cfRule>
  </conditionalFormatting>
  <conditionalFormatting sqref="N913:O913">
    <cfRule type="containsText" dxfId="2" priority="508" operator="containsText" text="Yes">
      <formula>NOT(ISERROR(SEARCH(("Yes"),(N913))))</formula>
    </cfRule>
  </conditionalFormatting>
  <conditionalFormatting sqref="N914:O914">
    <cfRule type="containsText" dxfId="9" priority="509" operator="containsText" text="No">
      <formula>NOT(ISERROR(SEARCH(("No"),(N914))))</formula>
    </cfRule>
  </conditionalFormatting>
  <conditionalFormatting sqref="N914:O914">
    <cfRule type="containsText" dxfId="2" priority="510" operator="containsText" text="Yes">
      <formula>NOT(ISERROR(SEARCH(("Yes"),(N914))))</formula>
    </cfRule>
  </conditionalFormatting>
  <conditionalFormatting sqref="N915:O915">
    <cfRule type="containsText" dxfId="9" priority="511" operator="containsText" text="No">
      <formula>NOT(ISERROR(SEARCH(("No"),(N915))))</formula>
    </cfRule>
  </conditionalFormatting>
  <conditionalFormatting sqref="N915:O915">
    <cfRule type="containsText" dxfId="2" priority="512" operator="containsText" text="Yes">
      <formula>NOT(ISERROR(SEARCH(("Yes"),(N915))))</formula>
    </cfRule>
  </conditionalFormatting>
  <conditionalFormatting sqref="N916:O916">
    <cfRule type="containsText" dxfId="9" priority="513" operator="containsText" text="No">
      <formula>NOT(ISERROR(SEARCH(("No"),(N916))))</formula>
    </cfRule>
  </conditionalFormatting>
  <conditionalFormatting sqref="N916:O916">
    <cfRule type="containsText" dxfId="2" priority="514" operator="containsText" text="Yes">
      <formula>NOT(ISERROR(SEARCH(("Yes"),(N916))))</formula>
    </cfRule>
  </conditionalFormatting>
  <conditionalFormatting sqref="N917:O917">
    <cfRule type="containsText" dxfId="9" priority="515" operator="containsText" text="No">
      <formula>NOT(ISERROR(SEARCH(("No"),(N917))))</formula>
    </cfRule>
  </conditionalFormatting>
  <conditionalFormatting sqref="N917:O917">
    <cfRule type="containsText" dxfId="2" priority="516" operator="containsText" text="Yes">
      <formula>NOT(ISERROR(SEARCH(("Yes"),(N917))))</formula>
    </cfRule>
  </conditionalFormatting>
  <conditionalFormatting sqref="N918:O918">
    <cfRule type="containsText" dxfId="9" priority="517" operator="containsText" text="No">
      <formula>NOT(ISERROR(SEARCH(("No"),(N918))))</formula>
    </cfRule>
  </conditionalFormatting>
  <conditionalFormatting sqref="N918:O918">
    <cfRule type="containsText" dxfId="2" priority="518" operator="containsText" text="Yes">
      <formula>NOT(ISERROR(SEARCH(("Yes"),(N918))))</formula>
    </cfRule>
  </conditionalFormatting>
  <conditionalFormatting sqref="N919:O919">
    <cfRule type="containsText" dxfId="9" priority="519" operator="containsText" text="No">
      <formula>NOT(ISERROR(SEARCH(("No"),(N919))))</formula>
    </cfRule>
  </conditionalFormatting>
  <conditionalFormatting sqref="N919:O919">
    <cfRule type="containsText" dxfId="2" priority="520" operator="containsText" text="Yes">
      <formula>NOT(ISERROR(SEARCH(("Yes"),(N919))))</formula>
    </cfRule>
  </conditionalFormatting>
  <conditionalFormatting sqref="N920:O920">
    <cfRule type="containsText" dxfId="9" priority="521" operator="containsText" text="No">
      <formula>NOT(ISERROR(SEARCH(("No"),(N920))))</formula>
    </cfRule>
  </conditionalFormatting>
  <conditionalFormatting sqref="N920:O920">
    <cfRule type="containsText" dxfId="2" priority="522" operator="containsText" text="Yes">
      <formula>NOT(ISERROR(SEARCH(("Yes"),(N920))))</formula>
    </cfRule>
  </conditionalFormatting>
  <conditionalFormatting sqref="N921:O921">
    <cfRule type="containsText" dxfId="9" priority="523" operator="containsText" text="No">
      <formula>NOT(ISERROR(SEARCH(("No"),(N921))))</formula>
    </cfRule>
  </conditionalFormatting>
  <conditionalFormatting sqref="N921:O921">
    <cfRule type="containsText" dxfId="2" priority="524" operator="containsText" text="Yes">
      <formula>NOT(ISERROR(SEARCH(("Yes"),(N921))))</formula>
    </cfRule>
  </conditionalFormatting>
  <conditionalFormatting sqref="N922:O922">
    <cfRule type="containsText" dxfId="9" priority="525" operator="containsText" text="No">
      <formula>NOT(ISERROR(SEARCH(("No"),(N922))))</formula>
    </cfRule>
  </conditionalFormatting>
  <conditionalFormatting sqref="N922:O922">
    <cfRule type="containsText" dxfId="2" priority="526" operator="containsText" text="Yes">
      <formula>NOT(ISERROR(SEARCH(("Yes"),(N922))))</formula>
    </cfRule>
  </conditionalFormatting>
  <conditionalFormatting sqref="N923:O923">
    <cfRule type="containsText" dxfId="9" priority="527" operator="containsText" text="No">
      <formula>NOT(ISERROR(SEARCH(("No"),(N923))))</formula>
    </cfRule>
  </conditionalFormatting>
  <conditionalFormatting sqref="N923:O923">
    <cfRule type="containsText" dxfId="2" priority="528" operator="containsText" text="Yes">
      <formula>NOT(ISERROR(SEARCH(("Yes"),(N923))))</formula>
    </cfRule>
  </conditionalFormatting>
  <conditionalFormatting sqref="N924:O925 N994:N997 N999:N1010 N1012 N1015 N1018:N1027 N1029:N1032 N1035:N1068 N1071:N1073 N1075:N1077 N1079 N1081 N1083:N1084 N1100:Q1100 N1103:Q1107 N1110:Q1110 N1115:Q1116 N1129:Q1129 N1151:N1155 N1158:N1159 N1163:Q1430 O994 O1026 O1051:Q1051 O1054 O1058:O1059 O1061:Q1063 O1159:Q1159 P1027:Q1027 P1059:Q1059 Q654:Q669 Q671:Q692 Q819 Q833:Q834 Q865:Q866 Q877 Q880 Q883 Q924:Q925 V692">
    <cfRule type="containsText" dxfId="9" priority="529" operator="containsText" text="No">
      <formula>NOT(ISERROR(SEARCH(("No"),(N924))))</formula>
    </cfRule>
  </conditionalFormatting>
  <conditionalFormatting sqref="N924:O925 Q924:Q925">
    <cfRule type="containsText" dxfId="9" priority="530" operator="containsText" text="No">
      <formula>NOT(ISERROR(SEARCH(("No"),(N924))))</formula>
    </cfRule>
  </conditionalFormatting>
  <conditionalFormatting sqref="N926:O926">
    <cfRule type="containsText" dxfId="9" priority="531" operator="containsText" text="No">
      <formula>NOT(ISERROR(SEARCH(("No"),(N926))))</formula>
    </cfRule>
  </conditionalFormatting>
  <conditionalFormatting sqref="N926:O926">
    <cfRule type="containsText" dxfId="2" priority="532" operator="containsText" text="Yes">
      <formula>NOT(ISERROR(SEARCH(("Yes"),(N926))))</formula>
    </cfRule>
  </conditionalFormatting>
  <conditionalFormatting sqref="N927:O927">
    <cfRule type="containsText" dxfId="9" priority="533" operator="containsText" text="No">
      <formula>NOT(ISERROR(SEARCH(("No"),(N927))))</formula>
    </cfRule>
  </conditionalFormatting>
  <conditionalFormatting sqref="N927:O927">
    <cfRule type="containsText" dxfId="2" priority="534" operator="containsText" text="Yes">
      <formula>NOT(ISERROR(SEARCH(("Yes"),(N927))))</formula>
    </cfRule>
  </conditionalFormatting>
  <conditionalFormatting sqref="N928:O928">
    <cfRule type="containsText" dxfId="9" priority="535" operator="containsText" text="No">
      <formula>NOT(ISERROR(SEARCH(("No"),(N928))))</formula>
    </cfRule>
  </conditionalFormatting>
  <conditionalFormatting sqref="N928:O928">
    <cfRule type="containsText" dxfId="2" priority="536" operator="containsText" text="Yes">
      <formula>NOT(ISERROR(SEARCH(("Yes"),(N928))))</formula>
    </cfRule>
  </conditionalFormatting>
  <conditionalFormatting sqref="N929:O929">
    <cfRule type="containsText" dxfId="9" priority="537" operator="containsText" text="No">
      <formula>NOT(ISERROR(SEARCH(("No"),(N929))))</formula>
    </cfRule>
  </conditionalFormatting>
  <conditionalFormatting sqref="N929:O929">
    <cfRule type="containsText" dxfId="2" priority="538" operator="containsText" text="Yes">
      <formula>NOT(ISERROR(SEARCH(("Yes"),(N929))))</formula>
    </cfRule>
  </conditionalFormatting>
  <conditionalFormatting sqref="N931:O931">
    <cfRule type="containsText" dxfId="9" priority="539" operator="containsText" text="No">
      <formula>NOT(ISERROR(SEARCH(("No"),(N931))))</formula>
    </cfRule>
  </conditionalFormatting>
  <conditionalFormatting sqref="N931:O931">
    <cfRule type="containsText" dxfId="2" priority="540" operator="containsText" text="Yes">
      <formula>NOT(ISERROR(SEARCH(("Yes"),(N931))))</formula>
    </cfRule>
  </conditionalFormatting>
  <conditionalFormatting sqref="N935:O935">
    <cfRule type="containsText" dxfId="9" priority="541" operator="containsText" text="No">
      <formula>NOT(ISERROR(SEARCH(("No"),(N935))))</formula>
    </cfRule>
  </conditionalFormatting>
  <conditionalFormatting sqref="N935:O935">
    <cfRule type="containsText" dxfId="2" priority="542" operator="containsText" text="Yes">
      <formula>NOT(ISERROR(SEARCH(("Yes"),(N935))))</formula>
    </cfRule>
  </conditionalFormatting>
  <conditionalFormatting sqref="N936:O936">
    <cfRule type="containsText" dxfId="9" priority="543" operator="containsText" text="No">
      <formula>NOT(ISERROR(SEARCH(("No"),(N936))))</formula>
    </cfRule>
  </conditionalFormatting>
  <conditionalFormatting sqref="N936:O936">
    <cfRule type="containsText" dxfId="2" priority="544" operator="containsText" text="Yes">
      <formula>NOT(ISERROR(SEARCH(("Yes"),(N936))))</formula>
    </cfRule>
  </conditionalFormatting>
  <conditionalFormatting sqref="N937:O937">
    <cfRule type="containsText" dxfId="9" priority="545" operator="containsText" text="No">
      <formula>NOT(ISERROR(SEARCH(("No"),(N937))))</formula>
    </cfRule>
  </conditionalFormatting>
  <conditionalFormatting sqref="N937:O937">
    <cfRule type="containsText" dxfId="2" priority="546" operator="containsText" text="Yes">
      <formula>NOT(ISERROR(SEARCH(("Yes"),(N937))))</formula>
    </cfRule>
  </conditionalFormatting>
  <conditionalFormatting sqref="N938:O938">
    <cfRule type="containsText" dxfId="9" priority="547" operator="containsText" text="No">
      <formula>NOT(ISERROR(SEARCH(("No"),(N938))))</formula>
    </cfRule>
  </conditionalFormatting>
  <conditionalFormatting sqref="N938:O938">
    <cfRule type="containsText" dxfId="2" priority="548" operator="containsText" text="Yes">
      <formula>NOT(ISERROR(SEARCH(("Yes"),(N938))))</formula>
    </cfRule>
  </conditionalFormatting>
  <conditionalFormatting sqref="N940:O940">
    <cfRule type="containsText" dxfId="9" priority="549" operator="containsText" text="No">
      <formula>NOT(ISERROR(SEARCH(("No"),(N940))))</formula>
    </cfRule>
  </conditionalFormatting>
  <conditionalFormatting sqref="N940:O940">
    <cfRule type="containsText" dxfId="2" priority="550" operator="containsText" text="Yes">
      <formula>NOT(ISERROR(SEARCH(("Yes"),(N940))))</formula>
    </cfRule>
  </conditionalFormatting>
  <conditionalFormatting sqref="N942:O942">
    <cfRule type="containsText" dxfId="9" priority="551" operator="containsText" text="No">
      <formula>NOT(ISERROR(SEARCH(("No"),(N942))))</formula>
    </cfRule>
  </conditionalFormatting>
  <conditionalFormatting sqref="N942:O942">
    <cfRule type="containsText" dxfId="2" priority="552" operator="containsText" text="Yes">
      <formula>NOT(ISERROR(SEARCH(("Yes"),(N942))))</formula>
    </cfRule>
  </conditionalFormatting>
  <conditionalFormatting sqref="N943:O943">
    <cfRule type="containsText" dxfId="9" priority="553" operator="containsText" text="No">
      <formula>NOT(ISERROR(SEARCH(("No"),(N943))))</formula>
    </cfRule>
  </conditionalFormatting>
  <conditionalFormatting sqref="N943:O943">
    <cfRule type="containsText" dxfId="2" priority="554" operator="containsText" text="Yes">
      <formula>NOT(ISERROR(SEARCH(("Yes"),(N943))))</formula>
    </cfRule>
  </conditionalFormatting>
  <conditionalFormatting sqref="N944:O944">
    <cfRule type="containsText" dxfId="9" priority="555" operator="containsText" text="No">
      <formula>NOT(ISERROR(SEARCH(("No"),(N944))))</formula>
    </cfRule>
  </conditionalFormatting>
  <conditionalFormatting sqref="N944:O944">
    <cfRule type="containsText" dxfId="2" priority="556" operator="containsText" text="Yes">
      <formula>NOT(ISERROR(SEARCH(("Yes"),(N944))))</formula>
    </cfRule>
  </conditionalFormatting>
  <conditionalFormatting sqref="N945:O945">
    <cfRule type="containsText" dxfId="9" priority="557" operator="containsText" text="No">
      <formula>NOT(ISERROR(SEARCH(("No"),(N945))))</formula>
    </cfRule>
  </conditionalFormatting>
  <conditionalFormatting sqref="N945:O945">
    <cfRule type="containsText" dxfId="2" priority="558" operator="containsText" text="Yes">
      <formula>NOT(ISERROR(SEARCH(("Yes"),(N945))))</formula>
    </cfRule>
  </conditionalFormatting>
  <conditionalFormatting sqref="N947:O947">
    <cfRule type="containsText" dxfId="9" priority="559" operator="containsText" text="No">
      <formula>NOT(ISERROR(SEARCH(("No"),(N947))))</formula>
    </cfRule>
  </conditionalFormatting>
  <conditionalFormatting sqref="N947:O947">
    <cfRule type="containsText" dxfId="2" priority="560" operator="containsText" text="Yes">
      <formula>NOT(ISERROR(SEARCH(("Yes"),(N947))))</formula>
    </cfRule>
  </conditionalFormatting>
  <conditionalFormatting sqref="N948:O948">
    <cfRule type="containsText" dxfId="9" priority="561" operator="containsText" text="No">
      <formula>NOT(ISERROR(SEARCH(("No"),(N948))))</formula>
    </cfRule>
  </conditionalFormatting>
  <conditionalFormatting sqref="N948:O948">
    <cfRule type="containsText" dxfId="2" priority="562" operator="containsText" text="Yes">
      <formula>NOT(ISERROR(SEARCH(("Yes"),(N948))))</formula>
    </cfRule>
  </conditionalFormatting>
  <conditionalFormatting sqref="N950:O950">
    <cfRule type="containsText" dxfId="9" priority="563" operator="containsText" text="No">
      <formula>NOT(ISERROR(SEARCH(("No"),(N950))))</formula>
    </cfRule>
  </conditionalFormatting>
  <conditionalFormatting sqref="N950:O950">
    <cfRule type="containsText" dxfId="2" priority="564" operator="containsText" text="Yes">
      <formula>NOT(ISERROR(SEARCH(("Yes"),(N950))))</formula>
    </cfRule>
  </conditionalFormatting>
  <conditionalFormatting sqref="N951:O951">
    <cfRule type="containsText" dxfId="9" priority="565" operator="containsText" text="No">
      <formula>NOT(ISERROR(SEARCH(("No"),(N951))))</formula>
    </cfRule>
  </conditionalFormatting>
  <conditionalFormatting sqref="N951:O951">
    <cfRule type="containsText" dxfId="2" priority="566" operator="containsText" text="Yes">
      <formula>NOT(ISERROR(SEARCH(("Yes"),(N951))))</formula>
    </cfRule>
  </conditionalFormatting>
  <conditionalFormatting sqref="N952:O952">
    <cfRule type="containsText" dxfId="9" priority="567" operator="containsText" text="No">
      <formula>NOT(ISERROR(SEARCH(("No"),(N952))))</formula>
    </cfRule>
  </conditionalFormatting>
  <conditionalFormatting sqref="N952:O952">
    <cfRule type="containsText" dxfId="2" priority="568" operator="containsText" text="Yes">
      <formula>NOT(ISERROR(SEARCH(("Yes"),(N952))))</formula>
    </cfRule>
  </conditionalFormatting>
  <conditionalFormatting sqref="N953:O953">
    <cfRule type="containsText" dxfId="9" priority="569" operator="containsText" text="No">
      <formula>NOT(ISERROR(SEARCH(("No"),(N953))))</formula>
    </cfRule>
  </conditionalFormatting>
  <conditionalFormatting sqref="N953:O953">
    <cfRule type="containsText" dxfId="2" priority="570" operator="containsText" text="Yes">
      <formula>NOT(ISERROR(SEARCH(("Yes"),(N953))))</formula>
    </cfRule>
  </conditionalFormatting>
  <conditionalFormatting sqref="N954:O954">
    <cfRule type="containsText" dxfId="9" priority="571" operator="containsText" text="No">
      <formula>NOT(ISERROR(SEARCH(("No"),(N954))))</formula>
    </cfRule>
  </conditionalFormatting>
  <conditionalFormatting sqref="N954:O954">
    <cfRule type="containsText" dxfId="2" priority="572" operator="containsText" text="Yes">
      <formula>NOT(ISERROR(SEARCH(("Yes"),(N954))))</formula>
    </cfRule>
  </conditionalFormatting>
  <conditionalFormatting sqref="N955:O955">
    <cfRule type="containsText" dxfId="9" priority="573" operator="containsText" text="No">
      <formula>NOT(ISERROR(SEARCH(("No"),(N955))))</formula>
    </cfRule>
  </conditionalFormatting>
  <conditionalFormatting sqref="N955:O955">
    <cfRule type="containsText" dxfId="2" priority="574" operator="containsText" text="Yes">
      <formula>NOT(ISERROR(SEARCH(("Yes"),(N955))))</formula>
    </cfRule>
  </conditionalFormatting>
  <conditionalFormatting sqref="N956:O956">
    <cfRule type="containsText" dxfId="9" priority="575" operator="containsText" text="No">
      <formula>NOT(ISERROR(SEARCH(("No"),(N956))))</formula>
    </cfRule>
  </conditionalFormatting>
  <conditionalFormatting sqref="N956:O956">
    <cfRule type="containsText" dxfId="2" priority="576" operator="containsText" text="Yes">
      <formula>NOT(ISERROR(SEARCH(("Yes"),(N956))))</formula>
    </cfRule>
  </conditionalFormatting>
  <conditionalFormatting sqref="N957:O957">
    <cfRule type="containsText" dxfId="9" priority="577" operator="containsText" text="No">
      <formula>NOT(ISERROR(SEARCH(("No"),(N957))))</formula>
    </cfRule>
  </conditionalFormatting>
  <conditionalFormatting sqref="N957:O957">
    <cfRule type="containsText" dxfId="2" priority="578" operator="containsText" text="Yes">
      <formula>NOT(ISERROR(SEARCH(("Yes"),(N957))))</formula>
    </cfRule>
  </conditionalFormatting>
  <conditionalFormatting sqref="N958:O958">
    <cfRule type="containsText" dxfId="9" priority="579" operator="containsText" text="No">
      <formula>NOT(ISERROR(SEARCH(("No"),(N958))))</formula>
    </cfRule>
  </conditionalFormatting>
  <conditionalFormatting sqref="N958:O958">
    <cfRule type="containsText" dxfId="2" priority="580" operator="containsText" text="Yes">
      <formula>NOT(ISERROR(SEARCH(("Yes"),(N958))))</formula>
    </cfRule>
  </conditionalFormatting>
  <conditionalFormatting sqref="N959:O959">
    <cfRule type="containsText" dxfId="9" priority="581" operator="containsText" text="No">
      <formula>NOT(ISERROR(SEARCH(("No"),(N959))))</formula>
    </cfRule>
  </conditionalFormatting>
  <conditionalFormatting sqref="N959:O959">
    <cfRule type="containsText" dxfId="2" priority="582" operator="containsText" text="Yes">
      <formula>NOT(ISERROR(SEARCH(("Yes"),(N959))))</formula>
    </cfRule>
  </conditionalFormatting>
  <conditionalFormatting sqref="N960:O960">
    <cfRule type="containsText" dxfId="9" priority="583" operator="containsText" text="No">
      <formula>NOT(ISERROR(SEARCH(("No"),(N960))))</formula>
    </cfRule>
  </conditionalFormatting>
  <conditionalFormatting sqref="N960:O960">
    <cfRule type="containsText" dxfId="2" priority="584" operator="containsText" text="Yes">
      <formula>NOT(ISERROR(SEARCH(("Yes"),(N960))))</formula>
    </cfRule>
  </conditionalFormatting>
  <conditionalFormatting sqref="N961:O961">
    <cfRule type="containsText" dxfId="9" priority="585" operator="containsText" text="No">
      <formula>NOT(ISERROR(SEARCH(("No"),(N961))))</formula>
    </cfRule>
  </conditionalFormatting>
  <conditionalFormatting sqref="N961:O961">
    <cfRule type="containsText" dxfId="2" priority="586" operator="containsText" text="Yes">
      <formula>NOT(ISERROR(SEARCH(("Yes"),(N961))))</formula>
    </cfRule>
  </conditionalFormatting>
  <conditionalFormatting sqref="N962:O962">
    <cfRule type="containsText" dxfId="9" priority="587" operator="containsText" text="No">
      <formula>NOT(ISERROR(SEARCH(("No"),(N962))))</formula>
    </cfRule>
  </conditionalFormatting>
  <conditionalFormatting sqref="N962:O962">
    <cfRule type="containsText" dxfId="2" priority="588" operator="containsText" text="Yes">
      <formula>NOT(ISERROR(SEARCH(("Yes"),(N962))))</formula>
    </cfRule>
  </conditionalFormatting>
  <conditionalFormatting sqref="N963:O963">
    <cfRule type="containsText" dxfId="9" priority="589" operator="containsText" text="No">
      <formula>NOT(ISERROR(SEARCH(("No"),(N963))))</formula>
    </cfRule>
  </conditionalFormatting>
  <conditionalFormatting sqref="N963:O963">
    <cfRule type="containsText" dxfId="2" priority="590" operator="containsText" text="Yes">
      <formula>NOT(ISERROR(SEARCH(("Yes"),(N963))))</formula>
    </cfRule>
  </conditionalFormatting>
  <conditionalFormatting sqref="N964:O964">
    <cfRule type="containsText" dxfId="9" priority="591" operator="containsText" text="No">
      <formula>NOT(ISERROR(SEARCH(("No"),(N964))))</formula>
    </cfRule>
  </conditionalFormatting>
  <conditionalFormatting sqref="N964:O964">
    <cfRule type="containsText" dxfId="2" priority="592" operator="containsText" text="Yes">
      <formula>NOT(ISERROR(SEARCH(("Yes"),(N964))))</formula>
    </cfRule>
  </conditionalFormatting>
  <conditionalFormatting sqref="N965:O965">
    <cfRule type="containsText" dxfId="9" priority="593" operator="containsText" text="No">
      <formula>NOT(ISERROR(SEARCH(("No"),(N965))))</formula>
    </cfRule>
  </conditionalFormatting>
  <conditionalFormatting sqref="N965:O965">
    <cfRule type="containsText" dxfId="2" priority="594" operator="containsText" text="Yes">
      <formula>NOT(ISERROR(SEARCH(("Yes"),(N965))))</formula>
    </cfRule>
  </conditionalFormatting>
  <conditionalFormatting sqref="N966:O966">
    <cfRule type="containsText" dxfId="9" priority="595" operator="containsText" text="No">
      <formula>NOT(ISERROR(SEARCH(("No"),(N966))))</formula>
    </cfRule>
  </conditionalFormatting>
  <conditionalFormatting sqref="N966:O966">
    <cfRule type="containsText" dxfId="2" priority="596" operator="containsText" text="Yes">
      <formula>NOT(ISERROR(SEARCH(("Yes"),(N966))))</formula>
    </cfRule>
  </conditionalFormatting>
  <conditionalFormatting sqref="N967:O967">
    <cfRule type="containsText" dxfId="9" priority="597" operator="containsText" text="No">
      <formula>NOT(ISERROR(SEARCH(("No"),(N967))))</formula>
    </cfRule>
  </conditionalFormatting>
  <conditionalFormatting sqref="N967:O967">
    <cfRule type="containsText" dxfId="2" priority="598" operator="containsText" text="Yes">
      <formula>NOT(ISERROR(SEARCH(("Yes"),(N967))))</formula>
    </cfRule>
  </conditionalFormatting>
  <conditionalFormatting sqref="N968:O968">
    <cfRule type="containsText" dxfId="9" priority="599" operator="containsText" text="No">
      <formula>NOT(ISERROR(SEARCH(("No"),(N968))))</formula>
    </cfRule>
  </conditionalFormatting>
  <conditionalFormatting sqref="N968:O968">
    <cfRule type="containsText" dxfId="2" priority="600" operator="containsText" text="Yes">
      <formula>NOT(ISERROR(SEARCH(("Yes"),(N968))))</formula>
    </cfRule>
  </conditionalFormatting>
  <conditionalFormatting sqref="N969:O969">
    <cfRule type="containsText" dxfId="9" priority="601" operator="containsText" text="No">
      <formula>NOT(ISERROR(SEARCH(("No"),(N969))))</formula>
    </cfRule>
  </conditionalFormatting>
  <conditionalFormatting sqref="N969:O969">
    <cfRule type="containsText" dxfId="2" priority="602" operator="containsText" text="Yes">
      <formula>NOT(ISERROR(SEARCH(("Yes"),(N969))))</formula>
    </cfRule>
  </conditionalFormatting>
  <conditionalFormatting sqref="N970:O970">
    <cfRule type="containsText" dxfId="9" priority="603" operator="containsText" text="No">
      <formula>NOT(ISERROR(SEARCH(("No"),(N970))))</formula>
    </cfRule>
  </conditionalFormatting>
  <conditionalFormatting sqref="N970:O970">
    <cfRule type="containsText" dxfId="2" priority="604" operator="containsText" text="Yes">
      <formula>NOT(ISERROR(SEARCH(("Yes"),(N970))))</formula>
    </cfRule>
  </conditionalFormatting>
  <conditionalFormatting sqref="N971:O971">
    <cfRule type="containsText" dxfId="9" priority="605" operator="containsText" text="No">
      <formula>NOT(ISERROR(SEARCH(("No"),(N971))))</formula>
    </cfRule>
  </conditionalFormatting>
  <conditionalFormatting sqref="N971:O971">
    <cfRule type="containsText" dxfId="2" priority="606" operator="containsText" text="Yes">
      <formula>NOT(ISERROR(SEARCH(("Yes"),(N971))))</formula>
    </cfRule>
  </conditionalFormatting>
  <conditionalFormatting sqref="N972:O972">
    <cfRule type="containsText" dxfId="9" priority="607" operator="containsText" text="No">
      <formula>NOT(ISERROR(SEARCH(("No"),(N972))))</formula>
    </cfRule>
  </conditionalFormatting>
  <conditionalFormatting sqref="N972:O972">
    <cfRule type="containsText" dxfId="2" priority="608" operator="containsText" text="Yes">
      <formula>NOT(ISERROR(SEARCH(("Yes"),(N972))))</formula>
    </cfRule>
  </conditionalFormatting>
  <conditionalFormatting sqref="N973:O973">
    <cfRule type="containsText" dxfId="9" priority="609" operator="containsText" text="No">
      <formula>NOT(ISERROR(SEARCH(("No"),(N973))))</formula>
    </cfRule>
  </conditionalFormatting>
  <conditionalFormatting sqref="N973:O973">
    <cfRule type="containsText" dxfId="2" priority="610" operator="containsText" text="Yes">
      <formula>NOT(ISERROR(SEARCH(("Yes"),(N973))))</formula>
    </cfRule>
  </conditionalFormatting>
  <conditionalFormatting sqref="N974:O974">
    <cfRule type="containsText" dxfId="9" priority="611" operator="containsText" text="No">
      <formula>NOT(ISERROR(SEARCH(("No"),(N974))))</formula>
    </cfRule>
  </conditionalFormatting>
  <conditionalFormatting sqref="N974:O974">
    <cfRule type="containsText" dxfId="2" priority="612" operator="containsText" text="Yes">
      <formula>NOT(ISERROR(SEARCH(("Yes"),(N974))))</formula>
    </cfRule>
  </conditionalFormatting>
  <conditionalFormatting sqref="N975:O975">
    <cfRule type="containsText" dxfId="9" priority="613" operator="containsText" text="No">
      <formula>NOT(ISERROR(SEARCH(("No"),(N975))))</formula>
    </cfRule>
  </conditionalFormatting>
  <conditionalFormatting sqref="N975:O975">
    <cfRule type="containsText" dxfId="2" priority="614" operator="containsText" text="Yes">
      <formula>NOT(ISERROR(SEARCH(("Yes"),(N975))))</formula>
    </cfRule>
  </conditionalFormatting>
  <conditionalFormatting sqref="N978:O978">
    <cfRule type="containsText" dxfId="9" priority="615" operator="containsText" text="No">
      <formula>NOT(ISERROR(SEARCH(("No"),(N978))))</formula>
    </cfRule>
  </conditionalFormatting>
  <conditionalFormatting sqref="N978:O978">
    <cfRule type="containsText" dxfId="2" priority="616" operator="containsText" text="Yes">
      <formula>NOT(ISERROR(SEARCH(("Yes"),(N978))))</formula>
    </cfRule>
  </conditionalFormatting>
  <conditionalFormatting sqref="N979:O979">
    <cfRule type="containsText" dxfId="9" priority="617" operator="containsText" text="No">
      <formula>NOT(ISERROR(SEARCH(("No"),(N979))))</formula>
    </cfRule>
  </conditionalFormatting>
  <conditionalFormatting sqref="N979:O979">
    <cfRule type="containsText" dxfId="2" priority="618" operator="containsText" text="Yes">
      <formula>NOT(ISERROR(SEARCH(("Yes"),(N979))))</formula>
    </cfRule>
  </conditionalFormatting>
  <conditionalFormatting sqref="N980:O980">
    <cfRule type="containsText" dxfId="9" priority="619" operator="containsText" text="No">
      <formula>NOT(ISERROR(SEARCH(("No"),(N980))))</formula>
    </cfRule>
  </conditionalFormatting>
  <conditionalFormatting sqref="N980:O980">
    <cfRule type="containsText" dxfId="2" priority="620" operator="containsText" text="Yes">
      <formula>NOT(ISERROR(SEARCH(("Yes"),(N980))))</formula>
    </cfRule>
  </conditionalFormatting>
  <conditionalFormatting sqref="N981:O981">
    <cfRule type="containsText" dxfId="9" priority="621" operator="containsText" text="No">
      <formula>NOT(ISERROR(SEARCH(("No"),(N981))))</formula>
    </cfRule>
  </conditionalFormatting>
  <conditionalFormatting sqref="N981:O981">
    <cfRule type="containsText" dxfId="2" priority="622" operator="containsText" text="Yes">
      <formula>NOT(ISERROR(SEARCH(("Yes"),(N981))))</formula>
    </cfRule>
  </conditionalFormatting>
  <conditionalFormatting sqref="N982:O982">
    <cfRule type="containsText" dxfId="9" priority="623" operator="containsText" text="No">
      <formula>NOT(ISERROR(SEARCH(("No"),(N982))))</formula>
    </cfRule>
  </conditionalFormatting>
  <conditionalFormatting sqref="N982:O982">
    <cfRule type="containsText" dxfId="2" priority="624" operator="containsText" text="Yes">
      <formula>NOT(ISERROR(SEARCH(("Yes"),(N982))))</formula>
    </cfRule>
  </conditionalFormatting>
  <conditionalFormatting sqref="N983:O983">
    <cfRule type="containsText" dxfId="9" priority="625" operator="containsText" text="No">
      <formula>NOT(ISERROR(SEARCH(("No"),(N983))))</formula>
    </cfRule>
  </conditionalFormatting>
  <conditionalFormatting sqref="N983:O983">
    <cfRule type="containsText" dxfId="2" priority="626" operator="containsText" text="Yes">
      <formula>NOT(ISERROR(SEARCH(("Yes"),(N983))))</formula>
    </cfRule>
  </conditionalFormatting>
  <conditionalFormatting sqref="N984:O984">
    <cfRule type="containsText" dxfId="9" priority="627" operator="containsText" text="No">
      <formula>NOT(ISERROR(SEARCH(("No"),(N984))))</formula>
    </cfRule>
  </conditionalFormatting>
  <conditionalFormatting sqref="N984:O984">
    <cfRule type="containsText" dxfId="2" priority="628" operator="containsText" text="Yes">
      <formula>NOT(ISERROR(SEARCH(("Yes"),(N984))))</formula>
    </cfRule>
  </conditionalFormatting>
  <conditionalFormatting sqref="N985:O985">
    <cfRule type="containsText" dxfId="9" priority="629" operator="containsText" text="No">
      <formula>NOT(ISERROR(SEARCH(("No"),(N985))))</formula>
    </cfRule>
  </conditionalFormatting>
  <conditionalFormatting sqref="N985:O985">
    <cfRule type="containsText" dxfId="2" priority="630" operator="containsText" text="Yes">
      <formula>NOT(ISERROR(SEARCH(("Yes"),(N985))))</formula>
    </cfRule>
  </conditionalFormatting>
  <conditionalFormatting sqref="N986:O986">
    <cfRule type="containsText" dxfId="9" priority="631" operator="containsText" text="No">
      <formula>NOT(ISERROR(SEARCH(("No"),(N986))))</formula>
    </cfRule>
  </conditionalFormatting>
  <conditionalFormatting sqref="N986:O986">
    <cfRule type="containsText" dxfId="2" priority="632" operator="containsText" text="Yes">
      <formula>NOT(ISERROR(SEARCH(("Yes"),(N986))))</formula>
    </cfRule>
  </conditionalFormatting>
  <conditionalFormatting sqref="N987:O987">
    <cfRule type="containsText" dxfId="9" priority="633" operator="containsText" text="No">
      <formula>NOT(ISERROR(SEARCH(("No"),(N987))))</formula>
    </cfRule>
  </conditionalFormatting>
  <conditionalFormatting sqref="N987:O987">
    <cfRule type="containsText" dxfId="2" priority="634" operator="containsText" text="Yes">
      <formula>NOT(ISERROR(SEARCH(("Yes"),(N987))))</formula>
    </cfRule>
  </conditionalFormatting>
  <conditionalFormatting sqref="N988:O988">
    <cfRule type="containsText" dxfId="9" priority="635" operator="containsText" text="No">
      <formula>NOT(ISERROR(SEARCH(("No"),(N988))))</formula>
    </cfRule>
  </conditionalFormatting>
  <conditionalFormatting sqref="N988:O988">
    <cfRule type="containsText" dxfId="2" priority="636" operator="containsText" text="Yes">
      <formula>NOT(ISERROR(SEARCH(("Yes"),(N988))))</formula>
    </cfRule>
  </conditionalFormatting>
  <conditionalFormatting sqref="N989:O990">
    <cfRule type="containsText" dxfId="9" priority="637" operator="containsText" text="No">
      <formula>NOT(ISERROR(SEARCH(("No"),(N989))))</formula>
    </cfRule>
  </conditionalFormatting>
  <conditionalFormatting sqref="N989:O990">
    <cfRule type="containsText" dxfId="2" priority="638" operator="containsText" text="Yes">
      <formula>NOT(ISERROR(SEARCH(("Yes"),(N989))))</formula>
    </cfRule>
  </conditionalFormatting>
  <conditionalFormatting sqref="N991:O991">
    <cfRule type="containsText" dxfId="9" priority="639" operator="containsText" text="No">
      <formula>NOT(ISERROR(SEARCH(("No"),(N991))))</formula>
    </cfRule>
  </conditionalFormatting>
  <conditionalFormatting sqref="N991:O991">
    <cfRule type="containsText" dxfId="2" priority="640" operator="containsText" text="Yes">
      <formula>NOT(ISERROR(SEARCH(("Yes"),(N991))))</formula>
    </cfRule>
  </conditionalFormatting>
  <conditionalFormatting sqref="N992:O992">
    <cfRule type="containsText" dxfId="9" priority="641" operator="containsText" text="No">
      <formula>NOT(ISERROR(SEARCH(("No"),(N992))))</formula>
    </cfRule>
  </conditionalFormatting>
  <conditionalFormatting sqref="N992:O992">
    <cfRule type="containsText" dxfId="2" priority="642" operator="containsText" text="Yes">
      <formula>NOT(ISERROR(SEARCH(("Yes"),(N992))))</formula>
    </cfRule>
  </conditionalFormatting>
  <conditionalFormatting sqref="N993:O993">
    <cfRule type="containsText" dxfId="9" priority="643" operator="containsText" text="No">
      <formula>NOT(ISERROR(SEARCH(("No"),(N993))))</formula>
    </cfRule>
  </conditionalFormatting>
  <conditionalFormatting sqref="N993:O993">
    <cfRule type="containsText" dxfId="2" priority="644" operator="containsText" text="Yes">
      <formula>NOT(ISERROR(SEARCH(("Yes"),(N993))))</formula>
    </cfRule>
  </conditionalFormatting>
  <conditionalFormatting sqref="N994:O994">
    <cfRule type="containsText" dxfId="9" priority="645" operator="containsText" text="No">
      <formula>NOT(ISERROR(SEARCH(("No"),(N994))))</formula>
    </cfRule>
  </conditionalFormatting>
  <conditionalFormatting sqref="N994:O994">
    <cfRule type="containsText" dxfId="2" priority="646" operator="containsText" text="Yes">
      <formula>NOT(ISERROR(SEARCH(("Yes"),(N994))))</formula>
    </cfRule>
  </conditionalFormatting>
  <conditionalFormatting sqref="N1016:O1016">
    <cfRule type="containsText" dxfId="9" priority="647" operator="containsText" text="No">
      <formula>NOT(ISERROR(SEARCH(("No"),(N1016))))</formula>
    </cfRule>
  </conditionalFormatting>
  <conditionalFormatting sqref="N1016:O1016">
    <cfRule type="containsText" dxfId="2" priority="648" operator="containsText" text="Yes">
      <formula>NOT(ISERROR(SEARCH(("Yes"),(N1016))))</formula>
    </cfRule>
  </conditionalFormatting>
  <conditionalFormatting sqref="N1017:O1017">
    <cfRule type="containsText" dxfId="9" priority="649" operator="containsText" text="No">
      <formula>NOT(ISERROR(SEARCH(("No"),(N1017))))</formula>
    </cfRule>
  </conditionalFormatting>
  <conditionalFormatting sqref="N1017:O1017">
    <cfRule type="containsText" dxfId="2" priority="650" operator="containsText" text="Yes">
      <formula>NOT(ISERROR(SEARCH(("Yes"),(N1017))))</formula>
    </cfRule>
  </conditionalFormatting>
  <conditionalFormatting sqref="N1122:O1122">
    <cfRule type="containsText" dxfId="9" priority="651" operator="containsText" text="No">
      <formula>NOT(ISERROR(SEARCH(("No"),(N1122))))</formula>
    </cfRule>
  </conditionalFormatting>
  <conditionalFormatting sqref="N1122:O1122">
    <cfRule type="containsText" dxfId="2" priority="652" operator="containsText" text="Yes">
      <formula>NOT(ISERROR(SEARCH(("Yes"),(N1122))))</formula>
    </cfRule>
  </conditionalFormatting>
  <conditionalFormatting sqref="N1122:O1122">
    <cfRule type="containsText" dxfId="9" priority="653" operator="containsText" text="No">
      <formula>NOT(ISERROR(SEARCH(("No"),(N1122))))</formula>
    </cfRule>
  </conditionalFormatting>
  <conditionalFormatting sqref="N1122:O1122">
    <cfRule type="containsText" dxfId="9" priority="654" operator="containsText" text="No">
      <formula>NOT(ISERROR(SEARCH(("No"),(N1122))))</formula>
    </cfRule>
  </conditionalFormatting>
  <conditionalFormatting sqref="N1122:O1122">
    <cfRule type="containsText" dxfId="2" priority="655" operator="containsText" text="Yes">
      <formula>NOT(ISERROR(SEARCH(("Yes"),(N1122))))</formula>
    </cfRule>
  </conditionalFormatting>
  <conditionalFormatting sqref="N1122:O1122">
    <cfRule type="containsText" dxfId="2" priority="656" operator="containsText" text="Yes">
      <formula>NOT(ISERROR(SEARCH(("Yes"),(N1122))))</formula>
    </cfRule>
  </conditionalFormatting>
  <conditionalFormatting sqref="N1122:O1122">
    <cfRule type="containsText" dxfId="9" priority="657" operator="containsText" text="No">
      <formula>NOT(ISERROR(SEARCH(("No"),(N1122))))</formula>
    </cfRule>
  </conditionalFormatting>
  <conditionalFormatting sqref="N1122:O1122">
    <cfRule type="containsText" dxfId="2" priority="658" operator="containsText" text="Yes">
      <formula>NOT(ISERROR(SEARCH(("Yes"),(N1122))))</formula>
    </cfRule>
  </conditionalFormatting>
  <conditionalFormatting sqref="N1122:O1122">
    <cfRule type="containsText" dxfId="9" priority="659" operator="containsText" text="No">
      <formula>NOT(ISERROR(SEARCH(("No"),(N1122))))</formula>
    </cfRule>
  </conditionalFormatting>
  <conditionalFormatting sqref="N1122:O1122">
    <cfRule type="containsText" dxfId="2" priority="660" operator="containsText" text="Yes">
      <formula>NOT(ISERROR(SEARCH(("Yes"),(N1122))))</formula>
    </cfRule>
  </conditionalFormatting>
  <conditionalFormatting sqref="N1122:O1122">
    <cfRule type="containsText" dxfId="9" priority="661" operator="containsText" text="No">
      <formula>NOT(ISERROR(SEARCH(("No"),(N1122))))</formula>
    </cfRule>
  </conditionalFormatting>
  <conditionalFormatting sqref="N1122:O1122">
    <cfRule type="containsText" dxfId="2" priority="662" operator="containsText" text="Yes">
      <formula>NOT(ISERROR(SEARCH(("Yes"),(N1122))))</formula>
    </cfRule>
  </conditionalFormatting>
  <conditionalFormatting sqref="N1122:O1122">
    <cfRule type="containsText" dxfId="9" priority="663" operator="containsText" text="No">
      <formula>NOT(ISERROR(SEARCH(("No"),(N1122))))</formula>
    </cfRule>
  </conditionalFormatting>
  <conditionalFormatting sqref="N1122:O1122">
    <cfRule type="containsText" dxfId="2" priority="664" operator="containsText" text="Yes">
      <formula>NOT(ISERROR(SEARCH(("Yes"),(N1122))))</formula>
    </cfRule>
  </conditionalFormatting>
  <conditionalFormatting sqref="N391:Q464">
    <cfRule type="containsText" dxfId="9" priority="665" operator="containsText" text="No">
      <formula>NOT(ISERROR(SEARCH(("No"),(N391))))</formula>
    </cfRule>
  </conditionalFormatting>
  <conditionalFormatting sqref="N391:Q464">
    <cfRule type="containsText" dxfId="2" priority="666" operator="containsText" text="Yes">
      <formula>NOT(ISERROR(SEARCH(("Yes"),(N391))))</formula>
    </cfRule>
  </conditionalFormatting>
  <conditionalFormatting sqref="N907:Q907">
    <cfRule type="containsText" dxfId="9" priority="667" operator="containsText" text="No">
      <formula>NOT(ISERROR(SEARCH(("No"),(N907))))</formula>
    </cfRule>
  </conditionalFormatting>
  <conditionalFormatting sqref="N907:Q907">
    <cfRule type="containsText" dxfId="2" priority="668" operator="containsText" text="Yes">
      <formula>NOT(ISERROR(SEARCH(("Yes"),(N907))))</formula>
    </cfRule>
  </conditionalFormatting>
  <conditionalFormatting sqref="N939:Q939">
    <cfRule type="containsText" dxfId="9" priority="669" operator="containsText" text="No">
      <formula>NOT(ISERROR(SEARCH(("No"),(N939))))</formula>
    </cfRule>
  </conditionalFormatting>
  <conditionalFormatting sqref="N939:Q939">
    <cfRule type="containsText" dxfId="2" priority="670" operator="containsText" text="Yes">
      <formula>NOT(ISERROR(SEARCH(("Yes"),(N939))))</formula>
    </cfRule>
  </conditionalFormatting>
  <conditionalFormatting sqref="N1013:Q1013">
    <cfRule type="containsText" dxfId="9" priority="671" operator="containsText" text="No">
      <formula>NOT(ISERROR(SEARCH(("No"),(N1013))))</formula>
    </cfRule>
  </conditionalFormatting>
  <conditionalFormatting sqref="N1013:Q1013">
    <cfRule type="containsText" dxfId="2" priority="672" operator="containsText" text="Yes">
      <formula>NOT(ISERROR(SEARCH(("Yes"),(N1013))))</formula>
    </cfRule>
  </conditionalFormatting>
  <conditionalFormatting sqref="N1028:Q1028">
    <cfRule type="containsText" dxfId="2" priority="673" operator="containsText" text="Yes">
      <formula>NOT(ISERROR(SEARCH(("Yes"),(N1028))))</formula>
    </cfRule>
  </conditionalFormatting>
  <conditionalFormatting sqref="N1028:Q1028">
    <cfRule type="containsText" dxfId="9" priority="674" operator="containsText" text="No">
      <formula>NOT(ISERROR(SEARCH(("No"),(N1028))))</formula>
    </cfRule>
  </conditionalFormatting>
  <conditionalFormatting sqref="N1028:Q1028">
    <cfRule type="containsText" dxfId="2" priority="675" operator="containsText" text="Yes">
      <formula>NOT(ISERROR(SEARCH(("Yes"),(N1028))))</formula>
    </cfRule>
  </conditionalFormatting>
  <conditionalFormatting sqref="N1028:Q1028">
    <cfRule type="containsText" dxfId="9" priority="676" operator="containsText" text="No">
      <formula>NOT(ISERROR(SEARCH(("No"),(N1028))))</formula>
    </cfRule>
  </conditionalFormatting>
  <conditionalFormatting sqref="N1028:Q1028">
    <cfRule type="containsText" dxfId="2" priority="677" operator="containsText" text="Yes">
      <formula>NOT(ISERROR(SEARCH(("Yes"),(N1028))))</formula>
    </cfRule>
  </conditionalFormatting>
  <conditionalFormatting sqref="N1028:Q1028">
    <cfRule type="containsText" dxfId="9" priority="678" operator="containsText" text="No">
      <formula>NOT(ISERROR(SEARCH(("No"),(N1028))))</formula>
    </cfRule>
  </conditionalFormatting>
  <conditionalFormatting sqref="N1028:Q1028">
    <cfRule type="containsText" dxfId="2" priority="679" operator="containsText" text="Yes">
      <formula>NOT(ISERROR(SEARCH(("Yes"),(N1028))))</formula>
    </cfRule>
  </conditionalFormatting>
  <conditionalFormatting sqref="N1028:Q1028">
    <cfRule type="containsText" dxfId="9" priority="680" operator="containsText" text="No">
      <formula>NOT(ISERROR(SEARCH(("No"),(N1028))))</formula>
    </cfRule>
  </conditionalFormatting>
  <conditionalFormatting sqref="N1028:Q1028">
    <cfRule type="containsText" dxfId="2" priority="681" operator="containsText" text="Yes">
      <formula>NOT(ISERROR(SEARCH(("Yes"),(N1028))))</formula>
    </cfRule>
  </conditionalFormatting>
  <conditionalFormatting sqref="N1028:Q1028">
    <cfRule type="containsText" dxfId="9" priority="682" operator="containsText" text="No">
      <formula>NOT(ISERROR(SEARCH(("No"),(N1028))))</formula>
    </cfRule>
  </conditionalFormatting>
  <conditionalFormatting sqref="N1028:Q1028">
    <cfRule type="containsText" dxfId="2" priority="683" operator="containsText" text="Yes">
      <formula>NOT(ISERROR(SEARCH(("Yes"),(N1028))))</formula>
    </cfRule>
  </conditionalFormatting>
  <conditionalFormatting sqref="N1028:Q1028">
    <cfRule type="containsText" dxfId="9" priority="684" operator="containsText" text="No">
      <formula>NOT(ISERROR(SEARCH(("No"),(N1028))))</formula>
    </cfRule>
  </conditionalFormatting>
  <conditionalFormatting sqref="N1028:Q1028">
    <cfRule type="containsText" dxfId="2" priority="685" operator="containsText" text="Yes">
      <formula>NOT(ISERROR(SEARCH(("Yes"),(N1028))))</formula>
    </cfRule>
  </conditionalFormatting>
  <conditionalFormatting sqref="N1028:Q1028">
    <cfRule type="containsText" dxfId="9" priority="686" operator="containsText" text="No">
      <formula>NOT(ISERROR(SEARCH(("No"),(N1028))))</formula>
    </cfRule>
  </conditionalFormatting>
  <conditionalFormatting sqref="N1028:Q1028">
    <cfRule type="containsText" dxfId="2" priority="687" operator="containsText" text="Yes">
      <formula>NOT(ISERROR(SEARCH(("Yes"),(N1028))))</formula>
    </cfRule>
  </conditionalFormatting>
  <conditionalFormatting sqref="N1028:Q1028">
    <cfRule type="containsText" dxfId="9" priority="688" operator="containsText" text="No">
      <formula>NOT(ISERROR(SEARCH(("No"),(N1028))))</formula>
    </cfRule>
  </conditionalFormatting>
  <conditionalFormatting sqref="N1028:Q1028">
    <cfRule type="containsText" dxfId="2" priority="689" operator="containsText" text="Yes">
      <formula>NOT(ISERROR(SEARCH(("Yes"),(N1028))))</formula>
    </cfRule>
  </conditionalFormatting>
  <conditionalFormatting sqref="N1028:Q1028">
    <cfRule type="containsText" dxfId="9" priority="690" operator="containsText" text="No">
      <formula>NOT(ISERROR(SEARCH(("No"),(N1028))))</formula>
    </cfRule>
  </conditionalFormatting>
  <conditionalFormatting sqref="N1028:Q1028">
    <cfRule type="containsText" dxfId="2" priority="691" operator="containsText" text="Yes">
      <formula>NOT(ISERROR(SEARCH(("Yes"),(N1028))))</formula>
    </cfRule>
  </conditionalFormatting>
  <conditionalFormatting sqref="N1028:Q1028">
    <cfRule type="containsText" dxfId="9" priority="692" operator="containsText" text="No">
      <formula>NOT(ISERROR(SEARCH(("No"),(N1028))))</formula>
    </cfRule>
  </conditionalFormatting>
  <conditionalFormatting sqref="N1028:Q1028">
    <cfRule type="containsText" dxfId="2" priority="693" operator="containsText" text="Yes">
      <formula>NOT(ISERROR(SEARCH(("Yes"),(N1028))))</formula>
    </cfRule>
  </conditionalFormatting>
  <conditionalFormatting sqref="N1028:Q1028">
    <cfRule type="containsText" dxfId="9" priority="694" operator="containsText" text="No">
      <formula>NOT(ISERROR(SEARCH(("No"),(N1028))))</formula>
    </cfRule>
  </conditionalFormatting>
  <conditionalFormatting sqref="N1028:Q1028">
    <cfRule type="containsText" dxfId="2" priority="695" operator="containsText" text="Yes">
      <formula>NOT(ISERROR(SEARCH(("Yes"),(N1028))))</formula>
    </cfRule>
  </conditionalFormatting>
  <conditionalFormatting sqref="N1028:Q1028">
    <cfRule type="containsText" dxfId="9" priority="696" operator="containsText" text="No">
      <formula>NOT(ISERROR(SEARCH(("No"),(N1028))))</formula>
    </cfRule>
  </conditionalFormatting>
  <conditionalFormatting sqref="N1028:Q1028">
    <cfRule type="containsText" dxfId="2" priority="697" operator="containsText" text="Yes">
      <formula>NOT(ISERROR(SEARCH(("Yes"),(N1028))))</formula>
    </cfRule>
  </conditionalFormatting>
  <conditionalFormatting sqref="N1028:Q1028">
    <cfRule type="containsText" dxfId="9" priority="698" operator="containsText" text="No">
      <formula>NOT(ISERROR(SEARCH(("No"),(N1028))))</formula>
    </cfRule>
  </conditionalFormatting>
  <conditionalFormatting sqref="N1028:Q1028">
    <cfRule type="containsText" dxfId="2" priority="699" operator="containsText" text="Yes">
      <formula>NOT(ISERROR(SEARCH(("Yes"),(N1028))))</formula>
    </cfRule>
  </conditionalFormatting>
  <conditionalFormatting sqref="N1028:Q1028">
    <cfRule type="containsText" dxfId="9" priority="700" operator="containsText" text="No">
      <formula>NOT(ISERROR(SEARCH(("No"),(N1028))))</formula>
    </cfRule>
  </conditionalFormatting>
  <conditionalFormatting sqref="N1028:Q1028">
    <cfRule type="containsText" dxfId="2" priority="701" operator="containsText" text="Yes">
      <formula>NOT(ISERROR(SEARCH(("Yes"),(N1028))))</formula>
    </cfRule>
  </conditionalFormatting>
  <conditionalFormatting sqref="N1028:Q1028">
    <cfRule type="containsText" dxfId="9" priority="702" operator="containsText" text="No">
      <formula>NOT(ISERROR(SEARCH(("No"),(N1028))))</formula>
    </cfRule>
  </conditionalFormatting>
  <conditionalFormatting sqref="N1028:Q1028">
    <cfRule type="containsText" dxfId="2" priority="703" operator="containsText" text="Yes">
      <formula>NOT(ISERROR(SEARCH(("Yes"),(N1028))))</formula>
    </cfRule>
  </conditionalFormatting>
  <conditionalFormatting sqref="N1028:Q1028">
    <cfRule type="containsText" dxfId="9" priority="704" operator="containsText" text="No">
      <formula>NOT(ISERROR(SEARCH(("No"),(N1028))))</formula>
    </cfRule>
  </conditionalFormatting>
  <conditionalFormatting sqref="N1028:Q1028">
    <cfRule type="containsText" dxfId="2" priority="705" operator="containsText" text="Yes">
      <formula>NOT(ISERROR(SEARCH(("Yes"),(N1028))))</formula>
    </cfRule>
  </conditionalFormatting>
  <conditionalFormatting sqref="N1028:Q1028">
    <cfRule type="containsText" dxfId="9" priority="706" operator="containsText" text="No">
      <formula>NOT(ISERROR(SEARCH(("No"),(N1028))))</formula>
    </cfRule>
  </conditionalFormatting>
  <conditionalFormatting sqref="N1028:Q1028">
    <cfRule type="containsText" dxfId="2" priority="707" operator="containsText" text="Yes">
      <formula>NOT(ISERROR(SEARCH(("Yes"),(N1028))))</formula>
    </cfRule>
  </conditionalFormatting>
  <conditionalFormatting sqref="N1028:Q1028">
    <cfRule type="containsText" dxfId="9" priority="708" operator="containsText" text="No">
      <formula>NOT(ISERROR(SEARCH(("No"),(N1028))))</formula>
    </cfRule>
  </conditionalFormatting>
  <conditionalFormatting sqref="N1028:Q1028">
    <cfRule type="containsText" dxfId="2" priority="709" operator="containsText" text="Yes">
      <formula>NOT(ISERROR(SEARCH(("Yes"),(N1028))))</formula>
    </cfRule>
  </conditionalFormatting>
  <conditionalFormatting sqref="N1028:Q1028">
    <cfRule type="containsText" dxfId="9" priority="710" operator="containsText" text="No">
      <formula>NOT(ISERROR(SEARCH(("No"),(N1028))))</formula>
    </cfRule>
  </conditionalFormatting>
  <conditionalFormatting sqref="N1028:Q1028">
    <cfRule type="containsText" dxfId="2" priority="711" operator="containsText" text="Yes">
      <formula>NOT(ISERROR(SEARCH(("Yes"),(N1028))))</formula>
    </cfRule>
  </conditionalFormatting>
  <conditionalFormatting sqref="N1028:Q1028">
    <cfRule type="containsText" dxfId="9" priority="712" operator="containsText" text="No">
      <formula>NOT(ISERROR(SEARCH(("No"),(N1028))))</formula>
    </cfRule>
  </conditionalFormatting>
  <conditionalFormatting sqref="N1028:Q1028">
    <cfRule type="containsText" dxfId="2" priority="713" operator="containsText" text="Yes">
      <formula>NOT(ISERROR(SEARCH(("Yes"),(N1028))))</formula>
    </cfRule>
  </conditionalFormatting>
  <conditionalFormatting sqref="N1028:Q1028">
    <cfRule type="containsText" dxfId="9" priority="714" operator="containsText" text="No">
      <formula>NOT(ISERROR(SEARCH(("No"),(N1028))))</formula>
    </cfRule>
  </conditionalFormatting>
  <conditionalFormatting sqref="N1028:Q1028">
    <cfRule type="containsText" dxfId="2" priority="715" operator="containsText" text="Yes">
      <formula>NOT(ISERROR(SEARCH(("Yes"),(N1028))))</formula>
    </cfRule>
  </conditionalFormatting>
  <conditionalFormatting sqref="N1028:Q1028">
    <cfRule type="containsText" dxfId="9" priority="716" operator="containsText" text="No">
      <formula>NOT(ISERROR(SEARCH(("No"),(N1028))))</formula>
    </cfRule>
  </conditionalFormatting>
  <conditionalFormatting sqref="N1028:Q1028">
    <cfRule type="containsText" dxfId="2" priority="717" operator="containsText" text="Yes">
      <formula>NOT(ISERROR(SEARCH(("Yes"),(N1028))))</formula>
    </cfRule>
  </conditionalFormatting>
  <conditionalFormatting sqref="N1028:Q1028">
    <cfRule type="containsText" dxfId="9" priority="718" operator="containsText" text="No">
      <formula>NOT(ISERROR(SEARCH(("No"),(N1028))))</formula>
    </cfRule>
  </conditionalFormatting>
  <conditionalFormatting sqref="N1028:Q1028">
    <cfRule type="containsText" dxfId="2" priority="719" operator="containsText" text="Yes">
      <formula>NOT(ISERROR(SEARCH(("Yes"),(N1028))))</formula>
    </cfRule>
  </conditionalFormatting>
  <conditionalFormatting sqref="N1028:Q1028">
    <cfRule type="containsText" dxfId="9" priority="720" operator="containsText" text="No">
      <formula>NOT(ISERROR(SEARCH(("No"),(N1028))))</formula>
    </cfRule>
  </conditionalFormatting>
  <conditionalFormatting sqref="N1028:Q1028">
    <cfRule type="containsText" dxfId="2" priority="721" operator="containsText" text="Yes">
      <formula>NOT(ISERROR(SEARCH(("Yes"),(N1028))))</formula>
    </cfRule>
  </conditionalFormatting>
  <conditionalFormatting sqref="N1028:Q1028">
    <cfRule type="containsText" dxfId="9" priority="722" operator="containsText" text="No">
      <formula>NOT(ISERROR(SEARCH(("No"),(N1028))))</formula>
    </cfRule>
  </conditionalFormatting>
  <conditionalFormatting sqref="N1028:Q1028">
    <cfRule type="containsText" dxfId="2" priority="723" operator="containsText" text="Yes">
      <formula>NOT(ISERROR(SEARCH(("Yes"),(N1028))))</formula>
    </cfRule>
  </conditionalFormatting>
  <conditionalFormatting sqref="N1028:Q1028">
    <cfRule type="containsText" dxfId="9" priority="724" operator="containsText" text="No">
      <formula>NOT(ISERROR(SEARCH(("No"),(N1028))))</formula>
    </cfRule>
  </conditionalFormatting>
  <conditionalFormatting sqref="N1028:Q1028">
    <cfRule type="containsText" dxfId="2" priority="725" operator="containsText" text="Yes">
      <formula>NOT(ISERROR(SEARCH(("Yes"),(N1028))))</formula>
    </cfRule>
  </conditionalFormatting>
  <conditionalFormatting sqref="N1028:Q1028">
    <cfRule type="containsText" dxfId="9" priority="726" operator="containsText" text="No">
      <formula>NOT(ISERROR(SEARCH(("No"),(N1028))))</formula>
    </cfRule>
  </conditionalFormatting>
  <conditionalFormatting sqref="N1028:Q1028">
    <cfRule type="containsText" dxfId="2" priority="727" operator="containsText" text="Yes">
      <formula>NOT(ISERROR(SEARCH(("Yes"),(N1028))))</formula>
    </cfRule>
  </conditionalFormatting>
  <conditionalFormatting sqref="N1028:Q1028">
    <cfRule type="containsText" dxfId="9" priority="728" operator="containsText" text="No">
      <formula>NOT(ISERROR(SEARCH(("No"),(N1028))))</formula>
    </cfRule>
  </conditionalFormatting>
  <conditionalFormatting sqref="N1028:Q1028">
    <cfRule type="containsText" dxfId="2" priority="729" operator="containsText" text="Yes">
      <formula>NOT(ISERROR(SEARCH(("Yes"),(N1028))))</formula>
    </cfRule>
  </conditionalFormatting>
  <conditionalFormatting sqref="N1028:Q1028">
    <cfRule type="containsText" dxfId="9" priority="730" operator="containsText" text="No">
      <formula>NOT(ISERROR(SEARCH(("No"),(N1028))))</formula>
    </cfRule>
  </conditionalFormatting>
  <conditionalFormatting sqref="N1028:Q1028">
    <cfRule type="containsText" dxfId="2" priority="731" operator="containsText" text="Yes">
      <formula>NOT(ISERROR(SEARCH(("Yes"),(N1028))))</formula>
    </cfRule>
  </conditionalFormatting>
  <conditionalFormatting sqref="N1028:Q1028">
    <cfRule type="containsText" dxfId="9" priority="732" operator="containsText" text="No">
      <formula>NOT(ISERROR(SEARCH(("No"),(N1028))))</formula>
    </cfRule>
  </conditionalFormatting>
  <conditionalFormatting sqref="N1028:Q1028">
    <cfRule type="containsText" dxfId="2" priority="733" operator="containsText" text="Yes">
      <formula>NOT(ISERROR(SEARCH(("Yes"),(N1028))))</formula>
    </cfRule>
  </conditionalFormatting>
  <conditionalFormatting sqref="N1028:Q1028">
    <cfRule type="containsText" dxfId="9" priority="734" operator="containsText" text="No">
      <formula>NOT(ISERROR(SEARCH(("No"),(N1028))))</formula>
    </cfRule>
  </conditionalFormatting>
  <conditionalFormatting sqref="N1028:Q1028">
    <cfRule type="containsText" dxfId="2" priority="735" operator="containsText" text="Yes">
      <formula>NOT(ISERROR(SEARCH(("Yes"),(N1028))))</formula>
    </cfRule>
  </conditionalFormatting>
  <conditionalFormatting sqref="N1028:Q1028">
    <cfRule type="containsText" dxfId="9" priority="736" operator="containsText" text="No">
      <formula>NOT(ISERROR(SEARCH(("No"),(N1028))))</formula>
    </cfRule>
  </conditionalFormatting>
  <conditionalFormatting sqref="N1028:Q1028">
    <cfRule type="containsText" dxfId="2" priority="737" operator="containsText" text="Yes">
      <formula>NOT(ISERROR(SEARCH(("Yes"),(N1028))))</formula>
    </cfRule>
  </conditionalFormatting>
  <conditionalFormatting sqref="N1028:Q1028">
    <cfRule type="containsText" dxfId="9" priority="738" operator="containsText" text="No">
      <formula>NOT(ISERROR(SEARCH(("No"),(N1028))))</formula>
    </cfRule>
  </conditionalFormatting>
  <conditionalFormatting sqref="N1028:Q1028">
    <cfRule type="containsText" dxfId="2" priority="739" operator="containsText" text="Yes">
      <formula>NOT(ISERROR(SEARCH(("Yes"),(N1028))))</formula>
    </cfRule>
  </conditionalFormatting>
  <conditionalFormatting sqref="N1028:Q1028">
    <cfRule type="containsText" dxfId="9" priority="740" operator="containsText" text="No">
      <formula>NOT(ISERROR(SEARCH(("No"),(N1028))))</formula>
    </cfRule>
  </conditionalFormatting>
  <conditionalFormatting sqref="N1028:Q1028">
    <cfRule type="containsText" dxfId="2" priority="741" operator="containsText" text="Yes">
      <formula>NOT(ISERROR(SEARCH(("Yes"),(N1028))))</formula>
    </cfRule>
  </conditionalFormatting>
  <conditionalFormatting sqref="N1028:Q1028">
    <cfRule type="containsText" dxfId="9" priority="742" operator="containsText" text="No">
      <formula>NOT(ISERROR(SEARCH(("No"),(N1028))))</formula>
    </cfRule>
  </conditionalFormatting>
  <conditionalFormatting sqref="N1028:Q1028">
    <cfRule type="containsText" dxfId="2" priority="743" operator="containsText" text="Yes">
      <formula>NOT(ISERROR(SEARCH(("Yes"),(N1028))))</formula>
    </cfRule>
  </conditionalFormatting>
  <conditionalFormatting sqref="N1028:Q1028">
    <cfRule type="containsText" dxfId="9" priority="744" operator="containsText" text="No">
      <formula>NOT(ISERROR(SEARCH(("No"),(N1028))))</formula>
    </cfRule>
  </conditionalFormatting>
  <conditionalFormatting sqref="N1028:Q1028">
    <cfRule type="containsText" dxfId="2" priority="745" operator="containsText" text="Yes">
      <formula>NOT(ISERROR(SEARCH(("Yes"),(N1028))))</formula>
    </cfRule>
  </conditionalFormatting>
  <conditionalFormatting sqref="N1028:Q1028">
    <cfRule type="containsText" dxfId="9" priority="746" operator="containsText" text="No">
      <formula>NOT(ISERROR(SEARCH(("No"),(N1028))))</formula>
    </cfRule>
  </conditionalFormatting>
  <conditionalFormatting sqref="N1028:Q1028">
    <cfRule type="containsText" dxfId="2" priority="747" operator="containsText" text="Yes">
      <formula>NOT(ISERROR(SEARCH(("Yes"),(N1028))))</formula>
    </cfRule>
  </conditionalFormatting>
  <conditionalFormatting sqref="N1028:Q1028">
    <cfRule type="containsText" dxfId="9" priority="748" operator="containsText" text="No">
      <formula>NOT(ISERROR(SEARCH(("No"),(N1028))))</formula>
    </cfRule>
  </conditionalFormatting>
  <conditionalFormatting sqref="N1028:Q1028">
    <cfRule type="containsText" dxfId="2" priority="749" operator="containsText" text="Yes">
      <formula>NOT(ISERROR(SEARCH(("Yes"),(N1028))))</formula>
    </cfRule>
  </conditionalFormatting>
  <conditionalFormatting sqref="N1028:Q1028">
    <cfRule type="containsText" dxfId="9" priority="750" operator="containsText" text="No">
      <formula>NOT(ISERROR(SEARCH(("No"),(N1028))))</formula>
    </cfRule>
  </conditionalFormatting>
  <conditionalFormatting sqref="N1028:Q1028">
    <cfRule type="containsText" dxfId="2" priority="751" operator="containsText" text="Yes">
      <formula>NOT(ISERROR(SEARCH(("Yes"),(N1028))))</formula>
    </cfRule>
  </conditionalFormatting>
  <conditionalFormatting sqref="N1028:Q1028">
    <cfRule type="containsText" dxfId="9" priority="752" operator="containsText" text="No">
      <formula>NOT(ISERROR(SEARCH(("No"),(N1028))))</formula>
    </cfRule>
  </conditionalFormatting>
  <conditionalFormatting sqref="N1028:Q1028">
    <cfRule type="containsText" dxfId="2" priority="753" operator="containsText" text="Yes">
      <formula>NOT(ISERROR(SEARCH(("Yes"),(N1028))))</formula>
    </cfRule>
  </conditionalFormatting>
  <conditionalFormatting sqref="N1028:Q1028">
    <cfRule type="containsText" dxfId="9" priority="754" operator="containsText" text="No">
      <formula>NOT(ISERROR(SEARCH(("No"),(N1028))))</formula>
    </cfRule>
  </conditionalFormatting>
  <conditionalFormatting sqref="N1028:Q1028">
    <cfRule type="containsText" dxfId="2" priority="755" operator="containsText" text="Yes">
      <formula>NOT(ISERROR(SEARCH(("Yes"),(N1028))))</formula>
    </cfRule>
  </conditionalFormatting>
  <conditionalFormatting sqref="N1028:Q1028">
    <cfRule type="containsText" dxfId="9" priority="756" operator="containsText" text="No">
      <formula>NOT(ISERROR(SEARCH(("No"),(N1028))))</formula>
    </cfRule>
  </conditionalFormatting>
  <conditionalFormatting sqref="N1028:Q1028">
    <cfRule type="containsText" dxfId="2" priority="757" operator="containsText" text="Yes">
      <formula>NOT(ISERROR(SEARCH(("Yes"),(N1028))))</formula>
    </cfRule>
  </conditionalFormatting>
  <conditionalFormatting sqref="N1028:Q1028">
    <cfRule type="containsText" dxfId="9" priority="758" operator="containsText" text="No">
      <formula>NOT(ISERROR(SEARCH(("No"),(N1028))))</formula>
    </cfRule>
  </conditionalFormatting>
  <conditionalFormatting sqref="N1028:Q1028">
    <cfRule type="containsText" dxfId="2" priority="759" operator="containsText" text="Yes">
      <formula>NOT(ISERROR(SEARCH(("Yes"),(N1028))))</formula>
    </cfRule>
  </conditionalFormatting>
  <conditionalFormatting sqref="N1028:Q1028">
    <cfRule type="containsText" dxfId="9" priority="760" operator="containsText" text="No">
      <formula>NOT(ISERROR(SEARCH(("No"),(N1028))))</formula>
    </cfRule>
  </conditionalFormatting>
  <conditionalFormatting sqref="N1028:Q1028">
    <cfRule type="containsText" dxfId="2" priority="761" operator="containsText" text="Yes">
      <formula>NOT(ISERROR(SEARCH(("Yes"),(N1028))))</formula>
    </cfRule>
  </conditionalFormatting>
  <conditionalFormatting sqref="N1028:Q1028">
    <cfRule type="containsText" dxfId="2" priority="762" operator="containsText" text="Yes">
      <formula>NOT(ISERROR(SEARCH(("Yes"),(N1028))))</formula>
    </cfRule>
  </conditionalFormatting>
  <conditionalFormatting sqref="N1028:Q1028">
    <cfRule type="containsText" dxfId="9" priority="763" operator="containsText" text="No">
      <formula>NOT(ISERROR(SEARCH(("No"),(N1028))))</formula>
    </cfRule>
  </conditionalFormatting>
  <conditionalFormatting sqref="N1028:Q1028">
    <cfRule type="containsText" dxfId="2" priority="764" operator="containsText" text="Yes">
      <formula>NOT(ISERROR(SEARCH(("Yes"),(N1028))))</formula>
    </cfRule>
  </conditionalFormatting>
  <conditionalFormatting sqref="N1432:Q3008">
    <cfRule type="containsText" dxfId="9" priority="765" operator="containsText" text="No">
      <formula>NOT(ISERROR(SEARCH(("No"),(N1432))))</formula>
    </cfRule>
  </conditionalFormatting>
  <conditionalFormatting sqref="N1432:Q3008">
    <cfRule type="containsText" dxfId="2" priority="766" operator="containsText" text="Yes">
      <formula>NOT(ISERROR(SEARCH(("Yes"),(N1432))))</formula>
    </cfRule>
  </conditionalFormatting>
  <conditionalFormatting sqref="O3:O3008 P13:Q14 P19:Q20 P22:Q27 N31:N43 P32:Q33 N46:N51 P50:Q51 N53:N55 N66:N68 N74:N77 Q127 N139 P145 P150 P153:P214 Q155 N162 N164:N167 N170 N172 N174 N176 N180:N182 N184 N187:N216 Q203 U204:V204 Q205:Q214 N222:N226 N228:N252 N254:N256 N258:N264 N267:N269 N272:N273 N275:N282 P276:Q284 N286 P286:Q292 P294:Q295 N296 N300 P300:Q300 P304:Q304 P307:Q307 P310:Q311 P313:Q316 P318:Q318 P321:Q322 P329:Q329 P343:Q346 N395">
    <cfRule type="containsText" dxfId="2" priority="767" operator="containsText" text="Yes">
      <formula>NOT(ISERROR(SEARCH(("Yes"),(O3))))</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68"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69"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70"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71"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72"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73"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74"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75"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76"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77"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78"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79"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80"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81"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82"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83"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84"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85"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86"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87"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88"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89"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90"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91"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92"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93"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94"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95"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96"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97"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798"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799"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00"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01"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02"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03"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04"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05"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06"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07"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08"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09"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10"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11"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12"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13"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14"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15"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16"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17"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18"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19"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20"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21"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22"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23"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24"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25"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26"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27"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28"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29"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30"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31"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32"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33"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34"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35"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36"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37"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38"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39"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40"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41"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42"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43"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44"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45"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46"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47"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48"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49"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50"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51"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52"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53"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54"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55"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56"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57"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58" operator="containsText" text="No">
      <formula>NOT(ISERROR(SEARCH(("No"),(O36))))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59"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60"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2" priority="861" operator="containsText" text="Yes">
      <formula>NOT(ISERROR(SEARCH(("Yes"),(O36))))</formula>
    </cfRule>
  </conditionalFormatting>
  <conditionalFormatting sqref="O36:O56 P50:Q51 O58:O83 O85:O91 O96:O99 O102:O109 O112:O113 O115:O118 O121:O133 O136:O139 N139 O142:O143 O146:O152 O154:O155 O159 O161:O162 N162 N164:O167 N170:O170 N172:O172 N174:O174 N176:O176 N180:O182 N184:O184">
    <cfRule type="containsText" dxfId="9" priority="862" operator="containsText" text="No">
      <formula>NOT(ISERROR(SEARCH(("No"),(O36))))</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63"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64"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65"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66"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67"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68"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69"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70"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71"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72"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73"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74"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75"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76"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77"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78"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79"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80"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81"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82"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83"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84"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85"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86"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87"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88"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89"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90"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91"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92"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93"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94"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95"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96"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97"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98"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899"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900"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901"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902"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903"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904"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905" operator="containsText" text="No">
      <formula>NOT(ISERROR(SEARCH(("No"),(N383))))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9" priority="906" operator="containsText" text="No">
      <formula>NOT(ISERROR(SEARCH(("No"),(N383))))</formula>
    </cfRule>
  </conditionalFormatting>
  <conditionalFormatting sqref="N634:O637 N639:O640 N642:O642 N644:O644 N646:O646 N652:O652 N655:O656 N658:O658 N662:O662 N664:O665 N671:N673 N675:O675 N678:O678 N680:O680 N682:O683 N686:O687 N689:O689 N691:O691 N693:O697 O597:O598 O628:O631 O670:O673 P237:P250 P252 P587:P589 P591 P593 P595:P627 P629:Q629 P632:P669 P671:Q697 P726:P740 Q598 Q608:Q610 Q612 Q614:Q615 Q617:Q619 Q623:Q627 Q632:Q637 Q639:Q669 Q740 U692:V692">
    <cfRule type="containsText" dxfId="9" priority="907" operator="containsText" text="No">
      <formula>NOT(ISERROR(SEARCH(("No"),(N634))))</formula>
    </cfRule>
  </conditionalFormatting>
  <conditionalFormatting sqref="O122:O133 O136:O139 N139 O142:O143 O146:O152 O154:O155 O159 O161:O162 N162 N164:O167 N170:O170 N172:O172 N174:O174 N176:O176 N180:O182 N184:O184">
    <cfRule type="containsText" dxfId="9" priority="908"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09"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10"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11"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12"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13"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14"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15"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16"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17"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18"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19"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20"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21"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22"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23"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24"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25"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26"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27"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28"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29"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30"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31"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32"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33"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34"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35"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36"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37"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38"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39"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40"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41"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42"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43"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44"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45"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46"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47"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48"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49"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50"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51"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52"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53"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54"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55"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56"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57"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58"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59"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60"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61"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62"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63"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64"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65"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66"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67"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68"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69"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70"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71"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72"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73"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74"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75"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76"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77"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78"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79"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80"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81"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82"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83"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84"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85"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86"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87"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88"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89"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90"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91"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92"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93"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94"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95"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96"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97"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998"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999"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9" priority="1000"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9" priority="1001" operator="containsText" text="No">
      <formula>NOT(ISERROR(SEARCH(("No"),(O122))))</formula>
    </cfRule>
  </conditionalFormatting>
  <conditionalFormatting sqref="O122:O133 O136:O139 N139 O142:O143 O146:O152 O154:O155 O159 O161:O162 N162 N164:O167 N170:O170 N172:O172 N174:O174 N176:O176 N180:O182 N184:O184">
    <cfRule type="containsText" dxfId="2" priority="1002" operator="containsText" text="Yes">
      <formula>NOT(ISERROR(SEARCH(("Yes"),(O122))))</formula>
    </cfRule>
  </conditionalFormatting>
  <conditionalFormatting sqref="O122:O133 O136:O139 N139 O142:O143 O146:O152 O154:O155 O159 O161:O162 N162 N164:O167 N170:O170 N172:O172 N174:O174 N176:O176 N180:O182 N184:O184">
    <cfRule type="containsText" dxfId="2" priority="1003" operator="containsText" text="Yes">
      <formula>NOT(ISERROR(SEARCH(("Yes"),(O122))))</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04"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05"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06"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07"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08"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09"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10"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11"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12"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13"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14"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15"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16"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17"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18"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19"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20"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21"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22"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23"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24"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25"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26"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27"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28"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29"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30"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31"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32"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33"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34"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35"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36"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37"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38"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39"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40"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41"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42"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43"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44"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45"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46"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47"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48"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49"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50"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51"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52"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53"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54"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55"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56"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57"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58"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59"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60"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61"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62"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63"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64"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65"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66"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67"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68"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69"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70"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71"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72"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73"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74"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75"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76"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77"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78"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79"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80"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81"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82"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83"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84"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85"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86"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87"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88"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89"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90"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91"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92"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93"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94"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95"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96"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9" priority="1097" operator="containsText" text="No">
      <formula>NOT(ISERROR(SEARCH(("No"),(O134))))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98" operator="containsText" text="Yes">
      <formula>NOT(ISERROR(SEARCH(("Yes"),(O134))))</formula>
    </cfRule>
  </conditionalFormatting>
  <conditionalFormatting sqref="O134:O226 N139 P145 P150 P153:P214 Q155 N162 N164:N167 N170 N172 N174 N176 N180:N182 N184 N187:N216 Q203 U204:V204 Q205:Q214 N222:N226 N228:O252 N254:O256 N258:O264 N267:O269 N272:O273 N275:O275">
    <cfRule type="containsText" dxfId="2" priority="1099" operator="containsText" text="Yes">
      <formula>NOT(ISERROR(SEARCH(("Yes"),(O134))))</formula>
    </cfRule>
  </conditionalFormatting>
  <conditionalFormatting sqref="O230:O234 O238 O241 O243 O245 O247:O248 O251 O272:O273">
    <cfRule type="containsText" dxfId="9" priority="1100" operator="containsText" text="No">
      <formula>NOT(ISERROR(SEARCH(("No"),(O230))))</formula>
    </cfRule>
  </conditionalFormatting>
  <conditionalFormatting sqref="O230:O234 O238 O241 O243 O245 O247:O248 O251 O272:O273">
    <cfRule type="containsText" dxfId="2" priority="1101" operator="containsText" text="Yes">
      <formula>NOT(ISERROR(SEARCH(("Yes"),(O230))))</formula>
    </cfRule>
  </conditionalFormatting>
  <conditionalFormatting sqref="O230:O234 O238 O241 O243 O245 O247:O248 O251 O272:O273">
    <cfRule type="containsText" dxfId="9" priority="1102" operator="containsText" text="No">
      <formula>NOT(ISERROR(SEARCH(("No"),(O230))))</formula>
    </cfRule>
  </conditionalFormatting>
  <conditionalFormatting sqref="O230:O234 O238 O241 O243 O245 O247:O248 O251 O272:O273">
    <cfRule type="containsText" dxfId="2" priority="1103" operator="containsText" text="Yes">
      <formula>NOT(ISERROR(SEARCH(("Yes"),(O230))))</formula>
    </cfRule>
  </conditionalFormatting>
  <conditionalFormatting sqref="O230:O234 O238 O241 O243 O245 O247:O248 O251 O272:O273">
    <cfRule type="containsText" dxfId="9" priority="1104" operator="containsText" text="No">
      <formula>NOT(ISERROR(SEARCH(("No"),(O230))))</formula>
    </cfRule>
  </conditionalFormatting>
  <conditionalFormatting sqref="O230:O234 O238 O241 O243 O245 O247:O248 O251 O272:O273">
    <cfRule type="containsText" dxfId="2" priority="1105" operator="containsText" text="Yes">
      <formula>NOT(ISERROR(SEARCH(("Yes"),(O230))))</formula>
    </cfRule>
  </conditionalFormatting>
  <conditionalFormatting sqref="O230:O234 O238 O241 O243 O245 O247:O248 O251 O272:O273">
    <cfRule type="containsText" dxfId="9" priority="1106" operator="containsText" text="No">
      <formula>NOT(ISERROR(SEARCH(("No"),(O230))))</formula>
    </cfRule>
  </conditionalFormatting>
  <conditionalFormatting sqref="O230:O234 O238 O241 O243 O245 O247:O248 O251 O272:O273">
    <cfRule type="containsText" dxfId="2" priority="1107" operator="containsText" text="Yes">
      <formula>NOT(ISERROR(SEARCH(("Yes"),(O230))))</formula>
    </cfRule>
  </conditionalFormatting>
  <conditionalFormatting sqref="O230:O234 O238 O241 O243 O245 O247:O248 O251 O272:O273">
    <cfRule type="containsText" dxfId="9" priority="1108" operator="containsText" text="No">
      <formula>NOT(ISERROR(SEARCH(("No"),(O230))))</formula>
    </cfRule>
  </conditionalFormatting>
  <conditionalFormatting sqref="O230:O234 O238 O241 O243 O245 O247:O248 O251 O272:O273">
    <cfRule type="containsText" dxfId="2" priority="1109" operator="containsText" text="Yes">
      <formula>NOT(ISERROR(SEARCH(("Yes"),(O230))))</formula>
    </cfRule>
  </conditionalFormatting>
  <conditionalFormatting sqref="O230:O234 O238 O241 O243 O245 O247:O248 O251 O272:O273">
    <cfRule type="containsText" dxfId="9" priority="1110" operator="containsText" text="No">
      <formula>NOT(ISERROR(SEARCH(("No"),(O230))))</formula>
    </cfRule>
  </conditionalFormatting>
  <conditionalFormatting sqref="O230:O234 O238 O241 O243 O245 O247:O248 O251 O272:O273">
    <cfRule type="containsText" dxfId="2" priority="1111" operator="containsText" text="Yes">
      <formula>NOT(ISERROR(SEARCH(("Yes"),(O230))))</formula>
    </cfRule>
  </conditionalFormatting>
  <conditionalFormatting sqref="O230:O234 O238 O241 O243 O245 O247:O248 O251 O272:O273">
    <cfRule type="containsText" dxfId="9" priority="1112" operator="containsText" text="No">
      <formula>NOT(ISERROR(SEARCH(("No"),(O230))))</formula>
    </cfRule>
  </conditionalFormatting>
  <conditionalFormatting sqref="O230:O234 O238 O241 O243 O245 O247:O248 O251 O272:O273">
    <cfRule type="containsText" dxfId="2" priority="1113" operator="containsText" text="Yes">
      <formula>NOT(ISERROR(SEARCH(("Yes"),(O230))))</formula>
    </cfRule>
  </conditionalFormatting>
  <conditionalFormatting sqref="O230:O234 O238 O241 O243 O245 O247:O248 O251 O272:O273">
    <cfRule type="containsText" dxfId="9" priority="1114" operator="containsText" text="No">
      <formula>NOT(ISERROR(SEARCH(("No"),(O230))))</formula>
    </cfRule>
  </conditionalFormatting>
  <conditionalFormatting sqref="O230:O234 O238 O241 O243 O245 O247:O248 O251 O272:O273">
    <cfRule type="containsText" dxfId="2" priority="1115" operator="containsText" text="Yes">
      <formula>NOT(ISERROR(SEARCH(("Yes"),(O230))))</formula>
    </cfRule>
  </conditionalFormatting>
  <conditionalFormatting sqref="O230:O234 O238 O241 O243 O245 O247:O248 O251 O272:O273">
    <cfRule type="containsText" dxfId="9" priority="1116" operator="containsText" text="No">
      <formula>NOT(ISERROR(SEARCH(("No"),(O230))))</formula>
    </cfRule>
  </conditionalFormatting>
  <conditionalFormatting sqref="O230:O234 O238 O241 O243 O245 O247:O248 O251 O272:O273">
    <cfRule type="containsText" dxfId="2" priority="1117" operator="containsText" text="Yes">
      <formula>NOT(ISERROR(SEARCH(("Yes"),(O230))))</formula>
    </cfRule>
  </conditionalFormatting>
  <conditionalFormatting sqref="O230:O234 O238 O241 O243 O245 O247:O248 O251 O272:O273">
    <cfRule type="containsText" dxfId="9" priority="1118" operator="containsText" text="No">
      <formula>NOT(ISERROR(SEARCH(("No"),(O230))))</formula>
    </cfRule>
  </conditionalFormatting>
  <conditionalFormatting sqref="O230:O234 O238 O241 O243 O245 O247:O248 O251 O272:O273">
    <cfRule type="containsText" dxfId="2" priority="1119" operator="containsText" text="Yes">
      <formula>NOT(ISERROR(SEARCH(("Yes"),(O230))))</formula>
    </cfRule>
  </conditionalFormatting>
  <conditionalFormatting sqref="O230:O234 O238 O241 O243 O245 O247:O248 O251 O272:O273">
    <cfRule type="containsText" dxfId="9" priority="1120" operator="containsText" text="No">
      <formula>NOT(ISERROR(SEARCH(("No"),(O230))))</formula>
    </cfRule>
  </conditionalFormatting>
  <conditionalFormatting sqref="O230:O234 O238 O241 O243 O245 O247:O248 O251 O272:O273">
    <cfRule type="containsText" dxfId="2" priority="1121" operator="containsText" text="Yes">
      <formula>NOT(ISERROR(SEARCH(("Yes"),(O230))))</formula>
    </cfRule>
  </conditionalFormatting>
  <conditionalFormatting sqref="O230:O234 O238 O241 O243 O245 O247:O248 O251 O272:O273">
    <cfRule type="containsText" dxfId="9" priority="1122" operator="containsText" text="No">
      <formula>NOT(ISERROR(SEARCH(("No"),(O230))))</formula>
    </cfRule>
  </conditionalFormatting>
  <conditionalFormatting sqref="O230:O234 O238 O241 O243 O245 O247:O248 O251 O272:O273">
    <cfRule type="containsText" dxfId="2" priority="1123" operator="containsText" text="Yes">
      <formula>NOT(ISERROR(SEARCH(("Yes"),(O230))))</formula>
    </cfRule>
  </conditionalFormatting>
  <conditionalFormatting sqref="O230:O234 O238 O241 O243 O245 O247:O248 O251 O272:O273">
    <cfRule type="containsText" dxfId="9" priority="1124" operator="containsText" text="No">
      <formula>NOT(ISERROR(SEARCH(("No"),(O230))))</formula>
    </cfRule>
  </conditionalFormatting>
  <conditionalFormatting sqref="O230:O234 O238 O241 O243 O245 O247:O248 O251 O272:O273">
    <cfRule type="containsText" dxfId="2" priority="1125" operator="containsText" text="Yes">
      <formula>NOT(ISERROR(SEARCH(("Yes"),(O230))))</formula>
    </cfRule>
  </conditionalFormatting>
  <conditionalFormatting sqref="O230:O234 O238 O241 O243 O245 O247:O248 O251 O272:O273">
    <cfRule type="containsText" dxfId="9" priority="1126" operator="containsText" text="No">
      <formula>NOT(ISERROR(SEARCH(("No"),(O230))))</formula>
    </cfRule>
  </conditionalFormatting>
  <conditionalFormatting sqref="O230:O234 O238 O241 O243 O245 O247:O248 O251 O272:O273">
    <cfRule type="containsText" dxfId="2" priority="1127" operator="containsText" text="Yes">
      <formula>NOT(ISERROR(SEARCH(("Yes"),(O230))))</formula>
    </cfRule>
  </conditionalFormatting>
  <conditionalFormatting sqref="O230:O234 O238 O241 O243 O245 O247:O248 O251 O272:O273">
    <cfRule type="containsText" dxfId="9" priority="1128" operator="containsText" text="No">
      <formula>NOT(ISERROR(SEARCH(("No"),(O230))))</formula>
    </cfRule>
  </conditionalFormatting>
  <conditionalFormatting sqref="O230:O234 O238 O241 O243 O245 O247:O248 O251 O272:O273">
    <cfRule type="containsText" dxfId="2" priority="1129" operator="containsText" text="Yes">
      <formula>NOT(ISERROR(SEARCH(("Yes"),(O230))))</formula>
    </cfRule>
  </conditionalFormatting>
  <conditionalFormatting sqref="O230:O234 O238 O241 O243 O245 O247:O248 O251 O272:O273">
    <cfRule type="containsText" dxfId="9" priority="1130" operator="containsText" text="No">
      <formula>NOT(ISERROR(SEARCH(("No"),(O230))))</formula>
    </cfRule>
  </conditionalFormatting>
  <conditionalFormatting sqref="O230:O234 O238 O241 O243 O245 O247:O248 O251 O272:O273">
    <cfRule type="containsText" dxfId="2" priority="1131" operator="containsText" text="Yes">
      <formula>NOT(ISERROR(SEARCH(("Yes"),(O230))))</formula>
    </cfRule>
  </conditionalFormatting>
  <conditionalFormatting sqref="O230:O234 O238 O241 O243 O245 O247:O248 O251 O272:O273">
    <cfRule type="containsText" dxfId="9" priority="1132" operator="containsText" text="No">
      <formula>NOT(ISERROR(SEARCH(("No"),(O230))))</formula>
    </cfRule>
  </conditionalFormatting>
  <conditionalFormatting sqref="O230:O234 O238 O241 O243 O245 O247:O248 O251 O272:O273">
    <cfRule type="containsText" dxfId="2" priority="1133" operator="containsText" text="Yes">
      <formula>NOT(ISERROR(SEARCH(("Yes"),(O230))))</formula>
    </cfRule>
  </conditionalFormatting>
  <conditionalFormatting sqref="O230:O234 O238 O241 O243 O245 O247:O248 O251 O272:O273">
    <cfRule type="containsText" dxfId="9" priority="1134" operator="containsText" text="No">
      <formula>NOT(ISERROR(SEARCH(("No"),(O230))))</formula>
    </cfRule>
  </conditionalFormatting>
  <conditionalFormatting sqref="O230:O234 O238 O241 O243 O245 O247:O248 O251 O272:O273">
    <cfRule type="containsText" dxfId="2" priority="1135" operator="containsText" text="Yes">
      <formula>NOT(ISERROR(SEARCH(("Yes"),(O230))))</formula>
    </cfRule>
  </conditionalFormatting>
  <conditionalFormatting sqref="O230:O234 O238 O241 O243 O245 O247:O248 O251 O272:O273">
    <cfRule type="containsText" dxfId="9" priority="1136" operator="containsText" text="No">
      <formula>NOT(ISERROR(SEARCH(("No"),(O230))))</formula>
    </cfRule>
  </conditionalFormatting>
  <conditionalFormatting sqref="O230:O234 O238 O241 O243 O245 O247:O248 O251 O272:O273">
    <cfRule type="containsText" dxfId="2" priority="1137" operator="containsText" text="Yes">
      <formula>NOT(ISERROR(SEARCH(("Yes"),(O230))))</formula>
    </cfRule>
  </conditionalFormatting>
  <conditionalFormatting sqref="O230:O234 O238 O241 O243 O245 O247:O248 O251 O272:O273">
    <cfRule type="containsText" dxfId="9" priority="1138" operator="containsText" text="No">
      <formula>NOT(ISERROR(SEARCH(("No"),(O230))))</formula>
    </cfRule>
  </conditionalFormatting>
  <conditionalFormatting sqref="O230:O234 O238 O241 O243 O245 O247:O248 O251 O272:O273">
    <cfRule type="containsText" dxfId="2" priority="1139" operator="containsText" text="Yes">
      <formula>NOT(ISERROR(SEARCH(("Yes"),(O230))))</formula>
    </cfRule>
  </conditionalFormatting>
  <conditionalFormatting sqref="O230:O234 O238 O241 O243 O245 O247:O248 O251 O272:O273">
    <cfRule type="containsText" dxfId="9" priority="1140" operator="containsText" text="No">
      <formula>NOT(ISERROR(SEARCH(("No"),(O230))))</formula>
    </cfRule>
  </conditionalFormatting>
  <conditionalFormatting sqref="O230:O234 O238 O241 O243 O245 O247:O248 O251 O272:O273">
    <cfRule type="containsText" dxfId="2" priority="1141" operator="containsText" text="Yes">
      <formula>NOT(ISERROR(SEARCH(("Yes"),(O230))))</formula>
    </cfRule>
  </conditionalFormatting>
  <conditionalFormatting sqref="O230:O234 O238 O241 O243 O245 O247:O248 O251 O272:O273">
    <cfRule type="containsText" dxfId="9" priority="1142" operator="containsText" text="No">
      <formula>NOT(ISERROR(SEARCH(("No"),(O230))))</formula>
    </cfRule>
  </conditionalFormatting>
  <conditionalFormatting sqref="O230:O234 O238 O241 O243 O245 O247:O248 O251 O272:O273">
    <cfRule type="containsText" dxfId="2" priority="1143" operator="containsText" text="Yes">
      <formula>NOT(ISERROR(SEARCH(("Yes"),(O230))))</formula>
    </cfRule>
  </conditionalFormatting>
  <conditionalFormatting sqref="O230:O234 O238 O241 O243 O245 O247:O248 O251 O272:O273">
    <cfRule type="containsText" dxfId="9" priority="1144" operator="containsText" text="No">
      <formula>NOT(ISERROR(SEARCH(("No"),(O230))))</formula>
    </cfRule>
  </conditionalFormatting>
  <conditionalFormatting sqref="O230:O234 O238 O241 O243 O245 O247:O248 O251 O272:O273">
    <cfRule type="containsText" dxfId="2" priority="1145" operator="containsText" text="Yes">
      <formula>NOT(ISERROR(SEARCH(("Yes"),(O230))))</formula>
    </cfRule>
  </conditionalFormatting>
  <conditionalFormatting sqref="O230:O234 O238 O241 O243 O245 O247:O248 O251 O272:O273">
    <cfRule type="containsText" dxfId="9" priority="1146" operator="containsText" text="No">
      <formula>NOT(ISERROR(SEARCH(("No"),(O230))))</formula>
    </cfRule>
  </conditionalFormatting>
  <conditionalFormatting sqref="O230:O234 O238 O241 O243 O245 O247:O248 O251 O272:O273">
    <cfRule type="containsText" dxfId="2" priority="1147" operator="containsText" text="Yes">
      <formula>NOT(ISERROR(SEARCH(("Yes"),(O230))))</formula>
    </cfRule>
  </conditionalFormatting>
  <conditionalFormatting sqref="O230:O234 O238 O241 O243 O245 O247:O248 O251 O272:O273">
    <cfRule type="containsText" dxfId="9" priority="1148" operator="containsText" text="No">
      <formula>NOT(ISERROR(SEARCH(("No"),(O230))))</formula>
    </cfRule>
  </conditionalFormatting>
  <conditionalFormatting sqref="O230:O234 O238 O241 O243 O245 O247:O248 O251 O272:O273">
    <cfRule type="containsText" dxfId="2" priority="1149" operator="containsText" text="Yes">
      <formula>NOT(ISERROR(SEARCH(("Yes"),(O230))))</formula>
    </cfRule>
  </conditionalFormatting>
  <conditionalFormatting sqref="O230:O234 O238 O241 O243 O245 O247:O248 O251 O272:O273">
    <cfRule type="containsText" dxfId="9" priority="1150" operator="containsText" text="No">
      <formula>NOT(ISERROR(SEARCH(("No"),(O230))))</formula>
    </cfRule>
  </conditionalFormatting>
  <conditionalFormatting sqref="O230:O234 O238 O241 O243 O245 O247:O248 O251 O272:O273">
    <cfRule type="containsText" dxfId="2" priority="1151" operator="containsText" text="Yes">
      <formula>NOT(ISERROR(SEARCH(("Yes"),(O230))))</formula>
    </cfRule>
  </conditionalFormatting>
  <conditionalFormatting sqref="O230:O234 O238 O241 O243 O245 O247:O248 O251 O272:O273">
    <cfRule type="containsText" dxfId="9" priority="1152" operator="containsText" text="No">
      <formula>NOT(ISERROR(SEARCH(("No"),(O230))))</formula>
    </cfRule>
  </conditionalFormatting>
  <conditionalFormatting sqref="O230:O234 O238 O241 O243 O245 O247:O248 O251 O272:O273">
    <cfRule type="containsText" dxfId="2" priority="1153" operator="containsText" text="Yes">
      <formula>NOT(ISERROR(SEARCH(("Yes"),(O230))))</formula>
    </cfRule>
  </conditionalFormatting>
  <conditionalFormatting sqref="O230:O234 O238 O241 O243 O245 O247:O248 O251 O272:O273">
    <cfRule type="containsText" dxfId="9" priority="1154" operator="containsText" text="No">
      <formula>NOT(ISERROR(SEARCH(("No"),(O230))))</formula>
    </cfRule>
  </conditionalFormatting>
  <conditionalFormatting sqref="O230:O234 O238 O241 O243 O245 O247:O248 O251 O272:O273">
    <cfRule type="containsText" dxfId="2" priority="1155" operator="containsText" text="Yes">
      <formula>NOT(ISERROR(SEARCH(("Yes"),(O230))))</formula>
    </cfRule>
  </conditionalFormatting>
  <conditionalFormatting sqref="O230:O234 O238 O241 O243 O245 O247:O248 O251 O272:O273">
    <cfRule type="containsText" dxfId="9" priority="1156" operator="containsText" text="No">
      <formula>NOT(ISERROR(SEARCH(("No"),(O230))))</formula>
    </cfRule>
  </conditionalFormatting>
  <conditionalFormatting sqref="O230:O234 O238 O241 O243 O245 O247:O248 O251 O272:O273">
    <cfRule type="containsText" dxfId="2" priority="1157" operator="containsText" text="Yes">
      <formula>NOT(ISERROR(SEARCH(("Yes"),(O230))))</formula>
    </cfRule>
  </conditionalFormatting>
  <conditionalFormatting sqref="O230:O234 O238 O241 O243 O245 O247:O248 O251 O272:O273">
    <cfRule type="containsText" dxfId="9" priority="1158" operator="containsText" text="No">
      <formula>NOT(ISERROR(SEARCH(("No"),(O230))))</formula>
    </cfRule>
  </conditionalFormatting>
  <conditionalFormatting sqref="O230:O234 O238 O241 O243 O245 O247:O248 O251 O272:O273">
    <cfRule type="containsText" dxfId="2" priority="1159" operator="containsText" text="Yes">
      <formula>NOT(ISERROR(SEARCH(("Yes"),(O230))))</formula>
    </cfRule>
  </conditionalFormatting>
  <conditionalFormatting sqref="O230:O234 O238 O241 O243 O245 O247:O248 O251 O272:O273">
    <cfRule type="containsText" dxfId="9" priority="1160" operator="containsText" text="No">
      <formula>NOT(ISERROR(SEARCH(("No"),(O230))))</formula>
    </cfRule>
  </conditionalFormatting>
  <conditionalFormatting sqref="O230:O234 O238 O241 O243 O245 O247:O248 O251 O272:O273">
    <cfRule type="containsText" dxfId="2" priority="1161" operator="containsText" text="Yes">
      <formula>NOT(ISERROR(SEARCH(("Yes"),(O230))))</formula>
    </cfRule>
  </conditionalFormatting>
  <conditionalFormatting sqref="O230:O234 O238 O241 O243 O245 O247:O248 O251 O272:O273">
    <cfRule type="containsText" dxfId="9" priority="1162" operator="containsText" text="No">
      <formula>NOT(ISERROR(SEARCH(("No"),(O230))))</formula>
    </cfRule>
  </conditionalFormatting>
  <conditionalFormatting sqref="O230:O234 O238 O241 O243 O245 O247:O248 O251 O272:O273">
    <cfRule type="containsText" dxfId="2" priority="1163" operator="containsText" text="Yes">
      <formula>NOT(ISERROR(SEARCH(("Yes"),(O230))))</formula>
    </cfRule>
  </conditionalFormatting>
  <conditionalFormatting sqref="O230:O234 O238 O241 O243 O245 O247:O248 O251 O272:O273">
    <cfRule type="containsText" dxfId="9" priority="1164" operator="containsText" text="No">
      <formula>NOT(ISERROR(SEARCH(("No"),(O230))))</formula>
    </cfRule>
  </conditionalFormatting>
  <conditionalFormatting sqref="O230:O234 O238 O241 O243 O245 O247:O248 O251 O272:O273">
    <cfRule type="containsText" dxfId="2" priority="1165" operator="containsText" text="Yes">
      <formula>NOT(ISERROR(SEARCH(("Yes"),(O230))))</formula>
    </cfRule>
  </conditionalFormatting>
  <conditionalFormatting sqref="O230:O234 O238 O241 O243 O245 O247:O248 O251 O272:O273">
    <cfRule type="containsText" dxfId="9" priority="1166" operator="containsText" text="No">
      <formula>NOT(ISERROR(SEARCH(("No"),(O230))))</formula>
    </cfRule>
  </conditionalFormatting>
  <conditionalFormatting sqref="O230:O234 O238 O241 O243 O245 O247:O248 O251 O272:O273">
    <cfRule type="containsText" dxfId="2" priority="1167" operator="containsText" text="Yes">
      <formula>NOT(ISERROR(SEARCH(("Yes"),(O230))))</formula>
    </cfRule>
  </conditionalFormatting>
  <conditionalFormatting sqref="O230:O234 O238 O241 O243 O245 O247:O248 O251 O272:O273">
    <cfRule type="containsText" dxfId="9" priority="1168" operator="containsText" text="No">
      <formula>NOT(ISERROR(SEARCH(("No"),(O230))))</formula>
    </cfRule>
  </conditionalFormatting>
  <conditionalFormatting sqref="O230:O234 O238 O241 O243 O245 O247:O248 O251 O272:O273">
    <cfRule type="containsText" dxfId="2" priority="1169" operator="containsText" text="Yes">
      <formula>NOT(ISERROR(SEARCH(("Yes"),(O230))))</formula>
    </cfRule>
  </conditionalFormatting>
  <conditionalFormatting sqref="O230:O234 O238 O241 O243 O245 O247:O248 O251 O272:O273">
    <cfRule type="containsText" dxfId="9" priority="1170" operator="containsText" text="No">
      <formula>NOT(ISERROR(SEARCH(("No"),(O230))))</formula>
    </cfRule>
  </conditionalFormatting>
  <conditionalFormatting sqref="O230:O234 O238 O241 O243 O245 O247:O248 O251 O272:O273">
    <cfRule type="containsText" dxfId="2" priority="1171" operator="containsText" text="Yes">
      <formula>NOT(ISERROR(SEARCH(("Yes"),(O230))))</formula>
    </cfRule>
  </conditionalFormatting>
  <conditionalFormatting sqref="O230:O234 O238 O241 O243 O245 O247:O248 O251 O272:O273">
    <cfRule type="containsText" dxfId="9" priority="1172" operator="containsText" text="No">
      <formula>NOT(ISERROR(SEARCH(("No"),(O230))))</formula>
    </cfRule>
  </conditionalFormatting>
  <conditionalFormatting sqref="O230:O234 O238 O241 O243 O245 O247:O248 O251 O272:O273">
    <cfRule type="containsText" dxfId="2" priority="1173" operator="containsText" text="Yes">
      <formula>NOT(ISERROR(SEARCH(("Yes"),(O230))))</formula>
    </cfRule>
  </conditionalFormatting>
  <conditionalFormatting sqref="O230:O234 O238 O241 O243 O245 O247:O248 O251 O272:O273">
    <cfRule type="containsText" dxfId="9" priority="1174" operator="containsText" text="No">
      <formula>NOT(ISERROR(SEARCH(("No"),(O230))))</formula>
    </cfRule>
  </conditionalFormatting>
  <conditionalFormatting sqref="O230:O234 O238 O241 O243 O245 O247:O248 O251 O272:O273">
    <cfRule type="containsText" dxfId="2" priority="1175" operator="containsText" text="Yes">
      <formula>NOT(ISERROR(SEARCH(("Yes"),(O230))))</formula>
    </cfRule>
  </conditionalFormatting>
  <conditionalFormatting sqref="O230:O234 O238 O241 O243 O245 O247:O248 O251 O272:O273">
    <cfRule type="containsText" dxfId="9" priority="1176" operator="containsText" text="No">
      <formula>NOT(ISERROR(SEARCH(("No"),(O230))))</formula>
    </cfRule>
  </conditionalFormatting>
  <conditionalFormatting sqref="O230:O234 O238 O241 O243 O245 O247:O248 O251 O272:O273">
    <cfRule type="containsText" dxfId="2" priority="1177" operator="containsText" text="Yes">
      <formula>NOT(ISERROR(SEARCH(("Yes"),(O230))))</formula>
    </cfRule>
  </conditionalFormatting>
  <conditionalFormatting sqref="O230:O234 O238 O241 O243 O245 O247:O248 O251 O272:O273">
    <cfRule type="containsText" dxfId="9" priority="1178" operator="containsText" text="No">
      <formula>NOT(ISERROR(SEARCH(("No"),(O230))))</formula>
    </cfRule>
  </conditionalFormatting>
  <conditionalFormatting sqref="O230:O234 O238 O241 O243 O245 O247:O248 O251 O272:O273">
    <cfRule type="containsText" dxfId="2" priority="1179" operator="containsText" text="Yes">
      <formula>NOT(ISERROR(SEARCH(("Yes"),(O230))))</formula>
    </cfRule>
  </conditionalFormatting>
  <conditionalFormatting sqref="O230:O234 O238 O241 O243 O245 O247:O248 O251 O272:O273">
    <cfRule type="containsText" dxfId="9" priority="1180" operator="containsText" text="No">
      <formula>NOT(ISERROR(SEARCH(("No"),(O230))))</formula>
    </cfRule>
  </conditionalFormatting>
  <conditionalFormatting sqref="O230:O234 O238 O241 O243 O245 O247:O248 O251 O272:O273">
    <cfRule type="containsText" dxfId="2" priority="1181" operator="containsText" text="Yes">
      <formula>NOT(ISERROR(SEARCH(("Yes"),(O230))))</formula>
    </cfRule>
  </conditionalFormatting>
  <conditionalFormatting sqref="O230:O234 O238 O241 O243 O245 O247:O248 O251 O272:O273">
    <cfRule type="containsText" dxfId="9" priority="1182" operator="containsText" text="No">
      <formula>NOT(ISERROR(SEARCH(("No"),(O230))))</formula>
    </cfRule>
  </conditionalFormatting>
  <conditionalFormatting sqref="O230:O234 O238 O241 O243 O245 O247:O248 O251 O272:O273">
    <cfRule type="containsText" dxfId="2" priority="1183" operator="containsText" text="Yes">
      <formula>NOT(ISERROR(SEARCH(("Yes"),(O230))))</formula>
    </cfRule>
  </conditionalFormatting>
  <conditionalFormatting sqref="O230:O234 O238 O241 O243 O245 O247:O248 O251 O272:O273">
    <cfRule type="containsText" dxfId="9" priority="1184" operator="containsText" text="No">
      <formula>NOT(ISERROR(SEARCH(("No"),(O230))))</formula>
    </cfRule>
  </conditionalFormatting>
  <conditionalFormatting sqref="O230:O234 O238 O241 O243 O245 O247:O248 O251 O272:O273">
    <cfRule type="containsText" dxfId="2" priority="1185" operator="containsText" text="Yes">
      <formula>NOT(ISERROR(SEARCH(("Yes"),(O230))))</formula>
    </cfRule>
  </conditionalFormatting>
  <conditionalFormatting sqref="O230:O234 O238 O241 O243 O245 O247:O248 O251 O272:O273">
    <cfRule type="containsText" dxfId="9" priority="1186" operator="containsText" text="No">
      <formula>NOT(ISERROR(SEARCH(("No"),(O230))))</formula>
    </cfRule>
  </conditionalFormatting>
  <conditionalFormatting sqref="O230:O234 O238 O241 O243 O245 O247:O248 O251 O272:O273">
    <cfRule type="containsText" dxfId="2" priority="1187" operator="containsText" text="Yes">
      <formula>NOT(ISERROR(SEARCH(("Yes"),(O230))))</formula>
    </cfRule>
  </conditionalFormatting>
  <conditionalFormatting sqref="O230:O234 O238 O241 O243 O245 O247:O248 O251 O272:O273">
    <cfRule type="containsText" dxfId="9" priority="1188" operator="containsText" text="No">
      <formula>NOT(ISERROR(SEARCH(("No"),(O230))))</formula>
    </cfRule>
  </conditionalFormatting>
  <conditionalFormatting sqref="O230:O234 O238 O241 O243 O245 O247:O248 O251 O272:O273">
    <cfRule type="containsText" dxfId="2" priority="1189" operator="containsText" text="Yes">
      <formula>NOT(ISERROR(SEARCH(("Yes"),(O230))))</formula>
    </cfRule>
  </conditionalFormatting>
  <conditionalFormatting sqref="O230:O234 O238 O241 O243 O245 O247:O248 O251 O272:O273">
    <cfRule type="containsText" dxfId="9" priority="1190" operator="containsText" text="No">
      <formula>NOT(ISERROR(SEARCH(("No"),(O230))))</formula>
    </cfRule>
  </conditionalFormatting>
  <conditionalFormatting sqref="O230:O234 O238 O241 O243 O245 O247:O248 O251 O272:O273">
    <cfRule type="containsText" dxfId="2" priority="1191" operator="containsText" text="Yes">
      <formula>NOT(ISERROR(SEARCH(("Yes"),(O230))))</formula>
    </cfRule>
  </conditionalFormatting>
  <conditionalFormatting sqref="O230:O234 O238 O241 O243 O245 O247:O248 O251 O272:O273">
    <cfRule type="containsText" dxfId="9" priority="1192" operator="containsText" text="No">
      <formula>NOT(ISERROR(SEARCH(("No"),(O230))))</formula>
    </cfRule>
  </conditionalFormatting>
  <conditionalFormatting sqref="O230:O234 O238 O241 O243 O245 O247:O248 O251 O272:O273">
    <cfRule type="containsText" dxfId="9" priority="1193" operator="containsText" text="No">
      <formula>NOT(ISERROR(SEARCH(("No"),(O230))))</formula>
    </cfRule>
  </conditionalFormatting>
  <conditionalFormatting sqref="O230:O234 O238 O241 O243 O245 O247:O248 O251 O272:O273">
    <cfRule type="containsText" dxfId="2" priority="1194" operator="containsText" text="Yes">
      <formula>NOT(ISERROR(SEARCH(("Yes"),(O230))))</formula>
    </cfRule>
  </conditionalFormatting>
  <conditionalFormatting sqref="O230:O234 O238 O241 O243 O245 O247:O248 O251 O272:O273">
    <cfRule type="containsText" dxfId="2" priority="1195" operator="containsText" text="Yes">
      <formula>NOT(ISERROR(SEARCH(("Yes"),(O230))))</formula>
    </cfRule>
  </conditionalFormatting>
  <conditionalFormatting sqref="O237:O240 O242 O244:O246 O249:O250 O252">
    <cfRule type="containsText" dxfId="2" priority="1196" operator="containsText" text="Yes">
      <formula>NOT(ISERROR(SEARCH(("Yes"),(O237))))</formula>
    </cfRule>
  </conditionalFormatting>
  <conditionalFormatting sqref="O237:O240 O242 O244:O246 O249:O250 O252">
    <cfRule type="containsText" dxfId="9" priority="1197" operator="containsText" text="No">
      <formula>NOT(ISERROR(SEARCH(("No"),(O237))))</formula>
    </cfRule>
  </conditionalFormatting>
  <conditionalFormatting sqref="O237:O240 O242 O244:O246 O249:O250 O252">
    <cfRule type="containsText" dxfId="2" priority="1198" operator="containsText" text="Yes">
      <formula>NOT(ISERROR(SEARCH(("Yes"),(O237))))</formula>
    </cfRule>
  </conditionalFormatting>
  <conditionalFormatting sqref="O237:O240 O242 O244:O246 O249:O250 O252">
    <cfRule type="containsText" dxfId="9" priority="1199" operator="containsText" text="No">
      <formula>NOT(ISERROR(SEARCH(("No"),(O237))))</formula>
    </cfRule>
  </conditionalFormatting>
  <conditionalFormatting sqref="O237:O240 O242 O244:O246 O249:O250 O252">
    <cfRule type="containsText" dxfId="2" priority="1200" operator="containsText" text="Yes">
      <formula>NOT(ISERROR(SEARCH(("Yes"),(O237))))</formula>
    </cfRule>
  </conditionalFormatting>
  <conditionalFormatting sqref="O237:O240 O242 O244:O246 O249:O250 O252">
    <cfRule type="containsText" dxfId="9" priority="1201" operator="containsText" text="No">
      <formula>NOT(ISERROR(SEARCH(("No"),(O237))))</formula>
    </cfRule>
  </conditionalFormatting>
  <conditionalFormatting sqref="O237:O240 O242 O244:O246 O249:O250 O252">
    <cfRule type="containsText" dxfId="2" priority="1202" operator="containsText" text="Yes">
      <formula>NOT(ISERROR(SEARCH(("Yes"),(O237))))</formula>
    </cfRule>
  </conditionalFormatting>
  <conditionalFormatting sqref="O237:O240 O242 O244:O246 O249:O250 O252">
    <cfRule type="containsText" dxfId="9" priority="1203" operator="containsText" text="No">
      <formula>NOT(ISERROR(SEARCH(("No"),(O237))))</formula>
    </cfRule>
  </conditionalFormatting>
  <conditionalFormatting sqref="O237:O240 O242 O244:O246 O249:O250 O252">
    <cfRule type="containsText" dxfId="2" priority="1204" operator="containsText" text="Yes">
      <formula>NOT(ISERROR(SEARCH(("Yes"),(O237))))</formula>
    </cfRule>
  </conditionalFormatting>
  <conditionalFormatting sqref="O237:O240 O242 O244:O246 O249:O250 O252">
    <cfRule type="containsText" dxfId="9" priority="1205" operator="containsText" text="No">
      <formula>NOT(ISERROR(SEARCH(("No"),(O237))))</formula>
    </cfRule>
  </conditionalFormatting>
  <conditionalFormatting sqref="O237:O240 O242 O244:O246 O249:O250 O252">
    <cfRule type="containsText" dxfId="2" priority="1206" operator="containsText" text="Yes">
      <formula>NOT(ISERROR(SEARCH(("Yes"),(O237))))</formula>
    </cfRule>
  </conditionalFormatting>
  <conditionalFormatting sqref="O237:O240 O242 O244:O246 O249:O250 O252">
    <cfRule type="containsText" dxfId="9" priority="1207" operator="containsText" text="No">
      <formula>NOT(ISERROR(SEARCH(("No"),(O237))))</formula>
    </cfRule>
  </conditionalFormatting>
  <conditionalFormatting sqref="O237:O240 O242 O244:O246 O249:O250 O252">
    <cfRule type="containsText" dxfId="2" priority="1208" operator="containsText" text="Yes">
      <formula>NOT(ISERROR(SEARCH(("Yes"),(O237))))</formula>
    </cfRule>
  </conditionalFormatting>
  <conditionalFormatting sqref="O237:O240 O242 O244:O246 O249:O250 O252">
    <cfRule type="containsText" dxfId="9" priority="1209" operator="containsText" text="No">
      <formula>NOT(ISERROR(SEARCH(("No"),(O237))))</formula>
    </cfRule>
  </conditionalFormatting>
  <conditionalFormatting sqref="O237:O240 O242 O244:O246 O249:O250 O252">
    <cfRule type="containsText" dxfId="2" priority="1210" operator="containsText" text="Yes">
      <formula>NOT(ISERROR(SEARCH(("Yes"),(O237))))</formula>
    </cfRule>
  </conditionalFormatting>
  <conditionalFormatting sqref="O237:O240 O242 O244:O246 O249:O250 O252">
    <cfRule type="containsText" dxfId="9" priority="1211" operator="containsText" text="No">
      <formula>NOT(ISERROR(SEARCH(("No"),(O237))))</formula>
    </cfRule>
  </conditionalFormatting>
  <conditionalFormatting sqref="O237:O240 O242 O244:O246 O249:O250 O252">
    <cfRule type="containsText" dxfId="2" priority="1212" operator="containsText" text="Yes">
      <formula>NOT(ISERROR(SEARCH(("Yes"),(O237))))</formula>
    </cfRule>
  </conditionalFormatting>
  <conditionalFormatting sqref="O237:O240 O242 O244:O246 O249:O250 O252">
    <cfRule type="containsText" dxfId="9" priority="1213" operator="containsText" text="No">
      <formula>NOT(ISERROR(SEARCH(("No"),(O237))))</formula>
    </cfRule>
  </conditionalFormatting>
  <conditionalFormatting sqref="O237:O240 O242 O244:O246 O249:O250 O252">
    <cfRule type="containsText" dxfId="2" priority="1214" operator="containsText" text="Yes">
      <formula>NOT(ISERROR(SEARCH(("Yes"),(O237))))</formula>
    </cfRule>
  </conditionalFormatting>
  <conditionalFormatting sqref="O237:O240 O242 O244:O246 O249:O250 O252">
    <cfRule type="containsText" dxfId="9" priority="1215" operator="containsText" text="No">
      <formula>NOT(ISERROR(SEARCH(("No"),(O237))))</formula>
    </cfRule>
  </conditionalFormatting>
  <conditionalFormatting sqref="O237:O240 O242 O244:O246 O249:O250 O252">
    <cfRule type="containsText" dxfId="2" priority="1216" operator="containsText" text="Yes">
      <formula>NOT(ISERROR(SEARCH(("Yes"),(O237))))</formula>
    </cfRule>
  </conditionalFormatting>
  <conditionalFormatting sqref="O237:O240 O242 O244:O246 O249:O250 O252">
    <cfRule type="containsText" dxfId="9" priority="1217" operator="containsText" text="No">
      <formula>NOT(ISERROR(SEARCH(("No"),(O237))))</formula>
    </cfRule>
  </conditionalFormatting>
  <conditionalFormatting sqref="O237:O240 O242 O244:O246 O249:O250 O252">
    <cfRule type="containsText" dxfId="2" priority="1218" operator="containsText" text="Yes">
      <formula>NOT(ISERROR(SEARCH(("Yes"),(O237))))</formula>
    </cfRule>
  </conditionalFormatting>
  <conditionalFormatting sqref="O237:O240 O242 O244:O246 O249:O250 O252">
    <cfRule type="containsText" dxfId="9" priority="1219" operator="containsText" text="No">
      <formula>NOT(ISERROR(SEARCH(("No"),(O237))))</formula>
    </cfRule>
  </conditionalFormatting>
  <conditionalFormatting sqref="O237:O240 O242 O244:O246 O249:O250 O252">
    <cfRule type="containsText" dxfId="2" priority="1220" operator="containsText" text="Yes">
      <formula>NOT(ISERROR(SEARCH(("Yes"),(O237))))</formula>
    </cfRule>
  </conditionalFormatting>
  <conditionalFormatting sqref="O237:O240 O242 O244:O246 O249:O250 O252">
    <cfRule type="containsText" dxfId="9" priority="1221" operator="containsText" text="No">
      <formula>NOT(ISERROR(SEARCH(("No"),(O237))))</formula>
    </cfRule>
  </conditionalFormatting>
  <conditionalFormatting sqref="O237:O240 O242 O244:O246 O249:O250 O252">
    <cfRule type="containsText" dxfId="2" priority="1222" operator="containsText" text="Yes">
      <formula>NOT(ISERROR(SEARCH(("Yes"),(O237))))</formula>
    </cfRule>
  </conditionalFormatting>
  <conditionalFormatting sqref="O237:O240 O242 O244:O246 O249:O250 O252">
    <cfRule type="containsText" dxfId="9" priority="1223" operator="containsText" text="No">
      <formula>NOT(ISERROR(SEARCH(("No"),(O237))))</formula>
    </cfRule>
  </conditionalFormatting>
  <conditionalFormatting sqref="O237:O240 O242 O244:O246 O249:O250 O252">
    <cfRule type="containsText" dxfId="2" priority="1224" operator="containsText" text="Yes">
      <formula>NOT(ISERROR(SEARCH(("Yes"),(O237))))</formula>
    </cfRule>
  </conditionalFormatting>
  <conditionalFormatting sqref="O237:O240 O242 O244:O246 O249:O250 O252">
    <cfRule type="containsText" dxfId="9" priority="1225" operator="containsText" text="No">
      <formula>NOT(ISERROR(SEARCH(("No"),(O237))))</formula>
    </cfRule>
  </conditionalFormatting>
  <conditionalFormatting sqref="O237:O240 O242 O244:O246 O249:O250 O252">
    <cfRule type="containsText" dxfId="2" priority="1226" operator="containsText" text="Yes">
      <formula>NOT(ISERROR(SEARCH(("Yes"),(O237))))</formula>
    </cfRule>
  </conditionalFormatting>
  <conditionalFormatting sqref="O237:O240 O242 O244:O246 O249:O250 O252">
    <cfRule type="containsText" dxfId="9" priority="1227" operator="containsText" text="No">
      <formula>NOT(ISERROR(SEARCH(("No"),(O237))))</formula>
    </cfRule>
  </conditionalFormatting>
  <conditionalFormatting sqref="O237:O240 O242 O244:O246 O249:O250 O252">
    <cfRule type="containsText" dxfId="2" priority="1228" operator="containsText" text="Yes">
      <formula>NOT(ISERROR(SEARCH(("Yes"),(O237))))</formula>
    </cfRule>
  </conditionalFormatting>
  <conditionalFormatting sqref="O237:O240 O242 O244:O246 O249:O250 O252">
    <cfRule type="containsText" dxfId="9" priority="1229" operator="containsText" text="No">
      <formula>NOT(ISERROR(SEARCH(("No"),(O237))))</formula>
    </cfRule>
  </conditionalFormatting>
  <conditionalFormatting sqref="O237:O240 O242 O244:O246 O249:O250 O252">
    <cfRule type="containsText" dxfId="2" priority="1230" operator="containsText" text="Yes">
      <formula>NOT(ISERROR(SEARCH(("Yes"),(O237))))</formula>
    </cfRule>
  </conditionalFormatting>
  <conditionalFormatting sqref="O237:O240 O242 O244:O246 O249:O250 O252">
    <cfRule type="containsText" dxfId="9" priority="1231" operator="containsText" text="No">
      <formula>NOT(ISERROR(SEARCH(("No"),(O237))))</formula>
    </cfRule>
  </conditionalFormatting>
  <conditionalFormatting sqref="O237:O240 O242 O244:O246 O249:O250 O252">
    <cfRule type="containsText" dxfId="2" priority="1232" operator="containsText" text="Yes">
      <formula>NOT(ISERROR(SEARCH(("Yes"),(O237))))</formula>
    </cfRule>
  </conditionalFormatting>
  <conditionalFormatting sqref="O237:O240 O242 O244:O246 O249:O250 O252">
    <cfRule type="containsText" dxfId="9" priority="1233" operator="containsText" text="No">
      <formula>NOT(ISERROR(SEARCH(("No"),(O237))))</formula>
    </cfRule>
  </conditionalFormatting>
  <conditionalFormatting sqref="O237:O240 O242 O244:O246 O249:O250 O252">
    <cfRule type="containsText" dxfId="2" priority="1234" operator="containsText" text="Yes">
      <formula>NOT(ISERROR(SEARCH(("Yes"),(O237))))</formula>
    </cfRule>
  </conditionalFormatting>
  <conditionalFormatting sqref="O237:O240 O242 O244:O246 O249:O250 O252">
    <cfRule type="containsText" dxfId="9" priority="1235" operator="containsText" text="No">
      <formula>NOT(ISERROR(SEARCH(("No"),(O237))))</formula>
    </cfRule>
  </conditionalFormatting>
  <conditionalFormatting sqref="O237:O240 O242 O244:O246 O249:O250 O252">
    <cfRule type="containsText" dxfId="2" priority="1236" operator="containsText" text="Yes">
      <formula>NOT(ISERROR(SEARCH(("Yes"),(O237))))</formula>
    </cfRule>
  </conditionalFormatting>
  <conditionalFormatting sqref="O237:O240 O242 O244:O246 O249:O250 O252">
    <cfRule type="containsText" dxfId="9" priority="1237" operator="containsText" text="No">
      <formula>NOT(ISERROR(SEARCH(("No"),(O237))))</formula>
    </cfRule>
  </conditionalFormatting>
  <conditionalFormatting sqref="O237:O240 O242 O244:O246 O249:O250 O252">
    <cfRule type="containsText" dxfId="2" priority="1238" operator="containsText" text="Yes">
      <formula>NOT(ISERROR(SEARCH(("Yes"),(O237))))</formula>
    </cfRule>
  </conditionalFormatting>
  <conditionalFormatting sqref="O237:O240 O242 O244:O246 O249:O250 O252">
    <cfRule type="containsText" dxfId="9" priority="1239" operator="containsText" text="No">
      <formula>NOT(ISERROR(SEARCH(("No"),(O237))))</formula>
    </cfRule>
  </conditionalFormatting>
  <conditionalFormatting sqref="O237:O240 O242 O244:O246 O249:O250 O252">
    <cfRule type="containsText" dxfId="2" priority="1240" operator="containsText" text="Yes">
      <formula>NOT(ISERROR(SEARCH(("Yes"),(O237))))</formula>
    </cfRule>
  </conditionalFormatting>
  <conditionalFormatting sqref="O237:O240 O242 O244:O246 O249:O250 O252">
    <cfRule type="containsText" dxfId="9" priority="1241" operator="containsText" text="No">
      <formula>NOT(ISERROR(SEARCH(("No"),(O237))))</formula>
    </cfRule>
  </conditionalFormatting>
  <conditionalFormatting sqref="O237:O240 O242 O244:O246 O249:O250 O252">
    <cfRule type="containsText" dxfId="2" priority="1242" operator="containsText" text="Yes">
      <formula>NOT(ISERROR(SEARCH(("Yes"),(O237))))</formula>
    </cfRule>
  </conditionalFormatting>
  <conditionalFormatting sqref="O237:O240 O242 O244:O246 O249:O250 O252">
    <cfRule type="containsText" dxfId="9" priority="1243" operator="containsText" text="No">
      <formula>NOT(ISERROR(SEARCH(("No"),(O237))))</formula>
    </cfRule>
  </conditionalFormatting>
  <conditionalFormatting sqref="O237:O240 O242 O244:O246 O249:O250 O252">
    <cfRule type="containsText" dxfId="2" priority="1244" operator="containsText" text="Yes">
      <formula>NOT(ISERROR(SEARCH(("Yes"),(O237))))</formula>
    </cfRule>
  </conditionalFormatting>
  <conditionalFormatting sqref="O237:O240 O242 O244:O246 O249:O250 O252">
    <cfRule type="containsText" dxfId="9" priority="1245" operator="containsText" text="No">
      <formula>NOT(ISERROR(SEARCH(("No"),(O237))))</formula>
    </cfRule>
  </conditionalFormatting>
  <conditionalFormatting sqref="O237:O240 O242 O244:O246 O249:O250 O252">
    <cfRule type="containsText" dxfId="2" priority="1246" operator="containsText" text="Yes">
      <formula>NOT(ISERROR(SEARCH(("Yes"),(O237))))</formula>
    </cfRule>
  </conditionalFormatting>
  <conditionalFormatting sqref="O237:O240 O242 O244:O246 O249:O250 O252">
    <cfRule type="containsText" dxfId="9" priority="1247" operator="containsText" text="No">
      <formula>NOT(ISERROR(SEARCH(("No"),(O237))))</formula>
    </cfRule>
  </conditionalFormatting>
  <conditionalFormatting sqref="O237:O240 O242 O244:O246 O249:O250 O252">
    <cfRule type="containsText" dxfId="2" priority="1248" operator="containsText" text="Yes">
      <formula>NOT(ISERROR(SEARCH(("Yes"),(O237))))</formula>
    </cfRule>
  </conditionalFormatting>
  <conditionalFormatting sqref="O237:O240 O242 O244:O246 O249:O250 O252">
    <cfRule type="containsText" dxfId="9" priority="1249" operator="containsText" text="No">
      <formula>NOT(ISERROR(SEARCH(("No"),(O237))))</formula>
    </cfRule>
  </conditionalFormatting>
  <conditionalFormatting sqref="O237:O240 O242 O244:O246 O249:O250 O252">
    <cfRule type="containsText" dxfId="2" priority="1250" operator="containsText" text="Yes">
      <formula>NOT(ISERROR(SEARCH(("Yes"),(O237))))</formula>
    </cfRule>
  </conditionalFormatting>
  <conditionalFormatting sqref="O237:O240 O242 O244:O246 O249:O250 O252">
    <cfRule type="containsText" dxfId="9" priority="1251" operator="containsText" text="No">
      <formula>NOT(ISERROR(SEARCH(("No"),(O237))))</formula>
    </cfRule>
  </conditionalFormatting>
  <conditionalFormatting sqref="O237:O240 O242 O244:O246 O249:O250 O252">
    <cfRule type="containsText" dxfId="2" priority="1252" operator="containsText" text="Yes">
      <formula>NOT(ISERROR(SEARCH(("Yes"),(O237))))</formula>
    </cfRule>
  </conditionalFormatting>
  <conditionalFormatting sqref="O237:O240 O242 O244:O246 O249:O250 O252">
    <cfRule type="containsText" dxfId="9" priority="1253" operator="containsText" text="No">
      <formula>NOT(ISERROR(SEARCH(("No"),(O237))))</formula>
    </cfRule>
  </conditionalFormatting>
  <conditionalFormatting sqref="O237:O240 O242 O244:O246 O249:O250 O252">
    <cfRule type="containsText" dxfId="2" priority="1254" operator="containsText" text="Yes">
      <formula>NOT(ISERROR(SEARCH(("Yes"),(O237))))</formula>
    </cfRule>
  </conditionalFormatting>
  <conditionalFormatting sqref="O237:O240 O242 O244:O246 O249:O250 O252">
    <cfRule type="containsText" dxfId="9" priority="1255" operator="containsText" text="No">
      <formula>NOT(ISERROR(SEARCH(("No"),(O237))))</formula>
    </cfRule>
  </conditionalFormatting>
  <conditionalFormatting sqref="O237:O240 O242 O244:O246 O249:O250 O252">
    <cfRule type="containsText" dxfId="2" priority="1256" operator="containsText" text="Yes">
      <formula>NOT(ISERROR(SEARCH(("Yes"),(O237))))</formula>
    </cfRule>
  </conditionalFormatting>
  <conditionalFormatting sqref="O237:O240 O242 O244:O246 O249:O250 O252">
    <cfRule type="containsText" dxfId="9" priority="1257" operator="containsText" text="No">
      <formula>NOT(ISERROR(SEARCH(("No"),(O237))))</formula>
    </cfRule>
  </conditionalFormatting>
  <conditionalFormatting sqref="O237:O240 O242 O244:O246 O249:O250 O252">
    <cfRule type="containsText" dxfId="2" priority="1258" operator="containsText" text="Yes">
      <formula>NOT(ISERROR(SEARCH(("Yes"),(O237))))</formula>
    </cfRule>
  </conditionalFormatting>
  <conditionalFormatting sqref="O237:O240 O242 O244:O246 O249:O250 O252">
    <cfRule type="containsText" dxfId="9" priority="1259" operator="containsText" text="No">
      <formula>NOT(ISERROR(SEARCH(("No"),(O237))))</formula>
    </cfRule>
  </conditionalFormatting>
  <conditionalFormatting sqref="O237:O240 O242 O244:O246 O249:O250 O252">
    <cfRule type="containsText" dxfId="2" priority="1260" operator="containsText" text="Yes">
      <formula>NOT(ISERROR(SEARCH(("Yes"),(O237))))</formula>
    </cfRule>
  </conditionalFormatting>
  <conditionalFormatting sqref="O237:O240 O242 O244:O246 O249:O250 O252">
    <cfRule type="containsText" dxfId="9" priority="1261" operator="containsText" text="No">
      <formula>NOT(ISERROR(SEARCH(("No"),(O237))))</formula>
    </cfRule>
  </conditionalFormatting>
  <conditionalFormatting sqref="O237:O240 O242 O244:O246 O249:O250 O252">
    <cfRule type="containsText" dxfId="2" priority="1262" operator="containsText" text="Yes">
      <formula>NOT(ISERROR(SEARCH(("Yes"),(O237))))</formula>
    </cfRule>
  </conditionalFormatting>
  <conditionalFormatting sqref="O237:O240 O242 O244:O246 O249:O250 O252">
    <cfRule type="containsText" dxfId="9" priority="1263" operator="containsText" text="No">
      <formula>NOT(ISERROR(SEARCH(("No"),(O237))))</formula>
    </cfRule>
  </conditionalFormatting>
  <conditionalFormatting sqref="O237:O240 O242 O244:O246 O249:O250 O252">
    <cfRule type="containsText" dxfId="2" priority="1264" operator="containsText" text="Yes">
      <formula>NOT(ISERROR(SEARCH(("Yes"),(O237))))</formula>
    </cfRule>
  </conditionalFormatting>
  <conditionalFormatting sqref="O237:O240 O242 O244:O246 O249:O250 O252">
    <cfRule type="containsText" dxfId="9" priority="1265" operator="containsText" text="No">
      <formula>NOT(ISERROR(SEARCH(("No"),(O237))))</formula>
    </cfRule>
  </conditionalFormatting>
  <conditionalFormatting sqref="O237:O240 O242 O244:O246 O249:O250 O252">
    <cfRule type="containsText" dxfId="2" priority="1266" operator="containsText" text="Yes">
      <formula>NOT(ISERROR(SEARCH(("Yes"),(O237))))</formula>
    </cfRule>
  </conditionalFormatting>
  <conditionalFormatting sqref="O237:O240 O242 O244:O246 O249:O250 O252">
    <cfRule type="containsText" dxfId="9" priority="1267" operator="containsText" text="No">
      <formula>NOT(ISERROR(SEARCH(("No"),(O237))))</formula>
    </cfRule>
  </conditionalFormatting>
  <conditionalFormatting sqref="O237:O240 O242 O244:O246 O249:O250 O252">
    <cfRule type="containsText" dxfId="2" priority="1268" operator="containsText" text="Yes">
      <formula>NOT(ISERROR(SEARCH(("Yes"),(O237))))</formula>
    </cfRule>
  </conditionalFormatting>
  <conditionalFormatting sqref="O237:O240 O242 O244:O246 O249:O250 O252">
    <cfRule type="containsText" dxfId="9" priority="1269" operator="containsText" text="No">
      <formula>NOT(ISERROR(SEARCH(("No"),(O237))))</formula>
    </cfRule>
  </conditionalFormatting>
  <conditionalFormatting sqref="O237:O240 O242 O244:O246 O249:O250 O252">
    <cfRule type="containsText" dxfId="2" priority="1270" operator="containsText" text="Yes">
      <formula>NOT(ISERROR(SEARCH(("Yes"),(O237))))</formula>
    </cfRule>
  </conditionalFormatting>
  <conditionalFormatting sqref="O237:O240 O242 O244:O246 O249:O250 O252">
    <cfRule type="containsText" dxfId="9" priority="1271" operator="containsText" text="No">
      <formula>NOT(ISERROR(SEARCH(("No"),(O237))))</formula>
    </cfRule>
  </conditionalFormatting>
  <conditionalFormatting sqref="O237:O240 O242 O244:O246 O249:O250 O252">
    <cfRule type="containsText" dxfId="2" priority="1272" operator="containsText" text="Yes">
      <formula>NOT(ISERROR(SEARCH(("Yes"),(O237))))</formula>
    </cfRule>
  </conditionalFormatting>
  <conditionalFormatting sqref="O237:O240 O242 O244:O246 O249:O250 O252">
    <cfRule type="containsText" dxfId="9" priority="1273" operator="containsText" text="No">
      <formula>NOT(ISERROR(SEARCH(("No"),(O237))))</formula>
    </cfRule>
  </conditionalFormatting>
  <conditionalFormatting sqref="O237:O240 O242 O244:O246 O249:O250 O252">
    <cfRule type="containsText" dxfId="2" priority="1274" operator="containsText" text="Yes">
      <formula>NOT(ISERROR(SEARCH(("Yes"),(O237))))</formula>
    </cfRule>
  </conditionalFormatting>
  <conditionalFormatting sqref="O237:O240 O242 O244:O246 O249:O250 O252">
    <cfRule type="containsText" dxfId="9" priority="1275" operator="containsText" text="No">
      <formula>NOT(ISERROR(SEARCH(("No"),(O237))))</formula>
    </cfRule>
  </conditionalFormatting>
  <conditionalFormatting sqref="O237:O240 O242 O244:O246 O249:O250 O252">
    <cfRule type="containsText" dxfId="2" priority="1276" operator="containsText" text="Yes">
      <formula>NOT(ISERROR(SEARCH(("Yes"),(O237))))</formula>
    </cfRule>
  </conditionalFormatting>
  <conditionalFormatting sqref="O237:O240 O242 O244:O246 O249:O250 O252">
    <cfRule type="containsText" dxfId="9" priority="1277" operator="containsText" text="No">
      <formula>NOT(ISERROR(SEARCH(("No"),(O237))))</formula>
    </cfRule>
  </conditionalFormatting>
  <conditionalFormatting sqref="O237:O240 O242 O244:O246 O249:O250 O252">
    <cfRule type="containsText" dxfId="2" priority="1278" operator="containsText" text="Yes">
      <formula>NOT(ISERROR(SEARCH(("Yes"),(O237))))</formula>
    </cfRule>
  </conditionalFormatting>
  <conditionalFormatting sqref="O237:O240 O242 O244:O246 O249:O250 O252">
    <cfRule type="containsText" dxfId="9" priority="1279" operator="containsText" text="No">
      <formula>NOT(ISERROR(SEARCH(("No"),(O237))))</formula>
    </cfRule>
  </conditionalFormatting>
  <conditionalFormatting sqref="O237:O240 O242 O244:O246 O249:O250 O252">
    <cfRule type="containsText" dxfId="2" priority="1280" operator="containsText" text="Yes">
      <formula>NOT(ISERROR(SEARCH(("Yes"),(O237))))</formula>
    </cfRule>
  </conditionalFormatting>
  <conditionalFormatting sqref="O237:O240 O242 O244:O246 O249:O250 O252">
    <cfRule type="containsText" dxfId="9" priority="1281" operator="containsText" text="No">
      <formula>NOT(ISERROR(SEARCH(("No"),(O237))))</formula>
    </cfRule>
  </conditionalFormatting>
  <conditionalFormatting sqref="O237:O240 O242 O244:O246 O249:O250 O252">
    <cfRule type="containsText" dxfId="2" priority="1282" operator="containsText" text="Yes">
      <formula>NOT(ISERROR(SEARCH(("Yes"),(O237))))</formula>
    </cfRule>
  </conditionalFormatting>
  <conditionalFormatting sqref="O237:O240 O242 O244:O246 O249:O250 O252">
    <cfRule type="containsText" dxfId="9" priority="1283" operator="containsText" text="No">
      <formula>NOT(ISERROR(SEARCH(("No"),(O237))))</formula>
    </cfRule>
  </conditionalFormatting>
  <conditionalFormatting sqref="O237:O240 O242 O244:O246 O249:O250 O252">
    <cfRule type="containsText" dxfId="2" priority="1284" operator="containsText" text="Yes">
      <formula>NOT(ISERROR(SEARCH(("Yes"),(O237))))</formula>
    </cfRule>
  </conditionalFormatting>
  <conditionalFormatting sqref="O237:O240 O242 O244:O246 O249:O250 O252">
    <cfRule type="containsText" dxfId="2" priority="1285" operator="containsText" text="Yes">
      <formula>NOT(ISERROR(SEARCH(("Yes"),(O237))))</formula>
    </cfRule>
  </conditionalFormatting>
  <conditionalFormatting sqref="O237:O240 O242 O244:O246 O249:O250 O252">
    <cfRule type="containsText" dxfId="9" priority="1286" operator="containsText" text="No">
      <formula>NOT(ISERROR(SEARCH(("No"),(O237))))</formula>
    </cfRule>
  </conditionalFormatting>
  <conditionalFormatting sqref="O237:O240 O242 O244:O246 O249:O250 O252">
    <cfRule type="containsText" dxfId="2" priority="1287" operator="containsText" text="Yes">
      <formula>NOT(ISERROR(SEARCH(("Yes"),(O237))))</formula>
    </cfRule>
  </conditionalFormatting>
  <conditionalFormatting sqref="N924:O925 N994:N997 N999:N1010 N1012 N1015 N1018:N1027 N1029:N1032 N1035:N1068 N1071:N1073 N1075:N1077 N1079 N1081 N1083:N1084 N1100:Q1100 N1103:Q1107 N1110:Q1110 N1115:Q1116 N1129:Q1129 N1151:N1155 N1158:N1159 N1163:Q1430 O378 O380 O383 O994 O1026 O1051:Q1051 O1054 O1058:O1059 O1061:Q1063 O1159:Q1159 P1027:Q1027 P1059:Q1059 Q654:Q669 Q671:Q692 Q819 Q833:Q834 Q865:Q866 Q877 Q880 Q883 Q924:Q925 V692">
    <cfRule type="containsText" dxfId="2" priority="1288" operator="containsText" text="Yes">
      <formula>NOT(ISERROR(SEARCH(("Yes"),(N924))))</formula>
    </cfRule>
  </conditionalFormatting>
  <conditionalFormatting sqref="O654 O657 O659:O661 O663 O666:O669 O674 O676:O677 O679 O681 O684:O685 O688 O690 O692">
    <cfRule type="containsText" dxfId="9" priority="1289" operator="containsText" text="No">
      <formula>NOT(ISERROR(SEARCH(("No"),(O654))))</formula>
    </cfRule>
  </conditionalFormatting>
  <conditionalFormatting sqref="O654 O657 O659:O661 O663 O666:O669 O674 O676:O677 O679 O681 O684:O685 O688 O690 O692">
    <cfRule type="containsText" dxfId="2" priority="1290" operator="containsText" text="Yes">
      <formula>NOT(ISERROR(SEARCH(("Yes"),(O654))))</formula>
    </cfRule>
  </conditionalFormatting>
  <conditionalFormatting sqref="O654 O657 O659:O661 O663 O666:O669 O674 O676:O677 O679 O681 O684:O685 O688 O690 O692">
    <cfRule type="containsText" dxfId="9" priority="1291" operator="containsText" text="No">
      <formula>NOT(ISERROR(SEARCH(("No"),(O654))))</formula>
    </cfRule>
  </conditionalFormatting>
  <conditionalFormatting sqref="O654 O657 O659:O661 O663 O666:O669 O674 O676:O677 O679 O681 O684:O685 O688 O690 O692">
    <cfRule type="containsText" dxfId="2" priority="1292" operator="containsText" text="Yes">
      <formula>NOT(ISERROR(SEARCH(("Yes"),(O654))))</formula>
    </cfRule>
  </conditionalFormatting>
  <conditionalFormatting sqref="O654 O657 O659:O661 O663 O666:O669 O674 O676:O677 O679 O681 O684:O685 O688 O690 O692">
    <cfRule type="containsText" dxfId="9" priority="1293" operator="containsText" text="No">
      <formula>NOT(ISERROR(SEARCH(("No"),(O654))))</formula>
    </cfRule>
  </conditionalFormatting>
  <conditionalFormatting sqref="O654 O657 O659:O661 O663 O666:O669 O674 O676:O677 O679 O681 O684:O685 O688 O690 O692">
    <cfRule type="containsText" dxfId="2" priority="1294" operator="containsText" text="Yes">
      <formula>NOT(ISERROR(SEARCH(("Yes"),(O654))))</formula>
    </cfRule>
  </conditionalFormatting>
  <conditionalFormatting sqref="O654 O657 O659:O661 O663 O666:O669 O674 O676:O677 O679 O681 O684:O685 O688 O690 O692">
    <cfRule type="containsText" dxfId="9" priority="1295" operator="containsText" text="No">
      <formula>NOT(ISERROR(SEARCH(("No"),(O654))))</formula>
    </cfRule>
  </conditionalFormatting>
  <conditionalFormatting sqref="O654 O657 O659:O661 O663 O666:O669 O674 O676:O677 O679 O681 O684:O685 O688 O690 O692">
    <cfRule type="containsText" dxfId="2" priority="1296" operator="containsText" text="Yes">
      <formula>NOT(ISERROR(SEARCH(("Yes"),(O654))))</formula>
    </cfRule>
  </conditionalFormatting>
  <conditionalFormatting sqref="O654 O657 O659:O661 O663 O666:O669 O674 O676:O677 O679 O681 O684:O685 O688 O690 O692">
    <cfRule type="containsText" dxfId="9" priority="1297" operator="containsText" text="No">
      <formula>NOT(ISERROR(SEARCH(("No"),(O654))))</formula>
    </cfRule>
  </conditionalFormatting>
  <conditionalFormatting sqref="O654 O657 O659:O661 O663 O666:O669 O674 O676:O677 O679 O681 O684:O685 O688 O690 O692">
    <cfRule type="containsText" dxfId="2" priority="1298" operator="containsText" text="Yes">
      <formula>NOT(ISERROR(SEARCH(("Yes"),(O654))))</formula>
    </cfRule>
  </conditionalFormatting>
  <conditionalFormatting sqref="O654 O657 O659:O661 O663 O666:O669 O674 O676:O677 O679 O681 O684:O685 O688 O690 O692">
    <cfRule type="containsText" dxfId="9" priority="1299" operator="containsText" text="No">
      <formula>NOT(ISERROR(SEARCH(("No"),(O654))))</formula>
    </cfRule>
  </conditionalFormatting>
  <conditionalFormatting sqref="O654 O657 O659:O661 O663 O666:O669 O674 O676:O677 O679 O681 O684:O685 O688 O690 O692">
    <cfRule type="containsText" dxfId="2" priority="1300" operator="containsText" text="Yes">
      <formula>NOT(ISERROR(SEARCH(("Yes"),(O654))))</formula>
    </cfRule>
  </conditionalFormatting>
  <conditionalFormatting sqref="O654 O657 O659:O661 O663 O666:O669 O674 O676:O677 O679 O681 O684:O685 O688 O690 O692">
    <cfRule type="containsText" dxfId="9" priority="1301" operator="containsText" text="No">
      <formula>NOT(ISERROR(SEARCH(("No"),(O654))))</formula>
    </cfRule>
  </conditionalFormatting>
  <conditionalFormatting sqref="O654 O657 O659:O661 O663 O666:O669 O674 O676:O677 O679 O681 O684:O685 O688 O690 O692">
    <cfRule type="containsText" dxfId="2" priority="1302" operator="containsText" text="Yes">
      <formula>NOT(ISERROR(SEARCH(("Yes"),(O654))))</formula>
    </cfRule>
  </conditionalFormatting>
  <conditionalFormatting sqref="O654 O657 O659:O661 O663 O666:O669 O674 O676:O677 O679 O681 O684:O685 O688 O690 O692">
    <cfRule type="containsText" dxfId="9" priority="1303" operator="containsText" text="No">
      <formula>NOT(ISERROR(SEARCH(("No"),(O654))))</formula>
    </cfRule>
  </conditionalFormatting>
  <conditionalFormatting sqref="O654 O657 O659:O661 O663 O666:O669 O674 O676:O677 O679 O681 O684:O685 O688 O690 O692">
    <cfRule type="containsText" dxfId="2" priority="1304" operator="containsText" text="Yes">
      <formula>NOT(ISERROR(SEARCH(("Yes"),(O654))))</formula>
    </cfRule>
  </conditionalFormatting>
  <conditionalFormatting sqref="O654 O657 O659:O661 O663 O666:O669 O674 O676:O677 O679 O681 O684:O685 O688 O690 O692">
    <cfRule type="containsText" dxfId="9" priority="1305" operator="containsText" text="No">
      <formula>NOT(ISERROR(SEARCH(("No"),(O654))))</formula>
    </cfRule>
  </conditionalFormatting>
  <conditionalFormatting sqref="O654 O657 O659:O661 O663 O666:O669 O674 O676:O677 O679 O681 O684:O685 O688 O690 O692">
    <cfRule type="containsText" dxfId="2" priority="1306" operator="containsText" text="Yes">
      <formula>NOT(ISERROR(SEARCH(("Yes"),(O654))))</formula>
    </cfRule>
  </conditionalFormatting>
  <conditionalFormatting sqref="O654 O657 O659:O661 O663 O666:O669 O674 O676:O677 O679 O681 O684:O685 O688 O690 O692">
    <cfRule type="containsText" dxfId="9" priority="1307" operator="containsText" text="No">
      <formula>NOT(ISERROR(SEARCH(("No"),(O654))))</formula>
    </cfRule>
  </conditionalFormatting>
  <conditionalFormatting sqref="O654 O657 O659:O661 O663 O666:O669 O674 O676:O677 O679 O681 O684:O685 O688 O690 O692">
    <cfRule type="containsText" dxfId="2" priority="1308" operator="containsText" text="Yes">
      <formula>NOT(ISERROR(SEARCH(("Yes"),(O654))))</formula>
    </cfRule>
  </conditionalFormatting>
  <conditionalFormatting sqref="O654 O657 O659:O661 O663 O666:O669 O674 O676:O677 O679 O681 O684:O685 O688 O690 O692">
    <cfRule type="containsText" dxfId="9" priority="1309" operator="containsText" text="No">
      <formula>NOT(ISERROR(SEARCH(("No"),(O654))))</formula>
    </cfRule>
  </conditionalFormatting>
  <conditionalFormatting sqref="O654 O657 O659:O661 O663 O666:O669 O674 O676:O677 O679 O681 O684:O685 O688 O690 O692">
    <cfRule type="containsText" dxfId="2" priority="1310" operator="containsText" text="Yes">
      <formula>NOT(ISERROR(SEARCH(("Yes"),(O654))))</formula>
    </cfRule>
  </conditionalFormatting>
  <conditionalFormatting sqref="O654 O657 O659:O661 O663 O666:O669 O674 O676:O677 O679 O681 O684:O685 O688 O690 O692">
    <cfRule type="containsText" dxfId="9" priority="1311" operator="containsText" text="No">
      <formula>NOT(ISERROR(SEARCH(("No"),(O654))))</formula>
    </cfRule>
  </conditionalFormatting>
  <conditionalFormatting sqref="O654 O657 O659:O661 O663 O666:O669 O674 O676:O677 O679 O681 O684:O685 O688 O690 O692">
    <cfRule type="containsText" dxfId="2" priority="1312" operator="containsText" text="Yes">
      <formula>NOT(ISERROR(SEARCH(("Yes"),(O654))))</formula>
    </cfRule>
  </conditionalFormatting>
  <conditionalFormatting sqref="O654 O657 O659:O661 O663 O666:O669 O674 O676:O677 O679 O681 O684:O685 O688 O690 O692">
    <cfRule type="containsText" dxfId="9" priority="1313" operator="containsText" text="No">
      <formula>NOT(ISERROR(SEARCH(("No"),(O654))))</formula>
    </cfRule>
  </conditionalFormatting>
  <conditionalFormatting sqref="O654 O657 O659:O661 O663 O666:O669 O674 O676:O677 O679 O681 O684:O685 O688 O690 O692">
    <cfRule type="containsText" dxfId="2" priority="1314" operator="containsText" text="Yes">
      <formula>NOT(ISERROR(SEARCH(("Yes"),(O654))))</formula>
    </cfRule>
  </conditionalFormatting>
  <conditionalFormatting sqref="O654 O657 O659:O661 O663 O666:O669 O674 O676:O677 O679 O681 O684:O685 O688 O690 O692">
    <cfRule type="containsText" dxfId="9" priority="1315" operator="containsText" text="No">
      <formula>NOT(ISERROR(SEARCH(("No"),(O654))))</formula>
    </cfRule>
  </conditionalFormatting>
  <conditionalFormatting sqref="O654 O657 O659:O661 O663 O666:O669 O674 O676:O677 O679 O681 O684:O685 O688 O690 O692">
    <cfRule type="containsText" dxfId="2" priority="1316" operator="containsText" text="Yes">
      <formula>NOT(ISERROR(SEARCH(("Yes"),(O654))))</formula>
    </cfRule>
  </conditionalFormatting>
  <conditionalFormatting sqref="O654 O657 O659:O661 O663 O666:O669 O674 O676:O677 O679 O681 O684:O685 O688 O690 O692">
    <cfRule type="containsText" dxfId="9" priority="1317" operator="containsText" text="No">
      <formula>NOT(ISERROR(SEARCH(("No"),(O654))))</formula>
    </cfRule>
  </conditionalFormatting>
  <conditionalFormatting sqref="O654 O657 O659:O661 O663 O666:O669 O674 O676:O677 O679 O681 O684:O685 O688 O690 O692">
    <cfRule type="containsText" dxfId="2" priority="1318" operator="containsText" text="Yes">
      <formula>NOT(ISERROR(SEARCH(("Yes"),(O654))))</formula>
    </cfRule>
  </conditionalFormatting>
  <conditionalFormatting sqref="O654 O657 O659:O661 O663 O666:O669 O674 O676:O677 O679 O681 O684:O685 O688 O690 O692">
    <cfRule type="containsText" dxfId="9" priority="1319" operator="containsText" text="No">
      <formula>NOT(ISERROR(SEARCH(("No"),(O654))))</formula>
    </cfRule>
  </conditionalFormatting>
  <conditionalFormatting sqref="O654 O657 O659:O661 O663 O666:O669 O674 O676:O677 O679 O681 O684:O685 O688 O690 O692">
    <cfRule type="containsText" dxfId="2" priority="1320" operator="containsText" text="Yes">
      <formula>NOT(ISERROR(SEARCH(("Yes"),(O654))))</formula>
    </cfRule>
  </conditionalFormatting>
  <conditionalFormatting sqref="O654 O657 O659:O661 O663 O666:O669 O674 O676:O677 O679 O681 O684:O685 O688 O690 O692">
    <cfRule type="containsText" dxfId="9" priority="1321" operator="containsText" text="No">
      <formula>NOT(ISERROR(SEARCH(("No"),(O654))))</formula>
    </cfRule>
  </conditionalFormatting>
  <conditionalFormatting sqref="O654 O657 O659:O661 O663 O666:O669 O674 O676:O677 O679 O681 O684:O685 O688 O690 O692">
    <cfRule type="containsText" dxfId="2" priority="1322" operator="containsText" text="Yes">
      <formula>NOT(ISERROR(SEARCH(("Yes"),(O654))))</formula>
    </cfRule>
  </conditionalFormatting>
  <conditionalFormatting sqref="O654 O657 O659:O661 O663 O666:O669 O674 O676:O677 O679 O681 O684:O685 O688 O690 O692">
    <cfRule type="containsText" dxfId="9" priority="1323" operator="containsText" text="No">
      <formula>NOT(ISERROR(SEARCH(("No"),(O654))))</formula>
    </cfRule>
  </conditionalFormatting>
  <conditionalFormatting sqref="O654 O657 O659:O661 O663 O666:O669 O674 O676:O677 O679 O681 O684:O685 O688 O690 O692">
    <cfRule type="containsText" dxfId="2" priority="1324" operator="containsText" text="Yes">
      <formula>NOT(ISERROR(SEARCH(("Yes"),(O654))))</formula>
    </cfRule>
  </conditionalFormatting>
  <conditionalFormatting sqref="O654 O657 O659:O661 O663 O666:O669 O674 O676:O677 O679 O681 O684:O685 O688 O690 O692">
    <cfRule type="containsText" dxfId="9" priority="1325" operator="containsText" text="No">
      <formula>NOT(ISERROR(SEARCH(("No"),(O654))))</formula>
    </cfRule>
  </conditionalFormatting>
  <conditionalFormatting sqref="O654 O657 O659:O661 O663 O666:O669 O674 O676:O677 O679 O681 O684:O685 O688 O690 O692">
    <cfRule type="containsText" dxfId="2" priority="1326" operator="containsText" text="Yes">
      <formula>NOT(ISERROR(SEARCH(("Yes"),(O654))))</formula>
    </cfRule>
  </conditionalFormatting>
  <conditionalFormatting sqref="O654 O657 O659:O661 O663 O666:O669 O674 O676:O677 O679 O681 O684:O685 O688 O690 O692">
    <cfRule type="containsText" dxfId="9" priority="1327" operator="containsText" text="No">
      <formula>NOT(ISERROR(SEARCH(("No"),(O654))))</formula>
    </cfRule>
  </conditionalFormatting>
  <conditionalFormatting sqref="O654 O657 O659:O661 O663 O666:O669 O674 O676:O677 O679 O681 O684:O685 O688 O690 O692">
    <cfRule type="containsText" dxfId="2" priority="1328" operator="containsText" text="Yes">
      <formula>NOT(ISERROR(SEARCH(("Yes"),(O654))))</formula>
    </cfRule>
  </conditionalFormatting>
  <conditionalFormatting sqref="O654 O657 O659:O661 O663 O666:O669 O674 O676:O677 O679 O681 O684:O685 O688 O690 O692">
    <cfRule type="containsText" dxfId="9" priority="1329" operator="containsText" text="No">
      <formula>NOT(ISERROR(SEARCH(("No"),(O654))))</formula>
    </cfRule>
  </conditionalFormatting>
  <conditionalFormatting sqref="O654 O657 O659:O661 O663 O666:O669 O674 O676:O677 O679 O681 O684:O685 O688 O690 O692">
    <cfRule type="containsText" dxfId="2" priority="1330" operator="containsText" text="Yes">
      <formula>NOT(ISERROR(SEARCH(("Yes"),(O654))))</formula>
    </cfRule>
  </conditionalFormatting>
  <conditionalFormatting sqref="O654 O657 O659:O661 O663 O666:O669 O674 O676:O677 O679 O681 O684:O685 O688 O690 O692">
    <cfRule type="containsText" dxfId="9" priority="1331" operator="containsText" text="No">
      <formula>NOT(ISERROR(SEARCH(("No"),(O654))))</formula>
    </cfRule>
  </conditionalFormatting>
  <conditionalFormatting sqref="O654 O657 O659:O661 O663 O666:O669 O674 O676:O677 O679 O681 O684:O685 O688 O690 O692">
    <cfRule type="containsText" dxfId="2" priority="1332" operator="containsText" text="Yes">
      <formula>NOT(ISERROR(SEARCH(("Yes"),(O654))))</formula>
    </cfRule>
  </conditionalFormatting>
  <conditionalFormatting sqref="O654 O657 O659:O661 O663 O666:O669 O674 O676:O677 O679 O681 O684:O685 O688 O690 O692">
    <cfRule type="containsText" dxfId="9" priority="1333" operator="containsText" text="No">
      <formula>NOT(ISERROR(SEARCH(("No"),(O654))))</formula>
    </cfRule>
  </conditionalFormatting>
  <conditionalFormatting sqref="O654 O657 O659:O661 O663 O666:O669 O674 O676:O677 O679 O681 O684:O685 O688 O690 O692">
    <cfRule type="containsText" dxfId="2" priority="1334" operator="containsText" text="Yes">
      <formula>NOT(ISERROR(SEARCH(("Yes"),(O654))))</formula>
    </cfRule>
  </conditionalFormatting>
  <conditionalFormatting sqref="O654 O657 O659:O661 O663 O666:O669 O674 O676:O677 O679 O681 O684:O685 O688 O690 O692">
    <cfRule type="containsText" dxfId="9" priority="1335" operator="containsText" text="No">
      <formula>NOT(ISERROR(SEARCH(("No"),(O654))))</formula>
    </cfRule>
  </conditionalFormatting>
  <conditionalFormatting sqref="O654 O657 O659:O661 O663 O666:O669 O674 O676:O677 O679 O681 O684:O685 O688 O690 O692">
    <cfRule type="containsText" dxfId="2" priority="1336" operator="containsText" text="Yes">
      <formula>NOT(ISERROR(SEARCH(("Yes"),(O654))))</formula>
    </cfRule>
  </conditionalFormatting>
  <conditionalFormatting sqref="O654 O657 O659:O661 O663 O666:O669 O674 O676:O677 O679 O681 O684:O685 O688 O690 O692">
    <cfRule type="containsText" dxfId="9" priority="1337" operator="containsText" text="No">
      <formula>NOT(ISERROR(SEARCH(("No"),(O654))))</formula>
    </cfRule>
  </conditionalFormatting>
  <conditionalFormatting sqref="O654 O657 O659:O661 O663 O666:O669 O674 O676:O677 O679 O681 O684:O685 O688 O690 O692">
    <cfRule type="containsText" dxfId="2" priority="1338" operator="containsText" text="Yes">
      <formula>NOT(ISERROR(SEARCH(("Yes"),(O654))))</formula>
    </cfRule>
  </conditionalFormatting>
  <conditionalFormatting sqref="O654 O657 O659:O661 O663 O666:O669 O674 O676:O677 O679 O681 O684:O685 O688 O690 O692">
    <cfRule type="containsText" dxfId="9" priority="1339" operator="containsText" text="No">
      <formula>NOT(ISERROR(SEARCH(("No"),(O654))))</formula>
    </cfRule>
  </conditionalFormatting>
  <conditionalFormatting sqref="O654 O657 O659:O661 O663 O666:O669 O674 O676:O677 O679 O681 O684:O685 O688 O690 O692">
    <cfRule type="containsText" dxfId="2" priority="1340" operator="containsText" text="Yes">
      <formula>NOT(ISERROR(SEARCH(("Yes"),(O654))))</formula>
    </cfRule>
  </conditionalFormatting>
  <conditionalFormatting sqref="O654 O657 O659:O661 O663 O666:O669 O674 O676:O677 O679 O681 O684:O685 O688 O690 O692">
    <cfRule type="containsText" dxfId="9" priority="1341" operator="containsText" text="No">
      <formula>NOT(ISERROR(SEARCH(("No"),(O654))))</formula>
    </cfRule>
  </conditionalFormatting>
  <conditionalFormatting sqref="O654 O657 O659:O661 O663 O666:O669 O674 O676:O677 O679 O681 O684:O685 O688 O690 O692">
    <cfRule type="containsText" dxfId="2" priority="1342" operator="containsText" text="Yes">
      <formula>NOT(ISERROR(SEARCH(("Yes"),(O654))))</formula>
    </cfRule>
  </conditionalFormatting>
  <conditionalFormatting sqref="O654 O657 O659:O661 O663 O666:O669 O674 O676:O677 O679 O681 O684:O685 O688 O690 O692">
    <cfRule type="containsText" dxfId="9" priority="1343" operator="containsText" text="No">
      <formula>NOT(ISERROR(SEARCH(("No"),(O654))))</formula>
    </cfRule>
  </conditionalFormatting>
  <conditionalFormatting sqref="O654 O657 O659:O661 O663 O666:O669 O674 O676:O677 O679 O681 O684:O685 O688 O690 O692">
    <cfRule type="containsText" dxfId="2" priority="1344" operator="containsText" text="Yes">
      <formula>NOT(ISERROR(SEARCH(("Yes"),(O654))))</formula>
    </cfRule>
  </conditionalFormatting>
  <conditionalFormatting sqref="O654 O657 O659:O661 O663 O666:O669 O674 O676:O677 O679 O681 O684:O685 O688 O690 O692">
    <cfRule type="containsText" dxfId="9" priority="1345" operator="containsText" text="No">
      <formula>NOT(ISERROR(SEARCH(("No"),(O654))))</formula>
    </cfRule>
  </conditionalFormatting>
  <conditionalFormatting sqref="O654 O657 O659:O661 O663 O666:O669 O674 O676:O677 O679 O681 O684:O685 O688 O690 O692">
    <cfRule type="containsText" dxfId="2" priority="1346" operator="containsText" text="Yes">
      <formula>NOT(ISERROR(SEARCH(("Yes"),(O654))))</formula>
    </cfRule>
  </conditionalFormatting>
  <conditionalFormatting sqref="O654 O657 O659:O661 O663 O666:O669 O674 O676:O677 O679 O681 O684:O685 O688 O690 O692">
    <cfRule type="containsText" dxfId="9" priority="1347" operator="containsText" text="No">
      <formula>NOT(ISERROR(SEARCH(("No"),(O654))))</formula>
    </cfRule>
  </conditionalFormatting>
  <conditionalFormatting sqref="O654 O657 O659:O661 O663 O666:O669 O674 O676:O677 O679 O681 O684:O685 O688 O690 O692">
    <cfRule type="containsText" dxfId="2" priority="1348" operator="containsText" text="Yes">
      <formula>NOT(ISERROR(SEARCH(("Yes"),(O654))))</formula>
    </cfRule>
  </conditionalFormatting>
  <conditionalFormatting sqref="O654 O657 O659:O661 O663 O666:O669 O674 O676:O677 O679 O681 O684:O685 O688 O690 O692">
    <cfRule type="containsText" dxfId="9" priority="1349" operator="containsText" text="No">
      <formula>NOT(ISERROR(SEARCH(("No"),(O654))))</formula>
    </cfRule>
  </conditionalFormatting>
  <conditionalFormatting sqref="O654 O657 O659:O661 O663 O666:O669 O674 O676:O677 O679 O681 O684:O685 O688 O690 O692">
    <cfRule type="containsText" dxfId="2" priority="1350" operator="containsText" text="Yes">
      <formula>NOT(ISERROR(SEARCH(("Yes"),(O654))))</formula>
    </cfRule>
  </conditionalFormatting>
  <conditionalFormatting sqref="O654 O657 O659:O661 O663 O666:O669 O674 O676:O677 O679 O681 O684:O685 O688 O690 O692">
    <cfRule type="containsText" dxfId="9" priority="1351" operator="containsText" text="No">
      <formula>NOT(ISERROR(SEARCH(("No"),(O654))))</formula>
    </cfRule>
  </conditionalFormatting>
  <conditionalFormatting sqref="O654 O657 O659:O661 O663 O666:O669 O674 O676:O677 O679 O681 O684:O685 O688 O690 O692">
    <cfRule type="containsText" dxfId="2" priority="1352" operator="containsText" text="Yes">
      <formula>NOT(ISERROR(SEARCH(("Yes"),(O654))))</formula>
    </cfRule>
  </conditionalFormatting>
  <conditionalFormatting sqref="O654 O657 O659:O661 O663 O666:O669 O674 O676:O677 O679 O681 O684:O685 O688 O690 O692">
    <cfRule type="containsText" dxfId="9" priority="1353" operator="containsText" text="No">
      <formula>NOT(ISERROR(SEARCH(("No"),(O654))))</formula>
    </cfRule>
  </conditionalFormatting>
  <conditionalFormatting sqref="O654 O657 O659:O661 O663 O666:O669 O674 O676:O677 O679 O681 O684:O685 O688 O690 O692">
    <cfRule type="containsText" dxfId="2" priority="1354" operator="containsText" text="Yes">
      <formula>NOT(ISERROR(SEARCH(("Yes"),(O654))))</formula>
    </cfRule>
  </conditionalFormatting>
  <conditionalFormatting sqref="O654 O657 O659:O661 O663 O666:O669 O674 O676:O677 O679 O681 O684:O685 O688 O690 O692">
    <cfRule type="containsText" dxfId="9" priority="1355" operator="containsText" text="No">
      <formula>NOT(ISERROR(SEARCH(("No"),(O654))))</formula>
    </cfRule>
  </conditionalFormatting>
  <conditionalFormatting sqref="O654 O657 O659:O661 O663 O666:O669 O674 O676:O677 O679 O681 O684:O685 O688 O690 O692">
    <cfRule type="containsText" dxfId="2" priority="1356" operator="containsText" text="Yes">
      <formula>NOT(ISERROR(SEARCH(("Yes"),(O654))))</formula>
    </cfRule>
  </conditionalFormatting>
  <conditionalFormatting sqref="O654 O657 O659:O661 O663 O666:O669 O674 O676:O677 O679 O681 O684:O685 O688 O690 O692">
    <cfRule type="containsText" dxfId="9" priority="1357" operator="containsText" text="No">
      <formula>NOT(ISERROR(SEARCH(("No"),(O654))))</formula>
    </cfRule>
  </conditionalFormatting>
  <conditionalFormatting sqref="O654 O657 O659:O661 O663 O666:O669 O674 O676:O677 O679 O681 O684:O685 O688 O690 O692">
    <cfRule type="containsText" dxfId="2" priority="1358" operator="containsText" text="Yes">
      <formula>NOT(ISERROR(SEARCH(("Yes"),(O654))))</formula>
    </cfRule>
  </conditionalFormatting>
  <conditionalFormatting sqref="O654 O657 O659:O661 O663 O666:O669 O674 O676:O677 O679 O681 O684:O685 O688 O690 O692">
    <cfRule type="containsText" dxfId="9" priority="1359" operator="containsText" text="No">
      <formula>NOT(ISERROR(SEARCH(("No"),(O654))))</formula>
    </cfRule>
  </conditionalFormatting>
  <conditionalFormatting sqref="O654 O657 O659:O661 O663 O666:O669 O674 O676:O677 O679 O681 O684:O685 O688 O690 O692">
    <cfRule type="containsText" dxfId="2" priority="1360" operator="containsText" text="Yes">
      <formula>NOT(ISERROR(SEARCH(("Yes"),(O654))))</formula>
    </cfRule>
  </conditionalFormatting>
  <conditionalFormatting sqref="O654 O657 O659:O661 O663 O666:O669 O674 O676:O677 O679 O681 O684:O685 O688 O690 O692">
    <cfRule type="containsText" dxfId="9" priority="1361" operator="containsText" text="No">
      <formula>NOT(ISERROR(SEARCH(("No"),(O654))))</formula>
    </cfRule>
  </conditionalFormatting>
  <conditionalFormatting sqref="O654 O657 O659:O661 O663 O666:O669 O674 O676:O677 O679 O681 O684:O685 O688 O690 O692">
    <cfRule type="containsText" dxfId="2" priority="1362" operator="containsText" text="Yes">
      <formula>NOT(ISERROR(SEARCH(("Yes"),(O654))))</formula>
    </cfRule>
  </conditionalFormatting>
  <conditionalFormatting sqref="O654 O657 O659:O661 O663 O666:O669 O674 O676:O677 O679 O681 O684:O685 O688 O690 O692">
    <cfRule type="containsText" dxfId="9" priority="1363" operator="containsText" text="No">
      <formula>NOT(ISERROR(SEARCH(("No"),(O654))))</formula>
    </cfRule>
  </conditionalFormatting>
  <conditionalFormatting sqref="O654 O657 O659:O661 O663 O666:O669 O674 O676:O677 O679 O681 O684:O685 O688 O690 O692">
    <cfRule type="containsText" dxfId="2" priority="1364" operator="containsText" text="Yes">
      <formula>NOT(ISERROR(SEARCH(("Yes"),(O654))))</formula>
    </cfRule>
  </conditionalFormatting>
  <conditionalFormatting sqref="O654 O657 O659:O661 O663 O666:O669 O674 O676:O677 O679 O681 O684:O685 O688 O690 O692">
    <cfRule type="containsText" dxfId="9" priority="1365" operator="containsText" text="No">
      <formula>NOT(ISERROR(SEARCH(("No"),(O654))))</formula>
    </cfRule>
  </conditionalFormatting>
  <conditionalFormatting sqref="O654 O657 O659:O661 O663 O666:O669 O674 O676:O677 O679 O681 O684:O685 O688 O690 O692">
    <cfRule type="containsText" dxfId="2" priority="1366" operator="containsText" text="Yes">
      <formula>NOT(ISERROR(SEARCH(("Yes"),(O654))))</formula>
    </cfRule>
  </conditionalFormatting>
  <conditionalFormatting sqref="O654 O657 O659:O661 O663 O666:O669 O674 O676:O677 O679 O681 O684:O685 O688 O690 O692">
    <cfRule type="containsText" dxfId="9" priority="1367" operator="containsText" text="No">
      <formula>NOT(ISERROR(SEARCH(("No"),(O654))))</formula>
    </cfRule>
  </conditionalFormatting>
  <conditionalFormatting sqref="O654 O657 O659:O661 O663 O666:O669 O674 O676:O677 O679 O681 O684:O685 O688 O690 O692">
    <cfRule type="containsText" dxfId="2" priority="1368" operator="containsText" text="Yes">
      <formula>NOT(ISERROR(SEARCH(("Yes"),(O654))))</formula>
    </cfRule>
  </conditionalFormatting>
  <conditionalFormatting sqref="O654 O657 O659:O661 O663 O666:O669 O674 O676:O677 O679 O681 O684:O685 O688 O690 O692">
    <cfRule type="containsText" dxfId="9" priority="1369" operator="containsText" text="No">
      <formula>NOT(ISERROR(SEARCH(("No"),(O654))))</formula>
    </cfRule>
  </conditionalFormatting>
  <conditionalFormatting sqref="O654 O657 O659:O661 O663 O666:O669 O674 O676:O677 O679 O681 O684:O685 O688 O690 O692">
    <cfRule type="containsText" dxfId="2" priority="1370" operator="containsText" text="Yes">
      <formula>NOT(ISERROR(SEARCH(("Yes"),(O654))))</formula>
    </cfRule>
  </conditionalFormatting>
  <conditionalFormatting sqref="O654 O657 O659:O661 O663 O666:O669 O674 O676:O677 O679 O681 O684:O685 O688 O690 O692">
    <cfRule type="containsText" dxfId="9" priority="1371" operator="containsText" text="No">
      <formula>NOT(ISERROR(SEARCH(("No"),(O654))))</formula>
    </cfRule>
  </conditionalFormatting>
  <conditionalFormatting sqref="O654 O657 O659:O661 O663 O666:O669 O674 O676:O677 O679 O681 O684:O685 O688 O690 O692">
    <cfRule type="containsText" dxfId="2" priority="1372" operator="containsText" text="Yes">
      <formula>NOT(ISERROR(SEARCH(("Yes"),(O654))))</formula>
    </cfRule>
  </conditionalFormatting>
  <conditionalFormatting sqref="O654 O657 O659:O661 O663 O666:O669 O674 O676:O677 O679 O681 O684:O685 O688 O690 O692">
    <cfRule type="containsText" dxfId="9" priority="1373" operator="containsText" text="No">
      <formula>NOT(ISERROR(SEARCH(("No"),(O654))))</formula>
    </cfRule>
  </conditionalFormatting>
  <conditionalFormatting sqref="O654 O657 O659:O661 O663 O666:O669 O674 O676:O677 O679 O681 O684:O685 O688 O690 O692">
    <cfRule type="containsText" dxfId="2" priority="1374" operator="containsText" text="Yes">
      <formula>NOT(ISERROR(SEARCH(("Yes"),(O654))))</formula>
    </cfRule>
  </conditionalFormatting>
  <conditionalFormatting sqref="O654 O657 O659:O661 O663 O666:O669 O674 O676:O677 O679 O681 O684:O685 O688 O690 O692">
    <cfRule type="containsText" dxfId="9" priority="1375" operator="containsText" text="No">
      <formula>NOT(ISERROR(SEARCH(("No"),(O654))))</formula>
    </cfRule>
  </conditionalFormatting>
  <conditionalFormatting sqref="O654 O657 O659:O661 O663 O666:O669 O674 O676:O677 O679 O681 O684:O685 O688 O690 O692">
    <cfRule type="containsText" dxfId="2" priority="1376" operator="containsText" text="Yes">
      <formula>NOT(ISERROR(SEARCH(("Yes"),(O654))))</formula>
    </cfRule>
  </conditionalFormatting>
  <conditionalFormatting sqref="O654 O657 O659:O661 O663 O666:O669 O674 O676:O677 O679 O681 O684:O685 O688 O690 O692">
    <cfRule type="containsText" dxfId="9" priority="1377" operator="containsText" text="No">
      <formula>NOT(ISERROR(SEARCH(("No"),(O654))))</formula>
    </cfRule>
  </conditionalFormatting>
  <conditionalFormatting sqref="O654 O657 O659:O661 O663 O666:O669 O674 O676:O677 O679 O681 O684:O685 O688 O690 O692">
    <cfRule type="containsText" dxfId="2" priority="1378" operator="containsText" text="Yes">
      <formula>NOT(ISERROR(SEARCH(("Yes"),(O654))))</formula>
    </cfRule>
  </conditionalFormatting>
  <conditionalFormatting sqref="O654 O657 O659:O661 O663 O666:O669 O674 O676:O677 O679 O681 O684:O685 O688 O690 O692">
    <cfRule type="containsText" dxfId="9" priority="1379" operator="containsText" text="No">
      <formula>NOT(ISERROR(SEARCH(("No"),(O654))))</formula>
    </cfRule>
  </conditionalFormatting>
  <conditionalFormatting sqref="O654 O657 O659:O661 O663 O666:O669 O674 O676:O677 O679 O681 O684:O685 O688 O690 O692">
    <cfRule type="containsText" dxfId="2" priority="1380" operator="containsText" text="Yes">
      <formula>NOT(ISERROR(SEARCH(("Yes"),(O654))))</formula>
    </cfRule>
  </conditionalFormatting>
  <conditionalFormatting sqref="O654 O657 O659:O661 O663 O666:O669 O674 O676:O677 O679 O681 O684:O685 O688 O690 O692">
    <cfRule type="containsText" dxfId="9" priority="1381" operator="containsText" text="No">
      <formula>NOT(ISERROR(SEARCH(("No"),(O654))))</formula>
    </cfRule>
  </conditionalFormatting>
  <conditionalFormatting sqref="O654 O657 O659:O661 O663 O666:O669 O674 O676:O677 O679 O681 O684:O685 O688 O690 O692">
    <cfRule type="containsText" dxfId="2" priority="1382" operator="containsText" text="Yes">
      <formula>NOT(ISERROR(SEARCH(("Yes"),(O654))))</formula>
    </cfRule>
  </conditionalFormatting>
  <conditionalFormatting sqref="O654 O657 O659:O661 O663 O666:O669 O674 O676:O677 O679 O681 O684:O685 O688 O690 O692">
    <cfRule type="containsText" dxfId="9" priority="1383" operator="containsText" text="No">
      <formula>NOT(ISERROR(SEARCH(("No"),(O654))))</formula>
    </cfRule>
  </conditionalFormatting>
  <conditionalFormatting sqref="O654 O657 O659:O661 O663 O666:O669 O674 O676:O677 O679 O681 O684:O685 O688 O690 O692">
    <cfRule type="containsText" dxfId="2" priority="1384" operator="containsText" text="Yes">
      <formula>NOT(ISERROR(SEARCH(("Yes"),(O654))))</formula>
    </cfRule>
  </conditionalFormatting>
  <conditionalFormatting sqref="O654 O657 O659:O661 O663 O666:O669 O674 O676:O677 O679 O681 O684:O685 O688 O690 O692">
    <cfRule type="containsText" dxfId="9" priority="1385" operator="containsText" text="No">
      <formula>NOT(ISERROR(SEARCH(("No"),(O654))))</formula>
    </cfRule>
  </conditionalFormatting>
  <conditionalFormatting sqref="O654 O657 O659:O661 O663 O666:O669 O674 O676:O677 O679 O681 O684:O685 O688 O690 O692">
    <cfRule type="containsText" dxfId="2" priority="1386" operator="containsText" text="Yes">
      <formula>NOT(ISERROR(SEARCH(("Yes"),(O654))))</formula>
    </cfRule>
  </conditionalFormatting>
  <conditionalFormatting sqref="O654 O657 O659:O661 O663 O666:O669 O674 O676:O677 O679 O681 O684:O685 O688 O690 O692">
    <cfRule type="containsText" dxfId="9" priority="1387" operator="containsText" text="No">
      <formula>NOT(ISERROR(SEARCH(("No"),(O654))))</formula>
    </cfRule>
  </conditionalFormatting>
  <conditionalFormatting sqref="O654 O657 O659:O661 O663 O666:O669 O674 O676:O677 O679 O681 O684:O685 O688 O690 O692">
    <cfRule type="containsText" dxfId="2" priority="1388" operator="containsText" text="Yes">
      <formula>NOT(ISERROR(SEARCH(("Yes"),(O654))))</formula>
    </cfRule>
  </conditionalFormatting>
  <conditionalFormatting sqref="O654 O657 O659:O661 O663 O666:O669 O674 O676:O677 O679 O681 O684:O685 O688 O690 O692">
    <cfRule type="containsText" dxfId="9" priority="1389" operator="containsText" text="No">
      <formula>NOT(ISERROR(SEARCH(("No"),(O654))))</formula>
    </cfRule>
  </conditionalFormatting>
  <conditionalFormatting sqref="O654 O657 O659:O661 O663 O666:O669 O674 O676:O677 O679 O681 O684:O685 O688 O690 O692">
    <cfRule type="containsText" dxfId="2" priority="1390" operator="containsText" text="Yes">
      <formula>NOT(ISERROR(SEARCH(("Yes"),(O654))))</formula>
    </cfRule>
  </conditionalFormatting>
  <conditionalFormatting sqref="O654 O657 O659:O661 O663 O666:O669 O674 O676:O677 O679 O681 O684:O685 O688 O690 O692">
    <cfRule type="containsText" dxfId="9" priority="1391" operator="containsText" text="No">
      <formula>NOT(ISERROR(SEARCH(("No"),(O654))))</formula>
    </cfRule>
  </conditionalFormatting>
  <conditionalFormatting sqref="O654 O657 O659:O661 O663 O666:O669 O674 O676:O677 O679 O681 O684:O685 O688 O690 O692">
    <cfRule type="containsText" dxfId="2" priority="1392" operator="containsText" text="Yes">
      <formula>NOT(ISERROR(SEARCH(("Yes"),(O654))))</formula>
    </cfRule>
  </conditionalFormatting>
  <conditionalFormatting sqref="O654 O657 O659:O661 O663 O666:O669 O674 O676:O677 O679 O681 O684:O685 O688 O690 O692">
    <cfRule type="containsText" dxfId="9" priority="1393" operator="containsText" text="No">
      <formula>NOT(ISERROR(SEARCH(("No"),(O654))))</formula>
    </cfRule>
  </conditionalFormatting>
  <conditionalFormatting sqref="O654 O657 O659:O661 O663 O666:O669 O674 O676:O677 O679 O681 O684:O685 O688 O690 O692">
    <cfRule type="containsText" dxfId="2" priority="1394" operator="containsText" text="Yes">
      <formula>NOT(ISERROR(SEARCH(("Yes"),(O654))))</formula>
    </cfRule>
  </conditionalFormatting>
  <conditionalFormatting sqref="O654 O657 O659:O661 O663 O666:O669 O674 O676:O677 O679 O681 O684:O685 O688 O690 O692">
    <cfRule type="containsText" dxfId="9" priority="1395" operator="containsText" text="No">
      <formula>NOT(ISERROR(SEARCH(("No"),(O654))))</formula>
    </cfRule>
  </conditionalFormatting>
  <conditionalFormatting sqref="O654 O657 O659:O661 O663 O666:O669 O674 O676:O677 O679 O681 O684:O685 O688 O690 O692">
    <cfRule type="containsText" dxfId="2" priority="1396" operator="containsText" text="Yes">
      <formula>NOT(ISERROR(SEARCH(("Yes"),(O654))))</formula>
    </cfRule>
  </conditionalFormatting>
  <conditionalFormatting sqref="O654 O657 O659:O661 O663 O666:O669 O674 O676:O677 O679 O681 O684:O685 O688 O690 O692">
    <cfRule type="containsText" dxfId="9" priority="1397" operator="containsText" text="No">
      <formula>NOT(ISERROR(SEARCH(("No"),(O654))))</formula>
    </cfRule>
  </conditionalFormatting>
  <conditionalFormatting sqref="O654 O657 O659:O661 O663 O666:O669 O674 O676:O677 O679 O681 O684:O685 O688 O690 O692">
    <cfRule type="containsText" dxfId="2" priority="1398" operator="containsText" text="Yes">
      <formula>NOT(ISERROR(SEARCH(("Yes"),(O654))))</formula>
    </cfRule>
  </conditionalFormatting>
  <conditionalFormatting sqref="O654 O657 O659:O661 O663 O666:O669 O674 O676:O677 O679 O681 O684:O685 O688 O690 O692">
    <cfRule type="containsText" dxfId="9" priority="1399" operator="containsText" text="No">
      <formula>NOT(ISERROR(SEARCH(("No"),(O654))))</formula>
    </cfRule>
  </conditionalFormatting>
  <conditionalFormatting sqref="O654 O657 O659:O661 O663 O666:O669 O674 O676:O677 O679 O681 O684:O685 O688 O690 O692">
    <cfRule type="containsText" dxfId="2" priority="1400" operator="containsText" text="Yes">
      <formula>NOT(ISERROR(SEARCH(("Yes"),(O654))))</formula>
    </cfRule>
  </conditionalFormatting>
  <conditionalFormatting sqref="O654 O657 O659:O661 O663 O666:O669 O674 O676:O677 O679 O681 O684:O685 O688 O690 O692">
    <cfRule type="containsText" dxfId="9" priority="1401" operator="containsText" text="No">
      <formula>NOT(ISERROR(SEARCH(("No"),(O654))))</formula>
    </cfRule>
  </conditionalFormatting>
  <conditionalFormatting sqref="O654 O657 O659:O661 O663 O666:O669 O674 O676:O677 O679 O681 O684:O685 O688 O690 O692">
    <cfRule type="containsText" dxfId="2" priority="1402" operator="containsText" text="Yes">
      <formula>NOT(ISERROR(SEARCH(("Yes"),(O654))))</formula>
    </cfRule>
  </conditionalFormatting>
  <conditionalFormatting sqref="O654 O657 O659:O661 O663 O666:O669 O674 O676:O677 O679 O681 O684:O685 O688 O690 O692">
    <cfRule type="containsText" dxfId="9" priority="1403" operator="containsText" text="No">
      <formula>NOT(ISERROR(SEARCH(("No"),(O654))))</formula>
    </cfRule>
  </conditionalFormatting>
  <conditionalFormatting sqref="O654 O657 O659:O661 O663 O666:O669 O674 O676:O677 O679 O681 O684:O685 O688 O690 O692">
    <cfRule type="containsText" dxfId="2" priority="1404" operator="containsText" text="Yes">
      <formula>NOT(ISERROR(SEARCH(("Yes"),(O654))))</formula>
    </cfRule>
  </conditionalFormatting>
  <conditionalFormatting sqref="O654 O657 O659:O661 O663 O666:O669 O674 O676:O677 O679 O681 O684:O685 O688 O690 O692">
    <cfRule type="containsText" dxfId="9" priority="1405" operator="containsText" text="No">
      <formula>NOT(ISERROR(SEARCH(("No"),(O654))))</formula>
    </cfRule>
  </conditionalFormatting>
  <conditionalFormatting sqref="O654 O657 O659:O661 O663 O666:O669 O674 O676:O677 O679 O681 O684:O685 O688 O690 O692">
    <cfRule type="containsText" dxfId="2" priority="1406" operator="containsText" text="Yes">
      <formula>NOT(ISERROR(SEARCH(("Yes"),(O654))))</formula>
    </cfRule>
  </conditionalFormatting>
  <conditionalFormatting sqref="O654 O657 O659:O661 O663 O666:O669 O674 O676:O677 O679 O681 O684:O685 O688 O690 O692">
    <cfRule type="containsText" dxfId="9" priority="1407" operator="containsText" text="No">
      <formula>NOT(ISERROR(SEARCH(("No"),(O654))))</formula>
    </cfRule>
  </conditionalFormatting>
  <conditionalFormatting sqref="O654 O657 O659:O661 O663 O666:O669 O674 O676:O677 O679 O681 O684:O685 O688 O690 O692">
    <cfRule type="containsText" dxfId="2" priority="1408" operator="containsText" text="Yes">
      <formula>NOT(ISERROR(SEARCH(("Yes"),(O654))))</formula>
    </cfRule>
  </conditionalFormatting>
  <conditionalFormatting sqref="O654 O657 O659:O661 O663 O666:O669 O674 O676:O677 O679 O681 O684:O685 O688 O690 O692">
    <cfRule type="containsText" dxfId="9" priority="1409" operator="containsText" text="No">
      <formula>NOT(ISERROR(SEARCH(("No"),(O654))))</formula>
    </cfRule>
  </conditionalFormatting>
  <conditionalFormatting sqref="O654 O657 O659:O661 O663 O666:O669 O674 O676:O677 O679 O681 O684:O685 O688 O690 O692">
    <cfRule type="containsText" dxfId="2" priority="1410" operator="containsText" text="Yes">
      <formula>NOT(ISERROR(SEARCH(("Yes"),(O654))))</formula>
    </cfRule>
  </conditionalFormatting>
  <conditionalFormatting sqref="O654 O657 O659:O661 O663 O666:O669 O674 O676:O677 O679 O681 O684:O685 O688 O690 O692">
    <cfRule type="containsText" dxfId="9" priority="1411" operator="containsText" text="No">
      <formula>NOT(ISERROR(SEARCH(("No"),(O654))))</formula>
    </cfRule>
  </conditionalFormatting>
  <conditionalFormatting sqref="O654 O657 O659:O661 O663 O666:O669 O674 O676:O677 O679 O681 O684:O685 O688 O690 O692">
    <cfRule type="containsText" dxfId="2" priority="1412" operator="containsText" text="Yes">
      <formula>NOT(ISERROR(SEARCH(("Yes"),(O654))))</formula>
    </cfRule>
  </conditionalFormatting>
  <conditionalFormatting sqref="O654 O657 O659:O661 O663 O666:O669 O674 O676:O677 O679 O681 O684:O685 O688 O690 O692">
    <cfRule type="containsText" dxfId="9" priority="1413" operator="containsText" text="No">
      <formula>NOT(ISERROR(SEARCH(("No"),(O654))))</formula>
    </cfRule>
  </conditionalFormatting>
  <conditionalFormatting sqref="O654 O657 O659:O661 O663 O666:O669 O674 O676:O677 O679 O681 O684:O685 O688 O690 O692">
    <cfRule type="containsText" dxfId="2" priority="1414" operator="containsText" text="Yes">
      <formula>NOT(ISERROR(SEARCH(("Yes"),(O654))))</formula>
    </cfRule>
  </conditionalFormatting>
  <conditionalFormatting sqref="O654 O657 O659:O661 O663 O666:O669 O674 O676:O677 O679 O681 O684:O685 O688 O690 O692">
    <cfRule type="containsText" dxfId="9" priority="1415" operator="containsText" text="No">
      <formula>NOT(ISERROR(SEARCH(("No"),(O654))))</formula>
    </cfRule>
  </conditionalFormatting>
  <conditionalFormatting sqref="O654 O657 O659:O661 O663 O666:O669 O674 O676:O677 O679 O681 O684:O685 O688 O690 O692">
    <cfRule type="containsText" dxfId="2" priority="1416" operator="containsText" text="Yes">
      <formula>NOT(ISERROR(SEARCH(("Yes"),(O654))))</formula>
    </cfRule>
  </conditionalFormatting>
  <conditionalFormatting sqref="O654 O657 O659:O661 O663 O666:O669 O674 O676:O677 O679 O681 O684:O685 O688 O690 O692">
    <cfRule type="containsText" dxfId="9" priority="1417" operator="containsText" text="No">
      <formula>NOT(ISERROR(SEARCH(("No"),(O654))))</formula>
    </cfRule>
  </conditionalFormatting>
  <conditionalFormatting sqref="O654 O657 O659:O661 O663 O666:O669 O674 O676:O677 O679 O681 O684:O685 O688 O690 O692">
    <cfRule type="containsText" dxfId="2" priority="1418" operator="containsText" text="Yes">
      <formula>NOT(ISERROR(SEARCH(("Yes"),(O654))))</formula>
    </cfRule>
  </conditionalFormatting>
  <conditionalFormatting sqref="O654 O657 O659:O661 O663 O666:O669 O674 O676:O677 O679 O681 O684:O685 O688 O690 O692">
    <cfRule type="containsText" dxfId="9" priority="1419" operator="containsText" text="No">
      <formula>NOT(ISERROR(SEARCH(("No"),(O654))))</formula>
    </cfRule>
  </conditionalFormatting>
  <conditionalFormatting sqref="O654 O657 O659:O661 O663 O666:O669 O674 O676:O677 O679 O681 O684:O685 O688 O690 O692">
    <cfRule type="containsText" dxfId="2" priority="1420" operator="containsText" text="Yes">
      <formula>NOT(ISERROR(SEARCH(("Yes"),(O654))))</formula>
    </cfRule>
  </conditionalFormatting>
  <conditionalFormatting sqref="O654 O657 O659:O661 O663 O666:O669 O674 O676:O677 O679 O681 O684:O685 O688 O690 O692">
    <cfRule type="containsText" dxfId="9" priority="1421" operator="containsText" text="No">
      <formula>NOT(ISERROR(SEARCH(("No"),(O654))))</formula>
    </cfRule>
  </conditionalFormatting>
  <conditionalFormatting sqref="O654 O657 O659:O661 O663 O666:O669 O674 O676:O677 O679 O681 O684:O685 O688 O690 O692">
    <cfRule type="containsText" dxfId="2" priority="1422" operator="containsText" text="Yes">
      <formula>NOT(ISERROR(SEARCH(("Yes"),(O654))))</formula>
    </cfRule>
  </conditionalFormatting>
  <conditionalFormatting sqref="O654 O657 O659:O661 O663 O666:O669 O674 O676:O677 O679 O681 O684:O685 O688 O690 O692">
    <cfRule type="containsText" dxfId="9" priority="1423" operator="containsText" text="No">
      <formula>NOT(ISERROR(SEARCH(("No"),(O654))))</formula>
    </cfRule>
  </conditionalFormatting>
  <conditionalFormatting sqref="O654 O657 O659:O661 O663 O666:O669 O674 O676:O677 O679 O681 O684:O685 O688 O690 O692">
    <cfRule type="containsText" dxfId="2" priority="1424" operator="containsText" text="Yes">
      <formula>NOT(ISERROR(SEARCH(("Yes"),(O654))))</formula>
    </cfRule>
  </conditionalFormatting>
  <conditionalFormatting sqref="O654 O657 O659:O661 O663 O666:O669 O674 O676:O677 O679 O681 O684:O685 O688 O690 O692">
    <cfRule type="containsText" dxfId="9" priority="1425" operator="containsText" text="No">
      <formula>NOT(ISERROR(SEARCH(("No"),(O654))))</formula>
    </cfRule>
  </conditionalFormatting>
  <conditionalFormatting sqref="O654 O657 O659:O661 O663 O666:O669 O674 O676:O677 O679 O681 O684:O685 O688 O690 O692">
    <cfRule type="containsText" dxfId="2" priority="1426" operator="containsText" text="Yes">
      <formula>NOT(ISERROR(SEARCH(("Yes"),(O654))))</formula>
    </cfRule>
  </conditionalFormatting>
  <conditionalFormatting sqref="O654 O657 O659:O661 O663 O666:O669 O674 O676:O677 O679 O681 O684:O685 O688 O690 O692">
    <cfRule type="containsText" dxfId="9" priority="1427" operator="containsText" text="No">
      <formula>NOT(ISERROR(SEARCH(("No"),(O654))))</formula>
    </cfRule>
  </conditionalFormatting>
  <conditionalFormatting sqref="O654 O657 O659:O661 O663 O666:O669 O674 O676:O677 O679 O681 O684:O685 O688 O690 O692">
    <cfRule type="containsText" dxfId="2" priority="1428" operator="containsText" text="Yes">
      <formula>NOT(ISERROR(SEARCH(("Yes"),(O654))))</formula>
    </cfRule>
  </conditionalFormatting>
  <conditionalFormatting sqref="O654 O657 O659:O661 O663 O666:O669 O674 O676:O677 O679 O681 O684:O685 O688 O690 O692">
    <cfRule type="containsText" dxfId="9" priority="1429" operator="containsText" text="No">
      <formula>NOT(ISERROR(SEARCH(("No"),(O654))))</formula>
    </cfRule>
  </conditionalFormatting>
  <conditionalFormatting sqref="O654 O657 O659:O661 O663 O666:O669 O674 O676:O677 O679 O681 O684:O685 O688 O690 O692">
    <cfRule type="containsText" dxfId="2" priority="1430" operator="containsText" text="Yes">
      <formula>NOT(ISERROR(SEARCH(("Yes"),(O654))))</formula>
    </cfRule>
  </conditionalFormatting>
  <conditionalFormatting sqref="O654 O657 O659:O661 O663 O666:O669 O674 O676:O677 O679 O681 O684:O685 O688 O690 O692">
    <cfRule type="containsText" dxfId="9" priority="1431" operator="containsText" text="No">
      <formula>NOT(ISERROR(SEARCH(("No"),(O654))))</formula>
    </cfRule>
  </conditionalFormatting>
  <conditionalFormatting sqref="O654 O657 O659:O661 O663 O666:O669 O674 O676:O677 O679 O681 O684:O685 O688 O690 O692">
    <cfRule type="containsText" dxfId="2" priority="1432" operator="containsText" text="Yes">
      <formula>NOT(ISERROR(SEARCH(("Yes"),(O654))))</formula>
    </cfRule>
  </conditionalFormatting>
  <conditionalFormatting sqref="O654 O657 O659:O661 O663 O666:O669 O674 O676:O677 O679 O681 O684:O685 O688 O690 O692">
    <cfRule type="containsText" dxfId="9" priority="1433" operator="containsText" text="No">
      <formula>NOT(ISERROR(SEARCH(("No"),(O654))))</formula>
    </cfRule>
  </conditionalFormatting>
  <conditionalFormatting sqref="O654 O657 O659:O661 O663 O666:O669 O674 O676:O677 O679 O681 O684:O685 O688 O690 O692">
    <cfRule type="containsText" dxfId="2" priority="1434" operator="containsText" text="Yes">
      <formula>NOT(ISERROR(SEARCH(("Yes"),(O654))))</formula>
    </cfRule>
  </conditionalFormatting>
  <conditionalFormatting sqref="O654 O657 O659:O661 O663 O666:O669 O674 O676:O677 O679 O681 O684:O685 O688 O690 O692">
    <cfRule type="containsText" dxfId="9" priority="1435" operator="containsText" text="No">
      <formula>NOT(ISERROR(SEARCH(("No"),(O654))))</formula>
    </cfRule>
  </conditionalFormatting>
  <conditionalFormatting sqref="O654 O657 O659:O661 O663 O666:O669 O674 O676:O677 O679 O681 O684:O685 O688 O690 O692">
    <cfRule type="containsText" dxfId="2" priority="1436" operator="containsText" text="Yes">
      <formula>NOT(ISERROR(SEARCH(("Yes"),(O654))))</formula>
    </cfRule>
  </conditionalFormatting>
  <conditionalFormatting sqref="O654 O657 O659:O661 O663 O666:O669 O674 O676:O677 O679 O681 O684:O685 O688 O690 O692">
    <cfRule type="containsText" dxfId="9" priority="1437" operator="containsText" text="No">
      <formula>NOT(ISERROR(SEARCH(("No"),(O654))))</formula>
    </cfRule>
  </conditionalFormatting>
  <conditionalFormatting sqref="O654 O657 O659:O661 O663 O666:O669 O674 O676:O677 O679 O681 O684:O685 O688 O690 O692">
    <cfRule type="containsText" dxfId="2" priority="1438" operator="containsText" text="Yes">
      <formula>NOT(ISERROR(SEARCH(("Yes"),(O654))))</formula>
    </cfRule>
  </conditionalFormatting>
  <conditionalFormatting sqref="O654 O657 O659:O661 O663 O666:O669 O674 O676:O677 O679 O681 O684:O685 O688 O690 O692">
    <cfRule type="containsText" dxfId="9" priority="1439" operator="containsText" text="No">
      <formula>NOT(ISERROR(SEARCH(("No"),(O654))))</formula>
    </cfRule>
  </conditionalFormatting>
  <conditionalFormatting sqref="O654 O657 O659:O661 O663 O666:O669 O674 O676:O677 O679 O681 O684:O685 O688 O690 O692">
    <cfRule type="containsText" dxfId="2" priority="1440" operator="containsText" text="Yes">
      <formula>NOT(ISERROR(SEARCH(("Yes"),(O654))))</formula>
    </cfRule>
  </conditionalFormatting>
  <conditionalFormatting sqref="O654 O657 O659:O661 O663 O666:O669 O674 O676:O677 O679 O681 O684:O685 O688 O690 O692">
    <cfRule type="containsText" dxfId="9" priority="1441" operator="containsText" text="No">
      <formula>NOT(ISERROR(SEARCH(("No"),(O654))))</formula>
    </cfRule>
  </conditionalFormatting>
  <conditionalFormatting sqref="O654 O657 O659:O661 O663 O666:O669 O674 O676:O677 O679 O681 O684:O685 O688 O690 O692">
    <cfRule type="containsText" dxfId="2" priority="1442" operator="containsText" text="Yes">
      <formula>NOT(ISERROR(SEARCH(("Yes"),(O654))))</formula>
    </cfRule>
  </conditionalFormatting>
  <conditionalFormatting sqref="O654 O657 O659:O661 O663 O666:O669 O674 O676:O677 O679 O681 O684:O685 O688 O690 O692">
    <cfRule type="containsText" dxfId="9" priority="1443" operator="containsText" text="No">
      <formula>NOT(ISERROR(SEARCH(("No"),(O654))))</formula>
    </cfRule>
  </conditionalFormatting>
  <conditionalFormatting sqref="O654 O657 O659:O661 O663 O666:O669 O674 O676:O677 O679 O681 O684:O685 O688 O690 O692">
    <cfRule type="containsText" dxfId="2" priority="1444" operator="containsText" text="Yes">
      <formula>NOT(ISERROR(SEARCH(("Yes"),(O654))))</formula>
    </cfRule>
  </conditionalFormatting>
  <conditionalFormatting sqref="O654 O657 O659:O661 O663 O666:O669 O674 O676:O677 O679 O681 O684:O685 O688 O690 O692">
    <cfRule type="containsText" dxfId="9" priority="1445" operator="containsText" text="No">
      <formula>NOT(ISERROR(SEARCH(("No"),(O654))))</formula>
    </cfRule>
  </conditionalFormatting>
  <conditionalFormatting sqref="O654 O657 O659:O661 O663 O666:O669 O674 O676:O677 O679 O681 O684:O685 O688 O690 O692">
    <cfRule type="containsText" dxfId="2" priority="1446" operator="containsText" text="Yes">
      <formula>NOT(ISERROR(SEARCH(("Yes"),(O654))))</formula>
    </cfRule>
  </conditionalFormatting>
  <conditionalFormatting sqref="O654 O657 O659:O661 O663 O666:O669 O674 O676:O677 O679 O681 O684:O685 O688 O690 O692">
    <cfRule type="containsText" dxfId="9" priority="1447" operator="containsText" text="No">
      <formula>NOT(ISERROR(SEARCH(("No"),(O654))))</formula>
    </cfRule>
  </conditionalFormatting>
  <conditionalFormatting sqref="O654 O657 O659:O661 O663 O666:O669 O674 O676:O677 O679 O681 O684:O685 O688 O690 O692">
    <cfRule type="containsText" dxfId="2" priority="1448" operator="containsText" text="Yes">
      <formula>NOT(ISERROR(SEARCH(("Yes"),(O654))))</formula>
    </cfRule>
  </conditionalFormatting>
  <conditionalFormatting sqref="O654 O657 O659:O661 O663 O666:O669 O674 O676:O677 O679 O681 O684:O685 O688 O690 O692">
    <cfRule type="containsText" dxfId="9" priority="1449" operator="containsText" text="No">
      <formula>NOT(ISERROR(SEARCH(("No"),(O654))))</formula>
    </cfRule>
  </conditionalFormatting>
  <conditionalFormatting sqref="O654 O657 O659:O661 O663 O666:O669 O674 O676:O677 O679 O681 O684:O685 O688 O690 O692">
    <cfRule type="containsText" dxfId="2" priority="1450" operator="containsText" text="Yes">
      <formula>NOT(ISERROR(SEARCH(("Yes"),(O654))))</formula>
    </cfRule>
  </conditionalFormatting>
  <conditionalFormatting sqref="O654 O657 O659:O661 O663 O666:O669 O674 O676:O677 O679 O681 O684:O685 O688 O690 O692">
    <cfRule type="containsText" dxfId="9" priority="1451" operator="containsText" text="No">
      <formula>NOT(ISERROR(SEARCH(("No"),(O654))))</formula>
    </cfRule>
  </conditionalFormatting>
  <conditionalFormatting sqref="O654 O657 O659:O661 O663 O666:O669 O674 O676:O677 O679 O681 O684:O685 O688 O690 O692">
    <cfRule type="containsText" dxfId="2" priority="1452" operator="containsText" text="Yes">
      <formula>NOT(ISERROR(SEARCH(("Yes"),(O654))))</formula>
    </cfRule>
  </conditionalFormatting>
  <conditionalFormatting sqref="O654 O657 O659:O661 O663 O666:O669 O674 O676:O677 O679 O681 O684:O685 O688 O690 O692">
    <cfRule type="containsText" dxfId="9" priority="1453" operator="containsText" text="No">
      <formula>NOT(ISERROR(SEARCH(("No"),(O654))))</formula>
    </cfRule>
  </conditionalFormatting>
  <conditionalFormatting sqref="O654 O657 O659:O661 O663 O666:O669 O674 O676:O677 O679 O681 O684:O685 O688 O690 O692">
    <cfRule type="containsText" dxfId="2" priority="1454" operator="containsText" text="Yes">
      <formula>NOT(ISERROR(SEARCH(("Yes"),(O654))))</formula>
    </cfRule>
  </conditionalFormatting>
  <conditionalFormatting sqref="O654 O657 O659:O661 O663 O666:O669 O674 O676:O677 O679 O681 O684:O685 O688 O690 O692">
    <cfRule type="containsText" dxfId="9" priority="1455" operator="containsText" text="No">
      <formula>NOT(ISERROR(SEARCH(("No"),(O654))))</formula>
    </cfRule>
  </conditionalFormatting>
  <conditionalFormatting sqref="O654 O657 O659:O661 O663 O666:O669 O674 O676:O677 O679 O681 O684:O685 O688 O690 O692">
    <cfRule type="containsText" dxfId="2" priority="1456" operator="containsText" text="Yes">
      <formula>NOT(ISERROR(SEARCH(("Yes"),(O654))))</formula>
    </cfRule>
  </conditionalFormatting>
  <conditionalFormatting sqref="O654 O657 O659:O661 O663 O666:O669 O674 O676:O677 O679 O681 O684:O685 O688 O690 O692">
    <cfRule type="containsText" dxfId="9" priority="1457" operator="containsText" text="No">
      <formula>NOT(ISERROR(SEARCH(("No"),(O654))))</formula>
    </cfRule>
  </conditionalFormatting>
  <conditionalFormatting sqref="O654 O657 O659:O661 O663 O666:O669 O674 O676:O677 O679 O681 O684:O685 O688 O690 O692">
    <cfRule type="containsText" dxfId="2" priority="1458" operator="containsText" text="Yes">
      <formula>NOT(ISERROR(SEARCH(("Yes"),(O654))))</formula>
    </cfRule>
  </conditionalFormatting>
  <conditionalFormatting sqref="O654 O657 O659:O661 O663 O666:O669 O674 O676:O677 O679 O681 O684:O685 O688 O690 O692">
    <cfRule type="containsText" dxfId="9" priority="1459" operator="containsText" text="No">
      <formula>NOT(ISERROR(SEARCH(("No"),(O654))))</formula>
    </cfRule>
  </conditionalFormatting>
  <conditionalFormatting sqref="O654 O657 O659:O661 O663 O666:O669 O674 O676:O677 O679 O681 O684:O685 O688 O690 O692">
    <cfRule type="containsText" dxfId="2" priority="1460" operator="containsText" text="Yes">
      <formula>NOT(ISERROR(SEARCH(("Yes"),(O654))))</formula>
    </cfRule>
  </conditionalFormatting>
  <conditionalFormatting sqref="O654 O657 O659:O661 O663 O666:O669 O674 O676:O677 O679 O681 O684:O685 O688 O690 O692">
    <cfRule type="containsText" dxfId="9" priority="1461" operator="containsText" text="No">
      <formula>NOT(ISERROR(SEARCH(("No"),(O654))))</formula>
    </cfRule>
  </conditionalFormatting>
  <conditionalFormatting sqref="O654 O657 O659:O661 O663 O666:O669 O674 O676:O677 O679 O681 O684:O685 O688 O690 O692">
    <cfRule type="containsText" dxfId="2" priority="1462" operator="containsText" text="Yes">
      <formula>NOT(ISERROR(SEARCH(("Yes"),(O654))))</formula>
    </cfRule>
  </conditionalFormatting>
  <conditionalFormatting sqref="O654 O657 O659:O661 O663 O666:O669 O674 O676:O677 O679 O681 O684:O685 O688 O690 O692">
    <cfRule type="containsText" dxfId="9" priority="1463" operator="containsText" text="No">
      <formula>NOT(ISERROR(SEARCH(("No"),(O654))))</formula>
    </cfRule>
  </conditionalFormatting>
  <conditionalFormatting sqref="O654 O657 O659:O661 O663 O666:O669 O674 O676:O677 O679 O681 O684:O685 O688 O690 O692">
    <cfRule type="containsText" dxfId="2" priority="1464" operator="containsText" text="Yes">
      <formula>NOT(ISERROR(SEARCH(("Yes"),(O654))))</formula>
    </cfRule>
  </conditionalFormatting>
  <conditionalFormatting sqref="O654 O657 O659:O661 O663 O666:O669 O674 O676:O677 O679 O681 O684:O685 O688 O690 O692">
    <cfRule type="containsText" dxfId="9" priority="1465" operator="containsText" text="No">
      <formula>NOT(ISERROR(SEARCH(("No"),(O654))))</formula>
    </cfRule>
  </conditionalFormatting>
  <conditionalFormatting sqref="O654 O657 O659:O661 O663 O666:O669 O674 O676:O677 O679 O681 O684:O685 O688 O690 O692">
    <cfRule type="containsText" dxfId="2" priority="1466" operator="containsText" text="Yes">
      <formula>NOT(ISERROR(SEARCH(("Yes"),(O654))))</formula>
    </cfRule>
  </conditionalFormatting>
  <conditionalFormatting sqref="O654 O657 O659:O661 O663 O666:O669 O674 O676:O677 O679 O681 O684:O685 O688 O690 O692">
    <cfRule type="containsText" dxfId="9" priority="1467" operator="containsText" text="No">
      <formula>NOT(ISERROR(SEARCH(("No"),(O654))))</formula>
    </cfRule>
  </conditionalFormatting>
  <conditionalFormatting sqref="O654 O657 O659:O661 O663 O666:O669 O674 O676:O677 O679 O681 O684:O685 O688 O690 O692">
    <cfRule type="containsText" dxfId="2" priority="1468" operator="containsText" text="Yes">
      <formula>NOT(ISERROR(SEARCH(("Yes"),(O654))))</formula>
    </cfRule>
  </conditionalFormatting>
  <conditionalFormatting sqref="O654 O657 O659:O661 O663 O666:O669 O674 O676:O677 O679 O681 O684:O685 O688 O690 O692">
    <cfRule type="containsText" dxfId="9" priority="1469" operator="containsText" text="No">
      <formula>NOT(ISERROR(SEARCH(("No"),(O654))))</formula>
    </cfRule>
  </conditionalFormatting>
  <conditionalFormatting sqref="O654 O657 O659:O661 O663 O666:O669 O674 O676:O677 O679 O681 O684:O685 O688 O690 O692">
    <cfRule type="containsText" dxfId="2" priority="1470" operator="containsText" text="Yes">
      <formula>NOT(ISERROR(SEARCH(("Yes"),(O654))))</formula>
    </cfRule>
  </conditionalFormatting>
  <conditionalFormatting sqref="O654 O657 O659:O661 O663 O666:O669 O674 O676:O677 O679 O681 O684:O685 O688 O690 O692">
    <cfRule type="containsText" dxfId="9" priority="1471" operator="containsText" text="No">
      <formula>NOT(ISERROR(SEARCH(("No"),(O654))))</formula>
    </cfRule>
  </conditionalFormatting>
  <conditionalFormatting sqref="O654 O657 O659:O661 O663 O666:O669 O674 O676:O677 O679 O681 O684:O685 O688 O690 O692">
    <cfRule type="containsText" dxfId="2" priority="1472" operator="containsText" text="Yes">
      <formula>NOT(ISERROR(SEARCH(("Yes"),(O654))))</formula>
    </cfRule>
  </conditionalFormatting>
  <conditionalFormatting sqref="O654 O657 O659:O661 O663 O666:O669 O674 O676:O677 O679 O681 O684:O685 O688 O690 O692">
    <cfRule type="containsText" dxfId="9" priority="1473" operator="containsText" text="No">
      <formula>NOT(ISERROR(SEARCH(("No"),(O654))))</formula>
    </cfRule>
  </conditionalFormatting>
  <conditionalFormatting sqref="O654 O657 O659:O661 O663 O666:O669 O674 O676:O677 O679 O681 O684:O685 O688 O690 O692">
    <cfRule type="containsText" dxfId="2" priority="1474" operator="containsText" text="Yes">
      <formula>NOT(ISERROR(SEARCH(("Yes"),(O654))))</formula>
    </cfRule>
  </conditionalFormatting>
  <conditionalFormatting sqref="O654 O657 O659:O661 O663 O666:O669 O674 O676:O677 O679 O681 O684:O685 O688 O690 O692">
    <cfRule type="containsText" dxfId="9" priority="1475" operator="containsText" text="No">
      <formula>NOT(ISERROR(SEARCH(("No"),(O654))))</formula>
    </cfRule>
  </conditionalFormatting>
  <conditionalFormatting sqref="O654 O657 O659:O661 O663 O666:O669 O674 O676:O677 O679 O681 O684:O685 O688 O690 O692">
    <cfRule type="containsText" dxfId="9" priority="1476" operator="containsText" text="No">
      <formula>NOT(ISERROR(SEARCH(("No"),(O654))))</formula>
    </cfRule>
  </conditionalFormatting>
  <conditionalFormatting sqref="O654 O657 O659:O661 O663 O666:O669 O674 O676:O677 O679 O681 O684:O685 O688 O690 O692">
    <cfRule type="containsText" dxfId="2" priority="1477" operator="containsText" text="Yes">
      <formula>NOT(ISERROR(SEARCH(("Yes"),(O654))))</formula>
    </cfRule>
  </conditionalFormatting>
  <conditionalFormatting sqref="O654 O657 O659:O661 O663 O666:O669 O674 O676:O677 O679 O681 O684:O685 O688 O690 O692">
    <cfRule type="containsText" dxfId="2" priority="1478" operator="containsText" text="Yes">
      <formula>NOT(ISERROR(SEARCH(("Yes"),(O654))))</formula>
    </cfRule>
  </conditionalFormatting>
  <conditionalFormatting sqref="O654 O657 O659:O661 O663 O666:O669 O674 O676:O677 O679 O681 O684:O685 O688 O690 O692">
    <cfRule type="containsText" dxfId="9" priority="1479" operator="containsText" text="No">
      <formula>NOT(ISERROR(SEARCH(("No"),(O654))))</formula>
    </cfRule>
  </conditionalFormatting>
  <conditionalFormatting sqref="O654 O657 O659:O661 O663 O666:O669 O674 O676:O677 O679 O681 O684:O685 O688 O690 O692">
    <cfRule type="containsText" dxfId="2" priority="1480" operator="containsText" text="Yes">
      <formula>NOT(ISERROR(SEARCH(("Yes"),(O654))))</formula>
    </cfRule>
  </conditionalFormatting>
  <conditionalFormatting sqref="O654 O657 O659:O661 O663 O666:O669 O674 O676:O677 O679 O681 O684:O685 O688 O690 O692">
    <cfRule type="containsText" dxfId="9" priority="1481" operator="containsText" text="No">
      <formula>NOT(ISERROR(SEARCH(("No"),(O654))))</formula>
    </cfRule>
  </conditionalFormatting>
  <conditionalFormatting sqref="O654 O657 O659:O661 O663 O666:O669 O674 O676:O677 O679 O681 O684:O685 O688 O690 O692">
    <cfRule type="containsText" dxfId="2" priority="1482" operator="containsText" text="Yes">
      <formula>NOT(ISERROR(SEARCH(("Yes"),(O654))))</formula>
    </cfRule>
  </conditionalFormatting>
  <conditionalFormatting sqref="O654 O657 O659:O661 O663 O666:O669 O674 O676:O677 O679 O681 O684:O685 O688 O690 O692">
    <cfRule type="containsText" dxfId="9" priority="1483" operator="containsText" text="No">
      <formula>NOT(ISERROR(SEARCH(("No"),(O654))))</formula>
    </cfRule>
  </conditionalFormatting>
  <conditionalFormatting sqref="O654 O657 O659:O661 O663 O666:O669 O674 O676:O677 O679 O681 O684:O685 O688 O690 O692">
    <cfRule type="containsText" dxfId="2" priority="1484" operator="containsText" text="Yes">
      <formula>NOT(ISERROR(SEARCH(("Yes"),(O654))))</formula>
    </cfRule>
  </conditionalFormatting>
  <conditionalFormatting sqref="O654 O657 O659:O661 O663 O666:O669 O674 O676:O677 O679 O681 O684:O685 O688 O690 O692">
    <cfRule type="containsText" dxfId="9" priority="1485" operator="containsText" text="No">
      <formula>NOT(ISERROR(SEARCH(("No"),(O654))))</formula>
    </cfRule>
  </conditionalFormatting>
  <conditionalFormatting sqref="O654 O657 O659:O661 O663 O666:O669 O674 O676:O677 O679 O681 O684:O685 O688 O690 O692">
    <cfRule type="containsText" dxfId="2" priority="1486" operator="containsText" text="Yes">
      <formula>NOT(ISERROR(SEARCH(("Yes"),(O654))))</formula>
    </cfRule>
  </conditionalFormatting>
  <conditionalFormatting sqref="O654 O657 O659:O661 O663 O666:O669 O674 O676:O677 O679 O681 O684:O685 O688 O690 O692">
    <cfRule type="containsText" dxfId="9" priority="1487" operator="containsText" text="No">
      <formula>NOT(ISERROR(SEARCH(("No"),(O654))))</formula>
    </cfRule>
  </conditionalFormatting>
  <conditionalFormatting sqref="O654 O657 O659:O661 O663 O666:O669 O674 O676:O677 O679 O681 O684:O685 O688 O690 O692">
    <cfRule type="containsText" dxfId="2" priority="1488" operator="containsText" text="Yes">
      <formula>NOT(ISERROR(SEARCH(("Yes"),(O654))))</formula>
    </cfRule>
  </conditionalFormatting>
  <conditionalFormatting sqref="O654 O657 O659:O661 O663 O666:O669 O674 O676:O677 O679 O681 O684:O685 O688 O690 O692">
    <cfRule type="containsText" dxfId="9" priority="1489" operator="containsText" text="No">
      <formula>NOT(ISERROR(SEARCH(("No"),(O654))))</formula>
    </cfRule>
  </conditionalFormatting>
  <conditionalFormatting sqref="O654 O657 O659:O661 O663 O666:O669 O674 O676:O677 O679 O681 O684:O685 O688 O690 O692">
    <cfRule type="containsText" dxfId="2" priority="1490" operator="containsText" text="Yes">
      <formula>NOT(ISERROR(SEARCH(("Yes"),(O654))))</formula>
    </cfRule>
  </conditionalFormatting>
  <conditionalFormatting sqref="O654 O657 O659:O661 O663 O666:O669 O674 O676:O677 O679 O681 O684:O685 O688 O690 O692">
    <cfRule type="containsText" dxfId="9" priority="1491" operator="containsText" text="No">
      <formula>NOT(ISERROR(SEARCH(("No"),(O654))))</formula>
    </cfRule>
  </conditionalFormatting>
  <conditionalFormatting sqref="O654 O657 O659:O661 O663 O666:O669 O674 O676:O677 O679 O681 O684:O685 O688 O690 O692">
    <cfRule type="containsText" dxfId="2" priority="1492" operator="containsText" text="Yes">
      <formula>NOT(ISERROR(SEARCH(("Yes"),(O654))))</formula>
    </cfRule>
  </conditionalFormatting>
  <conditionalFormatting sqref="O654 O657 O659:O661 O663 O666:O669 O674 O676:O677 O679 O681 O684:O685 O688 O690 O692">
    <cfRule type="containsText" dxfId="9" priority="1493" operator="containsText" text="No">
      <formula>NOT(ISERROR(SEARCH(("No"),(O654))))</formula>
    </cfRule>
  </conditionalFormatting>
  <conditionalFormatting sqref="O654 O657 O659:O661 O663 O666:O669 O674 O676:O677 O679 O681 O684:O685 O688 O690 O692">
    <cfRule type="containsText" dxfId="2" priority="1494" operator="containsText" text="Yes">
      <formula>NOT(ISERROR(SEARCH(("Yes"),(O654))))</formula>
    </cfRule>
  </conditionalFormatting>
  <conditionalFormatting sqref="O654 O657 O659:O661 O663 O666:O669 O674 O676:O677 O679 O681 O684:O685 O688 O690 O692">
    <cfRule type="containsText" dxfId="9" priority="1495" operator="containsText" text="No">
      <formula>NOT(ISERROR(SEARCH(("No"),(O654))))</formula>
    </cfRule>
  </conditionalFormatting>
  <conditionalFormatting sqref="O654 O657 O659:O661 O663 O666:O669 O674 O676:O677 O679 O681 O684:O685 O688 O690 O692">
    <cfRule type="containsText" dxfId="2" priority="1496" operator="containsText" text="Yes">
      <formula>NOT(ISERROR(SEARCH(("Yes"),(O654))))</formula>
    </cfRule>
  </conditionalFormatting>
  <conditionalFormatting sqref="O654 O657 O659:O661 O663 O666:O669 O674 O676:O677 O679 O681 O684:O685 O688 O690 O692">
    <cfRule type="containsText" dxfId="9" priority="1497" operator="containsText" text="No">
      <formula>NOT(ISERROR(SEARCH(("No"),(O654))))</formula>
    </cfRule>
  </conditionalFormatting>
  <conditionalFormatting sqref="O654 O657 O659:O661 O663 O666:O669 O674 O676:O677 O679 O681 O684:O685 O688 O690 O692">
    <cfRule type="containsText" dxfId="2" priority="1498" operator="containsText" text="Yes">
      <formula>NOT(ISERROR(SEARCH(("Yes"),(O654))))</formula>
    </cfRule>
  </conditionalFormatting>
  <conditionalFormatting sqref="O654 O657 O659:O661 O663 O666:O669 O674 O676:O677 O679 O681 O684:O685 O688 O690 O692">
    <cfRule type="containsText" dxfId="9" priority="1499" operator="containsText" text="No">
      <formula>NOT(ISERROR(SEARCH(("No"),(O654))))</formula>
    </cfRule>
  </conditionalFormatting>
  <conditionalFormatting sqref="O654 O657 O659:O661 O663 O666:O669 O674 O676:O677 O679 O681 O684:O685 O688 O690 O692">
    <cfRule type="containsText" dxfId="2" priority="1500" operator="containsText" text="Yes">
      <formula>NOT(ISERROR(SEARCH(("Yes"),(O654))))</formula>
    </cfRule>
  </conditionalFormatting>
  <conditionalFormatting sqref="O654 O657 O659:O661 O663 O666:O669 O674 O676:O677 O679 O681 O684:O685 O688 O690 O692">
    <cfRule type="containsText" dxfId="9" priority="1501" operator="containsText" text="No">
      <formula>NOT(ISERROR(SEARCH(("No"),(O654))))</formula>
    </cfRule>
  </conditionalFormatting>
  <conditionalFormatting sqref="O654 O657 O659:O661 O663 O666:O669 O674 O676:O677 O679 O681 O684:O685 O688 O690 O692">
    <cfRule type="containsText" dxfId="2" priority="1502" operator="containsText" text="Yes">
      <formula>NOT(ISERROR(SEARCH(("Yes"),(O654))))</formula>
    </cfRule>
  </conditionalFormatting>
  <conditionalFormatting sqref="O654 O657 O659:O661 O663 O666:O669 O674 O676:O677 O679 O681 O684:O685 O688 O690 O692">
    <cfRule type="containsText" dxfId="9" priority="1503" operator="containsText" text="No">
      <formula>NOT(ISERROR(SEARCH(("No"),(O654))))</formula>
    </cfRule>
  </conditionalFormatting>
  <conditionalFormatting sqref="O654 O657 O659:O661 O663 O666:O669 O674 O676:O677 O679 O681 O684:O685 O688 O690 O692">
    <cfRule type="containsText" dxfId="2" priority="1504" operator="containsText" text="Yes">
      <formula>NOT(ISERROR(SEARCH(("Yes"),(O654))))</formula>
    </cfRule>
  </conditionalFormatting>
  <conditionalFormatting sqref="O654 O657 O659:O661 O663 O666:O669 O674 O676:O677 O679 O681 O684:O685 O688 O690 O692">
    <cfRule type="containsText" dxfId="9" priority="1505" operator="containsText" text="No">
      <formula>NOT(ISERROR(SEARCH(("No"),(O654))))</formula>
    </cfRule>
  </conditionalFormatting>
  <conditionalFormatting sqref="O654 O657 O659:O661 O663 O666:O669 O674 O676:O677 O679 O681 O684:O685 O688 O690 O692">
    <cfRule type="containsText" dxfId="2" priority="1506" operator="containsText" text="Yes">
      <formula>NOT(ISERROR(SEARCH(("Yes"),(O654))))</formula>
    </cfRule>
  </conditionalFormatting>
  <conditionalFormatting sqref="O654 O657 O659:O661 O663 O666:O669 O674 O676:O677 O679 O681 O684:O685 O688 O690 O692">
    <cfRule type="containsText" dxfId="9" priority="1507" operator="containsText" text="No">
      <formula>NOT(ISERROR(SEARCH(("No"),(O654))))</formula>
    </cfRule>
  </conditionalFormatting>
  <conditionalFormatting sqref="O654 O657 O659:O661 O663 O666:O669 O674 O676:O677 O679 O681 O684:O685 O688 O690 O692">
    <cfRule type="containsText" dxfId="2" priority="1508" operator="containsText" text="Yes">
      <formula>NOT(ISERROR(SEARCH(("Yes"),(O654))))</formula>
    </cfRule>
  </conditionalFormatting>
  <conditionalFormatting sqref="O654 O657 O659:O661 O663 O666:O669 O674 O676:O677 O679 O681 O684:O685 O688 O690 O692">
    <cfRule type="containsText" dxfId="9" priority="1509" operator="containsText" text="No">
      <formula>NOT(ISERROR(SEARCH(("No"),(O654))))</formula>
    </cfRule>
  </conditionalFormatting>
  <conditionalFormatting sqref="O654 O657 O659:O661 O663 O666:O669 O674 O676:O677 O679 O681 O684:O685 O688 O690 O692">
    <cfRule type="containsText" dxfId="2" priority="1510" operator="containsText" text="Yes">
      <formula>NOT(ISERROR(SEARCH(("Yes"),(O654))))</formula>
    </cfRule>
  </conditionalFormatting>
  <conditionalFormatting sqref="O654 O657 O659:O661 O663 O666:O669 O674 O676:O677 O679 O681 O684:O685 O688 O690 O692">
    <cfRule type="containsText" dxfId="9" priority="1511" operator="containsText" text="No">
      <formula>NOT(ISERROR(SEARCH(("No"),(O654))))</formula>
    </cfRule>
  </conditionalFormatting>
  <conditionalFormatting sqref="O654 O657 O659:O661 O663 O666:O669 O674 O676:O677 O679 O681 O684:O685 O688 O690 O692">
    <cfRule type="containsText" dxfId="2" priority="1512" operator="containsText" text="Yes">
      <formula>NOT(ISERROR(SEARCH(("Yes"),(O654))))</formula>
    </cfRule>
  </conditionalFormatting>
  <conditionalFormatting sqref="O654 O657 O659:O661 O663 O666:O669 O674 O676:O677 O679 O681 O684:O685 O688 O690 O692">
    <cfRule type="containsText" dxfId="9" priority="1513" operator="containsText" text="No">
      <formula>NOT(ISERROR(SEARCH(("No"),(O654))))</formula>
    </cfRule>
  </conditionalFormatting>
  <conditionalFormatting sqref="O654 O657 O659:O661 O663 O666:O669 O674 O676:O677 O679 O681 O684:O685 O688 O690 O692">
    <cfRule type="containsText" dxfId="2" priority="1514" operator="containsText" text="Yes">
      <formula>NOT(ISERROR(SEARCH(("Yes"),(O654))))</formula>
    </cfRule>
  </conditionalFormatting>
  <conditionalFormatting sqref="O654 O657 O659:O661 O663 O666:O669 O674 O676:O677 O679 O681 O684:O685 O688 O690 O692">
    <cfRule type="containsText" dxfId="9" priority="1515" operator="containsText" text="No">
      <formula>NOT(ISERROR(SEARCH(("No"),(O654))))</formula>
    </cfRule>
  </conditionalFormatting>
  <conditionalFormatting sqref="O654 O657 O659:O661 O663 O666:O669 O674 O676:O677 O679 O681 O684:O685 O688 O690 O692">
    <cfRule type="containsText" dxfId="2" priority="1516" operator="containsText" text="Yes">
      <formula>NOT(ISERROR(SEARCH(("Yes"),(O654))))</formula>
    </cfRule>
  </conditionalFormatting>
  <conditionalFormatting sqref="O654 O657 O659:O661 O663 O666:O669 O674 O676:O677 O679 O681 O684:O685 O688 O690 O692">
    <cfRule type="containsText" dxfId="9" priority="1517" operator="containsText" text="No">
      <formula>NOT(ISERROR(SEARCH(("No"),(O654))))</formula>
    </cfRule>
  </conditionalFormatting>
  <conditionalFormatting sqref="O654 O657 O659:O661 O663 O666:O669 O674 O676:O677 O679 O681 O684:O685 O688 O690 O692">
    <cfRule type="containsText" dxfId="2" priority="1518" operator="containsText" text="Yes">
      <formula>NOT(ISERROR(SEARCH(("Yes"),(O654))))</formula>
    </cfRule>
  </conditionalFormatting>
  <conditionalFormatting sqref="O654 O657 O659:O661 O663 O666:O669 O674 O676:O677 O679 O681 O684:O685 O688 O690 O692">
    <cfRule type="containsText" dxfId="9" priority="1519" operator="containsText" text="No">
      <formula>NOT(ISERROR(SEARCH(("No"),(O654))))</formula>
    </cfRule>
  </conditionalFormatting>
  <conditionalFormatting sqref="O654 O657 O659:O661 O663 O666:O669 O674 O676:O677 O679 O681 O684:O685 O688 O690 O692">
    <cfRule type="containsText" dxfId="2" priority="1520" operator="containsText" text="Yes">
      <formula>NOT(ISERROR(SEARCH(("Yes"),(O654))))</formula>
    </cfRule>
  </conditionalFormatting>
  <conditionalFormatting sqref="O654 O657 O659:O661 O663 O666:O669 O674 O676:O677 O679 O681 O684:O685 O688 O690 O692">
    <cfRule type="containsText" dxfId="9" priority="1521" operator="containsText" text="No">
      <formula>NOT(ISERROR(SEARCH(("No"),(O654))))</formula>
    </cfRule>
  </conditionalFormatting>
  <conditionalFormatting sqref="O654 O657 O659:O661 O663 O666:O669 O674 O676:O677 O679 O681 O684:O685 O688 O690 O692">
    <cfRule type="containsText" dxfId="2" priority="1522" operator="containsText" text="Yes">
      <formula>NOT(ISERROR(SEARCH(("Yes"),(O654))))</formula>
    </cfRule>
  </conditionalFormatting>
  <conditionalFormatting sqref="O654 O657 O659:O661 O663 O666:O669 O674 O676:O677 O679 O681 O684:O685 O688 O690 O692">
    <cfRule type="containsText" dxfId="9" priority="1523" operator="containsText" text="No">
      <formula>NOT(ISERROR(SEARCH(("No"),(O654))))</formula>
    </cfRule>
  </conditionalFormatting>
  <conditionalFormatting sqref="O654 O657 O659:O661 O663 O666:O669 O674 O676:O677 O679 O681 O684:O685 O688 O690 O692">
    <cfRule type="containsText" dxfId="2" priority="1524" operator="containsText" text="Yes">
      <formula>NOT(ISERROR(SEARCH(("Yes"),(O654))))</formula>
    </cfRule>
  </conditionalFormatting>
  <conditionalFormatting sqref="O654 O657 O659:O661 O663 O666:O669 O674 O676:O677 O679 O681 O684:O685 O688 O690 O692">
    <cfRule type="containsText" dxfId="9" priority="1525" operator="containsText" text="No">
      <formula>NOT(ISERROR(SEARCH(("No"),(O654))))</formula>
    </cfRule>
  </conditionalFormatting>
  <conditionalFormatting sqref="O654 O657 O659:O661 O663 O666:O669 O674 O676:O677 O679 O681 O684:O685 O688 O690 O692">
    <cfRule type="containsText" dxfId="2" priority="1526" operator="containsText" text="Yes">
      <formula>NOT(ISERROR(SEARCH(("Yes"),(O654))))</formula>
    </cfRule>
  </conditionalFormatting>
  <conditionalFormatting sqref="O654 O657 O659:O661 O663 O666:O669 O674 O676:O677 O679 O681 O684:O685 O688 O690 O692">
    <cfRule type="containsText" dxfId="9" priority="1527" operator="containsText" text="No">
      <formula>NOT(ISERROR(SEARCH(("No"),(O654))))</formula>
    </cfRule>
  </conditionalFormatting>
  <conditionalFormatting sqref="O654 O657 O659:O661 O663 O666:O669 O674 O676:O677 O679 O681 O684:O685 O688 O690 O692">
    <cfRule type="containsText" dxfId="2" priority="1528" operator="containsText" text="Yes">
      <formula>NOT(ISERROR(SEARCH(("Yes"),(O654))))</formula>
    </cfRule>
  </conditionalFormatting>
  <conditionalFormatting sqref="O654 O657 O659:O661 O663 O666:O669 O674 O676:O677 O679 O681 O684:O685 O688 O690 O692">
    <cfRule type="containsText" dxfId="9" priority="1529" operator="containsText" text="No">
      <formula>NOT(ISERROR(SEARCH(("No"),(O654))))</formula>
    </cfRule>
  </conditionalFormatting>
  <conditionalFormatting sqref="O654 O657 O659:O661 O663 O666:O669 O674 O676:O677 O679 O681 O684:O685 O688 O690 O692">
    <cfRule type="containsText" dxfId="2" priority="1530" operator="containsText" text="Yes">
      <formula>NOT(ISERROR(SEARCH(("Yes"),(O654))))</formula>
    </cfRule>
  </conditionalFormatting>
  <conditionalFormatting sqref="O654 O657 O659:O661 O663 O666:O669 O674 O676:O677 O679 O681 O684:O685 O688 O690 O692">
    <cfRule type="containsText" dxfId="9" priority="1531" operator="containsText" text="No">
      <formula>NOT(ISERROR(SEARCH(("No"),(O654))))</formula>
    </cfRule>
  </conditionalFormatting>
  <conditionalFormatting sqref="O654 O657 O659:O661 O663 O666:O669 O674 O676:O677 O679 O681 O684:O685 O688 O690 O692">
    <cfRule type="containsText" dxfId="2" priority="1532" operator="containsText" text="Yes">
      <formula>NOT(ISERROR(SEARCH(("Yes"),(O654))))</formula>
    </cfRule>
  </conditionalFormatting>
  <conditionalFormatting sqref="O654 O657 O659:O661 O663 O666:O669 O674 O676:O677 O679 O681 O684:O685 O688 O690 O692">
    <cfRule type="containsText" dxfId="9" priority="1533" operator="containsText" text="No">
      <formula>NOT(ISERROR(SEARCH(("No"),(O654))))</formula>
    </cfRule>
  </conditionalFormatting>
  <conditionalFormatting sqref="O654 O657 O659:O661 O663 O666:O669 O674 O676:O677 O679 O681 O684:O685 O688 O690 O692">
    <cfRule type="containsText" dxfId="2" priority="1534" operator="containsText" text="Yes">
      <formula>NOT(ISERROR(SEARCH(("Yes"),(O654))))</formula>
    </cfRule>
  </conditionalFormatting>
  <conditionalFormatting sqref="O654 O657 O659:O661 O663 O666:O669 O674 O676:O677 O679 O681 O684:O685 O688 O690 O692">
    <cfRule type="containsText" dxfId="9" priority="1535" operator="containsText" text="No">
      <formula>NOT(ISERROR(SEARCH(("No"),(O654))))</formula>
    </cfRule>
  </conditionalFormatting>
  <conditionalFormatting sqref="O654 O657 O659:O661 O663 O666:O669 O674 O676:O677 O679 O681 O684:O685 O688 O690 O692">
    <cfRule type="containsText" dxfId="2" priority="1536" operator="containsText" text="Yes">
      <formula>NOT(ISERROR(SEARCH(("Yes"),(O654))))</formula>
    </cfRule>
  </conditionalFormatting>
  <conditionalFormatting sqref="O654 O657 O659:O661 O663 O666:O669 O674 O676:O677 O679 O681 O684:O685 O688 O690 O692">
    <cfRule type="containsText" dxfId="9" priority="1537" operator="containsText" text="No">
      <formula>NOT(ISERROR(SEARCH(("No"),(O654))))</formula>
    </cfRule>
  </conditionalFormatting>
  <conditionalFormatting sqref="O654 O657 O659:O661 O663 O666:O669 O674 O676:O677 O679 O681 O684:O685 O688 O690 O692">
    <cfRule type="containsText" dxfId="2" priority="1538" operator="containsText" text="Yes">
      <formula>NOT(ISERROR(SEARCH(("Yes"),(O654))))</formula>
    </cfRule>
  </conditionalFormatting>
  <conditionalFormatting sqref="O654 O657 O659:O661 O663 O666:O669 O674 O676:O677 O679 O681 O684:O685 O688 O690 O692">
    <cfRule type="containsText" dxfId="9" priority="1539" operator="containsText" text="No">
      <formula>NOT(ISERROR(SEARCH(("No"),(O654))))</formula>
    </cfRule>
  </conditionalFormatting>
  <conditionalFormatting sqref="O654 O657 O659:O661 O663 O666:O669 O674 O676:O677 O679 O681 O684:O685 O688 O690 O692">
    <cfRule type="containsText" dxfId="2" priority="1540" operator="containsText" text="Yes">
      <formula>NOT(ISERROR(SEARCH(("Yes"),(O654))))</formula>
    </cfRule>
  </conditionalFormatting>
  <conditionalFormatting sqref="O654 O657 O659:O661 O663 O666:O669 O674 O676:O677 O679 O681 O684:O685 O688 O690 O692">
    <cfRule type="containsText" dxfId="9" priority="1541" operator="containsText" text="No">
      <formula>NOT(ISERROR(SEARCH(("No"),(O654))))</formula>
    </cfRule>
  </conditionalFormatting>
  <conditionalFormatting sqref="O654 O657 O659:O661 O663 O666:O669 O674 O676:O677 O679 O681 O684:O685 O688 O690 O692">
    <cfRule type="containsText" dxfId="2" priority="1542" operator="containsText" text="Yes">
      <formula>NOT(ISERROR(SEARCH(("Yes"),(O654))))</formula>
    </cfRule>
  </conditionalFormatting>
  <conditionalFormatting sqref="O654 O657 O659:O661 O663 O666:O669 O674 O676:O677 O679 O681 O684:O685 O688 O690 O692">
    <cfRule type="containsText" dxfId="9" priority="1543" operator="containsText" text="No">
      <formula>NOT(ISERROR(SEARCH(("No"),(O654))))</formula>
    </cfRule>
  </conditionalFormatting>
  <conditionalFormatting sqref="O654 O657 O659:O661 O663 O666:O669 O674 O676:O677 O679 O681 O684:O685 O688 O690 O692">
    <cfRule type="containsText" dxfId="2" priority="1544" operator="containsText" text="Yes">
      <formula>NOT(ISERROR(SEARCH(("Yes"),(O654))))</formula>
    </cfRule>
  </conditionalFormatting>
  <conditionalFormatting sqref="O654 O657 O659:O661 O663 O666:O669 O674 O676:O677 O679 O681 O684:O685 O688 O690 O692">
    <cfRule type="containsText" dxfId="9" priority="1545" operator="containsText" text="No">
      <formula>NOT(ISERROR(SEARCH(("No"),(O654))))</formula>
    </cfRule>
  </conditionalFormatting>
  <conditionalFormatting sqref="O654 O657 O659:O661 O663 O666:O669 O674 O676:O677 O679 O681 O684:O685 O688 O690 O692">
    <cfRule type="containsText" dxfId="2" priority="1546" operator="containsText" text="Yes">
      <formula>NOT(ISERROR(SEARCH(("Yes"),(O654))))</formula>
    </cfRule>
  </conditionalFormatting>
  <conditionalFormatting sqref="O654 O657 O659:O661 O663 O666:O669 O674 O676:O677 O679 O681 O684:O685 O688 O690 O692">
    <cfRule type="containsText" dxfId="9" priority="1547" operator="containsText" text="No">
      <formula>NOT(ISERROR(SEARCH(("No"),(O654))))</formula>
    </cfRule>
  </conditionalFormatting>
  <conditionalFormatting sqref="O654 O657 O659:O661 O663 O666:O669 O674 O676:O677 O679 O681 O684:O685 O688 O690 O692">
    <cfRule type="containsText" dxfId="2" priority="1548" operator="containsText" text="Yes">
      <formula>NOT(ISERROR(SEARCH(("Yes"),(O654))))</formula>
    </cfRule>
  </conditionalFormatting>
  <conditionalFormatting sqref="O654 O657 O659:O661 O663 O666:O669 O674 O676:O677 O679 O681 O684:O685 O688 O690 O692">
    <cfRule type="containsText" dxfId="9" priority="1549" operator="containsText" text="No">
      <formula>NOT(ISERROR(SEARCH(("No"),(O654))))</formula>
    </cfRule>
  </conditionalFormatting>
  <conditionalFormatting sqref="O654 O657 O659:O661 O663 O666:O669 O674 O676:O677 O679 O681 O684:O685 O688 O690 O692">
    <cfRule type="containsText" dxfId="2" priority="1550" operator="containsText" text="Yes">
      <formula>NOT(ISERROR(SEARCH(("Yes"),(O654))))</formula>
    </cfRule>
  </conditionalFormatting>
  <conditionalFormatting sqref="O654 O657 O659:O661 O663 O666:O669 O674 O676:O677 O679 O681 O684:O685 O688 O690 O692">
    <cfRule type="containsText" dxfId="9" priority="1551" operator="containsText" text="No">
      <formula>NOT(ISERROR(SEARCH(("No"),(O654))))</formula>
    </cfRule>
  </conditionalFormatting>
  <conditionalFormatting sqref="O654 O657 O659:O661 O663 O666:O669 O674 O676:O677 O679 O681 O684:O685 O688 O690 O692">
    <cfRule type="containsText" dxfId="2" priority="1552" operator="containsText" text="Yes">
      <formula>NOT(ISERROR(SEARCH(("Yes"),(O654))))</formula>
    </cfRule>
  </conditionalFormatting>
  <conditionalFormatting sqref="O654 O657 O659:O661 O663 O666:O669 O674 O676:O677 O679 O681 O684:O685 O688 O690 O692">
    <cfRule type="containsText" dxfId="9" priority="1553" operator="containsText" text="No">
      <formula>NOT(ISERROR(SEARCH(("No"),(O654))))</formula>
    </cfRule>
  </conditionalFormatting>
  <conditionalFormatting sqref="O654 O657 O659:O661 O663 O666:O669 O674 O676:O677 O679 O681 O684:O685 O688 O690 O692">
    <cfRule type="containsText" dxfId="2" priority="1554" operator="containsText" text="Yes">
      <formula>NOT(ISERROR(SEARCH(("Yes"),(O654))))</formula>
    </cfRule>
  </conditionalFormatting>
  <conditionalFormatting sqref="O654 O657 O659:O661 O663 O666:O669 O674 O676:O677 O679 O681 O684:O685 O688 O690 O692">
    <cfRule type="containsText" dxfId="9" priority="1555" operator="containsText" text="No">
      <formula>NOT(ISERROR(SEARCH(("No"),(O654))))</formula>
    </cfRule>
  </conditionalFormatting>
  <conditionalFormatting sqref="O654 O657 O659:O661 O663 O666:O669 O674 O676:O677 O679 O681 O684:O685 O688 O690 O692">
    <cfRule type="containsText" dxfId="2" priority="1556" operator="containsText" text="Yes">
      <formula>NOT(ISERROR(SEARCH(("Yes"),(O654))))</formula>
    </cfRule>
  </conditionalFormatting>
  <conditionalFormatting sqref="O654 O657 O659:O661 O663 O666:O669 O674 O676:O677 O679 O681 O684:O685 O688 O690 O692">
    <cfRule type="containsText" dxfId="9" priority="1557" operator="containsText" text="No">
      <formula>NOT(ISERROR(SEARCH(("No"),(O654))))</formula>
    </cfRule>
  </conditionalFormatting>
  <conditionalFormatting sqref="O654 O657 O659:O661 O663 O666:O669 O674 O676:O677 O679 O681 O684:O685 O688 O690 O692">
    <cfRule type="containsText" dxfId="2" priority="1558" operator="containsText" text="Yes">
      <formula>NOT(ISERROR(SEARCH(("Yes"),(O654))))</formula>
    </cfRule>
  </conditionalFormatting>
  <conditionalFormatting sqref="O654 O657 O659:O661 O663 O666:O669 O674 O676:O677 O679 O681 O684:O685 O688 O690 O692">
    <cfRule type="containsText" dxfId="9" priority="1559" operator="containsText" text="No">
      <formula>NOT(ISERROR(SEARCH(("No"),(O654))))</formula>
    </cfRule>
  </conditionalFormatting>
  <conditionalFormatting sqref="O654 O657 O659:O661 O663 O666:O669 O674 O676:O677 O679 O681 O684:O685 O688 O690 O692">
    <cfRule type="containsText" dxfId="2" priority="1560" operator="containsText" text="Yes">
      <formula>NOT(ISERROR(SEARCH(("Yes"),(O654))))</formula>
    </cfRule>
  </conditionalFormatting>
  <conditionalFormatting sqref="O654 O657 O659:O661 O663 O666:O669 O674 O676:O677 O679 O681 O684:O685 O688 O690 O692">
    <cfRule type="containsText" dxfId="9" priority="1561" operator="containsText" text="No">
      <formula>NOT(ISERROR(SEARCH(("No"),(O654))))</formula>
    </cfRule>
  </conditionalFormatting>
  <conditionalFormatting sqref="O654 O657 O659:O661 O663 O666:O669 O674 O676:O677 O679 O681 O684:O685 O688 O690 O692">
    <cfRule type="containsText" dxfId="2" priority="1562" operator="containsText" text="Yes">
      <formula>NOT(ISERROR(SEARCH(("Yes"),(O654))))</formula>
    </cfRule>
  </conditionalFormatting>
  <conditionalFormatting sqref="O654 O657 O659:O661 O663 O666:O669 O674 O676:O677 O679 O681 O684:O685 O688 O690 O692">
    <cfRule type="containsText" dxfId="9" priority="1563" operator="containsText" text="No">
      <formula>NOT(ISERROR(SEARCH(("No"),(O654))))</formula>
    </cfRule>
  </conditionalFormatting>
  <conditionalFormatting sqref="O654 O657 O659:O661 O663 O666:O669 O674 O676:O677 O679 O681 O684:O685 O688 O690 O692">
    <cfRule type="containsText" dxfId="2" priority="1564" operator="containsText" text="Yes">
      <formula>NOT(ISERROR(SEARCH(("Yes"),(O654))))</formula>
    </cfRule>
  </conditionalFormatting>
  <conditionalFormatting sqref="O654 O657 O659:O661 O663 O666:O669 O674 O676:O677 O679 O681 O684:O685 O688 O690 O692">
    <cfRule type="containsText" dxfId="9" priority="1565" operator="containsText" text="No">
      <formula>NOT(ISERROR(SEARCH(("No"),(O654))))</formula>
    </cfRule>
  </conditionalFormatting>
  <conditionalFormatting sqref="O654 O657 O659:O661 O663 O666:O669 O674 O676:O677 O679 O681 O684:O685 O688 O690 O692">
    <cfRule type="containsText" dxfId="2" priority="1566" operator="containsText" text="Yes">
      <formula>NOT(ISERROR(SEARCH(("Yes"),(O654))))</formula>
    </cfRule>
  </conditionalFormatting>
  <conditionalFormatting sqref="O654 O657 O659:O661 O663 O666:O669 O674 O676:O677 O679 O681 O684:O685 O688 O690 O692">
    <cfRule type="containsText" dxfId="9" priority="1567" operator="containsText" text="No">
      <formula>NOT(ISERROR(SEARCH(("No"),(O654))))</formula>
    </cfRule>
  </conditionalFormatting>
  <conditionalFormatting sqref="O654 O657 O659:O661 O663 O666:O669 O674 O676:O677 O679 O681 O684:O685 O688 O690 O692">
    <cfRule type="containsText" dxfId="2" priority="1568" operator="containsText" text="Yes">
      <formula>NOT(ISERROR(SEARCH(("Yes"),(O654))))</formula>
    </cfRule>
  </conditionalFormatting>
  <conditionalFormatting sqref="O654 O657 O659:O661 O663 O666:O669 O674 O676:O677 O679 O681 O684:O685 O688 O690 O692">
    <cfRule type="containsText" dxfId="9" priority="1569" operator="containsText" text="No">
      <formula>NOT(ISERROR(SEARCH(("No"),(O654))))</formula>
    </cfRule>
  </conditionalFormatting>
  <conditionalFormatting sqref="O654 O657 O659:O661 O663 O666:O669 O674 O676:O677 O679 O681 O684:O685 O688 O690 O692">
    <cfRule type="containsText" dxfId="2" priority="1570" operator="containsText" text="Yes">
      <formula>NOT(ISERROR(SEARCH(("Yes"),(O654))))</formula>
    </cfRule>
  </conditionalFormatting>
  <conditionalFormatting sqref="O654 O657 O659:O661 O663 O666:O669 O674 O676:O677 O679 O681 O684:O685 O688 O690 O692">
    <cfRule type="containsText" dxfId="9" priority="1571" operator="containsText" text="No">
      <formula>NOT(ISERROR(SEARCH(("No"),(O654))))</formula>
    </cfRule>
  </conditionalFormatting>
  <conditionalFormatting sqref="O654 O657 O659:O661 O663 O666:O669 O674 O676:O677 O679 O681 O684:O685 O688 O690 O692">
    <cfRule type="containsText" dxfId="2" priority="1572" operator="containsText" text="Yes">
      <formula>NOT(ISERROR(SEARCH(("Yes"),(O654))))</formula>
    </cfRule>
  </conditionalFormatting>
  <conditionalFormatting sqref="O654 O657 O659:O661 O663 O666:O669 O674 O676:O677 O679 O681 O684:O685 O688 O690 O692">
    <cfRule type="containsText" dxfId="9" priority="1573" operator="containsText" text="No">
      <formula>NOT(ISERROR(SEARCH(("No"),(O654))))</formula>
    </cfRule>
  </conditionalFormatting>
  <conditionalFormatting sqref="O654 O657 O659:O661 O663 O666:O669 O674 O676:O677 O679 O681 O684:O685 O688 O690 O692">
    <cfRule type="containsText" dxfId="2" priority="1574" operator="containsText" text="Yes">
      <formula>NOT(ISERROR(SEARCH(("Yes"),(O654))))</formula>
    </cfRule>
  </conditionalFormatting>
  <conditionalFormatting sqref="O654 O657 O659:O661 O663 O666:O669 O674 O676:O677 O679 O681 O684:O685 O688 O690 O692">
    <cfRule type="containsText" dxfId="9" priority="1575" operator="containsText" text="No">
      <formula>NOT(ISERROR(SEARCH(("No"),(O654))))</formula>
    </cfRule>
  </conditionalFormatting>
  <conditionalFormatting sqref="O654 O657 O659:O661 O663 O666:O669 O674 O676:O677 O679 O681 O684:O685 O688 O690 O692">
    <cfRule type="containsText" dxfId="2" priority="1576" operator="containsText" text="Yes">
      <formula>NOT(ISERROR(SEARCH(("Yes"),(O654))))</formula>
    </cfRule>
  </conditionalFormatting>
  <conditionalFormatting sqref="O654 O657 O659:O661 O663 O666:O669 O674 O676:O677 O679 O681 O684:O685 O688 O690 O692">
    <cfRule type="containsText" dxfId="9" priority="1577" operator="containsText" text="No">
      <formula>NOT(ISERROR(SEARCH(("No"),(O654))))</formula>
    </cfRule>
  </conditionalFormatting>
  <conditionalFormatting sqref="O654 O657 O659:O661 O663 O666:O669 O674 O676:O677 O679 O681 O684:O685 O688 O690 O692">
    <cfRule type="containsText" dxfId="9" priority="1578" operator="containsText" text="No">
      <formula>NOT(ISERROR(SEARCH(("No"),(O654))))</formula>
    </cfRule>
  </conditionalFormatting>
  <conditionalFormatting sqref="O654 O657 O659:O661 O663 O666:O669 O674 O676:O677 O679 O681 O684:O685 O688 O690 O692">
    <cfRule type="containsText" dxfId="9" priority="1579" operator="containsText" text="No">
      <formula>NOT(ISERROR(SEARCH(("No"),(O654))))</formula>
    </cfRule>
  </conditionalFormatting>
  <conditionalFormatting sqref="O654 O657 O659:O661 O663 O666:O669 O674 O676:O677 O679 O681 O684:O685 O688 O690 O692">
    <cfRule type="containsText" dxfId="2" priority="1580" operator="containsText" text="Yes">
      <formula>NOT(ISERROR(SEARCH(("Yes"),(O654))))</formula>
    </cfRule>
  </conditionalFormatting>
  <conditionalFormatting sqref="O654 O657 O659:O661 O663 O666:O669 O674 O676:O677 O679 O681 O684:O685 O688 O690 O692">
    <cfRule type="containsText" dxfId="9" priority="1581" operator="containsText" text="No">
      <formula>NOT(ISERROR(SEARCH(("No"),(O654))))</formula>
    </cfRule>
  </conditionalFormatting>
  <conditionalFormatting sqref="O654 O657 O659:O661 O663 O666:O669 O674 O676:O677 O679 O681 O684:O685 O688 O690 O692">
    <cfRule type="containsText" dxfId="9" priority="1582" operator="containsText" text="No">
      <formula>NOT(ISERROR(SEARCH(("No"),(O654))))</formula>
    </cfRule>
  </conditionalFormatting>
  <conditionalFormatting sqref="O654 O657 O659:O661 O663 O666:O669 O674 O676:O677 O679 O681 O684:O685 O688 O690 O692">
    <cfRule type="containsText" dxfId="9" priority="1583" operator="containsText" text="No">
      <formula>NOT(ISERROR(SEARCH(("No"),(O654))))</formula>
    </cfRule>
  </conditionalFormatting>
  <conditionalFormatting sqref="O654 O657 O659:O661 O663 O666:O669 O674 O676:O677 O679 O681 O684:O685 O688 O690 O692">
    <cfRule type="containsText" dxfId="2" priority="1584" operator="containsText" text="Yes">
      <formula>NOT(ISERROR(SEARCH(("Yes"),(O654))))</formula>
    </cfRule>
  </conditionalFormatting>
  <conditionalFormatting sqref="O654 O657 O659:O661 O663 O666:O669 O674 O676:O677 O679 O681 O684:O685 O688 O690 O692">
    <cfRule type="containsText" dxfId="9" priority="1585" operator="containsText" text="No">
      <formula>NOT(ISERROR(SEARCH(("No"),(O654))))</formula>
    </cfRule>
  </conditionalFormatting>
  <conditionalFormatting sqref="O654 O657 O659:O661 O663 O666:O669 O674 O676:O677 O679 O681 O684:O685 O688 O690 O692">
    <cfRule type="containsText" dxfId="9" priority="1586" operator="containsText" text="No">
      <formula>NOT(ISERROR(SEARCH(("No"),(O654))))</formula>
    </cfRule>
  </conditionalFormatting>
  <conditionalFormatting sqref="O654 O657 O659:O661 O663 O666:O669 O674 O676:O677 O679 O681 O684:O685 O688 O690 O692">
    <cfRule type="containsText" dxfId="9" priority="1587" operator="containsText" text="No">
      <formula>NOT(ISERROR(SEARCH(("No"),(O654))))</formula>
    </cfRule>
  </conditionalFormatting>
  <conditionalFormatting sqref="O654 O657 O659:O661 O663 O666:O669 O674 O676:O677 O679 O681 O684:O685 O688 O690 O692">
    <cfRule type="containsText" dxfId="2" priority="1588" operator="containsText" text="Yes">
      <formula>NOT(ISERROR(SEARCH(("Yes"),(O654))))</formula>
    </cfRule>
  </conditionalFormatting>
  <conditionalFormatting sqref="O654 O657 O659:O661 O663 O666:O669 O674 O676:O677 O679 O681 O684:O685 O688 O690 O692">
    <cfRule type="containsText" dxfId="9" priority="1589" operator="containsText" text="No">
      <formula>NOT(ISERROR(SEARCH(("No"),(O654))))</formula>
    </cfRule>
  </conditionalFormatting>
  <conditionalFormatting sqref="O654 O657 O659:O661 O663 O666:O669 O674 O676:O677 O679 O681 O684:O685 O688 O690 O692">
    <cfRule type="containsText" dxfId="9" priority="1590" operator="containsText" text="No">
      <formula>NOT(ISERROR(SEARCH(("No"),(O654))))</formula>
    </cfRule>
  </conditionalFormatting>
  <conditionalFormatting sqref="O655:O656 O658 O662 O664:O665 O671:O673 O675 O678 O680 O682:O683 O686:O687 O689 O691">
    <cfRule type="containsText" dxfId="9" priority="1591" operator="containsText" text="No">
      <formula>NOT(ISERROR(SEARCH(("No"),(O655))))</formula>
    </cfRule>
  </conditionalFormatting>
  <conditionalFormatting sqref="O655:O656 O658 O662 O664:O665 O671:O673 O675 O678 O680 O682:O683 O686:O687 O689 O691">
    <cfRule type="containsText" dxfId="9" priority="1592" operator="containsText" text="No">
      <formula>NOT(ISERROR(SEARCH(("No"),(O655))))</formula>
    </cfRule>
  </conditionalFormatting>
  <conditionalFormatting sqref="O655:O656 O658 O662 O664:O665 O671:O673 O675 O678 O680 O682:O683 O686:O687 O689 O691">
    <cfRule type="containsText" dxfId="2" priority="1593" operator="containsText" text="Yes">
      <formula>NOT(ISERROR(SEARCH(("Yes"),(O655))))</formula>
    </cfRule>
  </conditionalFormatting>
  <conditionalFormatting sqref="O655:O656 O658 O662 O664:O665 O671:O673 O675 O678 O680 O682:O683 O686:O687 O689 O691">
    <cfRule type="containsText" dxfId="2" priority="1594" operator="containsText" text="Yes">
      <formula>NOT(ISERROR(SEARCH(("Yes"),(O655))))</formula>
    </cfRule>
  </conditionalFormatting>
  <conditionalFormatting sqref="O655:O656 O658 O662 O664:O665 O671:O673 O675 O678 O680 O682:O683 O686:O687 O689 O691">
    <cfRule type="containsText" dxfId="9" priority="1595" operator="containsText" text="No">
      <formula>NOT(ISERROR(SEARCH(("No"),(O655))))</formula>
    </cfRule>
  </conditionalFormatting>
  <conditionalFormatting sqref="O655:O656 O658 O662 O664:O665 O671:O673 O675 O678 O680 O682:O683 O686:O687 O689 O691">
    <cfRule type="containsText" dxfId="2" priority="1596" operator="containsText" text="Yes">
      <formula>NOT(ISERROR(SEARCH(("Yes"),(O655))))</formula>
    </cfRule>
  </conditionalFormatting>
  <conditionalFormatting sqref="O655:O656 O658 O662 O664:O665 O671:O673 O675 O678 O680 O682:O683 O686:O687 O689 O691">
    <cfRule type="containsText" dxfId="9" priority="1597" operator="containsText" text="No">
      <formula>NOT(ISERROR(SEARCH(("No"),(O655))))</formula>
    </cfRule>
  </conditionalFormatting>
  <conditionalFormatting sqref="O655:O656 O658 O662 O664:O665 O671:O673 O675 O678 O680 O682:O683 O686:O687 O689 O691">
    <cfRule type="containsText" dxfId="2" priority="1598" operator="containsText" text="Yes">
      <formula>NOT(ISERROR(SEARCH(("Yes"),(O655))))</formula>
    </cfRule>
  </conditionalFormatting>
  <conditionalFormatting sqref="O655:O656 O658 O662 O664:O665 O671:O673 O675 O678 O680 O682:O683 O686:O687 O689 O691">
    <cfRule type="containsText" dxfId="9" priority="1599" operator="containsText" text="No">
      <formula>NOT(ISERROR(SEARCH(("No"),(O655))))</formula>
    </cfRule>
  </conditionalFormatting>
  <conditionalFormatting sqref="O655:O656 O658 O662 O664:O665 O671:O673 O675 O678 O680 O682:O683 O686:O687 O689 O691">
    <cfRule type="containsText" dxfId="2" priority="1600" operator="containsText" text="Yes">
      <formula>NOT(ISERROR(SEARCH(("Yes"),(O655))))</formula>
    </cfRule>
  </conditionalFormatting>
  <conditionalFormatting sqref="O659:O661 O663 O666:O669 O674 O676:O677 O679 O681 O684:O685 O688 O690 O692">
    <cfRule type="containsText" dxfId="9" priority="1601" operator="containsText" text="No">
      <formula>NOT(ISERROR(SEARCH(("No"),(O659))))</formula>
    </cfRule>
  </conditionalFormatting>
  <conditionalFormatting sqref="O659:O661 O663 O666:O669 O674 O676:O677 O679 O681 O684:O685 O688 O690 O692">
    <cfRule type="containsText" dxfId="9" priority="1602" operator="containsText" text="No">
      <formula>NOT(ISERROR(SEARCH(("No"),(O659))))</formula>
    </cfRule>
  </conditionalFormatting>
  <conditionalFormatting sqref="O659:O661 O663 O666:O669 O674 O676:O677 O679 O681 O684:O685 O688 O690 O692">
    <cfRule type="containsText" dxfId="2" priority="1603" operator="containsText" text="Yes">
      <formula>NOT(ISERROR(SEARCH(("Yes"),(O659))))</formula>
    </cfRule>
  </conditionalFormatting>
  <conditionalFormatting sqref="O659:O661 O663 O666:O669 O674 O676:O677 O679 O681 O684:O685 O688 O690 O692">
    <cfRule type="containsText" dxfId="2" priority="1604" operator="containsText" text="Yes">
      <formula>NOT(ISERROR(SEARCH(("Yes"),(O659))))</formula>
    </cfRule>
  </conditionalFormatting>
  <conditionalFormatting sqref="O659:O661 O663 O666:O669 O674 O676:O677 O679 O681 O684:O685 O688 O690 O692">
    <cfRule type="containsText" dxfId="9" priority="1605" operator="containsText" text="No">
      <formula>NOT(ISERROR(SEARCH(("No"),(O659))))</formula>
    </cfRule>
  </conditionalFormatting>
  <conditionalFormatting sqref="O659:O661 O663 O666:O669 O674 O676:O677 O679 O681 O684:O685 O688 O690 O692">
    <cfRule type="containsText" dxfId="2" priority="1606" operator="containsText" text="Yes">
      <formula>NOT(ISERROR(SEARCH(("Yes"),(O659))))</formula>
    </cfRule>
  </conditionalFormatting>
  <conditionalFormatting sqref="O659:O661 O663 O666:O669 O674 O676:O677 O679 O681 O684:O685 O688 O690 O692">
    <cfRule type="containsText" dxfId="9" priority="1607" operator="containsText" text="No">
      <formula>NOT(ISERROR(SEARCH(("No"),(O659))))</formula>
    </cfRule>
  </conditionalFormatting>
  <conditionalFormatting sqref="O659:O661 O663 O666:O669 O674 O676:O677 O679 O681 O684:O685 O688 O690 O692">
    <cfRule type="containsText" dxfId="2" priority="1608" operator="containsText" text="Yes">
      <formula>NOT(ISERROR(SEARCH(("Yes"),(O659))))</formula>
    </cfRule>
  </conditionalFormatting>
  <conditionalFormatting sqref="O659:O661 O663 O666:O669 O674 O676:O677 O679 O681 O684:O685 O688 O690 O692">
    <cfRule type="containsText" dxfId="9" priority="1609" operator="containsText" text="No">
      <formula>NOT(ISERROR(SEARCH(("No"),(O659))))</formula>
    </cfRule>
  </conditionalFormatting>
  <conditionalFormatting sqref="O659:O661 O663 O666:O669 O674 O676:O677 O679 O681 O684:O685 O688 O690 O692">
    <cfRule type="containsText" dxfId="2" priority="1610" operator="containsText" text="Yes">
      <formula>NOT(ISERROR(SEARCH(("Yes"),(O659))))</formula>
    </cfRule>
  </conditionalFormatting>
  <conditionalFormatting sqref="O665 O671:O673 O675 O678 O680 O682:O683 O686:O687 O689 O691">
    <cfRule type="containsText" dxfId="9" priority="1611" operator="containsText" text="No">
      <formula>NOT(ISERROR(SEARCH(("No"),(O665))))</formula>
    </cfRule>
  </conditionalFormatting>
  <conditionalFormatting sqref="O665 O671:O673 O675 O678 O680 O682:O683 O686:O687 O689 O691">
    <cfRule type="containsText" dxfId="9" priority="1612" operator="containsText" text="No">
      <formula>NOT(ISERROR(SEARCH(("No"),(O665))))</formula>
    </cfRule>
  </conditionalFormatting>
  <conditionalFormatting sqref="O665 O671:O673 O675 O678 O680 O682:O683 O686:O687 O689 O691">
    <cfRule type="containsText" dxfId="2" priority="1613" operator="containsText" text="Yes">
      <formula>NOT(ISERROR(SEARCH(("Yes"),(O665))))</formula>
    </cfRule>
  </conditionalFormatting>
  <conditionalFormatting sqref="O665 O671:O673 O675 O678 O680 O682:O683 O686:O687 O689 O691">
    <cfRule type="containsText" dxfId="2" priority="1614" operator="containsText" text="Yes">
      <formula>NOT(ISERROR(SEARCH(("Yes"),(O665))))</formula>
    </cfRule>
  </conditionalFormatting>
  <conditionalFormatting sqref="O665 O671:O673 O675 O678 O680 O682:O683 O686:O687 O689 O691">
    <cfRule type="containsText" dxfId="9" priority="1615" operator="containsText" text="No">
      <formula>NOT(ISERROR(SEARCH(("No"),(O665))))</formula>
    </cfRule>
  </conditionalFormatting>
  <conditionalFormatting sqref="O665 O671:O673 O675 O678 O680 O682:O683 O686:O687 O689 O691">
    <cfRule type="containsText" dxfId="2" priority="1616" operator="containsText" text="Yes">
      <formula>NOT(ISERROR(SEARCH(("Yes"),(O665))))</formula>
    </cfRule>
  </conditionalFormatting>
  <conditionalFormatting sqref="O665 O671:O673 O675 O678 O680 O682:O683 O686:O687 O689 O691">
    <cfRule type="containsText" dxfId="9" priority="1617" operator="containsText" text="No">
      <formula>NOT(ISERROR(SEARCH(("No"),(O665))))</formula>
    </cfRule>
  </conditionalFormatting>
  <conditionalFormatting sqref="O665 O671:O673 O675 O678 O680 O682:O683 O686:O687 O689 O691">
    <cfRule type="containsText" dxfId="2" priority="1618" operator="containsText" text="Yes">
      <formula>NOT(ISERROR(SEARCH(("Yes"),(O665))))</formula>
    </cfRule>
  </conditionalFormatting>
  <conditionalFormatting sqref="O665 O671:O673 O675 O678 O680 O682:O683 O686:O687 O689 O691">
    <cfRule type="containsText" dxfId="9" priority="1619" operator="containsText" text="No">
      <formula>NOT(ISERROR(SEARCH(("No"),(O665))))</formula>
    </cfRule>
  </conditionalFormatting>
  <conditionalFormatting sqref="O665 O671:O673 O675 O678 O680 O682:O683 O686:O687 O689 O691">
    <cfRule type="containsText" dxfId="2" priority="1620" operator="containsText" text="Yes">
      <formula>NOT(ISERROR(SEARCH(("Yes"),(O665))))</formula>
    </cfRule>
  </conditionalFormatting>
  <conditionalFormatting sqref="O666:O669 O674 O676:O677 O679 O681 O684:O685 O688 O690 O692">
    <cfRule type="containsText" dxfId="9" priority="1621" operator="containsText" text="No">
      <formula>NOT(ISERROR(SEARCH(("No"),(O666))))</formula>
    </cfRule>
  </conditionalFormatting>
  <conditionalFormatting sqref="O666:O669 O674 O676:O677 O679 O681 O684:O685 O688 O690 O692">
    <cfRule type="containsText" dxfId="9" priority="1622" operator="containsText" text="No">
      <formula>NOT(ISERROR(SEARCH(("No"),(O666))))</formula>
    </cfRule>
  </conditionalFormatting>
  <conditionalFormatting sqref="O666:O669 O674 O676:O677 O679 O681 O684:O685 O688 O690 O692">
    <cfRule type="containsText" dxfId="2" priority="1623" operator="containsText" text="Yes">
      <formula>NOT(ISERROR(SEARCH(("Yes"),(O666))))</formula>
    </cfRule>
  </conditionalFormatting>
  <conditionalFormatting sqref="O666:O669 O674 O676:O677 O679 O681 O684:O685 O688 O690 O692">
    <cfRule type="containsText" dxfId="2" priority="1624" operator="containsText" text="Yes">
      <formula>NOT(ISERROR(SEARCH(("Yes"),(O666))))</formula>
    </cfRule>
  </conditionalFormatting>
  <conditionalFormatting sqref="O666:O669 O674 O676:O677 O679 O681 O684:O685 O688 O690 O692">
    <cfRule type="containsText" dxfId="9" priority="1625" operator="containsText" text="No">
      <formula>NOT(ISERROR(SEARCH(("No"),(O666))))</formula>
    </cfRule>
  </conditionalFormatting>
  <conditionalFormatting sqref="O666:O669 O674 O676:O677 O679 O681 O684:O685 O688 O690 O692">
    <cfRule type="containsText" dxfId="2" priority="1626" operator="containsText" text="Yes">
      <formula>NOT(ISERROR(SEARCH(("Yes"),(O666))))</formula>
    </cfRule>
  </conditionalFormatting>
  <conditionalFormatting sqref="O666:O669 O674 O676:O677 O679 O681 O684:O685 O688 O690 O692">
    <cfRule type="containsText" dxfId="9" priority="1627" operator="containsText" text="No">
      <formula>NOT(ISERROR(SEARCH(("No"),(O666))))</formula>
    </cfRule>
  </conditionalFormatting>
  <conditionalFormatting sqref="O666:O669 O674 O676:O677 O679 O681 O684:O685 O688 O690 O692">
    <cfRule type="containsText" dxfId="2" priority="1628" operator="containsText" text="Yes">
      <formula>NOT(ISERROR(SEARCH(("Yes"),(O666))))</formula>
    </cfRule>
  </conditionalFormatting>
  <conditionalFormatting sqref="O666:O669 O674 O676:O677 O679 O681 O684:O685 O688 O690 O692">
    <cfRule type="containsText" dxfId="9" priority="1629" operator="containsText" text="No">
      <formula>NOT(ISERROR(SEARCH(("No"),(O666))))</formula>
    </cfRule>
  </conditionalFormatting>
  <conditionalFormatting sqref="O666:O669 O674 O676:O677 O679 O681 O684:O685 O688 O690 O692">
    <cfRule type="containsText" dxfId="2" priority="1630" operator="containsText" text="Yes">
      <formula>NOT(ISERROR(SEARCH(("Yes"),(O666))))</formula>
    </cfRule>
  </conditionalFormatting>
  <conditionalFormatting sqref="O666:O669 O674 O676:O677 O679 O681 O684:O685 O688 O690 O692">
    <cfRule type="containsText" dxfId="9" priority="1631" operator="containsText" text="No">
      <formula>NOT(ISERROR(SEARCH(("No"),(O666))))</formula>
    </cfRule>
  </conditionalFormatting>
  <conditionalFormatting sqref="O666:O669 O674 O676:O677 O679 O681 O684:O685 O688 O690 O692">
    <cfRule type="containsText" dxfId="2" priority="1632" operator="containsText" text="Yes">
      <formula>NOT(ISERROR(SEARCH(("Yes"),(O666))))</formula>
    </cfRule>
  </conditionalFormatting>
  <conditionalFormatting sqref="O702">
    <cfRule type="containsText" dxfId="9" priority="1633" operator="containsText" text="No">
      <formula>NOT(ISERROR(SEARCH(("No"),(O702))))</formula>
    </cfRule>
  </conditionalFormatting>
  <conditionalFormatting sqref="O702">
    <cfRule type="containsText" dxfId="9" priority="1634" operator="containsText" text="No">
      <formula>NOT(ISERROR(SEARCH(("No"),(O702))))</formula>
    </cfRule>
  </conditionalFormatting>
  <conditionalFormatting sqref="O702">
    <cfRule type="containsText" dxfId="2" priority="1635" operator="containsText" text="Yes">
      <formula>NOT(ISERROR(SEARCH(("Yes"),(O702))))</formula>
    </cfRule>
  </conditionalFormatting>
  <conditionalFormatting sqref="O702">
    <cfRule type="containsText" dxfId="2" priority="1636" operator="containsText" text="Yes">
      <formula>NOT(ISERROR(SEARCH(("Yes"),(O702))))</formula>
    </cfRule>
  </conditionalFormatting>
  <conditionalFormatting sqref="O702">
    <cfRule type="containsText" dxfId="9" priority="1637" operator="containsText" text="No">
      <formula>NOT(ISERROR(SEARCH(("No"),(O702))))</formula>
    </cfRule>
  </conditionalFormatting>
  <conditionalFormatting sqref="O702">
    <cfRule type="containsText" dxfId="2" priority="1638" operator="containsText" text="Yes">
      <formula>NOT(ISERROR(SEARCH(("Yes"),(O702))))</formula>
    </cfRule>
  </conditionalFormatting>
  <conditionalFormatting sqref="O702">
    <cfRule type="containsText" dxfId="9" priority="1639" operator="containsText" text="No">
      <formula>NOT(ISERROR(SEARCH(("No"),(O702))))</formula>
    </cfRule>
  </conditionalFormatting>
  <conditionalFormatting sqref="O702">
    <cfRule type="containsText" dxfId="2" priority="1640" operator="containsText" text="Yes">
      <formula>NOT(ISERROR(SEARCH(("Yes"),(O702))))</formula>
    </cfRule>
  </conditionalFormatting>
  <conditionalFormatting sqref="O702">
    <cfRule type="containsText" dxfId="9" priority="1641" operator="containsText" text="No">
      <formula>NOT(ISERROR(SEARCH(("No"),(O702))))</formula>
    </cfRule>
  </conditionalFormatting>
  <conditionalFormatting sqref="O702">
    <cfRule type="containsText" dxfId="2" priority="1642" operator="containsText" text="Yes">
      <formula>NOT(ISERROR(SEARCH(("Yes"),(O702))))</formula>
    </cfRule>
  </conditionalFormatting>
  <conditionalFormatting sqref="O714">
    <cfRule type="containsText" dxfId="9" priority="1643" operator="containsText" text="No">
      <formula>NOT(ISERROR(SEARCH(("No"),(O714))))</formula>
    </cfRule>
  </conditionalFormatting>
  <conditionalFormatting sqref="O714">
    <cfRule type="containsText" dxfId="9" priority="1644" operator="containsText" text="No">
      <formula>NOT(ISERROR(SEARCH(("No"),(O714))))</formula>
    </cfRule>
  </conditionalFormatting>
  <conditionalFormatting sqref="O714">
    <cfRule type="containsText" dxfId="2" priority="1645" operator="containsText" text="Yes">
      <formula>NOT(ISERROR(SEARCH(("Yes"),(O714))))</formula>
    </cfRule>
  </conditionalFormatting>
  <conditionalFormatting sqref="O714">
    <cfRule type="containsText" dxfId="2" priority="1646" operator="containsText" text="Yes">
      <formula>NOT(ISERROR(SEARCH(("Yes"),(O714))))</formula>
    </cfRule>
  </conditionalFormatting>
  <conditionalFormatting sqref="O714">
    <cfRule type="containsText" dxfId="9" priority="1647" operator="containsText" text="No">
      <formula>NOT(ISERROR(SEARCH(("No"),(O714))))</formula>
    </cfRule>
  </conditionalFormatting>
  <conditionalFormatting sqref="O714">
    <cfRule type="containsText" dxfId="2" priority="1648" operator="containsText" text="Yes">
      <formula>NOT(ISERROR(SEARCH(("Yes"),(O714))))</formula>
    </cfRule>
  </conditionalFormatting>
  <conditionalFormatting sqref="O714">
    <cfRule type="containsText" dxfId="9" priority="1649" operator="containsText" text="No">
      <formula>NOT(ISERROR(SEARCH(("No"),(O714))))</formula>
    </cfRule>
  </conditionalFormatting>
  <conditionalFormatting sqref="O714">
    <cfRule type="containsText" dxfId="2" priority="1650" operator="containsText" text="Yes">
      <formula>NOT(ISERROR(SEARCH(("Yes"),(O714))))</formula>
    </cfRule>
  </conditionalFormatting>
  <conditionalFormatting sqref="O714">
    <cfRule type="containsText" dxfId="9" priority="1651" operator="containsText" text="No">
      <formula>NOT(ISERROR(SEARCH(("No"),(O714))))</formula>
    </cfRule>
  </conditionalFormatting>
  <conditionalFormatting sqref="O714">
    <cfRule type="containsText" dxfId="2" priority="1652" operator="containsText" text="Yes">
      <formula>NOT(ISERROR(SEARCH(("Yes"),(O714))))</formula>
    </cfRule>
  </conditionalFormatting>
  <conditionalFormatting sqref="O731">
    <cfRule type="containsText" dxfId="9" priority="1653" operator="containsText" text="No">
      <formula>NOT(ISERROR(SEARCH(("No"),(O731))))</formula>
    </cfRule>
  </conditionalFormatting>
  <conditionalFormatting sqref="O731">
    <cfRule type="containsText" dxfId="9" priority="1654" operator="containsText" text="No">
      <formula>NOT(ISERROR(SEARCH(("No"),(O731))))</formula>
    </cfRule>
  </conditionalFormatting>
  <conditionalFormatting sqref="O731">
    <cfRule type="containsText" dxfId="2" priority="1655" operator="containsText" text="Yes">
      <formula>NOT(ISERROR(SEARCH(("Yes"),(O731))))</formula>
    </cfRule>
  </conditionalFormatting>
  <conditionalFormatting sqref="O731">
    <cfRule type="containsText" dxfId="2" priority="1656" operator="containsText" text="Yes">
      <formula>NOT(ISERROR(SEARCH(("Yes"),(O731))))</formula>
    </cfRule>
  </conditionalFormatting>
  <conditionalFormatting sqref="O731">
    <cfRule type="containsText" dxfId="9" priority="1657" operator="containsText" text="No">
      <formula>NOT(ISERROR(SEARCH(("No"),(O731))))</formula>
    </cfRule>
  </conditionalFormatting>
  <conditionalFormatting sqref="O731">
    <cfRule type="containsText" dxfId="2" priority="1658" operator="containsText" text="Yes">
      <formula>NOT(ISERROR(SEARCH(("Yes"),(O731))))</formula>
    </cfRule>
  </conditionalFormatting>
  <conditionalFormatting sqref="O731">
    <cfRule type="containsText" dxfId="9" priority="1659" operator="containsText" text="No">
      <formula>NOT(ISERROR(SEARCH(("No"),(O731))))</formula>
    </cfRule>
  </conditionalFormatting>
  <conditionalFormatting sqref="O731">
    <cfRule type="containsText" dxfId="2" priority="1660" operator="containsText" text="Yes">
      <formula>NOT(ISERROR(SEARCH(("Yes"),(O731))))</formula>
    </cfRule>
  </conditionalFormatting>
  <conditionalFormatting sqref="O731">
    <cfRule type="containsText" dxfId="9" priority="1661" operator="containsText" text="No">
      <formula>NOT(ISERROR(SEARCH(("No"),(O731))))</formula>
    </cfRule>
  </conditionalFormatting>
  <conditionalFormatting sqref="O731">
    <cfRule type="containsText" dxfId="2" priority="1662" operator="containsText" text="Yes">
      <formula>NOT(ISERROR(SEARCH(("Yes"),(O731))))</formula>
    </cfRule>
  </conditionalFormatting>
  <conditionalFormatting sqref="O731">
    <cfRule type="containsText" dxfId="9" priority="1663" operator="containsText" text="No">
      <formula>NOT(ISERROR(SEARCH(("No"),(O731))))</formula>
    </cfRule>
  </conditionalFormatting>
  <conditionalFormatting sqref="O731">
    <cfRule type="containsText" dxfId="9" priority="1664" operator="containsText" text="No">
      <formula>NOT(ISERROR(SEARCH(("No"),(O731))))</formula>
    </cfRule>
  </conditionalFormatting>
  <conditionalFormatting sqref="O731">
    <cfRule type="containsText" dxfId="2" priority="1665" operator="containsText" text="Yes">
      <formula>NOT(ISERROR(SEARCH(("Yes"),(O731))))</formula>
    </cfRule>
  </conditionalFormatting>
  <conditionalFormatting sqref="O731">
    <cfRule type="containsText" dxfId="2" priority="1666" operator="containsText" text="Yes">
      <formula>NOT(ISERROR(SEARCH(("Yes"),(O731))))</formula>
    </cfRule>
  </conditionalFormatting>
  <conditionalFormatting sqref="O731">
    <cfRule type="containsText" dxfId="9" priority="1667" operator="containsText" text="No">
      <formula>NOT(ISERROR(SEARCH(("No"),(O731))))</formula>
    </cfRule>
  </conditionalFormatting>
  <conditionalFormatting sqref="O731">
    <cfRule type="containsText" dxfId="2" priority="1668" operator="containsText" text="Yes">
      <formula>NOT(ISERROR(SEARCH(("Yes"),(O731))))</formula>
    </cfRule>
  </conditionalFormatting>
  <conditionalFormatting sqref="O731">
    <cfRule type="containsText" dxfId="9" priority="1669" operator="containsText" text="No">
      <formula>NOT(ISERROR(SEARCH(("No"),(O731))))</formula>
    </cfRule>
  </conditionalFormatting>
  <conditionalFormatting sqref="O731">
    <cfRule type="containsText" dxfId="2" priority="1670" operator="containsText" text="Yes">
      <formula>NOT(ISERROR(SEARCH(("Yes"),(O731))))</formula>
    </cfRule>
  </conditionalFormatting>
  <conditionalFormatting sqref="O731">
    <cfRule type="containsText" dxfId="9" priority="1671" operator="containsText" text="No">
      <formula>NOT(ISERROR(SEARCH(("No"),(O731))))</formula>
    </cfRule>
  </conditionalFormatting>
  <conditionalFormatting sqref="O731">
    <cfRule type="containsText" dxfId="2" priority="1672" operator="containsText" text="Yes">
      <formula>NOT(ISERROR(SEARCH(("Yes"),(O731))))</formula>
    </cfRule>
  </conditionalFormatting>
  <conditionalFormatting sqref="O752:O753">
    <cfRule type="containsText" dxfId="9" priority="1673" operator="containsText" text="No">
      <formula>NOT(ISERROR(SEARCH(("No"),(O752))))</formula>
    </cfRule>
  </conditionalFormatting>
  <conditionalFormatting sqref="O752:O753">
    <cfRule type="containsText" dxfId="9" priority="1674" operator="containsText" text="No">
      <formula>NOT(ISERROR(SEARCH(("No"),(O752))))</formula>
    </cfRule>
  </conditionalFormatting>
  <conditionalFormatting sqref="O752:O753">
    <cfRule type="containsText" dxfId="2" priority="1675" operator="containsText" text="Yes">
      <formula>NOT(ISERROR(SEARCH(("Yes"),(O752))))</formula>
    </cfRule>
  </conditionalFormatting>
  <conditionalFormatting sqref="O752:O753">
    <cfRule type="containsText" dxfId="2" priority="1676" operator="containsText" text="Yes">
      <formula>NOT(ISERROR(SEARCH(("Yes"),(O752))))</formula>
    </cfRule>
  </conditionalFormatting>
  <conditionalFormatting sqref="O752:O753">
    <cfRule type="containsText" dxfId="9" priority="1677" operator="containsText" text="No">
      <formula>NOT(ISERROR(SEARCH(("No"),(O752))))</formula>
    </cfRule>
  </conditionalFormatting>
  <conditionalFormatting sqref="O752:O753">
    <cfRule type="containsText" dxfId="2" priority="1678" operator="containsText" text="Yes">
      <formula>NOT(ISERROR(SEARCH(("Yes"),(O752))))</formula>
    </cfRule>
  </conditionalFormatting>
  <conditionalFormatting sqref="O752:O753">
    <cfRule type="containsText" dxfId="9" priority="1679" operator="containsText" text="No">
      <formula>NOT(ISERROR(SEARCH(("No"),(O752))))</formula>
    </cfRule>
  </conditionalFormatting>
  <conditionalFormatting sqref="O752:O753">
    <cfRule type="containsText" dxfId="2" priority="1680" operator="containsText" text="Yes">
      <formula>NOT(ISERROR(SEARCH(("Yes"),(O752))))</formula>
    </cfRule>
  </conditionalFormatting>
  <conditionalFormatting sqref="O752:O753">
    <cfRule type="containsText" dxfId="9" priority="1681" operator="containsText" text="No">
      <formula>NOT(ISERROR(SEARCH(("No"),(O752))))</formula>
    </cfRule>
  </conditionalFormatting>
  <conditionalFormatting sqref="O752:O753">
    <cfRule type="containsText" dxfId="2" priority="1682" operator="containsText" text="Yes">
      <formula>NOT(ISERROR(SEARCH(("Yes"),(O752))))</formula>
    </cfRule>
  </conditionalFormatting>
  <conditionalFormatting sqref="O760">
    <cfRule type="containsText" dxfId="9" priority="1683" operator="containsText" text="No">
      <formula>NOT(ISERROR(SEARCH(("No"),(O760))))</formula>
    </cfRule>
  </conditionalFormatting>
  <conditionalFormatting sqref="O760">
    <cfRule type="containsText" dxfId="9" priority="1684" operator="containsText" text="No">
      <formula>NOT(ISERROR(SEARCH(("No"),(O760))))</formula>
    </cfRule>
  </conditionalFormatting>
  <conditionalFormatting sqref="O760">
    <cfRule type="containsText" dxfId="2" priority="1685" operator="containsText" text="Yes">
      <formula>NOT(ISERROR(SEARCH(("Yes"),(O760))))</formula>
    </cfRule>
  </conditionalFormatting>
  <conditionalFormatting sqref="O760">
    <cfRule type="containsText" dxfId="2" priority="1686" operator="containsText" text="Yes">
      <formula>NOT(ISERROR(SEARCH(("Yes"),(O760))))</formula>
    </cfRule>
  </conditionalFormatting>
  <conditionalFormatting sqref="O760">
    <cfRule type="containsText" dxfId="9" priority="1687" operator="containsText" text="No">
      <formula>NOT(ISERROR(SEARCH(("No"),(O760))))</formula>
    </cfRule>
  </conditionalFormatting>
  <conditionalFormatting sqref="O760">
    <cfRule type="containsText" dxfId="2" priority="1688" operator="containsText" text="Yes">
      <formula>NOT(ISERROR(SEARCH(("Yes"),(O760))))</formula>
    </cfRule>
  </conditionalFormatting>
  <conditionalFormatting sqref="O760">
    <cfRule type="containsText" dxfId="9" priority="1689" operator="containsText" text="No">
      <formula>NOT(ISERROR(SEARCH(("No"),(O760))))</formula>
    </cfRule>
  </conditionalFormatting>
  <conditionalFormatting sqref="O760">
    <cfRule type="containsText" dxfId="2" priority="1690" operator="containsText" text="Yes">
      <formula>NOT(ISERROR(SEARCH(("Yes"),(O760))))</formula>
    </cfRule>
  </conditionalFormatting>
  <conditionalFormatting sqref="O760">
    <cfRule type="containsText" dxfId="9" priority="1691" operator="containsText" text="No">
      <formula>NOT(ISERROR(SEARCH(("No"),(O760))))</formula>
    </cfRule>
  </conditionalFormatting>
  <conditionalFormatting sqref="O760">
    <cfRule type="containsText" dxfId="2" priority="1692" operator="containsText" text="Yes">
      <formula>NOT(ISERROR(SEARCH(("Yes"),(O760))))</formula>
    </cfRule>
  </conditionalFormatting>
  <conditionalFormatting sqref="O761">
    <cfRule type="containsText" dxfId="9" priority="1693" operator="containsText" text="No">
      <formula>NOT(ISERROR(SEARCH(("No"),(O761))))</formula>
    </cfRule>
  </conditionalFormatting>
  <conditionalFormatting sqref="O761">
    <cfRule type="containsText" dxfId="9" priority="1694" operator="containsText" text="No">
      <formula>NOT(ISERROR(SEARCH(("No"),(O761))))</formula>
    </cfRule>
  </conditionalFormatting>
  <conditionalFormatting sqref="O761">
    <cfRule type="containsText" dxfId="2" priority="1695" operator="containsText" text="Yes">
      <formula>NOT(ISERROR(SEARCH(("Yes"),(O761))))</formula>
    </cfRule>
  </conditionalFormatting>
  <conditionalFormatting sqref="O761">
    <cfRule type="containsText" dxfId="2" priority="1696" operator="containsText" text="Yes">
      <formula>NOT(ISERROR(SEARCH(("Yes"),(O761))))</formula>
    </cfRule>
  </conditionalFormatting>
  <conditionalFormatting sqref="O761">
    <cfRule type="containsText" dxfId="9" priority="1697" operator="containsText" text="No">
      <formula>NOT(ISERROR(SEARCH(("No"),(O761))))</formula>
    </cfRule>
  </conditionalFormatting>
  <conditionalFormatting sqref="O761">
    <cfRule type="containsText" dxfId="2" priority="1698" operator="containsText" text="Yes">
      <formula>NOT(ISERROR(SEARCH(("Yes"),(O761))))</formula>
    </cfRule>
  </conditionalFormatting>
  <conditionalFormatting sqref="O761">
    <cfRule type="containsText" dxfId="9" priority="1699" operator="containsText" text="No">
      <formula>NOT(ISERROR(SEARCH(("No"),(O761))))</formula>
    </cfRule>
  </conditionalFormatting>
  <conditionalFormatting sqref="O761">
    <cfRule type="containsText" dxfId="2" priority="1700" operator="containsText" text="Yes">
      <formula>NOT(ISERROR(SEARCH(("Yes"),(O761))))</formula>
    </cfRule>
  </conditionalFormatting>
  <conditionalFormatting sqref="O761">
    <cfRule type="containsText" dxfId="9" priority="1701" operator="containsText" text="No">
      <formula>NOT(ISERROR(SEARCH(("No"),(O761))))</formula>
    </cfRule>
  </conditionalFormatting>
  <conditionalFormatting sqref="O761">
    <cfRule type="containsText" dxfId="2" priority="1702" operator="containsText" text="Yes">
      <formula>NOT(ISERROR(SEARCH(("Yes"),(O761))))</formula>
    </cfRule>
  </conditionalFormatting>
  <conditionalFormatting sqref="O762">
    <cfRule type="containsText" dxfId="9" priority="1703" operator="containsText" text="No">
      <formula>NOT(ISERROR(SEARCH(("No"),(O762))))</formula>
    </cfRule>
  </conditionalFormatting>
  <conditionalFormatting sqref="O762">
    <cfRule type="containsText" dxfId="9" priority="1704" operator="containsText" text="No">
      <formula>NOT(ISERROR(SEARCH(("No"),(O762))))</formula>
    </cfRule>
  </conditionalFormatting>
  <conditionalFormatting sqref="O762">
    <cfRule type="containsText" dxfId="2" priority="1705" operator="containsText" text="Yes">
      <formula>NOT(ISERROR(SEARCH(("Yes"),(O762))))</formula>
    </cfRule>
  </conditionalFormatting>
  <conditionalFormatting sqref="O762">
    <cfRule type="containsText" dxfId="2" priority="1706" operator="containsText" text="Yes">
      <formula>NOT(ISERROR(SEARCH(("Yes"),(O762))))</formula>
    </cfRule>
  </conditionalFormatting>
  <conditionalFormatting sqref="O762">
    <cfRule type="containsText" dxfId="9" priority="1707" operator="containsText" text="No">
      <formula>NOT(ISERROR(SEARCH(("No"),(O762))))</formula>
    </cfRule>
  </conditionalFormatting>
  <conditionalFormatting sqref="O762">
    <cfRule type="containsText" dxfId="2" priority="1708" operator="containsText" text="Yes">
      <formula>NOT(ISERROR(SEARCH(("Yes"),(O762))))</formula>
    </cfRule>
  </conditionalFormatting>
  <conditionalFormatting sqref="O762">
    <cfRule type="containsText" dxfId="9" priority="1709" operator="containsText" text="No">
      <formula>NOT(ISERROR(SEARCH(("No"),(O762))))</formula>
    </cfRule>
  </conditionalFormatting>
  <conditionalFormatting sqref="O762">
    <cfRule type="containsText" dxfId="2" priority="1710" operator="containsText" text="Yes">
      <formula>NOT(ISERROR(SEARCH(("Yes"),(O762))))</formula>
    </cfRule>
  </conditionalFormatting>
  <conditionalFormatting sqref="O762">
    <cfRule type="containsText" dxfId="9" priority="1711" operator="containsText" text="No">
      <formula>NOT(ISERROR(SEARCH(("No"),(O762))))</formula>
    </cfRule>
  </conditionalFormatting>
  <conditionalFormatting sqref="O762">
    <cfRule type="containsText" dxfId="2" priority="1712" operator="containsText" text="Yes">
      <formula>NOT(ISERROR(SEARCH(("Yes"),(O762))))</formula>
    </cfRule>
  </conditionalFormatting>
  <conditionalFormatting sqref="O782">
    <cfRule type="containsText" dxfId="9" priority="1713" operator="containsText" text="No">
      <formula>NOT(ISERROR(SEARCH(("No"),(O782))))</formula>
    </cfRule>
  </conditionalFormatting>
  <conditionalFormatting sqref="O782">
    <cfRule type="containsText" dxfId="9" priority="1714" operator="containsText" text="No">
      <formula>NOT(ISERROR(SEARCH(("No"),(O782))))</formula>
    </cfRule>
  </conditionalFormatting>
  <conditionalFormatting sqref="O782">
    <cfRule type="containsText" dxfId="2" priority="1715" operator="containsText" text="Yes">
      <formula>NOT(ISERROR(SEARCH(("Yes"),(O782))))</formula>
    </cfRule>
  </conditionalFormatting>
  <conditionalFormatting sqref="O782">
    <cfRule type="containsText" dxfId="2" priority="1716" operator="containsText" text="Yes">
      <formula>NOT(ISERROR(SEARCH(("Yes"),(O782))))</formula>
    </cfRule>
  </conditionalFormatting>
  <conditionalFormatting sqref="O782">
    <cfRule type="containsText" dxfId="9" priority="1717" operator="containsText" text="No">
      <formula>NOT(ISERROR(SEARCH(("No"),(O782))))</formula>
    </cfRule>
  </conditionalFormatting>
  <conditionalFormatting sqref="O782">
    <cfRule type="containsText" dxfId="2" priority="1718" operator="containsText" text="Yes">
      <formula>NOT(ISERROR(SEARCH(("Yes"),(O782))))</formula>
    </cfRule>
  </conditionalFormatting>
  <conditionalFormatting sqref="O782">
    <cfRule type="containsText" dxfId="9" priority="1719" operator="containsText" text="No">
      <formula>NOT(ISERROR(SEARCH(("No"),(O782))))</formula>
    </cfRule>
  </conditionalFormatting>
  <conditionalFormatting sqref="O782">
    <cfRule type="containsText" dxfId="2" priority="1720" operator="containsText" text="Yes">
      <formula>NOT(ISERROR(SEARCH(("Yes"),(O782))))</formula>
    </cfRule>
  </conditionalFormatting>
  <conditionalFormatting sqref="O782">
    <cfRule type="containsText" dxfId="9" priority="1721" operator="containsText" text="No">
      <formula>NOT(ISERROR(SEARCH(("No"),(O782))))</formula>
    </cfRule>
  </conditionalFormatting>
  <conditionalFormatting sqref="O782">
    <cfRule type="containsText" dxfId="2" priority="1722" operator="containsText" text="Yes">
      <formula>NOT(ISERROR(SEARCH(("Yes"),(O782))))</formula>
    </cfRule>
  </conditionalFormatting>
  <conditionalFormatting sqref="O788">
    <cfRule type="containsText" dxfId="9" priority="1723" operator="containsText" text="No">
      <formula>NOT(ISERROR(SEARCH(("No"),(O788))))</formula>
    </cfRule>
  </conditionalFormatting>
  <conditionalFormatting sqref="O788">
    <cfRule type="containsText" dxfId="2" priority="1724" operator="containsText" text="Yes">
      <formula>NOT(ISERROR(SEARCH(("Yes"),(O788))))</formula>
    </cfRule>
  </conditionalFormatting>
  <conditionalFormatting sqref="O788">
    <cfRule type="containsText" dxfId="2" priority="1725" operator="containsText" text="Yes">
      <formula>NOT(ISERROR(SEARCH(("Yes"),(O788))))</formula>
    </cfRule>
  </conditionalFormatting>
  <conditionalFormatting sqref="O788">
    <cfRule type="containsText" dxfId="9" priority="1726" operator="containsText" text="No">
      <formula>NOT(ISERROR(SEARCH(("No"),(O788))))</formula>
    </cfRule>
  </conditionalFormatting>
  <conditionalFormatting sqref="O788">
    <cfRule type="containsText" dxfId="2" priority="1727" operator="containsText" text="Yes">
      <formula>NOT(ISERROR(SEARCH(("Yes"),(O788))))</formula>
    </cfRule>
  </conditionalFormatting>
  <conditionalFormatting sqref="O788">
    <cfRule type="containsText" dxfId="9" priority="1728" operator="containsText" text="No">
      <formula>NOT(ISERROR(SEARCH(("No"),(O788))))</formula>
    </cfRule>
  </conditionalFormatting>
  <conditionalFormatting sqref="O788">
    <cfRule type="containsText" dxfId="2" priority="1729" operator="containsText" text="Yes">
      <formula>NOT(ISERROR(SEARCH(("Yes"),(O788))))</formula>
    </cfRule>
  </conditionalFormatting>
  <conditionalFormatting sqref="O788">
    <cfRule type="containsText" dxfId="9" priority="1730" operator="containsText" text="No">
      <formula>NOT(ISERROR(SEARCH(("No"),(O788))))</formula>
    </cfRule>
  </conditionalFormatting>
  <conditionalFormatting sqref="O788">
    <cfRule type="containsText" dxfId="2" priority="1731" operator="containsText" text="Yes">
      <formula>NOT(ISERROR(SEARCH(("Yes"),(O788))))</formula>
    </cfRule>
  </conditionalFormatting>
  <conditionalFormatting sqref="O801">
    <cfRule type="containsText" dxfId="9" priority="1732" operator="containsText" text="No">
      <formula>NOT(ISERROR(SEARCH(("No"),(O801))))</formula>
    </cfRule>
  </conditionalFormatting>
  <conditionalFormatting sqref="O801">
    <cfRule type="containsText" dxfId="2" priority="1733" operator="containsText" text="Yes">
      <formula>NOT(ISERROR(SEARCH(("Yes"),(O801))))</formula>
    </cfRule>
  </conditionalFormatting>
  <conditionalFormatting sqref="O802:O803">
    <cfRule type="containsText" dxfId="9" priority="1734" operator="containsText" text="No">
      <formula>NOT(ISERROR(SEARCH(("No"),(O802))))</formula>
    </cfRule>
  </conditionalFormatting>
  <conditionalFormatting sqref="O802:O803">
    <cfRule type="containsText" dxfId="2" priority="1735" operator="containsText" text="Yes">
      <formula>NOT(ISERROR(SEARCH(("Yes"),(O802))))</formula>
    </cfRule>
  </conditionalFormatting>
  <conditionalFormatting sqref="O802:O803">
    <cfRule type="containsText" dxfId="9" priority="1736" operator="containsText" text="No">
      <formula>NOT(ISERROR(SEARCH(("No"),(O802))))</formula>
    </cfRule>
  </conditionalFormatting>
  <conditionalFormatting sqref="O802:O803">
    <cfRule type="containsText" dxfId="9" priority="1737" operator="containsText" text="No">
      <formula>NOT(ISERROR(SEARCH(("No"),(O802))))</formula>
    </cfRule>
  </conditionalFormatting>
  <conditionalFormatting sqref="O802:O803">
    <cfRule type="containsText" dxfId="2" priority="1738" operator="containsText" text="Yes">
      <formula>NOT(ISERROR(SEARCH(("Yes"),(O802))))</formula>
    </cfRule>
  </conditionalFormatting>
  <conditionalFormatting sqref="O802:O803">
    <cfRule type="containsText" dxfId="2" priority="1739" operator="containsText" text="Yes">
      <formula>NOT(ISERROR(SEARCH(("Yes"),(O802))))</formula>
    </cfRule>
  </conditionalFormatting>
  <conditionalFormatting sqref="O802:O803">
    <cfRule type="containsText" dxfId="9" priority="1740" operator="containsText" text="No">
      <formula>NOT(ISERROR(SEARCH(("No"),(O802))))</formula>
    </cfRule>
  </conditionalFormatting>
  <conditionalFormatting sqref="O802:O803">
    <cfRule type="containsText" dxfId="2" priority="1741" operator="containsText" text="Yes">
      <formula>NOT(ISERROR(SEARCH(("Yes"),(O802))))</formula>
    </cfRule>
  </conditionalFormatting>
  <conditionalFormatting sqref="O802:O803">
    <cfRule type="containsText" dxfId="9" priority="1742" operator="containsText" text="No">
      <formula>NOT(ISERROR(SEARCH(("No"),(O802))))</formula>
    </cfRule>
  </conditionalFormatting>
  <conditionalFormatting sqref="O802:O803">
    <cfRule type="containsText" dxfId="2" priority="1743" operator="containsText" text="Yes">
      <formula>NOT(ISERROR(SEARCH(("Yes"),(O802))))</formula>
    </cfRule>
  </conditionalFormatting>
  <conditionalFormatting sqref="O802:O803">
    <cfRule type="containsText" dxfId="9" priority="1744" operator="containsText" text="No">
      <formula>NOT(ISERROR(SEARCH(("No"),(O802))))</formula>
    </cfRule>
  </conditionalFormatting>
  <conditionalFormatting sqref="O802:O803">
    <cfRule type="containsText" dxfId="2" priority="1745" operator="containsText" text="Yes">
      <formula>NOT(ISERROR(SEARCH(("Yes"),(O802))))</formula>
    </cfRule>
  </conditionalFormatting>
  <conditionalFormatting sqref="O805">
    <cfRule type="containsText" dxfId="9" priority="1746" operator="containsText" text="No">
      <formula>NOT(ISERROR(SEARCH(("No"),(O805))))</formula>
    </cfRule>
  </conditionalFormatting>
  <conditionalFormatting sqref="O805">
    <cfRule type="containsText" dxfId="2" priority="1747" operator="containsText" text="Yes">
      <formula>NOT(ISERROR(SEARCH(("Yes"),(O805))))</formula>
    </cfRule>
  </conditionalFormatting>
  <conditionalFormatting sqref="O805">
    <cfRule type="containsText" dxfId="9" priority="1748" operator="containsText" text="No">
      <formula>NOT(ISERROR(SEARCH(("No"),(O805))))</formula>
    </cfRule>
  </conditionalFormatting>
  <conditionalFormatting sqref="O805">
    <cfRule type="containsText" dxfId="9" priority="1749" operator="containsText" text="No">
      <formula>NOT(ISERROR(SEARCH(("No"),(O805))))</formula>
    </cfRule>
  </conditionalFormatting>
  <conditionalFormatting sqref="O805">
    <cfRule type="containsText" dxfId="2" priority="1750" operator="containsText" text="Yes">
      <formula>NOT(ISERROR(SEARCH(("Yes"),(O805))))</formula>
    </cfRule>
  </conditionalFormatting>
  <conditionalFormatting sqref="O805">
    <cfRule type="containsText" dxfId="2" priority="1751" operator="containsText" text="Yes">
      <formula>NOT(ISERROR(SEARCH(("Yes"),(O805))))</formula>
    </cfRule>
  </conditionalFormatting>
  <conditionalFormatting sqref="O805">
    <cfRule type="containsText" dxfId="9" priority="1752" operator="containsText" text="No">
      <formula>NOT(ISERROR(SEARCH(("No"),(O805))))</formula>
    </cfRule>
  </conditionalFormatting>
  <conditionalFormatting sqref="O805">
    <cfRule type="containsText" dxfId="2" priority="1753" operator="containsText" text="Yes">
      <formula>NOT(ISERROR(SEARCH(("Yes"),(O805))))</formula>
    </cfRule>
  </conditionalFormatting>
  <conditionalFormatting sqref="O805">
    <cfRule type="containsText" dxfId="9" priority="1754" operator="containsText" text="No">
      <formula>NOT(ISERROR(SEARCH(("No"),(O805))))</formula>
    </cfRule>
  </conditionalFormatting>
  <conditionalFormatting sqref="O805">
    <cfRule type="containsText" dxfId="2" priority="1755" operator="containsText" text="Yes">
      <formula>NOT(ISERROR(SEARCH(("Yes"),(O805))))</formula>
    </cfRule>
  </conditionalFormatting>
  <conditionalFormatting sqref="O805">
    <cfRule type="containsText" dxfId="9" priority="1756" operator="containsText" text="No">
      <formula>NOT(ISERROR(SEARCH(("No"),(O805))))</formula>
    </cfRule>
  </conditionalFormatting>
  <conditionalFormatting sqref="O805">
    <cfRule type="containsText" dxfId="2" priority="1757" operator="containsText" text="Yes">
      <formula>NOT(ISERROR(SEARCH(("Yes"),(O805))))</formula>
    </cfRule>
  </conditionalFormatting>
  <conditionalFormatting sqref="O816">
    <cfRule type="containsText" dxfId="9" priority="1758" operator="containsText" text="No">
      <formula>NOT(ISERROR(SEARCH(("No"),(O816))))</formula>
    </cfRule>
  </conditionalFormatting>
  <conditionalFormatting sqref="O816">
    <cfRule type="containsText" dxfId="2" priority="1759" operator="containsText" text="Yes">
      <formula>NOT(ISERROR(SEARCH(("Yes"),(O816))))</formula>
    </cfRule>
  </conditionalFormatting>
  <conditionalFormatting sqref="O831">
    <cfRule type="containsText" dxfId="9" priority="1760" operator="containsText" text="No">
      <formula>NOT(ISERROR(SEARCH(("No"),(O831))))</formula>
    </cfRule>
  </conditionalFormatting>
  <conditionalFormatting sqref="O831">
    <cfRule type="containsText" dxfId="2" priority="1761" operator="containsText" text="Yes">
      <formula>NOT(ISERROR(SEARCH(("Yes"),(O831))))</formula>
    </cfRule>
  </conditionalFormatting>
  <conditionalFormatting sqref="O860">
    <cfRule type="containsText" dxfId="9" priority="1762" operator="containsText" text="No">
      <formula>NOT(ISERROR(SEARCH(("No"),(O860))))</formula>
    </cfRule>
  </conditionalFormatting>
  <conditionalFormatting sqref="O860">
    <cfRule type="containsText" dxfId="2" priority="1763" operator="containsText" text="Yes">
      <formula>NOT(ISERROR(SEARCH(("Yes"),(O860))))</formula>
    </cfRule>
  </conditionalFormatting>
  <conditionalFormatting sqref="O868">
    <cfRule type="containsText" dxfId="9" priority="1764" operator="containsText" text="No">
      <formula>NOT(ISERROR(SEARCH(("No"),(O868))))</formula>
    </cfRule>
  </conditionalFormatting>
  <conditionalFormatting sqref="O868">
    <cfRule type="containsText" dxfId="2" priority="1765" operator="containsText" text="Yes">
      <formula>NOT(ISERROR(SEARCH(("Yes"),(O868))))</formula>
    </cfRule>
  </conditionalFormatting>
  <conditionalFormatting sqref="O887:O888">
    <cfRule type="containsText" dxfId="9" priority="1766" operator="containsText" text="No">
      <formula>NOT(ISERROR(SEARCH(("No"),(O887))))</formula>
    </cfRule>
  </conditionalFormatting>
  <conditionalFormatting sqref="O887:O888">
    <cfRule type="containsText" dxfId="2" priority="1767" operator="containsText" text="Yes">
      <formula>NOT(ISERROR(SEARCH(("Yes"),(O887))))</formula>
    </cfRule>
  </conditionalFormatting>
  <conditionalFormatting sqref="O901">
    <cfRule type="containsText" dxfId="2" priority="1768" operator="containsText" text="Yes">
      <formula>NOT(ISERROR(SEARCH(("Yes"),(O901))))</formula>
    </cfRule>
  </conditionalFormatting>
  <conditionalFormatting sqref="O901">
    <cfRule type="containsText" dxfId="9" priority="1769" operator="containsText" text="No">
      <formula>NOT(ISERROR(SEARCH(("No"),(O901))))</formula>
    </cfRule>
  </conditionalFormatting>
  <conditionalFormatting sqref="O901">
    <cfRule type="containsText" dxfId="2" priority="1770" operator="containsText" text="Yes">
      <formula>NOT(ISERROR(SEARCH(("Yes"),(O901))))</formula>
    </cfRule>
  </conditionalFormatting>
  <conditionalFormatting sqref="O901">
    <cfRule type="containsText" dxfId="9" priority="1771" operator="containsText" text="No">
      <formula>NOT(ISERROR(SEARCH(("No"),(O901))))</formula>
    </cfRule>
  </conditionalFormatting>
  <conditionalFormatting sqref="O901">
    <cfRule type="containsText" dxfId="2" priority="1772" operator="containsText" text="Yes">
      <formula>NOT(ISERROR(SEARCH(("Yes"),(O901))))</formula>
    </cfRule>
  </conditionalFormatting>
  <conditionalFormatting sqref="O901">
    <cfRule type="containsText" dxfId="9" priority="1773" operator="containsText" text="No">
      <formula>NOT(ISERROR(SEARCH(("No"),(O901))))</formula>
    </cfRule>
  </conditionalFormatting>
  <conditionalFormatting sqref="O901">
    <cfRule type="containsText" dxfId="2" priority="1774" operator="containsText" text="Yes">
      <formula>NOT(ISERROR(SEARCH(("Yes"),(O901))))</formula>
    </cfRule>
  </conditionalFormatting>
  <conditionalFormatting sqref="O901">
    <cfRule type="containsText" dxfId="9" priority="1775" operator="containsText" text="No">
      <formula>NOT(ISERROR(SEARCH(("No"),(O901))))</formula>
    </cfRule>
  </conditionalFormatting>
  <conditionalFormatting sqref="O901">
    <cfRule type="containsText" dxfId="2" priority="1776" operator="containsText" text="Yes">
      <formula>NOT(ISERROR(SEARCH(("Yes"),(O901))))</formula>
    </cfRule>
  </conditionalFormatting>
  <conditionalFormatting sqref="O901">
    <cfRule type="containsText" dxfId="9" priority="1777" operator="containsText" text="No">
      <formula>NOT(ISERROR(SEARCH(("No"),(O901))))</formula>
    </cfRule>
  </conditionalFormatting>
  <conditionalFormatting sqref="O901">
    <cfRule type="containsText" dxfId="2" priority="1778" operator="containsText" text="Yes">
      <formula>NOT(ISERROR(SEARCH(("Yes"),(O901))))</formula>
    </cfRule>
  </conditionalFormatting>
  <conditionalFormatting sqref="O901">
    <cfRule type="containsText" dxfId="9" priority="1779" operator="containsText" text="No">
      <formula>NOT(ISERROR(SEARCH(("No"),(O901))))</formula>
    </cfRule>
  </conditionalFormatting>
  <conditionalFormatting sqref="O901">
    <cfRule type="containsText" dxfId="2" priority="1780" operator="containsText" text="Yes">
      <formula>NOT(ISERROR(SEARCH(("Yes"),(O901))))</formula>
    </cfRule>
  </conditionalFormatting>
  <conditionalFormatting sqref="O901">
    <cfRule type="containsText" dxfId="9" priority="1781" operator="containsText" text="No">
      <formula>NOT(ISERROR(SEARCH(("No"),(O901))))</formula>
    </cfRule>
  </conditionalFormatting>
  <conditionalFormatting sqref="O901">
    <cfRule type="containsText" dxfId="2" priority="1782" operator="containsText" text="Yes">
      <formula>NOT(ISERROR(SEARCH(("Yes"),(O901))))</formula>
    </cfRule>
  </conditionalFormatting>
  <conditionalFormatting sqref="O901">
    <cfRule type="containsText" dxfId="9" priority="1783" operator="containsText" text="No">
      <formula>NOT(ISERROR(SEARCH(("No"),(O901))))</formula>
    </cfRule>
  </conditionalFormatting>
  <conditionalFormatting sqref="O901">
    <cfRule type="containsText" dxfId="2" priority="1784" operator="containsText" text="Yes">
      <formula>NOT(ISERROR(SEARCH(("Yes"),(O901))))</formula>
    </cfRule>
  </conditionalFormatting>
  <conditionalFormatting sqref="O901">
    <cfRule type="containsText" dxfId="9" priority="1785" operator="containsText" text="No">
      <formula>NOT(ISERROR(SEARCH(("No"),(O901))))</formula>
    </cfRule>
  </conditionalFormatting>
  <conditionalFormatting sqref="O901">
    <cfRule type="containsText" dxfId="2" priority="1786" operator="containsText" text="Yes">
      <formula>NOT(ISERROR(SEARCH(("Yes"),(O901))))</formula>
    </cfRule>
  </conditionalFormatting>
  <conditionalFormatting sqref="O901">
    <cfRule type="containsText" dxfId="9" priority="1787" operator="containsText" text="No">
      <formula>NOT(ISERROR(SEARCH(("No"),(O901))))</formula>
    </cfRule>
  </conditionalFormatting>
  <conditionalFormatting sqref="O901">
    <cfRule type="containsText" dxfId="2" priority="1788" operator="containsText" text="Yes">
      <formula>NOT(ISERROR(SEARCH(("Yes"),(O901))))</formula>
    </cfRule>
  </conditionalFormatting>
  <conditionalFormatting sqref="O901">
    <cfRule type="containsText" dxfId="9" priority="1789" operator="containsText" text="No">
      <formula>NOT(ISERROR(SEARCH(("No"),(O901))))</formula>
    </cfRule>
  </conditionalFormatting>
  <conditionalFormatting sqref="O901">
    <cfRule type="containsText" dxfId="2" priority="1790" operator="containsText" text="Yes">
      <formula>NOT(ISERROR(SEARCH(("Yes"),(O901))))</formula>
    </cfRule>
  </conditionalFormatting>
  <conditionalFormatting sqref="O901">
    <cfRule type="containsText" dxfId="9" priority="1791" operator="containsText" text="No">
      <formula>NOT(ISERROR(SEARCH(("No"),(O901))))</formula>
    </cfRule>
  </conditionalFormatting>
  <conditionalFormatting sqref="O901">
    <cfRule type="containsText" dxfId="2" priority="1792" operator="containsText" text="Yes">
      <formula>NOT(ISERROR(SEARCH(("Yes"),(O901))))</formula>
    </cfRule>
  </conditionalFormatting>
  <conditionalFormatting sqref="O901">
    <cfRule type="containsText" dxfId="9" priority="1793" operator="containsText" text="No">
      <formula>NOT(ISERROR(SEARCH(("No"),(O901))))</formula>
    </cfRule>
  </conditionalFormatting>
  <conditionalFormatting sqref="O901">
    <cfRule type="containsText" dxfId="2" priority="1794" operator="containsText" text="Yes">
      <formula>NOT(ISERROR(SEARCH(("Yes"),(O901))))</formula>
    </cfRule>
  </conditionalFormatting>
  <conditionalFormatting sqref="O901">
    <cfRule type="containsText" dxfId="9" priority="1795" operator="containsText" text="No">
      <formula>NOT(ISERROR(SEARCH(("No"),(O901))))</formula>
    </cfRule>
  </conditionalFormatting>
  <conditionalFormatting sqref="O901">
    <cfRule type="containsText" dxfId="2" priority="1796" operator="containsText" text="Yes">
      <formula>NOT(ISERROR(SEARCH(("Yes"),(O901))))</formula>
    </cfRule>
  </conditionalFormatting>
  <conditionalFormatting sqref="O901">
    <cfRule type="containsText" dxfId="9" priority="1797" operator="containsText" text="No">
      <formula>NOT(ISERROR(SEARCH(("No"),(O901))))</formula>
    </cfRule>
  </conditionalFormatting>
  <conditionalFormatting sqref="O901">
    <cfRule type="containsText" dxfId="2" priority="1798" operator="containsText" text="Yes">
      <formula>NOT(ISERROR(SEARCH(("Yes"),(O901))))</formula>
    </cfRule>
  </conditionalFormatting>
  <conditionalFormatting sqref="O901">
    <cfRule type="containsText" dxfId="9" priority="1799" operator="containsText" text="No">
      <formula>NOT(ISERROR(SEARCH(("No"),(O901))))</formula>
    </cfRule>
  </conditionalFormatting>
  <conditionalFormatting sqref="O901">
    <cfRule type="containsText" dxfId="2" priority="1800" operator="containsText" text="Yes">
      <formula>NOT(ISERROR(SEARCH(("Yes"),(O901))))</formula>
    </cfRule>
  </conditionalFormatting>
  <conditionalFormatting sqref="O901">
    <cfRule type="containsText" dxfId="9" priority="1801" operator="containsText" text="No">
      <formula>NOT(ISERROR(SEARCH(("No"),(O901))))</formula>
    </cfRule>
  </conditionalFormatting>
  <conditionalFormatting sqref="O901">
    <cfRule type="containsText" dxfId="2" priority="1802" operator="containsText" text="Yes">
      <formula>NOT(ISERROR(SEARCH(("Yes"),(O901))))</formula>
    </cfRule>
  </conditionalFormatting>
  <conditionalFormatting sqref="O901">
    <cfRule type="containsText" dxfId="9" priority="1803" operator="containsText" text="No">
      <formula>NOT(ISERROR(SEARCH(("No"),(O901))))</formula>
    </cfRule>
  </conditionalFormatting>
  <conditionalFormatting sqref="O901">
    <cfRule type="containsText" dxfId="2" priority="1804" operator="containsText" text="Yes">
      <formula>NOT(ISERROR(SEARCH(("Yes"),(O901))))</formula>
    </cfRule>
  </conditionalFormatting>
  <conditionalFormatting sqref="O901">
    <cfRule type="containsText" dxfId="9" priority="1805" operator="containsText" text="No">
      <formula>NOT(ISERROR(SEARCH(("No"),(O901))))</formula>
    </cfRule>
  </conditionalFormatting>
  <conditionalFormatting sqref="O901">
    <cfRule type="containsText" dxfId="2" priority="1806" operator="containsText" text="Yes">
      <formula>NOT(ISERROR(SEARCH(("Yes"),(O901))))</formula>
    </cfRule>
  </conditionalFormatting>
  <conditionalFormatting sqref="O901">
    <cfRule type="containsText" dxfId="9" priority="1807" operator="containsText" text="No">
      <formula>NOT(ISERROR(SEARCH(("No"),(O901))))</formula>
    </cfRule>
  </conditionalFormatting>
  <conditionalFormatting sqref="O901">
    <cfRule type="containsText" dxfId="2" priority="1808" operator="containsText" text="Yes">
      <formula>NOT(ISERROR(SEARCH(("Yes"),(O901))))</formula>
    </cfRule>
  </conditionalFormatting>
  <conditionalFormatting sqref="O901">
    <cfRule type="containsText" dxfId="9" priority="1809" operator="containsText" text="No">
      <formula>NOT(ISERROR(SEARCH(("No"),(O901))))</formula>
    </cfRule>
  </conditionalFormatting>
  <conditionalFormatting sqref="O901">
    <cfRule type="containsText" dxfId="2" priority="1810" operator="containsText" text="Yes">
      <formula>NOT(ISERROR(SEARCH(("Yes"),(O901))))</formula>
    </cfRule>
  </conditionalFormatting>
  <conditionalFormatting sqref="O901">
    <cfRule type="containsText" dxfId="9" priority="1811" operator="containsText" text="No">
      <formula>NOT(ISERROR(SEARCH(("No"),(O901))))</formula>
    </cfRule>
  </conditionalFormatting>
  <conditionalFormatting sqref="O901">
    <cfRule type="containsText" dxfId="2" priority="1812" operator="containsText" text="Yes">
      <formula>NOT(ISERROR(SEARCH(("Yes"),(O901))))</formula>
    </cfRule>
  </conditionalFormatting>
  <conditionalFormatting sqref="O901">
    <cfRule type="containsText" dxfId="9" priority="1813" operator="containsText" text="No">
      <formula>NOT(ISERROR(SEARCH(("No"),(O901))))</formula>
    </cfRule>
  </conditionalFormatting>
  <conditionalFormatting sqref="O901">
    <cfRule type="containsText" dxfId="2" priority="1814" operator="containsText" text="Yes">
      <formula>NOT(ISERROR(SEARCH(("Yes"),(O901))))</formula>
    </cfRule>
  </conditionalFormatting>
  <conditionalFormatting sqref="O901">
    <cfRule type="containsText" dxfId="9" priority="1815" operator="containsText" text="No">
      <formula>NOT(ISERROR(SEARCH(("No"),(O901))))</formula>
    </cfRule>
  </conditionalFormatting>
  <conditionalFormatting sqref="O901">
    <cfRule type="containsText" dxfId="2" priority="1816" operator="containsText" text="Yes">
      <formula>NOT(ISERROR(SEARCH(("Yes"),(O901))))</formula>
    </cfRule>
  </conditionalFormatting>
  <conditionalFormatting sqref="O901">
    <cfRule type="containsText" dxfId="9" priority="1817" operator="containsText" text="No">
      <formula>NOT(ISERROR(SEARCH(("No"),(O901))))</formula>
    </cfRule>
  </conditionalFormatting>
  <conditionalFormatting sqref="O901">
    <cfRule type="containsText" dxfId="2" priority="1818" operator="containsText" text="Yes">
      <formula>NOT(ISERROR(SEARCH(("Yes"),(O901))))</formula>
    </cfRule>
  </conditionalFormatting>
  <conditionalFormatting sqref="O901">
    <cfRule type="containsText" dxfId="9" priority="1819" operator="containsText" text="No">
      <formula>NOT(ISERROR(SEARCH(("No"),(O901))))</formula>
    </cfRule>
  </conditionalFormatting>
  <conditionalFormatting sqref="O901">
    <cfRule type="containsText" dxfId="2" priority="1820" operator="containsText" text="Yes">
      <formula>NOT(ISERROR(SEARCH(("Yes"),(O901))))</formula>
    </cfRule>
  </conditionalFormatting>
  <conditionalFormatting sqref="O901">
    <cfRule type="containsText" dxfId="9" priority="1821" operator="containsText" text="No">
      <formula>NOT(ISERROR(SEARCH(("No"),(O901))))</formula>
    </cfRule>
  </conditionalFormatting>
  <conditionalFormatting sqref="O901">
    <cfRule type="containsText" dxfId="2" priority="1822" operator="containsText" text="Yes">
      <formula>NOT(ISERROR(SEARCH(("Yes"),(O901))))</formula>
    </cfRule>
  </conditionalFormatting>
  <conditionalFormatting sqref="O901">
    <cfRule type="containsText" dxfId="9" priority="1823" operator="containsText" text="No">
      <formula>NOT(ISERROR(SEARCH(("No"),(O901))))</formula>
    </cfRule>
  </conditionalFormatting>
  <conditionalFormatting sqref="O901">
    <cfRule type="containsText" dxfId="2" priority="1824" operator="containsText" text="Yes">
      <formula>NOT(ISERROR(SEARCH(("Yes"),(O901))))</formula>
    </cfRule>
  </conditionalFormatting>
  <conditionalFormatting sqref="O901">
    <cfRule type="containsText" dxfId="9" priority="1825" operator="containsText" text="No">
      <formula>NOT(ISERROR(SEARCH(("No"),(O901))))</formula>
    </cfRule>
  </conditionalFormatting>
  <conditionalFormatting sqref="O901">
    <cfRule type="containsText" dxfId="2" priority="1826" operator="containsText" text="Yes">
      <formula>NOT(ISERROR(SEARCH(("Yes"),(O901))))</formula>
    </cfRule>
  </conditionalFormatting>
  <conditionalFormatting sqref="O901">
    <cfRule type="containsText" dxfId="9" priority="1827" operator="containsText" text="No">
      <formula>NOT(ISERROR(SEARCH(("No"),(O901))))</formula>
    </cfRule>
  </conditionalFormatting>
  <conditionalFormatting sqref="O901">
    <cfRule type="containsText" dxfId="2" priority="1828" operator="containsText" text="Yes">
      <formula>NOT(ISERROR(SEARCH(("Yes"),(O901))))</formula>
    </cfRule>
  </conditionalFormatting>
  <conditionalFormatting sqref="O901">
    <cfRule type="containsText" dxfId="9" priority="1829" operator="containsText" text="No">
      <formula>NOT(ISERROR(SEARCH(("No"),(O901))))</formula>
    </cfRule>
  </conditionalFormatting>
  <conditionalFormatting sqref="O901">
    <cfRule type="containsText" dxfId="2" priority="1830" operator="containsText" text="Yes">
      <formula>NOT(ISERROR(SEARCH(("Yes"),(O901))))</formula>
    </cfRule>
  </conditionalFormatting>
  <conditionalFormatting sqref="O901">
    <cfRule type="containsText" dxfId="9" priority="1831" operator="containsText" text="No">
      <formula>NOT(ISERROR(SEARCH(("No"),(O901))))</formula>
    </cfRule>
  </conditionalFormatting>
  <conditionalFormatting sqref="O901">
    <cfRule type="containsText" dxfId="2" priority="1832" operator="containsText" text="Yes">
      <formula>NOT(ISERROR(SEARCH(("Yes"),(O901))))</formula>
    </cfRule>
  </conditionalFormatting>
  <conditionalFormatting sqref="O901">
    <cfRule type="containsText" dxfId="9" priority="1833" operator="containsText" text="No">
      <formula>NOT(ISERROR(SEARCH(("No"),(O901))))</formula>
    </cfRule>
  </conditionalFormatting>
  <conditionalFormatting sqref="O901">
    <cfRule type="containsText" dxfId="2" priority="1834" operator="containsText" text="Yes">
      <formula>NOT(ISERROR(SEARCH(("Yes"),(O901))))</formula>
    </cfRule>
  </conditionalFormatting>
  <conditionalFormatting sqref="O901">
    <cfRule type="containsText" dxfId="9" priority="1835" operator="containsText" text="No">
      <formula>NOT(ISERROR(SEARCH(("No"),(O901))))</formula>
    </cfRule>
  </conditionalFormatting>
  <conditionalFormatting sqref="O901">
    <cfRule type="containsText" dxfId="2" priority="1836" operator="containsText" text="Yes">
      <formula>NOT(ISERROR(SEARCH(("Yes"),(O901))))</formula>
    </cfRule>
  </conditionalFormatting>
  <conditionalFormatting sqref="O901">
    <cfRule type="containsText" dxfId="9" priority="1837" operator="containsText" text="No">
      <formula>NOT(ISERROR(SEARCH(("No"),(O901))))</formula>
    </cfRule>
  </conditionalFormatting>
  <conditionalFormatting sqref="O901">
    <cfRule type="containsText" dxfId="2" priority="1838" operator="containsText" text="Yes">
      <formula>NOT(ISERROR(SEARCH(("Yes"),(O901))))</formula>
    </cfRule>
  </conditionalFormatting>
  <conditionalFormatting sqref="O901">
    <cfRule type="containsText" dxfId="9" priority="1839" operator="containsText" text="No">
      <formula>NOT(ISERROR(SEARCH(("No"),(O901))))</formula>
    </cfRule>
  </conditionalFormatting>
  <conditionalFormatting sqref="O901">
    <cfRule type="containsText" dxfId="2" priority="1840" operator="containsText" text="Yes">
      <formula>NOT(ISERROR(SEARCH(("Yes"),(O901))))</formula>
    </cfRule>
  </conditionalFormatting>
  <conditionalFormatting sqref="O901">
    <cfRule type="containsText" dxfId="9" priority="1841" operator="containsText" text="No">
      <formula>NOT(ISERROR(SEARCH(("No"),(O901))))</formula>
    </cfRule>
  </conditionalFormatting>
  <conditionalFormatting sqref="O901">
    <cfRule type="containsText" dxfId="2" priority="1842" operator="containsText" text="Yes">
      <formula>NOT(ISERROR(SEARCH(("Yes"),(O901))))</formula>
    </cfRule>
  </conditionalFormatting>
  <conditionalFormatting sqref="O901">
    <cfRule type="containsText" dxfId="9" priority="1843" operator="containsText" text="No">
      <formula>NOT(ISERROR(SEARCH(("No"),(O901))))</formula>
    </cfRule>
  </conditionalFormatting>
  <conditionalFormatting sqref="O901">
    <cfRule type="containsText" dxfId="2" priority="1844" operator="containsText" text="Yes">
      <formula>NOT(ISERROR(SEARCH(("Yes"),(O901))))</formula>
    </cfRule>
  </conditionalFormatting>
  <conditionalFormatting sqref="O901">
    <cfRule type="containsText" dxfId="9" priority="1845" operator="containsText" text="No">
      <formula>NOT(ISERROR(SEARCH(("No"),(O901))))</formula>
    </cfRule>
  </conditionalFormatting>
  <conditionalFormatting sqref="O901">
    <cfRule type="containsText" dxfId="2" priority="1846" operator="containsText" text="Yes">
      <formula>NOT(ISERROR(SEARCH(("Yes"),(O901))))</formula>
    </cfRule>
  </conditionalFormatting>
  <conditionalFormatting sqref="O901">
    <cfRule type="containsText" dxfId="9" priority="1847" operator="containsText" text="No">
      <formula>NOT(ISERROR(SEARCH(("No"),(O901))))</formula>
    </cfRule>
  </conditionalFormatting>
  <conditionalFormatting sqref="O901">
    <cfRule type="containsText" dxfId="2" priority="1848" operator="containsText" text="Yes">
      <formula>NOT(ISERROR(SEARCH(("Yes"),(O901))))</formula>
    </cfRule>
  </conditionalFormatting>
  <conditionalFormatting sqref="O901">
    <cfRule type="containsText" dxfId="9" priority="1849" operator="containsText" text="No">
      <formula>NOT(ISERROR(SEARCH(("No"),(O901))))</formula>
    </cfRule>
  </conditionalFormatting>
  <conditionalFormatting sqref="O901">
    <cfRule type="containsText" dxfId="2" priority="1850" operator="containsText" text="Yes">
      <formula>NOT(ISERROR(SEARCH(("Yes"),(O901))))</formula>
    </cfRule>
  </conditionalFormatting>
  <conditionalFormatting sqref="O901">
    <cfRule type="containsText" dxfId="9" priority="1851" operator="containsText" text="No">
      <formula>NOT(ISERROR(SEARCH(("No"),(O901))))</formula>
    </cfRule>
  </conditionalFormatting>
  <conditionalFormatting sqref="O901">
    <cfRule type="containsText" dxfId="2" priority="1852" operator="containsText" text="Yes">
      <formula>NOT(ISERROR(SEARCH(("Yes"),(O901))))</formula>
    </cfRule>
  </conditionalFormatting>
  <conditionalFormatting sqref="O901">
    <cfRule type="containsText" dxfId="9" priority="1853" operator="containsText" text="No">
      <formula>NOT(ISERROR(SEARCH(("No"),(O901))))</formula>
    </cfRule>
  </conditionalFormatting>
  <conditionalFormatting sqref="O901">
    <cfRule type="containsText" dxfId="2" priority="1854" operator="containsText" text="Yes">
      <formula>NOT(ISERROR(SEARCH(("Yes"),(O901))))</formula>
    </cfRule>
  </conditionalFormatting>
  <conditionalFormatting sqref="O901">
    <cfRule type="containsText" dxfId="9" priority="1855" operator="containsText" text="No">
      <formula>NOT(ISERROR(SEARCH(("No"),(O901))))</formula>
    </cfRule>
  </conditionalFormatting>
  <conditionalFormatting sqref="O901">
    <cfRule type="containsText" dxfId="2" priority="1856" operator="containsText" text="Yes">
      <formula>NOT(ISERROR(SEARCH(("Yes"),(O901))))</formula>
    </cfRule>
  </conditionalFormatting>
  <conditionalFormatting sqref="O901">
    <cfRule type="containsText" dxfId="2" priority="1857" operator="containsText" text="Yes">
      <formula>NOT(ISERROR(SEARCH(("Yes"),(O901))))</formula>
    </cfRule>
  </conditionalFormatting>
  <conditionalFormatting sqref="O901">
    <cfRule type="containsText" dxfId="9" priority="1858" operator="containsText" text="No">
      <formula>NOT(ISERROR(SEARCH(("No"),(O901))))</formula>
    </cfRule>
  </conditionalFormatting>
  <conditionalFormatting sqref="O901">
    <cfRule type="containsText" dxfId="2" priority="1859" operator="containsText" text="Yes">
      <formula>NOT(ISERROR(SEARCH(("Yes"),(O901))))</formula>
    </cfRule>
  </conditionalFormatting>
  <conditionalFormatting sqref="O904">
    <cfRule type="containsText" dxfId="9" priority="1860" operator="containsText" text="No">
      <formula>NOT(ISERROR(SEARCH(("No"),(O904))))</formula>
    </cfRule>
  </conditionalFormatting>
  <conditionalFormatting sqref="O904">
    <cfRule type="containsText" dxfId="2" priority="1861" operator="containsText" text="Yes">
      <formula>NOT(ISERROR(SEARCH(("Yes"),(O904))))</formula>
    </cfRule>
  </conditionalFormatting>
  <conditionalFormatting sqref="O904">
    <cfRule type="containsText" dxfId="9" priority="1862" operator="containsText" text="No">
      <formula>NOT(ISERROR(SEARCH(("No"),(O904))))</formula>
    </cfRule>
  </conditionalFormatting>
  <conditionalFormatting sqref="O904">
    <cfRule type="containsText" dxfId="9" priority="1863" operator="containsText" text="No">
      <formula>NOT(ISERROR(SEARCH(("No"),(O904))))</formula>
    </cfRule>
  </conditionalFormatting>
  <conditionalFormatting sqref="O904">
    <cfRule type="containsText" dxfId="2" priority="1864" operator="containsText" text="Yes">
      <formula>NOT(ISERROR(SEARCH(("Yes"),(O904))))</formula>
    </cfRule>
  </conditionalFormatting>
  <conditionalFormatting sqref="O904">
    <cfRule type="containsText" dxfId="2" priority="1865" operator="containsText" text="Yes">
      <formula>NOT(ISERROR(SEARCH(("Yes"),(O904))))</formula>
    </cfRule>
  </conditionalFormatting>
  <conditionalFormatting sqref="O904">
    <cfRule type="containsText" dxfId="9" priority="1866" operator="containsText" text="No">
      <formula>NOT(ISERROR(SEARCH(("No"),(O904))))</formula>
    </cfRule>
  </conditionalFormatting>
  <conditionalFormatting sqref="O904">
    <cfRule type="containsText" dxfId="2" priority="1867" operator="containsText" text="Yes">
      <formula>NOT(ISERROR(SEARCH(("Yes"),(O904))))</formula>
    </cfRule>
  </conditionalFormatting>
  <conditionalFormatting sqref="O904">
    <cfRule type="containsText" dxfId="9" priority="1868" operator="containsText" text="No">
      <formula>NOT(ISERROR(SEARCH(("No"),(O904))))</formula>
    </cfRule>
  </conditionalFormatting>
  <conditionalFormatting sqref="O904">
    <cfRule type="containsText" dxfId="2" priority="1869" operator="containsText" text="Yes">
      <formula>NOT(ISERROR(SEARCH(("Yes"),(O904))))</formula>
    </cfRule>
  </conditionalFormatting>
  <conditionalFormatting sqref="O904">
    <cfRule type="containsText" dxfId="9" priority="1870" operator="containsText" text="No">
      <formula>NOT(ISERROR(SEARCH(("No"),(O904))))</formula>
    </cfRule>
  </conditionalFormatting>
  <conditionalFormatting sqref="O904">
    <cfRule type="containsText" dxfId="2" priority="1871" operator="containsText" text="Yes">
      <formula>NOT(ISERROR(SEARCH(("Yes"),(O904))))</formula>
    </cfRule>
  </conditionalFormatting>
  <conditionalFormatting sqref="O908">
    <cfRule type="containsText" dxfId="9" priority="1872" operator="containsText" text="No">
      <formula>NOT(ISERROR(SEARCH(("No"),(O908))))</formula>
    </cfRule>
  </conditionalFormatting>
  <conditionalFormatting sqref="O908">
    <cfRule type="containsText" dxfId="2" priority="1873" operator="containsText" text="Yes">
      <formula>NOT(ISERROR(SEARCH(("Yes"),(O908))))</formula>
    </cfRule>
  </conditionalFormatting>
  <conditionalFormatting sqref="O908">
    <cfRule type="containsText" dxfId="9" priority="1874" operator="containsText" text="No">
      <formula>NOT(ISERROR(SEARCH(("No"),(O908))))</formula>
    </cfRule>
  </conditionalFormatting>
  <conditionalFormatting sqref="O908">
    <cfRule type="containsText" dxfId="9" priority="1875" operator="containsText" text="No">
      <formula>NOT(ISERROR(SEARCH(("No"),(O908))))</formula>
    </cfRule>
  </conditionalFormatting>
  <conditionalFormatting sqref="O908">
    <cfRule type="containsText" dxfId="2" priority="1876" operator="containsText" text="Yes">
      <formula>NOT(ISERROR(SEARCH(("Yes"),(O908))))</formula>
    </cfRule>
  </conditionalFormatting>
  <conditionalFormatting sqref="O908">
    <cfRule type="containsText" dxfId="2" priority="1877" operator="containsText" text="Yes">
      <formula>NOT(ISERROR(SEARCH(("Yes"),(O908))))</formula>
    </cfRule>
  </conditionalFormatting>
  <conditionalFormatting sqref="O908">
    <cfRule type="containsText" dxfId="9" priority="1878" operator="containsText" text="No">
      <formula>NOT(ISERROR(SEARCH(("No"),(O908))))</formula>
    </cfRule>
  </conditionalFormatting>
  <conditionalFormatting sqref="O908">
    <cfRule type="containsText" dxfId="2" priority="1879" operator="containsText" text="Yes">
      <formula>NOT(ISERROR(SEARCH(("Yes"),(O908))))</formula>
    </cfRule>
  </conditionalFormatting>
  <conditionalFormatting sqref="O908">
    <cfRule type="containsText" dxfId="9" priority="1880" operator="containsText" text="No">
      <formula>NOT(ISERROR(SEARCH(("No"),(O908))))</formula>
    </cfRule>
  </conditionalFormatting>
  <conditionalFormatting sqref="O908">
    <cfRule type="containsText" dxfId="2" priority="1881" operator="containsText" text="Yes">
      <formula>NOT(ISERROR(SEARCH(("Yes"),(O908))))</formula>
    </cfRule>
  </conditionalFormatting>
  <conditionalFormatting sqref="O908">
    <cfRule type="containsText" dxfId="9" priority="1882" operator="containsText" text="No">
      <formula>NOT(ISERROR(SEARCH(("No"),(O908))))</formula>
    </cfRule>
  </conditionalFormatting>
  <conditionalFormatting sqref="O908">
    <cfRule type="containsText" dxfId="2" priority="1883" operator="containsText" text="Yes">
      <formula>NOT(ISERROR(SEARCH(("Yes"),(O908))))</formula>
    </cfRule>
  </conditionalFormatting>
  <conditionalFormatting sqref="O930">
    <cfRule type="containsText" dxfId="9" priority="1884" operator="containsText" text="No">
      <formula>NOT(ISERROR(SEARCH(("No"),(O930))))</formula>
    </cfRule>
  </conditionalFormatting>
  <conditionalFormatting sqref="O930">
    <cfRule type="containsText" dxfId="2" priority="1885" operator="containsText" text="Yes">
      <formula>NOT(ISERROR(SEARCH(("Yes"),(O930))))</formula>
    </cfRule>
  </conditionalFormatting>
  <conditionalFormatting sqref="O930">
    <cfRule type="containsText" dxfId="9" priority="1886" operator="containsText" text="No">
      <formula>NOT(ISERROR(SEARCH(("No"),(O930))))</formula>
    </cfRule>
  </conditionalFormatting>
  <conditionalFormatting sqref="O930">
    <cfRule type="containsText" dxfId="2" priority="1887" operator="containsText" text="Yes">
      <formula>NOT(ISERROR(SEARCH(("Yes"),(O930))))</formula>
    </cfRule>
  </conditionalFormatting>
  <conditionalFormatting sqref="O932:O934">
    <cfRule type="containsText" dxfId="9" priority="1888" operator="containsText" text="No">
      <formula>NOT(ISERROR(SEARCH(("No"),(O932))))</formula>
    </cfRule>
  </conditionalFormatting>
  <conditionalFormatting sqref="O932:O934">
    <cfRule type="containsText" dxfId="2" priority="1889" operator="containsText" text="Yes">
      <formula>NOT(ISERROR(SEARCH(("Yes"),(O932))))</formula>
    </cfRule>
  </conditionalFormatting>
  <conditionalFormatting sqref="O932:O934">
    <cfRule type="containsText" dxfId="9" priority="1890" operator="containsText" text="No">
      <formula>NOT(ISERROR(SEARCH(("No"),(O932))))</formula>
    </cfRule>
  </conditionalFormatting>
  <conditionalFormatting sqref="O932:O934">
    <cfRule type="containsText" dxfId="2" priority="1891" operator="containsText" text="Yes">
      <formula>NOT(ISERROR(SEARCH(("Yes"),(O932))))</formula>
    </cfRule>
  </conditionalFormatting>
  <conditionalFormatting sqref="O941">
    <cfRule type="containsText" dxfId="9" priority="1892" operator="containsText" text="No">
      <formula>NOT(ISERROR(SEARCH(("No"),(O941))))</formula>
    </cfRule>
  </conditionalFormatting>
  <conditionalFormatting sqref="O941">
    <cfRule type="containsText" dxfId="2" priority="1893" operator="containsText" text="Yes">
      <formula>NOT(ISERROR(SEARCH(("Yes"),(O941))))</formula>
    </cfRule>
  </conditionalFormatting>
  <conditionalFormatting sqref="O941">
    <cfRule type="containsText" dxfId="9" priority="1894" operator="containsText" text="No">
      <formula>NOT(ISERROR(SEARCH(("No"),(O941))))</formula>
    </cfRule>
  </conditionalFormatting>
  <conditionalFormatting sqref="O941">
    <cfRule type="containsText" dxfId="9" priority="1895" operator="containsText" text="No">
      <formula>NOT(ISERROR(SEARCH(("No"),(O941))))</formula>
    </cfRule>
  </conditionalFormatting>
  <conditionalFormatting sqref="O941">
    <cfRule type="containsText" dxfId="2" priority="1896" operator="containsText" text="Yes">
      <formula>NOT(ISERROR(SEARCH(("Yes"),(O941))))</formula>
    </cfRule>
  </conditionalFormatting>
  <conditionalFormatting sqref="O941">
    <cfRule type="containsText" dxfId="2" priority="1897" operator="containsText" text="Yes">
      <formula>NOT(ISERROR(SEARCH(("Yes"),(O941))))</formula>
    </cfRule>
  </conditionalFormatting>
  <conditionalFormatting sqref="O941">
    <cfRule type="containsText" dxfId="9" priority="1898" operator="containsText" text="No">
      <formula>NOT(ISERROR(SEARCH(("No"),(O941))))</formula>
    </cfRule>
  </conditionalFormatting>
  <conditionalFormatting sqref="O941">
    <cfRule type="containsText" dxfId="2" priority="1899" operator="containsText" text="Yes">
      <formula>NOT(ISERROR(SEARCH(("Yes"),(O941))))</formula>
    </cfRule>
  </conditionalFormatting>
  <conditionalFormatting sqref="O941">
    <cfRule type="containsText" dxfId="9" priority="1900" operator="containsText" text="No">
      <formula>NOT(ISERROR(SEARCH(("No"),(O941))))</formula>
    </cfRule>
  </conditionalFormatting>
  <conditionalFormatting sqref="O941">
    <cfRule type="containsText" dxfId="2" priority="1901" operator="containsText" text="Yes">
      <formula>NOT(ISERROR(SEARCH(("Yes"),(O941))))</formula>
    </cfRule>
  </conditionalFormatting>
  <conditionalFormatting sqref="O941">
    <cfRule type="containsText" dxfId="9" priority="1902" operator="containsText" text="No">
      <formula>NOT(ISERROR(SEARCH(("No"),(O941))))</formula>
    </cfRule>
  </conditionalFormatting>
  <conditionalFormatting sqref="O941">
    <cfRule type="containsText" dxfId="2" priority="1903" operator="containsText" text="Yes">
      <formula>NOT(ISERROR(SEARCH(("Yes"),(O941))))</formula>
    </cfRule>
  </conditionalFormatting>
  <conditionalFormatting sqref="O946">
    <cfRule type="containsText" dxfId="2" priority="1904" operator="containsText" text="Yes">
      <formula>NOT(ISERROR(SEARCH(("Yes"),(O946))))</formula>
    </cfRule>
  </conditionalFormatting>
  <conditionalFormatting sqref="O946">
    <cfRule type="containsText" dxfId="9" priority="1905" operator="containsText" text="No">
      <formula>NOT(ISERROR(SEARCH(("No"),(O946))))</formula>
    </cfRule>
  </conditionalFormatting>
  <conditionalFormatting sqref="O946">
    <cfRule type="containsText" dxfId="2" priority="1906" operator="containsText" text="Yes">
      <formula>NOT(ISERROR(SEARCH(("Yes"),(O946))))</formula>
    </cfRule>
  </conditionalFormatting>
  <conditionalFormatting sqref="O946">
    <cfRule type="containsText" dxfId="9" priority="1907" operator="containsText" text="No">
      <formula>NOT(ISERROR(SEARCH(("No"),(O946))))</formula>
    </cfRule>
  </conditionalFormatting>
  <conditionalFormatting sqref="O946">
    <cfRule type="containsText" dxfId="2" priority="1908" operator="containsText" text="Yes">
      <formula>NOT(ISERROR(SEARCH(("Yes"),(O946))))</formula>
    </cfRule>
  </conditionalFormatting>
  <conditionalFormatting sqref="O946">
    <cfRule type="containsText" dxfId="9" priority="1909" operator="containsText" text="No">
      <formula>NOT(ISERROR(SEARCH(("No"),(O946))))</formula>
    </cfRule>
  </conditionalFormatting>
  <conditionalFormatting sqref="O946">
    <cfRule type="containsText" dxfId="2" priority="1910" operator="containsText" text="Yes">
      <formula>NOT(ISERROR(SEARCH(("Yes"),(O946))))</formula>
    </cfRule>
  </conditionalFormatting>
  <conditionalFormatting sqref="O946">
    <cfRule type="containsText" dxfId="9" priority="1911" operator="containsText" text="No">
      <formula>NOT(ISERROR(SEARCH(("No"),(O946))))</formula>
    </cfRule>
  </conditionalFormatting>
  <conditionalFormatting sqref="O946">
    <cfRule type="containsText" dxfId="2" priority="1912" operator="containsText" text="Yes">
      <formula>NOT(ISERROR(SEARCH(("Yes"),(O946))))</formula>
    </cfRule>
  </conditionalFormatting>
  <conditionalFormatting sqref="O946">
    <cfRule type="containsText" dxfId="9" priority="1913" operator="containsText" text="No">
      <formula>NOT(ISERROR(SEARCH(("No"),(O946))))</formula>
    </cfRule>
  </conditionalFormatting>
  <conditionalFormatting sqref="O946">
    <cfRule type="containsText" dxfId="2" priority="1914" operator="containsText" text="Yes">
      <formula>NOT(ISERROR(SEARCH(("Yes"),(O946))))</formula>
    </cfRule>
  </conditionalFormatting>
  <conditionalFormatting sqref="O946">
    <cfRule type="containsText" dxfId="9" priority="1915" operator="containsText" text="No">
      <formula>NOT(ISERROR(SEARCH(("No"),(O946))))</formula>
    </cfRule>
  </conditionalFormatting>
  <conditionalFormatting sqref="O946">
    <cfRule type="containsText" dxfId="2" priority="1916" operator="containsText" text="Yes">
      <formula>NOT(ISERROR(SEARCH(("Yes"),(O946))))</formula>
    </cfRule>
  </conditionalFormatting>
  <conditionalFormatting sqref="O946">
    <cfRule type="containsText" dxfId="9" priority="1917" operator="containsText" text="No">
      <formula>NOT(ISERROR(SEARCH(("No"),(O946))))</formula>
    </cfRule>
  </conditionalFormatting>
  <conditionalFormatting sqref="O946">
    <cfRule type="containsText" dxfId="2" priority="1918" operator="containsText" text="Yes">
      <formula>NOT(ISERROR(SEARCH(("Yes"),(O946))))</formula>
    </cfRule>
  </conditionalFormatting>
  <conditionalFormatting sqref="O946">
    <cfRule type="containsText" dxfId="9" priority="1919" operator="containsText" text="No">
      <formula>NOT(ISERROR(SEARCH(("No"),(O946))))</formula>
    </cfRule>
  </conditionalFormatting>
  <conditionalFormatting sqref="O946">
    <cfRule type="containsText" dxfId="2" priority="1920" operator="containsText" text="Yes">
      <formula>NOT(ISERROR(SEARCH(("Yes"),(O946))))</formula>
    </cfRule>
  </conditionalFormatting>
  <conditionalFormatting sqref="O946">
    <cfRule type="containsText" dxfId="9" priority="1921" operator="containsText" text="No">
      <formula>NOT(ISERROR(SEARCH(("No"),(O946))))</formula>
    </cfRule>
  </conditionalFormatting>
  <conditionalFormatting sqref="O946">
    <cfRule type="containsText" dxfId="2" priority="1922" operator="containsText" text="Yes">
      <formula>NOT(ISERROR(SEARCH(("Yes"),(O946))))</formula>
    </cfRule>
  </conditionalFormatting>
  <conditionalFormatting sqref="O946">
    <cfRule type="containsText" dxfId="9" priority="1923" operator="containsText" text="No">
      <formula>NOT(ISERROR(SEARCH(("No"),(O946))))</formula>
    </cfRule>
  </conditionalFormatting>
  <conditionalFormatting sqref="O946">
    <cfRule type="containsText" dxfId="2" priority="1924" operator="containsText" text="Yes">
      <formula>NOT(ISERROR(SEARCH(("Yes"),(O946))))</formula>
    </cfRule>
  </conditionalFormatting>
  <conditionalFormatting sqref="O946">
    <cfRule type="containsText" dxfId="9" priority="1925" operator="containsText" text="No">
      <formula>NOT(ISERROR(SEARCH(("No"),(O946))))</formula>
    </cfRule>
  </conditionalFormatting>
  <conditionalFormatting sqref="O946">
    <cfRule type="containsText" dxfId="2" priority="1926" operator="containsText" text="Yes">
      <formula>NOT(ISERROR(SEARCH(("Yes"),(O946))))</formula>
    </cfRule>
  </conditionalFormatting>
  <conditionalFormatting sqref="O946">
    <cfRule type="containsText" dxfId="9" priority="1927" operator="containsText" text="No">
      <formula>NOT(ISERROR(SEARCH(("No"),(O946))))</formula>
    </cfRule>
  </conditionalFormatting>
  <conditionalFormatting sqref="O946">
    <cfRule type="containsText" dxfId="2" priority="1928" operator="containsText" text="Yes">
      <formula>NOT(ISERROR(SEARCH(("Yes"),(O946))))</formula>
    </cfRule>
  </conditionalFormatting>
  <conditionalFormatting sqref="O946">
    <cfRule type="containsText" dxfId="9" priority="1929" operator="containsText" text="No">
      <formula>NOT(ISERROR(SEARCH(("No"),(O946))))</formula>
    </cfRule>
  </conditionalFormatting>
  <conditionalFormatting sqref="O946">
    <cfRule type="containsText" dxfId="2" priority="1930" operator="containsText" text="Yes">
      <formula>NOT(ISERROR(SEARCH(("Yes"),(O946))))</formula>
    </cfRule>
  </conditionalFormatting>
  <conditionalFormatting sqref="O946">
    <cfRule type="containsText" dxfId="9" priority="1931" operator="containsText" text="No">
      <formula>NOT(ISERROR(SEARCH(("No"),(O946))))</formula>
    </cfRule>
  </conditionalFormatting>
  <conditionalFormatting sqref="O946">
    <cfRule type="containsText" dxfId="2" priority="1932" operator="containsText" text="Yes">
      <formula>NOT(ISERROR(SEARCH(("Yes"),(O946))))</formula>
    </cfRule>
  </conditionalFormatting>
  <conditionalFormatting sqref="O946">
    <cfRule type="containsText" dxfId="9" priority="1933" operator="containsText" text="No">
      <formula>NOT(ISERROR(SEARCH(("No"),(O946))))</formula>
    </cfRule>
  </conditionalFormatting>
  <conditionalFormatting sqref="O946">
    <cfRule type="containsText" dxfId="2" priority="1934" operator="containsText" text="Yes">
      <formula>NOT(ISERROR(SEARCH(("Yes"),(O946))))</formula>
    </cfRule>
  </conditionalFormatting>
  <conditionalFormatting sqref="O946">
    <cfRule type="containsText" dxfId="9" priority="1935" operator="containsText" text="No">
      <formula>NOT(ISERROR(SEARCH(("No"),(O946))))</formula>
    </cfRule>
  </conditionalFormatting>
  <conditionalFormatting sqref="O946">
    <cfRule type="containsText" dxfId="2" priority="1936" operator="containsText" text="Yes">
      <formula>NOT(ISERROR(SEARCH(("Yes"),(O946))))</formula>
    </cfRule>
  </conditionalFormatting>
  <conditionalFormatting sqref="O946">
    <cfRule type="containsText" dxfId="9" priority="1937" operator="containsText" text="No">
      <formula>NOT(ISERROR(SEARCH(("No"),(O946))))</formula>
    </cfRule>
  </conditionalFormatting>
  <conditionalFormatting sqref="O946">
    <cfRule type="containsText" dxfId="2" priority="1938" operator="containsText" text="Yes">
      <formula>NOT(ISERROR(SEARCH(("Yes"),(O946))))</formula>
    </cfRule>
  </conditionalFormatting>
  <conditionalFormatting sqref="O946">
    <cfRule type="containsText" dxfId="9" priority="1939" operator="containsText" text="No">
      <formula>NOT(ISERROR(SEARCH(("No"),(O946))))</formula>
    </cfRule>
  </conditionalFormatting>
  <conditionalFormatting sqref="O946">
    <cfRule type="containsText" dxfId="2" priority="1940" operator="containsText" text="Yes">
      <formula>NOT(ISERROR(SEARCH(("Yes"),(O946))))</formula>
    </cfRule>
  </conditionalFormatting>
  <conditionalFormatting sqref="O946">
    <cfRule type="containsText" dxfId="9" priority="1941" operator="containsText" text="No">
      <formula>NOT(ISERROR(SEARCH(("No"),(O946))))</formula>
    </cfRule>
  </conditionalFormatting>
  <conditionalFormatting sqref="O946">
    <cfRule type="containsText" dxfId="2" priority="1942" operator="containsText" text="Yes">
      <formula>NOT(ISERROR(SEARCH(("Yes"),(O946))))</formula>
    </cfRule>
  </conditionalFormatting>
  <conditionalFormatting sqref="O946">
    <cfRule type="containsText" dxfId="9" priority="1943" operator="containsText" text="No">
      <formula>NOT(ISERROR(SEARCH(("No"),(O946))))</formula>
    </cfRule>
  </conditionalFormatting>
  <conditionalFormatting sqref="O946">
    <cfRule type="containsText" dxfId="2" priority="1944" operator="containsText" text="Yes">
      <formula>NOT(ISERROR(SEARCH(("Yes"),(O946))))</formula>
    </cfRule>
  </conditionalFormatting>
  <conditionalFormatting sqref="O946">
    <cfRule type="containsText" dxfId="9" priority="1945" operator="containsText" text="No">
      <formula>NOT(ISERROR(SEARCH(("No"),(O946))))</formula>
    </cfRule>
  </conditionalFormatting>
  <conditionalFormatting sqref="O946">
    <cfRule type="containsText" dxfId="2" priority="1946" operator="containsText" text="Yes">
      <formula>NOT(ISERROR(SEARCH(("Yes"),(O946))))</formula>
    </cfRule>
  </conditionalFormatting>
  <conditionalFormatting sqref="O946">
    <cfRule type="containsText" dxfId="9" priority="1947" operator="containsText" text="No">
      <formula>NOT(ISERROR(SEARCH(("No"),(O946))))</formula>
    </cfRule>
  </conditionalFormatting>
  <conditionalFormatting sqref="O946">
    <cfRule type="containsText" dxfId="2" priority="1948" operator="containsText" text="Yes">
      <formula>NOT(ISERROR(SEARCH(("Yes"),(O946))))</formula>
    </cfRule>
  </conditionalFormatting>
  <conditionalFormatting sqref="O946">
    <cfRule type="containsText" dxfId="9" priority="1949" operator="containsText" text="No">
      <formula>NOT(ISERROR(SEARCH(("No"),(O946))))</formula>
    </cfRule>
  </conditionalFormatting>
  <conditionalFormatting sqref="O946">
    <cfRule type="containsText" dxfId="2" priority="1950" operator="containsText" text="Yes">
      <formula>NOT(ISERROR(SEARCH(("Yes"),(O946))))</formula>
    </cfRule>
  </conditionalFormatting>
  <conditionalFormatting sqref="O946">
    <cfRule type="containsText" dxfId="9" priority="1951" operator="containsText" text="No">
      <formula>NOT(ISERROR(SEARCH(("No"),(O946))))</formula>
    </cfRule>
  </conditionalFormatting>
  <conditionalFormatting sqref="O946">
    <cfRule type="containsText" dxfId="2" priority="1952" operator="containsText" text="Yes">
      <formula>NOT(ISERROR(SEARCH(("Yes"),(O946))))</formula>
    </cfRule>
  </conditionalFormatting>
  <conditionalFormatting sqref="O946">
    <cfRule type="containsText" dxfId="9" priority="1953" operator="containsText" text="No">
      <formula>NOT(ISERROR(SEARCH(("No"),(O946))))</formula>
    </cfRule>
  </conditionalFormatting>
  <conditionalFormatting sqref="O946">
    <cfRule type="containsText" dxfId="2" priority="1954" operator="containsText" text="Yes">
      <formula>NOT(ISERROR(SEARCH(("Yes"),(O946))))</formula>
    </cfRule>
  </conditionalFormatting>
  <conditionalFormatting sqref="O946">
    <cfRule type="containsText" dxfId="9" priority="1955" operator="containsText" text="No">
      <formula>NOT(ISERROR(SEARCH(("No"),(O946))))</formula>
    </cfRule>
  </conditionalFormatting>
  <conditionalFormatting sqref="O946">
    <cfRule type="containsText" dxfId="2" priority="1956" operator="containsText" text="Yes">
      <formula>NOT(ISERROR(SEARCH(("Yes"),(O946))))</formula>
    </cfRule>
  </conditionalFormatting>
  <conditionalFormatting sqref="O946">
    <cfRule type="containsText" dxfId="9" priority="1957" operator="containsText" text="No">
      <formula>NOT(ISERROR(SEARCH(("No"),(O946))))</formula>
    </cfRule>
  </conditionalFormatting>
  <conditionalFormatting sqref="O946">
    <cfRule type="containsText" dxfId="2" priority="1958" operator="containsText" text="Yes">
      <formula>NOT(ISERROR(SEARCH(("Yes"),(O946))))</formula>
    </cfRule>
  </conditionalFormatting>
  <conditionalFormatting sqref="O946">
    <cfRule type="containsText" dxfId="9" priority="1959" operator="containsText" text="No">
      <formula>NOT(ISERROR(SEARCH(("No"),(O946))))</formula>
    </cfRule>
  </conditionalFormatting>
  <conditionalFormatting sqref="O946">
    <cfRule type="containsText" dxfId="2" priority="1960" operator="containsText" text="Yes">
      <formula>NOT(ISERROR(SEARCH(("Yes"),(O946))))</formula>
    </cfRule>
  </conditionalFormatting>
  <conditionalFormatting sqref="O946">
    <cfRule type="containsText" dxfId="9" priority="1961" operator="containsText" text="No">
      <formula>NOT(ISERROR(SEARCH(("No"),(O946))))</formula>
    </cfRule>
  </conditionalFormatting>
  <conditionalFormatting sqref="O946">
    <cfRule type="containsText" dxfId="2" priority="1962" operator="containsText" text="Yes">
      <formula>NOT(ISERROR(SEARCH(("Yes"),(O946))))</formula>
    </cfRule>
  </conditionalFormatting>
  <conditionalFormatting sqref="O946">
    <cfRule type="containsText" dxfId="9" priority="1963" operator="containsText" text="No">
      <formula>NOT(ISERROR(SEARCH(("No"),(O946))))</formula>
    </cfRule>
  </conditionalFormatting>
  <conditionalFormatting sqref="O946">
    <cfRule type="containsText" dxfId="2" priority="1964" operator="containsText" text="Yes">
      <formula>NOT(ISERROR(SEARCH(("Yes"),(O946))))</formula>
    </cfRule>
  </conditionalFormatting>
  <conditionalFormatting sqref="O946">
    <cfRule type="containsText" dxfId="9" priority="1965" operator="containsText" text="No">
      <formula>NOT(ISERROR(SEARCH(("No"),(O946))))</formula>
    </cfRule>
  </conditionalFormatting>
  <conditionalFormatting sqref="O946">
    <cfRule type="containsText" dxfId="2" priority="1966" operator="containsText" text="Yes">
      <formula>NOT(ISERROR(SEARCH(("Yes"),(O946))))</formula>
    </cfRule>
  </conditionalFormatting>
  <conditionalFormatting sqref="O946">
    <cfRule type="containsText" dxfId="9" priority="1967" operator="containsText" text="No">
      <formula>NOT(ISERROR(SEARCH(("No"),(O946))))</formula>
    </cfRule>
  </conditionalFormatting>
  <conditionalFormatting sqref="O946">
    <cfRule type="containsText" dxfId="2" priority="1968" operator="containsText" text="Yes">
      <formula>NOT(ISERROR(SEARCH(("Yes"),(O946))))</formula>
    </cfRule>
  </conditionalFormatting>
  <conditionalFormatting sqref="O946">
    <cfRule type="containsText" dxfId="9" priority="1969" operator="containsText" text="No">
      <formula>NOT(ISERROR(SEARCH(("No"),(O946))))</formula>
    </cfRule>
  </conditionalFormatting>
  <conditionalFormatting sqref="O946">
    <cfRule type="containsText" dxfId="2" priority="1970" operator="containsText" text="Yes">
      <formula>NOT(ISERROR(SEARCH(("Yes"),(O946))))</formula>
    </cfRule>
  </conditionalFormatting>
  <conditionalFormatting sqref="O946">
    <cfRule type="containsText" dxfId="9" priority="1971" operator="containsText" text="No">
      <formula>NOT(ISERROR(SEARCH(("No"),(O946))))</formula>
    </cfRule>
  </conditionalFormatting>
  <conditionalFormatting sqref="O946">
    <cfRule type="containsText" dxfId="2" priority="1972" operator="containsText" text="Yes">
      <formula>NOT(ISERROR(SEARCH(("Yes"),(O946))))</formula>
    </cfRule>
  </conditionalFormatting>
  <conditionalFormatting sqref="O946">
    <cfRule type="containsText" dxfId="9" priority="1973" operator="containsText" text="No">
      <formula>NOT(ISERROR(SEARCH(("No"),(O946))))</formula>
    </cfRule>
  </conditionalFormatting>
  <conditionalFormatting sqref="O946">
    <cfRule type="containsText" dxfId="2" priority="1974" operator="containsText" text="Yes">
      <formula>NOT(ISERROR(SEARCH(("Yes"),(O946))))</formula>
    </cfRule>
  </conditionalFormatting>
  <conditionalFormatting sqref="O946">
    <cfRule type="containsText" dxfId="9" priority="1975" operator="containsText" text="No">
      <formula>NOT(ISERROR(SEARCH(("No"),(O946))))</formula>
    </cfRule>
  </conditionalFormatting>
  <conditionalFormatting sqref="O946">
    <cfRule type="containsText" dxfId="2" priority="1976" operator="containsText" text="Yes">
      <formula>NOT(ISERROR(SEARCH(("Yes"),(O946))))</formula>
    </cfRule>
  </conditionalFormatting>
  <conditionalFormatting sqref="O946">
    <cfRule type="containsText" dxfId="9" priority="1977" operator="containsText" text="No">
      <formula>NOT(ISERROR(SEARCH(("No"),(O946))))</formula>
    </cfRule>
  </conditionalFormatting>
  <conditionalFormatting sqref="O946">
    <cfRule type="containsText" dxfId="2" priority="1978" operator="containsText" text="Yes">
      <formula>NOT(ISERROR(SEARCH(("Yes"),(O946))))</formula>
    </cfRule>
  </conditionalFormatting>
  <conditionalFormatting sqref="O946">
    <cfRule type="containsText" dxfId="9" priority="1979" operator="containsText" text="No">
      <formula>NOT(ISERROR(SEARCH(("No"),(O946))))</formula>
    </cfRule>
  </conditionalFormatting>
  <conditionalFormatting sqref="O946">
    <cfRule type="containsText" dxfId="2" priority="1980" operator="containsText" text="Yes">
      <formula>NOT(ISERROR(SEARCH(("Yes"),(O946))))</formula>
    </cfRule>
  </conditionalFormatting>
  <conditionalFormatting sqref="O946">
    <cfRule type="containsText" dxfId="9" priority="1981" operator="containsText" text="No">
      <formula>NOT(ISERROR(SEARCH(("No"),(O946))))</formula>
    </cfRule>
  </conditionalFormatting>
  <conditionalFormatting sqref="O946">
    <cfRule type="containsText" dxfId="2" priority="1982" operator="containsText" text="Yes">
      <formula>NOT(ISERROR(SEARCH(("Yes"),(O946))))</formula>
    </cfRule>
  </conditionalFormatting>
  <conditionalFormatting sqref="O946">
    <cfRule type="containsText" dxfId="9" priority="1983" operator="containsText" text="No">
      <formula>NOT(ISERROR(SEARCH(("No"),(O946))))</formula>
    </cfRule>
  </conditionalFormatting>
  <conditionalFormatting sqref="O946">
    <cfRule type="containsText" dxfId="2" priority="1984" operator="containsText" text="Yes">
      <formula>NOT(ISERROR(SEARCH(("Yes"),(O946))))</formula>
    </cfRule>
  </conditionalFormatting>
  <conditionalFormatting sqref="O946">
    <cfRule type="containsText" dxfId="9" priority="1985" operator="containsText" text="No">
      <formula>NOT(ISERROR(SEARCH(("No"),(O946))))</formula>
    </cfRule>
  </conditionalFormatting>
  <conditionalFormatting sqref="O946">
    <cfRule type="containsText" dxfId="2" priority="1986" operator="containsText" text="Yes">
      <formula>NOT(ISERROR(SEARCH(("Yes"),(O946))))</formula>
    </cfRule>
  </conditionalFormatting>
  <conditionalFormatting sqref="O946">
    <cfRule type="containsText" dxfId="9" priority="1987" operator="containsText" text="No">
      <formula>NOT(ISERROR(SEARCH(("No"),(O946))))</formula>
    </cfRule>
  </conditionalFormatting>
  <conditionalFormatting sqref="O946">
    <cfRule type="containsText" dxfId="2" priority="1988" operator="containsText" text="Yes">
      <formula>NOT(ISERROR(SEARCH(("Yes"),(O946))))</formula>
    </cfRule>
  </conditionalFormatting>
  <conditionalFormatting sqref="O946">
    <cfRule type="containsText" dxfId="9" priority="1989" operator="containsText" text="No">
      <formula>NOT(ISERROR(SEARCH(("No"),(O946))))</formula>
    </cfRule>
  </conditionalFormatting>
  <conditionalFormatting sqref="O946">
    <cfRule type="containsText" dxfId="2" priority="1990" operator="containsText" text="Yes">
      <formula>NOT(ISERROR(SEARCH(("Yes"),(O946))))</formula>
    </cfRule>
  </conditionalFormatting>
  <conditionalFormatting sqref="O946">
    <cfRule type="containsText" dxfId="9" priority="1991" operator="containsText" text="No">
      <formula>NOT(ISERROR(SEARCH(("No"),(O946))))</formula>
    </cfRule>
  </conditionalFormatting>
  <conditionalFormatting sqref="O946">
    <cfRule type="containsText" dxfId="2" priority="1992" operator="containsText" text="Yes">
      <formula>NOT(ISERROR(SEARCH(("Yes"),(O946))))</formula>
    </cfRule>
  </conditionalFormatting>
  <conditionalFormatting sqref="O946">
    <cfRule type="containsText" dxfId="2" priority="1993" operator="containsText" text="Yes">
      <formula>NOT(ISERROR(SEARCH(("Yes"),(O946))))</formula>
    </cfRule>
  </conditionalFormatting>
  <conditionalFormatting sqref="O946">
    <cfRule type="containsText" dxfId="9" priority="1994" operator="containsText" text="No">
      <formula>NOT(ISERROR(SEARCH(("No"),(O946))))</formula>
    </cfRule>
  </conditionalFormatting>
  <conditionalFormatting sqref="O946">
    <cfRule type="containsText" dxfId="2" priority="1995" operator="containsText" text="Yes">
      <formula>NOT(ISERROR(SEARCH(("Yes"),(O946))))</formula>
    </cfRule>
  </conditionalFormatting>
  <conditionalFormatting sqref="O976:O977">
    <cfRule type="containsText" dxfId="9" priority="1996" operator="containsText" text="No">
      <formula>NOT(ISERROR(SEARCH(("No"),(O976))))</formula>
    </cfRule>
  </conditionalFormatting>
  <conditionalFormatting sqref="O976:O977">
    <cfRule type="containsText" dxfId="2" priority="1997" operator="containsText" text="Yes">
      <formula>NOT(ISERROR(SEARCH(("Yes"),(O976))))</formula>
    </cfRule>
  </conditionalFormatting>
  <conditionalFormatting sqref="O976:O977">
    <cfRule type="containsText" dxfId="9" priority="1998" operator="containsText" text="No">
      <formula>NOT(ISERROR(SEARCH(("No"),(O976))))</formula>
    </cfRule>
  </conditionalFormatting>
  <conditionalFormatting sqref="O976:O977">
    <cfRule type="containsText" dxfId="9" priority="1999" operator="containsText" text="No">
      <formula>NOT(ISERROR(SEARCH(("No"),(O976))))</formula>
    </cfRule>
  </conditionalFormatting>
  <conditionalFormatting sqref="O976:O977">
    <cfRule type="containsText" dxfId="2" priority="2000" operator="containsText" text="Yes">
      <formula>NOT(ISERROR(SEARCH(("Yes"),(O976))))</formula>
    </cfRule>
  </conditionalFormatting>
  <conditionalFormatting sqref="O976:O977">
    <cfRule type="containsText" dxfId="2" priority="2001" operator="containsText" text="Yes">
      <formula>NOT(ISERROR(SEARCH(("Yes"),(O976))))</formula>
    </cfRule>
  </conditionalFormatting>
  <conditionalFormatting sqref="O976:O977">
    <cfRule type="containsText" dxfId="9" priority="2002" operator="containsText" text="No">
      <formula>NOT(ISERROR(SEARCH(("No"),(O976))))</formula>
    </cfRule>
  </conditionalFormatting>
  <conditionalFormatting sqref="O976:O977">
    <cfRule type="containsText" dxfId="2" priority="2003" operator="containsText" text="Yes">
      <formula>NOT(ISERROR(SEARCH(("Yes"),(O976))))</formula>
    </cfRule>
  </conditionalFormatting>
  <conditionalFormatting sqref="O976:O977">
    <cfRule type="containsText" dxfId="9" priority="2004" operator="containsText" text="No">
      <formula>NOT(ISERROR(SEARCH(("No"),(O976))))</formula>
    </cfRule>
  </conditionalFormatting>
  <conditionalFormatting sqref="O976:O977">
    <cfRule type="containsText" dxfId="2" priority="2005" operator="containsText" text="Yes">
      <formula>NOT(ISERROR(SEARCH(("Yes"),(O976))))</formula>
    </cfRule>
  </conditionalFormatting>
  <conditionalFormatting sqref="O976:O977">
    <cfRule type="containsText" dxfId="9" priority="2006" operator="containsText" text="No">
      <formula>NOT(ISERROR(SEARCH(("No"),(O976))))</formula>
    </cfRule>
  </conditionalFormatting>
  <conditionalFormatting sqref="O976:O977">
    <cfRule type="containsText" dxfId="2" priority="2007" operator="containsText" text="Yes">
      <formula>NOT(ISERROR(SEARCH(("Yes"),(O976))))</formula>
    </cfRule>
  </conditionalFormatting>
  <conditionalFormatting sqref="O995:O1003">
    <cfRule type="containsText" dxfId="9" priority="2008" operator="containsText" text="No">
      <formula>NOT(ISERROR(SEARCH(("No"),(O995))))</formula>
    </cfRule>
  </conditionalFormatting>
  <conditionalFormatting sqref="O995:O1003">
    <cfRule type="containsText" dxfId="2" priority="2009" operator="containsText" text="Yes">
      <formula>NOT(ISERROR(SEARCH(("Yes"),(O995))))</formula>
    </cfRule>
  </conditionalFormatting>
  <conditionalFormatting sqref="O1004">
    <cfRule type="containsText" dxfId="9" priority="2010" operator="containsText" text="No">
      <formula>NOT(ISERROR(SEARCH(("No"),(O1004))))</formula>
    </cfRule>
  </conditionalFormatting>
  <conditionalFormatting sqref="O1004">
    <cfRule type="containsText" dxfId="2" priority="2011" operator="containsText" text="Yes">
      <formula>NOT(ISERROR(SEARCH(("Yes"),(O1004))))</formula>
    </cfRule>
  </conditionalFormatting>
  <conditionalFormatting sqref="O1004">
    <cfRule type="containsText" dxfId="2" priority="2012" operator="containsText" text="Yes">
      <formula>NOT(ISERROR(SEARCH(("Yes"),(O1004))))</formula>
    </cfRule>
  </conditionalFormatting>
  <conditionalFormatting sqref="O1005:O1006">
    <cfRule type="containsText" dxfId="9" priority="2013" operator="containsText" text="No">
      <formula>NOT(ISERROR(SEARCH(("No"),(O1005))))</formula>
    </cfRule>
  </conditionalFormatting>
  <conditionalFormatting sqref="O1005:O1006">
    <cfRule type="containsText" dxfId="2" priority="2014" operator="containsText" text="Yes">
      <formula>NOT(ISERROR(SEARCH(("Yes"),(O1005))))</formula>
    </cfRule>
  </conditionalFormatting>
  <conditionalFormatting sqref="O1007">
    <cfRule type="containsText" dxfId="9" priority="2015" operator="containsText" text="No">
      <formula>NOT(ISERROR(SEARCH(("No"),(O1007))))</formula>
    </cfRule>
  </conditionalFormatting>
  <conditionalFormatting sqref="O1007">
    <cfRule type="containsText" dxfId="9" priority="2016" operator="containsText" text="No">
      <formula>NOT(ISERROR(SEARCH(("No"),(O1007))))</formula>
    </cfRule>
  </conditionalFormatting>
  <conditionalFormatting sqref="O1007">
    <cfRule type="containsText" dxfId="2" priority="2017" operator="containsText" text="Yes">
      <formula>NOT(ISERROR(SEARCH(("Yes"),(O1007))))</formula>
    </cfRule>
  </conditionalFormatting>
  <conditionalFormatting sqref="O1007">
    <cfRule type="containsText" dxfId="2" priority="2018" operator="containsText" text="Yes">
      <formula>NOT(ISERROR(SEARCH(("Yes"),(O1007))))</formula>
    </cfRule>
  </conditionalFormatting>
  <conditionalFormatting sqref="O1008:O1010">
    <cfRule type="containsText" dxfId="9" priority="2019" operator="containsText" text="No">
      <formula>NOT(ISERROR(SEARCH(("No"),(O1008))))</formula>
    </cfRule>
  </conditionalFormatting>
  <conditionalFormatting sqref="O1008:O1010">
    <cfRule type="containsText" dxfId="2" priority="2020" operator="containsText" text="Yes">
      <formula>NOT(ISERROR(SEARCH(("Yes"),(O1008))))</formula>
    </cfRule>
  </conditionalFormatting>
  <conditionalFormatting sqref="O1011">
    <cfRule type="containsText" dxfId="9" priority="2021" operator="containsText" text="No">
      <formula>NOT(ISERROR(SEARCH(("No"),(O1011))))</formula>
    </cfRule>
  </conditionalFormatting>
  <conditionalFormatting sqref="O1011">
    <cfRule type="containsText" dxfId="9" priority="2022" operator="containsText" text="No">
      <formula>NOT(ISERROR(SEARCH(("No"),(O1011))))</formula>
    </cfRule>
  </conditionalFormatting>
  <conditionalFormatting sqref="O1011">
    <cfRule type="containsText" dxfId="2" priority="2023" operator="containsText" text="Yes">
      <formula>NOT(ISERROR(SEARCH(("Yes"),(O1011))))</formula>
    </cfRule>
  </conditionalFormatting>
  <conditionalFormatting sqref="O1011">
    <cfRule type="containsText" dxfId="2" priority="2024" operator="containsText" text="Yes">
      <formula>NOT(ISERROR(SEARCH(("Yes"),(O1011))))</formula>
    </cfRule>
  </conditionalFormatting>
  <conditionalFormatting sqref="O1012">
    <cfRule type="containsText" dxfId="9" priority="2025" operator="containsText" text="No">
      <formula>NOT(ISERROR(SEARCH(("No"),(O1012))))</formula>
    </cfRule>
  </conditionalFormatting>
  <conditionalFormatting sqref="O1012">
    <cfRule type="containsText" dxfId="2" priority="2026" operator="containsText" text="Yes">
      <formula>NOT(ISERROR(SEARCH(("Yes"),(O1012))))</formula>
    </cfRule>
  </conditionalFormatting>
  <conditionalFormatting sqref="O1014">
    <cfRule type="containsText" dxfId="9" priority="2027" operator="containsText" text="No">
      <formula>NOT(ISERROR(SEARCH(("No"),(O1014))))</formula>
    </cfRule>
  </conditionalFormatting>
  <conditionalFormatting sqref="O1014">
    <cfRule type="containsText" dxfId="9" priority="2028" operator="containsText" text="No">
      <formula>NOT(ISERROR(SEARCH(("No"),(O1014))))</formula>
    </cfRule>
  </conditionalFormatting>
  <conditionalFormatting sqref="O1014">
    <cfRule type="containsText" dxfId="2" priority="2029" operator="containsText" text="Yes">
      <formula>NOT(ISERROR(SEARCH(("Yes"),(O1014))))</formula>
    </cfRule>
  </conditionalFormatting>
  <conditionalFormatting sqref="O1014">
    <cfRule type="containsText" dxfId="2" priority="2030" operator="containsText" text="Yes">
      <formula>NOT(ISERROR(SEARCH(("Yes"),(O1014))))</formula>
    </cfRule>
  </conditionalFormatting>
  <conditionalFormatting sqref="O1015">
    <cfRule type="containsText" dxfId="9" priority="2031" operator="containsText" text="No">
      <formula>NOT(ISERROR(SEARCH(("No"),(O1015))))</formula>
    </cfRule>
  </conditionalFormatting>
  <conditionalFormatting sqref="O1015">
    <cfRule type="containsText" dxfId="2" priority="2032" operator="containsText" text="Yes">
      <formula>NOT(ISERROR(SEARCH(("Yes"),(O1015))))</formula>
    </cfRule>
  </conditionalFormatting>
  <conditionalFormatting sqref="O1018">
    <cfRule type="containsText" dxfId="9" priority="2033" operator="containsText" text="No">
      <formula>NOT(ISERROR(SEARCH(("No"),(O1018))))</formula>
    </cfRule>
  </conditionalFormatting>
  <conditionalFormatting sqref="O1018">
    <cfRule type="containsText" dxfId="2" priority="2034" operator="containsText" text="Yes">
      <formula>NOT(ISERROR(SEARCH(("Yes"),(O1018))))</formula>
    </cfRule>
  </conditionalFormatting>
  <conditionalFormatting sqref="O1019">
    <cfRule type="containsText" dxfId="9" priority="2035" operator="containsText" text="No">
      <formula>NOT(ISERROR(SEARCH(("No"),(O1019))))</formula>
    </cfRule>
  </conditionalFormatting>
  <conditionalFormatting sqref="O1019">
    <cfRule type="containsText" dxfId="9" priority="2036" operator="containsText" text="No">
      <formula>NOT(ISERROR(SEARCH(("No"),(O1019))))</formula>
    </cfRule>
  </conditionalFormatting>
  <conditionalFormatting sqref="O1019">
    <cfRule type="containsText" dxfId="2" priority="2037" operator="containsText" text="Yes">
      <formula>NOT(ISERROR(SEARCH(("Yes"),(O1019))))</formula>
    </cfRule>
  </conditionalFormatting>
  <conditionalFormatting sqref="O1019">
    <cfRule type="containsText" dxfId="2" priority="2038" operator="containsText" text="Yes">
      <formula>NOT(ISERROR(SEARCH(("Yes"),(O1019))))</formula>
    </cfRule>
  </conditionalFormatting>
  <conditionalFormatting sqref="O1020:O1022">
    <cfRule type="containsText" dxfId="9" priority="2039" operator="containsText" text="No">
      <formula>NOT(ISERROR(SEARCH(("No"),(O1020))))</formula>
    </cfRule>
  </conditionalFormatting>
  <conditionalFormatting sqref="O1020:O1022">
    <cfRule type="containsText" dxfId="2" priority="2040" operator="containsText" text="Yes">
      <formula>NOT(ISERROR(SEARCH(("Yes"),(O1020))))</formula>
    </cfRule>
  </conditionalFormatting>
  <conditionalFormatting sqref="O1023">
    <cfRule type="containsText" dxfId="9" priority="2041" operator="containsText" text="No">
      <formula>NOT(ISERROR(SEARCH(("No"),(O1023))))</formula>
    </cfRule>
  </conditionalFormatting>
  <conditionalFormatting sqref="O1023">
    <cfRule type="containsText" dxfId="9" priority="2042" operator="containsText" text="No">
      <formula>NOT(ISERROR(SEARCH(("No"),(O1023))))</formula>
    </cfRule>
  </conditionalFormatting>
  <conditionalFormatting sqref="O1023">
    <cfRule type="containsText" dxfId="2" priority="2043" operator="containsText" text="Yes">
      <formula>NOT(ISERROR(SEARCH(("Yes"),(O1023))))</formula>
    </cfRule>
  </conditionalFormatting>
  <conditionalFormatting sqref="O1023">
    <cfRule type="containsText" dxfId="2" priority="2044" operator="containsText" text="Yes">
      <formula>NOT(ISERROR(SEARCH(("Yes"),(O1023))))</formula>
    </cfRule>
  </conditionalFormatting>
  <conditionalFormatting sqref="O1024:O1025">
    <cfRule type="containsText" dxfId="9" priority="2045" operator="containsText" text="No">
      <formula>NOT(ISERROR(SEARCH(("No"),(O1024))))</formula>
    </cfRule>
  </conditionalFormatting>
  <conditionalFormatting sqref="O1024:O1025">
    <cfRule type="containsText" dxfId="2" priority="2046" operator="containsText" text="Yes">
      <formula>NOT(ISERROR(SEARCH(("Yes"),(O1024))))</formula>
    </cfRule>
  </conditionalFormatting>
  <conditionalFormatting sqref="O1026">
    <cfRule type="containsText" dxfId="9" priority="2047" operator="containsText" text="No">
      <formula>NOT(ISERROR(SEARCH(("No"),(O1026))))</formula>
    </cfRule>
  </conditionalFormatting>
  <conditionalFormatting sqref="O1026">
    <cfRule type="containsText" dxfId="2" priority="2048" operator="containsText" text="Yes">
      <formula>NOT(ISERROR(SEARCH(("Yes"),(O1026))))</formula>
    </cfRule>
  </conditionalFormatting>
  <conditionalFormatting sqref="O1026">
    <cfRule type="containsText" dxfId="9" priority="2049" operator="containsText" text="No">
      <formula>NOT(ISERROR(SEARCH(("No"),(O1026))))</formula>
    </cfRule>
  </conditionalFormatting>
  <conditionalFormatting sqref="O1026">
    <cfRule type="containsText" dxfId="9" priority="2050" operator="containsText" text="No">
      <formula>NOT(ISERROR(SEARCH(("No"),(O1026))))</formula>
    </cfRule>
  </conditionalFormatting>
  <conditionalFormatting sqref="O1026">
    <cfRule type="containsText" dxfId="2" priority="2051" operator="containsText" text="Yes">
      <formula>NOT(ISERROR(SEARCH(("Yes"),(O1026))))</formula>
    </cfRule>
  </conditionalFormatting>
  <conditionalFormatting sqref="O1026">
    <cfRule type="containsText" dxfId="2" priority="2052" operator="containsText" text="Yes">
      <formula>NOT(ISERROR(SEARCH(("Yes"),(O1026))))</formula>
    </cfRule>
  </conditionalFormatting>
  <conditionalFormatting sqref="O1026">
    <cfRule type="containsText" dxfId="9" priority="2053" operator="containsText" text="No">
      <formula>NOT(ISERROR(SEARCH(("No"),(O1026))))</formula>
    </cfRule>
  </conditionalFormatting>
  <conditionalFormatting sqref="O1026">
    <cfRule type="containsText" dxfId="2" priority="2054" operator="containsText" text="Yes">
      <formula>NOT(ISERROR(SEARCH(("Yes"),(O1026))))</formula>
    </cfRule>
  </conditionalFormatting>
  <conditionalFormatting sqref="O1026">
    <cfRule type="containsText" dxfId="9" priority="2055" operator="containsText" text="No">
      <formula>NOT(ISERROR(SEARCH(("No"),(O1026))))</formula>
    </cfRule>
  </conditionalFormatting>
  <conditionalFormatting sqref="O1026">
    <cfRule type="containsText" dxfId="2" priority="2056" operator="containsText" text="Yes">
      <formula>NOT(ISERROR(SEARCH(("Yes"),(O1026))))</formula>
    </cfRule>
  </conditionalFormatting>
  <conditionalFormatting sqref="O1026">
    <cfRule type="containsText" dxfId="9" priority="2057" operator="containsText" text="No">
      <formula>NOT(ISERROR(SEARCH(("No"),(O1026))))</formula>
    </cfRule>
  </conditionalFormatting>
  <conditionalFormatting sqref="O1026">
    <cfRule type="containsText" dxfId="2" priority="2058" operator="containsText" text="Yes">
      <formula>NOT(ISERROR(SEARCH(("Yes"),(O1026))))</formula>
    </cfRule>
  </conditionalFormatting>
  <conditionalFormatting sqref="O1027">
    <cfRule type="containsText" dxfId="2" priority="2059" operator="containsText" text="Yes">
      <formula>NOT(ISERROR(SEARCH(("Yes"),(O1027))))</formula>
    </cfRule>
  </conditionalFormatting>
  <conditionalFormatting sqref="O1027">
    <cfRule type="containsText" dxfId="9" priority="2060" operator="containsText" text="No">
      <formula>NOT(ISERROR(SEARCH(("No"),(O1027))))</formula>
    </cfRule>
  </conditionalFormatting>
  <conditionalFormatting sqref="O1027">
    <cfRule type="containsText" dxfId="2" priority="2061" operator="containsText" text="Yes">
      <formula>NOT(ISERROR(SEARCH(("Yes"),(O1027))))</formula>
    </cfRule>
  </conditionalFormatting>
  <conditionalFormatting sqref="O1027">
    <cfRule type="containsText" dxfId="9" priority="2062" operator="containsText" text="No">
      <formula>NOT(ISERROR(SEARCH(("No"),(O1027))))</formula>
    </cfRule>
  </conditionalFormatting>
  <conditionalFormatting sqref="O1027">
    <cfRule type="containsText" dxfId="2" priority="2063" operator="containsText" text="Yes">
      <formula>NOT(ISERROR(SEARCH(("Yes"),(O1027))))</formula>
    </cfRule>
  </conditionalFormatting>
  <conditionalFormatting sqref="O1027">
    <cfRule type="containsText" dxfId="9" priority="2064" operator="containsText" text="No">
      <formula>NOT(ISERROR(SEARCH(("No"),(O1027))))</formula>
    </cfRule>
  </conditionalFormatting>
  <conditionalFormatting sqref="O1027">
    <cfRule type="containsText" dxfId="2" priority="2065" operator="containsText" text="Yes">
      <formula>NOT(ISERROR(SEARCH(("Yes"),(O1027))))</formula>
    </cfRule>
  </conditionalFormatting>
  <conditionalFormatting sqref="O1027">
    <cfRule type="containsText" dxfId="9" priority="2066" operator="containsText" text="No">
      <formula>NOT(ISERROR(SEARCH(("No"),(O1027))))</formula>
    </cfRule>
  </conditionalFormatting>
  <conditionalFormatting sqref="O1027">
    <cfRule type="containsText" dxfId="2" priority="2067" operator="containsText" text="Yes">
      <formula>NOT(ISERROR(SEARCH(("Yes"),(O1027))))</formula>
    </cfRule>
  </conditionalFormatting>
  <conditionalFormatting sqref="O1027">
    <cfRule type="containsText" dxfId="9" priority="2068" operator="containsText" text="No">
      <formula>NOT(ISERROR(SEARCH(("No"),(O1027))))</formula>
    </cfRule>
  </conditionalFormatting>
  <conditionalFormatting sqref="O1027">
    <cfRule type="containsText" dxfId="2" priority="2069" operator="containsText" text="Yes">
      <formula>NOT(ISERROR(SEARCH(("Yes"),(O1027))))</formula>
    </cfRule>
  </conditionalFormatting>
  <conditionalFormatting sqref="O1027">
    <cfRule type="containsText" dxfId="9" priority="2070" operator="containsText" text="No">
      <formula>NOT(ISERROR(SEARCH(("No"),(O1027))))</formula>
    </cfRule>
  </conditionalFormatting>
  <conditionalFormatting sqref="O1027">
    <cfRule type="containsText" dxfId="2" priority="2071" operator="containsText" text="Yes">
      <formula>NOT(ISERROR(SEARCH(("Yes"),(O1027))))</formula>
    </cfRule>
  </conditionalFormatting>
  <conditionalFormatting sqref="O1027">
    <cfRule type="containsText" dxfId="9" priority="2072" operator="containsText" text="No">
      <formula>NOT(ISERROR(SEARCH(("No"),(O1027))))</formula>
    </cfRule>
  </conditionalFormatting>
  <conditionalFormatting sqref="O1027">
    <cfRule type="containsText" dxfId="2" priority="2073" operator="containsText" text="Yes">
      <formula>NOT(ISERROR(SEARCH(("Yes"),(O1027))))</formula>
    </cfRule>
  </conditionalFormatting>
  <conditionalFormatting sqref="O1027">
    <cfRule type="containsText" dxfId="9" priority="2074" operator="containsText" text="No">
      <formula>NOT(ISERROR(SEARCH(("No"),(O1027))))</formula>
    </cfRule>
  </conditionalFormatting>
  <conditionalFormatting sqref="O1027">
    <cfRule type="containsText" dxfId="2" priority="2075" operator="containsText" text="Yes">
      <formula>NOT(ISERROR(SEARCH(("Yes"),(O1027))))</formula>
    </cfRule>
  </conditionalFormatting>
  <conditionalFormatting sqref="O1027">
    <cfRule type="containsText" dxfId="9" priority="2076" operator="containsText" text="No">
      <formula>NOT(ISERROR(SEARCH(("No"),(O1027))))</formula>
    </cfRule>
  </conditionalFormatting>
  <conditionalFormatting sqref="O1027">
    <cfRule type="containsText" dxfId="2" priority="2077" operator="containsText" text="Yes">
      <formula>NOT(ISERROR(SEARCH(("Yes"),(O1027))))</formula>
    </cfRule>
  </conditionalFormatting>
  <conditionalFormatting sqref="O1027">
    <cfRule type="containsText" dxfId="9" priority="2078" operator="containsText" text="No">
      <formula>NOT(ISERROR(SEARCH(("No"),(O1027))))</formula>
    </cfRule>
  </conditionalFormatting>
  <conditionalFormatting sqref="O1027">
    <cfRule type="containsText" dxfId="2" priority="2079" operator="containsText" text="Yes">
      <formula>NOT(ISERROR(SEARCH(("Yes"),(O1027))))</formula>
    </cfRule>
  </conditionalFormatting>
  <conditionalFormatting sqref="O1027">
    <cfRule type="containsText" dxfId="9" priority="2080" operator="containsText" text="No">
      <formula>NOT(ISERROR(SEARCH(("No"),(O1027))))</formula>
    </cfRule>
  </conditionalFormatting>
  <conditionalFormatting sqref="O1027">
    <cfRule type="containsText" dxfId="2" priority="2081" operator="containsText" text="Yes">
      <formula>NOT(ISERROR(SEARCH(("Yes"),(O1027))))</formula>
    </cfRule>
  </conditionalFormatting>
  <conditionalFormatting sqref="O1027">
    <cfRule type="containsText" dxfId="9" priority="2082" operator="containsText" text="No">
      <formula>NOT(ISERROR(SEARCH(("No"),(O1027))))</formula>
    </cfRule>
  </conditionalFormatting>
  <conditionalFormatting sqref="O1027">
    <cfRule type="containsText" dxfId="2" priority="2083" operator="containsText" text="Yes">
      <formula>NOT(ISERROR(SEARCH(("Yes"),(O1027))))</formula>
    </cfRule>
  </conditionalFormatting>
  <conditionalFormatting sqref="O1027">
    <cfRule type="containsText" dxfId="9" priority="2084" operator="containsText" text="No">
      <formula>NOT(ISERROR(SEARCH(("No"),(O1027))))</formula>
    </cfRule>
  </conditionalFormatting>
  <conditionalFormatting sqref="O1027">
    <cfRule type="containsText" dxfId="2" priority="2085" operator="containsText" text="Yes">
      <formula>NOT(ISERROR(SEARCH(("Yes"),(O1027))))</formula>
    </cfRule>
  </conditionalFormatting>
  <conditionalFormatting sqref="O1027">
    <cfRule type="containsText" dxfId="9" priority="2086" operator="containsText" text="No">
      <formula>NOT(ISERROR(SEARCH(("No"),(O1027))))</formula>
    </cfRule>
  </conditionalFormatting>
  <conditionalFormatting sqref="O1027">
    <cfRule type="containsText" dxfId="2" priority="2087" operator="containsText" text="Yes">
      <formula>NOT(ISERROR(SEARCH(("Yes"),(O1027))))</formula>
    </cfRule>
  </conditionalFormatting>
  <conditionalFormatting sqref="O1027">
    <cfRule type="containsText" dxfId="9" priority="2088" operator="containsText" text="No">
      <formula>NOT(ISERROR(SEARCH(("No"),(O1027))))</formula>
    </cfRule>
  </conditionalFormatting>
  <conditionalFormatting sqref="O1027">
    <cfRule type="containsText" dxfId="2" priority="2089" operator="containsText" text="Yes">
      <formula>NOT(ISERROR(SEARCH(("Yes"),(O1027))))</formula>
    </cfRule>
  </conditionalFormatting>
  <conditionalFormatting sqref="O1027">
    <cfRule type="containsText" dxfId="9" priority="2090" operator="containsText" text="No">
      <formula>NOT(ISERROR(SEARCH(("No"),(O1027))))</formula>
    </cfRule>
  </conditionalFormatting>
  <conditionalFormatting sqref="O1027">
    <cfRule type="containsText" dxfId="2" priority="2091" operator="containsText" text="Yes">
      <formula>NOT(ISERROR(SEARCH(("Yes"),(O1027))))</formula>
    </cfRule>
  </conditionalFormatting>
  <conditionalFormatting sqref="O1027">
    <cfRule type="containsText" dxfId="9" priority="2092" operator="containsText" text="No">
      <formula>NOT(ISERROR(SEARCH(("No"),(O1027))))</formula>
    </cfRule>
  </conditionalFormatting>
  <conditionalFormatting sqref="O1027">
    <cfRule type="containsText" dxfId="2" priority="2093" operator="containsText" text="Yes">
      <formula>NOT(ISERROR(SEARCH(("Yes"),(O1027))))</formula>
    </cfRule>
  </conditionalFormatting>
  <conditionalFormatting sqref="O1027">
    <cfRule type="containsText" dxfId="9" priority="2094" operator="containsText" text="No">
      <formula>NOT(ISERROR(SEARCH(("No"),(O1027))))</formula>
    </cfRule>
  </conditionalFormatting>
  <conditionalFormatting sqref="O1027">
    <cfRule type="containsText" dxfId="2" priority="2095" operator="containsText" text="Yes">
      <formula>NOT(ISERROR(SEARCH(("Yes"),(O1027))))</formula>
    </cfRule>
  </conditionalFormatting>
  <conditionalFormatting sqref="O1027">
    <cfRule type="containsText" dxfId="9" priority="2096" operator="containsText" text="No">
      <formula>NOT(ISERROR(SEARCH(("No"),(O1027))))</formula>
    </cfRule>
  </conditionalFormatting>
  <conditionalFormatting sqref="O1027">
    <cfRule type="containsText" dxfId="2" priority="2097" operator="containsText" text="Yes">
      <formula>NOT(ISERROR(SEARCH(("Yes"),(O1027))))</formula>
    </cfRule>
  </conditionalFormatting>
  <conditionalFormatting sqref="O1027">
    <cfRule type="containsText" dxfId="9" priority="2098" operator="containsText" text="No">
      <formula>NOT(ISERROR(SEARCH(("No"),(O1027))))</formula>
    </cfRule>
  </conditionalFormatting>
  <conditionalFormatting sqref="O1027">
    <cfRule type="containsText" dxfId="2" priority="2099" operator="containsText" text="Yes">
      <formula>NOT(ISERROR(SEARCH(("Yes"),(O1027))))</formula>
    </cfRule>
  </conditionalFormatting>
  <conditionalFormatting sqref="O1027">
    <cfRule type="containsText" dxfId="9" priority="2100" operator="containsText" text="No">
      <formula>NOT(ISERROR(SEARCH(("No"),(O1027))))</formula>
    </cfRule>
  </conditionalFormatting>
  <conditionalFormatting sqref="O1027">
    <cfRule type="containsText" dxfId="2" priority="2101" operator="containsText" text="Yes">
      <formula>NOT(ISERROR(SEARCH(("Yes"),(O1027))))</formula>
    </cfRule>
  </conditionalFormatting>
  <conditionalFormatting sqref="O1027">
    <cfRule type="containsText" dxfId="9" priority="2102" operator="containsText" text="No">
      <formula>NOT(ISERROR(SEARCH(("No"),(O1027))))</formula>
    </cfRule>
  </conditionalFormatting>
  <conditionalFormatting sqref="O1027">
    <cfRule type="containsText" dxfId="2" priority="2103" operator="containsText" text="Yes">
      <formula>NOT(ISERROR(SEARCH(("Yes"),(O1027))))</formula>
    </cfRule>
  </conditionalFormatting>
  <conditionalFormatting sqref="O1027">
    <cfRule type="containsText" dxfId="9" priority="2104" operator="containsText" text="No">
      <formula>NOT(ISERROR(SEARCH(("No"),(O1027))))</formula>
    </cfRule>
  </conditionalFormatting>
  <conditionalFormatting sqref="O1027">
    <cfRule type="containsText" dxfId="2" priority="2105" operator="containsText" text="Yes">
      <formula>NOT(ISERROR(SEARCH(("Yes"),(O1027))))</formula>
    </cfRule>
  </conditionalFormatting>
  <conditionalFormatting sqref="O1027">
    <cfRule type="containsText" dxfId="9" priority="2106" operator="containsText" text="No">
      <formula>NOT(ISERROR(SEARCH(("No"),(O1027))))</formula>
    </cfRule>
  </conditionalFormatting>
  <conditionalFormatting sqref="O1027">
    <cfRule type="containsText" dxfId="2" priority="2107" operator="containsText" text="Yes">
      <formula>NOT(ISERROR(SEARCH(("Yes"),(O1027))))</formula>
    </cfRule>
  </conditionalFormatting>
  <conditionalFormatting sqref="O1027">
    <cfRule type="containsText" dxfId="9" priority="2108" operator="containsText" text="No">
      <formula>NOT(ISERROR(SEARCH(("No"),(O1027))))</formula>
    </cfRule>
  </conditionalFormatting>
  <conditionalFormatting sqref="O1027">
    <cfRule type="containsText" dxfId="2" priority="2109" operator="containsText" text="Yes">
      <formula>NOT(ISERROR(SEARCH(("Yes"),(O1027))))</formula>
    </cfRule>
  </conditionalFormatting>
  <conditionalFormatting sqref="O1027">
    <cfRule type="containsText" dxfId="9" priority="2110" operator="containsText" text="No">
      <formula>NOT(ISERROR(SEARCH(("No"),(O1027))))</formula>
    </cfRule>
  </conditionalFormatting>
  <conditionalFormatting sqref="O1027">
    <cfRule type="containsText" dxfId="2" priority="2111" operator="containsText" text="Yes">
      <formula>NOT(ISERROR(SEARCH(("Yes"),(O1027))))</formula>
    </cfRule>
  </conditionalFormatting>
  <conditionalFormatting sqref="O1027">
    <cfRule type="containsText" dxfId="9" priority="2112" operator="containsText" text="No">
      <formula>NOT(ISERROR(SEARCH(("No"),(O1027))))</formula>
    </cfRule>
  </conditionalFormatting>
  <conditionalFormatting sqref="O1027">
    <cfRule type="containsText" dxfId="2" priority="2113" operator="containsText" text="Yes">
      <formula>NOT(ISERROR(SEARCH(("Yes"),(O1027))))</formula>
    </cfRule>
  </conditionalFormatting>
  <conditionalFormatting sqref="O1027">
    <cfRule type="containsText" dxfId="9" priority="2114" operator="containsText" text="No">
      <formula>NOT(ISERROR(SEARCH(("No"),(O1027))))</formula>
    </cfRule>
  </conditionalFormatting>
  <conditionalFormatting sqref="O1027">
    <cfRule type="containsText" dxfId="2" priority="2115" operator="containsText" text="Yes">
      <formula>NOT(ISERROR(SEARCH(("Yes"),(O1027))))</formula>
    </cfRule>
  </conditionalFormatting>
  <conditionalFormatting sqref="O1027">
    <cfRule type="containsText" dxfId="9" priority="2116" operator="containsText" text="No">
      <formula>NOT(ISERROR(SEARCH(("No"),(O1027))))</formula>
    </cfRule>
  </conditionalFormatting>
  <conditionalFormatting sqref="O1027">
    <cfRule type="containsText" dxfId="2" priority="2117" operator="containsText" text="Yes">
      <formula>NOT(ISERROR(SEARCH(("Yes"),(O1027))))</formula>
    </cfRule>
  </conditionalFormatting>
  <conditionalFormatting sqref="O1027">
    <cfRule type="containsText" dxfId="9" priority="2118" operator="containsText" text="No">
      <formula>NOT(ISERROR(SEARCH(("No"),(O1027))))</formula>
    </cfRule>
  </conditionalFormatting>
  <conditionalFormatting sqref="O1027">
    <cfRule type="containsText" dxfId="2" priority="2119" operator="containsText" text="Yes">
      <formula>NOT(ISERROR(SEARCH(("Yes"),(O1027))))</formula>
    </cfRule>
  </conditionalFormatting>
  <conditionalFormatting sqref="O1027">
    <cfRule type="containsText" dxfId="9" priority="2120" operator="containsText" text="No">
      <formula>NOT(ISERROR(SEARCH(("No"),(O1027))))</formula>
    </cfRule>
  </conditionalFormatting>
  <conditionalFormatting sqref="O1027">
    <cfRule type="containsText" dxfId="2" priority="2121" operator="containsText" text="Yes">
      <formula>NOT(ISERROR(SEARCH(("Yes"),(O1027))))</formula>
    </cfRule>
  </conditionalFormatting>
  <conditionalFormatting sqref="O1027">
    <cfRule type="containsText" dxfId="9" priority="2122" operator="containsText" text="No">
      <formula>NOT(ISERROR(SEARCH(("No"),(O1027))))</formula>
    </cfRule>
  </conditionalFormatting>
  <conditionalFormatting sqref="O1027">
    <cfRule type="containsText" dxfId="2" priority="2123" operator="containsText" text="Yes">
      <formula>NOT(ISERROR(SEARCH(("Yes"),(O1027))))</formula>
    </cfRule>
  </conditionalFormatting>
  <conditionalFormatting sqref="O1027">
    <cfRule type="containsText" dxfId="9" priority="2124" operator="containsText" text="No">
      <formula>NOT(ISERROR(SEARCH(("No"),(O1027))))</formula>
    </cfRule>
  </conditionalFormatting>
  <conditionalFormatting sqref="O1027">
    <cfRule type="containsText" dxfId="2" priority="2125" operator="containsText" text="Yes">
      <formula>NOT(ISERROR(SEARCH(("Yes"),(O1027))))</formula>
    </cfRule>
  </conditionalFormatting>
  <conditionalFormatting sqref="O1027">
    <cfRule type="containsText" dxfId="9" priority="2126" operator="containsText" text="No">
      <formula>NOT(ISERROR(SEARCH(("No"),(O1027))))</formula>
    </cfRule>
  </conditionalFormatting>
  <conditionalFormatting sqref="O1027">
    <cfRule type="containsText" dxfId="2" priority="2127" operator="containsText" text="Yes">
      <formula>NOT(ISERROR(SEARCH(("Yes"),(O1027))))</formula>
    </cfRule>
  </conditionalFormatting>
  <conditionalFormatting sqref="O1027">
    <cfRule type="containsText" dxfId="9" priority="2128" operator="containsText" text="No">
      <formula>NOT(ISERROR(SEARCH(("No"),(O1027))))</formula>
    </cfRule>
  </conditionalFormatting>
  <conditionalFormatting sqref="O1027">
    <cfRule type="containsText" dxfId="2" priority="2129" operator="containsText" text="Yes">
      <formula>NOT(ISERROR(SEARCH(("Yes"),(O1027))))</formula>
    </cfRule>
  </conditionalFormatting>
  <conditionalFormatting sqref="O1027">
    <cfRule type="containsText" dxfId="9" priority="2130" operator="containsText" text="No">
      <formula>NOT(ISERROR(SEARCH(("No"),(O1027))))</formula>
    </cfRule>
  </conditionalFormatting>
  <conditionalFormatting sqref="O1027">
    <cfRule type="containsText" dxfId="2" priority="2131" operator="containsText" text="Yes">
      <formula>NOT(ISERROR(SEARCH(("Yes"),(O1027))))</formula>
    </cfRule>
  </conditionalFormatting>
  <conditionalFormatting sqref="O1027">
    <cfRule type="containsText" dxfId="9" priority="2132" operator="containsText" text="No">
      <formula>NOT(ISERROR(SEARCH(("No"),(O1027))))</formula>
    </cfRule>
  </conditionalFormatting>
  <conditionalFormatting sqref="O1027">
    <cfRule type="containsText" dxfId="2" priority="2133" operator="containsText" text="Yes">
      <formula>NOT(ISERROR(SEARCH(("Yes"),(O1027))))</formula>
    </cfRule>
  </conditionalFormatting>
  <conditionalFormatting sqref="O1027">
    <cfRule type="containsText" dxfId="9" priority="2134" operator="containsText" text="No">
      <formula>NOT(ISERROR(SEARCH(("No"),(O1027))))</formula>
    </cfRule>
  </conditionalFormatting>
  <conditionalFormatting sqref="O1027">
    <cfRule type="containsText" dxfId="2" priority="2135" operator="containsText" text="Yes">
      <formula>NOT(ISERROR(SEARCH(("Yes"),(O1027))))</formula>
    </cfRule>
  </conditionalFormatting>
  <conditionalFormatting sqref="O1027">
    <cfRule type="containsText" dxfId="9" priority="2136" operator="containsText" text="No">
      <formula>NOT(ISERROR(SEARCH(("No"),(O1027))))</formula>
    </cfRule>
  </conditionalFormatting>
  <conditionalFormatting sqref="O1027">
    <cfRule type="containsText" dxfId="2" priority="2137" operator="containsText" text="Yes">
      <formula>NOT(ISERROR(SEARCH(("Yes"),(O1027))))</formula>
    </cfRule>
  </conditionalFormatting>
  <conditionalFormatting sqref="O1027">
    <cfRule type="containsText" dxfId="9" priority="2138" operator="containsText" text="No">
      <formula>NOT(ISERROR(SEARCH(("No"),(O1027))))</formula>
    </cfRule>
  </conditionalFormatting>
  <conditionalFormatting sqref="O1027">
    <cfRule type="containsText" dxfId="2" priority="2139" operator="containsText" text="Yes">
      <formula>NOT(ISERROR(SEARCH(("Yes"),(O1027))))</formula>
    </cfRule>
  </conditionalFormatting>
  <conditionalFormatting sqref="O1027">
    <cfRule type="containsText" dxfId="9" priority="2140" operator="containsText" text="No">
      <formula>NOT(ISERROR(SEARCH(("No"),(O1027))))</formula>
    </cfRule>
  </conditionalFormatting>
  <conditionalFormatting sqref="O1027">
    <cfRule type="containsText" dxfId="2" priority="2141" operator="containsText" text="Yes">
      <formula>NOT(ISERROR(SEARCH(("Yes"),(O1027))))</formula>
    </cfRule>
  </conditionalFormatting>
  <conditionalFormatting sqref="O1027">
    <cfRule type="containsText" dxfId="9" priority="2142" operator="containsText" text="No">
      <formula>NOT(ISERROR(SEARCH(("No"),(O1027))))</formula>
    </cfRule>
  </conditionalFormatting>
  <conditionalFormatting sqref="O1027">
    <cfRule type="containsText" dxfId="2" priority="2143" operator="containsText" text="Yes">
      <formula>NOT(ISERROR(SEARCH(("Yes"),(O1027))))</formula>
    </cfRule>
  </conditionalFormatting>
  <conditionalFormatting sqref="O1027">
    <cfRule type="containsText" dxfId="9" priority="2144" operator="containsText" text="No">
      <formula>NOT(ISERROR(SEARCH(("No"),(O1027))))</formula>
    </cfRule>
  </conditionalFormatting>
  <conditionalFormatting sqref="O1027">
    <cfRule type="containsText" dxfId="2" priority="2145" operator="containsText" text="Yes">
      <formula>NOT(ISERROR(SEARCH(("Yes"),(O1027))))</formula>
    </cfRule>
  </conditionalFormatting>
  <conditionalFormatting sqref="O1027">
    <cfRule type="containsText" dxfId="9" priority="2146" operator="containsText" text="No">
      <formula>NOT(ISERROR(SEARCH(("No"),(O1027))))</formula>
    </cfRule>
  </conditionalFormatting>
  <conditionalFormatting sqref="O1027">
    <cfRule type="containsText" dxfId="2" priority="2147" operator="containsText" text="Yes">
      <formula>NOT(ISERROR(SEARCH(("Yes"),(O1027))))</formula>
    </cfRule>
  </conditionalFormatting>
  <conditionalFormatting sqref="O1027">
    <cfRule type="containsText" dxfId="2" priority="2148" operator="containsText" text="Yes">
      <formula>NOT(ISERROR(SEARCH(("Yes"),(O1027))))</formula>
    </cfRule>
  </conditionalFormatting>
  <conditionalFormatting sqref="O1027">
    <cfRule type="containsText" dxfId="9" priority="2149" operator="containsText" text="No">
      <formula>NOT(ISERROR(SEARCH(("No"),(O1027))))</formula>
    </cfRule>
  </conditionalFormatting>
  <conditionalFormatting sqref="O1027">
    <cfRule type="containsText" dxfId="2" priority="2150" operator="containsText" text="Yes">
      <formula>NOT(ISERROR(SEARCH(("Yes"),(O1027))))</formula>
    </cfRule>
  </conditionalFormatting>
  <conditionalFormatting sqref="O1029:O1050">
    <cfRule type="containsText" dxfId="9" priority="2151" operator="containsText" text="No">
      <formula>NOT(ISERROR(SEARCH(("No"),(O1029))))</formula>
    </cfRule>
  </conditionalFormatting>
  <conditionalFormatting sqref="O1029:O1050">
    <cfRule type="containsText" dxfId="2" priority="2152" operator="containsText" text="Yes">
      <formula>NOT(ISERROR(SEARCH(("Yes"),(O1029))))</formula>
    </cfRule>
  </conditionalFormatting>
  <conditionalFormatting sqref="O1052:O1053">
    <cfRule type="containsText" dxfId="9" priority="2153" operator="containsText" text="No">
      <formula>NOT(ISERROR(SEARCH(("No"),(O1052))))</formula>
    </cfRule>
  </conditionalFormatting>
  <conditionalFormatting sqref="O1052:O1053">
    <cfRule type="containsText" dxfId="2" priority="2154" operator="containsText" text="Yes">
      <formula>NOT(ISERROR(SEARCH(("Yes"),(O1052))))</formula>
    </cfRule>
  </conditionalFormatting>
  <conditionalFormatting sqref="O1055:O1057">
    <cfRule type="containsText" dxfId="9" priority="2155" operator="containsText" text="No">
      <formula>NOT(ISERROR(SEARCH(("No"),(O1055))))</formula>
    </cfRule>
  </conditionalFormatting>
  <conditionalFormatting sqref="O1055:O1057">
    <cfRule type="containsText" dxfId="2" priority="2156" operator="containsText" text="Yes">
      <formula>NOT(ISERROR(SEARCH(("Yes"),(O1055))))</formula>
    </cfRule>
  </conditionalFormatting>
  <conditionalFormatting sqref="O1060">
    <cfRule type="containsText" dxfId="9" priority="2157" operator="containsText" text="No">
      <formula>NOT(ISERROR(SEARCH(("No"),(O1060))))</formula>
    </cfRule>
  </conditionalFormatting>
  <conditionalFormatting sqref="O1060">
    <cfRule type="containsText" dxfId="2" priority="2158" operator="containsText" text="Yes">
      <formula>NOT(ISERROR(SEARCH(("Yes"),(O1060))))</formula>
    </cfRule>
  </conditionalFormatting>
  <conditionalFormatting sqref="O1061">
    <cfRule type="containsText" dxfId="9" priority="2159" operator="containsText" text="No">
      <formula>NOT(ISERROR(SEARCH(("No"),(O1061))))</formula>
    </cfRule>
  </conditionalFormatting>
  <conditionalFormatting sqref="O1061">
    <cfRule type="containsText" dxfId="2" priority="2160" operator="containsText" text="Yes">
      <formula>NOT(ISERROR(SEARCH(("Yes"),(O1061))))</formula>
    </cfRule>
  </conditionalFormatting>
  <conditionalFormatting sqref="O1061">
    <cfRule type="containsText" dxfId="9" priority="2161" operator="containsText" text="No">
      <formula>NOT(ISERROR(SEARCH(("No"),(O1061))))</formula>
    </cfRule>
  </conditionalFormatting>
  <conditionalFormatting sqref="O1061">
    <cfRule type="containsText" dxfId="9" priority="2162" operator="containsText" text="No">
      <formula>NOT(ISERROR(SEARCH(("No"),(O1061))))</formula>
    </cfRule>
  </conditionalFormatting>
  <conditionalFormatting sqref="O1061">
    <cfRule type="containsText" dxfId="2" priority="2163" operator="containsText" text="Yes">
      <formula>NOT(ISERROR(SEARCH(("Yes"),(O1061))))</formula>
    </cfRule>
  </conditionalFormatting>
  <conditionalFormatting sqref="O1061">
    <cfRule type="containsText" dxfId="2" priority="2164" operator="containsText" text="Yes">
      <formula>NOT(ISERROR(SEARCH(("Yes"),(O1061))))</formula>
    </cfRule>
  </conditionalFormatting>
  <conditionalFormatting sqref="O1061">
    <cfRule type="containsText" dxfId="9" priority="2165" operator="containsText" text="No">
      <formula>NOT(ISERROR(SEARCH(("No"),(O1061))))</formula>
    </cfRule>
  </conditionalFormatting>
  <conditionalFormatting sqref="O1061">
    <cfRule type="containsText" dxfId="2" priority="2166" operator="containsText" text="Yes">
      <formula>NOT(ISERROR(SEARCH(("Yes"),(O1061))))</formula>
    </cfRule>
  </conditionalFormatting>
  <conditionalFormatting sqref="O1061">
    <cfRule type="containsText" dxfId="9" priority="2167" operator="containsText" text="No">
      <formula>NOT(ISERROR(SEARCH(("No"),(O1061))))</formula>
    </cfRule>
  </conditionalFormatting>
  <conditionalFormatting sqref="O1061">
    <cfRule type="containsText" dxfId="2" priority="2168" operator="containsText" text="Yes">
      <formula>NOT(ISERROR(SEARCH(("Yes"),(O1061))))</formula>
    </cfRule>
  </conditionalFormatting>
  <conditionalFormatting sqref="O1061">
    <cfRule type="containsText" dxfId="9" priority="2169" operator="containsText" text="No">
      <formula>NOT(ISERROR(SEARCH(("No"),(O1061))))</formula>
    </cfRule>
  </conditionalFormatting>
  <conditionalFormatting sqref="O1061">
    <cfRule type="containsText" dxfId="2" priority="2170" operator="containsText" text="Yes">
      <formula>NOT(ISERROR(SEARCH(("Yes"),(O1061))))</formula>
    </cfRule>
  </conditionalFormatting>
  <conditionalFormatting sqref="O1064:O1079 O1081 O1083:O1084">
    <cfRule type="containsText" dxfId="9" priority="2171" operator="containsText" text="No">
      <formula>NOT(ISERROR(SEARCH(("No"),(O1064))))</formula>
    </cfRule>
  </conditionalFormatting>
  <conditionalFormatting sqref="O1064:O1079 O1081 O1083:O1084">
    <cfRule type="containsText" dxfId="2" priority="2172" operator="containsText" text="Yes">
      <formula>NOT(ISERROR(SEARCH(("Yes"),(O1064))))</formula>
    </cfRule>
  </conditionalFormatting>
  <conditionalFormatting sqref="O1080">
    <cfRule type="containsText" dxfId="9" priority="2173" operator="containsText" text="No">
      <formula>NOT(ISERROR(SEARCH(("No"),(O1080))))</formula>
    </cfRule>
  </conditionalFormatting>
  <conditionalFormatting sqref="O1080">
    <cfRule type="containsText" dxfId="2" priority="2174" operator="containsText" text="Yes">
      <formula>NOT(ISERROR(SEARCH(("Yes"),(O1080))))</formula>
    </cfRule>
  </conditionalFormatting>
  <conditionalFormatting sqref="O1080">
    <cfRule type="containsText" dxfId="9" priority="2175" operator="containsText" text="No">
      <formula>NOT(ISERROR(SEARCH(("No"),(O1080))))</formula>
    </cfRule>
  </conditionalFormatting>
  <conditionalFormatting sqref="O1080">
    <cfRule type="containsText" dxfId="9" priority="2176" operator="containsText" text="No">
      <formula>NOT(ISERROR(SEARCH(("No"),(O1080))))</formula>
    </cfRule>
  </conditionalFormatting>
  <conditionalFormatting sqref="O1080">
    <cfRule type="containsText" dxfId="2" priority="2177" operator="containsText" text="Yes">
      <formula>NOT(ISERROR(SEARCH(("Yes"),(O1080))))</formula>
    </cfRule>
  </conditionalFormatting>
  <conditionalFormatting sqref="O1080">
    <cfRule type="containsText" dxfId="2" priority="2178" operator="containsText" text="Yes">
      <formula>NOT(ISERROR(SEARCH(("Yes"),(O1080))))</formula>
    </cfRule>
  </conditionalFormatting>
  <conditionalFormatting sqref="O1080">
    <cfRule type="containsText" dxfId="9" priority="2179" operator="containsText" text="No">
      <formula>NOT(ISERROR(SEARCH(("No"),(O1080))))</formula>
    </cfRule>
  </conditionalFormatting>
  <conditionalFormatting sqref="O1080">
    <cfRule type="containsText" dxfId="2" priority="2180" operator="containsText" text="Yes">
      <formula>NOT(ISERROR(SEARCH(("Yes"),(O1080))))</formula>
    </cfRule>
  </conditionalFormatting>
  <conditionalFormatting sqref="O1080">
    <cfRule type="containsText" dxfId="9" priority="2181" operator="containsText" text="No">
      <formula>NOT(ISERROR(SEARCH(("No"),(O1080))))</formula>
    </cfRule>
  </conditionalFormatting>
  <conditionalFormatting sqref="O1080">
    <cfRule type="containsText" dxfId="2" priority="2182" operator="containsText" text="Yes">
      <formula>NOT(ISERROR(SEARCH(("Yes"),(O1080))))</formula>
    </cfRule>
  </conditionalFormatting>
  <conditionalFormatting sqref="O1080">
    <cfRule type="containsText" dxfId="9" priority="2183" operator="containsText" text="No">
      <formula>NOT(ISERROR(SEARCH(("No"),(O1080))))</formula>
    </cfRule>
  </conditionalFormatting>
  <conditionalFormatting sqref="O1080">
    <cfRule type="containsText" dxfId="2" priority="2184" operator="containsText" text="Yes">
      <formula>NOT(ISERROR(SEARCH(("Yes"),(O1080))))</formula>
    </cfRule>
  </conditionalFormatting>
  <conditionalFormatting sqref="O1080">
    <cfRule type="containsText" dxfId="9" priority="2185" operator="containsText" text="No">
      <formula>NOT(ISERROR(SEARCH(("No"),(O1080))))</formula>
    </cfRule>
  </conditionalFormatting>
  <conditionalFormatting sqref="O1080">
    <cfRule type="containsText" dxfId="2" priority="2186" operator="containsText" text="Yes">
      <formula>NOT(ISERROR(SEARCH(("Yes"),(O1080))))</formula>
    </cfRule>
  </conditionalFormatting>
  <conditionalFormatting sqref="O1082">
    <cfRule type="containsText" dxfId="9" priority="2187" operator="containsText" text="No">
      <formula>NOT(ISERROR(SEARCH(("No"),(O1082))))</formula>
    </cfRule>
  </conditionalFormatting>
  <conditionalFormatting sqref="O1082">
    <cfRule type="containsText" dxfId="2" priority="2188" operator="containsText" text="Yes">
      <formula>NOT(ISERROR(SEARCH(("Yes"),(O1082))))</formula>
    </cfRule>
  </conditionalFormatting>
  <conditionalFormatting sqref="O1082">
    <cfRule type="containsText" dxfId="9" priority="2189" operator="containsText" text="No">
      <formula>NOT(ISERROR(SEARCH(("No"),(O1082))))</formula>
    </cfRule>
  </conditionalFormatting>
  <conditionalFormatting sqref="O1082">
    <cfRule type="containsText" dxfId="9" priority="2190" operator="containsText" text="No">
      <formula>NOT(ISERROR(SEARCH(("No"),(O1082))))</formula>
    </cfRule>
  </conditionalFormatting>
  <conditionalFormatting sqref="O1082">
    <cfRule type="containsText" dxfId="2" priority="2191" operator="containsText" text="Yes">
      <formula>NOT(ISERROR(SEARCH(("Yes"),(O1082))))</formula>
    </cfRule>
  </conditionalFormatting>
  <conditionalFormatting sqref="O1082">
    <cfRule type="containsText" dxfId="2" priority="2192" operator="containsText" text="Yes">
      <formula>NOT(ISERROR(SEARCH(("Yes"),(O1082))))</formula>
    </cfRule>
  </conditionalFormatting>
  <conditionalFormatting sqref="O1082">
    <cfRule type="containsText" dxfId="9" priority="2193" operator="containsText" text="No">
      <formula>NOT(ISERROR(SEARCH(("No"),(O1082))))</formula>
    </cfRule>
  </conditionalFormatting>
  <conditionalFormatting sqref="O1082">
    <cfRule type="containsText" dxfId="2" priority="2194" operator="containsText" text="Yes">
      <formula>NOT(ISERROR(SEARCH(("Yes"),(O1082))))</formula>
    </cfRule>
  </conditionalFormatting>
  <conditionalFormatting sqref="O1082">
    <cfRule type="containsText" dxfId="9" priority="2195" operator="containsText" text="No">
      <formula>NOT(ISERROR(SEARCH(("No"),(O1082))))</formula>
    </cfRule>
  </conditionalFormatting>
  <conditionalFormatting sqref="O1082">
    <cfRule type="containsText" dxfId="2" priority="2196" operator="containsText" text="Yes">
      <formula>NOT(ISERROR(SEARCH(("Yes"),(O1082))))</formula>
    </cfRule>
  </conditionalFormatting>
  <conditionalFormatting sqref="O1082">
    <cfRule type="containsText" dxfId="9" priority="2197" operator="containsText" text="No">
      <formula>NOT(ISERROR(SEARCH(("No"),(O1082))))</formula>
    </cfRule>
  </conditionalFormatting>
  <conditionalFormatting sqref="O1082">
    <cfRule type="containsText" dxfId="2" priority="2198" operator="containsText" text="Yes">
      <formula>NOT(ISERROR(SEARCH(("Yes"),(O1082))))</formula>
    </cfRule>
  </conditionalFormatting>
  <conditionalFormatting sqref="O1082">
    <cfRule type="containsText" dxfId="9" priority="2199" operator="containsText" text="No">
      <formula>NOT(ISERROR(SEARCH(("No"),(O1082))))</formula>
    </cfRule>
  </conditionalFormatting>
  <conditionalFormatting sqref="O1082">
    <cfRule type="containsText" dxfId="2" priority="2200" operator="containsText" text="Yes">
      <formula>NOT(ISERROR(SEARCH(("Yes"),(O1082))))</formula>
    </cfRule>
  </conditionalFormatting>
  <conditionalFormatting sqref="O1085">
    <cfRule type="containsText" dxfId="9" priority="2201" operator="containsText" text="No">
      <formula>NOT(ISERROR(SEARCH(("No"),(O1085))))</formula>
    </cfRule>
  </conditionalFormatting>
  <conditionalFormatting sqref="O1085">
    <cfRule type="containsText" dxfId="2" priority="2202" operator="containsText" text="Yes">
      <formula>NOT(ISERROR(SEARCH(("Yes"),(O1085))))</formula>
    </cfRule>
  </conditionalFormatting>
  <conditionalFormatting sqref="O1085">
    <cfRule type="containsText" dxfId="9" priority="2203" operator="containsText" text="No">
      <formula>NOT(ISERROR(SEARCH(("No"),(O1085))))</formula>
    </cfRule>
  </conditionalFormatting>
  <conditionalFormatting sqref="O1085">
    <cfRule type="containsText" dxfId="9" priority="2204" operator="containsText" text="No">
      <formula>NOT(ISERROR(SEARCH(("No"),(O1085))))</formula>
    </cfRule>
  </conditionalFormatting>
  <conditionalFormatting sqref="O1085">
    <cfRule type="containsText" dxfId="2" priority="2205" operator="containsText" text="Yes">
      <formula>NOT(ISERROR(SEARCH(("Yes"),(O1085))))</formula>
    </cfRule>
  </conditionalFormatting>
  <conditionalFormatting sqref="O1085">
    <cfRule type="containsText" dxfId="2" priority="2206" operator="containsText" text="Yes">
      <formula>NOT(ISERROR(SEARCH(("Yes"),(O1085))))</formula>
    </cfRule>
  </conditionalFormatting>
  <conditionalFormatting sqref="O1085">
    <cfRule type="containsText" dxfId="9" priority="2207" operator="containsText" text="No">
      <formula>NOT(ISERROR(SEARCH(("No"),(O1085))))</formula>
    </cfRule>
  </conditionalFormatting>
  <conditionalFormatting sqref="O1085">
    <cfRule type="containsText" dxfId="2" priority="2208" operator="containsText" text="Yes">
      <formula>NOT(ISERROR(SEARCH(("Yes"),(O1085))))</formula>
    </cfRule>
  </conditionalFormatting>
  <conditionalFormatting sqref="O1085">
    <cfRule type="containsText" dxfId="9" priority="2209" operator="containsText" text="No">
      <formula>NOT(ISERROR(SEARCH(("No"),(O1085))))</formula>
    </cfRule>
  </conditionalFormatting>
  <conditionalFormatting sqref="O1085">
    <cfRule type="containsText" dxfId="2" priority="2210" operator="containsText" text="Yes">
      <formula>NOT(ISERROR(SEARCH(("Yes"),(O1085))))</formula>
    </cfRule>
  </conditionalFormatting>
  <conditionalFormatting sqref="O1085">
    <cfRule type="containsText" dxfId="9" priority="2211" operator="containsText" text="No">
      <formula>NOT(ISERROR(SEARCH(("No"),(O1085))))</formula>
    </cfRule>
  </conditionalFormatting>
  <conditionalFormatting sqref="O1085">
    <cfRule type="containsText" dxfId="2" priority="2212" operator="containsText" text="Yes">
      <formula>NOT(ISERROR(SEARCH(("Yes"),(O1085))))</formula>
    </cfRule>
  </conditionalFormatting>
  <conditionalFormatting sqref="O1085">
    <cfRule type="containsText" dxfId="9" priority="2213" operator="containsText" text="No">
      <formula>NOT(ISERROR(SEARCH(("No"),(O1085))))</formula>
    </cfRule>
  </conditionalFormatting>
  <conditionalFormatting sqref="O1085">
    <cfRule type="containsText" dxfId="2" priority="2214" operator="containsText" text="Yes">
      <formula>NOT(ISERROR(SEARCH(("Yes"),(O1085))))</formula>
    </cfRule>
  </conditionalFormatting>
  <conditionalFormatting sqref="O1086:O1092">
    <cfRule type="containsText" dxfId="9" priority="2215" operator="containsText" text="No">
      <formula>NOT(ISERROR(SEARCH(("No"),(O1086))))</formula>
    </cfRule>
  </conditionalFormatting>
  <conditionalFormatting sqref="O1086:O1092">
    <cfRule type="containsText" dxfId="2" priority="2216" operator="containsText" text="Yes">
      <formula>NOT(ISERROR(SEARCH(("Yes"),(O1086))))</formula>
    </cfRule>
  </conditionalFormatting>
  <conditionalFormatting sqref="O1093">
    <cfRule type="containsText" dxfId="9" priority="2217" operator="containsText" text="No">
      <formula>NOT(ISERROR(SEARCH(("No"),(O1093))))</formula>
    </cfRule>
  </conditionalFormatting>
  <conditionalFormatting sqref="O1093">
    <cfRule type="containsText" dxfId="2" priority="2218" operator="containsText" text="Yes">
      <formula>NOT(ISERROR(SEARCH(("Yes"),(O1093))))</formula>
    </cfRule>
  </conditionalFormatting>
  <conditionalFormatting sqref="O1093">
    <cfRule type="containsText" dxfId="9" priority="2219" operator="containsText" text="No">
      <formula>NOT(ISERROR(SEARCH(("No"),(O1093))))</formula>
    </cfRule>
  </conditionalFormatting>
  <conditionalFormatting sqref="O1093">
    <cfRule type="containsText" dxfId="9" priority="2220" operator="containsText" text="No">
      <formula>NOT(ISERROR(SEARCH(("No"),(O1093))))</formula>
    </cfRule>
  </conditionalFormatting>
  <conditionalFormatting sqref="O1093">
    <cfRule type="containsText" dxfId="2" priority="2221" operator="containsText" text="Yes">
      <formula>NOT(ISERROR(SEARCH(("Yes"),(O1093))))</formula>
    </cfRule>
  </conditionalFormatting>
  <conditionalFormatting sqref="O1093">
    <cfRule type="containsText" dxfId="2" priority="2222" operator="containsText" text="Yes">
      <formula>NOT(ISERROR(SEARCH(("Yes"),(O1093))))</formula>
    </cfRule>
  </conditionalFormatting>
  <conditionalFormatting sqref="O1093">
    <cfRule type="containsText" dxfId="9" priority="2223" operator="containsText" text="No">
      <formula>NOT(ISERROR(SEARCH(("No"),(O1093))))</formula>
    </cfRule>
  </conditionalFormatting>
  <conditionalFormatting sqref="O1093">
    <cfRule type="containsText" dxfId="2" priority="2224" operator="containsText" text="Yes">
      <formula>NOT(ISERROR(SEARCH(("Yes"),(O1093))))</formula>
    </cfRule>
  </conditionalFormatting>
  <conditionalFormatting sqref="O1093">
    <cfRule type="containsText" dxfId="9" priority="2225" operator="containsText" text="No">
      <formula>NOT(ISERROR(SEARCH(("No"),(O1093))))</formula>
    </cfRule>
  </conditionalFormatting>
  <conditionalFormatting sqref="O1093">
    <cfRule type="containsText" dxfId="2" priority="2226" operator="containsText" text="Yes">
      <formula>NOT(ISERROR(SEARCH(("Yes"),(O1093))))</formula>
    </cfRule>
  </conditionalFormatting>
  <conditionalFormatting sqref="O1093">
    <cfRule type="containsText" dxfId="9" priority="2227" operator="containsText" text="No">
      <formula>NOT(ISERROR(SEARCH(("No"),(O1093))))</formula>
    </cfRule>
  </conditionalFormatting>
  <conditionalFormatting sqref="O1093">
    <cfRule type="containsText" dxfId="2" priority="2228" operator="containsText" text="Yes">
      <formula>NOT(ISERROR(SEARCH(("Yes"),(O1093))))</formula>
    </cfRule>
  </conditionalFormatting>
  <conditionalFormatting sqref="O1093">
    <cfRule type="containsText" dxfId="9" priority="2229" operator="containsText" text="No">
      <formula>NOT(ISERROR(SEARCH(("No"),(O1093))))</formula>
    </cfRule>
  </conditionalFormatting>
  <conditionalFormatting sqref="O1093">
    <cfRule type="containsText" dxfId="2" priority="2230" operator="containsText" text="Yes">
      <formula>NOT(ISERROR(SEARCH(("Yes"),(O1093))))</formula>
    </cfRule>
  </conditionalFormatting>
  <conditionalFormatting sqref="O1094:O1099">
    <cfRule type="containsText" dxfId="9" priority="2231" operator="containsText" text="No">
      <formula>NOT(ISERROR(SEARCH(("No"),(O1094))))</formula>
    </cfRule>
  </conditionalFormatting>
  <conditionalFormatting sqref="O1094:O1099">
    <cfRule type="containsText" dxfId="2" priority="2232" operator="containsText" text="Yes">
      <formula>NOT(ISERROR(SEARCH(("Yes"),(O1094))))</formula>
    </cfRule>
  </conditionalFormatting>
  <conditionalFormatting sqref="O1101">
    <cfRule type="containsText" dxfId="9" priority="2233" operator="containsText" text="No">
      <formula>NOT(ISERROR(SEARCH(("No"),(O1101))))</formula>
    </cfRule>
  </conditionalFormatting>
  <conditionalFormatting sqref="O1101">
    <cfRule type="containsText" dxfId="2" priority="2234" operator="containsText" text="Yes">
      <formula>NOT(ISERROR(SEARCH(("Yes"),(O1101))))</formula>
    </cfRule>
  </conditionalFormatting>
  <conditionalFormatting sqref="O1101">
    <cfRule type="containsText" dxfId="9" priority="2235" operator="containsText" text="No">
      <formula>NOT(ISERROR(SEARCH(("No"),(O1101))))</formula>
    </cfRule>
  </conditionalFormatting>
  <conditionalFormatting sqref="O1101">
    <cfRule type="containsText" dxfId="9" priority="2236" operator="containsText" text="No">
      <formula>NOT(ISERROR(SEARCH(("No"),(O1101))))</formula>
    </cfRule>
  </conditionalFormatting>
  <conditionalFormatting sqref="O1101">
    <cfRule type="containsText" dxfId="2" priority="2237" operator="containsText" text="Yes">
      <formula>NOT(ISERROR(SEARCH(("Yes"),(O1101))))</formula>
    </cfRule>
  </conditionalFormatting>
  <conditionalFormatting sqref="O1101">
    <cfRule type="containsText" dxfId="2" priority="2238" operator="containsText" text="Yes">
      <formula>NOT(ISERROR(SEARCH(("Yes"),(O1101))))</formula>
    </cfRule>
  </conditionalFormatting>
  <conditionalFormatting sqref="O1101">
    <cfRule type="containsText" dxfId="9" priority="2239" operator="containsText" text="No">
      <formula>NOT(ISERROR(SEARCH(("No"),(O1101))))</formula>
    </cfRule>
  </conditionalFormatting>
  <conditionalFormatting sqref="O1101">
    <cfRule type="containsText" dxfId="2" priority="2240" operator="containsText" text="Yes">
      <formula>NOT(ISERROR(SEARCH(("Yes"),(O1101))))</formula>
    </cfRule>
  </conditionalFormatting>
  <conditionalFormatting sqref="O1101">
    <cfRule type="containsText" dxfId="9" priority="2241" operator="containsText" text="No">
      <formula>NOT(ISERROR(SEARCH(("No"),(O1101))))</formula>
    </cfRule>
  </conditionalFormatting>
  <conditionalFormatting sqref="O1101">
    <cfRule type="containsText" dxfId="2" priority="2242" operator="containsText" text="Yes">
      <formula>NOT(ISERROR(SEARCH(("Yes"),(O1101))))</formula>
    </cfRule>
  </conditionalFormatting>
  <conditionalFormatting sqref="O1101">
    <cfRule type="containsText" dxfId="9" priority="2243" operator="containsText" text="No">
      <formula>NOT(ISERROR(SEARCH(("No"),(O1101))))</formula>
    </cfRule>
  </conditionalFormatting>
  <conditionalFormatting sqref="O1101">
    <cfRule type="containsText" dxfId="2" priority="2244" operator="containsText" text="Yes">
      <formula>NOT(ISERROR(SEARCH(("Yes"),(O1101))))</formula>
    </cfRule>
  </conditionalFormatting>
  <conditionalFormatting sqref="O1101">
    <cfRule type="containsText" dxfId="9" priority="2245" operator="containsText" text="No">
      <formula>NOT(ISERROR(SEARCH(("No"),(O1101))))</formula>
    </cfRule>
  </conditionalFormatting>
  <conditionalFormatting sqref="O1101">
    <cfRule type="containsText" dxfId="2" priority="2246" operator="containsText" text="Yes">
      <formula>NOT(ISERROR(SEARCH(("Yes"),(O1101))))</formula>
    </cfRule>
  </conditionalFormatting>
  <conditionalFormatting sqref="O1102">
    <cfRule type="containsText" dxfId="9" priority="2247" operator="containsText" text="No">
      <formula>NOT(ISERROR(SEARCH(("No"),(O1102))))</formula>
    </cfRule>
  </conditionalFormatting>
  <conditionalFormatting sqref="O1102">
    <cfRule type="containsText" dxfId="2" priority="2248" operator="containsText" text="Yes">
      <formula>NOT(ISERROR(SEARCH(("Yes"),(O1102))))</formula>
    </cfRule>
  </conditionalFormatting>
  <conditionalFormatting sqref="O1108:O1109">
    <cfRule type="containsText" dxfId="9" priority="2249" operator="containsText" text="No">
      <formula>NOT(ISERROR(SEARCH(("No"),(O1108))))</formula>
    </cfRule>
  </conditionalFormatting>
  <conditionalFormatting sqref="O1108:O1109">
    <cfRule type="containsText" dxfId="2" priority="2250" operator="containsText" text="Yes">
      <formula>NOT(ISERROR(SEARCH(("Yes"),(O1108))))</formula>
    </cfRule>
  </conditionalFormatting>
  <conditionalFormatting sqref="O1111:O1114">
    <cfRule type="containsText" dxfId="9" priority="2251" operator="containsText" text="No">
      <formula>NOT(ISERROR(SEARCH(("No"),(O1111))))</formula>
    </cfRule>
  </conditionalFormatting>
  <conditionalFormatting sqref="O1111:O1114">
    <cfRule type="containsText" dxfId="2" priority="2252" operator="containsText" text="Yes">
      <formula>NOT(ISERROR(SEARCH(("Yes"),(O1111))))</formula>
    </cfRule>
  </conditionalFormatting>
  <conditionalFormatting sqref="O1117:O1121">
    <cfRule type="containsText" dxfId="9" priority="2253" operator="containsText" text="No">
      <formula>NOT(ISERROR(SEARCH(("No"),(O1117))))</formula>
    </cfRule>
  </conditionalFormatting>
  <conditionalFormatting sqref="O1117:O1121">
    <cfRule type="containsText" dxfId="2" priority="2254" operator="containsText" text="Yes">
      <formula>NOT(ISERROR(SEARCH(("Yes"),(O1117))))</formula>
    </cfRule>
  </conditionalFormatting>
  <conditionalFormatting sqref="O1123:O1128">
    <cfRule type="containsText" dxfId="9" priority="2255" operator="containsText" text="No">
      <formula>NOT(ISERROR(SEARCH(("No"),(O1123))))</formula>
    </cfRule>
  </conditionalFormatting>
  <conditionalFormatting sqref="O1123:O1128">
    <cfRule type="containsText" dxfId="2" priority="2256" operator="containsText" text="Yes">
      <formula>NOT(ISERROR(SEARCH(("Yes"),(O1123))))</formula>
    </cfRule>
  </conditionalFormatting>
  <conditionalFormatting sqref="O1130:O1138">
    <cfRule type="containsText" dxfId="9" priority="2257" operator="containsText" text="No">
      <formula>NOT(ISERROR(SEARCH(("No"),(O1130))))</formula>
    </cfRule>
  </conditionalFormatting>
  <conditionalFormatting sqref="O1130:O1138">
    <cfRule type="containsText" dxfId="2" priority="2258" operator="containsText" text="Yes">
      <formula>NOT(ISERROR(SEARCH(("Yes"),(O1130))))</formula>
    </cfRule>
  </conditionalFormatting>
  <conditionalFormatting sqref="O1139:O1140">
    <cfRule type="containsText" dxfId="9" priority="2259" operator="containsText" text="No">
      <formula>NOT(ISERROR(SEARCH(("No"),(O1139))))</formula>
    </cfRule>
  </conditionalFormatting>
  <conditionalFormatting sqref="O1139:O1140">
    <cfRule type="containsText" dxfId="2" priority="2260" operator="containsText" text="Yes">
      <formula>NOT(ISERROR(SEARCH(("Yes"),(O1139))))</formula>
    </cfRule>
  </conditionalFormatting>
  <conditionalFormatting sqref="O1139:O1140">
    <cfRule type="containsText" dxfId="9" priority="2261" operator="containsText" text="No">
      <formula>NOT(ISERROR(SEARCH(("No"),(O1139))))</formula>
    </cfRule>
  </conditionalFormatting>
  <conditionalFormatting sqref="O1139:O1140">
    <cfRule type="containsText" dxfId="9" priority="2262" operator="containsText" text="No">
      <formula>NOT(ISERROR(SEARCH(("No"),(O1139))))</formula>
    </cfRule>
  </conditionalFormatting>
  <conditionalFormatting sqref="O1139:O1140">
    <cfRule type="containsText" dxfId="2" priority="2263" operator="containsText" text="Yes">
      <formula>NOT(ISERROR(SEARCH(("Yes"),(O1139))))</formula>
    </cfRule>
  </conditionalFormatting>
  <conditionalFormatting sqref="O1139:O1140">
    <cfRule type="containsText" dxfId="2" priority="2264" operator="containsText" text="Yes">
      <formula>NOT(ISERROR(SEARCH(("Yes"),(O1139))))</formula>
    </cfRule>
  </conditionalFormatting>
  <conditionalFormatting sqref="O1139:O1140">
    <cfRule type="containsText" dxfId="9" priority="2265" operator="containsText" text="No">
      <formula>NOT(ISERROR(SEARCH(("No"),(O1139))))</formula>
    </cfRule>
  </conditionalFormatting>
  <conditionalFormatting sqref="O1139:O1140">
    <cfRule type="containsText" dxfId="2" priority="2266" operator="containsText" text="Yes">
      <formula>NOT(ISERROR(SEARCH(("Yes"),(O1139))))</formula>
    </cfRule>
  </conditionalFormatting>
  <conditionalFormatting sqref="O1139:O1140">
    <cfRule type="containsText" dxfId="9" priority="2267" operator="containsText" text="No">
      <formula>NOT(ISERROR(SEARCH(("No"),(O1139))))</formula>
    </cfRule>
  </conditionalFormatting>
  <conditionalFormatting sqref="O1139:O1140">
    <cfRule type="containsText" dxfId="2" priority="2268" operator="containsText" text="Yes">
      <formula>NOT(ISERROR(SEARCH(("Yes"),(O1139))))</formula>
    </cfRule>
  </conditionalFormatting>
  <conditionalFormatting sqref="O1139:O1140">
    <cfRule type="containsText" dxfId="9" priority="2269" operator="containsText" text="No">
      <formula>NOT(ISERROR(SEARCH(("No"),(O1139))))</formula>
    </cfRule>
  </conditionalFormatting>
  <conditionalFormatting sqref="O1139:O1140">
    <cfRule type="containsText" dxfId="2" priority="2270" operator="containsText" text="Yes">
      <formula>NOT(ISERROR(SEARCH(("Yes"),(O1139))))</formula>
    </cfRule>
  </conditionalFormatting>
  <conditionalFormatting sqref="O1139:O1140">
    <cfRule type="containsText" dxfId="9" priority="2271" operator="containsText" text="No">
      <formula>NOT(ISERROR(SEARCH(("No"),(O1139))))</formula>
    </cfRule>
  </conditionalFormatting>
  <conditionalFormatting sqref="O1139:O1140">
    <cfRule type="containsText" dxfId="2" priority="2272" operator="containsText" text="Yes">
      <formula>NOT(ISERROR(SEARCH(("Yes"),(O1139))))</formula>
    </cfRule>
  </conditionalFormatting>
  <conditionalFormatting sqref="O1141">
    <cfRule type="containsText" dxfId="9" priority="2273" operator="containsText" text="No">
      <formula>NOT(ISERROR(SEARCH(("No"),(O1141))))</formula>
    </cfRule>
  </conditionalFormatting>
  <conditionalFormatting sqref="O1141">
    <cfRule type="containsText" dxfId="2" priority="2274" operator="containsText" text="Yes">
      <formula>NOT(ISERROR(SEARCH(("Yes"),(O1141))))</formula>
    </cfRule>
  </conditionalFormatting>
  <conditionalFormatting sqref="O1142:O1143">
    <cfRule type="containsText" dxfId="9" priority="2275" operator="containsText" text="No">
      <formula>NOT(ISERROR(SEARCH(("No"),(O1142))))</formula>
    </cfRule>
  </conditionalFormatting>
  <conditionalFormatting sqref="O1142:O1143">
    <cfRule type="containsText" dxfId="2" priority="2276" operator="containsText" text="Yes">
      <formula>NOT(ISERROR(SEARCH(("Yes"),(O1142))))</formula>
    </cfRule>
  </conditionalFormatting>
  <conditionalFormatting sqref="O1142:O1143">
    <cfRule type="containsText" dxfId="9" priority="2277" operator="containsText" text="No">
      <formula>NOT(ISERROR(SEARCH(("No"),(O1142))))</formula>
    </cfRule>
  </conditionalFormatting>
  <conditionalFormatting sqref="O1142:O1143">
    <cfRule type="containsText" dxfId="9" priority="2278" operator="containsText" text="No">
      <formula>NOT(ISERROR(SEARCH(("No"),(O1142))))</formula>
    </cfRule>
  </conditionalFormatting>
  <conditionalFormatting sqref="O1142:O1143">
    <cfRule type="containsText" dxfId="2" priority="2279" operator="containsText" text="Yes">
      <formula>NOT(ISERROR(SEARCH(("Yes"),(O1142))))</formula>
    </cfRule>
  </conditionalFormatting>
  <conditionalFormatting sqref="O1142:O1143">
    <cfRule type="containsText" dxfId="2" priority="2280" operator="containsText" text="Yes">
      <formula>NOT(ISERROR(SEARCH(("Yes"),(O1142))))</formula>
    </cfRule>
  </conditionalFormatting>
  <conditionalFormatting sqref="O1142:O1143">
    <cfRule type="containsText" dxfId="9" priority="2281" operator="containsText" text="No">
      <formula>NOT(ISERROR(SEARCH(("No"),(O1142))))</formula>
    </cfRule>
  </conditionalFormatting>
  <conditionalFormatting sqref="O1142:O1143">
    <cfRule type="containsText" dxfId="2" priority="2282" operator="containsText" text="Yes">
      <formula>NOT(ISERROR(SEARCH(("Yes"),(O1142))))</formula>
    </cfRule>
  </conditionalFormatting>
  <conditionalFormatting sqref="O1142:O1143">
    <cfRule type="containsText" dxfId="9" priority="2283" operator="containsText" text="No">
      <formula>NOT(ISERROR(SEARCH(("No"),(O1142))))</formula>
    </cfRule>
  </conditionalFormatting>
  <conditionalFormatting sqref="O1142:O1143">
    <cfRule type="containsText" dxfId="2" priority="2284" operator="containsText" text="Yes">
      <formula>NOT(ISERROR(SEARCH(("Yes"),(O1142))))</formula>
    </cfRule>
  </conditionalFormatting>
  <conditionalFormatting sqref="O1142:O1143">
    <cfRule type="containsText" dxfId="9" priority="2285" operator="containsText" text="No">
      <formula>NOT(ISERROR(SEARCH(("No"),(O1142))))</formula>
    </cfRule>
  </conditionalFormatting>
  <conditionalFormatting sqref="O1142:O1143">
    <cfRule type="containsText" dxfId="2" priority="2286" operator="containsText" text="Yes">
      <formula>NOT(ISERROR(SEARCH(("Yes"),(O1142))))</formula>
    </cfRule>
  </conditionalFormatting>
  <conditionalFormatting sqref="O1142:O1143">
    <cfRule type="containsText" dxfId="9" priority="2287" operator="containsText" text="No">
      <formula>NOT(ISERROR(SEARCH(("No"),(O1142))))</formula>
    </cfRule>
  </conditionalFormatting>
  <conditionalFormatting sqref="O1142:O1143">
    <cfRule type="containsText" dxfId="2" priority="2288" operator="containsText" text="Yes">
      <formula>NOT(ISERROR(SEARCH(("Yes"),(O1142))))</formula>
    </cfRule>
  </conditionalFormatting>
  <conditionalFormatting sqref="O1144:O1158">
    <cfRule type="containsText" dxfId="9" priority="2289" operator="containsText" text="No">
      <formula>NOT(ISERROR(SEARCH(("No"),(O1144))))</formula>
    </cfRule>
  </conditionalFormatting>
  <conditionalFormatting sqref="O1144:O1158">
    <cfRule type="containsText" dxfId="2" priority="2290" operator="containsText" text="Yes">
      <formula>NOT(ISERROR(SEARCH(("Yes"),(O1144))))</formula>
    </cfRule>
  </conditionalFormatting>
  <conditionalFormatting sqref="O1160:O1162">
    <cfRule type="containsText" dxfId="9" priority="2291" operator="containsText" text="No">
      <formula>NOT(ISERROR(SEARCH(("No"),(O1160))))</formula>
    </cfRule>
  </conditionalFormatting>
  <conditionalFormatting sqref="O1160:O1162">
    <cfRule type="containsText" dxfId="2" priority="2292" operator="containsText" text="Yes">
      <formula>NOT(ISERROR(SEARCH(("Yes"),(O1160))))</formula>
    </cfRule>
  </conditionalFormatting>
  <conditionalFormatting sqref="O1431">
    <cfRule type="containsText" dxfId="9" priority="2293" operator="containsText" text="No">
      <formula>NOT(ISERROR(SEARCH(("No"),(O1431))))</formula>
    </cfRule>
  </conditionalFormatting>
  <conditionalFormatting sqref="O1431">
    <cfRule type="containsText" dxfId="2" priority="2294" operator="containsText" text="Yes">
      <formula>NOT(ISERROR(SEARCH(("Yes"),(O1431))))</formula>
    </cfRule>
  </conditionalFormatting>
  <conditionalFormatting sqref="O949:Q949">
    <cfRule type="containsText" dxfId="9" priority="2295" operator="containsText" text="No">
      <formula>NOT(ISERROR(SEARCH(("No"),(O949))))</formula>
    </cfRule>
  </conditionalFormatting>
  <conditionalFormatting sqref="O949:Q949">
    <cfRule type="containsText" dxfId="2" priority="2296" operator="containsText" text="Yes">
      <formula>NOT(ISERROR(SEARCH(("Yes"),(O949))))</formula>
    </cfRule>
  </conditionalFormatting>
  <conditionalFormatting sqref="P122:P126 P128:P133 P136:P139 P142:P143 P146:P152 Q150 P154 P159 P161:P162 P164 P166:P167 P172 P174 P176 P180:P182 P184">
    <cfRule type="containsText" dxfId="9" priority="2297" operator="containsText" text="No">
      <formula>NOT(ISERROR(SEARCH(("No"),(P122))))</formula>
    </cfRule>
  </conditionalFormatting>
  <conditionalFormatting sqref="P122:P126 P128:P133 P136:P139 P142:P143 P146:P152 Q150 P154 P159 P161:P162 P164 P166:P167 P172 P174 P176 P180:P182 P184">
    <cfRule type="containsText" dxfId="2" priority="2298" operator="containsText" text="Yes">
      <formula>NOT(ISERROR(SEARCH(("Yes"),(P122))))</formula>
    </cfRule>
  </conditionalFormatting>
  <conditionalFormatting sqref="N634:O637 N639:O640 N642:O642 N644:O644 N646:O646 N652:O652 N655:O656 N658:O658 N662:O662 N664:O665 N671:N673 N675:O675 N678:O678 N680:O680 N682:O683 N686:O687 N689:O689 N691:O691 N693:O697 O597:O598 O628:O631 O670:O673 P237:P250 P252 P587:P589 P591 P593 P595:P627 P629:Q629 P632:P669 P671:Q697 P726:P740 Q598 Q608:Q610 Q612 Q614:Q615 Q617:Q619 Q623:Q627 Q632:Q637 Q639:Q669 Q740 U692:V692">
    <cfRule type="containsText" dxfId="2" priority="2299" operator="containsText" text="Yes">
      <formula>NOT(ISERROR(SEARCH(("Yes"),(N634))))</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00"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01"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02"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03"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04"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05"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06"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07"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08"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09"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10"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11"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12"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13"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14"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15"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16"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17"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18"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19"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20"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21"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22"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23"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24"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25"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26"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27"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28"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29"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30"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31"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32"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33"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34"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35"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36"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37"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38"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39"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40"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41"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42"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43"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44" operator="containsText" text="Yes">
      <formula>NOT(ISERROR(SEARCH(("Yes"),(N383))))</formula>
    </cfRule>
  </conditionalFormatting>
  <conditionalFormatting sqref="N383:O384 N634:O637 N639:O640 N642:O642 N644:O644 N646:O646 N652:O652 N655:O656 N658:O658 N662:O662 N664:O665 N671:N673 N675:O675 N678:O678 N680:O680 N682:O683 N686:O687 N689:O689 N691:O691 N693:O697 O597:O598 O628:O631 O670:O673 P237:P250 P252 P378:P380 P383 P587:P589 P591 P593 P595:P627 P629:Q629 P632:P669 P671:Q697 P726:P740 Q598 Q608:Q610 Q612 Q614:Q615 Q617:Q619 Q623:Q627 Q632:Q637 Q639:Q669 Q740 U692:V692">
    <cfRule type="containsText" dxfId="2" priority="2345" operator="containsText" text="Yes">
      <formula>NOT(ISERROR(SEARCH(("Yes"),(N383))))</formula>
    </cfRule>
  </conditionalFormatting>
  <conditionalFormatting sqref="P230:P234 P238 P241 P243 P245 P247:P248 P251 P272:P274 Q274">
    <cfRule type="containsText" dxfId="9" priority="2346" operator="containsText" text="No">
      <formula>NOT(ISERROR(SEARCH(("No"),(P230))))</formula>
    </cfRule>
  </conditionalFormatting>
  <conditionalFormatting sqref="P230:P234 P238 P241 P243 P245 P247:P248 P251 P272:P274 Q274">
    <cfRule type="containsText" dxfId="2" priority="2347" operator="containsText" text="Yes">
      <formula>NOT(ISERROR(SEARCH(("Yes"),(P230))))</formula>
    </cfRule>
  </conditionalFormatting>
  <conditionalFormatting sqref="P378:P380 P383">
    <cfRule type="containsText" dxfId="9" priority="2348" operator="containsText" text="No">
      <formula>NOT(ISERROR(SEARCH(("No"),(P378))))</formula>
    </cfRule>
  </conditionalFormatting>
  <conditionalFormatting sqref="P378:P380 P383">
    <cfRule type="containsText" dxfId="2" priority="2349" operator="containsText" text="Yes">
      <formula>NOT(ISERROR(SEARCH(("Yes"),(P378))))</formula>
    </cfRule>
  </conditionalFormatting>
  <conditionalFormatting sqref="P576">
    <cfRule type="containsText" dxfId="9" priority="2350" operator="containsText" text="No">
      <formula>NOT(ISERROR(SEARCH(("No"),(P576))))</formula>
    </cfRule>
  </conditionalFormatting>
  <conditionalFormatting sqref="P576">
    <cfRule type="containsText" dxfId="2" priority="2351" operator="containsText" text="Yes">
      <formula>NOT(ISERROR(SEARCH(("Yes"),(P576))))</formula>
    </cfRule>
  </conditionalFormatting>
  <conditionalFormatting sqref="P576">
    <cfRule type="containsText" dxfId="2" priority="2352" operator="containsText" text="Yes">
      <formula>NOT(ISERROR(SEARCH(("Yes"),(P576))))</formula>
    </cfRule>
  </conditionalFormatting>
  <conditionalFormatting sqref="P576">
    <cfRule type="containsText" dxfId="9" priority="2353" operator="containsText" text="No">
      <formula>NOT(ISERROR(SEARCH(("No"),(P576))))</formula>
    </cfRule>
  </conditionalFormatting>
  <conditionalFormatting sqref="P576">
    <cfRule type="containsText" dxfId="2" priority="2354" operator="containsText" text="Yes">
      <formula>NOT(ISERROR(SEARCH(("Yes"),(P576))))</formula>
    </cfRule>
  </conditionalFormatting>
  <conditionalFormatting sqref="P576">
    <cfRule type="containsText" dxfId="9" priority="2355" operator="containsText" text="No">
      <formula>NOT(ISERROR(SEARCH(("No"),(P576))))</formula>
    </cfRule>
  </conditionalFormatting>
  <conditionalFormatting sqref="P576">
    <cfRule type="containsText" dxfId="2" priority="2356" operator="containsText" text="Yes">
      <formula>NOT(ISERROR(SEARCH(("Yes"),(P576))))</formula>
    </cfRule>
  </conditionalFormatting>
  <conditionalFormatting sqref="P576">
    <cfRule type="containsText" dxfId="9" priority="2357" operator="containsText" text="No">
      <formula>NOT(ISERROR(SEARCH(("No"),(P576))))</formula>
    </cfRule>
  </conditionalFormatting>
  <conditionalFormatting sqref="P576">
    <cfRule type="containsText" dxfId="2" priority="2358" operator="containsText" text="Yes">
      <formula>NOT(ISERROR(SEARCH(("Yes"),(P576))))</formula>
    </cfRule>
  </conditionalFormatting>
  <conditionalFormatting sqref="P576">
    <cfRule type="containsText" dxfId="9" priority="2359" operator="containsText" text="No">
      <formula>NOT(ISERROR(SEARCH(("No"),(P576))))</formula>
    </cfRule>
  </conditionalFormatting>
  <conditionalFormatting sqref="P576">
    <cfRule type="containsText" dxfId="2" priority="2360" operator="containsText" text="Yes">
      <formula>NOT(ISERROR(SEARCH(("Yes"),(P576))))</formula>
    </cfRule>
  </conditionalFormatting>
  <conditionalFormatting sqref="P576">
    <cfRule type="containsText" dxfId="9" priority="2361" operator="containsText" text="No">
      <formula>NOT(ISERROR(SEARCH(("No"),(P576))))</formula>
    </cfRule>
  </conditionalFormatting>
  <conditionalFormatting sqref="P576">
    <cfRule type="containsText" dxfId="2" priority="2362" operator="containsText" text="Yes">
      <formula>NOT(ISERROR(SEARCH(("Yes"),(P576))))</formula>
    </cfRule>
  </conditionalFormatting>
  <conditionalFormatting sqref="P576">
    <cfRule type="containsText" dxfId="9" priority="2363" operator="containsText" text="No">
      <formula>NOT(ISERROR(SEARCH(("No"),(P576))))</formula>
    </cfRule>
  </conditionalFormatting>
  <conditionalFormatting sqref="P576">
    <cfRule type="containsText" dxfId="2" priority="2364" operator="containsText" text="Yes">
      <formula>NOT(ISERROR(SEARCH(("Yes"),(P576))))</formula>
    </cfRule>
  </conditionalFormatting>
  <conditionalFormatting sqref="P576">
    <cfRule type="containsText" dxfId="9" priority="2365" operator="containsText" text="No">
      <formula>NOT(ISERROR(SEARCH(("No"),(P576))))</formula>
    </cfRule>
  </conditionalFormatting>
  <conditionalFormatting sqref="P576">
    <cfRule type="containsText" dxfId="2" priority="2366" operator="containsText" text="Yes">
      <formula>NOT(ISERROR(SEARCH(("Yes"),(P576))))</formula>
    </cfRule>
  </conditionalFormatting>
  <conditionalFormatting sqref="P576">
    <cfRule type="containsText" dxfId="9" priority="2367" operator="containsText" text="No">
      <formula>NOT(ISERROR(SEARCH(("No"),(P576))))</formula>
    </cfRule>
  </conditionalFormatting>
  <conditionalFormatting sqref="P576">
    <cfRule type="containsText" dxfId="2" priority="2368" operator="containsText" text="Yes">
      <formula>NOT(ISERROR(SEARCH(("Yes"),(P576))))</formula>
    </cfRule>
  </conditionalFormatting>
  <conditionalFormatting sqref="P576">
    <cfRule type="containsText" dxfId="9" priority="2369" operator="containsText" text="No">
      <formula>NOT(ISERROR(SEARCH(("No"),(P576))))</formula>
    </cfRule>
  </conditionalFormatting>
  <conditionalFormatting sqref="P576">
    <cfRule type="containsText" dxfId="2" priority="2370" operator="containsText" text="Yes">
      <formula>NOT(ISERROR(SEARCH(("Yes"),(P576))))</formula>
    </cfRule>
  </conditionalFormatting>
  <conditionalFormatting sqref="P576">
    <cfRule type="containsText" dxfId="9" priority="2371" operator="containsText" text="No">
      <formula>NOT(ISERROR(SEARCH(("No"),(P576))))</formula>
    </cfRule>
  </conditionalFormatting>
  <conditionalFormatting sqref="P576">
    <cfRule type="containsText" dxfId="2" priority="2372" operator="containsText" text="Yes">
      <formula>NOT(ISERROR(SEARCH(("Yes"),(P576))))</formula>
    </cfRule>
  </conditionalFormatting>
  <conditionalFormatting sqref="P576">
    <cfRule type="containsText" dxfId="9" priority="2373" operator="containsText" text="No">
      <formula>NOT(ISERROR(SEARCH(("No"),(P576))))</formula>
    </cfRule>
  </conditionalFormatting>
  <conditionalFormatting sqref="P576">
    <cfRule type="containsText" dxfId="2" priority="2374" operator="containsText" text="Yes">
      <formula>NOT(ISERROR(SEARCH(("Yes"),(P576))))</formula>
    </cfRule>
  </conditionalFormatting>
  <conditionalFormatting sqref="P576">
    <cfRule type="containsText" dxfId="9" priority="2375" operator="containsText" text="No">
      <formula>NOT(ISERROR(SEARCH(("No"),(P576))))</formula>
    </cfRule>
  </conditionalFormatting>
  <conditionalFormatting sqref="P576">
    <cfRule type="containsText" dxfId="2" priority="2376" operator="containsText" text="Yes">
      <formula>NOT(ISERROR(SEARCH(("Yes"),(P576))))</formula>
    </cfRule>
  </conditionalFormatting>
  <conditionalFormatting sqref="P576">
    <cfRule type="containsText" dxfId="9" priority="2377" operator="containsText" text="No">
      <formula>NOT(ISERROR(SEARCH(("No"),(P576))))</formula>
    </cfRule>
  </conditionalFormatting>
  <conditionalFormatting sqref="P576">
    <cfRule type="containsText" dxfId="2" priority="2378" operator="containsText" text="Yes">
      <formula>NOT(ISERROR(SEARCH(("Yes"),(P576))))</formula>
    </cfRule>
  </conditionalFormatting>
  <conditionalFormatting sqref="P576">
    <cfRule type="containsText" dxfId="9" priority="2379" operator="containsText" text="No">
      <formula>NOT(ISERROR(SEARCH(("No"),(P576))))</formula>
    </cfRule>
  </conditionalFormatting>
  <conditionalFormatting sqref="P576">
    <cfRule type="containsText" dxfId="2" priority="2380" operator="containsText" text="Yes">
      <formula>NOT(ISERROR(SEARCH(("Yes"),(P576))))</formula>
    </cfRule>
  </conditionalFormatting>
  <conditionalFormatting sqref="P576">
    <cfRule type="containsText" dxfId="9" priority="2381" operator="containsText" text="No">
      <formula>NOT(ISERROR(SEARCH(("No"),(P576))))</formula>
    </cfRule>
  </conditionalFormatting>
  <conditionalFormatting sqref="P576">
    <cfRule type="containsText" dxfId="2" priority="2382" operator="containsText" text="Yes">
      <formula>NOT(ISERROR(SEARCH(("Yes"),(P576))))</formula>
    </cfRule>
  </conditionalFormatting>
  <conditionalFormatting sqref="P576">
    <cfRule type="containsText" dxfId="9" priority="2383" operator="containsText" text="No">
      <formula>NOT(ISERROR(SEARCH(("No"),(P576))))</formula>
    </cfRule>
  </conditionalFormatting>
  <conditionalFormatting sqref="P576">
    <cfRule type="containsText" dxfId="2" priority="2384" operator="containsText" text="Yes">
      <formula>NOT(ISERROR(SEARCH(("Yes"),(P576))))</formula>
    </cfRule>
  </conditionalFormatting>
  <conditionalFormatting sqref="P576">
    <cfRule type="containsText" dxfId="9" priority="2385" operator="containsText" text="No">
      <formula>NOT(ISERROR(SEARCH(("No"),(P576))))</formula>
    </cfRule>
  </conditionalFormatting>
  <conditionalFormatting sqref="P576">
    <cfRule type="containsText" dxfId="2" priority="2386" operator="containsText" text="Yes">
      <formula>NOT(ISERROR(SEARCH(("Yes"),(P576))))</formula>
    </cfRule>
  </conditionalFormatting>
  <conditionalFormatting sqref="P576">
    <cfRule type="containsText" dxfId="9" priority="2387" operator="containsText" text="No">
      <formula>NOT(ISERROR(SEARCH(("No"),(P576))))</formula>
    </cfRule>
  </conditionalFormatting>
  <conditionalFormatting sqref="P576">
    <cfRule type="containsText" dxfId="2" priority="2388" operator="containsText" text="Yes">
      <formula>NOT(ISERROR(SEARCH(("Yes"),(P576))))</formula>
    </cfRule>
  </conditionalFormatting>
  <conditionalFormatting sqref="P576">
    <cfRule type="containsText" dxfId="9" priority="2389" operator="containsText" text="No">
      <formula>NOT(ISERROR(SEARCH(("No"),(P576))))</formula>
    </cfRule>
  </conditionalFormatting>
  <conditionalFormatting sqref="P576">
    <cfRule type="containsText" dxfId="2" priority="2390" operator="containsText" text="Yes">
      <formula>NOT(ISERROR(SEARCH(("Yes"),(P576))))</formula>
    </cfRule>
  </conditionalFormatting>
  <conditionalFormatting sqref="P576">
    <cfRule type="containsText" dxfId="9" priority="2391" operator="containsText" text="No">
      <formula>NOT(ISERROR(SEARCH(("No"),(P576))))</formula>
    </cfRule>
  </conditionalFormatting>
  <conditionalFormatting sqref="P576">
    <cfRule type="containsText" dxfId="2" priority="2392" operator="containsText" text="Yes">
      <formula>NOT(ISERROR(SEARCH(("Yes"),(P576))))</formula>
    </cfRule>
  </conditionalFormatting>
  <conditionalFormatting sqref="P576">
    <cfRule type="containsText" dxfId="9" priority="2393" operator="containsText" text="No">
      <formula>NOT(ISERROR(SEARCH(("No"),(P576))))</formula>
    </cfRule>
  </conditionalFormatting>
  <conditionalFormatting sqref="P576">
    <cfRule type="containsText" dxfId="2" priority="2394" operator="containsText" text="Yes">
      <formula>NOT(ISERROR(SEARCH(("Yes"),(P576))))</formula>
    </cfRule>
  </conditionalFormatting>
  <conditionalFormatting sqref="P576">
    <cfRule type="containsText" dxfId="9" priority="2395" operator="containsText" text="No">
      <formula>NOT(ISERROR(SEARCH(("No"),(P576))))</formula>
    </cfRule>
  </conditionalFormatting>
  <conditionalFormatting sqref="P576">
    <cfRule type="containsText" dxfId="2" priority="2396" operator="containsText" text="Yes">
      <formula>NOT(ISERROR(SEARCH(("Yes"),(P576))))</formula>
    </cfRule>
  </conditionalFormatting>
  <conditionalFormatting sqref="P576">
    <cfRule type="containsText" dxfId="9" priority="2397" operator="containsText" text="No">
      <formula>NOT(ISERROR(SEARCH(("No"),(P576))))</formula>
    </cfRule>
  </conditionalFormatting>
  <conditionalFormatting sqref="P576">
    <cfRule type="containsText" dxfId="2" priority="2398" operator="containsText" text="Yes">
      <formula>NOT(ISERROR(SEARCH(("Yes"),(P576))))</formula>
    </cfRule>
  </conditionalFormatting>
  <conditionalFormatting sqref="P576">
    <cfRule type="containsText" dxfId="9" priority="2399" operator="containsText" text="No">
      <formula>NOT(ISERROR(SEARCH(("No"),(P576))))</formula>
    </cfRule>
  </conditionalFormatting>
  <conditionalFormatting sqref="P576">
    <cfRule type="containsText" dxfId="2" priority="2400" operator="containsText" text="Yes">
      <formula>NOT(ISERROR(SEARCH(("Yes"),(P576))))</formula>
    </cfRule>
  </conditionalFormatting>
  <conditionalFormatting sqref="P576">
    <cfRule type="containsText" dxfId="9" priority="2401" operator="containsText" text="No">
      <formula>NOT(ISERROR(SEARCH(("No"),(P576))))</formula>
    </cfRule>
  </conditionalFormatting>
  <conditionalFormatting sqref="P576">
    <cfRule type="containsText" dxfId="2" priority="2402" operator="containsText" text="Yes">
      <formula>NOT(ISERROR(SEARCH(("Yes"),(P576))))</formula>
    </cfRule>
  </conditionalFormatting>
  <conditionalFormatting sqref="P576">
    <cfRule type="containsText" dxfId="9" priority="2403" operator="containsText" text="No">
      <formula>NOT(ISERROR(SEARCH(("No"),(P576))))</formula>
    </cfRule>
  </conditionalFormatting>
  <conditionalFormatting sqref="P576">
    <cfRule type="containsText" dxfId="2" priority="2404" operator="containsText" text="Yes">
      <formula>NOT(ISERROR(SEARCH(("Yes"),(P576))))</formula>
    </cfRule>
  </conditionalFormatting>
  <conditionalFormatting sqref="P576">
    <cfRule type="containsText" dxfId="9" priority="2405" operator="containsText" text="No">
      <formula>NOT(ISERROR(SEARCH(("No"),(P576))))</formula>
    </cfRule>
  </conditionalFormatting>
  <conditionalFormatting sqref="P576">
    <cfRule type="containsText" dxfId="2" priority="2406" operator="containsText" text="Yes">
      <formula>NOT(ISERROR(SEARCH(("Yes"),(P576))))</formula>
    </cfRule>
  </conditionalFormatting>
  <conditionalFormatting sqref="P576">
    <cfRule type="containsText" dxfId="9" priority="2407" operator="containsText" text="No">
      <formula>NOT(ISERROR(SEARCH(("No"),(P576))))</formula>
    </cfRule>
  </conditionalFormatting>
  <conditionalFormatting sqref="P576">
    <cfRule type="containsText" dxfId="2" priority="2408" operator="containsText" text="Yes">
      <formula>NOT(ISERROR(SEARCH(("Yes"),(P576))))</formula>
    </cfRule>
  </conditionalFormatting>
  <conditionalFormatting sqref="P576">
    <cfRule type="containsText" dxfId="9" priority="2409" operator="containsText" text="No">
      <formula>NOT(ISERROR(SEARCH(("No"),(P576))))</formula>
    </cfRule>
  </conditionalFormatting>
  <conditionalFormatting sqref="P576">
    <cfRule type="containsText" dxfId="2" priority="2410" operator="containsText" text="Yes">
      <formula>NOT(ISERROR(SEARCH(("Yes"),(P576))))</formula>
    </cfRule>
  </conditionalFormatting>
  <conditionalFormatting sqref="P576">
    <cfRule type="containsText" dxfId="9" priority="2411" operator="containsText" text="No">
      <formula>NOT(ISERROR(SEARCH(("No"),(P576))))</formula>
    </cfRule>
  </conditionalFormatting>
  <conditionalFormatting sqref="P576">
    <cfRule type="containsText" dxfId="2" priority="2412" operator="containsText" text="Yes">
      <formula>NOT(ISERROR(SEARCH(("Yes"),(P576))))</formula>
    </cfRule>
  </conditionalFormatting>
  <conditionalFormatting sqref="P576">
    <cfRule type="containsText" dxfId="9" priority="2413" operator="containsText" text="No">
      <formula>NOT(ISERROR(SEARCH(("No"),(P576))))</formula>
    </cfRule>
  </conditionalFormatting>
  <conditionalFormatting sqref="P576">
    <cfRule type="containsText" dxfId="2" priority="2414" operator="containsText" text="Yes">
      <formula>NOT(ISERROR(SEARCH(("Yes"),(P576))))</formula>
    </cfRule>
  </conditionalFormatting>
  <conditionalFormatting sqref="P576">
    <cfRule type="containsText" dxfId="9" priority="2415" operator="containsText" text="No">
      <formula>NOT(ISERROR(SEARCH(("No"),(P576))))</formula>
    </cfRule>
  </conditionalFormatting>
  <conditionalFormatting sqref="P576">
    <cfRule type="containsText" dxfId="2" priority="2416" operator="containsText" text="Yes">
      <formula>NOT(ISERROR(SEARCH(("Yes"),(P576))))</formula>
    </cfRule>
  </conditionalFormatting>
  <conditionalFormatting sqref="P576">
    <cfRule type="containsText" dxfId="9" priority="2417" operator="containsText" text="No">
      <formula>NOT(ISERROR(SEARCH(("No"),(P576))))</formula>
    </cfRule>
  </conditionalFormatting>
  <conditionalFormatting sqref="P576">
    <cfRule type="containsText" dxfId="2" priority="2418" operator="containsText" text="Yes">
      <formula>NOT(ISERROR(SEARCH(("Yes"),(P576))))</formula>
    </cfRule>
  </conditionalFormatting>
  <conditionalFormatting sqref="P576">
    <cfRule type="containsText" dxfId="9" priority="2419" operator="containsText" text="No">
      <formula>NOT(ISERROR(SEARCH(("No"),(P576))))</formula>
    </cfRule>
  </conditionalFormatting>
  <conditionalFormatting sqref="P576">
    <cfRule type="containsText" dxfId="2" priority="2420" operator="containsText" text="Yes">
      <formula>NOT(ISERROR(SEARCH(("Yes"),(P576))))</formula>
    </cfRule>
  </conditionalFormatting>
  <conditionalFormatting sqref="P576">
    <cfRule type="containsText" dxfId="9" priority="2421" operator="containsText" text="No">
      <formula>NOT(ISERROR(SEARCH(("No"),(P576))))</formula>
    </cfRule>
  </conditionalFormatting>
  <conditionalFormatting sqref="P576">
    <cfRule type="containsText" dxfId="2" priority="2422" operator="containsText" text="Yes">
      <formula>NOT(ISERROR(SEARCH(("Yes"),(P576))))</formula>
    </cfRule>
  </conditionalFormatting>
  <conditionalFormatting sqref="P576">
    <cfRule type="containsText" dxfId="9" priority="2423" operator="containsText" text="No">
      <formula>NOT(ISERROR(SEARCH(("No"),(P576))))</formula>
    </cfRule>
  </conditionalFormatting>
  <conditionalFormatting sqref="P576">
    <cfRule type="containsText" dxfId="2" priority="2424" operator="containsText" text="Yes">
      <formula>NOT(ISERROR(SEARCH(("Yes"),(P576))))</formula>
    </cfRule>
  </conditionalFormatting>
  <conditionalFormatting sqref="P576">
    <cfRule type="containsText" dxfId="9" priority="2425" operator="containsText" text="No">
      <formula>NOT(ISERROR(SEARCH(("No"),(P576))))</formula>
    </cfRule>
  </conditionalFormatting>
  <conditionalFormatting sqref="P576">
    <cfRule type="containsText" dxfId="2" priority="2426" operator="containsText" text="Yes">
      <formula>NOT(ISERROR(SEARCH(("Yes"),(P576))))</formula>
    </cfRule>
  </conditionalFormatting>
  <conditionalFormatting sqref="P576">
    <cfRule type="containsText" dxfId="9" priority="2427" operator="containsText" text="No">
      <formula>NOT(ISERROR(SEARCH(("No"),(P576))))</formula>
    </cfRule>
  </conditionalFormatting>
  <conditionalFormatting sqref="P576">
    <cfRule type="containsText" dxfId="2" priority="2428" operator="containsText" text="Yes">
      <formula>NOT(ISERROR(SEARCH(("Yes"),(P576))))</formula>
    </cfRule>
  </conditionalFormatting>
  <conditionalFormatting sqref="P576">
    <cfRule type="containsText" dxfId="9" priority="2429" operator="containsText" text="No">
      <formula>NOT(ISERROR(SEARCH(("No"),(P576))))</formula>
    </cfRule>
  </conditionalFormatting>
  <conditionalFormatting sqref="P576">
    <cfRule type="containsText" dxfId="2" priority="2430" operator="containsText" text="Yes">
      <formula>NOT(ISERROR(SEARCH(("Yes"),(P576))))</formula>
    </cfRule>
  </conditionalFormatting>
  <conditionalFormatting sqref="P576">
    <cfRule type="containsText" dxfId="9" priority="2431" operator="containsText" text="No">
      <formula>NOT(ISERROR(SEARCH(("No"),(P576))))</formula>
    </cfRule>
  </conditionalFormatting>
  <conditionalFormatting sqref="P576">
    <cfRule type="containsText" dxfId="2" priority="2432" operator="containsText" text="Yes">
      <formula>NOT(ISERROR(SEARCH(("Yes"),(P576))))</formula>
    </cfRule>
  </conditionalFormatting>
  <conditionalFormatting sqref="P576">
    <cfRule type="containsText" dxfId="9" priority="2433" operator="containsText" text="No">
      <formula>NOT(ISERROR(SEARCH(("No"),(P576))))</formula>
    </cfRule>
  </conditionalFormatting>
  <conditionalFormatting sqref="P576">
    <cfRule type="containsText" dxfId="2" priority="2434" operator="containsText" text="Yes">
      <formula>NOT(ISERROR(SEARCH(("Yes"),(P576))))</formula>
    </cfRule>
  </conditionalFormatting>
  <conditionalFormatting sqref="P576">
    <cfRule type="containsText" dxfId="9" priority="2435" operator="containsText" text="No">
      <formula>NOT(ISERROR(SEARCH(("No"),(P576))))</formula>
    </cfRule>
  </conditionalFormatting>
  <conditionalFormatting sqref="P576">
    <cfRule type="containsText" dxfId="2" priority="2436" operator="containsText" text="Yes">
      <formula>NOT(ISERROR(SEARCH(("Yes"),(P576))))</formula>
    </cfRule>
  </conditionalFormatting>
  <conditionalFormatting sqref="P576">
    <cfRule type="containsText" dxfId="9" priority="2437" operator="containsText" text="No">
      <formula>NOT(ISERROR(SEARCH(("No"),(P576))))</formula>
    </cfRule>
  </conditionalFormatting>
  <conditionalFormatting sqref="P576">
    <cfRule type="containsText" dxfId="2" priority="2438" operator="containsText" text="Yes">
      <formula>NOT(ISERROR(SEARCH(("Yes"),(P576))))</formula>
    </cfRule>
  </conditionalFormatting>
  <conditionalFormatting sqref="P576">
    <cfRule type="containsText" dxfId="9" priority="2439" operator="containsText" text="No">
      <formula>NOT(ISERROR(SEARCH(("No"),(P576))))</formula>
    </cfRule>
  </conditionalFormatting>
  <conditionalFormatting sqref="P576">
    <cfRule type="containsText" dxfId="2" priority="2440" operator="containsText" text="Yes">
      <formula>NOT(ISERROR(SEARCH(("Yes"),(P576))))</formula>
    </cfRule>
  </conditionalFormatting>
  <conditionalFormatting sqref="P576">
    <cfRule type="containsText" dxfId="2" priority="2441" operator="containsText" text="Yes">
      <formula>NOT(ISERROR(SEARCH(("Yes"),(P576))))</formula>
    </cfRule>
  </conditionalFormatting>
  <conditionalFormatting sqref="O629 P628:P631">
    <cfRule type="containsText" dxfId="2" priority="2442" operator="containsText" text="Yes">
      <formula>NOT(ISERROR(SEARCH(("Yes"),(O629))))</formula>
    </cfRule>
  </conditionalFormatting>
  <conditionalFormatting sqref="O629 P628:P631">
    <cfRule type="containsText" dxfId="9" priority="2443" operator="containsText" text="No">
      <formula>NOT(ISERROR(SEARCH(("No"),(O629))))</formula>
    </cfRule>
  </conditionalFormatting>
  <conditionalFormatting sqref="O629 P628:P631">
    <cfRule type="containsText" dxfId="2" priority="2444" operator="containsText" text="Yes">
      <formula>NOT(ISERROR(SEARCH(("Yes"),(O629))))</formula>
    </cfRule>
  </conditionalFormatting>
  <conditionalFormatting sqref="O629 P628:P631">
    <cfRule type="containsText" dxfId="9" priority="2445" operator="containsText" text="No">
      <formula>NOT(ISERROR(SEARCH(("No"),(O629))))</formula>
    </cfRule>
  </conditionalFormatting>
  <conditionalFormatting sqref="O629 P628:P631">
    <cfRule type="containsText" dxfId="2" priority="2446" operator="containsText" text="Yes">
      <formula>NOT(ISERROR(SEARCH(("Yes"),(O629))))</formula>
    </cfRule>
  </conditionalFormatting>
  <conditionalFormatting sqref="O629 P628:P631">
    <cfRule type="containsText" dxfId="9" priority="2447" operator="containsText" text="No">
      <formula>NOT(ISERROR(SEARCH(("No"),(O629))))</formula>
    </cfRule>
  </conditionalFormatting>
  <conditionalFormatting sqref="O629 P628:P631">
    <cfRule type="containsText" dxfId="2" priority="2448" operator="containsText" text="Yes">
      <formula>NOT(ISERROR(SEARCH(("Yes"),(O629))))</formula>
    </cfRule>
  </conditionalFormatting>
  <conditionalFormatting sqref="O629 P628:P631">
    <cfRule type="containsText" dxfId="9" priority="2449" operator="containsText" text="No">
      <formula>NOT(ISERROR(SEARCH(("No"),(O629))))</formula>
    </cfRule>
  </conditionalFormatting>
  <conditionalFormatting sqref="O629 P628:P631">
    <cfRule type="containsText" dxfId="2" priority="2450" operator="containsText" text="Yes">
      <formula>NOT(ISERROR(SEARCH(("Yes"),(O629))))</formula>
    </cfRule>
  </conditionalFormatting>
  <conditionalFormatting sqref="O629 P628:P631">
    <cfRule type="containsText" dxfId="9" priority="2451" operator="containsText" text="No">
      <formula>NOT(ISERROR(SEARCH(("No"),(O629))))</formula>
    </cfRule>
  </conditionalFormatting>
  <conditionalFormatting sqref="O629 P628:P631">
    <cfRule type="containsText" dxfId="2" priority="2452" operator="containsText" text="Yes">
      <formula>NOT(ISERROR(SEARCH(("Yes"),(O629))))</formula>
    </cfRule>
  </conditionalFormatting>
  <conditionalFormatting sqref="O629 P628:P631">
    <cfRule type="containsText" dxfId="9" priority="2453" operator="containsText" text="No">
      <formula>NOT(ISERROR(SEARCH(("No"),(O629))))</formula>
    </cfRule>
  </conditionalFormatting>
  <conditionalFormatting sqref="O629 P628:P631">
    <cfRule type="containsText" dxfId="2" priority="2454" operator="containsText" text="Yes">
      <formula>NOT(ISERROR(SEARCH(("Yes"),(O629))))</formula>
    </cfRule>
  </conditionalFormatting>
  <conditionalFormatting sqref="O629 P628:P631">
    <cfRule type="containsText" dxfId="9" priority="2455" operator="containsText" text="No">
      <formula>NOT(ISERROR(SEARCH(("No"),(O629))))</formula>
    </cfRule>
  </conditionalFormatting>
  <conditionalFormatting sqref="O629 P628:P631">
    <cfRule type="containsText" dxfId="2" priority="2456" operator="containsText" text="Yes">
      <formula>NOT(ISERROR(SEARCH(("Yes"),(O629))))</formula>
    </cfRule>
  </conditionalFormatting>
  <conditionalFormatting sqref="O629 P628:P631">
    <cfRule type="containsText" dxfId="9" priority="2457" operator="containsText" text="No">
      <formula>NOT(ISERROR(SEARCH(("No"),(O629))))</formula>
    </cfRule>
  </conditionalFormatting>
  <conditionalFormatting sqref="O629 P628:P631">
    <cfRule type="containsText" dxfId="2" priority="2458" operator="containsText" text="Yes">
      <formula>NOT(ISERROR(SEARCH(("Yes"),(O629))))</formula>
    </cfRule>
  </conditionalFormatting>
  <conditionalFormatting sqref="O629 P628:P631">
    <cfRule type="containsText" dxfId="9" priority="2459" operator="containsText" text="No">
      <formula>NOT(ISERROR(SEARCH(("No"),(O629))))</formula>
    </cfRule>
  </conditionalFormatting>
  <conditionalFormatting sqref="O629 P628:P631">
    <cfRule type="containsText" dxfId="2" priority="2460" operator="containsText" text="Yes">
      <formula>NOT(ISERROR(SEARCH(("Yes"),(O629))))</formula>
    </cfRule>
  </conditionalFormatting>
  <conditionalFormatting sqref="O629 P628:P631">
    <cfRule type="containsText" dxfId="9" priority="2461" operator="containsText" text="No">
      <formula>NOT(ISERROR(SEARCH(("No"),(O629))))</formula>
    </cfRule>
  </conditionalFormatting>
  <conditionalFormatting sqref="O629 P628:P631">
    <cfRule type="containsText" dxfId="2" priority="2462" operator="containsText" text="Yes">
      <formula>NOT(ISERROR(SEARCH(("Yes"),(O629))))</formula>
    </cfRule>
  </conditionalFormatting>
  <conditionalFormatting sqref="O629 P628:P631">
    <cfRule type="containsText" dxfId="9" priority="2463" operator="containsText" text="No">
      <formula>NOT(ISERROR(SEARCH(("No"),(O629))))</formula>
    </cfRule>
  </conditionalFormatting>
  <conditionalFormatting sqref="O629 P628:P631">
    <cfRule type="containsText" dxfId="2" priority="2464" operator="containsText" text="Yes">
      <formula>NOT(ISERROR(SEARCH(("Yes"),(O629))))</formula>
    </cfRule>
  </conditionalFormatting>
  <conditionalFormatting sqref="O629 P628:P631">
    <cfRule type="containsText" dxfId="9" priority="2465" operator="containsText" text="No">
      <formula>NOT(ISERROR(SEARCH(("No"),(O629))))</formula>
    </cfRule>
  </conditionalFormatting>
  <conditionalFormatting sqref="O629 P628:P631">
    <cfRule type="containsText" dxfId="2" priority="2466" operator="containsText" text="Yes">
      <formula>NOT(ISERROR(SEARCH(("Yes"),(O629))))</formula>
    </cfRule>
  </conditionalFormatting>
  <conditionalFormatting sqref="O629 P628:P631">
    <cfRule type="containsText" dxfId="9" priority="2467" operator="containsText" text="No">
      <formula>NOT(ISERROR(SEARCH(("No"),(O629))))</formula>
    </cfRule>
  </conditionalFormatting>
  <conditionalFormatting sqref="O629 P628:P631">
    <cfRule type="containsText" dxfId="2" priority="2468" operator="containsText" text="Yes">
      <formula>NOT(ISERROR(SEARCH(("Yes"),(O629))))</formula>
    </cfRule>
  </conditionalFormatting>
  <conditionalFormatting sqref="O629 P628:P631">
    <cfRule type="containsText" dxfId="9" priority="2469" operator="containsText" text="No">
      <formula>NOT(ISERROR(SEARCH(("No"),(O629))))</formula>
    </cfRule>
  </conditionalFormatting>
  <conditionalFormatting sqref="O629 P628:P631">
    <cfRule type="containsText" dxfId="2" priority="2470" operator="containsText" text="Yes">
      <formula>NOT(ISERROR(SEARCH(("Yes"),(O629))))</formula>
    </cfRule>
  </conditionalFormatting>
  <conditionalFormatting sqref="O629 P628:P631">
    <cfRule type="containsText" dxfId="9" priority="2471" operator="containsText" text="No">
      <formula>NOT(ISERROR(SEARCH(("No"),(O629))))</formula>
    </cfRule>
  </conditionalFormatting>
  <conditionalFormatting sqref="O629 P628:P631">
    <cfRule type="containsText" dxfId="2" priority="2472" operator="containsText" text="Yes">
      <formula>NOT(ISERROR(SEARCH(("Yes"),(O629))))</formula>
    </cfRule>
  </conditionalFormatting>
  <conditionalFormatting sqref="O629 P628:P631">
    <cfRule type="containsText" dxfId="9" priority="2473" operator="containsText" text="No">
      <formula>NOT(ISERROR(SEARCH(("No"),(O629))))</formula>
    </cfRule>
  </conditionalFormatting>
  <conditionalFormatting sqref="O629 P628:P631">
    <cfRule type="containsText" dxfId="2" priority="2474" operator="containsText" text="Yes">
      <formula>NOT(ISERROR(SEARCH(("Yes"),(O629))))</formula>
    </cfRule>
  </conditionalFormatting>
  <conditionalFormatting sqref="O629 P628:P631">
    <cfRule type="containsText" dxfId="9" priority="2475" operator="containsText" text="No">
      <formula>NOT(ISERROR(SEARCH(("No"),(O629))))</formula>
    </cfRule>
  </conditionalFormatting>
  <conditionalFormatting sqref="O629 P628:P631">
    <cfRule type="containsText" dxfId="2" priority="2476" operator="containsText" text="Yes">
      <formula>NOT(ISERROR(SEARCH(("Yes"),(O629))))</formula>
    </cfRule>
  </conditionalFormatting>
  <conditionalFormatting sqref="O629 P628:P631">
    <cfRule type="containsText" dxfId="9" priority="2477" operator="containsText" text="No">
      <formula>NOT(ISERROR(SEARCH(("No"),(O629))))</formula>
    </cfRule>
  </conditionalFormatting>
  <conditionalFormatting sqref="O629 P628:P631">
    <cfRule type="containsText" dxfId="2" priority="2478" operator="containsText" text="Yes">
      <formula>NOT(ISERROR(SEARCH(("Yes"),(O629))))</formula>
    </cfRule>
  </conditionalFormatting>
  <conditionalFormatting sqref="O629 P628:P631">
    <cfRule type="containsText" dxfId="9" priority="2479" operator="containsText" text="No">
      <formula>NOT(ISERROR(SEARCH(("No"),(O629))))</formula>
    </cfRule>
  </conditionalFormatting>
  <conditionalFormatting sqref="O629 P628:P631">
    <cfRule type="containsText" dxfId="2" priority="2480" operator="containsText" text="Yes">
      <formula>NOT(ISERROR(SEARCH(("Yes"),(O629))))</formula>
    </cfRule>
  </conditionalFormatting>
  <conditionalFormatting sqref="O629 P628:P631">
    <cfRule type="containsText" dxfId="9" priority="2481" operator="containsText" text="No">
      <formula>NOT(ISERROR(SEARCH(("No"),(O629))))</formula>
    </cfRule>
  </conditionalFormatting>
  <conditionalFormatting sqref="O629 P628:P631">
    <cfRule type="containsText" dxfId="2" priority="2482" operator="containsText" text="Yes">
      <formula>NOT(ISERROR(SEARCH(("Yes"),(O629))))</formula>
    </cfRule>
  </conditionalFormatting>
  <conditionalFormatting sqref="O629 P628:P631">
    <cfRule type="containsText" dxfId="9" priority="2483" operator="containsText" text="No">
      <formula>NOT(ISERROR(SEARCH(("No"),(O629))))</formula>
    </cfRule>
  </conditionalFormatting>
  <conditionalFormatting sqref="O629 P628:P631">
    <cfRule type="containsText" dxfId="2" priority="2484" operator="containsText" text="Yes">
      <formula>NOT(ISERROR(SEARCH(("Yes"),(O629))))</formula>
    </cfRule>
  </conditionalFormatting>
  <conditionalFormatting sqref="O629 P628:P631">
    <cfRule type="containsText" dxfId="9" priority="2485" operator="containsText" text="No">
      <formula>NOT(ISERROR(SEARCH(("No"),(O629))))</formula>
    </cfRule>
  </conditionalFormatting>
  <conditionalFormatting sqref="O629 P628:P631">
    <cfRule type="containsText" dxfId="2" priority="2486" operator="containsText" text="Yes">
      <formula>NOT(ISERROR(SEARCH(("Yes"),(O629))))</formula>
    </cfRule>
  </conditionalFormatting>
  <conditionalFormatting sqref="O629 P628:P631">
    <cfRule type="containsText" dxfId="9" priority="2487" operator="containsText" text="No">
      <formula>NOT(ISERROR(SEARCH(("No"),(O629))))</formula>
    </cfRule>
  </conditionalFormatting>
  <conditionalFormatting sqref="O629 P628:P631">
    <cfRule type="containsText" dxfId="2" priority="2488" operator="containsText" text="Yes">
      <formula>NOT(ISERROR(SEARCH(("Yes"),(O629))))</formula>
    </cfRule>
  </conditionalFormatting>
  <conditionalFormatting sqref="O629 P628:P631">
    <cfRule type="containsText" dxfId="9" priority="2489" operator="containsText" text="No">
      <formula>NOT(ISERROR(SEARCH(("No"),(O629))))</formula>
    </cfRule>
  </conditionalFormatting>
  <conditionalFormatting sqref="O629 P628:P631">
    <cfRule type="containsText" dxfId="2" priority="2490" operator="containsText" text="Yes">
      <formula>NOT(ISERROR(SEARCH(("Yes"),(O629))))</formula>
    </cfRule>
  </conditionalFormatting>
  <conditionalFormatting sqref="O629 P628:P631">
    <cfRule type="containsText" dxfId="9" priority="2491" operator="containsText" text="No">
      <formula>NOT(ISERROR(SEARCH(("No"),(O629))))</formula>
    </cfRule>
  </conditionalFormatting>
  <conditionalFormatting sqref="O629 P628:P631">
    <cfRule type="containsText" dxfId="2" priority="2492" operator="containsText" text="Yes">
      <formula>NOT(ISERROR(SEARCH(("Yes"),(O629))))</formula>
    </cfRule>
  </conditionalFormatting>
  <conditionalFormatting sqref="O629 P628:P631">
    <cfRule type="containsText" dxfId="9" priority="2493" operator="containsText" text="No">
      <formula>NOT(ISERROR(SEARCH(("No"),(O629))))</formula>
    </cfRule>
  </conditionalFormatting>
  <conditionalFormatting sqref="O629 P628:P631">
    <cfRule type="containsText" dxfId="2" priority="2494" operator="containsText" text="Yes">
      <formula>NOT(ISERROR(SEARCH(("Yes"),(O629))))</formula>
    </cfRule>
  </conditionalFormatting>
  <conditionalFormatting sqref="O629 P628:P631">
    <cfRule type="containsText" dxfId="9" priority="2495" operator="containsText" text="No">
      <formula>NOT(ISERROR(SEARCH(("No"),(O629))))</formula>
    </cfRule>
  </conditionalFormatting>
  <conditionalFormatting sqref="O629 P628:P631">
    <cfRule type="containsText" dxfId="2" priority="2496" operator="containsText" text="Yes">
      <formula>NOT(ISERROR(SEARCH(("Yes"),(O629))))</formula>
    </cfRule>
  </conditionalFormatting>
  <conditionalFormatting sqref="O629 P628:P631">
    <cfRule type="containsText" dxfId="9" priority="2497" operator="containsText" text="No">
      <formula>NOT(ISERROR(SEARCH(("No"),(O629))))</formula>
    </cfRule>
  </conditionalFormatting>
  <conditionalFormatting sqref="O629 P628:P631">
    <cfRule type="containsText" dxfId="2" priority="2498" operator="containsText" text="Yes">
      <formula>NOT(ISERROR(SEARCH(("Yes"),(O629))))</formula>
    </cfRule>
  </conditionalFormatting>
  <conditionalFormatting sqref="O629 P628:P631">
    <cfRule type="containsText" dxfId="9" priority="2499" operator="containsText" text="No">
      <formula>NOT(ISERROR(SEARCH(("No"),(O629))))</formula>
    </cfRule>
  </conditionalFormatting>
  <conditionalFormatting sqref="O629 P628:P631">
    <cfRule type="containsText" dxfId="2" priority="2500" operator="containsText" text="Yes">
      <formula>NOT(ISERROR(SEARCH(("Yes"),(O629))))</formula>
    </cfRule>
  </conditionalFormatting>
  <conditionalFormatting sqref="O629 P628:P631">
    <cfRule type="containsText" dxfId="9" priority="2501" operator="containsText" text="No">
      <formula>NOT(ISERROR(SEARCH(("No"),(O629))))</formula>
    </cfRule>
  </conditionalFormatting>
  <conditionalFormatting sqref="O629 P628:P631">
    <cfRule type="containsText" dxfId="2" priority="2502" operator="containsText" text="Yes">
      <formula>NOT(ISERROR(SEARCH(("Yes"),(O629))))</formula>
    </cfRule>
  </conditionalFormatting>
  <conditionalFormatting sqref="O629 P628:P631">
    <cfRule type="containsText" dxfId="9" priority="2503" operator="containsText" text="No">
      <formula>NOT(ISERROR(SEARCH(("No"),(O629))))</formula>
    </cfRule>
  </conditionalFormatting>
  <conditionalFormatting sqref="O629 P628:P631">
    <cfRule type="containsText" dxfId="2" priority="2504" operator="containsText" text="Yes">
      <formula>NOT(ISERROR(SEARCH(("Yes"),(O629))))</formula>
    </cfRule>
  </conditionalFormatting>
  <conditionalFormatting sqref="O629 P628:P631">
    <cfRule type="containsText" dxfId="9" priority="2505" operator="containsText" text="No">
      <formula>NOT(ISERROR(SEARCH(("No"),(O629))))</formula>
    </cfRule>
  </conditionalFormatting>
  <conditionalFormatting sqref="O629 P628:P631">
    <cfRule type="containsText" dxfId="2" priority="2506" operator="containsText" text="Yes">
      <formula>NOT(ISERROR(SEARCH(("Yes"),(O629))))</formula>
    </cfRule>
  </conditionalFormatting>
  <conditionalFormatting sqref="O629 P628:P631">
    <cfRule type="containsText" dxfId="9" priority="2507" operator="containsText" text="No">
      <formula>NOT(ISERROR(SEARCH(("No"),(O629))))</formula>
    </cfRule>
  </conditionalFormatting>
  <conditionalFormatting sqref="O629 P628:P631">
    <cfRule type="containsText" dxfId="2" priority="2508" operator="containsText" text="Yes">
      <formula>NOT(ISERROR(SEARCH(("Yes"),(O629))))</formula>
    </cfRule>
  </conditionalFormatting>
  <conditionalFormatting sqref="O629 P628:P631">
    <cfRule type="containsText" dxfId="9" priority="2509" operator="containsText" text="No">
      <formula>NOT(ISERROR(SEARCH(("No"),(O629))))</formula>
    </cfRule>
  </conditionalFormatting>
  <conditionalFormatting sqref="O629 P628:P631">
    <cfRule type="containsText" dxfId="2" priority="2510" operator="containsText" text="Yes">
      <formula>NOT(ISERROR(SEARCH(("Yes"),(O629))))</formula>
    </cfRule>
  </conditionalFormatting>
  <conditionalFormatting sqref="O629 P628:P631">
    <cfRule type="containsText" dxfId="9" priority="2511" operator="containsText" text="No">
      <formula>NOT(ISERROR(SEARCH(("No"),(O629))))</formula>
    </cfRule>
  </conditionalFormatting>
  <conditionalFormatting sqref="O629 P628:P631">
    <cfRule type="containsText" dxfId="2" priority="2512" operator="containsText" text="Yes">
      <formula>NOT(ISERROR(SEARCH(("Yes"),(O629))))</formula>
    </cfRule>
  </conditionalFormatting>
  <conditionalFormatting sqref="O629 P628:P631">
    <cfRule type="containsText" dxfId="9" priority="2513" operator="containsText" text="No">
      <formula>NOT(ISERROR(SEARCH(("No"),(O629))))</formula>
    </cfRule>
  </conditionalFormatting>
  <conditionalFormatting sqref="O629 P628:P631">
    <cfRule type="containsText" dxfId="2" priority="2514" operator="containsText" text="Yes">
      <formula>NOT(ISERROR(SEARCH(("Yes"),(O629))))</formula>
    </cfRule>
  </conditionalFormatting>
  <conditionalFormatting sqref="O629 P628:P631">
    <cfRule type="containsText" dxfId="9" priority="2515" operator="containsText" text="No">
      <formula>NOT(ISERROR(SEARCH(("No"),(O629))))</formula>
    </cfRule>
  </conditionalFormatting>
  <conditionalFormatting sqref="O629 P628:P631">
    <cfRule type="containsText" dxfId="2" priority="2516" operator="containsText" text="Yes">
      <formula>NOT(ISERROR(SEARCH(("Yes"),(O629))))</formula>
    </cfRule>
  </conditionalFormatting>
  <conditionalFormatting sqref="O629 P628:P631">
    <cfRule type="containsText" dxfId="9" priority="2517" operator="containsText" text="No">
      <formula>NOT(ISERROR(SEARCH(("No"),(O629))))</formula>
    </cfRule>
  </conditionalFormatting>
  <conditionalFormatting sqref="O629 P628:P631">
    <cfRule type="containsText" dxfId="2" priority="2518" operator="containsText" text="Yes">
      <formula>NOT(ISERROR(SEARCH(("Yes"),(O629))))</formula>
    </cfRule>
  </conditionalFormatting>
  <conditionalFormatting sqref="O629 P628:P631">
    <cfRule type="containsText" dxfId="9" priority="2519" operator="containsText" text="No">
      <formula>NOT(ISERROR(SEARCH(("No"),(O629))))</formula>
    </cfRule>
  </conditionalFormatting>
  <conditionalFormatting sqref="O629 P628:P631">
    <cfRule type="containsText" dxfId="2" priority="2520" operator="containsText" text="Yes">
      <formula>NOT(ISERROR(SEARCH(("Yes"),(O629))))</formula>
    </cfRule>
  </conditionalFormatting>
  <conditionalFormatting sqref="O629 P628:P631">
    <cfRule type="containsText" dxfId="9" priority="2521" operator="containsText" text="No">
      <formula>NOT(ISERROR(SEARCH(("No"),(O629))))</formula>
    </cfRule>
  </conditionalFormatting>
  <conditionalFormatting sqref="O629 P628:P631">
    <cfRule type="containsText" dxfId="2" priority="2522" operator="containsText" text="Yes">
      <formula>NOT(ISERROR(SEARCH(("Yes"),(O629))))</formula>
    </cfRule>
  </conditionalFormatting>
  <conditionalFormatting sqref="O629 P628:P631">
    <cfRule type="containsText" dxfId="9" priority="2523" operator="containsText" text="No">
      <formula>NOT(ISERROR(SEARCH(("No"),(O629))))</formula>
    </cfRule>
  </conditionalFormatting>
  <conditionalFormatting sqref="O629 P628:P631">
    <cfRule type="containsText" dxfId="2" priority="2524" operator="containsText" text="Yes">
      <formula>NOT(ISERROR(SEARCH(("Yes"),(O629))))</formula>
    </cfRule>
  </conditionalFormatting>
  <conditionalFormatting sqref="O629 P628:P631">
    <cfRule type="containsText" dxfId="9" priority="2525" operator="containsText" text="No">
      <formula>NOT(ISERROR(SEARCH(("No"),(O629))))</formula>
    </cfRule>
  </conditionalFormatting>
  <conditionalFormatting sqref="O629 P628:P631">
    <cfRule type="containsText" dxfId="2" priority="2526" operator="containsText" text="Yes">
      <formula>NOT(ISERROR(SEARCH(("Yes"),(O629))))</formula>
    </cfRule>
  </conditionalFormatting>
  <conditionalFormatting sqref="O629 P628:P631">
    <cfRule type="containsText" dxfId="9" priority="2527" operator="containsText" text="No">
      <formula>NOT(ISERROR(SEARCH(("No"),(O629))))</formula>
    </cfRule>
  </conditionalFormatting>
  <conditionalFormatting sqref="O629 P628:P631">
    <cfRule type="containsText" dxfId="2" priority="2528" operator="containsText" text="Yes">
      <formula>NOT(ISERROR(SEARCH(("Yes"),(O629))))</formula>
    </cfRule>
  </conditionalFormatting>
  <conditionalFormatting sqref="O629 P628:P631">
    <cfRule type="containsText" dxfId="9" priority="2529" operator="containsText" text="No">
      <formula>NOT(ISERROR(SEARCH(("No"),(O629))))</formula>
    </cfRule>
  </conditionalFormatting>
  <conditionalFormatting sqref="O629 P628:P631">
    <cfRule type="containsText" dxfId="2" priority="2530" operator="containsText" text="Yes">
      <formula>NOT(ISERROR(SEARCH(("Yes"),(O629))))</formula>
    </cfRule>
  </conditionalFormatting>
  <conditionalFormatting sqref="O629 P628:P631">
    <cfRule type="containsText" dxfId="2" priority="2531" operator="containsText" text="Yes">
      <formula>NOT(ISERROR(SEARCH(("Yes"),(O629))))</formula>
    </cfRule>
  </conditionalFormatting>
  <conditionalFormatting sqref="O629 P628:P631">
    <cfRule type="containsText" dxfId="9" priority="2532" operator="containsText" text="No">
      <formula>NOT(ISERROR(SEARCH(("No"),(O629))))</formula>
    </cfRule>
  </conditionalFormatting>
  <conditionalFormatting sqref="O629 P628:P631">
    <cfRule type="containsText" dxfId="2" priority="2533" operator="containsText" text="Yes">
      <formula>NOT(ISERROR(SEARCH(("Yes"),(O629))))</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34"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35"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36"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37"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38"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39"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40"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41"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42"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43"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44"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45"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46"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47"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48"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49"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50"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51"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52"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53"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54"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55"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56"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57"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58"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59"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60"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61"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62"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63"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64"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65"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66"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67"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68"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69"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70"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71"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72"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73"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74"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75"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76"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77"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78"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79"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80"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81"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82"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83"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84"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85"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86"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87"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88"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89"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90"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91"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92"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93"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94"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95"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96"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97"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598"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599"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600"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601"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602"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603"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604"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605"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606"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607"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608"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609"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610"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611"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612"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613"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614"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615"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616"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617"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618"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619"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620"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621"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622"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623" operator="containsText" text="Yes">
      <formula>NOT(ISERROR(SEARCH(("Yes"),(N634))))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9" priority="2624" operator="containsText" text="No">
      <formula>NOT(ISERROR(SEARCH(("No"),(N634))))</formula>
    </cfRule>
  </conditionalFormatting>
  <conditionalFormatting sqref="N634:O637 N639:O640 N642:O642 N644:O644 N646:O646 N652:O652 N655:O656 N658:O658 N662:O662 N664:O665 N671:N673 N675:O675 N678:O678 N680:O680 N682:O683 N686:O687 N689:O689 N691:O691 N693:O697 O629 O670:O673 P629:P637 P639:P669 P671:P697 Q634:Q637 Q639:Q640 Q642 Q644 Q646 Q652 Q655:Q656 Q658 Q662 Q664:Q665 Q671:Q673 Q675 Q678 Q680 Q682:Q683 Q686:Q687 Q689 Q691 Q693:Q697 U692">
    <cfRule type="containsText" dxfId="2" priority="2625" operator="containsText" text="Yes">
      <formula>NOT(ISERROR(SEARCH(("Yes"),(N634))))</formula>
    </cfRule>
  </conditionalFormatting>
  <conditionalFormatting sqref="O670 P637 P648:P651 P653:P654 P657 P659:P661 P663 P666:P669 P674 P676:P677 P679 P681 P684:P685 P688 P690 P692 U692">
    <cfRule type="containsText" dxfId="9" priority="2626" operator="containsText" text="No">
      <formula>NOT(ISERROR(SEARCH(("No"),(O670))))</formula>
    </cfRule>
  </conditionalFormatting>
  <conditionalFormatting sqref="O670 P637 P648:P651 P653:P654 P657 P659:P661 P663 P666:P669 P674 P676:P677 P679 P681 P684:P685 P688 P690 P692 U692">
    <cfRule type="containsText" dxfId="2" priority="2627" operator="containsText" text="Yes">
      <formula>NOT(ISERROR(SEARCH(("Yes"),(O670))))</formula>
    </cfRule>
  </conditionalFormatting>
  <conditionalFormatting sqref="O670 P637 P648:P651 P653:P654 P657 P659:P661 P663 P666:P669 P674 P676:P677 P679 P681 P684:P685 P688 P690 P692 U692">
    <cfRule type="containsText" dxfId="2" priority="2628" operator="containsText" text="Yes">
      <formula>NOT(ISERROR(SEARCH(("Yes"),(O670))))</formula>
    </cfRule>
  </conditionalFormatting>
  <conditionalFormatting sqref="O670 P637 P648:P651 P653:P654 P657 P659:P661 P663 P666:P669 P674 P676:P677 P679 P681 P684:P685 P688 P690 P692 U692">
    <cfRule type="containsText" dxfId="9" priority="2629" operator="containsText" text="No">
      <formula>NOT(ISERROR(SEARCH(("No"),(O670))))</formula>
    </cfRule>
  </conditionalFormatting>
  <conditionalFormatting sqref="O670 P637 P648:P651 P653:P654 P657 P659:P661 P663 P666:P669 P674 P676:P677 P679 P681 P684:P685 P688 P690 P692 U692">
    <cfRule type="containsText" dxfId="2" priority="2630" operator="containsText" text="Yes">
      <formula>NOT(ISERROR(SEARCH(("Yes"),(O670))))</formula>
    </cfRule>
  </conditionalFormatting>
  <conditionalFormatting sqref="O670 P637 P648:P651 P653:P654 P657 P659:P661 P663 P666:P669 P674 P676:P677 P679 P681 P684:P685 P688 P690 P692 U692">
    <cfRule type="containsText" dxfId="9" priority="2631" operator="containsText" text="No">
      <formula>NOT(ISERROR(SEARCH(("No"),(O670))))</formula>
    </cfRule>
  </conditionalFormatting>
  <conditionalFormatting sqref="O670 P637 P648:P651 P653:P654 P657 P659:P661 P663 P666:P669 P674 P676:P677 P679 P681 P684:P685 P688 P690 P692 U692">
    <cfRule type="containsText" dxfId="2" priority="2632" operator="containsText" text="Yes">
      <formula>NOT(ISERROR(SEARCH(("Yes"),(O670))))</formula>
    </cfRule>
  </conditionalFormatting>
  <conditionalFormatting sqref="O670 P637 P648:P651 P653:P654 P657 P659:P661 P663 P666:P669 P674 P676:P677 P679 P681 P684:P685 P688 P690 P692 U692">
    <cfRule type="containsText" dxfId="9" priority="2633" operator="containsText" text="No">
      <formula>NOT(ISERROR(SEARCH(("No"),(O670))))</formula>
    </cfRule>
  </conditionalFormatting>
  <conditionalFormatting sqref="O670 P637 P648:P651 P653:P654 P657 P659:P661 P663 P666:P669 P674 P676:P677 P679 P681 P684:P685 P688 P690 P692 U692">
    <cfRule type="containsText" dxfId="2" priority="2634" operator="containsText" text="Yes">
      <formula>NOT(ISERROR(SEARCH(("Yes"),(O670))))</formula>
    </cfRule>
  </conditionalFormatting>
  <conditionalFormatting sqref="O670 P637 P648:P651 P653:P654 P657 P659:P661 P663 P666:P669 P674 P676:P677 P679 P681 P684:P685 P688 P690 P692 U692">
    <cfRule type="containsText" dxfId="9" priority="2635" operator="containsText" text="No">
      <formula>NOT(ISERROR(SEARCH(("No"),(O670))))</formula>
    </cfRule>
  </conditionalFormatting>
  <conditionalFormatting sqref="O670 P637 P648:P651 P653:P654 P657 P659:P661 P663 P666:P669 P674 P676:P677 P679 P681 P684:P685 P688 P690 P692 U692">
    <cfRule type="containsText" dxfId="2" priority="2636" operator="containsText" text="Yes">
      <formula>NOT(ISERROR(SEARCH(("Yes"),(O670))))</formula>
    </cfRule>
  </conditionalFormatting>
  <conditionalFormatting sqref="O670 P637 P648:P651 P653:P654 P657 P659:P661 P663 P666:P669 P674 P676:P677 P679 P681 P684:P685 P688 P690 P692 U692">
    <cfRule type="containsText" dxfId="9" priority="2637" operator="containsText" text="No">
      <formula>NOT(ISERROR(SEARCH(("No"),(O670))))</formula>
    </cfRule>
  </conditionalFormatting>
  <conditionalFormatting sqref="O670 P637 P648:P651 P653:P654 P657 P659:P661 P663 P666:P669 P674 P676:P677 P679 P681 P684:P685 P688 P690 P692 U692">
    <cfRule type="containsText" dxfId="2" priority="2638" operator="containsText" text="Yes">
      <formula>NOT(ISERROR(SEARCH(("Yes"),(O670))))</formula>
    </cfRule>
  </conditionalFormatting>
  <conditionalFormatting sqref="O670 P637 P648:P651 P653:P654 P657 P659:P661 P663 P666:P669 P674 P676:P677 P679 P681 P684:P685 P688 P690 P692 U692">
    <cfRule type="containsText" dxfId="9" priority="2639" operator="containsText" text="No">
      <formula>NOT(ISERROR(SEARCH(("No"),(O670))))</formula>
    </cfRule>
  </conditionalFormatting>
  <conditionalFormatting sqref="O670 P637 P648:P651 P653:P654 P657 P659:P661 P663 P666:P669 P674 P676:P677 P679 P681 P684:P685 P688 P690 P692 U692">
    <cfRule type="containsText" dxfId="2" priority="2640" operator="containsText" text="Yes">
      <formula>NOT(ISERROR(SEARCH(("Yes"),(O670))))</formula>
    </cfRule>
  </conditionalFormatting>
  <conditionalFormatting sqref="O670 P637 P648:P651 P653:P654 P657 P659:P661 P663 P666:P669 P674 P676:P677 P679 P681 P684:P685 P688 P690 P692 U692">
    <cfRule type="containsText" dxfId="9" priority="2641" operator="containsText" text="No">
      <formula>NOT(ISERROR(SEARCH(("No"),(O670))))</formula>
    </cfRule>
  </conditionalFormatting>
  <conditionalFormatting sqref="O670 P637 P648:P651 P653:P654 P657 P659:P661 P663 P666:P669 P674 P676:P677 P679 P681 P684:P685 P688 P690 P692 U692">
    <cfRule type="containsText" dxfId="2" priority="2642" operator="containsText" text="Yes">
      <formula>NOT(ISERROR(SEARCH(("Yes"),(O670))))</formula>
    </cfRule>
  </conditionalFormatting>
  <conditionalFormatting sqref="O670 P637 P648:P651 P653:P654 P657 P659:P661 P663 P666:P669 P674 P676:P677 P679 P681 P684:P685 P688 P690 P692 U692">
    <cfRule type="containsText" dxfId="9" priority="2643" operator="containsText" text="No">
      <formula>NOT(ISERROR(SEARCH(("No"),(O670))))</formula>
    </cfRule>
  </conditionalFormatting>
  <conditionalFormatting sqref="O670 P637 P648:P651 P653:P654 P657 P659:P661 P663 P666:P669 P674 P676:P677 P679 P681 P684:P685 P688 P690 P692 U692">
    <cfRule type="containsText" dxfId="2" priority="2644" operator="containsText" text="Yes">
      <formula>NOT(ISERROR(SEARCH(("Yes"),(O670))))</formula>
    </cfRule>
  </conditionalFormatting>
  <conditionalFormatting sqref="O670 P637 P648:P651 P653:P654 P657 P659:P661 P663 P666:P669 P674 P676:P677 P679 P681 P684:P685 P688 P690 P692 U692">
    <cfRule type="containsText" dxfId="9" priority="2645" operator="containsText" text="No">
      <formula>NOT(ISERROR(SEARCH(("No"),(O670))))</formula>
    </cfRule>
  </conditionalFormatting>
  <conditionalFormatting sqref="O670 P637 P648:P651 P653:P654 P657 P659:P661 P663 P666:P669 P674 P676:P677 P679 P681 P684:P685 P688 P690 P692 U692">
    <cfRule type="containsText" dxfId="2" priority="2646" operator="containsText" text="Yes">
      <formula>NOT(ISERROR(SEARCH(("Yes"),(O670))))</formula>
    </cfRule>
  </conditionalFormatting>
  <conditionalFormatting sqref="O670 P637 P648:P651 P653:P654 P657 P659:P661 P663 P666:P669 P674 P676:P677 P679 P681 P684:P685 P688 P690 P692 U692">
    <cfRule type="containsText" dxfId="9" priority="2647" operator="containsText" text="No">
      <formula>NOT(ISERROR(SEARCH(("No"),(O670))))</formula>
    </cfRule>
  </conditionalFormatting>
  <conditionalFormatting sqref="O670 P637 P648:P651 P653:P654 P657 P659:P661 P663 P666:P669 P674 P676:P677 P679 P681 P684:P685 P688 P690 P692 U692">
    <cfRule type="containsText" dxfId="2" priority="2648" operator="containsText" text="Yes">
      <formula>NOT(ISERROR(SEARCH(("Yes"),(O670))))</formula>
    </cfRule>
  </conditionalFormatting>
  <conditionalFormatting sqref="O670 P637 P648:P651 P653:P654 P657 P659:P661 P663 P666:P669 P674 P676:P677 P679 P681 P684:P685 P688 P690 P692 U692">
    <cfRule type="containsText" dxfId="9" priority="2649" operator="containsText" text="No">
      <formula>NOT(ISERROR(SEARCH(("No"),(O670))))</formula>
    </cfRule>
  </conditionalFormatting>
  <conditionalFormatting sqref="O670 P637 P648:P651 P653:P654 P657 P659:P661 P663 P666:P669 P674 P676:P677 P679 P681 P684:P685 P688 P690 P692 U692">
    <cfRule type="containsText" dxfId="2" priority="2650" operator="containsText" text="Yes">
      <formula>NOT(ISERROR(SEARCH(("Yes"),(O670))))</formula>
    </cfRule>
  </conditionalFormatting>
  <conditionalFormatting sqref="O670 P637 P648:P651 P653:P654 P657 P659:P661 P663 P666:P669 P674 P676:P677 P679 P681 P684:P685 P688 P690 P692 U692">
    <cfRule type="containsText" dxfId="9" priority="2651" operator="containsText" text="No">
      <formula>NOT(ISERROR(SEARCH(("No"),(O670))))</formula>
    </cfRule>
  </conditionalFormatting>
  <conditionalFormatting sqref="O670 P637 P648:P651 P653:P654 P657 P659:P661 P663 P666:P669 P674 P676:P677 P679 P681 P684:P685 P688 P690 P692 U692">
    <cfRule type="containsText" dxfId="2" priority="2652" operator="containsText" text="Yes">
      <formula>NOT(ISERROR(SEARCH(("Yes"),(O670))))</formula>
    </cfRule>
  </conditionalFormatting>
  <conditionalFormatting sqref="O670 P637 P648:P651 P653:P654 P657 P659:P661 P663 P666:P669 P674 P676:P677 P679 P681 P684:P685 P688 P690 P692 U692">
    <cfRule type="containsText" dxfId="9" priority="2653" operator="containsText" text="No">
      <formula>NOT(ISERROR(SEARCH(("No"),(O670))))</formula>
    </cfRule>
  </conditionalFormatting>
  <conditionalFormatting sqref="O670 P637 P648:P651 P653:P654 P657 P659:P661 P663 P666:P669 P674 P676:P677 P679 P681 P684:P685 P688 P690 P692 U692">
    <cfRule type="containsText" dxfId="2" priority="2654" operator="containsText" text="Yes">
      <formula>NOT(ISERROR(SEARCH(("Yes"),(O670))))</formula>
    </cfRule>
  </conditionalFormatting>
  <conditionalFormatting sqref="O670 P637 P648:P651 P653:P654 P657 P659:P661 P663 P666:P669 P674 P676:P677 P679 P681 P684:P685 P688 P690 P692 U692">
    <cfRule type="containsText" dxfId="9" priority="2655" operator="containsText" text="No">
      <formula>NOT(ISERROR(SEARCH(("No"),(O670))))</formula>
    </cfRule>
  </conditionalFormatting>
  <conditionalFormatting sqref="O670 P637 P648:P651 P653:P654 P657 P659:P661 P663 P666:P669 P674 P676:P677 P679 P681 P684:P685 P688 P690 P692 U692">
    <cfRule type="containsText" dxfId="2" priority="2656" operator="containsText" text="Yes">
      <formula>NOT(ISERROR(SEARCH(("Yes"),(O670))))</formula>
    </cfRule>
  </conditionalFormatting>
  <conditionalFormatting sqref="O670 P637 P648:P651 P653:P654 P657 P659:P661 P663 P666:P669 P674 P676:P677 P679 P681 P684:P685 P688 P690 P692 U692">
    <cfRule type="containsText" dxfId="9" priority="2657" operator="containsText" text="No">
      <formula>NOT(ISERROR(SEARCH(("No"),(O670))))</formula>
    </cfRule>
  </conditionalFormatting>
  <conditionalFormatting sqref="O670 P637 P648:P651 P653:P654 P657 P659:P661 P663 P666:P669 P674 P676:P677 P679 P681 P684:P685 P688 P690 P692 U692">
    <cfRule type="containsText" dxfId="2" priority="2658" operator="containsText" text="Yes">
      <formula>NOT(ISERROR(SEARCH(("Yes"),(O670))))</formula>
    </cfRule>
  </conditionalFormatting>
  <conditionalFormatting sqref="O670 P637 P648:P651 P653:P654 P657 P659:P661 P663 P666:P669 P674 P676:P677 P679 P681 P684:P685 P688 P690 P692 U692">
    <cfRule type="containsText" dxfId="9" priority="2659" operator="containsText" text="No">
      <formula>NOT(ISERROR(SEARCH(("No"),(O670))))</formula>
    </cfRule>
  </conditionalFormatting>
  <conditionalFormatting sqref="O670 P637 P648:P651 P653:P654 P657 P659:P661 P663 P666:P669 P674 P676:P677 P679 P681 P684:P685 P688 P690 P692 U692">
    <cfRule type="containsText" dxfId="2" priority="2660" operator="containsText" text="Yes">
      <formula>NOT(ISERROR(SEARCH(("Yes"),(O670))))</formula>
    </cfRule>
  </conditionalFormatting>
  <conditionalFormatting sqref="O670 P637 P648:P651 P653:P654 P657 P659:P661 P663 P666:P669 P674 P676:P677 P679 P681 P684:P685 P688 P690 P692 U692">
    <cfRule type="containsText" dxfId="9" priority="2661" operator="containsText" text="No">
      <formula>NOT(ISERROR(SEARCH(("No"),(O670))))</formula>
    </cfRule>
  </conditionalFormatting>
  <conditionalFormatting sqref="O670 P637 P648:P651 P653:P654 P657 P659:P661 P663 P666:P669 P674 P676:P677 P679 P681 P684:P685 P688 P690 P692 U692">
    <cfRule type="containsText" dxfId="2" priority="2662" operator="containsText" text="Yes">
      <formula>NOT(ISERROR(SEARCH(("Yes"),(O670))))</formula>
    </cfRule>
  </conditionalFormatting>
  <conditionalFormatting sqref="O670 P637 P648:P651 P653:P654 P657 P659:P661 P663 P666:P669 P674 P676:P677 P679 P681 P684:P685 P688 P690 P692 U692">
    <cfRule type="containsText" dxfId="9" priority="2663" operator="containsText" text="No">
      <formula>NOT(ISERROR(SEARCH(("No"),(O670))))</formula>
    </cfRule>
  </conditionalFormatting>
  <conditionalFormatting sqref="O670 P637 P648:P651 P653:P654 P657 P659:P661 P663 P666:P669 P674 P676:P677 P679 P681 P684:P685 P688 P690 P692 U692">
    <cfRule type="containsText" dxfId="2" priority="2664" operator="containsText" text="Yes">
      <formula>NOT(ISERROR(SEARCH(("Yes"),(O670))))</formula>
    </cfRule>
  </conditionalFormatting>
  <conditionalFormatting sqref="O670 P637 P648:P651 P653:P654 P657 P659:P661 P663 P666:P669 P674 P676:P677 P679 P681 P684:P685 P688 P690 P692 U692">
    <cfRule type="containsText" dxfId="9" priority="2665" operator="containsText" text="No">
      <formula>NOT(ISERROR(SEARCH(("No"),(O670))))</formula>
    </cfRule>
  </conditionalFormatting>
  <conditionalFormatting sqref="O670 P637 P648:P651 P653:P654 P657 P659:P661 P663 P666:P669 P674 P676:P677 P679 P681 P684:P685 P688 P690 P692 U692">
    <cfRule type="containsText" dxfId="2" priority="2666" operator="containsText" text="Yes">
      <formula>NOT(ISERROR(SEARCH(("Yes"),(O670))))</formula>
    </cfRule>
  </conditionalFormatting>
  <conditionalFormatting sqref="O670 P637 P648:P651 P653:P654 P657 P659:P661 P663 P666:P669 P674 P676:P677 P679 P681 P684:P685 P688 P690 P692 U692">
    <cfRule type="containsText" dxfId="9" priority="2667" operator="containsText" text="No">
      <formula>NOT(ISERROR(SEARCH(("No"),(O670))))</formula>
    </cfRule>
  </conditionalFormatting>
  <conditionalFormatting sqref="O670 P637 P648:P651 P653:P654 P657 P659:P661 P663 P666:P669 P674 P676:P677 P679 P681 P684:P685 P688 P690 P692 U692">
    <cfRule type="containsText" dxfId="2" priority="2668" operator="containsText" text="Yes">
      <formula>NOT(ISERROR(SEARCH(("Yes"),(O670))))</formula>
    </cfRule>
  </conditionalFormatting>
  <conditionalFormatting sqref="O670 P637 P648:P651 P653:P654 P657 P659:P661 P663 P666:P669 P674 P676:P677 P679 P681 P684:P685 P688 P690 P692 U692">
    <cfRule type="containsText" dxfId="9" priority="2669" operator="containsText" text="No">
      <formula>NOT(ISERROR(SEARCH(("No"),(O670))))</formula>
    </cfRule>
  </conditionalFormatting>
  <conditionalFormatting sqref="O670 P637 P648:P651 P653:P654 P657 P659:P661 P663 P666:P669 P674 P676:P677 P679 P681 P684:P685 P688 P690 P692 U692">
    <cfRule type="containsText" dxfId="2" priority="2670" operator="containsText" text="Yes">
      <formula>NOT(ISERROR(SEARCH(("Yes"),(O670))))</formula>
    </cfRule>
  </conditionalFormatting>
  <conditionalFormatting sqref="O670 P637 P648:P651 P653:P654 P657 P659:P661 P663 P666:P669 P674 P676:P677 P679 P681 P684:P685 P688 P690 P692 U692">
    <cfRule type="containsText" dxfId="9" priority="2671" operator="containsText" text="No">
      <formula>NOT(ISERROR(SEARCH(("No"),(O670))))</formula>
    </cfRule>
  </conditionalFormatting>
  <conditionalFormatting sqref="O670 P637 P648:P651 P653:P654 P657 P659:P661 P663 P666:P669 P674 P676:P677 P679 P681 P684:P685 P688 P690 P692 U692">
    <cfRule type="containsText" dxfId="2" priority="2672" operator="containsText" text="Yes">
      <formula>NOT(ISERROR(SEARCH(("Yes"),(O670))))</formula>
    </cfRule>
  </conditionalFormatting>
  <conditionalFormatting sqref="O670 P637 P648:P651 P653:P654 P657 P659:P661 P663 P666:P669 P674 P676:P677 P679 P681 P684:P685 P688 P690 P692 U692">
    <cfRule type="containsText" dxfId="9" priority="2673" operator="containsText" text="No">
      <formula>NOT(ISERROR(SEARCH(("No"),(O670))))</formula>
    </cfRule>
  </conditionalFormatting>
  <conditionalFormatting sqref="O670 P637 P648:P651 P653:P654 P657 P659:P661 P663 P666:P669 P674 P676:P677 P679 P681 P684:P685 P688 P690 P692 U692">
    <cfRule type="containsText" dxfId="2" priority="2674" operator="containsText" text="Yes">
      <formula>NOT(ISERROR(SEARCH(("Yes"),(O670))))</formula>
    </cfRule>
  </conditionalFormatting>
  <conditionalFormatting sqref="O670 P637 P648:P651 P653:P654 P657 P659:P661 P663 P666:P669 P674 P676:P677 P679 P681 P684:P685 P688 P690 P692 U692">
    <cfRule type="containsText" dxfId="9" priority="2675" operator="containsText" text="No">
      <formula>NOT(ISERROR(SEARCH(("No"),(O670))))</formula>
    </cfRule>
  </conditionalFormatting>
  <conditionalFormatting sqref="O670 P637 P648:P651 P653:P654 P657 P659:P661 P663 P666:P669 P674 P676:P677 P679 P681 P684:P685 P688 P690 P692 U692">
    <cfRule type="containsText" dxfId="2" priority="2676" operator="containsText" text="Yes">
      <formula>NOT(ISERROR(SEARCH(("Yes"),(O670))))</formula>
    </cfRule>
  </conditionalFormatting>
  <conditionalFormatting sqref="O670 P637 P648:P651 P653:P654 P657 P659:P661 P663 P666:P669 P674 P676:P677 P679 P681 P684:P685 P688 P690 P692 U692">
    <cfRule type="containsText" dxfId="9" priority="2677" operator="containsText" text="No">
      <formula>NOT(ISERROR(SEARCH(("No"),(O670))))</formula>
    </cfRule>
  </conditionalFormatting>
  <conditionalFormatting sqref="O670 P637 P648:P651 P653:P654 P657 P659:P661 P663 P666:P669 P674 P676:P677 P679 P681 P684:P685 P688 P690 P692 U692">
    <cfRule type="containsText" dxfId="2" priority="2678" operator="containsText" text="Yes">
      <formula>NOT(ISERROR(SEARCH(("Yes"),(O670))))</formula>
    </cfRule>
  </conditionalFormatting>
  <conditionalFormatting sqref="O670 P637 P648:P651 P653:P654 P657 P659:P661 P663 P666:P669 P674 P676:P677 P679 P681 P684:P685 P688 P690 P692 U692">
    <cfRule type="containsText" dxfId="9" priority="2679" operator="containsText" text="No">
      <formula>NOT(ISERROR(SEARCH(("No"),(O670))))</formula>
    </cfRule>
  </conditionalFormatting>
  <conditionalFormatting sqref="O670 P637 P648:P651 P653:P654 P657 P659:P661 P663 P666:P669 P674 P676:P677 P679 P681 P684:P685 P688 P690 P692 U692">
    <cfRule type="containsText" dxfId="2" priority="2680" operator="containsText" text="Yes">
      <formula>NOT(ISERROR(SEARCH(("Yes"),(O670))))</formula>
    </cfRule>
  </conditionalFormatting>
  <conditionalFormatting sqref="O670 P637 P648:P651 P653:P654 P657 P659:P661 P663 P666:P669 P674 P676:P677 P679 P681 P684:P685 P688 P690 P692 U692">
    <cfRule type="containsText" dxfId="9" priority="2681" operator="containsText" text="No">
      <formula>NOT(ISERROR(SEARCH(("No"),(O670))))</formula>
    </cfRule>
  </conditionalFormatting>
  <conditionalFormatting sqref="O670 P637 P648:P651 P653:P654 P657 P659:P661 P663 P666:P669 P674 P676:P677 P679 P681 P684:P685 P688 P690 P692 U692">
    <cfRule type="containsText" dxfId="2" priority="2682" operator="containsText" text="Yes">
      <formula>NOT(ISERROR(SEARCH(("Yes"),(O670))))</formula>
    </cfRule>
  </conditionalFormatting>
  <conditionalFormatting sqref="O670 P637 P648:P651 P653:P654 P657 P659:P661 P663 P666:P669 P674 P676:P677 P679 P681 P684:P685 P688 P690 P692 U692">
    <cfRule type="containsText" dxfId="9" priority="2683" operator="containsText" text="No">
      <formula>NOT(ISERROR(SEARCH(("No"),(O670))))</formula>
    </cfRule>
  </conditionalFormatting>
  <conditionalFormatting sqref="O670 P637 P648:P651 P653:P654 P657 P659:P661 P663 P666:P669 P674 P676:P677 P679 P681 P684:P685 P688 P690 P692 U692">
    <cfRule type="containsText" dxfId="2" priority="2684" operator="containsText" text="Yes">
      <formula>NOT(ISERROR(SEARCH(("Yes"),(O670))))</formula>
    </cfRule>
  </conditionalFormatting>
  <conditionalFormatting sqref="O670 P637 P648:P651 P653:P654 P657 P659:P661 P663 P666:P669 P674 P676:P677 P679 P681 P684:P685 P688 P690 P692 U692">
    <cfRule type="containsText" dxfId="9" priority="2685" operator="containsText" text="No">
      <formula>NOT(ISERROR(SEARCH(("No"),(O670))))</formula>
    </cfRule>
  </conditionalFormatting>
  <conditionalFormatting sqref="O670 P637 P648:P651 P653:P654 P657 P659:P661 P663 P666:P669 P674 P676:P677 P679 P681 P684:P685 P688 P690 P692 U692">
    <cfRule type="containsText" dxfId="2" priority="2686" operator="containsText" text="Yes">
      <formula>NOT(ISERROR(SEARCH(("Yes"),(O670))))</formula>
    </cfRule>
  </conditionalFormatting>
  <conditionalFormatting sqref="O670 P637 P648:P651 P653:P654 P657 P659:P661 P663 P666:P669 P674 P676:P677 P679 P681 P684:P685 P688 P690 P692 U692">
    <cfRule type="containsText" dxfId="9" priority="2687" operator="containsText" text="No">
      <formula>NOT(ISERROR(SEARCH(("No"),(O670))))</formula>
    </cfRule>
  </conditionalFormatting>
  <conditionalFormatting sqref="O670 P637 P648:P651 P653:P654 P657 P659:P661 P663 P666:P669 P674 P676:P677 P679 P681 P684:P685 P688 P690 P692 U692">
    <cfRule type="containsText" dxfId="2" priority="2688" operator="containsText" text="Yes">
      <formula>NOT(ISERROR(SEARCH(("Yes"),(O670))))</formula>
    </cfRule>
  </conditionalFormatting>
  <conditionalFormatting sqref="O670 P637 P648:P651 P653:P654 P657 P659:P661 P663 P666:P669 P674 P676:P677 P679 P681 P684:P685 P688 P690 P692 U692">
    <cfRule type="containsText" dxfId="9" priority="2689" operator="containsText" text="No">
      <formula>NOT(ISERROR(SEARCH(("No"),(O670))))</formula>
    </cfRule>
  </conditionalFormatting>
  <conditionalFormatting sqref="O670 P637 P648:P651 P653:P654 P657 P659:P661 P663 P666:P669 P674 P676:P677 P679 P681 P684:P685 P688 P690 P692 U692">
    <cfRule type="containsText" dxfId="2" priority="2690" operator="containsText" text="Yes">
      <formula>NOT(ISERROR(SEARCH(("Yes"),(O670))))</formula>
    </cfRule>
  </conditionalFormatting>
  <conditionalFormatting sqref="O670 P637 P648:P651 P653:P654 P657 P659:P661 P663 P666:P669 P674 P676:P677 P679 P681 P684:P685 P688 P690 P692 U692">
    <cfRule type="containsText" dxfId="9" priority="2691" operator="containsText" text="No">
      <formula>NOT(ISERROR(SEARCH(("No"),(O670))))</formula>
    </cfRule>
  </conditionalFormatting>
  <conditionalFormatting sqref="O670 P637 P648:P651 P653:P654 P657 P659:P661 P663 P666:P669 P674 P676:P677 P679 P681 P684:P685 P688 P690 P692 U692">
    <cfRule type="containsText" dxfId="2" priority="2692" operator="containsText" text="Yes">
      <formula>NOT(ISERROR(SEARCH(("Yes"),(O670))))</formula>
    </cfRule>
  </conditionalFormatting>
  <conditionalFormatting sqref="O670 P637 P648:P651 P653:P654 P657 P659:P661 P663 P666:P669 P674 P676:P677 P679 P681 P684:P685 P688 P690 P692 U692">
    <cfRule type="containsText" dxfId="9" priority="2693" operator="containsText" text="No">
      <formula>NOT(ISERROR(SEARCH(("No"),(O670))))</formula>
    </cfRule>
  </conditionalFormatting>
  <conditionalFormatting sqref="O670 P637 P648:P651 P653:P654 P657 P659:P661 P663 P666:P669 P674 P676:P677 P679 P681 P684:P685 P688 P690 P692 U692">
    <cfRule type="containsText" dxfId="2" priority="2694" operator="containsText" text="Yes">
      <formula>NOT(ISERROR(SEARCH(("Yes"),(O670))))</formula>
    </cfRule>
  </conditionalFormatting>
  <conditionalFormatting sqref="O670 P637 P648:P651 P653:P654 P657 P659:P661 P663 P666:P669 P674 P676:P677 P679 P681 P684:P685 P688 P690 P692 U692">
    <cfRule type="containsText" dxfId="9" priority="2695" operator="containsText" text="No">
      <formula>NOT(ISERROR(SEARCH(("No"),(O670))))</formula>
    </cfRule>
  </conditionalFormatting>
  <conditionalFormatting sqref="O670 P637 P648:P651 P653:P654 P657 P659:P661 P663 P666:P669 P674 P676:P677 P679 P681 P684:P685 P688 P690 P692 U692">
    <cfRule type="containsText" dxfId="2" priority="2696" operator="containsText" text="Yes">
      <formula>NOT(ISERROR(SEARCH(("Yes"),(O670))))</formula>
    </cfRule>
  </conditionalFormatting>
  <conditionalFormatting sqref="O670 P637 P648:P651 P653:P654 P657 P659:P661 P663 P666:P669 P674 P676:P677 P679 P681 P684:P685 P688 P690 P692 U692">
    <cfRule type="containsText" dxfId="9" priority="2697" operator="containsText" text="No">
      <formula>NOT(ISERROR(SEARCH(("No"),(O670))))</formula>
    </cfRule>
  </conditionalFormatting>
  <conditionalFormatting sqref="O670 P637 P648:P651 P653:P654 P657 P659:P661 P663 P666:P669 P674 P676:P677 P679 P681 P684:P685 P688 P690 P692 U692">
    <cfRule type="containsText" dxfId="2" priority="2698" operator="containsText" text="Yes">
      <formula>NOT(ISERROR(SEARCH(("Yes"),(O670))))</formula>
    </cfRule>
  </conditionalFormatting>
  <conditionalFormatting sqref="O670 P637 P648:P651 P653:P654 P657 P659:P661 P663 P666:P669 P674 P676:P677 P679 P681 P684:P685 P688 P690 P692 U692">
    <cfRule type="containsText" dxfId="9" priority="2699" operator="containsText" text="No">
      <formula>NOT(ISERROR(SEARCH(("No"),(O670))))</formula>
    </cfRule>
  </conditionalFormatting>
  <conditionalFormatting sqref="O670 P637 P648:P651 P653:P654 P657 P659:P661 P663 P666:P669 P674 P676:P677 P679 P681 P684:P685 P688 P690 P692 U692">
    <cfRule type="containsText" dxfId="2" priority="2700" operator="containsText" text="Yes">
      <formula>NOT(ISERROR(SEARCH(("Yes"),(O670))))</formula>
    </cfRule>
  </conditionalFormatting>
  <conditionalFormatting sqref="O670 P637 P648:P651 P653:P654 P657 P659:P661 P663 P666:P669 P674 P676:P677 P679 P681 P684:P685 P688 P690 P692 U692">
    <cfRule type="containsText" dxfId="9" priority="2701" operator="containsText" text="No">
      <formula>NOT(ISERROR(SEARCH(("No"),(O670))))</formula>
    </cfRule>
  </conditionalFormatting>
  <conditionalFormatting sqref="O670 P637 P648:P651 P653:P654 P657 P659:P661 P663 P666:P669 P674 P676:P677 P679 P681 P684:P685 P688 P690 P692 U692">
    <cfRule type="containsText" dxfId="2" priority="2702" operator="containsText" text="Yes">
      <formula>NOT(ISERROR(SEARCH(("Yes"),(O670))))</formula>
    </cfRule>
  </conditionalFormatting>
  <conditionalFormatting sqref="O670 P637 P648:P651 P653:P654 P657 P659:P661 P663 P666:P669 P674 P676:P677 P679 P681 P684:P685 P688 P690 P692 U692">
    <cfRule type="containsText" dxfId="9" priority="2703" operator="containsText" text="No">
      <formula>NOT(ISERROR(SEARCH(("No"),(O670))))</formula>
    </cfRule>
  </conditionalFormatting>
  <conditionalFormatting sqref="O670 P637 P648:P651 P653:P654 P657 P659:P661 P663 P666:P669 P674 P676:P677 P679 P681 P684:P685 P688 P690 P692 U692">
    <cfRule type="containsText" dxfId="2" priority="2704" operator="containsText" text="Yes">
      <formula>NOT(ISERROR(SEARCH(("Yes"),(O670))))</formula>
    </cfRule>
  </conditionalFormatting>
  <conditionalFormatting sqref="O670 P637 P648:P651 P653:P654 P657 P659:P661 P663 P666:P669 P674 P676:P677 P679 P681 P684:P685 P688 P690 P692 U692">
    <cfRule type="containsText" dxfId="9" priority="2705" operator="containsText" text="No">
      <formula>NOT(ISERROR(SEARCH(("No"),(O670))))</formula>
    </cfRule>
  </conditionalFormatting>
  <conditionalFormatting sqref="O670 P637 P648:P651 P653:P654 P657 P659:P661 P663 P666:P669 P674 P676:P677 P679 P681 P684:P685 P688 P690 P692 U692">
    <cfRule type="containsText" dxfId="2" priority="2706" operator="containsText" text="Yes">
      <formula>NOT(ISERROR(SEARCH(("Yes"),(O670))))</formula>
    </cfRule>
  </conditionalFormatting>
  <conditionalFormatting sqref="O670 P637 P648:P651 P653:P654 P657 P659:P661 P663 P666:P669 P674 P676:P677 P679 P681 P684:P685 P688 P690 P692 U692">
    <cfRule type="containsText" dxfId="9" priority="2707" operator="containsText" text="No">
      <formula>NOT(ISERROR(SEARCH(("No"),(O670))))</formula>
    </cfRule>
  </conditionalFormatting>
  <conditionalFormatting sqref="O670 P637 P648:P651 P653:P654 P657 P659:P661 P663 P666:P669 P674 P676:P677 P679 P681 P684:P685 P688 P690 P692 U692">
    <cfRule type="containsText" dxfId="2" priority="2708" operator="containsText" text="Yes">
      <formula>NOT(ISERROR(SEARCH(("Yes"),(O670))))</formula>
    </cfRule>
  </conditionalFormatting>
  <conditionalFormatting sqref="O670 P637 P648:P651 P653:P654 P657 P659:P661 P663 P666:P669 P674 P676:P677 P679 P681 P684:P685 P688 P690 P692 U692">
    <cfRule type="containsText" dxfId="9" priority="2709" operator="containsText" text="No">
      <formula>NOT(ISERROR(SEARCH(("No"),(O670))))</formula>
    </cfRule>
  </conditionalFormatting>
  <conditionalFormatting sqref="O670 P637 P648:P651 P653:P654 P657 P659:P661 P663 P666:P669 P674 P676:P677 P679 P681 P684:P685 P688 P690 P692 U692">
    <cfRule type="containsText" dxfId="2" priority="2710" operator="containsText" text="Yes">
      <formula>NOT(ISERROR(SEARCH(("Yes"),(O670))))</formula>
    </cfRule>
  </conditionalFormatting>
  <conditionalFormatting sqref="O670 P637 P648:P651 P653:P654 P657 P659:P661 P663 P666:P669 P674 P676:P677 P679 P681 P684:P685 P688 P690 P692 U692">
    <cfRule type="containsText" dxfId="9" priority="2711" operator="containsText" text="No">
      <formula>NOT(ISERROR(SEARCH(("No"),(O670))))</formula>
    </cfRule>
  </conditionalFormatting>
  <conditionalFormatting sqref="O670 P637 P648:P651 P653:P654 P657 P659:P661 P663 P666:P669 P674 P676:P677 P679 P681 P684:P685 P688 P690 P692 U692">
    <cfRule type="containsText" dxfId="2" priority="2712" operator="containsText" text="Yes">
      <formula>NOT(ISERROR(SEARCH(("Yes"),(O670))))</formula>
    </cfRule>
  </conditionalFormatting>
  <conditionalFormatting sqref="O670 P637 P648:P651 P653:P654 P657 P659:P661 P663 P666:P669 P674 P676:P677 P679 P681 P684:P685 P688 P690 P692 U692">
    <cfRule type="containsText" dxfId="9" priority="2713" operator="containsText" text="No">
      <formula>NOT(ISERROR(SEARCH(("No"),(O670))))</formula>
    </cfRule>
  </conditionalFormatting>
  <conditionalFormatting sqref="O670 P637 P648:P651 P653:P654 P657 P659:P661 P663 P666:P669 P674 P676:P677 P679 P681 P684:P685 P688 P690 P692 U692">
    <cfRule type="containsText" dxfId="2" priority="2714" operator="containsText" text="Yes">
      <formula>NOT(ISERROR(SEARCH(("Yes"),(O670))))</formula>
    </cfRule>
  </conditionalFormatting>
  <conditionalFormatting sqref="O670 P637 P648:P651 P653:P654 P657 P659:P661 P663 P666:P669 P674 P676:P677 P679 P681 P684:P685 P688 P690 P692 U692">
    <cfRule type="containsText" dxfId="9" priority="2715" operator="containsText" text="No">
      <formula>NOT(ISERROR(SEARCH(("No"),(O670))))</formula>
    </cfRule>
  </conditionalFormatting>
  <conditionalFormatting sqref="O670 P637 P648:P651 P653:P654 P657 P659:P661 P663 P666:P669 P674 P676:P677 P679 P681 P684:P685 P688 P690 P692 U692">
    <cfRule type="containsText" dxfId="2" priority="2716" operator="containsText" text="Yes">
      <formula>NOT(ISERROR(SEARCH(("Yes"),(O670))))</formula>
    </cfRule>
  </conditionalFormatting>
  <conditionalFormatting sqref="O670 P637 P648:P651 P653:P654 P657 P659:P661 P663 P666:P669 P674 P676:P677 P679 P681 P684:P685 P688 P690 P692 U692">
    <cfRule type="containsText" dxfId="2" priority="2717" operator="containsText" text="Yes">
      <formula>NOT(ISERROR(SEARCH(("Yes"),(O670))))</formula>
    </cfRule>
  </conditionalFormatting>
  <conditionalFormatting sqref="O670 P638:P669 P671:P692 U692">
    <cfRule type="containsText" dxfId="2" priority="2718" operator="containsText" text="Yes">
      <formula>NOT(ISERROR(SEARCH(("Yes"),(O670))))</formula>
    </cfRule>
  </conditionalFormatting>
  <conditionalFormatting sqref="O670 P638:P669 P671:P692 U692">
    <cfRule type="containsText" dxfId="9" priority="2719" operator="containsText" text="No">
      <formula>NOT(ISERROR(SEARCH(("No"),(O670))))</formula>
    </cfRule>
  </conditionalFormatting>
  <conditionalFormatting sqref="O670 P638:P669 P671:P692 U692">
    <cfRule type="containsText" dxfId="2" priority="2720" operator="containsText" text="Yes">
      <formula>NOT(ISERROR(SEARCH(("Yes"),(O670))))</formula>
    </cfRule>
  </conditionalFormatting>
  <conditionalFormatting sqref="O670 P638:P669 P671:P692 U692">
    <cfRule type="containsText" dxfId="9" priority="2721" operator="containsText" text="No">
      <formula>NOT(ISERROR(SEARCH(("No"),(O670))))</formula>
    </cfRule>
  </conditionalFormatting>
  <conditionalFormatting sqref="O670 P638:P669 P671:P692 U692">
    <cfRule type="containsText" dxfId="2" priority="2722" operator="containsText" text="Yes">
      <formula>NOT(ISERROR(SEARCH(("Yes"),(O670))))</formula>
    </cfRule>
  </conditionalFormatting>
  <conditionalFormatting sqref="O670 P638:P669 P671:P692 U692">
    <cfRule type="containsText" dxfId="9" priority="2723" operator="containsText" text="No">
      <formula>NOT(ISERROR(SEARCH(("No"),(O670))))</formula>
    </cfRule>
  </conditionalFormatting>
  <conditionalFormatting sqref="O670 P638:P669 P671:P692 U692">
    <cfRule type="containsText" dxfId="2" priority="2724" operator="containsText" text="Yes">
      <formula>NOT(ISERROR(SEARCH(("Yes"),(O670))))</formula>
    </cfRule>
  </conditionalFormatting>
  <conditionalFormatting sqref="O670 P638:P669 P671:P692 U692">
    <cfRule type="containsText" dxfId="9" priority="2725" operator="containsText" text="No">
      <formula>NOT(ISERROR(SEARCH(("No"),(O670))))</formula>
    </cfRule>
  </conditionalFormatting>
  <conditionalFormatting sqref="O670 P638:P669 P671:P692 U692">
    <cfRule type="containsText" dxfId="2" priority="2726" operator="containsText" text="Yes">
      <formula>NOT(ISERROR(SEARCH(("Yes"),(O670))))</formula>
    </cfRule>
  </conditionalFormatting>
  <conditionalFormatting sqref="O670 P638:P669 P671:P692 U692">
    <cfRule type="containsText" dxfId="9" priority="2727" operator="containsText" text="No">
      <formula>NOT(ISERROR(SEARCH(("No"),(O670))))</formula>
    </cfRule>
  </conditionalFormatting>
  <conditionalFormatting sqref="O670 P638:P669 P671:P692 U692">
    <cfRule type="containsText" dxfId="2" priority="2728" operator="containsText" text="Yes">
      <formula>NOT(ISERROR(SEARCH(("Yes"),(O670))))</formula>
    </cfRule>
  </conditionalFormatting>
  <conditionalFormatting sqref="O670 P638:P669 P671:P692 U692">
    <cfRule type="containsText" dxfId="9" priority="2729" operator="containsText" text="No">
      <formula>NOT(ISERROR(SEARCH(("No"),(O670))))</formula>
    </cfRule>
  </conditionalFormatting>
  <conditionalFormatting sqref="O670 P638:P669 P671:P692 U692">
    <cfRule type="containsText" dxfId="2" priority="2730" operator="containsText" text="Yes">
      <formula>NOT(ISERROR(SEARCH(("Yes"),(O670))))</formula>
    </cfRule>
  </conditionalFormatting>
  <conditionalFormatting sqref="O670 P638:P669 P671:P692 U692">
    <cfRule type="containsText" dxfId="9" priority="2731" operator="containsText" text="No">
      <formula>NOT(ISERROR(SEARCH(("No"),(O670))))</formula>
    </cfRule>
  </conditionalFormatting>
  <conditionalFormatting sqref="O670 P638:P669 P671:P692 U692">
    <cfRule type="containsText" dxfId="2" priority="2732" operator="containsText" text="Yes">
      <formula>NOT(ISERROR(SEARCH(("Yes"),(O670))))</formula>
    </cfRule>
  </conditionalFormatting>
  <conditionalFormatting sqref="O670 P638:P669 P671:P692 U692">
    <cfRule type="containsText" dxfId="9" priority="2733" operator="containsText" text="No">
      <formula>NOT(ISERROR(SEARCH(("No"),(O670))))</formula>
    </cfRule>
  </conditionalFormatting>
  <conditionalFormatting sqref="O670 P638:P669 P671:P692 U692">
    <cfRule type="containsText" dxfId="2" priority="2734" operator="containsText" text="Yes">
      <formula>NOT(ISERROR(SEARCH(("Yes"),(O670))))</formula>
    </cfRule>
  </conditionalFormatting>
  <conditionalFormatting sqref="O670 P638:P669 P671:P692 U692">
    <cfRule type="containsText" dxfId="9" priority="2735" operator="containsText" text="No">
      <formula>NOT(ISERROR(SEARCH(("No"),(O670))))</formula>
    </cfRule>
  </conditionalFormatting>
  <conditionalFormatting sqref="O670 P638:P669 P671:P692 U692">
    <cfRule type="containsText" dxfId="2" priority="2736" operator="containsText" text="Yes">
      <formula>NOT(ISERROR(SEARCH(("Yes"),(O670))))</formula>
    </cfRule>
  </conditionalFormatting>
  <conditionalFormatting sqref="O670 P638:P669 P671:P692 U692">
    <cfRule type="containsText" dxfId="9" priority="2737" operator="containsText" text="No">
      <formula>NOT(ISERROR(SEARCH(("No"),(O670))))</formula>
    </cfRule>
  </conditionalFormatting>
  <conditionalFormatting sqref="O670 P638:P669 P671:P692 U692">
    <cfRule type="containsText" dxfId="2" priority="2738" operator="containsText" text="Yes">
      <formula>NOT(ISERROR(SEARCH(("Yes"),(O670))))</formula>
    </cfRule>
  </conditionalFormatting>
  <conditionalFormatting sqref="O670 P638:P669 P671:P692 U692">
    <cfRule type="containsText" dxfId="9" priority="2739" operator="containsText" text="No">
      <formula>NOT(ISERROR(SEARCH(("No"),(O670))))</formula>
    </cfRule>
  </conditionalFormatting>
  <conditionalFormatting sqref="O670 P638:P669 P671:P692 U692">
    <cfRule type="containsText" dxfId="2" priority="2740" operator="containsText" text="Yes">
      <formula>NOT(ISERROR(SEARCH(("Yes"),(O670))))</formula>
    </cfRule>
  </conditionalFormatting>
  <conditionalFormatting sqref="O670 P638:P669 P671:P692 U692">
    <cfRule type="containsText" dxfId="9" priority="2741" operator="containsText" text="No">
      <formula>NOT(ISERROR(SEARCH(("No"),(O670))))</formula>
    </cfRule>
  </conditionalFormatting>
  <conditionalFormatting sqref="O670 P638:P669 P671:P692 U692">
    <cfRule type="containsText" dxfId="2" priority="2742" operator="containsText" text="Yes">
      <formula>NOT(ISERROR(SEARCH(("Yes"),(O670))))</formula>
    </cfRule>
  </conditionalFormatting>
  <conditionalFormatting sqref="O670 P638:P669 P671:P692 U692">
    <cfRule type="containsText" dxfId="9" priority="2743" operator="containsText" text="No">
      <formula>NOT(ISERROR(SEARCH(("No"),(O670))))</formula>
    </cfRule>
  </conditionalFormatting>
  <conditionalFormatting sqref="O670 P638:P669 P671:P692 U692">
    <cfRule type="containsText" dxfId="2" priority="2744" operator="containsText" text="Yes">
      <formula>NOT(ISERROR(SEARCH(("Yes"),(O670))))</formula>
    </cfRule>
  </conditionalFormatting>
  <conditionalFormatting sqref="O670 P638:P669 P671:P692 U692">
    <cfRule type="containsText" dxfId="9" priority="2745" operator="containsText" text="No">
      <formula>NOT(ISERROR(SEARCH(("No"),(O670))))</formula>
    </cfRule>
  </conditionalFormatting>
  <conditionalFormatting sqref="O670 P638:P669 P671:P692 U692">
    <cfRule type="containsText" dxfId="2" priority="2746" operator="containsText" text="Yes">
      <formula>NOT(ISERROR(SEARCH(("Yes"),(O670))))</formula>
    </cfRule>
  </conditionalFormatting>
  <conditionalFormatting sqref="O670 P638:P669 P671:P692 U692">
    <cfRule type="containsText" dxfId="9" priority="2747" operator="containsText" text="No">
      <formula>NOT(ISERROR(SEARCH(("No"),(O670))))</formula>
    </cfRule>
  </conditionalFormatting>
  <conditionalFormatting sqref="O670 P638:P669 P671:P692 U692">
    <cfRule type="containsText" dxfId="2" priority="2748" operator="containsText" text="Yes">
      <formula>NOT(ISERROR(SEARCH(("Yes"),(O670))))</formula>
    </cfRule>
  </conditionalFormatting>
  <conditionalFormatting sqref="O670 P638:P669 P671:P692 U692">
    <cfRule type="containsText" dxfId="9" priority="2749" operator="containsText" text="No">
      <formula>NOT(ISERROR(SEARCH(("No"),(O670))))</formula>
    </cfRule>
  </conditionalFormatting>
  <conditionalFormatting sqref="O670 P638:P669 P671:P692 U692">
    <cfRule type="containsText" dxfId="2" priority="2750" operator="containsText" text="Yes">
      <formula>NOT(ISERROR(SEARCH(("Yes"),(O670))))</formula>
    </cfRule>
  </conditionalFormatting>
  <conditionalFormatting sqref="O670 P638:P669 P671:P692 U692">
    <cfRule type="containsText" dxfId="9" priority="2751" operator="containsText" text="No">
      <formula>NOT(ISERROR(SEARCH(("No"),(O670))))</formula>
    </cfRule>
  </conditionalFormatting>
  <conditionalFormatting sqref="O670 P638:P669 P671:P692 U692">
    <cfRule type="containsText" dxfId="2" priority="2752" operator="containsText" text="Yes">
      <formula>NOT(ISERROR(SEARCH(("Yes"),(O670))))</formula>
    </cfRule>
  </conditionalFormatting>
  <conditionalFormatting sqref="O670 P638:P669 P671:P692 U692">
    <cfRule type="containsText" dxfId="9" priority="2753" operator="containsText" text="No">
      <formula>NOT(ISERROR(SEARCH(("No"),(O670))))</formula>
    </cfRule>
  </conditionalFormatting>
  <conditionalFormatting sqref="O670 P638:P669 P671:P692 U692">
    <cfRule type="containsText" dxfId="2" priority="2754" operator="containsText" text="Yes">
      <formula>NOT(ISERROR(SEARCH(("Yes"),(O670))))</formula>
    </cfRule>
  </conditionalFormatting>
  <conditionalFormatting sqref="O670 P638:P669 P671:P692 U692">
    <cfRule type="containsText" dxfId="9" priority="2755" operator="containsText" text="No">
      <formula>NOT(ISERROR(SEARCH(("No"),(O670))))</formula>
    </cfRule>
  </conditionalFormatting>
  <conditionalFormatting sqref="O670 P638:P669 P671:P692 U692">
    <cfRule type="containsText" dxfId="2" priority="2756" operator="containsText" text="Yes">
      <formula>NOT(ISERROR(SEARCH(("Yes"),(O670))))</formula>
    </cfRule>
  </conditionalFormatting>
  <conditionalFormatting sqref="O670 P638:P669 P671:P692 U692">
    <cfRule type="containsText" dxfId="9" priority="2757" operator="containsText" text="No">
      <formula>NOT(ISERROR(SEARCH(("No"),(O670))))</formula>
    </cfRule>
  </conditionalFormatting>
  <conditionalFormatting sqref="O670 P638:P669 P671:P692 U692">
    <cfRule type="containsText" dxfId="2" priority="2758" operator="containsText" text="Yes">
      <formula>NOT(ISERROR(SEARCH(("Yes"),(O670))))</formula>
    </cfRule>
  </conditionalFormatting>
  <conditionalFormatting sqref="O670 P638:P669 P671:P692 U692">
    <cfRule type="containsText" dxfId="9" priority="2759" operator="containsText" text="No">
      <formula>NOT(ISERROR(SEARCH(("No"),(O670))))</formula>
    </cfRule>
  </conditionalFormatting>
  <conditionalFormatting sqref="O670 P638:P669 P671:P692 U692">
    <cfRule type="containsText" dxfId="2" priority="2760" operator="containsText" text="Yes">
      <formula>NOT(ISERROR(SEARCH(("Yes"),(O670))))</formula>
    </cfRule>
  </conditionalFormatting>
  <conditionalFormatting sqref="O670 P638:P669 P671:P692 U692">
    <cfRule type="containsText" dxfId="9" priority="2761" operator="containsText" text="No">
      <formula>NOT(ISERROR(SEARCH(("No"),(O670))))</formula>
    </cfRule>
  </conditionalFormatting>
  <conditionalFormatting sqref="O670 P638:P669 P671:P692 U692">
    <cfRule type="containsText" dxfId="2" priority="2762" operator="containsText" text="Yes">
      <formula>NOT(ISERROR(SEARCH(("Yes"),(O670))))</formula>
    </cfRule>
  </conditionalFormatting>
  <conditionalFormatting sqref="O670 P638:P669 P671:P692 U692">
    <cfRule type="containsText" dxfId="9" priority="2763" operator="containsText" text="No">
      <formula>NOT(ISERROR(SEARCH(("No"),(O670))))</formula>
    </cfRule>
  </conditionalFormatting>
  <conditionalFormatting sqref="O670 P638:P669 P671:P692 U692">
    <cfRule type="containsText" dxfId="2" priority="2764" operator="containsText" text="Yes">
      <formula>NOT(ISERROR(SEARCH(("Yes"),(O670))))</formula>
    </cfRule>
  </conditionalFormatting>
  <conditionalFormatting sqref="O670 P638:P669 P671:P692 U692">
    <cfRule type="containsText" dxfId="9" priority="2765" operator="containsText" text="No">
      <formula>NOT(ISERROR(SEARCH(("No"),(O670))))</formula>
    </cfRule>
  </conditionalFormatting>
  <conditionalFormatting sqref="O670 P638:P669 P671:P692 U692">
    <cfRule type="containsText" dxfId="2" priority="2766" operator="containsText" text="Yes">
      <formula>NOT(ISERROR(SEARCH(("Yes"),(O670))))</formula>
    </cfRule>
  </conditionalFormatting>
  <conditionalFormatting sqref="O670 P638:P669 P671:P692 U692">
    <cfRule type="containsText" dxfId="9" priority="2767" operator="containsText" text="No">
      <formula>NOT(ISERROR(SEARCH(("No"),(O670))))</formula>
    </cfRule>
  </conditionalFormatting>
  <conditionalFormatting sqref="O670 P638:P669 P671:P692 U692">
    <cfRule type="containsText" dxfId="2" priority="2768" operator="containsText" text="Yes">
      <formula>NOT(ISERROR(SEARCH(("Yes"),(O670))))</formula>
    </cfRule>
  </conditionalFormatting>
  <conditionalFormatting sqref="O670 P638:P669 P671:P692 U692">
    <cfRule type="containsText" dxfId="9" priority="2769" operator="containsText" text="No">
      <formula>NOT(ISERROR(SEARCH(("No"),(O670))))</formula>
    </cfRule>
  </conditionalFormatting>
  <conditionalFormatting sqref="O670 P638:P669 P671:P692 U692">
    <cfRule type="containsText" dxfId="2" priority="2770" operator="containsText" text="Yes">
      <formula>NOT(ISERROR(SEARCH(("Yes"),(O670))))</formula>
    </cfRule>
  </conditionalFormatting>
  <conditionalFormatting sqref="O670 P638:P669 P671:P692 U692">
    <cfRule type="containsText" dxfId="9" priority="2771" operator="containsText" text="No">
      <formula>NOT(ISERROR(SEARCH(("No"),(O670))))</formula>
    </cfRule>
  </conditionalFormatting>
  <conditionalFormatting sqref="O670 P638:P669 P671:P692 U692">
    <cfRule type="containsText" dxfId="2" priority="2772" operator="containsText" text="Yes">
      <formula>NOT(ISERROR(SEARCH(("Yes"),(O670))))</formula>
    </cfRule>
  </conditionalFormatting>
  <conditionalFormatting sqref="O670 P638:P669 P671:P692 U692">
    <cfRule type="containsText" dxfId="9" priority="2773" operator="containsText" text="No">
      <formula>NOT(ISERROR(SEARCH(("No"),(O670))))</formula>
    </cfRule>
  </conditionalFormatting>
  <conditionalFormatting sqref="O670 P638:P669 P671:P692 U692">
    <cfRule type="containsText" dxfId="2" priority="2774" operator="containsText" text="Yes">
      <formula>NOT(ISERROR(SEARCH(("Yes"),(O670))))</formula>
    </cfRule>
  </conditionalFormatting>
  <conditionalFormatting sqref="O670 P638:P669 P671:P692 U692">
    <cfRule type="containsText" dxfId="9" priority="2775" operator="containsText" text="No">
      <formula>NOT(ISERROR(SEARCH(("No"),(O670))))</formula>
    </cfRule>
  </conditionalFormatting>
  <conditionalFormatting sqref="O670 P638:P669 P671:P692 U692">
    <cfRule type="containsText" dxfId="2" priority="2776" operator="containsText" text="Yes">
      <formula>NOT(ISERROR(SEARCH(("Yes"),(O670))))</formula>
    </cfRule>
  </conditionalFormatting>
  <conditionalFormatting sqref="O670 P638:P669 P671:P692 U692">
    <cfRule type="containsText" dxfId="9" priority="2777" operator="containsText" text="No">
      <formula>NOT(ISERROR(SEARCH(("No"),(O670))))</formula>
    </cfRule>
  </conditionalFormatting>
  <conditionalFormatting sqref="O670 P638:P669 P671:P692 U692">
    <cfRule type="containsText" dxfId="2" priority="2778" operator="containsText" text="Yes">
      <formula>NOT(ISERROR(SEARCH(("Yes"),(O670))))</formula>
    </cfRule>
  </conditionalFormatting>
  <conditionalFormatting sqref="O670 P638:P669 P671:P692 U692">
    <cfRule type="containsText" dxfId="9" priority="2779" operator="containsText" text="No">
      <formula>NOT(ISERROR(SEARCH(("No"),(O670))))</formula>
    </cfRule>
  </conditionalFormatting>
  <conditionalFormatting sqref="O670 P638:P669 P671:P692 U692">
    <cfRule type="containsText" dxfId="2" priority="2780" operator="containsText" text="Yes">
      <formula>NOT(ISERROR(SEARCH(("Yes"),(O670))))</formula>
    </cfRule>
  </conditionalFormatting>
  <conditionalFormatting sqref="O670 P638:P669 P671:P692 U692">
    <cfRule type="containsText" dxfId="9" priority="2781" operator="containsText" text="No">
      <formula>NOT(ISERROR(SEARCH(("No"),(O670))))</formula>
    </cfRule>
  </conditionalFormatting>
  <conditionalFormatting sqref="O670 P638:P669 P671:P692 U692">
    <cfRule type="containsText" dxfId="2" priority="2782" operator="containsText" text="Yes">
      <formula>NOT(ISERROR(SEARCH(("Yes"),(O670))))</formula>
    </cfRule>
  </conditionalFormatting>
  <conditionalFormatting sqref="O670 P638:P669 P671:P692 U692">
    <cfRule type="containsText" dxfId="9" priority="2783" operator="containsText" text="No">
      <formula>NOT(ISERROR(SEARCH(("No"),(O670))))</formula>
    </cfRule>
  </conditionalFormatting>
  <conditionalFormatting sqref="O670 P638:P669 P671:P692 U692">
    <cfRule type="containsText" dxfId="2" priority="2784" operator="containsText" text="Yes">
      <formula>NOT(ISERROR(SEARCH(("Yes"),(O670))))</formula>
    </cfRule>
  </conditionalFormatting>
  <conditionalFormatting sqref="O670 P638:P669 P671:P692 U692">
    <cfRule type="containsText" dxfId="9" priority="2785" operator="containsText" text="No">
      <formula>NOT(ISERROR(SEARCH(("No"),(O670))))</formula>
    </cfRule>
  </conditionalFormatting>
  <conditionalFormatting sqref="O670 P638:P669 P671:P692 U692">
    <cfRule type="containsText" dxfId="2" priority="2786" operator="containsText" text="Yes">
      <formula>NOT(ISERROR(SEARCH(("Yes"),(O670))))</formula>
    </cfRule>
  </conditionalFormatting>
  <conditionalFormatting sqref="O670 P638:P669 P671:P692 U692">
    <cfRule type="containsText" dxfId="9" priority="2787" operator="containsText" text="No">
      <formula>NOT(ISERROR(SEARCH(("No"),(O670))))</formula>
    </cfRule>
  </conditionalFormatting>
  <conditionalFormatting sqref="O670 P638:P669 P671:P692 U692">
    <cfRule type="containsText" dxfId="2" priority="2788" operator="containsText" text="Yes">
      <formula>NOT(ISERROR(SEARCH(("Yes"),(O670))))</formula>
    </cfRule>
  </conditionalFormatting>
  <conditionalFormatting sqref="O670 P638:P669 P671:P692 U692">
    <cfRule type="containsText" dxfId="9" priority="2789" operator="containsText" text="No">
      <formula>NOT(ISERROR(SEARCH(("No"),(O670))))</formula>
    </cfRule>
  </conditionalFormatting>
  <conditionalFormatting sqref="O670 P638:P669 P671:P692 U692">
    <cfRule type="containsText" dxfId="2" priority="2790" operator="containsText" text="Yes">
      <formula>NOT(ISERROR(SEARCH(("Yes"),(O670))))</formula>
    </cfRule>
  </conditionalFormatting>
  <conditionalFormatting sqref="O670 P638:P669 P671:P692 U692">
    <cfRule type="containsText" dxfId="9" priority="2791" operator="containsText" text="No">
      <formula>NOT(ISERROR(SEARCH(("No"),(O670))))</formula>
    </cfRule>
  </conditionalFormatting>
  <conditionalFormatting sqref="O670 P638:P669 P671:P692 U692">
    <cfRule type="containsText" dxfId="2" priority="2792" operator="containsText" text="Yes">
      <formula>NOT(ISERROR(SEARCH(("Yes"),(O670))))</formula>
    </cfRule>
  </conditionalFormatting>
  <conditionalFormatting sqref="O670 P638:P669 P671:P692 U692">
    <cfRule type="containsText" dxfId="9" priority="2793" operator="containsText" text="No">
      <formula>NOT(ISERROR(SEARCH(("No"),(O670))))</formula>
    </cfRule>
  </conditionalFormatting>
  <conditionalFormatting sqref="O670 P638:P669 P671:P692 U692">
    <cfRule type="containsText" dxfId="2" priority="2794" operator="containsText" text="Yes">
      <formula>NOT(ISERROR(SEARCH(("Yes"),(O670))))</formula>
    </cfRule>
  </conditionalFormatting>
  <conditionalFormatting sqref="O670 P638:P669 P671:P692 U692">
    <cfRule type="containsText" dxfId="9" priority="2795" operator="containsText" text="No">
      <formula>NOT(ISERROR(SEARCH(("No"),(O670))))</formula>
    </cfRule>
  </conditionalFormatting>
  <conditionalFormatting sqref="O670 P638:P669 P671:P692 U692">
    <cfRule type="containsText" dxfId="2" priority="2796" operator="containsText" text="Yes">
      <formula>NOT(ISERROR(SEARCH(("Yes"),(O670))))</formula>
    </cfRule>
  </conditionalFormatting>
  <conditionalFormatting sqref="O670 P638:P669 P671:P692 U692">
    <cfRule type="containsText" dxfId="9" priority="2797" operator="containsText" text="No">
      <formula>NOT(ISERROR(SEARCH(("No"),(O670))))</formula>
    </cfRule>
  </conditionalFormatting>
  <conditionalFormatting sqref="O670 P638:P669 P671:P692 U692">
    <cfRule type="containsText" dxfId="2" priority="2798" operator="containsText" text="Yes">
      <formula>NOT(ISERROR(SEARCH(("Yes"),(O670))))</formula>
    </cfRule>
  </conditionalFormatting>
  <conditionalFormatting sqref="O670 P638:P669 P671:P692 U692">
    <cfRule type="containsText" dxfId="9" priority="2799" operator="containsText" text="No">
      <formula>NOT(ISERROR(SEARCH(("No"),(O670))))</formula>
    </cfRule>
  </conditionalFormatting>
  <conditionalFormatting sqref="O670 P638:P669 P671:P692 U692">
    <cfRule type="containsText" dxfId="2" priority="2800" operator="containsText" text="Yes">
      <formula>NOT(ISERROR(SEARCH(("Yes"),(O670))))</formula>
    </cfRule>
  </conditionalFormatting>
  <conditionalFormatting sqref="O670 P638:P669 P671:P692 U692">
    <cfRule type="containsText" dxfId="9" priority="2801" operator="containsText" text="No">
      <formula>NOT(ISERROR(SEARCH(("No"),(O670))))</formula>
    </cfRule>
  </conditionalFormatting>
  <conditionalFormatting sqref="O670 P638:P669 P671:P692 U692">
    <cfRule type="containsText" dxfId="2" priority="2802" operator="containsText" text="Yes">
      <formula>NOT(ISERROR(SEARCH(("Yes"),(O670))))</formula>
    </cfRule>
  </conditionalFormatting>
  <conditionalFormatting sqref="O670 P638:P669 P671:P692 U692">
    <cfRule type="containsText" dxfId="9" priority="2803" operator="containsText" text="No">
      <formula>NOT(ISERROR(SEARCH(("No"),(O670))))</formula>
    </cfRule>
  </conditionalFormatting>
  <conditionalFormatting sqref="O670 P638:P669 P671:P692 U692">
    <cfRule type="containsText" dxfId="2" priority="2804" operator="containsText" text="Yes">
      <formula>NOT(ISERROR(SEARCH(("Yes"),(O670))))</formula>
    </cfRule>
  </conditionalFormatting>
  <conditionalFormatting sqref="O670 P638:P669 P671:P692 U692">
    <cfRule type="containsText" dxfId="9" priority="2805" operator="containsText" text="No">
      <formula>NOT(ISERROR(SEARCH(("No"),(O670))))</formula>
    </cfRule>
  </conditionalFormatting>
  <conditionalFormatting sqref="O670 P638:P669 P671:P692 U692">
    <cfRule type="containsText" dxfId="2" priority="2806" operator="containsText" text="Yes">
      <formula>NOT(ISERROR(SEARCH(("Yes"),(O670))))</formula>
    </cfRule>
  </conditionalFormatting>
  <conditionalFormatting sqref="O670 P638:P669 P671:P692 U692">
    <cfRule type="containsText" dxfId="2" priority="2807" operator="containsText" text="Yes">
      <formula>NOT(ISERROR(SEARCH(("Yes"),(O670))))</formula>
    </cfRule>
  </conditionalFormatting>
  <conditionalFormatting sqref="O670 P638:P669 P671:P692 U692">
    <cfRule type="containsText" dxfId="9" priority="2808" operator="containsText" text="No">
      <formula>NOT(ISERROR(SEARCH(("No"),(O670))))</formula>
    </cfRule>
  </conditionalFormatting>
  <conditionalFormatting sqref="O670 P638:P669 P671:P692 U692">
    <cfRule type="containsText" dxfId="2" priority="2809" operator="containsText" text="Yes">
      <formula>NOT(ISERROR(SEARCH(("Yes"),(O670))))</formula>
    </cfRule>
  </conditionalFormatting>
  <conditionalFormatting sqref="O670 P647:P651 P653:P654 P657 P659:P661 P663 P666:P669 P674 P676:P677 P679 P681 P684:P685 P688 P690 P692 U692">
    <cfRule type="containsText" dxfId="9" priority="2810" operator="containsText" text="No">
      <formula>NOT(ISERROR(SEARCH(("No"),(O670))))</formula>
    </cfRule>
  </conditionalFormatting>
  <conditionalFormatting sqref="O670 P647:P651 P653:P654 P657 P659:P661 P663 P666:P669 P674 P676:P677 P679 P681 P684:P685 P688 P690 P692 U692">
    <cfRule type="containsText" dxfId="2" priority="2811" operator="containsText" text="Yes">
      <formula>NOT(ISERROR(SEARCH(("Yes"),(O670))))</formula>
    </cfRule>
  </conditionalFormatting>
  <conditionalFormatting sqref="O670 P649:P669 P671:P692 U692">
    <cfRule type="containsText" dxfId="2" priority="2812" operator="containsText" text="Yes">
      <formula>NOT(ISERROR(SEARCH(("Yes"),(O670))))</formula>
    </cfRule>
  </conditionalFormatting>
  <conditionalFormatting sqref="O670 P649:P669 P671:P692 U692">
    <cfRule type="containsText" dxfId="9" priority="2813" operator="containsText" text="No">
      <formula>NOT(ISERROR(SEARCH(("No"),(O670))))</formula>
    </cfRule>
  </conditionalFormatting>
  <conditionalFormatting sqref="O670 P649:P669 P671:P692 U692">
    <cfRule type="containsText" dxfId="2" priority="2814" operator="containsText" text="Yes">
      <formula>NOT(ISERROR(SEARCH(("Yes"),(O670))))</formula>
    </cfRule>
  </conditionalFormatting>
  <conditionalFormatting sqref="O670 P649:P669 P671:P692 U692">
    <cfRule type="containsText" dxfId="9" priority="2815" operator="containsText" text="No">
      <formula>NOT(ISERROR(SEARCH(("No"),(O670))))</formula>
    </cfRule>
  </conditionalFormatting>
  <conditionalFormatting sqref="O670 P649:P669 P671:P692 U692">
    <cfRule type="containsText" dxfId="2" priority="2816" operator="containsText" text="Yes">
      <formula>NOT(ISERROR(SEARCH(("Yes"),(O670))))</formula>
    </cfRule>
  </conditionalFormatting>
  <conditionalFormatting sqref="O670 P649:P669 P671:P692 U692">
    <cfRule type="containsText" dxfId="9" priority="2817" operator="containsText" text="No">
      <formula>NOT(ISERROR(SEARCH(("No"),(O670))))</formula>
    </cfRule>
  </conditionalFormatting>
  <conditionalFormatting sqref="O670 P649:P669 P671:P692 U692">
    <cfRule type="containsText" dxfId="2" priority="2818" operator="containsText" text="Yes">
      <formula>NOT(ISERROR(SEARCH(("Yes"),(O670))))</formula>
    </cfRule>
  </conditionalFormatting>
  <conditionalFormatting sqref="O670 P649:P669 P671:P692 U692">
    <cfRule type="containsText" dxfId="9" priority="2819" operator="containsText" text="No">
      <formula>NOT(ISERROR(SEARCH(("No"),(O670))))</formula>
    </cfRule>
  </conditionalFormatting>
  <conditionalFormatting sqref="O670 P649:P669 P671:P692 U692">
    <cfRule type="containsText" dxfId="2" priority="2820" operator="containsText" text="Yes">
      <formula>NOT(ISERROR(SEARCH(("Yes"),(O670))))</formula>
    </cfRule>
  </conditionalFormatting>
  <conditionalFormatting sqref="O670 P649:P669 P671:P692 U692">
    <cfRule type="containsText" dxfId="9" priority="2821" operator="containsText" text="No">
      <formula>NOT(ISERROR(SEARCH(("No"),(O670))))</formula>
    </cfRule>
  </conditionalFormatting>
  <conditionalFormatting sqref="O670 P649:P669 P671:P692 U692">
    <cfRule type="containsText" dxfId="2" priority="2822" operator="containsText" text="Yes">
      <formula>NOT(ISERROR(SEARCH(("Yes"),(O670))))</formula>
    </cfRule>
  </conditionalFormatting>
  <conditionalFormatting sqref="O670 P649:P669 P671:P692 U692">
    <cfRule type="containsText" dxfId="9" priority="2823" operator="containsText" text="No">
      <formula>NOT(ISERROR(SEARCH(("No"),(O670))))</formula>
    </cfRule>
  </conditionalFormatting>
  <conditionalFormatting sqref="O670 P649:P669 P671:P692 U692">
    <cfRule type="containsText" dxfId="2" priority="2824" operator="containsText" text="Yes">
      <formula>NOT(ISERROR(SEARCH(("Yes"),(O670))))</formula>
    </cfRule>
  </conditionalFormatting>
  <conditionalFormatting sqref="O670 P649:P669 P671:P692 U692">
    <cfRule type="containsText" dxfId="9" priority="2825" operator="containsText" text="No">
      <formula>NOT(ISERROR(SEARCH(("No"),(O670))))</formula>
    </cfRule>
  </conditionalFormatting>
  <conditionalFormatting sqref="O670 P649:P669 P671:P692 U692">
    <cfRule type="containsText" dxfId="2" priority="2826" operator="containsText" text="Yes">
      <formula>NOT(ISERROR(SEARCH(("Yes"),(O670))))</formula>
    </cfRule>
  </conditionalFormatting>
  <conditionalFormatting sqref="O670 P649:P669 P671:P692 U692">
    <cfRule type="containsText" dxfId="9" priority="2827" operator="containsText" text="No">
      <formula>NOT(ISERROR(SEARCH(("No"),(O670))))</formula>
    </cfRule>
  </conditionalFormatting>
  <conditionalFormatting sqref="O670 P649:P669 P671:P692 U692">
    <cfRule type="containsText" dxfId="2" priority="2828" operator="containsText" text="Yes">
      <formula>NOT(ISERROR(SEARCH(("Yes"),(O670))))</formula>
    </cfRule>
  </conditionalFormatting>
  <conditionalFormatting sqref="O670 P649:P669 P671:P692 U692">
    <cfRule type="containsText" dxfId="9" priority="2829" operator="containsText" text="No">
      <formula>NOT(ISERROR(SEARCH(("No"),(O670))))</formula>
    </cfRule>
  </conditionalFormatting>
  <conditionalFormatting sqref="O670 P649:P669 P671:P692 U692">
    <cfRule type="containsText" dxfId="2" priority="2830" operator="containsText" text="Yes">
      <formula>NOT(ISERROR(SEARCH(("Yes"),(O670))))</formula>
    </cfRule>
  </conditionalFormatting>
  <conditionalFormatting sqref="O670 P649:P669 P671:P692 U692">
    <cfRule type="containsText" dxfId="9" priority="2831" operator="containsText" text="No">
      <formula>NOT(ISERROR(SEARCH(("No"),(O670))))</formula>
    </cfRule>
  </conditionalFormatting>
  <conditionalFormatting sqref="O670 P649:P669 P671:P692 U692">
    <cfRule type="containsText" dxfId="2" priority="2832" operator="containsText" text="Yes">
      <formula>NOT(ISERROR(SEARCH(("Yes"),(O670))))</formula>
    </cfRule>
  </conditionalFormatting>
  <conditionalFormatting sqref="O670 P649:P669 P671:P692 U692">
    <cfRule type="containsText" dxfId="9" priority="2833" operator="containsText" text="No">
      <formula>NOT(ISERROR(SEARCH(("No"),(O670))))</formula>
    </cfRule>
  </conditionalFormatting>
  <conditionalFormatting sqref="O670 P649:P669 P671:P692 U692">
    <cfRule type="containsText" dxfId="2" priority="2834" operator="containsText" text="Yes">
      <formula>NOT(ISERROR(SEARCH(("Yes"),(O670))))</formula>
    </cfRule>
  </conditionalFormatting>
  <conditionalFormatting sqref="O670 P649:P669 P671:P692 U692">
    <cfRule type="containsText" dxfId="9" priority="2835" operator="containsText" text="No">
      <formula>NOT(ISERROR(SEARCH(("No"),(O670))))</formula>
    </cfRule>
  </conditionalFormatting>
  <conditionalFormatting sqref="O670 P649:P669 P671:P692 U692">
    <cfRule type="containsText" dxfId="2" priority="2836" operator="containsText" text="Yes">
      <formula>NOT(ISERROR(SEARCH(("Yes"),(O670))))</formula>
    </cfRule>
  </conditionalFormatting>
  <conditionalFormatting sqref="O670 P649:P669 P671:P692 U692">
    <cfRule type="containsText" dxfId="9" priority="2837" operator="containsText" text="No">
      <formula>NOT(ISERROR(SEARCH(("No"),(O670))))</formula>
    </cfRule>
  </conditionalFormatting>
  <conditionalFormatting sqref="O670 P649:P669 P671:P692 U692">
    <cfRule type="containsText" dxfId="2" priority="2838" operator="containsText" text="Yes">
      <formula>NOT(ISERROR(SEARCH(("Yes"),(O670))))</formula>
    </cfRule>
  </conditionalFormatting>
  <conditionalFormatting sqref="O670 P649:P669 P671:P692 U692">
    <cfRule type="containsText" dxfId="9" priority="2839" operator="containsText" text="No">
      <formula>NOT(ISERROR(SEARCH(("No"),(O670))))</formula>
    </cfRule>
  </conditionalFormatting>
  <conditionalFormatting sqref="O670 P649:P669 P671:P692 U692">
    <cfRule type="containsText" dxfId="2" priority="2840" operator="containsText" text="Yes">
      <formula>NOT(ISERROR(SEARCH(("Yes"),(O670))))</formula>
    </cfRule>
  </conditionalFormatting>
  <conditionalFormatting sqref="O670 P649:P669 P671:P692 U692">
    <cfRule type="containsText" dxfId="9" priority="2841" operator="containsText" text="No">
      <formula>NOT(ISERROR(SEARCH(("No"),(O670))))</formula>
    </cfRule>
  </conditionalFormatting>
  <conditionalFormatting sqref="O670 P649:P669 P671:P692 U692">
    <cfRule type="containsText" dxfId="2" priority="2842" operator="containsText" text="Yes">
      <formula>NOT(ISERROR(SEARCH(("Yes"),(O670))))</formula>
    </cfRule>
  </conditionalFormatting>
  <conditionalFormatting sqref="O670 P649:P669 P671:P692 U692">
    <cfRule type="containsText" dxfId="9" priority="2843" operator="containsText" text="No">
      <formula>NOT(ISERROR(SEARCH(("No"),(O670))))</formula>
    </cfRule>
  </conditionalFormatting>
  <conditionalFormatting sqref="O670 P649:P669 P671:P692 U692">
    <cfRule type="containsText" dxfId="2" priority="2844" operator="containsText" text="Yes">
      <formula>NOT(ISERROR(SEARCH(("Yes"),(O670))))</formula>
    </cfRule>
  </conditionalFormatting>
  <conditionalFormatting sqref="O670 P649:P669 P671:P692 U692">
    <cfRule type="containsText" dxfId="9" priority="2845" operator="containsText" text="No">
      <formula>NOT(ISERROR(SEARCH(("No"),(O670))))</formula>
    </cfRule>
  </conditionalFormatting>
  <conditionalFormatting sqref="O670 P649:P669 P671:P692 U692">
    <cfRule type="containsText" dxfId="2" priority="2846" operator="containsText" text="Yes">
      <formula>NOT(ISERROR(SEARCH(("Yes"),(O670))))</formula>
    </cfRule>
  </conditionalFormatting>
  <conditionalFormatting sqref="O670 P649:P669 P671:P692 U692">
    <cfRule type="containsText" dxfId="9" priority="2847" operator="containsText" text="No">
      <formula>NOT(ISERROR(SEARCH(("No"),(O670))))</formula>
    </cfRule>
  </conditionalFormatting>
  <conditionalFormatting sqref="O670 P649:P669 P671:P692 U692">
    <cfRule type="containsText" dxfId="2" priority="2848" operator="containsText" text="Yes">
      <formula>NOT(ISERROR(SEARCH(("Yes"),(O670))))</formula>
    </cfRule>
  </conditionalFormatting>
  <conditionalFormatting sqref="O670 P649:P669 P671:P692 U692">
    <cfRule type="containsText" dxfId="9" priority="2849" operator="containsText" text="No">
      <formula>NOT(ISERROR(SEARCH(("No"),(O670))))</formula>
    </cfRule>
  </conditionalFormatting>
  <conditionalFormatting sqref="O670 P649:P669 P671:P692 U692">
    <cfRule type="containsText" dxfId="2" priority="2850" operator="containsText" text="Yes">
      <formula>NOT(ISERROR(SEARCH(("Yes"),(O670))))</formula>
    </cfRule>
  </conditionalFormatting>
  <conditionalFormatting sqref="O670 P649:P669 P671:P692 U692">
    <cfRule type="containsText" dxfId="9" priority="2851" operator="containsText" text="No">
      <formula>NOT(ISERROR(SEARCH(("No"),(O670))))</formula>
    </cfRule>
  </conditionalFormatting>
  <conditionalFormatting sqref="O670 P649:P669 P671:P692 U692">
    <cfRule type="containsText" dxfId="2" priority="2852" operator="containsText" text="Yes">
      <formula>NOT(ISERROR(SEARCH(("Yes"),(O670))))</formula>
    </cfRule>
  </conditionalFormatting>
  <conditionalFormatting sqref="O670 P649:P669 P671:P692 U692">
    <cfRule type="containsText" dxfId="9" priority="2853" operator="containsText" text="No">
      <formula>NOT(ISERROR(SEARCH(("No"),(O670))))</formula>
    </cfRule>
  </conditionalFormatting>
  <conditionalFormatting sqref="O670 P649:P669 P671:P692 U692">
    <cfRule type="containsText" dxfId="2" priority="2854" operator="containsText" text="Yes">
      <formula>NOT(ISERROR(SEARCH(("Yes"),(O670))))</formula>
    </cfRule>
  </conditionalFormatting>
  <conditionalFormatting sqref="O670 P649:P669 P671:P692 U692">
    <cfRule type="containsText" dxfId="9" priority="2855" operator="containsText" text="No">
      <formula>NOT(ISERROR(SEARCH(("No"),(O670))))</formula>
    </cfRule>
  </conditionalFormatting>
  <conditionalFormatting sqref="O670 P649:P669 P671:P692 U692">
    <cfRule type="containsText" dxfId="2" priority="2856" operator="containsText" text="Yes">
      <formula>NOT(ISERROR(SEARCH(("Yes"),(O670))))</formula>
    </cfRule>
  </conditionalFormatting>
  <conditionalFormatting sqref="O670 P649:P669 P671:P692 U692">
    <cfRule type="containsText" dxfId="9" priority="2857" operator="containsText" text="No">
      <formula>NOT(ISERROR(SEARCH(("No"),(O670))))</formula>
    </cfRule>
  </conditionalFormatting>
  <conditionalFormatting sqref="O670 P649:P669 P671:P692 U692">
    <cfRule type="containsText" dxfId="2" priority="2858" operator="containsText" text="Yes">
      <formula>NOT(ISERROR(SEARCH(("Yes"),(O670))))</formula>
    </cfRule>
  </conditionalFormatting>
  <conditionalFormatting sqref="O670 P649:P669 P671:P692 U692">
    <cfRule type="containsText" dxfId="9" priority="2859" operator="containsText" text="No">
      <formula>NOT(ISERROR(SEARCH(("No"),(O670))))</formula>
    </cfRule>
  </conditionalFormatting>
  <conditionalFormatting sqref="O670 P649:P669 P671:P692 U692">
    <cfRule type="containsText" dxfId="2" priority="2860" operator="containsText" text="Yes">
      <formula>NOT(ISERROR(SEARCH(("Yes"),(O670))))</formula>
    </cfRule>
  </conditionalFormatting>
  <conditionalFormatting sqref="O670 P649:P669 P671:P692 U692">
    <cfRule type="containsText" dxfId="9" priority="2861" operator="containsText" text="No">
      <formula>NOT(ISERROR(SEARCH(("No"),(O670))))</formula>
    </cfRule>
  </conditionalFormatting>
  <conditionalFormatting sqref="O670 P649:P669 P671:P692 U692">
    <cfRule type="containsText" dxfId="2" priority="2862" operator="containsText" text="Yes">
      <formula>NOT(ISERROR(SEARCH(("Yes"),(O670))))</formula>
    </cfRule>
  </conditionalFormatting>
  <conditionalFormatting sqref="O670 P649:P669 P671:P692 U692">
    <cfRule type="containsText" dxfId="9" priority="2863" operator="containsText" text="No">
      <formula>NOT(ISERROR(SEARCH(("No"),(O670))))</formula>
    </cfRule>
  </conditionalFormatting>
  <conditionalFormatting sqref="O670 P649:P669 P671:P692 U692">
    <cfRule type="containsText" dxfId="2" priority="2864" operator="containsText" text="Yes">
      <formula>NOT(ISERROR(SEARCH(("Yes"),(O670))))</formula>
    </cfRule>
  </conditionalFormatting>
  <conditionalFormatting sqref="O670 P649:P669 P671:P692 U692">
    <cfRule type="containsText" dxfId="9" priority="2865" operator="containsText" text="No">
      <formula>NOT(ISERROR(SEARCH(("No"),(O670))))</formula>
    </cfRule>
  </conditionalFormatting>
  <conditionalFormatting sqref="O670 P649:P669 P671:P692 U692">
    <cfRule type="containsText" dxfId="2" priority="2866" operator="containsText" text="Yes">
      <formula>NOT(ISERROR(SEARCH(("Yes"),(O670))))</formula>
    </cfRule>
  </conditionalFormatting>
  <conditionalFormatting sqref="O670 P649:P669 P671:P692 U692">
    <cfRule type="containsText" dxfId="9" priority="2867" operator="containsText" text="No">
      <formula>NOT(ISERROR(SEARCH(("No"),(O670))))</formula>
    </cfRule>
  </conditionalFormatting>
  <conditionalFormatting sqref="O670 P649:P669 P671:P692 U692">
    <cfRule type="containsText" dxfId="2" priority="2868" operator="containsText" text="Yes">
      <formula>NOT(ISERROR(SEARCH(("Yes"),(O670))))</formula>
    </cfRule>
  </conditionalFormatting>
  <conditionalFormatting sqref="O670 P649:P669 P671:P692 U692">
    <cfRule type="containsText" dxfId="9" priority="2869" operator="containsText" text="No">
      <formula>NOT(ISERROR(SEARCH(("No"),(O670))))</formula>
    </cfRule>
  </conditionalFormatting>
  <conditionalFormatting sqref="O670 P649:P669 P671:P692 U692">
    <cfRule type="containsText" dxfId="2" priority="2870" operator="containsText" text="Yes">
      <formula>NOT(ISERROR(SEARCH(("Yes"),(O670))))</formula>
    </cfRule>
  </conditionalFormatting>
  <conditionalFormatting sqref="O670 P649:P669 P671:P692 U692">
    <cfRule type="containsText" dxfId="9" priority="2871" operator="containsText" text="No">
      <formula>NOT(ISERROR(SEARCH(("No"),(O670))))</formula>
    </cfRule>
  </conditionalFormatting>
  <conditionalFormatting sqref="O670 P649:P669 P671:P692 U692">
    <cfRule type="containsText" dxfId="2" priority="2872" operator="containsText" text="Yes">
      <formula>NOT(ISERROR(SEARCH(("Yes"),(O670))))</formula>
    </cfRule>
  </conditionalFormatting>
  <conditionalFormatting sqref="O670 P649:P669 P671:P692 U692">
    <cfRule type="containsText" dxfId="9" priority="2873" operator="containsText" text="No">
      <formula>NOT(ISERROR(SEARCH(("No"),(O670))))</formula>
    </cfRule>
  </conditionalFormatting>
  <conditionalFormatting sqref="O670 P649:P669 P671:P692 U692">
    <cfRule type="containsText" dxfId="2" priority="2874" operator="containsText" text="Yes">
      <formula>NOT(ISERROR(SEARCH(("Yes"),(O670))))</formula>
    </cfRule>
  </conditionalFormatting>
  <conditionalFormatting sqref="O670 P649:P669 P671:P692 U692">
    <cfRule type="containsText" dxfId="9" priority="2875" operator="containsText" text="No">
      <formula>NOT(ISERROR(SEARCH(("No"),(O670))))</formula>
    </cfRule>
  </conditionalFormatting>
  <conditionalFormatting sqref="O670 P649:P669 P671:P692 U692">
    <cfRule type="containsText" dxfId="2" priority="2876" operator="containsText" text="Yes">
      <formula>NOT(ISERROR(SEARCH(("Yes"),(O670))))</formula>
    </cfRule>
  </conditionalFormatting>
  <conditionalFormatting sqref="O670 P649:P669 P671:P692 U692">
    <cfRule type="containsText" dxfId="9" priority="2877" operator="containsText" text="No">
      <formula>NOT(ISERROR(SEARCH(("No"),(O670))))</formula>
    </cfRule>
  </conditionalFormatting>
  <conditionalFormatting sqref="O670 P649:P669 P671:P692 U692">
    <cfRule type="containsText" dxfId="2" priority="2878" operator="containsText" text="Yes">
      <formula>NOT(ISERROR(SEARCH(("Yes"),(O670))))</formula>
    </cfRule>
  </conditionalFormatting>
  <conditionalFormatting sqref="O670 P649:P669 P671:P692 U692">
    <cfRule type="containsText" dxfId="9" priority="2879" operator="containsText" text="No">
      <formula>NOT(ISERROR(SEARCH(("No"),(O670))))</formula>
    </cfRule>
  </conditionalFormatting>
  <conditionalFormatting sqref="O670 P649:P669 P671:P692 U692">
    <cfRule type="containsText" dxfId="2" priority="2880" operator="containsText" text="Yes">
      <formula>NOT(ISERROR(SEARCH(("Yes"),(O670))))</formula>
    </cfRule>
  </conditionalFormatting>
  <conditionalFormatting sqref="O670 P649:P669 P671:P692 U692">
    <cfRule type="containsText" dxfId="9" priority="2881" operator="containsText" text="No">
      <formula>NOT(ISERROR(SEARCH(("No"),(O670))))</formula>
    </cfRule>
  </conditionalFormatting>
  <conditionalFormatting sqref="O670 P649:P669 P671:P692 U692">
    <cfRule type="containsText" dxfId="2" priority="2882" operator="containsText" text="Yes">
      <formula>NOT(ISERROR(SEARCH(("Yes"),(O670))))</formula>
    </cfRule>
  </conditionalFormatting>
  <conditionalFormatting sqref="O670 P649:P669 P671:P692 U692">
    <cfRule type="containsText" dxfId="9" priority="2883" operator="containsText" text="No">
      <formula>NOT(ISERROR(SEARCH(("No"),(O670))))</formula>
    </cfRule>
  </conditionalFormatting>
  <conditionalFormatting sqref="O670 P649:P669 P671:P692 U692">
    <cfRule type="containsText" dxfId="2" priority="2884" operator="containsText" text="Yes">
      <formula>NOT(ISERROR(SEARCH(("Yes"),(O670))))</formula>
    </cfRule>
  </conditionalFormatting>
  <conditionalFormatting sqref="O670 P649:P669 P671:P692 U692">
    <cfRule type="containsText" dxfId="9" priority="2885" operator="containsText" text="No">
      <formula>NOT(ISERROR(SEARCH(("No"),(O670))))</formula>
    </cfRule>
  </conditionalFormatting>
  <conditionalFormatting sqref="O670 P649:P669 P671:P692 U692">
    <cfRule type="containsText" dxfId="2" priority="2886" operator="containsText" text="Yes">
      <formula>NOT(ISERROR(SEARCH(("Yes"),(O670))))</formula>
    </cfRule>
  </conditionalFormatting>
  <conditionalFormatting sqref="O670 P649:P669 P671:P692 U692">
    <cfRule type="containsText" dxfId="9" priority="2887" operator="containsText" text="No">
      <formula>NOT(ISERROR(SEARCH(("No"),(O670))))</formula>
    </cfRule>
  </conditionalFormatting>
  <conditionalFormatting sqref="O670 P649:P669 P671:P692 U692">
    <cfRule type="containsText" dxfId="2" priority="2888" operator="containsText" text="Yes">
      <formula>NOT(ISERROR(SEARCH(("Yes"),(O670))))</formula>
    </cfRule>
  </conditionalFormatting>
  <conditionalFormatting sqref="O670 P649:P669 P671:P692 U692">
    <cfRule type="containsText" dxfId="9" priority="2889" operator="containsText" text="No">
      <formula>NOT(ISERROR(SEARCH(("No"),(O670))))</formula>
    </cfRule>
  </conditionalFormatting>
  <conditionalFormatting sqref="O670 P649:P669 P671:P692 U692">
    <cfRule type="containsText" dxfId="2" priority="2890" operator="containsText" text="Yes">
      <formula>NOT(ISERROR(SEARCH(("Yes"),(O670))))</formula>
    </cfRule>
  </conditionalFormatting>
  <conditionalFormatting sqref="O670 P649:P669 P671:P692 U692">
    <cfRule type="containsText" dxfId="9" priority="2891" operator="containsText" text="No">
      <formula>NOT(ISERROR(SEARCH(("No"),(O670))))</formula>
    </cfRule>
  </conditionalFormatting>
  <conditionalFormatting sqref="O670 P649:P669 P671:P692 U692">
    <cfRule type="containsText" dxfId="2" priority="2892" operator="containsText" text="Yes">
      <formula>NOT(ISERROR(SEARCH(("Yes"),(O670))))</formula>
    </cfRule>
  </conditionalFormatting>
  <conditionalFormatting sqref="O670 P649:P669 P671:P692 U692">
    <cfRule type="containsText" dxfId="9" priority="2893" operator="containsText" text="No">
      <formula>NOT(ISERROR(SEARCH(("No"),(O670))))</formula>
    </cfRule>
  </conditionalFormatting>
  <conditionalFormatting sqref="O670 P649:P669 P671:P692 U692">
    <cfRule type="containsText" dxfId="2" priority="2894" operator="containsText" text="Yes">
      <formula>NOT(ISERROR(SEARCH(("Yes"),(O670))))</formula>
    </cfRule>
  </conditionalFormatting>
  <conditionalFormatting sqref="O670 P649:P669 P671:P692 U692">
    <cfRule type="containsText" dxfId="9" priority="2895" operator="containsText" text="No">
      <formula>NOT(ISERROR(SEARCH(("No"),(O670))))</formula>
    </cfRule>
  </conditionalFormatting>
  <conditionalFormatting sqref="O670 P649:P669 P671:P692 U692">
    <cfRule type="containsText" dxfId="2" priority="2896" operator="containsText" text="Yes">
      <formula>NOT(ISERROR(SEARCH(("Yes"),(O670))))</formula>
    </cfRule>
  </conditionalFormatting>
  <conditionalFormatting sqref="O670 P649:P669 P671:P692 U692">
    <cfRule type="containsText" dxfId="9" priority="2897" operator="containsText" text="No">
      <formula>NOT(ISERROR(SEARCH(("No"),(O670))))</formula>
    </cfRule>
  </conditionalFormatting>
  <conditionalFormatting sqref="O670 P649:P669 P671:P692 U692">
    <cfRule type="containsText" dxfId="2" priority="2898" operator="containsText" text="Yes">
      <formula>NOT(ISERROR(SEARCH(("Yes"),(O670))))</formula>
    </cfRule>
  </conditionalFormatting>
  <conditionalFormatting sqref="O670 P649:P669 P671:P692 U692">
    <cfRule type="containsText" dxfId="9" priority="2899" operator="containsText" text="No">
      <formula>NOT(ISERROR(SEARCH(("No"),(O670))))</formula>
    </cfRule>
  </conditionalFormatting>
  <conditionalFormatting sqref="O670 P649:P669 P671:P692 U692">
    <cfRule type="containsText" dxfId="2" priority="2900" operator="containsText" text="Yes">
      <formula>NOT(ISERROR(SEARCH(("Yes"),(O670))))</formula>
    </cfRule>
  </conditionalFormatting>
  <conditionalFormatting sqref="O670 P649:P669 P671:P692 U692">
    <cfRule type="containsText" dxfId="2" priority="2901" operator="containsText" text="Yes">
      <formula>NOT(ISERROR(SEARCH(("Yes"),(O670))))</formula>
    </cfRule>
  </conditionalFormatting>
  <conditionalFormatting sqref="O670 P649:P669 P671:P692 U692">
    <cfRule type="containsText" dxfId="9" priority="2902" operator="containsText" text="No">
      <formula>NOT(ISERROR(SEARCH(("No"),(O670))))</formula>
    </cfRule>
  </conditionalFormatting>
  <conditionalFormatting sqref="O670 P649:P669 P671:P692 U692">
    <cfRule type="containsText" dxfId="2" priority="2903" operator="containsText" text="Yes">
      <formula>NOT(ISERROR(SEARCH(("Yes"),(O670))))</formula>
    </cfRule>
  </conditionalFormatting>
  <conditionalFormatting sqref="O670 P654:P669 P671:P692 U692">
    <cfRule type="containsText" dxfId="9" priority="2904" operator="containsText" text="No">
      <formula>NOT(ISERROR(SEARCH(("No"),(O670))))</formula>
    </cfRule>
  </conditionalFormatting>
  <conditionalFormatting sqref="O670 P654:P669 P671:P692 U692">
    <cfRule type="containsText" dxfId="2" priority="2905" operator="containsText" text="Yes">
      <formula>NOT(ISERROR(SEARCH(("Yes"),(O670))))</formula>
    </cfRule>
  </conditionalFormatting>
  <conditionalFormatting sqref="O670 P654:P669 P671:P692 U692">
    <cfRule type="containsText" dxfId="9" priority="2906" operator="containsText" text="No">
      <formula>NOT(ISERROR(SEARCH(("No"),(O670))))</formula>
    </cfRule>
  </conditionalFormatting>
  <conditionalFormatting sqref="O670 P654:P669 P671:P692 U692">
    <cfRule type="containsText" dxfId="2" priority="2907" operator="containsText" text="Yes">
      <formula>NOT(ISERROR(SEARCH(("Yes"),(O670))))</formula>
    </cfRule>
  </conditionalFormatting>
  <conditionalFormatting sqref="O670 P654:P669 P671:P692 U692">
    <cfRule type="containsText" dxfId="9" priority="2908" operator="containsText" text="No">
      <formula>NOT(ISERROR(SEARCH(("No"),(O670))))</formula>
    </cfRule>
  </conditionalFormatting>
  <conditionalFormatting sqref="O670 P654:P669 P671:P692 U692">
    <cfRule type="containsText" dxfId="2" priority="2909" operator="containsText" text="Yes">
      <formula>NOT(ISERROR(SEARCH(("Yes"),(O670))))</formula>
    </cfRule>
  </conditionalFormatting>
  <conditionalFormatting sqref="O670 P654:P669 P671:P692 U692">
    <cfRule type="containsText" dxfId="9" priority="2910" operator="containsText" text="No">
      <formula>NOT(ISERROR(SEARCH(("No"),(O670))))</formula>
    </cfRule>
  </conditionalFormatting>
  <conditionalFormatting sqref="O670 P654:P669 P671:P692 U692">
    <cfRule type="containsText" dxfId="2" priority="2911" operator="containsText" text="Yes">
      <formula>NOT(ISERROR(SEARCH(("Yes"),(O670))))</formula>
    </cfRule>
  </conditionalFormatting>
  <conditionalFormatting sqref="O670 P654:P669 P671:P692 U692">
    <cfRule type="containsText" dxfId="9" priority="2912" operator="containsText" text="No">
      <formula>NOT(ISERROR(SEARCH(("No"),(O670))))</formula>
    </cfRule>
  </conditionalFormatting>
  <conditionalFormatting sqref="O670 P654:P669 P671:P692 U692">
    <cfRule type="containsText" dxfId="2" priority="2913" operator="containsText" text="Yes">
      <formula>NOT(ISERROR(SEARCH(("Yes"),(O670))))</formula>
    </cfRule>
  </conditionalFormatting>
  <conditionalFormatting sqref="O670 P654:P669 P671:P692 U692">
    <cfRule type="containsText" dxfId="9" priority="2914" operator="containsText" text="No">
      <formula>NOT(ISERROR(SEARCH(("No"),(O670))))</formula>
    </cfRule>
  </conditionalFormatting>
  <conditionalFormatting sqref="O670 P654:P669 P671:P692 U692">
    <cfRule type="containsText" dxfId="2" priority="2915" operator="containsText" text="Yes">
      <formula>NOT(ISERROR(SEARCH(("Yes"),(O670))))</formula>
    </cfRule>
  </conditionalFormatting>
  <conditionalFormatting sqref="O670 P654:P669 P671:P692 U692">
    <cfRule type="containsText" dxfId="9" priority="2916" operator="containsText" text="No">
      <formula>NOT(ISERROR(SEARCH(("No"),(O670))))</formula>
    </cfRule>
  </conditionalFormatting>
  <conditionalFormatting sqref="O670 P654:P669 P671:P692 U692">
    <cfRule type="containsText" dxfId="2" priority="2917" operator="containsText" text="Yes">
      <formula>NOT(ISERROR(SEARCH(("Yes"),(O670))))</formula>
    </cfRule>
  </conditionalFormatting>
  <conditionalFormatting sqref="O670 P654:P669 P671:P692 U692">
    <cfRule type="containsText" dxfId="9" priority="2918" operator="containsText" text="No">
      <formula>NOT(ISERROR(SEARCH(("No"),(O670))))</formula>
    </cfRule>
  </conditionalFormatting>
  <conditionalFormatting sqref="O670 P654:P669 P671:P692 U692">
    <cfRule type="containsText" dxfId="2" priority="2919" operator="containsText" text="Yes">
      <formula>NOT(ISERROR(SEARCH(("Yes"),(O670))))</formula>
    </cfRule>
  </conditionalFormatting>
  <conditionalFormatting sqref="O670 P654:P669 P671:P692 U692">
    <cfRule type="containsText" dxfId="9" priority="2920" operator="containsText" text="No">
      <formula>NOT(ISERROR(SEARCH(("No"),(O670))))</formula>
    </cfRule>
  </conditionalFormatting>
  <conditionalFormatting sqref="O670 P654:P669 P671:P692 U692">
    <cfRule type="containsText" dxfId="2" priority="2921" operator="containsText" text="Yes">
      <formula>NOT(ISERROR(SEARCH(("Yes"),(O670))))</formula>
    </cfRule>
  </conditionalFormatting>
  <conditionalFormatting sqref="O670 P654:P669 P671:P692 U692">
    <cfRule type="containsText" dxfId="9" priority="2922" operator="containsText" text="No">
      <formula>NOT(ISERROR(SEARCH(("No"),(O670))))</formula>
    </cfRule>
  </conditionalFormatting>
  <conditionalFormatting sqref="O670 P654:P669 P671:P692 U692">
    <cfRule type="containsText" dxfId="2" priority="2923" operator="containsText" text="Yes">
      <formula>NOT(ISERROR(SEARCH(("Yes"),(O670))))</formula>
    </cfRule>
  </conditionalFormatting>
  <conditionalFormatting sqref="O670 P654:P669 P671:P692 U692">
    <cfRule type="containsText" dxfId="9" priority="2924" operator="containsText" text="No">
      <formula>NOT(ISERROR(SEARCH(("No"),(O670))))</formula>
    </cfRule>
  </conditionalFormatting>
  <conditionalFormatting sqref="O670 P654:P669 P671:P692 U692">
    <cfRule type="containsText" dxfId="2" priority="2925" operator="containsText" text="Yes">
      <formula>NOT(ISERROR(SEARCH(("Yes"),(O670))))</formula>
    </cfRule>
  </conditionalFormatting>
  <conditionalFormatting sqref="O670 P654:P669 P671:P692 U692">
    <cfRule type="containsText" dxfId="9" priority="2926" operator="containsText" text="No">
      <formula>NOT(ISERROR(SEARCH(("No"),(O670))))</formula>
    </cfRule>
  </conditionalFormatting>
  <conditionalFormatting sqref="O670 P654:P669 P671:P692 U692">
    <cfRule type="containsText" dxfId="2" priority="2927" operator="containsText" text="Yes">
      <formula>NOT(ISERROR(SEARCH(("Yes"),(O670))))</formula>
    </cfRule>
  </conditionalFormatting>
  <conditionalFormatting sqref="O670 P654:P669 P671:P692 U692">
    <cfRule type="containsText" dxfId="9" priority="2928" operator="containsText" text="No">
      <formula>NOT(ISERROR(SEARCH(("No"),(O670))))</formula>
    </cfRule>
  </conditionalFormatting>
  <conditionalFormatting sqref="O670 P654:P669 P671:P692 U692">
    <cfRule type="containsText" dxfId="2" priority="2929" operator="containsText" text="Yes">
      <formula>NOT(ISERROR(SEARCH(("Yes"),(O670))))</formula>
    </cfRule>
  </conditionalFormatting>
  <conditionalFormatting sqref="O670 P654:P669 P671:P692 U692">
    <cfRule type="containsText" dxfId="9" priority="2930" operator="containsText" text="No">
      <formula>NOT(ISERROR(SEARCH(("No"),(O670))))</formula>
    </cfRule>
  </conditionalFormatting>
  <conditionalFormatting sqref="O670 P654:P669 P671:P692 U692">
    <cfRule type="containsText" dxfId="2" priority="2931" operator="containsText" text="Yes">
      <formula>NOT(ISERROR(SEARCH(("Yes"),(O670))))</formula>
    </cfRule>
  </conditionalFormatting>
  <conditionalFormatting sqref="O670 P654:P669 P671:P692 U692">
    <cfRule type="containsText" dxfId="9" priority="2932" operator="containsText" text="No">
      <formula>NOT(ISERROR(SEARCH(("No"),(O670))))</formula>
    </cfRule>
  </conditionalFormatting>
  <conditionalFormatting sqref="O670 P654:P669 P671:P692 U692">
    <cfRule type="containsText" dxfId="2" priority="2933" operator="containsText" text="Yes">
      <formula>NOT(ISERROR(SEARCH(("Yes"),(O670))))</formula>
    </cfRule>
  </conditionalFormatting>
  <conditionalFormatting sqref="O670 P654:P669 P671:P692 U692">
    <cfRule type="containsText" dxfId="9" priority="2934" operator="containsText" text="No">
      <formula>NOT(ISERROR(SEARCH(("No"),(O670))))</formula>
    </cfRule>
  </conditionalFormatting>
  <conditionalFormatting sqref="O670 P654:P669 P671:P692 U692">
    <cfRule type="containsText" dxfId="2" priority="2935" operator="containsText" text="Yes">
      <formula>NOT(ISERROR(SEARCH(("Yes"),(O670))))</formula>
    </cfRule>
  </conditionalFormatting>
  <conditionalFormatting sqref="O670 P654:P669 P671:P692 U692">
    <cfRule type="containsText" dxfId="9" priority="2936" operator="containsText" text="No">
      <formula>NOT(ISERROR(SEARCH(("No"),(O670))))</formula>
    </cfRule>
  </conditionalFormatting>
  <conditionalFormatting sqref="O670 P654:P669 P671:P692 U692">
    <cfRule type="containsText" dxfId="2" priority="2937" operator="containsText" text="Yes">
      <formula>NOT(ISERROR(SEARCH(("Yes"),(O670))))</formula>
    </cfRule>
  </conditionalFormatting>
  <conditionalFormatting sqref="O670 P654:P669 P671:P692 U692">
    <cfRule type="containsText" dxfId="9" priority="2938" operator="containsText" text="No">
      <formula>NOT(ISERROR(SEARCH(("No"),(O670))))</formula>
    </cfRule>
  </conditionalFormatting>
  <conditionalFormatting sqref="O670 P654:P669 P671:P692 U692">
    <cfRule type="containsText" dxfId="2" priority="2939" operator="containsText" text="Yes">
      <formula>NOT(ISERROR(SEARCH(("Yes"),(O670))))</formula>
    </cfRule>
  </conditionalFormatting>
  <conditionalFormatting sqref="O670 P654:P669 P671:P692 U692">
    <cfRule type="containsText" dxfId="9" priority="2940" operator="containsText" text="No">
      <formula>NOT(ISERROR(SEARCH(("No"),(O670))))</formula>
    </cfRule>
  </conditionalFormatting>
  <conditionalFormatting sqref="O670 P654:P669 P671:P692 U692">
    <cfRule type="containsText" dxfId="2" priority="2941" operator="containsText" text="Yes">
      <formula>NOT(ISERROR(SEARCH(("Yes"),(O670))))</formula>
    </cfRule>
  </conditionalFormatting>
  <conditionalFormatting sqref="O670 P654:P669 P671:P692 U692">
    <cfRule type="containsText" dxfId="9" priority="2942" operator="containsText" text="No">
      <formula>NOT(ISERROR(SEARCH(("No"),(O670))))</formula>
    </cfRule>
  </conditionalFormatting>
  <conditionalFormatting sqref="O670 P654:P669 P671:P692 U692">
    <cfRule type="containsText" dxfId="2" priority="2943" operator="containsText" text="Yes">
      <formula>NOT(ISERROR(SEARCH(("Yes"),(O670))))</formula>
    </cfRule>
  </conditionalFormatting>
  <conditionalFormatting sqref="O670 P654:P669 P671:P692 U692">
    <cfRule type="containsText" dxfId="9" priority="2944" operator="containsText" text="No">
      <formula>NOT(ISERROR(SEARCH(("No"),(O670))))</formula>
    </cfRule>
  </conditionalFormatting>
  <conditionalFormatting sqref="O670 P654:P669 P671:P692 U692">
    <cfRule type="containsText" dxfId="2" priority="2945" operator="containsText" text="Yes">
      <formula>NOT(ISERROR(SEARCH(("Yes"),(O670))))</formula>
    </cfRule>
  </conditionalFormatting>
  <conditionalFormatting sqref="O670 P654:P669 P671:P692 U692">
    <cfRule type="containsText" dxfId="9" priority="2946" operator="containsText" text="No">
      <formula>NOT(ISERROR(SEARCH(("No"),(O670))))</formula>
    </cfRule>
  </conditionalFormatting>
  <conditionalFormatting sqref="O670 P654:P669 P671:P692 U692">
    <cfRule type="containsText" dxfId="2" priority="2947" operator="containsText" text="Yes">
      <formula>NOT(ISERROR(SEARCH(("Yes"),(O670))))</formula>
    </cfRule>
  </conditionalFormatting>
  <conditionalFormatting sqref="O670 P654:P669 P671:P692 U692">
    <cfRule type="containsText" dxfId="9" priority="2948" operator="containsText" text="No">
      <formula>NOT(ISERROR(SEARCH(("No"),(O670))))</formula>
    </cfRule>
  </conditionalFormatting>
  <conditionalFormatting sqref="O670 P654:P669 P671:P692 U692">
    <cfRule type="containsText" dxfId="2" priority="2949" operator="containsText" text="Yes">
      <formula>NOT(ISERROR(SEARCH(("Yes"),(O670))))</formula>
    </cfRule>
  </conditionalFormatting>
  <conditionalFormatting sqref="O670 P654:P669 P671:P692 U692">
    <cfRule type="containsText" dxfId="9" priority="2950" operator="containsText" text="No">
      <formula>NOT(ISERROR(SEARCH(("No"),(O670))))</formula>
    </cfRule>
  </conditionalFormatting>
  <conditionalFormatting sqref="O670 P654:P669 P671:P692 U692">
    <cfRule type="containsText" dxfId="2" priority="2951" operator="containsText" text="Yes">
      <formula>NOT(ISERROR(SEARCH(("Yes"),(O670))))</formula>
    </cfRule>
  </conditionalFormatting>
  <conditionalFormatting sqref="O670 P654:P669 P671:P692 U692">
    <cfRule type="containsText" dxfId="9" priority="2952" operator="containsText" text="No">
      <formula>NOT(ISERROR(SEARCH(("No"),(O670))))</formula>
    </cfRule>
  </conditionalFormatting>
  <conditionalFormatting sqref="O670 P654:P669 P671:P692 U692">
    <cfRule type="containsText" dxfId="2" priority="2953" operator="containsText" text="Yes">
      <formula>NOT(ISERROR(SEARCH(("Yes"),(O670))))</formula>
    </cfRule>
  </conditionalFormatting>
  <conditionalFormatting sqref="O670 P654:P669 P671:P692 U692">
    <cfRule type="containsText" dxfId="9" priority="2954" operator="containsText" text="No">
      <formula>NOT(ISERROR(SEARCH(("No"),(O670))))</formula>
    </cfRule>
  </conditionalFormatting>
  <conditionalFormatting sqref="O670 P654:P669 P671:P692 U692">
    <cfRule type="containsText" dxfId="2" priority="2955" operator="containsText" text="Yes">
      <formula>NOT(ISERROR(SEARCH(("Yes"),(O670))))</formula>
    </cfRule>
  </conditionalFormatting>
  <conditionalFormatting sqref="O670 P654:P669 P671:P692 U692">
    <cfRule type="containsText" dxfId="9" priority="2956" operator="containsText" text="No">
      <formula>NOT(ISERROR(SEARCH(("No"),(O670))))</formula>
    </cfRule>
  </conditionalFormatting>
  <conditionalFormatting sqref="O670 P654:P669 P671:P692 U692">
    <cfRule type="containsText" dxfId="2" priority="2957" operator="containsText" text="Yes">
      <formula>NOT(ISERROR(SEARCH(("Yes"),(O670))))</formula>
    </cfRule>
  </conditionalFormatting>
  <conditionalFormatting sqref="O670 P654:P669 P671:P692 U692">
    <cfRule type="containsText" dxfId="9" priority="2958" operator="containsText" text="No">
      <formula>NOT(ISERROR(SEARCH(("No"),(O670))))</formula>
    </cfRule>
  </conditionalFormatting>
  <conditionalFormatting sqref="O670 P654:P669 P671:P692 U692">
    <cfRule type="containsText" dxfId="2" priority="2959" operator="containsText" text="Yes">
      <formula>NOT(ISERROR(SEARCH(("Yes"),(O670))))</formula>
    </cfRule>
  </conditionalFormatting>
  <conditionalFormatting sqref="O670 P654:P669 P671:P692 U692">
    <cfRule type="containsText" dxfId="9" priority="2960" operator="containsText" text="No">
      <formula>NOT(ISERROR(SEARCH(("No"),(O670))))</formula>
    </cfRule>
  </conditionalFormatting>
  <conditionalFormatting sqref="O670 P654:P669 P671:P692 U692">
    <cfRule type="containsText" dxfId="2" priority="2961" operator="containsText" text="Yes">
      <formula>NOT(ISERROR(SEARCH(("Yes"),(O670))))</formula>
    </cfRule>
  </conditionalFormatting>
  <conditionalFormatting sqref="O670 P654:P669 P671:P692 U692">
    <cfRule type="containsText" dxfId="9" priority="2962" operator="containsText" text="No">
      <formula>NOT(ISERROR(SEARCH(("No"),(O670))))</formula>
    </cfRule>
  </conditionalFormatting>
  <conditionalFormatting sqref="O670 P654:P669 P671:P692 U692">
    <cfRule type="containsText" dxfId="2" priority="2963" operator="containsText" text="Yes">
      <formula>NOT(ISERROR(SEARCH(("Yes"),(O670))))</formula>
    </cfRule>
  </conditionalFormatting>
  <conditionalFormatting sqref="O670 P654:P669 P671:P692 U692">
    <cfRule type="containsText" dxfId="9" priority="2964" operator="containsText" text="No">
      <formula>NOT(ISERROR(SEARCH(("No"),(O670))))</formula>
    </cfRule>
  </conditionalFormatting>
  <conditionalFormatting sqref="O670 P654:P669 P671:P692 U692">
    <cfRule type="containsText" dxfId="2" priority="2965" operator="containsText" text="Yes">
      <formula>NOT(ISERROR(SEARCH(("Yes"),(O670))))</formula>
    </cfRule>
  </conditionalFormatting>
  <conditionalFormatting sqref="O670 P654:P669 P671:P692 U692">
    <cfRule type="containsText" dxfId="9" priority="2966" operator="containsText" text="No">
      <formula>NOT(ISERROR(SEARCH(("No"),(O670))))</formula>
    </cfRule>
  </conditionalFormatting>
  <conditionalFormatting sqref="O670 P654:P669 P671:P692 U692">
    <cfRule type="containsText" dxfId="2" priority="2967" operator="containsText" text="Yes">
      <formula>NOT(ISERROR(SEARCH(("Yes"),(O670))))</formula>
    </cfRule>
  </conditionalFormatting>
  <conditionalFormatting sqref="O670 P654:P669 P671:P692 U692">
    <cfRule type="containsText" dxfId="9" priority="2968" operator="containsText" text="No">
      <formula>NOT(ISERROR(SEARCH(("No"),(O670))))</formula>
    </cfRule>
  </conditionalFormatting>
  <conditionalFormatting sqref="O670 P654:P669 P671:P692 U692">
    <cfRule type="containsText" dxfId="2" priority="2969" operator="containsText" text="Yes">
      <formula>NOT(ISERROR(SEARCH(("Yes"),(O670))))</formula>
    </cfRule>
  </conditionalFormatting>
  <conditionalFormatting sqref="O670 P654:P669 P671:P692 U692">
    <cfRule type="containsText" dxfId="9" priority="2970" operator="containsText" text="No">
      <formula>NOT(ISERROR(SEARCH(("No"),(O670))))</formula>
    </cfRule>
  </conditionalFormatting>
  <conditionalFormatting sqref="O670 P654:P669 P671:P692 U692">
    <cfRule type="containsText" dxfId="2" priority="2971" operator="containsText" text="Yes">
      <formula>NOT(ISERROR(SEARCH(("Yes"),(O670))))</formula>
    </cfRule>
  </conditionalFormatting>
  <conditionalFormatting sqref="O670 P654:P669 P671:P692 U692">
    <cfRule type="containsText" dxfId="9" priority="2972" operator="containsText" text="No">
      <formula>NOT(ISERROR(SEARCH(("No"),(O670))))</formula>
    </cfRule>
  </conditionalFormatting>
  <conditionalFormatting sqref="O670 P654:P669 P671:P692 U692">
    <cfRule type="containsText" dxfId="2" priority="2973" operator="containsText" text="Yes">
      <formula>NOT(ISERROR(SEARCH(("Yes"),(O670))))</formula>
    </cfRule>
  </conditionalFormatting>
  <conditionalFormatting sqref="O670 P654:P669 P671:P692 U692">
    <cfRule type="containsText" dxfId="9" priority="2974" operator="containsText" text="No">
      <formula>NOT(ISERROR(SEARCH(("No"),(O670))))</formula>
    </cfRule>
  </conditionalFormatting>
  <conditionalFormatting sqref="O670 P654:P669 P671:P692 U692">
    <cfRule type="containsText" dxfId="2" priority="2975" operator="containsText" text="Yes">
      <formula>NOT(ISERROR(SEARCH(("Yes"),(O670))))</formula>
    </cfRule>
  </conditionalFormatting>
  <conditionalFormatting sqref="O670 P654:P669 P671:P692 U692">
    <cfRule type="containsText" dxfId="9" priority="2976" operator="containsText" text="No">
      <formula>NOT(ISERROR(SEARCH(("No"),(O670))))</formula>
    </cfRule>
  </conditionalFormatting>
  <conditionalFormatting sqref="O670 P654:P669 P671:P692 U692">
    <cfRule type="containsText" dxfId="2" priority="2977" operator="containsText" text="Yes">
      <formula>NOT(ISERROR(SEARCH(("Yes"),(O670))))</formula>
    </cfRule>
  </conditionalFormatting>
  <conditionalFormatting sqref="O670 P654:P669 P671:P692 U692">
    <cfRule type="containsText" dxfId="9" priority="2978" operator="containsText" text="No">
      <formula>NOT(ISERROR(SEARCH(("No"),(O670))))</formula>
    </cfRule>
  </conditionalFormatting>
  <conditionalFormatting sqref="O670 P654:P669 P671:P692 U692">
    <cfRule type="containsText" dxfId="2" priority="2979" operator="containsText" text="Yes">
      <formula>NOT(ISERROR(SEARCH(("Yes"),(O670))))</formula>
    </cfRule>
  </conditionalFormatting>
  <conditionalFormatting sqref="O670 P654:P669 P671:P692 U692">
    <cfRule type="containsText" dxfId="9" priority="2980" operator="containsText" text="No">
      <formula>NOT(ISERROR(SEARCH(("No"),(O670))))</formula>
    </cfRule>
  </conditionalFormatting>
  <conditionalFormatting sqref="O670 P654:P669 P671:P692 U692">
    <cfRule type="containsText" dxfId="2" priority="2981" operator="containsText" text="Yes">
      <formula>NOT(ISERROR(SEARCH(("Yes"),(O670))))</formula>
    </cfRule>
  </conditionalFormatting>
  <conditionalFormatting sqref="O670 P654:P669 P671:P692 U692">
    <cfRule type="containsText" dxfId="9" priority="2982" operator="containsText" text="No">
      <formula>NOT(ISERROR(SEARCH(("No"),(O670))))</formula>
    </cfRule>
  </conditionalFormatting>
  <conditionalFormatting sqref="O670 P654:P669 P671:P692 U692">
    <cfRule type="containsText" dxfId="2" priority="2983" operator="containsText" text="Yes">
      <formula>NOT(ISERROR(SEARCH(("Yes"),(O670))))</formula>
    </cfRule>
  </conditionalFormatting>
  <conditionalFormatting sqref="O670 P654:P669 P671:P692 U692">
    <cfRule type="containsText" dxfId="9" priority="2984" operator="containsText" text="No">
      <formula>NOT(ISERROR(SEARCH(("No"),(O670))))</formula>
    </cfRule>
  </conditionalFormatting>
  <conditionalFormatting sqref="O670 P654:P669 P671:P692 U692">
    <cfRule type="containsText" dxfId="2" priority="2985" operator="containsText" text="Yes">
      <formula>NOT(ISERROR(SEARCH(("Yes"),(O670))))</formula>
    </cfRule>
  </conditionalFormatting>
  <conditionalFormatting sqref="O670 P654:P669 P671:P692 U692">
    <cfRule type="containsText" dxfId="9" priority="2986" operator="containsText" text="No">
      <formula>NOT(ISERROR(SEARCH(("No"),(O670))))</formula>
    </cfRule>
  </conditionalFormatting>
  <conditionalFormatting sqref="O670 P654:P669 P671:P692 U692">
    <cfRule type="containsText" dxfId="2" priority="2987" operator="containsText" text="Yes">
      <formula>NOT(ISERROR(SEARCH(("Yes"),(O670))))</formula>
    </cfRule>
  </conditionalFormatting>
  <conditionalFormatting sqref="O670 P654:P669 P671:P692 U692">
    <cfRule type="containsText" dxfId="9" priority="2988" operator="containsText" text="No">
      <formula>NOT(ISERROR(SEARCH(("No"),(O670))))</formula>
    </cfRule>
  </conditionalFormatting>
  <conditionalFormatting sqref="O670 P654:P669 P671:P692 U692">
    <cfRule type="containsText" dxfId="2" priority="2989" operator="containsText" text="Yes">
      <formula>NOT(ISERROR(SEARCH(("Yes"),(O670))))</formula>
    </cfRule>
  </conditionalFormatting>
  <conditionalFormatting sqref="O670 P654:P669 P671:P692 U692">
    <cfRule type="containsText" dxfId="9" priority="2990" operator="containsText" text="No">
      <formula>NOT(ISERROR(SEARCH(("No"),(O670))))</formula>
    </cfRule>
  </conditionalFormatting>
  <conditionalFormatting sqref="O670 P654:P669 P671:P692 U692">
    <cfRule type="containsText" dxfId="2" priority="2991" operator="containsText" text="Yes">
      <formula>NOT(ISERROR(SEARCH(("Yes"),(O670))))</formula>
    </cfRule>
  </conditionalFormatting>
  <conditionalFormatting sqref="O670 P654:P669 P671:P692 U692">
    <cfRule type="containsText" dxfId="9" priority="2992" operator="containsText" text="No">
      <formula>NOT(ISERROR(SEARCH(("No"),(O670))))</formula>
    </cfRule>
  </conditionalFormatting>
  <conditionalFormatting sqref="O670 P654:P669 P671:P692 U692">
    <cfRule type="containsText" dxfId="2" priority="2993" operator="containsText" text="Yes">
      <formula>NOT(ISERROR(SEARCH(("Yes"),(O670))))</formula>
    </cfRule>
  </conditionalFormatting>
  <conditionalFormatting sqref="O670 P654:P669 P671:P692 U692">
    <cfRule type="containsText" dxfId="9" priority="2994" operator="containsText" text="No">
      <formula>NOT(ISERROR(SEARCH(("No"),(O670))))</formula>
    </cfRule>
  </conditionalFormatting>
  <conditionalFormatting sqref="O670 P654:P669 P671:P692 U692">
    <cfRule type="containsText" dxfId="2" priority="2995" operator="containsText" text="Yes">
      <formula>NOT(ISERROR(SEARCH(("Yes"),(O670))))</formula>
    </cfRule>
  </conditionalFormatting>
  <conditionalFormatting sqref="O670 P654:P669 P671:P692 U692">
    <cfRule type="containsText" dxfId="9" priority="2996" operator="containsText" text="No">
      <formula>NOT(ISERROR(SEARCH(("No"),(O670))))</formula>
    </cfRule>
  </conditionalFormatting>
  <conditionalFormatting sqref="O670 P654:P669 P671:P692 U692">
    <cfRule type="containsText" dxfId="2" priority="2997" operator="containsText" text="Yes">
      <formula>NOT(ISERROR(SEARCH(("Yes"),(O670))))</formula>
    </cfRule>
  </conditionalFormatting>
  <conditionalFormatting sqref="O670 P654:P669 P671:P692 U692">
    <cfRule type="containsText" dxfId="9" priority="2998" operator="containsText" text="No">
      <formula>NOT(ISERROR(SEARCH(("No"),(O670))))</formula>
    </cfRule>
  </conditionalFormatting>
  <conditionalFormatting sqref="O670 P654:P669 P671:P692 U692">
    <cfRule type="containsText" dxfId="2" priority="2999" operator="containsText" text="Yes">
      <formula>NOT(ISERROR(SEARCH(("Yes"),(O670))))</formula>
    </cfRule>
  </conditionalFormatting>
  <conditionalFormatting sqref="O670 P654:P669 P671:P692 U692">
    <cfRule type="containsText" dxfId="9" priority="3000" operator="containsText" text="No">
      <formula>NOT(ISERROR(SEARCH(("No"),(O670))))</formula>
    </cfRule>
  </conditionalFormatting>
  <conditionalFormatting sqref="O670 P654:P669 P671:P692 U692">
    <cfRule type="containsText" dxfId="2" priority="3001" operator="containsText" text="Yes">
      <formula>NOT(ISERROR(SEARCH(("Yes"),(O670))))</formula>
    </cfRule>
  </conditionalFormatting>
  <conditionalFormatting sqref="O670 P654:P669 P671:P692 U692">
    <cfRule type="containsText" dxfId="9" priority="3002" operator="containsText" text="No">
      <formula>NOT(ISERROR(SEARCH(("No"),(O670))))</formula>
    </cfRule>
  </conditionalFormatting>
  <conditionalFormatting sqref="O670 P654:P669 P671:P692 U692">
    <cfRule type="containsText" dxfId="2" priority="3003" operator="containsText" text="Yes">
      <formula>NOT(ISERROR(SEARCH(("Yes"),(O670))))</formula>
    </cfRule>
  </conditionalFormatting>
  <conditionalFormatting sqref="O670 P654:P669 P671:P692 U692">
    <cfRule type="containsText" dxfId="9" priority="3004" operator="containsText" text="No">
      <formula>NOT(ISERROR(SEARCH(("No"),(O670))))</formula>
    </cfRule>
  </conditionalFormatting>
  <conditionalFormatting sqref="O670 P654:P669 P671:P692 U692">
    <cfRule type="containsText" dxfId="2" priority="3005" operator="containsText" text="Yes">
      <formula>NOT(ISERROR(SEARCH(("Yes"),(O670))))</formula>
    </cfRule>
  </conditionalFormatting>
  <conditionalFormatting sqref="O670 P654:P669 P671:P692 U692">
    <cfRule type="containsText" dxfId="9" priority="3006" operator="containsText" text="No">
      <formula>NOT(ISERROR(SEARCH(("No"),(O670))))</formula>
    </cfRule>
  </conditionalFormatting>
  <conditionalFormatting sqref="O670 P654:P669 P671:P692 U692">
    <cfRule type="containsText" dxfId="2" priority="3007" operator="containsText" text="Yes">
      <formula>NOT(ISERROR(SEARCH(("Yes"),(O670))))</formula>
    </cfRule>
  </conditionalFormatting>
  <conditionalFormatting sqref="O670 P654:P669 P671:P692 U692">
    <cfRule type="containsText" dxfId="9" priority="3008" operator="containsText" text="No">
      <formula>NOT(ISERROR(SEARCH(("No"),(O670))))</formula>
    </cfRule>
  </conditionalFormatting>
  <conditionalFormatting sqref="O670 P654:P669 P671:P692 U692">
    <cfRule type="containsText" dxfId="2" priority="3009" operator="containsText" text="Yes">
      <formula>NOT(ISERROR(SEARCH(("Yes"),(O670))))</formula>
    </cfRule>
  </conditionalFormatting>
  <conditionalFormatting sqref="O670 P654:P669 P671:P692 U692">
    <cfRule type="containsText" dxfId="9" priority="3010" operator="containsText" text="No">
      <formula>NOT(ISERROR(SEARCH(("No"),(O670))))</formula>
    </cfRule>
  </conditionalFormatting>
  <conditionalFormatting sqref="O670 P654:P669 P671:P692 U692">
    <cfRule type="containsText" dxfId="2" priority="3011" operator="containsText" text="Yes">
      <formula>NOT(ISERROR(SEARCH(("Yes"),(O670))))</formula>
    </cfRule>
  </conditionalFormatting>
  <conditionalFormatting sqref="O670 P654:P669 P671:P692 U692">
    <cfRule type="containsText" dxfId="9" priority="3012" operator="containsText" text="No">
      <formula>NOT(ISERROR(SEARCH(("No"),(O670))))</formula>
    </cfRule>
  </conditionalFormatting>
  <conditionalFormatting sqref="O670 P654:P669 P671:P692 U692">
    <cfRule type="containsText" dxfId="2" priority="3013" operator="containsText" text="Yes">
      <formula>NOT(ISERROR(SEARCH(("Yes"),(O670))))</formula>
    </cfRule>
  </conditionalFormatting>
  <conditionalFormatting sqref="O670 P654:P669 P671:P692 U692">
    <cfRule type="containsText" dxfId="9" priority="3014" operator="containsText" text="No">
      <formula>NOT(ISERROR(SEARCH(("No"),(O670))))</formula>
    </cfRule>
  </conditionalFormatting>
  <conditionalFormatting sqref="O670 P654:P669 P671:P692 U692">
    <cfRule type="containsText" dxfId="2" priority="3015" operator="containsText" text="Yes">
      <formula>NOT(ISERROR(SEARCH(("Yes"),(O670))))</formula>
    </cfRule>
  </conditionalFormatting>
  <conditionalFormatting sqref="O670 P654:P669 P671:P692 U692">
    <cfRule type="containsText" dxfId="9" priority="3016" operator="containsText" text="No">
      <formula>NOT(ISERROR(SEARCH(("No"),(O670))))</formula>
    </cfRule>
  </conditionalFormatting>
  <conditionalFormatting sqref="O670 P654:P669 P671:P692 U692">
    <cfRule type="containsText" dxfId="2" priority="3017" operator="containsText" text="Yes">
      <formula>NOT(ISERROR(SEARCH(("Yes"),(O670))))</formula>
    </cfRule>
  </conditionalFormatting>
  <conditionalFormatting sqref="O670 P654:P669 P671:P692 U692">
    <cfRule type="containsText" dxfId="9" priority="3018" operator="containsText" text="No">
      <formula>NOT(ISERROR(SEARCH(("No"),(O670))))</formula>
    </cfRule>
  </conditionalFormatting>
  <conditionalFormatting sqref="O670 P654:P669 P671:P692 U692">
    <cfRule type="containsText" dxfId="2" priority="3019" operator="containsText" text="Yes">
      <formula>NOT(ISERROR(SEARCH(("Yes"),(O670))))</formula>
    </cfRule>
  </conditionalFormatting>
  <conditionalFormatting sqref="O670 P654:P669 P671:P692 U692">
    <cfRule type="containsText" dxfId="9" priority="3020" operator="containsText" text="No">
      <formula>NOT(ISERROR(SEARCH(("No"),(O670))))</formula>
    </cfRule>
  </conditionalFormatting>
  <conditionalFormatting sqref="O670 P654:P669 P671:P692 U692">
    <cfRule type="containsText" dxfId="2" priority="3021" operator="containsText" text="Yes">
      <formula>NOT(ISERROR(SEARCH(("Yes"),(O670))))</formula>
    </cfRule>
  </conditionalFormatting>
  <conditionalFormatting sqref="O670 P654:P669 P671:P692 U692">
    <cfRule type="containsText" dxfId="9" priority="3022" operator="containsText" text="No">
      <formula>NOT(ISERROR(SEARCH(("No"),(O670))))</formula>
    </cfRule>
  </conditionalFormatting>
  <conditionalFormatting sqref="O670 P654:P669 P671:P692 U692">
    <cfRule type="containsText" dxfId="2" priority="3023" operator="containsText" text="Yes">
      <formula>NOT(ISERROR(SEARCH(("Yes"),(O670))))</formula>
    </cfRule>
  </conditionalFormatting>
  <conditionalFormatting sqref="O670 P654:P669 P671:P692 U692">
    <cfRule type="containsText" dxfId="9" priority="3024" operator="containsText" text="No">
      <formula>NOT(ISERROR(SEARCH(("No"),(O670))))</formula>
    </cfRule>
  </conditionalFormatting>
  <conditionalFormatting sqref="O670 P654:P669 P671:P692 U692">
    <cfRule type="containsText" dxfId="2" priority="3025" operator="containsText" text="Yes">
      <formula>NOT(ISERROR(SEARCH(("Yes"),(O670))))</formula>
    </cfRule>
  </conditionalFormatting>
  <conditionalFormatting sqref="O670 P654:P669 P671:P692 U692">
    <cfRule type="containsText" dxfId="9" priority="3026" operator="containsText" text="No">
      <formula>NOT(ISERROR(SEARCH(("No"),(O670))))</formula>
    </cfRule>
  </conditionalFormatting>
  <conditionalFormatting sqref="O670 P654:P669 P671:P692 U692">
    <cfRule type="containsText" dxfId="2" priority="3027" operator="containsText" text="Yes">
      <formula>NOT(ISERROR(SEARCH(("Yes"),(O670))))</formula>
    </cfRule>
  </conditionalFormatting>
  <conditionalFormatting sqref="O670 P654:P669 P671:P692 U692">
    <cfRule type="containsText" dxfId="9" priority="3028" operator="containsText" text="No">
      <formula>NOT(ISERROR(SEARCH(("No"),(O670))))</formula>
    </cfRule>
  </conditionalFormatting>
  <conditionalFormatting sqref="O670 P654:P669 P671:P692 U692">
    <cfRule type="containsText" dxfId="2" priority="3029" operator="containsText" text="Yes">
      <formula>NOT(ISERROR(SEARCH(("Yes"),(O670))))</formula>
    </cfRule>
  </conditionalFormatting>
  <conditionalFormatting sqref="O670 P654:P669 P671:P692 U692">
    <cfRule type="containsText" dxfId="9" priority="3030" operator="containsText" text="No">
      <formula>NOT(ISERROR(SEARCH(("No"),(O670))))</formula>
    </cfRule>
  </conditionalFormatting>
  <conditionalFormatting sqref="O670 P654:P669 P671:P692 U692">
    <cfRule type="containsText" dxfId="2" priority="3031" operator="containsText" text="Yes">
      <formula>NOT(ISERROR(SEARCH(("Yes"),(O670))))</formula>
    </cfRule>
  </conditionalFormatting>
  <conditionalFormatting sqref="O670 P654:P669 P671:P692 U692">
    <cfRule type="containsText" dxfId="9" priority="3032" operator="containsText" text="No">
      <formula>NOT(ISERROR(SEARCH(("No"),(O670))))</formula>
    </cfRule>
  </conditionalFormatting>
  <conditionalFormatting sqref="O670 P654:P669 P671:P692 U692">
    <cfRule type="containsText" dxfId="2" priority="3033" operator="containsText" text="Yes">
      <formula>NOT(ISERROR(SEARCH(("Yes"),(O670))))</formula>
    </cfRule>
  </conditionalFormatting>
  <conditionalFormatting sqref="O670 P654:P669 P671:P692 U692">
    <cfRule type="containsText" dxfId="9" priority="3034" operator="containsText" text="No">
      <formula>NOT(ISERROR(SEARCH(("No"),(O670))))</formula>
    </cfRule>
  </conditionalFormatting>
  <conditionalFormatting sqref="O670 P654:P669 P671:P692 U692">
    <cfRule type="containsText" dxfId="2" priority="3035" operator="containsText" text="Yes">
      <formula>NOT(ISERROR(SEARCH(("Yes"),(O670))))</formula>
    </cfRule>
  </conditionalFormatting>
  <conditionalFormatting sqref="O670 P654:P669 P671:P692 U692">
    <cfRule type="containsText" dxfId="9" priority="3036" operator="containsText" text="No">
      <formula>NOT(ISERROR(SEARCH(("No"),(O670))))</formula>
    </cfRule>
  </conditionalFormatting>
  <conditionalFormatting sqref="O670 P654:P669 P671:P692 U692">
    <cfRule type="containsText" dxfId="2" priority="3037" operator="containsText" text="Yes">
      <formula>NOT(ISERROR(SEARCH(("Yes"),(O670))))</formula>
    </cfRule>
  </conditionalFormatting>
  <conditionalFormatting sqref="O670 P654:P669 P671:P692 U692">
    <cfRule type="containsText" dxfId="9" priority="3038" operator="containsText" text="No">
      <formula>NOT(ISERROR(SEARCH(("No"),(O670))))</formula>
    </cfRule>
  </conditionalFormatting>
  <conditionalFormatting sqref="O670 P654:P669 P671:P692 U692">
    <cfRule type="containsText" dxfId="2" priority="3039" operator="containsText" text="Yes">
      <formula>NOT(ISERROR(SEARCH(("Yes"),(O670))))</formula>
    </cfRule>
  </conditionalFormatting>
  <conditionalFormatting sqref="O670 P654:P669 P671:P692 U692">
    <cfRule type="containsText" dxfId="9" priority="3040" operator="containsText" text="No">
      <formula>NOT(ISERROR(SEARCH(("No"),(O670))))</formula>
    </cfRule>
  </conditionalFormatting>
  <conditionalFormatting sqref="O670 P654:P669 P671:P692 U692">
    <cfRule type="containsText" dxfId="2" priority="3041" operator="containsText" text="Yes">
      <formula>NOT(ISERROR(SEARCH(("Yes"),(O670))))</formula>
    </cfRule>
  </conditionalFormatting>
  <conditionalFormatting sqref="O670 P654:P669 P671:P692 U692">
    <cfRule type="containsText" dxfId="9" priority="3042" operator="containsText" text="No">
      <formula>NOT(ISERROR(SEARCH(("No"),(O670))))</formula>
    </cfRule>
  </conditionalFormatting>
  <conditionalFormatting sqref="O670 P654:P669 P671:P692 U692">
    <cfRule type="containsText" dxfId="2" priority="3043" operator="containsText" text="Yes">
      <formula>NOT(ISERROR(SEARCH(("Yes"),(O670))))</formula>
    </cfRule>
  </conditionalFormatting>
  <conditionalFormatting sqref="O670 P654:P669 P671:P692 U692">
    <cfRule type="containsText" dxfId="9" priority="3044" operator="containsText" text="No">
      <formula>NOT(ISERROR(SEARCH(("No"),(O670))))</formula>
    </cfRule>
  </conditionalFormatting>
  <conditionalFormatting sqref="O670 P654:P669 P671:P692 U692">
    <cfRule type="containsText" dxfId="2" priority="3045" operator="containsText" text="Yes">
      <formula>NOT(ISERROR(SEARCH(("Yes"),(O670))))</formula>
    </cfRule>
  </conditionalFormatting>
  <conditionalFormatting sqref="O670 P654:P669 P671:P692 U692">
    <cfRule type="containsText" dxfId="9" priority="3046" operator="containsText" text="No">
      <formula>NOT(ISERROR(SEARCH(("No"),(O670))))</formula>
    </cfRule>
  </conditionalFormatting>
  <conditionalFormatting sqref="O670 P654:P669 P671:P692 U692">
    <cfRule type="containsText" dxfId="2" priority="3047" operator="containsText" text="Yes">
      <formula>NOT(ISERROR(SEARCH(("Yes"),(O670))))</formula>
    </cfRule>
  </conditionalFormatting>
  <conditionalFormatting sqref="O670 P654:P669 P671:P692 U692">
    <cfRule type="containsText" dxfId="9" priority="3048" operator="containsText" text="No">
      <formula>NOT(ISERROR(SEARCH(("No"),(O670))))</formula>
    </cfRule>
  </conditionalFormatting>
  <conditionalFormatting sqref="O670 P654:P669 P671:P692 U692">
    <cfRule type="containsText" dxfId="2" priority="3049" operator="containsText" text="Yes">
      <formula>NOT(ISERROR(SEARCH(("Yes"),(O670))))</formula>
    </cfRule>
  </conditionalFormatting>
  <conditionalFormatting sqref="O670 P654:P669 P671:P692 U692">
    <cfRule type="containsText" dxfId="9" priority="3050" operator="containsText" text="No">
      <formula>NOT(ISERROR(SEARCH(("No"),(O670))))</formula>
    </cfRule>
  </conditionalFormatting>
  <conditionalFormatting sqref="O670 P654:P669 P671:P692 U692">
    <cfRule type="containsText" dxfId="2" priority="3051" operator="containsText" text="Yes">
      <formula>NOT(ISERROR(SEARCH(("Yes"),(O670))))</formula>
    </cfRule>
  </conditionalFormatting>
  <conditionalFormatting sqref="O670 P654:P669 P671:P692 U692">
    <cfRule type="containsText" dxfId="9" priority="3052" operator="containsText" text="No">
      <formula>NOT(ISERROR(SEARCH(("No"),(O670))))</formula>
    </cfRule>
  </conditionalFormatting>
  <conditionalFormatting sqref="O670 P654:P669 P671:P692 U692">
    <cfRule type="containsText" dxfId="2" priority="3053" operator="containsText" text="Yes">
      <formula>NOT(ISERROR(SEARCH(("Yes"),(O670))))</formula>
    </cfRule>
  </conditionalFormatting>
  <conditionalFormatting sqref="O670 P654:P669 P671:P692 U692">
    <cfRule type="containsText" dxfId="9" priority="3054" operator="containsText" text="No">
      <formula>NOT(ISERROR(SEARCH(("No"),(O670))))</formula>
    </cfRule>
  </conditionalFormatting>
  <conditionalFormatting sqref="O670 P654:P669 P671:P692 U692">
    <cfRule type="containsText" dxfId="2" priority="3055" operator="containsText" text="Yes">
      <formula>NOT(ISERROR(SEARCH(("Yes"),(O670))))</formula>
    </cfRule>
  </conditionalFormatting>
  <conditionalFormatting sqref="O670 P654:P669 P671:P692 U692">
    <cfRule type="containsText" dxfId="9" priority="3056" operator="containsText" text="No">
      <formula>NOT(ISERROR(SEARCH(("No"),(O670))))</formula>
    </cfRule>
  </conditionalFormatting>
  <conditionalFormatting sqref="O670 P654:P669 P671:P692 U692">
    <cfRule type="containsText" dxfId="2" priority="3057" operator="containsText" text="Yes">
      <formula>NOT(ISERROR(SEARCH(("Yes"),(O670))))</formula>
    </cfRule>
  </conditionalFormatting>
  <conditionalFormatting sqref="O670 P654:P669 P671:P692 U692">
    <cfRule type="containsText" dxfId="9" priority="3058" operator="containsText" text="No">
      <formula>NOT(ISERROR(SEARCH(("No"),(O670))))</formula>
    </cfRule>
  </conditionalFormatting>
  <conditionalFormatting sqref="O670 P654:P669 P671:P692 U692">
    <cfRule type="containsText" dxfId="2" priority="3059" operator="containsText" text="Yes">
      <formula>NOT(ISERROR(SEARCH(("Yes"),(O670))))</formula>
    </cfRule>
  </conditionalFormatting>
  <conditionalFormatting sqref="O670 P654:P669 P671:P692 U692">
    <cfRule type="containsText" dxfId="9" priority="3060" operator="containsText" text="No">
      <formula>NOT(ISERROR(SEARCH(("No"),(O670))))</formula>
    </cfRule>
  </conditionalFormatting>
  <conditionalFormatting sqref="O670 P654:P669 P671:P692 U692">
    <cfRule type="containsText" dxfId="2" priority="3061" operator="containsText" text="Yes">
      <formula>NOT(ISERROR(SEARCH(("Yes"),(O670))))</formula>
    </cfRule>
  </conditionalFormatting>
  <conditionalFormatting sqref="O670 P654:P669 P671:P692 U692">
    <cfRule type="containsText" dxfId="9" priority="3062" operator="containsText" text="No">
      <formula>NOT(ISERROR(SEARCH(("No"),(O670))))</formula>
    </cfRule>
  </conditionalFormatting>
  <conditionalFormatting sqref="O670 P654:P669 P671:P692 U692">
    <cfRule type="containsText" dxfId="2" priority="3063" operator="containsText" text="Yes">
      <formula>NOT(ISERROR(SEARCH(("Yes"),(O670))))</formula>
    </cfRule>
  </conditionalFormatting>
  <conditionalFormatting sqref="O670 P654:P669 P671:P692 U692">
    <cfRule type="containsText" dxfId="9" priority="3064" operator="containsText" text="No">
      <formula>NOT(ISERROR(SEARCH(("No"),(O670))))</formula>
    </cfRule>
  </conditionalFormatting>
  <conditionalFormatting sqref="O670 P654:P669 P671:P692 U692">
    <cfRule type="containsText" dxfId="2" priority="3065" operator="containsText" text="Yes">
      <formula>NOT(ISERROR(SEARCH(("Yes"),(O670))))</formula>
    </cfRule>
  </conditionalFormatting>
  <conditionalFormatting sqref="O670 P654:P669 P671:P692 U692">
    <cfRule type="containsText" dxfId="9" priority="3066" operator="containsText" text="No">
      <formula>NOT(ISERROR(SEARCH(("No"),(O670))))</formula>
    </cfRule>
  </conditionalFormatting>
  <conditionalFormatting sqref="O670 P654:P669 P671:P692 U692">
    <cfRule type="containsText" dxfId="2" priority="3067" operator="containsText" text="Yes">
      <formula>NOT(ISERROR(SEARCH(("Yes"),(O670))))</formula>
    </cfRule>
  </conditionalFormatting>
  <conditionalFormatting sqref="O670 P654:P669 P671:P692 U692">
    <cfRule type="containsText" dxfId="9" priority="3068" operator="containsText" text="No">
      <formula>NOT(ISERROR(SEARCH(("No"),(O670))))</formula>
    </cfRule>
  </conditionalFormatting>
  <conditionalFormatting sqref="O670 P654:P669 P671:P692 U692">
    <cfRule type="containsText" dxfId="2" priority="3069" operator="containsText" text="Yes">
      <formula>NOT(ISERROR(SEARCH(("Yes"),(O670))))</formula>
    </cfRule>
  </conditionalFormatting>
  <conditionalFormatting sqref="O670 P654:P669 P671:P692 U692">
    <cfRule type="containsText" dxfId="9" priority="3070" operator="containsText" text="No">
      <formula>NOT(ISERROR(SEARCH(("No"),(O670))))</formula>
    </cfRule>
  </conditionalFormatting>
  <conditionalFormatting sqref="O670 P654:P669 P671:P692 U692">
    <cfRule type="containsText" dxfId="2" priority="3071" operator="containsText" text="Yes">
      <formula>NOT(ISERROR(SEARCH(("Yes"),(O670))))</formula>
    </cfRule>
  </conditionalFormatting>
  <conditionalFormatting sqref="O670 P654:P669 P671:P692 U692">
    <cfRule type="containsText" dxfId="9" priority="3072" operator="containsText" text="No">
      <formula>NOT(ISERROR(SEARCH(("No"),(O670))))</formula>
    </cfRule>
  </conditionalFormatting>
  <conditionalFormatting sqref="O670 P654:P669 P671:P692 U692">
    <cfRule type="containsText" dxfId="2" priority="3073" operator="containsText" text="Yes">
      <formula>NOT(ISERROR(SEARCH(("Yes"),(O670))))</formula>
    </cfRule>
  </conditionalFormatting>
  <conditionalFormatting sqref="O670 P654:P669 P671:P692 U692">
    <cfRule type="containsText" dxfId="9" priority="3074" operator="containsText" text="No">
      <formula>NOT(ISERROR(SEARCH(("No"),(O670))))</formula>
    </cfRule>
  </conditionalFormatting>
  <conditionalFormatting sqref="O670 P654:P669 P671:P692 U692">
    <cfRule type="containsText" dxfId="2" priority="3075" operator="containsText" text="Yes">
      <formula>NOT(ISERROR(SEARCH(("Yes"),(O670))))</formula>
    </cfRule>
  </conditionalFormatting>
  <conditionalFormatting sqref="O670 P654:P669 P671:P692 U692">
    <cfRule type="containsText" dxfId="9" priority="3076" operator="containsText" text="No">
      <formula>NOT(ISERROR(SEARCH(("No"),(O670))))</formula>
    </cfRule>
  </conditionalFormatting>
  <conditionalFormatting sqref="O670 P654:P669 P671:P692 U692">
    <cfRule type="containsText" dxfId="2" priority="3077" operator="containsText" text="Yes">
      <formula>NOT(ISERROR(SEARCH(("Yes"),(O670))))</formula>
    </cfRule>
  </conditionalFormatting>
  <conditionalFormatting sqref="O670 P654:P669 P671:P692 U692">
    <cfRule type="containsText" dxfId="9" priority="3078" operator="containsText" text="No">
      <formula>NOT(ISERROR(SEARCH(("No"),(O670))))</formula>
    </cfRule>
  </conditionalFormatting>
  <conditionalFormatting sqref="O670 P654:P669 P671:P692 U692">
    <cfRule type="containsText" dxfId="2" priority="3079" operator="containsText" text="Yes">
      <formula>NOT(ISERROR(SEARCH(("Yes"),(O670))))</formula>
    </cfRule>
  </conditionalFormatting>
  <conditionalFormatting sqref="O670 P654:P669 P671:P692 U692">
    <cfRule type="containsText" dxfId="9" priority="3080" operator="containsText" text="No">
      <formula>NOT(ISERROR(SEARCH(("No"),(O670))))</formula>
    </cfRule>
  </conditionalFormatting>
  <conditionalFormatting sqref="O670 P654:P669 P671:P692 U692">
    <cfRule type="containsText" dxfId="2" priority="3081" operator="containsText" text="Yes">
      <formula>NOT(ISERROR(SEARCH(("Yes"),(O670))))</formula>
    </cfRule>
  </conditionalFormatting>
  <conditionalFormatting sqref="O670 P654:P669 P671:P692 U692">
    <cfRule type="containsText" dxfId="9" priority="3082" operator="containsText" text="No">
      <formula>NOT(ISERROR(SEARCH(("No"),(O670))))</formula>
    </cfRule>
  </conditionalFormatting>
  <conditionalFormatting sqref="O670 P654:P669 P671:P692 U692">
    <cfRule type="containsText" dxfId="2" priority="3083" operator="containsText" text="Yes">
      <formula>NOT(ISERROR(SEARCH(("Yes"),(O670))))</formula>
    </cfRule>
  </conditionalFormatting>
  <conditionalFormatting sqref="O670 P654:P669 P671:P692 U692">
    <cfRule type="containsText" dxfId="9" priority="3084" operator="containsText" text="No">
      <formula>NOT(ISERROR(SEARCH(("No"),(O670))))</formula>
    </cfRule>
  </conditionalFormatting>
  <conditionalFormatting sqref="O670 P654:P669 P671:P692 U692">
    <cfRule type="containsText" dxfId="2" priority="3085" operator="containsText" text="Yes">
      <formula>NOT(ISERROR(SEARCH(("Yes"),(O670))))</formula>
    </cfRule>
  </conditionalFormatting>
  <conditionalFormatting sqref="O670 P654:P669 P671:P692 U692">
    <cfRule type="containsText" dxfId="9" priority="3086" operator="containsText" text="No">
      <formula>NOT(ISERROR(SEARCH(("No"),(O670))))</formula>
    </cfRule>
  </conditionalFormatting>
  <conditionalFormatting sqref="O670 P654:P669 P671:P692 U692">
    <cfRule type="containsText" dxfId="2" priority="3087" operator="containsText" text="Yes">
      <formula>NOT(ISERROR(SEARCH(("Yes"),(O670))))</formula>
    </cfRule>
  </conditionalFormatting>
  <conditionalFormatting sqref="O670 P654:P669 P671:P692 U692">
    <cfRule type="containsText" dxfId="9" priority="3088" operator="containsText" text="No">
      <formula>NOT(ISERROR(SEARCH(("No"),(O670))))</formula>
    </cfRule>
  </conditionalFormatting>
  <conditionalFormatting sqref="O670 P654:P669 P671:P692 U692">
    <cfRule type="containsText" dxfId="2" priority="3089" operator="containsText" text="Yes">
      <formula>NOT(ISERROR(SEARCH(("Yes"),(O670))))</formula>
    </cfRule>
  </conditionalFormatting>
  <conditionalFormatting sqref="O670 P654:P669 P671:P692 U692">
    <cfRule type="containsText" dxfId="9" priority="3090" operator="containsText" text="No">
      <formula>NOT(ISERROR(SEARCH(("No"),(O670))))</formula>
    </cfRule>
  </conditionalFormatting>
  <conditionalFormatting sqref="O670 P654:P669 P671:P692 U692">
    <cfRule type="containsText" dxfId="2" priority="3091" operator="containsText" text="Yes">
      <formula>NOT(ISERROR(SEARCH(("Yes"),(O670))))</formula>
    </cfRule>
  </conditionalFormatting>
  <conditionalFormatting sqref="O670 P654:P669 P671:P692 U692">
    <cfRule type="containsText" dxfId="2" priority="3092" operator="containsText" text="Yes">
      <formula>NOT(ISERROR(SEARCH(("Yes"),(O670))))</formula>
    </cfRule>
  </conditionalFormatting>
  <conditionalFormatting sqref="O670 P654:P669 P671:P692 U692">
    <cfRule type="containsText" dxfId="9" priority="3093" operator="containsText" text="No">
      <formula>NOT(ISERROR(SEARCH(("No"),(O670))))</formula>
    </cfRule>
  </conditionalFormatting>
  <conditionalFormatting sqref="O670 P654:P669 P671:P692 U692">
    <cfRule type="containsText" dxfId="2" priority="3094" operator="containsText" text="Yes">
      <formula>NOT(ISERROR(SEARCH(("Yes"),(O670))))</formula>
    </cfRule>
  </conditionalFormatting>
  <conditionalFormatting sqref="O670 P654:P669 P671:P692 U692">
    <cfRule type="containsText" dxfId="9" priority="3095" operator="containsText" text="No">
      <formula>NOT(ISERROR(SEARCH(("No"),(O670))))</formula>
    </cfRule>
  </conditionalFormatting>
  <conditionalFormatting sqref="O670 P654:P669 P671:P692 U692">
    <cfRule type="containsText" dxfId="2" priority="3096" operator="containsText" text="Yes">
      <formula>NOT(ISERROR(SEARCH(("Yes"),(O670))))</formula>
    </cfRule>
  </conditionalFormatting>
  <conditionalFormatting sqref="O670 P654:P669 P671:P692 U692">
    <cfRule type="containsText" dxfId="9" priority="3097" operator="containsText" text="No">
      <formula>NOT(ISERROR(SEARCH(("No"),(O670))))</formula>
    </cfRule>
  </conditionalFormatting>
  <conditionalFormatting sqref="O670 P654:P669 P671:P692 U692">
    <cfRule type="containsText" dxfId="2" priority="3098" operator="containsText" text="Yes">
      <formula>NOT(ISERROR(SEARCH(("Yes"),(O670))))</formula>
    </cfRule>
  </conditionalFormatting>
  <conditionalFormatting sqref="O670 P654:P669 P671:P692 U692">
    <cfRule type="containsText" dxfId="9" priority="3099" operator="containsText" text="No">
      <formula>NOT(ISERROR(SEARCH(("No"),(O670))))</formula>
    </cfRule>
  </conditionalFormatting>
  <conditionalFormatting sqref="O670 P654:P669 P671:P692 U692">
    <cfRule type="containsText" dxfId="2" priority="3100" operator="containsText" text="Yes">
      <formula>NOT(ISERROR(SEARCH(("Yes"),(O670))))</formula>
    </cfRule>
  </conditionalFormatting>
  <conditionalFormatting sqref="O670 P654:P669 P671:P692 U692">
    <cfRule type="containsText" dxfId="9" priority="3101" operator="containsText" text="No">
      <formula>NOT(ISERROR(SEARCH(("No"),(O670))))</formula>
    </cfRule>
  </conditionalFormatting>
  <conditionalFormatting sqref="O670 P654:P669 P671:P692 U692">
    <cfRule type="containsText" dxfId="2" priority="3102" operator="containsText" text="Yes">
      <formula>NOT(ISERROR(SEARCH(("Yes"),(O670))))</formula>
    </cfRule>
  </conditionalFormatting>
  <conditionalFormatting sqref="O670 P654:P669 P671:P692 U692">
    <cfRule type="containsText" dxfId="9" priority="3103" operator="containsText" text="No">
      <formula>NOT(ISERROR(SEARCH(("No"),(O670))))</formula>
    </cfRule>
  </conditionalFormatting>
  <conditionalFormatting sqref="O670 P654:P669 P671:P692 U692">
    <cfRule type="containsText" dxfId="2" priority="3104" operator="containsText" text="Yes">
      <formula>NOT(ISERROR(SEARCH(("Yes"),(O670))))</formula>
    </cfRule>
  </conditionalFormatting>
  <conditionalFormatting sqref="O670 P654:P669 P671:P692 U692">
    <cfRule type="containsText" dxfId="9" priority="3105" operator="containsText" text="No">
      <formula>NOT(ISERROR(SEARCH(("No"),(O670))))</formula>
    </cfRule>
  </conditionalFormatting>
  <conditionalFormatting sqref="O670 P654:P669 P671:P692 U692">
    <cfRule type="containsText" dxfId="2" priority="3106" operator="containsText" text="Yes">
      <formula>NOT(ISERROR(SEARCH(("Yes"),(O670))))</formula>
    </cfRule>
  </conditionalFormatting>
  <conditionalFormatting sqref="O670 P654:P669 P671:P692 U692">
    <cfRule type="containsText" dxfId="9" priority="3107" operator="containsText" text="No">
      <formula>NOT(ISERROR(SEARCH(("No"),(O670))))</formula>
    </cfRule>
  </conditionalFormatting>
  <conditionalFormatting sqref="O670 P654:P669 P671:P692 U692">
    <cfRule type="containsText" dxfId="2" priority="3108" operator="containsText" text="Yes">
      <formula>NOT(ISERROR(SEARCH(("Yes"),(O670))))</formula>
    </cfRule>
  </conditionalFormatting>
  <conditionalFormatting sqref="O670 P654:P669 P671:P692 U692">
    <cfRule type="containsText" dxfId="9" priority="3109" operator="containsText" text="No">
      <formula>NOT(ISERROR(SEARCH(("No"),(O670))))</formula>
    </cfRule>
  </conditionalFormatting>
  <conditionalFormatting sqref="O670 P654:P669 P671:P692 U692">
    <cfRule type="containsText" dxfId="2" priority="3110" operator="containsText" text="Yes">
      <formula>NOT(ISERROR(SEARCH(("Yes"),(O670))))</formula>
    </cfRule>
  </conditionalFormatting>
  <conditionalFormatting sqref="O670 P654:P669 P671:P692 U692">
    <cfRule type="containsText" dxfId="9" priority="3111" operator="containsText" text="No">
      <formula>NOT(ISERROR(SEARCH(("No"),(O670))))</formula>
    </cfRule>
  </conditionalFormatting>
  <conditionalFormatting sqref="O670 P654:P669 P671:P692 U692">
    <cfRule type="containsText" dxfId="2" priority="3112" operator="containsText" text="Yes">
      <formula>NOT(ISERROR(SEARCH(("Yes"),(O670))))</formula>
    </cfRule>
  </conditionalFormatting>
  <conditionalFormatting sqref="O670 P654:P669 P671:P692 U692">
    <cfRule type="containsText" dxfId="9" priority="3113" operator="containsText" text="No">
      <formula>NOT(ISERROR(SEARCH(("No"),(O670))))</formula>
    </cfRule>
  </conditionalFormatting>
  <conditionalFormatting sqref="O670 P654:P669 P671:P692 U692">
    <cfRule type="containsText" dxfId="2" priority="3114" operator="containsText" text="Yes">
      <formula>NOT(ISERROR(SEARCH(("Yes"),(O670))))</formula>
    </cfRule>
  </conditionalFormatting>
  <conditionalFormatting sqref="O670 P654:P669 P671:P692 U692">
    <cfRule type="containsText" dxfId="9" priority="3115" operator="containsText" text="No">
      <formula>NOT(ISERROR(SEARCH(("No"),(O670))))</formula>
    </cfRule>
  </conditionalFormatting>
  <conditionalFormatting sqref="O670 P654:P669 P671:P692 U692">
    <cfRule type="containsText" dxfId="2" priority="3116" operator="containsText" text="Yes">
      <formula>NOT(ISERROR(SEARCH(("Yes"),(O670))))</formula>
    </cfRule>
  </conditionalFormatting>
  <conditionalFormatting sqref="O670 P654:P669 P671:P692 U692">
    <cfRule type="containsText" dxfId="9" priority="3117" operator="containsText" text="No">
      <formula>NOT(ISERROR(SEARCH(("No"),(O670))))</formula>
    </cfRule>
  </conditionalFormatting>
  <conditionalFormatting sqref="O670 P654:P669 P671:P692 U692">
    <cfRule type="containsText" dxfId="2" priority="3118" operator="containsText" text="Yes">
      <formula>NOT(ISERROR(SEARCH(("Yes"),(O670))))</formula>
    </cfRule>
  </conditionalFormatting>
  <conditionalFormatting sqref="O670 P654:P669 P671:P692 U692">
    <cfRule type="containsText" dxfId="9" priority="3119" operator="containsText" text="No">
      <formula>NOT(ISERROR(SEARCH(("No"),(O670))))</formula>
    </cfRule>
  </conditionalFormatting>
  <conditionalFormatting sqref="O670 P654:P669 P671:P692 U692">
    <cfRule type="containsText" dxfId="2" priority="3120" operator="containsText" text="Yes">
      <formula>NOT(ISERROR(SEARCH(("Yes"),(O670))))</formula>
    </cfRule>
  </conditionalFormatting>
  <conditionalFormatting sqref="O670 P654:P669 P671:P692 U692">
    <cfRule type="containsText" dxfId="9" priority="3121" operator="containsText" text="No">
      <formula>NOT(ISERROR(SEARCH(("No"),(O670))))</formula>
    </cfRule>
  </conditionalFormatting>
  <conditionalFormatting sqref="O670 P654:P669 P671:P692 U692">
    <cfRule type="containsText" dxfId="2" priority="3122" operator="containsText" text="Yes">
      <formula>NOT(ISERROR(SEARCH(("Yes"),(O670))))</formula>
    </cfRule>
  </conditionalFormatting>
  <conditionalFormatting sqref="O670 P654:P669 P671:P692 U692">
    <cfRule type="containsText" dxfId="9" priority="3123" operator="containsText" text="No">
      <formula>NOT(ISERROR(SEARCH(("No"),(O670))))</formula>
    </cfRule>
  </conditionalFormatting>
  <conditionalFormatting sqref="O670 P654:P669 P671:P692 U692">
    <cfRule type="containsText" dxfId="2" priority="3124" operator="containsText" text="Yes">
      <formula>NOT(ISERROR(SEARCH(("Yes"),(O670))))</formula>
    </cfRule>
  </conditionalFormatting>
  <conditionalFormatting sqref="O670 P654:P669 P671:P692 U692">
    <cfRule type="containsText" dxfId="9" priority="3125" operator="containsText" text="No">
      <formula>NOT(ISERROR(SEARCH(("No"),(O670))))</formula>
    </cfRule>
  </conditionalFormatting>
  <conditionalFormatting sqref="O670 P654:P669 P671:P692 U692">
    <cfRule type="containsText" dxfId="2" priority="3126" operator="containsText" text="Yes">
      <formula>NOT(ISERROR(SEARCH(("Yes"),(O670))))</formula>
    </cfRule>
  </conditionalFormatting>
  <conditionalFormatting sqref="O670 P654:P669 P671:P692 U692">
    <cfRule type="containsText" dxfId="9" priority="3127" operator="containsText" text="No">
      <formula>NOT(ISERROR(SEARCH(("No"),(O670))))</formula>
    </cfRule>
  </conditionalFormatting>
  <conditionalFormatting sqref="O670 P654:P669 P671:P692 U692">
    <cfRule type="containsText" dxfId="2" priority="3128" operator="containsText" text="Yes">
      <formula>NOT(ISERROR(SEARCH(("Yes"),(O670))))</formula>
    </cfRule>
  </conditionalFormatting>
  <conditionalFormatting sqref="O670 P654:P669 P671:P692 U692">
    <cfRule type="containsText" dxfId="9" priority="3129" operator="containsText" text="No">
      <formula>NOT(ISERROR(SEARCH(("No"),(O670))))</formula>
    </cfRule>
  </conditionalFormatting>
  <conditionalFormatting sqref="O670 P654:P669 P671:P692 U692">
    <cfRule type="containsText" dxfId="2" priority="3130" operator="containsText" text="Yes">
      <formula>NOT(ISERROR(SEARCH(("Yes"),(O670))))</formula>
    </cfRule>
  </conditionalFormatting>
  <conditionalFormatting sqref="O670 P654:P669 P671:P692 U692">
    <cfRule type="containsText" dxfId="9" priority="3131" operator="containsText" text="No">
      <formula>NOT(ISERROR(SEARCH(("No"),(O670))))</formula>
    </cfRule>
  </conditionalFormatting>
  <conditionalFormatting sqref="O670 P654:P669 P671:P692 U692">
    <cfRule type="containsText" dxfId="2" priority="3132" operator="containsText" text="Yes">
      <formula>NOT(ISERROR(SEARCH(("Yes"),(O670))))</formula>
    </cfRule>
  </conditionalFormatting>
  <conditionalFormatting sqref="O670 P654:P669 P671:P692 U692">
    <cfRule type="containsText" dxfId="9" priority="3133" operator="containsText" text="No">
      <formula>NOT(ISERROR(SEARCH(("No"),(O670))))</formula>
    </cfRule>
  </conditionalFormatting>
  <conditionalFormatting sqref="O670 P654:P669 P671:P692 U692">
    <cfRule type="containsText" dxfId="2" priority="3134" operator="containsText" text="Yes">
      <formula>NOT(ISERROR(SEARCH(("Yes"),(O670))))</formula>
    </cfRule>
  </conditionalFormatting>
  <conditionalFormatting sqref="O670 P654:P669 P671:P692 U692">
    <cfRule type="containsText" dxfId="9" priority="3135" operator="containsText" text="No">
      <formula>NOT(ISERROR(SEARCH(("No"),(O670))))</formula>
    </cfRule>
  </conditionalFormatting>
  <conditionalFormatting sqref="O670 P654:P669 P671:P692 U692">
    <cfRule type="containsText" dxfId="2" priority="3136" operator="containsText" text="Yes">
      <formula>NOT(ISERROR(SEARCH(("Yes"),(O670))))</formula>
    </cfRule>
  </conditionalFormatting>
  <conditionalFormatting sqref="O670 P654:P669 P671:P692 U692">
    <cfRule type="containsText" dxfId="9" priority="3137" operator="containsText" text="No">
      <formula>NOT(ISERROR(SEARCH(("No"),(O670))))</formula>
    </cfRule>
  </conditionalFormatting>
  <conditionalFormatting sqref="O670 P654:P669 P671:P692 U692">
    <cfRule type="containsText" dxfId="2" priority="3138" operator="containsText" text="Yes">
      <formula>NOT(ISERROR(SEARCH(("Yes"),(O670))))</formula>
    </cfRule>
  </conditionalFormatting>
  <conditionalFormatting sqref="O670 P654:P669 P671:P692 U692">
    <cfRule type="containsText" dxfId="9" priority="3139" operator="containsText" text="No">
      <formula>NOT(ISERROR(SEARCH(("No"),(O670))))</formula>
    </cfRule>
  </conditionalFormatting>
  <conditionalFormatting sqref="O670 P654:P669 P671:P692 U692">
    <cfRule type="containsText" dxfId="2" priority="3140" operator="containsText" text="Yes">
      <formula>NOT(ISERROR(SEARCH(("Yes"),(O670))))</formula>
    </cfRule>
  </conditionalFormatting>
  <conditionalFormatting sqref="O670 P654:P669 P671:P692 U692">
    <cfRule type="containsText" dxfId="9" priority="3141" operator="containsText" text="No">
      <formula>NOT(ISERROR(SEARCH(("No"),(O670))))</formula>
    </cfRule>
  </conditionalFormatting>
  <conditionalFormatting sqref="O670 P654:P669 P671:P692 U692">
    <cfRule type="containsText" dxfId="2" priority="3142" operator="containsText" text="Yes">
      <formula>NOT(ISERROR(SEARCH(("Yes"),(O670))))</formula>
    </cfRule>
  </conditionalFormatting>
  <conditionalFormatting sqref="O670 P654:P669 P671:P692 U692">
    <cfRule type="containsText" dxfId="9" priority="3143" operator="containsText" text="No">
      <formula>NOT(ISERROR(SEARCH(("No"),(O670))))</formula>
    </cfRule>
  </conditionalFormatting>
  <conditionalFormatting sqref="O670 P654:P669 P671:P692 U692">
    <cfRule type="containsText" dxfId="2" priority="3144" operator="containsText" text="Yes">
      <formula>NOT(ISERROR(SEARCH(("Yes"),(O670))))</formula>
    </cfRule>
  </conditionalFormatting>
  <conditionalFormatting sqref="O670 P654:P669 P671:P692 U692">
    <cfRule type="containsText" dxfId="9" priority="3145" operator="containsText" text="No">
      <formula>NOT(ISERROR(SEARCH(("No"),(O670))))</formula>
    </cfRule>
  </conditionalFormatting>
  <conditionalFormatting sqref="O670 P654:P669 P671:P692 U692">
    <cfRule type="containsText" dxfId="2" priority="3146" operator="containsText" text="Yes">
      <formula>NOT(ISERROR(SEARCH(("Yes"),(O670))))</formula>
    </cfRule>
  </conditionalFormatting>
  <conditionalFormatting sqref="O670 P654:P669 P671:P692 U692">
    <cfRule type="containsText" dxfId="9" priority="3147" operator="containsText" text="No">
      <formula>NOT(ISERROR(SEARCH(("No"),(O670))))</formula>
    </cfRule>
  </conditionalFormatting>
  <conditionalFormatting sqref="O670 P654:P669 P671:P692 U692">
    <cfRule type="containsText" dxfId="2" priority="3148" operator="containsText" text="Yes">
      <formula>NOT(ISERROR(SEARCH(("Yes"),(O670))))</formula>
    </cfRule>
  </conditionalFormatting>
  <conditionalFormatting sqref="O670 P654:P669 P671:P692 U692">
    <cfRule type="containsText" dxfId="9" priority="3149" operator="containsText" text="No">
      <formula>NOT(ISERROR(SEARCH(("No"),(O670))))</formula>
    </cfRule>
  </conditionalFormatting>
  <conditionalFormatting sqref="O670 P654:P669 P671:P692 U692">
    <cfRule type="containsText" dxfId="2" priority="3150" operator="containsText" text="Yes">
      <formula>NOT(ISERROR(SEARCH(("Yes"),(O670))))</formula>
    </cfRule>
  </conditionalFormatting>
  <conditionalFormatting sqref="O670 P654:P669 P671:P692 U692">
    <cfRule type="containsText" dxfId="9" priority="3151" operator="containsText" text="No">
      <formula>NOT(ISERROR(SEARCH(("No"),(O670))))</formula>
    </cfRule>
  </conditionalFormatting>
  <conditionalFormatting sqref="O670 P654:P669 P671:P692 U692">
    <cfRule type="containsText" dxfId="2" priority="3152" operator="containsText" text="Yes">
      <formula>NOT(ISERROR(SEARCH(("Yes"),(O670))))</formula>
    </cfRule>
  </conditionalFormatting>
  <conditionalFormatting sqref="O670 P654:P669 P671:P692 U692">
    <cfRule type="containsText" dxfId="9" priority="3153" operator="containsText" text="No">
      <formula>NOT(ISERROR(SEARCH(("No"),(O670))))</formula>
    </cfRule>
  </conditionalFormatting>
  <conditionalFormatting sqref="O670 P654:P669 P671:P692 U692">
    <cfRule type="containsText" dxfId="2" priority="3154" operator="containsText" text="Yes">
      <formula>NOT(ISERROR(SEARCH(("Yes"),(O670))))</formula>
    </cfRule>
  </conditionalFormatting>
  <conditionalFormatting sqref="O670 P654:P669 P671:P692 U692">
    <cfRule type="containsText" dxfId="9" priority="3155" operator="containsText" text="No">
      <formula>NOT(ISERROR(SEARCH(("No"),(O670))))</formula>
    </cfRule>
  </conditionalFormatting>
  <conditionalFormatting sqref="O670 P654:P669 P671:P692 U692">
    <cfRule type="containsText" dxfId="2" priority="3156" operator="containsText" text="Yes">
      <formula>NOT(ISERROR(SEARCH(("Yes"),(O670))))</formula>
    </cfRule>
  </conditionalFormatting>
  <conditionalFormatting sqref="O670 P654:P669 P671:P692 U692">
    <cfRule type="containsText" dxfId="9" priority="3157" operator="containsText" text="No">
      <formula>NOT(ISERROR(SEARCH(("No"),(O670))))</formula>
    </cfRule>
  </conditionalFormatting>
  <conditionalFormatting sqref="O670 P654:P669 P671:P692 U692">
    <cfRule type="containsText" dxfId="2" priority="3158" operator="containsText" text="Yes">
      <formula>NOT(ISERROR(SEARCH(("Yes"),(O670))))</formula>
    </cfRule>
  </conditionalFormatting>
  <conditionalFormatting sqref="O670 P654:P669 P671:P692 U692">
    <cfRule type="containsText" dxfId="9" priority="3159" operator="containsText" text="No">
      <formula>NOT(ISERROR(SEARCH(("No"),(O670))))</formula>
    </cfRule>
  </conditionalFormatting>
  <conditionalFormatting sqref="O670 P654:P669 P671:P692 U692">
    <cfRule type="containsText" dxfId="2" priority="3160" operator="containsText" text="Yes">
      <formula>NOT(ISERROR(SEARCH(("Yes"),(O670))))</formula>
    </cfRule>
  </conditionalFormatting>
  <conditionalFormatting sqref="O670 P654:P669 P671:P692 U692">
    <cfRule type="containsText" dxfId="9" priority="3161" operator="containsText" text="No">
      <formula>NOT(ISERROR(SEARCH(("No"),(O670))))</formula>
    </cfRule>
  </conditionalFormatting>
  <conditionalFormatting sqref="O670 P654:P669 P671:P692 U692">
    <cfRule type="containsText" dxfId="2" priority="3162" operator="containsText" text="Yes">
      <formula>NOT(ISERROR(SEARCH(("Yes"),(O670))))</formula>
    </cfRule>
  </conditionalFormatting>
  <conditionalFormatting sqref="O670 P654:P669 P671:P692 U692">
    <cfRule type="containsText" dxfId="9" priority="3163" operator="containsText" text="No">
      <formula>NOT(ISERROR(SEARCH(("No"),(O670))))</formula>
    </cfRule>
  </conditionalFormatting>
  <conditionalFormatting sqref="O670 P654:P669 P671:P692 U692">
    <cfRule type="containsText" dxfId="2" priority="3164" operator="containsText" text="Yes">
      <formula>NOT(ISERROR(SEARCH(("Yes"),(O670))))</formula>
    </cfRule>
  </conditionalFormatting>
  <conditionalFormatting sqref="O670 P654:P669 P671:P692 U692">
    <cfRule type="containsText" dxfId="9" priority="3165" operator="containsText" text="No">
      <formula>NOT(ISERROR(SEARCH(("No"),(O670))))</formula>
    </cfRule>
  </conditionalFormatting>
  <conditionalFormatting sqref="O670 P654:P669 P671:P692 U692">
    <cfRule type="containsText" dxfId="2" priority="3166" operator="containsText" text="Yes">
      <formula>NOT(ISERROR(SEARCH(("Yes"),(O670))))</formula>
    </cfRule>
  </conditionalFormatting>
  <conditionalFormatting sqref="O670 P654:P669 P671:P692 U692">
    <cfRule type="containsText" dxfId="9" priority="3167" operator="containsText" text="No">
      <formula>NOT(ISERROR(SEARCH(("No"),(O670))))</formula>
    </cfRule>
  </conditionalFormatting>
  <conditionalFormatting sqref="O670 P654:P669 P671:P692 U692">
    <cfRule type="containsText" dxfId="2" priority="3168" operator="containsText" text="Yes">
      <formula>NOT(ISERROR(SEARCH(("Yes"),(O670))))</formula>
    </cfRule>
  </conditionalFormatting>
  <conditionalFormatting sqref="O670 P654:P669 P671:P692 U692">
    <cfRule type="containsText" dxfId="9" priority="3169" operator="containsText" text="No">
      <formula>NOT(ISERROR(SEARCH(("No"),(O670))))</formula>
    </cfRule>
  </conditionalFormatting>
  <conditionalFormatting sqref="O670 P654:P669 P671:P692 U692">
    <cfRule type="containsText" dxfId="2" priority="3170" operator="containsText" text="Yes">
      <formula>NOT(ISERROR(SEARCH(("Yes"),(O670))))</formula>
    </cfRule>
  </conditionalFormatting>
  <conditionalFormatting sqref="O670 P654:P669 P671:P692 U692">
    <cfRule type="containsText" dxfId="9" priority="3171" operator="containsText" text="No">
      <formula>NOT(ISERROR(SEARCH(("No"),(O670))))</formula>
    </cfRule>
  </conditionalFormatting>
  <conditionalFormatting sqref="O670 P654:P669 P671:P692 U692">
    <cfRule type="containsText" dxfId="2" priority="3172" operator="containsText" text="Yes">
      <formula>NOT(ISERROR(SEARCH(("Yes"),(O670))))</formula>
    </cfRule>
  </conditionalFormatting>
  <conditionalFormatting sqref="O670 P654:P669 P671:P692 U692">
    <cfRule type="containsText" dxfId="9" priority="3173" operator="containsText" text="No">
      <formula>NOT(ISERROR(SEARCH(("No"),(O670))))</formula>
    </cfRule>
  </conditionalFormatting>
  <conditionalFormatting sqref="O670 P654:P669 P671:P692 U692">
    <cfRule type="containsText" dxfId="2" priority="3174" operator="containsText" text="Yes">
      <formula>NOT(ISERROR(SEARCH(("Yes"),(O670))))</formula>
    </cfRule>
  </conditionalFormatting>
  <conditionalFormatting sqref="O670 P654:P669 P671:P692 U692">
    <cfRule type="containsText" dxfId="9" priority="3175" operator="containsText" text="No">
      <formula>NOT(ISERROR(SEARCH(("No"),(O670))))</formula>
    </cfRule>
  </conditionalFormatting>
  <conditionalFormatting sqref="O670 P654:P669 P671:P692 U692">
    <cfRule type="containsText" dxfId="2" priority="3176" operator="containsText" text="Yes">
      <formula>NOT(ISERROR(SEARCH(("Yes"),(O670))))</formula>
    </cfRule>
  </conditionalFormatting>
  <conditionalFormatting sqref="O670 P654:P669 P671:P692 U692">
    <cfRule type="containsText" dxfId="9" priority="3177" operator="containsText" text="No">
      <formula>NOT(ISERROR(SEARCH(("No"),(O670))))</formula>
    </cfRule>
  </conditionalFormatting>
  <conditionalFormatting sqref="O670 P654:P669 P671:P692 U692">
    <cfRule type="containsText" dxfId="2" priority="3178" operator="containsText" text="Yes">
      <formula>NOT(ISERROR(SEARCH(("Yes"),(O670))))</formula>
    </cfRule>
  </conditionalFormatting>
  <conditionalFormatting sqref="O670 P654:P669 P671:P692 U692">
    <cfRule type="containsText" dxfId="9" priority="3179" operator="containsText" text="No">
      <formula>NOT(ISERROR(SEARCH(("No"),(O670))))</formula>
    </cfRule>
  </conditionalFormatting>
  <conditionalFormatting sqref="O670 P654:P669 P671:P692 U692">
    <cfRule type="containsText" dxfId="2" priority="3180" operator="containsText" text="Yes">
      <formula>NOT(ISERROR(SEARCH(("Yes"),(O670))))</formula>
    </cfRule>
  </conditionalFormatting>
  <conditionalFormatting sqref="O670 P654:P669 P671:P692 U692">
    <cfRule type="containsText" dxfId="9" priority="3181" operator="containsText" text="No">
      <formula>NOT(ISERROR(SEARCH(("No"),(O670))))</formula>
    </cfRule>
  </conditionalFormatting>
  <conditionalFormatting sqref="O670 P654:P669 P671:P692 U692">
    <cfRule type="containsText" dxfId="2" priority="3182" operator="containsText" text="Yes">
      <formula>NOT(ISERROR(SEARCH(("Yes"),(O670))))</formula>
    </cfRule>
  </conditionalFormatting>
  <conditionalFormatting sqref="O670 P654:P669 P671:P692 U692">
    <cfRule type="containsText" dxfId="9" priority="3183" operator="containsText" text="No">
      <formula>NOT(ISERROR(SEARCH(("No"),(O670))))</formula>
    </cfRule>
  </conditionalFormatting>
  <conditionalFormatting sqref="O670 P654:P669 P671:P692 U692">
    <cfRule type="containsText" dxfId="2" priority="3184" operator="containsText" text="Yes">
      <formula>NOT(ISERROR(SEARCH(("Yes"),(O670))))</formula>
    </cfRule>
  </conditionalFormatting>
  <conditionalFormatting sqref="O670 P654:P669 P671:P692 U692">
    <cfRule type="containsText" dxfId="9" priority="3185" operator="containsText" text="No">
      <formula>NOT(ISERROR(SEARCH(("No"),(O670))))</formula>
    </cfRule>
  </conditionalFormatting>
  <conditionalFormatting sqref="O670 P654:P669 P671:P692 U692">
    <cfRule type="containsText" dxfId="2" priority="3186" operator="containsText" text="Yes">
      <formula>NOT(ISERROR(SEARCH(("Yes"),(O670))))</formula>
    </cfRule>
  </conditionalFormatting>
  <conditionalFormatting sqref="O670 P654:P669 P671:P692 U692">
    <cfRule type="containsText" dxfId="9" priority="3187" operator="containsText" text="No">
      <formula>NOT(ISERROR(SEARCH(("No"),(O670))))</formula>
    </cfRule>
  </conditionalFormatting>
  <conditionalFormatting sqref="O670 P654:P669 P671:P692 U692">
    <cfRule type="containsText" dxfId="2" priority="3188" operator="containsText" text="Yes">
      <formula>NOT(ISERROR(SEARCH(("Yes"),(O670))))</formula>
    </cfRule>
  </conditionalFormatting>
  <conditionalFormatting sqref="O670 P654:P669 P671:P692 U692">
    <cfRule type="containsText" dxfId="9" priority="3189" operator="containsText" text="No">
      <formula>NOT(ISERROR(SEARCH(("No"),(O670))))</formula>
    </cfRule>
  </conditionalFormatting>
  <conditionalFormatting sqref="O670 P654:P669 P671:P692 U692">
    <cfRule type="containsText" dxfId="2" priority="3190" operator="containsText" text="Yes">
      <formula>NOT(ISERROR(SEARCH(("Yes"),(O670))))</formula>
    </cfRule>
  </conditionalFormatting>
  <conditionalFormatting sqref="O670 P654:P669 P671:P692 U692">
    <cfRule type="containsText" dxfId="9" priority="3191" operator="containsText" text="No">
      <formula>NOT(ISERROR(SEARCH(("No"),(O670))))</formula>
    </cfRule>
  </conditionalFormatting>
  <conditionalFormatting sqref="O670 P654:P669 P671:P692 U692">
    <cfRule type="containsText" dxfId="2" priority="3192" operator="containsText" text="Yes">
      <formula>NOT(ISERROR(SEARCH(("Yes"),(O670))))</formula>
    </cfRule>
  </conditionalFormatting>
  <conditionalFormatting sqref="O670 P654:P669 P671:P692 U692">
    <cfRule type="containsText" dxfId="9" priority="3193" operator="containsText" text="No">
      <formula>NOT(ISERROR(SEARCH(("No"),(O670))))</formula>
    </cfRule>
  </conditionalFormatting>
  <conditionalFormatting sqref="O670 P654:P669 P671:P692 U692">
    <cfRule type="containsText" dxfId="2" priority="3194" operator="containsText" text="Yes">
      <formula>NOT(ISERROR(SEARCH(("Yes"),(O670))))</formula>
    </cfRule>
  </conditionalFormatting>
  <conditionalFormatting sqref="O670 P654:P669 P671:P692 U692">
    <cfRule type="containsText" dxfId="9" priority="3195" operator="containsText" text="No">
      <formula>NOT(ISERROR(SEARCH(("No"),(O670))))</formula>
    </cfRule>
  </conditionalFormatting>
  <conditionalFormatting sqref="O670 P654:P669 P671:P692 U692">
    <cfRule type="containsText" dxfId="2" priority="3196" operator="containsText" text="Yes">
      <formula>NOT(ISERROR(SEARCH(("Yes"),(O670))))</formula>
    </cfRule>
  </conditionalFormatting>
  <conditionalFormatting sqref="O670 P654:P669 P671:P692 U692">
    <cfRule type="containsText" dxfId="9" priority="3197" operator="containsText" text="No">
      <formula>NOT(ISERROR(SEARCH(("No"),(O670))))</formula>
    </cfRule>
  </conditionalFormatting>
  <conditionalFormatting sqref="O670 P661:P669 P671:P692 U692">
    <cfRule type="containsText" dxfId="9" priority="3198" operator="containsText" text="No">
      <formula>NOT(ISERROR(SEARCH(("No"),(O670))))</formula>
    </cfRule>
  </conditionalFormatting>
  <conditionalFormatting sqref="O670 P661:P669 P671:P692 U692">
    <cfRule type="containsText" dxfId="2" priority="3199" operator="containsText" text="Yes">
      <formula>NOT(ISERROR(SEARCH(("Yes"),(O670))))</formula>
    </cfRule>
  </conditionalFormatting>
  <conditionalFormatting sqref="O670 P661:P669 P671:P692 U692">
    <cfRule type="containsText" dxfId="9" priority="3200" operator="containsText" text="No">
      <formula>NOT(ISERROR(SEARCH(("No"),(O670))))</formula>
    </cfRule>
  </conditionalFormatting>
  <conditionalFormatting sqref="O670 P661:P669 P671:P692 U692">
    <cfRule type="containsText" dxfId="2" priority="3201" operator="containsText" text="Yes">
      <formula>NOT(ISERROR(SEARCH(("Yes"),(O670))))</formula>
    </cfRule>
  </conditionalFormatting>
  <conditionalFormatting sqref="O670 P661:P669 P671:P692 U692">
    <cfRule type="containsText" dxfId="9" priority="3202" operator="containsText" text="No">
      <formula>NOT(ISERROR(SEARCH(("No"),(O670))))</formula>
    </cfRule>
  </conditionalFormatting>
  <conditionalFormatting sqref="O670 P661:P669 P671:P692 U692">
    <cfRule type="containsText" dxfId="2" priority="3203" operator="containsText" text="Yes">
      <formula>NOT(ISERROR(SEARCH(("Yes"),(O670))))</formula>
    </cfRule>
  </conditionalFormatting>
  <conditionalFormatting sqref="O670 P661:P669 P671:P692 U692">
    <cfRule type="containsText" dxfId="9" priority="3204" operator="containsText" text="No">
      <formula>NOT(ISERROR(SEARCH(("No"),(O670))))</formula>
    </cfRule>
  </conditionalFormatting>
  <conditionalFormatting sqref="O670 P661:P669 P671:P692 U692">
    <cfRule type="containsText" dxfId="2" priority="3205" operator="containsText" text="Yes">
      <formula>NOT(ISERROR(SEARCH(("Yes"),(O670))))</formula>
    </cfRule>
  </conditionalFormatting>
  <conditionalFormatting sqref="O670 P661:P669 P671:P692 U692">
    <cfRule type="containsText" dxfId="9" priority="3206" operator="containsText" text="No">
      <formula>NOT(ISERROR(SEARCH(("No"),(O670))))</formula>
    </cfRule>
  </conditionalFormatting>
  <conditionalFormatting sqref="O670 P661:P669 P671:P692 U692">
    <cfRule type="containsText" dxfId="2" priority="3207" operator="containsText" text="Yes">
      <formula>NOT(ISERROR(SEARCH(("Yes"),(O670))))</formula>
    </cfRule>
  </conditionalFormatting>
  <conditionalFormatting sqref="O670 P661:P669 P671:P692 U692">
    <cfRule type="containsText" dxfId="9" priority="3208" operator="containsText" text="No">
      <formula>NOT(ISERROR(SEARCH(("No"),(O670))))</formula>
    </cfRule>
  </conditionalFormatting>
  <conditionalFormatting sqref="O670 P661:P669 P671:P692 U692">
    <cfRule type="containsText" dxfId="2" priority="3209" operator="containsText" text="Yes">
      <formula>NOT(ISERROR(SEARCH(("Yes"),(O670))))</formula>
    </cfRule>
  </conditionalFormatting>
  <conditionalFormatting sqref="O670 P661:P669 P671:P692 U692">
    <cfRule type="containsText" dxfId="9" priority="3210" operator="containsText" text="No">
      <formula>NOT(ISERROR(SEARCH(("No"),(O670))))</formula>
    </cfRule>
  </conditionalFormatting>
  <conditionalFormatting sqref="O670 P661:P669 P671:P692 U692">
    <cfRule type="containsText" dxfId="2" priority="3211" operator="containsText" text="Yes">
      <formula>NOT(ISERROR(SEARCH(("Yes"),(O670))))</formula>
    </cfRule>
  </conditionalFormatting>
  <conditionalFormatting sqref="O670 P661:P669 P671:P692 U692">
    <cfRule type="containsText" dxfId="9" priority="3212" operator="containsText" text="No">
      <formula>NOT(ISERROR(SEARCH(("No"),(O670))))</formula>
    </cfRule>
  </conditionalFormatting>
  <conditionalFormatting sqref="O670 P661:P669 P671:P692 U692">
    <cfRule type="containsText" dxfId="2" priority="3213" operator="containsText" text="Yes">
      <formula>NOT(ISERROR(SEARCH(("Yes"),(O670))))</formula>
    </cfRule>
  </conditionalFormatting>
  <conditionalFormatting sqref="O670 P661:P669 P671:P692 U692">
    <cfRule type="containsText" dxfId="9" priority="3214" operator="containsText" text="No">
      <formula>NOT(ISERROR(SEARCH(("No"),(O670))))</formula>
    </cfRule>
  </conditionalFormatting>
  <conditionalFormatting sqref="O670 P661:P669 P671:P692 U692">
    <cfRule type="containsText" dxfId="2" priority="3215" operator="containsText" text="Yes">
      <formula>NOT(ISERROR(SEARCH(("Yes"),(O670))))</formula>
    </cfRule>
  </conditionalFormatting>
  <conditionalFormatting sqref="O670 P661:P669 P671:P692 U692">
    <cfRule type="containsText" dxfId="9" priority="3216" operator="containsText" text="No">
      <formula>NOT(ISERROR(SEARCH(("No"),(O670))))</formula>
    </cfRule>
  </conditionalFormatting>
  <conditionalFormatting sqref="O670 P661:P669 P671:P692 U692">
    <cfRule type="containsText" dxfId="2" priority="3217" operator="containsText" text="Yes">
      <formula>NOT(ISERROR(SEARCH(("Yes"),(O670))))</formula>
    </cfRule>
  </conditionalFormatting>
  <conditionalFormatting sqref="O670 P661:P669 P671:P692 U692">
    <cfRule type="containsText" dxfId="9" priority="3218" operator="containsText" text="No">
      <formula>NOT(ISERROR(SEARCH(("No"),(O670))))</formula>
    </cfRule>
  </conditionalFormatting>
  <conditionalFormatting sqref="O670 P661:P669 P671:P692 U692">
    <cfRule type="containsText" dxfId="2" priority="3219" operator="containsText" text="Yes">
      <formula>NOT(ISERROR(SEARCH(("Yes"),(O670))))</formula>
    </cfRule>
  </conditionalFormatting>
  <conditionalFormatting sqref="O670 P661:P669 P671:P692 U692">
    <cfRule type="containsText" dxfId="9" priority="3220" operator="containsText" text="No">
      <formula>NOT(ISERROR(SEARCH(("No"),(O670))))</formula>
    </cfRule>
  </conditionalFormatting>
  <conditionalFormatting sqref="O670 P661:P669 P671:P692 U692">
    <cfRule type="containsText" dxfId="2" priority="3221" operator="containsText" text="Yes">
      <formula>NOT(ISERROR(SEARCH(("Yes"),(O670))))</formula>
    </cfRule>
  </conditionalFormatting>
  <conditionalFormatting sqref="O670 P661:P669 P671:P692 U692">
    <cfRule type="containsText" dxfId="9" priority="3222" operator="containsText" text="No">
      <formula>NOT(ISERROR(SEARCH(("No"),(O670))))</formula>
    </cfRule>
  </conditionalFormatting>
  <conditionalFormatting sqref="O670 P661:P669 P671:P692 U692">
    <cfRule type="containsText" dxfId="2" priority="3223" operator="containsText" text="Yes">
      <formula>NOT(ISERROR(SEARCH(("Yes"),(O670))))</formula>
    </cfRule>
  </conditionalFormatting>
  <conditionalFormatting sqref="O670 P661:P669 P671:P692 U692">
    <cfRule type="containsText" dxfId="9" priority="3224" operator="containsText" text="No">
      <formula>NOT(ISERROR(SEARCH(("No"),(O670))))</formula>
    </cfRule>
  </conditionalFormatting>
  <conditionalFormatting sqref="O670 P661:P669 P671:P692 U692">
    <cfRule type="containsText" dxfId="2" priority="3225" operator="containsText" text="Yes">
      <formula>NOT(ISERROR(SEARCH(("Yes"),(O670))))</formula>
    </cfRule>
  </conditionalFormatting>
  <conditionalFormatting sqref="O670 P661:P669 P671:P692 U692">
    <cfRule type="containsText" dxfId="9" priority="3226" operator="containsText" text="No">
      <formula>NOT(ISERROR(SEARCH(("No"),(O670))))</formula>
    </cfRule>
  </conditionalFormatting>
  <conditionalFormatting sqref="O670 P661:P669 P671:P692 U692">
    <cfRule type="containsText" dxfId="2" priority="3227" operator="containsText" text="Yes">
      <formula>NOT(ISERROR(SEARCH(("Yes"),(O670))))</formula>
    </cfRule>
  </conditionalFormatting>
  <conditionalFormatting sqref="O670 P661:P669 P671:P692 U692">
    <cfRule type="containsText" dxfId="9" priority="3228" operator="containsText" text="No">
      <formula>NOT(ISERROR(SEARCH(("No"),(O670))))</formula>
    </cfRule>
  </conditionalFormatting>
  <conditionalFormatting sqref="O670 P661:P669 P671:P692 U692">
    <cfRule type="containsText" dxfId="2" priority="3229" operator="containsText" text="Yes">
      <formula>NOT(ISERROR(SEARCH(("Yes"),(O670))))</formula>
    </cfRule>
  </conditionalFormatting>
  <conditionalFormatting sqref="O670 P661:P669 P671:P692 U692">
    <cfRule type="containsText" dxfId="9" priority="3230" operator="containsText" text="No">
      <formula>NOT(ISERROR(SEARCH(("No"),(O670))))</formula>
    </cfRule>
  </conditionalFormatting>
  <conditionalFormatting sqref="O670 P661:P669 P671:P692 U692">
    <cfRule type="containsText" dxfId="2" priority="3231" operator="containsText" text="Yes">
      <formula>NOT(ISERROR(SEARCH(("Yes"),(O670))))</formula>
    </cfRule>
  </conditionalFormatting>
  <conditionalFormatting sqref="O670 P661:P669 P671:P692 U692">
    <cfRule type="containsText" dxfId="9" priority="3232" operator="containsText" text="No">
      <formula>NOT(ISERROR(SEARCH(("No"),(O670))))</formula>
    </cfRule>
  </conditionalFormatting>
  <conditionalFormatting sqref="O670 P661:P669 P671:P692 U692">
    <cfRule type="containsText" dxfId="2" priority="3233" operator="containsText" text="Yes">
      <formula>NOT(ISERROR(SEARCH(("Yes"),(O670))))</formula>
    </cfRule>
  </conditionalFormatting>
  <conditionalFormatting sqref="O670 P661:P669 P671:P692 U692">
    <cfRule type="containsText" dxfId="9" priority="3234" operator="containsText" text="No">
      <formula>NOT(ISERROR(SEARCH(("No"),(O670))))</formula>
    </cfRule>
  </conditionalFormatting>
  <conditionalFormatting sqref="O670 P661:P669 P671:P692 U692">
    <cfRule type="containsText" dxfId="2" priority="3235" operator="containsText" text="Yes">
      <formula>NOT(ISERROR(SEARCH(("Yes"),(O670))))</formula>
    </cfRule>
  </conditionalFormatting>
  <conditionalFormatting sqref="O670 P661:P669 P671:P692 U692">
    <cfRule type="containsText" dxfId="9" priority="3236" operator="containsText" text="No">
      <formula>NOT(ISERROR(SEARCH(("No"),(O670))))</formula>
    </cfRule>
  </conditionalFormatting>
  <conditionalFormatting sqref="O670 P661:P669 P671:P692 U692">
    <cfRule type="containsText" dxfId="2" priority="3237" operator="containsText" text="Yes">
      <formula>NOT(ISERROR(SEARCH(("Yes"),(O670))))</formula>
    </cfRule>
  </conditionalFormatting>
  <conditionalFormatting sqref="O670 P661:P669 P671:P692 U692">
    <cfRule type="containsText" dxfId="9" priority="3238" operator="containsText" text="No">
      <formula>NOT(ISERROR(SEARCH(("No"),(O670))))</formula>
    </cfRule>
  </conditionalFormatting>
  <conditionalFormatting sqref="O670 P661:P669 P671:P692 U692">
    <cfRule type="containsText" dxfId="2" priority="3239" operator="containsText" text="Yes">
      <formula>NOT(ISERROR(SEARCH(("Yes"),(O670))))</formula>
    </cfRule>
  </conditionalFormatting>
  <conditionalFormatting sqref="O670 P661:P669 P671:P692 U692">
    <cfRule type="containsText" dxfId="9" priority="3240" operator="containsText" text="No">
      <formula>NOT(ISERROR(SEARCH(("No"),(O670))))</formula>
    </cfRule>
  </conditionalFormatting>
  <conditionalFormatting sqref="O670 P661:P669 P671:P692 U692">
    <cfRule type="containsText" dxfId="2" priority="3241" operator="containsText" text="Yes">
      <formula>NOT(ISERROR(SEARCH(("Yes"),(O670))))</formula>
    </cfRule>
  </conditionalFormatting>
  <conditionalFormatting sqref="O670 P661:P669 P671:P692 U692">
    <cfRule type="containsText" dxfId="9" priority="3242" operator="containsText" text="No">
      <formula>NOT(ISERROR(SEARCH(("No"),(O670))))</formula>
    </cfRule>
  </conditionalFormatting>
  <conditionalFormatting sqref="O670 P661:P669 P671:P692 U692">
    <cfRule type="containsText" dxfId="2" priority="3243" operator="containsText" text="Yes">
      <formula>NOT(ISERROR(SEARCH(("Yes"),(O670))))</formula>
    </cfRule>
  </conditionalFormatting>
  <conditionalFormatting sqref="O670 P661:P669 P671:P692 U692">
    <cfRule type="containsText" dxfId="9" priority="3244" operator="containsText" text="No">
      <formula>NOT(ISERROR(SEARCH(("No"),(O670))))</formula>
    </cfRule>
  </conditionalFormatting>
  <conditionalFormatting sqref="O670 P661:P669 P671:P692 U692">
    <cfRule type="containsText" dxfId="2" priority="3245" operator="containsText" text="Yes">
      <formula>NOT(ISERROR(SEARCH(("Yes"),(O670))))</formula>
    </cfRule>
  </conditionalFormatting>
  <conditionalFormatting sqref="O670 P661:P669 P671:P692 U692">
    <cfRule type="containsText" dxfId="9" priority="3246" operator="containsText" text="No">
      <formula>NOT(ISERROR(SEARCH(("No"),(O670))))</formula>
    </cfRule>
  </conditionalFormatting>
  <conditionalFormatting sqref="O670 P661:P669 P671:P692 U692">
    <cfRule type="containsText" dxfId="2" priority="3247" operator="containsText" text="Yes">
      <formula>NOT(ISERROR(SEARCH(("Yes"),(O670))))</formula>
    </cfRule>
  </conditionalFormatting>
  <conditionalFormatting sqref="O670 P661:P669 P671:P692 U692">
    <cfRule type="containsText" dxfId="9" priority="3248" operator="containsText" text="No">
      <formula>NOT(ISERROR(SEARCH(("No"),(O670))))</formula>
    </cfRule>
  </conditionalFormatting>
  <conditionalFormatting sqref="O670 P661:P669 P671:P692 U692">
    <cfRule type="containsText" dxfId="2" priority="3249" operator="containsText" text="Yes">
      <formula>NOT(ISERROR(SEARCH(("Yes"),(O670))))</formula>
    </cfRule>
  </conditionalFormatting>
  <conditionalFormatting sqref="O670 P661:P669 P671:P692 U692">
    <cfRule type="containsText" dxfId="9" priority="3250" operator="containsText" text="No">
      <formula>NOT(ISERROR(SEARCH(("No"),(O670))))</formula>
    </cfRule>
  </conditionalFormatting>
  <conditionalFormatting sqref="O670 P661:P669 P671:P692 U692">
    <cfRule type="containsText" dxfId="2" priority="3251" operator="containsText" text="Yes">
      <formula>NOT(ISERROR(SEARCH(("Yes"),(O670))))</formula>
    </cfRule>
  </conditionalFormatting>
  <conditionalFormatting sqref="O670 P661:P669 P671:P692 U692">
    <cfRule type="containsText" dxfId="9" priority="3252" operator="containsText" text="No">
      <formula>NOT(ISERROR(SEARCH(("No"),(O670))))</formula>
    </cfRule>
  </conditionalFormatting>
  <conditionalFormatting sqref="O670 P661:P669 P671:P692 U692">
    <cfRule type="containsText" dxfId="2" priority="3253" operator="containsText" text="Yes">
      <formula>NOT(ISERROR(SEARCH(("Yes"),(O670))))</formula>
    </cfRule>
  </conditionalFormatting>
  <conditionalFormatting sqref="O670 P661:P669 P671:P692 U692">
    <cfRule type="containsText" dxfId="9" priority="3254" operator="containsText" text="No">
      <formula>NOT(ISERROR(SEARCH(("No"),(O670))))</formula>
    </cfRule>
  </conditionalFormatting>
  <conditionalFormatting sqref="O670 P661:P669 P671:P692 U692">
    <cfRule type="containsText" dxfId="2" priority="3255" operator="containsText" text="Yes">
      <formula>NOT(ISERROR(SEARCH(("Yes"),(O670))))</formula>
    </cfRule>
  </conditionalFormatting>
  <conditionalFormatting sqref="O670 P661:P669 P671:P692 U692">
    <cfRule type="containsText" dxfId="9" priority="3256" operator="containsText" text="No">
      <formula>NOT(ISERROR(SEARCH(("No"),(O670))))</formula>
    </cfRule>
  </conditionalFormatting>
  <conditionalFormatting sqref="O670 P661:P669 P671:P692 U692">
    <cfRule type="containsText" dxfId="2" priority="3257" operator="containsText" text="Yes">
      <formula>NOT(ISERROR(SEARCH(("Yes"),(O670))))</formula>
    </cfRule>
  </conditionalFormatting>
  <conditionalFormatting sqref="O670 P661:P669 P671:P692 U692">
    <cfRule type="containsText" dxfId="9" priority="3258" operator="containsText" text="No">
      <formula>NOT(ISERROR(SEARCH(("No"),(O670))))</formula>
    </cfRule>
  </conditionalFormatting>
  <conditionalFormatting sqref="O670 P661:P669 P671:P692 U692">
    <cfRule type="containsText" dxfId="2" priority="3259" operator="containsText" text="Yes">
      <formula>NOT(ISERROR(SEARCH(("Yes"),(O670))))</formula>
    </cfRule>
  </conditionalFormatting>
  <conditionalFormatting sqref="O670 P661:P669 P671:P692 U692">
    <cfRule type="containsText" dxfId="9" priority="3260" operator="containsText" text="No">
      <formula>NOT(ISERROR(SEARCH(("No"),(O670))))</formula>
    </cfRule>
  </conditionalFormatting>
  <conditionalFormatting sqref="O670 P661:P669 P671:P692 U692">
    <cfRule type="containsText" dxfId="2" priority="3261" operator="containsText" text="Yes">
      <formula>NOT(ISERROR(SEARCH(("Yes"),(O670))))</formula>
    </cfRule>
  </conditionalFormatting>
  <conditionalFormatting sqref="O670 P661:P669 P671:P692 U692">
    <cfRule type="containsText" dxfId="9" priority="3262" operator="containsText" text="No">
      <formula>NOT(ISERROR(SEARCH(("No"),(O670))))</formula>
    </cfRule>
  </conditionalFormatting>
  <conditionalFormatting sqref="O670 P661:P669 P671:P692 U692">
    <cfRule type="containsText" dxfId="2" priority="3263" operator="containsText" text="Yes">
      <formula>NOT(ISERROR(SEARCH(("Yes"),(O670))))</formula>
    </cfRule>
  </conditionalFormatting>
  <conditionalFormatting sqref="O670 P661:P669 P671:P692 U692">
    <cfRule type="containsText" dxfId="9" priority="3264" operator="containsText" text="No">
      <formula>NOT(ISERROR(SEARCH(("No"),(O670))))</formula>
    </cfRule>
  </conditionalFormatting>
  <conditionalFormatting sqref="O670 P661:P669 P671:P692 U692">
    <cfRule type="containsText" dxfId="2" priority="3265" operator="containsText" text="Yes">
      <formula>NOT(ISERROR(SEARCH(("Yes"),(O670))))</formula>
    </cfRule>
  </conditionalFormatting>
  <conditionalFormatting sqref="O670 P661:P669 P671:P692 U692">
    <cfRule type="containsText" dxfId="9" priority="3266" operator="containsText" text="No">
      <formula>NOT(ISERROR(SEARCH(("No"),(O670))))</formula>
    </cfRule>
  </conditionalFormatting>
  <conditionalFormatting sqref="O670 P661:P669 P671:P692 U692">
    <cfRule type="containsText" dxfId="2" priority="3267" operator="containsText" text="Yes">
      <formula>NOT(ISERROR(SEARCH(("Yes"),(O670))))</formula>
    </cfRule>
  </conditionalFormatting>
  <conditionalFormatting sqref="O670 P661:P669 P671:P692 U692">
    <cfRule type="containsText" dxfId="9" priority="3268" operator="containsText" text="No">
      <formula>NOT(ISERROR(SEARCH(("No"),(O670))))</formula>
    </cfRule>
  </conditionalFormatting>
  <conditionalFormatting sqref="O670 P661:P669 P671:P692 U692">
    <cfRule type="containsText" dxfId="2" priority="3269" operator="containsText" text="Yes">
      <formula>NOT(ISERROR(SEARCH(("Yes"),(O670))))</formula>
    </cfRule>
  </conditionalFormatting>
  <conditionalFormatting sqref="O670 P661:P669 P671:P692 U692">
    <cfRule type="containsText" dxfId="9" priority="3270" operator="containsText" text="No">
      <formula>NOT(ISERROR(SEARCH(("No"),(O670))))</formula>
    </cfRule>
  </conditionalFormatting>
  <conditionalFormatting sqref="O670 P661:P669 P671:P692 U692">
    <cfRule type="containsText" dxfId="2" priority="3271" operator="containsText" text="Yes">
      <formula>NOT(ISERROR(SEARCH(("Yes"),(O670))))</formula>
    </cfRule>
  </conditionalFormatting>
  <conditionalFormatting sqref="O670 P661:P669 P671:P692 U692">
    <cfRule type="containsText" dxfId="9" priority="3272" operator="containsText" text="No">
      <formula>NOT(ISERROR(SEARCH(("No"),(O670))))</formula>
    </cfRule>
  </conditionalFormatting>
  <conditionalFormatting sqref="O670 P661:P669 P671:P692 U692">
    <cfRule type="containsText" dxfId="2" priority="3273" operator="containsText" text="Yes">
      <formula>NOT(ISERROR(SEARCH(("Yes"),(O670))))</formula>
    </cfRule>
  </conditionalFormatting>
  <conditionalFormatting sqref="O670 P661:P669 P671:P692 U692">
    <cfRule type="containsText" dxfId="9" priority="3274" operator="containsText" text="No">
      <formula>NOT(ISERROR(SEARCH(("No"),(O670))))</formula>
    </cfRule>
  </conditionalFormatting>
  <conditionalFormatting sqref="O670 P661:P669 P671:P692 U692">
    <cfRule type="containsText" dxfId="2" priority="3275" operator="containsText" text="Yes">
      <formula>NOT(ISERROR(SEARCH(("Yes"),(O670))))</formula>
    </cfRule>
  </conditionalFormatting>
  <conditionalFormatting sqref="O670 P661:P669 P671:P692 U692">
    <cfRule type="containsText" dxfId="9" priority="3276" operator="containsText" text="No">
      <formula>NOT(ISERROR(SEARCH(("No"),(O670))))</formula>
    </cfRule>
  </conditionalFormatting>
  <conditionalFormatting sqref="O670 P661:P669 P671:P692 U692">
    <cfRule type="containsText" dxfId="2" priority="3277" operator="containsText" text="Yes">
      <formula>NOT(ISERROR(SEARCH(("Yes"),(O670))))</formula>
    </cfRule>
  </conditionalFormatting>
  <conditionalFormatting sqref="O670 P661:P669 P671:P692 U692">
    <cfRule type="containsText" dxfId="9" priority="3278" operator="containsText" text="No">
      <formula>NOT(ISERROR(SEARCH(("No"),(O670))))</formula>
    </cfRule>
  </conditionalFormatting>
  <conditionalFormatting sqref="O670 P661:P669 P671:P692 U692">
    <cfRule type="containsText" dxfId="2" priority="3279" operator="containsText" text="Yes">
      <formula>NOT(ISERROR(SEARCH(("Yes"),(O670))))</formula>
    </cfRule>
  </conditionalFormatting>
  <conditionalFormatting sqref="O670 P661:P669 P671:P692 U692">
    <cfRule type="containsText" dxfId="9" priority="3280" operator="containsText" text="No">
      <formula>NOT(ISERROR(SEARCH(("No"),(O670))))</formula>
    </cfRule>
  </conditionalFormatting>
  <conditionalFormatting sqref="O670 P661:P669 P671:P692 U692">
    <cfRule type="containsText" dxfId="2" priority="3281" operator="containsText" text="Yes">
      <formula>NOT(ISERROR(SEARCH(("Yes"),(O670))))</formula>
    </cfRule>
  </conditionalFormatting>
  <conditionalFormatting sqref="O670 P661:P669 P671:P692 U692">
    <cfRule type="containsText" dxfId="9" priority="3282" operator="containsText" text="No">
      <formula>NOT(ISERROR(SEARCH(("No"),(O670))))</formula>
    </cfRule>
  </conditionalFormatting>
  <conditionalFormatting sqref="O670 P661:P669 P671:P692 U692">
    <cfRule type="containsText" dxfId="2" priority="3283" operator="containsText" text="Yes">
      <formula>NOT(ISERROR(SEARCH(("Yes"),(O670))))</formula>
    </cfRule>
  </conditionalFormatting>
  <conditionalFormatting sqref="O670 P661:P669 P671:P692 U692">
    <cfRule type="containsText" dxfId="9" priority="3284" operator="containsText" text="No">
      <formula>NOT(ISERROR(SEARCH(("No"),(O670))))</formula>
    </cfRule>
  </conditionalFormatting>
  <conditionalFormatting sqref="O670 P661:P669 P671:P692 U692">
    <cfRule type="containsText" dxfId="2" priority="3285" operator="containsText" text="Yes">
      <formula>NOT(ISERROR(SEARCH(("Yes"),(O670))))</formula>
    </cfRule>
  </conditionalFormatting>
  <conditionalFormatting sqref="O670 P661:P669 P671:P692 U692">
    <cfRule type="containsText" dxfId="9" priority="3286" operator="containsText" text="No">
      <formula>NOT(ISERROR(SEARCH(("No"),(O670))))</formula>
    </cfRule>
  </conditionalFormatting>
  <conditionalFormatting sqref="O670 P661:P669 P671:P692 U692">
    <cfRule type="containsText" dxfId="2" priority="3287" operator="containsText" text="Yes">
      <formula>NOT(ISERROR(SEARCH(("Yes"),(O670))))</formula>
    </cfRule>
  </conditionalFormatting>
  <conditionalFormatting sqref="O670 P661:P669 P671:P692 U692">
    <cfRule type="containsText" dxfId="9" priority="3288" operator="containsText" text="No">
      <formula>NOT(ISERROR(SEARCH(("No"),(O670))))</formula>
    </cfRule>
  </conditionalFormatting>
  <conditionalFormatting sqref="O670 P661:P669 P671:P692 U692">
    <cfRule type="containsText" dxfId="2" priority="3289" operator="containsText" text="Yes">
      <formula>NOT(ISERROR(SEARCH(("Yes"),(O670))))</formula>
    </cfRule>
  </conditionalFormatting>
  <conditionalFormatting sqref="O670 P661:P669 P671:P692 U692">
    <cfRule type="containsText" dxfId="9" priority="3290" operator="containsText" text="No">
      <formula>NOT(ISERROR(SEARCH(("No"),(O670))))</formula>
    </cfRule>
  </conditionalFormatting>
  <conditionalFormatting sqref="O670 P661:P669 P671:P692 U692">
    <cfRule type="containsText" dxfId="2" priority="3291" operator="containsText" text="Yes">
      <formula>NOT(ISERROR(SEARCH(("Yes"),(O670))))</formula>
    </cfRule>
  </conditionalFormatting>
  <conditionalFormatting sqref="O670 P661:P669 P671:P692 U692">
    <cfRule type="containsText" dxfId="9" priority="3292" operator="containsText" text="No">
      <formula>NOT(ISERROR(SEARCH(("No"),(O670))))</formula>
    </cfRule>
  </conditionalFormatting>
  <conditionalFormatting sqref="O670 P661:P669 P671:P692 U692">
    <cfRule type="containsText" dxfId="2" priority="3293" operator="containsText" text="Yes">
      <formula>NOT(ISERROR(SEARCH(("Yes"),(O670))))</formula>
    </cfRule>
  </conditionalFormatting>
  <conditionalFormatting sqref="O670 P661:P669 P671:P692 U692">
    <cfRule type="containsText" dxfId="9" priority="3294" operator="containsText" text="No">
      <formula>NOT(ISERROR(SEARCH(("No"),(O670))))</formula>
    </cfRule>
  </conditionalFormatting>
  <conditionalFormatting sqref="O670 P661:P669 P671:P692 U692">
    <cfRule type="containsText" dxfId="2" priority="3295" operator="containsText" text="Yes">
      <formula>NOT(ISERROR(SEARCH(("Yes"),(O670))))</formula>
    </cfRule>
  </conditionalFormatting>
  <conditionalFormatting sqref="O670 P661:P669 P671:P692 U692">
    <cfRule type="containsText" dxfId="9" priority="3296" operator="containsText" text="No">
      <formula>NOT(ISERROR(SEARCH(("No"),(O670))))</formula>
    </cfRule>
  </conditionalFormatting>
  <conditionalFormatting sqref="O670 P661:P669 P671:P692 U692">
    <cfRule type="containsText" dxfId="2" priority="3297" operator="containsText" text="Yes">
      <formula>NOT(ISERROR(SEARCH(("Yes"),(O670))))</formula>
    </cfRule>
  </conditionalFormatting>
  <conditionalFormatting sqref="O670 P661:P669 P671:P692 U692">
    <cfRule type="containsText" dxfId="9" priority="3298" operator="containsText" text="No">
      <formula>NOT(ISERROR(SEARCH(("No"),(O670))))</formula>
    </cfRule>
  </conditionalFormatting>
  <conditionalFormatting sqref="O670 P661:P669 P671:P692 U692">
    <cfRule type="containsText" dxfId="2" priority="3299" operator="containsText" text="Yes">
      <formula>NOT(ISERROR(SEARCH(("Yes"),(O670))))</formula>
    </cfRule>
  </conditionalFormatting>
  <conditionalFormatting sqref="O670 P661:P669 P671:P692 U692">
    <cfRule type="containsText" dxfId="9" priority="3300" operator="containsText" text="No">
      <formula>NOT(ISERROR(SEARCH(("No"),(O670))))</formula>
    </cfRule>
  </conditionalFormatting>
  <conditionalFormatting sqref="O670 P661:P669 P671:P692 U692">
    <cfRule type="containsText" dxfId="2" priority="3301" operator="containsText" text="Yes">
      <formula>NOT(ISERROR(SEARCH(("Yes"),(O670))))</formula>
    </cfRule>
  </conditionalFormatting>
  <conditionalFormatting sqref="O670 P661:P669 P671:P692 U692">
    <cfRule type="containsText" dxfId="9" priority="3302" operator="containsText" text="No">
      <formula>NOT(ISERROR(SEARCH(("No"),(O670))))</formula>
    </cfRule>
  </conditionalFormatting>
  <conditionalFormatting sqref="O670 P661:P669 P671:P692 U692">
    <cfRule type="containsText" dxfId="2" priority="3303" operator="containsText" text="Yes">
      <formula>NOT(ISERROR(SEARCH(("Yes"),(O670))))</formula>
    </cfRule>
  </conditionalFormatting>
  <conditionalFormatting sqref="O670 P661:P669 P671:P692 U692">
    <cfRule type="containsText" dxfId="9" priority="3304" operator="containsText" text="No">
      <formula>NOT(ISERROR(SEARCH(("No"),(O670))))</formula>
    </cfRule>
  </conditionalFormatting>
  <conditionalFormatting sqref="O670 P661:P669 P671:P692 U692">
    <cfRule type="containsText" dxfId="2" priority="3305" operator="containsText" text="Yes">
      <formula>NOT(ISERROR(SEARCH(("Yes"),(O670))))</formula>
    </cfRule>
  </conditionalFormatting>
  <conditionalFormatting sqref="O670 P661:P669 P671:P692 U692">
    <cfRule type="containsText" dxfId="9" priority="3306" operator="containsText" text="No">
      <formula>NOT(ISERROR(SEARCH(("No"),(O670))))</formula>
    </cfRule>
  </conditionalFormatting>
  <conditionalFormatting sqref="O670 P661:P669 P671:P692 U692">
    <cfRule type="containsText" dxfId="2" priority="3307" operator="containsText" text="Yes">
      <formula>NOT(ISERROR(SEARCH(("Yes"),(O670))))</formula>
    </cfRule>
  </conditionalFormatting>
  <conditionalFormatting sqref="O670 P661:P669 P671:P692 U692">
    <cfRule type="containsText" dxfId="9" priority="3308" operator="containsText" text="No">
      <formula>NOT(ISERROR(SEARCH(("No"),(O670))))</formula>
    </cfRule>
  </conditionalFormatting>
  <conditionalFormatting sqref="O670 P661:P669 P671:P692 U692">
    <cfRule type="containsText" dxfId="2" priority="3309" operator="containsText" text="Yes">
      <formula>NOT(ISERROR(SEARCH(("Yes"),(O670))))</formula>
    </cfRule>
  </conditionalFormatting>
  <conditionalFormatting sqref="O670 P661:P669 P671:P692 U692">
    <cfRule type="containsText" dxfId="9" priority="3310" operator="containsText" text="No">
      <formula>NOT(ISERROR(SEARCH(("No"),(O670))))</formula>
    </cfRule>
  </conditionalFormatting>
  <conditionalFormatting sqref="O670 P661:P669 P671:P692 U692">
    <cfRule type="containsText" dxfId="2" priority="3311" operator="containsText" text="Yes">
      <formula>NOT(ISERROR(SEARCH(("Yes"),(O670))))</formula>
    </cfRule>
  </conditionalFormatting>
  <conditionalFormatting sqref="O670 P661:P669 P671:P692 U692">
    <cfRule type="containsText" dxfId="9" priority="3312" operator="containsText" text="No">
      <formula>NOT(ISERROR(SEARCH(("No"),(O670))))</formula>
    </cfRule>
  </conditionalFormatting>
  <conditionalFormatting sqref="O670 P661:P669 P671:P692 U692">
    <cfRule type="containsText" dxfId="2" priority="3313" operator="containsText" text="Yes">
      <formula>NOT(ISERROR(SEARCH(("Yes"),(O670))))</formula>
    </cfRule>
  </conditionalFormatting>
  <conditionalFormatting sqref="O670 P661:P669 P671:P692 U692">
    <cfRule type="containsText" dxfId="9" priority="3314" operator="containsText" text="No">
      <formula>NOT(ISERROR(SEARCH(("No"),(O670))))</formula>
    </cfRule>
  </conditionalFormatting>
  <conditionalFormatting sqref="O670 P661:P669 P671:P692 U692">
    <cfRule type="containsText" dxfId="2" priority="3315" operator="containsText" text="Yes">
      <formula>NOT(ISERROR(SEARCH(("Yes"),(O670))))</formula>
    </cfRule>
  </conditionalFormatting>
  <conditionalFormatting sqref="O670 P661:P669 P671:P692 U692">
    <cfRule type="containsText" dxfId="9" priority="3316" operator="containsText" text="No">
      <formula>NOT(ISERROR(SEARCH(("No"),(O670))))</formula>
    </cfRule>
  </conditionalFormatting>
  <conditionalFormatting sqref="O670 P661:P669 P671:P692 U692">
    <cfRule type="containsText" dxfId="2" priority="3317" operator="containsText" text="Yes">
      <formula>NOT(ISERROR(SEARCH(("Yes"),(O670))))</formula>
    </cfRule>
  </conditionalFormatting>
  <conditionalFormatting sqref="O670 P661:P669 P671:P692 U692">
    <cfRule type="containsText" dxfId="9" priority="3318" operator="containsText" text="No">
      <formula>NOT(ISERROR(SEARCH(("No"),(O670))))</formula>
    </cfRule>
  </conditionalFormatting>
  <conditionalFormatting sqref="O670 P661:P669 P671:P692 U692">
    <cfRule type="containsText" dxfId="2" priority="3319" operator="containsText" text="Yes">
      <formula>NOT(ISERROR(SEARCH(("Yes"),(O670))))</formula>
    </cfRule>
  </conditionalFormatting>
  <conditionalFormatting sqref="O670 P661:P669 P671:P692 U692">
    <cfRule type="containsText" dxfId="9" priority="3320" operator="containsText" text="No">
      <formula>NOT(ISERROR(SEARCH(("No"),(O670))))</formula>
    </cfRule>
  </conditionalFormatting>
  <conditionalFormatting sqref="O670 P661:P669 P671:P692 U692">
    <cfRule type="containsText" dxfId="2" priority="3321" operator="containsText" text="Yes">
      <formula>NOT(ISERROR(SEARCH(("Yes"),(O670))))</formula>
    </cfRule>
  </conditionalFormatting>
  <conditionalFormatting sqref="O670 P661:P669 P671:P692 U692">
    <cfRule type="containsText" dxfId="9" priority="3322" operator="containsText" text="No">
      <formula>NOT(ISERROR(SEARCH(("No"),(O670))))</formula>
    </cfRule>
  </conditionalFormatting>
  <conditionalFormatting sqref="O670 P661:P669 P671:P692 U692">
    <cfRule type="containsText" dxfId="2" priority="3323" operator="containsText" text="Yes">
      <formula>NOT(ISERROR(SEARCH(("Yes"),(O670))))</formula>
    </cfRule>
  </conditionalFormatting>
  <conditionalFormatting sqref="O670 P661:P669 P671:P692 U692">
    <cfRule type="containsText" dxfId="9" priority="3324" operator="containsText" text="No">
      <formula>NOT(ISERROR(SEARCH(("No"),(O670))))</formula>
    </cfRule>
  </conditionalFormatting>
  <conditionalFormatting sqref="O670 P661:P669 P671:P692 U692">
    <cfRule type="containsText" dxfId="2" priority="3325" operator="containsText" text="Yes">
      <formula>NOT(ISERROR(SEARCH(("Yes"),(O670))))</formula>
    </cfRule>
  </conditionalFormatting>
  <conditionalFormatting sqref="O670 P661:P669 P671:P692 U692">
    <cfRule type="containsText" dxfId="9" priority="3326" operator="containsText" text="No">
      <formula>NOT(ISERROR(SEARCH(("No"),(O670))))</formula>
    </cfRule>
  </conditionalFormatting>
  <conditionalFormatting sqref="O670 P661:P669 P671:P692 U692">
    <cfRule type="containsText" dxfId="2" priority="3327" operator="containsText" text="Yes">
      <formula>NOT(ISERROR(SEARCH(("Yes"),(O670))))</formula>
    </cfRule>
  </conditionalFormatting>
  <conditionalFormatting sqref="O670 P661:P669 P671:P692 U692">
    <cfRule type="containsText" dxfId="9" priority="3328" operator="containsText" text="No">
      <formula>NOT(ISERROR(SEARCH(("No"),(O670))))</formula>
    </cfRule>
  </conditionalFormatting>
  <conditionalFormatting sqref="O670 P661:P669 P671:P692 U692">
    <cfRule type="containsText" dxfId="2" priority="3329" operator="containsText" text="Yes">
      <formula>NOT(ISERROR(SEARCH(("Yes"),(O670))))</formula>
    </cfRule>
  </conditionalFormatting>
  <conditionalFormatting sqref="O670 P661:P669 P671:P692 U692">
    <cfRule type="containsText" dxfId="9" priority="3330" operator="containsText" text="No">
      <formula>NOT(ISERROR(SEARCH(("No"),(O670))))</formula>
    </cfRule>
  </conditionalFormatting>
  <conditionalFormatting sqref="O670 P661:P669 P671:P692 U692">
    <cfRule type="containsText" dxfId="2" priority="3331" operator="containsText" text="Yes">
      <formula>NOT(ISERROR(SEARCH(("Yes"),(O670))))</formula>
    </cfRule>
  </conditionalFormatting>
  <conditionalFormatting sqref="O670 P661:P669 P671:P692 U692">
    <cfRule type="containsText" dxfId="9" priority="3332" operator="containsText" text="No">
      <formula>NOT(ISERROR(SEARCH(("No"),(O670))))</formula>
    </cfRule>
  </conditionalFormatting>
  <conditionalFormatting sqref="O670 P661:P669 P671:P692 U692">
    <cfRule type="containsText" dxfId="2" priority="3333" operator="containsText" text="Yes">
      <formula>NOT(ISERROR(SEARCH(("Yes"),(O670))))</formula>
    </cfRule>
  </conditionalFormatting>
  <conditionalFormatting sqref="O670 P661:P669 P671:P692 U692">
    <cfRule type="containsText" dxfId="9" priority="3334" operator="containsText" text="No">
      <formula>NOT(ISERROR(SEARCH(("No"),(O670))))</formula>
    </cfRule>
  </conditionalFormatting>
  <conditionalFormatting sqref="O670 P661:P669 P671:P692 U692">
    <cfRule type="containsText" dxfId="2" priority="3335" operator="containsText" text="Yes">
      <formula>NOT(ISERROR(SEARCH(("Yes"),(O670))))</formula>
    </cfRule>
  </conditionalFormatting>
  <conditionalFormatting sqref="O670 P661:P669 P671:P692 U692">
    <cfRule type="containsText" dxfId="9" priority="3336" operator="containsText" text="No">
      <formula>NOT(ISERROR(SEARCH(("No"),(O670))))</formula>
    </cfRule>
  </conditionalFormatting>
  <conditionalFormatting sqref="O670 P661:P669 P671:P692 U692">
    <cfRule type="containsText" dxfId="2" priority="3337" operator="containsText" text="Yes">
      <formula>NOT(ISERROR(SEARCH(("Yes"),(O670))))</formula>
    </cfRule>
  </conditionalFormatting>
  <conditionalFormatting sqref="O670 P661:P669 P671:P692 U692">
    <cfRule type="containsText" dxfId="9" priority="3338" operator="containsText" text="No">
      <formula>NOT(ISERROR(SEARCH(("No"),(O670))))</formula>
    </cfRule>
  </conditionalFormatting>
  <conditionalFormatting sqref="O670 P661:P669 P671:P692 U692">
    <cfRule type="containsText" dxfId="2" priority="3339" operator="containsText" text="Yes">
      <formula>NOT(ISERROR(SEARCH(("Yes"),(O670))))</formula>
    </cfRule>
  </conditionalFormatting>
  <conditionalFormatting sqref="O670 P661:P669 P671:P692 U692">
    <cfRule type="containsText" dxfId="9" priority="3340" operator="containsText" text="No">
      <formula>NOT(ISERROR(SEARCH(("No"),(O670))))</formula>
    </cfRule>
  </conditionalFormatting>
  <conditionalFormatting sqref="O670 P661:P669 P671:P692 U692">
    <cfRule type="containsText" dxfId="2" priority="3341" operator="containsText" text="Yes">
      <formula>NOT(ISERROR(SEARCH(("Yes"),(O670))))</formula>
    </cfRule>
  </conditionalFormatting>
  <conditionalFormatting sqref="O670 P661:P669 P671:P692 U692">
    <cfRule type="containsText" dxfId="9" priority="3342" operator="containsText" text="No">
      <formula>NOT(ISERROR(SEARCH(("No"),(O670))))</formula>
    </cfRule>
  </conditionalFormatting>
  <conditionalFormatting sqref="O670 P661:P669 P671:P692 U692">
    <cfRule type="containsText" dxfId="2" priority="3343" operator="containsText" text="Yes">
      <formula>NOT(ISERROR(SEARCH(("Yes"),(O670))))</formula>
    </cfRule>
  </conditionalFormatting>
  <conditionalFormatting sqref="O670 P661:P669 P671:P692 U692">
    <cfRule type="containsText" dxfId="9" priority="3344" operator="containsText" text="No">
      <formula>NOT(ISERROR(SEARCH(("No"),(O670))))</formula>
    </cfRule>
  </conditionalFormatting>
  <conditionalFormatting sqref="O670 P661:P669 P671:P692 U692">
    <cfRule type="containsText" dxfId="2" priority="3345" operator="containsText" text="Yes">
      <formula>NOT(ISERROR(SEARCH(("Yes"),(O670))))</formula>
    </cfRule>
  </conditionalFormatting>
  <conditionalFormatting sqref="O670 P661:P669 P671:P692 U692">
    <cfRule type="containsText" dxfId="9" priority="3346" operator="containsText" text="No">
      <formula>NOT(ISERROR(SEARCH(("No"),(O670))))</formula>
    </cfRule>
  </conditionalFormatting>
  <conditionalFormatting sqref="O670 P661:P669 P671:P692 U692">
    <cfRule type="containsText" dxfId="2" priority="3347" operator="containsText" text="Yes">
      <formula>NOT(ISERROR(SEARCH(("Yes"),(O670))))</formula>
    </cfRule>
  </conditionalFormatting>
  <conditionalFormatting sqref="O670 P661:P669 P671:P692 U692">
    <cfRule type="containsText" dxfId="9" priority="3348" operator="containsText" text="No">
      <formula>NOT(ISERROR(SEARCH(("No"),(O670))))</formula>
    </cfRule>
  </conditionalFormatting>
  <conditionalFormatting sqref="O670 P661:P669 P671:P692 U692">
    <cfRule type="containsText" dxfId="2" priority="3349" operator="containsText" text="Yes">
      <formula>NOT(ISERROR(SEARCH(("Yes"),(O670))))</formula>
    </cfRule>
  </conditionalFormatting>
  <conditionalFormatting sqref="O670 P661:P669 P671:P692 U692">
    <cfRule type="containsText" dxfId="9" priority="3350" operator="containsText" text="No">
      <formula>NOT(ISERROR(SEARCH(("No"),(O670))))</formula>
    </cfRule>
  </conditionalFormatting>
  <conditionalFormatting sqref="O670 P661:P669 P671:P692 U692">
    <cfRule type="containsText" dxfId="2" priority="3351" operator="containsText" text="Yes">
      <formula>NOT(ISERROR(SEARCH(("Yes"),(O670))))</formula>
    </cfRule>
  </conditionalFormatting>
  <conditionalFormatting sqref="O670 P661:P669 P671:P692 U692">
    <cfRule type="containsText" dxfId="9" priority="3352" operator="containsText" text="No">
      <formula>NOT(ISERROR(SEARCH(("No"),(O670))))</formula>
    </cfRule>
  </conditionalFormatting>
  <conditionalFormatting sqref="O670 P661:P669 P671:P692 U692">
    <cfRule type="containsText" dxfId="2" priority="3353" operator="containsText" text="Yes">
      <formula>NOT(ISERROR(SEARCH(("Yes"),(O670))))</formula>
    </cfRule>
  </conditionalFormatting>
  <conditionalFormatting sqref="O670 P661:P669 P671:P692 U692">
    <cfRule type="containsText" dxfId="9" priority="3354" operator="containsText" text="No">
      <formula>NOT(ISERROR(SEARCH(("No"),(O670))))</formula>
    </cfRule>
  </conditionalFormatting>
  <conditionalFormatting sqref="O670 P661:P669 P671:P692 U692">
    <cfRule type="containsText" dxfId="2" priority="3355" operator="containsText" text="Yes">
      <formula>NOT(ISERROR(SEARCH(("Yes"),(O670))))</formula>
    </cfRule>
  </conditionalFormatting>
  <conditionalFormatting sqref="O670 P661:P669 P671:P692 U692">
    <cfRule type="containsText" dxfId="9" priority="3356" operator="containsText" text="No">
      <formula>NOT(ISERROR(SEARCH(("No"),(O670))))</formula>
    </cfRule>
  </conditionalFormatting>
  <conditionalFormatting sqref="O670 P661:P669 P671:P692 U692">
    <cfRule type="containsText" dxfId="2" priority="3357" operator="containsText" text="Yes">
      <formula>NOT(ISERROR(SEARCH(("Yes"),(O670))))</formula>
    </cfRule>
  </conditionalFormatting>
  <conditionalFormatting sqref="O670 P661:P669 P671:P692 U692">
    <cfRule type="containsText" dxfId="9" priority="3358" operator="containsText" text="No">
      <formula>NOT(ISERROR(SEARCH(("No"),(O670))))</formula>
    </cfRule>
  </conditionalFormatting>
  <conditionalFormatting sqref="O670 P661:P669 P671:P692 U692">
    <cfRule type="containsText" dxfId="2" priority="3359" operator="containsText" text="Yes">
      <formula>NOT(ISERROR(SEARCH(("Yes"),(O670))))</formula>
    </cfRule>
  </conditionalFormatting>
  <conditionalFormatting sqref="O670 P661:P669 P671:P692 U692">
    <cfRule type="containsText" dxfId="9" priority="3360" operator="containsText" text="No">
      <formula>NOT(ISERROR(SEARCH(("No"),(O670))))</formula>
    </cfRule>
  </conditionalFormatting>
  <conditionalFormatting sqref="O670 P661:P669 P671:P692 U692">
    <cfRule type="containsText" dxfId="2" priority="3361" operator="containsText" text="Yes">
      <formula>NOT(ISERROR(SEARCH(("Yes"),(O670))))</formula>
    </cfRule>
  </conditionalFormatting>
  <conditionalFormatting sqref="O670 P661:P669 P671:P692 U692">
    <cfRule type="containsText" dxfId="9" priority="3362" operator="containsText" text="No">
      <formula>NOT(ISERROR(SEARCH(("No"),(O670))))</formula>
    </cfRule>
  </conditionalFormatting>
  <conditionalFormatting sqref="O670 P661:P669 P671:P692 U692">
    <cfRule type="containsText" dxfId="2" priority="3363" operator="containsText" text="Yes">
      <formula>NOT(ISERROR(SEARCH(("Yes"),(O670))))</formula>
    </cfRule>
  </conditionalFormatting>
  <conditionalFormatting sqref="O670 P661:P669 P671:P692 U692">
    <cfRule type="containsText" dxfId="9" priority="3364" operator="containsText" text="No">
      <formula>NOT(ISERROR(SEARCH(("No"),(O670))))</formula>
    </cfRule>
  </conditionalFormatting>
  <conditionalFormatting sqref="O670 P661:P669 P671:P692 U692">
    <cfRule type="containsText" dxfId="2" priority="3365" operator="containsText" text="Yes">
      <formula>NOT(ISERROR(SEARCH(("Yes"),(O670))))</formula>
    </cfRule>
  </conditionalFormatting>
  <conditionalFormatting sqref="O670 P661:P669 P671:P692 U692">
    <cfRule type="containsText" dxfId="9" priority="3366" operator="containsText" text="No">
      <formula>NOT(ISERROR(SEARCH(("No"),(O670))))</formula>
    </cfRule>
  </conditionalFormatting>
  <conditionalFormatting sqref="O670 P661:P669 P671:P692 U692">
    <cfRule type="containsText" dxfId="2" priority="3367" operator="containsText" text="Yes">
      <formula>NOT(ISERROR(SEARCH(("Yes"),(O670))))</formula>
    </cfRule>
  </conditionalFormatting>
  <conditionalFormatting sqref="O670 P661:P669 P671:P692 U692">
    <cfRule type="containsText" dxfId="9" priority="3368" operator="containsText" text="No">
      <formula>NOT(ISERROR(SEARCH(("No"),(O670))))</formula>
    </cfRule>
  </conditionalFormatting>
  <conditionalFormatting sqref="O670 P661:P669 P671:P692 U692">
    <cfRule type="containsText" dxfId="2" priority="3369" operator="containsText" text="Yes">
      <formula>NOT(ISERROR(SEARCH(("Yes"),(O670))))</formula>
    </cfRule>
  </conditionalFormatting>
  <conditionalFormatting sqref="O670 P661:P669 P671:P692 U692">
    <cfRule type="containsText" dxfId="9" priority="3370" operator="containsText" text="No">
      <formula>NOT(ISERROR(SEARCH(("No"),(O670))))</formula>
    </cfRule>
  </conditionalFormatting>
  <conditionalFormatting sqref="O670 P661:P669 P671:P692 U692">
    <cfRule type="containsText" dxfId="2" priority="3371" operator="containsText" text="Yes">
      <formula>NOT(ISERROR(SEARCH(("Yes"),(O670))))</formula>
    </cfRule>
  </conditionalFormatting>
  <conditionalFormatting sqref="O670 P661:P669 P671:P692 U692">
    <cfRule type="containsText" dxfId="9" priority="3372" operator="containsText" text="No">
      <formula>NOT(ISERROR(SEARCH(("No"),(O670))))</formula>
    </cfRule>
  </conditionalFormatting>
  <conditionalFormatting sqref="O670 P661:P669 P671:P692 U692">
    <cfRule type="containsText" dxfId="2" priority="3373" operator="containsText" text="Yes">
      <formula>NOT(ISERROR(SEARCH(("Yes"),(O670))))</formula>
    </cfRule>
  </conditionalFormatting>
  <conditionalFormatting sqref="O670 P661:P669 P671:P692 U692">
    <cfRule type="containsText" dxfId="9" priority="3374" operator="containsText" text="No">
      <formula>NOT(ISERROR(SEARCH(("No"),(O670))))</formula>
    </cfRule>
  </conditionalFormatting>
  <conditionalFormatting sqref="O670 P661:P669 P671:P692 U692">
    <cfRule type="containsText" dxfId="2" priority="3375" operator="containsText" text="Yes">
      <formula>NOT(ISERROR(SEARCH(("Yes"),(O670))))</formula>
    </cfRule>
  </conditionalFormatting>
  <conditionalFormatting sqref="O670 P661:P669 P671:P692 U692">
    <cfRule type="containsText" dxfId="9" priority="3376" operator="containsText" text="No">
      <formula>NOT(ISERROR(SEARCH(("No"),(O670))))</formula>
    </cfRule>
  </conditionalFormatting>
  <conditionalFormatting sqref="O670 P661:P669 P671:P692 U692">
    <cfRule type="containsText" dxfId="2" priority="3377" operator="containsText" text="Yes">
      <formula>NOT(ISERROR(SEARCH(("Yes"),(O670))))</formula>
    </cfRule>
  </conditionalFormatting>
  <conditionalFormatting sqref="O670 P661:P669 P671:P692 U692">
    <cfRule type="containsText" dxfId="9" priority="3378" operator="containsText" text="No">
      <formula>NOT(ISERROR(SEARCH(("No"),(O670))))</formula>
    </cfRule>
  </conditionalFormatting>
  <conditionalFormatting sqref="O670 P661:P669 P671:P692 U692">
    <cfRule type="containsText" dxfId="2" priority="3379" operator="containsText" text="Yes">
      <formula>NOT(ISERROR(SEARCH(("Yes"),(O670))))</formula>
    </cfRule>
  </conditionalFormatting>
  <conditionalFormatting sqref="O670 P661:P669 P671:P692 U692">
    <cfRule type="containsText" dxfId="9" priority="3380" operator="containsText" text="No">
      <formula>NOT(ISERROR(SEARCH(("No"),(O670))))</formula>
    </cfRule>
  </conditionalFormatting>
  <conditionalFormatting sqref="O670 P661:P669 P671:P692 U692">
    <cfRule type="containsText" dxfId="2" priority="3381" operator="containsText" text="Yes">
      <formula>NOT(ISERROR(SEARCH(("Yes"),(O670))))</formula>
    </cfRule>
  </conditionalFormatting>
  <conditionalFormatting sqref="O670 P661:P669 P671:P692 U692">
    <cfRule type="containsText" dxfId="9" priority="3382" operator="containsText" text="No">
      <formula>NOT(ISERROR(SEARCH(("No"),(O670))))</formula>
    </cfRule>
  </conditionalFormatting>
  <conditionalFormatting sqref="O670 P661:P669 P671:P692 U692">
    <cfRule type="containsText" dxfId="2" priority="3383" operator="containsText" text="Yes">
      <formula>NOT(ISERROR(SEARCH(("Yes"),(O670))))</formula>
    </cfRule>
  </conditionalFormatting>
  <conditionalFormatting sqref="O670 P661:P669 P671:P692 U692">
    <cfRule type="containsText" dxfId="9" priority="3384" operator="containsText" text="No">
      <formula>NOT(ISERROR(SEARCH(("No"),(O670))))</formula>
    </cfRule>
  </conditionalFormatting>
  <conditionalFormatting sqref="O670 P661:P669 P671:P692 U692">
    <cfRule type="containsText" dxfId="9" priority="3385" operator="containsText" text="No">
      <formula>NOT(ISERROR(SEARCH(("No"),(O670))))</formula>
    </cfRule>
  </conditionalFormatting>
  <conditionalFormatting sqref="O670 P661:P669 P671:P692 U692">
    <cfRule type="containsText" dxfId="2" priority="3386" operator="containsText" text="Yes">
      <formula>NOT(ISERROR(SEARCH(("Yes"),(O670))))</formula>
    </cfRule>
  </conditionalFormatting>
  <conditionalFormatting sqref="O670 P661:P669 P671:P692 U692">
    <cfRule type="containsText" dxfId="2" priority="3387" operator="containsText" text="Yes">
      <formula>NOT(ISERROR(SEARCH(("Yes"),(O670))))</formula>
    </cfRule>
  </conditionalFormatting>
  <conditionalFormatting sqref="O670 P661:P669 P671:P692 U692">
    <cfRule type="containsText" dxfId="9" priority="3388" operator="containsText" text="No">
      <formula>NOT(ISERROR(SEARCH(("No"),(O670))))</formula>
    </cfRule>
  </conditionalFormatting>
  <conditionalFormatting sqref="O670 P661:P669 P671:P692 U692">
    <cfRule type="containsText" dxfId="2" priority="3389" operator="containsText" text="Yes">
      <formula>NOT(ISERROR(SEARCH(("Yes"),(O670))))</formula>
    </cfRule>
  </conditionalFormatting>
  <conditionalFormatting sqref="O670 P661:P669 P671:P692 U692">
    <cfRule type="containsText" dxfId="9" priority="3390" operator="containsText" text="No">
      <formula>NOT(ISERROR(SEARCH(("No"),(O670))))</formula>
    </cfRule>
  </conditionalFormatting>
  <conditionalFormatting sqref="O670 P661:P669 P671:P692 U692">
    <cfRule type="containsText" dxfId="2" priority="3391" operator="containsText" text="Yes">
      <formula>NOT(ISERROR(SEARCH(("Yes"),(O670))))</formula>
    </cfRule>
  </conditionalFormatting>
  <conditionalFormatting sqref="O670 P661:P669 P671:P692 U692">
    <cfRule type="containsText" dxfId="9" priority="3392" operator="containsText" text="No">
      <formula>NOT(ISERROR(SEARCH(("No"),(O670))))</formula>
    </cfRule>
  </conditionalFormatting>
  <conditionalFormatting sqref="O670 P661:P669 P671:P692 U692">
    <cfRule type="containsText" dxfId="2" priority="3393" operator="containsText" text="Yes">
      <formula>NOT(ISERROR(SEARCH(("Yes"),(O670))))</formula>
    </cfRule>
  </conditionalFormatting>
  <conditionalFormatting sqref="O670 P661:P669 P671:P692 U692">
    <cfRule type="containsText" dxfId="9" priority="3394" operator="containsText" text="No">
      <formula>NOT(ISERROR(SEARCH(("No"),(O670))))</formula>
    </cfRule>
  </conditionalFormatting>
  <conditionalFormatting sqref="O670 P661:P669 P671:P692 U692">
    <cfRule type="containsText" dxfId="2" priority="3395" operator="containsText" text="Yes">
      <formula>NOT(ISERROR(SEARCH(("Yes"),(O670))))</formula>
    </cfRule>
  </conditionalFormatting>
  <conditionalFormatting sqref="O670 P661:P669 P671:P692 U692">
    <cfRule type="containsText" dxfId="9" priority="3396" operator="containsText" text="No">
      <formula>NOT(ISERROR(SEARCH(("No"),(O670))))</formula>
    </cfRule>
  </conditionalFormatting>
  <conditionalFormatting sqref="O670 P661:P669 P671:P692 U692">
    <cfRule type="containsText" dxfId="2" priority="3397" operator="containsText" text="Yes">
      <formula>NOT(ISERROR(SEARCH(("Yes"),(O670))))</formula>
    </cfRule>
  </conditionalFormatting>
  <conditionalFormatting sqref="O670 P661:P669 P671:P692 U692">
    <cfRule type="containsText" dxfId="9" priority="3398" operator="containsText" text="No">
      <formula>NOT(ISERROR(SEARCH(("No"),(O670))))</formula>
    </cfRule>
  </conditionalFormatting>
  <conditionalFormatting sqref="O670 P661:P669 P671:P692 U692">
    <cfRule type="containsText" dxfId="2" priority="3399" operator="containsText" text="Yes">
      <formula>NOT(ISERROR(SEARCH(("Yes"),(O670))))</formula>
    </cfRule>
  </conditionalFormatting>
  <conditionalFormatting sqref="O670 P661:P669 P671:P692 U692">
    <cfRule type="containsText" dxfId="9" priority="3400" operator="containsText" text="No">
      <formula>NOT(ISERROR(SEARCH(("No"),(O670))))</formula>
    </cfRule>
  </conditionalFormatting>
  <conditionalFormatting sqref="O670 P661:P669 P671:P692 U692">
    <cfRule type="containsText" dxfId="2" priority="3401" operator="containsText" text="Yes">
      <formula>NOT(ISERROR(SEARCH(("Yes"),(O670))))</formula>
    </cfRule>
  </conditionalFormatting>
  <conditionalFormatting sqref="O670 P661:P669 P671:P692 U692">
    <cfRule type="containsText" dxfId="9" priority="3402" operator="containsText" text="No">
      <formula>NOT(ISERROR(SEARCH(("No"),(O670))))</formula>
    </cfRule>
  </conditionalFormatting>
  <conditionalFormatting sqref="O670 P661:P669 P671:P692 U692">
    <cfRule type="containsText" dxfId="2" priority="3403" operator="containsText" text="Yes">
      <formula>NOT(ISERROR(SEARCH(("Yes"),(O670))))</formula>
    </cfRule>
  </conditionalFormatting>
  <conditionalFormatting sqref="O670 P661:P669 P671:P692 U692">
    <cfRule type="containsText" dxfId="9" priority="3404" operator="containsText" text="No">
      <formula>NOT(ISERROR(SEARCH(("No"),(O670))))</formula>
    </cfRule>
  </conditionalFormatting>
  <conditionalFormatting sqref="O670 P661:P669 P671:P692 U692">
    <cfRule type="containsText" dxfId="2" priority="3405" operator="containsText" text="Yes">
      <formula>NOT(ISERROR(SEARCH(("Yes"),(O670))))</formula>
    </cfRule>
  </conditionalFormatting>
  <conditionalFormatting sqref="O670 P661:P669 P671:P692 U692">
    <cfRule type="containsText" dxfId="9" priority="3406" operator="containsText" text="No">
      <formula>NOT(ISERROR(SEARCH(("No"),(O670))))</formula>
    </cfRule>
  </conditionalFormatting>
  <conditionalFormatting sqref="O670 P661:P669 P671:P692 U692">
    <cfRule type="containsText" dxfId="2" priority="3407" operator="containsText" text="Yes">
      <formula>NOT(ISERROR(SEARCH(("Yes"),(O670))))</formula>
    </cfRule>
  </conditionalFormatting>
  <conditionalFormatting sqref="O670 P661:P669 P671:P692 U692">
    <cfRule type="containsText" dxfId="9" priority="3408" operator="containsText" text="No">
      <formula>NOT(ISERROR(SEARCH(("No"),(O670))))</formula>
    </cfRule>
  </conditionalFormatting>
  <conditionalFormatting sqref="O670 P661:P669 P671:P692 U692">
    <cfRule type="containsText" dxfId="2" priority="3409" operator="containsText" text="Yes">
      <formula>NOT(ISERROR(SEARCH(("Yes"),(O670))))</formula>
    </cfRule>
  </conditionalFormatting>
  <conditionalFormatting sqref="O670 P661:P669 P671:P692 U692">
    <cfRule type="containsText" dxfId="9" priority="3410" operator="containsText" text="No">
      <formula>NOT(ISERROR(SEARCH(("No"),(O670))))</formula>
    </cfRule>
  </conditionalFormatting>
  <conditionalFormatting sqref="O670 P661:P669 P671:P692 U692">
    <cfRule type="containsText" dxfId="2" priority="3411" operator="containsText" text="Yes">
      <formula>NOT(ISERROR(SEARCH(("Yes"),(O670))))</formula>
    </cfRule>
  </conditionalFormatting>
  <conditionalFormatting sqref="O670 P661:P669 P671:P692 U692">
    <cfRule type="containsText" dxfId="9" priority="3412" operator="containsText" text="No">
      <formula>NOT(ISERROR(SEARCH(("No"),(O670))))</formula>
    </cfRule>
  </conditionalFormatting>
  <conditionalFormatting sqref="O670 P661:P669 P671:P692 U692">
    <cfRule type="containsText" dxfId="2" priority="3413" operator="containsText" text="Yes">
      <formula>NOT(ISERROR(SEARCH(("Yes"),(O670))))</formula>
    </cfRule>
  </conditionalFormatting>
  <conditionalFormatting sqref="O670 P661:P669 P671:P692 U692">
    <cfRule type="containsText" dxfId="9" priority="3414" operator="containsText" text="No">
      <formula>NOT(ISERROR(SEARCH(("No"),(O670))))</formula>
    </cfRule>
  </conditionalFormatting>
  <conditionalFormatting sqref="O670 P661:P669 P671:P692 U692">
    <cfRule type="containsText" dxfId="2" priority="3415" operator="containsText" text="Yes">
      <formula>NOT(ISERROR(SEARCH(("Yes"),(O670))))</formula>
    </cfRule>
  </conditionalFormatting>
  <conditionalFormatting sqref="O670 P661:P669 P671:P692 U692">
    <cfRule type="containsText" dxfId="9" priority="3416" operator="containsText" text="No">
      <formula>NOT(ISERROR(SEARCH(("No"),(O670))))</formula>
    </cfRule>
  </conditionalFormatting>
  <conditionalFormatting sqref="O670 P661:P669 P671:P692 U692">
    <cfRule type="containsText" dxfId="2" priority="3417" operator="containsText" text="Yes">
      <formula>NOT(ISERROR(SEARCH(("Yes"),(O670))))</formula>
    </cfRule>
  </conditionalFormatting>
  <conditionalFormatting sqref="O670 P661:P669 P671:P692 U692">
    <cfRule type="containsText" dxfId="9" priority="3418" operator="containsText" text="No">
      <formula>NOT(ISERROR(SEARCH(("No"),(O670))))</formula>
    </cfRule>
  </conditionalFormatting>
  <conditionalFormatting sqref="O670 P661:P669 P671:P692 U692">
    <cfRule type="containsText" dxfId="2" priority="3419" operator="containsText" text="Yes">
      <formula>NOT(ISERROR(SEARCH(("Yes"),(O670))))</formula>
    </cfRule>
  </conditionalFormatting>
  <conditionalFormatting sqref="O670 P661:P669 P671:P692 U692">
    <cfRule type="containsText" dxfId="9" priority="3420" operator="containsText" text="No">
      <formula>NOT(ISERROR(SEARCH(("No"),(O670))))</formula>
    </cfRule>
  </conditionalFormatting>
  <conditionalFormatting sqref="O670 P661:P669 P671:P692 U692">
    <cfRule type="containsText" dxfId="2" priority="3421" operator="containsText" text="Yes">
      <formula>NOT(ISERROR(SEARCH(("Yes"),(O670))))</formula>
    </cfRule>
  </conditionalFormatting>
  <conditionalFormatting sqref="O670 P661:P669 P671:P692 U692">
    <cfRule type="containsText" dxfId="9" priority="3422" operator="containsText" text="No">
      <formula>NOT(ISERROR(SEARCH(("No"),(O670))))</formula>
    </cfRule>
  </conditionalFormatting>
  <conditionalFormatting sqref="O670 P661:P669 P671:P692 U692">
    <cfRule type="containsText" dxfId="2" priority="3423" operator="containsText" text="Yes">
      <formula>NOT(ISERROR(SEARCH(("Yes"),(O670))))</formula>
    </cfRule>
  </conditionalFormatting>
  <conditionalFormatting sqref="O670 P661:P669 P671:P692 U692">
    <cfRule type="containsText" dxfId="9" priority="3424" operator="containsText" text="No">
      <formula>NOT(ISERROR(SEARCH(("No"),(O670))))</formula>
    </cfRule>
  </conditionalFormatting>
  <conditionalFormatting sqref="O670 P661:P669 P671:P692 U692">
    <cfRule type="containsText" dxfId="2" priority="3425" operator="containsText" text="Yes">
      <formula>NOT(ISERROR(SEARCH(("Yes"),(O670))))</formula>
    </cfRule>
  </conditionalFormatting>
  <conditionalFormatting sqref="O670 P661:P669 P671:P692 U692">
    <cfRule type="containsText" dxfId="9" priority="3426" operator="containsText" text="No">
      <formula>NOT(ISERROR(SEARCH(("No"),(O670))))</formula>
    </cfRule>
  </conditionalFormatting>
  <conditionalFormatting sqref="O670 P661:P669 P671:P692 U692">
    <cfRule type="containsText" dxfId="2" priority="3427" operator="containsText" text="Yes">
      <formula>NOT(ISERROR(SEARCH(("Yes"),(O670))))</formula>
    </cfRule>
  </conditionalFormatting>
  <conditionalFormatting sqref="O670 P661:P669 P671:P692 U692">
    <cfRule type="containsText" dxfId="9" priority="3428" operator="containsText" text="No">
      <formula>NOT(ISERROR(SEARCH(("No"),(O670))))</formula>
    </cfRule>
  </conditionalFormatting>
  <conditionalFormatting sqref="O670 P661:P669 P671:P692 U692">
    <cfRule type="containsText" dxfId="2" priority="3429" operator="containsText" text="Yes">
      <formula>NOT(ISERROR(SEARCH(("Yes"),(O670))))</formula>
    </cfRule>
  </conditionalFormatting>
  <conditionalFormatting sqref="O670 P661:P669 P671:P692 U692">
    <cfRule type="containsText" dxfId="9" priority="3430" operator="containsText" text="No">
      <formula>NOT(ISERROR(SEARCH(("No"),(O670))))</formula>
    </cfRule>
  </conditionalFormatting>
  <conditionalFormatting sqref="O670 P661:P669 P671:P692 U692">
    <cfRule type="containsText" dxfId="2" priority="3431" operator="containsText" text="Yes">
      <formula>NOT(ISERROR(SEARCH(("Yes"),(O670))))</formula>
    </cfRule>
  </conditionalFormatting>
  <conditionalFormatting sqref="O670 P661:P669 P671:P692 U692">
    <cfRule type="containsText" dxfId="9" priority="3432" operator="containsText" text="No">
      <formula>NOT(ISERROR(SEARCH(("No"),(O670))))</formula>
    </cfRule>
  </conditionalFormatting>
  <conditionalFormatting sqref="O670 P661:P669 P671:P692 U692">
    <cfRule type="containsText" dxfId="2" priority="3433" operator="containsText" text="Yes">
      <formula>NOT(ISERROR(SEARCH(("Yes"),(O670))))</formula>
    </cfRule>
  </conditionalFormatting>
  <conditionalFormatting sqref="O670 P661:P669 P671:P692 U692">
    <cfRule type="containsText" dxfId="9" priority="3434" operator="containsText" text="No">
      <formula>NOT(ISERROR(SEARCH(("No"),(O670))))</formula>
    </cfRule>
  </conditionalFormatting>
  <conditionalFormatting sqref="O670 P661:P669 P671:P692 U692">
    <cfRule type="containsText" dxfId="2" priority="3435" operator="containsText" text="Yes">
      <formula>NOT(ISERROR(SEARCH(("Yes"),(O670))))</formula>
    </cfRule>
  </conditionalFormatting>
  <conditionalFormatting sqref="O670 P661:P669 P671:P692 U692">
    <cfRule type="containsText" dxfId="9" priority="3436" operator="containsText" text="No">
      <formula>NOT(ISERROR(SEARCH(("No"),(O670))))</formula>
    </cfRule>
  </conditionalFormatting>
  <conditionalFormatting sqref="O670 P661:P669 P671:P692 U692">
    <cfRule type="containsText" dxfId="2" priority="3437" operator="containsText" text="Yes">
      <formula>NOT(ISERROR(SEARCH(("Yes"),(O670))))</formula>
    </cfRule>
  </conditionalFormatting>
  <conditionalFormatting sqref="O670 P661:P669 P671:P692 U692">
    <cfRule type="containsText" dxfId="9" priority="3438" operator="containsText" text="No">
      <formula>NOT(ISERROR(SEARCH(("No"),(O670))))</formula>
    </cfRule>
  </conditionalFormatting>
  <conditionalFormatting sqref="O670 P661:P669 P671:P692 U692">
    <cfRule type="containsText" dxfId="2" priority="3439" operator="containsText" text="Yes">
      <formula>NOT(ISERROR(SEARCH(("Yes"),(O670))))</formula>
    </cfRule>
  </conditionalFormatting>
  <conditionalFormatting sqref="O670 P661:P669 P671:P692 U692">
    <cfRule type="containsText" dxfId="9" priority="3440" operator="containsText" text="No">
      <formula>NOT(ISERROR(SEARCH(("No"),(O670))))</formula>
    </cfRule>
  </conditionalFormatting>
  <conditionalFormatting sqref="O670 P661:P669 P671:P692 U692">
    <cfRule type="containsText" dxfId="2" priority="3441" operator="containsText" text="Yes">
      <formula>NOT(ISERROR(SEARCH(("Yes"),(O670))))</formula>
    </cfRule>
  </conditionalFormatting>
  <conditionalFormatting sqref="O670 P661:P669 P671:P692 U692">
    <cfRule type="containsText" dxfId="9" priority="3442" operator="containsText" text="No">
      <formula>NOT(ISERROR(SEARCH(("No"),(O670))))</formula>
    </cfRule>
  </conditionalFormatting>
  <conditionalFormatting sqref="O670 P661:P669 P671:P692 U692">
    <cfRule type="containsText" dxfId="2" priority="3443" operator="containsText" text="Yes">
      <formula>NOT(ISERROR(SEARCH(("Yes"),(O670))))</formula>
    </cfRule>
  </conditionalFormatting>
  <conditionalFormatting sqref="O670 P661:P669 P671:P692 U692">
    <cfRule type="containsText" dxfId="9" priority="3444" operator="containsText" text="No">
      <formula>NOT(ISERROR(SEARCH(("No"),(O670))))</formula>
    </cfRule>
  </conditionalFormatting>
  <conditionalFormatting sqref="O670 P661:P669 P671:P692 U692">
    <cfRule type="containsText" dxfId="2" priority="3445" operator="containsText" text="Yes">
      <formula>NOT(ISERROR(SEARCH(("Yes"),(O670))))</formula>
    </cfRule>
  </conditionalFormatting>
  <conditionalFormatting sqref="O670 P661:P669 P671:P692 U692">
    <cfRule type="containsText" dxfId="9" priority="3446" operator="containsText" text="No">
      <formula>NOT(ISERROR(SEARCH(("No"),(O670))))</formula>
    </cfRule>
  </conditionalFormatting>
  <conditionalFormatting sqref="O670 P661:P669 P671:P692 U692">
    <cfRule type="containsText" dxfId="2" priority="3447" operator="containsText" text="Yes">
      <formula>NOT(ISERROR(SEARCH(("Yes"),(O670))))</formula>
    </cfRule>
  </conditionalFormatting>
  <conditionalFormatting sqref="O670 P661:P669 P671:P692 U692">
    <cfRule type="containsText" dxfId="9" priority="3448" operator="containsText" text="No">
      <formula>NOT(ISERROR(SEARCH(("No"),(O670))))</formula>
    </cfRule>
  </conditionalFormatting>
  <conditionalFormatting sqref="O670 P661:P669 P671:P692 U692">
    <cfRule type="containsText" dxfId="2" priority="3449" operator="containsText" text="Yes">
      <formula>NOT(ISERROR(SEARCH(("Yes"),(O670))))</formula>
    </cfRule>
  </conditionalFormatting>
  <conditionalFormatting sqref="O670 P661:P669 P671:P692 U692">
    <cfRule type="containsText" dxfId="9" priority="3450" operator="containsText" text="No">
      <formula>NOT(ISERROR(SEARCH(("No"),(O670))))</formula>
    </cfRule>
  </conditionalFormatting>
  <conditionalFormatting sqref="O670 P661:P669 P671:P692 U692">
    <cfRule type="containsText" dxfId="2" priority="3451" operator="containsText" text="Yes">
      <formula>NOT(ISERROR(SEARCH(("Yes"),(O670))))</formula>
    </cfRule>
  </conditionalFormatting>
  <conditionalFormatting sqref="O670 P661:P669 P671:P692 U692">
    <cfRule type="containsText" dxfId="9" priority="3452" operator="containsText" text="No">
      <formula>NOT(ISERROR(SEARCH(("No"),(O670))))</formula>
    </cfRule>
  </conditionalFormatting>
  <conditionalFormatting sqref="O670 P661:P669 P671:P692 U692">
    <cfRule type="containsText" dxfId="2" priority="3453" operator="containsText" text="Yes">
      <formula>NOT(ISERROR(SEARCH(("Yes"),(O670))))</formula>
    </cfRule>
  </conditionalFormatting>
  <conditionalFormatting sqref="O670 P661:P669 P671:P692 U692">
    <cfRule type="containsText" dxfId="9" priority="3454" operator="containsText" text="No">
      <formula>NOT(ISERROR(SEARCH(("No"),(O670))))</formula>
    </cfRule>
  </conditionalFormatting>
  <conditionalFormatting sqref="O670 P661:P669 P671:P692 U692">
    <cfRule type="containsText" dxfId="2" priority="3455" operator="containsText" text="Yes">
      <formula>NOT(ISERROR(SEARCH(("Yes"),(O670))))</formula>
    </cfRule>
  </conditionalFormatting>
  <conditionalFormatting sqref="O670 P661:P669 P671:P692 U692">
    <cfRule type="containsText" dxfId="9" priority="3456" operator="containsText" text="No">
      <formula>NOT(ISERROR(SEARCH(("No"),(O670))))</formula>
    </cfRule>
  </conditionalFormatting>
  <conditionalFormatting sqref="O670 P661:P669 P671:P692 U692">
    <cfRule type="containsText" dxfId="2" priority="3457" operator="containsText" text="Yes">
      <formula>NOT(ISERROR(SEARCH(("Yes"),(O670))))</formula>
    </cfRule>
  </conditionalFormatting>
  <conditionalFormatting sqref="O670 P661:P669 P671:P692 U692">
    <cfRule type="containsText" dxfId="9" priority="3458" operator="containsText" text="No">
      <formula>NOT(ISERROR(SEARCH(("No"),(O670))))</formula>
    </cfRule>
  </conditionalFormatting>
  <conditionalFormatting sqref="O670 P661:P669 P671:P692 U692">
    <cfRule type="containsText" dxfId="2" priority="3459" operator="containsText" text="Yes">
      <formula>NOT(ISERROR(SEARCH(("Yes"),(O670))))</formula>
    </cfRule>
  </conditionalFormatting>
  <conditionalFormatting sqref="O670 P661:P669 P671:P692 U692">
    <cfRule type="containsText" dxfId="9" priority="3460" operator="containsText" text="No">
      <formula>NOT(ISERROR(SEARCH(("No"),(O670))))</formula>
    </cfRule>
  </conditionalFormatting>
  <conditionalFormatting sqref="O670 P661:P669 P671:P692 U692">
    <cfRule type="containsText" dxfId="2" priority="3461" operator="containsText" text="Yes">
      <formula>NOT(ISERROR(SEARCH(("Yes"),(O670))))</formula>
    </cfRule>
  </conditionalFormatting>
  <conditionalFormatting sqref="O670 P661:P669 P671:P692 U692">
    <cfRule type="containsText" dxfId="9" priority="3462" operator="containsText" text="No">
      <formula>NOT(ISERROR(SEARCH(("No"),(O670))))</formula>
    </cfRule>
  </conditionalFormatting>
  <conditionalFormatting sqref="O670 P661:P669 P671:P692 U692">
    <cfRule type="containsText" dxfId="2" priority="3463" operator="containsText" text="Yes">
      <formula>NOT(ISERROR(SEARCH(("Yes"),(O670))))</formula>
    </cfRule>
  </conditionalFormatting>
  <conditionalFormatting sqref="O670 P661:P669 P671:P692 U692">
    <cfRule type="containsText" dxfId="9" priority="3464" operator="containsText" text="No">
      <formula>NOT(ISERROR(SEARCH(("No"),(O670))))</formula>
    </cfRule>
  </conditionalFormatting>
  <conditionalFormatting sqref="O670 P661:P669 P671:P692 U692">
    <cfRule type="containsText" dxfId="2" priority="3465" operator="containsText" text="Yes">
      <formula>NOT(ISERROR(SEARCH(("Yes"),(O670))))</formula>
    </cfRule>
  </conditionalFormatting>
  <conditionalFormatting sqref="O670 P661:P669 P671:P692 U692">
    <cfRule type="containsText" dxfId="9" priority="3466" operator="containsText" text="No">
      <formula>NOT(ISERROR(SEARCH(("No"),(O670))))</formula>
    </cfRule>
  </conditionalFormatting>
  <conditionalFormatting sqref="O670 P661:P669 P671:P692 U692">
    <cfRule type="containsText" dxfId="2" priority="3467" operator="containsText" text="Yes">
      <formula>NOT(ISERROR(SEARCH(("Yes"),(O670))))</formula>
    </cfRule>
  </conditionalFormatting>
  <conditionalFormatting sqref="O670 P661:P669 P671:P692 U692">
    <cfRule type="containsText" dxfId="9" priority="3468" operator="containsText" text="No">
      <formula>NOT(ISERROR(SEARCH(("No"),(O670))))</formula>
    </cfRule>
  </conditionalFormatting>
  <conditionalFormatting sqref="O670 P661:P669 P671:P692 U692">
    <cfRule type="containsText" dxfId="2" priority="3469" operator="containsText" text="Yes">
      <formula>NOT(ISERROR(SEARCH(("Yes"),(O670))))</formula>
    </cfRule>
  </conditionalFormatting>
  <conditionalFormatting sqref="O670 P661:P669 P671:P692 U692">
    <cfRule type="containsText" dxfId="9" priority="3470" operator="containsText" text="No">
      <formula>NOT(ISERROR(SEARCH(("No"),(O670))))</formula>
    </cfRule>
  </conditionalFormatting>
  <conditionalFormatting sqref="O670 P661:P669 P671:P692 U692">
    <cfRule type="containsText" dxfId="2" priority="3471" operator="containsText" text="Yes">
      <formula>NOT(ISERROR(SEARCH(("Yes"),(O670))))</formula>
    </cfRule>
  </conditionalFormatting>
  <conditionalFormatting sqref="O670 P661:P669 P671:P692 U692">
    <cfRule type="containsText" dxfId="9" priority="3472" operator="containsText" text="No">
      <formula>NOT(ISERROR(SEARCH(("No"),(O670))))</formula>
    </cfRule>
  </conditionalFormatting>
  <conditionalFormatting sqref="O670 P661:P669 P671:P692 U692">
    <cfRule type="containsText" dxfId="2" priority="3473" operator="containsText" text="Yes">
      <formula>NOT(ISERROR(SEARCH(("Yes"),(O670))))</formula>
    </cfRule>
  </conditionalFormatting>
  <conditionalFormatting sqref="O670 P661:P669 P671:P692 U692">
    <cfRule type="containsText" dxfId="9" priority="3474" operator="containsText" text="No">
      <formula>NOT(ISERROR(SEARCH(("No"),(O670))))</formula>
    </cfRule>
  </conditionalFormatting>
  <conditionalFormatting sqref="O670 P661:P669 P671:P692 U692">
    <cfRule type="containsText" dxfId="2" priority="3475" operator="containsText" text="Yes">
      <formula>NOT(ISERROR(SEARCH(("Yes"),(O670))))</formula>
    </cfRule>
  </conditionalFormatting>
  <conditionalFormatting sqref="O670 P661:P669 P671:P692 U692">
    <cfRule type="containsText" dxfId="9" priority="3476" operator="containsText" text="No">
      <formula>NOT(ISERROR(SEARCH(("No"),(O670))))</formula>
    </cfRule>
  </conditionalFormatting>
  <conditionalFormatting sqref="O670 P661:P669 P671:P692 U692">
    <cfRule type="containsText" dxfId="2" priority="3477" operator="containsText" text="Yes">
      <formula>NOT(ISERROR(SEARCH(("Yes"),(O670))))</formula>
    </cfRule>
  </conditionalFormatting>
  <conditionalFormatting sqref="O670 P661:P669 P671:P692 U692">
    <cfRule type="containsText" dxfId="9" priority="3478" operator="containsText" text="No">
      <formula>NOT(ISERROR(SEARCH(("No"),(O670))))</formula>
    </cfRule>
  </conditionalFormatting>
  <conditionalFormatting sqref="O670 P661:P669 P671:P692 U692">
    <cfRule type="containsText" dxfId="2" priority="3479" operator="containsText" text="Yes">
      <formula>NOT(ISERROR(SEARCH(("Yes"),(O670))))</formula>
    </cfRule>
  </conditionalFormatting>
  <conditionalFormatting sqref="O670 P661:P669 P671:P692 U692">
    <cfRule type="containsText" dxfId="9" priority="3480" operator="containsText" text="No">
      <formula>NOT(ISERROR(SEARCH(("No"),(O670))))</formula>
    </cfRule>
  </conditionalFormatting>
  <conditionalFormatting sqref="O670 P661:P669 P671:P692 U692">
    <cfRule type="containsText" dxfId="2" priority="3481" operator="containsText" text="Yes">
      <formula>NOT(ISERROR(SEARCH(("Yes"),(O670))))</formula>
    </cfRule>
  </conditionalFormatting>
  <conditionalFormatting sqref="O670 P661:P669 P671:P692 U692">
    <cfRule type="containsText" dxfId="9" priority="3482" operator="containsText" text="No">
      <formula>NOT(ISERROR(SEARCH(("No"),(O670))))</formula>
    </cfRule>
  </conditionalFormatting>
  <conditionalFormatting sqref="O670 P661:P669 P671:P692 U692">
    <cfRule type="containsText" dxfId="2" priority="3483" operator="containsText" text="Yes">
      <formula>NOT(ISERROR(SEARCH(("Yes"),(O670))))</formula>
    </cfRule>
  </conditionalFormatting>
  <conditionalFormatting sqref="O670 P661:P669 P671:P692 U692">
    <cfRule type="containsText" dxfId="9" priority="3484" operator="containsText" text="No">
      <formula>NOT(ISERROR(SEARCH(("No"),(O670))))</formula>
    </cfRule>
  </conditionalFormatting>
  <conditionalFormatting sqref="O670 P661:P669 P671:P692 U692">
    <cfRule type="containsText" dxfId="2" priority="3485" operator="containsText" text="Yes">
      <formula>NOT(ISERROR(SEARCH(("Yes"),(O670))))</formula>
    </cfRule>
  </conditionalFormatting>
  <conditionalFormatting sqref="O670 P661:P669 P671:P692 U692">
    <cfRule type="containsText" dxfId="9" priority="3486" operator="containsText" text="No">
      <formula>NOT(ISERROR(SEARCH(("No"),(O670))))</formula>
    </cfRule>
  </conditionalFormatting>
  <conditionalFormatting sqref="O670 P661:P669 P671:P692 U692">
    <cfRule type="containsText" dxfId="9" priority="3487" operator="containsText" text="No">
      <formula>NOT(ISERROR(SEARCH(("No"),(O670))))</formula>
    </cfRule>
  </conditionalFormatting>
  <conditionalFormatting sqref="O670 P661:P669 P671:P692 U692">
    <cfRule type="containsText" dxfId="9" priority="3488" operator="containsText" text="No">
      <formula>NOT(ISERROR(SEARCH(("No"),(O670))))</formula>
    </cfRule>
  </conditionalFormatting>
  <conditionalFormatting sqref="O670 P661:P669 P671:P692 U692">
    <cfRule type="containsText" dxfId="2" priority="3489" operator="containsText" text="Yes">
      <formula>NOT(ISERROR(SEARCH(("Yes"),(O670))))</formula>
    </cfRule>
  </conditionalFormatting>
  <conditionalFormatting sqref="O670 P661:P669 P671:P692 U692">
    <cfRule type="containsText" dxfId="9" priority="3490" operator="containsText" text="No">
      <formula>NOT(ISERROR(SEARCH(("No"),(O670))))</formula>
    </cfRule>
  </conditionalFormatting>
  <conditionalFormatting sqref="O670 P661:P669 P671:P692 U692">
    <cfRule type="containsText" dxfId="9" priority="3491" operator="containsText" text="No">
      <formula>NOT(ISERROR(SEARCH(("No"),(O670))))</formula>
    </cfRule>
  </conditionalFormatting>
  <conditionalFormatting sqref="O670 P661:P669 P671:P692 U692">
    <cfRule type="containsText" dxfId="9" priority="3492" operator="containsText" text="No">
      <formula>NOT(ISERROR(SEARCH(("No"),(O670))))</formula>
    </cfRule>
  </conditionalFormatting>
  <conditionalFormatting sqref="O670 P661:P669 P671:P692 U692">
    <cfRule type="containsText" dxfId="2" priority="3493" operator="containsText" text="Yes">
      <formula>NOT(ISERROR(SEARCH(("Yes"),(O670))))</formula>
    </cfRule>
  </conditionalFormatting>
  <conditionalFormatting sqref="O670 P661:P669 P671:P692 U692">
    <cfRule type="containsText" dxfId="9" priority="3494" operator="containsText" text="No">
      <formula>NOT(ISERROR(SEARCH(("No"),(O670))))</formula>
    </cfRule>
  </conditionalFormatting>
  <conditionalFormatting sqref="O670 P661:P669 P671:P692 U692">
    <cfRule type="containsText" dxfId="9" priority="3495" operator="containsText" text="No">
      <formula>NOT(ISERROR(SEARCH(("No"),(O670))))</formula>
    </cfRule>
  </conditionalFormatting>
  <conditionalFormatting sqref="O670 P661:P669 P671:P692 U692">
    <cfRule type="containsText" dxfId="9" priority="3496" operator="containsText" text="No">
      <formula>NOT(ISERROR(SEARCH(("No"),(O670))))</formula>
    </cfRule>
  </conditionalFormatting>
  <conditionalFormatting sqref="O670 P661:P669 P671:P692 U692">
    <cfRule type="containsText" dxfId="2" priority="3497" operator="containsText" text="Yes">
      <formula>NOT(ISERROR(SEARCH(("Yes"),(O670))))</formula>
    </cfRule>
  </conditionalFormatting>
  <conditionalFormatting sqref="O670 P661:P669 P671:P692 U692">
    <cfRule type="containsText" dxfId="9" priority="3498" operator="containsText" text="No">
      <formula>NOT(ISERROR(SEARCH(("No"),(O670))))</formula>
    </cfRule>
  </conditionalFormatting>
  <conditionalFormatting sqref="O670 P661:P669 P671:P692 U692">
    <cfRule type="containsText" dxfId="9" priority="3499" operator="containsText" text="No">
      <formula>NOT(ISERROR(SEARCH(("No"),(O670))))</formula>
    </cfRule>
  </conditionalFormatting>
  <conditionalFormatting sqref="P665 P671:P673 P675 P678 P680 P682:P683 P686:P687 P689 P691">
    <cfRule type="containsText" dxfId="9" priority="3500" operator="containsText" text="No">
      <formula>NOT(ISERROR(SEARCH(("No"),(P665))))</formula>
    </cfRule>
  </conditionalFormatting>
  <conditionalFormatting sqref="P665 P671:P673 P675 P678 P680 P682:P683 P686:P687 P689 P691">
    <cfRule type="containsText" dxfId="9" priority="3501" operator="containsText" text="No">
      <formula>NOT(ISERROR(SEARCH(("No"),(P665))))</formula>
    </cfRule>
  </conditionalFormatting>
  <conditionalFormatting sqref="P665 P671:P673 P675 P678 P680 P682:P683 P686:P687 P689 P691">
    <cfRule type="containsText" dxfId="2" priority="3502" operator="containsText" text="Yes">
      <formula>NOT(ISERROR(SEARCH(("Yes"),(P665))))</formula>
    </cfRule>
  </conditionalFormatting>
  <conditionalFormatting sqref="P665 P671:P673 P675 P678 P680 P682:P683 P686:P687 P689 P691">
    <cfRule type="containsText" dxfId="2" priority="3503" operator="containsText" text="Yes">
      <formula>NOT(ISERROR(SEARCH(("Yes"),(P665))))</formula>
    </cfRule>
  </conditionalFormatting>
  <conditionalFormatting sqref="P665 P671:P673 P675 P678 P680 P682:P683 P686:P687 P689 P691">
    <cfRule type="containsText" dxfId="9" priority="3504" operator="containsText" text="No">
      <formula>NOT(ISERROR(SEARCH(("No"),(P665))))</formula>
    </cfRule>
  </conditionalFormatting>
  <conditionalFormatting sqref="P665 P671:P673 P675 P678 P680 P682:P683 P686:P687 P689 P691">
    <cfRule type="containsText" dxfId="2" priority="3505" operator="containsText" text="Yes">
      <formula>NOT(ISERROR(SEARCH(("Yes"),(P665))))</formula>
    </cfRule>
  </conditionalFormatting>
  <conditionalFormatting sqref="P665 P671:P673 P675 P678 P680 P682:P683 P686:P687 P689 P691">
    <cfRule type="containsText" dxfId="9" priority="3506" operator="containsText" text="No">
      <formula>NOT(ISERROR(SEARCH(("No"),(P665))))</formula>
    </cfRule>
  </conditionalFormatting>
  <conditionalFormatting sqref="P665 P671:P673 P675 P678 P680 P682:P683 P686:P687 P689 P691">
    <cfRule type="containsText" dxfId="2" priority="3507" operator="containsText" text="Yes">
      <formula>NOT(ISERROR(SEARCH(("Yes"),(P665))))</formula>
    </cfRule>
  </conditionalFormatting>
  <conditionalFormatting sqref="P665 P671:P673 P675 P678 P680 P682:P683 P686:P687 P689 P691">
    <cfRule type="containsText" dxfId="9" priority="3508" operator="containsText" text="No">
      <formula>NOT(ISERROR(SEARCH(("No"),(P665))))</formula>
    </cfRule>
  </conditionalFormatting>
  <conditionalFormatting sqref="P665 P671:P673 P675 P678 P680 P682:P683 P686:P687 P689 P691">
    <cfRule type="containsText" dxfId="2" priority="3509" operator="containsText" text="Yes">
      <formula>NOT(ISERROR(SEARCH(("Yes"),(P665))))</formula>
    </cfRule>
  </conditionalFormatting>
  <conditionalFormatting sqref="P665 P671:P673 P675 P678 P680 P682:P683 P686:P687 P689 P691">
    <cfRule type="containsText" dxfId="9" priority="3510" operator="containsText" text="No">
      <formula>NOT(ISERROR(SEARCH(("No"),(P665))))</formula>
    </cfRule>
  </conditionalFormatting>
  <conditionalFormatting sqref="P665 P671:P673 P675 P678 P680 P682:P683 P686:P687 P689 P691">
    <cfRule type="containsText" dxfId="2" priority="3511" operator="containsText" text="Yes">
      <formula>NOT(ISERROR(SEARCH(("Yes"),(P665))))</formula>
    </cfRule>
  </conditionalFormatting>
  <conditionalFormatting sqref="O670 P667:P669 P674 P676:P677 P679 P681 P684:P685 P688 P690 P692 U692">
    <cfRule type="containsText" dxfId="9" priority="3512" operator="containsText" text="No">
      <formula>NOT(ISERROR(SEARCH(("No"),(O670))))</formula>
    </cfRule>
  </conditionalFormatting>
  <conditionalFormatting sqref="O670 P667:P669 P674 P676:P677 P679 P681 P684:P685 P688 P690 P692 U692">
    <cfRule type="containsText" dxfId="2" priority="3513" operator="containsText" text="Yes">
      <formula>NOT(ISERROR(SEARCH(("Yes"),(O670))))</formula>
    </cfRule>
  </conditionalFormatting>
  <conditionalFormatting sqref="O670 P667:P669 P674 P676:P677 P679 P681 P684:P685 P688 P690 P692 U692">
    <cfRule type="containsText" dxfId="9" priority="3514" operator="containsText" text="No">
      <formula>NOT(ISERROR(SEARCH(("No"),(O670))))</formula>
    </cfRule>
  </conditionalFormatting>
  <conditionalFormatting sqref="O670 P667:P669 P674 P676:P677 P679 P681 P684:P685 P688 P690 P692 U692">
    <cfRule type="containsText" dxfId="2" priority="3515" operator="containsText" text="Yes">
      <formula>NOT(ISERROR(SEARCH(("Yes"),(O670))))</formula>
    </cfRule>
  </conditionalFormatting>
  <conditionalFormatting sqref="O670 P667:P669 P674 P676:P677 P679 P681 P684:P685 P688 P690 P692 U692">
    <cfRule type="containsText" dxfId="9" priority="3516" operator="containsText" text="No">
      <formula>NOT(ISERROR(SEARCH(("No"),(O670))))</formula>
    </cfRule>
  </conditionalFormatting>
  <conditionalFormatting sqref="O670 P667:P669 P674 P676:P677 P679 P681 P684:P685 P688 P690 P692 U692">
    <cfRule type="containsText" dxfId="2" priority="3517" operator="containsText" text="Yes">
      <formula>NOT(ISERROR(SEARCH(("Yes"),(O670))))</formula>
    </cfRule>
  </conditionalFormatting>
  <conditionalFormatting sqref="O670 P667:P669 P674 P676:P677 P679 P681 P684:P685 P688 P690 P692 U692">
    <cfRule type="containsText" dxfId="9" priority="3518" operator="containsText" text="No">
      <formula>NOT(ISERROR(SEARCH(("No"),(O670))))</formula>
    </cfRule>
  </conditionalFormatting>
  <conditionalFormatting sqref="O670 P667:P669 P674 P676:P677 P679 P681 P684:P685 P688 P690 P692 U692">
    <cfRule type="containsText" dxfId="2" priority="3519" operator="containsText" text="Yes">
      <formula>NOT(ISERROR(SEARCH(("Yes"),(O670))))</formula>
    </cfRule>
  </conditionalFormatting>
  <conditionalFormatting sqref="O670 P667:P669 P674 P676:P677 P679 P681 P684:P685 P688 P690 P692 U692">
    <cfRule type="containsText" dxfId="9" priority="3520" operator="containsText" text="No">
      <formula>NOT(ISERROR(SEARCH(("No"),(O670))))</formula>
    </cfRule>
  </conditionalFormatting>
  <conditionalFormatting sqref="O670 P667:P669 P674 P676:P677 P679 P681 P684:P685 P688 P690 P692 U692">
    <cfRule type="containsText" dxfId="2" priority="3521" operator="containsText" text="Yes">
      <formula>NOT(ISERROR(SEARCH(("Yes"),(O670))))</formula>
    </cfRule>
  </conditionalFormatting>
  <conditionalFormatting sqref="O670 P667:P669 P674 P676:P677 P679 P681 P684:P685 P688 P690 P692 U692">
    <cfRule type="containsText" dxfId="9" priority="3522" operator="containsText" text="No">
      <formula>NOT(ISERROR(SEARCH(("No"),(O670))))</formula>
    </cfRule>
  </conditionalFormatting>
  <conditionalFormatting sqref="O670 P667:P669 P674 P676:P677 P679 P681 P684:P685 P688 P690 P692 U692">
    <cfRule type="containsText" dxfId="2" priority="3523" operator="containsText" text="Yes">
      <formula>NOT(ISERROR(SEARCH(("Yes"),(O670))))</formula>
    </cfRule>
  </conditionalFormatting>
  <conditionalFormatting sqref="O670 P667:P669 P674 P676:P677 P679 P681 P684:P685 P688 P690 P692 U692">
    <cfRule type="containsText" dxfId="9" priority="3524" operator="containsText" text="No">
      <formula>NOT(ISERROR(SEARCH(("No"),(O670))))</formula>
    </cfRule>
  </conditionalFormatting>
  <conditionalFormatting sqref="O670 P667:P669 P674 P676:P677 P679 P681 P684:P685 P688 P690 P692 U692">
    <cfRule type="containsText" dxfId="2" priority="3525" operator="containsText" text="Yes">
      <formula>NOT(ISERROR(SEARCH(("Yes"),(O670))))</formula>
    </cfRule>
  </conditionalFormatting>
  <conditionalFormatting sqref="O670 P667:P669 P674 P676:P677 P679 P681 P684:P685 P688 P690 P692 U692">
    <cfRule type="containsText" dxfId="9" priority="3526" operator="containsText" text="No">
      <formula>NOT(ISERROR(SEARCH(("No"),(O670))))</formula>
    </cfRule>
  </conditionalFormatting>
  <conditionalFormatting sqref="O670 P667:P669 P674 P676:P677 P679 P681 P684:P685 P688 P690 P692 U692">
    <cfRule type="containsText" dxfId="2" priority="3527" operator="containsText" text="Yes">
      <formula>NOT(ISERROR(SEARCH(("Yes"),(O670))))</formula>
    </cfRule>
  </conditionalFormatting>
  <conditionalFormatting sqref="O670 P667:P669 P674 P676:P677 P679 P681 P684:P685 P688 P690 P692 U692">
    <cfRule type="containsText" dxfId="9" priority="3528" operator="containsText" text="No">
      <formula>NOT(ISERROR(SEARCH(("No"),(O670))))</formula>
    </cfRule>
  </conditionalFormatting>
  <conditionalFormatting sqref="O670 P667:P669 P674 P676:P677 P679 P681 P684:P685 P688 P690 P692 U692">
    <cfRule type="containsText" dxfId="2" priority="3529" operator="containsText" text="Yes">
      <formula>NOT(ISERROR(SEARCH(("Yes"),(O670))))</formula>
    </cfRule>
  </conditionalFormatting>
  <conditionalFormatting sqref="O670 P667:P669 P674 P676:P677 P679 P681 P684:P685 P688 P690 P692 U692">
    <cfRule type="containsText" dxfId="9" priority="3530" operator="containsText" text="No">
      <formula>NOT(ISERROR(SEARCH(("No"),(O670))))</formula>
    </cfRule>
  </conditionalFormatting>
  <conditionalFormatting sqref="O670 P667:P669 P674 P676:P677 P679 P681 P684:P685 P688 P690 P692 U692">
    <cfRule type="containsText" dxfId="2" priority="3531" operator="containsText" text="Yes">
      <formula>NOT(ISERROR(SEARCH(("Yes"),(O670))))</formula>
    </cfRule>
  </conditionalFormatting>
  <conditionalFormatting sqref="O670 P667:P669 P674 P676:P677 P679 P681 P684:P685 P688 P690 P692 U692">
    <cfRule type="containsText" dxfId="9" priority="3532" operator="containsText" text="No">
      <formula>NOT(ISERROR(SEARCH(("No"),(O670))))</formula>
    </cfRule>
  </conditionalFormatting>
  <conditionalFormatting sqref="O670 P667:P669 P674 P676:P677 P679 P681 P684:P685 P688 P690 P692 U692">
    <cfRule type="containsText" dxfId="2" priority="3533" operator="containsText" text="Yes">
      <formula>NOT(ISERROR(SEARCH(("Yes"),(O670))))</formula>
    </cfRule>
  </conditionalFormatting>
  <conditionalFormatting sqref="O670 P667:P669 P674 P676:P677 P679 P681 P684:P685 P688 P690 P692 U692">
    <cfRule type="containsText" dxfId="9" priority="3534" operator="containsText" text="No">
      <formula>NOT(ISERROR(SEARCH(("No"),(O670))))</formula>
    </cfRule>
  </conditionalFormatting>
  <conditionalFormatting sqref="O670 P667:P669 P674 P676:P677 P679 P681 P684:P685 P688 P690 P692 U692">
    <cfRule type="containsText" dxfId="2" priority="3535" operator="containsText" text="Yes">
      <formula>NOT(ISERROR(SEARCH(("Yes"),(O670))))</formula>
    </cfRule>
  </conditionalFormatting>
  <conditionalFormatting sqref="O670 P667:P669 P674 P676:P677 P679 P681 P684:P685 P688 P690 P692 U692">
    <cfRule type="containsText" dxfId="9" priority="3536" operator="containsText" text="No">
      <formula>NOT(ISERROR(SEARCH(("No"),(O670))))</formula>
    </cfRule>
  </conditionalFormatting>
  <conditionalFormatting sqref="O670 P667:P669 P674 P676:P677 P679 P681 P684:P685 P688 P690 P692 U692">
    <cfRule type="containsText" dxfId="2" priority="3537" operator="containsText" text="Yes">
      <formula>NOT(ISERROR(SEARCH(("Yes"),(O670))))</formula>
    </cfRule>
  </conditionalFormatting>
  <conditionalFormatting sqref="O670 P667:P669 P674 P676:P677 P679 P681 P684:P685 P688 P690 P692 U692">
    <cfRule type="containsText" dxfId="9" priority="3538" operator="containsText" text="No">
      <formula>NOT(ISERROR(SEARCH(("No"),(O670))))</formula>
    </cfRule>
  </conditionalFormatting>
  <conditionalFormatting sqref="O670 P667:P669 P674 P676:P677 P679 P681 P684:P685 P688 P690 P692 U692">
    <cfRule type="containsText" dxfId="2" priority="3539" operator="containsText" text="Yes">
      <formula>NOT(ISERROR(SEARCH(("Yes"),(O670))))</formula>
    </cfRule>
  </conditionalFormatting>
  <conditionalFormatting sqref="O670 P667:P669 P674 P676:P677 P679 P681 P684:P685 P688 P690 P692 U692">
    <cfRule type="containsText" dxfId="9" priority="3540" operator="containsText" text="No">
      <formula>NOT(ISERROR(SEARCH(("No"),(O670))))</formula>
    </cfRule>
  </conditionalFormatting>
  <conditionalFormatting sqref="O670 P667:P669 P674 P676:P677 P679 P681 P684:P685 P688 P690 P692 U692">
    <cfRule type="containsText" dxfId="2" priority="3541" operator="containsText" text="Yes">
      <formula>NOT(ISERROR(SEARCH(("Yes"),(O670))))</formula>
    </cfRule>
  </conditionalFormatting>
  <conditionalFormatting sqref="O670 P667:P669 P674 P676:P677 P679 P681 P684:P685 P688 P690 P692 U692">
    <cfRule type="containsText" dxfId="9" priority="3542" operator="containsText" text="No">
      <formula>NOT(ISERROR(SEARCH(("No"),(O670))))</formula>
    </cfRule>
  </conditionalFormatting>
  <conditionalFormatting sqref="O670 P667:P669 P674 P676:P677 P679 P681 P684:P685 P688 P690 P692 U692">
    <cfRule type="containsText" dxfId="2" priority="3543" operator="containsText" text="Yes">
      <formula>NOT(ISERROR(SEARCH(("Yes"),(O670))))</formula>
    </cfRule>
  </conditionalFormatting>
  <conditionalFormatting sqref="O670 P667:P669 P674 P676:P677 P679 P681 P684:P685 P688 P690 P692 U692">
    <cfRule type="containsText" dxfId="9" priority="3544" operator="containsText" text="No">
      <formula>NOT(ISERROR(SEARCH(("No"),(O670))))</formula>
    </cfRule>
  </conditionalFormatting>
  <conditionalFormatting sqref="O670 P667:P669 P674 P676:P677 P679 P681 P684:P685 P688 P690 P692 U692">
    <cfRule type="containsText" dxfId="2" priority="3545" operator="containsText" text="Yes">
      <formula>NOT(ISERROR(SEARCH(("Yes"),(O670))))</formula>
    </cfRule>
  </conditionalFormatting>
  <conditionalFormatting sqref="O670 P667:P669 P674 P676:P677 P679 P681 P684:P685 P688 P690 P692 U692">
    <cfRule type="containsText" dxfId="9" priority="3546" operator="containsText" text="No">
      <formula>NOT(ISERROR(SEARCH(("No"),(O670))))</formula>
    </cfRule>
  </conditionalFormatting>
  <conditionalFormatting sqref="O670 P667:P669 P674 P676:P677 P679 P681 P684:P685 P688 P690 P692 U692">
    <cfRule type="containsText" dxfId="2" priority="3547" operator="containsText" text="Yes">
      <formula>NOT(ISERROR(SEARCH(("Yes"),(O670))))</formula>
    </cfRule>
  </conditionalFormatting>
  <conditionalFormatting sqref="O670 P667:P669 P674 P676:P677 P679 P681 P684:P685 P688 P690 P692 U692">
    <cfRule type="containsText" dxfId="9" priority="3548" operator="containsText" text="No">
      <formula>NOT(ISERROR(SEARCH(("No"),(O670))))</formula>
    </cfRule>
  </conditionalFormatting>
  <conditionalFormatting sqref="O670 P667:P669 P674 P676:P677 P679 P681 P684:P685 P688 P690 P692 U692">
    <cfRule type="containsText" dxfId="2" priority="3549" operator="containsText" text="Yes">
      <formula>NOT(ISERROR(SEARCH(("Yes"),(O670))))</formula>
    </cfRule>
  </conditionalFormatting>
  <conditionalFormatting sqref="O670 P667:P669 P674 P676:P677 P679 P681 P684:P685 P688 P690 P692 U692">
    <cfRule type="containsText" dxfId="9" priority="3550" operator="containsText" text="No">
      <formula>NOT(ISERROR(SEARCH(("No"),(O670))))</formula>
    </cfRule>
  </conditionalFormatting>
  <conditionalFormatting sqref="O670 P667:P669 P674 P676:P677 P679 P681 P684:P685 P688 P690 P692 U692">
    <cfRule type="containsText" dxfId="2" priority="3551" operator="containsText" text="Yes">
      <formula>NOT(ISERROR(SEARCH(("Yes"),(O670))))</formula>
    </cfRule>
  </conditionalFormatting>
  <conditionalFormatting sqref="O670 P667:P669 P674 P676:P677 P679 P681 P684:P685 P688 P690 P692 U692">
    <cfRule type="containsText" dxfId="9" priority="3552" operator="containsText" text="No">
      <formula>NOT(ISERROR(SEARCH(("No"),(O670))))</formula>
    </cfRule>
  </conditionalFormatting>
  <conditionalFormatting sqref="O670 P667:P669 P674 P676:P677 P679 P681 P684:P685 P688 P690 P692 U692">
    <cfRule type="containsText" dxfId="2" priority="3553" operator="containsText" text="Yes">
      <formula>NOT(ISERROR(SEARCH(("Yes"),(O670))))</formula>
    </cfRule>
  </conditionalFormatting>
  <conditionalFormatting sqref="O670 P667:P669 P674 P676:P677 P679 P681 P684:P685 P688 P690 P692 U692">
    <cfRule type="containsText" dxfId="9" priority="3554" operator="containsText" text="No">
      <formula>NOT(ISERROR(SEARCH(("No"),(O670))))</formula>
    </cfRule>
  </conditionalFormatting>
  <conditionalFormatting sqref="O670 P667:P669 P674 P676:P677 P679 P681 P684:P685 P688 P690 P692 U692">
    <cfRule type="containsText" dxfId="2" priority="3555" operator="containsText" text="Yes">
      <formula>NOT(ISERROR(SEARCH(("Yes"),(O670))))</formula>
    </cfRule>
  </conditionalFormatting>
  <conditionalFormatting sqref="O670 P667:P669 P674 P676:P677 P679 P681 P684:P685 P688 P690 P692 U692">
    <cfRule type="containsText" dxfId="9" priority="3556" operator="containsText" text="No">
      <formula>NOT(ISERROR(SEARCH(("No"),(O670))))</formula>
    </cfRule>
  </conditionalFormatting>
  <conditionalFormatting sqref="O670 P667:P669 P674 P676:P677 P679 P681 P684:P685 P688 P690 P692 U692">
    <cfRule type="containsText" dxfId="2" priority="3557" operator="containsText" text="Yes">
      <formula>NOT(ISERROR(SEARCH(("Yes"),(O670))))</formula>
    </cfRule>
  </conditionalFormatting>
  <conditionalFormatting sqref="O670 P667:P669 P674 P676:P677 P679 P681 P684:P685 P688 P690 P692 U692">
    <cfRule type="containsText" dxfId="9" priority="3558" operator="containsText" text="No">
      <formula>NOT(ISERROR(SEARCH(("No"),(O670))))</formula>
    </cfRule>
  </conditionalFormatting>
  <conditionalFormatting sqref="O670 P667:P669 P674 P676:P677 P679 P681 P684:P685 P688 P690 P692 U692">
    <cfRule type="containsText" dxfId="2" priority="3559" operator="containsText" text="Yes">
      <formula>NOT(ISERROR(SEARCH(("Yes"),(O670))))</formula>
    </cfRule>
  </conditionalFormatting>
  <conditionalFormatting sqref="O670 P667:P669 P674 P676:P677 P679 P681 P684:P685 P688 P690 P692 U692">
    <cfRule type="containsText" dxfId="9" priority="3560" operator="containsText" text="No">
      <formula>NOT(ISERROR(SEARCH(("No"),(O670))))</formula>
    </cfRule>
  </conditionalFormatting>
  <conditionalFormatting sqref="O670 P667:P669 P674 P676:P677 P679 P681 P684:P685 P688 P690 P692 U692">
    <cfRule type="containsText" dxfId="2" priority="3561" operator="containsText" text="Yes">
      <formula>NOT(ISERROR(SEARCH(("Yes"),(O670))))</formula>
    </cfRule>
  </conditionalFormatting>
  <conditionalFormatting sqref="O670 P667:P669 P674 P676:P677 P679 P681 P684:P685 P688 P690 P692 U692">
    <cfRule type="containsText" dxfId="9" priority="3562" operator="containsText" text="No">
      <formula>NOT(ISERROR(SEARCH(("No"),(O670))))</formula>
    </cfRule>
  </conditionalFormatting>
  <conditionalFormatting sqref="O670 P667:P669 P674 P676:P677 P679 P681 P684:P685 P688 P690 P692 U692">
    <cfRule type="containsText" dxfId="2" priority="3563" operator="containsText" text="Yes">
      <formula>NOT(ISERROR(SEARCH(("Yes"),(O670))))</formula>
    </cfRule>
  </conditionalFormatting>
  <conditionalFormatting sqref="O670 P667:P669 P674 P676:P677 P679 P681 P684:P685 P688 P690 P692 U692">
    <cfRule type="containsText" dxfId="9" priority="3564" operator="containsText" text="No">
      <formula>NOT(ISERROR(SEARCH(("No"),(O670))))</formula>
    </cfRule>
  </conditionalFormatting>
  <conditionalFormatting sqref="O670 P667:P669 P674 P676:P677 P679 P681 P684:P685 P688 P690 P692 U692">
    <cfRule type="containsText" dxfId="2" priority="3565" operator="containsText" text="Yes">
      <formula>NOT(ISERROR(SEARCH(("Yes"),(O670))))</formula>
    </cfRule>
  </conditionalFormatting>
  <conditionalFormatting sqref="O670 P667:P669 P674 P676:P677 P679 P681 P684:P685 P688 P690 P692 U692">
    <cfRule type="containsText" dxfId="9" priority="3566" operator="containsText" text="No">
      <formula>NOT(ISERROR(SEARCH(("No"),(O670))))</formula>
    </cfRule>
  </conditionalFormatting>
  <conditionalFormatting sqref="O670 P667:P669 P674 P676:P677 P679 P681 P684:P685 P688 P690 P692 U692">
    <cfRule type="containsText" dxfId="2" priority="3567" operator="containsText" text="Yes">
      <formula>NOT(ISERROR(SEARCH(("Yes"),(O670))))</formula>
    </cfRule>
  </conditionalFormatting>
  <conditionalFormatting sqref="O670 P667:P669 P674 P676:P677 P679 P681 P684:P685 P688 P690 P692 U692">
    <cfRule type="containsText" dxfId="9" priority="3568" operator="containsText" text="No">
      <formula>NOT(ISERROR(SEARCH(("No"),(O670))))</formula>
    </cfRule>
  </conditionalFormatting>
  <conditionalFormatting sqref="O670 P667:P669 P674 P676:P677 P679 P681 P684:P685 P688 P690 P692 U692">
    <cfRule type="containsText" dxfId="2" priority="3569" operator="containsText" text="Yes">
      <formula>NOT(ISERROR(SEARCH(("Yes"),(O670))))</formula>
    </cfRule>
  </conditionalFormatting>
  <conditionalFormatting sqref="O670 P667:P669 P674 P676:P677 P679 P681 P684:P685 P688 P690 P692 U692">
    <cfRule type="containsText" dxfId="9" priority="3570" operator="containsText" text="No">
      <formula>NOT(ISERROR(SEARCH(("No"),(O670))))</formula>
    </cfRule>
  </conditionalFormatting>
  <conditionalFormatting sqref="O670 P667:P669 P674 P676:P677 P679 P681 P684:P685 P688 P690 P692 U692">
    <cfRule type="containsText" dxfId="2" priority="3571" operator="containsText" text="Yes">
      <formula>NOT(ISERROR(SEARCH(("Yes"),(O670))))</formula>
    </cfRule>
  </conditionalFormatting>
  <conditionalFormatting sqref="O670 P667:P669 P674 P676:P677 P679 P681 P684:P685 P688 P690 P692 U692">
    <cfRule type="containsText" dxfId="9" priority="3572" operator="containsText" text="No">
      <formula>NOT(ISERROR(SEARCH(("No"),(O670))))</formula>
    </cfRule>
  </conditionalFormatting>
  <conditionalFormatting sqref="O670 P667:P669 P674 P676:P677 P679 P681 P684:P685 P688 P690 P692 U692">
    <cfRule type="containsText" dxfId="2" priority="3573" operator="containsText" text="Yes">
      <formula>NOT(ISERROR(SEARCH(("Yes"),(O670))))</formula>
    </cfRule>
  </conditionalFormatting>
  <conditionalFormatting sqref="O670 P667:P669 P674 P676:P677 P679 P681 P684:P685 P688 P690 P692 U692">
    <cfRule type="containsText" dxfId="9" priority="3574" operator="containsText" text="No">
      <formula>NOT(ISERROR(SEARCH(("No"),(O670))))</formula>
    </cfRule>
  </conditionalFormatting>
  <conditionalFormatting sqref="O670 P667:P669 P674 P676:P677 P679 P681 P684:P685 P688 P690 P692 U692">
    <cfRule type="containsText" dxfId="2" priority="3575" operator="containsText" text="Yes">
      <formula>NOT(ISERROR(SEARCH(("Yes"),(O670))))</formula>
    </cfRule>
  </conditionalFormatting>
  <conditionalFormatting sqref="O670 P667:P669 P674 P676:P677 P679 P681 P684:P685 P688 P690 P692 U692">
    <cfRule type="containsText" dxfId="9" priority="3576" operator="containsText" text="No">
      <formula>NOT(ISERROR(SEARCH(("No"),(O670))))</formula>
    </cfRule>
  </conditionalFormatting>
  <conditionalFormatting sqref="O670 P667:P669 P674 P676:P677 P679 P681 P684:P685 P688 P690 P692 U692">
    <cfRule type="containsText" dxfId="2" priority="3577" operator="containsText" text="Yes">
      <formula>NOT(ISERROR(SEARCH(("Yes"),(O670))))</formula>
    </cfRule>
  </conditionalFormatting>
  <conditionalFormatting sqref="O670 P667:P669 P674 P676:P677 P679 P681 P684:P685 P688 P690 P692 U692">
    <cfRule type="containsText" dxfId="9" priority="3578" operator="containsText" text="No">
      <formula>NOT(ISERROR(SEARCH(("No"),(O670))))</formula>
    </cfRule>
  </conditionalFormatting>
  <conditionalFormatting sqref="O670 P667:P669 P674 P676:P677 P679 P681 P684:P685 P688 P690 P692 U692">
    <cfRule type="containsText" dxfId="2" priority="3579" operator="containsText" text="Yes">
      <formula>NOT(ISERROR(SEARCH(("Yes"),(O670))))</formula>
    </cfRule>
  </conditionalFormatting>
  <conditionalFormatting sqref="O670 P667:P669 P674 P676:P677 P679 P681 P684:P685 P688 P690 P692 U692">
    <cfRule type="containsText" dxfId="9" priority="3580" operator="containsText" text="No">
      <formula>NOT(ISERROR(SEARCH(("No"),(O670))))</formula>
    </cfRule>
  </conditionalFormatting>
  <conditionalFormatting sqref="O670 P667:P669 P674 P676:P677 P679 P681 P684:P685 P688 P690 P692 U692">
    <cfRule type="containsText" dxfId="2" priority="3581" operator="containsText" text="Yes">
      <formula>NOT(ISERROR(SEARCH(("Yes"),(O670))))</formula>
    </cfRule>
  </conditionalFormatting>
  <conditionalFormatting sqref="O670 P667:P669 P674 P676:P677 P679 P681 P684:P685 P688 P690 P692 U692">
    <cfRule type="containsText" dxfId="9" priority="3582" operator="containsText" text="No">
      <formula>NOT(ISERROR(SEARCH(("No"),(O670))))</formula>
    </cfRule>
  </conditionalFormatting>
  <conditionalFormatting sqref="O670 P667:P669 P674 P676:P677 P679 P681 P684:P685 P688 P690 P692 U692">
    <cfRule type="containsText" dxfId="2" priority="3583" operator="containsText" text="Yes">
      <formula>NOT(ISERROR(SEARCH(("Yes"),(O670))))</formula>
    </cfRule>
  </conditionalFormatting>
  <conditionalFormatting sqref="O670 P667:P669 P674 P676:P677 P679 P681 P684:P685 P688 P690 P692 U692">
    <cfRule type="containsText" dxfId="9" priority="3584" operator="containsText" text="No">
      <formula>NOT(ISERROR(SEARCH(("No"),(O670))))</formula>
    </cfRule>
  </conditionalFormatting>
  <conditionalFormatting sqref="O670 P667:P669 P674 P676:P677 P679 P681 P684:P685 P688 P690 P692 U692">
    <cfRule type="containsText" dxfId="2" priority="3585" operator="containsText" text="Yes">
      <formula>NOT(ISERROR(SEARCH(("Yes"),(O670))))</formula>
    </cfRule>
  </conditionalFormatting>
  <conditionalFormatting sqref="O670 P667:P669 P674 P676:P677 P679 P681 P684:P685 P688 P690 P692 U692">
    <cfRule type="containsText" dxfId="9" priority="3586" operator="containsText" text="No">
      <formula>NOT(ISERROR(SEARCH(("No"),(O670))))</formula>
    </cfRule>
  </conditionalFormatting>
  <conditionalFormatting sqref="O670 P667:P669 P674 P676:P677 P679 P681 P684:P685 P688 P690 P692 U692">
    <cfRule type="containsText" dxfId="2" priority="3587" operator="containsText" text="Yes">
      <formula>NOT(ISERROR(SEARCH(("Yes"),(O670))))</formula>
    </cfRule>
  </conditionalFormatting>
  <conditionalFormatting sqref="O670 P667:P669 P674 P676:P677 P679 P681 P684:P685 P688 P690 P692 U692">
    <cfRule type="containsText" dxfId="9" priority="3588" operator="containsText" text="No">
      <formula>NOT(ISERROR(SEARCH(("No"),(O670))))</formula>
    </cfRule>
  </conditionalFormatting>
  <conditionalFormatting sqref="O670 P667:P669 P674 P676:P677 P679 P681 P684:P685 P688 P690 P692 U692">
    <cfRule type="containsText" dxfId="2" priority="3589" operator="containsText" text="Yes">
      <formula>NOT(ISERROR(SEARCH(("Yes"),(O670))))</formula>
    </cfRule>
  </conditionalFormatting>
  <conditionalFormatting sqref="O670 P667:P669 P674 P676:P677 P679 P681 P684:P685 P688 P690 P692 U692">
    <cfRule type="containsText" dxfId="9" priority="3590" operator="containsText" text="No">
      <formula>NOT(ISERROR(SEARCH(("No"),(O670))))</formula>
    </cfRule>
  </conditionalFormatting>
  <conditionalFormatting sqref="O670 P667:P669 P674 P676:P677 P679 P681 P684:P685 P688 P690 P692 U692">
    <cfRule type="containsText" dxfId="2" priority="3591" operator="containsText" text="Yes">
      <formula>NOT(ISERROR(SEARCH(("Yes"),(O670))))</formula>
    </cfRule>
  </conditionalFormatting>
  <conditionalFormatting sqref="O670 P667:P669 P674 P676:P677 P679 P681 P684:P685 P688 P690 P692 U692">
    <cfRule type="containsText" dxfId="9" priority="3592" operator="containsText" text="No">
      <formula>NOT(ISERROR(SEARCH(("No"),(O670))))</formula>
    </cfRule>
  </conditionalFormatting>
  <conditionalFormatting sqref="O670 P667:P669 P674 P676:P677 P679 P681 P684:P685 P688 P690 P692 U692">
    <cfRule type="containsText" dxfId="2" priority="3593" operator="containsText" text="Yes">
      <formula>NOT(ISERROR(SEARCH(("Yes"),(O670))))</formula>
    </cfRule>
  </conditionalFormatting>
  <conditionalFormatting sqref="O670 P667:P669 P674 P676:P677 P679 P681 P684:P685 P688 P690 P692 U692">
    <cfRule type="containsText" dxfId="9" priority="3594" operator="containsText" text="No">
      <formula>NOT(ISERROR(SEARCH(("No"),(O670))))</formula>
    </cfRule>
  </conditionalFormatting>
  <conditionalFormatting sqref="O670 P667:P669 P674 P676:P677 P679 P681 P684:P685 P688 P690 P692 U692">
    <cfRule type="containsText" dxfId="2" priority="3595" operator="containsText" text="Yes">
      <formula>NOT(ISERROR(SEARCH(("Yes"),(O670))))</formula>
    </cfRule>
  </conditionalFormatting>
  <conditionalFormatting sqref="O670 P667:P669 P674 P676:P677 P679 P681 P684:P685 P688 P690 P692 U692">
    <cfRule type="containsText" dxfId="9" priority="3596" operator="containsText" text="No">
      <formula>NOT(ISERROR(SEARCH(("No"),(O670))))</formula>
    </cfRule>
  </conditionalFormatting>
  <conditionalFormatting sqref="O670 P667:P669 P674 P676:P677 P679 P681 P684:P685 P688 P690 P692 U692">
    <cfRule type="containsText" dxfId="2" priority="3597" operator="containsText" text="Yes">
      <formula>NOT(ISERROR(SEARCH(("Yes"),(O670))))</formula>
    </cfRule>
  </conditionalFormatting>
  <conditionalFormatting sqref="O670 P667:P669 P674 P676:P677 P679 P681 P684:P685 P688 P690 P692 U692">
    <cfRule type="containsText" dxfId="9" priority="3598" operator="containsText" text="No">
      <formula>NOT(ISERROR(SEARCH(("No"),(O670))))</formula>
    </cfRule>
  </conditionalFormatting>
  <conditionalFormatting sqref="O670 P667:P669 P674 P676:P677 P679 P681 P684:P685 P688 P690 P692 U692">
    <cfRule type="containsText" dxfId="2" priority="3599" operator="containsText" text="Yes">
      <formula>NOT(ISERROR(SEARCH(("Yes"),(O670))))</formula>
    </cfRule>
  </conditionalFormatting>
  <conditionalFormatting sqref="O670 P667:P669 P674 P676:P677 P679 P681 P684:P685 P688 P690 P692 U692">
    <cfRule type="containsText" dxfId="9" priority="3600" operator="containsText" text="No">
      <formula>NOT(ISERROR(SEARCH(("No"),(O670))))</formula>
    </cfRule>
  </conditionalFormatting>
  <conditionalFormatting sqref="O670 P667:P669 P674 P676:P677 P679 P681 P684:P685 P688 P690 P692 U692">
    <cfRule type="containsText" dxfId="2" priority="3601" operator="containsText" text="Yes">
      <formula>NOT(ISERROR(SEARCH(("Yes"),(O670))))</formula>
    </cfRule>
  </conditionalFormatting>
  <conditionalFormatting sqref="O670 P667:P669 P674 P676:P677 P679 P681 P684:P685 P688 P690 P692 U692">
    <cfRule type="containsText" dxfId="9" priority="3602" operator="containsText" text="No">
      <formula>NOT(ISERROR(SEARCH(("No"),(O670))))</formula>
    </cfRule>
  </conditionalFormatting>
  <conditionalFormatting sqref="O670 P667:P669 P674 P676:P677 P679 P681 P684:P685 P688 P690 P692 U692">
    <cfRule type="containsText" dxfId="2" priority="3603" operator="containsText" text="Yes">
      <formula>NOT(ISERROR(SEARCH(("Yes"),(O670))))</formula>
    </cfRule>
  </conditionalFormatting>
  <conditionalFormatting sqref="O670 P667:P669 P674 P676:P677 P679 P681 P684:P685 P688 P690 P692 U692">
    <cfRule type="containsText" dxfId="9" priority="3604" operator="containsText" text="No">
      <formula>NOT(ISERROR(SEARCH(("No"),(O670))))</formula>
    </cfRule>
  </conditionalFormatting>
  <conditionalFormatting sqref="O670 P667:P669 P674 P676:P677 P679 P681 P684:P685 P688 P690 P692 U692">
    <cfRule type="containsText" dxfId="2" priority="3605" operator="containsText" text="Yes">
      <formula>NOT(ISERROR(SEARCH(("Yes"),(O670))))</formula>
    </cfRule>
  </conditionalFormatting>
  <conditionalFormatting sqref="O670 P667:P669 P674 P676:P677 P679 P681 P684:P685 P688 P690 P692 U692">
    <cfRule type="containsText" dxfId="9" priority="3606" operator="containsText" text="No">
      <formula>NOT(ISERROR(SEARCH(("No"),(O670))))</formula>
    </cfRule>
  </conditionalFormatting>
  <conditionalFormatting sqref="O670 P667:P669 P674 P676:P677 P679 P681 P684:P685 P688 P690 P692 U692">
    <cfRule type="containsText" dxfId="2" priority="3607" operator="containsText" text="Yes">
      <formula>NOT(ISERROR(SEARCH(("Yes"),(O670))))</formula>
    </cfRule>
  </conditionalFormatting>
  <conditionalFormatting sqref="O670 P667:P669 P674 P676:P677 P679 P681 P684:P685 P688 P690 P692 U692">
    <cfRule type="containsText" dxfId="9" priority="3608" operator="containsText" text="No">
      <formula>NOT(ISERROR(SEARCH(("No"),(O670))))</formula>
    </cfRule>
  </conditionalFormatting>
  <conditionalFormatting sqref="O670 P667:P669 P674 P676:P677 P679 P681 P684:P685 P688 P690 P692 U692">
    <cfRule type="containsText" dxfId="2" priority="3609" operator="containsText" text="Yes">
      <formula>NOT(ISERROR(SEARCH(("Yes"),(O670))))</formula>
    </cfRule>
  </conditionalFormatting>
  <conditionalFormatting sqref="O670 P667:P669 P674 P676:P677 P679 P681 P684:P685 P688 P690 P692 U692">
    <cfRule type="containsText" dxfId="9" priority="3610" operator="containsText" text="No">
      <formula>NOT(ISERROR(SEARCH(("No"),(O670))))</formula>
    </cfRule>
  </conditionalFormatting>
  <conditionalFormatting sqref="O670 P667:P669 P674 P676:P677 P679 P681 P684:P685 P688 P690 P692 U692">
    <cfRule type="containsText" dxfId="2" priority="3611" operator="containsText" text="Yes">
      <formula>NOT(ISERROR(SEARCH(("Yes"),(O670))))</formula>
    </cfRule>
  </conditionalFormatting>
  <conditionalFormatting sqref="O670 P667:P669 P674 P676:P677 P679 P681 P684:P685 P688 P690 P692 U692">
    <cfRule type="containsText" dxfId="9" priority="3612" operator="containsText" text="No">
      <formula>NOT(ISERROR(SEARCH(("No"),(O670))))</formula>
    </cfRule>
  </conditionalFormatting>
  <conditionalFormatting sqref="O670 P667:P669 P674 P676:P677 P679 P681 P684:P685 P688 P690 P692 U692">
    <cfRule type="containsText" dxfId="2" priority="3613" operator="containsText" text="Yes">
      <formula>NOT(ISERROR(SEARCH(("Yes"),(O670))))</formula>
    </cfRule>
  </conditionalFormatting>
  <conditionalFormatting sqref="O670 P667:P669 P674 P676:P677 P679 P681 P684:P685 P688 P690 P692 U692">
    <cfRule type="containsText" dxfId="9" priority="3614" operator="containsText" text="No">
      <formula>NOT(ISERROR(SEARCH(("No"),(O670))))</formula>
    </cfRule>
  </conditionalFormatting>
  <conditionalFormatting sqref="O670 P667:P669 P674 P676:P677 P679 P681 P684:P685 P688 P690 P692 U692">
    <cfRule type="containsText" dxfId="2" priority="3615" operator="containsText" text="Yes">
      <formula>NOT(ISERROR(SEARCH(("Yes"),(O670))))</formula>
    </cfRule>
  </conditionalFormatting>
  <conditionalFormatting sqref="O670 P667:P669 P674 P676:P677 P679 P681 P684:P685 P688 P690 P692 U692">
    <cfRule type="containsText" dxfId="9" priority="3616" operator="containsText" text="No">
      <formula>NOT(ISERROR(SEARCH(("No"),(O670))))</formula>
    </cfRule>
  </conditionalFormatting>
  <conditionalFormatting sqref="O670 P667:P669 P674 P676:P677 P679 P681 P684:P685 P688 P690 P692 U692">
    <cfRule type="containsText" dxfId="2" priority="3617" operator="containsText" text="Yes">
      <formula>NOT(ISERROR(SEARCH(("Yes"),(O670))))</formula>
    </cfRule>
  </conditionalFormatting>
  <conditionalFormatting sqref="O670 P667:P669 P674 P676:P677 P679 P681 P684:P685 P688 P690 P692 U692">
    <cfRule type="containsText" dxfId="9" priority="3618" operator="containsText" text="No">
      <formula>NOT(ISERROR(SEARCH(("No"),(O670))))</formula>
    </cfRule>
  </conditionalFormatting>
  <conditionalFormatting sqref="O670 P667:P669 P674 P676:P677 P679 P681 P684:P685 P688 P690 P692 U692">
    <cfRule type="containsText" dxfId="2" priority="3619" operator="containsText" text="Yes">
      <formula>NOT(ISERROR(SEARCH(("Yes"),(O670))))</formula>
    </cfRule>
  </conditionalFormatting>
  <conditionalFormatting sqref="O670 P667:P669 P674 P676:P677 P679 P681 P684:P685 P688 P690 P692 U692">
    <cfRule type="containsText" dxfId="9" priority="3620" operator="containsText" text="No">
      <formula>NOT(ISERROR(SEARCH(("No"),(O670))))</formula>
    </cfRule>
  </conditionalFormatting>
  <conditionalFormatting sqref="O670 P667:P669 P674 P676:P677 P679 P681 P684:P685 P688 P690 P692 U692">
    <cfRule type="containsText" dxfId="2" priority="3621" operator="containsText" text="Yes">
      <formula>NOT(ISERROR(SEARCH(("Yes"),(O670))))</formula>
    </cfRule>
  </conditionalFormatting>
  <conditionalFormatting sqref="O670 P667:P669 P674 P676:P677 P679 P681 P684:P685 P688 P690 P692 U692">
    <cfRule type="containsText" dxfId="9" priority="3622" operator="containsText" text="No">
      <formula>NOT(ISERROR(SEARCH(("No"),(O670))))</formula>
    </cfRule>
  </conditionalFormatting>
  <conditionalFormatting sqref="O670 P667:P669 P674 P676:P677 P679 P681 P684:P685 P688 P690 P692 U692">
    <cfRule type="containsText" dxfId="2" priority="3623" operator="containsText" text="Yes">
      <formula>NOT(ISERROR(SEARCH(("Yes"),(O670))))</formula>
    </cfRule>
  </conditionalFormatting>
  <conditionalFormatting sqref="O670 P667:P669 P674 P676:P677 P679 P681 P684:P685 P688 P690 P692 U692">
    <cfRule type="containsText" dxfId="9" priority="3624" operator="containsText" text="No">
      <formula>NOT(ISERROR(SEARCH(("No"),(O670))))</formula>
    </cfRule>
  </conditionalFormatting>
  <conditionalFormatting sqref="O670 P667:P669 P674 P676:P677 P679 P681 P684:P685 P688 P690 P692 U692">
    <cfRule type="containsText" dxfId="2" priority="3625" operator="containsText" text="Yes">
      <formula>NOT(ISERROR(SEARCH(("Yes"),(O670))))</formula>
    </cfRule>
  </conditionalFormatting>
  <conditionalFormatting sqref="O670 P667:P669 P674 P676:P677 P679 P681 P684:P685 P688 P690 P692 U692">
    <cfRule type="containsText" dxfId="9" priority="3626" operator="containsText" text="No">
      <formula>NOT(ISERROR(SEARCH(("No"),(O670))))</formula>
    </cfRule>
  </conditionalFormatting>
  <conditionalFormatting sqref="O670 P667:P669 P674 P676:P677 P679 P681 P684:P685 P688 P690 P692 U692">
    <cfRule type="containsText" dxfId="2" priority="3627" operator="containsText" text="Yes">
      <formula>NOT(ISERROR(SEARCH(("Yes"),(O670))))</formula>
    </cfRule>
  </conditionalFormatting>
  <conditionalFormatting sqref="O670 P667:P669 P674 P676:P677 P679 P681 P684:P685 P688 P690 P692 U692">
    <cfRule type="containsText" dxfId="9" priority="3628" operator="containsText" text="No">
      <formula>NOT(ISERROR(SEARCH(("No"),(O670))))</formula>
    </cfRule>
  </conditionalFormatting>
  <conditionalFormatting sqref="O670 P667:P669 P674 P676:P677 P679 P681 P684:P685 P688 P690 P692 U692">
    <cfRule type="containsText" dxfId="2" priority="3629" operator="containsText" text="Yes">
      <formula>NOT(ISERROR(SEARCH(("Yes"),(O670))))</formula>
    </cfRule>
  </conditionalFormatting>
  <conditionalFormatting sqref="O670 P667:P669 P674 P676:P677 P679 P681 P684:P685 P688 P690 P692 U692">
    <cfRule type="containsText" dxfId="9" priority="3630" operator="containsText" text="No">
      <formula>NOT(ISERROR(SEARCH(("No"),(O670))))</formula>
    </cfRule>
  </conditionalFormatting>
  <conditionalFormatting sqref="O670 P667:P669 P674 P676:P677 P679 P681 P684:P685 P688 P690 P692 U692">
    <cfRule type="containsText" dxfId="2" priority="3631" operator="containsText" text="Yes">
      <formula>NOT(ISERROR(SEARCH(("Yes"),(O670))))</formula>
    </cfRule>
  </conditionalFormatting>
  <conditionalFormatting sqref="O670 P667:P669 P674 P676:P677 P679 P681 P684:P685 P688 P690 P692 U692">
    <cfRule type="containsText" dxfId="9" priority="3632" operator="containsText" text="No">
      <formula>NOT(ISERROR(SEARCH(("No"),(O670))))</formula>
    </cfRule>
  </conditionalFormatting>
  <conditionalFormatting sqref="O670 P667:P669 P674 P676:P677 P679 P681 P684:P685 P688 P690 P692 U692">
    <cfRule type="containsText" dxfId="2" priority="3633" operator="containsText" text="Yes">
      <formula>NOT(ISERROR(SEARCH(("Yes"),(O670))))</formula>
    </cfRule>
  </conditionalFormatting>
  <conditionalFormatting sqref="O670 P667:P669 P674 P676:P677 P679 P681 P684:P685 P688 P690 P692 U692">
    <cfRule type="containsText" dxfId="9" priority="3634" operator="containsText" text="No">
      <formula>NOT(ISERROR(SEARCH(("No"),(O670))))</formula>
    </cfRule>
  </conditionalFormatting>
  <conditionalFormatting sqref="O670 P667:P669 P674 P676:P677 P679 P681 P684:P685 P688 P690 P692 U692">
    <cfRule type="containsText" dxfId="2" priority="3635" operator="containsText" text="Yes">
      <formula>NOT(ISERROR(SEARCH(("Yes"),(O670))))</formula>
    </cfRule>
  </conditionalFormatting>
  <conditionalFormatting sqref="O670 P667:P669 P674 P676:P677 P679 P681 P684:P685 P688 P690 P692 U692">
    <cfRule type="containsText" dxfId="9" priority="3636" operator="containsText" text="No">
      <formula>NOT(ISERROR(SEARCH(("No"),(O670))))</formula>
    </cfRule>
  </conditionalFormatting>
  <conditionalFormatting sqref="O670 P667:P669 P674 P676:P677 P679 P681 P684:P685 P688 P690 P692 U692">
    <cfRule type="containsText" dxfId="2" priority="3637" operator="containsText" text="Yes">
      <formula>NOT(ISERROR(SEARCH(("Yes"),(O670))))</formula>
    </cfRule>
  </conditionalFormatting>
  <conditionalFormatting sqref="O670 P667:P669 P674 P676:P677 P679 P681 P684:P685 P688 P690 P692 U692">
    <cfRule type="containsText" dxfId="9" priority="3638" operator="containsText" text="No">
      <formula>NOT(ISERROR(SEARCH(("No"),(O670))))</formula>
    </cfRule>
  </conditionalFormatting>
  <conditionalFormatting sqref="O670 P667:P669 P674 P676:P677 P679 P681 P684:P685 P688 P690 P692 U692">
    <cfRule type="containsText" dxfId="2" priority="3639" operator="containsText" text="Yes">
      <formula>NOT(ISERROR(SEARCH(("Yes"),(O670))))</formula>
    </cfRule>
  </conditionalFormatting>
  <conditionalFormatting sqref="O670 P667:P669 P674 P676:P677 P679 P681 P684:P685 P688 P690 P692 U692">
    <cfRule type="containsText" dxfId="9" priority="3640" operator="containsText" text="No">
      <formula>NOT(ISERROR(SEARCH(("No"),(O670))))</formula>
    </cfRule>
  </conditionalFormatting>
  <conditionalFormatting sqref="O670 P667:P669 P674 P676:P677 P679 P681 P684:P685 P688 P690 P692 U692">
    <cfRule type="containsText" dxfId="2" priority="3641" operator="containsText" text="Yes">
      <formula>NOT(ISERROR(SEARCH(("Yes"),(O670))))</formula>
    </cfRule>
  </conditionalFormatting>
  <conditionalFormatting sqref="O670 P667:P669 P674 P676:P677 P679 P681 P684:P685 P688 P690 P692 U692">
    <cfRule type="containsText" dxfId="9" priority="3642" operator="containsText" text="No">
      <formula>NOT(ISERROR(SEARCH(("No"),(O670))))</formula>
    </cfRule>
  </conditionalFormatting>
  <conditionalFormatting sqref="O670 P667:P669 P674 P676:P677 P679 P681 P684:P685 P688 P690 P692 U692">
    <cfRule type="containsText" dxfId="2" priority="3643" operator="containsText" text="Yes">
      <formula>NOT(ISERROR(SEARCH(("Yes"),(O670))))</formula>
    </cfRule>
  </conditionalFormatting>
  <conditionalFormatting sqref="O670 P667:P669 P674 P676:P677 P679 P681 P684:P685 P688 P690 P692 U692">
    <cfRule type="containsText" dxfId="9" priority="3644" operator="containsText" text="No">
      <formula>NOT(ISERROR(SEARCH(("No"),(O670))))</formula>
    </cfRule>
  </conditionalFormatting>
  <conditionalFormatting sqref="O670 P667:P669 P674 P676:P677 P679 P681 P684:P685 P688 P690 P692 U692">
    <cfRule type="containsText" dxfId="2" priority="3645" operator="containsText" text="Yes">
      <formula>NOT(ISERROR(SEARCH(("Yes"),(O670))))</formula>
    </cfRule>
  </conditionalFormatting>
  <conditionalFormatting sqref="O670 P667:P669 P674 P676:P677 P679 P681 P684:P685 P688 P690 P692 U692">
    <cfRule type="containsText" dxfId="9" priority="3646" operator="containsText" text="No">
      <formula>NOT(ISERROR(SEARCH(("No"),(O670))))</formula>
    </cfRule>
  </conditionalFormatting>
  <conditionalFormatting sqref="O670 P667:P669 P674 P676:P677 P679 P681 P684:P685 P688 P690 P692 U692">
    <cfRule type="containsText" dxfId="2" priority="3647" operator="containsText" text="Yes">
      <formula>NOT(ISERROR(SEARCH(("Yes"),(O670))))</formula>
    </cfRule>
  </conditionalFormatting>
  <conditionalFormatting sqref="O670 P667:P669 P674 P676:P677 P679 P681 P684:P685 P688 P690 P692 U692">
    <cfRule type="containsText" dxfId="9" priority="3648" operator="containsText" text="No">
      <formula>NOT(ISERROR(SEARCH(("No"),(O670))))</formula>
    </cfRule>
  </conditionalFormatting>
  <conditionalFormatting sqref="O670 P667:P669 P674 P676:P677 P679 P681 P684:P685 P688 P690 P692 U692">
    <cfRule type="containsText" dxfId="2" priority="3649" operator="containsText" text="Yes">
      <formula>NOT(ISERROR(SEARCH(("Yes"),(O670))))</formula>
    </cfRule>
  </conditionalFormatting>
  <conditionalFormatting sqref="O670 P667:P669 P674 P676:P677 P679 P681 P684:P685 P688 P690 P692 U692">
    <cfRule type="containsText" dxfId="9" priority="3650" operator="containsText" text="No">
      <formula>NOT(ISERROR(SEARCH(("No"),(O670))))</formula>
    </cfRule>
  </conditionalFormatting>
  <conditionalFormatting sqref="O670 P667:P669 P674 P676:P677 P679 P681 P684:P685 P688 P690 P692 U692">
    <cfRule type="containsText" dxfId="2" priority="3651" operator="containsText" text="Yes">
      <formula>NOT(ISERROR(SEARCH(("Yes"),(O670))))</formula>
    </cfRule>
  </conditionalFormatting>
  <conditionalFormatting sqref="O670 P667:P669 P674 P676:P677 P679 P681 P684:P685 P688 P690 P692 U692">
    <cfRule type="containsText" dxfId="9" priority="3652" operator="containsText" text="No">
      <formula>NOT(ISERROR(SEARCH(("No"),(O670))))</formula>
    </cfRule>
  </conditionalFormatting>
  <conditionalFormatting sqref="O670 P667:P669 P674 P676:P677 P679 P681 P684:P685 P688 P690 P692 U692">
    <cfRule type="containsText" dxfId="2" priority="3653" operator="containsText" text="Yes">
      <formula>NOT(ISERROR(SEARCH(("Yes"),(O670))))</formula>
    </cfRule>
  </conditionalFormatting>
  <conditionalFormatting sqref="O670 P667:P669 P674 P676:P677 P679 P681 P684:P685 P688 P690 P692 U692">
    <cfRule type="containsText" dxfId="9" priority="3654" operator="containsText" text="No">
      <formula>NOT(ISERROR(SEARCH(("No"),(O670))))</formula>
    </cfRule>
  </conditionalFormatting>
  <conditionalFormatting sqref="O670 P667:P669 P674 P676:P677 P679 P681 P684:P685 P688 P690 P692 U692">
    <cfRule type="containsText" dxfId="2" priority="3655" operator="containsText" text="Yes">
      <formula>NOT(ISERROR(SEARCH(("Yes"),(O670))))</formula>
    </cfRule>
  </conditionalFormatting>
  <conditionalFormatting sqref="O670 P667:P669 P674 P676:P677 P679 P681 P684:P685 P688 P690 P692 U692">
    <cfRule type="containsText" dxfId="9" priority="3656" operator="containsText" text="No">
      <formula>NOT(ISERROR(SEARCH(("No"),(O670))))</formula>
    </cfRule>
  </conditionalFormatting>
  <conditionalFormatting sqref="O670 P667:P669 P674 P676:P677 P679 P681 P684:P685 P688 P690 P692 U692">
    <cfRule type="containsText" dxfId="2" priority="3657" operator="containsText" text="Yes">
      <formula>NOT(ISERROR(SEARCH(("Yes"),(O670))))</formula>
    </cfRule>
  </conditionalFormatting>
  <conditionalFormatting sqref="O670 P667:P669 P674 P676:P677 P679 P681 P684:P685 P688 P690 P692 U692">
    <cfRule type="containsText" dxfId="9" priority="3658" operator="containsText" text="No">
      <formula>NOT(ISERROR(SEARCH(("No"),(O670))))</formula>
    </cfRule>
  </conditionalFormatting>
  <conditionalFormatting sqref="O670 P667:P669 P674 P676:P677 P679 P681 P684:P685 P688 P690 P692 U692">
    <cfRule type="containsText" dxfId="2" priority="3659" operator="containsText" text="Yes">
      <formula>NOT(ISERROR(SEARCH(("Yes"),(O670))))</formula>
    </cfRule>
  </conditionalFormatting>
  <conditionalFormatting sqref="O670 P667:P669 P674 P676:P677 P679 P681 P684:P685 P688 P690 P692 U692">
    <cfRule type="containsText" dxfId="9" priority="3660" operator="containsText" text="No">
      <formula>NOT(ISERROR(SEARCH(("No"),(O670))))</formula>
    </cfRule>
  </conditionalFormatting>
  <conditionalFormatting sqref="O670 P667:P669 P674 P676:P677 P679 P681 P684:P685 P688 P690 P692 U692">
    <cfRule type="containsText" dxfId="2" priority="3661" operator="containsText" text="Yes">
      <formula>NOT(ISERROR(SEARCH(("Yes"),(O670))))</formula>
    </cfRule>
  </conditionalFormatting>
  <conditionalFormatting sqref="O670 P667:P669 P674 P676:P677 P679 P681 P684:P685 P688 P690 P692 U692">
    <cfRule type="containsText" dxfId="9" priority="3662" operator="containsText" text="No">
      <formula>NOT(ISERROR(SEARCH(("No"),(O670))))</formula>
    </cfRule>
  </conditionalFormatting>
  <conditionalFormatting sqref="O670 P667:P669 P674 P676:P677 P679 P681 P684:P685 P688 P690 P692 U692">
    <cfRule type="containsText" dxfId="2" priority="3663" operator="containsText" text="Yes">
      <formula>NOT(ISERROR(SEARCH(("Yes"),(O670))))</formula>
    </cfRule>
  </conditionalFormatting>
  <conditionalFormatting sqref="O670 P667:P669 P674 P676:P677 P679 P681 P684:P685 P688 P690 P692 U692">
    <cfRule type="containsText" dxfId="9" priority="3664" operator="containsText" text="No">
      <formula>NOT(ISERROR(SEARCH(("No"),(O670))))</formula>
    </cfRule>
  </conditionalFormatting>
  <conditionalFormatting sqref="O670 P667:P669 P674 P676:P677 P679 P681 P684:P685 P688 P690 P692 U692">
    <cfRule type="containsText" dxfId="2" priority="3665" operator="containsText" text="Yes">
      <formula>NOT(ISERROR(SEARCH(("Yes"),(O670))))</formula>
    </cfRule>
  </conditionalFormatting>
  <conditionalFormatting sqref="O670 P667:P669 P674 P676:P677 P679 P681 P684:P685 P688 P690 P692 U692">
    <cfRule type="containsText" dxfId="9" priority="3666" operator="containsText" text="No">
      <formula>NOT(ISERROR(SEARCH(("No"),(O670))))</formula>
    </cfRule>
  </conditionalFormatting>
  <conditionalFormatting sqref="O670 P667:P669 P674 P676:P677 P679 P681 P684:P685 P688 P690 P692 U692">
    <cfRule type="containsText" dxfId="2" priority="3667" operator="containsText" text="Yes">
      <formula>NOT(ISERROR(SEARCH(("Yes"),(O670))))</formula>
    </cfRule>
  </conditionalFormatting>
  <conditionalFormatting sqref="O670 P667:P669 P674 P676:P677 P679 P681 P684:P685 P688 P690 P692 U692">
    <cfRule type="containsText" dxfId="9" priority="3668" operator="containsText" text="No">
      <formula>NOT(ISERROR(SEARCH(("No"),(O670))))</formula>
    </cfRule>
  </conditionalFormatting>
  <conditionalFormatting sqref="O670 P667:P669 P674 P676:P677 P679 P681 P684:P685 P688 P690 P692 U692">
    <cfRule type="containsText" dxfId="2" priority="3669" operator="containsText" text="Yes">
      <formula>NOT(ISERROR(SEARCH(("Yes"),(O670))))</formula>
    </cfRule>
  </conditionalFormatting>
  <conditionalFormatting sqref="O670 P667:P669 P674 P676:P677 P679 P681 P684:P685 P688 P690 P692 U692">
    <cfRule type="containsText" dxfId="9" priority="3670" operator="containsText" text="No">
      <formula>NOT(ISERROR(SEARCH(("No"),(O670))))</formula>
    </cfRule>
  </conditionalFormatting>
  <conditionalFormatting sqref="O670 P667:P669 P674 P676:P677 P679 P681 P684:P685 P688 P690 P692 U692">
    <cfRule type="containsText" dxfId="2" priority="3671" operator="containsText" text="Yes">
      <formula>NOT(ISERROR(SEARCH(("Yes"),(O670))))</formula>
    </cfRule>
  </conditionalFormatting>
  <conditionalFormatting sqref="O670 P667:P669 P674 P676:P677 P679 P681 P684:P685 P688 P690 P692 U692">
    <cfRule type="containsText" dxfId="9" priority="3672" operator="containsText" text="No">
      <formula>NOT(ISERROR(SEARCH(("No"),(O670))))</formula>
    </cfRule>
  </conditionalFormatting>
  <conditionalFormatting sqref="O670 P667:P669 P674 P676:P677 P679 P681 P684:P685 P688 P690 P692 U692">
    <cfRule type="containsText" dxfId="2" priority="3673" operator="containsText" text="Yes">
      <formula>NOT(ISERROR(SEARCH(("Yes"),(O670))))</formula>
    </cfRule>
  </conditionalFormatting>
  <conditionalFormatting sqref="O670 P667:P669 P674 P676:P677 P679 P681 P684:P685 P688 P690 P692 U692">
    <cfRule type="containsText" dxfId="9" priority="3674" operator="containsText" text="No">
      <formula>NOT(ISERROR(SEARCH(("No"),(O670))))</formula>
    </cfRule>
  </conditionalFormatting>
  <conditionalFormatting sqref="O670 P667:P669 P674 P676:P677 P679 P681 P684:P685 P688 P690 P692 U692">
    <cfRule type="containsText" dxfId="2" priority="3675" operator="containsText" text="Yes">
      <formula>NOT(ISERROR(SEARCH(("Yes"),(O670))))</formula>
    </cfRule>
  </conditionalFormatting>
  <conditionalFormatting sqref="O670 P667:P669 P674 P676:P677 P679 P681 P684:P685 P688 P690 P692 U692">
    <cfRule type="containsText" dxfId="9" priority="3676" operator="containsText" text="No">
      <formula>NOT(ISERROR(SEARCH(("No"),(O670))))</formula>
    </cfRule>
  </conditionalFormatting>
  <conditionalFormatting sqref="O670 P667:P669 P674 P676:P677 P679 P681 P684:P685 P688 P690 P692 U692">
    <cfRule type="containsText" dxfId="2" priority="3677" operator="containsText" text="Yes">
      <formula>NOT(ISERROR(SEARCH(("Yes"),(O670))))</formula>
    </cfRule>
  </conditionalFormatting>
  <conditionalFormatting sqref="O670 P667:P669 P674 P676:P677 P679 P681 P684:P685 P688 P690 P692 U692">
    <cfRule type="containsText" dxfId="9" priority="3678" operator="containsText" text="No">
      <formula>NOT(ISERROR(SEARCH(("No"),(O670))))</formula>
    </cfRule>
  </conditionalFormatting>
  <conditionalFormatting sqref="O670 P667:P669 P674 P676:P677 P679 P681 P684:P685 P688 P690 P692 U692">
    <cfRule type="containsText" dxfId="2" priority="3679" operator="containsText" text="Yes">
      <formula>NOT(ISERROR(SEARCH(("Yes"),(O670))))</formula>
    </cfRule>
  </conditionalFormatting>
  <conditionalFormatting sqref="O670 P667:P669 P674 P676:P677 P679 P681 P684:P685 P688 P690 P692 U692">
    <cfRule type="containsText" dxfId="9" priority="3680" operator="containsText" text="No">
      <formula>NOT(ISERROR(SEARCH(("No"),(O670))))</formula>
    </cfRule>
  </conditionalFormatting>
  <conditionalFormatting sqref="O670 P667:P669 P674 P676:P677 P679 P681 P684:P685 P688 P690 P692 U692">
    <cfRule type="containsText" dxfId="2" priority="3681" operator="containsText" text="Yes">
      <formula>NOT(ISERROR(SEARCH(("Yes"),(O670))))</formula>
    </cfRule>
  </conditionalFormatting>
  <conditionalFormatting sqref="O670 P667:P669 P674 P676:P677 P679 P681 P684:P685 P688 P690 P692 U692">
    <cfRule type="containsText" dxfId="9" priority="3682" operator="containsText" text="No">
      <formula>NOT(ISERROR(SEARCH(("No"),(O670))))</formula>
    </cfRule>
  </conditionalFormatting>
  <conditionalFormatting sqref="O670 P667:P669 P674 P676:P677 P679 P681 P684:P685 P688 P690 P692 U692">
    <cfRule type="containsText" dxfId="2" priority="3683" operator="containsText" text="Yes">
      <formula>NOT(ISERROR(SEARCH(("Yes"),(O670))))</formula>
    </cfRule>
  </conditionalFormatting>
  <conditionalFormatting sqref="O670 P667:P669 P674 P676:P677 P679 P681 P684:P685 P688 P690 P692 U692">
    <cfRule type="containsText" dxfId="9" priority="3684" operator="containsText" text="No">
      <formula>NOT(ISERROR(SEARCH(("No"),(O670))))</formula>
    </cfRule>
  </conditionalFormatting>
  <conditionalFormatting sqref="O670 P667:P669 P674 P676:P677 P679 P681 P684:P685 P688 P690 P692 U692">
    <cfRule type="containsText" dxfId="2" priority="3685" operator="containsText" text="Yes">
      <formula>NOT(ISERROR(SEARCH(("Yes"),(O670))))</formula>
    </cfRule>
  </conditionalFormatting>
  <conditionalFormatting sqref="O670 P667:P669 P674 P676:P677 P679 P681 P684:P685 P688 P690 P692 U692">
    <cfRule type="containsText" dxfId="9" priority="3686" operator="containsText" text="No">
      <formula>NOT(ISERROR(SEARCH(("No"),(O670))))</formula>
    </cfRule>
  </conditionalFormatting>
  <conditionalFormatting sqref="O670 P667:P669 P674 P676:P677 P679 P681 P684:P685 P688 P690 P692 U692">
    <cfRule type="containsText" dxfId="2" priority="3687" operator="containsText" text="Yes">
      <formula>NOT(ISERROR(SEARCH(("Yes"),(O670))))</formula>
    </cfRule>
  </conditionalFormatting>
  <conditionalFormatting sqref="O670 P667:P669 P674 P676:P677 P679 P681 P684:P685 P688 P690 P692 U692">
    <cfRule type="containsText" dxfId="9" priority="3688" operator="containsText" text="No">
      <formula>NOT(ISERROR(SEARCH(("No"),(O670))))</formula>
    </cfRule>
  </conditionalFormatting>
  <conditionalFormatting sqref="O670 P667:P669 P674 P676:P677 P679 P681 P684:P685 P688 P690 P692 U692">
    <cfRule type="containsText" dxfId="2" priority="3689" operator="containsText" text="Yes">
      <formula>NOT(ISERROR(SEARCH(("Yes"),(O670))))</formula>
    </cfRule>
  </conditionalFormatting>
  <conditionalFormatting sqref="O670 P667:P669 P674 P676:P677 P679 P681 P684:P685 P688 P690 P692 U692">
    <cfRule type="containsText" dxfId="9" priority="3690" operator="containsText" text="No">
      <formula>NOT(ISERROR(SEARCH(("No"),(O670))))</formula>
    </cfRule>
  </conditionalFormatting>
  <conditionalFormatting sqref="O670 P667:P669 P674 P676:P677 P679 P681 P684:P685 P688 P690 P692 U692">
    <cfRule type="containsText" dxfId="2" priority="3691" operator="containsText" text="Yes">
      <formula>NOT(ISERROR(SEARCH(("Yes"),(O670))))</formula>
    </cfRule>
  </conditionalFormatting>
  <conditionalFormatting sqref="O670 P667:P669 P674 P676:P677 P679 P681 P684:P685 P688 P690 P692 U692">
    <cfRule type="containsText" dxfId="9" priority="3692" operator="containsText" text="No">
      <formula>NOT(ISERROR(SEARCH(("No"),(O670))))</formula>
    </cfRule>
  </conditionalFormatting>
  <conditionalFormatting sqref="O670 P667:P669 P674 P676:P677 P679 P681 P684:P685 P688 P690 P692 U692">
    <cfRule type="containsText" dxfId="2" priority="3693" operator="containsText" text="Yes">
      <formula>NOT(ISERROR(SEARCH(("Yes"),(O670))))</formula>
    </cfRule>
  </conditionalFormatting>
  <conditionalFormatting sqref="O670 P667:P669 P674 P676:P677 P679 P681 P684:P685 P688 P690 P692 U692">
    <cfRule type="containsText" dxfId="9" priority="3694" operator="containsText" text="No">
      <formula>NOT(ISERROR(SEARCH(("No"),(O670))))</formula>
    </cfRule>
  </conditionalFormatting>
  <conditionalFormatting sqref="O670 P667:P669 P674 P676:P677 P679 P681 P684:P685 P688 P690 P692 U692">
    <cfRule type="containsText" dxfId="2" priority="3695" operator="containsText" text="Yes">
      <formula>NOT(ISERROR(SEARCH(("Yes"),(O670))))</formula>
    </cfRule>
  </conditionalFormatting>
  <conditionalFormatting sqref="O670 P667:P669 P674 P676:P677 P679 P681 P684:P685 P688 P690 P692 U692">
    <cfRule type="containsText" dxfId="9" priority="3696" operator="containsText" text="No">
      <formula>NOT(ISERROR(SEARCH(("No"),(O670))))</formula>
    </cfRule>
  </conditionalFormatting>
  <conditionalFormatting sqref="O670 P667:P669 P674 P676:P677 P679 P681 P684:P685 P688 P690 P692 U692">
    <cfRule type="containsText" dxfId="2" priority="3697" operator="containsText" text="Yes">
      <formula>NOT(ISERROR(SEARCH(("Yes"),(O670))))</formula>
    </cfRule>
  </conditionalFormatting>
  <conditionalFormatting sqref="O670 P667:P669 P674 P676:P677 P679 P681 P684:P685 P688 P690 P692 U692">
    <cfRule type="containsText" dxfId="9" priority="3698" operator="containsText" text="No">
      <formula>NOT(ISERROR(SEARCH(("No"),(O670))))</formula>
    </cfRule>
  </conditionalFormatting>
  <conditionalFormatting sqref="O670 P667:P669 P674 P676:P677 P679 P681 P684:P685 P688 P690 P692 U692">
    <cfRule type="containsText" dxfId="9" priority="3699" operator="containsText" text="No">
      <formula>NOT(ISERROR(SEARCH(("No"),(O670))))</formula>
    </cfRule>
  </conditionalFormatting>
  <conditionalFormatting sqref="O670 P667:P669 P674 P676:P677 P679 P681 P684:P685 P688 P690 P692 U692">
    <cfRule type="containsText" dxfId="2" priority="3700" operator="containsText" text="Yes">
      <formula>NOT(ISERROR(SEARCH(("Yes"),(O670))))</formula>
    </cfRule>
  </conditionalFormatting>
  <conditionalFormatting sqref="O670 P667:P669 P674 P676:P677 P679 P681 P684:P685 P688 P690 P692 U692">
    <cfRule type="containsText" dxfId="2" priority="3701" operator="containsText" text="Yes">
      <formula>NOT(ISERROR(SEARCH(("Yes"),(O670))))</formula>
    </cfRule>
  </conditionalFormatting>
  <conditionalFormatting sqref="O670 P667:P669 P674 P676:P677 P679 P681 P684:P685 P688 P690 P692 U692">
    <cfRule type="containsText" dxfId="9" priority="3702" operator="containsText" text="No">
      <formula>NOT(ISERROR(SEARCH(("No"),(O670))))</formula>
    </cfRule>
  </conditionalFormatting>
  <conditionalFormatting sqref="O670 P667:P669 P674 P676:P677 P679 P681 P684:P685 P688 P690 P692 U692">
    <cfRule type="containsText" dxfId="2" priority="3703" operator="containsText" text="Yes">
      <formula>NOT(ISERROR(SEARCH(("Yes"),(O670))))</formula>
    </cfRule>
  </conditionalFormatting>
  <conditionalFormatting sqref="O670 P667:P669 P674 P676:P677 P679 P681 P684:P685 P688 P690 P692 U692">
    <cfRule type="containsText" dxfId="9" priority="3704" operator="containsText" text="No">
      <formula>NOT(ISERROR(SEARCH(("No"),(O670))))</formula>
    </cfRule>
  </conditionalFormatting>
  <conditionalFormatting sqref="O670 P667:P669 P674 P676:P677 P679 P681 P684:P685 P688 P690 P692 U692">
    <cfRule type="containsText" dxfId="2" priority="3705" operator="containsText" text="Yes">
      <formula>NOT(ISERROR(SEARCH(("Yes"),(O670))))</formula>
    </cfRule>
  </conditionalFormatting>
  <conditionalFormatting sqref="O670 P667:P669 P674 P676:P677 P679 P681 P684:P685 P688 P690 P692 U692">
    <cfRule type="containsText" dxfId="9" priority="3706" operator="containsText" text="No">
      <formula>NOT(ISERROR(SEARCH(("No"),(O670))))</formula>
    </cfRule>
  </conditionalFormatting>
  <conditionalFormatting sqref="O670 P667:P669 P674 P676:P677 P679 P681 P684:P685 P688 P690 P692 U692">
    <cfRule type="containsText" dxfId="2" priority="3707" operator="containsText" text="Yes">
      <formula>NOT(ISERROR(SEARCH(("Yes"),(O670))))</formula>
    </cfRule>
  </conditionalFormatting>
  <conditionalFormatting sqref="O670 P667:P669 P674 P676:P677 P679 P681 P684:P685 P688 P690 P692 U692">
    <cfRule type="containsText" dxfId="9" priority="3708" operator="containsText" text="No">
      <formula>NOT(ISERROR(SEARCH(("No"),(O670))))</formula>
    </cfRule>
  </conditionalFormatting>
  <conditionalFormatting sqref="O670 P667:P669 P674 P676:P677 P679 P681 P684:P685 P688 P690 P692 U692">
    <cfRule type="containsText" dxfId="2" priority="3709" operator="containsText" text="Yes">
      <formula>NOT(ISERROR(SEARCH(("Yes"),(O670))))</formula>
    </cfRule>
  </conditionalFormatting>
  <conditionalFormatting sqref="O670 P667:P669 P674 P676:P677 P679 P681 P684:P685 P688 P690 P692 U692">
    <cfRule type="containsText" dxfId="9" priority="3710" operator="containsText" text="No">
      <formula>NOT(ISERROR(SEARCH(("No"),(O670))))</formula>
    </cfRule>
  </conditionalFormatting>
  <conditionalFormatting sqref="O670 P667:P669 P674 P676:P677 P679 P681 P684:P685 P688 P690 P692 U692">
    <cfRule type="containsText" dxfId="2" priority="3711" operator="containsText" text="Yes">
      <formula>NOT(ISERROR(SEARCH(("Yes"),(O670))))</formula>
    </cfRule>
  </conditionalFormatting>
  <conditionalFormatting sqref="O670 P667:P669 P674 P676:P677 P679 P681 P684:P685 P688 P690 P692 U692">
    <cfRule type="containsText" dxfId="9" priority="3712" operator="containsText" text="No">
      <formula>NOT(ISERROR(SEARCH(("No"),(O670))))</formula>
    </cfRule>
  </conditionalFormatting>
  <conditionalFormatting sqref="O670 P667:P669 P674 P676:P677 P679 P681 P684:P685 P688 P690 P692 U692">
    <cfRule type="containsText" dxfId="2" priority="3713" operator="containsText" text="Yes">
      <formula>NOT(ISERROR(SEARCH(("Yes"),(O670))))</formula>
    </cfRule>
  </conditionalFormatting>
  <conditionalFormatting sqref="O670 P667:P669 P674 P676:P677 P679 P681 P684:P685 P688 P690 P692 U692">
    <cfRule type="containsText" dxfId="9" priority="3714" operator="containsText" text="No">
      <formula>NOT(ISERROR(SEARCH(("No"),(O670))))</formula>
    </cfRule>
  </conditionalFormatting>
  <conditionalFormatting sqref="O670 P667:P669 P674 P676:P677 P679 P681 P684:P685 P688 P690 P692 U692">
    <cfRule type="containsText" dxfId="2" priority="3715" operator="containsText" text="Yes">
      <formula>NOT(ISERROR(SEARCH(("Yes"),(O670))))</formula>
    </cfRule>
  </conditionalFormatting>
  <conditionalFormatting sqref="O670 P667:P669 P674 P676:P677 P679 P681 P684:P685 P688 P690 P692 U692">
    <cfRule type="containsText" dxfId="9" priority="3716" operator="containsText" text="No">
      <formula>NOT(ISERROR(SEARCH(("No"),(O670))))</formula>
    </cfRule>
  </conditionalFormatting>
  <conditionalFormatting sqref="O670 P667:P669 P674 P676:P677 P679 P681 P684:P685 P688 P690 P692 U692">
    <cfRule type="containsText" dxfId="2" priority="3717" operator="containsText" text="Yes">
      <formula>NOT(ISERROR(SEARCH(("Yes"),(O670))))</formula>
    </cfRule>
  </conditionalFormatting>
  <conditionalFormatting sqref="O670 P667:P669 P674 P676:P677 P679 P681 P684:P685 P688 P690 P692 U692">
    <cfRule type="containsText" dxfId="9" priority="3718" operator="containsText" text="No">
      <formula>NOT(ISERROR(SEARCH(("No"),(O670))))</formula>
    </cfRule>
  </conditionalFormatting>
  <conditionalFormatting sqref="O670 P667:P669 P674 P676:P677 P679 P681 P684:P685 P688 P690 P692 U692">
    <cfRule type="containsText" dxfId="2" priority="3719" operator="containsText" text="Yes">
      <formula>NOT(ISERROR(SEARCH(("Yes"),(O670))))</formula>
    </cfRule>
  </conditionalFormatting>
  <conditionalFormatting sqref="O670 P667:P669 P674 P676:P677 P679 P681 P684:P685 P688 P690 P692 U692">
    <cfRule type="containsText" dxfId="9" priority="3720" operator="containsText" text="No">
      <formula>NOT(ISERROR(SEARCH(("No"),(O670))))</formula>
    </cfRule>
  </conditionalFormatting>
  <conditionalFormatting sqref="O670 P667:P669 P674 P676:P677 P679 P681 P684:P685 P688 P690 P692 U692">
    <cfRule type="containsText" dxfId="2" priority="3721" operator="containsText" text="Yes">
      <formula>NOT(ISERROR(SEARCH(("Yes"),(O670))))</formula>
    </cfRule>
  </conditionalFormatting>
  <conditionalFormatting sqref="O670 P667:P669 P674 P676:P677 P679 P681 P684:P685 P688 P690 P692 U692">
    <cfRule type="containsText" dxfId="9" priority="3722" operator="containsText" text="No">
      <formula>NOT(ISERROR(SEARCH(("No"),(O670))))</formula>
    </cfRule>
  </conditionalFormatting>
  <conditionalFormatting sqref="O670 P667:P669 P674 P676:P677 P679 P681 P684:P685 P688 P690 P692 U692">
    <cfRule type="containsText" dxfId="2" priority="3723" operator="containsText" text="Yes">
      <formula>NOT(ISERROR(SEARCH(("Yes"),(O670))))</formula>
    </cfRule>
  </conditionalFormatting>
  <conditionalFormatting sqref="O670 P667:P669 P674 P676:P677 P679 P681 P684:P685 P688 P690 P692 U692">
    <cfRule type="containsText" dxfId="9" priority="3724" operator="containsText" text="No">
      <formula>NOT(ISERROR(SEARCH(("No"),(O670))))</formula>
    </cfRule>
  </conditionalFormatting>
  <conditionalFormatting sqref="O670 P667:P669 P674 P676:P677 P679 P681 P684:P685 P688 P690 P692 U692">
    <cfRule type="containsText" dxfId="2" priority="3725" operator="containsText" text="Yes">
      <formula>NOT(ISERROR(SEARCH(("Yes"),(O670))))</formula>
    </cfRule>
  </conditionalFormatting>
  <conditionalFormatting sqref="O670 P667:P669 P674 P676:P677 P679 P681 P684:P685 P688 P690 P692 U692">
    <cfRule type="containsText" dxfId="9" priority="3726" operator="containsText" text="No">
      <formula>NOT(ISERROR(SEARCH(("No"),(O670))))</formula>
    </cfRule>
  </conditionalFormatting>
  <conditionalFormatting sqref="O670 P667:P669 P674 P676:P677 P679 P681 P684:P685 P688 P690 P692 U692">
    <cfRule type="containsText" dxfId="2" priority="3727" operator="containsText" text="Yes">
      <formula>NOT(ISERROR(SEARCH(("Yes"),(O670))))</formula>
    </cfRule>
  </conditionalFormatting>
  <conditionalFormatting sqref="O670 P667:P669 P674 P676:P677 P679 P681 P684:P685 P688 P690 P692 U692">
    <cfRule type="containsText" dxfId="9" priority="3728" operator="containsText" text="No">
      <formula>NOT(ISERROR(SEARCH(("No"),(O670))))</formula>
    </cfRule>
  </conditionalFormatting>
  <conditionalFormatting sqref="O670 P667:P669 P674 P676:P677 P679 P681 P684:P685 P688 P690 P692 U692">
    <cfRule type="containsText" dxfId="2" priority="3729" operator="containsText" text="Yes">
      <formula>NOT(ISERROR(SEARCH(("Yes"),(O670))))</formula>
    </cfRule>
  </conditionalFormatting>
  <conditionalFormatting sqref="O670 P667:P669 P674 P676:P677 P679 P681 P684:P685 P688 P690 P692 U692">
    <cfRule type="containsText" dxfId="9" priority="3730" operator="containsText" text="No">
      <formula>NOT(ISERROR(SEARCH(("No"),(O670))))</formula>
    </cfRule>
  </conditionalFormatting>
  <conditionalFormatting sqref="O670 P667:P669 P674 P676:P677 P679 P681 P684:P685 P688 P690 P692 U692">
    <cfRule type="containsText" dxfId="2" priority="3731" operator="containsText" text="Yes">
      <formula>NOT(ISERROR(SEARCH(("Yes"),(O670))))</formula>
    </cfRule>
  </conditionalFormatting>
  <conditionalFormatting sqref="O670 P667:P669 P674 P676:P677 P679 P681 P684:P685 P688 P690 P692 U692">
    <cfRule type="containsText" dxfId="9" priority="3732" operator="containsText" text="No">
      <formula>NOT(ISERROR(SEARCH(("No"),(O670))))</formula>
    </cfRule>
  </conditionalFormatting>
  <conditionalFormatting sqref="O670 P667:P669 P674 P676:P677 P679 P681 P684:P685 P688 P690 P692 U692">
    <cfRule type="containsText" dxfId="2" priority="3733" operator="containsText" text="Yes">
      <formula>NOT(ISERROR(SEARCH(("Yes"),(O670))))</formula>
    </cfRule>
  </conditionalFormatting>
  <conditionalFormatting sqref="O670 P667:P669 P674 P676:P677 P679 P681 P684:P685 P688 P690 P692 U692">
    <cfRule type="containsText" dxfId="9" priority="3734" operator="containsText" text="No">
      <formula>NOT(ISERROR(SEARCH(("No"),(O670))))</formula>
    </cfRule>
  </conditionalFormatting>
  <conditionalFormatting sqref="O670 P667:P669 P674 P676:P677 P679 P681 P684:P685 P688 P690 P692 U692">
    <cfRule type="containsText" dxfId="2" priority="3735" operator="containsText" text="Yes">
      <formula>NOT(ISERROR(SEARCH(("Yes"),(O670))))</formula>
    </cfRule>
  </conditionalFormatting>
  <conditionalFormatting sqref="O670 P667:P669 P674 P676:P677 P679 P681 P684:P685 P688 P690 P692 U692">
    <cfRule type="containsText" dxfId="9" priority="3736" operator="containsText" text="No">
      <formula>NOT(ISERROR(SEARCH(("No"),(O670))))</formula>
    </cfRule>
  </conditionalFormatting>
  <conditionalFormatting sqref="O670 P667:P669 P674 P676:P677 P679 P681 P684:P685 P688 P690 P692 U692">
    <cfRule type="containsText" dxfId="2" priority="3737" operator="containsText" text="Yes">
      <formula>NOT(ISERROR(SEARCH(("Yes"),(O670))))</formula>
    </cfRule>
  </conditionalFormatting>
  <conditionalFormatting sqref="O670 P667:P669 P674 P676:P677 P679 P681 P684:P685 P688 P690 P692 U692">
    <cfRule type="containsText" dxfId="9" priority="3738" operator="containsText" text="No">
      <formula>NOT(ISERROR(SEARCH(("No"),(O670))))</formula>
    </cfRule>
  </conditionalFormatting>
  <conditionalFormatting sqref="O670 P667:P669 P674 P676:P677 P679 P681 P684:P685 P688 P690 P692 U692">
    <cfRule type="containsText" dxfId="2" priority="3739" operator="containsText" text="Yes">
      <formula>NOT(ISERROR(SEARCH(("Yes"),(O670))))</formula>
    </cfRule>
  </conditionalFormatting>
  <conditionalFormatting sqref="O670 P667:P669 P674 P676:P677 P679 P681 P684:P685 P688 P690 P692 U692">
    <cfRule type="containsText" dxfId="9" priority="3740" operator="containsText" text="No">
      <formula>NOT(ISERROR(SEARCH(("No"),(O670))))</formula>
    </cfRule>
  </conditionalFormatting>
  <conditionalFormatting sqref="O670 P667:P669 P674 P676:P677 P679 P681 P684:P685 P688 P690 P692 U692">
    <cfRule type="containsText" dxfId="2" priority="3741" operator="containsText" text="Yes">
      <formula>NOT(ISERROR(SEARCH(("Yes"),(O670))))</formula>
    </cfRule>
  </conditionalFormatting>
  <conditionalFormatting sqref="O670 P667:P669 P674 P676:P677 P679 P681 P684:P685 P688 P690 P692 U692">
    <cfRule type="containsText" dxfId="9" priority="3742" operator="containsText" text="No">
      <formula>NOT(ISERROR(SEARCH(("No"),(O670))))</formula>
    </cfRule>
  </conditionalFormatting>
  <conditionalFormatting sqref="O670 P667:P669 P674 P676:P677 P679 P681 P684:P685 P688 P690 P692 U692">
    <cfRule type="containsText" dxfId="2" priority="3743" operator="containsText" text="Yes">
      <formula>NOT(ISERROR(SEARCH(("Yes"),(O670))))</formula>
    </cfRule>
  </conditionalFormatting>
  <conditionalFormatting sqref="O670 P667:P669 P674 P676:P677 P679 P681 P684:P685 P688 P690 P692 U692">
    <cfRule type="containsText" dxfId="9" priority="3744" operator="containsText" text="No">
      <formula>NOT(ISERROR(SEARCH(("No"),(O670))))</formula>
    </cfRule>
  </conditionalFormatting>
  <conditionalFormatting sqref="O670 P667:P669 P674 P676:P677 P679 P681 P684:P685 P688 P690 P692 U692">
    <cfRule type="containsText" dxfId="2" priority="3745" operator="containsText" text="Yes">
      <formula>NOT(ISERROR(SEARCH(("Yes"),(O670))))</formula>
    </cfRule>
  </conditionalFormatting>
  <conditionalFormatting sqref="O670 P667:P669 P674 P676:P677 P679 P681 P684:P685 P688 P690 P692 U692">
    <cfRule type="containsText" dxfId="9" priority="3746" operator="containsText" text="No">
      <formula>NOT(ISERROR(SEARCH(("No"),(O670))))</formula>
    </cfRule>
  </conditionalFormatting>
  <conditionalFormatting sqref="O670 P667:P669 P674 P676:P677 P679 P681 P684:P685 P688 P690 P692 U692">
    <cfRule type="containsText" dxfId="2" priority="3747" operator="containsText" text="Yes">
      <formula>NOT(ISERROR(SEARCH(("Yes"),(O670))))</formula>
    </cfRule>
  </conditionalFormatting>
  <conditionalFormatting sqref="O670 P667:P669 P674 P676:P677 P679 P681 P684:P685 P688 P690 P692 U692">
    <cfRule type="containsText" dxfId="9" priority="3748" operator="containsText" text="No">
      <formula>NOT(ISERROR(SEARCH(("No"),(O670))))</formula>
    </cfRule>
  </conditionalFormatting>
  <conditionalFormatting sqref="O670 P667:P669 P674 P676:P677 P679 P681 P684:P685 P688 P690 P692 U692">
    <cfRule type="containsText" dxfId="2" priority="3749" operator="containsText" text="Yes">
      <formula>NOT(ISERROR(SEARCH(("Yes"),(O670))))</formula>
    </cfRule>
  </conditionalFormatting>
  <conditionalFormatting sqref="O670 P667:P669 P674 P676:P677 P679 P681 P684:P685 P688 P690 P692 U692">
    <cfRule type="containsText" dxfId="9" priority="3750" operator="containsText" text="No">
      <formula>NOT(ISERROR(SEARCH(("No"),(O670))))</formula>
    </cfRule>
  </conditionalFormatting>
  <conditionalFormatting sqref="O670 P667:P669 P674 P676:P677 P679 P681 P684:P685 P688 P690 P692 U692">
    <cfRule type="containsText" dxfId="2" priority="3751" operator="containsText" text="Yes">
      <formula>NOT(ISERROR(SEARCH(("Yes"),(O670))))</formula>
    </cfRule>
  </conditionalFormatting>
  <conditionalFormatting sqref="O670 P667:P669 P674 P676:P677 P679 P681 P684:P685 P688 P690 P692 U692">
    <cfRule type="containsText" dxfId="9" priority="3752" operator="containsText" text="No">
      <formula>NOT(ISERROR(SEARCH(("No"),(O670))))</formula>
    </cfRule>
  </conditionalFormatting>
  <conditionalFormatting sqref="O670 P667:P669 P674 P676:P677 P679 P681 P684:P685 P688 P690 P692 U692">
    <cfRule type="containsText" dxfId="2" priority="3753" operator="containsText" text="Yes">
      <formula>NOT(ISERROR(SEARCH(("Yes"),(O670))))</formula>
    </cfRule>
  </conditionalFormatting>
  <conditionalFormatting sqref="O670 P667:P669 P674 P676:P677 P679 P681 P684:P685 P688 P690 P692 U692">
    <cfRule type="containsText" dxfId="9" priority="3754" operator="containsText" text="No">
      <formula>NOT(ISERROR(SEARCH(("No"),(O670))))</formula>
    </cfRule>
  </conditionalFormatting>
  <conditionalFormatting sqref="O670 P667:P669 P674 P676:P677 P679 P681 P684:P685 P688 P690 P692 U692">
    <cfRule type="containsText" dxfId="2" priority="3755" operator="containsText" text="Yes">
      <formula>NOT(ISERROR(SEARCH(("Yes"),(O670))))</formula>
    </cfRule>
  </conditionalFormatting>
  <conditionalFormatting sqref="O670 P667:P669 P674 P676:P677 P679 P681 P684:P685 P688 P690 P692 U692">
    <cfRule type="containsText" dxfId="9" priority="3756" operator="containsText" text="No">
      <formula>NOT(ISERROR(SEARCH(("No"),(O670))))</formula>
    </cfRule>
  </conditionalFormatting>
  <conditionalFormatting sqref="O670 P667:P669 P674 P676:P677 P679 P681 P684:P685 P688 P690 P692 U692">
    <cfRule type="containsText" dxfId="2" priority="3757" operator="containsText" text="Yes">
      <formula>NOT(ISERROR(SEARCH(("Yes"),(O670))))</formula>
    </cfRule>
  </conditionalFormatting>
  <conditionalFormatting sqref="O670 P667:P669 P674 P676:P677 P679 P681 P684:P685 P688 P690 P692 U692">
    <cfRule type="containsText" dxfId="9" priority="3758" operator="containsText" text="No">
      <formula>NOT(ISERROR(SEARCH(("No"),(O670))))</formula>
    </cfRule>
  </conditionalFormatting>
  <conditionalFormatting sqref="O670 P667:P669 P674 P676:P677 P679 P681 P684:P685 P688 P690 P692 U692">
    <cfRule type="containsText" dxfId="2" priority="3759" operator="containsText" text="Yes">
      <formula>NOT(ISERROR(SEARCH(("Yes"),(O670))))</formula>
    </cfRule>
  </conditionalFormatting>
  <conditionalFormatting sqref="O670 P667:P669 P674 P676:P677 P679 P681 P684:P685 P688 P690 P692 U692">
    <cfRule type="containsText" dxfId="9" priority="3760" operator="containsText" text="No">
      <formula>NOT(ISERROR(SEARCH(("No"),(O670))))</formula>
    </cfRule>
  </conditionalFormatting>
  <conditionalFormatting sqref="O670 P667:P669 P674 P676:P677 P679 P681 P684:P685 P688 P690 P692 U692">
    <cfRule type="containsText" dxfId="2" priority="3761" operator="containsText" text="Yes">
      <formula>NOT(ISERROR(SEARCH(("Yes"),(O670))))</formula>
    </cfRule>
  </conditionalFormatting>
  <conditionalFormatting sqref="O670 P667:P669 P674 P676:P677 P679 P681 P684:P685 P688 P690 P692 U692">
    <cfRule type="containsText" dxfId="9" priority="3762" operator="containsText" text="No">
      <formula>NOT(ISERROR(SEARCH(("No"),(O670))))</formula>
    </cfRule>
  </conditionalFormatting>
  <conditionalFormatting sqref="O670 P667:P669 P674 P676:P677 P679 P681 P684:P685 P688 P690 P692 U692">
    <cfRule type="containsText" dxfId="2" priority="3763" operator="containsText" text="Yes">
      <formula>NOT(ISERROR(SEARCH(("Yes"),(O670))))</formula>
    </cfRule>
  </conditionalFormatting>
  <conditionalFormatting sqref="O670 P667:P669 P674 P676:P677 P679 P681 P684:P685 P688 P690 P692 U692">
    <cfRule type="containsText" dxfId="9" priority="3764" operator="containsText" text="No">
      <formula>NOT(ISERROR(SEARCH(("No"),(O670))))</formula>
    </cfRule>
  </conditionalFormatting>
  <conditionalFormatting sqref="O670 P667:P669 P674 P676:P677 P679 P681 P684:P685 P688 P690 P692 U692">
    <cfRule type="containsText" dxfId="2" priority="3765" operator="containsText" text="Yes">
      <formula>NOT(ISERROR(SEARCH(("Yes"),(O670))))</formula>
    </cfRule>
  </conditionalFormatting>
  <conditionalFormatting sqref="O670 P667:P669 P674 P676:P677 P679 P681 P684:P685 P688 P690 P692 U692">
    <cfRule type="containsText" dxfId="9" priority="3766" operator="containsText" text="No">
      <formula>NOT(ISERROR(SEARCH(("No"),(O670))))</formula>
    </cfRule>
  </conditionalFormatting>
  <conditionalFormatting sqref="O670 P667:P669 P674 P676:P677 P679 P681 P684:P685 P688 P690 P692 U692">
    <cfRule type="containsText" dxfId="2" priority="3767" operator="containsText" text="Yes">
      <formula>NOT(ISERROR(SEARCH(("Yes"),(O670))))</formula>
    </cfRule>
  </conditionalFormatting>
  <conditionalFormatting sqref="O670 P667:P669 P674 P676:P677 P679 P681 P684:P685 P688 P690 P692 U692">
    <cfRule type="containsText" dxfId="9" priority="3768" operator="containsText" text="No">
      <formula>NOT(ISERROR(SEARCH(("No"),(O670))))</formula>
    </cfRule>
  </conditionalFormatting>
  <conditionalFormatting sqref="O670 P667:P669 P674 P676:P677 P679 P681 P684:P685 P688 P690 P692 U692">
    <cfRule type="containsText" dxfId="2" priority="3769" operator="containsText" text="Yes">
      <formula>NOT(ISERROR(SEARCH(("Yes"),(O670))))</formula>
    </cfRule>
  </conditionalFormatting>
  <conditionalFormatting sqref="O670 P667:P669 P674 P676:P677 P679 P681 P684:P685 P688 P690 P692 U692">
    <cfRule type="containsText" dxfId="9" priority="3770" operator="containsText" text="No">
      <formula>NOT(ISERROR(SEARCH(("No"),(O670))))</formula>
    </cfRule>
  </conditionalFormatting>
  <conditionalFormatting sqref="O670 P667:P669 P674 P676:P677 P679 P681 P684:P685 P688 P690 P692 U692">
    <cfRule type="containsText" dxfId="2" priority="3771" operator="containsText" text="Yes">
      <formula>NOT(ISERROR(SEARCH(("Yes"),(O670))))</formula>
    </cfRule>
  </conditionalFormatting>
  <conditionalFormatting sqref="O670 P667:P669 P674 P676:P677 P679 P681 P684:P685 P688 P690 P692 U692">
    <cfRule type="containsText" dxfId="9" priority="3772" operator="containsText" text="No">
      <formula>NOT(ISERROR(SEARCH(("No"),(O670))))</formula>
    </cfRule>
  </conditionalFormatting>
  <conditionalFormatting sqref="O670 P667:P669 P674 P676:P677 P679 P681 P684:P685 P688 P690 P692 U692">
    <cfRule type="containsText" dxfId="2" priority="3773" operator="containsText" text="Yes">
      <formula>NOT(ISERROR(SEARCH(("Yes"),(O670))))</formula>
    </cfRule>
  </conditionalFormatting>
  <conditionalFormatting sqref="O670 P667:P669 P674 P676:P677 P679 P681 P684:P685 P688 P690 P692 U692">
    <cfRule type="containsText" dxfId="9" priority="3774" operator="containsText" text="No">
      <formula>NOT(ISERROR(SEARCH(("No"),(O670))))</formula>
    </cfRule>
  </conditionalFormatting>
  <conditionalFormatting sqref="O670 P667:P669 P674 P676:P677 P679 P681 P684:P685 P688 P690 P692 U692">
    <cfRule type="containsText" dxfId="2" priority="3775" operator="containsText" text="Yes">
      <formula>NOT(ISERROR(SEARCH(("Yes"),(O670))))</formula>
    </cfRule>
  </conditionalFormatting>
  <conditionalFormatting sqref="O670 P667:P669 P674 P676:P677 P679 P681 P684:P685 P688 P690 P692 U692">
    <cfRule type="containsText" dxfId="9" priority="3776" operator="containsText" text="No">
      <formula>NOT(ISERROR(SEARCH(("No"),(O670))))</formula>
    </cfRule>
  </conditionalFormatting>
  <conditionalFormatting sqref="O670 P667:P669 P674 P676:P677 P679 P681 P684:P685 P688 P690 P692 U692">
    <cfRule type="containsText" dxfId="2" priority="3777" operator="containsText" text="Yes">
      <formula>NOT(ISERROR(SEARCH(("Yes"),(O670))))</formula>
    </cfRule>
  </conditionalFormatting>
  <conditionalFormatting sqref="O670 P667:P669 P674 P676:P677 P679 P681 P684:P685 P688 P690 P692 U692">
    <cfRule type="containsText" dxfId="9" priority="3778" operator="containsText" text="No">
      <formula>NOT(ISERROR(SEARCH(("No"),(O670))))</formula>
    </cfRule>
  </conditionalFormatting>
  <conditionalFormatting sqref="O670 P667:P669 P674 P676:P677 P679 P681 P684:P685 P688 P690 P692 U692">
    <cfRule type="containsText" dxfId="2" priority="3779" operator="containsText" text="Yes">
      <formula>NOT(ISERROR(SEARCH(("Yes"),(O670))))</formula>
    </cfRule>
  </conditionalFormatting>
  <conditionalFormatting sqref="O670 P667:P669 P674 P676:P677 P679 P681 P684:P685 P688 P690 P692 U692">
    <cfRule type="containsText" dxfId="9" priority="3780" operator="containsText" text="No">
      <formula>NOT(ISERROR(SEARCH(("No"),(O670))))</formula>
    </cfRule>
  </conditionalFormatting>
  <conditionalFormatting sqref="O670 P667:P669 P674 P676:P677 P679 P681 P684:P685 P688 P690 P692 U692">
    <cfRule type="containsText" dxfId="2" priority="3781" operator="containsText" text="Yes">
      <formula>NOT(ISERROR(SEARCH(("Yes"),(O670))))</formula>
    </cfRule>
  </conditionalFormatting>
  <conditionalFormatting sqref="O670 P667:P669 P674 P676:P677 P679 P681 P684:P685 P688 P690 P692 U692">
    <cfRule type="containsText" dxfId="9" priority="3782" operator="containsText" text="No">
      <formula>NOT(ISERROR(SEARCH(("No"),(O670))))</formula>
    </cfRule>
  </conditionalFormatting>
  <conditionalFormatting sqref="O670 P667:P669 P674 P676:P677 P679 P681 P684:P685 P688 P690 P692 U692">
    <cfRule type="containsText" dxfId="2" priority="3783" operator="containsText" text="Yes">
      <formula>NOT(ISERROR(SEARCH(("Yes"),(O670))))</formula>
    </cfRule>
  </conditionalFormatting>
  <conditionalFormatting sqref="O670 P667:P669 P674 P676:P677 P679 P681 P684:P685 P688 P690 P692 U692">
    <cfRule type="containsText" dxfId="9" priority="3784" operator="containsText" text="No">
      <formula>NOT(ISERROR(SEARCH(("No"),(O670))))</formula>
    </cfRule>
  </conditionalFormatting>
  <conditionalFormatting sqref="O670 P667:P669 P674 P676:P677 P679 P681 P684:P685 P688 P690 P692 U692">
    <cfRule type="containsText" dxfId="2" priority="3785" operator="containsText" text="Yes">
      <formula>NOT(ISERROR(SEARCH(("Yes"),(O670))))</formula>
    </cfRule>
  </conditionalFormatting>
  <conditionalFormatting sqref="O670 P667:P669 P674 P676:P677 P679 P681 P684:P685 P688 P690 P692 U692">
    <cfRule type="containsText" dxfId="9" priority="3786" operator="containsText" text="No">
      <formula>NOT(ISERROR(SEARCH(("No"),(O670))))</formula>
    </cfRule>
  </conditionalFormatting>
  <conditionalFormatting sqref="O670 P667:P669 P674 P676:P677 P679 P681 P684:P685 P688 P690 P692 U692">
    <cfRule type="containsText" dxfId="2" priority="3787" operator="containsText" text="Yes">
      <formula>NOT(ISERROR(SEARCH(("Yes"),(O670))))</formula>
    </cfRule>
  </conditionalFormatting>
  <conditionalFormatting sqref="O670 P667:P669 P674 P676:P677 P679 P681 P684:P685 P688 P690 P692 U692">
    <cfRule type="containsText" dxfId="9" priority="3788" operator="containsText" text="No">
      <formula>NOT(ISERROR(SEARCH(("No"),(O670))))</formula>
    </cfRule>
  </conditionalFormatting>
  <conditionalFormatting sqref="O670 P667:P669 P674 P676:P677 P679 P681 P684:P685 P688 P690 P692 U692">
    <cfRule type="containsText" dxfId="2" priority="3789" operator="containsText" text="Yes">
      <formula>NOT(ISERROR(SEARCH(("Yes"),(O670))))</formula>
    </cfRule>
  </conditionalFormatting>
  <conditionalFormatting sqref="O670 P667:P669 P674 P676:P677 P679 P681 P684:P685 P688 P690 P692 U692">
    <cfRule type="containsText" dxfId="9" priority="3790" operator="containsText" text="No">
      <formula>NOT(ISERROR(SEARCH(("No"),(O670))))</formula>
    </cfRule>
  </conditionalFormatting>
  <conditionalFormatting sqref="O670 P667:P669 P674 P676:P677 P679 P681 P684:P685 P688 P690 P692 U692">
    <cfRule type="containsText" dxfId="2" priority="3791" operator="containsText" text="Yes">
      <formula>NOT(ISERROR(SEARCH(("Yes"),(O670))))</formula>
    </cfRule>
  </conditionalFormatting>
  <conditionalFormatting sqref="O670 P667:P669 P674 P676:P677 P679 P681 P684:P685 P688 P690 P692 U692">
    <cfRule type="containsText" dxfId="9" priority="3792" operator="containsText" text="No">
      <formula>NOT(ISERROR(SEARCH(("No"),(O670))))</formula>
    </cfRule>
  </conditionalFormatting>
  <conditionalFormatting sqref="O670 P667:P669 P674 P676:P677 P679 P681 P684:P685 P688 P690 P692 U692">
    <cfRule type="containsText" dxfId="2" priority="3793" operator="containsText" text="Yes">
      <formula>NOT(ISERROR(SEARCH(("Yes"),(O670))))</formula>
    </cfRule>
  </conditionalFormatting>
  <conditionalFormatting sqref="O670 P667:P669 P674 P676:P677 P679 P681 P684:P685 P688 P690 P692 U692">
    <cfRule type="containsText" dxfId="9" priority="3794" operator="containsText" text="No">
      <formula>NOT(ISERROR(SEARCH(("No"),(O670))))</formula>
    </cfRule>
  </conditionalFormatting>
  <conditionalFormatting sqref="O670 P667:P669 P674 P676:P677 P679 P681 P684:P685 P688 P690 P692 U692">
    <cfRule type="containsText" dxfId="2" priority="3795" operator="containsText" text="Yes">
      <formula>NOT(ISERROR(SEARCH(("Yes"),(O670))))</formula>
    </cfRule>
  </conditionalFormatting>
  <conditionalFormatting sqref="O670 P667:P669 P674 P676:P677 P679 P681 P684:P685 P688 P690 P692 U692">
    <cfRule type="containsText" dxfId="9" priority="3796" operator="containsText" text="No">
      <formula>NOT(ISERROR(SEARCH(("No"),(O670))))</formula>
    </cfRule>
  </conditionalFormatting>
  <conditionalFormatting sqref="O670 P667:P669 P674 P676:P677 P679 P681 P684:P685 P688 P690 P692 U692">
    <cfRule type="containsText" dxfId="2" priority="3797" operator="containsText" text="Yes">
      <formula>NOT(ISERROR(SEARCH(("Yes"),(O670))))</formula>
    </cfRule>
  </conditionalFormatting>
  <conditionalFormatting sqref="O670 P667:P669 P674 P676:P677 P679 P681 P684:P685 P688 P690 P692 U692">
    <cfRule type="containsText" dxfId="9" priority="3798" operator="containsText" text="No">
      <formula>NOT(ISERROR(SEARCH(("No"),(O670))))</formula>
    </cfRule>
  </conditionalFormatting>
  <conditionalFormatting sqref="O670 P667:P669 P674 P676:P677 P679 P681 P684:P685 P688 P690 P692 U692">
    <cfRule type="containsText" dxfId="2" priority="3799" operator="containsText" text="Yes">
      <formula>NOT(ISERROR(SEARCH(("Yes"),(O670))))</formula>
    </cfRule>
  </conditionalFormatting>
  <conditionalFormatting sqref="O670 P667:P669 P674 P676:P677 P679 P681 P684:P685 P688 P690 P692 U692">
    <cfRule type="containsText" dxfId="9" priority="3800" operator="containsText" text="No">
      <formula>NOT(ISERROR(SEARCH(("No"),(O670))))</formula>
    </cfRule>
  </conditionalFormatting>
  <conditionalFormatting sqref="O670 P667:P669 P674 P676:P677 P679 P681 P684:P685 P688 P690 P692 U692">
    <cfRule type="containsText" dxfId="9" priority="3801" operator="containsText" text="No">
      <formula>NOT(ISERROR(SEARCH(("No"),(O670))))</formula>
    </cfRule>
  </conditionalFormatting>
  <conditionalFormatting sqref="O670 P667:P669 P674 P676:P677 P679 P681 P684:P685 P688 P690 P692 U692">
    <cfRule type="containsText" dxfId="9" priority="3802" operator="containsText" text="No">
      <formula>NOT(ISERROR(SEARCH(("No"),(O670))))</formula>
    </cfRule>
  </conditionalFormatting>
  <conditionalFormatting sqref="O670 P667:P669 P674 P676:P677 P679 P681 P684:P685 P688 P690 P692 U692">
    <cfRule type="containsText" dxfId="2" priority="3803" operator="containsText" text="Yes">
      <formula>NOT(ISERROR(SEARCH(("Yes"),(O670))))</formula>
    </cfRule>
  </conditionalFormatting>
  <conditionalFormatting sqref="O670 P667:P669 P674 P676:P677 P679 P681 P684:P685 P688 P690 P692 U692">
    <cfRule type="containsText" dxfId="9" priority="3804" operator="containsText" text="No">
      <formula>NOT(ISERROR(SEARCH(("No"),(O670))))</formula>
    </cfRule>
  </conditionalFormatting>
  <conditionalFormatting sqref="O670 P667:P669 P674 P676:P677 P679 P681 P684:P685 P688 P690 P692 U692">
    <cfRule type="containsText" dxfId="9" priority="3805" operator="containsText" text="No">
      <formula>NOT(ISERROR(SEARCH(("No"),(O670))))</formula>
    </cfRule>
  </conditionalFormatting>
  <conditionalFormatting sqref="O670 P667:P669 P674 P676:P677 P679 P681 P684:P685 P688 P690 P692 U692">
    <cfRule type="containsText" dxfId="9" priority="3806" operator="containsText" text="No">
      <formula>NOT(ISERROR(SEARCH(("No"),(O670))))</formula>
    </cfRule>
  </conditionalFormatting>
  <conditionalFormatting sqref="O670 P667:P669 P674 P676:P677 P679 P681 P684:P685 P688 P690 P692 U692">
    <cfRule type="containsText" dxfId="2" priority="3807" operator="containsText" text="Yes">
      <formula>NOT(ISERROR(SEARCH(("Yes"),(O670))))</formula>
    </cfRule>
  </conditionalFormatting>
  <conditionalFormatting sqref="O670 P667:P669 P674 P676:P677 P679 P681 P684:P685 P688 P690 P692 U692">
    <cfRule type="containsText" dxfId="9" priority="3808" operator="containsText" text="No">
      <formula>NOT(ISERROR(SEARCH(("No"),(O670))))</formula>
    </cfRule>
  </conditionalFormatting>
  <conditionalFormatting sqref="O670 P667:P669 P674 P676:P677 P679 P681 P684:P685 P688 P690 P692 U692">
    <cfRule type="containsText" dxfId="9" priority="3809" operator="containsText" text="No">
      <formula>NOT(ISERROR(SEARCH(("No"),(O670))))</formula>
    </cfRule>
  </conditionalFormatting>
  <conditionalFormatting sqref="O670 P667:P669 P674 P676:P677 P679 P681 P684:P685 P688 P690 P692 U692">
    <cfRule type="containsText" dxfId="9" priority="3810" operator="containsText" text="No">
      <formula>NOT(ISERROR(SEARCH(("No"),(O670))))</formula>
    </cfRule>
  </conditionalFormatting>
  <conditionalFormatting sqref="O670 P667:P669 P674 P676:P677 P679 P681 P684:P685 P688 P690 P692 U692">
    <cfRule type="containsText" dxfId="2" priority="3811" operator="containsText" text="Yes">
      <formula>NOT(ISERROR(SEARCH(("Yes"),(O670))))</formula>
    </cfRule>
  </conditionalFormatting>
  <conditionalFormatting sqref="O670 P667:P669 P674 P676:P677 P679 P681 P684:P685 P688 P690 P692 U692">
    <cfRule type="containsText" dxfId="9" priority="3812" operator="containsText" text="No">
      <formula>NOT(ISERROR(SEARCH(("No"),(O670))))</formula>
    </cfRule>
  </conditionalFormatting>
  <conditionalFormatting sqref="O670 P667:P669 P674 P676:P677 P679 P681 P684:P685 P688 P690 P692 U692">
    <cfRule type="containsText" dxfId="9" priority="3813" operator="containsText" text="No">
      <formula>NOT(ISERROR(SEARCH(("No"),(O670))))</formula>
    </cfRule>
  </conditionalFormatting>
  <conditionalFormatting sqref="O670 P669 P674 P676:P677 P679 P681 P684">
    <cfRule type="containsText" dxfId="9" priority="3814" operator="containsText" text="No">
      <formula>NOT(ISERROR(SEARCH(("No"),(O670))))</formula>
    </cfRule>
  </conditionalFormatting>
  <conditionalFormatting sqref="O670 P669 P674 P676:P677 P679 P681 P684">
    <cfRule type="containsText" dxfId="2" priority="3815" operator="containsText" text="Yes">
      <formula>NOT(ISERROR(SEARCH(("Yes"),(O670))))</formula>
    </cfRule>
  </conditionalFormatting>
  <conditionalFormatting sqref="O670 P669 P674 P676:P677 P679 P681 P684">
    <cfRule type="containsText" dxfId="9" priority="3816" operator="containsText" text="No">
      <formula>NOT(ISERROR(SEARCH(("No"),(O670))))</formula>
    </cfRule>
  </conditionalFormatting>
  <conditionalFormatting sqref="O670 P669 P674 P676:P677 P679 P681 P684">
    <cfRule type="containsText" dxfId="2" priority="3817" operator="containsText" text="Yes">
      <formula>NOT(ISERROR(SEARCH(("Yes"),(O670))))</formula>
    </cfRule>
  </conditionalFormatting>
  <conditionalFormatting sqref="O670 P669 P674 P676:P677 P679 P681 P684">
    <cfRule type="containsText" dxfId="9" priority="3818" operator="containsText" text="No">
      <formula>NOT(ISERROR(SEARCH(("No"),(O670))))</formula>
    </cfRule>
  </conditionalFormatting>
  <conditionalFormatting sqref="O670 P669 P674 P676:P677 P679 P681 P684">
    <cfRule type="containsText" dxfId="2" priority="3819" operator="containsText" text="Yes">
      <formula>NOT(ISERROR(SEARCH(("Yes"),(O670))))</formula>
    </cfRule>
  </conditionalFormatting>
  <conditionalFormatting sqref="O670 P669 P674 P676:P677 P679 P681 P684">
    <cfRule type="containsText" dxfId="9" priority="3820" operator="containsText" text="No">
      <formula>NOT(ISERROR(SEARCH(("No"),(O670))))</formula>
    </cfRule>
  </conditionalFormatting>
  <conditionalFormatting sqref="O670 P669 P674 P676:P677 P679 P681 P684">
    <cfRule type="containsText" dxfId="2" priority="3821" operator="containsText" text="Yes">
      <formula>NOT(ISERROR(SEARCH(("Yes"),(O670))))</formula>
    </cfRule>
  </conditionalFormatting>
  <conditionalFormatting sqref="O670 P669 P674 P676:P677 P679 P681 P684">
    <cfRule type="containsText" dxfId="9" priority="3822" operator="containsText" text="No">
      <formula>NOT(ISERROR(SEARCH(("No"),(O670))))</formula>
    </cfRule>
  </conditionalFormatting>
  <conditionalFormatting sqref="O670 P669 P674 P676:P677 P679 P681 P684">
    <cfRule type="containsText" dxfId="2" priority="3823" operator="containsText" text="Yes">
      <formula>NOT(ISERROR(SEARCH(("Yes"),(O670))))</formula>
    </cfRule>
  </conditionalFormatting>
  <conditionalFormatting sqref="O670 P669 P674 P676:P677 P679 P681 P684">
    <cfRule type="containsText" dxfId="9" priority="3824" operator="containsText" text="No">
      <formula>NOT(ISERROR(SEARCH(("No"),(O670))))</formula>
    </cfRule>
  </conditionalFormatting>
  <conditionalFormatting sqref="O670 P669 P674 P676:P677 P679 P681 P684">
    <cfRule type="containsText" dxfId="2" priority="3825" operator="containsText" text="Yes">
      <formula>NOT(ISERROR(SEARCH(("Yes"),(O670))))</formula>
    </cfRule>
  </conditionalFormatting>
  <conditionalFormatting sqref="O670 P669 P674 P676:P677 P679 P681 P684">
    <cfRule type="containsText" dxfId="9" priority="3826" operator="containsText" text="No">
      <formula>NOT(ISERROR(SEARCH(("No"),(O670))))</formula>
    </cfRule>
  </conditionalFormatting>
  <conditionalFormatting sqref="O670 P669 P674 P676:P677 P679 P681 P684">
    <cfRule type="containsText" dxfId="2" priority="3827" operator="containsText" text="Yes">
      <formula>NOT(ISERROR(SEARCH(("Yes"),(O670))))</formula>
    </cfRule>
  </conditionalFormatting>
  <conditionalFormatting sqref="O670 P669 P674 P676:P677 P679 P681 P684">
    <cfRule type="containsText" dxfId="9" priority="3828" operator="containsText" text="No">
      <formula>NOT(ISERROR(SEARCH(("No"),(O670))))</formula>
    </cfRule>
  </conditionalFormatting>
  <conditionalFormatting sqref="O670 P669 P674 P676:P677 P679 P681 P684">
    <cfRule type="containsText" dxfId="2" priority="3829" operator="containsText" text="Yes">
      <formula>NOT(ISERROR(SEARCH(("Yes"),(O670))))</formula>
    </cfRule>
  </conditionalFormatting>
  <conditionalFormatting sqref="O670 P669 P674 P676:P677 P679 P681 P684">
    <cfRule type="containsText" dxfId="9" priority="3830" operator="containsText" text="No">
      <formula>NOT(ISERROR(SEARCH(("No"),(O670))))</formula>
    </cfRule>
  </conditionalFormatting>
  <conditionalFormatting sqref="O670 P669 P674 P676:P677 P679 P681 P684">
    <cfRule type="containsText" dxfId="2" priority="3831" operator="containsText" text="Yes">
      <formula>NOT(ISERROR(SEARCH(("Yes"),(O670))))</formula>
    </cfRule>
  </conditionalFormatting>
  <conditionalFormatting sqref="O670 P669 P674 P676:P677 P679 P681 P684">
    <cfRule type="containsText" dxfId="9" priority="3832" operator="containsText" text="No">
      <formula>NOT(ISERROR(SEARCH(("No"),(O670))))</formula>
    </cfRule>
  </conditionalFormatting>
  <conditionalFormatting sqref="O670 P669 P674 P676:P677 P679 P681 P684">
    <cfRule type="containsText" dxfId="2" priority="3833" operator="containsText" text="Yes">
      <formula>NOT(ISERROR(SEARCH(("Yes"),(O670))))</formula>
    </cfRule>
  </conditionalFormatting>
  <conditionalFormatting sqref="O670 P669 P674 P676:P677 P679 P681 P684">
    <cfRule type="containsText" dxfId="9" priority="3834" operator="containsText" text="No">
      <formula>NOT(ISERROR(SEARCH(("No"),(O670))))</formula>
    </cfRule>
  </conditionalFormatting>
  <conditionalFormatting sqref="O670 P669 P674 P676:P677 P679 P681 P684">
    <cfRule type="containsText" dxfId="2" priority="3835" operator="containsText" text="Yes">
      <formula>NOT(ISERROR(SEARCH(("Yes"),(O670))))</formula>
    </cfRule>
  </conditionalFormatting>
  <conditionalFormatting sqref="O670 P669 P674 P676:P677 P679 P681 P684">
    <cfRule type="containsText" dxfId="9" priority="3836" operator="containsText" text="No">
      <formula>NOT(ISERROR(SEARCH(("No"),(O670))))</formula>
    </cfRule>
  </conditionalFormatting>
  <conditionalFormatting sqref="O670 P669 P674 P676:P677 P679 P681 P684">
    <cfRule type="containsText" dxfId="2" priority="3837" operator="containsText" text="Yes">
      <formula>NOT(ISERROR(SEARCH(("Yes"),(O670))))</formula>
    </cfRule>
  </conditionalFormatting>
  <conditionalFormatting sqref="O670 P669 P674 P676:P677 P679 P681 P684">
    <cfRule type="containsText" dxfId="9" priority="3838" operator="containsText" text="No">
      <formula>NOT(ISERROR(SEARCH(("No"),(O670))))</formula>
    </cfRule>
  </conditionalFormatting>
  <conditionalFormatting sqref="O670 P669 P674 P676:P677 P679 P681 P684">
    <cfRule type="containsText" dxfId="2" priority="3839" operator="containsText" text="Yes">
      <formula>NOT(ISERROR(SEARCH(("Yes"),(O670))))</formula>
    </cfRule>
  </conditionalFormatting>
  <conditionalFormatting sqref="O670 P669 P674 P676:P677 P679 P681 P684">
    <cfRule type="containsText" dxfId="9" priority="3840" operator="containsText" text="No">
      <formula>NOT(ISERROR(SEARCH(("No"),(O670))))</formula>
    </cfRule>
  </conditionalFormatting>
  <conditionalFormatting sqref="O670 P669 P674 P676:P677 P679 P681 P684">
    <cfRule type="containsText" dxfId="2" priority="3841" operator="containsText" text="Yes">
      <formula>NOT(ISERROR(SEARCH(("Yes"),(O670))))</formula>
    </cfRule>
  </conditionalFormatting>
  <conditionalFormatting sqref="O670 P669 P674 P676:P677 P679 P681 P684">
    <cfRule type="containsText" dxfId="9" priority="3842" operator="containsText" text="No">
      <formula>NOT(ISERROR(SEARCH(("No"),(O670))))</formula>
    </cfRule>
  </conditionalFormatting>
  <conditionalFormatting sqref="O670 P669 P674 P676:P677 P679 P681 P684">
    <cfRule type="containsText" dxfId="2" priority="3843" operator="containsText" text="Yes">
      <formula>NOT(ISERROR(SEARCH(("Yes"),(O670))))</formula>
    </cfRule>
  </conditionalFormatting>
  <conditionalFormatting sqref="O670 P669 P674 P676:P677 P679 P681 P684">
    <cfRule type="containsText" dxfId="9" priority="3844" operator="containsText" text="No">
      <formula>NOT(ISERROR(SEARCH(("No"),(O670))))</formula>
    </cfRule>
  </conditionalFormatting>
  <conditionalFormatting sqref="O670 P669 P674 P676:P677 P679 P681 P684">
    <cfRule type="containsText" dxfId="2" priority="3845" operator="containsText" text="Yes">
      <formula>NOT(ISERROR(SEARCH(("Yes"),(O670))))</formula>
    </cfRule>
  </conditionalFormatting>
  <conditionalFormatting sqref="O670 P669 P674 P676:P677 P679 P681 P684">
    <cfRule type="containsText" dxfId="9" priority="3846" operator="containsText" text="No">
      <formula>NOT(ISERROR(SEARCH(("No"),(O670))))</formula>
    </cfRule>
  </conditionalFormatting>
  <conditionalFormatting sqref="O670 P669 P674 P676:P677 P679 P681 P684">
    <cfRule type="containsText" dxfId="2" priority="3847" operator="containsText" text="Yes">
      <formula>NOT(ISERROR(SEARCH(("Yes"),(O670))))</formula>
    </cfRule>
  </conditionalFormatting>
  <conditionalFormatting sqref="O670 P669 P674 P676:P677 P679 P681 P684">
    <cfRule type="containsText" dxfId="9" priority="3848" operator="containsText" text="No">
      <formula>NOT(ISERROR(SEARCH(("No"),(O670))))</formula>
    </cfRule>
  </conditionalFormatting>
  <conditionalFormatting sqref="O670 P669 P674 P676:P677 P679 P681 P684">
    <cfRule type="containsText" dxfId="2" priority="3849" operator="containsText" text="Yes">
      <formula>NOT(ISERROR(SEARCH(("Yes"),(O670))))</formula>
    </cfRule>
  </conditionalFormatting>
  <conditionalFormatting sqref="O670 P669 P674 P676:P677 P679 P681 P684">
    <cfRule type="containsText" dxfId="9" priority="3850" operator="containsText" text="No">
      <formula>NOT(ISERROR(SEARCH(("No"),(O670))))</formula>
    </cfRule>
  </conditionalFormatting>
  <conditionalFormatting sqref="O670 P669 P674 P676:P677 P679 P681 P684">
    <cfRule type="containsText" dxfId="2" priority="3851" operator="containsText" text="Yes">
      <formula>NOT(ISERROR(SEARCH(("Yes"),(O670))))</formula>
    </cfRule>
  </conditionalFormatting>
  <conditionalFormatting sqref="O670 P669 P674 P676:P677 P679 P681 P684">
    <cfRule type="containsText" dxfId="9" priority="3852" operator="containsText" text="No">
      <formula>NOT(ISERROR(SEARCH(("No"),(O670))))</formula>
    </cfRule>
  </conditionalFormatting>
  <conditionalFormatting sqref="O670 P669 P674 P676:P677 P679 P681 P684">
    <cfRule type="containsText" dxfId="2" priority="3853" operator="containsText" text="Yes">
      <formula>NOT(ISERROR(SEARCH(("Yes"),(O670))))</formula>
    </cfRule>
  </conditionalFormatting>
  <conditionalFormatting sqref="O670 P669 P674 P676:P677 P679 P681 P684">
    <cfRule type="containsText" dxfId="9" priority="3854" operator="containsText" text="No">
      <formula>NOT(ISERROR(SEARCH(("No"),(O670))))</formula>
    </cfRule>
  </conditionalFormatting>
  <conditionalFormatting sqref="O670 P669 P674 P676:P677 P679 P681 P684">
    <cfRule type="containsText" dxfId="2" priority="3855" operator="containsText" text="Yes">
      <formula>NOT(ISERROR(SEARCH(("Yes"),(O670))))</formula>
    </cfRule>
  </conditionalFormatting>
  <conditionalFormatting sqref="O670 P669 P674 P676:P677 P679 P681 P684">
    <cfRule type="containsText" dxfId="9" priority="3856" operator="containsText" text="No">
      <formula>NOT(ISERROR(SEARCH(("No"),(O670))))</formula>
    </cfRule>
  </conditionalFormatting>
  <conditionalFormatting sqref="O670 P669 P674 P676:P677 P679 P681 P684">
    <cfRule type="containsText" dxfId="2" priority="3857" operator="containsText" text="Yes">
      <formula>NOT(ISERROR(SEARCH(("Yes"),(O670))))</formula>
    </cfRule>
  </conditionalFormatting>
  <conditionalFormatting sqref="O670 P669 P674 P676:P677 P679 P681 P684">
    <cfRule type="containsText" dxfId="9" priority="3858" operator="containsText" text="No">
      <formula>NOT(ISERROR(SEARCH(("No"),(O670))))</formula>
    </cfRule>
  </conditionalFormatting>
  <conditionalFormatting sqref="O670 P669 P674 P676:P677 P679 P681 P684">
    <cfRule type="containsText" dxfId="2" priority="3859" operator="containsText" text="Yes">
      <formula>NOT(ISERROR(SEARCH(("Yes"),(O670))))</formula>
    </cfRule>
  </conditionalFormatting>
  <conditionalFormatting sqref="O670 P669 P674 P676:P677 P679 P681 P684">
    <cfRule type="containsText" dxfId="9" priority="3860" operator="containsText" text="No">
      <formula>NOT(ISERROR(SEARCH(("No"),(O670))))</formula>
    </cfRule>
  </conditionalFormatting>
  <conditionalFormatting sqref="O670 P669 P674 P676:P677 P679 P681 P684">
    <cfRule type="containsText" dxfId="2" priority="3861" operator="containsText" text="Yes">
      <formula>NOT(ISERROR(SEARCH(("Yes"),(O670))))</formula>
    </cfRule>
  </conditionalFormatting>
  <conditionalFormatting sqref="O670 P669 P674 P676:P677 P679 P681 P684">
    <cfRule type="containsText" dxfId="9" priority="3862" operator="containsText" text="No">
      <formula>NOT(ISERROR(SEARCH(("No"),(O670))))</formula>
    </cfRule>
  </conditionalFormatting>
  <conditionalFormatting sqref="O670 P669 P674 P676:P677 P679 P681 P684">
    <cfRule type="containsText" dxfId="2" priority="3863" operator="containsText" text="Yes">
      <formula>NOT(ISERROR(SEARCH(("Yes"),(O670))))</formula>
    </cfRule>
  </conditionalFormatting>
  <conditionalFormatting sqref="O670 P669 P674 P676:P677 P679 P681 P684">
    <cfRule type="containsText" dxfId="9" priority="3864" operator="containsText" text="No">
      <formula>NOT(ISERROR(SEARCH(("No"),(O670))))</formula>
    </cfRule>
  </conditionalFormatting>
  <conditionalFormatting sqref="O670 P669 P674 P676:P677 P679 P681 P684">
    <cfRule type="containsText" dxfId="2" priority="3865" operator="containsText" text="Yes">
      <formula>NOT(ISERROR(SEARCH(("Yes"),(O670))))</formula>
    </cfRule>
  </conditionalFormatting>
  <conditionalFormatting sqref="O670 P669 P674 P676:P677 P679 P681 P684">
    <cfRule type="containsText" dxfId="9" priority="3866" operator="containsText" text="No">
      <formula>NOT(ISERROR(SEARCH(("No"),(O670))))</formula>
    </cfRule>
  </conditionalFormatting>
  <conditionalFormatting sqref="O670 P669 P674 P676:P677 P679 P681 P684">
    <cfRule type="containsText" dxfId="2" priority="3867" operator="containsText" text="Yes">
      <formula>NOT(ISERROR(SEARCH(("Yes"),(O670))))</formula>
    </cfRule>
  </conditionalFormatting>
  <conditionalFormatting sqref="O670 P669 P674 P676:P677 P679 P681 P684">
    <cfRule type="containsText" dxfId="9" priority="3868" operator="containsText" text="No">
      <formula>NOT(ISERROR(SEARCH(("No"),(O670))))</formula>
    </cfRule>
  </conditionalFormatting>
  <conditionalFormatting sqref="O670 P669 P674 P676:P677 P679 P681 P684">
    <cfRule type="containsText" dxfId="2" priority="3869" operator="containsText" text="Yes">
      <formula>NOT(ISERROR(SEARCH(("Yes"),(O670))))</formula>
    </cfRule>
  </conditionalFormatting>
  <conditionalFormatting sqref="O670 P669 P674 P676:P677 P679 P681 P684">
    <cfRule type="containsText" dxfId="9" priority="3870" operator="containsText" text="No">
      <formula>NOT(ISERROR(SEARCH(("No"),(O670))))</formula>
    </cfRule>
  </conditionalFormatting>
  <conditionalFormatting sqref="O670 P669 P674 P676:P677 P679 P681 P684">
    <cfRule type="containsText" dxfId="2" priority="3871" operator="containsText" text="Yes">
      <formula>NOT(ISERROR(SEARCH(("Yes"),(O670))))</formula>
    </cfRule>
  </conditionalFormatting>
  <conditionalFormatting sqref="O670 P669 P674 P676:P677 P679 P681 P684">
    <cfRule type="containsText" dxfId="9" priority="3872" operator="containsText" text="No">
      <formula>NOT(ISERROR(SEARCH(("No"),(O670))))</formula>
    </cfRule>
  </conditionalFormatting>
  <conditionalFormatting sqref="O670 P669 P674 P676:P677 P679 P681 P684">
    <cfRule type="containsText" dxfId="2" priority="3873" operator="containsText" text="Yes">
      <formula>NOT(ISERROR(SEARCH(("Yes"),(O670))))</formula>
    </cfRule>
  </conditionalFormatting>
  <conditionalFormatting sqref="O670 P669 P674 P676:P677 P679 P681 P684">
    <cfRule type="containsText" dxfId="9" priority="3874" operator="containsText" text="No">
      <formula>NOT(ISERROR(SEARCH(("No"),(O670))))</formula>
    </cfRule>
  </conditionalFormatting>
  <conditionalFormatting sqref="O670 P669 P674 P676:P677 P679 P681 P684">
    <cfRule type="containsText" dxfId="2" priority="3875" operator="containsText" text="Yes">
      <formula>NOT(ISERROR(SEARCH(("Yes"),(O670))))</formula>
    </cfRule>
  </conditionalFormatting>
  <conditionalFormatting sqref="O670 P669 P674 P676:P677 P679 P681 P684">
    <cfRule type="containsText" dxfId="9" priority="3876" operator="containsText" text="No">
      <formula>NOT(ISERROR(SEARCH(("No"),(O670))))</formula>
    </cfRule>
  </conditionalFormatting>
  <conditionalFormatting sqref="O670 P669 P674 P676:P677 P679 P681 P684">
    <cfRule type="containsText" dxfId="2" priority="3877" operator="containsText" text="Yes">
      <formula>NOT(ISERROR(SEARCH(("Yes"),(O670))))</formula>
    </cfRule>
  </conditionalFormatting>
  <conditionalFormatting sqref="O670 P669 P674 P676:P677 P679 P681 P684">
    <cfRule type="containsText" dxfId="9" priority="3878" operator="containsText" text="No">
      <formula>NOT(ISERROR(SEARCH(("No"),(O670))))</formula>
    </cfRule>
  </conditionalFormatting>
  <conditionalFormatting sqref="O670 P669 P674 P676:P677 P679 P681 P684">
    <cfRule type="containsText" dxfId="2" priority="3879" operator="containsText" text="Yes">
      <formula>NOT(ISERROR(SEARCH(("Yes"),(O670))))</formula>
    </cfRule>
  </conditionalFormatting>
  <conditionalFormatting sqref="O670 P669 P674 P676:P677 P679 P681 P684">
    <cfRule type="containsText" dxfId="9" priority="3880" operator="containsText" text="No">
      <formula>NOT(ISERROR(SEARCH(("No"),(O670))))</formula>
    </cfRule>
  </conditionalFormatting>
  <conditionalFormatting sqref="O670 P669 P674 P676:P677 P679 P681 P684">
    <cfRule type="containsText" dxfId="2" priority="3881" operator="containsText" text="Yes">
      <formula>NOT(ISERROR(SEARCH(("Yes"),(O670))))</formula>
    </cfRule>
  </conditionalFormatting>
  <conditionalFormatting sqref="O670 P669 P674 P676:P677 P679 P681 P684">
    <cfRule type="containsText" dxfId="9" priority="3882" operator="containsText" text="No">
      <formula>NOT(ISERROR(SEARCH(("No"),(O670))))</formula>
    </cfRule>
  </conditionalFormatting>
  <conditionalFormatting sqref="O670 P669 P674 P676:P677 P679 P681 P684">
    <cfRule type="containsText" dxfId="2" priority="3883" operator="containsText" text="Yes">
      <formula>NOT(ISERROR(SEARCH(("Yes"),(O670))))</formula>
    </cfRule>
  </conditionalFormatting>
  <conditionalFormatting sqref="O670 P669 P674 P676:P677 P679 P681 P684">
    <cfRule type="containsText" dxfId="9" priority="3884" operator="containsText" text="No">
      <formula>NOT(ISERROR(SEARCH(("No"),(O670))))</formula>
    </cfRule>
  </conditionalFormatting>
  <conditionalFormatting sqref="O670 P669 P674 P676:P677 P679 P681 P684">
    <cfRule type="containsText" dxfId="2" priority="3885" operator="containsText" text="Yes">
      <formula>NOT(ISERROR(SEARCH(("Yes"),(O670))))</formula>
    </cfRule>
  </conditionalFormatting>
  <conditionalFormatting sqref="O670 P669 P674 P676:P677 P679 P681 P684">
    <cfRule type="containsText" dxfId="9" priority="3886" operator="containsText" text="No">
      <formula>NOT(ISERROR(SEARCH(("No"),(O670))))</formula>
    </cfRule>
  </conditionalFormatting>
  <conditionalFormatting sqref="O670 P669 P674 P676:P677 P679 P681 P684">
    <cfRule type="containsText" dxfId="2" priority="3887" operator="containsText" text="Yes">
      <formula>NOT(ISERROR(SEARCH(("Yes"),(O670))))</formula>
    </cfRule>
  </conditionalFormatting>
  <conditionalFormatting sqref="O670 P669 P674 P676:P677 P679 P681 P684">
    <cfRule type="containsText" dxfId="9" priority="3888" operator="containsText" text="No">
      <formula>NOT(ISERROR(SEARCH(("No"),(O670))))</formula>
    </cfRule>
  </conditionalFormatting>
  <conditionalFormatting sqref="O670 P669 P674 P676:P677 P679 P681 P684">
    <cfRule type="containsText" dxfId="2" priority="3889" operator="containsText" text="Yes">
      <formula>NOT(ISERROR(SEARCH(("Yes"),(O670))))</formula>
    </cfRule>
  </conditionalFormatting>
  <conditionalFormatting sqref="O670 P669 P674 P676:P677 P679 P681 P684">
    <cfRule type="containsText" dxfId="9" priority="3890" operator="containsText" text="No">
      <formula>NOT(ISERROR(SEARCH(("No"),(O670))))</formula>
    </cfRule>
  </conditionalFormatting>
  <conditionalFormatting sqref="O670 P669 P674 P676:P677 P679 P681 P684">
    <cfRule type="containsText" dxfId="2" priority="3891" operator="containsText" text="Yes">
      <formula>NOT(ISERROR(SEARCH(("Yes"),(O670))))</formula>
    </cfRule>
  </conditionalFormatting>
  <conditionalFormatting sqref="O670 P669 P674 P676:P677 P679 P681 P684">
    <cfRule type="containsText" dxfId="9" priority="3892" operator="containsText" text="No">
      <formula>NOT(ISERROR(SEARCH(("No"),(O670))))</formula>
    </cfRule>
  </conditionalFormatting>
  <conditionalFormatting sqref="O670 P669 P674 P676:P677 P679 P681 P684">
    <cfRule type="containsText" dxfId="2" priority="3893" operator="containsText" text="Yes">
      <formula>NOT(ISERROR(SEARCH(("Yes"),(O670))))</formula>
    </cfRule>
  </conditionalFormatting>
  <conditionalFormatting sqref="O670 P669 P674 P676:P677 P679 P681 P684">
    <cfRule type="containsText" dxfId="9" priority="3894" operator="containsText" text="No">
      <formula>NOT(ISERROR(SEARCH(("No"),(O670))))</formula>
    </cfRule>
  </conditionalFormatting>
  <conditionalFormatting sqref="O670 P669 P674 P676:P677 P679 P681 P684">
    <cfRule type="containsText" dxfId="2" priority="3895" operator="containsText" text="Yes">
      <formula>NOT(ISERROR(SEARCH(("Yes"),(O670))))</formula>
    </cfRule>
  </conditionalFormatting>
  <conditionalFormatting sqref="O670 P669 P674 P676:P677 P679 P681 P684">
    <cfRule type="containsText" dxfId="9" priority="3896" operator="containsText" text="No">
      <formula>NOT(ISERROR(SEARCH(("No"),(O670))))</formula>
    </cfRule>
  </conditionalFormatting>
  <conditionalFormatting sqref="O670 P669 P674 P676:P677 P679 P681 P684">
    <cfRule type="containsText" dxfId="2" priority="3897" operator="containsText" text="Yes">
      <formula>NOT(ISERROR(SEARCH(("Yes"),(O670))))</formula>
    </cfRule>
  </conditionalFormatting>
  <conditionalFormatting sqref="O670 P669 P674 P676:P677 P679 P681 P684">
    <cfRule type="containsText" dxfId="9" priority="3898" operator="containsText" text="No">
      <formula>NOT(ISERROR(SEARCH(("No"),(O670))))</formula>
    </cfRule>
  </conditionalFormatting>
  <conditionalFormatting sqref="O670 P669 P674 P676:P677 P679 P681 P684">
    <cfRule type="containsText" dxfId="2" priority="3899" operator="containsText" text="Yes">
      <formula>NOT(ISERROR(SEARCH(("Yes"),(O670))))</formula>
    </cfRule>
  </conditionalFormatting>
  <conditionalFormatting sqref="O670 P669 P674 P676:P677 P679 P681 P684">
    <cfRule type="containsText" dxfId="9" priority="3900" operator="containsText" text="No">
      <formula>NOT(ISERROR(SEARCH(("No"),(O670))))</formula>
    </cfRule>
  </conditionalFormatting>
  <conditionalFormatting sqref="O670 P669 P674 P676:P677 P679 P681 P684">
    <cfRule type="containsText" dxfId="2" priority="3901" operator="containsText" text="Yes">
      <formula>NOT(ISERROR(SEARCH(("Yes"),(O670))))</formula>
    </cfRule>
  </conditionalFormatting>
  <conditionalFormatting sqref="O670 P669 P674 P676:P677 P679 P681 P684">
    <cfRule type="containsText" dxfId="9" priority="3902" operator="containsText" text="No">
      <formula>NOT(ISERROR(SEARCH(("No"),(O670))))</formula>
    </cfRule>
  </conditionalFormatting>
  <conditionalFormatting sqref="O670 P669 P674 P676:P677 P679 P681 P684">
    <cfRule type="containsText" dxfId="2" priority="3903" operator="containsText" text="Yes">
      <formula>NOT(ISERROR(SEARCH(("Yes"),(O670))))</formula>
    </cfRule>
  </conditionalFormatting>
  <conditionalFormatting sqref="O670 P669 P674 P676:P677 P679 P681 P684">
    <cfRule type="containsText" dxfId="9" priority="3904" operator="containsText" text="No">
      <formula>NOT(ISERROR(SEARCH(("No"),(O670))))</formula>
    </cfRule>
  </conditionalFormatting>
  <conditionalFormatting sqref="O670 P669 P674 P676:P677 P679 P681 P684">
    <cfRule type="containsText" dxfId="2" priority="3905" operator="containsText" text="Yes">
      <formula>NOT(ISERROR(SEARCH(("Yes"),(O670))))</formula>
    </cfRule>
  </conditionalFormatting>
  <conditionalFormatting sqref="O670 P669 P674 P676:P677 P679 P681 P684">
    <cfRule type="containsText" dxfId="9" priority="3906" operator="containsText" text="No">
      <formula>NOT(ISERROR(SEARCH(("No"),(O670))))</formula>
    </cfRule>
  </conditionalFormatting>
  <conditionalFormatting sqref="O670 P669 P674 P676:P677 P679 P681 P684">
    <cfRule type="containsText" dxfId="2" priority="3907" operator="containsText" text="Yes">
      <formula>NOT(ISERROR(SEARCH(("Yes"),(O670))))</formula>
    </cfRule>
  </conditionalFormatting>
  <conditionalFormatting sqref="O670 P669 P674 P676:P677 P679 P681 P684">
    <cfRule type="containsText" dxfId="9" priority="3908" operator="containsText" text="No">
      <formula>NOT(ISERROR(SEARCH(("No"),(O670))))</formula>
    </cfRule>
  </conditionalFormatting>
  <conditionalFormatting sqref="O670 P669 P674 P676:P677 P679 P681 P684">
    <cfRule type="containsText" dxfId="2" priority="3909" operator="containsText" text="Yes">
      <formula>NOT(ISERROR(SEARCH(("Yes"),(O670))))</formula>
    </cfRule>
  </conditionalFormatting>
  <conditionalFormatting sqref="O670 P669 P674 P676:P677 P679 P681 P684">
    <cfRule type="containsText" dxfId="9" priority="3910" operator="containsText" text="No">
      <formula>NOT(ISERROR(SEARCH(("No"),(O670))))</formula>
    </cfRule>
  </conditionalFormatting>
  <conditionalFormatting sqref="O670 P669 P674 P676:P677 P679 P681 P684">
    <cfRule type="containsText" dxfId="2" priority="3911" operator="containsText" text="Yes">
      <formula>NOT(ISERROR(SEARCH(("Yes"),(O670))))</formula>
    </cfRule>
  </conditionalFormatting>
  <conditionalFormatting sqref="O670 P669 P674 P676:P677 P679 P681 P684">
    <cfRule type="containsText" dxfId="9" priority="3912" operator="containsText" text="No">
      <formula>NOT(ISERROR(SEARCH(("No"),(O670))))</formula>
    </cfRule>
  </conditionalFormatting>
  <conditionalFormatting sqref="O670 P669 P674 P676:P677 P679 P681 P684">
    <cfRule type="containsText" dxfId="2" priority="3913" operator="containsText" text="Yes">
      <formula>NOT(ISERROR(SEARCH(("Yes"),(O670))))</formula>
    </cfRule>
  </conditionalFormatting>
  <conditionalFormatting sqref="O670 P669 P674 P676:P677 P679 P681 P684">
    <cfRule type="containsText" dxfId="9" priority="3914" operator="containsText" text="No">
      <formula>NOT(ISERROR(SEARCH(("No"),(O670))))</formula>
    </cfRule>
  </conditionalFormatting>
  <conditionalFormatting sqref="O670 P669 P674 P676:P677 P679 P681 P684">
    <cfRule type="containsText" dxfId="2" priority="3915" operator="containsText" text="Yes">
      <formula>NOT(ISERROR(SEARCH(("Yes"),(O670))))</formula>
    </cfRule>
  </conditionalFormatting>
  <conditionalFormatting sqref="O670 P669 P674 P676:P677 P679 P681 P684">
    <cfRule type="containsText" dxfId="9" priority="3916" operator="containsText" text="No">
      <formula>NOT(ISERROR(SEARCH(("No"),(O670))))</formula>
    </cfRule>
  </conditionalFormatting>
  <conditionalFormatting sqref="O670 P669 P674 P676:P677 P679 P681 P684">
    <cfRule type="containsText" dxfId="2" priority="3917" operator="containsText" text="Yes">
      <formula>NOT(ISERROR(SEARCH(("Yes"),(O670))))</formula>
    </cfRule>
  </conditionalFormatting>
  <conditionalFormatting sqref="O670 P669 P674 P676:P677 P679 P681 P684">
    <cfRule type="containsText" dxfId="9" priority="3918" operator="containsText" text="No">
      <formula>NOT(ISERROR(SEARCH(("No"),(O670))))</formula>
    </cfRule>
  </conditionalFormatting>
  <conditionalFormatting sqref="O670 P669 P674 P676:P677 P679 P681 P684">
    <cfRule type="containsText" dxfId="2" priority="3919" operator="containsText" text="Yes">
      <formula>NOT(ISERROR(SEARCH(("Yes"),(O670))))</formula>
    </cfRule>
  </conditionalFormatting>
  <conditionalFormatting sqref="O670 P669 P674 P676:P677 P679 P681 P684">
    <cfRule type="containsText" dxfId="9" priority="3920" operator="containsText" text="No">
      <formula>NOT(ISERROR(SEARCH(("No"),(O670))))</formula>
    </cfRule>
  </conditionalFormatting>
  <conditionalFormatting sqref="O670 P669 P674 P676:P677 P679 P681 P684">
    <cfRule type="containsText" dxfId="2" priority="3921" operator="containsText" text="Yes">
      <formula>NOT(ISERROR(SEARCH(("Yes"),(O670))))</formula>
    </cfRule>
  </conditionalFormatting>
  <conditionalFormatting sqref="O670 P669 P674 P676:P677 P679 P681 P684">
    <cfRule type="containsText" dxfId="9" priority="3922" operator="containsText" text="No">
      <formula>NOT(ISERROR(SEARCH(("No"),(O670))))</formula>
    </cfRule>
  </conditionalFormatting>
  <conditionalFormatting sqref="O670 P669 P674 P676:P677 P679 P681 P684">
    <cfRule type="containsText" dxfId="2" priority="3923" operator="containsText" text="Yes">
      <formula>NOT(ISERROR(SEARCH(("Yes"),(O670))))</formula>
    </cfRule>
  </conditionalFormatting>
  <conditionalFormatting sqref="O670 P669 P674 P676:P677 P679 P681 P684">
    <cfRule type="containsText" dxfId="9" priority="3924" operator="containsText" text="No">
      <formula>NOT(ISERROR(SEARCH(("No"),(O670))))</formula>
    </cfRule>
  </conditionalFormatting>
  <conditionalFormatting sqref="O670 P669 P674 P676:P677 P679 P681 P684">
    <cfRule type="containsText" dxfId="2" priority="3925" operator="containsText" text="Yes">
      <formula>NOT(ISERROR(SEARCH(("Yes"),(O670))))</formula>
    </cfRule>
  </conditionalFormatting>
  <conditionalFormatting sqref="O670 P669 P674 P676:P677 P679 P681 P684">
    <cfRule type="containsText" dxfId="9" priority="3926" operator="containsText" text="No">
      <formula>NOT(ISERROR(SEARCH(("No"),(O670))))</formula>
    </cfRule>
  </conditionalFormatting>
  <conditionalFormatting sqref="O670 P669 P674 P676:P677 P679 P681 P684">
    <cfRule type="containsText" dxfId="2" priority="3927" operator="containsText" text="Yes">
      <formula>NOT(ISERROR(SEARCH(("Yes"),(O670))))</formula>
    </cfRule>
  </conditionalFormatting>
  <conditionalFormatting sqref="O670 P669 P674 P676:P677 P679 P681 P684">
    <cfRule type="containsText" dxfId="9" priority="3928" operator="containsText" text="No">
      <formula>NOT(ISERROR(SEARCH(("No"),(O670))))</formula>
    </cfRule>
  </conditionalFormatting>
  <conditionalFormatting sqref="O670 P669 P674 P676:P677 P679 P681 P684">
    <cfRule type="containsText" dxfId="2" priority="3929" operator="containsText" text="Yes">
      <formula>NOT(ISERROR(SEARCH(("Yes"),(O670))))</formula>
    </cfRule>
  </conditionalFormatting>
  <conditionalFormatting sqref="O670 P669 P674 P676:P677 P679 P681 P684">
    <cfRule type="containsText" dxfId="9" priority="3930" operator="containsText" text="No">
      <formula>NOT(ISERROR(SEARCH(("No"),(O670))))</formula>
    </cfRule>
  </conditionalFormatting>
  <conditionalFormatting sqref="O670 P669 P674 P676:P677 P679 P681 P684">
    <cfRule type="containsText" dxfId="2" priority="3931" operator="containsText" text="Yes">
      <formula>NOT(ISERROR(SEARCH(("Yes"),(O670))))</formula>
    </cfRule>
  </conditionalFormatting>
  <conditionalFormatting sqref="O670 P669 P674 P676:P677 P679 P681 P684">
    <cfRule type="containsText" dxfId="9" priority="3932" operator="containsText" text="No">
      <formula>NOT(ISERROR(SEARCH(("No"),(O670))))</formula>
    </cfRule>
  </conditionalFormatting>
  <conditionalFormatting sqref="O670 P669 P674 P676:P677 P679 P681 P684">
    <cfRule type="containsText" dxfId="2" priority="3933" operator="containsText" text="Yes">
      <formula>NOT(ISERROR(SEARCH(("Yes"),(O670))))</formula>
    </cfRule>
  </conditionalFormatting>
  <conditionalFormatting sqref="O670 P669 P674 P676:P677 P679 P681 P684">
    <cfRule type="containsText" dxfId="9" priority="3934" operator="containsText" text="No">
      <formula>NOT(ISERROR(SEARCH(("No"),(O670))))</formula>
    </cfRule>
  </conditionalFormatting>
  <conditionalFormatting sqref="O670 P669 P674 P676:P677 P679 P681 P684">
    <cfRule type="containsText" dxfId="2" priority="3935" operator="containsText" text="Yes">
      <formula>NOT(ISERROR(SEARCH(("Yes"),(O670))))</formula>
    </cfRule>
  </conditionalFormatting>
  <conditionalFormatting sqref="O670 P669 P674 P676:P677 P679 P681 P684">
    <cfRule type="containsText" dxfId="9" priority="3936" operator="containsText" text="No">
      <formula>NOT(ISERROR(SEARCH(("No"),(O670))))</formula>
    </cfRule>
  </conditionalFormatting>
  <conditionalFormatting sqref="O670 P669 P674 P676:P677 P679 P681 P684">
    <cfRule type="containsText" dxfId="2" priority="3937" operator="containsText" text="Yes">
      <formula>NOT(ISERROR(SEARCH(("Yes"),(O670))))</formula>
    </cfRule>
  </conditionalFormatting>
  <conditionalFormatting sqref="O670 P669 P674 P676:P677 P679 P681 P684">
    <cfRule type="containsText" dxfId="9" priority="3938" operator="containsText" text="No">
      <formula>NOT(ISERROR(SEARCH(("No"),(O670))))</formula>
    </cfRule>
  </conditionalFormatting>
  <conditionalFormatting sqref="O670 P669 P674 P676:P677 P679 P681 P684">
    <cfRule type="containsText" dxfId="2" priority="3939" operator="containsText" text="Yes">
      <formula>NOT(ISERROR(SEARCH(("Yes"),(O670))))</formula>
    </cfRule>
  </conditionalFormatting>
  <conditionalFormatting sqref="O670 P669 P674 P676:P677 P679 P681 P684">
    <cfRule type="containsText" dxfId="9" priority="3940" operator="containsText" text="No">
      <formula>NOT(ISERROR(SEARCH(("No"),(O670))))</formula>
    </cfRule>
  </conditionalFormatting>
  <conditionalFormatting sqref="O670 P669 P674 P676:P677 P679 P681 P684">
    <cfRule type="containsText" dxfId="2" priority="3941" operator="containsText" text="Yes">
      <formula>NOT(ISERROR(SEARCH(("Yes"),(O670))))</formula>
    </cfRule>
  </conditionalFormatting>
  <conditionalFormatting sqref="O670 P669 P674 P676:P677 P679 P681 P684">
    <cfRule type="containsText" dxfId="9" priority="3942" operator="containsText" text="No">
      <formula>NOT(ISERROR(SEARCH(("No"),(O670))))</formula>
    </cfRule>
  </conditionalFormatting>
  <conditionalFormatting sqref="O670 P669 P674 P676:P677 P679 P681 P684">
    <cfRule type="containsText" dxfId="2" priority="3943" operator="containsText" text="Yes">
      <formula>NOT(ISERROR(SEARCH(("Yes"),(O670))))</formula>
    </cfRule>
  </conditionalFormatting>
  <conditionalFormatting sqref="O670 P669 P674 P676:P677 P679 P681 P684">
    <cfRule type="containsText" dxfId="9" priority="3944" operator="containsText" text="No">
      <formula>NOT(ISERROR(SEARCH(("No"),(O670))))</formula>
    </cfRule>
  </conditionalFormatting>
  <conditionalFormatting sqref="O670 P669 P674 P676:P677 P679 P681 P684">
    <cfRule type="containsText" dxfId="2" priority="3945" operator="containsText" text="Yes">
      <formula>NOT(ISERROR(SEARCH(("Yes"),(O670))))</formula>
    </cfRule>
  </conditionalFormatting>
  <conditionalFormatting sqref="O670 P669 P674 P676:P677 P679 P681 P684">
    <cfRule type="containsText" dxfId="9" priority="3946" operator="containsText" text="No">
      <formula>NOT(ISERROR(SEARCH(("No"),(O670))))</formula>
    </cfRule>
  </conditionalFormatting>
  <conditionalFormatting sqref="O670 P669 P674 P676:P677 P679 P681 P684">
    <cfRule type="containsText" dxfId="2" priority="3947" operator="containsText" text="Yes">
      <formula>NOT(ISERROR(SEARCH(("Yes"),(O670))))</formula>
    </cfRule>
  </conditionalFormatting>
  <conditionalFormatting sqref="O670 P669 P674 P676:P677 P679 P681 P684">
    <cfRule type="containsText" dxfId="9" priority="3948" operator="containsText" text="No">
      <formula>NOT(ISERROR(SEARCH(("No"),(O670))))</formula>
    </cfRule>
  </conditionalFormatting>
  <conditionalFormatting sqref="O670 P669 P674 P676:P677 P679 P681 P684">
    <cfRule type="containsText" dxfId="2" priority="3949" operator="containsText" text="Yes">
      <formula>NOT(ISERROR(SEARCH(("Yes"),(O670))))</formula>
    </cfRule>
  </conditionalFormatting>
  <conditionalFormatting sqref="O670 P669 P674 P676:P677 P679 P681 P684">
    <cfRule type="containsText" dxfId="9" priority="3950" operator="containsText" text="No">
      <formula>NOT(ISERROR(SEARCH(("No"),(O670))))</formula>
    </cfRule>
  </conditionalFormatting>
  <conditionalFormatting sqref="O670 P669 P674 P676:P677 P679 P681 P684">
    <cfRule type="containsText" dxfId="2" priority="3951" operator="containsText" text="Yes">
      <formula>NOT(ISERROR(SEARCH(("Yes"),(O670))))</formula>
    </cfRule>
  </conditionalFormatting>
  <conditionalFormatting sqref="O670 P669 P674 P676:P677 P679 P681 P684">
    <cfRule type="containsText" dxfId="9" priority="3952" operator="containsText" text="No">
      <formula>NOT(ISERROR(SEARCH(("No"),(O670))))</formula>
    </cfRule>
  </conditionalFormatting>
  <conditionalFormatting sqref="O670 P669 P674 P676:P677 P679 P681 P684">
    <cfRule type="containsText" dxfId="2" priority="3953" operator="containsText" text="Yes">
      <formula>NOT(ISERROR(SEARCH(("Yes"),(O670))))</formula>
    </cfRule>
  </conditionalFormatting>
  <conditionalFormatting sqref="O670 P669 P674 P676:P677 P679 P681 P684">
    <cfRule type="containsText" dxfId="9" priority="3954" operator="containsText" text="No">
      <formula>NOT(ISERROR(SEARCH(("No"),(O670))))</formula>
    </cfRule>
  </conditionalFormatting>
  <conditionalFormatting sqref="O670 P669 P674 P676:P677 P679 P681 P684">
    <cfRule type="containsText" dxfId="2" priority="3955" operator="containsText" text="Yes">
      <formula>NOT(ISERROR(SEARCH(("Yes"),(O670))))</formula>
    </cfRule>
  </conditionalFormatting>
  <conditionalFormatting sqref="O670 P669 P674 P676:P677 P679 P681 P684">
    <cfRule type="containsText" dxfId="9" priority="3956" operator="containsText" text="No">
      <formula>NOT(ISERROR(SEARCH(("No"),(O670))))</formula>
    </cfRule>
  </conditionalFormatting>
  <conditionalFormatting sqref="O670 P669 P674 P676:P677 P679 P681 P684">
    <cfRule type="containsText" dxfId="2" priority="3957" operator="containsText" text="Yes">
      <formula>NOT(ISERROR(SEARCH(("Yes"),(O670))))</formula>
    </cfRule>
  </conditionalFormatting>
  <conditionalFormatting sqref="O670 P669 P674 P676:P677 P679 P681 P684">
    <cfRule type="containsText" dxfId="9" priority="3958" operator="containsText" text="No">
      <formula>NOT(ISERROR(SEARCH(("No"),(O670))))</formula>
    </cfRule>
  </conditionalFormatting>
  <conditionalFormatting sqref="O670 P669 P674 P676:P677 P679 P681 P684">
    <cfRule type="containsText" dxfId="2" priority="3959" operator="containsText" text="Yes">
      <formula>NOT(ISERROR(SEARCH(("Yes"),(O670))))</formula>
    </cfRule>
  </conditionalFormatting>
  <conditionalFormatting sqref="O670 P669 P674 P676:P677 P679 P681 P684">
    <cfRule type="containsText" dxfId="9" priority="3960" operator="containsText" text="No">
      <formula>NOT(ISERROR(SEARCH(("No"),(O670))))</formula>
    </cfRule>
  </conditionalFormatting>
  <conditionalFormatting sqref="O670 P669 P674 P676:P677 P679 P681 P684">
    <cfRule type="containsText" dxfId="2" priority="3961" operator="containsText" text="Yes">
      <formula>NOT(ISERROR(SEARCH(("Yes"),(O670))))</formula>
    </cfRule>
  </conditionalFormatting>
  <conditionalFormatting sqref="O670 P669 P674 P676:P677 P679 P681 P684">
    <cfRule type="containsText" dxfId="9" priority="3962" operator="containsText" text="No">
      <formula>NOT(ISERROR(SEARCH(("No"),(O670))))</formula>
    </cfRule>
  </conditionalFormatting>
  <conditionalFormatting sqref="O670 P669 P674 P676:P677 P679 P681 P684">
    <cfRule type="containsText" dxfId="2" priority="3963" operator="containsText" text="Yes">
      <formula>NOT(ISERROR(SEARCH(("Yes"),(O670))))</formula>
    </cfRule>
  </conditionalFormatting>
  <conditionalFormatting sqref="O670 P669 P674 P676:P677 P679 P681 P684">
    <cfRule type="containsText" dxfId="9" priority="3964" operator="containsText" text="No">
      <formula>NOT(ISERROR(SEARCH(("No"),(O670))))</formula>
    </cfRule>
  </conditionalFormatting>
  <conditionalFormatting sqref="O670 P669 P674 P676:P677 P679 P681 P684">
    <cfRule type="containsText" dxfId="2" priority="3965" operator="containsText" text="Yes">
      <formula>NOT(ISERROR(SEARCH(("Yes"),(O670))))</formula>
    </cfRule>
  </conditionalFormatting>
  <conditionalFormatting sqref="O670 P669 P674 P676:P677 P679 P681 P684">
    <cfRule type="containsText" dxfId="9" priority="3966" operator="containsText" text="No">
      <formula>NOT(ISERROR(SEARCH(("No"),(O670))))</formula>
    </cfRule>
  </conditionalFormatting>
  <conditionalFormatting sqref="O670 P669 P674 P676:P677 P679 P681 P684">
    <cfRule type="containsText" dxfId="2" priority="3967" operator="containsText" text="Yes">
      <formula>NOT(ISERROR(SEARCH(("Yes"),(O670))))</formula>
    </cfRule>
  </conditionalFormatting>
  <conditionalFormatting sqref="O670 P669 P674 P676:P677 P679 P681 P684">
    <cfRule type="containsText" dxfId="9" priority="3968" operator="containsText" text="No">
      <formula>NOT(ISERROR(SEARCH(("No"),(O670))))</formula>
    </cfRule>
  </conditionalFormatting>
  <conditionalFormatting sqref="O670 P669 P674 P676:P677 P679 P681 P684">
    <cfRule type="containsText" dxfId="2" priority="3969" operator="containsText" text="Yes">
      <formula>NOT(ISERROR(SEARCH(("Yes"),(O670))))</formula>
    </cfRule>
  </conditionalFormatting>
  <conditionalFormatting sqref="O670 P669 P674 P676:P677 P679 P681 P684">
    <cfRule type="containsText" dxfId="9" priority="3970" operator="containsText" text="No">
      <formula>NOT(ISERROR(SEARCH(("No"),(O670))))</formula>
    </cfRule>
  </conditionalFormatting>
  <conditionalFormatting sqref="O670 P669 P674 P676:P677 P679 P681 P684">
    <cfRule type="containsText" dxfId="2" priority="3971" operator="containsText" text="Yes">
      <formula>NOT(ISERROR(SEARCH(("Yes"),(O670))))</formula>
    </cfRule>
  </conditionalFormatting>
  <conditionalFormatting sqref="O670 P669 P674 P676:P677 P679 P681 P684">
    <cfRule type="containsText" dxfId="9" priority="3972" operator="containsText" text="No">
      <formula>NOT(ISERROR(SEARCH(("No"),(O670))))</formula>
    </cfRule>
  </conditionalFormatting>
  <conditionalFormatting sqref="O670 P669 P674 P676:P677 P679 P681 P684">
    <cfRule type="containsText" dxfId="2" priority="3973" operator="containsText" text="Yes">
      <formula>NOT(ISERROR(SEARCH(("Yes"),(O670))))</formula>
    </cfRule>
  </conditionalFormatting>
  <conditionalFormatting sqref="O670 P669 P674 P676:P677 P679 P681 P684">
    <cfRule type="containsText" dxfId="9" priority="3974" operator="containsText" text="No">
      <formula>NOT(ISERROR(SEARCH(("No"),(O670))))</formula>
    </cfRule>
  </conditionalFormatting>
  <conditionalFormatting sqref="O670 P669 P674 P676:P677 P679 P681 P684">
    <cfRule type="containsText" dxfId="2" priority="3975" operator="containsText" text="Yes">
      <formula>NOT(ISERROR(SEARCH(("Yes"),(O670))))</formula>
    </cfRule>
  </conditionalFormatting>
  <conditionalFormatting sqref="O670 P669 P674 P676:P677 P679 P681 P684">
    <cfRule type="containsText" dxfId="9" priority="3976" operator="containsText" text="No">
      <formula>NOT(ISERROR(SEARCH(("No"),(O670))))</formula>
    </cfRule>
  </conditionalFormatting>
  <conditionalFormatting sqref="O670 P669 P674 P676:P677 P679 P681 P684">
    <cfRule type="containsText" dxfId="2" priority="3977" operator="containsText" text="Yes">
      <formula>NOT(ISERROR(SEARCH(("Yes"),(O670))))</formula>
    </cfRule>
  </conditionalFormatting>
  <conditionalFormatting sqref="O670 P669 P674 P676:P677 P679 P681 P684">
    <cfRule type="containsText" dxfId="9" priority="3978" operator="containsText" text="No">
      <formula>NOT(ISERROR(SEARCH(("No"),(O670))))</formula>
    </cfRule>
  </conditionalFormatting>
  <conditionalFormatting sqref="O670 P669 P674 P676:P677 P679 P681 P684">
    <cfRule type="containsText" dxfId="2" priority="3979" operator="containsText" text="Yes">
      <formula>NOT(ISERROR(SEARCH(("Yes"),(O670))))</formula>
    </cfRule>
  </conditionalFormatting>
  <conditionalFormatting sqref="O670 P669 P674 P676:P677 P679 P681 P684">
    <cfRule type="containsText" dxfId="9" priority="3980" operator="containsText" text="No">
      <formula>NOT(ISERROR(SEARCH(("No"),(O670))))</formula>
    </cfRule>
  </conditionalFormatting>
  <conditionalFormatting sqref="O670 P669 P674 P676:P677 P679 P681 P684">
    <cfRule type="containsText" dxfId="2" priority="3981" operator="containsText" text="Yes">
      <formula>NOT(ISERROR(SEARCH(("Yes"),(O670))))</formula>
    </cfRule>
  </conditionalFormatting>
  <conditionalFormatting sqref="O670 P669 P674 P676:P677 P679 P681 P684">
    <cfRule type="containsText" dxfId="9" priority="3982" operator="containsText" text="No">
      <formula>NOT(ISERROR(SEARCH(("No"),(O670))))</formula>
    </cfRule>
  </conditionalFormatting>
  <conditionalFormatting sqref="O670 P669 P674 P676:P677 P679 P681 P684">
    <cfRule type="containsText" dxfId="2" priority="3983" operator="containsText" text="Yes">
      <formula>NOT(ISERROR(SEARCH(("Yes"),(O670))))</formula>
    </cfRule>
  </conditionalFormatting>
  <conditionalFormatting sqref="O670 P669 P674 P676:P677 P679 P681 P684">
    <cfRule type="containsText" dxfId="9" priority="3984" operator="containsText" text="No">
      <formula>NOT(ISERROR(SEARCH(("No"),(O670))))</formula>
    </cfRule>
  </conditionalFormatting>
  <conditionalFormatting sqref="O670 P669 P674 P676:P677 P679 P681 P684">
    <cfRule type="containsText" dxfId="2" priority="3985" operator="containsText" text="Yes">
      <formula>NOT(ISERROR(SEARCH(("Yes"),(O670))))</formula>
    </cfRule>
  </conditionalFormatting>
  <conditionalFormatting sqref="O670 P669 P674 P676:P677 P679 P681 P684">
    <cfRule type="containsText" dxfId="9" priority="3986" operator="containsText" text="No">
      <formula>NOT(ISERROR(SEARCH(("No"),(O670))))</formula>
    </cfRule>
  </conditionalFormatting>
  <conditionalFormatting sqref="O670 P669 P674 P676:P677 P679 P681 P684">
    <cfRule type="containsText" dxfId="2" priority="3987" operator="containsText" text="Yes">
      <formula>NOT(ISERROR(SEARCH(("Yes"),(O670))))</formula>
    </cfRule>
  </conditionalFormatting>
  <conditionalFormatting sqref="O670 P669 P674 P676:P677 P679 P681 P684">
    <cfRule type="containsText" dxfId="9" priority="3988" operator="containsText" text="No">
      <formula>NOT(ISERROR(SEARCH(("No"),(O670))))</formula>
    </cfRule>
  </conditionalFormatting>
  <conditionalFormatting sqref="O670 P669 P674 P676:P677 P679 P681 P684">
    <cfRule type="containsText" dxfId="2" priority="3989" operator="containsText" text="Yes">
      <formula>NOT(ISERROR(SEARCH(("Yes"),(O670))))</formula>
    </cfRule>
  </conditionalFormatting>
  <conditionalFormatting sqref="O670 P669 P674 P676:P677 P679 P681 P684">
    <cfRule type="containsText" dxfId="9" priority="3990" operator="containsText" text="No">
      <formula>NOT(ISERROR(SEARCH(("No"),(O670))))</formula>
    </cfRule>
  </conditionalFormatting>
  <conditionalFormatting sqref="O670 P669 P674 P676:P677 P679 P681 P684">
    <cfRule type="containsText" dxfId="2" priority="3991" operator="containsText" text="Yes">
      <formula>NOT(ISERROR(SEARCH(("Yes"),(O670))))</formula>
    </cfRule>
  </conditionalFormatting>
  <conditionalFormatting sqref="O670 P669 P674 P676:P677 P679 P681 P684">
    <cfRule type="containsText" dxfId="9" priority="3992" operator="containsText" text="No">
      <formula>NOT(ISERROR(SEARCH(("No"),(O670))))</formula>
    </cfRule>
  </conditionalFormatting>
  <conditionalFormatting sqref="O670 P669 P674 P676:P677 P679 P681 P684">
    <cfRule type="containsText" dxfId="2" priority="3993" operator="containsText" text="Yes">
      <formula>NOT(ISERROR(SEARCH(("Yes"),(O670))))</formula>
    </cfRule>
  </conditionalFormatting>
  <conditionalFormatting sqref="O670 P669 P674 P676:P677 P679 P681 P684">
    <cfRule type="containsText" dxfId="9" priority="3994" operator="containsText" text="No">
      <formula>NOT(ISERROR(SEARCH(("No"),(O670))))</formula>
    </cfRule>
  </conditionalFormatting>
  <conditionalFormatting sqref="O670 P669 P674 P676:P677 P679 P681 P684">
    <cfRule type="containsText" dxfId="2" priority="3995" operator="containsText" text="Yes">
      <formula>NOT(ISERROR(SEARCH(("Yes"),(O670))))</formula>
    </cfRule>
  </conditionalFormatting>
  <conditionalFormatting sqref="O670 P669 P674 P676:P677 P679 P681 P684">
    <cfRule type="containsText" dxfId="9" priority="3996" operator="containsText" text="No">
      <formula>NOT(ISERROR(SEARCH(("No"),(O670))))</formula>
    </cfRule>
  </conditionalFormatting>
  <conditionalFormatting sqref="O670 P669 P674 P676:P677 P679 P681 P684">
    <cfRule type="containsText" dxfId="2" priority="3997" operator="containsText" text="Yes">
      <formula>NOT(ISERROR(SEARCH(("Yes"),(O670))))</formula>
    </cfRule>
  </conditionalFormatting>
  <conditionalFormatting sqref="O670 P669 P674 P676:P677 P679 P681 P684">
    <cfRule type="containsText" dxfId="9" priority="3998" operator="containsText" text="No">
      <formula>NOT(ISERROR(SEARCH(("No"),(O670))))</formula>
    </cfRule>
  </conditionalFormatting>
  <conditionalFormatting sqref="O670 P669 P674 P676:P677 P679 P681 P684">
    <cfRule type="containsText" dxfId="2" priority="3999" operator="containsText" text="Yes">
      <formula>NOT(ISERROR(SEARCH(("Yes"),(O670))))</formula>
    </cfRule>
  </conditionalFormatting>
  <conditionalFormatting sqref="O670 P669 P674 P676:P677 P679 P681 P684">
    <cfRule type="containsText" dxfId="9" priority="4000" operator="containsText" text="No">
      <formula>NOT(ISERROR(SEARCH(("No"),(O670))))</formula>
    </cfRule>
  </conditionalFormatting>
  <conditionalFormatting sqref="O670 P669 P674 P676:P677 P679 P681 P684">
    <cfRule type="containsText" dxfId="9" priority="4001" operator="containsText" text="No">
      <formula>NOT(ISERROR(SEARCH(("No"),(O670))))</formula>
    </cfRule>
  </conditionalFormatting>
  <conditionalFormatting sqref="O670 P669 P674 P676:P677 P679 P681 P684">
    <cfRule type="containsText" dxfId="2" priority="4002" operator="containsText" text="Yes">
      <formula>NOT(ISERROR(SEARCH(("Yes"),(O670))))</formula>
    </cfRule>
  </conditionalFormatting>
  <conditionalFormatting sqref="O670 P669 P674 P676:P677 P679 P681 P684">
    <cfRule type="containsText" dxfId="2" priority="4003" operator="containsText" text="Yes">
      <formula>NOT(ISERROR(SEARCH(("Yes"),(O670))))</formula>
    </cfRule>
  </conditionalFormatting>
  <conditionalFormatting sqref="O670 P669 P674 P676:P677 P679 P681 P684">
    <cfRule type="containsText" dxfId="9" priority="4004" operator="containsText" text="No">
      <formula>NOT(ISERROR(SEARCH(("No"),(O670))))</formula>
    </cfRule>
  </conditionalFormatting>
  <conditionalFormatting sqref="O670 P669 P674 P676:P677 P679 P681 P684">
    <cfRule type="containsText" dxfId="2" priority="4005" operator="containsText" text="Yes">
      <formula>NOT(ISERROR(SEARCH(("Yes"),(O670))))</formula>
    </cfRule>
  </conditionalFormatting>
  <conditionalFormatting sqref="O670 P669 P674 P676:P677 P679 P681 P684">
    <cfRule type="containsText" dxfId="9" priority="4006" operator="containsText" text="No">
      <formula>NOT(ISERROR(SEARCH(("No"),(O670))))</formula>
    </cfRule>
  </conditionalFormatting>
  <conditionalFormatting sqref="O670 P669 P674 P676:P677 P679 P681 P684">
    <cfRule type="containsText" dxfId="2" priority="4007" operator="containsText" text="Yes">
      <formula>NOT(ISERROR(SEARCH(("Yes"),(O670))))</formula>
    </cfRule>
  </conditionalFormatting>
  <conditionalFormatting sqref="O670 P669 P674 P676:P677 P679 P681 P684">
    <cfRule type="containsText" dxfId="9" priority="4008" operator="containsText" text="No">
      <formula>NOT(ISERROR(SEARCH(("No"),(O670))))</formula>
    </cfRule>
  </conditionalFormatting>
  <conditionalFormatting sqref="O670 P669 P674 P676:P677 P679 P681 P684">
    <cfRule type="containsText" dxfId="2" priority="4009" operator="containsText" text="Yes">
      <formula>NOT(ISERROR(SEARCH(("Yes"),(O670))))</formula>
    </cfRule>
  </conditionalFormatting>
  <conditionalFormatting sqref="O670 P669 P674 P676:P677 P679 P681 P684">
    <cfRule type="containsText" dxfId="9" priority="4010" operator="containsText" text="No">
      <formula>NOT(ISERROR(SEARCH(("No"),(O670))))</formula>
    </cfRule>
  </conditionalFormatting>
  <conditionalFormatting sqref="O670 P669 P674 P676:P677 P679 P681 P684">
    <cfRule type="containsText" dxfId="2" priority="4011" operator="containsText" text="Yes">
      <formula>NOT(ISERROR(SEARCH(("Yes"),(O670))))</formula>
    </cfRule>
  </conditionalFormatting>
  <conditionalFormatting sqref="O670 P669 P674 P676:P677 P679 P681 P684">
    <cfRule type="containsText" dxfId="9" priority="4012" operator="containsText" text="No">
      <formula>NOT(ISERROR(SEARCH(("No"),(O670))))</formula>
    </cfRule>
  </conditionalFormatting>
  <conditionalFormatting sqref="O670 P669 P674 P676:P677 P679 P681 P684">
    <cfRule type="containsText" dxfId="2" priority="4013" operator="containsText" text="Yes">
      <formula>NOT(ISERROR(SEARCH(("Yes"),(O670))))</formula>
    </cfRule>
  </conditionalFormatting>
  <conditionalFormatting sqref="O670 P669 P674 P676:P677 P679 P681 P684">
    <cfRule type="containsText" dxfId="9" priority="4014" operator="containsText" text="No">
      <formula>NOT(ISERROR(SEARCH(("No"),(O670))))</formula>
    </cfRule>
  </conditionalFormatting>
  <conditionalFormatting sqref="O670 P669 P674 P676:P677 P679 P681 P684">
    <cfRule type="containsText" dxfId="2" priority="4015" operator="containsText" text="Yes">
      <formula>NOT(ISERROR(SEARCH(("Yes"),(O670))))</formula>
    </cfRule>
  </conditionalFormatting>
  <conditionalFormatting sqref="O670 P669 P674 P676:P677 P679 P681 P684">
    <cfRule type="containsText" dxfId="9" priority="4016" operator="containsText" text="No">
      <formula>NOT(ISERROR(SEARCH(("No"),(O670))))</formula>
    </cfRule>
  </conditionalFormatting>
  <conditionalFormatting sqref="O670 P669 P674 P676:P677 P679 P681 P684">
    <cfRule type="containsText" dxfId="2" priority="4017" operator="containsText" text="Yes">
      <formula>NOT(ISERROR(SEARCH(("Yes"),(O670))))</formula>
    </cfRule>
  </conditionalFormatting>
  <conditionalFormatting sqref="O670 P669 P674 P676:P677 P679 P681 P684">
    <cfRule type="containsText" dxfId="9" priority="4018" operator="containsText" text="No">
      <formula>NOT(ISERROR(SEARCH(("No"),(O670))))</formula>
    </cfRule>
  </conditionalFormatting>
  <conditionalFormatting sqref="O670 P669 P674 P676:P677 P679 P681 P684">
    <cfRule type="containsText" dxfId="2" priority="4019" operator="containsText" text="Yes">
      <formula>NOT(ISERROR(SEARCH(("Yes"),(O670))))</formula>
    </cfRule>
  </conditionalFormatting>
  <conditionalFormatting sqref="O670 P669 P674 P676:P677 P679 P681 P684">
    <cfRule type="containsText" dxfId="9" priority="4020" operator="containsText" text="No">
      <formula>NOT(ISERROR(SEARCH(("No"),(O670))))</formula>
    </cfRule>
  </conditionalFormatting>
  <conditionalFormatting sqref="O670 P669 P674 P676:P677 P679 P681 P684">
    <cfRule type="containsText" dxfId="2" priority="4021" operator="containsText" text="Yes">
      <formula>NOT(ISERROR(SEARCH(("Yes"),(O670))))</formula>
    </cfRule>
  </conditionalFormatting>
  <conditionalFormatting sqref="O670 P669 P674 P676:P677 P679 P681 P684">
    <cfRule type="containsText" dxfId="9" priority="4022" operator="containsText" text="No">
      <formula>NOT(ISERROR(SEARCH(("No"),(O670))))</formula>
    </cfRule>
  </conditionalFormatting>
  <conditionalFormatting sqref="O670 P669 P674 P676:P677 P679 P681 P684">
    <cfRule type="containsText" dxfId="2" priority="4023" operator="containsText" text="Yes">
      <formula>NOT(ISERROR(SEARCH(("Yes"),(O670))))</formula>
    </cfRule>
  </conditionalFormatting>
  <conditionalFormatting sqref="O670 P669 P674 P676:P677 P679 P681 P684">
    <cfRule type="containsText" dxfId="9" priority="4024" operator="containsText" text="No">
      <formula>NOT(ISERROR(SEARCH(("No"),(O670))))</formula>
    </cfRule>
  </conditionalFormatting>
  <conditionalFormatting sqref="O670 P669 P674 P676:P677 P679 P681 P684">
    <cfRule type="containsText" dxfId="2" priority="4025" operator="containsText" text="Yes">
      <formula>NOT(ISERROR(SEARCH(("Yes"),(O670))))</formula>
    </cfRule>
  </conditionalFormatting>
  <conditionalFormatting sqref="O670 P669 P674 P676:P677 P679 P681 P684">
    <cfRule type="containsText" dxfId="9" priority="4026" operator="containsText" text="No">
      <formula>NOT(ISERROR(SEARCH(("No"),(O670))))</formula>
    </cfRule>
  </conditionalFormatting>
  <conditionalFormatting sqref="O670 P669 P674 P676:P677 P679 P681 P684">
    <cfRule type="containsText" dxfId="2" priority="4027" operator="containsText" text="Yes">
      <formula>NOT(ISERROR(SEARCH(("Yes"),(O670))))</formula>
    </cfRule>
  </conditionalFormatting>
  <conditionalFormatting sqref="O670 P669 P674 P676:P677 P679 P681 P684">
    <cfRule type="containsText" dxfId="9" priority="4028" operator="containsText" text="No">
      <formula>NOT(ISERROR(SEARCH(("No"),(O670))))</formula>
    </cfRule>
  </conditionalFormatting>
  <conditionalFormatting sqref="O670 P669 P674 P676:P677 P679 P681 P684">
    <cfRule type="containsText" dxfId="2" priority="4029" operator="containsText" text="Yes">
      <formula>NOT(ISERROR(SEARCH(("Yes"),(O670))))</formula>
    </cfRule>
  </conditionalFormatting>
  <conditionalFormatting sqref="O670 P669 P674 P676:P677 P679 P681 P684">
    <cfRule type="containsText" dxfId="9" priority="4030" operator="containsText" text="No">
      <formula>NOT(ISERROR(SEARCH(("No"),(O670))))</formula>
    </cfRule>
  </conditionalFormatting>
  <conditionalFormatting sqref="O670 P669 P674 P676:P677 P679 P681 P684">
    <cfRule type="containsText" dxfId="2" priority="4031" operator="containsText" text="Yes">
      <formula>NOT(ISERROR(SEARCH(("Yes"),(O670))))</formula>
    </cfRule>
  </conditionalFormatting>
  <conditionalFormatting sqref="O670 P669 P674 P676:P677 P679 P681 P684">
    <cfRule type="containsText" dxfId="9" priority="4032" operator="containsText" text="No">
      <formula>NOT(ISERROR(SEARCH(("No"),(O670))))</formula>
    </cfRule>
  </conditionalFormatting>
  <conditionalFormatting sqref="O670 P669 P674 P676:P677 P679 P681 P684">
    <cfRule type="containsText" dxfId="2" priority="4033" operator="containsText" text="Yes">
      <formula>NOT(ISERROR(SEARCH(("Yes"),(O670))))</formula>
    </cfRule>
  </conditionalFormatting>
  <conditionalFormatting sqref="O670 P669 P674 P676:P677 P679 P681 P684">
    <cfRule type="containsText" dxfId="9" priority="4034" operator="containsText" text="No">
      <formula>NOT(ISERROR(SEARCH(("No"),(O670))))</formula>
    </cfRule>
  </conditionalFormatting>
  <conditionalFormatting sqref="O670 P669 P674 P676:P677 P679 P681 P684">
    <cfRule type="containsText" dxfId="2" priority="4035" operator="containsText" text="Yes">
      <formula>NOT(ISERROR(SEARCH(("Yes"),(O670))))</formula>
    </cfRule>
  </conditionalFormatting>
  <conditionalFormatting sqref="O670 P669 P674 P676:P677 P679 P681 P684">
    <cfRule type="containsText" dxfId="9" priority="4036" operator="containsText" text="No">
      <formula>NOT(ISERROR(SEARCH(("No"),(O670))))</formula>
    </cfRule>
  </conditionalFormatting>
  <conditionalFormatting sqref="O670 P669 P674 P676:P677 P679 P681 P684">
    <cfRule type="containsText" dxfId="2" priority="4037" operator="containsText" text="Yes">
      <formula>NOT(ISERROR(SEARCH(("Yes"),(O670))))</formula>
    </cfRule>
  </conditionalFormatting>
  <conditionalFormatting sqref="O670 P669 P674 P676:P677 P679 P681 P684">
    <cfRule type="containsText" dxfId="9" priority="4038" operator="containsText" text="No">
      <formula>NOT(ISERROR(SEARCH(("No"),(O670))))</formula>
    </cfRule>
  </conditionalFormatting>
  <conditionalFormatting sqref="O670 P669 P674 P676:P677 P679 P681 P684">
    <cfRule type="containsText" dxfId="2" priority="4039" operator="containsText" text="Yes">
      <formula>NOT(ISERROR(SEARCH(("Yes"),(O670))))</formula>
    </cfRule>
  </conditionalFormatting>
  <conditionalFormatting sqref="O670 P669 P674 P676:P677 P679 P681 P684">
    <cfRule type="containsText" dxfId="9" priority="4040" operator="containsText" text="No">
      <formula>NOT(ISERROR(SEARCH(("No"),(O670))))</formula>
    </cfRule>
  </conditionalFormatting>
  <conditionalFormatting sqref="O670 P669 P674 P676:P677 P679 P681 P684">
    <cfRule type="containsText" dxfId="2" priority="4041" operator="containsText" text="Yes">
      <formula>NOT(ISERROR(SEARCH(("Yes"),(O670))))</formula>
    </cfRule>
  </conditionalFormatting>
  <conditionalFormatting sqref="O670 P669 P674 P676:P677 P679 P681 P684">
    <cfRule type="containsText" dxfId="9" priority="4042" operator="containsText" text="No">
      <formula>NOT(ISERROR(SEARCH(("No"),(O670))))</formula>
    </cfRule>
  </conditionalFormatting>
  <conditionalFormatting sqref="O670 P669 P674 P676:P677 P679 P681 P684">
    <cfRule type="containsText" dxfId="2" priority="4043" operator="containsText" text="Yes">
      <formula>NOT(ISERROR(SEARCH(("Yes"),(O670))))</formula>
    </cfRule>
  </conditionalFormatting>
  <conditionalFormatting sqref="O670 P669 P674 P676:P677 P679 P681 P684">
    <cfRule type="containsText" dxfId="9" priority="4044" operator="containsText" text="No">
      <formula>NOT(ISERROR(SEARCH(("No"),(O670))))</formula>
    </cfRule>
  </conditionalFormatting>
  <conditionalFormatting sqref="O670 P669 P674 P676:P677 P679 P681 P684">
    <cfRule type="containsText" dxfId="2" priority="4045" operator="containsText" text="Yes">
      <formula>NOT(ISERROR(SEARCH(("Yes"),(O670))))</formula>
    </cfRule>
  </conditionalFormatting>
  <conditionalFormatting sqref="O670 P669 P674 P676:P677 P679 P681 P684">
    <cfRule type="containsText" dxfId="9" priority="4046" operator="containsText" text="No">
      <formula>NOT(ISERROR(SEARCH(("No"),(O670))))</formula>
    </cfRule>
  </conditionalFormatting>
  <conditionalFormatting sqref="O670 P669 P674 P676:P677 P679 P681 P684">
    <cfRule type="containsText" dxfId="2" priority="4047" operator="containsText" text="Yes">
      <formula>NOT(ISERROR(SEARCH(("Yes"),(O670))))</formula>
    </cfRule>
  </conditionalFormatting>
  <conditionalFormatting sqref="O670 P669 P674 P676:P677 P679 P681 P684">
    <cfRule type="containsText" dxfId="9" priority="4048" operator="containsText" text="No">
      <formula>NOT(ISERROR(SEARCH(("No"),(O670))))</formula>
    </cfRule>
  </conditionalFormatting>
  <conditionalFormatting sqref="O670 P669 P674 P676:P677 P679 P681 P684">
    <cfRule type="containsText" dxfId="2" priority="4049" operator="containsText" text="Yes">
      <formula>NOT(ISERROR(SEARCH(("Yes"),(O670))))</formula>
    </cfRule>
  </conditionalFormatting>
  <conditionalFormatting sqref="O670 P669 P674 P676:P677 P679 P681 P684">
    <cfRule type="containsText" dxfId="9" priority="4050" operator="containsText" text="No">
      <formula>NOT(ISERROR(SEARCH(("No"),(O670))))</formula>
    </cfRule>
  </conditionalFormatting>
  <conditionalFormatting sqref="O670 P669 P674 P676:P677 P679 P681 P684">
    <cfRule type="containsText" dxfId="2" priority="4051" operator="containsText" text="Yes">
      <formula>NOT(ISERROR(SEARCH(("Yes"),(O670))))</formula>
    </cfRule>
  </conditionalFormatting>
  <conditionalFormatting sqref="O670 P669 P674 P676:P677 P679 P681 P684">
    <cfRule type="containsText" dxfId="9" priority="4052" operator="containsText" text="No">
      <formula>NOT(ISERROR(SEARCH(("No"),(O670))))</formula>
    </cfRule>
  </conditionalFormatting>
  <conditionalFormatting sqref="O670 P669 P674 P676:P677 P679 P681 P684">
    <cfRule type="containsText" dxfId="2" priority="4053" operator="containsText" text="Yes">
      <formula>NOT(ISERROR(SEARCH(("Yes"),(O670))))</formula>
    </cfRule>
  </conditionalFormatting>
  <conditionalFormatting sqref="O670 P669 P674 P676:P677 P679 P681 P684">
    <cfRule type="containsText" dxfId="9" priority="4054" operator="containsText" text="No">
      <formula>NOT(ISERROR(SEARCH(("No"),(O670))))</formula>
    </cfRule>
  </conditionalFormatting>
  <conditionalFormatting sqref="O670 P669 P674 P676:P677 P679 P681 P684">
    <cfRule type="containsText" dxfId="2" priority="4055" operator="containsText" text="Yes">
      <formula>NOT(ISERROR(SEARCH(("Yes"),(O670))))</formula>
    </cfRule>
  </conditionalFormatting>
  <conditionalFormatting sqref="O670 P669 P674 P676:P677 P679 P681 P684">
    <cfRule type="containsText" dxfId="9" priority="4056" operator="containsText" text="No">
      <formula>NOT(ISERROR(SEARCH(("No"),(O670))))</formula>
    </cfRule>
  </conditionalFormatting>
  <conditionalFormatting sqref="O670 P669 P674 P676:P677 P679 P681 P684">
    <cfRule type="containsText" dxfId="2" priority="4057" operator="containsText" text="Yes">
      <formula>NOT(ISERROR(SEARCH(("Yes"),(O670))))</formula>
    </cfRule>
  </conditionalFormatting>
  <conditionalFormatting sqref="O670 P669 P674 P676:P677 P679 P681 P684">
    <cfRule type="containsText" dxfId="9" priority="4058" operator="containsText" text="No">
      <formula>NOT(ISERROR(SEARCH(("No"),(O670))))</formula>
    </cfRule>
  </conditionalFormatting>
  <conditionalFormatting sqref="O670 P669 P674 P676:P677 P679 P681 P684">
    <cfRule type="containsText" dxfId="2" priority="4059" operator="containsText" text="Yes">
      <formula>NOT(ISERROR(SEARCH(("Yes"),(O670))))</formula>
    </cfRule>
  </conditionalFormatting>
  <conditionalFormatting sqref="O670 P669 P674 P676:P677 P679 P681 P684">
    <cfRule type="containsText" dxfId="9" priority="4060" operator="containsText" text="No">
      <formula>NOT(ISERROR(SEARCH(("No"),(O670))))</formula>
    </cfRule>
  </conditionalFormatting>
  <conditionalFormatting sqref="O670 P669 P674 P676:P677 P679 P681 P684">
    <cfRule type="containsText" dxfId="2" priority="4061" operator="containsText" text="Yes">
      <formula>NOT(ISERROR(SEARCH(("Yes"),(O670))))</formula>
    </cfRule>
  </conditionalFormatting>
  <conditionalFormatting sqref="O670 P669 P674 P676:P677 P679 P681 P684">
    <cfRule type="containsText" dxfId="9" priority="4062" operator="containsText" text="No">
      <formula>NOT(ISERROR(SEARCH(("No"),(O670))))</formula>
    </cfRule>
  </conditionalFormatting>
  <conditionalFormatting sqref="O670 P669 P674 P676:P677 P679 P681 P684">
    <cfRule type="containsText" dxfId="2" priority="4063" operator="containsText" text="Yes">
      <formula>NOT(ISERROR(SEARCH(("Yes"),(O670))))</formula>
    </cfRule>
  </conditionalFormatting>
  <conditionalFormatting sqref="O670 P669 P674 P676:P677 P679 P681 P684">
    <cfRule type="containsText" dxfId="9" priority="4064" operator="containsText" text="No">
      <formula>NOT(ISERROR(SEARCH(("No"),(O670))))</formula>
    </cfRule>
  </conditionalFormatting>
  <conditionalFormatting sqref="O670 P669 P674 P676:P677 P679 P681 P684">
    <cfRule type="containsText" dxfId="2" priority="4065" operator="containsText" text="Yes">
      <formula>NOT(ISERROR(SEARCH(("Yes"),(O670))))</formula>
    </cfRule>
  </conditionalFormatting>
  <conditionalFormatting sqref="O670 P669 P674 P676:P677 P679 P681 P684">
    <cfRule type="containsText" dxfId="9" priority="4066" operator="containsText" text="No">
      <formula>NOT(ISERROR(SEARCH(("No"),(O670))))</formula>
    </cfRule>
  </conditionalFormatting>
  <conditionalFormatting sqref="O670 P669 P674 P676:P677 P679 P681 P684">
    <cfRule type="containsText" dxfId="2" priority="4067" operator="containsText" text="Yes">
      <formula>NOT(ISERROR(SEARCH(("Yes"),(O670))))</formula>
    </cfRule>
  </conditionalFormatting>
  <conditionalFormatting sqref="O670 P669 P674 P676:P677 P679 P681 P684">
    <cfRule type="containsText" dxfId="9" priority="4068" operator="containsText" text="No">
      <formula>NOT(ISERROR(SEARCH(("No"),(O670))))</formula>
    </cfRule>
  </conditionalFormatting>
  <conditionalFormatting sqref="O670 P669 P674 P676:P677 P679 P681 P684">
    <cfRule type="containsText" dxfId="2" priority="4069" operator="containsText" text="Yes">
      <formula>NOT(ISERROR(SEARCH(("Yes"),(O670))))</formula>
    </cfRule>
  </conditionalFormatting>
  <conditionalFormatting sqref="O670 P669 P674 P676:P677 P679 P681 P684">
    <cfRule type="containsText" dxfId="9" priority="4070" operator="containsText" text="No">
      <formula>NOT(ISERROR(SEARCH(("No"),(O670))))</formula>
    </cfRule>
  </conditionalFormatting>
  <conditionalFormatting sqref="O670 P669 P674 P676:P677 P679 P681 P684">
    <cfRule type="containsText" dxfId="2" priority="4071" operator="containsText" text="Yes">
      <formula>NOT(ISERROR(SEARCH(("Yes"),(O670))))</formula>
    </cfRule>
  </conditionalFormatting>
  <conditionalFormatting sqref="O670 P669 P674 P676:P677 P679 P681 P684">
    <cfRule type="containsText" dxfId="9" priority="4072" operator="containsText" text="No">
      <formula>NOT(ISERROR(SEARCH(("No"),(O670))))</formula>
    </cfRule>
  </conditionalFormatting>
  <conditionalFormatting sqref="O670 P669 P674 P676:P677 P679 P681 P684">
    <cfRule type="containsText" dxfId="2" priority="4073" operator="containsText" text="Yes">
      <formula>NOT(ISERROR(SEARCH(("Yes"),(O670))))</formula>
    </cfRule>
  </conditionalFormatting>
  <conditionalFormatting sqref="O670 P669 P674 P676:P677 P679 P681 P684">
    <cfRule type="containsText" dxfId="9" priority="4074" operator="containsText" text="No">
      <formula>NOT(ISERROR(SEARCH(("No"),(O670))))</formula>
    </cfRule>
  </conditionalFormatting>
  <conditionalFormatting sqref="O670 P669 P674 P676:P677 P679 P681 P684">
    <cfRule type="containsText" dxfId="2" priority="4075" operator="containsText" text="Yes">
      <formula>NOT(ISERROR(SEARCH(("Yes"),(O670))))</formula>
    </cfRule>
  </conditionalFormatting>
  <conditionalFormatting sqref="O670 P669 P674 P676:P677 P679 P681 P684">
    <cfRule type="containsText" dxfId="9" priority="4076" operator="containsText" text="No">
      <formula>NOT(ISERROR(SEARCH(("No"),(O670))))</formula>
    </cfRule>
  </conditionalFormatting>
  <conditionalFormatting sqref="O670 P669 P674 P676:P677 P679 P681 P684">
    <cfRule type="containsText" dxfId="2" priority="4077" operator="containsText" text="Yes">
      <formula>NOT(ISERROR(SEARCH(("Yes"),(O670))))</formula>
    </cfRule>
  </conditionalFormatting>
  <conditionalFormatting sqref="O670 P669 P674 P676:P677 P679 P681 P684">
    <cfRule type="containsText" dxfId="9" priority="4078" operator="containsText" text="No">
      <formula>NOT(ISERROR(SEARCH(("No"),(O670))))</formula>
    </cfRule>
  </conditionalFormatting>
  <conditionalFormatting sqref="O670 P669 P674 P676:P677 P679 P681 P684">
    <cfRule type="containsText" dxfId="2" priority="4079" operator="containsText" text="Yes">
      <formula>NOT(ISERROR(SEARCH(("Yes"),(O670))))</formula>
    </cfRule>
  </conditionalFormatting>
  <conditionalFormatting sqref="O670 P669 P674 P676:P677 P679 P681 P684">
    <cfRule type="containsText" dxfId="9" priority="4080" operator="containsText" text="No">
      <formula>NOT(ISERROR(SEARCH(("No"),(O670))))</formula>
    </cfRule>
  </conditionalFormatting>
  <conditionalFormatting sqref="O670 P669 P674 P676:P677 P679 P681 P684">
    <cfRule type="containsText" dxfId="2" priority="4081" operator="containsText" text="Yes">
      <formula>NOT(ISERROR(SEARCH(("Yes"),(O670))))</formula>
    </cfRule>
  </conditionalFormatting>
  <conditionalFormatting sqref="O670 P669 P674 P676:P677 P679 P681 P684">
    <cfRule type="containsText" dxfId="9" priority="4082" operator="containsText" text="No">
      <formula>NOT(ISERROR(SEARCH(("No"),(O670))))</formula>
    </cfRule>
  </conditionalFormatting>
  <conditionalFormatting sqref="O670 P669 P674 P676:P677 P679 P681 P684">
    <cfRule type="containsText" dxfId="2" priority="4083" operator="containsText" text="Yes">
      <formula>NOT(ISERROR(SEARCH(("Yes"),(O670))))</formula>
    </cfRule>
  </conditionalFormatting>
  <conditionalFormatting sqref="O670 P669 P674 P676:P677 P679 P681 P684">
    <cfRule type="containsText" dxfId="9" priority="4084" operator="containsText" text="No">
      <formula>NOT(ISERROR(SEARCH(("No"),(O670))))</formula>
    </cfRule>
  </conditionalFormatting>
  <conditionalFormatting sqref="O670 P669 P674 P676:P677 P679 P681 P684">
    <cfRule type="containsText" dxfId="2" priority="4085" operator="containsText" text="Yes">
      <formula>NOT(ISERROR(SEARCH(("Yes"),(O670))))</formula>
    </cfRule>
  </conditionalFormatting>
  <conditionalFormatting sqref="O670 P669 P674 P676:P677 P679 P681 P684">
    <cfRule type="containsText" dxfId="9" priority="4086" operator="containsText" text="No">
      <formula>NOT(ISERROR(SEARCH(("No"),(O670))))</formula>
    </cfRule>
  </conditionalFormatting>
  <conditionalFormatting sqref="O670 P669 P674 P676:P677 P679 P681 P684">
    <cfRule type="containsText" dxfId="2" priority="4087" operator="containsText" text="Yes">
      <formula>NOT(ISERROR(SEARCH(("Yes"),(O670))))</formula>
    </cfRule>
  </conditionalFormatting>
  <conditionalFormatting sqref="O670 P669 P674 P676:P677 P679 P681 P684">
    <cfRule type="containsText" dxfId="9" priority="4088" operator="containsText" text="No">
      <formula>NOT(ISERROR(SEARCH(("No"),(O670))))</formula>
    </cfRule>
  </conditionalFormatting>
  <conditionalFormatting sqref="O670 P669 P674 P676:P677 P679 P681 P684">
    <cfRule type="containsText" dxfId="2" priority="4089" operator="containsText" text="Yes">
      <formula>NOT(ISERROR(SEARCH(("Yes"),(O670))))</formula>
    </cfRule>
  </conditionalFormatting>
  <conditionalFormatting sqref="O670 P669 P674 P676:P677 P679 P681 P684">
    <cfRule type="containsText" dxfId="9" priority="4090" operator="containsText" text="No">
      <formula>NOT(ISERROR(SEARCH(("No"),(O670))))</formula>
    </cfRule>
  </conditionalFormatting>
  <conditionalFormatting sqref="O670 P669 P674 P676:P677 P679 P681 P684">
    <cfRule type="containsText" dxfId="2" priority="4091" operator="containsText" text="Yes">
      <formula>NOT(ISERROR(SEARCH(("Yes"),(O670))))</formula>
    </cfRule>
  </conditionalFormatting>
  <conditionalFormatting sqref="O670 P669 P674 P676:P677 P679 P681 P684">
    <cfRule type="containsText" dxfId="9" priority="4092" operator="containsText" text="No">
      <formula>NOT(ISERROR(SEARCH(("No"),(O670))))</formula>
    </cfRule>
  </conditionalFormatting>
  <conditionalFormatting sqref="O670 P669 P674 P676:P677 P679 P681 P684">
    <cfRule type="containsText" dxfId="2" priority="4093" operator="containsText" text="Yes">
      <formula>NOT(ISERROR(SEARCH(("Yes"),(O670))))</formula>
    </cfRule>
  </conditionalFormatting>
  <conditionalFormatting sqref="O670 P669 P674 P676:P677 P679 P681 P684">
    <cfRule type="containsText" dxfId="9" priority="4094" operator="containsText" text="No">
      <formula>NOT(ISERROR(SEARCH(("No"),(O670))))</formula>
    </cfRule>
  </conditionalFormatting>
  <conditionalFormatting sqref="O670 P669 P674 P676:P677 P679 P681 P684">
    <cfRule type="containsText" dxfId="2" priority="4095" operator="containsText" text="Yes">
      <formula>NOT(ISERROR(SEARCH(("Yes"),(O670))))</formula>
    </cfRule>
  </conditionalFormatting>
  <conditionalFormatting sqref="O670 P669 P674 P676:P677 P679 P681 P684">
    <cfRule type="containsText" dxfId="9" priority="4096" operator="containsText" text="No">
      <formula>NOT(ISERROR(SEARCH(("No"),(O670))))</formula>
    </cfRule>
  </conditionalFormatting>
  <conditionalFormatting sqref="O670 P669 P674 P676:P677 P679 P681 P684">
    <cfRule type="containsText" dxfId="2" priority="4097" operator="containsText" text="Yes">
      <formula>NOT(ISERROR(SEARCH(("Yes"),(O670))))</formula>
    </cfRule>
  </conditionalFormatting>
  <conditionalFormatting sqref="O670 P669 P674 P676:P677 P679 P681 P684">
    <cfRule type="containsText" dxfId="9" priority="4098" operator="containsText" text="No">
      <formula>NOT(ISERROR(SEARCH(("No"),(O670))))</formula>
    </cfRule>
  </conditionalFormatting>
  <conditionalFormatting sqref="O670 P669 P674 P676:P677 P679 P681 P684">
    <cfRule type="containsText" dxfId="2" priority="4099" operator="containsText" text="Yes">
      <formula>NOT(ISERROR(SEARCH(("Yes"),(O670))))</formula>
    </cfRule>
  </conditionalFormatting>
  <conditionalFormatting sqref="O670 P669 P674 P676:P677 P679 P681 P684">
    <cfRule type="containsText" dxfId="9" priority="4100" operator="containsText" text="No">
      <formula>NOT(ISERROR(SEARCH(("No"),(O670))))</formula>
    </cfRule>
  </conditionalFormatting>
  <conditionalFormatting sqref="O670 P669 P674 P676:P677 P679 P681 P684">
    <cfRule type="containsText" dxfId="2" priority="4101" operator="containsText" text="Yes">
      <formula>NOT(ISERROR(SEARCH(("Yes"),(O670))))</formula>
    </cfRule>
  </conditionalFormatting>
  <conditionalFormatting sqref="O670 P669 P674 P676:P677 P679 P681 P684">
    <cfRule type="containsText" dxfId="9" priority="4102" operator="containsText" text="No">
      <formula>NOT(ISERROR(SEARCH(("No"),(O670))))</formula>
    </cfRule>
  </conditionalFormatting>
  <conditionalFormatting sqref="O670 P669 P674 P676:P677 P679 P681 P684">
    <cfRule type="containsText" dxfId="9" priority="4103" operator="containsText" text="No">
      <formula>NOT(ISERROR(SEARCH(("No"),(O670))))</formula>
    </cfRule>
  </conditionalFormatting>
  <conditionalFormatting sqref="O670 P669 P674 P676:P677 P679 P681 P684">
    <cfRule type="containsText" dxfId="9" priority="4104" operator="containsText" text="No">
      <formula>NOT(ISERROR(SEARCH(("No"),(O670))))</formula>
    </cfRule>
  </conditionalFormatting>
  <conditionalFormatting sqref="O670 P669 P674 P676:P677 P679 P681 P684">
    <cfRule type="containsText" dxfId="2" priority="4105" operator="containsText" text="Yes">
      <formula>NOT(ISERROR(SEARCH(("Yes"),(O670))))</formula>
    </cfRule>
  </conditionalFormatting>
  <conditionalFormatting sqref="O670 P669 P674 P676:P677 P679 P681 P684">
    <cfRule type="containsText" dxfId="9" priority="4106" operator="containsText" text="No">
      <formula>NOT(ISERROR(SEARCH(("No"),(O670))))</formula>
    </cfRule>
  </conditionalFormatting>
  <conditionalFormatting sqref="O670 P669 P674 P676:P677 P679 P681 P684">
    <cfRule type="containsText" dxfId="9" priority="4107" operator="containsText" text="No">
      <formula>NOT(ISERROR(SEARCH(("No"),(O670))))</formula>
    </cfRule>
  </conditionalFormatting>
  <conditionalFormatting sqref="O670 P669 P674 P676:P677 P679 P681 P684">
    <cfRule type="containsText" dxfId="9" priority="4108" operator="containsText" text="No">
      <formula>NOT(ISERROR(SEARCH(("No"),(O670))))</formula>
    </cfRule>
  </conditionalFormatting>
  <conditionalFormatting sqref="O670 P669 P674 P676:P677 P679 P681 P684">
    <cfRule type="containsText" dxfId="2" priority="4109" operator="containsText" text="Yes">
      <formula>NOT(ISERROR(SEARCH(("Yes"),(O670))))</formula>
    </cfRule>
  </conditionalFormatting>
  <conditionalFormatting sqref="O670 P669 P674 P676:P677 P679 P681 P684">
    <cfRule type="containsText" dxfId="9" priority="4110" operator="containsText" text="No">
      <formula>NOT(ISERROR(SEARCH(("No"),(O670))))</formula>
    </cfRule>
  </conditionalFormatting>
  <conditionalFormatting sqref="O670 P669 P674 P676:P677 P679 P681 P684">
    <cfRule type="containsText" dxfId="9" priority="4111" operator="containsText" text="No">
      <formula>NOT(ISERROR(SEARCH(("No"),(O670))))</formula>
    </cfRule>
  </conditionalFormatting>
  <conditionalFormatting sqref="O670 P669 P674 P676:P677 P679 P681 P684">
    <cfRule type="containsText" dxfId="9" priority="4112" operator="containsText" text="No">
      <formula>NOT(ISERROR(SEARCH(("No"),(O670))))</formula>
    </cfRule>
  </conditionalFormatting>
  <conditionalFormatting sqref="O670 P669 P674 P676:P677 P679 P681 P684">
    <cfRule type="containsText" dxfId="2" priority="4113" operator="containsText" text="Yes">
      <formula>NOT(ISERROR(SEARCH(("Yes"),(O670))))</formula>
    </cfRule>
  </conditionalFormatting>
  <conditionalFormatting sqref="O670 P669 P674 P676:P677 P679 P681 P684">
    <cfRule type="containsText" dxfId="9" priority="4114" operator="containsText" text="No">
      <formula>NOT(ISERROR(SEARCH(("No"),(O670))))</formula>
    </cfRule>
  </conditionalFormatting>
  <conditionalFormatting sqref="O670 P669 P674 P676:P677 P679 P681 P684">
    <cfRule type="containsText" dxfId="9" priority="4115" operator="containsText" text="No">
      <formula>NOT(ISERROR(SEARCH(("No"),(O670))))</formula>
    </cfRule>
  </conditionalFormatting>
  <conditionalFormatting sqref="P670">
    <cfRule type="containsText" dxfId="9" priority="4116" operator="containsText" text="No">
      <formula>NOT(ISERROR(SEARCH(("No"),(P670))))</formula>
    </cfRule>
  </conditionalFormatting>
  <conditionalFormatting sqref="P670">
    <cfRule type="containsText" dxfId="2" priority="4117" operator="containsText" text="Yes">
      <formula>NOT(ISERROR(SEARCH(("Yes"),(P670))))</formula>
    </cfRule>
  </conditionalFormatting>
  <conditionalFormatting sqref="P670">
    <cfRule type="containsText" dxfId="9" priority="4118" operator="containsText" text="No">
      <formula>NOT(ISERROR(SEARCH(("No"),(P670))))</formula>
    </cfRule>
  </conditionalFormatting>
  <conditionalFormatting sqref="P670">
    <cfRule type="containsText" dxfId="2" priority="4119" operator="containsText" text="Yes">
      <formula>NOT(ISERROR(SEARCH(("Yes"),(P670))))</formula>
    </cfRule>
  </conditionalFormatting>
  <conditionalFormatting sqref="P670">
    <cfRule type="containsText" dxfId="9" priority="4120" operator="containsText" text="No">
      <formula>NOT(ISERROR(SEARCH(("No"),(P670))))</formula>
    </cfRule>
  </conditionalFormatting>
  <conditionalFormatting sqref="P670">
    <cfRule type="containsText" dxfId="2" priority="4121" operator="containsText" text="Yes">
      <formula>NOT(ISERROR(SEARCH(("Yes"),(P670))))</formula>
    </cfRule>
  </conditionalFormatting>
  <conditionalFormatting sqref="P670">
    <cfRule type="containsText" dxfId="9" priority="4122" operator="containsText" text="No">
      <formula>NOT(ISERROR(SEARCH(("No"),(P670))))</formula>
    </cfRule>
  </conditionalFormatting>
  <conditionalFormatting sqref="P670">
    <cfRule type="containsText" dxfId="2" priority="4123" operator="containsText" text="Yes">
      <formula>NOT(ISERROR(SEARCH(("Yes"),(P670))))</formula>
    </cfRule>
  </conditionalFormatting>
  <conditionalFormatting sqref="P670">
    <cfRule type="containsText" dxfId="9" priority="4124" operator="containsText" text="No">
      <formula>NOT(ISERROR(SEARCH(("No"),(P670))))</formula>
    </cfRule>
  </conditionalFormatting>
  <conditionalFormatting sqref="P670">
    <cfRule type="containsText" dxfId="2" priority="4125" operator="containsText" text="Yes">
      <formula>NOT(ISERROR(SEARCH(("Yes"),(P670))))</formula>
    </cfRule>
  </conditionalFormatting>
  <conditionalFormatting sqref="P670">
    <cfRule type="containsText" dxfId="9" priority="4126" operator="containsText" text="No">
      <formula>NOT(ISERROR(SEARCH(("No"),(P670))))</formula>
    </cfRule>
  </conditionalFormatting>
  <conditionalFormatting sqref="P670">
    <cfRule type="containsText" dxfId="2" priority="4127" operator="containsText" text="Yes">
      <formula>NOT(ISERROR(SEARCH(("Yes"),(P670))))</formula>
    </cfRule>
  </conditionalFormatting>
  <conditionalFormatting sqref="P670">
    <cfRule type="containsText" dxfId="9" priority="4128" operator="containsText" text="No">
      <formula>NOT(ISERROR(SEARCH(("No"),(P670))))</formula>
    </cfRule>
  </conditionalFormatting>
  <conditionalFormatting sqref="P670">
    <cfRule type="containsText" dxfId="2" priority="4129" operator="containsText" text="Yes">
      <formula>NOT(ISERROR(SEARCH(("Yes"),(P670))))</formula>
    </cfRule>
  </conditionalFormatting>
  <conditionalFormatting sqref="P670">
    <cfRule type="containsText" dxfId="9" priority="4130" operator="containsText" text="No">
      <formula>NOT(ISERROR(SEARCH(("No"),(P670))))</formula>
    </cfRule>
  </conditionalFormatting>
  <conditionalFormatting sqref="P670">
    <cfRule type="containsText" dxfId="2" priority="4131" operator="containsText" text="Yes">
      <formula>NOT(ISERROR(SEARCH(("Yes"),(P670))))</formula>
    </cfRule>
  </conditionalFormatting>
  <conditionalFormatting sqref="P670">
    <cfRule type="containsText" dxfId="9" priority="4132" operator="containsText" text="No">
      <formula>NOT(ISERROR(SEARCH(("No"),(P670))))</formula>
    </cfRule>
  </conditionalFormatting>
  <conditionalFormatting sqref="P670">
    <cfRule type="containsText" dxfId="2" priority="4133" operator="containsText" text="Yes">
      <formula>NOT(ISERROR(SEARCH(("Yes"),(P670))))</formula>
    </cfRule>
  </conditionalFormatting>
  <conditionalFormatting sqref="P670">
    <cfRule type="containsText" dxfId="9" priority="4134" operator="containsText" text="No">
      <formula>NOT(ISERROR(SEARCH(("No"),(P670))))</formula>
    </cfRule>
  </conditionalFormatting>
  <conditionalFormatting sqref="P670">
    <cfRule type="containsText" dxfId="2" priority="4135" operator="containsText" text="Yes">
      <formula>NOT(ISERROR(SEARCH(("Yes"),(P670))))</formula>
    </cfRule>
  </conditionalFormatting>
  <conditionalFormatting sqref="P670">
    <cfRule type="containsText" dxfId="9" priority="4136" operator="containsText" text="No">
      <formula>NOT(ISERROR(SEARCH(("No"),(P670))))</formula>
    </cfRule>
  </conditionalFormatting>
  <conditionalFormatting sqref="P670">
    <cfRule type="containsText" dxfId="2" priority="4137" operator="containsText" text="Yes">
      <formula>NOT(ISERROR(SEARCH(("Yes"),(P670))))</formula>
    </cfRule>
  </conditionalFormatting>
  <conditionalFormatting sqref="P670">
    <cfRule type="containsText" dxfId="9" priority="4138" operator="containsText" text="No">
      <formula>NOT(ISERROR(SEARCH(("No"),(P670))))</formula>
    </cfRule>
  </conditionalFormatting>
  <conditionalFormatting sqref="P670">
    <cfRule type="containsText" dxfId="2" priority="4139" operator="containsText" text="Yes">
      <formula>NOT(ISERROR(SEARCH(("Yes"),(P670))))</formula>
    </cfRule>
  </conditionalFormatting>
  <conditionalFormatting sqref="P670">
    <cfRule type="containsText" dxfId="9" priority="4140" operator="containsText" text="No">
      <formula>NOT(ISERROR(SEARCH(("No"),(P670))))</formula>
    </cfRule>
  </conditionalFormatting>
  <conditionalFormatting sqref="P670">
    <cfRule type="containsText" dxfId="2" priority="4141" operator="containsText" text="Yes">
      <formula>NOT(ISERROR(SEARCH(("Yes"),(P670))))</formula>
    </cfRule>
  </conditionalFormatting>
  <conditionalFormatting sqref="P670">
    <cfRule type="containsText" dxfId="9" priority="4142" operator="containsText" text="No">
      <formula>NOT(ISERROR(SEARCH(("No"),(P670))))</formula>
    </cfRule>
  </conditionalFormatting>
  <conditionalFormatting sqref="P670">
    <cfRule type="containsText" dxfId="2" priority="4143" operator="containsText" text="Yes">
      <formula>NOT(ISERROR(SEARCH(("Yes"),(P670))))</formula>
    </cfRule>
  </conditionalFormatting>
  <conditionalFormatting sqref="P670">
    <cfRule type="containsText" dxfId="9" priority="4144" operator="containsText" text="No">
      <formula>NOT(ISERROR(SEARCH(("No"),(P670))))</formula>
    </cfRule>
  </conditionalFormatting>
  <conditionalFormatting sqref="P670">
    <cfRule type="containsText" dxfId="2" priority="4145" operator="containsText" text="Yes">
      <formula>NOT(ISERROR(SEARCH(("Yes"),(P670))))</formula>
    </cfRule>
  </conditionalFormatting>
  <conditionalFormatting sqref="P670">
    <cfRule type="containsText" dxfId="9" priority="4146" operator="containsText" text="No">
      <formula>NOT(ISERROR(SEARCH(("No"),(P670))))</formula>
    </cfRule>
  </conditionalFormatting>
  <conditionalFormatting sqref="P670">
    <cfRule type="containsText" dxfId="2" priority="4147" operator="containsText" text="Yes">
      <formula>NOT(ISERROR(SEARCH(("Yes"),(P670))))</formula>
    </cfRule>
  </conditionalFormatting>
  <conditionalFormatting sqref="P670">
    <cfRule type="containsText" dxfId="9" priority="4148" operator="containsText" text="No">
      <formula>NOT(ISERROR(SEARCH(("No"),(P670))))</formula>
    </cfRule>
  </conditionalFormatting>
  <conditionalFormatting sqref="P670">
    <cfRule type="containsText" dxfId="2" priority="4149" operator="containsText" text="Yes">
      <formula>NOT(ISERROR(SEARCH(("Yes"),(P670))))</formula>
    </cfRule>
  </conditionalFormatting>
  <conditionalFormatting sqref="P670">
    <cfRule type="containsText" dxfId="9" priority="4150" operator="containsText" text="No">
      <formula>NOT(ISERROR(SEARCH(("No"),(P670))))</formula>
    </cfRule>
  </conditionalFormatting>
  <conditionalFormatting sqref="P670">
    <cfRule type="containsText" dxfId="2" priority="4151" operator="containsText" text="Yes">
      <formula>NOT(ISERROR(SEARCH(("Yes"),(P670))))</formula>
    </cfRule>
  </conditionalFormatting>
  <conditionalFormatting sqref="P670">
    <cfRule type="containsText" dxfId="9" priority="4152" operator="containsText" text="No">
      <formula>NOT(ISERROR(SEARCH(("No"),(P670))))</formula>
    </cfRule>
  </conditionalFormatting>
  <conditionalFormatting sqref="P670">
    <cfRule type="containsText" dxfId="2" priority="4153" operator="containsText" text="Yes">
      <formula>NOT(ISERROR(SEARCH(("Yes"),(P670))))</formula>
    </cfRule>
  </conditionalFormatting>
  <conditionalFormatting sqref="P670">
    <cfRule type="containsText" dxfId="9" priority="4154" operator="containsText" text="No">
      <formula>NOT(ISERROR(SEARCH(("No"),(P670))))</formula>
    </cfRule>
  </conditionalFormatting>
  <conditionalFormatting sqref="P670">
    <cfRule type="containsText" dxfId="2" priority="4155" operator="containsText" text="Yes">
      <formula>NOT(ISERROR(SEARCH(("Yes"),(P670))))</formula>
    </cfRule>
  </conditionalFormatting>
  <conditionalFormatting sqref="P670">
    <cfRule type="containsText" dxfId="9" priority="4156" operator="containsText" text="No">
      <formula>NOT(ISERROR(SEARCH(("No"),(P670))))</formula>
    </cfRule>
  </conditionalFormatting>
  <conditionalFormatting sqref="P670">
    <cfRule type="containsText" dxfId="2" priority="4157" operator="containsText" text="Yes">
      <formula>NOT(ISERROR(SEARCH(("Yes"),(P670))))</formula>
    </cfRule>
  </conditionalFormatting>
  <conditionalFormatting sqref="P670">
    <cfRule type="containsText" dxfId="9" priority="4158" operator="containsText" text="No">
      <formula>NOT(ISERROR(SEARCH(("No"),(P670))))</formula>
    </cfRule>
  </conditionalFormatting>
  <conditionalFormatting sqref="P670">
    <cfRule type="containsText" dxfId="2" priority="4159" operator="containsText" text="Yes">
      <formula>NOT(ISERROR(SEARCH(("Yes"),(P670))))</formula>
    </cfRule>
  </conditionalFormatting>
  <conditionalFormatting sqref="P670">
    <cfRule type="containsText" dxfId="9" priority="4160" operator="containsText" text="No">
      <formula>NOT(ISERROR(SEARCH(("No"),(P670))))</formula>
    </cfRule>
  </conditionalFormatting>
  <conditionalFormatting sqref="P670">
    <cfRule type="containsText" dxfId="2" priority="4161" operator="containsText" text="Yes">
      <formula>NOT(ISERROR(SEARCH(("Yes"),(P670))))</formula>
    </cfRule>
  </conditionalFormatting>
  <conditionalFormatting sqref="P670">
    <cfRule type="containsText" dxfId="9" priority="4162" operator="containsText" text="No">
      <formula>NOT(ISERROR(SEARCH(("No"),(P670))))</formula>
    </cfRule>
  </conditionalFormatting>
  <conditionalFormatting sqref="P670">
    <cfRule type="containsText" dxfId="2" priority="4163" operator="containsText" text="Yes">
      <formula>NOT(ISERROR(SEARCH(("Yes"),(P670))))</formula>
    </cfRule>
  </conditionalFormatting>
  <conditionalFormatting sqref="P670">
    <cfRule type="containsText" dxfId="9" priority="4164" operator="containsText" text="No">
      <formula>NOT(ISERROR(SEARCH(("No"),(P670))))</formula>
    </cfRule>
  </conditionalFormatting>
  <conditionalFormatting sqref="P670">
    <cfRule type="containsText" dxfId="2" priority="4165" operator="containsText" text="Yes">
      <formula>NOT(ISERROR(SEARCH(("Yes"),(P670))))</formula>
    </cfRule>
  </conditionalFormatting>
  <conditionalFormatting sqref="P670">
    <cfRule type="containsText" dxfId="9" priority="4166" operator="containsText" text="No">
      <formula>NOT(ISERROR(SEARCH(("No"),(P670))))</formula>
    </cfRule>
  </conditionalFormatting>
  <conditionalFormatting sqref="P670">
    <cfRule type="containsText" dxfId="2" priority="4167" operator="containsText" text="Yes">
      <formula>NOT(ISERROR(SEARCH(("Yes"),(P670))))</formula>
    </cfRule>
  </conditionalFormatting>
  <conditionalFormatting sqref="P670">
    <cfRule type="containsText" dxfId="9" priority="4168" operator="containsText" text="No">
      <formula>NOT(ISERROR(SEARCH(("No"),(P670))))</formula>
    </cfRule>
  </conditionalFormatting>
  <conditionalFormatting sqref="P670">
    <cfRule type="containsText" dxfId="2" priority="4169" operator="containsText" text="Yes">
      <formula>NOT(ISERROR(SEARCH(("Yes"),(P670))))</formula>
    </cfRule>
  </conditionalFormatting>
  <conditionalFormatting sqref="P670">
    <cfRule type="containsText" dxfId="9" priority="4170" operator="containsText" text="No">
      <formula>NOT(ISERROR(SEARCH(("No"),(P670))))</formula>
    </cfRule>
  </conditionalFormatting>
  <conditionalFormatting sqref="P670">
    <cfRule type="containsText" dxfId="2" priority="4171" operator="containsText" text="Yes">
      <formula>NOT(ISERROR(SEARCH(("Yes"),(P670))))</formula>
    </cfRule>
  </conditionalFormatting>
  <conditionalFormatting sqref="P670">
    <cfRule type="containsText" dxfId="9" priority="4172" operator="containsText" text="No">
      <formula>NOT(ISERROR(SEARCH(("No"),(P670))))</formula>
    </cfRule>
  </conditionalFormatting>
  <conditionalFormatting sqref="P670">
    <cfRule type="containsText" dxfId="2" priority="4173" operator="containsText" text="Yes">
      <formula>NOT(ISERROR(SEARCH(("Yes"),(P670))))</formula>
    </cfRule>
  </conditionalFormatting>
  <conditionalFormatting sqref="P670">
    <cfRule type="containsText" dxfId="9" priority="4174" operator="containsText" text="No">
      <formula>NOT(ISERROR(SEARCH(("No"),(P670))))</formula>
    </cfRule>
  </conditionalFormatting>
  <conditionalFormatting sqref="P670">
    <cfRule type="containsText" dxfId="2" priority="4175" operator="containsText" text="Yes">
      <formula>NOT(ISERROR(SEARCH(("Yes"),(P670))))</formula>
    </cfRule>
  </conditionalFormatting>
  <conditionalFormatting sqref="P670">
    <cfRule type="containsText" dxfId="9" priority="4176" operator="containsText" text="No">
      <formula>NOT(ISERROR(SEARCH(("No"),(P670))))</formula>
    </cfRule>
  </conditionalFormatting>
  <conditionalFormatting sqref="P670">
    <cfRule type="containsText" dxfId="2" priority="4177" operator="containsText" text="Yes">
      <formula>NOT(ISERROR(SEARCH(("Yes"),(P670))))</formula>
    </cfRule>
  </conditionalFormatting>
  <conditionalFormatting sqref="P670">
    <cfRule type="containsText" dxfId="9" priority="4178" operator="containsText" text="No">
      <formula>NOT(ISERROR(SEARCH(("No"),(P670))))</formula>
    </cfRule>
  </conditionalFormatting>
  <conditionalFormatting sqref="P670">
    <cfRule type="containsText" dxfId="2" priority="4179" operator="containsText" text="Yes">
      <formula>NOT(ISERROR(SEARCH(("Yes"),(P670))))</formula>
    </cfRule>
  </conditionalFormatting>
  <conditionalFormatting sqref="P670">
    <cfRule type="containsText" dxfId="9" priority="4180" operator="containsText" text="No">
      <formula>NOT(ISERROR(SEARCH(("No"),(P670))))</formula>
    </cfRule>
  </conditionalFormatting>
  <conditionalFormatting sqref="P670">
    <cfRule type="containsText" dxfId="2" priority="4181" operator="containsText" text="Yes">
      <formula>NOT(ISERROR(SEARCH(("Yes"),(P670))))</formula>
    </cfRule>
  </conditionalFormatting>
  <conditionalFormatting sqref="P670">
    <cfRule type="containsText" dxfId="9" priority="4182" operator="containsText" text="No">
      <formula>NOT(ISERROR(SEARCH(("No"),(P670))))</formula>
    </cfRule>
  </conditionalFormatting>
  <conditionalFormatting sqref="P670">
    <cfRule type="containsText" dxfId="2" priority="4183" operator="containsText" text="Yes">
      <formula>NOT(ISERROR(SEARCH(("Yes"),(P670))))</formula>
    </cfRule>
  </conditionalFormatting>
  <conditionalFormatting sqref="P670">
    <cfRule type="containsText" dxfId="9" priority="4184" operator="containsText" text="No">
      <formula>NOT(ISERROR(SEARCH(("No"),(P670))))</formula>
    </cfRule>
  </conditionalFormatting>
  <conditionalFormatting sqref="P670">
    <cfRule type="containsText" dxfId="2" priority="4185" operator="containsText" text="Yes">
      <formula>NOT(ISERROR(SEARCH(("Yes"),(P670))))</formula>
    </cfRule>
  </conditionalFormatting>
  <conditionalFormatting sqref="P670">
    <cfRule type="containsText" dxfId="9" priority="4186" operator="containsText" text="No">
      <formula>NOT(ISERROR(SEARCH(("No"),(P670))))</formula>
    </cfRule>
  </conditionalFormatting>
  <conditionalFormatting sqref="P670">
    <cfRule type="containsText" dxfId="2" priority="4187" operator="containsText" text="Yes">
      <formula>NOT(ISERROR(SEARCH(("Yes"),(P670))))</formula>
    </cfRule>
  </conditionalFormatting>
  <conditionalFormatting sqref="P670">
    <cfRule type="containsText" dxfId="9" priority="4188" operator="containsText" text="No">
      <formula>NOT(ISERROR(SEARCH(("No"),(P670))))</formula>
    </cfRule>
  </conditionalFormatting>
  <conditionalFormatting sqref="P670">
    <cfRule type="containsText" dxfId="2" priority="4189" operator="containsText" text="Yes">
      <formula>NOT(ISERROR(SEARCH(("Yes"),(P670))))</formula>
    </cfRule>
  </conditionalFormatting>
  <conditionalFormatting sqref="P670">
    <cfRule type="containsText" dxfId="9" priority="4190" operator="containsText" text="No">
      <formula>NOT(ISERROR(SEARCH(("No"),(P670))))</formula>
    </cfRule>
  </conditionalFormatting>
  <conditionalFormatting sqref="P670">
    <cfRule type="containsText" dxfId="2" priority="4191" operator="containsText" text="Yes">
      <formula>NOT(ISERROR(SEARCH(("Yes"),(P670))))</formula>
    </cfRule>
  </conditionalFormatting>
  <conditionalFormatting sqref="P670">
    <cfRule type="containsText" dxfId="9" priority="4192" operator="containsText" text="No">
      <formula>NOT(ISERROR(SEARCH(("No"),(P670))))</formula>
    </cfRule>
  </conditionalFormatting>
  <conditionalFormatting sqref="P670">
    <cfRule type="containsText" dxfId="2" priority="4193" operator="containsText" text="Yes">
      <formula>NOT(ISERROR(SEARCH(("Yes"),(P670))))</formula>
    </cfRule>
  </conditionalFormatting>
  <conditionalFormatting sqref="P670">
    <cfRule type="containsText" dxfId="9" priority="4194" operator="containsText" text="No">
      <formula>NOT(ISERROR(SEARCH(("No"),(P670))))</formula>
    </cfRule>
  </conditionalFormatting>
  <conditionalFormatting sqref="P670">
    <cfRule type="containsText" dxfId="2" priority="4195" operator="containsText" text="Yes">
      <formula>NOT(ISERROR(SEARCH(("Yes"),(P670))))</formula>
    </cfRule>
  </conditionalFormatting>
  <conditionalFormatting sqref="P670">
    <cfRule type="containsText" dxfId="9" priority="4196" operator="containsText" text="No">
      <formula>NOT(ISERROR(SEARCH(("No"),(P670))))</formula>
    </cfRule>
  </conditionalFormatting>
  <conditionalFormatting sqref="P670">
    <cfRule type="containsText" dxfId="2" priority="4197" operator="containsText" text="Yes">
      <formula>NOT(ISERROR(SEARCH(("Yes"),(P670))))</formula>
    </cfRule>
  </conditionalFormatting>
  <conditionalFormatting sqref="P670">
    <cfRule type="containsText" dxfId="9" priority="4198" operator="containsText" text="No">
      <formula>NOT(ISERROR(SEARCH(("No"),(P670))))</formula>
    </cfRule>
  </conditionalFormatting>
  <conditionalFormatting sqref="P670">
    <cfRule type="containsText" dxfId="2" priority="4199" operator="containsText" text="Yes">
      <formula>NOT(ISERROR(SEARCH(("Yes"),(P670))))</formula>
    </cfRule>
  </conditionalFormatting>
  <conditionalFormatting sqref="P670">
    <cfRule type="containsText" dxfId="9" priority="4200" operator="containsText" text="No">
      <formula>NOT(ISERROR(SEARCH(("No"),(P670))))</formula>
    </cfRule>
  </conditionalFormatting>
  <conditionalFormatting sqref="P670">
    <cfRule type="containsText" dxfId="2" priority="4201" operator="containsText" text="Yes">
      <formula>NOT(ISERROR(SEARCH(("Yes"),(P670))))</formula>
    </cfRule>
  </conditionalFormatting>
  <conditionalFormatting sqref="P670">
    <cfRule type="containsText" dxfId="9" priority="4202" operator="containsText" text="No">
      <formula>NOT(ISERROR(SEARCH(("No"),(P670))))</formula>
    </cfRule>
  </conditionalFormatting>
  <conditionalFormatting sqref="P670">
    <cfRule type="containsText" dxfId="2" priority="4203" operator="containsText" text="Yes">
      <formula>NOT(ISERROR(SEARCH(("Yes"),(P670))))</formula>
    </cfRule>
  </conditionalFormatting>
  <conditionalFormatting sqref="P670">
    <cfRule type="containsText" dxfId="9" priority="4204" operator="containsText" text="No">
      <formula>NOT(ISERROR(SEARCH(("No"),(P670))))</formula>
    </cfRule>
  </conditionalFormatting>
  <conditionalFormatting sqref="P670">
    <cfRule type="containsText" dxfId="2" priority="4205" operator="containsText" text="Yes">
      <formula>NOT(ISERROR(SEARCH(("Yes"),(P670))))</formula>
    </cfRule>
  </conditionalFormatting>
  <conditionalFormatting sqref="P670">
    <cfRule type="containsText" dxfId="9" priority="4206" operator="containsText" text="No">
      <formula>NOT(ISERROR(SEARCH(("No"),(P670))))</formula>
    </cfRule>
  </conditionalFormatting>
  <conditionalFormatting sqref="P670">
    <cfRule type="containsText" dxfId="2" priority="4207" operator="containsText" text="Yes">
      <formula>NOT(ISERROR(SEARCH(("Yes"),(P670))))</formula>
    </cfRule>
  </conditionalFormatting>
  <conditionalFormatting sqref="P670">
    <cfRule type="containsText" dxfId="9" priority="4208" operator="containsText" text="No">
      <formula>NOT(ISERROR(SEARCH(("No"),(P670))))</formula>
    </cfRule>
  </conditionalFormatting>
  <conditionalFormatting sqref="P670">
    <cfRule type="containsText" dxfId="2" priority="4209" operator="containsText" text="Yes">
      <formula>NOT(ISERROR(SEARCH(("Yes"),(P670))))</formula>
    </cfRule>
  </conditionalFormatting>
  <conditionalFormatting sqref="P670">
    <cfRule type="containsText" dxfId="9" priority="4210" operator="containsText" text="No">
      <formula>NOT(ISERROR(SEARCH(("No"),(P670))))</formula>
    </cfRule>
  </conditionalFormatting>
  <conditionalFormatting sqref="P670">
    <cfRule type="containsText" dxfId="2" priority="4211" operator="containsText" text="Yes">
      <formula>NOT(ISERROR(SEARCH(("Yes"),(P670))))</formula>
    </cfRule>
  </conditionalFormatting>
  <conditionalFormatting sqref="P670">
    <cfRule type="containsText" dxfId="9" priority="4212" operator="containsText" text="No">
      <formula>NOT(ISERROR(SEARCH(("No"),(P670))))</formula>
    </cfRule>
  </conditionalFormatting>
  <conditionalFormatting sqref="P670">
    <cfRule type="containsText" dxfId="2" priority="4213" operator="containsText" text="Yes">
      <formula>NOT(ISERROR(SEARCH(("Yes"),(P670))))</formula>
    </cfRule>
  </conditionalFormatting>
  <conditionalFormatting sqref="P670">
    <cfRule type="containsText" dxfId="9" priority="4214" operator="containsText" text="No">
      <formula>NOT(ISERROR(SEARCH(("No"),(P670))))</formula>
    </cfRule>
  </conditionalFormatting>
  <conditionalFormatting sqref="P670">
    <cfRule type="containsText" dxfId="2" priority="4215" operator="containsText" text="Yes">
      <formula>NOT(ISERROR(SEARCH(("Yes"),(P670))))</formula>
    </cfRule>
  </conditionalFormatting>
  <conditionalFormatting sqref="P670">
    <cfRule type="containsText" dxfId="9" priority="4216" operator="containsText" text="No">
      <formula>NOT(ISERROR(SEARCH(("No"),(P670))))</formula>
    </cfRule>
  </conditionalFormatting>
  <conditionalFormatting sqref="P670">
    <cfRule type="containsText" dxfId="2" priority="4217" operator="containsText" text="Yes">
      <formula>NOT(ISERROR(SEARCH(("Yes"),(P670))))</formula>
    </cfRule>
  </conditionalFormatting>
  <conditionalFormatting sqref="P670">
    <cfRule type="containsText" dxfId="9" priority="4218" operator="containsText" text="No">
      <formula>NOT(ISERROR(SEARCH(("No"),(P670))))</formula>
    </cfRule>
  </conditionalFormatting>
  <conditionalFormatting sqref="P670">
    <cfRule type="containsText" dxfId="2" priority="4219" operator="containsText" text="Yes">
      <formula>NOT(ISERROR(SEARCH(("Yes"),(P670))))</formula>
    </cfRule>
  </conditionalFormatting>
  <conditionalFormatting sqref="P670">
    <cfRule type="containsText" dxfId="9" priority="4220" operator="containsText" text="No">
      <formula>NOT(ISERROR(SEARCH(("No"),(P670))))</formula>
    </cfRule>
  </conditionalFormatting>
  <conditionalFormatting sqref="P670">
    <cfRule type="containsText" dxfId="2" priority="4221" operator="containsText" text="Yes">
      <formula>NOT(ISERROR(SEARCH(("Yes"),(P670))))</formula>
    </cfRule>
  </conditionalFormatting>
  <conditionalFormatting sqref="P670">
    <cfRule type="containsText" dxfId="9" priority="4222" operator="containsText" text="No">
      <formula>NOT(ISERROR(SEARCH(("No"),(P670))))</formula>
    </cfRule>
  </conditionalFormatting>
  <conditionalFormatting sqref="P670">
    <cfRule type="containsText" dxfId="2" priority="4223" operator="containsText" text="Yes">
      <formula>NOT(ISERROR(SEARCH(("Yes"),(P670))))</formula>
    </cfRule>
  </conditionalFormatting>
  <conditionalFormatting sqref="P670">
    <cfRule type="containsText" dxfId="9" priority="4224" operator="containsText" text="No">
      <formula>NOT(ISERROR(SEARCH(("No"),(P670))))</formula>
    </cfRule>
  </conditionalFormatting>
  <conditionalFormatting sqref="P670">
    <cfRule type="containsText" dxfId="2" priority="4225" operator="containsText" text="Yes">
      <formula>NOT(ISERROR(SEARCH(("Yes"),(P670))))</formula>
    </cfRule>
  </conditionalFormatting>
  <conditionalFormatting sqref="P670">
    <cfRule type="containsText" dxfId="9" priority="4226" operator="containsText" text="No">
      <formula>NOT(ISERROR(SEARCH(("No"),(P670))))</formula>
    </cfRule>
  </conditionalFormatting>
  <conditionalFormatting sqref="P670">
    <cfRule type="containsText" dxfId="2" priority="4227" operator="containsText" text="Yes">
      <formula>NOT(ISERROR(SEARCH(("Yes"),(P670))))</formula>
    </cfRule>
  </conditionalFormatting>
  <conditionalFormatting sqref="P670">
    <cfRule type="containsText" dxfId="9" priority="4228" operator="containsText" text="No">
      <formula>NOT(ISERROR(SEARCH(("No"),(P670))))</formula>
    </cfRule>
  </conditionalFormatting>
  <conditionalFormatting sqref="P670">
    <cfRule type="containsText" dxfId="2" priority="4229" operator="containsText" text="Yes">
      <formula>NOT(ISERROR(SEARCH(("Yes"),(P670))))</formula>
    </cfRule>
  </conditionalFormatting>
  <conditionalFormatting sqref="P670">
    <cfRule type="containsText" dxfId="9" priority="4230" operator="containsText" text="No">
      <formula>NOT(ISERROR(SEARCH(("No"),(P670))))</formula>
    </cfRule>
  </conditionalFormatting>
  <conditionalFormatting sqref="P670">
    <cfRule type="containsText" dxfId="2" priority="4231" operator="containsText" text="Yes">
      <formula>NOT(ISERROR(SEARCH(("Yes"),(P670))))</formula>
    </cfRule>
  </conditionalFormatting>
  <conditionalFormatting sqref="P670">
    <cfRule type="containsText" dxfId="9" priority="4232" operator="containsText" text="No">
      <formula>NOT(ISERROR(SEARCH(("No"),(P670))))</formula>
    </cfRule>
  </conditionalFormatting>
  <conditionalFormatting sqref="P670">
    <cfRule type="containsText" dxfId="2" priority="4233" operator="containsText" text="Yes">
      <formula>NOT(ISERROR(SEARCH(("Yes"),(P670))))</formula>
    </cfRule>
  </conditionalFormatting>
  <conditionalFormatting sqref="P670">
    <cfRule type="containsText" dxfId="9" priority="4234" operator="containsText" text="No">
      <formula>NOT(ISERROR(SEARCH(("No"),(P670))))</formula>
    </cfRule>
  </conditionalFormatting>
  <conditionalFormatting sqref="P670">
    <cfRule type="containsText" dxfId="2" priority="4235" operator="containsText" text="Yes">
      <formula>NOT(ISERROR(SEARCH(("Yes"),(P670))))</formula>
    </cfRule>
  </conditionalFormatting>
  <conditionalFormatting sqref="P670">
    <cfRule type="containsText" dxfId="9" priority="4236" operator="containsText" text="No">
      <formula>NOT(ISERROR(SEARCH(("No"),(P670))))</formula>
    </cfRule>
  </conditionalFormatting>
  <conditionalFormatting sqref="P670">
    <cfRule type="containsText" dxfId="2" priority="4237" operator="containsText" text="Yes">
      <formula>NOT(ISERROR(SEARCH(("Yes"),(P670))))</formula>
    </cfRule>
  </conditionalFormatting>
  <conditionalFormatting sqref="P670">
    <cfRule type="containsText" dxfId="9" priority="4238" operator="containsText" text="No">
      <formula>NOT(ISERROR(SEARCH(("No"),(P670))))</formula>
    </cfRule>
  </conditionalFormatting>
  <conditionalFormatting sqref="P670">
    <cfRule type="containsText" dxfId="2" priority="4239" operator="containsText" text="Yes">
      <formula>NOT(ISERROR(SEARCH(("Yes"),(P670))))</formula>
    </cfRule>
  </conditionalFormatting>
  <conditionalFormatting sqref="P670">
    <cfRule type="containsText" dxfId="9" priority="4240" operator="containsText" text="No">
      <formula>NOT(ISERROR(SEARCH(("No"),(P670))))</formula>
    </cfRule>
  </conditionalFormatting>
  <conditionalFormatting sqref="P670">
    <cfRule type="containsText" dxfId="2" priority="4241" operator="containsText" text="Yes">
      <formula>NOT(ISERROR(SEARCH(("Yes"),(P670))))</formula>
    </cfRule>
  </conditionalFormatting>
  <conditionalFormatting sqref="P670">
    <cfRule type="containsText" dxfId="9" priority="4242" operator="containsText" text="No">
      <formula>NOT(ISERROR(SEARCH(("No"),(P670))))</formula>
    </cfRule>
  </conditionalFormatting>
  <conditionalFormatting sqref="P670">
    <cfRule type="containsText" dxfId="2" priority="4243" operator="containsText" text="Yes">
      <formula>NOT(ISERROR(SEARCH(("Yes"),(P670))))</formula>
    </cfRule>
  </conditionalFormatting>
  <conditionalFormatting sqref="P670">
    <cfRule type="containsText" dxfId="9" priority="4244" operator="containsText" text="No">
      <formula>NOT(ISERROR(SEARCH(("No"),(P670))))</formula>
    </cfRule>
  </conditionalFormatting>
  <conditionalFormatting sqref="P670">
    <cfRule type="containsText" dxfId="2" priority="4245" operator="containsText" text="Yes">
      <formula>NOT(ISERROR(SEARCH(("Yes"),(P670))))</formula>
    </cfRule>
  </conditionalFormatting>
  <conditionalFormatting sqref="P670">
    <cfRule type="containsText" dxfId="9" priority="4246" operator="containsText" text="No">
      <formula>NOT(ISERROR(SEARCH(("No"),(P670))))</formula>
    </cfRule>
  </conditionalFormatting>
  <conditionalFormatting sqref="P670">
    <cfRule type="containsText" dxfId="2" priority="4247" operator="containsText" text="Yes">
      <formula>NOT(ISERROR(SEARCH(("Yes"),(P670))))</formula>
    </cfRule>
  </conditionalFormatting>
  <conditionalFormatting sqref="P670">
    <cfRule type="containsText" dxfId="9" priority="4248" operator="containsText" text="No">
      <formula>NOT(ISERROR(SEARCH(("No"),(P670))))</formula>
    </cfRule>
  </conditionalFormatting>
  <conditionalFormatting sqref="P670">
    <cfRule type="containsText" dxfId="2" priority="4249" operator="containsText" text="Yes">
      <formula>NOT(ISERROR(SEARCH(("Yes"),(P670))))</formula>
    </cfRule>
  </conditionalFormatting>
  <conditionalFormatting sqref="P670">
    <cfRule type="containsText" dxfId="9" priority="4250" operator="containsText" text="No">
      <formula>NOT(ISERROR(SEARCH(("No"),(P670))))</formula>
    </cfRule>
  </conditionalFormatting>
  <conditionalFormatting sqref="P670">
    <cfRule type="containsText" dxfId="2" priority="4251" operator="containsText" text="Yes">
      <formula>NOT(ISERROR(SEARCH(("Yes"),(P670))))</formula>
    </cfRule>
  </conditionalFormatting>
  <conditionalFormatting sqref="P670">
    <cfRule type="containsText" dxfId="9" priority="4252" operator="containsText" text="No">
      <formula>NOT(ISERROR(SEARCH(("No"),(P670))))</formula>
    </cfRule>
  </conditionalFormatting>
  <conditionalFormatting sqref="P670">
    <cfRule type="containsText" dxfId="2" priority="4253" operator="containsText" text="Yes">
      <formula>NOT(ISERROR(SEARCH(("Yes"),(P670))))</formula>
    </cfRule>
  </conditionalFormatting>
  <conditionalFormatting sqref="P670">
    <cfRule type="containsText" dxfId="9" priority="4254" operator="containsText" text="No">
      <formula>NOT(ISERROR(SEARCH(("No"),(P670))))</formula>
    </cfRule>
  </conditionalFormatting>
  <conditionalFormatting sqref="P670">
    <cfRule type="containsText" dxfId="2" priority="4255" operator="containsText" text="Yes">
      <formula>NOT(ISERROR(SEARCH(("Yes"),(P670))))</formula>
    </cfRule>
  </conditionalFormatting>
  <conditionalFormatting sqref="P670">
    <cfRule type="containsText" dxfId="9" priority="4256" operator="containsText" text="No">
      <formula>NOT(ISERROR(SEARCH(("No"),(P670))))</formula>
    </cfRule>
  </conditionalFormatting>
  <conditionalFormatting sqref="P670">
    <cfRule type="containsText" dxfId="2" priority="4257" operator="containsText" text="Yes">
      <formula>NOT(ISERROR(SEARCH(("Yes"),(P670))))</formula>
    </cfRule>
  </conditionalFormatting>
  <conditionalFormatting sqref="P670">
    <cfRule type="containsText" dxfId="9" priority="4258" operator="containsText" text="No">
      <formula>NOT(ISERROR(SEARCH(("No"),(P670))))</formula>
    </cfRule>
  </conditionalFormatting>
  <conditionalFormatting sqref="P670">
    <cfRule type="containsText" dxfId="2" priority="4259" operator="containsText" text="Yes">
      <formula>NOT(ISERROR(SEARCH(("Yes"),(P670))))</formula>
    </cfRule>
  </conditionalFormatting>
  <conditionalFormatting sqref="P670">
    <cfRule type="containsText" dxfId="9" priority="4260" operator="containsText" text="No">
      <formula>NOT(ISERROR(SEARCH(("No"),(P670))))</formula>
    </cfRule>
  </conditionalFormatting>
  <conditionalFormatting sqref="P670">
    <cfRule type="containsText" dxfId="2" priority="4261" operator="containsText" text="Yes">
      <formula>NOT(ISERROR(SEARCH(("Yes"),(P670))))</formula>
    </cfRule>
  </conditionalFormatting>
  <conditionalFormatting sqref="P670">
    <cfRule type="containsText" dxfId="9" priority="4262" operator="containsText" text="No">
      <formula>NOT(ISERROR(SEARCH(("No"),(P670))))</formula>
    </cfRule>
  </conditionalFormatting>
  <conditionalFormatting sqref="P670">
    <cfRule type="containsText" dxfId="2" priority="4263" operator="containsText" text="Yes">
      <formula>NOT(ISERROR(SEARCH(("Yes"),(P670))))</formula>
    </cfRule>
  </conditionalFormatting>
  <conditionalFormatting sqref="P670">
    <cfRule type="containsText" dxfId="9" priority="4264" operator="containsText" text="No">
      <formula>NOT(ISERROR(SEARCH(("No"),(P670))))</formula>
    </cfRule>
  </conditionalFormatting>
  <conditionalFormatting sqref="P670">
    <cfRule type="containsText" dxfId="2" priority="4265" operator="containsText" text="Yes">
      <formula>NOT(ISERROR(SEARCH(("Yes"),(P670))))</formula>
    </cfRule>
  </conditionalFormatting>
  <conditionalFormatting sqref="P670">
    <cfRule type="containsText" dxfId="9" priority="4266" operator="containsText" text="No">
      <formula>NOT(ISERROR(SEARCH(("No"),(P670))))</formula>
    </cfRule>
  </conditionalFormatting>
  <conditionalFormatting sqref="P670">
    <cfRule type="containsText" dxfId="2" priority="4267" operator="containsText" text="Yes">
      <formula>NOT(ISERROR(SEARCH(("Yes"),(P670))))</formula>
    </cfRule>
  </conditionalFormatting>
  <conditionalFormatting sqref="P670">
    <cfRule type="containsText" dxfId="9" priority="4268" operator="containsText" text="No">
      <formula>NOT(ISERROR(SEARCH(("No"),(P670))))</formula>
    </cfRule>
  </conditionalFormatting>
  <conditionalFormatting sqref="P670">
    <cfRule type="containsText" dxfId="2" priority="4269" operator="containsText" text="Yes">
      <formula>NOT(ISERROR(SEARCH(("Yes"),(P670))))</formula>
    </cfRule>
  </conditionalFormatting>
  <conditionalFormatting sqref="P670">
    <cfRule type="containsText" dxfId="9" priority="4270" operator="containsText" text="No">
      <formula>NOT(ISERROR(SEARCH(("No"),(P670))))</formula>
    </cfRule>
  </conditionalFormatting>
  <conditionalFormatting sqref="P670">
    <cfRule type="containsText" dxfId="2" priority="4271" operator="containsText" text="Yes">
      <formula>NOT(ISERROR(SEARCH(("Yes"),(P670))))</formula>
    </cfRule>
  </conditionalFormatting>
  <conditionalFormatting sqref="P670">
    <cfRule type="containsText" dxfId="9" priority="4272" operator="containsText" text="No">
      <formula>NOT(ISERROR(SEARCH(("No"),(P670))))</formula>
    </cfRule>
  </conditionalFormatting>
  <conditionalFormatting sqref="P670">
    <cfRule type="containsText" dxfId="2" priority="4273" operator="containsText" text="Yes">
      <formula>NOT(ISERROR(SEARCH(("Yes"),(P670))))</formula>
    </cfRule>
  </conditionalFormatting>
  <conditionalFormatting sqref="P670">
    <cfRule type="containsText" dxfId="9" priority="4274" operator="containsText" text="No">
      <formula>NOT(ISERROR(SEARCH(("No"),(P670))))</formula>
    </cfRule>
  </conditionalFormatting>
  <conditionalFormatting sqref="P670">
    <cfRule type="containsText" dxfId="2" priority="4275" operator="containsText" text="Yes">
      <formula>NOT(ISERROR(SEARCH(("Yes"),(P670))))</formula>
    </cfRule>
  </conditionalFormatting>
  <conditionalFormatting sqref="P670">
    <cfRule type="containsText" dxfId="9" priority="4276" operator="containsText" text="No">
      <formula>NOT(ISERROR(SEARCH(("No"),(P670))))</formula>
    </cfRule>
  </conditionalFormatting>
  <conditionalFormatting sqref="P670">
    <cfRule type="containsText" dxfId="2" priority="4277" operator="containsText" text="Yes">
      <formula>NOT(ISERROR(SEARCH(("Yes"),(P670))))</formula>
    </cfRule>
  </conditionalFormatting>
  <conditionalFormatting sqref="P670">
    <cfRule type="containsText" dxfId="9" priority="4278" operator="containsText" text="No">
      <formula>NOT(ISERROR(SEARCH(("No"),(P670))))</formula>
    </cfRule>
  </conditionalFormatting>
  <conditionalFormatting sqref="P670">
    <cfRule type="containsText" dxfId="2" priority="4279" operator="containsText" text="Yes">
      <formula>NOT(ISERROR(SEARCH(("Yes"),(P670))))</formula>
    </cfRule>
  </conditionalFormatting>
  <conditionalFormatting sqref="P670">
    <cfRule type="containsText" dxfId="9" priority="4280" operator="containsText" text="No">
      <formula>NOT(ISERROR(SEARCH(("No"),(P670))))</formula>
    </cfRule>
  </conditionalFormatting>
  <conditionalFormatting sqref="P670">
    <cfRule type="containsText" dxfId="2" priority="4281" operator="containsText" text="Yes">
      <formula>NOT(ISERROR(SEARCH(("Yes"),(P670))))</formula>
    </cfRule>
  </conditionalFormatting>
  <conditionalFormatting sqref="P670">
    <cfRule type="containsText" dxfId="9" priority="4282" operator="containsText" text="No">
      <formula>NOT(ISERROR(SEARCH(("No"),(P670))))</formula>
    </cfRule>
  </conditionalFormatting>
  <conditionalFormatting sqref="P670">
    <cfRule type="containsText" dxfId="2" priority="4283" operator="containsText" text="Yes">
      <formula>NOT(ISERROR(SEARCH(("Yes"),(P670))))</formula>
    </cfRule>
  </conditionalFormatting>
  <conditionalFormatting sqref="P670">
    <cfRule type="containsText" dxfId="9" priority="4284" operator="containsText" text="No">
      <formula>NOT(ISERROR(SEARCH(("No"),(P670))))</formula>
    </cfRule>
  </conditionalFormatting>
  <conditionalFormatting sqref="P670">
    <cfRule type="containsText" dxfId="2" priority="4285" operator="containsText" text="Yes">
      <formula>NOT(ISERROR(SEARCH(("Yes"),(P670))))</formula>
    </cfRule>
  </conditionalFormatting>
  <conditionalFormatting sqref="P670">
    <cfRule type="containsText" dxfId="9" priority="4286" operator="containsText" text="No">
      <formula>NOT(ISERROR(SEARCH(("No"),(P670))))</formula>
    </cfRule>
  </conditionalFormatting>
  <conditionalFormatting sqref="P670">
    <cfRule type="containsText" dxfId="2" priority="4287" operator="containsText" text="Yes">
      <formula>NOT(ISERROR(SEARCH(("Yes"),(P670))))</formula>
    </cfRule>
  </conditionalFormatting>
  <conditionalFormatting sqref="P670">
    <cfRule type="containsText" dxfId="9" priority="4288" operator="containsText" text="No">
      <formula>NOT(ISERROR(SEARCH(("No"),(P670))))</formula>
    </cfRule>
  </conditionalFormatting>
  <conditionalFormatting sqref="P670">
    <cfRule type="containsText" dxfId="2" priority="4289" operator="containsText" text="Yes">
      <formula>NOT(ISERROR(SEARCH(("Yes"),(P670))))</formula>
    </cfRule>
  </conditionalFormatting>
  <conditionalFormatting sqref="P670">
    <cfRule type="containsText" dxfId="9" priority="4290" operator="containsText" text="No">
      <formula>NOT(ISERROR(SEARCH(("No"),(P670))))</formula>
    </cfRule>
  </conditionalFormatting>
  <conditionalFormatting sqref="P670">
    <cfRule type="containsText" dxfId="2" priority="4291" operator="containsText" text="Yes">
      <formula>NOT(ISERROR(SEARCH(("Yes"),(P670))))</formula>
    </cfRule>
  </conditionalFormatting>
  <conditionalFormatting sqref="P670">
    <cfRule type="containsText" dxfId="9" priority="4292" operator="containsText" text="No">
      <formula>NOT(ISERROR(SEARCH(("No"),(P670))))</formula>
    </cfRule>
  </conditionalFormatting>
  <conditionalFormatting sqref="P670">
    <cfRule type="containsText" dxfId="2" priority="4293" operator="containsText" text="Yes">
      <formula>NOT(ISERROR(SEARCH(("Yes"),(P670))))</formula>
    </cfRule>
  </conditionalFormatting>
  <conditionalFormatting sqref="P670">
    <cfRule type="containsText" dxfId="9" priority="4294" operator="containsText" text="No">
      <formula>NOT(ISERROR(SEARCH(("No"),(P670))))</formula>
    </cfRule>
  </conditionalFormatting>
  <conditionalFormatting sqref="P670">
    <cfRule type="containsText" dxfId="2" priority="4295" operator="containsText" text="Yes">
      <formula>NOT(ISERROR(SEARCH(("Yes"),(P670))))</formula>
    </cfRule>
  </conditionalFormatting>
  <conditionalFormatting sqref="P670">
    <cfRule type="containsText" dxfId="9" priority="4296" operator="containsText" text="No">
      <formula>NOT(ISERROR(SEARCH(("No"),(P670))))</formula>
    </cfRule>
  </conditionalFormatting>
  <conditionalFormatting sqref="P670">
    <cfRule type="containsText" dxfId="2" priority="4297" operator="containsText" text="Yes">
      <formula>NOT(ISERROR(SEARCH(("Yes"),(P670))))</formula>
    </cfRule>
  </conditionalFormatting>
  <conditionalFormatting sqref="P670">
    <cfRule type="containsText" dxfId="9" priority="4298" operator="containsText" text="No">
      <formula>NOT(ISERROR(SEARCH(("No"),(P670))))</formula>
    </cfRule>
  </conditionalFormatting>
  <conditionalFormatting sqref="P670">
    <cfRule type="containsText" dxfId="2" priority="4299" operator="containsText" text="Yes">
      <formula>NOT(ISERROR(SEARCH(("Yes"),(P670))))</formula>
    </cfRule>
  </conditionalFormatting>
  <conditionalFormatting sqref="P670">
    <cfRule type="containsText" dxfId="9" priority="4300" operator="containsText" text="No">
      <formula>NOT(ISERROR(SEARCH(("No"),(P670))))</formula>
    </cfRule>
  </conditionalFormatting>
  <conditionalFormatting sqref="P670">
    <cfRule type="containsText" dxfId="2" priority="4301" operator="containsText" text="Yes">
      <formula>NOT(ISERROR(SEARCH(("Yes"),(P670))))</formula>
    </cfRule>
  </conditionalFormatting>
  <conditionalFormatting sqref="P670">
    <cfRule type="containsText" dxfId="9" priority="4302" operator="containsText" text="No">
      <formula>NOT(ISERROR(SEARCH(("No"),(P670))))</formula>
    </cfRule>
  </conditionalFormatting>
  <conditionalFormatting sqref="P670">
    <cfRule type="containsText" dxfId="9" priority="4303" operator="containsText" text="No">
      <formula>NOT(ISERROR(SEARCH(("No"),(P670))))</formula>
    </cfRule>
  </conditionalFormatting>
  <conditionalFormatting sqref="P670">
    <cfRule type="containsText" dxfId="2" priority="4304" operator="containsText" text="Yes">
      <formula>NOT(ISERROR(SEARCH(("Yes"),(P670))))</formula>
    </cfRule>
  </conditionalFormatting>
  <conditionalFormatting sqref="P670">
    <cfRule type="containsText" dxfId="2" priority="4305" operator="containsText" text="Yes">
      <formula>NOT(ISERROR(SEARCH(("Yes"),(P670))))</formula>
    </cfRule>
  </conditionalFormatting>
  <conditionalFormatting sqref="P670">
    <cfRule type="containsText" dxfId="9" priority="4306" operator="containsText" text="No">
      <formula>NOT(ISERROR(SEARCH(("No"),(P670))))</formula>
    </cfRule>
  </conditionalFormatting>
  <conditionalFormatting sqref="P670">
    <cfRule type="containsText" dxfId="2" priority="4307" operator="containsText" text="Yes">
      <formula>NOT(ISERROR(SEARCH(("Yes"),(P670))))</formula>
    </cfRule>
  </conditionalFormatting>
  <conditionalFormatting sqref="P670">
    <cfRule type="containsText" dxfId="9" priority="4308" operator="containsText" text="No">
      <formula>NOT(ISERROR(SEARCH(("No"),(P670))))</formula>
    </cfRule>
  </conditionalFormatting>
  <conditionalFormatting sqref="P670">
    <cfRule type="containsText" dxfId="2" priority="4309" operator="containsText" text="Yes">
      <formula>NOT(ISERROR(SEARCH(("Yes"),(P670))))</formula>
    </cfRule>
  </conditionalFormatting>
  <conditionalFormatting sqref="P670">
    <cfRule type="containsText" dxfId="9" priority="4310" operator="containsText" text="No">
      <formula>NOT(ISERROR(SEARCH(("No"),(P670))))</formula>
    </cfRule>
  </conditionalFormatting>
  <conditionalFormatting sqref="P670">
    <cfRule type="containsText" dxfId="2" priority="4311" operator="containsText" text="Yes">
      <formula>NOT(ISERROR(SEARCH(("Yes"),(P670))))</formula>
    </cfRule>
  </conditionalFormatting>
  <conditionalFormatting sqref="P670">
    <cfRule type="containsText" dxfId="9" priority="4312" operator="containsText" text="No">
      <formula>NOT(ISERROR(SEARCH(("No"),(P670))))</formula>
    </cfRule>
  </conditionalFormatting>
  <conditionalFormatting sqref="P670">
    <cfRule type="containsText" dxfId="2" priority="4313" operator="containsText" text="Yes">
      <formula>NOT(ISERROR(SEARCH(("Yes"),(P670))))</formula>
    </cfRule>
  </conditionalFormatting>
  <conditionalFormatting sqref="P670">
    <cfRule type="containsText" dxfId="9" priority="4314" operator="containsText" text="No">
      <formula>NOT(ISERROR(SEARCH(("No"),(P670))))</formula>
    </cfRule>
  </conditionalFormatting>
  <conditionalFormatting sqref="P670">
    <cfRule type="containsText" dxfId="2" priority="4315" operator="containsText" text="Yes">
      <formula>NOT(ISERROR(SEARCH(("Yes"),(P670))))</formula>
    </cfRule>
  </conditionalFormatting>
  <conditionalFormatting sqref="P670">
    <cfRule type="containsText" dxfId="9" priority="4316" operator="containsText" text="No">
      <formula>NOT(ISERROR(SEARCH(("No"),(P670))))</formula>
    </cfRule>
  </conditionalFormatting>
  <conditionalFormatting sqref="P670">
    <cfRule type="containsText" dxfId="2" priority="4317" operator="containsText" text="Yes">
      <formula>NOT(ISERROR(SEARCH(("Yes"),(P670))))</formula>
    </cfRule>
  </conditionalFormatting>
  <conditionalFormatting sqref="P670">
    <cfRule type="containsText" dxfId="9" priority="4318" operator="containsText" text="No">
      <formula>NOT(ISERROR(SEARCH(("No"),(P670))))</formula>
    </cfRule>
  </conditionalFormatting>
  <conditionalFormatting sqref="P670">
    <cfRule type="containsText" dxfId="2" priority="4319" operator="containsText" text="Yes">
      <formula>NOT(ISERROR(SEARCH(("Yes"),(P670))))</formula>
    </cfRule>
  </conditionalFormatting>
  <conditionalFormatting sqref="P670">
    <cfRule type="containsText" dxfId="9" priority="4320" operator="containsText" text="No">
      <formula>NOT(ISERROR(SEARCH(("No"),(P670))))</formula>
    </cfRule>
  </conditionalFormatting>
  <conditionalFormatting sqref="P670">
    <cfRule type="containsText" dxfId="2" priority="4321" operator="containsText" text="Yes">
      <formula>NOT(ISERROR(SEARCH(("Yes"),(P670))))</formula>
    </cfRule>
  </conditionalFormatting>
  <conditionalFormatting sqref="P670">
    <cfRule type="containsText" dxfId="9" priority="4322" operator="containsText" text="No">
      <formula>NOT(ISERROR(SEARCH(("No"),(P670))))</formula>
    </cfRule>
  </conditionalFormatting>
  <conditionalFormatting sqref="P670">
    <cfRule type="containsText" dxfId="2" priority="4323" operator="containsText" text="Yes">
      <formula>NOT(ISERROR(SEARCH(("Yes"),(P670))))</formula>
    </cfRule>
  </conditionalFormatting>
  <conditionalFormatting sqref="P670">
    <cfRule type="containsText" dxfId="9" priority="4324" operator="containsText" text="No">
      <formula>NOT(ISERROR(SEARCH(("No"),(P670))))</formula>
    </cfRule>
  </conditionalFormatting>
  <conditionalFormatting sqref="P670">
    <cfRule type="containsText" dxfId="2" priority="4325" operator="containsText" text="Yes">
      <formula>NOT(ISERROR(SEARCH(("Yes"),(P670))))</formula>
    </cfRule>
  </conditionalFormatting>
  <conditionalFormatting sqref="P670">
    <cfRule type="containsText" dxfId="9" priority="4326" operator="containsText" text="No">
      <formula>NOT(ISERROR(SEARCH(("No"),(P670))))</formula>
    </cfRule>
  </conditionalFormatting>
  <conditionalFormatting sqref="P670">
    <cfRule type="containsText" dxfId="2" priority="4327" operator="containsText" text="Yes">
      <formula>NOT(ISERROR(SEARCH(("Yes"),(P670))))</formula>
    </cfRule>
  </conditionalFormatting>
  <conditionalFormatting sqref="P670">
    <cfRule type="containsText" dxfId="9" priority="4328" operator="containsText" text="No">
      <formula>NOT(ISERROR(SEARCH(("No"),(P670))))</formula>
    </cfRule>
  </conditionalFormatting>
  <conditionalFormatting sqref="P670">
    <cfRule type="containsText" dxfId="2" priority="4329" operator="containsText" text="Yes">
      <formula>NOT(ISERROR(SEARCH(("Yes"),(P670))))</formula>
    </cfRule>
  </conditionalFormatting>
  <conditionalFormatting sqref="P670">
    <cfRule type="containsText" dxfId="9" priority="4330" operator="containsText" text="No">
      <formula>NOT(ISERROR(SEARCH(("No"),(P670))))</formula>
    </cfRule>
  </conditionalFormatting>
  <conditionalFormatting sqref="P670">
    <cfRule type="containsText" dxfId="2" priority="4331" operator="containsText" text="Yes">
      <formula>NOT(ISERROR(SEARCH(("Yes"),(P670))))</formula>
    </cfRule>
  </conditionalFormatting>
  <conditionalFormatting sqref="P670">
    <cfRule type="containsText" dxfId="9" priority="4332" operator="containsText" text="No">
      <formula>NOT(ISERROR(SEARCH(("No"),(P670))))</formula>
    </cfRule>
  </conditionalFormatting>
  <conditionalFormatting sqref="P670">
    <cfRule type="containsText" dxfId="2" priority="4333" operator="containsText" text="Yes">
      <formula>NOT(ISERROR(SEARCH(("Yes"),(P670))))</formula>
    </cfRule>
  </conditionalFormatting>
  <conditionalFormatting sqref="P670">
    <cfRule type="containsText" dxfId="9" priority="4334" operator="containsText" text="No">
      <formula>NOT(ISERROR(SEARCH(("No"),(P670))))</formula>
    </cfRule>
  </conditionalFormatting>
  <conditionalFormatting sqref="P670">
    <cfRule type="containsText" dxfId="2" priority="4335" operator="containsText" text="Yes">
      <formula>NOT(ISERROR(SEARCH(("Yes"),(P670))))</formula>
    </cfRule>
  </conditionalFormatting>
  <conditionalFormatting sqref="P670">
    <cfRule type="containsText" dxfId="9" priority="4336" operator="containsText" text="No">
      <formula>NOT(ISERROR(SEARCH(("No"),(P670))))</formula>
    </cfRule>
  </conditionalFormatting>
  <conditionalFormatting sqref="P670">
    <cfRule type="containsText" dxfId="2" priority="4337" operator="containsText" text="Yes">
      <formula>NOT(ISERROR(SEARCH(("Yes"),(P670))))</formula>
    </cfRule>
  </conditionalFormatting>
  <conditionalFormatting sqref="P670">
    <cfRule type="containsText" dxfId="9" priority="4338" operator="containsText" text="No">
      <formula>NOT(ISERROR(SEARCH(("No"),(P670))))</formula>
    </cfRule>
  </conditionalFormatting>
  <conditionalFormatting sqref="P670">
    <cfRule type="containsText" dxfId="2" priority="4339" operator="containsText" text="Yes">
      <formula>NOT(ISERROR(SEARCH(("Yes"),(P670))))</formula>
    </cfRule>
  </conditionalFormatting>
  <conditionalFormatting sqref="P670">
    <cfRule type="containsText" dxfId="9" priority="4340" operator="containsText" text="No">
      <formula>NOT(ISERROR(SEARCH(("No"),(P670))))</formula>
    </cfRule>
  </conditionalFormatting>
  <conditionalFormatting sqref="P670">
    <cfRule type="containsText" dxfId="2" priority="4341" operator="containsText" text="Yes">
      <formula>NOT(ISERROR(SEARCH(("Yes"),(P670))))</formula>
    </cfRule>
  </conditionalFormatting>
  <conditionalFormatting sqref="P670">
    <cfRule type="containsText" dxfId="9" priority="4342" operator="containsText" text="No">
      <formula>NOT(ISERROR(SEARCH(("No"),(P670))))</formula>
    </cfRule>
  </conditionalFormatting>
  <conditionalFormatting sqref="P670">
    <cfRule type="containsText" dxfId="2" priority="4343" operator="containsText" text="Yes">
      <formula>NOT(ISERROR(SEARCH(("Yes"),(P670))))</formula>
    </cfRule>
  </conditionalFormatting>
  <conditionalFormatting sqref="P670">
    <cfRule type="containsText" dxfId="9" priority="4344" operator="containsText" text="No">
      <formula>NOT(ISERROR(SEARCH(("No"),(P670))))</formula>
    </cfRule>
  </conditionalFormatting>
  <conditionalFormatting sqref="P670">
    <cfRule type="containsText" dxfId="2" priority="4345" operator="containsText" text="Yes">
      <formula>NOT(ISERROR(SEARCH(("Yes"),(P670))))</formula>
    </cfRule>
  </conditionalFormatting>
  <conditionalFormatting sqref="P670">
    <cfRule type="containsText" dxfId="9" priority="4346" operator="containsText" text="No">
      <formula>NOT(ISERROR(SEARCH(("No"),(P670))))</formula>
    </cfRule>
  </conditionalFormatting>
  <conditionalFormatting sqref="P670">
    <cfRule type="containsText" dxfId="2" priority="4347" operator="containsText" text="Yes">
      <formula>NOT(ISERROR(SEARCH(("Yes"),(P670))))</formula>
    </cfRule>
  </conditionalFormatting>
  <conditionalFormatting sqref="P670">
    <cfRule type="containsText" dxfId="9" priority="4348" operator="containsText" text="No">
      <formula>NOT(ISERROR(SEARCH(("No"),(P670))))</formula>
    </cfRule>
  </conditionalFormatting>
  <conditionalFormatting sqref="P670">
    <cfRule type="containsText" dxfId="2" priority="4349" operator="containsText" text="Yes">
      <formula>NOT(ISERROR(SEARCH(("Yes"),(P670))))</formula>
    </cfRule>
  </conditionalFormatting>
  <conditionalFormatting sqref="P670">
    <cfRule type="containsText" dxfId="9" priority="4350" operator="containsText" text="No">
      <formula>NOT(ISERROR(SEARCH(("No"),(P670))))</formula>
    </cfRule>
  </conditionalFormatting>
  <conditionalFormatting sqref="P670">
    <cfRule type="containsText" dxfId="2" priority="4351" operator="containsText" text="Yes">
      <formula>NOT(ISERROR(SEARCH(("Yes"),(P670))))</formula>
    </cfRule>
  </conditionalFormatting>
  <conditionalFormatting sqref="P670">
    <cfRule type="containsText" dxfId="9" priority="4352" operator="containsText" text="No">
      <formula>NOT(ISERROR(SEARCH(("No"),(P670))))</formula>
    </cfRule>
  </conditionalFormatting>
  <conditionalFormatting sqref="P670">
    <cfRule type="containsText" dxfId="2" priority="4353" operator="containsText" text="Yes">
      <formula>NOT(ISERROR(SEARCH(("Yes"),(P670))))</formula>
    </cfRule>
  </conditionalFormatting>
  <conditionalFormatting sqref="P670">
    <cfRule type="containsText" dxfId="9" priority="4354" operator="containsText" text="No">
      <formula>NOT(ISERROR(SEARCH(("No"),(P670))))</formula>
    </cfRule>
  </conditionalFormatting>
  <conditionalFormatting sqref="P670">
    <cfRule type="containsText" dxfId="2" priority="4355" operator="containsText" text="Yes">
      <formula>NOT(ISERROR(SEARCH(("Yes"),(P670))))</formula>
    </cfRule>
  </conditionalFormatting>
  <conditionalFormatting sqref="P670">
    <cfRule type="containsText" dxfId="9" priority="4356" operator="containsText" text="No">
      <formula>NOT(ISERROR(SEARCH(("No"),(P670))))</formula>
    </cfRule>
  </conditionalFormatting>
  <conditionalFormatting sqref="P670">
    <cfRule type="containsText" dxfId="2" priority="4357" operator="containsText" text="Yes">
      <formula>NOT(ISERROR(SEARCH(("Yes"),(P670))))</formula>
    </cfRule>
  </conditionalFormatting>
  <conditionalFormatting sqref="P670">
    <cfRule type="containsText" dxfId="9" priority="4358" operator="containsText" text="No">
      <formula>NOT(ISERROR(SEARCH(("No"),(P670))))</formula>
    </cfRule>
  </conditionalFormatting>
  <conditionalFormatting sqref="P670">
    <cfRule type="containsText" dxfId="2" priority="4359" operator="containsText" text="Yes">
      <formula>NOT(ISERROR(SEARCH(("Yes"),(P670))))</formula>
    </cfRule>
  </conditionalFormatting>
  <conditionalFormatting sqref="P670">
    <cfRule type="containsText" dxfId="9" priority="4360" operator="containsText" text="No">
      <formula>NOT(ISERROR(SEARCH(("No"),(P670))))</formula>
    </cfRule>
  </conditionalFormatting>
  <conditionalFormatting sqref="P670">
    <cfRule type="containsText" dxfId="2" priority="4361" operator="containsText" text="Yes">
      <formula>NOT(ISERROR(SEARCH(("Yes"),(P670))))</formula>
    </cfRule>
  </conditionalFormatting>
  <conditionalFormatting sqref="P670">
    <cfRule type="containsText" dxfId="9" priority="4362" operator="containsText" text="No">
      <formula>NOT(ISERROR(SEARCH(("No"),(P670))))</formula>
    </cfRule>
  </conditionalFormatting>
  <conditionalFormatting sqref="P670">
    <cfRule type="containsText" dxfId="2" priority="4363" operator="containsText" text="Yes">
      <formula>NOT(ISERROR(SEARCH(("Yes"),(P670))))</formula>
    </cfRule>
  </conditionalFormatting>
  <conditionalFormatting sqref="P670">
    <cfRule type="containsText" dxfId="9" priority="4364" operator="containsText" text="No">
      <formula>NOT(ISERROR(SEARCH(("No"),(P670))))</formula>
    </cfRule>
  </conditionalFormatting>
  <conditionalFormatting sqref="P670">
    <cfRule type="containsText" dxfId="2" priority="4365" operator="containsText" text="Yes">
      <formula>NOT(ISERROR(SEARCH(("Yes"),(P670))))</formula>
    </cfRule>
  </conditionalFormatting>
  <conditionalFormatting sqref="P670">
    <cfRule type="containsText" dxfId="9" priority="4366" operator="containsText" text="No">
      <formula>NOT(ISERROR(SEARCH(("No"),(P670))))</formula>
    </cfRule>
  </conditionalFormatting>
  <conditionalFormatting sqref="P670">
    <cfRule type="containsText" dxfId="2" priority="4367" operator="containsText" text="Yes">
      <formula>NOT(ISERROR(SEARCH(("Yes"),(P670))))</formula>
    </cfRule>
  </conditionalFormatting>
  <conditionalFormatting sqref="P670">
    <cfRule type="containsText" dxfId="9" priority="4368" operator="containsText" text="No">
      <formula>NOT(ISERROR(SEARCH(("No"),(P670))))</formula>
    </cfRule>
  </conditionalFormatting>
  <conditionalFormatting sqref="P670">
    <cfRule type="containsText" dxfId="2" priority="4369" operator="containsText" text="Yes">
      <formula>NOT(ISERROR(SEARCH(("Yes"),(P670))))</formula>
    </cfRule>
  </conditionalFormatting>
  <conditionalFormatting sqref="P670">
    <cfRule type="containsText" dxfId="9" priority="4370" operator="containsText" text="No">
      <formula>NOT(ISERROR(SEARCH(("No"),(P670))))</formula>
    </cfRule>
  </conditionalFormatting>
  <conditionalFormatting sqref="P670">
    <cfRule type="containsText" dxfId="2" priority="4371" operator="containsText" text="Yes">
      <formula>NOT(ISERROR(SEARCH(("Yes"),(P670))))</formula>
    </cfRule>
  </conditionalFormatting>
  <conditionalFormatting sqref="P670">
    <cfRule type="containsText" dxfId="9" priority="4372" operator="containsText" text="No">
      <formula>NOT(ISERROR(SEARCH(("No"),(P670))))</formula>
    </cfRule>
  </conditionalFormatting>
  <conditionalFormatting sqref="P670">
    <cfRule type="containsText" dxfId="2" priority="4373" operator="containsText" text="Yes">
      <formula>NOT(ISERROR(SEARCH(("Yes"),(P670))))</formula>
    </cfRule>
  </conditionalFormatting>
  <conditionalFormatting sqref="P670">
    <cfRule type="containsText" dxfId="9" priority="4374" operator="containsText" text="No">
      <formula>NOT(ISERROR(SEARCH(("No"),(P670))))</formula>
    </cfRule>
  </conditionalFormatting>
  <conditionalFormatting sqref="P670">
    <cfRule type="containsText" dxfId="2" priority="4375" operator="containsText" text="Yes">
      <formula>NOT(ISERROR(SEARCH(("Yes"),(P670))))</formula>
    </cfRule>
  </conditionalFormatting>
  <conditionalFormatting sqref="P670">
    <cfRule type="containsText" dxfId="9" priority="4376" operator="containsText" text="No">
      <formula>NOT(ISERROR(SEARCH(("No"),(P670))))</formula>
    </cfRule>
  </conditionalFormatting>
  <conditionalFormatting sqref="P670">
    <cfRule type="containsText" dxfId="2" priority="4377" operator="containsText" text="Yes">
      <formula>NOT(ISERROR(SEARCH(("Yes"),(P670))))</formula>
    </cfRule>
  </conditionalFormatting>
  <conditionalFormatting sqref="P670">
    <cfRule type="containsText" dxfId="9" priority="4378" operator="containsText" text="No">
      <formula>NOT(ISERROR(SEARCH(("No"),(P670))))</formula>
    </cfRule>
  </conditionalFormatting>
  <conditionalFormatting sqref="P670">
    <cfRule type="containsText" dxfId="2" priority="4379" operator="containsText" text="Yes">
      <formula>NOT(ISERROR(SEARCH(("Yes"),(P670))))</formula>
    </cfRule>
  </conditionalFormatting>
  <conditionalFormatting sqref="P670">
    <cfRule type="containsText" dxfId="9" priority="4380" operator="containsText" text="No">
      <formula>NOT(ISERROR(SEARCH(("No"),(P670))))</formula>
    </cfRule>
  </conditionalFormatting>
  <conditionalFormatting sqref="P670">
    <cfRule type="containsText" dxfId="2" priority="4381" operator="containsText" text="Yes">
      <formula>NOT(ISERROR(SEARCH(("Yes"),(P670))))</formula>
    </cfRule>
  </conditionalFormatting>
  <conditionalFormatting sqref="P670">
    <cfRule type="containsText" dxfId="9" priority="4382" operator="containsText" text="No">
      <formula>NOT(ISERROR(SEARCH(("No"),(P670))))</formula>
    </cfRule>
  </conditionalFormatting>
  <conditionalFormatting sqref="P670">
    <cfRule type="containsText" dxfId="2" priority="4383" operator="containsText" text="Yes">
      <formula>NOT(ISERROR(SEARCH(("Yes"),(P670))))</formula>
    </cfRule>
  </conditionalFormatting>
  <conditionalFormatting sqref="P670">
    <cfRule type="containsText" dxfId="9" priority="4384" operator="containsText" text="No">
      <formula>NOT(ISERROR(SEARCH(("No"),(P670))))</formula>
    </cfRule>
  </conditionalFormatting>
  <conditionalFormatting sqref="P670">
    <cfRule type="containsText" dxfId="2" priority="4385" operator="containsText" text="Yes">
      <formula>NOT(ISERROR(SEARCH(("Yes"),(P670))))</formula>
    </cfRule>
  </conditionalFormatting>
  <conditionalFormatting sqref="P670">
    <cfRule type="containsText" dxfId="9" priority="4386" operator="containsText" text="No">
      <formula>NOT(ISERROR(SEARCH(("No"),(P670))))</formula>
    </cfRule>
  </conditionalFormatting>
  <conditionalFormatting sqref="P670">
    <cfRule type="containsText" dxfId="2" priority="4387" operator="containsText" text="Yes">
      <formula>NOT(ISERROR(SEARCH(("Yes"),(P670))))</formula>
    </cfRule>
  </conditionalFormatting>
  <conditionalFormatting sqref="P670">
    <cfRule type="containsText" dxfId="9" priority="4388" operator="containsText" text="No">
      <formula>NOT(ISERROR(SEARCH(("No"),(P670))))</formula>
    </cfRule>
  </conditionalFormatting>
  <conditionalFormatting sqref="P670">
    <cfRule type="containsText" dxfId="2" priority="4389" operator="containsText" text="Yes">
      <formula>NOT(ISERROR(SEARCH(("Yes"),(P670))))</formula>
    </cfRule>
  </conditionalFormatting>
  <conditionalFormatting sqref="P670">
    <cfRule type="containsText" dxfId="9" priority="4390" operator="containsText" text="No">
      <formula>NOT(ISERROR(SEARCH(("No"),(P670))))</formula>
    </cfRule>
  </conditionalFormatting>
  <conditionalFormatting sqref="P670">
    <cfRule type="containsText" dxfId="2" priority="4391" operator="containsText" text="Yes">
      <formula>NOT(ISERROR(SEARCH(("Yes"),(P670))))</formula>
    </cfRule>
  </conditionalFormatting>
  <conditionalFormatting sqref="P670">
    <cfRule type="containsText" dxfId="9" priority="4392" operator="containsText" text="No">
      <formula>NOT(ISERROR(SEARCH(("No"),(P670))))</formula>
    </cfRule>
  </conditionalFormatting>
  <conditionalFormatting sqref="P670">
    <cfRule type="containsText" dxfId="2" priority="4393" operator="containsText" text="Yes">
      <formula>NOT(ISERROR(SEARCH(("Yes"),(P670))))</formula>
    </cfRule>
  </conditionalFormatting>
  <conditionalFormatting sqref="P670">
    <cfRule type="containsText" dxfId="9" priority="4394" operator="containsText" text="No">
      <formula>NOT(ISERROR(SEARCH(("No"),(P670))))</formula>
    </cfRule>
  </conditionalFormatting>
  <conditionalFormatting sqref="P670">
    <cfRule type="containsText" dxfId="2" priority="4395" operator="containsText" text="Yes">
      <formula>NOT(ISERROR(SEARCH(("Yes"),(P670))))</formula>
    </cfRule>
  </conditionalFormatting>
  <conditionalFormatting sqref="P670">
    <cfRule type="containsText" dxfId="9" priority="4396" operator="containsText" text="No">
      <formula>NOT(ISERROR(SEARCH(("No"),(P670))))</formula>
    </cfRule>
  </conditionalFormatting>
  <conditionalFormatting sqref="P670">
    <cfRule type="containsText" dxfId="2" priority="4397" operator="containsText" text="Yes">
      <formula>NOT(ISERROR(SEARCH(("Yes"),(P670))))</formula>
    </cfRule>
  </conditionalFormatting>
  <conditionalFormatting sqref="P670">
    <cfRule type="containsText" dxfId="9" priority="4398" operator="containsText" text="No">
      <formula>NOT(ISERROR(SEARCH(("No"),(P670))))</formula>
    </cfRule>
  </conditionalFormatting>
  <conditionalFormatting sqref="P670">
    <cfRule type="containsText" dxfId="2" priority="4399" operator="containsText" text="Yes">
      <formula>NOT(ISERROR(SEARCH(("Yes"),(P670))))</formula>
    </cfRule>
  </conditionalFormatting>
  <conditionalFormatting sqref="P670">
    <cfRule type="containsText" dxfId="9" priority="4400" operator="containsText" text="No">
      <formula>NOT(ISERROR(SEARCH(("No"),(P670))))</formula>
    </cfRule>
  </conditionalFormatting>
  <conditionalFormatting sqref="P670">
    <cfRule type="containsText" dxfId="2" priority="4401" operator="containsText" text="Yes">
      <formula>NOT(ISERROR(SEARCH(("Yes"),(P670))))</formula>
    </cfRule>
  </conditionalFormatting>
  <conditionalFormatting sqref="P670">
    <cfRule type="containsText" dxfId="9" priority="4402" operator="containsText" text="No">
      <formula>NOT(ISERROR(SEARCH(("No"),(P670))))</formula>
    </cfRule>
  </conditionalFormatting>
  <conditionalFormatting sqref="P670">
    <cfRule type="containsText" dxfId="2" priority="4403" operator="containsText" text="Yes">
      <formula>NOT(ISERROR(SEARCH(("Yes"),(P670))))</formula>
    </cfRule>
  </conditionalFormatting>
  <conditionalFormatting sqref="P670">
    <cfRule type="containsText" dxfId="9" priority="4404" operator="containsText" text="No">
      <formula>NOT(ISERROR(SEARCH(("No"),(P670))))</formula>
    </cfRule>
  </conditionalFormatting>
  <conditionalFormatting sqref="P670">
    <cfRule type="containsText" dxfId="9" priority="4405" operator="containsText" text="No">
      <formula>NOT(ISERROR(SEARCH(("No"),(P670))))</formula>
    </cfRule>
  </conditionalFormatting>
  <conditionalFormatting sqref="P670">
    <cfRule type="containsText" dxfId="9" priority="4406" operator="containsText" text="No">
      <formula>NOT(ISERROR(SEARCH(("No"),(P670))))</formula>
    </cfRule>
  </conditionalFormatting>
  <conditionalFormatting sqref="P670">
    <cfRule type="containsText" dxfId="2" priority="4407" operator="containsText" text="Yes">
      <formula>NOT(ISERROR(SEARCH(("Yes"),(P670))))</formula>
    </cfRule>
  </conditionalFormatting>
  <conditionalFormatting sqref="P670">
    <cfRule type="containsText" dxfId="9" priority="4408" operator="containsText" text="No">
      <formula>NOT(ISERROR(SEARCH(("No"),(P670))))</formula>
    </cfRule>
  </conditionalFormatting>
  <conditionalFormatting sqref="P670">
    <cfRule type="containsText" dxfId="9" priority="4409" operator="containsText" text="No">
      <formula>NOT(ISERROR(SEARCH(("No"),(P670))))</formula>
    </cfRule>
  </conditionalFormatting>
  <conditionalFormatting sqref="P670">
    <cfRule type="containsText" dxfId="9" priority="4410" operator="containsText" text="No">
      <formula>NOT(ISERROR(SEARCH(("No"),(P670))))</formula>
    </cfRule>
  </conditionalFormatting>
  <conditionalFormatting sqref="P670">
    <cfRule type="containsText" dxfId="2" priority="4411" operator="containsText" text="Yes">
      <formula>NOT(ISERROR(SEARCH(("Yes"),(P670))))</formula>
    </cfRule>
  </conditionalFormatting>
  <conditionalFormatting sqref="P670">
    <cfRule type="containsText" dxfId="9" priority="4412" operator="containsText" text="No">
      <formula>NOT(ISERROR(SEARCH(("No"),(P670))))</formula>
    </cfRule>
  </conditionalFormatting>
  <conditionalFormatting sqref="P670">
    <cfRule type="containsText" dxfId="9" priority="4413" operator="containsText" text="No">
      <formula>NOT(ISERROR(SEARCH(("No"),(P670))))</formula>
    </cfRule>
  </conditionalFormatting>
  <conditionalFormatting sqref="P670">
    <cfRule type="containsText" dxfId="9" priority="4414" operator="containsText" text="No">
      <formula>NOT(ISERROR(SEARCH(("No"),(P670))))</formula>
    </cfRule>
  </conditionalFormatting>
  <conditionalFormatting sqref="P670">
    <cfRule type="containsText" dxfId="2" priority="4415" operator="containsText" text="Yes">
      <formula>NOT(ISERROR(SEARCH(("Yes"),(P670))))</formula>
    </cfRule>
  </conditionalFormatting>
  <conditionalFormatting sqref="P670">
    <cfRule type="containsText" dxfId="9" priority="4416" operator="containsText" text="No">
      <formula>NOT(ISERROR(SEARCH(("No"),(P670))))</formula>
    </cfRule>
  </conditionalFormatting>
  <conditionalFormatting sqref="P670">
    <cfRule type="containsText" dxfId="9" priority="4417" operator="containsText" text="No">
      <formula>NOT(ISERROR(SEARCH(("No"),(P670))))</formula>
    </cfRule>
  </conditionalFormatting>
  <conditionalFormatting sqref="P671:P673 P675 P682 P687">
    <cfRule type="containsText" dxfId="9" priority="4418" operator="containsText" text="No">
      <formula>NOT(ISERROR(SEARCH(("No"),(P671))))</formula>
    </cfRule>
  </conditionalFormatting>
  <conditionalFormatting sqref="P671:P673 P675 P682 P687">
    <cfRule type="containsText" dxfId="2" priority="4419" operator="containsText" text="Yes">
      <formula>NOT(ISERROR(SEARCH(("Yes"),(P671))))</formula>
    </cfRule>
  </conditionalFormatting>
  <conditionalFormatting sqref="P671:P673 P675 P682 P687">
    <cfRule type="containsText" dxfId="9" priority="4420" operator="containsText" text="No">
      <formula>NOT(ISERROR(SEARCH(("No"),(P671))))</formula>
    </cfRule>
  </conditionalFormatting>
  <conditionalFormatting sqref="P671:P673 P675 P682 P687">
    <cfRule type="containsText" dxfId="2" priority="4421" operator="containsText" text="Yes">
      <formula>NOT(ISERROR(SEARCH(("Yes"),(P671))))</formula>
    </cfRule>
  </conditionalFormatting>
  <conditionalFormatting sqref="P671:P673 P675 P682 P687">
    <cfRule type="containsText" dxfId="9" priority="4422" operator="containsText" text="No">
      <formula>NOT(ISERROR(SEARCH(("No"),(P671))))</formula>
    </cfRule>
  </conditionalFormatting>
  <conditionalFormatting sqref="P671:P673 P675 P682 P687">
    <cfRule type="containsText" dxfId="2" priority="4423" operator="containsText" text="Yes">
      <formula>NOT(ISERROR(SEARCH(("Yes"),(P671))))</formula>
    </cfRule>
  </conditionalFormatting>
  <conditionalFormatting sqref="P671:P673 P675 P682 P687">
    <cfRule type="containsText" dxfId="9" priority="4424" operator="containsText" text="No">
      <formula>NOT(ISERROR(SEARCH(("No"),(P671))))</formula>
    </cfRule>
  </conditionalFormatting>
  <conditionalFormatting sqref="P671:P673 P675 P682 P687">
    <cfRule type="containsText" dxfId="2" priority="4425" operator="containsText" text="Yes">
      <formula>NOT(ISERROR(SEARCH(("Yes"),(P671))))</formula>
    </cfRule>
  </conditionalFormatting>
  <conditionalFormatting sqref="P671:P673 P675 P682 P687">
    <cfRule type="containsText" dxfId="9" priority="4426" operator="containsText" text="No">
      <formula>NOT(ISERROR(SEARCH(("No"),(P671))))</formula>
    </cfRule>
  </conditionalFormatting>
  <conditionalFormatting sqref="P671:P673 P675 P682 P687">
    <cfRule type="containsText" dxfId="2" priority="4427" operator="containsText" text="Yes">
      <formula>NOT(ISERROR(SEARCH(("Yes"),(P671))))</formula>
    </cfRule>
  </conditionalFormatting>
  <conditionalFormatting sqref="P671:P673 P675 P682 P687">
    <cfRule type="containsText" dxfId="9" priority="4428" operator="containsText" text="No">
      <formula>NOT(ISERROR(SEARCH(("No"),(P671))))</formula>
    </cfRule>
  </conditionalFormatting>
  <conditionalFormatting sqref="P671:P673 P675 P682 P687">
    <cfRule type="containsText" dxfId="2" priority="4429" operator="containsText" text="Yes">
      <formula>NOT(ISERROR(SEARCH(("Yes"),(P671))))</formula>
    </cfRule>
  </conditionalFormatting>
  <conditionalFormatting sqref="P671:P673 P675 P682 P687">
    <cfRule type="containsText" dxfId="9" priority="4430" operator="containsText" text="No">
      <formula>NOT(ISERROR(SEARCH(("No"),(P671))))</formula>
    </cfRule>
  </conditionalFormatting>
  <conditionalFormatting sqref="P671:P673 P675 P682 P687">
    <cfRule type="containsText" dxfId="2" priority="4431" operator="containsText" text="Yes">
      <formula>NOT(ISERROR(SEARCH(("Yes"),(P671))))</formula>
    </cfRule>
  </conditionalFormatting>
  <conditionalFormatting sqref="P671:P673 P675 P682 P687">
    <cfRule type="containsText" dxfId="9" priority="4432" operator="containsText" text="No">
      <formula>NOT(ISERROR(SEARCH(("No"),(P671))))</formula>
    </cfRule>
  </conditionalFormatting>
  <conditionalFormatting sqref="P671:P673 P675 P682 P687">
    <cfRule type="containsText" dxfId="2" priority="4433" operator="containsText" text="Yes">
      <formula>NOT(ISERROR(SEARCH(("Yes"),(P671))))</formula>
    </cfRule>
  </conditionalFormatting>
  <conditionalFormatting sqref="P671:P673 P675 P682 P687">
    <cfRule type="containsText" dxfId="9" priority="4434" operator="containsText" text="No">
      <formula>NOT(ISERROR(SEARCH(("No"),(P671))))</formula>
    </cfRule>
  </conditionalFormatting>
  <conditionalFormatting sqref="P671:P673 P675 P682 P687">
    <cfRule type="containsText" dxfId="2" priority="4435" operator="containsText" text="Yes">
      <formula>NOT(ISERROR(SEARCH(("Yes"),(P671))))</formula>
    </cfRule>
  </conditionalFormatting>
  <conditionalFormatting sqref="P671:P673 P675 P682 P687">
    <cfRule type="containsText" dxfId="9" priority="4436" operator="containsText" text="No">
      <formula>NOT(ISERROR(SEARCH(("No"),(P671))))</formula>
    </cfRule>
  </conditionalFormatting>
  <conditionalFormatting sqref="P671:P673 P675 P682 P687">
    <cfRule type="containsText" dxfId="2" priority="4437" operator="containsText" text="Yes">
      <formula>NOT(ISERROR(SEARCH(("Yes"),(P671))))</formula>
    </cfRule>
  </conditionalFormatting>
  <conditionalFormatting sqref="P671:P673 P675 P682 P687">
    <cfRule type="containsText" dxfId="9" priority="4438" operator="containsText" text="No">
      <formula>NOT(ISERROR(SEARCH(("No"),(P671))))</formula>
    </cfRule>
  </conditionalFormatting>
  <conditionalFormatting sqref="P671:P673 P675 P682 P687">
    <cfRule type="containsText" dxfId="2" priority="4439" operator="containsText" text="Yes">
      <formula>NOT(ISERROR(SEARCH(("Yes"),(P671))))</formula>
    </cfRule>
  </conditionalFormatting>
  <conditionalFormatting sqref="P671:P673 P675 P682 P687">
    <cfRule type="containsText" dxfId="9" priority="4440" operator="containsText" text="No">
      <formula>NOT(ISERROR(SEARCH(("No"),(P671))))</formula>
    </cfRule>
  </conditionalFormatting>
  <conditionalFormatting sqref="P671:P673 P675 P682 P687">
    <cfRule type="containsText" dxfId="2" priority="4441" operator="containsText" text="Yes">
      <formula>NOT(ISERROR(SEARCH(("Yes"),(P671))))</formula>
    </cfRule>
  </conditionalFormatting>
  <conditionalFormatting sqref="P671:P673 P675 P682 P687">
    <cfRule type="containsText" dxfId="9" priority="4442" operator="containsText" text="No">
      <formula>NOT(ISERROR(SEARCH(("No"),(P671))))</formula>
    </cfRule>
  </conditionalFormatting>
  <conditionalFormatting sqref="P671:P673 P675 P682 P687">
    <cfRule type="containsText" dxfId="2" priority="4443" operator="containsText" text="Yes">
      <formula>NOT(ISERROR(SEARCH(("Yes"),(P671))))</formula>
    </cfRule>
  </conditionalFormatting>
  <conditionalFormatting sqref="P671:P673 P675 P682 P687">
    <cfRule type="containsText" dxfId="9" priority="4444" operator="containsText" text="No">
      <formula>NOT(ISERROR(SEARCH(("No"),(P671))))</formula>
    </cfRule>
  </conditionalFormatting>
  <conditionalFormatting sqref="P671:P673 P675 P682 P687">
    <cfRule type="containsText" dxfId="2" priority="4445" operator="containsText" text="Yes">
      <formula>NOT(ISERROR(SEARCH(("Yes"),(P671))))</formula>
    </cfRule>
  </conditionalFormatting>
  <conditionalFormatting sqref="P671:P673 P675 P682 P687">
    <cfRule type="containsText" dxfId="9" priority="4446" operator="containsText" text="No">
      <formula>NOT(ISERROR(SEARCH(("No"),(P671))))</formula>
    </cfRule>
  </conditionalFormatting>
  <conditionalFormatting sqref="P671:P673 P675 P682 P687">
    <cfRule type="containsText" dxfId="2" priority="4447" operator="containsText" text="Yes">
      <formula>NOT(ISERROR(SEARCH(("Yes"),(P671))))</formula>
    </cfRule>
  </conditionalFormatting>
  <conditionalFormatting sqref="P671:P673 P675 P682 P687">
    <cfRule type="containsText" dxfId="9" priority="4448" operator="containsText" text="No">
      <formula>NOT(ISERROR(SEARCH(("No"),(P671))))</formula>
    </cfRule>
  </conditionalFormatting>
  <conditionalFormatting sqref="P671:P673 P675 P682 P687">
    <cfRule type="containsText" dxfId="2" priority="4449" operator="containsText" text="Yes">
      <formula>NOT(ISERROR(SEARCH(("Yes"),(P671))))</formula>
    </cfRule>
  </conditionalFormatting>
  <conditionalFormatting sqref="P671:P673 P675 P682 P687">
    <cfRule type="containsText" dxfId="9" priority="4450" operator="containsText" text="No">
      <formula>NOT(ISERROR(SEARCH(("No"),(P671))))</formula>
    </cfRule>
  </conditionalFormatting>
  <conditionalFormatting sqref="P671:P673 P675 P682 P687">
    <cfRule type="containsText" dxfId="2" priority="4451" operator="containsText" text="Yes">
      <formula>NOT(ISERROR(SEARCH(("Yes"),(P671))))</formula>
    </cfRule>
  </conditionalFormatting>
  <conditionalFormatting sqref="P671:P673 P675 P682 P687">
    <cfRule type="containsText" dxfId="9" priority="4452" operator="containsText" text="No">
      <formula>NOT(ISERROR(SEARCH(("No"),(P671))))</formula>
    </cfRule>
  </conditionalFormatting>
  <conditionalFormatting sqref="P671:P673 P675 P682 P687">
    <cfRule type="containsText" dxfId="2" priority="4453" operator="containsText" text="Yes">
      <formula>NOT(ISERROR(SEARCH(("Yes"),(P671))))</formula>
    </cfRule>
  </conditionalFormatting>
  <conditionalFormatting sqref="P671:P673 P675 P682 P687">
    <cfRule type="containsText" dxfId="9" priority="4454" operator="containsText" text="No">
      <formula>NOT(ISERROR(SEARCH(("No"),(P671))))</formula>
    </cfRule>
  </conditionalFormatting>
  <conditionalFormatting sqref="P671:P673 P675 P682 P687">
    <cfRule type="containsText" dxfId="2" priority="4455" operator="containsText" text="Yes">
      <formula>NOT(ISERROR(SEARCH(("Yes"),(P671))))</formula>
    </cfRule>
  </conditionalFormatting>
  <conditionalFormatting sqref="P671:P673 P675 P682 P687">
    <cfRule type="containsText" dxfId="9" priority="4456" operator="containsText" text="No">
      <formula>NOT(ISERROR(SEARCH(("No"),(P671))))</formula>
    </cfRule>
  </conditionalFormatting>
  <conditionalFormatting sqref="P671:P673 P675 P682 P687">
    <cfRule type="containsText" dxfId="2" priority="4457" operator="containsText" text="Yes">
      <formula>NOT(ISERROR(SEARCH(("Yes"),(P671))))</formula>
    </cfRule>
  </conditionalFormatting>
  <conditionalFormatting sqref="P671:P673 P675 P682 P687">
    <cfRule type="containsText" dxfId="9" priority="4458" operator="containsText" text="No">
      <formula>NOT(ISERROR(SEARCH(("No"),(P671))))</formula>
    </cfRule>
  </conditionalFormatting>
  <conditionalFormatting sqref="P671:P673 P675 P682 P687">
    <cfRule type="containsText" dxfId="2" priority="4459" operator="containsText" text="Yes">
      <formula>NOT(ISERROR(SEARCH(("Yes"),(P671))))</formula>
    </cfRule>
  </conditionalFormatting>
  <conditionalFormatting sqref="P671:P673 P675 P682 P687">
    <cfRule type="containsText" dxfId="9" priority="4460" operator="containsText" text="No">
      <formula>NOT(ISERROR(SEARCH(("No"),(P671))))</formula>
    </cfRule>
  </conditionalFormatting>
  <conditionalFormatting sqref="P671:P673 P675 P682 P687">
    <cfRule type="containsText" dxfId="2" priority="4461" operator="containsText" text="Yes">
      <formula>NOT(ISERROR(SEARCH(("Yes"),(P671))))</formula>
    </cfRule>
  </conditionalFormatting>
  <conditionalFormatting sqref="P671:P673 P675 P682 P687">
    <cfRule type="containsText" dxfId="9" priority="4462" operator="containsText" text="No">
      <formula>NOT(ISERROR(SEARCH(("No"),(P671))))</formula>
    </cfRule>
  </conditionalFormatting>
  <conditionalFormatting sqref="P671:P673 P675 P682 P687">
    <cfRule type="containsText" dxfId="2" priority="4463" operator="containsText" text="Yes">
      <formula>NOT(ISERROR(SEARCH(("Yes"),(P671))))</formula>
    </cfRule>
  </conditionalFormatting>
  <conditionalFormatting sqref="P671:P673 P675 P682 P687">
    <cfRule type="containsText" dxfId="9" priority="4464" operator="containsText" text="No">
      <formula>NOT(ISERROR(SEARCH(("No"),(P671))))</formula>
    </cfRule>
  </conditionalFormatting>
  <conditionalFormatting sqref="P671:P673 P675 P682 P687">
    <cfRule type="containsText" dxfId="2" priority="4465" operator="containsText" text="Yes">
      <formula>NOT(ISERROR(SEARCH(("Yes"),(P671))))</formula>
    </cfRule>
  </conditionalFormatting>
  <conditionalFormatting sqref="P671:P673 P675 P682 P687">
    <cfRule type="containsText" dxfId="9" priority="4466" operator="containsText" text="No">
      <formula>NOT(ISERROR(SEARCH(("No"),(P671))))</formula>
    </cfRule>
  </conditionalFormatting>
  <conditionalFormatting sqref="P671:P673 P675 P682 P687">
    <cfRule type="containsText" dxfId="2" priority="4467" operator="containsText" text="Yes">
      <formula>NOT(ISERROR(SEARCH(("Yes"),(P671))))</formula>
    </cfRule>
  </conditionalFormatting>
  <conditionalFormatting sqref="P671:P673 P675 P682 P687">
    <cfRule type="containsText" dxfId="9" priority="4468" operator="containsText" text="No">
      <formula>NOT(ISERROR(SEARCH(("No"),(P671))))</formula>
    </cfRule>
  </conditionalFormatting>
  <conditionalFormatting sqref="P671:P673 P675 P682 P687">
    <cfRule type="containsText" dxfId="2" priority="4469" operator="containsText" text="Yes">
      <formula>NOT(ISERROR(SEARCH(("Yes"),(P671))))</formula>
    </cfRule>
  </conditionalFormatting>
  <conditionalFormatting sqref="P671:P673 P675 P682 P687">
    <cfRule type="containsText" dxfId="9" priority="4470" operator="containsText" text="No">
      <formula>NOT(ISERROR(SEARCH(("No"),(P671))))</formula>
    </cfRule>
  </conditionalFormatting>
  <conditionalFormatting sqref="P671:P673 P675 P682 P687">
    <cfRule type="containsText" dxfId="2" priority="4471" operator="containsText" text="Yes">
      <formula>NOT(ISERROR(SEARCH(("Yes"),(P671))))</formula>
    </cfRule>
  </conditionalFormatting>
  <conditionalFormatting sqref="P671:P673 P675 P682 P687">
    <cfRule type="containsText" dxfId="9" priority="4472" operator="containsText" text="No">
      <formula>NOT(ISERROR(SEARCH(("No"),(P671))))</formula>
    </cfRule>
  </conditionalFormatting>
  <conditionalFormatting sqref="P671:P673 P675 P682 P687">
    <cfRule type="containsText" dxfId="2" priority="4473" operator="containsText" text="Yes">
      <formula>NOT(ISERROR(SEARCH(("Yes"),(P671))))</formula>
    </cfRule>
  </conditionalFormatting>
  <conditionalFormatting sqref="P671:P673 P675 P682 P687">
    <cfRule type="containsText" dxfId="9" priority="4474" operator="containsText" text="No">
      <formula>NOT(ISERROR(SEARCH(("No"),(P671))))</formula>
    </cfRule>
  </conditionalFormatting>
  <conditionalFormatting sqref="P671:P673 P675 P682 P687">
    <cfRule type="containsText" dxfId="2" priority="4475" operator="containsText" text="Yes">
      <formula>NOT(ISERROR(SEARCH(("Yes"),(P671))))</formula>
    </cfRule>
  </conditionalFormatting>
  <conditionalFormatting sqref="P671:P673 P675 P682 P687">
    <cfRule type="containsText" dxfId="9" priority="4476" operator="containsText" text="No">
      <formula>NOT(ISERROR(SEARCH(("No"),(P671))))</formula>
    </cfRule>
  </conditionalFormatting>
  <conditionalFormatting sqref="P671:P673 P675 P682 P687">
    <cfRule type="containsText" dxfId="2" priority="4477" operator="containsText" text="Yes">
      <formula>NOT(ISERROR(SEARCH(("Yes"),(P671))))</formula>
    </cfRule>
  </conditionalFormatting>
  <conditionalFormatting sqref="P671:P673 P675 P682 P687">
    <cfRule type="containsText" dxfId="9" priority="4478" operator="containsText" text="No">
      <formula>NOT(ISERROR(SEARCH(("No"),(P671))))</formula>
    </cfRule>
  </conditionalFormatting>
  <conditionalFormatting sqref="P671:P673 P675 P682 P687">
    <cfRule type="containsText" dxfId="2" priority="4479" operator="containsText" text="Yes">
      <formula>NOT(ISERROR(SEARCH(("Yes"),(P671))))</formula>
    </cfRule>
  </conditionalFormatting>
  <conditionalFormatting sqref="P671:P673 P675 P682 P687">
    <cfRule type="containsText" dxfId="9" priority="4480" operator="containsText" text="No">
      <formula>NOT(ISERROR(SEARCH(("No"),(P671))))</formula>
    </cfRule>
  </conditionalFormatting>
  <conditionalFormatting sqref="P671:P673 P675 P682 P687">
    <cfRule type="containsText" dxfId="2" priority="4481" operator="containsText" text="Yes">
      <formula>NOT(ISERROR(SEARCH(("Yes"),(P671))))</formula>
    </cfRule>
  </conditionalFormatting>
  <conditionalFormatting sqref="P671:P673 P675 P682 P687">
    <cfRule type="containsText" dxfId="9" priority="4482" operator="containsText" text="No">
      <formula>NOT(ISERROR(SEARCH(("No"),(P671))))</formula>
    </cfRule>
  </conditionalFormatting>
  <conditionalFormatting sqref="P671:P673 P675 P682 P687">
    <cfRule type="containsText" dxfId="2" priority="4483" operator="containsText" text="Yes">
      <formula>NOT(ISERROR(SEARCH(("Yes"),(P671))))</formula>
    </cfRule>
  </conditionalFormatting>
  <conditionalFormatting sqref="P671:P673 P675 P682 P687">
    <cfRule type="containsText" dxfId="9" priority="4484" operator="containsText" text="No">
      <formula>NOT(ISERROR(SEARCH(("No"),(P671))))</formula>
    </cfRule>
  </conditionalFormatting>
  <conditionalFormatting sqref="P671:P673 P675 P682 P687">
    <cfRule type="containsText" dxfId="2" priority="4485" operator="containsText" text="Yes">
      <formula>NOT(ISERROR(SEARCH(("Yes"),(P671))))</formula>
    </cfRule>
  </conditionalFormatting>
  <conditionalFormatting sqref="P671:P673 P675 P682 P687">
    <cfRule type="containsText" dxfId="9" priority="4486" operator="containsText" text="No">
      <formula>NOT(ISERROR(SEARCH(("No"),(P671))))</formula>
    </cfRule>
  </conditionalFormatting>
  <conditionalFormatting sqref="P671:P673 P675 P682 P687">
    <cfRule type="containsText" dxfId="2" priority="4487" operator="containsText" text="Yes">
      <formula>NOT(ISERROR(SEARCH(("Yes"),(P671))))</formula>
    </cfRule>
  </conditionalFormatting>
  <conditionalFormatting sqref="P671:P673 P675 P682 P687">
    <cfRule type="containsText" dxfId="9" priority="4488" operator="containsText" text="No">
      <formula>NOT(ISERROR(SEARCH(("No"),(P671))))</formula>
    </cfRule>
  </conditionalFormatting>
  <conditionalFormatting sqref="P671:P673 P675 P682 P687">
    <cfRule type="containsText" dxfId="2" priority="4489" operator="containsText" text="Yes">
      <formula>NOT(ISERROR(SEARCH(("Yes"),(P671))))</formula>
    </cfRule>
  </conditionalFormatting>
  <conditionalFormatting sqref="P671:P673 P675 P682 P687">
    <cfRule type="containsText" dxfId="9" priority="4490" operator="containsText" text="No">
      <formula>NOT(ISERROR(SEARCH(("No"),(P671))))</formula>
    </cfRule>
  </conditionalFormatting>
  <conditionalFormatting sqref="P671:P673 P675 P682 P687">
    <cfRule type="containsText" dxfId="2" priority="4491" operator="containsText" text="Yes">
      <formula>NOT(ISERROR(SEARCH(("Yes"),(P671))))</formula>
    </cfRule>
  </conditionalFormatting>
  <conditionalFormatting sqref="P671:P673 P675 P682 P687">
    <cfRule type="containsText" dxfId="9" priority="4492" operator="containsText" text="No">
      <formula>NOT(ISERROR(SEARCH(("No"),(P671))))</formula>
    </cfRule>
  </conditionalFormatting>
  <conditionalFormatting sqref="P671:P673 P675 P682 P687">
    <cfRule type="containsText" dxfId="2" priority="4493" operator="containsText" text="Yes">
      <formula>NOT(ISERROR(SEARCH(("Yes"),(P671))))</formula>
    </cfRule>
  </conditionalFormatting>
  <conditionalFormatting sqref="P671:P673 P675 P682 P687">
    <cfRule type="containsText" dxfId="9" priority="4494" operator="containsText" text="No">
      <formula>NOT(ISERROR(SEARCH(("No"),(P671))))</formula>
    </cfRule>
  </conditionalFormatting>
  <conditionalFormatting sqref="P671:P673 P675 P682 P687">
    <cfRule type="containsText" dxfId="2" priority="4495" operator="containsText" text="Yes">
      <formula>NOT(ISERROR(SEARCH(("Yes"),(P671))))</formula>
    </cfRule>
  </conditionalFormatting>
  <conditionalFormatting sqref="P671:P673 P675 P682 P687">
    <cfRule type="containsText" dxfId="9" priority="4496" operator="containsText" text="No">
      <formula>NOT(ISERROR(SEARCH(("No"),(P671))))</formula>
    </cfRule>
  </conditionalFormatting>
  <conditionalFormatting sqref="P671:P673 P675 P682 P687">
    <cfRule type="containsText" dxfId="2" priority="4497" operator="containsText" text="Yes">
      <formula>NOT(ISERROR(SEARCH(("Yes"),(P671))))</formula>
    </cfRule>
  </conditionalFormatting>
  <conditionalFormatting sqref="P671:P673 P675 P682 P687">
    <cfRule type="containsText" dxfId="9" priority="4498" operator="containsText" text="No">
      <formula>NOT(ISERROR(SEARCH(("No"),(P671))))</formula>
    </cfRule>
  </conditionalFormatting>
  <conditionalFormatting sqref="P671:P673 P675 P682 P687">
    <cfRule type="containsText" dxfId="2" priority="4499" operator="containsText" text="Yes">
      <formula>NOT(ISERROR(SEARCH(("Yes"),(P671))))</formula>
    </cfRule>
  </conditionalFormatting>
  <conditionalFormatting sqref="P671:P673 P675 P682 P687">
    <cfRule type="containsText" dxfId="9" priority="4500" operator="containsText" text="No">
      <formula>NOT(ISERROR(SEARCH(("No"),(P671))))</formula>
    </cfRule>
  </conditionalFormatting>
  <conditionalFormatting sqref="P671:P673 P675 P682 P687">
    <cfRule type="containsText" dxfId="2" priority="4501" operator="containsText" text="Yes">
      <formula>NOT(ISERROR(SEARCH(("Yes"),(P671))))</formula>
    </cfRule>
  </conditionalFormatting>
  <conditionalFormatting sqref="P671:P673 P675 P682 P687">
    <cfRule type="containsText" dxfId="9" priority="4502" operator="containsText" text="No">
      <formula>NOT(ISERROR(SEARCH(("No"),(P671))))</formula>
    </cfRule>
  </conditionalFormatting>
  <conditionalFormatting sqref="P671:P673 P675 P682 P687">
    <cfRule type="containsText" dxfId="2" priority="4503" operator="containsText" text="Yes">
      <formula>NOT(ISERROR(SEARCH(("Yes"),(P671))))</formula>
    </cfRule>
  </conditionalFormatting>
  <conditionalFormatting sqref="P671:P673 P675 P682 P687">
    <cfRule type="containsText" dxfId="9" priority="4504" operator="containsText" text="No">
      <formula>NOT(ISERROR(SEARCH(("No"),(P671))))</formula>
    </cfRule>
  </conditionalFormatting>
  <conditionalFormatting sqref="P671:P673 P675 P682 P687">
    <cfRule type="containsText" dxfId="2" priority="4505" operator="containsText" text="Yes">
      <formula>NOT(ISERROR(SEARCH(("Yes"),(P671))))</formula>
    </cfRule>
  </conditionalFormatting>
  <conditionalFormatting sqref="P671:P673 P675 P682 P687">
    <cfRule type="containsText" dxfId="9" priority="4506" operator="containsText" text="No">
      <formula>NOT(ISERROR(SEARCH(("No"),(P671))))</formula>
    </cfRule>
  </conditionalFormatting>
  <conditionalFormatting sqref="P671:P673 P675 P682 P687">
    <cfRule type="containsText" dxfId="2" priority="4507" operator="containsText" text="Yes">
      <formula>NOT(ISERROR(SEARCH(("Yes"),(P671))))</formula>
    </cfRule>
  </conditionalFormatting>
  <conditionalFormatting sqref="P671:P673 P675 P682 P687">
    <cfRule type="containsText" dxfId="9" priority="4508" operator="containsText" text="No">
      <formula>NOT(ISERROR(SEARCH(("No"),(P671))))</formula>
    </cfRule>
  </conditionalFormatting>
  <conditionalFormatting sqref="P671:P673 P675 P682 P687">
    <cfRule type="containsText" dxfId="2" priority="4509" operator="containsText" text="Yes">
      <formula>NOT(ISERROR(SEARCH(("Yes"),(P671))))</formula>
    </cfRule>
  </conditionalFormatting>
  <conditionalFormatting sqref="P671:P673 P675 P682 P687">
    <cfRule type="containsText" dxfId="9" priority="4510" operator="containsText" text="No">
      <formula>NOT(ISERROR(SEARCH(("No"),(P671))))</formula>
    </cfRule>
  </conditionalFormatting>
  <conditionalFormatting sqref="P671:P673 P675 P682 P687">
    <cfRule type="containsText" dxfId="2" priority="4511" operator="containsText" text="Yes">
      <formula>NOT(ISERROR(SEARCH(("Yes"),(P671))))</formula>
    </cfRule>
  </conditionalFormatting>
  <conditionalFormatting sqref="P671:P673 P675 P682 P687">
    <cfRule type="containsText" dxfId="9" priority="4512" operator="containsText" text="No">
      <formula>NOT(ISERROR(SEARCH(("No"),(P671))))</formula>
    </cfRule>
  </conditionalFormatting>
  <conditionalFormatting sqref="P671:P673 P675 P682 P687">
    <cfRule type="containsText" dxfId="2" priority="4513" operator="containsText" text="Yes">
      <formula>NOT(ISERROR(SEARCH(("Yes"),(P671))))</formula>
    </cfRule>
  </conditionalFormatting>
  <conditionalFormatting sqref="P671:P673 P675 P682 P687">
    <cfRule type="containsText" dxfId="9" priority="4514" operator="containsText" text="No">
      <formula>NOT(ISERROR(SEARCH(("No"),(P671))))</formula>
    </cfRule>
  </conditionalFormatting>
  <conditionalFormatting sqref="P671:P673 P675 P682 P687">
    <cfRule type="containsText" dxfId="2" priority="4515" operator="containsText" text="Yes">
      <formula>NOT(ISERROR(SEARCH(("Yes"),(P671))))</formula>
    </cfRule>
  </conditionalFormatting>
  <conditionalFormatting sqref="P671:P673 P675 P682 P687">
    <cfRule type="containsText" dxfId="9" priority="4516" operator="containsText" text="No">
      <formula>NOT(ISERROR(SEARCH(("No"),(P671))))</formula>
    </cfRule>
  </conditionalFormatting>
  <conditionalFormatting sqref="P671:P673 P675 P682 P687">
    <cfRule type="containsText" dxfId="2" priority="4517" operator="containsText" text="Yes">
      <formula>NOT(ISERROR(SEARCH(("Yes"),(P671))))</formula>
    </cfRule>
  </conditionalFormatting>
  <conditionalFormatting sqref="P671:P673 P675 P682 P687">
    <cfRule type="containsText" dxfId="9" priority="4518" operator="containsText" text="No">
      <formula>NOT(ISERROR(SEARCH(("No"),(P671))))</formula>
    </cfRule>
  </conditionalFormatting>
  <conditionalFormatting sqref="P671:P673 P675 P682 P687">
    <cfRule type="containsText" dxfId="2" priority="4519" operator="containsText" text="Yes">
      <formula>NOT(ISERROR(SEARCH(("Yes"),(P671))))</formula>
    </cfRule>
  </conditionalFormatting>
  <conditionalFormatting sqref="P671:P673 P675 P682 P687">
    <cfRule type="containsText" dxfId="9" priority="4520" operator="containsText" text="No">
      <formula>NOT(ISERROR(SEARCH(("No"),(P671))))</formula>
    </cfRule>
  </conditionalFormatting>
  <conditionalFormatting sqref="P671:P673 P675 P682 P687">
    <cfRule type="containsText" dxfId="2" priority="4521" operator="containsText" text="Yes">
      <formula>NOT(ISERROR(SEARCH(("Yes"),(P671))))</formula>
    </cfRule>
  </conditionalFormatting>
  <conditionalFormatting sqref="P671:P673 P675 P682 P687">
    <cfRule type="containsText" dxfId="9" priority="4522" operator="containsText" text="No">
      <formula>NOT(ISERROR(SEARCH(("No"),(P671))))</formula>
    </cfRule>
  </conditionalFormatting>
  <conditionalFormatting sqref="P671:P673 P675 P682 P687">
    <cfRule type="containsText" dxfId="2" priority="4523" operator="containsText" text="Yes">
      <formula>NOT(ISERROR(SEARCH(("Yes"),(P671))))</formula>
    </cfRule>
  </conditionalFormatting>
  <conditionalFormatting sqref="P671:P673 P675 P682 P687">
    <cfRule type="containsText" dxfId="9" priority="4524" operator="containsText" text="No">
      <formula>NOT(ISERROR(SEARCH(("No"),(P671))))</formula>
    </cfRule>
  </conditionalFormatting>
  <conditionalFormatting sqref="P671:P673 P675 P682 P687">
    <cfRule type="containsText" dxfId="2" priority="4525" operator="containsText" text="Yes">
      <formula>NOT(ISERROR(SEARCH(("Yes"),(P671))))</formula>
    </cfRule>
  </conditionalFormatting>
  <conditionalFormatting sqref="P671:P673 P675 P682 P687">
    <cfRule type="containsText" dxfId="9" priority="4526" operator="containsText" text="No">
      <formula>NOT(ISERROR(SEARCH(("No"),(P671))))</formula>
    </cfRule>
  </conditionalFormatting>
  <conditionalFormatting sqref="P671:P673 P675 P682 P687">
    <cfRule type="containsText" dxfId="2" priority="4527" operator="containsText" text="Yes">
      <formula>NOT(ISERROR(SEARCH(("Yes"),(P671))))</formula>
    </cfRule>
  </conditionalFormatting>
  <conditionalFormatting sqref="P671:P673 P675 P682 P687">
    <cfRule type="containsText" dxfId="9" priority="4528" operator="containsText" text="No">
      <formula>NOT(ISERROR(SEARCH(("No"),(P671))))</formula>
    </cfRule>
  </conditionalFormatting>
  <conditionalFormatting sqref="P671:P673 P675 P682 P687">
    <cfRule type="containsText" dxfId="2" priority="4529" operator="containsText" text="Yes">
      <formula>NOT(ISERROR(SEARCH(("Yes"),(P671))))</formula>
    </cfRule>
  </conditionalFormatting>
  <conditionalFormatting sqref="P671:P673 P675 P682 P687">
    <cfRule type="containsText" dxfId="9" priority="4530" operator="containsText" text="No">
      <formula>NOT(ISERROR(SEARCH(("No"),(P671))))</formula>
    </cfRule>
  </conditionalFormatting>
  <conditionalFormatting sqref="P671:P673 P675 P682 P687">
    <cfRule type="containsText" dxfId="2" priority="4531" operator="containsText" text="Yes">
      <formula>NOT(ISERROR(SEARCH(("Yes"),(P671))))</formula>
    </cfRule>
  </conditionalFormatting>
  <conditionalFormatting sqref="P671:P673 P675 P682 P687">
    <cfRule type="containsText" dxfId="9" priority="4532" operator="containsText" text="No">
      <formula>NOT(ISERROR(SEARCH(("No"),(P671))))</formula>
    </cfRule>
  </conditionalFormatting>
  <conditionalFormatting sqref="P671:P673 P675 P682 P687">
    <cfRule type="containsText" dxfId="2" priority="4533" operator="containsText" text="Yes">
      <formula>NOT(ISERROR(SEARCH(("Yes"),(P671))))</formula>
    </cfRule>
  </conditionalFormatting>
  <conditionalFormatting sqref="P671:P673 P675 P682 P687">
    <cfRule type="containsText" dxfId="9" priority="4534" operator="containsText" text="No">
      <formula>NOT(ISERROR(SEARCH(("No"),(P671))))</formula>
    </cfRule>
  </conditionalFormatting>
  <conditionalFormatting sqref="P671:P673 P675 P682 P687">
    <cfRule type="containsText" dxfId="2" priority="4535" operator="containsText" text="Yes">
      <formula>NOT(ISERROR(SEARCH(("Yes"),(P671))))</formula>
    </cfRule>
  </conditionalFormatting>
  <conditionalFormatting sqref="P671:P673 P675 P682 P687">
    <cfRule type="containsText" dxfId="9" priority="4536" operator="containsText" text="No">
      <formula>NOT(ISERROR(SEARCH(("No"),(P671))))</formula>
    </cfRule>
  </conditionalFormatting>
  <conditionalFormatting sqref="P671:P673 P675 P682 P687">
    <cfRule type="containsText" dxfId="2" priority="4537" operator="containsText" text="Yes">
      <formula>NOT(ISERROR(SEARCH(("Yes"),(P671))))</formula>
    </cfRule>
  </conditionalFormatting>
  <conditionalFormatting sqref="P671:P673 P675 P682 P687">
    <cfRule type="containsText" dxfId="9" priority="4538" operator="containsText" text="No">
      <formula>NOT(ISERROR(SEARCH(("No"),(P671))))</formula>
    </cfRule>
  </conditionalFormatting>
  <conditionalFormatting sqref="P671:P673 P675 P682 P687">
    <cfRule type="containsText" dxfId="2" priority="4539" operator="containsText" text="Yes">
      <formula>NOT(ISERROR(SEARCH(("Yes"),(P671))))</formula>
    </cfRule>
  </conditionalFormatting>
  <conditionalFormatting sqref="P671:P673 P675 P682 P687">
    <cfRule type="containsText" dxfId="9" priority="4540" operator="containsText" text="No">
      <formula>NOT(ISERROR(SEARCH(("No"),(P671))))</formula>
    </cfRule>
  </conditionalFormatting>
  <conditionalFormatting sqref="P671:P673 P675 P682 P687">
    <cfRule type="containsText" dxfId="2" priority="4541" operator="containsText" text="Yes">
      <formula>NOT(ISERROR(SEARCH(("Yes"),(P671))))</formula>
    </cfRule>
  </conditionalFormatting>
  <conditionalFormatting sqref="P671:P673 P675 P682 P687">
    <cfRule type="containsText" dxfId="9" priority="4542" operator="containsText" text="No">
      <formula>NOT(ISERROR(SEARCH(("No"),(P671))))</formula>
    </cfRule>
  </conditionalFormatting>
  <conditionalFormatting sqref="P671:P673 P675 P682 P687">
    <cfRule type="containsText" dxfId="2" priority="4543" operator="containsText" text="Yes">
      <formula>NOT(ISERROR(SEARCH(("Yes"),(P671))))</formula>
    </cfRule>
  </conditionalFormatting>
  <conditionalFormatting sqref="P671:P673 P675 P682 P687">
    <cfRule type="containsText" dxfId="9" priority="4544" operator="containsText" text="No">
      <formula>NOT(ISERROR(SEARCH(("No"),(P671))))</formula>
    </cfRule>
  </conditionalFormatting>
  <conditionalFormatting sqref="P671:P673 P675 P682 P687">
    <cfRule type="containsText" dxfId="2" priority="4545" operator="containsText" text="Yes">
      <formula>NOT(ISERROR(SEARCH(("Yes"),(P671))))</formula>
    </cfRule>
  </conditionalFormatting>
  <conditionalFormatting sqref="P671:P673 P675 P682 P687">
    <cfRule type="containsText" dxfId="9" priority="4546" operator="containsText" text="No">
      <formula>NOT(ISERROR(SEARCH(("No"),(P671))))</formula>
    </cfRule>
  </conditionalFormatting>
  <conditionalFormatting sqref="P671:P673 P675 P682 P687">
    <cfRule type="containsText" dxfId="2" priority="4547" operator="containsText" text="Yes">
      <formula>NOT(ISERROR(SEARCH(("Yes"),(P671))))</formula>
    </cfRule>
  </conditionalFormatting>
  <conditionalFormatting sqref="P671:P673 P675 P682 P687">
    <cfRule type="containsText" dxfId="9" priority="4548" operator="containsText" text="No">
      <formula>NOT(ISERROR(SEARCH(("No"),(P671))))</formula>
    </cfRule>
  </conditionalFormatting>
  <conditionalFormatting sqref="P671:P673 P675 P682 P687">
    <cfRule type="containsText" dxfId="2" priority="4549" operator="containsText" text="Yes">
      <formula>NOT(ISERROR(SEARCH(("Yes"),(P671))))</formula>
    </cfRule>
  </conditionalFormatting>
  <conditionalFormatting sqref="P671:P673 P675 P682 P687">
    <cfRule type="containsText" dxfId="9" priority="4550" operator="containsText" text="No">
      <formula>NOT(ISERROR(SEARCH(("No"),(P671))))</formula>
    </cfRule>
  </conditionalFormatting>
  <conditionalFormatting sqref="P671:P673 P675 P682 P687">
    <cfRule type="containsText" dxfId="2" priority="4551" operator="containsText" text="Yes">
      <formula>NOT(ISERROR(SEARCH(("Yes"),(P671))))</formula>
    </cfRule>
  </conditionalFormatting>
  <conditionalFormatting sqref="P671:P673 P675 P682 P687">
    <cfRule type="containsText" dxfId="9" priority="4552" operator="containsText" text="No">
      <formula>NOT(ISERROR(SEARCH(("No"),(P671))))</formula>
    </cfRule>
  </conditionalFormatting>
  <conditionalFormatting sqref="P671:P673 P675 P682 P687">
    <cfRule type="containsText" dxfId="2" priority="4553" operator="containsText" text="Yes">
      <formula>NOT(ISERROR(SEARCH(("Yes"),(P671))))</formula>
    </cfRule>
  </conditionalFormatting>
  <conditionalFormatting sqref="P671:P673 P675 P682 P687">
    <cfRule type="containsText" dxfId="9" priority="4554" operator="containsText" text="No">
      <formula>NOT(ISERROR(SEARCH(("No"),(P671))))</formula>
    </cfRule>
  </conditionalFormatting>
  <conditionalFormatting sqref="P671:P673 P675 P682 P687">
    <cfRule type="containsText" dxfId="2" priority="4555" operator="containsText" text="Yes">
      <formula>NOT(ISERROR(SEARCH(("Yes"),(P671))))</formula>
    </cfRule>
  </conditionalFormatting>
  <conditionalFormatting sqref="P671:P673 P675 P682 P687">
    <cfRule type="containsText" dxfId="9" priority="4556" operator="containsText" text="No">
      <formula>NOT(ISERROR(SEARCH(("No"),(P671))))</formula>
    </cfRule>
  </conditionalFormatting>
  <conditionalFormatting sqref="P671:P673 P675 P682 P687">
    <cfRule type="containsText" dxfId="2" priority="4557" operator="containsText" text="Yes">
      <formula>NOT(ISERROR(SEARCH(("Yes"),(P671))))</formula>
    </cfRule>
  </conditionalFormatting>
  <conditionalFormatting sqref="P671:P673 P675 P682 P687">
    <cfRule type="containsText" dxfId="9" priority="4558" operator="containsText" text="No">
      <formula>NOT(ISERROR(SEARCH(("No"),(P671))))</formula>
    </cfRule>
  </conditionalFormatting>
  <conditionalFormatting sqref="P671:P673 P675 P682 P687">
    <cfRule type="containsText" dxfId="2" priority="4559" operator="containsText" text="Yes">
      <formula>NOT(ISERROR(SEARCH(("Yes"),(P671))))</formula>
    </cfRule>
  </conditionalFormatting>
  <conditionalFormatting sqref="P671:P673 P675 P682 P687">
    <cfRule type="containsText" dxfId="9" priority="4560" operator="containsText" text="No">
      <formula>NOT(ISERROR(SEARCH(("No"),(P671))))</formula>
    </cfRule>
  </conditionalFormatting>
  <conditionalFormatting sqref="P671:P673 P675 P682 P687">
    <cfRule type="containsText" dxfId="2" priority="4561" operator="containsText" text="Yes">
      <formula>NOT(ISERROR(SEARCH(("Yes"),(P671))))</formula>
    </cfRule>
  </conditionalFormatting>
  <conditionalFormatting sqref="P671:P673 P675 P682 P687">
    <cfRule type="containsText" dxfId="9" priority="4562" operator="containsText" text="No">
      <formula>NOT(ISERROR(SEARCH(("No"),(P671))))</formula>
    </cfRule>
  </conditionalFormatting>
  <conditionalFormatting sqref="P671:P673 P675 P682 P687">
    <cfRule type="containsText" dxfId="2" priority="4563" operator="containsText" text="Yes">
      <formula>NOT(ISERROR(SEARCH(("Yes"),(P671))))</formula>
    </cfRule>
  </conditionalFormatting>
  <conditionalFormatting sqref="P671:P673 P675 P682 P687">
    <cfRule type="containsText" dxfId="9" priority="4564" operator="containsText" text="No">
      <formula>NOT(ISERROR(SEARCH(("No"),(P671))))</formula>
    </cfRule>
  </conditionalFormatting>
  <conditionalFormatting sqref="P671:P673 P675 P682 P687">
    <cfRule type="containsText" dxfId="2" priority="4565" operator="containsText" text="Yes">
      <formula>NOT(ISERROR(SEARCH(("Yes"),(P671))))</formula>
    </cfRule>
  </conditionalFormatting>
  <conditionalFormatting sqref="P671:P673 P675 P682 P687">
    <cfRule type="containsText" dxfId="9" priority="4566" operator="containsText" text="No">
      <formula>NOT(ISERROR(SEARCH(("No"),(P671))))</formula>
    </cfRule>
  </conditionalFormatting>
  <conditionalFormatting sqref="P671:P673 P675 P682 P687">
    <cfRule type="containsText" dxfId="2" priority="4567" operator="containsText" text="Yes">
      <formula>NOT(ISERROR(SEARCH(("Yes"),(P671))))</formula>
    </cfRule>
  </conditionalFormatting>
  <conditionalFormatting sqref="P671:P673 P675 P682 P687">
    <cfRule type="containsText" dxfId="9" priority="4568" operator="containsText" text="No">
      <formula>NOT(ISERROR(SEARCH(("No"),(P671))))</formula>
    </cfRule>
  </conditionalFormatting>
  <conditionalFormatting sqref="P671:P673 P675 P682 P687">
    <cfRule type="containsText" dxfId="2" priority="4569" operator="containsText" text="Yes">
      <formula>NOT(ISERROR(SEARCH(("Yes"),(P671))))</formula>
    </cfRule>
  </conditionalFormatting>
  <conditionalFormatting sqref="P671:P673 P675 P682 P687">
    <cfRule type="containsText" dxfId="9" priority="4570" operator="containsText" text="No">
      <formula>NOT(ISERROR(SEARCH(("No"),(P671))))</formula>
    </cfRule>
  </conditionalFormatting>
  <conditionalFormatting sqref="P671:P673 P675 P682 P687">
    <cfRule type="containsText" dxfId="2" priority="4571" operator="containsText" text="Yes">
      <formula>NOT(ISERROR(SEARCH(("Yes"),(P671))))</formula>
    </cfRule>
  </conditionalFormatting>
  <conditionalFormatting sqref="P671:P673 P675 P682 P687">
    <cfRule type="containsText" dxfId="9" priority="4572" operator="containsText" text="No">
      <formula>NOT(ISERROR(SEARCH(("No"),(P671))))</formula>
    </cfRule>
  </conditionalFormatting>
  <conditionalFormatting sqref="P671:P673 P675 P682 P687">
    <cfRule type="containsText" dxfId="2" priority="4573" operator="containsText" text="Yes">
      <formula>NOT(ISERROR(SEARCH(("Yes"),(P671))))</formula>
    </cfRule>
  </conditionalFormatting>
  <conditionalFormatting sqref="P671:P673 P675 P682 P687">
    <cfRule type="containsText" dxfId="9" priority="4574" operator="containsText" text="No">
      <formula>NOT(ISERROR(SEARCH(("No"),(P671))))</formula>
    </cfRule>
  </conditionalFormatting>
  <conditionalFormatting sqref="P671:P673 P675 P682 P687">
    <cfRule type="containsText" dxfId="2" priority="4575" operator="containsText" text="Yes">
      <formula>NOT(ISERROR(SEARCH(("Yes"),(P671))))</formula>
    </cfRule>
  </conditionalFormatting>
  <conditionalFormatting sqref="P671:P673 P675 P682 P687">
    <cfRule type="containsText" dxfId="9" priority="4576" operator="containsText" text="No">
      <formula>NOT(ISERROR(SEARCH(("No"),(P671))))</formula>
    </cfRule>
  </conditionalFormatting>
  <conditionalFormatting sqref="P671:P673 P675 P682 P687">
    <cfRule type="containsText" dxfId="2" priority="4577" operator="containsText" text="Yes">
      <formula>NOT(ISERROR(SEARCH(("Yes"),(P671))))</formula>
    </cfRule>
  </conditionalFormatting>
  <conditionalFormatting sqref="P671:P673 P675 P682 P687">
    <cfRule type="containsText" dxfId="9" priority="4578" operator="containsText" text="No">
      <formula>NOT(ISERROR(SEARCH(("No"),(P671))))</formula>
    </cfRule>
  </conditionalFormatting>
  <conditionalFormatting sqref="P671:P673 P675 P682 P687">
    <cfRule type="containsText" dxfId="2" priority="4579" operator="containsText" text="Yes">
      <formula>NOT(ISERROR(SEARCH(("Yes"),(P671))))</formula>
    </cfRule>
  </conditionalFormatting>
  <conditionalFormatting sqref="P671:P673 P675 P682 P687">
    <cfRule type="containsText" dxfId="9" priority="4580" operator="containsText" text="No">
      <formula>NOT(ISERROR(SEARCH(("No"),(P671))))</formula>
    </cfRule>
  </conditionalFormatting>
  <conditionalFormatting sqref="P671:P673 P675 P682 P687">
    <cfRule type="containsText" dxfId="2" priority="4581" operator="containsText" text="Yes">
      <formula>NOT(ISERROR(SEARCH(("Yes"),(P671))))</formula>
    </cfRule>
  </conditionalFormatting>
  <conditionalFormatting sqref="P671:P673 P675 P682 P687">
    <cfRule type="containsText" dxfId="9" priority="4582" operator="containsText" text="No">
      <formula>NOT(ISERROR(SEARCH(("No"),(P671))))</formula>
    </cfRule>
  </conditionalFormatting>
  <conditionalFormatting sqref="P671:P673 P675 P682 P687">
    <cfRule type="containsText" dxfId="2" priority="4583" operator="containsText" text="Yes">
      <formula>NOT(ISERROR(SEARCH(("Yes"),(P671))))</formula>
    </cfRule>
  </conditionalFormatting>
  <conditionalFormatting sqref="P671:P673 P675 P682 P687">
    <cfRule type="containsText" dxfId="9" priority="4584" operator="containsText" text="No">
      <formula>NOT(ISERROR(SEARCH(("No"),(P671))))</formula>
    </cfRule>
  </conditionalFormatting>
  <conditionalFormatting sqref="P671:P673 P675 P682 P687">
    <cfRule type="containsText" dxfId="2" priority="4585" operator="containsText" text="Yes">
      <formula>NOT(ISERROR(SEARCH(("Yes"),(P671))))</formula>
    </cfRule>
  </conditionalFormatting>
  <conditionalFormatting sqref="P671:P673 P675 P682 P687">
    <cfRule type="containsText" dxfId="9" priority="4586" operator="containsText" text="No">
      <formula>NOT(ISERROR(SEARCH(("No"),(P671))))</formula>
    </cfRule>
  </conditionalFormatting>
  <conditionalFormatting sqref="P671:P673 P675 P682 P687">
    <cfRule type="containsText" dxfId="2" priority="4587" operator="containsText" text="Yes">
      <formula>NOT(ISERROR(SEARCH(("Yes"),(P671))))</formula>
    </cfRule>
  </conditionalFormatting>
  <conditionalFormatting sqref="P671:P673 P675 P682 P687">
    <cfRule type="containsText" dxfId="9" priority="4588" operator="containsText" text="No">
      <formula>NOT(ISERROR(SEARCH(("No"),(P671))))</formula>
    </cfRule>
  </conditionalFormatting>
  <conditionalFormatting sqref="P671:P673 P675 P682 P687">
    <cfRule type="containsText" dxfId="2" priority="4589" operator="containsText" text="Yes">
      <formula>NOT(ISERROR(SEARCH(("Yes"),(P671))))</formula>
    </cfRule>
  </conditionalFormatting>
  <conditionalFormatting sqref="P671:P673 P675 P682 P687">
    <cfRule type="containsText" dxfId="9" priority="4590" operator="containsText" text="No">
      <formula>NOT(ISERROR(SEARCH(("No"),(P671))))</formula>
    </cfRule>
  </conditionalFormatting>
  <conditionalFormatting sqref="P671:P673 P675 P682 P687">
    <cfRule type="containsText" dxfId="2" priority="4591" operator="containsText" text="Yes">
      <formula>NOT(ISERROR(SEARCH(("Yes"),(P671))))</formula>
    </cfRule>
  </conditionalFormatting>
  <conditionalFormatting sqref="P671:P673 P675 P682 P687">
    <cfRule type="containsText" dxfId="9" priority="4592" operator="containsText" text="No">
      <formula>NOT(ISERROR(SEARCH(("No"),(P671))))</formula>
    </cfRule>
  </conditionalFormatting>
  <conditionalFormatting sqref="P671:P673 P675 P682 P687">
    <cfRule type="containsText" dxfId="2" priority="4593" operator="containsText" text="Yes">
      <formula>NOT(ISERROR(SEARCH(("Yes"),(P671))))</formula>
    </cfRule>
  </conditionalFormatting>
  <conditionalFormatting sqref="P671:P673 P675 P682 P687">
    <cfRule type="containsText" dxfId="9" priority="4594" operator="containsText" text="No">
      <formula>NOT(ISERROR(SEARCH(("No"),(P671))))</formula>
    </cfRule>
  </conditionalFormatting>
  <conditionalFormatting sqref="P671:P673 P675 P682 P687">
    <cfRule type="containsText" dxfId="2" priority="4595" operator="containsText" text="Yes">
      <formula>NOT(ISERROR(SEARCH(("Yes"),(P671))))</formula>
    </cfRule>
  </conditionalFormatting>
  <conditionalFormatting sqref="P671:P673 P675 P682 P687">
    <cfRule type="containsText" dxfId="9" priority="4596" operator="containsText" text="No">
      <formula>NOT(ISERROR(SEARCH(("No"),(P671))))</formula>
    </cfRule>
  </conditionalFormatting>
  <conditionalFormatting sqref="P671:P673 P675 P682 P687">
    <cfRule type="containsText" dxfId="2" priority="4597" operator="containsText" text="Yes">
      <formula>NOT(ISERROR(SEARCH(("Yes"),(P671))))</formula>
    </cfRule>
  </conditionalFormatting>
  <conditionalFormatting sqref="P671:P673 P675 P682 P687">
    <cfRule type="containsText" dxfId="9" priority="4598" operator="containsText" text="No">
      <formula>NOT(ISERROR(SEARCH(("No"),(P671))))</formula>
    </cfRule>
  </conditionalFormatting>
  <conditionalFormatting sqref="P671:P673 P675 P682 P687">
    <cfRule type="containsText" dxfId="2" priority="4599" operator="containsText" text="Yes">
      <formula>NOT(ISERROR(SEARCH(("Yes"),(P671))))</formula>
    </cfRule>
  </conditionalFormatting>
  <conditionalFormatting sqref="P671:P673 P675 P682 P687">
    <cfRule type="containsText" dxfId="9" priority="4600" operator="containsText" text="No">
      <formula>NOT(ISERROR(SEARCH(("No"),(P671))))</formula>
    </cfRule>
  </conditionalFormatting>
  <conditionalFormatting sqref="P671:P673 P675 P682 P687">
    <cfRule type="containsText" dxfId="2" priority="4601" operator="containsText" text="Yes">
      <formula>NOT(ISERROR(SEARCH(("Yes"),(P671))))</formula>
    </cfRule>
  </conditionalFormatting>
  <conditionalFormatting sqref="P671:P673 P675 P682 P687">
    <cfRule type="containsText" dxfId="9" priority="4602" operator="containsText" text="No">
      <formula>NOT(ISERROR(SEARCH(("No"),(P671))))</formula>
    </cfRule>
  </conditionalFormatting>
  <conditionalFormatting sqref="P671:P673 P675 P682 P687">
    <cfRule type="containsText" dxfId="2" priority="4603" operator="containsText" text="Yes">
      <formula>NOT(ISERROR(SEARCH(("Yes"),(P671))))</formula>
    </cfRule>
  </conditionalFormatting>
  <conditionalFormatting sqref="P671:P673 P675 P682 P687">
    <cfRule type="containsText" dxfId="9" priority="4604" operator="containsText" text="No">
      <formula>NOT(ISERROR(SEARCH(("No"),(P671))))</formula>
    </cfRule>
  </conditionalFormatting>
  <conditionalFormatting sqref="P671:P673 P675 P682 P687">
    <cfRule type="containsText" dxfId="9" priority="4605" operator="containsText" text="No">
      <formula>NOT(ISERROR(SEARCH(("No"),(P671))))</formula>
    </cfRule>
  </conditionalFormatting>
  <conditionalFormatting sqref="P671:P673 P675 P682 P687">
    <cfRule type="containsText" dxfId="2" priority="4606" operator="containsText" text="Yes">
      <formula>NOT(ISERROR(SEARCH(("Yes"),(P671))))</formula>
    </cfRule>
  </conditionalFormatting>
  <conditionalFormatting sqref="P671:P673 P675 P682 P687">
    <cfRule type="containsText" dxfId="2" priority="4607" operator="containsText" text="Yes">
      <formula>NOT(ISERROR(SEARCH(("Yes"),(P671))))</formula>
    </cfRule>
  </conditionalFormatting>
  <conditionalFormatting sqref="P671:P673 P675 P682 P687">
    <cfRule type="containsText" dxfId="9" priority="4608" operator="containsText" text="No">
      <formula>NOT(ISERROR(SEARCH(("No"),(P671))))</formula>
    </cfRule>
  </conditionalFormatting>
  <conditionalFormatting sqref="P671:P673 P675 P682 P687">
    <cfRule type="containsText" dxfId="2" priority="4609" operator="containsText" text="Yes">
      <formula>NOT(ISERROR(SEARCH(("Yes"),(P671))))</formula>
    </cfRule>
  </conditionalFormatting>
  <conditionalFormatting sqref="P671:P673 P675 P682 P687">
    <cfRule type="containsText" dxfId="9" priority="4610" operator="containsText" text="No">
      <formula>NOT(ISERROR(SEARCH(("No"),(P671))))</formula>
    </cfRule>
  </conditionalFormatting>
  <conditionalFormatting sqref="P671:P673 P675 P682 P687">
    <cfRule type="containsText" dxfId="2" priority="4611" operator="containsText" text="Yes">
      <formula>NOT(ISERROR(SEARCH(("Yes"),(P671))))</formula>
    </cfRule>
  </conditionalFormatting>
  <conditionalFormatting sqref="P671:P673 P675 P682 P687">
    <cfRule type="containsText" dxfId="9" priority="4612" operator="containsText" text="No">
      <formula>NOT(ISERROR(SEARCH(("No"),(P671))))</formula>
    </cfRule>
  </conditionalFormatting>
  <conditionalFormatting sqref="P671:P673 P675 P682 P687">
    <cfRule type="containsText" dxfId="2" priority="4613" operator="containsText" text="Yes">
      <formula>NOT(ISERROR(SEARCH(("Yes"),(P671))))</formula>
    </cfRule>
  </conditionalFormatting>
  <conditionalFormatting sqref="P671:P673 P675 P682 P687">
    <cfRule type="containsText" dxfId="9" priority="4614" operator="containsText" text="No">
      <formula>NOT(ISERROR(SEARCH(("No"),(P671))))</formula>
    </cfRule>
  </conditionalFormatting>
  <conditionalFormatting sqref="P671:P673 P675 P682 P687">
    <cfRule type="containsText" dxfId="2" priority="4615" operator="containsText" text="Yes">
      <formula>NOT(ISERROR(SEARCH(("Yes"),(P671))))</formula>
    </cfRule>
  </conditionalFormatting>
  <conditionalFormatting sqref="P671:P673 P675 P682 P687">
    <cfRule type="containsText" dxfId="9" priority="4616" operator="containsText" text="No">
      <formula>NOT(ISERROR(SEARCH(("No"),(P671))))</formula>
    </cfRule>
  </conditionalFormatting>
  <conditionalFormatting sqref="P671:P673 P675 P682 P687">
    <cfRule type="containsText" dxfId="2" priority="4617" operator="containsText" text="Yes">
      <formula>NOT(ISERROR(SEARCH(("Yes"),(P671))))</formula>
    </cfRule>
  </conditionalFormatting>
  <conditionalFormatting sqref="P671:P673 P675 P682 P687">
    <cfRule type="containsText" dxfId="9" priority="4618" operator="containsText" text="No">
      <formula>NOT(ISERROR(SEARCH(("No"),(P671))))</formula>
    </cfRule>
  </conditionalFormatting>
  <conditionalFormatting sqref="P671:P673 P675 P682 P687">
    <cfRule type="containsText" dxfId="2" priority="4619" operator="containsText" text="Yes">
      <formula>NOT(ISERROR(SEARCH(("Yes"),(P671))))</formula>
    </cfRule>
  </conditionalFormatting>
  <conditionalFormatting sqref="P671:P673 P675 P682 P687">
    <cfRule type="containsText" dxfId="9" priority="4620" operator="containsText" text="No">
      <formula>NOT(ISERROR(SEARCH(("No"),(P671))))</formula>
    </cfRule>
  </conditionalFormatting>
  <conditionalFormatting sqref="P671:P673 P675 P682 P687">
    <cfRule type="containsText" dxfId="2" priority="4621" operator="containsText" text="Yes">
      <formula>NOT(ISERROR(SEARCH(("Yes"),(P671))))</formula>
    </cfRule>
  </conditionalFormatting>
  <conditionalFormatting sqref="P671:P673 P675 P682 P687">
    <cfRule type="containsText" dxfId="9" priority="4622" operator="containsText" text="No">
      <formula>NOT(ISERROR(SEARCH(("No"),(P671))))</formula>
    </cfRule>
  </conditionalFormatting>
  <conditionalFormatting sqref="P671:P673 P675 P682 P687">
    <cfRule type="containsText" dxfId="2" priority="4623" operator="containsText" text="Yes">
      <formula>NOT(ISERROR(SEARCH(("Yes"),(P671))))</formula>
    </cfRule>
  </conditionalFormatting>
  <conditionalFormatting sqref="P671:P673 P675 P682 P687">
    <cfRule type="containsText" dxfId="9" priority="4624" operator="containsText" text="No">
      <formula>NOT(ISERROR(SEARCH(("No"),(P671))))</formula>
    </cfRule>
  </conditionalFormatting>
  <conditionalFormatting sqref="P671:P673 P675 P682 P687">
    <cfRule type="containsText" dxfId="2" priority="4625" operator="containsText" text="Yes">
      <formula>NOT(ISERROR(SEARCH(("Yes"),(P671))))</formula>
    </cfRule>
  </conditionalFormatting>
  <conditionalFormatting sqref="P671:P673 P675 P682 P687">
    <cfRule type="containsText" dxfId="9" priority="4626" operator="containsText" text="No">
      <formula>NOT(ISERROR(SEARCH(("No"),(P671))))</formula>
    </cfRule>
  </conditionalFormatting>
  <conditionalFormatting sqref="P671:P673 P675 P682 P687">
    <cfRule type="containsText" dxfId="2" priority="4627" operator="containsText" text="Yes">
      <formula>NOT(ISERROR(SEARCH(("Yes"),(P671))))</formula>
    </cfRule>
  </conditionalFormatting>
  <conditionalFormatting sqref="P671:P673 P675 P682 P687">
    <cfRule type="containsText" dxfId="9" priority="4628" operator="containsText" text="No">
      <formula>NOT(ISERROR(SEARCH(("No"),(P671))))</formula>
    </cfRule>
  </conditionalFormatting>
  <conditionalFormatting sqref="P671:P673 P675 P682 P687">
    <cfRule type="containsText" dxfId="2" priority="4629" operator="containsText" text="Yes">
      <formula>NOT(ISERROR(SEARCH(("Yes"),(P671))))</formula>
    </cfRule>
  </conditionalFormatting>
  <conditionalFormatting sqref="P671:P673 P675 P682 P687">
    <cfRule type="containsText" dxfId="9" priority="4630" operator="containsText" text="No">
      <formula>NOT(ISERROR(SEARCH(("No"),(P671))))</formula>
    </cfRule>
  </conditionalFormatting>
  <conditionalFormatting sqref="P671:P673 P675 P682 P687">
    <cfRule type="containsText" dxfId="2" priority="4631" operator="containsText" text="Yes">
      <formula>NOT(ISERROR(SEARCH(("Yes"),(P671))))</formula>
    </cfRule>
  </conditionalFormatting>
  <conditionalFormatting sqref="P671:P673 P675 P682 P687">
    <cfRule type="containsText" dxfId="9" priority="4632" operator="containsText" text="No">
      <formula>NOT(ISERROR(SEARCH(("No"),(P671))))</formula>
    </cfRule>
  </conditionalFormatting>
  <conditionalFormatting sqref="P671:P673 P675 P682 P687">
    <cfRule type="containsText" dxfId="2" priority="4633" operator="containsText" text="Yes">
      <formula>NOT(ISERROR(SEARCH(("Yes"),(P671))))</formula>
    </cfRule>
  </conditionalFormatting>
  <conditionalFormatting sqref="P671:P673 P675 P682 P687">
    <cfRule type="containsText" dxfId="9" priority="4634" operator="containsText" text="No">
      <formula>NOT(ISERROR(SEARCH(("No"),(P671))))</formula>
    </cfRule>
  </conditionalFormatting>
  <conditionalFormatting sqref="P671:P673 P675 P682 P687">
    <cfRule type="containsText" dxfId="2" priority="4635" operator="containsText" text="Yes">
      <formula>NOT(ISERROR(SEARCH(("Yes"),(P671))))</formula>
    </cfRule>
  </conditionalFormatting>
  <conditionalFormatting sqref="P671:P673 P675 P682 P687">
    <cfRule type="containsText" dxfId="9" priority="4636" operator="containsText" text="No">
      <formula>NOT(ISERROR(SEARCH(("No"),(P671))))</formula>
    </cfRule>
  </conditionalFormatting>
  <conditionalFormatting sqref="P671:P673 P675 P682 P687">
    <cfRule type="containsText" dxfId="2" priority="4637" operator="containsText" text="Yes">
      <formula>NOT(ISERROR(SEARCH(("Yes"),(P671))))</formula>
    </cfRule>
  </conditionalFormatting>
  <conditionalFormatting sqref="P671:P673 P675 P682 P687">
    <cfRule type="containsText" dxfId="9" priority="4638" operator="containsText" text="No">
      <formula>NOT(ISERROR(SEARCH(("No"),(P671))))</formula>
    </cfRule>
  </conditionalFormatting>
  <conditionalFormatting sqref="P671:P673 P675 P682 P687">
    <cfRule type="containsText" dxfId="2" priority="4639" operator="containsText" text="Yes">
      <formula>NOT(ISERROR(SEARCH(("Yes"),(P671))))</formula>
    </cfRule>
  </conditionalFormatting>
  <conditionalFormatting sqref="P671:P673 P675 P682 P687">
    <cfRule type="containsText" dxfId="9" priority="4640" operator="containsText" text="No">
      <formula>NOT(ISERROR(SEARCH(("No"),(P671))))</formula>
    </cfRule>
  </conditionalFormatting>
  <conditionalFormatting sqref="P671:P673 P675 P682 P687">
    <cfRule type="containsText" dxfId="2" priority="4641" operator="containsText" text="Yes">
      <formula>NOT(ISERROR(SEARCH(("Yes"),(P671))))</formula>
    </cfRule>
  </conditionalFormatting>
  <conditionalFormatting sqref="P671:P673 P675 P682 P687">
    <cfRule type="containsText" dxfId="9" priority="4642" operator="containsText" text="No">
      <formula>NOT(ISERROR(SEARCH(("No"),(P671))))</formula>
    </cfRule>
  </conditionalFormatting>
  <conditionalFormatting sqref="P671:P673 P675 P682 P687">
    <cfRule type="containsText" dxfId="2" priority="4643" operator="containsText" text="Yes">
      <formula>NOT(ISERROR(SEARCH(("Yes"),(P671))))</formula>
    </cfRule>
  </conditionalFormatting>
  <conditionalFormatting sqref="P671:P673 P675 P682 P687">
    <cfRule type="containsText" dxfId="9" priority="4644" operator="containsText" text="No">
      <formula>NOT(ISERROR(SEARCH(("No"),(P671))))</formula>
    </cfRule>
  </conditionalFormatting>
  <conditionalFormatting sqref="P671:P673 P675 P682 P687">
    <cfRule type="containsText" dxfId="2" priority="4645" operator="containsText" text="Yes">
      <formula>NOT(ISERROR(SEARCH(("Yes"),(P671))))</formula>
    </cfRule>
  </conditionalFormatting>
  <conditionalFormatting sqref="P671:P673 P675 P682 P687">
    <cfRule type="containsText" dxfId="9" priority="4646" operator="containsText" text="No">
      <formula>NOT(ISERROR(SEARCH(("No"),(P671))))</formula>
    </cfRule>
  </conditionalFormatting>
  <conditionalFormatting sqref="P671:P673 P675 P682 P687">
    <cfRule type="containsText" dxfId="2" priority="4647" operator="containsText" text="Yes">
      <formula>NOT(ISERROR(SEARCH(("Yes"),(P671))))</formula>
    </cfRule>
  </conditionalFormatting>
  <conditionalFormatting sqref="P671:P673 P675 P682 P687">
    <cfRule type="containsText" dxfId="9" priority="4648" operator="containsText" text="No">
      <formula>NOT(ISERROR(SEARCH(("No"),(P671))))</formula>
    </cfRule>
  </conditionalFormatting>
  <conditionalFormatting sqref="P671:P673 P675 P682 P687">
    <cfRule type="containsText" dxfId="2" priority="4649" operator="containsText" text="Yes">
      <formula>NOT(ISERROR(SEARCH(("Yes"),(P671))))</formula>
    </cfRule>
  </conditionalFormatting>
  <conditionalFormatting sqref="P671:P673 P675 P682 P687">
    <cfRule type="containsText" dxfId="9" priority="4650" operator="containsText" text="No">
      <formula>NOT(ISERROR(SEARCH(("No"),(P671))))</formula>
    </cfRule>
  </conditionalFormatting>
  <conditionalFormatting sqref="P671:P673 P675 P682 P687">
    <cfRule type="containsText" dxfId="2" priority="4651" operator="containsText" text="Yes">
      <formula>NOT(ISERROR(SEARCH(("Yes"),(P671))))</formula>
    </cfRule>
  </conditionalFormatting>
  <conditionalFormatting sqref="P671:P673 P675 P682 P687">
    <cfRule type="containsText" dxfId="9" priority="4652" operator="containsText" text="No">
      <formula>NOT(ISERROR(SEARCH(("No"),(P671))))</formula>
    </cfRule>
  </conditionalFormatting>
  <conditionalFormatting sqref="P671:P673 P675 P682 P687">
    <cfRule type="containsText" dxfId="2" priority="4653" operator="containsText" text="Yes">
      <formula>NOT(ISERROR(SEARCH(("Yes"),(P671))))</formula>
    </cfRule>
  </conditionalFormatting>
  <conditionalFormatting sqref="P671:P673 P675 P682 P687">
    <cfRule type="containsText" dxfId="9" priority="4654" operator="containsText" text="No">
      <formula>NOT(ISERROR(SEARCH(("No"),(P671))))</formula>
    </cfRule>
  </conditionalFormatting>
  <conditionalFormatting sqref="P671:P673 P675 P682 P687">
    <cfRule type="containsText" dxfId="2" priority="4655" operator="containsText" text="Yes">
      <formula>NOT(ISERROR(SEARCH(("Yes"),(P671))))</formula>
    </cfRule>
  </conditionalFormatting>
  <conditionalFormatting sqref="P671:P673 P675 P682 P687">
    <cfRule type="containsText" dxfId="9" priority="4656" operator="containsText" text="No">
      <formula>NOT(ISERROR(SEARCH(("No"),(P671))))</formula>
    </cfRule>
  </conditionalFormatting>
  <conditionalFormatting sqref="P671:P673 P675 P682 P687">
    <cfRule type="containsText" dxfId="2" priority="4657" operator="containsText" text="Yes">
      <formula>NOT(ISERROR(SEARCH(("Yes"),(P671))))</formula>
    </cfRule>
  </conditionalFormatting>
  <conditionalFormatting sqref="P671:P673 P675 P682 P687">
    <cfRule type="containsText" dxfId="9" priority="4658" operator="containsText" text="No">
      <formula>NOT(ISERROR(SEARCH(("No"),(P671))))</formula>
    </cfRule>
  </conditionalFormatting>
  <conditionalFormatting sqref="P671:P673 P675 P682 P687">
    <cfRule type="containsText" dxfId="2" priority="4659" operator="containsText" text="Yes">
      <formula>NOT(ISERROR(SEARCH(("Yes"),(P671))))</formula>
    </cfRule>
  </conditionalFormatting>
  <conditionalFormatting sqref="P671:P673 P675 P682 P687">
    <cfRule type="containsText" dxfId="9" priority="4660" operator="containsText" text="No">
      <formula>NOT(ISERROR(SEARCH(("No"),(P671))))</formula>
    </cfRule>
  </conditionalFormatting>
  <conditionalFormatting sqref="P671:P673 P675 P682 P687">
    <cfRule type="containsText" dxfId="2" priority="4661" operator="containsText" text="Yes">
      <formula>NOT(ISERROR(SEARCH(("Yes"),(P671))))</formula>
    </cfRule>
  </conditionalFormatting>
  <conditionalFormatting sqref="P671:P673 P675 P682 P687">
    <cfRule type="containsText" dxfId="9" priority="4662" operator="containsText" text="No">
      <formula>NOT(ISERROR(SEARCH(("No"),(P671))))</formula>
    </cfRule>
  </conditionalFormatting>
  <conditionalFormatting sqref="P671:P673 P675 P682 P687">
    <cfRule type="containsText" dxfId="2" priority="4663" operator="containsText" text="Yes">
      <formula>NOT(ISERROR(SEARCH(("Yes"),(P671))))</formula>
    </cfRule>
  </conditionalFormatting>
  <conditionalFormatting sqref="P671:P673 P675 P682 P687">
    <cfRule type="containsText" dxfId="9" priority="4664" operator="containsText" text="No">
      <formula>NOT(ISERROR(SEARCH(("No"),(P671))))</formula>
    </cfRule>
  </conditionalFormatting>
  <conditionalFormatting sqref="P671:P673 P675 P682 P687">
    <cfRule type="containsText" dxfId="2" priority="4665" operator="containsText" text="Yes">
      <formula>NOT(ISERROR(SEARCH(("Yes"),(P671))))</formula>
    </cfRule>
  </conditionalFormatting>
  <conditionalFormatting sqref="P671:P673 P675 P682 P687">
    <cfRule type="containsText" dxfId="9" priority="4666" operator="containsText" text="No">
      <formula>NOT(ISERROR(SEARCH(("No"),(P671))))</formula>
    </cfRule>
  </conditionalFormatting>
  <conditionalFormatting sqref="P671:P673 P675 P682 P687">
    <cfRule type="containsText" dxfId="2" priority="4667" operator="containsText" text="Yes">
      <formula>NOT(ISERROR(SEARCH(("Yes"),(P671))))</formula>
    </cfRule>
  </conditionalFormatting>
  <conditionalFormatting sqref="P671:P673 P675 P682 P687">
    <cfRule type="containsText" dxfId="9" priority="4668" operator="containsText" text="No">
      <formula>NOT(ISERROR(SEARCH(("No"),(P671))))</formula>
    </cfRule>
  </conditionalFormatting>
  <conditionalFormatting sqref="P671:P673 P675 P682 P687">
    <cfRule type="containsText" dxfId="2" priority="4669" operator="containsText" text="Yes">
      <formula>NOT(ISERROR(SEARCH(("Yes"),(P671))))</formula>
    </cfRule>
  </conditionalFormatting>
  <conditionalFormatting sqref="P671:P673 P675 P682 P687">
    <cfRule type="containsText" dxfId="9" priority="4670" operator="containsText" text="No">
      <formula>NOT(ISERROR(SEARCH(("No"),(P671))))</formula>
    </cfRule>
  </conditionalFormatting>
  <conditionalFormatting sqref="P671:P673 P675 P682 P687">
    <cfRule type="containsText" dxfId="2" priority="4671" operator="containsText" text="Yes">
      <formula>NOT(ISERROR(SEARCH(("Yes"),(P671))))</formula>
    </cfRule>
  </conditionalFormatting>
  <conditionalFormatting sqref="P671:P673 P675 P682 P687">
    <cfRule type="containsText" dxfId="9" priority="4672" operator="containsText" text="No">
      <formula>NOT(ISERROR(SEARCH(("No"),(P671))))</formula>
    </cfRule>
  </conditionalFormatting>
  <conditionalFormatting sqref="P671:P673 P675 P682 P687">
    <cfRule type="containsText" dxfId="2" priority="4673" operator="containsText" text="Yes">
      <formula>NOT(ISERROR(SEARCH(("Yes"),(P671))))</formula>
    </cfRule>
  </conditionalFormatting>
  <conditionalFormatting sqref="P671:P673 P675 P682 P687">
    <cfRule type="containsText" dxfId="9" priority="4674" operator="containsText" text="No">
      <formula>NOT(ISERROR(SEARCH(("No"),(P671))))</formula>
    </cfRule>
  </conditionalFormatting>
  <conditionalFormatting sqref="P671:P673 P675 P682 P687">
    <cfRule type="containsText" dxfId="2" priority="4675" operator="containsText" text="Yes">
      <formula>NOT(ISERROR(SEARCH(("Yes"),(P671))))</formula>
    </cfRule>
  </conditionalFormatting>
  <conditionalFormatting sqref="P671:P673 P675 P682 P687">
    <cfRule type="containsText" dxfId="9" priority="4676" operator="containsText" text="No">
      <formula>NOT(ISERROR(SEARCH(("No"),(P671))))</formula>
    </cfRule>
  </conditionalFormatting>
  <conditionalFormatting sqref="P671:P673 P675 P682 P687">
    <cfRule type="containsText" dxfId="2" priority="4677" operator="containsText" text="Yes">
      <formula>NOT(ISERROR(SEARCH(("Yes"),(P671))))</formula>
    </cfRule>
  </conditionalFormatting>
  <conditionalFormatting sqref="P671:P673 P675 P682 P687">
    <cfRule type="containsText" dxfId="9" priority="4678" operator="containsText" text="No">
      <formula>NOT(ISERROR(SEARCH(("No"),(P671))))</formula>
    </cfRule>
  </conditionalFormatting>
  <conditionalFormatting sqref="P671:P673 P675 P682 P687">
    <cfRule type="containsText" dxfId="2" priority="4679" operator="containsText" text="Yes">
      <formula>NOT(ISERROR(SEARCH(("Yes"),(P671))))</formula>
    </cfRule>
  </conditionalFormatting>
  <conditionalFormatting sqref="P671:P673 P675 P682 P687">
    <cfRule type="containsText" dxfId="9" priority="4680" operator="containsText" text="No">
      <formula>NOT(ISERROR(SEARCH(("No"),(P671))))</formula>
    </cfRule>
  </conditionalFormatting>
  <conditionalFormatting sqref="P671:P673 P675 P682 P687">
    <cfRule type="containsText" dxfId="2" priority="4681" operator="containsText" text="Yes">
      <formula>NOT(ISERROR(SEARCH(("Yes"),(P671))))</formula>
    </cfRule>
  </conditionalFormatting>
  <conditionalFormatting sqref="P671:P673 P675 P682 P687">
    <cfRule type="containsText" dxfId="9" priority="4682" operator="containsText" text="No">
      <formula>NOT(ISERROR(SEARCH(("No"),(P671))))</formula>
    </cfRule>
  </conditionalFormatting>
  <conditionalFormatting sqref="P671:P673 P675 P682 P687">
    <cfRule type="containsText" dxfId="2" priority="4683" operator="containsText" text="Yes">
      <formula>NOT(ISERROR(SEARCH(("Yes"),(P671))))</formula>
    </cfRule>
  </conditionalFormatting>
  <conditionalFormatting sqref="P671:P673 P675 P682 P687">
    <cfRule type="containsText" dxfId="9" priority="4684" operator="containsText" text="No">
      <formula>NOT(ISERROR(SEARCH(("No"),(P671))))</formula>
    </cfRule>
  </conditionalFormatting>
  <conditionalFormatting sqref="P671:P673 P675 P682 P687">
    <cfRule type="containsText" dxfId="2" priority="4685" operator="containsText" text="Yes">
      <formula>NOT(ISERROR(SEARCH(("Yes"),(P671))))</formula>
    </cfRule>
  </conditionalFormatting>
  <conditionalFormatting sqref="P671:P673 P675 P682 P687">
    <cfRule type="containsText" dxfId="9" priority="4686" operator="containsText" text="No">
      <formula>NOT(ISERROR(SEARCH(("No"),(P671))))</formula>
    </cfRule>
  </conditionalFormatting>
  <conditionalFormatting sqref="P671:P673 P675 P682 P687">
    <cfRule type="containsText" dxfId="2" priority="4687" operator="containsText" text="Yes">
      <formula>NOT(ISERROR(SEARCH(("Yes"),(P671))))</formula>
    </cfRule>
  </conditionalFormatting>
  <conditionalFormatting sqref="P671:P673 P675 P682 P687">
    <cfRule type="containsText" dxfId="9" priority="4688" operator="containsText" text="No">
      <formula>NOT(ISERROR(SEARCH(("No"),(P671))))</formula>
    </cfRule>
  </conditionalFormatting>
  <conditionalFormatting sqref="P671:P673 P675 P682 P687">
    <cfRule type="containsText" dxfId="2" priority="4689" operator="containsText" text="Yes">
      <formula>NOT(ISERROR(SEARCH(("Yes"),(P671))))</formula>
    </cfRule>
  </conditionalFormatting>
  <conditionalFormatting sqref="P671:P673 P675 P682 P687">
    <cfRule type="containsText" dxfId="9" priority="4690" operator="containsText" text="No">
      <formula>NOT(ISERROR(SEARCH(("No"),(P671))))</formula>
    </cfRule>
  </conditionalFormatting>
  <conditionalFormatting sqref="P671:P673 P675 P682 P687">
    <cfRule type="containsText" dxfId="2" priority="4691" operator="containsText" text="Yes">
      <formula>NOT(ISERROR(SEARCH(("Yes"),(P671))))</formula>
    </cfRule>
  </conditionalFormatting>
  <conditionalFormatting sqref="P671:P673 P675 P682 P687">
    <cfRule type="containsText" dxfId="9" priority="4692" operator="containsText" text="No">
      <formula>NOT(ISERROR(SEARCH(("No"),(P671))))</formula>
    </cfRule>
  </conditionalFormatting>
  <conditionalFormatting sqref="P671:P673 P675 P682 P687">
    <cfRule type="containsText" dxfId="2" priority="4693" operator="containsText" text="Yes">
      <formula>NOT(ISERROR(SEARCH(("Yes"),(P671))))</formula>
    </cfRule>
  </conditionalFormatting>
  <conditionalFormatting sqref="P671:P673 P675 P682 P687">
    <cfRule type="containsText" dxfId="9" priority="4694" operator="containsText" text="No">
      <formula>NOT(ISERROR(SEARCH(("No"),(P671))))</formula>
    </cfRule>
  </conditionalFormatting>
  <conditionalFormatting sqref="P671:P673 P675 P682 P687">
    <cfRule type="containsText" dxfId="2" priority="4695" operator="containsText" text="Yes">
      <formula>NOT(ISERROR(SEARCH(("Yes"),(P671))))</formula>
    </cfRule>
  </conditionalFormatting>
  <conditionalFormatting sqref="P671:P673 P675 P682 P687">
    <cfRule type="containsText" dxfId="9" priority="4696" operator="containsText" text="No">
      <formula>NOT(ISERROR(SEARCH(("No"),(P671))))</formula>
    </cfRule>
  </conditionalFormatting>
  <conditionalFormatting sqref="P671:P673 P675 P682 P687">
    <cfRule type="containsText" dxfId="2" priority="4697" operator="containsText" text="Yes">
      <formula>NOT(ISERROR(SEARCH(("Yes"),(P671))))</formula>
    </cfRule>
  </conditionalFormatting>
  <conditionalFormatting sqref="P671:P673 P675 P682 P687">
    <cfRule type="containsText" dxfId="9" priority="4698" operator="containsText" text="No">
      <formula>NOT(ISERROR(SEARCH(("No"),(P671))))</formula>
    </cfRule>
  </conditionalFormatting>
  <conditionalFormatting sqref="P671:P673 P675 P682 P687">
    <cfRule type="containsText" dxfId="2" priority="4699" operator="containsText" text="Yes">
      <formula>NOT(ISERROR(SEARCH(("Yes"),(P671))))</formula>
    </cfRule>
  </conditionalFormatting>
  <conditionalFormatting sqref="P671:P673 P675 P682 P687">
    <cfRule type="containsText" dxfId="9" priority="4700" operator="containsText" text="No">
      <formula>NOT(ISERROR(SEARCH(("No"),(P671))))</formula>
    </cfRule>
  </conditionalFormatting>
  <conditionalFormatting sqref="P671:P673 P675 P682 P687">
    <cfRule type="containsText" dxfId="2" priority="4701" operator="containsText" text="Yes">
      <formula>NOT(ISERROR(SEARCH(("Yes"),(P671))))</formula>
    </cfRule>
  </conditionalFormatting>
  <conditionalFormatting sqref="P671:P673 P675 P682 P687">
    <cfRule type="containsText" dxfId="9" priority="4702" operator="containsText" text="No">
      <formula>NOT(ISERROR(SEARCH(("No"),(P671))))</formula>
    </cfRule>
  </conditionalFormatting>
  <conditionalFormatting sqref="P671:P673 P675 P682 P687">
    <cfRule type="containsText" dxfId="2" priority="4703" operator="containsText" text="Yes">
      <formula>NOT(ISERROR(SEARCH(("Yes"),(P671))))</formula>
    </cfRule>
  </conditionalFormatting>
  <conditionalFormatting sqref="P671:P673 P675 P682 P687">
    <cfRule type="containsText" dxfId="9" priority="4704" operator="containsText" text="No">
      <formula>NOT(ISERROR(SEARCH(("No"),(P671))))</formula>
    </cfRule>
  </conditionalFormatting>
  <conditionalFormatting sqref="P671:P673 P675 P682 P687">
    <cfRule type="containsText" dxfId="2" priority="4705" operator="containsText" text="Yes">
      <formula>NOT(ISERROR(SEARCH(("Yes"),(P671))))</formula>
    </cfRule>
  </conditionalFormatting>
  <conditionalFormatting sqref="P671:P673 P675 P682 P687">
    <cfRule type="containsText" dxfId="9" priority="4706" operator="containsText" text="No">
      <formula>NOT(ISERROR(SEARCH(("No"),(P671))))</formula>
    </cfRule>
  </conditionalFormatting>
  <conditionalFormatting sqref="P671:P673 P675 P682 P687">
    <cfRule type="containsText" dxfId="9" priority="4707" operator="containsText" text="No">
      <formula>NOT(ISERROR(SEARCH(("No"),(P671))))</formula>
    </cfRule>
  </conditionalFormatting>
  <conditionalFormatting sqref="P671:P673 P675 P682 P687">
    <cfRule type="containsText" dxfId="9" priority="4708" operator="containsText" text="No">
      <formula>NOT(ISERROR(SEARCH(("No"),(P671))))</formula>
    </cfRule>
  </conditionalFormatting>
  <conditionalFormatting sqref="P671:P673 P675 P682 P687">
    <cfRule type="containsText" dxfId="2" priority="4709" operator="containsText" text="Yes">
      <formula>NOT(ISERROR(SEARCH(("Yes"),(P671))))</formula>
    </cfRule>
  </conditionalFormatting>
  <conditionalFormatting sqref="P671:P673 P675 P682 P687">
    <cfRule type="containsText" dxfId="9" priority="4710" operator="containsText" text="No">
      <formula>NOT(ISERROR(SEARCH(("No"),(P671))))</formula>
    </cfRule>
  </conditionalFormatting>
  <conditionalFormatting sqref="P671:P673 P675 P682 P687">
    <cfRule type="containsText" dxfId="9" priority="4711" operator="containsText" text="No">
      <formula>NOT(ISERROR(SEARCH(("No"),(P671))))</formula>
    </cfRule>
  </conditionalFormatting>
  <conditionalFormatting sqref="P671:P673 P675 P682 P687">
    <cfRule type="containsText" dxfId="9" priority="4712" operator="containsText" text="No">
      <formula>NOT(ISERROR(SEARCH(("No"),(P671))))</formula>
    </cfRule>
  </conditionalFormatting>
  <conditionalFormatting sqref="P671:P673 P675 P682 P687">
    <cfRule type="containsText" dxfId="2" priority="4713" operator="containsText" text="Yes">
      <formula>NOT(ISERROR(SEARCH(("Yes"),(P671))))</formula>
    </cfRule>
  </conditionalFormatting>
  <conditionalFormatting sqref="P671:P673 P675 P682 P687">
    <cfRule type="containsText" dxfId="9" priority="4714" operator="containsText" text="No">
      <formula>NOT(ISERROR(SEARCH(("No"),(P671))))</formula>
    </cfRule>
  </conditionalFormatting>
  <conditionalFormatting sqref="P671:P673 P675 P682 P687">
    <cfRule type="containsText" dxfId="9" priority="4715" operator="containsText" text="No">
      <formula>NOT(ISERROR(SEARCH(("No"),(P671))))</formula>
    </cfRule>
  </conditionalFormatting>
  <conditionalFormatting sqref="P671:P673 P675 P682 P687">
    <cfRule type="containsText" dxfId="9" priority="4716" operator="containsText" text="No">
      <formula>NOT(ISERROR(SEARCH(("No"),(P671))))</formula>
    </cfRule>
  </conditionalFormatting>
  <conditionalFormatting sqref="P671:P673 P675 P682 P687">
    <cfRule type="containsText" dxfId="2" priority="4717" operator="containsText" text="Yes">
      <formula>NOT(ISERROR(SEARCH(("Yes"),(P671))))</formula>
    </cfRule>
  </conditionalFormatting>
  <conditionalFormatting sqref="P671:P673 P675 P682 P687">
    <cfRule type="containsText" dxfId="9" priority="4718" operator="containsText" text="No">
      <formula>NOT(ISERROR(SEARCH(("No"),(P671))))</formula>
    </cfRule>
  </conditionalFormatting>
  <conditionalFormatting sqref="P671:P673 P675 P682 P687">
    <cfRule type="containsText" dxfId="9" priority="4719" operator="containsText" text="No">
      <formula>NOT(ISERROR(SEARCH(("No"),(P671))))</formula>
    </cfRule>
  </conditionalFormatting>
  <conditionalFormatting sqref="P672:P681 P683:P684 P686 P689 P691">
    <cfRule type="containsText" dxfId="9" priority="4720" operator="containsText" text="No">
      <formula>NOT(ISERROR(SEARCH(("No"),(P672))))</formula>
    </cfRule>
  </conditionalFormatting>
  <conditionalFormatting sqref="P672:P681 P683:P684 P686 P689 P691">
    <cfRule type="containsText" dxfId="2" priority="4721" operator="containsText" text="Yes">
      <formula>NOT(ISERROR(SEARCH(("Yes"),(P672))))</formula>
    </cfRule>
  </conditionalFormatting>
  <conditionalFormatting sqref="P672:P681 P683:P684 P686 P689 P691">
    <cfRule type="containsText" dxfId="9" priority="4722" operator="containsText" text="No">
      <formula>NOT(ISERROR(SEARCH(("No"),(P672))))</formula>
    </cfRule>
  </conditionalFormatting>
  <conditionalFormatting sqref="P672:P681 P683:P684 P686 P689 P691">
    <cfRule type="containsText" dxfId="2" priority="4723" operator="containsText" text="Yes">
      <formula>NOT(ISERROR(SEARCH(("Yes"),(P672))))</formula>
    </cfRule>
  </conditionalFormatting>
  <conditionalFormatting sqref="P672:P681 P683:P684 P686 P689 P691">
    <cfRule type="containsText" dxfId="9" priority="4724" operator="containsText" text="No">
      <formula>NOT(ISERROR(SEARCH(("No"),(P672))))</formula>
    </cfRule>
  </conditionalFormatting>
  <conditionalFormatting sqref="P672:P681 P683:P684 P686 P689 P691">
    <cfRule type="containsText" dxfId="2" priority="4725" operator="containsText" text="Yes">
      <formula>NOT(ISERROR(SEARCH(("Yes"),(P672))))</formula>
    </cfRule>
  </conditionalFormatting>
  <conditionalFormatting sqref="P672:P681 P683:P684 P686 P689 P691">
    <cfRule type="containsText" dxfId="9" priority="4726" operator="containsText" text="No">
      <formula>NOT(ISERROR(SEARCH(("No"),(P672))))</formula>
    </cfRule>
  </conditionalFormatting>
  <conditionalFormatting sqref="P672:P681 P683:P684 P686 P689 P691">
    <cfRule type="containsText" dxfId="2" priority="4727" operator="containsText" text="Yes">
      <formula>NOT(ISERROR(SEARCH(("Yes"),(P672))))</formula>
    </cfRule>
  </conditionalFormatting>
  <conditionalFormatting sqref="P672:P681 P683:P684 P686 P689 P691">
    <cfRule type="containsText" dxfId="9" priority="4728" operator="containsText" text="No">
      <formula>NOT(ISERROR(SEARCH(("No"),(P672))))</formula>
    </cfRule>
  </conditionalFormatting>
  <conditionalFormatting sqref="P672:P681 P683:P684 P686 P689 P691">
    <cfRule type="containsText" dxfId="2" priority="4729" operator="containsText" text="Yes">
      <formula>NOT(ISERROR(SEARCH(("Yes"),(P672))))</formula>
    </cfRule>
  </conditionalFormatting>
  <conditionalFormatting sqref="P672:P681 P683:P684 P686 P689 P691">
    <cfRule type="containsText" dxfId="9" priority="4730" operator="containsText" text="No">
      <formula>NOT(ISERROR(SEARCH(("No"),(P672))))</formula>
    </cfRule>
  </conditionalFormatting>
  <conditionalFormatting sqref="P672:P681 P683:P684 P686 P689 P691">
    <cfRule type="containsText" dxfId="2" priority="4731" operator="containsText" text="Yes">
      <formula>NOT(ISERROR(SEARCH(("Yes"),(P672))))</formula>
    </cfRule>
  </conditionalFormatting>
  <conditionalFormatting sqref="P672:P681 P683:P684 P686 P689 P691">
    <cfRule type="containsText" dxfId="9" priority="4732" operator="containsText" text="No">
      <formula>NOT(ISERROR(SEARCH(("No"),(P672))))</formula>
    </cfRule>
  </conditionalFormatting>
  <conditionalFormatting sqref="P672:P681 P683:P684 P686 P689 P691">
    <cfRule type="containsText" dxfId="2" priority="4733" operator="containsText" text="Yes">
      <formula>NOT(ISERROR(SEARCH(("Yes"),(P672))))</formula>
    </cfRule>
  </conditionalFormatting>
  <conditionalFormatting sqref="P672:P681 P683:P684 P686 P689 P691">
    <cfRule type="containsText" dxfId="9" priority="4734" operator="containsText" text="No">
      <formula>NOT(ISERROR(SEARCH(("No"),(P672))))</formula>
    </cfRule>
  </conditionalFormatting>
  <conditionalFormatting sqref="P672:P681 P683:P684 P686 P689 P691">
    <cfRule type="containsText" dxfId="2" priority="4735" operator="containsText" text="Yes">
      <formula>NOT(ISERROR(SEARCH(("Yes"),(P672))))</formula>
    </cfRule>
  </conditionalFormatting>
  <conditionalFormatting sqref="P672:P681 P683:P684 P686 P689 P691">
    <cfRule type="containsText" dxfId="9" priority="4736" operator="containsText" text="No">
      <formula>NOT(ISERROR(SEARCH(("No"),(P672))))</formula>
    </cfRule>
  </conditionalFormatting>
  <conditionalFormatting sqref="P672:P681 P683:P684 P686 P689 P691">
    <cfRule type="containsText" dxfId="2" priority="4737" operator="containsText" text="Yes">
      <formula>NOT(ISERROR(SEARCH(("Yes"),(P672))))</formula>
    </cfRule>
  </conditionalFormatting>
  <conditionalFormatting sqref="P672:P681 P683:P684 P686 P689 P691">
    <cfRule type="containsText" dxfId="9" priority="4738" operator="containsText" text="No">
      <formula>NOT(ISERROR(SEARCH(("No"),(P672))))</formula>
    </cfRule>
  </conditionalFormatting>
  <conditionalFormatting sqref="P672:P681 P683:P684 P686 P689 P691">
    <cfRule type="containsText" dxfId="2" priority="4739" operator="containsText" text="Yes">
      <formula>NOT(ISERROR(SEARCH(("Yes"),(P672))))</formula>
    </cfRule>
  </conditionalFormatting>
  <conditionalFormatting sqref="P672:P681 P683:P684 P686 P689 P691">
    <cfRule type="containsText" dxfId="9" priority="4740" operator="containsText" text="No">
      <formula>NOT(ISERROR(SEARCH(("No"),(P672))))</formula>
    </cfRule>
  </conditionalFormatting>
  <conditionalFormatting sqref="P672:P681 P683:P684 P686 P689 P691">
    <cfRule type="containsText" dxfId="2" priority="4741" operator="containsText" text="Yes">
      <formula>NOT(ISERROR(SEARCH(("Yes"),(P672))))</formula>
    </cfRule>
  </conditionalFormatting>
  <conditionalFormatting sqref="P672:P681 P683:P684 P686 P689 P691">
    <cfRule type="containsText" dxfId="9" priority="4742" operator="containsText" text="No">
      <formula>NOT(ISERROR(SEARCH(("No"),(P672))))</formula>
    </cfRule>
  </conditionalFormatting>
  <conditionalFormatting sqref="P672:P681 P683:P684 P686 P689 P691">
    <cfRule type="containsText" dxfId="2" priority="4743" operator="containsText" text="Yes">
      <formula>NOT(ISERROR(SEARCH(("Yes"),(P672))))</formula>
    </cfRule>
  </conditionalFormatting>
  <conditionalFormatting sqref="P672:P681 P683:P684 P686 P689 P691">
    <cfRule type="containsText" dxfId="9" priority="4744" operator="containsText" text="No">
      <formula>NOT(ISERROR(SEARCH(("No"),(P672))))</formula>
    </cfRule>
  </conditionalFormatting>
  <conditionalFormatting sqref="P672:P681 P683:P684 P686 P689 P691">
    <cfRule type="containsText" dxfId="2" priority="4745" operator="containsText" text="Yes">
      <formula>NOT(ISERROR(SEARCH(("Yes"),(P672))))</formula>
    </cfRule>
  </conditionalFormatting>
  <conditionalFormatting sqref="P672:P681 P683:P684 P686 P689 P691">
    <cfRule type="containsText" dxfId="9" priority="4746" operator="containsText" text="No">
      <formula>NOT(ISERROR(SEARCH(("No"),(P672))))</formula>
    </cfRule>
  </conditionalFormatting>
  <conditionalFormatting sqref="P672:P681 P683:P684 P686 P689 P691">
    <cfRule type="containsText" dxfId="2" priority="4747" operator="containsText" text="Yes">
      <formula>NOT(ISERROR(SEARCH(("Yes"),(P672))))</formula>
    </cfRule>
  </conditionalFormatting>
  <conditionalFormatting sqref="P672:P681 P683:P684 P686 P689 P691">
    <cfRule type="containsText" dxfId="9" priority="4748" operator="containsText" text="No">
      <formula>NOT(ISERROR(SEARCH(("No"),(P672))))</formula>
    </cfRule>
  </conditionalFormatting>
  <conditionalFormatting sqref="P672:P681 P683:P684 P686 P689 P691">
    <cfRule type="containsText" dxfId="2" priority="4749" operator="containsText" text="Yes">
      <formula>NOT(ISERROR(SEARCH(("Yes"),(P672))))</formula>
    </cfRule>
  </conditionalFormatting>
  <conditionalFormatting sqref="P672:P681 P683:P684 P686 P689 P691">
    <cfRule type="containsText" dxfId="9" priority="4750" operator="containsText" text="No">
      <formula>NOT(ISERROR(SEARCH(("No"),(P672))))</formula>
    </cfRule>
  </conditionalFormatting>
  <conditionalFormatting sqref="P672:P681 P683:P684 P686 P689 P691">
    <cfRule type="containsText" dxfId="2" priority="4751" operator="containsText" text="Yes">
      <formula>NOT(ISERROR(SEARCH(("Yes"),(P672))))</formula>
    </cfRule>
  </conditionalFormatting>
  <conditionalFormatting sqref="P672:P681 P683:P684 P686 P689 P691">
    <cfRule type="containsText" dxfId="9" priority="4752" operator="containsText" text="No">
      <formula>NOT(ISERROR(SEARCH(("No"),(P672))))</formula>
    </cfRule>
  </conditionalFormatting>
  <conditionalFormatting sqref="P672:P681 P683:P684 P686 P689 P691">
    <cfRule type="containsText" dxfId="2" priority="4753" operator="containsText" text="Yes">
      <formula>NOT(ISERROR(SEARCH(("Yes"),(P672))))</formula>
    </cfRule>
  </conditionalFormatting>
  <conditionalFormatting sqref="P672:P681 P683:P684 P686 P689 P691">
    <cfRule type="containsText" dxfId="9" priority="4754" operator="containsText" text="No">
      <formula>NOT(ISERROR(SEARCH(("No"),(P672))))</formula>
    </cfRule>
  </conditionalFormatting>
  <conditionalFormatting sqref="P672:P681 P683:P684 P686 P689 P691">
    <cfRule type="containsText" dxfId="2" priority="4755" operator="containsText" text="Yes">
      <formula>NOT(ISERROR(SEARCH(("Yes"),(P672))))</formula>
    </cfRule>
  </conditionalFormatting>
  <conditionalFormatting sqref="P672:P681 P683:P684 P686 P689 P691">
    <cfRule type="containsText" dxfId="9" priority="4756" operator="containsText" text="No">
      <formula>NOT(ISERROR(SEARCH(("No"),(P672))))</formula>
    </cfRule>
  </conditionalFormatting>
  <conditionalFormatting sqref="P672:P681 P683:P684 P686 P689 P691">
    <cfRule type="containsText" dxfId="2" priority="4757" operator="containsText" text="Yes">
      <formula>NOT(ISERROR(SEARCH(("Yes"),(P672))))</formula>
    </cfRule>
  </conditionalFormatting>
  <conditionalFormatting sqref="P672:P681 P683:P684 P686 P689 P691">
    <cfRule type="containsText" dxfId="9" priority="4758" operator="containsText" text="No">
      <formula>NOT(ISERROR(SEARCH(("No"),(P672))))</formula>
    </cfRule>
  </conditionalFormatting>
  <conditionalFormatting sqref="P672:P681 P683:P684 P686 P689 P691">
    <cfRule type="containsText" dxfId="2" priority="4759" operator="containsText" text="Yes">
      <formula>NOT(ISERROR(SEARCH(("Yes"),(P672))))</formula>
    </cfRule>
  </conditionalFormatting>
  <conditionalFormatting sqref="P672:P681 P683:P684 P686 P689 P691">
    <cfRule type="containsText" dxfId="9" priority="4760" operator="containsText" text="No">
      <formula>NOT(ISERROR(SEARCH(("No"),(P672))))</formula>
    </cfRule>
  </conditionalFormatting>
  <conditionalFormatting sqref="P672:P681 P683:P684 P686 P689 P691">
    <cfRule type="containsText" dxfId="2" priority="4761" operator="containsText" text="Yes">
      <formula>NOT(ISERROR(SEARCH(("Yes"),(P672))))</formula>
    </cfRule>
  </conditionalFormatting>
  <conditionalFormatting sqref="P672:P681 P683:P684 P686 P689 P691">
    <cfRule type="containsText" dxfId="9" priority="4762" operator="containsText" text="No">
      <formula>NOT(ISERROR(SEARCH(("No"),(P672))))</formula>
    </cfRule>
  </conditionalFormatting>
  <conditionalFormatting sqref="P672:P681 P683:P684 P686 P689 P691">
    <cfRule type="containsText" dxfId="2" priority="4763" operator="containsText" text="Yes">
      <formula>NOT(ISERROR(SEARCH(("Yes"),(P672))))</formula>
    </cfRule>
  </conditionalFormatting>
  <conditionalFormatting sqref="P672:P681 P683:P684 P686 P689 P691">
    <cfRule type="containsText" dxfId="9" priority="4764" operator="containsText" text="No">
      <formula>NOT(ISERROR(SEARCH(("No"),(P672))))</formula>
    </cfRule>
  </conditionalFormatting>
  <conditionalFormatting sqref="P672:P681 P683:P684 P686 P689 P691">
    <cfRule type="containsText" dxfId="2" priority="4765" operator="containsText" text="Yes">
      <formula>NOT(ISERROR(SEARCH(("Yes"),(P672))))</formula>
    </cfRule>
  </conditionalFormatting>
  <conditionalFormatting sqref="P672:P681 P683:P684 P686 P689 P691">
    <cfRule type="containsText" dxfId="9" priority="4766" operator="containsText" text="No">
      <formula>NOT(ISERROR(SEARCH(("No"),(P672))))</formula>
    </cfRule>
  </conditionalFormatting>
  <conditionalFormatting sqref="P672:P681 P683:P684 P686 P689 P691">
    <cfRule type="containsText" dxfId="2" priority="4767" operator="containsText" text="Yes">
      <formula>NOT(ISERROR(SEARCH(("Yes"),(P672))))</formula>
    </cfRule>
  </conditionalFormatting>
  <conditionalFormatting sqref="P672:P681 P683:P684 P686 P689 P691">
    <cfRule type="containsText" dxfId="9" priority="4768" operator="containsText" text="No">
      <formula>NOT(ISERROR(SEARCH(("No"),(P672))))</formula>
    </cfRule>
  </conditionalFormatting>
  <conditionalFormatting sqref="P672:P681 P683:P684 P686 P689 P691">
    <cfRule type="containsText" dxfId="2" priority="4769" operator="containsText" text="Yes">
      <formula>NOT(ISERROR(SEARCH(("Yes"),(P672))))</formula>
    </cfRule>
  </conditionalFormatting>
  <conditionalFormatting sqref="P672:P681 P683:P684 P686 P689 P691">
    <cfRule type="containsText" dxfId="9" priority="4770" operator="containsText" text="No">
      <formula>NOT(ISERROR(SEARCH(("No"),(P672))))</formula>
    </cfRule>
  </conditionalFormatting>
  <conditionalFormatting sqref="P672:P681 P683:P684 P686 P689 P691">
    <cfRule type="containsText" dxfId="2" priority="4771" operator="containsText" text="Yes">
      <formula>NOT(ISERROR(SEARCH(("Yes"),(P672))))</formula>
    </cfRule>
  </conditionalFormatting>
  <conditionalFormatting sqref="P672:P681 P683:P684 P686 P689 P691">
    <cfRule type="containsText" dxfId="9" priority="4772" operator="containsText" text="No">
      <formula>NOT(ISERROR(SEARCH(("No"),(P672))))</formula>
    </cfRule>
  </conditionalFormatting>
  <conditionalFormatting sqref="P672:P681 P683:P684 P686 P689 P691">
    <cfRule type="containsText" dxfId="2" priority="4773" operator="containsText" text="Yes">
      <formula>NOT(ISERROR(SEARCH(("Yes"),(P672))))</formula>
    </cfRule>
  </conditionalFormatting>
  <conditionalFormatting sqref="P672:P681 P683:P684 P686 P689 P691">
    <cfRule type="containsText" dxfId="9" priority="4774" operator="containsText" text="No">
      <formula>NOT(ISERROR(SEARCH(("No"),(P672))))</formula>
    </cfRule>
  </conditionalFormatting>
  <conditionalFormatting sqref="P672:P681 P683:P684 P686 P689 P691">
    <cfRule type="containsText" dxfId="2" priority="4775" operator="containsText" text="Yes">
      <formula>NOT(ISERROR(SEARCH(("Yes"),(P672))))</formula>
    </cfRule>
  </conditionalFormatting>
  <conditionalFormatting sqref="P672:P681 P683:P684 P686 P689 P691">
    <cfRule type="containsText" dxfId="9" priority="4776" operator="containsText" text="No">
      <formula>NOT(ISERROR(SEARCH(("No"),(P672))))</formula>
    </cfRule>
  </conditionalFormatting>
  <conditionalFormatting sqref="P672:P681 P683:P684 P686 P689 P691">
    <cfRule type="containsText" dxfId="2" priority="4777" operator="containsText" text="Yes">
      <formula>NOT(ISERROR(SEARCH(("Yes"),(P672))))</formula>
    </cfRule>
  </conditionalFormatting>
  <conditionalFormatting sqref="P672:P681 P683:P684 P686 P689 P691">
    <cfRule type="containsText" dxfId="9" priority="4778" operator="containsText" text="No">
      <formula>NOT(ISERROR(SEARCH(("No"),(P672))))</formula>
    </cfRule>
  </conditionalFormatting>
  <conditionalFormatting sqref="P672:P681 P683:P684 P686 P689 P691">
    <cfRule type="containsText" dxfId="2" priority="4779" operator="containsText" text="Yes">
      <formula>NOT(ISERROR(SEARCH(("Yes"),(P672))))</formula>
    </cfRule>
  </conditionalFormatting>
  <conditionalFormatting sqref="P672:P681 P683:P684 P686 P689 P691">
    <cfRule type="containsText" dxfId="9" priority="4780" operator="containsText" text="No">
      <formula>NOT(ISERROR(SEARCH(("No"),(P672))))</formula>
    </cfRule>
  </conditionalFormatting>
  <conditionalFormatting sqref="P672:P681 P683:P684 P686 P689 P691">
    <cfRule type="containsText" dxfId="2" priority="4781" operator="containsText" text="Yes">
      <formula>NOT(ISERROR(SEARCH(("Yes"),(P672))))</formula>
    </cfRule>
  </conditionalFormatting>
  <conditionalFormatting sqref="P672:P681 P683:P684 P686 P689 P691">
    <cfRule type="containsText" dxfId="9" priority="4782" operator="containsText" text="No">
      <formula>NOT(ISERROR(SEARCH(("No"),(P672))))</formula>
    </cfRule>
  </conditionalFormatting>
  <conditionalFormatting sqref="P672:P681 P683:P684 P686 P689 P691">
    <cfRule type="containsText" dxfId="2" priority="4783" operator="containsText" text="Yes">
      <formula>NOT(ISERROR(SEARCH(("Yes"),(P672))))</formula>
    </cfRule>
  </conditionalFormatting>
  <conditionalFormatting sqref="P672:P681 P683:P684 P686 P689 P691">
    <cfRule type="containsText" dxfId="9" priority="4784" operator="containsText" text="No">
      <formula>NOT(ISERROR(SEARCH(("No"),(P672))))</formula>
    </cfRule>
  </conditionalFormatting>
  <conditionalFormatting sqref="P672:P681 P683:P684 P686 P689 P691">
    <cfRule type="containsText" dxfId="2" priority="4785" operator="containsText" text="Yes">
      <formula>NOT(ISERROR(SEARCH(("Yes"),(P672))))</formula>
    </cfRule>
  </conditionalFormatting>
  <conditionalFormatting sqref="P672:P681 P683:P684 P686 P689 P691">
    <cfRule type="containsText" dxfId="9" priority="4786" operator="containsText" text="No">
      <formula>NOT(ISERROR(SEARCH(("No"),(P672))))</formula>
    </cfRule>
  </conditionalFormatting>
  <conditionalFormatting sqref="P672:P681 P683:P684 P686 P689 P691">
    <cfRule type="containsText" dxfId="2" priority="4787" operator="containsText" text="Yes">
      <formula>NOT(ISERROR(SEARCH(("Yes"),(P672))))</formula>
    </cfRule>
  </conditionalFormatting>
  <conditionalFormatting sqref="P672:P681 P683:P684 P686 P689 P691">
    <cfRule type="containsText" dxfId="9" priority="4788" operator="containsText" text="No">
      <formula>NOT(ISERROR(SEARCH(("No"),(P672))))</formula>
    </cfRule>
  </conditionalFormatting>
  <conditionalFormatting sqref="P672:P681 P683:P684 P686 P689 P691">
    <cfRule type="containsText" dxfId="2" priority="4789" operator="containsText" text="Yes">
      <formula>NOT(ISERROR(SEARCH(("Yes"),(P672))))</formula>
    </cfRule>
  </conditionalFormatting>
  <conditionalFormatting sqref="P672:P681 P683:P684 P686 P689 P691">
    <cfRule type="containsText" dxfId="9" priority="4790" operator="containsText" text="No">
      <formula>NOT(ISERROR(SEARCH(("No"),(P672))))</formula>
    </cfRule>
  </conditionalFormatting>
  <conditionalFormatting sqref="P672:P681 P683:P684 P686 P689 P691">
    <cfRule type="containsText" dxfId="2" priority="4791" operator="containsText" text="Yes">
      <formula>NOT(ISERROR(SEARCH(("Yes"),(P672))))</formula>
    </cfRule>
  </conditionalFormatting>
  <conditionalFormatting sqref="P672:P681 P683:P684 P686 P689 P691">
    <cfRule type="containsText" dxfId="9" priority="4792" operator="containsText" text="No">
      <formula>NOT(ISERROR(SEARCH(("No"),(P672))))</formula>
    </cfRule>
  </conditionalFormatting>
  <conditionalFormatting sqref="P672:P681 P683:P684 P686 P689 P691">
    <cfRule type="containsText" dxfId="2" priority="4793" operator="containsText" text="Yes">
      <formula>NOT(ISERROR(SEARCH(("Yes"),(P672))))</formula>
    </cfRule>
  </conditionalFormatting>
  <conditionalFormatting sqref="P672:P681 P683:P684 P686 P689 P691">
    <cfRule type="containsText" dxfId="9" priority="4794" operator="containsText" text="No">
      <formula>NOT(ISERROR(SEARCH(("No"),(P672))))</formula>
    </cfRule>
  </conditionalFormatting>
  <conditionalFormatting sqref="P672:P681 P683:P684 P686 P689 P691">
    <cfRule type="containsText" dxfId="2" priority="4795" operator="containsText" text="Yes">
      <formula>NOT(ISERROR(SEARCH(("Yes"),(P672))))</formula>
    </cfRule>
  </conditionalFormatting>
  <conditionalFormatting sqref="P672:P681 P683:P684 P686 P689 P691">
    <cfRule type="containsText" dxfId="9" priority="4796" operator="containsText" text="No">
      <formula>NOT(ISERROR(SEARCH(("No"),(P672))))</formula>
    </cfRule>
  </conditionalFormatting>
  <conditionalFormatting sqref="P672:P681 P683:P684 P686 P689 P691">
    <cfRule type="containsText" dxfId="2" priority="4797" operator="containsText" text="Yes">
      <formula>NOT(ISERROR(SEARCH(("Yes"),(P672))))</formula>
    </cfRule>
  </conditionalFormatting>
  <conditionalFormatting sqref="P672:P681 P683:P684 P686 P689 P691">
    <cfRule type="containsText" dxfId="9" priority="4798" operator="containsText" text="No">
      <formula>NOT(ISERROR(SEARCH(("No"),(P672))))</formula>
    </cfRule>
  </conditionalFormatting>
  <conditionalFormatting sqref="P672:P681 P683:P684 P686 P689 P691">
    <cfRule type="containsText" dxfId="2" priority="4799" operator="containsText" text="Yes">
      <formula>NOT(ISERROR(SEARCH(("Yes"),(P672))))</formula>
    </cfRule>
  </conditionalFormatting>
  <conditionalFormatting sqref="P672:P681 P683:P684 P686 P689 P691">
    <cfRule type="containsText" dxfId="9" priority="4800" operator="containsText" text="No">
      <formula>NOT(ISERROR(SEARCH(("No"),(P672))))</formula>
    </cfRule>
  </conditionalFormatting>
  <conditionalFormatting sqref="P672:P681 P683:P684 P686 P689 P691">
    <cfRule type="containsText" dxfId="2" priority="4801" operator="containsText" text="Yes">
      <formula>NOT(ISERROR(SEARCH(("Yes"),(P672))))</formula>
    </cfRule>
  </conditionalFormatting>
  <conditionalFormatting sqref="P672:P681 P683:P684 P686 P689 P691">
    <cfRule type="containsText" dxfId="9" priority="4802" operator="containsText" text="No">
      <formula>NOT(ISERROR(SEARCH(("No"),(P672))))</formula>
    </cfRule>
  </conditionalFormatting>
  <conditionalFormatting sqref="P672:P681 P683:P684 P686 P689 P691">
    <cfRule type="containsText" dxfId="2" priority="4803" operator="containsText" text="Yes">
      <formula>NOT(ISERROR(SEARCH(("Yes"),(P672))))</formula>
    </cfRule>
  </conditionalFormatting>
  <conditionalFormatting sqref="P672:P681 P683:P684 P686 P689 P691">
    <cfRule type="containsText" dxfId="9" priority="4804" operator="containsText" text="No">
      <formula>NOT(ISERROR(SEARCH(("No"),(P672))))</formula>
    </cfRule>
  </conditionalFormatting>
  <conditionalFormatting sqref="P672:P681 P683:P684 P686 P689 P691">
    <cfRule type="containsText" dxfId="2" priority="4805" operator="containsText" text="Yes">
      <formula>NOT(ISERROR(SEARCH(("Yes"),(P672))))</formula>
    </cfRule>
  </conditionalFormatting>
  <conditionalFormatting sqref="P672:P681 P683:P684 P686 P689 P691">
    <cfRule type="containsText" dxfId="9" priority="4806" operator="containsText" text="No">
      <formula>NOT(ISERROR(SEARCH(("No"),(P672))))</formula>
    </cfRule>
  </conditionalFormatting>
  <conditionalFormatting sqref="P672:P681 P683:P684 P686 P689 P691">
    <cfRule type="containsText" dxfId="2" priority="4807" operator="containsText" text="Yes">
      <formula>NOT(ISERROR(SEARCH(("Yes"),(P672))))</formula>
    </cfRule>
  </conditionalFormatting>
  <conditionalFormatting sqref="P672:P681 P683:P684 P686 P689 P691">
    <cfRule type="containsText" dxfId="9" priority="4808" operator="containsText" text="No">
      <formula>NOT(ISERROR(SEARCH(("No"),(P672))))</formula>
    </cfRule>
  </conditionalFormatting>
  <conditionalFormatting sqref="P672:P681 P683:P684 P686 P689 P691">
    <cfRule type="containsText" dxfId="2" priority="4809" operator="containsText" text="Yes">
      <formula>NOT(ISERROR(SEARCH(("Yes"),(P672))))</formula>
    </cfRule>
  </conditionalFormatting>
  <conditionalFormatting sqref="P672:P681 P683:P684 P686 P689 P691">
    <cfRule type="containsText" dxfId="9" priority="4810" operator="containsText" text="No">
      <formula>NOT(ISERROR(SEARCH(("No"),(P672))))</formula>
    </cfRule>
  </conditionalFormatting>
  <conditionalFormatting sqref="P672:P681 P683:P684 P686 P689 P691">
    <cfRule type="containsText" dxfId="2" priority="4811" operator="containsText" text="Yes">
      <formula>NOT(ISERROR(SEARCH(("Yes"),(P672))))</formula>
    </cfRule>
  </conditionalFormatting>
  <conditionalFormatting sqref="P672:P681 P683:P684 P686 P689 P691">
    <cfRule type="containsText" dxfId="9" priority="4812" operator="containsText" text="No">
      <formula>NOT(ISERROR(SEARCH(("No"),(P672))))</formula>
    </cfRule>
  </conditionalFormatting>
  <conditionalFormatting sqref="P672:P681 P683:P684 P686 P689 P691">
    <cfRule type="containsText" dxfId="2" priority="4813" operator="containsText" text="Yes">
      <formula>NOT(ISERROR(SEARCH(("Yes"),(P672))))</formula>
    </cfRule>
  </conditionalFormatting>
  <conditionalFormatting sqref="P672:P681 P683:P684 P686 P689 P691">
    <cfRule type="containsText" dxfId="9" priority="4814" operator="containsText" text="No">
      <formula>NOT(ISERROR(SEARCH(("No"),(P672))))</formula>
    </cfRule>
  </conditionalFormatting>
  <conditionalFormatting sqref="P672:P681 P683:P684 P686 P689 P691">
    <cfRule type="containsText" dxfId="2" priority="4815" operator="containsText" text="Yes">
      <formula>NOT(ISERROR(SEARCH(("Yes"),(P672))))</formula>
    </cfRule>
  </conditionalFormatting>
  <conditionalFormatting sqref="P672:P681 P683:P684 P686 P689 P691">
    <cfRule type="containsText" dxfId="9" priority="4816" operator="containsText" text="No">
      <formula>NOT(ISERROR(SEARCH(("No"),(P672))))</formula>
    </cfRule>
  </conditionalFormatting>
  <conditionalFormatting sqref="P672:P681 P683:P684 P686 P689 P691">
    <cfRule type="containsText" dxfId="2" priority="4817" operator="containsText" text="Yes">
      <formula>NOT(ISERROR(SEARCH(("Yes"),(P672))))</formula>
    </cfRule>
  </conditionalFormatting>
  <conditionalFormatting sqref="P672:P681 P683:P684 P686 P689 P691">
    <cfRule type="containsText" dxfId="9" priority="4818" operator="containsText" text="No">
      <formula>NOT(ISERROR(SEARCH(("No"),(P672))))</formula>
    </cfRule>
  </conditionalFormatting>
  <conditionalFormatting sqref="P672:P681 P683:P684 P686 P689 P691">
    <cfRule type="containsText" dxfId="2" priority="4819" operator="containsText" text="Yes">
      <formula>NOT(ISERROR(SEARCH(("Yes"),(P672))))</formula>
    </cfRule>
  </conditionalFormatting>
  <conditionalFormatting sqref="P672:P681 P683:P684 P686 P689 P691">
    <cfRule type="containsText" dxfId="9" priority="4820" operator="containsText" text="No">
      <formula>NOT(ISERROR(SEARCH(("No"),(P672))))</formula>
    </cfRule>
  </conditionalFormatting>
  <conditionalFormatting sqref="P672:P681 P683:P684 P686 P689 P691">
    <cfRule type="containsText" dxfId="2" priority="4821" operator="containsText" text="Yes">
      <formula>NOT(ISERROR(SEARCH(("Yes"),(P672))))</formula>
    </cfRule>
  </conditionalFormatting>
  <conditionalFormatting sqref="P672:P681 P683:P684 P686 P689 P691">
    <cfRule type="containsText" dxfId="9" priority="4822" operator="containsText" text="No">
      <formula>NOT(ISERROR(SEARCH(("No"),(P672))))</formula>
    </cfRule>
  </conditionalFormatting>
  <conditionalFormatting sqref="P672:P681 P683:P684 P686 P689 P691">
    <cfRule type="containsText" dxfId="2" priority="4823" operator="containsText" text="Yes">
      <formula>NOT(ISERROR(SEARCH(("Yes"),(P672))))</formula>
    </cfRule>
  </conditionalFormatting>
  <conditionalFormatting sqref="P672:P681 P683:P684 P686 P689 P691">
    <cfRule type="containsText" dxfId="9" priority="4824" operator="containsText" text="No">
      <formula>NOT(ISERROR(SEARCH(("No"),(P672))))</formula>
    </cfRule>
  </conditionalFormatting>
  <conditionalFormatting sqref="P672:P681 P683:P684 P686 P689 P691">
    <cfRule type="containsText" dxfId="2" priority="4825" operator="containsText" text="Yes">
      <formula>NOT(ISERROR(SEARCH(("Yes"),(P672))))</formula>
    </cfRule>
  </conditionalFormatting>
  <conditionalFormatting sqref="P672:P681 P683:P684 P686 P689 P691">
    <cfRule type="containsText" dxfId="9" priority="4826" operator="containsText" text="No">
      <formula>NOT(ISERROR(SEARCH(("No"),(P672))))</formula>
    </cfRule>
  </conditionalFormatting>
  <conditionalFormatting sqref="P672:P681 P683:P684 P686 P689 P691">
    <cfRule type="containsText" dxfId="2" priority="4827" operator="containsText" text="Yes">
      <formula>NOT(ISERROR(SEARCH(("Yes"),(P672))))</formula>
    </cfRule>
  </conditionalFormatting>
  <conditionalFormatting sqref="P672:P681 P683:P684 P686 P689 P691">
    <cfRule type="containsText" dxfId="9" priority="4828" operator="containsText" text="No">
      <formula>NOT(ISERROR(SEARCH(("No"),(P672))))</formula>
    </cfRule>
  </conditionalFormatting>
  <conditionalFormatting sqref="P672:P681 P683:P684 P686 P689 P691">
    <cfRule type="containsText" dxfId="2" priority="4829" operator="containsText" text="Yes">
      <formula>NOT(ISERROR(SEARCH(("Yes"),(P672))))</formula>
    </cfRule>
  </conditionalFormatting>
  <conditionalFormatting sqref="P672:P681 P683:P684 P686 P689 P691">
    <cfRule type="containsText" dxfId="9" priority="4830" operator="containsText" text="No">
      <formula>NOT(ISERROR(SEARCH(("No"),(P672))))</formula>
    </cfRule>
  </conditionalFormatting>
  <conditionalFormatting sqref="P672:P681 P683:P684 P686 P689 P691">
    <cfRule type="containsText" dxfId="2" priority="4831" operator="containsText" text="Yes">
      <formula>NOT(ISERROR(SEARCH(("Yes"),(P672))))</formula>
    </cfRule>
  </conditionalFormatting>
  <conditionalFormatting sqref="P672:P681 P683:P684 P686 P689 P691">
    <cfRule type="containsText" dxfId="9" priority="4832" operator="containsText" text="No">
      <formula>NOT(ISERROR(SEARCH(("No"),(P672))))</formula>
    </cfRule>
  </conditionalFormatting>
  <conditionalFormatting sqref="P672:P681 P683:P684 P686 P689 P691">
    <cfRule type="containsText" dxfId="2" priority="4833" operator="containsText" text="Yes">
      <formula>NOT(ISERROR(SEARCH(("Yes"),(P672))))</formula>
    </cfRule>
  </conditionalFormatting>
  <conditionalFormatting sqref="P672:P681 P683:P684 P686 P689 P691">
    <cfRule type="containsText" dxfId="9" priority="4834" operator="containsText" text="No">
      <formula>NOT(ISERROR(SEARCH(("No"),(P672))))</formula>
    </cfRule>
  </conditionalFormatting>
  <conditionalFormatting sqref="P672:P681 P683:P684 P686 P689 P691">
    <cfRule type="containsText" dxfId="2" priority="4835" operator="containsText" text="Yes">
      <formula>NOT(ISERROR(SEARCH(("Yes"),(P672))))</formula>
    </cfRule>
  </conditionalFormatting>
  <conditionalFormatting sqref="P672:P681 P683:P684 P686 P689 P691">
    <cfRule type="containsText" dxfId="9" priority="4836" operator="containsText" text="No">
      <formula>NOT(ISERROR(SEARCH(("No"),(P672))))</formula>
    </cfRule>
  </conditionalFormatting>
  <conditionalFormatting sqref="P672:P681 P683:P684 P686 P689 P691">
    <cfRule type="containsText" dxfId="2" priority="4837" operator="containsText" text="Yes">
      <formula>NOT(ISERROR(SEARCH(("Yes"),(P672))))</formula>
    </cfRule>
  </conditionalFormatting>
  <conditionalFormatting sqref="P672:P681 P683:P684 P686 P689 P691">
    <cfRule type="containsText" dxfId="9" priority="4838" operator="containsText" text="No">
      <formula>NOT(ISERROR(SEARCH(("No"),(P672))))</formula>
    </cfRule>
  </conditionalFormatting>
  <conditionalFormatting sqref="P672:P681 P683:P684 P686 P689 P691">
    <cfRule type="containsText" dxfId="2" priority="4839" operator="containsText" text="Yes">
      <formula>NOT(ISERROR(SEARCH(("Yes"),(P672))))</formula>
    </cfRule>
  </conditionalFormatting>
  <conditionalFormatting sqref="P672:P681 P683:P684 P686 P689 P691">
    <cfRule type="containsText" dxfId="9" priority="4840" operator="containsText" text="No">
      <formula>NOT(ISERROR(SEARCH(("No"),(P672))))</formula>
    </cfRule>
  </conditionalFormatting>
  <conditionalFormatting sqref="P672:P681 P683:P684 P686 P689 P691">
    <cfRule type="containsText" dxfId="2" priority="4841" operator="containsText" text="Yes">
      <formula>NOT(ISERROR(SEARCH(("Yes"),(P672))))</formula>
    </cfRule>
  </conditionalFormatting>
  <conditionalFormatting sqref="P672:P681 P683:P684 P686 P689 P691">
    <cfRule type="containsText" dxfId="9" priority="4842" operator="containsText" text="No">
      <formula>NOT(ISERROR(SEARCH(("No"),(P672))))</formula>
    </cfRule>
  </conditionalFormatting>
  <conditionalFormatting sqref="P672:P681 P683:P684 P686 P689 P691">
    <cfRule type="containsText" dxfId="2" priority="4843" operator="containsText" text="Yes">
      <formula>NOT(ISERROR(SEARCH(("Yes"),(P672))))</formula>
    </cfRule>
  </conditionalFormatting>
  <conditionalFormatting sqref="P672:P681 P683:P684 P686 P689 P691">
    <cfRule type="containsText" dxfId="9" priority="4844" operator="containsText" text="No">
      <formula>NOT(ISERROR(SEARCH(("No"),(P672))))</formula>
    </cfRule>
  </conditionalFormatting>
  <conditionalFormatting sqref="P672:P681 P683:P684 P686 P689 P691">
    <cfRule type="containsText" dxfId="2" priority="4845" operator="containsText" text="Yes">
      <formula>NOT(ISERROR(SEARCH(("Yes"),(P672))))</formula>
    </cfRule>
  </conditionalFormatting>
  <conditionalFormatting sqref="P672:P681 P683:P684 P686 P689 P691">
    <cfRule type="containsText" dxfId="9" priority="4846" operator="containsText" text="No">
      <formula>NOT(ISERROR(SEARCH(("No"),(P672))))</formula>
    </cfRule>
  </conditionalFormatting>
  <conditionalFormatting sqref="P672:P681 P683:P684 P686 P689 P691">
    <cfRule type="containsText" dxfId="2" priority="4847" operator="containsText" text="Yes">
      <formula>NOT(ISERROR(SEARCH(("Yes"),(P672))))</formula>
    </cfRule>
  </conditionalFormatting>
  <conditionalFormatting sqref="P672:P681 P683:P684 P686 P689 P691">
    <cfRule type="containsText" dxfId="9" priority="4848" operator="containsText" text="No">
      <formula>NOT(ISERROR(SEARCH(("No"),(P672))))</formula>
    </cfRule>
  </conditionalFormatting>
  <conditionalFormatting sqref="P672:P681 P683:P684 P686 P689 P691">
    <cfRule type="containsText" dxfId="2" priority="4849" operator="containsText" text="Yes">
      <formula>NOT(ISERROR(SEARCH(("Yes"),(P672))))</formula>
    </cfRule>
  </conditionalFormatting>
  <conditionalFormatting sqref="P672:P681 P683:P684 P686 P689 P691">
    <cfRule type="containsText" dxfId="9" priority="4850" operator="containsText" text="No">
      <formula>NOT(ISERROR(SEARCH(("No"),(P672))))</formula>
    </cfRule>
  </conditionalFormatting>
  <conditionalFormatting sqref="P672:P681 P683:P684 P686 P689 P691">
    <cfRule type="containsText" dxfId="2" priority="4851" operator="containsText" text="Yes">
      <formula>NOT(ISERROR(SEARCH(("Yes"),(P672))))</formula>
    </cfRule>
  </conditionalFormatting>
  <conditionalFormatting sqref="P672:P681 P683:P684 P686 P689 P691">
    <cfRule type="containsText" dxfId="9" priority="4852" operator="containsText" text="No">
      <formula>NOT(ISERROR(SEARCH(("No"),(P672))))</formula>
    </cfRule>
  </conditionalFormatting>
  <conditionalFormatting sqref="P672:P681 P683:P684 P686 P689 P691">
    <cfRule type="containsText" dxfId="2" priority="4853" operator="containsText" text="Yes">
      <formula>NOT(ISERROR(SEARCH(("Yes"),(P672))))</formula>
    </cfRule>
  </conditionalFormatting>
  <conditionalFormatting sqref="P672:P681 P683:P684 P686 P689 P691">
    <cfRule type="containsText" dxfId="9" priority="4854" operator="containsText" text="No">
      <formula>NOT(ISERROR(SEARCH(("No"),(P672))))</formula>
    </cfRule>
  </conditionalFormatting>
  <conditionalFormatting sqref="P672:P681 P683:P684 P686 P689 P691">
    <cfRule type="containsText" dxfId="2" priority="4855" operator="containsText" text="Yes">
      <formula>NOT(ISERROR(SEARCH(("Yes"),(P672))))</formula>
    </cfRule>
  </conditionalFormatting>
  <conditionalFormatting sqref="P672:P681 P683:P684 P686 P689 P691">
    <cfRule type="containsText" dxfId="9" priority="4856" operator="containsText" text="No">
      <formula>NOT(ISERROR(SEARCH(("No"),(P672))))</formula>
    </cfRule>
  </conditionalFormatting>
  <conditionalFormatting sqref="P672:P681 P683:P684 P686 P689 P691">
    <cfRule type="containsText" dxfId="2" priority="4857" operator="containsText" text="Yes">
      <formula>NOT(ISERROR(SEARCH(("Yes"),(P672))))</formula>
    </cfRule>
  </conditionalFormatting>
  <conditionalFormatting sqref="P672:P681 P683:P684 P686 P689 P691">
    <cfRule type="containsText" dxfId="9" priority="4858" operator="containsText" text="No">
      <formula>NOT(ISERROR(SEARCH(("No"),(P672))))</formula>
    </cfRule>
  </conditionalFormatting>
  <conditionalFormatting sqref="P672:P681 P683:P684 P686 P689 P691">
    <cfRule type="containsText" dxfId="2" priority="4859" operator="containsText" text="Yes">
      <formula>NOT(ISERROR(SEARCH(("Yes"),(P672))))</formula>
    </cfRule>
  </conditionalFormatting>
  <conditionalFormatting sqref="P672:P681 P683:P684 P686 P689 P691">
    <cfRule type="containsText" dxfId="9" priority="4860" operator="containsText" text="No">
      <formula>NOT(ISERROR(SEARCH(("No"),(P672))))</formula>
    </cfRule>
  </conditionalFormatting>
  <conditionalFormatting sqref="P672:P681 P683:P684 P686 P689 P691">
    <cfRule type="containsText" dxfId="2" priority="4861" operator="containsText" text="Yes">
      <formula>NOT(ISERROR(SEARCH(("Yes"),(P672))))</formula>
    </cfRule>
  </conditionalFormatting>
  <conditionalFormatting sqref="P672:P681 P683:P684 P686 P689 P691">
    <cfRule type="containsText" dxfId="9" priority="4862" operator="containsText" text="No">
      <formula>NOT(ISERROR(SEARCH(("No"),(P672))))</formula>
    </cfRule>
  </conditionalFormatting>
  <conditionalFormatting sqref="P672:P681 P683:P684 P686 P689 P691">
    <cfRule type="containsText" dxfId="2" priority="4863" operator="containsText" text="Yes">
      <formula>NOT(ISERROR(SEARCH(("Yes"),(P672))))</formula>
    </cfRule>
  </conditionalFormatting>
  <conditionalFormatting sqref="P672:P681 P683:P684 P686 P689 P691">
    <cfRule type="containsText" dxfId="9" priority="4864" operator="containsText" text="No">
      <formula>NOT(ISERROR(SEARCH(("No"),(P672))))</formula>
    </cfRule>
  </conditionalFormatting>
  <conditionalFormatting sqref="P672:P681 P683:P684 P686 P689 P691">
    <cfRule type="containsText" dxfId="2" priority="4865" operator="containsText" text="Yes">
      <formula>NOT(ISERROR(SEARCH(("Yes"),(P672))))</formula>
    </cfRule>
  </conditionalFormatting>
  <conditionalFormatting sqref="P672:P681 P683:P684 P686 P689 P691">
    <cfRule type="containsText" dxfId="9" priority="4866" operator="containsText" text="No">
      <formula>NOT(ISERROR(SEARCH(("No"),(P672))))</formula>
    </cfRule>
  </conditionalFormatting>
  <conditionalFormatting sqref="P672:P681 P683:P684 P686 P689 P691">
    <cfRule type="containsText" dxfId="2" priority="4867" operator="containsText" text="Yes">
      <formula>NOT(ISERROR(SEARCH(("Yes"),(P672))))</formula>
    </cfRule>
  </conditionalFormatting>
  <conditionalFormatting sqref="P672:P681 P683:P684 P686 P689 P691">
    <cfRule type="containsText" dxfId="9" priority="4868" operator="containsText" text="No">
      <formula>NOT(ISERROR(SEARCH(("No"),(P672))))</formula>
    </cfRule>
  </conditionalFormatting>
  <conditionalFormatting sqref="P672:P681 P683:P684 P686 P689 P691">
    <cfRule type="containsText" dxfId="2" priority="4869" operator="containsText" text="Yes">
      <formula>NOT(ISERROR(SEARCH(("Yes"),(P672))))</formula>
    </cfRule>
  </conditionalFormatting>
  <conditionalFormatting sqref="P672:P681 P683:P684 P686 P689 P691">
    <cfRule type="containsText" dxfId="9" priority="4870" operator="containsText" text="No">
      <formula>NOT(ISERROR(SEARCH(("No"),(P672))))</formula>
    </cfRule>
  </conditionalFormatting>
  <conditionalFormatting sqref="P672:P681 P683:P684 P686 P689 P691">
    <cfRule type="containsText" dxfId="2" priority="4871" operator="containsText" text="Yes">
      <formula>NOT(ISERROR(SEARCH(("Yes"),(P672))))</formula>
    </cfRule>
  </conditionalFormatting>
  <conditionalFormatting sqref="P672:P681 P683:P684 P686 P689 P691">
    <cfRule type="containsText" dxfId="9" priority="4872" operator="containsText" text="No">
      <formula>NOT(ISERROR(SEARCH(("No"),(P672))))</formula>
    </cfRule>
  </conditionalFormatting>
  <conditionalFormatting sqref="P672:P681 P683:P684 P686 P689 P691">
    <cfRule type="containsText" dxfId="2" priority="4873" operator="containsText" text="Yes">
      <formula>NOT(ISERROR(SEARCH(("Yes"),(P672))))</formula>
    </cfRule>
  </conditionalFormatting>
  <conditionalFormatting sqref="P672:P681 P683:P684 P686 P689 P691">
    <cfRule type="containsText" dxfId="9" priority="4874" operator="containsText" text="No">
      <formula>NOT(ISERROR(SEARCH(("No"),(P672))))</formula>
    </cfRule>
  </conditionalFormatting>
  <conditionalFormatting sqref="P672:P681 P683:P684 P686 P689 P691">
    <cfRule type="containsText" dxfId="2" priority="4875" operator="containsText" text="Yes">
      <formula>NOT(ISERROR(SEARCH(("Yes"),(P672))))</formula>
    </cfRule>
  </conditionalFormatting>
  <conditionalFormatting sqref="P672:P681 P683:P684 P686 P689 P691">
    <cfRule type="containsText" dxfId="9" priority="4876" operator="containsText" text="No">
      <formula>NOT(ISERROR(SEARCH(("No"),(P672))))</formula>
    </cfRule>
  </conditionalFormatting>
  <conditionalFormatting sqref="P672:P681 P683:P684 P686 P689 P691">
    <cfRule type="containsText" dxfId="2" priority="4877" operator="containsText" text="Yes">
      <formula>NOT(ISERROR(SEARCH(("Yes"),(P672))))</formula>
    </cfRule>
  </conditionalFormatting>
  <conditionalFormatting sqref="P672:P681 P683:P684 P686 P689 P691">
    <cfRule type="containsText" dxfId="9" priority="4878" operator="containsText" text="No">
      <formula>NOT(ISERROR(SEARCH(("No"),(P672))))</formula>
    </cfRule>
  </conditionalFormatting>
  <conditionalFormatting sqref="P672:P681 P683:P684 P686 P689 P691">
    <cfRule type="containsText" dxfId="2" priority="4879" operator="containsText" text="Yes">
      <formula>NOT(ISERROR(SEARCH(("Yes"),(P672))))</formula>
    </cfRule>
  </conditionalFormatting>
  <conditionalFormatting sqref="P672:P681 P683:P684 P686 P689 P691">
    <cfRule type="containsText" dxfId="9" priority="4880" operator="containsText" text="No">
      <formula>NOT(ISERROR(SEARCH(("No"),(P672))))</formula>
    </cfRule>
  </conditionalFormatting>
  <conditionalFormatting sqref="P672:P681 P683:P684 P686 P689 P691">
    <cfRule type="containsText" dxfId="2" priority="4881" operator="containsText" text="Yes">
      <formula>NOT(ISERROR(SEARCH(("Yes"),(P672))))</formula>
    </cfRule>
  </conditionalFormatting>
  <conditionalFormatting sqref="P672:P681 P683:P684 P686 P689 P691">
    <cfRule type="containsText" dxfId="9" priority="4882" operator="containsText" text="No">
      <formula>NOT(ISERROR(SEARCH(("No"),(P672))))</formula>
    </cfRule>
  </conditionalFormatting>
  <conditionalFormatting sqref="P672:P681 P683:P684 P686 P689 P691">
    <cfRule type="containsText" dxfId="2" priority="4883" operator="containsText" text="Yes">
      <formula>NOT(ISERROR(SEARCH(("Yes"),(P672))))</formula>
    </cfRule>
  </conditionalFormatting>
  <conditionalFormatting sqref="P672:P681 P683:P684 P686 P689 P691">
    <cfRule type="containsText" dxfId="9" priority="4884" operator="containsText" text="No">
      <formula>NOT(ISERROR(SEARCH(("No"),(P672))))</formula>
    </cfRule>
  </conditionalFormatting>
  <conditionalFormatting sqref="P672:P681 P683:P684 P686 P689 P691">
    <cfRule type="containsText" dxfId="2" priority="4885" operator="containsText" text="Yes">
      <formula>NOT(ISERROR(SEARCH(("Yes"),(P672))))</formula>
    </cfRule>
  </conditionalFormatting>
  <conditionalFormatting sqref="P672:P681 P683:P684 P686 P689 P691">
    <cfRule type="containsText" dxfId="9" priority="4886" operator="containsText" text="No">
      <formula>NOT(ISERROR(SEARCH(("No"),(P672))))</formula>
    </cfRule>
  </conditionalFormatting>
  <conditionalFormatting sqref="P672:P681 P683:P684 P686 P689 P691">
    <cfRule type="containsText" dxfId="2" priority="4887" operator="containsText" text="Yes">
      <formula>NOT(ISERROR(SEARCH(("Yes"),(P672))))</formula>
    </cfRule>
  </conditionalFormatting>
  <conditionalFormatting sqref="P672:P681 P683:P684 P686 P689 P691">
    <cfRule type="containsText" dxfId="9" priority="4888" operator="containsText" text="No">
      <formula>NOT(ISERROR(SEARCH(("No"),(P672))))</formula>
    </cfRule>
  </conditionalFormatting>
  <conditionalFormatting sqref="P672:P681 P683:P684 P686 P689 P691">
    <cfRule type="containsText" dxfId="2" priority="4889" operator="containsText" text="Yes">
      <formula>NOT(ISERROR(SEARCH(("Yes"),(P672))))</formula>
    </cfRule>
  </conditionalFormatting>
  <conditionalFormatting sqref="P672:P681 P683:P684 P686 P689 P691">
    <cfRule type="containsText" dxfId="9" priority="4890" operator="containsText" text="No">
      <formula>NOT(ISERROR(SEARCH(("No"),(P672))))</formula>
    </cfRule>
  </conditionalFormatting>
  <conditionalFormatting sqref="P672:P681 P683:P684 P686 P689 P691">
    <cfRule type="containsText" dxfId="2" priority="4891" operator="containsText" text="Yes">
      <formula>NOT(ISERROR(SEARCH(("Yes"),(P672))))</formula>
    </cfRule>
  </conditionalFormatting>
  <conditionalFormatting sqref="P672:P681 P683:P684 P686 P689 P691">
    <cfRule type="containsText" dxfId="9" priority="4892" operator="containsText" text="No">
      <formula>NOT(ISERROR(SEARCH(("No"),(P672))))</formula>
    </cfRule>
  </conditionalFormatting>
  <conditionalFormatting sqref="P672:P681 P683:P684 P686 P689 P691">
    <cfRule type="containsText" dxfId="2" priority="4893" operator="containsText" text="Yes">
      <formula>NOT(ISERROR(SEARCH(("Yes"),(P672))))</formula>
    </cfRule>
  </conditionalFormatting>
  <conditionalFormatting sqref="P672:P681 P683:P684 P686 P689 P691">
    <cfRule type="containsText" dxfId="9" priority="4894" operator="containsText" text="No">
      <formula>NOT(ISERROR(SEARCH(("No"),(P672))))</formula>
    </cfRule>
  </conditionalFormatting>
  <conditionalFormatting sqref="P672:P681 P683:P684 P686 P689 P691">
    <cfRule type="containsText" dxfId="2" priority="4895" operator="containsText" text="Yes">
      <formula>NOT(ISERROR(SEARCH(("Yes"),(P672))))</formula>
    </cfRule>
  </conditionalFormatting>
  <conditionalFormatting sqref="P672:P681 P683:P684 P686 P689 P691">
    <cfRule type="containsText" dxfId="9" priority="4896" operator="containsText" text="No">
      <formula>NOT(ISERROR(SEARCH(("No"),(P672))))</formula>
    </cfRule>
  </conditionalFormatting>
  <conditionalFormatting sqref="P672:P681 P683:P684 P686 P689 P691">
    <cfRule type="containsText" dxfId="2" priority="4897" operator="containsText" text="Yes">
      <formula>NOT(ISERROR(SEARCH(("Yes"),(P672))))</formula>
    </cfRule>
  </conditionalFormatting>
  <conditionalFormatting sqref="P672:P681 P683:P684 P686 P689 P691">
    <cfRule type="containsText" dxfId="9" priority="4898" operator="containsText" text="No">
      <formula>NOT(ISERROR(SEARCH(("No"),(P672))))</formula>
    </cfRule>
  </conditionalFormatting>
  <conditionalFormatting sqref="P672:P681 P683:P684 P686 P689 P691">
    <cfRule type="containsText" dxfId="2" priority="4899" operator="containsText" text="Yes">
      <formula>NOT(ISERROR(SEARCH(("Yes"),(P672))))</formula>
    </cfRule>
  </conditionalFormatting>
  <conditionalFormatting sqref="P672:P681 P683:P684 P686 P689 P691">
    <cfRule type="containsText" dxfId="9" priority="4900" operator="containsText" text="No">
      <formula>NOT(ISERROR(SEARCH(("No"),(P672))))</formula>
    </cfRule>
  </conditionalFormatting>
  <conditionalFormatting sqref="P672:P681 P683:P684 P686 P689 P691">
    <cfRule type="containsText" dxfId="2" priority="4901" operator="containsText" text="Yes">
      <formula>NOT(ISERROR(SEARCH(("Yes"),(P672))))</formula>
    </cfRule>
  </conditionalFormatting>
  <conditionalFormatting sqref="P672:P681 P683:P684 P686 P689 P691">
    <cfRule type="containsText" dxfId="9" priority="4902" operator="containsText" text="No">
      <formula>NOT(ISERROR(SEARCH(("No"),(P672))))</formula>
    </cfRule>
  </conditionalFormatting>
  <conditionalFormatting sqref="P672:P681 P683:P684 P686 P689 P691">
    <cfRule type="containsText" dxfId="2" priority="4903" operator="containsText" text="Yes">
      <formula>NOT(ISERROR(SEARCH(("Yes"),(P672))))</formula>
    </cfRule>
  </conditionalFormatting>
  <conditionalFormatting sqref="P672:P681 P683:P684 P686 P689 P691">
    <cfRule type="containsText" dxfId="9" priority="4904" operator="containsText" text="No">
      <formula>NOT(ISERROR(SEARCH(("No"),(P672))))</formula>
    </cfRule>
  </conditionalFormatting>
  <conditionalFormatting sqref="P672:P681 P683:P684 P686 P689 P691">
    <cfRule type="containsText" dxfId="2" priority="4905" operator="containsText" text="Yes">
      <formula>NOT(ISERROR(SEARCH(("Yes"),(P672))))</formula>
    </cfRule>
  </conditionalFormatting>
  <conditionalFormatting sqref="P672:P681 P683:P684 P686 P689 P691">
    <cfRule type="containsText" dxfId="9" priority="4906" operator="containsText" text="No">
      <formula>NOT(ISERROR(SEARCH(("No"),(P672))))</formula>
    </cfRule>
  </conditionalFormatting>
  <conditionalFormatting sqref="P672:P681 P683:P684 P686 P689 P691">
    <cfRule type="containsText" dxfId="9" priority="4907" operator="containsText" text="No">
      <formula>NOT(ISERROR(SEARCH(("No"),(P672))))</formula>
    </cfRule>
  </conditionalFormatting>
  <conditionalFormatting sqref="P672:P681 P683:P684 P686 P689 P691">
    <cfRule type="containsText" dxfId="2" priority="4908" operator="containsText" text="Yes">
      <formula>NOT(ISERROR(SEARCH(("Yes"),(P672))))</formula>
    </cfRule>
  </conditionalFormatting>
  <conditionalFormatting sqref="P672:P681 P683:P684 P686 P689 P691">
    <cfRule type="containsText" dxfId="2" priority="4909" operator="containsText" text="Yes">
      <formula>NOT(ISERROR(SEARCH(("Yes"),(P672))))</formula>
    </cfRule>
  </conditionalFormatting>
  <conditionalFormatting sqref="P672:P681 P683:P684 P686 P689 P691">
    <cfRule type="containsText" dxfId="9" priority="4910" operator="containsText" text="No">
      <formula>NOT(ISERROR(SEARCH(("No"),(P672))))</formula>
    </cfRule>
  </conditionalFormatting>
  <conditionalFormatting sqref="P672:P681 P683:P684 P686 P689 P691">
    <cfRule type="containsText" dxfId="2" priority="4911" operator="containsText" text="Yes">
      <formula>NOT(ISERROR(SEARCH(("Yes"),(P672))))</formula>
    </cfRule>
  </conditionalFormatting>
  <conditionalFormatting sqref="P672:P681 P683:P684 P686 P689 P691">
    <cfRule type="containsText" dxfId="9" priority="4912" operator="containsText" text="No">
      <formula>NOT(ISERROR(SEARCH(("No"),(P672))))</formula>
    </cfRule>
  </conditionalFormatting>
  <conditionalFormatting sqref="P672:P681 P683:P684 P686 P689 P691">
    <cfRule type="containsText" dxfId="2" priority="4913" operator="containsText" text="Yes">
      <formula>NOT(ISERROR(SEARCH(("Yes"),(P672))))</formula>
    </cfRule>
  </conditionalFormatting>
  <conditionalFormatting sqref="P672:P681 P683:P684 P686 P689 P691">
    <cfRule type="containsText" dxfId="9" priority="4914" operator="containsText" text="No">
      <formula>NOT(ISERROR(SEARCH(("No"),(P672))))</formula>
    </cfRule>
  </conditionalFormatting>
  <conditionalFormatting sqref="P672:P681 P683:P684 P686 P689 P691">
    <cfRule type="containsText" dxfId="2" priority="4915" operator="containsText" text="Yes">
      <formula>NOT(ISERROR(SEARCH(("Yes"),(P672))))</formula>
    </cfRule>
  </conditionalFormatting>
  <conditionalFormatting sqref="P672:P681 P683:P684 P686 P689 P691">
    <cfRule type="containsText" dxfId="9" priority="4916" operator="containsText" text="No">
      <formula>NOT(ISERROR(SEARCH(("No"),(P672))))</formula>
    </cfRule>
  </conditionalFormatting>
  <conditionalFormatting sqref="P672:P681 P683:P684 P686 P689 P691">
    <cfRule type="containsText" dxfId="2" priority="4917" operator="containsText" text="Yes">
      <formula>NOT(ISERROR(SEARCH(("Yes"),(P672))))</formula>
    </cfRule>
  </conditionalFormatting>
  <conditionalFormatting sqref="P672:P681 P683:P684 P686 P689 P691">
    <cfRule type="containsText" dxfId="9" priority="4918" operator="containsText" text="No">
      <formula>NOT(ISERROR(SEARCH(("No"),(P672))))</formula>
    </cfRule>
  </conditionalFormatting>
  <conditionalFormatting sqref="P672:P681 P683:P684 P686 P689 P691">
    <cfRule type="containsText" dxfId="2" priority="4919" operator="containsText" text="Yes">
      <formula>NOT(ISERROR(SEARCH(("Yes"),(P672))))</formula>
    </cfRule>
  </conditionalFormatting>
  <conditionalFormatting sqref="P672:P681 P683:P684 P686 P689 P691">
    <cfRule type="containsText" dxfId="9" priority="4920" operator="containsText" text="No">
      <formula>NOT(ISERROR(SEARCH(("No"),(P672))))</formula>
    </cfRule>
  </conditionalFormatting>
  <conditionalFormatting sqref="P672:P681 P683:P684 P686 P689 P691">
    <cfRule type="containsText" dxfId="2" priority="4921" operator="containsText" text="Yes">
      <formula>NOT(ISERROR(SEARCH(("Yes"),(P672))))</formula>
    </cfRule>
  </conditionalFormatting>
  <conditionalFormatting sqref="P672:P681 P683:P684 P686 P689 P691">
    <cfRule type="containsText" dxfId="9" priority="4922" operator="containsText" text="No">
      <formula>NOT(ISERROR(SEARCH(("No"),(P672))))</formula>
    </cfRule>
  </conditionalFormatting>
  <conditionalFormatting sqref="P672:P681 P683:P684 P686 P689 P691">
    <cfRule type="containsText" dxfId="2" priority="4923" operator="containsText" text="Yes">
      <formula>NOT(ISERROR(SEARCH(("Yes"),(P672))))</formula>
    </cfRule>
  </conditionalFormatting>
  <conditionalFormatting sqref="P672:P681 P683:P684 P686 P689 P691">
    <cfRule type="containsText" dxfId="9" priority="4924" operator="containsText" text="No">
      <formula>NOT(ISERROR(SEARCH(("No"),(P672))))</formula>
    </cfRule>
  </conditionalFormatting>
  <conditionalFormatting sqref="P672:P681 P683:P684 P686 P689 P691">
    <cfRule type="containsText" dxfId="2" priority="4925" operator="containsText" text="Yes">
      <formula>NOT(ISERROR(SEARCH(("Yes"),(P672))))</formula>
    </cfRule>
  </conditionalFormatting>
  <conditionalFormatting sqref="P672:P681 P683:P684 P686 P689 P691">
    <cfRule type="containsText" dxfId="9" priority="4926" operator="containsText" text="No">
      <formula>NOT(ISERROR(SEARCH(("No"),(P672))))</formula>
    </cfRule>
  </conditionalFormatting>
  <conditionalFormatting sqref="P672:P681 P683:P684 P686 P689 P691">
    <cfRule type="containsText" dxfId="2" priority="4927" operator="containsText" text="Yes">
      <formula>NOT(ISERROR(SEARCH(("Yes"),(P672))))</formula>
    </cfRule>
  </conditionalFormatting>
  <conditionalFormatting sqref="P672:P681 P683:P684 P686 P689 P691">
    <cfRule type="containsText" dxfId="9" priority="4928" operator="containsText" text="No">
      <formula>NOT(ISERROR(SEARCH(("No"),(P672))))</formula>
    </cfRule>
  </conditionalFormatting>
  <conditionalFormatting sqref="P672:P681 P683:P684 P686 P689 P691">
    <cfRule type="containsText" dxfId="2" priority="4929" operator="containsText" text="Yes">
      <formula>NOT(ISERROR(SEARCH(("Yes"),(P672))))</formula>
    </cfRule>
  </conditionalFormatting>
  <conditionalFormatting sqref="P672:P681 P683:P684 P686 P689 P691">
    <cfRule type="containsText" dxfId="9" priority="4930" operator="containsText" text="No">
      <formula>NOT(ISERROR(SEARCH(("No"),(P672))))</formula>
    </cfRule>
  </conditionalFormatting>
  <conditionalFormatting sqref="P672:P681 P683:P684 P686 P689 P691">
    <cfRule type="containsText" dxfId="2" priority="4931" operator="containsText" text="Yes">
      <formula>NOT(ISERROR(SEARCH(("Yes"),(P672))))</formula>
    </cfRule>
  </conditionalFormatting>
  <conditionalFormatting sqref="P672:P681 P683:P684 P686 P689 P691">
    <cfRule type="containsText" dxfId="9" priority="4932" operator="containsText" text="No">
      <formula>NOT(ISERROR(SEARCH(("No"),(P672))))</formula>
    </cfRule>
  </conditionalFormatting>
  <conditionalFormatting sqref="P672:P681 P683:P684 P686 P689 P691">
    <cfRule type="containsText" dxfId="2" priority="4933" operator="containsText" text="Yes">
      <formula>NOT(ISERROR(SEARCH(("Yes"),(P672))))</formula>
    </cfRule>
  </conditionalFormatting>
  <conditionalFormatting sqref="P672:P681 P683:P684 P686 P689 P691">
    <cfRule type="containsText" dxfId="9" priority="4934" operator="containsText" text="No">
      <formula>NOT(ISERROR(SEARCH(("No"),(P672))))</formula>
    </cfRule>
  </conditionalFormatting>
  <conditionalFormatting sqref="P672:P681 P683:P684 P686 P689 P691">
    <cfRule type="containsText" dxfId="2" priority="4935" operator="containsText" text="Yes">
      <formula>NOT(ISERROR(SEARCH(("Yes"),(P672))))</formula>
    </cfRule>
  </conditionalFormatting>
  <conditionalFormatting sqref="P672:P681 P683:P684 P686 P689 P691">
    <cfRule type="containsText" dxfId="9" priority="4936" operator="containsText" text="No">
      <formula>NOT(ISERROR(SEARCH(("No"),(P672))))</formula>
    </cfRule>
  </conditionalFormatting>
  <conditionalFormatting sqref="P672:P681 P683:P684 P686 P689 P691">
    <cfRule type="containsText" dxfId="2" priority="4937" operator="containsText" text="Yes">
      <formula>NOT(ISERROR(SEARCH(("Yes"),(P672))))</formula>
    </cfRule>
  </conditionalFormatting>
  <conditionalFormatting sqref="P672:P681 P683:P684 P686 P689 P691">
    <cfRule type="containsText" dxfId="9" priority="4938" operator="containsText" text="No">
      <formula>NOT(ISERROR(SEARCH(("No"),(P672))))</formula>
    </cfRule>
  </conditionalFormatting>
  <conditionalFormatting sqref="P672:P681 P683:P684 P686 P689 P691">
    <cfRule type="containsText" dxfId="2" priority="4939" operator="containsText" text="Yes">
      <formula>NOT(ISERROR(SEARCH(("Yes"),(P672))))</formula>
    </cfRule>
  </conditionalFormatting>
  <conditionalFormatting sqref="P672:P681 P683:P684 P686 P689 P691">
    <cfRule type="containsText" dxfId="9" priority="4940" operator="containsText" text="No">
      <formula>NOT(ISERROR(SEARCH(("No"),(P672))))</formula>
    </cfRule>
  </conditionalFormatting>
  <conditionalFormatting sqref="P672:P681 P683:P684 P686 P689 P691">
    <cfRule type="containsText" dxfId="2" priority="4941" operator="containsText" text="Yes">
      <formula>NOT(ISERROR(SEARCH(("Yes"),(P672))))</formula>
    </cfRule>
  </conditionalFormatting>
  <conditionalFormatting sqref="P672:P681 P683:P684 P686 P689 P691">
    <cfRule type="containsText" dxfId="9" priority="4942" operator="containsText" text="No">
      <formula>NOT(ISERROR(SEARCH(("No"),(P672))))</formula>
    </cfRule>
  </conditionalFormatting>
  <conditionalFormatting sqref="P672:P681 P683:P684 P686 P689 P691">
    <cfRule type="containsText" dxfId="2" priority="4943" operator="containsText" text="Yes">
      <formula>NOT(ISERROR(SEARCH(("Yes"),(P672))))</formula>
    </cfRule>
  </conditionalFormatting>
  <conditionalFormatting sqref="P672:P681 P683:P684 P686 P689 P691">
    <cfRule type="containsText" dxfId="9" priority="4944" operator="containsText" text="No">
      <formula>NOT(ISERROR(SEARCH(("No"),(P672))))</formula>
    </cfRule>
  </conditionalFormatting>
  <conditionalFormatting sqref="P672:P681 P683:P684 P686 P689 P691">
    <cfRule type="containsText" dxfId="2" priority="4945" operator="containsText" text="Yes">
      <formula>NOT(ISERROR(SEARCH(("Yes"),(P672))))</formula>
    </cfRule>
  </conditionalFormatting>
  <conditionalFormatting sqref="P672:P681 P683:P684 P686 P689 P691">
    <cfRule type="containsText" dxfId="9" priority="4946" operator="containsText" text="No">
      <formula>NOT(ISERROR(SEARCH(("No"),(P672))))</formula>
    </cfRule>
  </conditionalFormatting>
  <conditionalFormatting sqref="P672:P681 P683:P684 P686 P689 P691">
    <cfRule type="containsText" dxfId="2" priority="4947" operator="containsText" text="Yes">
      <formula>NOT(ISERROR(SEARCH(("Yes"),(P672))))</formula>
    </cfRule>
  </conditionalFormatting>
  <conditionalFormatting sqref="P672:P681 P683:P684 P686 P689 P691">
    <cfRule type="containsText" dxfId="9" priority="4948" operator="containsText" text="No">
      <formula>NOT(ISERROR(SEARCH(("No"),(P672))))</formula>
    </cfRule>
  </conditionalFormatting>
  <conditionalFormatting sqref="P672:P681 P683:P684 P686 P689 P691">
    <cfRule type="containsText" dxfId="2" priority="4949" operator="containsText" text="Yes">
      <formula>NOT(ISERROR(SEARCH(("Yes"),(P672))))</formula>
    </cfRule>
  </conditionalFormatting>
  <conditionalFormatting sqref="P672:P681 P683:P684 P686 P689 P691">
    <cfRule type="containsText" dxfId="9" priority="4950" operator="containsText" text="No">
      <formula>NOT(ISERROR(SEARCH(("No"),(P672))))</formula>
    </cfRule>
  </conditionalFormatting>
  <conditionalFormatting sqref="P672:P681 P683:P684 P686 P689 P691">
    <cfRule type="containsText" dxfId="2" priority="4951" operator="containsText" text="Yes">
      <formula>NOT(ISERROR(SEARCH(("Yes"),(P672))))</formula>
    </cfRule>
  </conditionalFormatting>
  <conditionalFormatting sqref="P672:P681 P683:P684 P686 P689 P691">
    <cfRule type="containsText" dxfId="9" priority="4952" operator="containsText" text="No">
      <formula>NOT(ISERROR(SEARCH(("No"),(P672))))</formula>
    </cfRule>
  </conditionalFormatting>
  <conditionalFormatting sqref="P672:P681 P683:P684 P686 P689 P691">
    <cfRule type="containsText" dxfId="2" priority="4953" operator="containsText" text="Yes">
      <formula>NOT(ISERROR(SEARCH(("Yes"),(P672))))</formula>
    </cfRule>
  </conditionalFormatting>
  <conditionalFormatting sqref="P672:P681 P683:P684 P686 P689 P691">
    <cfRule type="containsText" dxfId="9" priority="4954" operator="containsText" text="No">
      <formula>NOT(ISERROR(SEARCH(("No"),(P672))))</formula>
    </cfRule>
  </conditionalFormatting>
  <conditionalFormatting sqref="P672:P681 P683:P684 P686 P689 P691">
    <cfRule type="containsText" dxfId="2" priority="4955" operator="containsText" text="Yes">
      <formula>NOT(ISERROR(SEARCH(("Yes"),(P672))))</formula>
    </cfRule>
  </conditionalFormatting>
  <conditionalFormatting sqref="P672:P681 P683:P684 P686 P689 P691">
    <cfRule type="containsText" dxfId="9" priority="4956" operator="containsText" text="No">
      <formula>NOT(ISERROR(SEARCH(("No"),(P672))))</formula>
    </cfRule>
  </conditionalFormatting>
  <conditionalFormatting sqref="P672:P681 P683:P684 P686 P689 P691">
    <cfRule type="containsText" dxfId="2" priority="4957" operator="containsText" text="Yes">
      <formula>NOT(ISERROR(SEARCH(("Yes"),(P672))))</formula>
    </cfRule>
  </conditionalFormatting>
  <conditionalFormatting sqref="P672:P681 P683:P684 P686 P689 P691">
    <cfRule type="containsText" dxfId="9" priority="4958" operator="containsText" text="No">
      <formula>NOT(ISERROR(SEARCH(("No"),(P672))))</formula>
    </cfRule>
  </conditionalFormatting>
  <conditionalFormatting sqref="P672:P681 P683:P684 P686 P689 P691">
    <cfRule type="containsText" dxfId="2" priority="4959" operator="containsText" text="Yes">
      <formula>NOT(ISERROR(SEARCH(("Yes"),(P672))))</formula>
    </cfRule>
  </conditionalFormatting>
  <conditionalFormatting sqref="P672:P681 P683:P684 P686 P689 P691">
    <cfRule type="containsText" dxfId="9" priority="4960" operator="containsText" text="No">
      <formula>NOT(ISERROR(SEARCH(("No"),(P672))))</formula>
    </cfRule>
  </conditionalFormatting>
  <conditionalFormatting sqref="P672:P681 P683:P684 P686 P689 P691">
    <cfRule type="containsText" dxfId="2" priority="4961" operator="containsText" text="Yes">
      <formula>NOT(ISERROR(SEARCH(("Yes"),(P672))))</formula>
    </cfRule>
  </conditionalFormatting>
  <conditionalFormatting sqref="P672:P681 P683:P684 P686 P689 P691">
    <cfRule type="containsText" dxfId="9" priority="4962" operator="containsText" text="No">
      <formula>NOT(ISERROR(SEARCH(("No"),(P672))))</formula>
    </cfRule>
  </conditionalFormatting>
  <conditionalFormatting sqref="P672:P681 P683:P684 P686 P689 P691">
    <cfRule type="containsText" dxfId="2" priority="4963" operator="containsText" text="Yes">
      <formula>NOT(ISERROR(SEARCH(("Yes"),(P672))))</formula>
    </cfRule>
  </conditionalFormatting>
  <conditionalFormatting sqref="P672:P681 P683:P684 P686 P689 P691">
    <cfRule type="containsText" dxfId="9" priority="4964" operator="containsText" text="No">
      <formula>NOT(ISERROR(SEARCH(("No"),(P672))))</formula>
    </cfRule>
  </conditionalFormatting>
  <conditionalFormatting sqref="P672:P681 P683:P684 P686 P689 P691">
    <cfRule type="containsText" dxfId="2" priority="4965" operator="containsText" text="Yes">
      <formula>NOT(ISERROR(SEARCH(("Yes"),(P672))))</formula>
    </cfRule>
  </conditionalFormatting>
  <conditionalFormatting sqref="P672:P681 P683:P684 P686 P689 P691">
    <cfRule type="containsText" dxfId="9" priority="4966" operator="containsText" text="No">
      <formula>NOT(ISERROR(SEARCH(("No"),(P672))))</formula>
    </cfRule>
  </conditionalFormatting>
  <conditionalFormatting sqref="P672:P681 P683:P684 P686 P689 P691">
    <cfRule type="containsText" dxfId="2" priority="4967" operator="containsText" text="Yes">
      <formula>NOT(ISERROR(SEARCH(("Yes"),(P672))))</formula>
    </cfRule>
  </conditionalFormatting>
  <conditionalFormatting sqref="P672:P681 P683:P684 P686 P689 P691">
    <cfRule type="containsText" dxfId="9" priority="4968" operator="containsText" text="No">
      <formula>NOT(ISERROR(SEARCH(("No"),(P672))))</formula>
    </cfRule>
  </conditionalFormatting>
  <conditionalFormatting sqref="P672:P681 P683:P684 P686 P689 P691">
    <cfRule type="containsText" dxfId="2" priority="4969" operator="containsText" text="Yes">
      <formula>NOT(ISERROR(SEARCH(("Yes"),(P672))))</formula>
    </cfRule>
  </conditionalFormatting>
  <conditionalFormatting sqref="P672:P681 P683:P684 P686 P689 P691">
    <cfRule type="containsText" dxfId="9" priority="4970" operator="containsText" text="No">
      <formula>NOT(ISERROR(SEARCH(("No"),(P672))))</formula>
    </cfRule>
  </conditionalFormatting>
  <conditionalFormatting sqref="P672:P681 P683:P684 P686 P689 P691">
    <cfRule type="containsText" dxfId="2" priority="4971" operator="containsText" text="Yes">
      <formula>NOT(ISERROR(SEARCH(("Yes"),(P672))))</formula>
    </cfRule>
  </conditionalFormatting>
  <conditionalFormatting sqref="P672:P681 P683:P684 P686 P689 P691">
    <cfRule type="containsText" dxfId="9" priority="4972" operator="containsText" text="No">
      <formula>NOT(ISERROR(SEARCH(("No"),(P672))))</formula>
    </cfRule>
  </conditionalFormatting>
  <conditionalFormatting sqref="P672:P681 P683:P684 P686 P689 P691">
    <cfRule type="containsText" dxfId="2" priority="4973" operator="containsText" text="Yes">
      <formula>NOT(ISERROR(SEARCH(("Yes"),(P672))))</formula>
    </cfRule>
  </conditionalFormatting>
  <conditionalFormatting sqref="P672:P681 P683:P684 P686 P689 P691">
    <cfRule type="containsText" dxfId="9" priority="4974" operator="containsText" text="No">
      <formula>NOT(ISERROR(SEARCH(("No"),(P672))))</formula>
    </cfRule>
  </conditionalFormatting>
  <conditionalFormatting sqref="P672:P681 P683:P684 P686 P689 P691">
    <cfRule type="containsText" dxfId="2" priority="4975" operator="containsText" text="Yes">
      <formula>NOT(ISERROR(SEARCH(("Yes"),(P672))))</formula>
    </cfRule>
  </conditionalFormatting>
  <conditionalFormatting sqref="P672:P681 P683:P684 P686 P689 P691">
    <cfRule type="containsText" dxfId="9" priority="4976" operator="containsText" text="No">
      <formula>NOT(ISERROR(SEARCH(("No"),(P672))))</formula>
    </cfRule>
  </conditionalFormatting>
  <conditionalFormatting sqref="P672:P681 P683:P684 P686 P689 P691">
    <cfRule type="containsText" dxfId="2" priority="4977" operator="containsText" text="Yes">
      <formula>NOT(ISERROR(SEARCH(("Yes"),(P672))))</formula>
    </cfRule>
  </conditionalFormatting>
  <conditionalFormatting sqref="P672:P681 P683:P684 P686 P689 P691">
    <cfRule type="containsText" dxfId="9" priority="4978" operator="containsText" text="No">
      <formula>NOT(ISERROR(SEARCH(("No"),(P672))))</formula>
    </cfRule>
  </conditionalFormatting>
  <conditionalFormatting sqref="P672:P681 P683:P684 P686 P689 P691">
    <cfRule type="containsText" dxfId="2" priority="4979" operator="containsText" text="Yes">
      <formula>NOT(ISERROR(SEARCH(("Yes"),(P672))))</formula>
    </cfRule>
  </conditionalFormatting>
  <conditionalFormatting sqref="P672:P681 P683:P684 P686 P689 P691">
    <cfRule type="containsText" dxfId="9" priority="4980" operator="containsText" text="No">
      <formula>NOT(ISERROR(SEARCH(("No"),(P672))))</formula>
    </cfRule>
  </conditionalFormatting>
  <conditionalFormatting sqref="P672:P681 P683:P684 P686 P689 P691">
    <cfRule type="containsText" dxfId="2" priority="4981" operator="containsText" text="Yes">
      <formula>NOT(ISERROR(SEARCH(("Yes"),(P672))))</formula>
    </cfRule>
  </conditionalFormatting>
  <conditionalFormatting sqref="P672:P681 P683:P684 P686 P689 P691">
    <cfRule type="containsText" dxfId="9" priority="4982" operator="containsText" text="No">
      <formula>NOT(ISERROR(SEARCH(("No"),(P672))))</formula>
    </cfRule>
  </conditionalFormatting>
  <conditionalFormatting sqref="P672:P681 P683:P684 P686 P689 P691">
    <cfRule type="containsText" dxfId="2" priority="4983" operator="containsText" text="Yes">
      <formula>NOT(ISERROR(SEARCH(("Yes"),(P672))))</formula>
    </cfRule>
  </conditionalFormatting>
  <conditionalFormatting sqref="P672:P681 P683:P684 P686 P689 P691">
    <cfRule type="containsText" dxfId="9" priority="4984" operator="containsText" text="No">
      <formula>NOT(ISERROR(SEARCH(("No"),(P672))))</formula>
    </cfRule>
  </conditionalFormatting>
  <conditionalFormatting sqref="P672:P681 P683:P684 P686 P689 P691">
    <cfRule type="containsText" dxfId="2" priority="4985" operator="containsText" text="Yes">
      <formula>NOT(ISERROR(SEARCH(("Yes"),(P672))))</formula>
    </cfRule>
  </conditionalFormatting>
  <conditionalFormatting sqref="P672:P681 P683:P684 P686 P689 P691">
    <cfRule type="containsText" dxfId="9" priority="4986" operator="containsText" text="No">
      <formula>NOT(ISERROR(SEARCH(("No"),(P672))))</formula>
    </cfRule>
  </conditionalFormatting>
  <conditionalFormatting sqref="P672:P681 P683:P684 P686 P689 P691">
    <cfRule type="containsText" dxfId="2" priority="4987" operator="containsText" text="Yes">
      <formula>NOT(ISERROR(SEARCH(("Yes"),(P672))))</formula>
    </cfRule>
  </conditionalFormatting>
  <conditionalFormatting sqref="P672:P681 P683:P684 P686 P689 P691">
    <cfRule type="containsText" dxfId="9" priority="4988" operator="containsText" text="No">
      <formula>NOT(ISERROR(SEARCH(("No"),(P672))))</formula>
    </cfRule>
  </conditionalFormatting>
  <conditionalFormatting sqref="P672:P681 P683:P684 P686 P689 P691">
    <cfRule type="containsText" dxfId="2" priority="4989" operator="containsText" text="Yes">
      <formula>NOT(ISERROR(SEARCH(("Yes"),(P672))))</formula>
    </cfRule>
  </conditionalFormatting>
  <conditionalFormatting sqref="P672:P681 P683:P684 P686 P689 P691">
    <cfRule type="containsText" dxfId="9" priority="4990" operator="containsText" text="No">
      <formula>NOT(ISERROR(SEARCH(("No"),(P672))))</formula>
    </cfRule>
  </conditionalFormatting>
  <conditionalFormatting sqref="P672:P681 P683:P684 P686 P689 P691">
    <cfRule type="containsText" dxfId="2" priority="4991" operator="containsText" text="Yes">
      <formula>NOT(ISERROR(SEARCH(("Yes"),(P672))))</formula>
    </cfRule>
  </conditionalFormatting>
  <conditionalFormatting sqref="P672:P681 P683:P684 P686 P689 P691">
    <cfRule type="containsText" dxfId="9" priority="4992" operator="containsText" text="No">
      <formula>NOT(ISERROR(SEARCH(("No"),(P672))))</formula>
    </cfRule>
  </conditionalFormatting>
  <conditionalFormatting sqref="P672:P681 P683:P684 P686 P689 P691">
    <cfRule type="containsText" dxfId="2" priority="4993" operator="containsText" text="Yes">
      <formula>NOT(ISERROR(SEARCH(("Yes"),(P672))))</formula>
    </cfRule>
  </conditionalFormatting>
  <conditionalFormatting sqref="P672:P681 P683:P684 P686 P689 P691">
    <cfRule type="containsText" dxfId="9" priority="4994" operator="containsText" text="No">
      <formula>NOT(ISERROR(SEARCH(("No"),(P672))))</formula>
    </cfRule>
  </conditionalFormatting>
  <conditionalFormatting sqref="P672:P681 P683:P684 P686 P689 P691">
    <cfRule type="containsText" dxfId="2" priority="4995" operator="containsText" text="Yes">
      <formula>NOT(ISERROR(SEARCH(("Yes"),(P672))))</formula>
    </cfRule>
  </conditionalFormatting>
  <conditionalFormatting sqref="P672:P681 P683:P684 P686 P689 P691">
    <cfRule type="containsText" dxfId="9" priority="4996" operator="containsText" text="No">
      <formula>NOT(ISERROR(SEARCH(("No"),(P672))))</formula>
    </cfRule>
  </conditionalFormatting>
  <conditionalFormatting sqref="P672:P681 P683:P684 P686 P689 P691">
    <cfRule type="containsText" dxfId="2" priority="4997" operator="containsText" text="Yes">
      <formula>NOT(ISERROR(SEARCH(("Yes"),(P672))))</formula>
    </cfRule>
  </conditionalFormatting>
  <conditionalFormatting sqref="P672:P681 P683:P684 P686 P689 P691">
    <cfRule type="containsText" dxfId="9" priority="4998" operator="containsText" text="No">
      <formula>NOT(ISERROR(SEARCH(("No"),(P672))))</formula>
    </cfRule>
  </conditionalFormatting>
  <conditionalFormatting sqref="P672:P681 P683:P684 P686 P689 P691">
    <cfRule type="containsText" dxfId="2" priority="4999" operator="containsText" text="Yes">
      <formula>NOT(ISERROR(SEARCH(("Yes"),(P672))))</formula>
    </cfRule>
  </conditionalFormatting>
  <conditionalFormatting sqref="P672:P681 P683:P684 P686 P689 P691">
    <cfRule type="containsText" dxfId="9" priority="5000" operator="containsText" text="No">
      <formula>NOT(ISERROR(SEARCH(("No"),(P672))))</formula>
    </cfRule>
  </conditionalFormatting>
  <conditionalFormatting sqref="P672:P681 P683:P684 P686 P689 P691">
    <cfRule type="containsText" dxfId="2" priority="5001" operator="containsText" text="Yes">
      <formula>NOT(ISERROR(SEARCH(("Yes"),(P672))))</formula>
    </cfRule>
  </conditionalFormatting>
  <conditionalFormatting sqref="P672:P681 P683:P684 P686 P689 P691">
    <cfRule type="containsText" dxfId="9" priority="5002" operator="containsText" text="No">
      <formula>NOT(ISERROR(SEARCH(("No"),(P672))))</formula>
    </cfRule>
  </conditionalFormatting>
  <conditionalFormatting sqref="P672:P681 P683:P684 P686 P689 P691">
    <cfRule type="containsText" dxfId="2" priority="5003" operator="containsText" text="Yes">
      <formula>NOT(ISERROR(SEARCH(("Yes"),(P672))))</formula>
    </cfRule>
  </conditionalFormatting>
  <conditionalFormatting sqref="P672:P681 P683:P684 P686 P689 P691">
    <cfRule type="containsText" dxfId="9" priority="5004" operator="containsText" text="No">
      <formula>NOT(ISERROR(SEARCH(("No"),(P672))))</formula>
    </cfRule>
  </conditionalFormatting>
  <conditionalFormatting sqref="P672:P681 P683:P684 P686 P689 P691">
    <cfRule type="containsText" dxfId="2" priority="5005" operator="containsText" text="Yes">
      <formula>NOT(ISERROR(SEARCH(("Yes"),(P672))))</formula>
    </cfRule>
  </conditionalFormatting>
  <conditionalFormatting sqref="P672:P681 P683:P684 P686 P689 P691">
    <cfRule type="containsText" dxfId="9" priority="5006" operator="containsText" text="No">
      <formula>NOT(ISERROR(SEARCH(("No"),(P672))))</formula>
    </cfRule>
  </conditionalFormatting>
  <conditionalFormatting sqref="P672:P681 P683:P684 P686 P689 P691">
    <cfRule type="containsText" dxfId="2" priority="5007" operator="containsText" text="Yes">
      <formula>NOT(ISERROR(SEARCH(("Yes"),(P672))))</formula>
    </cfRule>
  </conditionalFormatting>
  <conditionalFormatting sqref="P672:P681 P683:P684 P686 P689 P691">
    <cfRule type="containsText" dxfId="9" priority="5008" operator="containsText" text="No">
      <formula>NOT(ISERROR(SEARCH(("No"),(P672))))</formula>
    </cfRule>
  </conditionalFormatting>
  <conditionalFormatting sqref="P672:P681 P683:P684 P686 P689 P691">
    <cfRule type="containsText" dxfId="9" priority="5009" operator="containsText" text="No">
      <formula>NOT(ISERROR(SEARCH(("No"),(P672))))</formula>
    </cfRule>
  </conditionalFormatting>
  <conditionalFormatting sqref="P672:P681 P683:P684 P686 P689 P691">
    <cfRule type="containsText" dxfId="9" priority="5010" operator="containsText" text="No">
      <formula>NOT(ISERROR(SEARCH(("No"),(P672))))</formula>
    </cfRule>
  </conditionalFormatting>
  <conditionalFormatting sqref="P672:P681 P683:P684 P686 P689 P691">
    <cfRule type="containsText" dxfId="2" priority="5011" operator="containsText" text="Yes">
      <formula>NOT(ISERROR(SEARCH(("Yes"),(P672))))</formula>
    </cfRule>
  </conditionalFormatting>
  <conditionalFormatting sqref="P672:P681 P683:P684 P686 P689 P691">
    <cfRule type="containsText" dxfId="9" priority="5012" operator="containsText" text="No">
      <formula>NOT(ISERROR(SEARCH(("No"),(P672))))</formula>
    </cfRule>
  </conditionalFormatting>
  <conditionalFormatting sqref="P672:P681 P683:P684 P686 P689 P691">
    <cfRule type="containsText" dxfId="9" priority="5013" operator="containsText" text="No">
      <formula>NOT(ISERROR(SEARCH(("No"),(P672))))</formula>
    </cfRule>
  </conditionalFormatting>
  <conditionalFormatting sqref="P672:P681 P683:P684 P686 P689 P691">
    <cfRule type="containsText" dxfId="9" priority="5014" operator="containsText" text="No">
      <formula>NOT(ISERROR(SEARCH(("No"),(P672))))</formula>
    </cfRule>
  </conditionalFormatting>
  <conditionalFormatting sqref="P672:P681 P683:P684 P686 P689 P691">
    <cfRule type="containsText" dxfId="2" priority="5015" operator="containsText" text="Yes">
      <formula>NOT(ISERROR(SEARCH(("Yes"),(P672))))</formula>
    </cfRule>
  </conditionalFormatting>
  <conditionalFormatting sqref="P672:P681 P683:P684 P686 P689 P691">
    <cfRule type="containsText" dxfId="9" priority="5016" operator="containsText" text="No">
      <formula>NOT(ISERROR(SEARCH(("No"),(P672))))</formula>
    </cfRule>
  </conditionalFormatting>
  <conditionalFormatting sqref="P672:P681 P683:P684 P686 P689 P691">
    <cfRule type="containsText" dxfId="9" priority="5017" operator="containsText" text="No">
      <formula>NOT(ISERROR(SEARCH(("No"),(P672))))</formula>
    </cfRule>
  </conditionalFormatting>
  <conditionalFormatting sqref="P672:P681 P683:P684 P686 P689 P691">
    <cfRule type="containsText" dxfId="9" priority="5018" operator="containsText" text="No">
      <formula>NOT(ISERROR(SEARCH(("No"),(P672))))</formula>
    </cfRule>
  </conditionalFormatting>
  <conditionalFormatting sqref="P672:P681 P683:P684 P686 P689 P691">
    <cfRule type="containsText" dxfId="2" priority="5019" operator="containsText" text="Yes">
      <formula>NOT(ISERROR(SEARCH(("Yes"),(P672))))</formula>
    </cfRule>
  </conditionalFormatting>
  <conditionalFormatting sqref="P672:P681 P683:P684 P686 P689 P691">
    <cfRule type="containsText" dxfId="9" priority="5020" operator="containsText" text="No">
      <formula>NOT(ISERROR(SEARCH(("No"),(P672))))</formula>
    </cfRule>
  </conditionalFormatting>
  <conditionalFormatting sqref="P672:P681 P683:P684 P686 P689 P691">
    <cfRule type="containsText" dxfId="9" priority="5021" operator="containsText" text="No">
      <formula>NOT(ISERROR(SEARCH(("No"),(P672))))</formula>
    </cfRule>
  </conditionalFormatting>
  <conditionalFormatting sqref="P679 P682:P692 U692">
    <cfRule type="containsText" dxfId="2" priority="5022" operator="containsText" text="Yes">
      <formula>NOT(ISERROR(SEARCH(("Yes"),(P679))))</formula>
    </cfRule>
  </conditionalFormatting>
  <conditionalFormatting sqref="P679 P682:P692 U692">
    <cfRule type="containsText" dxfId="2" priority="5023" operator="containsText" text="Yes">
      <formula>NOT(ISERROR(SEARCH(("Yes"),(P679))))</formula>
    </cfRule>
  </conditionalFormatting>
  <conditionalFormatting sqref="P679 P682:P692 U692">
    <cfRule type="containsText" dxfId="9" priority="5024" operator="containsText" text="No">
      <formula>NOT(ISERROR(SEARCH(("No"),(P679))))</formula>
    </cfRule>
  </conditionalFormatting>
  <conditionalFormatting sqref="P679 P682:P692 U692">
    <cfRule type="containsText" dxfId="2" priority="5025" operator="containsText" text="Yes">
      <formula>NOT(ISERROR(SEARCH(("Yes"),(P679))))</formula>
    </cfRule>
  </conditionalFormatting>
  <conditionalFormatting sqref="P679 P682:P692 U692">
    <cfRule type="containsText" dxfId="9" priority="5026" operator="containsText" text="No">
      <formula>NOT(ISERROR(SEARCH(("No"),(P679))))</formula>
    </cfRule>
  </conditionalFormatting>
  <conditionalFormatting sqref="P679 P682:P692 U692">
    <cfRule type="containsText" dxfId="2" priority="5027" operator="containsText" text="Yes">
      <formula>NOT(ISERROR(SEARCH(("Yes"),(P679))))</formula>
    </cfRule>
  </conditionalFormatting>
  <conditionalFormatting sqref="P679 P682:P692 U692">
    <cfRule type="containsText" dxfId="9" priority="5028" operator="containsText" text="No">
      <formula>NOT(ISERROR(SEARCH(("No"),(P679))))</formula>
    </cfRule>
  </conditionalFormatting>
  <conditionalFormatting sqref="P679 P682:P692 U692">
    <cfRule type="containsText" dxfId="2" priority="5029" operator="containsText" text="Yes">
      <formula>NOT(ISERROR(SEARCH(("Yes"),(P679))))</formula>
    </cfRule>
  </conditionalFormatting>
  <conditionalFormatting sqref="P679 P682:P692 U692">
    <cfRule type="containsText" dxfId="9" priority="5030" operator="containsText" text="No">
      <formula>NOT(ISERROR(SEARCH(("No"),(P679))))</formula>
    </cfRule>
  </conditionalFormatting>
  <conditionalFormatting sqref="P679 P682:P692 U692">
    <cfRule type="containsText" dxfId="2" priority="5031" operator="containsText" text="Yes">
      <formula>NOT(ISERROR(SEARCH(("Yes"),(P679))))</formula>
    </cfRule>
  </conditionalFormatting>
  <conditionalFormatting sqref="P679 P682:P692 U692">
    <cfRule type="containsText" dxfId="9" priority="5032" operator="containsText" text="No">
      <formula>NOT(ISERROR(SEARCH(("No"),(P679))))</formula>
    </cfRule>
  </conditionalFormatting>
  <conditionalFormatting sqref="P679 P682:P692 U692">
    <cfRule type="containsText" dxfId="2" priority="5033" operator="containsText" text="Yes">
      <formula>NOT(ISERROR(SEARCH(("Yes"),(P679))))</formula>
    </cfRule>
  </conditionalFormatting>
  <conditionalFormatting sqref="P679 P682:P692 U692">
    <cfRule type="containsText" dxfId="9" priority="5034" operator="containsText" text="No">
      <formula>NOT(ISERROR(SEARCH(("No"),(P679))))</formula>
    </cfRule>
  </conditionalFormatting>
  <conditionalFormatting sqref="P679 P682:P692 U692">
    <cfRule type="containsText" dxfId="2" priority="5035" operator="containsText" text="Yes">
      <formula>NOT(ISERROR(SEARCH(("Yes"),(P679))))</formula>
    </cfRule>
  </conditionalFormatting>
  <conditionalFormatting sqref="P679 P682:P692 U692">
    <cfRule type="containsText" dxfId="9" priority="5036" operator="containsText" text="No">
      <formula>NOT(ISERROR(SEARCH(("No"),(P679))))</formula>
    </cfRule>
  </conditionalFormatting>
  <conditionalFormatting sqref="P679 P682:P692 U692">
    <cfRule type="containsText" dxfId="2" priority="5037" operator="containsText" text="Yes">
      <formula>NOT(ISERROR(SEARCH(("Yes"),(P679))))</formula>
    </cfRule>
  </conditionalFormatting>
  <conditionalFormatting sqref="P679 P682:P692 U692">
    <cfRule type="containsText" dxfId="9" priority="5038" operator="containsText" text="No">
      <formula>NOT(ISERROR(SEARCH(("No"),(P679))))</formula>
    </cfRule>
  </conditionalFormatting>
  <conditionalFormatting sqref="P679 P682:P692 U692">
    <cfRule type="containsText" dxfId="2" priority="5039" operator="containsText" text="Yes">
      <formula>NOT(ISERROR(SEARCH(("Yes"),(P679))))</formula>
    </cfRule>
  </conditionalFormatting>
  <conditionalFormatting sqref="P679 P682:P692 U692">
    <cfRule type="containsText" dxfId="9" priority="5040" operator="containsText" text="No">
      <formula>NOT(ISERROR(SEARCH(("No"),(P679))))</formula>
    </cfRule>
  </conditionalFormatting>
  <conditionalFormatting sqref="P679 P682:P692 U692">
    <cfRule type="containsText" dxfId="2" priority="5041" operator="containsText" text="Yes">
      <formula>NOT(ISERROR(SEARCH(("Yes"),(P679))))</formula>
    </cfRule>
  </conditionalFormatting>
  <conditionalFormatting sqref="P679 P682:P692 U692">
    <cfRule type="containsText" dxfId="9" priority="5042" operator="containsText" text="No">
      <formula>NOT(ISERROR(SEARCH(("No"),(P679))))</formula>
    </cfRule>
  </conditionalFormatting>
  <conditionalFormatting sqref="P679 P682:P692 U692">
    <cfRule type="containsText" dxfId="2" priority="5043" operator="containsText" text="Yes">
      <formula>NOT(ISERROR(SEARCH(("Yes"),(P679))))</formula>
    </cfRule>
  </conditionalFormatting>
  <conditionalFormatting sqref="P679 P682:P692 U692">
    <cfRule type="containsText" dxfId="9" priority="5044" operator="containsText" text="No">
      <formula>NOT(ISERROR(SEARCH(("No"),(P679))))</formula>
    </cfRule>
  </conditionalFormatting>
  <conditionalFormatting sqref="P679 P682:P692 U692">
    <cfRule type="containsText" dxfId="2" priority="5045" operator="containsText" text="Yes">
      <formula>NOT(ISERROR(SEARCH(("Yes"),(P679))))</formula>
    </cfRule>
  </conditionalFormatting>
  <conditionalFormatting sqref="P679 P682:P692 U692">
    <cfRule type="containsText" dxfId="9" priority="5046" operator="containsText" text="No">
      <formula>NOT(ISERROR(SEARCH(("No"),(P679))))</formula>
    </cfRule>
  </conditionalFormatting>
  <conditionalFormatting sqref="P679 P682:P692 U692">
    <cfRule type="containsText" dxfId="2" priority="5047" operator="containsText" text="Yes">
      <formula>NOT(ISERROR(SEARCH(("Yes"),(P679))))</formula>
    </cfRule>
  </conditionalFormatting>
  <conditionalFormatting sqref="P679 P682:P692 U692">
    <cfRule type="containsText" dxfId="9" priority="5048" operator="containsText" text="No">
      <formula>NOT(ISERROR(SEARCH(("No"),(P679))))</formula>
    </cfRule>
  </conditionalFormatting>
  <conditionalFormatting sqref="P679 P682:P692 U692">
    <cfRule type="containsText" dxfId="2" priority="5049" operator="containsText" text="Yes">
      <formula>NOT(ISERROR(SEARCH(("Yes"),(P679))))</formula>
    </cfRule>
  </conditionalFormatting>
  <conditionalFormatting sqref="P679 P682:P692 U692">
    <cfRule type="containsText" dxfId="9" priority="5050" operator="containsText" text="No">
      <formula>NOT(ISERROR(SEARCH(("No"),(P679))))</formula>
    </cfRule>
  </conditionalFormatting>
  <conditionalFormatting sqref="P679 P682:P692 U692">
    <cfRule type="containsText" dxfId="2" priority="5051" operator="containsText" text="Yes">
      <formula>NOT(ISERROR(SEARCH(("Yes"),(P679))))</formula>
    </cfRule>
  </conditionalFormatting>
  <conditionalFormatting sqref="P679 P682:P692 U692">
    <cfRule type="containsText" dxfId="9" priority="5052" operator="containsText" text="No">
      <formula>NOT(ISERROR(SEARCH(("No"),(P679))))</formula>
    </cfRule>
  </conditionalFormatting>
  <conditionalFormatting sqref="P679 P682:P692 U692">
    <cfRule type="containsText" dxfId="2" priority="5053" operator="containsText" text="Yes">
      <formula>NOT(ISERROR(SEARCH(("Yes"),(P679))))</formula>
    </cfRule>
  </conditionalFormatting>
  <conditionalFormatting sqref="P679 P682:P692 U692">
    <cfRule type="containsText" dxfId="9" priority="5054" operator="containsText" text="No">
      <formula>NOT(ISERROR(SEARCH(("No"),(P679))))</formula>
    </cfRule>
  </conditionalFormatting>
  <conditionalFormatting sqref="P679 P682:P692 U692">
    <cfRule type="containsText" dxfId="2" priority="5055" operator="containsText" text="Yes">
      <formula>NOT(ISERROR(SEARCH(("Yes"),(P679))))</formula>
    </cfRule>
  </conditionalFormatting>
  <conditionalFormatting sqref="P679 P682:P692 U692">
    <cfRule type="containsText" dxfId="9" priority="5056" operator="containsText" text="No">
      <formula>NOT(ISERROR(SEARCH(("No"),(P679))))</formula>
    </cfRule>
  </conditionalFormatting>
  <conditionalFormatting sqref="P679 P682:P692 U692">
    <cfRule type="containsText" dxfId="2" priority="5057" operator="containsText" text="Yes">
      <formula>NOT(ISERROR(SEARCH(("Yes"),(P679))))</formula>
    </cfRule>
  </conditionalFormatting>
  <conditionalFormatting sqref="P679 P682:P692 U692">
    <cfRule type="containsText" dxfId="9" priority="5058" operator="containsText" text="No">
      <formula>NOT(ISERROR(SEARCH(("No"),(P679))))</formula>
    </cfRule>
  </conditionalFormatting>
  <conditionalFormatting sqref="P679 P682:P692 U692">
    <cfRule type="containsText" dxfId="2" priority="5059" operator="containsText" text="Yes">
      <formula>NOT(ISERROR(SEARCH(("Yes"),(P679))))</formula>
    </cfRule>
  </conditionalFormatting>
  <conditionalFormatting sqref="P679 P682:P692 U692">
    <cfRule type="containsText" dxfId="9" priority="5060" operator="containsText" text="No">
      <formula>NOT(ISERROR(SEARCH(("No"),(P679))))</formula>
    </cfRule>
  </conditionalFormatting>
  <conditionalFormatting sqref="P679 P682:P692 U692">
    <cfRule type="containsText" dxfId="2" priority="5061" operator="containsText" text="Yes">
      <formula>NOT(ISERROR(SEARCH(("Yes"),(P679))))</formula>
    </cfRule>
  </conditionalFormatting>
  <conditionalFormatting sqref="P679 P682:P692 U692">
    <cfRule type="containsText" dxfId="9" priority="5062" operator="containsText" text="No">
      <formula>NOT(ISERROR(SEARCH(("No"),(P679))))</formula>
    </cfRule>
  </conditionalFormatting>
  <conditionalFormatting sqref="P679 P682:P692 U692">
    <cfRule type="containsText" dxfId="2" priority="5063" operator="containsText" text="Yes">
      <formula>NOT(ISERROR(SEARCH(("Yes"),(P679))))</formula>
    </cfRule>
  </conditionalFormatting>
  <conditionalFormatting sqref="P679 P682:P692 U692">
    <cfRule type="containsText" dxfId="9" priority="5064" operator="containsText" text="No">
      <formula>NOT(ISERROR(SEARCH(("No"),(P679))))</formula>
    </cfRule>
  </conditionalFormatting>
  <conditionalFormatting sqref="P679 P682:P692 U692">
    <cfRule type="containsText" dxfId="2" priority="5065" operator="containsText" text="Yes">
      <formula>NOT(ISERROR(SEARCH(("Yes"),(P679))))</formula>
    </cfRule>
  </conditionalFormatting>
  <conditionalFormatting sqref="P679 P682:P692 U692">
    <cfRule type="containsText" dxfId="9" priority="5066" operator="containsText" text="No">
      <formula>NOT(ISERROR(SEARCH(("No"),(P679))))</formula>
    </cfRule>
  </conditionalFormatting>
  <conditionalFormatting sqref="P679 P682:P692 U692">
    <cfRule type="containsText" dxfId="2" priority="5067" operator="containsText" text="Yes">
      <formula>NOT(ISERROR(SEARCH(("Yes"),(P679))))</formula>
    </cfRule>
  </conditionalFormatting>
  <conditionalFormatting sqref="P679 P682:P692 U692">
    <cfRule type="containsText" dxfId="9" priority="5068" operator="containsText" text="No">
      <formula>NOT(ISERROR(SEARCH(("No"),(P679))))</formula>
    </cfRule>
  </conditionalFormatting>
  <conditionalFormatting sqref="P679 P682:P692 U692">
    <cfRule type="containsText" dxfId="2" priority="5069" operator="containsText" text="Yes">
      <formula>NOT(ISERROR(SEARCH(("Yes"),(P679))))</formula>
    </cfRule>
  </conditionalFormatting>
  <conditionalFormatting sqref="P679 P682:P692 U692">
    <cfRule type="containsText" dxfId="9" priority="5070" operator="containsText" text="No">
      <formula>NOT(ISERROR(SEARCH(("No"),(P679))))</formula>
    </cfRule>
  </conditionalFormatting>
  <conditionalFormatting sqref="P679 P682:P692 U692">
    <cfRule type="containsText" dxfId="2" priority="5071" operator="containsText" text="Yes">
      <formula>NOT(ISERROR(SEARCH(("Yes"),(P679))))</formula>
    </cfRule>
  </conditionalFormatting>
  <conditionalFormatting sqref="P679 P682:P692 U692">
    <cfRule type="containsText" dxfId="9" priority="5072" operator="containsText" text="No">
      <formula>NOT(ISERROR(SEARCH(("No"),(P679))))</formula>
    </cfRule>
  </conditionalFormatting>
  <conditionalFormatting sqref="P679 P682:P692 U692">
    <cfRule type="containsText" dxfId="2" priority="5073" operator="containsText" text="Yes">
      <formula>NOT(ISERROR(SEARCH(("Yes"),(P679))))</formula>
    </cfRule>
  </conditionalFormatting>
  <conditionalFormatting sqref="P679 P682:P692 U692">
    <cfRule type="containsText" dxfId="9" priority="5074" operator="containsText" text="No">
      <formula>NOT(ISERROR(SEARCH(("No"),(P679))))</formula>
    </cfRule>
  </conditionalFormatting>
  <conditionalFormatting sqref="P679 P682:P692 U692">
    <cfRule type="containsText" dxfId="2" priority="5075" operator="containsText" text="Yes">
      <formula>NOT(ISERROR(SEARCH(("Yes"),(P679))))</formula>
    </cfRule>
  </conditionalFormatting>
  <conditionalFormatting sqref="P679 P682:P692 U692">
    <cfRule type="containsText" dxfId="9" priority="5076" operator="containsText" text="No">
      <formula>NOT(ISERROR(SEARCH(("No"),(P679))))</formula>
    </cfRule>
  </conditionalFormatting>
  <conditionalFormatting sqref="P679 P682:P692 U692">
    <cfRule type="containsText" dxfId="2" priority="5077" operator="containsText" text="Yes">
      <formula>NOT(ISERROR(SEARCH(("Yes"),(P679))))</formula>
    </cfRule>
  </conditionalFormatting>
  <conditionalFormatting sqref="P679 P682:P692 U692">
    <cfRule type="containsText" dxfId="9" priority="5078" operator="containsText" text="No">
      <formula>NOT(ISERROR(SEARCH(("No"),(P679))))</formula>
    </cfRule>
  </conditionalFormatting>
  <conditionalFormatting sqref="P679 P682:P692 U692">
    <cfRule type="containsText" dxfId="2" priority="5079" operator="containsText" text="Yes">
      <formula>NOT(ISERROR(SEARCH(("Yes"),(P679))))</formula>
    </cfRule>
  </conditionalFormatting>
  <conditionalFormatting sqref="P679 P682:P692 U692">
    <cfRule type="containsText" dxfId="9" priority="5080" operator="containsText" text="No">
      <formula>NOT(ISERROR(SEARCH(("No"),(P679))))</formula>
    </cfRule>
  </conditionalFormatting>
  <conditionalFormatting sqref="P679 P682:P692 U692">
    <cfRule type="containsText" dxfId="2" priority="5081" operator="containsText" text="Yes">
      <formula>NOT(ISERROR(SEARCH(("Yes"),(P679))))</formula>
    </cfRule>
  </conditionalFormatting>
  <conditionalFormatting sqref="P679 P682:P692 U692">
    <cfRule type="containsText" dxfId="9" priority="5082" operator="containsText" text="No">
      <formula>NOT(ISERROR(SEARCH(("No"),(P679))))</formula>
    </cfRule>
  </conditionalFormatting>
  <conditionalFormatting sqref="P679 P682:P692 U692">
    <cfRule type="containsText" dxfId="2" priority="5083" operator="containsText" text="Yes">
      <formula>NOT(ISERROR(SEARCH(("Yes"),(P679))))</formula>
    </cfRule>
  </conditionalFormatting>
  <conditionalFormatting sqref="P679 P682:P692 U692">
    <cfRule type="containsText" dxfId="9" priority="5084" operator="containsText" text="No">
      <formula>NOT(ISERROR(SEARCH(("No"),(P679))))</formula>
    </cfRule>
  </conditionalFormatting>
  <conditionalFormatting sqref="P679 P682:P692 U692">
    <cfRule type="containsText" dxfId="2" priority="5085" operator="containsText" text="Yes">
      <formula>NOT(ISERROR(SEARCH(("Yes"),(P679))))</formula>
    </cfRule>
  </conditionalFormatting>
  <conditionalFormatting sqref="P679 P682:P692 U692">
    <cfRule type="containsText" dxfId="9" priority="5086" operator="containsText" text="No">
      <formula>NOT(ISERROR(SEARCH(("No"),(P679))))</formula>
    </cfRule>
  </conditionalFormatting>
  <conditionalFormatting sqref="P679 P682:P692 U692">
    <cfRule type="containsText" dxfId="2" priority="5087" operator="containsText" text="Yes">
      <formula>NOT(ISERROR(SEARCH(("Yes"),(P679))))</formula>
    </cfRule>
  </conditionalFormatting>
  <conditionalFormatting sqref="P679 P682:P692 U692">
    <cfRule type="containsText" dxfId="9" priority="5088" operator="containsText" text="No">
      <formula>NOT(ISERROR(SEARCH(("No"),(P679))))</formula>
    </cfRule>
  </conditionalFormatting>
  <conditionalFormatting sqref="P679 P682:P692 U692">
    <cfRule type="containsText" dxfId="2" priority="5089" operator="containsText" text="Yes">
      <formula>NOT(ISERROR(SEARCH(("Yes"),(P679))))</formula>
    </cfRule>
  </conditionalFormatting>
  <conditionalFormatting sqref="P679 P682:P692 U692">
    <cfRule type="containsText" dxfId="9" priority="5090" operator="containsText" text="No">
      <formula>NOT(ISERROR(SEARCH(("No"),(P679))))</formula>
    </cfRule>
  </conditionalFormatting>
  <conditionalFormatting sqref="P679 P682:P692 U692">
    <cfRule type="containsText" dxfId="2" priority="5091" operator="containsText" text="Yes">
      <formula>NOT(ISERROR(SEARCH(("Yes"),(P679))))</formula>
    </cfRule>
  </conditionalFormatting>
  <conditionalFormatting sqref="P679 P682:P692 U692">
    <cfRule type="containsText" dxfId="9" priority="5092" operator="containsText" text="No">
      <formula>NOT(ISERROR(SEARCH(("No"),(P679))))</formula>
    </cfRule>
  </conditionalFormatting>
  <conditionalFormatting sqref="P679 P682:P692 U692">
    <cfRule type="containsText" dxfId="2" priority="5093" operator="containsText" text="Yes">
      <formula>NOT(ISERROR(SEARCH(("Yes"),(P679))))</formula>
    </cfRule>
  </conditionalFormatting>
  <conditionalFormatting sqref="P679 P682:P692 U692">
    <cfRule type="containsText" dxfId="9" priority="5094" operator="containsText" text="No">
      <formula>NOT(ISERROR(SEARCH(("No"),(P679))))</formula>
    </cfRule>
  </conditionalFormatting>
  <conditionalFormatting sqref="P679 P682:P692 U692">
    <cfRule type="containsText" dxfId="2" priority="5095" operator="containsText" text="Yes">
      <formula>NOT(ISERROR(SEARCH(("Yes"),(P679))))</formula>
    </cfRule>
  </conditionalFormatting>
  <conditionalFormatting sqref="P679 P682:P692 U692">
    <cfRule type="containsText" dxfId="9" priority="5096" operator="containsText" text="No">
      <formula>NOT(ISERROR(SEARCH(("No"),(P679))))</formula>
    </cfRule>
  </conditionalFormatting>
  <conditionalFormatting sqref="P679 P682:P692 U692">
    <cfRule type="containsText" dxfId="2" priority="5097" operator="containsText" text="Yes">
      <formula>NOT(ISERROR(SEARCH(("Yes"),(P679))))</formula>
    </cfRule>
  </conditionalFormatting>
  <conditionalFormatting sqref="P679 P682:P692 U692">
    <cfRule type="containsText" dxfId="9" priority="5098" operator="containsText" text="No">
      <formula>NOT(ISERROR(SEARCH(("No"),(P679))))</formula>
    </cfRule>
  </conditionalFormatting>
  <conditionalFormatting sqref="P679 P682:P692 U692">
    <cfRule type="containsText" dxfId="2" priority="5099" operator="containsText" text="Yes">
      <formula>NOT(ISERROR(SEARCH(("Yes"),(P679))))</formula>
    </cfRule>
  </conditionalFormatting>
  <conditionalFormatting sqref="P679 P682:P692 U692">
    <cfRule type="containsText" dxfId="9" priority="5100" operator="containsText" text="No">
      <formula>NOT(ISERROR(SEARCH(("No"),(P679))))</formula>
    </cfRule>
  </conditionalFormatting>
  <conditionalFormatting sqref="P679 P682:P692 U692">
    <cfRule type="containsText" dxfId="2" priority="5101" operator="containsText" text="Yes">
      <formula>NOT(ISERROR(SEARCH(("Yes"),(P679))))</formula>
    </cfRule>
  </conditionalFormatting>
  <conditionalFormatting sqref="P679 P682:P692 U692">
    <cfRule type="containsText" dxfId="9" priority="5102" operator="containsText" text="No">
      <formula>NOT(ISERROR(SEARCH(("No"),(P679))))</formula>
    </cfRule>
  </conditionalFormatting>
  <conditionalFormatting sqref="P679 P682:P692 U692">
    <cfRule type="containsText" dxfId="2" priority="5103" operator="containsText" text="Yes">
      <formula>NOT(ISERROR(SEARCH(("Yes"),(P679))))</formula>
    </cfRule>
  </conditionalFormatting>
  <conditionalFormatting sqref="P679 P682:P692 U692">
    <cfRule type="containsText" dxfId="9" priority="5104" operator="containsText" text="No">
      <formula>NOT(ISERROR(SEARCH(("No"),(P679))))</formula>
    </cfRule>
  </conditionalFormatting>
  <conditionalFormatting sqref="P679 P682:P692 U692">
    <cfRule type="containsText" dxfId="2" priority="5105" operator="containsText" text="Yes">
      <formula>NOT(ISERROR(SEARCH(("Yes"),(P679))))</formula>
    </cfRule>
  </conditionalFormatting>
  <conditionalFormatting sqref="P679 P682:P692 U692">
    <cfRule type="containsText" dxfId="9" priority="5106" operator="containsText" text="No">
      <formula>NOT(ISERROR(SEARCH(("No"),(P679))))</formula>
    </cfRule>
  </conditionalFormatting>
  <conditionalFormatting sqref="P679 P682:P692 U692">
    <cfRule type="containsText" dxfId="2" priority="5107" operator="containsText" text="Yes">
      <formula>NOT(ISERROR(SEARCH(("Yes"),(P679))))</formula>
    </cfRule>
  </conditionalFormatting>
  <conditionalFormatting sqref="P679 P682:P692 U692">
    <cfRule type="containsText" dxfId="9" priority="5108" operator="containsText" text="No">
      <formula>NOT(ISERROR(SEARCH(("No"),(P679))))</formula>
    </cfRule>
  </conditionalFormatting>
  <conditionalFormatting sqref="P679 P682:P692 U692">
    <cfRule type="containsText" dxfId="2" priority="5109" operator="containsText" text="Yes">
      <formula>NOT(ISERROR(SEARCH(("Yes"),(P679))))</formula>
    </cfRule>
  </conditionalFormatting>
  <conditionalFormatting sqref="P679 P682:P692 U692">
    <cfRule type="containsText" dxfId="9" priority="5110" operator="containsText" text="No">
      <formula>NOT(ISERROR(SEARCH(("No"),(P679))))</formula>
    </cfRule>
  </conditionalFormatting>
  <conditionalFormatting sqref="P679 P682:P692 U692">
    <cfRule type="containsText" dxfId="2" priority="5111" operator="containsText" text="Yes">
      <formula>NOT(ISERROR(SEARCH(("Yes"),(P679))))</formula>
    </cfRule>
  </conditionalFormatting>
  <conditionalFormatting sqref="P679 P682:P692 U692">
    <cfRule type="containsText" dxfId="2" priority="5112" operator="containsText" text="Yes">
      <formula>NOT(ISERROR(SEARCH(("Yes"),(P679))))</formula>
    </cfRule>
  </conditionalFormatting>
  <conditionalFormatting sqref="P679">
    <cfRule type="containsText" dxfId="9" priority="5113" operator="containsText" text="No">
      <formula>NOT(ISERROR(SEARCH(("No"),(P679))))</formula>
    </cfRule>
  </conditionalFormatting>
  <conditionalFormatting sqref="P680:P681 P683:P684 P686 P689 P691">
    <cfRule type="containsText" dxfId="9" priority="5114" operator="containsText" text="No">
      <formula>NOT(ISERROR(SEARCH(("No"),(P680))))</formula>
    </cfRule>
  </conditionalFormatting>
  <conditionalFormatting sqref="P680:P681 P683:P684 P686 P689 P691">
    <cfRule type="containsText" dxfId="2" priority="5115" operator="containsText" text="Yes">
      <formula>NOT(ISERROR(SEARCH(("Yes"),(P680))))</formula>
    </cfRule>
  </conditionalFormatting>
  <conditionalFormatting sqref="P680:P681 P683:P684 P686 P689 P691">
    <cfRule type="containsText" dxfId="9" priority="5116" operator="containsText" text="No">
      <formula>NOT(ISERROR(SEARCH(("No"),(P680))))</formula>
    </cfRule>
  </conditionalFormatting>
  <conditionalFormatting sqref="P680:P681 P683:P684 P686 P689 P691">
    <cfRule type="containsText" dxfId="2" priority="5117" operator="containsText" text="Yes">
      <formula>NOT(ISERROR(SEARCH(("Yes"),(P680))))</formula>
    </cfRule>
  </conditionalFormatting>
  <conditionalFormatting sqref="P680:P681 P683:P684 P686 P689 P691">
    <cfRule type="containsText" dxfId="9" priority="5118" operator="containsText" text="No">
      <formula>NOT(ISERROR(SEARCH(("No"),(P680))))</formula>
    </cfRule>
  </conditionalFormatting>
  <conditionalFormatting sqref="P680:P681 P683:P684 P686 P689 P691">
    <cfRule type="containsText" dxfId="2" priority="5119" operator="containsText" text="Yes">
      <formula>NOT(ISERROR(SEARCH(("Yes"),(P680))))</formula>
    </cfRule>
  </conditionalFormatting>
  <conditionalFormatting sqref="P680:P681 P683:P684 P686 P689 P691">
    <cfRule type="containsText" dxfId="9" priority="5120" operator="containsText" text="No">
      <formula>NOT(ISERROR(SEARCH(("No"),(P680))))</formula>
    </cfRule>
  </conditionalFormatting>
  <conditionalFormatting sqref="P680:P681 P683:P684 P686 P689 P691">
    <cfRule type="containsText" dxfId="2" priority="5121" operator="containsText" text="Yes">
      <formula>NOT(ISERROR(SEARCH(("Yes"),(P680))))</formula>
    </cfRule>
  </conditionalFormatting>
  <conditionalFormatting sqref="P680:P681 P683:P684 P686 P689 P691">
    <cfRule type="containsText" dxfId="9" priority="5122" operator="containsText" text="No">
      <formula>NOT(ISERROR(SEARCH(("No"),(P680))))</formula>
    </cfRule>
  </conditionalFormatting>
  <conditionalFormatting sqref="P680:P681 P683:P684 P686 P689 P691">
    <cfRule type="containsText" dxfId="2" priority="5123" operator="containsText" text="Yes">
      <formula>NOT(ISERROR(SEARCH(("Yes"),(P680))))</formula>
    </cfRule>
  </conditionalFormatting>
  <conditionalFormatting sqref="P680:P681 P683:P684 P686 P689 P691">
    <cfRule type="containsText" dxfId="9" priority="5124" operator="containsText" text="No">
      <formula>NOT(ISERROR(SEARCH(("No"),(P680))))</formula>
    </cfRule>
  </conditionalFormatting>
  <conditionalFormatting sqref="P680:P681 P683:P684 P686 P689 P691">
    <cfRule type="containsText" dxfId="2" priority="5125" operator="containsText" text="Yes">
      <formula>NOT(ISERROR(SEARCH(("Yes"),(P680))))</formula>
    </cfRule>
  </conditionalFormatting>
  <conditionalFormatting sqref="P680:P681 P683:P684 P686 P689 P691">
    <cfRule type="containsText" dxfId="9" priority="5126" operator="containsText" text="No">
      <formula>NOT(ISERROR(SEARCH(("No"),(P680))))</formula>
    </cfRule>
  </conditionalFormatting>
  <conditionalFormatting sqref="P680:P681 P683:P684 P686 P689 P691">
    <cfRule type="containsText" dxfId="2" priority="5127" operator="containsText" text="Yes">
      <formula>NOT(ISERROR(SEARCH(("Yes"),(P680))))</formula>
    </cfRule>
  </conditionalFormatting>
  <conditionalFormatting sqref="P680:P681 P683:P684 P686 P689 P691">
    <cfRule type="containsText" dxfId="9" priority="5128" operator="containsText" text="No">
      <formula>NOT(ISERROR(SEARCH(("No"),(P680))))</formula>
    </cfRule>
  </conditionalFormatting>
  <conditionalFormatting sqref="P680:P681 P683:P684 P686 P689 P691">
    <cfRule type="containsText" dxfId="2" priority="5129" operator="containsText" text="Yes">
      <formula>NOT(ISERROR(SEARCH(("Yes"),(P680))))</formula>
    </cfRule>
  </conditionalFormatting>
  <conditionalFormatting sqref="P680:P681 P683:P684 P686 P689 P691">
    <cfRule type="containsText" dxfId="9" priority="5130" operator="containsText" text="No">
      <formula>NOT(ISERROR(SEARCH(("No"),(P680))))</formula>
    </cfRule>
  </conditionalFormatting>
  <conditionalFormatting sqref="P680:P681 P683:P684 P686 P689 P691">
    <cfRule type="containsText" dxfId="2" priority="5131" operator="containsText" text="Yes">
      <formula>NOT(ISERROR(SEARCH(("Yes"),(P680))))</formula>
    </cfRule>
  </conditionalFormatting>
  <conditionalFormatting sqref="P680:P681 P683:P684 P686 P689 P691">
    <cfRule type="containsText" dxfId="9" priority="5132" operator="containsText" text="No">
      <formula>NOT(ISERROR(SEARCH(("No"),(P680))))</formula>
    </cfRule>
  </conditionalFormatting>
  <conditionalFormatting sqref="P680:P681 P683:P684 P686 P689 P691">
    <cfRule type="containsText" dxfId="2" priority="5133" operator="containsText" text="Yes">
      <formula>NOT(ISERROR(SEARCH(("Yes"),(P680))))</formula>
    </cfRule>
  </conditionalFormatting>
  <conditionalFormatting sqref="P680:P681 P683:P684 P686 P689 P691">
    <cfRule type="containsText" dxfId="9" priority="5134" operator="containsText" text="No">
      <formula>NOT(ISERROR(SEARCH(("No"),(P680))))</formula>
    </cfRule>
  </conditionalFormatting>
  <conditionalFormatting sqref="P680:P681 P683:P684 P686 P689 P691">
    <cfRule type="containsText" dxfId="2" priority="5135" operator="containsText" text="Yes">
      <formula>NOT(ISERROR(SEARCH(("Yes"),(P680))))</formula>
    </cfRule>
  </conditionalFormatting>
  <conditionalFormatting sqref="P680:P681 P683:P684 P686 P689 P691">
    <cfRule type="containsText" dxfId="9" priority="5136" operator="containsText" text="No">
      <formula>NOT(ISERROR(SEARCH(("No"),(P680))))</formula>
    </cfRule>
  </conditionalFormatting>
  <conditionalFormatting sqref="P680:P681 P683:P684 P686 P689 P691">
    <cfRule type="containsText" dxfId="2" priority="5137" operator="containsText" text="Yes">
      <formula>NOT(ISERROR(SEARCH(("Yes"),(P680))))</formula>
    </cfRule>
  </conditionalFormatting>
  <conditionalFormatting sqref="P680:P681 P683:P684 P686 P689 P691">
    <cfRule type="containsText" dxfId="9" priority="5138" operator="containsText" text="No">
      <formula>NOT(ISERROR(SEARCH(("No"),(P680))))</formula>
    </cfRule>
  </conditionalFormatting>
  <conditionalFormatting sqref="P680:P681 P683:P684 P686 P689 P691">
    <cfRule type="containsText" dxfId="2" priority="5139" operator="containsText" text="Yes">
      <formula>NOT(ISERROR(SEARCH(("Yes"),(P680))))</formula>
    </cfRule>
  </conditionalFormatting>
  <conditionalFormatting sqref="P680:P681 P683:P684 P686 P689 P691">
    <cfRule type="containsText" dxfId="9" priority="5140" operator="containsText" text="No">
      <formula>NOT(ISERROR(SEARCH(("No"),(P680))))</formula>
    </cfRule>
  </conditionalFormatting>
  <conditionalFormatting sqref="P680:P681 P683:P684 P686 P689 P691">
    <cfRule type="containsText" dxfId="2" priority="5141" operator="containsText" text="Yes">
      <formula>NOT(ISERROR(SEARCH(("Yes"),(P680))))</formula>
    </cfRule>
  </conditionalFormatting>
  <conditionalFormatting sqref="P680:P681 P683:P684 P686 P689 P691">
    <cfRule type="containsText" dxfId="9" priority="5142" operator="containsText" text="No">
      <formula>NOT(ISERROR(SEARCH(("No"),(P680))))</formula>
    </cfRule>
  </conditionalFormatting>
  <conditionalFormatting sqref="P680:P681 P683:P684 P686 P689 P691">
    <cfRule type="containsText" dxfId="2" priority="5143" operator="containsText" text="Yes">
      <formula>NOT(ISERROR(SEARCH(("Yes"),(P680))))</formula>
    </cfRule>
  </conditionalFormatting>
  <conditionalFormatting sqref="P680:P681 P683:P684 P686 P689 P691">
    <cfRule type="containsText" dxfId="9" priority="5144" operator="containsText" text="No">
      <formula>NOT(ISERROR(SEARCH(("No"),(P680))))</formula>
    </cfRule>
  </conditionalFormatting>
  <conditionalFormatting sqref="P680:P681 P683:P684 P686 P689 P691">
    <cfRule type="containsText" dxfId="2" priority="5145" operator="containsText" text="Yes">
      <formula>NOT(ISERROR(SEARCH(("Yes"),(P680))))</formula>
    </cfRule>
  </conditionalFormatting>
  <conditionalFormatting sqref="P680:P681 P683:P684 P686 P689 P691">
    <cfRule type="containsText" dxfId="9" priority="5146" operator="containsText" text="No">
      <formula>NOT(ISERROR(SEARCH(("No"),(P680))))</formula>
    </cfRule>
  </conditionalFormatting>
  <conditionalFormatting sqref="P680:P681 P683:P684 P686 P689 P691">
    <cfRule type="containsText" dxfId="2" priority="5147" operator="containsText" text="Yes">
      <formula>NOT(ISERROR(SEARCH(("Yes"),(P680))))</formula>
    </cfRule>
  </conditionalFormatting>
  <conditionalFormatting sqref="P680:P681 P683:P684 P686 P689 P691">
    <cfRule type="containsText" dxfId="9" priority="5148" operator="containsText" text="No">
      <formula>NOT(ISERROR(SEARCH(("No"),(P680))))</formula>
    </cfRule>
  </conditionalFormatting>
  <conditionalFormatting sqref="P680:P681 P683:P684 P686 P689 P691">
    <cfRule type="containsText" dxfId="2" priority="5149" operator="containsText" text="Yes">
      <formula>NOT(ISERROR(SEARCH(("Yes"),(P680))))</formula>
    </cfRule>
  </conditionalFormatting>
  <conditionalFormatting sqref="P680:P681 P683:P684 P686 P689 P691">
    <cfRule type="containsText" dxfId="9" priority="5150" operator="containsText" text="No">
      <formula>NOT(ISERROR(SEARCH(("No"),(P680))))</formula>
    </cfRule>
  </conditionalFormatting>
  <conditionalFormatting sqref="P680:P681 P683:P684 P686 P689 P691">
    <cfRule type="containsText" dxfId="2" priority="5151" operator="containsText" text="Yes">
      <formula>NOT(ISERROR(SEARCH(("Yes"),(P680))))</formula>
    </cfRule>
  </conditionalFormatting>
  <conditionalFormatting sqref="P680:P681 P683:P684 P686 P689 P691">
    <cfRule type="containsText" dxfId="9" priority="5152" operator="containsText" text="No">
      <formula>NOT(ISERROR(SEARCH(("No"),(P680))))</formula>
    </cfRule>
  </conditionalFormatting>
  <conditionalFormatting sqref="P680:P681 P683:P684 P686 P689 P691">
    <cfRule type="containsText" dxfId="2" priority="5153" operator="containsText" text="Yes">
      <formula>NOT(ISERROR(SEARCH(("Yes"),(P680))))</formula>
    </cfRule>
  </conditionalFormatting>
  <conditionalFormatting sqref="P680:P681 P683:P684 P686 P689 P691">
    <cfRule type="containsText" dxfId="9" priority="5154" operator="containsText" text="No">
      <formula>NOT(ISERROR(SEARCH(("No"),(P680))))</formula>
    </cfRule>
  </conditionalFormatting>
  <conditionalFormatting sqref="P680:P681 P683:P684 P686 P689 P691">
    <cfRule type="containsText" dxfId="2" priority="5155" operator="containsText" text="Yes">
      <formula>NOT(ISERROR(SEARCH(("Yes"),(P680))))</formula>
    </cfRule>
  </conditionalFormatting>
  <conditionalFormatting sqref="P680:P681 P683:P684 P686 P689 P691">
    <cfRule type="containsText" dxfId="9" priority="5156" operator="containsText" text="No">
      <formula>NOT(ISERROR(SEARCH(("No"),(P680))))</formula>
    </cfRule>
  </conditionalFormatting>
  <conditionalFormatting sqref="P680:P681 P683:P684 P686 P689 P691">
    <cfRule type="containsText" dxfId="2" priority="5157" operator="containsText" text="Yes">
      <formula>NOT(ISERROR(SEARCH(("Yes"),(P680))))</formula>
    </cfRule>
  </conditionalFormatting>
  <conditionalFormatting sqref="P680:P681 P683:P684 P686 P689 P691">
    <cfRule type="containsText" dxfId="9" priority="5158" operator="containsText" text="No">
      <formula>NOT(ISERROR(SEARCH(("No"),(P680))))</formula>
    </cfRule>
  </conditionalFormatting>
  <conditionalFormatting sqref="P680:P681 P683:P684 P686 P689 P691">
    <cfRule type="containsText" dxfId="2" priority="5159" operator="containsText" text="Yes">
      <formula>NOT(ISERROR(SEARCH(("Yes"),(P680))))</formula>
    </cfRule>
  </conditionalFormatting>
  <conditionalFormatting sqref="P680:P681 P683:P684 P686 P689 P691">
    <cfRule type="containsText" dxfId="9" priority="5160" operator="containsText" text="No">
      <formula>NOT(ISERROR(SEARCH(("No"),(P680))))</formula>
    </cfRule>
  </conditionalFormatting>
  <conditionalFormatting sqref="P680:P681 P683:P684 P686 P689 P691">
    <cfRule type="containsText" dxfId="2" priority="5161" operator="containsText" text="Yes">
      <formula>NOT(ISERROR(SEARCH(("Yes"),(P680))))</formula>
    </cfRule>
  </conditionalFormatting>
  <conditionalFormatting sqref="P680:P681 P683:P684 P686 P689 P691">
    <cfRule type="containsText" dxfId="9" priority="5162" operator="containsText" text="No">
      <formula>NOT(ISERROR(SEARCH(("No"),(P680))))</formula>
    </cfRule>
  </conditionalFormatting>
  <conditionalFormatting sqref="P680:P681 P683:P684 P686 P689 P691">
    <cfRule type="containsText" dxfId="2" priority="5163" operator="containsText" text="Yes">
      <formula>NOT(ISERROR(SEARCH(("Yes"),(P680))))</formula>
    </cfRule>
  </conditionalFormatting>
  <conditionalFormatting sqref="P680:P681 P683:P684 P686 P689 P691">
    <cfRule type="containsText" dxfId="9" priority="5164" operator="containsText" text="No">
      <formula>NOT(ISERROR(SEARCH(("No"),(P680))))</formula>
    </cfRule>
  </conditionalFormatting>
  <conditionalFormatting sqref="P680:P681 P683:P684 P686 P689 P691">
    <cfRule type="containsText" dxfId="2" priority="5165" operator="containsText" text="Yes">
      <formula>NOT(ISERROR(SEARCH(("Yes"),(P680))))</formula>
    </cfRule>
  </conditionalFormatting>
  <conditionalFormatting sqref="P680:P681 P683:P684 P686 P689 P691">
    <cfRule type="containsText" dxfId="9" priority="5166" operator="containsText" text="No">
      <formula>NOT(ISERROR(SEARCH(("No"),(P680))))</formula>
    </cfRule>
  </conditionalFormatting>
  <conditionalFormatting sqref="P680:P681 P683:P684 P686 P689 P691">
    <cfRule type="containsText" dxfId="2" priority="5167" operator="containsText" text="Yes">
      <formula>NOT(ISERROR(SEARCH(("Yes"),(P680))))</formula>
    </cfRule>
  </conditionalFormatting>
  <conditionalFormatting sqref="P680:P681 P683:P684 P686 P689 P691">
    <cfRule type="containsText" dxfId="9" priority="5168" operator="containsText" text="No">
      <formula>NOT(ISERROR(SEARCH(("No"),(P680))))</formula>
    </cfRule>
  </conditionalFormatting>
  <conditionalFormatting sqref="P680:P681 P683:P684 P686 P689 P691">
    <cfRule type="containsText" dxfId="2" priority="5169" operator="containsText" text="Yes">
      <formula>NOT(ISERROR(SEARCH(("Yes"),(P680))))</formula>
    </cfRule>
  </conditionalFormatting>
  <conditionalFormatting sqref="P680:P681 P683:P684 P686 P689 P691">
    <cfRule type="containsText" dxfId="9" priority="5170" operator="containsText" text="No">
      <formula>NOT(ISERROR(SEARCH(("No"),(P680))))</formula>
    </cfRule>
  </conditionalFormatting>
  <conditionalFormatting sqref="P680:P681 P683:P684 P686 P689 P691">
    <cfRule type="containsText" dxfId="2" priority="5171" operator="containsText" text="Yes">
      <formula>NOT(ISERROR(SEARCH(("Yes"),(P680))))</formula>
    </cfRule>
  </conditionalFormatting>
  <conditionalFormatting sqref="P680:P681 P683:P684 P686 P689 P691">
    <cfRule type="containsText" dxfId="9" priority="5172" operator="containsText" text="No">
      <formula>NOT(ISERROR(SEARCH(("No"),(P680))))</formula>
    </cfRule>
  </conditionalFormatting>
  <conditionalFormatting sqref="P680:P681 P683:P684 P686 P689 P691">
    <cfRule type="containsText" dxfId="2" priority="5173" operator="containsText" text="Yes">
      <formula>NOT(ISERROR(SEARCH(("Yes"),(P680))))</formula>
    </cfRule>
  </conditionalFormatting>
  <conditionalFormatting sqref="P680:P681 P683:P684 P686 P689 P691">
    <cfRule type="containsText" dxfId="9" priority="5174" operator="containsText" text="No">
      <formula>NOT(ISERROR(SEARCH(("No"),(P680))))</formula>
    </cfRule>
  </conditionalFormatting>
  <conditionalFormatting sqref="P680:P681 P683:P684 P686 P689 P691">
    <cfRule type="containsText" dxfId="2" priority="5175" operator="containsText" text="Yes">
      <formula>NOT(ISERROR(SEARCH(("Yes"),(P680))))</formula>
    </cfRule>
  </conditionalFormatting>
  <conditionalFormatting sqref="P680:P681 P683:P684 P686 P689 P691">
    <cfRule type="containsText" dxfId="9" priority="5176" operator="containsText" text="No">
      <formula>NOT(ISERROR(SEARCH(("No"),(P680))))</formula>
    </cfRule>
  </conditionalFormatting>
  <conditionalFormatting sqref="P680:P681 P683:P684 P686 P689 P691">
    <cfRule type="containsText" dxfId="2" priority="5177" operator="containsText" text="Yes">
      <formula>NOT(ISERROR(SEARCH(("Yes"),(P680))))</formula>
    </cfRule>
  </conditionalFormatting>
  <conditionalFormatting sqref="P680:P681 P683:P684 P686 P689 P691">
    <cfRule type="containsText" dxfId="9" priority="5178" operator="containsText" text="No">
      <formula>NOT(ISERROR(SEARCH(("No"),(P680))))</formula>
    </cfRule>
  </conditionalFormatting>
  <conditionalFormatting sqref="P680:P681 P683:P684 P686 P689 P691">
    <cfRule type="containsText" dxfId="2" priority="5179" operator="containsText" text="Yes">
      <formula>NOT(ISERROR(SEARCH(("Yes"),(P680))))</formula>
    </cfRule>
  </conditionalFormatting>
  <conditionalFormatting sqref="P680:P681 P683:P684 P686 P689 P691">
    <cfRule type="containsText" dxfId="9" priority="5180" operator="containsText" text="No">
      <formula>NOT(ISERROR(SEARCH(("No"),(P680))))</formula>
    </cfRule>
  </conditionalFormatting>
  <conditionalFormatting sqref="P680:P681 P683:P684 P686 P689 P691">
    <cfRule type="containsText" dxfId="2" priority="5181" operator="containsText" text="Yes">
      <formula>NOT(ISERROR(SEARCH(("Yes"),(P680))))</formula>
    </cfRule>
  </conditionalFormatting>
  <conditionalFormatting sqref="P680:P681 P683:P684 P686 P689 P691">
    <cfRule type="containsText" dxfId="9" priority="5182" operator="containsText" text="No">
      <formula>NOT(ISERROR(SEARCH(("No"),(P680))))</formula>
    </cfRule>
  </conditionalFormatting>
  <conditionalFormatting sqref="P680:P681 P683:P684 P686 P689 P691">
    <cfRule type="containsText" dxfId="2" priority="5183" operator="containsText" text="Yes">
      <formula>NOT(ISERROR(SEARCH(("Yes"),(P680))))</formula>
    </cfRule>
  </conditionalFormatting>
  <conditionalFormatting sqref="P680:P681 P683:P684 P686 P689 P691">
    <cfRule type="containsText" dxfId="9" priority="5184" operator="containsText" text="No">
      <formula>NOT(ISERROR(SEARCH(("No"),(P680))))</formula>
    </cfRule>
  </conditionalFormatting>
  <conditionalFormatting sqref="P680:P681 P683:P684 P686 P689 P691">
    <cfRule type="containsText" dxfId="2" priority="5185" operator="containsText" text="Yes">
      <formula>NOT(ISERROR(SEARCH(("Yes"),(P680))))</formula>
    </cfRule>
  </conditionalFormatting>
  <conditionalFormatting sqref="P680:P681 P683:P684 P686 P689 P691">
    <cfRule type="containsText" dxfId="9" priority="5186" operator="containsText" text="No">
      <formula>NOT(ISERROR(SEARCH(("No"),(P680))))</formula>
    </cfRule>
  </conditionalFormatting>
  <conditionalFormatting sqref="P680:P681 P683:P684 P686 P689 P691">
    <cfRule type="containsText" dxfId="2" priority="5187" operator="containsText" text="Yes">
      <formula>NOT(ISERROR(SEARCH(("Yes"),(P680))))</formula>
    </cfRule>
  </conditionalFormatting>
  <conditionalFormatting sqref="P680:P681 P683:P684 P686 P689 P691">
    <cfRule type="containsText" dxfId="9" priority="5188" operator="containsText" text="No">
      <formula>NOT(ISERROR(SEARCH(("No"),(P680))))</formula>
    </cfRule>
  </conditionalFormatting>
  <conditionalFormatting sqref="P680:P681 P683:P684 P686 P689 P691">
    <cfRule type="containsText" dxfId="2" priority="5189" operator="containsText" text="Yes">
      <formula>NOT(ISERROR(SEARCH(("Yes"),(P680))))</formula>
    </cfRule>
  </conditionalFormatting>
  <conditionalFormatting sqref="P680:P681 P683:P684 P686 P689 P691">
    <cfRule type="containsText" dxfId="9" priority="5190" operator="containsText" text="No">
      <formula>NOT(ISERROR(SEARCH(("No"),(P680))))</formula>
    </cfRule>
  </conditionalFormatting>
  <conditionalFormatting sqref="P680:P681 P683:P684 P686 P689 P691">
    <cfRule type="containsText" dxfId="2" priority="5191" operator="containsText" text="Yes">
      <formula>NOT(ISERROR(SEARCH(("Yes"),(P680))))</formula>
    </cfRule>
  </conditionalFormatting>
  <conditionalFormatting sqref="P680:P681 P683:P684 P686 P689 P691">
    <cfRule type="containsText" dxfId="9" priority="5192" operator="containsText" text="No">
      <formula>NOT(ISERROR(SEARCH(("No"),(P680))))</formula>
    </cfRule>
  </conditionalFormatting>
  <conditionalFormatting sqref="P680:P681 P683:P684 P686 P689 P691">
    <cfRule type="containsText" dxfId="2" priority="5193" operator="containsText" text="Yes">
      <formula>NOT(ISERROR(SEARCH(("Yes"),(P680))))</formula>
    </cfRule>
  </conditionalFormatting>
  <conditionalFormatting sqref="P680:P681 P683:P684 P686 P689 P691">
    <cfRule type="containsText" dxfId="9" priority="5194" operator="containsText" text="No">
      <formula>NOT(ISERROR(SEARCH(("No"),(P680))))</formula>
    </cfRule>
  </conditionalFormatting>
  <conditionalFormatting sqref="P680:P681 P683:P684 P686 P689 P691">
    <cfRule type="containsText" dxfId="2" priority="5195" operator="containsText" text="Yes">
      <formula>NOT(ISERROR(SEARCH(("Yes"),(P680))))</formula>
    </cfRule>
  </conditionalFormatting>
  <conditionalFormatting sqref="P680:P681 P683:P684 P686 P689 P691">
    <cfRule type="containsText" dxfId="9" priority="5196" operator="containsText" text="No">
      <formula>NOT(ISERROR(SEARCH(("No"),(P680))))</formula>
    </cfRule>
  </conditionalFormatting>
  <conditionalFormatting sqref="P680:P681 P683:P684 P686 P689 P691">
    <cfRule type="containsText" dxfId="2" priority="5197" operator="containsText" text="Yes">
      <formula>NOT(ISERROR(SEARCH(("Yes"),(P680))))</formula>
    </cfRule>
  </conditionalFormatting>
  <conditionalFormatting sqref="P680:P681 P683:P684 P686 P689 P691">
    <cfRule type="containsText" dxfId="9" priority="5198" operator="containsText" text="No">
      <formula>NOT(ISERROR(SEARCH(("No"),(P680))))</formula>
    </cfRule>
  </conditionalFormatting>
  <conditionalFormatting sqref="P680:P681 P683:P684 P686 P689 P691">
    <cfRule type="containsText" dxfId="2" priority="5199" operator="containsText" text="Yes">
      <formula>NOT(ISERROR(SEARCH(("Yes"),(P680))))</formula>
    </cfRule>
  </conditionalFormatting>
  <conditionalFormatting sqref="P680:P681 P683:P684 P686 P689 P691">
    <cfRule type="containsText" dxfId="9" priority="5200" operator="containsText" text="No">
      <formula>NOT(ISERROR(SEARCH(("No"),(P680))))</formula>
    </cfRule>
  </conditionalFormatting>
  <conditionalFormatting sqref="P680:P681 P683:P684 P686 P689 P691">
    <cfRule type="containsText" dxfId="2" priority="5201" operator="containsText" text="Yes">
      <formula>NOT(ISERROR(SEARCH(("Yes"),(P680))))</formula>
    </cfRule>
  </conditionalFormatting>
  <conditionalFormatting sqref="P680:P681 P683:P684 P686 P689 P691">
    <cfRule type="containsText" dxfId="9" priority="5202" operator="containsText" text="No">
      <formula>NOT(ISERROR(SEARCH(("No"),(P680))))</formula>
    </cfRule>
  </conditionalFormatting>
  <conditionalFormatting sqref="P680:P681 P683:P684 P686 P689 P691">
    <cfRule type="containsText" dxfId="2" priority="5203" operator="containsText" text="Yes">
      <formula>NOT(ISERROR(SEARCH(("Yes"),(P680))))</formula>
    </cfRule>
  </conditionalFormatting>
  <conditionalFormatting sqref="P680:P681 P683:P684 P686 P689 P691">
    <cfRule type="containsText" dxfId="9" priority="5204" operator="containsText" text="No">
      <formula>NOT(ISERROR(SEARCH(("No"),(P680))))</formula>
    </cfRule>
  </conditionalFormatting>
  <conditionalFormatting sqref="P680:P681 P683:P684 P686 P689 P691">
    <cfRule type="containsText" dxfId="2" priority="5205" operator="containsText" text="Yes">
      <formula>NOT(ISERROR(SEARCH(("Yes"),(P680))))</formula>
    </cfRule>
  </conditionalFormatting>
  <conditionalFormatting sqref="P680:P681 P683:P684 P686 P689 P691">
    <cfRule type="containsText" dxfId="9" priority="5206" operator="containsText" text="No">
      <formula>NOT(ISERROR(SEARCH(("No"),(P680))))</formula>
    </cfRule>
  </conditionalFormatting>
  <conditionalFormatting sqref="P680:P681 P683:P684 P686 P689 P691">
    <cfRule type="containsText" dxfId="2" priority="5207" operator="containsText" text="Yes">
      <formula>NOT(ISERROR(SEARCH(("Yes"),(P680))))</formula>
    </cfRule>
  </conditionalFormatting>
  <conditionalFormatting sqref="P680:P681 P683:P684 P686 P689 P691">
    <cfRule type="containsText" dxfId="9" priority="5208" operator="containsText" text="No">
      <formula>NOT(ISERROR(SEARCH(("No"),(P680))))</formula>
    </cfRule>
  </conditionalFormatting>
  <conditionalFormatting sqref="P680:P681 P683:P684 P686 P689 P691">
    <cfRule type="containsText" dxfId="2" priority="5209" operator="containsText" text="Yes">
      <formula>NOT(ISERROR(SEARCH(("Yes"),(P680))))</formula>
    </cfRule>
  </conditionalFormatting>
  <conditionalFormatting sqref="P680:P681 P683:P684 P686 P689 P691">
    <cfRule type="containsText" dxfId="9" priority="5210" operator="containsText" text="No">
      <formula>NOT(ISERROR(SEARCH(("No"),(P680))))</formula>
    </cfRule>
  </conditionalFormatting>
  <conditionalFormatting sqref="P680:P681 P683:P684 P686 P689 P691">
    <cfRule type="containsText" dxfId="2" priority="5211" operator="containsText" text="Yes">
      <formula>NOT(ISERROR(SEARCH(("Yes"),(P680))))</formula>
    </cfRule>
  </conditionalFormatting>
  <conditionalFormatting sqref="P680:P681 P683:P684 P686 P689 P691">
    <cfRule type="containsText" dxfId="9" priority="5212" operator="containsText" text="No">
      <formula>NOT(ISERROR(SEARCH(("No"),(P680))))</formula>
    </cfRule>
  </conditionalFormatting>
  <conditionalFormatting sqref="P680:P681 P683:P684 P686 P689 P691">
    <cfRule type="containsText" dxfId="2" priority="5213" operator="containsText" text="Yes">
      <formula>NOT(ISERROR(SEARCH(("Yes"),(P680))))</formula>
    </cfRule>
  </conditionalFormatting>
  <conditionalFormatting sqref="P680:P681 P683:P684 P686 P689 P691">
    <cfRule type="containsText" dxfId="9" priority="5214" operator="containsText" text="No">
      <formula>NOT(ISERROR(SEARCH(("No"),(P680))))</formula>
    </cfRule>
  </conditionalFormatting>
  <conditionalFormatting sqref="P680:P681 P683:P684 P686 P689 P691">
    <cfRule type="containsText" dxfId="2" priority="5215" operator="containsText" text="Yes">
      <formula>NOT(ISERROR(SEARCH(("Yes"),(P680))))</formula>
    </cfRule>
  </conditionalFormatting>
  <conditionalFormatting sqref="P680:P681 P683:P684 P686 P689 P691">
    <cfRule type="containsText" dxfId="9" priority="5216" operator="containsText" text="No">
      <formula>NOT(ISERROR(SEARCH(("No"),(P680))))</formula>
    </cfRule>
  </conditionalFormatting>
  <conditionalFormatting sqref="P680:P681 P683:P684 P686 P689 P691">
    <cfRule type="containsText" dxfId="2" priority="5217" operator="containsText" text="Yes">
      <formula>NOT(ISERROR(SEARCH(("Yes"),(P680))))</formula>
    </cfRule>
  </conditionalFormatting>
  <conditionalFormatting sqref="P680:P681 P683:P684 P686 P689 P691">
    <cfRule type="containsText" dxfId="9" priority="5218" operator="containsText" text="No">
      <formula>NOT(ISERROR(SEARCH(("No"),(P680))))</formula>
    </cfRule>
  </conditionalFormatting>
  <conditionalFormatting sqref="P680:P681 P683:P684 P686 P689 P691">
    <cfRule type="containsText" dxfId="2" priority="5219" operator="containsText" text="Yes">
      <formula>NOT(ISERROR(SEARCH(("Yes"),(P680))))</formula>
    </cfRule>
  </conditionalFormatting>
  <conditionalFormatting sqref="P680:P681 P683:P684 P686 P689 P691">
    <cfRule type="containsText" dxfId="9" priority="5220" operator="containsText" text="No">
      <formula>NOT(ISERROR(SEARCH(("No"),(P680))))</formula>
    </cfRule>
  </conditionalFormatting>
  <conditionalFormatting sqref="P680:P681 P683:P684 P686 P689 P691">
    <cfRule type="containsText" dxfId="2" priority="5221" operator="containsText" text="Yes">
      <formula>NOT(ISERROR(SEARCH(("Yes"),(P680))))</formula>
    </cfRule>
  </conditionalFormatting>
  <conditionalFormatting sqref="P680:P681 P683:P684 P686 P689 P691">
    <cfRule type="containsText" dxfId="9" priority="5222" operator="containsText" text="No">
      <formula>NOT(ISERROR(SEARCH(("No"),(P680))))</formula>
    </cfRule>
  </conditionalFormatting>
  <conditionalFormatting sqref="P680:P681 P683:P684 P686 P689 P691">
    <cfRule type="containsText" dxfId="2" priority="5223" operator="containsText" text="Yes">
      <formula>NOT(ISERROR(SEARCH(("Yes"),(P680))))</formula>
    </cfRule>
  </conditionalFormatting>
  <conditionalFormatting sqref="P680:P681 P683:P684 P686 P689 P691">
    <cfRule type="containsText" dxfId="9" priority="5224" operator="containsText" text="No">
      <formula>NOT(ISERROR(SEARCH(("No"),(P680))))</formula>
    </cfRule>
  </conditionalFormatting>
  <conditionalFormatting sqref="P680:P681 P683:P684 P686 P689 P691">
    <cfRule type="containsText" dxfId="2" priority="5225" operator="containsText" text="Yes">
      <formula>NOT(ISERROR(SEARCH(("Yes"),(P680))))</formula>
    </cfRule>
  </conditionalFormatting>
  <conditionalFormatting sqref="P680:P681 P683:P684 P686 P689 P691">
    <cfRule type="containsText" dxfId="9" priority="5226" operator="containsText" text="No">
      <formula>NOT(ISERROR(SEARCH(("No"),(P680))))</formula>
    </cfRule>
  </conditionalFormatting>
  <conditionalFormatting sqref="P680:P681 P683:P684 P686 P689 P691">
    <cfRule type="containsText" dxfId="2" priority="5227" operator="containsText" text="Yes">
      <formula>NOT(ISERROR(SEARCH(("Yes"),(P680))))</formula>
    </cfRule>
  </conditionalFormatting>
  <conditionalFormatting sqref="P680:P681 P683:P684 P686 P689 P691">
    <cfRule type="containsText" dxfId="9" priority="5228" operator="containsText" text="No">
      <formula>NOT(ISERROR(SEARCH(("No"),(P680))))</formula>
    </cfRule>
  </conditionalFormatting>
  <conditionalFormatting sqref="P680:P681 P683:P684 P686 P689 P691">
    <cfRule type="containsText" dxfId="2" priority="5229" operator="containsText" text="Yes">
      <formula>NOT(ISERROR(SEARCH(("Yes"),(P680))))</formula>
    </cfRule>
  </conditionalFormatting>
  <conditionalFormatting sqref="P680:P681 P683:P684 P686 P689 P691">
    <cfRule type="containsText" dxfId="9" priority="5230" operator="containsText" text="No">
      <formula>NOT(ISERROR(SEARCH(("No"),(P680))))</formula>
    </cfRule>
  </conditionalFormatting>
  <conditionalFormatting sqref="P680:P681 P683:P684 P686 P689 P691">
    <cfRule type="containsText" dxfId="2" priority="5231" operator="containsText" text="Yes">
      <formula>NOT(ISERROR(SEARCH(("Yes"),(P680))))</formula>
    </cfRule>
  </conditionalFormatting>
  <conditionalFormatting sqref="P680:P681 P683:P684 P686 P689 P691">
    <cfRule type="containsText" dxfId="9" priority="5232" operator="containsText" text="No">
      <formula>NOT(ISERROR(SEARCH(("No"),(P680))))</formula>
    </cfRule>
  </conditionalFormatting>
  <conditionalFormatting sqref="P680:P681 P683:P684 P686 P689 P691">
    <cfRule type="containsText" dxfId="2" priority="5233" operator="containsText" text="Yes">
      <formula>NOT(ISERROR(SEARCH(("Yes"),(P680))))</formula>
    </cfRule>
  </conditionalFormatting>
  <conditionalFormatting sqref="P680:P681 P683:P684 P686 P689 P691">
    <cfRule type="containsText" dxfId="9" priority="5234" operator="containsText" text="No">
      <formula>NOT(ISERROR(SEARCH(("No"),(P680))))</formula>
    </cfRule>
  </conditionalFormatting>
  <conditionalFormatting sqref="P680:P681 P683:P684 P686 P689 P691">
    <cfRule type="containsText" dxfId="2" priority="5235" operator="containsText" text="Yes">
      <formula>NOT(ISERROR(SEARCH(("Yes"),(P680))))</formula>
    </cfRule>
  </conditionalFormatting>
  <conditionalFormatting sqref="P680:P681 P683:P684 P686 P689 P691">
    <cfRule type="containsText" dxfId="9" priority="5236" operator="containsText" text="No">
      <formula>NOT(ISERROR(SEARCH(("No"),(P680))))</formula>
    </cfRule>
  </conditionalFormatting>
  <conditionalFormatting sqref="P680:P681 P683:P684 P686 P689 P691">
    <cfRule type="containsText" dxfId="2" priority="5237" operator="containsText" text="Yes">
      <formula>NOT(ISERROR(SEARCH(("Yes"),(P680))))</formula>
    </cfRule>
  </conditionalFormatting>
  <conditionalFormatting sqref="P680:P681 P683:P684 P686 P689 P691">
    <cfRule type="containsText" dxfId="9" priority="5238" operator="containsText" text="No">
      <formula>NOT(ISERROR(SEARCH(("No"),(P680))))</formula>
    </cfRule>
  </conditionalFormatting>
  <conditionalFormatting sqref="P680:P681 P683:P684 P686 P689 P691">
    <cfRule type="containsText" dxfId="2" priority="5239" operator="containsText" text="Yes">
      <formula>NOT(ISERROR(SEARCH(("Yes"),(P680))))</formula>
    </cfRule>
  </conditionalFormatting>
  <conditionalFormatting sqref="P680:P681 P683:P684 P686 P689 P691">
    <cfRule type="containsText" dxfId="9" priority="5240" operator="containsText" text="No">
      <formula>NOT(ISERROR(SEARCH(("No"),(P680))))</formula>
    </cfRule>
  </conditionalFormatting>
  <conditionalFormatting sqref="P680:P681 P683:P684 P686 P689 P691">
    <cfRule type="containsText" dxfId="2" priority="5241" operator="containsText" text="Yes">
      <formula>NOT(ISERROR(SEARCH(("Yes"),(P680))))</formula>
    </cfRule>
  </conditionalFormatting>
  <conditionalFormatting sqref="P680:P681 P683:P684 P686 P689 P691">
    <cfRule type="containsText" dxfId="9" priority="5242" operator="containsText" text="No">
      <formula>NOT(ISERROR(SEARCH(("No"),(P680))))</formula>
    </cfRule>
  </conditionalFormatting>
  <conditionalFormatting sqref="P680:P681 P683:P684 P686 P689 P691">
    <cfRule type="containsText" dxfId="2" priority="5243" operator="containsText" text="Yes">
      <formula>NOT(ISERROR(SEARCH(("Yes"),(P680))))</formula>
    </cfRule>
  </conditionalFormatting>
  <conditionalFormatting sqref="P680:P681 P683:P684 P686 P689 P691">
    <cfRule type="containsText" dxfId="9" priority="5244" operator="containsText" text="No">
      <formula>NOT(ISERROR(SEARCH(("No"),(P680))))</formula>
    </cfRule>
  </conditionalFormatting>
  <conditionalFormatting sqref="P680:P681 P683:P684 P686 P689 P691">
    <cfRule type="containsText" dxfId="2" priority="5245" operator="containsText" text="Yes">
      <formula>NOT(ISERROR(SEARCH(("Yes"),(P680))))</formula>
    </cfRule>
  </conditionalFormatting>
  <conditionalFormatting sqref="P680:P681 P683:P684 P686 P689 P691">
    <cfRule type="containsText" dxfId="9" priority="5246" operator="containsText" text="No">
      <formula>NOT(ISERROR(SEARCH(("No"),(P680))))</formula>
    </cfRule>
  </conditionalFormatting>
  <conditionalFormatting sqref="P680:P681 P683:P684 P686 P689 P691">
    <cfRule type="containsText" dxfId="2" priority="5247" operator="containsText" text="Yes">
      <formula>NOT(ISERROR(SEARCH(("Yes"),(P680))))</formula>
    </cfRule>
  </conditionalFormatting>
  <conditionalFormatting sqref="P680:P681 P683:P684 P686 P689 P691">
    <cfRule type="containsText" dxfId="9" priority="5248" operator="containsText" text="No">
      <formula>NOT(ISERROR(SEARCH(("No"),(P680))))</formula>
    </cfRule>
  </conditionalFormatting>
  <conditionalFormatting sqref="P680:P681 P683:P684 P686 P689 P691">
    <cfRule type="containsText" dxfId="2" priority="5249" operator="containsText" text="Yes">
      <formula>NOT(ISERROR(SEARCH(("Yes"),(P680))))</formula>
    </cfRule>
  </conditionalFormatting>
  <conditionalFormatting sqref="P680:P681 P683:P684 P686 P689 P691">
    <cfRule type="containsText" dxfId="9" priority="5250" operator="containsText" text="No">
      <formula>NOT(ISERROR(SEARCH(("No"),(P680))))</formula>
    </cfRule>
  </conditionalFormatting>
  <conditionalFormatting sqref="P680:P681 P683:P684 P686 P689 P691">
    <cfRule type="containsText" dxfId="2" priority="5251" operator="containsText" text="Yes">
      <formula>NOT(ISERROR(SEARCH(("Yes"),(P680))))</formula>
    </cfRule>
  </conditionalFormatting>
  <conditionalFormatting sqref="P680:P681 P683:P684 P686 P689 P691">
    <cfRule type="containsText" dxfId="9" priority="5252" operator="containsText" text="No">
      <formula>NOT(ISERROR(SEARCH(("No"),(P680))))</formula>
    </cfRule>
  </conditionalFormatting>
  <conditionalFormatting sqref="P680:P681 P683:P684 P686 P689 P691">
    <cfRule type="containsText" dxfId="2" priority="5253" operator="containsText" text="Yes">
      <formula>NOT(ISERROR(SEARCH(("Yes"),(P680))))</formula>
    </cfRule>
  </conditionalFormatting>
  <conditionalFormatting sqref="P680:P681 P683:P684 P686 P689 P691">
    <cfRule type="containsText" dxfId="9" priority="5254" operator="containsText" text="No">
      <formula>NOT(ISERROR(SEARCH(("No"),(P680))))</formula>
    </cfRule>
  </conditionalFormatting>
  <conditionalFormatting sqref="P680:P681 P683:P684 P686 P689 P691">
    <cfRule type="containsText" dxfId="2" priority="5255" operator="containsText" text="Yes">
      <formula>NOT(ISERROR(SEARCH(("Yes"),(P680))))</formula>
    </cfRule>
  </conditionalFormatting>
  <conditionalFormatting sqref="P680:P681 P683:P684 P686 P689 P691">
    <cfRule type="containsText" dxfId="9" priority="5256" operator="containsText" text="No">
      <formula>NOT(ISERROR(SEARCH(("No"),(P680))))</formula>
    </cfRule>
  </conditionalFormatting>
  <conditionalFormatting sqref="P680:P681 P683:P684 P686 P689 P691">
    <cfRule type="containsText" dxfId="2" priority="5257" operator="containsText" text="Yes">
      <formula>NOT(ISERROR(SEARCH(("Yes"),(P680))))</formula>
    </cfRule>
  </conditionalFormatting>
  <conditionalFormatting sqref="P680:P681 P683:P684 P686 P689 P691">
    <cfRule type="containsText" dxfId="9" priority="5258" operator="containsText" text="No">
      <formula>NOT(ISERROR(SEARCH(("No"),(P680))))</formula>
    </cfRule>
  </conditionalFormatting>
  <conditionalFormatting sqref="P680:P681 P683:P684 P686 P689 P691">
    <cfRule type="containsText" dxfId="2" priority="5259" operator="containsText" text="Yes">
      <formula>NOT(ISERROR(SEARCH(("Yes"),(P680))))</formula>
    </cfRule>
  </conditionalFormatting>
  <conditionalFormatting sqref="P680:P681 P683:P684 P686 P689 P691">
    <cfRule type="containsText" dxfId="9" priority="5260" operator="containsText" text="No">
      <formula>NOT(ISERROR(SEARCH(("No"),(P680))))</formula>
    </cfRule>
  </conditionalFormatting>
  <conditionalFormatting sqref="P680:P681 P683:P684 P686 P689 P691">
    <cfRule type="containsText" dxfId="2" priority="5261" operator="containsText" text="Yes">
      <formula>NOT(ISERROR(SEARCH(("Yes"),(P680))))</formula>
    </cfRule>
  </conditionalFormatting>
  <conditionalFormatting sqref="P680:P681 P683:P684 P686 P689 P691">
    <cfRule type="containsText" dxfId="9" priority="5262" operator="containsText" text="No">
      <formula>NOT(ISERROR(SEARCH(("No"),(P680))))</formula>
    </cfRule>
  </conditionalFormatting>
  <conditionalFormatting sqref="P680:P681 P683:P684 P686 P689 P691">
    <cfRule type="containsText" dxfId="2" priority="5263" operator="containsText" text="Yes">
      <formula>NOT(ISERROR(SEARCH(("Yes"),(P680))))</formula>
    </cfRule>
  </conditionalFormatting>
  <conditionalFormatting sqref="P680:P681 P683:P684 P686 P689 P691">
    <cfRule type="containsText" dxfId="9" priority="5264" operator="containsText" text="No">
      <formula>NOT(ISERROR(SEARCH(("No"),(P680))))</formula>
    </cfRule>
  </conditionalFormatting>
  <conditionalFormatting sqref="P680:P681 P683:P684 P686 P689 P691">
    <cfRule type="containsText" dxfId="2" priority="5265" operator="containsText" text="Yes">
      <formula>NOT(ISERROR(SEARCH(("Yes"),(P680))))</formula>
    </cfRule>
  </conditionalFormatting>
  <conditionalFormatting sqref="P680:P681 P683:P684 P686 P689 P691">
    <cfRule type="containsText" dxfId="9" priority="5266" operator="containsText" text="No">
      <formula>NOT(ISERROR(SEARCH(("No"),(P680))))</formula>
    </cfRule>
  </conditionalFormatting>
  <conditionalFormatting sqref="P680:P681 P683:P684 P686 P689 P691">
    <cfRule type="containsText" dxfId="2" priority="5267" operator="containsText" text="Yes">
      <formula>NOT(ISERROR(SEARCH(("Yes"),(P680))))</formula>
    </cfRule>
  </conditionalFormatting>
  <conditionalFormatting sqref="P680:P681 P683:P684 P686 P689 P691">
    <cfRule type="containsText" dxfId="9" priority="5268" operator="containsText" text="No">
      <formula>NOT(ISERROR(SEARCH(("No"),(P680))))</formula>
    </cfRule>
  </conditionalFormatting>
  <conditionalFormatting sqref="P680:P681 P683:P684 P686 P689 P691">
    <cfRule type="containsText" dxfId="2" priority="5269" operator="containsText" text="Yes">
      <formula>NOT(ISERROR(SEARCH(("Yes"),(P680))))</formula>
    </cfRule>
  </conditionalFormatting>
  <conditionalFormatting sqref="P680:P681 P683:P684 P686 P689 P691">
    <cfRule type="containsText" dxfId="9" priority="5270" operator="containsText" text="No">
      <formula>NOT(ISERROR(SEARCH(("No"),(P680))))</formula>
    </cfRule>
  </conditionalFormatting>
  <conditionalFormatting sqref="P680:P681 P683:P684 P686 P689 P691">
    <cfRule type="containsText" dxfId="2" priority="5271" operator="containsText" text="Yes">
      <formula>NOT(ISERROR(SEARCH(("Yes"),(P680))))</formula>
    </cfRule>
  </conditionalFormatting>
  <conditionalFormatting sqref="P680:P681 P683:P684 P686 P689 P691">
    <cfRule type="containsText" dxfId="9" priority="5272" operator="containsText" text="No">
      <formula>NOT(ISERROR(SEARCH(("No"),(P680))))</formula>
    </cfRule>
  </conditionalFormatting>
  <conditionalFormatting sqref="P680:P681 P683:P684 P686 P689 P691">
    <cfRule type="containsText" dxfId="2" priority="5273" operator="containsText" text="Yes">
      <formula>NOT(ISERROR(SEARCH(("Yes"),(P680))))</formula>
    </cfRule>
  </conditionalFormatting>
  <conditionalFormatting sqref="P680:P681 P683:P684 P686 P689 P691">
    <cfRule type="containsText" dxfId="9" priority="5274" operator="containsText" text="No">
      <formula>NOT(ISERROR(SEARCH(("No"),(P680))))</formula>
    </cfRule>
  </conditionalFormatting>
  <conditionalFormatting sqref="P680:P681 P683:P684 P686 P689 P691">
    <cfRule type="containsText" dxfId="2" priority="5275" operator="containsText" text="Yes">
      <formula>NOT(ISERROR(SEARCH(("Yes"),(P680))))</formula>
    </cfRule>
  </conditionalFormatting>
  <conditionalFormatting sqref="P680:P681 P683:P684 P686 P689 P691">
    <cfRule type="containsText" dxfId="9" priority="5276" operator="containsText" text="No">
      <formula>NOT(ISERROR(SEARCH(("No"),(P680))))</formula>
    </cfRule>
  </conditionalFormatting>
  <conditionalFormatting sqref="P680:P681 P683:P684 P686 P689 P691">
    <cfRule type="containsText" dxfId="2" priority="5277" operator="containsText" text="Yes">
      <formula>NOT(ISERROR(SEARCH(("Yes"),(P680))))</formula>
    </cfRule>
  </conditionalFormatting>
  <conditionalFormatting sqref="P680:P681 P683:P684 P686 P689 P691">
    <cfRule type="containsText" dxfId="9" priority="5278" operator="containsText" text="No">
      <formula>NOT(ISERROR(SEARCH(("No"),(P680))))</formula>
    </cfRule>
  </conditionalFormatting>
  <conditionalFormatting sqref="P680:P681 P683:P684 P686 P689 P691">
    <cfRule type="containsText" dxfId="2" priority="5279" operator="containsText" text="Yes">
      <formula>NOT(ISERROR(SEARCH(("Yes"),(P680))))</formula>
    </cfRule>
  </conditionalFormatting>
  <conditionalFormatting sqref="P680:P681 P683:P684 P686 P689 P691">
    <cfRule type="containsText" dxfId="9" priority="5280" operator="containsText" text="No">
      <formula>NOT(ISERROR(SEARCH(("No"),(P680))))</formula>
    </cfRule>
  </conditionalFormatting>
  <conditionalFormatting sqref="P680:P681 P683:P684 P686 P689 P691">
    <cfRule type="containsText" dxfId="2" priority="5281" operator="containsText" text="Yes">
      <formula>NOT(ISERROR(SEARCH(("Yes"),(P680))))</formula>
    </cfRule>
  </conditionalFormatting>
  <conditionalFormatting sqref="P680:P681 P683:P684 P686 P689 P691">
    <cfRule type="containsText" dxfId="9" priority="5282" operator="containsText" text="No">
      <formula>NOT(ISERROR(SEARCH(("No"),(P680))))</formula>
    </cfRule>
  </conditionalFormatting>
  <conditionalFormatting sqref="P680:P681 P683:P684 P686 P689 P691">
    <cfRule type="containsText" dxfId="2" priority="5283" operator="containsText" text="Yes">
      <formula>NOT(ISERROR(SEARCH(("Yes"),(P680))))</formula>
    </cfRule>
  </conditionalFormatting>
  <conditionalFormatting sqref="P680:P681 P683:P684 P686 P689 P691">
    <cfRule type="containsText" dxfId="9" priority="5284" operator="containsText" text="No">
      <formula>NOT(ISERROR(SEARCH(("No"),(P680))))</formula>
    </cfRule>
  </conditionalFormatting>
  <conditionalFormatting sqref="P680:P681 P683:P684 P686 P689 P691">
    <cfRule type="containsText" dxfId="2" priority="5285" operator="containsText" text="Yes">
      <formula>NOT(ISERROR(SEARCH(("Yes"),(P680))))</formula>
    </cfRule>
  </conditionalFormatting>
  <conditionalFormatting sqref="P680:P681 P683:P684 P686 P689 P691">
    <cfRule type="containsText" dxfId="9" priority="5286" operator="containsText" text="No">
      <formula>NOT(ISERROR(SEARCH(("No"),(P680))))</formula>
    </cfRule>
  </conditionalFormatting>
  <conditionalFormatting sqref="P680:P681 P683:P684 P686 P689 P691">
    <cfRule type="containsText" dxfId="2" priority="5287" operator="containsText" text="Yes">
      <formula>NOT(ISERROR(SEARCH(("Yes"),(P680))))</formula>
    </cfRule>
  </conditionalFormatting>
  <conditionalFormatting sqref="P680:P681 P683:P684 P686 P689 P691">
    <cfRule type="containsText" dxfId="9" priority="5288" operator="containsText" text="No">
      <formula>NOT(ISERROR(SEARCH(("No"),(P680))))</formula>
    </cfRule>
  </conditionalFormatting>
  <conditionalFormatting sqref="P680:P681 P683:P684 P686 P689 P691">
    <cfRule type="containsText" dxfId="2" priority="5289" operator="containsText" text="Yes">
      <formula>NOT(ISERROR(SEARCH(("Yes"),(P680))))</formula>
    </cfRule>
  </conditionalFormatting>
  <conditionalFormatting sqref="P680:P681 P683:P684 P686 P689 P691">
    <cfRule type="containsText" dxfId="9" priority="5290" operator="containsText" text="No">
      <formula>NOT(ISERROR(SEARCH(("No"),(P680))))</formula>
    </cfRule>
  </conditionalFormatting>
  <conditionalFormatting sqref="P680:P681 P683:P684 P686 P689 P691">
    <cfRule type="containsText" dxfId="2" priority="5291" operator="containsText" text="Yes">
      <formula>NOT(ISERROR(SEARCH(("Yes"),(P680))))</formula>
    </cfRule>
  </conditionalFormatting>
  <conditionalFormatting sqref="P680:P681 P683:P684 P686 P689 P691">
    <cfRule type="containsText" dxfId="9" priority="5292" operator="containsText" text="No">
      <formula>NOT(ISERROR(SEARCH(("No"),(P680))))</formula>
    </cfRule>
  </conditionalFormatting>
  <conditionalFormatting sqref="P680:P681 P683:P684 P686 P689 P691">
    <cfRule type="containsText" dxfId="2" priority="5293" operator="containsText" text="Yes">
      <formula>NOT(ISERROR(SEARCH(("Yes"),(P680))))</formula>
    </cfRule>
  </conditionalFormatting>
  <conditionalFormatting sqref="P680:P681 P683:P684 P686 P689 P691">
    <cfRule type="containsText" dxfId="9" priority="5294" operator="containsText" text="No">
      <formula>NOT(ISERROR(SEARCH(("No"),(P680))))</formula>
    </cfRule>
  </conditionalFormatting>
  <conditionalFormatting sqref="P680:P681 P683:P684 P686 P689 P691">
    <cfRule type="containsText" dxfId="2" priority="5295" operator="containsText" text="Yes">
      <formula>NOT(ISERROR(SEARCH(("Yes"),(P680))))</formula>
    </cfRule>
  </conditionalFormatting>
  <conditionalFormatting sqref="P680:P681 P683:P684 P686 P689 P691">
    <cfRule type="containsText" dxfId="9" priority="5296" operator="containsText" text="No">
      <formula>NOT(ISERROR(SEARCH(("No"),(P680))))</formula>
    </cfRule>
  </conditionalFormatting>
  <conditionalFormatting sqref="P680:P681 P683:P684 P686 P689 P691">
    <cfRule type="containsText" dxfId="2" priority="5297" operator="containsText" text="Yes">
      <formula>NOT(ISERROR(SEARCH(("Yes"),(P680))))</formula>
    </cfRule>
  </conditionalFormatting>
  <conditionalFormatting sqref="P680:P681 P683:P684 P686 P689 P691">
    <cfRule type="containsText" dxfId="9" priority="5298" operator="containsText" text="No">
      <formula>NOT(ISERROR(SEARCH(("No"),(P680))))</formula>
    </cfRule>
  </conditionalFormatting>
  <conditionalFormatting sqref="P680:P681 P683:P684 P686 P689 P691">
    <cfRule type="containsText" dxfId="2" priority="5299" operator="containsText" text="Yes">
      <formula>NOT(ISERROR(SEARCH(("Yes"),(P680))))</formula>
    </cfRule>
  </conditionalFormatting>
  <conditionalFormatting sqref="P680:P681 P683:P684 P686 P689 P691">
    <cfRule type="containsText" dxfId="9" priority="5300" operator="containsText" text="No">
      <formula>NOT(ISERROR(SEARCH(("No"),(P680))))</formula>
    </cfRule>
  </conditionalFormatting>
  <conditionalFormatting sqref="P680:P681 P683:P684 P686 P689 P691">
    <cfRule type="containsText" dxfId="9" priority="5301" operator="containsText" text="No">
      <formula>NOT(ISERROR(SEARCH(("No"),(P680))))</formula>
    </cfRule>
  </conditionalFormatting>
  <conditionalFormatting sqref="P680:P681 P683:P684 P686 P689 P691">
    <cfRule type="containsText" dxfId="2" priority="5302" operator="containsText" text="Yes">
      <formula>NOT(ISERROR(SEARCH(("Yes"),(P680))))</formula>
    </cfRule>
  </conditionalFormatting>
  <conditionalFormatting sqref="P680:P681 P683:P684 P686 P689 P691">
    <cfRule type="containsText" dxfId="2" priority="5303" operator="containsText" text="Yes">
      <formula>NOT(ISERROR(SEARCH(("Yes"),(P680))))</formula>
    </cfRule>
  </conditionalFormatting>
  <conditionalFormatting sqref="P680:P681 P683:P684 P686 P689 P691">
    <cfRule type="containsText" dxfId="9" priority="5304" operator="containsText" text="No">
      <formula>NOT(ISERROR(SEARCH(("No"),(P680))))</formula>
    </cfRule>
  </conditionalFormatting>
  <conditionalFormatting sqref="P680:P681 P683:P684 P686 P689 P691">
    <cfRule type="containsText" dxfId="2" priority="5305" operator="containsText" text="Yes">
      <formula>NOT(ISERROR(SEARCH(("Yes"),(P680))))</formula>
    </cfRule>
  </conditionalFormatting>
  <conditionalFormatting sqref="P680:P681 P683:P684 P686 P689 P691">
    <cfRule type="containsText" dxfId="9" priority="5306" operator="containsText" text="No">
      <formula>NOT(ISERROR(SEARCH(("No"),(P680))))</formula>
    </cfRule>
  </conditionalFormatting>
  <conditionalFormatting sqref="P680:P681 P683:P684 P686 P689 P691">
    <cfRule type="containsText" dxfId="2" priority="5307" operator="containsText" text="Yes">
      <formula>NOT(ISERROR(SEARCH(("Yes"),(P680))))</formula>
    </cfRule>
  </conditionalFormatting>
  <conditionalFormatting sqref="P680:P681 P683:P684 P686 P689 P691">
    <cfRule type="containsText" dxfId="9" priority="5308" operator="containsText" text="No">
      <formula>NOT(ISERROR(SEARCH(("No"),(P680))))</formula>
    </cfRule>
  </conditionalFormatting>
  <conditionalFormatting sqref="P680:P681 P683:P684 P686 P689 P691">
    <cfRule type="containsText" dxfId="2" priority="5309" operator="containsText" text="Yes">
      <formula>NOT(ISERROR(SEARCH(("Yes"),(P680))))</formula>
    </cfRule>
  </conditionalFormatting>
  <conditionalFormatting sqref="P680:P681 P683:P684 P686 P689 P691">
    <cfRule type="containsText" dxfId="9" priority="5310" operator="containsText" text="No">
      <formula>NOT(ISERROR(SEARCH(("No"),(P680))))</formula>
    </cfRule>
  </conditionalFormatting>
  <conditionalFormatting sqref="P680:P681 P683:P684 P686 P689 P691">
    <cfRule type="containsText" dxfId="2" priority="5311" operator="containsText" text="Yes">
      <formula>NOT(ISERROR(SEARCH(("Yes"),(P680))))</formula>
    </cfRule>
  </conditionalFormatting>
  <conditionalFormatting sqref="P680:P681 P683:P684 P686 P689 P691">
    <cfRule type="containsText" dxfId="9" priority="5312" operator="containsText" text="No">
      <formula>NOT(ISERROR(SEARCH(("No"),(P680))))</formula>
    </cfRule>
  </conditionalFormatting>
  <conditionalFormatting sqref="P680:P681 P683:P684 P686 P689 P691">
    <cfRule type="containsText" dxfId="2" priority="5313" operator="containsText" text="Yes">
      <formula>NOT(ISERROR(SEARCH(("Yes"),(P680))))</formula>
    </cfRule>
  </conditionalFormatting>
  <conditionalFormatting sqref="P680:P681 P683:P684 P686 P689 P691">
    <cfRule type="containsText" dxfId="9" priority="5314" operator="containsText" text="No">
      <formula>NOT(ISERROR(SEARCH(("No"),(P680))))</formula>
    </cfRule>
  </conditionalFormatting>
  <conditionalFormatting sqref="P680:P681 P683:P684 P686 P689 P691">
    <cfRule type="containsText" dxfId="2" priority="5315" operator="containsText" text="Yes">
      <formula>NOT(ISERROR(SEARCH(("Yes"),(P680))))</formula>
    </cfRule>
  </conditionalFormatting>
  <conditionalFormatting sqref="P680:P681 P683:P684 P686 P689 P691">
    <cfRule type="containsText" dxfId="9" priority="5316" operator="containsText" text="No">
      <formula>NOT(ISERROR(SEARCH(("No"),(P680))))</formula>
    </cfRule>
  </conditionalFormatting>
  <conditionalFormatting sqref="P680:P681 P683:P684 P686 P689 P691">
    <cfRule type="containsText" dxfId="2" priority="5317" operator="containsText" text="Yes">
      <formula>NOT(ISERROR(SEARCH(("Yes"),(P680))))</formula>
    </cfRule>
  </conditionalFormatting>
  <conditionalFormatting sqref="P680:P681 P683:P684 P686 P689 P691">
    <cfRule type="containsText" dxfId="9" priority="5318" operator="containsText" text="No">
      <formula>NOT(ISERROR(SEARCH(("No"),(P680))))</formula>
    </cfRule>
  </conditionalFormatting>
  <conditionalFormatting sqref="P680:P681 P683:P684 P686 P689 P691">
    <cfRule type="containsText" dxfId="2" priority="5319" operator="containsText" text="Yes">
      <formula>NOT(ISERROR(SEARCH(("Yes"),(P680))))</formula>
    </cfRule>
  </conditionalFormatting>
  <conditionalFormatting sqref="P680:P681 P683:P684 P686 P689 P691">
    <cfRule type="containsText" dxfId="9" priority="5320" operator="containsText" text="No">
      <formula>NOT(ISERROR(SEARCH(("No"),(P680))))</formula>
    </cfRule>
  </conditionalFormatting>
  <conditionalFormatting sqref="P680:P681 P683:P684 P686 P689 P691">
    <cfRule type="containsText" dxfId="2" priority="5321" operator="containsText" text="Yes">
      <formula>NOT(ISERROR(SEARCH(("Yes"),(P680))))</formula>
    </cfRule>
  </conditionalFormatting>
  <conditionalFormatting sqref="P680:P681 P683:P684 P686 P689 P691">
    <cfRule type="containsText" dxfId="9" priority="5322" operator="containsText" text="No">
      <formula>NOT(ISERROR(SEARCH(("No"),(P680))))</formula>
    </cfRule>
  </conditionalFormatting>
  <conditionalFormatting sqref="P680:P681 P683:P684 P686 P689 P691">
    <cfRule type="containsText" dxfId="2" priority="5323" operator="containsText" text="Yes">
      <formula>NOT(ISERROR(SEARCH(("Yes"),(P680))))</formula>
    </cfRule>
  </conditionalFormatting>
  <conditionalFormatting sqref="P680:P681 P683:P684 P686 P689 P691">
    <cfRule type="containsText" dxfId="9" priority="5324" operator="containsText" text="No">
      <formula>NOT(ISERROR(SEARCH(("No"),(P680))))</formula>
    </cfRule>
  </conditionalFormatting>
  <conditionalFormatting sqref="P680:P681 P683:P684 P686 P689 P691">
    <cfRule type="containsText" dxfId="2" priority="5325" operator="containsText" text="Yes">
      <formula>NOT(ISERROR(SEARCH(("Yes"),(P680))))</formula>
    </cfRule>
  </conditionalFormatting>
  <conditionalFormatting sqref="P680:P681 P683:P684 P686 P689 P691">
    <cfRule type="containsText" dxfId="9" priority="5326" operator="containsText" text="No">
      <formula>NOT(ISERROR(SEARCH(("No"),(P680))))</formula>
    </cfRule>
  </conditionalFormatting>
  <conditionalFormatting sqref="P680:P681 P683:P684 P686 P689 P691">
    <cfRule type="containsText" dxfId="2" priority="5327" operator="containsText" text="Yes">
      <formula>NOT(ISERROR(SEARCH(("Yes"),(P680))))</formula>
    </cfRule>
  </conditionalFormatting>
  <conditionalFormatting sqref="P680:P681 P683:P684 P686 P689 P691">
    <cfRule type="containsText" dxfId="9" priority="5328" operator="containsText" text="No">
      <formula>NOT(ISERROR(SEARCH(("No"),(P680))))</formula>
    </cfRule>
  </conditionalFormatting>
  <conditionalFormatting sqref="P680:P681 P683:P684 P686 P689 P691">
    <cfRule type="containsText" dxfId="2" priority="5329" operator="containsText" text="Yes">
      <formula>NOT(ISERROR(SEARCH(("Yes"),(P680))))</formula>
    </cfRule>
  </conditionalFormatting>
  <conditionalFormatting sqref="P680:P681 P683:P684 P686 P689 P691">
    <cfRule type="containsText" dxfId="9" priority="5330" operator="containsText" text="No">
      <formula>NOT(ISERROR(SEARCH(("No"),(P680))))</formula>
    </cfRule>
  </conditionalFormatting>
  <conditionalFormatting sqref="P680:P681 P683:P684 P686 P689 P691">
    <cfRule type="containsText" dxfId="2" priority="5331" operator="containsText" text="Yes">
      <formula>NOT(ISERROR(SEARCH(("Yes"),(P680))))</formula>
    </cfRule>
  </conditionalFormatting>
  <conditionalFormatting sqref="P680:P681 P683:P684 P686 P689 P691">
    <cfRule type="containsText" dxfId="9" priority="5332" operator="containsText" text="No">
      <formula>NOT(ISERROR(SEARCH(("No"),(P680))))</formula>
    </cfRule>
  </conditionalFormatting>
  <conditionalFormatting sqref="P680:P681 P683:P684 P686 P689 P691">
    <cfRule type="containsText" dxfId="2" priority="5333" operator="containsText" text="Yes">
      <formula>NOT(ISERROR(SEARCH(("Yes"),(P680))))</formula>
    </cfRule>
  </conditionalFormatting>
  <conditionalFormatting sqref="P680:P681 P683:P684 P686 P689 P691">
    <cfRule type="containsText" dxfId="9" priority="5334" operator="containsText" text="No">
      <formula>NOT(ISERROR(SEARCH(("No"),(P680))))</formula>
    </cfRule>
  </conditionalFormatting>
  <conditionalFormatting sqref="P680:P681 P683:P684 P686 P689 P691">
    <cfRule type="containsText" dxfId="2" priority="5335" operator="containsText" text="Yes">
      <formula>NOT(ISERROR(SEARCH(("Yes"),(P680))))</formula>
    </cfRule>
  </conditionalFormatting>
  <conditionalFormatting sqref="P680:P681 P683:P684 P686 P689 P691">
    <cfRule type="containsText" dxfId="9" priority="5336" operator="containsText" text="No">
      <formula>NOT(ISERROR(SEARCH(("No"),(P680))))</formula>
    </cfRule>
  </conditionalFormatting>
  <conditionalFormatting sqref="P680:P681 P683:P684 P686 P689 P691">
    <cfRule type="containsText" dxfId="2" priority="5337" operator="containsText" text="Yes">
      <formula>NOT(ISERROR(SEARCH(("Yes"),(P680))))</formula>
    </cfRule>
  </conditionalFormatting>
  <conditionalFormatting sqref="P680:P681 P683:P684 P686 P689 P691">
    <cfRule type="containsText" dxfId="9" priority="5338" operator="containsText" text="No">
      <formula>NOT(ISERROR(SEARCH(("No"),(P680))))</formula>
    </cfRule>
  </conditionalFormatting>
  <conditionalFormatting sqref="P680:P681 P683:P684 P686 P689 P691">
    <cfRule type="containsText" dxfId="2" priority="5339" operator="containsText" text="Yes">
      <formula>NOT(ISERROR(SEARCH(("Yes"),(P680))))</formula>
    </cfRule>
  </conditionalFormatting>
  <conditionalFormatting sqref="P680:P681 P683:P684 P686 P689 P691">
    <cfRule type="containsText" dxfId="9" priority="5340" operator="containsText" text="No">
      <formula>NOT(ISERROR(SEARCH(("No"),(P680))))</formula>
    </cfRule>
  </conditionalFormatting>
  <conditionalFormatting sqref="P680:P681 P683:P684 P686 P689 P691">
    <cfRule type="containsText" dxfId="2" priority="5341" operator="containsText" text="Yes">
      <formula>NOT(ISERROR(SEARCH(("Yes"),(P680))))</formula>
    </cfRule>
  </conditionalFormatting>
  <conditionalFormatting sqref="P680:P681 P683:P684 P686 P689 P691">
    <cfRule type="containsText" dxfId="9" priority="5342" operator="containsText" text="No">
      <formula>NOT(ISERROR(SEARCH(("No"),(P680))))</formula>
    </cfRule>
  </conditionalFormatting>
  <conditionalFormatting sqref="P680:P681 P683:P684 P686 P689 P691">
    <cfRule type="containsText" dxfId="2" priority="5343" operator="containsText" text="Yes">
      <formula>NOT(ISERROR(SEARCH(("Yes"),(P680))))</formula>
    </cfRule>
  </conditionalFormatting>
  <conditionalFormatting sqref="P680:P681 P683:P684 P686 P689 P691">
    <cfRule type="containsText" dxfId="9" priority="5344" operator="containsText" text="No">
      <formula>NOT(ISERROR(SEARCH(("No"),(P680))))</formula>
    </cfRule>
  </conditionalFormatting>
  <conditionalFormatting sqref="P680:P681 P683:P684 P686 P689 P691">
    <cfRule type="containsText" dxfId="2" priority="5345" operator="containsText" text="Yes">
      <formula>NOT(ISERROR(SEARCH(("Yes"),(P680))))</formula>
    </cfRule>
  </conditionalFormatting>
  <conditionalFormatting sqref="P680:P681 P683:P684 P686 P689 P691">
    <cfRule type="containsText" dxfId="9" priority="5346" operator="containsText" text="No">
      <formula>NOT(ISERROR(SEARCH(("No"),(P680))))</formula>
    </cfRule>
  </conditionalFormatting>
  <conditionalFormatting sqref="P680:P681 P683:P684 P686 P689 P691">
    <cfRule type="containsText" dxfId="2" priority="5347" operator="containsText" text="Yes">
      <formula>NOT(ISERROR(SEARCH(("Yes"),(P680))))</formula>
    </cfRule>
  </conditionalFormatting>
  <conditionalFormatting sqref="P680:P681 P683:P684 P686 P689 P691">
    <cfRule type="containsText" dxfId="9" priority="5348" operator="containsText" text="No">
      <formula>NOT(ISERROR(SEARCH(("No"),(P680))))</formula>
    </cfRule>
  </conditionalFormatting>
  <conditionalFormatting sqref="P680:P681 P683:P684 P686 P689 P691">
    <cfRule type="containsText" dxfId="2" priority="5349" operator="containsText" text="Yes">
      <formula>NOT(ISERROR(SEARCH(("Yes"),(P680))))</formula>
    </cfRule>
  </conditionalFormatting>
  <conditionalFormatting sqref="P680:P681 P683:P684 P686 P689 P691">
    <cfRule type="containsText" dxfId="9" priority="5350" operator="containsText" text="No">
      <formula>NOT(ISERROR(SEARCH(("No"),(P680))))</formula>
    </cfRule>
  </conditionalFormatting>
  <conditionalFormatting sqref="P680:P681 P683:P684 P686 P689 P691">
    <cfRule type="containsText" dxfId="2" priority="5351" operator="containsText" text="Yes">
      <formula>NOT(ISERROR(SEARCH(("Yes"),(P680))))</formula>
    </cfRule>
  </conditionalFormatting>
  <conditionalFormatting sqref="P680:P681 P683:P684 P686 P689 P691">
    <cfRule type="containsText" dxfId="9" priority="5352" operator="containsText" text="No">
      <formula>NOT(ISERROR(SEARCH(("No"),(P680))))</formula>
    </cfRule>
  </conditionalFormatting>
  <conditionalFormatting sqref="P680:P681 P683:P684 P686 P689 P691">
    <cfRule type="containsText" dxfId="2" priority="5353" operator="containsText" text="Yes">
      <formula>NOT(ISERROR(SEARCH(("Yes"),(P680))))</formula>
    </cfRule>
  </conditionalFormatting>
  <conditionalFormatting sqref="P680:P681 P683:P684 P686 P689 P691">
    <cfRule type="containsText" dxfId="9" priority="5354" operator="containsText" text="No">
      <formula>NOT(ISERROR(SEARCH(("No"),(P680))))</formula>
    </cfRule>
  </conditionalFormatting>
  <conditionalFormatting sqref="P680:P681 P683:P684 P686 P689 P691">
    <cfRule type="containsText" dxfId="2" priority="5355" operator="containsText" text="Yes">
      <formula>NOT(ISERROR(SEARCH(("Yes"),(P680))))</formula>
    </cfRule>
  </conditionalFormatting>
  <conditionalFormatting sqref="P680:P681 P683:P684 P686 P689 P691">
    <cfRule type="containsText" dxfId="9" priority="5356" operator="containsText" text="No">
      <formula>NOT(ISERROR(SEARCH(("No"),(P680))))</formula>
    </cfRule>
  </conditionalFormatting>
  <conditionalFormatting sqref="P680:P681 P683:P684 P686 P689 P691">
    <cfRule type="containsText" dxfId="2" priority="5357" operator="containsText" text="Yes">
      <formula>NOT(ISERROR(SEARCH(("Yes"),(P680))))</formula>
    </cfRule>
  </conditionalFormatting>
  <conditionalFormatting sqref="P680:P681 P683:P684 P686 P689 P691">
    <cfRule type="containsText" dxfId="9" priority="5358" operator="containsText" text="No">
      <formula>NOT(ISERROR(SEARCH(("No"),(P680))))</formula>
    </cfRule>
  </conditionalFormatting>
  <conditionalFormatting sqref="P680:P681 P683:P684 P686 P689 P691">
    <cfRule type="containsText" dxfId="2" priority="5359" operator="containsText" text="Yes">
      <formula>NOT(ISERROR(SEARCH(("Yes"),(P680))))</formula>
    </cfRule>
  </conditionalFormatting>
  <conditionalFormatting sqref="P680:P681 P683:P684 P686 P689 P691">
    <cfRule type="containsText" dxfId="9" priority="5360" operator="containsText" text="No">
      <formula>NOT(ISERROR(SEARCH(("No"),(P680))))</formula>
    </cfRule>
  </conditionalFormatting>
  <conditionalFormatting sqref="P680:P681 P683:P684 P686 P689 P691">
    <cfRule type="containsText" dxfId="2" priority="5361" operator="containsText" text="Yes">
      <formula>NOT(ISERROR(SEARCH(("Yes"),(P680))))</formula>
    </cfRule>
  </conditionalFormatting>
  <conditionalFormatting sqref="P680:P681 P683:P684 P686 P689 P691">
    <cfRule type="containsText" dxfId="9" priority="5362" operator="containsText" text="No">
      <formula>NOT(ISERROR(SEARCH(("No"),(P680))))</formula>
    </cfRule>
  </conditionalFormatting>
  <conditionalFormatting sqref="P680:P681 P683:P684 P686 P689 P691">
    <cfRule type="containsText" dxfId="2" priority="5363" operator="containsText" text="Yes">
      <formula>NOT(ISERROR(SEARCH(("Yes"),(P680))))</formula>
    </cfRule>
  </conditionalFormatting>
  <conditionalFormatting sqref="P680:P681 P683:P684 P686 P689 P691">
    <cfRule type="containsText" dxfId="9" priority="5364" operator="containsText" text="No">
      <formula>NOT(ISERROR(SEARCH(("No"),(P680))))</formula>
    </cfRule>
  </conditionalFormatting>
  <conditionalFormatting sqref="P680:P681 P683:P684 P686 P689 P691">
    <cfRule type="containsText" dxfId="2" priority="5365" operator="containsText" text="Yes">
      <formula>NOT(ISERROR(SEARCH(("Yes"),(P680))))</formula>
    </cfRule>
  </conditionalFormatting>
  <conditionalFormatting sqref="P680:P681 P683:P684 P686 P689 P691">
    <cfRule type="containsText" dxfId="9" priority="5366" operator="containsText" text="No">
      <formula>NOT(ISERROR(SEARCH(("No"),(P680))))</formula>
    </cfRule>
  </conditionalFormatting>
  <conditionalFormatting sqref="P680:P681 P683:P684 P686 P689 P691">
    <cfRule type="containsText" dxfId="2" priority="5367" operator="containsText" text="Yes">
      <formula>NOT(ISERROR(SEARCH(("Yes"),(P680))))</formula>
    </cfRule>
  </conditionalFormatting>
  <conditionalFormatting sqref="P680:P681 P683:P684 P686 P689 P691">
    <cfRule type="containsText" dxfId="9" priority="5368" operator="containsText" text="No">
      <formula>NOT(ISERROR(SEARCH(("No"),(P680))))</formula>
    </cfRule>
  </conditionalFormatting>
  <conditionalFormatting sqref="P680:P681 P683:P684 P686 P689 P691">
    <cfRule type="containsText" dxfId="2" priority="5369" operator="containsText" text="Yes">
      <formula>NOT(ISERROR(SEARCH(("Yes"),(P680))))</formula>
    </cfRule>
  </conditionalFormatting>
  <conditionalFormatting sqref="P680:P681 P683:P684 P686 P689 P691">
    <cfRule type="containsText" dxfId="9" priority="5370" operator="containsText" text="No">
      <formula>NOT(ISERROR(SEARCH(("No"),(P680))))</formula>
    </cfRule>
  </conditionalFormatting>
  <conditionalFormatting sqref="P680:P681 P683:P684 P686 P689 P691">
    <cfRule type="containsText" dxfId="2" priority="5371" operator="containsText" text="Yes">
      <formula>NOT(ISERROR(SEARCH(("Yes"),(P680))))</formula>
    </cfRule>
  </conditionalFormatting>
  <conditionalFormatting sqref="P680:P681 P683:P684 P686 P689 P691">
    <cfRule type="containsText" dxfId="9" priority="5372" operator="containsText" text="No">
      <formula>NOT(ISERROR(SEARCH(("No"),(P680))))</formula>
    </cfRule>
  </conditionalFormatting>
  <conditionalFormatting sqref="P680:P681 P683:P684 P686 P689 P691">
    <cfRule type="containsText" dxfId="2" priority="5373" operator="containsText" text="Yes">
      <formula>NOT(ISERROR(SEARCH(("Yes"),(P680))))</formula>
    </cfRule>
  </conditionalFormatting>
  <conditionalFormatting sqref="P680:P681 P683:P684 P686 P689 P691">
    <cfRule type="containsText" dxfId="9" priority="5374" operator="containsText" text="No">
      <formula>NOT(ISERROR(SEARCH(("No"),(P680))))</formula>
    </cfRule>
  </conditionalFormatting>
  <conditionalFormatting sqref="P680:P681 P683:P684 P686 P689 P691">
    <cfRule type="containsText" dxfId="2" priority="5375" operator="containsText" text="Yes">
      <formula>NOT(ISERROR(SEARCH(("Yes"),(P680))))</formula>
    </cfRule>
  </conditionalFormatting>
  <conditionalFormatting sqref="P680:P681 P683:P684 P686 P689 P691">
    <cfRule type="containsText" dxfId="9" priority="5376" operator="containsText" text="No">
      <formula>NOT(ISERROR(SEARCH(("No"),(P680))))</formula>
    </cfRule>
  </conditionalFormatting>
  <conditionalFormatting sqref="P680:P681 P683:P684 P686 P689 P691">
    <cfRule type="containsText" dxfId="2" priority="5377" operator="containsText" text="Yes">
      <formula>NOT(ISERROR(SEARCH(("Yes"),(P680))))</formula>
    </cfRule>
  </conditionalFormatting>
  <conditionalFormatting sqref="P680:P681 P683:P684 P686 P689 P691">
    <cfRule type="containsText" dxfId="9" priority="5378" operator="containsText" text="No">
      <formula>NOT(ISERROR(SEARCH(("No"),(P680))))</formula>
    </cfRule>
  </conditionalFormatting>
  <conditionalFormatting sqref="P680:P681 P683:P684 P686 P689 P691">
    <cfRule type="containsText" dxfId="2" priority="5379" operator="containsText" text="Yes">
      <formula>NOT(ISERROR(SEARCH(("Yes"),(P680))))</formula>
    </cfRule>
  </conditionalFormatting>
  <conditionalFormatting sqref="P680:P681 P683:P684 P686 P689 P691">
    <cfRule type="containsText" dxfId="9" priority="5380" operator="containsText" text="No">
      <formula>NOT(ISERROR(SEARCH(("No"),(P680))))</formula>
    </cfRule>
  </conditionalFormatting>
  <conditionalFormatting sqref="P680:P681 P683:P684 P686 P689 P691">
    <cfRule type="containsText" dxfId="2" priority="5381" operator="containsText" text="Yes">
      <formula>NOT(ISERROR(SEARCH(("Yes"),(P680))))</formula>
    </cfRule>
  </conditionalFormatting>
  <conditionalFormatting sqref="P680:P681 P683:P684 P686 P689 P691">
    <cfRule type="containsText" dxfId="9" priority="5382" operator="containsText" text="No">
      <formula>NOT(ISERROR(SEARCH(("No"),(P680))))</formula>
    </cfRule>
  </conditionalFormatting>
  <conditionalFormatting sqref="P680:P681 P683:P684 P686 P689 P691">
    <cfRule type="containsText" dxfId="2" priority="5383" operator="containsText" text="Yes">
      <formula>NOT(ISERROR(SEARCH(("Yes"),(P680))))</formula>
    </cfRule>
  </conditionalFormatting>
  <conditionalFormatting sqref="P680:P681 P683:P684 P686 P689 P691">
    <cfRule type="containsText" dxfId="9" priority="5384" operator="containsText" text="No">
      <formula>NOT(ISERROR(SEARCH(("No"),(P680))))</formula>
    </cfRule>
  </conditionalFormatting>
  <conditionalFormatting sqref="P680:P681 P683:P684 P686 P689 P691">
    <cfRule type="containsText" dxfId="2" priority="5385" operator="containsText" text="Yes">
      <formula>NOT(ISERROR(SEARCH(("Yes"),(P680))))</formula>
    </cfRule>
  </conditionalFormatting>
  <conditionalFormatting sqref="P680:P681 P683:P684 P686 P689 P691">
    <cfRule type="containsText" dxfId="9" priority="5386" operator="containsText" text="No">
      <formula>NOT(ISERROR(SEARCH(("No"),(P680))))</formula>
    </cfRule>
  </conditionalFormatting>
  <conditionalFormatting sqref="P680:P681 P683:P684 P686 P689 P691">
    <cfRule type="containsText" dxfId="2" priority="5387" operator="containsText" text="Yes">
      <formula>NOT(ISERROR(SEARCH(("Yes"),(P680))))</formula>
    </cfRule>
  </conditionalFormatting>
  <conditionalFormatting sqref="P680:P681 P683:P684 P686 P689 P691">
    <cfRule type="containsText" dxfId="9" priority="5388" operator="containsText" text="No">
      <formula>NOT(ISERROR(SEARCH(("No"),(P680))))</formula>
    </cfRule>
  </conditionalFormatting>
  <conditionalFormatting sqref="P680:P681 P683:P684 P686 P689 P691">
    <cfRule type="containsText" dxfId="2" priority="5389" operator="containsText" text="Yes">
      <formula>NOT(ISERROR(SEARCH(("Yes"),(P680))))</formula>
    </cfRule>
  </conditionalFormatting>
  <conditionalFormatting sqref="P680:P681 P683:P684 P686 P689 P691">
    <cfRule type="containsText" dxfId="9" priority="5390" operator="containsText" text="No">
      <formula>NOT(ISERROR(SEARCH(("No"),(P680))))</formula>
    </cfRule>
  </conditionalFormatting>
  <conditionalFormatting sqref="P680:P681 P683:P684 P686 P689 P691">
    <cfRule type="containsText" dxfId="2" priority="5391" operator="containsText" text="Yes">
      <formula>NOT(ISERROR(SEARCH(("Yes"),(P680))))</formula>
    </cfRule>
  </conditionalFormatting>
  <conditionalFormatting sqref="P680:P681 P683:P684 P686 P689 P691">
    <cfRule type="containsText" dxfId="9" priority="5392" operator="containsText" text="No">
      <formula>NOT(ISERROR(SEARCH(("No"),(P680))))</formula>
    </cfRule>
  </conditionalFormatting>
  <conditionalFormatting sqref="P680:P681 P683:P684 P686 P689 P691">
    <cfRule type="containsText" dxfId="2" priority="5393" operator="containsText" text="Yes">
      <formula>NOT(ISERROR(SEARCH(("Yes"),(P680))))</formula>
    </cfRule>
  </conditionalFormatting>
  <conditionalFormatting sqref="P680:P681 P683:P684 P686 P689 P691">
    <cfRule type="containsText" dxfId="9" priority="5394" operator="containsText" text="No">
      <formula>NOT(ISERROR(SEARCH(("No"),(P680))))</formula>
    </cfRule>
  </conditionalFormatting>
  <conditionalFormatting sqref="P680:P681 P683:P684 P686 P689 P691">
    <cfRule type="containsText" dxfId="2" priority="5395" operator="containsText" text="Yes">
      <formula>NOT(ISERROR(SEARCH(("Yes"),(P680))))</formula>
    </cfRule>
  </conditionalFormatting>
  <conditionalFormatting sqref="P680:P681 P683:P684 P686 P689 P691">
    <cfRule type="containsText" dxfId="9" priority="5396" operator="containsText" text="No">
      <formula>NOT(ISERROR(SEARCH(("No"),(P680))))</formula>
    </cfRule>
  </conditionalFormatting>
  <conditionalFormatting sqref="P680:P681 P683:P684 P686 P689 P691">
    <cfRule type="containsText" dxfId="2" priority="5397" operator="containsText" text="Yes">
      <formula>NOT(ISERROR(SEARCH(("Yes"),(P680))))</formula>
    </cfRule>
  </conditionalFormatting>
  <conditionalFormatting sqref="P680:P681 P683:P684 P686 P689 P691">
    <cfRule type="containsText" dxfId="9" priority="5398" operator="containsText" text="No">
      <formula>NOT(ISERROR(SEARCH(("No"),(P680))))</formula>
    </cfRule>
  </conditionalFormatting>
  <conditionalFormatting sqref="P680:P681 P683:P684 P686 P689 P691">
    <cfRule type="containsText" dxfId="2" priority="5399" operator="containsText" text="Yes">
      <formula>NOT(ISERROR(SEARCH(("Yes"),(P680))))</formula>
    </cfRule>
  </conditionalFormatting>
  <conditionalFormatting sqref="P680:P681 P683:P684 P686 P689 P691">
    <cfRule type="containsText" dxfId="9" priority="5400" operator="containsText" text="No">
      <formula>NOT(ISERROR(SEARCH(("No"),(P680))))</formula>
    </cfRule>
  </conditionalFormatting>
  <conditionalFormatting sqref="P680:P681 P683:P684 P686 P689 P691">
    <cfRule type="containsText" dxfId="2" priority="5401" operator="containsText" text="Yes">
      <formula>NOT(ISERROR(SEARCH(("Yes"),(P680))))</formula>
    </cfRule>
  </conditionalFormatting>
  <conditionalFormatting sqref="P680:P681 P683:P684 P686 P689 P691">
    <cfRule type="containsText" dxfId="9" priority="5402" operator="containsText" text="No">
      <formula>NOT(ISERROR(SEARCH(("No"),(P680))))</formula>
    </cfRule>
  </conditionalFormatting>
  <conditionalFormatting sqref="P680:P681 P683:P684 P686 P689 P691">
    <cfRule type="containsText" dxfId="9" priority="5403" operator="containsText" text="No">
      <formula>NOT(ISERROR(SEARCH(("No"),(P680))))</formula>
    </cfRule>
  </conditionalFormatting>
  <conditionalFormatting sqref="P680:P681 P683:P684 P686 P689 P691">
    <cfRule type="containsText" dxfId="9" priority="5404" operator="containsText" text="No">
      <formula>NOT(ISERROR(SEARCH(("No"),(P680))))</formula>
    </cfRule>
  </conditionalFormatting>
  <conditionalFormatting sqref="P680:P681 P683:P684 P686 P689 P691">
    <cfRule type="containsText" dxfId="2" priority="5405" operator="containsText" text="Yes">
      <formula>NOT(ISERROR(SEARCH(("Yes"),(P680))))</formula>
    </cfRule>
  </conditionalFormatting>
  <conditionalFormatting sqref="P680:P681 P683:P684 P686 P689 P691">
    <cfRule type="containsText" dxfId="9" priority="5406" operator="containsText" text="No">
      <formula>NOT(ISERROR(SEARCH(("No"),(P680))))</formula>
    </cfRule>
  </conditionalFormatting>
  <conditionalFormatting sqref="P680:P681 P683:P684 P686 P689 P691">
    <cfRule type="containsText" dxfId="9" priority="5407" operator="containsText" text="No">
      <formula>NOT(ISERROR(SEARCH(("No"),(P680))))</formula>
    </cfRule>
  </conditionalFormatting>
  <conditionalFormatting sqref="P680:P681 P683:P684 P686 P689 P691">
    <cfRule type="containsText" dxfId="9" priority="5408" operator="containsText" text="No">
      <formula>NOT(ISERROR(SEARCH(("No"),(P680))))</formula>
    </cfRule>
  </conditionalFormatting>
  <conditionalFormatting sqref="P680:P681 P683:P684 P686 P689 P691">
    <cfRule type="containsText" dxfId="2" priority="5409" operator="containsText" text="Yes">
      <formula>NOT(ISERROR(SEARCH(("Yes"),(P680))))</formula>
    </cfRule>
  </conditionalFormatting>
  <conditionalFormatting sqref="P680:P681 P683:P684 P686 P689 P691">
    <cfRule type="containsText" dxfId="9" priority="5410" operator="containsText" text="No">
      <formula>NOT(ISERROR(SEARCH(("No"),(P680))))</formula>
    </cfRule>
  </conditionalFormatting>
  <conditionalFormatting sqref="P680:P681 P683:P684 P686 P689 P691">
    <cfRule type="containsText" dxfId="9" priority="5411" operator="containsText" text="No">
      <formula>NOT(ISERROR(SEARCH(("No"),(P680))))</formula>
    </cfRule>
  </conditionalFormatting>
  <conditionalFormatting sqref="P680:P681 P683:P684 P686 P689 P691">
    <cfRule type="containsText" dxfId="9" priority="5412" operator="containsText" text="No">
      <formula>NOT(ISERROR(SEARCH(("No"),(P680))))</formula>
    </cfRule>
  </conditionalFormatting>
  <conditionalFormatting sqref="P680:P681 P683:P684 P686 P689 P691">
    <cfRule type="containsText" dxfId="2" priority="5413" operator="containsText" text="Yes">
      <formula>NOT(ISERROR(SEARCH(("Yes"),(P680))))</formula>
    </cfRule>
  </conditionalFormatting>
  <conditionalFormatting sqref="P680:P681 P683:P684 P686 P689 P691">
    <cfRule type="containsText" dxfId="9" priority="5414" operator="containsText" text="No">
      <formula>NOT(ISERROR(SEARCH(("No"),(P680))))</formula>
    </cfRule>
  </conditionalFormatting>
  <conditionalFormatting sqref="P680:P681 P683:P684 P686 P689 P691">
    <cfRule type="containsText" dxfId="9" priority="5415" operator="containsText" text="No">
      <formula>NOT(ISERROR(SEARCH(("No"),(P680))))</formula>
    </cfRule>
  </conditionalFormatting>
  <conditionalFormatting sqref="P682:P692 U692">
    <cfRule type="containsText" dxfId="9" priority="5416" operator="containsText" text="No">
      <formula>NOT(ISERROR(SEARCH(("No"),(P682))))</formula>
    </cfRule>
  </conditionalFormatting>
  <conditionalFormatting sqref="P692 U692">
    <cfRule type="containsText" dxfId="2" priority="5417" operator="containsText" text="Yes">
      <formula>NOT(ISERROR(SEARCH(("Yes"),(P692))))</formula>
    </cfRule>
  </conditionalFormatting>
  <conditionalFormatting sqref="P692 U692">
    <cfRule type="containsText" dxfId="2" priority="5418" operator="containsText" text="Yes">
      <formula>NOT(ISERROR(SEARCH(("Yes"),(P692))))</formula>
    </cfRule>
  </conditionalFormatting>
  <conditionalFormatting sqref="P692 U692">
    <cfRule type="containsText" dxfId="9" priority="5419" operator="containsText" text="No">
      <formula>NOT(ISERROR(SEARCH(("No"),(P692))))</formula>
    </cfRule>
  </conditionalFormatting>
  <conditionalFormatting sqref="P692 U692">
    <cfRule type="containsText" dxfId="2" priority="5420" operator="containsText" text="Yes">
      <formula>NOT(ISERROR(SEARCH(("Yes"),(P692))))</formula>
    </cfRule>
  </conditionalFormatting>
  <conditionalFormatting sqref="P692 U692">
    <cfRule type="containsText" dxfId="9" priority="5421" operator="containsText" text="No">
      <formula>NOT(ISERROR(SEARCH(("No"),(P692))))</formula>
    </cfRule>
  </conditionalFormatting>
  <conditionalFormatting sqref="P692 U692">
    <cfRule type="containsText" dxfId="2" priority="5422" operator="containsText" text="Yes">
      <formula>NOT(ISERROR(SEARCH(("Yes"),(P692))))</formula>
    </cfRule>
  </conditionalFormatting>
  <conditionalFormatting sqref="P692 U692">
    <cfRule type="containsText" dxfId="9" priority="5423" operator="containsText" text="No">
      <formula>NOT(ISERROR(SEARCH(("No"),(P692))))</formula>
    </cfRule>
  </conditionalFormatting>
  <conditionalFormatting sqref="P692 U692">
    <cfRule type="containsText" dxfId="2" priority="5424" operator="containsText" text="Yes">
      <formula>NOT(ISERROR(SEARCH(("Yes"),(P692))))</formula>
    </cfRule>
  </conditionalFormatting>
  <conditionalFormatting sqref="P692 U692">
    <cfRule type="containsText" dxfId="9" priority="5425" operator="containsText" text="No">
      <formula>NOT(ISERROR(SEARCH(("No"),(P692))))</formula>
    </cfRule>
  </conditionalFormatting>
  <conditionalFormatting sqref="P692 U692">
    <cfRule type="containsText" dxfId="2" priority="5426" operator="containsText" text="Yes">
      <formula>NOT(ISERROR(SEARCH(("Yes"),(P692))))</formula>
    </cfRule>
  </conditionalFormatting>
  <conditionalFormatting sqref="P692 U692">
    <cfRule type="containsText" dxfId="9" priority="5427" operator="containsText" text="No">
      <formula>NOT(ISERROR(SEARCH(("No"),(P692))))</formula>
    </cfRule>
  </conditionalFormatting>
  <conditionalFormatting sqref="P692 U692">
    <cfRule type="containsText" dxfId="2" priority="5428" operator="containsText" text="Yes">
      <formula>NOT(ISERROR(SEARCH(("Yes"),(P692))))</formula>
    </cfRule>
  </conditionalFormatting>
  <conditionalFormatting sqref="P692 U692">
    <cfRule type="containsText" dxfId="9" priority="5429" operator="containsText" text="No">
      <formula>NOT(ISERROR(SEARCH(("No"),(P692))))</formula>
    </cfRule>
  </conditionalFormatting>
  <conditionalFormatting sqref="P692 U692">
    <cfRule type="containsText" dxfId="2" priority="5430" operator="containsText" text="Yes">
      <formula>NOT(ISERROR(SEARCH(("Yes"),(P692))))</formula>
    </cfRule>
  </conditionalFormatting>
  <conditionalFormatting sqref="P692 U692">
    <cfRule type="containsText" dxfId="9" priority="5431" operator="containsText" text="No">
      <formula>NOT(ISERROR(SEARCH(("No"),(P692))))</formula>
    </cfRule>
  </conditionalFormatting>
  <conditionalFormatting sqref="P692 U692">
    <cfRule type="containsText" dxfId="2" priority="5432" operator="containsText" text="Yes">
      <formula>NOT(ISERROR(SEARCH(("Yes"),(P692))))</formula>
    </cfRule>
  </conditionalFormatting>
  <conditionalFormatting sqref="P692 U692">
    <cfRule type="containsText" dxfId="9" priority="5433" operator="containsText" text="No">
      <formula>NOT(ISERROR(SEARCH(("No"),(P692))))</formula>
    </cfRule>
  </conditionalFormatting>
  <conditionalFormatting sqref="P692 U692">
    <cfRule type="containsText" dxfId="2" priority="5434" operator="containsText" text="Yes">
      <formula>NOT(ISERROR(SEARCH(("Yes"),(P692))))</formula>
    </cfRule>
  </conditionalFormatting>
  <conditionalFormatting sqref="P692 U692">
    <cfRule type="containsText" dxfId="9" priority="5435" operator="containsText" text="No">
      <formula>NOT(ISERROR(SEARCH(("No"),(P692))))</formula>
    </cfRule>
  </conditionalFormatting>
  <conditionalFormatting sqref="P692 U692">
    <cfRule type="containsText" dxfId="2" priority="5436" operator="containsText" text="Yes">
      <formula>NOT(ISERROR(SEARCH(("Yes"),(P692))))</formula>
    </cfRule>
  </conditionalFormatting>
  <conditionalFormatting sqref="P692 U692">
    <cfRule type="containsText" dxfId="9" priority="5437" operator="containsText" text="No">
      <formula>NOT(ISERROR(SEARCH(("No"),(P692))))</formula>
    </cfRule>
  </conditionalFormatting>
  <conditionalFormatting sqref="P692 U692">
    <cfRule type="containsText" dxfId="2" priority="5438" operator="containsText" text="Yes">
      <formula>NOT(ISERROR(SEARCH(("Yes"),(P692))))</formula>
    </cfRule>
  </conditionalFormatting>
  <conditionalFormatting sqref="P692 U692">
    <cfRule type="containsText" dxfId="9" priority="5439" operator="containsText" text="No">
      <formula>NOT(ISERROR(SEARCH(("No"),(P692))))</formula>
    </cfRule>
  </conditionalFormatting>
  <conditionalFormatting sqref="P692 U692">
    <cfRule type="containsText" dxfId="2" priority="5440" operator="containsText" text="Yes">
      <formula>NOT(ISERROR(SEARCH(("Yes"),(P692))))</formula>
    </cfRule>
  </conditionalFormatting>
  <conditionalFormatting sqref="P692 U692">
    <cfRule type="containsText" dxfId="9" priority="5441" operator="containsText" text="No">
      <formula>NOT(ISERROR(SEARCH(("No"),(P692))))</formula>
    </cfRule>
  </conditionalFormatting>
  <conditionalFormatting sqref="P692 U692">
    <cfRule type="containsText" dxfId="2" priority="5442" operator="containsText" text="Yes">
      <formula>NOT(ISERROR(SEARCH(("Yes"),(P692))))</formula>
    </cfRule>
  </conditionalFormatting>
  <conditionalFormatting sqref="P692 U692">
    <cfRule type="containsText" dxfId="9" priority="5443" operator="containsText" text="No">
      <formula>NOT(ISERROR(SEARCH(("No"),(P692))))</formula>
    </cfRule>
  </conditionalFormatting>
  <conditionalFormatting sqref="P692 U692">
    <cfRule type="containsText" dxfId="2" priority="5444" operator="containsText" text="Yes">
      <formula>NOT(ISERROR(SEARCH(("Yes"),(P692))))</formula>
    </cfRule>
  </conditionalFormatting>
  <conditionalFormatting sqref="P692 U692">
    <cfRule type="containsText" dxfId="9" priority="5445" operator="containsText" text="No">
      <formula>NOT(ISERROR(SEARCH(("No"),(P692))))</formula>
    </cfRule>
  </conditionalFormatting>
  <conditionalFormatting sqref="P692 U692">
    <cfRule type="containsText" dxfId="2" priority="5446" operator="containsText" text="Yes">
      <formula>NOT(ISERROR(SEARCH(("Yes"),(P692))))</formula>
    </cfRule>
  </conditionalFormatting>
  <conditionalFormatting sqref="P692 U692">
    <cfRule type="containsText" dxfId="9" priority="5447" operator="containsText" text="No">
      <formula>NOT(ISERROR(SEARCH(("No"),(P692))))</formula>
    </cfRule>
  </conditionalFormatting>
  <conditionalFormatting sqref="P692 U692">
    <cfRule type="containsText" dxfId="2" priority="5448" operator="containsText" text="Yes">
      <formula>NOT(ISERROR(SEARCH(("Yes"),(P692))))</formula>
    </cfRule>
  </conditionalFormatting>
  <conditionalFormatting sqref="P692 U692">
    <cfRule type="containsText" dxfId="9" priority="5449" operator="containsText" text="No">
      <formula>NOT(ISERROR(SEARCH(("No"),(P692))))</formula>
    </cfRule>
  </conditionalFormatting>
  <conditionalFormatting sqref="P692 U692">
    <cfRule type="containsText" dxfId="2" priority="5450" operator="containsText" text="Yes">
      <formula>NOT(ISERROR(SEARCH(("Yes"),(P692))))</formula>
    </cfRule>
  </conditionalFormatting>
  <conditionalFormatting sqref="P692 U692">
    <cfRule type="containsText" dxfId="9" priority="5451" operator="containsText" text="No">
      <formula>NOT(ISERROR(SEARCH(("No"),(P692))))</formula>
    </cfRule>
  </conditionalFormatting>
  <conditionalFormatting sqref="P692 U692">
    <cfRule type="containsText" dxfId="2" priority="5452" operator="containsText" text="Yes">
      <formula>NOT(ISERROR(SEARCH(("Yes"),(P692))))</formula>
    </cfRule>
  </conditionalFormatting>
  <conditionalFormatting sqref="P692 U692">
    <cfRule type="containsText" dxfId="9" priority="5453" operator="containsText" text="No">
      <formula>NOT(ISERROR(SEARCH(("No"),(P692))))</formula>
    </cfRule>
  </conditionalFormatting>
  <conditionalFormatting sqref="P692 U692">
    <cfRule type="containsText" dxfId="2" priority="5454" operator="containsText" text="Yes">
      <formula>NOT(ISERROR(SEARCH(("Yes"),(P692))))</formula>
    </cfRule>
  </conditionalFormatting>
  <conditionalFormatting sqref="P692 U692">
    <cfRule type="containsText" dxfId="9" priority="5455" operator="containsText" text="No">
      <formula>NOT(ISERROR(SEARCH(("No"),(P692))))</formula>
    </cfRule>
  </conditionalFormatting>
  <conditionalFormatting sqref="P692 U692">
    <cfRule type="containsText" dxfId="2" priority="5456" operator="containsText" text="Yes">
      <formula>NOT(ISERROR(SEARCH(("Yes"),(P692))))</formula>
    </cfRule>
  </conditionalFormatting>
  <conditionalFormatting sqref="P692 U692">
    <cfRule type="containsText" dxfId="9" priority="5457" operator="containsText" text="No">
      <formula>NOT(ISERROR(SEARCH(("No"),(P692))))</formula>
    </cfRule>
  </conditionalFormatting>
  <conditionalFormatting sqref="P692 U692">
    <cfRule type="containsText" dxfId="2" priority="5458" operator="containsText" text="Yes">
      <formula>NOT(ISERROR(SEARCH(("Yes"),(P692))))</formula>
    </cfRule>
  </conditionalFormatting>
  <conditionalFormatting sqref="P692 U692">
    <cfRule type="containsText" dxfId="9" priority="5459" operator="containsText" text="No">
      <formula>NOT(ISERROR(SEARCH(("No"),(P692))))</formula>
    </cfRule>
  </conditionalFormatting>
  <conditionalFormatting sqref="P692 U692">
    <cfRule type="containsText" dxfId="2" priority="5460" operator="containsText" text="Yes">
      <formula>NOT(ISERROR(SEARCH(("Yes"),(P692))))</formula>
    </cfRule>
  </conditionalFormatting>
  <conditionalFormatting sqref="P692 U692">
    <cfRule type="containsText" dxfId="9" priority="5461" operator="containsText" text="No">
      <formula>NOT(ISERROR(SEARCH(("No"),(P692))))</formula>
    </cfRule>
  </conditionalFormatting>
  <conditionalFormatting sqref="P692 U692">
    <cfRule type="containsText" dxfId="2" priority="5462" operator="containsText" text="Yes">
      <formula>NOT(ISERROR(SEARCH(("Yes"),(P692))))</formula>
    </cfRule>
  </conditionalFormatting>
  <conditionalFormatting sqref="P692 U692">
    <cfRule type="containsText" dxfId="9" priority="5463" operator="containsText" text="No">
      <formula>NOT(ISERROR(SEARCH(("No"),(P692))))</formula>
    </cfRule>
  </conditionalFormatting>
  <conditionalFormatting sqref="P692 U692">
    <cfRule type="containsText" dxfId="2" priority="5464" operator="containsText" text="Yes">
      <formula>NOT(ISERROR(SEARCH(("Yes"),(P692))))</formula>
    </cfRule>
  </conditionalFormatting>
  <conditionalFormatting sqref="P692 U692">
    <cfRule type="containsText" dxfId="9" priority="5465" operator="containsText" text="No">
      <formula>NOT(ISERROR(SEARCH(("No"),(P692))))</formula>
    </cfRule>
  </conditionalFormatting>
  <conditionalFormatting sqref="P692 U692">
    <cfRule type="containsText" dxfId="2" priority="5466" operator="containsText" text="Yes">
      <formula>NOT(ISERROR(SEARCH(("Yes"),(P692))))</formula>
    </cfRule>
  </conditionalFormatting>
  <conditionalFormatting sqref="P692 U692">
    <cfRule type="containsText" dxfId="9" priority="5467" operator="containsText" text="No">
      <formula>NOT(ISERROR(SEARCH(("No"),(P692))))</formula>
    </cfRule>
  </conditionalFormatting>
  <conditionalFormatting sqref="P692 U692">
    <cfRule type="containsText" dxfId="2" priority="5468" operator="containsText" text="Yes">
      <formula>NOT(ISERROR(SEARCH(("Yes"),(P692))))</formula>
    </cfRule>
  </conditionalFormatting>
  <conditionalFormatting sqref="P692 U692">
    <cfRule type="containsText" dxfId="9" priority="5469" operator="containsText" text="No">
      <formula>NOT(ISERROR(SEARCH(("No"),(P692))))</formula>
    </cfRule>
  </conditionalFormatting>
  <conditionalFormatting sqref="P692 U692">
    <cfRule type="containsText" dxfId="2" priority="5470" operator="containsText" text="Yes">
      <formula>NOT(ISERROR(SEARCH(("Yes"),(P692))))</formula>
    </cfRule>
  </conditionalFormatting>
  <conditionalFormatting sqref="P692 U692">
    <cfRule type="containsText" dxfId="9" priority="5471" operator="containsText" text="No">
      <formula>NOT(ISERROR(SEARCH(("No"),(P692))))</formula>
    </cfRule>
  </conditionalFormatting>
  <conditionalFormatting sqref="P692 U692">
    <cfRule type="containsText" dxfId="2" priority="5472" operator="containsText" text="Yes">
      <formula>NOT(ISERROR(SEARCH(("Yes"),(P692))))</formula>
    </cfRule>
  </conditionalFormatting>
  <conditionalFormatting sqref="P692 U692">
    <cfRule type="containsText" dxfId="9" priority="5473" operator="containsText" text="No">
      <formula>NOT(ISERROR(SEARCH(("No"),(P692))))</formula>
    </cfRule>
  </conditionalFormatting>
  <conditionalFormatting sqref="P692 U692">
    <cfRule type="containsText" dxfId="2" priority="5474" operator="containsText" text="Yes">
      <formula>NOT(ISERROR(SEARCH(("Yes"),(P692))))</formula>
    </cfRule>
  </conditionalFormatting>
  <conditionalFormatting sqref="P692 U692">
    <cfRule type="containsText" dxfId="9" priority="5475" operator="containsText" text="No">
      <formula>NOT(ISERROR(SEARCH(("No"),(P692))))</formula>
    </cfRule>
  </conditionalFormatting>
  <conditionalFormatting sqref="P692 U692">
    <cfRule type="containsText" dxfId="2" priority="5476" operator="containsText" text="Yes">
      <formula>NOT(ISERROR(SEARCH(("Yes"),(P692))))</formula>
    </cfRule>
  </conditionalFormatting>
  <conditionalFormatting sqref="P692 U692">
    <cfRule type="containsText" dxfId="9" priority="5477" operator="containsText" text="No">
      <formula>NOT(ISERROR(SEARCH(("No"),(P692))))</formula>
    </cfRule>
  </conditionalFormatting>
  <conditionalFormatting sqref="P692 U692">
    <cfRule type="containsText" dxfId="2" priority="5478" operator="containsText" text="Yes">
      <formula>NOT(ISERROR(SEARCH(("Yes"),(P692))))</formula>
    </cfRule>
  </conditionalFormatting>
  <conditionalFormatting sqref="P692 U692">
    <cfRule type="containsText" dxfId="9" priority="5479" operator="containsText" text="No">
      <formula>NOT(ISERROR(SEARCH(("No"),(P692))))</formula>
    </cfRule>
  </conditionalFormatting>
  <conditionalFormatting sqref="P692 U692">
    <cfRule type="containsText" dxfId="2" priority="5480" operator="containsText" text="Yes">
      <formula>NOT(ISERROR(SEARCH(("Yes"),(P692))))</formula>
    </cfRule>
  </conditionalFormatting>
  <conditionalFormatting sqref="P692 U692">
    <cfRule type="containsText" dxfId="9" priority="5481" operator="containsText" text="No">
      <formula>NOT(ISERROR(SEARCH(("No"),(P692))))</formula>
    </cfRule>
  </conditionalFormatting>
  <conditionalFormatting sqref="P692 U692">
    <cfRule type="containsText" dxfId="2" priority="5482" operator="containsText" text="Yes">
      <formula>NOT(ISERROR(SEARCH(("Yes"),(P692))))</formula>
    </cfRule>
  </conditionalFormatting>
  <conditionalFormatting sqref="P692 U692">
    <cfRule type="containsText" dxfId="9" priority="5483" operator="containsText" text="No">
      <formula>NOT(ISERROR(SEARCH(("No"),(P692))))</formula>
    </cfRule>
  </conditionalFormatting>
  <conditionalFormatting sqref="P692 U692">
    <cfRule type="containsText" dxfId="2" priority="5484" operator="containsText" text="Yes">
      <formula>NOT(ISERROR(SEARCH(("Yes"),(P692))))</formula>
    </cfRule>
  </conditionalFormatting>
  <conditionalFormatting sqref="P692 U692">
    <cfRule type="containsText" dxfId="9" priority="5485" operator="containsText" text="No">
      <formula>NOT(ISERROR(SEARCH(("No"),(P692))))</formula>
    </cfRule>
  </conditionalFormatting>
  <conditionalFormatting sqref="P692 U692">
    <cfRule type="containsText" dxfId="2" priority="5486" operator="containsText" text="Yes">
      <formula>NOT(ISERROR(SEARCH(("Yes"),(P692))))</formula>
    </cfRule>
  </conditionalFormatting>
  <conditionalFormatting sqref="P692 U692">
    <cfRule type="containsText" dxfId="9" priority="5487" operator="containsText" text="No">
      <formula>NOT(ISERROR(SEARCH(("No"),(P692))))</formula>
    </cfRule>
  </conditionalFormatting>
  <conditionalFormatting sqref="P692 U692">
    <cfRule type="containsText" dxfId="2" priority="5488" operator="containsText" text="Yes">
      <formula>NOT(ISERROR(SEARCH(("Yes"),(P692))))</formula>
    </cfRule>
  </conditionalFormatting>
  <conditionalFormatting sqref="P692 U692">
    <cfRule type="containsText" dxfId="9" priority="5489" operator="containsText" text="No">
      <formula>NOT(ISERROR(SEARCH(("No"),(P692))))</formula>
    </cfRule>
  </conditionalFormatting>
  <conditionalFormatting sqref="P692 U692">
    <cfRule type="containsText" dxfId="2" priority="5490" operator="containsText" text="Yes">
      <formula>NOT(ISERROR(SEARCH(("Yes"),(P692))))</formula>
    </cfRule>
  </conditionalFormatting>
  <conditionalFormatting sqref="P692 U692">
    <cfRule type="containsText" dxfId="9" priority="5491" operator="containsText" text="No">
      <formula>NOT(ISERROR(SEARCH(("No"),(P692))))</formula>
    </cfRule>
  </conditionalFormatting>
  <conditionalFormatting sqref="P692 U692">
    <cfRule type="containsText" dxfId="2" priority="5492" operator="containsText" text="Yes">
      <formula>NOT(ISERROR(SEARCH(("Yes"),(P692))))</formula>
    </cfRule>
  </conditionalFormatting>
  <conditionalFormatting sqref="P692 U692">
    <cfRule type="containsText" dxfId="9" priority="5493" operator="containsText" text="No">
      <formula>NOT(ISERROR(SEARCH(("No"),(P692))))</formula>
    </cfRule>
  </conditionalFormatting>
  <conditionalFormatting sqref="P692 U692">
    <cfRule type="containsText" dxfId="2" priority="5494" operator="containsText" text="Yes">
      <formula>NOT(ISERROR(SEARCH(("Yes"),(P692))))</formula>
    </cfRule>
  </conditionalFormatting>
  <conditionalFormatting sqref="P692 U692">
    <cfRule type="containsText" dxfId="9" priority="5495" operator="containsText" text="No">
      <formula>NOT(ISERROR(SEARCH(("No"),(P692))))</formula>
    </cfRule>
  </conditionalFormatting>
  <conditionalFormatting sqref="P692 U692">
    <cfRule type="containsText" dxfId="2" priority="5496" operator="containsText" text="Yes">
      <formula>NOT(ISERROR(SEARCH(("Yes"),(P692))))</formula>
    </cfRule>
  </conditionalFormatting>
  <conditionalFormatting sqref="P692 U692">
    <cfRule type="containsText" dxfId="9" priority="5497" operator="containsText" text="No">
      <formula>NOT(ISERROR(SEARCH(("No"),(P692))))</formula>
    </cfRule>
  </conditionalFormatting>
  <conditionalFormatting sqref="P692 U692">
    <cfRule type="containsText" dxfId="2" priority="5498" operator="containsText" text="Yes">
      <formula>NOT(ISERROR(SEARCH(("Yes"),(P692))))</formula>
    </cfRule>
  </conditionalFormatting>
  <conditionalFormatting sqref="P692 U692">
    <cfRule type="containsText" dxfId="9" priority="5499" operator="containsText" text="No">
      <formula>NOT(ISERROR(SEARCH(("No"),(P692))))</formula>
    </cfRule>
  </conditionalFormatting>
  <conditionalFormatting sqref="P692 U692">
    <cfRule type="containsText" dxfId="2" priority="5500" operator="containsText" text="Yes">
      <formula>NOT(ISERROR(SEARCH(("Yes"),(P692))))</formula>
    </cfRule>
  </conditionalFormatting>
  <conditionalFormatting sqref="P692 U692">
    <cfRule type="containsText" dxfId="9" priority="5501" operator="containsText" text="No">
      <formula>NOT(ISERROR(SEARCH(("No"),(P692))))</formula>
    </cfRule>
  </conditionalFormatting>
  <conditionalFormatting sqref="P692 U692">
    <cfRule type="containsText" dxfId="2" priority="5502" operator="containsText" text="Yes">
      <formula>NOT(ISERROR(SEARCH(("Yes"),(P692))))</formula>
    </cfRule>
  </conditionalFormatting>
  <conditionalFormatting sqref="P692 U692">
    <cfRule type="containsText" dxfId="9" priority="5503" operator="containsText" text="No">
      <formula>NOT(ISERROR(SEARCH(("No"),(P692))))</formula>
    </cfRule>
  </conditionalFormatting>
  <conditionalFormatting sqref="P692 U692">
    <cfRule type="containsText" dxfId="2" priority="5504" operator="containsText" text="Yes">
      <formula>NOT(ISERROR(SEARCH(("Yes"),(P692))))</formula>
    </cfRule>
  </conditionalFormatting>
  <conditionalFormatting sqref="P692 U692">
    <cfRule type="containsText" dxfId="2" priority="5505" operator="containsText" text="Yes">
      <formula>NOT(ISERROR(SEARCH(("Yes"),(P692))))</formula>
    </cfRule>
  </conditionalFormatting>
  <conditionalFormatting sqref="P692 U692">
    <cfRule type="containsText" dxfId="2" priority="5506" operator="containsText" text="Yes">
      <formula>NOT(ISERROR(SEARCH(("Yes"),(P692))))</formula>
    </cfRule>
  </conditionalFormatting>
  <conditionalFormatting sqref="P692:P693 U692">
    <cfRule type="containsText" dxfId="9" priority="5507" operator="containsText" text="No">
      <formula>NOT(ISERROR(SEARCH(("No"),(P692))))</formula>
    </cfRule>
  </conditionalFormatting>
  <conditionalFormatting sqref="P693">
    <cfRule type="containsText" dxfId="9" priority="5508" operator="containsText" text="No">
      <formula>NOT(ISERROR(SEARCH(("No"),(P693))))</formula>
    </cfRule>
  </conditionalFormatting>
  <conditionalFormatting sqref="P693">
    <cfRule type="containsText" dxfId="2" priority="5509" operator="containsText" text="Yes">
      <formula>NOT(ISERROR(SEARCH(("Yes"),(P693))))</formula>
    </cfRule>
  </conditionalFormatting>
  <conditionalFormatting sqref="P693">
    <cfRule type="containsText" dxfId="2" priority="5510" operator="containsText" text="Yes">
      <formula>NOT(ISERROR(SEARCH(("Yes"),(P693))))</formula>
    </cfRule>
  </conditionalFormatting>
  <conditionalFormatting sqref="P693">
    <cfRule type="containsText" dxfId="9" priority="5511" operator="containsText" text="No">
      <formula>NOT(ISERROR(SEARCH(("No"),(P693))))</formula>
    </cfRule>
  </conditionalFormatting>
  <conditionalFormatting sqref="P693">
    <cfRule type="containsText" dxfId="2" priority="5512" operator="containsText" text="Yes">
      <formula>NOT(ISERROR(SEARCH(("Yes"),(P693))))</formula>
    </cfRule>
  </conditionalFormatting>
  <conditionalFormatting sqref="P693">
    <cfRule type="containsText" dxfId="9" priority="5513" operator="containsText" text="No">
      <formula>NOT(ISERROR(SEARCH(("No"),(P693))))</formula>
    </cfRule>
  </conditionalFormatting>
  <conditionalFormatting sqref="P693">
    <cfRule type="containsText" dxfId="2" priority="5514" operator="containsText" text="Yes">
      <formula>NOT(ISERROR(SEARCH(("Yes"),(P693))))</formula>
    </cfRule>
  </conditionalFormatting>
  <conditionalFormatting sqref="P693">
    <cfRule type="containsText" dxfId="9" priority="5515" operator="containsText" text="No">
      <formula>NOT(ISERROR(SEARCH(("No"),(P693))))</formula>
    </cfRule>
  </conditionalFormatting>
  <conditionalFormatting sqref="P693">
    <cfRule type="containsText" dxfId="2" priority="5516" operator="containsText" text="Yes">
      <formula>NOT(ISERROR(SEARCH(("Yes"),(P693))))</formula>
    </cfRule>
  </conditionalFormatting>
  <conditionalFormatting sqref="P693">
    <cfRule type="containsText" dxfId="9" priority="5517" operator="containsText" text="No">
      <formula>NOT(ISERROR(SEARCH(("No"),(P693))))</formula>
    </cfRule>
  </conditionalFormatting>
  <conditionalFormatting sqref="P693">
    <cfRule type="containsText" dxfId="2" priority="5518" operator="containsText" text="Yes">
      <formula>NOT(ISERROR(SEARCH(("Yes"),(P693))))</formula>
    </cfRule>
  </conditionalFormatting>
  <conditionalFormatting sqref="P693">
    <cfRule type="containsText" dxfId="9" priority="5519" operator="containsText" text="No">
      <formula>NOT(ISERROR(SEARCH(("No"),(P693))))</formula>
    </cfRule>
  </conditionalFormatting>
  <conditionalFormatting sqref="P693">
    <cfRule type="containsText" dxfId="2" priority="5520" operator="containsText" text="Yes">
      <formula>NOT(ISERROR(SEARCH(("Yes"),(P693))))</formula>
    </cfRule>
  </conditionalFormatting>
  <conditionalFormatting sqref="P693">
    <cfRule type="containsText" dxfId="9" priority="5521" operator="containsText" text="No">
      <formula>NOT(ISERROR(SEARCH(("No"),(P693))))</formula>
    </cfRule>
  </conditionalFormatting>
  <conditionalFormatting sqref="P693">
    <cfRule type="containsText" dxfId="2" priority="5522" operator="containsText" text="Yes">
      <formula>NOT(ISERROR(SEARCH(("Yes"),(P693))))</formula>
    </cfRule>
  </conditionalFormatting>
  <conditionalFormatting sqref="P693">
    <cfRule type="containsText" dxfId="9" priority="5523" operator="containsText" text="No">
      <formula>NOT(ISERROR(SEARCH(("No"),(P693))))</formula>
    </cfRule>
  </conditionalFormatting>
  <conditionalFormatting sqref="P693">
    <cfRule type="containsText" dxfId="2" priority="5524" operator="containsText" text="Yes">
      <formula>NOT(ISERROR(SEARCH(("Yes"),(P693))))</formula>
    </cfRule>
  </conditionalFormatting>
  <conditionalFormatting sqref="P693">
    <cfRule type="containsText" dxfId="9" priority="5525" operator="containsText" text="No">
      <formula>NOT(ISERROR(SEARCH(("No"),(P693))))</formula>
    </cfRule>
  </conditionalFormatting>
  <conditionalFormatting sqref="P693">
    <cfRule type="containsText" dxfId="2" priority="5526" operator="containsText" text="Yes">
      <formula>NOT(ISERROR(SEARCH(("Yes"),(P693))))</formula>
    </cfRule>
  </conditionalFormatting>
  <conditionalFormatting sqref="P693">
    <cfRule type="containsText" dxfId="9" priority="5527" operator="containsText" text="No">
      <formula>NOT(ISERROR(SEARCH(("No"),(P693))))</formula>
    </cfRule>
  </conditionalFormatting>
  <conditionalFormatting sqref="P693">
    <cfRule type="containsText" dxfId="2" priority="5528" operator="containsText" text="Yes">
      <formula>NOT(ISERROR(SEARCH(("Yes"),(P693))))</formula>
    </cfRule>
  </conditionalFormatting>
  <conditionalFormatting sqref="P693">
    <cfRule type="containsText" dxfId="9" priority="5529" operator="containsText" text="No">
      <formula>NOT(ISERROR(SEARCH(("No"),(P693))))</formula>
    </cfRule>
  </conditionalFormatting>
  <conditionalFormatting sqref="P693">
    <cfRule type="containsText" dxfId="2" priority="5530" operator="containsText" text="Yes">
      <formula>NOT(ISERROR(SEARCH(("Yes"),(P693))))</formula>
    </cfRule>
  </conditionalFormatting>
  <conditionalFormatting sqref="P693">
    <cfRule type="containsText" dxfId="9" priority="5531" operator="containsText" text="No">
      <formula>NOT(ISERROR(SEARCH(("No"),(P693))))</formula>
    </cfRule>
  </conditionalFormatting>
  <conditionalFormatting sqref="P693">
    <cfRule type="containsText" dxfId="2" priority="5532" operator="containsText" text="Yes">
      <formula>NOT(ISERROR(SEARCH(("Yes"),(P693))))</formula>
    </cfRule>
  </conditionalFormatting>
  <conditionalFormatting sqref="P693">
    <cfRule type="containsText" dxfId="9" priority="5533" operator="containsText" text="No">
      <formula>NOT(ISERROR(SEARCH(("No"),(P693))))</formula>
    </cfRule>
  </conditionalFormatting>
  <conditionalFormatting sqref="P693">
    <cfRule type="containsText" dxfId="2" priority="5534" operator="containsText" text="Yes">
      <formula>NOT(ISERROR(SEARCH(("Yes"),(P693))))</formula>
    </cfRule>
  </conditionalFormatting>
  <conditionalFormatting sqref="P693">
    <cfRule type="containsText" dxfId="9" priority="5535" operator="containsText" text="No">
      <formula>NOT(ISERROR(SEARCH(("No"),(P693))))</formula>
    </cfRule>
  </conditionalFormatting>
  <conditionalFormatting sqref="P693">
    <cfRule type="containsText" dxfId="2" priority="5536" operator="containsText" text="Yes">
      <formula>NOT(ISERROR(SEARCH(("Yes"),(P693))))</formula>
    </cfRule>
  </conditionalFormatting>
  <conditionalFormatting sqref="P693">
    <cfRule type="containsText" dxfId="9" priority="5537" operator="containsText" text="No">
      <formula>NOT(ISERROR(SEARCH(("No"),(P693))))</formula>
    </cfRule>
  </conditionalFormatting>
  <conditionalFormatting sqref="P693">
    <cfRule type="containsText" dxfId="2" priority="5538" operator="containsText" text="Yes">
      <formula>NOT(ISERROR(SEARCH(("Yes"),(P693))))</formula>
    </cfRule>
  </conditionalFormatting>
  <conditionalFormatting sqref="P693">
    <cfRule type="containsText" dxfId="9" priority="5539" operator="containsText" text="No">
      <formula>NOT(ISERROR(SEARCH(("No"),(P693))))</formula>
    </cfRule>
  </conditionalFormatting>
  <conditionalFormatting sqref="P693">
    <cfRule type="containsText" dxfId="2" priority="5540" operator="containsText" text="Yes">
      <formula>NOT(ISERROR(SEARCH(("Yes"),(P693))))</formula>
    </cfRule>
  </conditionalFormatting>
  <conditionalFormatting sqref="P693">
    <cfRule type="containsText" dxfId="9" priority="5541" operator="containsText" text="No">
      <formula>NOT(ISERROR(SEARCH(("No"),(P693))))</formula>
    </cfRule>
  </conditionalFormatting>
  <conditionalFormatting sqref="P693">
    <cfRule type="containsText" dxfId="2" priority="5542" operator="containsText" text="Yes">
      <formula>NOT(ISERROR(SEARCH(("Yes"),(P693))))</formula>
    </cfRule>
  </conditionalFormatting>
  <conditionalFormatting sqref="P693">
    <cfRule type="containsText" dxfId="9" priority="5543" operator="containsText" text="No">
      <formula>NOT(ISERROR(SEARCH(("No"),(P693))))</formula>
    </cfRule>
  </conditionalFormatting>
  <conditionalFormatting sqref="P693">
    <cfRule type="containsText" dxfId="2" priority="5544" operator="containsText" text="Yes">
      <formula>NOT(ISERROR(SEARCH(("Yes"),(P693))))</formula>
    </cfRule>
  </conditionalFormatting>
  <conditionalFormatting sqref="P693">
    <cfRule type="containsText" dxfId="9" priority="5545" operator="containsText" text="No">
      <formula>NOT(ISERROR(SEARCH(("No"),(P693))))</formula>
    </cfRule>
  </conditionalFormatting>
  <conditionalFormatting sqref="P693">
    <cfRule type="containsText" dxfId="2" priority="5546" operator="containsText" text="Yes">
      <formula>NOT(ISERROR(SEARCH(("Yes"),(P693))))</formula>
    </cfRule>
  </conditionalFormatting>
  <conditionalFormatting sqref="P693">
    <cfRule type="containsText" dxfId="9" priority="5547" operator="containsText" text="No">
      <formula>NOT(ISERROR(SEARCH(("No"),(P693))))</formula>
    </cfRule>
  </conditionalFormatting>
  <conditionalFormatting sqref="P693">
    <cfRule type="containsText" dxfId="2" priority="5548" operator="containsText" text="Yes">
      <formula>NOT(ISERROR(SEARCH(("Yes"),(P693))))</formula>
    </cfRule>
  </conditionalFormatting>
  <conditionalFormatting sqref="P693">
    <cfRule type="containsText" dxfId="9" priority="5549" operator="containsText" text="No">
      <formula>NOT(ISERROR(SEARCH(("No"),(P693))))</formula>
    </cfRule>
  </conditionalFormatting>
  <conditionalFormatting sqref="P693">
    <cfRule type="containsText" dxfId="2" priority="5550" operator="containsText" text="Yes">
      <formula>NOT(ISERROR(SEARCH(("Yes"),(P693))))</formula>
    </cfRule>
  </conditionalFormatting>
  <conditionalFormatting sqref="P693">
    <cfRule type="containsText" dxfId="9" priority="5551" operator="containsText" text="No">
      <formula>NOT(ISERROR(SEARCH(("No"),(P693))))</formula>
    </cfRule>
  </conditionalFormatting>
  <conditionalFormatting sqref="P693">
    <cfRule type="containsText" dxfId="2" priority="5552" operator="containsText" text="Yes">
      <formula>NOT(ISERROR(SEARCH(("Yes"),(P693))))</formula>
    </cfRule>
  </conditionalFormatting>
  <conditionalFormatting sqref="P693">
    <cfRule type="containsText" dxfId="9" priority="5553" operator="containsText" text="No">
      <formula>NOT(ISERROR(SEARCH(("No"),(P693))))</formula>
    </cfRule>
  </conditionalFormatting>
  <conditionalFormatting sqref="P693">
    <cfRule type="containsText" dxfId="2" priority="5554" operator="containsText" text="Yes">
      <formula>NOT(ISERROR(SEARCH(("Yes"),(P693))))</formula>
    </cfRule>
  </conditionalFormatting>
  <conditionalFormatting sqref="P693">
    <cfRule type="containsText" dxfId="9" priority="5555" operator="containsText" text="No">
      <formula>NOT(ISERROR(SEARCH(("No"),(P693))))</formula>
    </cfRule>
  </conditionalFormatting>
  <conditionalFormatting sqref="P693">
    <cfRule type="containsText" dxfId="2" priority="5556" operator="containsText" text="Yes">
      <formula>NOT(ISERROR(SEARCH(("Yes"),(P693))))</formula>
    </cfRule>
  </conditionalFormatting>
  <conditionalFormatting sqref="P693">
    <cfRule type="containsText" dxfId="9" priority="5557" operator="containsText" text="No">
      <formula>NOT(ISERROR(SEARCH(("No"),(P693))))</formula>
    </cfRule>
  </conditionalFormatting>
  <conditionalFormatting sqref="P693">
    <cfRule type="containsText" dxfId="2" priority="5558" operator="containsText" text="Yes">
      <formula>NOT(ISERROR(SEARCH(("Yes"),(P693))))</formula>
    </cfRule>
  </conditionalFormatting>
  <conditionalFormatting sqref="P693">
    <cfRule type="containsText" dxfId="9" priority="5559" operator="containsText" text="No">
      <formula>NOT(ISERROR(SEARCH(("No"),(P693))))</formula>
    </cfRule>
  </conditionalFormatting>
  <conditionalFormatting sqref="P693">
    <cfRule type="containsText" dxfId="2" priority="5560" operator="containsText" text="Yes">
      <formula>NOT(ISERROR(SEARCH(("Yes"),(P693))))</formula>
    </cfRule>
  </conditionalFormatting>
  <conditionalFormatting sqref="P693">
    <cfRule type="containsText" dxfId="9" priority="5561" operator="containsText" text="No">
      <formula>NOT(ISERROR(SEARCH(("No"),(P693))))</formula>
    </cfRule>
  </conditionalFormatting>
  <conditionalFormatting sqref="P693">
    <cfRule type="containsText" dxfId="2" priority="5562" operator="containsText" text="Yes">
      <formula>NOT(ISERROR(SEARCH(("Yes"),(P693))))</formula>
    </cfRule>
  </conditionalFormatting>
  <conditionalFormatting sqref="P693">
    <cfRule type="containsText" dxfId="9" priority="5563" operator="containsText" text="No">
      <formula>NOT(ISERROR(SEARCH(("No"),(P693))))</formula>
    </cfRule>
  </conditionalFormatting>
  <conditionalFormatting sqref="P693">
    <cfRule type="containsText" dxfId="2" priority="5564" operator="containsText" text="Yes">
      <formula>NOT(ISERROR(SEARCH(("Yes"),(P693))))</formula>
    </cfRule>
  </conditionalFormatting>
  <conditionalFormatting sqref="P693">
    <cfRule type="containsText" dxfId="9" priority="5565" operator="containsText" text="No">
      <formula>NOT(ISERROR(SEARCH(("No"),(P693))))</formula>
    </cfRule>
  </conditionalFormatting>
  <conditionalFormatting sqref="P693">
    <cfRule type="containsText" dxfId="2" priority="5566" operator="containsText" text="Yes">
      <formula>NOT(ISERROR(SEARCH(("Yes"),(P693))))</formula>
    </cfRule>
  </conditionalFormatting>
  <conditionalFormatting sqref="P693">
    <cfRule type="containsText" dxfId="9" priority="5567" operator="containsText" text="No">
      <formula>NOT(ISERROR(SEARCH(("No"),(P693))))</formula>
    </cfRule>
  </conditionalFormatting>
  <conditionalFormatting sqref="P693">
    <cfRule type="containsText" dxfId="2" priority="5568" operator="containsText" text="Yes">
      <formula>NOT(ISERROR(SEARCH(("Yes"),(P693))))</formula>
    </cfRule>
  </conditionalFormatting>
  <conditionalFormatting sqref="P693">
    <cfRule type="containsText" dxfId="9" priority="5569" operator="containsText" text="No">
      <formula>NOT(ISERROR(SEARCH(("No"),(P693))))</formula>
    </cfRule>
  </conditionalFormatting>
  <conditionalFormatting sqref="P693">
    <cfRule type="containsText" dxfId="2" priority="5570" operator="containsText" text="Yes">
      <formula>NOT(ISERROR(SEARCH(("Yes"),(P693))))</formula>
    </cfRule>
  </conditionalFormatting>
  <conditionalFormatting sqref="P693">
    <cfRule type="containsText" dxfId="9" priority="5571" operator="containsText" text="No">
      <formula>NOT(ISERROR(SEARCH(("No"),(P693))))</formula>
    </cfRule>
  </conditionalFormatting>
  <conditionalFormatting sqref="P693">
    <cfRule type="containsText" dxfId="2" priority="5572" operator="containsText" text="Yes">
      <formula>NOT(ISERROR(SEARCH(("Yes"),(P693))))</formula>
    </cfRule>
  </conditionalFormatting>
  <conditionalFormatting sqref="P693">
    <cfRule type="containsText" dxfId="9" priority="5573" operator="containsText" text="No">
      <formula>NOT(ISERROR(SEARCH(("No"),(P693))))</formula>
    </cfRule>
  </conditionalFormatting>
  <conditionalFormatting sqref="P693">
    <cfRule type="containsText" dxfId="2" priority="5574" operator="containsText" text="Yes">
      <formula>NOT(ISERROR(SEARCH(("Yes"),(P693))))</formula>
    </cfRule>
  </conditionalFormatting>
  <conditionalFormatting sqref="P693">
    <cfRule type="containsText" dxfId="9" priority="5575" operator="containsText" text="No">
      <formula>NOT(ISERROR(SEARCH(("No"),(P693))))</formula>
    </cfRule>
  </conditionalFormatting>
  <conditionalFormatting sqref="P693">
    <cfRule type="containsText" dxfId="2" priority="5576" operator="containsText" text="Yes">
      <formula>NOT(ISERROR(SEARCH(("Yes"),(P693))))</formula>
    </cfRule>
  </conditionalFormatting>
  <conditionalFormatting sqref="P693">
    <cfRule type="containsText" dxfId="9" priority="5577" operator="containsText" text="No">
      <formula>NOT(ISERROR(SEARCH(("No"),(P693))))</formula>
    </cfRule>
  </conditionalFormatting>
  <conditionalFormatting sqref="P693">
    <cfRule type="containsText" dxfId="2" priority="5578" operator="containsText" text="Yes">
      <formula>NOT(ISERROR(SEARCH(("Yes"),(P693))))</formula>
    </cfRule>
  </conditionalFormatting>
  <conditionalFormatting sqref="P693">
    <cfRule type="containsText" dxfId="9" priority="5579" operator="containsText" text="No">
      <formula>NOT(ISERROR(SEARCH(("No"),(P693))))</formula>
    </cfRule>
  </conditionalFormatting>
  <conditionalFormatting sqref="P693">
    <cfRule type="containsText" dxfId="2" priority="5580" operator="containsText" text="Yes">
      <formula>NOT(ISERROR(SEARCH(("Yes"),(P693))))</formula>
    </cfRule>
  </conditionalFormatting>
  <conditionalFormatting sqref="P693">
    <cfRule type="containsText" dxfId="9" priority="5581" operator="containsText" text="No">
      <formula>NOT(ISERROR(SEARCH(("No"),(P693))))</formula>
    </cfRule>
  </conditionalFormatting>
  <conditionalFormatting sqref="P693">
    <cfRule type="containsText" dxfId="2" priority="5582" operator="containsText" text="Yes">
      <formula>NOT(ISERROR(SEARCH(("Yes"),(P693))))</formula>
    </cfRule>
  </conditionalFormatting>
  <conditionalFormatting sqref="P693">
    <cfRule type="containsText" dxfId="9" priority="5583" operator="containsText" text="No">
      <formula>NOT(ISERROR(SEARCH(("No"),(P693))))</formula>
    </cfRule>
  </conditionalFormatting>
  <conditionalFormatting sqref="P693">
    <cfRule type="containsText" dxfId="2" priority="5584" operator="containsText" text="Yes">
      <formula>NOT(ISERROR(SEARCH(("Yes"),(P693))))</formula>
    </cfRule>
  </conditionalFormatting>
  <conditionalFormatting sqref="P693">
    <cfRule type="containsText" dxfId="9" priority="5585" operator="containsText" text="No">
      <formula>NOT(ISERROR(SEARCH(("No"),(P693))))</formula>
    </cfRule>
  </conditionalFormatting>
  <conditionalFormatting sqref="P693">
    <cfRule type="containsText" dxfId="2" priority="5586" operator="containsText" text="Yes">
      <formula>NOT(ISERROR(SEARCH(("Yes"),(P693))))</formula>
    </cfRule>
  </conditionalFormatting>
  <conditionalFormatting sqref="P693">
    <cfRule type="containsText" dxfId="9" priority="5587" operator="containsText" text="No">
      <formula>NOT(ISERROR(SEARCH(("No"),(P693))))</formula>
    </cfRule>
  </conditionalFormatting>
  <conditionalFormatting sqref="P693">
    <cfRule type="containsText" dxfId="2" priority="5588" operator="containsText" text="Yes">
      <formula>NOT(ISERROR(SEARCH(("Yes"),(P693))))</formula>
    </cfRule>
  </conditionalFormatting>
  <conditionalFormatting sqref="P693">
    <cfRule type="containsText" dxfId="9" priority="5589" operator="containsText" text="No">
      <formula>NOT(ISERROR(SEARCH(("No"),(P693))))</formula>
    </cfRule>
  </conditionalFormatting>
  <conditionalFormatting sqref="P693">
    <cfRule type="containsText" dxfId="2" priority="5590" operator="containsText" text="Yes">
      <formula>NOT(ISERROR(SEARCH(("Yes"),(P693))))</formula>
    </cfRule>
  </conditionalFormatting>
  <conditionalFormatting sqref="P693">
    <cfRule type="containsText" dxfId="9" priority="5591" operator="containsText" text="No">
      <formula>NOT(ISERROR(SEARCH(("No"),(P693))))</formula>
    </cfRule>
  </conditionalFormatting>
  <conditionalFormatting sqref="P693">
    <cfRule type="containsText" dxfId="2" priority="5592" operator="containsText" text="Yes">
      <formula>NOT(ISERROR(SEARCH(("Yes"),(P693))))</formula>
    </cfRule>
  </conditionalFormatting>
  <conditionalFormatting sqref="P693">
    <cfRule type="containsText" dxfId="9" priority="5593" operator="containsText" text="No">
      <formula>NOT(ISERROR(SEARCH(("No"),(P693))))</formula>
    </cfRule>
  </conditionalFormatting>
  <conditionalFormatting sqref="P693">
    <cfRule type="containsText" dxfId="2" priority="5594" operator="containsText" text="Yes">
      <formula>NOT(ISERROR(SEARCH(("Yes"),(P693))))</formula>
    </cfRule>
  </conditionalFormatting>
  <conditionalFormatting sqref="P693">
    <cfRule type="containsText" dxfId="9" priority="5595" operator="containsText" text="No">
      <formula>NOT(ISERROR(SEARCH(("No"),(P693))))</formula>
    </cfRule>
  </conditionalFormatting>
  <conditionalFormatting sqref="P693">
    <cfRule type="containsText" dxfId="2" priority="5596" operator="containsText" text="Yes">
      <formula>NOT(ISERROR(SEARCH(("Yes"),(P693))))</formula>
    </cfRule>
  </conditionalFormatting>
  <conditionalFormatting sqref="P693">
    <cfRule type="containsText" dxfId="2" priority="5597" operator="containsText" text="Yes">
      <formula>NOT(ISERROR(SEARCH(("Yes"),(P693))))</formula>
    </cfRule>
  </conditionalFormatting>
  <conditionalFormatting sqref="P693">
    <cfRule type="containsText" dxfId="2" priority="5598" operator="containsText" text="Yes">
      <formula>NOT(ISERROR(SEARCH(("Yes"),(P693))))</formula>
    </cfRule>
  </conditionalFormatting>
  <conditionalFormatting sqref="P694:P698">
    <cfRule type="containsText" dxfId="9" priority="5599" operator="containsText" text="No">
      <formula>NOT(ISERROR(SEARCH(("No"),(P694))))</formula>
    </cfRule>
  </conditionalFormatting>
  <conditionalFormatting sqref="P694:P698">
    <cfRule type="containsText" dxfId="2" priority="5600" operator="containsText" text="Yes">
      <formula>NOT(ISERROR(SEARCH(("Yes"),(P694))))</formula>
    </cfRule>
  </conditionalFormatting>
  <conditionalFormatting sqref="P694:P698">
    <cfRule type="containsText" dxfId="2" priority="5601" operator="containsText" text="Yes">
      <formula>NOT(ISERROR(SEARCH(("Yes"),(P694))))</formula>
    </cfRule>
  </conditionalFormatting>
  <conditionalFormatting sqref="P694:P698">
    <cfRule type="containsText" dxfId="9" priority="5602" operator="containsText" text="No">
      <formula>NOT(ISERROR(SEARCH(("No"),(P694))))</formula>
    </cfRule>
  </conditionalFormatting>
  <conditionalFormatting sqref="P694:P698">
    <cfRule type="containsText" dxfId="2" priority="5603" operator="containsText" text="Yes">
      <formula>NOT(ISERROR(SEARCH(("Yes"),(P694))))</formula>
    </cfRule>
  </conditionalFormatting>
  <conditionalFormatting sqref="P694:P698">
    <cfRule type="containsText" dxfId="9" priority="5604" operator="containsText" text="No">
      <formula>NOT(ISERROR(SEARCH(("No"),(P694))))</formula>
    </cfRule>
  </conditionalFormatting>
  <conditionalFormatting sqref="P694:P698">
    <cfRule type="containsText" dxfId="2" priority="5605" operator="containsText" text="Yes">
      <formula>NOT(ISERROR(SEARCH(("Yes"),(P694))))</formula>
    </cfRule>
  </conditionalFormatting>
  <conditionalFormatting sqref="P694:P698">
    <cfRule type="containsText" dxfId="9" priority="5606" operator="containsText" text="No">
      <formula>NOT(ISERROR(SEARCH(("No"),(P694))))</formula>
    </cfRule>
  </conditionalFormatting>
  <conditionalFormatting sqref="P694:P698">
    <cfRule type="containsText" dxfId="2" priority="5607" operator="containsText" text="Yes">
      <formula>NOT(ISERROR(SEARCH(("Yes"),(P694))))</formula>
    </cfRule>
  </conditionalFormatting>
  <conditionalFormatting sqref="P694:P698">
    <cfRule type="containsText" dxfId="9" priority="5608" operator="containsText" text="No">
      <formula>NOT(ISERROR(SEARCH(("No"),(P694))))</formula>
    </cfRule>
  </conditionalFormatting>
  <conditionalFormatting sqref="P694:P698">
    <cfRule type="containsText" dxfId="2" priority="5609" operator="containsText" text="Yes">
      <formula>NOT(ISERROR(SEARCH(("Yes"),(P694))))</formula>
    </cfRule>
  </conditionalFormatting>
  <conditionalFormatting sqref="P694:P698">
    <cfRule type="containsText" dxfId="9" priority="5610" operator="containsText" text="No">
      <formula>NOT(ISERROR(SEARCH(("No"),(P694))))</formula>
    </cfRule>
  </conditionalFormatting>
  <conditionalFormatting sqref="P694:P698">
    <cfRule type="containsText" dxfId="2" priority="5611" operator="containsText" text="Yes">
      <formula>NOT(ISERROR(SEARCH(("Yes"),(P694))))</formula>
    </cfRule>
  </conditionalFormatting>
  <conditionalFormatting sqref="P694:P698">
    <cfRule type="containsText" dxfId="9" priority="5612" operator="containsText" text="No">
      <formula>NOT(ISERROR(SEARCH(("No"),(P694))))</formula>
    </cfRule>
  </conditionalFormatting>
  <conditionalFormatting sqref="P694:P698">
    <cfRule type="containsText" dxfId="2" priority="5613" operator="containsText" text="Yes">
      <formula>NOT(ISERROR(SEARCH(("Yes"),(P694))))</formula>
    </cfRule>
  </conditionalFormatting>
  <conditionalFormatting sqref="P694:P698">
    <cfRule type="containsText" dxfId="9" priority="5614" operator="containsText" text="No">
      <formula>NOT(ISERROR(SEARCH(("No"),(P694))))</formula>
    </cfRule>
  </conditionalFormatting>
  <conditionalFormatting sqref="P694:P698">
    <cfRule type="containsText" dxfId="2" priority="5615" operator="containsText" text="Yes">
      <formula>NOT(ISERROR(SEARCH(("Yes"),(P694))))</formula>
    </cfRule>
  </conditionalFormatting>
  <conditionalFormatting sqref="P694:P698">
    <cfRule type="containsText" dxfId="9" priority="5616" operator="containsText" text="No">
      <formula>NOT(ISERROR(SEARCH(("No"),(P694))))</formula>
    </cfRule>
  </conditionalFormatting>
  <conditionalFormatting sqref="P694:P698">
    <cfRule type="containsText" dxfId="2" priority="5617" operator="containsText" text="Yes">
      <formula>NOT(ISERROR(SEARCH(("Yes"),(P694))))</formula>
    </cfRule>
  </conditionalFormatting>
  <conditionalFormatting sqref="P694:P698">
    <cfRule type="containsText" dxfId="9" priority="5618" operator="containsText" text="No">
      <formula>NOT(ISERROR(SEARCH(("No"),(P694))))</formula>
    </cfRule>
  </conditionalFormatting>
  <conditionalFormatting sqref="P694:P698">
    <cfRule type="containsText" dxfId="2" priority="5619" operator="containsText" text="Yes">
      <formula>NOT(ISERROR(SEARCH(("Yes"),(P694))))</formula>
    </cfRule>
  </conditionalFormatting>
  <conditionalFormatting sqref="P694:P698">
    <cfRule type="containsText" dxfId="9" priority="5620" operator="containsText" text="No">
      <formula>NOT(ISERROR(SEARCH(("No"),(P694))))</formula>
    </cfRule>
  </conditionalFormatting>
  <conditionalFormatting sqref="P694:P698">
    <cfRule type="containsText" dxfId="2" priority="5621" operator="containsText" text="Yes">
      <formula>NOT(ISERROR(SEARCH(("Yes"),(P694))))</formula>
    </cfRule>
  </conditionalFormatting>
  <conditionalFormatting sqref="P694:P698">
    <cfRule type="containsText" dxfId="9" priority="5622" operator="containsText" text="No">
      <formula>NOT(ISERROR(SEARCH(("No"),(P694))))</formula>
    </cfRule>
  </conditionalFormatting>
  <conditionalFormatting sqref="P694:P698">
    <cfRule type="containsText" dxfId="2" priority="5623" operator="containsText" text="Yes">
      <formula>NOT(ISERROR(SEARCH(("Yes"),(P694))))</formula>
    </cfRule>
  </conditionalFormatting>
  <conditionalFormatting sqref="P694:P698">
    <cfRule type="containsText" dxfId="9" priority="5624" operator="containsText" text="No">
      <formula>NOT(ISERROR(SEARCH(("No"),(P694))))</formula>
    </cfRule>
  </conditionalFormatting>
  <conditionalFormatting sqref="P694:P698">
    <cfRule type="containsText" dxfId="2" priority="5625" operator="containsText" text="Yes">
      <formula>NOT(ISERROR(SEARCH(("Yes"),(P694))))</formula>
    </cfRule>
  </conditionalFormatting>
  <conditionalFormatting sqref="P694:P698">
    <cfRule type="containsText" dxfId="9" priority="5626" operator="containsText" text="No">
      <formula>NOT(ISERROR(SEARCH(("No"),(P694))))</formula>
    </cfRule>
  </conditionalFormatting>
  <conditionalFormatting sqref="P694:P698">
    <cfRule type="containsText" dxfId="2" priority="5627" operator="containsText" text="Yes">
      <formula>NOT(ISERROR(SEARCH(("Yes"),(P694))))</formula>
    </cfRule>
  </conditionalFormatting>
  <conditionalFormatting sqref="P694:P698">
    <cfRule type="containsText" dxfId="9" priority="5628" operator="containsText" text="No">
      <formula>NOT(ISERROR(SEARCH(("No"),(P694))))</formula>
    </cfRule>
  </conditionalFormatting>
  <conditionalFormatting sqref="P694:P698">
    <cfRule type="containsText" dxfId="2" priority="5629" operator="containsText" text="Yes">
      <formula>NOT(ISERROR(SEARCH(("Yes"),(P694))))</formula>
    </cfRule>
  </conditionalFormatting>
  <conditionalFormatting sqref="P694:P698">
    <cfRule type="containsText" dxfId="9" priority="5630" operator="containsText" text="No">
      <formula>NOT(ISERROR(SEARCH(("No"),(P694))))</formula>
    </cfRule>
  </conditionalFormatting>
  <conditionalFormatting sqref="P694:P698">
    <cfRule type="containsText" dxfId="2" priority="5631" operator="containsText" text="Yes">
      <formula>NOT(ISERROR(SEARCH(("Yes"),(P694))))</formula>
    </cfRule>
  </conditionalFormatting>
  <conditionalFormatting sqref="P694:P698">
    <cfRule type="containsText" dxfId="9" priority="5632" operator="containsText" text="No">
      <formula>NOT(ISERROR(SEARCH(("No"),(P694))))</formula>
    </cfRule>
  </conditionalFormatting>
  <conditionalFormatting sqref="P694:P698">
    <cfRule type="containsText" dxfId="2" priority="5633" operator="containsText" text="Yes">
      <formula>NOT(ISERROR(SEARCH(("Yes"),(P694))))</formula>
    </cfRule>
  </conditionalFormatting>
  <conditionalFormatting sqref="P694:P698">
    <cfRule type="containsText" dxfId="9" priority="5634" operator="containsText" text="No">
      <formula>NOT(ISERROR(SEARCH(("No"),(P694))))</formula>
    </cfRule>
  </conditionalFormatting>
  <conditionalFormatting sqref="P694:P698">
    <cfRule type="containsText" dxfId="2" priority="5635" operator="containsText" text="Yes">
      <formula>NOT(ISERROR(SEARCH(("Yes"),(P694))))</formula>
    </cfRule>
  </conditionalFormatting>
  <conditionalFormatting sqref="P694:P698">
    <cfRule type="containsText" dxfId="9" priority="5636" operator="containsText" text="No">
      <formula>NOT(ISERROR(SEARCH(("No"),(P694))))</formula>
    </cfRule>
  </conditionalFormatting>
  <conditionalFormatting sqref="P694:P698">
    <cfRule type="containsText" dxfId="2" priority="5637" operator="containsText" text="Yes">
      <formula>NOT(ISERROR(SEARCH(("Yes"),(P694))))</formula>
    </cfRule>
  </conditionalFormatting>
  <conditionalFormatting sqref="P694:P698">
    <cfRule type="containsText" dxfId="9" priority="5638" operator="containsText" text="No">
      <formula>NOT(ISERROR(SEARCH(("No"),(P694))))</formula>
    </cfRule>
  </conditionalFormatting>
  <conditionalFormatting sqref="P694:P698">
    <cfRule type="containsText" dxfId="2" priority="5639" operator="containsText" text="Yes">
      <formula>NOT(ISERROR(SEARCH(("Yes"),(P694))))</formula>
    </cfRule>
  </conditionalFormatting>
  <conditionalFormatting sqref="P694:P698">
    <cfRule type="containsText" dxfId="9" priority="5640" operator="containsText" text="No">
      <formula>NOT(ISERROR(SEARCH(("No"),(P694))))</formula>
    </cfRule>
  </conditionalFormatting>
  <conditionalFormatting sqref="P694:P698">
    <cfRule type="containsText" dxfId="2" priority="5641" operator="containsText" text="Yes">
      <formula>NOT(ISERROR(SEARCH(("Yes"),(P694))))</formula>
    </cfRule>
  </conditionalFormatting>
  <conditionalFormatting sqref="P694:P698">
    <cfRule type="containsText" dxfId="9" priority="5642" operator="containsText" text="No">
      <formula>NOT(ISERROR(SEARCH(("No"),(P694))))</formula>
    </cfRule>
  </conditionalFormatting>
  <conditionalFormatting sqref="P694:P698">
    <cfRule type="containsText" dxfId="2" priority="5643" operator="containsText" text="Yes">
      <formula>NOT(ISERROR(SEARCH(("Yes"),(P694))))</formula>
    </cfRule>
  </conditionalFormatting>
  <conditionalFormatting sqref="P694:P698">
    <cfRule type="containsText" dxfId="9" priority="5644" operator="containsText" text="No">
      <formula>NOT(ISERROR(SEARCH(("No"),(P694))))</formula>
    </cfRule>
  </conditionalFormatting>
  <conditionalFormatting sqref="P694:P698">
    <cfRule type="containsText" dxfId="2" priority="5645" operator="containsText" text="Yes">
      <formula>NOT(ISERROR(SEARCH(("Yes"),(P694))))</formula>
    </cfRule>
  </conditionalFormatting>
  <conditionalFormatting sqref="P694:P698">
    <cfRule type="containsText" dxfId="9" priority="5646" operator="containsText" text="No">
      <formula>NOT(ISERROR(SEARCH(("No"),(P694))))</formula>
    </cfRule>
  </conditionalFormatting>
  <conditionalFormatting sqref="P694:P698">
    <cfRule type="containsText" dxfId="2" priority="5647" operator="containsText" text="Yes">
      <formula>NOT(ISERROR(SEARCH(("Yes"),(P694))))</formula>
    </cfRule>
  </conditionalFormatting>
  <conditionalFormatting sqref="P694:P698">
    <cfRule type="containsText" dxfId="9" priority="5648" operator="containsText" text="No">
      <formula>NOT(ISERROR(SEARCH(("No"),(P694))))</formula>
    </cfRule>
  </conditionalFormatting>
  <conditionalFormatting sqref="P694:P698">
    <cfRule type="containsText" dxfId="2" priority="5649" operator="containsText" text="Yes">
      <formula>NOT(ISERROR(SEARCH(("Yes"),(P694))))</formula>
    </cfRule>
  </conditionalFormatting>
  <conditionalFormatting sqref="P694:P698">
    <cfRule type="containsText" dxfId="9" priority="5650" operator="containsText" text="No">
      <formula>NOT(ISERROR(SEARCH(("No"),(P694))))</formula>
    </cfRule>
  </conditionalFormatting>
  <conditionalFormatting sqref="P694:P698">
    <cfRule type="containsText" dxfId="2" priority="5651" operator="containsText" text="Yes">
      <formula>NOT(ISERROR(SEARCH(("Yes"),(P694))))</formula>
    </cfRule>
  </conditionalFormatting>
  <conditionalFormatting sqref="P694:P698">
    <cfRule type="containsText" dxfId="9" priority="5652" operator="containsText" text="No">
      <formula>NOT(ISERROR(SEARCH(("No"),(P694))))</formula>
    </cfRule>
  </conditionalFormatting>
  <conditionalFormatting sqref="P694:P698">
    <cfRule type="containsText" dxfId="2" priority="5653" operator="containsText" text="Yes">
      <formula>NOT(ISERROR(SEARCH(("Yes"),(P694))))</formula>
    </cfRule>
  </conditionalFormatting>
  <conditionalFormatting sqref="P694:P698">
    <cfRule type="containsText" dxfId="9" priority="5654" operator="containsText" text="No">
      <formula>NOT(ISERROR(SEARCH(("No"),(P694))))</formula>
    </cfRule>
  </conditionalFormatting>
  <conditionalFormatting sqref="P694:P698">
    <cfRule type="containsText" dxfId="2" priority="5655" operator="containsText" text="Yes">
      <formula>NOT(ISERROR(SEARCH(("Yes"),(P694))))</formula>
    </cfRule>
  </conditionalFormatting>
  <conditionalFormatting sqref="P694:P698">
    <cfRule type="containsText" dxfId="9" priority="5656" operator="containsText" text="No">
      <formula>NOT(ISERROR(SEARCH(("No"),(P694))))</formula>
    </cfRule>
  </conditionalFormatting>
  <conditionalFormatting sqref="P694:P698">
    <cfRule type="containsText" dxfId="2" priority="5657" operator="containsText" text="Yes">
      <formula>NOT(ISERROR(SEARCH(("Yes"),(P694))))</formula>
    </cfRule>
  </conditionalFormatting>
  <conditionalFormatting sqref="P694:P698">
    <cfRule type="containsText" dxfId="9" priority="5658" operator="containsText" text="No">
      <formula>NOT(ISERROR(SEARCH(("No"),(P694))))</formula>
    </cfRule>
  </conditionalFormatting>
  <conditionalFormatting sqref="P694:P698">
    <cfRule type="containsText" dxfId="2" priority="5659" operator="containsText" text="Yes">
      <formula>NOT(ISERROR(SEARCH(("Yes"),(P694))))</formula>
    </cfRule>
  </conditionalFormatting>
  <conditionalFormatting sqref="P694:P698">
    <cfRule type="containsText" dxfId="9" priority="5660" operator="containsText" text="No">
      <formula>NOT(ISERROR(SEARCH(("No"),(P694))))</formula>
    </cfRule>
  </conditionalFormatting>
  <conditionalFormatting sqref="P694:P698">
    <cfRule type="containsText" dxfId="2" priority="5661" operator="containsText" text="Yes">
      <formula>NOT(ISERROR(SEARCH(("Yes"),(P694))))</formula>
    </cfRule>
  </conditionalFormatting>
  <conditionalFormatting sqref="P694:P698">
    <cfRule type="containsText" dxfId="9" priority="5662" operator="containsText" text="No">
      <formula>NOT(ISERROR(SEARCH(("No"),(P694))))</formula>
    </cfRule>
  </conditionalFormatting>
  <conditionalFormatting sqref="P694:P698">
    <cfRule type="containsText" dxfId="2" priority="5663" operator="containsText" text="Yes">
      <formula>NOT(ISERROR(SEARCH(("Yes"),(P694))))</formula>
    </cfRule>
  </conditionalFormatting>
  <conditionalFormatting sqref="P694:P698">
    <cfRule type="containsText" dxfId="9" priority="5664" operator="containsText" text="No">
      <formula>NOT(ISERROR(SEARCH(("No"),(P694))))</formula>
    </cfRule>
  </conditionalFormatting>
  <conditionalFormatting sqref="P694:P698">
    <cfRule type="containsText" dxfId="2" priority="5665" operator="containsText" text="Yes">
      <formula>NOT(ISERROR(SEARCH(("Yes"),(P694))))</formula>
    </cfRule>
  </conditionalFormatting>
  <conditionalFormatting sqref="P694:P698">
    <cfRule type="containsText" dxfId="9" priority="5666" operator="containsText" text="No">
      <formula>NOT(ISERROR(SEARCH(("No"),(P694))))</formula>
    </cfRule>
  </conditionalFormatting>
  <conditionalFormatting sqref="P694:P698">
    <cfRule type="containsText" dxfId="2" priority="5667" operator="containsText" text="Yes">
      <formula>NOT(ISERROR(SEARCH(("Yes"),(P694))))</formula>
    </cfRule>
  </conditionalFormatting>
  <conditionalFormatting sqref="P694:P698">
    <cfRule type="containsText" dxfId="9" priority="5668" operator="containsText" text="No">
      <formula>NOT(ISERROR(SEARCH(("No"),(P694))))</formula>
    </cfRule>
  </conditionalFormatting>
  <conditionalFormatting sqref="P694:P698">
    <cfRule type="containsText" dxfId="2" priority="5669" operator="containsText" text="Yes">
      <formula>NOT(ISERROR(SEARCH(("Yes"),(P694))))</formula>
    </cfRule>
  </conditionalFormatting>
  <conditionalFormatting sqref="P694:P698">
    <cfRule type="containsText" dxfId="9" priority="5670" operator="containsText" text="No">
      <formula>NOT(ISERROR(SEARCH(("No"),(P694))))</formula>
    </cfRule>
  </conditionalFormatting>
  <conditionalFormatting sqref="P694:P698">
    <cfRule type="containsText" dxfId="2" priority="5671" operator="containsText" text="Yes">
      <formula>NOT(ISERROR(SEARCH(("Yes"),(P694))))</formula>
    </cfRule>
  </conditionalFormatting>
  <conditionalFormatting sqref="P694:P698">
    <cfRule type="containsText" dxfId="9" priority="5672" operator="containsText" text="No">
      <formula>NOT(ISERROR(SEARCH(("No"),(P694))))</formula>
    </cfRule>
  </conditionalFormatting>
  <conditionalFormatting sqref="P694:P698">
    <cfRule type="containsText" dxfId="2" priority="5673" operator="containsText" text="Yes">
      <formula>NOT(ISERROR(SEARCH(("Yes"),(P694))))</formula>
    </cfRule>
  </conditionalFormatting>
  <conditionalFormatting sqref="P694:P698">
    <cfRule type="containsText" dxfId="9" priority="5674" operator="containsText" text="No">
      <formula>NOT(ISERROR(SEARCH(("No"),(P694))))</formula>
    </cfRule>
  </conditionalFormatting>
  <conditionalFormatting sqref="P694:P698">
    <cfRule type="containsText" dxfId="2" priority="5675" operator="containsText" text="Yes">
      <formula>NOT(ISERROR(SEARCH(("Yes"),(P694))))</formula>
    </cfRule>
  </conditionalFormatting>
  <conditionalFormatting sqref="P694:P698">
    <cfRule type="containsText" dxfId="9" priority="5676" operator="containsText" text="No">
      <formula>NOT(ISERROR(SEARCH(("No"),(P694))))</formula>
    </cfRule>
  </conditionalFormatting>
  <conditionalFormatting sqref="P694:P698">
    <cfRule type="containsText" dxfId="2" priority="5677" operator="containsText" text="Yes">
      <formula>NOT(ISERROR(SEARCH(("Yes"),(P694))))</formula>
    </cfRule>
  </conditionalFormatting>
  <conditionalFormatting sqref="P694:P698">
    <cfRule type="containsText" dxfId="9" priority="5678" operator="containsText" text="No">
      <formula>NOT(ISERROR(SEARCH(("No"),(P694))))</formula>
    </cfRule>
  </conditionalFormatting>
  <conditionalFormatting sqref="P694:P698">
    <cfRule type="containsText" dxfId="2" priority="5679" operator="containsText" text="Yes">
      <formula>NOT(ISERROR(SEARCH(("Yes"),(P694))))</formula>
    </cfRule>
  </conditionalFormatting>
  <conditionalFormatting sqref="P694:P698">
    <cfRule type="containsText" dxfId="9" priority="5680" operator="containsText" text="No">
      <formula>NOT(ISERROR(SEARCH(("No"),(P694))))</formula>
    </cfRule>
  </conditionalFormatting>
  <conditionalFormatting sqref="P694:P698">
    <cfRule type="containsText" dxfId="2" priority="5681" operator="containsText" text="Yes">
      <formula>NOT(ISERROR(SEARCH(("Yes"),(P694))))</formula>
    </cfRule>
  </conditionalFormatting>
  <conditionalFormatting sqref="P694:P698">
    <cfRule type="containsText" dxfId="9" priority="5682" operator="containsText" text="No">
      <formula>NOT(ISERROR(SEARCH(("No"),(P694))))</formula>
    </cfRule>
  </conditionalFormatting>
  <conditionalFormatting sqref="P694:P698">
    <cfRule type="containsText" dxfId="2" priority="5683" operator="containsText" text="Yes">
      <formula>NOT(ISERROR(SEARCH(("Yes"),(P694))))</formula>
    </cfRule>
  </conditionalFormatting>
  <conditionalFormatting sqref="P694:P698">
    <cfRule type="containsText" dxfId="9" priority="5684" operator="containsText" text="No">
      <formula>NOT(ISERROR(SEARCH(("No"),(P694))))</formula>
    </cfRule>
  </conditionalFormatting>
  <conditionalFormatting sqref="P694:P698">
    <cfRule type="containsText" dxfId="2" priority="5685" operator="containsText" text="Yes">
      <formula>NOT(ISERROR(SEARCH(("Yes"),(P694))))</formula>
    </cfRule>
  </conditionalFormatting>
  <conditionalFormatting sqref="P694:P698">
    <cfRule type="containsText" dxfId="9" priority="5686" operator="containsText" text="No">
      <formula>NOT(ISERROR(SEARCH(("No"),(P694))))</formula>
    </cfRule>
  </conditionalFormatting>
  <conditionalFormatting sqref="P694:P698">
    <cfRule type="containsText" dxfId="2" priority="5687" operator="containsText" text="Yes">
      <formula>NOT(ISERROR(SEARCH(("Yes"),(P694))))</formula>
    </cfRule>
  </conditionalFormatting>
  <conditionalFormatting sqref="P694:P698">
    <cfRule type="containsText" dxfId="9" priority="5688" operator="containsText" text="No">
      <formula>NOT(ISERROR(SEARCH(("No"),(P694))))</formula>
    </cfRule>
  </conditionalFormatting>
  <conditionalFormatting sqref="P694:P698">
    <cfRule type="containsText" dxfId="2" priority="5689" operator="containsText" text="Yes">
      <formula>NOT(ISERROR(SEARCH(("Yes"),(P694))))</formula>
    </cfRule>
  </conditionalFormatting>
  <conditionalFormatting sqref="P694:P698">
    <cfRule type="containsText" dxfId="2" priority="5690" operator="containsText" text="Yes">
      <formula>NOT(ISERROR(SEARCH(("Yes"),(P694))))</formula>
    </cfRule>
  </conditionalFormatting>
  <conditionalFormatting sqref="P699:P703">
    <cfRule type="containsText" dxfId="9" priority="5691" operator="containsText" text="No">
      <formula>NOT(ISERROR(SEARCH(("No"),(P699))))</formula>
    </cfRule>
  </conditionalFormatting>
  <conditionalFormatting sqref="P699:P703">
    <cfRule type="containsText" dxfId="2" priority="5692" operator="containsText" text="Yes">
      <formula>NOT(ISERROR(SEARCH(("Yes"),(P699))))</formula>
    </cfRule>
  </conditionalFormatting>
  <conditionalFormatting sqref="P699:P703">
    <cfRule type="containsText" dxfId="2" priority="5693" operator="containsText" text="Yes">
      <formula>NOT(ISERROR(SEARCH(("Yes"),(P699))))</formula>
    </cfRule>
  </conditionalFormatting>
  <conditionalFormatting sqref="P699:P703">
    <cfRule type="containsText" dxfId="9" priority="5694" operator="containsText" text="No">
      <formula>NOT(ISERROR(SEARCH(("No"),(P699))))</formula>
    </cfRule>
  </conditionalFormatting>
  <conditionalFormatting sqref="P699:P703">
    <cfRule type="containsText" dxfId="2" priority="5695" operator="containsText" text="Yes">
      <formula>NOT(ISERROR(SEARCH(("Yes"),(P699))))</formula>
    </cfRule>
  </conditionalFormatting>
  <conditionalFormatting sqref="P699:P703">
    <cfRule type="containsText" dxfId="9" priority="5696" operator="containsText" text="No">
      <formula>NOT(ISERROR(SEARCH(("No"),(P699))))</formula>
    </cfRule>
  </conditionalFormatting>
  <conditionalFormatting sqref="P699:P703">
    <cfRule type="containsText" dxfId="2" priority="5697" operator="containsText" text="Yes">
      <formula>NOT(ISERROR(SEARCH(("Yes"),(P699))))</formula>
    </cfRule>
  </conditionalFormatting>
  <conditionalFormatting sqref="P699:P703">
    <cfRule type="containsText" dxfId="9" priority="5698" operator="containsText" text="No">
      <formula>NOT(ISERROR(SEARCH(("No"),(P699))))</formula>
    </cfRule>
  </conditionalFormatting>
  <conditionalFormatting sqref="P699:P703">
    <cfRule type="containsText" dxfId="2" priority="5699" operator="containsText" text="Yes">
      <formula>NOT(ISERROR(SEARCH(("Yes"),(P699))))</formula>
    </cfRule>
  </conditionalFormatting>
  <conditionalFormatting sqref="P699:P703">
    <cfRule type="containsText" dxfId="9" priority="5700" operator="containsText" text="No">
      <formula>NOT(ISERROR(SEARCH(("No"),(P699))))</formula>
    </cfRule>
  </conditionalFormatting>
  <conditionalFormatting sqref="P699:P703">
    <cfRule type="containsText" dxfId="2" priority="5701" operator="containsText" text="Yes">
      <formula>NOT(ISERROR(SEARCH(("Yes"),(P699))))</formula>
    </cfRule>
  </conditionalFormatting>
  <conditionalFormatting sqref="P699:P703">
    <cfRule type="containsText" dxfId="9" priority="5702" operator="containsText" text="No">
      <formula>NOT(ISERROR(SEARCH(("No"),(P699))))</formula>
    </cfRule>
  </conditionalFormatting>
  <conditionalFormatting sqref="P699:P703">
    <cfRule type="containsText" dxfId="2" priority="5703" operator="containsText" text="Yes">
      <formula>NOT(ISERROR(SEARCH(("Yes"),(P699))))</formula>
    </cfRule>
  </conditionalFormatting>
  <conditionalFormatting sqref="P699:P703">
    <cfRule type="containsText" dxfId="9" priority="5704" operator="containsText" text="No">
      <formula>NOT(ISERROR(SEARCH(("No"),(P699))))</formula>
    </cfRule>
  </conditionalFormatting>
  <conditionalFormatting sqref="P699:P703">
    <cfRule type="containsText" dxfId="2" priority="5705" operator="containsText" text="Yes">
      <formula>NOT(ISERROR(SEARCH(("Yes"),(P699))))</formula>
    </cfRule>
  </conditionalFormatting>
  <conditionalFormatting sqref="P699:P703">
    <cfRule type="containsText" dxfId="9" priority="5706" operator="containsText" text="No">
      <formula>NOT(ISERROR(SEARCH(("No"),(P699))))</formula>
    </cfRule>
  </conditionalFormatting>
  <conditionalFormatting sqref="P699:P703">
    <cfRule type="containsText" dxfId="2" priority="5707" operator="containsText" text="Yes">
      <formula>NOT(ISERROR(SEARCH(("Yes"),(P699))))</formula>
    </cfRule>
  </conditionalFormatting>
  <conditionalFormatting sqref="P699:P703">
    <cfRule type="containsText" dxfId="9" priority="5708" operator="containsText" text="No">
      <formula>NOT(ISERROR(SEARCH(("No"),(P699))))</formula>
    </cfRule>
  </conditionalFormatting>
  <conditionalFormatting sqref="P699:P703">
    <cfRule type="containsText" dxfId="2" priority="5709" operator="containsText" text="Yes">
      <formula>NOT(ISERROR(SEARCH(("Yes"),(P699))))</formula>
    </cfRule>
  </conditionalFormatting>
  <conditionalFormatting sqref="P699:P703">
    <cfRule type="containsText" dxfId="9" priority="5710" operator="containsText" text="No">
      <formula>NOT(ISERROR(SEARCH(("No"),(P699))))</formula>
    </cfRule>
  </conditionalFormatting>
  <conditionalFormatting sqref="P699:P703">
    <cfRule type="containsText" dxfId="2" priority="5711" operator="containsText" text="Yes">
      <formula>NOT(ISERROR(SEARCH(("Yes"),(P699))))</formula>
    </cfRule>
  </conditionalFormatting>
  <conditionalFormatting sqref="P699:P703">
    <cfRule type="containsText" dxfId="9" priority="5712" operator="containsText" text="No">
      <formula>NOT(ISERROR(SEARCH(("No"),(P699))))</formula>
    </cfRule>
  </conditionalFormatting>
  <conditionalFormatting sqref="P699:P703">
    <cfRule type="containsText" dxfId="2" priority="5713" operator="containsText" text="Yes">
      <formula>NOT(ISERROR(SEARCH(("Yes"),(P699))))</formula>
    </cfRule>
  </conditionalFormatting>
  <conditionalFormatting sqref="P699:P703">
    <cfRule type="containsText" dxfId="9" priority="5714" operator="containsText" text="No">
      <formula>NOT(ISERROR(SEARCH(("No"),(P699))))</formula>
    </cfRule>
  </conditionalFormatting>
  <conditionalFormatting sqref="P699:P703">
    <cfRule type="containsText" dxfId="2" priority="5715" operator="containsText" text="Yes">
      <formula>NOT(ISERROR(SEARCH(("Yes"),(P699))))</formula>
    </cfRule>
  </conditionalFormatting>
  <conditionalFormatting sqref="P699:P703">
    <cfRule type="containsText" dxfId="9" priority="5716" operator="containsText" text="No">
      <formula>NOT(ISERROR(SEARCH(("No"),(P699))))</formula>
    </cfRule>
  </conditionalFormatting>
  <conditionalFormatting sqref="P699:P703">
    <cfRule type="containsText" dxfId="2" priority="5717" operator="containsText" text="Yes">
      <formula>NOT(ISERROR(SEARCH(("Yes"),(P699))))</formula>
    </cfRule>
  </conditionalFormatting>
  <conditionalFormatting sqref="P699:P703">
    <cfRule type="containsText" dxfId="9" priority="5718" operator="containsText" text="No">
      <formula>NOT(ISERROR(SEARCH(("No"),(P699))))</formula>
    </cfRule>
  </conditionalFormatting>
  <conditionalFormatting sqref="P699:P703">
    <cfRule type="containsText" dxfId="2" priority="5719" operator="containsText" text="Yes">
      <formula>NOT(ISERROR(SEARCH(("Yes"),(P699))))</formula>
    </cfRule>
  </conditionalFormatting>
  <conditionalFormatting sqref="P699:P703">
    <cfRule type="containsText" dxfId="9" priority="5720" operator="containsText" text="No">
      <formula>NOT(ISERROR(SEARCH(("No"),(P699))))</formula>
    </cfRule>
  </conditionalFormatting>
  <conditionalFormatting sqref="P699:P703">
    <cfRule type="containsText" dxfId="2" priority="5721" operator="containsText" text="Yes">
      <formula>NOT(ISERROR(SEARCH(("Yes"),(P699))))</formula>
    </cfRule>
  </conditionalFormatting>
  <conditionalFormatting sqref="P699:P703">
    <cfRule type="containsText" dxfId="9" priority="5722" operator="containsText" text="No">
      <formula>NOT(ISERROR(SEARCH(("No"),(P699))))</formula>
    </cfRule>
  </conditionalFormatting>
  <conditionalFormatting sqref="P699:P703">
    <cfRule type="containsText" dxfId="2" priority="5723" operator="containsText" text="Yes">
      <formula>NOT(ISERROR(SEARCH(("Yes"),(P699))))</formula>
    </cfRule>
  </conditionalFormatting>
  <conditionalFormatting sqref="P699:P703">
    <cfRule type="containsText" dxfId="9" priority="5724" operator="containsText" text="No">
      <formula>NOT(ISERROR(SEARCH(("No"),(P699))))</formula>
    </cfRule>
  </conditionalFormatting>
  <conditionalFormatting sqref="P699:P703">
    <cfRule type="containsText" dxfId="2" priority="5725" operator="containsText" text="Yes">
      <formula>NOT(ISERROR(SEARCH(("Yes"),(P699))))</formula>
    </cfRule>
  </conditionalFormatting>
  <conditionalFormatting sqref="P699:P703">
    <cfRule type="containsText" dxfId="9" priority="5726" operator="containsText" text="No">
      <formula>NOT(ISERROR(SEARCH(("No"),(P699))))</formula>
    </cfRule>
  </conditionalFormatting>
  <conditionalFormatting sqref="P699:P703">
    <cfRule type="containsText" dxfId="2" priority="5727" operator="containsText" text="Yes">
      <formula>NOT(ISERROR(SEARCH(("Yes"),(P699))))</formula>
    </cfRule>
  </conditionalFormatting>
  <conditionalFormatting sqref="P699:P703">
    <cfRule type="containsText" dxfId="9" priority="5728" operator="containsText" text="No">
      <formula>NOT(ISERROR(SEARCH(("No"),(P699))))</formula>
    </cfRule>
  </conditionalFormatting>
  <conditionalFormatting sqref="P699:P703">
    <cfRule type="containsText" dxfId="2" priority="5729" operator="containsText" text="Yes">
      <formula>NOT(ISERROR(SEARCH(("Yes"),(P699))))</formula>
    </cfRule>
  </conditionalFormatting>
  <conditionalFormatting sqref="P699:P703">
    <cfRule type="containsText" dxfId="9" priority="5730" operator="containsText" text="No">
      <formula>NOT(ISERROR(SEARCH(("No"),(P699))))</formula>
    </cfRule>
  </conditionalFormatting>
  <conditionalFormatting sqref="P699:P703">
    <cfRule type="containsText" dxfId="2" priority="5731" operator="containsText" text="Yes">
      <formula>NOT(ISERROR(SEARCH(("Yes"),(P699))))</formula>
    </cfRule>
  </conditionalFormatting>
  <conditionalFormatting sqref="P699:P703">
    <cfRule type="containsText" dxfId="9" priority="5732" operator="containsText" text="No">
      <formula>NOT(ISERROR(SEARCH(("No"),(P699))))</formula>
    </cfRule>
  </conditionalFormatting>
  <conditionalFormatting sqref="P699:P703">
    <cfRule type="containsText" dxfId="2" priority="5733" operator="containsText" text="Yes">
      <formula>NOT(ISERROR(SEARCH(("Yes"),(P699))))</formula>
    </cfRule>
  </conditionalFormatting>
  <conditionalFormatting sqref="P699:P703">
    <cfRule type="containsText" dxfId="9" priority="5734" operator="containsText" text="No">
      <formula>NOT(ISERROR(SEARCH(("No"),(P699))))</formula>
    </cfRule>
  </conditionalFormatting>
  <conditionalFormatting sqref="P699:P703">
    <cfRule type="containsText" dxfId="2" priority="5735" operator="containsText" text="Yes">
      <formula>NOT(ISERROR(SEARCH(("Yes"),(P699))))</formula>
    </cfRule>
  </conditionalFormatting>
  <conditionalFormatting sqref="P699:P703">
    <cfRule type="containsText" dxfId="9" priority="5736" operator="containsText" text="No">
      <formula>NOT(ISERROR(SEARCH(("No"),(P699))))</formula>
    </cfRule>
  </conditionalFormatting>
  <conditionalFormatting sqref="P699:P703">
    <cfRule type="containsText" dxfId="2" priority="5737" operator="containsText" text="Yes">
      <formula>NOT(ISERROR(SEARCH(("Yes"),(P699))))</formula>
    </cfRule>
  </conditionalFormatting>
  <conditionalFormatting sqref="P699:P703">
    <cfRule type="containsText" dxfId="9" priority="5738" operator="containsText" text="No">
      <formula>NOT(ISERROR(SEARCH(("No"),(P699))))</formula>
    </cfRule>
  </conditionalFormatting>
  <conditionalFormatting sqref="P699:P703">
    <cfRule type="containsText" dxfId="2" priority="5739" operator="containsText" text="Yes">
      <formula>NOT(ISERROR(SEARCH(("Yes"),(P699))))</formula>
    </cfRule>
  </conditionalFormatting>
  <conditionalFormatting sqref="P699:P703">
    <cfRule type="containsText" dxfId="9" priority="5740" operator="containsText" text="No">
      <formula>NOT(ISERROR(SEARCH(("No"),(P699))))</formula>
    </cfRule>
  </conditionalFormatting>
  <conditionalFormatting sqref="P699:P703">
    <cfRule type="containsText" dxfId="2" priority="5741" operator="containsText" text="Yes">
      <formula>NOT(ISERROR(SEARCH(("Yes"),(P699))))</formula>
    </cfRule>
  </conditionalFormatting>
  <conditionalFormatting sqref="P699:P703">
    <cfRule type="containsText" dxfId="9" priority="5742" operator="containsText" text="No">
      <formula>NOT(ISERROR(SEARCH(("No"),(P699))))</formula>
    </cfRule>
  </conditionalFormatting>
  <conditionalFormatting sqref="P699:P703">
    <cfRule type="containsText" dxfId="2" priority="5743" operator="containsText" text="Yes">
      <formula>NOT(ISERROR(SEARCH(("Yes"),(P699))))</formula>
    </cfRule>
  </conditionalFormatting>
  <conditionalFormatting sqref="P699:P703">
    <cfRule type="containsText" dxfId="9" priority="5744" operator="containsText" text="No">
      <formula>NOT(ISERROR(SEARCH(("No"),(P699))))</formula>
    </cfRule>
  </conditionalFormatting>
  <conditionalFormatting sqref="P699:P703">
    <cfRule type="containsText" dxfId="2" priority="5745" operator="containsText" text="Yes">
      <formula>NOT(ISERROR(SEARCH(("Yes"),(P699))))</formula>
    </cfRule>
  </conditionalFormatting>
  <conditionalFormatting sqref="P699:P703">
    <cfRule type="containsText" dxfId="9" priority="5746" operator="containsText" text="No">
      <formula>NOT(ISERROR(SEARCH(("No"),(P699))))</formula>
    </cfRule>
  </conditionalFormatting>
  <conditionalFormatting sqref="P699:P703">
    <cfRule type="containsText" dxfId="2" priority="5747" operator="containsText" text="Yes">
      <formula>NOT(ISERROR(SEARCH(("Yes"),(P699))))</formula>
    </cfRule>
  </conditionalFormatting>
  <conditionalFormatting sqref="P699:P703">
    <cfRule type="containsText" dxfId="9" priority="5748" operator="containsText" text="No">
      <formula>NOT(ISERROR(SEARCH(("No"),(P699))))</formula>
    </cfRule>
  </conditionalFormatting>
  <conditionalFormatting sqref="P699:P703">
    <cfRule type="containsText" dxfId="2" priority="5749" operator="containsText" text="Yes">
      <formula>NOT(ISERROR(SEARCH(("Yes"),(P699))))</formula>
    </cfRule>
  </conditionalFormatting>
  <conditionalFormatting sqref="P699:P703">
    <cfRule type="containsText" dxfId="9" priority="5750" operator="containsText" text="No">
      <formula>NOT(ISERROR(SEARCH(("No"),(P699))))</formula>
    </cfRule>
  </conditionalFormatting>
  <conditionalFormatting sqref="P699:P703">
    <cfRule type="containsText" dxfId="2" priority="5751" operator="containsText" text="Yes">
      <formula>NOT(ISERROR(SEARCH(("Yes"),(P699))))</formula>
    </cfRule>
  </conditionalFormatting>
  <conditionalFormatting sqref="P699:P703">
    <cfRule type="containsText" dxfId="9" priority="5752" operator="containsText" text="No">
      <formula>NOT(ISERROR(SEARCH(("No"),(P699))))</formula>
    </cfRule>
  </conditionalFormatting>
  <conditionalFormatting sqref="P699:P703">
    <cfRule type="containsText" dxfId="2" priority="5753" operator="containsText" text="Yes">
      <formula>NOT(ISERROR(SEARCH(("Yes"),(P699))))</formula>
    </cfRule>
  </conditionalFormatting>
  <conditionalFormatting sqref="P699:P703">
    <cfRule type="containsText" dxfId="9" priority="5754" operator="containsText" text="No">
      <formula>NOT(ISERROR(SEARCH(("No"),(P699))))</formula>
    </cfRule>
  </conditionalFormatting>
  <conditionalFormatting sqref="P699:P703">
    <cfRule type="containsText" dxfId="2" priority="5755" operator="containsText" text="Yes">
      <formula>NOT(ISERROR(SEARCH(("Yes"),(P699))))</formula>
    </cfRule>
  </conditionalFormatting>
  <conditionalFormatting sqref="P699:P703">
    <cfRule type="containsText" dxfId="9" priority="5756" operator="containsText" text="No">
      <formula>NOT(ISERROR(SEARCH(("No"),(P699))))</formula>
    </cfRule>
  </conditionalFormatting>
  <conditionalFormatting sqref="P699:P703">
    <cfRule type="containsText" dxfId="2" priority="5757" operator="containsText" text="Yes">
      <formula>NOT(ISERROR(SEARCH(("Yes"),(P699))))</formula>
    </cfRule>
  </conditionalFormatting>
  <conditionalFormatting sqref="P699:P703">
    <cfRule type="containsText" dxfId="9" priority="5758" operator="containsText" text="No">
      <formula>NOT(ISERROR(SEARCH(("No"),(P699))))</formula>
    </cfRule>
  </conditionalFormatting>
  <conditionalFormatting sqref="P699:P703">
    <cfRule type="containsText" dxfId="2" priority="5759" operator="containsText" text="Yes">
      <formula>NOT(ISERROR(SEARCH(("Yes"),(P699))))</formula>
    </cfRule>
  </conditionalFormatting>
  <conditionalFormatting sqref="P699:P703">
    <cfRule type="containsText" dxfId="9" priority="5760" operator="containsText" text="No">
      <formula>NOT(ISERROR(SEARCH(("No"),(P699))))</formula>
    </cfRule>
  </conditionalFormatting>
  <conditionalFormatting sqref="P699:P703">
    <cfRule type="containsText" dxfId="2" priority="5761" operator="containsText" text="Yes">
      <formula>NOT(ISERROR(SEARCH(("Yes"),(P699))))</formula>
    </cfRule>
  </conditionalFormatting>
  <conditionalFormatting sqref="P699:P703">
    <cfRule type="containsText" dxfId="9" priority="5762" operator="containsText" text="No">
      <formula>NOT(ISERROR(SEARCH(("No"),(P699))))</formula>
    </cfRule>
  </conditionalFormatting>
  <conditionalFormatting sqref="P699:P703">
    <cfRule type="containsText" dxfId="2" priority="5763" operator="containsText" text="Yes">
      <formula>NOT(ISERROR(SEARCH(("Yes"),(P699))))</formula>
    </cfRule>
  </conditionalFormatting>
  <conditionalFormatting sqref="P699:P703">
    <cfRule type="containsText" dxfId="9" priority="5764" operator="containsText" text="No">
      <formula>NOT(ISERROR(SEARCH(("No"),(P699))))</formula>
    </cfRule>
  </conditionalFormatting>
  <conditionalFormatting sqref="P699:P703">
    <cfRule type="containsText" dxfId="2" priority="5765" operator="containsText" text="Yes">
      <formula>NOT(ISERROR(SEARCH(("Yes"),(P699))))</formula>
    </cfRule>
  </conditionalFormatting>
  <conditionalFormatting sqref="P699:P703">
    <cfRule type="containsText" dxfId="9" priority="5766" operator="containsText" text="No">
      <formula>NOT(ISERROR(SEARCH(("No"),(P699))))</formula>
    </cfRule>
  </conditionalFormatting>
  <conditionalFormatting sqref="P699:P703">
    <cfRule type="containsText" dxfId="2" priority="5767" operator="containsText" text="Yes">
      <formula>NOT(ISERROR(SEARCH(("Yes"),(P699))))</formula>
    </cfRule>
  </conditionalFormatting>
  <conditionalFormatting sqref="P699:P703">
    <cfRule type="containsText" dxfId="9" priority="5768" operator="containsText" text="No">
      <formula>NOT(ISERROR(SEARCH(("No"),(P699))))</formula>
    </cfRule>
  </conditionalFormatting>
  <conditionalFormatting sqref="P699:P703">
    <cfRule type="containsText" dxfId="2" priority="5769" operator="containsText" text="Yes">
      <formula>NOT(ISERROR(SEARCH(("Yes"),(P699))))</formula>
    </cfRule>
  </conditionalFormatting>
  <conditionalFormatting sqref="P699:P703">
    <cfRule type="containsText" dxfId="9" priority="5770" operator="containsText" text="No">
      <formula>NOT(ISERROR(SEARCH(("No"),(P699))))</formula>
    </cfRule>
  </conditionalFormatting>
  <conditionalFormatting sqref="P699:P703">
    <cfRule type="containsText" dxfId="2" priority="5771" operator="containsText" text="Yes">
      <formula>NOT(ISERROR(SEARCH(("Yes"),(P699))))</formula>
    </cfRule>
  </conditionalFormatting>
  <conditionalFormatting sqref="P699:P703">
    <cfRule type="containsText" dxfId="9" priority="5772" operator="containsText" text="No">
      <formula>NOT(ISERROR(SEARCH(("No"),(P699))))</formula>
    </cfRule>
  </conditionalFormatting>
  <conditionalFormatting sqref="P699:P703">
    <cfRule type="containsText" dxfId="2" priority="5773" operator="containsText" text="Yes">
      <formula>NOT(ISERROR(SEARCH(("Yes"),(P699))))</formula>
    </cfRule>
  </conditionalFormatting>
  <conditionalFormatting sqref="P699:P703">
    <cfRule type="containsText" dxfId="9" priority="5774" operator="containsText" text="No">
      <formula>NOT(ISERROR(SEARCH(("No"),(P699))))</formula>
    </cfRule>
  </conditionalFormatting>
  <conditionalFormatting sqref="P699:P703">
    <cfRule type="containsText" dxfId="2" priority="5775" operator="containsText" text="Yes">
      <formula>NOT(ISERROR(SEARCH(("Yes"),(P699))))</formula>
    </cfRule>
  </conditionalFormatting>
  <conditionalFormatting sqref="P699:P703">
    <cfRule type="containsText" dxfId="9" priority="5776" operator="containsText" text="No">
      <formula>NOT(ISERROR(SEARCH(("No"),(P699))))</formula>
    </cfRule>
  </conditionalFormatting>
  <conditionalFormatting sqref="P699:P703">
    <cfRule type="containsText" dxfId="2" priority="5777" operator="containsText" text="Yes">
      <formula>NOT(ISERROR(SEARCH(("Yes"),(P699))))</formula>
    </cfRule>
  </conditionalFormatting>
  <conditionalFormatting sqref="P699:P703">
    <cfRule type="containsText" dxfId="9" priority="5778" operator="containsText" text="No">
      <formula>NOT(ISERROR(SEARCH(("No"),(P699))))</formula>
    </cfRule>
  </conditionalFormatting>
  <conditionalFormatting sqref="P699:P703">
    <cfRule type="containsText" dxfId="2" priority="5779" operator="containsText" text="Yes">
      <formula>NOT(ISERROR(SEARCH(("Yes"),(P699))))</formula>
    </cfRule>
  </conditionalFormatting>
  <conditionalFormatting sqref="P699:P703">
    <cfRule type="containsText" dxfId="9" priority="5780" operator="containsText" text="No">
      <formula>NOT(ISERROR(SEARCH(("No"),(P699))))</formula>
    </cfRule>
  </conditionalFormatting>
  <conditionalFormatting sqref="P699:P703">
    <cfRule type="containsText" dxfId="2" priority="5781" operator="containsText" text="Yes">
      <formula>NOT(ISERROR(SEARCH(("Yes"),(P699))))</formula>
    </cfRule>
  </conditionalFormatting>
  <conditionalFormatting sqref="P699:P703">
    <cfRule type="containsText" dxfId="2" priority="5782" operator="containsText" text="Yes">
      <formula>NOT(ISERROR(SEARCH(("Yes"),(P699))))</formula>
    </cfRule>
  </conditionalFormatting>
  <conditionalFormatting sqref="P705:P707">
    <cfRule type="containsText" dxfId="9" priority="5783" operator="containsText" text="No">
      <formula>NOT(ISERROR(SEARCH(("No"),(P705))))</formula>
    </cfRule>
  </conditionalFormatting>
  <conditionalFormatting sqref="P705:P707">
    <cfRule type="containsText" dxfId="2" priority="5784" operator="containsText" text="Yes">
      <formula>NOT(ISERROR(SEARCH(("Yes"),(P705))))</formula>
    </cfRule>
  </conditionalFormatting>
  <conditionalFormatting sqref="P705:P707">
    <cfRule type="containsText" dxfId="2" priority="5785" operator="containsText" text="Yes">
      <formula>NOT(ISERROR(SEARCH(("Yes"),(P705))))</formula>
    </cfRule>
  </conditionalFormatting>
  <conditionalFormatting sqref="P705:P707">
    <cfRule type="containsText" dxfId="9" priority="5786" operator="containsText" text="No">
      <formula>NOT(ISERROR(SEARCH(("No"),(P705))))</formula>
    </cfRule>
  </conditionalFormatting>
  <conditionalFormatting sqref="P705:P707">
    <cfRule type="containsText" dxfId="2" priority="5787" operator="containsText" text="Yes">
      <formula>NOT(ISERROR(SEARCH(("Yes"),(P705))))</formula>
    </cfRule>
  </conditionalFormatting>
  <conditionalFormatting sqref="P705:P707">
    <cfRule type="containsText" dxfId="9" priority="5788" operator="containsText" text="No">
      <formula>NOT(ISERROR(SEARCH(("No"),(P705))))</formula>
    </cfRule>
  </conditionalFormatting>
  <conditionalFormatting sqref="P705:P707">
    <cfRule type="containsText" dxfId="2" priority="5789" operator="containsText" text="Yes">
      <formula>NOT(ISERROR(SEARCH(("Yes"),(P705))))</formula>
    </cfRule>
  </conditionalFormatting>
  <conditionalFormatting sqref="P705:P707">
    <cfRule type="containsText" dxfId="9" priority="5790" operator="containsText" text="No">
      <formula>NOT(ISERROR(SEARCH(("No"),(P705))))</formula>
    </cfRule>
  </conditionalFormatting>
  <conditionalFormatting sqref="P705:P707">
    <cfRule type="containsText" dxfId="2" priority="5791" operator="containsText" text="Yes">
      <formula>NOT(ISERROR(SEARCH(("Yes"),(P705))))</formula>
    </cfRule>
  </conditionalFormatting>
  <conditionalFormatting sqref="P705:P707">
    <cfRule type="containsText" dxfId="9" priority="5792" operator="containsText" text="No">
      <formula>NOT(ISERROR(SEARCH(("No"),(P705))))</formula>
    </cfRule>
  </conditionalFormatting>
  <conditionalFormatting sqref="P705:P707">
    <cfRule type="containsText" dxfId="2" priority="5793" operator="containsText" text="Yes">
      <formula>NOT(ISERROR(SEARCH(("Yes"),(P705))))</formula>
    </cfRule>
  </conditionalFormatting>
  <conditionalFormatting sqref="P705:P707">
    <cfRule type="containsText" dxfId="9" priority="5794" operator="containsText" text="No">
      <formula>NOT(ISERROR(SEARCH(("No"),(P705))))</formula>
    </cfRule>
  </conditionalFormatting>
  <conditionalFormatting sqref="P705:P707">
    <cfRule type="containsText" dxfId="2" priority="5795" operator="containsText" text="Yes">
      <formula>NOT(ISERROR(SEARCH(("Yes"),(P705))))</formula>
    </cfRule>
  </conditionalFormatting>
  <conditionalFormatting sqref="P705:P707">
    <cfRule type="containsText" dxfId="9" priority="5796" operator="containsText" text="No">
      <formula>NOT(ISERROR(SEARCH(("No"),(P705))))</formula>
    </cfRule>
  </conditionalFormatting>
  <conditionalFormatting sqref="P705:P707">
    <cfRule type="containsText" dxfId="2" priority="5797" operator="containsText" text="Yes">
      <formula>NOT(ISERROR(SEARCH(("Yes"),(P705))))</formula>
    </cfRule>
  </conditionalFormatting>
  <conditionalFormatting sqref="P705:P707">
    <cfRule type="containsText" dxfId="9" priority="5798" operator="containsText" text="No">
      <formula>NOT(ISERROR(SEARCH(("No"),(P705))))</formula>
    </cfRule>
  </conditionalFormatting>
  <conditionalFormatting sqref="P705:P707">
    <cfRule type="containsText" dxfId="2" priority="5799" operator="containsText" text="Yes">
      <formula>NOT(ISERROR(SEARCH(("Yes"),(P705))))</formula>
    </cfRule>
  </conditionalFormatting>
  <conditionalFormatting sqref="P705:P707">
    <cfRule type="containsText" dxfId="9" priority="5800" operator="containsText" text="No">
      <formula>NOT(ISERROR(SEARCH(("No"),(P705))))</formula>
    </cfRule>
  </conditionalFormatting>
  <conditionalFormatting sqref="P705:P707">
    <cfRule type="containsText" dxfId="2" priority="5801" operator="containsText" text="Yes">
      <formula>NOT(ISERROR(SEARCH(("Yes"),(P705))))</formula>
    </cfRule>
  </conditionalFormatting>
  <conditionalFormatting sqref="P705:P707">
    <cfRule type="containsText" dxfId="9" priority="5802" operator="containsText" text="No">
      <formula>NOT(ISERROR(SEARCH(("No"),(P705))))</formula>
    </cfRule>
  </conditionalFormatting>
  <conditionalFormatting sqref="P705:P707">
    <cfRule type="containsText" dxfId="2" priority="5803" operator="containsText" text="Yes">
      <formula>NOT(ISERROR(SEARCH(("Yes"),(P705))))</formula>
    </cfRule>
  </conditionalFormatting>
  <conditionalFormatting sqref="P705:P707">
    <cfRule type="containsText" dxfId="9" priority="5804" operator="containsText" text="No">
      <formula>NOT(ISERROR(SEARCH(("No"),(P705))))</formula>
    </cfRule>
  </conditionalFormatting>
  <conditionalFormatting sqref="P705:P707">
    <cfRule type="containsText" dxfId="2" priority="5805" operator="containsText" text="Yes">
      <formula>NOT(ISERROR(SEARCH(("Yes"),(P705))))</formula>
    </cfRule>
  </conditionalFormatting>
  <conditionalFormatting sqref="P705:P707">
    <cfRule type="containsText" dxfId="9" priority="5806" operator="containsText" text="No">
      <formula>NOT(ISERROR(SEARCH(("No"),(P705))))</formula>
    </cfRule>
  </conditionalFormatting>
  <conditionalFormatting sqref="P705:P707">
    <cfRule type="containsText" dxfId="2" priority="5807" operator="containsText" text="Yes">
      <formula>NOT(ISERROR(SEARCH(("Yes"),(P705))))</formula>
    </cfRule>
  </conditionalFormatting>
  <conditionalFormatting sqref="P705:P707">
    <cfRule type="containsText" dxfId="9" priority="5808" operator="containsText" text="No">
      <formula>NOT(ISERROR(SEARCH(("No"),(P705))))</formula>
    </cfRule>
  </conditionalFormatting>
  <conditionalFormatting sqref="P705:P707">
    <cfRule type="containsText" dxfId="2" priority="5809" operator="containsText" text="Yes">
      <formula>NOT(ISERROR(SEARCH(("Yes"),(P705))))</formula>
    </cfRule>
  </conditionalFormatting>
  <conditionalFormatting sqref="P705:P707">
    <cfRule type="containsText" dxfId="9" priority="5810" operator="containsText" text="No">
      <formula>NOT(ISERROR(SEARCH(("No"),(P705))))</formula>
    </cfRule>
  </conditionalFormatting>
  <conditionalFormatting sqref="P705:P707">
    <cfRule type="containsText" dxfId="2" priority="5811" operator="containsText" text="Yes">
      <formula>NOT(ISERROR(SEARCH(("Yes"),(P705))))</formula>
    </cfRule>
  </conditionalFormatting>
  <conditionalFormatting sqref="P705:P707">
    <cfRule type="containsText" dxfId="9" priority="5812" operator="containsText" text="No">
      <formula>NOT(ISERROR(SEARCH(("No"),(P705))))</formula>
    </cfRule>
  </conditionalFormatting>
  <conditionalFormatting sqref="P705:P707">
    <cfRule type="containsText" dxfId="2" priority="5813" operator="containsText" text="Yes">
      <formula>NOT(ISERROR(SEARCH(("Yes"),(P705))))</formula>
    </cfRule>
  </conditionalFormatting>
  <conditionalFormatting sqref="P705:P707">
    <cfRule type="containsText" dxfId="9" priority="5814" operator="containsText" text="No">
      <formula>NOT(ISERROR(SEARCH(("No"),(P705))))</formula>
    </cfRule>
  </conditionalFormatting>
  <conditionalFormatting sqref="P705:P707">
    <cfRule type="containsText" dxfId="2" priority="5815" operator="containsText" text="Yes">
      <formula>NOT(ISERROR(SEARCH(("Yes"),(P705))))</formula>
    </cfRule>
  </conditionalFormatting>
  <conditionalFormatting sqref="P705:P707">
    <cfRule type="containsText" dxfId="9" priority="5816" operator="containsText" text="No">
      <formula>NOT(ISERROR(SEARCH(("No"),(P705))))</formula>
    </cfRule>
  </conditionalFormatting>
  <conditionalFormatting sqref="P705:P707">
    <cfRule type="containsText" dxfId="2" priority="5817" operator="containsText" text="Yes">
      <formula>NOT(ISERROR(SEARCH(("Yes"),(P705))))</formula>
    </cfRule>
  </conditionalFormatting>
  <conditionalFormatting sqref="P705:P707">
    <cfRule type="containsText" dxfId="9" priority="5818" operator="containsText" text="No">
      <formula>NOT(ISERROR(SEARCH(("No"),(P705))))</formula>
    </cfRule>
  </conditionalFormatting>
  <conditionalFormatting sqref="P705:P707">
    <cfRule type="containsText" dxfId="2" priority="5819" operator="containsText" text="Yes">
      <formula>NOT(ISERROR(SEARCH(("Yes"),(P705))))</formula>
    </cfRule>
  </conditionalFormatting>
  <conditionalFormatting sqref="P705:P707">
    <cfRule type="containsText" dxfId="9" priority="5820" operator="containsText" text="No">
      <formula>NOT(ISERROR(SEARCH(("No"),(P705))))</formula>
    </cfRule>
  </conditionalFormatting>
  <conditionalFormatting sqref="P705:P707">
    <cfRule type="containsText" dxfId="2" priority="5821" operator="containsText" text="Yes">
      <formula>NOT(ISERROR(SEARCH(("Yes"),(P705))))</formula>
    </cfRule>
  </conditionalFormatting>
  <conditionalFormatting sqref="P705:P707">
    <cfRule type="containsText" dxfId="9" priority="5822" operator="containsText" text="No">
      <formula>NOT(ISERROR(SEARCH(("No"),(P705))))</formula>
    </cfRule>
  </conditionalFormatting>
  <conditionalFormatting sqref="P705:P707">
    <cfRule type="containsText" dxfId="2" priority="5823" operator="containsText" text="Yes">
      <formula>NOT(ISERROR(SEARCH(("Yes"),(P705))))</formula>
    </cfRule>
  </conditionalFormatting>
  <conditionalFormatting sqref="P705:P707">
    <cfRule type="containsText" dxfId="9" priority="5824" operator="containsText" text="No">
      <formula>NOT(ISERROR(SEARCH(("No"),(P705))))</formula>
    </cfRule>
  </conditionalFormatting>
  <conditionalFormatting sqref="P705:P707">
    <cfRule type="containsText" dxfId="2" priority="5825" operator="containsText" text="Yes">
      <formula>NOT(ISERROR(SEARCH(("Yes"),(P705))))</formula>
    </cfRule>
  </conditionalFormatting>
  <conditionalFormatting sqref="P705:P707">
    <cfRule type="containsText" dxfId="9" priority="5826" operator="containsText" text="No">
      <formula>NOT(ISERROR(SEARCH(("No"),(P705))))</formula>
    </cfRule>
  </conditionalFormatting>
  <conditionalFormatting sqref="P705:P707">
    <cfRule type="containsText" dxfId="2" priority="5827" operator="containsText" text="Yes">
      <formula>NOT(ISERROR(SEARCH(("Yes"),(P705))))</formula>
    </cfRule>
  </conditionalFormatting>
  <conditionalFormatting sqref="P705:P707">
    <cfRule type="containsText" dxfId="9" priority="5828" operator="containsText" text="No">
      <formula>NOT(ISERROR(SEARCH(("No"),(P705))))</formula>
    </cfRule>
  </conditionalFormatting>
  <conditionalFormatting sqref="P705:P707">
    <cfRule type="containsText" dxfId="2" priority="5829" operator="containsText" text="Yes">
      <formula>NOT(ISERROR(SEARCH(("Yes"),(P705))))</formula>
    </cfRule>
  </conditionalFormatting>
  <conditionalFormatting sqref="P705:P707">
    <cfRule type="containsText" dxfId="9" priority="5830" operator="containsText" text="No">
      <formula>NOT(ISERROR(SEARCH(("No"),(P705))))</formula>
    </cfRule>
  </conditionalFormatting>
  <conditionalFormatting sqref="P705:P707">
    <cfRule type="containsText" dxfId="2" priority="5831" operator="containsText" text="Yes">
      <formula>NOT(ISERROR(SEARCH(("Yes"),(P705))))</formula>
    </cfRule>
  </conditionalFormatting>
  <conditionalFormatting sqref="P705:P707">
    <cfRule type="containsText" dxfId="9" priority="5832" operator="containsText" text="No">
      <formula>NOT(ISERROR(SEARCH(("No"),(P705))))</formula>
    </cfRule>
  </conditionalFormatting>
  <conditionalFormatting sqref="P705:P707">
    <cfRule type="containsText" dxfId="2" priority="5833" operator="containsText" text="Yes">
      <formula>NOT(ISERROR(SEARCH(("Yes"),(P705))))</formula>
    </cfRule>
  </conditionalFormatting>
  <conditionalFormatting sqref="P705:P707">
    <cfRule type="containsText" dxfId="9" priority="5834" operator="containsText" text="No">
      <formula>NOT(ISERROR(SEARCH(("No"),(P705))))</formula>
    </cfRule>
  </conditionalFormatting>
  <conditionalFormatting sqref="P705:P707">
    <cfRule type="containsText" dxfId="2" priority="5835" operator="containsText" text="Yes">
      <formula>NOT(ISERROR(SEARCH(("Yes"),(P705))))</formula>
    </cfRule>
  </conditionalFormatting>
  <conditionalFormatting sqref="P705:P707">
    <cfRule type="containsText" dxfId="9" priority="5836" operator="containsText" text="No">
      <formula>NOT(ISERROR(SEARCH(("No"),(P705))))</formula>
    </cfRule>
  </conditionalFormatting>
  <conditionalFormatting sqref="P705:P707">
    <cfRule type="containsText" dxfId="2" priority="5837" operator="containsText" text="Yes">
      <formula>NOT(ISERROR(SEARCH(("Yes"),(P705))))</formula>
    </cfRule>
  </conditionalFormatting>
  <conditionalFormatting sqref="P705:P707">
    <cfRule type="containsText" dxfId="9" priority="5838" operator="containsText" text="No">
      <formula>NOT(ISERROR(SEARCH(("No"),(P705))))</formula>
    </cfRule>
  </conditionalFormatting>
  <conditionalFormatting sqref="P705:P707">
    <cfRule type="containsText" dxfId="2" priority="5839" operator="containsText" text="Yes">
      <formula>NOT(ISERROR(SEARCH(("Yes"),(P705))))</formula>
    </cfRule>
  </conditionalFormatting>
  <conditionalFormatting sqref="P705:P707">
    <cfRule type="containsText" dxfId="9" priority="5840" operator="containsText" text="No">
      <formula>NOT(ISERROR(SEARCH(("No"),(P705))))</formula>
    </cfRule>
  </conditionalFormatting>
  <conditionalFormatting sqref="P705:P707">
    <cfRule type="containsText" dxfId="2" priority="5841" operator="containsText" text="Yes">
      <formula>NOT(ISERROR(SEARCH(("Yes"),(P705))))</formula>
    </cfRule>
  </conditionalFormatting>
  <conditionalFormatting sqref="P705:P707">
    <cfRule type="containsText" dxfId="9" priority="5842" operator="containsText" text="No">
      <formula>NOT(ISERROR(SEARCH(("No"),(P705))))</formula>
    </cfRule>
  </conditionalFormatting>
  <conditionalFormatting sqref="P705:P707">
    <cfRule type="containsText" dxfId="2" priority="5843" operator="containsText" text="Yes">
      <formula>NOT(ISERROR(SEARCH(("Yes"),(P705))))</formula>
    </cfRule>
  </conditionalFormatting>
  <conditionalFormatting sqref="P705:P707">
    <cfRule type="containsText" dxfId="9" priority="5844" operator="containsText" text="No">
      <formula>NOT(ISERROR(SEARCH(("No"),(P705))))</formula>
    </cfRule>
  </conditionalFormatting>
  <conditionalFormatting sqref="P705:P707">
    <cfRule type="containsText" dxfId="2" priority="5845" operator="containsText" text="Yes">
      <formula>NOT(ISERROR(SEARCH(("Yes"),(P705))))</formula>
    </cfRule>
  </conditionalFormatting>
  <conditionalFormatting sqref="P705:P707">
    <cfRule type="containsText" dxfId="9" priority="5846" operator="containsText" text="No">
      <formula>NOT(ISERROR(SEARCH(("No"),(P705))))</formula>
    </cfRule>
  </conditionalFormatting>
  <conditionalFormatting sqref="P705:P707">
    <cfRule type="containsText" dxfId="2" priority="5847" operator="containsText" text="Yes">
      <formula>NOT(ISERROR(SEARCH(("Yes"),(P705))))</formula>
    </cfRule>
  </conditionalFormatting>
  <conditionalFormatting sqref="P705:P707">
    <cfRule type="containsText" dxfId="9" priority="5848" operator="containsText" text="No">
      <formula>NOT(ISERROR(SEARCH(("No"),(P705))))</formula>
    </cfRule>
  </conditionalFormatting>
  <conditionalFormatting sqref="P705:P707">
    <cfRule type="containsText" dxfId="2" priority="5849" operator="containsText" text="Yes">
      <formula>NOT(ISERROR(SEARCH(("Yes"),(P705))))</formula>
    </cfRule>
  </conditionalFormatting>
  <conditionalFormatting sqref="P705:P707">
    <cfRule type="containsText" dxfId="9" priority="5850" operator="containsText" text="No">
      <formula>NOT(ISERROR(SEARCH(("No"),(P705))))</formula>
    </cfRule>
  </conditionalFormatting>
  <conditionalFormatting sqref="P705:P707">
    <cfRule type="containsText" dxfId="2" priority="5851" operator="containsText" text="Yes">
      <formula>NOT(ISERROR(SEARCH(("Yes"),(P705))))</formula>
    </cfRule>
  </conditionalFormatting>
  <conditionalFormatting sqref="P705:P707">
    <cfRule type="containsText" dxfId="9" priority="5852" operator="containsText" text="No">
      <formula>NOT(ISERROR(SEARCH(("No"),(P705))))</formula>
    </cfRule>
  </conditionalFormatting>
  <conditionalFormatting sqref="P705:P707">
    <cfRule type="containsText" dxfId="2" priority="5853" operator="containsText" text="Yes">
      <formula>NOT(ISERROR(SEARCH(("Yes"),(P705))))</formula>
    </cfRule>
  </conditionalFormatting>
  <conditionalFormatting sqref="P705:P707">
    <cfRule type="containsText" dxfId="9" priority="5854" operator="containsText" text="No">
      <formula>NOT(ISERROR(SEARCH(("No"),(P705))))</formula>
    </cfRule>
  </conditionalFormatting>
  <conditionalFormatting sqref="P705:P707">
    <cfRule type="containsText" dxfId="2" priority="5855" operator="containsText" text="Yes">
      <formula>NOT(ISERROR(SEARCH(("Yes"),(P705))))</formula>
    </cfRule>
  </conditionalFormatting>
  <conditionalFormatting sqref="P705:P707">
    <cfRule type="containsText" dxfId="9" priority="5856" operator="containsText" text="No">
      <formula>NOT(ISERROR(SEARCH(("No"),(P705))))</formula>
    </cfRule>
  </conditionalFormatting>
  <conditionalFormatting sqref="P705:P707">
    <cfRule type="containsText" dxfId="2" priority="5857" operator="containsText" text="Yes">
      <formula>NOT(ISERROR(SEARCH(("Yes"),(P705))))</formula>
    </cfRule>
  </conditionalFormatting>
  <conditionalFormatting sqref="P705:P707">
    <cfRule type="containsText" dxfId="9" priority="5858" operator="containsText" text="No">
      <formula>NOT(ISERROR(SEARCH(("No"),(P705))))</formula>
    </cfRule>
  </conditionalFormatting>
  <conditionalFormatting sqref="P705:P707">
    <cfRule type="containsText" dxfId="2" priority="5859" operator="containsText" text="Yes">
      <formula>NOT(ISERROR(SEARCH(("Yes"),(P705))))</formula>
    </cfRule>
  </conditionalFormatting>
  <conditionalFormatting sqref="P705:P707">
    <cfRule type="containsText" dxfId="9" priority="5860" operator="containsText" text="No">
      <formula>NOT(ISERROR(SEARCH(("No"),(P705))))</formula>
    </cfRule>
  </conditionalFormatting>
  <conditionalFormatting sqref="P705:P707">
    <cfRule type="containsText" dxfId="2" priority="5861" operator="containsText" text="Yes">
      <formula>NOT(ISERROR(SEARCH(("Yes"),(P705))))</formula>
    </cfRule>
  </conditionalFormatting>
  <conditionalFormatting sqref="P705:P707">
    <cfRule type="containsText" dxfId="9" priority="5862" operator="containsText" text="No">
      <formula>NOT(ISERROR(SEARCH(("No"),(P705))))</formula>
    </cfRule>
  </conditionalFormatting>
  <conditionalFormatting sqref="P705:P707">
    <cfRule type="containsText" dxfId="2" priority="5863" operator="containsText" text="Yes">
      <formula>NOT(ISERROR(SEARCH(("Yes"),(P705))))</formula>
    </cfRule>
  </conditionalFormatting>
  <conditionalFormatting sqref="P705:P707">
    <cfRule type="containsText" dxfId="9" priority="5864" operator="containsText" text="No">
      <formula>NOT(ISERROR(SEARCH(("No"),(P705))))</formula>
    </cfRule>
  </conditionalFormatting>
  <conditionalFormatting sqref="P705:P707">
    <cfRule type="containsText" dxfId="2" priority="5865" operator="containsText" text="Yes">
      <formula>NOT(ISERROR(SEARCH(("Yes"),(P705))))</formula>
    </cfRule>
  </conditionalFormatting>
  <conditionalFormatting sqref="P705:P707">
    <cfRule type="containsText" dxfId="9" priority="5866" operator="containsText" text="No">
      <formula>NOT(ISERROR(SEARCH(("No"),(P705))))</formula>
    </cfRule>
  </conditionalFormatting>
  <conditionalFormatting sqref="P705:P707">
    <cfRule type="containsText" dxfId="2" priority="5867" operator="containsText" text="Yes">
      <formula>NOT(ISERROR(SEARCH(("Yes"),(P705))))</formula>
    </cfRule>
  </conditionalFormatting>
  <conditionalFormatting sqref="P705:P707">
    <cfRule type="containsText" dxfId="9" priority="5868" operator="containsText" text="No">
      <formula>NOT(ISERROR(SEARCH(("No"),(P705))))</formula>
    </cfRule>
  </conditionalFormatting>
  <conditionalFormatting sqref="P705:P707">
    <cfRule type="containsText" dxfId="2" priority="5869" operator="containsText" text="Yes">
      <formula>NOT(ISERROR(SEARCH(("Yes"),(P705))))</formula>
    </cfRule>
  </conditionalFormatting>
  <conditionalFormatting sqref="P705:P707">
    <cfRule type="containsText" dxfId="9" priority="5870" operator="containsText" text="No">
      <formula>NOT(ISERROR(SEARCH(("No"),(P705))))</formula>
    </cfRule>
  </conditionalFormatting>
  <conditionalFormatting sqref="P705:P707">
    <cfRule type="containsText" dxfId="2" priority="5871" operator="containsText" text="Yes">
      <formula>NOT(ISERROR(SEARCH(("Yes"),(P705))))</formula>
    </cfRule>
  </conditionalFormatting>
  <conditionalFormatting sqref="P705:P707">
    <cfRule type="containsText" dxfId="9" priority="5872" operator="containsText" text="No">
      <formula>NOT(ISERROR(SEARCH(("No"),(P705))))</formula>
    </cfRule>
  </conditionalFormatting>
  <conditionalFormatting sqref="P705:P707">
    <cfRule type="containsText" dxfId="2" priority="5873" operator="containsText" text="Yes">
      <formula>NOT(ISERROR(SEARCH(("Yes"),(P705))))</formula>
    </cfRule>
  </conditionalFormatting>
  <conditionalFormatting sqref="P705:P707">
    <cfRule type="containsText" dxfId="2" priority="5874" operator="containsText" text="Yes">
      <formula>NOT(ISERROR(SEARCH(("Yes"),(P705))))</formula>
    </cfRule>
  </conditionalFormatting>
  <conditionalFormatting sqref="P708">
    <cfRule type="containsText" dxfId="9" priority="5875" operator="containsText" text="No">
      <formula>NOT(ISERROR(SEARCH(("No"),(P708))))</formula>
    </cfRule>
  </conditionalFormatting>
  <conditionalFormatting sqref="P708">
    <cfRule type="containsText" dxfId="9" priority="5876" operator="containsText" text="No">
      <formula>NOT(ISERROR(SEARCH(("No"),(P708))))</formula>
    </cfRule>
  </conditionalFormatting>
  <conditionalFormatting sqref="P708">
    <cfRule type="containsText" dxfId="2" priority="5877" operator="containsText" text="Yes">
      <formula>NOT(ISERROR(SEARCH(("Yes"),(P708))))</formula>
    </cfRule>
  </conditionalFormatting>
  <conditionalFormatting sqref="P708">
    <cfRule type="containsText" dxfId="2" priority="5878" operator="containsText" text="Yes">
      <formula>NOT(ISERROR(SEARCH(("Yes"),(P708))))</formula>
    </cfRule>
  </conditionalFormatting>
  <conditionalFormatting sqref="P708">
    <cfRule type="containsText" dxfId="9" priority="5879" operator="containsText" text="No">
      <formula>NOT(ISERROR(SEARCH(("No"),(P708))))</formula>
    </cfRule>
  </conditionalFormatting>
  <conditionalFormatting sqref="P708">
    <cfRule type="containsText" dxfId="2" priority="5880" operator="containsText" text="Yes">
      <formula>NOT(ISERROR(SEARCH(("Yes"),(P708))))</formula>
    </cfRule>
  </conditionalFormatting>
  <conditionalFormatting sqref="P708">
    <cfRule type="containsText" dxfId="9" priority="5881" operator="containsText" text="No">
      <formula>NOT(ISERROR(SEARCH(("No"),(P708))))</formula>
    </cfRule>
  </conditionalFormatting>
  <conditionalFormatting sqref="P708">
    <cfRule type="containsText" dxfId="2" priority="5882" operator="containsText" text="Yes">
      <formula>NOT(ISERROR(SEARCH(("Yes"),(P708))))</formula>
    </cfRule>
  </conditionalFormatting>
  <conditionalFormatting sqref="P708">
    <cfRule type="containsText" dxfId="9" priority="5883" operator="containsText" text="No">
      <formula>NOT(ISERROR(SEARCH(("No"),(P708))))</formula>
    </cfRule>
  </conditionalFormatting>
  <conditionalFormatting sqref="P708">
    <cfRule type="containsText" dxfId="2" priority="5884" operator="containsText" text="Yes">
      <formula>NOT(ISERROR(SEARCH(("Yes"),(P708))))</formula>
    </cfRule>
  </conditionalFormatting>
  <conditionalFormatting sqref="P708">
    <cfRule type="containsText" dxfId="9" priority="5885" operator="containsText" text="No">
      <formula>NOT(ISERROR(SEARCH(("No"),(P708))))</formula>
    </cfRule>
  </conditionalFormatting>
  <conditionalFormatting sqref="P708">
    <cfRule type="containsText" dxfId="2" priority="5886" operator="containsText" text="Yes">
      <formula>NOT(ISERROR(SEARCH(("Yes"),(P708))))</formula>
    </cfRule>
  </conditionalFormatting>
  <conditionalFormatting sqref="P709:P711">
    <cfRule type="containsText" dxfId="9" priority="5887" operator="containsText" text="No">
      <formula>NOT(ISERROR(SEARCH(("No"),(P709))))</formula>
    </cfRule>
  </conditionalFormatting>
  <conditionalFormatting sqref="P709:P711">
    <cfRule type="containsText" dxfId="2" priority="5888" operator="containsText" text="Yes">
      <formula>NOT(ISERROR(SEARCH(("Yes"),(P709))))</formula>
    </cfRule>
  </conditionalFormatting>
  <conditionalFormatting sqref="P709:P711">
    <cfRule type="containsText" dxfId="2" priority="5889" operator="containsText" text="Yes">
      <formula>NOT(ISERROR(SEARCH(("Yes"),(P709))))</formula>
    </cfRule>
  </conditionalFormatting>
  <conditionalFormatting sqref="P709:P711">
    <cfRule type="containsText" dxfId="9" priority="5890" operator="containsText" text="No">
      <formula>NOT(ISERROR(SEARCH(("No"),(P709))))</formula>
    </cfRule>
  </conditionalFormatting>
  <conditionalFormatting sqref="P709:P711">
    <cfRule type="containsText" dxfId="2" priority="5891" operator="containsText" text="Yes">
      <formula>NOT(ISERROR(SEARCH(("Yes"),(P709))))</formula>
    </cfRule>
  </conditionalFormatting>
  <conditionalFormatting sqref="P709:P711">
    <cfRule type="containsText" dxfId="9" priority="5892" operator="containsText" text="No">
      <formula>NOT(ISERROR(SEARCH(("No"),(P709))))</formula>
    </cfRule>
  </conditionalFormatting>
  <conditionalFormatting sqref="P709:P711">
    <cfRule type="containsText" dxfId="2" priority="5893" operator="containsText" text="Yes">
      <formula>NOT(ISERROR(SEARCH(("Yes"),(P709))))</formula>
    </cfRule>
  </conditionalFormatting>
  <conditionalFormatting sqref="P709:P711">
    <cfRule type="containsText" dxfId="9" priority="5894" operator="containsText" text="No">
      <formula>NOT(ISERROR(SEARCH(("No"),(P709))))</formula>
    </cfRule>
  </conditionalFormatting>
  <conditionalFormatting sqref="P709:P711">
    <cfRule type="containsText" dxfId="2" priority="5895" operator="containsText" text="Yes">
      <formula>NOT(ISERROR(SEARCH(("Yes"),(P709))))</formula>
    </cfRule>
  </conditionalFormatting>
  <conditionalFormatting sqref="P709:P711">
    <cfRule type="containsText" dxfId="9" priority="5896" operator="containsText" text="No">
      <formula>NOT(ISERROR(SEARCH(("No"),(P709))))</formula>
    </cfRule>
  </conditionalFormatting>
  <conditionalFormatting sqref="P709:P711">
    <cfRule type="containsText" dxfId="2" priority="5897" operator="containsText" text="Yes">
      <formula>NOT(ISERROR(SEARCH(("Yes"),(P709))))</formula>
    </cfRule>
  </conditionalFormatting>
  <conditionalFormatting sqref="P709:P711">
    <cfRule type="containsText" dxfId="9" priority="5898" operator="containsText" text="No">
      <formula>NOT(ISERROR(SEARCH(("No"),(P709))))</formula>
    </cfRule>
  </conditionalFormatting>
  <conditionalFormatting sqref="P709:P711">
    <cfRule type="containsText" dxfId="2" priority="5899" operator="containsText" text="Yes">
      <formula>NOT(ISERROR(SEARCH(("Yes"),(P709))))</formula>
    </cfRule>
  </conditionalFormatting>
  <conditionalFormatting sqref="P709:P711">
    <cfRule type="containsText" dxfId="9" priority="5900" operator="containsText" text="No">
      <formula>NOT(ISERROR(SEARCH(("No"),(P709))))</formula>
    </cfRule>
  </conditionalFormatting>
  <conditionalFormatting sqref="P709:P711">
    <cfRule type="containsText" dxfId="2" priority="5901" operator="containsText" text="Yes">
      <formula>NOT(ISERROR(SEARCH(("Yes"),(P709))))</formula>
    </cfRule>
  </conditionalFormatting>
  <conditionalFormatting sqref="P709:P711">
    <cfRule type="containsText" dxfId="9" priority="5902" operator="containsText" text="No">
      <formula>NOT(ISERROR(SEARCH(("No"),(P709))))</formula>
    </cfRule>
  </conditionalFormatting>
  <conditionalFormatting sqref="P709:P711">
    <cfRule type="containsText" dxfId="2" priority="5903" operator="containsText" text="Yes">
      <formula>NOT(ISERROR(SEARCH(("Yes"),(P709))))</formula>
    </cfRule>
  </conditionalFormatting>
  <conditionalFormatting sqref="P709:P711">
    <cfRule type="containsText" dxfId="9" priority="5904" operator="containsText" text="No">
      <formula>NOT(ISERROR(SEARCH(("No"),(P709))))</formula>
    </cfRule>
  </conditionalFormatting>
  <conditionalFormatting sqref="P709:P711">
    <cfRule type="containsText" dxfId="2" priority="5905" operator="containsText" text="Yes">
      <formula>NOT(ISERROR(SEARCH(("Yes"),(P709))))</formula>
    </cfRule>
  </conditionalFormatting>
  <conditionalFormatting sqref="P709:P711">
    <cfRule type="containsText" dxfId="9" priority="5906" operator="containsText" text="No">
      <formula>NOT(ISERROR(SEARCH(("No"),(P709))))</formula>
    </cfRule>
  </conditionalFormatting>
  <conditionalFormatting sqref="P709:P711">
    <cfRule type="containsText" dxfId="2" priority="5907" operator="containsText" text="Yes">
      <formula>NOT(ISERROR(SEARCH(("Yes"),(P709))))</formula>
    </cfRule>
  </conditionalFormatting>
  <conditionalFormatting sqref="P709:P711">
    <cfRule type="containsText" dxfId="9" priority="5908" operator="containsText" text="No">
      <formula>NOT(ISERROR(SEARCH(("No"),(P709))))</formula>
    </cfRule>
  </conditionalFormatting>
  <conditionalFormatting sqref="P709:P711">
    <cfRule type="containsText" dxfId="2" priority="5909" operator="containsText" text="Yes">
      <formula>NOT(ISERROR(SEARCH(("Yes"),(P709))))</formula>
    </cfRule>
  </conditionalFormatting>
  <conditionalFormatting sqref="P709:P711">
    <cfRule type="containsText" dxfId="9" priority="5910" operator="containsText" text="No">
      <formula>NOT(ISERROR(SEARCH(("No"),(P709))))</formula>
    </cfRule>
  </conditionalFormatting>
  <conditionalFormatting sqref="P709:P711">
    <cfRule type="containsText" dxfId="2" priority="5911" operator="containsText" text="Yes">
      <formula>NOT(ISERROR(SEARCH(("Yes"),(P709))))</formula>
    </cfRule>
  </conditionalFormatting>
  <conditionalFormatting sqref="P709:P711">
    <cfRule type="containsText" dxfId="9" priority="5912" operator="containsText" text="No">
      <formula>NOT(ISERROR(SEARCH(("No"),(P709))))</formula>
    </cfRule>
  </conditionalFormatting>
  <conditionalFormatting sqref="P709:P711">
    <cfRule type="containsText" dxfId="2" priority="5913" operator="containsText" text="Yes">
      <formula>NOT(ISERROR(SEARCH(("Yes"),(P709))))</formula>
    </cfRule>
  </conditionalFormatting>
  <conditionalFormatting sqref="P709:P711">
    <cfRule type="containsText" dxfId="9" priority="5914" operator="containsText" text="No">
      <formula>NOT(ISERROR(SEARCH(("No"),(P709))))</formula>
    </cfRule>
  </conditionalFormatting>
  <conditionalFormatting sqref="P709:P711">
    <cfRule type="containsText" dxfId="2" priority="5915" operator="containsText" text="Yes">
      <formula>NOT(ISERROR(SEARCH(("Yes"),(P709))))</formula>
    </cfRule>
  </conditionalFormatting>
  <conditionalFormatting sqref="P709:P711">
    <cfRule type="containsText" dxfId="9" priority="5916" operator="containsText" text="No">
      <formula>NOT(ISERROR(SEARCH(("No"),(P709))))</formula>
    </cfRule>
  </conditionalFormatting>
  <conditionalFormatting sqref="P709:P711">
    <cfRule type="containsText" dxfId="2" priority="5917" operator="containsText" text="Yes">
      <formula>NOT(ISERROR(SEARCH(("Yes"),(P709))))</formula>
    </cfRule>
  </conditionalFormatting>
  <conditionalFormatting sqref="P709:P711">
    <cfRule type="containsText" dxfId="9" priority="5918" operator="containsText" text="No">
      <formula>NOT(ISERROR(SEARCH(("No"),(P709))))</formula>
    </cfRule>
  </conditionalFormatting>
  <conditionalFormatting sqref="P709:P711">
    <cfRule type="containsText" dxfId="2" priority="5919" operator="containsText" text="Yes">
      <formula>NOT(ISERROR(SEARCH(("Yes"),(P709))))</formula>
    </cfRule>
  </conditionalFormatting>
  <conditionalFormatting sqref="P709:P711">
    <cfRule type="containsText" dxfId="9" priority="5920" operator="containsText" text="No">
      <formula>NOT(ISERROR(SEARCH(("No"),(P709))))</formula>
    </cfRule>
  </conditionalFormatting>
  <conditionalFormatting sqref="P709:P711">
    <cfRule type="containsText" dxfId="2" priority="5921" operator="containsText" text="Yes">
      <formula>NOT(ISERROR(SEARCH(("Yes"),(P709))))</formula>
    </cfRule>
  </conditionalFormatting>
  <conditionalFormatting sqref="P709:P711">
    <cfRule type="containsText" dxfId="9" priority="5922" operator="containsText" text="No">
      <formula>NOT(ISERROR(SEARCH(("No"),(P709))))</formula>
    </cfRule>
  </conditionalFormatting>
  <conditionalFormatting sqref="P709:P711">
    <cfRule type="containsText" dxfId="2" priority="5923" operator="containsText" text="Yes">
      <formula>NOT(ISERROR(SEARCH(("Yes"),(P709))))</formula>
    </cfRule>
  </conditionalFormatting>
  <conditionalFormatting sqref="P709:P711">
    <cfRule type="containsText" dxfId="9" priority="5924" operator="containsText" text="No">
      <formula>NOT(ISERROR(SEARCH(("No"),(P709))))</formula>
    </cfRule>
  </conditionalFormatting>
  <conditionalFormatting sqref="P709:P711">
    <cfRule type="containsText" dxfId="2" priority="5925" operator="containsText" text="Yes">
      <formula>NOT(ISERROR(SEARCH(("Yes"),(P709))))</formula>
    </cfRule>
  </conditionalFormatting>
  <conditionalFormatting sqref="P709:P711">
    <cfRule type="containsText" dxfId="9" priority="5926" operator="containsText" text="No">
      <formula>NOT(ISERROR(SEARCH(("No"),(P709))))</formula>
    </cfRule>
  </conditionalFormatting>
  <conditionalFormatting sqref="P709:P711">
    <cfRule type="containsText" dxfId="2" priority="5927" operator="containsText" text="Yes">
      <formula>NOT(ISERROR(SEARCH(("Yes"),(P709))))</formula>
    </cfRule>
  </conditionalFormatting>
  <conditionalFormatting sqref="P709:P711">
    <cfRule type="containsText" dxfId="9" priority="5928" operator="containsText" text="No">
      <formula>NOT(ISERROR(SEARCH(("No"),(P709))))</formula>
    </cfRule>
  </conditionalFormatting>
  <conditionalFormatting sqref="P709:P711">
    <cfRule type="containsText" dxfId="2" priority="5929" operator="containsText" text="Yes">
      <formula>NOT(ISERROR(SEARCH(("Yes"),(P709))))</formula>
    </cfRule>
  </conditionalFormatting>
  <conditionalFormatting sqref="P709:P711">
    <cfRule type="containsText" dxfId="9" priority="5930" operator="containsText" text="No">
      <formula>NOT(ISERROR(SEARCH(("No"),(P709))))</formula>
    </cfRule>
  </conditionalFormatting>
  <conditionalFormatting sqref="P709:P711">
    <cfRule type="containsText" dxfId="2" priority="5931" operator="containsText" text="Yes">
      <formula>NOT(ISERROR(SEARCH(("Yes"),(P709))))</formula>
    </cfRule>
  </conditionalFormatting>
  <conditionalFormatting sqref="P709:P711">
    <cfRule type="containsText" dxfId="9" priority="5932" operator="containsText" text="No">
      <formula>NOT(ISERROR(SEARCH(("No"),(P709))))</formula>
    </cfRule>
  </conditionalFormatting>
  <conditionalFormatting sqref="P709:P711">
    <cfRule type="containsText" dxfId="2" priority="5933" operator="containsText" text="Yes">
      <formula>NOT(ISERROR(SEARCH(("Yes"),(P709))))</formula>
    </cfRule>
  </conditionalFormatting>
  <conditionalFormatting sqref="P709:P711">
    <cfRule type="containsText" dxfId="9" priority="5934" operator="containsText" text="No">
      <formula>NOT(ISERROR(SEARCH(("No"),(P709))))</formula>
    </cfRule>
  </conditionalFormatting>
  <conditionalFormatting sqref="P709:P711">
    <cfRule type="containsText" dxfId="2" priority="5935" operator="containsText" text="Yes">
      <formula>NOT(ISERROR(SEARCH(("Yes"),(P709))))</formula>
    </cfRule>
  </conditionalFormatting>
  <conditionalFormatting sqref="P709:P711">
    <cfRule type="containsText" dxfId="9" priority="5936" operator="containsText" text="No">
      <formula>NOT(ISERROR(SEARCH(("No"),(P709))))</formula>
    </cfRule>
  </conditionalFormatting>
  <conditionalFormatting sqref="P709:P711">
    <cfRule type="containsText" dxfId="2" priority="5937" operator="containsText" text="Yes">
      <formula>NOT(ISERROR(SEARCH(("Yes"),(P709))))</formula>
    </cfRule>
  </conditionalFormatting>
  <conditionalFormatting sqref="P709:P711">
    <cfRule type="containsText" dxfId="9" priority="5938" operator="containsText" text="No">
      <formula>NOT(ISERROR(SEARCH(("No"),(P709))))</formula>
    </cfRule>
  </conditionalFormatting>
  <conditionalFormatting sqref="P709:P711">
    <cfRule type="containsText" dxfId="2" priority="5939" operator="containsText" text="Yes">
      <formula>NOT(ISERROR(SEARCH(("Yes"),(P709))))</formula>
    </cfRule>
  </conditionalFormatting>
  <conditionalFormatting sqref="P709:P711">
    <cfRule type="containsText" dxfId="9" priority="5940" operator="containsText" text="No">
      <formula>NOT(ISERROR(SEARCH(("No"),(P709))))</formula>
    </cfRule>
  </conditionalFormatting>
  <conditionalFormatting sqref="P709:P711">
    <cfRule type="containsText" dxfId="2" priority="5941" operator="containsText" text="Yes">
      <formula>NOT(ISERROR(SEARCH(("Yes"),(P709))))</formula>
    </cfRule>
  </conditionalFormatting>
  <conditionalFormatting sqref="P709:P711">
    <cfRule type="containsText" dxfId="9" priority="5942" operator="containsText" text="No">
      <formula>NOT(ISERROR(SEARCH(("No"),(P709))))</formula>
    </cfRule>
  </conditionalFormatting>
  <conditionalFormatting sqref="P709:P711">
    <cfRule type="containsText" dxfId="2" priority="5943" operator="containsText" text="Yes">
      <formula>NOT(ISERROR(SEARCH(("Yes"),(P709))))</formula>
    </cfRule>
  </conditionalFormatting>
  <conditionalFormatting sqref="P709:P711">
    <cfRule type="containsText" dxfId="9" priority="5944" operator="containsText" text="No">
      <formula>NOT(ISERROR(SEARCH(("No"),(P709))))</formula>
    </cfRule>
  </conditionalFormatting>
  <conditionalFormatting sqref="P709:P711">
    <cfRule type="containsText" dxfId="2" priority="5945" operator="containsText" text="Yes">
      <formula>NOT(ISERROR(SEARCH(("Yes"),(P709))))</formula>
    </cfRule>
  </conditionalFormatting>
  <conditionalFormatting sqref="P709:P711">
    <cfRule type="containsText" dxfId="9" priority="5946" operator="containsText" text="No">
      <formula>NOT(ISERROR(SEARCH(("No"),(P709))))</formula>
    </cfRule>
  </conditionalFormatting>
  <conditionalFormatting sqref="P709:P711">
    <cfRule type="containsText" dxfId="2" priority="5947" operator="containsText" text="Yes">
      <formula>NOT(ISERROR(SEARCH(("Yes"),(P709))))</formula>
    </cfRule>
  </conditionalFormatting>
  <conditionalFormatting sqref="P709:P711">
    <cfRule type="containsText" dxfId="9" priority="5948" operator="containsText" text="No">
      <formula>NOT(ISERROR(SEARCH(("No"),(P709))))</formula>
    </cfRule>
  </conditionalFormatting>
  <conditionalFormatting sqref="P709:P711">
    <cfRule type="containsText" dxfId="2" priority="5949" operator="containsText" text="Yes">
      <formula>NOT(ISERROR(SEARCH(("Yes"),(P709))))</formula>
    </cfRule>
  </conditionalFormatting>
  <conditionalFormatting sqref="P709:P711">
    <cfRule type="containsText" dxfId="9" priority="5950" operator="containsText" text="No">
      <formula>NOT(ISERROR(SEARCH(("No"),(P709))))</formula>
    </cfRule>
  </conditionalFormatting>
  <conditionalFormatting sqref="P709:P711">
    <cfRule type="containsText" dxfId="2" priority="5951" operator="containsText" text="Yes">
      <formula>NOT(ISERROR(SEARCH(("Yes"),(P709))))</formula>
    </cfRule>
  </conditionalFormatting>
  <conditionalFormatting sqref="P709:P711">
    <cfRule type="containsText" dxfId="9" priority="5952" operator="containsText" text="No">
      <formula>NOT(ISERROR(SEARCH(("No"),(P709))))</formula>
    </cfRule>
  </conditionalFormatting>
  <conditionalFormatting sqref="P709:P711">
    <cfRule type="containsText" dxfId="2" priority="5953" operator="containsText" text="Yes">
      <formula>NOT(ISERROR(SEARCH(("Yes"),(P709))))</formula>
    </cfRule>
  </conditionalFormatting>
  <conditionalFormatting sqref="P709:P711">
    <cfRule type="containsText" dxfId="9" priority="5954" operator="containsText" text="No">
      <formula>NOT(ISERROR(SEARCH(("No"),(P709))))</formula>
    </cfRule>
  </conditionalFormatting>
  <conditionalFormatting sqref="P709:P711">
    <cfRule type="containsText" dxfId="2" priority="5955" operator="containsText" text="Yes">
      <formula>NOT(ISERROR(SEARCH(("Yes"),(P709))))</formula>
    </cfRule>
  </conditionalFormatting>
  <conditionalFormatting sqref="P709:P711">
    <cfRule type="containsText" dxfId="9" priority="5956" operator="containsText" text="No">
      <formula>NOT(ISERROR(SEARCH(("No"),(P709))))</formula>
    </cfRule>
  </conditionalFormatting>
  <conditionalFormatting sqref="P709:P711">
    <cfRule type="containsText" dxfId="2" priority="5957" operator="containsText" text="Yes">
      <formula>NOT(ISERROR(SEARCH(("Yes"),(P709))))</formula>
    </cfRule>
  </conditionalFormatting>
  <conditionalFormatting sqref="P709:P711">
    <cfRule type="containsText" dxfId="9" priority="5958" operator="containsText" text="No">
      <formula>NOT(ISERROR(SEARCH(("No"),(P709))))</formula>
    </cfRule>
  </conditionalFormatting>
  <conditionalFormatting sqref="P709:P711">
    <cfRule type="containsText" dxfId="2" priority="5959" operator="containsText" text="Yes">
      <formula>NOT(ISERROR(SEARCH(("Yes"),(P709))))</formula>
    </cfRule>
  </conditionalFormatting>
  <conditionalFormatting sqref="P709:P711">
    <cfRule type="containsText" dxfId="9" priority="5960" operator="containsText" text="No">
      <formula>NOT(ISERROR(SEARCH(("No"),(P709))))</formula>
    </cfRule>
  </conditionalFormatting>
  <conditionalFormatting sqref="P709:P711">
    <cfRule type="containsText" dxfId="2" priority="5961" operator="containsText" text="Yes">
      <formula>NOT(ISERROR(SEARCH(("Yes"),(P709))))</formula>
    </cfRule>
  </conditionalFormatting>
  <conditionalFormatting sqref="P709:P711">
    <cfRule type="containsText" dxfId="9" priority="5962" operator="containsText" text="No">
      <formula>NOT(ISERROR(SEARCH(("No"),(P709))))</formula>
    </cfRule>
  </conditionalFormatting>
  <conditionalFormatting sqref="P709:P711">
    <cfRule type="containsText" dxfId="2" priority="5963" operator="containsText" text="Yes">
      <formula>NOT(ISERROR(SEARCH(("Yes"),(P709))))</formula>
    </cfRule>
  </conditionalFormatting>
  <conditionalFormatting sqref="P709:P711">
    <cfRule type="containsText" dxfId="9" priority="5964" operator="containsText" text="No">
      <formula>NOT(ISERROR(SEARCH(("No"),(P709))))</formula>
    </cfRule>
  </conditionalFormatting>
  <conditionalFormatting sqref="P709:P711">
    <cfRule type="containsText" dxfId="2" priority="5965" operator="containsText" text="Yes">
      <formula>NOT(ISERROR(SEARCH(("Yes"),(P709))))</formula>
    </cfRule>
  </conditionalFormatting>
  <conditionalFormatting sqref="P709:P711">
    <cfRule type="containsText" dxfId="9" priority="5966" operator="containsText" text="No">
      <formula>NOT(ISERROR(SEARCH(("No"),(P709))))</formula>
    </cfRule>
  </conditionalFormatting>
  <conditionalFormatting sqref="P709:P711">
    <cfRule type="containsText" dxfId="2" priority="5967" operator="containsText" text="Yes">
      <formula>NOT(ISERROR(SEARCH(("Yes"),(P709))))</formula>
    </cfRule>
  </conditionalFormatting>
  <conditionalFormatting sqref="P709:P711">
    <cfRule type="containsText" dxfId="9" priority="5968" operator="containsText" text="No">
      <formula>NOT(ISERROR(SEARCH(("No"),(P709))))</formula>
    </cfRule>
  </conditionalFormatting>
  <conditionalFormatting sqref="P709:P711">
    <cfRule type="containsText" dxfId="2" priority="5969" operator="containsText" text="Yes">
      <formula>NOT(ISERROR(SEARCH(("Yes"),(P709))))</formula>
    </cfRule>
  </conditionalFormatting>
  <conditionalFormatting sqref="P709:P711">
    <cfRule type="containsText" dxfId="9" priority="5970" operator="containsText" text="No">
      <formula>NOT(ISERROR(SEARCH(("No"),(P709))))</formula>
    </cfRule>
  </conditionalFormatting>
  <conditionalFormatting sqref="P709:P711">
    <cfRule type="containsText" dxfId="2" priority="5971" operator="containsText" text="Yes">
      <formula>NOT(ISERROR(SEARCH(("Yes"),(P709))))</formula>
    </cfRule>
  </conditionalFormatting>
  <conditionalFormatting sqref="P709:P711">
    <cfRule type="containsText" dxfId="9" priority="5972" operator="containsText" text="No">
      <formula>NOT(ISERROR(SEARCH(("No"),(P709))))</formula>
    </cfRule>
  </conditionalFormatting>
  <conditionalFormatting sqref="P709:P711">
    <cfRule type="containsText" dxfId="2" priority="5973" operator="containsText" text="Yes">
      <formula>NOT(ISERROR(SEARCH(("Yes"),(P709))))</formula>
    </cfRule>
  </conditionalFormatting>
  <conditionalFormatting sqref="P709:P711">
    <cfRule type="containsText" dxfId="9" priority="5974" operator="containsText" text="No">
      <formula>NOT(ISERROR(SEARCH(("No"),(P709))))</formula>
    </cfRule>
  </conditionalFormatting>
  <conditionalFormatting sqref="P709:P711">
    <cfRule type="containsText" dxfId="2" priority="5975" operator="containsText" text="Yes">
      <formula>NOT(ISERROR(SEARCH(("Yes"),(P709))))</formula>
    </cfRule>
  </conditionalFormatting>
  <conditionalFormatting sqref="P709:P711">
    <cfRule type="containsText" dxfId="9" priority="5976" operator="containsText" text="No">
      <formula>NOT(ISERROR(SEARCH(("No"),(P709))))</formula>
    </cfRule>
  </conditionalFormatting>
  <conditionalFormatting sqref="P709:P711">
    <cfRule type="containsText" dxfId="2" priority="5977" operator="containsText" text="Yes">
      <formula>NOT(ISERROR(SEARCH(("Yes"),(P709))))</formula>
    </cfRule>
  </conditionalFormatting>
  <conditionalFormatting sqref="P709:P711">
    <cfRule type="containsText" dxfId="2" priority="5978" operator="containsText" text="Yes">
      <formula>NOT(ISERROR(SEARCH(("Yes"),(P709))))</formula>
    </cfRule>
  </conditionalFormatting>
  <conditionalFormatting sqref="P712">
    <cfRule type="containsText" dxfId="9" priority="5979" operator="containsText" text="No">
      <formula>NOT(ISERROR(SEARCH(("No"),(P712))))</formula>
    </cfRule>
  </conditionalFormatting>
  <conditionalFormatting sqref="P712">
    <cfRule type="containsText" dxfId="2" priority="5980" operator="containsText" text="Yes">
      <formula>NOT(ISERROR(SEARCH(("Yes"),(P712))))</formula>
    </cfRule>
  </conditionalFormatting>
  <conditionalFormatting sqref="P713:P716">
    <cfRule type="containsText" dxfId="9" priority="5981" operator="containsText" text="No">
      <formula>NOT(ISERROR(SEARCH(("No"),(P713))))</formula>
    </cfRule>
  </conditionalFormatting>
  <conditionalFormatting sqref="P713:P716">
    <cfRule type="containsText" dxfId="2" priority="5982" operator="containsText" text="Yes">
      <formula>NOT(ISERROR(SEARCH(("Yes"),(P713))))</formula>
    </cfRule>
  </conditionalFormatting>
  <conditionalFormatting sqref="P713:P716">
    <cfRule type="containsText" dxfId="2" priority="5983" operator="containsText" text="Yes">
      <formula>NOT(ISERROR(SEARCH(("Yes"),(P713))))</formula>
    </cfRule>
  </conditionalFormatting>
  <conditionalFormatting sqref="P713:P716">
    <cfRule type="containsText" dxfId="9" priority="5984" operator="containsText" text="No">
      <formula>NOT(ISERROR(SEARCH(("No"),(P713))))</formula>
    </cfRule>
  </conditionalFormatting>
  <conditionalFormatting sqref="P713:P716">
    <cfRule type="containsText" dxfId="2" priority="5985" operator="containsText" text="Yes">
      <formula>NOT(ISERROR(SEARCH(("Yes"),(P713))))</formula>
    </cfRule>
  </conditionalFormatting>
  <conditionalFormatting sqref="P713:P716">
    <cfRule type="containsText" dxfId="9" priority="5986" operator="containsText" text="No">
      <formula>NOT(ISERROR(SEARCH(("No"),(P713))))</formula>
    </cfRule>
  </conditionalFormatting>
  <conditionalFormatting sqref="P713:P716">
    <cfRule type="containsText" dxfId="2" priority="5987" operator="containsText" text="Yes">
      <formula>NOT(ISERROR(SEARCH(("Yes"),(P713))))</formula>
    </cfRule>
  </conditionalFormatting>
  <conditionalFormatting sqref="P713:P716">
    <cfRule type="containsText" dxfId="9" priority="5988" operator="containsText" text="No">
      <formula>NOT(ISERROR(SEARCH(("No"),(P713))))</formula>
    </cfRule>
  </conditionalFormatting>
  <conditionalFormatting sqref="P713:P716">
    <cfRule type="containsText" dxfId="2" priority="5989" operator="containsText" text="Yes">
      <formula>NOT(ISERROR(SEARCH(("Yes"),(P713))))</formula>
    </cfRule>
  </conditionalFormatting>
  <conditionalFormatting sqref="P713:P716">
    <cfRule type="containsText" dxfId="9" priority="5990" operator="containsText" text="No">
      <formula>NOT(ISERROR(SEARCH(("No"),(P713))))</formula>
    </cfRule>
  </conditionalFormatting>
  <conditionalFormatting sqref="P713:P716">
    <cfRule type="containsText" dxfId="2" priority="5991" operator="containsText" text="Yes">
      <formula>NOT(ISERROR(SEARCH(("Yes"),(P713))))</formula>
    </cfRule>
  </conditionalFormatting>
  <conditionalFormatting sqref="P713:P716">
    <cfRule type="containsText" dxfId="9" priority="5992" operator="containsText" text="No">
      <formula>NOT(ISERROR(SEARCH(("No"),(P713))))</formula>
    </cfRule>
  </conditionalFormatting>
  <conditionalFormatting sqref="P713:P716">
    <cfRule type="containsText" dxfId="2" priority="5993" operator="containsText" text="Yes">
      <formula>NOT(ISERROR(SEARCH(("Yes"),(P713))))</formula>
    </cfRule>
  </conditionalFormatting>
  <conditionalFormatting sqref="P713:P716">
    <cfRule type="containsText" dxfId="9" priority="5994" operator="containsText" text="No">
      <formula>NOT(ISERROR(SEARCH(("No"),(P713))))</formula>
    </cfRule>
  </conditionalFormatting>
  <conditionalFormatting sqref="P713:P716">
    <cfRule type="containsText" dxfId="2" priority="5995" operator="containsText" text="Yes">
      <formula>NOT(ISERROR(SEARCH(("Yes"),(P713))))</formula>
    </cfRule>
  </conditionalFormatting>
  <conditionalFormatting sqref="P713:P716">
    <cfRule type="containsText" dxfId="9" priority="5996" operator="containsText" text="No">
      <formula>NOT(ISERROR(SEARCH(("No"),(P713))))</formula>
    </cfRule>
  </conditionalFormatting>
  <conditionalFormatting sqref="P713:P716">
    <cfRule type="containsText" dxfId="2" priority="5997" operator="containsText" text="Yes">
      <formula>NOT(ISERROR(SEARCH(("Yes"),(P713))))</formula>
    </cfRule>
  </conditionalFormatting>
  <conditionalFormatting sqref="P713:P716">
    <cfRule type="containsText" dxfId="9" priority="5998" operator="containsText" text="No">
      <formula>NOT(ISERROR(SEARCH(("No"),(P713))))</formula>
    </cfRule>
  </conditionalFormatting>
  <conditionalFormatting sqref="P713:P716">
    <cfRule type="containsText" dxfId="2" priority="5999" operator="containsText" text="Yes">
      <formula>NOT(ISERROR(SEARCH(("Yes"),(P713))))</formula>
    </cfRule>
  </conditionalFormatting>
  <conditionalFormatting sqref="P713:P716">
    <cfRule type="containsText" dxfId="9" priority="6000" operator="containsText" text="No">
      <formula>NOT(ISERROR(SEARCH(("No"),(P713))))</formula>
    </cfRule>
  </conditionalFormatting>
  <conditionalFormatting sqref="P713:P716">
    <cfRule type="containsText" dxfId="2" priority="6001" operator="containsText" text="Yes">
      <formula>NOT(ISERROR(SEARCH(("Yes"),(P713))))</formula>
    </cfRule>
  </conditionalFormatting>
  <conditionalFormatting sqref="P713:P716">
    <cfRule type="containsText" dxfId="9" priority="6002" operator="containsText" text="No">
      <formula>NOT(ISERROR(SEARCH(("No"),(P713))))</formula>
    </cfRule>
  </conditionalFormatting>
  <conditionalFormatting sqref="P713:P716">
    <cfRule type="containsText" dxfId="2" priority="6003" operator="containsText" text="Yes">
      <formula>NOT(ISERROR(SEARCH(("Yes"),(P713))))</formula>
    </cfRule>
  </conditionalFormatting>
  <conditionalFormatting sqref="P713:P716">
    <cfRule type="containsText" dxfId="9" priority="6004" operator="containsText" text="No">
      <formula>NOT(ISERROR(SEARCH(("No"),(P713))))</formula>
    </cfRule>
  </conditionalFormatting>
  <conditionalFormatting sqref="P713:P716">
    <cfRule type="containsText" dxfId="2" priority="6005" operator="containsText" text="Yes">
      <formula>NOT(ISERROR(SEARCH(("Yes"),(P713))))</formula>
    </cfRule>
  </conditionalFormatting>
  <conditionalFormatting sqref="P713:P716">
    <cfRule type="containsText" dxfId="9" priority="6006" operator="containsText" text="No">
      <formula>NOT(ISERROR(SEARCH(("No"),(P713))))</formula>
    </cfRule>
  </conditionalFormatting>
  <conditionalFormatting sqref="P713:P716">
    <cfRule type="containsText" dxfId="2" priority="6007" operator="containsText" text="Yes">
      <formula>NOT(ISERROR(SEARCH(("Yes"),(P713))))</formula>
    </cfRule>
  </conditionalFormatting>
  <conditionalFormatting sqref="P713:P716">
    <cfRule type="containsText" dxfId="9" priority="6008" operator="containsText" text="No">
      <formula>NOT(ISERROR(SEARCH(("No"),(P713))))</formula>
    </cfRule>
  </conditionalFormatting>
  <conditionalFormatting sqref="P713:P716">
    <cfRule type="containsText" dxfId="2" priority="6009" operator="containsText" text="Yes">
      <formula>NOT(ISERROR(SEARCH(("Yes"),(P713))))</formula>
    </cfRule>
  </conditionalFormatting>
  <conditionalFormatting sqref="P713:P716">
    <cfRule type="containsText" dxfId="9" priority="6010" operator="containsText" text="No">
      <formula>NOT(ISERROR(SEARCH(("No"),(P713))))</formula>
    </cfRule>
  </conditionalFormatting>
  <conditionalFormatting sqref="P713:P716">
    <cfRule type="containsText" dxfId="2" priority="6011" operator="containsText" text="Yes">
      <formula>NOT(ISERROR(SEARCH(("Yes"),(P713))))</formula>
    </cfRule>
  </conditionalFormatting>
  <conditionalFormatting sqref="P713:P716">
    <cfRule type="containsText" dxfId="9" priority="6012" operator="containsText" text="No">
      <formula>NOT(ISERROR(SEARCH(("No"),(P713))))</formula>
    </cfRule>
  </conditionalFormatting>
  <conditionalFormatting sqref="P713:P716">
    <cfRule type="containsText" dxfId="2" priority="6013" operator="containsText" text="Yes">
      <formula>NOT(ISERROR(SEARCH(("Yes"),(P713))))</formula>
    </cfRule>
  </conditionalFormatting>
  <conditionalFormatting sqref="P713:P716">
    <cfRule type="containsText" dxfId="9" priority="6014" operator="containsText" text="No">
      <formula>NOT(ISERROR(SEARCH(("No"),(P713))))</formula>
    </cfRule>
  </conditionalFormatting>
  <conditionalFormatting sqref="P713:P716">
    <cfRule type="containsText" dxfId="2" priority="6015" operator="containsText" text="Yes">
      <formula>NOT(ISERROR(SEARCH(("Yes"),(P713))))</formula>
    </cfRule>
  </conditionalFormatting>
  <conditionalFormatting sqref="P713:P716">
    <cfRule type="containsText" dxfId="9" priority="6016" operator="containsText" text="No">
      <formula>NOT(ISERROR(SEARCH(("No"),(P713))))</formula>
    </cfRule>
  </conditionalFormatting>
  <conditionalFormatting sqref="P713:P716">
    <cfRule type="containsText" dxfId="2" priority="6017" operator="containsText" text="Yes">
      <formula>NOT(ISERROR(SEARCH(("Yes"),(P713))))</formula>
    </cfRule>
  </conditionalFormatting>
  <conditionalFormatting sqref="P713:P716">
    <cfRule type="containsText" dxfId="9" priority="6018" operator="containsText" text="No">
      <formula>NOT(ISERROR(SEARCH(("No"),(P713))))</formula>
    </cfRule>
  </conditionalFormatting>
  <conditionalFormatting sqref="P713:P716">
    <cfRule type="containsText" dxfId="2" priority="6019" operator="containsText" text="Yes">
      <formula>NOT(ISERROR(SEARCH(("Yes"),(P713))))</formula>
    </cfRule>
  </conditionalFormatting>
  <conditionalFormatting sqref="P713:P716">
    <cfRule type="containsText" dxfId="9" priority="6020" operator="containsText" text="No">
      <formula>NOT(ISERROR(SEARCH(("No"),(P713))))</formula>
    </cfRule>
  </conditionalFormatting>
  <conditionalFormatting sqref="P713:P716">
    <cfRule type="containsText" dxfId="2" priority="6021" operator="containsText" text="Yes">
      <formula>NOT(ISERROR(SEARCH(("Yes"),(P713))))</formula>
    </cfRule>
  </conditionalFormatting>
  <conditionalFormatting sqref="P713:P716">
    <cfRule type="containsText" dxfId="9" priority="6022" operator="containsText" text="No">
      <formula>NOT(ISERROR(SEARCH(("No"),(P713))))</formula>
    </cfRule>
  </conditionalFormatting>
  <conditionalFormatting sqref="P713:P716">
    <cfRule type="containsText" dxfId="2" priority="6023" operator="containsText" text="Yes">
      <formula>NOT(ISERROR(SEARCH(("Yes"),(P713))))</formula>
    </cfRule>
  </conditionalFormatting>
  <conditionalFormatting sqref="P713:P716">
    <cfRule type="containsText" dxfId="9" priority="6024" operator="containsText" text="No">
      <formula>NOT(ISERROR(SEARCH(("No"),(P713))))</formula>
    </cfRule>
  </conditionalFormatting>
  <conditionalFormatting sqref="P713:P716">
    <cfRule type="containsText" dxfId="2" priority="6025" operator="containsText" text="Yes">
      <formula>NOT(ISERROR(SEARCH(("Yes"),(P713))))</formula>
    </cfRule>
  </conditionalFormatting>
  <conditionalFormatting sqref="P713:P716">
    <cfRule type="containsText" dxfId="9" priority="6026" operator="containsText" text="No">
      <formula>NOT(ISERROR(SEARCH(("No"),(P713))))</formula>
    </cfRule>
  </conditionalFormatting>
  <conditionalFormatting sqref="P713:P716">
    <cfRule type="containsText" dxfId="2" priority="6027" operator="containsText" text="Yes">
      <formula>NOT(ISERROR(SEARCH(("Yes"),(P713))))</formula>
    </cfRule>
  </conditionalFormatting>
  <conditionalFormatting sqref="P713:P716">
    <cfRule type="containsText" dxfId="9" priority="6028" operator="containsText" text="No">
      <formula>NOT(ISERROR(SEARCH(("No"),(P713))))</formula>
    </cfRule>
  </conditionalFormatting>
  <conditionalFormatting sqref="P713:P716">
    <cfRule type="containsText" dxfId="2" priority="6029" operator="containsText" text="Yes">
      <formula>NOT(ISERROR(SEARCH(("Yes"),(P713))))</formula>
    </cfRule>
  </conditionalFormatting>
  <conditionalFormatting sqref="P713:P716">
    <cfRule type="containsText" dxfId="9" priority="6030" operator="containsText" text="No">
      <formula>NOT(ISERROR(SEARCH(("No"),(P713))))</formula>
    </cfRule>
  </conditionalFormatting>
  <conditionalFormatting sqref="P713:P716">
    <cfRule type="containsText" dxfId="2" priority="6031" operator="containsText" text="Yes">
      <formula>NOT(ISERROR(SEARCH(("Yes"),(P713))))</formula>
    </cfRule>
  </conditionalFormatting>
  <conditionalFormatting sqref="P713:P716">
    <cfRule type="containsText" dxfId="9" priority="6032" operator="containsText" text="No">
      <formula>NOT(ISERROR(SEARCH(("No"),(P713))))</formula>
    </cfRule>
  </conditionalFormatting>
  <conditionalFormatting sqref="P713:P716">
    <cfRule type="containsText" dxfId="2" priority="6033" operator="containsText" text="Yes">
      <formula>NOT(ISERROR(SEARCH(("Yes"),(P713))))</formula>
    </cfRule>
  </conditionalFormatting>
  <conditionalFormatting sqref="P713:P716">
    <cfRule type="containsText" dxfId="9" priority="6034" operator="containsText" text="No">
      <formula>NOT(ISERROR(SEARCH(("No"),(P713))))</formula>
    </cfRule>
  </conditionalFormatting>
  <conditionalFormatting sqref="P713:P716">
    <cfRule type="containsText" dxfId="2" priority="6035" operator="containsText" text="Yes">
      <formula>NOT(ISERROR(SEARCH(("Yes"),(P713))))</formula>
    </cfRule>
  </conditionalFormatting>
  <conditionalFormatting sqref="P713:P716">
    <cfRule type="containsText" dxfId="9" priority="6036" operator="containsText" text="No">
      <formula>NOT(ISERROR(SEARCH(("No"),(P713))))</formula>
    </cfRule>
  </conditionalFormatting>
  <conditionalFormatting sqref="P713:P716">
    <cfRule type="containsText" dxfId="2" priority="6037" operator="containsText" text="Yes">
      <formula>NOT(ISERROR(SEARCH(("Yes"),(P713))))</formula>
    </cfRule>
  </conditionalFormatting>
  <conditionalFormatting sqref="P713:P716">
    <cfRule type="containsText" dxfId="9" priority="6038" operator="containsText" text="No">
      <formula>NOT(ISERROR(SEARCH(("No"),(P713))))</formula>
    </cfRule>
  </conditionalFormatting>
  <conditionalFormatting sqref="P713:P716">
    <cfRule type="containsText" dxfId="2" priority="6039" operator="containsText" text="Yes">
      <formula>NOT(ISERROR(SEARCH(("Yes"),(P713))))</formula>
    </cfRule>
  </conditionalFormatting>
  <conditionalFormatting sqref="P713:P716">
    <cfRule type="containsText" dxfId="9" priority="6040" operator="containsText" text="No">
      <formula>NOT(ISERROR(SEARCH(("No"),(P713))))</formula>
    </cfRule>
  </conditionalFormatting>
  <conditionalFormatting sqref="P713:P716">
    <cfRule type="containsText" dxfId="2" priority="6041" operator="containsText" text="Yes">
      <formula>NOT(ISERROR(SEARCH(("Yes"),(P713))))</formula>
    </cfRule>
  </conditionalFormatting>
  <conditionalFormatting sqref="P713:P716">
    <cfRule type="containsText" dxfId="9" priority="6042" operator="containsText" text="No">
      <formula>NOT(ISERROR(SEARCH(("No"),(P713))))</formula>
    </cfRule>
  </conditionalFormatting>
  <conditionalFormatting sqref="P713:P716">
    <cfRule type="containsText" dxfId="2" priority="6043" operator="containsText" text="Yes">
      <formula>NOT(ISERROR(SEARCH(("Yes"),(P713))))</formula>
    </cfRule>
  </conditionalFormatting>
  <conditionalFormatting sqref="P713:P716">
    <cfRule type="containsText" dxfId="9" priority="6044" operator="containsText" text="No">
      <formula>NOT(ISERROR(SEARCH(("No"),(P713))))</formula>
    </cfRule>
  </conditionalFormatting>
  <conditionalFormatting sqref="P713:P716">
    <cfRule type="containsText" dxfId="2" priority="6045" operator="containsText" text="Yes">
      <formula>NOT(ISERROR(SEARCH(("Yes"),(P713))))</formula>
    </cfRule>
  </conditionalFormatting>
  <conditionalFormatting sqref="P713:P716">
    <cfRule type="containsText" dxfId="9" priority="6046" operator="containsText" text="No">
      <formula>NOT(ISERROR(SEARCH(("No"),(P713))))</formula>
    </cfRule>
  </conditionalFormatting>
  <conditionalFormatting sqref="P713:P716">
    <cfRule type="containsText" dxfId="2" priority="6047" operator="containsText" text="Yes">
      <formula>NOT(ISERROR(SEARCH(("Yes"),(P713))))</formula>
    </cfRule>
  </conditionalFormatting>
  <conditionalFormatting sqref="P713:P716">
    <cfRule type="containsText" dxfId="9" priority="6048" operator="containsText" text="No">
      <formula>NOT(ISERROR(SEARCH(("No"),(P713))))</formula>
    </cfRule>
  </conditionalFormatting>
  <conditionalFormatting sqref="P713:P716">
    <cfRule type="containsText" dxfId="2" priority="6049" operator="containsText" text="Yes">
      <formula>NOT(ISERROR(SEARCH(("Yes"),(P713))))</formula>
    </cfRule>
  </conditionalFormatting>
  <conditionalFormatting sqref="P713:P716">
    <cfRule type="containsText" dxfId="9" priority="6050" operator="containsText" text="No">
      <formula>NOT(ISERROR(SEARCH(("No"),(P713))))</formula>
    </cfRule>
  </conditionalFormatting>
  <conditionalFormatting sqref="P713:P716">
    <cfRule type="containsText" dxfId="2" priority="6051" operator="containsText" text="Yes">
      <formula>NOT(ISERROR(SEARCH(("Yes"),(P713))))</formula>
    </cfRule>
  </conditionalFormatting>
  <conditionalFormatting sqref="P713:P716">
    <cfRule type="containsText" dxfId="9" priority="6052" operator="containsText" text="No">
      <formula>NOT(ISERROR(SEARCH(("No"),(P713))))</formula>
    </cfRule>
  </conditionalFormatting>
  <conditionalFormatting sqref="P713:P716">
    <cfRule type="containsText" dxfId="2" priority="6053" operator="containsText" text="Yes">
      <formula>NOT(ISERROR(SEARCH(("Yes"),(P713))))</formula>
    </cfRule>
  </conditionalFormatting>
  <conditionalFormatting sqref="P713:P716">
    <cfRule type="containsText" dxfId="9" priority="6054" operator="containsText" text="No">
      <formula>NOT(ISERROR(SEARCH(("No"),(P713))))</formula>
    </cfRule>
  </conditionalFormatting>
  <conditionalFormatting sqref="P713:P716">
    <cfRule type="containsText" dxfId="2" priority="6055" operator="containsText" text="Yes">
      <formula>NOT(ISERROR(SEARCH(("Yes"),(P713))))</formula>
    </cfRule>
  </conditionalFormatting>
  <conditionalFormatting sqref="P713:P716">
    <cfRule type="containsText" dxfId="9" priority="6056" operator="containsText" text="No">
      <formula>NOT(ISERROR(SEARCH(("No"),(P713))))</formula>
    </cfRule>
  </conditionalFormatting>
  <conditionalFormatting sqref="P713:P716">
    <cfRule type="containsText" dxfId="2" priority="6057" operator="containsText" text="Yes">
      <formula>NOT(ISERROR(SEARCH(("Yes"),(P713))))</formula>
    </cfRule>
  </conditionalFormatting>
  <conditionalFormatting sqref="P713:P716">
    <cfRule type="containsText" dxfId="9" priority="6058" operator="containsText" text="No">
      <formula>NOT(ISERROR(SEARCH(("No"),(P713))))</formula>
    </cfRule>
  </conditionalFormatting>
  <conditionalFormatting sqref="P713:P716">
    <cfRule type="containsText" dxfId="2" priority="6059" operator="containsText" text="Yes">
      <formula>NOT(ISERROR(SEARCH(("Yes"),(P713))))</formula>
    </cfRule>
  </conditionalFormatting>
  <conditionalFormatting sqref="P713:P716">
    <cfRule type="containsText" dxfId="9" priority="6060" operator="containsText" text="No">
      <formula>NOT(ISERROR(SEARCH(("No"),(P713))))</formula>
    </cfRule>
  </conditionalFormatting>
  <conditionalFormatting sqref="P713:P716">
    <cfRule type="containsText" dxfId="2" priority="6061" operator="containsText" text="Yes">
      <formula>NOT(ISERROR(SEARCH(("Yes"),(P713))))</formula>
    </cfRule>
  </conditionalFormatting>
  <conditionalFormatting sqref="P713:P716">
    <cfRule type="containsText" dxfId="9" priority="6062" operator="containsText" text="No">
      <formula>NOT(ISERROR(SEARCH(("No"),(P713))))</formula>
    </cfRule>
  </conditionalFormatting>
  <conditionalFormatting sqref="P713:P716">
    <cfRule type="containsText" dxfId="2" priority="6063" operator="containsText" text="Yes">
      <formula>NOT(ISERROR(SEARCH(("Yes"),(P713))))</formula>
    </cfRule>
  </conditionalFormatting>
  <conditionalFormatting sqref="P713:P716">
    <cfRule type="containsText" dxfId="9" priority="6064" operator="containsText" text="No">
      <formula>NOT(ISERROR(SEARCH(("No"),(P713))))</formula>
    </cfRule>
  </conditionalFormatting>
  <conditionalFormatting sqref="P713:P716">
    <cfRule type="containsText" dxfId="2" priority="6065" operator="containsText" text="Yes">
      <formula>NOT(ISERROR(SEARCH(("Yes"),(P713))))</formula>
    </cfRule>
  </conditionalFormatting>
  <conditionalFormatting sqref="P713:P716">
    <cfRule type="containsText" dxfId="9" priority="6066" operator="containsText" text="No">
      <formula>NOT(ISERROR(SEARCH(("No"),(P713))))</formula>
    </cfRule>
  </conditionalFormatting>
  <conditionalFormatting sqref="P713:P716">
    <cfRule type="containsText" dxfId="2" priority="6067" operator="containsText" text="Yes">
      <formula>NOT(ISERROR(SEARCH(("Yes"),(P713))))</formula>
    </cfRule>
  </conditionalFormatting>
  <conditionalFormatting sqref="P713:P716">
    <cfRule type="containsText" dxfId="9" priority="6068" operator="containsText" text="No">
      <formula>NOT(ISERROR(SEARCH(("No"),(P713))))</formula>
    </cfRule>
  </conditionalFormatting>
  <conditionalFormatting sqref="P713:P716">
    <cfRule type="containsText" dxfId="2" priority="6069" operator="containsText" text="Yes">
      <formula>NOT(ISERROR(SEARCH(("Yes"),(P713))))</formula>
    </cfRule>
  </conditionalFormatting>
  <conditionalFormatting sqref="P713:P716">
    <cfRule type="containsText" dxfId="9" priority="6070" operator="containsText" text="No">
      <formula>NOT(ISERROR(SEARCH(("No"),(P713))))</formula>
    </cfRule>
  </conditionalFormatting>
  <conditionalFormatting sqref="P713:P716">
    <cfRule type="containsText" dxfId="2" priority="6071" operator="containsText" text="Yes">
      <formula>NOT(ISERROR(SEARCH(("Yes"),(P713))))</formula>
    </cfRule>
  </conditionalFormatting>
  <conditionalFormatting sqref="P713:P716">
    <cfRule type="containsText" dxfId="2" priority="6072" operator="containsText" text="Yes">
      <formula>NOT(ISERROR(SEARCH(("Yes"),(P713))))</formula>
    </cfRule>
  </conditionalFormatting>
  <conditionalFormatting sqref="P717">
    <cfRule type="containsText" dxfId="9" priority="6073" operator="containsText" text="No">
      <formula>NOT(ISERROR(SEARCH(("No"),(P717))))</formula>
    </cfRule>
  </conditionalFormatting>
  <conditionalFormatting sqref="P717">
    <cfRule type="containsText" dxfId="2" priority="6074" operator="containsText" text="Yes">
      <formula>NOT(ISERROR(SEARCH(("Yes"),(P717))))</formula>
    </cfRule>
  </conditionalFormatting>
  <conditionalFormatting sqref="P718">
    <cfRule type="containsText" dxfId="9" priority="6075" operator="containsText" text="No">
      <formula>NOT(ISERROR(SEARCH(("No"),(P718))))</formula>
    </cfRule>
  </conditionalFormatting>
  <conditionalFormatting sqref="P718">
    <cfRule type="containsText" dxfId="2" priority="6076" operator="containsText" text="Yes">
      <formula>NOT(ISERROR(SEARCH(("Yes"),(P718))))</formula>
    </cfRule>
  </conditionalFormatting>
  <conditionalFormatting sqref="P718">
    <cfRule type="containsText" dxfId="2" priority="6077" operator="containsText" text="Yes">
      <formula>NOT(ISERROR(SEARCH(("Yes"),(P718))))</formula>
    </cfRule>
  </conditionalFormatting>
  <conditionalFormatting sqref="P718">
    <cfRule type="containsText" dxfId="9" priority="6078" operator="containsText" text="No">
      <formula>NOT(ISERROR(SEARCH(("No"),(P718))))</formula>
    </cfRule>
  </conditionalFormatting>
  <conditionalFormatting sqref="P718">
    <cfRule type="containsText" dxfId="2" priority="6079" operator="containsText" text="Yes">
      <formula>NOT(ISERROR(SEARCH(("Yes"),(P718))))</formula>
    </cfRule>
  </conditionalFormatting>
  <conditionalFormatting sqref="P718">
    <cfRule type="containsText" dxfId="9" priority="6080" operator="containsText" text="No">
      <formula>NOT(ISERROR(SEARCH(("No"),(P718))))</formula>
    </cfRule>
  </conditionalFormatting>
  <conditionalFormatting sqref="P718">
    <cfRule type="containsText" dxfId="2" priority="6081" operator="containsText" text="Yes">
      <formula>NOT(ISERROR(SEARCH(("Yes"),(P718))))</formula>
    </cfRule>
  </conditionalFormatting>
  <conditionalFormatting sqref="P718">
    <cfRule type="containsText" dxfId="9" priority="6082" operator="containsText" text="No">
      <formula>NOT(ISERROR(SEARCH(("No"),(P718))))</formula>
    </cfRule>
  </conditionalFormatting>
  <conditionalFormatting sqref="P718">
    <cfRule type="containsText" dxfId="2" priority="6083" operator="containsText" text="Yes">
      <formula>NOT(ISERROR(SEARCH(("Yes"),(P718))))</formula>
    </cfRule>
  </conditionalFormatting>
  <conditionalFormatting sqref="P718">
    <cfRule type="containsText" dxfId="9" priority="6084" operator="containsText" text="No">
      <formula>NOT(ISERROR(SEARCH(("No"),(P718))))</formula>
    </cfRule>
  </conditionalFormatting>
  <conditionalFormatting sqref="P718">
    <cfRule type="containsText" dxfId="2" priority="6085" operator="containsText" text="Yes">
      <formula>NOT(ISERROR(SEARCH(("Yes"),(P718))))</formula>
    </cfRule>
  </conditionalFormatting>
  <conditionalFormatting sqref="P718">
    <cfRule type="containsText" dxfId="9" priority="6086" operator="containsText" text="No">
      <formula>NOT(ISERROR(SEARCH(("No"),(P718))))</formula>
    </cfRule>
  </conditionalFormatting>
  <conditionalFormatting sqref="P718">
    <cfRule type="containsText" dxfId="2" priority="6087" operator="containsText" text="Yes">
      <formula>NOT(ISERROR(SEARCH(("Yes"),(P718))))</formula>
    </cfRule>
  </conditionalFormatting>
  <conditionalFormatting sqref="P718">
    <cfRule type="containsText" dxfId="9" priority="6088" operator="containsText" text="No">
      <formula>NOT(ISERROR(SEARCH(("No"),(P718))))</formula>
    </cfRule>
  </conditionalFormatting>
  <conditionalFormatting sqref="P718">
    <cfRule type="containsText" dxfId="2" priority="6089" operator="containsText" text="Yes">
      <formula>NOT(ISERROR(SEARCH(("Yes"),(P718))))</formula>
    </cfRule>
  </conditionalFormatting>
  <conditionalFormatting sqref="P718">
    <cfRule type="containsText" dxfId="9" priority="6090" operator="containsText" text="No">
      <formula>NOT(ISERROR(SEARCH(("No"),(P718))))</formula>
    </cfRule>
  </conditionalFormatting>
  <conditionalFormatting sqref="P718">
    <cfRule type="containsText" dxfId="2" priority="6091" operator="containsText" text="Yes">
      <formula>NOT(ISERROR(SEARCH(("Yes"),(P718))))</formula>
    </cfRule>
  </conditionalFormatting>
  <conditionalFormatting sqref="P718">
    <cfRule type="containsText" dxfId="9" priority="6092" operator="containsText" text="No">
      <formula>NOT(ISERROR(SEARCH(("No"),(P718))))</formula>
    </cfRule>
  </conditionalFormatting>
  <conditionalFormatting sqref="P718">
    <cfRule type="containsText" dxfId="2" priority="6093" operator="containsText" text="Yes">
      <formula>NOT(ISERROR(SEARCH(("Yes"),(P718))))</formula>
    </cfRule>
  </conditionalFormatting>
  <conditionalFormatting sqref="P718">
    <cfRule type="containsText" dxfId="9" priority="6094" operator="containsText" text="No">
      <formula>NOT(ISERROR(SEARCH(("No"),(P718))))</formula>
    </cfRule>
  </conditionalFormatting>
  <conditionalFormatting sqref="P718">
    <cfRule type="containsText" dxfId="2" priority="6095" operator="containsText" text="Yes">
      <formula>NOT(ISERROR(SEARCH(("Yes"),(P718))))</formula>
    </cfRule>
  </conditionalFormatting>
  <conditionalFormatting sqref="P718">
    <cfRule type="containsText" dxfId="9" priority="6096" operator="containsText" text="No">
      <formula>NOT(ISERROR(SEARCH(("No"),(P718))))</formula>
    </cfRule>
  </conditionalFormatting>
  <conditionalFormatting sqref="P718">
    <cfRule type="containsText" dxfId="2" priority="6097" operator="containsText" text="Yes">
      <formula>NOT(ISERROR(SEARCH(("Yes"),(P718))))</formula>
    </cfRule>
  </conditionalFormatting>
  <conditionalFormatting sqref="P718">
    <cfRule type="containsText" dxfId="9" priority="6098" operator="containsText" text="No">
      <formula>NOT(ISERROR(SEARCH(("No"),(P718))))</formula>
    </cfRule>
  </conditionalFormatting>
  <conditionalFormatting sqref="P718">
    <cfRule type="containsText" dxfId="2" priority="6099" operator="containsText" text="Yes">
      <formula>NOT(ISERROR(SEARCH(("Yes"),(P718))))</formula>
    </cfRule>
  </conditionalFormatting>
  <conditionalFormatting sqref="P718">
    <cfRule type="containsText" dxfId="9" priority="6100" operator="containsText" text="No">
      <formula>NOT(ISERROR(SEARCH(("No"),(P718))))</formula>
    </cfRule>
  </conditionalFormatting>
  <conditionalFormatting sqref="P718">
    <cfRule type="containsText" dxfId="2" priority="6101" operator="containsText" text="Yes">
      <formula>NOT(ISERROR(SEARCH(("Yes"),(P718))))</formula>
    </cfRule>
  </conditionalFormatting>
  <conditionalFormatting sqref="P718">
    <cfRule type="containsText" dxfId="9" priority="6102" operator="containsText" text="No">
      <formula>NOT(ISERROR(SEARCH(("No"),(P718))))</formula>
    </cfRule>
  </conditionalFormatting>
  <conditionalFormatting sqref="P718">
    <cfRule type="containsText" dxfId="2" priority="6103" operator="containsText" text="Yes">
      <formula>NOT(ISERROR(SEARCH(("Yes"),(P718))))</formula>
    </cfRule>
  </conditionalFormatting>
  <conditionalFormatting sqref="P718">
    <cfRule type="containsText" dxfId="9" priority="6104" operator="containsText" text="No">
      <formula>NOT(ISERROR(SEARCH(("No"),(P718))))</formula>
    </cfRule>
  </conditionalFormatting>
  <conditionalFormatting sqref="P718">
    <cfRule type="containsText" dxfId="2" priority="6105" operator="containsText" text="Yes">
      <formula>NOT(ISERROR(SEARCH(("Yes"),(P718))))</formula>
    </cfRule>
  </conditionalFormatting>
  <conditionalFormatting sqref="P718">
    <cfRule type="containsText" dxfId="9" priority="6106" operator="containsText" text="No">
      <formula>NOT(ISERROR(SEARCH(("No"),(P718))))</formula>
    </cfRule>
  </conditionalFormatting>
  <conditionalFormatting sqref="P718">
    <cfRule type="containsText" dxfId="2" priority="6107" operator="containsText" text="Yes">
      <formula>NOT(ISERROR(SEARCH(("Yes"),(P718))))</formula>
    </cfRule>
  </conditionalFormatting>
  <conditionalFormatting sqref="P718">
    <cfRule type="containsText" dxfId="9" priority="6108" operator="containsText" text="No">
      <formula>NOT(ISERROR(SEARCH(("No"),(P718))))</formula>
    </cfRule>
  </conditionalFormatting>
  <conditionalFormatting sqref="P718">
    <cfRule type="containsText" dxfId="2" priority="6109" operator="containsText" text="Yes">
      <formula>NOT(ISERROR(SEARCH(("Yes"),(P718))))</formula>
    </cfRule>
  </conditionalFormatting>
  <conditionalFormatting sqref="P718">
    <cfRule type="containsText" dxfId="9" priority="6110" operator="containsText" text="No">
      <formula>NOT(ISERROR(SEARCH(("No"),(P718))))</formula>
    </cfRule>
  </conditionalFormatting>
  <conditionalFormatting sqref="P718">
    <cfRule type="containsText" dxfId="2" priority="6111" operator="containsText" text="Yes">
      <formula>NOT(ISERROR(SEARCH(("Yes"),(P718))))</formula>
    </cfRule>
  </conditionalFormatting>
  <conditionalFormatting sqref="P718">
    <cfRule type="containsText" dxfId="9" priority="6112" operator="containsText" text="No">
      <formula>NOT(ISERROR(SEARCH(("No"),(P718))))</formula>
    </cfRule>
  </conditionalFormatting>
  <conditionalFormatting sqref="P718">
    <cfRule type="containsText" dxfId="2" priority="6113" operator="containsText" text="Yes">
      <formula>NOT(ISERROR(SEARCH(("Yes"),(P718))))</formula>
    </cfRule>
  </conditionalFormatting>
  <conditionalFormatting sqref="P718">
    <cfRule type="containsText" dxfId="9" priority="6114" operator="containsText" text="No">
      <formula>NOT(ISERROR(SEARCH(("No"),(P718))))</formula>
    </cfRule>
  </conditionalFormatting>
  <conditionalFormatting sqref="P718">
    <cfRule type="containsText" dxfId="2" priority="6115" operator="containsText" text="Yes">
      <formula>NOT(ISERROR(SEARCH(("Yes"),(P718))))</formula>
    </cfRule>
  </conditionalFormatting>
  <conditionalFormatting sqref="P718">
    <cfRule type="containsText" dxfId="9" priority="6116" operator="containsText" text="No">
      <formula>NOT(ISERROR(SEARCH(("No"),(P718))))</formula>
    </cfRule>
  </conditionalFormatting>
  <conditionalFormatting sqref="P718">
    <cfRule type="containsText" dxfId="2" priority="6117" operator="containsText" text="Yes">
      <formula>NOT(ISERROR(SEARCH(("Yes"),(P718))))</formula>
    </cfRule>
  </conditionalFormatting>
  <conditionalFormatting sqref="P718">
    <cfRule type="containsText" dxfId="9" priority="6118" operator="containsText" text="No">
      <formula>NOT(ISERROR(SEARCH(("No"),(P718))))</formula>
    </cfRule>
  </conditionalFormatting>
  <conditionalFormatting sqref="P718">
    <cfRule type="containsText" dxfId="2" priority="6119" operator="containsText" text="Yes">
      <formula>NOT(ISERROR(SEARCH(("Yes"),(P718))))</formula>
    </cfRule>
  </conditionalFormatting>
  <conditionalFormatting sqref="P718">
    <cfRule type="containsText" dxfId="9" priority="6120" operator="containsText" text="No">
      <formula>NOT(ISERROR(SEARCH(("No"),(P718))))</formula>
    </cfRule>
  </conditionalFormatting>
  <conditionalFormatting sqref="P718">
    <cfRule type="containsText" dxfId="2" priority="6121" operator="containsText" text="Yes">
      <formula>NOT(ISERROR(SEARCH(("Yes"),(P718))))</formula>
    </cfRule>
  </conditionalFormatting>
  <conditionalFormatting sqref="P718">
    <cfRule type="containsText" dxfId="9" priority="6122" operator="containsText" text="No">
      <formula>NOT(ISERROR(SEARCH(("No"),(P718))))</formula>
    </cfRule>
  </conditionalFormatting>
  <conditionalFormatting sqref="P718">
    <cfRule type="containsText" dxfId="2" priority="6123" operator="containsText" text="Yes">
      <formula>NOT(ISERROR(SEARCH(("Yes"),(P718))))</formula>
    </cfRule>
  </conditionalFormatting>
  <conditionalFormatting sqref="P718">
    <cfRule type="containsText" dxfId="9" priority="6124" operator="containsText" text="No">
      <formula>NOT(ISERROR(SEARCH(("No"),(P718))))</formula>
    </cfRule>
  </conditionalFormatting>
  <conditionalFormatting sqref="P718">
    <cfRule type="containsText" dxfId="2" priority="6125" operator="containsText" text="Yes">
      <formula>NOT(ISERROR(SEARCH(("Yes"),(P718))))</formula>
    </cfRule>
  </conditionalFormatting>
  <conditionalFormatting sqref="P718">
    <cfRule type="containsText" dxfId="9" priority="6126" operator="containsText" text="No">
      <formula>NOT(ISERROR(SEARCH(("No"),(P718))))</formula>
    </cfRule>
  </conditionalFormatting>
  <conditionalFormatting sqref="P718">
    <cfRule type="containsText" dxfId="2" priority="6127" operator="containsText" text="Yes">
      <formula>NOT(ISERROR(SEARCH(("Yes"),(P718))))</formula>
    </cfRule>
  </conditionalFormatting>
  <conditionalFormatting sqref="P718">
    <cfRule type="containsText" dxfId="9" priority="6128" operator="containsText" text="No">
      <formula>NOT(ISERROR(SEARCH(("No"),(P718))))</formula>
    </cfRule>
  </conditionalFormatting>
  <conditionalFormatting sqref="P718">
    <cfRule type="containsText" dxfId="2" priority="6129" operator="containsText" text="Yes">
      <formula>NOT(ISERROR(SEARCH(("Yes"),(P718))))</formula>
    </cfRule>
  </conditionalFormatting>
  <conditionalFormatting sqref="P718">
    <cfRule type="containsText" dxfId="9" priority="6130" operator="containsText" text="No">
      <formula>NOT(ISERROR(SEARCH(("No"),(P718))))</formula>
    </cfRule>
  </conditionalFormatting>
  <conditionalFormatting sqref="P718">
    <cfRule type="containsText" dxfId="2" priority="6131" operator="containsText" text="Yes">
      <formula>NOT(ISERROR(SEARCH(("Yes"),(P718))))</formula>
    </cfRule>
  </conditionalFormatting>
  <conditionalFormatting sqref="P718">
    <cfRule type="containsText" dxfId="9" priority="6132" operator="containsText" text="No">
      <formula>NOT(ISERROR(SEARCH(("No"),(P718))))</formula>
    </cfRule>
  </conditionalFormatting>
  <conditionalFormatting sqref="P718">
    <cfRule type="containsText" dxfId="2" priority="6133" operator="containsText" text="Yes">
      <formula>NOT(ISERROR(SEARCH(("Yes"),(P718))))</formula>
    </cfRule>
  </conditionalFormatting>
  <conditionalFormatting sqref="P718">
    <cfRule type="containsText" dxfId="9" priority="6134" operator="containsText" text="No">
      <formula>NOT(ISERROR(SEARCH(("No"),(P718))))</formula>
    </cfRule>
  </conditionalFormatting>
  <conditionalFormatting sqref="P718">
    <cfRule type="containsText" dxfId="2" priority="6135" operator="containsText" text="Yes">
      <formula>NOT(ISERROR(SEARCH(("Yes"),(P718))))</formula>
    </cfRule>
  </conditionalFormatting>
  <conditionalFormatting sqref="P718">
    <cfRule type="containsText" dxfId="9" priority="6136" operator="containsText" text="No">
      <formula>NOT(ISERROR(SEARCH(("No"),(P718))))</formula>
    </cfRule>
  </conditionalFormatting>
  <conditionalFormatting sqref="P718">
    <cfRule type="containsText" dxfId="2" priority="6137" operator="containsText" text="Yes">
      <formula>NOT(ISERROR(SEARCH(("Yes"),(P718))))</formula>
    </cfRule>
  </conditionalFormatting>
  <conditionalFormatting sqref="P718">
    <cfRule type="containsText" dxfId="9" priority="6138" operator="containsText" text="No">
      <formula>NOT(ISERROR(SEARCH(("No"),(P718))))</formula>
    </cfRule>
  </conditionalFormatting>
  <conditionalFormatting sqref="P718">
    <cfRule type="containsText" dxfId="2" priority="6139" operator="containsText" text="Yes">
      <formula>NOT(ISERROR(SEARCH(("Yes"),(P718))))</formula>
    </cfRule>
  </conditionalFormatting>
  <conditionalFormatting sqref="P718">
    <cfRule type="containsText" dxfId="9" priority="6140" operator="containsText" text="No">
      <formula>NOT(ISERROR(SEARCH(("No"),(P718))))</formula>
    </cfRule>
  </conditionalFormatting>
  <conditionalFormatting sqref="P718">
    <cfRule type="containsText" dxfId="2" priority="6141" operator="containsText" text="Yes">
      <formula>NOT(ISERROR(SEARCH(("Yes"),(P718))))</formula>
    </cfRule>
  </conditionalFormatting>
  <conditionalFormatting sqref="P718">
    <cfRule type="containsText" dxfId="9" priority="6142" operator="containsText" text="No">
      <formula>NOT(ISERROR(SEARCH(("No"),(P718))))</formula>
    </cfRule>
  </conditionalFormatting>
  <conditionalFormatting sqref="P718">
    <cfRule type="containsText" dxfId="2" priority="6143" operator="containsText" text="Yes">
      <formula>NOT(ISERROR(SEARCH(("Yes"),(P718))))</formula>
    </cfRule>
  </conditionalFormatting>
  <conditionalFormatting sqref="P718">
    <cfRule type="containsText" dxfId="9" priority="6144" operator="containsText" text="No">
      <formula>NOT(ISERROR(SEARCH(("No"),(P718))))</formula>
    </cfRule>
  </conditionalFormatting>
  <conditionalFormatting sqref="P718">
    <cfRule type="containsText" dxfId="2" priority="6145" operator="containsText" text="Yes">
      <formula>NOT(ISERROR(SEARCH(("Yes"),(P718))))</formula>
    </cfRule>
  </conditionalFormatting>
  <conditionalFormatting sqref="P718">
    <cfRule type="containsText" dxfId="9" priority="6146" operator="containsText" text="No">
      <formula>NOT(ISERROR(SEARCH(("No"),(P718))))</formula>
    </cfRule>
  </conditionalFormatting>
  <conditionalFormatting sqref="P718">
    <cfRule type="containsText" dxfId="2" priority="6147" operator="containsText" text="Yes">
      <formula>NOT(ISERROR(SEARCH(("Yes"),(P718))))</formula>
    </cfRule>
  </conditionalFormatting>
  <conditionalFormatting sqref="P718">
    <cfRule type="containsText" dxfId="9" priority="6148" operator="containsText" text="No">
      <formula>NOT(ISERROR(SEARCH(("No"),(P718))))</formula>
    </cfRule>
  </conditionalFormatting>
  <conditionalFormatting sqref="P718">
    <cfRule type="containsText" dxfId="2" priority="6149" operator="containsText" text="Yes">
      <formula>NOT(ISERROR(SEARCH(("Yes"),(P718))))</formula>
    </cfRule>
  </conditionalFormatting>
  <conditionalFormatting sqref="P718">
    <cfRule type="containsText" dxfId="9" priority="6150" operator="containsText" text="No">
      <formula>NOT(ISERROR(SEARCH(("No"),(P718))))</formula>
    </cfRule>
  </conditionalFormatting>
  <conditionalFormatting sqref="P718">
    <cfRule type="containsText" dxfId="2" priority="6151" operator="containsText" text="Yes">
      <formula>NOT(ISERROR(SEARCH(("Yes"),(P718))))</formula>
    </cfRule>
  </conditionalFormatting>
  <conditionalFormatting sqref="P718">
    <cfRule type="containsText" dxfId="9" priority="6152" operator="containsText" text="No">
      <formula>NOT(ISERROR(SEARCH(("No"),(P718))))</formula>
    </cfRule>
  </conditionalFormatting>
  <conditionalFormatting sqref="P718">
    <cfRule type="containsText" dxfId="2" priority="6153" operator="containsText" text="Yes">
      <formula>NOT(ISERROR(SEARCH(("Yes"),(P718))))</formula>
    </cfRule>
  </conditionalFormatting>
  <conditionalFormatting sqref="P718">
    <cfRule type="containsText" dxfId="9" priority="6154" operator="containsText" text="No">
      <formula>NOT(ISERROR(SEARCH(("No"),(P718))))</formula>
    </cfRule>
  </conditionalFormatting>
  <conditionalFormatting sqref="P718">
    <cfRule type="containsText" dxfId="2" priority="6155" operator="containsText" text="Yes">
      <formula>NOT(ISERROR(SEARCH(("Yes"),(P718))))</formula>
    </cfRule>
  </conditionalFormatting>
  <conditionalFormatting sqref="P718">
    <cfRule type="containsText" dxfId="9" priority="6156" operator="containsText" text="No">
      <formula>NOT(ISERROR(SEARCH(("No"),(P718))))</formula>
    </cfRule>
  </conditionalFormatting>
  <conditionalFormatting sqref="P718">
    <cfRule type="containsText" dxfId="2" priority="6157" operator="containsText" text="Yes">
      <formula>NOT(ISERROR(SEARCH(("Yes"),(P718))))</formula>
    </cfRule>
  </conditionalFormatting>
  <conditionalFormatting sqref="P718">
    <cfRule type="containsText" dxfId="9" priority="6158" operator="containsText" text="No">
      <formula>NOT(ISERROR(SEARCH(("No"),(P718))))</formula>
    </cfRule>
  </conditionalFormatting>
  <conditionalFormatting sqref="P718">
    <cfRule type="containsText" dxfId="2" priority="6159" operator="containsText" text="Yes">
      <formula>NOT(ISERROR(SEARCH(("Yes"),(P718))))</formula>
    </cfRule>
  </conditionalFormatting>
  <conditionalFormatting sqref="P718">
    <cfRule type="containsText" dxfId="9" priority="6160" operator="containsText" text="No">
      <formula>NOT(ISERROR(SEARCH(("No"),(P718))))</formula>
    </cfRule>
  </conditionalFormatting>
  <conditionalFormatting sqref="P718">
    <cfRule type="containsText" dxfId="2" priority="6161" operator="containsText" text="Yes">
      <formula>NOT(ISERROR(SEARCH(("Yes"),(P718))))</formula>
    </cfRule>
  </conditionalFormatting>
  <conditionalFormatting sqref="P718">
    <cfRule type="containsText" dxfId="9" priority="6162" operator="containsText" text="No">
      <formula>NOT(ISERROR(SEARCH(("No"),(P718))))</formula>
    </cfRule>
  </conditionalFormatting>
  <conditionalFormatting sqref="P718">
    <cfRule type="containsText" dxfId="2" priority="6163" operator="containsText" text="Yes">
      <formula>NOT(ISERROR(SEARCH(("Yes"),(P718))))</formula>
    </cfRule>
  </conditionalFormatting>
  <conditionalFormatting sqref="P718">
    <cfRule type="containsText" dxfId="9" priority="6164" operator="containsText" text="No">
      <formula>NOT(ISERROR(SEARCH(("No"),(P718))))</formula>
    </cfRule>
  </conditionalFormatting>
  <conditionalFormatting sqref="P718">
    <cfRule type="containsText" dxfId="2" priority="6165" operator="containsText" text="Yes">
      <formula>NOT(ISERROR(SEARCH(("Yes"),(P718))))</formula>
    </cfRule>
  </conditionalFormatting>
  <conditionalFormatting sqref="P718">
    <cfRule type="containsText" dxfId="2" priority="6166" operator="containsText" text="Yes">
      <formula>NOT(ISERROR(SEARCH(("Yes"),(P718))))</formula>
    </cfRule>
  </conditionalFormatting>
  <conditionalFormatting sqref="P719">
    <cfRule type="containsText" dxfId="9" priority="6167" operator="containsText" text="No">
      <formula>NOT(ISERROR(SEARCH(("No"),(P719))))</formula>
    </cfRule>
  </conditionalFormatting>
  <conditionalFormatting sqref="P719">
    <cfRule type="containsText" dxfId="2" priority="6168" operator="containsText" text="Yes">
      <formula>NOT(ISERROR(SEARCH(("Yes"),(P719))))</formula>
    </cfRule>
  </conditionalFormatting>
  <conditionalFormatting sqref="P719">
    <cfRule type="containsText" dxfId="2" priority="6169" operator="containsText" text="Yes">
      <formula>NOT(ISERROR(SEARCH(("Yes"),(P719))))</formula>
    </cfRule>
  </conditionalFormatting>
  <conditionalFormatting sqref="P719">
    <cfRule type="containsText" dxfId="9" priority="6170" operator="containsText" text="No">
      <formula>NOT(ISERROR(SEARCH(("No"),(P719))))</formula>
    </cfRule>
  </conditionalFormatting>
  <conditionalFormatting sqref="P719">
    <cfRule type="containsText" dxfId="2" priority="6171" operator="containsText" text="Yes">
      <formula>NOT(ISERROR(SEARCH(("Yes"),(P719))))</formula>
    </cfRule>
  </conditionalFormatting>
  <conditionalFormatting sqref="P719">
    <cfRule type="containsText" dxfId="9" priority="6172" operator="containsText" text="No">
      <formula>NOT(ISERROR(SEARCH(("No"),(P719))))</formula>
    </cfRule>
  </conditionalFormatting>
  <conditionalFormatting sqref="P719">
    <cfRule type="containsText" dxfId="2" priority="6173" operator="containsText" text="Yes">
      <formula>NOT(ISERROR(SEARCH(("Yes"),(P719))))</formula>
    </cfRule>
  </conditionalFormatting>
  <conditionalFormatting sqref="P719">
    <cfRule type="containsText" dxfId="9" priority="6174" operator="containsText" text="No">
      <formula>NOT(ISERROR(SEARCH(("No"),(P719))))</formula>
    </cfRule>
  </conditionalFormatting>
  <conditionalFormatting sqref="P719">
    <cfRule type="containsText" dxfId="2" priority="6175" operator="containsText" text="Yes">
      <formula>NOT(ISERROR(SEARCH(("Yes"),(P719))))</formula>
    </cfRule>
  </conditionalFormatting>
  <conditionalFormatting sqref="P719">
    <cfRule type="containsText" dxfId="9" priority="6176" operator="containsText" text="No">
      <formula>NOT(ISERROR(SEARCH(("No"),(P719))))</formula>
    </cfRule>
  </conditionalFormatting>
  <conditionalFormatting sqref="P719">
    <cfRule type="containsText" dxfId="2" priority="6177" operator="containsText" text="Yes">
      <formula>NOT(ISERROR(SEARCH(("Yes"),(P719))))</formula>
    </cfRule>
  </conditionalFormatting>
  <conditionalFormatting sqref="P719">
    <cfRule type="containsText" dxfId="9" priority="6178" operator="containsText" text="No">
      <formula>NOT(ISERROR(SEARCH(("No"),(P719))))</formula>
    </cfRule>
  </conditionalFormatting>
  <conditionalFormatting sqref="P719">
    <cfRule type="containsText" dxfId="2" priority="6179" operator="containsText" text="Yes">
      <formula>NOT(ISERROR(SEARCH(("Yes"),(P719))))</formula>
    </cfRule>
  </conditionalFormatting>
  <conditionalFormatting sqref="P719">
    <cfRule type="containsText" dxfId="9" priority="6180" operator="containsText" text="No">
      <formula>NOT(ISERROR(SEARCH(("No"),(P719))))</formula>
    </cfRule>
  </conditionalFormatting>
  <conditionalFormatting sqref="P719">
    <cfRule type="containsText" dxfId="2" priority="6181" operator="containsText" text="Yes">
      <formula>NOT(ISERROR(SEARCH(("Yes"),(P719))))</formula>
    </cfRule>
  </conditionalFormatting>
  <conditionalFormatting sqref="P719">
    <cfRule type="containsText" dxfId="9" priority="6182" operator="containsText" text="No">
      <formula>NOT(ISERROR(SEARCH(("No"),(P719))))</formula>
    </cfRule>
  </conditionalFormatting>
  <conditionalFormatting sqref="P719">
    <cfRule type="containsText" dxfId="2" priority="6183" operator="containsText" text="Yes">
      <formula>NOT(ISERROR(SEARCH(("Yes"),(P719))))</formula>
    </cfRule>
  </conditionalFormatting>
  <conditionalFormatting sqref="P719">
    <cfRule type="containsText" dxfId="9" priority="6184" operator="containsText" text="No">
      <formula>NOT(ISERROR(SEARCH(("No"),(P719))))</formula>
    </cfRule>
  </conditionalFormatting>
  <conditionalFormatting sqref="P719">
    <cfRule type="containsText" dxfId="2" priority="6185" operator="containsText" text="Yes">
      <formula>NOT(ISERROR(SEARCH(("Yes"),(P719))))</formula>
    </cfRule>
  </conditionalFormatting>
  <conditionalFormatting sqref="P719">
    <cfRule type="containsText" dxfId="9" priority="6186" operator="containsText" text="No">
      <formula>NOT(ISERROR(SEARCH(("No"),(P719))))</formula>
    </cfRule>
  </conditionalFormatting>
  <conditionalFormatting sqref="P719">
    <cfRule type="containsText" dxfId="2" priority="6187" operator="containsText" text="Yes">
      <formula>NOT(ISERROR(SEARCH(("Yes"),(P719))))</formula>
    </cfRule>
  </conditionalFormatting>
  <conditionalFormatting sqref="P719">
    <cfRule type="containsText" dxfId="9" priority="6188" operator="containsText" text="No">
      <formula>NOT(ISERROR(SEARCH(("No"),(P719))))</formula>
    </cfRule>
  </conditionalFormatting>
  <conditionalFormatting sqref="P719">
    <cfRule type="containsText" dxfId="2" priority="6189" operator="containsText" text="Yes">
      <formula>NOT(ISERROR(SEARCH(("Yes"),(P719))))</formula>
    </cfRule>
  </conditionalFormatting>
  <conditionalFormatting sqref="P719">
    <cfRule type="containsText" dxfId="9" priority="6190" operator="containsText" text="No">
      <formula>NOT(ISERROR(SEARCH(("No"),(P719))))</formula>
    </cfRule>
  </conditionalFormatting>
  <conditionalFormatting sqref="P719">
    <cfRule type="containsText" dxfId="2" priority="6191" operator="containsText" text="Yes">
      <formula>NOT(ISERROR(SEARCH(("Yes"),(P719))))</formula>
    </cfRule>
  </conditionalFormatting>
  <conditionalFormatting sqref="P719">
    <cfRule type="containsText" dxfId="9" priority="6192" operator="containsText" text="No">
      <formula>NOT(ISERROR(SEARCH(("No"),(P719))))</formula>
    </cfRule>
  </conditionalFormatting>
  <conditionalFormatting sqref="P719">
    <cfRule type="containsText" dxfId="2" priority="6193" operator="containsText" text="Yes">
      <formula>NOT(ISERROR(SEARCH(("Yes"),(P719))))</formula>
    </cfRule>
  </conditionalFormatting>
  <conditionalFormatting sqref="P719">
    <cfRule type="containsText" dxfId="9" priority="6194" operator="containsText" text="No">
      <formula>NOT(ISERROR(SEARCH(("No"),(P719))))</formula>
    </cfRule>
  </conditionalFormatting>
  <conditionalFormatting sqref="P719">
    <cfRule type="containsText" dxfId="2" priority="6195" operator="containsText" text="Yes">
      <formula>NOT(ISERROR(SEARCH(("Yes"),(P719))))</formula>
    </cfRule>
  </conditionalFormatting>
  <conditionalFormatting sqref="P719">
    <cfRule type="containsText" dxfId="9" priority="6196" operator="containsText" text="No">
      <formula>NOT(ISERROR(SEARCH(("No"),(P719))))</formula>
    </cfRule>
  </conditionalFormatting>
  <conditionalFormatting sqref="P719">
    <cfRule type="containsText" dxfId="2" priority="6197" operator="containsText" text="Yes">
      <formula>NOT(ISERROR(SEARCH(("Yes"),(P719))))</formula>
    </cfRule>
  </conditionalFormatting>
  <conditionalFormatting sqref="P719">
    <cfRule type="containsText" dxfId="9" priority="6198" operator="containsText" text="No">
      <formula>NOT(ISERROR(SEARCH(("No"),(P719))))</formula>
    </cfRule>
  </conditionalFormatting>
  <conditionalFormatting sqref="P719">
    <cfRule type="containsText" dxfId="2" priority="6199" operator="containsText" text="Yes">
      <formula>NOT(ISERROR(SEARCH(("Yes"),(P719))))</formula>
    </cfRule>
  </conditionalFormatting>
  <conditionalFormatting sqref="P719">
    <cfRule type="containsText" dxfId="9" priority="6200" operator="containsText" text="No">
      <formula>NOT(ISERROR(SEARCH(("No"),(P719))))</formula>
    </cfRule>
  </conditionalFormatting>
  <conditionalFormatting sqref="P719">
    <cfRule type="containsText" dxfId="2" priority="6201" operator="containsText" text="Yes">
      <formula>NOT(ISERROR(SEARCH(("Yes"),(P719))))</formula>
    </cfRule>
  </conditionalFormatting>
  <conditionalFormatting sqref="P719">
    <cfRule type="containsText" dxfId="9" priority="6202" operator="containsText" text="No">
      <formula>NOT(ISERROR(SEARCH(("No"),(P719))))</formula>
    </cfRule>
  </conditionalFormatting>
  <conditionalFormatting sqref="P719">
    <cfRule type="containsText" dxfId="2" priority="6203" operator="containsText" text="Yes">
      <formula>NOT(ISERROR(SEARCH(("Yes"),(P719))))</formula>
    </cfRule>
  </conditionalFormatting>
  <conditionalFormatting sqref="P719">
    <cfRule type="containsText" dxfId="9" priority="6204" operator="containsText" text="No">
      <formula>NOT(ISERROR(SEARCH(("No"),(P719))))</formula>
    </cfRule>
  </conditionalFormatting>
  <conditionalFormatting sqref="P719">
    <cfRule type="containsText" dxfId="2" priority="6205" operator="containsText" text="Yes">
      <formula>NOT(ISERROR(SEARCH(("Yes"),(P719))))</formula>
    </cfRule>
  </conditionalFormatting>
  <conditionalFormatting sqref="P719">
    <cfRule type="containsText" dxfId="9" priority="6206" operator="containsText" text="No">
      <formula>NOT(ISERROR(SEARCH(("No"),(P719))))</formula>
    </cfRule>
  </conditionalFormatting>
  <conditionalFormatting sqref="P719">
    <cfRule type="containsText" dxfId="2" priority="6207" operator="containsText" text="Yes">
      <formula>NOT(ISERROR(SEARCH(("Yes"),(P719))))</formula>
    </cfRule>
  </conditionalFormatting>
  <conditionalFormatting sqref="P719">
    <cfRule type="containsText" dxfId="9" priority="6208" operator="containsText" text="No">
      <formula>NOT(ISERROR(SEARCH(("No"),(P719))))</formula>
    </cfRule>
  </conditionalFormatting>
  <conditionalFormatting sqref="P719">
    <cfRule type="containsText" dxfId="2" priority="6209" operator="containsText" text="Yes">
      <formula>NOT(ISERROR(SEARCH(("Yes"),(P719))))</formula>
    </cfRule>
  </conditionalFormatting>
  <conditionalFormatting sqref="P719">
    <cfRule type="containsText" dxfId="9" priority="6210" operator="containsText" text="No">
      <formula>NOT(ISERROR(SEARCH(("No"),(P719))))</formula>
    </cfRule>
  </conditionalFormatting>
  <conditionalFormatting sqref="P719">
    <cfRule type="containsText" dxfId="2" priority="6211" operator="containsText" text="Yes">
      <formula>NOT(ISERROR(SEARCH(("Yes"),(P719))))</formula>
    </cfRule>
  </conditionalFormatting>
  <conditionalFormatting sqref="P719">
    <cfRule type="containsText" dxfId="9" priority="6212" operator="containsText" text="No">
      <formula>NOT(ISERROR(SEARCH(("No"),(P719))))</formula>
    </cfRule>
  </conditionalFormatting>
  <conditionalFormatting sqref="P719">
    <cfRule type="containsText" dxfId="2" priority="6213" operator="containsText" text="Yes">
      <formula>NOT(ISERROR(SEARCH(("Yes"),(P719))))</formula>
    </cfRule>
  </conditionalFormatting>
  <conditionalFormatting sqref="P719">
    <cfRule type="containsText" dxfId="9" priority="6214" operator="containsText" text="No">
      <formula>NOT(ISERROR(SEARCH(("No"),(P719))))</formula>
    </cfRule>
  </conditionalFormatting>
  <conditionalFormatting sqref="P719">
    <cfRule type="containsText" dxfId="2" priority="6215" operator="containsText" text="Yes">
      <formula>NOT(ISERROR(SEARCH(("Yes"),(P719))))</formula>
    </cfRule>
  </conditionalFormatting>
  <conditionalFormatting sqref="P719">
    <cfRule type="containsText" dxfId="9" priority="6216" operator="containsText" text="No">
      <formula>NOT(ISERROR(SEARCH(("No"),(P719))))</formula>
    </cfRule>
  </conditionalFormatting>
  <conditionalFormatting sqref="P719">
    <cfRule type="containsText" dxfId="2" priority="6217" operator="containsText" text="Yes">
      <formula>NOT(ISERROR(SEARCH(("Yes"),(P719))))</formula>
    </cfRule>
  </conditionalFormatting>
  <conditionalFormatting sqref="P719">
    <cfRule type="containsText" dxfId="9" priority="6218" operator="containsText" text="No">
      <formula>NOT(ISERROR(SEARCH(("No"),(P719))))</formula>
    </cfRule>
  </conditionalFormatting>
  <conditionalFormatting sqref="P719">
    <cfRule type="containsText" dxfId="2" priority="6219" operator="containsText" text="Yes">
      <formula>NOT(ISERROR(SEARCH(("Yes"),(P719))))</formula>
    </cfRule>
  </conditionalFormatting>
  <conditionalFormatting sqref="P719">
    <cfRule type="containsText" dxfId="9" priority="6220" operator="containsText" text="No">
      <formula>NOT(ISERROR(SEARCH(("No"),(P719))))</formula>
    </cfRule>
  </conditionalFormatting>
  <conditionalFormatting sqref="P719">
    <cfRule type="containsText" dxfId="2" priority="6221" operator="containsText" text="Yes">
      <formula>NOT(ISERROR(SEARCH(("Yes"),(P719))))</formula>
    </cfRule>
  </conditionalFormatting>
  <conditionalFormatting sqref="P719">
    <cfRule type="containsText" dxfId="9" priority="6222" operator="containsText" text="No">
      <formula>NOT(ISERROR(SEARCH(("No"),(P719))))</formula>
    </cfRule>
  </conditionalFormatting>
  <conditionalFormatting sqref="P719">
    <cfRule type="containsText" dxfId="2" priority="6223" operator="containsText" text="Yes">
      <formula>NOT(ISERROR(SEARCH(("Yes"),(P719))))</formula>
    </cfRule>
  </conditionalFormatting>
  <conditionalFormatting sqref="P719">
    <cfRule type="containsText" dxfId="9" priority="6224" operator="containsText" text="No">
      <formula>NOT(ISERROR(SEARCH(("No"),(P719))))</formula>
    </cfRule>
  </conditionalFormatting>
  <conditionalFormatting sqref="P719">
    <cfRule type="containsText" dxfId="2" priority="6225" operator="containsText" text="Yes">
      <formula>NOT(ISERROR(SEARCH(("Yes"),(P719))))</formula>
    </cfRule>
  </conditionalFormatting>
  <conditionalFormatting sqref="P719">
    <cfRule type="containsText" dxfId="9" priority="6226" operator="containsText" text="No">
      <formula>NOT(ISERROR(SEARCH(("No"),(P719))))</formula>
    </cfRule>
  </conditionalFormatting>
  <conditionalFormatting sqref="P719">
    <cfRule type="containsText" dxfId="2" priority="6227" operator="containsText" text="Yes">
      <formula>NOT(ISERROR(SEARCH(("Yes"),(P719))))</formula>
    </cfRule>
  </conditionalFormatting>
  <conditionalFormatting sqref="P719">
    <cfRule type="containsText" dxfId="9" priority="6228" operator="containsText" text="No">
      <formula>NOT(ISERROR(SEARCH(("No"),(P719))))</formula>
    </cfRule>
  </conditionalFormatting>
  <conditionalFormatting sqref="P719">
    <cfRule type="containsText" dxfId="2" priority="6229" operator="containsText" text="Yes">
      <formula>NOT(ISERROR(SEARCH(("Yes"),(P719))))</formula>
    </cfRule>
  </conditionalFormatting>
  <conditionalFormatting sqref="P719">
    <cfRule type="containsText" dxfId="9" priority="6230" operator="containsText" text="No">
      <formula>NOT(ISERROR(SEARCH(("No"),(P719))))</formula>
    </cfRule>
  </conditionalFormatting>
  <conditionalFormatting sqref="P719">
    <cfRule type="containsText" dxfId="2" priority="6231" operator="containsText" text="Yes">
      <formula>NOT(ISERROR(SEARCH(("Yes"),(P719))))</formula>
    </cfRule>
  </conditionalFormatting>
  <conditionalFormatting sqref="P719">
    <cfRule type="containsText" dxfId="9" priority="6232" operator="containsText" text="No">
      <formula>NOT(ISERROR(SEARCH(("No"),(P719))))</formula>
    </cfRule>
  </conditionalFormatting>
  <conditionalFormatting sqref="P719">
    <cfRule type="containsText" dxfId="2" priority="6233" operator="containsText" text="Yes">
      <formula>NOT(ISERROR(SEARCH(("Yes"),(P719))))</formula>
    </cfRule>
  </conditionalFormatting>
  <conditionalFormatting sqref="P719">
    <cfRule type="containsText" dxfId="9" priority="6234" operator="containsText" text="No">
      <formula>NOT(ISERROR(SEARCH(("No"),(P719))))</formula>
    </cfRule>
  </conditionalFormatting>
  <conditionalFormatting sqref="P719">
    <cfRule type="containsText" dxfId="2" priority="6235" operator="containsText" text="Yes">
      <formula>NOT(ISERROR(SEARCH(("Yes"),(P719))))</formula>
    </cfRule>
  </conditionalFormatting>
  <conditionalFormatting sqref="P719">
    <cfRule type="containsText" dxfId="9" priority="6236" operator="containsText" text="No">
      <formula>NOT(ISERROR(SEARCH(("No"),(P719))))</formula>
    </cfRule>
  </conditionalFormatting>
  <conditionalFormatting sqref="P719">
    <cfRule type="containsText" dxfId="2" priority="6237" operator="containsText" text="Yes">
      <formula>NOT(ISERROR(SEARCH(("Yes"),(P719))))</formula>
    </cfRule>
  </conditionalFormatting>
  <conditionalFormatting sqref="P719">
    <cfRule type="containsText" dxfId="9" priority="6238" operator="containsText" text="No">
      <formula>NOT(ISERROR(SEARCH(("No"),(P719))))</formula>
    </cfRule>
  </conditionalFormatting>
  <conditionalFormatting sqref="P719">
    <cfRule type="containsText" dxfId="2" priority="6239" operator="containsText" text="Yes">
      <formula>NOT(ISERROR(SEARCH(("Yes"),(P719))))</formula>
    </cfRule>
  </conditionalFormatting>
  <conditionalFormatting sqref="P719">
    <cfRule type="containsText" dxfId="9" priority="6240" operator="containsText" text="No">
      <formula>NOT(ISERROR(SEARCH(("No"),(P719))))</formula>
    </cfRule>
  </conditionalFormatting>
  <conditionalFormatting sqref="P719">
    <cfRule type="containsText" dxfId="2" priority="6241" operator="containsText" text="Yes">
      <formula>NOT(ISERROR(SEARCH(("Yes"),(P719))))</formula>
    </cfRule>
  </conditionalFormatting>
  <conditionalFormatting sqref="P719">
    <cfRule type="containsText" dxfId="9" priority="6242" operator="containsText" text="No">
      <formula>NOT(ISERROR(SEARCH(("No"),(P719))))</formula>
    </cfRule>
  </conditionalFormatting>
  <conditionalFormatting sqref="P719">
    <cfRule type="containsText" dxfId="2" priority="6243" operator="containsText" text="Yes">
      <formula>NOT(ISERROR(SEARCH(("Yes"),(P719))))</formula>
    </cfRule>
  </conditionalFormatting>
  <conditionalFormatting sqref="P719">
    <cfRule type="containsText" dxfId="9" priority="6244" operator="containsText" text="No">
      <formula>NOT(ISERROR(SEARCH(("No"),(P719))))</formula>
    </cfRule>
  </conditionalFormatting>
  <conditionalFormatting sqref="P719">
    <cfRule type="containsText" dxfId="2" priority="6245" operator="containsText" text="Yes">
      <formula>NOT(ISERROR(SEARCH(("Yes"),(P719))))</formula>
    </cfRule>
  </conditionalFormatting>
  <conditionalFormatting sqref="P719">
    <cfRule type="containsText" dxfId="9" priority="6246" operator="containsText" text="No">
      <formula>NOT(ISERROR(SEARCH(("No"),(P719))))</formula>
    </cfRule>
  </conditionalFormatting>
  <conditionalFormatting sqref="P719">
    <cfRule type="containsText" dxfId="2" priority="6247" operator="containsText" text="Yes">
      <formula>NOT(ISERROR(SEARCH(("Yes"),(P719))))</formula>
    </cfRule>
  </conditionalFormatting>
  <conditionalFormatting sqref="P719">
    <cfRule type="containsText" dxfId="9" priority="6248" operator="containsText" text="No">
      <formula>NOT(ISERROR(SEARCH(("No"),(P719))))</formula>
    </cfRule>
  </conditionalFormatting>
  <conditionalFormatting sqref="P719">
    <cfRule type="containsText" dxfId="2" priority="6249" operator="containsText" text="Yes">
      <formula>NOT(ISERROR(SEARCH(("Yes"),(P719))))</formula>
    </cfRule>
  </conditionalFormatting>
  <conditionalFormatting sqref="P719">
    <cfRule type="containsText" dxfId="9" priority="6250" operator="containsText" text="No">
      <formula>NOT(ISERROR(SEARCH(("No"),(P719))))</formula>
    </cfRule>
  </conditionalFormatting>
  <conditionalFormatting sqref="P719">
    <cfRule type="containsText" dxfId="2" priority="6251" operator="containsText" text="Yes">
      <formula>NOT(ISERROR(SEARCH(("Yes"),(P719))))</formula>
    </cfRule>
  </conditionalFormatting>
  <conditionalFormatting sqref="P719">
    <cfRule type="containsText" dxfId="9" priority="6252" operator="containsText" text="No">
      <formula>NOT(ISERROR(SEARCH(("No"),(P719))))</formula>
    </cfRule>
  </conditionalFormatting>
  <conditionalFormatting sqref="P719">
    <cfRule type="containsText" dxfId="2" priority="6253" operator="containsText" text="Yes">
      <formula>NOT(ISERROR(SEARCH(("Yes"),(P719))))</formula>
    </cfRule>
  </conditionalFormatting>
  <conditionalFormatting sqref="P719">
    <cfRule type="containsText" dxfId="9" priority="6254" operator="containsText" text="No">
      <formula>NOT(ISERROR(SEARCH(("No"),(P719))))</formula>
    </cfRule>
  </conditionalFormatting>
  <conditionalFormatting sqref="P719">
    <cfRule type="containsText" dxfId="2" priority="6255" operator="containsText" text="Yes">
      <formula>NOT(ISERROR(SEARCH(("Yes"),(P719))))</formula>
    </cfRule>
  </conditionalFormatting>
  <conditionalFormatting sqref="P719">
    <cfRule type="containsText" dxfId="9" priority="6256" operator="containsText" text="No">
      <formula>NOT(ISERROR(SEARCH(("No"),(P719))))</formula>
    </cfRule>
  </conditionalFormatting>
  <conditionalFormatting sqref="P719">
    <cfRule type="containsText" dxfId="2" priority="6257" operator="containsText" text="Yes">
      <formula>NOT(ISERROR(SEARCH(("Yes"),(P719))))</formula>
    </cfRule>
  </conditionalFormatting>
  <conditionalFormatting sqref="P719">
    <cfRule type="containsText" dxfId="2" priority="6258" operator="containsText" text="Yes">
      <formula>NOT(ISERROR(SEARCH(("Yes"),(P719))))</formula>
    </cfRule>
  </conditionalFormatting>
  <conditionalFormatting sqref="P720 P725">
    <cfRule type="containsText" dxfId="9" priority="6259" operator="containsText" text="No">
      <formula>NOT(ISERROR(SEARCH(("No"),(P720))))</formula>
    </cfRule>
  </conditionalFormatting>
  <conditionalFormatting sqref="P720 P725">
    <cfRule type="containsText" dxfId="2" priority="6260" operator="containsText" text="Yes">
      <formula>NOT(ISERROR(SEARCH(("Yes"),(P720))))</formula>
    </cfRule>
  </conditionalFormatting>
  <conditionalFormatting sqref="P720 P725">
    <cfRule type="containsText" dxfId="2" priority="6261" operator="containsText" text="Yes">
      <formula>NOT(ISERROR(SEARCH(("Yes"),(P720))))</formula>
    </cfRule>
  </conditionalFormatting>
  <conditionalFormatting sqref="P720 P725">
    <cfRule type="containsText" dxfId="9" priority="6262" operator="containsText" text="No">
      <formula>NOT(ISERROR(SEARCH(("No"),(P720))))</formula>
    </cfRule>
  </conditionalFormatting>
  <conditionalFormatting sqref="P720 P725">
    <cfRule type="containsText" dxfId="2" priority="6263" operator="containsText" text="Yes">
      <formula>NOT(ISERROR(SEARCH(("Yes"),(P720))))</formula>
    </cfRule>
  </conditionalFormatting>
  <conditionalFormatting sqref="P720 P725">
    <cfRule type="containsText" dxfId="9" priority="6264" operator="containsText" text="No">
      <formula>NOT(ISERROR(SEARCH(("No"),(P720))))</formula>
    </cfRule>
  </conditionalFormatting>
  <conditionalFormatting sqref="P720 P725">
    <cfRule type="containsText" dxfId="2" priority="6265" operator="containsText" text="Yes">
      <formula>NOT(ISERROR(SEARCH(("Yes"),(P720))))</formula>
    </cfRule>
  </conditionalFormatting>
  <conditionalFormatting sqref="P720 P725">
    <cfRule type="containsText" dxfId="9" priority="6266" operator="containsText" text="No">
      <formula>NOT(ISERROR(SEARCH(("No"),(P720))))</formula>
    </cfRule>
  </conditionalFormatting>
  <conditionalFormatting sqref="P720 P725">
    <cfRule type="containsText" dxfId="2" priority="6267" operator="containsText" text="Yes">
      <formula>NOT(ISERROR(SEARCH(("Yes"),(P720))))</formula>
    </cfRule>
  </conditionalFormatting>
  <conditionalFormatting sqref="P720 P725">
    <cfRule type="containsText" dxfId="9" priority="6268" operator="containsText" text="No">
      <formula>NOT(ISERROR(SEARCH(("No"),(P720))))</formula>
    </cfRule>
  </conditionalFormatting>
  <conditionalFormatting sqref="P720 P725">
    <cfRule type="containsText" dxfId="2" priority="6269" operator="containsText" text="Yes">
      <formula>NOT(ISERROR(SEARCH(("Yes"),(P720))))</formula>
    </cfRule>
  </conditionalFormatting>
  <conditionalFormatting sqref="P720 P725">
    <cfRule type="containsText" dxfId="9" priority="6270" operator="containsText" text="No">
      <formula>NOT(ISERROR(SEARCH(("No"),(P720))))</formula>
    </cfRule>
  </conditionalFormatting>
  <conditionalFormatting sqref="P720 P725">
    <cfRule type="containsText" dxfId="2" priority="6271" operator="containsText" text="Yes">
      <formula>NOT(ISERROR(SEARCH(("Yes"),(P720))))</formula>
    </cfRule>
  </conditionalFormatting>
  <conditionalFormatting sqref="P720 P725">
    <cfRule type="containsText" dxfId="9" priority="6272" operator="containsText" text="No">
      <formula>NOT(ISERROR(SEARCH(("No"),(P720))))</formula>
    </cfRule>
  </conditionalFormatting>
  <conditionalFormatting sqref="P720 P725">
    <cfRule type="containsText" dxfId="2" priority="6273" operator="containsText" text="Yes">
      <formula>NOT(ISERROR(SEARCH(("Yes"),(P720))))</formula>
    </cfRule>
  </conditionalFormatting>
  <conditionalFormatting sqref="P720 P725">
    <cfRule type="containsText" dxfId="9" priority="6274" operator="containsText" text="No">
      <formula>NOT(ISERROR(SEARCH(("No"),(P720))))</formula>
    </cfRule>
  </conditionalFormatting>
  <conditionalFormatting sqref="P720 P725">
    <cfRule type="containsText" dxfId="2" priority="6275" operator="containsText" text="Yes">
      <formula>NOT(ISERROR(SEARCH(("Yes"),(P720))))</formula>
    </cfRule>
  </conditionalFormatting>
  <conditionalFormatting sqref="P720 P725">
    <cfRule type="containsText" dxfId="9" priority="6276" operator="containsText" text="No">
      <formula>NOT(ISERROR(SEARCH(("No"),(P720))))</formula>
    </cfRule>
  </conditionalFormatting>
  <conditionalFormatting sqref="P720 P725">
    <cfRule type="containsText" dxfId="2" priority="6277" operator="containsText" text="Yes">
      <formula>NOT(ISERROR(SEARCH(("Yes"),(P720))))</formula>
    </cfRule>
  </conditionalFormatting>
  <conditionalFormatting sqref="P720 P725">
    <cfRule type="containsText" dxfId="9" priority="6278" operator="containsText" text="No">
      <formula>NOT(ISERROR(SEARCH(("No"),(P720))))</formula>
    </cfRule>
  </conditionalFormatting>
  <conditionalFormatting sqref="P720 P725">
    <cfRule type="containsText" dxfId="2" priority="6279" operator="containsText" text="Yes">
      <formula>NOT(ISERROR(SEARCH(("Yes"),(P720))))</formula>
    </cfRule>
  </conditionalFormatting>
  <conditionalFormatting sqref="P720 P725">
    <cfRule type="containsText" dxfId="9" priority="6280" operator="containsText" text="No">
      <formula>NOT(ISERROR(SEARCH(("No"),(P720))))</formula>
    </cfRule>
  </conditionalFormatting>
  <conditionalFormatting sqref="P720 P725">
    <cfRule type="containsText" dxfId="2" priority="6281" operator="containsText" text="Yes">
      <formula>NOT(ISERROR(SEARCH(("Yes"),(P720))))</formula>
    </cfRule>
  </conditionalFormatting>
  <conditionalFormatting sqref="P720 P725">
    <cfRule type="containsText" dxfId="9" priority="6282" operator="containsText" text="No">
      <formula>NOT(ISERROR(SEARCH(("No"),(P720))))</formula>
    </cfRule>
  </conditionalFormatting>
  <conditionalFormatting sqref="P720 P725">
    <cfRule type="containsText" dxfId="2" priority="6283" operator="containsText" text="Yes">
      <formula>NOT(ISERROR(SEARCH(("Yes"),(P720))))</formula>
    </cfRule>
  </conditionalFormatting>
  <conditionalFormatting sqref="P720 P725">
    <cfRule type="containsText" dxfId="9" priority="6284" operator="containsText" text="No">
      <formula>NOT(ISERROR(SEARCH(("No"),(P720))))</formula>
    </cfRule>
  </conditionalFormatting>
  <conditionalFormatting sqref="P720 P725">
    <cfRule type="containsText" dxfId="2" priority="6285" operator="containsText" text="Yes">
      <formula>NOT(ISERROR(SEARCH(("Yes"),(P720))))</formula>
    </cfRule>
  </conditionalFormatting>
  <conditionalFormatting sqref="P720 P725">
    <cfRule type="containsText" dxfId="9" priority="6286" operator="containsText" text="No">
      <formula>NOT(ISERROR(SEARCH(("No"),(P720))))</formula>
    </cfRule>
  </conditionalFormatting>
  <conditionalFormatting sqref="P720 P725">
    <cfRule type="containsText" dxfId="2" priority="6287" operator="containsText" text="Yes">
      <formula>NOT(ISERROR(SEARCH(("Yes"),(P720))))</formula>
    </cfRule>
  </conditionalFormatting>
  <conditionalFormatting sqref="P720 P725">
    <cfRule type="containsText" dxfId="9" priority="6288" operator="containsText" text="No">
      <formula>NOT(ISERROR(SEARCH(("No"),(P720))))</formula>
    </cfRule>
  </conditionalFormatting>
  <conditionalFormatting sqref="P720 P725">
    <cfRule type="containsText" dxfId="2" priority="6289" operator="containsText" text="Yes">
      <formula>NOT(ISERROR(SEARCH(("Yes"),(P720))))</formula>
    </cfRule>
  </conditionalFormatting>
  <conditionalFormatting sqref="P720 P725">
    <cfRule type="containsText" dxfId="9" priority="6290" operator="containsText" text="No">
      <formula>NOT(ISERROR(SEARCH(("No"),(P720))))</formula>
    </cfRule>
  </conditionalFormatting>
  <conditionalFormatting sqref="P720 P725">
    <cfRule type="containsText" dxfId="2" priority="6291" operator="containsText" text="Yes">
      <formula>NOT(ISERROR(SEARCH(("Yes"),(P720))))</formula>
    </cfRule>
  </conditionalFormatting>
  <conditionalFormatting sqref="P720 P725">
    <cfRule type="containsText" dxfId="9" priority="6292" operator="containsText" text="No">
      <formula>NOT(ISERROR(SEARCH(("No"),(P720))))</formula>
    </cfRule>
  </conditionalFormatting>
  <conditionalFormatting sqref="P720 P725">
    <cfRule type="containsText" dxfId="2" priority="6293" operator="containsText" text="Yes">
      <formula>NOT(ISERROR(SEARCH(("Yes"),(P720))))</formula>
    </cfRule>
  </conditionalFormatting>
  <conditionalFormatting sqref="P720 P725">
    <cfRule type="containsText" dxfId="9" priority="6294" operator="containsText" text="No">
      <formula>NOT(ISERROR(SEARCH(("No"),(P720))))</formula>
    </cfRule>
  </conditionalFormatting>
  <conditionalFormatting sqref="P720 P725">
    <cfRule type="containsText" dxfId="2" priority="6295" operator="containsText" text="Yes">
      <formula>NOT(ISERROR(SEARCH(("Yes"),(P720))))</formula>
    </cfRule>
  </conditionalFormatting>
  <conditionalFormatting sqref="P720 P725">
    <cfRule type="containsText" dxfId="9" priority="6296" operator="containsText" text="No">
      <formula>NOT(ISERROR(SEARCH(("No"),(P720))))</formula>
    </cfRule>
  </conditionalFormatting>
  <conditionalFormatting sqref="P720 P725">
    <cfRule type="containsText" dxfId="2" priority="6297" operator="containsText" text="Yes">
      <formula>NOT(ISERROR(SEARCH(("Yes"),(P720))))</formula>
    </cfRule>
  </conditionalFormatting>
  <conditionalFormatting sqref="P720 P725">
    <cfRule type="containsText" dxfId="9" priority="6298" operator="containsText" text="No">
      <formula>NOT(ISERROR(SEARCH(("No"),(P720))))</formula>
    </cfRule>
  </conditionalFormatting>
  <conditionalFormatting sqref="P720 P725">
    <cfRule type="containsText" dxfId="2" priority="6299" operator="containsText" text="Yes">
      <formula>NOT(ISERROR(SEARCH(("Yes"),(P720))))</formula>
    </cfRule>
  </conditionalFormatting>
  <conditionalFormatting sqref="P720 P725">
    <cfRule type="containsText" dxfId="9" priority="6300" operator="containsText" text="No">
      <formula>NOT(ISERROR(SEARCH(("No"),(P720))))</formula>
    </cfRule>
  </conditionalFormatting>
  <conditionalFormatting sqref="P720 P725">
    <cfRule type="containsText" dxfId="2" priority="6301" operator="containsText" text="Yes">
      <formula>NOT(ISERROR(SEARCH(("Yes"),(P720))))</formula>
    </cfRule>
  </conditionalFormatting>
  <conditionalFormatting sqref="P720 P725">
    <cfRule type="containsText" dxfId="9" priority="6302" operator="containsText" text="No">
      <formula>NOT(ISERROR(SEARCH(("No"),(P720))))</formula>
    </cfRule>
  </conditionalFormatting>
  <conditionalFormatting sqref="P720 P725">
    <cfRule type="containsText" dxfId="2" priority="6303" operator="containsText" text="Yes">
      <formula>NOT(ISERROR(SEARCH(("Yes"),(P720))))</formula>
    </cfRule>
  </conditionalFormatting>
  <conditionalFormatting sqref="P720 P725">
    <cfRule type="containsText" dxfId="9" priority="6304" operator="containsText" text="No">
      <formula>NOT(ISERROR(SEARCH(("No"),(P720))))</formula>
    </cfRule>
  </conditionalFormatting>
  <conditionalFormatting sqref="P720 P725">
    <cfRule type="containsText" dxfId="2" priority="6305" operator="containsText" text="Yes">
      <formula>NOT(ISERROR(SEARCH(("Yes"),(P720))))</formula>
    </cfRule>
  </conditionalFormatting>
  <conditionalFormatting sqref="P720 P725">
    <cfRule type="containsText" dxfId="9" priority="6306" operator="containsText" text="No">
      <formula>NOT(ISERROR(SEARCH(("No"),(P720))))</formula>
    </cfRule>
  </conditionalFormatting>
  <conditionalFormatting sqref="P720 P725">
    <cfRule type="containsText" dxfId="2" priority="6307" operator="containsText" text="Yes">
      <formula>NOT(ISERROR(SEARCH(("Yes"),(P720))))</formula>
    </cfRule>
  </conditionalFormatting>
  <conditionalFormatting sqref="P720 P725">
    <cfRule type="containsText" dxfId="9" priority="6308" operator="containsText" text="No">
      <formula>NOT(ISERROR(SEARCH(("No"),(P720))))</formula>
    </cfRule>
  </conditionalFormatting>
  <conditionalFormatting sqref="P720 P725">
    <cfRule type="containsText" dxfId="2" priority="6309" operator="containsText" text="Yes">
      <formula>NOT(ISERROR(SEARCH(("Yes"),(P720))))</formula>
    </cfRule>
  </conditionalFormatting>
  <conditionalFormatting sqref="P720 P725">
    <cfRule type="containsText" dxfId="9" priority="6310" operator="containsText" text="No">
      <formula>NOT(ISERROR(SEARCH(("No"),(P720))))</formula>
    </cfRule>
  </conditionalFormatting>
  <conditionalFormatting sqref="P720 P725">
    <cfRule type="containsText" dxfId="2" priority="6311" operator="containsText" text="Yes">
      <formula>NOT(ISERROR(SEARCH(("Yes"),(P720))))</formula>
    </cfRule>
  </conditionalFormatting>
  <conditionalFormatting sqref="P720 P725">
    <cfRule type="containsText" dxfId="9" priority="6312" operator="containsText" text="No">
      <formula>NOT(ISERROR(SEARCH(("No"),(P720))))</formula>
    </cfRule>
  </conditionalFormatting>
  <conditionalFormatting sqref="P720 P725">
    <cfRule type="containsText" dxfId="2" priority="6313" operator="containsText" text="Yes">
      <formula>NOT(ISERROR(SEARCH(("Yes"),(P720))))</formula>
    </cfRule>
  </conditionalFormatting>
  <conditionalFormatting sqref="P720 P725">
    <cfRule type="containsText" dxfId="9" priority="6314" operator="containsText" text="No">
      <formula>NOT(ISERROR(SEARCH(("No"),(P720))))</formula>
    </cfRule>
  </conditionalFormatting>
  <conditionalFormatting sqref="P720 P725">
    <cfRule type="containsText" dxfId="2" priority="6315" operator="containsText" text="Yes">
      <formula>NOT(ISERROR(SEARCH(("Yes"),(P720))))</formula>
    </cfRule>
  </conditionalFormatting>
  <conditionalFormatting sqref="P720 P725">
    <cfRule type="containsText" dxfId="9" priority="6316" operator="containsText" text="No">
      <formula>NOT(ISERROR(SEARCH(("No"),(P720))))</formula>
    </cfRule>
  </conditionalFormatting>
  <conditionalFormatting sqref="P720 P725">
    <cfRule type="containsText" dxfId="2" priority="6317" operator="containsText" text="Yes">
      <formula>NOT(ISERROR(SEARCH(("Yes"),(P720))))</formula>
    </cfRule>
  </conditionalFormatting>
  <conditionalFormatting sqref="P720 P725">
    <cfRule type="containsText" dxfId="9" priority="6318" operator="containsText" text="No">
      <formula>NOT(ISERROR(SEARCH(("No"),(P720))))</formula>
    </cfRule>
  </conditionalFormatting>
  <conditionalFormatting sqref="P720 P725">
    <cfRule type="containsText" dxfId="2" priority="6319" operator="containsText" text="Yes">
      <formula>NOT(ISERROR(SEARCH(("Yes"),(P720))))</formula>
    </cfRule>
  </conditionalFormatting>
  <conditionalFormatting sqref="P720 P725">
    <cfRule type="containsText" dxfId="9" priority="6320" operator="containsText" text="No">
      <formula>NOT(ISERROR(SEARCH(("No"),(P720))))</formula>
    </cfRule>
  </conditionalFormatting>
  <conditionalFormatting sqref="P720 P725">
    <cfRule type="containsText" dxfId="2" priority="6321" operator="containsText" text="Yes">
      <formula>NOT(ISERROR(SEARCH(("Yes"),(P720))))</formula>
    </cfRule>
  </conditionalFormatting>
  <conditionalFormatting sqref="P720 P725">
    <cfRule type="containsText" dxfId="9" priority="6322" operator="containsText" text="No">
      <formula>NOT(ISERROR(SEARCH(("No"),(P720))))</formula>
    </cfRule>
  </conditionalFormatting>
  <conditionalFormatting sqref="P720 P725">
    <cfRule type="containsText" dxfId="2" priority="6323" operator="containsText" text="Yes">
      <formula>NOT(ISERROR(SEARCH(("Yes"),(P720))))</formula>
    </cfRule>
  </conditionalFormatting>
  <conditionalFormatting sqref="P720 P725">
    <cfRule type="containsText" dxfId="9" priority="6324" operator="containsText" text="No">
      <formula>NOT(ISERROR(SEARCH(("No"),(P720))))</formula>
    </cfRule>
  </conditionalFormatting>
  <conditionalFormatting sqref="P720 P725">
    <cfRule type="containsText" dxfId="2" priority="6325" operator="containsText" text="Yes">
      <formula>NOT(ISERROR(SEARCH(("Yes"),(P720))))</formula>
    </cfRule>
  </conditionalFormatting>
  <conditionalFormatting sqref="P720 P725">
    <cfRule type="containsText" dxfId="9" priority="6326" operator="containsText" text="No">
      <formula>NOT(ISERROR(SEARCH(("No"),(P720))))</formula>
    </cfRule>
  </conditionalFormatting>
  <conditionalFormatting sqref="P720 P725">
    <cfRule type="containsText" dxfId="2" priority="6327" operator="containsText" text="Yes">
      <formula>NOT(ISERROR(SEARCH(("Yes"),(P720))))</formula>
    </cfRule>
  </conditionalFormatting>
  <conditionalFormatting sqref="P720 P725">
    <cfRule type="containsText" dxfId="9" priority="6328" operator="containsText" text="No">
      <formula>NOT(ISERROR(SEARCH(("No"),(P720))))</formula>
    </cfRule>
  </conditionalFormatting>
  <conditionalFormatting sqref="P720 P725">
    <cfRule type="containsText" dxfId="2" priority="6329" operator="containsText" text="Yes">
      <formula>NOT(ISERROR(SEARCH(("Yes"),(P720))))</formula>
    </cfRule>
  </conditionalFormatting>
  <conditionalFormatting sqref="P720 P725">
    <cfRule type="containsText" dxfId="9" priority="6330" operator="containsText" text="No">
      <formula>NOT(ISERROR(SEARCH(("No"),(P720))))</formula>
    </cfRule>
  </conditionalFormatting>
  <conditionalFormatting sqref="P720 P725">
    <cfRule type="containsText" dxfId="2" priority="6331" operator="containsText" text="Yes">
      <formula>NOT(ISERROR(SEARCH(("Yes"),(P720))))</formula>
    </cfRule>
  </conditionalFormatting>
  <conditionalFormatting sqref="P720 P725">
    <cfRule type="containsText" dxfId="9" priority="6332" operator="containsText" text="No">
      <formula>NOT(ISERROR(SEARCH(("No"),(P720))))</formula>
    </cfRule>
  </conditionalFormatting>
  <conditionalFormatting sqref="P720 P725">
    <cfRule type="containsText" dxfId="2" priority="6333" operator="containsText" text="Yes">
      <formula>NOT(ISERROR(SEARCH(("Yes"),(P720))))</formula>
    </cfRule>
  </conditionalFormatting>
  <conditionalFormatting sqref="P720 P725">
    <cfRule type="containsText" dxfId="9" priority="6334" operator="containsText" text="No">
      <formula>NOT(ISERROR(SEARCH(("No"),(P720))))</formula>
    </cfRule>
  </conditionalFormatting>
  <conditionalFormatting sqref="P720 P725">
    <cfRule type="containsText" dxfId="2" priority="6335" operator="containsText" text="Yes">
      <formula>NOT(ISERROR(SEARCH(("Yes"),(P720))))</formula>
    </cfRule>
  </conditionalFormatting>
  <conditionalFormatting sqref="P720 P725">
    <cfRule type="containsText" dxfId="9" priority="6336" operator="containsText" text="No">
      <formula>NOT(ISERROR(SEARCH(("No"),(P720))))</formula>
    </cfRule>
  </conditionalFormatting>
  <conditionalFormatting sqref="P720 P725">
    <cfRule type="containsText" dxfId="2" priority="6337" operator="containsText" text="Yes">
      <formula>NOT(ISERROR(SEARCH(("Yes"),(P720))))</formula>
    </cfRule>
  </conditionalFormatting>
  <conditionalFormatting sqref="P720 P725">
    <cfRule type="containsText" dxfId="9" priority="6338" operator="containsText" text="No">
      <formula>NOT(ISERROR(SEARCH(("No"),(P720))))</formula>
    </cfRule>
  </conditionalFormatting>
  <conditionalFormatting sqref="P720 P725">
    <cfRule type="containsText" dxfId="2" priority="6339" operator="containsText" text="Yes">
      <formula>NOT(ISERROR(SEARCH(("Yes"),(P720))))</formula>
    </cfRule>
  </conditionalFormatting>
  <conditionalFormatting sqref="P720 P725">
    <cfRule type="containsText" dxfId="9" priority="6340" operator="containsText" text="No">
      <formula>NOT(ISERROR(SEARCH(("No"),(P720))))</formula>
    </cfRule>
  </conditionalFormatting>
  <conditionalFormatting sqref="P720 P725">
    <cfRule type="containsText" dxfId="2" priority="6341" operator="containsText" text="Yes">
      <formula>NOT(ISERROR(SEARCH(("Yes"),(P720))))</formula>
    </cfRule>
  </conditionalFormatting>
  <conditionalFormatting sqref="P720 P725">
    <cfRule type="containsText" dxfId="9" priority="6342" operator="containsText" text="No">
      <formula>NOT(ISERROR(SEARCH(("No"),(P720))))</formula>
    </cfRule>
  </conditionalFormatting>
  <conditionalFormatting sqref="P720 P725">
    <cfRule type="containsText" dxfId="2" priority="6343" operator="containsText" text="Yes">
      <formula>NOT(ISERROR(SEARCH(("Yes"),(P720))))</formula>
    </cfRule>
  </conditionalFormatting>
  <conditionalFormatting sqref="P720 P725">
    <cfRule type="containsText" dxfId="9" priority="6344" operator="containsText" text="No">
      <formula>NOT(ISERROR(SEARCH(("No"),(P720))))</formula>
    </cfRule>
  </conditionalFormatting>
  <conditionalFormatting sqref="P720 P725">
    <cfRule type="containsText" dxfId="2" priority="6345" operator="containsText" text="Yes">
      <formula>NOT(ISERROR(SEARCH(("Yes"),(P720))))</formula>
    </cfRule>
  </conditionalFormatting>
  <conditionalFormatting sqref="P720 P725">
    <cfRule type="containsText" dxfId="9" priority="6346" operator="containsText" text="No">
      <formula>NOT(ISERROR(SEARCH(("No"),(P720))))</formula>
    </cfRule>
  </conditionalFormatting>
  <conditionalFormatting sqref="P720 P725">
    <cfRule type="containsText" dxfId="2" priority="6347" operator="containsText" text="Yes">
      <formula>NOT(ISERROR(SEARCH(("Yes"),(P720))))</formula>
    </cfRule>
  </conditionalFormatting>
  <conditionalFormatting sqref="P720 P725">
    <cfRule type="containsText" dxfId="9" priority="6348" operator="containsText" text="No">
      <formula>NOT(ISERROR(SEARCH(("No"),(P720))))</formula>
    </cfRule>
  </conditionalFormatting>
  <conditionalFormatting sqref="P720 P725">
    <cfRule type="containsText" dxfId="2" priority="6349" operator="containsText" text="Yes">
      <formula>NOT(ISERROR(SEARCH(("Yes"),(P720))))</formula>
    </cfRule>
  </conditionalFormatting>
  <conditionalFormatting sqref="P720 P725">
    <cfRule type="containsText" dxfId="2" priority="6350" operator="containsText" text="Yes">
      <formula>NOT(ISERROR(SEARCH(("Yes"),(P720))))</formula>
    </cfRule>
  </conditionalFormatting>
  <conditionalFormatting sqref="P721">
    <cfRule type="containsText" dxfId="9" priority="6351" operator="containsText" text="No">
      <formula>NOT(ISERROR(SEARCH(("No"),(P721))))</formula>
    </cfRule>
  </conditionalFormatting>
  <conditionalFormatting sqref="P721">
    <cfRule type="containsText" dxfId="2" priority="6352" operator="containsText" text="Yes">
      <formula>NOT(ISERROR(SEARCH(("Yes"),(P721))))</formula>
    </cfRule>
  </conditionalFormatting>
  <conditionalFormatting sqref="P721">
    <cfRule type="containsText" dxfId="2" priority="6353" operator="containsText" text="Yes">
      <formula>NOT(ISERROR(SEARCH(("Yes"),(P721))))</formula>
    </cfRule>
  </conditionalFormatting>
  <conditionalFormatting sqref="P721">
    <cfRule type="containsText" dxfId="9" priority="6354" operator="containsText" text="No">
      <formula>NOT(ISERROR(SEARCH(("No"),(P721))))</formula>
    </cfRule>
  </conditionalFormatting>
  <conditionalFormatting sqref="P721">
    <cfRule type="containsText" dxfId="2" priority="6355" operator="containsText" text="Yes">
      <formula>NOT(ISERROR(SEARCH(("Yes"),(P721))))</formula>
    </cfRule>
  </conditionalFormatting>
  <conditionalFormatting sqref="P721">
    <cfRule type="containsText" dxfId="9" priority="6356" operator="containsText" text="No">
      <formula>NOT(ISERROR(SEARCH(("No"),(P721))))</formula>
    </cfRule>
  </conditionalFormatting>
  <conditionalFormatting sqref="P721">
    <cfRule type="containsText" dxfId="2" priority="6357" operator="containsText" text="Yes">
      <formula>NOT(ISERROR(SEARCH(("Yes"),(P721))))</formula>
    </cfRule>
  </conditionalFormatting>
  <conditionalFormatting sqref="P721">
    <cfRule type="containsText" dxfId="9" priority="6358" operator="containsText" text="No">
      <formula>NOT(ISERROR(SEARCH(("No"),(P721))))</formula>
    </cfRule>
  </conditionalFormatting>
  <conditionalFormatting sqref="P721">
    <cfRule type="containsText" dxfId="2" priority="6359" operator="containsText" text="Yes">
      <formula>NOT(ISERROR(SEARCH(("Yes"),(P721))))</formula>
    </cfRule>
  </conditionalFormatting>
  <conditionalFormatting sqref="P721">
    <cfRule type="containsText" dxfId="9" priority="6360" operator="containsText" text="No">
      <formula>NOT(ISERROR(SEARCH(("No"),(P721))))</formula>
    </cfRule>
  </conditionalFormatting>
  <conditionalFormatting sqref="P721">
    <cfRule type="containsText" dxfId="2" priority="6361" operator="containsText" text="Yes">
      <formula>NOT(ISERROR(SEARCH(("Yes"),(P721))))</formula>
    </cfRule>
  </conditionalFormatting>
  <conditionalFormatting sqref="P721">
    <cfRule type="containsText" dxfId="9" priority="6362" operator="containsText" text="No">
      <formula>NOT(ISERROR(SEARCH(("No"),(P721))))</formula>
    </cfRule>
  </conditionalFormatting>
  <conditionalFormatting sqref="P721">
    <cfRule type="containsText" dxfId="2" priority="6363" operator="containsText" text="Yes">
      <formula>NOT(ISERROR(SEARCH(("Yes"),(P721))))</formula>
    </cfRule>
  </conditionalFormatting>
  <conditionalFormatting sqref="P721">
    <cfRule type="containsText" dxfId="9" priority="6364" operator="containsText" text="No">
      <formula>NOT(ISERROR(SEARCH(("No"),(P721))))</formula>
    </cfRule>
  </conditionalFormatting>
  <conditionalFormatting sqref="P721">
    <cfRule type="containsText" dxfId="2" priority="6365" operator="containsText" text="Yes">
      <formula>NOT(ISERROR(SEARCH(("Yes"),(P721))))</formula>
    </cfRule>
  </conditionalFormatting>
  <conditionalFormatting sqref="P721">
    <cfRule type="containsText" dxfId="9" priority="6366" operator="containsText" text="No">
      <formula>NOT(ISERROR(SEARCH(("No"),(P721))))</formula>
    </cfRule>
  </conditionalFormatting>
  <conditionalFormatting sqref="P721">
    <cfRule type="containsText" dxfId="2" priority="6367" operator="containsText" text="Yes">
      <formula>NOT(ISERROR(SEARCH(("Yes"),(P721))))</formula>
    </cfRule>
  </conditionalFormatting>
  <conditionalFormatting sqref="P721">
    <cfRule type="containsText" dxfId="9" priority="6368" operator="containsText" text="No">
      <formula>NOT(ISERROR(SEARCH(("No"),(P721))))</formula>
    </cfRule>
  </conditionalFormatting>
  <conditionalFormatting sqref="P721">
    <cfRule type="containsText" dxfId="2" priority="6369" operator="containsText" text="Yes">
      <formula>NOT(ISERROR(SEARCH(("Yes"),(P721))))</formula>
    </cfRule>
  </conditionalFormatting>
  <conditionalFormatting sqref="P721">
    <cfRule type="containsText" dxfId="9" priority="6370" operator="containsText" text="No">
      <formula>NOT(ISERROR(SEARCH(("No"),(P721))))</formula>
    </cfRule>
  </conditionalFormatting>
  <conditionalFormatting sqref="P721">
    <cfRule type="containsText" dxfId="2" priority="6371" operator="containsText" text="Yes">
      <formula>NOT(ISERROR(SEARCH(("Yes"),(P721))))</formula>
    </cfRule>
  </conditionalFormatting>
  <conditionalFormatting sqref="P721">
    <cfRule type="containsText" dxfId="9" priority="6372" operator="containsText" text="No">
      <formula>NOT(ISERROR(SEARCH(("No"),(P721))))</formula>
    </cfRule>
  </conditionalFormatting>
  <conditionalFormatting sqref="P721">
    <cfRule type="containsText" dxfId="2" priority="6373" operator="containsText" text="Yes">
      <formula>NOT(ISERROR(SEARCH(("Yes"),(P721))))</formula>
    </cfRule>
  </conditionalFormatting>
  <conditionalFormatting sqref="P721">
    <cfRule type="containsText" dxfId="9" priority="6374" operator="containsText" text="No">
      <formula>NOT(ISERROR(SEARCH(("No"),(P721))))</formula>
    </cfRule>
  </conditionalFormatting>
  <conditionalFormatting sqref="P721">
    <cfRule type="containsText" dxfId="2" priority="6375" operator="containsText" text="Yes">
      <formula>NOT(ISERROR(SEARCH(("Yes"),(P721))))</formula>
    </cfRule>
  </conditionalFormatting>
  <conditionalFormatting sqref="P721">
    <cfRule type="containsText" dxfId="9" priority="6376" operator="containsText" text="No">
      <formula>NOT(ISERROR(SEARCH(("No"),(P721))))</formula>
    </cfRule>
  </conditionalFormatting>
  <conditionalFormatting sqref="P721">
    <cfRule type="containsText" dxfId="2" priority="6377" operator="containsText" text="Yes">
      <formula>NOT(ISERROR(SEARCH(("Yes"),(P721))))</formula>
    </cfRule>
  </conditionalFormatting>
  <conditionalFormatting sqref="P721">
    <cfRule type="containsText" dxfId="9" priority="6378" operator="containsText" text="No">
      <formula>NOT(ISERROR(SEARCH(("No"),(P721))))</formula>
    </cfRule>
  </conditionalFormatting>
  <conditionalFormatting sqref="P721">
    <cfRule type="containsText" dxfId="2" priority="6379" operator="containsText" text="Yes">
      <formula>NOT(ISERROR(SEARCH(("Yes"),(P721))))</formula>
    </cfRule>
  </conditionalFormatting>
  <conditionalFormatting sqref="P721">
    <cfRule type="containsText" dxfId="9" priority="6380" operator="containsText" text="No">
      <formula>NOT(ISERROR(SEARCH(("No"),(P721))))</formula>
    </cfRule>
  </conditionalFormatting>
  <conditionalFormatting sqref="P721">
    <cfRule type="containsText" dxfId="2" priority="6381" operator="containsText" text="Yes">
      <formula>NOT(ISERROR(SEARCH(("Yes"),(P721))))</formula>
    </cfRule>
  </conditionalFormatting>
  <conditionalFormatting sqref="P721">
    <cfRule type="containsText" dxfId="9" priority="6382" operator="containsText" text="No">
      <formula>NOT(ISERROR(SEARCH(("No"),(P721))))</formula>
    </cfRule>
  </conditionalFormatting>
  <conditionalFormatting sqref="P721">
    <cfRule type="containsText" dxfId="2" priority="6383" operator="containsText" text="Yes">
      <formula>NOT(ISERROR(SEARCH(("Yes"),(P721))))</formula>
    </cfRule>
  </conditionalFormatting>
  <conditionalFormatting sqref="P721">
    <cfRule type="containsText" dxfId="9" priority="6384" operator="containsText" text="No">
      <formula>NOT(ISERROR(SEARCH(("No"),(P721))))</formula>
    </cfRule>
  </conditionalFormatting>
  <conditionalFormatting sqref="P721">
    <cfRule type="containsText" dxfId="2" priority="6385" operator="containsText" text="Yes">
      <formula>NOT(ISERROR(SEARCH(("Yes"),(P721))))</formula>
    </cfRule>
  </conditionalFormatting>
  <conditionalFormatting sqref="P721">
    <cfRule type="containsText" dxfId="9" priority="6386" operator="containsText" text="No">
      <formula>NOT(ISERROR(SEARCH(("No"),(P721))))</formula>
    </cfRule>
  </conditionalFormatting>
  <conditionalFormatting sqref="P721">
    <cfRule type="containsText" dxfId="2" priority="6387" operator="containsText" text="Yes">
      <formula>NOT(ISERROR(SEARCH(("Yes"),(P721))))</formula>
    </cfRule>
  </conditionalFormatting>
  <conditionalFormatting sqref="P721">
    <cfRule type="containsText" dxfId="9" priority="6388" operator="containsText" text="No">
      <formula>NOT(ISERROR(SEARCH(("No"),(P721))))</formula>
    </cfRule>
  </conditionalFormatting>
  <conditionalFormatting sqref="P721">
    <cfRule type="containsText" dxfId="2" priority="6389" operator="containsText" text="Yes">
      <formula>NOT(ISERROR(SEARCH(("Yes"),(P721))))</formula>
    </cfRule>
  </conditionalFormatting>
  <conditionalFormatting sqref="P721">
    <cfRule type="containsText" dxfId="9" priority="6390" operator="containsText" text="No">
      <formula>NOT(ISERROR(SEARCH(("No"),(P721))))</formula>
    </cfRule>
  </conditionalFormatting>
  <conditionalFormatting sqref="P721">
    <cfRule type="containsText" dxfId="2" priority="6391" operator="containsText" text="Yes">
      <formula>NOT(ISERROR(SEARCH(("Yes"),(P721))))</formula>
    </cfRule>
  </conditionalFormatting>
  <conditionalFormatting sqref="P721">
    <cfRule type="containsText" dxfId="9" priority="6392" operator="containsText" text="No">
      <formula>NOT(ISERROR(SEARCH(("No"),(P721))))</formula>
    </cfRule>
  </conditionalFormatting>
  <conditionalFormatting sqref="P721">
    <cfRule type="containsText" dxfId="2" priority="6393" operator="containsText" text="Yes">
      <formula>NOT(ISERROR(SEARCH(("Yes"),(P721))))</formula>
    </cfRule>
  </conditionalFormatting>
  <conditionalFormatting sqref="P721">
    <cfRule type="containsText" dxfId="9" priority="6394" operator="containsText" text="No">
      <formula>NOT(ISERROR(SEARCH(("No"),(P721))))</formula>
    </cfRule>
  </conditionalFormatting>
  <conditionalFormatting sqref="P721">
    <cfRule type="containsText" dxfId="2" priority="6395" operator="containsText" text="Yes">
      <formula>NOT(ISERROR(SEARCH(("Yes"),(P721))))</formula>
    </cfRule>
  </conditionalFormatting>
  <conditionalFormatting sqref="P721">
    <cfRule type="containsText" dxfId="9" priority="6396" operator="containsText" text="No">
      <formula>NOT(ISERROR(SEARCH(("No"),(P721))))</formula>
    </cfRule>
  </conditionalFormatting>
  <conditionalFormatting sqref="P721">
    <cfRule type="containsText" dxfId="2" priority="6397" operator="containsText" text="Yes">
      <formula>NOT(ISERROR(SEARCH(("Yes"),(P721))))</formula>
    </cfRule>
  </conditionalFormatting>
  <conditionalFormatting sqref="P721">
    <cfRule type="containsText" dxfId="9" priority="6398" operator="containsText" text="No">
      <formula>NOT(ISERROR(SEARCH(("No"),(P721))))</formula>
    </cfRule>
  </conditionalFormatting>
  <conditionalFormatting sqref="P721">
    <cfRule type="containsText" dxfId="2" priority="6399" operator="containsText" text="Yes">
      <formula>NOT(ISERROR(SEARCH(("Yes"),(P721))))</formula>
    </cfRule>
  </conditionalFormatting>
  <conditionalFormatting sqref="P721">
    <cfRule type="containsText" dxfId="9" priority="6400" operator="containsText" text="No">
      <formula>NOT(ISERROR(SEARCH(("No"),(P721))))</formula>
    </cfRule>
  </conditionalFormatting>
  <conditionalFormatting sqref="P721">
    <cfRule type="containsText" dxfId="2" priority="6401" operator="containsText" text="Yes">
      <formula>NOT(ISERROR(SEARCH(("Yes"),(P721))))</formula>
    </cfRule>
  </conditionalFormatting>
  <conditionalFormatting sqref="P721">
    <cfRule type="containsText" dxfId="9" priority="6402" operator="containsText" text="No">
      <formula>NOT(ISERROR(SEARCH(("No"),(P721))))</formula>
    </cfRule>
  </conditionalFormatting>
  <conditionalFormatting sqref="P721">
    <cfRule type="containsText" dxfId="2" priority="6403" operator="containsText" text="Yes">
      <formula>NOT(ISERROR(SEARCH(("Yes"),(P721))))</formula>
    </cfRule>
  </conditionalFormatting>
  <conditionalFormatting sqref="P721">
    <cfRule type="containsText" dxfId="9" priority="6404" operator="containsText" text="No">
      <formula>NOT(ISERROR(SEARCH(("No"),(P721))))</formula>
    </cfRule>
  </conditionalFormatting>
  <conditionalFormatting sqref="P721">
    <cfRule type="containsText" dxfId="2" priority="6405" operator="containsText" text="Yes">
      <formula>NOT(ISERROR(SEARCH(("Yes"),(P721))))</formula>
    </cfRule>
  </conditionalFormatting>
  <conditionalFormatting sqref="P721">
    <cfRule type="containsText" dxfId="9" priority="6406" operator="containsText" text="No">
      <formula>NOT(ISERROR(SEARCH(("No"),(P721))))</formula>
    </cfRule>
  </conditionalFormatting>
  <conditionalFormatting sqref="P721">
    <cfRule type="containsText" dxfId="2" priority="6407" operator="containsText" text="Yes">
      <formula>NOT(ISERROR(SEARCH(("Yes"),(P721))))</formula>
    </cfRule>
  </conditionalFormatting>
  <conditionalFormatting sqref="P721">
    <cfRule type="containsText" dxfId="9" priority="6408" operator="containsText" text="No">
      <formula>NOT(ISERROR(SEARCH(("No"),(P721))))</formula>
    </cfRule>
  </conditionalFormatting>
  <conditionalFormatting sqref="P721">
    <cfRule type="containsText" dxfId="2" priority="6409" operator="containsText" text="Yes">
      <formula>NOT(ISERROR(SEARCH(("Yes"),(P721))))</formula>
    </cfRule>
  </conditionalFormatting>
  <conditionalFormatting sqref="P721">
    <cfRule type="containsText" dxfId="9" priority="6410" operator="containsText" text="No">
      <formula>NOT(ISERROR(SEARCH(("No"),(P721))))</formula>
    </cfRule>
  </conditionalFormatting>
  <conditionalFormatting sqref="P721">
    <cfRule type="containsText" dxfId="2" priority="6411" operator="containsText" text="Yes">
      <formula>NOT(ISERROR(SEARCH(("Yes"),(P721))))</formula>
    </cfRule>
  </conditionalFormatting>
  <conditionalFormatting sqref="P721">
    <cfRule type="containsText" dxfId="9" priority="6412" operator="containsText" text="No">
      <formula>NOT(ISERROR(SEARCH(("No"),(P721))))</formula>
    </cfRule>
  </conditionalFormatting>
  <conditionalFormatting sqref="P721">
    <cfRule type="containsText" dxfId="2" priority="6413" operator="containsText" text="Yes">
      <formula>NOT(ISERROR(SEARCH(("Yes"),(P721))))</formula>
    </cfRule>
  </conditionalFormatting>
  <conditionalFormatting sqref="P721">
    <cfRule type="containsText" dxfId="9" priority="6414" operator="containsText" text="No">
      <formula>NOT(ISERROR(SEARCH(("No"),(P721))))</formula>
    </cfRule>
  </conditionalFormatting>
  <conditionalFormatting sqref="P721">
    <cfRule type="containsText" dxfId="2" priority="6415" operator="containsText" text="Yes">
      <formula>NOT(ISERROR(SEARCH(("Yes"),(P721))))</formula>
    </cfRule>
  </conditionalFormatting>
  <conditionalFormatting sqref="P721">
    <cfRule type="containsText" dxfId="9" priority="6416" operator="containsText" text="No">
      <formula>NOT(ISERROR(SEARCH(("No"),(P721))))</formula>
    </cfRule>
  </conditionalFormatting>
  <conditionalFormatting sqref="P721">
    <cfRule type="containsText" dxfId="2" priority="6417" operator="containsText" text="Yes">
      <formula>NOT(ISERROR(SEARCH(("Yes"),(P721))))</formula>
    </cfRule>
  </conditionalFormatting>
  <conditionalFormatting sqref="P721">
    <cfRule type="containsText" dxfId="9" priority="6418" operator="containsText" text="No">
      <formula>NOT(ISERROR(SEARCH(("No"),(P721))))</formula>
    </cfRule>
  </conditionalFormatting>
  <conditionalFormatting sqref="P721">
    <cfRule type="containsText" dxfId="2" priority="6419" operator="containsText" text="Yes">
      <formula>NOT(ISERROR(SEARCH(("Yes"),(P721))))</formula>
    </cfRule>
  </conditionalFormatting>
  <conditionalFormatting sqref="P721">
    <cfRule type="containsText" dxfId="9" priority="6420" operator="containsText" text="No">
      <formula>NOT(ISERROR(SEARCH(("No"),(P721))))</formula>
    </cfRule>
  </conditionalFormatting>
  <conditionalFormatting sqref="P721">
    <cfRule type="containsText" dxfId="2" priority="6421" operator="containsText" text="Yes">
      <formula>NOT(ISERROR(SEARCH(("Yes"),(P721))))</formula>
    </cfRule>
  </conditionalFormatting>
  <conditionalFormatting sqref="P721">
    <cfRule type="containsText" dxfId="9" priority="6422" operator="containsText" text="No">
      <formula>NOT(ISERROR(SEARCH(("No"),(P721))))</formula>
    </cfRule>
  </conditionalFormatting>
  <conditionalFormatting sqref="P721">
    <cfRule type="containsText" dxfId="2" priority="6423" operator="containsText" text="Yes">
      <formula>NOT(ISERROR(SEARCH(("Yes"),(P721))))</formula>
    </cfRule>
  </conditionalFormatting>
  <conditionalFormatting sqref="P721">
    <cfRule type="containsText" dxfId="9" priority="6424" operator="containsText" text="No">
      <formula>NOT(ISERROR(SEARCH(("No"),(P721))))</formula>
    </cfRule>
  </conditionalFormatting>
  <conditionalFormatting sqref="P721">
    <cfRule type="containsText" dxfId="2" priority="6425" operator="containsText" text="Yes">
      <formula>NOT(ISERROR(SEARCH(("Yes"),(P721))))</formula>
    </cfRule>
  </conditionalFormatting>
  <conditionalFormatting sqref="P721">
    <cfRule type="containsText" dxfId="9" priority="6426" operator="containsText" text="No">
      <formula>NOT(ISERROR(SEARCH(("No"),(P721))))</formula>
    </cfRule>
  </conditionalFormatting>
  <conditionalFormatting sqref="P721">
    <cfRule type="containsText" dxfId="2" priority="6427" operator="containsText" text="Yes">
      <formula>NOT(ISERROR(SEARCH(("Yes"),(P721))))</formula>
    </cfRule>
  </conditionalFormatting>
  <conditionalFormatting sqref="P721">
    <cfRule type="containsText" dxfId="9" priority="6428" operator="containsText" text="No">
      <formula>NOT(ISERROR(SEARCH(("No"),(P721))))</formula>
    </cfRule>
  </conditionalFormatting>
  <conditionalFormatting sqref="P721">
    <cfRule type="containsText" dxfId="2" priority="6429" operator="containsText" text="Yes">
      <formula>NOT(ISERROR(SEARCH(("Yes"),(P721))))</formula>
    </cfRule>
  </conditionalFormatting>
  <conditionalFormatting sqref="P721">
    <cfRule type="containsText" dxfId="9" priority="6430" operator="containsText" text="No">
      <formula>NOT(ISERROR(SEARCH(("No"),(P721))))</formula>
    </cfRule>
  </conditionalFormatting>
  <conditionalFormatting sqref="P721">
    <cfRule type="containsText" dxfId="2" priority="6431" operator="containsText" text="Yes">
      <formula>NOT(ISERROR(SEARCH(("Yes"),(P721))))</formula>
    </cfRule>
  </conditionalFormatting>
  <conditionalFormatting sqref="P721">
    <cfRule type="containsText" dxfId="9" priority="6432" operator="containsText" text="No">
      <formula>NOT(ISERROR(SEARCH(("No"),(P721))))</formula>
    </cfRule>
  </conditionalFormatting>
  <conditionalFormatting sqref="P721">
    <cfRule type="containsText" dxfId="2" priority="6433" operator="containsText" text="Yes">
      <formula>NOT(ISERROR(SEARCH(("Yes"),(P721))))</formula>
    </cfRule>
  </conditionalFormatting>
  <conditionalFormatting sqref="P721">
    <cfRule type="containsText" dxfId="9" priority="6434" operator="containsText" text="No">
      <formula>NOT(ISERROR(SEARCH(("No"),(P721))))</formula>
    </cfRule>
  </conditionalFormatting>
  <conditionalFormatting sqref="P721">
    <cfRule type="containsText" dxfId="2" priority="6435" operator="containsText" text="Yes">
      <formula>NOT(ISERROR(SEARCH(("Yes"),(P721))))</formula>
    </cfRule>
  </conditionalFormatting>
  <conditionalFormatting sqref="P721">
    <cfRule type="containsText" dxfId="9" priority="6436" operator="containsText" text="No">
      <formula>NOT(ISERROR(SEARCH(("No"),(P721))))</formula>
    </cfRule>
  </conditionalFormatting>
  <conditionalFormatting sqref="P721">
    <cfRule type="containsText" dxfId="2" priority="6437" operator="containsText" text="Yes">
      <formula>NOT(ISERROR(SEARCH(("Yes"),(P721))))</formula>
    </cfRule>
  </conditionalFormatting>
  <conditionalFormatting sqref="P721">
    <cfRule type="containsText" dxfId="9" priority="6438" operator="containsText" text="No">
      <formula>NOT(ISERROR(SEARCH(("No"),(P721))))</formula>
    </cfRule>
  </conditionalFormatting>
  <conditionalFormatting sqref="P721">
    <cfRule type="containsText" dxfId="2" priority="6439" operator="containsText" text="Yes">
      <formula>NOT(ISERROR(SEARCH(("Yes"),(P721))))</formula>
    </cfRule>
  </conditionalFormatting>
  <conditionalFormatting sqref="P721">
    <cfRule type="containsText" dxfId="9" priority="6440" operator="containsText" text="No">
      <formula>NOT(ISERROR(SEARCH(("No"),(P721))))</formula>
    </cfRule>
  </conditionalFormatting>
  <conditionalFormatting sqref="P721">
    <cfRule type="containsText" dxfId="2" priority="6441" operator="containsText" text="Yes">
      <formula>NOT(ISERROR(SEARCH(("Yes"),(P721))))</formula>
    </cfRule>
  </conditionalFormatting>
  <conditionalFormatting sqref="P721">
    <cfRule type="containsText" dxfId="2" priority="6442" operator="containsText" text="Yes">
      <formula>NOT(ISERROR(SEARCH(("Yes"),(P721))))</formula>
    </cfRule>
  </conditionalFormatting>
  <conditionalFormatting sqref="P722">
    <cfRule type="containsText" dxfId="9" priority="6443" operator="containsText" text="No">
      <formula>NOT(ISERROR(SEARCH(("No"),(P722))))</formula>
    </cfRule>
  </conditionalFormatting>
  <conditionalFormatting sqref="P722">
    <cfRule type="containsText" dxfId="2" priority="6444" operator="containsText" text="Yes">
      <formula>NOT(ISERROR(SEARCH(("Yes"),(P722))))</formula>
    </cfRule>
  </conditionalFormatting>
  <conditionalFormatting sqref="P723:P724">
    <cfRule type="containsText" dxfId="9" priority="6445" operator="containsText" text="No">
      <formula>NOT(ISERROR(SEARCH(("No"),(P723))))</formula>
    </cfRule>
  </conditionalFormatting>
  <conditionalFormatting sqref="P723:P724">
    <cfRule type="containsText" dxfId="2" priority="6446" operator="containsText" text="Yes">
      <formula>NOT(ISERROR(SEARCH(("Yes"),(P723))))</formula>
    </cfRule>
  </conditionalFormatting>
  <conditionalFormatting sqref="P723:P724">
    <cfRule type="containsText" dxfId="2" priority="6447" operator="containsText" text="Yes">
      <formula>NOT(ISERROR(SEARCH(("Yes"),(P723))))</formula>
    </cfRule>
  </conditionalFormatting>
  <conditionalFormatting sqref="P723:P724">
    <cfRule type="containsText" dxfId="9" priority="6448" operator="containsText" text="No">
      <formula>NOT(ISERROR(SEARCH(("No"),(P723))))</formula>
    </cfRule>
  </conditionalFormatting>
  <conditionalFormatting sqref="P723:P724">
    <cfRule type="containsText" dxfId="2" priority="6449" operator="containsText" text="Yes">
      <formula>NOT(ISERROR(SEARCH(("Yes"),(P723))))</formula>
    </cfRule>
  </conditionalFormatting>
  <conditionalFormatting sqref="P723:P724">
    <cfRule type="containsText" dxfId="9" priority="6450" operator="containsText" text="No">
      <formula>NOT(ISERROR(SEARCH(("No"),(P723))))</formula>
    </cfRule>
  </conditionalFormatting>
  <conditionalFormatting sqref="P723:P724">
    <cfRule type="containsText" dxfId="2" priority="6451" operator="containsText" text="Yes">
      <formula>NOT(ISERROR(SEARCH(("Yes"),(P723))))</formula>
    </cfRule>
  </conditionalFormatting>
  <conditionalFormatting sqref="P723:P724">
    <cfRule type="containsText" dxfId="9" priority="6452" operator="containsText" text="No">
      <formula>NOT(ISERROR(SEARCH(("No"),(P723))))</formula>
    </cfRule>
  </conditionalFormatting>
  <conditionalFormatting sqref="P723:P724">
    <cfRule type="containsText" dxfId="2" priority="6453" operator="containsText" text="Yes">
      <formula>NOT(ISERROR(SEARCH(("Yes"),(P723))))</formula>
    </cfRule>
  </conditionalFormatting>
  <conditionalFormatting sqref="P723:P724">
    <cfRule type="containsText" dxfId="9" priority="6454" operator="containsText" text="No">
      <formula>NOT(ISERROR(SEARCH(("No"),(P723))))</formula>
    </cfRule>
  </conditionalFormatting>
  <conditionalFormatting sqref="P723:P724">
    <cfRule type="containsText" dxfId="2" priority="6455" operator="containsText" text="Yes">
      <formula>NOT(ISERROR(SEARCH(("Yes"),(P723))))</formula>
    </cfRule>
  </conditionalFormatting>
  <conditionalFormatting sqref="P723:P724">
    <cfRule type="containsText" dxfId="9" priority="6456" operator="containsText" text="No">
      <formula>NOT(ISERROR(SEARCH(("No"),(P723))))</formula>
    </cfRule>
  </conditionalFormatting>
  <conditionalFormatting sqref="P723:P724">
    <cfRule type="containsText" dxfId="2" priority="6457" operator="containsText" text="Yes">
      <formula>NOT(ISERROR(SEARCH(("Yes"),(P723))))</formula>
    </cfRule>
  </conditionalFormatting>
  <conditionalFormatting sqref="P723:P724">
    <cfRule type="containsText" dxfId="9" priority="6458" operator="containsText" text="No">
      <formula>NOT(ISERROR(SEARCH(("No"),(P723))))</formula>
    </cfRule>
  </conditionalFormatting>
  <conditionalFormatting sqref="P723:P724">
    <cfRule type="containsText" dxfId="2" priority="6459" operator="containsText" text="Yes">
      <formula>NOT(ISERROR(SEARCH(("Yes"),(P723))))</formula>
    </cfRule>
  </conditionalFormatting>
  <conditionalFormatting sqref="P723:P724">
    <cfRule type="containsText" dxfId="9" priority="6460" operator="containsText" text="No">
      <formula>NOT(ISERROR(SEARCH(("No"),(P723))))</formula>
    </cfRule>
  </conditionalFormatting>
  <conditionalFormatting sqref="P723:P724">
    <cfRule type="containsText" dxfId="2" priority="6461" operator="containsText" text="Yes">
      <formula>NOT(ISERROR(SEARCH(("Yes"),(P723))))</formula>
    </cfRule>
  </conditionalFormatting>
  <conditionalFormatting sqref="P723:P724">
    <cfRule type="containsText" dxfId="9" priority="6462" operator="containsText" text="No">
      <formula>NOT(ISERROR(SEARCH(("No"),(P723))))</formula>
    </cfRule>
  </conditionalFormatting>
  <conditionalFormatting sqref="P723:P724">
    <cfRule type="containsText" dxfId="2" priority="6463" operator="containsText" text="Yes">
      <formula>NOT(ISERROR(SEARCH(("Yes"),(P723))))</formula>
    </cfRule>
  </conditionalFormatting>
  <conditionalFormatting sqref="P723:P724">
    <cfRule type="containsText" dxfId="9" priority="6464" operator="containsText" text="No">
      <formula>NOT(ISERROR(SEARCH(("No"),(P723))))</formula>
    </cfRule>
  </conditionalFormatting>
  <conditionalFormatting sqref="P723:P724">
    <cfRule type="containsText" dxfId="2" priority="6465" operator="containsText" text="Yes">
      <formula>NOT(ISERROR(SEARCH(("Yes"),(P723))))</formula>
    </cfRule>
  </conditionalFormatting>
  <conditionalFormatting sqref="P723:P724">
    <cfRule type="containsText" dxfId="9" priority="6466" operator="containsText" text="No">
      <formula>NOT(ISERROR(SEARCH(("No"),(P723))))</formula>
    </cfRule>
  </conditionalFormatting>
  <conditionalFormatting sqref="P723:P724">
    <cfRule type="containsText" dxfId="2" priority="6467" operator="containsText" text="Yes">
      <formula>NOT(ISERROR(SEARCH(("Yes"),(P723))))</formula>
    </cfRule>
  </conditionalFormatting>
  <conditionalFormatting sqref="P723:P724">
    <cfRule type="containsText" dxfId="9" priority="6468" operator="containsText" text="No">
      <formula>NOT(ISERROR(SEARCH(("No"),(P723))))</formula>
    </cfRule>
  </conditionalFormatting>
  <conditionalFormatting sqref="P723:P724">
    <cfRule type="containsText" dxfId="2" priority="6469" operator="containsText" text="Yes">
      <formula>NOT(ISERROR(SEARCH(("Yes"),(P723))))</formula>
    </cfRule>
  </conditionalFormatting>
  <conditionalFormatting sqref="P723:P724">
    <cfRule type="containsText" dxfId="9" priority="6470" operator="containsText" text="No">
      <formula>NOT(ISERROR(SEARCH(("No"),(P723))))</formula>
    </cfRule>
  </conditionalFormatting>
  <conditionalFormatting sqref="P723:P724">
    <cfRule type="containsText" dxfId="2" priority="6471" operator="containsText" text="Yes">
      <formula>NOT(ISERROR(SEARCH(("Yes"),(P723))))</formula>
    </cfRule>
  </conditionalFormatting>
  <conditionalFormatting sqref="P723:P724">
    <cfRule type="containsText" dxfId="9" priority="6472" operator="containsText" text="No">
      <formula>NOT(ISERROR(SEARCH(("No"),(P723))))</formula>
    </cfRule>
  </conditionalFormatting>
  <conditionalFormatting sqref="P723:P724">
    <cfRule type="containsText" dxfId="2" priority="6473" operator="containsText" text="Yes">
      <formula>NOT(ISERROR(SEARCH(("Yes"),(P723))))</formula>
    </cfRule>
  </conditionalFormatting>
  <conditionalFormatting sqref="P723:P724">
    <cfRule type="containsText" dxfId="9" priority="6474" operator="containsText" text="No">
      <formula>NOT(ISERROR(SEARCH(("No"),(P723))))</formula>
    </cfRule>
  </conditionalFormatting>
  <conditionalFormatting sqref="P723:P724">
    <cfRule type="containsText" dxfId="2" priority="6475" operator="containsText" text="Yes">
      <formula>NOT(ISERROR(SEARCH(("Yes"),(P723))))</formula>
    </cfRule>
  </conditionalFormatting>
  <conditionalFormatting sqref="P723:P724">
    <cfRule type="containsText" dxfId="9" priority="6476" operator="containsText" text="No">
      <formula>NOT(ISERROR(SEARCH(("No"),(P723))))</formula>
    </cfRule>
  </conditionalFormatting>
  <conditionalFormatting sqref="P723:P724">
    <cfRule type="containsText" dxfId="2" priority="6477" operator="containsText" text="Yes">
      <formula>NOT(ISERROR(SEARCH(("Yes"),(P723))))</formula>
    </cfRule>
  </conditionalFormatting>
  <conditionalFormatting sqref="P723:P724">
    <cfRule type="containsText" dxfId="9" priority="6478" operator="containsText" text="No">
      <formula>NOT(ISERROR(SEARCH(("No"),(P723))))</formula>
    </cfRule>
  </conditionalFormatting>
  <conditionalFormatting sqref="P723:P724">
    <cfRule type="containsText" dxfId="2" priority="6479" operator="containsText" text="Yes">
      <formula>NOT(ISERROR(SEARCH(("Yes"),(P723))))</formula>
    </cfRule>
  </conditionalFormatting>
  <conditionalFormatting sqref="P723:P724">
    <cfRule type="containsText" dxfId="9" priority="6480" operator="containsText" text="No">
      <formula>NOT(ISERROR(SEARCH(("No"),(P723))))</formula>
    </cfRule>
  </conditionalFormatting>
  <conditionalFormatting sqref="P723:P724">
    <cfRule type="containsText" dxfId="2" priority="6481" operator="containsText" text="Yes">
      <formula>NOT(ISERROR(SEARCH(("Yes"),(P723))))</formula>
    </cfRule>
  </conditionalFormatting>
  <conditionalFormatting sqref="P723:P724">
    <cfRule type="containsText" dxfId="9" priority="6482" operator="containsText" text="No">
      <formula>NOT(ISERROR(SEARCH(("No"),(P723))))</formula>
    </cfRule>
  </conditionalFormatting>
  <conditionalFormatting sqref="P723:P724">
    <cfRule type="containsText" dxfId="2" priority="6483" operator="containsText" text="Yes">
      <formula>NOT(ISERROR(SEARCH(("Yes"),(P723))))</formula>
    </cfRule>
  </conditionalFormatting>
  <conditionalFormatting sqref="P723:P724">
    <cfRule type="containsText" dxfId="9" priority="6484" operator="containsText" text="No">
      <formula>NOT(ISERROR(SEARCH(("No"),(P723))))</formula>
    </cfRule>
  </conditionalFormatting>
  <conditionalFormatting sqref="P723:P724">
    <cfRule type="containsText" dxfId="2" priority="6485" operator="containsText" text="Yes">
      <formula>NOT(ISERROR(SEARCH(("Yes"),(P723))))</formula>
    </cfRule>
  </conditionalFormatting>
  <conditionalFormatting sqref="P723:P724">
    <cfRule type="containsText" dxfId="9" priority="6486" operator="containsText" text="No">
      <formula>NOT(ISERROR(SEARCH(("No"),(P723))))</formula>
    </cfRule>
  </conditionalFormatting>
  <conditionalFormatting sqref="P723:P724">
    <cfRule type="containsText" dxfId="2" priority="6487" operator="containsText" text="Yes">
      <formula>NOT(ISERROR(SEARCH(("Yes"),(P723))))</formula>
    </cfRule>
  </conditionalFormatting>
  <conditionalFormatting sqref="P723:P724">
    <cfRule type="containsText" dxfId="9" priority="6488" operator="containsText" text="No">
      <formula>NOT(ISERROR(SEARCH(("No"),(P723))))</formula>
    </cfRule>
  </conditionalFormatting>
  <conditionalFormatting sqref="P723:P724">
    <cfRule type="containsText" dxfId="2" priority="6489" operator="containsText" text="Yes">
      <formula>NOT(ISERROR(SEARCH(("Yes"),(P723))))</formula>
    </cfRule>
  </conditionalFormatting>
  <conditionalFormatting sqref="P723:P724">
    <cfRule type="containsText" dxfId="9" priority="6490" operator="containsText" text="No">
      <formula>NOT(ISERROR(SEARCH(("No"),(P723))))</formula>
    </cfRule>
  </conditionalFormatting>
  <conditionalFormatting sqref="P723:P724">
    <cfRule type="containsText" dxfId="2" priority="6491" operator="containsText" text="Yes">
      <formula>NOT(ISERROR(SEARCH(("Yes"),(P723))))</formula>
    </cfRule>
  </conditionalFormatting>
  <conditionalFormatting sqref="P723:P724">
    <cfRule type="containsText" dxfId="9" priority="6492" operator="containsText" text="No">
      <formula>NOT(ISERROR(SEARCH(("No"),(P723))))</formula>
    </cfRule>
  </conditionalFormatting>
  <conditionalFormatting sqref="P723:P724">
    <cfRule type="containsText" dxfId="2" priority="6493" operator="containsText" text="Yes">
      <formula>NOT(ISERROR(SEARCH(("Yes"),(P723))))</formula>
    </cfRule>
  </conditionalFormatting>
  <conditionalFormatting sqref="P723:P724">
    <cfRule type="containsText" dxfId="9" priority="6494" operator="containsText" text="No">
      <formula>NOT(ISERROR(SEARCH(("No"),(P723))))</formula>
    </cfRule>
  </conditionalFormatting>
  <conditionalFormatting sqref="P723:P724">
    <cfRule type="containsText" dxfId="2" priority="6495" operator="containsText" text="Yes">
      <formula>NOT(ISERROR(SEARCH(("Yes"),(P723))))</formula>
    </cfRule>
  </conditionalFormatting>
  <conditionalFormatting sqref="P723:P724">
    <cfRule type="containsText" dxfId="9" priority="6496" operator="containsText" text="No">
      <formula>NOT(ISERROR(SEARCH(("No"),(P723))))</formula>
    </cfRule>
  </conditionalFormatting>
  <conditionalFormatting sqref="P723:P724">
    <cfRule type="containsText" dxfId="2" priority="6497" operator="containsText" text="Yes">
      <formula>NOT(ISERROR(SEARCH(("Yes"),(P723))))</formula>
    </cfRule>
  </conditionalFormatting>
  <conditionalFormatting sqref="P723:P724">
    <cfRule type="containsText" dxfId="9" priority="6498" operator="containsText" text="No">
      <formula>NOT(ISERROR(SEARCH(("No"),(P723))))</formula>
    </cfRule>
  </conditionalFormatting>
  <conditionalFormatting sqref="P723:P724">
    <cfRule type="containsText" dxfId="2" priority="6499" operator="containsText" text="Yes">
      <formula>NOT(ISERROR(SEARCH(("Yes"),(P723))))</formula>
    </cfRule>
  </conditionalFormatting>
  <conditionalFormatting sqref="P723:P724">
    <cfRule type="containsText" dxfId="9" priority="6500" operator="containsText" text="No">
      <formula>NOT(ISERROR(SEARCH(("No"),(P723))))</formula>
    </cfRule>
  </conditionalFormatting>
  <conditionalFormatting sqref="P723:P724">
    <cfRule type="containsText" dxfId="2" priority="6501" operator="containsText" text="Yes">
      <formula>NOT(ISERROR(SEARCH(("Yes"),(P723))))</formula>
    </cfRule>
  </conditionalFormatting>
  <conditionalFormatting sqref="P723:P724">
    <cfRule type="containsText" dxfId="9" priority="6502" operator="containsText" text="No">
      <formula>NOT(ISERROR(SEARCH(("No"),(P723))))</formula>
    </cfRule>
  </conditionalFormatting>
  <conditionalFormatting sqref="P723:P724">
    <cfRule type="containsText" dxfId="2" priority="6503" operator="containsText" text="Yes">
      <formula>NOT(ISERROR(SEARCH(("Yes"),(P723))))</formula>
    </cfRule>
  </conditionalFormatting>
  <conditionalFormatting sqref="P723:P724">
    <cfRule type="containsText" dxfId="9" priority="6504" operator="containsText" text="No">
      <formula>NOT(ISERROR(SEARCH(("No"),(P723))))</formula>
    </cfRule>
  </conditionalFormatting>
  <conditionalFormatting sqref="P723:P724">
    <cfRule type="containsText" dxfId="2" priority="6505" operator="containsText" text="Yes">
      <formula>NOT(ISERROR(SEARCH(("Yes"),(P723))))</formula>
    </cfRule>
  </conditionalFormatting>
  <conditionalFormatting sqref="P723:P724">
    <cfRule type="containsText" dxfId="9" priority="6506" operator="containsText" text="No">
      <formula>NOT(ISERROR(SEARCH(("No"),(P723))))</formula>
    </cfRule>
  </conditionalFormatting>
  <conditionalFormatting sqref="P723:P724">
    <cfRule type="containsText" dxfId="2" priority="6507" operator="containsText" text="Yes">
      <formula>NOT(ISERROR(SEARCH(("Yes"),(P723))))</formula>
    </cfRule>
  </conditionalFormatting>
  <conditionalFormatting sqref="P723:P724">
    <cfRule type="containsText" dxfId="9" priority="6508" operator="containsText" text="No">
      <formula>NOT(ISERROR(SEARCH(("No"),(P723))))</formula>
    </cfRule>
  </conditionalFormatting>
  <conditionalFormatting sqref="P723:P724">
    <cfRule type="containsText" dxfId="2" priority="6509" operator="containsText" text="Yes">
      <formula>NOT(ISERROR(SEARCH(("Yes"),(P723))))</formula>
    </cfRule>
  </conditionalFormatting>
  <conditionalFormatting sqref="P723:P724">
    <cfRule type="containsText" dxfId="9" priority="6510" operator="containsText" text="No">
      <formula>NOT(ISERROR(SEARCH(("No"),(P723))))</formula>
    </cfRule>
  </conditionalFormatting>
  <conditionalFormatting sqref="P723:P724">
    <cfRule type="containsText" dxfId="2" priority="6511" operator="containsText" text="Yes">
      <formula>NOT(ISERROR(SEARCH(("Yes"),(P723))))</formula>
    </cfRule>
  </conditionalFormatting>
  <conditionalFormatting sqref="P723:P724">
    <cfRule type="containsText" dxfId="9" priority="6512" operator="containsText" text="No">
      <formula>NOT(ISERROR(SEARCH(("No"),(P723))))</formula>
    </cfRule>
  </conditionalFormatting>
  <conditionalFormatting sqref="P723:P724">
    <cfRule type="containsText" dxfId="2" priority="6513" operator="containsText" text="Yes">
      <formula>NOT(ISERROR(SEARCH(("Yes"),(P723))))</formula>
    </cfRule>
  </conditionalFormatting>
  <conditionalFormatting sqref="P723:P724">
    <cfRule type="containsText" dxfId="9" priority="6514" operator="containsText" text="No">
      <formula>NOT(ISERROR(SEARCH(("No"),(P723))))</formula>
    </cfRule>
  </conditionalFormatting>
  <conditionalFormatting sqref="P723:P724">
    <cfRule type="containsText" dxfId="2" priority="6515" operator="containsText" text="Yes">
      <formula>NOT(ISERROR(SEARCH(("Yes"),(P723))))</formula>
    </cfRule>
  </conditionalFormatting>
  <conditionalFormatting sqref="P723:P724">
    <cfRule type="containsText" dxfId="9" priority="6516" operator="containsText" text="No">
      <formula>NOT(ISERROR(SEARCH(("No"),(P723))))</formula>
    </cfRule>
  </conditionalFormatting>
  <conditionalFormatting sqref="P723:P724">
    <cfRule type="containsText" dxfId="2" priority="6517" operator="containsText" text="Yes">
      <formula>NOT(ISERROR(SEARCH(("Yes"),(P723))))</formula>
    </cfRule>
  </conditionalFormatting>
  <conditionalFormatting sqref="P723:P724">
    <cfRule type="containsText" dxfId="9" priority="6518" operator="containsText" text="No">
      <formula>NOT(ISERROR(SEARCH(("No"),(P723))))</formula>
    </cfRule>
  </conditionalFormatting>
  <conditionalFormatting sqref="P723:P724">
    <cfRule type="containsText" dxfId="2" priority="6519" operator="containsText" text="Yes">
      <formula>NOT(ISERROR(SEARCH(("Yes"),(P723))))</formula>
    </cfRule>
  </conditionalFormatting>
  <conditionalFormatting sqref="P723:P724">
    <cfRule type="containsText" dxfId="9" priority="6520" operator="containsText" text="No">
      <formula>NOT(ISERROR(SEARCH(("No"),(P723))))</formula>
    </cfRule>
  </conditionalFormatting>
  <conditionalFormatting sqref="P723:P724">
    <cfRule type="containsText" dxfId="2" priority="6521" operator="containsText" text="Yes">
      <formula>NOT(ISERROR(SEARCH(("Yes"),(P723))))</formula>
    </cfRule>
  </conditionalFormatting>
  <conditionalFormatting sqref="P723:P724">
    <cfRule type="containsText" dxfId="9" priority="6522" operator="containsText" text="No">
      <formula>NOT(ISERROR(SEARCH(("No"),(P723))))</formula>
    </cfRule>
  </conditionalFormatting>
  <conditionalFormatting sqref="P723:P724">
    <cfRule type="containsText" dxfId="2" priority="6523" operator="containsText" text="Yes">
      <formula>NOT(ISERROR(SEARCH(("Yes"),(P723))))</formula>
    </cfRule>
  </conditionalFormatting>
  <conditionalFormatting sqref="P723:P724">
    <cfRule type="containsText" dxfId="9" priority="6524" operator="containsText" text="No">
      <formula>NOT(ISERROR(SEARCH(("No"),(P723))))</formula>
    </cfRule>
  </conditionalFormatting>
  <conditionalFormatting sqref="P723:P724">
    <cfRule type="containsText" dxfId="2" priority="6525" operator="containsText" text="Yes">
      <formula>NOT(ISERROR(SEARCH(("Yes"),(P723))))</formula>
    </cfRule>
  </conditionalFormatting>
  <conditionalFormatting sqref="P723:P724">
    <cfRule type="containsText" dxfId="9" priority="6526" operator="containsText" text="No">
      <formula>NOT(ISERROR(SEARCH(("No"),(P723))))</formula>
    </cfRule>
  </conditionalFormatting>
  <conditionalFormatting sqref="P723:P724">
    <cfRule type="containsText" dxfId="2" priority="6527" operator="containsText" text="Yes">
      <formula>NOT(ISERROR(SEARCH(("Yes"),(P723))))</formula>
    </cfRule>
  </conditionalFormatting>
  <conditionalFormatting sqref="P723:P724">
    <cfRule type="containsText" dxfId="9" priority="6528" operator="containsText" text="No">
      <formula>NOT(ISERROR(SEARCH(("No"),(P723))))</formula>
    </cfRule>
  </conditionalFormatting>
  <conditionalFormatting sqref="P723:P724">
    <cfRule type="containsText" dxfId="2" priority="6529" operator="containsText" text="Yes">
      <formula>NOT(ISERROR(SEARCH(("Yes"),(P723))))</formula>
    </cfRule>
  </conditionalFormatting>
  <conditionalFormatting sqref="P723:P724">
    <cfRule type="containsText" dxfId="9" priority="6530" operator="containsText" text="No">
      <formula>NOT(ISERROR(SEARCH(("No"),(P723))))</formula>
    </cfRule>
  </conditionalFormatting>
  <conditionalFormatting sqref="P723:P724">
    <cfRule type="containsText" dxfId="2" priority="6531" operator="containsText" text="Yes">
      <formula>NOT(ISERROR(SEARCH(("Yes"),(P723))))</formula>
    </cfRule>
  </conditionalFormatting>
  <conditionalFormatting sqref="P723:P724">
    <cfRule type="containsText" dxfId="9" priority="6532" operator="containsText" text="No">
      <formula>NOT(ISERROR(SEARCH(("No"),(P723))))</formula>
    </cfRule>
  </conditionalFormatting>
  <conditionalFormatting sqref="P723:P724">
    <cfRule type="containsText" dxfId="2" priority="6533" operator="containsText" text="Yes">
      <formula>NOT(ISERROR(SEARCH(("Yes"),(P723))))</formula>
    </cfRule>
  </conditionalFormatting>
  <conditionalFormatting sqref="P723:P724">
    <cfRule type="containsText" dxfId="9" priority="6534" operator="containsText" text="No">
      <formula>NOT(ISERROR(SEARCH(("No"),(P723))))</formula>
    </cfRule>
  </conditionalFormatting>
  <conditionalFormatting sqref="P723:P724">
    <cfRule type="containsText" dxfId="2" priority="6535" operator="containsText" text="Yes">
      <formula>NOT(ISERROR(SEARCH(("Yes"),(P723))))</formula>
    </cfRule>
  </conditionalFormatting>
  <conditionalFormatting sqref="P723:P724">
    <cfRule type="containsText" dxfId="2" priority="6536" operator="containsText" text="Yes">
      <formula>NOT(ISERROR(SEARCH(("Yes"),(P723))))</formula>
    </cfRule>
  </conditionalFormatting>
  <conditionalFormatting sqref="P741">
    <cfRule type="containsText" dxfId="2" priority="6537" operator="containsText" text="Yes">
      <formula>NOT(ISERROR(SEARCH(("Yes"),(P741))))</formula>
    </cfRule>
  </conditionalFormatting>
  <conditionalFormatting sqref="P741">
    <cfRule type="containsText" dxfId="9" priority="6538" operator="containsText" text="No">
      <formula>NOT(ISERROR(SEARCH(("No"),(P741))))</formula>
    </cfRule>
  </conditionalFormatting>
  <conditionalFormatting sqref="P741">
    <cfRule type="containsText" dxfId="2" priority="6539" operator="containsText" text="Yes">
      <formula>NOT(ISERROR(SEARCH(("Yes"),(P741))))</formula>
    </cfRule>
  </conditionalFormatting>
  <conditionalFormatting sqref="P741">
    <cfRule type="containsText" dxfId="9" priority="6540" operator="containsText" text="No">
      <formula>NOT(ISERROR(SEARCH(("No"),(P741))))</formula>
    </cfRule>
  </conditionalFormatting>
  <conditionalFormatting sqref="P741">
    <cfRule type="containsText" dxfId="2" priority="6541" operator="containsText" text="Yes">
      <formula>NOT(ISERROR(SEARCH(("Yes"),(P741))))</formula>
    </cfRule>
  </conditionalFormatting>
  <conditionalFormatting sqref="P741">
    <cfRule type="containsText" dxfId="9" priority="6542" operator="containsText" text="No">
      <formula>NOT(ISERROR(SEARCH(("No"),(P741))))</formula>
    </cfRule>
  </conditionalFormatting>
  <conditionalFormatting sqref="P741">
    <cfRule type="containsText" dxfId="2" priority="6543" operator="containsText" text="Yes">
      <formula>NOT(ISERROR(SEARCH(("Yes"),(P741))))</formula>
    </cfRule>
  </conditionalFormatting>
  <conditionalFormatting sqref="P741">
    <cfRule type="containsText" dxfId="9" priority="6544" operator="containsText" text="No">
      <formula>NOT(ISERROR(SEARCH(("No"),(P741))))</formula>
    </cfRule>
  </conditionalFormatting>
  <conditionalFormatting sqref="P741">
    <cfRule type="containsText" dxfId="2" priority="6545" operator="containsText" text="Yes">
      <formula>NOT(ISERROR(SEARCH(("Yes"),(P741))))</formula>
    </cfRule>
  </conditionalFormatting>
  <conditionalFormatting sqref="P741">
    <cfRule type="containsText" dxfId="9" priority="6546" operator="containsText" text="No">
      <formula>NOT(ISERROR(SEARCH(("No"),(P741))))</formula>
    </cfRule>
  </conditionalFormatting>
  <conditionalFormatting sqref="P741">
    <cfRule type="containsText" dxfId="2" priority="6547" operator="containsText" text="Yes">
      <formula>NOT(ISERROR(SEARCH(("Yes"),(P741))))</formula>
    </cfRule>
  </conditionalFormatting>
  <conditionalFormatting sqref="P741">
    <cfRule type="containsText" dxfId="9" priority="6548" operator="containsText" text="No">
      <formula>NOT(ISERROR(SEARCH(("No"),(P741))))</formula>
    </cfRule>
  </conditionalFormatting>
  <conditionalFormatting sqref="P741">
    <cfRule type="containsText" dxfId="2" priority="6549" operator="containsText" text="Yes">
      <formula>NOT(ISERROR(SEARCH(("Yes"),(P741))))</formula>
    </cfRule>
  </conditionalFormatting>
  <conditionalFormatting sqref="P741">
    <cfRule type="containsText" dxfId="9" priority="6550" operator="containsText" text="No">
      <formula>NOT(ISERROR(SEARCH(("No"),(P741))))</formula>
    </cfRule>
  </conditionalFormatting>
  <conditionalFormatting sqref="P741">
    <cfRule type="containsText" dxfId="2" priority="6551" operator="containsText" text="Yes">
      <formula>NOT(ISERROR(SEARCH(("Yes"),(P741))))</formula>
    </cfRule>
  </conditionalFormatting>
  <conditionalFormatting sqref="P741">
    <cfRule type="containsText" dxfId="9" priority="6552" operator="containsText" text="No">
      <formula>NOT(ISERROR(SEARCH(("No"),(P741))))</formula>
    </cfRule>
  </conditionalFormatting>
  <conditionalFormatting sqref="P741">
    <cfRule type="containsText" dxfId="2" priority="6553" operator="containsText" text="Yes">
      <formula>NOT(ISERROR(SEARCH(("Yes"),(P741))))</formula>
    </cfRule>
  </conditionalFormatting>
  <conditionalFormatting sqref="P741">
    <cfRule type="containsText" dxfId="9" priority="6554" operator="containsText" text="No">
      <formula>NOT(ISERROR(SEARCH(("No"),(P741))))</formula>
    </cfRule>
  </conditionalFormatting>
  <conditionalFormatting sqref="P741">
    <cfRule type="containsText" dxfId="2" priority="6555" operator="containsText" text="Yes">
      <formula>NOT(ISERROR(SEARCH(("Yes"),(P741))))</formula>
    </cfRule>
  </conditionalFormatting>
  <conditionalFormatting sqref="P741">
    <cfRule type="containsText" dxfId="9" priority="6556" operator="containsText" text="No">
      <formula>NOT(ISERROR(SEARCH(("No"),(P741))))</formula>
    </cfRule>
  </conditionalFormatting>
  <conditionalFormatting sqref="P741">
    <cfRule type="containsText" dxfId="2" priority="6557" operator="containsText" text="Yes">
      <formula>NOT(ISERROR(SEARCH(("Yes"),(P741))))</formula>
    </cfRule>
  </conditionalFormatting>
  <conditionalFormatting sqref="P741">
    <cfRule type="containsText" dxfId="9" priority="6558" operator="containsText" text="No">
      <formula>NOT(ISERROR(SEARCH(("No"),(P741))))</formula>
    </cfRule>
  </conditionalFormatting>
  <conditionalFormatting sqref="P741">
    <cfRule type="containsText" dxfId="2" priority="6559" operator="containsText" text="Yes">
      <formula>NOT(ISERROR(SEARCH(("Yes"),(P741))))</formula>
    </cfRule>
  </conditionalFormatting>
  <conditionalFormatting sqref="P741">
    <cfRule type="containsText" dxfId="9" priority="6560" operator="containsText" text="No">
      <formula>NOT(ISERROR(SEARCH(("No"),(P741))))</formula>
    </cfRule>
  </conditionalFormatting>
  <conditionalFormatting sqref="P741">
    <cfRule type="containsText" dxfId="2" priority="6561" operator="containsText" text="Yes">
      <formula>NOT(ISERROR(SEARCH(("Yes"),(P741))))</formula>
    </cfRule>
  </conditionalFormatting>
  <conditionalFormatting sqref="P741">
    <cfRule type="containsText" dxfId="9" priority="6562" operator="containsText" text="No">
      <formula>NOT(ISERROR(SEARCH(("No"),(P741))))</formula>
    </cfRule>
  </conditionalFormatting>
  <conditionalFormatting sqref="P741">
    <cfRule type="containsText" dxfId="2" priority="6563" operator="containsText" text="Yes">
      <formula>NOT(ISERROR(SEARCH(("Yes"),(P741))))</formula>
    </cfRule>
  </conditionalFormatting>
  <conditionalFormatting sqref="P741">
    <cfRule type="containsText" dxfId="9" priority="6564" operator="containsText" text="No">
      <formula>NOT(ISERROR(SEARCH(("No"),(P741))))</formula>
    </cfRule>
  </conditionalFormatting>
  <conditionalFormatting sqref="P741">
    <cfRule type="containsText" dxfId="2" priority="6565" operator="containsText" text="Yes">
      <formula>NOT(ISERROR(SEARCH(("Yes"),(P741))))</formula>
    </cfRule>
  </conditionalFormatting>
  <conditionalFormatting sqref="P741">
    <cfRule type="containsText" dxfId="9" priority="6566" operator="containsText" text="No">
      <formula>NOT(ISERROR(SEARCH(("No"),(P741))))</formula>
    </cfRule>
  </conditionalFormatting>
  <conditionalFormatting sqref="P741">
    <cfRule type="containsText" dxfId="2" priority="6567" operator="containsText" text="Yes">
      <formula>NOT(ISERROR(SEARCH(("Yes"),(P741))))</formula>
    </cfRule>
  </conditionalFormatting>
  <conditionalFormatting sqref="P741">
    <cfRule type="containsText" dxfId="9" priority="6568" operator="containsText" text="No">
      <formula>NOT(ISERROR(SEARCH(("No"),(P741))))</formula>
    </cfRule>
  </conditionalFormatting>
  <conditionalFormatting sqref="P741">
    <cfRule type="containsText" dxfId="2" priority="6569" operator="containsText" text="Yes">
      <formula>NOT(ISERROR(SEARCH(("Yes"),(P741))))</formula>
    </cfRule>
  </conditionalFormatting>
  <conditionalFormatting sqref="P741">
    <cfRule type="containsText" dxfId="9" priority="6570" operator="containsText" text="No">
      <formula>NOT(ISERROR(SEARCH(("No"),(P741))))</formula>
    </cfRule>
  </conditionalFormatting>
  <conditionalFormatting sqref="P741">
    <cfRule type="containsText" dxfId="2" priority="6571" operator="containsText" text="Yes">
      <formula>NOT(ISERROR(SEARCH(("Yes"),(P741))))</formula>
    </cfRule>
  </conditionalFormatting>
  <conditionalFormatting sqref="P741">
    <cfRule type="containsText" dxfId="9" priority="6572" operator="containsText" text="No">
      <formula>NOT(ISERROR(SEARCH(("No"),(P741))))</formula>
    </cfRule>
  </conditionalFormatting>
  <conditionalFormatting sqref="P741">
    <cfRule type="containsText" dxfId="2" priority="6573" operator="containsText" text="Yes">
      <formula>NOT(ISERROR(SEARCH(("Yes"),(P741))))</formula>
    </cfRule>
  </conditionalFormatting>
  <conditionalFormatting sqref="P741">
    <cfRule type="containsText" dxfId="9" priority="6574" operator="containsText" text="No">
      <formula>NOT(ISERROR(SEARCH(("No"),(P741))))</formula>
    </cfRule>
  </conditionalFormatting>
  <conditionalFormatting sqref="P741">
    <cfRule type="containsText" dxfId="2" priority="6575" operator="containsText" text="Yes">
      <formula>NOT(ISERROR(SEARCH(("Yes"),(P741))))</formula>
    </cfRule>
  </conditionalFormatting>
  <conditionalFormatting sqref="P741">
    <cfRule type="containsText" dxfId="9" priority="6576" operator="containsText" text="No">
      <formula>NOT(ISERROR(SEARCH(("No"),(P741))))</formula>
    </cfRule>
  </conditionalFormatting>
  <conditionalFormatting sqref="P741">
    <cfRule type="containsText" dxfId="2" priority="6577" operator="containsText" text="Yes">
      <formula>NOT(ISERROR(SEARCH(("Yes"),(P741))))</formula>
    </cfRule>
  </conditionalFormatting>
  <conditionalFormatting sqref="P741">
    <cfRule type="containsText" dxfId="9" priority="6578" operator="containsText" text="No">
      <formula>NOT(ISERROR(SEARCH(("No"),(P741))))</formula>
    </cfRule>
  </conditionalFormatting>
  <conditionalFormatting sqref="P741">
    <cfRule type="containsText" dxfId="2" priority="6579" operator="containsText" text="Yes">
      <formula>NOT(ISERROR(SEARCH(("Yes"),(P741))))</formula>
    </cfRule>
  </conditionalFormatting>
  <conditionalFormatting sqref="P741">
    <cfRule type="containsText" dxfId="9" priority="6580" operator="containsText" text="No">
      <formula>NOT(ISERROR(SEARCH(("No"),(P741))))</formula>
    </cfRule>
  </conditionalFormatting>
  <conditionalFormatting sqref="P741">
    <cfRule type="containsText" dxfId="2" priority="6581" operator="containsText" text="Yes">
      <formula>NOT(ISERROR(SEARCH(("Yes"),(P741))))</formula>
    </cfRule>
  </conditionalFormatting>
  <conditionalFormatting sqref="P741">
    <cfRule type="containsText" dxfId="9" priority="6582" operator="containsText" text="No">
      <formula>NOT(ISERROR(SEARCH(("No"),(P741))))</formula>
    </cfRule>
  </conditionalFormatting>
  <conditionalFormatting sqref="P741">
    <cfRule type="containsText" dxfId="2" priority="6583" operator="containsText" text="Yes">
      <formula>NOT(ISERROR(SEARCH(("Yes"),(P741))))</formula>
    </cfRule>
  </conditionalFormatting>
  <conditionalFormatting sqref="P741">
    <cfRule type="containsText" dxfId="9" priority="6584" operator="containsText" text="No">
      <formula>NOT(ISERROR(SEARCH(("No"),(P741))))</formula>
    </cfRule>
  </conditionalFormatting>
  <conditionalFormatting sqref="P741">
    <cfRule type="containsText" dxfId="2" priority="6585" operator="containsText" text="Yes">
      <formula>NOT(ISERROR(SEARCH(("Yes"),(P741))))</formula>
    </cfRule>
  </conditionalFormatting>
  <conditionalFormatting sqref="P741">
    <cfRule type="containsText" dxfId="9" priority="6586" operator="containsText" text="No">
      <formula>NOT(ISERROR(SEARCH(("No"),(P741))))</formula>
    </cfRule>
  </conditionalFormatting>
  <conditionalFormatting sqref="P741">
    <cfRule type="containsText" dxfId="2" priority="6587" operator="containsText" text="Yes">
      <formula>NOT(ISERROR(SEARCH(("Yes"),(P741))))</formula>
    </cfRule>
  </conditionalFormatting>
  <conditionalFormatting sqref="P741">
    <cfRule type="containsText" dxfId="9" priority="6588" operator="containsText" text="No">
      <formula>NOT(ISERROR(SEARCH(("No"),(P741))))</formula>
    </cfRule>
  </conditionalFormatting>
  <conditionalFormatting sqref="P741">
    <cfRule type="containsText" dxfId="2" priority="6589" operator="containsText" text="Yes">
      <formula>NOT(ISERROR(SEARCH(("Yes"),(P741))))</formula>
    </cfRule>
  </conditionalFormatting>
  <conditionalFormatting sqref="P741">
    <cfRule type="containsText" dxfId="9" priority="6590" operator="containsText" text="No">
      <formula>NOT(ISERROR(SEARCH(("No"),(P741))))</formula>
    </cfRule>
  </conditionalFormatting>
  <conditionalFormatting sqref="P741">
    <cfRule type="containsText" dxfId="2" priority="6591" operator="containsText" text="Yes">
      <formula>NOT(ISERROR(SEARCH(("Yes"),(P741))))</formula>
    </cfRule>
  </conditionalFormatting>
  <conditionalFormatting sqref="P741">
    <cfRule type="containsText" dxfId="9" priority="6592" operator="containsText" text="No">
      <formula>NOT(ISERROR(SEARCH(("No"),(P741))))</formula>
    </cfRule>
  </conditionalFormatting>
  <conditionalFormatting sqref="P741">
    <cfRule type="containsText" dxfId="2" priority="6593" operator="containsText" text="Yes">
      <formula>NOT(ISERROR(SEARCH(("Yes"),(P741))))</formula>
    </cfRule>
  </conditionalFormatting>
  <conditionalFormatting sqref="P741">
    <cfRule type="containsText" dxfId="9" priority="6594" operator="containsText" text="No">
      <formula>NOT(ISERROR(SEARCH(("No"),(P741))))</formula>
    </cfRule>
  </conditionalFormatting>
  <conditionalFormatting sqref="P741">
    <cfRule type="containsText" dxfId="2" priority="6595" operator="containsText" text="Yes">
      <formula>NOT(ISERROR(SEARCH(("Yes"),(P741))))</formula>
    </cfRule>
  </conditionalFormatting>
  <conditionalFormatting sqref="P741">
    <cfRule type="containsText" dxfId="9" priority="6596" operator="containsText" text="No">
      <formula>NOT(ISERROR(SEARCH(("No"),(P741))))</formula>
    </cfRule>
  </conditionalFormatting>
  <conditionalFormatting sqref="P741">
    <cfRule type="containsText" dxfId="2" priority="6597" operator="containsText" text="Yes">
      <formula>NOT(ISERROR(SEARCH(("Yes"),(P741))))</formula>
    </cfRule>
  </conditionalFormatting>
  <conditionalFormatting sqref="P741">
    <cfRule type="containsText" dxfId="9" priority="6598" operator="containsText" text="No">
      <formula>NOT(ISERROR(SEARCH(("No"),(P741))))</formula>
    </cfRule>
  </conditionalFormatting>
  <conditionalFormatting sqref="P741">
    <cfRule type="containsText" dxfId="2" priority="6599" operator="containsText" text="Yes">
      <formula>NOT(ISERROR(SEARCH(("Yes"),(P741))))</formula>
    </cfRule>
  </conditionalFormatting>
  <conditionalFormatting sqref="P741">
    <cfRule type="containsText" dxfId="9" priority="6600" operator="containsText" text="No">
      <formula>NOT(ISERROR(SEARCH(("No"),(P741))))</formula>
    </cfRule>
  </conditionalFormatting>
  <conditionalFormatting sqref="P741">
    <cfRule type="containsText" dxfId="2" priority="6601" operator="containsText" text="Yes">
      <formula>NOT(ISERROR(SEARCH(("Yes"),(P741))))</formula>
    </cfRule>
  </conditionalFormatting>
  <conditionalFormatting sqref="P741">
    <cfRule type="containsText" dxfId="9" priority="6602" operator="containsText" text="No">
      <formula>NOT(ISERROR(SEARCH(("No"),(P741))))</formula>
    </cfRule>
  </conditionalFormatting>
  <conditionalFormatting sqref="P741">
    <cfRule type="containsText" dxfId="2" priority="6603" operator="containsText" text="Yes">
      <formula>NOT(ISERROR(SEARCH(("Yes"),(P741))))</formula>
    </cfRule>
  </conditionalFormatting>
  <conditionalFormatting sqref="P741">
    <cfRule type="containsText" dxfId="9" priority="6604" operator="containsText" text="No">
      <formula>NOT(ISERROR(SEARCH(("No"),(P741))))</formula>
    </cfRule>
  </conditionalFormatting>
  <conditionalFormatting sqref="P741">
    <cfRule type="containsText" dxfId="2" priority="6605" operator="containsText" text="Yes">
      <formula>NOT(ISERROR(SEARCH(("Yes"),(P741))))</formula>
    </cfRule>
  </conditionalFormatting>
  <conditionalFormatting sqref="P741">
    <cfRule type="containsText" dxfId="9" priority="6606" operator="containsText" text="No">
      <formula>NOT(ISERROR(SEARCH(("No"),(P741))))</formula>
    </cfRule>
  </conditionalFormatting>
  <conditionalFormatting sqref="P741">
    <cfRule type="containsText" dxfId="2" priority="6607" operator="containsText" text="Yes">
      <formula>NOT(ISERROR(SEARCH(("Yes"),(P741))))</formula>
    </cfRule>
  </conditionalFormatting>
  <conditionalFormatting sqref="P741">
    <cfRule type="containsText" dxfId="9" priority="6608" operator="containsText" text="No">
      <formula>NOT(ISERROR(SEARCH(("No"),(P741))))</formula>
    </cfRule>
  </conditionalFormatting>
  <conditionalFormatting sqref="P741">
    <cfRule type="containsText" dxfId="2" priority="6609" operator="containsText" text="Yes">
      <formula>NOT(ISERROR(SEARCH(("Yes"),(P741))))</formula>
    </cfRule>
  </conditionalFormatting>
  <conditionalFormatting sqref="P741">
    <cfRule type="containsText" dxfId="9" priority="6610" operator="containsText" text="No">
      <formula>NOT(ISERROR(SEARCH(("No"),(P741))))</formula>
    </cfRule>
  </conditionalFormatting>
  <conditionalFormatting sqref="P741">
    <cfRule type="containsText" dxfId="2" priority="6611" operator="containsText" text="Yes">
      <formula>NOT(ISERROR(SEARCH(("Yes"),(P741))))</formula>
    </cfRule>
  </conditionalFormatting>
  <conditionalFormatting sqref="P741">
    <cfRule type="containsText" dxfId="9" priority="6612" operator="containsText" text="No">
      <formula>NOT(ISERROR(SEARCH(("No"),(P741))))</formula>
    </cfRule>
  </conditionalFormatting>
  <conditionalFormatting sqref="P741">
    <cfRule type="containsText" dxfId="2" priority="6613" operator="containsText" text="Yes">
      <formula>NOT(ISERROR(SEARCH(("Yes"),(P741))))</formula>
    </cfRule>
  </conditionalFormatting>
  <conditionalFormatting sqref="P741">
    <cfRule type="containsText" dxfId="9" priority="6614" operator="containsText" text="No">
      <formula>NOT(ISERROR(SEARCH(("No"),(P741))))</formula>
    </cfRule>
  </conditionalFormatting>
  <conditionalFormatting sqref="P741">
    <cfRule type="containsText" dxfId="2" priority="6615" operator="containsText" text="Yes">
      <formula>NOT(ISERROR(SEARCH(("Yes"),(P741))))</formula>
    </cfRule>
  </conditionalFormatting>
  <conditionalFormatting sqref="P741">
    <cfRule type="containsText" dxfId="9" priority="6616" operator="containsText" text="No">
      <formula>NOT(ISERROR(SEARCH(("No"),(P741))))</formula>
    </cfRule>
  </conditionalFormatting>
  <conditionalFormatting sqref="P741">
    <cfRule type="containsText" dxfId="2" priority="6617" operator="containsText" text="Yes">
      <formula>NOT(ISERROR(SEARCH(("Yes"),(P741))))</formula>
    </cfRule>
  </conditionalFormatting>
  <conditionalFormatting sqref="P741">
    <cfRule type="containsText" dxfId="9" priority="6618" operator="containsText" text="No">
      <formula>NOT(ISERROR(SEARCH(("No"),(P741))))</formula>
    </cfRule>
  </conditionalFormatting>
  <conditionalFormatting sqref="P741">
    <cfRule type="containsText" dxfId="2" priority="6619" operator="containsText" text="Yes">
      <formula>NOT(ISERROR(SEARCH(("Yes"),(P741))))</formula>
    </cfRule>
  </conditionalFormatting>
  <conditionalFormatting sqref="P741">
    <cfRule type="containsText" dxfId="9" priority="6620" operator="containsText" text="No">
      <formula>NOT(ISERROR(SEARCH(("No"),(P741))))</formula>
    </cfRule>
  </conditionalFormatting>
  <conditionalFormatting sqref="P741">
    <cfRule type="containsText" dxfId="2" priority="6621" operator="containsText" text="Yes">
      <formula>NOT(ISERROR(SEARCH(("Yes"),(P741))))</formula>
    </cfRule>
  </conditionalFormatting>
  <conditionalFormatting sqref="P741">
    <cfRule type="containsText" dxfId="9" priority="6622" operator="containsText" text="No">
      <formula>NOT(ISERROR(SEARCH(("No"),(P741))))</formula>
    </cfRule>
  </conditionalFormatting>
  <conditionalFormatting sqref="P741">
    <cfRule type="containsText" dxfId="2" priority="6623" operator="containsText" text="Yes">
      <formula>NOT(ISERROR(SEARCH(("Yes"),(P741))))</formula>
    </cfRule>
  </conditionalFormatting>
  <conditionalFormatting sqref="P741">
    <cfRule type="containsText" dxfId="9" priority="6624" operator="containsText" text="No">
      <formula>NOT(ISERROR(SEARCH(("No"),(P741))))</formula>
    </cfRule>
  </conditionalFormatting>
  <conditionalFormatting sqref="P741">
    <cfRule type="containsText" dxfId="2" priority="6625" operator="containsText" text="Yes">
      <formula>NOT(ISERROR(SEARCH(("Yes"),(P741))))</formula>
    </cfRule>
  </conditionalFormatting>
  <conditionalFormatting sqref="P741">
    <cfRule type="containsText" dxfId="2" priority="6626" operator="containsText" text="Yes">
      <formula>NOT(ISERROR(SEARCH(("Yes"),(P741))))</formula>
    </cfRule>
  </conditionalFormatting>
  <conditionalFormatting sqref="P741">
    <cfRule type="containsText" dxfId="9" priority="6627" operator="containsText" text="No">
      <formula>NOT(ISERROR(SEARCH(("No"),(P741))))</formula>
    </cfRule>
  </conditionalFormatting>
  <conditionalFormatting sqref="P741">
    <cfRule type="containsText" dxfId="2" priority="6628" operator="containsText" text="Yes">
      <formula>NOT(ISERROR(SEARCH(("Yes"),(P741))))</formula>
    </cfRule>
  </conditionalFormatting>
  <conditionalFormatting sqref="P742">
    <cfRule type="containsText" dxfId="2" priority="6629" operator="containsText" text="Yes">
      <formula>NOT(ISERROR(SEARCH(("Yes"),(P742))))</formula>
    </cfRule>
  </conditionalFormatting>
  <conditionalFormatting sqref="P742">
    <cfRule type="containsText" dxfId="9" priority="6630" operator="containsText" text="No">
      <formula>NOT(ISERROR(SEARCH(("No"),(P742))))</formula>
    </cfRule>
  </conditionalFormatting>
  <conditionalFormatting sqref="P742">
    <cfRule type="containsText" dxfId="2" priority="6631" operator="containsText" text="Yes">
      <formula>NOT(ISERROR(SEARCH(("Yes"),(P742))))</formula>
    </cfRule>
  </conditionalFormatting>
  <conditionalFormatting sqref="P742">
    <cfRule type="containsText" dxfId="9" priority="6632" operator="containsText" text="No">
      <formula>NOT(ISERROR(SEARCH(("No"),(P742))))</formula>
    </cfRule>
  </conditionalFormatting>
  <conditionalFormatting sqref="P742">
    <cfRule type="containsText" dxfId="2" priority="6633" operator="containsText" text="Yes">
      <formula>NOT(ISERROR(SEARCH(("Yes"),(P742))))</formula>
    </cfRule>
  </conditionalFormatting>
  <conditionalFormatting sqref="P742">
    <cfRule type="containsText" dxfId="9" priority="6634" operator="containsText" text="No">
      <formula>NOT(ISERROR(SEARCH(("No"),(P742))))</formula>
    </cfRule>
  </conditionalFormatting>
  <conditionalFormatting sqref="P742">
    <cfRule type="containsText" dxfId="2" priority="6635" operator="containsText" text="Yes">
      <formula>NOT(ISERROR(SEARCH(("Yes"),(P742))))</formula>
    </cfRule>
  </conditionalFormatting>
  <conditionalFormatting sqref="P742">
    <cfRule type="containsText" dxfId="9" priority="6636" operator="containsText" text="No">
      <formula>NOT(ISERROR(SEARCH(("No"),(P742))))</formula>
    </cfRule>
  </conditionalFormatting>
  <conditionalFormatting sqref="P742">
    <cfRule type="containsText" dxfId="2" priority="6637" operator="containsText" text="Yes">
      <formula>NOT(ISERROR(SEARCH(("Yes"),(P742))))</formula>
    </cfRule>
  </conditionalFormatting>
  <conditionalFormatting sqref="P742">
    <cfRule type="containsText" dxfId="9" priority="6638" operator="containsText" text="No">
      <formula>NOT(ISERROR(SEARCH(("No"),(P742))))</formula>
    </cfRule>
  </conditionalFormatting>
  <conditionalFormatting sqref="P742">
    <cfRule type="containsText" dxfId="2" priority="6639" operator="containsText" text="Yes">
      <formula>NOT(ISERROR(SEARCH(("Yes"),(P742))))</formula>
    </cfRule>
  </conditionalFormatting>
  <conditionalFormatting sqref="P742">
    <cfRule type="containsText" dxfId="9" priority="6640" operator="containsText" text="No">
      <formula>NOT(ISERROR(SEARCH(("No"),(P742))))</formula>
    </cfRule>
  </conditionalFormatting>
  <conditionalFormatting sqref="P742">
    <cfRule type="containsText" dxfId="2" priority="6641" operator="containsText" text="Yes">
      <formula>NOT(ISERROR(SEARCH(("Yes"),(P742))))</formula>
    </cfRule>
  </conditionalFormatting>
  <conditionalFormatting sqref="P742">
    <cfRule type="containsText" dxfId="9" priority="6642" operator="containsText" text="No">
      <formula>NOT(ISERROR(SEARCH(("No"),(P742))))</formula>
    </cfRule>
  </conditionalFormatting>
  <conditionalFormatting sqref="P742">
    <cfRule type="containsText" dxfId="2" priority="6643" operator="containsText" text="Yes">
      <formula>NOT(ISERROR(SEARCH(("Yes"),(P742))))</formula>
    </cfRule>
  </conditionalFormatting>
  <conditionalFormatting sqref="P742">
    <cfRule type="containsText" dxfId="9" priority="6644" operator="containsText" text="No">
      <formula>NOT(ISERROR(SEARCH(("No"),(P742))))</formula>
    </cfRule>
  </conditionalFormatting>
  <conditionalFormatting sqref="P742">
    <cfRule type="containsText" dxfId="2" priority="6645" operator="containsText" text="Yes">
      <formula>NOT(ISERROR(SEARCH(("Yes"),(P742))))</formula>
    </cfRule>
  </conditionalFormatting>
  <conditionalFormatting sqref="P742">
    <cfRule type="containsText" dxfId="9" priority="6646" operator="containsText" text="No">
      <formula>NOT(ISERROR(SEARCH(("No"),(P742))))</formula>
    </cfRule>
  </conditionalFormatting>
  <conditionalFormatting sqref="P742">
    <cfRule type="containsText" dxfId="2" priority="6647" operator="containsText" text="Yes">
      <formula>NOT(ISERROR(SEARCH(("Yes"),(P742))))</formula>
    </cfRule>
  </conditionalFormatting>
  <conditionalFormatting sqref="P742">
    <cfRule type="containsText" dxfId="9" priority="6648" operator="containsText" text="No">
      <formula>NOT(ISERROR(SEARCH(("No"),(P742))))</formula>
    </cfRule>
  </conditionalFormatting>
  <conditionalFormatting sqref="P742">
    <cfRule type="containsText" dxfId="2" priority="6649" operator="containsText" text="Yes">
      <formula>NOT(ISERROR(SEARCH(("Yes"),(P742))))</formula>
    </cfRule>
  </conditionalFormatting>
  <conditionalFormatting sqref="P742">
    <cfRule type="containsText" dxfId="9" priority="6650" operator="containsText" text="No">
      <formula>NOT(ISERROR(SEARCH(("No"),(P742))))</formula>
    </cfRule>
  </conditionalFormatting>
  <conditionalFormatting sqref="P742">
    <cfRule type="containsText" dxfId="2" priority="6651" operator="containsText" text="Yes">
      <formula>NOT(ISERROR(SEARCH(("Yes"),(P742))))</formula>
    </cfRule>
  </conditionalFormatting>
  <conditionalFormatting sqref="P742">
    <cfRule type="containsText" dxfId="9" priority="6652" operator="containsText" text="No">
      <formula>NOT(ISERROR(SEARCH(("No"),(P742))))</formula>
    </cfRule>
  </conditionalFormatting>
  <conditionalFormatting sqref="P742">
    <cfRule type="containsText" dxfId="2" priority="6653" operator="containsText" text="Yes">
      <formula>NOT(ISERROR(SEARCH(("Yes"),(P742))))</formula>
    </cfRule>
  </conditionalFormatting>
  <conditionalFormatting sqref="P742">
    <cfRule type="containsText" dxfId="9" priority="6654" operator="containsText" text="No">
      <formula>NOT(ISERROR(SEARCH(("No"),(P742))))</formula>
    </cfRule>
  </conditionalFormatting>
  <conditionalFormatting sqref="P742">
    <cfRule type="containsText" dxfId="2" priority="6655" operator="containsText" text="Yes">
      <formula>NOT(ISERROR(SEARCH(("Yes"),(P742))))</formula>
    </cfRule>
  </conditionalFormatting>
  <conditionalFormatting sqref="P742">
    <cfRule type="containsText" dxfId="9" priority="6656" operator="containsText" text="No">
      <formula>NOT(ISERROR(SEARCH(("No"),(P742))))</formula>
    </cfRule>
  </conditionalFormatting>
  <conditionalFormatting sqref="P742">
    <cfRule type="containsText" dxfId="2" priority="6657" operator="containsText" text="Yes">
      <formula>NOT(ISERROR(SEARCH(("Yes"),(P742))))</formula>
    </cfRule>
  </conditionalFormatting>
  <conditionalFormatting sqref="P742">
    <cfRule type="containsText" dxfId="9" priority="6658" operator="containsText" text="No">
      <formula>NOT(ISERROR(SEARCH(("No"),(P742))))</formula>
    </cfRule>
  </conditionalFormatting>
  <conditionalFormatting sqref="P742">
    <cfRule type="containsText" dxfId="2" priority="6659" operator="containsText" text="Yes">
      <formula>NOT(ISERROR(SEARCH(("Yes"),(P742))))</formula>
    </cfRule>
  </conditionalFormatting>
  <conditionalFormatting sqref="P742">
    <cfRule type="containsText" dxfId="9" priority="6660" operator="containsText" text="No">
      <formula>NOT(ISERROR(SEARCH(("No"),(P742))))</formula>
    </cfRule>
  </conditionalFormatting>
  <conditionalFormatting sqref="P742">
    <cfRule type="containsText" dxfId="2" priority="6661" operator="containsText" text="Yes">
      <formula>NOT(ISERROR(SEARCH(("Yes"),(P742))))</formula>
    </cfRule>
  </conditionalFormatting>
  <conditionalFormatting sqref="P742">
    <cfRule type="containsText" dxfId="9" priority="6662" operator="containsText" text="No">
      <formula>NOT(ISERROR(SEARCH(("No"),(P742))))</formula>
    </cfRule>
  </conditionalFormatting>
  <conditionalFormatting sqref="P742">
    <cfRule type="containsText" dxfId="2" priority="6663" operator="containsText" text="Yes">
      <formula>NOT(ISERROR(SEARCH(("Yes"),(P742))))</formula>
    </cfRule>
  </conditionalFormatting>
  <conditionalFormatting sqref="P742">
    <cfRule type="containsText" dxfId="9" priority="6664" operator="containsText" text="No">
      <formula>NOT(ISERROR(SEARCH(("No"),(P742))))</formula>
    </cfRule>
  </conditionalFormatting>
  <conditionalFormatting sqref="P742">
    <cfRule type="containsText" dxfId="2" priority="6665" operator="containsText" text="Yes">
      <formula>NOT(ISERROR(SEARCH(("Yes"),(P742))))</formula>
    </cfRule>
  </conditionalFormatting>
  <conditionalFormatting sqref="P742">
    <cfRule type="containsText" dxfId="9" priority="6666" operator="containsText" text="No">
      <formula>NOT(ISERROR(SEARCH(("No"),(P742))))</formula>
    </cfRule>
  </conditionalFormatting>
  <conditionalFormatting sqref="P742">
    <cfRule type="containsText" dxfId="2" priority="6667" operator="containsText" text="Yes">
      <formula>NOT(ISERROR(SEARCH(("Yes"),(P742))))</formula>
    </cfRule>
  </conditionalFormatting>
  <conditionalFormatting sqref="P742">
    <cfRule type="containsText" dxfId="9" priority="6668" operator="containsText" text="No">
      <formula>NOT(ISERROR(SEARCH(("No"),(P742))))</formula>
    </cfRule>
  </conditionalFormatting>
  <conditionalFormatting sqref="P742">
    <cfRule type="containsText" dxfId="2" priority="6669" operator="containsText" text="Yes">
      <formula>NOT(ISERROR(SEARCH(("Yes"),(P742))))</formula>
    </cfRule>
  </conditionalFormatting>
  <conditionalFormatting sqref="P742">
    <cfRule type="containsText" dxfId="9" priority="6670" operator="containsText" text="No">
      <formula>NOT(ISERROR(SEARCH(("No"),(P742))))</formula>
    </cfRule>
  </conditionalFormatting>
  <conditionalFormatting sqref="P742">
    <cfRule type="containsText" dxfId="2" priority="6671" operator="containsText" text="Yes">
      <formula>NOT(ISERROR(SEARCH(("Yes"),(P742))))</formula>
    </cfRule>
  </conditionalFormatting>
  <conditionalFormatting sqref="P742">
    <cfRule type="containsText" dxfId="9" priority="6672" operator="containsText" text="No">
      <formula>NOT(ISERROR(SEARCH(("No"),(P742))))</formula>
    </cfRule>
  </conditionalFormatting>
  <conditionalFormatting sqref="P742">
    <cfRule type="containsText" dxfId="2" priority="6673" operator="containsText" text="Yes">
      <formula>NOT(ISERROR(SEARCH(("Yes"),(P742))))</formula>
    </cfRule>
  </conditionalFormatting>
  <conditionalFormatting sqref="P742">
    <cfRule type="containsText" dxfId="9" priority="6674" operator="containsText" text="No">
      <formula>NOT(ISERROR(SEARCH(("No"),(P742))))</formula>
    </cfRule>
  </conditionalFormatting>
  <conditionalFormatting sqref="P742">
    <cfRule type="containsText" dxfId="2" priority="6675" operator="containsText" text="Yes">
      <formula>NOT(ISERROR(SEARCH(("Yes"),(P742))))</formula>
    </cfRule>
  </conditionalFormatting>
  <conditionalFormatting sqref="P742">
    <cfRule type="containsText" dxfId="9" priority="6676" operator="containsText" text="No">
      <formula>NOT(ISERROR(SEARCH(("No"),(P742))))</formula>
    </cfRule>
  </conditionalFormatting>
  <conditionalFormatting sqref="P742">
    <cfRule type="containsText" dxfId="2" priority="6677" operator="containsText" text="Yes">
      <formula>NOT(ISERROR(SEARCH(("Yes"),(P742))))</formula>
    </cfRule>
  </conditionalFormatting>
  <conditionalFormatting sqref="P742">
    <cfRule type="containsText" dxfId="9" priority="6678" operator="containsText" text="No">
      <formula>NOT(ISERROR(SEARCH(("No"),(P742))))</formula>
    </cfRule>
  </conditionalFormatting>
  <conditionalFormatting sqref="P742">
    <cfRule type="containsText" dxfId="2" priority="6679" operator="containsText" text="Yes">
      <formula>NOT(ISERROR(SEARCH(("Yes"),(P742))))</formula>
    </cfRule>
  </conditionalFormatting>
  <conditionalFormatting sqref="P742">
    <cfRule type="containsText" dxfId="9" priority="6680" operator="containsText" text="No">
      <formula>NOT(ISERROR(SEARCH(("No"),(P742))))</formula>
    </cfRule>
  </conditionalFormatting>
  <conditionalFormatting sqref="P742">
    <cfRule type="containsText" dxfId="2" priority="6681" operator="containsText" text="Yes">
      <formula>NOT(ISERROR(SEARCH(("Yes"),(P742))))</formula>
    </cfRule>
  </conditionalFormatting>
  <conditionalFormatting sqref="P742">
    <cfRule type="containsText" dxfId="9" priority="6682" operator="containsText" text="No">
      <formula>NOT(ISERROR(SEARCH(("No"),(P742))))</formula>
    </cfRule>
  </conditionalFormatting>
  <conditionalFormatting sqref="P742">
    <cfRule type="containsText" dxfId="2" priority="6683" operator="containsText" text="Yes">
      <formula>NOT(ISERROR(SEARCH(("Yes"),(P742))))</formula>
    </cfRule>
  </conditionalFormatting>
  <conditionalFormatting sqref="P742">
    <cfRule type="containsText" dxfId="9" priority="6684" operator="containsText" text="No">
      <formula>NOT(ISERROR(SEARCH(("No"),(P742))))</formula>
    </cfRule>
  </conditionalFormatting>
  <conditionalFormatting sqref="P742">
    <cfRule type="containsText" dxfId="2" priority="6685" operator="containsText" text="Yes">
      <formula>NOT(ISERROR(SEARCH(("Yes"),(P742))))</formula>
    </cfRule>
  </conditionalFormatting>
  <conditionalFormatting sqref="P742">
    <cfRule type="containsText" dxfId="9" priority="6686" operator="containsText" text="No">
      <formula>NOT(ISERROR(SEARCH(("No"),(P742))))</formula>
    </cfRule>
  </conditionalFormatting>
  <conditionalFormatting sqref="P742">
    <cfRule type="containsText" dxfId="2" priority="6687" operator="containsText" text="Yes">
      <formula>NOT(ISERROR(SEARCH(("Yes"),(P742))))</formula>
    </cfRule>
  </conditionalFormatting>
  <conditionalFormatting sqref="P742">
    <cfRule type="containsText" dxfId="9" priority="6688" operator="containsText" text="No">
      <formula>NOT(ISERROR(SEARCH(("No"),(P742))))</formula>
    </cfRule>
  </conditionalFormatting>
  <conditionalFormatting sqref="P742">
    <cfRule type="containsText" dxfId="2" priority="6689" operator="containsText" text="Yes">
      <formula>NOT(ISERROR(SEARCH(("Yes"),(P742))))</formula>
    </cfRule>
  </conditionalFormatting>
  <conditionalFormatting sqref="P742">
    <cfRule type="containsText" dxfId="9" priority="6690" operator="containsText" text="No">
      <formula>NOT(ISERROR(SEARCH(("No"),(P742))))</formula>
    </cfRule>
  </conditionalFormatting>
  <conditionalFormatting sqref="P742">
    <cfRule type="containsText" dxfId="2" priority="6691" operator="containsText" text="Yes">
      <formula>NOT(ISERROR(SEARCH(("Yes"),(P742))))</formula>
    </cfRule>
  </conditionalFormatting>
  <conditionalFormatting sqref="P742">
    <cfRule type="containsText" dxfId="9" priority="6692" operator="containsText" text="No">
      <formula>NOT(ISERROR(SEARCH(("No"),(P742))))</formula>
    </cfRule>
  </conditionalFormatting>
  <conditionalFormatting sqref="P742">
    <cfRule type="containsText" dxfId="2" priority="6693" operator="containsText" text="Yes">
      <formula>NOT(ISERROR(SEARCH(("Yes"),(P742))))</formula>
    </cfRule>
  </conditionalFormatting>
  <conditionalFormatting sqref="P742">
    <cfRule type="containsText" dxfId="9" priority="6694" operator="containsText" text="No">
      <formula>NOT(ISERROR(SEARCH(("No"),(P742))))</formula>
    </cfRule>
  </conditionalFormatting>
  <conditionalFormatting sqref="P742">
    <cfRule type="containsText" dxfId="2" priority="6695" operator="containsText" text="Yes">
      <formula>NOT(ISERROR(SEARCH(("Yes"),(P742))))</formula>
    </cfRule>
  </conditionalFormatting>
  <conditionalFormatting sqref="P742">
    <cfRule type="containsText" dxfId="9" priority="6696" operator="containsText" text="No">
      <formula>NOT(ISERROR(SEARCH(("No"),(P742))))</formula>
    </cfRule>
  </conditionalFormatting>
  <conditionalFormatting sqref="P742">
    <cfRule type="containsText" dxfId="2" priority="6697" operator="containsText" text="Yes">
      <formula>NOT(ISERROR(SEARCH(("Yes"),(P742))))</formula>
    </cfRule>
  </conditionalFormatting>
  <conditionalFormatting sqref="P742">
    <cfRule type="containsText" dxfId="9" priority="6698" operator="containsText" text="No">
      <formula>NOT(ISERROR(SEARCH(("No"),(P742))))</formula>
    </cfRule>
  </conditionalFormatting>
  <conditionalFormatting sqref="P742">
    <cfRule type="containsText" dxfId="2" priority="6699" operator="containsText" text="Yes">
      <formula>NOT(ISERROR(SEARCH(("Yes"),(P742))))</formula>
    </cfRule>
  </conditionalFormatting>
  <conditionalFormatting sqref="P742">
    <cfRule type="containsText" dxfId="9" priority="6700" operator="containsText" text="No">
      <formula>NOT(ISERROR(SEARCH(("No"),(P742))))</formula>
    </cfRule>
  </conditionalFormatting>
  <conditionalFormatting sqref="P742">
    <cfRule type="containsText" dxfId="2" priority="6701" operator="containsText" text="Yes">
      <formula>NOT(ISERROR(SEARCH(("Yes"),(P742))))</formula>
    </cfRule>
  </conditionalFormatting>
  <conditionalFormatting sqref="P742">
    <cfRule type="containsText" dxfId="9" priority="6702" operator="containsText" text="No">
      <formula>NOT(ISERROR(SEARCH(("No"),(P742))))</formula>
    </cfRule>
  </conditionalFormatting>
  <conditionalFormatting sqref="P742">
    <cfRule type="containsText" dxfId="2" priority="6703" operator="containsText" text="Yes">
      <formula>NOT(ISERROR(SEARCH(("Yes"),(P742))))</formula>
    </cfRule>
  </conditionalFormatting>
  <conditionalFormatting sqref="P742">
    <cfRule type="containsText" dxfId="9" priority="6704" operator="containsText" text="No">
      <formula>NOT(ISERROR(SEARCH(("No"),(P742))))</formula>
    </cfRule>
  </conditionalFormatting>
  <conditionalFormatting sqref="P742">
    <cfRule type="containsText" dxfId="2" priority="6705" operator="containsText" text="Yes">
      <formula>NOT(ISERROR(SEARCH(("Yes"),(P742))))</formula>
    </cfRule>
  </conditionalFormatting>
  <conditionalFormatting sqref="P742">
    <cfRule type="containsText" dxfId="9" priority="6706" operator="containsText" text="No">
      <formula>NOT(ISERROR(SEARCH(("No"),(P742))))</formula>
    </cfRule>
  </conditionalFormatting>
  <conditionalFormatting sqref="P742">
    <cfRule type="containsText" dxfId="2" priority="6707" operator="containsText" text="Yes">
      <formula>NOT(ISERROR(SEARCH(("Yes"),(P742))))</formula>
    </cfRule>
  </conditionalFormatting>
  <conditionalFormatting sqref="P742">
    <cfRule type="containsText" dxfId="9" priority="6708" operator="containsText" text="No">
      <formula>NOT(ISERROR(SEARCH(("No"),(P742))))</formula>
    </cfRule>
  </conditionalFormatting>
  <conditionalFormatting sqref="P742">
    <cfRule type="containsText" dxfId="2" priority="6709" operator="containsText" text="Yes">
      <formula>NOT(ISERROR(SEARCH(("Yes"),(P742))))</formula>
    </cfRule>
  </conditionalFormatting>
  <conditionalFormatting sqref="P742">
    <cfRule type="containsText" dxfId="9" priority="6710" operator="containsText" text="No">
      <formula>NOT(ISERROR(SEARCH(("No"),(P742))))</formula>
    </cfRule>
  </conditionalFormatting>
  <conditionalFormatting sqref="P742">
    <cfRule type="containsText" dxfId="2" priority="6711" operator="containsText" text="Yes">
      <formula>NOT(ISERROR(SEARCH(("Yes"),(P742))))</formula>
    </cfRule>
  </conditionalFormatting>
  <conditionalFormatting sqref="P742">
    <cfRule type="containsText" dxfId="9" priority="6712" operator="containsText" text="No">
      <formula>NOT(ISERROR(SEARCH(("No"),(P742))))</formula>
    </cfRule>
  </conditionalFormatting>
  <conditionalFormatting sqref="P742">
    <cfRule type="containsText" dxfId="2" priority="6713" operator="containsText" text="Yes">
      <formula>NOT(ISERROR(SEARCH(("Yes"),(P742))))</formula>
    </cfRule>
  </conditionalFormatting>
  <conditionalFormatting sqref="P742">
    <cfRule type="containsText" dxfId="9" priority="6714" operator="containsText" text="No">
      <formula>NOT(ISERROR(SEARCH(("No"),(P742))))</formula>
    </cfRule>
  </conditionalFormatting>
  <conditionalFormatting sqref="P742">
    <cfRule type="containsText" dxfId="2" priority="6715" operator="containsText" text="Yes">
      <formula>NOT(ISERROR(SEARCH(("Yes"),(P742))))</formula>
    </cfRule>
  </conditionalFormatting>
  <conditionalFormatting sqref="P742">
    <cfRule type="containsText" dxfId="9" priority="6716" operator="containsText" text="No">
      <formula>NOT(ISERROR(SEARCH(("No"),(P742))))</formula>
    </cfRule>
  </conditionalFormatting>
  <conditionalFormatting sqref="P742">
    <cfRule type="containsText" dxfId="2" priority="6717" operator="containsText" text="Yes">
      <formula>NOT(ISERROR(SEARCH(("Yes"),(P742))))</formula>
    </cfRule>
  </conditionalFormatting>
  <conditionalFormatting sqref="P742">
    <cfRule type="containsText" dxfId="2" priority="6718" operator="containsText" text="Yes">
      <formula>NOT(ISERROR(SEARCH(("Yes"),(P742))))</formula>
    </cfRule>
  </conditionalFormatting>
  <conditionalFormatting sqref="P742">
    <cfRule type="containsText" dxfId="9" priority="6719" operator="containsText" text="No">
      <formula>NOT(ISERROR(SEARCH(("No"),(P742))))</formula>
    </cfRule>
  </conditionalFormatting>
  <conditionalFormatting sqref="P742">
    <cfRule type="containsText" dxfId="2" priority="6720" operator="containsText" text="Yes">
      <formula>NOT(ISERROR(SEARCH(("Yes"),(P742))))</formula>
    </cfRule>
  </conditionalFormatting>
  <conditionalFormatting sqref="P743:P758">
    <cfRule type="containsText" dxfId="2" priority="6721" operator="containsText" text="Yes">
      <formula>NOT(ISERROR(SEARCH(("Yes"),(P743))))</formula>
    </cfRule>
  </conditionalFormatting>
  <conditionalFormatting sqref="P743:P758">
    <cfRule type="containsText" dxfId="9" priority="6722" operator="containsText" text="No">
      <formula>NOT(ISERROR(SEARCH(("No"),(P743))))</formula>
    </cfRule>
  </conditionalFormatting>
  <conditionalFormatting sqref="P743:P758">
    <cfRule type="containsText" dxfId="2" priority="6723" operator="containsText" text="Yes">
      <formula>NOT(ISERROR(SEARCH(("Yes"),(P743))))</formula>
    </cfRule>
  </conditionalFormatting>
  <conditionalFormatting sqref="P743:P758">
    <cfRule type="containsText" dxfId="9" priority="6724" operator="containsText" text="No">
      <formula>NOT(ISERROR(SEARCH(("No"),(P743))))</formula>
    </cfRule>
  </conditionalFormatting>
  <conditionalFormatting sqref="P743:P758">
    <cfRule type="containsText" dxfId="2" priority="6725" operator="containsText" text="Yes">
      <formula>NOT(ISERROR(SEARCH(("Yes"),(P743))))</formula>
    </cfRule>
  </conditionalFormatting>
  <conditionalFormatting sqref="P743:P758">
    <cfRule type="containsText" dxfId="9" priority="6726" operator="containsText" text="No">
      <formula>NOT(ISERROR(SEARCH(("No"),(P743))))</formula>
    </cfRule>
  </conditionalFormatting>
  <conditionalFormatting sqref="P743:P758">
    <cfRule type="containsText" dxfId="2" priority="6727" operator="containsText" text="Yes">
      <formula>NOT(ISERROR(SEARCH(("Yes"),(P743))))</formula>
    </cfRule>
  </conditionalFormatting>
  <conditionalFormatting sqref="P743:P758">
    <cfRule type="containsText" dxfId="9" priority="6728" operator="containsText" text="No">
      <formula>NOT(ISERROR(SEARCH(("No"),(P743))))</formula>
    </cfRule>
  </conditionalFormatting>
  <conditionalFormatting sqref="P743:P758">
    <cfRule type="containsText" dxfId="2" priority="6729" operator="containsText" text="Yes">
      <formula>NOT(ISERROR(SEARCH(("Yes"),(P743))))</formula>
    </cfRule>
  </conditionalFormatting>
  <conditionalFormatting sqref="P743:P758">
    <cfRule type="containsText" dxfId="9" priority="6730" operator="containsText" text="No">
      <formula>NOT(ISERROR(SEARCH(("No"),(P743))))</formula>
    </cfRule>
  </conditionalFormatting>
  <conditionalFormatting sqref="P743:P758">
    <cfRule type="containsText" dxfId="2" priority="6731" operator="containsText" text="Yes">
      <formula>NOT(ISERROR(SEARCH(("Yes"),(P743))))</formula>
    </cfRule>
  </conditionalFormatting>
  <conditionalFormatting sqref="P743:P758">
    <cfRule type="containsText" dxfId="9" priority="6732" operator="containsText" text="No">
      <formula>NOT(ISERROR(SEARCH(("No"),(P743))))</formula>
    </cfRule>
  </conditionalFormatting>
  <conditionalFormatting sqref="P743:P758">
    <cfRule type="containsText" dxfId="2" priority="6733" operator="containsText" text="Yes">
      <formula>NOT(ISERROR(SEARCH(("Yes"),(P743))))</formula>
    </cfRule>
  </conditionalFormatting>
  <conditionalFormatting sqref="P743:P758">
    <cfRule type="containsText" dxfId="9" priority="6734" operator="containsText" text="No">
      <formula>NOT(ISERROR(SEARCH(("No"),(P743))))</formula>
    </cfRule>
  </conditionalFormatting>
  <conditionalFormatting sqref="P743:P758">
    <cfRule type="containsText" dxfId="2" priority="6735" operator="containsText" text="Yes">
      <formula>NOT(ISERROR(SEARCH(("Yes"),(P743))))</formula>
    </cfRule>
  </conditionalFormatting>
  <conditionalFormatting sqref="P743:P758">
    <cfRule type="containsText" dxfId="9" priority="6736" operator="containsText" text="No">
      <formula>NOT(ISERROR(SEARCH(("No"),(P743))))</formula>
    </cfRule>
  </conditionalFormatting>
  <conditionalFormatting sqref="P743:P758">
    <cfRule type="containsText" dxfId="2" priority="6737" operator="containsText" text="Yes">
      <formula>NOT(ISERROR(SEARCH(("Yes"),(P743))))</formula>
    </cfRule>
  </conditionalFormatting>
  <conditionalFormatting sqref="P743:P758">
    <cfRule type="containsText" dxfId="9" priority="6738" operator="containsText" text="No">
      <formula>NOT(ISERROR(SEARCH(("No"),(P743))))</formula>
    </cfRule>
  </conditionalFormatting>
  <conditionalFormatting sqref="P743:P758">
    <cfRule type="containsText" dxfId="2" priority="6739" operator="containsText" text="Yes">
      <formula>NOT(ISERROR(SEARCH(("Yes"),(P743))))</formula>
    </cfRule>
  </conditionalFormatting>
  <conditionalFormatting sqref="P743:P758">
    <cfRule type="containsText" dxfId="9" priority="6740" operator="containsText" text="No">
      <formula>NOT(ISERROR(SEARCH(("No"),(P743))))</formula>
    </cfRule>
  </conditionalFormatting>
  <conditionalFormatting sqref="P743:P758">
    <cfRule type="containsText" dxfId="2" priority="6741" operator="containsText" text="Yes">
      <formula>NOT(ISERROR(SEARCH(("Yes"),(P743))))</formula>
    </cfRule>
  </conditionalFormatting>
  <conditionalFormatting sqref="P743:P758">
    <cfRule type="containsText" dxfId="9" priority="6742" operator="containsText" text="No">
      <formula>NOT(ISERROR(SEARCH(("No"),(P743))))</formula>
    </cfRule>
  </conditionalFormatting>
  <conditionalFormatting sqref="P743:P758">
    <cfRule type="containsText" dxfId="2" priority="6743" operator="containsText" text="Yes">
      <formula>NOT(ISERROR(SEARCH(("Yes"),(P743))))</formula>
    </cfRule>
  </conditionalFormatting>
  <conditionalFormatting sqref="P743:P758">
    <cfRule type="containsText" dxfId="9" priority="6744" operator="containsText" text="No">
      <formula>NOT(ISERROR(SEARCH(("No"),(P743))))</formula>
    </cfRule>
  </conditionalFormatting>
  <conditionalFormatting sqref="P743:P758">
    <cfRule type="containsText" dxfId="2" priority="6745" operator="containsText" text="Yes">
      <formula>NOT(ISERROR(SEARCH(("Yes"),(P743))))</formula>
    </cfRule>
  </conditionalFormatting>
  <conditionalFormatting sqref="P743:P758">
    <cfRule type="containsText" dxfId="9" priority="6746" operator="containsText" text="No">
      <formula>NOT(ISERROR(SEARCH(("No"),(P743))))</formula>
    </cfRule>
  </conditionalFormatting>
  <conditionalFormatting sqref="P743:P758">
    <cfRule type="containsText" dxfId="2" priority="6747" operator="containsText" text="Yes">
      <formula>NOT(ISERROR(SEARCH(("Yes"),(P743))))</formula>
    </cfRule>
  </conditionalFormatting>
  <conditionalFormatting sqref="P743:P758">
    <cfRule type="containsText" dxfId="9" priority="6748" operator="containsText" text="No">
      <formula>NOT(ISERROR(SEARCH(("No"),(P743))))</formula>
    </cfRule>
  </conditionalFormatting>
  <conditionalFormatting sqref="P743:P758">
    <cfRule type="containsText" dxfId="2" priority="6749" operator="containsText" text="Yes">
      <formula>NOT(ISERROR(SEARCH(("Yes"),(P743))))</formula>
    </cfRule>
  </conditionalFormatting>
  <conditionalFormatting sqref="P743:P758">
    <cfRule type="containsText" dxfId="9" priority="6750" operator="containsText" text="No">
      <formula>NOT(ISERROR(SEARCH(("No"),(P743))))</formula>
    </cfRule>
  </conditionalFormatting>
  <conditionalFormatting sqref="P743:P758">
    <cfRule type="containsText" dxfId="2" priority="6751" operator="containsText" text="Yes">
      <formula>NOT(ISERROR(SEARCH(("Yes"),(P743))))</formula>
    </cfRule>
  </conditionalFormatting>
  <conditionalFormatting sqref="P743:P758">
    <cfRule type="containsText" dxfId="9" priority="6752" operator="containsText" text="No">
      <formula>NOT(ISERROR(SEARCH(("No"),(P743))))</formula>
    </cfRule>
  </conditionalFormatting>
  <conditionalFormatting sqref="P743:P758">
    <cfRule type="containsText" dxfId="2" priority="6753" operator="containsText" text="Yes">
      <formula>NOT(ISERROR(SEARCH(("Yes"),(P743))))</formula>
    </cfRule>
  </conditionalFormatting>
  <conditionalFormatting sqref="P743:P758">
    <cfRule type="containsText" dxfId="9" priority="6754" operator="containsText" text="No">
      <formula>NOT(ISERROR(SEARCH(("No"),(P743))))</formula>
    </cfRule>
  </conditionalFormatting>
  <conditionalFormatting sqref="P743:P758">
    <cfRule type="containsText" dxfId="2" priority="6755" operator="containsText" text="Yes">
      <formula>NOT(ISERROR(SEARCH(("Yes"),(P743))))</formula>
    </cfRule>
  </conditionalFormatting>
  <conditionalFormatting sqref="P743:P758">
    <cfRule type="containsText" dxfId="9" priority="6756" operator="containsText" text="No">
      <formula>NOT(ISERROR(SEARCH(("No"),(P743))))</formula>
    </cfRule>
  </conditionalFormatting>
  <conditionalFormatting sqref="P743:P758">
    <cfRule type="containsText" dxfId="2" priority="6757" operator="containsText" text="Yes">
      <formula>NOT(ISERROR(SEARCH(("Yes"),(P743))))</formula>
    </cfRule>
  </conditionalFormatting>
  <conditionalFormatting sqref="P743:P758">
    <cfRule type="containsText" dxfId="9" priority="6758" operator="containsText" text="No">
      <formula>NOT(ISERROR(SEARCH(("No"),(P743))))</formula>
    </cfRule>
  </conditionalFormatting>
  <conditionalFormatting sqref="P743:P758">
    <cfRule type="containsText" dxfId="2" priority="6759" operator="containsText" text="Yes">
      <formula>NOT(ISERROR(SEARCH(("Yes"),(P743))))</formula>
    </cfRule>
  </conditionalFormatting>
  <conditionalFormatting sqref="P743:P758">
    <cfRule type="containsText" dxfId="9" priority="6760" operator="containsText" text="No">
      <formula>NOT(ISERROR(SEARCH(("No"),(P743))))</formula>
    </cfRule>
  </conditionalFormatting>
  <conditionalFormatting sqref="P743:P758">
    <cfRule type="containsText" dxfId="2" priority="6761" operator="containsText" text="Yes">
      <formula>NOT(ISERROR(SEARCH(("Yes"),(P743))))</formula>
    </cfRule>
  </conditionalFormatting>
  <conditionalFormatting sqref="P743:P758">
    <cfRule type="containsText" dxfId="9" priority="6762" operator="containsText" text="No">
      <formula>NOT(ISERROR(SEARCH(("No"),(P743))))</formula>
    </cfRule>
  </conditionalFormatting>
  <conditionalFormatting sqref="P743:P758">
    <cfRule type="containsText" dxfId="2" priority="6763" operator="containsText" text="Yes">
      <formula>NOT(ISERROR(SEARCH(("Yes"),(P743))))</formula>
    </cfRule>
  </conditionalFormatting>
  <conditionalFormatting sqref="P743:P758">
    <cfRule type="containsText" dxfId="9" priority="6764" operator="containsText" text="No">
      <formula>NOT(ISERROR(SEARCH(("No"),(P743))))</formula>
    </cfRule>
  </conditionalFormatting>
  <conditionalFormatting sqref="P743:P758">
    <cfRule type="containsText" dxfId="2" priority="6765" operator="containsText" text="Yes">
      <formula>NOT(ISERROR(SEARCH(("Yes"),(P743))))</formula>
    </cfRule>
  </conditionalFormatting>
  <conditionalFormatting sqref="P743:P758">
    <cfRule type="containsText" dxfId="9" priority="6766" operator="containsText" text="No">
      <formula>NOT(ISERROR(SEARCH(("No"),(P743))))</formula>
    </cfRule>
  </conditionalFormatting>
  <conditionalFormatting sqref="P743:P758">
    <cfRule type="containsText" dxfId="2" priority="6767" operator="containsText" text="Yes">
      <formula>NOT(ISERROR(SEARCH(("Yes"),(P743))))</formula>
    </cfRule>
  </conditionalFormatting>
  <conditionalFormatting sqref="P743:P758">
    <cfRule type="containsText" dxfId="9" priority="6768" operator="containsText" text="No">
      <formula>NOT(ISERROR(SEARCH(("No"),(P743))))</formula>
    </cfRule>
  </conditionalFormatting>
  <conditionalFormatting sqref="P743:P758">
    <cfRule type="containsText" dxfId="2" priority="6769" operator="containsText" text="Yes">
      <formula>NOT(ISERROR(SEARCH(("Yes"),(P743))))</formula>
    </cfRule>
  </conditionalFormatting>
  <conditionalFormatting sqref="P743:P758">
    <cfRule type="containsText" dxfId="9" priority="6770" operator="containsText" text="No">
      <formula>NOT(ISERROR(SEARCH(("No"),(P743))))</formula>
    </cfRule>
  </conditionalFormatting>
  <conditionalFormatting sqref="P743:P758">
    <cfRule type="containsText" dxfId="2" priority="6771" operator="containsText" text="Yes">
      <formula>NOT(ISERROR(SEARCH(("Yes"),(P743))))</formula>
    </cfRule>
  </conditionalFormatting>
  <conditionalFormatting sqref="P743:P758">
    <cfRule type="containsText" dxfId="9" priority="6772" operator="containsText" text="No">
      <formula>NOT(ISERROR(SEARCH(("No"),(P743))))</formula>
    </cfRule>
  </conditionalFormatting>
  <conditionalFormatting sqref="P743:P758">
    <cfRule type="containsText" dxfId="2" priority="6773" operator="containsText" text="Yes">
      <formula>NOT(ISERROR(SEARCH(("Yes"),(P743))))</formula>
    </cfRule>
  </conditionalFormatting>
  <conditionalFormatting sqref="P743:P758">
    <cfRule type="containsText" dxfId="9" priority="6774" operator="containsText" text="No">
      <formula>NOT(ISERROR(SEARCH(("No"),(P743))))</formula>
    </cfRule>
  </conditionalFormatting>
  <conditionalFormatting sqref="P743:P758">
    <cfRule type="containsText" dxfId="2" priority="6775" operator="containsText" text="Yes">
      <formula>NOT(ISERROR(SEARCH(("Yes"),(P743))))</formula>
    </cfRule>
  </conditionalFormatting>
  <conditionalFormatting sqref="P743:P758">
    <cfRule type="containsText" dxfId="9" priority="6776" operator="containsText" text="No">
      <formula>NOT(ISERROR(SEARCH(("No"),(P743))))</formula>
    </cfRule>
  </conditionalFormatting>
  <conditionalFormatting sqref="P743:P758">
    <cfRule type="containsText" dxfId="2" priority="6777" operator="containsText" text="Yes">
      <formula>NOT(ISERROR(SEARCH(("Yes"),(P743))))</formula>
    </cfRule>
  </conditionalFormatting>
  <conditionalFormatting sqref="P743:P758">
    <cfRule type="containsText" dxfId="9" priority="6778" operator="containsText" text="No">
      <formula>NOT(ISERROR(SEARCH(("No"),(P743))))</formula>
    </cfRule>
  </conditionalFormatting>
  <conditionalFormatting sqref="P743:P758">
    <cfRule type="containsText" dxfId="2" priority="6779" operator="containsText" text="Yes">
      <formula>NOT(ISERROR(SEARCH(("Yes"),(P743))))</formula>
    </cfRule>
  </conditionalFormatting>
  <conditionalFormatting sqref="P743:P758">
    <cfRule type="containsText" dxfId="9" priority="6780" operator="containsText" text="No">
      <formula>NOT(ISERROR(SEARCH(("No"),(P743))))</formula>
    </cfRule>
  </conditionalFormatting>
  <conditionalFormatting sqref="P743:P758">
    <cfRule type="containsText" dxfId="2" priority="6781" operator="containsText" text="Yes">
      <formula>NOT(ISERROR(SEARCH(("Yes"),(P743))))</formula>
    </cfRule>
  </conditionalFormatting>
  <conditionalFormatting sqref="P743:P758">
    <cfRule type="containsText" dxfId="9" priority="6782" operator="containsText" text="No">
      <formula>NOT(ISERROR(SEARCH(("No"),(P743))))</formula>
    </cfRule>
  </conditionalFormatting>
  <conditionalFormatting sqref="P743:P758">
    <cfRule type="containsText" dxfId="2" priority="6783" operator="containsText" text="Yes">
      <formula>NOT(ISERROR(SEARCH(("Yes"),(P743))))</formula>
    </cfRule>
  </conditionalFormatting>
  <conditionalFormatting sqref="P743:P758">
    <cfRule type="containsText" dxfId="9" priority="6784" operator="containsText" text="No">
      <formula>NOT(ISERROR(SEARCH(("No"),(P743))))</formula>
    </cfRule>
  </conditionalFormatting>
  <conditionalFormatting sqref="P743:P758">
    <cfRule type="containsText" dxfId="2" priority="6785" operator="containsText" text="Yes">
      <formula>NOT(ISERROR(SEARCH(("Yes"),(P743))))</formula>
    </cfRule>
  </conditionalFormatting>
  <conditionalFormatting sqref="P743:P758">
    <cfRule type="containsText" dxfId="9" priority="6786" operator="containsText" text="No">
      <formula>NOT(ISERROR(SEARCH(("No"),(P743))))</formula>
    </cfRule>
  </conditionalFormatting>
  <conditionalFormatting sqref="P743:P758">
    <cfRule type="containsText" dxfId="2" priority="6787" operator="containsText" text="Yes">
      <formula>NOT(ISERROR(SEARCH(("Yes"),(P743))))</formula>
    </cfRule>
  </conditionalFormatting>
  <conditionalFormatting sqref="P743:P758">
    <cfRule type="containsText" dxfId="9" priority="6788" operator="containsText" text="No">
      <formula>NOT(ISERROR(SEARCH(("No"),(P743))))</formula>
    </cfRule>
  </conditionalFormatting>
  <conditionalFormatting sqref="P743:P758">
    <cfRule type="containsText" dxfId="2" priority="6789" operator="containsText" text="Yes">
      <formula>NOT(ISERROR(SEARCH(("Yes"),(P743))))</formula>
    </cfRule>
  </conditionalFormatting>
  <conditionalFormatting sqref="P743:P758">
    <cfRule type="containsText" dxfId="9" priority="6790" operator="containsText" text="No">
      <formula>NOT(ISERROR(SEARCH(("No"),(P743))))</formula>
    </cfRule>
  </conditionalFormatting>
  <conditionalFormatting sqref="P743:P758">
    <cfRule type="containsText" dxfId="2" priority="6791" operator="containsText" text="Yes">
      <formula>NOT(ISERROR(SEARCH(("Yes"),(P743))))</formula>
    </cfRule>
  </conditionalFormatting>
  <conditionalFormatting sqref="P743:P758">
    <cfRule type="containsText" dxfId="9" priority="6792" operator="containsText" text="No">
      <formula>NOT(ISERROR(SEARCH(("No"),(P743))))</formula>
    </cfRule>
  </conditionalFormatting>
  <conditionalFormatting sqref="P743:P758">
    <cfRule type="containsText" dxfId="2" priority="6793" operator="containsText" text="Yes">
      <formula>NOT(ISERROR(SEARCH(("Yes"),(P743))))</formula>
    </cfRule>
  </conditionalFormatting>
  <conditionalFormatting sqref="P743:P758">
    <cfRule type="containsText" dxfId="9" priority="6794" operator="containsText" text="No">
      <formula>NOT(ISERROR(SEARCH(("No"),(P743))))</formula>
    </cfRule>
  </conditionalFormatting>
  <conditionalFormatting sqref="P743:P758">
    <cfRule type="containsText" dxfId="2" priority="6795" operator="containsText" text="Yes">
      <formula>NOT(ISERROR(SEARCH(("Yes"),(P743))))</formula>
    </cfRule>
  </conditionalFormatting>
  <conditionalFormatting sqref="P743:P758">
    <cfRule type="containsText" dxfId="9" priority="6796" operator="containsText" text="No">
      <formula>NOT(ISERROR(SEARCH(("No"),(P743))))</formula>
    </cfRule>
  </conditionalFormatting>
  <conditionalFormatting sqref="P743:P758">
    <cfRule type="containsText" dxfId="2" priority="6797" operator="containsText" text="Yes">
      <formula>NOT(ISERROR(SEARCH(("Yes"),(P743))))</formula>
    </cfRule>
  </conditionalFormatting>
  <conditionalFormatting sqref="P743:P758">
    <cfRule type="containsText" dxfId="9" priority="6798" operator="containsText" text="No">
      <formula>NOT(ISERROR(SEARCH(("No"),(P743))))</formula>
    </cfRule>
  </conditionalFormatting>
  <conditionalFormatting sqref="P743:P758">
    <cfRule type="containsText" dxfId="2" priority="6799" operator="containsText" text="Yes">
      <formula>NOT(ISERROR(SEARCH(("Yes"),(P743))))</formula>
    </cfRule>
  </conditionalFormatting>
  <conditionalFormatting sqref="P743:P758">
    <cfRule type="containsText" dxfId="9" priority="6800" operator="containsText" text="No">
      <formula>NOT(ISERROR(SEARCH(("No"),(P743))))</formula>
    </cfRule>
  </conditionalFormatting>
  <conditionalFormatting sqref="P743:P758">
    <cfRule type="containsText" dxfId="2" priority="6801" operator="containsText" text="Yes">
      <formula>NOT(ISERROR(SEARCH(("Yes"),(P743))))</formula>
    </cfRule>
  </conditionalFormatting>
  <conditionalFormatting sqref="P743:P758">
    <cfRule type="containsText" dxfId="9" priority="6802" operator="containsText" text="No">
      <formula>NOT(ISERROR(SEARCH(("No"),(P743))))</formula>
    </cfRule>
  </conditionalFormatting>
  <conditionalFormatting sqref="P743:P758">
    <cfRule type="containsText" dxfId="2" priority="6803" operator="containsText" text="Yes">
      <formula>NOT(ISERROR(SEARCH(("Yes"),(P743))))</formula>
    </cfRule>
  </conditionalFormatting>
  <conditionalFormatting sqref="P743:P758">
    <cfRule type="containsText" dxfId="9" priority="6804" operator="containsText" text="No">
      <formula>NOT(ISERROR(SEARCH(("No"),(P743))))</formula>
    </cfRule>
  </conditionalFormatting>
  <conditionalFormatting sqref="P743:P758">
    <cfRule type="containsText" dxfId="2" priority="6805" operator="containsText" text="Yes">
      <formula>NOT(ISERROR(SEARCH(("Yes"),(P743))))</formula>
    </cfRule>
  </conditionalFormatting>
  <conditionalFormatting sqref="P743:P758">
    <cfRule type="containsText" dxfId="9" priority="6806" operator="containsText" text="No">
      <formula>NOT(ISERROR(SEARCH(("No"),(P743))))</formula>
    </cfRule>
  </conditionalFormatting>
  <conditionalFormatting sqref="P743:P758">
    <cfRule type="containsText" dxfId="2" priority="6807" operator="containsText" text="Yes">
      <formula>NOT(ISERROR(SEARCH(("Yes"),(P743))))</formula>
    </cfRule>
  </conditionalFormatting>
  <conditionalFormatting sqref="P743:P758">
    <cfRule type="containsText" dxfId="9" priority="6808" operator="containsText" text="No">
      <formula>NOT(ISERROR(SEARCH(("No"),(P743))))</formula>
    </cfRule>
  </conditionalFormatting>
  <conditionalFormatting sqref="P743:P758">
    <cfRule type="containsText" dxfId="2" priority="6809" operator="containsText" text="Yes">
      <formula>NOT(ISERROR(SEARCH(("Yes"),(P743))))</formula>
    </cfRule>
  </conditionalFormatting>
  <conditionalFormatting sqref="P743:P758">
    <cfRule type="containsText" dxfId="2" priority="6810" operator="containsText" text="Yes">
      <formula>NOT(ISERROR(SEARCH(("Yes"),(P743))))</formula>
    </cfRule>
  </conditionalFormatting>
  <conditionalFormatting sqref="P743:P758">
    <cfRule type="containsText" dxfId="9" priority="6811" operator="containsText" text="No">
      <formula>NOT(ISERROR(SEARCH(("No"),(P743))))</formula>
    </cfRule>
  </conditionalFormatting>
  <conditionalFormatting sqref="P743:P758">
    <cfRule type="containsText" dxfId="2" priority="6812" operator="containsText" text="Yes">
      <formula>NOT(ISERROR(SEARCH(("Yes"),(P743))))</formula>
    </cfRule>
  </conditionalFormatting>
  <conditionalFormatting sqref="P763:P769">
    <cfRule type="containsText" dxfId="2" priority="6813" operator="containsText" text="Yes">
      <formula>NOT(ISERROR(SEARCH(("Yes"),(P763))))</formula>
    </cfRule>
  </conditionalFormatting>
  <conditionalFormatting sqref="P763:P769">
    <cfRule type="containsText" dxfId="9" priority="6814" operator="containsText" text="No">
      <formula>NOT(ISERROR(SEARCH(("No"),(P763))))</formula>
    </cfRule>
  </conditionalFormatting>
  <conditionalFormatting sqref="P763:P769">
    <cfRule type="containsText" dxfId="2" priority="6815" operator="containsText" text="Yes">
      <formula>NOT(ISERROR(SEARCH(("Yes"),(P763))))</formula>
    </cfRule>
  </conditionalFormatting>
  <conditionalFormatting sqref="P763:P769">
    <cfRule type="containsText" dxfId="9" priority="6816" operator="containsText" text="No">
      <formula>NOT(ISERROR(SEARCH(("No"),(P763))))</formula>
    </cfRule>
  </conditionalFormatting>
  <conditionalFormatting sqref="P763:P769">
    <cfRule type="containsText" dxfId="2" priority="6817" operator="containsText" text="Yes">
      <formula>NOT(ISERROR(SEARCH(("Yes"),(P763))))</formula>
    </cfRule>
  </conditionalFormatting>
  <conditionalFormatting sqref="P763:P769">
    <cfRule type="containsText" dxfId="9" priority="6818" operator="containsText" text="No">
      <formula>NOT(ISERROR(SEARCH(("No"),(P763))))</formula>
    </cfRule>
  </conditionalFormatting>
  <conditionalFormatting sqref="P763:P769">
    <cfRule type="containsText" dxfId="2" priority="6819" operator="containsText" text="Yes">
      <formula>NOT(ISERROR(SEARCH(("Yes"),(P763))))</formula>
    </cfRule>
  </conditionalFormatting>
  <conditionalFormatting sqref="P763:P769">
    <cfRule type="containsText" dxfId="9" priority="6820" operator="containsText" text="No">
      <formula>NOT(ISERROR(SEARCH(("No"),(P763))))</formula>
    </cfRule>
  </conditionalFormatting>
  <conditionalFormatting sqref="P763:P769">
    <cfRule type="containsText" dxfId="2" priority="6821" operator="containsText" text="Yes">
      <formula>NOT(ISERROR(SEARCH(("Yes"),(P763))))</formula>
    </cfRule>
  </conditionalFormatting>
  <conditionalFormatting sqref="P763:P769">
    <cfRule type="containsText" dxfId="9" priority="6822" operator="containsText" text="No">
      <formula>NOT(ISERROR(SEARCH(("No"),(P763))))</formula>
    </cfRule>
  </conditionalFormatting>
  <conditionalFormatting sqref="P763:P769">
    <cfRule type="containsText" dxfId="2" priority="6823" operator="containsText" text="Yes">
      <formula>NOT(ISERROR(SEARCH(("Yes"),(P763))))</formula>
    </cfRule>
  </conditionalFormatting>
  <conditionalFormatting sqref="P763:P769">
    <cfRule type="containsText" dxfId="9" priority="6824" operator="containsText" text="No">
      <formula>NOT(ISERROR(SEARCH(("No"),(P763))))</formula>
    </cfRule>
  </conditionalFormatting>
  <conditionalFormatting sqref="P763:P769">
    <cfRule type="containsText" dxfId="2" priority="6825" operator="containsText" text="Yes">
      <formula>NOT(ISERROR(SEARCH(("Yes"),(P763))))</formula>
    </cfRule>
  </conditionalFormatting>
  <conditionalFormatting sqref="P763:P769">
    <cfRule type="containsText" dxfId="9" priority="6826" operator="containsText" text="No">
      <formula>NOT(ISERROR(SEARCH(("No"),(P763))))</formula>
    </cfRule>
  </conditionalFormatting>
  <conditionalFormatting sqref="P763:P769">
    <cfRule type="containsText" dxfId="2" priority="6827" operator="containsText" text="Yes">
      <formula>NOT(ISERROR(SEARCH(("Yes"),(P763))))</formula>
    </cfRule>
  </conditionalFormatting>
  <conditionalFormatting sqref="P763:P769">
    <cfRule type="containsText" dxfId="9" priority="6828" operator="containsText" text="No">
      <formula>NOT(ISERROR(SEARCH(("No"),(P763))))</formula>
    </cfRule>
  </conditionalFormatting>
  <conditionalFormatting sqref="P763:P769">
    <cfRule type="containsText" dxfId="2" priority="6829" operator="containsText" text="Yes">
      <formula>NOT(ISERROR(SEARCH(("Yes"),(P763))))</formula>
    </cfRule>
  </conditionalFormatting>
  <conditionalFormatting sqref="P763:P769">
    <cfRule type="containsText" dxfId="9" priority="6830" operator="containsText" text="No">
      <formula>NOT(ISERROR(SEARCH(("No"),(P763))))</formula>
    </cfRule>
  </conditionalFormatting>
  <conditionalFormatting sqref="P763:P769">
    <cfRule type="containsText" dxfId="2" priority="6831" operator="containsText" text="Yes">
      <formula>NOT(ISERROR(SEARCH(("Yes"),(P763))))</formula>
    </cfRule>
  </conditionalFormatting>
  <conditionalFormatting sqref="P763:P769">
    <cfRule type="containsText" dxfId="9" priority="6832" operator="containsText" text="No">
      <formula>NOT(ISERROR(SEARCH(("No"),(P763))))</formula>
    </cfRule>
  </conditionalFormatting>
  <conditionalFormatting sqref="P763:P769">
    <cfRule type="containsText" dxfId="2" priority="6833" operator="containsText" text="Yes">
      <formula>NOT(ISERROR(SEARCH(("Yes"),(P763))))</formula>
    </cfRule>
  </conditionalFormatting>
  <conditionalFormatting sqref="P763:P769">
    <cfRule type="containsText" dxfId="9" priority="6834" operator="containsText" text="No">
      <formula>NOT(ISERROR(SEARCH(("No"),(P763))))</formula>
    </cfRule>
  </conditionalFormatting>
  <conditionalFormatting sqref="P763:P769">
    <cfRule type="containsText" dxfId="2" priority="6835" operator="containsText" text="Yes">
      <formula>NOT(ISERROR(SEARCH(("Yes"),(P763))))</formula>
    </cfRule>
  </conditionalFormatting>
  <conditionalFormatting sqref="P763:P769">
    <cfRule type="containsText" dxfId="9" priority="6836" operator="containsText" text="No">
      <formula>NOT(ISERROR(SEARCH(("No"),(P763))))</formula>
    </cfRule>
  </conditionalFormatting>
  <conditionalFormatting sqref="P763:P769">
    <cfRule type="containsText" dxfId="2" priority="6837" operator="containsText" text="Yes">
      <formula>NOT(ISERROR(SEARCH(("Yes"),(P763))))</formula>
    </cfRule>
  </conditionalFormatting>
  <conditionalFormatting sqref="P763:P769">
    <cfRule type="containsText" dxfId="9" priority="6838" operator="containsText" text="No">
      <formula>NOT(ISERROR(SEARCH(("No"),(P763))))</formula>
    </cfRule>
  </conditionalFormatting>
  <conditionalFormatting sqref="P763:P769">
    <cfRule type="containsText" dxfId="2" priority="6839" operator="containsText" text="Yes">
      <formula>NOT(ISERROR(SEARCH(("Yes"),(P763))))</formula>
    </cfRule>
  </conditionalFormatting>
  <conditionalFormatting sqref="P763:P769">
    <cfRule type="containsText" dxfId="9" priority="6840" operator="containsText" text="No">
      <formula>NOT(ISERROR(SEARCH(("No"),(P763))))</formula>
    </cfRule>
  </conditionalFormatting>
  <conditionalFormatting sqref="P763:P769">
    <cfRule type="containsText" dxfId="2" priority="6841" operator="containsText" text="Yes">
      <formula>NOT(ISERROR(SEARCH(("Yes"),(P763))))</formula>
    </cfRule>
  </conditionalFormatting>
  <conditionalFormatting sqref="P763:P769">
    <cfRule type="containsText" dxfId="9" priority="6842" operator="containsText" text="No">
      <formula>NOT(ISERROR(SEARCH(("No"),(P763))))</formula>
    </cfRule>
  </conditionalFormatting>
  <conditionalFormatting sqref="P763:P769">
    <cfRule type="containsText" dxfId="2" priority="6843" operator="containsText" text="Yes">
      <formula>NOT(ISERROR(SEARCH(("Yes"),(P763))))</formula>
    </cfRule>
  </conditionalFormatting>
  <conditionalFormatting sqref="P763:P769">
    <cfRule type="containsText" dxfId="9" priority="6844" operator="containsText" text="No">
      <formula>NOT(ISERROR(SEARCH(("No"),(P763))))</formula>
    </cfRule>
  </conditionalFormatting>
  <conditionalFormatting sqref="P763:P769">
    <cfRule type="containsText" dxfId="2" priority="6845" operator="containsText" text="Yes">
      <formula>NOT(ISERROR(SEARCH(("Yes"),(P763))))</formula>
    </cfRule>
  </conditionalFormatting>
  <conditionalFormatting sqref="P763:P769">
    <cfRule type="containsText" dxfId="9" priority="6846" operator="containsText" text="No">
      <formula>NOT(ISERROR(SEARCH(("No"),(P763))))</formula>
    </cfRule>
  </conditionalFormatting>
  <conditionalFormatting sqref="P763:P769">
    <cfRule type="containsText" dxfId="2" priority="6847" operator="containsText" text="Yes">
      <formula>NOT(ISERROR(SEARCH(("Yes"),(P763))))</formula>
    </cfRule>
  </conditionalFormatting>
  <conditionalFormatting sqref="P763:P769">
    <cfRule type="containsText" dxfId="9" priority="6848" operator="containsText" text="No">
      <formula>NOT(ISERROR(SEARCH(("No"),(P763))))</formula>
    </cfRule>
  </conditionalFormatting>
  <conditionalFormatting sqref="P763:P769">
    <cfRule type="containsText" dxfId="2" priority="6849" operator="containsText" text="Yes">
      <formula>NOT(ISERROR(SEARCH(("Yes"),(P763))))</formula>
    </cfRule>
  </conditionalFormatting>
  <conditionalFormatting sqref="P763:P769">
    <cfRule type="containsText" dxfId="9" priority="6850" operator="containsText" text="No">
      <formula>NOT(ISERROR(SEARCH(("No"),(P763))))</formula>
    </cfRule>
  </conditionalFormatting>
  <conditionalFormatting sqref="P763:P769">
    <cfRule type="containsText" dxfId="2" priority="6851" operator="containsText" text="Yes">
      <formula>NOT(ISERROR(SEARCH(("Yes"),(P763))))</formula>
    </cfRule>
  </conditionalFormatting>
  <conditionalFormatting sqref="P763:P769">
    <cfRule type="containsText" dxfId="9" priority="6852" operator="containsText" text="No">
      <formula>NOT(ISERROR(SEARCH(("No"),(P763))))</formula>
    </cfRule>
  </conditionalFormatting>
  <conditionalFormatting sqref="P763:P769">
    <cfRule type="containsText" dxfId="2" priority="6853" operator="containsText" text="Yes">
      <formula>NOT(ISERROR(SEARCH(("Yes"),(P763))))</formula>
    </cfRule>
  </conditionalFormatting>
  <conditionalFormatting sqref="P763:P769">
    <cfRule type="containsText" dxfId="9" priority="6854" operator="containsText" text="No">
      <formula>NOT(ISERROR(SEARCH(("No"),(P763))))</formula>
    </cfRule>
  </conditionalFormatting>
  <conditionalFormatting sqref="P763:P769">
    <cfRule type="containsText" dxfId="2" priority="6855" operator="containsText" text="Yes">
      <formula>NOT(ISERROR(SEARCH(("Yes"),(P763))))</formula>
    </cfRule>
  </conditionalFormatting>
  <conditionalFormatting sqref="P763:P769">
    <cfRule type="containsText" dxfId="9" priority="6856" operator="containsText" text="No">
      <formula>NOT(ISERROR(SEARCH(("No"),(P763))))</formula>
    </cfRule>
  </conditionalFormatting>
  <conditionalFormatting sqref="P763:P769">
    <cfRule type="containsText" dxfId="2" priority="6857" operator="containsText" text="Yes">
      <formula>NOT(ISERROR(SEARCH(("Yes"),(P763))))</formula>
    </cfRule>
  </conditionalFormatting>
  <conditionalFormatting sqref="P763:P769">
    <cfRule type="containsText" dxfId="9" priority="6858" operator="containsText" text="No">
      <formula>NOT(ISERROR(SEARCH(("No"),(P763))))</formula>
    </cfRule>
  </conditionalFormatting>
  <conditionalFormatting sqref="P763:P769">
    <cfRule type="containsText" dxfId="2" priority="6859" operator="containsText" text="Yes">
      <formula>NOT(ISERROR(SEARCH(("Yes"),(P763))))</formula>
    </cfRule>
  </conditionalFormatting>
  <conditionalFormatting sqref="P763:P769">
    <cfRule type="containsText" dxfId="9" priority="6860" operator="containsText" text="No">
      <formula>NOT(ISERROR(SEARCH(("No"),(P763))))</formula>
    </cfRule>
  </conditionalFormatting>
  <conditionalFormatting sqref="P763:P769">
    <cfRule type="containsText" dxfId="2" priority="6861" operator="containsText" text="Yes">
      <formula>NOT(ISERROR(SEARCH(("Yes"),(P763))))</formula>
    </cfRule>
  </conditionalFormatting>
  <conditionalFormatting sqref="P763:P769">
    <cfRule type="containsText" dxfId="9" priority="6862" operator="containsText" text="No">
      <formula>NOT(ISERROR(SEARCH(("No"),(P763))))</formula>
    </cfRule>
  </conditionalFormatting>
  <conditionalFormatting sqref="P763:P769">
    <cfRule type="containsText" dxfId="2" priority="6863" operator="containsText" text="Yes">
      <formula>NOT(ISERROR(SEARCH(("Yes"),(P763))))</formula>
    </cfRule>
  </conditionalFormatting>
  <conditionalFormatting sqref="P763:P769">
    <cfRule type="containsText" dxfId="9" priority="6864" operator="containsText" text="No">
      <formula>NOT(ISERROR(SEARCH(("No"),(P763))))</formula>
    </cfRule>
  </conditionalFormatting>
  <conditionalFormatting sqref="P763:P769">
    <cfRule type="containsText" dxfId="2" priority="6865" operator="containsText" text="Yes">
      <formula>NOT(ISERROR(SEARCH(("Yes"),(P763))))</formula>
    </cfRule>
  </conditionalFormatting>
  <conditionalFormatting sqref="P763:P769">
    <cfRule type="containsText" dxfId="9" priority="6866" operator="containsText" text="No">
      <formula>NOT(ISERROR(SEARCH(("No"),(P763))))</formula>
    </cfRule>
  </conditionalFormatting>
  <conditionalFormatting sqref="P763:P769">
    <cfRule type="containsText" dxfId="2" priority="6867" operator="containsText" text="Yes">
      <formula>NOT(ISERROR(SEARCH(("Yes"),(P763))))</formula>
    </cfRule>
  </conditionalFormatting>
  <conditionalFormatting sqref="P763:P769">
    <cfRule type="containsText" dxfId="9" priority="6868" operator="containsText" text="No">
      <formula>NOT(ISERROR(SEARCH(("No"),(P763))))</formula>
    </cfRule>
  </conditionalFormatting>
  <conditionalFormatting sqref="P763:P769">
    <cfRule type="containsText" dxfId="2" priority="6869" operator="containsText" text="Yes">
      <formula>NOT(ISERROR(SEARCH(("Yes"),(P763))))</formula>
    </cfRule>
  </conditionalFormatting>
  <conditionalFormatting sqref="P763:P769">
    <cfRule type="containsText" dxfId="9" priority="6870" operator="containsText" text="No">
      <formula>NOT(ISERROR(SEARCH(("No"),(P763))))</formula>
    </cfRule>
  </conditionalFormatting>
  <conditionalFormatting sqref="P763:P769">
    <cfRule type="containsText" dxfId="2" priority="6871" operator="containsText" text="Yes">
      <formula>NOT(ISERROR(SEARCH(("Yes"),(P763))))</formula>
    </cfRule>
  </conditionalFormatting>
  <conditionalFormatting sqref="P763:P769">
    <cfRule type="containsText" dxfId="9" priority="6872" operator="containsText" text="No">
      <formula>NOT(ISERROR(SEARCH(("No"),(P763))))</formula>
    </cfRule>
  </conditionalFormatting>
  <conditionalFormatting sqref="P763:P769">
    <cfRule type="containsText" dxfId="2" priority="6873" operator="containsText" text="Yes">
      <formula>NOT(ISERROR(SEARCH(("Yes"),(P763))))</formula>
    </cfRule>
  </conditionalFormatting>
  <conditionalFormatting sqref="P763:P769">
    <cfRule type="containsText" dxfId="9" priority="6874" operator="containsText" text="No">
      <formula>NOT(ISERROR(SEARCH(("No"),(P763))))</formula>
    </cfRule>
  </conditionalFormatting>
  <conditionalFormatting sqref="P763:P769">
    <cfRule type="containsText" dxfId="2" priority="6875" operator="containsText" text="Yes">
      <formula>NOT(ISERROR(SEARCH(("Yes"),(P763))))</formula>
    </cfRule>
  </conditionalFormatting>
  <conditionalFormatting sqref="P763:P769">
    <cfRule type="containsText" dxfId="9" priority="6876" operator="containsText" text="No">
      <formula>NOT(ISERROR(SEARCH(("No"),(P763))))</formula>
    </cfRule>
  </conditionalFormatting>
  <conditionalFormatting sqref="P763:P769">
    <cfRule type="containsText" dxfId="2" priority="6877" operator="containsText" text="Yes">
      <formula>NOT(ISERROR(SEARCH(("Yes"),(P763))))</formula>
    </cfRule>
  </conditionalFormatting>
  <conditionalFormatting sqref="P763:P769">
    <cfRule type="containsText" dxfId="9" priority="6878" operator="containsText" text="No">
      <formula>NOT(ISERROR(SEARCH(("No"),(P763))))</formula>
    </cfRule>
  </conditionalFormatting>
  <conditionalFormatting sqref="P763:P769">
    <cfRule type="containsText" dxfId="2" priority="6879" operator="containsText" text="Yes">
      <formula>NOT(ISERROR(SEARCH(("Yes"),(P763))))</formula>
    </cfRule>
  </conditionalFormatting>
  <conditionalFormatting sqref="P763:P769">
    <cfRule type="containsText" dxfId="9" priority="6880" operator="containsText" text="No">
      <formula>NOT(ISERROR(SEARCH(("No"),(P763))))</formula>
    </cfRule>
  </conditionalFormatting>
  <conditionalFormatting sqref="P763:P769">
    <cfRule type="containsText" dxfId="2" priority="6881" operator="containsText" text="Yes">
      <formula>NOT(ISERROR(SEARCH(("Yes"),(P763))))</formula>
    </cfRule>
  </conditionalFormatting>
  <conditionalFormatting sqref="P763:P769">
    <cfRule type="containsText" dxfId="9" priority="6882" operator="containsText" text="No">
      <formula>NOT(ISERROR(SEARCH(("No"),(P763))))</formula>
    </cfRule>
  </conditionalFormatting>
  <conditionalFormatting sqref="P763:P769">
    <cfRule type="containsText" dxfId="2" priority="6883" operator="containsText" text="Yes">
      <formula>NOT(ISERROR(SEARCH(("Yes"),(P763))))</formula>
    </cfRule>
  </conditionalFormatting>
  <conditionalFormatting sqref="P763:P769">
    <cfRule type="containsText" dxfId="9" priority="6884" operator="containsText" text="No">
      <formula>NOT(ISERROR(SEARCH(("No"),(P763))))</formula>
    </cfRule>
  </conditionalFormatting>
  <conditionalFormatting sqref="P763:P769">
    <cfRule type="containsText" dxfId="2" priority="6885" operator="containsText" text="Yes">
      <formula>NOT(ISERROR(SEARCH(("Yes"),(P763))))</formula>
    </cfRule>
  </conditionalFormatting>
  <conditionalFormatting sqref="P763:P769">
    <cfRule type="containsText" dxfId="9" priority="6886" operator="containsText" text="No">
      <formula>NOT(ISERROR(SEARCH(("No"),(P763))))</formula>
    </cfRule>
  </conditionalFormatting>
  <conditionalFormatting sqref="P763:P769">
    <cfRule type="containsText" dxfId="2" priority="6887" operator="containsText" text="Yes">
      <formula>NOT(ISERROR(SEARCH(("Yes"),(P763))))</formula>
    </cfRule>
  </conditionalFormatting>
  <conditionalFormatting sqref="P763:P769">
    <cfRule type="containsText" dxfId="9" priority="6888" operator="containsText" text="No">
      <formula>NOT(ISERROR(SEARCH(("No"),(P763))))</formula>
    </cfRule>
  </conditionalFormatting>
  <conditionalFormatting sqref="P763:P769">
    <cfRule type="containsText" dxfId="2" priority="6889" operator="containsText" text="Yes">
      <formula>NOT(ISERROR(SEARCH(("Yes"),(P763))))</formula>
    </cfRule>
  </conditionalFormatting>
  <conditionalFormatting sqref="P763:P769">
    <cfRule type="containsText" dxfId="9" priority="6890" operator="containsText" text="No">
      <formula>NOT(ISERROR(SEARCH(("No"),(P763))))</formula>
    </cfRule>
  </conditionalFormatting>
  <conditionalFormatting sqref="P763:P769">
    <cfRule type="containsText" dxfId="2" priority="6891" operator="containsText" text="Yes">
      <formula>NOT(ISERROR(SEARCH(("Yes"),(P763))))</formula>
    </cfRule>
  </conditionalFormatting>
  <conditionalFormatting sqref="P763:P769">
    <cfRule type="containsText" dxfId="9" priority="6892" operator="containsText" text="No">
      <formula>NOT(ISERROR(SEARCH(("No"),(P763))))</formula>
    </cfRule>
  </conditionalFormatting>
  <conditionalFormatting sqref="P763:P769">
    <cfRule type="containsText" dxfId="2" priority="6893" operator="containsText" text="Yes">
      <formula>NOT(ISERROR(SEARCH(("Yes"),(P763))))</formula>
    </cfRule>
  </conditionalFormatting>
  <conditionalFormatting sqref="P763:P769">
    <cfRule type="containsText" dxfId="9" priority="6894" operator="containsText" text="No">
      <formula>NOT(ISERROR(SEARCH(("No"),(P763))))</formula>
    </cfRule>
  </conditionalFormatting>
  <conditionalFormatting sqref="P763:P769">
    <cfRule type="containsText" dxfId="2" priority="6895" operator="containsText" text="Yes">
      <formula>NOT(ISERROR(SEARCH(("Yes"),(P763))))</formula>
    </cfRule>
  </conditionalFormatting>
  <conditionalFormatting sqref="P763:P769">
    <cfRule type="containsText" dxfId="9" priority="6896" operator="containsText" text="No">
      <formula>NOT(ISERROR(SEARCH(("No"),(P763))))</formula>
    </cfRule>
  </conditionalFormatting>
  <conditionalFormatting sqref="P763:P769">
    <cfRule type="containsText" dxfId="2" priority="6897" operator="containsText" text="Yes">
      <formula>NOT(ISERROR(SEARCH(("Yes"),(P763))))</formula>
    </cfRule>
  </conditionalFormatting>
  <conditionalFormatting sqref="P763:P769">
    <cfRule type="containsText" dxfId="9" priority="6898" operator="containsText" text="No">
      <formula>NOT(ISERROR(SEARCH(("No"),(P763))))</formula>
    </cfRule>
  </conditionalFormatting>
  <conditionalFormatting sqref="P763:P769">
    <cfRule type="containsText" dxfId="2" priority="6899" operator="containsText" text="Yes">
      <formula>NOT(ISERROR(SEARCH(("Yes"),(P763))))</formula>
    </cfRule>
  </conditionalFormatting>
  <conditionalFormatting sqref="P763:P769">
    <cfRule type="containsText" dxfId="9" priority="6900" operator="containsText" text="No">
      <formula>NOT(ISERROR(SEARCH(("No"),(P763))))</formula>
    </cfRule>
  </conditionalFormatting>
  <conditionalFormatting sqref="P763:P769">
    <cfRule type="containsText" dxfId="2" priority="6901" operator="containsText" text="Yes">
      <formula>NOT(ISERROR(SEARCH(("Yes"),(P763))))</formula>
    </cfRule>
  </conditionalFormatting>
  <conditionalFormatting sqref="P763:P769">
    <cfRule type="containsText" dxfId="2" priority="6902" operator="containsText" text="Yes">
      <formula>NOT(ISERROR(SEARCH(("Yes"),(P763))))</formula>
    </cfRule>
  </conditionalFormatting>
  <conditionalFormatting sqref="P763:P769">
    <cfRule type="containsText" dxfId="9" priority="6903" operator="containsText" text="No">
      <formula>NOT(ISERROR(SEARCH(("No"),(P763))))</formula>
    </cfRule>
  </conditionalFormatting>
  <conditionalFormatting sqref="P763:P769">
    <cfRule type="containsText" dxfId="2" priority="6904" operator="containsText" text="Yes">
      <formula>NOT(ISERROR(SEARCH(("Yes"),(P763))))</formula>
    </cfRule>
  </conditionalFormatting>
  <conditionalFormatting sqref="P771:P772">
    <cfRule type="containsText" dxfId="2" priority="6905" operator="containsText" text="Yes">
      <formula>NOT(ISERROR(SEARCH(("Yes"),(P771))))</formula>
    </cfRule>
  </conditionalFormatting>
  <conditionalFormatting sqref="P771:P772">
    <cfRule type="containsText" dxfId="9" priority="6906" operator="containsText" text="No">
      <formula>NOT(ISERROR(SEARCH(("No"),(P771))))</formula>
    </cfRule>
  </conditionalFormatting>
  <conditionalFormatting sqref="P771:P772">
    <cfRule type="containsText" dxfId="2" priority="6907" operator="containsText" text="Yes">
      <formula>NOT(ISERROR(SEARCH(("Yes"),(P771))))</formula>
    </cfRule>
  </conditionalFormatting>
  <conditionalFormatting sqref="P771:P772">
    <cfRule type="containsText" dxfId="9" priority="6908" operator="containsText" text="No">
      <formula>NOT(ISERROR(SEARCH(("No"),(P771))))</formula>
    </cfRule>
  </conditionalFormatting>
  <conditionalFormatting sqref="P771:P772">
    <cfRule type="containsText" dxfId="2" priority="6909" operator="containsText" text="Yes">
      <formula>NOT(ISERROR(SEARCH(("Yes"),(P771))))</formula>
    </cfRule>
  </conditionalFormatting>
  <conditionalFormatting sqref="P771:P772">
    <cfRule type="containsText" dxfId="9" priority="6910" operator="containsText" text="No">
      <formula>NOT(ISERROR(SEARCH(("No"),(P771))))</formula>
    </cfRule>
  </conditionalFormatting>
  <conditionalFormatting sqref="P771:P772">
    <cfRule type="containsText" dxfId="2" priority="6911" operator="containsText" text="Yes">
      <formula>NOT(ISERROR(SEARCH(("Yes"),(P771))))</formula>
    </cfRule>
  </conditionalFormatting>
  <conditionalFormatting sqref="P771:P772">
    <cfRule type="containsText" dxfId="9" priority="6912" operator="containsText" text="No">
      <formula>NOT(ISERROR(SEARCH(("No"),(P771))))</formula>
    </cfRule>
  </conditionalFormatting>
  <conditionalFormatting sqref="P771:P772">
    <cfRule type="containsText" dxfId="2" priority="6913" operator="containsText" text="Yes">
      <formula>NOT(ISERROR(SEARCH(("Yes"),(P771))))</formula>
    </cfRule>
  </conditionalFormatting>
  <conditionalFormatting sqref="P771:P772">
    <cfRule type="containsText" dxfId="9" priority="6914" operator="containsText" text="No">
      <formula>NOT(ISERROR(SEARCH(("No"),(P771))))</formula>
    </cfRule>
  </conditionalFormatting>
  <conditionalFormatting sqref="P771:P772">
    <cfRule type="containsText" dxfId="2" priority="6915" operator="containsText" text="Yes">
      <formula>NOT(ISERROR(SEARCH(("Yes"),(P771))))</formula>
    </cfRule>
  </conditionalFormatting>
  <conditionalFormatting sqref="P771:P772">
    <cfRule type="containsText" dxfId="9" priority="6916" operator="containsText" text="No">
      <formula>NOT(ISERROR(SEARCH(("No"),(P771))))</formula>
    </cfRule>
  </conditionalFormatting>
  <conditionalFormatting sqref="P771:P772">
    <cfRule type="containsText" dxfId="2" priority="6917" operator="containsText" text="Yes">
      <formula>NOT(ISERROR(SEARCH(("Yes"),(P771))))</formula>
    </cfRule>
  </conditionalFormatting>
  <conditionalFormatting sqref="P771:P772">
    <cfRule type="containsText" dxfId="9" priority="6918" operator="containsText" text="No">
      <formula>NOT(ISERROR(SEARCH(("No"),(P771))))</formula>
    </cfRule>
  </conditionalFormatting>
  <conditionalFormatting sqref="P771:P772">
    <cfRule type="containsText" dxfId="2" priority="6919" operator="containsText" text="Yes">
      <formula>NOT(ISERROR(SEARCH(("Yes"),(P771))))</formula>
    </cfRule>
  </conditionalFormatting>
  <conditionalFormatting sqref="P771:P772">
    <cfRule type="containsText" dxfId="9" priority="6920" operator="containsText" text="No">
      <formula>NOT(ISERROR(SEARCH(("No"),(P771))))</formula>
    </cfRule>
  </conditionalFormatting>
  <conditionalFormatting sqref="P771:P772">
    <cfRule type="containsText" dxfId="2" priority="6921" operator="containsText" text="Yes">
      <formula>NOT(ISERROR(SEARCH(("Yes"),(P771))))</formula>
    </cfRule>
  </conditionalFormatting>
  <conditionalFormatting sqref="P771:P772">
    <cfRule type="containsText" dxfId="9" priority="6922" operator="containsText" text="No">
      <formula>NOT(ISERROR(SEARCH(("No"),(P771))))</formula>
    </cfRule>
  </conditionalFormatting>
  <conditionalFormatting sqref="P771:P772">
    <cfRule type="containsText" dxfId="2" priority="6923" operator="containsText" text="Yes">
      <formula>NOT(ISERROR(SEARCH(("Yes"),(P771))))</formula>
    </cfRule>
  </conditionalFormatting>
  <conditionalFormatting sqref="P771:P772">
    <cfRule type="containsText" dxfId="9" priority="6924" operator="containsText" text="No">
      <formula>NOT(ISERROR(SEARCH(("No"),(P771))))</formula>
    </cfRule>
  </conditionalFormatting>
  <conditionalFormatting sqref="P771:P772">
    <cfRule type="containsText" dxfId="2" priority="6925" operator="containsText" text="Yes">
      <formula>NOT(ISERROR(SEARCH(("Yes"),(P771))))</formula>
    </cfRule>
  </conditionalFormatting>
  <conditionalFormatting sqref="P771:P772">
    <cfRule type="containsText" dxfId="9" priority="6926" operator="containsText" text="No">
      <formula>NOT(ISERROR(SEARCH(("No"),(P771))))</formula>
    </cfRule>
  </conditionalFormatting>
  <conditionalFormatting sqref="P771:P772">
    <cfRule type="containsText" dxfId="2" priority="6927" operator="containsText" text="Yes">
      <formula>NOT(ISERROR(SEARCH(("Yes"),(P771))))</formula>
    </cfRule>
  </conditionalFormatting>
  <conditionalFormatting sqref="P771:P772">
    <cfRule type="containsText" dxfId="9" priority="6928" operator="containsText" text="No">
      <formula>NOT(ISERROR(SEARCH(("No"),(P771))))</formula>
    </cfRule>
  </conditionalFormatting>
  <conditionalFormatting sqref="P771:P772">
    <cfRule type="containsText" dxfId="2" priority="6929" operator="containsText" text="Yes">
      <formula>NOT(ISERROR(SEARCH(("Yes"),(P771))))</formula>
    </cfRule>
  </conditionalFormatting>
  <conditionalFormatting sqref="P771:P772">
    <cfRule type="containsText" dxfId="9" priority="6930" operator="containsText" text="No">
      <formula>NOT(ISERROR(SEARCH(("No"),(P771))))</formula>
    </cfRule>
  </conditionalFormatting>
  <conditionalFormatting sqref="P771:P772">
    <cfRule type="containsText" dxfId="2" priority="6931" operator="containsText" text="Yes">
      <formula>NOT(ISERROR(SEARCH(("Yes"),(P771))))</formula>
    </cfRule>
  </conditionalFormatting>
  <conditionalFormatting sqref="P771:P772">
    <cfRule type="containsText" dxfId="9" priority="6932" operator="containsText" text="No">
      <formula>NOT(ISERROR(SEARCH(("No"),(P771))))</formula>
    </cfRule>
  </conditionalFormatting>
  <conditionalFormatting sqref="P771:P772">
    <cfRule type="containsText" dxfId="2" priority="6933" operator="containsText" text="Yes">
      <formula>NOT(ISERROR(SEARCH(("Yes"),(P771))))</formula>
    </cfRule>
  </conditionalFormatting>
  <conditionalFormatting sqref="P771:P772">
    <cfRule type="containsText" dxfId="9" priority="6934" operator="containsText" text="No">
      <formula>NOT(ISERROR(SEARCH(("No"),(P771))))</formula>
    </cfRule>
  </conditionalFormatting>
  <conditionalFormatting sqref="P771:P772">
    <cfRule type="containsText" dxfId="2" priority="6935" operator="containsText" text="Yes">
      <formula>NOT(ISERROR(SEARCH(("Yes"),(P771))))</formula>
    </cfRule>
  </conditionalFormatting>
  <conditionalFormatting sqref="P771:P772">
    <cfRule type="containsText" dxfId="9" priority="6936" operator="containsText" text="No">
      <formula>NOT(ISERROR(SEARCH(("No"),(P771))))</formula>
    </cfRule>
  </conditionalFormatting>
  <conditionalFormatting sqref="P771:P772">
    <cfRule type="containsText" dxfId="2" priority="6937" operator="containsText" text="Yes">
      <formula>NOT(ISERROR(SEARCH(("Yes"),(P771))))</formula>
    </cfRule>
  </conditionalFormatting>
  <conditionalFormatting sqref="P771:P772">
    <cfRule type="containsText" dxfId="9" priority="6938" operator="containsText" text="No">
      <formula>NOT(ISERROR(SEARCH(("No"),(P771))))</formula>
    </cfRule>
  </conditionalFormatting>
  <conditionalFormatting sqref="P771:P772">
    <cfRule type="containsText" dxfId="2" priority="6939" operator="containsText" text="Yes">
      <formula>NOT(ISERROR(SEARCH(("Yes"),(P771))))</formula>
    </cfRule>
  </conditionalFormatting>
  <conditionalFormatting sqref="P771:P772">
    <cfRule type="containsText" dxfId="9" priority="6940" operator="containsText" text="No">
      <formula>NOT(ISERROR(SEARCH(("No"),(P771))))</formula>
    </cfRule>
  </conditionalFormatting>
  <conditionalFormatting sqref="P771:P772">
    <cfRule type="containsText" dxfId="2" priority="6941" operator="containsText" text="Yes">
      <formula>NOT(ISERROR(SEARCH(("Yes"),(P771))))</formula>
    </cfRule>
  </conditionalFormatting>
  <conditionalFormatting sqref="P771:P772">
    <cfRule type="containsText" dxfId="9" priority="6942" operator="containsText" text="No">
      <formula>NOT(ISERROR(SEARCH(("No"),(P771))))</formula>
    </cfRule>
  </conditionalFormatting>
  <conditionalFormatting sqref="P771:P772">
    <cfRule type="containsText" dxfId="2" priority="6943" operator="containsText" text="Yes">
      <formula>NOT(ISERROR(SEARCH(("Yes"),(P771))))</formula>
    </cfRule>
  </conditionalFormatting>
  <conditionalFormatting sqref="P771:P772">
    <cfRule type="containsText" dxfId="9" priority="6944" operator="containsText" text="No">
      <formula>NOT(ISERROR(SEARCH(("No"),(P771))))</formula>
    </cfRule>
  </conditionalFormatting>
  <conditionalFormatting sqref="P771:P772">
    <cfRule type="containsText" dxfId="2" priority="6945" operator="containsText" text="Yes">
      <formula>NOT(ISERROR(SEARCH(("Yes"),(P771))))</formula>
    </cfRule>
  </conditionalFormatting>
  <conditionalFormatting sqref="P771:P772">
    <cfRule type="containsText" dxfId="9" priority="6946" operator="containsText" text="No">
      <formula>NOT(ISERROR(SEARCH(("No"),(P771))))</formula>
    </cfRule>
  </conditionalFormatting>
  <conditionalFormatting sqref="P771:P772">
    <cfRule type="containsText" dxfId="2" priority="6947" operator="containsText" text="Yes">
      <formula>NOT(ISERROR(SEARCH(("Yes"),(P771))))</formula>
    </cfRule>
  </conditionalFormatting>
  <conditionalFormatting sqref="P771:P772">
    <cfRule type="containsText" dxfId="9" priority="6948" operator="containsText" text="No">
      <formula>NOT(ISERROR(SEARCH(("No"),(P771))))</formula>
    </cfRule>
  </conditionalFormatting>
  <conditionalFormatting sqref="P771:P772">
    <cfRule type="containsText" dxfId="2" priority="6949" operator="containsText" text="Yes">
      <formula>NOT(ISERROR(SEARCH(("Yes"),(P771))))</formula>
    </cfRule>
  </conditionalFormatting>
  <conditionalFormatting sqref="P771:P772">
    <cfRule type="containsText" dxfId="9" priority="6950" operator="containsText" text="No">
      <formula>NOT(ISERROR(SEARCH(("No"),(P771))))</formula>
    </cfRule>
  </conditionalFormatting>
  <conditionalFormatting sqref="P771:P772">
    <cfRule type="containsText" dxfId="2" priority="6951" operator="containsText" text="Yes">
      <formula>NOT(ISERROR(SEARCH(("Yes"),(P771))))</formula>
    </cfRule>
  </conditionalFormatting>
  <conditionalFormatting sqref="P771:P772">
    <cfRule type="containsText" dxfId="9" priority="6952" operator="containsText" text="No">
      <formula>NOT(ISERROR(SEARCH(("No"),(P771))))</formula>
    </cfRule>
  </conditionalFormatting>
  <conditionalFormatting sqref="P771:P772">
    <cfRule type="containsText" dxfId="2" priority="6953" operator="containsText" text="Yes">
      <formula>NOT(ISERROR(SEARCH(("Yes"),(P771))))</formula>
    </cfRule>
  </conditionalFormatting>
  <conditionalFormatting sqref="P771:P772">
    <cfRule type="containsText" dxfId="9" priority="6954" operator="containsText" text="No">
      <formula>NOT(ISERROR(SEARCH(("No"),(P771))))</formula>
    </cfRule>
  </conditionalFormatting>
  <conditionalFormatting sqref="P771:P772">
    <cfRule type="containsText" dxfId="2" priority="6955" operator="containsText" text="Yes">
      <formula>NOT(ISERROR(SEARCH(("Yes"),(P771))))</formula>
    </cfRule>
  </conditionalFormatting>
  <conditionalFormatting sqref="P771:P772">
    <cfRule type="containsText" dxfId="9" priority="6956" operator="containsText" text="No">
      <formula>NOT(ISERROR(SEARCH(("No"),(P771))))</formula>
    </cfRule>
  </conditionalFormatting>
  <conditionalFormatting sqref="P771:P772">
    <cfRule type="containsText" dxfId="2" priority="6957" operator="containsText" text="Yes">
      <formula>NOT(ISERROR(SEARCH(("Yes"),(P771))))</formula>
    </cfRule>
  </conditionalFormatting>
  <conditionalFormatting sqref="P771:P772">
    <cfRule type="containsText" dxfId="9" priority="6958" operator="containsText" text="No">
      <formula>NOT(ISERROR(SEARCH(("No"),(P771))))</formula>
    </cfRule>
  </conditionalFormatting>
  <conditionalFormatting sqref="P771:P772">
    <cfRule type="containsText" dxfId="2" priority="6959" operator="containsText" text="Yes">
      <formula>NOT(ISERROR(SEARCH(("Yes"),(P771))))</formula>
    </cfRule>
  </conditionalFormatting>
  <conditionalFormatting sqref="P771:P772">
    <cfRule type="containsText" dxfId="9" priority="6960" operator="containsText" text="No">
      <formula>NOT(ISERROR(SEARCH(("No"),(P771))))</formula>
    </cfRule>
  </conditionalFormatting>
  <conditionalFormatting sqref="P771:P772">
    <cfRule type="containsText" dxfId="2" priority="6961" operator="containsText" text="Yes">
      <formula>NOT(ISERROR(SEARCH(("Yes"),(P771))))</formula>
    </cfRule>
  </conditionalFormatting>
  <conditionalFormatting sqref="P771:P772">
    <cfRule type="containsText" dxfId="9" priority="6962" operator="containsText" text="No">
      <formula>NOT(ISERROR(SEARCH(("No"),(P771))))</formula>
    </cfRule>
  </conditionalFormatting>
  <conditionalFormatting sqref="P771:P772">
    <cfRule type="containsText" dxfId="2" priority="6963" operator="containsText" text="Yes">
      <formula>NOT(ISERROR(SEARCH(("Yes"),(P771))))</formula>
    </cfRule>
  </conditionalFormatting>
  <conditionalFormatting sqref="P771:P772">
    <cfRule type="containsText" dxfId="9" priority="6964" operator="containsText" text="No">
      <formula>NOT(ISERROR(SEARCH(("No"),(P771))))</formula>
    </cfRule>
  </conditionalFormatting>
  <conditionalFormatting sqref="P771:P772">
    <cfRule type="containsText" dxfId="2" priority="6965" operator="containsText" text="Yes">
      <formula>NOT(ISERROR(SEARCH(("Yes"),(P771))))</formula>
    </cfRule>
  </conditionalFormatting>
  <conditionalFormatting sqref="P771:P772">
    <cfRule type="containsText" dxfId="9" priority="6966" operator="containsText" text="No">
      <formula>NOT(ISERROR(SEARCH(("No"),(P771))))</formula>
    </cfRule>
  </conditionalFormatting>
  <conditionalFormatting sqref="P771:P772">
    <cfRule type="containsText" dxfId="2" priority="6967" operator="containsText" text="Yes">
      <formula>NOT(ISERROR(SEARCH(("Yes"),(P771))))</formula>
    </cfRule>
  </conditionalFormatting>
  <conditionalFormatting sqref="P771:P772">
    <cfRule type="containsText" dxfId="9" priority="6968" operator="containsText" text="No">
      <formula>NOT(ISERROR(SEARCH(("No"),(P771))))</formula>
    </cfRule>
  </conditionalFormatting>
  <conditionalFormatting sqref="P771:P772">
    <cfRule type="containsText" dxfId="2" priority="6969" operator="containsText" text="Yes">
      <formula>NOT(ISERROR(SEARCH(("Yes"),(P771))))</formula>
    </cfRule>
  </conditionalFormatting>
  <conditionalFormatting sqref="P771:P772">
    <cfRule type="containsText" dxfId="9" priority="6970" operator="containsText" text="No">
      <formula>NOT(ISERROR(SEARCH(("No"),(P771))))</formula>
    </cfRule>
  </conditionalFormatting>
  <conditionalFormatting sqref="P771:P772">
    <cfRule type="containsText" dxfId="2" priority="6971" operator="containsText" text="Yes">
      <formula>NOT(ISERROR(SEARCH(("Yes"),(P771))))</formula>
    </cfRule>
  </conditionalFormatting>
  <conditionalFormatting sqref="P771:P772">
    <cfRule type="containsText" dxfId="9" priority="6972" operator="containsText" text="No">
      <formula>NOT(ISERROR(SEARCH(("No"),(P771))))</formula>
    </cfRule>
  </conditionalFormatting>
  <conditionalFormatting sqref="P771:P772">
    <cfRule type="containsText" dxfId="2" priority="6973" operator="containsText" text="Yes">
      <formula>NOT(ISERROR(SEARCH(("Yes"),(P771))))</formula>
    </cfRule>
  </conditionalFormatting>
  <conditionalFormatting sqref="P771:P772">
    <cfRule type="containsText" dxfId="9" priority="6974" operator="containsText" text="No">
      <formula>NOT(ISERROR(SEARCH(("No"),(P771))))</formula>
    </cfRule>
  </conditionalFormatting>
  <conditionalFormatting sqref="P771:P772">
    <cfRule type="containsText" dxfId="2" priority="6975" operator="containsText" text="Yes">
      <formula>NOT(ISERROR(SEARCH(("Yes"),(P771))))</formula>
    </cfRule>
  </conditionalFormatting>
  <conditionalFormatting sqref="P771:P772">
    <cfRule type="containsText" dxfId="9" priority="6976" operator="containsText" text="No">
      <formula>NOT(ISERROR(SEARCH(("No"),(P771))))</formula>
    </cfRule>
  </conditionalFormatting>
  <conditionalFormatting sqref="P771:P772">
    <cfRule type="containsText" dxfId="2" priority="6977" operator="containsText" text="Yes">
      <formula>NOT(ISERROR(SEARCH(("Yes"),(P771))))</formula>
    </cfRule>
  </conditionalFormatting>
  <conditionalFormatting sqref="P771:P772">
    <cfRule type="containsText" dxfId="9" priority="6978" operator="containsText" text="No">
      <formula>NOT(ISERROR(SEARCH(("No"),(P771))))</formula>
    </cfRule>
  </conditionalFormatting>
  <conditionalFormatting sqref="P771:P772">
    <cfRule type="containsText" dxfId="2" priority="6979" operator="containsText" text="Yes">
      <formula>NOT(ISERROR(SEARCH(("Yes"),(P771))))</formula>
    </cfRule>
  </conditionalFormatting>
  <conditionalFormatting sqref="P771:P772">
    <cfRule type="containsText" dxfId="9" priority="6980" operator="containsText" text="No">
      <formula>NOT(ISERROR(SEARCH(("No"),(P771))))</formula>
    </cfRule>
  </conditionalFormatting>
  <conditionalFormatting sqref="P771:P772">
    <cfRule type="containsText" dxfId="2" priority="6981" operator="containsText" text="Yes">
      <formula>NOT(ISERROR(SEARCH(("Yes"),(P771))))</formula>
    </cfRule>
  </conditionalFormatting>
  <conditionalFormatting sqref="P771:P772">
    <cfRule type="containsText" dxfId="9" priority="6982" operator="containsText" text="No">
      <formula>NOT(ISERROR(SEARCH(("No"),(P771))))</formula>
    </cfRule>
  </conditionalFormatting>
  <conditionalFormatting sqref="P771:P772">
    <cfRule type="containsText" dxfId="2" priority="6983" operator="containsText" text="Yes">
      <formula>NOT(ISERROR(SEARCH(("Yes"),(P771))))</formula>
    </cfRule>
  </conditionalFormatting>
  <conditionalFormatting sqref="P771:P772">
    <cfRule type="containsText" dxfId="9" priority="6984" operator="containsText" text="No">
      <formula>NOT(ISERROR(SEARCH(("No"),(P771))))</formula>
    </cfRule>
  </conditionalFormatting>
  <conditionalFormatting sqref="P771:P772">
    <cfRule type="containsText" dxfId="2" priority="6985" operator="containsText" text="Yes">
      <formula>NOT(ISERROR(SEARCH(("Yes"),(P771))))</formula>
    </cfRule>
  </conditionalFormatting>
  <conditionalFormatting sqref="P771:P772">
    <cfRule type="containsText" dxfId="9" priority="6986" operator="containsText" text="No">
      <formula>NOT(ISERROR(SEARCH(("No"),(P771))))</formula>
    </cfRule>
  </conditionalFormatting>
  <conditionalFormatting sqref="P771:P772">
    <cfRule type="containsText" dxfId="2" priority="6987" operator="containsText" text="Yes">
      <formula>NOT(ISERROR(SEARCH(("Yes"),(P771))))</formula>
    </cfRule>
  </conditionalFormatting>
  <conditionalFormatting sqref="P771:P772">
    <cfRule type="containsText" dxfId="9" priority="6988" operator="containsText" text="No">
      <formula>NOT(ISERROR(SEARCH(("No"),(P771))))</formula>
    </cfRule>
  </conditionalFormatting>
  <conditionalFormatting sqref="P771:P772">
    <cfRule type="containsText" dxfId="2" priority="6989" operator="containsText" text="Yes">
      <formula>NOT(ISERROR(SEARCH(("Yes"),(P771))))</formula>
    </cfRule>
  </conditionalFormatting>
  <conditionalFormatting sqref="P771:P772">
    <cfRule type="containsText" dxfId="9" priority="6990" operator="containsText" text="No">
      <formula>NOT(ISERROR(SEARCH(("No"),(P771))))</formula>
    </cfRule>
  </conditionalFormatting>
  <conditionalFormatting sqref="P771:P772">
    <cfRule type="containsText" dxfId="2" priority="6991" operator="containsText" text="Yes">
      <formula>NOT(ISERROR(SEARCH(("Yes"),(P771))))</formula>
    </cfRule>
  </conditionalFormatting>
  <conditionalFormatting sqref="P771:P772">
    <cfRule type="containsText" dxfId="9" priority="6992" operator="containsText" text="No">
      <formula>NOT(ISERROR(SEARCH(("No"),(P771))))</formula>
    </cfRule>
  </conditionalFormatting>
  <conditionalFormatting sqref="P771:P772">
    <cfRule type="containsText" dxfId="2" priority="6993" operator="containsText" text="Yes">
      <formula>NOT(ISERROR(SEARCH(("Yes"),(P771))))</formula>
    </cfRule>
  </conditionalFormatting>
  <conditionalFormatting sqref="P771:P772">
    <cfRule type="containsText" dxfId="2" priority="6994" operator="containsText" text="Yes">
      <formula>NOT(ISERROR(SEARCH(("Yes"),(P771))))</formula>
    </cfRule>
  </conditionalFormatting>
  <conditionalFormatting sqref="P771:P772">
    <cfRule type="containsText" dxfId="9" priority="6995" operator="containsText" text="No">
      <formula>NOT(ISERROR(SEARCH(("No"),(P771))))</formula>
    </cfRule>
  </conditionalFormatting>
  <conditionalFormatting sqref="P771:P772">
    <cfRule type="containsText" dxfId="2" priority="6996" operator="containsText" text="Yes">
      <formula>NOT(ISERROR(SEARCH(("Yes"),(P771))))</formula>
    </cfRule>
  </conditionalFormatting>
  <conditionalFormatting sqref="P774">
    <cfRule type="containsText" dxfId="2" priority="6997" operator="containsText" text="Yes">
      <formula>NOT(ISERROR(SEARCH(("Yes"),(P774))))</formula>
    </cfRule>
  </conditionalFormatting>
  <conditionalFormatting sqref="P774">
    <cfRule type="containsText" dxfId="9" priority="6998" operator="containsText" text="No">
      <formula>NOT(ISERROR(SEARCH(("No"),(P774))))</formula>
    </cfRule>
  </conditionalFormatting>
  <conditionalFormatting sqref="P774">
    <cfRule type="containsText" dxfId="2" priority="6999" operator="containsText" text="Yes">
      <formula>NOT(ISERROR(SEARCH(("Yes"),(P774))))</formula>
    </cfRule>
  </conditionalFormatting>
  <conditionalFormatting sqref="P774">
    <cfRule type="containsText" dxfId="9" priority="7000" operator="containsText" text="No">
      <formula>NOT(ISERROR(SEARCH(("No"),(P774))))</formula>
    </cfRule>
  </conditionalFormatting>
  <conditionalFormatting sqref="P774">
    <cfRule type="containsText" dxfId="2" priority="7001" operator="containsText" text="Yes">
      <formula>NOT(ISERROR(SEARCH(("Yes"),(P774))))</formula>
    </cfRule>
  </conditionalFormatting>
  <conditionalFormatting sqref="P774">
    <cfRule type="containsText" dxfId="9" priority="7002" operator="containsText" text="No">
      <formula>NOT(ISERROR(SEARCH(("No"),(P774))))</formula>
    </cfRule>
  </conditionalFormatting>
  <conditionalFormatting sqref="P774">
    <cfRule type="containsText" dxfId="2" priority="7003" operator="containsText" text="Yes">
      <formula>NOT(ISERROR(SEARCH(("Yes"),(P774))))</formula>
    </cfRule>
  </conditionalFormatting>
  <conditionalFormatting sqref="P774">
    <cfRule type="containsText" dxfId="9" priority="7004" operator="containsText" text="No">
      <formula>NOT(ISERROR(SEARCH(("No"),(P774))))</formula>
    </cfRule>
  </conditionalFormatting>
  <conditionalFormatting sqref="P774">
    <cfRule type="containsText" dxfId="2" priority="7005" operator="containsText" text="Yes">
      <formula>NOT(ISERROR(SEARCH(("Yes"),(P774))))</formula>
    </cfRule>
  </conditionalFormatting>
  <conditionalFormatting sqref="P774">
    <cfRule type="containsText" dxfId="9" priority="7006" operator="containsText" text="No">
      <formula>NOT(ISERROR(SEARCH(("No"),(P774))))</formula>
    </cfRule>
  </conditionalFormatting>
  <conditionalFormatting sqref="P774">
    <cfRule type="containsText" dxfId="2" priority="7007" operator="containsText" text="Yes">
      <formula>NOT(ISERROR(SEARCH(("Yes"),(P774))))</formula>
    </cfRule>
  </conditionalFormatting>
  <conditionalFormatting sqref="P774">
    <cfRule type="containsText" dxfId="9" priority="7008" operator="containsText" text="No">
      <formula>NOT(ISERROR(SEARCH(("No"),(P774))))</formula>
    </cfRule>
  </conditionalFormatting>
  <conditionalFormatting sqref="P774">
    <cfRule type="containsText" dxfId="2" priority="7009" operator="containsText" text="Yes">
      <formula>NOT(ISERROR(SEARCH(("Yes"),(P774))))</formula>
    </cfRule>
  </conditionalFormatting>
  <conditionalFormatting sqref="P774">
    <cfRule type="containsText" dxfId="9" priority="7010" operator="containsText" text="No">
      <formula>NOT(ISERROR(SEARCH(("No"),(P774))))</formula>
    </cfRule>
  </conditionalFormatting>
  <conditionalFormatting sqref="P774">
    <cfRule type="containsText" dxfId="2" priority="7011" operator="containsText" text="Yes">
      <formula>NOT(ISERROR(SEARCH(("Yes"),(P774))))</formula>
    </cfRule>
  </conditionalFormatting>
  <conditionalFormatting sqref="P774">
    <cfRule type="containsText" dxfId="9" priority="7012" operator="containsText" text="No">
      <formula>NOT(ISERROR(SEARCH(("No"),(P774))))</formula>
    </cfRule>
  </conditionalFormatting>
  <conditionalFormatting sqref="P774">
    <cfRule type="containsText" dxfId="2" priority="7013" operator="containsText" text="Yes">
      <formula>NOT(ISERROR(SEARCH(("Yes"),(P774))))</formula>
    </cfRule>
  </conditionalFormatting>
  <conditionalFormatting sqref="P774">
    <cfRule type="containsText" dxfId="9" priority="7014" operator="containsText" text="No">
      <formula>NOT(ISERROR(SEARCH(("No"),(P774))))</formula>
    </cfRule>
  </conditionalFormatting>
  <conditionalFormatting sqref="P774">
    <cfRule type="containsText" dxfId="2" priority="7015" operator="containsText" text="Yes">
      <formula>NOT(ISERROR(SEARCH(("Yes"),(P774))))</formula>
    </cfRule>
  </conditionalFormatting>
  <conditionalFormatting sqref="P774">
    <cfRule type="containsText" dxfId="9" priority="7016" operator="containsText" text="No">
      <formula>NOT(ISERROR(SEARCH(("No"),(P774))))</formula>
    </cfRule>
  </conditionalFormatting>
  <conditionalFormatting sqref="P774">
    <cfRule type="containsText" dxfId="2" priority="7017" operator="containsText" text="Yes">
      <formula>NOT(ISERROR(SEARCH(("Yes"),(P774))))</formula>
    </cfRule>
  </conditionalFormatting>
  <conditionalFormatting sqref="P774">
    <cfRule type="containsText" dxfId="9" priority="7018" operator="containsText" text="No">
      <formula>NOT(ISERROR(SEARCH(("No"),(P774))))</formula>
    </cfRule>
  </conditionalFormatting>
  <conditionalFormatting sqref="P774">
    <cfRule type="containsText" dxfId="2" priority="7019" operator="containsText" text="Yes">
      <formula>NOT(ISERROR(SEARCH(("Yes"),(P774))))</formula>
    </cfRule>
  </conditionalFormatting>
  <conditionalFormatting sqref="P774">
    <cfRule type="containsText" dxfId="9" priority="7020" operator="containsText" text="No">
      <formula>NOT(ISERROR(SEARCH(("No"),(P774))))</formula>
    </cfRule>
  </conditionalFormatting>
  <conditionalFormatting sqref="P774">
    <cfRule type="containsText" dxfId="2" priority="7021" operator="containsText" text="Yes">
      <formula>NOT(ISERROR(SEARCH(("Yes"),(P774))))</formula>
    </cfRule>
  </conditionalFormatting>
  <conditionalFormatting sqref="P774">
    <cfRule type="containsText" dxfId="9" priority="7022" operator="containsText" text="No">
      <formula>NOT(ISERROR(SEARCH(("No"),(P774))))</formula>
    </cfRule>
  </conditionalFormatting>
  <conditionalFormatting sqref="P774">
    <cfRule type="containsText" dxfId="2" priority="7023" operator="containsText" text="Yes">
      <formula>NOT(ISERROR(SEARCH(("Yes"),(P774))))</formula>
    </cfRule>
  </conditionalFormatting>
  <conditionalFormatting sqref="P774">
    <cfRule type="containsText" dxfId="9" priority="7024" operator="containsText" text="No">
      <formula>NOT(ISERROR(SEARCH(("No"),(P774))))</formula>
    </cfRule>
  </conditionalFormatting>
  <conditionalFormatting sqref="P774">
    <cfRule type="containsText" dxfId="2" priority="7025" operator="containsText" text="Yes">
      <formula>NOT(ISERROR(SEARCH(("Yes"),(P774))))</formula>
    </cfRule>
  </conditionalFormatting>
  <conditionalFormatting sqref="P774">
    <cfRule type="containsText" dxfId="9" priority="7026" operator="containsText" text="No">
      <formula>NOT(ISERROR(SEARCH(("No"),(P774))))</formula>
    </cfRule>
  </conditionalFormatting>
  <conditionalFormatting sqref="P774">
    <cfRule type="containsText" dxfId="2" priority="7027" operator="containsText" text="Yes">
      <formula>NOT(ISERROR(SEARCH(("Yes"),(P774))))</formula>
    </cfRule>
  </conditionalFormatting>
  <conditionalFormatting sqref="P774">
    <cfRule type="containsText" dxfId="9" priority="7028" operator="containsText" text="No">
      <formula>NOT(ISERROR(SEARCH(("No"),(P774))))</formula>
    </cfRule>
  </conditionalFormatting>
  <conditionalFormatting sqref="P774">
    <cfRule type="containsText" dxfId="2" priority="7029" operator="containsText" text="Yes">
      <formula>NOT(ISERROR(SEARCH(("Yes"),(P774))))</formula>
    </cfRule>
  </conditionalFormatting>
  <conditionalFormatting sqref="P774">
    <cfRule type="containsText" dxfId="9" priority="7030" operator="containsText" text="No">
      <formula>NOT(ISERROR(SEARCH(("No"),(P774))))</formula>
    </cfRule>
  </conditionalFormatting>
  <conditionalFormatting sqref="P774">
    <cfRule type="containsText" dxfId="2" priority="7031" operator="containsText" text="Yes">
      <formula>NOT(ISERROR(SEARCH(("Yes"),(P774))))</formula>
    </cfRule>
  </conditionalFormatting>
  <conditionalFormatting sqref="P774">
    <cfRule type="containsText" dxfId="9" priority="7032" operator="containsText" text="No">
      <formula>NOT(ISERROR(SEARCH(("No"),(P774))))</formula>
    </cfRule>
  </conditionalFormatting>
  <conditionalFormatting sqref="P774">
    <cfRule type="containsText" dxfId="2" priority="7033" operator="containsText" text="Yes">
      <formula>NOT(ISERROR(SEARCH(("Yes"),(P774))))</formula>
    </cfRule>
  </conditionalFormatting>
  <conditionalFormatting sqref="P774">
    <cfRule type="containsText" dxfId="9" priority="7034" operator="containsText" text="No">
      <formula>NOT(ISERROR(SEARCH(("No"),(P774))))</formula>
    </cfRule>
  </conditionalFormatting>
  <conditionalFormatting sqref="P774">
    <cfRule type="containsText" dxfId="2" priority="7035" operator="containsText" text="Yes">
      <formula>NOT(ISERROR(SEARCH(("Yes"),(P774))))</formula>
    </cfRule>
  </conditionalFormatting>
  <conditionalFormatting sqref="P774">
    <cfRule type="containsText" dxfId="9" priority="7036" operator="containsText" text="No">
      <formula>NOT(ISERROR(SEARCH(("No"),(P774))))</formula>
    </cfRule>
  </conditionalFormatting>
  <conditionalFormatting sqref="P774">
    <cfRule type="containsText" dxfId="2" priority="7037" operator="containsText" text="Yes">
      <formula>NOT(ISERROR(SEARCH(("Yes"),(P774))))</formula>
    </cfRule>
  </conditionalFormatting>
  <conditionalFormatting sqref="P774">
    <cfRule type="containsText" dxfId="9" priority="7038" operator="containsText" text="No">
      <formula>NOT(ISERROR(SEARCH(("No"),(P774))))</formula>
    </cfRule>
  </conditionalFormatting>
  <conditionalFormatting sqref="P774">
    <cfRule type="containsText" dxfId="2" priority="7039" operator="containsText" text="Yes">
      <formula>NOT(ISERROR(SEARCH(("Yes"),(P774))))</formula>
    </cfRule>
  </conditionalFormatting>
  <conditionalFormatting sqref="P774">
    <cfRule type="containsText" dxfId="9" priority="7040" operator="containsText" text="No">
      <formula>NOT(ISERROR(SEARCH(("No"),(P774))))</formula>
    </cfRule>
  </conditionalFormatting>
  <conditionalFormatting sqref="P774">
    <cfRule type="containsText" dxfId="2" priority="7041" operator="containsText" text="Yes">
      <formula>NOT(ISERROR(SEARCH(("Yes"),(P774))))</formula>
    </cfRule>
  </conditionalFormatting>
  <conditionalFormatting sqref="P774">
    <cfRule type="containsText" dxfId="9" priority="7042" operator="containsText" text="No">
      <formula>NOT(ISERROR(SEARCH(("No"),(P774))))</formula>
    </cfRule>
  </conditionalFormatting>
  <conditionalFormatting sqref="P774">
    <cfRule type="containsText" dxfId="2" priority="7043" operator="containsText" text="Yes">
      <formula>NOT(ISERROR(SEARCH(("Yes"),(P774))))</formula>
    </cfRule>
  </conditionalFormatting>
  <conditionalFormatting sqref="P774">
    <cfRule type="containsText" dxfId="9" priority="7044" operator="containsText" text="No">
      <formula>NOT(ISERROR(SEARCH(("No"),(P774))))</formula>
    </cfRule>
  </conditionalFormatting>
  <conditionalFormatting sqref="P774">
    <cfRule type="containsText" dxfId="2" priority="7045" operator="containsText" text="Yes">
      <formula>NOT(ISERROR(SEARCH(("Yes"),(P774))))</formula>
    </cfRule>
  </conditionalFormatting>
  <conditionalFormatting sqref="P774">
    <cfRule type="containsText" dxfId="9" priority="7046" operator="containsText" text="No">
      <formula>NOT(ISERROR(SEARCH(("No"),(P774))))</formula>
    </cfRule>
  </conditionalFormatting>
  <conditionalFormatting sqref="P774">
    <cfRule type="containsText" dxfId="2" priority="7047" operator="containsText" text="Yes">
      <formula>NOT(ISERROR(SEARCH(("Yes"),(P774))))</formula>
    </cfRule>
  </conditionalFormatting>
  <conditionalFormatting sqref="P774">
    <cfRule type="containsText" dxfId="9" priority="7048" operator="containsText" text="No">
      <formula>NOT(ISERROR(SEARCH(("No"),(P774))))</formula>
    </cfRule>
  </conditionalFormatting>
  <conditionalFormatting sqref="P774">
    <cfRule type="containsText" dxfId="2" priority="7049" operator="containsText" text="Yes">
      <formula>NOT(ISERROR(SEARCH(("Yes"),(P774))))</formula>
    </cfRule>
  </conditionalFormatting>
  <conditionalFormatting sqref="P774">
    <cfRule type="containsText" dxfId="9" priority="7050" operator="containsText" text="No">
      <formula>NOT(ISERROR(SEARCH(("No"),(P774))))</formula>
    </cfRule>
  </conditionalFormatting>
  <conditionalFormatting sqref="P774">
    <cfRule type="containsText" dxfId="2" priority="7051" operator="containsText" text="Yes">
      <formula>NOT(ISERROR(SEARCH(("Yes"),(P774))))</formula>
    </cfRule>
  </conditionalFormatting>
  <conditionalFormatting sqref="P774">
    <cfRule type="containsText" dxfId="9" priority="7052" operator="containsText" text="No">
      <formula>NOT(ISERROR(SEARCH(("No"),(P774))))</formula>
    </cfRule>
  </conditionalFormatting>
  <conditionalFormatting sqref="P774">
    <cfRule type="containsText" dxfId="2" priority="7053" operator="containsText" text="Yes">
      <formula>NOT(ISERROR(SEARCH(("Yes"),(P774))))</formula>
    </cfRule>
  </conditionalFormatting>
  <conditionalFormatting sqref="P774">
    <cfRule type="containsText" dxfId="9" priority="7054" operator="containsText" text="No">
      <formula>NOT(ISERROR(SEARCH(("No"),(P774))))</formula>
    </cfRule>
  </conditionalFormatting>
  <conditionalFormatting sqref="P774">
    <cfRule type="containsText" dxfId="2" priority="7055" operator="containsText" text="Yes">
      <formula>NOT(ISERROR(SEARCH(("Yes"),(P774))))</formula>
    </cfRule>
  </conditionalFormatting>
  <conditionalFormatting sqref="P774">
    <cfRule type="containsText" dxfId="9" priority="7056" operator="containsText" text="No">
      <formula>NOT(ISERROR(SEARCH(("No"),(P774))))</formula>
    </cfRule>
  </conditionalFormatting>
  <conditionalFormatting sqref="P774">
    <cfRule type="containsText" dxfId="2" priority="7057" operator="containsText" text="Yes">
      <formula>NOT(ISERROR(SEARCH(("Yes"),(P774))))</formula>
    </cfRule>
  </conditionalFormatting>
  <conditionalFormatting sqref="P774">
    <cfRule type="containsText" dxfId="9" priority="7058" operator="containsText" text="No">
      <formula>NOT(ISERROR(SEARCH(("No"),(P774))))</formula>
    </cfRule>
  </conditionalFormatting>
  <conditionalFormatting sqref="P774">
    <cfRule type="containsText" dxfId="2" priority="7059" operator="containsText" text="Yes">
      <formula>NOT(ISERROR(SEARCH(("Yes"),(P774))))</formula>
    </cfRule>
  </conditionalFormatting>
  <conditionalFormatting sqref="P774">
    <cfRule type="containsText" dxfId="9" priority="7060" operator="containsText" text="No">
      <formula>NOT(ISERROR(SEARCH(("No"),(P774))))</formula>
    </cfRule>
  </conditionalFormatting>
  <conditionalFormatting sqref="P774">
    <cfRule type="containsText" dxfId="2" priority="7061" operator="containsText" text="Yes">
      <formula>NOT(ISERROR(SEARCH(("Yes"),(P774))))</formula>
    </cfRule>
  </conditionalFormatting>
  <conditionalFormatting sqref="P774">
    <cfRule type="containsText" dxfId="9" priority="7062" operator="containsText" text="No">
      <formula>NOT(ISERROR(SEARCH(("No"),(P774))))</formula>
    </cfRule>
  </conditionalFormatting>
  <conditionalFormatting sqref="P774">
    <cfRule type="containsText" dxfId="2" priority="7063" operator="containsText" text="Yes">
      <formula>NOT(ISERROR(SEARCH(("Yes"),(P774))))</formula>
    </cfRule>
  </conditionalFormatting>
  <conditionalFormatting sqref="P774">
    <cfRule type="containsText" dxfId="9" priority="7064" operator="containsText" text="No">
      <formula>NOT(ISERROR(SEARCH(("No"),(P774))))</formula>
    </cfRule>
  </conditionalFormatting>
  <conditionalFormatting sqref="P774">
    <cfRule type="containsText" dxfId="2" priority="7065" operator="containsText" text="Yes">
      <formula>NOT(ISERROR(SEARCH(("Yes"),(P774))))</formula>
    </cfRule>
  </conditionalFormatting>
  <conditionalFormatting sqref="P774">
    <cfRule type="containsText" dxfId="9" priority="7066" operator="containsText" text="No">
      <formula>NOT(ISERROR(SEARCH(("No"),(P774))))</formula>
    </cfRule>
  </conditionalFormatting>
  <conditionalFormatting sqref="P774">
    <cfRule type="containsText" dxfId="2" priority="7067" operator="containsText" text="Yes">
      <formula>NOT(ISERROR(SEARCH(("Yes"),(P774))))</formula>
    </cfRule>
  </conditionalFormatting>
  <conditionalFormatting sqref="P774">
    <cfRule type="containsText" dxfId="9" priority="7068" operator="containsText" text="No">
      <formula>NOT(ISERROR(SEARCH(("No"),(P774))))</formula>
    </cfRule>
  </conditionalFormatting>
  <conditionalFormatting sqref="P774">
    <cfRule type="containsText" dxfId="2" priority="7069" operator="containsText" text="Yes">
      <formula>NOT(ISERROR(SEARCH(("Yes"),(P774))))</formula>
    </cfRule>
  </conditionalFormatting>
  <conditionalFormatting sqref="P774">
    <cfRule type="containsText" dxfId="9" priority="7070" operator="containsText" text="No">
      <formula>NOT(ISERROR(SEARCH(("No"),(P774))))</formula>
    </cfRule>
  </conditionalFormatting>
  <conditionalFormatting sqref="P774">
    <cfRule type="containsText" dxfId="2" priority="7071" operator="containsText" text="Yes">
      <formula>NOT(ISERROR(SEARCH(("Yes"),(P774))))</formula>
    </cfRule>
  </conditionalFormatting>
  <conditionalFormatting sqref="P774">
    <cfRule type="containsText" dxfId="9" priority="7072" operator="containsText" text="No">
      <formula>NOT(ISERROR(SEARCH(("No"),(P774))))</formula>
    </cfRule>
  </conditionalFormatting>
  <conditionalFormatting sqref="P774">
    <cfRule type="containsText" dxfId="2" priority="7073" operator="containsText" text="Yes">
      <formula>NOT(ISERROR(SEARCH(("Yes"),(P774))))</formula>
    </cfRule>
  </conditionalFormatting>
  <conditionalFormatting sqref="P774">
    <cfRule type="containsText" dxfId="9" priority="7074" operator="containsText" text="No">
      <formula>NOT(ISERROR(SEARCH(("No"),(P774))))</formula>
    </cfRule>
  </conditionalFormatting>
  <conditionalFormatting sqref="P774">
    <cfRule type="containsText" dxfId="2" priority="7075" operator="containsText" text="Yes">
      <formula>NOT(ISERROR(SEARCH(("Yes"),(P774))))</formula>
    </cfRule>
  </conditionalFormatting>
  <conditionalFormatting sqref="P774">
    <cfRule type="containsText" dxfId="9" priority="7076" operator="containsText" text="No">
      <formula>NOT(ISERROR(SEARCH(("No"),(P774))))</formula>
    </cfRule>
  </conditionalFormatting>
  <conditionalFormatting sqref="P774">
    <cfRule type="containsText" dxfId="2" priority="7077" operator="containsText" text="Yes">
      <formula>NOT(ISERROR(SEARCH(("Yes"),(P774))))</formula>
    </cfRule>
  </conditionalFormatting>
  <conditionalFormatting sqref="P774">
    <cfRule type="containsText" dxfId="9" priority="7078" operator="containsText" text="No">
      <formula>NOT(ISERROR(SEARCH(("No"),(P774))))</formula>
    </cfRule>
  </conditionalFormatting>
  <conditionalFormatting sqref="P774">
    <cfRule type="containsText" dxfId="2" priority="7079" operator="containsText" text="Yes">
      <formula>NOT(ISERROR(SEARCH(("Yes"),(P774))))</formula>
    </cfRule>
  </conditionalFormatting>
  <conditionalFormatting sqref="P774">
    <cfRule type="containsText" dxfId="9" priority="7080" operator="containsText" text="No">
      <formula>NOT(ISERROR(SEARCH(("No"),(P774))))</formula>
    </cfRule>
  </conditionalFormatting>
  <conditionalFormatting sqref="P774">
    <cfRule type="containsText" dxfId="2" priority="7081" operator="containsText" text="Yes">
      <formula>NOT(ISERROR(SEARCH(("Yes"),(P774))))</formula>
    </cfRule>
  </conditionalFormatting>
  <conditionalFormatting sqref="P774">
    <cfRule type="containsText" dxfId="9" priority="7082" operator="containsText" text="No">
      <formula>NOT(ISERROR(SEARCH(("No"),(P774))))</formula>
    </cfRule>
  </conditionalFormatting>
  <conditionalFormatting sqref="P774">
    <cfRule type="containsText" dxfId="2" priority="7083" operator="containsText" text="Yes">
      <formula>NOT(ISERROR(SEARCH(("Yes"),(P774))))</formula>
    </cfRule>
  </conditionalFormatting>
  <conditionalFormatting sqref="P774">
    <cfRule type="containsText" dxfId="9" priority="7084" operator="containsText" text="No">
      <formula>NOT(ISERROR(SEARCH(("No"),(P774))))</formula>
    </cfRule>
  </conditionalFormatting>
  <conditionalFormatting sqref="P774">
    <cfRule type="containsText" dxfId="2" priority="7085" operator="containsText" text="Yes">
      <formula>NOT(ISERROR(SEARCH(("Yes"),(P774))))</formula>
    </cfRule>
  </conditionalFormatting>
  <conditionalFormatting sqref="P774">
    <cfRule type="containsText" dxfId="2" priority="7086" operator="containsText" text="Yes">
      <formula>NOT(ISERROR(SEARCH(("Yes"),(P774))))</formula>
    </cfRule>
  </conditionalFormatting>
  <conditionalFormatting sqref="P774">
    <cfRule type="containsText" dxfId="9" priority="7087" operator="containsText" text="No">
      <formula>NOT(ISERROR(SEARCH(("No"),(P774))))</formula>
    </cfRule>
  </conditionalFormatting>
  <conditionalFormatting sqref="P774">
    <cfRule type="containsText" dxfId="2" priority="7088" operator="containsText" text="Yes">
      <formula>NOT(ISERROR(SEARCH(("Yes"),(P774))))</formula>
    </cfRule>
  </conditionalFormatting>
  <conditionalFormatting sqref="P775">
    <cfRule type="containsText" dxfId="2" priority="7089" operator="containsText" text="Yes">
      <formula>NOT(ISERROR(SEARCH(("Yes"),(P775))))</formula>
    </cfRule>
  </conditionalFormatting>
  <conditionalFormatting sqref="P775">
    <cfRule type="containsText" dxfId="9" priority="7090" operator="containsText" text="No">
      <formula>NOT(ISERROR(SEARCH(("No"),(P775))))</formula>
    </cfRule>
  </conditionalFormatting>
  <conditionalFormatting sqref="P775">
    <cfRule type="containsText" dxfId="2" priority="7091" operator="containsText" text="Yes">
      <formula>NOT(ISERROR(SEARCH(("Yes"),(P775))))</formula>
    </cfRule>
  </conditionalFormatting>
  <conditionalFormatting sqref="P775">
    <cfRule type="containsText" dxfId="9" priority="7092" operator="containsText" text="No">
      <formula>NOT(ISERROR(SEARCH(("No"),(P775))))</formula>
    </cfRule>
  </conditionalFormatting>
  <conditionalFormatting sqref="P775">
    <cfRule type="containsText" dxfId="2" priority="7093" operator="containsText" text="Yes">
      <formula>NOT(ISERROR(SEARCH(("Yes"),(P775))))</formula>
    </cfRule>
  </conditionalFormatting>
  <conditionalFormatting sqref="P775">
    <cfRule type="containsText" dxfId="9" priority="7094" operator="containsText" text="No">
      <formula>NOT(ISERROR(SEARCH(("No"),(P775))))</formula>
    </cfRule>
  </conditionalFormatting>
  <conditionalFormatting sqref="P775">
    <cfRule type="containsText" dxfId="2" priority="7095" operator="containsText" text="Yes">
      <formula>NOT(ISERROR(SEARCH(("Yes"),(P775))))</formula>
    </cfRule>
  </conditionalFormatting>
  <conditionalFormatting sqref="P775">
    <cfRule type="containsText" dxfId="9" priority="7096" operator="containsText" text="No">
      <formula>NOT(ISERROR(SEARCH(("No"),(P775))))</formula>
    </cfRule>
  </conditionalFormatting>
  <conditionalFormatting sqref="P775">
    <cfRule type="containsText" dxfId="2" priority="7097" operator="containsText" text="Yes">
      <formula>NOT(ISERROR(SEARCH(("Yes"),(P775))))</formula>
    </cfRule>
  </conditionalFormatting>
  <conditionalFormatting sqref="P775">
    <cfRule type="containsText" dxfId="9" priority="7098" operator="containsText" text="No">
      <formula>NOT(ISERROR(SEARCH(("No"),(P775))))</formula>
    </cfRule>
  </conditionalFormatting>
  <conditionalFormatting sqref="P775">
    <cfRule type="containsText" dxfId="2" priority="7099" operator="containsText" text="Yes">
      <formula>NOT(ISERROR(SEARCH(("Yes"),(P775))))</formula>
    </cfRule>
  </conditionalFormatting>
  <conditionalFormatting sqref="P775">
    <cfRule type="containsText" dxfId="9" priority="7100" operator="containsText" text="No">
      <formula>NOT(ISERROR(SEARCH(("No"),(P775))))</formula>
    </cfRule>
  </conditionalFormatting>
  <conditionalFormatting sqref="P775">
    <cfRule type="containsText" dxfId="2" priority="7101" operator="containsText" text="Yes">
      <formula>NOT(ISERROR(SEARCH(("Yes"),(P775))))</formula>
    </cfRule>
  </conditionalFormatting>
  <conditionalFormatting sqref="P775">
    <cfRule type="containsText" dxfId="9" priority="7102" operator="containsText" text="No">
      <formula>NOT(ISERROR(SEARCH(("No"),(P775))))</formula>
    </cfRule>
  </conditionalFormatting>
  <conditionalFormatting sqref="P775">
    <cfRule type="containsText" dxfId="2" priority="7103" operator="containsText" text="Yes">
      <formula>NOT(ISERROR(SEARCH(("Yes"),(P775))))</formula>
    </cfRule>
  </conditionalFormatting>
  <conditionalFormatting sqref="P775">
    <cfRule type="containsText" dxfId="9" priority="7104" operator="containsText" text="No">
      <formula>NOT(ISERROR(SEARCH(("No"),(P775))))</formula>
    </cfRule>
  </conditionalFormatting>
  <conditionalFormatting sqref="P775">
    <cfRule type="containsText" dxfId="2" priority="7105" operator="containsText" text="Yes">
      <formula>NOT(ISERROR(SEARCH(("Yes"),(P775))))</formula>
    </cfRule>
  </conditionalFormatting>
  <conditionalFormatting sqref="P775">
    <cfRule type="containsText" dxfId="9" priority="7106" operator="containsText" text="No">
      <formula>NOT(ISERROR(SEARCH(("No"),(P775))))</formula>
    </cfRule>
  </conditionalFormatting>
  <conditionalFormatting sqref="P775">
    <cfRule type="containsText" dxfId="2" priority="7107" operator="containsText" text="Yes">
      <formula>NOT(ISERROR(SEARCH(("Yes"),(P775))))</formula>
    </cfRule>
  </conditionalFormatting>
  <conditionalFormatting sqref="P775">
    <cfRule type="containsText" dxfId="9" priority="7108" operator="containsText" text="No">
      <formula>NOT(ISERROR(SEARCH(("No"),(P775))))</formula>
    </cfRule>
  </conditionalFormatting>
  <conditionalFormatting sqref="P775">
    <cfRule type="containsText" dxfId="2" priority="7109" operator="containsText" text="Yes">
      <formula>NOT(ISERROR(SEARCH(("Yes"),(P775))))</formula>
    </cfRule>
  </conditionalFormatting>
  <conditionalFormatting sqref="P775">
    <cfRule type="containsText" dxfId="9" priority="7110" operator="containsText" text="No">
      <formula>NOT(ISERROR(SEARCH(("No"),(P775))))</formula>
    </cfRule>
  </conditionalFormatting>
  <conditionalFormatting sqref="P775">
    <cfRule type="containsText" dxfId="2" priority="7111" operator="containsText" text="Yes">
      <formula>NOT(ISERROR(SEARCH(("Yes"),(P775))))</formula>
    </cfRule>
  </conditionalFormatting>
  <conditionalFormatting sqref="P775">
    <cfRule type="containsText" dxfId="9" priority="7112" operator="containsText" text="No">
      <formula>NOT(ISERROR(SEARCH(("No"),(P775))))</formula>
    </cfRule>
  </conditionalFormatting>
  <conditionalFormatting sqref="P775">
    <cfRule type="containsText" dxfId="2" priority="7113" operator="containsText" text="Yes">
      <formula>NOT(ISERROR(SEARCH(("Yes"),(P775))))</formula>
    </cfRule>
  </conditionalFormatting>
  <conditionalFormatting sqref="P775">
    <cfRule type="containsText" dxfId="9" priority="7114" operator="containsText" text="No">
      <formula>NOT(ISERROR(SEARCH(("No"),(P775))))</formula>
    </cfRule>
  </conditionalFormatting>
  <conditionalFormatting sqref="P775">
    <cfRule type="containsText" dxfId="2" priority="7115" operator="containsText" text="Yes">
      <formula>NOT(ISERROR(SEARCH(("Yes"),(P775))))</formula>
    </cfRule>
  </conditionalFormatting>
  <conditionalFormatting sqref="P775">
    <cfRule type="containsText" dxfId="9" priority="7116" operator="containsText" text="No">
      <formula>NOT(ISERROR(SEARCH(("No"),(P775))))</formula>
    </cfRule>
  </conditionalFormatting>
  <conditionalFormatting sqref="P775">
    <cfRule type="containsText" dxfId="2" priority="7117" operator="containsText" text="Yes">
      <formula>NOT(ISERROR(SEARCH(("Yes"),(P775))))</formula>
    </cfRule>
  </conditionalFormatting>
  <conditionalFormatting sqref="P775">
    <cfRule type="containsText" dxfId="9" priority="7118" operator="containsText" text="No">
      <formula>NOT(ISERROR(SEARCH(("No"),(P775))))</formula>
    </cfRule>
  </conditionalFormatting>
  <conditionalFormatting sqref="P775">
    <cfRule type="containsText" dxfId="2" priority="7119" operator="containsText" text="Yes">
      <formula>NOT(ISERROR(SEARCH(("Yes"),(P775))))</formula>
    </cfRule>
  </conditionalFormatting>
  <conditionalFormatting sqref="P775">
    <cfRule type="containsText" dxfId="9" priority="7120" operator="containsText" text="No">
      <formula>NOT(ISERROR(SEARCH(("No"),(P775))))</formula>
    </cfRule>
  </conditionalFormatting>
  <conditionalFormatting sqref="P775">
    <cfRule type="containsText" dxfId="2" priority="7121" operator="containsText" text="Yes">
      <formula>NOT(ISERROR(SEARCH(("Yes"),(P775))))</formula>
    </cfRule>
  </conditionalFormatting>
  <conditionalFormatting sqref="P775">
    <cfRule type="containsText" dxfId="9" priority="7122" operator="containsText" text="No">
      <formula>NOT(ISERROR(SEARCH(("No"),(P775))))</formula>
    </cfRule>
  </conditionalFormatting>
  <conditionalFormatting sqref="P775">
    <cfRule type="containsText" dxfId="2" priority="7123" operator="containsText" text="Yes">
      <formula>NOT(ISERROR(SEARCH(("Yes"),(P775))))</formula>
    </cfRule>
  </conditionalFormatting>
  <conditionalFormatting sqref="P775">
    <cfRule type="containsText" dxfId="9" priority="7124" operator="containsText" text="No">
      <formula>NOT(ISERROR(SEARCH(("No"),(P775))))</formula>
    </cfRule>
  </conditionalFormatting>
  <conditionalFormatting sqref="P775">
    <cfRule type="containsText" dxfId="2" priority="7125" operator="containsText" text="Yes">
      <formula>NOT(ISERROR(SEARCH(("Yes"),(P775))))</formula>
    </cfRule>
  </conditionalFormatting>
  <conditionalFormatting sqref="P775">
    <cfRule type="containsText" dxfId="9" priority="7126" operator="containsText" text="No">
      <formula>NOT(ISERROR(SEARCH(("No"),(P775))))</formula>
    </cfRule>
  </conditionalFormatting>
  <conditionalFormatting sqref="P775">
    <cfRule type="containsText" dxfId="2" priority="7127" operator="containsText" text="Yes">
      <formula>NOT(ISERROR(SEARCH(("Yes"),(P775))))</formula>
    </cfRule>
  </conditionalFormatting>
  <conditionalFormatting sqref="P775">
    <cfRule type="containsText" dxfId="9" priority="7128" operator="containsText" text="No">
      <formula>NOT(ISERROR(SEARCH(("No"),(P775))))</formula>
    </cfRule>
  </conditionalFormatting>
  <conditionalFormatting sqref="P775">
    <cfRule type="containsText" dxfId="2" priority="7129" operator="containsText" text="Yes">
      <formula>NOT(ISERROR(SEARCH(("Yes"),(P775))))</formula>
    </cfRule>
  </conditionalFormatting>
  <conditionalFormatting sqref="P775">
    <cfRule type="containsText" dxfId="9" priority="7130" operator="containsText" text="No">
      <formula>NOT(ISERROR(SEARCH(("No"),(P775))))</formula>
    </cfRule>
  </conditionalFormatting>
  <conditionalFormatting sqref="P775">
    <cfRule type="containsText" dxfId="2" priority="7131" operator="containsText" text="Yes">
      <formula>NOT(ISERROR(SEARCH(("Yes"),(P775))))</formula>
    </cfRule>
  </conditionalFormatting>
  <conditionalFormatting sqref="P775">
    <cfRule type="containsText" dxfId="9" priority="7132" operator="containsText" text="No">
      <formula>NOT(ISERROR(SEARCH(("No"),(P775))))</formula>
    </cfRule>
  </conditionalFormatting>
  <conditionalFormatting sqref="P775">
    <cfRule type="containsText" dxfId="2" priority="7133" operator="containsText" text="Yes">
      <formula>NOT(ISERROR(SEARCH(("Yes"),(P775))))</formula>
    </cfRule>
  </conditionalFormatting>
  <conditionalFormatting sqref="P775">
    <cfRule type="containsText" dxfId="9" priority="7134" operator="containsText" text="No">
      <formula>NOT(ISERROR(SEARCH(("No"),(P775))))</formula>
    </cfRule>
  </conditionalFormatting>
  <conditionalFormatting sqref="P775">
    <cfRule type="containsText" dxfId="2" priority="7135" operator="containsText" text="Yes">
      <formula>NOT(ISERROR(SEARCH(("Yes"),(P775))))</formula>
    </cfRule>
  </conditionalFormatting>
  <conditionalFormatting sqref="P775">
    <cfRule type="containsText" dxfId="9" priority="7136" operator="containsText" text="No">
      <formula>NOT(ISERROR(SEARCH(("No"),(P775))))</formula>
    </cfRule>
  </conditionalFormatting>
  <conditionalFormatting sqref="P775">
    <cfRule type="containsText" dxfId="2" priority="7137" operator="containsText" text="Yes">
      <formula>NOT(ISERROR(SEARCH(("Yes"),(P775))))</formula>
    </cfRule>
  </conditionalFormatting>
  <conditionalFormatting sqref="P775">
    <cfRule type="containsText" dxfId="9" priority="7138" operator="containsText" text="No">
      <formula>NOT(ISERROR(SEARCH(("No"),(P775))))</formula>
    </cfRule>
  </conditionalFormatting>
  <conditionalFormatting sqref="P775">
    <cfRule type="containsText" dxfId="2" priority="7139" operator="containsText" text="Yes">
      <formula>NOT(ISERROR(SEARCH(("Yes"),(P775))))</formula>
    </cfRule>
  </conditionalFormatting>
  <conditionalFormatting sqref="P775">
    <cfRule type="containsText" dxfId="9" priority="7140" operator="containsText" text="No">
      <formula>NOT(ISERROR(SEARCH(("No"),(P775))))</formula>
    </cfRule>
  </conditionalFormatting>
  <conditionalFormatting sqref="P775">
    <cfRule type="containsText" dxfId="2" priority="7141" operator="containsText" text="Yes">
      <formula>NOT(ISERROR(SEARCH(("Yes"),(P775))))</formula>
    </cfRule>
  </conditionalFormatting>
  <conditionalFormatting sqref="P775">
    <cfRule type="containsText" dxfId="9" priority="7142" operator="containsText" text="No">
      <formula>NOT(ISERROR(SEARCH(("No"),(P775))))</formula>
    </cfRule>
  </conditionalFormatting>
  <conditionalFormatting sqref="P775">
    <cfRule type="containsText" dxfId="2" priority="7143" operator="containsText" text="Yes">
      <formula>NOT(ISERROR(SEARCH(("Yes"),(P775))))</formula>
    </cfRule>
  </conditionalFormatting>
  <conditionalFormatting sqref="P775">
    <cfRule type="containsText" dxfId="9" priority="7144" operator="containsText" text="No">
      <formula>NOT(ISERROR(SEARCH(("No"),(P775))))</formula>
    </cfRule>
  </conditionalFormatting>
  <conditionalFormatting sqref="P775">
    <cfRule type="containsText" dxfId="2" priority="7145" operator="containsText" text="Yes">
      <formula>NOT(ISERROR(SEARCH(("Yes"),(P775))))</formula>
    </cfRule>
  </conditionalFormatting>
  <conditionalFormatting sqref="P775">
    <cfRule type="containsText" dxfId="9" priority="7146" operator="containsText" text="No">
      <formula>NOT(ISERROR(SEARCH(("No"),(P775))))</formula>
    </cfRule>
  </conditionalFormatting>
  <conditionalFormatting sqref="P775">
    <cfRule type="containsText" dxfId="2" priority="7147" operator="containsText" text="Yes">
      <formula>NOT(ISERROR(SEARCH(("Yes"),(P775))))</formula>
    </cfRule>
  </conditionalFormatting>
  <conditionalFormatting sqref="P775">
    <cfRule type="containsText" dxfId="9" priority="7148" operator="containsText" text="No">
      <formula>NOT(ISERROR(SEARCH(("No"),(P775))))</formula>
    </cfRule>
  </conditionalFormatting>
  <conditionalFormatting sqref="P775">
    <cfRule type="containsText" dxfId="2" priority="7149" operator="containsText" text="Yes">
      <formula>NOT(ISERROR(SEARCH(("Yes"),(P775))))</formula>
    </cfRule>
  </conditionalFormatting>
  <conditionalFormatting sqref="P775">
    <cfRule type="containsText" dxfId="9" priority="7150" operator="containsText" text="No">
      <formula>NOT(ISERROR(SEARCH(("No"),(P775))))</formula>
    </cfRule>
  </conditionalFormatting>
  <conditionalFormatting sqref="P775">
    <cfRule type="containsText" dxfId="2" priority="7151" operator="containsText" text="Yes">
      <formula>NOT(ISERROR(SEARCH(("Yes"),(P775))))</formula>
    </cfRule>
  </conditionalFormatting>
  <conditionalFormatting sqref="P775">
    <cfRule type="containsText" dxfId="9" priority="7152" operator="containsText" text="No">
      <formula>NOT(ISERROR(SEARCH(("No"),(P775))))</formula>
    </cfRule>
  </conditionalFormatting>
  <conditionalFormatting sqref="P775">
    <cfRule type="containsText" dxfId="2" priority="7153" operator="containsText" text="Yes">
      <formula>NOT(ISERROR(SEARCH(("Yes"),(P775))))</formula>
    </cfRule>
  </conditionalFormatting>
  <conditionalFormatting sqref="P775">
    <cfRule type="containsText" dxfId="9" priority="7154" operator="containsText" text="No">
      <formula>NOT(ISERROR(SEARCH(("No"),(P775))))</formula>
    </cfRule>
  </conditionalFormatting>
  <conditionalFormatting sqref="P775">
    <cfRule type="containsText" dxfId="2" priority="7155" operator="containsText" text="Yes">
      <formula>NOT(ISERROR(SEARCH(("Yes"),(P775))))</formula>
    </cfRule>
  </conditionalFormatting>
  <conditionalFormatting sqref="P775">
    <cfRule type="containsText" dxfId="9" priority="7156" operator="containsText" text="No">
      <formula>NOT(ISERROR(SEARCH(("No"),(P775))))</formula>
    </cfRule>
  </conditionalFormatting>
  <conditionalFormatting sqref="P775">
    <cfRule type="containsText" dxfId="2" priority="7157" operator="containsText" text="Yes">
      <formula>NOT(ISERROR(SEARCH(("Yes"),(P775))))</formula>
    </cfRule>
  </conditionalFormatting>
  <conditionalFormatting sqref="P775">
    <cfRule type="containsText" dxfId="9" priority="7158" operator="containsText" text="No">
      <formula>NOT(ISERROR(SEARCH(("No"),(P775))))</formula>
    </cfRule>
  </conditionalFormatting>
  <conditionalFormatting sqref="P775">
    <cfRule type="containsText" dxfId="2" priority="7159" operator="containsText" text="Yes">
      <formula>NOT(ISERROR(SEARCH(("Yes"),(P775))))</formula>
    </cfRule>
  </conditionalFormatting>
  <conditionalFormatting sqref="P775">
    <cfRule type="containsText" dxfId="9" priority="7160" operator="containsText" text="No">
      <formula>NOT(ISERROR(SEARCH(("No"),(P775))))</formula>
    </cfRule>
  </conditionalFormatting>
  <conditionalFormatting sqref="P775">
    <cfRule type="containsText" dxfId="2" priority="7161" operator="containsText" text="Yes">
      <formula>NOT(ISERROR(SEARCH(("Yes"),(P775))))</formula>
    </cfRule>
  </conditionalFormatting>
  <conditionalFormatting sqref="P775">
    <cfRule type="containsText" dxfId="9" priority="7162" operator="containsText" text="No">
      <formula>NOT(ISERROR(SEARCH(("No"),(P775))))</formula>
    </cfRule>
  </conditionalFormatting>
  <conditionalFormatting sqref="P775">
    <cfRule type="containsText" dxfId="2" priority="7163" operator="containsText" text="Yes">
      <formula>NOT(ISERROR(SEARCH(("Yes"),(P775))))</formula>
    </cfRule>
  </conditionalFormatting>
  <conditionalFormatting sqref="P775">
    <cfRule type="containsText" dxfId="9" priority="7164" operator="containsText" text="No">
      <formula>NOT(ISERROR(SEARCH(("No"),(P775))))</formula>
    </cfRule>
  </conditionalFormatting>
  <conditionalFormatting sqref="P775">
    <cfRule type="containsText" dxfId="2" priority="7165" operator="containsText" text="Yes">
      <formula>NOT(ISERROR(SEARCH(("Yes"),(P775))))</formula>
    </cfRule>
  </conditionalFormatting>
  <conditionalFormatting sqref="P775">
    <cfRule type="containsText" dxfId="9" priority="7166" operator="containsText" text="No">
      <formula>NOT(ISERROR(SEARCH(("No"),(P775))))</formula>
    </cfRule>
  </conditionalFormatting>
  <conditionalFormatting sqref="P775">
    <cfRule type="containsText" dxfId="2" priority="7167" operator="containsText" text="Yes">
      <formula>NOT(ISERROR(SEARCH(("Yes"),(P775))))</formula>
    </cfRule>
  </conditionalFormatting>
  <conditionalFormatting sqref="P775">
    <cfRule type="containsText" dxfId="9" priority="7168" operator="containsText" text="No">
      <formula>NOT(ISERROR(SEARCH(("No"),(P775))))</formula>
    </cfRule>
  </conditionalFormatting>
  <conditionalFormatting sqref="P775">
    <cfRule type="containsText" dxfId="2" priority="7169" operator="containsText" text="Yes">
      <formula>NOT(ISERROR(SEARCH(("Yes"),(P775))))</formula>
    </cfRule>
  </conditionalFormatting>
  <conditionalFormatting sqref="P775">
    <cfRule type="containsText" dxfId="9" priority="7170" operator="containsText" text="No">
      <formula>NOT(ISERROR(SEARCH(("No"),(P775))))</formula>
    </cfRule>
  </conditionalFormatting>
  <conditionalFormatting sqref="P775">
    <cfRule type="containsText" dxfId="2" priority="7171" operator="containsText" text="Yes">
      <formula>NOT(ISERROR(SEARCH(("Yes"),(P775))))</formula>
    </cfRule>
  </conditionalFormatting>
  <conditionalFormatting sqref="P775">
    <cfRule type="containsText" dxfId="9" priority="7172" operator="containsText" text="No">
      <formula>NOT(ISERROR(SEARCH(("No"),(P775))))</formula>
    </cfRule>
  </conditionalFormatting>
  <conditionalFormatting sqref="P775">
    <cfRule type="containsText" dxfId="2" priority="7173" operator="containsText" text="Yes">
      <formula>NOT(ISERROR(SEARCH(("Yes"),(P775))))</formula>
    </cfRule>
  </conditionalFormatting>
  <conditionalFormatting sqref="P775">
    <cfRule type="containsText" dxfId="9" priority="7174" operator="containsText" text="No">
      <formula>NOT(ISERROR(SEARCH(("No"),(P775))))</formula>
    </cfRule>
  </conditionalFormatting>
  <conditionalFormatting sqref="P775">
    <cfRule type="containsText" dxfId="2" priority="7175" operator="containsText" text="Yes">
      <formula>NOT(ISERROR(SEARCH(("Yes"),(P775))))</formula>
    </cfRule>
  </conditionalFormatting>
  <conditionalFormatting sqref="P775">
    <cfRule type="containsText" dxfId="9" priority="7176" operator="containsText" text="No">
      <formula>NOT(ISERROR(SEARCH(("No"),(P775))))</formula>
    </cfRule>
  </conditionalFormatting>
  <conditionalFormatting sqref="P775">
    <cfRule type="containsText" dxfId="2" priority="7177" operator="containsText" text="Yes">
      <formula>NOT(ISERROR(SEARCH(("Yes"),(P775))))</formula>
    </cfRule>
  </conditionalFormatting>
  <conditionalFormatting sqref="P775">
    <cfRule type="containsText" dxfId="2" priority="7178" operator="containsText" text="Yes">
      <formula>NOT(ISERROR(SEARCH(("Yes"),(P775))))</formula>
    </cfRule>
  </conditionalFormatting>
  <conditionalFormatting sqref="P775">
    <cfRule type="containsText" dxfId="9" priority="7179" operator="containsText" text="No">
      <formula>NOT(ISERROR(SEARCH(("No"),(P775))))</formula>
    </cfRule>
  </conditionalFormatting>
  <conditionalFormatting sqref="P775">
    <cfRule type="containsText" dxfId="2" priority="7180" operator="containsText" text="Yes">
      <formula>NOT(ISERROR(SEARCH(("Yes"),(P775))))</formula>
    </cfRule>
  </conditionalFormatting>
  <conditionalFormatting sqref="P776">
    <cfRule type="containsText" dxfId="9" priority="7181" operator="containsText" text="No">
      <formula>NOT(ISERROR(SEARCH(("No"),(P776))))</formula>
    </cfRule>
  </conditionalFormatting>
  <conditionalFormatting sqref="P776">
    <cfRule type="containsText" dxfId="2" priority="7182" operator="containsText" text="Yes">
      <formula>NOT(ISERROR(SEARCH(("Yes"),(P776))))</formula>
    </cfRule>
  </conditionalFormatting>
  <conditionalFormatting sqref="P777:P781">
    <cfRule type="containsText" dxfId="2" priority="7183" operator="containsText" text="Yes">
      <formula>NOT(ISERROR(SEARCH(("Yes"),(P777))))</formula>
    </cfRule>
  </conditionalFormatting>
  <conditionalFormatting sqref="P777:P781">
    <cfRule type="containsText" dxfId="9" priority="7184" operator="containsText" text="No">
      <formula>NOT(ISERROR(SEARCH(("No"),(P777))))</formula>
    </cfRule>
  </conditionalFormatting>
  <conditionalFormatting sqref="P777:P781">
    <cfRule type="containsText" dxfId="2" priority="7185" operator="containsText" text="Yes">
      <formula>NOT(ISERROR(SEARCH(("Yes"),(P777))))</formula>
    </cfRule>
  </conditionalFormatting>
  <conditionalFormatting sqref="P777:P781">
    <cfRule type="containsText" dxfId="9" priority="7186" operator="containsText" text="No">
      <formula>NOT(ISERROR(SEARCH(("No"),(P777))))</formula>
    </cfRule>
  </conditionalFormatting>
  <conditionalFormatting sqref="P777:P781">
    <cfRule type="containsText" dxfId="2" priority="7187" operator="containsText" text="Yes">
      <formula>NOT(ISERROR(SEARCH(("Yes"),(P777))))</formula>
    </cfRule>
  </conditionalFormatting>
  <conditionalFormatting sqref="P777:P781">
    <cfRule type="containsText" dxfId="9" priority="7188" operator="containsText" text="No">
      <formula>NOT(ISERROR(SEARCH(("No"),(P777))))</formula>
    </cfRule>
  </conditionalFormatting>
  <conditionalFormatting sqref="P777:P781">
    <cfRule type="containsText" dxfId="2" priority="7189" operator="containsText" text="Yes">
      <formula>NOT(ISERROR(SEARCH(("Yes"),(P777))))</formula>
    </cfRule>
  </conditionalFormatting>
  <conditionalFormatting sqref="P777:P781">
    <cfRule type="containsText" dxfId="9" priority="7190" operator="containsText" text="No">
      <formula>NOT(ISERROR(SEARCH(("No"),(P777))))</formula>
    </cfRule>
  </conditionalFormatting>
  <conditionalFormatting sqref="P777:P781">
    <cfRule type="containsText" dxfId="2" priority="7191" operator="containsText" text="Yes">
      <formula>NOT(ISERROR(SEARCH(("Yes"),(P777))))</formula>
    </cfRule>
  </conditionalFormatting>
  <conditionalFormatting sqref="P777:P781">
    <cfRule type="containsText" dxfId="9" priority="7192" operator="containsText" text="No">
      <formula>NOT(ISERROR(SEARCH(("No"),(P777))))</formula>
    </cfRule>
  </conditionalFormatting>
  <conditionalFormatting sqref="P777:P781">
    <cfRule type="containsText" dxfId="2" priority="7193" operator="containsText" text="Yes">
      <formula>NOT(ISERROR(SEARCH(("Yes"),(P777))))</formula>
    </cfRule>
  </conditionalFormatting>
  <conditionalFormatting sqref="P777:P781">
    <cfRule type="containsText" dxfId="9" priority="7194" operator="containsText" text="No">
      <formula>NOT(ISERROR(SEARCH(("No"),(P777))))</formula>
    </cfRule>
  </conditionalFormatting>
  <conditionalFormatting sqref="P777:P781">
    <cfRule type="containsText" dxfId="2" priority="7195" operator="containsText" text="Yes">
      <formula>NOT(ISERROR(SEARCH(("Yes"),(P777))))</formula>
    </cfRule>
  </conditionalFormatting>
  <conditionalFormatting sqref="P777:P781">
    <cfRule type="containsText" dxfId="9" priority="7196" operator="containsText" text="No">
      <formula>NOT(ISERROR(SEARCH(("No"),(P777))))</formula>
    </cfRule>
  </conditionalFormatting>
  <conditionalFormatting sqref="P777:P781">
    <cfRule type="containsText" dxfId="2" priority="7197" operator="containsText" text="Yes">
      <formula>NOT(ISERROR(SEARCH(("Yes"),(P777))))</formula>
    </cfRule>
  </conditionalFormatting>
  <conditionalFormatting sqref="P777:P781">
    <cfRule type="containsText" dxfId="9" priority="7198" operator="containsText" text="No">
      <formula>NOT(ISERROR(SEARCH(("No"),(P777))))</formula>
    </cfRule>
  </conditionalFormatting>
  <conditionalFormatting sqref="P777:P781">
    <cfRule type="containsText" dxfId="2" priority="7199" operator="containsText" text="Yes">
      <formula>NOT(ISERROR(SEARCH(("Yes"),(P777))))</formula>
    </cfRule>
  </conditionalFormatting>
  <conditionalFormatting sqref="P777:P781">
    <cfRule type="containsText" dxfId="9" priority="7200" operator="containsText" text="No">
      <formula>NOT(ISERROR(SEARCH(("No"),(P777))))</formula>
    </cfRule>
  </conditionalFormatting>
  <conditionalFormatting sqref="P777:P781">
    <cfRule type="containsText" dxfId="2" priority="7201" operator="containsText" text="Yes">
      <formula>NOT(ISERROR(SEARCH(("Yes"),(P777))))</formula>
    </cfRule>
  </conditionalFormatting>
  <conditionalFormatting sqref="P777:P781">
    <cfRule type="containsText" dxfId="9" priority="7202" operator="containsText" text="No">
      <formula>NOT(ISERROR(SEARCH(("No"),(P777))))</formula>
    </cfRule>
  </conditionalFormatting>
  <conditionalFormatting sqref="P777:P781">
    <cfRule type="containsText" dxfId="2" priority="7203" operator="containsText" text="Yes">
      <formula>NOT(ISERROR(SEARCH(("Yes"),(P777))))</formula>
    </cfRule>
  </conditionalFormatting>
  <conditionalFormatting sqref="P777:P781">
    <cfRule type="containsText" dxfId="9" priority="7204" operator="containsText" text="No">
      <formula>NOT(ISERROR(SEARCH(("No"),(P777))))</formula>
    </cfRule>
  </conditionalFormatting>
  <conditionalFormatting sqref="P777:P781">
    <cfRule type="containsText" dxfId="2" priority="7205" operator="containsText" text="Yes">
      <formula>NOT(ISERROR(SEARCH(("Yes"),(P777))))</formula>
    </cfRule>
  </conditionalFormatting>
  <conditionalFormatting sqref="P777:P781">
    <cfRule type="containsText" dxfId="9" priority="7206" operator="containsText" text="No">
      <formula>NOT(ISERROR(SEARCH(("No"),(P777))))</formula>
    </cfRule>
  </conditionalFormatting>
  <conditionalFormatting sqref="P777:P781">
    <cfRule type="containsText" dxfId="2" priority="7207" operator="containsText" text="Yes">
      <formula>NOT(ISERROR(SEARCH(("Yes"),(P777))))</formula>
    </cfRule>
  </conditionalFormatting>
  <conditionalFormatting sqref="P777:P781">
    <cfRule type="containsText" dxfId="9" priority="7208" operator="containsText" text="No">
      <formula>NOT(ISERROR(SEARCH(("No"),(P777))))</formula>
    </cfRule>
  </conditionalFormatting>
  <conditionalFormatting sqref="P777:P781">
    <cfRule type="containsText" dxfId="2" priority="7209" operator="containsText" text="Yes">
      <formula>NOT(ISERROR(SEARCH(("Yes"),(P777))))</formula>
    </cfRule>
  </conditionalFormatting>
  <conditionalFormatting sqref="P777:P781">
    <cfRule type="containsText" dxfId="9" priority="7210" operator="containsText" text="No">
      <formula>NOT(ISERROR(SEARCH(("No"),(P777))))</formula>
    </cfRule>
  </conditionalFormatting>
  <conditionalFormatting sqref="P777:P781">
    <cfRule type="containsText" dxfId="2" priority="7211" operator="containsText" text="Yes">
      <formula>NOT(ISERROR(SEARCH(("Yes"),(P777))))</formula>
    </cfRule>
  </conditionalFormatting>
  <conditionalFormatting sqref="P777:P781">
    <cfRule type="containsText" dxfId="9" priority="7212" operator="containsText" text="No">
      <formula>NOT(ISERROR(SEARCH(("No"),(P777))))</formula>
    </cfRule>
  </conditionalFormatting>
  <conditionalFormatting sqref="P777:P781">
    <cfRule type="containsText" dxfId="2" priority="7213" operator="containsText" text="Yes">
      <formula>NOT(ISERROR(SEARCH(("Yes"),(P777))))</formula>
    </cfRule>
  </conditionalFormatting>
  <conditionalFormatting sqref="P777:P781">
    <cfRule type="containsText" dxfId="9" priority="7214" operator="containsText" text="No">
      <formula>NOT(ISERROR(SEARCH(("No"),(P777))))</formula>
    </cfRule>
  </conditionalFormatting>
  <conditionalFormatting sqref="P777:P781">
    <cfRule type="containsText" dxfId="2" priority="7215" operator="containsText" text="Yes">
      <formula>NOT(ISERROR(SEARCH(("Yes"),(P777))))</formula>
    </cfRule>
  </conditionalFormatting>
  <conditionalFormatting sqref="P777:P781">
    <cfRule type="containsText" dxfId="9" priority="7216" operator="containsText" text="No">
      <formula>NOT(ISERROR(SEARCH(("No"),(P777))))</formula>
    </cfRule>
  </conditionalFormatting>
  <conditionalFormatting sqref="P777:P781">
    <cfRule type="containsText" dxfId="2" priority="7217" operator="containsText" text="Yes">
      <formula>NOT(ISERROR(SEARCH(("Yes"),(P777))))</formula>
    </cfRule>
  </conditionalFormatting>
  <conditionalFormatting sqref="P777:P781">
    <cfRule type="containsText" dxfId="9" priority="7218" operator="containsText" text="No">
      <formula>NOT(ISERROR(SEARCH(("No"),(P777))))</formula>
    </cfRule>
  </conditionalFormatting>
  <conditionalFormatting sqref="P777:P781">
    <cfRule type="containsText" dxfId="2" priority="7219" operator="containsText" text="Yes">
      <formula>NOT(ISERROR(SEARCH(("Yes"),(P777))))</formula>
    </cfRule>
  </conditionalFormatting>
  <conditionalFormatting sqref="P777:P781">
    <cfRule type="containsText" dxfId="9" priority="7220" operator="containsText" text="No">
      <formula>NOT(ISERROR(SEARCH(("No"),(P777))))</formula>
    </cfRule>
  </conditionalFormatting>
  <conditionalFormatting sqref="P777:P781">
    <cfRule type="containsText" dxfId="2" priority="7221" operator="containsText" text="Yes">
      <formula>NOT(ISERROR(SEARCH(("Yes"),(P777))))</formula>
    </cfRule>
  </conditionalFormatting>
  <conditionalFormatting sqref="P777:P781">
    <cfRule type="containsText" dxfId="9" priority="7222" operator="containsText" text="No">
      <formula>NOT(ISERROR(SEARCH(("No"),(P777))))</formula>
    </cfRule>
  </conditionalFormatting>
  <conditionalFormatting sqref="P777:P781">
    <cfRule type="containsText" dxfId="2" priority="7223" operator="containsText" text="Yes">
      <formula>NOT(ISERROR(SEARCH(("Yes"),(P777))))</formula>
    </cfRule>
  </conditionalFormatting>
  <conditionalFormatting sqref="P777:P781">
    <cfRule type="containsText" dxfId="9" priority="7224" operator="containsText" text="No">
      <formula>NOT(ISERROR(SEARCH(("No"),(P777))))</formula>
    </cfRule>
  </conditionalFormatting>
  <conditionalFormatting sqref="P777:P781">
    <cfRule type="containsText" dxfId="2" priority="7225" operator="containsText" text="Yes">
      <formula>NOT(ISERROR(SEARCH(("Yes"),(P777))))</formula>
    </cfRule>
  </conditionalFormatting>
  <conditionalFormatting sqref="P777:P781">
    <cfRule type="containsText" dxfId="9" priority="7226" operator="containsText" text="No">
      <formula>NOT(ISERROR(SEARCH(("No"),(P777))))</formula>
    </cfRule>
  </conditionalFormatting>
  <conditionalFormatting sqref="P777:P781">
    <cfRule type="containsText" dxfId="2" priority="7227" operator="containsText" text="Yes">
      <formula>NOT(ISERROR(SEARCH(("Yes"),(P777))))</formula>
    </cfRule>
  </conditionalFormatting>
  <conditionalFormatting sqref="P777:P781">
    <cfRule type="containsText" dxfId="9" priority="7228" operator="containsText" text="No">
      <formula>NOT(ISERROR(SEARCH(("No"),(P777))))</formula>
    </cfRule>
  </conditionalFormatting>
  <conditionalFormatting sqref="P777:P781">
    <cfRule type="containsText" dxfId="2" priority="7229" operator="containsText" text="Yes">
      <formula>NOT(ISERROR(SEARCH(("Yes"),(P777))))</formula>
    </cfRule>
  </conditionalFormatting>
  <conditionalFormatting sqref="P777:P781">
    <cfRule type="containsText" dxfId="9" priority="7230" operator="containsText" text="No">
      <formula>NOT(ISERROR(SEARCH(("No"),(P777))))</formula>
    </cfRule>
  </conditionalFormatting>
  <conditionalFormatting sqref="P777:P781">
    <cfRule type="containsText" dxfId="2" priority="7231" operator="containsText" text="Yes">
      <formula>NOT(ISERROR(SEARCH(("Yes"),(P777))))</formula>
    </cfRule>
  </conditionalFormatting>
  <conditionalFormatting sqref="P777:P781">
    <cfRule type="containsText" dxfId="9" priority="7232" operator="containsText" text="No">
      <formula>NOT(ISERROR(SEARCH(("No"),(P777))))</formula>
    </cfRule>
  </conditionalFormatting>
  <conditionalFormatting sqref="P777:P781">
    <cfRule type="containsText" dxfId="2" priority="7233" operator="containsText" text="Yes">
      <formula>NOT(ISERROR(SEARCH(("Yes"),(P777))))</formula>
    </cfRule>
  </conditionalFormatting>
  <conditionalFormatting sqref="P777:P781">
    <cfRule type="containsText" dxfId="9" priority="7234" operator="containsText" text="No">
      <formula>NOT(ISERROR(SEARCH(("No"),(P777))))</formula>
    </cfRule>
  </conditionalFormatting>
  <conditionalFormatting sqref="P777:P781">
    <cfRule type="containsText" dxfId="2" priority="7235" operator="containsText" text="Yes">
      <formula>NOT(ISERROR(SEARCH(("Yes"),(P777))))</formula>
    </cfRule>
  </conditionalFormatting>
  <conditionalFormatting sqref="P777:P781">
    <cfRule type="containsText" dxfId="9" priority="7236" operator="containsText" text="No">
      <formula>NOT(ISERROR(SEARCH(("No"),(P777))))</formula>
    </cfRule>
  </conditionalFormatting>
  <conditionalFormatting sqref="P777:P781">
    <cfRule type="containsText" dxfId="2" priority="7237" operator="containsText" text="Yes">
      <formula>NOT(ISERROR(SEARCH(("Yes"),(P777))))</formula>
    </cfRule>
  </conditionalFormatting>
  <conditionalFormatting sqref="P777:P781">
    <cfRule type="containsText" dxfId="9" priority="7238" operator="containsText" text="No">
      <formula>NOT(ISERROR(SEARCH(("No"),(P777))))</formula>
    </cfRule>
  </conditionalFormatting>
  <conditionalFormatting sqref="P777:P781">
    <cfRule type="containsText" dxfId="2" priority="7239" operator="containsText" text="Yes">
      <formula>NOT(ISERROR(SEARCH(("Yes"),(P777))))</formula>
    </cfRule>
  </conditionalFormatting>
  <conditionalFormatting sqref="P777:P781">
    <cfRule type="containsText" dxfId="9" priority="7240" operator="containsText" text="No">
      <formula>NOT(ISERROR(SEARCH(("No"),(P777))))</formula>
    </cfRule>
  </conditionalFormatting>
  <conditionalFormatting sqref="P777:P781">
    <cfRule type="containsText" dxfId="2" priority="7241" operator="containsText" text="Yes">
      <formula>NOT(ISERROR(SEARCH(("Yes"),(P777))))</formula>
    </cfRule>
  </conditionalFormatting>
  <conditionalFormatting sqref="P777:P781">
    <cfRule type="containsText" dxfId="9" priority="7242" operator="containsText" text="No">
      <formula>NOT(ISERROR(SEARCH(("No"),(P777))))</formula>
    </cfRule>
  </conditionalFormatting>
  <conditionalFormatting sqref="P777:P781">
    <cfRule type="containsText" dxfId="2" priority="7243" operator="containsText" text="Yes">
      <formula>NOT(ISERROR(SEARCH(("Yes"),(P777))))</formula>
    </cfRule>
  </conditionalFormatting>
  <conditionalFormatting sqref="P777:P781">
    <cfRule type="containsText" dxfId="9" priority="7244" operator="containsText" text="No">
      <formula>NOT(ISERROR(SEARCH(("No"),(P777))))</formula>
    </cfRule>
  </conditionalFormatting>
  <conditionalFormatting sqref="P777:P781">
    <cfRule type="containsText" dxfId="2" priority="7245" operator="containsText" text="Yes">
      <formula>NOT(ISERROR(SEARCH(("Yes"),(P777))))</formula>
    </cfRule>
  </conditionalFormatting>
  <conditionalFormatting sqref="P777:P781">
    <cfRule type="containsText" dxfId="9" priority="7246" operator="containsText" text="No">
      <formula>NOT(ISERROR(SEARCH(("No"),(P777))))</formula>
    </cfRule>
  </conditionalFormatting>
  <conditionalFormatting sqref="P777:P781">
    <cfRule type="containsText" dxfId="2" priority="7247" operator="containsText" text="Yes">
      <formula>NOT(ISERROR(SEARCH(("Yes"),(P777))))</formula>
    </cfRule>
  </conditionalFormatting>
  <conditionalFormatting sqref="P777:P781">
    <cfRule type="containsText" dxfId="9" priority="7248" operator="containsText" text="No">
      <formula>NOT(ISERROR(SEARCH(("No"),(P777))))</formula>
    </cfRule>
  </conditionalFormatting>
  <conditionalFormatting sqref="P777:P781">
    <cfRule type="containsText" dxfId="2" priority="7249" operator="containsText" text="Yes">
      <formula>NOT(ISERROR(SEARCH(("Yes"),(P777))))</formula>
    </cfRule>
  </conditionalFormatting>
  <conditionalFormatting sqref="P777:P781">
    <cfRule type="containsText" dxfId="9" priority="7250" operator="containsText" text="No">
      <formula>NOT(ISERROR(SEARCH(("No"),(P777))))</formula>
    </cfRule>
  </conditionalFormatting>
  <conditionalFormatting sqref="P777:P781">
    <cfRule type="containsText" dxfId="2" priority="7251" operator="containsText" text="Yes">
      <formula>NOT(ISERROR(SEARCH(("Yes"),(P777))))</formula>
    </cfRule>
  </conditionalFormatting>
  <conditionalFormatting sqref="P777:P781">
    <cfRule type="containsText" dxfId="9" priority="7252" operator="containsText" text="No">
      <formula>NOT(ISERROR(SEARCH(("No"),(P777))))</formula>
    </cfRule>
  </conditionalFormatting>
  <conditionalFormatting sqref="P777:P781">
    <cfRule type="containsText" dxfId="2" priority="7253" operator="containsText" text="Yes">
      <formula>NOT(ISERROR(SEARCH(("Yes"),(P777))))</formula>
    </cfRule>
  </conditionalFormatting>
  <conditionalFormatting sqref="P777:P781">
    <cfRule type="containsText" dxfId="9" priority="7254" operator="containsText" text="No">
      <formula>NOT(ISERROR(SEARCH(("No"),(P777))))</formula>
    </cfRule>
  </conditionalFormatting>
  <conditionalFormatting sqref="P777:P781">
    <cfRule type="containsText" dxfId="2" priority="7255" operator="containsText" text="Yes">
      <formula>NOT(ISERROR(SEARCH(("Yes"),(P777))))</formula>
    </cfRule>
  </conditionalFormatting>
  <conditionalFormatting sqref="P777:P781">
    <cfRule type="containsText" dxfId="9" priority="7256" operator="containsText" text="No">
      <formula>NOT(ISERROR(SEARCH(("No"),(P777))))</formula>
    </cfRule>
  </conditionalFormatting>
  <conditionalFormatting sqref="P777:P781">
    <cfRule type="containsText" dxfId="2" priority="7257" operator="containsText" text="Yes">
      <formula>NOT(ISERROR(SEARCH(("Yes"),(P777))))</formula>
    </cfRule>
  </conditionalFormatting>
  <conditionalFormatting sqref="P777:P781">
    <cfRule type="containsText" dxfId="9" priority="7258" operator="containsText" text="No">
      <formula>NOT(ISERROR(SEARCH(("No"),(P777))))</formula>
    </cfRule>
  </conditionalFormatting>
  <conditionalFormatting sqref="P777:P781">
    <cfRule type="containsText" dxfId="2" priority="7259" operator="containsText" text="Yes">
      <formula>NOT(ISERROR(SEARCH(("Yes"),(P777))))</formula>
    </cfRule>
  </conditionalFormatting>
  <conditionalFormatting sqref="P777:P781">
    <cfRule type="containsText" dxfId="9" priority="7260" operator="containsText" text="No">
      <formula>NOT(ISERROR(SEARCH(("No"),(P777))))</formula>
    </cfRule>
  </conditionalFormatting>
  <conditionalFormatting sqref="P777:P781">
    <cfRule type="containsText" dxfId="2" priority="7261" operator="containsText" text="Yes">
      <formula>NOT(ISERROR(SEARCH(("Yes"),(P777))))</formula>
    </cfRule>
  </conditionalFormatting>
  <conditionalFormatting sqref="P777:P781">
    <cfRule type="containsText" dxfId="9" priority="7262" operator="containsText" text="No">
      <formula>NOT(ISERROR(SEARCH(("No"),(P777))))</formula>
    </cfRule>
  </conditionalFormatting>
  <conditionalFormatting sqref="P777:P781">
    <cfRule type="containsText" dxfId="2" priority="7263" operator="containsText" text="Yes">
      <formula>NOT(ISERROR(SEARCH(("Yes"),(P777))))</formula>
    </cfRule>
  </conditionalFormatting>
  <conditionalFormatting sqref="P777:P781">
    <cfRule type="containsText" dxfId="9" priority="7264" operator="containsText" text="No">
      <formula>NOT(ISERROR(SEARCH(("No"),(P777))))</formula>
    </cfRule>
  </conditionalFormatting>
  <conditionalFormatting sqref="P777:P781">
    <cfRule type="containsText" dxfId="2" priority="7265" operator="containsText" text="Yes">
      <formula>NOT(ISERROR(SEARCH(("Yes"),(P777))))</formula>
    </cfRule>
  </conditionalFormatting>
  <conditionalFormatting sqref="P777:P781">
    <cfRule type="containsText" dxfId="9" priority="7266" operator="containsText" text="No">
      <formula>NOT(ISERROR(SEARCH(("No"),(P777))))</formula>
    </cfRule>
  </conditionalFormatting>
  <conditionalFormatting sqref="P777:P781">
    <cfRule type="containsText" dxfId="2" priority="7267" operator="containsText" text="Yes">
      <formula>NOT(ISERROR(SEARCH(("Yes"),(P777))))</formula>
    </cfRule>
  </conditionalFormatting>
  <conditionalFormatting sqref="P777:P781">
    <cfRule type="containsText" dxfId="9" priority="7268" operator="containsText" text="No">
      <formula>NOT(ISERROR(SEARCH(("No"),(P777))))</formula>
    </cfRule>
  </conditionalFormatting>
  <conditionalFormatting sqref="P777:P781">
    <cfRule type="containsText" dxfId="2" priority="7269" operator="containsText" text="Yes">
      <formula>NOT(ISERROR(SEARCH(("Yes"),(P777))))</formula>
    </cfRule>
  </conditionalFormatting>
  <conditionalFormatting sqref="P777:P781">
    <cfRule type="containsText" dxfId="9" priority="7270" operator="containsText" text="No">
      <formula>NOT(ISERROR(SEARCH(("No"),(P777))))</formula>
    </cfRule>
  </conditionalFormatting>
  <conditionalFormatting sqref="P777:P781">
    <cfRule type="containsText" dxfId="2" priority="7271" operator="containsText" text="Yes">
      <formula>NOT(ISERROR(SEARCH(("Yes"),(P777))))</formula>
    </cfRule>
  </conditionalFormatting>
  <conditionalFormatting sqref="P777:P781">
    <cfRule type="containsText" dxfId="2" priority="7272" operator="containsText" text="Yes">
      <formula>NOT(ISERROR(SEARCH(("Yes"),(P777))))</formula>
    </cfRule>
  </conditionalFormatting>
  <conditionalFormatting sqref="P777:P781">
    <cfRule type="containsText" dxfId="9" priority="7273" operator="containsText" text="No">
      <formula>NOT(ISERROR(SEARCH(("No"),(P777))))</formula>
    </cfRule>
  </conditionalFormatting>
  <conditionalFormatting sqref="P777:P781">
    <cfRule type="containsText" dxfId="2" priority="7274" operator="containsText" text="Yes">
      <formula>NOT(ISERROR(SEARCH(("Yes"),(P777))))</formula>
    </cfRule>
  </conditionalFormatting>
  <conditionalFormatting sqref="P783">
    <cfRule type="containsText" dxfId="9" priority="7275" operator="containsText" text="No">
      <formula>NOT(ISERROR(SEARCH(("No"),(P783))))</formula>
    </cfRule>
  </conditionalFormatting>
  <conditionalFormatting sqref="P783">
    <cfRule type="containsText" dxfId="2" priority="7276" operator="containsText" text="Yes">
      <formula>NOT(ISERROR(SEARCH(("Yes"),(P783))))</formula>
    </cfRule>
  </conditionalFormatting>
  <conditionalFormatting sqref="P786:P800">
    <cfRule type="containsText" dxfId="2" priority="7277" operator="containsText" text="Yes">
      <formula>NOT(ISERROR(SEARCH(("Yes"),(P786))))</formula>
    </cfRule>
  </conditionalFormatting>
  <conditionalFormatting sqref="P786:P800">
    <cfRule type="containsText" dxfId="9" priority="7278" operator="containsText" text="No">
      <formula>NOT(ISERROR(SEARCH(("No"),(P786))))</formula>
    </cfRule>
  </conditionalFormatting>
  <conditionalFormatting sqref="P786:P800">
    <cfRule type="containsText" dxfId="2" priority="7279" operator="containsText" text="Yes">
      <formula>NOT(ISERROR(SEARCH(("Yes"),(P786))))</formula>
    </cfRule>
  </conditionalFormatting>
  <conditionalFormatting sqref="P786:P800">
    <cfRule type="containsText" dxfId="9" priority="7280" operator="containsText" text="No">
      <formula>NOT(ISERROR(SEARCH(("No"),(P786))))</formula>
    </cfRule>
  </conditionalFormatting>
  <conditionalFormatting sqref="P786:P800">
    <cfRule type="containsText" dxfId="2" priority="7281" operator="containsText" text="Yes">
      <formula>NOT(ISERROR(SEARCH(("Yes"),(P786))))</formula>
    </cfRule>
  </conditionalFormatting>
  <conditionalFormatting sqref="P786:P800">
    <cfRule type="containsText" dxfId="9" priority="7282" operator="containsText" text="No">
      <formula>NOT(ISERROR(SEARCH(("No"),(P786))))</formula>
    </cfRule>
  </conditionalFormatting>
  <conditionalFormatting sqref="P786:P800">
    <cfRule type="containsText" dxfId="2" priority="7283" operator="containsText" text="Yes">
      <formula>NOT(ISERROR(SEARCH(("Yes"),(P786))))</formula>
    </cfRule>
  </conditionalFormatting>
  <conditionalFormatting sqref="P786:P800">
    <cfRule type="containsText" dxfId="9" priority="7284" operator="containsText" text="No">
      <formula>NOT(ISERROR(SEARCH(("No"),(P786))))</formula>
    </cfRule>
  </conditionalFormatting>
  <conditionalFormatting sqref="P786:P800">
    <cfRule type="containsText" dxfId="2" priority="7285" operator="containsText" text="Yes">
      <formula>NOT(ISERROR(SEARCH(("Yes"),(P786))))</formula>
    </cfRule>
  </conditionalFormatting>
  <conditionalFormatting sqref="P786:P800">
    <cfRule type="containsText" dxfId="9" priority="7286" operator="containsText" text="No">
      <formula>NOT(ISERROR(SEARCH(("No"),(P786))))</formula>
    </cfRule>
  </conditionalFormatting>
  <conditionalFormatting sqref="P786:P800">
    <cfRule type="containsText" dxfId="2" priority="7287" operator="containsText" text="Yes">
      <formula>NOT(ISERROR(SEARCH(("Yes"),(P786))))</formula>
    </cfRule>
  </conditionalFormatting>
  <conditionalFormatting sqref="P786:P800">
    <cfRule type="containsText" dxfId="9" priority="7288" operator="containsText" text="No">
      <formula>NOT(ISERROR(SEARCH(("No"),(P786))))</formula>
    </cfRule>
  </conditionalFormatting>
  <conditionalFormatting sqref="P786:P800">
    <cfRule type="containsText" dxfId="2" priority="7289" operator="containsText" text="Yes">
      <formula>NOT(ISERROR(SEARCH(("Yes"),(P786))))</formula>
    </cfRule>
  </conditionalFormatting>
  <conditionalFormatting sqref="P786:P800">
    <cfRule type="containsText" dxfId="9" priority="7290" operator="containsText" text="No">
      <formula>NOT(ISERROR(SEARCH(("No"),(P786))))</formula>
    </cfRule>
  </conditionalFormatting>
  <conditionalFormatting sqref="P786:P800">
    <cfRule type="containsText" dxfId="2" priority="7291" operator="containsText" text="Yes">
      <formula>NOT(ISERROR(SEARCH(("Yes"),(P786))))</formula>
    </cfRule>
  </conditionalFormatting>
  <conditionalFormatting sqref="P786:P800">
    <cfRule type="containsText" dxfId="9" priority="7292" operator="containsText" text="No">
      <formula>NOT(ISERROR(SEARCH(("No"),(P786))))</formula>
    </cfRule>
  </conditionalFormatting>
  <conditionalFormatting sqref="P786:P800">
    <cfRule type="containsText" dxfId="2" priority="7293" operator="containsText" text="Yes">
      <formula>NOT(ISERROR(SEARCH(("Yes"),(P786))))</formula>
    </cfRule>
  </conditionalFormatting>
  <conditionalFormatting sqref="P786:P800">
    <cfRule type="containsText" dxfId="9" priority="7294" operator="containsText" text="No">
      <formula>NOT(ISERROR(SEARCH(("No"),(P786))))</formula>
    </cfRule>
  </conditionalFormatting>
  <conditionalFormatting sqref="P786:P800">
    <cfRule type="containsText" dxfId="2" priority="7295" operator="containsText" text="Yes">
      <formula>NOT(ISERROR(SEARCH(("Yes"),(P786))))</formula>
    </cfRule>
  </conditionalFormatting>
  <conditionalFormatting sqref="P786:P800">
    <cfRule type="containsText" dxfId="9" priority="7296" operator="containsText" text="No">
      <formula>NOT(ISERROR(SEARCH(("No"),(P786))))</formula>
    </cfRule>
  </conditionalFormatting>
  <conditionalFormatting sqref="P786:P800">
    <cfRule type="containsText" dxfId="2" priority="7297" operator="containsText" text="Yes">
      <formula>NOT(ISERROR(SEARCH(("Yes"),(P786))))</formula>
    </cfRule>
  </conditionalFormatting>
  <conditionalFormatting sqref="P786:P800">
    <cfRule type="containsText" dxfId="9" priority="7298" operator="containsText" text="No">
      <formula>NOT(ISERROR(SEARCH(("No"),(P786))))</formula>
    </cfRule>
  </conditionalFormatting>
  <conditionalFormatting sqref="P786:P800">
    <cfRule type="containsText" dxfId="2" priority="7299" operator="containsText" text="Yes">
      <formula>NOT(ISERROR(SEARCH(("Yes"),(P786))))</formula>
    </cfRule>
  </conditionalFormatting>
  <conditionalFormatting sqref="P786:P800">
    <cfRule type="containsText" dxfId="9" priority="7300" operator="containsText" text="No">
      <formula>NOT(ISERROR(SEARCH(("No"),(P786))))</formula>
    </cfRule>
  </conditionalFormatting>
  <conditionalFormatting sqref="P786:P800">
    <cfRule type="containsText" dxfId="2" priority="7301" operator="containsText" text="Yes">
      <formula>NOT(ISERROR(SEARCH(("Yes"),(P786))))</formula>
    </cfRule>
  </conditionalFormatting>
  <conditionalFormatting sqref="P786:P800">
    <cfRule type="containsText" dxfId="9" priority="7302" operator="containsText" text="No">
      <formula>NOT(ISERROR(SEARCH(("No"),(P786))))</formula>
    </cfRule>
  </conditionalFormatting>
  <conditionalFormatting sqref="P786:P800">
    <cfRule type="containsText" dxfId="2" priority="7303" operator="containsText" text="Yes">
      <formula>NOT(ISERROR(SEARCH(("Yes"),(P786))))</formula>
    </cfRule>
  </conditionalFormatting>
  <conditionalFormatting sqref="P786:P800">
    <cfRule type="containsText" dxfId="9" priority="7304" operator="containsText" text="No">
      <formula>NOT(ISERROR(SEARCH(("No"),(P786))))</formula>
    </cfRule>
  </conditionalFormatting>
  <conditionalFormatting sqref="P786:P800">
    <cfRule type="containsText" dxfId="2" priority="7305" operator="containsText" text="Yes">
      <formula>NOT(ISERROR(SEARCH(("Yes"),(P786))))</formula>
    </cfRule>
  </conditionalFormatting>
  <conditionalFormatting sqref="P786:P800">
    <cfRule type="containsText" dxfId="9" priority="7306" operator="containsText" text="No">
      <formula>NOT(ISERROR(SEARCH(("No"),(P786))))</formula>
    </cfRule>
  </conditionalFormatting>
  <conditionalFormatting sqref="P786:P800">
    <cfRule type="containsText" dxfId="2" priority="7307" operator="containsText" text="Yes">
      <formula>NOT(ISERROR(SEARCH(("Yes"),(P786))))</formula>
    </cfRule>
  </conditionalFormatting>
  <conditionalFormatting sqref="P786:P800">
    <cfRule type="containsText" dxfId="9" priority="7308" operator="containsText" text="No">
      <formula>NOT(ISERROR(SEARCH(("No"),(P786))))</formula>
    </cfRule>
  </conditionalFormatting>
  <conditionalFormatting sqref="P786:P800">
    <cfRule type="containsText" dxfId="2" priority="7309" operator="containsText" text="Yes">
      <formula>NOT(ISERROR(SEARCH(("Yes"),(P786))))</formula>
    </cfRule>
  </conditionalFormatting>
  <conditionalFormatting sqref="P786:P800">
    <cfRule type="containsText" dxfId="9" priority="7310" operator="containsText" text="No">
      <formula>NOT(ISERROR(SEARCH(("No"),(P786))))</formula>
    </cfRule>
  </conditionalFormatting>
  <conditionalFormatting sqref="P786:P800">
    <cfRule type="containsText" dxfId="2" priority="7311" operator="containsText" text="Yes">
      <formula>NOT(ISERROR(SEARCH(("Yes"),(P786))))</formula>
    </cfRule>
  </conditionalFormatting>
  <conditionalFormatting sqref="P786:P800">
    <cfRule type="containsText" dxfId="9" priority="7312" operator="containsText" text="No">
      <formula>NOT(ISERROR(SEARCH(("No"),(P786))))</formula>
    </cfRule>
  </conditionalFormatting>
  <conditionalFormatting sqref="P786:P800">
    <cfRule type="containsText" dxfId="2" priority="7313" operator="containsText" text="Yes">
      <formula>NOT(ISERROR(SEARCH(("Yes"),(P786))))</formula>
    </cfRule>
  </conditionalFormatting>
  <conditionalFormatting sqref="P786:P800">
    <cfRule type="containsText" dxfId="9" priority="7314" operator="containsText" text="No">
      <formula>NOT(ISERROR(SEARCH(("No"),(P786))))</formula>
    </cfRule>
  </conditionalFormatting>
  <conditionalFormatting sqref="P786:P800">
    <cfRule type="containsText" dxfId="2" priority="7315" operator="containsText" text="Yes">
      <formula>NOT(ISERROR(SEARCH(("Yes"),(P786))))</formula>
    </cfRule>
  </conditionalFormatting>
  <conditionalFormatting sqref="P786:P800">
    <cfRule type="containsText" dxfId="9" priority="7316" operator="containsText" text="No">
      <formula>NOT(ISERROR(SEARCH(("No"),(P786))))</formula>
    </cfRule>
  </conditionalFormatting>
  <conditionalFormatting sqref="P786:P800">
    <cfRule type="containsText" dxfId="2" priority="7317" operator="containsText" text="Yes">
      <formula>NOT(ISERROR(SEARCH(("Yes"),(P786))))</formula>
    </cfRule>
  </conditionalFormatting>
  <conditionalFormatting sqref="P786:P800">
    <cfRule type="containsText" dxfId="9" priority="7318" operator="containsText" text="No">
      <formula>NOT(ISERROR(SEARCH(("No"),(P786))))</formula>
    </cfRule>
  </conditionalFormatting>
  <conditionalFormatting sqref="P786:P800">
    <cfRule type="containsText" dxfId="2" priority="7319" operator="containsText" text="Yes">
      <formula>NOT(ISERROR(SEARCH(("Yes"),(P786))))</formula>
    </cfRule>
  </conditionalFormatting>
  <conditionalFormatting sqref="P786:P800">
    <cfRule type="containsText" dxfId="9" priority="7320" operator="containsText" text="No">
      <formula>NOT(ISERROR(SEARCH(("No"),(P786))))</formula>
    </cfRule>
  </conditionalFormatting>
  <conditionalFormatting sqref="P786:P800">
    <cfRule type="containsText" dxfId="2" priority="7321" operator="containsText" text="Yes">
      <formula>NOT(ISERROR(SEARCH(("Yes"),(P786))))</formula>
    </cfRule>
  </conditionalFormatting>
  <conditionalFormatting sqref="P786:P800">
    <cfRule type="containsText" dxfId="9" priority="7322" operator="containsText" text="No">
      <formula>NOT(ISERROR(SEARCH(("No"),(P786))))</formula>
    </cfRule>
  </conditionalFormatting>
  <conditionalFormatting sqref="P786:P800">
    <cfRule type="containsText" dxfId="2" priority="7323" operator="containsText" text="Yes">
      <formula>NOT(ISERROR(SEARCH(("Yes"),(P786))))</formula>
    </cfRule>
  </conditionalFormatting>
  <conditionalFormatting sqref="P786:P800">
    <cfRule type="containsText" dxfId="9" priority="7324" operator="containsText" text="No">
      <formula>NOT(ISERROR(SEARCH(("No"),(P786))))</formula>
    </cfRule>
  </conditionalFormatting>
  <conditionalFormatting sqref="P786:P800">
    <cfRule type="containsText" dxfId="2" priority="7325" operator="containsText" text="Yes">
      <formula>NOT(ISERROR(SEARCH(("Yes"),(P786))))</formula>
    </cfRule>
  </conditionalFormatting>
  <conditionalFormatting sqref="P786:P800">
    <cfRule type="containsText" dxfId="9" priority="7326" operator="containsText" text="No">
      <formula>NOT(ISERROR(SEARCH(("No"),(P786))))</formula>
    </cfRule>
  </conditionalFormatting>
  <conditionalFormatting sqref="P786:P800">
    <cfRule type="containsText" dxfId="2" priority="7327" operator="containsText" text="Yes">
      <formula>NOT(ISERROR(SEARCH(("Yes"),(P786))))</formula>
    </cfRule>
  </conditionalFormatting>
  <conditionalFormatting sqref="P786:P800">
    <cfRule type="containsText" dxfId="9" priority="7328" operator="containsText" text="No">
      <formula>NOT(ISERROR(SEARCH(("No"),(P786))))</formula>
    </cfRule>
  </conditionalFormatting>
  <conditionalFormatting sqref="P786:P800">
    <cfRule type="containsText" dxfId="2" priority="7329" operator="containsText" text="Yes">
      <formula>NOT(ISERROR(SEARCH(("Yes"),(P786))))</formula>
    </cfRule>
  </conditionalFormatting>
  <conditionalFormatting sqref="P786:P800">
    <cfRule type="containsText" dxfId="9" priority="7330" operator="containsText" text="No">
      <formula>NOT(ISERROR(SEARCH(("No"),(P786))))</formula>
    </cfRule>
  </conditionalFormatting>
  <conditionalFormatting sqref="P786:P800">
    <cfRule type="containsText" dxfId="2" priority="7331" operator="containsText" text="Yes">
      <formula>NOT(ISERROR(SEARCH(("Yes"),(P786))))</formula>
    </cfRule>
  </conditionalFormatting>
  <conditionalFormatting sqref="P786:P800">
    <cfRule type="containsText" dxfId="9" priority="7332" operator="containsText" text="No">
      <formula>NOT(ISERROR(SEARCH(("No"),(P786))))</formula>
    </cfRule>
  </conditionalFormatting>
  <conditionalFormatting sqref="P786:P800">
    <cfRule type="containsText" dxfId="2" priority="7333" operator="containsText" text="Yes">
      <formula>NOT(ISERROR(SEARCH(("Yes"),(P786))))</formula>
    </cfRule>
  </conditionalFormatting>
  <conditionalFormatting sqref="P786:P800">
    <cfRule type="containsText" dxfId="9" priority="7334" operator="containsText" text="No">
      <formula>NOT(ISERROR(SEARCH(("No"),(P786))))</formula>
    </cfRule>
  </conditionalFormatting>
  <conditionalFormatting sqref="P786:P800">
    <cfRule type="containsText" dxfId="2" priority="7335" operator="containsText" text="Yes">
      <formula>NOT(ISERROR(SEARCH(("Yes"),(P786))))</formula>
    </cfRule>
  </conditionalFormatting>
  <conditionalFormatting sqref="P786:P800">
    <cfRule type="containsText" dxfId="9" priority="7336" operator="containsText" text="No">
      <formula>NOT(ISERROR(SEARCH(("No"),(P786))))</formula>
    </cfRule>
  </conditionalFormatting>
  <conditionalFormatting sqref="P786:P800">
    <cfRule type="containsText" dxfId="2" priority="7337" operator="containsText" text="Yes">
      <formula>NOT(ISERROR(SEARCH(("Yes"),(P786))))</formula>
    </cfRule>
  </conditionalFormatting>
  <conditionalFormatting sqref="P786:P800">
    <cfRule type="containsText" dxfId="9" priority="7338" operator="containsText" text="No">
      <formula>NOT(ISERROR(SEARCH(("No"),(P786))))</formula>
    </cfRule>
  </conditionalFormatting>
  <conditionalFormatting sqref="P786:P800">
    <cfRule type="containsText" dxfId="2" priority="7339" operator="containsText" text="Yes">
      <formula>NOT(ISERROR(SEARCH(("Yes"),(P786))))</formula>
    </cfRule>
  </conditionalFormatting>
  <conditionalFormatting sqref="P786:P800">
    <cfRule type="containsText" dxfId="9" priority="7340" operator="containsText" text="No">
      <formula>NOT(ISERROR(SEARCH(("No"),(P786))))</formula>
    </cfRule>
  </conditionalFormatting>
  <conditionalFormatting sqref="P786:P800">
    <cfRule type="containsText" dxfId="2" priority="7341" operator="containsText" text="Yes">
      <formula>NOT(ISERROR(SEARCH(("Yes"),(P786))))</formula>
    </cfRule>
  </conditionalFormatting>
  <conditionalFormatting sqref="P786:P800">
    <cfRule type="containsText" dxfId="9" priority="7342" operator="containsText" text="No">
      <formula>NOT(ISERROR(SEARCH(("No"),(P786))))</formula>
    </cfRule>
  </conditionalFormatting>
  <conditionalFormatting sqref="P786:P800">
    <cfRule type="containsText" dxfId="2" priority="7343" operator="containsText" text="Yes">
      <formula>NOT(ISERROR(SEARCH(("Yes"),(P786))))</formula>
    </cfRule>
  </conditionalFormatting>
  <conditionalFormatting sqref="P786:P800">
    <cfRule type="containsText" dxfId="9" priority="7344" operator="containsText" text="No">
      <formula>NOT(ISERROR(SEARCH(("No"),(P786))))</formula>
    </cfRule>
  </conditionalFormatting>
  <conditionalFormatting sqref="P786:P800">
    <cfRule type="containsText" dxfId="2" priority="7345" operator="containsText" text="Yes">
      <formula>NOT(ISERROR(SEARCH(("Yes"),(P786))))</formula>
    </cfRule>
  </conditionalFormatting>
  <conditionalFormatting sqref="P786:P800">
    <cfRule type="containsText" dxfId="9" priority="7346" operator="containsText" text="No">
      <formula>NOT(ISERROR(SEARCH(("No"),(P786))))</formula>
    </cfRule>
  </conditionalFormatting>
  <conditionalFormatting sqref="P786:P800">
    <cfRule type="containsText" dxfId="2" priority="7347" operator="containsText" text="Yes">
      <formula>NOT(ISERROR(SEARCH(("Yes"),(P786))))</formula>
    </cfRule>
  </conditionalFormatting>
  <conditionalFormatting sqref="P786:P800">
    <cfRule type="containsText" dxfId="9" priority="7348" operator="containsText" text="No">
      <formula>NOT(ISERROR(SEARCH(("No"),(P786))))</formula>
    </cfRule>
  </conditionalFormatting>
  <conditionalFormatting sqref="P786:P800">
    <cfRule type="containsText" dxfId="2" priority="7349" operator="containsText" text="Yes">
      <formula>NOT(ISERROR(SEARCH(("Yes"),(P786))))</formula>
    </cfRule>
  </conditionalFormatting>
  <conditionalFormatting sqref="P786:P800">
    <cfRule type="containsText" dxfId="9" priority="7350" operator="containsText" text="No">
      <formula>NOT(ISERROR(SEARCH(("No"),(P786))))</formula>
    </cfRule>
  </conditionalFormatting>
  <conditionalFormatting sqref="P786:P800">
    <cfRule type="containsText" dxfId="2" priority="7351" operator="containsText" text="Yes">
      <formula>NOT(ISERROR(SEARCH(("Yes"),(P786))))</formula>
    </cfRule>
  </conditionalFormatting>
  <conditionalFormatting sqref="P786:P800">
    <cfRule type="containsText" dxfId="9" priority="7352" operator="containsText" text="No">
      <formula>NOT(ISERROR(SEARCH(("No"),(P786))))</formula>
    </cfRule>
  </conditionalFormatting>
  <conditionalFormatting sqref="P786:P800">
    <cfRule type="containsText" dxfId="2" priority="7353" operator="containsText" text="Yes">
      <formula>NOT(ISERROR(SEARCH(("Yes"),(P786))))</formula>
    </cfRule>
  </conditionalFormatting>
  <conditionalFormatting sqref="P786:P800">
    <cfRule type="containsText" dxfId="9" priority="7354" operator="containsText" text="No">
      <formula>NOT(ISERROR(SEARCH(("No"),(P786))))</formula>
    </cfRule>
  </conditionalFormatting>
  <conditionalFormatting sqref="P786:P800">
    <cfRule type="containsText" dxfId="2" priority="7355" operator="containsText" text="Yes">
      <formula>NOT(ISERROR(SEARCH(("Yes"),(P786))))</formula>
    </cfRule>
  </conditionalFormatting>
  <conditionalFormatting sqref="P786:P800">
    <cfRule type="containsText" dxfId="9" priority="7356" operator="containsText" text="No">
      <formula>NOT(ISERROR(SEARCH(("No"),(P786))))</formula>
    </cfRule>
  </conditionalFormatting>
  <conditionalFormatting sqref="P786:P800">
    <cfRule type="containsText" dxfId="2" priority="7357" operator="containsText" text="Yes">
      <formula>NOT(ISERROR(SEARCH(("Yes"),(P786))))</formula>
    </cfRule>
  </conditionalFormatting>
  <conditionalFormatting sqref="P786:P800">
    <cfRule type="containsText" dxfId="9" priority="7358" operator="containsText" text="No">
      <formula>NOT(ISERROR(SEARCH(("No"),(P786))))</formula>
    </cfRule>
  </conditionalFormatting>
  <conditionalFormatting sqref="P786:P800">
    <cfRule type="containsText" dxfId="2" priority="7359" operator="containsText" text="Yes">
      <formula>NOT(ISERROR(SEARCH(("Yes"),(P786))))</formula>
    </cfRule>
  </conditionalFormatting>
  <conditionalFormatting sqref="P786:P800">
    <cfRule type="containsText" dxfId="9" priority="7360" operator="containsText" text="No">
      <formula>NOT(ISERROR(SEARCH(("No"),(P786))))</formula>
    </cfRule>
  </conditionalFormatting>
  <conditionalFormatting sqref="P786:P800">
    <cfRule type="containsText" dxfId="2" priority="7361" operator="containsText" text="Yes">
      <formula>NOT(ISERROR(SEARCH(("Yes"),(P786))))</formula>
    </cfRule>
  </conditionalFormatting>
  <conditionalFormatting sqref="P786:P800">
    <cfRule type="containsText" dxfId="9" priority="7362" operator="containsText" text="No">
      <formula>NOT(ISERROR(SEARCH(("No"),(P786))))</formula>
    </cfRule>
  </conditionalFormatting>
  <conditionalFormatting sqref="P786:P800">
    <cfRule type="containsText" dxfId="2" priority="7363" operator="containsText" text="Yes">
      <formula>NOT(ISERROR(SEARCH(("Yes"),(P786))))</formula>
    </cfRule>
  </conditionalFormatting>
  <conditionalFormatting sqref="P786:P800">
    <cfRule type="containsText" dxfId="9" priority="7364" operator="containsText" text="No">
      <formula>NOT(ISERROR(SEARCH(("No"),(P786))))</formula>
    </cfRule>
  </conditionalFormatting>
  <conditionalFormatting sqref="P786:P800">
    <cfRule type="containsText" dxfId="2" priority="7365" operator="containsText" text="Yes">
      <formula>NOT(ISERROR(SEARCH(("Yes"),(P786))))</formula>
    </cfRule>
  </conditionalFormatting>
  <conditionalFormatting sqref="P786:P800">
    <cfRule type="containsText" dxfId="2" priority="7366" operator="containsText" text="Yes">
      <formula>NOT(ISERROR(SEARCH(("Yes"),(P786))))</formula>
    </cfRule>
  </conditionalFormatting>
  <conditionalFormatting sqref="P786:P800">
    <cfRule type="containsText" dxfId="9" priority="7367" operator="containsText" text="No">
      <formula>NOT(ISERROR(SEARCH(("No"),(P786))))</formula>
    </cfRule>
  </conditionalFormatting>
  <conditionalFormatting sqref="P786:P800">
    <cfRule type="containsText" dxfId="2" priority="7368" operator="containsText" text="Yes">
      <formula>NOT(ISERROR(SEARCH(("Yes"),(P786))))</formula>
    </cfRule>
  </conditionalFormatting>
  <conditionalFormatting sqref="P801">
    <cfRule type="containsText" dxfId="9" priority="7369" operator="containsText" text="No">
      <formula>NOT(ISERROR(SEARCH(("No"),(P801))))</formula>
    </cfRule>
  </conditionalFormatting>
  <conditionalFormatting sqref="P801">
    <cfRule type="containsText" dxfId="2" priority="7370" operator="containsText" text="Yes">
      <formula>NOT(ISERROR(SEARCH(("Yes"),(P801))))</formula>
    </cfRule>
  </conditionalFormatting>
  <conditionalFormatting sqref="P801">
    <cfRule type="containsText" dxfId="9" priority="7371" operator="containsText" text="No">
      <formula>NOT(ISERROR(SEARCH(("No"),(P801))))</formula>
    </cfRule>
  </conditionalFormatting>
  <conditionalFormatting sqref="P801">
    <cfRule type="containsText" dxfId="9" priority="7372" operator="containsText" text="No">
      <formula>NOT(ISERROR(SEARCH(("No"),(P801))))</formula>
    </cfRule>
  </conditionalFormatting>
  <conditionalFormatting sqref="P801">
    <cfRule type="containsText" dxfId="2" priority="7373" operator="containsText" text="Yes">
      <formula>NOT(ISERROR(SEARCH(("Yes"),(P801))))</formula>
    </cfRule>
  </conditionalFormatting>
  <conditionalFormatting sqref="P801">
    <cfRule type="containsText" dxfId="2" priority="7374" operator="containsText" text="Yes">
      <formula>NOT(ISERROR(SEARCH(("Yes"),(P801))))</formula>
    </cfRule>
  </conditionalFormatting>
  <conditionalFormatting sqref="P801">
    <cfRule type="containsText" dxfId="9" priority="7375" operator="containsText" text="No">
      <formula>NOT(ISERROR(SEARCH(("No"),(P801))))</formula>
    </cfRule>
  </conditionalFormatting>
  <conditionalFormatting sqref="P801">
    <cfRule type="containsText" dxfId="2" priority="7376" operator="containsText" text="Yes">
      <formula>NOT(ISERROR(SEARCH(("Yes"),(P801))))</formula>
    </cfRule>
  </conditionalFormatting>
  <conditionalFormatting sqref="P801">
    <cfRule type="containsText" dxfId="9" priority="7377" operator="containsText" text="No">
      <formula>NOT(ISERROR(SEARCH(("No"),(P801))))</formula>
    </cfRule>
  </conditionalFormatting>
  <conditionalFormatting sqref="P801">
    <cfRule type="containsText" dxfId="2" priority="7378" operator="containsText" text="Yes">
      <formula>NOT(ISERROR(SEARCH(("Yes"),(P801))))</formula>
    </cfRule>
  </conditionalFormatting>
  <conditionalFormatting sqref="P801">
    <cfRule type="containsText" dxfId="9" priority="7379" operator="containsText" text="No">
      <formula>NOT(ISERROR(SEARCH(("No"),(P801))))</formula>
    </cfRule>
  </conditionalFormatting>
  <conditionalFormatting sqref="P801">
    <cfRule type="containsText" dxfId="2" priority="7380" operator="containsText" text="Yes">
      <formula>NOT(ISERROR(SEARCH(("Yes"),(P801))))</formula>
    </cfRule>
  </conditionalFormatting>
  <conditionalFormatting sqref="P802">
    <cfRule type="containsText" dxfId="2" priority="7381" operator="containsText" text="Yes">
      <formula>NOT(ISERROR(SEARCH(("Yes"),(P802))))</formula>
    </cfRule>
  </conditionalFormatting>
  <conditionalFormatting sqref="P802">
    <cfRule type="containsText" dxfId="9" priority="7382" operator="containsText" text="No">
      <formula>NOT(ISERROR(SEARCH(("No"),(P802))))</formula>
    </cfRule>
  </conditionalFormatting>
  <conditionalFormatting sqref="P802">
    <cfRule type="containsText" dxfId="2" priority="7383" operator="containsText" text="Yes">
      <formula>NOT(ISERROR(SEARCH(("Yes"),(P802))))</formula>
    </cfRule>
  </conditionalFormatting>
  <conditionalFormatting sqref="P802">
    <cfRule type="containsText" dxfId="9" priority="7384" operator="containsText" text="No">
      <formula>NOT(ISERROR(SEARCH(("No"),(P802))))</formula>
    </cfRule>
  </conditionalFormatting>
  <conditionalFormatting sqref="P802">
    <cfRule type="containsText" dxfId="2" priority="7385" operator="containsText" text="Yes">
      <formula>NOT(ISERROR(SEARCH(("Yes"),(P802))))</formula>
    </cfRule>
  </conditionalFormatting>
  <conditionalFormatting sqref="P802">
    <cfRule type="containsText" dxfId="9" priority="7386" operator="containsText" text="No">
      <formula>NOT(ISERROR(SEARCH(("No"),(P802))))</formula>
    </cfRule>
  </conditionalFormatting>
  <conditionalFormatting sqref="P802">
    <cfRule type="containsText" dxfId="2" priority="7387" operator="containsText" text="Yes">
      <formula>NOT(ISERROR(SEARCH(("Yes"),(P802))))</formula>
    </cfRule>
  </conditionalFormatting>
  <conditionalFormatting sqref="P802">
    <cfRule type="containsText" dxfId="9" priority="7388" operator="containsText" text="No">
      <formula>NOT(ISERROR(SEARCH(("No"),(P802))))</formula>
    </cfRule>
  </conditionalFormatting>
  <conditionalFormatting sqref="P802">
    <cfRule type="containsText" dxfId="2" priority="7389" operator="containsText" text="Yes">
      <formula>NOT(ISERROR(SEARCH(("Yes"),(P802))))</formula>
    </cfRule>
  </conditionalFormatting>
  <conditionalFormatting sqref="P802">
    <cfRule type="containsText" dxfId="9" priority="7390" operator="containsText" text="No">
      <formula>NOT(ISERROR(SEARCH(("No"),(P802))))</formula>
    </cfRule>
  </conditionalFormatting>
  <conditionalFormatting sqref="P802">
    <cfRule type="containsText" dxfId="2" priority="7391" operator="containsText" text="Yes">
      <formula>NOT(ISERROR(SEARCH(("Yes"),(P802))))</formula>
    </cfRule>
  </conditionalFormatting>
  <conditionalFormatting sqref="P802">
    <cfRule type="containsText" dxfId="9" priority="7392" operator="containsText" text="No">
      <formula>NOT(ISERROR(SEARCH(("No"),(P802))))</formula>
    </cfRule>
  </conditionalFormatting>
  <conditionalFormatting sqref="P802">
    <cfRule type="containsText" dxfId="2" priority="7393" operator="containsText" text="Yes">
      <formula>NOT(ISERROR(SEARCH(("Yes"),(P802))))</formula>
    </cfRule>
  </conditionalFormatting>
  <conditionalFormatting sqref="P802">
    <cfRule type="containsText" dxfId="9" priority="7394" operator="containsText" text="No">
      <formula>NOT(ISERROR(SEARCH(("No"),(P802))))</formula>
    </cfRule>
  </conditionalFormatting>
  <conditionalFormatting sqref="P802">
    <cfRule type="containsText" dxfId="2" priority="7395" operator="containsText" text="Yes">
      <formula>NOT(ISERROR(SEARCH(("Yes"),(P802))))</formula>
    </cfRule>
  </conditionalFormatting>
  <conditionalFormatting sqref="P802">
    <cfRule type="containsText" dxfId="9" priority="7396" operator="containsText" text="No">
      <formula>NOT(ISERROR(SEARCH(("No"),(P802))))</formula>
    </cfRule>
  </conditionalFormatting>
  <conditionalFormatting sqref="P802">
    <cfRule type="containsText" dxfId="2" priority="7397" operator="containsText" text="Yes">
      <formula>NOT(ISERROR(SEARCH(("Yes"),(P802))))</formula>
    </cfRule>
  </conditionalFormatting>
  <conditionalFormatting sqref="P802">
    <cfRule type="containsText" dxfId="9" priority="7398" operator="containsText" text="No">
      <formula>NOT(ISERROR(SEARCH(("No"),(P802))))</formula>
    </cfRule>
  </conditionalFormatting>
  <conditionalFormatting sqref="P802">
    <cfRule type="containsText" dxfId="2" priority="7399" operator="containsText" text="Yes">
      <formula>NOT(ISERROR(SEARCH(("Yes"),(P802))))</formula>
    </cfRule>
  </conditionalFormatting>
  <conditionalFormatting sqref="P802">
    <cfRule type="containsText" dxfId="9" priority="7400" operator="containsText" text="No">
      <formula>NOT(ISERROR(SEARCH(("No"),(P802))))</formula>
    </cfRule>
  </conditionalFormatting>
  <conditionalFormatting sqref="P802">
    <cfRule type="containsText" dxfId="2" priority="7401" operator="containsText" text="Yes">
      <formula>NOT(ISERROR(SEARCH(("Yes"),(P802))))</formula>
    </cfRule>
  </conditionalFormatting>
  <conditionalFormatting sqref="P802">
    <cfRule type="containsText" dxfId="9" priority="7402" operator="containsText" text="No">
      <formula>NOT(ISERROR(SEARCH(("No"),(P802))))</formula>
    </cfRule>
  </conditionalFormatting>
  <conditionalFormatting sqref="P802">
    <cfRule type="containsText" dxfId="2" priority="7403" operator="containsText" text="Yes">
      <formula>NOT(ISERROR(SEARCH(("Yes"),(P802))))</formula>
    </cfRule>
  </conditionalFormatting>
  <conditionalFormatting sqref="P802">
    <cfRule type="containsText" dxfId="9" priority="7404" operator="containsText" text="No">
      <formula>NOT(ISERROR(SEARCH(("No"),(P802))))</formula>
    </cfRule>
  </conditionalFormatting>
  <conditionalFormatting sqref="P802">
    <cfRule type="containsText" dxfId="2" priority="7405" operator="containsText" text="Yes">
      <formula>NOT(ISERROR(SEARCH(("Yes"),(P802))))</formula>
    </cfRule>
  </conditionalFormatting>
  <conditionalFormatting sqref="P802">
    <cfRule type="containsText" dxfId="9" priority="7406" operator="containsText" text="No">
      <formula>NOT(ISERROR(SEARCH(("No"),(P802))))</formula>
    </cfRule>
  </conditionalFormatting>
  <conditionalFormatting sqref="P802">
    <cfRule type="containsText" dxfId="2" priority="7407" operator="containsText" text="Yes">
      <formula>NOT(ISERROR(SEARCH(("Yes"),(P802))))</formula>
    </cfRule>
  </conditionalFormatting>
  <conditionalFormatting sqref="P802">
    <cfRule type="containsText" dxfId="9" priority="7408" operator="containsText" text="No">
      <formula>NOT(ISERROR(SEARCH(("No"),(P802))))</formula>
    </cfRule>
  </conditionalFormatting>
  <conditionalFormatting sqref="P802">
    <cfRule type="containsText" dxfId="2" priority="7409" operator="containsText" text="Yes">
      <formula>NOT(ISERROR(SEARCH(("Yes"),(P802))))</formula>
    </cfRule>
  </conditionalFormatting>
  <conditionalFormatting sqref="P802">
    <cfRule type="containsText" dxfId="9" priority="7410" operator="containsText" text="No">
      <formula>NOT(ISERROR(SEARCH(("No"),(P802))))</formula>
    </cfRule>
  </conditionalFormatting>
  <conditionalFormatting sqref="P802">
    <cfRule type="containsText" dxfId="2" priority="7411" operator="containsText" text="Yes">
      <formula>NOT(ISERROR(SEARCH(("Yes"),(P802))))</formula>
    </cfRule>
  </conditionalFormatting>
  <conditionalFormatting sqref="P802">
    <cfRule type="containsText" dxfId="9" priority="7412" operator="containsText" text="No">
      <formula>NOT(ISERROR(SEARCH(("No"),(P802))))</formula>
    </cfRule>
  </conditionalFormatting>
  <conditionalFormatting sqref="P802">
    <cfRule type="containsText" dxfId="2" priority="7413" operator="containsText" text="Yes">
      <formula>NOT(ISERROR(SEARCH(("Yes"),(P802))))</formula>
    </cfRule>
  </conditionalFormatting>
  <conditionalFormatting sqref="P802">
    <cfRule type="containsText" dxfId="9" priority="7414" operator="containsText" text="No">
      <formula>NOT(ISERROR(SEARCH(("No"),(P802))))</formula>
    </cfRule>
  </conditionalFormatting>
  <conditionalFormatting sqref="P802">
    <cfRule type="containsText" dxfId="2" priority="7415" operator="containsText" text="Yes">
      <formula>NOT(ISERROR(SEARCH(("Yes"),(P802))))</formula>
    </cfRule>
  </conditionalFormatting>
  <conditionalFormatting sqref="P802">
    <cfRule type="containsText" dxfId="9" priority="7416" operator="containsText" text="No">
      <formula>NOT(ISERROR(SEARCH(("No"),(P802))))</formula>
    </cfRule>
  </conditionalFormatting>
  <conditionalFormatting sqref="P802">
    <cfRule type="containsText" dxfId="2" priority="7417" operator="containsText" text="Yes">
      <formula>NOT(ISERROR(SEARCH(("Yes"),(P802))))</formula>
    </cfRule>
  </conditionalFormatting>
  <conditionalFormatting sqref="P802">
    <cfRule type="containsText" dxfId="9" priority="7418" operator="containsText" text="No">
      <formula>NOT(ISERROR(SEARCH(("No"),(P802))))</formula>
    </cfRule>
  </conditionalFormatting>
  <conditionalFormatting sqref="P802">
    <cfRule type="containsText" dxfId="2" priority="7419" operator="containsText" text="Yes">
      <formula>NOT(ISERROR(SEARCH(("Yes"),(P802))))</formula>
    </cfRule>
  </conditionalFormatting>
  <conditionalFormatting sqref="P802">
    <cfRule type="containsText" dxfId="9" priority="7420" operator="containsText" text="No">
      <formula>NOT(ISERROR(SEARCH(("No"),(P802))))</formula>
    </cfRule>
  </conditionalFormatting>
  <conditionalFormatting sqref="P802">
    <cfRule type="containsText" dxfId="2" priority="7421" operator="containsText" text="Yes">
      <formula>NOT(ISERROR(SEARCH(("Yes"),(P802))))</formula>
    </cfRule>
  </conditionalFormatting>
  <conditionalFormatting sqref="P802">
    <cfRule type="containsText" dxfId="9" priority="7422" operator="containsText" text="No">
      <formula>NOT(ISERROR(SEARCH(("No"),(P802))))</formula>
    </cfRule>
  </conditionalFormatting>
  <conditionalFormatting sqref="P802">
    <cfRule type="containsText" dxfId="2" priority="7423" operator="containsText" text="Yes">
      <formula>NOT(ISERROR(SEARCH(("Yes"),(P802))))</formula>
    </cfRule>
  </conditionalFormatting>
  <conditionalFormatting sqref="P802">
    <cfRule type="containsText" dxfId="9" priority="7424" operator="containsText" text="No">
      <formula>NOT(ISERROR(SEARCH(("No"),(P802))))</formula>
    </cfRule>
  </conditionalFormatting>
  <conditionalFormatting sqref="P802">
    <cfRule type="containsText" dxfId="2" priority="7425" operator="containsText" text="Yes">
      <formula>NOT(ISERROR(SEARCH(("Yes"),(P802))))</formula>
    </cfRule>
  </conditionalFormatting>
  <conditionalFormatting sqref="P802">
    <cfRule type="containsText" dxfId="9" priority="7426" operator="containsText" text="No">
      <formula>NOT(ISERROR(SEARCH(("No"),(P802))))</formula>
    </cfRule>
  </conditionalFormatting>
  <conditionalFormatting sqref="P802">
    <cfRule type="containsText" dxfId="2" priority="7427" operator="containsText" text="Yes">
      <formula>NOT(ISERROR(SEARCH(("Yes"),(P802))))</formula>
    </cfRule>
  </conditionalFormatting>
  <conditionalFormatting sqref="P802">
    <cfRule type="containsText" dxfId="9" priority="7428" operator="containsText" text="No">
      <formula>NOT(ISERROR(SEARCH(("No"),(P802))))</formula>
    </cfRule>
  </conditionalFormatting>
  <conditionalFormatting sqref="P802">
    <cfRule type="containsText" dxfId="2" priority="7429" operator="containsText" text="Yes">
      <formula>NOT(ISERROR(SEARCH(("Yes"),(P802))))</formula>
    </cfRule>
  </conditionalFormatting>
  <conditionalFormatting sqref="P802">
    <cfRule type="containsText" dxfId="9" priority="7430" operator="containsText" text="No">
      <formula>NOT(ISERROR(SEARCH(("No"),(P802))))</formula>
    </cfRule>
  </conditionalFormatting>
  <conditionalFormatting sqref="P802">
    <cfRule type="containsText" dxfId="2" priority="7431" operator="containsText" text="Yes">
      <formula>NOT(ISERROR(SEARCH(("Yes"),(P802))))</formula>
    </cfRule>
  </conditionalFormatting>
  <conditionalFormatting sqref="P802">
    <cfRule type="containsText" dxfId="9" priority="7432" operator="containsText" text="No">
      <formula>NOT(ISERROR(SEARCH(("No"),(P802))))</formula>
    </cfRule>
  </conditionalFormatting>
  <conditionalFormatting sqref="P802">
    <cfRule type="containsText" dxfId="2" priority="7433" operator="containsText" text="Yes">
      <formula>NOT(ISERROR(SEARCH(("Yes"),(P802))))</formula>
    </cfRule>
  </conditionalFormatting>
  <conditionalFormatting sqref="P802">
    <cfRule type="containsText" dxfId="9" priority="7434" operator="containsText" text="No">
      <formula>NOT(ISERROR(SEARCH(("No"),(P802))))</formula>
    </cfRule>
  </conditionalFormatting>
  <conditionalFormatting sqref="P802">
    <cfRule type="containsText" dxfId="2" priority="7435" operator="containsText" text="Yes">
      <formula>NOT(ISERROR(SEARCH(("Yes"),(P802))))</formula>
    </cfRule>
  </conditionalFormatting>
  <conditionalFormatting sqref="P802">
    <cfRule type="containsText" dxfId="9" priority="7436" operator="containsText" text="No">
      <formula>NOT(ISERROR(SEARCH(("No"),(P802))))</formula>
    </cfRule>
  </conditionalFormatting>
  <conditionalFormatting sqref="P802">
    <cfRule type="containsText" dxfId="2" priority="7437" operator="containsText" text="Yes">
      <formula>NOT(ISERROR(SEARCH(("Yes"),(P802))))</formula>
    </cfRule>
  </conditionalFormatting>
  <conditionalFormatting sqref="P802">
    <cfRule type="containsText" dxfId="9" priority="7438" operator="containsText" text="No">
      <formula>NOT(ISERROR(SEARCH(("No"),(P802))))</formula>
    </cfRule>
  </conditionalFormatting>
  <conditionalFormatting sqref="P802">
    <cfRule type="containsText" dxfId="2" priority="7439" operator="containsText" text="Yes">
      <formula>NOT(ISERROR(SEARCH(("Yes"),(P802))))</formula>
    </cfRule>
  </conditionalFormatting>
  <conditionalFormatting sqref="P802">
    <cfRule type="containsText" dxfId="9" priority="7440" operator="containsText" text="No">
      <formula>NOT(ISERROR(SEARCH(("No"),(P802))))</formula>
    </cfRule>
  </conditionalFormatting>
  <conditionalFormatting sqref="P802">
    <cfRule type="containsText" dxfId="2" priority="7441" operator="containsText" text="Yes">
      <formula>NOT(ISERROR(SEARCH(("Yes"),(P802))))</formula>
    </cfRule>
  </conditionalFormatting>
  <conditionalFormatting sqref="P802">
    <cfRule type="containsText" dxfId="9" priority="7442" operator="containsText" text="No">
      <formula>NOT(ISERROR(SEARCH(("No"),(P802))))</formula>
    </cfRule>
  </conditionalFormatting>
  <conditionalFormatting sqref="P802">
    <cfRule type="containsText" dxfId="2" priority="7443" operator="containsText" text="Yes">
      <formula>NOT(ISERROR(SEARCH(("Yes"),(P802))))</formula>
    </cfRule>
  </conditionalFormatting>
  <conditionalFormatting sqref="P802">
    <cfRule type="containsText" dxfId="9" priority="7444" operator="containsText" text="No">
      <formula>NOT(ISERROR(SEARCH(("No"),(P802))))</formula>
    </cfRule>
  </conditionalFormatting>
  <conditionalFormatting sqref="P802">
    <cfRule type="containsText" dxfId="2" priority="7445" operator="containsText" text="Yes">
      <formula>NOT(ISERROR(SEARCH(("Yes"),(P802))))</formula>
    </cfRule>
  </conditionalFormatting>
  <conditionalFormatting sqref="P802">
    <cfRule type="containsText" dxfId="9" priority="7446" operator="containsText" text="No">
      <formula>NOT(ISERROR(SEARCH(("No"),(P802))))</formula>
    </cfRule>
  </conditionalFormatting>
  <conditionalFormatting sqref="P802">
    <cfRule type="containsText" dxfId="2" priority="7447" operator="containsText" text="Yes">
      <formula>NOT(ISERROR(SEARCH(("Yes"),(P802))))</formula>
    </cfRule>
  </conditionalFormatting>
  <conditionalFormatting sqref="P802">
    <cfRule type="containsText" dxfId="9" priority="7448" operator="containsText" text="No">
      <formula>NOT(ISERROR(SEARCH(("No"),(P802))))</formula>
    </cfRule>
  </conditionalFormatting>
  <conditionalFormatting sqref="P802">
    <cfRule type="containsText" dxfId="2" priority="7449" operator="containsText" text="Yes">
      <formula>NOT(ISERROR(SEARCH(("Yes"),(P802))))</formula>
    </cfRule>
  </conditionalFormatting>
  <conditionalFormatting sqref="P802">
    <cfRule type="containsText" dxfId="9" priority="7450" operator="containsText" text="No">
      <formula>NOT(ISERROR(SEARCH(("No"),(P802))))</formula>
    </cfRule>
  </conditionalFormatting>
  <conditionalFormatting sqref="P802">
    <cfRule type="containsText" dxfId="2" priority="7451" operator="containsText" text="Yes">
      <formula>NOT(ISERROR(SEARCH(("Yes"),(P802))))</formula>
    </cfRule>
  </conditionalFormatting>
  <conditionalFormatting sqref="P802">
    <cfRule type="containsText" dxfId="9" priority="7452" operator="containsText" text="No">
      <formula>NOT(ISERROR(SEARCH(("No"),(P802))))</formula>
    </cfRule>
  </conditionalFormatting>
  <conditionalFormatting sqref="P802">
    <cfRule type="containsText" dxfId="2" priority="7453" operator="containsText" text="Yes">
      <formula>NOT(ISERROR(SEARCH(("Yes"),(P802))))</formula>
    </cfRule>
  </conditionalFormatting>
  <conditionalFormatting sqref="P802">
    <cfRule type="containsText" dxfId="9" priority="7454" operator="containsText" text="No">
      <formula>NOT(ISERROR(SEARCH(("No"),(P802))))</formula>
    </cfRule>
  </conditionalFormatting>
  <conditionalFormatting sqref="P802">
    <cfRule type="containsText" dxfId="2" priority="7455" operator="containsText" text="Yes">
      <formula>NOT(ISERROR(SEARCH(("Yes"),(P802))))</formula>
    </cfRule>
  </conditionalFormatting>
  <conditionalFormatting sqref="P802">
    <cfRule type="containsText" dxfId="9" priority="7456" operator="containsText" text="No">
      <formula>NOT(ISERROR(SEARCH(("No"),(P802))))</formula>
    </cfRule>
  </conditionalFormatting>
  <conditionalFormatting sqref="P802">
    <cfRule type="containsText" dxfId="2" priority="7457" operator="containsText" text="Yes">
      <formula>NOT(ISERROR(SEARCH(("Yes"),(P802))))</formula>
    </cfRule>
  </conditionalFormatting>
  <conditionalFormatting sqref="P802">
    <cfRule type="containsText" dxfId="9" priority="7458" operator="containsText" text="No">
      <formula>NOT(ISERROR(SEARCH(("No"),(P802))))</formula>
    </cfRule>
  </conditionalFormatting>
  <conditionalFormatting sqref="P802">
    <cfRule type="containsText" dxfId="2" priority="7459" operator="containsText" text="Yes">
      <formula>NOT(ISERROR(SEARCH(("Yes"),(P802))))</formula>
    </cfRule>
  </conditionalFormatting>
  <conditionalFormatting sqref="P802">
    <cfRule type="containsText" dxfId="9" priority="7460" operator="containsText" text="No">
      <formula>NOT(ISERROR(SEARCH(("No"),(P802))))</formula>
    </cfRule>
  </conditionalFormatting>
  <conditionalFormatting sqref="P802">
    <cfRule type="containsText" dxfId="2" priority="7461" operator="containsText" text="Yes">
      <formula>NOT(ISERROR(SEARCH(("Yes"),(P802))))</formula>
    </cfRule>
  </conditionalFormatting>
  <conditionalFormatting sqref="P802">
    <cfRule type="containsText" dxfId="9" priority="7462" operator="containsText" text="No">
      <formula>NOT(ISERROR(SEARCH(("No"),(P802))))</formula>
    </cfRule>
  </conditionalFormatting>
  <conditionalFormatting sqref="P802">
    <cfRule type="containsText" dxfId="2" priority="7463" operator="containsText" text="Yes">
      <formula>NOT(ISERROR(SEARCH(("Yes"),(P802))))</formula>
    </cfRule>
  </conditionalFormatting>
  <conditionalFormatting sqref="P802">
    <cfRule type="containsText" dxfId="9" priority="7464" operator="containsText" text="No">
      <formula>NOT(ISERROR(SEARCH(("No"),(P802))))</formula>
    </cfRule>
  </conditionalFormatting>
  <conditionalFormatting sqref="P802">
    <cfRule type="containsText" dxfId="2" priority="7465" operator="containsText" text="Yes">
      <formula>NOT(ISERROR(SEARCH(("Yes"),(P802))))</formula>
    </cfRule>
  </conditionalFormatting>
  <conditionalFormatting sqref="P802">
    <cfRule type="containsText" dxfId="9" priority="7466" operator="containsText" text="No">
      <formula>NOT(ISERROR(SEARCH(("No"),(P802))))</formula>
    </cfRule>
  </conditionalFormatting>
  <conditionalFormatting sqref="P802">
    <cfRule type="containsText" dxfId="2" priority="7467" operator="containsText" text="Yes">
      <formula>NOT(ISERROR(SEARCH(("Yes"),(P802))))</formula>
    </cfRule>
  </conditionalFormatting>
  <conditionalFormatting sqref="P802">
    <cfRule type="containsText" dxfId="9" priority="7468" operator="containsText" text="No">
      <formula>NOT(ISERROR(SEARCH(("No"),(P802))))</formula>
    </cfRule>
  </conditionalFormatting>
  <conditionalFormatting sqref="P802">
    <cfRule type="containsText" dxfId="2" priority="7469" operator="containsText" text="Yes">
      <formula>NOT(ISERROR(SEARCH(("Yes"),(P802))))</formula>
    </cfRule>
  </conditionalFormatting>
  <conditionalFormatting sqref="P802">
    <cfRule type="containsText" dxfId="2" priority="7470" operator="containsText" text="Yes">
      <formula>NOT(ISERROR(SEARCH(("Yes"),(P802))))</formula>
    </cfRule>
  </conditionalFormatting>
  <conditionalFormatting sqref="P802">
    <cfRule type="containsText" dxfId="9" priority="7471" operator="containsText" text="No">
      <formula>NOT(ISERROR(SEARCH(("No"),(P802))))</formula>
    </cfRule>
  </conditionalFormatting>
  <conditionalFormatting sqref="P802">
    <cfRule type="containsText" dxfId="2" priority="7472" operator="containsText" text="Yes">
      <formula>NOT(ISERROR(SEARCH(("Yes"),(P802))))</formula>
    </cfRule>
  </conditionalFormatting>
  <conditionalFormatting sqref="P804">
    <cfRule type="containsText" dxfId="2" priority="7473" operator="containsText" text="Yes">
      <formula>NOT(ISERROR(SEARCH(("Yes"),(P804))))</formula>
    </cfRule>
  </conditionalFormatting>
  <conditionalFormatting sqref="P804">
    <cfRule type="containsText" dxfId="9" priority="7474" operator="containsText" text="No">
      <formula>NOT(ISERROR(SEARCH(("No"),(P804))))</formula>
    </cfRule>
  </conditionalFormatting>
  <conditionalFormatting sqref="P804">
    <cfRule type="containsText" dxfId="2" priority="7475" operator="containsText" text="Yes">
      <formula>NOT(ISERROR(SEARCH(("Yes"),(P804))))</formula>
    </cfRule>
  </conditionalFormatting>
  <conditionalFormatting sqref="P804">
    <cfRule type="containsText" dxfId="9" priority="7476" operator="containsText" text="No">
      <formula>NOT(ISERROR(SEARCH(("No"),(P804))))</formula>
    </cfRule>
  </conditionalFormatting>
  <conditionalFormatting sqref="P804">
    <cfRule type="containsText" dxfId="2" priority="7477" operator="containsText" text="Yes">
      <formula>NOT(ISERROR(SEARCH(("Yes"),(P804))))</formula>
    </cfRule>
  </conditionalFormatting>
  <conditionalFormatting sqref="P804">
    <cfRule type="containsText" dxfId="9" priority="7478" operator="containsText" text="No">
      <formula>NOT(ISERROR(SEARCH(("No"),(P804))))</formula>
    </cfRule>
  </conditionalFormatting>
  <conditionalFormatting sqref="P804">
    <cfRule type="containsText" dxfId="2" priority="7479" operator="containsText" text="Yes">
      <formula>NOT(ISERROR(SEARCH(("Yes"),(P804))))</formula>
    </cfRule>
  </conditionalFormatting>
  <conditionalFormatting sqref="P804">
    <cfRule type="containsText" dxfId="9" priority="7480" operator="containsText" text="No">
      <formula>NOT(ISERROR(SEARCH(("No"),(P804))))</formula>
    </cfRule>
  </conditionalFormatting>
  <conditionalFormatting sqref="P804">
    <cfRule type="containsText" dxfId="2" priority="7481" operator="containsText" text="Yes">
      <formula>NOT(ISERROR(SEARCH(("Yes"),(P804))))</formula>
    </cfRule>
  </conditionalFormatting>
  <conditionalFormatting sqref="P804">
    <cfRule type="containsText" dxfId="9" priority="7482" operator="containsText" text="No">
      <formula>NOT(ISERROR(SEARCH(("No"),(P804))))</formula>
    </cfRule>
  </conditionalFormatting>
  <conditionalFormatting sqref="P804">
    <cfRule type="containsText" dxfId="2" priority="7483" operator="containsText" text="Yes">
      <formula>NOT(ISERROR(SEARCH(("Yes"),(P804))))</formula>
    </cfRule>
  </conditionalFormatting>
  <conditionalFormatting sqref="P804">
    <cfRule type="containsText" dxfId="9" priority="7484" operator="containsText" text="No">
      <formula>NOT(ISERROR(SEARCH(("No"),(P804))))</formula>
    </cfRule>
  </conditionalFormatting>
  <conditionalFormatting sqref="P804">
    <cfRule type="containsText" dxfId="2" priority="7485" operator="containsText" text="Yes">
      <formula>NOT(ISERROR(SEARCH(("Yes"),(P804))))</formula>
    </cfRule>
  </conditionalFormatting>
  <conditionalFormatting sqref="P804">
    <cfRule type="containsText" dxfId="9" priority="7486" operator="containsText" text="No">
      <formula>NOT(ISERROR(SEARCH(("No"),(P804))))</formula>
    </cfRule>
  </conditionalFormatting>
  <conditionalFormatting sqref="P804">
    <cfRule type="containsText" dxfId="2" priority="7487" operator="containsText" text="Yes">
      <formula>NOT(ISERROR(SEARCH(("Yes"),(P804))))</formula>
    </cfRule>
  </conditionalFormatting>
  <conditionalFormatting sqref="P804">
    <cfRule type="containsText" dxfId="9" priority="7488" operator="containsText" text="No">
      <formula>NOT(ISERROR(SEARCH(("No"),(P804))))</formula>
    </cfRule>
  </conditionalFormatting>
  <conditionalFormatting sqref="P804">
    <cfRule type="containsText" dxfId="2" priority="7489" operator="containsText" text="Yes">
      <formula>NOT(ISERROR(SEARCH(("Yes"),(P804))))</formula>
    </cfRule>
  </conditionalFormatting>
  <conditionalFormatting sqref="P804">
    <cfRule type="containsText" dxfId="9" priority="7490" operator="containsText" text="No">
      <formula>NOT(ISERROR(SEARCH(("No"),(P804))))</formula>
    </cfRule>
  </conditionalFormatting>
  <conditionalFormatting sqref="P804">
    <cfRule type="containsText" dxfId="2" priority="7491" operator="containsText" text="Yes">
      <formula>NOT(ISERROR(SEARCH(("Yes"),(P804))))</formula>
    </cfRule>
  </conditionalFormatting>
  <conditionalFormatting sqref="P804">
    <cfRule type="containsText" dxfId="9" priority="7492" operator="containsText" text="No">
      <formula>NOT(ISERROR(SEARCH(("No"),(P804))))</formula>
    </cfRule>
  </conditionalFormatting>
  <conditionalFormatting sqref="P804">
    <cfRule type="containsText" dxfId="2" priority="7493" operator="containsText" text="Yes">
      <formula>NOT(ISERROR(SEARCH(("Yes"),(P804))))</formula>
    </cfRule>
  </conditionalFormatting>
  <conditionalFormatting sqref="P804">
    <cfRule type="containsText" dxfId="9" priority="7494" operator="containsText" text="No">
      <formula>NOT(ISERROR(SEARCH(("No"),(P804))))</formula>
    </cfRule>
  </conditionalFormatting>
  <conditionalFormatting sqref="P804">
    <cfRule type="containsText" dxfId="2" priority="7495" operator="containsText" text="Yes">
      <formula>NOT(ISERROR(SEARCH(("Yes"),(P804))))</formula>
    </cfRule>
  </conditionalFormatting>
  <conditionalFormatting sqref="P804">
    <cfRule type="containsText" dxfId="9" priority="7496" operator="containsText" text="No">
      <formula>NOT(ISERROR(SEARCH(("No"),(P804))))</formula>
    </cfRule>
  </conditionalFormatting>
  <conditionalFormatting sqref="P804">
    <cfRule type="containsText" dxfId="2" priority="7497" operator="containsText" text="Yes">
      <formula>NOT(ISERROR(SEARCH(("Yes"),(P804))))</formula>
    </cfRule>
  </conditionalFormatting>
  <conditionalFormatting sqref="P804">
    <cfRule type="containsText" dxfId="9" priority="7498" operator="containsText" text="No">
      <formula>NOT(ISERROR(SEARCH(("No"),(P804))))</formula>
    </cfRule>
  </conditionalFormatting>
  <conditionalFormatting sqref="P804">
    <cfRule type="containsText" dxfId="2" priority="7499" operator="containsText" text="Yes">
      <formula>NOT(ISERROR(SEARCH(("Yes"),(P804))))</formula>
    </cfRule>
  </conditionalFormatting>
  <conditionalFormatting sqref="P804">
    <cfRule type="containsText" dxfId="9" priority="7500" operator="containsText" text="No">
      <formula>NOT(ISERROR(SEARCH(("No"),(P804))))</formula>
    </cfRule>
  </conditionalFormatting>
  <conditionalFormatting sqref="P804">
    <cfRule type="containsText" dxfId="2" priority="7501" operator="containsText" text="Yes">
      <formula>NOT(ISERROR(SEARCH(("Yes"),(P804))))</formula>
    </cfRule>
  </conditionalFormatting>
  <conditionalFormatting sqref="P804">
    <cfRule type="containsText" dxfId="9" priority="7502" operator="containsText" text="No">
      <formula>NOT(ISERROR(SEARCH(("No"),(P804))))</formula>
    </cfRule>
  </conditionalFormatting>
  <conditionalFormatting sqref="P804">
    <cfRule type="containsText" dxfId="2" priority="7503" operator="containsText" text="Yes">
      <formula>NOT(ISERROR(SEARCH(("Yes"),(P804))))</formula>
    </cfRule>
  </conditionalFormatting>
  <conditionalFormatting sqref="P804">
    <cfRule type="containsText" dxfId="9" priority="7504" operator="containsText" text="No">
      <formula>NOT(ISERROR(SEARCH(("No"),(P804))))</formula>
    </cfRule>
  </conditionalFormatting>
  <conditionalFormatting sqref="P804">
    <cfRule type="containsText" dxfId="2" priority="7505" operator="containsText" text="Yes">
      <formula>NOT(ISERROR(SEARCH(("Yes"),(P804))))</formula>
    </cfRule>
  </conditionalFormatting>
  <conditionalFormatting sqref="P804">
    <cfRule type="containsText" dxfId="9" priority="7506" operator="containsText" text="No">
      <formula>NOT(ISERROR(SEARCH(("No"),(P804))))</formula>
    </cfRule>
  </conditionalFormatting>
  <conditionalFormatting sqref="P804">
    <cfRule type="containsText" dxfId="2" priority="7507" operator="containsText" text="Yes">
      <formula>NOT(ISERROR(SEARCH(("Yes"),(P804))))</formula>
    </cfRule>
  </conditionalFormatting>
  <conditionalFormatting sqref="P804">
    <cfRule type="containsText" dxfId="9" priority="7508" operator="containsText" text="No">
      <formula>NOT(ISERROR(SEARCH(("No"),(P804))))</formula>
    </cfRule>
  </conditionalFormatting>
  <conditionalFormatting sqref="P804">
    <cfRule type="containsText" dxfId="2" priority="7509" operator="containsText" text="Yes">
      <formula>NOT(ISERROR(SEARCH(("Yes"),(P804))))</formula>
    </cfRule>
  </conditionalFormatting>
  <conditionalFormatting sqref="P804">
    <cfRule type="containsText" dxfId="9" priority="7510" operator="containsText" text="No">
      <formula>NOT(ISERROR(SEARCH(("No"),(P804))))</formula>
    </cfRule>
  </conditionalFormatting>
  <conditionalFormatting sqref="P804">
    <cfRule type="containsText" dxfId="2" priority="7511" operator="containsText" text="Yes">
      <formula>NOT(ISERROR(SEARCH(("Yes"),(P804))))</formula>
    </cfRule>
  </conditionalFormatting>
  <conditionalFormatting sqref="P804">
    <cfRule type="containsText" dxfId="9" priority="7512" operator="containsText" text="No">
      <formula>NOT(ISERROR(SEARCH(("No"),(P804))))</formula>
    </cfRule>
  </conditionalFormatting>
  <conditionalFormatting sqref="P804">
    <cfRule type="containsText" dxfId="2" priority="7513" operator="containsText" text="Yes">
      <formula>NOT(ISERROR(SEARCH(("Yes"),(P804))))</formula>
    </cfRule>
  </conditionalFormatting>
  <conditionalFormatting sqref="P804">
    <cfRule type="containsText" dxfId="9" priority="7514" operator="containsText" text="No">
      <formula>NOT(ISERROR(SEARCH(("No"),(P804))))</formula>
    </cfRule>
  </conditionalFormatting>
  <conditionalFormatting sqref="P804">
    <cfRule type="containsText" dxfId="2" priority="7515" operator="containsText" text="Yes">
      <formula>NOT(ISERROR(SEARCH(("Yes"),(P804))))</formula>
    </cfRule>
  </conditionalFormatting>
  <conditionalFormatting sqref="P804">
    <cfRule type="containsText" dxfId="9" priority="7516" operator="containsText" text="No">
      <formula>NOT(ISERROR(SEARCH(("No"),(P804))))</formula>
    </cfRule>
  </conditionalFormatting>
  <conditionalFormatting sqref="P804">
    <cfRule type="containsText" dxfId="2" priority="7517" operator="containsText" text="Yes">
      <formula>NOT(ISERROR(SEARCH(("Yes"),(P804))))</formula>
    </cfRule>
  </conditionalFormatting>
  <conditionalFormatting sqref="P804">
    <cfRule type="containsText" dxfId="9" priority="7518" operator="containsText" text="No">
      <formula>NOT(ISERROR(SEARCH(("No"),(P804))))</formula>
    </cfRule>
  </conditionalFormatting>
  <conditionalFormatting sqref="P804">
    <cfRule type="containsText" dxfId="2" priority="7519" operator="containsText" text="Yes">
      <formula>NOT(ISERROR(SEARCH(("Yes"),(P804))))</formula>
    </cfRule>
  </conditionalFormatting>
  <conditionalFormatting sqref="P804">
    <cfRule type="containsText" dxfId="9" priority="7520" operator="containsText" text="No">
      <formula>NOT(ISERROR(SEARCH(("No"),(P804))))</formula>
    </cfRule>
  </conditionalFormatting>
  <conditionalFormatting sqref="P804">
    <cfRule type="containsText" dxfId="2" priority="7521" operator="containsText" text="Yes">
      <formula>NOT(ISERROR(SEARCH(("Yes"),(P804))))</formula>
    </cfRule>
  </conditionalFormatting>
  <conditionalFormatting sqref="P804">
    <cfRule type="containsText" dxfId="9" priority="7522" operator="containsText" text="No">
      <formula>NOT(ISERROR(SEARCH(("No"),(P804))))</formula>
    </cfRule>
  </conditionalFormatting>
  <conditionalFormatting sqref="P804">
    <cfRule type="containsText" dxfId="2" priority="7523" operator="containsText" text="Yes">
      <formula>NOT(ISERROR(SEARCH(("Yes"),(P804))))</formula>
    </cfRule>
  </conditionalFormatting>
  <conditionalFormatting sqref="P804">
    <cfRule type="containsText" dxfId="9" priority="7524" operator="containsText" text="No">
      <formula>NOT(ISERROR(SEARCH(("No"),(P804))))</formula>
    </cfRule>
  </conditionalFormatting>
  <conditionalFormatting sqref="P804">
    <cfRule type="containsText" dxfId="2" priority="7525" operator="containsText" text="Yes">
      <formula>NOT(ISERROR(SEARCH(("Yes"),(P804))))</formula>
    </cfRule>
  </conditionalFormatting>
  <conditionalFormatting sqref="P804">
    <cfRule type="containsText" dxfId="9" priority="7526" operator="containsText" text="No">
      <formula>NOT(ISERROR(SEARCH(("No"),(P804))))</formula>
    </cfRule>
  </conditionalFormatting>
  <conditionalFormatting sqref="P804">
    <cfRule type="containsText" dxfId="2" priority="7527" operator="containsText" text="Yes">
      <formula>NOT(ISERROR(SEARCH(("Yes"),(P804))))</formula>
    </cfRule>
  </conditionalFormatting>
  <conditionalFormatting sqref="P804">
    <cfRule type="containsText" dxfId="9" priority="7528" operator="containsText" text="No">
      <formula>NOT(ISERROR(SEARCH(("No"),(P804))))</formula>
    </cfRule>
  </conditionalFormatting>
  <conditionalFormatting sqref="P804">
    <cfRule type="containsText" dxfId="2" priority="7529" operator="containsText" text="Yes">
      <formula>NOT(ISERROR(SEARCH(("Yes"),(P804))))</formula>
    </cfRule>
  </conditionalFormatting>
  <conditionalFormatting sqref="P804">
    <cfRule type="containsText" dxfId="9" priority="7530" operator="containsText" text="No">
      <formula>NOT(ISERROR(SEARCH(("No"),(P804))))</formula>
    </cfRule>
  </conditionalFormatting>
  <conditionalFormatting sqref="P804">
    <cfRule type="containsText" dxfId="2" priority="7531" operator="containsText" text="Yes">
      <formula>NOT(ISERROR(SEARCH(("Yes"),(P804))))</formula>
    </cfRule>
  </conditionalFormatting>
  <conditionalFormatting sqref="P804">
    <cfRule type="containsText" dxfId="9" priority="7532" operator="containsText" text="No">
      <formula>NOT(ISERROR(SEARCH(("No"),(P804))))</formula>
    </cfRule>
  </conditionalFormatting>
  <conditionalFormatting sqref="P804">
    <cfRule type="containsText" dxfId="2" priority="7533" operator="containsText" text="Yes">
      <formula>NOT(ISERROR(SEARCH(("Yes"),(P804))))</formula>
    </cfRule>
  </conditionalFormatting>
  <conditionalFormatting sqref="P804">
    <cfRule type="containsText" dxfId="9" priority="7534" operator="containsText" text="No">
      <formula>NOT(ISERROR(SEARCH(("No"),(P804))))</formula>
    </cfRule>
  </conditionalFormatting>
  <conditionalFormatting sqref="P804">
    <cfRule type="containsText" dxfId="2" priority="7535" operator="containsText" text="Yes">
      <formula>NOT(ISERROR(SEARCH(("Yes"),(P804))))</formula>
    </cfRule>
  </conditionalFormatting>
  <conditionalFormatting sqref="P804">
    <cfRule type="containsText" dxfId="9" priority="7536" operator="containsText" text="No">
      <formula>NOT(ISERROR(SEARCH(("No"),(P804))))</formula>
    </cfRule>
  </conditionalFormatting>
  <conditionalFormatting sqref="P804">
    <cfRule type="containsText" dxfId="2" priority="7537" operator="containsText" text="Yes">
      <formula>NOT(ISERROR(SEARCH(("Yes"),(P804))))</formula>
    </cfRule>
  </conditionalFormatting>
  <conditionalFormatting sqref="P804">
    <cfRule type="containsText" dxfId="9" priority="7538" operator="containsText" text="No">
      <formula>NOT(ISERROR(SEARCH(("No"),(P804))))</formula>
    </cfRule>
  </conditionalFormatting>
  <conditionalFormatting sqref="P804">
    <cfRule type="containsText" dxfId="2" priority="7539" operator="containsText" text="Yes">
      <formula>NOT(ISERROR(SEARCH(("Yes"),(P804))))</formula>
    </cfRule>
  </conditionalFormatting>
  <conditionalFormatting sqref="P804">
    <cfRule type="containsText" dxfId="9" priority="7540" operator="containsText" text="No">
      <formula>NOT(ISERROR(SEARCH(("No"),(P804))))</formula>
    </cfRule>
  </conditionalFormatting>
  <conditionalFormatting sqref="P804">
    <cfRule type="containsText" dxfId="2" priority="7541" operator="containsText" text="Yes">
      <formula>NOT(ISERROR(SEARCH(("Yes"),(P804))))</formula>
    </cfRule>
  </conditionalFormatting>
  <conditionalFormatting sqref="P804">
    <cfRule type="containsText" dxfId="9" priority="7542" operator="containsText" text="No">
      <formula>NOT(ISERROR(SEARCH(("No"),(P804))))</formula>
    </cfRule>
  </conditionalFormatting>
  <conditionalFormatting sqref="P804">
    <cfRule type="containsText" dxfId="2" priority="7543" operator="containsText" text="Yes">
      <formula>NOT(ISERROR(SEARCH(("Yes"),(P804))))</formula>
    </cfRule>
  </conditionalFormatting>
  <conditionalFormatting sqref="P804">
    <cfRule type="containsText" dxfId="9" priority="7544" operator="containsText" text="No">
      <formula>NOT(ISERROR(SEARCH(("No"),(P804))))</formula>
    </cfRule>
  </conditionalFormatting>
  <conditionalFormatting sqref="P804">
    <cfRule type="containsText" dxfId="2" priority="7545" operator="containsText" text="Yes">
      <formula>NOT(ISERROR(SEARCH(("Yes"),(P804))))</formula>
    </cfRule>
  </conditionalFormatting>
  <conditionalFormatting sqref="P804">
    <cfRule type="containsText" dxfId="9" priority="7546" operator="containsText" text="No">
      <formula>NOT(ISERROR(SEARCH(("No"),(P804))))</formula>
    </cfRule>
  </conditionalFormatting>
  <conditionalFormatting sqref="P804">
    <cfRule type="containsText" dxfId="2" priority="7547" operator="containsText" text="Yes">
      <formula>NOT(ISERROR(SEARCH(("Yes"),(P804))))</formula>
    </cfRule>
  </conditionalFormatting>
  <conditionalFormatting sqref="P804">
    <cfRule type="containsText" dxfId="9" priority="7548" operator="containsText" text="No">
      <formula>NOT(ISERROR(SEARCH(("No"),(P804))))</formula>
    </cfRule>
  </conditionalFormatting>
  <conditionalFormatting sqref="P804">
    <cfRule type="containsText" dxfId="2" priority="7549" operator="containsText" text="Yes">
      <formula>NOT(ISERROR(SEARCH(("Yes"),(P804))))</formula>
    </cfRule>
  </conditionalFormatting>
  <conditionalFormatting sqref="P804">
    <cfRule type="containsText" dxfId="9" priority="7550" operator="containsText" text="No">
      <formula>NOT(ISERROR(SEARCH(("No"),(P804))))</formula>
    </cfRule>
  </conditionalFormatting>
  <conditionalFormatting sqref="P804">
    <cfRule type="containsText" dxfId="2" priority="7551" operator="containsText" text="Yes">
      <formula>NOT(ISERROR(SEARCH(("Yes"),(P804))))</formula>
    </cfRule>
  </conditionalFormatting>
  <conditionalFormatting sqref="P804">
    <cfRule type="containsText" dxfId="9" priority="7552" operator="containsText" text="No">
      <formula>NOT(ISERROR(SEARCH(("No"),(P804))))</formula>
    </cfRule>
  </conditionalFormatting>
  <conditionalFormatting sqref="P804">
    <cfRule type="containsText" dxfId="2" priority="7553" operator="containsText" text="Yes">
      <formula>NOT(ISERROR(SEARCH(("Yes"),(P804))))</formula>
    </cfRule>
  </conditionalFormatting>
  <conditionalFormatting sqref="P804">
    <cfRule type="containsText" dxfId="9" priority="7554" operator="containsText" text="No">
      <formula>NOT(ISERROR(SEARCH(("No"),(P804))))</formula>
    </cfRule>
  </conditionalFormatting>
  <conditionalFormatting sqref="P804">
    <cfRule type="containsText" dxfId="2" priority="7555" operator="containsText" text="Yes">
      <formula>NOT(ISERROR(SEARCH(("Yes"),(P804))))</formula>
    </cfRule>
  </conditionalFormatting>
  <conditionalFormatting sqref="P804">
    <cfRule type="containsText" dxfId="9" priority="7556" operator="containsText" text="No">
      <formula>NOT(ISERROR(SEARCH(("No"),(P804))))</formula>
    </cfRule>
  </conditionalFormatting>
  <conditionalFormatting sqref="P804">
    <cfRule type="containsText" dxfId="2" priority="7557" operator="containsText" text="Yes">
      <formula>NOT(ISERROR(SEARCH(("Yes"),(P804))))</formula>
    </cfRule>
  </conditionalFormatting>
  <conditionalFormatting sqref="P804">
    <cfRule type="containsText" dxfId="9" priority="7558" operator="containsText" text="No">
      <formula>NOT(ISERROR(SEARCH(("No"),(P804))))</formula>
    </cfRule>
  </conditionalFormatting>
  <conditionalFormatting sqref="P804">
    <cfRule type="containsText" dxfId="2" priority="7559" operator="containsText" text="Yes">
      <formula>NOT(ISERROR(SEARCH(("Yes"),(P804))))</formula>
    </cfRule>
  </conditionalFormatting>
  <conditionalFormatting sqref="P804">
    <cfRule type="containsText" dxfId="9" priority="7560" operator="containsText" text="No">
      <formula>NOT(ISERROR(SEARCH(("No"),(P804))))</formula>
    </cfRule>
  </conditionalFormatting>
  <conditionalFormatting sqref="P804">
    <cfRule type="containsText" dxfId="2" priority="7561" operator="containsText" text="Yes">
      <formula>NOT(ISERROR(SEARCH(("Yes"),(P804))))</formula>
    </cfRule>
  </conditionalFormatting>
  <conditionalFormatting sqref="P804">
    <cfRule type="containsText" dxfId="2" priority="7562" operator="containsText" text="Yes">
      <formula>NOT(ISERROR(SEARCH(("Yes"),(P804))))</formula>
    </cfRule>
  </conditionalFormatting>
  <conditionalFormatting sqref="P804">
    <cfRule type="containsText" dxfId="9" priority="7563" operator="containsText" text="No">
      <formula>NOT(ISERROR(SEARCH(("No"),(P804))))</formula>
    </cfRule>
  </conditionalFormatting>
  <conditionalFormatting sqref="P804">
    <cfRule type="containsText" dxfId="2" priority="7564" operator="containsText" text="Yes">
      <formula>NOT(ISERROR(SEARCH(("Yes"),(P804))))</formula>
    </cfRule>
  </conditionalFormatting>
  <conditionalFormatting sqref="P806:P818">
    <cfRule type="containsText" dxfId="2" priority="7565" operator="containsText" text="Yes">
      <formula>NOT(ISERROR(SEARCH(("Yes"),(P806))))</formula>
    </cfRule>
  </conditionalFormatting>
  <conditionalFormatting sqref="P806:P818">
    <cfRule type="containsText" dxfId="9" priority="7566" operator="containsText" text="No">
      <formula>NOT(ISERROR(SEARCH(("No"),(P806))))</formula>
    </cfRule>
  </conditionalFormatting>
  <conditionalFormatting sqref="P806:P818">
    <cfRule type="containsText" dxfId="2" priority="7567" operator="containsText" text="Yes">
      <formula>NOT(ISERROR(SEARCH(("Yes"),(P806))))</formula>
    </cfRule>
  </conditionalFormatting>
  <conditionalFormatting sqref="P806:P818">
    <cfRule type="containsText" dxfId="9" priority="7568" operator="containsText" text="No">
      <formula>NOT(ISERROR(SEARCH(("No"),(P806))))</formula>
    </cfRule>
  </conditionalFormatting>
  <conditionalFormatting sqref="P806:P818">
    <cfRule type="containsText" dxfId="2" priority="7569" operator="containsText" text="Yes">
      <formula>NOT(ISERROR(SEARCH(("Yes"),(P806))))</formula>
    </cfRule>
  </conditionalFormatting>
  <conditionalFormatting sqref="P806:P818">
    <cfRule type="containsText" dxfId="9" priority="7570" operator="containsText" text="No">
      <formula>NOT(ISERROR(SEARCH(("No"),(P806))))</formula>
    </cfRule>
  </conditionalFormatting>
  <conditionalFormatting sqref="P806:P818">
    <cfRule type="containsText" dxfId="2" priority="7571" operator="containsText" text="Yes">
      <formula>NOT(ISERROR(SEARCH(("Yes"),(P806))))</formula>
    </cfRule>
  </conditionalFormatting>
  <conditionalFormatting sqref="P806:P818">
    <cfRule type="containsText" dxfId="9" priority="7572" operator="containsText" text="No">
      <formula>NOT(ISERROR(SEARCH(("No"),(P806))))</formula>
    </cfRule>
  </conditionalFormatting>
  <conditionalFormatting sqref="P806:P818">
    <cfRule type="containsText" dxfId="2" priority="7573" operator="containsText" text="Yes">
      <formula>NOT(ISERROR(SEARCH(("Yes"),(P806))))</formula>
    </cfRule>
  </conditionalFormatting>
  <conditionalFormatting sqref="P806:P818">
    <cfRule type="containsText" dxfId="9" priority="7574" operator="containsText" text="No">
      <formula>NOT(ISERROR(SEARCH(("No"),(P806))))</formula>
    </cfRule>
  </conditionalFormatting>
  <conditionalFormatting sqref="P806:P818">
    <cfRule type="containsText" dxfId="2" priority="7575" operator="containsText" text="Yes">
      <formula>NOT(ISERROR(SEARCH(("Yes"),(P806))))</formula>
    </cfRule>
  </conditionalFormatting>
  <conditionalFormatting sqref="P806:P818">
    <cfRule type="containsText" dxfId="9" priority="7576" operator="containsText" text="No">
      <formula>NOT(ISERROR(SEARCH(("No"),(P806))))</formula>
    </cfRule>
  </conditionalFormatting>
  <conditionalFormatting sqref="P806:P818">
    <cfRule type="containsText" dxfId="2" priority="7577" operator="containsText" text="Yes">
      <formula>NOT(ISERROR(SEARCH(("Yes"),(P806))))</formula>
    </cfRule>
  </conditionalFormatting>
  <conditionalFormatting sqref="P806:P818">
    <cfRule type="containsText" dxfId="9" priority="7578" operator="containsText" text="No">
      <formula>NOT(ISERROR(SEARCH(("No"),(P806))))</formula>
    </cfRule>
  </conditionalFormatting>
  <conditionalFormatting sqref="P806:P818">
    <cfRule type="containsText" dxfId="2" priority="7579" operator="containsText" text="Yes">
      <formula>NOT(ISERROR(SEARCH(("Yes"),(P806))))</formula>
    </cfRule>
  </conditionalFormatting>
  <conditionalFormatting sqref="P806:P818">
    <cfRule type="containsText" dxfId="9" priority="7580" operator="containsText" text="No">
      <formula>NOT(ISERROR(SEARCH(("No"),(P806))))</formula>
    </cfRule>
  </conditionalFormatting>
  <conditionalFormatting sqref="P806:P818">
    <cfRule type="containsText" dxfId="2" priority="7581" operator="containsText" text="Yes">
      <formula>NOT(ISERROR(SEARCH(("Yes"),(P806))))</formula>
    </cfRule>
  </conditionalFormatting>
  <conditionalFormatting sqref="P806:P818">
    <cfRule type="containsText" dxfId="9" priority="7582" operator="containsText" text="No">
      <formula>NOT(ISERROR(SEARCH(("No"),(P806))))</formula>
    </cfRule>
  </conditionalFormatting>
  <conditionalFormatting sqref="P806:P818">
    <cfRule type="containsText" dxfId="2" priority="7583" operator="containsText" text="Yes">
      <formula>NOT(ISERROR(SEARCH(("Yes"),(P806))))</formula>
    </cfRule>
  </conditionalFormatting>
  <conditionalFormatting sqref="P806:P818">
    <cfRule type="containsText" dxfId="9" priority="7584" operator="containsText" text="No">
      <formula>NOT(ISERROR(SEARCH(("No"),(P806))))</formula>
    </cfRule>
  </conditionalFormatting>
  <conditionalFormatting sqref="P806:P818">
    <cfRule type="containsText" dxfId="2" priority="7585" operator="containsText" text="Yes">
      <formula>NOT(ISERROR(SEARCH(("Yes"),(P806))))</formula>
    </cfRule>
  </conditionalFormatting>
  <conditionalFormatting sqref="P806:P818">
    <cfRule type="containsText" dxfId="9" priority="7586" operator="containsText" text="No">
      <formula>NOT(ISERROR(SEARCH(("No"),(P806))))</formula>
    </cfRule>
  </conditionalFormatting>
  <conditionalFormatting sqref="P806:P818">
    <cfRule type="containsText" dxfId="2" priority="7587" operator="containsText" text="Yes">
      <formula>NOT(ISERROR(SEARCH(("Yes"),(P806))))</formula>
    </cfRule>
  </conditionalFormatting>
  <conditionalFormatting sqref="P806:P818">
    <cfRule type="containsText" dxfId="9" priority="7588" operator="containsText" text="No">
      <formula>NOT(ISERROR(SEARCH(("No"),(P806))))</formula>
    </cfRule>
  </conditionalFormatting>
  <conditionalFormatting sqref="P806:P818">
    <cfRule type="containsText" dxfId="2" priority="7589" operator="containsText" text="Yes">
      <formula>NOT(ISERROR(SEARCH(("Yes"),(P806))))</formula>
    </cfRule>
  </conditionalFormatting>
  <conditionalFormatting sqref="P806:P818">
    <cfRule type="containsText" dxfId="9" priority="7590" operator="containsText" text="No">
      <formula>NOT(ISERROR(SEARCH(("No"),(P806))))</formula>
    </cfRule>
  </conditionalFormatting>
  <conditionalFormatting sqref="P806:P818">
    <cfRule type="containsText" dxfId="2" priority="7591" operator="containsText" text="Yes">
      <formula>NOT(ISERROR(SEARCH(("Yes"),(P806))))</formula>
    </cfRule>
  </conditionalFormatting>
  <conditionalFormatting sqref="P806:P818">
    <cfRule type="containsText" dxfId="9" priority="7592" operator="containsText" text="No">
      <formula>NOT(ISERROR(SEARCH(("No"),(P806))))</formula>
    </cfRule>
  </conditionalFormatting>
  <conditionalFormatting sqref="P806:P818">
    <cfRule type="containsText" dxfId="2" priority="7593" operator="containsText" text="Yes">
      <formula>NOT(ISERROR(SEARCH(("Yes"),(P806))))</formula>
    </cfRule>
  </conditionalFormatting>
  <conditionalFormatting sqref="P806:P818">
    <cfRule type="containsText" dxfId="9" priority="7594" operator="containsText" text="No">
      <formula>NOT(ISERROR(SEARCH(("No"),(P806))))</formula>
    </cfRule>
  </conditionalFormatting>
  <conditionalFormatting sqref="P806:P818">
    <cfRule type="containsText" dxfId="2" priority="7595" operator="containsText" text="Yes">
      <formula>NOT(ISERROR(SEARCH(("Yes"),(P806))))</formula>
    </cfRule>
  </conditionalFormatting>
  <conditionalFormatting sqref="P806:P818">
    <cfRule type="containsText" dxfId="9" priority="7596" operator="containsText" text="No">
      <formula>NOT(ISERROR(SEARCH(("No"),(P806))))</formula>
    </cfRule>
  </conditionalFormatting>
  <conditionalFormatting sqref="P806:P818">
    <cfRule type="containsText" dxfId="2" priority="7597" operator="containsText" text="Yes">
      <formula>NOT(ISERROR(SEARCH(("Yes"),(P806))))</formula>
    </cfRule>
  </conditionalFormatting>
  <conditionalFormatting sqref="P806:P818">
    <cfRule type="containsText" dxfId="9" priority="7598" operator="containsText" text="No">
      <formula>NOT(ISERROR(SEARCH(("No"),(P806))))</formula>
    </cfRule>
  </conditionalFormatting>
  <conditionalFormatting sqref="P806:P818">
    <cfRule type="containsText" dxfId="2" priority="7599" operator="containsText" text="Yes">
      <formula>NOT(ISERROR(SEARCH(("Yes"),(P806))))</formula>
    </cfRule>
  </conditionalFormatting>
  <conditionalFormatting sqref="P806:P818">
    <cfRule type="containsText" dxfId="9" priority="7600" operator="containsText" text="No">
      <formula>NOT(ISERROR(SEARCH(("No"),(P806))))</formula>
    </cfRule>
  </conditionalFormatting>
  <conditionalFormatting sqref="P806:P818">
    <cfRule type="containsText" dxfId="2" priority="7601" operator="containsText" text="Yes">
      <formula>NOT(ISERROR(SEARCH(("Yes"),(P806))))</formula>
    </cfRule>
  </conditionalFormatting>
  <conditionalFormatting sqref="P806:P818">
    <cfRule type="containsText" dxfId="9" priority="7602" operator="containsText" text="No">
      <formula>NOT(ISERROR(SEARCH(("No"),(P806))))</formula>
    </cfRule>
  </conditionalFormatting>
  <conditionalFormatting sqref="P806:P818">
    <cfRule type="containsText" dxfId="2" priority="7603" operator="containsText" text="Yes">
      <formula>NOT(ISERROR(SEARCH(("Yes"),(P806))))</formula>
    </cfRule>
  </conditionalFormatting>
  <conditionalFormatting sqref="P806:P818">
    <cfRule type="containsText" dxfId="9" priority="7604" operator="containsText" text="No">
      <formula>NOT(ISERROR(SEARCH(("No"),(P806))))</formula>
    </cfRule>
  </conditionalFormatting>
  <conditionalFormatting sqref="P806:P818">
    <cfRule type="containsText" dxfId="2" priority="7605" operator="containsText" text="Yes">
      <formula>NOT(ISERROR(SEARCH(("Yes"),(P806))))</formula>
    </cfRule>
  </conditionalFormatting>
  <conditionalFormatting sqref="P806:P818">
    <cfRule type="containsText" dxfId="9" priority="7606" operator="containsText" text="No">
      <formula>NOT(ISERROR(SEARCH(("No"),(P806))))</formula>
    </cfRule>
  </conditionalFormatting>
  <conditionalFormatting sqref="P806:P818">
    <cfRule type="containsText" dxfId="2" priority="7607" operator="containsText" text="Yes">
      <formula>NOT(ISERROR(SEARCH(("Yes"),(P806))))</formula>
    </cfRule>
  </conditionalFormatting>
  <conditionalFormatting sqref="P806:P818">
    <cfRule type="containsText" dxfId="9" priority="7608" operator="containsText" text="No">
      <formula>NOT(ISERROR(SEARCH(("No"),(P806))))</formula>
    </cfRule>
  </conditionalFormatting>
  <conditionalFormatting sqref="P806:P818">
    <cfRule type="containsText" dxfId="2" priority="7609" operator="containsText" text="Yes">
      <formula>NOT(ISERROR(SEARCH(("Yes"),(P806))))</formula>
    </cfRule>
  </conditionalFormatting>
  <conditionalFormatting sqref="P806:P818">
    <cfRule type="containsText" dxfId="9" priority="7610" operator="containsText" text="No">
      <formula>NOT(ISERROR(SEARCH(("No"),(P806))))</formula>
    </cfRule>
  </conditionalFormatting>
  <conditionalFormatting sqref="P806:P818">
    <cfRule type="containsText" dxfId="2" priority="7611" operator="containsText" text="Yes">
      <formula>NOT(ISERROR(SEARCH(("Yes"),(P806))))</formula>
    </cfRule>
  </conditionalFormatting>
  <conditionalFormatting sqref="P806:P818">
    <cfRule type="containsText" dxfId="9" priority="7612" operator="containsText" text="No">
      <formula>NOT(ISERROR(SEARCH(("No"),(P806))))</formula>
    </cfRule>
  </conditionalFormatting>
  <conditionalFormatting sqref="P806:P818">
    <cfRule type="containsText" dxfId="2" priority="7613" operator="containsText" text="Yes">
      <formula>NOT(ISERROR(SEARCH(("Yes"),(P806))))</formula>
    </cfRule>
  </conditionalFormatting>
  <conditionalFormatting sqref="P806:P818">
    <cfRule type="containsText" dxfId="9" priority="7614" operator="containsText" text="No">
      <formula>NOT(ISERROR(SEARCH(("No"),(P806))))</formula>
    </cfRule>
  </conditionalFormatting>
  <conditionalFormatting sqref="P806:P818">
    <cfRule type="containsText" dxfId="2" priority="7615" operator="containsText" text="Yes">
      <formula>NOT(ISERROR(SEARCH(("Yes"),(P806))))</formula>
    </cfRule>
  </conditionalFormatting>
  <conditionalFormatting sqref="P806:P818">
    <cfRule type="containsText" dxfId="9" priority="7616" operator="containsText" text="No">
      <formula>NOT(ISERROR(SEARCH(("No"),(P806))))</formula>
    </cfRule>
  </conditionalFormatting>
  <conditionalFormatting sqref="P806:P818">
    <cfRule type="containsText" dxfId="2" priority="7617" operator="containsText" text="Yes">
      <formula>NOT(ISERROR(SEARCH(("Yes"),(P806))))</formula>
    </cfRule>
  </conditionalFormatting>
  <conditionalFormatting sqref="P806:P818">
    <cfRule type="containsText" dxfId="9" priority="7618" operator="containsText" text="No">
      <formula>NOT(ISERROR(SEARCH(("No"),(P806))))</formula>
    </cfRule>
  </conditionalFormatting>
  <conditionalFormatting sqref="P806:P818">
    <cfRule type="containsText" dxfId="2" priority="7619" operator="containsText" text="Yes">
      <formula>NOT(ISERROR(SEARCH(("Yes"),(P806))))</formula>
    </cfRule>
  </conditionalFormatting>
  <conditionalFormatting sqref="P806:P818">
    <cfRule type="containsText" dxfId="9" priority="7620" operator="containsText" text="No">
      <formula>NOT(ISERROR(SEARCH(("No"),(P806))))</formula>
    </cfRule>
  </conditionalFormatting>
  <conditionalFormatting sqref="P806:P818">
    <cfRule type="containsText" dxfId="2" priority="7621" operator="containsText" text="Yes">
      <formula>NOT(ISERROR(SEARCH(("Yes"),(P806))))</formula>
    </cfRule>
  </conditionalFormatting>
  <conditionalFormatting sqref="P806:P818">
    <cfRule type="containsText" dxfId="9" priority="7622" operator="containsText" text="No">
      <formula>NOT(ISERROR(SEARCH(("No"),(P806))))</formula>
    </cfRule>
  </conditionalFormatting>
  <conditionalFormatting sqref="P806:P818">
    <cfRule type="containsText" dxfId="2" priority="7623" operator="containsText" text="Yes">
      <formula>NOT(ISERROR(SEARCH(("Yes"),(P806))))</formula>
    </cfRule>
  </conditionalFormatting>
  <conditionalFormatting sqref="P806:P818">
    <cfRule type="containsText" dxfId="9" priority="7624" operator="containsText" text="No">
      <formula>NOT(ISERROR(SEARCH(("No"),(P806))))</formula>
    </cfRule>
  </conditionalFormatting>
  <conditionalFormatting sqref="P806:P818">
    <cfRule type="containsText" dxfId="2" priority="7625" operator="containsText" text="Yes">
      <formula>NOT(ISERROR(SEARCH(("Yes"),(P806))))</formula>
    </cfRule>
  </conditionalFormatting>
  <conditionalFormatting sqref="P806:P818">
    <cfRule type="containsText" dxfId="9" priority="7626" operator="containsText" text="No">
      <formula>NOT(ISERROR(SEARCH(("No"),(P806))))</formula>
    </cfRule>
  </conditionalFormatting>
  <conditionalFormatting sqref="P806:P818">
    <cfRule type="containsText" dxfId="2" priority="7627" operator="containsText" text="Yes">
      <formula>NOT(ISERROR(SEARCH(("Yes"),(P806))))</formula>
    </cfRule>
  </conditionalFormatting>
  <conditionalFormatting sqref="P806:P818">
    <cfRule type="containsText" dxfId="9" priority="7628" operator="containsText" text="No">
      <formula>NOT(ISERROR(SEARCH(("No"),(P806))))</formula>
    </cfRule>
  </conditionalFormatting>
  <conditionalFormatting sqref="P806:P818">
    <cfRule type="containsText" dxfId="2" priority="7629" operator="containsText" text="Yes">
      <formula>NOT(ISERROR(SEARCH(("Yes"),(P806))))</formula>
    </cfRule>
  </conditionalFormatting>
  <conditionalFormatting sqref="P806:P818">
    <cfRule type="containsText" dxfId="9" priority="7630" operator="containsText" text="No">
      <formula>NOT(ISERROR(SEARCH(("No"),(P806))))</formula>
    </cfRule>
  </conditionalFormatting>
  <conditionalFormatting sqref="P806:P818">
    <cfRule type="containsText" dxfId="2" priority="7631" operator="containsText" text="Yes">
      <formula>NOT(ISERROR(SEARCH(("Yes"),(P806))))</formula>
    </cfRule>
  </conditionalFormatting>
  <conditionalFormatting sqref="P806:P818">
    <cfRule type="containsText" dxfId="9" priority="7632" operator="containsText" text="No">
      <formula>NOT(ISERROR(SEARCH(("No"),(P806))))</formula>
    </cfRule>
  </conditionalFormatting>
  <conditionalFormatting sqref="P806:P818">
    <cfRule type="containsText" dxfId="2" priority="7633" operator="containsText" text="Yes">
      <formula>NOT(ISERROR(SEARCH(("Yes"),(P806))))</formula>
    </cfRule>
  </conditionalFormatting>
  <conditionalFormatting sqref="P806:P818">
    <cfRule type="containsText" dxfId="9" priority="7634" operator="containsText" text="No">
      <formula>NOT(ISERROR(SEARCH(("No"),(P806))))</formula>
    </cfRule>
  </conditionalFormatting>
  <conditionalFormatting sqref="P806:P818">
    <cfRule type="containsText" dxfId="2" priority="7635" operator="containsText" text="Yes">
      <formula>NOT(ISERROR(SEARCH(("Yes"),(P806))))</formula>
    </cfRule>
  </conditionalFormatting>
  <conditionalFormatting sqref="P806:P818">
    <cfRule type="containsText" dxfId="9" priority="7636" operator="containsText" text="No">
      <formula>NOT(ISERROR(SEARCH(("No"),(P806))))</formula>
    </cfRule>
  </conditionalFormatting>
  <conditionalFormatting sqref="P806:P818">
    <cfRule type="containsText" dxfId="2" priority="7637" operator="containsText" text="Yes">
      <formula>NOT(ISERROR(SEARCH(("Yes"),(P806))))</formula>
    </cfRule>
  </conditionalFormatting>
  <conditionalFormatting sqref="P806:P818">
    <cfRule type="containsText" dxfId="9" priority="7638" operator="containsText" text="No">
      <formula>NOT(ISERROR(SEARCH(("No"),(P806))))</formula>
    </cfRule>
  </conditionalFormatting>
  <conditionalFormatting sqref="P806:P818">
    <cfRule type="containsText" dxfId="2" priority="7639" operator="containsText" text="Yes">
      <formula>NOT(ISERROR(SEARCH(("Yes"),(P806))))</formula>
    </cfRule>
  </conditionalFormatting>
  <conditionalFormatting sqref="P806:P818">
    <cfRule type="containsText" dxfId="9" priority="7640" operator="containsText" text="No">
      <formula>NOT(ISERROR(SEARCH(("No"),(P806))))</formula>
    </cfRule>
  </conditionalFormatting>
  <conditionalFormatting sqref="P806:P818">
    <cfRule type="containsText" dxfId="2" priority="7641" operator="containsText" text="Yes">
      <formula>NOT(ISERROR(SEARCH(("Yes"),(P806))))</formula>
    </cfRule>
  </conditionalFormatting>
  <conditionalFormatting sqref="P806:P818">
    <cfRule type="containsText" dxfId="9" priority="7642" operator="containsText" text="No">
      <formula>NOT(ISERROR(SEARCH(("No"),(P806))))</formula>
    </cfRule>
  </conditionalFormatting>
  <conditionalFormatting sqref="P806:P818">
    <cfRule type="containsText" dxfId="2" priority="7643" operator="containsText" text="Yes">
      <formula>NOT(ISERROR(SEARCH(("Yes"),(P806))))</formula>
    </cfRule>
  </conditionalFormatting>
  <conditionalFormatting sqref="P806:P818">
    <cfRule type="containsText" dxfId="9" priority="7644" operator="containsText" text="No">
      <formula>NOT(ISERROR(SEARCH(("No"),(P806))))</formula>
    </cfRule>
  </conditionalFormatting>
  <conditionalFormatting sqref="P806:P818">
    <cfRule type="containsText" dxfId="2" priority="7645" operator="containsText" text="Yes">
      <formula>NOT(ISERROR(SEARCH(("Yes"),(P806))))</formula>
    </cfRule>
  </conditionalFormatting>
  <conditionalFormatting sqref="P806:P818">
    <cfRule type="containsText" dxfId="9" priority="7646" operator="containsText" text="No">
      <formula>NOT(ISERROR(SEARCH(("No"),(P806))))</formula>
    </cfRule>
  </conditionalFormatting>
  <conditionalFormatting sqref="P806:P818">
    <cfRule type="containsText" dxfId="2" priority="7647" operator="containsText" text="Yes">
      <formula>NOT(ISERROR(SEARCH(("Yes"),(P806))))</formula>
    </cfRule>
  </conditionalFormatting>
  <conditionalFormatting sqref="P806:P818">
    <cfRule type="containsText" dxfId="9" priority="7648" operator="containsText" text="No">
      <formula>NOT(ISERROR(SEARCH(("No"),(P806))))</formula>
    </cfRule>
  </conditionalFormatting>
  <conditionalFormatting sqref="P806:P818">
    <cfRule type="containsText" dxfId="2" priority="7649" operator="containsText" text="Yes">
      <formula>NOT(ISERROR(SEARCH(("Yes"),(P806))))</formula>
    </cfRule>
  </conditionalFormatting>
  <conditionalFormatting sqref="P806:P818">
    <cfRule type="containsText" dxfId="9" priority="7650" operator="containsText" text="No">
      <formula>NOT(ISERROR(SEARCH(("No"),(P806))))</formula>
    </cfRule>
  </conditionalFormatting>
  <conditionalFormatting sqref="P806:P818">
    <cfRule type="containsText" dxfId="2" priority="7651" operator="containsText" text="Yes">
      <formula>NOT(ISERROR(SEARCH(("Yes"),(P806))))</formula>
    </cfRule>
  </conditionalFormatting>
  <conditionalFormatting sqref="P806:P818">
    <cfRule type="containsText" dxfId="9" priority="7652" operator="containsText" text="No">
      <formula>NOT(ISERROR(SEARCH(("No"),(P806))))</formula>
    </cfRule>
  </conditionalFormatting>
  <conditionalFormatting sqref="P806:P818">
    <cfRule type="containsText" dxfId="2" priority="7653" operator="containsText" text="Yes">
      <formula>NOT(ISERROR(SEARCH(("Yes"),(P806))))</formula>
    </cfRule>
  </conditionalFormatting>
  <conditionalFormatting sqref="P806:P818">
    <cfRule type="containsText" dxfId="2" priority="7654" operator="containsText" text="Yes">
      <formula>NOT(ISERROR(SEARCH(("Yes"),(P806))))</formula>
    </cfRule>
  </conditionalFormatting>
  <conditionalFormatting sqref="P806:P818">
    <cfRule type="containsText" dxfId="9" priority="7655" operator="containsText" text="No">
      <formula>NOT(ISERROR(SEARCH(("No"),(P806))))</formula>
    </cfRule>
  </conditionalFormatting>
  <conditionalFormatting sqref="P806:P818">
    <cfRule type="containsText" dxfId="2" priority="7656" operator="containsText" text="Yes">
      <formula>NOT(ISERROR(SEARCH(("Yes"),(P806))))</formula>
    </cfRule>
  </conditionalFormatting>
  <conditionalFormatting sqref="P819 P833:P834 P865:P866 P877 P880 P883">
    <cfRule type="containsText" dxfId="9" priority="7657" operator="containsText" text="No">
      <formula>NOT(ISERROR(SEARCH(("No"),(P819))))</formula>
    </cfRule>
  </conditionalFormatting>
  <conditionalFormatting sqref="P819 P833:P834 P865:P866 P877 P880 P883">
    <cfRule type="containsText" dxfId="2" priority="7658" operator="containsText" text="Yes">
      <formula>NOT(ISERROR(SEARCH(("Yes"),(P819))))</formula>
    </cfRule>
  </conditionalFormatting>
  <conditionalFormatting sqref="P819 P833:P834 P865:P866 P877 P880 P883">
    <cfRule type="containsText" dxfId="9" priority="7659" operator="containsText" text="No">
      <formula>NOT(ISERROR(SEARCH(("No"),(P819))))</formula>
    </cfRule>
  </conditionalFormatting>
  <conditionalFormatting sqref="P819 P833:P834 P865:P866 P877 P880 P883">
    <cfRule type="containsText" dxfId="2" priority="7660" operator="containsText" text="Yes">
      <formula>NOT(ISERROR(SEARCH(("Yes"),(P819))))</formula>
    </cfRule>
  </conditionalFormatting>
  <conditionalFormatting sqref="P819 P833:P834 P865:P866 P877 P880 P883">
    <cfRule type="containsText" dxfId="9" priority="7661" operator="containsText" text="No">
      <formula>NOT(ISERROR(SEARCH(("No"),(P819))))</formula>
    </cfRule>
  </conditionalFormatting>
  <conditionalFormatting sqref="P819 P833:P834 P865:P866 P877 P880 P883">
    <cfRule type="containsText" dxfId="2" priority="7662" operator="containsText" text="Yes">
      <formula>NOT(ISERROR(SEARCH(("Yes"),(P819))))</formula>
    </cfRule>
  </conditionalFormatting>
  <conditionalFormatting sqref="P819 P833:P834 P865:P866 P877 P880 P883">
    <cfRule type="containsText" dxfId="9" priority="7663" operator="containsText" text="No">
      <formula>NOT(ISERROR(SEARCH(("No"),(P819))))</formula>
    </cfRule>
  </conditionalFormatting>
  <conditionalFormatting sqref="P819 P833:P834 P865:P866 P877 P880 P883">
    <cfRule type="containsText" dxfId="2" priority="7664" operator="containsText" text="Yes">
      <formula>NOT(ISERROR(SEARCH(("Yes"),(P819))))</formula>
    </cfRule>
  </conditionalFormatting>
  <conditionalFormatting sqref="P819 P833:P834 P865:P866 P877 P880 P883">
    <cfRule type="containsText" dxfId="9" priority="7665" operator="containsText" text="No">
      <formula>NOT(ISERROR(SEARCH(("No"),(P819))))</formula>
    </cfRule>
  </conditionalFormatting>
  <conditionalFormatting sqref="P819 P833:P834 P865:P866 P877 P880 P883">
    <cfRule type="containsText" dxfId="2" priority="7666" operator="containsText" text="Yes">
      <formula>NOT(ISERROR(SEARCH(("Yes"),(P819))))</formula>
    </cfRule>
  </conditionalFormatting>
  <conditionalFormatting sqref="P819 P833:P834 P865:P866 P877 P880 P883">
    <cfRule type="containsText" dxfId="9" priority="7667" operator="containsText" text="No">
      <formula>NOT(ISERROR(SEARCH(("No"),(P819))))</formula>
    </cfRule>
  </conditionalFormatting>
  <conditionalFormatting sqref="P819 P833:P834 P865:P866 P877 P880 P883">
    <cfRule type="containsText" dxfId="2" priority="7668" operator="containsText" text="Yes">
      <formula>NOT(ISERROR(SEARCH(("Yes"),(P819))))</formula>
    </cfRule>
  </conditionalFormatting>
  <conditionalFormatting sqref="P819 P833:P834 P865:P866 P877 P880 P883">
    <cfRule type="containsText" dxfId="9" priority="7669" operator="containsText" text="No">
      <formula>NOT(ISERROR(SEARCH(("No"),(P819))))</formula>
    </cfRule>
  </conditionalFormatting>
  <conditionalFormatting sqref="P819 P833:P834 P865:P866 P877 P880 P883">
    <cfRule type="containsText" dxfId="2" priority="7670" operator="containsText" text="Yes">
      <formula>NOT(ISERROR(SEARCH(("Yes"),(P819))))</formula>
    </cfRule>
  </conditionalFormatting>
  <conditionalFormatting sqref="P819 P833:P834 P865:P866 P877 P880 P883">
    <cfRule type="containsText" dxfId="9" priority="7671" operator="containsText" text="No">
      <formula>NOT(ISERROR(SEARCH(("No"),(P819))))</formula>
    </cfRule>
  </conditionalFormatting>
  <conditionalFormatting sqref="P819 P833:P834 P865:P866 P877 P880 P883">
    <cfRule type="containsText" dxfId="2" priority="7672" operator="containsText" text="Yes">
      <formula>NOT(ISERROR(SEARCH(("Yes"),(P819))))</formula>
    </cfRule>
  </conditionalFormatting>
  <conditionalFormatting sqref="P819 P833:P834 P865:P866 P877 P880 P883">
    <cfRule type="containsText" dxfId="9" priority="7673" operator="containsText" text="No">
      <formula>NOT(ISERROR(SEARCH(("No"),(P819))))</formula>
    </cfRule>
  </conditionalFormatting>
  <conditionalFormatting sqref="P819 P833:P834 P865:P866 P877 P880 P883">
    <cfRule type="containsText" dxfId="2" priority="7674" operator="containsText" text="Yes">
      <formula>NOT(ISERROR(SEARCH(("Yes"),(P819))))</formula>
    </cfRule>
  </conditionalFormatting>
  <conditionalFormatting sqref="P819 P833:P834 P865:P866 P877 P880 P883">
    <cfRule type="containsText" dxfId="9" priority="7675" operator="containsText" text="No">
      <formula>NOT(ISERROR(SEARCH(("No"),(P819))))</formula>
    </cfRule>
  </conditionalFormatting>
  <conditionalFormatting sqref="P819 P833:P834 P865:P866 P877 P880 P883">
    <cfRule type="containsText" dxfId="2" priority="7676" operator="containsText" text="Yes">
      <formula>NOT(ISERROR(SEARCH(("Yes"),(P819))))</formula>
    </cfRule>
  </conditionalFormatting>
  <conditionalFormatting sqref="P819 P833:P834 P865:P866 P877 P880 P883">
    <cfRule type="containsText" dxfId="9" priority="7677" operator="containsText" text="No">
      <formula>NOT(ISERROR(SEARCH(("No"),(P819))))</formula>
    </cfRule>
  </conditionalFormatting>
  <conditionalFormatting sqref="P819 P833:P834 P865:P866 P877 P880 P883">
    <cfRule type="containsText" dxfId="2" priority="7678" operator="containsText" text="Yes">
      <formula>NOT(ISERROR(SEARCH(("Yes"),(P819))))</formula>
    </cfRule>
  </conditionalFormatting>
  <conditionalFormatting sqref="P819 P833:P834 P865:P866 P877 P880 P883">
    <cfRule type="containsText" dxfId="9" priority="7679" operator="containsText" text="No">
      <formula>NOT(ISERROR(SEARCH(("No"),(P819))))</formula>
    </cfRule>
  </conditionalFormatting>
  <conditionalFormatting sqref="P819 P833:P834 P865:P866 P877 P880 P883">
    <cfRule type="containsText" dxfId="2" priority="7680" operator="containsText" text="Yes">
      <formula>NOT(ISERROR(SEARCH(("Yes"),(P819))))</formula>
    </cfRule>
  </conditionalFormatting>
  <conditionalFormatting sqref="P819 P833:P834 P865:P866 P877 P880 P883">
    <cfRule type="containsText" dxfId="9" priority="7681" operator="containsText" text="No">
      <formula>NOT(ISERROR(SEARCH(("No"),(P819))))</formula>
    </cfRule>
  </conditionalFormatting>
  <conditionalFormatting sqref="P819 P833:P834 P865:P866 P877 P880 P883">
    <cfRule type="containsText" dxfId="2" priority="7682" operator="containsText" text="Yes">
      <formula>NOT(ISERROR(SEARCH(("Yes"),(P819))))</formula>
    </cfRule>
  </conditionalFormatting>
  <conditionalFormatting sqref="P819 P833:P834 P865:P866 P877 P880 P883">
    <cfRule type="containsText" dxfId="9" priority="7683" operator="containsText" text="No">
      <formula>NOT(ISERROR(SEARCH(("No"),(P819))))</formula>
    </cfRule>
  </conditionalFormatting>
  <conditionalFormatting sqref="P819 P833:P834 P865:P866 P877 P880 P883">
    <cfRule type="containsText" dxfId="2" priority="7684" operator="containsText" text="Yes">
      <formula>NOT(ISERROR(SEARCH(("Yes"),(P819))))</formula>
    </cfRule>
  </conditionalFormatting>
  <conditionalFormatting sqref="P819 P833:P834 P865:P866 P877 P880 P883">
    <cfRule type="containsText" dxfId="9" priority="7685" operator="containsText" text="No">
      <formula>NOT(ISERROR(SEARCH(("No"),(P819))))</formula>
    </cfRule>
  </conditionalFormatting>
  <conditionalFormatting sqref="P819 P833:P834 P865:P866 P877 P880 P883">
    <cfRule type="containsText" dxfId="2" priority="7686" operator="containsText" text="Yes">
      <formula>NOT(ISERROR(SEARCH(("Yes"),(P819))))</formula>
    </cfRule>
  </conditionalFormatting>
  <conditionalFormatting sqref="P819 P833:P834 P865:P866 P877 P880 P883">
    <cfRule type="containsText" dxfId="9" priority="7687" operator="containsText" text="No">
      <formula>NOT(ISERROR(SEARCH(("No"),(P819))))</formula>
    </cfRule>
  </conditionalFormatting>
  <conditionalFormatting sqref="P819 P833:P834 P865:P866 P877 P880 P883">
    <cfRule type="containsText" dxfId="2" priority="7688" operator="containsText" text="Yes">
      <formula>NOT(ISERROR(SEARCH(("Yes"),(P819))))</formula>
    </cfRule>
  </conditionalFormatting>
  <conditionalFormatting sqref="P819 P833:P834 P865:P866 P877 P880 P883">
    <cfRule type="containsText" dxfId="9" priority="7689" operator="containsText" text="No">
      <formula>NOT(ISERROR(SEARCH(("No"),(P819))))</formula>
    </cfRule>
  </conditionalFormatting>
  <conditionalFormatting sqref="P819 P833:P834 P865:P866 P877 P880 P883">
    <cfRule type="containsText" dxfId="2" priority="7690" operator="containsText" text="Yes">
      <formula>NOT(ISERROR(SEARCH(("Yes"),(P819))))</formula>
    </cfRule>
  </conditionalFormatting>
  <conditionalFormatting sqref="P819 P833:P834 P865:P866 P877 P880 P883">
    <cfRule type="containsText" dxfId="9" priority="7691" operator="containsText" text="No">
      <formula>NOT(ISERROR(SEARCH(("No"),(P819))))</formula>
    </cfRule>
  </conditionalFormatting>
  <conditionalFormatting sqref="P819 P833:P834 P865:P866 P877 P880 P883">
    <cfRule type="containsText" dxfId="2" priority="7692" operator="containsText" text="Yes">
      <formula>NOT(ISERROR(SEARCH(("Yes"),(P819))))</formula>
    </cfRule>
  </conditionalFormatting>
  <conditionalFormatting sqref="P819 P833:P834 P865:P866 P877 P880 P883">
    <cfRule type="containsText" dxfId="9" priority="7693" operator="containsText" text="No">
      <formula>NOT(ISERROR(SEARCH(("No"),(P819))))</formula>
    </cfRule>
  </conditionalFormatting>
  <conditionalFormatting sqref="P819 P833:P834 P865:P866 P877 P880 P883">
    <cfRule type="containsText" dxfId="2" priority="7694" operator="containsText" text="Yes">
      <formula>NOT(ISERROR(SEARCH(("Yes"),(P819))))</formula>
    </cfRule>
  </conditionalFormatting>
  <conditionalFormatting sqref="P819 P833:P834 P865:P866 P877 P880 P883">
    <cfRule type="containsText" dxfId="9" priority="7695" operator="containsText" text="No">
      <formula>NOT(ISERROR(SEARCH(("No"),(P819))))</formula>
    </cfRule>
  </conditionalFormatting>
  <conditionalFormatting sqref="P819 P833:P834 P865:P866 P877 P880 P883">
    <cfRule type="containsText" dxfId="2" priority="7696" operator="containsText" text="Yes">
      <formula>NOT(ISERROR(SEARCH(("Yes"),(P819))))</formula>
    </cfRule>
  </conditionalFormatting>
  <conditionalFormatting sqref="P819 P833:P834 P865:P866 P877 P880 P883">
    <cfRule type="containsText" dxfId="9" priority="7697" operator="containsText" text="No">
      <formula>NOT(ISERROR(SEARCH(("No"),(P819))))</formula>
    </cfRule>
  </conditionalFormatting>
  <conditionalFormatting sqref="P819 P833:P834 P865:P866 P877 P880 P883">
    <cfRule type="containsText" dxfId="2" priority="7698" operator="containsText" text="Yes">
      <formula>NOT(ISERROR(SEARCH(("Yes"),(P819))))</formula>
    </cfRule>
  </conditionalFormatting>
  <conditionalFormatting sqref="P819 P833:P834 P865:P866 P877 P880 P883">
    <cfRule type="containsText" dxfId="9" priority="7699" operator="containsText" text="No">
      <formula>NOT(ISERROR(SEARCH(("No"),(P819))))</formula>
    </cfRule>
  </conditionalFormatting>
  <conditionalFormatting sqref="P819 P833:P834 P865:P866 P877 P880 P883">
    <cfRule type="containsText" dxfId="2" priority="7700" operator="containsText" text="Yes">
      <formula>NOT(ISERROR(SEARCH(("Yes"),(P819))))</formula>
    </cfRule>
  </conditionalFormatting>
  <conditionalFormatting sqref="P819 P833:P834 P865:P866 P877 P880 P883">
    <cfRule type="containsText" dxfId="9" priority="7701" operator="containsText" text="No">
      <formula>NOT(ISERROR(SEARCH(("No"),(P819))))</formula>
    </cfRule>
  </conditionalFormatting>
  <conditionalFormatting sqref="P819 P833:P834 P865:P866 P877 P880 P883">
    <cfRule type="containsText" dxfId="2" priority="7702" operator="containsText" text="Yes">
      <formula>NOT(ISERROR(SEARCH(("Yes"),(P819))))</formula>
    </cfRule>
  </conditionalFormatting>
  <conditionalFormatting sqref="P819 P833:P834 P865:P866 P877 P880 P883">
    <cfRule type="containsText" dxfId="9" priority="7703" operator="containsText" text="No">
      <formula>NOT(ISERROR(SEARCH(("No"),(P819))))</formula>
    </cfRule>
  </conditionalFormatting>
  <conditionalFormatting sqref="P819 P833:P834 P865:P866 P877 P880 P883">
    <cfRule type="containsText" dxfId="2" priority="7704" operator="containsText" text="Yes">
      <formula>NOT(ISERROR(SEARCH(("Yes"),(P819))))</formula>
    </cfRule>
  </conditionalFormatting>
  <conditionalFormatting sqref="P819 P833:P834 P865:P866 P877 P880 P883">
    <cfRule type="containsText" dxfId="9" priority="7705" operator="containsText" text="No">
      <formula>NOT(ISERROR(SEARCH(("No"),(P819))))</formula>
    </cfRule>
  </conditionalFormatting>
  <conditionalFormatting sqref="P819 P833:P834 P865:P866 P877 P880 P883">
    <cfRule type="containsText" dxfId="2" priority="7706" operator="containsText" text="Yes">
      <formula>NOT(ISERROR(SEARCH(("Yes"),(P819))))</formula>
    </cfRule>
  </conditionalFormatting>
  <conditionalFormatting sqref="P819 P833:P834 P865:P866 P877 P880 P883">
    <cfRule type="containsText" dxfId="9" priority="7707" operator="containsText" text="No">
      <formula>NOT(ISERROR(SEARCH(("No"),(P819))))</formula>
    </cfRule>
  </conditionalFormatting>
  <conditionalFormatting sqref="P819 P833:P834 P865:P866 P877 P880 P883">
    <cfRule type="containsText" dxfId="2" priority="7708" operator="containsText" text="Yes">
      <formula>NOT(ISERROR(SEARCH(("Yes"),(P819))))</formula>
    </cfRule>
  </conditionalFormatting>
  <conditionalFormatting sqref="P819 P833:P834 P865:P866 P877 P880 P883">
    <cfRule type="containsText" dxfId="9" priority="7709" operator="containsText" text="No">
      <formula>NOT(ISERROR(SEARCH(("No"),(P819))))</formula>
    </cfRule>
  </conditionalFormatting>
  <conditionalFormatting sqref="P819 P833:P834 P865:P866 P877 P880 P883">
    <cfRule type="containsText" dxfId="2" priority="7710" operator="containsText" text="Yes">
      <formula>NOT(ISERROR(SEARCH(("Yes"),(P819))))</formula>
    </cfRule>
  </conditionalFormatting>
  <conditionalFormatting sqref="P819 P833:P834 P865:P866 P877 P880 P883">
    <cfRule type="containsText" dxfId="9" priority="7711" operator="containsText" text="No">
      <formula>NOT(ISERROR(SEARCH(("No"),(P819))))</formula>
    </cfRule>
  </conditionalFormatting>
  <conditionalFormatting sqref="P819 P833:P834 P865:P866 P877 P880 P883">
    <cfRule type="containsText" dxfId="2" priority="7712" operator="containsText" text="Yes">
      <formula>NOT(ISERROR(SEARCH(("Yes"),(P819))))</formula>
    </cfRule>
  </conditionalFormatting>
  <conditionalFormatting sqref="P819 P833:P834 P865:P866 P877 P880 P883">
    <cfRule type="containsText" dxfId="9" priority="7713" operator="containsText" text="No">
      <formula>NOT(ISERROR(SEARCH(("No"),(P819))))</formula>
    </cfRule>
  </conditionalFormatting>
  <conditionalFormatting sqref="P819 P833:P834 P865:P866 P877 P880 P883">
    <cfRule type="containsText" dxfId="2" priority="7714" operator="containsText" text="Yes">
      <formula>NOT(ISERROR(SEARCH(("Yes"),(P819))))</formula>
    </cfRule>
  </conditionalFormatting>
  <conditionalFormatting sqref="P819 P833:P834 P865:P866 P877 P880 P883">
    <cfRule type="containsText" dxfId="9" priority="7715" operator="containsText" text="No">
      <formula>NOT(ISERROR(SEARCH(("No"),(P819))))</formula>
    </cfRule>
  </conditionalFormatting>
  <conditionalFormatting sqref="P819 P833:P834 P865:P866 P877 P880 P883">
    <cfRule type="containsText" dxfId="2" priority="7716" operator="containsText" text="Yes">
      <formula>NOT(ISERROR(SEARCH(("Yes"),(P819))))</formula>
    </cfRule>
  </conditionalFormatting>
  <conditionalFormatting sqref="P819 P833:P834 P865:P866 P877 P880 P883">
    <cfRule type="containsText" dxfId="9" priority="7717" operator="containsText" text="No">
      <formula>NOT(ISERROR(SEARCH(("No"),(P819))))</formula>
    </cfRule>
  </conditionalFormatting>
  <conditionalFormatting sqref="P819 P833:P834 P865:P866 P877 P880 P883">
    <cfRule type="containsText" dxfId="2" priority="7718" operator="containsText" text="Yes">
      <formula>NOT(ISERROR(SEARCH(("Yes"),(P819))))</formula>
    </cfRule>
  </conditionalFormatting>
  <conditionalFormatting sqref="P819 P833:P834 P865:P866 P877 P880 P883">
    <cfRule type="containsText" dxfId="9" priority="7719" operator="containsText" text="No">
      <formula>NOT(ISERROR(SEARCH(("No"),(P819))))</formula>
    </cfRule>
  </conditionalFormatting>
  <conditionalFormatting sqref="P819 P833:P834 P865:P866 P877 P880 P883">
    <cfRule type="containsText" dxfId="2" priority="7720" operator="containsText" text="Yes">
      <formula>NOT(ISERROR(SEARCH(("Yes"),(P819))))</formula>
    </cfRule>
  </conditionalFormatting>
  <conditionalFormatting sqref="P819 P833:P834 P865:P866 P877 P880 P883">
    <cfRule type="containsText" dxfId="9" priority="7721" operator="containsText" text="No">
      <formula>NOT(ISERROR(SEARCH(("No"),(P819))))</formula>
    </cfRule>
  </conditionalFormatting>
  <conditionalFormatting sqref="P819 P833:P834 P865:P866 P877 P880 P883">
    <cfRule type="containsText" dxfId="2" priority="7722" operator="containsText" text="Yes">
      <formula>NOT(ISERROR(SEARCH(("Yes"),(P819))))</formula>
    </cfRule>
  </conditionalFormatting>
  <conditionalFormatting sqref="P819 P833:P834 P865:P866 P877 P880 P883">
    <cfRule type="containsText" dxfId="9" priority="7723" operator="containsText" text="No">
      <formula>NOT(ISERROR(SEARCH(("No"),(P819))))</formula>
    </cfRule>
  </conditionalFormatting>
  <conditionalFormatting sqref="P819 P833:P834 P865:P866 P877 P880 P883">
    <cfRule type="containsText" dxfId="2" priority="7724" operator="containsText" text="Yes">
      <formula>NOT(ISERROR(SEARCH(("Yes"),(P819))))</formula>
    </cfRule>
  </conditionalFormatting>
  <conditionalFormatting sqref="P819 P833:P834 P865:P866 P877 P880 P883">
    <cfRule type="containsText" dxfId="9" priority="7725" operator="containsText" text="No">
      <formula>NOT(ISERROR(SEARCH(("No"),(P819))))</formula>
    </cfRule>
  </conditionalFormatting>
  <conditionalFormatting sqref="P819 P833:P834 P865:P866 P877 P880 P883">
    <cfRule type="containsText" dxfId="2" priority="7726" operator="containsText" text="Yes">
      <formula>NOT(ISERROR(SEARCH(("Yes"),(P819))))</formula>
    </cfRule>
  </conditionalFormatting>
  <conditionalFormatting sqref="P819 P833:P834 P865:P866 P877 P880 P883">
    <cfRule type="containsText" dxfId="9" priority="7727" operator="containsText" text="No">
      <formula>NOT(ISERROR(SEARCH(("No"),(P819))))</formula>
    </cfRule>
  </conditionalFormatting>
  <conditionalFormatting sqref="P819 P833:P834 P865:P866 P877 P880 P883">
    <cfRule type="containsText" dxfId="2" priority="7728" operator="containsText" text="Yes">
      <formula>NOT(ISERROR(SEARCH(("Yes"),(P819))))</formula>
    </cfRule>
  </conditionalFormatting>
  <conditionalFormatting sqref="P819 P833:P834 P865:P866 P877 P880 P883">
    <cfRule type="containsText" dxfId="9" priority="7729" operator="containsText" text="No">
      <formula>NOT(ISERROR(SEARCH(("No"),(P819))))</formula>
    </cfRule>
  </conditionalFormatting>
  <conditionalFormatting sqref="P819 P833:P834 P865:P866 P877 P880 P883">
    <cfRule type="containsText" dxfId="2" priority="7730" operator="containsText" text="Yes">
      <formula>NOT(ISERROR(SEARCH(("Yes"),(P819))))</formula>
    </cfRule>
  </conditionalFormatting>
  <conditionalFormatting sqref="P819 P833:P834 P865:P866 P877 P880 P883">
    <cfRule type="containsText" dxfId="9" priority="7731" operator="containsText" text="No">
      <formula>NOT(ISERROR(SEARCH(("No"),(P819))))</formula>
    </cfRule>
  </conditionalFormatting>
  <conditionalFormatting sqref="P819 P833:P834 P865:P866 P877 P880 P883">
    <cfRule type="containsText" dxfId="2" priority="7732" operator="containsText" text="Yes">
      <formula>NOT(ISERROR(SEARCH(("Yes"),(P819))))</formula>
    </cfRule>
  </conditionalFormatting>
  <conditionalFormatting sqref="P819 P833:P834 P865:P866 P877 P880 P883">
    <cfRule type="containsText" dxfId="9" priority="7733" operator="containsText" text="No">
      <formula>NOT(ISERROR(SEARCH(("No"),(P819))))</formula>
    </cfRule>
  </conditionalFormatting>
  <conditionalFormatting sqref="P819 P833:P834 P865:P866 P877 P880 P883">
    <cfRule type="containsText" dxfId="2" priority="7734" operator="containsText" text="Yes">
      <formula>NOT(ISERROR(SEARCH(("Yes"),(P819))))</formula>
    </cfRule>
  </conditionalFormatting>
  <conditionalFormatting sqref="P819 P833:P834 P865:P866 P877 P880 P883">
    <cfRule type="containsText" dxfId="9" priority="7735" operator="containsText" text="No">
      <formula>NOT(ISERROR(SEARCH(("No"),(P819))))</formula>
    </cfRule>
  </conditionalFormatting>
  <conditionalFormatting sqref="P819 P833:P834 P865:P866 P877 P880 P883">
    <cfRule type="containsText" dxfId="2" priority="7736" operator="containsText" text="Yes">
      <formula>NOT(ISERROR(SEARCH(("Yes"),(P819))))</formula>
    </cfRule>
  </conditionalFormatting>
  <conditionalFormatting sqref="P819 P833:P834 P865:P866 P877 P880 P883">
    <cfRule type="containsText" dxfId="9" priority="7737" operator="containsText" text="No">
      <formula>NOT(ISERROR(SEARCH(("No"),(P819))))</formula>
    </cfRule>
  </conditionalFormatting>
  <conditionalFormatting sqref="P819 P833:P834 P865:P866 P877 P880 P883">
    <cfRule type="containsText" dxfId="2" priority="7738" operator="containsText" text="Yes">
      <formula>NOT(ISERROR(SEARCH(("Yes"),(P819))))</formula>
    </cfRule>
  </conditionalFormatting>
  <conditionalFormatting sqref="P819 P833:P834 P865:P866 P877 P880 P883">
    <cfRule type="containsText" dxfId="9" priority="7739" operator="containsText" text="No">
      <formula>NOT(ISERROR(SEARCH(("No"),(P819))))</formula>
    </cfRule>
  </conditionalFormatting>
  <conditionalFormatting sqref="P819 P833:P834 P865:P866 P877 P880 P883">
    <cfRule type="containsText" dxfId="2" priority="7740" operator="containsText" text="Yes">
      <formula>NOT(ISERROR(SEARCH(("Yes"),(P819))))</formula>
    </cfRule>
  </conditionalFormatting>
  <conditionalFormatting sqref="P819 P833:P834 P865:P866 P877 P880 P883">
    <cfRule type="containsText" dxfId="9" priority="7741" operator="containsText" text="No">
      <formula>NOT(ISERROR(SEARCH(("No"),(P819))))</formula>
    </cfRule>
  </conditionalFormatting>
  <conditionalFormatting sqref="P819 P833:P834 P865:P866 P877 P880 P883">
    <cfRule type="containsText" dxfId="2" priority="7742" operator="containsText" text="Yes">
      <formula>NOT(ISERROR(SEARCH(("Yes"),(P819))))</formula>
    </cfRule>
  </conditionalFormatting>
  <conditionalFormatting sqref="P819 P833:P834 P865:P866 P877 P880 P883">
    <cfRule type="containsText" dxfId="9" priority="7743" operator="containsText" text="No">
      <formula>NOT(ISERROR(SEARCH(("No"),(P819))))</formula>
    </cfRule>
  </conditionalFormatting>
  <conditionalFormatting sqref="P819 P833:P834 P865:P866 P877 P880 P883">
    <cfRule type="containsText" dxfId="2" priority="7744" operator="containsText" text="Yes">
      <formula>NOT(ISERROR(SEARCH(("Yes"),(P819))))</formula>
    </cfRule>
  </conditionalFormatting>
  <conditionalFormatting sqref="P819 P833:P834 P865:P866 P877 P880 P883">
    <cfRule type="containsText" dxfId="9" priority="7745" operator="containsText" text="No">
      <formula>NOT(ISERROR(SEARCH(("No"),(P819))))</formula>
    </cfRule>
  </conditionalFormatting>
  <conditionalFormatting sqref="P819 P833:P834 P865:P866 P877 P880 P883">
    <cfRule type="containsText" dxfId="2" priority="7746" operator="containsText" text="Yes">
      <formula>NOT(ISERROR(SEARCH(("Yes"),(P819))))</formula>
    </cfRule>
  </conditionalFormatting>
  <conditionalFormatting sqref="P819 P833:P834 P865:P866 P877 P880 P883">
    <cfRule type="containsText" dxfId="9" priority="7747" operator="containsText" text="No">
      <formula>NOT(ISERROR(SEARCH(("No"),(P819))))</formula>
    </cfRule>
  </conditionalFormatting>
  <conditionalFormatting sqref="P819 P833:P834 P865:P866 P877 P880 P883">
    <cfRule type="containsText" dxfId="2" priority="7748" operator="containsText" text="Yes">
      <formula>NOT(ISERROR(SEARCH(("Yes"),(P819))))</formula>
    </cfRule>
  </conditionalFormatting>
  <conditionalFormatting sqref="P819 P833:P834 P865:P866 P877 P880 P883">
    <cfRule type="containsText" dxfId="9" priority="7749" operator="containsText" text="No">
      <formula>NOT(ISERROR(SEARCH(("No"),(P819))))</formula>
    </cfRule>
  </conditionalFormatting>
  <conditionalFormatting sqref="P819 P833:P834 P865:P866 P877 P880 P883">
    <cfRule type="containsText" dxfId="2" priority="7750" operator="containsText" text="Yes">
      <formula>NOT(ISERROR(SEARCH(("Yes"),(P819))))</formula>
    </cfRule>
  </conditionalFormatting>
  <conditionalFormatting sqref="P819 P833:P834 P865:P866 P877 P880 P883">
    <cfRule type="containsText" dxfId="9" priority="7751" operator="containsText" text="No">
      <formula>NOT(ISERROR(SEARCH(("No"),(P819))))</formula>
    </cfRule>
  </conditionalFormatting>
  <conditionalFormatting sqref="P819 P833:P834 P865:P866 P877 P880 P883">
    <cfRule type="containsText" dxfId="2" priority="7752" operator="containsText" text="Yes">
      <formula>NOT(ISERROR(SEARCH(("Yes"),(P819))))</formula>
    </cfRule>
  </conditionalFormatting>
  <conditionalFormatting sqref="P819 P833:P834 P865:P866 P877 P880 P883">
    <cfRule type="containsText" dxfId="9" priority="7753" operator="containsText" text="No">
      <formula>NOT(ISERROR(SEARCH(("No"),(P819))))</formula>
    </cfRule>
  </conditionalFormatting>
  <conditionalFormatting sqref="P819 P833:P834 P865:P866 P877 P880 P883">
    <cfRule type="containsText" dxfId="2" priority="7754" operator="containsText" text="Yes">
      <formula>NOT(ISERROR(SEARCH(("Yes"),(P819))))</formula>
    </cfRule>
  </conditionalFormatting>
  <conditionalFormatting sqref="P819 P833:P834 P865:P866 P877 P880 P883">
    <cfRule type="containsText" dxfId="9" priority="7755" operator="containsText" text="No">
      <formula>NOT(ISERROR(SEARCH(("No"),(P819))))</formula>
    </cfRule>
  </conditionalFormatting>
  <conditionalFormatting sqref="P819 P833:P834 P865:P866 P877 P880 P883">
    <cfRule type="containsText" dxfId="2" priority="7756" operator="containsText" text="Yes">
      <formula>NOT(ISERROR(SEARCH(("Yes"),(P819))))</formula>
    </cfRule>
  </conditionalFormatting>
  <conditionalFormatting sqref="P819 P833:P834 P865:P866 P877 P880 P883">
    <cfRule type="containsText" dxfId="9" priority="7757" operator="containsText" text="No">
      <formula>NOT(ISERROR(SEARCH(("No"),(P819))))</formula>
    </cfRule>
  </conditionalFormatting>
  <conditionalFormatting sqref="P819 P833:P834 P865:P866 P877 P880 P883">
    <cfRule type="containsText" dxfId="2" priority="7758" operator="containsText" text="Yes">
      <formula>NOT(ISERROR(SEARCH(("Yes"),(P819))))</formula>
    </cfRule>
  </conditionalFormatting>
  <conditionalFormatting sqref="P819 P833:P834 P865:P866 P877 P880 P883">
    <cfRule type="containsText" dxfId="9" priority="7759" operator="containsText" text="No">
      <formula>NOT(ISERROR(SEARCH(("No"),(P819))))</formula>
    </cfRule>
  </conditionalFormatting>
  <conditionalFormatting sqref="P819 P833:P834 P865:P866 P877 P880 P883">
    <cfRule type="containsText" dxfId="2" priority="7760" operator="containsText" text="Yes">
      <formula>NOT(ISERROR(SEARCH(("Yes"),(P819))))</formula>
    </cfRule>
  </conditionalFormatting>
  <conditionalFormatting sqref="P819 P833:P834 P865:P866 P877 P880 P883">
    <cfRule type="containsText" dxfId="9" priority="7761" operator="containsText" text="No">
      <formula>NOT(ISERROR(SEARCH(("No"),(P819))))</formula>
    </cfRule>
  </conditionalFormatting>
  <conditionalFormatting sqref="P819 P833:P834 P865:P866 P877 P880 P883">
    <cfRule type="containsText" dxfId="2" priority="7762" operator="containsText" text="Yes">
      <formula>NOT(ISERROR(SEARCH(("Yes"),(P819))))</formula>
    </cfRule>
  </conditionalFormatting>
  <conditionalFormatting sqref="P819 P833:P834 P865:P866 P877 P880 P883">
    <cfRule type="containsText" dxfId="9" priority="7763" operator="containsText" text="No">
      <formula>NOT(ISERROR(SEARCH(("No"),(P819))))</formula>
    </cfRule>
  </conditionalFormatting>
  <conditionalFormatting sqref="P819 P833:P834 P865:P866 P877 P880 P883">
    <cfRule type="containsText" dxfId="2" priority="7764" operator="containsText" text="Yes">
      <formula>NOT(ISERROR(SEARCH(("Yes"),(P819))))</formula>
    </cfRule>
  </conditionalFormatting>
  <conditionalFormatting sqref="P819 P833:P834 P865:P866 P877 P880 P883">
    <cfRule type="containsText" dxfId="9" priority="7765" operator="containsText" text="No">
      <formula>NOT(ISERROR(SEARCH(("No"),(P819))))</formula>
    </cfRule>
  </conditionalFormatting>
  <conditionalFormatting sqref="P819 P833:P834 P865:P866 P877 P880 P883">
    <cfRule type="containsText" dxfId="2" priority="7766" operator="containsText" text="Yes">
      <formula>NOT(ISERROR(SEARCH(("Yes"),(P819))))</formula>
    </cfRule>
  </conditionalFormatting>
  <conditionalFormatting sqref="P819 P833:P834 P865:P866 P877 P880 P883">
    <cfRule type="containsText" dxfId="9" priority="7767" operator="containsText" text="No">
      <formula>NOT(ISERROR(SEARCH(("No"),(P819))))</formula>
    </cfRule>
  </conditionalFormatting>
  <conditionalFormatting sqref="P819 P833:P834 P865:P866 P877 P880 P883">
    <cfRule type="containsText" dxfId="2" priority="7768" operator="containsText" text="Yes">
      <formula>NOT(ISERROR(SEARCH(("Yes"),(P819))))</formula>
    </cfRule>
  </conditionalFormatting>
  <conditionalFormatting sqref="P819 P833:P834 P865:P866 P877 P880 P883">
    <cfRule type="containsText" dxfId="9" priority="7769" operator="containsText" text="No">
      <formula>NOT(ISERROR(SEARCH(("No"),(P819))))</formula>
    </cfRule>
  </conditionalFormatting>
  <conditionalFormatting sqref="P819 P833:P834 P865:P866 P877 P880 P883">
    <cfRule type="containsText" dxfId="2" priority="7770" operator="containsText" text="Yes">
      <formula>NOT(ISERROR(SEARCH(("Yes"),(P819))))</formula>
    </cfRule>
  </conditionalFormatting>
  <conditionalFormatting sqref="P819 P833:P834 P865:P866 P877 P880 P883">
    <cfRule type="containsText" dxfId="9" priority="7771" operator="containsText" text="No">
      <formula>NOT(ISERROR(SEARCH(("No"),(P819))))</formula>
    </cfRule>
  </conditionalFormatting>
  <conditionalFormatting sqref="P819 P833:P834 P865:P866 P877 P880 P883">
    <cfRule type="containsText" dxfId="2" priority="7772" operator="containsText" text="Yes">
      <formula>NOT(ISERROR(SEARCH(("Yes"),(P819))))</formula>
    </cfRule>
  </conditionalFormatting>
  <conditionalFormatting sqref="P819 P833:P834 P865:P866 P877 P880 P883">
    <cfRule type="containsText" dxfId="9" priority="7773" operator="containsText" text="No">
      <formula>NOT(ISERROR(SEARCH(("No"),(P819))))</formula>
    </cfRule>
  </conditionalFormatting>
  <conditionalFormatting sqref="P819 P833:P834 P865:P866 P877 P880 P883">
    <cfRule type="containsText" dxfId="2" priority="7774" operator="containsText" text="Yes">
      <formula>NOT(ISERROR(SEARCH(("Yes"),(P819))))</formula>
    </cfRule>
  </conditionalFormatting>
  <conditionalFormatting sqref="P819 P833:P834 P865:P866 P877 P880 P883">
    <cfRule type="containsText" dxfId="9" priority="7775" operator="containsText" text="No">
      <formula>NOT(ISERROR(SEARCH(("No"),(P819))))</formula>
    </cfRule>
  </conditionalFormatting>
  <conditionalFormatting sqref="P819 P833:P834 P865:P866 P877 P880 P883">
    <cfRule type="containsText" dxfId="2" priority="7776" operator="containsText" text="Yes">
      <formula>NOT(ISERROR(SEARCH(("Yes"),(P819))))</formula>
    </cfRule>
  </conditionalFormatting>
  <conditionalFormatting sqref="P819 P833:P834 P865:P866 P877 P880 P883">
    <cfRule type="containsText" dxfId="9" priority="7777" operator="containsText" text="No">
      <formula>NOT(ISERROR(SEARCH(("No"),(P819))))</formula>
    </cfRule>
  </conditionalFormatting>
  <conditionalFormatting sqref="P819 P833:P834 P865:P866 P877 P880 P883">
    <cfRule type="containsText" dxfId="2" priority="7778" operator="containsText" text="Yes">
      <formula>NOT(ISERROR(SEARCH(("Yes"),(P819))))</formula>
    </cfRule>
  </conditionalFormatting>
  <conditionalFormatting sqref="P819 P833:P834 P865:P866 P877 P880 P883">
    <cfRule type="containsText" dxfId="9" priority="7779" operator="containsText" text="No">
      <formula>NOT(ISERROR(SEARCH(("No"),(P819))))</formula>
    </cfRule>
  </conditionalFormatting>
  <conditionalFormatting sqref="P819 P833:P834 P865:P866 P877 P880 P883">
    <cfRule type="containsText" dxfId="2" priority="7780" operator="containsText" text="Yes">
      <formula>NOT(ISERROR(SEARCH(("Yes"),(P819))))</formula>
    </cfRule>
  </conditionalFormatting>
  <conditionalFormatting sqref="P819 P833:P834 P865:P866 P877 P880 P883">
    <cfRule type="containsText" dxfId="9" priority="7781" operator="containsText" text="No">
      <formula>NOT(ISERROR(SEARCH(("No"),(P819))))</formula>
    </cfRule>
  </conditionalFormatting>
  <conditionalFormatting sqref="P819 P833:P834 P865:P866 P877 P880 P883">
    <cfRule type="containsText" dxfId="2" priority="7782" operator="containsText" text="Yes">
      <formula>NOT(ISERROR(SEARCH(("Yes"),(P819))))</formula>
    </cfRule>
  </conditionalFormatting>
  <conditionalFormatting sqref="P819 P833:P834 P865:P866 P877 P880 P883">
    <cfRule type="containsText" dxfId="9" priority="7783" operator="containsText" text="No">
      <formula>NOT(ISERROR(SEARCH(("No"),(P819))))</formula>
    </cfRule>
  </conditionalFormatting>
  <conditionalFormatting sqref="P819 P833:P834 P865:P866 P877 P880 P883">
    <cfRule type="containsText" dxfId="2" priority="7784" operator="containsText" text="Yes">
      <formula>NOT(ISERROR(SEARCH(("Yes"),(P819))))</formula>
    </cfRule>
  </conditionalFormatting>
  <conditionalFormatting sqref="P819 P833:P834 P865:P866 P877 P880 P883">
    <cfRule type="containsText" dxfId="9" priority="7785" operator="containsText" text="No">
      <formula>NOT(ISERROR(SEARCH(("No"),(P819))))</formula>
    </cfRule>
  </conditionalFormatting>
  <conditionalFormatting sqref="P819 P833:P834 P865:P866 P877 P880 P883">
    <cfRule type="containsText" dxfId="2" priority="7786" operator="containsText" text="Yes">
      <formula>NOT(ISERROR(SEARCH(("Yes"),(P819))))</formula>
    </cfRule>
  </conditionalFormatting>
  <conditionalFormatting sqref="P819 P833:P834 P865:P866 P877 P880 P883">
    <cfRule type="containsText" dxfId="9" priority="7787" operator="containsText" text="No">
      <formula>NOT(ISERROR(SEARCH(("No"),(P819))))</formula>
    </cfRule>
  </conditionalFormatting>
  <conditionalFormatting sqref="P819 P833:P834 P865:P866 P877 P880 P883">
    <cfRule type="containsText" dxfId="2" priority="7788" operator="containsText" text="Yes">
      <formula>NOT(ISERROR(SEARCH(("Yes"),(P819))))</formula>
    </cfRule>
  </conditionalFormatting>
  <conditionalFormatting sqref="P819 P833:P834 P865:P866 P877 P880 P883">
    <cfRule type="containsText" dxfId="9" priority="7789" operator="containsText" text="No">
      <formula>NOT(ISERROR(SEARCH(("No"),(P819))))</formula>
    </cfRule>
  </conditionalFormatting>
  <conditionalFormatting sqref="P819 P833:P834 P865:P866 P877 P880 P883">
    <cfRule type="containsText" dxfId="2" priority="7790" operator="containsText" text="Yes">
      <formula>NOT(ISERROR(SEARCH(("Yes"),(P819))))</formula>
    </cfRule>
  </conditionalFormatting>
  <conditionalFormatting sqref="P819 P833:P834 P865:P866 P877 P880 P883">
    <cfRule type="containsText" dxfId="9" priority="7791" operator="containsText" text="No">
      <formula>NOT(ISERROR(SEARCH(("No"),(P819))))</formula>
    </cfRule>
  </conditionalFormatting>
  <conditionalFormatting sqref="P819 P833:P834 P865:P866 P877 P880 P883">
    <cfRule type="containsText" dxfId="2" priority="7792" operator="containsText" text="Yes">
      <formula>NOT(ISERROR(SEARCH(("Yes"),(P819))))</formula>
    </cfRule>
  </conditionalFormatting>
  <conditionalFormatting sqref="P819 P833:P834 P865:P866 P877 P880 P883">
    <cfRule type="containsText" dxfId="9" priority="7793" operator="containsText" text="No">
      <formula>NOT(ISERROR(SEARCH(("No"),(P819))))</formula>
    </cfRule>
  </conditionalFormatting>
  <conditionalFormatting sqref="P819 P833:P834 P865:P866 P877 P880 P883">
    <cfRule type="containsText" dxfId="2" priority="7794" operator="containsText" text="Yes">
      <formula>NOT(ISERROR(SEARCH(("Yes"),(P819))))</formula>
    </cfRule>
  </conditionalFormatting>
  <conditionalFormatting sqref="P819 P833:P834 P865:P866 P877 P880 P883">
    <cfRule type="containsText" dxfId="9" priority="7795" operator="containsText" text="No">
      <formula>NOT(ISERROR(SEARCH(("No"),(P819))))</formula>
    </cfRule>
  </conditionalFormatting>
  <conditionalFormatting sqref="P819 P833:P834 P865:P866 P877 P880 P883">
    <cfRule type="containsText" dxfId="2" priority="7796" operator="containsText" text="Yes">
      <formula>NOT(ISERROR(SEARCH(("Yes"),(P819))))</formula>
    </cfRule>
  </conditionalFormatting>
  <conditionalFormatting sqref="P819 P833:P834 P865:P866 P877 P880 P883">
    <cfRule type="containsText" dxfId="9" priority="7797" operator="containsText" text="No">
      <formula>NOT(ISERROR(SEARCH(("No"),(P819))))</formula>
    </cfRule>
  </conditionalFormatting>
  <conditionalFormatting sqref="P819 P833:P834 P865:P866 P877 P880 P883">
    <cfRule type="containsText" dxfId="2" priority="7798" operator="containsText" text="Yes">
      <formula>NOT(ISERROR(SEARCH(("Yes"),(P819))))</formula>
    </cfRule>
  </conditionalFormatting>
  <conditionalFormatting sqref="P819 P833:P834 P865:P866 P877 P880 P883">
    <cfRule type="containsText" dxfId="9" priority="7799" operator="containsText" text="No">
      <formula>NOT(ISERROR(SEARCH(("No"),(P819))))</formula>
    </cfRule>
  </conditionalFormatting>
  <conditionalFormatting sqref="P819 P833:P834 P865:P866 P877 P880 P883">
    <cfRule type="containsText" dxfId="2" priority="7800" operator="containsText" text="Yes">
      <formula>NOT(ISERROR(SEARCH(("Yes"),(P819))))</formula>
    </cfRule>
  </conditionalFormatting>
  <conditionalFormatting sqref="P819 P833:P834 P865:P866 P877 P880 P883">
    <cfRule type="containsText" dxfId="9" priority="7801" operator="containsText" text="No">
      <formula>NOT(ISERROR(SEARCH(("No"),(P819))))</formula>
    </cfRule>
  </conditionalFormatting>
  <conditionalFormatting sqref="P819 P833:P834 P865:P866 P877 P880 P883">
    <cfRule type="containsText" dxfId="2" priority="7802" operator="containsText" text="Yes">
      <formula>NOT(ISERROR(SEARCH(("Yes"),(P819))))</formula>
    </cfRule>
  </conditionalFormatting>
  <conditionalFormatting sqref="P819 P833:P834 P865:P866 P877 P880 P883">
    <cfRule type="containsText" dxfId="9" priority="7803" operator="containsText" text="No">
      <formula>NOT(ISERROR(SEARCH(("No"),(P819))))</formula>
    </cfRule>
  </conditionalFormatting>
  <conditionalFormatting sqref="P819 P833:P834 P865:P866 P877 P880 P883">
    <cfRule type="containsText" dxfId="2" priority="7804" operator="containsText" text="Yes">
      <formula>NOT(ISERROR(SEARCH(("Yes"),(P819))))</formula>
    </cfRule>
  </conditionalFormatting>
  <conditionalFormatting sqref="P819 P833:P834 P865:P866 P877 P880 P883">
    <cfRule type="containsText" dxfId="9" priority="7805" operator="containsText" text="No">
      <formula>NOT(ISERROR(SEARCH(("No"),(P819))))</formula>
    </cfRule>
  </conditionalFormatting>
  <conditionalFormatting sqref="P819 P833:P834 P865:P866 P877 P880 P883">
    <cfRule type="containsText" dxfId="2" priority="7806" operator="containsText" text="Yes">
      <formula>NOT(ISERROR(SEARCH(("Yes"),(P819))))</formula>
    </cfRule>
  </conditionalFormatting>
  <conditionalFormatting sqref="P819 P833:P834 P865:P866 P877 P880 P883">
    <cfRule type="containsText" dxfId="9" priority="7807" operator="containsText" text="No">
      <formula>NOT(ISERROR(SEARCH(("No"),(P819))))</formula>
    </cfRule>
  </conditionalFormatting>
  <conditionalFormatting sqref="P819 P833:P834 P865:P866 P877 P880 P883">
    <cfRule type="containsText" dxfId="2" priority="7808" operator="containsText" text="Yes">
      <formula>NOT(ISERROR(SEARCH(("Yes"),(P819))))</formula>
    </cfRule>
  </conditionalFormatting>
  <conditionalFormatting sqref="P819 P833:P834 P865:P866 P877 P880 P883">
    <cfRule type="containsText" dxfId="9" priority="7809" operator="containsText" text="No">
      <formula>NOT(ISERROR(SEARCH(("No"),(P819))))</formula>
    </cfRule>
  </conditionalFormatting>
  <conditionalFormatting sqref="P819 P833:P834 P865:P866 P877 P880 P883">
    <cfRule type="containsText" dxfId="2" priority="7810" operator="containsText" text="Yes">
      <formula>NOT(ISERROR(SEARCH(("Yes"),(P819))))</formula>
    </cfRule>
  </conditionalFormatting>
  <conditionalFormatting sqref="P819 P833:P834 P865:P866 P877 P880 P883">
    <cfRule type="containsText" dxfId="9" priority="7811" operator="containsText" text="No">
      <formula>NOT(ISERROR(SEARCH(("No"),(P819))))</formula>
    </cfRule>
  </conditionalFormatting>
  <conditionalFormatting sqref="P819 P833:P834 P865:P866 P877 P880 P883">
    <cfRule type="containsText" dxfId="2" priority="7812" operator="containsText" text="Yes">
      <formula>NOT(ISERROR(SEARCH(("Yes"),(P819))))</formula>
    </cfRule>
  </conditionalFormatting>
  <conditionalFormatting sqref="P819 P833:P834 P865:P866 P877 P880 P883">
    <cfRule type="containsText" dxfId="9" priority="7813" operator="containsText" text="No">
      <formula>NOT(ISERROR(SEARCH(("No"),(P819))))</formula>
    </cfRule>
  </conditionalFormatting>
  <conditionalFormatting sqref="P819 P833:P834 P865:P866 P877 P880 P883">
    <cfRule type="containsText" dxfId="2" priority="7814" operator="containsText" text="Yes">
      <formula>NOT(ISERROR(SEARCH(("Yes"),(P819))))</formula>
    </cfRule>
  </conditionalFormatting>
  <conditionalFormatting sqref="P819 P833:P834 P865:P866 P877 P880 P883">
    <cfRule type="containsText" dxfId="9" priority="7815" operator="containsText" text="No">
      <formula>NOT(ISERROR(SEARCH(("No"),(P819))))</formula>
    </cfRule>
  </conditionalFormatting>
  <conditionalFormatting sqref="P819 P833:P834 P865:P866 P877 P880 P883">
    <cfRule type="containsText" dxfId="2" priority="7816" operator="containsText" text="Yes">
      <formula>NOT(ISERROR(SEARCH(("Yes"),(P819))))</formula>
    </cfRule>
  </conditionalFormatting>
  <conditionalFormatting sqref="P819 P833:P834 P865:P866 P877 P880 P883">
    <cfRule type="containsText" dxfId="9" priority="7817" operator="containsText" text="No">
      <formula>NOT(ISERROR(SEARCH(("No"),(P819))))</formula>
    </cfRule>
  </conditionalFormatting>
  <conditionalFormatting sqref="P819 P833:P834 P865:P866 P877 P880 P883">
    <cfRule type="containsText" dxfId="2" priority="7818" operator="containsText" text="Yes">
      <formula>NOT(ISERROR(SEARCH(("Yes"),(P819))))</formula>
    </cfRule>
  </conditionalFormatting>
  <conditionalFormatting sqref="P819 P833:P834 P865:P866 P877 P880 P883">
    <cfRule type="containsText" dxfId="9" priority="7819" operator="containsText" text="No">
      <formula>NOT(ISERROR(SEARCH(("No"),(P819))))</formula>
    </cfRule>
  </conditionalFormatting>
  <conditionalFormatting sqref="P819 P833:P834 P865:P866 P877 P880 P883">
    <cfRule type="containsText" dxfId="2" priority="7820" operator="containsText" text="Yes">
      <formula>NOT(ISERROR(SEARCH(("Yes"),(P819))))</formula>
    </cfRule>
  </conditionalFormatting>
  <conditionalFormatting sqref="P819 P833:P834 P865:P866 P877 P880 P883">
    <cfRule type="containsText" dxfId="9" priority="7821" operator="containsText" text="No">
      <formula>NOT(ISERROR(SEARCH(("No"),(P819))))</formula>
    </cfRule>
  </conditionalFormatting>
  <conditionalFormatting sqref="P819 P833:P834 P865:P866 P877 P880 P883">
    <cfRule type="containsText" dxfId="2" priority="7822" operator="containsText" text="Yes">
      <formula>NOT(ISERROR(SEARCH(("Yes"),(P819))))</formula>
    </cfRule>
  </conditionalFormatting>
  <conditionalFormatting sqref="P819 P833:P834 P865:P866 P877 P880 P883">
    <cfRule type="containsText" dxfId="9" priority="7823" operator="containsText" text="No">
      <formula>NOT(ISERROR(SEARCH(("No"),(P819))))</formula>
    </cfRule>
  </conditionalFormatting>
  <conditionalFormatting sqref="P819 P833:P834 P865:P866 P877 P880 P883">
    <cfRule type="containsText" dxfId="2" priority="7824" operator="containsText" text="Yes">
      <formula>NOT(ISERROR(SEARCH(("Yes"),(P819))))</formula>
    </cfRule>
  </conditionalFormatting>
  <conditionalFormatting sqref="P819 P833:P834 P865:P866 P877 P880 P883">
    <cfRule type="containsText" dxfId="9" priority="7825" operator="containsText" text="No">
      <formula>NOT(ISERROR(SEARCH(("No"),(P819))))</formula>
    </cfRule>
  </conditionalFormatting>
  <conditionalFormatting sqref="P819 P833:P834 P865:P866 P877 P880 P883">
    <cfRule type="containsText" dxfId="2" priority="7826" operator="containsText" text="Yes">
      <formula>NOT(ISERROR(SEARCH(("Yes"),(P819))))</formula>
    </cfRule>
  </conditionalFormatting>
  <conditionalFormatting sqref="P819 P833:P834 P865:P866 P877 P880 P883">
    <cfRule type="containsText" dxfId="9" priority="7827" operator="containsText" text="No">
      <formula>NOT(ISERROR(SEARCH(("No"),(P819))))</formula>
    </cfRule>
  </conditionalFormatting>
  <conditionalFormatting sqref="P819 P833:P834 P865:P866 P877 P880 P883">
    <cfRule type="containsText" dxfId="2" priority="7828" operator="containsText" text="Yes">
      <formula>NOT(ISERROR(SEARCH(("Yes"),(P819))))</formula>
    </cfRule>
  </conditionalFormatting>
  <conditionalFormatting sqref="P819 P833:P834 P865:P866 P877 P880 P883">
    <cfRule type="containsText" dxfId="9" priority="7829" operator="containsText" text="No">
      <formula>NOT(ISERROR(SEARCH(("No"),(P819))))</formula>
    </cfRule>
  </conditionalFormatting>
  <conditionalFormatting sqref="P819 P833:P834 P865:P866 P877 P880 P883">
    <cfRule type="containsText" dxfId="2" priority="7830" operator="containsText" text="Yes">
      <formula>NOT(ISERROR(SEARCH(("Yes"),(P819))))</formula>
    </cfRule>
  </conditionalFormatting>
  <conditionalFormatting sqref="P819 P833:P834 P865:P866 P877 P880 P883">
    <cfRule type="containsText" dxfId="9" priority="7831" operator="containsText" text="No">
      <formula>NOT(ISERROR(SEARCH(("No"),(P819))))</formula>
    </cfRule>
  </conditionalFormatting>
  <conditionalFormatting sqref="P819 P833:P834 P865:P866 P877 P880 P883">
    <cfRule type="containsText" dxfId="2" priority="7832" operator="containsText" text="Yes">
      <formula>NOT(ISERROR(SEARCH(("Yes"),(P819))))</formula>
    </cfRule>
  </conditionalFormatting>
  <conditionalFormatting sqref="P819 P833:P834 P865:P866 P877 P880 P883">
    <cfRule type="containsText" dxfId="9" priority="7833" operator="containsText" text="No">
      <formula>NOT(ISERROR(SEARCH(("No"),(P819))))</formula>
    </cfRule>
  </conditionalFormatting>
  <conditionalFormatting sqref="P819 P833:P834 P865:P866 P877 P880 P883">
    <cfRule type="containsText" dxfId="2" priority="7834" operator="containsText" text="Yes">
      <formula>NOT(ISERROR(SEARCH(("Yes"),(P819))))</formula>
    </cfRule>
  </conditionalFormatting>
  <conditionalFormatting sqref="P819 P833:P834 P865:P866 P877 P880 P883">
    <cfRule type="containsText" dxfId="9" priority="7835" operator="containsText" text="No">
      <formula>NOT(ISERROR(SEARCH(("No"),(P819))))</formula>
    </cfRule>
  </conditionalFormatting>
  <conditionalFormatting sqref="P819 P833:P834 P865:P866 P877 P880 P883">
    <cfRule type="containsText" dxfId="2" priority="7836" operator="containsText" text="Yes">
      <formula>NOT(ISERROR(SEARCH(("Yes"),(P819))))</formula>
    </cfRule>
  </conditionalFormatting>
  <conditionalFormatting sqref="P819 P833:P834 P865:P866 P877 P880 P883">
    <cfRule type="containsText" dxfId="9" priority="7837" operator="containsText" text="No">
      <formula>NOT(ISERROR(SEARCH(("No"),(P819))))</formula>
    </cfRule>
  </conditionalFormatting>
  <conditionalFormatting sqref="P819 P833:P834 P865:P866 P877 P880 P883">
    <cfRule type="containsText" dxfId="2" priority="7838" operator="containsText" text="Yes">
      <formula>NOT(ISERROR(SEARCH(("Yes"),(P819))))</formula>
    </cfRule>
  </conditionalFormatting>
  <conditionalFormatting sqref="P819 P833:P834 P865:P866 P877 P880 P883">
    <cfRule type="containsText" dxfId="9" priority="7839" operator="containsText" text="No">
      <formula>NOT(ISERROR(SEARCH(("No"),(P819))))</formula>
    </cfRule>
  </conditionalFormatting>
  <conditionalFormatting sqref="P819 P833:P834 P865:P866 P877 P880 P883">
    <cfRule type="containsText" dxfId="2" priority="7840" operator="containsText" text="Yes">
      <formula>NOT(ISERROR(SEARCH(("Yes"),(P819))))</formula>
    </cfRule>
  </conditionalFormatting>
  <conditionalFormatting sqref="P819 P833:P834 P865:P866 P877 P880 P883">
    <cfRule type="containsText" dxfId="9" priority="7841" operator="containsText" text="No">
      <formula>NOT(ISERROR(SEARCH(("No"),(P819))))</formula>
    </cfRule>
  </conditionalFormatting>
  <conditionalFormatting sqref="P819 P833:P834 P865:P866 P877 P880 P883">
    <cfRule type="containsText" dxfId="2" priority="7842" operator="containsText" text="Yes">
      <formula>NOT(ISERROR(SEARCH(("Yes"),(P819))))</formula>
    </cfRule>
  </conditionalFormatting>
  <conditionalFormatting sqref="P819 P833:P834 P865:P866 P877 P880 P883">
    <cfRule type="containsText" dxfId="9" priority="7843" operator="containsText" text="No">
      <formula>NOT(ISERROR(SEARCH(("No"),(P819))))</formula>
    </cfRule>
  </conditionalFormatting>
  <conditionalFormatting sqref="P819 P833:P834 P865:P866 P877 P880 P883">
    <cfRule type="containsText" dxfId="2" priority="7844" operator="containsText" text="Yes">
      <formula>NOT(ISERROR(SEARCH(("Yes"),(P819))))</formula>
    </cfRule>
  </conditionalFormatting>
  <conditionalFormatting sqref="P819 P833:P834 P865:P866 P877 P880 P883">
    <cfRule type="containsText" dxfId="2" priority="7845" operator="containsText" text="Yes">
      <formula>NOT(ISERROR(SEARCH(("Yes"),(P819))))</formula>
    </cfRule>
  </conditionalFormatting>
  <conditionalFormatting sqref="P819 P833:P834 P865:P866 P877 P880 P883">
    <cfRule type="containsText" dxfId="9" priority="7846" operator="containsText" text="No">
      <formula>NOT(ISERROR(SEARCH(("No"),(P819))))</formula>
    </cfRule>
  </conditionalFormatting>
  <conditionalFormatting sqref="P819 P833:P834 P865:P866 P877 P880 P883">
    <cfRule type="containsText" dxfId="2" priority="7847" operator="containsText" text="Yes">
      <formula>NOT(ISERROR(SEARCH(("Yes"),(P819))))</formula>
    </cfRule>
  </conditionalFormatting>
  <conditionalFormatting sqref="P819 P833:P834 P865:P866 P877 P880 P883">
    <cfRule type="containsText" dxfId="9" priority="7848" operator="containsText" text="No">
      <formula>NOT(ISERROR(SEARCH(("No"),(P819))))</formula>
    </cfRule>
  </conditionalFormatting>
  <conditionalFormatting sqref="P819 P833:P834 P865:P866 P877 P880 P883">
    <cfRule type="containsText" dxfId="2" priority="7849" operator="containsText" text="Yes">
      <formula>NOT(ISERROR(SEARCH(("Yes"),(P819))))</formula>
    </cfRule>
  </conditionalFormatting>
  <conditionalFormatting sqref="P819 P833:P834 P865:P866 P877 P880 P883">
    <cfRule type="containsText" dxfId="9" priority="7850" operator="containsText" text="No">
      <formula>NOT(ISERROR(SEARCH(("No"),(P819))))</formula>
    </cfRule>
  </conditionalFormatting>
  <conditionalFormatting sqref="P819 P833:P834 P865:P866 P877 P880 P883">
    <cfRule type="containsText" dxfId="2" priority="7851" operator="containsText" text="Yes">
      <formula>NOT(ISERROR(SEARCH(("Yes"),(P819))))</formula>
    </cfRule>
  </conditionalFormatting>
  <conditionalFormatting sqref="P819 P833:P834 P865:P866 P877 P880 P883">
    <cfRule type="containsText" dxfId="9" priority="7852" operator="containsText" text="No">
      <formula>NOT(ISERROR(SEARCH(("No"),(P819))))</formula>
    </cfRule>
  </conditionalFormatting>
  <conditionalFormatting sqref="P819 P833:P834 P865:P866 P877 P880 P883">
    <cfRule type="containsText" dxfId="2" priority="7853" operator="containsText" text="Yes">
      <formula>NOT(ISERROR(SEARCH(("Yes"),(P819))))</formula>
    </cfRule>
  </conditionalFormatting>
  <conditionalFormatting sqref="P819 P833:P834 P865:P866 P877 P880 P883">
    <cfRule type="containsText" dxfId="9" priority="7854" operator="containsText" text="No">
      <formula>NOT(ISERROR(SEARCH(("No"),(P819))))</formula>
    </cfRule>
  </conditionalFormatting>
  <conditionalFormatting sqref="P819 P833:P834 P865:P866 P877 P880 P883">
    <cfRule type="containsText" dxfId="2" priority="7855" operator="containsText" text="Yes">
      <formula>NOT(ISERROR(SEARCH(("Yes"),(P819))))</formula>
    </cfRule>
  </conditionalFormatting>
  <conditionalFormatting sqref="P819 P833:P834 P865:P866 P877 P880 P883">
    <cfRule type="containsText" dxfId="9" priority="7856" operator="containsText" text="No">
      <formula>NOT(ISERROR(SEARCH(("No"),(P819))))</formula>
    </cfRule>
  </conditionalFormatting>
  <conditionalFormatting sqref="P819 P833:P834 P865:P866 P877 P880 P883">
    <cfRule type="containsText" dxfId="2" priority="7857" operator="containsText" text="Yes">
      <formula>NOT(ISERROR(SEARCH(("Yes"),(P819))))</formula>
    </cfRule>
  </conditionalFormatting>
  <conditionalFormatting sqref="P819 P833:P834 P865:P866 P877 P880 P883">
    <cfRule type="containsText" dxfId="9" priority="7858" operator="containsText" text="No">
      <formula>NOT(ISERROR(SEARCH(("No"),(P819))))</formula>
    </cfRule>
  </conditionalFormatting>
  <conditionalFormatting sqref="P819 P833:P834 P865:P866 P877 P880 P883">
    <cfRule type="containsText" dxfId="2" priority="7859" operator="containsText" text="Yes">
      <formula>NOT(ISERROR(SEARCH(("Yes"),(P819))))</formula>
    </cfRule>
  </conditionalFormatting>
  <conditionalFormatting sqref="P819 P833:P834 P865:P866 P877 P880 P883">
    <cfRule type="containsText" dxfId="9" priority="7860" operator="containsText" text="No">
      <formula>NOT(ISERROR(SEARCH(("No"),(P819))))</formula>
    </cfRule>
  </conditionalFormatting>
  <conditionalFormatting sqref="P819 P833:P834 P865:P866 P877 P880 P883">
    <cfRule type="containsText" dxfId="2" priority="7861" operator="containsText" text="Yes">
      <formula>NOT(ISERROR(SEARCH(("Yes"),(P819))))</formula>
    </cfRule>
  </conditionalFormatting>
  <conditionalFormatting sqref="P819 P833:P834 P865:P866 P877 P880 P883">
    <cfRule type="containsText" dxfId="9" priority="7862" operator="containsText" text="No">
      <formula>NOT(ISERROR(SEARCH(("No"),(P819))))</formula>
    </cfRule>
  </conditionalFormatting>
  <conditionalFormatting sqref="P819 P833:P834 P865:P866 P877 P880 P883">
    <cfRule type="containsText" dxfId="2" priority="7863" operator="containsText" text="Yes">
      <formula>NOT(ISERROR(SEARCH(("Yes"),(P819))))</formula>
    </cfRule>
  </conditionalFormatting>
  <conditionalFormatting sqref="P819 P833:P834 P865:P866 P877 P880 P883">
    <cfRule type="containsText" dxfId="9" priority="7864" operator="containsText" text="No">
      <formula>NOT(ISERROR(SEARCH(("No"),(P819))))</formula>
    </cfRule>
  </conditionalFormatting>
  <conditionalFormatting sqref="P819 P833:P834 P865:P866 P877 P880 P883">
    <cfRule type="containsText" dxfId="2" priority="7865" operator="containsText" text="Yes">
      <formula>NOT(ISERROR(SEARCH(("Yes"),(P819))))</formula>
    </cfRule>
  </conditionalFormatting>
  <conditionalFormatting sqref="P819 P833:P834 P865:P866 P877 P880 P883">
    <cfRule type="containsText" dxfId="9" priority="7866" operator="containsText" text="No">
      <formula>NOT(ISERROR(SEARCH(("No"),(P819))))</formula>
    </cfRule>
  </conditionalFormatting>
  <conditionalFormatting sqref="P819 P833:P834 P865:P866 P877 P880 P883">
    <cfRule type="containsText" dxfId="2" priority="7867" operator="containsText" text="Yes">
      <formula>NOT(ISERROR(SEARCH(("Yes"),(P819))))</formula>
    </cfRule>
  </conditionalFormatting>
  <conditionalFormatting sqref="P819 P833:P834 P865:P866 P877 P880 P883">
    <cfRule type="containsText" dxfId="9" priority="7868" operator="containsText" text="No">
      <formula>NOT(ISERROR(SEARCH(("No"),(P819))))</formula>
    </cfRule>
  </conditionalFormatting>
  <conditionalFormatting sqref="P819 P833:P834 P865:P866 P877 P880 P883">
    <cfRule type="containsText" dxfId="2" priority="7869" operator="containsText" text="Yes">
      <formula>NOT(ISERROR(SEARCH(("Yes"),(P819))))</formula>
    </cfRule>
  </conditionalFormatting>
  <conditionalFormatting sqref="P819 P833:P834 P865:P866 P877 P880 P883">
    <cfRule type="containsText" dxfId="9" priority="7870" operator="containsText" text="No">
      <formula>NOT(ISERROR(SEARCH(("No"),(P819))))</formula>
    </cfRule>
  </conditionalFormatting>
  <conditionalFormatting sqref="P819 P833:P834 P865:P866 P877 P880 P883">
    <cfRule type="containsText" dxfId="2" priority="7871" operator="containsText" text="Yes">
      <formula>NOT(ISERROR(SEARCH(("Yes"),(P819))))</formula>
    </cfRule>
  </conditionalFormatting>
  <conditionalFormatting sqref="P819 P833:P834 P865:P866 P877 P880 P883">
    <cfRule type="containsText" dxfId="9" priority="7872" operator="containsText" text="No">
      <formula>NOT(ISERROR(SEARCH(("No"),(P819))))</formula>
    </cfRule>
  </conditionalFormatting>
  <conditionalFormatting sqref="P819 P833:P834 P865:P866 P877 P880 P883">
    <cfRule type="containsText" dxfId="2" priority="7873" operator="containsText" text="Yes">
      <formula>NOT(ISERROR(SEARCH(("Yes"),(P819))))</formula>
    </cfRule>
  </conditionalFormatting>
  <conditionalFormatting sqref="P819 P833:P834 P865:P866 P877 P880 P883">
    <cfRule type="containsText" dxfId="9" priority="7874" operator="containsText" text="No">
      <formula>NOT(ISERROR(SEARCH(("No"),(P819))))</formula>
    </cfRule>
  </conditionalFormatting>
  <conditionalFormatting sqref="P819 P833:P834 P865:P866 P877 P880 P883">
    <cfRule type="containsText" dxfId="2" priority="7875" operator="containsText" text="Yes">
      <formula>NOT(ISERROR(SEARCH(("Yes"),(P819))))</formula>
    </cfRule>
  </conditionalFormatting>
  <conditionalFormatting sqref="P819 P833:P834 P865:P866 P877 P880 P883">
    <cfRule type="containsText" dxfId="9" priority="7876" operator="containsText" text="No">
      <formula>NOT(ISERROR(SEARCH(("No"),(P819))))</formula>
    </cfRule>
  </conditionalFormatting>
  <conditionalFormatting sqref="P819 P833:P834 P865:P866 P877 P880 P883">
    <cfRule type="containsText" dxfId="2" priority="7877" operator="containsText" text="Yes">
      <formula>NOT(ISERROR(SEARCH(("Yes"),(P819))))</formula>
    </cfRule>
  </conditionalFormatting>
  <conditionalFormatting sqref="P819 P833:P834 P865:P866 P877 P880 P883">
    <cfRule type="containsText" dxfId="9" priority="7878" operator="containsText" text="No">
      <formula>NOT(ISERROR(SEARCH(("No"),(P819))))</formula>
    </cfRule>
  </conditionalFormatting>
  <conditionalFormatting sqref="P819 P833:P834 P865:P866 P877 P880 P883">
    <cfRule type="containsText" dxfId="2" priority="7879" operator="containsText" text="Yes">
      <formula>NOT(ISERROR(SEARCH(("Yes"),(P819))))</formula>
    </cfRule>
  </conditionalFormatting>
  <conditionalFormatting sqref="P819 P833:P834 P865:P866 P877 P880 P883">
    <cfRule type="containsText" dxfId="9" priority="7880" operator="containsText" text="No">
      <formula>NOT(ISERROR(SEARCH(("No"),(P819))))</formula>
    </cfRule>
  </conditionalFormatting>
  <conditionalFormatting sqref="P819 P833:P834 P865:P866 P877 P880 P883">
    <cfRule type="containsText" dxfId="2" priority="7881" operator="containsText" text="Yes">
      <formula>NOT(ISERROR(SEARCH(("Yes"),(P819))))</formula>
    </cfRule>
  </conditionalFormatting>
  <conditionalFormatting sqref="P819 P833:P834 P865:P866 P877 P880 P883">
    <cfRule type="containsText" dxfId="9" priority="7882" operator="containsText" text="No">
      <formula>NOT(ISERROR(SEARCH(("No"),(P819))))</formula>
    </cfRule>
  </conditionalFormatting>
  <conditionalFormatting sqref="P819 P833:P834 P865:P866 P877 P880 P883">
    <cfRule type="containsText" dxfId="2" priority="7883" operator="containsText" text="Yes">
      <formula>NOT(ISERROR(SEARCH(("Yes"),(P819))))</formula>
    </cfRule>
  </conditionalFormatting>
  <conditionalFormatting sqref="P819 P833:P834 P865:P866 P877 P880 P883">
    <cfRule type="containsText" dxfId="9" priority="7884" operator="containsText" text="No">
      <formula>NOT(ISERROR(SEARCH(("No"),(P819))))</formula>
    </cfRule>
  </conditionalFormatting>
  <conditionalFormatting sqref="P819 P833:P834 P865:P866 P877 P880 P883">
    <cfRule type="containsText" dxfId="2" priority="7885" operator="containsText" text="Yes">
      <formula>NOT(ISERROR(SEARCH(("Yes"),(P819))))</formula>
    </cfRule>
  </conditionalFormatting>
  <conditionalFormatting sqref="P819 P833:P834 P865:P866 P877 P880 P883">
    <cfRule type="containsText" dxfId="9" priority="7886" operator="containsText" text="No">
      <formula>NOT(ISERROR(SEARCH(("No"),(P819))))</formula>
    </cfRule>
  </conditionalFormatting>
  <conditionalFormatting sqref="P819 P833:P834 P865:P866 P877 P880 P883">
    <cfRule type="containsText" dxfId="2" priority="7887" operator="containsText" text="Yes">
      <formula>NOT(ISERROR(SEARCH(("Yes"),(P819))))</formula>
    </cfRule>
  </conditionalFormatting>
  <conditionalFormatting sqref="P819 P833:P834 P865:P866 P877 P880 P883">
    <cfRule type="containsText" dxfId="9" priority="7888" operator="containsText" text="No">
      <formula>NOT(ISERROR(SEARCH(("No"),(P819))))</formula>
    </cfRule>
  </conditionalFormatting>
  <conditionalFormatting sqref="P819 P833:P834 P865:P866 P877 P880 P883">
    <cfRule type="containsText" dxfId="2" priority="7889" operator="containsText" text="Yes">
      <formula>NOT(ISERROR(SEARCH(("Yes"),(P819))))</formula>
    </cfRule>
  </conditionalFormatting>
  <conditionalFormatting sqref="P819 P833:P834 P865:P866 P877 P880 P883">
    <cfRule type="containsText" dxfId="9" priority="7890" operator="containsText" text="No">
      <formula>NOT(ISERROR(SEARCH(("No"),(P819))))</formula>
    </cfRule>
  </conditionalFormatting>
  <conditionalFormatting sqref="P819 P833:P834 P865:P866 P877 P880 P883">
    <cfRule type="containsText" dxfId="2" priority="7891" operator="containsText" text="Yes">
      <formula>NOT(ISERROR(SEARCH(("Yes"),(P819))))</formula>
    </cfRule>
  </conditionalFormatting>
  <conditionalFormatting sqref="P819 P833:P834 P865:P866 P877 P880 P883">
    <cfRule type="containsText" dxfId="9" priority="7892" operator="containsText" text="No">
      <formula>NOT(ISERROR(SEARCH(("No"),(P819))))</formula>
    </cfRule>
  </conditionalFormatting>
  <conditionalFormatting sqref="P819 P833:P834 P865:P866 P877 P880 P883">
    <cfRule type="containsText" dxfId="2" priority="7893" operator="containsText" text="Yes">
      <formula>NOT(ISERROR(SEARCH(("Yes"),(P819))))</formula>
    </cfRule>
  </conditionalFormatting>
  <conditionalFormatting sqref="P819 P833:P834 P865:P866 P877 P880 P883">
    <cfRule type="containsText" dxfId="9" priority="7894" operator="containsText" text="No">
      <formula>NOT(ISERROR(SEARCH(("No"),(P819))))</formula>
    </cfRule>
  </conditionalFormatting>
  <conditionalFormatting sqref="P819 P833:P834 P865:P866 P877 P880 P883">
    <cfRule type="containsText" dxfId="2" priority="7895" operator="containsText" text="Yes">
      <formula>NOT(ISERROR(SEARCH(("Yes"),(P819))))</formula>
    </cfRule>
  </conditionalFormatting>
  <conditionalFormatting sqref="P819 P833:P834 P865:P866 P877 P880 P883">
    <cfRule type="containsText" dxfId="9" priority="7896" operator="containsText" text="No">
      <formula>NOT(ISERROR(SEARCH(("No"),(P819))))</formula>
    </cfRule>
  </conditionalFormatting>
  <conditionalFormatting sqref="P819 P833:P834 P865:P866 P877 P880 P883">
    <cfRule type="containsText" dxfId="2" priority="7897" operator="containsText" text="Yes">
      <formula>NOT(ISERROR(SEARCH(("Yes"),(P819))))</formula>
    </cfRule>
  </conditionalFormatting>
  <conditionalFormatting sqref="P819 P833:P834 P865:P866 P877 P880 P883">
    <cfRule type="containsText" dxfId="9" priority="7898" operator="containsText" text="No">
      <formula>NOT(ISERROR(SEARCH(("No"),(P819))))</formula>
    </cfRule>
  </conditionalFormatting>
  <conditionalFormatting sqref="P819 P833:P834 P865:P866 P877 P880 P883">
    <cfRule type="containsText" dxfId="2" priority="7899" operator="containsText" text="Yes">
      <formula>NOT(ISERROR(SEARCH(("Yes"),(P819))))</formula>
    </cfRule>
  </conditionalFormatting>
  <conditionalFormatting sqref="P819 P833:P834 P865:P866 P877 P880 P883">
    <cfRule type="containsText" dxfId="9" priority="7900" operator="containsText" text="No">
      <formula>NOT(ISERROR(SEARCH(("No"),(P819))))</formula>
    </cfRule>
  </conditionalFormatting>
  <conditionalFormatting sqref="P819 P833:P834 P865:P866 P877 P880 P883">
    <cfRule type="containsText" dxfId="2" priority="7901" operator="containsText" text="Yes">
      <formula>NOT(ISERROR(SEARCH(("Yes"),(P819))))</formula>
    </cfRule>
  </conditionalFormatting>
  <conditionalFormatting sqref="P819 P833:P834 P865:P866 P877 P880 P883">
    <cfRule type="containsText" dxfId="9" priority="7902" operator="containsText" text="No">
      <formula>NOT(ISERROR(SEARCH(("No"),(P819))))</formula>
    </cfRule>
  </conditionalFormatting>
  <conditionalFormatting sqref="P819 P833:P834 P865:P866 P877 P880 P883">
    <cfRule type="containsText" dxfId="2" priority="7903" operator="containsText" text="Yes">
      <formula>NOT(ISERROR(SEARCH(("Yes"),(P819))))</formula>
    </cfRule>
  </conditionalFormatting>
  <conditionalFormatting sqref="P819 P833:P834 P865:P866 P877 P880 P883">
    <cfRule type="containsText" dxfId="9" priority="7904" operator="containsText" text="No">
      <formula>NOT(ISERROR(SEARCH(("No"),(P819))))</formula>
    </cfRule>
  </conditionalFormatting>
  <conditionalFormatting sqref="P819 P833:P834 P865:P866 P877 P880 P883">
    <cfRule type="containsText" dxfId="2" priority="7905" operator="containsText" text="Yes">
      <formula>NOT(ISERROR(SEARCH(("Yes"),(P819))))</formula>
    </cfRule>
  </conditionalFormatting>
  <conditionalFormatting sqref="P819 P833:P834 P865:P866 P877 P880 P883">
    <cfRule type="containsText" dxfId="9" priority="7906" operator="containsText" text="No">
      <formula>NOT(ISERROR(SEARCH(("No"),(P819))))</formula>
    </cfRule>
  </conditionalFormatting>
  <conditionalFormatting sqref="P819 P833:P834 P865:P866 P877 P880 P883">
    <cfRule type="containsText" dxfId="2" priority="7907" operator="containsText" text="Yes">
      <formula>NOT(ISERROR(SEARCH(("Yes"),(P819))))</formula>
    </cfRule>
  </conditionalFormatting>
  <conditionalFormatting sqref="P819 P833:P834 P865:P866 P877 P880 P883">
    <cfRule type="containsText" dxfId="9" priority="7908" operator="containsText" text="No">
      <formula>NOT(ISERROR(SEARCH(("No"),(P819))))</formula>
    </cfRule>
  </conditionalFormatting>
  <conditionalFormatting sqref="P819 P833:P834 P865:P866 P877 P880 P883">
    <cfRule type="containsText" dxfId="2" priority="7909" operator="containsText" text="Yes">
      <formula>NOT(ISERROR(SEARCH(("Yes"),(P819))))</formula>
    </cfRule>
  </conditionalFormatting>
  <conditionalFormatting sqref="P819 P833:P834 P865:P866 P877 P880 P883">
    <cfRule type="containsText" dxfId="9" priority="7910" operator="containsText" text="No">
      <formula>NOT(ISERROR(SEARCH(("No"),(P819))))</formula>
    </cfRule>
  </conditionalFormatting>
  <conditionalFormatting sqref="P819 P833:P834 P865:P866 P877 P880 P883">
    <cfRule type="containsText" dxfId="2" priority="7911" operator="containsText" text="Yes">
      <formula>NOT(ISERROR(SEARCH(("Yes"),(P819))))</formula>
    </cfRule>
  </conditionalFormatting>
  <conditionalFormatting sqref="P819 P833:P834 P865:P866 P877 P880 P883">
    <cfRule type="containsText" dxfId="9" priority="7912" operator="containsText" text="No">
      <formula>NOT(ISERROR(SEARCH(("No"),(P819))))</formula>
    </cfRule>
  </conditionalFormatting>
  <conditionalFormatting sqref="P819 P833:P834 P865:P866 P877 P880 P883">
    <cfRule type="containsText" dxfId="2" priority="7913" operator="containsText" text="Yes">
      <formula>NOT(ISERROR(SEARCH(("Yes"),(P819))))</formula>
    </cfRule>
  </conditionalFormatting>
  <conditionalFormatting sqref="P819 P833:P834 P865:P866 P877 P880 P883">
    <cfRule type="containsText" dxfId="9" priority="7914" operator="containsText" text="No">
      <formula>NOT(ISERROR(SEARCH(("No"),(P819))))</formula>
    </cfRule>
  </conditionalFormatting>
  <conditionalFormatting sqref="P819 P833:P834 P865:P866 P877 P880 P883">
    <cfRule type="containsText" dxfId="2" priority="7915" operator="containsText" text="Yes">
      <formula>NOT(ISERROR(SEARCH(("Yes"),(P819))))</formula>
    </cfRule>
  </conditionalFormatting>
  <conditionalFormatting sqref="P819 P833:P834 P865:P866 P877 P880 P883">
    <cfRule type="containsText" dxfId="9" priority="7916" operator="containsText" text="No">
      <formula>NOT(ISERROR(SEARCH(("No"),(P819))))</formula>
    </cfRule>
  </conditionalFormatting>
  <conditionalFormatting sqref="P819 P833:P834 P865:P866 P877 P880 P883">
    <cfRule type="containsText" dxfId="2" priority="7917" operator="containsText" text="Yes">
      <formula>NOT(ISERROR(SEARCH(("Yes"),(P819))))</formula>
    </cfRule>
  </conditionalFormatting>
  <conditionalFormatting sqref="P819 P833:P834 P865:P866 P877 P880 P883">
    <cfRule type="containsText" dxfId="9" priority="7918" operator="containsText" text="No">
      <formula>NOT(ISERROR(SEARCH(("No"),(P819))))</formula>
    </cfRule>
  </conditionalFormatting>
  <conditionalFormatting sqref="P819 P833:P834 P865:P866 P877 P880 P883">
    <cfRule type="containsText" dxfId="2" priority="7919" operator="containsText" text="Yes">
      <formula>NOT(ISERROR(SEARCH(("Yes"),(P819))))</formula>
    </cfRule>
  </conditionalFormatting>
  <conditionalFormatting sqref="P819 P833:P834 P865:P866 P877 P880 P883">
    <cfRule type="containsText" dxfId="9" priority="7920" operator="containsText" text="No">
      <formula>NOT(ISERROR(SEARCH(("No"),(P819))))</formula>
    </cfRule>
  </conditionalFormatting>
  <conditionalFormatting sqref="P819 P833:P834 P865:P866 P877 P880 P883">
    <cfRule type="containsText" dxfId="2" priority="7921" operator="containsText" text="Yes">
      <formula>NOT(ISERROR(SEARCH(("Yes"),(P819))))</formula>
    </cfRule>
  </conditionalFormatting>
  <conditionalFormatting sqref="P819 P833:P834 P865:P866 P877 P880 P883">
    <cfRule type="containsText" dxfId="9" priority="7922" operator="containsText" text="No">
      <formula>NOT(ISERROR(SEARCH(("No"),(P819))))</formula>
    </cfRule>
  </conditionalFormatting>
  <conditionalFormatting sqref="P819 P833:P834 P865:P866 P877 P880 P883">
    <cfRule type="containsText" dxfId="2" priority="7923" operator="containsText" text="Yes">
      <formula>NOT(ISERROR(SEARCH(("Yes"),(P819))))</formula>
    </cfRule>
  </conditionalFormatting>
  <conditionalFormatting sqref="P819 P833:P834 P865:P866 P877 P880 P883">
    <cfRule type="containsText" dxfId="9" priority="7924" operator="containsText" text="No">
      <formula>NOT(ISERROR(SEARCH(("No"),(P819))))</formula>
    </cfRule>
  </conditionalFormatting>
  <conditionalFormatting sqref="P819 P833:P834 P865:P866 P877 P880 P883">
    <cfRule type="containsText" dxfId="2" priority="7925" operator="containsText" text="Yes">
      <formula>NOT(ISERROR(SEARCH(("Yes"),(P819))))</formula>
    </cfRule>
  </conditionalFormatting>
  <conditionalFormatting sqref="P819 P833:P834 P865:P866 P877 P880 P883">
    <cfRule type="containsText" dxfId="9" priority="7926" operator="containsText" text="No">
      <formula>NOT(ISERROR(SEARCH(("No"),(P819))))</formula>
    </cfRule>
  </conditionalFormatting>
  <conditionalFormatting sqref="P819 P833:P834 P865:P866 P877 P880 P883">
    <cfRule type="containsText" dxfId="2" priority="7927" operator="containsText" text="Yes">
      <formula>NOT(ISERROR(SEARCH(("Yes"),(P819))))</formula>
    </cfRule>
  </conditionalFormatting>
  <conditionalFormatting sqref="P819 P833:P834 P865:P866 P877 P880 P883">
    <cfRule type="containsText" dxfId="9" priority="7928" operator="containsText" text="No">
      <formula>NOT(ISERROR(SEARCH(("No"),(P819))))</formula>
    </cfRule>
  </conditionalFormatting>
  <conditionalFormatting sqref="P819 P833:P834 P865:P866 P877 P880 P883">
    <cfRule type="containsText" dxfId="2" priority="7929" operator="containsText" text="Yes">
      <formula>NOT(ISERROR(SEARCH(("Yes"),(P819))))</formula>
    </cfRule>
  </conditionalFormatting>
  <conditionalFormatting sqref="P819 P833:P834 P865:P866 P877 P880 P883">
    <cfRule type="containsText" dxfId="9" priority="7930" operator="containsText" text="No">
      <formula>NOT(ISERROR(SEARCH(("No"),(P819))))</formula>
    </cfRule>
  </conditionalFormatting>
  <conditionalFormatting sqref="P819 P833:P834 P865:P866 P877 P880 P883">
    <cfRule type="containsText" dxfId="2" priority="7931" operator="containsText" text="Yes">
      <formula>NOT(ISERROR(SEARCH(("Yes"),(P819))))</formula>
    </cfRule>
  </conditionalFormatting>
  <conditionalFormatting sqref="P819 P833:P834 P865:P866 P877 P880 P883">
    <cfRule type="containsText" dxfId="9" priority="7932" operator="containsText" text="No">
      <formula>NOT(ISERROR(SEARCH(("No"),(P819))))</formula>
    </cfRule>
  </conditionalFormatting>
  <conditionalFormatting sqref="P819 P833:P834 P865:P866 P877 P880 P883">
    <cfRule type="containsText" dxfId="2" priority="7933" operator="containsText" text="Yes">
      <formula>NOT(ISERROR(SEARCH(("Yes"),(P819))))</formula>
    </cfRule>
  </conditionalFormatting>
  <conditionalFormatting sqref="P819 P833:P834 P865:P866 P877 P880 P883">
    <cfRule type="containsText" dxfId="9" priority="7934" operator="containsText" text="No">
      <formula>NOT(ISERROR(SEARCH(("No"),(P819))))</formula>
    </cfRule>
  </conditionalFormatting>
  <conditionalFormatting sqref="P819 P833:P834 P865:P866 P877 P880 P883">
    <cfRule type="containsText" dxfId="2" priority="7935" operator="containsText" text="Yes">
      <formula>NOT(ISERROR(SEARCH(("Yes"),(P819))))</formula>
    </cfRule>
  </conditionalFormatting>
  <conditionalFormatting sqref="P819 P833:P834 P865:P866 P877 P880 P883">
    <cfRule type="containsText" dxfId="9" priority="7936" operator="containsText" text="No">
      <formula>NOT(ISERROR(SEARCH(("No"),(P819))))</formula>
    </cfRule>
  </conditionalFormatting>
  <conditionalFormatting sqref="P819 P833:P834 P865:P866 P877 P880 P883">
    <cfRule type="containsText" dxfId="2" priority="7937" operator="containsText" text="Yes">
      <formula>NOT(ISERROR(SEARCH(("Yes"),(P819))))</formula>
    </cfRule>
  </conditionalFormatting>
  <conditionalFormatting sqref="P819 P833:P834 P865:P866 P877 P880 P883">
    <cfRule type="containsText" dxfId="9" priority="7938" operator="containsText" text="No">
      <formula>NOT(ISERROR(SEARCH(("No"),(P819))))</formula>
    </cfRule>
  </conditionalFormatting>
  <conditionalFormatting sqref="P819 P833:P834 P865:P866 P877 P880 P883">
    <cfRule type="containsText" dxfId="2" priority="7939" operator="containsText" text="Yes">
      <formula>NOT(ISERROR(SEARCH(("Yes"),(P819))))</formula>
    </cfRule>
  </conditionalFormatting>
  <conditionalFormatting sqref="P819 P833:P834 P865:P866 P877 P880 P883">
    <cfRule type="containsText" dxfId="9" priority="7940" operator="containsText" text="No">
      <formula>NOT(ISERROR(SEARCH(("No"),(P819))))</formula>
    </cfRule>
  </conditionalFormatting>
  <conditionalFormatting sqref="P819 P833:P834 P865:P866 P877 P880 P883">
    <cfRule type="containsText" dxfId="2" priority="7941" operator="containsText" text="Yes">
      <formula>NOT(ISERROR(SEARCH(("Yes"),(P819))))</formula>
    </cfRule>
  </conditionalFormatting>
  <conditionalFormatting sqref="P819 P833:P834 P865:P866 P877 P880 P883">
    <cfRule type="containsText" dxfId="9" priority="7942" operator="containsText" text="No">
      <formula>NOT(ISERROR(SEARCH(("No"),(P819))))</formula>
    </cfRule>
  </conditionalFormatting>
  <conditionalFormatting sqref="P819 P833:P834 P865:P866 P877 P880 P883">
    <cfRule type="containsText" dxfId="2" priority="7943" operator="containsText" text="Yes">
      <formula>NOT(ISERROR(SEARCH(("Yes"),(P819))))</formula>
    </cfRule>
  </conditionalFormatting>
  <conditionalFormatting sqref="P819 P833:P834 P865:P866 P877 P880 P883">
    <cfRule type="containsText" dxfId="9" priority="7944" operator="containsText" text="No">
      <formula>NOT(ISERROR(SEARCH(("No"),(P819))))</formula>
    </cfRule>
  </conditionalFormatting>
  <conditionalFormatting sqref="P819 P833:P834 P865:P866 P877 P880 P883">
    <cfRule type="containsText" dxfId="2" priority="7945" operator="containsText" text="Yes">
      <formula>NOT(ISERROR(SEARCH(("Yes"),(P819))))</formula>
    </cfRule>
  </conditionalFormatting>
  <conditionalFormatting sqref="P819 P833:P834 P865:P866 P877 P880 P883">
    <cfRule type="containsText" dxfId="9" priority="7946" operator="containsText" text="No">
      <formula>NOT(ISERROR(SEARCH(("No"),(P819))))</formula>
    </cfRule>
  </conditionalFormatting>
  <conditionalFormatting sqref="P819 P833:P834 P865:P866 P877 P880 P883">
    <cfRule type="containsText" dxfId="2" priority="7947" operator="containsText" text="Yes">
      <formula>NOT(ISERROR(SEARCH(("Yes"),(P819))))</formula>
    </cfRule>
  </conditionalFormatting>
  <conditionalFormatting sqref="P819 P833:P834 P865:P866 P877 P880 P883">
    <cfRule type="containsText" dxfId="9" priority="7948" operator="containsText" text="No">
      <formula>NOT(ISERROR(SEARCH(("No"),(P819))))</formula>
    </cfRule>
  </conditionalFormatting>
  <conditionalFormatting sqref="P819 P833:P834 P865:P866 P877 P880 P883">
    <cfRule type="containsText" dxfId="2" priority="7949" operator="containsText" text="Yes">
      <formula>NOT(ISERROR(SEARCH(("Yes"),(P819))))</formula>
    </cfRule>
  </conditionalFormatting>
  <conditionalFormatting sqref="P819 P833:P834 P865:P866 P877 P880 P883">
    <cfRule type="containsText" dxfId="9" priority="7950" operator="containsText" text="No">
      <formula>NOT(ISERROR(SEARCH(("No"),(P819))))</formula>
    </cfRule>
  </conditionalFormatting>
  <conditionalFormatting sqref="P819 P833:P834 P865:P866 P877 P880 P883">
    <cfRule type="containsText" dxfId="2" priority="7951" operator="containsText" text="Yes">
      <formula>NOT(ISERROR(SEARCH(("Yes"),(P819))))</formula>
    </cfRule>
  </conditionalFormatting>
  <conditionalFormatting sqref="P819 P833:P834 P865:P866 P877 P880 P883">
    <cfRule type="containsText" dxfId="9" priority="7952" operator="containsText" text="No">
      <formula>NOT(ISERROR(SEARCH(("No"),(P819))))</formula>
    </cfRule>
  </conditionalFormatting>
  <conditionalFormatting sqref="P819 P833:P834 P865:P866 P877 P880 P883">
    <cfRule type="containsText" dxfId="2" priority="7953" operator="containsText" text="Yes">
      <formula>NOT(ISERROR(SEARCH(("Yes"),(P819))))</formula>
    </cfRule>
  </conditionalFormatting>
  <conditionalFormatting sqref="P819 P833:P834 P865:P866 P877 P880 P883">
    <cfRule type="containsText" dxfId="9" priority="7954" operator="containsText" text="No">
      <formula>NOT(ISERROR(SEARCH(("No"),(P819))))</formula>
    </cfRule>
  </conditionalFormatting>
  <conditionalFormatting sqref="P819 P833:P834 P865:P866 P877 P880 P883">
    <cfRule type="containsText" dxfId="2" priority="7955" operator="containsText" text="Yes">
      <formula>NOT(ISERROR(SEARCH(("Yes"),(P819))))</formula>
    </cfRule>
  </conditionalFormatting>
  <conditionalFormatting sqref="P819 P833:P834 P865:P866 P877 P880 P883">
    <cfRule type="containsText" dxfId="9" priority="7956" operator="containsText" text="No">
      <formula>NOT(ISERROR(SEARCH(("No"),(P819))))</formula>
    </cfRule>
  </conditionalFormatting>
  <conditionalFormatting sqref="P819 P833:P834 P865:P866 P877 P880 P883">
    <cfRule type="containsText" dxfId="2" priority="7957" operator="containsText" text="Yes">
      <formula>NOT(ISERROR(SEARCH(("Yes"),(P819))))</formula>
    </cfRule>
  </conditionalFormatting>
  <conditionalFormatting sqref="P819 P833:P834 P865:P866 P877 P880 P883">
    <cfRule type="containsText" dxfId="9" priority="7958" operator="containsText" text="No">
      <formula>NOT(ISERROR(SEARCH(("No"),(P819))))</formula>
    </cfRule>
  </conditionalFormatting>
  <conditionalFormatting sqref="P819 P833:P834 P865:P866 P877 P880 P883">
    <cfRule type="containsText" dxfId="2" priority="7959" operator="containsText" text="Yes">
      <formula>NOT(ISERROR(SEARCH(("Yes"),(P819))))</formula>
    </cfRule>
  </conditionalFormatting>
  <conditionalFormatting sqref="P819 P833:P834 P865:P866 P877 P880 P883">
    <cfRule type="containsText" dxfId="9" priority="7960" operator="containsText" text="No">
      <formula>NOT(ISERROR(SEARCH(("No"),(P819))))</formula>
    </cfRule>
  </conditionalFormatting>
  <conditionalFormatting sqref="P819 P833:P834 P865:P866 P877 P880 P883">
    <cfRule type="containsText" dxfId="2" priority="7961" operator="containsText" text="Yes">
      <formula>NOT(ISERROR(SEARCH(("Yes"),(P819))))</formula>
    </cfRule>
  </conditionalFormatting>
  <conditionalFormatting sqref="P819 P833:P834 P865:P866 P877 P880 P883">
    <cfRule type="containsText" dxfId="9" priority="7962" operator="containsText" text="No">
      <formula>NOT(ISERROR(SEARCH(("No"),(P819))))</formula>
    </cfRule>
  </conditionalFormatting>
  <conditionalFormatting sqref="P819 P833:P834 P865:P866 P877 P880 P883">
    <cfRule type="containsText" dxfId="2" priority="7963" operator="containsText" text="Yes">
      <formula>NOT(ISERROR(SEARCH(("Yes"),(P819))))</formula>
    </cfRule>
  </conditionalFormatting>
  <conditionalFormatting sqref="P819 P833:P834 P865:P866 P877 P880 P883">
    <cfRule type="containsText" dxfId="9" priority="7964" operator="containsText" text="No">
      <formula>NOT(ISERROR(SEARCH(("No"),(P819))))</formula>
    </cfRule>
  </conditionalFormatting>
  <conditionalFormatting sqref="P819 P833:P834 P865:P866 P877 P880 P883">
    <cfRule type="containsText" dxfId="2" priority="7965" operator="containsText" text="Yes">
      <formula>NOT(ISERROR(SEARCH(("Yes"),(P819))))</formula>
    </cfRule>
  </conditionalFormatting>
  <conditionalFormatting sqref="P819 P833:P834 P865:P866 P877 P880 P883">
    <cfRule type="containsText" dxfId="9" priority="7966" operator="containsText" text="No">
      <formula>NOT(ISERROR(SEARCH(("No"),(P819))))</formula>
    </cfRule>
  </conditionalFormatting>
  <conditionalFormatting sqref="P819 P833:P834 P865:P866 P877 P880 P883">
    <cfRule type="containsText" dxfId="2" priority="7967" operator="containsText" text="Yes">
      <formula>NOT(ISERROR(SEARCH(("Yes"),(P819))))</formula>
    </cfRule>
  </conditionalFormatting>
  <conditionalFormatting sqref="P819 P833:P834 P865:P866 P877 P880 P883">
    <cfRule type="containsText" dxfId="9" priority="7968" operator="containsText" text="No">
      <formula>NOT(ISERROR(SEARCH(("No"),(P819))))</formula>
    </cfRule>
  </conditionalFormatting>
  <conditionalFormatting sqref="P819 P833:P834 P865:P866 P877 P880 P883">
    <cfRule type="containsText" dxfId="2" priority="7969" operator="containsText" text="Yes">
      <formula>NOT(ISERROR(SEARCH(("Yes"),(P819))))</formula>
    </cfRule>
  </conditionalFormatting>
  <conditionalFormatting sqref="P819 P833:P834 P865:P866 P877 P880 P883">
    <cfRule type="containsText" dxfId="9" priority="7970" operator="containsText" text="No">
      <formula>NOT(ISERROR(SEARCH(("No"),(P819))))</formula>
    </cfRule>
  </conditionalFormatting>
  <conditionalFormatting sqref="P819 P833:P834 P865:P866 P877 P880 P883">
    <cfRule type="containsText" dxfId="2" priority="7971" operator="containsText" text="Yes">
      <formula>NOT(ISERROR(SEARCH(("Yes"),(P819))))</formula>
    </cfRule>
  </conditionalFormatting>
  <conditionalFormatting sqref="P819 P833:P834 P865:P866 P877 P880 P883">
    <cfRule type="containsText" dxfId="9" priority="7972" operator="containsText" text="No">
      <formula>NOT(ISERROR(SEARCH(("No"),(P819))))</formula>
    </cfRule>
  </conditionalFormatting>
  <conditionalFormatting sqref="P819 P833:P834 P865:P866 P877 P880 P883">
    <cfRule type="containsText" dxfId="2" priority="7973" operator="containsText" text="Yes">
      <formula>NOT(ISERROR(SEARCH(("Yes"),(P819))))</formula>
    </cfRule>
  </conditionalFormatting>
  <conditionalFormatting sqref="P819 P833:P834 P865:P866 P877 P880 P883">
    <cfRule type="containsText" dxfId="9" priority="7974" operator="containsText" text="No">
      <formula>NOT(ISERROR(SEARCH(("No"),(P819))))</formula>
    </cfRule>
  </conditionalFormatting>
  <conditionalFormatting sqref="P819 P833:P834 P865:P866 P877 P880 P883">
    <cfRule type="containsText" dxfId="2" priority="7975" operator="containsText" text="Yes">
      <formula>NOT(ISERROR(SEARCH(("Yes"),(P819))))</formula>
    </cfRule>
  </conditionalFormatting>
  <conditionalFormatting sqref="P819 P833:P834 P865:P866 P877 P880 P883">
    <cfRule type="containsText" dxfId="9" priority="7976" operator="containsText" text="No">
      <formula>NOT(ISERROR(SEARCH(("No"),(P819))))</formula>
    </cfRule>
  </conditionalFormatting>
  <conditionalFormatting sqref="P819 P833:P834 P865:P866 P877 P880 P883">
    <cfRule type="containsText" dxfId="2" priority="7977" operator="containsText" text="Yes">
      <formula>NOT(ISERROR(SEARCH(("Yes"),(P819))))</formula>
    </cfRule>
  </conditionalFormatting>
  <conditionalFormatting sqref="P819 P833:P834 P865:P866 P877 P880 P883">
    <cfRule type="containsText" dxfId="9" priority="7978" operator="containsText" text="No">
      <formula>NOT(ISERROR(SEARCH(("No"),(P819))))</formula>
    </cfRule>
  </conditionalFormatting>
  <conditionalFormatting sqref="P819 P833:P834 P865:P866 P877 P880 P883">
    <cfRule type="containsText" dxfId="2" priority="7979" operator="containsText" text="Yes">
      <formula>NOT(ISERROR(SEARCH(("Yes"),(P819))))</formula>
    </cfRule>
  </conditionalFormatting>
  <conditionalFormatting sqref="P819 P833:P834 P865:P866 P877 P880 P883">
    <cfRule type="containsText" dxfId="9" priority="7980" operator="containsText" text="No">
      <formula>NOT(ISERROR(SEARCH(("No"),(P819))))</formula>
    </cfRule>
  </conditionalFormatting>
  <conditionalFormatting sqref="P819 P833:P834 P865:P866 P877 P880 P883">
    <cfRule type="containsText" dxfId="2" priority="7981" operator="containsText" text="Yes">
      <formula>NOT(ISERROR(SEARCH(("Yes"),(P819))))</formula>
    </cfRule>
  </conditionalFormatting>
  <conditionalFormatting sqref="P819 P833:P834 P865:P866 P877 P880 P883">
    <cfRule type="containsText" dxfId="9" priority="7982" operator="containsText" text="No">
      <formula>NOT(ISERROR(SEARCH(("No"),(P819))))</formula>
    </cfRule>
  </conditionalFormatting>
  <conditionalFormatting sqref="P819 P833:P834 P865:P866 P877 P880 P883">
    <cfRule type="containsText" dxfId="2" priority="7983" operator="containsText" text="Yes">
      <formula>NOT(ISERROR(SEARCH(("Yes"),(P819))))</formula>
    </cfRule>
  </conditionalFormatting>
  <conditionalFormatting sqref="P819 P833:P834 P865:P866 P877 P880 P883">
    <cfRule type="containsText" dxfId="9" priority="7984" operator="containsText" text="No">
      <formula>NOT(ISERROR(SEARCH(("No"),(P819))))</formula>
    </cfRule>
  </conditionalFormatting>
  <conditionalFormatting sqref="P819 P833:P834 P865:P866 P877 P880 P883">
    <cfRule type="containsText" dxfId="2" priority="7985" operator="containsText" text="Yes">
      <formula>NOT(ISERROR(SEARCH(("Yes"),(P819))))</formula>
    </cfRule>
  </conditionalFormatting>
  <conditionalFormatting sqref="P819 P833:P834 P865:P866 P877 P880 P883">
    <cfRule type="containsText" dxfId="9" priority="7986" operator="containsText" text="No">
      <formula>NOT(ISERROR(SEARCH(("No"),(P819))))</formula>
    </cfRule>
  </conditionalFormatting>
  <conditionalFormatting sqref="P819 P833:P834 P865:P866 P877 P880 P883">
    <cfRule type="containsText" dxfId="2" priority="7987" operator="containsText" text="Yes">
      <formula>NOT(ISERROR(SEARCH(("Yes"),(P819))))</formula>
    </cfRule>
  </conditionalFormatting>
  <conditionalFormatting sqref="P819 P833:P834 P865:P866 P877 P880 P883">
    <cfRule type="containsText" dxfId="9" priority="7988" operator="containsText" text="No">
      <formula>NOT(ISERROR(SEARCH(("No"),(P819))))</formula>
    </cfRule>
  </conditionalFormatting>
  <conditionalFormatting sqref="P819 P833:P834 P865:P866 P877 P880 P883">
    <cfRule type="containsText" dxfId="2" priority="7989" operator="containsText" text="Yes">
      <formula>NOT(ISERROR(SEARCH(("Yes"),(P819))))</formula>
    </cfRule>
  </conditionalFormatting>
  <conditionalFormatting sqref="P819 P833:P834 P865:P866 P877 P880 P883">
    <cfRule type="containsText" dxfId="9" priority="7990" operator="containsText" text="No">
      <formula>NOT(ISERROR(SEARCH(("No"),(P819))))</formula>
    </cfRule>
  </conditionalFormatting>
  <conditionalFormatting sqref="P819 P833:P834 P865:P866 P877 P880 P883">
    <cfRule type="containsText" dxfId="2" priority="7991" operator="containsText" text="Yes">
      <formula>NOT(ISERROR(SEARCH(("Yes"),(P819))))</formula>
    </cfRule>
  </conditionalFormatting>
  <conditionalFormatting sqref="P819 P833:P834 P865:P866 P877 P880 P883">
    <cfRule type="containsText" dxfId="9" priority="7992" operator="containsText" text="No">
      <formula>NOT(ISERROR(SEARCH(("No"),(P819))))</formula>
    </cfRule>
  </conditionalFormatting>
  <conditionalFormatting sqref="P819 P833:P834 P865:P866 P877 P880 P883">
    <cfRule type="containsText" dxfId="2" priority="7993" operator="containsText" text="Yes">
      <formula>NOT(ISERROR(SEARCH(("Yes"),(P819))))</formula>
    </cfRule>
  </conditionalFormatting>
  <conditionalFormatting sqref="P819 P833:P834 P865:P866 P877 P880 P883">
    <cfRule type="containsText" dxfId="9" priority="7994" operator="containsText" text="No">
      <formula>NOT(ISERROR(SEARCH(("No"),(P819))))</formula>
    </cfRule>
  </conditionalFormatting>
  <conditionalFormatting sqref="P819 P833:P834 P865:P866 P877 P880 P883">
    <cfRule type="containsText" dxfId="2" priority="7995" operator="containsText" text="Yes">
      <formula>NOT(ISERROR(SEARCH(("Yes"),(P819))))</formula>
    </cfRule>
  </conditionalFormatting>
  <conditionalFormatting sqref="P819 P833:P834 P865:P866 P877 P880 P883">
    <cfRule type="containsText" dxfId="9" priority="7996" operator="containsText" text="No">
      <formula>NOT(ISERROR(SEARCH(("No"),(P819))))</formula>
    </cfRule>
  </conditionalFormatting>
  <conditionalFormatting sqref="P819 P833:P834 P865:P866 P877 P880 P883">
    <cfRule type="containsText" dxfId="2" priority="7997" operator="containsText" text="Yes">
      <formula>NOT(ISERROR(SEARCH(("Yes"),(P819))))</formula>
    </cfRule>
  </conditionalFormatting>
  <conditionalFormatting sqref="P819 P833:P834 P865:P866 P877 P880 P883">
    <cfRule type="containsText" dxfId="9" priority="7998" operator="containsText" text="No">
      <formula>NOT(ISERROR(SEARCH(("No"),(P819))))</formula>
    </cfRule>
  </conditionalFormatting>
  <conditionalFormatting sqref="P819 P833:P834 P865:P866 P877 P880 P883">
    <cfRule type="containsText" dxfId="2" priority="7999" operator="containsText" text="Yes">
      <formula>NOT(ISERROR(SEARCH(("Yes"),(P819))))</formula>
    </cfRule>
  </conditionalFormatting>
  <conditionalFormatting sqref="P819 P833:P834 P865:P866 P877 P880 P883">
    <cfRule type="containsText" dxfId="9" priority="8000" operator="containsText" text="No">
      <formula>NOT(ISERROR(SEARCH(("No"),(P819))))</formula>
    </cfRule>
  </conditionalFormatting>
  <conditionalFormatting sqref="P819 P833:P834 P865:P866 P877 P880 P883">
    <cfRule type="containsText" dxfId="2" priority="8001" operator="containsText" text="Yes">
      <formula>NOT(ISERROR(SEARCH(("Yes"),(P819))))</formula>
    </cfRule>
  </conditionalFormatting>
  <conditionalFormatting sqref="P819 P833:P834 P865:P866 P877 P880 P883">
    <cfRule type="containsText" dxfId="9" priority="8002" operator="containsText" text="No">
      <formula>NOT(ISERROR(SEARCH(("No"),(P819))))</formula>
    </cfRule>
  </conditionalFormatting>
  <conditionalFormatting sqref="P819 P833:P834 P865:P866 P877 P880 P883">
    <cfRule type="containsText" dxfId="2" priority="8003" operator="containsText" text="Yes">
      <formula>NOT(ISERROR(SEARCH(("Yes"),(P819))))</formula>
    </cfRule>
  </conditionalFormatting>
  <conditionalFormatting sqref="P819 P833:P834 P865:P866 P877 P880 P883">
    <cfRule type="containsText" dxfId="9" priority="8004" operator="containsText" text="No">
      <formula>NOT(ISERROR(SEARCH(("No"),(P819))))</formula>
    </cfRule>
  </conditionalFormatting>
  <conditionalFormatting sqref="P819 P833:P834 P865:P866 P877 P880 P883">
    <cfRule type="containsText" dxfId="2" priority="8005" operator="containsText" text="Yes">
      <formula>NOT(ISERROR(SEARCH(("Yes"),(P819))))</formula>
    </cfRule>
  </conditionalFormatting>
  <conditionalFormatting sqref="P819 P833:P834 P865:P866 P877 P880 P883">
    <cfRule type="containsText" dxfId="9" priority="8006" operator="containsText" text="No">
      <formula>NOT(ISERROR(SEARCH(("No"),(P819))))</formula>
    </cfRule>
  </conditionalFormatting>
  <conditionalFormatting sqref="P819 P833:P834 P865:P866 P877 P880 P883">
    <cfRule type="containsText" dxfId="2" priority="8007" operator="containsText" text="Yes">
      <formula>NOT(ISERROR(SEARCH(("Yes"),(P819))))</formula>
    </cfRule>
  </conditionalFormatting>
  <conditionalFormatting sqref="P819 P833:P834 P865:P866 P877 P880 P883">
    <cfRule type="containsText" dxfId="9" priority="8008" operator="containsText" text="No">
      <formula>NOT(ISERROR(SEARCH(("No"),(P819))))</formula>
    </cfRule>
  </conditionalFormatting>
  <conditionalFormatting sqref="P819 P833:P834 P865:P866 P877 P880 P883">
    <cfRule type="containsText" dxfId="2" priority="8009" operator="containsText" text="Yes">
      <formula>NOT(ISERROR(SEARCH(("Yes"),(P819))))</formula>
    </cfRule>
  </conditionalFormatting>
  <conditionalFormatting sqref="P819 P833:P834 P865:P866 P877 P880 P883">
    <cfRule type="containsText" dxfId="9" priority="8010" operator="containsText" text="No">
      <formula>NOT(ISERROR(SEARCH(("No"),(P819))))</formula>
    </cfRule>
  </conditionalFormatting>
  <conditionalFormatting sqref="P819 P833:P834 P865:P866 P877 P880 P883">
    <cfRule type="containsText" dxfId="2" priority="8011" operator="containsText" text="Yes">
      <formula>NOT(ISERROR(SEARCH(("Yes"),(P819))))</formula>
    </cfRule>
  </conditionalFormatting>
  <conditionalFormatting sqref="P819 P833:P834 P865:P866 P877 P880 P883">
    <cfRule type="containsText" dxfId="9" priority="8012" operator="containsText" text="No">
      <formula>NOT(ISERROR(SEARCH(("No"),(P819))))</formula>
    </cfRule>
  </conditionalFormatting>
  <conditionalFormatting sqref="P819 P833:P834 P865:P866 P877 P880 P883">
    <cfRule type="containsText" dxfId="2" priority="8013" operator="containsText" text="Yes">
      <formula>NOT(ISERROR(SEARCH(("Yes"),(P819))))</formula>
    </cfRule>
  </conditionalFormatting>
  <conditionalFormatting sqref="P819 P833:P834 P865:P866 P877 P880 P883">
    <cfRule type="containsText" dxfId="9" priority="8014" operator="containsText" text="No">
      <formula>NOT(ISERROR(SEARCH(("No"),(P819))))</formula>
    </cfRule>
  </conditionalFormatting>
  <conditionalFormatting sqref="P819 P833:P834 P865:P866 P877 P880 P883">
    <cfRule type="containsText" dxfId="2" priority="8015" operator="containsText" text="Yes">
      <formula>NOT(ISERROR(SEARCH(("Yes"),(P819))))</formula>
    </cfRule>
  </conditionalFormatting>
  <conditionalFormatting sqref="P819 P833:P834 P865:P866 P877 P880 P883">
    <cfRule type="containsText" dxfId="9" priority="8016" operator="containsText" text="No">
      <formula>NOT(ISERROR(SEARCH(("No"),(P819))))</formula>
    </cfRule>
  </conditionalFormatting>
  <conditionalFormatting sqref="P819 P833:P834 P865:P866 P877 P880 P883">
    <cfRule type="containsText" dxfId="2" priority="8017" operator="containsText" text="Yes">
      <formula>NOT(ISERROR(SEARCH(("Yes"),(P819))))</formula>
    </cfRule>
  </conditionalFormatting>
  <conditionalFormatting sqref="P819 P833:P834 P865:P866 P877 P880 P883">
    <cfRule type="containsText" dxfId="9" priority="8018" operator="containsText" text="No">
      <formula>NOT(ISERROR(SEARCH(("No"),(P819))))</formula>
    </cfRule>
  </conditionalFormatting>
  <conditionalFormatting sqref="P819 P833:P834 P865:P866 P877 P880 P883">
    <cfRule type="containsText" dxfId="2" priority="8019" operator="containsText" text="Yes">
      <formula>NOT(ISERROR(SEARCH(("Yes"),(P819))))</formula>
    </cfRule>
  </conditionalFormatting>
  <conditionalFormatting sqref="P819 P833:P834 P865:P866 P877 P880 P883">
    <cfRule type="containsText" dxfId="9" priority="8020" operator="containsText" text="No">
      <formula>NOT(ISERROR(SEARCH(("No"),(P819))))</formula>
    </cfRule>
  </conditionalFormatting>
  <conditionalFormatting sqref="P819 P833:P834 P865:P866 P877 P880 P883">
    <cfRule type="containsText" dxfId="2" priority="8021" operator="containsText" text="Yes">
      <formula>NOT(ISERROR(SEARCH(("Yes"),(P819))))</formula>
    </cfRule>
  </conditionalFormatting>
  <conditionalFormatting sqref="P819 P833:P834 P865:P866 P877 P880 P883">
    <cfRule type="containsText" dxfId="9" priority="8022" operator="containsText" text="No">
      <formula>NOT(ISERROR(SEARCH(("No"),(P819))))</formula>
    </cfRule>
  </conditionalFormatting>
  <conditionalFormatting sqref="P819 P833:P834 P865:P866 P877 P880 P883">
    <cfRule type="containsText" dxfId="2" priority="8023" operator="containsText" text="Yes">
      <formula>NOT(ISERROR(SEARCH(("Yes"),(P819))))</formula>
    </cfRule>
  </conditionalFormatting>
  <conditionalFormatting sqref="P819 P833:P834 P865:P866 P877 P880 P883">
    <cfRule type="containsText" dxfId="9" priority="8024" operator="containsText" text="No">
      <formula>NOT(ISERROR(SEARCH(("No"),(P819))))</formula>
    </cfRule>
  </conditionalFormatting>
  <conditionalFormatting sqref="P819 P833:P834 P865:P866 P877 P880 P883">
    <cfRule type="containsText" dxfId="2" priority="8025" operator="containsText" text="Yes">
      <formula>NOT(ISERROR(SEARCH(("Yes"),(P819))))</formula>
    </cfRule>
  </conditionalFormatting>
  <conditionalFormatting sqref="P819 P833:P834 P865:P866 P877 P880 P883">
    <cfRule type="containsText" dxfId="9" priority="8026" operator="containsText" text="No">
      <formula>NOT(ISERROR(SEARCH(("No"),(P819))))</formula>
    </cfRule>
  </conditionalFormatting>
  <conditionalFormatting sqref="P819 P833:P834 P865:P866 P877 P880 P883">
    <cfRule type="containsText" dxfId="2" priority="8027" operator="containsText" text="Yes">
      <formula>NOT(ISERROR(SEARCH(("Yes"),(P819))))</formula>
    </cfRule>
  </conditionalFormatting>
  <conditionalFormatting sqref="P819 P833:P834 P865:P866 P877 P880 P883">
    <cfRule type="containsText" dxfId="9" priority="8028" operator="containsText" text="No">
      <formula>NOT(ISERROR(SEARCH(("No"),(P819))))</formula>
    </cfRule>
  </conditionalFormatting>
  <conditionalFormatting sqref="P819 P833:P834 P865:P866 P877 P880 P883">
    <cfRule type="containsText" dxfId="2" priority="8029" operator="containsText" text="Yes">
      <formula>NOT(ISERROR(SEARCH(("Yes"),(P819))))</formula>
    </cfRule>
  </conditionalFormatting>
  <conditionalFormatting sqref="P819 P833:P834 P865:P866 P877 P880 P883">
    <cfRule type="containsText" dxfId="9" priority="8030" operator="containsText" text="No">
      <formula>NOT(ISERROR(SEARCH(("No"),(P819))))</formula>
    </cfRule>
  </conditionalFormatting>
  <conditionalFormatting sqref="P819 P833:P834 P865:P866 P877 P880 P883">
    <cfRule type="containsText" dxfId="2" priority="8031" operator="containsText" text="Yes">
      <formula>NOT(ISERROR(SEARCH(("Yes"),(P819))))</formula>
    </cfRule>
  </conditionalFormatting>
  <conditionalFormatting sqref="P819 P833:P834 P865:P866 P877 P880 P883">
    <cfRule type="containsText" dxfId="9" priority="8032" operator="containsText" text="No">
      <formula>NOT(ISERROR(SEARCH(("No"),(P819))))</formula>
    </cfRule>
  </conditionalFormatting>
  <conditionalFormatting sqref="P819 P833:P834 P865:P866 P877 P880 P883">
    <cfRule type="containsText" dxfId="2" priority="8033" operator="containsText" text="Yes">
      <formula>NOT(ISERROR(SEARCH(("Yes"),(P819))))</formula>
    </cfRule>
  </conditionalFormatting>
  <conditionalFormatting sqref="P819 P833:P834 P865:P866 P877 P880 P883">
    <cfRule type="containsText" dxfId="9" priority="8034" operator="containsText" text="No">
      <formula>NOT(ISERROR(SEARCH(("No"),(P819))))</formula>
    </cfRule>
  </conditionalFormatting>
  <conditionalFormatting sqref="P819 P833:P834 P865:P866 P877 P880 P883">
    <cfRule type="containsText" dxfId="2" priority="8035" operator="containsText" text="Yes">
      <formula>NOT(ISERROR(SEARCH(("Yes"),(P819))))</formula>
    </cfRule>
  </conditionalFormatting>
  <conditionalFormatting sqref="P819 P833:P834 P865:P866 P877 P880 P883">
    <cfRule type="containsText" dxfId="9" priority="8036" operator="containsText" text="No">
      <formula>NOT(ISERROR(SEARCH(("No"),(P819))))</formula>
    </cfRule>
  </conditionalFormatting>
  <conditionalFormatting sqref="P819 P833:P834 P865:P866 P877 P880 P883">
    <cfRule type="containsText" dxfId="2" priority="8037" operator="containsText" text="Yes">
      <formula>NOT(ISERROR(SEARCH(("Yes"),(P819))))</formula>
    </cfRule>
  </conditionalFormatting>
  <conditionalFormatting sqref="P819 P833:P834 P865:P866 P877 P880 P883">
    <cfRule type="containsText" dxfId="9" priority="8038" operator="containsText" text="No">
      <formula>NOT(ISERROR(SEARCH(("No"),(P819))))</formula>
    </cfRule>
  </conditionalFormatting>
  <conditionalFormatting sqref="P819 P833:P834 P865:P866 P877 P880 P883">
    <cfRule type="containsText" dxfId="2" priority="8039" operator="containsText" text="Yes">
      <formula>NOT(ISERROR(SEARCH(("Yes"),(P819))))</formula>
    </cfRule>
  </conditionalFormatting>
  <conditionalFormatting sqref="P819 P833:P834 P865:P866 P877 P880 P883">
    <cfRule type="containsText" dxfId="2" priority="8040" operator="containsText" text="Yes">
      <formula>NOT(ISERROR(SEARCH(("Yes"),(P819))))</formula>
    </cfRule>
  </conditionalFormatting>
  <conditionalFormatting sqref="P819 P833:P834 P865:P866 P877 P880 P883">
    <cfRule type="containsText" dxfId="9" priority="8041" operator="containsText" text="No">
      <formula>NOT(ISERROR(SEARCH(("No"),(P819))))</formula>
    </cfRule>
  </conditionalFormatting>
  <conditionalFormatting sqref="P819 P833:P834 P865:P866 P877 P880 P883">
    <cfRule type="containsText" dxfId="2" priority="8042" operator="containsText" text="Yes">
      <formula>NOT(ISERROR(SEARCH(("Yes"),(P819))))</formula>
    </cfRule>
  </conditionalFormatting>
  <conditionalFormatting sqref="P820:P832">
    <cfRule type="containsText" dxfId="2" priority="8043" operator="containsText" text="Yes">
      <formula>NOT(ISERROR(SEARCH(("Yes"),(P820))))</formula>
    </cfRule>
  </conditionalFormatting>
  <conditionalFormatting sqref="P820:P832">
    <cfRule type="containsText" dxfId="9" priority="8044" operator="containsText" text="No">
      <formula>NOT(ISERROR(SEARCH(("No"),(P820))))</formula>
    </cfRule>
  </conditionalFormatting>
  <conditionalFormatting sqref="P820:P832">
    <cfRule type="containsText" dxfId="2" priority="8045" operator="containsText" text="Yes">
      <formula>NOT(ISERROR(SEARCH(("Yes"),(P820))))</formula>
    </cfRule>
  </conditionalFormatting>
  <conditionalFormatting sqref="P820:P832">
    <cfRule type="containsText" dxfId="9" priority="8046" operator="containsText" text="No">
      <formula>NOT(ISERROR(SEARCH(("No"),(P820))))</formula>
    </cfRule>
  </conditionalFormatting>
  <conditionalFormatting sqref="P820:P832">
    <cfRule type="containsText" dxfId="2" priority="8047" operator="containsText" text="Yes">
      <formula>NOT(ISERROR(SEARCH(("Yes"),(P820))))</formula>
    </cfRule>
  </conditionalFormatting>
  <conditionalFormatting sqref="P820:P832">
    <cfRule type="containsText" dxfId="9" priority="8048" operator="containsText" text="No">
      <formula>NOT(ISERROR(SEARCH(("No"),(P820))))</formula>
    </cfRule>
  </conditionalFormatting>
  <conditionalFormatting sqref="P820:P832">
    <cfRule type="containsText" dxfId="2" priority="8049" operator="containsText" text="Yes">
      <formula>NOT(ISERROR(SEARCH(("Yes"),(P820))))</formula>
    </cfRule>
  </conditionalFormatting>
  <conditionalFormatting sqref="P820:P832">
    <cfRule type="containsText" dxfId="9" priority="8050" operator="containsText" text="No">
      <formula>NOT(ISERROR(SEARCH(("No"),(P820))))</formula>
    </cfRule>
  </conditionalFormatting>
  <conditionalFormatting sqref="P820:P832">
    <cfRule type="containsText" dxfId="2" priority="8051" operator="containsText" text="Yes">
      <formula>NOT(ISERROR(SEARCH(("Yes"),(P820))))</formula>
    </cfRule>
  </conditionalFormatting>
  <conditionalFormatting sqref="P820:P832">
    <cfRule type="containsText" dxfId="9" priority="8052" operator="containsText" text="No">
      <formula>NOT(ISERROR(SEARCH(("No"),(P820))))</formula>
    </cfRule>
  </conditionalFormatting>
  <conditionalFormatting sqref="P820:P832">
    <cfRule type="containsText" dxfId="2" priority="8053" operator="containsText" text="Yes">
      <formula>NOT(ISERROR(SEARCH(("Yes"),(P820))))</formula>
    </cfRule>
  </conditionalFormatting>
  <conditionalFormatting sqref="P820:P832">
    <cfRule type="containsText" dxfId="9" priority="8054" operator="containsText" text="No">
      <formula>NOT(ISERROR(SEARCH(("No"),(P820))))</formula>
    </cfRule>
  </conditionalFormatting>
  <conditionalFormatting sqref="P820:P832">
    <cfRule type="containsText" dxfId="2" priority="8055" operator="containsText" text="Yes">
      <formula>NOT(ISERROR(SEARCH(("Yes"),(P820))))</formula>
    </cfRule>
  </conditionalFormatting>
  <conditionalFormatting sqref="P820:P832">
    <cfRule type="containsText" dxfId="9" priority="8056" operator="containsText" text="No">
      <formula>NOT(ISERROR(SEARCH(("No"),(P820))))</formula>
    </cfRule>
  </conditionalFormatting>
  <conditionalFormatting sqref="P820:P832">
    <cfRule type="containsText" dxfId="2" priority="8057" operator="containsText" text="Yes">
      <formula>NOT(ISERROR(SEARCH(("Yes"),(P820))))</formula>
    </cfRule>
  </conditionalFormatting>
  <conditionalFormatting sqref="P820:P832">
    <cfRule type="containsText" dxfId="9" priority="8058" operator="containsText" text="No">
      <formula>NOT(ISERROR(SEARCH(("No"),(P820))))</formula>
    </cfRule>
  </conditionalFormatting>
  <conditionalFormatting sqref="P820:P832">
    <cfRule type="containsText" dxfId="2" priority="8059" operator="containsText" text="Yes">
      <formula>NOT(ISERROR(SEARCH(("Yes"),(P820))))</formula>
    </cfRule>
  </conditionalFormatting>
  <conditionalFormatting sqref="P820:P832">
    <cfRule type="containsText" dxfId="9" priority="8060" operator="containsText" text="No">
      <formula>NOT(ISERROR(SEARCH(("No"),(P820))))</formula>
    </cfRule>
  </conditionalFormatting>
  <conditionalFormatting sqref="P820:P832">
    <cfRule type="containsText" dxfId="2" priority="8061" operator="containsText" text="Yes">
      <formula>NOT(ISERROR(SEARCH(("Yes"),(P820))))</formula>
    </cfRule>
  </conditionalFormatting>
  <conditionalFormatting sqref="P820:P832">
    <cfRule type="containsText" dxfId="9" priority="8062" operator="containsText" text="No">
      <formula>NOT(ISERROR(SEARCH(("No"),(P820))))</formula>
    </cfRule>
  </conditionalFormatting>
  <conditionalFormatting sqref="P820:P832">
    <cfRule type="containsText" dxfId="2" priority="8063" operator="containsText" text="Yes">
      <formula>NOT(ISERROR(SEARCH(("Yes"),(P820))))</formula>
    </cfRule>
  </conditionalFormatting>
  <conditionalFormatting sqref="P820:P832">
    <cfRule type="containsText" dxfId="9" priority="8064" operator="containsText" text="No">
      <formula>NOT(ISERROR(SEARCH(("No"),(P820))))</formula>
    </cfRule>
  </conditionalFormatting>
  <conditionalFormatting sqref="P820:P832">
    <cfRule type="containsText" dxfId="2" priority="8065" operator="containsText" text="Yes">
      <formula>NOT(ISERROR(SEARCH(("Yes"),(P820))))</formula>
    </cfRule>
  </conditionalFormatting>
  <conditionalFormatting sqref="P820:P832">
    <cfRule type="containsText" dxfId="9" priority="8066" operator="containsText" text="No">
      <formula>NOT(ISERROR(SEARCH(("No"),(P820))))</formula>
    </cfRule>
  </conditionalFormatting>
  <conditionalFormatting sqref="P820:P832">
    <cfRule type="containsText" dxfId="2" priority="8067" operator="containsText" text="Yes">
      <formula>NOT(ISERROR(SEARCH(("Yes"),(P820))))</formula>
    </cfRule>
  </conditionalFormatting>
  <conditionalFormatting sqref="P820:P832">
    <cfRule type="containsText" dxfId="9" priority="8068" operator="containsText" text="No">
      <formula>NOT(ISERROR(SEARCH(("No"),(P820))))</formula>
    </cfRule>
  </conditionalFormatting>
  <conditionalFormatting sqref="P820:P832">
    <cfRule type="containsText" dxfId="2" priority="8069" operator="containsText" text="Yes">
      <formula>NOT(ISERROR(SEARCH(("Yes"),(P820))))</formula>
    </cfRule>
  </conditionalFormatting>
  <conditionalFormatting sqref="P820:P832">
    <cfRule type="containsText" dxfId="9" priority="8070" operator="containsText" text="No">
      <formula>NOT(ISERROR(SEARCH(("No"),(P820))))</formula>
    </cfRule>
  </conditionalFormatting>
  <conditionalFormatting sqref="P820:P832">
    <cfRule type="containsText" dxfId="2" priority="8071" operator="containsText" text="Yes">
      <formula>NOT(ISERROR(SEARCH(("Yes"),(P820))))</formula>
    </cfRule>
  </conditionalFormatting>
  <conditionalFormatting sqref="P820:P832">
    <cfRule type="containsText" dxfId="9" priority="8072" operator="containsText" text="No">
      <formula>NOT(ISERROR(SEARCH(("No"),(P820))))</formula>
    </cfRule>
  </conditionalFormatting>
  <conditionalFormatting sqref="P820:P832">
    <cfRule type="containsText" dxfId="2" priority="8073" operator="containsText" text="Yes">
      <formula>NOT(ISERROR(SEARCH(("Yes"),(P820))))</formula>
    </cfRule>
  </conditionalFormatting>
  <conditionalFormatting sqref="P820:P832">
    <cfRule type="containsText" dxfId="9" priority="8074" operator="containsText" text="No">
      <formula>NOT(ISERROR(SEARCH(("No"),(P820))))</formula>
    </cfRule>
  </conditionalFormatting>
  <conditionalFormatting sqref="P820:P832">
    <cfRule type="containsText" dxfId="2" priority="8075" operator="containsText" text="Yes">
      <formula>NOT(ISERROR(SEARCH(("Yes"),(P820))))</formula>
    </cfRule>
  </conditionalFormatting>
  <conditionalFormatting sqref="P820:P832">
    <cfRule type="containsText" dxfId="9" priority="8076" operator="containsText" text="No">
      <formula>NOT(ISERROR(SEARCH(("No"),(P820))))</formula>
    </cfRule>
  </conditionalFormatting>
  <conditionalFormatting sqref="P820:P832">
    <cfRule type="containsText" dxfId="2" priority="8077" operator="containsText" text="Yes">
      <formula>NOT(ISERROR(SEARCH(("Yes"),(P820))))</formula>
    </cfRule>
  </conditionalFormatting>
  <conditionalFormatting sqref="P820:P832">
    <cfRule type="containsText" dxfId="9" priority="8078" operator="containsText" text="No">
      <formula>NOT(ISERROR(SEARCH(("No"),(P820))))</formula>
    </cfRule>
  </conditionalFormatting>
  <conditionalFormatting sqref="P820:P832">
    <cfRule type="containsText" dxfId="2" priority="8079" operator="containsText" text="Yes">
      <formula>NOT(ISERROR(SEARCH(("Yes"),(P820))))</formula>
    </cfRule>
  </conditionalFormatting>
  <conditionalFormatting sqref="P820:P832">
    <cfRule type="containsText" dxfId="9" priority="8080" operator="containsText" text="No">
      <formula>NOT(ISERROR(SEARCH(("No"),(P820))))</formula>
    </cfRule>
  </conditionalFormatting>
  <conditionalFormatting sqref="P820:P832">
    <cfRule type="containsText" dxfId="2" priority="8081" operator="containsText" text="Yes">
      <formula>NOT(ISERROR(SEARCH(("Yes"),(P820))))</formula>
    </cfRule>
  </conditionalFormatting>
  <conditionalFormatting sqref="P820:P832">
    <cfRule type="containsText" dxfId="9" priority="8082" operator="containsText" text="No">
      <formula>NOT(ISERROR(SEARCH(("No"),(P820))))</formula>
    </cfRule>
  </conditionalFormatting>
  <conditionalFormatting sqref="P820:P832">
    <cfRule type="containsText" dxfId="2" priority="8083" operator="containsText" text="Yes">
      <formula>NOT(ISERROR(SEARCH(("Yes"),(P820))))</formula>
    </cfRule>
  </conditionalFormatting>
  <conditionalFormatting sqref="P820:P832">
    <cfRule type="containsText" dxfId="9" priority="8084" operator="containsText" text="No">
      <formula>NOT(ISERROR(SEARCH(("No"),(P820))))</formula>
    </cfRule>
  </conditionalFormatting>
  <conditionalFormatting sqref="P820:P832">
    <cfRule type="containsText" dxfId="2" priority="8085" operator="containsText" text="Yes">
      <formula>NOT(ISERROR(SEARCH(("Yes"),(P820))))</formula>
    </cfRule>
  </conditionalFormatting>
  <conditionalFormatting sqref="P820:P832">
    <cfRule type="containsText" dxfId="9" priority="8086" operator="containsText" text="No">
      <formula>NOT(ISERROR(SEARCH(("No"),(P820))))</formula>
    </cfRule>
  </conditionalFormatting>
  <conditionalFormatting sqref="P820:P832">
    <cfRule type="containsText" dxfId="2" priority="8087" operator="containsText" text="Yes">
      <formula>NOT(ISERROR(SEARCH(("Yes"),(P820))))</formula>
    </cfRule>
  </conditionalFormatting>
  <conditionalFormatting sqref="P820:P832">
    <cfRule type="containsText" dxfId="9" priority="8088" operator="containsText" text="No">
      <formula>NOT(ISERROR(SEARCH(("No"),(P820))))</formula>
    </cfRule>
  </conditionalFormatting>
  <conditionalFormatting sqref="P820:P832">
    <cfRule type="containsText" dxfId="2" priority="8089" operator="containsText" text="Yes">
      <formula>NOT(ISERROR(SEARCH(("Yes"),(P820))))</formula>
    </cfRule>
  </conditionalFormatting>
  <conditionalFormatting sqref="P820:P832">
    <cfRule type="containsText" dxfId="9" priority="8090" operator="containsText" text="No">
      <formula>NOT(ISERROR(SEARCH(("No"),(P820))))</formula>
    </cfRule>
  </conditionalFormatting>
  <conditionalFormatting sqref="P820:P832">
    <cfRule type="containsText" dxfId="2" priority="8091" operator="containsText" text="Yes">
      <formula>NOT(ISERROR(SEARCH(("Yes"),(P820))))</formula>
    </cfRule>
  </conditionalFormatting>
  <conditionalFormatting sqref="P820:P832">
    <cfRule type="containsText" dxfId="9" priority="8092" operator="containsText" text="No">
      <formula>NOT(ISERROR(SEARCH(("No"),(P820))))</formula>
    </cfRule>
  </conditionalFormatting>
  <conditionalFormatting sqref="P820:P832">
    <cfRule type="containsText" dxfId="2" priority="8093" operator="containsText" text="Yes">
      <formula>NOT(ISERROR(SEARCH(("Yes"),(P820))))</formula>
    </cfRule>
  </conditionalFormatting>
  <conditionalFormatting sqref="P820:P832">
    <cfRule type="containsText" dxfId="9" priority="8094" operator="containsText" text="No">
      <formula>NOT(ISERROR(SEARCH(("No"),(P820))))</formula>
    </cfRule>
  </conditionalFormatting>
  <conditionalFormatting sqref="P820:P832">
    <cfRule type="containsText" dxfId="2" priority="8095" operator="containsText" text="Yes">
      <formula>NOT(ISERROR(SEARCH(("Yes"),(P820))))</formula>
    </cfRule>
  </conditionalFormatting>
  <conditionalFormatting sqref="P820:P832">
    <cfRule type="containsText" dxfId="9" priority="8096" operator="containsText" text="No">
      <formula>NOT(ISERROR(SEARCH(("No"),(P820))))</formula>
    </cfRule>
  </conditionalFormatting>
  <conditionalFormatting sqref="P820:P832">
    <cfRule type="containsText" dxfId="2" priority="8097" operator="containsText" text="Yes">
      <formula>NOT(ISERROR(SEARCH(("Yes"),(P820))))</formula>
    </cfRule>
  </conditionalFormatting>
  <conditionalFormatting sqref="P820:P832">
    <cfRule type="containsText" dxfId="9" priority="8098" operator="containsText" text="No">
      <formula>NOT(ISERROR(SEARCH(("No"),(P820))))</formula>
    </cfRule>
  </conditionalFormatting>
  <conditionalFormatting sqref="P820:P832">
    <cfRule type="containsText" dxfId="2" priority="8099" operator="containsText" text="Yes">
      <formula>NOT(ISERROR(SEARCH(("Yes"),(P820))))</formula>
    </cfRule>
  </conditionalFormatting>
  <conditionalFormatting sqref="P820:P832">
    <cfRule type="containsText" dxfId="9" priority="8100" operator="containsText" text="No">
      <formula>NOT(ISERROR(SEARCH(("No"),(P820))))</formula>
    </cfRule>
  </conditionalFormatting>
  <conditionalFormatting sqref="P820:P832">
    <cfRule type="containsText" dxfId="2" priority="8101" operator="containsText" text="Yes">
      <formula>NOT(ISERROR(SEARCH(("Yes"),(P820))))</formula>
    </cfRule>
  </conditionalFormatting>
  <conditionalFormatting sqref="P820:P832">
    <cfRule type="containsText" dxfId="9" priority="8102" operator="containsText" text="No">
      <formula>NOT(ISERROR(SEARCH(("No"),(P820))))</formula>
    </cfRule>
  </conditionalFormatting>
  <conditionalFormatting sqref="P820:P832">
    <cfRule type="containsText" dxfId="2" priority="8103" operator="containsText" text="Yes">
      <formula>NOT(ISERROR(SEARCH(("Yes"),(P820))))</formula>
    </cfRule>
  </conditionalFormatting>
  <conditionalFormatting sqref="P820:P832">
    <cfRule type="containsText" dxfId="9" priority="8104" operator="containsText" text="No">
      <formula>NOT(ISERROR(SEARCH(("No"),(P820))))</formula>
    </cfRule>
  </conditionalFormatting>
  <conditionalFormatting sqref="P820:P832">
    <cfRule type="containsText" dxfId="2" priority="8105" operator="containsText" text="Yes">
      <formula>NOT(ISERROR(SEARCH(("Yes"),(P820))))</formula>
    </cfRule>
  </conditionalFormatting>
  <conditionalFormatting sqref="P820:P832">
    <cfRule type="containsText" dxfId="9" priority="8106" operator="containsText" text="No">
      <formula>NOT(ISERROR(SEARCH(("No"),(P820))))</formula>
    </cfRule>
  </conditionalFormatting>
  <conditionalFormatting sqref="P820:P832">
    <cfRule type="containsText" dxfId="2" priority="8107" operator="containsText" text="Yes">
      <formula>NOT(ISERROR(SEARCH(("Yes"),(P820))))</formula>
    </cfRule>
  </conditionalFormatting>
  <conditionalFormatting sqref="P820:P832">
    <cfRule type="containsText" dxfId="9" priority="8108" operator="containsText" text="No">
      <formula>NOT(ISERROR(SEARCH(("No"),(P820))))</formula>
    </cfRule>
  </conditionalFormatting>
  <conditionalFormatting sqref="P820:P832">
    <cfRule type="containsText" dxfId="2" priority="8109" operator="containsText" text="Yes">
      <formula>NOT(ISERROR(SEARCH(("Yes"),(P820))))</formula>
    </cfRule>
  </conditionalFormatting>
  <conditionalFormatting sqref="P820:P832">
    <cfRule type="containsText" dxfId="9" priority="8110" operator="containsText" text="No">
      <formula>NOT(ISERROR(SEARCH(("No"),(P820))))</formula>
    </cfRule>
  </conditionalFormatting>
  <conditionalFormatting sqref="P820:P832">
    <cfRule type="containsText" dxfId="2" priority="8111" operator="containsText" text="Yes">
      <formula>NOT(ISERROR(SEARCH(("Yes"),(P820))))</formula>
    </cfRule>
  </conditionalFormatting>
  <conditionalFormatting sqref="P820:P832">
    <cfRule type="containsText" dxfId="9" priority="8112" operator="containsText" text="No">
      <formula>NOT(ISERROR(SEARCH(("No"),(P820))))</formula>
    </cfRule>
  </conditionalFormatting>
  <conditionalFormatting sqref="P820:P832">
    <cfRule type="containsText" dxfId="2" priority="8113" operator="containsText" text="Yes">
      <formula>NOT(ISERROR(SEARCH(("Yes"),(P820))))</formula>
    </cfRule>
  </conditionalFormatting>
  <conditionalFormatting sqref="P820:P832">
    <cfRule type="containsText" dxfId="9" priority="8114" operator="containsText" text="No">
      <formula>NOT(ISERROR(SEARCH(("No"),(P820))))</formula>
    </cfRule>
  </conditionalFormatting>
  <conditionalFormatting sqref="P820:P832">
    <cfRule type="containsText" dxfId="2" priority="8115" operator="containsText" text="Yes">
      <formula>NOT(ISERROR(SEARCH(("Yes"),(P820))))</formula>
    </cfRule>
  </conditionalFormatting>
  <conditionalFormatting sqref="P820:P832">
    <cfRule type="containsText" dxfId="9" priority="8116" operator="containsText" text="No">
      <formula>NOT(ISERROR(SEARCH(("No"),(P820))))</formula>
    </cfRule>
  </conditionalFormatting>
  <conditionalFormatting sqref="P820:P832">
    <cfRule type="containsText" dxfId="2" priority="8117" operator="containsText" text="Yes">
      <formula>NOT(ISERROR(SEARCH(("Yes"),(P820))))</formula>
    </cfRule>
  </conditionalFormatting>
  <conditionalFormatting sqref="P820:P832">
    <cfRule type="containsText" dxfId="9" priority="8118" operator="containsText" text="No">
      <formula>NOT(ISERROR(SEARCH(("No"),(P820))))</formula>
    </cfRule>
  </conditionalFormatting>
  <conditionalFormatting sqref="P820:P832">
    <cfRule type="containsText" dxfId="2" priority="8119" operator="containsText" text="Yes">
      <formula>NOT(ISERROR(SEARCH(("Yes"),(P820))))</formula>
    </cfRule>
  </conditionalFormatting>
  <conditionalFormatting sqref="P820:P832">
    <cfRule type="containsText" dxfId="9" priority="8120" operator="containsText" text="No">
      <formula>NOT(ISERROR(SEARCH(("No"),(P820))))</formula>
    </cfRule>
  </conditionalFormatting>
  <conditionalFormatting sqref="P820:P832">
    <cfRule type="containsText" dxfId="2" priority="8121" operator="containsText" text="Yes">
      <formula>NOT(ISERROR(SEARCH(("Yes"),(P820))))</formula>
    </cfRule>
  </conditionalFormatting>
  <conditionalFormatting sqref="P820:P832">
    <cfRule type="containsText" dxfId="9" priority="8122" operator="containsText" text="No">
      <formula>NOT(ISERROR(SEARCH(("No"),(P820))))</formula>
    </cfRule>
  </conditionalFormatting>
  <conditionalFormatting sqref="P820:P832">
    <cfRule type="containsText" dxfId="2" priority="8123" operator="containsText" text="Yes">
      <formula>NOT(ISERROR(SEARCH(("Yes"),(P820))))</formula>
    </cfRule>
  </conditionalFormatting>
  <conditionalFormatting sqref="P820:P832">
    <cfRule type="containsText" dxfId="9" priority="8124" operator="containsText" text="No">
      <formula>NOT(ISERROR(SEARCH(("No"),(P820))))</formula>
    </cfRule>
  </conditionalFormatting>
  <conditionalFormatting sqref="P820:P832">
    <cfRule type="containsText" dxfId="2" priority="8125" operator="containsText" text="Yes">
      <formula>NOT(ISERROR(SEARCH(("Yes"),(P820))))</formula>
    </cfRule>
  </conditionalFormatting>
  <conditionalFormatting sqref="P820:P832">
    <cfRule type="containsText" dxfId="9" priority="8126" operator="containsText" text="No">
      <formula>NOT(ISERROR(SEARCH(("No"),(P820))))</formula>
    </cfRule>
  </conditionalFormatting>
  <conditionalFormatting sqref="P820:P832">
    <cfRule type="containsText" dxfId="2" priority="8127" operator="containsText" text="Yes">
      <formula>NOT(ISERROR(SEARCH(("Yes"),(P820))))</formula>
    </cfRule>
  </conditionalFormatting>
  <conditionalFormatting sqref="P820:P832">
    <cfRule type="containsText" dxfId="9" priority="8128" operator="containsText" text="No">
      <formula>NOT(ISERROR(SEARCH(("No"),(P820))))</formula>
    </cfRule>
  </conditionalFormatting>
  <conditionalFormatting sqref="P820:P832">
    <cfRule type="containsText" dxfId="2" priority="8129" operator="containsText" text="Yes">
      <formula>NOT(ISERROR(SEARCH(("Yes"),(P820))))</formula>
    </cfRule>
  </conditionalFormatting>
  <conditionalFormatting sqref="P820:P832">
    <cfRule type="containsText" dxfId="9" priority="8130" operator="containsText" text="No">
      <formula>NOT(ISERROR(SEARCH(("No"),(P820))))</formula>
    </cfRule>
  </conditionalFormatting>
  <conditionalFormatting sqref="P820:P832">
    <cfRule type="containsText" dxfId="2" priority="8131" operator="containsText" text="Yes">
      <formula>NOT(ISERROR(SEARCH(("Yes"),(P820))))</formula>
    </cfRule>
  </conditionalFormatting>
  <conditionalFormatting sqref="P820:P832">
    <cfRule type="containsText" dxfId="2" priority="8132" operator="containsText" text="Yes">
      <formula>NOT(ISERROR(SEARCH(("Yes"),(P820))))</formula>
    </cfRule>
  </conditionalFormatting>
  <conditionalFormatting sqref="P820:P832">
    <cfRule type="containsText" dxfId="9" priority="8133" operator="containsText" text="No">
      <formula>NOT(ISERROR(SEARCH(("No"),(P820))))</formula>
    </cfRule>
  </conditionalFormatting>
  <conditionalFormatting sqref="P820:P832">
    <cfRule type="containsText" dxfId="2" priority="8134" operator="containsText" text="Yes">
      <formula>NOT(ISERROR(SEARCH(("Yes"),(P820))))</formula>
    </cfRule>
  </conditionalFormatting>
  <conditionalFormatting sqref="P835:P844">
    <cfRule type="containsText" dxfId="2" priority="8135" operator="containsText" text="Yes">
      <formula>NOT(ISERROR(SEARCH(("Yes"),(P835))))</formula>
    </cfRule>
  </conditionalFormatting>
  <conditionalFormatting sqref="P835:P844">
    <cfRule type="containsText" dxfId="9" priority="8136" operator="containsText" text="No">
      <formula>NOT(ISERROR(SEARCH(("No"),(P835))))</formula>
    </cfRule>
  </conditionalFormatting>
  <conditionalFormatting sqref="P835:P844">
    <cfRule type="containsText" dxfId="2" priority="8137" operator="containsText" text="Yes">
      <formula>NOT(ISERROR(SEARCH(("Yes"),(P835))))</formula>
    </cfRule>
  </conditionalFormatting>
  <conditionalFormatting sqref="P835:P844">
    <cfRule type="containsText" dxfId="9" priority="8138" operator="containsText" text="No">
      <formula>NOT(ISERROR(SEARCH(("No"),(P835))))</formula>
    </cfRule>
  </conditionalFormatting>
  <conditionalFormatting sqref="P835:P844">
    <cfRule type="containsText" dxfId="2" priority="8139" operator="containsText" text="Yes">
      <formula>NOT(ISERROR(SEARCH(("Yes"),(P835))))</formula>
    </cfRule>
  </conditionalFormatting>
  <conditionalFormatting sqref="P835:P844">
    <cfRule type="containsText" dxfId="9" priority="8140" operator="containsText" text="No">
      <formula>NOT(ISERROR(SEARCH(("No"),(P835))))</formula>
    </cfRule>
  </conditionalFormatting>
  <conditionalFormatting sqref="P835:P844">
    <cfRule type="containsText" dxfId="2" priority="8141" operator="containsText" text="Yes">
      <formula>NOT(ISERROR(SEARCH(("Yes"),(P835))))</formula>
    </cfRule>
  </conditionalFormatting>
  <conditionalFormatting sqref="P835:P844">
    <cfRule type="containsText" dxfId="9" priority="8142" operator="containsText" text="No">
      <formula>NOT(ISERROR(SEARCH(("No"),(P835))))</formula>
    </cfRule>
  </conditionalFormatting>
  <conditionalFormatting sqref="P835:P844">
    <cfRule type="containsText" dxfId="2" priority="8143" operator="containsText" text="Yes">
      <formula>NOT(ISERROR(SEARCH(("Yes"),(P835))))</formula>
    </cfRule>
  </conditionalFormatting>
  <conditionalFormatting sqref="P835:P844">
    <cfRule type="containsText" dxfId="9" priority="8144" operator="containsText" text="No">
      <formula>NOT(ISERROR(SEARCH(("No"),(P835))))</formula>
    </cfRule>
  </conditionalFormatting>
  <conditionalFormatting sqref="P835:P844">
    <cfRule type="containsText" dxfId="2" priority="8145" operator="containsText" text="Yes">
      <formula>NOT(ISERROR(SEARCH(("Yes"),(P835))))</formula>
    </cfRule>
  </conditionalFormatting>
  <conditionalFormatting sqref="P835:P844">
    <cfRule type="containsText" dxfId="9" priority="8146" operator="containsText" text="No">
      <formula>NOT(ISERROR(SEARCH(("No"),(P835))))</formula>
    </cfRule>
  </conditionalFormatting>
  <conditionalFormatting sqref="P835:P844">
    <cfRule type="containsText" dxfId="2" priority="8147" operator="containsText" text="Yes">
      <formula>NOT(ISERROR(SEARCH(("Yes"),(P835))))</formula>
    </cfRule>
  </conditionalFormatting>
  <conditionalFormatting sqref="P835:P844">
    <cfRule type="containsText" dxfId="9" priority="8148" operator="containsText" text="No">
      <formula>NOT(ISERROR(SEARCH(("No"),(P835))))</formula>
    </cfRule>
  </conditionalFormatting>
  <conditionalFormatting sqref="P835:P844">
    <cfRule type="containsText" dxfId="2" priority="8149" operator="containsText" text="Yes">
      <formula>NOT(ISERROR(SEARCH(("Yes"),(P835))))</formula>
    </cfRule>
  </conditionalFormatting>
  <conditionalFormatting sqref="P835:P844">
    <cfRule type="containsText" dxfId="9" priority="8150" operator="containsText" text="No">
      <formula>NOT(ISERROR(SEARCH(("No"),(P835))))</formula>
    </cfRule>
  </conditionalFormatting>
  <conditionalFormatting sqref="P835:P844">
    <cfRule type="containsText" dxfId="2" priority="8151" operator="containsText" text="Yes">
      <formula>NOT(ISERROR(SEARCH(("Yes"),(P835))))</formula>
    </cfRule>
  </conditionalFormatting>
  <conditionalFormatting sqref="P835:P844">
    <cfRule type="containsText" dxfId="9" priority="8152" operator="containsText" text="No">
      <formula>NOT(ISERROR(SEARCH(("No"),(P835))))</formula>
    </cfRule>
  </conditionalFormatting>
  <conditionalFormatting sqref="P835:P844">
    <cfRule type="containsText" dxfId="2" priority="8153" operator="containsText" text="Yes">
      <formula>NOT(ISERROR(SEARCH(("Yes"),(P835))))</formula>
    </cfRule>
  </conditionalFormatting>
  <conditionalFormatting sqref="P835:P844">
    <cfRule type="containsText" dxfId="9" priority="8154" operator="containsText" text="No">
      <formula>NOT(ISERROR(SEARCH(("No"),(P835))))</formula>
    </cfRule>
  </conditionalFormatting>
  <conditionalFormatting sqref="P835:P844">
    <cfRule type="containsText" dxfId="2" priority="8155" operator="containsText" text="Yes">
      <formula>NOT(ISERROR(SEARCH(("Yes"),(P835))))</formula>
    </cfRule>
  </conditionalFormatting>
  <conditionalFormatting sqref="P835:P844">
    <cfRule type="containsText" dxfId="9" priority="8156" operator="containsText" text="No">
      <formula>NOT(ISERROR(SEARCH(("No"),(P835))))</formula>
    </cfRule>
  </conditionalFormatting>
  <conditionalFormatting sqref="P835:P844">
    <cfRule type="containsText" dxfId="2" priority="8157" operator="containsText" text="Yes">
      <formula>NOT(ISERROR(SEARCH(("Yes"),(P835))))</formula>
    </cfRule>
  </conditionalFormatting>
  <conditionalFormatting sqref="P835:P844">
    <cfRule type="containsText" dxfId="9" priority="8158" operator="containsText" text="No">
      <formula>NOT(ISERROR(SEARCH(("No"),(P835))))</formula>
    </cfRule>
  </conditionalFormatting>
  <conditionalFormatting sqref="P835:P844">
    <cfRule type="containsText" dxfId="2" priority="8159" operator="containsText" text="Yes">
      <formula>NOT(ISERROR(SEARCH(("Yes"),(P835))))</formula>
    </cfRule>
  </conditionalFormatting>
  <conditionalFormatting sqref="P835:P844">
    <cfRule type="containsText" dxfId="9" priority="8160" operator="containsText" text="No">
      <formula>NOT(ISERROR(SEARCH(("No"),(P835))))</formula>
    </cfRule>
  </conditionalFormatting>
  <conditionalFormatting sqref="P835:P844">
    <cfRule type="containsText" dxfId="2" priority="8161" operator="containsText" text="Yes">
      <formula>NOT(ISERROR(SEARCH(("Yes"),(P835))))</formula>
    </cfRule>
  </conditionalFormatting>
  <conditionalFormatting sqref="P835:P844">
    <cfRule type="containsText" dxfId="9" priority="8162" operator="containsText" text="No">
      <formula>NOT(ISERROR(SEARCH(("No"),(P835))))</formula>
    </cfRule>
  </conditionalFormatting>
  <conditionalFormatting sqref="P835:P844">
    <cfRule type="containsText" dxfId="2" priority="8163" operator="containsText" text="Yes">
      <formula>NOT(ISERROR(SEARCH(("Yes"),(P835))))</formula>
    </cfRule>
  </conditionalFormatting>
  <conditionalFormatting sqref="P835:P844">
    <cfRule type="containsText" dxfId="9" priority="8164" operator="containsText" text="No">
      <formula>NOT(ISERROR(SEARCH(("No"),(P835))))</formula>
    </cfRule>
  </conditionalFormatting>
  <conditionalFormatting sqref="P835:P844">
    <cfRule type="containsText" dxfId="2" priority="8165" operator="containsText" text="Yes">
      <formula>NOT(ISERROR(SEARCH(("Yes"),(P835))))</formula>
    </cfRule>
  </conditionalFormatting>
  <conditionalFormatting sqref="P835:P844">
    <cfRule type="containsText" dxfId="9" priority="8166" operator="containsText" text="No">
      <formula>NOT(ISERROR(SEARCH(("No"),(P835))))</formula>
    </cfRule>
  </conditionalFormatting>
  <conditionalFormatting sqref="P835:P844">
    <cfRule type="containsText" dxfId="2" priority="8167" operator="containsText" text="Yes">
      <formula>NOT(ISERROR(SEARCH(("Yes"),(P835))))</formula>
    </cfRule>
  </conditionalFormatting>
  <conditionalFormatting sqref="P835:P844">
    <cfRule type="containsText" dxfId="9" priority="8168" operator="containsText" text="No">
      <formula>NOT(ISERROR(SEARCH(("No"),(P835))))</formula>
    </cfRule>
  </conditionalFormatting>
  <conditionalFormatting sqref="P835:P844">
    <cfRule type="containsText" dxfId="2" priority="8169" operator="containsText" text="Yes">
      <formula>NOT(ISERROR(SEARCH(("Yes"),(P835))))</formula>
    </cfRule>
  </conditionalFormatting>
  <conditionalFormatting sqref="P835:P844">
    <cfRule type="containsText" dxfId="9" priority="8170" operator="containsText" text="No">
      <formula>NOT(ISERROR(SEARCH(("No"),(P835))))</formula>
    </cfRule>
  </conditionalFormatting>
  <conditionalFormatting sqref="P835:P844">
    <cfRule type="containsText" dxfId="2" priority="8171" operator="containsText" text="Yes">
      <formula>NOT(ISERROR(SEARCH(("Yes"),(P835))))</formula>
    </cfRule>
  </conditionalFormatting>
  <conditionalFormatting sqref="P835:P844">
    <cfRule type="containsText" dxfId="9" priority="8172" operator="containsText" text="No">
      <formula>NOT(ISERROR(SEARCH(("No"),(P835))))</formula>
    </cfRule>
  </conditionalFormatting>
  <conditionalFormatting sqref="P835:P844">
    <cfRule type="containsText" dxfId="2" priority="8173" operator="containsText" text="Yes">
      <formula>NOT(ISERROR(SEARCH(("Yes"),(P835))))</formula>
    </cfRule>
  </conditionalFormatting>
  <conditionalFormatting sqref="P835:P844">
    <cfRule type="containsText" dxfId="9" priority="8174" operator="containsText" text="No">
      <formula>NOT(ISERROR(SEARCH(("No"),(P835))))</formula>
    </cfRule>
  </conditionalFormatting>
  <conditionalFormatting sqref="P835:P844">
    <cfRule type="containsText" dxfId="2" priority="8175" operator="containsText" text="Yes">
      <formula>NOT(ISERROR(SEARCH(("Yes"),(P835))))</formula>
    </cfRule>
  </conditionalFormatting>
  <conditionalFormatting sqref="P835:P844">
    <cfRule type="containsText" dxfId="9" priority="8176" operator="containsText" text="No">
      <formula>NOT(ISERROR(SEARCH(("No"),(P835))))</formula>
    </cfRule>
  </conditionalFormatting>
  <conditionalFormatting sqref="P835:P844">
    <cfRule type="containsText" dxfId="2" priority="8177" operator="containsText" text="Yes">
      <formula>NOT(ISERROR(SEARCH(("Yes"),(P835))))</formula>
    </cfRule>
  </conditionalFormatting>
  <conditionalFormatting sqref="P835:P844">
    <cfRule type="containsText" dxfId="9" priority="8178" operator="containsText" text="No">
      <formula>NOT(ISERROR(SEARCH(("No"),(P835))))</formula>
    </cfRule>
  </conditionalFormatting>
  <conditionalFormatting sqref="P835:P844">
    <cfRule type="containsText" dxfId="2" priority="8179" operator="containsText" text="Yes">
      <formula>NOT(ISERROR(SEARCH(("Yes"),(P835))))</formula>
    </cfRule>
  </conditionalFormatting>
  <conditionalFormatting sqref="P835:P844">
    <cfRule type="containsText" dxfId="9" priority="8180" operator="containsText" text="No">
      <formula>NOT(ISERROR(SEARCH(("No"),(P835))))</formula>
    </cfRule>
  </conditionalFormatting>
  <conditionalFormatting sqref="P835:P844">
    <cfRule type="containsText" dxfId="2" priority="8181" operator="containsText" text="Yes">
      <formula>NOT(ISERROR(SEARCH(("Yes"),(P835))))</formula>
    </cfRule>
  </conditionalFormatting>
  <conditionalFormatting sqref="P835:P844">
    <cfRule type="containsText" dxfId="9" priority="8182" operator="containsText" text="No">
      <formula>NOT(ISERROR(SEARCH(("No"),(P835))))</formula>
    </cfRule>
  </conditionalFormatting>
  <conditionalFormatting sqref="P835:P844">
    <cfRule type="containsText" dxfId="2" priority="8183" operator="containsText" text="Yes">
      <formula>NOT(ISERROR(SEARCH(("Yes"),(P835))))</formula>
    </cfRule>
  </conditionalFormatting>
  <conditionalFormatting sqref="P835:P844">
    <cfRule type="containsText" dxfId="9" priority="8184" operator="containsText" text="No">
      <formula>NOT(ISERROR(SEARCH(("No"),(P835))))</formula>
    </cfRule>
  </conditionalFormatting>
  <conditionalFormatting sqref="P835:P844">
    <cfRule type="containsText" dxfId="2" priority="8185" operator="containsText" text="Yes">
      <formula>NOT(ISERROR(SEARCH(("Yes"),(P835))))</formula>
    </cfRule>
  </conditionalFormatting>
  <conditionalFormatting sqref="P835:P844">
    <cfRule type="containsText" dxfId="9" priority="8186" operator="containsText" text="No">
      <formula>NOT(ISERROR(SEARCH(("No"),(P835))))</formula>
    </cfRule>
  </conditionalFormatting>
  <conditionalFormatting sqref="P835:P844">
    <cfRule type="containsText" dxfId="2" priority="8187" operator="containsText" text="Yes">
      <formula>NOT(ISERROR(SEARCH(("Yes"),(P835))))</formula>
    </cfRule>
  </conditionalFormatting>
  <conditionalFormatting sqref="P835:P844">
    <cfRule type="containsText" dxfId="9" priority="8188" operator="containsText" text="No">
      <formula>NOT(ISERROR(SEARCH(("No"),(P835))))</formula>
    </cfRule>
  </conditionalFormatting>
  <conditionalFormatting sqref="P835:P844">
    <cfRule type="containsText" dxfId="2" priority="8189" operator="containsText" text="Yes">
      <formula>NOT(ISERROR(SEARCH(("Yes"),(P835))))</formula>
    </cfRule>
  </conditionalFormatting>
  <conditionalFormatting sqref="P835:P844">
    <cfRule type="containsText" dxfId="9" priority="8190" operator="containsText" text="No">
      <formula>NOT(ISERROR(SEARCH(("No"),(P835))))</formula>
    </cfRule>
  </conditionalFormatting>
  <conditionalFormatting sqref="P835:P844">
    <cfRule type="containsText" dxfId="2" priority="8191" operator="containsText" text="Yes">
      <formula>NOT(ISERROR(SEARCH(("Yes"),(P835))))</formula>
    </cfRule>
  </conditionalFormatting>
  <conditionalFormatting sqref="P835:P844">
    <cfRule type="containsText" dxfId="9" priority="8192" operator="containsText" text="No">
      <formula>NOT(ISERROR(SEARCH(("No"),(P835))))</formula>
    </cfRule>
  </conditionalFormatting>
  <conditionalFormatting sqref="P835:P844">
    <cfRule type="containsText" dxfId="2" priority="8193" operator="containsText" text="Yes">
      <formula>NOT(ISERROR(SEARCH(("Yes"),(P835))))</formula>
    </cfRule>
  </conditionalFormatting>
  <conditionalFormatting sqref="P835:P844">
    <cfRule type="containsText" dxfId="9" priority="8194" operator="containsText" text="No">
      <formula>NOT(ISERROR(SEARCH(("No"),(P835))))</formula>
    </cfRule>
  </conditionalFormatting>
  <conditionalFormatting sqref="P835:P844">
    <cfRule type="containsText" dxfId="2" priority="8195" operator="containsText" text="Yes">
      <formula>NOT(ISERROR(SEARCH(("Yes"),(P835))))</formula>
    </cfRule>
  </conditionalFormatting>
  <conditionalFormatting sqref="P835:P844">
    <cfRule type="containsText" dxfId="9" priority="8196" operator="containsText" text="No">
      <formula>NOT(ISERROR(SEARCH(("No"),(P835))))</formula>
    </cfRule>
  </conditionalFormatting>
  <conditionalFormatting sqref="P835:P844">
    <cfRule type="containsText" dxfId="2" priority="8197" operator="containsText" text="Yes">
      <formula>NOT(ISERROR(SEARCH(("Yes"),(P835))))</formula>
    </cfRule>
  </conditionalFormatting>
  <conditionalFormatting sqref="P835:P844">
    <cfRule type="containsText" dxfId="9" priority="8198" operator="containsText" text="No">
      <formula>NOT(ISERROR(SEARCH(("No"),(P835))))</formula>
    </cfRule>
  </conditionalFormatting>
  <conditionalFormatting sqref="P835:P844">
    <cfRule type="containsText" dxfId="2" priority="8199" operator="containsText" text="Yes">
      <formula>NOT(ISERROR(SEARCH(("Yes"),(P835))))</formula>
    </cfRule>
  </conditionalFormatting>
  <conditionalFormatting sqref="P835:P844">
    <cfRule type="containsText" dxfId="9" priority="8200" operator="containsText" text="No">
      <formula>NOT(ISERROR(SEARCH(("No"),(P835))))</formula>
    </cfRule>
  </conditionalFormatting>
  <conditionalFormatting sqref="P835:P844">
    <cfRule type="containsText" dxfId="2" priority="8201" operator="containsText" text="Yes">
      <formula>NOT(ISERROR(SEARCH(("Yes"),(P835))))</formula>
    </cfRule>
  </conditionalFormatting>
  <conditionalFormatting sqref="P835:P844">
    <cfRule type="containsText" dxfId="9" priority="8202" operator="containsText" text="No">
      <formula>NOT(ISERROR(SEARCH(("No"),(P835))))</formula>
    </cfRule>
  </conditionalFormatting>
  <conditionalFormatting sqref="P835:P844">
    <cfRule type="containsText" dxfId="2" priority="8203" operator="containsText" text="Yes">
      <formula>NOT(ISERROR(SEARCH(("Yes"),(P835))))</formula>
    </cfRule>
  </conditionalFormatting>
  <conditionalFormatting sqref="P835:P844">
    <cfRule type="containsText" dxfId="9" priority="8204" operator="containsText" text="No">
      <formula>NOT(ISERROR(SEARCH(("No"),(P835))))</formula>
    </cfRule>
  </conditionalFormatting>
  <conditionalFormatting sqref="P835:P844">
    <cfRule type="containsText" dxfId="2" priority="8205" operator="containsText" text="Yes">
      <formula>NOT(ISERROR(SEARCH(("Yes"),(P835))))</formula>
    </cfRule>
  </conditionalFormatting>
  <conditionalFormatting sqref="P835:P844">
    <cfRule type="containsText" dxfId="9" priority="8206" operator="containsText" text="No">
      <formula>NOT(ISERROR(SEARCH(("No"),(P835))))</formula>
    </cfRule>
  </conditionalFormatting>
  <conditionalFormatting sqref="P835:P844">
    <cfRule type="containsText" dxfId="2" priority="8207" operator="containsText" text="Yes">
      <formula>NOT(ISERROR(SEARCH(("Yes"),(P835))))</formula>
    </cfRule>
  </conditionalFormatting>
  <conditionalFormatting sqref="P835:P844">
    <cfRule type="containsText" dxfId="9" priority="8208" operator="containsText" text="No">
      <formula>NOT(ISERROR(SEARCH(("No"),(P835))))</formula>
    </cfRule>
  </conditionalFormatting>
  <conditionalFormatting sqref="P835:P844">
    <cfRule type="containsText" dxfId="2" priority="8209" operator="containsText" text="Yes">
      <formula>NOT(ISERROR(SEARCH(("Yes"),(P835))))</formula>
    </cfRule>
  </conditionalFormatting>
  <conditionalFormatting sqref="P835:P844">
    <cfRule type="containsText" dxfId="9" priority="8210" operator="containsText" text="No">
      <formula>NOT(ISERROR(SEARCH(("No"),(P835))))</formula>
    </cfRule>
  </conditionalFormatting>
  <conditionalFormatting sqref="P835:P844">
    <cfRule type="containsText" dxfId="2" priority="8211" operator="containsText" text="Yes">
      <formula>NOT(ISERROR(SEARCH(("Yes"),(P835))))</formula>
    </cfRule>
  </conditionalFormatting>
  <conditionalFormatting sqref="P835:P844">
    <cfRule type="containsText" dxfId="9" priority="8212" operator="containsText" text="No">
      <formula>NOT(ISERROR(SEARCH(("No"),(P835))))</formula>
    </cfRule>
  </conditionalFormatting>
  <conditionalFormatting sqref="P835:P844">
    <cfRule type="containsText" dxfId="2" priority="8213" operator="containsText" text="Yes">
      <formula>NOT(ISERROR(SEARCH(("Yes"),(P835))))</formula>
    </cfRule>
  </conditionalFormatting>
  <conditionalFormatting sqref="P835:P844">
    <cfRule type="containsText" dxfId="9" priority="8214" operator="containsText" text="No">
      <formula>NOT(ISERROR(SEARCH(("No"),(P835))))</formula>
    </cfRule>
  </conditionalFormatting>
  <conditionalFormatting sqref="P835:P844">
    <cfRule type="containsText" dxfId="2" priority="8215" operator="containsText" text="Yes">
      <formula>NOT(ISERROR(SEARCH(("Yes"),(P835))))</formula>
    </cfRule>
  </conditionalFormatting>
  <conditionalFormatting sqref="P835:P844">
    <cfRule type="containsText" dxfId="9" priority="8216" operator="containsText" text="No">
      <formula>NOT(ISERROR(SEARCH(("No"),(P835))))</formula>
    </cfRule>
  </conditionalFormatting>
  <conditionalFormatting sqref="P835:P844">
    <cfRule type="containsText" dxfId="2" priority="8217" operator="containsText" text="Yes">
      <formula>NOT(ISERROR(SEARCH(("Yes"),(P835))))</formula>
    </cfRule>
  </conditionalFormatting>
  <conditionalFormatting sqref="P835:P844">
    <cfRule type="containsText" dxfId="9" priority="8218" operator="containsText" text="No">
      <formula>NOT(ISERROR(SEARCH(("No"),(P835))))</formula>
    </cfRule>
  </conditionalFormatting>
  <conditionalFormatting sqref="P835:P844">
    <cfRule type="containsText" dxfId="2" priority="8219" operator="containsText" text="Yes">
      <formula>NOT(ISERROR(SEARCH(("Yes"),(P835))))</formula>
    </cfRule>
  </conditionalFormatting>
  <conditionalFormatting sqref="P835:P844">
    <cfRule type="containsText" dxfId="9" priority="8220" operator="containsText" text="No">
      <formula>NOT(ISERROR(SEARCH(("No"),(P835))))</formula>
    </cfRule>
  </conditionalFormatting>
  <conditionalFormatting sqref="P835:P844">
    <cfRule type="containsText" dxfId="2" priority="8221" operator="containsText" text="Yes">
      <formula>NOT(ISERROR(SEARCH(("Yes"),(P835))))</formula>
    </cfRule>
  </conditionalFormatting>
  <conditionalFormatting sqref="P835:P844">
    <cfRule type="containsText" dxfId="9" priority="8222" operator="containsText" text="No">
      <formula>NOT(ISERROR(SEARCH(("No"),(P835))))</formula>
    </cfRule>
  </conditionalFormatting>
  <conditionalFormatting sqref="P835:P844">
    <cfRule type="containsText" dxfId="2" priority="8223" operator="containsText" text="Yes">
      <formula>NOT(ISERROR(SEARCH(("Yes"),(P835))))</formula>
    </cfRule>
  </conditionalFormatting>
  <conditionalFormatting sqref="P835:P844">
    <cfRule type="containsText" dxfId="2" priority="8224" operator="containsText" text="Yes">
      <formula>NOT(ISERROR(SEARCH(("Yes"),(P835))))</formula>
    </cfRule>
  </conditionalFormatting>
  <conditionalFormatting sqref="P835:P844">
    <cfRule type="containsText" dxfId="9" priority="8225" operator="containsText" text="No">
      <formula>NOT(ISERROR(SEARCH(("No"),(P835))))</formula>
    </cfRule>
  </conditionalFormatting>
  <conditionalFormatting sqref="P835:P844">
    <cfRule type="containsText" dxfId="2" priority="8226" operator="containsText" text="Yes">
      <formula>NOT(ISERROR(SEARCH(("Yes"),(P835))))</formula>
    </cfRule>
  </conditionalFormatting>
  <conditionalFormatting sqref="P845:P846">
    <cfRule type="containsText" dxfId="2" priority="8227" operator="containsText" text="Yes">
      <formula>NOT(ISERROR(SEARCH(("Yes"),(P845))))</formula>
    </cfRule>
  </conditionalFormatting>
  <conditionalFormatting sqref="P845:P846">
    <cfRule type="containsText" dxfId="9" priority="8228" operator="containsText" text="No">
      <formula>NOT(ISERROR(SEARCH(("No"),(P845))))</formula>
    </cfRule>
  </conditionalFormatting>
  <conditionalFormatting sqref="P845:P846">
    <cfRule type="containsText" dxfId="2" priority="8229" operator="containsText" text="Yes">
      <formula>NOT(ISERROR(SEARCH(("Yes"),(P845))))</formula>
    </cfRule>
  </conditionalFormatting>
  <conditionalFormatting sqref="P845:P846">
    <cfRule type="containsText" dxfId="9" priority="8230" operator="containsText" text="No">
      <formula>NOT(ISERROR(SEARCH(("No"),(P845))))</formula>
    </cfRule>
  </conditionalFormatting>
  <conditionalFormatting sqref="P845:P846">
    <cfRule type="containsText" dxfId="2" priority="8231" operator="containsText" text="Yes">
      <formula>NOT(ISERROR(SEARCH(("Yes"),(P845))))</formula>
    </cfRule>
  </conditionalFormatting>
  <conditionalFormatting sqref="P845:P846">
    <cfRule type="containsText" dxfId="9" priority="8232" operator="containsText" text="No">
      <formula>NOT(ISERROR(SEARCH(("No"),(P845))))</formula>
    </cfRule>
  </conditionalFormatting>
  <conditionalFormatting sqref="P845:P846">
    <cfRule type="containsText" dxfId="2" priority="8233" operator="containsText" text="Yes">
      <formula>NOT(ISERROR(SEARCH(("Yes"),(P845))))</formula>
    </cfRule>
  </conditionalFormatting>
  <conditionalFormatting sqref="P845:P846">
    <cfRule type="containsText" dxfId="9" priority="8234" operator="containsText" text="No">
      <formula>NOT(ISERROR(SEARCH(("No"),(P845))))</formula>
    </cfRule>
  </conditionalFormatting>
  <conditionalFormatting sqref="P845:P846">
    <cfRule type="containsText" dxfId="2" priority="8235" operator="containsText" text="Yes">
      <formula>NOT(ISERROR(SEARCH(("Yes"),(P845))))</formula>
    </cfRule>
  </conditionalFormatting>
  <conditionalFormatting sqref="P845:P846">
    <cfRule type="containsText" dxfId="9" priority="8236" operator="containsText" text="No">
      <formula>NOT(ISERROR(SEARCH(("No"),(P845))))</formula>
    </cfRule>
  </conditionalFormatting>
  <conditionalFormatting sqref="P845:P846">
    <cfRule type="containsText" dxfId="2" priority="8237" operator="containsText" text="Yes">
      <formula>NOT(ISERROR(SEARCH(("Yes"),(P845))))</formula>
    </cfRule>
  </conditionalFormatting>
  <conditionalFormatting sqref="P845:P846">
    <cfRule type="containsText" dxfId="9" priority="8238" operator="containsText" text="No">
      <formula>NOT(ISERROR(SEARCH(("No"),(P845))))</formula>
    </cfRule>
  </conditionalFormatting>
  <conditionalFormatting sqref="P845:P846">
    <cfRule type="containsText" dxfId="2" priority="8239" operator="containsText" text="Yes">
      <formula>NOT(ISERROR(SEARCH(("Yes"),(P845))))</formula>
    </cfRule>
  </conditionalFormatting>
  <conditionalFormatting sqref="P845:P846">
    <cfRule type="containsText" dxfId="9" priority="8240" operator="containsText" text="No">
      <formula>NOT(ISERROR(SEARCH(("No"),(P845))))</formula>
    </cfRule>
  </conditionalFormatting>
  <conditionalFormatting sqref="P845:P846">
    <cfRule type="containsText" dxfId="2" priority="8241" operator="containsText" text="Yes">
      <formula>NOT(ISERROR(SEARCH(("Yes"),(P845))))</formula>
    </cfRule>
  </conditionalFormatting>
  <conditionalFormatting sqref="P845:P846">
    <cfRule type="containsText" dxfId="9" priority="8242" operator="containsText" text="No">
      <formula>NOT(ISERROR(SEARCH(("No"),(P845))))</formula>
    </cfRule>
  </conditionalFormatting>
  <conditionalFormatting sqref="P845:P846">
    <cfRule type="containsText" dxfId="2" priority="8243" operator="containsText" text="Yes">
      <formula>NOT(ISERROR(SEARCH(("Yes"),(P845))))</formula>
    </cfRule>
  </conditionalFormatting>
  <conditionalFormatting sqref="P845:P846">
    <cfRule type="containsText" dxfId="9" priority="8244" operator="containsText" text="No">
      <formula>NOT(ISERROR(SEARCH(("No"),(P845))))</formula>
    </cfRule>
  </conditionalFormatting>
  <conditionalFormatting sqref="P845:P846">
    <cfRule type="containsText" dxfId="2" priority="8245" operator="containsText" text="Yes">
      <formula>NOT(ISERROR(SEARCH(("Yes"),(P845))))</formula>
    </cfRule>
  </conditionalFormatting>
  <conditionalFormatting sqref="P845:P846">
    <cfRule type="containsText" dxfId="9" priority="8246" operator="containsText" text="No">
      <formula>NOT(ISERROR(SEARCH(("No"),(P845))))</formula>
    </cfRule>
  </conditionalFormatting>
  <conditionalFormatting sqref="P845:P846">
    <cfRule type="containsText" dxfId="2" priority="8247" operator="containsText" text="Yes">
      <formula>NOT(ISERROR(SEARCH(("Yes"),(P845))))</formula>
    </cfRule>
  </conditionalFormatting>
  <conditionalFormatting sqref="P845:P846">
    <cfRule type="containsText" dxfId="9" priority="8248" operator="containsText" text="No">
      <formula>NOT(ISERROR(SEARCH(("No"),(P845))))</formula>
    </cfRule>
  </conditionalFormatting>
  <conditionalFormatting sqref="P845:P846">
    <cfRule type="containsText" dxfId="2" priority="8249" operator="containsText" text="Yes">
      <formula>NOT(ISERROR(SEARCH(("Yes"),(P845))))</formula>
    </cfRule>
  </conditionalFormatting>
  <conditionalFormatting sqref="P845:P846">
    <cfRule type="containsText" dxfId="9" priority="8250" operator="containsText" text="No">
      <formula>NOT(ISERROR(SEARCH(("No"),(P845))))</formula>
    </cfRule>
  </conditionalFormatting>
  <conditionalFormatting sqref="P845:P846">
    <cfRule type="containsText" dxfId="2" priority="8251" operator="containsText" text="Yes">
      <formula>NOT(ISERROR(SEARCH(("Yes"),(P845))))</formula>
    </cfRule>
  </conditionalFormatting>
  <conditionalFormatting sqref="P845:P846">
    <cfRule type="containsText" dxfId="9" priority="8252" operator="containsText" text="No">
      <formula>NOT(ISERROR(SEARCH(("No"),(P845))))</formula>
    </cfRule>
  </conditionalFormatting>
  <conditionalFormatting sqref="P845:P846">
    <cfRule type="containsText" dxfId="2" priority="8253" operator="containsText" text="Yes">
      <formula>NOT(ISERROR(SEARCH(("Yes"),(P845))))</formula>
    </cfRule>
  </conditionalFormatting>
  <conditionalFormatting sqref="P845:P846">
    <cfRule type="containsText" dxfId="9" priority="8254" operator="containsText" text="No">
      <formula>NOT(ISERROR(SEARCH(("No"),(P845))))</formula>
    </cfRule>
  </conditionalFormatting>
  <conditionalFormatting sqref="P845:P846">
    <cfRule type="containsText" dxfId="2" priority="8255" operator="containsText" text="Yes">
      <formula>NOT(ISERROR(SEARCH(("Yes"),(P845))))</formula>
    </cfRule>
  </conditionalFormatting>
  <conditionalFormatting sqref="P845:P846">
    <cfRule type="containsText" dxfId="9" priority="8256" operator="containsText" text="No">
      <formula>NOT(ISERROR(SEARCH(("No"),(P845))))</formula>
    </cfRule>
  </conditionalFormatting>
  <conditionalFormatting sqref="P845:P846">
    <cfRule type="containsText" dxfId="2" priority="8257" operator="containsText" text="Yes">
      <formula>NOT(ISERROR(SEARCH(("Yes"),(P845))))</formula>
    </cfRule>
  </conditionalFormatting>
  <conditionalFormatting sqref="P845:P846">
    <cfRule type="containsText" dxfId="9" priority="8258" operator="containsText" text="No">
      <formula>NOT(ISERROR(SEARCH(("No"),(P845))))</formula>
    </cfRule>
  </conditionalFormatting>
  <conditionalFormatting sqref="P845:P846">
    <cfRule type="containsText" dxfId="2" priority="8259" operator="containsText" text="Yes">
      <formula>NOT(ISERROR(SEARCH(("Yes"),(P845))))</formula>
    </cfRule>
  </conditionalFormatting>
  <conditionalFormatting sqref="P845:P846">
    <cfRule type="containsText" dxfId="9" priority="8260" operator="containsText" text="No">
      <formula>NOT(ISERROR(SEARCH(("No"),(P845))))</formula>
    </cfRule>
  </conditionalFormatting>
  <conditionalFormatting sqref="P845:P846">
    <cfRule type="containsText" dxfId="2" priority="8261" operator="containsText" text="Yes">
      <formula>NOT(ISERROR(SEARCH(("Yes"),(P845))))</formula>
    </cfRule>
  </conditionalFormatting>
  <conditionalFormatting sqref="P845:P846">
    <cfRule type="containsText" dxfId="9" priority="8262" operator="containsText" text="No">
      <formula>NOT(ISERROR(SEARCH(("No"),(P845))))</formula>
    </cfRule>
  </conditionalFormatting>
  <conditionalFormatting sqref="P845:P846">
    <cfRule type="containsText" dxfId="2" priority="8263" operator="containsText" text="Yes">
      <formula>NOT(ISERROR(SEARCH(("Yes"),(P845))))</formula>
    </cfRule>
  </conditionalFormatting>
  <conditionalFormatting sqref="P845:P846">
    <cfRule type="containsText" dxfId="9" priority="8264" operator="containsText" text="No">
      <formula>NOT(ISERROR(SEARCH(("No"),(P845))))</formula>
    </cfRule>
  </conditionalFormatting>
  <conditionalFormatting sqref="P845:P846">
    <cfRule type="containsText" dxfId="2" priority="8265" operator="containsText" text="Yes">
      <formula>NOT(ISERROR(SEARCH(("Yes"),(P845))))</formula>
    </cfRule>
  </conditionalFormatting>
  <conditionalFormatting sqref="P845:P846">
    <cfRule type="containsText" dxfId="9" priority="8266" operator="containsText" text="No">
      <formula>NOT(ISERROR(SEARCH(("No"),(P845))))</formula>
    </cfRule>
  </conditionalFormatting>
  <conditionalFormatting sqref="P845:P846">
    <cfRule type="containsText" dxfId="2" priority="8267" operator="containsText" text="Yes">
      <formula>NOT(ISERROR(SEARCH(("Yes"),(P845))))</formula>
    </cfRule>
  </conditionalFormatting>
  <conditionalFormatting sqref="P845:P846">
    <cfRule type="containsText" dxfId="9" priority="8268" operator="containsText" text="No">
      <formula>NOT(ISERROR(SEARCH(("No"),(P845))))</formula>
    </cfRule>
  </conditionalFormatting>
  <conditionalFormatting sqref="P845:P846">
    <cfRule type="containsText" dxfId="2" priority="8269" operator="containsText" text="Yes">
      <formula>NOT(ISERROR(SEARCH(("Yes"),(P845))))</formula>
    </cfRule>
  </conditionalFormatting>
  <conditionalFormatting sqref="P845:P846">
    <cfRule type="containsText" dxfId="9" priority="8270" operator="containsText" text="No">
      <formula>NOT(ISERROR(SEARCH(("No"),(P845))))</formula>
    </cfRule>
  </conditionalFormatting>
  <conditionalFormatting sqref="P845:P846">
    <cfRule type="containsText" dxfId="2" priority="8271" operator="containsText" text="Yes">
      <formula>NOT(ISERROR(SEARCH(("Yes"),(P845))))</formula>
    </cfRule>
  </conditionalFormatting>
  <conditionalFormatting sqref="P845:P846">
    <cfRule type="containsText" dxfId="9" priority="8272" operator="containsText" text="No">
      <formula>NOT(ISERROR(SEARCH(("No"),(P845))))</formula>
    </cfRule>
  </conditionalFormatting>
  <conditionalFormatting sqref="P845:P846">
    <cfRule type="containsText" dxfId="2" priority="8273" operator="containsText" text="Yes">
      <formula>NOT(ISERROR(SEARCH(("Yes"),(P845))))</formula>
    </cfRule>
  </conditionalFormatting>
  <conditionalFormatting sqref="P845:P846">
    <cfRule type="containsText" dxfId="9" priority="8274" operator="containsText" text="No">
      <formula>NOT(ISERROR(SEARCH(("No"),(P845))))</formula>
    </cfRule>
  </conditionalFormatting>
  <conditionalFormatting sqref="P845:P846">
    <cfRule type="containsText" dxfId="2" priority="8275" operator="containsText" text="Yes">
      <formula>NOT(ISERROR(SEARCH(("Yes"),(P845))))</formula>
    </cfRule>
  </conditionalFormatting>
  <conditionalFormatting sqref="P845:P846">
    <cfRule type="containsText" dxfId="9" priority="8276" operator="containsText" text="No">
      <formula>NOT(ISERROR(SEARCH(("No"),(P845))))</formula>
    </cfRule>
  </conditionalFormatting>
  <conditionalFormatting sqref="P845:P846">
    <cfRule type="containsText" dxfId="2" priority="8277" operator="containsText" text="Yes">
      <formula>NOT(ISERROR(SEARCH(("Yes"),(P845))))</formula>
    </cfRule>
  </conditionalFormatting>
  <conditionalFormatting sqref="P845:P846">
    <cfRule type="containsText" dxfId="9" priority="8278" operator="containsText" text="No">
      <formula>NOT(ISERROR(SEARCH(("No"),(P845))))</formula>
    </cfRule>
  </conditionalFormatting>
  <conditionalFormatting sqref="P845:P846">
    <cfRule type="containsText" dxfId="2" priority="8279" operator="containsText" text="Yes">
      <formula>NOT(ISERROR(SEARCH(("Yes"),(P845))))</formula>
    </cfRule>
  </conditionalFormatting>
  <conditionalFormatting sqref="P845:P846">
    <cfRule type="containsText" dxfId="9" priority="8280" operator="containsText" text="No">
      <formula>NOT(ISERROR(SEARCH(("No"),(P845))))</formula>
    </cfRule>
  </conditionalFormatting>
  <conditionalFormatting sqref="P845:P846">
    <cfRule type="containsText" dxfId="2" priority="8281" operator="containsText" text="Yes">
      <formula>NOT(ISERROR(SEARCH(("Yes"),(P845))))</formula>
    </cfRule>
  </conditionalFormatting>
  <conditionalFormatting sqref="P845:P846">
    <cfRule type="containsText" dxfId="9" priority="8282" operator="containsText" text="No">
      <formula>NOT(ISERROR(SEARCH(("No"),(P845))))</formula>
    </cfRule>
  </conditionalFormatting>
  <conditionalFormatting sqref="P845:P846">
    <cfRule type="containsText" dxfId="2" priority="8283" operator="containsText" text="Yes">
      <formula>NOT(ISERROR(SEARCH(("Yes"),(P845))))</formula>
    </cfRule>
  </conditionalFormatting>
  <conditionalFormatting sqref="P845:P846">
    <cfRule type="containsText" dxfId="9" priority="8284" operator="containsText" text="No">
      <formula>NOT(ISERROR(SEARCH(("No"),(P845))))</formula>
    </cfRule>
  </conditionalFormatting>
  <conditionalFormatting sqref="P845:P846">
    <cfRule type="containsText" dxfId="2" priority="8285" operator="containsText" text="Yes">
      <formula>NOT(ISERROR(SEARCH(("Yes"),(P845))))</formula>
    </cfRule>
  </conditionalFormatting>
  <conditionalFormatting sqref="P845:P846">
    <cfRule type="containsText" dxfId="9" priority="8286" operator="containsText" text="No">
      <formula>NOT(ISERROR(SEARCH(("No"),(P845))))</formula>
    </cfRule>
  </conditionalFormatting>
  <conditionalFormatting sqref="P845:P846">
    <cfRule type="containsText" dxfId="2" priority="8287" operator="containsText" text="Yes">
      <formula>NOT(ISERROR(SEARCH(("Yes"),(P845))))</formula>
    </cfRule>
  </conditionalFormatting>
  <conditionalFormatting sqref="P845:P846">
    <cfRule type="containsText" dxfId="9" priority="8288" operator="containsText" text="No">
      <formula>NOT(ISERROR(SEARCH(("No"),(P845))))</formula>
    </cfRule>
  </conditionalFormatting>
  <conditionalFormatting sqref="P845:P846">
    <cfRule type="containsText" dxfId="2" priority="8289" operator="containsText" text="Yes">
      <formula>NOT(ISERROR(SEARCH(("Yes"),(P845))))</formula>
    </cfRule>
  </conditionalFormatting>
  <conditionalFormatting sqref="P845:P846">
    <cfRule type="containsText" dxfId="9" priority="8290" operator="containsText" text="No">
      <formula>NOT(ISERROR(SEARCH(("No"),(P845))))</formula>
    </cfRule>
  </conditionalFormatting>
  <conditionalFormatting sqref="P845:P846">
    <cfRule type="containsText" dxfId="2" priority="8291" operator="containsText" text="Yes">
      <formula>NOT(ISERROR(SEARCH(("Yes"),(P845))))</formula>
    </cfRule>
  </conditionalFormatting>
  <conditionalFormatting sqref="P845:P846">
    <cfRule type="containsText" dxfId="9" priority="8292" operator="containsText" text="No">
      <formula>NOT(ISERROR(SEARCH(("No"),(P845))))</formula>
    </cfRule>
  </conditionalFormatting>
  <conditionalFormatting sqref="P845:P846">
    <cfRule type="containsText" dxfId="2" priority="8293" operator="containsText" text="Yes">
      <formula>NOT(ISERROR(SEARCH(("Yes"),(P845))))</formula>
    </cfRule>
  </conditionalFormatting>
  <conditionalFormatting sqref="P845:P846">
    <cfRule type="containsText" dxfId="9" priority="8294" operator="containsText" text="No">
      <formula>NOT(ISERROR(SEARCH(("No"),(P845))))</formula>
    </cfRule>
  </conditionalFormatting>
  <conditionalFormatting sqref="P845:P846">
    <cfRule type="containsText" dxfId="2" priority="8295" operator="containsText" text="Yes">
      <formula>NOT(ISERROR(SEARCH(("Yes"),(P845))))</formula>
    </cfRule>
  </conditionalFormatting>
  <conditionalFormatting sqref="P845:P846">
    <cfRule type="containsText" dxfId="9" priority="8296" operator="containsText" text="No">
      <formula>NOT(ISERROR(SEARCH(("No"),(P845))))</formula>
    </cfRule>
  </conditionalFormatting>
  <conditionalFormatting sqref="P845:P846">
    <cfRule type="containsText" dxfId="2" priority="8297" operator="containsText" text="Yes">
      <formula>NOT(ISERROR(SEARCH(("Yes"),(P845))))</formula>
    </cfRule>
  </conditionalFormatting>
  <conditionalFormatting sqref="P845:P846">
    <cfRule type="containsText" dxfId="9" priority="8298" operator="containsText" text="No">
      <formula>NOT(ISERROR(SEARCH(("No"),(P845))))</formula>
    </cfRule>
  </conditionalFormatting>
  <conditionalFormatting sqref="P845:P846">
    <cfRule type="containsText" dxfId="2" priority="8299" operator="containsText" text="Yes">
      <formula>NOT(ISERROR(SEARCH(("Yes"),(P845))))</formula>
    </cfRule>
  </conditionalFormatting>
  <conditionalFormatting sqref="P845:P846">
    <cfRule type="containsText" dxfId="9" priority="8300" operator="containsText" text="No">
      <formula>NOT(ISERROR(SEARCH(("No"),(P845))))</formula>
    </cfRule>
  </conditionalFormatting>
  <conditionalFormatting sqref="P845:P846">
    <cfRule type="containsText" dxfId="2" priority="8301" operator="containsText" text="Yes">
      <formula>NOT(ISERROR(SEARCH(("Yes"),(P845))))</formula>
    </cfRule>
  </conditionalFormatting>
  <conditionalFormatting sqref="P845:P846">
    <cfRule type="containsText" dxfId="9" priority="8302" operator="containsText" text="No">
      <formula>NOT(ISERROR(SEARCH(("No"),(P845))))</formula>
    </cfRule>
  </conditionalFormatting>
  <conditionalFormatting sqref="P845:P846">
    <cfRule type="containsText" dxfId="2" priority="8303" operator="containsText" text="Yes">
      <formula>NOT(ISERROR(SEARCH(("Yes"),(P845))))</formula>
    </cfRule>
  </conditionalFormatting>
  <conditionalFormatting sqref="P845:P846">
    <cfRule type="containsText" dxfId="9" priority="8304" operator="containsText" text="No">
      <formula>NOT(ISERROR(SEARCH(("No"),(P845))))</formula>
    </cfRule>
  </conditionalFormatting>
  <conditionalFormatting sqref="P845:P846">
    <cfRule type="containsText" dxfId="2" priority="8305" operator="containsText" text="Yes">
      <formula>NOT(ISERROR(SEARCH(("Yes"),(P845))))</formula>
    </cfRule>
  </conditionalFormatting>
  <conditionalFormatting sqref="P845:P846">
    <cfRule type="containsText" dxfId="9" priority="8306" operator="containsText" text="No">
      <formula>NOT(ISERROR(SEARCH(("No"),(P845))))</formula>
    </cfRule>
  </conditionalFormatting>
  <conditionalFormatting sqref="P845:P846">
    <cfRule type="containsText" dxfId="2" priority="8307" operator="containsText" text="Yes">
      <formula>NOT(ISERROR(SEARCH(("Yes"),(P845))))</formula>
    </cfRule>
  </conditionalFormatting>
  <conditionalFormatting sqref="P845:P846">
    <cfRule type="containsText" dxfId="9" priority="8308" operator="containsText" text="No">
      <formula>NOT(ISERROR(SEARCH(("No"),(P845))))</formula>
    </cfRule>
  </conditionalFormatting>
  <conditionalFormatting sqref="P845:P846">
    <cfRule type="containsText" dxfId="2" priority="8309" operator="containsText" text="Yes">
      <formula>NOT(ISERROR(SEARCH(("Yes"),(P845))))</formula>
    </cfRule>
  </conditionalFormatting>
  <conditionalFormatting sqref="P845:P846">
    <cfRule type="containsText" dxfId="9" priority="8310" operator="containsText" text="No">
      <formula>NOT(ISERROR(SEARCH(("No"),(P845))))</formula>
    </cfRule>
  </conditionalFormatting>
  <conditionalFormatting sqref="P845:P846">
    <cfRule type="containsText" dxfId="2" priority="8311" operator="containsText" text="Yes">
      <formula>NOT(ISERROR(SEARCH(("Yes"),(P845))))</formula>
    </cfRule>
  </conditionalFormatting>
  <conditionalFormatting sqref="P845:P846">
    <cfRule type="containsText" dxfId="9" priority="8312" operator="containsText" text="No">
      <formula>NOT(ISERROR(SEARCH(("No"),(P845))))</formula>
    </cfRule>
  </conditionalFormatting>
  <conditionalFormatting sqref="P845:P846">
    <cfRule type="containsText" dxfId="2" priority="8313" operator="containsText" text="Yes">
      <formula>NOT(ISERROR(SEARCH(("Yes"),(P845))))</formula>
    </cfRule>
  </conditionalFormatting>
  <conditionalFormatting sqref="P845:P846">
    <cfRule type="containsText" dxfId="9" priority="8314" operator="containsText" text="No">
      <formula>NOT(ISERROR(SEARCH(("No"),(P845))))</formula>
    </cfRule>
  </conditionalFormatting>
  <conditionalFormatting sqref="P845:P846">
    <cfRule type="containsText" dxfId="2" priority="8315" operator="containsText" text="Yes">
      <formula>NOT(ISERROR(SEARCH(("Yes"),(P845))))</formula>
    </cfRule>
  </conditionalFormatting>
  <conditionalFormatting sqref="P845:P846">
    <cfRule type="containsText" dxfId="2" priority="8316" operator="containsText" text="Yes">
      <formula>NOT(ISERROR(SEARCH(("Yes"),(P845))))</formula>
    </cfRule>
  </conditionalFormatting>
  <conditionalFormatting sqref="P845:P846">
    <cfRule type="containsText" dxfId="9" priority="8317" operator="containsText" text="No">
      <formula>NOT(ISERROR(SEARCH(("No"),(P845))))</formula>
    </cfRule>
  </conditionalFormatting>
  <conditionalFormatting sqref="P845:P846">
    <cfRule type="containsText" dxfId="2" priority="8318" operator="containsText" text="Yes">
      <formula>NOT(ISERROR(SEARCH(("Yes"),(P845))))</formula>
    </cfRule>
  </conditionalFormatting>
  <conditionalFormatting sqref="P847:P853">
    <cfRule type="containsText" dxfId="2" priority="8319" operator="containsText" text="Yes">
      <formula>NOT(ISERROR(SEARCH(("Yes"),(P847))))</formula>
    </cfRule>
  </conditionalFormatting>
  <conditionalFormatting sqref="P847:P853">
    <cfRule type="containsText" dxfId="9" priority="8320" operator="containsText" text="No">
      <formula>NOT(ISERROR(SEARCH(("No"),(P847))))</formula>
    </cfRule>
  </conditionalFormatting>
  <conditionalFormatting sqref="P847:P853">
    <cfRule type="containsText" dxfId="2" priority="8321" operator="containsText" text="Yes">
      <formula>NOT(ISERROR(SEARCH(("Yes"),(P847))))</formula>
    </cfRule>
  </conditionalFormatting>
  <conditionalFormatting sqref="P847:P853">
    <cfRule type="containsText" dxfId="9" priority="8322" operator="containsText" text="No">
      <formula>NOT(ISERROR(SEARCH(("No"),(P847))))</formula>
    </cfRule>
  </conditionalFormatting>
  <conditionalFormatting sqref="P847:P853">
    <cfRule type="containsText" dxfId="2" priority="8323" operator="containsText" text="Yes">
      <formula>NOT(ISERROR(SEARCH(("Yes"),(P847))))</formula>
    </cfRule>
  </conditionalFormatting>
  <conditionalFormatting sqref="P847:P853">
    <cfRule type="containsText" dxfId="9" priority="8324" operator="containsText" text="No">
      <formula>NOT(ISERROR(SEARCH(("No"),(P847))))</formula>
    </cfRule>
  </conditionalFormatting>
  <conditionalFormatting sqref="P847:P853">
    <cfRule type="containsText" dxfId="2" priority="8325" operator="containsText" text="Yes">
      <formula>NOT(ISERROR(SEARCH(("Yes"),(P847))))</formula>
    </cfRule>
  </conditionalFormatting>
  <conditionalFormatting sqref="P847:P853">
    <cfRule type="containsText" dxfId="9" priority="8326" operator="containsText" text="No">
      <formula>NOT(ISERROR(SEARCH(("No"),(P847))))</formula>
    </cfRule>
  </conditionalFormatting>
  <conditionalFormatting sqref="P847:P853">
    <cfRule type="containsText" dxfId="2" priority="8327" operator="containsText" text="Yes">
      <formula>NOT(ISERROR(SEARCH(("Yes"),(P847))))</formula>
    </cfRule>
  </conditionalFormatting>
  <conditionalFormatting sqref="P847:P853">
    <cfRule type="containsText" dxfId="9" priority="8328" operator="containsText" text="No">
      <formula>NOT(ISERROR(SEARCH(("No"),(P847))))</formula>
    </cfRule>
  </conditionalFormatting>
  <conditionalFormatting sqref="P847:P853">
    <cfRule type="containsText" dxfId="2" priority="8329" operator="containsText" text="Yes">
      <formula>NOT(ISERROR(SEARCH(("Yes"),(P847))))</formula>
    </cfRule>
  </conditionalFormatting>
  <conditionalFormatting sqref="P847:P853">
    <cfRule type="containsText" dxfId="9" priority="8330" operator="containsText" text="No">
      <formula>NOT(ISERROR(SEARCH(("No"),(P847))))</formula>
    </cfRule>
  </conditionalFormatting>
  <conditionalFormatting sqref="P847:P853">
    <cfRule type="containsText" dxfId="2" priority="8331" operator="containsText" text="Yes">
      <formula>NOT(ISERROR(SEARCH(("Yes"),(P847))))</formula>
    </cfRule>
  </conditionalFormatting>
  <conditionalFormatting sqref="P847:P853">
    <cfRule type="containsText" dxfId="9" priority="8332" operator="containsText" text="No">
      <formula>NOT(ISERROR(SEARCH(("No"),(P847))))</formula>
    </cfRule>
  </conditionalFormatting>
  <conditionalFormatting sqref="P847:P853">
    <cfRule type="containsText" dxfId="2" priority="8333" operator="containsText" text="Yes">
      <formula>NOT(ISERROR(SEARCH(("Yes"),(P847))))</formula>
    </cfRule>
  </conditionalFormatting>
  <conditionalFormatting sqref="P847:P853">
    <cfRule type="containsText" dxfId="9" priority="8334" operator="containsText" text="No">
      <formula>NOT(ISERROR(SEARCH(("No"),(P847))))</formula>
    </cfRule>
  </conditionalFormatting>
  <conditionalFormatting sqref="P847:P853">
    <cfRule type="containsText" dxfId="2" priority="8335" operator="containsText" text="Yes">
      <formula>NOT(ISERROR(SEARCH(("Yes"),(P847))))</formula>
    </cfRule>
  </conditionalFormatting>
  <conditionalFormatting sqref="P847:P853">
    <cfRule type="containsText" dxfId="9" priority="8336" operator="containsText" text="No">
      <formula>NOT(ISERROR(SEARCH(("No"),(P847))))</formula>
    </cfRule>
  </conditionalFormatting>
  <conditionalFormatting sqref="P847:P853">
    <cfRule type="containsText" dxfId="2" priority="8337" operator="containsText" text="Yes">
      <formula>NOT(ISERROR(SEARCH(("Yes"),(P847))))</formula>
    </cfRule>
  </conditionalFormatting>
  <conditionalFormatting sqref="P847:P853">
    <cfRule type="containsText" dxfId="9" priority="8338" operator="containsText" text="No">
      <formula>NOT(ISERROR(SEARCH(("No"),(P847))))</formula>
    </cfRule>
  </conditionalFormatting>
  <conditionalFormatting sqref="P847:P853">
    <cfRule type="containsText" dxfId="2" priority="8339" operator="containsText" text="Yes">
      <formula>NOT(ISERROR(SEARCH(("Yes"),(P847))))</formula>
    </cfRule>
  </conditionalFormatting>
  <conditionalFormatting sqref="P847:P853">
    <cfRule type="containsText" dxfId="9" priority="8340" operator="containsText" text="No">
      <formula>NOT(ISERROR(SEARCH(("No"),(P847))))</formula>
    </cfRule>
  </conditionalFormatting>
  <conditionalFormatting sqref="P847:P853">
    <cfRule type="containsText" dxfId="2" priority="8341" operator="containsText" text="Yes">
      <formula>NOT(ISERROR(SEARCH(("Yes"),(P847))))</formula>
    </cfRule>
  </conditionalFormatting>
  <conditionalFormatting sqref="P847:P853">
    <cfRule type="containsText" dxfId="9" priority="8342" operator="containsText" text="No">
      <formula>NOT(ISERROR(SEARCH(("No"),(P847))))</formula>
    </cfRule>
  </conditionalFormatting>
  <conditionalFormatting sqref="P847:P853">
    <cfRule type="containsText" dxfId="2" priority="8343" operator="containsText" text="Yes">
      <formula>NOT(ISERROR(SEARCH(("Yes"),(P847))))</formula>
    </cfRule>
  </conditionalFormatting>
  <conditionalFormatting sqref="P847:P853">
    <cfRule type="containsText" dxfId="9" priority="8344" operator="containsText" text="No">
      <formula>NOT(ISERROR(SEARCH(("No"),(P847))))</formula>
    </cfRule>
  </conditionalFormatting>
  <conditionalFormatting sqref="P847:P853">
    <cfRule type="containsText" dxfId="2" priority="8345" operator="containsText" text="Yes">
      <formula>NOT(ISERROR(SEARCH(("Yes"),(P847))))</formula>
    </cfRule>
  </conditionalFormatting>
  <conditionalFormatting sqref="P847:P853">
    <cfRule type="containsText" dxfId="9" priority="8346" operator="containsText" text="No">
      <formula>NOT(ISERROR(SEARCH(("No"),(P847))))</formula>
    </cfRule>
  </conditionalFormatting>
  <conditionalFormatting sqref="P847:P853">
    <cfRule type="containsText" dxfId="2" priority="8347" operator="containsText" text="Yes">
      <formula>NOT(ISERROR(SEARCH(("Yes"),(P847))))</formula>
    </cfRule>
  </conditionalFormatting>
  <conditionalFormatting sqref="P847:P853">
    <cfRule type="containsText" dxfId="9" priority="8348" operator="containsText" text="No">
      <formula>NOT(ISERROR(SEARCH(("No"),(P847))))</formula>
    </cfRule>
  </conditionalFormatting>
  <conditionalFormatting sqref="P847:P853">
    <cfRule type="containsText" dxfId="2" priority="8349" operator="containsText" text="Yes">
      <formula>NOT(ISERROR(SEARCH(("Yes"),(P847))))</formula>
    </cfRule>
  </conditionalFormatting>
  <conditionalFormatting sqref="P847:P853">
    <cfRule type="containsText" dxfId="9" priority="8350" operator="containsText" text="No">
      <formula>NOT(ISERROR(SEARCH(("No"),(P847))))</formula>
    </cfRule>
  </conditionalFormatting>
  <conditionalFormatting sqref="P847:P853">
    <cfRule type="containsText" dxfId="2" priority="8351" operator="containsText" text="Yes">
      <formula>NOT(ISERROR(SEARCH(("Yes"),(P847))))</formula>
    </cfRule>
  </conditionalFormatting>
  <conditionalFormatting sqref="P847:P853">
    <cfRule type="containsText" dxfId="9" priority="8352" operator="containsText" text="No">
      <formula>NOT(ISERROR(SEARCH(("No"),(P847))))</formula>
    </cfRule>
  </conditionalFormatting>
  <conditionalFormatting sqref="P847:P853">
    <cfRule type="containsText" dxfId="2" priority="8353" operator="containsText" text="Yes">
      <formula>NOT(ISERROR(SEARCH(("Yes"),(P847))))</formula>
    </cfRule>
  </conditionalFormatting>
  <conditionalFormatting sqref="P847:P853">
    <cfRule type="containsText" dxfId="9" priority="8354" operator="containsText" text="No">
      <formula>NOT(ISERROR(SEARCH(("No"),(P847))))</formula>
    </cfRule>
  </conditionalFormatting>
  <conditionalFormatting sqref="P847:P853">
    <cfRule type="containsText" dxfId="2" priority="8355" operator="containsText" text="Yes">
      <formula>NOT(ISERROR(SEARCH(("Yes"),(P847))))</formula>
    </cfRule>
  </conditionalFormatting>
  <conditionalFormatting sqref="P847:P853">
    <cfRule type="containsText" dxfId="9" priority="8356" operator="containsText" text="No">
      <formula>NOT(ISERROR(SEARCH(("No"),(P847))))</formula>
    </cfRule>
  </conditionalFormatting>
  <conditionalFormatting sqref="P847:P853">
    <cfRule type="containsText" dxfId="2" priority="8357" operator="containsText" text="Yes">
      <formula>NOT(ISERROR(SEARCH(("Yes"),(P847))))</formula>
    </cfRule>
  </conditionalFormatting>
  <conditionalFormatting sqref="P847:P853">
    <cfRule type="containsText" dxfId="9" priority="8358" operator="containsText" text="No">
      <formula>NOT(ISERROR(SEARCH(("No"),(P847))))</formula>
    </cfRule>
  </conditionalFormatting>
  <conditionalFormatting sqref="P847:P853">
    <cfRule type="containsText" dxfId="2" priority="8359" operator="containsText" text="Yes">
      <formula>NOT(ISERROR(SEARCH(("Yes"),(P847))))</formula>
    </cfRule>
  </conditionalFormatting>
  <conditionalFormatting sqref="P847:P853">
    <cfRule type="containsText" dxfId="9" priority="8360" operator="containsText" text="No">
      <formula>NOT(ISERROR(SEARCH(("No"),(P847))))</formula>
    </cfRule>
  </conditionalFormatting>
  <conditionalFormatting sqref="P847:P853">
    <cfRule type="containsText" dxfId="2" priority="8361" operator="containsText" text="Yes">
      <formula>NOT(ISERROR(SEARCH(("Yes"),(P847))))</formula>
    </cfRule>
  </conditionalFormatting>
  <conditionalFormatting sqref="P847:P853">
    <cfRule type="containsText" dxfId="9" priority="8362" operator="containsText" text="No">
      <formula>NOT(ISERROR(SEARCH(("No"),(P847))))</formula>
    </cfRule>
  </conditionalFormatting>
  <conditionalFormatting sqref="P847:P853">
    <cfRule type="containsText" dxfId="2" priority="8363" operator="containsText" text="Yes">
      <formula>NOT(ISERROR(SEARCH(("Yes"),(P847))))</formula>
    </cfRule>
  </conditionalFormatting>
  <conditionalFormatting sqref="P847:P853">
    <cfRule type="containsText" dxfId="9" priority="8364" operator="containsText" text="No">
      <formula>NOT(ISERROR(SEARCH(("No"),(P847))))</formula>
    </cfRule>
  </conditionalFormatting>
  <conditionalFormatting sqref="P847:P853">
    <cfRule type="containsText" dxfId="2" priority="8365" operator="containsText" text="Yes">
      <formula>NOT(ISERROR(SEARCH(("Yes"),(P847))))</formula>
    </cfRule>
  </conditionalFormatting>
  <conditionalFormatting sqref="P847:P853">
    <cfRule type="containsText" dxfId="9" priority="8366" operator="containsText" text="No">
      <formula>NOT(ISERROR(SEARCH(("No"),(P847))))</formula>
    </cfRule>
  </conditionalFormatting>
  <conditionalFormatting sqref="P847:P853">
    <cfRule type="containsText" dxfId="2" priority="8367" operator="containsText" text="Yes">
      <formula>NOT(ISERROR(SEARCH(("Yes"),(P847))))</formula>
    </cfRule>
  </conditionalFormatting>
  <conditionalFormatting sqref="P847:P853">
    <cfRule type="containsText" dxfId="9" priority="8368" operator="containsText" text="No">
      <formula>NOT(ISERROR(SEARCH(("No"),(P847))))</formula>
    </cfRule>
  </conditionalFormatting>
  <conditionalFormatting sqref="P847:P853">
    <cfRule type="containsText" dxfId="2" priority="8369" operator="containsText" text="Yes">
      <formula>NOT(ISERROR(SEARCH(("Yes"),(P847))))</formula>
    </cfRule>
  </conditionalFormatting>
  <conditionalFormatting sqref="P847:P853">
    <cfRule type="containsText" dxfId="9" priority="8370" operator="containsText" text="No">
      <formula>NOT(ISERROR(SEARCH(("No"),(P847))))</formula>
    </cfRule>
  </conditionalFormatting>
  <conditionalFormatting sqref="P847:P853">
    <cfRule type="containsText" dxfId="2" priority="8371" operator="containsText" text="Yes">
      <formula>NOT(ISERROR(SEARCH(("Yes"),(P847))))</formula>
    </cfRule>
  </conditionalFormatting>
  <conditionalFormatting sqref="P847:P853">
    <cfRule type="containsText" dxfId="9" priority="8372" operator="containsText" text="No">
      <formula>NOT(ISERROR(SEARCH(("No"),(P847))))</formula>
    </cfRule>
  </conditionalFormatting>
  <conditionalFormatting sqref="P847:P853">
    <cfRule type="containsText" dxfId="2" priority="8373" operator="containsText" text="Yes">
      <formula>NOT(ISERROR(SEARCH(("Yes"),(P847))))</formula>
    </cfRule>
  </conditionalFormatting>
  <conditionalFormatting sqref="P847:P853">
    <cfRule type="containsText" dxfId="9" priority="8374" operator="containsText" text="No">
      <formula>NOT(ISERROR(SEARCH(("No"),(P847))))</formula>
    </cfRule>
  </conditionalFormatting>
  <conditionalFormatting sqref="P847:P853">
    <cfRule type="containsText" dxfId="2" priority="8375" operator="containsText" text="Yes">
      <formula>NOT(ISERROR(SEARCH(("Yes"),(P847))))</formula>
    </cfRule>
  </conditionalFormatting>
  <conditionalFormatting sqref="P847:P853">
    <cfRule type="containsText" dxfId="9" priority="8376" operator="containsText" text="No">
      <formula>NOT(ISERROR(SEARCH(("No"),(P847))))</formula>
    </cfRule>
  </conditionalFormatting>
  <conditionalFormatting sqref="P847:P853">
    <cfRule type="containsText" dxfId="2" priority="8377" operator="containsText" text="Yes">
      <formula>NOT(ISERROR(SEARCH(("Yes"),(P847))))</formula>
    </cfRule>
  </conditionalFormatting>
  <conditionalFormatting sqref="P847:P853">
    <cfRule type="containsText" dxfId="9" priority="8378" operator="containsText" text="No">
      <formula>NOT(ISERROR(SEARCH(("No"),(P847))))</formula>
    </cfRule>
  </conditionalFormatting>
  <conditionalFormatting sqref="P847:P853">
    <cfRule type="containsText" dxfId="2" priority="8379" operator="containsText" text="Yes">
      <formula>NOT(ISERROR(SEARCH(("Yes"),(P847))))</formula>
    </cfRule>
  </conditionalFormatting>
  <conditionalFormatting sqref="P847:P853">
    <cfRule type="containsText" dxfId="9" priority="8380" operator="containsText" text="No">
      <formula>NOT(ISERROR(SEARCH(("No"),(P847))))</formula>
    </cfRule>
  </conditionalFormatting>
  <conditionalFormatting sqref="P847:P853">
    <cfRule type="containsText" dxfId="2" priority="8381" operator="containsText" text="Yes">
      <formula>NOT(ISERROR(SEARCH(("Yes"),(P847))))</formula>
    </cfRule>
  </conditionalFormatting>
  <conditionalFormatting sqref="P847:P853">
    <cfRule type="containsText" dxfId="9" priority="8382" operator="containsText" text="No">
      <formula>NOT(ISERROR(SEARCH(("No"),(P847))))</formula>
    </cfRule>
  </conditionalFormatting>
  <conditionalFormatting sqref="P847:P853">
    <cfRule type="containsText" dxfId="2" priority="8383" operator="containsText" text="Yes">
      <formula>NOT(ISERROR(SEARCH(("Yes"),(P847))))</formula>
    </cfRule>
  </conditionalFormatting>
  <conditionalFormatting sqref="P847:P853">
    <cfRule type="containsText" dxfId="9" priority="8384" operator="containsText" text="No">
      <formula>NOT(ISERROR(SEARCH(("No"),(P847))))</formula>
    </cfRule>
  </conditionalFormatting>
  <conditionalFormatting sqref="P847:P853">
    <cfRule type="containsText" dxfId="2" priority="8385" operator="containsText" text="Yes">
      <formula>NOT(ISERROR(SEARCH(("Yes"),(P847))))</formula>
    </cfRule>
  </conditionalFormatting>
  <conditionalFormatting sqref="P847:P853">
    <cfRule type="containsText" dxfId="9" priority="8386" operator="containsText" text="No">
      <formula>NOT(ISERROR(SEARCH(("No"),(P847))))</formula>
    </cfRule>
  </conditionalFormatting>
  <conditionalFormatting sqref="P847:P853">
    <cfRule type="containsText" dxfId="2" priority="8387" operator="containsText" text="Yes">
      <formula>NOT(ISERROR(SEARCH(("Yes"),(P847))))</formula>
    </cfRule>
  </conditionalFormatting>
  <conditionalFormatting sqref="P847:P853">
    <cfRule type="containsText" dxfId="9" priority="8388" operator="containsText" text="No">
      <formula>NOT(ISERROR(SEARCH(("No"),(P847))))</formula>
    </cfRule>
  </conditionalFormatting>
  <conditionalFormatting sqref="P847:P853">
    <cfRule type="containsText" dxfId="2" priority="8389" operator="containsText" text="Yes">
      <formula>NOT(ISERROR(SEARCH(("Yes"),(P847))))</formula>
    </cfRule>
  </conditionalFormatting>
  <conditionalFormatting sqref="P847:P853">
    <cfRule type="containsText" dxfId="9" priority="8390" operator="containsText" text="No">
      <formula>NOT(ISERROR(SEARCH(("No"),(P847))))</formula>
    </cfRule>
  </conditionalFormatting>
  <conditionalFormatting sqref="P847:P853">
    <cfRule type="containsText" dxfId="2" priority="8391" operator="containsText" text="Yes">
      <formula>NOT(ISERROR(SEARCH(("Yes"),(P847))))</formula>
    </cfRule>
  </conditionalFormatting>
  <conditionalFormatting sqref="P847:P853">
    <cfRule type="containsText" dxfId="9" priority="8392" operator="containsText" text="No">
      <formula>NOT(ISERROR(SEARCH(("No"),(P847))))</formula>
    </cfRule>
  </conditionalFormatting>
  <conditionalFormatting sqref="P847:P853">
    <cfRule type="containsText" dxfId="2" priority="8393" operator="containsText" text="Yes">
      <formula>NOT(ISERROR(SEARCH(("Yes"),(P847))))</formula>
    </cfRule>
  </conditionalFormatting>
  <conditionalFormatting sqref="P847:P853">
    <cfRule type="containsText" dxfId="9" priority="8394" operator="containsText" text="No">
      <formula>NOT(ISERROR(SEARCH(("No"),(P847))))</formula>
    </cfRule>
  </conditionalFormatting>
  <conditionalFormatting sqref="P847:P853">
    <cfRule type="containsText" dxfId="2" priority="8395" operator="containsText" text="Yes">
      <formula>NOT(ISERROR(SEARCH(("Yes"),(P847))))</formula>
    </cfRule>
  </conditionalFormatting>
  <conditionalFormatting sqref="P847:P853">
    <cfRule type="containsText" dxfId="9" priority="8396" operator="containsText" text="No">
      <formula>NOT(ISERROR(SEARCH(("No"),(P847))))</formula>
    </cfRule>
  </conditionalFormatting>
  <conditionalFormatting sqref="P847:P853">
    <cfRule type="containsText" dxfId="2" priority="8397" operator="containsText" text="Yes">
      <formula>NOT(ISERROR(SEARCH(("Yes"),(P847))))</formula>
    </cfRule>
  </conditionalFormatting>
  <conditionalFormatting sqref="P847:P853">
    <cfRule type="containsText" dxfId="9" priority="8398" operator="containsText" text="No">
      <formula>NOT(ISERROR(SEARCH(("No"),(P847))))</formula>
    </cfRule>
  </conditionalFormatting>
  <conditionalFormatting sqref="P847:P853">
    <cfRule type="containsText" dxfId="2" priority="8399" operator="containsText" text="Yes">
      <formula>NOT(ISERROR(SEARCH(("Yes"),(P847))))</formula>
    </cfRule>
  </conditionalFormatting>
  <conditionalFormatting sqref="P847:P853">
    <cfRule type="containsText" dxfId="9" priority="8400" operator="containsText" text="No">
      <formula>NOT(ISERROR(SEARCH(("No"),(P847))))</formula>
    </cfRule>
  </conditionalFormatting>
  <conditionalFormatting sqref="P847:P853">
    <cfRule type="containsText" dxfId="2" priority="8401" operator="containsText" text="Yes">
      <formula>NOT(ISERROR(SEARCH(("Yes"),(P847))))</formula>
    </cfRule>
  </conditionalFormatting>
  <conditionalFormatting sqref="P847:P853">
    <cfRule type="containsText" dxfId="9" priority="8402" operator="containsText" text="No">
      <formula>NOT(ISERROR(SEARCH(("No"),(P847))))</formula>
    </cfRule>
  </conditionalFormatting>
  <conditionalFormatting sqref="P847:P853">
    <cfRule type="containsText" dxfId="2" priority="8403" operator="containsText" text="Yes">
      <formula>NOT(ISERROR(SEARCH(("Yes"),(P847))))</formula>
    </cfRule>
  </conditionalFormatting>
  <conditionalFormatting sqref="P847:P853">
    <cfRule type="containsText" dxfId="9" priority="8404" operator="containsText" text="No">
      <formula>NOT(ISERROR(SEARCH(("No"),(P847))))</formula>
    </cfRule>
  </conditionalFormatting>
  <conditionalFormatting sqref="P847:P853">
    <cfRule type="containsText" dxfId="2" priority="8405" operator="containsText" text="Yes">
      <formula>NOT(ISERROR(SEARCH(("Yes"),(P847))))</formula>
    </cfRule>
  </conditionalFormatting>
  <conditionalFormatting sqref="P847:P853">
    <cfRule type="containsText" dxfId="9" priority="8406" operator="containsText" text="No">
      <formula>NOT(ISERROR(SEARCH(("No"),(P847))))</formula>
    </cfRule>
  </conditionalFormatting>
  <conditionalFormatting sqref="P847:P853">
    <cfRule type="containsText" dxfId="2" priority="8407" operator="containsText" text="Yes">
      <formula>NOT(ISERROR(SEARCH(("Yes"),(P847))))</formula>
    </cfRule>
  </conditionalFormatting>
  <conditionalFormatting sqref="P847:P853">
    <cfRule type="containsText" dxfId="2" priority="8408" operator="containsText" text="Yes">
      <formula>NOT(ISERROR(SEARCH(("Yes"),(P847))))</formula>
    </cfRule>
  </conditionalFormatting>
  <conditionalFormatting sqref="P847:P853">
    <cfRule type="containsText" dxfId="9" priority="8409" operator="containsText" text="No">
      <formula>NOT(ISERROR(SEARCH(("No"),(P847))))</formula>
    </cfRule>
  </conditionalFormatting>
  <conditionalFormatting sqref="P847:P853">
    <cfRule type="containsText" dxfId="2" priority="8410" operator="containsText" text="Yes">
      <formula>NOT(ISERROR(SEARCH(("Yes"),(P847))))</formula>
    </cfRule>
  </conditionalFormatting>
  <conditionalFormatting sqref="P854">
    <cfRule type="containsText" dxfId="2" priority="8411" operator="containsText" text="Yes">
      <formula>NOT(ISERROR(SEARCH(("Yes"),(P854))))</formula>
    </cfRule>
  </conditionalFormatting>
  <conditionalFormatting sqref="P854">
    <cfRule type="containsText" dxfId="9" priority="8412" operator="containsText" text="No">
      <formula>NOT(ISERROR(SEARCH(("No"),(P854))))</formula>
    </cfRule>
  </conditionalFormatting>
  <conditionalFormatting sqref="P854">
    <cfRule type="containsText" dxfId="2" priority="8413" operator="containsText" text="Yes">
      <formula>NOT(ISERROR(SEARCH(("Yes"),(P854))))</formula>
    </cfRule>
  </conditionalFormatting>
  <conditionalFormatting sqref="P854">
    <cfRule type="containsText" dxfId="9" priority="8414" operator="containsText" text="No">
      <formula>NOT(ISERROR(SEARCH(("No"),(P854))))</formula>
    </cfRule>
  </conditionalFormatting>
  <conditionalFormatting sqref="P854">
    <cfRule type="containsText" dxfId="2" priority="8415" operator="containsText" text="Yes">
      <formula>NOT(ISERROR(SEARCH(("Yes"),(P854))))</formula>
    </cfRule>
  </conditionalFormatting>
  <conditionalFormatting sqref="P854">
    <cfRule type="containsText" dxfId="9" priority="8416" operator="containsText" text="No">
      <formula>NOT(ISERROR(SEARCH(("No"),(P854))))</formula>
    </cfRule>
  </conditionalFormatting>
  <conditionalFormatting sqref="P854">
    <cfRule type="containsText" dxfId="2" priority="8417" operator="containsText" text="Yes">
      <formula>NOT(ISERROR(SEARCH(("Yes"),(P854))))</formula>
    </cfRule>
  </conditionalFormatting>
  <conditionalFormatting sqref="P854">
    <cfRule type="containsText" dxfId="9" priority="8418" operator="containsText" text="No">
      <formula>NOT(ISERROR(SEARCH(("No"),(P854))))</formula>
    </cfRule>
  </conditionalFormatting>
  <conditionalFormatting sqref="P854">
    <cfRule type="containsText" dxfId="2" priority="8419" operator="containsText" text="Yes">
      <formula>NOT(ISERROR(SEARCH(("Yes"),(P854))))</formula>
    </cfRule>
  </conditionalFormatting>
  <conditionalFormatting sqref="P854">
    <cfRule type="containsText" dxfId="9" priority="8420" operator="containsText" text="No">
      <formula>NOT(ISERROR(SEARCH(("No"),(P854))))</formula>
    </cfRule>
  </conditionalFormatting>
  <conditionalFormatting sqref="P854">
    <cfRule type="containsText" dxfId="2" priority="8421" operator="containsText" text="Yes">
      <formula>NOT(ISERROR(SEARCH(("Yes"),(P854))))</formula>
    </cfRule>
  </conditionalFormatting>
  <conditionalFormatting sqref="P854">
    <cfRule type="containsText" dxfId="9" priority="8422" operator="containsText" text="No">
      <formula>NOT(ISERROR(SEARCH(("No"),(P854))))</formula>
    </cfRule>
  </conditionalFormatting>
  <conditionalFormatting sqref="P854">
    <cfRule type="containsText" dxfId="2" priority="8423" operator="containsText" text="Yes">
      <formula>NOT(ISERROR(SEARCH(("Yes"),(P854))))</formula>
    </cfRule>
  </conditionalFormatting>
  <conditionalFormatting sqref="P854">
    <cfRule type="containsText" dxfId="9" priority="8424" operator="containsText" text="No">
      <formula>NOT(ISERROR(SEARCH(("No"),(P854))))</formula>
    </cfRule>
  </conditionalFormatting>
  <conditionalFormatting sqref="P854">
    <cfRule type="containsText" dxfId="2" priority="8425" operator="containsText" text="Yes">
      <formula>NOT(ISERROR(SEARCH(("Yes"),(P854))))</formula>
    </cfRule>
  </conditionalFormatting>
  <conditionalFormatting sqref="P854">
    <cfRule type="containsText" dxfId="9" priority="8426" operator="containsText" text="No">
      <formula>NOT(ISERROR(SEARCH(("No"),(P854))))</formula>
    </cfRule>
  </conditionalFormatting>
  <conditionalFormatting sqref="P854">
    <cfRule type="containsText" dxfId="2" priority="8427" operator="containsText" text="Yes">
      <formula>NOT(ISERROR(SEARCH(("Yes"),(P854))))</formula>
    </cfRule>
  </conditionalFormatting>
  <conditionalFormatting sqref="P854">
    <cfRule type="containsText" dxfId="9" priority="8428" operator="containsText" text="No">
      <formula>NOT(ISERROR(SEARCH(("No"),(P854))))</formula>
    </cfRule>
  </conditionalFormatting>
  <conditionalFormatting sqref="P854">
    <cfRule type="containsText" dxfId="2" priority="8429" operator="containsText" text="Yes">
      <formula>NOT(ISERROR(SEARCH(("Yes"),(P854))))</formula>
    </cfRule>
  </conditionalFormatting>
  <conditionalFormatting sqref="P854">
    <cfRule type="containsText" dxfId="9" priority="8430" operator="containsText" text="No">
      <formula>NOT(ISERROR(SEARCH(("No"),(P854))))</formula>
    </cfRule>
  </conditionalFormatting>
  <conditionalFormatting sqref="P854">
    <cfRule type="containsText" dxfId="2" priority="8431" operator="containsText" text="Yes">
      <formula>NOT(ISERROR(SEARCH(("Yes"),(P854))))</formula>
    </cfRule>
  </conditionalFormatting>
  <conditionalFormatting sqref="P854">
    <cfRule type="containsText" dxfId="9" priority="8432" operator="containsText" text="No">
      <formula>NOT(ISERROR(SEARCH(("No"),(P854))))</formula>
    </cfRule>
  </conditionalFormatting>
  <conditionalFormatting sqref="P854">
    <cfRule type="containsText" dxfId="2" priority="8433" operator="containsText" text="Yes">
      <formula>NOT(ISERROR(SEARCH(("Yes"),(P854))))</formula>
    </cfRule>
  </conditionalFormatting>
  <conditionalFormatting sqref="P854">
    <cfRule type="containsText" dxfId="9" priority="8434" operator="containsText" text="No">
      <formula>NOT(ISERROR(SEARCH(("No"),(P854))))</formula>
    </cfRule>
  </conditionalFormatting>
  <conditionalFormatting sqref="P854">
    <cfRule type="containsText" dxfId="2" priority="8435" operator="containsText" text="Yes">
      <formula>NOT(ISERROR(SEARCH(("Yes"),(P854))))</formula>
    </cfRule>
  </conditionalFormatting>
  <conditionalFormatting sqref="P854">
    <cfRule type="containsText" dxfId="9" priority="8436" operator="containsText" text="No">
      <formula>NOT(ISERROR(SEARCH(("No"),(P854))))</formula>
    </cfRule>
  </conditionalFormatting>
  <conditionalFormatting sqref="P854">
    <cfRule type="containsText" dxfId="2" priority="8437" operator="containsText" text="Yes">
      <formula>NOT(ISERROR(SEARCH(("Yes"),(P854))))</formula>
    </cfRule>
  </conditionalFormatting>
  <conditionalFormatting sqref="P854">
    <cfRule type="containsText" dxfId="9" priority="8438" operator="containsText" text="No">
      <formula>NOT(ISERROR(SEARCH(("No"),(P854))))</formula>
    </cfRule>
  </conditionalFormatting>
  <conditionalFormatting sqref="P854">
    <cfRule type="containsText" dxfId="2" priority="8439" operator="containsText" text="Yes">
      <formula>NOT(ISERROR(SEARCH(("Yes"),(P854))))</formula>
    </cfRule>
  </conditionalFormatting>
  <conditionalFormatting sqref="P854">
    <cfRule type="containsText" dxfId="9" priority="8440" operator="containsText" text="No">
      <formula>NOT(ISERROR(SEARCH(("No"),(P854))))</formula>
    </cfRule>
  </conditionalFormatting>
  <conditionalFormatting sqref="P854">
    <cfRule type="containsText" dxfId="2" priority="8441" operator="containsText" text="Yes">
      <formula>NOT(ISERROR(SEARCH(("Yes"),(P854))))</formula>
    </cfRule>
  </conditionalFormatting>
  <conditionalFormatting sqref="P854">
    <cfRule type="containsText" dxfId="9" priority="8442" operator="containsText" text="No">
      <formula>NOT(ISERROR(SEARCH(("No"),(P854))))</formula>
    </cfRule>
  </conditionalFormatting>
  <conditionalFormatting sqref="P854">
    <cfRule type="containsText" dxfId="2" priority="8443" operator="containsText" text="Yes">
      <formula>NOT(ISERROR(SEARCH(("Yes"),(P854))))</formula>
    </cfRule>
  </conditionalFormatting>
  <conditionalFormatting sqref="P854">
    <cfRule type="containsText" dxfId="9" priority="8444" operator="containsText" text="No">
      <formula>NOT(ISERROR(SEARCH(("No"),(P854))))</formula>
    </cfRule>
  </conditionalFormatting>
  <conditionalFormatting sqref="P854">
    <cfRule type="containsText" dxfId="2" priority="8445" operator="containsText" text="Yes">
      <formula>NOT(ISERROR(SEARCH(("Yes"),(P854))))</formula>
    </cfRule>
  </conditionalFormatting>
  <conditionalFormatting sqref="P854">
    <cfRule type="containsText" dxfId="9" priority="8446" operator="containsText" text="No">
      <formula>NOT(ISERROR(SEARCH(("No"),(P854))))</formula>
    </cfRule>
  </conditionalFormatting>
  <conditionalFormatting sqref="P854">
    <cfRule type="containsText" dxfId="2" priority="8447" operator="containsText" text="Yes">
      <formula>NOT(ISERROR(SEARCH(("Yes"),(P854))))</formula>
    </cfRule>
  </conditionalFormatting>
  <conditionalFormatting sqref="P854">
    <cfRule type="containsText" dxfId="9" priority="8448" operator="containsText" text="No">
      <formula>NOT(ISERROR(SEARCH(("No"),(P854))))</formula>
    </cfRule>
  </conditionalFormatting>
  <conditionalFormatting sqref="P854">
    <cfRule type="containsText" dxfId="2" priority="8449" operator="containsText" text="Yes">
      <formula>NOT(ISERROR(SEARCH(("Yes"),(P854))))</formula>
    </cfRule>
  </conditionalFormatting>
  <conditionalFormatting sqref="P854">
    <cfRule type="containsText" dxfId="9" priority="8450" operator="containsText" text="No">
      <formula>NOT(ISERROR(SEARCH(("No"),(P854))))</formula>
    </cfRule>
  </conditionalFormatting>
  <conditionalFormatting sqref="P854">
    <cfRule type="containsText" dxfId="2" priority="8451" operator="containsText" text="Yes">
      <formula>NOT(ISERROR(SEARCH(("Yes"),(P854))))</formula>
    </cfRule>
  </conditionalFormatting>
  <conditionalFormatting sqref="P854">
    <cfRule type="containsText" dxfId="9" priority="8452" operator="containsText" text="No">
      <formula>NOT(ISERROR(SEARCH(("No"),(P854))))</formula>
    </cfRule>
  </conditionalFormatting>
  <conditionalFormatting sqref="P854">
    <cfRule type="containsText" dxfId="2" priority="8453" operator="containsText" text="Yes">
      <formula>NOT(ISERROR(SEARCH(("Yes"),(P854))))</formula>
    </cfRule>
  </conditionalFormatting>
  <conditionalFormatting sqref="P854">
    <cfRule type="containsText" dxfId="9" priority="8454" operator="containsText" text="No">
      <formula>NOT(ISERROR(SEARCH(("No"),(P854))))</formula>
    </cfRule>
  </conditionalFormatting>
  <conditionalFormatting sqref="P854">
    <cfRule type="containsText" dxfId="2" priority="8455" operator="containsText" text="Yes">
      <formula>NOT(ISERROR(SEARCH(("Yes"),(P854))))</formula>
    </cfRule>
  </conditionalFormatting>
  <conditionalFormatting sqref="P854">
    <cfRule type="containsText" dxfId="9" priority="8456" operator="containsText" text="No">
      <formula>NOT(ISERROR(SEARCH(("No"),(P854))))</formula>
    </cfRule>
  </conditionalFormatting>
  <conditionalFormatting sqref="P854">
    <cfRule type="containsText" dxfId="2" priority="8457" operator="containsText" text="Yes">
      <formula>NOT(ISERROR(SEARCH(("Yes"),(P854))))</formula>
    </cfRule>
  </conditionalFormatting>
  <conditionalFormatting sqref="P854">
    <cfRule type="containsText" dxfId="9" priority="8458" operator="containsText" text="No">
      <formula>NOT(ISERROR(SEARCH(("No"),(P854))))</formula>
    </cfRule>
  </conditionalFormatting>
  <conditionalFormatting sqref="P854">
    <cfRule type="containsText" dxfId="2" priority="8459" operator="containsText" text="Yes">
      <formula>NOT(ISERROR(SEARCH(("Yes"),(P854))))</formula>
    </cfRule>
  </conditionalFormatting>
  <conditionalFormatting sqref="P854">
    <cfRule type="containsText" dxfId="9" priority="8460" operator="containsText" text="No">
      <formula>NOT(ISERROR(SEARCH(("No"),(P854))))</formula>
    </cfRule>
  </conditionalFormatting>
  <conditionalFormatting sqref="P854">
    <cfRule type="containsText" dxfId="2" priority="8461" operator="containsText" text="Yes">
      <formula>NOT(ISERROR(SEARCH(("Yes"),(P854))))</formula>
    </cfRule>
  </conditionalFormatting>
  <conditionalFormatting sqref="P854">
    <cfRule type="containsText" dxfId="9" priority="8462" operator="containsText" text="No">
      <formula>NOT(ISERROR(SEARCH(("No"),(P854))))</formula>
    </cfRule>
  </conditionalFormatting>
  <conditionalFormatting sqref="P854">
    <cfRule type="containsText" dxfId="2" priority="8463" operator="containsText" text="Yes">
      <formula>NOT(ISERROR(SEARCH(("Yes"),(P854))))</formula>
    </cfRule>
  </conditionalFormatting>
  <conditionalFormatting sqref="P854">
    <cfRule type="containsText" dxfId="9" priority="8464" operator="containsText" text="No">
      <formula>NOT(ISERROR(SEARCH(("No"),(P854))))</formula>
    </cfRule>
  </conditionalFormatting>
  <conditionalFormatting sqref="P854">
    <cfRule type="containsText" dxfId="2" priority="8465" operator="containsText" text="Yes">
      <formula>NOT(ISERROR(SEARCH(("Yes"),(P854))))</formula>
    </cfRule>
  </conditionalFormatting>
  <conditionalFormatting sqref="P854">
    <cfRule type="containsText" dxfId="9" priority="8466" operator="containsText" text="No">
      <formula>NOT(ISERROR(SEARCH(("No"),(P854))))</formula>
    </cfRule>
  </conditionalFormatting>
  <conditionalFormatting sqref="P854">
    <cfRule type="containsText" dxfId="2" priority="8467" operator="containsText" text="Yes">
      <formula>NOT(ISERROR(SEARCH(("Yes"),(P854))))</formula>
    </cfRule>
  </conditionalFormatting>
  <conditionalFormatting sqref="P854">
    <cfRule type="containsText" dxfId="9" priority="8468" operator="containsText" text="No">
      <formula>NOT(ISERROR(SEARCH(("No"),(P854))))</formula>
    </cfRule>
  </conditionalFormatting>
  <conditionalFormatting sqref="P854">
    <cfRule type="containsText" dxfId="2" priority="8469" operator="containsText" text="Yes">
      <formula>NOT(ISERROR(SEARCH(("Yes"),(P854))))</formula>
    </cfRule>
  </conditionalFormatting>
  <conditionalFormatting sqref="P854">
    <cfRule type="containsText" dxfId="9" priority="8470" operator="containsText" text="No">
      <formula>NOT(ISERROR(SEARCH(("No"),(P854))))</formula>
    </cfRule>
  </conditionalFormatting>
  <conditionalFormatting sqref="P854">
    <cfRule type="containsText" dxfId="2" priority="8471" operator="containsText" text="Yes">
      <formula>NOT(ISERROR(SEARCH(("Yes"),(P854))))</formula>
    </cfRule>
  </conditionalFormatting>
  <conditionalFormatting sqref="P854">
    <cfRule type="containsText" dxfId="9" priority="8472" operator="containsText" text="No">
      <formula>NOT(ISERROR(SEARCH(("No"),(P854))))</formula>
    </cfRule>
  </conditionalFormatting>
  <conditionalFormatting sqref="P854">
    <cfRule type="containsText" dxfId="2" priority="8473" operator="containsText" text="Yes">
      <formula>NOT(ISERROR(SEARCH(("Yes"),(P854))))</formula>
    </cfRule>
  </conditionalFormatting>
  <conditionalFormatting sqref="P854">
    <cfRule type="containsText" dxfId="9" priority="8474" operator="containsText" text="No">
      <formula>NOT(ISERROR(SEARCH(("No"),(P854))))</formula>
    </cfRule>
  </conditionalFormatting>
  <conditionalFormatting sqref="P854">
    <cfRule type="containsText" dxfId="2" priority="8475" operator="containsText" text="Yes">
      <formula>NOT(ISERROR(SEARCH(("Yes"),(P854))))</formula>
    </cfRule>
  </conditionalFormatting>
  <conditionalFormatting sqref="P854">
    <cfRule type="containsText" dxfId="9" priority="8476" operator="containsText" text="No">
      <formula>NOT(ISERROR(SEARCH(("No"),(P854))))</formula>
    </cfRule>
  </conditionalFormatting>
  <conditionalFormatting sqref="P854">
    <cfRule type="containsText" dxfId="2" priority="8477" operator="containsText" text="Yes">
      <formula>NOT(ISERROR(SEARCH(("Yes"),(P854))))</formula>
    </cfRule>
  </conditionalFormatting>
  <conditionalFormatting sqref="P854">
    <cfRule type="containsText" dxfId="9" priority="8478" operator="containsText" text="No">
      <formula>NOT(ISERROR(SEARCH(("No"),(P854))))</formula>
    </cfRule>
  </conditionalFormatting>
  <conditionalFormatting sqref="P854">
    <cfRule type="containsText" dxfId="2" priority="8479" operator="containsText" text="Yes">
      <formula>NOT(ISERROR(SEARCH(("Yes"),(P854))))</formula>
    </cfRule>
  </conditionalFormatting>
  <conditionalFormatting sqref="P854">
    <cfRule type="containsText" dxfId="9" priority="8480" operator="containsText" text="No">
      <formula>NOT(ISERROR(SEARCH(("No"),(P854))))</formula>
    </cfRule>
  </conditionalFormatting>
  <conditionalFormatting sqref="P854">
    <cfRule type="containsText" dxfId="2" priority="8481" operator="containsText" text="Yes">
      <formula>NOT(ISERROR(SEARCH(("Yes"),(P854))))</formula>
    </cfRule>
  </conditionalFormatting>
  <conditionalFormatting sqref="P854">
    <cfRule type="containsText" dxfId="9" priority="8482" operator="containsText" text="No">
      <formula>NOT(ISERROR(SEARCH(("No"),(P854))))</formula>
    </cfRule>
  </conditionalFormatting>
  <conditionalFormatting sqref="P854">
    <cfRule type="containsText" dxfId="2" priority="8483" operator="containsText" text="Yes">
      <formula>NOT(ISERROR(SEARCH(("Yes"),(P854))))</formula>
    </cfRule>
  </conditionalFormatting>
  <conditionalFormatting sqref="P854">
    <cfRule type="containsText" dxfId="9" priority="8484" operator="containsText" text="No">
      <formula>NOT(ISERROR(SEARCH(("No"),(P854))))</formula>
    </cfRule>
  </conditionalFormatting>
  <conditionalFormatting sqref="P854">
    <cfRule type="containsText" dxfId="2" priority="8485" operator="containsText" text="Yes">
      <formula>NOT(ISERROR(SEARCH(("Yes"),(P854))))</formula>
    </cfRule>
  </conditionalFormatting>
  <conditionalFormatting sqref="P854">
    <cfRule type="containsText" dxfId="9" priority="8486" operator="containsText" text="No">
      <formula>NOT(ISERROR(SEARCH(("No"),(P854))))</formula>
    </cfRule>
  </conditionalFormatting>
  <conditionalFormatting sqref="P854">
    <cfRule type="containsText" dxfId="2" priority="8487" operator="containsText" text="Yes">
      <formula>NOT(ISERROR(SEARCH(("Yes"),(P854))))</formula>
    </cfRule>
  </conditionalFormatting>
  <conditionalFormatting sqref="P854">
    <cfRule type="containsText" dxfId="9" priority="8488" operator="containsText" text="No">
      <formula>NOT(ISERROR(SEARCH(("No"),(P854))))</formula>
    </cfRule>
  </conditionalFormatting>
  <conditionalFormatting sqref="P854">
    <cfRule type="containsText" dxfId="2" priority="8489" operator="containsText" text="Yes">
      <formula>NOT(ISERROR(SEARCH(("Yes"),(P854))))</formula>
    </cfRule>
  </conditionalFormatting>
  <conditionalFormatting sqref="P854">
    <cfRule type="containsText" dxfId="9" priority="8490" operator="containsText" text="No">
      <formula>NOT(ISERROR(SEARCH(("No"),(P854))))</formula>
    </cfRule>
  </conditionalFormatting>
  <conditionalFormatting sqref="P854">
    <cfRule type="containsText" dxfId="2" priority="8491" operator="containsText" text="Yes">
      <formula>NOT(ISERROR(SEARCH(("Yes"),(P854))))</formula>
    </cfRule>
  </conditionalFormatting>
  <conditionalFormatting sqref="P854">
    <cfRule type="containsText" dxfId="9" priority="8492" operator="containsText" text="No">
      <formula>NOT(ISERROR(SEARCH(("No"),(P854))))</formula>
    </cfRule>
  </conditionalFormatting>
  <conditionalFormatting sqref="P854">
    <cfRule type="containsText" dxfId="2" priority="8493" operator="containsText" text="Yes">
      <formula>NOT(ISERROR(SEARCH(("Yes"),(P854))))</formula>
    </cfRule>
  </conditionalFormatting>
  <conditionalFormatting sqref="P854">
    <cfRule type="containsText" dxfId="9" priority="8494" operator="containsText" text="No">
      <formula>NOT(ISERROR(SEARCH(("No"),(P854))))</formula>
    </cfRule>
  </conditionalFormatting>
  <conditionalFormatting sqref="P854">
    <cfRule type="containsText" dxfId="2" priority="8495" operator="containsText" text="Yes">
      <formula>NOT(ISERROR(SEARCH(("Yes"),(P854))))</formula>
    </cfRule>
  </conditionalFormatting>
  <conditionalFormatting sqref="P854">
    <cfRule type="containsText" dxfId="9" priority="8496" operator="containsText" text="No">
      <formula>NOT(ISERROR(SEARCH(("No"),(P854))))</formula>
    </cfRule>
  </conditionalFormatting>
  <conditionalFormatting sqref="P854">
    <cfRule type="containsText" dxfId="2" priority="8497" operator="containsText" text="Yes">
      <formula>NOT(ISERROR(SEARCH(("Yes"),(P854))))</formula>
    </cfRule>
  </conditionalFormatting>
  <conditionalFormatting sqref="P854">
    <cfRule type="containsText" dxfId="9" priority="8498" operator="containsText" text="No">
      <formula>NOT(ISERROR(SEARCH(("No"),(P854))))</formula>
    </cfRule>
  </conditionalFormatting>
  <conditionalFormatting sqref="P854">
    <cfRule type="containsText" dxfId="2" priority="8499" operator="containsText" text="Yes">
      <formula>NOT(ISERROR(SEARCH(("Yes"),(P854))))</formula>
    </cfRule>
  </conditionalFormatting>
  <conditionalFormatting sqref="P854">
    <cfRule type="containsText" dxfId="2" priority="8500" operator="containsText" text="Yes">
      <formula>NOT(ISERROR(SEARCH(("Yes"),(P854))))</formula>
    </cfRule>
  </conditionalFormatting>
  <conditionalFormatting sqref="P854">
    <cfRule type="containsText" dxfId="9" priority="8501" operator="containsText" text="No">
      <formula>NOT(ISERROR(SEARCH(("No"),(P854))))</formula>
    </cfRule>
  </conditionalFormatting>
  <conditionalFormatting sqref="P854">
    <cfRule type="containsText" dxfId="2" priority="8502" operator="containsText" text="Yes">
      <formula>NOT(ISERROR(SEARCH(("Yes"),(P854))))</formula>
    </cfRule>
  </conditionalFormatting>
  <conditionalFormatting sqref="P855">
    <cfRule type="containsText" dxfId="2" priority="8503" operator="containsText" text="Yes">
      <formula>NOT(ISERROR(SEARCH(("Yes"),(P855))))</formula>
    </cfRule>
  </conditionalFormatting>
  <conditionalFormatting sqref="P855">
    <cfRule type="containsText" dxfId="9" priority="8504" operator="containsText" text="No">
      <formula>NOT(ISERROR(SEARCH(("No"),(P855))))</formula>
    </cfRule>
  </conditionalFormatting>
  <conditionalFormatting sqref="P855">
    <cfRule type="containsText" dxfId="2" priority="8505" operator="containsText" text="Yes">
      <formula>NOT(ISERROR(SEARCH(("Yes"),(P855))))</formula>
    </cfRule>
  </conditionalFormatting>
  <conditionalFormatting sqref="P855">
    <cfRule type="containsText" dxfId="9" priority="8506" operator="containsText" text="No">
      <formula>NOT(ISERROR(SEARCH(("No"),(P855))))</formula>
    </cfRule>
  </conditionalFormatting>
  <conditionalFormatting sqref="P855">
    <cfRule type="containsText" dxfId="2" priority="8507" operator="containsText" text="Yes">
      <formula>NOT(ISERROR(SEARCH(("Yes"),(P855))))</formula>
    </cfRule>
  </conditionalFormatting>
  <conditionalFormatting sqref="P855">
    <cfRule type="containsText" dxfId="9" priority="8508" operator="containsText" text="No">
      <formula>NOT(ISERROR(SEARCH(("No"),(P855))))</formula>
    </cfRule>
  </conditionalFormatting>
  <conditionalFormatting sqref="P855">
    <cfRule type="containsText" dxfId="2" priority="8509" operator="containsText" text="Yes">
      <formula>NOT(ISERROR(SEARCH(("Yes"),(P855))))</formula>
    </cfRule>
  </conditionalFormatting>
  <conditionalFormatting sqref="P855">
    <cfRule type="containsText" dxfId="9" priority="8510" operator="containsText" text="No">
      <formula>NOT(ISERROR(SEARCH(("No"),(P855))))</formula>
    </cfRule>
  </conditionalFormatting>
  <conditionalFormatting sqref="P855">
    <cfRule type="containsText" dxfId="2" priority="8511" operator="containsText" text="Yes">
      <formula>NOT(ISERROR(SEARCH(("Yes"),(P855))))</formula>
    </cfRule>
  </conditionalFormatting>
  <conditionalFormatting sqref="P855">
    <cfRule type="containsText" dxfId="9" priority="8512" operator="containsText" text="No">
      <formula>NOT(ISERROR(SEARCH(("No"),(P855))))</formula>
    </cfRule>
  </conditionalFormatting>
  <conditionalFormatting sqref="P855">
    <cfRule type="containsText" dxfId="2" priority="8513" operator="containsText" text="Yes">
      <formula>NOT(ISERROR(SEARCH(("Yes"),(P855))))</formula>
    </cfRule>
  </conditionalFormatting>
  <conditionalFormatting sqref="P855">
    <cfRule type="containsText" dxfId="9" priority="8514" operator="containsText" text="No">
      <formula>NOT(ISERROR(SEARCH(("No"),(P855))))</formula>
    </cfRule>
  </conditionalFormatting>
  <conditionalFormatting sqref="P855">
    <cfRule type="containsText" dxfId="2" priority="8515" operator="containsText" text="Yes">
      <formula>NOT(ISERROR(SEARCH(("Yes"),(P855))))</formula>
    </cfRule>
  </conditionalFormatting>
  <conditionalFormatting sqref="P855">
    <cfRule type="containsText" dxfId="9" priority="8516" operator="containsText" text="No">
      <formula>NOT(ISERROR(SEARCH(("No"),(P855))))</formula>
    </cfRule>
  </conditionalFormatting>
  <conditionalFormatting sqref="P855">
    <cfRule type="containsText" dxfId="2" priority="8517" operator="containsText" text="Yes">
      <formula>NOT(ISERROR(SEARCH(("Yes"),(P855))))</formula>
    </cfRule>
  </conditionalFormatting>
  <conditionalFormatting sqref="P855">
    <cfRule type="containsText" dxfId="9" priority="8518" operator="containsText" text="No">
      <formula>NOT(ISERROR(SEARCH(("No"),(P855))))</formula>
    </cfRule>
  </conditionalFormatting>
  <conditionalFormatting sqref="P855">
    <cfRule type="containsText" dxfId="2" priority="8519" operator="containsText" text="Yes">
      <formula>NOT(ISERROR(SEARCH(("Yes"),(P855))))</formula>
    </cfRule>
  </conditionalFormatting>
  <conditionalFormatting sqref="P855">
    <cfRule type="containsText" dxfId="9" priority="8520" operator="containsText" text="No">
      <formula>NOT(ISERROR(SEARCH(("No"),(P855))))</formula>
    </cfRule>
  </conditionalFormatting>
  <conditionalFormatting sqref="P855">
    <cfRule type="containsText" dxfId="2" priority="8521" operator="containsText" text="Yes">
      <formula>NOT(ISERROR(SEARCH(("Yes"),(P855))))</formula>
    </cfRule>
  </conditionalFormatting>
  <conditionalFormatting sqref="P855">
    <cfRule type="containsText" dxfId="9" priority="8522" operator="containsText" text="No">
      <formula>NOT(ISERROR(SEARCH(("No"),(P855))))</formula>
    </cfRule>
  </conditionalFormatting>
  <conditionalFormatting sqref="P855">
    <cfRule type="containsText" dxfId="2" priority="8523" operator="containsText" text="Yes">
      <formula>NOT(ISERROR(SEARCH(("Yes"),(P855))))</formula>
    </cfRule>
  </conditionalFormatting>
  <conditionalFormatting sqref="P855">
    <cfRule type="containsText" dxfId="9" priority="8524" operator="containsText" text="No">
      <formula>NOT(ISERROR(SEARCH(("No"),(P855))))</formula>
    </cfRule>
  </conditionalFormatting>
  <conditionalFormatting sqref="P855">
    <cfRule type="containsText" dxfId="2" priority="8525" operator="containsText" text="Yes">
      <formula>NOT(ISERROR(SEARCH(("Yes"),(P855))))</formula>
    </cfRule>
  </conditionalFormatting>
  <conditionalFormatting sqref="P855">
    <cfRule type="containsText" dxfId="9" priority="8526" operator="containsText" text="No">
      <formula>NOT(ISERROR(SEARCH(("No"),(P855))))</formula>
    </cfRule>
  </conditionalFormatting>
  <conditionalFormatting sqref="P855">
    <cfRule type="containsText" dxfId="2" priority="8527" operator="containsText" text="Yes">
      <formula>NOT(ISERROR(SEARCH(("Yes"),(P855))))</formula>
    </cfRule>
  </conditionalFormatting>
  <conditionalFormatting sqref="P855">
    <cfRule type="containsText" dxfId="9" priority="8528" operator="containsText" text="No">
      <formula>NOT(ISERROR(SEARCH(("No"),(P855))))</formula>
    </cfRule>
  </conditionalFormatting>
  <conditionalFormatting sqref="P855">
    <cfRule type="containsText" dxfId="2" priority="8529" operator="containsText" text="Yes">
      <formula>NOT(ISERROR(SEARCH(("Yes"),(P855))))</formula>
    </cfRule>
  </conditionalFormatting>
  <conditionalFormatting sqref="P855">
    <cfRule type="containsText" dxfId="9" priority="8530" operator="containsText" text="No">
      <formula>NOT(ISERROR(SEARCH(("No"),(P855))))</formula>
    </cfRule>
  </conditionalFormatting>
  <conditionalFormatting sqref="P855">
    <cfRule type="containsText" dxfId="2" priority="8531" operator="containsText" text="Yes">
      <formula>NOT(ISERROR(SEARCH(("Yes"),(P855))))</formula>
    </cfRule>
  </conditionalFormatting>
  <conditionalFormatting sqref="P855">
    <cfRule type="containsText" dxfId="9" priority="8532" operator="containsText" text="No">
      <formula>NOT(ISERROR(SEARCH(("No"),(P855))))</formula>
    </cfRule>
  </conditionalFormatting>
  <conditionalFormatting sqref="P855">
    <cfRule type="containsText" dxfId="2" priority="8533" operator="containsText" text="Yes">
      <formula>NOT(ISERROR(SEARCH(("Yes"),(P855))))</formula>
    </cfRule>
  </conditionalFormatting>
  <conditionalFormatting sqref="P855">
    <cfRule type="containsText" dxfId="9" priority="8534" operator="containsText" text="No">
      <formula>NOT(ISERROR(SEARCH(("No"),(P855))))</formula>
    </cfRule>
  </conditionalFormatting>
  <conditionalFormatting sqref="P855">
    <cfRule type="containsText" dxfId="2" priority="8535" operator="containsText" text="Yes">
      <formula>NOT(ISERROR(SEARCH(("Yes"),(P855))))</formula>
    </cfRule>
  </conditionalFormatting>
  <conditionalFormatting sqref="P855">
    <cfRule type="containsText" dxfId="9" priority="8536" operator="containsText" text="No">
      <formula>NOT(ISERROR(SEARCH(("No"),(P855))))</formula>
    </cfRule>
  </conditionalFormatting>
  <conditionalFormatting sqref="P855">
    <cfRule type="containsText" dxfId="2" priority="8537" operator="containsText" text="Yes">
      <formula>NOT(ISERROR(SEARCH(("Yes"),(P855))))</formula>
    </cfRule>
  </conditionalFormatting>
  <conditionalFormatting sqref="P855">
    <cfRule type="containsText" dxfId="9" priority="8538" operator="containsText" text="No">
      <formula>NOT(ISERROR(SEARCH(("No"),(P855))))</formula>
    </cfRule>
  </conditionalFormatting>
  <conditionalFormatting sqref="P855">
    <cfRule type="containsText" dxfId="2" priority="8539" operator="containsText" text="Yes">
      <formula>NOT(ISERROR(SEARCH(("Yes"),(P855))))</formula>
    </cfRule>
  </conditionalFormatting>
  <conditionalFormatting sqref="P855">
    <cfRule type="containsText" dxfId="9" priority="8540" operator="containsText" text="No">
      <formula>NOT(ISERROR(SEARCH(("No"),(P855))))</formula>
    </cfRule>
  </conditionalFormatting>
  <conditionalFormatting sqref="P855">
    <cfRule type="containsText" dxfId="2" priority="8541" operator="containsText" text="Yes">
      <formula>NOT(ISERROR(SEARCH(("Yes"),(P855))))</formula>
    </cfRule>
  </conditionalFormatting>
  <conditionalFormatting sqref="P855">
    <cfRule type="containsText" dxfId="9" priority="8542" operator="containsText" text="No">
      <formula>NOT(ISERROR(SEARCH(("No"),(P855))))</formula>
    </cfRule>
  </conditionalFormatting>
  <conditionalFormatting sqref="P855">
    <cfRule type="containsText" dxfId="2" priority="8543" operator="containsText" text="Yes">
      <formula>NOT(ISERROR(SEARCH(("Yes"),(P855))))</formula>
    </cfRule>
  </conditionalFormatting>
  <conditionalFormatting sqref="P855">
    <cfRule type="containsText" dxfId="9" priority="8544" operator="containsText" text="No">
      <formula>NOT(ISERROR(SEARCH(("No"),(P855))))</formula>
    </cfRule>
  </conditionalFormatting>
  <conditionalFormatting sqref="P855">
    <cfRule type="containsText" dxfId="2" priority="8545" operator="containsText" text="Yes">
      <formula>NOT(ISERROR(SEARCH(("Yes"),(P855))))</formula>
    </cfRule>
  </conditionalFormatting>
  <conditionalFormatting sqref="P855">
    <cfRule type="containsText" dxfId="9" priority="8546" operator="containsText" text="No">
      <formula>NOT(ISERROR(SEARCH(("No"),(P855))))</formula>
    </cfRule>
  </conditionalFormatting>
  <conditionalFormatting sqref="P855">
    <cfRule type="containsText" dxfId="2" priority="8547" operator="containsText" text="Yes">
      <formula>NOT(ISERROR(SEARCH(("Yes"),(P855))))</formula>
    </cfRule>
  </conditionalFormatting>
  <conditionalFormatting sqref="P855">
    <cfRule type="containsText" dxfId="9" priority="8548" operator="containsText" text="No">
      <formula>NOT(ISERROR(SEARCH(("No"),(P855))))</formula>
    </cfRule>
  </conditionalFormatting>
  <conditionalFormatting sqref="P855">
    <cfRule type="containsText" dxfId="2" priority="8549" operator="containsText" text="Yes">
      <formula>NOT(ISERROR(SEARCH(("Yes"),(P855))))</formula>
    </cfRule>
  </conditionalFormatting>
  <conditionalFormatting sqref="P855">
    <cfRule type="containsText" dxfId="9" priority="8550" operator="containsText" text="No">
      <formula>NOT(ISERROR(SEARCH(("No"),(P855))))</formula>
    </cfRule>
  </conditionalFormatting>
  <conditionalFormatting sqref="P855">
    <cfRule type="containsText" dxfId="2" priority="8551" operator="containsText" text="Yes">
      <formula>NOT(ISERROR(SEARCH(("Yes"),(P855))))</formula>
    </cfRule>
  </conditionalFormatting>
  <conditionalFormatting sqref="P855">
    <cfRule type="containsText" dxfId="9" priority="8552" operator="containsText" text="No">
      <formula>NOT(ISERROR(SEARCH(("No"),(P855))))</formula>
    </cfRule>
  </conditionalFormatting>
  <conditionalFormatting sqref="P855">
    <cfRule type="containsText" dxfId="2" priority="8553" operator="containsText" text="Yes">
      <formula>NOT(ISERROR(SEARCH(("Yes"),(P855))))</formula>
    </cfRule>
  </conditionalFormatting>
  <conditionalFormatting sqref="P855">
    <cfRule type="containsText" dxfId="9" priority="8554" operator="containsText" text="No">
      <formula>NOT(ISERROR(SEARCH(("No"),(P855))))</formula>
    </cfRule>
  </conditionalFormatting>
  <conditionalFormatting sqref="P855">
    <cfRule type="containsText" dxfId="2" priority="8555" operator="containsText" text="Yes">
      <formula>NOT(ISERROR(SEARCH(("Yes"),(P855))))</formula>
    </cfRule>
  </conditionalFormatting>
  <conditionalFormatting sqref="P855">
    <cfRule type="containsText" dxfId="9" priority="8556" operator="containsText" text="No">
      <formula>NOT(ISERROR(SEARCH(("No"),(P855))))</formula>
    </cfRule>
  </conditionalFormatting>
  <conditionalFormatting sqref="P855">
    <cfRule type="containsText" dxfId="2" priority="8557" operator="containsText" text="Yes">
      <formula>NOT(ISERROR(SEARCH(("Yes"),(P855))))</formula>
    </cfRule>
  </conditionalFormatting>
  <conditionalFormatting sqref="P855">
    <cfRule type="containsText" dxfId="9" priority="8558" operator="containsText" text="No">
      <formula>NOT(ISERROR(SEARCH(("No"),(P855))))</formula>
    </cfRule>
  </conditionalFormatting>
  <conditionalFormatting sqref="P855">
    <cfRule type="containsText" dxfId="2" priority="8559" operator="containsText" text="Yes">
      <formula>NOT(ISERROR(SEARCH(("Yes"),(P855))))</formula>
    </cfRule>
  </conditionalFormatting>
  <conditionalFormatting sqref="P855">
    <cfRule type="containsText" dxfId="9" priority="8560" operator="containsText" text="No">
      <formula>NOT(ISERROR(SEARCH(("No"),(P855))))</formula>
    </cfRule>
  </conditionalFormatting>
  <conditionalFormatting sqref="P855">
    <cfRule type="containsText" dxfId="2" priority="8561" operator="containsText" text="Yes">
      <formula>NOT(ISERROR(SEARCH(("Yes"),(P855))))</formula>
    </cfRule>
  </conditionalFormatting>
  <conditionalFormatting sqref="P855">
    <cfRule type="containsText" dxfId="9" priority="8562" operator="containsText" text="No">
      <formula>NOT(ISERROR(SEARCH(("No"),(P855))))</formula>
    </cfRule>
  </conditionalFormatting>
  <conditionalFormatting sqref="P855">
    <cfRule type="containsText" dxfId="2" priority="8563" operator="containsText" text="Yes">
      <formula>NOT(ISERROR(SEARCH(("Yes"),(P855))))</formula>
    </cfRule>
  </conditionalFormatting>
  <conditionalFormatting sqref="P855">
    <cfRule type="containsText" dxfId="9" priority="8564" operator="containsText" text="No">
      <formula>NOT(ISERROR(SEARCH(("No"),(P855))))</formula>
    </cfRule>
  </conditionalFormatting>
  <conditionalFormatting sqref="P855">
    <cfRule type="containsText" dxfId="2" priority="8565" operator="containsText" text="Yes">
      <formula>NOT(ISERROR(SEARCH(("Yes"),(P855))))</formula>
    </cfRule>
  </conditionalFormatting>
  <conditionalFormatting sqref="P855">
    <cfRule type="containsText" dxfId="9" priority="8566" operator="containsText" text="No">
      <formula>NOT(ISERROR(SEARCH(("No"),(P855))))</formula>
    </cfRule>
  </conditionalFormatting>
  <conditionalFormatting sqref="P855">
    <cfRule type="containsText" dxfId="2" priority="8567" operator="containsText" text="Yes">
      <formula>NOT(ISERROR(SEARCH(("Yes"),(P855))))</formula>
    </cfRule>
  </conditionalFormatting>
  <conditionalFormatting sqref="P855">
    <cfRule type="containsText" dxfId="9" priority="8568" operator="containsText" text="No">
      <formula>NOT(ISERROR(SEARCH(("No"),(P855))))</formula>
    </cfRule>
  </conditionalFormatting>
  <conditionalFormatting sqref="P855">
    <cfRule type="containsText" dxfId="2" priority="8569" operator="containsText" text="Yes">
      <formula>NOT(ISERROR(SEARCH(("Yes"),(P855))))</formula>
    </cfRule>
  </conditionalFormatting>
  <conditionalFormatting sqref="P855">
    <cfRule type="containsText" dxfId="9" priority="8570" operator="containsText" text="No">
      <formula>NOT(ISERROR(SEARCH(("No"),(P855))))</formula>
    </cfRule>
  </conditionalFormatting>
  <conditionalFormatting sqref="P855">
    <cfRule type="containsText" dxfId="2" priority="8571" operator="containsText" text="Yes">
      <formula>NOT(ISERROR(SEARCH(("Yes"),(P855))))</formula>
    </cfRule>
  </conditionalFormatting>
  <conditionalFormatting sqref="P855">
    <cfRule type="containsText" dxfId="9" priority="8572" operator="containsText" text="No">
      <formula>NOT(ISERROR(SEARCH(("No"),(P855))))</formula>
    </cfRule>
  </conditionalFormatting>
  <conditionalFormatting sqref="P855">
    <cfRule type="containsText" dxfId="2" priority="8573" operator="containsText" text="Yes">
      <formula>NOT(ISERROR(SEARCH(("Yes"),(P855))))</formula>
    </cfRule>
  </conditionalFormatting>
  <conditionalFormatting sqref="P855">
    <cfRule type="containsText" dxfId="9" priority="8574" operator="containsText" text="No">
      <formula>NOT(ISERROR(SEARCH(("No"),(P855))))</formula>
    </cfRule>
  </conditionalFormatting>
  <conditionalFormatting sqref="P855">
    <cfRule type="containsText" dxfId="2" priority="8575" operator="containsText" text="Yes">
      <formula>NOT(ISERROR(SEARCH(("Yes"),(P855))))</formula>
    </cfRule>
  </conditionalFormatting>
  <conditionalFormatting sqref="P855">
    <cfRule type="containsText" dxfId="9" priority="8576" operator="containsText" text="No">
      <formula>NOT(ISERROR(SEARCH(("No"),(P855))))</formula>
    </cfRule>
  </conditionalFormatting>
  <conditionalFormatting sqref="P855">
    <cfRule type="containsText" dxfId="2" priority="8577" operator="containsText" text="Yes">
      <formula>NOT(ISERROR(SEARCH(("Yes"),(P855))))</formula>
    </cfRule>
  </conditionalFormatting>
  <conditionalFormatting sqref="P855">
    <cfRule type="containsText" dxfId="9" priority="8578" operator="containsText" text="No">
      <formula>NOT(ISERROR(SEARCH(("No"),(P855))))</formula>
    </cfRule>
  </conditionalFormatting>
  <conditionalFormatting sqref="P855">
    <cfRule type="containsText" dxfId="2" priority="8579" operator="containsText" text="Yes">
      <formula>NOT(ISERROR(SEARCH(("Yes"),(P855))))</formula>
    </cfRule>
  </conditionalFormatting>
  <conditionalFormatting sqref="P855">
    <cfRule type="containsText" dxfId="9" priority="8580" operator="containsText" text="No">
      <formula>NOT(ISERROR(SEARCH(("No"),(P855))))</formula>
    </cfRule>
  </conditionalFormatting>
  <conditionalFormatting sqref="P855">
    <cfRule type="containsText" dxfId="2" priority="8581" operator="containsText" text="Yes">
      <formula>NOT(ISERROR(SEARCH(("Yes"),(P855))))</formula>
    </cfRule>
  </conditionalFormatting>
  <conditionalFormatting sqref="P855">
    <cfRule type="containsText" dxfId="9" priority="8582" operator="containsText" text="No">
      <formula>NOT(ISERROR(SEARCH(("No"),(P855))))</formula>
    </cfRule>
  </conditionalFormatting>
  <conditionalFormatting sqref="P855">
    <cfRule type="containsText" dxfId="2" priority="8583" operator="containsText" text="Yes">
      <formula>NOT(ISERROR(SEARCH(("Yes"),(P855))))</formula>
    </cfRule>
  </conditionalFormatting>
  <conditionalFormatting sqref="P855">
    <cfRule type="containsText" dxfId="9" priority="8584" operator="containsText" text="No">
      <formula>NOT(ISERROR(SEARCH(("No"),(P855))))</formula>
    </cfRule>
  </conditionalFormatting>
  <conditionalFormatting sqref="P855">
    <cfRule type="containsText" dxfId="2" priority="8585" operator="containsText" text="Yes">
      <formula>NOT(ISERROR(SEARCH(("Yes"),(P855))))</formula>
    </cfRule>
  </conditionalFormatting>
  <conditionalFormatting sqref="P855">
    <cfRule type="containsText" dxfId="9" priority="8586" operator="containsText" text="No">
      <formula>NOT(ISERROR(SEARCH(("No"),(P855))))</formula>
    </cfRule>
  </conditionalFormatting>
  <conditionalFormatting sqref="P855">
    <cfRule type="containsText" dxfId="2" priority="8587" operator="containsText" text="Yes">
      <formula>NOT(ISERROR(SEARCH(("Yes"),(P855))))</formula>
    </cfRule>
  </conditionalFormatting>
  <conditionalFormatting sqref="P855">
    <cfRule type="containsText" dxfId="9" priority="8588" operator="containsText" text="No">
      <formula>NOT(ISERROR(SEARCH(("No"),(P855))))</formula>
    </cfRule>
  </conditionalFormatting>
  <conditionalFormatting sqref="P855">
    <cfRule type="containsText" dxfId="2" priority="8589" operator="containsText" text="Yes">
      <formula>NOT(ISERROR(SEARCH(("Yes"),(P855))))</formula>
    </cfRule>
  </conditionalFormatting>
  <conditionalFormatting sqref="P855">
    <cfRule type="containsText" dxfId="9" priority="8590" operator="containsText" text="No">
      <formula>NOT(ISERROR(SEARCH(("No"),(P855))))</formula>
    </cfRule>
  </conditionalFormatting>
  <conditionalFormatting sqref="P855">
    <cfRule type="containsText" dxfId="2" priority="8591" operator="containsText" text="Yes">
      <formula>NOT(ISERROR(SEARCH(("Yes"),(P855))))</formula>
    </cfRule>
  </conditionalFormatting>
  <conditionalFormatting sqref="P855">
    <cfRule type="containsText" dxfId="2" priority="8592" operator="containsText" text="Yes">
      <formula>NOT(ISERROR(SEARCH(("Yes"),(P855))))</formula>
    </cfRule>
  </conditionalFormatting>
  <conditionalFormatting sqref="P855">
    <cfRule type="containsText" dxfId="9" priority="8593" operator="containsText" text="No">
      <formula>NOT(ISERROR(SEARCH(("No"),(P855))))</formula>
    </cfRule>
  </conditionalFormatting>
  <conditionalFormatting sqref="P855">
    <cfRule type="containsText" dxfId="2" priority="8594" operator="containsText" text="Yes">
      <formula>NOT(ISERROR(SEARCH(("Yes"),(P855))))</formula>
    </cfRule>
  </conditionalFormatting>
  <conditionalFormatting sqref="P856">
    <cfRule type="containsText" dxfId="2" priority="8595" operator="containsText" text="Yes">
      <formula>NOT(ISERROR(SEARCH(("Yes"),(P856))))</formula>
    </cfRule>
  </conditionalFormatting>
  <conditionalFormatting sqref="P856">
    <cfRule type="containsText" dxfId="9" priority="8596" operator="containsText" text="No">
      <formula>NOT(ISERROR(SEARCH(("No"),(P856))))</formula>
    </cfRule>
  </conditionalFormatting>
  <conditionalFormatting sqref="P856">
    <cfRule type="containsText" dxfId="2" priority="8597" operator="containsText" text="Yes">
      <formula>NOT(ISERROR(SEARCH(("Yes"),(P856))))</formula>
    </cfRule>
  </conditionalFormatting>
  <conditionalFormatting sqref="P856">
    <cfRule type="containsText" dxfId="9" priority="8598" operator="containsText" text="No">
      <formula>NOT(ISERROR(SEARCH(("No"),(P856))))</formula>
    </cfRule>
  </conditionalFormatting>
  <conditionalFormatting sqref="P856">
    <cfRule type="containsText" dxfId="2" priority="8599" operator="containsText" text="Yes">
      <formula>NOT(ISERROR(SEARCH(("Yes"),(P856))))</formula>
    </cfRule>
  </conditionalFormatting>
  <conditionalFormatting sqref="P856">
    <cfRule type="containsText" dxfId="9" priority="8600" operator="containsText" text="No">
      <formula>NOT(ISERROR(SEARCH(("No"),(P856))))</formula>
    </cfRule>
  </conditionalFormatting>
  <conditionalFormatting sqref="P856">
    <cfRule type="containsText" dxfId="2" priority="8601" operator="containsText" text="Yes">
      <formula>NOT(ISERROR(SEARCH(("Yes"),(P856))))</formula>
    </cfRule>
  </conditionalFormatting>
  <conditionalFormatting sqref="P856">
    <cfRule type="containsText" dxfId="9" priority="8602" operator="containsText" text="No">
      <formula>NOT(ISERROR(SEARCH(("No"),(P856))))</formula>
    </cfRule>
  </conditionalFormatting>
  <conditionalFormatting sqref="P856">
    <cfRule type="containsText" dxfId="2" priority="8603" operator="containsText" text="Yes">
      <formula>NOT(ISERROR(SEARCH(("Yes"),(P856))))</formula>
    </cfRule>
  </conditionalFormatting>
  <conditionalFormatting sqref="P856">
    <cfRule type="containsText" dxfId="9" priority="8604" operator="containsText" text="No">
      <formula>NOT(ISERROR(SEARCH(("No"),(P856))))</formula>
    </cfRule>
  </conditionalFormatting>
  <conditionalFormatting sqref="P856">
    <cfRule type="containsText" dxfId="2" priority="8605" operator="containsText" text="Yes">
      <formula>NOT(ISERROR(SEARCH(("Yes"),(P856))))</formula>
    </cfRule>
  </conditionalFormatting>
  <conditionalFormatting sqref="P856">
    <cfRule type="containsText" dxfId="9" priority="8606" operator="containsText" text="No">
      <formula>NOT(ISERROR(SEARCH(("No"),(P856))))</formula>
    </cfRule>
  </conditionalFormatting>
  <conditionalFormatting sqref="P856">
    <cfRule type="containsText" dxfId="2" priority="8607" operator="containsText" text="Yes">
      <formula>NOT(ISERROR(SEARCH(("Yes"),(P856))))</formula>
    </cfRule>
  </conditionalFormatting>
  <conditionalFormatting sqref="P856">
    <cfRule type="containsText" dxfId="9" priority="8608" operator="containsText" text="No">
      <formula>NOT(ISERROR(SEARCH(("No"),(P856))))</formula>
    </cfRule>
  </conditionalFormatting>
  <conditionalFormatting sqref="P856">
    <cfRule type="containsText" dxfId="2" priority="8609" operator="containsText" text="Yes">
      <formula>NOT(ISERROR(SEARCH(("Yes"),(P856))))</formula>
    </cfRule>
  </conditionalFormatting>
  <conditionalFormatting sqref="P856">
    <cfRule type="containsText" dxfId="9" priority="8610" operator="containsText" text="No">
      <formula>NOT(ISERROR(SEARCH(("No"),(P856))))</formula>
    </cfRule>
  </conditionalFormatting>
  <conditionalFormatting sqref="P856">
    <cfRule type="containsText" dxfId="2" priority="8611" operator="containsText" text="Yes">
      <formula>NOT(ISERROR(SEARCH(("Yes"),(P856))))</formula>
    </cfRule>
  </conditionalFormatting>
  <conditionalFormatting sqref="P856">
    <cfRule type="containsText" dxfId="9" priority="8612" operator="containsText" text="No">
      <formula>NOT(ISERROR(SEARCH(("No"),(P856))))</formula>
    </cfRule>
  </conditionalFormatting>
  <conditionalFormatting sqref="P856">
    <cfRule type="containsText" dxfId="2" priority="8613" operator="containsText" text="Yes">
      <formula>NOT(ISERROR(SEARCH(("Yes"),(P856))))</formula>
    </cfRule>
  </conditionalFormatting>
  <conditionalFormatting sqref="P856">
    <cfRule type="containsText" dxfId="9" priority="8614" operator="containsText" text="No">
      <formula>NOT(ISERROR(SEARCH(("No"),(P856))))</formula>
    </cfRule>
  </conditionalFormatting>
  <conditionalFormatting sqref="P856">
    <cfRule type="containsText" dxfId="2" priority="8615" operator="containsText" text="Yes">
      <formula>NOT(ISERROR(SEARCH(("Yes"),(P856))))</formula>
    </cfRule>
  </conditionalFormatting>
  <conditionalFormatting sqref="P856">
    <cfRule type="containsText" dxfId="9" priority="8616" operator="containsText" text="No">
      <formula>NOT(ISERROR(SEARCH(("No"),(P856))))</formula>
    </cfRule>
  </conditionalFormatting>
  <conditionalFormatting sqref="P856">
    <cfRule type="containsText" dxfId="2" priority="8617" operator="containsText" text="Yes">
      <formula>NOT(ISERROR(SEARCH(("Yes"),(P856))))</formula>
    </cfRule>
  </conditionalFormatting>
  <conditionalFormatting sqref="P856">
    <cfRule type="containsText" dxfId="9" priority="8618" operator="containsText" text="No">
      <formula>NOT(ISERROR(SEARCH(("No"),(P856))))</formula>
    </cfRule>
  </conditionalFormatting>
  <conditionalFormatting sqref="P856">
    <cfRule type="containsText" dxfId="2" priority="8619" operator="containsText" text="Yes">
      <formula>NOT(ISERROR(SEARCH(("Yes"),(P856))))</formula>
    </cfRule>
  </conditionalFormatting>
  <conditionalFormatting sqref="P856">
    <cfRule type="containsText" dxfId="9" priority="8620" operator="containsText" text="No">
      <formula>NOT(ISERROR(SEARCH(("No"),(P856))))</formula>
    </cfRule>
  </conditionalFormatting>
  <conditionalFormatting sqref="P856">
    <cfRule type="containsText" dxfId="2" priority="8621" operator="containsText" text="Yes">
      <formula>NOT(ISERROR(SEARCH(("Yes"),(P856))))</formula>
    </cfRule>
  </conditionalFormatting>
  <conditionalFormatting sqref="P856">
    <cfRule type="containsText" dxfId="9" priority="8622" operator="containsText" text="No">
      <formula>NOT(ISERROR(SEARCH(("No"),(P856))))</formula>
    </cfRule>
  </conditionalFormatting>
  <conditionalFormatting sqref="P856">
    <cfRule type="containsText" dxfId="2" priority="8623" operator="containsText" text="Yes">
      <formula>NOT(ISERROR(SEARCH(("Yes"),(P856))))</formula>
    </cfRule>
  </conditionalFormatting>
  <conditionalFormatting sqref="P856">
    <cfRule type="containsText" dxfId="9" priority="8624" operator="containsText" text="No">
      <formula>NOT(ISERROR(SEARCH(("No"),(P856))))</formula>
    </cfRule>
  </conditionalFormatting>
  <conditionalFormatting sqref="P856">
    <cfRule type="containsText" dxfId="2" priority="8625" operator="containsText" text="Yes">
      <formula>NOT(ISERROR(SEARCH(("Yes"),(P856))))</formula>
    </cfRule>
  </conditionalFormatting>
  <conditionalFormatting sqref="P856">
    <cfRule type="containsText" dxfId="9" priority="8626" operator="containsText" text="No">
      <formula>NOT(ISERROR(SEARCH(("No"),(P856))))</formula>
    </cfRule>
  </conditionalFormatting>
  <conditionalFormatting sqref="P856">
    <cfRule type="containsText" dxfId="2" priority="8627" operator="containsText" text="Yes">
      <formula>NOT(ISERROR(SEARCH(("Yes"),(P856))))</formula>
    </cfRule>
  </conditionalFormatting>
  <conditionalFormatting sqref="P856">
    <cfRule type="containsText" dxfId="9" priority="8628" operator="containsText" text="No">
      <formula>NOT(ISERROR(SEARCH(("No"),(P856))))</formula>
    </cfRule>
  </conditionalFormatting>
  <conditionalFormatting sqref="P856">
    <cfRule type="containsText" dxfId="2" priority="8629" operator="containsText" text="Yes">
      <formula>NOT(ISERROR(SEARCH(("Yes"),(P856))))</formula>
    </cfRule>
  </conditionalFormatting>
  <conditionalFormatting sqref="P856">
    <cfRule type="containsText" dxfId="9" priority="8630" operator="containsText" text="No">
      <formula>NOT(ISERROR(SEARCH(("No"),(P856))))</formula>
    </cfRule>
  </conditionalFormatting>
  <conditionalFormatting sqref="P856">
    <cfRule type="containsText" dxfId="2" priority="8631" operator="containsText" text="Yes">
      <formula>NOT(ISERROR(SEARCH(("Yes"),(P856))))</formula>
    </cfRule>
  </conditionalFormatting>
  <conditionalFormatting sqref="P856">
    <cfRule type="containsText" dxfId="9" priority="8632" operator="containsText" text="No">
      <formula>NOT(ISERROR(SEARCH(("No"),(P856))))</formula>
    </cfRule>
  </conditionalFormatting>
  <conditionalFormatting sqref="P856">
    <cfRule type="containsText" dxfId="2" priority="8633" operator="containsText" text="Yes">
      <formula>NOT(ISERROR(SEARCH(("Yes"),(P856))))</formula>
    </cfRule>
  </conditionalFormatting>
  <conditionalFormatting sqref="P856">
    <cfRule type="containsText" dxfId="9" priority="8634" operator="containsText" text="No">
      <formula>NOT(ISERROR(SEARCH(("No"),(P856))))</formula>
    </cfRule>
  </conditionalFormatting>
  <conditionalFormatting sqref="P856">
    <cfRule type="containsText" dxfId="2" priority="8635" operator="containsText" text="Yes">
      <formula>NOT(ISERROR(SEARCH(("Yes"),(P856))))</formula>
    </cfRule>
  </conditionalFormatting>
  <conditionalFormatting sqref="P856">
    <cfRule type="containsText" dxfId="9" priority="8636" operator="containsText" text="No">
      <formula>NOT(ISERROR(SEARCH(("No"),(P856))))</formula>
    </cfRule>
  </conditionalFormatting>
  <conditionalFormatting sqref="P856">
    <cfRule type="containsText" dxfId="2" priority="8637" operator="containsText" text="Yes">
      <formula>NOT(ISERROR(SEARCH(("Yes"),(P856))))</formula>
    </cfRule>
  </conditionalFormatting>
  <conditionalFormatting sqref="P856">
    <cfRule type="containsText" dxfId="9" priority="8638" operator="containsText" text="No">
      <formula>NOT(ISERROR(SEARCH(("No"),(P856))))</formula>
    </cfRule>
  </conditionalFormatting>
  <conditionalFormatting sqref="P856">
    <cfRule type="containsText" dxfId="2" priority="8639" operator="containsText" text="Yes">
      <formula>NOT(ISERROR(SEARCH(("Yes"),(P856))))</formula>
    </cfRule>
  </conditionalFormatting>
  <conditionalFormatting sqref="P856">
    <cfRule type="containsText" dxfId="9" priority="8640" operator="containsText" text="No">
      <formula>NOT(ISERROR(SEARCH(("No"),(P856))))</formula>
    </cfRule>
  </conditionalFormatting>
  <conditionalFormatting sqref="P856">
    <cfRule type="containsText" dxfId="2" priority="8641" operator="containsText" text="Yes">
      <formula>NOT(ISERROR(SEARCH(("Yes"),(P856))))</formula>
    </cfRule>
  </conditionalFormatting>
  <conditionalFormatting sqref="P856">
    <cfRule type="containsText" dxfId="9" priority="8642" operator="containsText" text="No">
      <formula>NOT(ISERROR(SEARCH(("No"),(P856))))</formula>
    </cfRule>
  </conditionalFormatting>
  <conditionalFormatting sqref="P856">
    <cfRule type="containsText" dxfId="2" priority="8643" operator="containsText" text="Yes">
      <formula>NOT(ISERROR(SEARCH(("Yes"),(P856))))</formula>
    </cfRule>
  </conditionalFormatting>
  <conditionalFormatting sqref="P856">
    <cfRule type="containsText" dxfId="9" priority="8644" operator="containsText" text="No">
      <formula>NOT(ISERROR(SEARCH(("No"),(P856))))</formula>
    </cfRule>
  </conditionalFormatting>
  <conditionalFormatting sqref="P856">
    <cfRule type="containsText" dxfId="2" priority="8645" operator="containsText" text="Yes">
      <formula>NOT(ISERROR(SEARCH(("Yes"),(P856))))</formula>
    </cfRule>
  </conditionalFormatting>
  <conditionalFormatting sqref="P856">
    <cfRule type="containsText" dxfId="9" priority="8646" operator="containsText" text="No">
      <formula>NOT(ISERROR(SEARCH(("No"),(P856))))</formula>
    </cfRule>
  </conditionalFormatting>
  <conditionalFormatting sqref="P856">
    <cfRule type="containsText" dxfId="2" priority="8647" operator="containsText" text="Yes">
      <formula>NOT(ISERROR(SEARCH(("Yes"),(P856))))</formula>
    </cfRule>
  </conditionalFormatting>
  <conditionalFormatting sqref="P856">
    <cfRule type="containsText" dxfId="9" priority="8648" operator="containsText" text="No">
      <formula>NOT(ISERROR(SEARCH(("No"),(P856))))</formula>
    </cfRule>
  </conditionalFormatting>
  <conditionalFormatting sqref="P856">
    <cfRule type="containsText" dxfId="2" priority="8649" operator="containsText" text="Yes">
      <formula>NOT(ISERROR(SEARCH(("Yes"),(P856))))</formula>
    </cfRule>
  </conditionalFormatting>
  <conditionalFormatting sqref="P856">
    <cfRule type="containsText" dxfId="9" priority="8650" operator="containsText" text="No">
      <formula>NOT(ISERROR(SEARCH(("No"),(P856))))</formula>
    </cfRule>
  </conditionalFormatting>
  <conditionalFormatting sqref="P856">
    <cfRule type="containsText" dxfId="2" priority="8651" operator="containsText" text="Yes">
      <formula>NOT(ISERROR(SEARCH(("Yes"),(P856))))</formula>
    </cfRule>
  </conditionalFormatting>
  <conditionalFormatting sqref="P856">
    <cfRule type="containsText" dxfId="9" priority="8652" operator="containsText" text="No">
      <formula>NOT(ISERROR(SEARCH(("No"),(P856))))</formula>
    </cfRule>
  </conditionalFormatting>
  <conditionalFormatting sqref="P856">
    <cfRule type="containsText" dxfId="2" priority="8653" operator="containsText" text="Yes">
      <formula>NOT(ISERROR(SEARCH(("Yes"),(P856))))</formula>
    </cfRule>
  </conditionalFormatting>
  <conditionalFormatting sqref="P856">
    <cfRule type="containsText" dxfId="9" priority="8654" operator="containsText" text="No">
      <formula>NOT(ISERROR(SEARCH(("No"),(P856))))</formula>
    </cfRule>
  </conditionalFormatting>
  <conditionalFormatting sqref="P856">
    <cfRule type="containsText" dxfId="2" priority="8655" operator="containsText" text="Yes">
      <formula>NOT(ISERROR(SEARCH(("Yes"),(P856))))</formula>
    </cfRule>
  </conditionalFormatting>
  <conditionalFormatting sqref="P856">
    <cfRule type="containsText" dxfId="9" priority="8656" operator="containsText" text="No">
      <formula>NOT(ISERROR(SEARCH(("No"),(P856))))</formula>
    </cfRule>
  </conditionalFormatting>
  <conditionalFormatting sqref="P856">
    <cfRule type="containsText" dxfId="2" priority="8657" operator="containsText" text="Yes">
      <formula>NOT(ISERROR(SEARCH(("Yes"),(P856))))</formula>
    </cfRule>
  </conditionalFormatting>
  <conditionalFormatting sqref="P856">
    <cfRule type="containsText" dxfId="9" priority="8658" operator="containsText" text="No">
      <formula>NOT(ISERROR(SEARCH(("No"),(P856))))</formula>
    </cfRule>
  </conditionalFormatting>
  <conditionalFormatting sqref="P856">
    <cfRule type="containsText" dxfId="2" priority="8659" operator="containsText" text="Yes">
      <formula>NOT(ISERROR(SEARCH(("Yes"),(P856))))</formula>
    </cfRule>
  </conditionalFormatting>
  <conditionalFormatting sqref="P856">
    <cfRule type="containsText" dxfId="9" priority="8660" operator="containsText" text="No">
      <formula>NOT(ISERROR(SEARCH(("No"),(P856))))</formula>
    </cfRule>
  </conditionalFormatting>
  <conditionalFormatting sqref="P856">
    <cfRule type="containsText" dxfId="2" priority="8661" operator="containsText" text="Yes">
      <formula>NOT(ISERROR(SEARCH(("Yes"),(P856))))</formula>
    </cfRule>
  </conditionalFormatting>
  <conditionalFormatting sqref="P856">
    <cfRule type="containsText" dxfId="9" priority="8662" operator="containsText" text="No">
      <formula>NOT(ISERROR(SEARCH(("No"),(P856))))</formula>
    </cfRule>
  </conditionalFormatting>
  <conditionalFormatting sqref="P856">
    <cfRule type="containsText" dxfId="2" priority="8663" operator="containsText" text="Yes">
      <formula>NOT(ISERROR(SEARCH(("Yes"),(P856))))</formula>
    </cfRule>
  </conditionalFormatting>
  <conditionalFormatting sqref="P856">
    <cfRule type="containsText" dxfId="9" priority="8664" operator="containsText" text="No">
      <formula>NOT(ISERROR(SEARCH(("No"),(P856))))</formula>
    </cfRule>
  </conditionalFormatting>
  <conditionalFormatting sqref="P856">
    <cfRule type="containsText" dxfId="2" priority="8665" operator="containsText" text="Yes">
      <formula>NOT(ISERROR(SEARCH(("Yes"),(P856))))</formula>
    </cfRule>
  </conditionalFormatting>
  <conditionalFormatting sqref="P856">
    <cfRule type="containsText" dxfId="9" priority="8666" operator="containsText" text="No">
      <formula>NOT(ISERROR(SEARCH(("No"),(P856))))</formula>
    </cfRule>
  </conditionalFormatting>
  <conditionalFormatting sqref="P856">
    <cfRule type="containsText" dxfId="2" priority="8667" operator="containsText" text="Yes">
      <formula>NOT(ISERROR(SEARCH(("Yes"),(P856))))</formula>
    </cfRule>
  </conditionalFormatting>
  <conditionalFormatting sqref="P856">
    <cfRule type="containsText" dxfId="9" priority="8668" operator="containsText" text="No">
      <formula>NOT(ISERROR(SEARCH(("No"),(P856))))</formula>
    </cfRule>
  </conditionalFormatting>
  <conditionalFormatting sqref="P856">
    <cfRule type="containsText" dxfId="2" priority="8669" operator="containsText" text="Yes">
      <formula>NOT(ISERROR(SEARCH(("Yes"),(P856))))</formula>
    </cfRule>
  </conditionalFormatting>
  <conditionalFormatting sqref="P856">
    <cfRule type="containsText" dxfId="9" priority="8670" operator="containsText" text="No">
      <formula>NOT(ISERROR(SEARCH(("No"),(P856))))</formula>
    </cfRule>
  </conditionalFormatting>
  <conditionalFormatting sqref="P856">
    <cfRule type="containsText" dxfId="2" priority="8671" operator="containsText" text="Yes">
      <formula>NOT(ISERROR(SEARCH(("Yes"),(P856))))</formula>
    </cfRule>
  </conditionalFormatting>
  <conditionalFormatting sqref="P856">
    <cfRule type="containsText" dxfId="9" priority="8672" operator="containsText" text="No">
      <formula>NOT(ISERROR(SEARCH(("No"),(P856))))</formula>
    </cfRule>
  </conditionalFormatting>
  <conditionalFormatting sqref="P856">
    <cfRule type="containsText" dxfId="2" priority="8673" operator="containsText" text="Yes">
      <formula>NOT(ISERROR(SEARCH(("Yes"),(P856))))</formula>
    </cfRule>
  </conditionalFormatting>
  <conditionalFormatting sqref="P856">
    <cfRule type="containsText" dxfId="9" priority="8674" operator="containsText" text="No">
      <formula>NOT(ISERROR(SEARCH(("No"),(P856))))</formula>
    </cfRule>
  </conditionalFormatting>
  <conditionalFormatting sqref="P856">
    <cfRule type="containsText" dxfId="2" priority="8675" operator="containsText" text="Yes">
      <formula>NOT(ISERROR(SEARCH(("Yes"),(P856))))</formula>
    </cfRule>
  </conditionalFormatting>
  <conditionalFormatting sqref="P856">
    <cfRule type="containsText" dxfId="9" priority="8676" operator="containsText" text="No">
      <formula>NOT(ISERROR(SEARCH(("No"),(P856))))</formula>
    </cfRule>
  </conditionalFormatting>
  <conditionalFormatting sqref="P856">
    <cfRule type="containsText" dxfId="2" priority="8677" operator="containsText" text="Yes">
      <formula>NOT(ISERROR(SEARCH(("Yes"),(P856))))</formula>
    </cfRule>
  </conditionalFormatting>
  <conditionalFormatting sqref="P856">
    <cfRule type="containsText" dxfId="9" priority="8678" operator="containsText" text="No">
      <formula>NOT(ISERROR(SEARCH(("No"),(P856))))</formula>
    </cfRule>
  </conditionalFormatting>
  <conditionalFormatting sqref="P856">
    <cfRule type="containsText" dxfId="2" priority="8679" operator="containsText" text="Yes">
      <formula>NOT(ISERROR(SEARCH(("Yes"),(P856))))</formula>
    </cfRule>
  </conditionalFormatting>
  <conditionalFormatting sqref="P856">
    <cfRule type="containsText" dxfId="9" priority="8680" operator="containsText" text="No">
      <formula>NOT(ISERROR(SEARCH(("No"),(P856))))</formula>
    </cfRule>
  </conditionalFormatting>
  <conditionalFormatting sqref="P856">
    <cfRule type="containsText" dxfId="2" priority="8681" operator="containsText" text="Yes">
      <formula>NOT(ISERROR(SEARCH(("Yes"),(P856))))</formula>
    </cfRule>
  </conditionalFormatting>
  <conditionalFormatting sqref="P856">
    <cfRule type="containsText" dxfId="9" priority="8682" operator="containsText" text="No">
      <formula>NOT(ISERROR(SEARCH(("No"),(P856))))</formula>
    </cfRule>
  </conditionalFormatting>
  <conditionalFormatting sqref="P856">
    <cfRule type="containsText" dxfId="2" priority="8683" operator="containsText" text="Yes">
      <formula>NOT(ISERROR(SEARCH(("Yes"),(P856))))</formula>
    </cfRule>
  </conditionalFormatting>
  <conditionalFormatting sqref="P856">
    <cfRule type="containsText" dxfId="2" priority="8684" operator="containsText" text="Yes">
      <formula>NOT(ISERROR(SEARCH(("Yes"),(P856))))</formula>
    </cfRule>
  </conditionalFormatting>
  <conditionalFormatting sqref="P856">
    <cfRule type="containsText" dxfId="9" priority="8685" operator="containsText" text="No">
      <formula>NOT(ISERROR(SEARCH(("No"),(P856))))</formula>
    </cfRule>
  </conditionalFormatting>
  <conditionalFormatting sqref="P856">
    <cfRule type="containsText" dxfId="2" priority="8686" operator="containsText" text="Yes">
      <formula>NOT(ISERROR(SEARCH(("Yes"),(P856))))</formula>
    </cfRule>
  </conditionalFormatting>
  <conditionalFormatting sqref="P857:P860">
    <cfRule type="containsText" dxfId="2" priority="8687" operator="containsText" text="Yes">
      <formula>NOT(ISERROR(SEARCH(("Yes"),(P857))))</formula>
    </cfRule>
  </conditionalFormatting>
  <conditionalFormatting sqref="P857:P860">
    <cfRule type="containsText" dxfId="9" priority="8688" operator="containsText" text="No">
      <formula>NOT(ISERROR(SEARCH(("No"),(P857))))</formula>
    </cfRule>
  </conditionalFormatting>
  <conditionalFormatting sqref="P857:P860">
    <cfRule type="containsText" dxfId="2" priority="8689" operator="containsText" text="Yes">
      <formula>NOT(ISERROR(SEARCH(("Yes"),(P857))))</formula>
    </cfRule>
  </conditionalFormatting>
  <conditionalFormatting sqref="P857:P860">
    <cfRule type="containsText" dxfId="9" priority="8690" operator="containsText" text="No">
      <formula>NOT(ISERROR(SEARCH(("No"),(P857))))</formula>
    </cfRule>
  </conditionalFormatting>
  <conditionalFormatting sqref="P857:P860">
    <cfRule type="containsText" dxfId="2" priority="8691" operator="containsText" text="Yes">
      <formula>NOT(ISERROR(SEARCH(("Yes"),(P857))))</formula>
    </cfRule>
  </conditionalFormatting>
  <conditionalFormatting sqref="P857:P860">
    <cfRule type="containsText" dxfId="9" priority="8692" operator="containsText" text="No">
      <formula>NOT(ISERROR(SEARCH(("No"),(P857))))</formula>
    </cfRule>
  </conditionalFormatting>
  <conditionalFormatting sqref="P857:P860">
    <cfRule type="containsText" dxfId="2" priority="8693" operator="containsText" text="Yes">
      <formula>NOT(ISERROR(SEARCH(("Yes"),(P857))))</formula>
    </cfRule>
  </conditionalFormatting>
  <conditionalFormatting sqref="P857:P860">
    <cfRule type="containsText" dxfId="9" priority="8694" operator="containsText" text="No">
      <formula>NOT(ISERROR(SEARCH(("No"),(P857))))</formula>
    </cfRule>
  </conditionalFormatting>
  <conditionalFormatting sqref="P857:P860">
    <cfRule type="containsText" dxfId="2" priority="8695" operator="containsText" text="Yes">
      <formula>NOT(ISERROR(SEARCH(("Yes"),(P857))))</formula>
    </cfRule>
  </conditionalFormatting>
  <conditionalFormatting sqref="P857:P860">
    <cfRule type="containsText" dxfId="9" priority="8696" operator="containsText" text="No">
      <formula>NOT(ISERROR(SEARCH(("No"),(P857))))</formula>
    </cfRule>
  </conditionalFormatting>
  <conditionalFormatting sqref="P857:P860">
    <cfRule type="containsText" dxfId="2" priority="8697" operator="containsText" text="Yes">
      <formula>NOT(ISERROR(SEARCH(("Yes"),(P857))))</formula>
    </cfRule>
  </conditionalFormatting>
  <conditionalFormatting sqref="P857:P860">
    <cfRule type="containsText" dxfId="9" priority="8698" operator="containsText" text="No">
      <formula>NOT(ISERROR(SEARCH(("No"),(P857))))</formula>
    </cfRule>
  </conditionalFormatting>
  <conditionalFormatting sqref="P857:P860">
    <cfRule type="containsText" dxfId="2" priority="8699" operator="containsText" text="Yes">
      <formula>NOT(ISERROR(SEARCH(("Yes"),(P857))))</formula>
    </cfRule>
  </conditionalFormatting>
  <conditionalFormatting sqref="P857:P860">
    <cfRule type="containsText" dxfId="9" priority="8700" operator="containsText" text="No">
      <formula>NOT(ISERROR(SEARCH(("No"),(P857))))</formula>
    </cfRule>
  </conditionalFormatting>
  <conditionalFormatting sqref="P857:P860">
    <cfRule type="containsText" dxfId="2" priority="8701" operator="containsText" text="Yes">
      <formula>NOT(ISERROR(SEARCH(("Yes"),(P857))))</formula>
    </cfRule>
  </conditionalFormatting>
  <conditionalFormatting sqref="P857:P860">
    <cfRule type="containsText" dxfId="9" priority="8702" operator="containsText" text="No">
      <formula>NOT(ISERROR(SEARCH(("No"),(P857))))</formula>
    </cfRule>
  </conditionalFormatting>
  <conditionalFormatting sqref="P857:P860">
    <cfRule type="containsText" dxfId="2" priority="8703" operator="containsText" text="Yes">
      <formula>NOT(ISERROR(SEARCH(("Yes"),(P857))))</formula>
    </cfRule>
  </conditionalFormatting>
  <conditionalFormatting sqref="P857:P860">
    <cfRule type="containsText" dxfId="9" priority="8704" operator="containsText" text="No">
      <formula>NOT(ISERROR(SEARCH(("No"),(P857))))</formula>
    </cfRule>
  </conditionalFormatting>
  <conditionalFormatting sqref="P857:P860">
    <cfRule type="containsText" dxfId="2" priority="8705" operator="containsText" text="Yes">
      <formula>NOT(ISERROR(SEARCH(("Yes"),(P857))))</formula>
    </cfRule>
  </conditionalFormatting>
  <conditionalFormatting sqref="P857:P860">
    <cfRule type="containsText" dxfId="9" priority="8706" operator="containsText" text="No">
      <formula>NOT(ISERROR(SEARCH(("No"),(P857))))</formula>
    </cfRule>
  </conditionalFormatting>
  <conditionalFormatting sqref="P857:P860">
    <cfRule type="containsText" dxfId="2" priority="8707" operator="containsText" text="Yes">
      <formula>NOT(ISERROR(SEARCH(("Yes"),(P857))))</formula>
    </cfRule>
  </conditionalFormatting>
  <conditionalFormatting sqref="P857:P860">
    <cfRule type="containsText" dxfId="9" priority="8708" operator="containsText" text="No">
      <formula>NOT(ISERROR(SEARCH(("No"),(P857))))</formula>
    </cfRule>
  </conditionalFormatting>
  <conditionalFormatting sqref="P857:P860">
    <cfRule type="containsText" dxfId="2" priority="8709" operator="containsText" text="Yes">
      <formula>NOT(ISERROR(SEARCH(("Yes"),(P857))))</formula>
    </cfRule>
  </conditionalFormatting>
  <conditionalFormatting sqref="P857:P860">
    <cfRule type="containsText" dxfId="9" priority="8710" operator="containsText" text="No">
      <formula>NOT(ISERROR(SEARCH(("No"),(P857))))</formula>
    </cfRule>
  </conditionalFormatting>
  <conditionalFormatting sqref="P857:P860">
    <cfRule type="containsText" dxfId="2" priority="8711" operator="containsText" text="Yes">
      <formula>NOT(ISERROR(SEARCH(("Yes"),(P857))))</formula>
    </cfRule>
  </conditionalFormatting>
  <conditionalFormatting sqref="P857:P860">
    <cfRule type="containsText" dxfId="9" priority="8712" operator="containsText" text="No">
      <formula>NOT(ISERROR(SEARCH(("No"),(P857))))</formula>
    </cfRule>
  </conditionalFormatting>
  <conditionalFormatting sqref="P857:P860">
    <cfRule type="containsText" dxfId="2" priority="8713" operator="containsText" text="Yes">
      <formula>NOT(ISERROR(SEARCH(("Yes"),(P857))))</formula>
    </cfRule>
  </conditionalFormatting>
  <conditionalFormatting sqref="P857:P860">
    <cfRule type="containsText" dxfId="9" priority="8714" operator="containsText" text="No">
      <formula>NOT(ISERROR(SEARCH(("No"),(P857))))</formula>
    </cfRule>
  </conditionalFormatting>
  <conditionalFormatting sqref="P857:P860">
    <cfRule type="containsText" dxfId="2" priority="8715" operator="containsText" text="Yes">
      <formula>NOT(ISERROR(SEARCH(("Yes"),(P857))))</formula>
    </cfRule>
  </conditionalFormatting>
  <conditionalFormatting sqref="P857:P860">
    <cfRule type="containsText" dxfId="9" priority="8716" operator="containsText" text="No">
      <formula>NOT(ISERROR(SEARCH(("No"),(P857))))</formula>
    </cfRule>
  </conditionalFormatting>
  <conditionalFormatting sqref="P857:P860">
    <cfRule type="containsText" dxfId="2" priority="8717" operator="containsText" text="Yes">
      <formula>NOT(ISERROR(SEARCH(("Yes"),(P857))))</formula>
    </cfRule>
  </conditionalFormatting>
  <conditionalFormatting sqref="P857:P860">
    <cfRule type="containsText" dxfId="9" priority="8718" operator="containsText" text="No">
      <formula>NOT(ISERROR(SEARCH(("No"),(P857))))</formula>
    </cfRule>
  </conditionalFormatting>
  <conditionalFormatting sqref="P857:P860">
    <cfRule type="containsText" dxfId="2" priority="8719" operator="containsText" text="Yes">
      <formula>NOT(ISERROR(SEARCH(("Yes"),(P857))))</formula>
    </cfRule>
  </conditionalFormatting>
  <conditionalFormatting sqref="P857:P860">
    <cfRule type="containsText" dxfId="9" priority="8720" operator="containsText" text="No">
      <formula>NOT(ISERROR(SEARCH(("No"),(P857))))</formula>
    </cfRule>
  </conditionalFormatting>
  <conditionalFormatting sqref="P857:P860">
    <cfRule type="containsText" dxfId="2" priority="8721" operator="containsText" text="Yes">
      <formula>NOT(ISERROR(SEARCH(("Yes"),(P857))))</formula>
    </cfRule>
  </conditionalFormatting>
  <conditionalFormatting sqref="P857:P860">
    <cfRule type="containsText" dxfId="9" priority="8722" operator="containsText" text="No">
      <formula>NOT(ISERROR(SEARCH(("No"),(P857))))</formula>
    </cfRule>
  </conditionalFormatting>
  <conditionalFormatting sqref="P857:P860">
    <cfRule type="containsText" dxfId="2" priority="8723" operator="containsText" text="Yes">
      <formula>NOT(ISERROR(SEARCH(("Yes"),(P857))))</formula>
    </cfRule>
  </conditionalFormatting>
  <conditionalFormatting sqref="P857:P860">
    <cfRule type="containsText" dxfId="9" priority="8724" operator="containsText" text="No">
      <formula>NOT(ISERROR(SEARCH(("No"),(P857))))</formula>
    </cfRule>
  </conditionalFormatting>
  <conditionalFormatting sqref="P857:P860">
    <cfRule type="containsText" dxfId="2" priority="8725" operator="containsText" text="Yes">
      <formula>NOT(ISERROR(SEARCH(("Yes"),(P857))))</formula>
    </cfRule>
  </conditionalFormatting>
  <conditionalFormatting sqref="P857:P860">
    <cfRule type="containsText" dxfId="9" priority="8726" operator="containsText" text="No">
      <formula>NOT(ISERROR(SEARCH(("No"),(P857))))</formula>
    </cfRule>
  </conditionalFormatting>
  <conditionalFormatting sqref="P857:P860">
    <cfRule type="containsText" dxfId="2" priority="8727" operator="containsText" text="Yes">
      <formula>NOT(ISERROR(SEARCH(("Yes"),(P857))))</formula>
    </cfRule>
  </conditionalFormatting>
  <conditionalFormatting sqref="P857:P860">
    <cfRule type="containsText" dxfId="9" priority="8728" operator="containsText" text="No">
      <formula>NOT(ISERROR(SEARCH(("No"),(P857))))</formula>
    </cfRule>
  </conditionalFormatting>
  <conditionalFormatting sqref="P857:P860">
    <cfRule type="containsText" dxfId="2" priority="8729" operator="containsText" text="Yes">
      <formula>NOT(ISERROR(SEARCH(("Yes"),(P857))))</formula>
    </cfRule>
  </conditionalFormatting>
  <conditionalFormatting sqref="P857:P860">
    <cfRule type="containsText" dxfId="9" priority="8730" operator="containsText" text="No">
      <formula>NOT(ISERROR(SEARCH(("No"),(P857))))</formula>
    </cfRule>
  </conditionalFormatting>
  <conditionalFormatting sqref="P857:P860">
    <cfRule type="containsText" dxfId="2" priority="8731" operator="containsText" text="Yes">
      <formula>NOT(ISERROR(SEARCH(("Yes"),(P857))))</formula>
    </cfRule>
  </conditionalFormatting>
  <conditionalFormatting sqref="P857:P860">
    <cfRule type="containsText" dxfId="9" priority="8732" operator="containsText" text="No">
      <formula>NOT(ISERROR(SEARCH(("No"),(P857))))</formula>
    </cfRule>
  </conditionalFormatting>
  <conditionalFormatting sqref="P857:P860">
    <cfRule type="containsText" dxfId="2" priority="8733" operator="containsText" text="Yes">
      <formula>NOT(ISERROR(SEARCH(("Yes"),(P857))))</formula>
    </cfRule>
  </conditionalFormatting>
  <conditionalFormatting sqref="P857:P860">
    <cfRule type="containsText" dxfId="9" priority="8734" operator="containsText" text="No">
      <formula>NOT(ISERROR(SEARCH(("No"),(P857))))</formula>
    </cfRule>
  </conditionalFormatting>
  <conditionalFormatting sqref="P857:P860">
    <cfRule type="containsText" dxfId="2" priority="8735" operator="containsText" text="Yes">
      <formula>NOT(ISERROR(SEARCH(("Yes"),(P857))))</formula>
    </cfRule>
  </conditionalFormatting>
  <conditionalFormatting sqref="P857:P860">
    <cfRule type="containsText" dxfId="9" priority="8736" operator="containsText" text="No">
      <formula>NOT(ISERROR(SEARCH(("No"),(P857))))</formula>
    </cfRule>
  </conditionalFormatting>
  <conditionalFormatting sqref="P857:P860">
    <cfRule type="containsText" dxfId="2" priority="8737" operator="containsText" text="Yes">
      <formula>NOT(ISERROR(SEARCH(("Yes"),(P857))))</formula>
    </cfRule>
  </conditionalFormatting>
  <conditionalFormatting sqref="P857:P860">
    <cfRule type="containsText" dxfId="9" priority="8738" operator="containsText" text="No">
      <formula>NOT(ISERROR(SEARCH(("No"),(P857))))</formula>
    </cfRule>
  </conditionalFormatting>
  <conditionalFormatting sqref="P857:P860">
    <cfRule type="containsText" dxfId="2" priority="8739" operator="containsText" text="Yes">
      <formula>NOT(ISERROR(SEARCH(("Yes"),(P857))))</formula>
    </cfRule>
  </conditionalFormatting>
  <conditionalFormatting sqref="P857:P860">
    <cfRule type="containsText" dxfId="9" priority="8740" operator="containsText" text="No">
      <formula>NOT(ISERROR(SEARCH(("No"),(P857))))</formula>
    </cfRule>
  </conditionalFormatting>
  <conditionalFormatting sqref="P857:P860">
    <cfRule type="containsText" dxfId="2" priority="8741" operator="containsText" text="Yes">
      <formula>NOT(ISERROR(SEARCH(("Yes"),(P857))))</formula>
    </cfRule>
  </conditionalFormatting>
  <conditionalFormatting sqref="P857:P860">
    <cfRule type="containsText" dxfId="9" priority="8742" operator="containsText" text="No">
      <formula>NOT(ISERROR(SEARCH(("No"),(P857))))</formula>
    </cfRule>
  </conditionalFormatting>
  <conditionalFormatting sqref="P857:P860">
    <cfRule type="containsText" dxfId="2" priority="8743" operator="containsText" text="Yes">
      <formula>NOT(ISERROR(SEARCH(("Yes"),(P857))))</formula>
    </cfRule>
  </conditionalFormatting>
  <conditionalFormatting sqref="P857:P860">
    <cfRule type="containsText" dxfId="9" priority="8744" operator="containsText" text="No">
      <formula>NOT(ISERROR(SEARCH(("No"),(P857))))</formula>
    </cfRule>
  </conditionalFormatting>
  <conditionalFormatting sqref="P857:P860">
    <cfRule type="containsText" dxfId="2" priority="8745" operator="containsText" text="Yes">
      <formula>NOT(ISERROR(SEARCH(("Yes"),(P857))))</formula>
    </cfRule>
  </conditionalFormatting>
  <conditionalFormatting sqref="P857:P860">
    <cfRule type="containsText" dxfId="9" priority="8746" operator="containsText" text="No">
      <formula>NOT(ISERROR(SEARCH(("No"),(P857))))</formula>
    </cfRule>
  </conditionalFormatting>
  <conditionalFormatting sqref="P857:P860">
    <cfRule type="containsText" dxfId="2" priority="8747" operator="containsText" text="Yes">
      <formula>NOT(ISERROR(SEARCH(("Yes"),(P857))))</formula>
    </cfRule>
  </conditionalFormatting>
  <conditionalFormatting sqref="P857:P860">
    <cfRule type="containsText" dxfId="9" priority="8748" operator="containsText" text="No">
      <formula>NOT(ISERROR(SEARCH(("No"),(P857))))</formula>
    </cfRule>
  </conditionalFormatting>
  <conditionalFormatting sqref="P857:P860">
    <cfRule type="containsText" dxfId="2" priority="8749" operator="containsText" text="Yes">
      <formula>NOT(ISERROR(SEARCH(("Yes"),(P857))))</formula>
    </cfRule>
  </conditionalFormatting>
  <conditionalFormatting sqref="P857:P860">
    <cfRule type="containsText" dxfId="9" priority="8750" operator="containsText" text="No">
      <formula>NOT(ISERROR(SEARCH(("No"),(P857))))</formula>
    </cfRule>
  </conditionalFormatting>
  <conditionalFormatting sqref="P857:P860">
    <cfRule type="containsText" dxfId="2" priority="8751" operator="containsText" text="Yes">
      <formula>NOT(ISERROR(SEARCH(("Yes"),(P857))))</formula>
    </cfRule>
  </conditionalFormatting>
  <conditionalFormatting sqref="P857:P860">
    <cfRule type="containsText" dxfId="9" priority="8752" operator="containsText" text="No">
      <formula>NOT(ISERROR(SEARCH(("No"),(P857))))</formula>
    </cfRule>
  </conditionalFormatting>
  <conditionalFormatting sqref="P857:P860">
    <cfRule type="containsText" dxfId="2" priority="8753" operator="containsText" text="Yes">
      <formula>NOT(ISERROR(SEARCH(("Yes"),(P857))))</formula>
    </cfRule>
  </conditionalFormatting>
  <conditionalFormatting sqref="P857:P860">
    <cfRule type="containsText" dxfId="9" priority="8754" operator="containsText" text="No">
      <formula>NOT(ISERROR(SEARCH(("No"),(P857))))</formula>
    </cfRule>
  </conditionalFormatting>
  <conditionalFormatting sqref="P857:P860">
    <cfRule type="containsText" dxfId="2" priority="8755" operator="containsText" text="Yes">
      <formula>NOT(ISERROR(SEARCH(("Yes"),(P857))))</formula>
    </cfRule>
  </conditionalFormatting>
  <conditionalFormatting sqref="P857:P860">
    <cfRule type="containsText" dxfId="9" priority="8756" operator="containsText" text="No">
      <formula>NOT(ISERROR(SEARCH(("No"),(P857))))</formula>
    </cfRule>
  </conditionalFormatting>
  <conditionalFormatting sqref="P857:P860">
    <cfRule type="containsText" dxfId="2" priority="8757" operator="containsText" text="Yes">
      <formula>NOT(ISERROR(SEARCH(("Yes"),(P857))))</formula>
    </cfRule>
  </conditionalFormatting>
  <conditionalFormatting sqref="P857:P860">
    <cfRule type="containsText" dxfId="9" priority="8758" operator="containsText" text="No">
      <formula>NOT(ISERROR(SEARCH(("No"),(P857))))</formula>
    </cfRule>
  </conditionalFormatting>
  <conditionalFormatting sqref="P857:P860">
    <cfRule type="containsText" dxfId="2" priority="8759" operator="containsText" text="Yes">
      <formula>NOT(ISERROR(SEARCH(("Yes"),(P857))))</formula>
    </cfRule>
  </conditionalFormatting>
  <conditionalFormatting sqref="P857:P860">
    <cfRule type="containsText" dxfId="9" priority="8760" operator="containsText" text="No">
      <formula>NOT(ISERROR(SEARCH(("No"),(P857))))</formula>
    </cfRule>
  </conditionalFormatting>
  <conditionalFormatting sqref="P857:P860">
    <cfRule type="containsText" dxfId="2" priority="8761" operator="containsText" text="Yes">
      <formula>NOT(ISERROR(SEARCH(("Yes"),(P857))))</formula>
    </cfRule>
  </conditionalFormatting>
  <conditionalFormatting sqref="P857:P860">
    <cfRule type="containsText" dxfId="9" priority="8762" operator="containsText" text="No">
      <formula>NOT(ISERROR(SEARCH(("No"),(P857))))</formula>
    </cfRule>
  </conditionalFormatting>
  <conditionalFormatting sqref="P857:P860">
    <cfRule type="containsText" dxfId="2" priority="8763" operator="containsText" text="Yes">
      <formula>NOT(ISERROR(SEARCH(("Yes"),(P857))))</formula>
    </cfRule>
  </conditionalFormatting>
  <conditionalFormatting sqref="P857:P860">
    <cfRule type="containsText" dxfId="9" priority="8764" operator="containsText" text="No">
      <formula>NOT(ISERROR(SEARCH(("No"),(P857))))</formula>
    </cfRule>
  </conditionalFormatting>
  <conditionalFormatting sqref="P857:P860">
    <cfRule type="containsText" dxfId="2" priority="8765" operator="containsText" text="Yes">
      <formula>NOT(ISERROR(SEARCH(("Yes"),(P857))))</formula>
    </cfRule>
  </conditionalFormatting>
  <conditionalFormatting sqref="P857:P860">
    <cfRule type="containsText" dxfId="9" priority="8766" operator="containsText" text="No">
      <formula>NOT(ISERROR(SEARCH(("No"),(P857))))</formula>
    </cfRule>
  </conditionalFormatting>
  <conditionalFormatting sqref="P857:P860">
    <cfRule type="containsText" dxfId="2" priority="8767" operator="containsText" text="Yes">
      <formula>NOT(ISERROR(SEARCH(("Yes"),(P857))))</formula>
    </cfRule>
  </conditionalFormatting>
  <conditionalFormatting sqref="P857:P860">
    <cfRule type="containsText" dxfId="9" priority="8768" operator="containsText" text="No">
      <formula>NOT(ISERROR(SEARCH(("No"),(P857))))</formula>
    </cfRule>
  </conditionalFormatting>
  <conditionalFormatting sqref="P857:P860">
    <cfRule type="containsText" dxfId="2" priority="8769" operator="containsText" text="Yes">
      <formula>NOT(ISERROR(SEARCH(("Yes"),(P857))))</formula>
    </cfRule>
  </conditionalFormatting>
  <conditionalFormatting sqref="P857:P860">
    <cfRule type="containsText" dxfId="9" priority="8770" operator="containsText" text="No">
      <formula>NOT(ISERROR(SEARCH(("No"),(P857))))</formula>
    </cfRule>
  </conditionalFormatting>
  <conditionalFormatting sqref="P857:P860">
    <cfRule type="containsText" dxfId="2" priority="8771" operator="containsText" text="Yes">
      <formula>NOT(ISERROR(SEARCH(("Yes"),(P857))))</formula>
    </cfRule>
  </conditionalFormatting>
  <conditionalFormatting sqref="P857:P860">
    <cfRule type="containsText" dxfId="9" priority="8772" operator="containsText" text="No">
      <formula>NOT(ISERROR(SEARCH(("No"),(P857))))</formula>
    </cfRule>
  </conditionalFormatting>
  <conditionalFormatting sqref="P857:P860">
    <cfRule type="containsText" dxfId="2" priority="8773" operator="containsText" text="Yes">
      <formula>NOT(ISERROR(SEARCH(("Yes"),(P857))))</formula>
    </cfRule>
  </conditionalFormatting>
  <conditionalFormatting sqref="P857:P860">
    <cfRule type="containsText" dxfId="9" priority="8774" operator="containsText" text="No">
      <formula>NOT(ISERROR(SEARCH(("No"),(P857))))</formula>
    </cfRule>
  </conditionalFormatting>
  <conditionalFormatting sqref="P857:P860">
    <cfRule type="containsText" dxfId="2" priority="8775" operator="containsText" text="Yes">
      <formula>NOT(ISERROR(SEARCH(("Yes"),(P857))))</formula>
    </cfRule>
  </conditionalFormatting>
  <conditionalFormatting sqref="P857:P860">
    <cfRule type="containsText" dxfId="2" priority="8776" operator="containsText" text="Yes">
      <formula>NOT(ISERROR(SEARCH(("Yes"),(P857))))</formula>
    </cfRule>
  </conditionalFormatting>
  <conditionalFormatting sqref="P857:P860">
    <cfRule type="containsText" dxfId="9" priority="8777" operator="containsText" text="No">
      <formula>NOT(ISERROR(SEARCH(("No"),(P857))))</formula>
    </cfRule>
  </conditionalFormatting>
  <conditionalFormatting sqref="P857:P860">
    <cfRule type="containsText" dxfId="2" priority="8778" operator="containsText" text="Yes">
      <formula>NOT(ISERROR(SEARCH(("Yes"),(P857))))</formula>
    </cfRule>
  </conditionalFormatting>
  <conditionalFormatting sqref="P861">
    <cfRule type="containsText" dxfId="2" priority="8779" operator="containsText" text="Yes">
      <formula>NOT(ISERROR(SEARCH(("Yes"),(P861))))</formula>
    </cfRule>
  </conditionalFormatting>
  <conditionalFormatting sqref="P861">
    <cfRule type="containsText" dxfId="9" priority="8780" operator="containsText" text="No">
      <formula>NOT(ISERROR(SEARCH(("No"),(P861))))</formula>
    </cfRule>
  </conditionalFormatting>
  <conditionalFormatting sqref="P861">
    <cfRule type="containsText" dxfId="2" priority="8781" operator="containsText" text="Yes">
      <formula>NOT(ISERROR(SEARCH(("Yes"),(P861))))</formula>
    </cfRule>
  </conditionalFormatting>
  <conditionalFormatting sqref="P861">
    <cfRule type="containsText" dxfId="9" priority="8782" operator="containsText" text="No">
      <formula>NOT(ISERROR(SEARCH(("No"),(P861))))</formula>
    </cfRule>
  </conditionalFormatting>
  <conditionalFormatting sqref="P861">
    <cfRule type="containsText" dxfId="2" priority="8783" operator="containsText" text="Yes">
      <formula>NOT(ISERROR(SEARCH(("Yes"),(P861))))</formula>
    </cfRule>
  </conditionalFormatting>
  <conditionalFormatting sqref="P861">
    <cfRule type="containsText" dxfId="9" priority="8784" operator="containsText" text="No">
      <formula>NOT(ISERROR(SEARCH(("No"),(P861))))</formula>
    </cfRule>
  </conditionalFormatting>
  <conditionalFormatting sqref="P861">
    <cfRule type="containsText" dxfId="2" priority="8785" operator="containsText" text="Yes">
      <formula>NOT(ISERROR(SEARCH(("Yes"),(P861))))</formula>
    </cfRule>
  </conditionalFormatting>
  <conditionalFormatting sqref="P861">
    <cfRule type="containsText" dxfId="9" priority="8786" operator="containsText" text="No">
      <formula>NOT(ISERROR(SEARCH(("No"),(P861))))</formula>
    </cfRule>
  </conditionalFormatting>
  <conditionalFormatting sqref="P861">
    <cfRule type="containsText" dxfId="2" priority="8787" operator="containsText" text="Yes">
      <formula>NOT(ISERROR(SEARCH(("Yes"),(P861))))</formula>
    </cfRule>
  </conditionalFormatting>
  <conditionalFormatting sqref="P861">
    <cfRule type="containsText" dxfId="9" priority="8788" operator="containsText" text="No">
      <formula>NOT(ISERROR(SEARCH(("No"),(P861))))</formula>
    </cfRule>
  </conditionalFormatting>
  <conditionalFormatting sqref="P861">
    <cfRule type="containsText" dxfId="2" priority="8789" operator="containsText" text="Yes">
      <formula>NOT(ISERROR(SEARCH(("Yes"),(P861))))</formula>
    </cfRule>
  </conditionalFormatting>
  <conditionalFormatting sqref="P861">
    <cfRule type="containsText" dxfId="9" priority="8790" operator="containsText" text="No">
      <formula>NOT(ISERROR(SEARCH(("No"),(P861))))</formula>
    </cfRule>
  </conditionalFormatting>
  <conditionalFormatting sqref="P861">
    <cfRule type="containsText" dxfId="2" priority="8791" operator="containsText" text="Yes">
      <formula>NOT(ISERROR(SEARCH(("Yes"),(P861))))</formula>
    </cfRule>
  </conditionalFormatting>
  <conditionalFormatting sqref="P861">
    <cfRule type="containsText" dxfId="9" priority="8792" operator="containsText" text="No">
      <formula>NOT(ISERROR(SEARCH(("No"),(P861))))</formula>
    </cfRule>
  </conditionalFormatting>
  <conditionalFormatting sqref="P861">
    <cfRule type="containsText" dxfId="2" priority="8793" operator="containsText" text="Yes">
      <formula>NOT(ISERROR(SEARCH(("Yes"),(P861))))</formula>
    </cfRule>
  </conditionalFormatting>
  <conditionalFormatting sqref="P861">
    <cfRule type="containsText" dxfId="9" priority="8794" operator="containsText" text="No">
      <formula>NOT(ISERROR(SEARCH(("No"),(P861))))</formula>
    </cfRule>
  </conditionalFormatting>
  <conditionalFormatting sqref="P861">
    <cfRule type="containsText" dxfId="2" priority="8795" operator="containsText" text="Yes">
      <formula>NOT(ISERROR(SEARCH(("Yes"),(P861))))</formula>
    </cfRule>
  </conditionalFormatting>
  <conditionalFormatting sqref="P861">
    <cfRule type="containsText" dxfId="9" priority="8796" operator="containsText" text="No">
      <formula>NOT(ISERROR(SEARCH(("No"),(P861))))</formula>
    </cfRule>
  </conditionalFormatting>
  <conditionalFormatting sqref="P861">
    <cfRule type="containsText" dxfId="2" priority="8797" operator="containsText" text="Yes">
      <formula>NOT(ISERROR(SEARCH(("Yes"),(P861))))</formula>
    </cfRule>
  </conditionalFormatting>
  <conditionalFormatting sqref="P861">
    <cfRule type="containsText" dxfId="9" priority="8798" operator="containsText" text="No">
      <formula>NOT(ISERROR(SEARCH(("No"),(P861))))</formula>
    </cfRule>
  </conditionalFormatting>
  <conditionalFormatting sqref="P861">
    <cfRule type="containsText" dxfId="2" priority="8799" operator="containsText" text="Yes">
      <formula>NOT(ISERROR(SEARCH(("Yes"),(P861))))</formula>
    </cfRule>
  </conditionalFormatting>
  <conditionalFormatting sqref="P861">
    <cfRule type="containsText" dxfId="9" priority="8800" operator="containsText" text="No">
      <formula>NOT(ISERROR(SEARCH(("No"),(P861))))</formula>
    </cfRule>
  </conditionalFormatting>
  <conditionalFormatting sqref="P861">
    <cfRule type="containsText" dxfId="2" priority="8801" operator="containsText" text="Yes">
      <formula>NOT(ISERROR(SEARCH(("Yes"),(P861))))</formula>
    </cfRule>
  </conditionalFormatting>
  <conditionalFormatting sqref="P861">
    <cfRule type="containsText" dxfId="9" priority="8802" operator="containsText" text="No">
      <formula>NOT(ISERROR(SEARCH(("No"),(P861))))</formula>
    </cfRule>
  </conditionalFormatting>
  <conditionalFormatting sqref="P861">
    <cfRule type="containsText" dxfId="2" priority="8803" operator="containsText" text="Yes">
      <formula>NOT(ISERROR(SEARCH(("Yes"),(P861))))</formula>
    </cfRule>
  </conditionalFormatting>
  <conditionalFormatting sqref="P861">
    <cfRule type="containsText" dxfId="9" priority="8804" operator="containsText" text="No">
      <formula>NOT(ISERROR(SEARCH(("No"),(P861))))</formula>
    </cfRule>
  </conditionalFormatting>
  <conditionalFormatting sqref="P861">
    <cfRule type="containsText" dxfId="2" priority="8805" operator="containsText" text="Yes">
      <formula>NOT(ISERROR(SEARCH(("Yes"),(P861))))</formula>
    </cfRule>
  </conditionalFormatting>
  <conditionalFormatting sqref="P861">
    <cfRule type="containsText" dxfId="9" priority="8806" operator="containsText" text="No">
      <formula>NOT(ISERROR(SEARCH(("No"),(P861))))</formula>
    </cfRule>
  </conditionalFormatting>
  <conditionalFormatting sqref="P861">
    <cfRule type="containsText" dxfId="2" priority="8807" operator="containsText" text="Yes">
      <formula>NOT(ISERROR(SEARCH(("Yes"),(P861))))</formula>
    </cfRule>
  </conditionalFormatting>
  <conditionalFormatting sqref="P861">
    <cfRule type="containsText" dxfId="9" priority="8808" operator="containsText" text="No">
      <formula>NOT(ISERROR(SEARCH(("No"),(P861))))</formula>
    </cfRule>
  </conditionalFormatting>
  <conditionalFormatting sqref="P861">
    <cfRule type="containsText" dxfId="2" priority="8809" operator="containsText" text="Yes">
      <formula>NOT(ISERROR(SEARCH(("Yes"),(P861))))</formula>
    </cfRule>
  </conditionalFormatting>
  <conditionalFormatting sqref="P861">
    <cfRule type="containsText" dxfId="9" priority="8810" operator="containsText" text="No">
      <formula>NOT(ISERROR(SEARCH(("No"),(P861))))</formula>
    </cfRule>
  </conditionalFormatting>
  <conditionalFormatting sqref="P861">
    <cfRule type="containsText" dxfId="2" priority="8811" operator="containsText" text="Yes">
      <formula>NOT(ISERROR(SEARCH(("Yes"),(P861))))</formula>
    </cfRule>
  </conditionalFormatting>
  <conditionalFormatting sqref="P861">
    <cfRule type="containsText" dxfId="9" priority="8812" operator="containsText" text="No">
      <formula>NOT(ISERROR(SEARCH(("No"),(P861))))</formula>
    </cfRule>
  </conditionalFormatting>
  <conditionalFormatting sqref="P861">
    <cfRule type="containsText" dxfId="2" priority="8813" operator="containsText" text="Yes">
      <formula>NOT(ISERROR(SEARCH(("Yes"),(P861))))</formula>
    </cfRule>
  </conditionalFormatting>
  <conditionalFormatting sqref="P861">
    <cfRule type="containsText" dxfId="9" priority="8814" operator="containsText" text="No">
      <formula>NOT(ISERROR(SEARCH(("No"),(P861))))</formula>
    </cfRule>
  </conditionalFormatting>
  <conditionalFormatting sqref="P861">
    <cfRule type="containsText" dxfId="2" priority="8815" operator="containsText" text="Yes">
      <formula>NOT(ISERROR(SEARCH(("Yes"),(P861))))</formula>
    </cfRule>
  </conditionalFormatting>
  <conditionalFormatting sqref="P861">
    <cfRule type="containsText" dxfId="9" priority="8816" operator="containsText" text="No">
      <formula>NOT(ISERROR(SEARCH(("No"),(P861))))</formula>
    </cfRule>
  </conditionalFormatting>
  <conditionalFormatting sqref="P861">
    <cfRule type="containsText" dxfId="2" priority="8817" operator="containsText" text="Yes">
      <formula>NOT(ISERROR(SEARCH(("Yes"),(P861))))</formula>
    </cfRule>
  </conditionalFormatting>
  <conditionalFormatting sqref="P861">
    <cfRule type="containsText" dxfId="9" priority="8818" operator="containsText" text="No">
      <formula>NOT(ISERROR(SEARCH(("No"),(P861))))</formula>
    </cfRule>
  </conditionalFormatting>
  <conditionalFormatting sqref="P861">
    <cfRule type="containsText" dxfId="2" priority="8819" operator="containsText" text="Yes">
      <formula>NOT(ISERROR(SEARCH(("Yes"),(P861))))</formula>
    </cfRule>
  </conditionalFormatting>
  <conditionalFormatting sqref="P861">
    <cfRule type="containsText" dxfId="9" priority="8820" operator="containsText" text="No">
      <formula>NOT(ISERROR(SEARCH(("No"),(P861))))</formula>
    </cfRule>
  </conditionalFormatting>
  <conditionalFormatting sqref="P861">
    <cfRule type="containsText" dxfId="2" priority="8821" operator="containsText" text="Yes">
      <formula>NOT(ISERROR(SEARCH(("Yes"),(P861))))</formula>
    </cfRule>
  </conditionalFormatting>
  <conditionalFormatting sqref="P861">
    <cfRule type="containsText" dxfId="9" priority="8822" operator="containsText" text="No">
      <formula>NOT(ISERROR(SEARCH(("No"),(P861))))</formula>
    </cfRule>
  </conditionalFormatting>
  <conditionalFormatting sqref="P861">
    <cfRule type="containsText" dxfId="2" priority="8823" operator="containsText" text="Yes">
      <formula>NOT(ISERROR(SEARCH(("Yes"),(P861))))</formula>
    </cfRule>
  </conditionalFormatting>
  <conditionalFormatting sqref="P861">
    <cfRule type="containsText" dxfId="9" priority="8824" operator="containsText" text="No">
      <formula>NOT(ISERROR(SEARCH(("No"),(P861))))</formula>
    </cfRule>
  </conditionalFormatting>
  <conditionalFormatting sqref="P861">
    <cfRule type="containsText" dxfId="2" priority="8825" operator="containsText" text="Yes">
      <formula>NOT(ISERROR(SEARCH(("Yes"),(P861))))</formula>
    </cfRule>
  </conditionalFormatting>
  <conditionalFormatting sqref="P861">
    <cfRule type="containsText" dxfId="9" priority="8826" operator="containsText" text="No">
      <formula>NOT(ISERROR(SEARCH(("No"),(P861))))</formula>
    </cfRule>
  </conditionalFormatting>
  <conditionalFormatting sqref="P861">
    <cfRule type="containsText" dxfId="2" priority="8827" operator="containsText" text="Yes">
      <formula>NOT(ISERROR(SEARCH(("Yes"),(P861))))</formula>
    </cfRule>
  </conditionalFormatting>
  <conditionalFormatting sqref="P861">
    <cfRule type="containsText" dxfId="9" priority="8828" operator="containsText" text="No">
      <formula>NOT(ISERROR(SEARCH(("No"),(P861))))</formula>
    </cfRule>
  </conditionalFormatting>
  <conditionalFormatting sqref="P861">
    <cfRule type="containsText" dxfId="2" priority="8829" operator="containsText" text="Yes">
      <formula>NOT(ISERROR(SEARCH(("Yes"),(P861))))</formula>
    </cfRule>
  </conditionalFormatting>
  <conditionalFormatting sqref="P861">
    <cfRule type="containsText" dxfId="9" priority="8830" operator="containsText" text="No">
      <formula>NOT(ISERROR(SEARCH(("No"),(P861))))</formula>
    </cfRule>
  </conditionalFormatting>
  <conditionalFormatting sqref="P861">
    <cfRule type="containsText" dxfId="2" priority="8831" operator="containsText" text="Yes">
      <formula>NOT(ISERROR(SEARCH(("Yes"),(P861))))</formula>
    </cfRule>
  </conditionalFormatting>
  <conditionalFormatting sqref="P861">
    <cfRule type="containsText" dxfId="9" priority="8832" operator="containsText" text="No">
      <formula>NOT(ISERROR(SEARCH(("No"),(P861))))</formula>
    </cfRule>
  </conditionalFormatting>
  <conditionalFormatting sqref="P861">
    <cfRule type="containsText" dxfId="2" priority="8833" operator="containsText" text="Yes">
      <formula>NOT(ISERROR(SEARCH(("Yes"),(P861))))</formula>
    </cfRule>
  </conditionalFormatting>
  <conditionalFormatting sqref="P861">
    <cfRule type="containsText" dxfId="9" priority="8834" operator="containsText" text="No">
      <formula>NOT(ISERROR(SEARCH(("No"),(P861))))</formula>
    </cfRule>
  </conditionalFormatting>
  <conditionalFormatting sqref="P861">
    <cfRule type="containsText" dxfId="2" priority="8835" operator="containsText" text="Yes">
      <formula>NOT(ISERROR(SEARCH(("Yes"),(P861))))</formula>
    </cfRule>
  </conditionalFormatting>
  <conditionalFormatting sqref="P861">
    <cfRule type="containsText" dxfId="9" priority="8836" operator="containsText" text="No">
      <formula>NOT(ISERROR(SEARCH(("No"),(P861))))</formula>
    </cfRule>
  </conditionalFormatting>
  <conditionalFormatting sqref="P861">
    <cfRule type="containsText" dxfId="2" priority="8837" operator="containsText" text="Yes">
      <formula>NOT(ISERROR(SEARCH(("Yes"),(P861))))</formula>
    </cfRule>
  </conditionalFormatting>
  <conditionalFormatting sqref="P861">
    <cfRule type="containsText" dxfId="9" priority="8838" operator="containsText" text="No">
      <formula>NOT(ISERROR(SEARCH(("No"),(P861))))</formula>
    </cfRule>
  </conditionalFormatting>
  <conditionalFormatting sqref="P861">
    <cfRule type="containsText" dxfId="2" priority="8839" operator="containsText" text="Yes">
      <formula>NOT(ISERROR(SEARCH(("Yes"),(P861))))</formula>
    </cfRule>
  </conditionalFormatting>
  <conditionalFormatting sqref="P861">
    <cfRule type="containsText" dxfId="9" priority="8840" operator="containsText" text="No">
      <formula>NOT(ISERROR(SEARCH(("No"),(P861))))</formula>
    </cfRule>
  </conditionalFormatting>
  <conditionalFormatting sqref="P861">
    <cfRule type="containsText" dxfId="2" priority="8841" operator="containsText" text="Yes">
      <formula>NOT(ISERROR(SEARCH(("Yes"),(P861))))</formula>
    </cfRule>
  </conditionalFormatting>
  <conditionalFormatting sqref="P861">
    <cfRule type="containsText" dxfId="9" priority="8842" operator="containsText" text="No">
      <formula>NOT(ISERROR(SEARCH(("No"),(P861))))</formula>
    </cfRule>
  </conditionalFormatting>
  <conditionalFormatting sqref="P861">
    <cfRule type="containsText" dxfId="2" priority="8843" operator="containsText" text="Yes">
      <formula>NOT(ISERROR(SEARCH(("Yes"),(P861))))</formula>
    </cfRule>
  </conditionalFormatting>
  <conditionalFormatting sqref="P861">
    <cfRule type="containsText" dxfId="9" priority="8844" operator="containsText" text="No">
      <formula>NOT(ISERROR(SEARCH(("No"),(P861))))</formula>
    </cfRule>
  </conditionalFormatting>
  <conditionalFormatting sqref="P861">
    <cfRule type="containsText" dxfId="2" priority="8845" operator="containsText" text="Yes">
      <formula>NOT(ISERROR(SEARCH(("Yes"),(P861))))</formula>
    </cfRule>
  </conditionalFormatting>
  <conditionalFormatting sqref="P861">
    <cfRule type="containsText" dxfId="9" priority="8846" operator="containsText" text="No">
      <formula>NOT(ISERROR(SEARCH(("No"),(P861))))</formula>
    </cfRule>
  </conditionalFormatting>
  <conditionalFormatting sqref="P861">
    <cfRule type="containsText" dxfId="2" priority="8847" operator="containsText" text="Yes">
      <formula>NOT(ISERROR(SEARCH(("Yes"),(P861))))</formula>
    </cfRule>
  </conditionalFormatting>
  <conditionalFormatting sqref="P861">
    <cfRule type="containsText" dxfId="9" priority="8848" operator="containsText" text="No">
      <formula>NOT(ISERROR(SEARCH(("No"),(P861))))</formula>
    </cfRule>
  </conditionalFormatting>
  <conditionalFormatting sqref="P861">
    <cfRule type="containsText" dxfId="2" priority="8849" operator="containsText" text="Yes">
      <formula>NOT(ISERROR(SEARCH(("Yes"),(P861))))</formula>
    </cfRule>
  </conditionalFormatting>
  <conditionalFormatting sqref="P861">
    <cfRule type="containsText" dxfId="9" priority="8850" operator="containsText" text="No">
      <formula>NOT(ISERROR(SEARCH(("No"),(P861))))</formula>
    </cfRule>
  </conditionalFormatting>
  <conditionalFormatting sqref="P861">
    <cfRule type="containsText" dxfId="2" priority="8851" operator="containsText" text="Yes">
      <formula>NOT(ISERROR(SEARCH(("Yes"),(P861))))</formula>
    </cfRule>
  </conditionalFormatting>
  <conditionalFormatting sqref="P861">
    <cfRule type="containsText" dxfId="9" priority="8852" operator="containsText" text="No">
      <formula>NOT(ISERROR(SEARCH(("No"),(P861))))</formula>
    </cfRule>
  </conditionalFormatting>
  <conditionalFormatting sqref="P861">
    <cfRule type="containsText" dxfId="2" priority="8853" operator="containsText" text="Yes">
      <formula>NOT(ISERROR(SEARCH(("Yes"),(P861))))</formula>
    </cfRule>
  </conditionalFormatting>
  <conditionalFormatting sqref="P861">
    <cfRule type="containsText" dxfId="9" priority="8854" operator="containsText" text="No">
      <formula>NOT(ISERROR(SEARCH(("No"),(P861))))</formula>
    </cfRule>
  </conditionalFormatting>
  <conditionalFormatting sqref="P861">
    <cfRule type="containsText" dxfId="2" priority="8855" operator="containsText" text="Yes">
      <formula>NOT(ISERROR(SEARCH(("Yes"),(P861))))</formula>
    </cfRule>
  </conditionalFormatting>
  <conditionalFormatting sqref="P861">
    <cfRule type="containsText" dxfId="9" priority="8856" operator="containsText" text="No">
      <formula>NOT(ISERROR(SEARCH(("No"),(P861))))</formula>
    </cfRule>
  </conditionalFormatting>
  <conditionalFormatting sqref="P861">
    <cfRule type="containsText" dxfId="2" priority="8857" operator="containsText" text="Yes">
      <formula>NOT(ISERROR(SEARCH(("Yes"),(P861))))</formula>
    </cfRule>
  </conditionalFormatting>
  <conditionalFormatting sqref="P861">
    <cfRule type="containsText" dxfId="9" priority="8858" operator="containsText" text="No">
      <formula>NOT(ISERROR(SEARCH(("No"),(P861))))</formula>
    </cfRule>
  </conditionalFormatting>
  <conditionalFormatting sqref="P861">
    <cfRule type="containsText" dxfId="2" priority="8859" operator="containsText" text="Yes">
      <formula>NOT(ISERROR(SEARCH(("Yes"),(P861))))</formula>
    </cfRule>
  </conditionalFormatting>
  <conditionalFormatting sqref="P861">
    <cfRule type="containsText" dxfId="9" priority="8860" operator="containsText" text="No">
      <formula>NOT(ISERROR(SEARCH(("No"),(P861))))</formula>
    </cfRule>
  </conditionalFormatting>
  <conditionalFormatting sqref="P861">
    <cfRule type="containsText" dxfId="2" priority="8861" operator="containsText" text="Yes">
      <formula>NOT(ISERROR(SEARCH(("Yes"),(P861))))</formula>
    </cfRule>
  </conditionalFormatting>
  <conditionalFormatting sqref="P861">
    <cfRule type="containsText" dxfId="9" priority="8862" operator="containsText" text="No">
      <formula>NOT(ISERROR(SEARCH(("No"),(P861))))</formula>
    </cfRule>
  </conditionalFormatting>
  <conditionalFormatting sqref="P861">
    <cfRule type="containsText" dxfId="2" priority="8863" operator="containsText" text="Yes">
      <formula>NOT(ISERROR(SEARCH(("Yes"),(P861))))</formula>
    </cfRule>
  </conditionalFormatting>
  <conditionalFormatting sqref="P861">
    <cfRule type="containsText" dxfId="9" priority="8864" operator="containsText" text="No">
      <formula>NOT(ISERROR(SEARCH(("No"),(P861))))</formula>
    </cfRule>
  </conditionalFormatting>
  <conditionalFormatting sqref="P861">
    <cfRule type="containsText" dxfId="2" priority="8865" operator="containsText" text="Yes">
      <formula>NOT(ISERROR(SEARCH(("Yes"),(P861))))</formula>
    </cfRule>
  </conditionalFormatting>
  <conditionalFormatting sqref="P861">
    <cfRule type="containsText" dxfId="9" priority="8866" operator="containsText" text="No">
      <formula>NOT(ISERROR(SEARCH(("No"),(P861))))</formula>
    </cfRule>
  </conditionalFormatting>
  <conditionalFormatting sqref="P861">
    <cfRule type="containsText" dxfId="2" priority="8867" operator="containsText" text="Yes">
      <formula>NOT(ISERROR(SEARCH(("Yes"),(P861))))</formula>
    </cfRule>
  </conditionalFormatting>
  <conditionalFormatting sqref="P861">
    <cfRule type="containsText" dxfId="2" priority="8868" operator="containsText" text="Yes">
      <formula>NOT(ISERROR(SEARCH(("Yes"),(P861))))</formula>
    </cfRule>
  </conditionalFormatting>
  <conditionalFormatting sqref="P861">
    <cfRule type="containsText" dxfId="9" priority="8869" operator="containsText" text="No">
      <formula>NOT(ISERROR(SEARCH(("No"),(P861))))</formula>
    </cfRule>
  </conditionalFormatting>
  <conditionalFormatting sqref="P861">
    <cfRule type="containsText" dxfId="2" priority="8870" operator="containsText" text="Yes">
      <formula>NOT(ISERROR(SEARCH(("Yes"),(P861))))</formula>
    </cfRule>
  </conditionalFormatting>
  <conditionalFormatting sqref="P862">
    <cfRule type="containsText" dxfId="2" priority="8871" operator="containsText" text="Yes">
      <formula>NOT(ISERROR(SEARCH(("Yes"),(P862))))</formula>
    </cfRule>
  </conditionalFormatting>
  <conditionalFormatting sqref="P862">
    <cfRule type="containsText" dxfId="9" priority="8872" operator="containsText" text="No">
      <formula>NOT(ISERROR(SEARCH(("No"),(P862))))</formula>
    </cfRule>
  </conditionalFormatting>
  <conditionalFormatting sqref="P862">
    <cfRule type="containsText" dxfId="2" priority="8873" operator="containsText" text="Yes">
      <formula>NOT(ISERROR(SEARCH(("Yes"),(P862))))</formula>
    </cfRule>
  </conditionalFormatting>
  <conditionalFormatting sqref="P862">
    <cfRule type="containsText" dxfId="9" priority="8874" operator="containsText" text="No">
      <formula>NOT(ISERROR(SEARCH(("No"),(P862))))</formula>
    </cfRule>
  </conditionalFormatting>
  <conditionalFormatting sqref="P862">
    <cfRule type="containsText" dxfId="2" priority="8875" operator="containsText" text="Yes">
      <formula>NOT(ISERROR(SEARCH(("Yes"),(P862))))</formula>
    </cfRule>
  </conditionalFormatting>
  <conditionalFormatting sqref="P862">
    <cfRule type="containsText" dxfId="9" priority="8876" operator="containsText" text="No">
      <formula>NOT(ISERROR(SEARCH(("No"),(P862))))</formula>
    </cfRule>
  </conditionalFormatting>
  <conditionalFormatting sqref="P862">
    <cfRule type="containsText" dxfId="2" priority="8877" operator="containsText" text="Yes">
      <formula>NOT(ISERROR(SEARCH(("Yes"),(P862))))</formula>
    </cfRule>
  </conditionalFormatting>
  <conditionalFormatting sqref="P862">
    <cfRule type="containsText" dxfId="9" priority="8878" operator="containsText" text="No">
      <formula>NOT(ISERROR(SEARCH(("No"),(P862))))</formula>
    </cfRule>
  </conditionalFormatting>
  <conditionalFormatting sqref="P862">
    <cfRule type="containsText" dxfId="2" priority="8879" operator="containsText" text="Yes">
      <formula>NOT(ISERROR(SEARCH(("Yes"),(P862))))</formula>
    </cfRule>
  </conditionalFormatting>
  <conditionalFormatting sqref="P862">
    <cfRule type="containsText" dxfId="9" priority="8880" operator="containsText" text="No">
      <formula>NOT(ISERROR(SEARCH(("No"),(P862))))</formula>
    </cfRule>
  </conditionalFormatting>
  <conditionalFormatting sqref="P862">
    <cfRule type="containsText" dxfId="2" priority="8881" operator="containsText" text="Yes">
      <formula>NOT(ISERROR(SEARCH(("Yes"),(P862))))</formula>
    </cfRule>
  </conditionalFormatting>
  <conditionalFormatting sqref="P862">
    <cfRule type="containsText" dxfId="9" priority="8882" operator="containsText" text="No">
      <formula>NOT(ISERROR(SEARCH(("No"),(P862))))</formula>
    </cfRule>
  </conditionalFormatting>
  <conditionalFormatting sqref="P862">
    <cfRule type="containsText" dxfId="2" priority="8883" operator="containsText" text="Yes">
      <formula>NOT(ISERROR(SEARCH(("Yes"),(P862))))</formula>
    </cfRule>
  </conditionalFormatting>
  <conditionalFormatting sqref="P862">
    <cfRule type="containsText" dxfId="9" priority="8884" operator="containsText" text="No">
      <formula>NOT(ISERROR(SEARCH(("No"),(P862))))</formula>
    </cfRule>
  </conditionalFormatting>
  <conditionalFormatting sqref="P862">
    <cfRule type="containsText" dxfId="2" priority="8885" operator="containsText" text="Yes">
      <formula>NOT(ISERROR(SEARCH(("Yes"),(P862))))</formula>
    </cfRule>
  </conditionalFormatting>
  <conditionalFormatting sqref="P862">
    <cfRule type="containsText" dxfId="9" priority="8886" operator="containsText" text="No">
      <formula>NOT(ISERROR(SEARCH(("No"),(P862))))</formula>
    </cfRule>
  </conditionalFormatting>
  <conditionalFormatting sqref="P862">
    <cfRule type="containsText" dxfId="2" priority="8887" operator="containsText" text="Yes">
      <formula>NOT(ISERROR(SEARCH(("Yes"),(P862))))</formula>
    </cfRule>
  </conditionalFormatting>
  <conditionalFormatting sqref="P862">
    <cfRule type="containsText" dxfId="9" priority="8888" operator="containsText" text="No">
      <formula>NOT(ISERROR(SEARCH(("No"),(P862))))</formula>
    </cfRule>
  </conditionalFormatting>
  <conditionalFormatting sqref="P862">
    <cfRule type="containsText" dxfId="2" priority="8889" operator="containsText" text="Yes">
      <formula>NOT(ISERROR(SEARCH(("Yes"),(P862))))</formula>
    </cfRule>
  </conditionalFormatting>
  <conditionalFormatting sqref="P862">
    <cfRule type="containsText" dxfId="9" priority="8890" operator="containsText" text="No">
      <formula>NOT(ISERROR(SEARCH(("No"),(P862))))</formula>
    </cfRule>
  </conditionalFormatting>
  <conditionalFormatting sqref="P862">
    <cfRule type="containsText" dxfId="2" priority="8891" operator="containsText" text="Yes">
      <formula>NOT(ISERROR(SEARCH(("Yes"),(P862))))</formula>
    </cfRule>
  </conditionalFormatting>
  <conditionalFormatting sqref="P862">
    <cfRule type="containsText" dxfId="9" priority="8892" operator="containsText" text="No">
      <formula>NOT(ISERROR(SEARCH(("No"),(P862))))</formula>
    </cfRule>
  </conditionalFormatting>
  <conditionalFormatting sqref="P862">
    <cfRule type="containsText" dxfId="2" priority="8893" operator="containsText" text="Yes">
      <formula>NOT(ISERROR(SEARCH(("Yes"),(P862))))</formula>
    </cfRule>
  </conditionalFormatting>
  <conditionalFormatting sqref="P862">
    <cfRule type="containsText" dxfId="9" priority="8894" operator="containsText" text="No">
      <formula>NOT(ISERROR(SEARCH(("No"),(P862))))</formula>
    </cfRule>
  </conditionalFormatting>
  <conditionalFormatting sqref="P862">
    <cfRule type="containsText" dxfId="2" priority="8895" operator="containsText" text="Yes">
      <formula>NOT(ISERROR(SEARCH(("Yes"),(P862))))</formula>
    </cfRule>
  </conditionalFormatting>
  <conditionalFormatting sqref="P862">
    <cfRule type="containsText" dxfId="9" priority="8896" operator="containsText" text="No">
      <formula>NOT(ISERROR(SEARCH(("No"),(P862))))</formula>
    </cfRule>
  </conditionalFormatting>
  <conditionalFormatting sqref="P862">
    <cfRule type="containsText" dxfId="2" priority="8897" operator="containsText" text="Yes">
      <formula>NOT(ISERROR(SEARCH(("Yes"),(P862))))</formula>
    </cfRule>
  </conditionalFormatting>
  <conditionalFormatting sqref="P862">
    <cfRule type="containsText" dxfId="9" priority="8898" operator="containsText" text="No">
      <formula>NOT(ISERROR(SEARCH(("No"),(P862))))</formula>
    </cfRule>
  </conditionalFormatting>
  <conditionalFormatting sqref="P862">
    <cfRule type="containsText" dxfId="2" priority="8899" operator="containsText" text="Yes">
      <formula>NOT(ISERROR(SEARCH(("Yes"),(P862))))</formula>
    </cfRule>
  </conditionalFormatting>
  <conditionalFormatting sqref="P862">
    <cfRule type="containsText" dxfId="9" priority="8900" operator="containsText" text="No">
      <formula>NOT(ISERROR(SEARCH(("No"),(P862))))</formula>
    </cfRule>
  </conditionalFormatting>
  <conditionalFormatting sqref="P862">
    <cfRule type="containsText" dxfId="2" priority="8901" operator="containsText" text="Yes">
      <formula>NOT(ISERROR(SEARCH(("Yes"),(P862))))</formula>
    </cfRule>
  </conditionalFormatting>
  <conditionalFormatting sqref="P862">
    <cfRule type="containsText" dxfId="9" priority="8902" operator="containsText" text="No">
      <formula>NOT(ISERROR(SEARCH(("No"),(P862))))</formula>
    </cfRule>
  </conditionalFormatting>
  <conditionalFormatting sqref="P862">
    <cfRule type="containsText" dxfId="2" priority="8903" operator="containsText" text="Yes">
      <formula>NOT(ISERROR(SEARCH(("Yes"),(P862))))</formula>
    </cfRule>
  </conditionalFormatting>
  <conditionalFormatting sqref="P862">
    <cfRule type="containsText" dxfId="9" priority="8904" operator="containsText" text="No">
      <formula>NOT(ISERROR(SEARCH(("No"),(P862))))</formula>
    </cfRule>
  </conditionalFormatting>
  <conditionalFormatting sqref="P862">
    <cfRule type="containsText" dxfId="2" priority="8905" operator="containsText" text="Yes">
      <formula>NOT(ISERROR(SEARCH(("Yes"),(P862))))</formula>
    </cfRule>
  </conditionalFormatting>
  <conditionalFormatting sqref="P862">
    <cfRule type="containsText" dxfId="9" priority="8906" operator="containsText" text="No">
      <formula>NOT(ISERROR(SEARCH(("No"),(P862))))</formula>
    </cfRule>
  </conditionalFormatting>
  <conditionalFormatting sqref="P862">
    <cfRule type="containsText" dxfId="2" priority="8907" operator="containsText" text="Yes">
      <formula>NOT(ISERROR(SEARCH(("Yes"),(P862))))</formula>
    </cfRule>
  </conditionalFormatting>
  <conditionalFormatting sqref="P862">
    <cfRule type="containsText" dxfId="9" priority="8908" operator="containsText" text="No">
      <formula>NOT(ISERROR(SEARCH(("No"),(P862))))</formula>
    </cfRule>
  </conditionalFormatting>
  <conditionalFormatting sqref="P862">
    <cfRule type="containsText" dxfId="2" priority="8909" operator="containsText" text="Yes">
      <formula>NOT(ISERROR(SEARCH(("Yes"),(P862))))</formula>
    </cfRule>
  </conditionalFormatting>
  <conditionalFormatting sqref="P862">
    <cfRule type="containsText" dxfId="9" priority="8910" operator="containsText" text="No">
      <formula>NOT(ISERROR(SEARCH(("No"),(P862))))</formula>
    </cfRule>
  </conditionalFormatting>
  <conditionalFormatting sqref="P862">
    <cfRule type="containsText" dxfId="2" priority="8911" operator="containsText" text="Yes">
      <formula>NOT(ISERROR(SEARCH(("Yes"),(P862))))</formula>
    </cfRule>
  </conditionalFormatting>
  <conditionalFormatting sqref="P862">
    <cfRule type="containsText" dxfId="9" priority="8912" operator="containsText" text="No">
      <formula>NOT(ISERROR(SEARCH(("No"),(P862))))</formula>
    </cfRule>
  </conditionalFormatting>
  <conditionalFormatting sqref="P862">
    <cfRule type="containsText" dxfId="2" priority="8913" operator="containsText" text="Yes">
      <formula>NOT(ISERROR(SEARCH(("Yes"),(P862))))</formula>
    </cfRule>
  </conditionalFormatting>
  <conditionalFormatting sqref="P862">
    <cfRule type="containsText" dxfId="9" priority="8914" operator="containsText" text="No">
      <formula>NOT(ISERROR(SEARCH(("No"),(P862))))</formula>
    </cfRule>
  </conditionalFormatting>
  <conditionalFormatting sqref="P862">
    <cfRule type="containsText" dxfId="2" priority="8915" operator="containsText" text="Yes">
      <formula>NOT(ISERROR(SEARCH(("Yes"),(P862))))</formula>
    </cfRule>
  </conditionalFormatting>
  <conditionalFormatting sqref="P862">
    <cfRule type="containsText" dxfId="9" priority="8916" operator="containsText" text="No">
      <formula>NOT(ISERROR(SEARCH(("No"),(P862))))</formula>
    </cfRule>
  </conditionalFormatting>
  <conditionalFormatting sqref="P862">
    <cfRule type="containsText" dxfId="2" priority="8917" operator="containsText" text="Yes">
      <formula>NOT(ISERROR(SEARCH(("Yes"),(P862))))</formula>
    </cfRule>
  </conditionalFormatting>
  <conditionalFormatting sqref="P862">
    <cfRule type="containsText" dxfId="9" priority="8918" operator="containsText" text="No">
      <formula>NOT(ISERROR(SEARCH(("No"),(P862))))</formula>
    </cfRule>
  </conditionalFormatting>
  <conditionalFormatting sqref="P862">
    <cfRule type="containsText" dxfId="2" priority="8919" operator="containsText" text="Yes">
      <formula>NOT(ISERROR(SEARCH(("Yes"),(P862))))</formula>
    </cfRule>
  </conditionalFormatting>
  <conditionalFormatting sqref="P862">
    <cfRule type="containsText" dxfId="9" priority="8920" operator="containsText" text="No">
      <formula>NOT(ISERROR(SEARCH(("No"),(P862))))</formula>
    </cfRule>
  </conditionalFormatting>
  <conditionalFormatting sqref="P862">
    <cfRule type="containsText" dxfId="2" priority="8921" operator="containsText" text="Yes">
      <formula>NOT(ISERROR(SEARCH(("Yes"),(P862))))</formula>
    </cfRule>
  </conditionalFormatting>
  <conditionalFormatting sqref="P862">
    <cfRule type="containsText" dxfId="9" priority="8922" operator="containsText" text="No">
      <formula>NOT(ISERROR(SEARCH(("No"),(P862))))</formula>
    </cfRule>
  </conditionalFormatting>
  <conditionalFormatting sqref="P862">
    <cfRule type="containsText" dxfId="2" priority="8923" operator="containsText" text="Yes">
      <formula>NOT(ISERROR(SEARCH(("Yes"),(P862))))</formula>
    </cfRule>
  </conditionalFormatting>
  <conditionalFormatting sqref="P862">
    <cfRule type="containsText" dxfId="9" priority="8924" operator="containsText" text="No">
      <formula>NOT(ISERROR(SEARCH(("No"),(P862))))</formula>
    </cfRule>
  </conditionalFormatting>
  <conditionalFormatting sqref="P862">
    <cfRule type="containsText" dxfId="2" priority="8925" operator="containsText" text="Yes">
      <formula>NOT(ISERROR(SEARCH(("Yes"),(P862))))</formula>
    </cfRule>
  </conditionalFormatting>
  <conditionalFormatting sqref="P862">
    <cfRule type="containsText" dxfId="9" priority="8926" operator="containsText" text="No">
      <formula>NOT(ISERROR(SEARCH(("No"),(P862))))</formula>
    </cfRule>
  </conditionalFormatting>
  <conditionalFormatting sqref="P862">
    <cfRule type="containsText" dxfId="2" priority="8927" operator="containsText" text="Yes">
      <formula>NOT(ISERROR(SEARCH(("Yes"),(P862))))</formula>
    </cfRule>
  </conditionalFormatting>
  <conditionalFormatting sqref="P862">
    <cfRule type="containsText" dxfId="9" priority="8928" operator="containsText" text="No">
      <formula>NOT(ISERROR(SEARCH(("No"),(P862))))</formula>
    </cfRule>
  </conditionalFormatting>
  <conditionalFormatting sqref="P862">
    <cfRule type="containsText" dxfId="2" priority="8929" operator="containsText" text="Yes">
      <formula>NOT(ISERROR(SEARCH(("Yes"),(P862))))</formula>
    </cfRule>
  </conditionalFormatting>
  <conditionalFormatting sqref="P862">
    <cfRule type="containsText" dxfId="9" priority="8930" operator="containsText" text="No">
      <formula>NOT(ISERROR(SEARCH(("No"),(P862))))</formula>
    </cfRule>
  </conditionalFormatting>
  <conditionalFormatting sqref="P862">
    <cfRule type="containsText" dxfId="2" priority="8931" operator="containsText" text="Yes">
      <formula>NOT(ISERROR(SEARCH(("Yes"),(P862))))</formula>
    </cfRule>
  </conditionalFormatting>
  <conditionalFormatting sqref="P862">
    <cfRule type="containsText" dxfId="9" priority="8932" operator="containsText" text="No">
      <formula>NOT(ISERROR(SEARCH(("No"),(P862))))</formula>
    </cfRule>
  </conditionalFormatting>
  <conditionalFormatting sqref="P862">
    <cfRule type="containsText" dxfId="2" priority="8933" operator="containsText" text="Yes">
      <formula>NOT(ISERROR(SEARCH(("Yes"),(P862))))</formula>
    </cfRule>
  </conditionalFormatting>
  <conditionalFormatting sqref="P862">
    <cfRule type="containsText" dxfId="9" priority="8934" operator="containsText" text="No">
      <formula>NOT(ISERROR(SEARCH(("No"),(P862))))</formula>
    </cfRule>
  </conditionalFormatting>
  <conditionalFormatting sqref="P862">
    <cfRule type="containsText" dxfId="2" priority="8935" operator="containsText" text="Yes">
      <formula>NOT(ISERROR(SEARCH(("Yes"),(P862))))</formula>
    </cfRule>
  </conditionalFormatting>
  <conditionalFormatting sqref="P862">
    <cfRule type="containsText" dxfId="9" priority="8936" operator="containsText" text="No">
      <formula>NOT(ISERROR(SEARCH(("No"),(P862))))</formula>
    </cfRule>
  </conditionalFormatting>
  <conditionalFormatting sqref="P862">
    <cfRule type="containsText" dxfId="2" priority="8937" operator="containsText" text="Yes">
      <formula>NOT(ISERROR(SEARCH(("Yes"),(P862))))</formula>
    </cfRule>
  </conditionalFormatting>
  <conditionalFormatting sqref="P862">
    <cfRule type="containsText" dxfId="9" priority="8938" operator="containsText" text="No">
      <formula>NOT(ISERROR(SEARCH(("No"),(P862))))</formula>
    </cfRule>
  </conditionalFormatting>
  <conditionalFormatting sqref="P862">
    <cfRule type="containsText" dxfId="2" priority="8939" operator="containsText" text="Yes">
      <formula>NOT(ISERROR(SEARCH(("Yes"),(P862))))</formula>
    </cfRule>
  </conditionalFormatting>
  <conditionalFormatting sqref="P862">
    <cfRule type="containsText" dxfId="9" priority="8940" operator="containsText" text="No">
      <formula>NOT(ISERROR(SEARCH(("No"),(P862))))</formula>
    </cfRule>
  </conditionalFormatting>
  <conditionalFormatting sqref="P862">
    <cfRule type="containsText" dxfId="2" priority="8941" operator="containsText" text="Yes">
      <formula>NOT(ISERROR(SEARCH(("Yes"),(P862))))</formula>
    </cfRule>
  </conditionalFormatting>
  <conditionalFormatting sqref="P862">
    <cfRule type="containsText" dxfId="9" priority="8942" operator="containsText" text="No">
      <formula>NOT(ISERROR(SEARCH(("No"),(P862))))</formula>
    </cfRule>
  </conditionalFormatting>
  <conditionalFormatting sqref="P862">
    <cfRule type="containsText" dxfId="2" priority="8943" operator="containsText" text="Yes">
      <formula>NOT(ISERROR(SEARCH(("Yes"),(P862))))</formula>
    </cfRule>
  </conditionalFormatting>
  <conditionalFormatting sqref="P862">
    <cfRule type="containsText" dxfId="9" priority="8944" operator="containsText" text="No">
      <formula>NOT(ISERROR(SEARCH(("No"),(P862))))</formula>
    </cfRule>
  </conditionalFormatting>
  <conditionalFormatting sqref="P862">
    <cfRule type="containsText" dxfId="2" priority="8945" operator="containsText" text="Yes">
      <formula>NOT(ISERROR(SEARCH(("Yes"),(P862))))</formula>
    </cfRule>
  </conditionalFormatting>
  <conditionalFormatting sqref="P862">
    <cfRule type="containsText" dxfId="9" priority="8946" operator="containsText" text="No">
      <formula>NOT(ISERROR(SEARCH(("No"),(P862))))</formula>
    </cfRule>
  </conditionalFormatting>
  <conditionalFormatting sqref="P862">
    <cfRule type="containsText" dxfId="2" priority="8947" operator="containsText" text="Yes">
      <formula>NOT(ISERROR(SEARCH(("Yes"),(P862))))</formula>
    </cfRule>
  </conditionalFormatting>
  <conditionalFormatting sqref="P862">
    <cfRule type="containsText" dxfId="9" priority="8948" operator="containsText" text="No">
      <formula>NOT(ISERROR(SEARCH(("No"),(P862))))</formula>
    </cfRule>
  </conditionalFormatting>
  <conditionalFormatting sqref="P862">
    <cfRule type="containsText" dxfId="2" priority="8949" operator="containsText" text="Yes">
      <formula>NOT(ISERROR(SEARCH(("Yes"),(P862))))</formula>
    </cfRule>
  </conditionalFormatting>
  <conditionalFormatting sqref="P862">
    <cfRule type="containsText" dxfId="9" priority="8950" operator="containsText" text="No">
      <formula>NOT(ISERROR(SEARCH(("No"),(P862))))</formula>
    </cfRule>
  </conditionalFormatting>
  <conditionalFormatting sqref="P862">
    <cfRule type="containsText" dxfId="2" priority="8951" operator="containsText" text="Yes">
      <formula>NOT(ISERROR(SEARCH(("Yes"),(P862))))</formula>
    </cfRule>
  </conditionalFormatting>
  <conditionalFormatting sqref="P862">
    <cfRule type="containsText" dxfId="9" priority="8952" operator="containsText" text="No">
      <formula>NOT(ISERROR(SEARCH(("No"),(P862))))</formula>
    </cfRule>
  </conditionalFormatting>
  <conditionalFormatting sqref="P862">
    <cfRule type="containsText" dxfId="2" priority="8953" operator="containsText" text="Yes">
      <formula>NOT(ISERROR(SEARCH(("Yes"),(P862))))</formula>
    </cfRule>
  </conditionalFormatting>
  <conditionalFormatting sqref="P862">
    <cfRule type="containsText" dxfId="9" priority="8954" operator="containsText" text="No">
      <formula>NOT(ISERROR(SEARCH(("No"),(P862))))</formula>
    </cfRule>
  </conditionalFormatting>
  <conditionalFormatting sqref="P862">
    <cfRule type="containsText" dxfId="2" priority="8955" operator="containsText" text="Yes">
      <formula>NOT(ISERROR(SEARCH(("Yes"),(P862))))</formula>
    </cfRule>
  </conditionalFormatting>
  <conditionalFormatting sqref="P862">
    <cfRule type="containsText" dxfId="9" priority="8956" operator="containsText" text="No">
      <formula>NOT(ISERROR(SEARCH(("No"),(P862))))</formula>
    </cfRule>
  </conditionalFormatting>
  <conditionalFormatting sqref="P862">
    <cfRule type="containsText" dxfId="2" priority="8957" operator="containsText" text="Yes">
      <formula>NOT(ISERROR(SEARCH(("Yes"),(P862))))</formula>
    </cfRule>
  </conditionalFormatting>
  <conditionalFormatting sqref="P862">
    <cfRule type="containsText" dxfId="9" priority="8958" operator="containsText" text="No">
      <formula>NOT(ISERROR(SEARCH(("No"),(P862))))</formula>
    </cfRule>
  </conditionalFormatting>
  <conditionalFormatting sqref="P862">
    <cfRule type="containsText" dxfId="2" priority="8959" operator="containsText" text="Yes">
      <formula>NOT(ISERROR(SEARCH(("Yes"),(P862))))</formula>
    </cfRule>
  </conditionalFormatting>
  <conditionalFormatting sqref="P862">
    <cfRule type="containsText" dxfId="2" priority="8960" operator="containsText" text="Yes">
      <formula>NOT(ISERROR(SEARCH(("Yes"),(P862))))</formula>
    </cfRule>
  </conditionalFormatting>
  <conditionalFormatting sqref="P862">
    <cfRule type="containsText" dxfId="9" priority="8961" operator="containsText" text="No">
      <formula>NOT(ISERROR(SEARCH(("No"),(P862))))</formula>
    </cfRule>
  </conditionalFormatting>
  <conditionalFormatting sqref="P862">
    <cfRule type="containsText" dxfId="2" priority="8962" operator="containsText" text="Yes">
      <formula>NOT(ISERROR(SEARCH(("Yes"),(P862))))</formula>
    </cfRule>
  </conditionalFormatting>
  <conditionalFormatting sqref="P863:P864">
    <cfRule type="containsText" dxfId="2" priority="8963" operator="containsText" text="Yes">
      <formula>NOT(ISERROR(SEARCH(("Yes"),(P863))))</formula>
    </cfRule>
  </conditionalFormatting>
  <conditionalFormatting sqref="P863:P864">
    <cfRule type="containsText" dxfId="9" priority="8964" operator="containsText" text="No">
      <formula>NOT(ISERROR(SEARCH(("No"),(P863))))</formula>
    </cfRule>
  </conditionalFormatting>
  <conditionalFormatting sqref="P863:P864">
    <cfRule type="containsText" dxfId="2" priority="8965" operator="containsText" text="Yes">
      <formula>NOT(ISERROR(SEARCH(("Yes"),(P863))))</formula>
    </cfRule>
  </conditionalFormatting>
  <conditionalFormatting sqref="P863:P864">
    <cfRule type="containsText" dxfId="9" priority="8966" operator="containsText" text="No">
      <formula>NOT(ISERROR(SEARCH(("No"),(P863))))</formula>
    </cfRule>
  </conditionalFormatting>
  <conditionalFormatting sqref="P863:P864">
    <cfRule type="containsText" dxfId="2" priority="8967" operator="containsText" text="Yes">
      <formula>NOT(ISERROR(SEARCH(("Yes"),(P863))))</formula>
    </cfRule>
  </conditionalFormatting>
  <conditionalFormatting sqref="P863:P864">
    <cfRule type="containsText" dxfId="9" priority="8968" operator="containsText" text="No">
      <formula>NOT(ISERROR(SEARCH(("No"),(P863))))</formula>
    </cfRule>
  </conditionalFormatting>
  <conditionalFormatting sqref="P863:P864">
    <cfRule type="containsText" dxfId="2" priority="8969" operator="containsText" text="Yes">
      <formula>NOT(ISERROR(SEARCH(("Yes"),(P863))))</formula>
    </cfRule>
  </conditionalFormatting>
  <conditionalFormatting sqref="P863:P864">
    <cfRule type="containsText" dxfId="9" priority="8970" operator="containsText" text="No">
      <formula>NOT(ISERROR(SEARCH(("No"),(P863))))</formula>
    </cfRule>
  </conditionalFormatting>
  <conditionalFormatting sqref="P863:P864">
    <cfRule type="containsText" dxfId="2" priority="8971" operator="containsText" text="Yes">
      <formula>NOT(ISERROR(SEARCH(("Yes"),(P863))))</formula>
    </cfRule>
  </conditionalFormatting>
  <conditionalFormatting sqref="P863:P864">
    <cfRule type="containsText" dxfId="9" priority="8972" operator="containsText" text="No">
      <formula>NOT(ISERROR(SEARCH(("No"),(P863))))</formula>
    </cfRule>
  </conditionalFormatting>
  <conditionalFormatting sqref="P863:P864">
    <cfRule type="containsText" dxfId="2" priority="8973" operator="containsText" text="Yes">
      <formula>NOT(ISERROR(SEARCH(("Yes"),(P863))))</formula>
    </cfRule>
  </conditionalFormatting>
  <conditionalFormatting sqref="P863:P864">
    <cfRule type="containsText" dxfId="9" priority="8974" operator="containsText" text="No">
      <formula>NOT(ISERROR(SEARCH(("No"),(P863))))</formula>
    </cfRule>
  </conditionalFormatting>
  <conditionalFormatting sqref="P863:P864">
    <cfRule type="containsText" dxfId="2" priority="8975" operator="containsText" text="Yes">
      <formula>NOT(ISERROR(SEARCH(("Yes"),(P863))))</formula>
    </cfRule>
  </conditionalFormatting>
  <conditionalFormatting sqref="P863:P864">
    <cfRule type="containsText" dxfId="9" priority="8976" operator="containsText" text="No">
      <formula>NOT(ISERROR(SEARCH(("No"),(P863))))</formula>
    </cfRule>
  </conditionalFormatting>
  <conditionalFormatting sqref="P863:P864">
    <cfRule type="containsText" dxfId="2" priority="8977" operator="containsText" text="Yes">
      <formula>NOT(ISERROR(SEARCH(("Yes"),(P863))))</formula>
    </cfRule>
  </conditionalFormatting>
  <conditionalFormatting sqref="P863:P864">
    <cfRule type="containsText" dxfId="9" priority="8978" operator="containsText" text="No">
      <formula>NOT(ISERROR(SEARCH(("No"),(P863))))</formula>
    </cfRule>
  </conditionalFormatting>
  <conditionalFormatting sqref="P863:P864">
    <cfRule type="containsText" dxfId="2" priority="8979" operator="containsText" text="Yes">
      <formula>NOT(ISERROR(SEARCH(("Yes"),(P863))))</formula>
    </cfRule>
  </conditionalFormatting>
  <conditionalFormatting sqref="P863:P864">
    <cfRule type="containsText" dxfId="9" priority="8980" operator="containsText" text="No">
      <formula>NOT(ISERROR(SEARCH(("No"),(P863))))</formula>
    </cfRule>
  </conditionalFormatting>
  <conditionalFormatting sqref="P863:P864">
    <cfRule type="containsText" dxfId="2" priority="8981" operator="containsText" text="Yes">
      <formula>NOT(ISERROR(SEARCH(("Yes"),(P863))))</formula>
    </cfRule>
  </conditionalFormatting>
  <conditionalFormatting sqref="P863:P864">
    <cfRule type="containsText" dxfId="9" priority="8982" operator="containsText" text="No">
      <formula>NOT(ISERROR(SEARCH(("No"),(P863))))</formula>
    </cfRule>
  </conditionalFormatting>
  <conditionalFormatting sqref="P863:P864">
    <cfRule type="containsText" dxfId="2" priority="8983" operator="containsText" text="Yes">
      <formula>NOT(ISERROR(SEARCH(("Yes"),(P863))))</formula>
    </cfRule>
  </conditionalFormatting>
  <conditionalFormatting sqref="P863:P864">
    <cfRule type="containsText" dxfId="9" priority="8984" operator="containsText" text="No">
      <formula>NOT(ISERROR(SEARCH(("No"),(P863))))</formula>
    </cfRule>
  </conditionalFormatting>
  <conditionalFormatting sqref="P863:P864">
    <cfRule type="containsText" dxfId="2" priority="8985" operator="containsText" text="Yes">
      <formula>NOT(ISERROR(SEARCH(("Yes"),(P863))))</formula>
    </cfRule>
  </conditionalFormatting>
  <conditionalFormatting sqref="P863:P864">
    <cfRule type="containsText" dxfId="9" priority="8986" operator="containsText" text="No">
      <formula>NOT(ISERROR(SEARCH(("No"),(P863))))</formula>
    </cfRule>
  </conditionalFormatting>
  <conditionalFormatting sqref="P863:P864">
    <cfRule type="containsText" dxfId="2" priority="8987" operator="containsText" text="Yes">
      <formula>NOT(ISERROR(SEARCH(("Yes"),(P863))))</formula>
    </cfRule>
  </conditionalFormatting>
  <conditionalFormatting sqref="P863:P864">
    <cfRule type="containsText" dxfId="9" priority="8988" operator="containsText" text="No">
      <formula>NOT(ISERROR(SEARCH(("No"),(P863))))</formula>
    </cfRule>
  </conditionalFormatting>
  <conditionalFormatting sqref="P863:P864">
    <cfRule type="containsText" dxfId="2" priority="8989" operator="containsText" text="Yes">
      <formula>NOT(ISERROR(SEARCH(("Yes"),(P863))))</formula>
    </cfRule>
  </conditionalFormatting>
  <conditionalFormatting sqref="P863:P864">
    <cfRule type="containsText" dxfId="9" priority="8990" operator="containsText" text="No">
      <formula>NOT(ISERROR(SEARCH(("No"),(P863))))</formula>
    </cfRule>
  </conditionalFormatting>
  <conditionalFormatting sqref="P863:P864">
    <cfRule type="containsText" dxfId="2" priority="8991" operator="containsText" text="Yes">
      <formula>NOT(ISERROR(SEARCH(("Yes"),(P863))))</formula>
    </cfRule>
  </conditionalFormatting>
  <conditionalFormatting sqref="P863:P864">
    <cfRule type="containsText" dxfId="9" priority="8992" operator="containsText" text="No">
      <formula>NOT(ISERROR(SEARCH(("No"),(P863))))</formula>
    </cfRule>
  </conditionalFormatting>
  <conditionalFormatting sqref="P863:P864">
    <cfRule type="containsText" dxfId="2" priority="8993" operator="containsText" text="Yes">
      <formula>NOT(ISERROR(SEARCH(("Yes"),(P863))))</formula>
    </cfRule>
  </conditionalFormatting>
  <conditionalFormatting sqref="P863:P864">
    <cfRule type="containsText" dxfId="9" priority="8994" operator="containsText" text="No">
      <formula>NOT(ISERROR(SEARCH(("No"),(P863))))</formula>
    </cfRule>
  </conditionalFormatting>
  <conditionalFormatting sqref="P863:P864">
    <cfRule type="containsText" dxfId="2" priority="8995" operator="containsText" text="Yes">
      <formula>NOT(ISERROR(SEARCH(("Yes"),(P863))))</formula>
    </cfRule>
  </conditionalFormatting>
  <conditionalFormatting sqref="P863:P864">
    <cfRule type="containsText" dxfId="9" priority="8996" operator="containsText" text="No">
      <formula>NOT(ISERROR(SEARCH(("No"),(P863))))</formula>
    </cfRule>
  </conditionalFormatting>
  <conditionalFormatting sqref="P863:P864">
    <cfRule type="containsText" dxfId="2" priority="8997" operator="containsText" text="Yes">
      <formula>NOT(ISERROR(SEARCH(("Yes"),(P863))))</formula>
    </cfRule>
  </conditionalFormatting>
  <conditionalFormatting sqref="P863:P864">
    <cfRule type="containsText" dxfId="9" priority="8998" operator="containsText" text="No">
      <formula>NOT(ISERROR(SEARCH(("No"),(P863))))</formula>
    </cfRule>
  </conditionalFormatting>
  <conditionalFormatting sqref="P863:P864">
    <cfRule type="containsText" dxfId="2" priority="8999" operator="containsText" text="Yes">
      <formula>NOT(ISERROR(SEARCH(("Yes"),(P863))))</formula>
    </cfRule>
  </conditionalFormatting>
  <conditionalFormatting sqref="P863:P864">
    <cfRule type="containsText" dxfId="9" priority="9000" operator="containsText" text="No">
      <formula>NOT(ISERROR(SEARCH(("No"),(P863))))</formula>
    </cfRule>
  </conditionalFormatting>
  <conditionalFormatting sqref="P863:P864">
    <cfRule type="containsText" dxfId="2" priority="9001" operator="containsText" text="Yes">
      <formula>NOT(ISERROR(SEARCH(("Yes"),(P863))))</formula>
    </cfRule>
  </conditionalFormatting>
  <conditionalFormatting sqref="P863:P864">
    <cfRule type="containsText" dxfId="9" priority="9002" operator="containsText" text="No">
      <formula>NOT(ISERROR(SEARCH(("No"),(P863))))</formula>
    </cfRule>
  </conditionalFormatting>
  <conditionalFormatting sqref="P863:P864">
    <cfRule type="containsText" dxfId="2" priority="9003" operator="containsText" text="Yes">
      <formula>NOT(ISERROR(SEARCH(("Yes"),(P863))))</formula>
    </cfRule>
  </conditionalFormatting>
  <conditionalFormatting sqref="P863:P864">
    <cfRule type="containsText" dxfId="9" priority="9004" operator="containsText" text="No">
      <formula>NOT(ISERROR(SEARCH(("No"),(P863))))</formula>
    </cfRule>
  </conditionalFormatting>
  <conditionalFormatting sqref="P863:P864">
    <cfRule type="containsText" dxfId="2" priority="9005" operator="containsText" text="Yes">
      <formula>NOT(ISERROR(SEARCH(("Yes"),(P863))))</formula>
    </cfRule>
  </conditionalFormatting>
  <conditionalFormatting sqref="P863:P864">
    <cfRule type="containsText" dxfId="9" priority="9006" operator="containsText" text="No">
      <formula>NOT(ISERROR(SEARCH(("No"),(P863))))</formula>
    </cfRule>
  </conditionalFormatting>
  <conditionalFormatting sqref="P863:P864">
    <cfRule type="containsText" dxfId="2" priority="9007" operator="containsText" text="Yes">
      <formula>NOT(ISERROR(SEARCH(("Yes"),(P863))))</formula>
    </cfRule>
  </conditionalFormatting>
  <conditionalFormatting sqref="P863:P864">
    <cfRule type="containsText" dxfId="9" priority="9008" operator="containsText" text="No">
      <formula>NOT(ISERROR(SEARCH(("No"),(P863))))</formula>
    </cfRule>
  </conditionalFormatting>
  <conditionalFormatting sqref="P863:P864">
    <cfRule type="containsText" dxfId="2" priority="9009" operator="containsText" text="Yes">
      <formula>NOT(ISERROR(SEARCH(("Yes"),(P863))))</formula>
    </cfRule>
  </conditionalFormatting>
  <conditionalFormatting sqref="P863:P864">
    <cfRule type="containsText" dxfId="9" priority="9010" operator="containsText" text="No">
      <formula>NOT(ISERROR(SEARCH(("No"),(P863))))</formula>
    </cfRule>
  </conditionalFormatting>
  <conditionalFormatting sqref="P863:P864">
    <cfRule type="containsText" dxfId="2" priority="9011" operator="containsText" text="Yes">
      <formula>NOT(ISERROR(SEARCH(("Yes"),(P863))))</formula>
    </cfRule>
  </conditionalFormatting>
  <conditionalFormatting sqref="P863:P864">
    <cfRule type="containsText" dxfId="9" priority="9012" operator="containsText" text="No">
      <formula>NOT(ISERROR(SEARCH(("No"),(P863))))</formula>
    </cfRule>
  </conditionalFormatting>
  <conditionalFormatting sqref="P863:P864">
    <cfRule type="containsText" dxfId="2" priority="9013" operator="containsText" text="Yes">
      <formula>NOT(ISERROR(SEARCH(("Yes"),(P863))))</formula>
    </cfRule>
  </conditionalFormatting>
  <conditionalFormatting sqref="P863:P864">
    <cfRule type="containsText" dxfId="9" priority="9014" operator="containsText" text="No">
      <formula>NOT(ISERROR(SEARCH(("No"),(P863))))</formula>
    </cfRule>
  </conditionalFormatting>
  <conditionalFormatting sqref="P863:P864">
    <cfRule type="containsText" dxfId="2" priority="9015" operator="containsText" text="Yes">
      <formula>NOT(ISERROR(SEARCH(("Yes"),(P863))))</formula>
    </cfRule>
  </conditionalFormatting>
  <conditionalFormatting sqref="P863:P864">
    <cfRule type="containsText" dxfId="9" priority="9016" operator="containsText" text="No">
      <formula>NOT(ISERROR(SEARCH(("No"),(P863))))</formula>
    </cfRule>
  </conditionalFormatting>
  <conditionalFormatting sqref="P863:P864">
    <cfRule type="containsText" dxfId="2" priority="9017" operator="containsText" text="Yes">
      <formula>NOT(ISERROR(SEARCH(("Yes"),(P863))))</formula>
    </cfRule>
  </conditionalFormatting>
  <conditionalFormatting sqref="P863:P864">
    <cfRule type="containsText" dxfId="9" priority="9018" operator="containsText" text="No">
      <formula>NOT(ISERROR(SEARCH(("No"),(P863))))</formula>
    </cfRule>
  </conditionalFormatting>
  <conditionalFormatting sqref="P863:P864">
    <cfRule type="containsText" dxfId="2" priority="9019" operator="containsText" text="Yes">
      <formula>NOT(ISERROR(SEARCH(("Yes"),(P863))))</formula>
    </cfRule>
  </conditionalFormatting>
  <conditionalFormatting sqref="P863:P864">
    <cfRule type="containsText" dxfId="9" priority="9020" operator="containsText" text="No">
      <formula>NOT(ISERROR(SEARCH(("No"),(P863))))</formula>
    </cfRule>
  </conditionalFormatting>
  <conditionalFormatting sqref="P863:P864">
    <cfRule type="containsText" dxfId="2" priority="9021" operator="containsText" text="Yes">
      <formula>NOT(ISERROR(SEARCH(("Yes"),(P863))))</formula>
    </cfRule>
  </conditionalFormatting>
  <conditionalFormatting sqref="P863:P864">
    <cfRule type="containsText" dxfId="9" priority="9022" operator="containsText" text="No">
      <formula>NOT(ISERROR(SEARCH(("No"),(P863))))</formula>
    </cfRule>
  </conditionalFormatting>
  <conditionalFormatting sqref="P863:P864">
    <cfRule type="containsText" dxfId="2" priority="9023" operator="containsText" text="Yes">
      <formula>NOT(ISERROR(SEARCH(("Yes"),(P863))))</formula>
    </cfRule>
  </conditionalFormatting>
  <conditionalFormatting sqref="P863:P864">
    <cfRule type="containsText" dxfId="9" priority="9024" operator="containsText" text="No">
      <formula>NOT(ISERROR(SEARCH(("No"),(P863))))</formula>
    </cfRule>
  </conditionalFormatting>
  <conditionalFormatting sqref="P863:P864">
    <cfRule type="containsText" dxfId="2" priority="9025" operator="containsText" text="Yes">
      <formula>NOT(ISERROR(SEARCH(("Yes"),(P863))))</formula>
    </cfRule>
  </conditionalFormatting>
  <conditionalFormatting sqref="P863:P864">
    <cfRule type="containsText" dxfId="9" priority="9026" operator="containsText" text="No">
      <formula>NOT(ISERROR(SEARCH(("No"),(P863))))</formula>
    </cfRule>
  </conditionalFormatting>
  <conditionalFormatting sqref="P863:P864">
    <cfRule type="containsText" dxfId="2" priority="9027" operator="containsText" text="Yes">
      <formula>NOT(ISERROR(SEARCH(("Yes"),(P863))))</formula>
    </cfRule>
  </conditionalFormatting>
  <conditionalFormatting sqref="P863:P864">
    <cfRule type="containsText" dxfId="9" priority="9028" operator="containsText" text="No">
      <formula>NOT(ISERROR(SEARCH(("No"),(P863))))</formula>
    </cfRule>
  </conditionalFormatting>
  <conditionalFormatting sqref="P863:P864">
    <cfRule type="containsText" dxfId="2" priority="9029" operator="containsText" text="Yes">
      <formula>NOT(ISERROR(SEARCH(("Yes"),(P863))))</formula>
    </cfRule>
  </conditionalFormatting>
  <conditionalFormatting sqref="P863:P864">
    <cfRule type="containsText" dxfId="9" priority="9030" operator="containsText" text="No">
      <formula>NOT(ISERROR(SEARCH(("No"),(P863))))</formula>
    </cfRule>
  </conditionalFormatting>
  <conditionalFormatting sqref="P863:P864">
    <cfRule type="containsText" dxfId="2" priority="9031" operator="containsText" text="Yes">
      <formula>NOT(ISERROR(SEARCH(("Yes"),(P863))))</formula>
    </cfRule>
  </conditionalFormatting>
  <conditionalFormatting sqref="P863:P864">
    <cfRule type="containsText" dxfId="9" priority="9032" operator="containsText" text="No">
      <formula>NOT(ISERROR(SEARCH(("No"),(P863))))</formula>
    </cfRule>
  </conditionalFormatting>
  <conditionalFormatting sqref="P863:P864">
    <cfRule type="containsText" dxfId="2" priority="9033" operator="containsText" text="Yes">
      <formula>NOT(ISERROR(SEARCH(("Yes"),(P863))))</formula>
    </cfRule>
  </conditionalFormatting>
  <conditionalFormatting sqref="P863:P864">
    <cfRule type="containsText" dxfId="9" priority="9034" operator="containsText" text="No">
      <formula>NOT(ISERROR(SEARCH(("No"),(P863))))</formula>
    </cfRule>
  </conditionalFormatting>
  <conditionalFormatting sqref="P863:P864">
    <cfRule type="containsText" dxfId="2" priority="9035" operator="containsText" text="Yes">
      <formula>NOT(ISERROR(SEARCH(("Yes"),(P863))))</formula>
    </cfRule>
  </conditionalFormatting>
  <conditionalFormatting sqref="P863:P864">
    <cfRule type="containsText" dxfId="9" priority="9036" operator="containsText" text="No">
      <formula>NOT(ISERROR(SEARCH(("No"),(P863))))</formula>
    </cfRule>
  </conditionalFormatting>
  <conditionalFormatting sqref="P863:P864">
    <cfRule type="containsText" dxfId="2" priority="9037" operator="containsText" text="Yes">
      <formula>NOT(ISERROR(SEARCH(("Yes"),(P863))))</formula>
    </cfRule>
  </conditionalFormatting>
  <conditionalFormatting sqref="P863:P864">
    <cfRule type="containsText" dxfId="9" priority="9038" operator="containsText" text="No">
      <formula>NOT(ISERROR(SEARCH(("No"),(P863))))</formula>
    </cfRule>
  </conditionalFormatting>
  <conditionalFormatting sqref="P863:P864">
    <cfRule type="containsText" dxfId="2" priority="9039" operator="containsText" text="Yes">
      <formula>NOT(ISERROR(SEARCH(("Yes"),(P863))))</formula>
    </cfRule>
  </conditionalFormatting>
  <conditionalFormatting sqref="P863:P864">
    <cfRule type="containsText" dxfId="9" priority="9040" operator="containsText" text="No">
      <formula>NOT(ISERROR(SEARCH(("No"),(P863))))</formula>
    </cfRule>
  </conditionalFormatting>
  <conditionalFormatting sqref="P863:P864">
    <cfRule type="containsText" dxfId="2" priority="9041" operator="containsText" text="Yes">
      <formula>NOT(ISERROR(SEARCH(("Yes"),(P863))))</formula>
    </cfRule>
  </conditionalFormatting>
  <conditionalFormatting sqref="P863:P864">
    <cfRule type="containsText" dxfId="9" priority="9042" operator="containsText" text="No">
      <formula>NOT(ISERROR(SEARCH(("No"),(P863))))</formula>
    </cfRule>
  </conditionalFormatting>
  <conditionalFormatting sqref="P863:P864">
    <cfRule type="containsText" dxfId="2" priority="9043" operator="containsText" text="Yes">
      <formula>NOT(ISERROR(SEARCH(("Yes"),(P863))))</formula>
    </cfRule>
  </conditionalFormatting>
  <conditionalFormatting sqref="P863:P864">
    <cfRule type="containsText" dxfId="9" priority="9044" operator="containsText" text="No">
      <formula>NOT(ISERROR(SEARCH(("No"),(P863))))</formula>
    </cfRule>
  </conditionalFormatting>
  <conditionalFormatting sqref="P863:P864">
    <cfRule type="containsText" dxfId="2" priority="9045" operator="containsText" text="Yes">
      <formula>NOT(ISERROR(SEARCH(("Yes"),(P863))))</formula>
    </cfRule>
  </conditionalFormatting>
  <conditionalFormatting sqref="P863:P864">
    <cfRule type="containsText" dxfId="9" priority="9046" operator="containsText" text="No">
      <formula>NOT(ISERROR(SEARCH(("No"),(P863))))</formula>
    </cfRule>
  </conditionalFormatting>
  <conditionalFormatting sqref="P863:P864">
    <cfRule type="containsText" dxfId="2" priority="9047" operator="containsText" text="Yes">
      <formula>NOT(ISERROR(SEARCH(("Yes"),(P863))))</formula>
    </cfRule>
  </conditionalFormatting>
  <conditionalFormatting sqref="P863:P864">
    <cfRule type="containsText" dxfId="9" priority="9048" operator="containsText" text="No">
      <formula>NOT(ISERROR(SEARCH(("No"),(P863))))</formula>
    </cfRule>
  </conditionalFormatting>
  <conditionalFormatting sqref="P863:P864">
    <cfRule type="containsText" dxfId="2" priority="9049" operator="containsText" text="Yes">
      <formula>NOT(ISERROR(SEARCH(("Yes"),(P863))))</formula>
    </cfRule>
  </conditionalFormatting>
  <conditionalFormatting sqref="P863:P864">
    <cfRule type="containsText" dxfId="9" priority="9050" operator="containsText" text="No">
      <formula>NOT(ISERROR(SEARCH(("No"),(P863))))</formula>
    </cfRule>
  </conditionalFormatting>
  <conditionalFormatting sqref="P863:P864">
    <cfRule type="containsText" dxfId="2" priority="9051" operator="containsText" text="Yes">
      <formula>NOT(ISERROR(SEARCH(("Yes"),(P863))))</formula>
    </cfRule>
  </conditionalFormatting>
  <conditionalFormatting sqref="P863:P864">
    <cfRule type="containsText" dxfId="2" priority="9052" operator="containsText" text="Yes">
      <formula>NOT(ISERROR(SEARCH(("Yes"),(P863))))</formula>
    </cfRule>
  </conditionalFormatting>
  <conditionalFormatting sqref="P863:P864">
    <cfRule type="containsText" dxfId="9" priority="9053" operator="containsText" text="No">
      <formula>NOT(ISERROR(SEARCH(("No"),(P863))))</formula>
    </cfRule>
  </conditionalFormatting>
  <conditionalFormatting sqref="P863:P864">
    <cfRule type="containsText" dxfId="2" priority="9054" operator="containsText" text="Yes">
      <formula>NOT(ISERROR(SEARCH(("Yes"),(P863))))</formula>
    </cfRule>
  </conditionalFormatting>
  <conditionalFormatting sqref="P867:P872">
    <cfRule type="containsText" dxfId="2" priority="9055" operator="containsText" text="Yes">
      <formula>NOT(ISERROR(SEARCH(("Yes"),(P867))))</formula>
    </cfRule>
  </conditionalFormatting>
  <conditionalFormatting sqref="P867:P872">
    <cfRule type="containsText" dxfId="9" priority="9056" operator="containsText" text="No">
      <formula>NOT(ISERROR(SEARCH(("No"),(P867))))</formula>
    </cfRule>
  </conditionalFormatting>
  <conditionalFormatting sqref="P867:P872">
    <cfRule type="containsText" dxfId="2" priority="9057" operator="containsText" text="Yes">
      <formula>NOT(ISERROR(SEARCH(("Yes"),(P867))))</formula>
    </cfRule>
  </conditionalFormatting>
  <conditionalFormatting sqref="P867:P872">
    <cfRule type="containsText" dxfId="9" priority="9058" operator="containsText" text="No">
      <formula>NOT(ISERROR(SEARCH(("No"),(P867))))</formula>
    </cfRule>
  </conditionalFormatting>
  <conditionalFormatting sqref="P867:P872">
    <cfRule type="containsText" dxfId="2" priority="9059" operator="containsText" text="Yes">
      <formula>NOT(ISERROR(SEARCH(("Yes"),(P867))))</formula>
    </cfRule>
  </conditionalFormatting>
  <conditionalFormatting sqref="P867:P872">
    <cfRule type="containsText" dxfId="9" priority="9060" operator="containsText" text="No">
      <formula>NOT(ISERROR(SEARCH(("No"),(P867))))</formula>
    </cfRule>
  </conditionalFormatting>
  <conditionalFormatting sqref="P867:P872">
    <cfRule type="containsText" dxfId="2" priority="9061" operator="containsText" text="Yes">
      <formula>NOT(ISERROR(SEARCH(("Yes"),(P867))))</formula>
    </cfRule>
  </conditionalFormatting>
  <conditionalFormatting sqref="P867:P872">
    <cfRule type="containsText" dxfId="9" priority="9062" operator="containsText" text="No">
      <formula>NOT(ISERROR(SEARCH(("No"),(P867))))</formula>
    </cfRule>
  </conditionalFormatting>
  <conditionalFormatting sqref="P867:P872">
    <cfRule type="containsText" dxfId="2" priority="9063" operator="containsText" text="Yes">
      <formula>NOT(ISERROR(SEARCH(("Yes"),(P867))))</formula>
    </cfRule>
  </conditionalFormatting>
  <conditionalFormatting sqref="P867:P872">
    <cfRule type="containsText" dxfId="9" priority="9064" operator="containsText" text="No">
      <formula>NOT(ISERROR(SEARCH(("No"),(P867))))</formula>
    </cfRule>
  </conditionalFormatting>
  <conditionalFormatting sqref="P867:P872">
    <cfRule type="containsText" dxfId="2" priority="9065" operator="containsText" text="Yes">
      <formula>NOT(ISERROR(SEARCH(("Yes"),(P867))))</formula>
    </cfRule>
  </conditionalFormatting>
  <conditionalFormatting sqref="P867:P872">
    <cfRule type="containsText" dxfId="9" priority="9066" operator="containsText" text="No">
      <formula>NOT(ISERROR(SEARCH(("No"),(P867))))</formula>
    </cfRule>
  </conditionalFormatting>
  <conditionalFormatting sqref="P867:P872">
    <cfRule type="containsText" dxfId="2" priority="9067" operator="containsText" text="Yes">
      <formula>NOT(ISERROR(SEARCH(("Yes"),(P867))))</formula>
    </cfRule>
  </conditionalFormatting>
  <conditionalFormatting sqref="P867:P872">
    <cfRule type="containsText" dxfId="9" priority="9068" operator="containsText" text="No">
      <formula>NOT(ISERROR(SEARCH(("No"),(P867))))</formula>
    </cfRule>
  </conditionalFormatting>
  <conditionalFormatting sqref="P867:P872">
    <cfRule type="containsText" dxfId="2" priority="9069" operator="containsText" text="Yes">
      <formula>NOT(ISERROR(SEARCH(("Yes"),(P867))))</formula>
    </cfRule>
  </conditionalFormatting>
  <conditionalFormatting sqref="P867:P872">
    <cfRule type="containsText" dxfId="9" priority="9070" operator="containsText" text="No">
      <formula>NOT(ISERROR(SEARCH(("No"),(P867))))</formula>
    </cfRule>
  </conditionalFormatting>
  <conditionalFormatting sqref="P867:P872">
    <cfRule type="containsText" dxfId="2" priority="9071" operator="containsText" text="Yes">
      <formula>NOT(ISERROR(SEARCH(("Yes"),(P867))))</formula>
    </cfRule>
  </conditionalFormatting>
  <conditionalFormatting sqref="P867:P872">
    <cfRule type="containsText" dxfId="9" priority="9072" operator="containsText" text="No">
      <formula>NOT(ISERROR(SEARCH(("No"),(P867))))</formula>
    </cfRule>
  </conditionalFormatting>
  <conditionalFormatting sqref="P867:P872">
    <cfRule type="containsText" dxfId="2" priority="9073" operator="containsText" text="Yes">
      <formula>NOT(ISERROR(SEARCH(("Yes"),(P867))))</formula>
    </cfRule>
  </conditionalFormatting>
  <conditionalFormatting sqref="P867:P872">
    <cfRule type="containsText" dxfId="9" priority="9074" operator="containsText" text="No">
      <formula>NOT(ISERROR(SEARCH(("No"),(P867))))</formula>
    </cfRule>
  </conditionalFormatting>
  <conditionalFormatting sqref="P867:P872">
    <cfRule type="containsText" dxfId="2" priority="9075" operator="containsText" text="Yes">
      <formula>NOT(ISERROR(SEARCH(("Yes"),(P867))))</formula>
    </cfRule>
  </conditionalFormatting>
  <conditionalFormatting sqref="P867:P872">
    <cfRule type="containsText" dxfId="9" priority="9076" operator="containsText" text="No">
      <formula>NOT(ISERROR(SEARCH(("No"),(P867))))</formula>
    </cfRule>
  </conditionalFormatting>
  <conditionalFormatting sqref="P867:P872">
    <cfRule type="containsText" dxfId="2" priority="9077" operator="containsText" text="Yes">
      <formula>NOT(ISERROR(SEARCH(("Yes"),(P867))))</formula>
    </cfRule>
  </conditionalFormatting>
  <conditionalFormatting sqref="P867:P872">
    <cfRule type="containsText" dxfId="9" priority="9078" operator="containsText" text="No">
      <formula>NOT(ISERROR(SEARCH(("No"),(P867))))</formula>
    </cfRule>
  </conditionalFormatting>
  <conditionalFormatting sqref="P867:P872">
    <cfRule type="containsText" dxfId="2" priority="9079" operator="containsText" text="Yes">
      <formula>NOT(ISERROR(SEARCH(("Yes"),(P867))))</formula>
    </cfRule>
  </conditionalFormatting>
  <conditionalFormatting sqref="P867:P872">
    <cfRule type="containsText" dxfId="9" priority="9080" operator="containsText" text="No">
      <formula>NOT(ISERROR(SEARCH(("No"),(P867))))</formula>
    </cfRule>
  </conditionalFormatting>
  <conditionalFormatting sqref="P867:P872">
    <cfRule type="containsText" dxfId="2" priority="9081" operator="containsText" text="Yes">
      <formula>NOT(ISERROR(SEARCH(("Yes"),(P867))))</formula>
    </cfRule>
  </conditionalFormatting>
  <conditionalFormatting sqref="P867:P872">
    <cfRule type="containsText" dxfId="9" priority="9082" operator="containsText" text="No">
      <formula>NOT(ISERROR(SEARCH(("No"),(P867))))</formula>
    </cfRule>
  </conditionalFormatting>
  <conditionalFormatting sqref="P867:P872">
    <cfRule type="containsText" dxfId="2" priority="9083" operator="containsText" text="Yes">
      <formula>NOT(ISERROR(SEARCH(("Yes"),(P867))))</formula>
    </cfRule>
  </conditionalFormatting>
  <conditionalFormatting sqref="P867:P872">
    <cfRule type="containsText" dxfId="9" priority="9084" operator="containsText" text="No">
      <formula>NOT(ISERROR(SEARCH(("No"),(P867))))</formula>
    </cfRule>
  </conditionalFormatting>
  <conditionalFormatting sqref="P867:P872">
    <cfRule type="containsText" dxfId="2" priority="9085" operator="containsText" text="Yes">
      <formula>NOT(ISERROR(SEARCH(("Yes"),(P867))))</formula>
    </cfRule>
  </conditionalFormatting>
  <conditionalFormatting sqref="P867:P872">
    <cfRule type="containsText" dxfId="9" priority="9086" operator="containsText" text="No">
      <formula>NOT(ISERROR(SEARCH(("No"),(P867))))</formula>
    </cfRule>
  </conditionalFormatting>
  <conditionalFormatting sqref="P867:P872">
    <cfRule type="containsText" dxfId="2" priority="9087" operator="containsText" text="Yes">
      <formula>NOT(ISERROR(SEARCH(("Yes"),(P867))))</formula>
    </cfRule>
  </conditionalFormatting>
  <conditionalFormatting sqref="P867:P872">
    <cfRule type="containsText" dxfId="9" priority="9088" operator="containsText" text="No">
      <formula>NOT(ISERROR(SEARCH(("No"),(P867))))</formula>
    </cfRule>
  </conditionalFormatting>
  <conditionalFormatting sqref="P867:P872">
    <cfRule type="containsText" dxfId="2" priority="9089" operator="containsText" text="Yes">
      <formula>NOT(ISERROR(SEARCH(("Yes"),(P867))))</formula>
    </cfRule>
  </conditionalFormatting>
  <conditionalFormatting sqref="P867:P872">
    <cfRule type="containsText" dxfId="9" priority="9090" operator="containsText" text="No">
      <formula>NOT(ISERROR(SEARCH(("No"),(P867))))</formula>
    </cfRule>
  </conditionalFormatting>
  <conditionalFormatting sqref="P867:P872">
    <cfRule type="containsText" dxfId="2" priority="9091" operator="containsText" text="Yes">
      <formula>NOT(ISERROR(SEARCH(("Yes"),(P867))))</formula>
    </cfRule>
  </conditionalFormatting>
  <conditionalFormatting sqref="P867:P872">
    <cfRule type="containsText" dxfId="9" priority="9092" operator="containsText" text="No">
      <formula>NOT(ISERROR(SEARCH(("No"),(P867))))</formula>
    </cfRule>
  </conditionalFormatting>
  <conditionalFormatting sqref="P867:P872">
    <cfRule type="containsText" dxfId="2" priority="9093" operator="containsText" text="Yes">
      <formula>NOT(ISERROR(SEARCH(("Yes"),(P867))))</formula>
    </cfRule>
  </conditionalFormatting>
  <conditionalFormatting sqref="P867:P872">
    <cfRule type="containsText" dxfId="9" priority="9094" operator="containsText" text="No">
      <formula>NOT(ISERROR(SEARCH(("No"),(P867))))</formula>
    </cfRule>
  </conditionalFormatting>
  <conditionalFormatting sqref="P867:P872">
    <cfRule type="containsText" dxfId="2" priority="9095" operator="containsText" text="Yes">
      <formula>NOT(ISERROR(SEARCH(("Yes"),(P867))))</formula>
    </cfRule>
  </conditionalFormatting>
  <conditionalFormatting sqref="P867:P872">
    <cfRule type="containsText" dxfId="9" priority="9096" operator="containsText" text="No">
      <formula>NOT(ISERROR(SEARCH(("No"),(P867))))</formula>
    </cfRule>
  </conditionalFormatting>
  <conditionalFormatting sqref="P867:P872">
    <cfRule type="containsText" dxfId="2" priority="9097" operator="containsText" text="Yes">
      <formula>NOT(ISERROR(SEARCH(("Yes"),(P867))))</formula>
    </cfRule>
  </conditionalFormatting>
  <conditionalFormatting sqref="P867:P872">
    <cfRule type="containsText" dxfId="9" priority="9098" operator="containsText" text="No">
      <formula>NOT(ISERROR(SEARCH(("No"),(P867))))</formula>
    </cfRule>
  </conditionalFormatting>
  <conditionalFormatting sqref="P867:P872">
    <cfRule type="containsText" dxfId="2" priority="9099" operator="containsText" text="Yes">
      <formula>NOT(ISERROR(SEARCH(("Yes"),(P867))))</formula>
    </cfRule>
  </conditionalFormatting>
  <conditionalFormatting sqref="P867:P872">
    <cfRule type="containsText" dxfId="9" priority="9100" operator="containsText" text="No">
      <formula>NOT(ISERROR(SEARCH(("No"),(P867))))</formula>
    </cfRule>
  </conditionalFormatting>
  <conditionalFormatting sqref="P867:P872">
    <cfRule type="containsText" dxfId="2" priority="9101" operator="containsText" text="Yes">
      <formula>NOT(ISERROR(SEARCH(("Yes"),(P867))))</formula>
    </cfRule>
  </conditionalFormatting>
  <conditionalFormatting sqref="P867:P872">
    <cfRule type="containsText" dxfId="9" priority="9102" operator="containsText" text="No">
      <formula>NOT(ISERROR(SEARCH(("No"),(P867))))</formula>
    </cfRule>
  </conditionalFormatting>
  <conditionalFormatting sqref="P867:P872">
    <cfRule type="containsText" dxfId="2" priority="9103" operator="containsText" text="Yes">
      <formula>NOT(ISERROR(SEARCH(("Yes"),(P867))))</formula>
    </cfRule>
  </conditionalFormatting>
  <conditionalFormatting sqref="P867:P872">
    <cfRule type="containsText" dxfId="9" priority="9104" operator="containsText" text="No">
      <formula>NOT(ISERROR(SEARCH(("No"),(P867))))</formula>
    </cfRule>
  </conditionalFormatting>
  <conditionalFormatting sqref="P867:P872">
    <cfRule type="containsText" dxfId="2" priority="9105" operator="containsText" text="Yes">
      <formula>NOT(ISERROR(SEARCH(("Yes"),(P867))))</formula>
    </cfRule>
  </conditionalFormatting>
  <conditionalFormatting sqref="P867:P872">
    <cfRule type="containsText" dxfId="9" priority="9106" operator="containsText" text="No">
      <formula>NOT(ISERROR(SEARCH(("No"),(P867))))</formula>
    </cfRule>
  </conditionalFormatting>
  <conditionalFormatting sqref="P867:P872">
    <cfRule type="containsText" dxfId="2" priority="9107" operator="containsText" text="Yes">
      <formula>NOT(ISERROR(SEARCH(("Yes"),(P867))))</formula>
    </cfRule>
  </conditionalFormatting>
  <conditionalFormatting sqref="P867:P872">
    <cfRule type="containsText" dxfId="9" priority="9108" operator="containsText" text="No">
      <formula>NOT(ISERROR(SEARCH(("No"),(P867))))</formula>
    </cfRule>
  </conditionalFormatting>
  <conditionalFormatting sqref="P867:P872">
    <cfRule type="containsText" dxfId="2" priority="9109" operator="containsText" text="Yes">
      <formula>NOT(ISERROR(SEARCH(("Yes"),(P867))))</formula>
    </cfRule>
  </conditionalFormatting>
  <conditionalFormatting sqref="P867:P872">
    <cfRule type="containsText" dxfId="9" priority="9110" operator="containsText" text="No">
      <formula>NOT(ISERROR(SEARCH(("No"),(P867))))</formula>
    </cfRule>
  </conditionalFormatting>
  <conditionalFormatting sqref="P867:P872">
    <cfRule type="containsText" dxfId="2" priority="9111" operator="containsText" text="Yes">
      <formula>NOT(ISERROR(SEARCH(("Yes"),(P867))))</formula>
    </cfRule>
  </conditionalFormatting>
  <conditionalFormatting sqref="P867:P872">
    <cfRule type="containsText" dxfId="9" priority="9112" operator="containsText" text="No">
      <formula>NOT(ISERROR(SEARCH(("No"),(P867))))</formula>
    </cfRule>
  </conditionalFormatting>
  <conditionalFormatting sqref="P867:P872">
    <cfRule type="containsText" dxfId="2" priority="9113" operator="containsText" text="Yes">
      <formula>NOT(ISERROR(SEARCH(("Yes"),(P867))))</formula>
    </cfRule>
  </conditionalFormatting>
  <conditionalFormatting sqref="P867:P872">
    <cfRule type="containsText" dxfId="9" priority="9114" operator="containsText" text="No">
      <formula>NOT(ISERROR(SEARCH(("No"),(P867))))</formula>
    </cfRule>
  </conditionalFormatting>
  <conditionalFormatting sqref="P867:P872">
    <cfRule type="containsText" dxfId="2" priority="9115" operator="containsText" text="Yes">
      <formula>NOT(ISERROR(SEARCH(("Yes"),(P867))))</formula>
    </cfRule>
  </conditionalFormatting>
  <conditionalFormatting sqref="P867:P872">
    <cfRule type="containsText" dxfId="9" priority="9116" operator="containsText" text="No">
      <formula>NOT(ISERROR(SEARCH(("No"),(P867))))</formula>
    </cfRule>
  </conditionalFormatting>
  <conditionalFormatting sqref="P867:P872">
    <cfRule type="containsText" dxfId="2" priority="9117" operator="containsText" text="Yes">
      <formula>NOT(ISERROR(SEARCH(("Yes"),(P867))))</formula>
    </cfRule>
  </conditionalFormatting>
  <conditionalFormatting sqref="P867:P872">
    <cfRule type="containsText" dxfId="9" priority="9118" operator="containsText" text="No">
      <formula>NOT(ISERROR(SEARCH(("No"),(P867))))</formula>
    </cfRule>
  </conditionalFormatting>
  <conditionalFormatting sqref="P867:P872">
    <cfRule type="containsText" dxfId="2" priority="9119" operator="containsText" text="Yes">
      <formula>NOT(ISERROR(SEARCH(("Yes"),(P867))))</formula>
    </cfRule>
  </conditionalFormatting>
  <conditionalFormatting sqref="P867:P872">
    <cfRule type="containsText" dxfId="9" priority="9120" operator="containsText" text="No">
      <formula>NOT(ISERROR(SEARCH(("No"),(P867))))</formula>
    </cfRule>
  </conditionalFormatting>
  <conditionalFormatting sqref="P867:P872">
    <cfRule type="containsText" dxfId="2" priority="9121" operator="containsText" text="Yes">
      <formula>NOT(ISERROR(SEARCH(("Yes"),(P867))))</formula>
    </cfRule>
  </conditionalFormatting>
  <conditionalFormatting sqref="P867:P872">
    <cfRule type="containsText" dxfId="9" priority="9122" operator="containsText" text="No">
      <formula>NOT(ISERROR(SEARCH(("No"),(P867))))</formula>
    </cfRule>
  </conditionalFormatting>
  <conditionalFormatting sqref="P867:P872">
    <cfRule type="containsText" dxfId="2" priority="9123" operator="containsText" text="Yes">
      <formula>NOT(ISERROR(SEARCH(("Yes"),(P867))))</formula>
    </cfRule>
  </conditionalFormatting>
  <conditionalFormatting sqref="P867:P872">
    <cfRule type="containsText" dxfId="9" priority="9124" operator="containsText" text="No">
      <formula>NOT(ISERROR(SEARCH(("No"),(P867))))</formula>
    </cfRule>
  </conditionalFormatting>
  <conditionalFormatting sqref="P867:P872">
    <cfRule type="containsText" dxfId="2" priority="9125" operator="containsText" text="Yes">
      <formula>NOT(ISERROR(SEARCH(("Yes"),(P867))))</formula>
    </cfRule>
  </conditionalFormatting>
  <conditionalFormatting sqref="P867:P872">
    <cfRule type="containsText" dxfId="9" priority="9126" operator="containsText" text="No">
      <formula>NOT(ISERROR(SEARCH(("No"),(P867))))</formula>
    </cfRule>
  </conditionalFormatting>
  <conditionalFormatting sqref="P867:P872">
    <cfRule type="containsText" dxfId="2" priority="9127" operator="containsText" text="Yes">
      <formula>NOT(ISERROR(SEARCH(("Yes"),(P867))))</formula>
    </cfRule>
  </conditionalFormatting>
  <conditionalFormatting sqref="P867:P872">
    <cfRule type="containsText" dxfId="9" priority="9128" operator="containsText" text="No">
      <formula>NOT(ISERROR(SEARCH(("No"),(P867))))</formula>
    </cfRule>
  </conditionalFormatting>
  <conditionalFormatting sqref="P867:P872">
    <cfRule type="containsText" dxfId="2" priority="9129" operator="containsText" text="Yes">
      <formula>NOT(ISERROR(SEARCH(("Yes"),(P867))))</formula>
    </cfRule>
  </conditionalFormatting>
  <conditionalFormatting sqref="P867:P872">
    <cfRule type="containsText" dxfId="9" priority="9130" operator="containsText" text="No">
      <formula>NOT(ISERROR(SEARCH(("No"),(P867))))</formula>
    </cfRule>
  </conditionalFormatting>
  <conditionalFormatting sqref="P867:P872">
    <cfRule type="containsText" dxfId="2" priority="9131" operator="containsText" text="Yes">
      <formula>NOT(ISERROR(SEARCH(("Yes"),(P867))))</formula>
    </cfRule>
  </conditionalFormatting>
  <conditionalFormatting sqref="P867:P872">
    <cfRule type="containsText" dxfId="9" priority="9132" operator="containsText" text="No">
      <formula>NOT(ISERROR(SEARCH(("No"),(P867))))</formula>
    </cfRule>
  </conditionalFormatting>
  <conditionalFormatting sqref="P867:P872">
    <cfRule type="containsText" dxfId="2" priority="9133" operator="containsText" text="Yes">
      <formula>NOT(ISERROR(SEARCH(("Yes"),(P867))))</formula>
    </cfRule>
  </conditionalFormatting>
  <conditionalFormatting sqref="P867:P872">
    <cfRule type="containsText" dxfId="9" priority="9134" operator="containsText" text="No">
      <formula>NOT(ISERROR(SEARCH(("No"),(P867))))</formula>
    </cfRule>
  </conditionalFormatting>
  <conditionalFormatting sqref="P867:P872">
    <cfRule type="containsText" dxfId="2" priority="9135" operator="containsText" text="Yes">
      <formula>NOT(ISERROR(SEARCH(("Yes"),(P867))))</formula>
    </cfRule>
  </conditionalFormatting>
  <conditionalFormatting sqref="P867:P872">
    <cfRule type="containsText" dxfId="9" priority="9136" operator="containsText" text="No">
      <formula>NOT(ISERROR(SEARCH(("No"),(P867))))</formula>
    </cfRule>
  </conditionalFormatting>
  <conditionalFormatting sqref="P867:P872">
    <cfRule type="containsText" dxfId="2" priority="9137" operator="containsText" text="Yes">
      <formula>NOT(ISERROR(SEARCH(("Yes"),(P867))))</formula>
    </cfRule>
  </conditionalFormatting>
  <conditionalFormatting sqref="P867:P872">
    <cfRule type="containsText" dxfId="9" priority="9138" operator="containsText" text="No">
      <formula>NOT(ISERROR(SEARCH(("No"),(P867))))</formula>
    </cfRule>
  </conditionalFormatting>
  <conditionalFormatting sqref="P867:P872">
    <cfRule type="containsText" dxfId="2" priority="9139" operator="containsText" text="Yes">
      <formula>NOT(ISERROR(SEARCH(("Yes"),(P867))))</formula>
    </cfRule>
  </conditionalFormatting>
  <conditionalFormatting sqref="P867:P872">
    <cfRule type="containsText" dxfId="9" priority="9140" operator="containsText" text="No">
      <formula>NOT(ISERROR(SEARCH(("No"),(P867))))</formula>
    </cfRule>
  </conditionalFormatting>
  <conditionalFormatting sqref="P867:P872">
    <cfRule type="containsText" dxfId="2" priority="9141" operator="containsText" text="Yes">
      <formula>NOT(ISERROR(SEARCH(("Yes"),(P867))))</formula>
    </cfRule>
  </conditionalFormatting>
  <conditionalFormatting sqref="P867:P872">
    <cfRule type="containsText" dxfId="9" priority="9142" operator="containsText" text="No">
      <formula>NOT(ISERROR(SEARCH(("No"),(P867))))</formula>
    </cfRule>
  </conditionalFormatting>
  <conditionalFormatting sqref="P867:P872">
    <cfRule type="containsText" dxfId="2" priority="9143" operator="containsText" text="Yes">
      <formula>NOT(ISERROR(SEARCH(("Yes"),(P867))))</formula>
    </cfRule>
  </conditionalFormatting>
  <conditionalFormatting sqref="P867:P872">
    <cfRule type="containsText" dxfId="2" priority="9144" operator="containsText" text="Yes">
      <formula>NOT(ISERROR(SEARCH(("Yes"),(P867))))</formula>
    </cfRule>
  </conditionalFormatting>
  <conditionalFormatting sqref="P867:P872">
    <cfRule type="containsText" dxfId="9" priority="9145" operator="containsText" text="No">
      <formula>NOT(ISERROR(SEARCH(("No"),(P867))))</formula>
    </cfRule>
  </conditionalFormatting>
  <conditionalFormatting sqref="P867:P872">
    <cfRule type="containsText" dxfId="2" priority="9146" operator="containsText" text="Yes">
      <formula>NOT(ISERROR(SEARCH(("Yes"),(P867))))</formula>
    </cfRule>
  </conditionalFormatting>
  <conditionalFormatting sqref="P873">
    <cfRule type="containsText" dxfId="2" priority="9147" operator="containsText" text="Yes">
      <formula>NOT(ISERROR(SEARCH(("Yes"),(P873))))</formula>
    </cfRule>
  </conditionalFormatting>
  <conditionalFormatting sqref="P873">
    <cfRule type="containsText" dxfId="9" priority="9148" operator="containsText" text="No">
      <formula>NOT(ISERROR(SEARCH(("No"),(P873))))</formula>
    </cfRule>
  </conditionalFormatting>
  <conditionalFormatting sqref="P873">
    <cfRule type="containsText" dxfId="2" priority="9149" operator="containsText" text="Yes">
      <formula>NOT(ISERROR(SEARCH(("Yes"),(P873))))</formula>
    </cfRule>
  </conditionalFormatting>
  <conditionalFormatting sqref="P873">
    <cfRule type="containsText" dxfId="9" priority="9150" operator="containsText" text="No">
      <formula>NOT(ISERROR(SEARCH(("No"),(P873))))</formula>
    </cfRule>
  </conditionalFormatting>
  <conditionalFormatting sqref="P873">
    <cfRule type="containsText" dxfId="2" priority="9151" operator="containsText" text="Yes">
      <formula>NOT(ISERROR(SEARCH(("Yes"),(P873))))</formula>
    </cfRule>
  </conditionalFormatting>
  <conditionalFormatting sqref="P873">
    <cfRule type="containsText" dxfId="9" priority="9152" operator="containsText" text="No">
      <formula>NOT(ISERROR(SEARCH(("No"),(P873))))</formula>
    </cfRule>
  </conditionalFormatting>
  <conditionalFormatting sqref="P873">
    <cfRule type="containsText" dxfId="2" priority="9153" operator="containsText" text="Yes">
      <formula>NOT(ISERROR(SEARCH(("Yes"),(P873))))</formula>
    </cfRule>
  </conditionalFormatting>
  <conditionalFormatting sqref="P873">
    <cfRule type="containsText" dxfId="9" priority="9154" operator="containsText" text="No">
      <formula>NOT(ISERROR(SEARCH(("No"),(P873))))</formula>
    </cfRule>
  </conditionalFormatting>
  <conditionalFormatting sqref="P873">
    <cfRule type="containsText" dxfId="2" priority="9155" operator="containsText" text="Yes">
      <formula>NOT(ISERROR(SEARCH(("Yes"),(P873))))</formula>
    </cfRule>
  </conditionalFormatting>
  <conditionalFormatting sqref="P873">
    <cfRule type="containsText" dxfId="9" priority="9156" operator="containsText" text="No">
      <formula>NOT(ISERROR(SEARCH(("No"),(P873))))</formula>
    </cfRule>
  </conditionalFormatting>
  <conditionalFormatting sqref="P873">
    <cfRule type="containsText" dxfId="2" priority="9157" operator="containsText" text="Yes">
      <formula>NOT(ISERROR(SEARCH(("Yes"),(P873))))</formula>
    </cfRule>
  </conditionalFormatting>
  <conditionalFormatting sqref="P873">
    <cfRule type="containsText" dxfId="9" priority="9158" operator="containsText" text="No">
      <formula>NOT(ISERROR(SEARCH(("No"),(P873))))</formula>
    </cfRule>
  </conditionalFormatting>
  <conditionalFormatting sqref="P873">
    <cfRule type="containsText" dxfId="2" priority="9159" operator="containsText" text="Yes">
      <formula>NOT(ISERROR(SEARCH(("Yes"),(P873))))</formula>
    </cfRule>
  </conditionalFormatting>
  <conditionalFormatting sqref="P873">
    <cfRule type="containsText" dxfId="9" priority="9160" operator="containsText" text="No">
      <formula>NOT(ISERROR(SEARCH(("No"),(P873))))</formula>
    </cfRule>
  </conditionalFormatting>
  <conditionalFormatting sqref="P873">
    <cfRule type="containsText" dxfId="2" priority="9161" operator="containsText" text="Yes">
      <formula>NOT(ISERROR(SEARCH(("Yes"),(P873))))</formula>
    </cfRule>
  </conditionalFormatting>
  <conditionalFormatting sqref="P873">
    <cfRule type="containsText" dxfId="9" priority="9162" operator="containsText" text="No">
      <formula>NOT(ISERROR(SEARCH(("No"),(P873))))</formula>
    </cfRule>
  </conditionalFormatting>
  <conditionalFormatting sqref="P873">
    <cfRule type="containsText" dxfId="2" priority="9163" operator="containsText" text="Yes">
      <formula>NOT(ISERROR(SEARCH(("Yes"),(P873))))</formula>
    </cfRule>
  </conditionalFormatting>
  <conditionalFormatting sqref="P873">
    <cfRule type="containsText" dxfId="9" priority="9164" operator="containsText" text="No">
      <formula>NOT(ISERROR(SEARCH(("No"),(P873))))</formula>
    </cfRule>
  </conditionalFormatting>
  <conditionalFormatting sqref="P873">
    <cfRule type="containsText" dxfId="2" priority="9165" operator="containsText" text="Yes">
      <formula>NOT(ISERROR(SEARCH(("Yes"),(P873))))</formula>
    </cfRule>
  </conditionalFormatting>
  <conditionalFormatting sqref="P873">
    <cfRule type="containsText" dxfId="9" priority="9166" operator="containsText" text="No">
      <formula>NOT(ISERROR(SEARCH(("No"),(P873))))</formula>
    </cfRule>
  </conditionalFormatting>
  <conditionalFormatting sqref="P873">
    <cfRule type="containsText" dxfId="2" priority="9167" operator="containsText" text="Yes">
      <formula>NOT(ISERROR(SEARCH(("Yes"),(P873))))</formula>
    </cfRule>
  </conditionalFormatting>
  <conditionalFormatting sqref="P873">
    <cfRule type="containsText" dxfId="9" priority="9168" operator="containsText" text="No">
      <formula>NOT(ISERROR(SEARCH(("No"),(P873))))</formula>
    </cfRule>
  </conditionalFormatting>
  <conditionalFormatting sqref="P873">
    <cfRule type="containsText" dxfId="2" priority="9169" operator="containsText" text="Yes">
      <formula>NOT(ISERROR(SEARCH(("Yes"),(P873))))</formula>
    </cfRule>
  </conditionalFormatting>
  <conditionalFormatting sqref="P873">
    <cfRule type="containsText" dxfId="9" priority="9170" operator="containsText" text="No">
      <formula>NOT(ISERROR(SEARCH(("No"),(P873))))</formula>
    </cfRule>
  </conditionalFormatting>
  <conditionalFormatting sqref="P873">
    <cfRule type="containsText" dxfId="2" priority="9171" operator="containsText" text="Yes">
      <formula>NOT(ISERROR(SEARCH(("Yes"),(P873))))</formula>
    </cfRule>
  </conditionalFormatting>
  <conditionalFormatting sqref="P873">
    <cfRule type="containsText" dxfId="9" priority="9172" operator="containsText" text="No">
      <formula>NOT(ISERROR(SEARCH(("No"),(P873))))</formula>
    </cfRule>
  </conditionalFormatting>
  <conditionalFormatting sqref="P873">
    <cfRule type="containsText" dxfId="2" priority="9173" operator="containsText" text="Yes">
      <formula>NOT(ISERROR(SEARCH(("Yes"),(P873))))</formula>
    </cfRule>
  </conditionalFormatting>
  <conditionalFormatting sqref="P873">
    <cfRule type="containsText" dxfId="9" priority="9174" operator="containsText" text="No">
      <formula>NOT(ISERROR(SEARCH(("No"),(P873))))</formula>
    </cfRule>
  </conditionalFormatting>
  <conditionalFormatting sqref="P873">
    <cfRule type="containsText" dxfId="2" priority="9175" operator="containsText" text="Yes">
      <formula>NOT(ISERROR(SEARCH(("Yes"),(P873))))</formula>
    </cfRule>
  </conditionalFormatting>
  <conditionalFormatting sqref="P873">
    <cfRule type="containsText" dxfId="9" priority="9176" operator="containsText" text="No">
      <formula>NOT(ISERROR(SEARCH(("No"),(P873))))</formula>
    </cfRule>
  </conditionalFormatting>
  <conditionalFormatting sqref="P873">
    <cfRule type="containsText" dxfId="2" priority="9177" operator="containsText" text="Yes">
      <formula>NOT(ISERROR(SEARCH(("Yes"),(P873))))</formula>
    </cfRule>
  </conditionalFormatting>
  <conditionalFormatting sqref="P873">
    <cfRule type="containsText" dxfId="9" priority="9178" operator="containsText" text="No">
      <formula>NOT(ISERROR(SEARCH(("No"),(P873))))</formula>
    </cfRule>
  </conditionalFormatting>
  <conditionalFormatting sqref="P873">
    <cfRule type="containsText" dxfId="2" priority="9179" operator="containsText" text="Yes">
      <formula>NOT(ISERROR(SEARCH(("Yes"),(P873))))</formula>
    </cfRule>
  </conditionalFormatting>
  <conditionalFormatting sqref="P873">
    <cfRule type="containsText" dxfId="9" priority="9180" operator="containsText" text="No">
      <formula>NOT(ISERROR(SEARCH(("No"),(P873))))</formula>
    </cfRule>
  </conditionalFormatting>
  <conditionalFormatting sqref="P873">
    <cfRule type="containsText" dxfId="2" priority="9181" operator="containsText" text="Yes">
      <formula>NOT(ISERROR(SEARCH(("Yes"),(P873))))</formula>
    </cfRule>
  </conditionalFormatting>
  <conditionalFormatting sqref="P873">
    <cfRule type="containsText" dxfId="9" priority="9182" operator="containsText" text="No">
      <formula>NOT(ISERROR(SEARCH(("No"),(P873))))</formula>
    </cfRule>
  </conditionalFormatting>
  <conditionalFormatting sqref="P873">
    <cfRule type="containsText" dxfId="2" priority="9183" operator="containsText" text="Yes">
      <formula>NOT(ISERROR(SEARCH(("Yes"),(P873))))</formula>
    </cfRule>
  </conditionalFormatting>
  <conditionalFormatting sqref="P873">
    <cfRule type="containsText" dxfId="9" priority="9184" operator="containsText" text="No">
      <formula>NOT(ISERROR(SEARCH(("No"),(P873))))</formula>
    </cfRule>
  </conditionalFormatting>
  <conditionalFormatting sqref="P873">
    <cfRule type="containsText" dxfId="2" priority="9185" operator="containsText" text="Yes">
      <formula>NOT(ISERROR(SEARCH(("Yes"),(P873))))</formula>
    </cfRule>
  </conditionalFormatting>
  <conditionalFormatting sqref="P873">
    <cfRule type="containsText" dxfId="9" priority="9186" operator="containsText" text="No">
      <formula>NOT(ISERROR(SEARCH(("No"),(P873))))</formula>
    </cfRule>
  </conditionalFormatting>
  <conditionalFormatting sqref="P873">
    <cfRule type="containsText" dxfId="2" priority="9187" operator="containsText" text="Yes">
      <formula>NOT(ISERROR(SEARCH(("Yes"),(P873))))</formula>
    </cfRule>
  </conditionalFormatting>
  <conditionalFormatting sqref="P873">
    <cfRule type="containsText" dxfId="9" priority="9188" operator="containsText" text="No">
      <formula>NOT(ISERROR(SEARCH(("No"),(P873))))</formula>
    </cfRule>
  </conditionalFormatting>
  <conditionalFormatting sqref="P873">
    <cfRule type="containsText" dxfId="2" priority="9189" operator="containsText" text="Yes">
      <formula>NOT(ISERROR(SEARCH(("Yes"),(P873))))</formula>
    </cfRule>
  </conditionalFormatting>
  <conditionalFormatting sqref="P873">
    <cfRule type="containsText" dxfId="9" priority="9190" operator="containsText" text="No">
      <formula>NOT(ISERROR(SEARCH(("No"),(P873))))</formula>
    </cfRule>
  </conditionalFormatting>
  <conditionalFormatting sqref="P873">
    <cfRule type="containsText" dxfId="2" priority="9191" operator="containsText" text="Yes">
      <formula>NOT(ISERROR(SEARCH(("Yes"),(P873))))</formula>
    </cfRule>
  </conditionalFormatting>
  <conditionalFormatting sqref="P873">
    <cfRule type="containsText" dxfId="9" priority="9192" operator="containsText" text="No">
      <formula>NOT(ISERROR(SEARCH(("No"),(P873))))</formula>
    </cfRule>
  </conditionalFormatting>
  <conditionalFormatting sqref="P873">
    <cfRule type="containsText" dxfId="2" priority="9193" operator="containsText" text="Yes">
      <formula>NOT(ISERROR(SEARCH(("Yes"),(P873))))</formula>
    </cfRule>
  </conditionalFormatting>
  <conditionalFormatting sqref="P873">
    <cfRule type="containsText" dxfId="9" priority="9194" operator="containsText" text="No">
      <formula>NOT(ISERROR(SEARCH(("No"),(P873))))</formula>
    </cfRule>
  </conditionalFormatting>
  <conditionalFormatting sqref="P873">
    <cfRule type="containsText" dxfId="2" priority="9195" operator="containsText" text="Yes">
      <formula>NOT(ISERROR(SEARCH(("Yes"),(P873))))</formula>
    </cfRule>
  </conditionalFormatting>
  <conditionalFormatting sqref="P873">
    <cfRule type="containsText" dxfId="9" priority="9196" operator="containsText" text="No">
      <formula>NOT(ISERROR(SEARCH(("No"),(P873))))</formula>
    </cfRule>
  </conditionalFormatting>
  <conditionalFormatting sqref="P873">
    <cfRule type="containsText" dxfId="2" priority="9197" operator="containsText" text="Yes">
      <formula>NOT(ISERROR(SEARCH(("Yes"),(P873))))</formula>
    </cfRule>
  </conditionalFormatting>
  <conditionalFormatting sqref="P873">
    <cfRule type="containsText" dxfId="9" priority="9198" operator="containsText" text="No">
      <formula>NOT(ISERROR(SEARCH(("No"),(P873))))</formula>
    </cfRule>
  </conditionalFormatting>
  <conditionalFormatting sqref="P873">
    <cfRule type="containsText" dxfId="2" priority="9199" operator="containsText" text="Yes">
      <formula>NOT(ISERROR(SEARCH(("Yes"),(P873))))</formula>
    </cfRule>
  </conditionalFormatting>
  <conditionalFormatting sqref="P873">
    <cfRule type="containsText" dxfId="9" priority="9200" operator="containsText" text="No">
      <formula>NOT(ISERROR(SEARCH(("No"),(P873))))</formula>
    </cfRule>
  </conditionalFormatting>
  <conditionalFormatting sqref="P873">
    <cfRule type="containsText" dxfId="2" priority="9201" operator="containsText" text="Yes">
      <formula>NOT(ISERROR(SEARCH(("Yes"),(P873))))</formula>
    </cfRule>
  </conditionalFormatting>
  <conditionalFormatting sqref="P873">
    <cfRule type="containsText" dxfId="9" priority="9202" operator="containsText" text="No">
      <formula>NOT(ISERROR(SEARCH(("No"),(P873))))</formula>
    </cfRule>
  </conditionalFormatting>
  <conditionalFormatting sqref="P873">
    <cfRule type="containsText" dxfId="2" priority="9203" operator="containsText" text="Yes">
      <formula>NOT(ISERROR(SEARCH(("Yes"),(P873))))</formula>
    </cfRule>
  </conditionalFormatting>
  <conditionalFormatting sqref="P873">
    <cfRule type="containsText" dxfId="9" priority="9204" operator="containsText" text="No">
      <formula>NOT(ISERROR(SEARCH(("No"),(P873))))</formula>
    </cfRule>
  </conditionalFormatting>
  <conditionalFormatting sqref="P873">
    <cfRule type="containsText" dxfId="2" priority="9205" operator="containsText" text="Yes">
      <formula>NOT(ISERROR(SEARCH(("Yes"),(P873))))</formula>
    </cfRule>
  </conditionalFormatting>
  <conditionalFormatting sqref="P873">
    <cfRule type="containsText" dxfId="9" priority="9206" operator="containsText" text="No">
      <formula>NOT(ISERROR(SEARCH(("No"),(P873))))</formula>
    </cfRule>
  </conditionalFormatting>
  <conditionalFormatting sqref="P873">
    <cfRule type="containsText" dxfId="2" priority="9207" operator="containsText" text="Yes">
      <formula>NOT(ISERROR(SEARCH(("Yes"),(P873))))</formula>
    </cfRule>
  </conditionalFormatting>
  <conditionalFormatting sqref="P873">
    <cfRule type="containsText" dxfId="9" priority="9208" operator="containsText" text="No">
      <formula>NOT(ISERROR(SEARCH(("No"),(P873))))</formula>
    </cfRule>
  </conditionalFormatting>
  <conditionalFormatting sqref="P873">
    <cfRule type="containsText" dxfId="2" priority="9209" operator="containsText" text="Yes">
      <formula>NOT(ISERROR(SEARCH(("Yes"),(P873))))</formula>
    </cfRule>
  </conditionalFormatting>
  <conditionalFormatting sqref="P873">
    <cfRule type="containsText" dxfId="9" priority="9210" operator="containsText" text="No">
      <formula>NOT(ISERROR(SEARCH(("No"),(P873))))</formula>
    </cfRule>
  </conditionalFormatting>
  <conditionalFormatting sqref="P873">
    <cfRule type="containsText" dxfId="2" priority="9211" operator="containsText" text="Yes">
      <formula>NOT(ISERROR(SEARCH(("Yes"),(P873))))</formula>
    </cfRule>
  </conditionalFormatting>
  <conditionalFormatting sqref="P873">
    <cfRule type="containsText" dxfId="9" priority="9212" operator="containsText" text="No">
      <formula>NOT(ISERROR(SEARCH(("No"),(P873))))</formula>
    </cfRule>
  </conditionalFormatting>
  <conditionalFormatting sqref="P873">
    <cfRule type="containsText" dxfId="2" priority="9213" operator="containsText" text="Yes">
      <formula>NOT(ISERROR(SEARCH(("Yes"),(P873))))</formula>
    </cfRule>
  </conditionalFormatting>
  <conditionalFormatting sqref="P873">
    <cfRule type="containsText" dxfId="9" priority="9214" operator="containsText" text="No">
      <formula>NOT(ISERROR(SEARCH(("No"),(P873))))</formula>
    </cfRule>
  </conditionalFormatting>
  <conditionalFormatting sqref="P873">
    <cfRule type="containsText" dxfId="2" priority="9215" operator="containsText" text="Yes">
      <formula>NOT(ISERROR(SEARCH(("Yes"),(P873))))</formula>
    </cfRule>
  </conditionalFormatting>
  <conditionalFormatting sqref="P873">
    <cfRule type="containsText" dxfId="9" priority="9216" operator="containsText" text="No">
      <formula>NOT(ISERROR(SEARCH(("No"),(P873))))</formula>
    </cfRule>
  </conditionalFormatting>
  <conditionalFormatting sqref="P873">
    <cfRule type="containsText" dxfId="2" priority="9217" operator="containsText" text="Yes">
      <formula>NOT(ISERROR(SEARCH(("Yes"),(P873))))</formula>
    </cfRule>
  </conditionalFormatting>
  <conditionalFormatting sqref="P873">
    <cfRule type="containsText" dxfId="9" priority="9218" operator="containsText" text="No">
      <formula>NOT(ISERROR(SEARCH(("No"),(P873))))</formula>
    </cfRule>
  </conditionalFormatting>
  <conditionalFormatting sqref="P873">
    <cfRule type="containsText" dxfId="2" priority="9219" operator="containsText" text="Yes">
      <formula>NOT(ISERROR(SEARCH(("Yes"),(P873))))</formula>
    </cfRule>
  </conditionalFormatting>
  <conditionalFormatting sqref="P873">
    <cfRule type="containsText" dxfId="9" priority="9220" operator="containsText" text="No">
      <formula>NOT(ISERROR(SEARCH(("No"),(P873))))</formula>
    </cfRule>
  </conditionalFormatting>
  <conditionalFormatting sqref="P873">
    <cfRule type="containsText" dxfId="2" priority="9221" operator="containsText" text="Yes">
      <formula>NOT(ISERROR(SEARCH(("Yes"),(P873))))</formula>
    </cfRule>
  </conditionalFormatting>
  <conditionalFormatting sqref="P873">
    <cfRule type="containsText" dxfId="9" priority="9222" operator="containsText" text="No">
      <formula>NOT(ISERROR(SEARCH(("No"),(P873))))</formula>
    </cfRule>
  </conditionalFormatting>
  <conditionalFormatting sqref="P873">
    <cfRule type="containsText" dxfId="2" priority="9223" operator="containsText" text="Yes">
      <formula>NOT(ISERROR(SEARCH(("Yes"),(P873))))</formula>
    </cfRule>
  </conditionalFormatting>
  <conditionalFormatting sqref="P873">
    <cfRule type="containsText" dxfId="9" priority="9224" operator="containsText" text="No">
      <formula>NOT(ISERROR(SEARCH(("No"),(P873))))</formula>
    </cfRule>
  </conditionalFormatting>
  <conditionalFormatting sqref="P873">
    <cfRule type="containsText" dxfId="2" priority="9225" operator="containsText" text="Yes">
      <formula>NOT(ISERROR(SEARCH(("Yes"),(P873))))</formula>
    </cfRule>
  </conditionalFormatting>
  <conditionalFormatting sqref="P873">
    <cfRule type="containsText" dxfId="9" priority="9226" operator="containsText" text="No">
      <formula>NOT(ISERROR(SEARCH(("No"),(P873))))</formula>
    </cfRule>
  </conditionalFormatting>
  <conditionalFormatting sqref="P873">
    <cfRule type="containsText" dxfId="2" priority="9227" operator="containsText" text="Yes">
      <formula>NOT(ISERROR(SEARCH(("Yes"),(P873))))</formula>
    </cfRule>
  </conditionalFormatting>
  <conditionalFormatting sqref="P873">
    <cfRule type="containsText" dxfId="9" priority="9228" operator="containsText" text="No">
      <formula>NOT(ISERROR(SEARCH(("No"),(P873))))</formula>
    </cfRule>
  </conditionalFormatting>
  <conditionalFormatting sqref="P873">
    <cfRule type="containsText" dxfId="2" priority="9229" operator="containsText" text="Yes">
      <formula>NOT(ISERROR(SEARCH(("Yes"),(P873))))</formula>
    </cfRule>
  </conditionalFormatting>
  <conditionalFormatting sqref="P873">
    <cfRule type="containsText" dxfId="9" priority="9230" operator="containsText" text="No">
      <formula>NOT(ISERROR(SEARCH(("No"),(P873))))</formula>
    </cfRule>
  </conditionalFormatting>
  <conditionalFormatting sqref="P873">
    <cfRule type="containsText" dxfId="2" priority="9231" operator="containsText" text="Yes">
      <formula>NOT(ISERROR(SEARCH(("Yes"),(P873))))</formula>
    </cfRule>
  </conditionalFormatting>
  <conditionalFormatting sqref="P873">
    <cfRule type="containsText" dxfId="9" priority="9232" operator="containsText" text="No">
      <formula>NOT(ISERROR(SEARCH(("No"),(P873))))</formula>
    </cfRule>
  </conditionalFormatting>
  <conditionalFormatting sqref="P873">
    <cfRule type="containsText" dxfId="2" priority="9233" operator="containsText" text="Yes">
      <formula>NOT(ISERROR(SEARCH(("Yes"),(P873))))</formula>
    </cfRule>
  </conditionalFormatting>
  <conditionalFormatting sqref="P873">
    <cfRule type="containsText" dxfId="9" priority="9234" operator="containsText" text="No">
      <formula>NOT(ISERROR(SEARCH(("No"),(P873))))</formula>
    </cfRule>
  </conditionalFormatting>
  <conditionalFormatting sqref="P873">
    <cfRule type="containsText" dxfId="2" priority="9235" operator="containsText" text="Yes">
      <formula>NOT(ISERROR(SEARCH(("Yes"),(P873))))</formula>
    </cfRule>
  </conditionalFormatting>
  <conditionalFormatting sqref="P873">
    <cfRule type="containsText" dxfId="2" priority="9236" operator="containsText" text="Yes">
      <formula>NOT(ISERROR(SEARCH(("Yes"),(P873))))</formula>
    </cfRule>
  </conditionalFormatting>
  <conditionalFormatting sqref="P873">
    <cfRule type="containsText" dxfId="9" priority="9237" operator="containsText" text="No">
      <formula>NOT(ISERROR(SEARCH(("No"),(P873))))</formula>
    </cfRule>
  </conditionalFormatting>
  <conditionalFormatting sqref="P873">
    <cfRule type="containsText" dxfId="2" priority="9238" operator="containsText" text="Yes">
      <formula>NOT(ISERROR(SEARCH(("Yes"),(P873))))</formula>
    </cfRule>
  </conditionalFormatting>
  <conditionalFormatting sqref="P874">
    <cfRule type="containsText" dxfId="2" priority="9239" operator="containsText" text="Yes">
      <formula>NOT(ISERROR(SEARCH(("Yes"),(P874))))</formula>
    </cfRule>
  </conditionalFormatting>
  <conditionalFormatting sqref="P874">
    <cfRule type="containsText" dxfId="9" priority="9240" operator="containsText" text="No">
      <formula>NOT(ISERROR(SEARCH(("No"),(P874))))</formula>
    </cfRule>
  </conditionalFormatting>
  <conditionalFormatting sqref="P874">
    <cfRule type="containsText" dxfId="2" priority="9241" operator="containsText" text="Yes">
      <formula>NOT(ISERROR(SEARCH(("Yes"),(P874))))</formula>
    </cfRule>
  </conditionalFormatting>
  <conditionalFormatting sqref="P874">
    <cfRule type="containsText" dxfId="9" priority="9242" operator="containsText" text="No">
      <formula>NOT(ISERROR(SEARCH(("No"),(P874))))</formula>
    </cfRule>
  </conditionalFormatting>
  <conditionalFormatting sqref="P874">
    <cfRule type="containsText" dxfId="2" priority="9243" operator="containsText" text="Yes">
      <formula>NOT(ISERROR(SEARCH(("Yes"),(P874))))</formula>
    </cfRule>
  </conditionalFormatting>
  <conditionalFormatting sqref="P874">
    <cfRule type="containsText" dxfId="9" priority="9244" operator="containsText" text="No">
      <formula>NOT(ISERROR(SEARCH(("No"),(P874))))</formula>
    </cfRule>
  </conditionalFormatting>
  <conditionalFormatting sqref="P874">
    <cfRule type="containsText" dxfId="2" priority="9245" operator="containsText" text="Yes">
      <formula>NOT(ISERROR(SEARCH(("Yes"),(P874))))</formula>
    </cfRule>
  </conditionalFormatting>
  <conditionalFormatting sqref="P874">
    <cfRule type="containsText" dxfId="9" priority="9246" operator="containsText" text="No">
      <formula>NOT(ISERROR(SEARCH(("No"),(P874))))</formula>
    </cfRule>
  </conditionalFormatting>
  <conditionalFormatting sqref="P874">
    <cfRule type="containsText" dxfId="2" priority="9247" operator="containsText" text="Yes">
      <formula>NOT(ISERROR(SEARCH(("Yes"),(P874))))</formula>
    </cfRule>
  </conditionalFormatting>
  <conditionalFormatting sqref="P874">
    <cfRule type="containsText" dxfId="9" priority="9248" operator="containsText" text="No">
      <formula>NOT(ISERROR(SEARCH(("No"),(P874))))</formula>
    </cfRule>
  </conditionalFormatting>
  <conditionalFormatting sqref="P874">
    <cfRule type="containsText" dxfId="2" priority="9249" operator="containsText" text="Yes">
      <formula>NOT(ISERROR(SEARCH(("Yes"),(P874))))</formula>
    </cfRule>
  </conditionalFormatting>
  <conditionalFormatting sqref="P874">
    <cfRule type="containsText" dxfId="9" priority="9250" operator="containsText" text="No">
      <formula>NOT(ISERROR(SEARCH(("No"),(P874))))</formula>
    </cfRule>
  </conditionalFormatting>
  <conditionalFormatting sqref="P874">
    <cfRule type="containsText" dxfId="2" priority="9251" operator="containsText" text="Yes">
      <formula>NOT(ISERROR(SEARCH(("Yes"),(P874))))</formula>
    </cfRule>
  </conditionalFormatting>
  <conditionalFormatting sqref="P874">
    <cfRule type="containsText" dxfId="9" priority="9252" operator="containsText" text="No">
      <formula>NOT(ISERROR(SEARCH(("No"),(P874))))</formula>
    </cfRule>
  </conditionalFormatting>
  <conditionalFormatting sqref="P874">
    <cfRule type="containsText" dxfId="2" priority="9253" operator="containsText" text="Yes">
      <formula>NOT(ISERROR(SEARCH(("Yes"),(P874))))</formula>
    </cfRule>
  </conditionalFormatting>
  <conditionalFormatting sqref="P874">
    <cfRule type="containsText" dxfId="9" priority="9254" operator="containsText" text="No">
      <formula>NOT(ISERROR(SEARCH(("No"),(P874))))</formula>
    </cfRule>
  </conditionalFormatting>
  <conditionalFormatting sqref="P874">
    <cfRule type="containsText" dxfId="2" priority="9255" operator="containsText" text="Yes">
      <formula>NOT(ISERROR(SEARCH(("Yes"),(P874))))</formula>
    </cfRule>
  </conditionalFormatting>
  <conditionalFormatting sqref="P874">
    <cfRule type="containsText" dxfId="9" priority="9256" operator="containsText" text="No">
      <formula>NOT(ISERROR(SEARCH(("No"),(P874))))</formula>
    </cfRule>
  </conditionalFormatting>
  <conditionalFormatting sqref="P874">
    <cfRule type="containsText" dxfId="2" priority="9257" operator="containsText" text="Yes">
      <formula>NOT(ISERROR(SEARCH(("Yes"),(P874))))</formula>
    </cfRule>
  </conditionalFormatting>
  <conditionalFormatting sqref="P874">
    <cfRule type="containsText" dxfId="9" priority="9258" operator="containsText" text="No">
      <formula>NOT(ISERROR(SEARCH(("No"),(P874))))</formula>
    </cfRule>
  </conditionalFormatting>
  <conditionalFormatting sqref="P874">
    <cfRule type="containsText" dxfId="2" priority="9259" operator="containsText" text="Yes">
      <formula>NOT(ISERROR(SEARCH(("Yes"),(P874))))</formula>
    </cfRule>
  </conditionalFormatting>
  <conditionalFormatting sqref="P874">
    <cfRule type="containsText" dxfId="9" priority="9260" operator="containsText" text="No">
      <formula>NOT(ISERROR(SEARCH(("No"),(P874))))</formula>
    </cfRule>
  </conditionalFormatting>
  <conditionalFormatting sqref="P874">
    <cfRule type="containsText" dxfId="2" priority="9261" operator="containsText" text="Yes">
      <formula>NOT(ISERROR(SEARCH(("Yes"),(P874))))</formula>
    </cfRule>
  </conditionalFormatting>
  <conditionalFormatting sqref="P874">
    <cfRule type="containsText" dxfId="9" priority="9262" operator="containsText" text="No">
      <formula>NOT(ISERROR(SEARCH(("No"),(P874))))</formula>
    </cfRule>
  </conditionalFormatting>
  <conditionalFormatting sqref="P874">
    <cfRule type="containsText" dxfId="2" priority="9263" operator="containsText" text="Yes">
      <formula>NOT(ISERROR(SEARCH(("Yes"),(P874))))</formula>
    </cfRule>
  </conditionalFormatting>
  <conditionalFormatting sqref="P874">
    <cfRule type="containsText" dxfId="9" priority="9264" operator="containsText" text="No">
      <formula>NOT(ISERROR(SEARCH(("No"),(P874))))</formula>
    </cfRule>
  </conditionalFormatting>
  <conditionalFormatting sqref="P874">
    <cfRule type="containsText" dxfId="2" priority="9265" operator="containsText" text="Yes">
      <formula>NOT(ISERROR(SEARCH(("Yes"),(P874))))</formula>
    </cfRule>
  </conditionalFormatting>
  <conditionalFormatting sqref="P874">
    <cfRule type="containsText" dxfId="9" priority="9266" operator="containsText" text="No">
      <formula>NOT(ISERROR(SEARCH(("No"),(P874))))</formula>
    </cfRule>
  </conditionalFormatting>
  <conditionalFormatting sqref="P874">
    <cfRule type="containsText" dxfId="2" priority="9267" operator="containsText" text="Yes">
      <formula>NOT(ISERROR(SEARCH(("Yes"),(P874))))</formula>
    </cfRule>
  </conditionalFormatting>
  <conditionalFormatting sqref="P874">
    <cfRule type="containsText" dxfId="9" priority="9268" operator="containsText" text="No">
      <formula>NOT(ISERROR(SEARCH(("No"),(P874))))</formula>
    </cfRule>
  </conditionalFormatting>
  <conditionalFormatting sqref="P874">
    <cfRule type="containsText" dxfId="2" priority="9269" operator="containsText" text="Yes">
      <formula>NOT(ISERROR(SEARCH(("Yes"),(P874))))</formula>
    </cfRule>
  </conditionalFormatting>
  <conditionalFormatting sqref="P874">
    <cfRule type="containsText" dxfId="9" priority="9270" operator="containsText" text="No">
      <formula>NOT(ISERROR(SEARCH(("No"),(P874))))</formula>
    </cfRule>
  </conditionalFormatting>
  <conditionalFormatting sqref="P874">
    <cfRule type="containsText" dxfId="2" priority="9271" operator="containsText" text="Yes">
      <formula>NOT(ISERROR(SEARCH(("Yes"),(P874))))</formula>
    </cfRule>
  </conditionalFormatting>
  <conditionalFormatting sqref="P874">
    <cfRule type="containsText" dxfId="9" priority="9272" operator="containsText" text="No">
      <formula>NOT(ISERROR(SEARCH(("No"),(P874))))</formula>
    </cfRule>
  </conditionalFormatting>
  <conditionalFormatting sqref="P874">
    <cfRule type="containsText" dxfId="2" priority="9273" operator="containsText" text="Yes">
      <formula>NOT(ISERROR(SEARCH(("Yes"),(P874))))</formula>
    </cfRule>
  </conditionalFormatting>
  <conditionalFormatting sqref="P874">
    <cfRule type="containsText" dxfId="9" priority="9274" operator="containsText" text="No">
      <formula>NOT(ISERROR(SEARCH(("No"),(P874))))</formula>
    </cfRule>
  </conditionalFormatting>
  <conditionalFormatting sqref="P874">
    <cfRule type="containsText" dxfId="2" priority="9275" operator="containsText" text="Yes">
      <formula>NOT(ISERROR(SEARCH(("Yes"),(P874))))</formula>
    </cfRule>
  </conditionalFormatting>
  <conditionalFormatting sqref="P874">
    <cfRule type="containsText" dxfId="9" priority="9276" operator="containsText" text="No">
      <formula>NOT(ISERROR(SEARCH(("No"),(P874))))</formula>
    </cfRule>
  </conditionalFormatting>
  <conditionalFormatting sqref="P874">
    <cfRule type="containsText" dxfId="2" priority="9277" operator="containsText" text="Yes">
      <formula>NOT(ISERROR(SEARCH(("Yes"),(P874))))</formula>
    </cfRule>
  </conditionalFormatting>
  <conditionalFormatting sqref="P874">
    <cfRule type="containsText" dxfId="9" priority="9278" operator="containsText" text="No">
      <formula>NOT(ISERROR(SEARCH(("No"),(P874))))</formula>
    </cfRule>
  </conditionalFormatting>
  <conditionalFormatting sqref="P874">
    <cfRule type="containsText" dxfId="2" priority="9279" operator="containsText" text="Yes">
      <formula>NOT(ISERROR(SEARCH(("Yes"),(P874))))</formula>
    </cfRule>
  </conditionalFormatting>
  <conditionalFormatting sqref="P874">
    <cfRule type="containsText" dxfId="9" priority="9280" operator="containsText" text="No">
      <formula>NOT(ISERROR(SEARCH(("No"),(P874))))</formula>
    </cfRule>
  </conditionalFormatting>
  <conditionalFormatting sqref="P874">
    <cfRule type="containsText" dxfId="2" priority="9281" operator="containsText" text="Yes">
      <formula>NOT(ISERROR(SEARCH(("Yes"),(P874))))</formula>
    </cfRule>
  </conditionalFormatting>
  <conditionalFormatting sqref="P874">
    <cfRule type="containsText" dxfId="9" priority="9282" operator="containsText" text="No">
      <formula>NOT(ISERROR(SEARCH(("No"),(P874))))</formula>
    </cfRule>
  </conditionalFormatting>
  <conditionalFormatting sqref="P874">
    <cfRule type="containsText" dxfId="2" priority="9283" operator="containsText" text="Yes">
      <formula>NOT(ISERROR(SEARCH(("Yes"),(P874))))</formula>
    </cfRule>
  </conditionalFormatting>
  <conditionalFormatting sqref="P874">
    <cfRule type="containsText" dxfId="9" priority="9284" operator="containsText" text="No">
      <formula>NOT(ISERROR(SEARCH(("No"),(P874))))</formula>
    </cfRule>
  </conditionalFormatting>
  <conditionalFormatting sqref="P874">
    <cfRule type="containsText" dxfId="2" priority="9285" operator="containsText" text="Yes">
      <formula>NOT(ISERROR(SEARCH(("Yes"),(P874))))</formula>
    </cfRule>
  </conditionalFormatting>
  <conditionalFormatting sqref="P874">
    <cfRule type="containsText" dxfId="9" priority="9286" operator="containsText" text="No">
      <formula>NOT(ISERROR(SEARCH(("No"),(P874))))</formula>
    </cfRule>
  </conditionalFormatting>
  <conditionalFormatting sqref="P874">
    <cfRule type="containsText" dxfId="2" priority="9287" operator="containsText" text="Yes">
      <formula>NOT(ISERROR(SEARCH(("Yes"),(P874))))</formula>
    </cfRule>
  </conditionalFormatting>
  <conditionalFormatting sqref="P874">
    <cfRule type="containsText" dxfId="9" priority="9288" operator="containsText" text="No">
      <formula>NOT(ISERROR(SEARCH(("No"),(P874))))</formula>
    </cfRule>
  </conditionalFormatting>
  <conditionalFormatting sqref="P874">
    <cfRule type="containsText" dxfId="2" priority="9289" operator="containsText" text="Yes">
      <formula>NOT(ISERROR(SEARCH(("Yes"),(P874))))</formula>
    </cfRule>
  </conditionalFormatting>
  <conditionalFormatting sqref="P874">
    <cfRule type="containsText" dxfId="9" priority="9290" operator="containsText" text="No">
      <formula>NOT(ISERROR(SEARCH(("No"),(P874))))</formula>
    </cfRule>
  </conditionalFormatting>
  <conditionalFormatting sqref="P874">
    <cfRule type="containsText" dxfId="2" priority="9291" operator="containsText" text="Yes">
      <formula>NOT(ISERROR(SEARCH(("Yes"),(P874))))</formula>
    </cfRule>
  </conditionalFormatting>
  <conditionalFormatting sqref="P874">
    <cfRule type="containsText" dxfId="9" priority="9292" operator="containsText" text="No">
      <formula>NOT(ISERROR(SEARCH(("No"),(P874))))</formula>
    </cfRule>
  </conditionalFormatting>
  <conditionalFormatting sqref="P874">
    <cfRule type="containsText" dxfId="2" priority="9293" operator="containsText" text="Yes">
      <formula>NOT(ISERROR(SEARCH(("Yes"),(P874))))</formula>
    </cfRule>
  </conditionalFormatting>
  <conditionalFormatting sqref="P874">
    <cfRule type="containsText" dxfId="9" priority="9294" operator="containsText" text="No">
      <formula>NOT(ISERROR(SEARCH(("No"),(P874))))</formula>
    </cfRule>
  </conditionalFormatting>
  <conditionalFormatting sqref="P874">
    <cfRule type="containsText" dxfId="2" priority="9295" operator="containsText" text="Yes">
      <formula>NOT(ISERROR(SEARCH(("Yes"),(P874))))</formula>
    </cfRule>
  </conditionalFormatting>
  <conditionalFormatting sqref="P874">
    <cfRule type="containsText" dxfId="9" priority="9296" operator="containsText" text="No">
      <formula>NOT(ISERROR(SEARCH(("No"),(P874))))</formula>
    </cfRule>
  </conditionalFormatting>
  <conditionalFormatting sqref="P874">
    <cfRule type="containsText" dxfId="2" priority="9297" operator="containsText" text="Yes">
      <formula>NOT(ISERROR(SEARCH(("Yes"),(P874))))</formula>
    </cfRule>
  </conditionalFormatting>
  <conditionalFormatting sqref="P874">
    <cfRule type="containsText" dxfId="9" priority="9298" operator="containsText" text="No">
      <formula>NOT(ISERROR(SEARCH(("No"),(P874))))</formula>
    </cfRule>
  </conditionalFormatting>
  <conditionalFormatting sqref="P874">
    <cfRule type="containsText" dxfId="2" priority="9299" operator="containsText" text="Yes">
      <formula>NOT(ISERROR(SEARCH(("Yes"),(P874))))</formula>
    </cfRule>
  </conditionalFormatting>
  <conditionalFormatting sqref="P874">
    <cfRule type="containsText" dxfId="9" priority="9300" operator="containsText" text="No">
      <formula>NOT(ISERROR(SEARCH(("No"),(P874))))</formula>
    </cfRule>
  </conditionalFormatting>
  <conditionalFormatting sqref="P874">
    <cfRule type="containsText" dxfId="2" priority="9301" operator="containsText" text="Yes">
      <formula>NOT(ISERROR(SEARCH(("Yes"),(P874))))</formula>
    </cfRule>
  </conditionalFormatting>
  <conditionalFormatting sqref="P874">
    <cfRule type="containsText" dxfId="9" priority="9302" operator="containsText" text="No">
      <formula>NOT(ISERROR(SEARCH(("No"),(P874))))</formula>
    </cfRule>
  </conditionalFormatting>
  <conditionalFormatting sqref="P874">
    <cfRule type="containsText" dxfId="2" priority="9303" operator="containsText" text="Yes">
      <formula>NOT(ISERROR(SEARCH(("Yes"),(P874))))</formula>
    </cfRule>
  </conditionalFormatting>
  <conditionalFormatting sqref="P874">
    <cfRule type="containsText" dxfId="9" priority="9304" operator="containsText" text="No">
      <formula>NOT(ISERROR(SEARCH(("No"),(P874))))</formula>
    </cfRule>
  </conditionalFormatting>
  <conditionalFormatting sqref="P874">
    <cfRule type="containsText" dxfId="2" priority="9305" operator="containsText" text="Yes">
      <formula>NOT(ISERROR(SEARCH(("Yes"),(P874))))</formula>
    </cfRule>
  </conditionalFormatting>
  <conditionalFormatting sqref="P874">
    <cfRule type="containsText" dxfId="9" priority="9306" operator="containsText" text="No">
      <formula>NOT(ISERROR(SEARCH(("No"),(P874))))</formula>
    </cfRule>
  </conditionalFormatting>
  <conditionalFormatting sqref="P874">
    <cfRule type="containsText" dxfId="2" priority="9307" operator="containsText" text="Yes">
      <formula>NOT(ISERROR(SEARCH(("Yes"),(P874))))</formula>
    </cfRule>
  </conditionalFormatting>
  <conditionalFormatting sqref="P874">
    <cfRule type="containsText" dxfId="9" priority="9308" operator="containsText" text="No">
      <formula>NOT(ISERROR(SEARCH(("No"),(P874))))</formula>
    </cfRule>
  </conditionalFormatting>
  <conditionalFormatting sqref="P874">
    <cfRule type="containsText" dxfId="2" priority="9309" operator="containsText" text="Yes">
      <formula>NOT(ISERROR(SEARCH(("Yes"),(P874))))</formula>
    </cfRule>
  </conditionalFormatting>
  <conditionalFormatting sqref="P874">
    <cfRule type="containsText" dxfId="9" priority="9310" operator="containsText" text="No">
      <formula>NOT(ISERROR(SEARCH(("No"),(P874))))</formula>
    </cfRule>
  </conditionalFormatting>
  <conditionalFormatting sqref="P874">
    <cfRule type="containsText" dxfId="2" priority="9311" operator="containsText" text="Yes">
      <formula>NOT(ISERROR(SEARCH(("Yes"),(P874))))</formula>
    </cfRule>
  </conditionalFormatting>
  <conditionalFormatting sqref="P874">
    <cfRule type="containsText" dxfId="9" priority="9312" operator="containsText" text="No">
      <formula>NOT(ISERROR(SEARCH(("No"),(P874))))</formula>
    </cfRule>
  </conditionalFormatting>
  <conditionalFormatting sqref="P874">
    <cfRule type="containsText" dxfId="2" priority="9313" operator="containsText" text="Yes">
      <formula>NOT(ISERROR(SEARCH(("Yes"),(P874))))</formula>
    </cfRule>
  </conditionalFormatting>
  <conditionalFormatting sqref="P874">
    <cfRule type="containsText" dxfId="9" priority="9314" operator="containsText" text="No">
      <formula>NOT(ISERROR(SEARCH(("No"),(P874))))</formula>
    </cfRule>
  </conditionalFormatting>
  <conditionalFormatting sqref="P874">
    <cfRule type="containsText" dxfId="2" priority="9315" operator="containsText" text="Yes">
      <formula>NOT(ISERROR(SEARCH(("Yes"),(P874))))</formula>
    </cfRule>
  </conditionalFormatting>
  <conditionalFormatting sqref="P874">
    <cfRule type="containsText" dxfId="9" priority="9316" operator="containsText" text="No">
      <formula>NOT(ISERROR(SEARCH(("No"),(P874))))</formula>
    </cfRule>
  </conditionalFormatting>
  <conditionalFormatting sqref="P874">
    <cfRule type="containsText" dxfId="2" priority="9317" operator="containsText" text="Yes">
      <formula>NOT(ISERROR(SEARCH(("Yes"),(P874))))</formula>
    </cfRule>
  </conditionalFormatting>
  <conditionalFormatting sqref="P874">
    <cfRule type="containsText" dxfId="9" priority="9318" operator="containsText" text="No">
      <formula>NOT(ISERROR(SEARCH(("No"),(P874))))</formula>
    </cfRule>
  </conditionalFormatting>
  <conditionalFormatting sqref="P874">
    <cfRule type="containsText" dxfId="2" priority="9319" operator="containsText" text="Yes">
      <formula>NOT(ISERROR(SEARCH(("Yes"),(P874))))</formula>
    </cfRule>
  </conditionalFormatting>
  <conditionalFormatting sqref="P874">
    <cfRule type="containsText" dxfId="9" priority="9320" operator="containsText" text="No">
      <formula>NOT(ISERROR(SEARCH(("No"),(P874))))</formula>
    </cfRule>
  </conditionalFormatting>
  <conditionalFormatting sqref="P874">
    <cfRule type="containsText" dxfId="2" priority="9321" operator="containsText" text="Yes">
      <formula>NOT(ISERROR(SEARCH(("Yes"),(P874))))</formula>
    </cfRule>
  </conditionalFormatting>
  <conditionalFormatting sqref="P874">
    <cfRule type="containsText" dxfId="9" priority="9322" operator="containsText" text="No">
      <formula>NOT(ISERROR(SEARCH(("No"),(P874))))</formula>
    </cfRule>
  </conditionalFormatting>
  <conditionalFormatting sqref="P874">
    <cfRule type="containsText" dxfId="2" priority="9323" operator="containsText" text="Yes">
      <formula>NOT(ISERROR(SEARCH(("Yes"),(P874))))</formula>
    </cfRule>
  </conditionalFormatting>
  <conditionalFormatting sqref="P874">
    <cfRule type="containsText" dxfId="9" priority="9324" operator="containsText" text="No">
      <formula>NOT(ISERROR(SEARCH(("No"),(P874))))</formula>
    </cfRule>
  </conditionalFormatting>
  <conditionalFormatting sqref="P874">
    <cfRule type="containsText" dxfId="2" priority="9325" operator="containsText" text="Yes">
      <formula>NOT(ISERROR(SEARCH(("Yes"),(P874))))</formula>
    </cfRule>
  </conditionalFormatting>
  <conditionalFormatting sqref="P874">
    <cfRule type="containsText" dxfId="9" priority="9326" operator="containsText" text="No">
      <formula>NOT(ISERROR(SEARCH(("No"),(P874))))</formula>
    </cfRule>
  </conditionalFormatting>
  <conditionalFormatting sqref="P874">
    <cfRule type="containsText" dxfId="2" priority="9327" operator="containsText" text="Yes">
      <formula>NOT(ISERROR(SEARCH(("Yes"),(P874))))</formula>
    </cfRule>
  </conditionalFormatting>
  <conditionalFormatting sqref="P874">
    <cfRule type="containsText" dxfId="2" priority="9328" operator="containsText" text="Yes">
      <formula>NOT(ISERROR(SEARCH(("Yes"),(P874))))</formula>
    </cfRule>
  </conditionalFormatting>
  <conditionalFormatting sqref="P874">
    <cfRule type="containsText" dxfId="9" priority="9329" operator="containsText" text="No">
      <formula>NOT(ISERROR(SEARCH(("No"),(P874))))</formula>
    </cfRule>
  </conditionalFormatting>
  <conditionalFormatting sqref="P874">
    <cfRule type="containsText" dxfId="2" priority="9330" operator="containsText" text="Yes">
      <formula>NOT(ISERROR(SEARCH(("Yes"),(P874))))</formula>
    </cfRule>
  </conditionalFormatting>
  <conditionalFormatting sqref="P875:P876">
    <cfRule type="containsText" dxfId="2" priority="9331" operator="containsText" text="Yes">
      <formula>NOT(ISERROR(SEARCH(("Yes"),(P875))))</formula>
    </cfRule>
  </conditionalFormatting>
  <conditionalFormatting sqref="P875:P876">
    <cfRule type="containsText" dxfId="9" priority="9332" operator="containsText" text="No">
      <formula>NOT(ISERROR(SEARCH(("No"),(P875))))</formula>
    </cfRule>
  </conditionalFormatting>
  <conditionalFormatting sqref="P875:P876">
    <cfRule type="containsText" dxfId="2" priority="9333" operator="containsText" text="Yes">
      <formula>NOT(ISERROR(SEARCH(("Yes"),(P875))))</formula>
    </cfRule>
  </conditionalFormatting>
  <conditionalFormatting sqref="P875:P876">
    <cfRule type="containsText" dxfId="9" priority="9334" operator="containsText" text="No">
      <formula>NOT(ISERROR(SEARCH(("No"),(P875))))</formula>
    </cfRule>
  </conditionalFormatting>
  <conditionalFormatting sqref="P875:P876">
    <cfRule type="containsText" dxfId="2" priority="9335" operator="containsText" text="Yes">
      <formula>NOT(ISERROR(SEARCH(("Yes"),(P875))))</formula>
    </cfRule>
  </conditionalFormatting>
  <conditionalFormatting sqref="P875:P876">
    <cfRule type="containsText" dxfId="9" priority="9336" operator="containsText" text="No">
      <formula>NOT(ISERROR(SEARCH(("No"),(P875))))</formula>
    </cfRule>
  </conditionalFormatting>
  <conditionalFormatting sqref="P875:P876">
    <cfRule type="containsText" dxfId="2" priority="9337" operator="containsText" text="Yes">
      <formula>NOT(ISERROR(SEARCH(("Yes"),(P875))))</formula>
    </cfRule>
  </conditionalFormatting>
  <conditionalFormatting sqref="P875:P876">
    <cfRule type="containsText" dxfId="9" priority="9338" operator="containsText" text="No">
      <formula>NOT(ISERROR(SEARCH(("No"),(P875))))</formula>
    </cfRule>
  </conditionalFormatting>
  <conditionalFormatting sqref="P875:P876">
    <cfRule type="containsText" dxfId="2" priority="9339" operator="containsText" text="Yes">
      <formula>NOT(ISERROR(SEARCH(("Yes"),(P875))))</formula>
    </cfRule>
  </conditionalFormatting>
  <conditionalFormatting sqref="P875:P876">
    <cfRule type="containsText" dxfId="9" priority="9340" operator="containsText" text="No">
      <formula>NOT(ISERROR(SEARCH(("No"),(P875))))</formula>
    </cfRule>
  </conditionalFormatting>
  <conditionalFormatting sqref="P875:P876">
    <cfRule type="containsText" dxfId="2" priority="9341" operator="containsText" text="Yes">
      <formula>NOT(ISERROR(SEARCH(("Yes"),(P875))))</formula>
    </cfRule>
  </conditionalFormatting>
  <conditionalFormatting sqref="P875:P876">
    <cfRule type="containsText" dxfId="9" priority="9342" operator="containsText" text="No">
      <formula>NOT(ISERROR(SEARCH(("No"),(P875))))</formula>
    </cfRule>
  </conditionalFormatting>
  <conditionalFormatting sqref="P875:P876">
    <cfRule type="containsText" dxfId="2" priority="9343" operator="containsText" text="Yes">
      <formula>NOT(ISERROR(SEARCH(("Yes"),(P875))))</formula>
    </cfRule>
  </conditionalFormatting>
  <conditionalFormatting sqref="P875:P876">
    <cfRule type="containsText" dxfId="9" priority="9344" operator="containsText" text="No">
      <formula>NOT(ISERROR(SEARCH(("No"),(P875))))</formula>
    </cfRule>
  </conditionalFormatting>
  <conditionalFormatting sqref="P875:P876">
    <cfRule type="containsText" dxfId="2" priority="9345" operator="containsText" text="Yes">
      <formula>NOT(ISERROR(SEARCH(("Yes"),(P875))))</formula>
    </cfRule>
  </conditionalFormatting>
  <conditionalFormatting sqref="P875:P876">
    <cfRule type="containsText" dxfId="9" priority="9346" operator="containsText" text="No">
      <formula>NOT(ISERROR(SEARCH(("No"),(P875))))</formula>
    </cfRule>
  </conditionalFormatting>
  <conditionalFormatting sqref="P875:P876">
    <cfRule type="containsText" dxfId="2" priority="9347" operator="containsText" text="Yes">
      <formula>NOT(ISERROR(SEARCH(("Yes"),(P875))))</formula>
    </cfRule>
  </conditionalFormatting>
  <conditionalFormatting sqref="P875:P876">
    <cfRule type="containsText" dxfId="9" priority="9348" operator="containsText" text="No">
      <formula>NOT(ISERROR(SEARCH(("No"),(P875))))</formula>
    </cfRule>
  </conditionalFormatting>
  <conditionalFormatting sqref="P875:P876">
    <cfRule type="containsText" dxfId="2" priority="9349" operator="containsText" text="Yes">
      <formula>NOT(ISERROR(SEARCH(("Yes"),(P875))))</formula>
    </cfRule>
  </conditionalFormatting>
  <conditionalFormatting sqref="P875:P876">
    <cfRule type="containsText" dxfId="9" priority="9350" operator="containsText" text="No">
      <formula>NOT(ISERROR(SEARCH(("No"),(P875))))</formula>
    </cfRule>
  </conditionalFormatting>
  <conditionalFormatting sqref="P875:P876">
    <cfRule type="containsText" dxfId="2" priority="9351" operator="containsText" text="Yes">
      <formula>NOT(ISERROR(SEARCH(("Yes"),(P875))))</formula>
    </cfRule>
  </conditionalFormatting>
  <conditionalFormatting sqref="P875:P876">
    <cfRule type="containsText" dxfId="9" priority="9352" operator="containsText" text="No">
      <formula>NOT(ISERROR(SEARCH(("No"),(P875))))</formula>
    </cfRule>
  </conditionalFormatting>
  <conditionalFormatting sqref="P875:P876">
    <cfRule type="containsText" dxfId="2" priority="9353" operator="containsText" text="Yes">
      <formula>NOT(ISERROR(SEARCH(("Yes"),(P875))))</formula>
    </cfRule>
  </conditionalFormatting>
  <conditionalFormatting sqref="P875:P876">
    <cfRule type="containsText" dxfId="9" priority="9354" operator="containsText" text="No">
      <formula>NOT(ISERROR(SEARCH(("No"),(P875))))</formula>
    </cfRule>
  </conditionalFormatting>
  <conditionalFormatting sqref="P875:P876">
    <cfRule type="containsText" dxfId="2" priority="9355" operator="containsText" text="Yes">
      <formula>NOT(ISERROR(SEARCH(("Yes"),(P875))))</formula>
    </cfRule>
  </conditionalFormatting>
  <conditionalFormatting sqref="P875:P876">
    <cfRule type="containsText" dxfId="9" priority="9356" operator="containsText" text="No">
      <formula>NOT(ISERROR(SEARCH(("No"),(P875))))</formula>
    </cfRule>
  </conditionalFormatting>
  <conditionalFormatting sqref="P875:P876">
    <cfRule type="containsText" dxfId="2" priority="9357" operator="containsText" text="Yes">
      <formula>NOT(ISERROR(SEARCH(("Yes"),(P875))))</formula>
    </cfRule>
  </conditionalFormatting>
  <conditionalFormatting sqref="P875:P876">
    <cfRule type="containsText" dxfId="9" priority="9358" operator="containsText" text="No">
      <formula>NOT(ISERROR(SEARCH(("No"),(P875))))</formula>
    </cfRule>
  </conditionalFormatting>
  <conditionalFormatting sqref="P875:P876">
    <cfRule type="containsText" dxfId="2" priority="9359" operator="containsText" text="Yes">
      <formula>NOT(ISERROR(SEARCH(("Yes"),(P875))))</formula>
    </cfRule>
  </conditionalFormatting>
  <conditionalFormatting sqref="P875:P876">
    <cfRule type="containsText" dxfId="9" priority="9360" operator="containsText" text="No">
      <formula>NOT(ISERROR(SEARCH(("No"),(P875))))</formula>
    </cfRule>
  </conditionalFormatting>
  <conditionalFormatting sqref="P875:P876">
    <cfRule type="containsText" dxfId="2" priority="9361" operator="containsText" text="Yes">
      <formula>NOT(ISERROR(SEARCH(("Yes"),(P875))))</formula>
    </cfRule>
  </conditionalFormatting>
  <conditionalFormatting sqref="P875:P876">
    <cfRule type="containsText" dxfId="9" priority="9362" operator="containsText" text="No">
      <formula>NOT(ISERROR(SEARCH(("No"),(P875))))</formula>
    </cfRule>
  </conditionalFormatting>
  <conditionalFormatting sqref="P875:P876">
    <cfRule type="containsText" dxfId="2" priority="9363" operator="containsText" text="Yes">
      <formula>NOT(ISERROR(SEARCH(("Yes"),(P875))))</formula>
    </cfRule>
  </conditionalFormatting>
  <conditionalFormatting sqref="P875:P876">
    <cfRule type="containsText" dxfId="9" priority="9364" operator="containsText" text="No">
      <formula>NOT(ISERROR(SEARCH(("No"),(P875))))</formula>
    </cfRule>
  </conditionalFormatting>
  <conditionalFormatting sqref="P875:P876">
    <cfRule type="containsText" dxfId="2" priority="9365" operator="containsText" text="Yes">
      <formula>NOT(ISERROR(SEARCH(("Yes"),(P875))))</formula>
    </cfRule>
  </conditionalFormatting>
  <conditionalFormatting sqref="P875:P876">
    <cfRule type="containsText" dxfId="9" priority="9366" operator="containsText" text="No">
      <formula>NOT(ISERROR(SEARCH(("No"),(P875))))</formula>
    </cfRule>
  </conditionalFormatting>
  <conditionalFormatting sqref="P875:P876">
    <cfRule type="containsText" dxfId="2" priority="9367" operator="containsText" text="Yes">
      <formula>NOT(ISERROR(SEARCH(("Yes"),(P875))))</formula>
    </cfRule>
  </conditionalFormatting>
  <conditionalFormatting sqref="P875:P876">
    <cfRule type="containsText" dxfId="9" priority="9368" operator="containsText" text="No">
      <formula>NOT(ISERROR(SEARCH(("No"),(P875))))</formula>
    </cfRule>
  </conditionalFormatting>
  <conditionalFormatting sqref="P875:P876">
    <cfRule type="containsText" dxfId="2" priority="9369" operator="containsText" text="Yes">
      <formula>NOT(ISERROR(SEARCH(("Yes"),(P875))))</formula>
    </cfRule>
  </conditionalFormatting>
  <conditionalFormatting sqref="P875:P876">
    <cfRule type="containsText" dxfId="9" priority="9370" operator="containsText" text="No">
      <formula>NOT(ISERROR(SEARCH(("No"),(P875))))</formula>
    </cfRule>
  </conditionalFormatting>
  <conditionalFormatting sqref="P875:P876">
    <cfRule type="containsText" dxfId="2" priority="9371" operator="containsText" text="Yes">
      <formula>NOT(ISERROR(SEARCH(("Yes"),(P875))))</formula>
    </cfRule>
  </conditionalFormatting>
  <conditionalFormatting sqref="P875:P876">
    <cfRule type="containsText" dxfId="9" priority="9372" operator="containsText" text="No">
      <formula>NOT(ISERROR(SEARCH(("No"),(P875))))</formula>
    </cfRule>
  </conditionalFormatting>
  <conditionalFormatting sqref="P875:P876">
    <cfRule type="containsText" dxfId="2" priority="9373" operator="containsText" text="Yes">
      <formula>NOT(ISERROR(SEARCH(("Yes"),(P875))))</formula>
    </cfRule>
  </conditionalFormatting>
  <conditionalFormatting sqref="P875:P876">
    <cfRule type="containsText" dxfId="9" priority="9374" operator="containsText" text="No">
      <formula>NOT(ISERROR(SEARCH(("No"),(P875))))</formula>
    </cfRule>
  </conditionalFormatting>
  <conditionalFormatting sqref="P875:P876">
    <cfRule type="containsText" dxfId="2" priority="9375" operator="containsText" text="Yes">
      <formula>NOT(ISERROR(SEARCH(("Yes"),(P875))))</formula>
    </cfRule>
  </conditionalFormatting>
  <conditionalFormatting sqref="P875:P876">
    <cfRule type="containsText" dxfId="9" priority="9376" operator="containsText" text="No">
      <formula>NOT(ISERROR(SEARCH(("No"),(P875))))</formula>
    </cfRule>
  </conditionalFormatting>
  <conditionalFormatting sqref="P875:P876">
    <cfRule type="containsText" dxfId="2" priority="9377" operator="containsText" text="Yes">
      <formula>NOT(ISERROR(SEARCH(("Yes"),(P875))))</formula>
    </cfRule>
  </conditionalFormatting>
  <conditionalFormatting sqref="P875:P876">
    <cfRule type="containsText" dxfId="9" priority="9378" operator="containsText" text="No">
      <formula>NOT(ISERROR(SEARCH(("No"),(P875))))</formula>
    </cfRule>
  </conditionalFormatting>
  <conditionalFormatting sqref="P875:P876">
    <cfRule type="containsText" dxfId="2" priority="9379" operator="containsText" text="Yes">
      <formula>NOT(ISERROR(SEARCH(("Yes"),(P875))))</formula>
    </cfRule>
  </conditionalFormatting>
  <conditionalFormatting sqref="P875:P876">
    <cfRule type="containsText" dxfId="9" priority="9380" operator="containsText" text="No">
      <formula>NOT(ISERROR(SEARCH(("No"),(P875))))</formula>
    </cfRule>
  </conditionalFormatting>
  <conditionalFormatting sqref="P875:P876">
    <cfRule type="containsText" dxfId="2" priority="9381" operator="containsText" text="Yes">
      <formula>NOT(ISERROR(SEARCH(("Yes"),(P875))))</formula>
    </cfRule>
  </conditionalFormatting>
  <conditionalFormatting sqref="P875:P876">
    <cfRule type="containsText" dxfId="9" priority="9382" operator="containsText" text="No">
      <formula>NOT(ISERROR(SEARCH(("No"),(P875))))</formula>
    </cfRule>
  </conditionalFormatting>
  <conditionalFormatting sqref="P875:P876">
    <cfRule type="containsText" dxfId="2" priority="9383" operator="containsText" text="Yes">
      <formula>NOT(ISERROR(SEARCH(("Yes"),(P875))))</formula>
    </cfRule>
  </conditionalFormatting>
  <conditionalFormatting sqref="P875:P876">
    <cfRule type="containsText" dxfId="9" priority="9384" operator="containsText" text="No">
      <formula>NOT(ISERROR(SEARCH(("No"),(P875))))</formula>
    </cfRule>
  </conditionalFormatting>
  <conditionalFormatting sqref="P875:P876">
    <cfRule type="containsText" dxfId="2" priority="9385" operator="containsText" text="Yes">
      <formula>NOT(ISERROR(SEARCH(("Yes"),(P875))))</formula>
    </cfRule>
  </conditionalFormatting>
  <conditionalFormatting sqref="P875:P876">
    <cfRule type="containsText" dxfId="9" priority="9386" operator="containsText" text="No">
      <formula>NOT(ISERROR(SEARCH(("No"),(P875))))</formula>
    </cfRule>
  </conditionalFormatting>
  <conditionalFormatting sqref="P875:P876">
    <cfRule type="containsText" dxfId="2" priority="9387" operator="containsText" text="Yes">
      <formula>NOT(ISERROR(SEARCH(("Yes"),(P875))))</formula>
    </cfRule>
  </conditionalFormatting>
  <conditionalFormatting sqref="P875:P876">
    <cfRule type="containsText" dxfId="9" priority="9388" operator="containsText" text="No">
      <formula>NOT(ISERROR(SEARCH(("No"),(P875))))</formula>
    </cfRule>
  </conditionalFormatting>
  <conditionalFormatting sqref="P875:P876">
    <cfRule type="containsText" dxfId="2" priority="9389" operator="containsText" text="Yes">
      <formula>NOT(ISERROR(SEARCH(("Yes"),(P875))))</formula>
    </cfRule>
  </conditionalFormatting>
  <conditionalFormatting sqref="P875:P876">
    <cfRule type="containsText" dxfId="9" priority="9390" operator="containsText" text="No">
      <formula>NOT(ISERROR(SEARCH(("No"),(P875))))</formula>
    </cfRule>
  </conditionalFormatting>
  <conditionalFormatting sqref="P875:P876">
    <cfRule type="containsText" dxfId="2" priority="9391" operator="containsText" text="Yes">
      <formula>NOT(ISERROR(SEARCH(("Yes"),(P875))))</formula>
    </cfRule>
  </conditionalFormatting>
  <conditionalFormatting sqref="P875:P876">
    <cfRule type="containsText" dxfId="9" priority="9392" operator="containsText" text="No">
      <formula>NOT(ISERROR(SEARCH(("No"),(P875))))</formula>
    </cfRule>
  </conditionalFormatting>
  <conditionalFormatting sqref="P875:P876">
    <cfRule type="containsText" dxfId="2" priority="9393" operator="containsText" text="Yes">
      <formula>NOT(ISERROR(SEARCH(("Yes"),(P875))))</formula>
    </cfRule>
  </conditionalFormatting>
  <conditionalFormatting sqref="P875:P876">
    <cfRule type="containsText" dxfId="9" priority="9394" operator="containsText" text="No">
      <formula>NOT(ISERROR(SEARCH(("No"),(P875))))</formula>
    </cfRule>
  </conditionalFormatting>
  <conditionalFormatting sqref="P875:P876">
    <cfRule type="containsText" dxfId="2" priority="9395" operator="containsText" text="Yes">
      <formula>NOT(ISERROR(SEARCH(("Yes"),(P875))))</formula>
    </cfRule>
  </conditionalFormatting>
  <conditionalFormatting sqref="P875:P876">
    <cfRule type="containsText" dxfId="9" priority="9396" operator="containsText" text="No">
      <formula>NOT(ISERROR(SEARCH(("No"),(P875))))</formula>
    </cfRule>
  </conditionalFormatting>
  <conditionalFormatting sqref="P875:P876">
    <cfRule type="containsText" dxfId="2" priority="9397" operator="containsText" text="Yes">
      <formula>NOT(ISERROR(SEARCH(("Yes"),(P875))))</formula>
    </cfRule>
  </conditionalFormatting>
  <conditionalFormatting sqref="P875:P876">
    <cfRule type="containsText" dxfId="9" priority="9398" operator="containsText" text="No">
      <formula>NOT(ISERROR(SEARCH(("No"),(P875))))</formula>
    </cfRule>
  </conditionalFormatting>
  <conditionalFormatting sqref="P875:P876">
    <cfRule type="containsText" dxfId="2" priority="9399" operator="containsText" text="Yes">
      <formula>NOT(ISERROR(SEARCH(("Yes"),(P875))))</formula>
    </cfRule>
  </conditionalFormatting>
  <conditionalFormatting sqref="P875:P876">
    <cfRule type="containsText" dxfId="9" priority="9400" operator="containsText" text="No">
      <formula>NOT(ISERROR(SEARCH(("No"),(P875))))</formula>
    </cfRule>
  </conditionalFormatting>
  <conditionalFormatting sqref="P875:P876">
    <cfRule type="containsText" dxfId="2" priority="9401" operator="containsText" text="Yes">
      <formula>NOT(ISERROR(SEARCH(("Yes"),(P875))))</formula>
    </cfRule>
  </conditionalFormatting>
  <conditionalFormatting sqref="P875:P876">
    <cfRule type="containsText" dxfId="9" priority="9402" operator="containsText" text="No">
      <formula>NOT(ISERROR(SEARCH(("No"),(P875))))</formula>
    </cfRule>
  </conditionalFormatting>
  <conditionalFormatting sqref="P875:P876">
    <cfRule type="containsText" dxfId="2" priority="9403" operator="containsText" text="Yes">
      <formula>NOT(ISERROR(SEARCH(("Yes"),(P875))))</formula>
    </cfRule>
  </conditionalFormatting>
  <conditionalFormatting sqref="P875:P876">
    <cfRule type="containsText" dxfId="9" priority="9404" operator="containsText" text="No">
      <formula>NOT(ISERROR(SEARCH(("No"),(P875))))</formula>
    </cfRule>
  </conditionalFormatting>
  <conditionalFormatting sqref="P875:P876">
    <cfRule type="containsText" dxfId="2" priority="9405" operator="containsText" text="Yes">
      <formula>NOT(ISERROR(SEARCH(("Yes"),(P875))))</formula>
    </cfRule>
  </conditionalFormatting>
  <conditionalFormatting sqref="P875:P876">
    <cfRule type="containsText" dxfId="9" priority="9406" operator="containsText" text="No">
      <formula>NOT(ISERROR(SEARCH(("No"),(P875))))</formula>
    </cfRule>
  </conditionalFormatting>
  <conditionalFormatting sqref="P875:P876">
    <cfRule type="containsText" dxfId="2" priority="9407" operator="containsText" text="Yes">
      <formula>NOT(ISERROR(SEARCH(("Yes"),(P875))))</formula>
    </cfRule>
  </conditionalFormatting>
  <conditionalFormatting sqref="P875:P876">
    <cfRule type="containsText" dxfId="9" priority="9408" operator="containsText" text="No">
      <formula>NOT(ISERROR(SEARCH(("No"),(P875))))</formula>
    </cfRule>
  </conditionalFormatting>
  <conditionalFormatting sqref="P875:P876">
    <cfRule type="containsText" dxfId="2" priority="9409" operator="containsText" text="Yes">
      <formula>NOT(ISERROR(SEARCH(("Yes"),(P875))))</formula>
    </cfRule>
  </conditionalFormatting>
  <conditionalFormatting sqref="P875:P876">
    <cfRule type="containsText" dxfId="9" priority="9410" operator="containsText" text="No">
      <formula>NOT(ISERROR(SEARCH(("No"),(P875))))</formula>
    </cfRule>
  </conditionalFormatting>
  <conditionalFormatting sqref="P875:P876">
    <cfRule type="containsText" dxfId="2" priority="9411" operator="containsText" text="Yes">
      <formula>NOT(ISERROR(SEARCH(("Yes"),(P875))))</formula>
    </cfRule>
  </conditionalFormatting>
  <conditionalFormatting sqref="P875:P876">
    <cfRule type="containsText" dxfId="9" priority="9412" operator="containsText" text="No">
      <formula>NOT(ISERROR(SEARCH(("No"),(P875))))</formula>
    </cfRule>
  </conditionalFormatting>
  <conditionalFormatting sqref="P875:P876">
    <cfRule type="containsText" dxfId="2" priority="9413" operator="containsText" text="Yes">
      <formula>NOT(ISERROR(SEARCH(("Yes"),(P875))))</formula>
    </cfRule>
  </conditionalFormatting>
  <conditionalFormatting sqref="P875:P876">
    <cfRule type="containsText" dxfId="9" priority="9414" operator="containsText" text="No">
      <formula>NOT(ISERROR(SEARCH(("No"),(P875))))</formula>
    </cfRule>
  </conditionalFormatting>
  <conditionalFormatting sqref="P875:P876">
    <cfRule type="containsText" dxfId="2" priority="9415" operator="containsText" text="Yes">
      <formula>NOT(ISERROR(SEARCH(("Yes"),(P875))))</formula>
    </cfRule>
  </conditionalFormatting>
  <conditionalFormatting sqref="P875:P876">
    <cfRule type="containsText" dxfId="9" priority="9416" operator="containsText" text="No">
      <formula>NOT(ISERROR(SEARCH(("No"),(P875))))</formula>
    </cfRule>
  </conditionalFormatting>
  <conditionalFormatting sqref="P875:P876">
    <cfRule type="containsText" dxfId="2" priority="9417" operator="containsText" text="Yes">
      <formula>NOT(ISERROR(SEARCH(("Yes"),(P875))))</formula>
    </cfRule>
  </conditionalFormatting>
  <conditionalFormatting sqref="P875:P876">
    <cfRule type="containsText" dxfId="9" priority="9418" operator="containsText" text="No">
      <formula>NOT(ISERROR(SEARCH(("No"),(P875))))</formula>
    </cfRule>
  </conditionalFormatting>
  <conditionalFormatting sqref="P875:P876">
    <cfRule type="containsText" dxfId="2" priority="9419" operator="containsText" text="Yes">
      <formula>NOT(ISERROR(SEARCH(("Yes"),(P875))))</formula>
    </cfRule>
  </conditionalFormatting>
  <conditionalFormatting sqref="P875:P876">
    <cfRule type="containsText" dxfId="2" priority="9420" operator="containsText" text="Yes">
      <formula>NOT(ISERROR(SEARCH(("Yes"),(P875))))</formula>
    </cfRule>
  </conditionalFormatting>
  <conditionalFormatting sqref="P875:P876">
    <cfRule type="containsText" dxfId="9" priority="9421" operator="containsText" text="No">
      <formula>NOT(ISERROR(SEARCH(("No"),(P875))))</formula>
    </cfRule>
  </conditionalFormatting>
  <conditionalFormatting sqref="P875:P876">
    <cfRule type="containsText" dxfId="2" priority="9422" operator="containsText" text="Yes">
      <formula>NOT(ISERROR(SEARCH(("Yes"),(P875))))</formula>
    </cfRule>
  </conditionalFormatting>
  <conditionalFormatting sqref="P878:P879">
    <cfRule type="containsText" dxfId="2" priority="9423" operator="containsText" text="Yes">
      <formula>NOT(ISERROR(SEARCH(("Yes"),(P878))))</formula>
    </cfRule>
  </conditionalFormatting>
  <conditionalFormatting sqref="P878:P879">
    <cfRule type="containsText" dxfId="9" priority="9424" operator="containsText" text="No">
      <formula>NOT(ISERROR(SEARCH(("No"),(P878))))</formula>
    </cfRule>
  </conditionalFormatting>
  <conditionalFormatting sqref="P878:P879">
    <cfRule type="containsText" dxfId="2" priority="9425" operator="containsText" text="Yes">
      <formula>NOT(ISERROR(SEARCH(("Yes"),(P878))))</formula>
    </cfRule>
  </conditionalFormatting>
  <conditionalFormatting sqref="P878:P879">
    <cfRule type="containsText" dxfId="9" priority="9426" operator="containsText" text="No">
      <formula>NOT(ISERROR(SEARCH(("No"),(P878))))</formula>
    </cfRule>
  </conditionalFormatting>
  <conditionalFormatting sqref="P878:P879">
    <cfRule type="containsText" dxfId="2" priority="9427" operator="containsText" text="Yes">
      <formula>NOT(ISERROR(SEARCH(("Yes"),(P878))))</formula>
    </cfRule>
  </conditionalFormatting>
  <conditionalFormatting sqref="P878:P879">
    <cfRule type="containsText" dxfId="9" priority="9428" operator="containsText" text="No">
      <formula>NOT(ISERROR(SEARCH(("No"),(P878))))</formula>
    </cfRule>
  </conditionalFormatting>
  <conditionalFormatting sqref="P878:P879">
    <cfRule type="containsText" dxfId="2" priority="9429" operator="containsText" text="Yes">
      <formula>NOT(ISERROR(SEARCH(("Yes"),(P878))))</formula>
    </cfRule>
  </conditionalFormatting>
  <conditionalFormatting sqref="P878:P879">
    <cfRule type="containsText" dxfId="9" priority="9430" operator="containsText" text="No">
      <formula>NOT(ISERROR(SEARCH(("No"),(P878))))</formula>
    </cfRule>
  </conditionalFormatting>
  <conditionalFormatting sqref="P878:P879">
    <cfRule type="containsText" dxfId="2" priority="9431" operator="containsText" text="Yes">
      <formula>NOT(ISERROR(SEARCH(("Yes"),(P878))))</formula>
    </cfRule>
  </conditionalFormatting>
  <conditionalFormatting sqref="P878:P879">
    <cfRule type="containsText" dxfId="9" priority="9432" operator="containsText" text="No">
      <formula>NOT(ISERROR(SEARCH(("No"),(P878))))</formula>
    </cfRule>
  </conditionalFormatting>
  <conditionalFormatting sqref="P878:P879">
    <cfRule type="containsText" dxfId="2" priority="9433" operator="containsText" text="Yes">
      <formula>NOT(ISERROR(SEARCH(("Yes"),(P878))))</formula>
    </cfRule>
  </conditionalFormatting>
  <conditionalFormatting sqref="P878:P879">
    <cfRule type="containsText" dxfId="9" priority="9434" operator="containsText" text="No">
      <formula>NOT(ISERROR(SEARCH(("No"),(P878))))</formula>
    </cfRule>
  </conditionalFormatting>
  <conditionalFormatting sqref="P878:P879">
    <cfRule type="containsText" dxfId="2" priority="9435" operator="containsText" text="Yes">
      <formula>NOT(ISERROR(SEARCH(("Yes"),(P878))))</formula>
    </cfRule>
  </conditionalFormatting>
  <conditionalFormatting sqref="P878:P879">
    <cfRule type="containsText" dxfId="9" priority="9436" operator="containsText" text="No">
      <formula>NOT(ISERROR(SEARCH(("No"),(P878))))</formula>
    </cfRule>
  </conditionalFormatting>
  <conditionalFormatting sqref="P878:P879">
    <cfRule type="containsText" dxfId="2" priority="9437" operator="containsText" text="Yes">
      <formula>NOT(ISERROR(SEARCH(("Yes"),(P878))))</formula>
    </cfRule>
  </conditionalFormatting>
  <conditionalFormatting sqref="P878:P879">
    <cfRule type="containsText" dxfId="9" priority="9438" operator="containsText" text="No">
      <formula>NOT(ISERROR(SEARCH(("No"),(P878))))</formula>
    </cfRule>
  </conditionalFormatting>
  <conditionalFormatting sqref="P878:P879">
    <cfRule type="containsText" dxfId="2" priority="9439" operator="containsText" text="Yes">
      <formula>NOT(ISERROR(SEARCH(("Yes"),(P878))))</formula>
    </cfRule>
  </conditionalFormatting>
  <conditionalFormatting sqref="P878:P879">
    <cfRule type="containsText" dxfId="9" priority="9440" operator="containsText" text="No">
      <formula>NOT(ISERROR(SEARCH(("No"),(P878))))</formula>
    </cfRule>
  </conditionalFormatting>
  <conditionalFormatting sqref="P878:P879">
    <cfRule type="containsText" dxfId="2" priority="9441" operator="containsText" text="Yes">
      <formula>NOT(ISERROR(SEARCH(("Yes"),(P878))))</formula>
    </cfRule>
  </conditionalFormatting>
  <conditionalFormatting sqref="P878:P879">
    <cfRule type="containsText" dxfId="9" priority="9442" operator="containsText" text="No">
      <formula>NOT(ISERROR(SEARCH(("No"),(P878))))</formula>
    </cfRule>
  </conditionalFormatting>
  <conditionalFormatting sqref="P878:P879">
    <cfRule type="containsText" dxfId="2" priority="9443" operator="containsText" text="Yes">
      <formula>NOT(ISERROR(SEARCH(("Yes"),(P878))))</formula>
    </cfRule>
  </conditionalFormatting>
  <conditionalFormatting sqref="P878:P879">
    <cfRule type="containsText" dxfId="9" priority="9444" operator="containsText" text="No">
      <formula>NOT(ISERROR(SEARCH(("No"),(P878))))</formula>
    </cfRule>
  </conditionalFormatting>
  <conditionalFormatting sqref="P878:P879">
    <cfRule type="containsText" dxfId="2" priority="9445" operator="containsText" text="Yes">
      <formula>NOT(ISERROR(SEARCH(("Yes"),(P878))))</formula>
    </cfRule>
  </conditionalFormatting>
  <conditionalFormatting sqref="P878:P879">
    <cfRule type="containsText" dxfId="9" priority="9446" operator="containsText" text="No">
      <formula>NOT(ISERROR(SEARCH(("No"),(P878))))</formula>
    </cfRule>
  </conditionalFormatting>
  <conditionalFormatting sqref="P878:P879">
    <cfRule type="containsText" dxfId="2" priority="9447" operator="containsText" text="Yes">
      <formula>NOT(ISERROR(SEARCH(("Yes"),(P878))))</formula>
    </cfRule>
  </conditionalFormatting>
  <conditionalFormatting sqref="P878:P879">
    <cfRule type="containsText" dxfId="9" priority="9448" operator="containsText" text="No">
      <formula>NOT(ISERROR(SEARCH(("No"),(P878))))</formula>
    </cfRule>
  </conditionalFormatting>
  <conditionalFormatting sqref="P878:P879">
    <cfRule type="containsText" dxfId="2" priority="9449" operator="containsText" text="Yes">
      <formula>NOT(ISERROR(SEARCH(("Yes"),(P878))))</formula>
    </cfRule>
  </conditionalFormatting>
  <conditionalFormatting sqref="P878:P879">
    <cfRule type="containsText" dxfId="9" priority="9450" operator="containsText" text="No">
      <formula>NOT(ISERROR(SEARCH(("No"),(P878))))</formula>
    </cfRule>
  </conditionalFormatting>
  <conditionalFormatting sqref="P878:P879">
    <cfRule type="containsText" dxfId="2" priority="9451" operator="containsText" text="Yes">
      <formula>NOT(ISERROR(SEARCH(("Yes"),(P878))))</formula>
    </cfRule>
  </conditionalFormatting>
  <conditionalFormatting sqref="P878:P879">
    <cfRule type="containsText" dxfId="9" priority="9452" operator="containsText" text="No">
      <formula>NOT(ISERROR(SEARCH(("No"),(P878))))</formula>
    </cfRule>
  </conditionalFormatting>
  <conditionalFormatting sqref="P878:P879">
    <cfRule type="containsText" dxfId="2" priority="9453" operator="containsText" text="Yes">
      <formula>NOT(ISERROR(SEARCH(("Yes"),(P878))))</formula>
    </cfRule>
  </conditionalFormatting>
  <conditionalFormatting sqref="P878:P879">
    <cfRule type="containsText" dxfId="9" priority="9454" operator="containsText" text="No">
      <formula>NOT(ISERROR(SEARCH(("No"),(P878))))</formula>
    </cfRule>
  </conditionalFormatting>
  <conditionalFormatting sqref="P878:P879">
    <cfRule type="containsText" dxfId="2" priority="9455" operator="containsText" text="Yes">
      <formula>NOT(ISERROR(SEARCH(("Yes"),(P878))))</formula>
    </cfRule>
  </conditionalFormatting>
  <conditionalFormatting sqref="P878:P879">
    <cfRule type="containsText" dxfId="9" priority="9456" operator="containsText" text="No">
      <formula>NOT(ISERROR(SEARCH(("No"),(P878))))</formula>
    </cfRule>
  </conditionalFormatting>
  <conditionalFormatting sqref="P878:P879">
    <cfRule type="containsText" dxfId="2" priority="9457" operator="containsText" text="Yes">
      <formula>NOT(ISERROR(SEARCH(("Yes"),(P878))))</formula>
    </cfRule>
  </conditionalFormatting>
  <conditionalFormatting sqref="P878:P879">
    <cfRule type="containsText" dxfId="9" priority="9458" operator="containsText" text="No">
      <formula>NOT(ISERROR(SEARCH(("No"),(P878))))</formula>
    </cfRule>
  </conditionalFormatting>
  <conditionalFormatting sqref="P878:P879">
    <cfRule type="containsText" dxfId="2" priority="9459" operator="containsText" text="Yes">
      <formula>NOT(ISERROR(SEARCH(("Yes"),(P878))))</formula>
    </cfRule>
  </conditionalFormatting>
  <conditionalFormatting sqref="P878:P879">
    <cfRule type="containsText" dxfId="9" priority="9460" operator="containsText" text="No">
      <formula>NOT(ISERROR(SEARCH(("No"),(P878))))</formula>
    </cfRule>
  </conditionalFormatting>
  <conditionalFormatting sqref="P878:P879">
    <cfRule type="containsText" dxfId="2" priority="9461" operator="containsText" text="Yes">
      <formula>NOT(ISERROR(SEARCH(("Yes"),(P878))))</formula>
    </cfRule>
  </conditionalFormatting>
  <conditionalFormatting sqref="P878:P879">
    <cfRule type="containsText" dxfId="9" priority="9462" operator="containsText" text="No">
      <formula>NOT(ISERROR(SEARCH(("No"),(P878))))</formula>
    </cfRule>
  </conditionalFormatting>
  <conditionalFormatting sqref="P878:P879">
    <cfRule type="containsText" dxfId="2" priority="9463" operator="containsText" text="Yes">
      <formula>NOT(ISERROR(SEARCH(("Yes"),(P878))))</formula>
    </cfRule>
  </conditionalFormatting>
  <conditionalFormatting sqref="P878:P879">
    <cfRule type="containsText" dxfId="9" priority="9464" operator="containsText" text="No">
      <formula>NOT(ISERROR(SEARCH(("No"),(P878))))</formula>
    </cfRule>
  </conditionalFormatting>
  <conditionalFormatting sqref="P878:P879">
    <cfRule type="containsText" dxfId="2" priority="9465" operator="containsText" text="Yes">
      <formula>NOT(ISERROR(SEARCH(("Yes"),(P878))))</formula>
    </cfRule>
  </conditionalFormatting>
  <conditionalFormatting sqref="P878:P879">
    <cfRule type="containsText" dxfId="9" priority="9466" operator="containsText" text="No">
      <formula>NOT(ISERROR(SEARCH(("No"),(P878))))</formula>
    </cfRule>
  </conditionalFormatting>
  <conditionalFormatting sqref="P878:P879">
    <cfRule type="containsText" dxfId="2" priority="9467" operator="containsText" text="Yes">
      <formula>NOT(ISERROR(SEARCH(("Yes"),(P878))))</formula>
    </cfRule>
  </conditionalFormatting>
  <conditionalFormatting sqref="P878:P879">
    <cfRule type="containsText" dxfId="9" priority="9468" operator="containsText" text="No">
      <formula>NOT(ISERROR(SEARCH(("No"),(P878))))</formula>
    </cfRule>
  </conditionalFormatting>
  <conditionalFormatting sqref="P878:P879">
    <cfRule type="containsText" dxfId="2" priority="9469" operator="containsText" text="Yes">
      <formula>NOT(ISERROR(SEARCH(("Yes"),(P878))))</formula>
    </cfRule>
  </conditionalFormatting>
  <conditionalFormatting sqref="P878:P879">
    <cfRule type="containsText" dxfId="9" priority="9470" operator="containsText" text="No">
      <formula>NOT(ISERROR(SEARCH(("No"),(P878))))</formula>
    </cfRule>
  </conditionalFormatting>
  <conditionalFormatting sqref="P878:P879">
    <cfRule type="containsText" dxfId="2" priority="9471" operator="containsText" text="Yes">
      <formula>NOT(ISERROR(SEARCH(("Yes"),(P878))))</formula>
    </cfRule>
  </conditionalFormatting>
  <conditionalFormatting sqref="P878:P879">
    <cfRule type="containsText" dxfId="9" priority="9472" operator="containsText" text="No">
      <formula>NOT(ISERROR(SEARCH(("No"),(P878))))</formula>
    </cfRule>
  </conditionalFormatting>
  <conditionalFormatting sqref="P878:P879">
    <cfRule type="containsText" dxfId="2" priority="9473" operator="containsText" text="Yes">
      <formula>NOT(ISERROR(SEARCH(("Yes"),(P878))))</formula>
    </cfRule>
  </conditionalFormatting>
  <conditionalFormatting sqref="P878:P879">
    <cfRule type="containsText" dxfId="9" priority="9474" operator="containsText" text="No">
      <formula>NOT(ISERROR(SEARCH(("No"),(P878))))</formula>
    </cfRule>
  </conditionalFormatting>
  <conditionalFormatting sqref="P878:P879">
    <cfRule type="containsText" dxfId="2" priority="9475" operator="containsText" text="Yes">
      <formula>NOT(ISERROR(SEARCH(("Yes"),(P878))))</formula>
    </cfRule>
  </conditionalFormatting>
  <conditionalFormatting sqref="P878:P879">
    <cfRule type="containsText" dxfId="9" priority="9476" operator="containsText" text="No">
      <formula>NOT(ISERROR(SEARCH(("No"),(P878))))</formula>
    </cfRule>
  </conditionalFormatting>
  <conditionalFormatting sqref="P878:P879">
    <cfRule type="containsText" dxfId="2" priority="9477" operator="containsText" text="Yes">
      <formula>NOT(ISERROR(SEARCH(("Yes"),(P878))))</formula>
    </cfRule>
  </conditionalFormatting>
  <conditionalFormatting sqref="P878:P879">
    <cfRule type="containsText" dxfId="9" priority="9478" operator="containsText" text="No">
      <formula>NOT(ISERROR(SEARCH(("No"),(P878))))</formula>
    </cfRule>
  </conditionalFormatting>
  <conditionalFormatting sqref="P878:P879">
    <cfRule type="containsText" dxfId="2" priority="9479" operator="containsText" text="Yes">
      <formula>NOT(ISERROR(SEARCH(("Yes"),(P878))))</formula>
    </cfRule>
  </conditionalFormatting>
  <conditionalFormatting sqref="P878:P879">
    <cfRule type="containsText" dxfId="9" priority="9480" operator="containsText" text="No">
      <formula>NOT(ISERROR(SEARCH(("No"),(P878))))</formula>
    </cfRule>
  </conditionalFormatting>
  <conditionalFormatting sqref="P878:P879">
    <cfRule type="containsText" dxfId="2" priority="9481" operator="containsText" text="Yes">
      <formula>NOT(ISERROR(SEARCH(("Yes"),(P878))))</formula>
    </cfRule>
  </conditionalFormatting>
  <conditionalFormatting sqref="P878:P879">
    <cfRule type="containsText" dxfId="9" priority="9482" operator="containsText" text="No">
      <formula>NOT(ISERROR(SEARCH(("No"),(P878))))</formula>
    </cfRule>
  </conditionalFormatting>
  <conditionalFormatting sqref="P878:P879">
    <cfRule type="containsText" dxfId="2" priority="9483" operator="containsText" text="Yes">
      <formula>NOT(ISERROR(SEARCH(("Yes"),(P878))))</formula>
    </cfRule>
  </conditionalFormatting>
  <conditionalFormatting sqref="P878:P879">
    <cfRule type="containsText" dxfId="9" priority="9484" operator="containsText" text="No">
      <formula>NOT(ISERROR(SEARCH(("No"),(P878))))</formula>
    </cfRule>
  </conditionalFormatting>
  <conditionalFormatting sqref="P878:P879">
    <cfRule type="containsText" dxfId="2" priority="9485" operator="containsText" text="Yes">
      <formula>NOT(ISERROR(SEARCH(("Yes"),(P878))))</formula>
    </cfRule>
  </conditionalFormatting>
  <conditionalFormatting sqref="P878:P879">
    <cfRule type="containsText" dxfId="9" priority="9486" operator="containsText" text="No">
      <formula>NOT(ISERROR(SEARCH(("No"),(P878))))</formula>
    </cfRule>
  </conditionalFormatting>
  <conditionalFormatting sqref="P878:P879">
    <cfRule type="containsText" dxfId="2" priority="9487" operator="containsText" text="Yes">
      <formula>NOT(ISERROR(SEARCH(("Yes"),(P878))))</formula>
    </cfRule>
  </conditionalFormatting>
  <conditionalFormatting sqref="P878:P879">
    <cfRule type="containsText" dxfId="9" priority="9488" operator="containsText" text="No">
      <formula>NOT(ISERROR(SEARCH(("No"),(P878))))</formula>
    </cfRule>
  </conditionalFormatting>
  <conditionalFormatting sqref="P878:P879">
    <cfRule type="containsText" dxfId="2" priority="9489" operator="containsText" text="Yes">
      <formula>NOT(ISERROR(SEARCH(("Yes"),(P878))))</formula>
    </cfRule>
  </conditionalFormatting>
  <conditionalFormatting sqref="P878:P879">
    <cfRule type="containsText" dxfId="9" priority="9490" operator="containsText" text="No">
      <formula>NOT(ISERROR(SEARCH(("No"),(P878))))</formula>
    </cfRule>
  </conditionalFormatting>
  <conditionalFormatting sqref="P878:P879">
    <cfRule type="containsText" dxfId="2" priority="9491" operator="containsText" text="Yes">
      <formula>NOT(ISERROR(SEARCH(("Yes"),(P878))))</formula>
    </cfRule>
  </conditionalFormatting>
  <conditionalFormatting sqref="P878:P879">
    <cfRule type="containsText" dxfId="9" priority="9492" operator="containsText" text="No">
      <formula>NOT(ISERROR(SEARCH(("No"),(P878))))</formula>
    </cfRule>
  </conditionalFormatting>
  <conditionalFormatting sqref="P878:P879">
    <cfRule type="containsText" dxfId="2" priority="9493" operator="containsText" text="Yes">
      <formula>NOT(ISERROR(SEARCH(("Yes"),(P878))))</formula>
    </cfRule>
  </conditionalFormatting>
  <conditionalFormatting sqref="P878:P879">
    <cfRule type="containsText" dxfId="9" priority="9494" operator="containsText" text="No">
      <formula>NOT(ISERROR(SEARCH(("No"),(P878))))</formula>
    </cfRule>
  </conditionalFormatting>
  <conditionalFormatting sqref="P878:P879">
    <cfRule type="containsText" dxfId="2" priority="9495" operator="containsText" text="Yes">
      <formula>NOT(ISERROR(SEARCH(("Yes"),(P878))))</formula>
    </cfRule>
  </conditionalFormatting>
  <conditionalFormatting sqref="P878:P879">
    <cfRule type="containsText" dxfId="9" priority="9496" operator="containsText" text="No">
      <formula>NOT(ISERROR(SEARCH(("No"),(P878))))</formula>
    </cfRule>
  </conditionalFormatting>
  <conditionalFormatting sqref="P878:P879">
    <cfRule type="containsText" dxfId="2" priority="9497" operator="containsText" text="Yes">
      <formula>NOT(ISERROR(SEARCH(("Yes"),(P878))))</formula>
    </cfRule>
  </conditionalFormatting>
  <conditionalFormatting sqref="P878:P879">
    <cfRule type="containsText" dxfId="9" priority="9498" operator="containsText" text="No">
      <formula>NOT(ISERROR(SEARCH(("No"),(P878))))</formula>
    </cfRule>
  </conditionalFormatting>
  <conditionalFormatting sqref="P878:P879">
    <cfRule type="containsText" dxfId="2" priority="9499" operator="containsText" text="Yes">
      <formula>NOT(ISERROR(SEARCH(("Yes"),(P878))))</formula>
    </cfRule>
  </conditionalFormatting>
  <conditionalFormatting sqref="P878:P879">
    <cfRule type="containsText" dxfId="9" priority="9500" operator="containsText" text="No">
      <formula>NOT(ISERROR(SEARCH(("No"),(P878))))</formula>
    </cfRule>
  </conditionalFormatting>
  <conditionalFormatting sqref="P878:P879">
    <cfRule type="containsText" dxfId="2" priority="9501" operator="containsText" text="Yes">
      <formula>NOT(ISERROR(SEARCH(("Yes"),(P878))))</formula>
    </cfRule>
  </conditionalFormatting>
  <conditionalFormatting sqref="P878:P879">
    <cfRule type="containsText" dxfId="9" priority="9502" operator="containsText" text="No">
      <formula>NOT(ISERROR(SEARCH(("No"),(P878))))</formula>
    </cfRule>
  </conditionalFormatting>
  <conditionalFormatting sqref="P878:P879">
    <cfRule type="containsText" dxfId="2" priority="9503" operator="containsText" text="Yes">
      <formula>NOT(ISERROR(SEARCH(("Yes"),(P878))))</formula>
    </cfRule>
  </conditionalFormatting>
  <conditionalFormatting sqref="P878:P879">
    <cfRule type="containsText" dxfId="9" priority="9504" operator="containsText" text="No">
      <formula>NOT(ISERROR(SEARCH(("No"),(P878))))</formula>
    </cfRule>
  </conditionalFormatting>
  <conditionalFormatting sqref="P878:P879">
    <cfRule type="containsText" dxfId="2" priority="9505" operator="containsText" text="Yes">
      <formula>NOT(ISERROR(SEARCH(("Yes"),(P878))))</formula>
    </cfRule>
  </conditionalFormatting>
  <conditionalFormatting sqref="P878:P879">
    <cfRule type="containsText" dxfId="9" priority="9506" operator="containsText" text="No">
      <formula>NOT(ISERROR(SEARCH(("No"),(P878))))</formula>
    </cfRule>
  </conditionalFormatting>
  <conditionalFormatting sqref="P878:P879">
    <cfRule type="containsText" dxfId="2" priority="9507" operator="containsText" text="Yes">
      <formula>NOT(ISERROR(SEARCH(("Yes"),(P878))))</formula>
    </cfRule>
  </conditionalFormatting>
  <conditionalFormatting sqref="P878:P879">
    <cfRule type="containsText" dxfId="9" priority="9508" operator="containsText" text="No">
      <formula>NOT(ISERROR(SEARCH(("No"),(P878))))</formula>
    </cfRule>
  </conditionalFormatting>
  <conditionalFormatting sqref="P878:P879">
    <cfRule type="containsText" dxfId="2" priority="9509" operator="containsText" text="Yes">
      <formula>NOT(ISERROR(SEARCH(("Yes"),(P878))))</formula>
    </cfRule>
  </conditionalFormatting>
  <conditionalFormatting sqref="P878:P879">
    <cfRule type="containsText" dxfId="9" priority="9510" operator="containsText" text="No">
      <formula>NOT(ISERROR(SEARCH(("No"),(P878))))</formula>
    </cfRule>
  </conditionalFormatting>
  <conditionalFormatting sqref="P878:P879">
    <cfRule type="containsText" dxfId="2" priority="9511" operator="containsText" text="Yes">
      <formula>NOT(ISERROR(SEARCH(("Yes"),(P878))))</formula>
    </cfRule>
  </conditionalFormatting>
  <conditionalFormatting sqref="P878:P879">
    <cfRule type="containsText" dxfId="2" priority="9512" operator="containsText" text="Yes">
      <formula>NOT(ISERROR(SEARCH(("Yes"),(P878))))</formula>
    </cfRule>
  </conditionalFormatting>
  <conditionalFormatting sqref="P878:P879">
    <cfRule type="containsText" dxfId="9" priority="9513" operator="containsText" text="No">
      <formula>NOT(ISERROR(SEARCH(("No"),(P878))))</formula>
    </cfRule>
  </conditionalFormatting>
  <conditionalFormatting sqref="P878:P879">
    <cfRule type="containsText" dxfId="2" priority="9514" operator="containsText" text="Yes">
      <formula>NOT(ISERROR(SEARCH(("Yes"),(P878))))</formula>
    </cfRule>
  </conditionalFormatting>
  <conditionalFormatting sqref="P881:P882">
    <cfRule type="containsText" dxfId="2" priority="9515" operator="containsText" text="Yes">
      <formula>NOT(ISERROR(SEARCH(("Yes"),(P881))))</formula>
    </cfRule>
  </conditionalFormatting>
  <conditionalFormatting sqref="P881:P882">
    <cfRule type="containsText" dxfId="9" priority="9516" operator="containsText" text="No">
      <formula>NOT(ISERROR(SEARCH(("No"),(P881))))</formula>
    </cfRule>
  </conditionalFormatting>
  <conditionalFormatting sqref="P881:P882">
    <cfRule type="containsText" dxfId="2" priority="9517" operator="containsText" text="Yes">
      <formula>NOT(ISERROR(SEARCH(("Yes"),(P881))))</formula>
    </cfRule>
  </conditionalFormatting>
  <conditionalFormatting sqref="P881:P882">
    <cfRule type="containsText" dxfId="9" priority="9518" operator="containsText" text="No">
      <formula>NOT(ISERROR(SEARCH(("No"),(P881))))</formula>
    </cfRule>
  </conditionalFormatting>
  <conditionalFormatting sqref="P881:P882">
    <cfRule type="containsText" dxfId="2" priority="9519" operator="containsText" text="Yes">
      <formula>NOT(ISERROR(SEARCH(("Yes"),(P881))))</formula>
    </cfRule>
  </conditionalFormatting>
  <conditionalFormatting sqref="P881:P882">
    <cfRule type="containsText" dxfId="9" priority="9520" operator="containsText" text="No">
      <formula>NOT(ISERROR(SEARCH(("No"),(P881))))</formula>
    </cfRule>
  </conditionalFormatting>
  <conditionalFormatting sqref="P881:P882">
    <cfRule type="containsText" dxfId="2" priority="9521" operator="containsText" text="Yes">
      <formula>NOT(ISERROR(SEARCH(("Yes"),(P881))))</formula>
    </cfRule>
  </conditionalFormatting>
  <conditionalFormatting sqref="P881:P882">
    <cfRule type="containsText" dxfId="9" priority="9522" operator="containsText" text="No">
      <formula>NOT(ISERROR(SEARCH(("No"),(P881))))</formula>
    </cfRule>
  </conditionalFormatting>
  <conditionalFormatting sqref="P881:P882">
    <cfRule type="containsText" dxfId="2" priority="9523" operator="containsText" text="Yes">
      <formula>NOT(ISERROR(SEARCH(("Yes"),(P881))))</formula>
    </cfRule>
  </conditionalFormatting>
  <conditionalFormatting sqref="P881:P882">
    <cfRule type="containsText" dxfId="9" priority="9524" operator="containsText" text="No">
      <formula>NOT(ISERROR(SEARCH(("No"),(P881))))</formula>
    </cfRule>
  </conditionalFormatting>
  <conditionalFormatting sqref="P881:P882">
    <cfRule type="containsText" dxfId="2" priority="9525" operator="containsText" text="Yes">
      <formula>NOT(ISERROR(SEARCH(("Yes"),(P881))))</formula>
    </cfRule>
  </conditionalFormatting>
  <conditionalFormatting sqref="P881:P882">
    <cfRule type="containsText" dxfId="9" priority="9526" operator="containsText" text="No">
      <formula>NOT(ISERROR(SEARCH(("No"),(P881))))</formula>
    </cfRule>
  </conditionalFormatting>
  <conditionalFormatting sqref="P881:P882">
    <cfRule type="containsText" dxfId="2" priority="9527" operator="containsText" text="Yes">
      <formula>NOT(ISERROR(SEARCH(("Yes"),(P881))))</formula>
    </cfRule>
  </conditionalFormatting>
  <conditionalFormatting sqref="P881:P882">
    <cfRule type="containsText" dxfId="9" priority="9528" operator="containsText" text="No">
      <formula>NOT(ISERROR(SEARCH(("No"),(P881))))</formula>
    </cfRule>
  </conditionalFormatting>
  <conditionalFormatting sqref="P881:P882">
    <cfRule type="containsText" dxfId="2" priority="9529" operator="containsText" text="Yes">
      <formula>NOT(ISERROR(SEARCH(("Yes"),(P881))))</formula>
    </cfRule>
  </conditionalFormatting>
  <conditionalFormatting sqref="P881:P882">
    <cfRule type="containsText" dxfId="9" priority="9530" operator="containsText" text="No">
      <formula>NOT(ISERROR(SEARCH(("No"),(P881))))</formula>
    </cfRule>
  </conditionalFormatting>
  <conditionalFormatting sqref="P881:P882">
    <cfRule type="containsText" dxfId="2" priority="9531" operator="containsText" text="Yes">
      <formula>NOT(ISERROR(SEARCH(("Yes"),(P881))))</formula>
    </cfRule>
  </conditionalFormatting>
  <conditionalFormatting sqref="P881:P882">
    <cfRule type="containsText" dxfId="9" priority="9532" operator="containsText" text="No">
      <formula>NOT(ISERROR(SEARCH(("No"),(P881))))</formula>
    </cfRule>
  </conditionalFormatting>
  <conditionalFormatting sqref="P881:P882">
    <cfRule type="containsText" dxfId="2" priority="9533" operator="containsText" text="Yes">
      <formula>NOT(ISERROR(SEARCH(("Yes"),(P881))))</formula>
    </cfRule>
  </conditionalFormatting>
  <conditionalFormatting sqref="P881:P882">
    <cfRule type="containsText" dxfId="9" priority="9534" operator="containsText" text="No">
      <formula>NOT(ISERROR(SEARCH(("No"),(P881))))</formula>
    </cfRule>
  </conditionalFormatting>
  <conditionalFormatting sqref="P881:P882">
    <cfRule type="containsText" dxfId="2" priority="9535" operator="containsText" text="Yes">
      <formula>NOT(ISERROR(SEARCH(("Yes"),(P881))))</formula>
    </cfRule>
  </conditionalFormatting>
  <conditionalFormatting sqref="P881:P882">
    <cfRule type="containsText" dxfId="9" priority="9536" operator="containsText" text="No">
      <formula>NOT(ISERROR(SEARCH(("No"),(P881))))</formula>
    </cfRule>
  </conditionalFormatting>
  <conditionalFormatting sqref="P881:P882">
    <cfRule type="containsText" dxfId="2" priority="9537" operator="containsText" text="Yes">
      <formula>NOT(ISERROR(SEARCH(("Yes"),(P881))))</formula>
    </cfRule>
  </conditionalFormatting>
  <conditionalFormatting sqref="P881:P882">
    <cfRule type="containsText" dxfId="9" priority="9538" operator="containsText" text="No">
      <formula>NOT(ISERROR(SEARCH(("No"),(P881))))</formula>
    </cfRule>
  </conditionalFormatting>
  <conditionalFormatting sqref="P881:P882">
    <cfRule type="containsText" dxfId="2" priority="9539" operator="containsText" text="Yes">
      <formula>NOT(ISERROR(SEARCH(("Yes"),(P881))))</formula>
    </cfRule>
  </conditionalFormatting>
  <conditionalFormatting sqref="P881:P882">
    <cfRule type="containsText" dxfId="9" priority="9540" operator="containsText" text="No">
      <formula>NOT(ISERROR(SEARCH(("No"),(P881))))</formula>
    </cfRule>
  </conditionalFormatting>
  <conditionalFormatting sqref="P881:P882">
    <cfRule type="containsText" dxfId="2" priority="9541" operator="containsText" text="Yes">
      <formula>NOT(ISERROR(SEARCH(("Yes"),(P881))))</formula>
    </cfRule>
  </conditionalFormatting>
  <conditionalFormatting sqref="P881:P882">
    <cfRule type="containsText" dxfId="9" priority="9542" operator="containsText" text="No">
      <formula>NOT(ISERROR(SEARCH(("No"),(P881))))</formula>
    </cfRule>
  </conditionalFormatting>
  <conditionalFormatting sqref="P881:P882">
    <cfRule type="containsText" dxfId="2" priority="9543" operator="containsText" text="Yes">
      <formula>NOT(ISERROR(SEARCH(("Yes"),(P881))))</formula>
    </cfRule>
  </conditionalFormatting>
  <conditionalFormatting sqref="P881:P882">
    <cfRule type="containsText" dxfId="9" priority="9544" operator="containsText" text="No">
      <formula>NOT(ISERROR(SEARCH(("No"),(P881))))</formula>
    </cfRule>
  </conditionalFormatting>
  <conditionalFormatting sqref="P881:P882">
    <cfRule type="containsText" dxfId="2" priority="9545" operator="containsText" text="Yes">
      <formula>NOT(ISERROR(SEARCH(("Yes"),(P881))))</formula>
    </cfRule>
  </conditionalFormatting>
  <conditionalFormatting sqref="P881:P882">
    <cfRule type="containsText" dxfId="9" priority="9546" operator="containsText" text="No">
      <formula>NOT(ISERROR(SEARCH(("No"),(P881))))</formula>
    </cfRule>
  </conditionalFormatting>
  <conditionalFormatting sqref="P881:P882">
    <cfRule type="containsText" dxfId="2" priority="9547" operator="containsText" text="Yes">
      <formula>NOT(ISERROR(SEARCH(("Yes"),(P881))))</formula>
    </cfRule>
  </conditionalFormatting>
  <conditionalFormatting sqref="P881:P882">
    <cfRule type="containsText" dxfId="9" priority="9548" operator="containsText" text="No">
      <formula>NOT(ISERROR(SEARCH(("No"),(P881))))</formula>
    </cfRule>
  </conditionalFormatting>
  <conditionalFormatting sqref="P881:P882">
    <cfRule type="containsText" dxfId="2" priority="9549" operator="containsText" text="Yes">
      <formula>NOT(ISERROR(SEARCH(("Yes"),(P881))))</formula>
    </cfRule>
  </conditionalFormatting>
  <conditionalFormatting sqref="P881:P882">
    <cfRule type="containsText" dxfId="9" priority="9550" operator="containsText" text="No">
      <formula>NOT(ISERROR(SEARCH(("No"),(P881))))</formula>
    </cfRule>
  </conditionalFormatting>
  <conditionalFormatting sqref="P881:P882">
    <cfRule type="containsText" dxfId="2" priority="9551" operator="containsText" text="Yes">
      <formula>NOT(ISERROR(SEARCH(("Yes"),(P881))))</formula>
    </cfRule>
  </conditionalFormatting>
  <conditionalFormatting sqref="P881:P882">
    <cfRule type="containsText" dxfId="9" priority="9552" operator="containsText" text="No">
      <formula>NOT(ISERROR(SEARCH(("No"),(P881))))</formula>
    </cfRule>
  </conditionalFormatting>
  <conditionalFormatting sqref="P881:P882">
    <cfRule type="containsText" dxfId="2" priority="9553" operator="containsText" text="Yes">
      <formula>NOT(ISERROR(SEARCH(("Yes"),(P881))))</formula>
    </cfRule>
  </conditionalFormatting>
  <conditionalFormatting sqref="P881:P882">
    <cfRule type="containsText" dxfId="9" priority="9554" operator="containsText" text="No">
      <formula>NOT(ISERROR(SEARCH(("No"),(P881))))</formula>
    </cfRule>
  </conditionalFormatting>
  <conditionalFormatting sqref="P881:P882">
    <cfRule type="containsText" dxfId="2" priority="9555" operator="containsText" text="Yes">
      <formula>NOT(ISERROR(SEARCH(("Yes"),(P881))))</formula>
    </cfRule>
  </conditionalFormatting>
  <conditionalFormatting sqref="P881:P882">
    <cfRule type="containsText" dxfId="9" priority="9556" operator="containsText" text="No">
      <formula>NOT(ISERROR(SEARCH(("No"),(P881))))</formula>
    </cfRule>
  </conditionalFormatting>
  <conditionalFormatting sqref="P881:P882">
    <cfRule type="containsText" dxfId="2" priority="9557" operator="containsText" text="Yes">
      <formula>NOT(ISERROR(SEARCH(("Yes"),(P881))))</formula>
    </cfRule>
  </conditionalFormatting>
  <conditionalFormatting sqref="P881:P882">
    <cfRule type="containsText" dxfId="9" priority="9558" operator="containsText" text="No">
      <formula>NOT(ISERROR(SEARCH(("No"),(P881))))</formula>
    </cfRule>
  </conditionalFormatting>
  <conditionalFormatting sqref="P881:P882">
    <cfRule type="containsText" dxfId="2" priority="9559" operator="containsText" text="Yes">
      <formula>NOT(ISERROR(SEARCH(("Yes"),(P881))))</formula>
    </cfRule>
  </conditionalFormatting>
  <conditionalFormatting sqref="P881:P882">
    <cfRule type="containsText" dxfId="9" priority="9560" operator="containsText" text="No">
      <formula>NOT(ISERROR(SEARCH(("No"),(P881))))</formula>
    </cfRule>
  </conditionalFormatting>
  <conditionalFormatting sqref="P881:P882">
    <cfRule type="containsText" dxfId="2" priority="9561" operator="containsText" text="Yes">
      <formula>NOT(ISERROR(SEARCH(("Yes"),(P881))))</formula>
    </cfRule>
  </conditionalFormatting>
  <conditionalFormatting sqref="P881:P882">
    <cfRule type="containsText" dxfId="9" priority="9562" operator="containsText" text="No">
      <formula>NOT(ISERROR(SEARCH(("No"),(P881))))</formula>
    </cfRule>
  </conditionalFormatting>
  <conditionalFormatting sqref="P881:P882">
    <cfRule type="containsText" dxfId="2" priority="9563" operator="containsText" text="Yes">
      <formula>NOT(ISERROR(SEARCH(("Yes"),(P881))))</formula>
    </cfRule>
  </conditionalFormatting>
  <conditionalFormatting sqref="P881:P882">
    <cfRule type="containsText" dxfId="9" priority="9564" operator="containsText" text="No">
      <formula>NOT(ISERROR(SEARCH(("No"),(P881))))</formula>
    </cfRule>
  </conditionalFormatting>
  <conditionalFormatting sqref="P881:P882">
    <cfRule type="containsText" dxfId="2" priority="9565" operator="containsText" text="Yes">
      <formula>NOT(ISERROR(SEARCH(("Yes"),(P881))))</formula>
    </cfRule>
  </conditionalFormatting>
  <conditionalFormatting sqref="P881:P882">
    <cfRule type="containsText" dxfId="9" priority="9566" operator="containsText" text="No">
      <formula>NOT(ISERROR(SEARCH(("No"),(P881))))</formula>
    </cfRule>
  </conditionalFormatting>
  <conditionalFormatting sqref="P881:P882">
    <cfRule type="containsText" dxfId="2" priority="9567" operator="containsText" text="Yes">
      <formula>NOT(ISERROR(SEARCH(("Yes"),(P881))))</formula>
    </cfRule>
  </conditionalFormatting>
  <conditionalFormatting sqref="P881:P882">
    <cfRule type="containsText" dxfId="9" priority="9568" operator="containsText" text="No">
      <formula>NOT(ISERROR(SEARCH(("No"),(P881))))</formula>
    </cfRule>
  </conditionalFormatting>
  <conditionalFormatting sqref="P881:P882">
    <cfRule type="containsText" dxfId="2" priority="9569" operator="containsText" text="Yes">
      <formula>NOT(ISERROR(SEARCH(("Yes"),(P881))))</formula>
    </cfRule>
  </conditionalFormatting>
  <conditionalFormatting sqref="P881:P882">
    <cfRule type="containsText" dxfId="9" priority="9570" operator="containsText" text="No">
      <formula>NOT(ISERROR(SEARCH(("No"),(P881))))</formula>
    </cfRule>
  </conditionalFormatting>
  <conditionalFormatting sqref="P881:P882">
    <cfRule type="containsText" dxfId="2" priority="9571" operator="containsText" text="Yes">
      <formula>NOT(ISERROR(SEARCH(("Yes"),(P881))))</formula>
    </cfRule>
  </conditionalFormatting>
  <conditionalFormatting sqref="P881:P882">
    <cfRule type="containsText" dxfId="9" priority="9572" operator="containsText" text="No">
      <formula>NOT(ISERROR(SEARCH(("No"),(P881))))</formula>
    </cfRule>
  </conditionalFormatting>
  <conditionalFormatting sqref="P881:P882">
    <cfRule type="containsText" dxfId="2" priority="9573" operator="containsText" text="Yes">
      <formula>NOT(ISERROR(SEARCH(("Yes"),(P881))))</formula>
    </cfRule>
  </conditionalFormatting>
  <conditionalFormatting sqref="P881:P882">
    <cfRule type="containsText" dxfId="9" priority="9574" operator="containsText" text="No">
      <formula>NOT(ISERROR(SEARCH(("No"),(P881))))</formula>
    </cfRule>
  </conditionalFormatting>
  <conditionalFormatting sqref="P881:P882">
    <cfRule type="containsText" dxfId="2" priority="9575" operator="containsText" text="Yes">
      <formula>NOT(ISERROR(SEARCH(("Yes"),(P881))))</formula>
    </cfRule>
  </conditionalFormatting>
  <conditionalFormatting sqref="P881:P882">
    <cfRule type="containsText" dxfId="9" priority="9576" operator="containsText" text="No">
      <formula>NOT(ISERROR(SEARCH(("No"),(P881))))</formula>
    </cfRule>
  </conditionalFormatting>
  <conditionalFormatting sqref="P881:P882">
    <cfRule type="containsText" dxfId="2" priority="9577" operator="containsText" text="Yes">
      <formula>NOT(ISERROR(SEARCH(("Yes"),(P881))))</formula>
    </cfRule>
  </conditionalFormatting>
  <conditionalFormatting sqref="P881:P882">
    <cfRule type="containsText" dxfId="9" priority="9578" operator="containsText" text="No">
      <formula>NOT(ISERROR(SEARCH(("No"),(P881))))</formula>
    </cfRule>
  </conditionalFormatting>
  <conditionalFormatting sqref="P881:P882">
    <cfRule type="containsText" dxfId="2" priority="9579" operator="containsText" text="Yes">
      <formula>NOT(ISERROR(SEARCH(("Yes"),(P881))))</formula>
    </cfRule>
  </conditionalFormatting>
  <conditionalFormatting sqref="P881:P882">
    <cfRule type="containsText" dxfId="9" priority="9580" operator="containsText" text="No">
      <formula>NOT(ISERROR(SEARCH(("No"),(P881))))</formula>
    </cfRule>
  </conditionalFormatting>
  <conditionalFormatting sqref="P881:P882">
    <cfRule type="containsText" dxfId="2" priority="9581" operator="containsText" text="Yes">
      <formula>NOT(ISERROR(SEARCH(("Yes"),(P881))))</formula>
    </cfRule>
  </conditionalFormatting>
  <conditionalFormatting sqref="P881:P882">
    <cfRule type="containsText" dxfId="9" priority="9582" operator="containsText" text="No">
      <formula>NOT(ISERROR(SEARCH(("No"),(P881))))</formula>
    </cfRule>
  </conditionalFormatting>
  <conditionalFormatting sqref="P881:P882">
    <cfRule type="containsText" dxfId="2" priority="9583" operator="containsText" text="Yes">
      <formula>NOT(ISERROR(SEARCH(("Yes"),(P881))))</formula>
    </cfRule>
  </conditionalFormatting>
  <conditionalFormatting sqref="P881:P882">
    <cfRule type="containsText" dxfId="9" priority="9584" operator="containsText" text="No">
      <formula>NOT(ISERROR(SEARCH(("No"),(P881))))</formula>
    </cfRule>
  </conditionalFormatting>
  <conditionalFormatting sqref="P881:P882">
    <cfRule type="containsText" dxfId="2" priority="9585" operator="containsText" text="Yes">
      <formula>NOT(ISERROR(SEARCH(("Yes"),(P881))))</formula>
    </cfRule>
  </conditionalFormatting>
  <conditionalFormatting sqref="P881:P882">
    <cfRule type="containsText" dxfId="9" priority="9586" operator="containsText" text="No">
      <formula>NOT(ISERROR(SEARCH(("No"),(P881))))</formula>
    </cfRule>
  </conditionalFormatting>
  <conditionalFormatting sqref="P881:P882">
    <cfRule type="containsText" dxfId="2" priority="9587" operator="containsText" text="Yes">
      <formula>NOT(ISERROR(SEARCH(("Yes"),(P881))))</formula>
    </cfRule>
  </conditionalFormatting>
  <conditionalFormatting sqref="P881:P882">
    <cfRule type="containsText" dxfId="9" priority="9588" operator="containsText" text="No">
      <formula>NOT(ISERROR(SEARCH(("No"),(P881))))</formula>
    </cfRule>
  </conditionalFormatting>
  <conditionalFormatting sqref="P881:P882">
    <cfRule type="containsText" dxfId="2" priority="9589" operator="containsText" text="Yes">
      <formula>NOT(ISERROR(SEARCH(("Yes"),(P881))))</formula>
    </cfRule>
  </conditionalFormatting>
  <conditionalFormatting sqref="P881:P882">
    <cfRule type="containsText" dxfId="9" priority="9590" operator="containsText" text="No">
      <formula>NOT(ISERROR(SEARCH(("No"),(P881))))</formula>
    </cfRule>
  </conditionalFormatting>
  <conditionalFormatting sqref="P881:P882">
    <cfRule type="containsText" dxfId="2" priority="9591" operator="containsText" text="Yes">
      <formula>NOT(ISERROR(SEARCH(("Yes"),(P881))))</formula>
    </cfRule>
  </conditionalFormatting>
  <conditionalFormatting sqref="P881:P882">
    <cfRule type="containsText" dxfId="9" priority="9592" operator="containsText" text="No">
      <formula>NOT(ISERROR(SEARCH(("No"),(P881))))</formula>
    </cfRule>
  </conditionalFormatting>
  <conditionalFormatting sqref="P881:P882">
    <cfRule type="containsText" dxfId="2" priority="9593" operator="containsText" text="Yes">
      <formula>NOT(ISERROR(SEARCH(("Yes"),(P881))))</formula>
    </cfRule>
  </conditionalFormatting>
  <conditionalFormatting sqref="P881:P882">
    <cfRule type="containsText" dxfId="9" priority="9594" operator="containsText" text="No">
      <formula>NOT(ISERROR(SEARCH(("No"),(P881))))</formula>
    </cfRule>
  </conditionalFormatting>
  <conditionalFormatting sqref="P881:P882">
    <cfRule type="containsText" dxfId="2" priority="9595" operator="containsText" text="Yes">
      <formula>NOT(ISERROR(SEARCH(("Yes"),(P881))))</formula>
    </cfRule>
  </conditionalFormatting>
  <conditionalFormatting sqref="P881:P882">
    <cfRule type="containsText" dxfId="9" priority="9596" operator="containsText" text="No">
      <formula>NOT(ISERROR(SEARCH(("No"),(P881))))</formula>
    </cfRule>
  </conditionalFormatting>
  <conditionalFormatting sqref="P881:P882">
    <cfRule type="containsText" dxfId="2" priority="9597" operator="containsText" text="Yes">
      <formula>NOT(ISERROR(SEARCH(("Yes"),(P881))))</formula>
    </cfRule>
  </conditionalFormatting>
  <conditionalFormatting sqref="P881:P882">
    <cfRule type="containsText" dxfId="9" priority="9598" operator="containsText" text="No">
      <formula>NOT(ISERROR(SEARCH(("No"),(P881))))</formula>
    </cfRule>
  </conditionalFormatting>
  <conditionalFormatting sqref="P881:P882">
    <cfRule type="containsText" dxfId="2" priority="9599" operator="containsText" text="Yes">
      <formula>NOT(ISERROR(SEARCH(("Yes"),(P881))))</formula>
    </cfRule>
  </conditionalFormatting>
  <conditionalFormatting sqref="P881:P882">
    <cfRule type="containsText" dxfId="9" priority="9600" operator="containsText" text="No">
      <formula>NOT(ISERROR(SEARCH(("No"),(P881))))</formula>
    </cfRule>
  </conditionalFormatting>
  <conditionalFormatting sqref="P881:P882">
    <cfRule type="containsText" dxfId="2" priority="9601" operator="containsText" text="Yes">
      <formula>NOT(ISERROR(SEARCH(("Yes"),(P881))))</formula>
    </cfRule>
  </conditionalFormatting>
  <conditionalFormatting sqref="P881:P882">
    <cfRule type="containsText" dxfId="9" priority="9602" operator="containsText" text="No">
      <formula>NOT(ISERROR(SEARCH(("No"),(P881))))</formula>
    </cfRule>
  </conditionalFormatting>
  <conditionalFormatting sqref="P881:P882">
    <cfRule type="containsText" dxfId="2" priority="9603" operator="containsText" text="Yes">
      <formula>NOT(ISERROR(SEARCH(("Yes"),(P881))))</formula>
    </cfRule>
  </conditionalFormatting>
  <conditionalFormatting sqref="P881:P882">
    <cfRule type="containsText" dxfId="2" priority="9604" operator="containsText" text="Yes">
      <formula>NOT(ISERROR(SEARCH(("Yes"),(P881))))</formula>
    </cfRule>
  </conditionalFormatting>
  <conditionalFormatting sqref="P881:P882">
    <cfRule type="containsText" dxfId="9" priority="9605" operator="containsText" text="No">
      <formula>NOT(ISERROR(SEARCH(("No"),(P881))))</formula>
    </cfRule>
  </conditionalFormatting>
  <conditionalFormatting sqref="P881:P882">
    <cfRule type="containsText" dxfId="2" priority="9606" operator="containsText" text="Yes">
      <formula>NOT(ISERROR(SEARCH(("Yes"),(P881))))</formula>
    </cfRule>
  </conditionalFormatting>
  <conditionalFormatting sqref="P884:P900">
    <cfRule type="containsText" dxfId="2" priority="9607" operator="containsText" text="Yes">
      <formula>NOT(ISERROR(SEARCH(("Yes"),(P884))))</formula>
    </cfRule>
  </conditionalFormatting>
  <conditionalFormatting sqref="P884:P900">
    <cfRule type="containsText" dxfId="9" priority="9608" operator="containsText" text="No">
      <formula>NOT(ISERROR(SEARCH(("No"),(P884))))</formula>
    </cfRule>
  </conditionalFormatting>
  <conditionalFormatting sqref="P884:P900">
    <cfRule type="containsText" dxfId="2" priority="9609" operator="containsText" text="Yes">
      <formula>NOT(ISERROR(SEARCH(("Yes"),(P884))))</formula>
    </cfRule>
  </conditionalFormatting>
  <conditionalFormatting sqref="P884:P900">
    <cfRule type="containsText" dxfId="9" priority="9610" operator="containsText" text="No">
      <formula>NOT(ISERROR(SEARCH(("No"),(P884))))</formula>
    </cfRule>
  </conditionalFormatting>
  <conditionalFormatting sqref="P884:P900">
    <cfRule type="containsText" dxfId="2" priority="9611" operator="containsText" text="Yes">
      <formula>NOT(ISERROR(SEARCH(("Yes"),(P884))))</formula>
    </cfRule>
  </conditionalFormatting>
  <conditionalFormatting sqref="P884:P900">
    <cfRule type="containsText" dxfId="9" priority="9612" operator="containsText" text="No">
      <formula>NOT(ISERROR(SEARCH(("No"),(P884))))</formula>
    </cfRule>
  </conditionalFormatting>
  <conditionalFormatting sqref="P884:P900">
    <cfRule type="containsText" dxfId="2" priority="9613" operator="containsText" text="Yes">
      <formula>NOT(ISERROR(SEARCH(("Yes"),(P884))))</formula>
    </cfRule>
  </conditionalFormatting>
  <conditionalFormatting sqref="P884:P900">
    <cfRule type="containsText" dxfId="9" priority="9614" operator="containsText" text="No">
      <formula>NOT(ISERROR(SEARCH(("No"),(P884))))</formula>
    </cfRule>
  </conditionalFormatting>
  <conditionalFormatting sqref="P884:P900">
    <cfRule type="containsText" dxfId="2" priority="9615" operator="containsText" text="Yes">
      <formula>NOT(ISERROR(SEARCH(("Yes"),(P884))))</formula>
    </cfRule>
  </conditionalFormatting>
  <conditionalFormatting sqref="P884:P900">
    <cfRule type="containsText" dxfId="9" priority="9616" operator="containsText" text="No">
      <formula>NOT(ISERROR(SEARCH(("No"),(P884))))</formula>
    </cfRule>
  </conditionalFormatting>
  <conditionalFormatting sqref="P884:P900">
    <cfRule type="containsText" dxfId="2" priority="9617" operator="containsText" text="Yes">
      <formula>NOT(ISERROR(SEARCH(("Yes"),(P884))))</formula>
    </cfRule>
  </conditionalFormatting>
  <conditionalFormatting sqref="P884:P900">
    <cfRule type="containsText" dxfId="9" priority="9618" operator="containsText" text="No">
      <formula>NOT(ISERROR(SEARCH(("No"),(P884))))</formula>
    </cfRule>
  </conditionalFormatting>
  <conditionalFormatting sqref="P884:P900">
    <cfRule type="containsText" dxfId="2" priority="9619" operator="containsText" text="Yes">
      <formula>NOT(ISERROR(SEARCH(("Yes"),(P884))))</formula>
    </cfRule>
  </conditionalFormatting>
  <conditionalFormatting sqref="P884:P900">
    <cfRule type="containsText" dxfId="9" priority="9620" operator="containsText" text="No">
      <formula>NOT(ISERROR(SEARCH(("No"),(P884))))</formula>
    </cfRule>
  </conditionalFormatting>
  <conditionalFormatting sqref="P884:P900">
    <cfRule type="containsText" dxfId="2" priority="9621" operator="containsText" text="Yes">
      <formula>NOT(ISERROR(SEARCH(("Yes"),(P884))))</formula>
    </cfRule>
  </conditionalFormatting>
  <conditionalFormatting sqref="P884:P900">
    <cfRule type="containsText" dxfId="9" priority="9622" operator="containsText" text="No">
      <formula>NOT(ISERROR(SEARCH(("No"),(P884))))</formula>
    </cfRule>
  </conditionalFormatting>
  <conditionalFormatting sqref="P884:P900">
    <cfRule type="containsText" dxfId="2" priority="9623" operator="containsText" text="Yes">
      <formula>NOT(ISERROR(SEARCH(("Yes"),(P884))))</formula>
    </cfRule>
  </conditionalFormatting>
  <conditionalFormatting sqref="P884:P900">
    <cfRule type="containsText" dxfId="9" priority="9624" operator="containsText" text="No">
      <formula>NOT(ISERROR(SEARCH(("No"),(P884))))</formula>
    </cfRule>
  </conditionalFormatting>
  <conditionalFormatting sqref="P884:P900">
    <cfRule type="containsText" dxfId="2" priority="9625" operator="containsText" text="Yes">
      <formula>NOT(ISERROR(SEARCH(("Yes"),(P884))))</formula>
    </cfRule>
  </conditionalFormatting>
  <conditionalFormatting sqref="P884:P900">
    <cfRule type="containsText" dxfId="9" priority="9626" operator="containsText" text="No">
      <formula>NOT(ISERROR(SEARCH(("No"),(P884))))</formula>
    </cfRule>
  </conditionalFormatting>
  <conditionalFormatting sqref="P884:P900">
    <cfRule type="containsText" dxfId="2" priority="9627" operator="containsText" text="Yes">
      <formula>NOT(ISERROR(SEARCH(("Yes"),(P884))))</formula>
    </cfRule>
  </conditionalFormatting>
  <conditionalFormatting sqref="P884:P900">
    <cfRule type="containsText" dxfId="9" priority="9628" operator="containsText" text="No">
      <formula>NOT(ISERROR(SEARCH(("No"),(P884))))</formula>
    </cfRule>
  </conditionalFormatting>
  <conditionalFormatting sqref="P884:P900">
    <cfRule type="containsText" dxfId="2" priority="9629" operator="containsText" text="Yes">
      <formula>NOT(ISERROR(SEARCH(("Yes"),(P884))))</formula>
    </cfRule>
  </conditionalFormatting>
  <conditionalFormatting sqref="P884:P900">
    <cfRule type="containsText" dxfId="9" priority="9630" operator="containsText" text="No">
      <formula>NOT(ISERROR(SEARCH(("No"),(P884))))</formula>
    </cfRule>
  </conditionalFormatting>
  <conditionalFormatting sqref="P884:P900">
    <cfRule type="containsText" dxfId="2" priority="9631" operator="containsText" text="Yes">
      <formula>NOT(ISERROR(SEARCH(("Yes"),(P884))))</formula>
    </cfRule>
  </conditionalFormatting>
  <conditionalFormatting sqref="P884:P900">
    <cfRule type="containsText" dxfId="9" priority="9632" operator="containsText" text="No">
      <formula>NOT(ISERROR(SEARCH(("No"),(P884))))</formula>
    </cfRule>
  </conditionalFormatting>
  <conditionalFormatting sqref="P884:P900">
    <cfRule type="containsText" dxfId="2" priority="9633" operator="containsText" text="Yes">
      <formula>NOT(ISERROR(SEARCH(("Yes"),(P884))))</formula>
    </cfRule>
  </conditionalFormatting>
  <conditionalFormatting sqref="P884:P900">
    <cfRule type="containsText" dxfId="9" priority="9634" operator="containsText" text="No">
      <formula>NOT(ISERROR(SEARCH(("No"),(P884))))</formula>
    </cfRule>
  </conditionalFormatting>
  <conditionalFormatting sqref="P884:P900">
    <cfRule type="containsText" dxfId="2" priority="9635" operator="containsText" text="Yes">
      <formula>NOT(ISERROR(SEARCH(("Yes"),(P884))))</formula>
    </cfRule>
  </conditionalFormatting>
  <conditionalFormatting sqref="P884:P900">
    <cfRule type="containsText" dxfId="9" priority="9636" operator="containsText" text="No">
      <formula>NOT(ISERROR(SEARCH(("No"),(P884))))</formula>
    </cfRule>
  </conditionalFormatting>
  <conditionalFormatting sqref="P884:P900">
    <cfRule type="containsText" dxfId="2" priority="9637" operator="containsText" text="Yes">
      <formula>NOT(ISERROR(SEARCH(("Yes"),(P884))))</formula>
    </cfRule>
  </conditionalFormatting>
  <conditionalFormatting sqref="P884:P900">
    <cfRule type="containsText" dxfId="9" priority="9638" operator="containsText" text="No">
      <formula>NOT(ISERROR(SEARCH(("No"),(P884))))</formula>
    </cfRule>
  </conditionalFormatting>
  <conditionalFormatting sqref="P884:P900">
    <cfRule type="containsText" dxfId="2" priority="9639" operator="containsText" text="Yes">
      <formula>NOT(ISERROR(SEARCH(("Yes"),(P884))))</formula>
    </cfRule>
  </conditionalFormatting>
  <conditionalFormatting sqref="P884:P900">
    <cfRule type="containsText" dxfId="9" priority="9640" operator="containsText" text="No">
      <formula>NOT(ISERROR(SEARCH(("No"),(P884))))</formula>
    </cfRule>
  </conditionalFormatting>
  <conditionalFormatting sqref="P884:P900">
    <cfRule type="containsText" dxfId="2" priority="9641" operator="containsText" text="Yes">
      <formula>NOT(ISERROR(SEARCH(("Yes"),(P884))))</formula>
    </cfRule>
  </conditionalFormatting>
  <conditionalFormatting sqref="P884:P900">
    <cfRule type="containsText" dxfId="9" priority="9642" operator="containsText" text="No">
      <formula>NOT(ISERROR(SEARCH(("No"),(P884))))</formula>
    </cfRule>
  </conditionalFormatting>
  <conditionalFormatting sqref="P884:P900">
    <cfRule type="containsText" dxfId="2" priority="9643" operator="containsText" text="Yes">
      <formula>NOT(ISERROR(SEARCH(("Yes"),(P884))))</formula>
    </cfRule>
  </conditionalFormatting>
  <conditionalFormatting sqref="P884:P900">
    <cfRule type="containsText" dxfId="9" priority="9644" operator="containsText" text="No">
      <formula>NOT(ISERROR(SEARCH(("No"),(P884))))</formula>
    </cfRule>
  </conditionalFormatting>
  <conditionalFormatting sqref="P884:P900">
    <cfRule type="containsText" dxfId="2" priority="9645" operator="containsText" text="Yes">
      <formula>NOT(ISERROR(SEARCH(("Yes"),(P884))))</formula>
    </cfRule>
  </conditionalFormatting>
  <conditionalFormatting sqref="P884:P900">
    <cfRule type="containsText" dxfId="9" priority="9646" operator="containsText" text="No">
      <formula>NOT(ISERROR(SEARCH(("No"),(P884))))</formula>
    </cfRule>
  </conditionalFormatting>
  <conditionalFormatting sqref="P884:P900">
    <cfRule type="containsText" dxfId="2" priority="9647" operator="containsText" text="Yes">
      <formula>NOT(ISERROR(SEARCH(("Yes"),(P884))))</formula>
    </cfRule>
  </conditionalFormatting>
  <conditionalFormatting sqref="P884:P900">
    <cfRule type="containsText" dxfId="9" priority="9648" operator="containsText" text="No">
      <formula>NOT(ISERROR(SEARCH(("No"),(P884))))</formula>
    </cfRule>
  </conditionalFormatting>
  <conditionalFormatting sqref="P884:P900">
    <cfRule type="containsText" dxfId="2" priority="9649" operator="containsText" text="Yes">
      <formula>NOT(ISERROR(SEARCH(("Yes"),(P884))))</formula>
    </cfRule>
  </conditionalFormatting>
  <conditionalFormatting sqref="P884:P900">
    <cfRule type="containsText" dxfId="9" priority="9650" operator="containsText" text="No">
      <formula>NOT(ISERROR(SEARCH(("No"),(P884))))</formula>
    </cfRule>
  </conditionalFormatting>
  <conditionalFormatting sqref="P884:P900">
    <cfRule type="containsText" dxfId="2" priority="9651" operator="containsText" text="Yes">
      <formula>NOT(ISERROR(SEARCH(("Yes"),(P884))))</formula>
    </cfRule>
  </conditionalFormatting>
  <conditionalFormatting sqref="P884:P900">
    <cfRule type="containsText" dxfId="9" priority="9652" operator="containsText" text="No">
      <formula>NOT(ISERROR(SEARCH(("No"),(P884))))</formula>
    </cfRule>
  </conditionalFormatting>
  <conditionalFormatting sqref="P884:P900">
    <cfRule type="containsText" dxfId="2" priority="9653" operator="containsText" text="Yes">
      <formula>NOT(ISERROR(SEARCH(("Yes"),(P884))))</formula>
    </cfRule>
  </conditionalFormatting>
  <conditionalFormatting sqref="P884:P900">
    <cfRule type="containsText" dxfId="9" priority="9654" operator="containsText" text="No">
      <formula>NOT(ISERROR(SEARCH(("No"),(P884))))</formula>
    </cfRule>
  </conditionalFormatting>
  <conditionalFormatting sqref="P884:P900">
    <cfRule type="containsText" dxfId="2" priority="9655" operator="containsText" text="Yes">
      <formula>NOT(ISERROR(SEARCH(("Yes"),(P884))))</formula>
    </cfRule>
  </conditionalFormatting>
  <conditionalFormatting sqref="P884:P900">
    <cfRule type="containsText" dxfId="9" priority="9656" operator="containsText" text="No">
      <formula>NOT(ISERROR(SEARCH(("No"),(P884))))</formula>
    </cfRule>
  </conditionalFormatting>
  <conditionalFormatting sqref="P884:P900">
    <cfRule type="containsText" dxfId="2" priority="9657" operator="containsText" text="Yes">
      <formula>NOT(ISERROR(SEARCH(("Yes"),(P884))))</formula>
    </cfRule>
  </conditionalFormatting>
  <conditionalFormatting sqref="P884:P900">
    <cfRule type="containsText" dxfId="9" priority="9658" operator="containsText" text="No">
      <formula>NOT(ISERROR(SEARCH(("No"),(P884))))</formula>
    </cfRule>
  </conditionalFormatting>
  <conditionalFormatting sqref="P884:P900">
    <cfRule type="containsText" dxfId="2" priority="9659" operator="containsText" text="Yes">
      <formula>NOT(ISERROR(SEARCH(("Yes"),(P884))))</formula>
    </cfRule>
  </conditionalFormatting>
  <conditionalFormatting sqref="P884:P900">
    <cfRule type="containsText" dxfId="9" priority="9660" operator="containsText" text="No">
      <formula>NOT(ISERROR(SEARCH(("No"),(P884))))</formula>
    </cfRule>
  </conditionalFormatting>
  <conditionalFormatting sqref="P884:P900">
    <cfRule type="containsText" dxfId="2" priority="9661" operator="containsText" text="Yes">
      <formula>NOT(ISERROR(SEARCH(("Yes"),(P884))))</formula>
    </cfRule>
  </conditionalFormatting>
  <conditionalFormatting sqref="P884:P900">
    <cfRule type="containsText" dxfId="9" priority="9662" operator="containsText" text="No">
      <formula>NOT(ISERROR(SEARCH(("No"),(P884))))</formula>
    </cfRule>
  </conditionalFormatting>
  <conditionalFormatting sqref="P884:P900">
    <cfRule type="containsText" dxfId="2" priority="9663" operator="containsText" text="Yes">
      <formula>NOT(ISERROR(SEARCH(("Yes"),(P884))))</formula>
    </cfRule>
  </conditionalFormatting>
  <conditionalFormatting sqref="P884:P900">
    <cfRule type="containsText" dxfId="9" priority="9664" operator="containsText" text="No">
      <formula>NOT(ISERROR(SEARCH(("No"),(P884))))</formula>
    </cfRule>
  </conditionalFormatting>
  <conditionalFormatting sqref="P884:P900">
    <cfRule type="containsText" dxfId="2" priority="9665" operator="containsText" text="Yes">
      <formula>NOT(ISERROR(SEARCH(("Yes"),(P884))))</formula>
    </cfRule>
  </conditionalFormatting>
  <conditionalFormatting sqref="P884:P900">
    <cfRule type="containsText" dxfId="9" priority="9666" operator="containsText" text="No">
      <formula>NOT(ISERROR(SEARCH(("No"),(P884))))</formula>
    </cfRule>
  </conditionalFormatting>
  <conditionalFormatting sqref="P884:P900">
    <cfRule type="containsText" dxfId="2" priority="9667" operator="containsText" text="Yes">
      <formula>NOT(ISERROR(SEARCH(("Yes"),(P884))))</formula>
    </cfRule>
  </conditionalFormatting>
  <conditionalFormatting sqref="P884:P900">
    <cfRule type="containsText" dxfId="9" priority="9668" operator="containsText" text="No">
      <formula>NOT(ISERROR(SEARCH(("No"),(P884))))</formula>
    </cfRule>
  </conditionalFormatting>
  <conditionalFormatting sqref="P884:P900">
    <cfRule type="containsText" dxfId="2" priority="9669" operator="containsText" text="Yes">
      <formula>NOT(ISERROR(SEARCH(("Yes"),(P884))))</formula>
    </cfRule>
  </conditionalFormatting>
  <conditionalFormatting sqref="P884:P900">
    <cfRule type="containsText" dxfId="9" priority="9670" operator="containsText" text="No">
      <formula>NOT(ISERROR(SEARCH(("No"),(P884))))</formula>
    </cfRule>
  </conditionalFormatting>
  <conditionalFormatting sqref="P884:P900">
    <cfRule type="containsText" dxfId="2" priority="9671" operator="containsText" text="Yes">
      <formula>NOT(ISERROR(SEARCH(("Yes"),(P884))))</formula>
    </cfRule>
  </conditionalFormatting>
  <conditionalFormatting sqref="P884:P900">
    <cfRule type="containsText" dxfId="9" priority="9672" operator="containsText" text="No">
      <formula>NOT(ISERROR(SEARCH(("No"),(P884))))</formula>
    </cfRule>
  </conditionalFormatting>
  <conditionalFormatting sqref="P884:P900">
    <cfRule type="containsText" dxfId="2" priority="9673" operator="containsText" text="Yes">
      <formula>NOT(ISERROR(SEARCH(("Yes"),(P884))))</formula>
    </cfRule>
  </conditionalFormatting>
  <conditionalFormatting sqref="P884:P900">
    <cfRule type="containsText" dxfId="9" priority="9674" operator="containsText" text="No">
      <formula>NOT(ISERROR(SEARCH(("No"),(P884))))</formula>
    </cfRule>
  </conditionalFormatting>
  <conditionalFormatting sqref="P884:P900">
    <cfRule type="containsText" dxfId="2" priority="9675" operator="containsText" text="Yes">
      <formula>NOT(ISERROR(SEARCH(("Yes"),(P884))))</formula>
    </cfRule>
  </conditionalFormatting>
  <conditionalFormatting sqref="P884:P900">
    <cfRule type="containsText" dxfId="9" priority="9676" operator="containsText" text="No">
      <formula>NOT(ISERROR(SEARCH(("No"),(P884))))</formula>
    </cfRule>
  </conditionalFormatting>
  <conditionalFormatting sqref="P884:P900">
    <cfRule type="containsText" dxfId="2" priority="9677" operator="containsText" text="Yes">
      <formula>NOT(ISERROR(SEARCH(("Yes"),(P884))))</formula>
    </cfRule>
  </conditionalFormatting>
  <conditionalFormatting sqref="P884:P900">
    <cfRule type="containsText" dxfId="9" priority="9678" operator="containsText" text="No">
      <formula>NOT(ISERROR(SEARCH(("No"),(P884))))</formula>
    </cfRule>
  </conditionalFormatting>
  <conditionalFormatting sqref="P884:P900">
    <cfRule type="containsText" dxfId="2" priority="9679" operator="containsText" text="Yes">
      <formula>NOT(ISERROR(SEARCH(("Yes"),(P884))))</formula>
    </cfRule>
  </conditionalFormatting>
  <conditionalFormatting sqref="P884:P900">
    <cfRule type="containsText" dxfId="9" priority="9680" operator="containsText" text="No">
      <formula>NOT(ISERROR(SEARCH(("No"),(P884))))</formula>
    </cfRule>
  </conditionalFormatting>
  <conditionalFormatting sqref="P884:P900">
    <cfRule type="containsText" dxfId="2" priority="9681" operator="containsText" text="Yes">
      <formula>NOT(ISERROR(SEARCH(("Yes"),(P884))))</formula>
    </cfRule>
  </conditionalFormatting>
  <conditionalFormatting sqref="P884:P900">
    <cfRule type="containsText" dxfId="9" priority="9682" operator="containsText" text="No">
      <formula>NOT(ISERROR(SEARCH(("No"),(P884))))</formula>
    </cfRule>
  </conditionalFormatting>
  <conditionalFormatting sqref="P884:P900">
    <cfRule type="containsText" dxfId="2" priority="9683" operator="containsText" text="Yes">
      <formula>NOT(ISERROR(SEARCH(("Yes"),(P884))))</formula>
    </cfRule>
  </conditionalFormatting>
  <conditionalFormatting sqref="P884:P900">
    <cfRule type="containsText" dxfId="9" priority="9684" operator="containsText" text="No">
      <formula>NOT(ISERROR(SEARCH(("No"),(P884))))</formula>
    </cfRule>
  </conditionalFormatting>
  <conditionalFormatting sqref="P884:P900">
    <cfRule type="containsText" dxfId="2" priority="9685" operator="containsText" text="Yes">
      <formula>NOT(ISERROR(SEARCH(("Yes"),(P884))))</formula>
    </cfRule>
  </conditionalFormatting>
  <conditionalFormatting sqref="P884:P900">
    <cfRule type="containsText" dxfId="9" priority="9686" operator="containsText" text="No">
      <formula>NOT(ISERROR(SEARCH(("No"),(P884))))</formula>
    </cfRule>
  </conditionalFormatting>
  <conditionalFormatting sqref="P884:P900">
    <cfRule type="containsText" dxfId="2" priority="9687" operator="containsText" text="Yes">
      <formula>NOT(ISERROR(SEARCH(("Yes"),(P884))))</formula>
    </cfRule>
  </conditionalFormatting>
  <conditionalFormatting sqref="P884:P900">
    <cfRule type="containsText" dxfId="9" priority="9688" operator="containsText" text="No">
      <formula>NOT(ISERROR(SEARCH(("No"),(P884))))</formula>
    </cfRule>
  </conditionalFormatting>
  <conditionalFormatting sqref="P884:P900">
    <cfRule type="containsText" dxfId="2" priority="9689" operator="containsText" text="Yes">
      <formula>NOT(ISERROR(SEARCH(("Yes"),(P884))))</formula>
    </cfRule>
  </conditionalFormatting>
  <conditionalFormatting sqref="P884:P900">
    <cfRule type="containsText" dxfId="9" priority="9690" operator="containsText" text="No">
      <formula>NOT(ISERROR(SEARCH(("No"),(P884))))</formula>
    </cfRule>
  </conditionalFormatting>
  <conditionalFormatting sqref="P884:P900">
    <cfRule type="containsText" dxfId="2" priority="9691" operator="containsText" text="Yes">
      <formula>NOT(ISERROR(SEARCH(("Yes"),(P884))))</formula>
    </cfRule>
  </conditionalFormatting>
  <conditionalFormatting sqref="P884:P900">
    <cfRule type="containsText" dxfId="9" priority="9692" operator="containsText" text="No">
      <formula>NOT(ISERROR(SEARCH(("No"),(P884))))</formula>
    </cfRule>
  </conditionalFormatting>
  <conditionalFormatting sqref="P884:P900">
    <cfRule type="containsText" dxfId="2" priority="9693" operator="containsText" text="Yes">
      <formula>NOT(ISERROR(SEARCH(("Yes"),(P884))))</formula>
    </cfRule>
  </conditionalFormatting>
  <conditionalFormatting sqref="P884:P900">
    <cfRule type="containsText" dxfId="9" priority="9694" operator="containsText" text="No">
      <formula>NOT(ISERROR(SEARCH(("No"),(P884))))</formula>
    </cfRule>
  </conditionalFormatting>
  <conditionalFormatting sqref="P884:P900">
    <cfRule type="containsText" dxfId="2" priority="9695" operator="containsText" text="Yes">
      <formula>NOT(ISERROR(SEARCH(("Yes"),(P884))))</formula>
    </cfRule>
  </conditionalFormatting>
  <conditionalFormatting sqref="P884:P900">
    <cfRule type="containsText" dxfId="2" priority="9696" operator="containsText" text="Yes">
      <formula>NOT(ISERROR(SEARCH(("Yes"),(P884))))</formula>
    </cfRule>
  </conditionalFormatting>
  <conditionalFormatting sqref="P884:P900">
    <cfRule type="containsText" dxfId="9" priority="9697" operator="containsText" text="No">
      <formula>NOT(ISERROR(SEARCH(("No"),(P884))))</formula>
    </cfRule>
  </conditionalFormatting>
  <conditionalFormatting sqref="P884:P900">
    <cfRule type="containsText" dxfId="2" priority="9698" operator="containsText" text="Yes">
      <formula>NOT(ISERROR(SEARCH(("Yes"),(P884))))</formula>
    </cfRule>
  </conditionalFormatting>
  <conditionalFormatting sqref="P902:P903">
    <cfRule type="containsText" dxfId="2" priority="9699" operator="containsText" text="Yes">
      <formula>NOT(ISERROR(SEARCH(("Yes"),(P902))))</formula>
    </cfRule>
  </conditionalFormatting>
  <conditionalFormatting sqref="P902:P903">
    <cfRule type="containsText" dxfId="9" priority="9700" operator="containsText" text="No">
      <formula>NOT(ISERROR(SEARCH(("No"),(P902))))</formula>
    </cfRule>
  </conditionalFormatting>
  <conditionalFormatting sqref="P902:P903">
    <cfRule type="containsText" dxfId="2" priority="9701" operator="containsText" text="Yes">
      <formula>NOT(ISERROR(SEARCH(("Yes"),(P902))))</formula>
    </cfRule>
  </conditionalFormatting>
  <conditionalFormatting sqref="P902:P903">
    <cfRule type="containsText" dxfId="9" priority="9702" operator="containsText" text="No">
      <formula>NOT(ISERROR(SEARCH(("No"),(P902))))</formula>
    </cfRule>
  </conditionalFormatting>
  <conditionalFormatting sqref="P902:P903">
    <cfRule type="containsText" dxfId="2" priority="9703" operator="containsText" text="Yes">
      <formula>NOT(ISERROR(SEARCH(("Yes"),(P902))))</formula>
    </cfRule>
  </conditionalFormatting>
  <conditionalFormatting sqref="P902:P903">
    <cfRule type="containsText" dxfId="9" priority="9704" operator="containsText" text="No">
      <formula>NOT(ISERROR(SEARCH(("No"),(P902))))</formula>
    </cfRule>
  </conditionalFormatting>
  <conditionalFormatting sqref="P902:P903">
    <cfRule type="containsText" dxfId="2" priority="9705" operator="containsText" text="Yes">
      <formula>NOT(ISERROR(SEARCH(("Yes"),(P902))))</formula>
    </cfRule>
  </conditionalFormatting>
  <conditionalFormatting sqref="P902:P903">
    <cfRule type="containsText" dxfId="9" priority="9706" operator="containsText" text="No">
      <formula>NOT(ISERROR(SEARCH(("No"),(P902))))</formula>
    </cfRule>
  </conditionalFormatting>
  <conditionalFormatting sqref="P902:P903">
    <cfRule type="containsText" dxfId="2" priority="9707" operator="containsText" text="Yes">
      <formula>NOT(ISERROR(SEARCH(("Yes"),(P902))))</formula>
    </cfRule>
  </conditionalFormatting>
  <conditionalFormatting sqref="P902:P903">
    <cfRule type="containsText" dxfId="9" priority="9708" operator="containsText" text="No">
      <formula>NOT(ISERROR(SEARCH(("No"),(P902))))</formula>
    </cfRule>
  </conditionalFormatting>
  <conditionalFormatting sqref="P902:P903">
    <cfRule type="containsText" dxfId="2" priority="9709" operator="containsText" text="Yes">
      <formula>NOT(ISERROR(SEARCH(("Yes"),(P902))))</formula>
    </cfRule>
  </conditionalFormatting>
  <conditionalFormatting sqref="P902:P903">
    <cfRule type="containsText" dxfId="9" priority="9710" operator="containsText" text="No">
      <formula>NOT(ISERROR(SEARCH(("No"),(P902))))</formula>
    </cfRule>
  </conditionalFormatting>
  <conditionalFormatting sqref="P902:P903">
    <cfRule type="containsText" dxfId="2" priority="9711" operator="containsText" text="Yes">
      <formula>NOT(ISERROR(SEARCH(("Yes"),(P902))))</formula>
    </cfRule>
  </conditionalFormatting>
  <conditionalFormatting sqref="P902:P903">
    <cfRule type="containsText" dxfId="9" priority="9712" operator="containsText" text="No">
      <formula>NOT(ISERROR(SEARCH(("No"),(P902))))</formula>
    </cfRule>
  </conditionalFormatting>
  <conditionalFormatting sqref="P902:P903">
    <cfRule type="containsText" dxfId="2" priority="9713" operator="containsText" text="Yes">
      <formula>NOT(ISERROR(SEARCH(("Yes"),(P902))))</formula>
    </cfRule>
  </conditionalFormatting>
  <conditionalFormatting sqref="P902:P903">
    <cfRule type="containsText" dxfId="9" priority="9714" operator="containsText" text="No">
      <formula>NOT(ISERROR(SEARCH(("No"),(P902))))</formula>
    </cfRule>
  </conditionalFormatting>
  <conditionalFormatting sqref="P902:P903">
    <cfRule type="containsText" dxfId="2" priority="9715" operator="containsText" text="Yes">
      <formula>NOT(ISERROR(SEARCH(("Yes"),(P902))))</formula>
    </cfRule>
  </conditionalFormatting>
  <conditionalFormatting sqref="P902:P903">
    <cfRule type="containsText" dxfId="9" priority="9716" operator="containsText" text="No">
      <formula>NOT(ISERROR(SEARCH(("No"),(P902))))</formula>
    </cfRule>
  </conditionalFormatting>
  <conditionalFormatting sqref="P902:P903">
    <cfRule type="containsText" dxfId="2" priority="9717" operator="containsText" text="Yes">
      <formula>NOT(ISERROR(SEARCH(("Yes"),(P902))))</formula>
    </cfRule>
  </conditionalFormatting>
  <conditionalFormatting sqref="P902:P903">
    <cfRule type="containsText" dxfId="9" priority="9718" operator="containsText" text="No">
      <formula>NOT(ISERROR(SEARCH(("No"),(P902))))</formula>
    </cfRule>
  </conditionalFormatting>
  <conditionalFormatting sqref="P902:P903">
    <cfRule type="containsText" dxfId="2" priority="9719" operator="containsText" text="Yes">
      <formula>NOT(ISERROR(SEARCH(("Yes"),(P902))))</formula>
    </cfRule>
  </conditionalFormatting>
  <conditionalFormatting sqref="P902:P903">
    <cfRule type="containsText" dxfId="9" priority="9720" operator="containsText" text="No">
      <formula>NOT(ISERROR(SEARCH(("No"),(P902))))</formula>
    </cfRule>
  </conditionalFormatting>
  <conditionalFormatting sqref="P902:P903">
    <cfRule type="containsText" dxfId="2" priority="9721" operator="containsText" text="Yes">
      <formula>NOT(ISERROR(SEARCH(("Yes"),(P902))))</formula>
    </cfRule>
  </conditionalFormatting>
  <conditionalFormatting sqref="P902:P903">
    <cfRule type="containsText" dxfId="9" priority="9722" operator="containsText" text="No">
      <formula>NOT(ISERROR(SEARCH(("No"),(P902))))</formula>
    </cfRule>
  </conditionalFormatting>
  <conditionalFormatting sqref="P902:P903">
    <cfRule type="containsText" dxfId="2" priority="9723" operator="containsText" text="Yes">
      <formula>NOT(ISERROR(SEARCH(("Yes"),(P902))))</formula>
    </cfRule>
  </conditionalFormatting>
  <conditionalFormatting sqref="P902:P903">
    <cfRule type="containsText" dxfId="9" priority="9724" operator="containsText" text="No">
      <formula>NOT(ISERROR(SEARCH(("No"),(P902))))</formula>
    </cfRule>
  </conditionalFormatting>
  <conditionalFormatting sqref="P902:P903">
    <cfRule type="containsText" dxfId="2" priority="9725" operator="containsText" text="Yes">
      <formula>NOT(ISERROR(SEARCH(("Yes"),(P902))))</formula>
    </cfRule>
  </conditionalFormatting>
  <conditionalFormatting sqref="P902:P903">
    <cfRule type="containsText" dxfId="9" priority="9726" operator="containsText" text="No">
      <formula>NOT(ISERROR(SEARCH(("No"),(P902))))</formula>
    </cfRule>
  </conditionalFormatting>
  <conditionalFormatting sqref="P902:P903">
    <cfRule type="containsText" dxfId="2" priority="9727" operator="containsText" text="Yes">
      <formula>NOT(ISERROR(SEARCH(("Yes"),(P902))))</formula>
    </cfRule>
  </conditionalFormatting>
  <conditionalFormatting sqref="P902:P903">
    <cfRule type="containsText" dxfId="9" priority="9728" operator="containsText" text="No">
      <formula>NOT(ISERROR(SEARCH(("No"),(P902))))</formula>
    </cfRule>
  </conditionalFormatting>
  <conditionalFormatting sqref="P902:P903">
    <cfRule type="containsText" dxfId="2" priority="9729" operator="containsText" text="Yes">
      <formula>NOT(ISERROR(SEARCH(("Yes"),(P902))))</formula>
    </cfRule>
  </conditionalFormatting>
  <conditionalFormatting sqref="P902:P903">
    <cfRule type="containsText" dxfId="9" priority="9730" operator="containsText" text="No">
      <formula>NOT(ISERROR(SEARCH(("No"),(P902))))</formula>
    </cfRule>
  </conditionalFormatting>
  <conditionalFormatting sqref="P902:P903">
    <cfRule type="containsText" dxfId="2" priority="9731" operator="containsText" text="Yes">
      <formula>NOT(ISERROR(SEARCH(("Yes"),(P902))))</formula>
    </cfRule>
  </conditionalFormatting>
  <conditionalFormatting sqref="P902:P903">
    <cfRule type="containsText" dxfId="9" priority="9732" operator="containsText" text="No">
      <formula>NOT(ISERROR(SEARCH(("No"),(P902))))</formula>
    </cfRule>
  </conditionalFormatting>
  <conditionalFormatting sqref="P902:P903">
    <cfRule type="containsText" dxfId="2" priority="9733" operator="containsText" text="Yes">
      <formula>NOT(ISERROR(SEARCH(("Yes"),(P902))))</formula>
    </cfRule>
  </conditionalFormatting>
  <conditionalFormatting sqref="P902:P903">
    <cfRule type="containsText" dxfId="9" priority="9734" operator="containsText" text="No">
      <formula>NOT(ISERROR(SEARCH(("No"),(P902))))</formula>
    </cfRule>
  </conditionalFormatting>
  <conditionalFormatting sqref="P902:P903">
    <cfRule type="containsText" dxfId="2" priority="9735" operator="containsText" text="Yes">
      <formula>NOT(ISERROR(SEARCH(("Yes"),(P902))))</formula>
    </cfRule>
  </conditionalFormatting>
  <conditionalFormatting sqref="P902:P903">
    <cfRule type="containsText" dxfId="9" priority="9736" operator="containsText" text="No">
      <formula>NOT(ISERROR(SEARCH(("No"),(P902))))</formula>
    </cfRule>
  </conditionalFormatting>
  <conditionalFormatting sqref="P902:P903">
    <cfRule type="containsText" dxfId="2" priority="9737" operator="containsText" text="Yes">
      <formula>NOT(ISERROR(SEARCH(("Yes"),(P902))))</formula>
    </cfRule>
  </conditionalFormatting>
  <conditionalFormatting sqref="P902:P903">
    <cfRule type="containsText" dxfId="9" priority="9738" operator="containsText" text="No">
      <formula>NOT(ISERROR(SEARCH(("No"),(P902))))</formula>
    </cfRule>
  </conditionalFormatting>
  <conditionalFormatting sqref="P902:P903">
    <cfRule type="containsText" dxfId="2" priority="9739" operator="containsText" text="Yes">
      <formula>NOT(ISERROR(SEARCH(("Yes"),(P902))))</formula>
    </cfRule>
  </conditionalFormatting>
  <conditionalFormatting sqref="P902:P903">
    <cfRule type="containsText" dxfId="9" priority="9740" operator="containsText" text="No">
      <formula>NOT(ISERROR(SEARCH(("No"),(P902))))</formula>
    </cfRule>
  </conditionalFormatting>
  <conditionalFormatting sqref="P902:P903">
    <cfRule type="containsText" dxfId="2" priority="9741" operator="containsText" text="Yes">
      <formula>NOT(ISERROR(SEARCH(("Yes"),(P902))))</formula>
    </cfRule>
  </conditionalFormatting>
  <conditionalFormatting sqref="P902:P903">
    <cfRule type="containsText" dxfId="9" priority="9742" operator="containsText" text="No">
      <formula>NOT(ISERROR(SEARCH(("No"),(P902))))</formula>
    </cfRule>
  </conditionalFormatting>
  <conditionalFormatting sqref="P902:P903">
    <cfRule type="containsText" dxfId="2" priority="9743" operator="containsText" text="Yes">
      <formula>NOT(ISERROR(SEARCH(("Yes"),(P902))))</formula>
    </cfRule>
  </conditionalFormatting>
  <conditionalFormatting sqref="P902:P903">
    <cfRule type="containsText" dxfId="9" priority="9744" operator="containsText" text="No">
      <formula>NOT(ISERROR(SEARCH(("No"),(P902))))</formula>
    </cfRule>
  </conditionalFormatting>
  <conditionalFormatting sqref="P902:P903">
    <cfRule type="containsText" dxfId="2" priority="9745" operator="containsText" text="Yes">
      <formula>NOT(ISERROR(SEARCH(("Yes"),(P902))))</formula>
    </cfRule>
  </conditionalFormatting>
  <conditionalFormatting sqref="P902:P903">
    <cfRule type="containsText" dxfId="9" priority="9746" operator="containsText" text="No">
      <formula>NOT(ISERROR(SEARCH(("No"),(P902))))</formula>
    </cfRule>
  </conditionalFormatting>
  <conditionalFormatting sqref="P902:P903">
    <cfRule type="containsText" dxfId="2" priority="9747" operator="containsText" text="Yes">
      <formula>NOT(ISERROR(SEARCH(("Yes"),(P902))))</formula>
    </cfRule>
  </conditionalFormatting>
  <conditionalFormatting sqref="P902:P903">
    <cfRule type="containsText" dxfId="9" priority="9748" operator="containsText" text="No">
      <formula>NOT(ISERROR(SEARCH(("No"),(P902))))</formula>
    </cfRule>
  </conditionalFormatting>
  <conditionalFormatting sqref="P902:P903">
    <cfRule type="containsText" dxfId="2" priority="9749" operator="containsText" text="Yes">
      <formula>NOT(ISERROR(SEARCH(("Yes"),(P902))))</formula>
    </cfRule>
  </conditionalFormatting>
  <conditionalFormatting sqref="P902:P903">
    <cfRule type="containsText" dxfId="9" priority="9750" operator="containsText" text="No">
      <formula>NOT(ISERROR(SEARCH(("No"),(P902))))</formula>
    </cfRule>
  </conditionalFormatting>
  <conditionalFormatting sqref="P902:P903">
    <cfRule type="containsText" dxfId="2" priority="9751" operator="containsText" text="Yes">
      <formula>NOT(ISERROR(SEARCH(("Yes"),(P902))))</formula>
    </cfRule>
  </conditionalFormatting>
  <conditionalFormatting sqref="P902:P903">
    <cfRule type="containsText" dxfId="9" priority="9752" operator="containsText" text="No">
      <formula>NOT(ISERROR(SEARCH(("No"),(P902))))</formula>
    </cfRule>
  </conditionalFormatting>
  <conditionalFormatting sqref="P902:P903">
    <cfRule type="containsText" dxfId="2" priority="9753" operator="containsText" text="Yes">
      <formula>NOT(ISERROR(SEARCH(("Yes"),(P902))))</formula>
    </cfRule>
  </conditionalFormatting>
  <conditionalFormatting sqref="P902:P903">
    <cfRule type="containsText" dxfId="9" priority="9754" operator="containsText" text="No">
      <formula>NOT(ISERROR(SEARCH(("No"),(P902))))</formula>
    </cfRule>
  </conditionalFormatting>
  <conditionalFormatting sqref="P902:P903">
    <cfRule type="containsText" dxfId="2" priority="9755" operator="containsText" text="Yes">
      <formula>NOT(ISERROR(SEARCH(("Yes"),(P902))))</formula>
    </cfRule>
  </conditionalFormatting>
  <conditionalFormatting sqref="P902:P903">
    <cfRule type="containsText" dxfId="9" priority="9756" operator="containsText" text="No">
      <formula>NOT(ISERROR(SEARCH(("No"),(P902))))</formula>
    </cfRule>
  </conditionalFormatting>
  <conditionalFormatting sqref="P902:P903">
    <cfRule type="containsText" dxfId="2" priority="9757" operator="containsText" text="Yes">
      <formula>NOT(ISERROR(SEARCH(("Yes"),(P902))))</formula>
    </cfRule>
  </conditionalFormatting>
  <conditionalFormatting sqref="P902:P903">
    <cfRule type="containsText" dxfId="9" priority="9758" operator="containsText" text="No">
      <formula>NOT(ISERROR(SEARCH(("No"),(P902))))</formula>
    </cfRule>
  </conditionalFormatting>
  <conditionalFormatting sqref="P902:P903">
    <cfRule type="containsText" dxfId="2" priority="9759" operator="containsText" text="Yes">
      <formula>NOT(ISERROR(SEARCH(("Yes"),(P902))))</formula>
    </cfRule>
  </conditionalFormatting>
  <conditionalFormatting sqref="P902:P903">
    <cfRule type="containsText" dxfId="9" priority="9760" operator="containsText" text="No">
      <formula>NOT(ISERROR(SEARCH(("No"),(P902))))</formula>
    </cfRule>
  </conditionalFormatting>
  <conditionalFormatting sqref="P902:P903">
    <cfRule type="containsText" dxfId="2" priority="9761" operator="containsText" text="Yes">
      <formula>NOT(ISERROR(SEARCH(("Yes"),(P902))))</formula>
    </cfRule>
  </conditionalFormatting>
  <conditionalFormatting sqref="P902:P903">
    <cfRule type="containsText" dxfId="9" priority="9762" operator="containsText" text="No">
      <formula>NOT(ISERROR(SEARCH(("No"),(P902))))</formula>
    </cfRule>
  </conditionalFormatting>
  <conditionalFormatting sqref="P902:P903">
    <cfRule type="containsText" dxfId="2" priority="9763" operator="containsText" text="Yes">
      <formula>NOT(ISERROR(SEARCH(("Yes"),(P902))))</formula>
    </cfRule>
  </conditionalFormatting>
  <conditionalFormatting sqref="P902:P903">
    <cfRule type="containsText" dxfId="9" priority="9764" operator="containsText" text="No">
      <formula>NOT(ISERROR(SEARCH(("No"),(P902))))</formula>
    </cfRule>
  </conditionalFormatting>
  <conditionalFormatting sqref="P902:P903">
    <cfRule type="containsText" dxfId="2" priority="9765" operator="containsText" text="Yes">
      <formula>NOT(ISERROR(SEARCH(("Yes"),(P902))))</formula>
    </cfRule>
  </conditionalFormatting>
  <conditionalFormatting sqref="P902:P903">
    <cfRule type="containsText" dxfId="9" priority="9766" operator="containsText" text="No">
      <formula>NOT(ISERROR(SEARCH(("No"),(P902))))</formula>
    </cfRule>
  </conditionalFormatting>
  <conditionalFormatting sqref="P902:P903">
    <cfRule type="containsText" dxfId="2" priority="9767" operator="containsText" text="Yes">
      <formula>NOT(ISERROR(SEARCH(("Yes"),(P902))))</formula>
    </cfRule>
  </conditionalFormatting>
  <conditionalFormatting sqref="P902:P903">
    <cfRule type="containsText" dxfId="9" priority="9768" operator="containsText" text="No">
      <formula>NOT(ISERROR(SEARCH(("No"),(P902))))</formula>
    </cfRule>
  </conditionalFormatting>
  <conditionalFormatting sqref="P902:P903">
    <cfRule type="containsText" dxfId="2" priority="9769" operator="containsText" text="Yes">
      <formula>NOT(ISERROR(SEARCH(("Yes"),(P902))))</formula>
    </cfRule>
  </conditionalFormatting>
  <conditionalFormatting sqref="P902:P903">
    <cfRule type="containsText" dxfId="9" priority="9770" operator="containsText" text="No">
      <formula>NOT(ISERROR(SEARCH(("No"),(P902))))</formula>
    </cfRule>
  </conditionalFormatting>
  <conditionalFormatting sqref="P902:P903">
    <cfRule type="containsText" dxfId="2" priority="9771" operator="containsText" text="Yes">
      <formula>NOT(ISERROR(SEARCH(("Yes"),(P902))))</formula>
    </cfRule>
  </conditionalFormatting>
  <conditionalFormatting sqref="P902:P903">
    <cfRule type="containsText" dxfId="9" priority="9772" operator="containsText" text="No">
      <formula>NOT(ISERROR(SEARCH(("No"),(P902))))</formula>
    </cfRule>
  </conditionalFormatting>
  <conditionalFormatting sqref="P902:P903">
    <cfRule type="containsText" dxfId="2" priority="9773" operator="containsText" text="Yes">
      <formula>NOT(ISERROR(SEARCH(("Yes"),(P902))))</formula>
    </cfRule>
  </conditionalFormatting>
  <conditionalFormatting sqref="P902:P903">
    <cfRule type="containsText" dxfId="9" priority="9774" operator="containsText" text="No">
      <formula>NOT(ISERROR(SEARCH(("No"),(P902))))</formula>
    </cfRule>
  </conditionalFormatting>
  <conditionalFormatting sqref="P902:P903">
    <cfRule type="containsText" dxfId="2" priority="9775" operator="containsText" text="Yes">
      <formula>NOT(ISERROR(SEARCH(("Yes"),(P902))))</formula>
    </cfRule>
  </conditionalFormatting>
  <conditionalFormatting sqref="P902:P903">
    <cfRule type="containsText" dxfId="9" priority="9776" operator="containsText" text="No">
      <formula>NOT(ISERROR(SEARCH(("No"),(P902))))</formula>
    </cfRule>
  </conditionalFormatting>
  <conditionalFormatting sqref="P902:P903">
    <cfRule type="containsText" dxfId="2" priority="9777" operator="containsText" text="Yes">
      <formula>NOT(ISERROR(SEARCH(("Yes"),(P902))))</formula>
    </cfRule>
  </conditionalFormatting>
  <conditionalFormatting sqref="P902:P903">
    <cfRule type="containsText" dxfId="9" priority="9778" operator="containsText" text="No">
      <formula>NOT(ISERROR(SEARCH(("No"),(P902))))</formula>
    </cfRule>
  </conditionalFormatting>
  <conditionalFormatting sqref="P902:P903">
    <cfRule type="containsText" dxfId="2" priority="9779" operator="containsText" text="Yes">
      <formula>NOT(ISERROR(SEARCH(("Yes"),(P902))))</formula>
    </cfRule>
  </conditionalFormatting>
  <conditionalFormatting sqref="P902:P903">
    <cfRule type="containsText" dxfId="9" priority="9780" operator="containsText" text="No">
      <formula>NOT(ISERROR(SEARCH(("No"),(P902))))</formula>
    </cfRule>
  </conditionalFormatting>
  <conditionalFormatting sqref="P902:P903">
    <cfRule type="containsText" dxfId="2" priority="9781" operator="containsText" text="Yes">
      <formula>NOT(ISERROR(SEARCH(("Yes"),(P902))))</formula>
    </cfRule>
  </conditionalFormatting>
  <conditionalFormatting sqref="P902:P903">
    <cfRule type="containsText" dxfId="9" priority="9782" operator="containsText" text="No">
      <formula>NOT(ISERROR(SEARCH(("No"),(P902))))</formula>
    </cfRule>
  </conditionalFormatting>
  <conditionalFormatting sqref="P902:P903">
    <cfRule type="containsText" dxfId="2" priority="9783" operator="containsText" text="Yes">
      <formula>NOT(ISERROR(SEARCH(("Yes"),(P902))))</formula>
    </cfRule>
  </conditionalFormatting>
  <conditionalFormatting sqref="P902:P903">
    <cfRule type="containsText" dxfId="9" priority="9784" operator="containsText" text="No">
      <formula>NOT(ISERROR(SEARCH(("No"),(P902))))</formula>
    </cfRule>
  </conditionalFormatting>
  <conditionalFormatting sqref="P902:P903">
    <cfRule type="containsText" dxfId="2" priority="9785" operator="containsText" text="Yes">
      <formula>NOT(ISERROR(SEARCH(("Yes"),(P902))))</formula>
    </cfRule>
  </conditionalFormatting>
  <conditionalFormatting sqref="P902:P903">
    <cfRule type="containsText" dxfId="9" priority="9786" operator="containsText" text="No">
      <formula>NOT(ISERROR(SEARCH(("No"),(P902))))</formula>
    </cfRule>
  </conditionalFormatting>
  <conditionalFormatting sqref="P902:P903">
    <cfRule type="containsText" dxfId="2" priority="9787" operator="containsText" text="Yes">
      <formula>NOT(ISERROR(SEARCH(("Yes"),(P902))))</formula>
    </cfRule>
  </conditionalFormatting>
  <conditionalFormatting sqref="P902:P903">
    <cfRule type="containsText" dxfId="2" priority="9788" operator="containsText" text="Yes">
      <formula>NOT(ISERROR(SEARCH(("Yes"),(P902))))</formula>
    </cfRule>
  </conditionalFormatting>
  <conditionalFormatting sqref="P902:P903">
    <cfRule type="containsText" dxfId="9" priority="9789" operator="containsText" text="No">
      <formula>NOT(ISERROR(SEARCH(("No"),(P902))))</formula>
    </cfRule>
  </conditionalFormatting>
  <conditionalFormatting sqref="P902:P903">
    <cfRule type="containsText" dxfId="2" priority="9790" operator="containsText" text="Yes">
      <formula>NOT(ISERROR(SEARCH(("Yes"),(P902))))</formula>
    </cfRule>
  </conditionalFormatting>
  <conditionalFormatting sqref="P905:P906">
    <cfRule type="containsText" dxfId="2" priority="9791" operator="containsText" text="Yes">
      <formula>NOT(ISERROR(SEARCH(("Yes"),(P905))))</formula>
    </cfRule>
  </conditionalFormatting>
  <conditionalFormatting sqref="P905:P906">
    <cfRule type="containsText" dxfId="9" priority="9792" operator="containsText" text="No">
      <formula>NOT(ISERROR(SEARCH(("No"),(P905))))</formula>
    </cfRule>
  </conditionalFormatting>
  <conditionalFormatting sqref="P905:P906">
    <cfRule type="containsText" dxfId="2" priority="9793" operator="containsText" text="Yes">
      <formula>NOT(ISERROR(SEARCH(("Yes"),(P905))))</formula>
    </cfRule>
  </conditionalFormatting>
  <conditionalFormatting sqref="P905:P906">
    <cfRule type="containsText" dxfId="9" priority="9794" operator="containsText" text="No">
      <formula>NOT(ISERROR(SEARCH(("No"),(P905))))</formula>
    </cfRule>
  </conditionalFormatting>
  <conditionalFormatting sqref="P905:P906">
    <cfRule type="containsText" dxfId="2" priority="9795" operator="containsText" text="Yes">
      <formula>NOT(ISERROR(SEARCH(("Yes"),(P905))))</formula>
    </cfRule>
  </conditionalFormatting>
  <conditionalFormatting sqref="P905:P906">
    <cfRule type="containsText" dxfId="9" priority="9796" operator="containsText" text="No">
      <formula>NOT(ISERROR(SEARCH(("No"),(P905))))</formula>
    </cfRule>
  </conditionalFormatting>
  <conditionalFormatting sqref="P905:P906">
    <cfRule type="containsText" dxfId="2" priority="9797" operator="containsText" text="Yes">
      <formula>NOT(ISERROR(SEARCH(("Yes"),(P905))))</formula>
    </cfRule>
  </conditionalFormatting>
  <conditionalFormatting sqref="P905:P906">
    <cfRule type="containsText" dxfId="9" priority="9798" operator="containsText" text="No">
      <formula>NOT(ISERROR(SEARCH(("No"),(P905))))</formula>
    </cfRule>
  </conditionalFormatting>
  <conditionalFormatting sqref="P905:P906">
    <cfRule type="containsText" dxfId="2" priority="9799" operator="containsText" text="Yes">
      <formula>NOT(ISERROR(SEARCH(("Yes"),(P905))))</formula>
    </cfRule>
  </conditionalFormatting>
  <conditionalFormatting sqref="P905:P906">
    <cfRule type="containsText" dxfId="9" priority="9800" operator="containsText" text="No">
      <formula>NOT(ISERROR(SEARCH(("No"),(P905))))</formula>
    </cfRule>
  </conditionalFormatting>
  <conditionalFormatting sqref="P905:P906">
    <cfRule type="containsText" dxfId="2" priority="9801" operator="containsText" text="Yes">
      <formula>NOT(ISERROR(SEARCH(("Yes"),(P905))))</formula>
    </cfRule>
  </conditionalFormatting>
  <conditionalFormatting sqref="P905:P906">
    <cfRule type="containsText" dxfId="9" priority="9802" operator="containsText" text="No">
      <formula>NOT(ISERROR(SEARCH(("No"),(P905))))</formula>
    </cfRule>
  </conditionalFormatting>
  <conditionalFormatting sqref="P905:P906">
    <cfRule type="containsText" dxfId="2" priority="9803" operator="containsText" text="Yes">
      <formula>NOT(ISERROR(SEARCH(("Yes"),(P905))))</formula>
    </cfRule>
  </conditionalFormatting>
  <conditionalFormatting sqref="P905:P906">
    <cfRule type="containsText" dxfId="9" priority="9804" operator="containsText" text="No">
      <formula>NOT(ISERROR(SEARCH(("No"),(P905))))</formula>
    </cfRule>
  </conditionalFormatting>
  <conditionalFormatting sqref="P905:P906">
    <cfRule type="containsText" dxfId="2" priority="9805" operator="containsText" text="Yes">
      <formula>NOT(ISERROR(SEARCH(("Yes"),(P905))))</formula>
    </cfRule>
  </conditionalFormatting>
  <conditionalFormatting sqref="P905:P906">
    <cfRule type="containsText" dxfId="9" priority="9806" operator="containsText" text="No">
      <formula>NOT(ISERROR(SEARCH(("No"),(P905))))</formula>
    </cfRule>
  </conditionalFormatting>
  <conditionalFormatting sqref="P905:P906">
    <cfRule type="containsText" dxfId="2" priority="9807" operator="containsText" text="Yes">
      <formula>NOT(ISERROR(SEARCH(("Yes"),(P905))))</formula>
    </cfRule>
  </conditionalFormatting>
  <conditionalFormatting sqref="P905:P906">
    <cfRule type="containsText" dxfId="9" priority="9808" operator="containsText" text="No">
      <formula>NOT(ISERROR(SEARCH(("No"),(P905))))</formula>
    </cfRule>
  </conditionalFormatting>
  <conditionalFormatting sqref="P905:P906">
    <cfRule type="containsText" dxfId="2" priority="9809" operator="containsText" text="Yes">
      <formula>NOT(ISERROR(SEARCH(("Yes"),(P905))))</formula>
    </cfRule>
  </conditionalFormatting>
  <conditionalFormatting sqref="P905:P906">
    <cfRule type="containsText" dxfId="9" priority="9810" operator="containsText" text="No">
      <formula>NOT(ISERROR(SEARCH(("No"),(P905))))</formula>
    </cfRule>
  </conditionalFormatting>
  <conditionalFormatting sqref="P905:P906">
    <cfRule type="containsText" dxfId="2" priority="9811" operator="containsText" text="Yes">
      <formula>NOT(ISERROR(SEARCH(("Yes"),(P905))))</formula>
    </cfRule>
  </conditionalFormatting>
  <conditionalFormatting sqref="P905:P906">
    <cfRule type="containsText" dxfId="9" priority="9812" operator="containsText" text="No">
      <formula>NOT(ISERROR(SEARCH(("No"),(P905))))</formula>
    </cfRule>
  </conditionalFormatting>
  <conditionalFormatting sqref="P905:P906">
    <cfRule type="containsText" dxfId="2" priority="9813" operator="containsText" text="Yes">
      <formula>NOT(ISERROR(SEARCH(("Yes"),(P905))))</formula>
    </cfRule>
  </conditionalFormatting>
  <conditionalFormatting sqref="P905:P906">
    <cfRule type="containsText" dxfId="9" priority="9814" operator="containsText" text="No">
      <formula>NOT(ISERROR(SEARCH(("No"),(P905))))</formula>
    </cfRule>
  </conditionalFormatting>
  <conditionalFormatting sqref="P905:P906">
    <cfRule type="containsText" dxfId="2" priority="9815" operator="containsText" text="Yes">
      <formula>NOT(ISERROR(SEARCH(("Yes"),(P905))))</formula>
    </cfRule>
  </conditionalFormatting>
  <conditionalFormatting sqref="P905:P906">
    <cfRule type="containsText" dxfId="9" priority="9816" operator="containsText" text="No">
      <formula>NOT(ISERROR(SEARCH(("No"),(P905))))</formula>
    </cfRule>
  </conditionalFormatting>
  <conditionalFormatting sqref="P905:P906">
    <cfRule type="containsText" dxfId="2" priority="9817" operator="containsText" text="Yes">
      <formula>NOT(ISERROR(SEARCH(("Yes"),(P905))))</formula>
    </cfRule>
  </conditionalFormatting>
  <conditionalFormatting sqref="P905:P906">
    <cfRule type="containsText" dxfId="9" priority="9818" operator="containsText" text="No">
      <formula>NOT(ISERROR(SEARCH(("No"),(P905))))</formula>
    </cfRule>
  </conditionalFormatting>
  <conditionalFormatting sqref="P905:P906">
    <cfRule type="containsText" dxfId="2" priority="9819" operator="containsText" text="Yes">
      <formula>NOT(ISERROR(SEARCH(("Yes"),(P905))))</formula>
    </cfRule>
  </conditionalFormatting>
  <conditionalFormatting sqref="P905:P906">
    <cfRule type="containsText" dxfId="9" priority="9820" operator="containsText" text="No">
      <formula>NOT(ISERROR(SEARCH(("No"),(P905))))</formula>
    </cfRule>
  </conditionalFormatting>
  <conditionalFormatting sqref="P905:P906">
    <cfRule type="containsText" dxfId="2" priority="9821" operator="containsText" text="Yes">
      <formula>NOT(ISERROR(SEARCH(("Yes"),(P905))))</formula>
    </cfRule>
  </conditionalFormatting>
  <conditionalFormatting sqref="P905:P906">
    <cfRule type="containsText" dxfId="9" priority="9822" operator="containsText" text="No">
      <formula>NOT(ISERROR(SEARCH(("No"),(P905))))</formula>
    </cfRule>
  </conditionalFormatting>
  <conditionalFormatting sqref="P905:P906">
    <cfRule type="containsText" dxfId="2" priority="9823" operator="containsText" text="Yes">
      <formula>NOT(ISERROR(SEARCH(("Yes"),(P905))))</formula>
    </cfRule>
  </conditionalFormatting>
  <conditionalFormatting sqref="P905:P906">
    <cfRule type="containsText" dxfId="9" priority="9824" operator="containsText" text="No">
      <formula>NOT(ISERROR(SEARCH(("No"),(P905))))</formula>
    </cfRule>
  </conditionalFormatting>
  <conditionalFormatting sqref="P905:P906">
    <cfRule type="containsText" dxfId="2" priority="9825" operator="containsText" text="Yes">
      <formula>NOT(ISERROR(SEARCH(("Yes"),(P905))))</formula>
    </cfRule>
  </conditionalFormatting>
  <conditionalFormatting sqref="P905:P906">
    <cfRule type="containsText" dxfId="9" priority="9826" operator="containsText" text="No">
      <formula>NOT(ISERROR(SEARCH(("No"),(P905))))</formula>
    </cfRule>
  </conditionalFormatting>
  <conditionalFormatting sqref="P905:P906">
    <cfRule type="containsText" dxfId="2" priority="9827" operator="containsText" text="Yes">
      <formula>NOT(ISERROR(SEARCH(("Yes"),(P905))))</formula>
    </cfRule>
  </conditionalFormatting>
  <conditionalFormatting sqref="P905:P906">
    <cfRule type="containsText" dxfId="9" priority="9828" operator="containsText" text="No">
      <formula>NOT(ISERROR(SEARCH(("No"),(P905))))</formula>
    </cfRule>
  </conditionalFormatting>
  <conditionalFormatting sqref="P905:P906">
    <cfRule type="containsText" dxfId="2" priority="9829" operator="containsText" text="Yes">
      <formula>NOT(ISERROR(SEARCH(("Yes"),(P905))))</formula>
    </cfRule>
  </conditionalFormatting>
  <conditionalFormatting sqref="P905:P906">
    <cfRule type="containsText" dxfId="9" priority="9830" operator="containsText" text="No">
      <formula>NOT(ISERROR(SEARCH(("No"),(P905))))</formula>
    </cfRule>
  </conditionalFormatting>
  <conditionalFormatting sqref="P905:P906">
    <cfRule type="containsText" dxfId="2" priority="9831" operator="containsText" text="Yes">
      <formula>NOT(ISERROR(SEARCH(("Yes"),(P905))))</formula>
    </cfRule>
  </conditionalFormatting>
  <conditionalFormatting sqref="P905:P906">
    <cfRule type="containsText" dxfId="9" priority="9832" operator="containsText" text="No">
      <formula>NOT(ISERROR(SEARCH(("No"),(P905))))</formula>
    </cfRule>
  </conditionalFormatting>
  <conditionalFormatting sqref="P905:P906">
    <cfRule type="containsText" dxfId="2" priority="9833" operator="containsText" text="Yes">
      <formula>NOT(ISERROR(SEARCH(("Yes"),(P905))))</formula>
    </cfRule>
  </conditionalFormatting>
  <conditionalFormatting sqref="P905:P906">
    <cfRule type="containsText" dxfId="9" priority="9834" operator="containsText" text="No">
      <formula>NOT(ISERROR(SEARCH(("No"),(P905))))</formula>
    </cfRule>
  </conditionalFormatting>
  <conditionalFormatting sqref="P905:P906">
    <cfRule type="containsText" dxfId="2" priority="9835" operator="containsText" text="Yes">
      <formula>NOT(ISERROR(SEARCH(("Yes"),(P905))))</formula>
    </cfRule>
  </conditionalFormatting>
  <conditionalFormatting sqref="P905:P906">
    <cfRule type="containsText" dxfId="9" priority="9836" operator="containsText" text="No">
      <formula>NOT(ISERROR(SEARCH(("No"),(P905))))</formula>
    </cfRule>
  </conditionalFormatting>
  <conditionalFormatting sqref="P905:P906">
    <cfRule type="containsText" dxfId="2" priority="9837" operator="containsText" text="Yes">
      <formula>NOT(ISERROR(SEARCH(("Yes"),(P905))))</formula>
    </cfRule>
  </conditionalFormatting>
  <conditionalFormatting sqref="P905:P906">
    <cfRule type="containsText" dxfId="9" priority="9838" operator="containsText" text="No">
      <formula>NOT(ISERROR(SEARCH(("No"),(P905))))</formula>
    </cfRule>
  </conditionalFormatting>
  <conditionalFormatting sqref="P905:P906">
    <cfRule type="containsText" dxfId="2" priority="9839" operator="containsText" text="Yes">
      <formula>NOT(ISERROR(SEARCH(("Yes"),(P905))))</formula>
    </cfRule>
  </conditionalFormatting>
  <conditionalFormatting sqref="P905:P906">
    <cfRule type="containsText" dxfId="9" priority="9840" operator="containsText" text="No">
      <formula>NOT(ISERROR(SEARCH(("No"),(P905))))</formula>
    </cfRule>
  </conditionalFormatting>
  <conditionalFormatting sqref="P905:P906">
    <cfRule type="containsText" dxfId="2" priority="9841" operator="containsText" text="Yes">
      <formula>NOT(ISERROR(SEARCH(("Yes"),(P905))))</formula>
    </cfRule>
  </conditionalFormatting>
  <conditionalFormatting sqref="P905:P906">
    <cfRule type="containsText" dxfId="9" priority="9842" operator="containsText" text="No">
      <formula>NOT(ISERROR(SEARCH(("No"),(P905))))</formula>
    </cfRule>
  </conditionalFormatting>
  <conditionalFormatting sqref="P905:P906">
    <cfRule type="containsText" dxfId="2" priority="9843" operator="containsText" text="Yes">
      <formula>NOT(ISERROR(SEARCH(("Yes"),(P905))))</formula>
    </cfRule>
  </conditionalFormatting>
  <conditionalFormatting sqref="P905:P906">
    <cfRule type="containsText" dxfId="9" priority="9844" operator="containsText" text="No">
      <formula>NOT(ISERROR(SEARCH(("No"),(P905))))</formula>
    </cfRule>
  </conditionalFormatting>
  <conditionalFormatting sqref="P905:P906">
    <cfRule type="containsText" dxfId="2" priority="9845" operator="containsText" text="Yes">
      <formula>NOT(ISERROR(SEARCH(("Yes"),(P905))))</formula>
    </cfRule>
  </conditionalFormatting>
  <conditionalFormatting sqref="P905:P906">
    <cfRule type="containsText" dxfId="9" priority="9846" operator="containsText" text="No">
      <formula>NOT(ISERROR(SEARCH(("No"),(P905))))</formula>
    </cfRule>
  </conditionalFormatting>
  <conditionalFormatting sqref="P905:P906">
    <cfRule type="containsText" dxfId="2" priority="9847" operator="containsText" text="Yes">
      <formula>NOT(ISERROR(SEARCH(("Yes"),(P905))))</formula>
    </cfRule>
  </conditionalFormatting>
  <conditionalFormatting sqref="P905:P906">
    <cfRule type="containsText" dxfId="9" priority="9848" operator="containsText" text="No">
      <formula>NOT(ISERROR(SEARCH(("No"),(P905))))</formula>
    </cfRule>
  </conditionalFormatting>
  <conditionalFormatting sqref="P905:P906">
    <cfRule type="containsText" dxfId="2" priority="9849" operator="containsText" text="Yes">
      <formula>NOT(ISERROR(SEARCH(("Yes"),(P905))))</formula>
    </cfRule>
  </conditionalFormatting>
  <conditionalFormatting sqref="P905:P906">
    <cfRule type="containsText" dxfId="9" priority="9850" operator="containsText" text="No">
      <formula>NOT(ISERROR(SEARCH(("No"),(P905))))</formula>
    </cfRule>
  </conditionalFormatting>
  <conditionalFormatting sqref="P905:P906">
    <cfRule type="containsText" dxfId="2" priority="9851" operator="containsText" text="Yes">
      <formula>NOT(ISERROR(SEARCH(("Yes"),(P905))))</formula>
    </cfRule>
  </conditionalFormatting>
  <conditionalFormatting sqref="P905:P906">
    <cfRule type="containsText" dxfId="9" priority="9852" operator="containsText" text="No">
      <formula>NOT(ISERROR(SEARCH(("No"),(P905))))</formula>
    </cfRule>
  </conditionalFormatting>
  <conditionalFormatting sqref="P905:P906">
    <cfRule type="containsText" dxfId="2" priority="9853" operator="containsText" text="Yes">
      <formula>NOT(ISERROR(SEARCH(("Yes"),(P905))))</formula>
    </cfRule>
  </conditionalFormatting>
  <conditionalFormatting sqref="P905:P906">
    <cfRule type="containsText" dxfId="9" priority="9854" operator="containsText" text="No">
      <formula>NOT(ISERROR(SEARCH(("No"),(P905))))</formula>
    </cfRule>
  </conditionalFormatting>
  <conditionalFormatting sqref="P905:P906">
    <cfRule type="containsText" dxfId="2" priority="9855" operator="containsText" text="Yes">
      <formula>NOT(ISERROR(SEARCH(("Yes"),(P905))))</formula>
    </cfRule>
  </conditionalFormatting>
  <conditionalFormatting sqref="P905:P906">
    <cfRule type="containsText" dxfId="9" priority="9856" operator="containsText" text="No">
      <formula>NOT(ISERROR(SEARCH(("No"),(P905))))</formula>
    </cfRule>
  </conditionalFormatting>
  <conditionalFormatting sqref="P905:P906">
    <cfRule type="containsText" dxfId="2" priority="9857" operator="containsText" text="Yes">
      <formula>NOT(ISERROR(SEARCH(("Yes"),(P905))))</formula>
    </cfRule>
  </conditionalFormatting>
  <conditionalFormatting sqref="P905:P906">
    <cfRule type="containsText" dxfId="9" priority="9858" operator="containsText" text="No">
      <formula>NOT(ISERROR(SEARCH(("No"),(P905))))</formula>
    </cfRule>
  </conditionalFormatting>
  <conditionalFormatting sqref="P905:P906">
    <cfRule type="containsText" dxfId="2" priority="9859" operator="containsText" text="Yes">
      <formula>NOT(ISERROR(SEARCH(("Yes"),(P905))))</formula>
    </cfRule>
  </conditionalFormatting>
  <conditionalFormatting sqref="P905:P906">
    <cfRule type="containsText" dxfId="9" priority="9860" operator="containsText" text="No">
      <formula>NOT(ISERROR(SEARCH(("No"),(P905))))</formula>
    </cfRule>
  </conditionalFormatting>
  <conditionalFormatting sqref="P905:P906">
    <cfRule type="containsText" dxfId="2" priority="9861" operator="containsText" text="Yes">
      <formula>NOT(ISERROR(SEARCH(("Yes"),(P905))))</formula>
    </cfRule>
  </conditionalFormatting>
  <conditionalFormatting sqref="P905:P906">
    <cfRule type="containsText" dxfId="9" priority="9862" operator="containsText" text="No">
      <formula>NOT(ISERROR(SEARCH(("No"),(P905))))</formula>
    </cfRule>
  </conditionalFormatting>
  <conditionalFormatting sqref="P905:P906">
    <cfRule type="containsText" dxfId="2" priority="9863" operator="containsText" text="Yes">
      <formula>NOT(ISERROR(SEARCH(("Yes"),(P905))))</formula>
    </cfRule>
  </conditionalFormatting>
  <conditionalFormatting sqref="P905:P906">
    <cfRule type="containsText" dxfId="9" priority="9864" operator="containsText" text="No">
      <formula>NOT(ISERROR(SEARCH(("No"),(P905))))</formula>
    </cfRule>
  </conditionalFormatting>
  <conditionalFormatting sqref="P905:P906">
    <cfRule type="containsText" dxfId="2" priority="9865" operator="containsText" text="Yes">
      <formula>NOT(ISERROR(SEARCH(("Yes"),(P905))))</formula>
    </cfRule>
  </conditionalFormatting>
  <conditionalFormatting sqref="P905:P906">
    <cfRule type="containsText" dxfId="9" priority="9866" operator="containsText" text="No">
      <formula>NOT(ISERROR(SEARCH(("No"),(P905))))</formula>
    </cfRule>
  </conditionalFormatting>
  <conditionalFormatting sqref="P905:P906">
    <cfRule type="containsText" dxfId="2" priority="9867" operator="containsText" text="Yes">
      <formula>NOT(ISERROR(SEARCH(("Yes"),(P905))))</formula>
    </cfRule>
  </conditionalFormatting>
  <conditionalFormatting sqref="P905:P906">
    <cfRule type="containsText" dxfId="9" priority="9868" operator="containsText" text="No">
      <formula>NOT(ISERROR(SEARCH(("No"),(P905))))</formula>
    </cfRule>
  </conditionalFormatting>
  <conditionalFormatting sqref="P905:P906">
    <cfRule type="containsText" dxfId="2" priority="9869" operator="containsText" text="Yes">
      <formula>NOT(ISERROR(SEARCH(("Yes"),(P905))))</formula>
    </cfRule>
  </conditionalFormatting>
  <conditionalFormatting sqref="P905:P906">
    <cfRule type="containsText" dxfId="9" priority="9870" operator="containsText" text="No">
      <formula>NOT(ISERROR(SEARCH(("No"),(P905))))</formula>
    </cfRule>
  </conditionalFormatting>
  <conditionalFormatting sqref="P905:P906">
    <cfRule type="containsText" dxfId="2" priority="9871" operator="containsText" text="Yes">
      <formula>NOT(ISERROR(SEARCH(("Yes"),(P905))))</formula>
    </cfRule>
  </conditionalFormatting>
  <conditionalFormatting sqref="P905:P906">
    <cfRule type="containsText" dxfId="9" priority="9872" operator="containsText" text="No">
      <formula>NOT(ISERROR(SEARCH(("No"),(P905))))</formula>
    </cfRule>
  </conditionalFormatting>
  <conditionalFormatting sqref="P905:P906">
    <cfRule type="containsText" dxfId="2" priority="9873" operator="containsText" text="Yes">
      <formula>NOT(ISERROR(SEARCH(("Yes"),(P905))))</formula>
    </cfRule>
  </conditionalFormatting>
  <conditionalFormatting sqref="P905:P906">
    <cfRule type="containsText" dxfId="9" priority="9874" operator="containsText" text="No">
      <formula>NOT(ISERROR(SEARCH(("No"),(P905))))</formula>
    </cfRule>
  </conditionalFormatting>
  <conditionalFormatting sqref="P905:P906">
    <cfRule type="containsText" dxfId="2" priority="9875" operator="containsText" text="Yes">
      <formula>NOT(ISERROR(SEARCH(("Yes"),(P905))))</formula>
    </cfRule>
  </conditionalFormatting>
  <conditionalFormatting sqref="P905:P906">
    <cfRule type="containsText" dxfId="9" priority="9876" operator="containsText" text="No">
      <formula>NOT(ISERROR(SEARCH(("No"),(P905))))</formula>
    </cfRule>
  </conditionalFormatting>
  <conditionalFormatting sqref="P905:P906">
    <cfRule type="containsText" dxfId="2" priority="9877" operator="containsText" text="Yes">
      <formula>NOT(ISERROR(SEARCH(("Yes"),(P905))))</formula>
    </cfRule>
  </conditionalFormatting>
  <conditionalFormatting sqref="P905:P906">
    <cfRule type="containsText" dxfId="9" priority="9878" operator="containsText" text="No">
      <formula>NOT(ISERROR(SEARCH(("No"),(P905))))</formula>
    </cfRule>
  </conditionalFormatting>
  <conditionalFormatting sqref="P905:P906">
    <cfRule type="containsText" dxfId="2" priority="9879" operator="containsText" text="Yes">
      <formula>NOT(ISERROR(SEARCH(("Yes"),(P905))))</formula>
    </cfRule>
  </conditionalFormatting>
  <conditionalFormatting sqref="P905:P906">
    <cfRule type="containsText" dxfId="2" priority="9880" operator="containsText" text="Yes">
      <formula>NOT(ISERROR(SEARCH(("Yes"),(P905))))</formula>
    </cfRule>
  </conditionalFormatting>
  <conditionalFormatting sqref="P905:P906">
    <cfRule type="containsText" dxfId="9" priority="9881" operator="containsText" text="No">
      <formula>NOT(ISERROR(SEARCH(("No"),(P905))))</formula>
    </cfRule>
  </conditionalFormatting>
  <conditionalFormatting sqref="P905:P906">
    <cfRule type="containsText" dxfId="2" priority="9882" operator="containsText" text="Yes">
      <formula>NOT(ISERROR(SEARCH(("Yes"),(P905))))</formula>
    </cfRule>
  </conditionalFormatting>
  <conditionalFormatting sqref="P909:P923">
    <cfRule type="containsText" dxfId="2" priority="9883" operator="containsText" text="Yes">
      <formula>NOT(ISERROR(SEARCH(("Yes"),(P909))))</formula>
    </cfRule>
  </conditionalFormatting>
  <conditionalFormatting sqref="P909:P923">
    <cfRule type="containsText" dxfId="9" priority="9884" operator="containsText" text="No">
      <formula>NOT(ISERROR(SEARCH(("No"),(P909))))</formula>
    </cfRule>
  </conditionalFormatting>
  <conditionalFormatting sqref="P909:P923">
    <cfRule type="containsText" dxfId="2" priority="9885" operator="containsText" text="Yes">
      <formula>NOT(ISERROR(SEARCH(("Yes"),(P909))))</formula>
    </cfRule>
  </conditionalFormatting>
  <conditionalFormatting sqref="P909:P923">
    <cfRule type="containsText" dxfId="9" priority="9886" operator="containsText" text="No">
      <formula>NOT(ISERROR(SEARCH(("No"),(P909))))</formula>
    </cfRule>
  </conditionalFormatting>
  <conditionalFormatting sqref="P909:P923">
    <cfRule type="containsText" dxfId="2" priority="9887" operator="containsText" text="Yes">
      <formula>NOT(ISERROR(SEARCH(("Yes"),(P909))))</formula>
    </cfRule>
  </conditionalFormatting>
  <conditionalFormatting sqref="P909:P923">
    <cfRule type="containsText" dxfId="9" priority="9888" operator="containsText" text="No">
      <formula>NOT(ISERROR(SEARCH(("No"),(P909))))</formula>
    </cfRule>
  </conditionalFormatting>
  <conditionalFormatting sqref="P909:P923">
    <cfRule type="containsText" dxfId="2" priority="9889" operator="containsText" text="Yes">
      <formula>NOT(ISERROR(SEARCH(("Yes"),(P909))))</formula>
    </cfRule>
  </conditionalFormatting>
  <conditionalFormatting sqref="P909:P923">
    <cfRule type="containsText" dxfId="9" priority="9890" operator="containsText" text="No">
      <formula>NOT(ISERROR(SEARCH(("No"),(P909))))</formula>
    </cfRule>
  </conditionalFormatting>
  <conditionalFormatting sqref="P909:P923">
    <cfRule type="containsText" dxfId="2" priority="9891" operator="containsText" text="Yes">
      <formula>NOT(ISERROR(SEARCH(("Yes"),(P909))))</formula>
    </cfRule>
  </conditionalFormatting>
  <conditionalFormatting sqref="P909:P923">
    <cfRule type="containsText" dxfId="9" priority="9892" operator="containsText" text="No">
      <formula>NOT(ISERROR(SEARCH(("No"),(P909))))</formula>
    </cfRule>
  </conditionalFormatting>
  <conditionalFormatting sqref="P909:P923">
    <cfRule type="containsText" dxfId="2" priority="9893" operator="containsText" text="Yes">
      <formula>NOT(ISERROR(SEARCH(("Yes"),(P909))))</formula>
    </cfRule>
  </conditionalFormatting>
  <conditionalFormatting sqref="P909:P923">
    <cfRule type="containsText" dxfId="9" priority="9894" operator="containsText" text="No">
      <formula>NOT(ISERROR(SEARCH(("No"),(P909))))</formula>
    </cfRule>
  </conditionalFormatting>
  <conditionalFormatting sqref="P909:P923">
    <cfRule type="containsText" dxfId="2" priority="9895" operator="containsText" text="Yes">
      <formula>NOT(ISERROR(SEARCH(("Yes"),(P909))))</formula>
    </cfRule>
  </conditionalFormatting>
  <conditionalFormatting sqref="P909:P923">
    <cfRule type="containsText" dxfId="9" priority="9896" operator="containsText" text="No">
      <formula>NOT(ISERROR(SEARCH(("No"),(P909))))</formula>
    </cfRule>
  </conditionalFormatting>
  <conditionalFormatting sqref="P909:P923">
    <cfRule type="containsText" dxfId="2" priority="9897" operator="containsText" text="Yes">
      <formula>NOT(ISERROR(SEARCH(("Yes"),(P909))))</formula>
    </cfRule>
  </conditionalFormatting>
  <conditionalFormatting sqref="P909:P923">
    <cfRule type="containsText" dxfId="9" priority="9898" operator="containsText" text="No">
      <formula>NOT(ISERROR(SEARCH(("No"),(P909))))</formula>
    </cfRule>
  </conditionalFormatting>
  <conditionalFormatting sqref="P909:P923">
    <cfRule type="containsText" dxfId="2" priority="9899" operator="containsText" text="Yes">
      <formula>NOT(ISERROR(SEARCH(("Yes"),(P909))))</formula>
    </cfRule>
  </conditionalFormatting>
  <conditionalFormatting sqref="P909:P923">
    <cfRule type="containsText" dxfId="9" priority="9900" operator="containsText" text="No">
      <formula>NOT(ISERROR(SEARCH(("No"),(P909))))</formula>
    </cfRule>
  </conditionalFormatting>
  <conditionalFormatting sqref="P909:P923">
    <cfRule type="containsText" dxfId="2" priority="9901" operator="containsText" text="Yes">
      <formula>NOT(ISERROR(SEARCH(("Yes"),(P909))))</formula>
    </cfRule>
  </conditionalFormatting>
  <conditionalFormatting sqref="P909:P923">
    <cfRule type="containsText" dxfId="9" priority="9902" operator="containsText" text="No">
      <formula>NOT(ISERROR(SEARCH(("No"),(P909))))</formula>
    </cfRule>
  </conditionalFormatting>
  <conditionalFormatting sqref="P909:P923">
    <cfRule type="containsText" dxfId="2" priority="9903" operator="containsText" text="Yes">
      <formula>NOT(ISERROR(SEARCH(("Yes"),(P909))))</formula>
    </cfRule>
  </conditionalFormatting>
  <conditionalFormatting sqref="P909:P923">
    <cfRule type="containsText" dxfId="9" priority="9904" operator="containsText" text="No">
      <formula>NOT(ISERROR(SEARCH(("No"),(P909))))</formula>
    </cfRule>
  </conditionalFormatting>
  <conditionalFormatting sqref="P909:P923">
    <cfRule type="containsText" dxfId="2" priority="9905" operator="containsText" text="Yes">
      <formula>NOT(ISERROR(SEARCH(("Yes"),(P909))))</formula>
    </cfRule>
  </conditionalFormatting>
  <conditionalFormatting sqref="P909:P923">
    <cfRule type="containsText" dxfId="9" priority="9906" operator="containsText" text="No">
      <formula>NOT(ISERROR(SEARCH(("No"),(P909))))</formula>
    </cfRule>
  </conditionalFormatting>
  <conditionalFormatting sqref="P909:P923">
    <cfRule type="containsText" dxfId="2" priority="9907" operator="containsText" text="Yes">
      <formula>NOT(ISERROR(SEARCH(("Yes"),(P909))))</formula>
    </cfRule>
  </conditionalFormatting>
  <conditionalFormatting sqref="P909:P923">
    <cfRule type="containsText" dxfId="9" priority="9908" operator="containsText" text="No">
      <formula>NOT(ISERROR(SEARCH(("No"),(P909))))</formula>
    </cfRule>
  </conditionalFormatting>
  <conditionalFormatting sqref="P909:P923">
    <cfRule type="containsText" dxfId="2" priority="9909" operator="containsText" text="Yes">
      <formula>NOT(ISERROR(SEARCH(("Yes"),(P909))))</formula>
    </cfRule>
  </conditionalFormatting>
  <conditionalFormatting sqref="P909:P923">
    <cfRule type="containsText" dxfId="9" priority="9910" operator="containsText" text="No">
      <formula>NOT(ISERROR(SEARCH(("No"),(P909))))</formula>
    </cfRule>
  </conditionalFormatting>
  <conditionalFormatting sqref="P909:P923">
    <cfRule type="containsText" dxfId="2" priority="9911" operator="containsText" text="Yes">
      <formula>NOT(ISERROR(SEARCH(("Yes"),(P909))))</formula>
    </cfRule>
  </conditionalFormatting>
  <conditionalFormatting sqref="P909:P923">
    <cfRule type="containsText" dxfId="9" priority="9912" operator="containsText" text="No">
      <formula>NOT(ISERROR(SEARCH(("No"),(P909))))</formula>
    </cfRule>
  </conditionalFormatting>
  <conditionalFormatting sqref="P909:P923">
    <cfRule type="containsText" dxfId="2" priority="9913" operator="containsText" text="Yes">
      <formula>NOT(ISERROR(SEARCH(("Yes"),(P909))))</formula>
    </cfRule>
  </conditionalFormatting>
  <conditionalFormatting sqref="P909:P923">
    <cfRule type="containsText" dxfId="9" priority="9914" operator="containsText" text="No">
      <formula>NOT(ISERROR(SEARCH(("No"),(P909))))</formula>
    </cfRule>
  </conditionalFormatting>
  <conditionalFormatting sqref="P909:P923">
    <cfRule type="containsText" dxfId="2" priority="9915" operator="containsText" text="Yes">
      <formula>NOT(ISERROR(SEARCH(("Yes"),(P909))))</formula>
    </cfRule>
  </conditionalFormatting>
  <conditionalFormatting sqref="P909:P923">
    <cfRule type="containsText" dxfId="9" priority="9916" operator="containsText" text="No">
      <formula>NOT(ISERROR(SEARCH(("No"),(P909))))</formula>
    </cfRule>
  </conditionalFormatting>
  <conditionalFormatting sqref="P909:P923">
    <cfRule type="containsText" dxfId="2" priority="9917" operator="containsText" text="Yes">
      <formula>NOT(ISERROR(SEARCH(("Yes"),(P909))))</formula>
    </cfRule>
  </conditionalFormatting>
  <conditionalFormatting sqref="P909:P923">
    <cfRule type="containsText" dxfId="9" priority="9918" operator="containsText" text="No">
      <formula>NOT(ISERROR(SEARCH(("No"),(P909))))</formula>
    </cfRule>
  </conditionalFormatting>
  <conditionalFormatting sqref="P909:P923">
    <cfRule type="containsText" dxfId="2" priority="9919" operator="containsText" text="Yes">
      <formula>NOT(ISERROR(SEARCH(("Yes"),(P909))))</formula>
    </cfRule>
  </conditionalFormatting>
  <conditionalFormatting sqref="P909:P923">
    <cfRule type="containsText" dxfId="9" priority="9920" operator="containsText" text="No">
      <formula>NOT(ISERROR(SEARCH(("No"),(P909))))</formula>
    </cfRule>
  </conditionalFormatting>
  <conditionalFormatting sqref="P909:P923">
    <cfRule type="containsText" dxfId="2" priority="9921" operator="containsText" text="Yes">
      <formula>NOT(ISERROR(SEARCH(("Yes"),(P909))))</formula>
    </cfRule>
  </conditionalFormatting>
  <conditionalFormatting sqref="P909:P923">
    <cfRule type="containsText" dxfId="9" priority="9922" operator="containsText" text="No">
      <formula>NOT(ISERROR(SEARCH(("No"),(P909))))</formula>
    </cfRule>
  </conditionalFormatting>
  <conditionalFormatting sqref="P909:P923">
    <cfRule type="containsText" dxfId="2" priority="9923" operator="containsText" text="Yes">
      <formula>NOT(ISERROR(SEARCH(("Yes"),(P909))))</formula>
    </cfRule>
  </conditionalFormatting>
  <conditionalFormatting sqref="P909:P923">
    <cfRule type="containsText" dxfId="9" priority="9924" operator="containsText" text="No">
      <formula>NOT(ISERROR(SEARCH(("No"),(P909))))</formula>
    </cfRule>
  </conditionalFormatting>
  <conditionalFormatting sqref="P909:P923">
    <cfRule type="containsText" dxfId="2" priority="9925" operator="containsText" text="Yes">
      <formula>NOT(ISERROR(SEARCH(("Yes"),(P909))))</formula>
    </cfRule>
  </conditionalFormatting>
  <conditionalFormatting sqref="P909:P923">
    <cfRule type="containsText" dxfId="9" priority="9926" operator="containsText" text="No">
      <formula>NOT(ISERROR(SEARCH(("No"),(P909))))</formula>
    </cfRule>
  </conditionalFormatting>
  <conditionalFormatting sqref="P909:P923">
    <cfRule type="containsText" dxfId="2" priority="9927" operator="containsText" text="Yes">
      <formula>NOT(ISERROR(SEARCH(("Yes"),(P909))))</formula>
    </cfRule>
  </conditionalFormatting>
  <conditionalFormatting sqref="P909:P923">
    <cfRule type="containsText" dxfId="9" priority="9928" operator="containsText" text="No">
      <formula>NOT(ISERROR(SEARCH(("No"),(P909))))</formula>
    </cfRule>
  </conditionalFormatting>
  <conditionalFormatting sqref="P909:P923">
    <cfRule type="containsText" dxfId="2" priority="9929" operator="containsText" text="Yes">
      <formula>NOT(ISERROR(SEARCH(("Yes"),(P909))))</formula>
    </cfRule>
  </conditionalFormatting>
  <conditionalFormatting sqref="P909:P923">
    <cfRule type="containsText" dxfId="9" priority="9930" operator="containsText" text="No">
      <formula>NOT(ISERROR(SEARCH(("No"),(P909))))</formula>
    </cfRule>
  </conditionalFormatting>
  <conditionalFormatting sqref="P909:P923">
    <cfRule type="containsText" dxfId="2" priority="9931" operator="containsText" text="Yes">
      <formula>NOT(ISERROR(SEARCH(("Yes"),(P909))))</formula>
    </cfRule>
  </conditionalFormatting>
  <conditionalFormatting sqref="P909:P923">
    <cfRule type="containsText" dxfId="9" priority="9932" operator="containsText" text="No">
      <formula>NOT(ISERROR(SEARCH(("No"),(P909))))</formula>
    </cfRule>
  </conditionalFormatting>
  <conditionalFormatting sqref="P909:P923">
    <cfRule type="containsText" dxfId="2" priority="9933" operator="containsText" text="Yes">
      <formula>NOT(ISERROR(SEARCH(("Yes"),(P909))))</formula>
    </cfRule>
  </conditionalFormatting>
  <conditionalFormatting sqref="P909:P923">
    <cfRule type="containsText" dxfId="9" priority="9934" operator="containsText" text="No">
      <formula>NOT(ISERROR(SEARCH(("No"),(P909))))</formula>
    </cfRule>
  </conditionalFormatting>
  <conditionalFormatting sqref="P909:P923">
    <cfRule type="containsText" dxfId="2" priority="9935" operator="containsText" text="Yes">
      <formula>NOT(ISERROR(SEARCH(("Yes"),(P909))))</formula>
    </cfRule>
  </conditionalFormatting>
  <conditionalFormatting sqref="P909:P923">
    <cfRule type="containsText" dxfId="9" priority="9936" operator="containsText" text="No">
      <formula>NOT(ISERROR(SEARCH(("No"),(P909))))</formula>
    </cfRule>
  </conditionalFormatting>
  <conditionalFormatting sqref="P909:P923">
    <cfRule type="containsText" dxfId="2" priority="9937" operator="containsText" text="Yes">
      <formula>NOT(ISERROR(SEARCH(("Yes"),(P909))))</formula>
    </cfRule>
  </conditionalFormatting>
  <conditionalFormatting sqref="P909:P923">
    <cfRule type="containsText" dxfId="9" priority="9938" operator="containsText" text="No">
      <formula>NOT(ISERROR(SEARCH(("No"),(P909))))</formula>
    </cfRule>
  </conditionalFormatting>
  <conditionalFormatting sqref="P909:P923">
    <cfRule type="containsText" dxfId="2" priority="9939" operator="containsText" text="Yes">
      <formula>NOT(ISERROR(SEARCH(("Yes"),(P909))))</formula>
    </cfRule>
  </conditionalFormatting>
  <conditionalFormatting sqref="P909:P923">
    <cfRule type="containsText" dxfId="9" priority="9940" operator="containsText" text="No">
      <formula>NOT(ISERROR(SEARCH(("No"),(P909))))</formula>
    </cfRule>
  </conditionalFormatting>
  <conditionalFormatting sqref="P909:P923">
    <cfRule type="containsText" dxfId="2" priority="9941" operator="containsText" text="Yes">
      <formula>NOT(ISERROR(SEARCH(("Yes"),(P909))))</formula>
    </cfRule>
  </conditionalFormatting>
  <conditionalFormatting sqref="P909:P923">
    <cfRule type="containsText" dxfId="9" priority="9942" operator="containsText" text="No">
      <formula>NOT(ISERROR(SEARCH(("No"),(P909))))</formula>
    </cfRule>
  </conditionalFormatting>
  <conditionalFormatting sqref="P909:P923">
    <cfRule type="containsText" dxfId="2" priority="9943" operator="containsText" text="Yes">
      <formula>NOT(ISERROR(SEARCH(("Yes"),(P909))))</formula>
    </cfRule>
  </conditionalFormatting>
  <conditionalFormatting sqref="P909:P923">
    <cfRule type="containsText" dxfId="9" priority="9944" operator="containsText" text="No">
      <formula>NOT(ISERROR(SEARCH(("No"),(P909))))</formula>
    </cfRule>
  </conditionalFormatting>
  <conditionalFormatting sqref="P909:P923">
    <cfRule type="containsText" dxfId="2" priority="9945" operator="containsText" text="Yes">
      <formula>NOT(ISERROR(SEARCH(("Yes"),(P909))))</formula>
    </cfRule>
  </conditionalFormatting>
  <conditionalFormatting sqref="P909:P923">
    <cfRule type="containsText" dxfId="9" priority="9946" operator="containsText" text="No">
      <formula>NOT(ISERROR(SEARCH(("No"),(P909))))</formula>
    </cfRule>
  </conditionalFormatting>
  <conditionalFormatting sqref="P909:P923">
    <cfRule type="containsText" dxfId="2" priority="9947" operator="containsText" text="Yes">
      <formula>NOT(ISERROR(SEARCH(("Yes"),(P909))))</formula>
    </cfRule>
  </conditionalFormatting>
  <conditionalFormatting sqref="P909:P923">
    <cfRule type="containsText" dxfId="9" priority="9948" operator="containsText" text="No">
      <formula>NOT(ISERROR(SEARCH(("No"),(P909))))</formula>
    </cfRule>
  </conditionalFormatting>
  <conditionalFormatting sqref="P909:P923">
    <cfRule type="containsText" dxfId="2" priority="9949" operator="containsText" text="Yes">
      <formula>NOT(ISERROR(SEARCH(("Yes"),(P909))))</formula>
    </cfRule>
  </conditionalFormatting>
  <conditionalFormatting sqref="P909:P923">
    <cfRule type="containsText" dxfId="9" priority="9950" operator="containsText" text="No">
      <formula>NOT(ISERROR(SEARCH(("No"),(P909))))</formula>
    </cfRule>
  </conditionalFormatting>
  <conditionalFormatting sqref="P909:P923">
    <cfRule type="containsText" dxfId="2" priority="9951" operator="containsText" text="Yes">
      <formula>NOT(ISERROR(SEARCH(("Yes"),(P909))))</formula>
    </cfRule>
  </conditionalFormatting>
  <conditionalFormatting sqref="P909:P923">
    <cfRule type="containsText" dxfId="9" priority="9952" operator="containsText" text="No">
      <formula>NOT(ISERROR(SEARCH(("No"),(P909))))</formula>
    </cfRule>
  </conditionalFormatting>
  <conditionalFormatting sqref="P909:P923">
    <cfRule type="containsText" dxfId="2" priority="9953" operator="containsText" text="Yes">
      <formula>NOT(ISERROR(SEARCH(("Yes"),(P909))))</formula>
    </cfRule>
  </conditionalFormatting>
  <conditionalFormatting sqref="P909:P923">
    <cfRule type="containsText" dxfId="9" priority="9954" operator="containsText" text="No">
      <formula>NOT(ISERROR(SEARCH(("No"),(P909))))</formula>
    </cfRule>
  </conditionalFormatting>
  <conditionalFormatting sqref="P909:P923">
    <cfRule type="containsText" dxfId="2" priority="9955" operator="containsText" text="Yes">
      <formula>NOT(ISERROR(SEARCH(("Yes"),(P909))))</formula>
    </cfRule>
  </conditionalFormatting>
  <conditionalFormatting sqref="P909:P923">
    <cfRule type="containsText" dxfId="9" priority="9956" operator="containsText" text="No">
      <formula>NOT(ISERROR(SEARCH(("No"),(P909))))</formula>
    </cfRule>
  </conditionalFormatting>
  <conditionalFormatting sqref="P909:P923">
    <cfRule type="containsText" dxfId="2" priority="9957" operator="containsText" text="Yes">
      <formula>NOT(ISERROR(SEARCH(("Yes"),(P909))))</formula>
    </cfRule>
  </conditionalFormatting>
  <conditionalFormatting sqref="P909:P923">
    <cfRule type="containsText" dxfId="9" priority="9958" operator="containsText" text="No">
      <formula>NOT(ISERROR(SEARCH(("No"),(P909))))</formula>
    </cfRule>
  </conditionalFormatting>
  <conditionalFormatting sqref="P909:P923">
    <cfRule type="containsText" dxfId="2" priority="9959" operator="containsText" text="Yes">
      <formula>NOT(ISERROR(SEARCH(("Yes"),(P909))))</formula>
    </cfRule>
  </conditionalFormatting>
  <conditionalFormatting sqref="P909:P923">
    <cfRule type="containsText" dxfId="9" priority="9960" operator="containsText" text="No">
      <formula>NOT(ISERROR(SEARCH(("No"),(P909))))</formula>
    </cfRule>
  </conditionalFormatting>
  <conditionalFormatting sqref="P909:P923">
    <cfRule type="containsText" dxfId="2" priority="9961" operator="containsText" text="Yes">
      <formula>NOT(ISERROR(SEARCH(("Yes"),(P909))))</formula>
    </cfRule>
  </conditionalFormatting>
  <conditionalFormatting sqref="P909:P923">
    <cfRule type="containsText" dxfId="9" priority="9962" operator="containsText" text="No">
      <formula>NOT(ISERROR(SEARCH(("No"),(P909))))</formula>
    </cfRule>
  </conditionalFormatting>
  <conditionalFormatting sqref="P909:P923">
    <cfRule type="containsText" dxfId="2" priority="9963" operator="containsText" text="Yes">
      <formula>NOT(ISERROR(SEARCH(("Yes"),(P909))))</formula>
    </cfRule>
  </conditionalFormatting>
  <conditionalFormatting sqref="P909:P923">
    <cfRule type="containsText" dxfId="9" priority="9964" operator="containsText" text="No">
      <formula>NOT(ISERROR(SEARCH(("No"),(P909))))</formula>
    </cfRule>
  </conditionalFormatting>
  <conditionalFormatting sqref="P909:P923">
    <cfRule type="containsText" dxfId="2" priority="9965" operator="containsText" text="Yes">
      <formula>NOT(ISERROR(SEARCH(("Yes"),(P909))))</formula>
    </cfRule>
  </conditionalFormatting>
  <conditionalFormatting sqref="P909:P923">
    <cfRule type="containsText" dxfId="9" priority="9966" operator="containsText" text="No">
      <formula>NOT(ISERROR(SEARCH(("No"),(P909))))</formula>
    </cfRule>
  </conditionalFormatting>
  <conditionalFormatting sqref="P909:P923">
    <cfRule type="containsText" dxfId="2" priority="9967" operator="containsText" text="Yes">
      <formula>NOT(ISERROR(SEARCH(("Yes"),(P909))))</formula>
    </cfRule>
  </conditionalFormatting>
  <conditionalFormatting sqref="P909:P923">
    <cfRule type="containsText" dxfId="9" priority="9968" operator="containsText" text="No">
      <formula>NOT(ISERROR(SEARCH(("No"),(P909))))</formula>
    </cfRule>
  </conditionalFormatting>
  <conditionalFormatting sqref="P909:P923">
    <cfRule type="containsText" dxfId="2" priority="9969" operator="containsText" text="Yes">
      <formula>NOT(ISERROR(SEARCH(("Yes"),(P909))))</formula>
    </cfRule>
  </conditionalFormatting>
  <conditionalFormatting sqref="P909:P923">
    <cfRule type="containsText" dxfId="9" priority="9970" operator="containsText" text="No">
      <formula>NOT(ISERROR(SEARCH(("No"),(P909))))</formula>
    </cfRule>
  </conditionalFormatting>
  <conditionalFormatting sqref="P909:P923">
    <cfRule type="containsText" dxfId="2" priority="9971" operator="containsText" text="Yes">
      <formula>NOT(ISERROR(SEARCH(("Yes"),(P909))))</formula>
    </cfRule>
  </conditionalFormatting>
  <conditionalFormatting sqref="P909:P923">
    <cfRule type="containsText" dxfId="2" priority="9972" operator="containsText" text="Yes">
      <formula>NOT(ISERROR(SEARCH(("Yes"),(P909))))</formula>
    </cfRule>
  </conditionalFormatting>
  <conditionalFormatting sqref="P909:P923">
    <cfRule type="containsText" dxfId="9" priority="9973" operator="containsText" text="No">
      <formula>NOT(ISERROR(SEARCH(("No"),(P909))))</formula>
    </cfRule>
  </conditionalFormatting>
  <conditionalFormatting sqref="P909:P923">
    <cfRule type="containsText" dxfId="2" priority="9974" operator="containsText" text="Yes">
      <formula>NOT(ISERROR(SEARCH(("Yes"),(P909))))</formula>
    </cfRule>
  </conditionalFormatting>
  <conditionalFormatting sqref="P924:P925">
    <cfRule type="containsText" dxfId="9" priority="9975" operator="containsText" text="No">
      <formula>NOT(ISERROR(SEARCH(("No"),(P924))))</formula>
    </cfRule>
  </conditionalFormatting>
  <conditionalFormatting sqref="P924:P925">
    <cfRule type="containsText" dxfId="2" priority="9976" operator="containsText" text="Yes">
      <formula>NOT(ISERROR(SEARCH(("Yes"),(P924))))</formula>
    </cfRule>
  </conditionalFormatting>
  <conditionalFormatting sqref="P924:P925">
    <cfRule type="containsText" dxfId="9" priority="9977" operator="containsText" text="No">
      <formula>NOT(ISERROR(SEARCH(("No"),(P924))))</formula>
    </cfRule>
  </conditionalFormatting>
  <conditionalFormatting sqref="P924:P925">
    <cfRule type="containsText" dxfId="2" priority="9978" operator="containsText" text="Yes">
      <formula>NOT(ISERROR(SEARCH(("Yes"),(P924))))</formula>
    </cfRule>
  </conditionalFormatting>
  <conditionalFormatting sqref="P924:P925">
    <cfRule type="containsText" dxfId="9" priority="9979" operator="containsText" text="No">
      <formula>NOT(ISERROR(SEARCH(("No"),(P924))))</formula>
    </cfRule>
  </conditionalFormatting>
  <conditionalFormatting sqref="P924:P925">
    <cfRule type="containsText" dxfId="2" priority="9980" operator="containsText" text="Yes">
      <formula>NOT(ISERROR(SEARCH(("Yes"),(P924))))</formula>
    </cfRule>
  </conditionalFormatting>
  <conditionalFormatting sqref="P924:P925">
    <cfRule type="containsText" dxfId="9" priority="9981" operator="containsText" text="No">
      <formula>NOT(ISERROR(SEARCH(("No"),(P924))))</formula>
    </cfRule>
  </conditionalFormatting>
  <conditionalFormatting sqref="P924:P925">
    <cfRule type="containsText" dxfId="2" priority="9982" operator="containsText" text="Yes">
      <formula>NOT(ISERROR(SEARCH(("Yes"),(P924))))</formula>
    </cfRule>
  </conditionalFormatting>
  <conditionalFormatting sqref="P924:P925">
    <cfRule type="containsText" dxfId="9" priority="9983" operator="containsText" text="No">
      <formula>NOT(ISERROR(SEARCH(("No"),(P924))))</formula>
    </cfRule>
  </conditionalFormatting>
  <conditionalFormatting sqref="P924:P925">
    <cfRule type="containsText" dxfId="2" priority="9984" operator="containsText" text="Yes">
      <formula>NOT(ISERROR(SEARCH(("Yes"),(P924))))</formula>
    </cfRule>
  </conditionalFormatting>
  <conditionalFormatting sqref="P924:P925">
    <cfRule type="containsText" dxfId="9" priority="9985" operator="containsText" text="No">
      <formula>NOT(ISERROR(SEARCH(("No"),(P924))))</formula>
    </cfRule>
  </conditionalFormatting>
  <conditionalFormatting sqref="P924:P925">
    <cfRule type="containsText" dxfId="2" priority="9986" operator="containsText" text="Yes">
      <formula>NOT(ISERROR(SEARCH(("Yes"),(P924))))</formula>
    </cfRule>
  </conditionalFormatting>
  <conditionalFormatting sqref="P924:P925">
    <cfRule type="containsText" dxfId="9" priority="9987" operator="containsText" text="No">
      <formula>NOT(ISERROR(SEARCH(("No"),(P924))))</formula>
    </cfRule>
  </conditionalFormatting>
  <conditionalFormatting sqref="P924:P925">
    <cfRule type="containsText" dxfId="2" priority="9988" operator="containsText" text="Yes">
      <formula>NOT(ISERROR(SEARCH(("Yes"),(P924))))</formula>
    </cfRule>
  </conditionalFormatting>
  <conditionalFormatting sqref="P924:P925">
    <cfRule type="containsText" dxfId="9" priority="9989" operator="containsText" text="No">
      <formula>NOT(ISERROR(SEARCH(("No"),(P924))))</formula>
    </cfRule>
  </conditionalFormatting>
  <conditionalFormatting sqref="P924:P925">
    <cfRule type="containsText" dxfId="2" priority="9990" operator="containsText" text="Yes">
      <formula>NOT(ISERROR(SEARCH(("Yes"),(P924))))</formula>
    </cfRule>
  </conditionalFormatting>
  <conditionalFormatting sqref="P924:P925">
    <cfRule type="containsText" dxfId="9" priority="9991" operator="containsText" text="No">
      <formula>NOT(ISERROR(SEARCH(("No"),(P924))))</formula>
    </cfRule>
  </conditionalFormatting>
  <conditionalFormatting sqref="P924:P925">
    <cfRule type="containsText" dxfId="2" priority="9992" operator="containsText" text="Yes">
      <formula>NOT(ISERROR(SEARCH(("Yes"),(P924))))</formula>
    </cfRule>
  </conditionalFormatting>
  <conditionalFormatting sqref="P924:P925">
    <cfRule type="containsText" dxfId="9" priority="9993" operator="containsText" text="No">
      <formula>NOT(ISERROR(SEARCH(("No"),(P924))))</formula>
    </cfRule>
  </conditionalFormatting>
  <conditionalFormatting sqref="P924:P925">
    <cfRule type="containsText" dxfId="2" priority="9994" operator="containsText" text="Yes">
      <formula>NOT(ISERROR(SEARCH(("Yes"),(P924))))</formula>
    </cfRule>
  </conditionalFormatting>
  <conditionalFormatting sqref="P924:P925">
    <cfRule type="containsText" dxfId="9" priority="9995" operator="containsText" text="No">
      <formula>NOT(ISERROR(SEARCH(("No"),(P924))))</formula>
    </cfRule>
  </conditionalFormatting>
  <conditionalFormatting sqref="P924:P925">
    <cfRule type="containsText" dxfId="2" priority="9996" operator="containsText" text="Yes">
      <formula>NOT(ISERROR(SEARCH(("Yes"),(P924))))</formula>
    </cfRule>
  </conditionalFormatting>
  <conditionalFormatting sqref="P924:P925">
    <cfRule type="containsText" dxfId="9" priority="9997" operator="containsText" text="No">
      <formula>NOT(ISERROR(SEARCH(("No"),(P924))))</formula>
    </cfRule>
  </conditionalFormatting>
  <conditionalFormatting sqref="P924:P925">
    <cfRule type="containsText" dxfId="2" priority="9998" operator="containsText" text="Yes">
      <formula>NOT(ISERROR(SEARCH(("Yes"),(P924))))</formula>
    </cfRule>
  </conditionalFormatting>
  <conditionalFormatting sqref="P924:P925">
    <cfRule type="containsText" dxfId="9" priority="9999" operator="containsText" text="No">
      <formula>NOT(ISERROR(SEARCH(("No"),(P924))))</formula>
    </cfRule>
  </conditionalFormatting>
  <conditionalFormatting sqref="P924:P925">
    <cfRule type="containsText" dxfId="2" priority="10000" operator="containsText" text="Yes">
      <formula>NOT(ISERROR(SEARCH(("Yes"),(P924))))</formula>
    </cfRule>
  </conditionalFormatting>
  <conditionalFormatting sqref="P924:P925">
    <cfRule type="containsText" dxfId="9" priority="10001" operator="containsText" text="No">
      <formula>NOT(ISERROR(SEARCH(("No"),(P924))))</formula>
    </cfRule>
  </conditionalFormatting>
  <conditionalFormatting sqref="P924:P925">
    <cfRule type="containsText" dxfId="2" priority="10002" operator="containsText" text="Yes">
      <formula>NOT(ISERROR(SEARCH(("Yes"),(P924))))</formula>
    </cfRule>
  </conditionalFormatting>
  <conditionalFormatting sqref="P924:P925">
    <cfRule type="containsText" dxfId="9" priority="10003" operator="containsText" text="No">
      <formula>NOT(ISERROR(SEARCH(("No"),(P924))))</formula>
    </cfRule>
  </conditionalFormatting>
  <conditionalFormatting sqref="P924:P925">
    <cfRule type="containsText" dxfId="2" priority="10004" operator="containsText" text="Yes">
      <formula>NOT(ISERROR(SEARCH(("Yes"),(P924))))</formula>
    </cfRule>
  </conditionalFormatting>
  <conditionalFormatting sqref="P924:P925">
    <cfRule type="containsText" dxfId="9" priority="10005" operator="containsText" text="No">
      <formula>NOT(ISERROR(SEARCH(("No"),(P924))))</formula>
    </cfRule>
  </conditionalFormatting>
  <conditionalFormatting sqref="P924:P925">
    <cfRule type="containsText" dxfId="2" priority="10006" operator="containsText" text="Yes">
      <formula>NOT(ISERROR(SEARCH(("Yes"),(P924))))</formula>
    </cfRule>
  </conditionalFormatting>
  <conditionalFormatting sqref="P924:P925">
    <cfRule type="containsText" dxfId="9" priority="10007" operator="containsText" text="No">
      <formula>NOT(ISERROR(SEARCH(("No"),(P924))))</formula>
    </cfRule>
  </conditionalFormatting>
  <conditionalFormatting sqref="P924:P925">
    <cfRule type="containsText" dxfId="2" priority="10008" operator="containsText" text="Yes">
      <formula>NOT(ISERROR(SEARCH(("Yes"),(P924))))</formula>
    </cfRule>
  </conditionalFormatting>
  <conditionalFormatting sqref="P924:P925">
    <cfRule type="containsText" dxfId="9" priority="10009" operator="containsText" text="No">
      <formula>NOT(ISERROR(SEARCH(("No"),(P924))))</formula>
    </cfRule>
  </conditionalFormatting>
  <conditionalFormatting sqref="P924:P925">
    <cfRule type="containsText" dxfId="2" priority="10010" operator="containsText" text="Yes">
      <formula>NOT(ISERROR(SEARCH(("Yes"),(P924))))</formula>
    </cfRule>
  </conditionalFormatting>
  <conditionalFormatting sqref="P924:P925">
    <cfRule type="containsText" dxfId="9" priority="10011" operator="containsText" text="No">
      <formula>NOT(ISERROR(SEARCH(("No"),(P924))))</formula>
    </cfRule>
  </conditionalFormatting>
  <conditionalFormatting sqref="P924:P925">
    <cfRule type="containsText" dxfId="2" priority="10012" operator="containsText" text="Yes">
      <formula>NOT(ISERROR(SEARCH(("Yes"),(P924))))</formula>
    </cfRule>
  </conditionalFormatting>
  <conditionalFormatting sqref="P924:P925">
    <cfRule type="containsText" dxfId="9" priority="10013" operator="containsText" text="No">
      <formula>NOT(ISERROR(SEARCH(("No"),(P924))))</formula>
    </cfRule>
  </conditionalFormatting>
  <conditionalFormatting sqref="P924:P925">
    <cfRule type="containsText" dxfId="2" priority="10014" operator="containsText" text="Yes">
      <formula>NOT(ISERROR(SEARCH(("Yes"),(P924))))</formula>
    </cfRule>
  </conditionalFormatting>
  <conditionalFormatting sqref="P924:P925">
    <cfRule type="containsText" dxfId="9" priority="10015" operator="containsText" text="No">
      <formula>NOT(ISERROR(SEARCH(("No"),(P924))))</formula>
    </cfRule>
  </conditionalFormatting>
  <conditionalFormatting sqref="P924:P925">
    <cfRule type="containsText" dxfId="2" priority="10016" operator="containsText" text="Yes">
      <formula>NOT(ISERROR(SEARCH(("Yes"),(P924))))</formula>
    </cfRule>
  </conditionalFormatting>
  <conditionalFormatting sqref="P924:P925">
    <cfRule type="containsText" dxfId="9" priority="10017" operator="containsText" text="No">
      <formula>NOT(ISERROR(SEARCH(("No"),(P924))))</formula>
    </cfRule>
  </conditionalFormatting>
  <conditionalFormatting sqref="P924:P925">
    <cfRule type="containsText" dxfId="2" priority="10018" operator="containsText" text="Yes">
      <formula>NOT(ISERROR(SEARCH(("Yes"),(P924))))</formula>
    </cfRule>
  </conditionalFormatting>
  <conditionalFormatting sqref="P924:P925">
    <cfRule type="containsText" dxfId="9" priority="10019" operator="containsText" text="No">
      <formula>NOT(ISERROR(SEARCH(("No"),(P924))))</formula>
    </cfRule>
  </conditionalFormatting>
  <conditionalFormatting sqref="P924:P925">
    <cfRule type="containsText" dxfId="2" priority="10020" operator="containsText" text="Yes">
      <formula>NOT(ISERROR(SEARCH(("Yes"),(P924))))</formula>
    </cfRule>
  </conditionalFormatting>
  <conditionalFormatting sqref="P924:P925">
    <cfRule type="containsText" dxfId="9" priority="10021" operator="containsText" text="No">
      <formula>NOT(ISERROR(SEARCH(("No"),(P924))))</formula>
    </cfRule>
  </conditionalFormatting>
  <conditionalFormatting sqref="P924:P925">
    <cfRule type="containsText" dxfId="2" priority="10022" operator="containsText" text="Yes">
      <formula>NOT(ISERROR(SEARCH(("Yes"),(P924))))</formula>
    </cfRule>
  </conditionalFormatting>
  <conditionalFormatting sqref="P924:P925">
    <cfRule type="containsText" dxfId="9" priority="10023" operator="containsText" text="No">
      <formula>NOT(ISERROR(SEARCH(("No"),(P924))))</formula>
    </cfRule>
  </conditionalFormatting>
  <conditionalFormatting sqref="P924:P925">
    <cfRule type="containsText" dxfId="2" priority="10024" operator="containsText" text="Yes">
      <formula>NOT(ISERROR(SEARCH(("Yes"),(P924))))</formula>
    </cfRule>
  </conditionalFormatting>
  <conditionalFormatting sqref="P924:P925">
    <cfRule type="containsText" dxfId="9" priority="10025" operator="containsText" text="No">
      <formula>NOT(ISERROR(SEARCH(("No"),(P924))))</formula>
    </cfRule>
  </conditionalFormatting>
  <conditionalFormatting sqref="P924:P925">
    <cfRule type="containsText" dxfId="2" priority="10026" operator="containsText" text="Yes">
      <formula>NOT(ISERROR(SEARCH(("Yes"),(P924))))</formula>
    </cfRule>
  </conditionalFormatting>
  <conditionalFormatting sqref="P924:P925">
    <cfRule type="containsText" dxfId="9" priority="10027" operator="containsText" text="No">
      <formula>NOT(ISERROR(SEARCH(("No"),(P924))))</formula>
    </cfRule>
  </conditionalFormatting>
  <conditionalFormatting sqref="P924:P925">
    <cfRule type="containsText" dxfId="2" priority="10028" operator="containsText" text="Yes">
      <formula>NOT(ISERROR(SEARCH(("Yes"),(P924))))</formula>
    </cfRule>
  </conditionalFormatting>
  <conditionalFormatting sqref="P924:P925">
    <cfRule type="containsText" dxfId="9" priority="10029" operator="containsText" text="No">
      <formula>NOT(ISERROR(SEARCH(("No"),(P924))))</formula>
    </cfRule>
  </conditionalFormatting>
  <conditionalFormatting sqref="P924:P925">
    <cfRule type="containsText" dxfId="2" priority="10030" operator="containsText" text="Yes">
      <formula>NOT(ISERROR(SEARCH(("Yes"),(P924))))</formula>
    </cfRule>
  </conditionalFormatting>
  <conditionalFormatting sqref="P924:P925">
    <cfRule type="containsText" dxfId="9" priority="10031" operator="containsText" text="No">
      <formula>NOT(ISERROR(SEARCH(("No"),(P924))))</formula>
    </cfRule>
  </conditionalFormatting>
  <conditionalFormatting sqref="P924:P925">
    <cfRule type="containsText" dxfId="2" priority="10032" operator="containsText" text="Yes">
      <formula>NOT(ISERROR(SEARCH(("Yes"),(P924))))</formula>
    </cfRule>
  </conditionalFormatting>
  <conditionalFormatting sqref="P924:P925">
    <cfRule type="containsText" dxfId="9" priority="10033" operator="containsText" text="No">
      <formula>NOT(ISERROR(SEARCH(("No"),(P924))))</formula>
    </cfRule>
  </conditionalFormatting>
  <conditionalFormatting sqref="P924:P925">
    <cfRule type="containsText" dxfId="2" priority="10034" operator="containsText" text="Yes">
      <formula>NOT(ISERROR(SEARCH(("Yes"),(P924))))</formula>
    </cfRule>
  </conditionalFormatting>
  <conditionalFormatting sqref="P924:P925">
    <cfRule type="containsText" dxfId="9" priority="10035" operator="containsText" text="No">
      <formula>NOT(ISERROR(SEARCH(("No"),(P924))))</formula>
    </cfRule>
  </conditionalFormatting>
  <conditionalFormatting sqref="P924:P925">
    <cfRule type="containsText" dxfId="2" priority="10036" operator="containsText" text="Yes">
      <formula>NOT(ISERROR(SEARCH(("Yes"),(P924))))</formula>
    </cfRule>
  </conditionalFormatting>
  <conditionalFormatting sqref="P924:P925">
    <cfRule type="containsText" dxfId="9" priority="10037" operator="containsText" text="No">
      <formula>NOT(ISERROR(SEARCH(("No"),(P924))))</formula>
    </cfRule>
  </conditionalFormatting>
  <conditionalFormatting sqref="P924:P925">
    <cfRule type="containsText" dxfId="2" priority="10038" operator="containsText" text="Yes">
      <formula>NOT(ISERROR(SEARCH(("Yes"),(P924))))</formula>
    </cfRule>
  </conditionalFormatting>
  <conditionalFormatting sqref="P924:P925">
    <cfRule type="containsText" dxfId="9" priority="10039" operator="containsText" text="No">
      <formula>NOT(ISERROR(SEARCH(("No"),(P924))))</formula>
    </cfRule>
  </conditionalFormatting>
  <conditionalFormatting sqref="P924:P925">
    <cfRule type="containsText" dxfId="2" priority="10040" operator="containsText" text="Yes">
      <formula>NOT(ISERROR(SEARCH(("Yes"),(P924))))</formula>
    </cfRule>
  </conditionalFormatting>
  <conditionalFormatting sqref="P924:P925">
    <cfRule type="containsText" dxfId="9" priority="10041" operator="containsText" text="No">
      <formula>NOT(ISERROR(SEARCH(("No"),(P924))))</formula>
    </cfRule>
  </conditionalFormatting>
  <conditionalFormatting sqref="P924:P925">
    <cfRule type="containsText" dxfId="2" priority="10042" operator="containsText" text="Yes">
      <formula>NOT(ISERROR(SEARCH(("Yes"),(P924))))</formula>
    </cfRule>
  </conditionalFormatting>
  <conditionalFormatting sqref="P924:P925">
    <cfRule type="containsText" dxfId="9" priority="10043" operator="containsText" text="No">
      <formula>NOT(ISERROR(SEARCH(("No"),(P924))))</formula>
    </cfRule>
  </conditionalFormatting>
  <conditionalFormatting sqref="P924:P925">
    <cfRule type="containsText" dxfId="2" priority="10044" operator="containsText" text="Yes">
      <formula>NOT(ISERROR(SEARCH(("Yes"),(P924))))</formula>
    </cfRule>
  </conditionalFormatting>
  <conditionalFormatting sqref="P924:P925">
    <cfRule type="containsText" dxfId="9" priority="10045" operator="containsText" text="No">
      <formula>NOT(ISERROR(SEARCH(("No"),(P924))))</formula>
    </cfRule>
  </conditionalFormatting>
  <conditionalFormatting sqref="P924:P925">
    <cfRule type="containsText" dxfId="2" priority="10046" operator="containsText" text="Yes">
      <formula>NOT(ISERROR(SEARCH(("Yes"),(P924))))</formula>
    </cfRule>
  </conditionalFormatting>
  <conditionalFormatting sqref="P924:P925">
    <cfRule type="containsText" dxfId="9" priority="10047" operator="containsText" text="No">
      <formula>NOT(ISERROR(SEARCH(("No"),(P924))))</formula>
    </cfRule>
  </conditionalFormatting>
  <conditionalFormatting sqref="P924:P925">
    <cfRule type="containsText" dxfId="2" priority="10048" operator="containsText" text="Yes">
      <formula>NOT(ISERROR(SEARCH(("Yes"),(P924))))</formula>
    </cfRule>
  </conditionalFormatting>
  <conditionalFormatting sqref="P924:P925">
    <cfRule type="containsText" dxfId="9" priority="10049" operator="containsText" text="No">
      <formula>NOT(ISERROR(SEARCH(("No"),(P924))))</formula>
    </cfRule>
  </conditionalFormatting>
  <conditionalFormatting sqref="P924:P925">
    <cfRule type="containsText" dxfId="2" priority="10050" operator="containsText" text="Yes">
      <formula>NOT(ISERROR(SEARCH(("Yes"),(P924))))</formula>
    </cfRule>
  </conditionalFormatting>
  <conditionalFormatting sqref="P924:P925">
    <cfRule type="containsText" dxfId="9" priority="10051" operator="containsText" text="No">
      <formula>NOT(ISERROR(SEARCH(("No"),(P924))))</formula>
    </cfRule>
  </conditionalFormatting>
  <conditionalFormatting sqref="P924:P925">
    <cfRule type="containsText" dxfId="2" priority="10052" operator="containsText" text="Yes">
      <formula>NOT(ISERROR(SEARCH(("Yes"),(P924))))</formula>
    </cfRule>
  </conditionalFormatting>
  <conditionalFormatting sqref="P924:P925">
    <cfRule type="containsText" dxfId="9" priority="10053" operator="containsText" text="No">
      <formula>NOT(ISERROR(SEARCH(("No"),(P924))))</formula>
    </cfRule>
  </conditionalFormatting>
  <conditionalFormatting sqref="P924:P925">
    <cfRule type="containsText" dxfId="2" priority="10054" operator="containsText" text="Yes">
      <formula>NOT(ISERROR(SEARCH(("Yes"),(P924))))</formula>
    </cfRule>
  </conditionalFormatting>
  <conditionalFormatting sqref="P924:P925">
    <cfRule type="containsText" dxfId="9" priority="10055" operator="containsText" text="No">
      <formula>NOT(ISERROR(SEARCH(("No"),(P924))))</formula>
    </cfRule>
  </conditionalFormatting>
  <conditionalFormatting sqref="P924:P925">
    <cfRule type="containsText" dxfId="2" priority="10056" operator="containsText" text="Yes">
      <formula>NOT(ISERROR(SEARCH(("Yes"),(P924))))</formula>
    </cfRule>
  </conditionalFormatting>
  <conditionalFormatting sqref="P924:P925">
    <cfRule type="containsText" dxfId="9" priority="10057" operator="containsText" text="No">
      <formula>NOT(ISERROR(SEARCH(("No"),(P924))))</formula>
    </cfRule>
  </conditionalFormatting>
  <conditionalFormatting sqref="P924:P925">
    <cfRule type="containsText" dxfId="2" priority="10058" operator="containsText" text="Yes">
      <formula>NOT(ISERROR(SEARCH(("Yes"),(P924))))</formula>
    </cfRule>
  </conditionalFormatting>
  <conditionalFormatting sqref="P924:P925">
    <cfRule type="containsText" dxfId="9" priority="10059" operator="containsText" text="No">
      <formula>NOT(ISERROR(SEARCH(("No"),(P924))))</formula>
    </cfRule>
  </conditionalFormatting>
  <conditionalFormatting sqref="P924:P925">
    <cfRule type="containsText" dxfId="2" priority="10060" operator="containsText" text="Yes">
      <formula>NOT(ISERROR(SEARCH(("Yes"),(P924))))</formula>
    </cfRule>
  </conditionalFormatting>
  <conditionalFormatting sqref="P924:P925">
    <cfRule type="containsText" dxfId="9" priority="10061" operator="containsText" text="No">
      <formula>NOT(ISERROR(SEARCH(("No"),(P924))))</formula>
    </cfRule>
  </conditionalFormatting>
  <conditionalFormatting sqref="P924:P925">
    <cfRule type="containsText" dxfId="2" priority="10062" operator="containsText" text="Yes">
      <formula>NOT(ISERROR(SEARCH(("Yes"),(P924))))</formula>
    </cfRule>
  </conditionalFormatting>
  <conditionalFormatting sqref="P924:P925">
    <cfRule type="containsText" dxfId="9" priority="10063" operator="containsText" text="No">
      <formula>NOT(ISERROR(SEARCH(("No"),(P924))))</formula>
    </cfRule>
  </conditionalFormatting>
  <conditionalFormatting sqref="P924:P925">
    <cfRule type="containsText" dxfId="2" priority="10064" operator="containsText" text="Yes">
      <formula>NOT(ISERROR(SEARCH(("Yes"),(P924))))</formula>
    </cfRule>
  </conditionalFormatting>
  <conditionalFormatting sqref="P924:P925">
    <cfRule type="containsText" dxfId="9" priority="10065" operator="containsText" text="No">
      <formula>NOT(ISERROR(SEARCH(("No"),(P924))))</formula>
    </cfRule>
  </conditionalFormatting>
  <conditionalFormatting sqref="P924:P925">
    <cfRule type="containsText" dxfId="2" priority="10066" operator="containsText" text="Yes">
      <formula>NOT(ISERROR(SEARCH(("Yes"),(P924))))</formula>
    </cfRule>
  </conditionalFormatting>
  <conditionalFormatting sqref="P924:P925">
    <cfRule type="containsText" dxfId="9" priority="10067" operator="containsText" text="No">
      <formula>NOT(ISERROR(SEARCH(("No"),(P924))))</formula>
    </cfRule>
  </conditionalFormatting>
  <conditionalFormatting sqref="P924:P925">
    <cfRule type="containsText" dxfId="2" priority="10068" operator="containsText" text="Yes">
      <formula>NOT(ISERROR(SEARCH(("Yes"),(P924))))</formula>
    </cfRule>
  </conditionalFormatting>
  <conditionalFormatting sqref="P924:P925">
    <cfRule type="containsText" dxfId="9" priority="10069" operator="containsText" text="No">
      <formula>NOT(ISERROR(SEARCH(("No"),(P924))))</formula>
    </cfRule>
  </conditionalFormatting>
  <conditionalFormatting sqref="P924:P925">
    <cfRule type="containsText" dxfId="2" priority="10070" operator="containsText" text="Yes">
      <formula>NOT(ISERROR(SEARCH(("Yes"),(P924))))</formula>
    </cfRule>
  </conditionalFormatting>
  <conditionalFormatting sqref="P924:P925">
    <cfRule type="containsText" dxfId="9" priority="10071" operator="containsText" text="No">
      <formula>NOT(ISERROR(SEARCH(("No"),(P924))))</formula>
    </cfRule>
  </conditionalFormatting>
  <conditionalFormatting sqref="P924:P925">
    <cfRule type="containsText" dxfId="2" priority="10072" operator="containsText" text="Yes">
      <formula>NOT(ISERROR(SEARCH(("Yes"),(P924))))</formula>
    </cfRule>
  </conditionalFormatting>
  <conditionalFormatting sqref="P924:P925">
    <cfRule type="containsText" dxfId="9" priority="10073" operator="containsText" text="No">
      <formula>NOT(ISERROR(SEARCH(("No"),(P924))))</formula>
    </cfRule>
  </conditionalFormatting>
  <conditionalFormatting sqref="P924:P925">
    <cfRule type="containsText" dxfId="2" priority="10074" operator="containsText" text="Yes">
      <formula>NOT(ISERROR(SEARCH(("Yes"),(P924))))</formula>
    </cfRule>
  </conditionalFormatting>
  <conditionalFormatting sqref="P924:P925">
    <cfRule type="containsText" dxfId="9" priority="10075" operator="containsText" text="No">
      <formula>NOT(ISERROR(SEARCH(("No"),(P924))))</formula>
    </cfRule>
  </conditionalFormatting>
  <conditionalFormatting sqref="P924:P925">
    <cfRule type="containsText" dxfId="2" priority="10076" operator="containsText" text="Yes">
      <formula>NOT(ISERROR(SEARCH(("Yes"),(P924))))</formula>
    </cfRule>
  </conditionalFormatting>
  <conditionalFormatting sqref="P924:P925">
    <cfRule type="containsText" dxfId="9" priority="10077" operator="containsText" text="No">
      <formula>NOT(ISERROR(SEARCH(("No"),(P924))))</formula>
    </cfRule>
  </conditionalFormatting>
  <conditionalFormatting sqref="P924:P925">
    <cfRule type="containsText" dxfId="2" priority="10078" operator="containsText" text="Yes">
      <formula>NOT(ISERROR(SEARCH(("Yes"),(P924))))</formula>
    </cfRule>
  </conditionalFormatting>
  <conditionalFormatting sqref="P924:P925">
    <cfRule type="containsText" dxfId="9" priority="10079" operator="containsText" text="No">
      <formula>NOT(ISERROR(SEARCH(("No"),(P924))))</formula>
    </cfRule>
  </conditionalFormatting>
  <conditionalFormatting sqref="P924:P925">
    <cfRule type="containsText" dxfId="2" priority="10080" operator="containsText" text="Yes">
      <formula>NOT(ISERROR(SEARCH(("Yes"),(P924))))</formula>
    </cfRule>
  </conditionalFormatting>
  <conditionalFormatting sqref="P924:P925">
    <cfRule type="containsText" dxfId="9" priority="10081" operator="containsText" text="No">
      <formula>NOT(ISERROR(SEARCH(("No"),(P924))))</formula>
    </cfRule>
  </conditionalFormatting>
  <conditionalFormatting sqref="P924:P925">
    <cfRule type="containsText" dxfId="2" priority="10082" operator="containsText" text="Yes">
      <formula>NOT(ISERROR(SEARCH(("Yes"),(P924))))</formula>
    </cfRule>
  </conditionalFormatting>
  <conditionalFormatting sqref="P924:P925">
    <cfRule type="containsText" dxfId="9" priority="10083" operator="containsText" text="No">
      <formula>NOT(ISERROR(SEARCH(("No"),(P924))))</formula>
    </cfRule>
  </conditionalFormatting>
  <conditionalFormatting sqref="P924:P925">
    <cfRule type="containsText" dxfId="2" priority="10084" operator="containsText" text="Yes">
      <formula>NOT(ISERROR(SEARCH(("Yes"),(P924))))</formula>
    </cfRule>
  </conditionalFormatting>
  <conditionalFormatting sqref="P924:P925">
    <cfRule type="containsText" dxfId="9" priority="10085" operator="containsText" text="No">
      <formula>NOT(ISERROR(SEARCH(("No"),(P924))))</formula>
    </cfRule>
  </conditionalFormatting>
  <conditionalFormatting sqref="P924:P925">
    <cfRule type="containsText" dxfId="2" priority="10086" operator="containsText" text="Yes">
      <formula>NOT(ISERROR(SEARCH(("Yes"),(P924))))</formula>
    </cfRule>
  </conditionalFormatting>
  <conditionalFormatting sqref="P924:P925">
    <cfRule type="containsText" dxfId="9" priority="10087" operator="containsText" text="No">
      <formula>NOT(ISERROR(SEARCH(("No"),(P924))))</formula>
    </cfRule>
  </conditionalFormatting>
  <conditionalFormatting sqref="P924:P925">
    <cfRule type="containsText" dxfId="2" priority="10088" operator="containsText" text="Yes">
      <formula>NOT(ISERROR(SEARCH(("Yes"),(P924))))</formula>
    </cfRule>
  </conditionalFormatting>
  <conditionalFormatting sqref="P924:P925">
    <cfRule type="containsText" dxfId="9" priority="10089" operator="containsText" text="No">
      <formula>NOT(ISERROR(SEARCH(("No"),(P924))))</formula>
    </cfRule>
  </conditionalFormatting>
  <conditionalFormatting sqref="P924:P925">
    <cfRule type="containsText" dxfId="2" priority="10090" operator="containsText" text="Yes">
      <formula>NOT(ISERROR(SEARCH(("Yes"),(P924))))</formula>
    </cfRule>
  </conditionalFormatting>
  <conditionalFormatting sqref="P924:P925">
    <cfRule type="containsText" dxfId="9" priority="10091" operator="containsText" text="No">
      <formula>NOT(ISERROR(SEARCH(("No"),(P924))))</formula>
    </cfRule>
  </conditionalFormatting>
  <conditionalFormatting sqref="P924:P925">
    <cfRule type="containsText" dxfId="2" priority="10092" operator="containsText" text="Yes">
      <formula>NOT(ISERROR(SEARCH(("Yes"),(P924))))</formula>
    </cfRule>
  </conditionalFormatting>
  <conditionalFormatting sqref="P924:P925">
    <cfRule type="containsText" dxfId="9" priority="10093" operator="containsText" text="No">
      <formula>NOT(ISERROR(SEARCH(("No"),(P924))))</formula>
    </cfRule>
  </conditionalFormatting>
  <conditionalFormatting sqref="P924:P925">
    <cfRule type="containsText" dxfId="2" priority="10094" operator="containsText" text="Yes">
      <formula>NOT(ISERROR(SEARCH(("Yes"),(P924))))</formula>
    </cfRule>
  </conditionalFormatting>
  <conditionalFormatting sqref="P924:P925">
    <cfRule type="containsText" dxfId="9" priority="10095" operator="containsText" text="No">
      <formula>NOT(ISERROR(SEARCH(("No"),(P924))))</formula>
    </cfRule>
  </conditionalFormatting>
  <conditionalFormatting sqref="P924:P925">
    <cfRule type="containsText" dxfId="2" priority="10096" operator="containsText" text="Yes">
      <formula>NOT(ISERROR(SEARCH(("Yes"),(P924))))</formula>
    </cfRule>
  </conditionalFormatting>
  <conditionalFormatting sqref="P924:P925">
    <cfRule type="containsText" dxfId="9" priority="10097" operator="containsText" text="No">
      <formula>NOT(ISERROR(SEARCH(("No"),(P924))))</formula>
    </cfRule>
  </conditionalFormatting>
  <conditionalFormatting sqref="P924:P925">
    <cfRule type="containsText" dxfId="2" priority="10098" operator="containsText" text="Yes">
      <formula>NOT(ISERROR(SEARCH(("Yes"),(P924))))</formula>
    </cfRule>
  </conditionalFormatting>
  <conditionalFormatting sqref="P924:P925">
    <cfRule type="containsText" dxfId="9" priority="10099" operator="containsText" text="No">
      <formula>NOT(ISERROR(SEARCH(("No"),(P924))))</formula>
    </cfRule>
  </conditionalFormatting>
  <conditionalFormatting sqref="P924:P925">
    <cfRule type="containsText" dxfId="2" priority="10100" operator="containsText" text="Yes">
      <formula>NOT(ISERROR(SEARCH(("Yes"),(P924))))</formula>
    </cfRule>
  </conditionalFormatting>
  <conditionalFormatting sqref="P924:P925">
    <cfRule type="containsText" dxfId="9" priority="10101" operator="containsText" text="No">
      <formula>NOT(ISERROR(SEARCH(("No"),(P924))))</formula>
    </cfRule>
  </conditionalFormatting>
  <conditionalFormatting sqref="P924:P925">
    <cfRule type="containsText" dxfId="2" priority="10102" operator="containsText" text="Yes">
      <formula>NOT(ISERROR(SEARCH(("Yes"),(P924))))</formula>
    </cfRule>
  </conditionalFormatting>
  <conditionalFormatting sqref="P924:P925">
    <cfRule type="containsText" dxfId="9" priority="10103" operator="containsText" text="No">
      <formula>NOT(ISERROR(SEARCH(("No"),(P924))))</formula>
    </cfRule>
  </conditionalFormatting>
  <conditionalFormatting sqref="P924:P925">
    <cfRule type="containsText" dxfId="2" priority="10104" operator="containsText" text="Yes">
      <formula>NOT(ISERROR(SEARCH(("Yes"),(P924))))</formula>
    </cfRule>
  </conditionalFormatting>
  <conditionalFormatting sqref="P924:P925">
    <cfRule type="containsText" dxfId="9" priority="10105" operator="containsText" text="No">
      <formula>NOT(ISERROR(SEARCH(("No"),(P924))))</formula>
    </cfRule>
  </conditionalFormatting>
  <conditionalFormatting sqref="P924:P925">
    <cfRule type="containsText" dxfId="2" priority="10106" operator="containsText" text="Yes">
      <formula>NOT(ISERROR(SEARCH(("Yes"),(P924))))</formula>
    </cfRule>
  </conditionalFormatting>
  <conditionalFormatting sqref="P924:P925">
    <cfRule type="containsText" dxfId="9" priority="10107" operator="containsText" text="No">
      <formula>NOT(ISERROR(SEARCH(("No"),(P924))))</formula>
    </cfRule>
  </conditionalFormatting>
  <conditionalFormatting sqref="P924:P925">
    <cfRule type="containsText" dxfId="2" priority="10108" operator="containsText" text="Yes">
      <formula>NOT(ISERROR(SEARCH(("Yes"),(P924))))</formula>
    </cfRule>
  </conditionalFormatting>
  <conditionalFormatting sqref="P924:P925">
    <cfRule type="containsText" dxfId="9" priority="10109" operator="containsText" text="No">
      <formula>NOT(ISERROR(SEARCH(("No"),(P924))))</formula>
    </cfRule>
  </conditionalFormatting>
  <conditionalFormatting sqref="P924:P925">
    <cfRule type="containsText" dxfId="2" priority="10110" operator="containsText" text="Yes">
      <formula>NOT(ISERROR(SEARCH(("Yes"),(P924))))</formula>
    </cfRule>
  </conditionalFormatting>
  <conditionalFormatting sqref="P924:P925">
    <cfRule type="containsText" dxfId="9" priority="10111" operator="containsText" text="No">
      <formula>NOT(ISERROR(SEARCH(("No"),(P924))))</formula>
    </cfRule>
  </conditionalFormatting>
  <conditionalFormatting sqref="P924:P925">
    <cfRule type="containsText" dxfId="2" priority="10112" operator="containsText" text="Yes">
      <formula>NOT(ISERROR(SEARCH(("Yes"),(P924))))</formula>
    </cfRule>
  </conditionalFormatting>
  <conditionalFormatting sqref="P924:P925">
    <cfRule type="containsText" dxfId="9" priority="10113" operator="containsText" text="No">
      <formula>NOT(ISERROR(SEARCH(("No"),(P924))))</formula>
    </cfRule>
  </conditionalFormatting>
  <conditionalFormatting sqref="P924:P925">
    <cfRule type="containsText" dxfId="2" priority="10114" operator="containsText" text="Yes">
      <formula>NOT(ISERROR(SEARCH(("Yes"),(P924))))</formula>
    </cfRule>
  </conditionalFormatting>
  <conditionalFormatting sqref="P924:P925">
    <cfRule type="containsText" dxfId="9" priority="10115" operator="containsText" text="No">
      <formula>NOT(ISERROR(SEARCH(("No"),(P924))))</formula>
    </cfRule>
  </conditionalFormatting>
  <conditionalFormatting sqref="P924:P925">
    <cfRule type="containsText" dxfId="2" priority="10116" operator="containsText" text="Yes">
      <formula>NOT(ISERROR(SEARCH(("Yes"),(P924))))</formula>
    </cfRule>
  </conditionalFormatting>
  <conditionalFormatting sqref="P924:P925">
    <cfRule type="containsText" dxfId="9" priority="10117" operator="containsText" text="No">
      <formula>NOT(ISERROR(SEARCH(("No"),(P924))))</formula>
    </cfRule>
  </conditionalFormatting>
  <conditionalFormatting sqref="P924:P925">
    <cfRule type="containsText" dxfId="2" priority="10118" operator="containsText" text="Yes">
      <formula>NOT(ISERROR(SEARCH(("Yes"),(P924))))</formula>
    </cfRule>
  </conditionalFormatting>
  <conditionalFormatting sqref="P924:P925">
    <cfRule type="containsText" dxfId="9" priority="10119" operator="containsText" text="No">
      <formula>NOT(ISERROR(SEARCH(("No"),(P924))))</formula>
    </cfRule>
  </conditionalFormatting>
  <conditionalFormatting sqref="P924:P925">
    <cfRule type="containsText" dxfId="2" priority="10120" operator="containsText" text="Yes">
      <formula>NOT(ISERROR(SEARCH(("Yes"),(P924))))</formula>
    </cfRule>
  </conditionalFormatting>
  <conditionalFormatting sqref="P924:P925">
    <cfRule type="containsText" dxfId="9" priority="10121" operator="containsText" text="No">
      <formula>NOT(ISERROR(SEARCH(("No"),(P924))))</formula>
    </cfRule>
  </conditionalFormatting>
  <conditionalFormatting sqref="P924:P925">
    <cfRule type="containsText" dxfId="2" priority="10122" operator="containsText" text="Yes">
      <formula>NOT(ISERROR(SEARCH(("Yes"),(P924))))</formula>
    </cfRule>
  </conditionalFormatting>
  <conditionalFormatting sqref="P924:P925">
    <cfRule type="containsText" dxfId="9" priority="10123" operator="containsText" text="No">
      <formula>NOT(ISERROR(SEARCH(("No"),(P924))))</formula>
    </cfRule>
  </conditionalFormatting>
  <conditionalFormatting sqref="P924:P925">
    <cfRule type="containsText" dxfId="2" priority="10124" operator="containsText" text="Yes">
      <formula>NOT(ISERROR(SEARCH(("Yes"),(P924))))</formula>
    </cfRule>
  </conditionalFormatting>
  <conditionalFormatting sqref="P924:P925">
    <cfRule type="containsText" dxfId="9" priority="10125" operator="containsText" text="No">
      <formula>NOT(ISERROR(SEARCH(("No"),(P924))))</formula>
    </cfRule>
  </conditionalFormatting>
  <conditionalFormatting sqref="P924:P925">
    <cfRule type="containsText" dxfId="2" priority="10126" operator="containsText" text="Yes">
      <formula>NOT(ISERROR(SEARCH(("Yes"),(P924))))</formula>
    </cfRule>
  </conditionalFormatting>
  <conditionalFormatting sqref="P924:P925">
    <cfRule type="containsText" dxfId="9" priority="10127" operator="containsText" text="No">
      <formula>NOT(ISERROR(SEARCH(("No"),(P924))))</formula>
    </cfRule>
  </conditionalFormatting>
  <conditionalFormatting sqref="P924:P925">
    <cfRule type="containsText" dxfId="2" priority="10128" operator="containsText" text="Yes">
      <formula>NOT(ISERROR(SEARCH(("Yes"),(P924))))</formula>
    </cfRule>
  </conditionalFormatting>
  <conditionalFormatting sqref="P924:P925">
    <cfRule type="containsText" dxfId="9" priority="10129" operator="containsText" text="No">
      <formula>NOT(ISERROR(SEARCH(("No"),(P924))))</formula>
    </cfRule>
  </conditionalFormatting>
  <conditionalFormatting sqref="P924:P925">
    <cfRule type="containsText" dxfId="2" priority="10130" operator="containsText" text="Yes">
      <formula>NOT(ISERROR(SEARCH(("Yes"),(P924))))</formula>
    </cfRule>
  </conditionalFormatting>
  <conditionalFormatting sqref="P924:P925">
    <cfRule type="containsText" dxfId="9" priority="10131" operator="containsText" text="No">
      <formula>NOT(ISERROR(SEARCH(("No"),(P924))))</formula>
    </cfRule>
  </conditionalFormatting>
  <conditionalFormatting sqref="P924:P925">
    <cfRule type="containsText" dxfId="2" priority="10132" operator="containsText" text="Yes">
      <formula>NOT(ISERROR(SEARCH(("Yes"),(P924))))</formula>
    </cfRule>
  </conditionalFormatting>
  <conditionalFormatting sqref="P924:P925">
    <cfRule type="containsText" dxfId="9" priority="10133" operator="containsText" text="No">
      <formula>NOT(ISERROR(SEARCH(("No"),(P924))))</formula>
    </cfRule>
  </conditionalFormatting>
  <conditionalFormatting sqref="P924:P925">
    <cfRule type="containsText" dxfId="2" priority="10134" operator="containsText" text="Yes">
      <formula>NOT(ISERROR(SEARCH(("Yes"),(P924))))</formula>
    </cfRule>
  </conditionalFormatting>
  <conditionalFormatting sqref="P924:P925">
    <cfRule type="containsText" dxfId="9" priority="10135" operator="containsText" text="No">
      <formula>NOT(ISERROR(SEARCH(("No"),(P924))))</formula>
    </cfRule>
  </conditionalFormatting>
  <conditionalFormatting sqref="P924:P925">
    <cfRule type="containsText" dxfId="2" priority="10136" operator="containsText" text="Yes">
      <formula>NOT(ISERROR(SEARCH(("Yes"),(P924))))</formula>
    </cfRule>
  </conditionalFormatting>
  <conditionalFormatting sqref="P924:P925">
    <cfRule type="containsText" dxfId="9" priority="10137" operator="containsText" text="No">
      <formula>NOT(ISERROR(SEARCH(("No"),(P924))))</formula>
    </cfRule>
  </conditionalFormatting>
  <conditionalFormatting sqref="P924:P925">
    <cfRule type="containsText" dxfId="2" priority="10138" operator="containsText" text="Yes">
      <formula>NOT(ISERROR(SEARCH(("Yes"),(P924))))</formula>
    </cfRule>
  </conditionalFormatting>
  <conditionalFormatting sqref="P924:P925">
    <cfRule type="containsText" dxfId="9" priority="10139" operator="containsText" text="No">
      <formula>NOT(ISERROR(SEARCH(("No"),(P924))))</formula>
    </cfRule>
  </conditionalFormatting>
  <conditionalFormatting sqref="P924:P925">
    <cfRule type="containsText" dxfId="2" priority="10140" operator="containsText" text="Yes">
      <formula>NOT(ISERROR(SEARCH(("Yes"),(P924))))</formula>
    </cfRule>
  </conditionalFormatting>
  <conditionalFormatting sqref="P924:P925">
    <cfRule type="containsText" dxfId="9" priority="10141" operator="containsText" text="No">
      <formula>NOT(ISERROR(SEARCH(("No"),(P924))))</formula>
    </cfRule>
  </conditionalFormatting>
  <conditionalFormatting sqref="P924:P925">
    <cfRule type="containsText" dxfId="2" priority="10142" operator="containsText" text="Yes">
      <formula>NOT(ISERROR(SEARCH(("Yes"),(P924))))</formula>
    </cfRule>
  </conditionalFormatting>
  <conditionalFormatting sqref="P924:P925">
    <cfRule type="containsText" dxfId="9" priority="10143" operator="containsText" text="No">
      <formula>NOT(ISERROR(SEARCH(("No"),(P924))))</formula>
    </cfRule>
  </conditionalFormatting>
  <conditionalFormatting sqref="P924:P925">
    <cfRule type="containsText" dxfId="2" priority="10144" operator="containsText" text="Yes">
      <formula>NOT(ISERROR(SEARCH(("Yes"),(P924))))</formula>
    </cfRule>
  </conditionalFormatting>
  <conditionalFormatting sqref="P924:P925">
    <cfRule type="containsText" dxfId="9" priority="10145" operator="containsText" text="No">
      <formula>NOT(ISERROR(SEARCH(("No"),(P924))))</formula>
    </cfRule>
  </conditionalFormatting>
  <conditionalFormatting sqref="P924:P925">
    <cfRule type="containsText" dxfId="2" priority="10146" operator="containsText" text="Yes">
      <formula>NOT(ISERROR(SEARCH(("Yes"),(P924))))</formula>
    </cfRule>
  </conditionalFormatting>
  <conditionalFormatting sqref="P924:P925">
    <cfRule type="containsText" dxfId="9" priority="10147" operator="containsText" text="No">
      <formula>NOT(ISERROR(SEARCH(("No"),(P924))))</formula>
    </cfRule>
  </conditionalFormatting>
  <conditionalFormatting sqref="P924:P925">
    <cfRule type="containsText" dxfId="2" priority="10148" operator="containsText" text="Yes">
      <formula>NOT(ISERROR(SEARCH(("Yes"),(P924))))</formula>
    </cfRule>
  </conditionalFormatting>
  <conditionalFormatting sqref="P924:P925">
    <cfRule type="containsText" dxfId="9" priority="10149" operator="containsText" text="No">
      <formula>NOT(ISERROR(SEARCH(("No"),(P924))))</formula>
    </cfRule>
  </conditionalFormatting>
  <conditionalFormatting sqref="P924:P925">
    <cfRule type="containsText" dxfId="2" priority="10150" operator="containsText" text="Yes">
      <formula>NOT(ISERROR(SEARCH(("Yes"),(P924))))</formula>
    </cfRule>
  </conditionalFormatting>
  <conditionalFormatting sqref="P924:P925">
    <cfRule type="containsText" dxfId="9" priority="10151" operator="containsText" text="No">
      <formula>NOT(ISERROR(SEARCH(("No"),(P924))))</formula>
    </cfRule>
  </conditionalFormatting>
  <conditionalFormatting sqref="P924:P925">
    <cfRule type="containsText" dxfId="2" priority="10152" operator="containsText" text="Yes">
      <formula>NOT(ISERROR(SEARCH(("Yes"),(P924))))</formula>
    </cfRule>
  </conditionalFormatting>
  <conditionalFormatting sqref="P924:P925">
    <cfRule type="containsText" dxfId="9" priority="10153" operator="containsText" text="No">
      <formula>NOT(ISERROR(SEARCH(("No"),(P924))))</formula>
    </cfRule>
  </conditionalFormatting>
  <conditionalFormatting sqref="P924:P925">
    <cfRule type="containsText" dxfId="2" priority="10154" operator="containsText" text="Yes">
      <formula>NOT(ISERROR(SEARCH(("Yes"),(P924))))</formula>
    </cfRule>
  </conditionalFormatting>
  <conditionalFormatting sqref="P924:P925">
    <cfRule type="containsText" dxfId="9" priority="10155" operator="containsText" text="No">
      <formula>NOT(ISERROR(SEARCH(("No"),(P924))))</formula>
    </cfRule>
  </conditionalFormatting>
  <conditionalFormatting sqref="P924:P925">
    <cfRule type="containsText" dxfId="2" priority="10156" operator="containsText" text="Yes">
      <formula>NOT(ISERROR(SEARCH(("Yes"),(P924))))</formula>
    </cfRule>
  </conditionalFormatting>
  <conditionalFormatting sqref="P924:P925">
    <cfRule type="containsText" dxfId="9" priority="10157" operator="containsText" text="No">
      <formula>NOT(ISERROR(SEARCH(("No"),(P924))))</formula>
    </cfRule>
  </conditionalFormatting>
  <conditionalFormatting sqref="P924:P925">
    <cfRule type="containsText" dxfId="2" priority="10158" operator="containsText" text="Yes">
      <formula>NOT(ISERROR(SEARCH(("Yes"),(P924))))</formula>
    </cfRule>
  </conditionalFormatting>
  <conditionalFormatting sqref="P924:P925">
    <cfRule type="containsText" dxfId="9" priority="10159" operator="containsText" text="No">
      <formula>NOT(ISERROR(SEARCH(("No"),(P924))))</formula>
    </cfRule>
  </conditionalFormatting>
  <conditionalFormatting sqref="P924:P925">
    <cfRule type="containsText" dxfId="2" priority="10160" operator="containsText" text="Yes">
      <formula>NOT(ISERROR(SEARCH(("Yes"),(P924))))</formula>
    </cfRule>
  </conditionalFormatting>
  <conditionalFormatting sqref="P924:P925">
    <cfRule type="containsText" dxfId="9" priority="10161" operator="containsText" text="No">
      <formula>NOT(ISERROR(SEARCH(("No"),(P924))))</formula>
    </cfRule>
  </conditionalFormatting>
  <conditionalFormatting sqref="P924:P925">
    <cfRule type="containsText" dxfId="2" priority="10162" operator="containsText" text="Yes">
      <formula>NOT(ISERROR(SEARCH(("Yes"),(P924))))</formula>
    </cfRule>
  </conditionalFormatting>
  <conditionalFormatting sqref="P924:P925">
    <cfRule type="containsText" dxfId="2" priority="10163" operator="containsText" text="Yes">
      <formula>NOT(ISERROR(SEARCH(("Yes"),(P924))))</formula>
    </cfRule>
  </conditionalFormatting>
  <conditionalFormatting sqref="P924:P925">
    <cfRule type="containsText" dxfId="9" priority="10164" operator="containsText" text="No">
      <formula>NOT(ISERROR(SEARCH(("No"),(P924))))</formula>
    </cfRule>
  </conditionalFormatting>
  <conditionalFormatting sqref="P924:P925">
    <cfRule type="containsText" dxfId="2" priority="10165" operator="containsText" text="Yes">
      <formula>NOT(ISERROR(SEARCH(("Yes"),(P924))))</formula>
    </cfRule>
  </conditionalFormatting>
  <conditionalFormatting sqref="P924:P925">
    <cfRule type="containsText" dxfId="9" priority="10166" operator="containsText" text="No">
      <formula>NOT(ISERROR(SEARCH(("No"),(P924))))</formula>
    </cfRule>
  </conditionalFormatting>
  <conditionalFormatting sqref="P924:P925">
    <cfRule type="containsText" dxfId="2" priority="10167" operator="containsText" text="Yes">
      <formula>NOT(ISERROR(SEARCH(("Yes"),(P924))))</formula>
    </cfRule>
  </conditionalFormatting>
  <conditionalFormatting sqref="P924:P925">
    <cfRule type="containsText" dxfId="9" priority="10168" operator="containsText" text="No">
      <formula>NOT(ISERROR(SEARCH(("No"),(P924))))</formula>
    </cfRule>
  </conditionalFormatting>
  <conditionalFormatting sqref="P924:P925">
    <cfRule type="containsText" dxfId="2" priority="10169" operator="containsText" text="Yes">
      <formula>NOT(ISERROR(SEARCH(("Yes"),(P924))))</formula>
    </cfRule>
  </conditionalFormatting>
  <conditionalFormatting sqref="P924:P925">
    <cfRule type="containsText" dxfId="9" priority="10170" operator="containsText" text="No">
      <formula>NOT(ISERROR(SEARCH(("No"),(P924))))</formula>
    </cfRule>
  </conditionalFormatting>
  <conditionalFormatting sqref="P924:P925">
    <cfRule type="containsText" dxfId="2" priority="10171" operator="containsText" text="Yes">
      <formula>NOT(ISERROR(SEARCH(("Yes"),(P924))))</formula>
    </cfRule>
  </conditionalFormatting>
  <conditionalFormatting sqref="P924:P925">
    <cfRule type="containsText" dxfId="9" priority="10172" operator="containsText" text="No">
      <formula>NOT(ISERROR(SEARCH(("No"),(P924))))</formula>
    </cfRule>
  </conditionalFormatting>
  <conditionalFormatting sqref="P924:P925">
    <cfRule type="containsText" dxfId="2" priority="10173" operator="containsText" text="Yes">
      <formula>NOT(ISERROR(SEARCH(("Yes"),(P924))))</formula>
    </cfRule>
  </conditionalFormatting>
  <conditionalFormatting sqref="P924:P925">
    <cfRule type="containsText" dxfId="9" priority="10174" operator="containsText" text="No">
      <formula>NOT(ISERROR(SEARCH(("No"),(P924))))</formula>
    </cfRule>
  </conditionalFormatting>
  <conditionalFormatting sqref="P924:P925">
    <cfRule type="containsText" dxfId="2" priority="10175" operator="containsText" text="Yes">
      <formula>NOT(ISERROR(SEARCH(("Yes"),(P924))))</formula>
    </cfRule>
  </conditionalFormatting>
  <conditionalFormatting sqref="P924:P925">
    <cfRule type="containsText" dxfId="9" priority="10176" operator="containsText" text="No">
      <formula>NOT(ISERROR(SEARCH(("No"),(P924))))</formula>
    </cfRule>
  </conditionalFormatting>
  <conditionalFormatting sqref="P924:P925">
    <cfRule type="containsText" dxfId="2" priority="10177" operator="containsText" text="Yes">
      <formula>NOT(ISERROR(SEARCH(("Yes"),(P924))))</formula>
    </cfRule>
  </conditionalFormatting>
  <conditionalFormatting sqref="P924:P925">
    <cfRule type="containsText" dxfId="9" priority="10178" operator="containsText" text="No">
      <formula>NOT(ISERROR(SEARCH(("No"),(P924))))</formula>
    </cfRule>
  </conditionalFormatting>
  <conditionalFormatting sqref="P924:P925">
    <cfRule type="containsText" dxfId="2" priority="10179" operator="containsText" text="Yes">
      <formula>NOT(ISERROR(SEARCH(("Yes"),(P924))))</formula>
    </cfRule>
  </conditionalFormatting>
  <conditionalFormatting sqref="P924:P925">
    <cfRule type="containsText" dxfId="9" priority="10180" operator="containsText" text="No">
      <formula>NOT(ISERROR(SEARCH(("No"),(P924))))</formula>
    </cfRule>
  </conditionalFormatting>
  <conditionalFormatting sqref="P924:P925">
    <cfRule type="containsText" dxfId="2" priority="10181" operator="containsText" text="Yes">
      <formula>NOT(ISERROR(SEARCH(("Yes"),(P924))))</formula>
    </cfRule>
  </conditionalFormatting>
  <conditionalFormatting sqref="P924:P925">
    <cfRule type="containsText" dxfId="9" priority="10182" operator="containsText" text="No">
      <formula>NOT(ISERROR(SEARCH(("No"),(P924))))</formula>
    </cfRule>
  </conditionalFormatting>
  <conditionalFormatting sqref="P924:P925">
    <cfRule type="containsText" dxfId="2" priority="10183" operator="containsText" text="Yes">
      <formula>NOT(ISERROR(SEARCH(("Yes"),(P924))))</formula>
    </cfRule>
  </conditionalFormatting>
  <conditionalFormatting sqref="P924:P925">
    <cfRule type="containsText" dxfId="9" priority="10184" operator="containsText" text="No">
      <formula>NOT(ISERROR(SEARCH(("No"),(P924))))</formula>
    </cfRule>
  </conditionalFormatting>
  <conditionalFormatting sqref="P924:P925">
    <cfRule type="containsText" dxfId="2" priority="10185" operator="containsText" text="Yes">
      <formula>NOT(ISERROR(SEARCH(("Yes"),(P924))))</formula>
    </cfRule>
  </conditionalFormatting>
  <conditionalFormatting sqref="P924:P925">
    <cfRule type="containsText" dxfId="9" priority="10186" operator="containsText" text="No">
      <formula>NOT(ISERROR(SEARCH(("No"),(P924))))</formula>
    </cfRule>
  </conditionalFormatting>
  <conditionalFormatting sqref="P924:P925">
    <cfRule type="containsText" dxfId="2" priority="10187" operator="containsText" text="Yes">
      <formula>NOT(ISERROR(SEARCH(("Yes"),(P924))))</formula>
    </cfRule>
  </conditionalFormatting>
  <conditionalFormatting sqref="P924:P925">
    <cfRule type="containsText" dxfId="9" priority="10188" operator="containsText" text="No">
      <formula>NOT(ISERROR(SEARCH(("No"),(P924))))</formula>
    </cfRule>
  </conditionalFormatting>
  <conditionalFormatting sqref="P924:P925">
    <cfRule type="containsText" dxfId="2" priority="10189" operator="containsText" text="Yes">
      <formula>NOT(ISERROR(SEARCH(("Yes"),(P924))))</formula>
    </cfRule>
  </conditionalFormatting>
  <conditionalFormatting sqref="P924:P925">
    <cfRule type="containsText" dxfId="9" priority="10190" operator="containsText" text="No">
      <formula>NOT(ISERROR(SEARCH(("No"),(P924))))</formula>
    </cfRule>
  </conditionalFormatting>
  <conditionalFormatting sqref="P924:P925">
    <cfRule type="containsText" dxfId="2" priority="10191" operator="containsText" text="Yes">
      <formula>NOT(ISERROR(SEARCH(("Yes"),(P924))))</formula>
    </cfRule>
  </conditionalFormatting>
  <conditionalFormatting sqref="P924:P925">
    <cfRule type="containsText" dxfId="9" priority="10192" operator="containsText" text="No">
      <formula>NOT(ISERROR(SEARCH(("No"),(P924))))</formula>
    </cfRule>
  </conditionalFormatting>
  <conditionalFormatting sqref="P924:P925">
    <cfRule type="containsText" dxfId="2" priority="10193" operator="containsText" text="Yes">
      <formula>NOT(ISERROR(SEARCH(("Yes"),(P924))))</formula>
    </cfRule>
  </conditionalFormatting>
  <conditionalFormatting sqref="P924:P925">
    <cfRule type="containsText" dxfId="9" priority="10194" operator="containsText" text="No">
      <formula>NOT(ISERROR(SEARCH(("No"),(P924))))</formula>
    </cfRule>
  </conditionalFormatting>
  <conditionalFormatting sqref="P924:P925">
    <cfRule type="containsText" dxfId="2" priority="10195" operator="containsText" text="Yes">
      <formula>NOT(ISERROR(SEARCH(("Yes"),(P924))))</formula>
    </cfRule>
  </conditionalFormatting>
  <conditionalFormatting sqref="P924:P925">
    <cfRule type="containsText" dxfId="9" priority="10196" operator="containsText" text="No">
      <formula>NOT(ISERROR(SEARCH(("No"),(P924))))</formula>
    </cfRule>
  </conditionalFormatting>
  <conditionalFormatting sqref="P924:P925">
    <cfRule type="containsText" dxfId="2" priority="10197" operator="containsText" text="Yes">
      <formula>NOT(ISERROR(SEARCH(("Yes"),(P924))))</formula>
    </cfRule>
  </conditionalFormatting>
  <conditionalFormatting sqref="P924:P925">
    <cfRule type="containsText" dxfId="9" priority="10198" operator="containsText" text="No">
      <formula>NOT(ISERROR(SEARCH(("No"),(P924))))</formula>
    </cfRule>
  </conditionalFormatting>
  <conditionalFormatting sqref="P924:P925">
    <cfRule type="containsText" dxfId="2" priority="10199" operator="containsText" text="Yes">
      <formula>NOT(ISERROR(SEARCH(("Yes"),(P924))))</formula>
    </cfRule>
  </conditionalFormatting>
  <conditionalFormatting sqref="P924:P925">
    <cfRule type="containsText" dxfId="9" priority="10200" operator="containsText" text="No">
      <formula>NOT(ISERROR(SEARCH(("No"),(P924))))</formula>
    </cfRule>
  </conditionalFormatting>
  <conditionalFormatting sqref="P924:P925">
    <cfRule type="containsText" dxfId="2" priority="10201" operator="containsText" text="Yes">
      <formula>NOT(ISERROR(SEARCH(("Yes"),(P924))))</formula>
    </cfRule>
  </conditionalFormatting>
  <conditionalFormatting sqref="P924:P925">
    <cfRule type="containsText" dxfId="9" priority="10202" operator="containsText" text="No">
      <formula>NOT(ISERROR(SEARCH(("No"),(P924))))</formula>
    </cfRule>
  </conditionalFormatting>
  <conditionalFormatting sqref="P924:P925">
    <cfRule type="containsText" dxfId="2" priority="10203" operator="containsText" text="Yes">
      <formula>NOT(ISERROR(SEARCH(("Yes"),(P924))))</formula>
    </cfRule>
  </conditionalFormatting>
  <conditionalFormatting sqref="P924:P925">
    <cfRule type="containsText" dxfId="9" priority="10204" operator="containsText" text="No">
      <formula>NOT(ISERROR(SEARCH(("No"),(P924))))</formula>
    </cfRule>
  </conditionalFormatting>
  <conditionalFormatting sqref="P924:P925">
    <cfRule type="containsText" dxfId="2" priority="10205" operator="containsText" text="Yes">
      <formula>NOT(ISERROR(SEARCH(("Yes"),(P924))))</formula>
    </cfRule>
  </conditionalFormatting>
  <conditionalFormatting sqref="P924:P925">
    <cfRule type="containsText" dxfId="9" priority="10206" operator="containsText" text="No">
      <formula>NOT(ISERROR(SEARCH(("No"),(P924))))</formula>
    </cfRule>
  </conditionalFormatting>
  <conditionalFormatting sqref="P924:P925">
    <cfRule type="containsText" dxfId="2" priority="10207" operator="containsText" text="Yes">
      <formula>NOT(ISERROR(SEARCH(("Yes"),(P924))))</formula>
    </cfRule>
  </conditionalFormatting>
  <conditionalFormatting sqref="P924:P925">
    <cfRule type="containsText" dxfId="9" priority="10208" operator="containsText" text="No">
      <formula>NOT(ISERROR(SEARCH(("No"),(P924))))</formula>
    </cfRule>
  </conditionalFormatting>
  <conditionalFormatting sqref="P924:P925">
    <cfRule type="containsText" dxfId="2" priority="10209" operator="containsText" text="Yes">
      <formula>NOT(ISERROR(SEARCH(("Yes"),(P924))))</formula>
    </cfRule>
  </conditionalFormatting>
  <conditionalFormatting sqref="P924:P925">
    <cfRule type="containsText" dxfId="9" priority="10210" operator="containsText" text="No">
      <formula>NOT(ISERROR(SEARCH(("No"),(P924))))</formula>
    </cfRule>
  </conditionalFormatting>
  <conditionalFormatting sqref="P924:P925">
    <cfRule type="containsText" dxfId="2" priority="10211" operator="containsText" text="Yes">
      <formula>NOT(ISERROR(SEARCH(("Yes"),(P924))))</formula>
    </cfRule>
  </conditionalFormatting>
  <conditionalFormatting sqref="P924:P925">
    <cfRule type="containsText" dxfId="9" priority="10212" operator="containsText" text="No">
      <formula>NOT(ISERROR(SEARCH(("No"),(P924))))</formula>
    </cfRule>
  </conditionalFormatting>
  <conditionalFormatting sqref="P924:P925">
    <cfRule type="containsText" dxfId="2" priority="10213" operator="containsText" text="Yes">
      <formula>NOT(ISERROR(SEARCH(("Yes"),(P924))))</formula>
    </cfRule>
  </conditionalFormatting>
  <conditionalFormatting sqref="P924:P925">
    <cfRule type="containsText" dxfId="9" priority="10214" operator="containsText" text="No">
      <formula>NOT(ISERROR(SEARCH(("No"),(P924))))</formula>
    </cfRule>
  </conditionalFormatting>
  <conditionalFormatting sqref="P924:P925">
    <cfRule type="containsText" dxfId="2" priority="10215" operator="containsText" text="Yes">
      <formula>NOT(ISERROR(SEARCH(("Yes"),(P924))))</formula>
    </cfRule>
  </conditionalFormatting>
  <conditionalFormatting sqref="P924:P925">
    <cfRule type="containsText" dxfId="9" priority="10216" operator="containsText" text="No">
      <formula>NOT(ISERROR(SEARCH(("No"),(P924))))</formula>
    </cfRule>
  </conditionalFormatting>
  <conditionalFormatting sqref="P924:P925">
    <cfRule type="containsText" dxfId="2" priority="10217" operator="containsText" text="Yes">
      <formula>NOT(ISERROR(SEARCH(("Yes"),(P924))))</formula>
    </cfRule>
  </conditionalFormatting>
  <conditionalFormatting sqref="P924:P925">
    <cfRule type="containsText" dxfId="9" priority="10218" operator="containsText" text="No">
      <formula>NOT(ISERROR(SEARCH(("No"),(P924))))</formula>
    </cfRule>
  </conditionalFormatting>
  <conditionalFormatting sqref="P924:P925">
    <cfRule type="containsText" dxfId="2" priority="10219" operator="containsText" text="Yes">
      <formula>NOT(ISERROR(SEARCH(("Yes"),(P924))))</formula>
    </cfRule>
  </conditionalFormatting>
  <conditionalFormatting sqref="P924:P925">
    <cfRule type="containsText" dxfId="9" priority="10220" operator="containsText" text="No">
      <formula>NOT(ISERROR(SEARCH(("No"),(P924))))</formula>
    </cfRule>
  </conditionalFormatting>
  <conditionalFormatting sqref="P924:P925">
    <cfRule type="containsText" dxfId="2" priority="10221" operator="containsText" text="Yes">
      <formula>NOT(ISERROR(SEARCH(("Yes"),(P924))))</formula>
    </cfRule>
  </conditionalFormatting>
  <conditionalFormatting sqref="P924:P925">
    <cfRule type="containsText" dxfId="9" priority="10222" operator="containsText" text="No">
      <formula>NOT(ISERROR(SEARCH(("No"),(P924))))</formula>
    </cfRule>
  </conditionalFormatting>
  <conditionalFormatting sqref="P924:P925">
    <cfRule type="containsText" dxfId="2" priority="10223" operator="containsText" text="Yes">
      <formula>NOT(ISERROR(SEARCH(("Yes"),(P924))))</formula>
    </cfRule>
  </conditionalFormatting>
  <conditionalFormatting sqref="P924:P925">
    <cfRule type="containsText" dxfId="9" priority="10224" operator="containsText" text="No">
      <formula>NOT(ISERROR(SEARCH(("No"),(P924))))</formula>
    </cfRule>
  </conditionalFormatting>
  <conditionalFormatting sqref="P924:P925">
    <cfRule type="containsText" dxfId="2" priority="10225" operator="containsText" text="Yes">
      <formula>NOT(ISERROR(SEARCH(("Yes"),(P924))))</formula>
    </cfRule>
  </conditionalFormatting>
  <conditionalFormatting sqref="P924:P925">
    <cfRule type="containsText" dxfId="9" priority="10226" operator="containsText" text="No">
      <formula>NOT(ISERROR(SEARCH(("No"),(P924))))</formula>
    </cfRule>
  </conditionalFormatting>
  <conditionalFormatting sqref="P924:P925">
    <cfRule type="containsText" dxfId="2" priority="10227" operator="containsText" text="Yes">
      <formula>NOT(ISERROR(SEARCH(("Yes"),(P924))))</formula>
    </cfRule>
  </conditionalFormatting>
  <conditionalFormatting sqref="P924:P925">
    <cfRule type="containsText" dxfId="9" priority="10228" operator="containsText" text="No">
      <formula>NOT(ISERROR(SEARCH(("No"),(P924))))</formula>
    </cfRule>
  </conditionalFormatting>
  <conditionalFormatting sqref="P924:P925">
    <cfRule type="containsText" dxfId="2" priority="10229" operator="containsText" text="Yes">
      <formula>NOT(ISERROR(SEARCH(("Yes"),(P924))))</formula>
    </cfRule>
  </conditionalFormatting>
  <conditionalFormatting sqref="P924:P925">
    <cfRule type="containsText" dxfId="9" priority="10230" operator="containsText" text="No">
      <formula>NOT(ISERROR(SEARCH(("No"),(P924))))</formula>
    </cfRule>
  </conditionalFormatting>
  <conditionalFormatting sqref="P924:P925">
    <cfRule type="containsText" dxfId="2" priority="10231" operator="containsText" text="Yes">
      <formula>NOT(ISERROR(SEARCH(("Yes"),(P924))))</formula>
    </cfRule>
  </conditionalFormatting>
  <conditionalFormatting sqref="P924:P925">
    <cfRule type="containsText" dxfId="9" priority="10232" operator="containsText" text="No">
      <formula>NOT(ISERROR(SEARCH(("No"),(P924))))</formula>
    </cfRule>
  </conditionalFormatting>
  <conditionalFormatting sqref="P924:P925">
    <cfRule type="containsText" dxfId="2" priority="10233" operator="containsText" text="Yes">
      <formula>NOT(ISERROR(SEARCH(("Yes"),(P924))))</formula>
    </cfRule>
  </conditionalFormatting>
  <conditionalFormatting sqref="P924:P925">
    <cfRule type="containsText" dxfId="9" priority="10234" operator="containsText" text="No">
      <formula>NOT(ISERROR(SEARCH(("No"),(P924))))</formula>
    </cfRule>
  </conditionalFormatting>
  <conditionalFormatting sqref="P924:P925">
    <cfRule type="containsText" dxfId="2" priority="10235" operator="containsText" text="Yes">
      <formula>NOT(ISERROR(SEARCH(("Yes"),(P924))))</formula>
    </cfRule>
  </conditionalFormatting>
  <conditionalFormatting sqref="P924:P925">
    <cfRule type="containsText" dxfId="9" priority="10236" operator="containsText" text="No">
      <formula>NOT(ISERROR(SEARCH(("No"),(P924))))</formula>
    </cfRule>
  </conditionalFormatting>
  <conditionalFormatting sqref="P924:P925">
    <cfRule type="containsText" dxfId="2" priority="10237" operator="containsText" text="Yes">
      <formula>NOT(ISERROR(SEARCH(("Yes"),(P924))))</formula>
    </cfRule>
  </conditionalFormatting>
  <conditionalFormatting sqref="P924:P925">
    <cfRule type="containsText" dxfId="9" priority="10238" operator="containsText" text="No">
      <formula>NOT(ISERROR(SEARCH(("No"),(P924))))</formula>
    </cfRule>
  </conditionalFormatting>
  <conditionalFormatting sqref="P924:P925">
    <cfRule type="containsText" dxfId="2" priority="10239" operator="containsText" text="Yes">
      <formula>NOT(ISERROR(SEARCH(("Yes"),(P924))))</formula>
    </cfRule>
  </conditionalFormatting>
  <conditionalFormatting sqref="P924:P925">
    <cfRule type="containsText" dxfId="9" priority="10240" operator="containsText" text="No">
      <formula>NOT(ISERROR(SEARCH(("No"),(P924))))</formula>
    </cfRule>
  </conditionalFormatting>
  <conditionalFormatting sqref="P924:P925">
    <cfRule type="containsText" dxfId="2" priority="10241" operator="containsText" text="Yes">
      <formula>NOT(ISERROR(SEARCH(("Yes"),(P924))))</formula>
    </cfRule>
  </conditionalFormatting>
  <conditionalFormatting sqref="P924:P925">
    <cfRule type="containsText" dxfId="9" priority="10242" operator="containsText" text="No">
      <formula>NOT(ISERROR(SEARCH(("No"),(P924))))</formula>
    </cfRule>
  </conditionalFormatting>
  <conditionalFormatting sqref="P924:P925">
    <cfRule type="containsText" dxfId="2" priority="10243" operator="containsText" text="Yes">
      <formula>NOT(ISERROR(SEARCH(("Yes"),(P924))))</formula>
    </cfRule>
  </conditionalFormatting>
  <conditionalFormatting sqref="P924:P925">
    <cfRule type="containsText" dxfId="9" priority="10244" operator="containsText" text="No">
      <formula>NOT(ISERROR(SEARCH(("No"),(P924))))</formula>
    </cfRule>
  </conditionalFormatting>
  <conditionalFormatting sqref="P924:P925">
    <cfRule type="containsText" dxfId="2" priority="10245" operator="containsText" text="Yes">
      <formula>NOT(ISERROR(SEARCH(("Yes"),(P924))))</formula>
    </cfRule>
  </conditionalFormatting>
  <conditionalFormatting sqref="P924:P925">
    <cfRule type="containsText" dxfId="9" priority="10246" operator="containsText" text="No">
      <formula>NOT(ISERROR(SEARCH(("No"),(P924))))</formula>
    </cfRule>
  </conditionalFormatting>
  <conditionalFormatting sqref="P924:P925">
    <cfRule type="containsText" dxfId="2" priority="10247" operator="containsText" text="Yes">
      <formula>NOT(ISERROR(SEARCH(("Yes"),(P924))))</formula>
    </cfRule>
  </conditionalFormatting>
  <conditionalFormatting sqref="P924:P925">
    <cfRule type="containsText" dxfId="9" priority="10248" operator="containsText" text="No">
      <formula>NOT(ISERROR(SEARCH(("No"),(P924))))</formula>
    </cfRule>
  </conditionalFormatting>
  <conditionalFormatting sqref="P924:P925">
    <cfRule type="containsText" dxfId="2" priority="10249" operator="containsText" text="Yes">
      <formula>NOT(ISERROR(SEARCH(("Yes"),(P924))))</formula>
    </cfRule>
  </conditionalFormatting>
  <conditionalFormatting sqref="P924:P925">
    <cfRule type="containsText" dxfId="9" priority="10250" operator="containsText" text="No">
      <formula>NOT(ISERROR(SEARCH(("No"),(P924))))</formula>
    </cfRule>
  </conditionalFormatting>
  <conditionalFormatting sqref="P924:P925">
    <cfRule type="containsText" dxfId="2" priority="10251" operator="containsText" text="Yes">
      <formula>NOT(ISERROR(SEARCH(("Yes"),(P924))))</formula>
    </cfRule>
  </conditionalFormatting>
  <conditionalFormatting sqref="P924:P925">
    <cfRule type="containsText" dxfId="9" priority="10252" operator="containsText" text="No">
      <formula>NOT(ISERROR(SEARCH(("No"),(P924))))</formula>
    </cfRule>
  </conditionalFormatting>
  <conditionalFormatting sqref="P924:P925">
    <cfRule type="containsText" dxfId="2" priority="10253" operator="containsText" text="Yes">
      <formula>NOT(ISERROR(SEARCH(("Yes"),(P924))))</formula>
    </cfRule>
  </conditionalFormatting>
  <conditionalFormatting sqref="P924:P925">
    <cfRule type="containsText" dxfId="9" priority="10254" operator="containsText" text="No">
      <formula>NOT(ISERROR(SEARCH(("No"),(P924))))</formula>
    </cfRule>
  </conditionalFormatting>
  <conditionalFormatting sqref="P924:P925">
    <cfRule type="containsText" dxfId="2" priority="10255" operator="containsText" text="Yes">
      <formula>NOT(ISERROR(SEARCH(("Yes"),(P924))))</formula>
    </cfRule>
  </conditionalFormatting>
  <conditionalFormatting sqref="P924:P925">
    <cfRule type="containsText" dxfId="9" priority="10256" operator="containsText" text="No">
      <formula>NOT(ISERROR(SEARCH(("No"),(P924))))</formula>
    </cfRule>
  </conditionalFormatting>
  <conditionalFormatting sqref="P924:P925">
    <cfRule type="containsText" dxfId="2" priority="10257" operator="containsText" text="Yes">
      <formula>NOT(ISERROR(SEARCH(("Yes"),(P924))))</formula>
    </cfRule>
  </conditionalFormatting>
  <conditionalFormatting sqref="P924:P925">
    <cfRule type="containsText" dxfId="9" priority="10258" operator="containsText" text="No">
      <formula>NOT(ISERROR(SEARCH(("No"),(P924))))</formula>
    </cfRule>
  </conditionalFormatting>
  <conditionalFormatting sqref="P924:P925">
    <cfRule type="containsText" dxfId="2" priority="10259" operator="containsText" text="Yes">
      <formula>NOT(ISERROR(SEARCH(("Yes"),(P924))))</formula>
    </cfRule>
  </conditionalFormatting>
  <conditionalFormatting sqref="P924:P925">
    <cfRule type="containsText" dxfId="9" priority="10260" operator="containsText" text="No">
      <formula>NOT(ISERROR(SEARCH(("No"),(P924))))</formula>
    </cfRule>
  </conditionalFormatting>
  <conditionalFormatting sqref="P924:P925">
    <cfRule type="containsText" dxfId="2" priority="10261" operator="containsText" text="Yes">
      <formula>NOT(ISERROR(SEARCH(("Yes"),(P924))))</formula>
    </cfRule>
  </conditionalFormatting>
  <conditionalFormatting sqref="P924:P925">
    <cfRule type="containsText" dxfId="9" priority="10262" operator="containsText" text="No">
      <formula>NOT(ISERROR(SEARCH(("No"),(P924))))</formula>
    </cfRule>
  </conditionalFormatting>
  <conditionalFormatting sqref="P924:P925">
    <cfRule type="containsText" dxfId="2" priority="10263" operator="containsText" text="Yes">
      <formula>NOT(ISERROR(SEARCH(("Yes"),(P924))))</formula>
    </cfRule>
  </conditionalFormatting>
  <conditionalFormatting sqref="P924:P925">
    <cfRule type="containsText" dxfId="9" priority="10264" operator="containsText" text="No">
      <formula>NOT(ISERROR(SEARCH(("No"),(P924))))</formula>
    </cfRule>
  </conditionalFormatting>
  <conditionalFormatting sqref="P924:P925">
    <cfRule type="containsText" dxfId="2" priority="10265" operator="containsText" text="Yes">
      <formula>NOT(ISERROR(SEARCH(("Yes"),(P924))))</formula>
    </cfRule>
  </conditionalFormatting>
  <conditionalFormatting sqref="P924:P925">
    <cfRule type="containsText" dxfId="9" priority="10266" operator="containsText" text="No">
      <formula>NOT(ISERROR(SEARCH(("No"),(P924))))</formula>
    </cfRule>
  </conditionalFormatting>
  <conditionalFormatting sqref="P924:P925">
    <cfRule type="containsText" dxfId="2" priority="10267" operator="containsText" text="Yes">
      <formula>NOT(ISERROR(SEARCH(("Yes"),(P924))))</formula>
    </cfRule>
  </conditionalFormatting>
  <conditionalFormatting sqref="P924:P925">
    <cfRule type="containsText" dxfId="9" priority="10268" operator="containsText" text="No">
      <formula>NOT(ISERROR(SEARCH(("No"),(P924))))</formula>
    </cfRule>
  </conditionalFormatting>
  <conditionalFormatting sqref="P924:P925">
    <cfRule type="containsText" dxfId="2" priority="10269" operator="containsText" text="Yes">
      <formula>NOT(ISERROR(SEARCH(("Yes"),(P924))))</formula>
    </cfRule>
  </conditionalFormatting>
  <conditionalFormatting sqref="P924:P925">
    <cfRule type="containsText" dxfId="9" priority="10270" operator="containsText" text="No">
      <formula>NOT(ISERROR(SEARCH(("No"),(P924))))</formula>
    </cfRule>
  </conditionalFormatting>
  <conditionalFormatting sqref="P924:P925">
    <cfRule type="containsText" dxfId="2" priority="10271" operator="containsText" text="Yes">
      <formula>NOT(ISERROR(SEARCH(("Yes"),(P924))))</formula>
    </cfRule>
  </conditionalFormatting>
  <conditionalFormatting sqref="P924:P925">
    <cfRule type="containsText" dxfId="9" priority="10272" operator="containsText" text="No">
      <formula>NOT(ISERROR(SEARCH(("No"),(P924))))</formula>
    </cfRule>
  </conditionalFormatting>
  <conditionalFormatting sqref="P924:P925">
    <cfRule type="containsText" dxfId="2" priority="10273" operator="containsText" text="Yes">
      <formula>NOT(ISERROR(SEARCH(("Yes"),(P924))))</formula>
    </cfRule>
  </conditionalFormatting>
  <conditionalFormatting sqref="P924:P925">
    <cfRule type="containsText" dxfId="9" priority="10274" operator="containsText" text="No">
      <formula>NOT(ISERROR(SEARCH(("No"),(P924))))</formula>
    </cfRule>
  </conditionalFormatting>
  <conditionalFormatting sqref="P924:P925">
    <cfRule type="containsText" dxfId="2" priority="10275" operator="containsText" text="Yes">
      <formula>NOT(ISERROR(SEARCH(("Yes"),(P924))))</formula>
    </cfRule>
  </conditionalFormatting>
  <conditionalFormatting sqref="P924:P925">
    <cfRule type="containsText" dxfId="9" priority="10276" operator="containsText" text="No">
      <formula>NOT(ISERROR(SEARCH(("No"),(P924))))</formula>
    </cfRule>
  </conditionalFormatting>
  <conditionalFormatting sqref="P924:P925">
    <cfRule type="containsText" dxfId="2" priority="10277" operator="containsText" text="Yes">
      <formula>NOT(ISERROR(SEARCH(("Yes"),(P924))))</formula>
    </cfRule>
  </conditionalFormatting>
  <conditionalFormatting sqref="P924:P925">
    <cfRule type="containsText" dxfId="9" priority="10278" operator="containsText" text="No">
      <formula>NOT(ISERROR(SEARCH(("No"),(P924))))</formula>
    </cfRule>
  </conditionalFormatting>
  <conditionalFormatting sqref="P924:P925">
    <cfRule type="containsText" dxfId="2" priority="10279" operator="containsText" text="Yes">
      <formula>NOT(ISERROR(SEARCH(("Yes"),(P924))))</formula>
    </cfRule>
  </conditionalFormatting>
  <conditionalFormatting sqref="P924:P925">
    <cfRule type="containsText" dxfId="9" priority="10280" operator="containsText" text="No">
      <formula>NOT(ISERROR(SEARCH(("No"),(P924))))</formula>
    </cfRule>
  </conditionalFormatting>
  <conditionalFormatting sqref="P924:P925">
    <cfRule type="containsText" dxfId="2" priority="10281" operator="containsText" text="Yes">
      <formula>NOT(ISERROR(SEARCH(("Yes"),(P924))))</formula>
    </cfRule>
  </conditionalFormatting>
  <conditionalFormatting sqref="P924:P925">
    <cfRule type="containsText" dxfId="9" priority="10282" operator="containsText" text="No">
      <formula>NOT(ISERROR(SEARCH(("No"),(P924))))</formula>
    </cfRule>
  </conditionalFormatting>
  <conditionalFormatting sqref="P924:P925">
    <cfRule type="containsText" dxfId="2" priority="10283" operator="containsText" text="Yes">
      <formula>NOT(ISERROR(SEARCH(("Yes"),(P924))))</formula>
    </cfRule>
  </conditionalFormatting>
  <conditionalFormatting sqref="P924:P925">
    <cfRule type="containsText" dxfId="9" priority="10284" operator="containsText" text="No">
      <formula>NOT(ISERROR(SEARCH(("No"),(P924))))</formula>
    </cfRule>
  </conditionalFormatting>
  <conditionalFormatting sqref="P924:P925">
    <cfRule type="containsText" dxfId="2" priority="10285" operator="containsText" text="Yes">
      <formula>NOT(ISERROR(SEARCH(("Yes"),(P924))))</formula>
    </cfRule>
  </conditionalFormatting>
  <conditionalFormatting sqref="P924:P925">
    <cfRule type="containsText" dxfId="9" priority="10286" operator="containsText" text="No">
      <formula>NOT(ISERROR(SEARCH(("No"),(P924))))</formula>
    </cfRule>
  </conditionalFormatting>
  <conditionalFormatting sqref="P924:P925">
    <cfRule type="containsText" dxfId="2" priority="10287" operator="containsText" text="Yes">
      <formula>NOT(ISERROR(SEARCH(("Yes"),(P924))))</formula>
    </cfRule>
  </conditionalFormatting>
  <conditionalFormatting sqref="P924:P925">
    <cfRule type="containsText" dxfId="9" priority="10288" operator="containsText" text="No">
      <formula>NOT(ISERROR(SEARCH(("No"),(P924))))</formula>
    </cfRule>
  </conditionalFormatting>
  <conditionalFormatting sqref="P924:P925">
    <cfRule type="containsText" dxfId="2" priority="10289" operator="containsText" text="Yes">
      <formula>NOT(ISERROR(SEARCH(("Yes"),(P924))))</formula>
    </cfRule>
  </conditionalFormatting>
  <conditionalFormatting sqref="P924:P925">
    <cfRule type="containsText" dxfId="9" priority="10290" operator="containsText" text="No">
      <formula>NOT(ISERROR(SEARCH(("No"),(P924))))</formula>
    </cfRule>
  </conditionalFormatting>
  <conditionalFormatting sqref="P924:P925">
    <cfRule type="containsText" dxfId="2" priority="10291" operator="containsText" text="Yes">
      <formula>NOT(ISERROR(SEARCH(("Yes"),(P924))))</formula>
    </cfRule>
  </conditionalFormatting>
  <conditionalFormatting sqref="P924:P925">
    <cfRule type="containsText" dxfId="9" priority="10292" operator="containsText" text="No">
      <formula>NOT(ISERROR(SEARCH(("No"),(P924))))</formula>
    </cfRule>
  </conditionalFormatting>
  <conditionalFormatting sqref="P924:P925">
    <cfRule type="containsText" dxfId="2" priority="10293" operator="containsText" text="Yes">
      <formula>NOT(ISERROR(SEARCH(("Yes"),(P924))))</formula>
    </cfRule>
  </conditionalFormatting>
  <conditionalFormatting sqref="P924:P925">
    <cfRule type="containsText" dxfId="9" priority="10294" operator="containsText" text="No">
      <formula>NOT(ISERROR(SEARCH(("No"),(P924))))</formula>
    </cfRule>
  </conditionalFormatting>
  <conditionalFormatting sqref="P924:P925">
    <cfRule type="containsText" dxfId="2" priority="10295" operator="containsText" text="Yes">
      <formula>NOT(ISERROR(SEARCH(("Yes"),(P924))))</formula>
    </cfRule>
  </conditionalFormatting>
  <conditionalFormatting sqref="P924:P925">
    <cfRule type="containsText" dxfId="9" priority="10296" operator="containsText" text="No">
      <formula>NOT(ISERROR(SEARCH(("No"),(P924))))</formula>
    </cfRule>
  </conditionalFormatting>
  <conditionalFormatting sqref="P924:P925">
    <cfRule type="containsText" dxfId="2" priority="10297" operator="containsText" text="Yes">
      <formula>NOT(ISERROR(SEARCH(("Yes"),(P924))))</formula>
    </cfRule>
  </conditionalFormatting>
  <conditionalFormatting sqref="P924:P925">
    <cfRule type="containsText" dxfId="9" priority="10298" operator="containsText" text="No">
      <formula>NOT(ISERROR(SEARCH(("No"),(P924))))</formula>
    </cfRule>
  </conditionalFormatting>
  <conditionalFormatting sqref="P924:P925">
    <cfRule type="containsText" dxfId="2" priority="10299" operator="containsText" text="Yes">
      <formula>NOT(ISERROR(SEARCH(("Yes"),(P924))))</formula>
    </cfRule>
  </conditionalFormatting>
  <conditionalFormatting sqref="P924:P925">
    <cfRule type="containsText" dxfId="9" priority="10300" operator="containsText" text="No">
      <formula>NOT(ISERROR(SEARCH(("No"),(P924))))</formula>
    </cfRule>
  </conditionalFormatting>
  <conditionalFormatting sqref="P924:P925">
    <cfRule type="containsText" dxfId="2" priority="10301" operator="containsText" text="Yes">
      <formula>NOT(ISERROR(SEARCH(("Yes"),(P924))))</formula>
    </cfRule>
  </conditionalFormatting>
  <conditionalFormatting sqref="P924:P925">
    <cfRule type="containsText" dxfId="9" priority="10302" operator="containsText" text="No">
      <formula>NOT(ISERROR(SEARCH(("No"),(P924))))</formula>
    </cfRule>
  </conditionalFormatting>
  <conditionalFormatting sqref="P924:P925">
    <cfRule type="containsText" dxfId="2" priority="10303" operator="containsText" text="Yes">
      <formula>NOT(ISERROR(SEARCH(("Yes"),(P924))))</formula>
    </cfRule>
  </conditionalFormatting>
  <conditionalFormatting sqref="P924:P925">
    <cfRule type="containsText" dxfId="9" priority="10304" operator="containsText" text="No">
      <formula>NOT(ISERROR(SEARCH(("No"),(P924))))</formula>
    </cfRule>
  </conditionalFormatting>
  <conditionalFormatting sqref="P924:P925">
    <cfRule type="containsText" dxfId="2" priority="10305" operator="containsText" text="Yes">
      <formula>NOT(ISERROR(SEARCH(("Yes"),(P924))))</formula>
    </cfRule>
  </conditionalFormatting>
  <conditionalFormatting sqref="P924:P925">
    <cfRule type="containsText" dxfId="9" priority="10306" operator="containsText" text="No">
      <formula>NOT(ISERROR(SEARCH(("No"),(P924))))</formula>
    </cfRule>
  </conditionalFormatting>
  <conditionalFormatting sqref="P924:P925">
    <cfRule type="containsText" dxfId="2" priority="10307" operator="containsText" text="Yes">
      <formula>NOT(ISERROR(SEARCH(("Yes"),(P924))))</formula>
    </cfRule>
  </conditionalFormatting>
  <conditionalFormatting sqref="P924:P925">
    <cfRule type="containsText" dxfId="9" priority="10308" operator="containsText" text="No">
      <formula>NOT(ISERROR(SEARCH(("No"),(P924))))</formula>
    </cfRule>
  </conditionalFormatting>
  <conditionalFormatting sqref="P924:P925">
    <cfRule type="containsText" dxfId="2" priority="10309" operator="containsText" text="Yes">
      <formula>NOT(ISERROR(SEARCH(("Yes"),(P924))))</formula>
    </cfRule>
  </conditionalFormatting>
  <conditionalFormatting sqref="P924:P925">
    <cfRule type="containsText" dxfId="9" priority="10310" operator="containsText" text="No">
      <formula>NOT(ISERROR(SEARCH(("No"),(P924))))</formula>
    </cfRule>
  </conditionalFormatting>
  <conditionalFormatting sqref="P924:P925">
    <cfRule type="containsText" dxfId="2" priority="10311" operator="containsText" text="Yes">
      <formula>NOT(ISERROR(SEARCH(("Yes"),(P924))))</formula>
    </cfRule>
  </conditionalFormatting>
  <conditionalFormatting sqref="P924:P925">
    <cfRule type="containsText" dxfId="9" priority="10312" operator="containsText" text="No">
      <formula>NOT(ISERROR(SEARCH(("No"),(P924))))</formula>
    </cfRule>
  </conditionalFormatting>
  <conditionalFormatting sqref="P924:P925">
    <cfRule type="containsText" dxfId="2" priority="10313" operator="containsText" text="Yes">
      <formula>NOT(ISERROR(SEARCH(("Yes"),(P924))))</formula>
    </cfRule>
  </conditionalFormatting>
  <conditionalFormatting sqref="P924:P925">
    <cfRule type="containsText" dxfId="9" priority="10314" operator="containsText" text="No">
      <formula>NOT(ISERROR(SEARCH(("No"),(P924))))</formula>
    </cfRule>
  </conditionalFormatting>
  <conditionalFormatting sqref="P924:P925">
    <cfRule type="containsText" dxfId="2" priority="10315" operator="containsText" text="Yes">
      <formula>NOT(ISERROR(SEARCH(("Yes"),(P924))))</formula>
    </cfRule>
  </conditionalFormatting>
  <conditionalFormatting sqref="P924:P925">
    <cfRule type="containsText" dxfId="9" priority="10316" operator="containsText" text="No">
      <formula>NOT(ISERROR(SEARCH(("No"),(P924))))</formula>
    </cfRule>
  </conditionalFormatting>
  <conditionalFormatting sqref="P924:P925">
    <cfRule type="containsText" dxfId="2" priority="10317" operator="containsText" text="Yes">
      <formula>NOT(ISERROR(SEARCH(("Yes"),(P924))))</formula>
    </cfRule>
  </conditionalFormatting>
  <conditionalFormatting sqref="P924:P925">
    <cfRule type="containsText" dxfId="9" priority="10318" operator="containsText" text="No">
      <formula>NOT(ISERROR(SEARCH(("No"),(P924))))</formula>
    </cfRule>
  </conditionalFormatting>
  <conditionalFormatting sqref="P924:P925">
    <cfRule type="containsText" dxfId="2" priority="10319" operator="containsText" text="Yes">
      <formula>NOT(ISERROR(SEARCH(("Yes"),(P924))))</formula>
    </cfRule>
  </conditionalFormatting>
  <conditionalFormatting sqref="P924:P925">
    <cfRule type="containsText" dxfId="9" priority="10320" operator="containsText" text="No">
      <formula>NOT(ISERROR(SEARCH(("No"),(P924))))</formula>
    </cfRule>
  </conditionalFormatting>
  <conditionalFormatting sqref="P924:P925">
    <cfRule type="containsText" dxfId="2" priority="10321" operator="containsText" text="Yes">
      <formula>NOT(ISERROR(SEARCH(("Yes"),(P924))))</formula>
    </cfRule>
  </conditionalFormatting>
  <conditionalFormatting sqref="P924:P925">
    <cfRule type="containsText" dxfId="9" priority="10322" operator="containsText" text="No">
      <formula>NOT(ISERROR(SEARCH(("No"),(P924))))</formula>
    </cfRule>
  </conditionalFormatting>
  <conditionalFormatting sqref="P924:P925">
    <cfRule type="containsText" dxfId="2" priority="10323" operator="containsText" text="Yes">
      <formula>NOT(ISERROR(SEARCH(("Yes"),(P924))))</formula>
    </cfRule>
  </conditionalFormatting>
  <conditionalFormatting sqref="P924:P925">
    <cfRule type="containsText" dxfId="9" priority="10324" operator="containsText" text="No">
      <formula>NOT(ISERROR(SEARCH(("No"),(P924))))</formula>
    </cfRule>
  </conditionalFormatting>
  <conditionalFormatting sqref="P924:P925">
    <cfRule type="containsText" dxfId="2" priority="10325" operator="containsText" text="Yes">
      <formula>NOT(ISERROR(SEARCH(("Yes"),(P924))))</formula>
    </cfRule>
  </conditionalFormatting>
  <conditionalFormatting sqref="P924:P925">
    <cfRule type="containsText" dxfId="9" priority="10326" operator="containsText" text="No">
      <formula>NOT(ISERROR(SEARCH(("No"),(P924))))</formula>
    </cfRule>
  </conditionalFormatting>
  <conditionalFormatting sqref="P924:P925">
    <cfRule type="containsText" dxfId="2" priority="10327" operator="containsText" text="Yes">
      <formula>NOT(ISERROR(SEARCH(("Yes"),(P924))))</formula>
    </cfRule>
  </conditionalFormatting>
  <conditionalFormatting sqref="P924:P925">
    <cfRule type="containsText" dxfId="9" priority="10328" operator="containsText" text="No">
      <formula>NOT(ISERROR(SEARCH(("No"),(P924))))</formula>
    </cfRule>
  </conditionalFormatting>
  <conditionalFormatting sqref="P924:P925">
    <cfRule type="containsText" dxfId="2" priority="10329" operator="containsText" text="Yes">
      <formula>NOT(ISERROR(SEARCH(("Yes"),(P924))))</formula>
    </cfRule>
  </conditionalFormatting>
  <conditionalFormatting sqref="P924:P925">
    <cfRule type="containsText" dxfId="9" priority="10330" operator="containsText" text="No">
      <formula>NOT(ISERROR(SEARCH(("No"),(P924))))</formula>
    </cfRule>
  </conditionalFormatting>
  <conditionalFormatting sqref="P924:P925">
    <cfRule type="containsText" dxfId="2" priority="10331" operator="containsText" text="Yes">
      <formula>NOT(ISERROR(SEARCH(("Yes"),(P924))))</formula>
    </cfRule>
  </conditionalFormatting>
  <conditionalFormatting sqref="P924:P925">
    <cfRule type="containsText" dxfId="9" priority="10332" operator="containsText" text="No">
      <formula>NOT(ISERROR(SEARCH(("No"),(P924))))</formula>
    </cfRule>
  </conditionalFormatting>
  <conditionalFormatting sqref="P924:P925">
    <cfRule type="containsText" dxfId="2" priority="10333" operator="containsText" text="Yes">
      <formula>NOT(ISERROR(SEARCH(("Yes"),(P924))))</formula>
    </cfRule>
  </conditionalFormatting>
  <conditionalFormatting sqref="P924:P925">
    <cfRule type="containsText" dxfId="9" priority="10334" operator="containsText" text="No">
      <formula>NOT(ISERROR(SEARCH(("No"),(P924))))</formula>
    </cfRule>
  </conditionalFormatting>
  <conditionalFormatting sqref="P924:P925">
    <cfRule type="containsText" dxfId="2" priority="10335" operator="containsText" text="Yes">
      <formula>NOT(ISERROR(SEARCH(("Yes"),(P924))))</formula>
    </cfRule>
  </conditionalFormatting>
  <conditionalFormatting sqref="P924:P925">
    <cfRule type="containsText" dxfId="9" priority="10336" operator="containsText" text="No">
      <formula>NOT(ISERROR(SEARCH(("No"),(P924))))</formula>
    </cfRule>
  </conditionalFormatting>
  <conditionalFormatting sqref="P924:P925">
    <cfRule type="containsText" dxfId="2" priority="10337" operator="containsText" text="Yes">
      <formula>NOT(ISERROR(SEARCH(("Yes"),(P924))))</formula>
    </cfRule>
  </conditionalFormatting>
  <conditionalFormatting sqref="P924:P925">
    <cfRule type="containsText" dxfId="9" priority="10338" operator="containsText" text="No">
      <formula>NOT(ISERROR(SEARCH(("No"),(P924))))</formula>
    </cfRule>
  </conditionalFormatting>
  <conditionalFormatting sqref="P924:P925">
    <cfRule type="containsText" dxfId="2" priority="10339" operator="containsText" text="Yes">
      <formula>NOT(ISERROR(SEARCH(("Yes"),(P924))))</formula>
    </cfRule>
  </conditionalFormatting>
  <conditionalFormatting sqref="P924:P925">
    <cfRule type="containsText" dxfId="9" priority="10340" operator="containsText" text="No">
      <formula>NOT(ISERROR(SEARCH(("No"),(P924))))</formula>
    </cfRule>
  </conditionalFormatting>
  <conditionalFormatting sqref="P924:P925">
    <cfRule type="containsText" dxfId="2" priority="10341" operator="containsText" text="Yes">
      <formula>NOT(ISERROR(SEARCH(("Yes"),(P924))))</formula>
    </cfRule>
  </conditionalFormatting>
  <conditionalFormatting sqref="P924:P925">
    <cfRule type="containsText" dxfId="9" priority="10342" operator="containsText" text="No">
      <formula>NOT(ISERROR(SEARCH(("No"),(P924))))</formula>
    </cfRule>
  </conditionalFormatting>
  <conditionalFormatting sqref="P924:P925">
    <cfRule type="containsText" dxfId="2" priority="10343" operator="containsText" text="Yes">
      <formula>NOT(ISERROR(SEARCH(("Yes"),(P924))))</formula>
    </cfRule>
  </conditionalFormatting>
  <conditionalFormatting sqref="P924:P925">
    <cfRule type="containsText" dxfId="9" priority="10344" operator="containsText" text="No">
      <formula>NOT(ISERROR(SEARCH(("No"),(P924))))</formula>
    </cfRule>
  </conditionalFormatting>
  <conditionalFormatting sqref="P924:P925">
    <cfRule type="containsText" dxfId="2" priority="10345" operator="containsText" text="Yes">
      <formula>NOT(ISERROR(SEARCH(("Yes"),(P924))))</formula>
    </cfRule>
  </conditionalFormatting>
  <conditionalFormatting sqref="P924:P925">
    <cfRule type="containsText" dxfId="9" priority="10346" operator="containsText" text="No">
      <formula>NOT(ISERROR(SEARCH(("No"),(P924))))</formula>
    </cfRule>
  </conditionalFormatting>
  <conditionalFormatting sqref="P924:P925">
    <cfRule type="containsText" dxfId="2" priority="10347" operator="containsText" text="Yes">
      <formula>NOT(ISERROR(SEARCH(("Yes"),(P924))))</formula>
    </cfRule>
  </conditionalFormatting>
  <conditionalFormatting sqref="P924:P925">
    <cfRule type="containsText" dxfId="9" priority="10348" operator="containsText" text="No">
      <formula>NOT(ISERROR(SEARCH(("No"),(P924))))</formula>
    </cfRule>
  </conditionalFormatting>
  <conditionalFormatting sqref="P924:P925">
    <cfRule type="containsText" dxfId="2" priority="10349" operator="containsText" text="Yes">
      <formula>NOT(ISERROR(SEARCH(("Yes"),(P924))))</formula>
    </cfRule>
  </conditionalFormatting>
  <conditionalFormatting sqref="P924:P925">
    <cfRule type="containsText" dxfId="9" priority="10350" operator="containsText" text="No">
      <formula>NOT(ISERROR(SEARCH(("No"),(P924))))</formula>
    </cfRule>
  </conditionalFormatting>
  <conditionalFormatting sqref="P924:P925">
    <cfRule type="containsText" dxfId="2" priority="10351" operator="containsText" text="Yes">
      <formula>NOT(ISERROR(SEARCH(("Yes"),(P924))))</formula>
    </cfRule>
  </conditionalFormatting>
  <conditionalFormatting sqref="P924:P925">
    <cfRule type="containsText" dxfId="9" priority="10352" operator="containsText" text="No">
      <formula>NOT(ISERROR(SEARCH(("No"),(P924))))</formula>
    </cfRule>
  </conditionalFormatting>
  <conditionalFormatting sqref="P924:P925">
    <cfRule type="containsText" dxfId="2" priority="10353" operator="containsText" text="Yes">
      <formula>NOT(ISERROR(SEARCH(("Yes"),(P924))))</formula>
    </cfRule>
  </conditionalFormatting>
  <conditionalFormatting sqref="P924:P925">
    <cfRule type="containsText" dxfId="9" priority="10354" operator="containsText" text="No">
      <formula>NOT(ISERROR(SEARCH(("No"),(P924))))</formula>
    </cfRule>
  </conditionalFormatting>
  <conditionalFormatting sqref="P924:P925">
    <cfRule type="containsText" dxfId="2" priority="10355" operator="containsText" text="Yes">
      <formula>NOT(ISERROR(SEARCH(("Yes"),(P924))))</formula>
    </cfRule>
  </conditionalFormatting>
  <conditionalFormatting sqref="P924:P925">
    <cfRule type="containsText" dxfId="9" priority="10356" operator="containsText" text="No">
      <formula>NOT(ISERROR(SEARCH(("No"),(P924))))</formula>
    </cfRule>
  </conditionalFormatting>
  <conditionalFormatting sqref="P924:P925">
    <cfRule type="containsText" dxfId="2" priority="10357" operator="containsText" text="Yes">
      <formula>NOT(ISERROR(SEARCH(("Yes"),(P924))))</formula>
    </cfRule>
  </conditionalFormatting>
  <conditionalFormatting sqref="P924:P925">
    <cfRule type="containsText" dxfId="2" priority="10358" operator="containsText" text="Yes">
      <formula>NOT(ISERROR(SEARCH(("Yes"),(P924))))</formula>
    </cfRule>
  </conditionalFormatting>
  <conditionalFormatting sqref="P924:P925">
    <cfRule type="containsText" dxfId="9" priority="10359" operator="containsText" text="No">
      <formula>NOT(ISERROR(SEARCH(("No"),(P924))))</formula>
    </cfRule>
  </conditionalFormatting>
  <conditionalFormatting sqref="P924:P925">
    <cfRule type="containsText" dxfId="2" priority="10360" operator="containsText" text="Yes">
      <formula>NOT(ISERROR(SEARCH(("Yes"),(P924))))</formula>
    </cfRule>
  </conditionalFormatting>
  <conditionalFormatting sqref="P924:P925">
    <cfRule type="containsText" dxfId="9" priority="10361" operator="containsText" text="No">
      <formula>NOT(ISERROR(SEARCH(("No"),(P924))))</formula>
    </cfRule>
  </conditionalFormatting>
  <conditionalFormatting sqref="P924:P925">
    <cfRule type="containsText" dxfId="2" priority="10362" operator="containsText" text="Yes">
      <formula>NOT(ISERROR(SEARCH(("Yes"),(P924))))</formula>
    </cfRule>
  </conditionalFormatting>
  <conditionalFormatting sqref="P924:P925">
    <cfRule type="containsText" dxfId="2" priority="10363" operator="containsText" text="Yes">
      <formula>NOT(ISERROR(SEARCH(("Yes"),(P924))))</formula>
    </cfRule>
  </conditionalFormatting>
  <conditionalFormatting sqref="P926:P938">
    <cfRule type="containsText" dxfId="2" priority="10364" operator="containsText" text="Yes">
      <formula>NOT(ISERROR(SEARCH(("Yes"),(P926))))</formula>
    </cfRule>
  </conditionalFormatting>
  <conditionalFormatting sqref="P926:P938">
    <cfRule type="containsText" dxfId="9" priority="10365" operator="containsText" text="No">
      <formula>NOT(ISERROR(SEARCH(("No"),(P926))))</formula>
    </cfRule>
  </conditionalFormatting>
  <conditionalFormatting sqref="P926:P938">
    <cfRule type="containsText" dxfId="2" priority="10366" operator="containsText" text="Yes">
      <formula>NOT(ISERROR(SEARCH(("Yes"),(P926))))</formula>
    </cfRule>
  </conditionalFormatting>
  <conditionalFormatting sqref="P926:P938">
    <cfRule type="containsText" dxfId="9" priority="10367" operator="containsText" text="No">
      <formula>NOT(ISERROR(SEARCH(("No"),(P926))))</formula>
    </cfRule>
  </conditionalFormatting>
  <conditionalFormatting sqref="P926:P938">
    <cfRule type="containsText" dxfId="2" priority="10368" operator="containsText" text="Yes">
      <formula>NOT(ISERROR(SEARCH(("Yes"),(P926))))</formula>
    </cfRule>
  </conditionalFormatting>
  <conditionalFormatting sqref="P926:P938">
    <cfRule type="containsText" dxfId="9" priority="10369" operator="containsText" text="No">
      <formula>NOT(ISERROR(SEARCH(("No"),(P926))))</formula>
    </cfRule>
  </conditionalFormatting>
  <conditionalFormatting sqref="P926:P938">
    <cfRule type="containsText" dxfId="2" priority="10370" operator="containsText" text="Yes">
      <formula>NOT(ISERROR(SEARCH(("Yes"),(P926))))</formula>
    </cfRule>
  </conditionalFormatting>
  <conditionalFormatting sqref="P926:P938">
    <cfRule type="containsText" dxfId="9" priority="10371" operator="containsText" text="No">
      <formula>NOT(ISERROR(SEARCH(("No"),(P926))))</formula>
    </cfRule>
  </conditionalFormatting>
  <conditionalFormatting sqref="P926:P938">
    <cfRule type="containsText" dxfId="2" priority="10372" operator="containsText" text="Yes">
      <formula>NOT(ISERROR(SEARCH(("Yes"),(P926))))</formula>
    </cfRule>
  </conditionalFormatting>
  <conditionalFormatting sqref="P926:P938">
    <cfRule type="containsText" dxfId="9" priority="10373" operator="containsText" text="No">
      <formula>NOT(ISERROR(SEARCH(("No"),(P926))))</formula>
    </cfRule>
  </conditionalFormatting>
  <conditionalFormatting sqref="P926:P938">
    <cfRule type="containsText" dxfId="2" priority="10374" operator="containsText" text="Yes">
      <formula>NOT(ISERROR(SEARCH(("Yes"),(P926))))</formula>
    </cfRule>
  </conditionalFormatting>
  <conditionalFormatting sqref="P926:P938">
    <cfRule type="containsText" dxfId="9" priority="10375" operator="containsText" text="No">
      <formula>NOT(ISERROR(SEARCH(("No"),(P926))))</formula>
    </cfRule>
  </conditionalFormatting>
  <conditionalFormatting sqref="P926:P938">
    <cfRule type="containsText" dxfId="2" priority="10376" operator="containsText" text="Yes">
      <formula>NOT(ISERROR(SEARCH(("Yes"),(P926))))</formula>
    </cfRule>
  </conditionalFormatting>
  <conditionalFormatting sqref="P926:P938">
    <cfRule type="containsText" dxfId="9" priority="10377" operator="containsText" text="No">
      <formula>NOT(ISERROR(SEARCH(("No"),(P926))))</formula>
    </cfRule>
  </conditionalFormatting>
  <conditionalFormatting sqref="P926:P938">
    <cfRule type="containsText" dxfId="2" priority="10378" operator="containsText" text="Yes">
      <formula>NOT(ISERROR(SEARCH(("Yes"),(P926))))</formula>
    </cfRule>
  </conditionalFormatting>
  <conditionalFormatting sqref="P926:P938">
    <cfRule type="containsText" dxfId="9" priority="10379" operator="containsText" text="No">
      <formula>NOT(ISERROR(SEARCH(("No"),(P926))))</formula>
    </cfRule>
  </conditionalFormatting>
  <conditionalFormatting sqref="P926:P938">
    <cfRule type="containsText" dxfId="2" priority="10380" operator="containsText" text="Yes">
      <formula>NOT(ISERROR(SEARCH(("Yes"),(P926))))</formula>
    </cfRule>
  </conditionalFormatting>
  <conditionalFormatting sqref="P926:P938">
    <cfRule type="containsText" dxfId="9" priority="10381" operator="containsText" text="No">
      <formula>NOT(ISERROR(SEARCH(("No"),(P926))))</formula>
    </cfRule>
  </conditionalFormatting>
  <conditionalFormatting sqref="P926:P938">
    <cfRule type="containsText" dxfId="2" priority="10382" operator="containsText" text="Yes">
      <formula>NOT(ISERROR(SEARCH(("Yes"),(P926))))</formula>
    </cfRule>
  </conditionalFormatting>
  <conditionalFormatting sqref="P926:P938">
    <cfRule type="containsText" dxfId="9" priority="10383" operator="containsText" text="No">
      <formula>NOT(ISERROR(SEARCH(("No"),(P926))))</formula>
    </cfRule>
  </conditionalFormatting>
  <conditionalFormatting sqref="P926:P938">
    <cfRule type="containsText" dxfId="2" priority="10384" operator="containsText" text="Yes">
      <formula>NOT(ISERROR(SEARCH(("Yes"),(P926))))</formula>
    </cfRule>
  </conditionalFormatting>
  <conditionalFormatting sqref="P926:P938">
    <cfRule type="containsText" dxfId="9" priority="10385" operator="containsText" text="No">
      <formula>NOT(ISERROR(SEARCH(("No"),(P926))))</formula>
    </cfRule>
  </conditionalFormatting>
  <conditionalFormatting sqref="P926:P938">
    <cfRule type="containsText" dxfId="2" priority="10386" operator="containsText" text="Yes">
      <formula>NOT(ISERROR(SEARCH(("Yes"),(P926))))</formula>
    </cfRule>
  </conditionalFormatting>
  <conditionalFormatting sqref="P926:P938">
    <cfRule type="containsText" dxfId="9" priority="10387" operator="containsText" text="No">
      <formula>NOT(ISERROR(SEARCH(("No"),(P926))))</formula>
    </cfRule>
  </conditionalFormatting>
  <conditionalFormatting sqref="P926:P938">
    <cfRule type="containsText" dxfId="2" priority="10388" operator="containsText" text="Yes">
      <formula>NOT(ISERROR(SEARCH(("Yes"),(P926))))</formula>
    </cfRule>
  </conditionalFormatting>
  <conditionalFormatting sqref="P926:P938">
    <cfRule type="containsText" dxfId="9" priority="10389" operator="containsText" text="No">
      <formula>NOT(ISERROR(SEARCH(("No"),(P926))))</formula>
    </cfRule>
  </conditionalFormatting>
  <conditionalFormatting sqref="P926:P938">
    <cfRule type="containsText" dxfId="2" priority="10390" operator="containsText" text="Yes">
      <formula>NOT(ISERROR(SEARCH(("Yes"),(P926))))</formula>
    </cfRule>
  </conditionalFormatting>
  <conditionalFormatting sqref="P926:P938">
    <cfRule type="containsText" dxfId="9" priority="10391" operator="containsText" text="No">
      <formula>NOT(ISERROR(SEARCH(("No"),(P926))))</formula>
    </cfRule>
  </conditionalFormatting>
  <conditionalFormatting sqref="P926:P938">
    <cfRule type="containsText" dxfId="2" priority="10392" operator="containsText" text="Yes">
      <formula>NOT(ISERROR(SEARCH(("Yes"),(P926))))</formula>
    </cfRule>
  </conditionalFormatting>
  <conditionalFormatting sqref="P926:P938">
    <cfRule type="containsText" dxfId="9" priority="10393" operator="containsText" text="No">
      <formula>NOT(ISERROR(SEARCH(("No"),(P926))))</formula>
    </cfRule>
  </conditionalFormatting>
  <conditionalFormatting sqref="P926:P938">
    <cfRule type="containsText" dxfId="2" priority="10394" operator="containsText" text="Yes">
      <formula>NOT(ISERROR(SEARCH(("Yes"),(P926))))</formula>
    </cfRule>
  </conditionalFormatting>
  <conditionalFormatting sqref="P926:P938">
    <cfRule type="containsText" dxfId="9" priority="10395" operator="containsText" text="No">
      <formula>NOT(ISERROR(SEARCH(("No"),(P926))))</formula>
    </cfRule>
  </conditionalFormatting>
  <conditionalFormatting sqref="P926:P938">
    <cfRule type="containsText" dxfId="2" priority="10396" operator="containsText" text="Yes">
      <formula>NOT(ISERROR(SEARCH(("Yes"),(P926))))</formula>
    </cfRule>
  </conditionalFormatting>
  <conditionalFormatting sqref="P926:P938">
    <cfRule type="containsText" dxfId="9" priority="10397" operator="containsText" text="No">
      <formula>NOT(ISERROR(SEARCH(("No"),(P926))))</formula>
    </cfRule>
  </conditionalFormatting>
  <conditionalFormatting sqref="P926:P938">
    <cfRule type="containsText" dxfId="2" priority="10398" operator="containsText" text="Yes">
      <formula>NOT(ISERROR(SEARCH(("Yes"),(P926))))</formula>
    </cfRule>
  </conditionalFormatting>
  <conditionalFormatting sqref="P926:P938">
    <cfRule type="containsText" dxfId="9" priority="10399" operator="containsText" text="No">
      <formula>NOT(ISERROR(SEARCH(("No"),(P926))))</formula>
    </cfRule>
  </conditionalFormatting>
  <conditionalFormatting sqref="P926:P938">
    <cfRule type="containsText" dxfId="2" priority="10400" operator="containsText" text="Yes">
      <formula>NOT(ISERROR(SEARCH(("Yes"),(P926))))</formula>
    </cfRule>
  </conditionalFormatting>
  <conditionalFormatting sqref="P926:P938">
    <cfRule type="containsText" dxfId="9" priority="10401" operator="containsText" text="No">
      <formula>NOT(ISERROR(SEARCH(("No"),(P926))))</formula>
    </cfRule>
  </conditionalFormatting>
  <conditionalFormatting sqref="P926:P938">
    <cfRule type="containsText" dxfId="2" priority="10402" operator="containsText" text="Yes">
      <formula>NOT(ISERROR(SEARCH(("Yes"),(P926))))</formula>
    </cfRule>
  </conditionalFormatting>
  <conditionalFormatting sqref="P926:P938">
    <cfRule type="containsText" dxfId="9" priority="10403" operator="containsText" text="No">
      <formula>NOT(ISERROR(SEARCH(("No"),(P926))))</formula>
    </cfRule>
  </conditionalFormatting>
  <conditionalFormatting sqref="P926:P938">
    <cfRule type="containsText" dxfId="2" priority="10404" operator="containsText" text="Yes">
      <formula>NOT(ISERROR(SEARCH(("Yes"),(P926))))</formula>
    </cfRule>
  </conditionalFormatting>
  <conditionalFormatting sqref="P926:P938">
    <cfRule type="containsText" dxfId="9" priority="10405" operator="containsText" text="No">
      <formula>NOT(ISERROR(SEARCH(("No"),(P926))))</formula>
    </cfRule>
  </conditionalFormatting>
  <conditionalFormatting sqref="P926:P938">
    <cfRule type="containsText" dxfId="2" priority="10406" operator="containsText" text="Yes">
      <formula>NOT(ISERROR(SEARCH(("Yes"),(P926))))</formula>
    </cfRule>
  </conditionalFormatting>
  <conditionalFormatting sqref="P926:P938">
    <cfRule type="containsText" dxfId="9" priority="10407" operator="containsText" text="No">
      <formula>NOT(ISERROR(SEARCH(("No"),(P926))))</formula>
    </cfRule>
  </conditionalFormatting>
  <conditionalFormatting sqref="P926:P938">
    <cfRule type="containsText" dxfId="2" priority="10408" operator="containsText" text="Yes">
      <formula>NOT(ISERROR(SEARCH(("Yes"),(P926))))</formula>
    </cfRule>
  </conditionalFormatting>
  <conditionalFormatting sqref="P926:P938">
    <cfRule type="containsText" dxfId="9" priority="10409" operator="containsText" text="No">
      <formula>NOT(ISERROR(SEARCH(("No"),(P926))))</formula>
    </cfRule>
  </conditionalFormatting>
  <conditionalFormatting sqref="P926:P938">
    <cfRule type="containsText" dxfId="2" priority="10410" operator="containsText" text="Yes">
      <formula>NOT(ISERROR(SEARCH(("Yes"),(P926))))</formula>
    </cfRule>
  </conditionalFormatting>
  <conditionalFormatting sqref="P926:P938">
    <cfRule type="containsText" dxfId="9" priority="10411" operator="containsText" text="No">
      <formula>NOT(ISERROR(SEARCH(("No"),(P926))))</formula>
    </cfRule>
  </conditionalFormatting>
  <conditionalFormatting sqref="P926:P938">
    <cfRule type="containsText" dxfId="2" priority="10412" operator="containsText" text="Yes">
      <formula>NOT(ISERROR(SEARCH(("Yes"),(P926))))</formula>
    </cfRule>
  </conditionalFormatting>
  <conditionalFormatting sqref="P926:P938">
    <cfRule type="containsText" dxfId="9" priority="10413" operator="containsText" text="No">
      <formula>NOT(ISERROR(SEARCH(("No"),(P926))))</formula>
    </cfRule>
  </conditionalFormatting>
  <conditionalFormatting sqref="P926:P938">
    <cfRule type="containsText" dxfId="2" priority="10414" operator="containsText" text="Yes">
      <formula>NOT(ISERROR(SEARCH(("Yes"),(P926))))</formula>
    </cfRule>
  </conditionalFormatting>
  <conditionalFormatting sqref="P926:P938">
    <cfRule type="containsText" dxfId="9" priority="10415" operator="containsText" text="No">
      <formula>NOT(ISERROR(SEARCH(("No"),(P926))))</formula>
    </cfRule>
  </conditionalFormatting>
  <conditionalFormatting sqref="P926:P938">
    <cfRule type="containsText" dxfId="2" priority="10416" operator="containsText" text="Yes">
      <formula>NOT(ISERROR(SEARCH(("Yes"),(P926))))</formula>
    </cfRule>
  </conditionalFormatting>
  <conditionalFormatting sqref="P926:P938">
    <cfRule type="containsText" dxfId="9" priority="10417" operator="containsText" text="No">
      <formula>NOT(ISERROR(SEARCH(("No"),(P926))))</formula>
    </cfRule>
  </conditionalFormatting>
  <conditionalFormatting sqref="P926:P938">
    <cfRule type="containsText" dxfId="2" priority="10418" operator="containsText" text="Yes">
      <formula>NOT(ISERROR(SEARCH(("Yes"),(P926))))</formula>
    </cfRule>
  </conditionalFormatting>
  <conditionalFormatting sqref="P926:P938">
    <cfRule type="containsText" dxfId="9" priority="10419" operator="containsText" text="No">
      <formula>NOT(ISERROR(SEARCH(("No"),(P926))))</formula>
    </cfRule>
  </conditionalFormatting>
  <conditionalFormatting sqref="P926:P938">
    <cfRule type="containsText" dxfId="2" priority="10420" operator="containsText" text="Yes">
      <formula>NOT(ISERROR(SEARCH(("Yes"),(P926))))</formula>
    </cfRule>
  </conditionalFormatting>
  <conditionalFormatting sqref="P926:P938">
    <cfRule type="containsText" dxfId="9" priority="10421" operator="containsText" text="No">
      <formula>NOT(ISERROR(SEARCH(("No"),(P926))))</formula>
    </cfRule>
  </conditionalFormatting>
  <conditionalFormatting sqref="P926:P938">
    <cfRule type="containsText" dxfId="2" priority="10422" operator="containsText" text="Yes">
      <formula>NOT(ISERROR(SEARCH(("Yes"),(P926))))</formula>
    </cfRule>
  </conditionalFormatting>
  <conditionalFormatting sqref="P926:P938">
    <cfRule type="containsText" dxfId="9" priority="10423" operator="containsText" text="No">
      <formula>NOT(ISERROR(SEARCH(("No"),(P926))))</formula>
    </cfRule>
  </conditionalFormatting>
  <conditionalFormatting sqref="P926:P938">
    <cfRule type="containsText" dxfId="2" priority="10424" operator="containsText" text="Yes">
      <formula>NOT(ISERROR(SEARCH(("Yes"),(P926))))</formula>
    </cfRule>
  </conditionalFormatting>
  <conditionalFormatting sqref="P926:P938">
    <cfRule type="containsText" dxfId="9" priority="10425" operator="containsText" text="No">
      <formula>NOT(ISERROR(SEARCH(("No"),(P926))))</formula>
    </cfRule>
  </conditionalFormatting>
  <conditionalFormatting sqref="P926:P938">
    <cfRule type="containsText" dxfId="2" priority="10426" operator="containsText" text="Yes">
      <formula>NOT(ISERROR(SEARCH(("Yes"),(P926))))</formula>
    </cfRule>
  </conditionalFormatting>
  <conditionalFormatting sqref="P926:P938">
    <cfRule type="containsText" dxfId="9" priority="10427" operator="containsText" text="No">
      <formula>NOT(ISERROR(SEARCH(("No"),(P926))))</formula>
    </cfRule>
  </conditionalFormatting>
  <conditionalFormatting sqref="P926:P938">
    <cfRule type="containsText" dxfId="2" priority="10428" operator="containsText" text="Yes">
      <formula>NOT(ISERROR(SEARCH(("Yes"),(P926))))</formula>
    </cfRule>
  </conditionalFormatting>
  <conditionalFormatting sqref="P926:P938">
    <cfRule type="containsText" dxfId="9" priority="10429" operator="containsText" text="No">
      <formula>NOT(ISERROR(SEARCH(("No"),(P926))))</formula>
    </cfRule>
  </conditionalFormatting>
  <conditionalFormatting sqref="P926:P938">
    <cfRule type="containsText" dxfId="2" priority="10430" operator="containsText" text="Yes">
      <formula>NOT(ISERROR(SEARCH(("Yes"),(P926))))</formula>
    </cfRule>
  </conditionalFormatting>
  <conditionalFormatting sqref="P926:P938">
    <cfRule type="containsText" dxfId="9" priority="10431" operator="containsText" text="No">
      <formula>NOT(ISERROR(SEARCH(("No"),(P926))))</formula>
    </cfRule>
  </conditionalFormatting>
  <conditionalFormatting sqref="P926:P938">
    <cfRule type="containsText" dxfId="2" priority="10432" operator="containsText" text="Yes">
      <formula>NOT(ISERROR(SEARCH(("Yes"),(P926))))</formula>
    </cfRule>
  </conditionalFormatting>
  <conditionalFormatting sqref="P926:P938">
    <cfRule type="containsText" dxfId="9" priority="10433" operator="containsText" text="No">
      <formula>NOT(ISERROR(SEARCH(("No"),(P926))))</formula>
    </cfRule>
  </conditionalFormatting>
  <conditionalFormatting sqref="P926:P938">
    <cfRule type="containsText" dxfId="2" priority="10434" operator="containsText" text="Yes">
      <formula>NOT(ISERROR(SEARCH(("Yes"),(P926))))</formula>
    </cfRule>
  </conditionalFormatting>
  <conditionalFormatting sqref="P926:P938">
    <cfRule type="containsText" dxfId="9" priority="10435" operator="containsText" text="No">
      <formula>NOT(ISERROR(SEARCH(("No"),(P926))))</formula>
    </cfRule>
  </conditionalFormatting>
  <conditionalFormatting sqref="P926:P938">
    <cfRule type="containsText" dxfId="2" priority="10436" operator="containsText" text="Yes">
      <formula>NOT(ISERROR(SEARCH(("Yes"),(P926))))</formula>
    </cfRule>
  </conditionalFormatting>
  <conditionalFormatting sqref="P926:P938">
    <cfRule type="containsText" dxfId="9" priority="10437" operator="containsText" text="No">
      <formula>NOT(ISERROR(SEARCH(("No"),(P926))))</formula>
    </cfRule>
  </conditionalFormatting>
  <conditionalFormatting sqref="P926:P938">
    <cfRule type="containsText" dxfId="2" priority="10438" operator="containsText" text="Yes">
      <formula>NOT(ISERROR(SEARCH(("Yes"),(P926))))</formula>
    </cfRule>
  </conditionalFormatting>
  <conditionalFormatting sqref="P926:P938">
    <cfRule type="containsText" dxfId="9" priority="10439" operator="containsText" text="No">
      <formula>NOT(ISERROR(SEARCH(("No"),(P926))))</formula>
    </cfRule>
  </conditionalFormatting>
  <conditionalFormatting sqref="P926:P938">
    <cfRule type="containsText" dxfId="2" priority="10440" operator="containsText" text="Yes">
      <formula>NOT(ISERROR(SEARCH(("Yes"),(P926))))</formula>
    </cfRule>
  </conditionalFormatting>
  <conditionalFormatting sqref="P926:P938">
    <cfRule type="containsText" dxfId="9" priority="10441" operator="containsText" text="No">
      <formula>NOT(ISERROR(SEARCH(("No"),(P926))))</formula>
    </cfRule>
  </conditionalFormatting>
  <conditionalFormatting sqref="P926:P938">
    <cfRule type="containsText" dxfId="2" priority="10442" operator="containsText" text="Yes">
      <formula>NOT(ISERROR(SEARCH(("Yes"),(P926))))</formula>
    </cfRule>
  </conditionalFormatting>
  <conditionalFormatting sqref="P926:P938">
    <cfRule type="containsText" dxfId="9" priority="10443" operator="containsText" text="No">
      <formula>NOT(ISERROR(SEARCH(("No"),(P926))))</formula>
    </cfRule>
  </conditionalFormatting>
  <conditionalFormatting sqref="P926:P938">
    <cfRule type="containsText" dxfId="2" priority="10444" operator="containsText" text="Yes">
      <formula>NOT(ISERROR(SEARCH(("Yes"),(P926))))</formula>
    </cfRule>
  </conditionalFormatting>
  <conditionalFormatting sqref="P926:P938">
    <cfRule type="containsText" dxfId="9" priority="10445" operator="containsText" text="No">
      <formula>NOT(ISERROR(SEARCH(("No"),(P926))))</formula>
    </cfRule>
  </conditionalFormatting>
  <conditionalFormatting sqref="P926:P938">
    <cfRule type="containsText" dxfId="2" priority="10446" operator="containsText" text="Yes">
      <formula>NOT(ISERROR(SEARCH(("Yes"),(P926))))</formula>
    </cfRule>
  </conditionalFormatting>
  <conditionalFormatting sqref="P926:P938">
    <cfRule type="containsText" dxfId="9" priority="10447" operator="containsText" text="No">
      <formula>NOT(ISERROR(SEARCH(("No"),(P926))))</formula>
    </cfRule>
  </conditionalFormatting>
  <conditionalFormatting sqref="P926:P938">
    <cfRule type="containsText" dxfId="2" priority="10448" operator="containsText" text="Yes">
      <formula>NOT(ISERROR(SEARCH(("Yes"),(P926))))</formula>
    </cfRule>
  </conditionalFormatting>
  <conditionalFormatting sqref="P926:P938">
    <cfRule type="containsText" dxfId="9" priority="10449" operator="containsText" text="No">
      <formula>NOT(ISERROR(SEARCH(("No"),(P926))))</formula>
    </cfRule>
  </conditionalFormatting>
  <conditionalFormatting sqref="P926:P938">
    <cfRule type="containsText" dxfId="2" priority="10450" operator="containsText" text="Yes">
      <formula>NOT(ISERROR(SEARCH(("Yes"),(P926))))</formula>
    </cfRule>
  </conditionalFormatting>
  <conditionalFormatting sqref="P926:P938">
    <cfRule type="containsText" dxfId="9" priority="10451" operator="containsText" text="No">
      <formula>NOT(ISERROR(SEARCH(("No"),(P926))))</formula>
    </cfRule>
  </conditionalFormatting>
  <conditionalFormatting sqref="P926:P938">
    <cfRule type="containsText" dxfId="2" priority="10452" operator="containsText" text="Yes">
      <formula>NOT(ISERROR(SEARCH(("Yes"),(P926))))</formula>
    </cfRule>
  </conditionalFormatting>
  <conditionalFormatting sqref="P926:P938">
    <cfRule type="containsText" dxfId="2" priority="10453" operator="containsText" text="Yes">
      <formula>NOT(ISERROR(SEARCH(("Yes"),(P926))))</formula>
    </cfRule>
  </conditionalFormatting>
  <conditionalFormatting sqref="P926:P938">
    <cfRule type="containsText" dxfId="9" priority="10454" operator="containsText" text="No">
      <formula>NOT(ISERROR(SEARCH(("No"),(P926))))</formula>
    </cfRule>
  </conditionalFormatting>
  <conditionalFormatting sqref="P926:P938">
    <cfRule type="containsText" dxfId="2" priority="10455" operator="containsText" text="Yes">
      <formula>NOT(ISERROR(SEARCH(("Yes"),(P926))))</formula>
    </cfRule>
  </conditionalFormatting>
  <conditionalFormatting sqref="P940:P945">
    <cfRule type="containsText" dxfId="2" priority="10456" operator="containsText" text="Yes">
      <formula>NOT(ISERROR(SEARCH(("Yes"),(P940))))</formula>
    </cfRule>
  </conditionalFormatting>
  <conditionalFormatting sqref="P940:P945">
    <cfRule type="containsText" dxfId="9" priority="10457" operator="containsText" text="No">
      <formula>NOT(ISERROR(SEARCH(("No"),(P940))))</formula>
    </cfRule>
  </conditionalFormatting>
  <conditionalFormatting sqref="P940:P945">
    <cfRule type="containsText" dxfId="2" priority="10458" operator="containsText" text="Yes">
      <formula>NOT(ISERROR(SEARCH(("Yes"),(P940))))</formula>
    </cfRule>
  </conditionalFormatting>
  <conditionalFormatting sqref="P940:P945">
    <cfRule type="containsText" dxfId="9" priority="10459" operator="containsText" text="No">
      <formula>NOT(ISERROR(SEARCH(("No"),(P940))))</formula>
    </cfRule>
  </conditionalFormatting>
  <conditionalFormatting sqref="P940:P945">
    <cfRule type="containsText" dxfId="2" priority="10460" operator="containsText" text="Yes">
      <formula>NOT(ISERROR(SEARCH(("Yes"),(P940))))</formula>
    </cfRule>
  </conditionalFormatting>
  <conditionalFormatting sqref="P940:P945">
    <cfRule type="containsText" dxfId="9" priority="10461" operator="containsText" text="No">
      <formula>NOT(ISERROR(SEARCH(("No"),(P940))))</formula>
    </cfRule>
  </conditionalFormatting>
  <conditionalFormatting sqref="P940:P945">
    <cfRule type="containsText" dxfId="2" priority="10462" operator="containsText" text="Yes">
      <formula>NOT(ISERROR(SEARCH(("Yes"),(P940))))</formula>
    </cfRule>
  </conditionalFormatting>
  <conditionalFormatting sqref="P940:P945">
    <cfRule type="containsText" dxfId="9" priority="10463" operator="containsText" text="No">
      <formula>NOT(ISERROR(SEARCH(("No"),(P940))))</formula>
    </cfRule>
  </conditionalFormatting>
  <conditionalFormatting sqref="P940:P945">
    <cfRule type="containsText" dxfId="2" priority="10464" operator="containsText" text="Yes">
      <formula>NOT(ISERROR(SEARCH(("Yes"),(P940))))</formula>
    </cfRule>
  </conditionalFormatting>
  <conditionalFormatting sqref="P940:P945">
    <cfRule type="containsText" dxfId="9" priority="10465" operator="containsText" text="No">
      <formula>NOT(ISERROR(SEARCH(("No"),(P940))))</formula>
    </cfRule>
  </conditionalFormatting>
  <conditionalFormatting sqref="P940:P945">
    <cfRule type="containsText" dxfId="2" priority="10466" operator="containsText" text="Yes">
      <formula>NOT(ISERROR(SEARCH(("Yes"),(P940))))</formula>
    </cfRule>
  </conditionalFormatting>
  <conditionalFormatting sqref="P940:P945">
    <cfRule type="containsText" dxfId="9" priority="10467" operator="containsText" text="No">
      <formula>NOT(ISERROR(SEARCH(("No"),(P940))))</formula>
    </cfRule>
  </conditionalFormatting>
  <conditionalFormatting sqref="P940:P945">
    <cfRule type="containsText" dxfId="2" priority="10468" operator="containsText" text="Yes">
      <formula>NOT(ISERROR(SEARCH(("Yes"),(P940))))</formula>
    </cfRule>
  </conditionalFormatting>
  <conditionalFormatting sqref="P940:P945">
    <cfRule type="containsText" dxfId="9" priority="10469" operator="containsText" text="No">
      <formula>NOT(ISERROR(SEARCH(("No"),(P940))))</formula>
    </cfRule>
  </conditionalFormatting>
  <conditionalFormatting sqref="P940:P945">
    <cfRule type="containsText" dxfId="2" priority="10470" operator="containsText" text="Yes">
      <formula>NOT(ISERROR(SEARCH(("Yes"),(P940))))</formula>
    </cfRule>
  </conditionalFormatting>
  <conditionalFormatting sqref="P940:P945">
    <cfRule type="containsText" dxfId="9" priority="10471" operator="containsText" text="No">
      <formula>NOT(ISERROR(SEARCH(("No"),(P940))))</formula>
    </cfRule>
  </conditionalFormatting>
  <conditionalFormatting sqref="P940:P945">
    <cfRule type="containsText" dxfId="2" priority="10472" operator="containsText" text="Yes">
      <formula>NOT(ISERROR(SEARCH(("Yes"),(P940))))</formula>
    </cfRule>
  </conditionalFormatting>
  <conditionalFormatting sqref="P940:P945">
    <cfRule type="containsText" dxfId="9" priority="10473" operator="containsText" text="No">
      <formula>NOT(ISERROR(SEARCH(("No"),(P940))))</formula>
    </cfRule>
  </conditionalFormatting>
  <conditionalFormatting sqref="P940:P945">
    <cfRule type="containsText" dxfId="2" priority="10474" operator="containsText" text="Yes">
      <formula>NOT(ISERROR(SEARCH(("Yes"),(P940))))</formula>
    </cfRule>
  </conditionalFormatting>
  <conditionalFormatting sqref="P940:P945">
    <cfRule type="containsText" dxfId="9" priority="10475" operator="containsText" text="No">
      <formula>NOT(ISERROR(SEARCH(("No"),(P940))))</formula>
    </cfRule>
  </conditionalFormatting>
  <conditionalFormatting sqref="P940:P945">
    <cfRule type="containsText" dxfId="2" priority="10476" operator="containsText" text="Yes">
      <formula>NOT(ISERROR(SEARCH(("Yes"),(P940))))</formula>
    </cfRule>
  </conditionalFormatting>
  <conditionalFormatting sqref="P940:P945">
    <cfRule type="containsText" dxfId="9" priority="10477" operator="containsText" text="No">
      <formula>NOT(ISERROR(SEARCH(("No"),(P940))))</formula>
    </cfRule>
  </conditionalFormatting>
  <conditionalFormatting sqref="P940:P945">
    <cfRule type="containsText" dxfId="2" priority="10478" operator="containsText" text="Yes">
      <formula>NOT(ISERROR(SEARCH(("Yes"),(P940))))</formula>
    </cfRule>
  </conditionalFormatting>
  <conditionalFormatting sqref="P940:P945">
    <cfRule type="containsText" dxfId="9" priority="10479" operator="containsText" text="No">
      <formula>NOT(ISERROR(SEARCH(("No"),(P940))))</formula>
    </cfRule>
  </conditionalFormatting>
  <conditionalFormatting sqref="P940:P945">
    <cfRule type="containsText" dxfId="2" priority="10480" operator="containsText" text="Yes">
      <formula>NOT(ISERROR(SEARCH(("Yes"),(P940))))</formula>
    </cfRule>
  </conditionalFormatting>
  <conditionalFormatting sqref="P940:P945">
    <cfRule type="containsText" dxfId="9" priority="10481" operator="containsText" text="No">
      <formula>NOT(ISERROR(SEARCH(("No"),(P940))))</formula>
    </cfRule>
  </conditionalFormatting>
  <conditionalFormatting sqref="P940:P945">
    <cfRule type="containsText" dxfId="2" priority="10482" operator="containsText" text="Yes">
      <formula>NOT(ISERROR(SEARCH(("Yes"),(P940))))</formula>
    </cfRule>
  </conditionalFormatting>
  <conditionalFormatting sqref="P940:P945">
    <cfRule type="containsText" dxfId="9" priority="10483" operator="containsText" text="No">
      <formula>NOT(ISERROR(SEARCH(("No"),(P940))))</formula>
    </cfRule>
  </conditionalFormatting>
  <conditionalFormatting sqref="P940:P945">
    <cfRule type="containsText" dxfId="2" priority="10484" operator="containsText" text="Yes">
      <formula>NOT(ISERROR(SEARCH(("Yes"),(P940))))</formula>
    </cfRule>
  </conditionalFormatting>
  <conditionalFormatting sqref="P940:P945">
    <cfRule type="containsText" dxfId="9" priority="10485" operator="containsText" text="No">
      <formula>NOT(ISERROR(SEARCH(("No"),(P940))))</formula>
    </cfRule>
  </conditionalFormatting>
  <conditionalFormatting sqref="P940:P945">
    <cfRule type="containsText" dxfId="2" priority="10486" operator="containsText" text="Yes">
      <formula>NOT(ISERROR(SEARCH(("Yes"),(P940))))</formula>
    </cfRule>
  </conditionalFormatting>
  <conditionalFormatting sqref="P940:P945">
    <cfRule type="containsText" dxfId="9" priority="10487" operator="containsText" text="No">
      <formula>NOT(ISERROR(SEARCH(("No"),(P940))))</formula>
    </cfRule>
  </conditionalFormatting>
  <conditionalFormatting sqref="P940:P945">
    <cfRule type="containsText" dxfId="2" priority="10488" operator="containsText" text="Yes">
      <formula>NOT(ISERROR(SEARCH(("Yes"),(P940))))</formula>
    </cfRule>
  </conditionalFormatting>
  <conditionalFormatting sqref="P940:P945">
    <cfRule type="containsText" dxfId="9" priority="10489" operator="containsText" text="No">
      <formula>NOT(ISERROR(SEARCH(("No"),(P940))))</formula>
    </cfRule>
  </conditionalFormatting>
  <conditionalFormatting sqref="P940:P945">
    <cfRule type="containsText" dxfId="2" priority="10490" operator="containsText" text="Yes">
      <formula>NOT(ISERROR(SEARCH(("Yes"),(P940))))</formula>
    </cfRule>
  </conditionalFormatting>
  <conditionalFormatting sqref="P940:P945">
    <cfRule type="containsText" dxfId="9" priority="10491" operator="containsText" text="No">
      <formula>NOT(ISERROR(SEARCH(("No"),(P940))))</formula>
    </cfRule>
  </conditionalFormatting>
  <conditionalFormatting sqref="P940:P945">
    <cfRule type="containsText" dxfId="2" priority="10492" operator="containsText" text="Yes">
      <formula>NOT(ISERROR(SEARCH(("Yes"),(P940))))</formula>
    </cfRule>
  </conditionalFormatting>
  <conditionalFormatting sqref="P940:P945">
    <cfRule type="containsText" dxfId="9" priority="10493" operator="containsText" text="No">
      <formula>NOT(ISERROR(SEARCH(("No"),(P940))))</formula>
    </cfRule>
  </conditionalFormatting>
  <conditionalFormatting sqref="P940:P945">
    <cfRule type="containsText" dxfId="2" priority="10494" operator="containsText" text="Yes">
      <formula>NOT(ISERROR(SEARCH(("Yes"),(P940))))</formula>
    </cfRule>
  </conditionalFormatting>
  <conditionalFormatting sqref="P940:P945">
    <cfRule type="containsText" dxfId="9" priority="10495" operator="containsText" text="No">
      <formula>NOT(ISERROR(SEARCH(("No"),(P940))))</formula>
    </cfRule>
  </conditionalFormatting>
  <conditionalFormatting sqref="P940:P945">
    <cfRule type="containsText" dxfId="2" priority="10496" operator="containsText" text="Yes">
      <formula>NOT(ISERROR(SEARCH(("Yes"),(P940))))</formula>
    </cfRule>
  </conditionalFormatting>
  <conditionalFormatting sqref="P940:P945">
    <cfRule type="containsText" dxfId="9" priority="10497" operator="containsText" text="No">
      <formula>NOT(ISERROR(SEARCH(("No"),(P940))))</formula>
    </cfRule>
  </conditionalFormatting>
  <conditionalFormatting sqref="P940:P945">
    <cfRule type="containsText" dxfId="2" priority="10498" operator="containsText" text="Yes">
      <formula>NOT(ISERROR(SEARCH(("Yes"),(P940))))</formula>
    </cfRule>
  </conditionalFormatting>
  <conditionalFormatting sqref="P940:P945">
    <cfRule type="containsText" dxfId="9" priority="10499" operator="containsText" text="No">
      <formula>NOT(ISERROR(SEARCH(("No"),(P940))))</formula>
    </cfRule>
  </conditionalFormatting>
  <conditionalFormatting sqref="P940:P945">
    <cfRule type="containsText" dxfId="2" priority="10500" operator="containsText" text="Yes">
      <formula>NOT(ISERROR(SEARCH(("Yes"),(P940))))</formula>
    </cfRule>
  </conditionalFormatting>
  <conditionalFormatting sqref="P940:P945">
    <cfRule type="containsText" dxfId="9" priority="10501" operator="containsText" text="No">
      <formula>NOT(ISERROR(SEARCH(("No"),(P940))))</formula>
    </cfRule>
  </conditionalFormatting>
  <conditionalFormatting sqref="P940:P945">
    <cfRule type="containsText" dxfId="2" priority="10502" operator="containsText" text="Yes">
      <formula>NOT(ISERROR(SEARCH(("Yes"),(P940))))</formula>
    </cfRule>
  </conditionalFormatting>
  <conditionalFormatting sqref="P940:P945">
    <cfRule type="containsText" dxfId="9" priority="10503" operator="containsText" text="No">
      <formula>NOT(ISERROR(SEARCH(("No"),(P940))))</formula>
    </cfRule>
  </conditionalFormatting>
  <conditionalFormatting sqref="P940:P945">
    <cfRule type="containsText" dxfId="2" priority="10504" operator="containsText" text="Yes">
      <formula>NOT(ISERROR(SEARCH(("Yes"),(P940))))</formula>
    </cfRule>
  </conditionalFormatting>
  <conditionalFormatting sqref="P940:P945">
    <cfRule type="containsText" dxfId="9" priority="10505" operator="containsText" text="No">
      <formula>NOT(ISERROR(SEARCH(("No"),(P940))))</formula>
    </cfRule>
  </conditionalFormatting>
  <conditionalFormatting sqref="P940:P945">
    <cfRule type="containsText" dxfId="2" priority="10506" operator="containsText" text="Yes">
      <formula>NOT(ISERROR(SEARCH(("Yes"),(P940))))</formula>
    </cfRule>
  </conditionalFormatting>
  <conditionalFormatting sqref="P940:P945">
    <cfRule type="containsText" dxfId="9" priority="10507" operator="containsText" text="No">
      <formula>NOT(ISERROR(SEARCH(("No"),(P940))))</formula>
    </cfRule>
  </conditionalFormatting>
  <conditionalFormatting sqref="P940:P945">
    <cfRule type="containsText" dxfId="2" priority="10508" operator="containsText" text="Yes">
      <formula>NOT(ISERROR(SEARCH(("Yes"),(P940))))</formula>
    </cfRule>
  </conditionalFormatting>
  <conditionalFormatting sqref="P940:P945">
    <cfRule type="containsText" dxfId="9" priority="10509" operator="containsText" text="No">
      <formula>NOT(ISERROR(SEARCH(("No"),(P940))))</formula>
    </cfRule>
  </conditionalFormatting>
  <conditionalFormatting sqref="P940:P945">
    <cfRule type="containsText" dxfId="2" priority="10510" operator="containsText" text="Yes">
      <formula>NOT(ISERROR(SEARCH(("Yes"),(P940))))</formula>
    </cfRule>
  </conditionalFormatting>
  <conditionalFormatting sqref="P940:P945">
    <cfRule type="containsText" dxfId="9" priority="10511" operator="containsText" text="No">
      <formula>NOT(ISERROR(SEARCH(("No"),(P940))))</formula>
    </cfRule>
  </conditionalFormatting>
  <conditionalFormatting sqref="P940:P945">
    <cfRule type="containsText" dxfId="2" priority="10512" operator="containsText" text="Yes">
      <formula>NOT(ISERROR(SEARCH(("Yes"),(P940))))</formula>
    </cfRule>
  </conditionalFormatting>
  <conditionalFormatting sqref="P940:P945">
    <cfRule type="containsText" dxfId="9" priority="10513" operator="containsText" text="No">
      <formula>NOT(ISERROR(SEARCH(("No"),(P940))))</formula>
    </cfRule>
  </conditionalFormatting>
  <conditionalFormatting sqref="P940:P945">
    <cfRule type="containsText" dxfId="2" priority="10514" operator="containsText" text="Yes">
      <formula>NOT(ISERROR(SEARCH(("Yes"),(P940))))</formula>
    </cfRule>
  </conditionalFormatting>
  <conditionalFormatting sqref="P940:P945">
    <cfRule type="containsText" dxfId="9" priority="10515" operator="containsText" text="No">
      <formula>NOT(ISERROR(SEARCH(("No"),(P940))))</formula>
    </cfRule>
  </conditionalFormatting>
  <conditionalFormatting sqref="P940:P945">
    <cfRule type="containsText" dxfId="2" priority="10516" operator="containsText" text="Yes">
      <formula>NOT(ISERROR(SEARCH(("Yes"),(P940))))</formula>
    </cfRule>
  </conditionalFormatting>
  <conditionalFormatting sqref="P940:P945">
    <cfRule type="containsText" dxfId="9" priority="10517" operator="containsText" text="No">
      <formula>NOT(ISERROR(SEARCH(("No"),(P940))))</formula>
    </cfRule>
  </conditionalFormatting>
  <conditionalFormatting sqref="P940:P945">
    <cfRule type="containsText" dxfId="2" priority="10518" operator="containsText" text="Yes">
      <formula>NOT(ISERROR(SEARCH(("Yes"),(P940))))</formula>
    </cfRule>
  </conditionalFormatting>
  <conditionalFormatting sqref="P940:P945">
    <cfRule type="containsText" dxfId="9" priority="10519" operator="containsText" text="No">
      <formula>NOT(ISERROR(SEARCH(("No"),(P940))))</formula>
    </cfRule>
  </conditionalFormatting>
  <conditionalFormatting sqref="P940:P945">
    <cfRule type="containsText" dxfId="2" priority="10520" operator="containsText" text="Yes">
      <formula>NOT(ISERROR(SEARCH(("Yes"),(P940))))</formula>
    </cfRule>
  </conditionalFormatting>
  <conditionalFormatting sqref="P940:P945">
    <cfRule type="containsText" dxfId="9" priority="10521" operator="containsText" text="No">
      <formula>NOT(ISERROR(SEARCH(("No"),(P940))))</formula>
    </cfRule>
  </conditionalFormatting>
  <conditionalFormatting sqref="P940:P945">
    <cfRule type="containsText" dxfId="2" priority="10522" operator="containsText" text="Yes">
      <formula>NOT(ISERROR(SEARCH(("Yes"),(P940))))</formula>
    </cfRule>
  </conditionalFormatting>
  <conditionalFormatting sqref="P940:P945">
    <cfRule type="containsText" dxfId="9" priority="10523" operator="containsText" text="No">
      <formula>NOT(ISERROR(SEARCH(("No"),(P940))))</formula>
    </cfRule>
  </conditionalFormatting>
  <conditionalFormatting sqref="P940:P945">
    <cfRule type="containsText" dxfId="2" priority="10524" operator="containsText" text="Yes">
      <formula>NOT(ISERROR(SEARCH(("Yes"),(P940))))</formula>
    </cfRule>
  </conditionalFormatting>
  <conditionalFormatting sqref="P940:P945">
    <cfRule type="containsText" dxfId="9" priority="10525" operator="containsText" text="No">
      <formula>NOT(ISERROR(SEARCH(("No"),(P940))))</formula>
    </cfRule>
  </conditionalFormatting>
  <conditionalFormatting sqref="P940:P945">
    <cfRule type="containsText" dxfId="2" priority="10526" operator="containsText" text="Yes">
      <formula>NOT(ISERROR(SEARCH(("Yes"),(P940))))</formula>
    </cfRule>
  </conditionalFormatting>
  <conditionalFormatting sqref="P940:P945">
    <cfRule type="containsText" dxfId="9" priority="10527" operator="containsText" text="No">
      <formula>NOT(ISERROR(SEARCH(("No"),(P940))))</formula>
    </cfRule>
  </conditionalFormatting>
  <conditionalFormatting sqref="P940:P945">
    <cfRule type="containsText" dxfId="2" priority="10528" operator="containsText" text="Yes">
      <formula>NOT(ISERROR(SEARCH(("Yes"),(P940))))</formula>
    </cfRule>
  </conditionalFormatting>
  <conditionalFormatting sqref="P940:P945">
    <cfRule type="containsText" dxfId="9" priority="10529" operator="containsText" text="No">
      <formula>NOT(ISERROR(SEARCH(("No"),(P940))))</formula>
    </cfRule>
  </conditionalFormatting>
  <conditionalFormatting sqref="P940:P945">
    <cfRule type="containsText" dxfId="2" priority="10530" operator="containsText" text="Yes">
      <formula>NOT(ISERROR(SEARCH(("Yes"),(P940))))</formula>
    </cfRule>
  </conditionalFormatting>
  <conditionalFormatting sqref="P940:P945">
    <cfRule type="containsText" dxfId="9" priority="10531" operator="containsText" text="No">
      <formula>NOT(ISERROR(SEARCH(("No"),(P940))))</formula>
    </cfRule>
  </conditionalFormatting>
  <conditionalFormatting sqref="P940:P945">
    <cfRule type="containsText" dxfId="2" priority="10532" operator="containsText" text="Yes">
      <formula>NOT(ISERROR(SEARCH(("Yes"),(P940))))</formula>
    </cfRule>
  </conditionalFormatting>
  <conditionalFormatting sqref="P940:P945">
    <cfRule type="containsText" dxfId="9" priority="10533" operator="containsText" text="No">
      <formula>NOT(ISERROR(SEARCH(("No"),(P940))))</formula>
    </cfRule>
  </conditionalFormatting>
  <conditionalFormatting sqref="P940:P945">
    <cfRule type="containsText" dxfId="2" priority="10534" operator="containsText" text="Yes">
      <formula>NOT(ISERROR(SEARCH(("Yes"),(P940))))</formula>
    </cfRule>
  </conditionalFormatting>
  <conditionalFormatting sqref="P940:P945">
    <cfRule type="containsText" dxfId="9" priority="10535" operator="containsText" text="No">
      <formula>NOT(ISERROR(SEARCH(("No"),(P940))))</formula>
    </cfRule>
  </conditionalFormatting>
  <conditionalFormatting sqref="P940:P945">
    <cfRule type="containsText" dxfId="2" priority="10536" operator="containsText" text="Yes">
      <formula>NOT(ISERROR(SEARCH(("Yes"),(P940))))</formula>
    </cfRule>
  </conditionalFormatting>
  <conditionalFormatting sqref="P940:P945">
    <cfRule type="containsText" dxfId="9" priority="10537" operator="containsText" text="No">
      <formula>NOT(ISERROR(SEARCH(("No"),(P940))))</formula>
    </cfRule>
  </conditionalFormatting>
  <conditionalFormatting sqref="P940:P945">
    <cfRule type="containsText" dxfId="2" priority="10538" operator="containsText" text="Yes">
      <formula>NOT(ISERROR(SEARCH(("Yes"),(P940))))</formula>
    </cfRule>
  </conditionalFormatting>
  <conditionalFormatting sqref="P940:P945">
    <cfRule type="containsText" dxfId="9" priority="10539" operator="containsText" text="No">
      <formula>NOT(ISERROR(SEARCH(("No"),(P940))))</formula>
    </cfRule>
  </conditionalFormatting>
  <conditionalFormatting sqref="P940:P945">
    <cfRule type="containsText" dxfId="2" priority="10540" operator="containsText" text="Yes">
      <formula>NOT(ISERROR(SEARCH(("Yes"),(P940))))</formula>
    </cfRule>
  </conditionalFormatting>
  <conditionalFormatting sqref="P940:P945">
    <cfRule type="containsText" dxfId="9" priority="10541" operator="containsText" text="No">
      <formula>NOT(ISERROR(SEARCH(("No"),(P940))))</formula>
    </cfRule>
  </conditionalFormatting>
  <conditionalFormatting sqref="P940:P945">
    <cfRule type="containsText" dxfId="2" priority="10542" operator="containsText" text="Yes">
      <formula>NOT(ISERROR(SEARCH(("Yes"),(P940))))</formula>
    </cfRule>
  </conditionalFormatting>
  <conditionalFormatting sqref="P940:P945">
    <cfRule type="containsText" dxfId="9" priority="10543" operator="containsText" text="No">
      <formula>NOT(ISERROR(SEARCH(("No"),(P940))))</formula>
    </cfRule>
  </conditionalFormatting>
  <conditionalFormatting sqref="P940:P945">
    <cfRule type="containsText" dxfId="2" priority="10544" operator="containsText" text="Yes">
      <formula>NOT(ISERROR(SEARCH(("Yes"),(P940))))</formula>
    </cfRule>
  </conditionalFormatting>
  <conditionalFormatting sqref="P940:P945">
    <cfRule type="containsText" dxfId="2" priority="10545" operator="containsText" text="Yes">
      <formula>NOT(ISERROR(SEARCH(("Yes"),(P940))))</formula>
    </cfRule>
  </conditionalFormatting>
  <conditionalFormatting sqref="P940:P945">
    <cfRule type="containsText" dxfId="9" priority="10546" operator="containsText" text="No">
      <formula>NOT(ISERROR(SEARCH(("No"),(P940))))</formula>
    </cfRule>
  </conditionalFormatting>
  <conditionalFormatting sqref="P940:P945">
    <cfRule type="containsText" dxfId="2" priority="10547" operator="containsText" text="Yes">
      <formula>NOT(ISERROR(SEARCH(("Yes"),(P940))))</formula>
    </cfRule>
  </conditionalFormatting>
  <conditionalFormatting sqref="P947:P948">
    <cfRule type="containsText" dxfId="2" priority="10548" operator="containsText" text="Yes">
      <formula>NOT(ISERROR(SEARCH(("Yes"),(P947))))</formula>
    </cfRule>
  </conditionalFormatting>
  <conditionalFormatting sqref="P947:P948">
    <cfRule type="containsText" dxfId="9" priority="10549" operator="containsText" text="No">
      <formula>NOT(ISERROR(SEARCH(("No"),(P947))))</formula>
    </cfRule>
  </conditionalFormatting>
  <conditionalFormatting sqref="P947:P948">
    <cfRule type="containsText" dxfId="2" priority="10550" operator="containsText" text="Yes">
      <formula>NOT(ISERROR(SEARCH(("Yes"),(P947))))</formula>
    </cfRule>
  </conditionalFormatting>
  <conditionalFormatting sqref="P947:P948">
    <cfRule type="containsText" dxfId="9" priority="10551" operator="containsText" text="No">
      <formula>NOT(ISERROR(SEARCH(("No"),(P947))))</formula>
    </cfRule>
  </conditionalFormatting>
  <conditionalFormatting sqref="P947:P948">
    <cfRule type="containsText" dxfId="2" priority="10552" operator="containsText" text="Yes">
      <formula>NOT(ISERROR(SEARCH(("Yes"),(P947))))</formula>
    </cfRule>
  </conditionalFormatting>
  <conditionalFormatting sqref="P947:P948">
    <cfRule type="containsText" dxfId="9" priority="10553" operator="containsText" text="No">
      <formula>NOT(ISERROR(SEARCH(("No"),(P947))))</formula>
    </cfRule>
  </conditionalFormatting>
  <conditionalFormatting sqref="P947:P948">
    <cfRule type="containsText" dxfId="2" priority="10554" operator="containsText" text="Yes">
      <formula>NOT(ISERROR(SEARCH(("Yes"),(P947))))</formula>
    </cfRule>
  </conditionalFormatting>
  <conditionalFormatting sqref="P947:P948">
    <cfRule type="containsText" dxfId="9" priority="10555" operator="containsText" text="No">
      <formula>NOT(ISERROR(SEARCH(("No"),(P947))))</formula>
    </cfRule>
  </conditionalFormatting>
  <conditionalFormatting sqref="P947:P948">
    <cfRule type="containsText" dxfId="2" priority="10556" operator="containsText" text="Yes">
      <formula>NOT(ISERROR(SEARCH(("Yes"),(P947))))</formula>
    </cfRule>
  </conditionalFormatting>
  <conditionalFormatting sqref="P947:P948">
    <cfRule type="containsText" dxfId="9" priority="10557" operator="containsText" text="No">
      <formula>NOT(ISERROR(SEARCH(("No"),(P947))))</formula>
    </cfRule>
  </conditionalFormatting>
  <conditionalFormatting sqref="P947:P948">
    <cfRule type="containsText" dxfId="2" priority="10558" operator="containsText" text="Yes">
      <formula>NOT(ISERROR(SEARCH(("Yes"),(P947))))</formula>
    </cfRule>
  </conditionalFormatting>
  <conditionalFormatting sqref="P947:P948">
    <cfRule type="containsText" dxfId="9" priority="10559" operator="containsText" text="No">
      <formula>NOT(ISERROR(SEARCH(("No"),(P947))))</formula>
    </cfRule>
  </conditionalFormatting>
  <conditionalFormatting sqref="P947:P948">
    <cfRule type="containsText" dxfId="2" priority="10560" operator="containsText" text="Yes">
      <formula>NOT(ISERROR(SEARCH(("Yes"),(P947))))</formula>
    </cfRule>
  </conditionalFormatting>
  <conditionalFormatting sqref="P947:P948">
    <cfRule type="containsText" dxfId="9" priority="10561" operator="containsText" text="No">
      <formula>NOT(ISERROR(SEARCH(("No"),(P947))))</formula>
    </cfRule>
  </conditionalFormatting>
  <conditionalFormatting sqref="P947:P948">
    <cfRule type="containsText" dxfId="2" priority="10562" operator="containsText" text="Yes">
      <formula>NOT(ISERROR(SEARCH(("Yes"),(P947))))</formula>
    </cfRule>
  </conditionalFormatting>
  <conditionalFormatting sqref="P947:P948">
    <cfRule type="containsText" dxfId="9" priority="10563" operator="containsText" text="No">
      <formula>NOT(ISERROR(SEARCH(("No"),(P947))))</formula>
    </cfRule>
  </conditionalFormatting>
  <conditionalFormatting sqref="P947:P948">
    <cfRule type="containsText" dxfId="2" priority="10564" operator="containsText" text="Yes">
      <formula>NOT(ISERROR(SEARCH(("Yes"),(P947))))</formula>
    </cfRule>
  </conditionalFormatting>
  <conditionalFormatting sqref="P947:P948">
    <cfRule type="containsText" dxfId="9" priority="10565" operator="containsText" text="No">
      <formula>NOT(ISERROR(SEARCH(("No"),(P947))))</formula>
    </cfRule>
  </conditionalFormatting>
  <conditionalFormatting sqref="P947:P948">
    <cfRule type="containsText" dxfId="2" priority="10566" operator="containsText" text="Yes">
      <formula>NOT(ISERROR(SEARCH(("Yes"),(P947))))</formula>
    </cfRule>
  </conditionalFormatting>
  <conditionalFormatting sqref="P947:P948">
    <cfRule type="containsText" dxfId="9" priority="10567" operator="containsText" text="No">
      <formula>NOT(ISERROR(SEARCH(("No"),(P947))))</formula>
    </cfRule>
  </conditionalFormatting>
  <conditionalFormatting sqref="P947:P948">
    <cfRule type="containsText" dxfId="2" priority="10568" operator="containsText" text="Yes">
      <formula>NOT(ISERROR(SEARCH(("Yes"),(P947))))</formula>
    </cfRule>
  </conditionalFormatting>
  <conditionalFormatting sqref="P947:P948">
    <cfRule type="containsText" dxfId="9" priority="10569" operator="containsText" text="No">
      <formula>NOT(ISERROR(SEARCH(("No"),(P947))))</formula>
    </cfRule>
  </conditionalFormatting>
  <conditionalFormatting sqref="P947:P948">
    <cfRule type="containsText" dxfId="2" priority="10570" operator="containsText" text="Yes">
      <formula>NOT(ISERROR(SEARCH(("Yes"),(P947))))</formula>
    </cfRule>
  </conditionalFormatting>
  <conditionalFormatting sqref="P947:P948">
    <cfRule type="containsText" dxfId="9" priority="10571" operator="containsText" text="No">
      <formula>NOT(ISERROR(SEARCH(("No"),(P947))))</formula>
    </cfRule>
  </conditionalFormatting>
  <conditionalFormatting sqref="P947:P948">
    <cfRule type="containsText" dxfId="2" priority="10572" operator="containsText" text="Yes">
      <formula>NOT(ISERROR(SEARCH(("Yes"),(P947))))</formula>
    </cfRule>
  </conditionalFormatting>
  <conditionalFormatting sqref="P947:P948">
    <cfRule type="containsText" dxfId="9" priority="10573" operator="containsText" text="No">
      <formula>NOT(ISERROR(SEARCH(("No"),(P947))))</formula>
    </cfRule>
  </conditionalFormatting>
  <conditionalFormatting sqref="P947:P948">
    <cfRule type="containsText" dxfId="2" priority="10574" operator="containsText" text="Yes">
      <formula>NOT(ISERROR(SEARCH(("Yes"),(P947))))</formula>
    </cfRule>
  </conditionalFormatting>
  <conditionalFormatting sqref="P947:P948">
    <cfRule type="containsText" dxfId="9" priority="10575" operator="containsText" text="No">
      <formula>NOT(ISERROR(SEARCH(("No"),(P947))))</formula>
    </cfRule>
  </conditionalFormatting>
  <conditionalFormatting sqref="P947:P948">
    <cfRule type="containsText" dxfId="2" priority="10576" operator="containsText" text="Yes">
      <formula>NOT(ISERROR(SEARCH(("Yes"),(P947))))</formula>
    </cfRule>
  </conditionalFormatting>
  <conditionalFormatting sqref="P947:P948">
    <cfRule type="containsText" dxfId="9" priority="10577" operator="containsText" text="No">
      <formula>NOT(ISERROR(SEARCH(("No"),(P947))))</formula>
    </cfRule>
  </conditionalFormatting>
  <conditionalFormatting sqref="P947:P948">
    <cfRule type="containsText" dxfId="2" priority="10578" operator="containsText" text="Yes">
      <formula>NOT(ISERROR(SEARCH(("Yes"),(P947))))</formula>
    </cfRule>
  </conditionalFormatting>
  <conditionalFormatting sqref="P947:P948">
    <cfRule type="containsText" dxfId="9" priority="10579" operator="containsText" text="No">
      <formula>NOT(ISERROR(SEARCH(("No"),(P947))))</formula>
    </cfRule>
  </conditionalFormatting>
  <conditionalFormatting sqref="P947:P948">
    <cfRule type="containsText" dxfId="2" priority="10580" operator="containsText" text="Yes">
      <formula>NOT(ISERROR(SEARCH(("Yes"),(P947))))</formula>
    </cfRule>
  </conditionalFormatting>
  <conditionalFormatting sqref="P947:P948">
    <cfRule type="containsText" dxfId="9" priority="10581" operator="containsText" text="No">
      <formula>NOT(ISERROR(SEARCH(("No"),(P947))))</formula>
    </cfRule>
  </conditionalFormatting>
  <conditionalFormatting sqref="P947:P948">
    <cfRule type="containsText" dxfId="2" priority="10582" operator="containsText" text="Yes">
      <formula>NOT(ISERROR(SEARCH(("Yes"),(P947))))</formula>
    </cfRule>
  </conditionalFormatting>
  <conditionalFormatting sqref="P947:P948">
    <cfRule type="containsText" dxfId="9" priority="10583" operator="containsText" text="No">
      <formula>NOT(ISERROR(SEARCH(("No"),(P947))))</formula>
    </cfRule>
  </conditionalFormatting>
  <conditionalFormatting sqref="P947:P948">
    <cfRule type="containsText" dxfId="2" priority="10584" operator="containsText" text="Yes">
      <formula>NOT(ISERROR(SEARCH(("Yes"),(P947))))</formula>
    </cfRule>
  </conditionalFormatting>
  <conditionalFormatting sqref="P947:P948">
    <cfRule type="containsText" dxfId="9" priority="10585" operator="containsText" text="No">
      <formula>NOT(ISERROR(SEARCH(("No"),(P947))))</formula>
    </cfRule>
  </conditionalFormatting>
  <conditionalFormatting sqref="P947:P948">
    <cfRule type="containsText" dxfId="2" priority="10586" operator="containsText" text="Yes">
      <formula>NOT(ISERROR(SEARCH(("Yes"),(P947))))</formula>
    </cfRule>
  </conditionalFormatting>
  <conditionalFormatting sqref="P947:P948">
    <cfRule type="containsText" dxfId="9" priority="10587" operator="containsText" text="No">
      <formula>NOT(ISERROR(SEARCH(("No"),(P947))))</formula>
    </cfRule>
  </conditionalFormatting>
  <conditionalFormatting sqref="P947:P948">
    <cfRule type="containsText" dxfId="2" priority="10588" operator="containsText" text="Yes">
      <formula>NOT(ISERROR(SEARCH(("Yes"),(P947))))</formula>
    </cfRule>
  </conditionalFormatting>
  <conditionalFormatting sqref="P947:P948">
    <cfRule type="containsText" dxfId="9" priority="10589" operator="containsText" text="No">
      <formula>NOT(ISERROR(SEARCH(("No"),(P947))))</formula>
    </cfRule>
  </conditionalFormatting>
  <conditionalFormatting sqref="P947:P948">
    <cfRule type="containsText" dxfId="2" priority="10590" operator="containsText" text="Yes">
      <formula>NOT(ISERROR(SEARCH(("Yes"),(P947))))</formula>
    </cfRule>
  </conditionalFormatting>
  <conditionalFormatting sqref="P947:P948">
    <cfRule type="containsText" dxfId="9" priority="10591" operator="containsText" text="No">
      <formula>NOT(ISERROR(SEARCH(("No"),(P947))))</formula>
    </cfRule>
  </conditionalFormatting>
  <conditionalFormatting sqref="P947:P948">
    <cfRule type="containsText" dxfId="2" priority="10592" operator="containsText" text="Yes">
      <formula>NOT(ISERROR(SEARCH(("Yes"),(P947))))</formula>
    </cfRule>
  </conditionalFormatting>
  <conditionalFormatting sqref="P947:P948">
    <cfRule type="containsText" dxfId="9" priority="10593" operator="containsText" text="No">
      <formula>NOT(ISERROR(SEARCH(("No"),(P947))))</formula>
    </cfRule>
  </conditionalFormatting>
  <conditionalFormatting sqref="P947:P948">
    <cfRule type="containsText" dxfId="2" priority="10594" operator="containsText" text="Yes">
      <formula>NOT(ISERROR(SEARCH(("Yes"),(P947))))</formula>
    </cfRule>
  </conditionalFormatting>
  <conditionalFormatting sqref="P947:P948">
    <cfRule type="containsText" dxfId="9" priority="10595" operator="containsText" text="No">
      <formula>NOT(ISERROR(SEARCH(("No"),(P947))))</formula>
    </cfRule>
  </conditionalFormatting>
  <conditionalFormatting sqref="P947:P948">
    <cfRule type="containsText" dxfId="2" priority="10596" operator="containsText" text="Yes">
      <formula>NOT(ISERROR(SEARCH(("Yes"),(P947))))</formula>
    </cfRule>
  </conditionalFormatting>
  <conditionalFormatting sqref="P947:P948">
    <cfRule type="containsText" dxfId="9" priority="10597" operator="containsText" text="No">
      <formula>NOT(ISERROR(SEARCH(("No"),(P947))))</formula>
    </cfRule>
  </conditionalFormatting>
  <conditionalFormatting sqref="P947:P948">
    <cfRule type="containsText" dxfId="2" priority="10598" operator="containsText" text="Yes">
      <formula>NOT(ISERROR(SEARCH(("Yes"),(P947))))</formula>
    </cfRule>
  </conditionalFormatting>
  <conditionalFormatting sqref="P947:P948">
    <cfRule type="containsText" dxfId="9" priority="10599" operator="containsText" text="No">
      <formula>NOT(ISERROR(SEARCH(("No"),(P947))))</formula>
    </cfRule>
  </conditionalFormatting>
  <conditionalFormatting sqref="P947:P948">
    <cfRule type="containsText" dxfId="2" priority="10600" operator="containsText" text="Yes">
      <formula>NOT(ISERROR(SEARCH(("Yes"),(P947))))</formula>
    </cfRule>
  </conditionalFormatting>
  <conditionalFormatting sqref="P947:P948">
    <cfRule type="containsText" dxfId="9" priority="10601" operator="containsText" text="No">
      <formula>NOT(ISERROR(SEARCH(("No"),(P947))))</formula>
    </cfRule>
  </conditionalFormatting>
  <conditionalFormatting sqref="P947:P948">
    <cfRule type="containsText" dxfId="2" priority="10602" operator="containsText" text="Yes">
      <formula>NOT(ISERROR(SEARCH(("Yes"),(P947))))</formula>
    </cfRule>
  </conditionalFormatting>
  <conditionalFormatting sqref="P947:P948">
    <cfRule type="containsText" dxfId="9" priority="10603" operator="containsText" text="No">
      <formula>NOT(ISERROR(SEARCH(("No"),(P947))))</formula>
    </cfRule>
  </conditionalFormatting>
  <conditionalFormatting sqref="P947:P948">
    <cfRule type="containsText" dxfId="2" priority="10604" operator="containsText" text="Yes">
      <formula>NOT(ISERROR(SEARCH(("Yes"),(P947))))</formula>
    </cfRule>
  </conditionalFormatting>
  <conditionalFormatting sqref="P947:P948">
    <cfRule type="containsText" dxfId="9" priority="10605" operator="containsText" text="No">
      <formula>NOT(ISERROR(SEARCH(("No"),(P947))))</formula>
    </cfRule>
  </conditionalFormatting>
  <conditionalFormatting sqref="P947:P948">
    <cfRule type="containsText" dxfId="2" priority="10606" operator="containsText" text="Yes">
      <formula>NOT(ISERROR(SEARCH(("Yes"),(P947))))</formula>
    </cfRule>
  </conditionalFormatting>
  <conditionalFormatting sqref="P947:P948">
    <cfRule type="containsText" dxfId="9" priority="10607" operator="containsText" text="No">
      <formula>NOT(ISERROR(SEARCH(("No"),(P947))))</formula>
    </cfRule>
  </conditionalFormatting>
  <conditionalFormatting sqref="P947:P948">
    <cfRule type="containsText" dxfId="2" priority="10608" operator="containsText" text="Yes">
      <formula>NOT(ISERROR(SEARCH(("Yes"),(P947))))</formula>
    </cfRule>
  </conditionalFormatting>
  <conditionalFormatting sqref="P947:P948">
    <cfRule type="containsText" dxfId="9" priority="10609" operator="containsText" text="No">
      <formula>NOT(ISERROR(SEARCH(("No"),(P947))))</formula>
    </cfRule>
  </conditionalFormatting>
  <conditionalFormatting sqref="P947:P948">
    <cfRule type="containsText" dxfId="2" priority="10610" operator="containsText" text="Yes">
      <formula>NOT(ISERROR(SEARCH(("Yes"),(P947))))</formula>
    </cfRule>
  </conditionalFormatting>
  <conditionalFormatting sqref="P947:P948">
    <cfRule type="containsText" dxfId="9" priority="10611" operator="containsText" text="No">
      <formula>NOT(ISERROR(SEARCH(("No"),(P947))))</formula>
    </cfRule>
  </conditionalFormatting>
  <conditionalFormatting sqref="P947:P948">
    <cfRule type="containsText" dxfId="2" priority="10612" operator="containsText" text="Yes">
      <formula>NOT(ISERROR(SEARCH(("Yes"),(P947))))</formula>
    </cfRule>
  </conditionalFormatting>
  <conditionalFormatting sqref="P947:P948">
    <cfRule type="containsText" dxfId="9" priority="10613" operator="containsText" text="No">
      <formula>NOT(ISERROR(SEARCH(("No"),(P947))))</formula>
    </cfRule>
  </conditionalFormatting>
  <conditionalFormatting sqref="P947:P948">
    <cfRule type="containsText" dxfId="2" priority="10614" operator="containsText" text="Yes">
      <formula>NOT(ISERROR(SEARCH(("Yes"),(P947))))</formula>
    </cfRule>
  </conditionalFormatting>
  <conditionalFormatting sqref="P947:P948">
    <cfRule type="containsText" dxfId="9" priority="10615" operator="containsText" text="No">
      <formula>NOT(ISERROR(SEARCH(("No"),(P947))))</formula>
    </cfRule>
  </conditionalFormatting>
  <conditionalFormatting sqref="P947:P948">
    <cfRule type="containsText" dxfId="2" priority="10616" operator="containsText" text="Yes">
      <formula>NOT(ISERROR(SEARCH(("Yes"),(P947))))</formula>
    </cfRule>
  </conditionalFormatting>
  <conditionalFormatting sqref="P947:P948">
    <cfRule type="containsText" dxfId="9" priority="10617" operator="containsText" text="No">
      <formula>NOT(ISERROR(SEARCH(("No"),(P947))))</formula>
    </cfRule>
  </conditionalFormatting>
  <conditionalFormatting sqref="P947:P948">
    <cfRule type="containsText" dxfId="2" priority="10618" operator="containsText" text="Yes">
      <formula>NOT(ISERROR(SEARCH(("Yes"),(P947))))</formula>
    </cfRule>
  </conditionalFormatting>
  <conditionalFormatting sqref="P947:P948">
    <cfRule type="containsText" dxfId="9" priority="10619" operator="containsText" text="No">
      <formula>NOT(ISERROR(SEARCH(("No"),(P947))))</formula>
    </cfRule>
  </conditionalFormatting>
  <conditionalFormatting sqref="P947:P948">
    <cfRule type="containsText" dxfId="2" priority="10620" operator="containsText" text="Yes">
      <formula>NOT(ISERROR(SEARCH(("Yes"),(P947))))</formula>
    </cfRule>
  </conditionalFormatting>
  <conditionalFormatting sqref="P947:P948">
    <cfRule type="containsText" dxfId="9" priority="10621" operator="containsText" text="No">
      <formula>NOT(ISERROR(SEARCH(("No"),(P947))))</formula>
    </cfRule>
  </conditionalFormatting>
  <conditionalFormatting sqref="P947:P948">
    <cfRule type="containsText" dxfId="2" priority="10622" operator="containsText" text="Yes">
      <formula>NOT(ISERROR(SEARCH(("Yes"),(P947))))</formula>
    </cfRule>
  </conditionalFormatting>
  <conditionalFormatting sqref="P947:P948">
    <cfRule type="containsText" dxfId="9" priority="10623" operator="containsText" text="No">
      <formula>NOT(ISERROR(SEARCH(("No"),(P947))))</formula>
    </cfRule>
  </conditionalFormatting>
  <conditionalFormatting sqref="P947:P948">
    <cfRule type="containsText" dxfId="2" priority="10624" operator="containsText" text="Yes">
      <formula>NOT(ISERROR(SEARCH(("Yes"),(P947))))</formula>
    </cfRule>
  </conditionalFormatting>
  <conditionalFormatting sqref="P947:P948">
    <cfRule type="containsText" dxfId="9" priority="10625" operator="containsText" text="No">
      <formula>NOT(ISERROR(SEARCH(("No"),(P947))))</formula>
    </cfRule>
  </conditionalFormatting>
  <conditionalFormatting sqref="P947:P948">
    <cfRule type="containsText" dxfId="2" priority="10626" operator="containsText" text="Yes">
      <formula>NOT(ISERROR(SEARCH(("Yes"),(P947))))</formula>
    </cfRule>
  </conditionalFormatting>
  <conditionalFormatting sqref="P947:P948">
    <cfRule type="containsText" dxfId="9" priority="10627" operator="containsText" text="No">
      <formula>NOT(ISERROR(SEARCH(("No"),(P947))))</formula>
    </cfRule>
  </conditionalFormatting>
  <conditionalFormatting sqref="P947:P948">
    <cfRule type="containsText" dxfId="2" priority="10628" operator="containsText" text="Yes">
      <formula>NOT(ISERROR(SEARCH(("Yes"),(P947))))</formula>
    </cfRule>
  </conditionalFormatting>
  <conditionalFormatting sqref="P947:P948">
    <cfRule type="containsText" dxfId="9" priority="10629" operator="containsText" text="No">
      <formula>NOT(ISERROR(SEARCH(("No"),(P947))))</formula>
    </cfRule>
  </conditionalFormatting>
  <conditionalFormatting sqref="P947:P948">
    <cfRule type="containsText" dxfId="2" priority="10630" operator="containsText" text="Yes">
      <formula>NOT(ISERROR(SEARCH(("Yes"),(P947))))</formula>
    </cfRule>
  </conditionalFormatting>
  <conditionalFormatting sqref="P947:P948">
    <cfRule type="containsText" dxfId="9" priority="10631" operator="containsText" text="No">
      <formula>NOT(ISERROR(SEARCH(("No"),(P947))))</formula>
    </cfRule>
  </conditionalFormatting>
  <conditionalFormatting sqref="P947:P948">
    <cfRule type="containsText" dxfId="2" priority="10632" operator="containsText" text="Yes">
      <formula>NOT(ISERROR(SEARCH(("Yes"),(P947))))</formula>
    </cfRule>
  </conditionalFormatting>
  <conditionalFormatting sqref="P947:P948">
    <cfRule type="containsText" dxfId="9" priority="10633" operator="containsText" text="No">
      <formula>NOT(ISERROR(SEARCH(("No"),(P947))))</formula>
    </cfRule>
  </conditionalFormatting>
  <conditionalFormatting sqref="P947:P948">
    <cfRule type="containsText" dxfId="2" priority="10634" operator="containsText" text="Yes">
      <formula>NOT(ISERROR(SEARCH(("Yes"),(P947))))</formula>
    </cfRule>
  </conditionalFormatting>
  <conditionalFormatting sqref="P947:P948">
    <cfRule type="containsText" dxfId="9" priority="10635" operator="containsText" text="No">
      <formula>NOT(ISERROR(SEARCH(("No"),(P947))))</formula>
    </cfRule>
  </conditionalFormatting>
  <conditionalFormatting sqref="P947:P948">
    <cfRule type="containsText" dxfId="2" priority="10636" operator="containsText" text="Yes">
      <formula>NOT(ISERROR(SEARCH(("Yes"),(P947))))</formula>
    </cfRule>
  </conditionalFormatting>
  <conditionalFormatting sqref="P947:P948">
    <cfRule type="containsText" dxfId="2" priority="10637" operator="containsText" text="Yes">
      <formula>NOT(ISERROR(SEARCH(("Yes"),(P947))))</formula>
    </cfRule>
  </conditionalFormatting>
  <conditionalFormatting sqref="P947:P948">
    <cfRule type="containsText" dxfId="9" priority="10638" operator="containsText" text="No">
      <formula>NOT(ISERROR(SEARCH(("No"),(P947))))</formula>
    </cfRule>
  </conditionalFormatting>
  <conditionalFormatting sqref="P947:P948">
    <cfRule type="containsText" dxfId="2" priority="10639" operator="containsText" text="Yes">
      <formula>NOT(ISERROR(SEARCH(("Yes"),(P947))))</formula>
    </cfRule>
  </conditionalFormatting>
  <conditionalFormatting sqref="P950:P975">
    <cfRule type="containsText" dxfId="2" priority="10640" operator="containsText" text="Yes">
      <formula>NOT(ISERROR(SEARCH(("Yes"),(P950))))</formula>
    </cfRule>
  </conditionalFormatting>
  <conditionalFormatting sqref="P950:P975">
    <cfRule type="containsText" dxfId="9" priority="10641" operator="containsText" text="No">
      <formula>NOT(ISERROR(SEARCH(("No"),(P950))))</formula>
    </cfRule>
  </conditionalFormatting>
  <conditionalFormatting sqref="P950:P975">
    <cfRule type="containsText" dxfId="2" priority="10642" operator="containsText" text="Yes">
      <formula>NOT(ISERROR(SEARCH(("Yes"),(P950))))</formula>
    </cfRule>
  </conditionalFormatting>
  <conditionalFormatting sqref="P950:P975">
    <cfRule type="containsText" dxfId="9" priority="10643" operator="containsText" text="No">
      <formula>NOT(ISERROR(SEARCH(("No"),(P950))))</formula>
    </cfRule>
  </conditionalFormatting>
  <conditionalFormatting sqref="P950:P975">
    <cfRule type="containsText" dxfId="2" priority="10644" operator="containsText" text="Yes">
      <formula>NOT(ISERROR(SEARCH(("Yes"),(P950))))</formula>
    </cfRule>
  </conditionalFormatting>
  <conditionalFormatting sqref="P950:P975">
    <cfRule type="containsText" dxfId="9" priority="10645" operator="containsText" text="No">
      <formula>NOT(ISERROR(SEARCH(("No"),(P950))))</formula>
    </cfRule>
  </conditionalFormatting>
  <conditionalFormatting sqref="P950:P975">
    <cfRule type="containsText" dxfId="2" priority="10646" operator="containsText" text="Yes">
      <formula>NOT(ISERROR(SEARCH(("Yes"),(P950))))</formula>
    </cfRule>
  </conditionalFormatting>
  <conditionalFormatting sqref="P950:P975">
    <cfRule type="containsText" dxfId="9" priority="10647" operator="containsText" text="No">
      <formula>NOT(ISERROR(SEARCH(("No"),(P950))))</formula>
    </cfRule>
  </conditionalFormatting>
  <conditionalFormatting sqref="P950:P975">
    <cfRule type="containsText" dxfId="2" priority="10648" operator="containsText" text="Yes">
      <formula>NOT(ISERROR(SEARCH(("Yes"),(P950))))</formula>
    </cfRule>
  </conditionalFormatting>
  <conditionalFormatting sqref="P950:P975">
    <cfRule type="containsText" dxfId="9" priority="10649" operator="containsText" text="No">
      <formula>NOT(ISERROR(SEARCH(("No"),(P950))))</formula>
    </cfRule>
  </conditionalFormatting>
  <conditionalFormatting sqref="P950:P975">
    <cfRule type="containsText" dxfId="2" priority="10650" operator="containsText" text="Yes">
      <formula>NOT(ISERROR(SEARCH(("Yes"),(P950))))</formula>
    </cfRule>
  </conditionalFormatting>
  <conditionalFormatting sqref="P950:P975">
    <cfRule type="containsText" dxfId="9" priority="10651" operator="containsText" text="No">
      <formula>NOT(ISERROR(SEARCH(("No"),(P950))))</formula>
    </cfRule>
  </conditionalFormatting>
  <conditionalFormatting sqref="P950:P975">
    <cfRule type="containsText" dxfId="2" priority="10652" operator="containsText" text="Yes">
      <formula>NOT(ISERROR(SEARCH(("Yes"),(P950))))</formula>
    </cfRule>
  </conditionalFormatting>
  <conditionalFormatting sqref="P950:P975">
    <cfRule type="containsText" dxfId="9" priority="10653" operator="containsText" text="No">
      <formula>NOT(ISERROR(SEARCH(("No"),(P950))))</formula>
    </cfRule>
  </conditionalFormatting>
  <conditionalFormatting sqref="P950:P975">
    <cfRule type="containsText" dxfId="2" priority="10654" operator="containsText" text="Yes">
      <formula>NOT(ISERROR(SEARCH(("Yes"),(P950))))</formula>
    </cfRule>
  </conditionalFormatting>
  <conditionalFormatting sqref="P950:P975">
    <cfRule type="containsText" dxfId="9" priority="10655" operator="containsText" text="No">
      <formula>NOT(ISERROR(SEARCH(("No"),(P950))))</formula>
    </cfRule>
  </conditionalFormatting>
  <conditionalFormatting sqref="P950:P975">
    <cfRule type="containsText" dxfId="2" priority="10656" operator="containsText" text="Yes">
      <formula>NOT(ISERROR(SEARCH(("Yes"),(P950))))</formula>
    </cfRule>
  </conditionalFormatting>
  <conditionalFormatting sqref="P950:P975">
    <cfRule type="containsText" dxfId="9" priority="10657" operator="containsText" text="No">
      <formula>NOT(ISERROR(SEARCH(("No"),(P950))))</formula>
    </cfRule>
  </conditionalFormatting>
  <conditionalFormatting sqref="P950:P975">
    <cfRule type="containsText" dxfId="2" priority="10658" operator="containsText" text="Yes">
      <formula>NOT(ISERROR(SEARCH(("Yes"),(P950))))</formula>
    </cfRule>
  </conditionalFormatting>
  <conditionalFormatting sqref="P950:P975">
    <cfRule type="containsText" dxfId="9" priority="10659" operator="containsText" text="No">
      <formula>NOT(ISERROR(SEARCH(("No"),(P950))))</formula>
    </cfRule>
  </conditionalFormatting>
  <conditionalFormatting sqref="P950:P975">
    <cfRule type="containsText" dxfId="2" priority="10660" operator="containsText" text="Yes">
      <formula>NOT(ISERROR(SEARCH(("Yes"),(P950))))</formula>
    </cfRule>
  </conditionalFormatting>
  <conditionalFormatting sqref="P950:P975">
    <cfRule type="containsText" dxfId="9" priority="10661" operator="containsText" text="No">
      <formula>NOT(ISERROR(SEARCH(("No"),(P950))))</formula>
    </cfRule>
  </conditionalFormatting>
  <conditionalFormatting sqref="P950:P975">
    <cfRule type="containsText" dxfId="2" priority="10662" operator="containsText" text="Yes">
      <formula>NOT(ISERROR(SEARCH(("Yes"),(P950))))</formula>
    </cfRule>
  </conditionalFormatting>
  <conditionalFormatting sqref="P950:P975">
    <cfRule type="containsText" dxfId="9" priority="10663" operator="containsText" text="No">
      <formula>NOT(ISERROR(SEARCH(("No"),(P950))))</formula>
    </cfRule>
  </conditionalFormatting>
  <conditionalFormatting sqref="P950:P975">
    <cfRule type="containsText" dxfId="2" priority="10664" operator="containsText" text="Yes">
      <formula>NOT(ISERROR(SEARCH(("Yes"),(P950))))</formula>
    </cfRule>
  </conditionalFormatting>
  <conditionalFormatting sqref="P950:P975">
    <cfRule type="containsText" dxfId="9" priority="10665" operator="containsText" text="No">
      <formula>NOT(ISERROR(SEARCH(("No"),(P950))))</formula>
    </cfRule>
  </conditionalFormatting>
  <conditionalFormatting sqref="P950:P975">
    <cfRule type="containsText" dxfId="2" priority="10666" operator="containsText" text="Yes">
      <formula>NOT(ISERROR(SEARCH(("Yes"),(P950))))</formula>
    </cfRule>
  </conditionalFormatting>
  <conditionalFormatting sqref="P950:P975">
    <cfRule type="containsText" dxfId="9" priority="10667" operator="containsText" text="No">
      <formula>NOT(ISERROR(SEARCH(("No"),(P950))))</formula>
    </cfRule>
  </conditionalFormatting>
  <conditionalFormatting sqref="P950:P975">
    <cfRule type="containsText" dxfId="2" priority="10668" operator="containsText" text="Yes">
      <formula>NOT(ISERROR(SEARCH(("Yes"),(P950))))</formula>
    </cfRule>
  </conditionalFormatting>
  <conditionalFormatting sqref="P950:P975">
    <cfRule type="containsText" dxfId="9" priority="10669" operator="containsText" text="No">
      <formula>NOT(ISERROR(SEARCH(("No"),(P950))))</formula>
    </cfRule>
  </conditionalFormatting>
  <conditionalFormatting sqref="P950:P975">
    <cfRule type="containsText" dxfId="2" priority="10670" operator="containsText" text="Yes">
      <formula>NOT(ISERROR(SEARCH(("Yes"),(P950))))</formula>
    </cfRule>
  </conditionalFormatting>
  <conditionalFormatting sqref="P950:P975">
    <cfRule type="containsText" dxfId="9" priority="10671" operator="containsText" text="No">
      <formula>NOT(ISERROR(SEARCH(("No"),(P950))))</formula>
    </cfRule>
  </conditionalFormatting>
  <conditionalFormatting sqref="P950:P975">
    <cfRule type="containsText" dxfId="2" priority="10672" operator="containsText" text="Yes">
      <formula>NOT(ISERROR(SEARCH(("Yes"),(P950))))</formula>
    </cfRule>
  </conditionalFormatting>
  <conditionalFormatting sqref="P950:P975">
    <cfRule type="containsText" dxfId="9" priority="10673" operator="containsText" text="No">
      <formula>NOT(ISERROR(SEARCH(("No"),(P950))))</formula>
    </cfRule>
  </conditionalFormatting>
  <conditionalFormatting sqref="P950:P975">
    <cfRule type="containsText" dxfId="2" priority="10674" operator="containsText" text="Yes">
      <formula>NOT(ISERROR(SEARCH(("Yes"),(P950))))</formula>
    </cfRule>
  </conditionalFormatting>
  <conditionalFormatting sqref="P950:P975">
    <cfRule type="containsText" dxfId="9" priority="10675" operator="containsText" text="No">
      <formula>NOT(ISERROR(SEARCH(("No"),(P950))))</formula>
    </cfRule>
  </conditionalFormatting>
  <conditionalFormatting sqref="P950:P975">
    <cfRule type="containsText" dxfId="2" priority="10676" operator="containsText" text="Yes">
      <formula>NOT(ISERROR(SEARCH(("Yes"),(P950))))</formula>
    </cfRule>
  </conditionalFormatting>
  <conditionalFormatting sqref="P950:P975">
    <cfRule type="containsText" dxfId="9" priority="10677" operator="containsText" text="No">
      <formula>NOT(ISERROR(SEARCH(("No"),(P950))))</formula>
    </cfRule>
  </conditionalFormatting>
  <conditionalFormatting sqref="P950:P975">
    <cfRule type="containsText" dxfId="2" priority="10678" operator="containsText" text="Yes">
      <formula>NOT(ISERROR(SEARCH(("Yes"),(P950))))</formula>
    </cfRule>
  </conditionalFormatting>
  <conditionalFormatting sqref="P950:P975">
    <cfRule type="containsText" dxfId="9" priority="10679" operator="containsText" text="No">
      <formula>NOT(ISERROR(SEARCH(("No"),(P950))))</formula>
    </cfRule>
  </conditionalFormatting>
  <conditionalFormatting sqref="P950:P975">
    <cfRule type="containsText" dxfId="2" priority="10680" operator="containsText" text="Yes">
      <formula>NOT(ISERROR(SEARCH(("Yes"),(P950))))</formula>
    </cfRule>
  </conditionalFormatting>
  <conditionalFormatting sqref="P950:P975">
    <cfRule type="containsText" dxfId="9" priority="10681" operator="containsText" text="No">
      <formula>NOT(ISERROR(SEARCH(("No"),(P950))))</formula>
    </cfRule>
  </conditionalFormatting>
  <conditionalFormatting sqref="P950:P975">
    <cfRule type="containsText" dxfId="2" priority="10682" operator="containsText" text="Yes">
      <formula>NOT(ISERROR(SEARCH(("Yes"),(P950))))</formula>
    </cfRule>
  </conditionalFormatting>
  <conditionalFormatting sqref="P950:P975">
    <cfRule type="containsText" dxfId="9" priority="10683" operator="containsText" text="No">
      <formula>NOT(ISERROR(SEARCH(("No"),(P950))))</formula>
    </cfRule>
  </conditionalFormatting>
  <conditionalFormatting sqref="P950:P975">
    <cfRule type="containsText" dxfId="2" priority="10684" operator="containsText" text="Yes">
      <formula>NOT(ISERROR(SEARCH(("Yes"),(P950))))</formula>
    </cfRule>
  </conditionalFormatting>
  <conditionalFormatting sqref="P950:P975">
    <cfRule type="containsText" dxfId="9" priority="10685" operator="containsText" text="No">
      <formula>NOT(ISERROR(SEARCH(("No"),(P950))))</formula>
    </cfRule>
  </conditionalFormatting>
  <conditionalFormatting sqref="P950:P975">
    <cfRule type="containsText" dxfId="2" priority="10686" operator="containsText" text="Yes">
      <formula>NOT(ISERROR(SEARCH(("Yes"),(P950))))</formula>
    </cfRule>
  </conditionalFormatting>
  <conditionalFormatting sqref="P950:P975">
    <cfRule type="containsText" dxfId="9" priority="10687" operator="containsText" text="No">
      <formula>NOT(ISERROR(SEARCH(("No"),(P950))))</formula>
    </cfRule>
  </conditionalFormatting>
  <conditionalFormatting sqref="P950:P975">
    <cfRule type="containsText" dxfId="2" priority="10688" operator="containsText" text="Yes">
      <formula>NOT(ISERROR(SEARCH(("Yes"),(P950))))</formula>
    </cfRule>
  </conditionalFormatting>
  <conditionalFormatting sqref="P950:P975">
    <cfRule type="containsText" dxfId="9" priority="10689" operator="containsText" text="No">
      <formula>NOT(ISERROR(SEARCH(("No"),(P950))))</formula>
    </cfRule>
  </conditionalFormatting>
  <conditionalFormatting sqref="P950:P975">
    <cfRule type="containsText" dxfId="2" priority="10690" operator="containsText" text="Yes">
      <formula>NOT(ISERROR(SEARCH(("Yes"),(P950))))</formula>
    </cfRule>
  </conditionalFormatting>
  <conditionalFormatting sqref="P950:P975">
    <cfRule type="containsText" dxfId="9" priority="10691" operator="containsText" text="No">
      <formula>NOT(ISERROR(SEARCH(("No"),(P950))))</formula>
    </cfRule>
  </conditionalFormatting>
  <conditionalFormatting sqref="P950:P975">
    <cfRule type="containsText" dxfId="2" priority="10692" operator="containsText" text="Yes">
      <formula>NOT(ISERROR(SEARCH(("Yes"),(P950))))</formula>
    </cfRule>
  </conditionalFormatting>
  <conditionalFormatting sqref="P950:P975">
    <cfRule type="containsText" dxfId="9" priority="10693" operator="containsText" text="No">
      <formula>NOT(ISERROR(SEARCH(("No"),(P950))))</formula>
    </cfRule>
  </conditionalFormatting>
  <conditionalFormatting sqref="P950:P975">
    <cfRule type="containsText" dxfId="2" priority="10694" operator="containsText" text="Yes">
      <formula>NOT(ISERROR(SEARCH(("Yes"),(P950))))</formula>
    </cfRule>
  </conditionalFormatting>
  <conditionalFormatting sqref="P950:P975">
    <cfRule type="containsText" dxfId="9" priority="10695" operator="containsText" text="No">
      <formula>NOT(ISERROR(SEARCH(("No"),(P950))))</formula>
    </cfRule>
  </conditionalFormatting>
  <conditionalFormatting sqref="P950:P975">
    <cfRule type="containsText" dxfId="2" priority="10696" operator="containsText" text="Yes">
      <formula>NOT(ISERROR(SEARCH(("Yes"),(P950))))</formula>
    </cfRule>
  </conditionalFormatting>
  <conditionalFormatting sqref="P950:P975">
    <cfRule type="containsText" dxfId="9" priority="10697" operator="containsText" text="No">
      <formula>NOT(ISERROR(SEARCH(("No"),(P950))))</formula>
    </cfRule>
  </conditionalFormatting>
  <conditionalFormatting sqref="P950:P975">
    <cfRule type="containsText" dxfId="2" priority="10698" operator="containsText" text="Yes">
      <formula>NOT(ISERROR(SEARCH(("Yes"),(P950))))</formula>
    </cfRule>
  </conditionalFormatting>
  <conditionalFormatting sqref="P950:P975">
    <cfRule type="containsText" dxfId="9" priority="10699" operator="containsText" text="No">
      <formula>NOT(ISERROR(SEARCH(("No"),(P950))))</formula>
    </cfRule>
  </conditionalFormatting>
  <conditionalFormatting sqref="P950:P975">
    <cfRule type="containsText" dxfId="2" priority="10700" operator="containsText" text="Yes">
      <formula>NOT(ISERROR(SEARCH(("Yes"),(P950))))</formula>
    </cfRule>
  </conditionalFormatting>
  <conditionalFormatting sqref="P950:P975">
    <cfRule type="containsText" dxfId="9" priority="10701" operator="containsText" text="No">
      <formula>NOT(ISERROR(SEARCH(("No"),(P950))))</formula>
    </cfRule>
  </conditionalFormatting>
  <conditionalFormatting sqref="P950:P975">
    <cfRule type="containsText" dxfId="2" priority="10702" operator="containsText" text="Yes">
      <formula>NOT(ISERROR(SEARCH(("Yes"),(P950))))</formula>
    </cfRule>
  </conditionalFormatting>
  <conditionalFormatting sqref="P950:P975">
    <cfRule type="containsText" dxfId="9" priority="10703" operator="containsText" text="No">
      <formula>NOT(ISERROR(SEARCH(("No"),(P950))))</formula>
    </cfRule>
  </conditionalFormatting>
  <conditionalFormatting sqref="P950:P975">
    <cfRule type="containsText" dxfId="2" priority="10704" operator="containsText" text="Yes">
      <formula>NOT(ISERROR(SEARCH(("Yes"),(P950))))</formula>
    </cfRule>
  </conditionalFormatting>
  <conditionalFormatting sqref="P950:P975">
    <cfRule type="containsText" dxfId="9" priority="10705" operator="containsText" text="No">
      <formula>NOT(ISERROR(SEARCH(("No"),(P950))))</formula>
    </cfRule>
  </conditionalFormatting>
  <conditionalFormatting sqref="P950:P975">
    <cfRule type="containsText" dxfId="2" priority="10706" operator="containsText" text="Yes">
      <formula>NOT(ISERROR(SEARCH(("Yes"),(P950))))</formula>
    </cfRule>
  </conditionalFormatting>
  <conditionalFormatting sqref="P950:P975">
    <cfRule type="containsText" dxfId="9" priority="10707" operator="containsText" text="No">
      <formula>NOT(ISERROR(SEARCH(("No"),(P950))))</formula>
    </cfRule>
  </conditionalFormatting>
  <conditionalFormatting sqref="P950:P975">
    <cfRule type="containsText" dxfId="2" priority="10708" operator="containsText" text="Yes">
      <formula>NOT(ISERROR(SEARCH(("Yes"),(P950))))</formula>
    </cfRule>
  </conditionalFormatting>
  <conditionalFormatting sqref="P950:P975">
    <cfRule type="containsText" dxfId="9" priority="10709" operator="containsText" text="No">
      <formula>NOT(ISERROR(SEARCH(("No"),(P950))))</formula>
    </cfRule>
  </conditionalFormatting>
  <conditionalFormatting sqref="P950:P975">
    <cfRule type="containsText" dxfId="2" priority="10710" operator="containsText" text="Yes">
      <formula>NOT(ISERROR(SEARCH(("Yes"),(P950))))</formula>
    </cfRule>
  </conditionalFormatting>
  <conditionalFormatting sqref="P950:P975">
    <cfRule type="containsText" dxfId="9" priority="10711" operator="containsText" text="No">
      <formula>NOT(ISERROR(SEARCH(("No"),(P950))))</formula>
    </cfRule>
  </conditionalFormatting>
  <conditionalFormatting sqref="P950:P975">
    <cfRule type="containsText" dxfId="2" priority="10712" operator="containsText" text="Yes">
      <formula>NOT(ISERROR(SEARCH(("Yes"),(P950))))</formula>
    </cfRule>
  </conditionalFormatting>
  <conditionalFormatting sqref="P950:P975">
    <cfRule type="containsText" dxfId="9" priority="10713" operator="containsText" text="No">
      <formula>NOT(ISERROR(SEARCH(("No"),(P950))))</formula>
    </cfRule>
  </conditionalFormatting>
  <conditionalFormatting sqref="P950:P975">
    <cfRule type="containsText" dxfId="2" priority="10714" operator="containsText" text="Yes">
      <formula>NOT(ISERROR(SEARCH(("Yes"),(P950))))</formula>
    </cfRule>
  </conditionalFormatting>
  <conditionalFormatting sqref="P950:P975">
    <cfRule type="containsText" dxfId="9" priority="10715" operator="containsText" text="No">
      <formula>NOT(ISERROR(SEARCH(("No"),(P950))))</formula>
    </cfRule>
  </conditionalFormatting>
  <conditionalFormatting sqref="P950:P975">
    <cfRule type="containsText" dxfId="2" priority="10716" operator="containsText" text="Yes">
      <formula>NOT(ISERROR(SEARCH(("Yes"),(P950))))</formula>
    </cfRule>
  </conditionalFormatting>
  <conditionalFormatting sqref="P950:P975">
    <cfRule type="containsText" dxfId="9" priority="10717" operator="containsText" text="No">
      <formula>NOT(ISERROR(SEARCH(("No"),(P950))))</formula>
    </cfRule>
  </conditionalFormatting>
  <conditionalFormatting sqref="P950:P975">
    <cfRule type="containsText" dxfId="2" priority="10718" operator="containsText" text="Yes">
      <formula>NOT(ISERROR(SEARCH(("Yes"),(P950))))</formula>
    </cfRule>
  </conditionalFormatting>
  <conditionalFormatting sqref="P950:P975">
    <cfRule type="containsText" dxfId="9" priority="10719" operator="containsText" text="No">
      <formula>NOT(ISERROR(SEARCH(("No"),(P950))))</formula>
    </cfRule>
  </conditionalFormatting>
  <conditionalFormatting sqref="P950:P975">
    <cfRule type="containsText" dxfId="2" priority="10720" operator="containsText" text="Yes">
      <formula>NOT(ISERROR(SEARCH(("Yes"),(P950))))</formula>
    </cfRule>
  </conditionalFormatting>
  <conditionalFormatting sqref="P950:P975">
    <cfRule type="containsText" dxfId="9" priority="10721" operator="containsText" text="No">
      <formula>NOT(ISERROR(SEARCH(("No"),(P950))))</formula>
    </cfRule>
  </conditionalFormatting>
  <conditionalFormatting sqref="P950:P975">
    <cfRule type="containsText" dxfId="2" priority="10722" operator="containsText" text="Yes">
      <formula>NOT(ISERROR(SEARCH(("Yes"),(P950))))</formula>
    </cfRule>
  </conditionalFormatting>
  <conditionalFormatting sqref="P950:P975">
    <cfRule type="containsText" dxfId="9" priority="10723" operator="containsText" text="No">
      <formula>NOT(ISERROR(SEARCH(("No"),(P950))))</formula>
    </cfRule>
  </conditionalFormatting>
  <conditionalFormatting sqref="P950:P975">
    <cfRule type="containsText" dxfId="2" priority="10724" operator="containsText" text="Yes">
      <formula>NOT(ISERROR(SEARCH(("Yes"),(P950))))</formula>
    </cfRule>
  </conditionalFormatting>
  <conditionalFormatting sqref="P950:P975">
    <cfRule type="containsText" dxfId="9" priority="10725" operator="containsText" text="No">
      <formula>NOT(ISERROR(SEARCH(("No"),(P950))))</formula>
    </cfRule>
  </conditionalFormatting>
  <conditionalFormatting sqref="P950:P975">
    <cfRule type="containsText" dxfId="2" priority="10726" operator="containsText" text="Yes">
      <formula>NOT(ISERROR(SEARCH(("Yes"),(P950))))</formula>
    </cfRule>
  </conditionalFormatting>
  <conditionalFormatting sqref="P950:P975">
    <cfRule type="containsText" dxfId="9" priority="10727" operator="containsText" text="No">
      <formula>NOT(ISERROR(SEARCH(("No"),(P950))))</formula>
    </cfRule>
  </conditionalFormatting>
  <conditionalFormatting sqref="P950:P975">
    <cfRule type="containsText" dxfId="2" priority="10728" operator="containsText" text="Yes">
      <formula>NOT(ISERROR(SEARCH(("Yes"),(P950))))</formula>
    </cfRule>
  </conditionalFormatting>
  <conditionalFormatting sqref="P950:P975">
    <cfRule type="containsText" dxfId="2" priority="10729" operator="containsText" text="Yes">
      <formula>NOT(ISERROR(SEARCH(("Yes"),(P950))))</formula>
    </cfRule>
  </conditionalFormatting>
  <conditionalFormatting sqref="P950:P975">
    <cfRule type="containsText" dxfId="9" priority="10730" operator="containsText" text="No">
      <formula>NOT(ISERROR(SEARCH(("No"),(P950))))</formula>
    </cfRule>
  </conditionalFormatting>
  <conditionalFormatting sqref="P950:P975">
    <cfRule type="containsText" dxfId="2" priority="10731" operator="containsText" text="Yes">
      <formula>NOT(ISERROR(SEARCH(("Yes"),(P950))))</formula>
    </cfRule>
  </conditionalFormatting>
  <conditionalFormatting sqref="P978:P1012">
    <cfRule type="containsText" dxfId="2" priority="10732" operator="containsText" text="Yes">
      <formula>NOT(ISERROR(SEARCH(("Yes"),(P978))))</formula>
    </cfRule>
  </conditionalFormatting>
  <conditionalFormatting sqref="P978:P1012">
    <cfRule type="containsText" dxfId="9" priority="10733" operator="containsText" text="No">
      <formula>NOT(ISERROR(SEARCH(("No"),(P978))))</formula>
    </cfRule>
  </conditionalFormatting>
  <conditionalFormatting sqref="P978:P1012">
    <cfRule type="containsText" dxfId="2" priority="10734" operator="containsText" text="Yes">
      <formula>NOT(ISERROR(SEARCH(("Yes"),(P978))))</formula>
    </cfRule>
  </conditionalFormatting>
  <conditionalFormatting sqref="P978:P1012">
    <cfRule type="containsText" dxfId="9" priority="10735" operator="containsText" text="No">
      <formula>NOT(ISERROR(SEARCH(("No"),(P978))))</formula>
    </cfRule>
  </conditionalFormatting>
  <conditionalFormatting sqref="P978:P1012">
    <cfRule type="containsText" dxfId="2" priority="10736" operator="containsText" text="Yes">
      <formula>NOT(ISERROR(SEARCH(("Yes"),(P978))))</formula>
    </cfRule>
  </conditionalFormatting>
  <conditionalFormatting sqref="P978:P1012">
    <cfRule type="containsText" dxfId="9" priority="10737" operator="containsText" text="No">
      <formula>NOT(ISERROR(SEARCH(("No"),(P978))))</formula>
    </cfRule>
  </conditionalFormatting>
  <conditionalFormatting sqref="P978:P1012">
    <cfRule type="containsText" dxfId="2" priority="10738" operator="containsText" text="Yes">
      <formula>NOT(ISERROR(SEARCH(("Yes"),(P978))))</formula>
    </cfRule>
  </conditionalFormatting>
  <conditionalFormatting sqref="P978:P1012">
    <cfRule type="containsText" dxfId="9" priority="10739" operator="containsText" text="No">
      <formula>NOT(ISERROR(SEARCH(("No"),(P978))))</formula>
    </cfRule>
  </conditionalFormatting>
  <conditionalFormatting sqref="P978:P1012">
    <cfRule type="containsText" dxfId="2" priority="10740" operator="containsText" text="Yes">
      <formula>NOT(ISERROR(SEARCH(("Yes"),(P978))))</formula>
    </cfRule>
  </conditionalFormatting>
  <conditionalFormatting sqref="P978:P1012">
    <cfRule type="containsText" dxfId="9" priority="10741" operator="containsText" text="No">
      <formula>NOT(ISERROR(SEARCH(("No"),(P978))))</formula>
    </cfRule>
  </conditionalFormatting>
  <conditionalFormatting sqref="P978:P1012">
    <cfRule type="containsText" dxfId="2" priority="10742" operator="containsText" text="Yes">
      <formula>NOT(ISERROR(SEARCH(("Yes"),(P978))))</formula>
    </cfRule>
  </conditionalFormatting>
  <conditionalFormatting sqref="P978:P1012">
    <cfRule type="containsText" dxfId="9" priority="10743" operator="containsText" text="No">
      <formula>NOT(ISERROR(SEARCH(("No"),(P978))))</formula>
    </cfRule>
  </conditionalFormatting>
  <conditionalFormatting sqref="P978:P1012">
    <cfRule type="containsText" dxfId="2" priority="10744" operator="containsText" text="Yes">
      <formula>NOT(ISERROR(SEARCH(("Yes"),(P978))))</formula>
    </cfRule>
  </conditionalFormatting>
  <conditionalFormatting sqref="P978:P1012">
    <cfRule type="containsText" dxfId="9" priority="10745" operator="containsText" text="No">
      <formula>NOT(ISERROR(SEARCH(("No"),(P978))))</formula>
    </cfRule>
  </conditionalFormatting>
  <conditionalFormatting sqref="P978:P1012">
    <cfRule type="containsText" dxfId="2" priority="10746" operator="containsText" text="Yes">
      <formula>NOT(ISERROR(SEARCH(("Yes"),(P978))))</formula>
    </cfRule>
  </conditionalFormatting>
  <conditionalFormatting sqref="P978:P1012">
    <cfRule type="containsText" dxfId="9" priority="10747" operator="containsText" text="No">
      <formula>NOT(ISERROR(SEARCH(("No"),(P978))))</formula>
    </cfRule>
  </conditionalFormatting>
  <conditionalFormatting sqref="P978:P1012">
    <cfRule type="containsText" dxfId="2" priority="10748" operator="containsText" text="Yes">
      <formula>NOT(ISERROR(SEARCH(("Yes"),(P978))))</formula>
    </cfRule>
  </conditionalFormatting>
  <conditionalFormatting sqref="P978:P1012">
    <cfRule type="containsText" dxfId="9" priority="10749" operator="containsText" text="No">
      <formula>NOT(ISERROR(SEARCH(("No"),(P978))))</formula>
    </cfRule>
  </conditionalFormatting>
  <conditionalFormatting sqref="P978:P1012">
    <cfRule type="containsText" dxfId="2" priority="10750" operator="containsText" text="Yes">
      <formula>NOT(ISERROR(SEARCH(("Yes"),(P978))))</formula>
    </cfRule>
  </conditionalFormatting>
  <conditionalFormatting sqref="P978:P1012">
    <cfRule type="containsText" dxfId="9" priority="10751" operator="containsText" text="No">
      <formula>NOT(ISERROR(SEARCH(("No"),(P978))))</formula>
    </cfRule>
  </conditionalFormatting>
  <conditionalFormatting sqref="P978:P1012">
    <cfRule type="containsText" dxfId="2" priority="10752" operator="containsText" text="Yes">
      <formula>NOT(ISERROR(SEARCH(("Yes"),(P978))))</formula>
    </cfRule>
  </conditionalFormatting>
  <conditionalFormatting sqref="P978:P1012">
    <cfRule type="containsText" dxfId="9" priority="10753" operator="containsText" text="No">
      <formula>NOT(ISERROR(SEARCH(("No"),(P978))))</formula>
    </cfRule>
  </conditionalFormatting>
  <conditionalFormatting sqref="P978:P1012">
    <cfRule type="containsText" dxfId="2" priority="10754" operator="containsText" text="Yes">
      <formula>NOT(ISERROR(SEARCH(("Yes"),(P978))))</formula>
    </cfRule>
  </conditionalFormatting>
  <conditionalFormatting sqref="P978:P1012">
    <cfRule type="containsText" dxfId="9" priority="10755" operator="containsText" text="No">
      <formula>NOT(ISERROR(SEARCH(("No"),(P978))))</formula>
    </cfRule>
  </conditionalFormatting>
  <conditionalFormatting sqref="P978:P1012">
    <cfRule type="containsText" dxfId="2" priority="10756" operator="containsText" text="Yes">
      <formula>NOT(ISERROR(SEARCH(("Yes"),(P978))))</formula>
    </cfRule>
  </conditionalFormatting>
  <conditionalFormatting sqref="P978:P1012">
    <cfRule type="containsText" dxfId="9" priority="10757" operator="containsText" text="No">
      <formula>NOT(ISERROR(SEARCH(("No"),(P978))))</formula>
    </cfRule>
  </conditionalFormatting>
  <conditionalFormatting sqref="P978:P1012">
    <cfRule type="containsText" dxfId="2" priority="10758" operator="containsText" text="Yes">
      <formula>NOT(ISERROR(SEARCH(("Yes"),(P978))))</formula>
    </cfRule>
  </conditionalFormatting>
  <conditionalFormatting sqref="P978:P1012">
    <cfRule type="containsText" dxfId="9" priority="10759" operator="containsText" text="No">
      <formula>NOT(ISERROR(SEARCH(("No"),(P978))))</formula>
    </cfRule>
  </conditionalFormatting>
  <conditionalFormatting sqref="P978:P1012">
    <cfRule type="containsText" dxfId="2" priority="10760" operator="containsText" text="Yes">
      <formula>NOT(ISERROR(SEARCH(("Yes"),(P978))))</formula>
    </cfRule>
  </conditionalFormatting>
  <conditionalFormatting sqref="P978:P1012">
    <cfRule type="containsText" dxfId="9" priority="10761" operator="containsText" text="No">
      <formula>NOT(ISERROR(SEARCH(("No"),(P978))))</formula>
    </cfRule>
  </conditionalFormatting>
  <conditionalFormatting sqref="P978:P1012">
    <cfRule type="containsText" dxfId="2" priority="10762" operator="containsText" text="Yes">
      <formula>NOT(ISERROR(SEARCH(("Yes"),(P978))))</formula>
    </cfRule>
  </conditionalFormatting>
  <conditionalFormatting sqref="P978:P1012">
    <cfRule type="containsText" dxfId="9" priority="10763" operator="containsText" text="No">
      <formula>NOT(ISERROR(SEARCH(("No"),(P978))))</formula>
    </cfRule>
  </conditionalFormatting>
  <conditionalFormatting sqref="P978:P1012">
    <cfRule type="containsText" dxfId="2" priority="10764" operator="containsText" text="Yes">
      <formula>NOT(ISERROR(SEARCH(("Yes"),(P978))))</formula>
    </cfRule>
  </conditionalFormatting>
  <conditionalFormatting sqref="P978:P1012">
    <cfRule type="containsText" dxfId="9" priority="10765" operator="containsText" text="No">
      <formula>NOT(ISERROR(SEARCH(("No"),(P978))))</formula>
    </cfRule>
  </conditionalFormatting>
  <conditionalFormatting sqref="P978:P1012">
    <cfRule type="containsText" dxfId="2" priority="10766" operator="containsText" text="Yes">
      <formula>NOT(ISERROR(SEARCH(("Yes"),(P978))))</formula>
    </cfRule>
  </conditionalFormatting>
  <conditionalFormatting sqref="P978:P1012">
    <cfRule type="containsText" dxfId="9" priority="10767" operator="containsText" text="No">
      <formula>NOT(ISERROR(SEARCH(("No"),(P978))))</formula>
    </cfRule>
  </conditionalFormatting>
  <conditionalFormatting sqref="P978:P1012">
    <cfRule type="containsText" dxfId="2" priority="10768" operator="containsText" text="Yes">
      <formula>NOT(ISERROR(SEARCH(("Yes"),(P978))))</formula>
    </cfRule>
  </conditionalFormatting>
  <conditionalFormatting sqref="P978:P1012">
    <cfRule type="containsText" dxfId="9" priority="10769" operator="containsText" text="No">
      <formula>NOT(ISERROR(SEARCH(("No"),(P978))))</formula>
    </cfRule>
  </conditionalFormatting>
  <conditionalFormatting sqref="P978:P1012">
    <cfRule type="containsText" dxfId="2" priority="10770" operator="containsText" text="Yes">
      <formula>NOT(ISERROR(SEARCH(("Yes"),(P978))))</formula>
    </cfRule>
  </conditionalFormatting>
  <conditionalFormatting sqref="P978:P1012">
    <cfRule type="containsText" dxfId="9" priority="10771" operator="containsText" text="No">
      <formula>NOT(ISERROR(SEARCH(("No"),(P978))))</formula>
    </cfRule>
  </conditionalFormatting>
  <conditionalFormatting sqref="P978:P1012">
    <cfRule type="containsText" dxfId="2" priority="10772" operator="containsText" text="Yes">
      <formula>NOT(ISERROR(SEARCH(("Yes"),(P978))))</formula>
    </cfRule>
  </conditionalFormatting>
  <conditionalFormatting sqref="P978:P1012">
    <cfRule type="containsText" dxfId="9" priority="10773" operator="containsText" text="No">
      <formula>NOT(ISERROR(SEARCH(("No"),(P978))))</formula>
    </cfRule>
  </conditionalFormatting>
  <conditionalFormatting sqref="P978:P1012">
    <cfRule type="containsText" dxfId="2" priority="10774" operator="containsText" text="Yes">
      <formula>NOT(ISERROR(SEARCH(("Yes"),(P978))))</formula>
    </cfRule>
  </conditionalFormatting>
  <conditionalFormatting sqref="P978:P1012">
    <cfRule type="containsText" dxfId="9" priority="10775" operator="containsText" text="No">
      <formula>NOT(ISERROR(SEARCH(("No"),(P978))))</formula>
    </cfRule>
  </conditionalFormatting>
  <conditionalFormatting sqref="P978:P1012">
    <cfRule type="containsText" dxfId="2" priority="10776" operator="containsText" text="Yes">
      <formula>NOT(ISERROR(SEARCH(("Yes"),(P978))))</formula>
    </cfRule>
  </conditionalFormatting>
  <conditionalFormatting sqref="P978:P1012">
    <cfRule type="containsText" dxfId="9" priority="10777" operator="containsText" text="No">
      <formula>NOT(ISERROR(SEARCH(("No"),(P978))))</formula>
    </cfRule>
  </conditionalFormatting>
  <conditionalFormatting sqref="P978:P1012">
    <cfRule type="containsText" dxfId="2" priority="10778" operator="containsText" text="Yes">
      <formula>NOT(ISERROR(SEARCH(("Yes"),(P978))))</formula>
    </cfRule>
  </conditionalFormatting>
  <conditionalFormatting sqref="P978:P1012">
    <cfRule type="containsText" dxfId="9" priority="10779" operator="containsText" text="No">
      <formula>NOT(ISERROR(SEARCH(("No"),(P978))))</formula>
    </cfRule>
  </conditionalFormatting>
  <conditionalFormatting sqref="P978:P1012">
    <cfRule type="containsText" dxfId="2" priority="10780" operator="containsText" text="Yes">
      <formula>NOT(ISERROR(SEARCH(("Yes"),(P978))))</formula>
    </cfRule>
  </conditionalFormatting>
  <conditionalFormatting sqref="P978:P1012">
    <cfRule type="containsText" dxfId="9" priority="10781" operator="containsText" text="No">
      <formula>NOT(ISERROR(SEARCH(("No"),(P978))))</formula>
    </cfRule>
  </conditionalFormatting>
  <conditionalFormatting sqref="P978:P1012">
    <cfRule type="containsText" dxfId="2" priority="10782" operator="containsText" text="Yes">
      <formula>NOT(ISERROR(SEARCH(("Yes"),(P978))))</formula>
    </cfRule>
  </conditionalFormatting>
  <conditionalFormatting sqref="P978:P1012">
    <cfRule type="containsText" dxfId="9" priority="10783" operator="containsText" text="No">
      <formula>NOT(ISERROR(SEARCH(("No"),(P978))))</formula>
    </cfRule>
  </conditionalFormatting>
  <conditionalFormatting sqref="P978:P1012">
    <cfRule type="containsText" dxfId="2" priority="10784" operator="containsText" text="Yes">
      <formula>NOT(ISERROR(SEARCH(("Yes"),(P978))))</formula>
    </cfRule>
  </conditionalFormatting>
  <conditionalFormatting sqref="P978:P1012">
    <cfRule type="containsText" dxfId="9" priority="10785" operator="containsText" text="No">
      <formula>NOT(ISERROR(SEARCH(("No"),(P978))))</formula>
    </cfRule>
  </conditionalFormatting>
  <conditionalFormatting sqref="P978:P1012">
    <cfRule type="containsText" dxfId="2" priority="10786" operator="containsText" text="Yes">
      <formula>NOT(ISERROR(SEARCH(("Yes"),(P978))))</formula>
    </cfRule>
  </conditionalFormatting>
  <conditionalFormatting sqref="P978:P1012">
    <cfRule type="containsText" dxfId="9" priority="10787" operator="containsText" text="No">
      <formula>NOT(ISERROR(SEARCH(("No"),(P978))))</formula>
    </cfRule>
  </conditionalFormatting>
  <conditionalFormatting sqref="P978:P1012">
    <cfRule type="containsText" dxfId="2" priority="10788" operator="containsText" text="Yes">
      <formula>NOT(ISERROR(SEARCH(("Yes"),(P978))))</formula>
    </cfRule>
  </conditionalFormatting>
  <conditionalFormatting sqref="P978:P1012">
    <cfRule type="containsText" dxfId="9" priority="10789" operator="containsText" text="No">
      <formula>NOT(ISERROR(SEARCH(("No"),(P978))))</formula>
    </cfRule>
  </conditionalFormatting>
  <conditionalFormatting sqref="P978:P1012">
    <cfRule type="containsText" dxfId="2" priority="10790" operator="containsText" text="Yes">
      <formula>NOT(ISERROR(SEARCH(("Yes"),(P978))))</formula>
    </cfRule>
  </conditionalFormatting>
  <conditionalFormatting sqref="P978:P1012">
    <cfRule type="containsText" dxfId="9" priority="10791" operator="containsText" text="No">
      <formula>NOT(ISERROR(SEARCH(("No"),(P978))))</formula>
    </cfRule>
  </conditionalFormatting>
  <conditionalFormatting sqref="P978:P1012">
    <cfRule type="containsText" dxfId="2" priority="10792" operator="containsText" text="Yes">
      <formula>NOT(ISERROR(SEARCH(("Yes"),(P978))))</formula>
    </cfRule>
  </conditionalFormatting>
  <conditionalFormatting sqref="P978:P1012">
    <cfRule type="containsText" dxfId="9" priority="10793" operator="containsText" text="No">
      <formula>NOT(ISERROR(SEARCH(("No"),(P978))))</formula>
    </cfRule>
  </conditionalFormatting>
  <conditionalFormatting sqref="P978:P1012">
    <cfRule type="containsText" dxfId="2" priority="10794" operator="containsText" text="Yes">
      <formula>NOT(ISERROR(SEARCH(("Yes"),(P978))))</formula>
    </cfRule>
  </conditionalFormatting>
  <conditionalFormatting sqref="P978:P1012">
    <cfRule type="containsText" dxfId="9" priority="10795" operator="containsText" text="No">
      <formula>NOT(ISERROR(SEARCH(("No"),(P978))))</formula>
    </cfRule>
  </conditionalFormatting>
  <conditionalFormatting sqref="P978:P1012">
    <cfRule type="containsText" dxfId="2" priority="10796" operator="containsText" text="Yes">
      <formula>NOT(ISERROR(SEARCH(("Yes"),(P978))))</formula>
    </cfRule>
  </conditionalFormatting>
  <conditionalFormatting sqref="P978:P1012">
    <cfRule type="containsText" dxfId="9" priority="10797" operator="containsText" text="No">
      <formula>NOT(ISERROR(SEARCH(("No"),(P978))))</formula>
    </cfRule>
  </conditionalFormatting>
  <conditionalFormatting sqref="P978:P1012">
    <cfRule type="containsText" dxfId="2" priority="10798" operator="containsText" text="Yes">
      <formula>NOT(ISERROR(SEARCH(("Yes"),(P978))))</formula>
    </cfRule>
  </conditionalFormatting>
  <conditionalFormatting sqref="P978:P1012">
    <cfRule type="containsText" dxfId="9" priority="10799" operator="containsText" text="No">
      <formula>NOT(ISERROR(SEARCH(("No"),(P978))))</formula>
    </cfRule>
  </conditionalFormatting>
  <conditionalFormatting sqref="P978:P1012">
    <cfRule type="containsText" dxfId="2" priority="10800" operator="containsText" text="Yes">
      <formula>NOT(ISERROR(SEARCH(("Yes"),(P978))))</formula>
    </cfRule>
  </conditionalFormatting>
  <conditionalFormatting sqref="P978:P1012">
    <cfRule type="containsText" dxfId="9" priority="10801" operator="containsText" text="No">
      <formula>NOT(ISERROR(SEARCH(("No"),(P978))))</formula>
    </cfRule>
  </conditionalFormatting>
  <conditionalFormatting sqref="P978:P1012">
    <cfRule type="containsText" dxfId="2" priority="10802" operator="containsText" text="Yes">
      <formula>NOT(ISERROR(SEARCH(("Yes"),(P978))))</formula>
    </cfRule>
  </conditionalFormatting>
  <conditionalFormatting sqref="P978:P1012">
    <cfRule type="containsText" dxfId="9" priority="10803" operator="containsText" text="No">
      <formula>NOT(ISERROR(SEARCH(("No"),(P978))))</formula>
    </cfRule>
  </conditionalFormatting>
  <conditionalFormatting sqref="P978:P1012">
    <cfRule type="containsText" dxfId="2" priority="10804" operator="containsText" text="Yes">
      <formula>NOT(ISERROR(SEARCH(("Yes"),(P978))))</formula>
    </cfRule>
  </conditionalFormatting>
  <conditionalFormatting sqref="P978:P1012">
    <cfRule type="containsText" dxfId="9" priority="10805" operator="containsText" text="No">
      <formula>NOT(ISERROR(SEARCH(("No"),(P978))))</formula>
    </cfRule>
  </conditionalFormatting>
  <conditionalFormatting sqref="P978:P1012">
    <cfRule type="containsText" dxfId="2" priority="10806" operator="containsText" text="Yes">
      <formula>NOT(ISERROR(SEARCH(("Yes"),(P978))))</formula>
    </cfRule>
  </conditionalFormatting>
  <conditionalFormatting sqref="P978:P1012">
    <cfRule type="containsText" dxfId="9" priority="10807" operator="containsText" text="No">
      <formula>NOT(ISERROR(SEARCH(("No"),(P978))))</formula>
    </cfRule>
  </conditionalFormatting>
  <conditionalFormatting sqref="P978:P1012">
    <cfRule type="containsText" dxfId="2" priority="10808" operator="containsText" text="Yes">
      <formula>NOT(ISERROR(SEARCH(("Yes"),(P978))))</formula>
    </cfRule>
  </conditionalFormatting>
  <conditionalFormatting sqref="P978:P1012">
    <cfRule type="containsText" dxfId="9" priority="10809" operator="containsText" text="No">
      <formula>NOT(ISERROR(SEARCH(("No"),(P978))))</formula>
    </cfRule>
  </conditionalFormatting>
  <conditionalFormatting sqref="P978:P1012">
    <cfRule type="containsText" dxfId="2" priority="10810" operator="containsText" text="Yes">
      <formula>NOT(ISERROR(SEARCH(("Yes"),(P978))))</formula>
    </cfRule>
  </conditionalFormatting>
  <conditionalFormatting sqref="P978:P1012">
    <cfRule type="containsText" dxfId="9" priority="10811" operator="containsText" text="No">
      <formula>NOT(ISERROR(SEARCH(("No"),(P978))))</formula>
    </cfRule>
  </conditionalFormatting>
  <conditionalFormatting sqref="P978:P1012">
    <cfRule type="containsText" dxfId="2" priority="10812" operator="containsText" text="Yes">
      <formula>NOT(ISERROR(SEARCH(("Yes"),(P978))))</formula>
    </cfRule>
  </conditionalFormatting>
  <conditionalFormatting sqref="P978:P1012">
    <cfRule type="containsText" dxfId="9" priority="10813" operator="containsText" text="No">
      <formula>NOT(ISERROR(SEARCH(("No"),(P978))))</formula>
    </cfRule>
  </conditionalFormatting>
  <conditionalFormatting sqref="P978:P1012">
    <cfRule type="containsText" dxfId="2" priority="10814" operator="containsText" text="Yes">
      <formula>NOT(ISERROR(SEARCH(("Yes"),(P978))))</formula>
    </cfRule>
  </conditionalFormatting>
  <conditionalFormatting sqref="P978:P1012">
    <cfRule type="containsText" dxfId="9" priority="10815" operator="containsText" text="No">
      <formula>NOT(ISERROR(SEARCH(("No"),(P978))))</formula>
    </cfRule>
  </conditionalFormatting>
  <conditionalFormatting sqref="P978:P1012">
    <cfRule type="containsText" dxfId="2" priority="10816" operator="containsText" text="Yes">
      <formula>NOT(ISERROR(SEARCH(("Yes"),(P978))))</formula>
    </cfRule>
  </conditionalFormatting>
  <conditionalFormatting sqref="P978:P1012">
    <cfRule type="containsText" dxfId="9" priority="10817" operator="containsText" text="No">
      <formula>NOT(ISERROR(SEARCH(("No"),(P978))))</formula>
    </cfRule>
  </conditionalFormatting>
  <conditionalFormatting sqref="P978:P1012">
    <cfRule type="containsText" dxfId="2" priority="10818" operator="containsText" text="Yes">
      <formula>NOT(ISERROR(SEARCH(("Yes"),(P978))))</formula>
    </cfRule>
  </conditionalFormatting>
  <conditionalFormatting sqref="P978:P1012">
    <cfRule type="containsText" dxfId="9" priority="10819" operator="containsText" text="No">
      <formula>NOT(ISERROR(SEARCH(("No"),(P978))))</formula>
    </cfRule>
  </conditionalFormatting>
  <conditionalFormatting sqref="P978:P1012">
    <cfRule type="containsText" dxfId="2" priority="10820" operator="containsText" text="Yes">
      <formula>NOT(ISERROR(SEARCH(("Yes"),(P978))))</formula>
    </cfRule>
  </conditionalFormatting>
  <conditionalFormatting sqref="P978:P1012">
    <cfRule type="containsText" dxfId="2" priority="10821" operator="containsText" text="Yes">
      <formula>NOT(ISERROR(SEARCH(("Yes"),(P978))))</formula>
    </cfRule>
  </conditionalFormatting>
  <conditionalFormatting sqref="P978:P1012">
    <cfRule type="containsText" dxfId="9" priority="10822" operator="containsText" text="No">
      <formula>NOT(ISERROR(SEARCH(("No"),(P978))))</formula>
    </cfRule>
  </conditionalFormatting>
  <conditionalFormatting sqref="P978:P1012">
    <cfRule type="containsText" dxfId="2" priority="10823" operator="containsText" text="Yes">
      <formula>NOT(ISERROR(SEARCH(("Yes"),(P978))))</formula>
    </cfRule>
  </conditionalFormatting>
  <conditionalFormatting sqref="P1014">
    <cfRule type="containsText" dxfId="2" priority="10824" operator="containsText" text="Yes">
      <formula>NOT(ISERROR(SEARCH(("Yes"),(P1014))))</formula>
    </cfRule>
  </conditionalFormatting>
  <conditionalFormatting sqref="P1014">
    <cfRule type="containsText" dxfId="9" priority="10825" operator="containsText" text="No">
      <formula>NOT(ISERROR(SEARCH(("No"),(P1014))))</formula>
    </cfRule>
  </conditionalFormatting>
  <conditionalFormatting sqref="P1014">
    <cfRule type="containsText" dxfId="2" priority="10826" operator="containsText" text="Yes">
      <formula>NOT(ISERROR(SEARCH(("Yes"),(P1014))))</formula>
    </cfRule>
  </conditionalFormatting>
  <conditionalFormatting sqref="P1014">
    <cfRule type="containsText" dxfId="9" priority="10827" operator="containsText" text="No">
      <formula>NOT(ISERROR(SEARCH(("No"),(P1014))))</formula>
    </cfRule>
  </conditionalFormatting>
  <conditionalFormatting sqref="P1014">
    <cfRule type="containsText" dxfId="2" priority="10828" operator="containsText" text="Yes">
      <formula>NOT(ISERROR(SEARCH(("Yes"),(P1014))))</formula>
    </cfRule>
  </conditionalFormatting>
  <conditionalFormatting sqref="P1014">
    <cfRule type="containsText" dxfId="9" priority="10829" operator="containsText" text="No">
      <formula>NOT(ISERROR(SEARCH(("No"),(P1014))))</formula>
    </cfRule>
  </conditionalFormatting>
  <conditionalFormatting sqref="P1014">
    <cfRule type="containsText" dxfId="2" priority="10830" operator="containsText" text="Yes">
      <formula>NOT(ISERROR(SEARCH(("Yes"),(P1014))))</formula>
    </cfRule>
  </conditionalFormatting>
  <conditionalFormatting sqref="P1014">
    <cfRule type="containsText" dxfId="9" priority="10831" operator="containsText" text="No">
      <formula>NOT(ISERROR(SEARCH(("No"),(P1014))))</formula>
    </cfRule>
  </conditionalFormatting>
  <conditionalFormatting sqref="P1014">
    <cfRule type="containsText" dxfId="2" priority="10832" operator="containsText" text="Yes">
      <formula>NOT(ISERROR(SEARCH(("Yes"),(P1014))))</formula>
    </cfRule>
  </conditionalFormatting>
  <conditionalFormatting sqref="P1014">
    <cfRule type="containsText" dxfId="9" priority="10833" operator="containsText" text="No">
      <formula>NOT(ISERROR(SEARCH(("No"),(P1014))))</formula>
    </cfRule>
  </conditionalFormatting>
  <conditionalFormatting sqref="P1014">
    <cfRule type="containsText" dxfId="2" priority="10834" operator="containsText" text="Yes">
      <formula>NOT(ISERROR(SEARCH(("Yes"),(P1014))))</formula>
    </cfRule>
  </conditionalFormatting>
  <conditionalFormatting sqref="P1014">
    <cfRule type="containsText" dxfId="9" priority="10835" operator="containsText" text="No">
      <formula>NOT(ISERROR(SEARCH(("No"),(P1014))))</formula>
    </cfRule>
  </conditionalFormatting>
  <conditionalFormatting sqref="P1014">
    <cfRule type="containsText" dxfId="2" priority="10836" operator="containsText" text="Yes">
      <formula>NOT(ISERROR(SEARCH(("Yes"),(P1014))))</formula>
    </cfRule>
  </conditionalFormatting>
  <conditionalFormatting sqref="P1014">
    <cfRule type="containsText" dxfId="9" priority="10837" operator="containsText" text="No">
      <formula>NOT(ISERROR(SEARCH(("No"),(P1014))))</formula>
    </cfRule>
  </conditionalFormatting>
  <conditionalFormatting sqref="P1014">
    <cfRule type="containsText" dxfId="2" priority="10838" operator="containsText" text="Yes">
      <formula>NOT(ISERROR(SEARCH(("Yes"),(P1014))))</formula>
    </cfRule>
  </conditionalFormatting>
  <conditionalFormatting sqref="P1014">
    <cfRule type="containsText" dxfId="9" priority="10839" operator="containsText" text="No">
      <formula>NOT(ISERROR(SEARCH(("No"),(P1014))))</formula>
    </cfRule>
  </conditionalFormatting>
  <conditionalFormatting sqref="P1014">
    <cfRule type="containsText" dxfId="2" priority="10840" operator="containsText" text="Yes">
      <formula>NOT(ISERROR(SEARCH(("Yes"),(P1014))))</formula>
    </cfRule>
  </conditionalFormatting>
  <conditionalFormatting sqref="P1014">
    <cfRule type="containsText" dxfId="9" priority="10841" operator="containsText" text="No">
      <formula>NOT(ISERROR(SEARCH(("No"),(P1014))))</formula>
    </cfRule>
  </conditionalFormatting>
  <conditionalFormatting sqref="P1014">
    <cfRule type="containsText" dxfId="2" priority="10842" operator="containsText" text="Yes">
      <formula>NOT(ISERROR(SEARCH(("Yes"),(P1014))))</formula>
    </cfRule>
  </conditionalFormatting>
  <conditionalFormatting sqref="P1014">
    <cfRule type="containsText" dxfId="9" priority="10843" operator="containsText" text="No">
      <formula>NOT(ISERROR(SEARCH(("No"),(P1014))))</formula>
    </cfRule>
  </conditionalFormatting>
  <conditionalFormatting sqref="P1014">
    <cfRule type="containsText" dxfId="2" priority="10844" operator="containsText" text="Yes">
      <formula>NOT(ISERROR(SEARCH(("Yes"),(P1014))))</formula>
    </cfRule>
  </conditionalFormatting>
  <conditionalFormatting sqref="P1014">
    <cfRule type="containsText" dxfId="9" priority="10845" operator="containsText" text="No">
      <formula>NOT(ISERROR(SEARCH(("No"),(P1014))))</formula>
    </cfRule>
  </conditionalFormatting>
  <conditionalFormatting sqref="P1014">
    <cfRule type="containsText" dxfId="2" priority="10846" operator="containsText" text="Yes">
      <formula>NOT(ISERROR(SEARCH(("Yes"),(P1014))))</formula>
    </cfRule>
  </conditionalFormatting>
  <conditionalFormatting sqref="P1014">
    <cfRule type="containsText" dxfId="9" priority="10847" operator="containsText" text="No">
      <formula>NOT(ISERROR(SEARCH(("No"),(P1014))))</formula>
    </cfRule>
  </conditionalFormatting>
  <conditionalFormatting sqref="P1014">
    <cfRule type="containsText" dxfId="2" priority="10848" operator="containsText" text="Yes">
      <formula>NOT(ISERROR(SEARCH(("Yes"),(P1014))))</formula>
    </cfRule>
  </conditionalFormatting>
  <conditionalFormatting sqref="P1014">
    <cfRule type="containsText" dxfId="9" priority="10849" operator="containsText" text="No">
      <formula>NOT(ISERROR(SEARCH(("No"),(P1014))))</formula>
    </cfRule>
  </conditionalFormatting>
  <conditionalFormatting sqref="P1014">
    <cfRule type="containsText" dxfId="2" priority="10850" operator="containsText" text="Yes">
      <formula>NOT(ISERROR(SEARCH(("Yes"),(P1014))))</formula>
    </cfRule>
  </conditionalFormatting>
  <conditionalFormatting sqref="P1014">
    <cfRule type="containsText" dxfId="9" priority="10851" operator="containsText" text="No">
      <formula>NOT(ISERROR(SEARCH(("No"),(P1014))))</formula>
    </cfRule>
  </conditionalFormatting>
  <conditionalFormatting sqref="P1014">
    <cfRule type="containsText" dxfId="2" priority="10852" operator="containsText" text="Yes">
      <formula>NOT(ISERROR(SEARCH(("Yes"),(P1014))))</formula>
    </cfRule>
  </conditionalFormatting>
  <conditionalFormatting sqref="P1014">
    <cfRule type="containsText" dxfId="9" priority="10853" operator="containsText" text="No">
      <formula>NOT(ISERROR(SEARCH(("No"),(P1014))))</formula>
    </cfRule>
  </conditionalFormatting>
  <conditionalFormatting sqref="P1014">
    <cfRule type="containsText" dxfId="2" priority="10854" operator="containsText" text="Yes">
      <formula>NOT(ISERROR(SEARCH(("Yes"),(P1014))))</formula>
    </cfRule>
  </conditionalFormatting>
  <conditionalFormatting sqref="P1014">
    <cfRule type="containsText" dxfId="9" priority="10855" operator="containsText" text="No">
      <formula>NOT(ISERROR(SEARCH(("No"),(P1014))))</formula>
    </cfRule>
  </conditionalFormatting>
  <conditionalFormatting sqref="P1014">
    <cfRule type="containsText" dxfId="2" priority="10856" operator="containsText" text="Yes">
      <formula>NOT(ISERROR(SEARCH(("Yes"),(P1014))))</formula>
    </cfRule>
  </conditionalFormatting>
  <conditionalFormatting sqref="P1014">
    <cfRule type="containsText" dxfId="9" priority="10857" operator="containsText" text="No">
      <formula>NOT(ISERROR(SEARCH(("No"),(P1014))))</formula>
    </cfRule>
  </conditionalFormatting>
  <conditionalFormatting sqref="P1014">
    <cfRule type="containsText" dxfId="2" priority="10858" operator="containsText" text="Yes">
      <formula>NOT(ISERROR(SEARCH(("Yes"),(P1014))))</formula>
    </cfRule>
  </conditionalFormatting>
  <conditionalFormatting sqref="P1014">
    <cfRule type="containsText" dxfId="9" priority="10859" operator="containsText" text="No">
      <formula>NOT(ISERROR(SEARCH(("No"),(P1014))))</formula>
    </cfRule>
  </conditionalFormatting>
  <conditionalFormatting sqref="P1014">
    <cfRule type="containsText" dxfId="2" priority="10860" operator="containsText" text="Yes">
      <formula>NOT(ISERROR(SEARCH(("Yes"),(P1014))))</formula>
    </cfRule>
  </conditionalFormatting>
  <conditionalFormatting sqref="P1014">
    <cfRule type="containsText" dxfId="9" priority="10861" operator="containsText" text="No">
      <formula>NOT(ISERROR(SEARCH(("No"),(P1014))))</formula>
    </cfRule>
  </conditionalFormatting>
  <conditionalFormatting sqref="P1014">
    <cfRule type="containsText" dxfId="2" priority="10862" operator="containsText" text="Yes">
      <formula>NOT(ISERROR(SEARCH(("Yes"),(P1014))))</formula>
    </cfRule>
  </conditionalFormatting>
  <conditionalFormatting sqref="P1014">
    <cfRule type="containsText" dxfId="9" priority="10863" operator="containsText" text="No">
      <formula>NOT(ISERROR(SEARCH(("No"),(P1014))))</formula>
    </cfRule>
  </conditionalFormatting>
  <conditionalFormatting sqref="P1014">
    <cfRule type="containsText" dxfId="2" priority="10864" operator="containsText" text="Yes">
      <formula>NOT(ISERROR(SEARCH(("Yes"),(P1014))))</formula>
    </cfRule>
  </conditionalFormatting>
  <conditionalFormatting sqref="P1014">
    <cfRule type="containsText" dxfId="9" priority="10865" operator="containsText" text="No">
      <formula>NOT(ISERROR(SEARCH(("No"),(P1014))))</formula>
    </cfRule>
  </conditionalFormatting>
  <conditionalFormatting sqref="P1014">
    <cfRule type="containsText" dxfId="2" priority="10866" operator="containsText" text="Yes">
      <formula>NOT(ISERROR(SEARCH(("Yes"),(P1014))))</formula>
    </cfRule>
  </conditionalFormatting>
  <conditionalFormatting sqref="P1014">
    <cfRule type="containsText" dxfId="9" priority="10867" operator="containsText" text="No">
      <formula>NOT(ISERROR(SEARCH(("No"),(P1014))))</formula>
    </cfRule>
  </conditionalFormatting>
  <conditionalFormatting sqref="P1014">
    <cfRule type="containsText" dxfId="2" priority="10868" operator="containsText" text="Yes">
      <formula>NOT(ISERROR(SEARCH(("Yes"),(P1014))))</formula>
    </cfRule>
  </conditionalFormatting>
  <conditionalFormatting sqref="P1014">
    <cfRule type="containsText" dxfId="9" priority="10869" operator="containsText" text="No">
      <formula>NOT(ISERROR(SEARCH(("No"),(P1014))))</formula>
    </cfRule>
  </conditionalFormatting>
  <conditionalFormatting sqref="P1014">
    <cfRule type="containsText" dxfId="2" priority="10870" operator="containsText" text="Yes">
      <formula>NOT(ISERROR(SEARCH(("Yes"),(P1014))))</formula>
    </cfRule>
  </conditionalFormatting>
  <conditionalFormatting sqref="P1014">
    <cfRule type="containsText" dxfId="9" priority="10871" operator="containsText" text="No">
      <formula>NOT(ISERROR(SEARCH(("No"),(P1014))))</formula>
    </cfRule>
  </conditionalFormatting>
  <conditionalFormatting sqref="P1014">
    <cfRule type="containsText" dxfId="2" priority="10872" operator="containsText" text="Yes">
      <formula>NOT(ISERROR(SEARCH(("Yes"),(P1014))))</formula>
    </cfRule>
  </conditionalFormatting>
  <conditionalFormatting sqref="P1014">
    <cfRule type="containsText" dxfId="9" priority="10873" operator="containsText" text="No">
      <formula>NOT(ISERROR(SEARCH(("No"),(P1014))))</formula>
    </cfRule>
  </conditionalFormatting>
  <conditionalFormatting sqref="P1014">
    <cfRule type="containsText" dxfId="2" priority="10874" operator="containsText" text="Yes">
      <formula>NOT(ISERROR(SEARCH(("Yes"),(P1014))))</formula>
    </cfRule>
  </conditionalFormatting>
  <conditionalFormatting sqref="P1014">
    <cfRule type="containsText" dxfId="9" priority="10875" operator="containsText" text="No">
      <formula>NOT(ISERROR(SEARCH(("No"),(P1014))))</formula>
    </cfRule>
  </conditionalFormatting>
  <conditionalFormatting sqref="P1014">
    <cfRule type="containsText" dxfId="2" priority="10876" operator="containsText" text="Yes">
      <formula>NOT(ISERROR(SEARCH(("Yes"),(P1014))))</formula>
    </cfRule>
  </conditionalFormatting>
  <conditionalFormatting sqref="P1014">
    <cfRule type="containsText" dxfId="9" priority="10877" operator="containsText" text="No">
      <formula>NOT(ISERROR(SEARCH(("No"),(P1014))))</formula>
    </cfRule>
  </conditionalFormatting>
  <conditionalFormatting sqref="P1014">
    <cfRule type="containsText" dxfId="2" priority="10878" operator="containsText" text="Yes">
      <formula>NOT(ISERROR(SEARCH(("Yes"),(P1014))))</formula>
    </cfRule>
  </conditionalFormatting>
  <conditionalFormatting sqref="P1014">
    <cfRule type="containsText" dxfId="9" priority="10879" operator="containsText" text="No">
      <formula>NOT(ISERROR(SEARCH(("No"),(P1014))))</formula>
    </cfRule>
  </conditionalFormatting>
  <conditionalFormatting sqref="P1014">
    <cfRule type="containsText" dxfId="2" priority="10880" operator="containsText" text="Yes">
      <formula>NOT(ISERROR(SEARCH(("Yes"),(P1014))))</formula>
    </cfRule>
  </conditionalFormatting>
  <conditionalFormatting sqref="P1014">
    <cfRule type="containsText" dxfId="9" priority="10881" operator="containsText" text="No">
      <formula>NOT(ISERROR(SEARCH(("No"),(P1014))))</formula>
    </cfRule>
  </conditionalFormatting>
  <conditionalFormatting sqref="P1014">
    <cfRule type="containsText" dxfId="2" priority="10882" operator="containsText" text="Yes">
      <formula>NOT(ISERROR(SEARCH(("Yes"),(P1014))))</formula>
    </cfRule>
  </conditionalFormatting>
  <conditionalFormatting sqref="P1014">
    <cfRule type="containsText" dxfId="9" priority="10883" operator="containsText" text="No">
      <formula>NOT(ISERROR(SEARCH(("No"),(P1014))))</formula>
    </cfRule>
  </conditionalFormatting>
  <conditionalFormatting sqref="P1014">
    <cfRule type="containsText" dxfId="2" priority="10884" operator="containsText" text="Yes">
      <formula>NOT(ISERROR(SEARCH(("Yes"),(P1014))))</formula>
    </cfRule>
  </conditionalFormatting>
  <conditionalFormatting sqref="P1014">
    <cfRule type="containsText" dxfId="9" priority="10885" operator="containsText" text="No">
      <formula>NOT(ISERROR(SEARCH(("No"),(P1014))))</formula>
    </cfRule>
  </conditionalFormatting>
  <conditionalFormatting sqref="P1014">
    <cfRule type="containsText" dxfId="2" priority="10886" operator="containsText" text="Yes">
      <formula>NOT(ISERROR(SEARCH(("Yes"),(P1014))))</formula>
    </cfRule>
  </conditionalFormatting>
  <conditionalFormatting sqref="P1014">
    <cfRule type="containsText" dxfId="9" priority="10887" operator="containsText" text="No">
      <formula>NOT(ISERROR(SEARCH(("No"),(P1014))))</formula>
    </cfRule>
  </conditionalFormatting>
  <conditionalFormatting sqref="P1014">
    <cfRule type="containsText" dxfId="2" priority="10888" operator="containsText" text="Yes">
      <formula>NOT(ISERROR(SEARCH(("Yes"),(P1014))))</formula>
    </cfRule>
  </conditionalFormatting>
  <conditionalFormatting sqref="P1014">
    <cfRule type="containsText" dxfId="9" priority="10889" operator="containsText" text="No">
      <formula>NOT(ISERROR(SEARCH(("No"),(P1014))))</formula>
    </cfRule>
  </conditionalFormatting>
  <conditionalFormatting sqref="P1014">
    <cfRule type="containsText" dxfId="2" priority="10890" operator="containsText" text="Yes">
      <formula>NOT(ISERROR(SEARCH(("Yes"),(P1014))))</formula>
    </cfRule>
  </conditionalFormatting>
  <conditionalFormatting sqref="P1014">
    <cfRule type="containsText" dxfId="9" priority="10891" operator="containsText" text="No">
      <formula>NOT(ISERROR(SEARCH(("No"),(P1014))))</formula>
    </cfRule>
  </conditionalFormatting>
  <conditionalFormatting sqref="P1014">
    <cfRule type="containsText" dxfId="2" priority="10892" operator="containsText" text="Yes">
      <formula>NOT(ISERROR(SEARCH(("Yes"),(P1014))))</formula>
    </cfRule>
  </conditionalFormatting>
  <conditionalFormatting sqref="P1014">
    <cfRule type="containsText" dxfId="9" priority="10893" operator="containsText" text="No">
      <formula>NOT(ISERROR(SEARCH(("No"),(P1014))))</formula>
    </cfRule>
  </conditionalFormatting>
  <conditionalFormatting sqref="P1014">
    <cfRule type="containsText" dxfId="2" priority="10894" operator="containsText" text="Yes">
      <formula>NOT(ISERROR(SEARCH(("Yes"),(P1014))))</formula>
    </cfRule>
  </conditionalFormatting>
  <conditionalFormatting sqref="P1014">
    <cfRule type="containsText" dxfId="9" priority="10895" operator="containsText" text="No">
      <formula>NOT(ISERROR(SEARCH(("No"),(P1014))))</formula>
    </cfRule>
  </conditionalFormatting>
  <conditionalFormatting sqref="P1014">
    <cfRule type="containsText" dxfId="2" priority="10896" operator="containsText" text="Yes">
      <formula>NOT(ISERROR(SEARCH(("Yes"),(P1014))))</formula>
    </cfRule>
  </conditionalFormatting>
  <conditionalFormatting sqref="P1014">
    <cfRule type="containsText" dxfId="9" priority="10897" operator="containsText" text="No">
      <formula>NOT(ISERROR(SEARCH(("No"),(P1014))))</formula>
    </cfRule>
  </conditionalFormatting>
  <conditionalFormatting sqref="P1014">
    <cfRule type="containsText" dxfId="2" priority="10898" operator="containsText" text="Yes">
      <formula>NOT(ISERROR(SEARCH(("Yes"),(P1014))))</formula>
    </cfRule>
  </conditionalFormatting>
  <conditionalFormatting sqref="P1014">
    <cfRule type="containsText" dxfId="9" priority="10899" operator="containsText" text="No">
      <formula>NOT(ISERROR(SEARCH(("No"),(P1014))))</formula>
    </cfRule>
  </conditionalFormatting>
  <conditionalFormatting sqref="P1014">
    <cfRule type="containsText" dxfId="2" priority="10900" operator="containsText" text="Yes">
      <formula>NOT(ISERROR(SEARCH(("Yes"),(P1014))))</formula>
    </cfRule>
  </conditionalFormatting>
  <conditionalFormatting sqref="P1014">
    <cfRule type="containsText" dxfId="9" priority="10901" operator="containsText" text="No">
      <formula>NOT(ISERROR(SEARCH(("No"),(P1014))))</formula>
    </cfRule>
  </conditionalFormatting>
  <conditionalFormatting sqref="P1014">
    <cfRule type="containsText" dxfId="2" priority="10902" operator="containsText" text="Yes">
      <formula>NOT(ISERROR(SEARCH(("Yes"),(P1014))))</formula>
    </cfRule>
  </conditionalFormatting>
  <conditionalFormatting sqref="P1014">
    <cfRule type="containsText" dxfId="9" priority="10903" operator="containsText" text="No">
      <formula>NOT(ISERROR(SEARCH(("No"),(P1014))))</formula>
    </cfRule>
  </conditionalFormatting>
  <conditionalFormatting sqref="P1014">
    <cfRule type="containsText" dxfId="2" priority="10904" operator="containsText" text="Yes">
      <formula>NOT(ISERROR(SEARCH(("Yes"),(P1014))))</formula>
    </cfRule>
  </conditionalFormatting>
  <conditionalFormatting sqref="P1014">
    <cfRule type="containsText" dxfId="9" priority="10905" operator="containsText" text="No">
      <formula>NOT(ISERROR(SEARCH(("No"),(P1014))))</formula>
    </cfRule>
  </conditionalFormatting>
  <conditionalFormatting sqref="P1014">
    <cfRule type="containsText" dxfId="2" priority="10906" operator="containsText" text="Yes">
      <formula>NOT(ISERROR(SEARCH(("Yes"),(P1014))))</formula>
    </cfRule>
  </conditionalFormatting>
  <conditionalFormatting sqref="P1014">
    <cfRule type="containsText" dxfId="9" priority="10907" operator="containsText" text="No">
      <formula>NOT(ISERROR(SEARCH(("No"),(P1014))))</formula>
    </cfRule>
  </conditionalFormatting>
  <conditionalFormatting sqref="P1014">
    <cfRule type="containsText" dxfId="2" priority="10908" operator="containsText" text="Yes">
      <formula>NOT(ISERROR(SEARCH(("Yes"),(P1014))))</formula>
    </cfRule>
  </conditionalFormatting>
  <conditionalFormatting sqref="P1014">
    <cfRule type="containsText" dxfId="9" priority="10909" operator="containsText" text="No">
      <formula>NOT(ISERROR(SEARCH(("No"),(P1014))))</formula>
    </cfRule>
  </conditionalFormatting>
  <conditionalFormatting sqref="P1014">
    <cfRule type="containsText" dxfId="2" priority="10910" operator="containsText" text="Yes">
      <formula>NOT(ISERROR(SEARCH(("Yes"),(P1014))))</formula>
    </cfRule>
  </conditionalFormatting>
  <conditionalFormatting sqref="P1014">
    <cfRule type="containsText" dxfId="9" priority="10911" operator="containsText" text="No">
      <formula>NOT(ISERROR(SEARCH(("No"),(P1014))))</formula>
    </cfRule>
  </conditionalFormatting>
  <conditionalFormatting sqref="P1014">
    <cfRule type="containsText" dxfId="2" priority="10912" operator="containsText" text="Yes">
      <formula>NOT(ISERROR(SEARCH(("Yes"),(P1014))))</formula>
    </cfRule>
  </conditionalFormatting>
  <conditionalFormatting sqref="P1014">
    <cfRule type="containsText" dxfId="2" priority="10913" operator="containsText" text="Yes">
      <formula>NOT(ISERROR(SEARCH(("Yes"),(P1014))))</formula>
    </cfRule>
  </conditionalFormatting>
  <conditionalFormatting sqref="P1014">
    <cfRule type="containsText" dxfId="9" priority="10914" operator="containsText" text="No">
      <formula>NOT(ISERROR(SEARCH(("No"),(P1014))))</formula>
    </cfRule>
  </conditionalFormatting>
  <conditionalFormatting sqref="P1014">
    <cfRule type="containsText" dxfId="2" priority="10915" operator="containsText" text="Yes">
      <formula>NOT(ISERROR(SEARCH(("Yes"),(P1014))))</formula>
    </cfRule>
  </conditionalFormatting>
  <conditionalFormatting sqref="P1015">
    <cfRule type="containsText" dxfId="2" priority="10916" operator="containsText" text="Yes">
      <formula>NOT(ISERROR(SEARCH(("Yes"),(P1015))))</formula>
    </cfRule>
  </conditionalFormatting>
  <conditionalFormatting sqref="P1015">
    <cfRule type="containsText" dxfId="9" priority="10917" operator="containsText" text="No">
      <formula>NOT(ISERROR(SEARCH(("No"),(P1015))))</formula>
    </cfRule>
  </conditionalFormatting>
  <conditionalFormatting sqref="P1015">
    <cfRule type="containsText" dxfId="2" priority="10918" operator="containsText" text="Yes">
      <formula>NOT(ISERROR(SEARCH(("Yes"),(P1015))))</formula>
    </cfRule>
  </conditionalFormatting>
  <conditionalFormatting sqref="P1015">
    <cfRule type="containsText" dxfId="9" priority="10919" operator="containsText" text="No">
      <formula>NOT(ISERROR(SEARCH(("No"),(P1015))))</formula>
    </cfRule>
  </conditionalFormatting>
  <conditionalFormatting sqref="P1015">
    <cfRule type="containsText" dxfId="2" priority="10920" operator="containsText" text="Yes">
      <formula>NOT(ISERROR(SEARCH(("Yes"),(P1015))))</formula>
    </cfRule>
  </conditionalFormatting>
  <conditionalFormatting sqref="P1015">
    <cfRule type="containsText" dxfId="9" priority="10921" operator="containsText" text="No">
      <formula>NOT(ISERROR(SEARCH(("No"),(P1015))))</formula>
    </cfRule>
  </conditionalFormatting>
  <conditionalFormatting sqref="P1015">
    <cfRule type="containsText" dxfId="2" priority="10922" operator="containsText" text="Yes">
      <formula>NOT(ISERROR(SEARCH(("Yes"),(P1015))))</formula>
    </cfRule>
  </conditionalFormatting>
  <conditionalFormatting sqref="P1015">
    <cfRule type="containsText" dxfId="9" priority="10923" operator="containsText" text="No">
      <formula>NOT(ISERROR(SEARCH(("No"),(P1015))))</formula>
    </cfRule>
  </conditionalFormatting>
  <conditionalFormatting sqref="P1015">
    <cfRule type="containsText" dxfId="2" priority="10924" operator="containsText" text="Yes">
      <formula>NOT(ISERROR(SEARCH(("Yes"),(P1015))))</formula>
    </cfRule>
  </conditionalFormatting>
  <conditionalFormatting sqref="P1015">
    <cfRule type="containsText" dxfId="9" priority="10925" operator="containsText" text="No">
      <formula>NOT(ISERROR(SEARCH(("No"),(P1015))))</formula>
    </cfRule>
  </conditionalFormatting>
  <conditionalFormatting sqref="P1015">
    <cfRule type="containsText" dxfId="2" priority="10926" operator="containsText" text="Yes">
      <formula>NOT(ISERROR(SEARCH(("Yes"),(P1015))))</formula>
    </cfRule>
  </conditionalFormatting>
  <conditionalFormatting sqref="P1015">
    <cfRule type="containsText" dxfId="9" priority="10927" operator="containsText" text="No">
      <formula>NOT(ISERROR(SEARCH(("No"),(P1015))))</formula>
    </cfRule>
  </conditionalFormatting>
  <conditionalFormatting sqref="P1015">
    <cfRule type="containsText" dxfId="2" priority="10928" operator="containsText" text="Yes">
      <formula>NOT(ISERROR(SEARCH(("Yes"),(P1015))))</formula>
    </cfRule>
  </conditionalFormatting>
  <conditionalFormatting sqref="P1015">
    <cfRule type="containsText" dxfId="9" priority="10929" operator="containsText" text="No">
      <formula>NOT(ISERROR(SEARCH(("No"),(P1015))))</formula>
    </cfRule>
  </conditionalFormatting>
  <conditionalFormatting sqref="P1015">
    <cfRule type="containsText" dxfId="2" priority="10930" operator="containsText" text="Yes">
      <formula>NOT(ISERROR(SEARCH(("Yes"),(P1015))))</formula>
    </cfRule>
  </conditionalFormatting>
  <conditionalFormatting sqref="P1015">
    <cfRule type="containsText" dxfId="9" priority="10931" operator="containsText" text="No">
      <formula>NOT(ISERROR(SEARCH(("No"),(P1015))))</formula>
    </cfRule>
  </conditionalFormatting>
  <conditionalFormatting sqref="P1015">
    <cfRule type="containsText" dxfId="2" priority="10932" operator="containsText" text="Yes">
      <formula>NOT(ISERROR(SEARCH(("Yes"),(P1015))))</formula>
    </cfRule>
  </conditionalFormatting>
  <conditionalFormatting sqref="P1015">
    <cfRule type="containsText" dxfId="9" priority="10933" operator="containsText" text="No">
      <formula>NOT(ISERROR(SEARCH(("No"),(P1015))))</formula>
    </cfRule>
  </conditionalFormatting>
  <conditionalFormatting sqref="P1015">
    <cfRule type="containsText" dxfId="2" priority="10934" operator="containsText" text="Yes">
      <formula>NOT(ISERROR(SEARCH(("Yes"),(P1015))))</formula>
    </cfRule>
  </conditionalFormatting>
  <conditionalFormatting sqref="P1015">
    <cfRule type="containsText" dxfId="9" priority="10935" operator="containsText" text="No">
      <formula>NOT(ISERROR(SEARCH(("No"),(P1015))))</formula>
    </cfRule>
  </conditionalFormatting>
  <conditionalFormatting sqref="P1015">
    <cfRule type="containsText" dxfId="2" priority="10936" operator="containsText" text="Yes">
      <formula>NOT(ISERROR(SEARCH(("Yes"),(P1015))))</formula>
    </cfRule>
  </conditionalFormatting>
  <conditionalFormatting sqref="P1015">
    <cfRule type="containsText" dxfId="9" priority="10937" operator="containsText" text="No">
      <formula>NOT(ISERROR(SEARCH(("No"),(P1015))))</formula>
    </cfRule>
  </conditionalFormatting>
  <conditionalFormatting sqref="P1015">
    <cfRule type="containsText" dxfId="2" priority="10938" operator="containsText" text="Yes">
      <formula>NOT(ISERROR(SEARCH(("Yes"),(P1015))))</formula>
    </cfRule>
  </conditionalFormatting>
  <conditionalFormatting sqref="P1015">
    <cfRule type="containsText" dxfId="9" priority="10939" operator="containsText" text="No">
      <formula>NOT(ISERROR(SEARCH(("No"),(P1015))))</formula>
    </cfRule>
  </conditionalFormatting>
  <conditionalFormatting sqref="P1015">
    <cfRule type="containsText" dxfId="2" priority="10940" operator="containsText" text="Yes">
      <formula>NOT(ISERROR(SEARCH(("Yes"),(P1015))))</formula>
    </cfRule>
  </conditionalFormatting>
  <conditionalFormatting sqref="P1015">
    <cfRule type="containsText" dxfId="9" priority="10941" operator="containsText" text="No">
      <formula>NOT(ISERROR(SEARCH(("No"),(P1015))))</formula>
    </cfRule>
  </conditionalFormatting>
  <conditionalFormatting sqref="P1015">
    <cfRule type="containsText" dxfId="2" priority="10942" operator="containsText" text="Yes">
      <formula>NOT(ISERROR(SEARCH(("Yes"),(P1015))))</formula>
    </cfRule>
  </conditionalFormatting>
  <conditionalFormatting sqref="P1015">
    <cfRule type="containsText" dxfId="9" priority="10943" operator="containsText" text="No">
      <formula>NOT(ISERROR(SEARCH(("No"),(P1015))))</formula>
    </cfRule>
  </conditionalFormatting>
  <conditionalFormatting sqref="P1015">
    <cfRule type="containsText" dxfId="2" priority="10944" operator="containsText" text="Yes">
      <formula>NOT(ISERROR(SEARCH(("Yes"),(P1015))))</formula>
    </cfRule>
  </conditionalFormatting>
  <conditionalFormatting sqref="P1015">
    <cfRule type="containsText" dxfId="9" priority="10945" operator="containsText" text="No">
      <formula>NOT(ISERROR(SEARCH(("No"),(P1015))))</formula>
    </cfRule>
  </conditionalFormatting>
  <conditionalFormatting sqref="P1015">
    <cfRule type="containsText" dxfId="2" priority="10946" operator="containsText" text="Yes">
      <formula>NOT(ISERROR(SEARCH(("Yes"),(P1015))))</formula>
    </cfRule>
  </conditionalFormatting>
  <conditionalFormatting sqref="P1015">
    <cfRule type="containsText" dxfId="9" priority="10947" operator="containsText" text="No">
      <formula>NOT(ISERROR(SEARCH(("No"),(P1015))))</formula>
    </cfRule>
  </conditionalFormatting>
  <conditionalFormatting sqref="P1015">
    <cfRule type="containsText" dxfId="2" priority="10948" operator="containsText" text="Yes">
      <formula>NOT(ISERROR(SEARCH(("Yes"),(P1015))))</formula>
    </cfRule>
  </conditionalFormatting>
  <conditionalFormatting sqref="P1015">
    <cfRule type="containsText" dxfId="9" priority="10949" operator="containsText" text="No">
      <formula>NOT(ISERROR(SEARCH(("No"),(P1015))))</formula>
    </cfRule>
  </conditionalFormatting>
  <conditionalFormatting sqref="P1015">
    <cfRule type="containsText" dxfId="2" priority="10950" operator="containsText" text="Yes">
      <formula>NOT(ISERROR(SEARCH(("Yes"),(P1015))))</formula>
    </cfRule>
  </conditionalFormatting>
  <conditionalFormatting sqref="P1015">
    <cfRule type="containsText" dxfId="9" priority="10951" operator="containsText" text="No">
      <formula>NOT(ISERROR(SEARCH(("No"),(P1015))))</formula>
    </cfRule>
  </conditionalFormatting>
  <conditionalFormatting sqref="P1015">
    <cfRule type="containsText" dxfId="2" priority="10952" operator="containsText" text="Yes">
      <formula>NOT(ISERROR(SEARCH(("Yes"),(P1015))))</formula>
    </cfRule>
  </conditionalFormatting>
  <conditionalFormatting sqref="P1015">
    <cfRule type="containsText" dxfId="9" priority="10953" operator="containsText" text="No">
      <formula>NOT(ISERROR(SEARCH(("No"),(P1015))))</formula>
    </cfRule>
  </conditionalFormatting>
  <conditionalFormatting sqref="P1015">
    <cfRule type="containsText" dxfId="2" priority="10954" operator="containsText" text="Yes">
      <formula>NOT(ISERROR(SEARCH(("Yes"),(P1015))))</formula>
    </cfRule>
  </conditionalFormatting>
  <conditionalFormatting sqref="P1015">
    <cfRule type="containsText" dxfId="9" priority="10955" operator="containsText" text="No">
      <formula>NOT(ISERROR(SEARCH(("No"),(P1015))))</formula>
    </cfRule>
  </conditionalFormatting>
  <conditionalFormatting sqref="P1015">
    <cfRule type="containsText" dxfId="2" priority="10956" operator="containsText" text="Yes">
      <formula>NOT(ISERROR(SEARCH(("Yes"),(P1015))))</formula>
    </cfRule>
  </conditionalFormatting>
  <conditionalFormatting sqref="P1015">
    <cfRule type="containsText" dxfId="9" priority="10957" operator="containsText" text="No">
      <formula>NOT(ISERROR(SEARCH(("No"),(P1015))))</formula>
    </cfRule>
  </conditionalFormatting>
  <conditionalFormatting sqref="P1015">
    <cfRule type="containsText" dxfId="2" priority="10958" operator="containsText" text="Yes">
      <formula>NOT(ISERROR(SEARCH(("Yes"),(P1015))))</formula>
    </cfRule>
  </conditionalFormatting>
  <conditionalFormatting sqref="P1015">
    <cfRule type="containsText" dxfId="9" priority="10959" operator="containsText" text="No">
      <formula>NOT(ISERROR(SEARCH(("No"),(P1015))))</formula>
    </cfRule>
  </conditionalFormatting>
  <conditionalFormatting sqref="P1015">
    <cfRule type="containsText" dxfId="2" priority="10960" operator="containsText" text="Yes">
      <formula>NOT(ISERROR(SEARCH(("Yes"),(P1015))))</formula>
    </cfRule>
  </conditionalFormatting>
  <conditionalFormatting sqref="P1015">
    <cfRule type="containsText" dxfId="9" priority="10961" operator="containsText" text="No">
      <formula>NOT(ISERROR(SEARCH(("No"),(P1015))))</formula>
    </cfRule>
  </conditionalFormatting>
  <conditionalFormatting sqref="P1015">
    <cfRule type="containsText" dxfId="2" priority="10962" operator="containsText" text="Yes">
      <formula>NOT(ISERROR(SEARCH(("Yes"),(P1015))))</formula>
    </cfRule>
  </conditionalFormatting>
  <conditionalFormatting sqref="P1015">
    <cfRule type="containsText" dxfId="9" priority="10963" operator="containsText" text="No">
      <formula>NOT(ISERROR(SEARCH(("No"),(P1015))))</formula>
    </cfRule>
  </conditionalFormatting>
  <conditionalFormatting sqref="P1015">
    <cfRule type="containsText" dxfId="2" priority="10964" operator="containsText" text="Yes">
      <formula>NOT(ISERROR(SEARCH(("Yes"),(P1015))))</formula>
    </cfRule>
  </conditionalFormatting>
  <conditionalFormatting sqref="P1015">
    <cfRule type="containsText" dxfId="9" priority="10965" operator="containsText" text="No">
      <formula>NOT(ISERROR(SEARCH(("No"),(P1015))))</formula>
    </cfRule>
  </conditionalFormatting>
  <conditionalFormatting sqref="P1015">
    <cfRule type="containsText" dxfId="2" priority="10966" operator="containsText" text="Yes">
      <formula>NOT(ISERROR(SEARCH(("Yes"),(P1015))))</formula>
    </cfRule>
  </conditionalFormatting>
  <conditionalFormatting sqref="P1015">
    <cfRule type="containsText" dxfId="9" priority="10967" operator="containsText" text="No">
      <formula>NOT(ISERROR(SEARCH(("No"),(P1015))))</formula>
    </cfRule>
  </conditionalFormatting>
  <conditionalFormatting sqref="P1015">
    <cfRule type="containsText" dxfId="2" priority="10968" operator="containsText" text="Yes">
      <formula>NOT(ISERROR(SEARCH(("Yes"),(P1015))))</formula>
    </cfRule>
  </conditionalFormatting>
  <conditionalFormatting sqref="P1015">
    <cfRule type="containsText" dxfId="9" priority="10969" operator="containsText" text="No">
      <formula>NOT(ISERROR(SEARCH(("No"),(P1015))))</formula>
    </cfRule>
  </conditionalFormatting>
  <conditionalFormatting sqref="P1015">
    <cfRule type="containsText" dxfId="2" priority="10970" operator="containsText" text="Yes">
      <formula>NOT(ISERROR(SEARCH(("Yes"),(P1015))))</formula>
    </cfRule>
  </conditionalFormatting>
  <conditionalFormatting sqref="P1015">
    <cfRule type="containsText" dxfId="9" priority="10971" operator="containsText" text="No">
      <formula>NOT(ISERROR(SEARCH(("No"),(P1015))))</formula>
    </cfRule>
  </conditionalFormatting>
  <conditionalFormatting sqref="P1015">
    <cfRule type="containsText" dxfId="2" priority="10972" operator="containsText" text="Yes">
      <formula>NOT(ISERROR(SEARCH(("Yes"),(P1015))))</formula>
    </cfRule>
  </conditionalFormatting>
  <conditionalFormatting sqref="P1015">
    <cfRule type="containsText" dxfId="9" priority="10973" operator="containsText" text="No">
      <formula>NOT(ISERROR(SEARCH(("No"),(P1015))))</formula>
    </cfRule>
  </conditionalFormatting>
  <conditionalFormatting sqref="P1015">
    <cfRule type="containsText" dxfId="2" priority="10974" operator="containsText" text="Yes">
      <formula>NOT(ISERROR(SEARCH(("Yes"),(P1015))))</formula>
    </cfRule>
  </conditionalFormatting>
  <conditionalFormatting sqref="P1015">
    <cfRule type="containsText" dxfId="9" priority="10975" operator="containsText" text="No">
      <formula>NOT(ISERROR(SEARCH(("No"),(P1015))))</formula>
    </cfRule>
  </conditionalFormatting>
  <conditionalFormatting sqref="P1015">
    <cfRule type="containsText" dxfId="2" priority="10976" operator="containsText" text="Yes">
      <formula>NOT(ISERROR(SEARCH(("Yes"),(P1015))))</formula>
    </cfRule>
  </conditionalFormatting>
  <conditionalFormatting sqref="P1015">
    <cfRule type="containsText" dxfId="9" priority="10977" operator="containsText" text="No">
      <formula>NOT(ISERROR(SEARCH(("No"),(P1015))))</formula>
    </cfRule>
  </conditionalFormatting>
  <conditionalFormatting sqref="P1015">
    <cfRule type="containsText" dxfId="2" priority="10978" operator="containsText" text="Yes">
      <formula>NOT(ISERROR(SEARCH(("Yes"),(P1015))))</formula>
    </cfRule>
  </conditionalFormatting>
  <conditionalFormatting sqref="P1015">
    <cfRule type="containsText" dxfId="9" priority="10979" operator="containsText" text="No">
      <formula>NOT(ISERROR(SEARCH(("No"),(P1015))))</formula>
    </cfRule>
  </conditionalFormatting>
  <conditionalFormatting sqref="P1015">
    <cfRule type="containsText" dxfId="2" priority="10980" operator="containsText" text="Yes">
      <formula>NOT(ISERROR(SEARCH(("Yes"),(P1015))))</formula>
    </cfRule>
  </conditionalFormatting>
  <conditionalFormatting sqref="P1015">
    <cfRule type="containsText" dxfId="9" priority="10981" operator="containsText" text="No">
      <formula>NOT(ISERROR(SEARCH(("No"),(P1015))))</formula>
    </cfRule>
  </conditionalFormatting>
  <conditionalFormatting sqref="P1015">
    <cfRule type="containsText" dxfId="2" priority="10982" operator="containsText" text="Yes">
      <formula>NOT(ISERROR(SEARCH(("Yes"),(P1015))))</formula>
    </cfRule>
  </conditionalFormatting>
  <conditionalFormatting sqref="P1015">
    <cfRule type="containsText" dxfId="9" priority="10983" operator="containsText" text="No">
      <formula>NOT(ISERROR(SEARCH(("No"),(P1015))))</formula>
    </cfRule>
  </conditionalFormatting>
  <conditionalFormatting sqref="P1015">
    <cfRule type="containsText" dxfId="2" priority="10984" operator="containsText" text="Yes">
      <formula>NOT(ISERROR(SEARCH(("Yes"),(P1015))))</formula>
    </cfRule>
  </conditionalFormatting>
  <conditionalFormatting sqref="P1015">
    <cfRule type="containsText" dxfId="9" priority="10985" operator="containsText" text="No">
      <formula>NOT(ISERROR(SEARCH(("No"),(P1015))))</formula>
    </cfRule>
  </conditionalFormatting>
  <conditionalFormatting sqref="P1015">
    <cfRule type="containsText" dxfId="2" priority="10986" operator="containsText" text="Yes">
      <formula>NOT(ISERROR(SEARCH(("Yes"),(P1015))))</formula>
    </cfRule>
  </conditionalFormatting>
  <conditionalFormatting sqref="P1015">
    <cfRule type="containsText" dxfId="9" priority="10987" operator="containsText" text="No">
      <formula>NOT(ISERROR(SEARCH(("No"),(P1015))))</formula>
    </cfRule>
  </conditionalFormatting>
  <conditionalFormatting sqref="P1015">
    <cfRule type="containsText" dxfId="2" priority="10988" operator="containsText" text="Yes">
      <formula>NOT(ISERROR(SEARCH(("Yes"),(P1015))))</formula>
    </cfRule>
  </conditionalFormatting>
  <conditionalFormatting sqref="P1015">
    <cfRule type="containsText" dxfId="9" priority="10989" operator="containsText" text="No">
      <formula>NOT(ISERROR(SEARCH(("No"),(P1015))))</formula>
    </cfRule>
  </conditionalFormatting>
  <conditionalFormatting sqref="P1015">
    <cfRule type="containsText" dxfId="2" priority="10990" operator="containsText" text="Yes">
      <formula>NOT(ISERROR(SEARCH(("Yes"),(P1015))))</formula>
    </cfRule>
  </conditionalFormatting>
  <conditionalFormatting sqref="P1015">
    <cfRule type="containsText" dxfId="9" priority="10991" operator="containsText" text="No">
      <formula>NOT(ISERROR(SEARCH(("No"),(P1015))))</formula>
    </cfRule>
  </conditionalFormatting>
  <conditionalFormatting sqref="P1015">
    <cfRule type="containsText" dxfId="2" priority="10992" operator="containsText" text="Yes">
      <formula>NOT(ISERROR(SEARCH(("Yes"),(P1015))))</formula>
    </cfRule>
  </conditionalFormatting>
  <conditionalFormatting sqref="P1015">
    <cfRule type="containsText" dxfId="9" priority="10993" operator="containsText" text="No">
      <formula>NOT(ISERROR(SEARCH(("No"),(P1015))))</formula>
    </cfRule>
  </conditionalFormatting>
  <conditionalFormatting sqref="P1015">
    <cfRule type="containsText" dxfId="2" priority="10994" operator="containsText" text="Yes">
      <formula>NOT(ISERROR(SEARCH(("Yes"),(P1015))))</formula>
    </cfRule>
  </conditionalFormatting>
  <conditionalFormatting sqref="P1015">
    <cfRule type="containsText" dxfId="9" priority="10995" operator="containsText" text="No">
      <formula>NOT(ISERROR(SEARCH(("No"),(P1015))))</formula>
    </cfRule>
  </conditionalFormatting>
  <conditionalFormatting sqref="P1015">
    <cfRule type="containsText" dxfId="2" priority="10996" operator="containsText" text="Yes">
      <formula>NOT(ISERROR(SEARCH(("Yes"),(P1015))))</formula>
    </cfRule>
  </conditionalFormatting>
  <conditionalFormatting sqref="P1015">
    <cfRule type="containsText" dxfId="9" priority="10997" operator="containsText" text="No">
      <formula>NOT(ISERROR(SEARCH(("No"),(P1015))))</formula>
    </cfRule>
  </conditionalFormatting>
  <conditionalFormatting sqref="P1015">
    <cfRule type="containsText" dxfId="2" priority="10998" operator="containsText" text="Yes">
      <formula>NOT(ISERROR(SEARCH(("Yes"),(P1015))))</formula>
    </cfRule>
  </conditionalFormatting>
  <conditionalFormatting sqref="P1015">
    <cfRule type="containsText" dxfId="9" priority="10999" operator="containsText" text="No">
      <formula>NOT(ISERROR(SEARCH(("No"),(P1015))))</formula>
    </cfRule>
  </conditionalFormatting>
  <conditionalFormatting sqref="P1015">
    <cfRule type="containsText" dxfId="2" priority="11000" operator="containsText" text="Yes">
      <formula>NOT(ISERROR(SEARCH(("Yes"),(P1015))))</formula>
    </cfRule>
  </conditionalFormatting>
  <conditionalFormatting sqref="P1015">
    <cfRule type="containsText" dxfId="9" priority="11001" operator="containsText" text="No">
      <formula>NOT(ISERROR(SEARCH(("No"),(P1015))))</formula>
    </cfRule>
  </conditionalFormatting>
  <conditionalFormatting sqref="P1015">
    <cfRule type="containsText" dxfId="2" priority="11002" operator="containsText" text="Yes">
      <formula>NOT(ISERROR(SEARCH(("Yes"),(P1015))))</formula>
    </cfRule>
  </conditionalFormatting>
  <conditionalFormatting sqref="P1015">
    <cfRule type="containsText" dxfId="9" priority="11003" operator="containsText" text="No">
      <formula>NOT(ISERROR(SEARCH(("No"),(P1015))))</formula>
    </cfRule>
  </conditionalFormatting>
  <conditionalFormatting sqref="P1015">
    <cfRule type="containsText" dxfId="2" priority="11004" operator="containsText" text="Yes">
      <formula>NOT(ISERROR(SEARCH(("Yes"),(P1015))))</formula>
    </cfRule>
  </conditionalFormatting>
  <conditionalFormatting sqref="P1015">
    <cfRule type="containsText" dxfId="2" priority="11005" operator="containsText" text="Yes">
      <formula>NOT(ISERROR(SEARCH(("Yes"),(P1015))))</formula>
    </cfRule>
  </conditionalFormatting>
  <conditionalFormatting sqref="P1015">
    <cfRule type="containsText" dxfId="9" priority="11006" operator="containsText" text="No">
      <formula>NOT(ISERROR(SEARCH(("No"),(P1015))))</formula>
    </cfRule>
  </conditionalFormatting>
  <conditionalFormatting sqref="P1015">
    <cfRule type="containsText" dxfId="2" priority="11007" operator="containsText" text="Yes">
      <formula>NOT(ISERROR(SEARCH(("Yes"),(P1015))))</formula>
    </cfRule>
  </conditionalFormatting>
  <conditionalFormatting sqref="P1018">
    <cfRule type="containsText" dxfId="2" priority="11008" operator="containsText" text="Yes">
      <formula>NOT(ISERROR(SEARCH(("Yes"),(P1018))))</formula>
    </cfRule>
  </conditionalFormatting>
  <conditionalFormatting sqref="P1018">
    <cfRule type="containsText" dxfId="9" priority="11009" operator="containsText" text="No">
      <formula>NOT(ISERROR(SEARCH(("No"),(P1018))))</formula>
    </cfRule>
  </conditionalFormatting>
  <conditionalFormatting sqref="P1018">
    <cfRule type="containsText" dxfId="2" priority="11010" operator="containsText" text="Yes">
      <formula>NOT(ISERROR(SEARCH(("Yes"),(P1018))))</formula>
    </cfRule>
  </conditionalFormatting>
  <conditionalFormatting sqref="P1018">
    <cfRule type="containsText" dxfId="9" priority="11011" operator="containsText" text="No">
      <formula>NOT(ISERROR(SEARCH(("No"),(P1018))))</formula>
    </cfRule>
  </conditionalFormatting>
  <conditionalFormatting sqref="P1018">
    <cfRule type="containsText" dxfId="2" priority="11012" operator="containsText" text="Yes">
      <formula>NOT(ISERROR(SEARCH(("Yes"),(P1018))))</formula>
    </cfRule>
  </conditionalFormatting>
  <conditionalFormatting sqref="P1018">
    <cfRule type="containsText" dxfId="9" priority="11013" operator="containsText" text="No">
      <formula>NOT(ISERROR(SEARCH(("No"),(P1018))))</formula>
    </cfRule>
  </conditionalFormatting>
  <conditionalFormatting sqref="P1018">
    <cfRule type="containsText" dxfId="2" priority="11014" operator="containsText" text="Yes">
      <formula>NOT(ISERROR(SEARCH(("Yes"),(P1018))))</formula>
    </cfRule>
  </conditionalFormatting>
  <conditionalFormatting sqref="P1018">
    <cfRule type="containsText" dxfId="9" priority="11015" operator="containsText" text="No">
      <formula>NOT(ISERROR(SEARCH(("No"),(P1018))))</formula>
    </cfRule>
  </conditionalFormatting>
  <conditionalFormatting sqref="P1018">
    <cfRule type="containsText" dxfId="2" priority="11016" operator="containsText" text="Yes">
      <formula>NOT(ISERROR(SEARCH(("Yes"),(P1018))))</formula>
    </cfRule>
  </conditionalFormatting>
  <conditionalFormatting sqref="P1018">
    <cfRule type="containsText" dxfId="9" priority="11017" operator="containsText" text="No">
      <formula>NOT(ISERROR(SEARCH(("No"),(P1018))))</formula>
    </cfRule>
  </conditionalFormatting>
  <conditionalFormatting sqref="P1018">
    <cfRule type="containsText" dxfId="2" priority="11018" operator="containsText" text="Yes">
      <formula>NOT(ISERROR(SEARCH(("Yes"),(P1018))))</formula>
    </cfRule>
  </conditionalFormatting>
  <conditionalFormatting sqref="P1018">
    <cfRule type="containsText" dxfId="9" priority="11019" operator="containsText" text="No">
      <formula>NOT(ISERROR(SEARCH(("No"),(P1018))))</formula>
    </cfRule>
  </conditionalFormatting>
  <conditionalFormatting sqref="P1018">
    <cfRule type="containsText" dxfId="2" priority="11020" operator="containsText" text="Yes">
      <formula>NOT(ISERROR(SEARCH(("Yes"),(P1018))))</formula>
    </cfRule>
  </conditionalFormatting>
  <conditionalFormatting sqref="P1018">
    <cfRule type="containsText" dxfId="9" priority="11021" operator="containsText" text="No">
      <formula>NOT(ISERROR(SEARCH(("No"),(P1018))))</formula>
    </cfRule>
  </conditionalFormatting>
  <conditionalFormatting sqref="P1018">
    <cfRule type="containsText" dxfId="2" priority="11022" operator="containsText" text="Yes">
      <formula>NOT(ISERROR(SEARCH(("Yes"),(P1018))))</formula>
    </cfRule>
  </conditionalFormatting>
  <conditionalFormatting sqref="P1018">
    <cfRule type="containsText" dxfId="9" priority="11023" operator="containsText" text="No">
      <formula>NOT(ISERROR(SEARCH(("No"),(P1018))))</formula>
    </cfRule>
  </conditionalFormatting>
  <conditionalFormatting sqref="P1018">
    <cfRule type="containsText" dxfId="2" priority="11024" operator="containsText" text="Yes">
      <formula>NOT(ISERROR(SEARCH(("Yes"),(P1018))))</formula>
    </cfRule>
  </conditionalFormatting>
  <conditionalFormatting sqref="P1018">
    <cfRule type="containsText" dxfId="9" priority="11025" operator="containsText" text="No">
      <formula>NOT(ISERROR(SEARCH(("No"),(P1018))))</formula>
    </cfRule>
  </conditionalFormatting>
  <conditionalFormatting sqref="P1018">
    <cfRule type="containsText" dxfId="2" priority="11026" operator="containsText" text="Yes">
      <formula>NOT(ISERROR(SEARCH(("Yes"),(P1018))))</formula>
    </cfRule>
  </conditionalFormatting>
  <conditionalFormatting sqref="P1018">
    <cfRule type="containsText" dxfId="9" priority="11027" operator="containsText" text="No">
      <formula>NOT(ISERROR(SEARCH(("No"),(P1018))))</formula>
    </cfRule>
  </conditionalFormatting>
  <conditionalFormatting sqref="P1018">
    <cfRule type="containsText" dxfId="2" priority="11028" operator="containsText" text="Yes">
      <formula>NOT(ISERROR(SEARCH(("Yes"),(P1018))))</formula>
    </cfRule>
  </conditionalFormatting>
  <conditionalFormatting sqref="P1018">
    <cfRule type="containsText" dxfId="9" priority="11029" operator="containsText" text="No">
      <formula>NOT(ISERROR(SEARCH(("No"),(P1018))))</formula>
    </cfRule>
  </conditionalFormatting>
  <conditionalFormatting sqref="P1018">
    <cfRule type="containsText" dxfId="2" priority="11030" operator="containsText" text="Yes">
      <formula>NOT(ISERROR(SEARCH(("Yes"),(P1018))))</formula>
    </cfRule>
  </conditionalFormatting>
  <conditionalFormatting sqref="P1018">
    <cfRule type="containsText" dxfId="9" priority="11031" operator="containsText" text="No">
      <formula>NOT(ISERROR(SEARCH(("No"),(P1018))))</formula>
    </cfRule>
  </conditionalFormatting>
  <conditionalFormatting sqref="P1018">
    <cfRule type="containsText" dxfId="2" priority="11032" operator="containsText" text="Yes">
      <formula>NOT(ISERROR(SEARCH(("Yes"),(P1018))))</formula>
    </cfRule>
  </conditionalFormatting>
  <conditionalFormatting sqref="P1018">
    <cfRule type="containsText" dxfId="9" priority="11033" operator="containsText" text="No">
      <formula>NOT(ISERROR(SEARCH(("No"),(P1018))))</formula>
    </cfRule>
  </conditionalFormatting>
  <conditionalFormatting sqref="P1018">
    <cfRule type="containsText" dxfId="2" priority="11034" operator="containsText" text="Yes">
      <formula>NOT(ISERROR(SEARCH(("Yes"),(P1018))))</formula>
    </cfRule>
  </conditionalFormatting>
  <conditionalFormatting sqref="P1018">
    <cfRule type="containsText" dxfId="9" priority="11035" operator="containsText" text="No">
      <formula>NOT(ISERROR(SEARCH(("No"),(P1018))))</formula>
    </cfRule>
  </conditionalFormatting>
  <conditionalFormatting sqref="P1018">
    <cfRule type="containsText" dxfId="2" priority="11036" operator="containsText" text="Yes">
      <formula>NOT(ISERROR(SEARCH(("Yes"),(P1018))))</formula>
    </cfRule>
  </conditionalFormatting>
  <conditionalFormatting sqref="P1018">
    <cfRule type="containsText" dxfId="9" priority="11037" operator="containsText" text="No">
      <formula>NOT(ISERROR(SEARCH(("No"),(P1018))))</formula>
    </cfRule>
  </conditionalFormatting>
  <conditionalFormatting sqref="P1018">
    <cfRule type="containsText" dxfId="2" priority="11038" operator="containsText" text="Yes">
      <formula>NOT(ISERROR(SEARCH(("Yes"),(P1018))))</formula>
    </cfRule>
  </conditionalFormatting>
  <conditionalFormatting sqref="P1018">
    <cfRule type="containsText" dxfId="9" priority="11039" operator="containsText" text="No">
      <formula>NOT(ISERROR(SEARCH(("No"),(P1018))))</formula>
    </cfRule>
  </conditionalFormatting>
  <conditionalFormatting sqref="P1018">
    <cfRule type="containsText" dxfId="2" priority="11040" operator="containsText" text="Yes">
      <formula>NOT(ISERROR(SEARCH(("Yes"),(P1018))))</formula>
    </cfRule>
  </conditionalFormatting>
  <conditionalFormatting sqref="P1018">
    <cfRule type="containsText" dxfId="9" priority="11041" operator="containsText" text="No">
      <formula>NOT(ISERROR(SEARCH(("No"),(P1018))))</formula>
    </cfRule>
  </conditionalFormatting>
  <conditionalFormatting sqref="P1018">
    <cfRule type="containsText" dxfId="2" priority="11042" operator="containsText" text="Yes">
      <formula>NOT(ISERROR(SEARCH(("Yes"),(P1018))))</formula>
    </cfRule>
  </conditionalFormatting>
  <conditionalFormatting sqref="P1018">
    <cfRule type="containsText" dxfId="9" priority="11043" operator="containsText" text="No">
      <formula>NOT(ISERROR(SEARCH(("No"),(P1018))))</formula>
    </cfRule>
  </conditionalFormatting>
  <conditionalFormatting sqref="P1018">
    <cfRule type="containsText" dxfId="2" priority="11044" operator="containsText" text="Yes">
      <formula>NOT(ISERROR(SEARCH(("Yes"),(P1018))))</formula>
    </cfRule>
  </conditionalFormatting>
  <conditionalFormatting sqref="P1018">
    <cfRule type="containsText" dxfId="9" priority="11045" operator="containsText" text="No">
      <formula>NOT(ISERROR(SEARCH(("No"),(P1018))))</formula>
    </cfRule>
  </conditionalFormatting>
  <conditionalFormatting sqref="P1018">
    <cfRule type="containsText" dxfId="2" priority="11046" operator="containsText" text="Yes">
      <formula>NOT(ISERROR(SEARCH(("Yes"),(P1018))))</formula>
    </cfRule>
  </conditionalFormatting>
  <conditionalFormatting sqref="P1018">
    <cfRule type="containsText" dxfId="9" priority="11047" operator="containsText" text="No">
      <formula>NOT(ISERROR(SEARCH(("No"),(P1018))))</formula>
    </cfRule>
  </conditionalFormatting>
  <conditionalFormatting sqref="P1018">
    <cfRule type="containsText" dxfId="2" priority="11048" operator="containsText" text="Yes">
      <formula>NOT(ISERROR(SEARCH(("Yes"),(P1018))))</formula>
    </cfRule>
  </conditionalFormatting>
  <conditionalFormatting sqref="P1018">
    <cfRule type="containsText" dxfId="9" priority="11049" operator="containsText" text="No">
      <formula>NOT(ISERROR(SEARCH(("No"),(P1018))))</formula>
    </cfRule>
  </conditionalFormatting>
  <conditionalFormatting sqref="P1018">
    <cfRule type="containsText" dxfId="2" priority="11050" operator="containsText" text="Yes">
      <formula>NOT(ISERROR(SEARCH(("Yes"),(P1018))))</formula>
    </cfRule>
  </conditionalFormatting>
  <conditionalFormatting sqref="P1018">
    <cfRule type="containsText" dxfId="9" priority="11051" operator="containsText" text="No">
      <formula>NOT(ISERROR(SEARCH(("No"),(P1018))))</formula>
    </cfRule>
  </conditionalFormatting>
  <conditionalFormatting sqref="P1018">
    <cfRule type="containsText" dxfId="2" priority="11052" operator="containsText" text="Yes">
      <formula>NOT(ISERROR(SEARCH(("Yes"),(P1018))))</formula>
    </cfRule>
  </conditionalFormatting>
  <conditionalFormatting sqref="P1018">
    <cfRule type="containsText" dxfId="9" priority="11053" operator="containsText" text="No">
      <formula>NOT(ISERROR(SEARCH(("No"),(P1018))))</formula>
    </cfRule>
  </conditionalFormatting>
  <conditionalFormatting sqref="P1018">
    <cfRule type="containsText" dxfId="2" priority="11054" operator="containsText" text="Yes">
      <formula>NOT(ISERROR(SEARCH(("Yes"),(P1018))))</formula>
    </cfRule>
  </conditionalFormatting>
  <conditionalFormatting sqref="P1018">
    <cfRule type="containsText" dxfId="9" priority="11055" operator="containsText" text="No">
      <formula>NOT(ISERROR(SEARCH(("No"),(P1018))))</formula>
    </cfRule>
  </conditionalFormatting>
  <conditionalFormatting sqref="P1018">
    <cfRule type="containsText" dxfId="2" priority="11056" operator="containsText" text="Yes">
      <formula>NOT(ISERROR(SEARCH(("Yes"),(P1018))))</formula>
    </cfRule>
  </conditionalFormatting>
  <conditionalFormatting sqref="P1018">
    <cfRule type="containsText" dxfId="9" priority="11057" operator="containsText" text="No">
      <formula>NOT(ISERROR(SEARCH(("No"),(P1018))))</formula>
    </cfRule>
  </conditionalFormatting>
  <conditionalFormatting sqref="P1018">
    <cfRule type="containsText" dxfId="2" priority="11058" operator="containsText" text="Yes">
      <formula>NOT(ISERROR(SEARCH(("Yes"),(P1018))))</formula>
    </cfRule>
  </conditionalFormatting>
  <conditionalFormatting sqref="P1018">
    <cfRule type="containsText" dxfId="9" priority="11059" operator="containsText" text="No">
      <formula>NOT(ISERROR(SEARCH(("No"),(P1018))))</formula>
    </cfRule>
  </conditionalFormatting>
  <conditionalFormatting sqref="P1018">
    <cfRule type="containsText" dxfId="2" priority="11060" operator="containsText" text="Yes">
      <formula>NOT(ISERROR(SEARCH(("Yes"),(P1018))))</formula>
    </cfRule>
  </conditionalFormatting>
  <conditionalFormatting sqref="P1018">
    <cfRule type="containsText" dxfId="9" priority="11061" operator="containsText" text="No">
      <formula>NOT(ISERROR(SEARCH(("No"),(P1018))))</formula>
    </cfRule>
  </conditionalFormatting>
  <conditionalFormatting sqref="P1018">
    <cfRule type="containsText" dxfId="2" priority="11062" operator="containsText" text="Yes">
      <formula>NOT(ISERROR(SEARCH(("Yes"),(P1018))))</formula>
    </cfRule>
  </conditionalFormatting>
  <conditionalFormatting sqref="P1018">
    <cfRule type="containsText" dxfId="9" priority="11063" operator="containsText" text="No">
      <formula>NOT(ISERROR(SEARCH(("No"),(P1018))))</formula>
    </cfRule>
  </conditionalFormatting>
  <conditionalFormatting sqref="P1018">
    <cfRule type="containsText" dxfId="2" priority="11064" operator="containsText" text="Yes">
      <formula>NOT(ISERROR(SEARCH(("Yes"),(P1018))))</formula>
    </cfRule>
  </conditionalFormatting>
  <conditionalFormatting sqref="P1018">
    <cfRule type="containsText" dxfId="9" priority="11065" operator="containsText" text="No">
      <formula>NOT(ISERROR(SEARCH(("No"),(P1018))))</formula>
    </cfRule>
  </conditionalFormatting>
  <conditionalFormatting sqref="P1018">
    <cfRule type="containsText" dxfId="2" priority="11066" operator="containsText" text="Yes">
      <formula>NOT(ISERROR(SEARCH(("Yes"),(P1018))))</formula>
    </cfRule>
  </conditionalFormatting>
  <conditionalFormatting sqref="P1018">
    <cfRule type="containsText" dxfId="9" priority="11067" operator="containsText" text="No">
      <formula>NOT(ISERROR(SEARCH(("No"),(P1018))))</formula>
    </cfRule>
  </conditionalFormatting>
  <conditionalFormatting sqref="P1018">
    <cfRule type="containsText" dxfId="2" priority="11068" operator="containsText" text="Yes">
      <formula>NOT(ISERROR(SEARCH(("Yes"),(P1018))))</formula>
    </cfRule>
  </conditionalFormatting>
  <conditionalFormatting sqref="P1018">
    <cfRule type="containsText" dxfId="9" priority="11069" operator="containsText" text="No">
      <formula>NOT(ISERROR(SEARCH(("No"),(P1018))))</formula>
    </cfRule>
  </conditionalFormatting>
  <conditionalFormatting sqref="P1018">
    <cfRule type="containsText" dxfId="2" priority="11070" operator="containsText" text="Yes">
      <formula>NOT(ISERROR(SEARCH(("Yes"),(P1018))))</formula>
    </cfRule>
  </conditionalFormatting>
  <conditionalFormatting sqref="P1018">
    <cfRule type="containsText" dxfId="9" priority="11071" operator="containsText" text="No">
      <formula>NOT(ISERROR(SEARCH(("No"),(P1018))))</formula>
    </cfRule>
  </conditionalFormatting>
  <conditionalFormatting sqref="P1018">
    <cfRule type="containsText" dxfId="2" priority="11072" operator="containsText" text="Yes">
      <formula>NOT(ISERROR(SEARCH(("Yes"),(P1018))))</formula>
    </cfRule>
  </conditionalFormatting>
  <conditionalFormatting sqref="P1018">
    <cfRule type="containsText" dxfId="9" priority="11073" operator="containsText" text="No">
      <formula>NOT(ISERROR(SEARCH(("No"),(P1018))))</formula>
    </cfRule>
  </conditionalFormatting>
  <conditionalFormatting sqref="P1018">
    <cfRule type="containsText" dxfId="2" priority="11074" operator="containsText" text="Yes">
      <formula>NOT(ISERROR(SEARCH(("Yes"),(P1018))))</formula>
    </cfRule>
  </conditionalFormatting>
  <conditionalFormatting sqref="P1018">
    <cfRule type="containsText" dxfId="9" priority="11075" operator="containsText" text="No">
      <formula>NOT(ISERROR(SEARCH(("No"),(P1018))))</formula>
    </cfRule>
  </conditionalFormatting>
  <conditionalFormatting sqref="P1018">
    <cfRule type="containsText" dxfId="2" priority="11076" operator="containsText" text="Yes">
      <formula>NOT(ISERROR(SEARCH(("Yes"),(P1018))))</formula>
    </cfRule>
  </conditionalFormatting>
  <conditionalFormatting sqref="P1018">
    <cfRule type="containsText" dxfId="9" priority="11077" operator="containsText" text="No">
      <formula>NOT(ISERROR(SEARCH(("No"),(P1018))))</formula>
    </cfRule>
  </conditionalFormatting>
  <conditionalFormatting sqref="P1018">
    <cfRule type="containsText" dxfId="2" priority="11078" operator="containsText" text="Yes">
      <formula>NOT(ISERROR(SEARCH(("Yes"),(P1018))))</formula>
    </cfRule>
  </conditionalFormatting>
  <conditionalFormatting sqref="P1018">
    <cfRule type="containsText" dxfId="9" priority="11079" operator="containsText" text="No">
      <formula>NOT(ISERROR(SEARCH(("No"),(P1018))))</formula>
    </cfRule>
  </conditionalFormatting>
  <conditionalFormatting sqref="P1018">
    <cfRule type="containsText" dxfId="2" priority="11080" operator="containsText" text="Yes">
      <formula>NOT(ISERROR(SEARCH(("Yes"),(P1018))))</formula>
    </cfRule>
  </conditionalFormatting>
  <conditionalFormatting sqref="P1018">
    <cfRule type="containsText" dxfId="9" priority="11081" operator="containsText" text="No">
      <formula>NOT(ISERROR(SEARCH(("No"),(P1018))))</formula>
    </cfRule>
  </conditionalFormatting>
  <conditionalFormatting sqref="P1018">
    <cfRule type="containsText" dxfId="2" priority="11082" operator="containsText" text="Yes">
      <formula>NOT(ISERROR(SEARCH(("Yes"),(P1018))))</formula>
    </cfRule>
  </conditionalFormatting>
  <conditionalFormatting sqref="P1018">
    <cfRule type="containsText" dxfId="9" priority="11083" operator="containsText" text="No">
      <formula>NOT(ISERROR(SEARCH(("No"),(P1018))))</formula>
    </cfRule>
  </conditionalFormatting>
  <conditionalFormatting sqref="P1018">
    <cfRule type="containsText" dxfId="2" priority="11084" operator="containsText" text="Yes">
      <formula>NOT(ISERROR(SEARCH(("Yes"),(P1018))))</formula>
    </cfRule>
  </conditionalFormatting>
  <conditionalFormatting sqref="P1018">
    <cfRule type="containsText" dxfId="9" priority="11085" operator="containsText" text="No">
      <formula>NOT(ISERROR(SEARCH(("No"),(P1018))))</formula>
    </cfRule>
  </conditionalFormatting>
  <conditionalFormatting sqref="P1018">
    <cfRule type="containsText" dxfId="2" priority="11086" operator="containsText" text="Yes">
      <formula>NOT(ISERROR(SEARCH(("Yes"),(P1018))))</formula>
    </cfRule>
  </conditionalFormatting>
  <conditionalFormatting sqref="P1018">
    <cfRule type="containsText" dxfId="9" priority="11087" operator="containsText" text="No">
      <formula>NOT(ISERROR(SEARCH(("No"),(P1018))))</formula>
    </cfRule>
  </conditionalFormatting>
  <conditionalFormatting sqref="P1018">
    <cfRule type="containsText" dxfId="2" priority="11088" operator="containsText" text="Yes">
      <formula>NOT(ISERROR(SEARCH(("Yes"),(P1018))))</formula>
    </cfRule>
  </conditionalFormatting>
  <conditionalFormatting sqref="P1018">
    <cfRule type="containsText" dxfId="9" priority="11089" operator="containsText" text="No">
      <formula>NOT(ISERROR(SEARCH(("No"),(P1018))))</formula>
    </cfRule>
  </conditionalFormatting>
  <conditionalFormatting sqref="P1018">
    <cfRule type="containsText" dxfId="2" priority="11090" operator="containsText" text="Yes">
      <formula>NOT(ISERROR(SEARCH(("Yes"),(P1018))))</formula>
    </cfRule>
  </conditionalFormatting>
  <conditionalFormatting sqref="P1018">
    <cfRule type="containsText" dxfId="9" priority="11091" operator="containsText" text="No">
      <formula>NOT(ISERROR(SEARCH(("No"),(P1018))))</formula>
    </cfRule>
  </conditionalFormatting>
  <conditionalFormatting sqref="P1018">
    <cfRule type="containsText" dxfId="2" priority="11092" operator="containsText" text="Yes">
      <formula>NOT(ISERROR(SEARCH(("Yes"),(P1018))))</formula>
    </cfRule>
  </conditionalFormatting>
  <conditionalFormatting sqref="P1018">
    <cfRule type="containsText" dxfId="9" priority="11093" operator="containsText" text="No">
      <formula>NOT(ISERROR(SEARCH(("No"),(P1018))))</formula>
    </cfRule>
  </conditionalFormatting>
  <conditionalFormatting sqref="P1018">
    <cfRule type="containsText" dxfId="2" priority="11094" operator="containsText" text="Yes">
      <formula>NOT(ISERROR(SEARCH(("Yes"),(P1018))))</formula>
    </cfRule>
  </conditionalFormatting>
  <conditionalFormatting sqref="P1018">
    <cfRule type="containsText" dxfId="9" priority="11095" operator="containsText" text="No">
      <formula>NOT(ISERROR(SEARCH(("No"),(P1018))))</formula>
    </cfRule>
  </conditionalFormatting>
  <conditionalFormatting sqref="P1018">
    <cfRule type="containsText" dxfId="2" priority="11096" operator="containsText" text="Yes">
      <formula>NOT(ISERROR(SEARCH(("Yes"),(P1018))))</formula>
    </cfRule>
  </conditionalFormatting>
  <conditionalFormatting sqref="P1018">
    <cfRule type="containsText" dxfId="2" priority="11097" operator="containsText" text="Yes">
      <formula>NOT(ISERROR(SEARCH(("Yes"),(P1018))))</formula>
    </cfRule>
  </conditionalFormatting>
  <conditionalFormatting sqref="P1018">
    <cfRule type="containsText" dxfId="9" priority="11098" operator="containsText" text="No">
      <formula>NOT(ISERROR(SEARCH(("No"),(P1018))))</formula>
    </cfRule>
  </conditionalFormatting>
  <conditionalFormatting sqref="P1018">
    <cfRule type="containsText" dxfId="2" priority="11099" operator="containsText" text="Yes">
      <formula>NOT(ISERROR(SEARCH(("Yes"),(P1018))))</formula>
    </cfRule>
  </conditionalFormatting>
  <conditionalFormatting sqref="P1019">
    <cfRule type="containsText" dxfId="2" priority="11100" operator="containsText" text="Yes">
      <formula>NOT(ISERROR(SEARCH(("Yes"),(P1019))))</formula>
    </cfRule>
  </conditionalFormatting>
  <conditionalFormatting sqref="P1019">
    <cfRule type="containsText" dxfId="9" priority="11101" operator="containsText" text="No">
      <formula>NOT(ISERROR(SEARCH(("No"),(P1019))))</formula>
    </cfRule>
  </conditionalFormatting>
  <conditionalFormatting sqref="P1019">
    <cfRule type="containsText" dxfId="2" priority="11102" operator="containsText" text="Yes">
      <formula>NOT(ISERROR(SEARCH(("Yes"),(P1019))))</formula>
    </cfRule>
  </conditionalFormatting>
  <conditionalFormatting sqref="P1019">
    <cfRule type="containsText" dxfId="9" priority="11103" operator="containsText" text="No">
      <formula>NOT(ISERROR(SEARCH(("No"),(P1019))))</formula>
    </cfRule>
  </conditionalFormatting>
  <conditionalFormatting sqref="P1019">
    <cfRule type="containsText" dxfId="2" priority="11104" operator="containsText" text="Yes">
      <formula>NOT(ISERROR(SEARCH(("Yes"),(P1019))))</formula>
    </cfRule>
  </conditionalFormatting>
  <conditionalFormatting sqref="P1019">
    <cfRule type="containsText" dxfId="9" priority="11105" operator="containsText" text="No">
      <formula>NOT(ISERROR(SEARCH(("No"),(P1019))))</formula>
    </cfRule>
  </conditionalFormatting>
  <conditionalFormatting sqref="P1019">
    <cfRule type="containsText" dxfId="2" priority="11106" operator="containsText" text="Yes">
      <formula>NOT(ISERROR(SEARCH(("Yes"),(P1019))))</formula>
    </cfRule>
  </conditionalFormatting>
  <conditionalFormatting sqref="P1019">
    <cfRule type="containsText" dxfId="9" priority="11107" operator="containsText" text="No">
      <formula>NOT(ISERROR(SEARCH(("No"),(P1019))))</formula>
    </cfRule>
  </conditionalFormatting>
  <conditionalFormatting sqref="P1019">
    <cfRule type="containsText" dxfId="2" priority="11108" operator="containsText" text="Yes">
      <formula>NOT(ISERROR(SEARCH(("Yes"),(P1019))))</formula>
    </cfRule>
  </conditionalFormatting>
  <conditionalFormatting sqref="P1019">
    <cfRule type="containsText" dxfId="9" priority="11109" operator="containsText" text="No">
      <formula>NOT(ISERROR(SEARCH(("No"),(P1019))))</formula>
    </cfRule>
  </conditionalFormatting>
  <conditionalFormatting sqref="P1019">
    <cfRule type="containsText" dxfId="2" priority="11110" operator="containsText" text="Yes">
      <formula>NOT(ISERROR(SEARCH(("Yes"),(P1019))))</formula>
    </cfRule>
  </conditionalFormatting>
  <conditionalFormatting sqref="P1019">
    <cfRule type="containsText" dxfId="9" priority="11111" operator="containsText" text="No">
      <formula>NOT(ISERROR(SEARCH(("No"),(P1019))))</formula>
    </cfRule>
  </conditionalFormatting>
  <conditionalFormatting sqref="P1019">
    <cfRule type="containsText" dxfId="2" priority="11112" operator="containsText" text="Yes">
      <formula>NOT(ISERROR(SEARCH(("Yes"),(P1019))))</formula>
    </cfRule>
  </conditionalFormatting>
  <conditionalFormatting sqref="P1019">
    <cfRule type="containsText" dxfId="9" priority="11113" operator="containsText" text="No">
      <formula>NOT(ISERROR(SEARCH(("No"),(P1019))))</formula>
    </cfRule>
  </conditionalFormatting>
  <conditionalFormatting sqref="P1019">
    <cfRule type="containsText" dxfId="2" priority="11114" operator="containsText" text="Yes">
      <formula>NOT(ISERROR(SEARCH(("Yes"),(P1019))))</formula>
    </cfRule>
  </conditionalFormatting>
  <conditionalFormatting sqref="P1019">
    <cfRule type="containsText" dxfId="9" priority="11115" operator="containsText" text="No">
      <formula>NOT(ISERROR(SEARCH(("No"),(P1019))))</formula>
    </cfRule>
  </conditionalFormatting>
  <conditionalFormatting sqref="P1019">
    <cfRule type="containsText" dxfId="2" priority="11116" operator="containsText" text="Yes">
      <formula>NOT(ISERROR(SEARCH(("Yes"),(P1019))))</formula>
    </cfRule>
  </conditionalFormatting>
  <conditionalFormatting sqref="P1019">
    <cfRule type="containsText" dxfId="9" priority="11117" operator="containsText" text="No">
      <formula>NOT(ISERROR(SEARCH(("No"),(P1019))))</formula>
    </cfRule>
  </conditionalFormatting>
  <conditionalFormatting sqref="P1019">
    <cfRule type="containsText" dxfId="2" priority="11118" operator="containsText" text="Yes">
      <formula>NOT(ISERROR(SEARCH(("Yes"),(P1019))))</formula>
    </cfRule>
  </conditionalFormatting>
  <conditionalFormatting sqref="P1019">
    <cfRule type="containsText" dxfId="9" priority="11119" operator="containsText" text="No">
      <formula>NOT(ISERROR(SEARCH(("No"),(P1019))))</formula>
    </cfRule>
  </conditionalFormatting>
  <conditionalFormatting sqref="P1019">
    <cfRule type="containsText" dxfId="2" priority="11120" operator="containsText" text="Yes">
      <formula>NOT(ISERROR(SEARCH(("Yes"),(P1019))))</formula>
    </cfRule>
  </conditionalFormatting>
  <conditionalFormatting sqref="P1019">
    <cfRule type="containsText" dxfId="9" priority="11121" operator="containsText" text="No">
      <formula>NOT(ISERROR(SEARCH(("No"),(P1019))))</formula>
    </cfRule>
  </conditionalFormatting>
  <conditionalFormatting sqref="P1019">
    <cfRule type="containsText" dxfId="2" priority="11122" operator="containsText" text="Yes">
      <formula>NOT(ISERROR(SEARCH(("Yes"),(P1019))))</formula>
    </cfRule>
  </conditionalFormatting>
  <conditionalFormatting sqref="P1019">
    <cfRule type="containsText" dxfId="9" priority="11123" operator="containsText" text="No">
      <formula>NOT(ISERROR(SEARCH(("No"),(P1019))))</formula>
    </cfRule>
  </conditionalFormatting>
  <conditionalFormatting sqref="P1019">
    <cfRule type="containsText" dxfId="2" priority="11124" operator="containsText" text="Yes">
      <formula>NOT(ISERROR(SEARCH(("Yes"),(P1019))))</formula>
    </cfRule>
  </conditionalFormatting>
  <conditionalFormatting sqref="P1019">
    <cfRule type="containsText" dxfId="9" priority="11125" operator="containsText" text="No">
      <formula>NOT(ISERROR(SEARCH(("No"),(P1019))))</formula>
    </cfRule>
  </conditionalFormatting>
  <conditionalFormatting sqref="P1019">
    <cfRule type="containsText" dxfId="2" priority="11126" operator="containsText" text="Yes">
      <formula>NOT(ISERROR(SEARCH(("Yes"),(P1019))))</formula>
    </cfRule>
  </conditionalFormatting>
  <conditionalFormatting sqref="P1019">
    <cfRule type="containsText" dxfId="9" priority="11127" operator="containsText" text="No">
      <formula>NOT(ISERROR(SEARCH(("No"),(P1019))))</formula>
    </cfRule>
  </conditionalFormatting>
  <conditionalFormatting sqref="P1019">
    <cfRule type="containsText" dxfId="2" priority="11128" operator="containsText" text="Yes">
      <formula>NOT(ISERROR(SEARCH(("Yes"),(P1019))))</formula>
    </cfRule>
  </conditionalFormatting>
  <conditionalFormatting sqref="P1019">
    <cfRule type="containsText" dxfId="9" priority="11129" operator="containsText" text="No">
      <formula>NOT(ISERROR(SEARCH(("No"),(P1019))))</formula>
    </cfRule>
  </conditionalFormatting>
  <conditionalFormatting sqref="P1019">
    <cfRule type="containsText" dxfId="2" priority="11130" operator="containsText" text="Yes">
      <formula>NOT(ISERROR(SEARCH(("Yes"),(P1019))))</formula>
    </cfRule>
  </conditionalFormatting>
  <conditionalFormatting sqref="P1019">
    <cfRule type="containsText" dxfId="9" priority="11131" operator="containsText" text="No">
      <formula>NOT(ISERROR(SEARCH(("No"),(P1019))))</formula>
    </cfRule>
  </conditionalFormatting>
  <conditionalFormatting sqref="P1019">
    <cfRule type="containsText" dxfId="2" priority="11132" operator="containsText" text="Yes">
      <formula>NOT(ISERROR(SEARCH(("Yes"),(P1019))))</formula>
    </cfRule>
  </conditionalFormatting>
  <conditionalFormatting sqref="P1019">
    <cfRule type="containsText" dxfId="9" priority="11133" operator="containsText" text="No">
      <formula>NOT(ISERROR(SEARCH(("No"),(P1019))))</formula>
    </cfRule>
  </conditionalFormatting>
  <conditionalFormatting sqref="P1019">
    <cfRule type="containsText" dxfId="2" priority="11134" operator="containsText" text="Yes">
      <formula>NOT(ISERROR(SEARCH(("Yes"),(P1019))))</formula>
    </cfRule>
  </conditionalFormatting>
  <conditionalFormatting sqref="P1019">
    <cfRule type="containsText" dxfId="9" priority="11135" operator="containsText" text="No">
      <formula>NOT(ISERROR(SEARCH(("No"),(P1019))))</formula>
    </cfRule>
  </conditionalFormatting>
  <conditionalFormatting sqref="P1019">
    <cfRule type="containsText" dxfId="2" priority="11136" operator="containsText" text="Yes">
      <formula>NOT(ISERROR(SEARCH(("Yes"),(P1019))))</formula>
    </cfRule>
  </conditionalFormatting>
  <conditionalFormatting sqref="P1019">
    <cfRule type="containsText" dxfId="9" priority="11137" operator="containsText" text="No">
      <formula>NOT(ISERROR(SEARCH(("No"),(P1019))))</formula>
    </cfRule>
  </conditionalFormatting>
  <conditionalFormatting sqref="P1019">
    <cfRule type="containsText" dxfId="2" priority="11138" operator="containsText" text="Yes">
      <formula>NOT(ISERROR(SEARCH(("Yes"),(P1019))))</formula>
    </cfRule>
  </conditionalFormatting>
  <conditionalFormatting sqref="P1019">
    <cfRule type="containsText" dxfId="9" priority="11139" operator="containsText" text="No">
      <formula>NOT(ISERROR(SEARCH(("No"),(P1019))))</formula>
    </cfRule>
  </conditionalFormatting>
  <conditionalFormatting sqref="P1019">
    <cfRule type="containsText" dxfId="2" priority="11140" operator="containsText" text="Yes">
      <formula>NOT(ISERROR(SEARCH(("Yes"),(P1019))))</formula>
    </cfRule>
  </conditionalFormatting>
  <conditionalFormatting sqref="P1019">
    <cfRule type="containsText" dxfId="9" priority="11141" operator="containsText" text="No">
      <formula>NOT(ISERROR(SEARCH(("No"),(P1019))))</formula>
    </cfRule>
  </conditionalFormatting>
  <conditionalFormatting sqref="P1019">
    <cfRule type="containsText" dxfId="2" priority="11142" operator="containsText" text="Yes">
      <formula>NOT(ISERROR(SEARCH(("Yes"),(P1019))))</formula>
    </cfRule>
  </conditionalFormatting>
  <conditionalFormatting sqref="P1019">
    <cfRule type="containsText" dxfId="9" priority="11143" operator="containsText" text="No">
      <formula>NOT(ISERROR(SEARCH(("No"),(P1019))))</formula>
    </cfRule>
  </conditionalFormatting>
  <conditionalFormatting sqref="P1019">
    <cfRule type="containsText" dxfId="2" priority="11144" operator="containsText" text="Yes">
      <formula>NOT(ISERROR(SEARCH(("Yes"),(P1019))))</formula>
    </cfRule>
  </conditionalFormatting>
  <conditionalFormatting sqref="P1019">
    <cfRule type="containsText" dxfId="9" priority="11145" operator="containsText" text="No">
      <formula>NOT(ISERROR(SEARCH(("No"),(P1019))))</formula>
    </cfRule>
  </conditionalFormatting>
  <conditionalFormatting sqref="P1019">
    <cfRule type="containsText" dxfId="2" priority="11146" operator="containsText" text="Yes">
      <formula>NOT(ISERROR(SEARCH(("Yes"),(P1019))))</formula>
    </cfRule>
  </conditionalFormatting>
  <conditionalFormatting sqref="P1019">
    <cfRule type="containsText" dxfId="9" priority="11147" operator="containsText" text="No">
      <formula>NOT(ISERROR(SEARCH(("No"),(P1019))))</formula>
    </cfRule>
  </conditionalFormatting>
  <conditionalFormatting sqref="P1019">
    <cfRule type="containsText" dxfId="2" priority="11148" operator="containsText" text="Yes">
      <formula>NOT(ISERROR(SEARCH(("Yes"),(P1019))))</formula>
    </cfRule>
  </conditionalFormatting>
  <conditionalFormatting sqref="P1019">
    <cfRule type="containsText" dxfId="9" priority="11149" operator="containsText" text="No">
      <formula>NOT(ISERROR(SEARCH(("No"),(P1019))))</formula>
    </cfRule>
  </conditionalFormatting>
  <conditionalFormatting sqref="P1019">
    <cfRule type="containsText" dxfId="2" priority="11150" operator="containsText" text="Yes">
      <formula>NOT(ISERROR(SEARCH(("Yes"),(P1019))))</formula>
    </cfRule>
  </conditionalFormatting>
  <conditionalFormatting sqref="P1019">
    <cfRule type="containsText" dxfId="9" priority="11151" operator="containsText" text="No">
      <formula>NOT(ISERROR(SEARCH(("No"),(P1019))))</formula>
    </cfRule>
  </conditionalFormatting>
  <conditionalFormatting sqref="P1019">
    <cfRule type="containsText" dxfId="2" priority="11152" operator="containsText" text="Yes">
      <formula>NOT(ISERROR(SEARCH(("Yes"),(P1019))))</formula>
    </cfRule>
  </conditionalFormatting>
  <conditionalFormatting sqref="P1019">
    <cfRule type="containsText" dxfId="9" priority="11153" operator="containsText" text="No">
      <formula>NOT(ISERROR(SEARCH(("No"),(P1019))))</formula>
    </cfRule>
  </conditionalFormatting>
  <conditionalFormatting sqref="P1019">
    <cfRule type="containsText" dxfId="2" priority="11154" operator="containsText" text="Yes">
      <formula>NOT(ISERROR(SEARCH(("Yes"),(P1019))))</formula>
    </cfRule>
  </conditionalFormatting>
  <conditionalFormatting sqref="P1019">
    <cfRule type="containsText" dxfId="9" priority="11155" operator="containsText" text="No">
      <formula>NOT(ISERROR(SEARCH(("No"),(P1019))))</formula>
    </cfRule>
  </conditionalFormatting>
  <conditionalFormatting sqref="P1019">
    <cfRule type="containsText" dxfId="2" priority="11156" operator="containsText" text="Yes">
      <formula>NOT(ISERROR(SEARCH(("Yes"),(P1019))))</formula>
    </cfRule>
  </conditionalFormatting>
  <conditionalFormatting sqref="P1019">
    <cfRule type="containsText" dxfId="9" priority="11157" operator="containsText" text="No">
      <formula>NOT(ISERROR(SEARCH(("No"),(P1019))))</formula>
    </cfRule>
  </conditionalFormatting>
  <conditionalFormatting sqref="P1019">
    <cfRule type="containsText" dxfId="2" priority="11158" operator="containsText" text="Yes">
      <formula>NOT(ISERROR(SEARCH(("Yes"),(P1019))))</formula>
    </cfRule>
  </conditionalFormatting>
  <conditionalFormatting sqref="P1019">
    <cfRule type="containsText" dxfId="9" priority="11159" operator="containsText" text="No">
      <formula>NOT(ISERROR(SEARCH(("No"),(P1019))))</formula>
    </cfRule>
  </conditionalFormatting>
  <conditionalFormatting sqref="P1019">
    <cfRule type="containsText" dxfId="2" priority="11160" operator="containsText" text="Yes">
      <formula>NOT(ISERROR(SEARCH(("Yes"),(P1019))))</formula>
    </cfRule>
  </conditionalFormatting>
  <conditionalFormatting sqref="P1019">
    <cfRule type="containsText" dxfId="9" priority="11161" operator="containsText" text="No">
      <formula>NOT(ISERROR(SEARCH(("No"),(P1019))))</formula>
    </cfRule>
  </conditionalFormatting>
  <conditionalFormatting sqref="P1019">
    <cfRule type="containsText" dxfId="2" priority="11162" operator="containsText" text="Yes">
      <formula>NOT(ISERROR(SEARCH(("Yes"),(P1019))))</formula>
    </cfRule>
  </conditionalFormatting>
  <conditionalFormatting sqref="P1019">
    <cfRule type="containsText" dxfId="9" priority="11163" operator="containsText" text="No">
      <formula>NOT(ISERROR(SEARCH(("No"),(P1019))))</formula>
    </cfRule>
  </conditionalFormatting>
  <conditionalFormatting sqref="P1019">
    <cfRule type="containsText" dxfId="2" priority="11164" operator="containsText" text="Yes">
      <formula>NOT(ISERROR(SEARCH(("Yes"),(P1019))))</formula>
    </cfRule>
  </conditionalFormatting>
  <conditionalFormatting sqref="P1019">
    <cfRule type="containsText" dxfId="9" priority="11165" operator="containsText" text="No">
      <formula>NOT(ISERROR(SEARCH(("No"),(P1019))))</formula>
    </cfRule>
  </conditionalFormatting>
  <conditionalFormatting sqref="P1019">
    <cfRule type="containsText" dxfId="2" priority="11166" operator="containsText" text="Yes">
      <formula>NOT(ISERROR(SEARCH(("Yes"),(P1019))))</formula>
    </cfRule>
  </conditionalFormatting>
  <conditionalFormatting sqref="P1019">
    <cfRule type="containsText" dxfId="9" priority="11167" operator="containsText" text="No">
      <formula>NOT(ISERROR(SEARCH(("No"),(P1019))))</formula>
    </cfRule>
  </conditionalFormatting>
  <conditionalFormatting sqref="P1019">
    <cfRule type="containsText" dxfId="2" priority="11168" operator="containsText" text="Yes">
      <formula>NOT(ISERROR(SEARCH(("Yes"),(P1019))))</formula>
    </cfRule>
  </conditionalFormatting>
  <conditionalFormatting sqref="P1019">
    <cfRule type="containsText" dxfId="9" priority="11169" operator="containsText" text="No">
      <formula>NOT(ISERROR(SEARCH(("No"),(P1019))))</formula>
    </cfRule>
  </conditionalFormatting>
  <conditionalFormatting sqref="P1019">
    <cfRule type="containsText" dxfId="2" priority="11170" operator="containsText" text="Yes">
      <formula>NOT(ISERROR(SEARCH(("Yes"),(P1019))))</formula>
    </cfRule>
  </conditionalFormatting>
  <conditionalFormatting sqref="P1019">
    <cfRule type="containsText" dxfId="9" priority="11171" operator="containsText" text="No">
      <formula>NOT(ISERROR(SEARCH(("No"),(P1019))))</formula>
    </cfRule>
  </conditionalFormatting>
  <conditionalFormatting sqref="P1019">
    <cfRule type="containsText" dxfId="2" priority="11172" operator="containsText" text="Yes">
      <formula>NOT(ISERROR(SEARCH(("Yes"),(P1019))))</formula>
    </cfRule>
  </conditionalFormatting>
  <conditionalFormatting sqref="P1019">
    <cfRule type="containsText" dxfId="9" priority="11173" operator="containsText" text="No">
      <formula>NOT(ISERROR(SEARCH(("No"),(P1019))))</formula>
    </cfRule>
  </conditionalFormatting>
  <conditionalFormatting sqref="P1019">
    <cfRule type="containsText" dxfId="2" priority="11174" operator="containsText" text="Yes">
      <formula>NOT(ISERROR(SEARCH(("Yes"),(P1019))))</formula>
    </cfRule>
  </conditionalFormatting>
  <conditionalFormatting sqref="P1019">
    <cfRule type="containsText" dxfId="9" priority="11175" operator="containsText" text="No">
      <formula>NOT(ISERROR(SEARCH(("No"),(P1019))))</formula>
    </cfRule>
  </conditionalFormatting>
  <conditionalFormatting sqref="P1019">
    <cfRule type="containsText" dxfId="2" priority="11176" operator="containsText" text="Yes">
      <formula>NOT(ISERROR(SEARCH(("Yes"),(P1019))))</formula>
    </cfRule>
  </conditionalFormatting>
  <conditionalFormatting sqref="P1019">
    <cfRule type="containsText" dxfId="9" priority="11177" operator="containsText" text="No">
      <formula>NOT(ISERROR(SEARCH(("No"),(P1019))))</formula>
    </cfRule>
  </conditionalFormatting>
  <conditionalFormatting sqref="P1019">
    <cfRule type="containsText" dxfId="2" priority="11178" operator="containsText" text="Yes">
      <formula>NOT(ISERROR(SEARCH(("Yes"),(P1019))))</formula>
    </cfRule>
  </conditionalFormatting>
  <conditionalFormatting sqref="P1019">
    <cfRule type="containsText" dxfId="9" priority="11179" operator="containsText" text="No">
      <formula>NOT(ISERROR(SEARCH(("No"),(P1019))))</formula>
    </cfRule>
  </conditionalFormatting>
  <conditionalFormatting sqref="P1019">
    <cfRule type="containsText" dxfId="2" priority="11180" operator="containsText" text="Yes">
      <formula>NOT(ISERROR(SEARCH(("Yes"),(P1019))))</formula>
    </cfRule>
  </conditionalFormatting>
  <conditionalFormatting sqref="P1019">
    <cfRule type="containsText" dxfId="9" priority="11181" operator="containsText" text="No">
      <formula>NOT(ISERROR(SEARCH(("No"),(P1019))))</formula>
    </cfRule>
  </conditionalFormatting>
  <conditionalFormatting sqref="P1019">
    <cfRule type="containsText" dxfId="2" priority="11182" operator="containsText" text="Yes">
      <formula>NOT(ISERROR(SEARCH(("Yes"),(P1019))))</formula>
    </cfRule>
  </conditionalFormatting>
  <conditionalFormatting sqref="P1019">
    <cfRule type="containsText" dxfId="9" priority="11183" operator="containsText" text="No">
      <formula>NOT(ISERROR(SEARCH(("No"),(P1019))))</formula>
    </cfRule>
  </conditionalFormatting>
  <conditionalFormatting sqref="P1019">
    <cfRule type="containsText" dxfId="2" priority="11184" operator="containsText" text="Yes">
      <formula>NOT(ISERROR(SEARCH(("Yes"),(P1019))))</formula>
    </cfRule>
  </conditionalFormatting>
  <conditionalFormatting sqref="P1019">
    <cfRule type="containsText" dxfId="9" priority="11185" operator="containsText" text="No">
      <formula>NOT(ISERROR(SEARCH(("No"),(P1019))))</formula>
    </cfRule>
  </conditionalFormatting>
  <conditionalFormatting sqref="P1019">
    <cfRule type="containsText" dxfId="2" priority="11186" operator="containsText" text="Yes">
      <formula>NOT(ISERROR(SEARCH(("Yes"),(P1019))))</formula>
    </cfRule>
  </conditionalFormatting>
  <conditionalFormatting sqref="P1019">
    <cfRule type="containsText" dxfId="9" priority="11187" operator="containsText" text="No">
      <formula>NOT(ISERROR(SEARCH(("No"),(P1019))))</formula>
    </cfRule>
  </conditionalFormatting>
  <conditionalFormatting sqref="P1019">
    <cfRule type="containsText" dxfId="2" priority="11188" operator="containsText" text="Yes">
      <formula>NOT(ISERROR(SEARCH(("Yes"),(P1019))))</formula>
    </cfRule>
  </conditionalFormatting>
  <conditionalFormatting sqref="P1019">
    <cfRule type="containsText" dxfId="2" priority="11189" operator="containsText" text="Yes">
      <formula>NOT(ISERROR(SEARCH(("Yes"),(P1019))))</formula>
    </cfRule>
  </conditionalFormatting>
  <conditionalFormatting sqref="P1019">
    <cfRule type="containsText" dxfId="9" priority="11190" operator="containsText" text="No">
      <formula>NOT(ISERROR(SEARCH(("No"),(P1019))))</formula>
    </cfRule>
  </conditionalFormatting>
  <conditionalFormatting sqref="P1019">
    <cfRule type="containsText" dxfId="2" priority="11191" operator="containsText" text="Yes">
      <formula>NOT(ISERROR(SEARCH(("Yes"),(P1019))))</formula>
    </cfRule>
  </conditionalFormatting>
  <conditionalFormatting sqref="P1020:P1022">
    <cfRule type="containsText" dxfId="2" priority="11192" operator="containsText" text="Yes">
      <formula>NOT(ISERROR(SEARCH(("Yes"),(P1020))))</formula>
    </cfRule>
  </conditionalFormatting>
  <conditionalFormatting sqref="P1020:P1022">
    <cfRule type="containsText" dxfId="9" priority="11193" operator="containsText" text="No">
      <formula>NOT(ISERROR(SEARCH(("No"),(P1020))))</formula>
    </cfRule>
  </conditionalFormatting>
  <conditionalFormatting sqref="P1020:P1022">
    <cfRule type="containsText" dxfId="2" priority="11194" operator="containsText" text="Yes">
      <formula>NOT(ISERROR(SEARCH(("Yes"),(P1020))))</formula>
    </cfRule>
  </conditionalFormatting>
  <conditionalFormatting sqref="P1020:P1022">
    <cfRule type="containsText" dxfId="9" priority="11195" operator="containsText" text="No">
      <formula>NOT(ISERROR(SEARCH(("No"),(P1020))))</formula>
    </cfRule>
  </conditionalFormatting>
  <conditionalFormatting sqref="P1020:P1022">
    <cfRule type="containsText" dxfId="2" priority="11196" operator="containsText" text="Yes">
      <formula>NOT(ISERROR(SEARCH(("Yes"),(P1020))))</formula>
    </cfRule>
  </conditionalFormatting>
  <conditionalFormatting sqref="P1020:P1022">
    <cfRule type="containsText" dxfId="9" priority="11197" operator="containsText" text="No">
      <formula>NOT(ISERROR(SEARCH(("No"),(P1020))))</formula>
    </cfRule>
  </conditionalFormatting>
  <conditionalFormatting sqref="P1020:P1022">
    <cfRule type="containsText" dxfId="2" priority="11198" operator="containsText" text="Yes">
      <formula>NOT(ISERROR(SEARCH(("Yes"),(P1020))))</formula>
    </cfRule>
  </conditionalFormatting>
  <conditionalFormatting sqref="P1020:P1022">
    <cfRule type="containsText" dxfId="9" priority="11199" operator="containsText" text="No">
      <formula>NOT(ISERROR(SEARCH(("No"),(P1020))))</formula>
    </cfRule>
  </conditionalFormatting>
  <conditionalFormatting sqref="P1020:P1022">
    <cfRule type="containsText" dxfId="2" priority="11200" operator="containsText" text="Yes">
      <formula>NOT(ISERROR(SEARCH(("Yes"),(P1020))))</formula>
    </cfRule>
  </conditionalFormatting>
  <conditionalFormatting sqref="P1020:P1022">
    <cfRule type="containsText" dxfId="9" priority="11201" operator="containsText" text="No">
      <formula>NOT(ISERROR(SEARCH(("No"),(P1020))))</formula>
    </cfRule>
  </conditionalFormatting>
  <conditionalFormatting sqref="P1020:P1022">
    <cfRule type="containsText" dxfId="2" priority="11202" operator="containsText" text="Yes">
      <formula>NOT(ISERROR(SEARCH(("Yes"),(P1020))))</formula>
    </cfRule>
  </conditionalFormatting>
  <conditionalFormatting sqref="P1020:P1022">
    <cfRule type="containsText" dxfId="9" priority="11203" operator="containsText" text="No">
      <formula>NOT(ISERROR(SEARCH(("No"),(P1020))))</formula>
    </cfRule>
  </conditionalFormatting>
  <conditionalFormatting sqref="P1020:P1022">
    <cfRule type="containsText" dxfId="2" priority="11204" operator="containsText" text="Yes">
      <formula>NOT(ISERROR(SEARCH(("Yes"),(P1020))))</formula>
    </cfRule>
  </conditionalFormatting>
  <conditionalFormatting sqref="P1020:P1022">
    <cfRule type="containsText" dxfId="9" priority="11205" operator="containsText" text="No">
      <formula>NOT(ISERROR(SEARCH(("No"),(P1020))))</formula>
    </cfRule>
  </conditionalFormatting>
  <conditionalFormatting sqref="P1020:P1022">
    <cfRule type="containsText" dxfId="2" priority="11206" operator="containsText" text="Yes">
      <formula>NOT(ISERROR(SEARCH(("Yes"),(P1020))))</formula>
    </cfRule>
  </conditionalFormatting>
  <conditionalFormatting sqref="P1020:P1022">
    <cfRule type="containsText" dxfId="9" priority="11207" operator="containsText" text="No">
      <formula>NOT(ISERROR(SEARCH(("No"),(P1020))))</formula>
    </cfRule>
  </conditionalFormatting>
  <conditionalFormatting sqref="P1020:P1022">
    <cfRule type="containsText" dxfId="2" priority="11208" operator="containsText" text="Yes">
      <formula>NOT(ISERROR(SEARCH(("Yes"),(P1020))))</formula>
    </cfRule>
  </conditionalFormatting>
  <conditionalFormatting sqref="P1020:P1022">
    <cfRule type="containsText" dxfId="9" priority="11209" operator="containsText" text="No">
      <formula>NOT(ISERROR(SEARCH(("No"),(P1020))))</formula>
    </cfRule>
  </conditionalFormatting>
  <conditionalFormatting sqref="P1020:P1022">
    <cfRule type="containsText" dxfId="2" priority="11210" operator="containsText" text="Yes">
      <formula>NOT(ISERROR(SEARCH(("Yes"),(P1020))))</formula>
    </cfRule>
  </conditionalFormatting>
  <conditionalFormatting sqref="P1020:P1022">
    <cfRule type="containsText" dxfId="9" priority="11211" operator="containsText" text="No">
      <formula>NOT(ISERROR(SEARCH(("No"),(P1020))))</formula>
    </cfRule>
  </conditionalFormatting>
  <conditionalFormatting sqref="P1020:P1022">
    <cfRule type="containsText" dxfId="2" priority="11212" operator="containsText" text="Yes">
      <formula>NOT(ISERROR(SEARCH(("Yes"),(P1020))))</formula>
    </cfRule>
  </conditionalFormatting>
  <conditionalFormatting sqref="P1020:P1022">
    <cfRule type="containsText" dxfId="9" priority="11213" operator="containsText" text="No">
      <formula>NOT(ISERROR(SEARCH(("No"),(P1020))))</formula>
    </cfRule>
  </conditionalFormatting>
  <conditionalFormatting sqref="P1020:P1022">
    <cfRule type="containsText" dxfId="2" priority="11214" operator="containsText" text="Yes">
      <formula>NOT(ISERROR(SEARCH(("Yes"),(P1020))))</formula>
    </cfRule>
  </conditionalFormatting>
  <conditionalFormatting sqref="P1020:P1022">
    <cfRule type="containsText" dxfId="9" priority="11215" operator="containsText" text="No">
      <formula>NOT(ISERROR(SEARCH(("No"),(P1020))))</formula>
    </cfRule>
  </conditionalFormatting>
  <conditionalFormatting sqref="P1020:P1022">
    <cfRule type="containsText" dxfId="2" priority="11216" operator="containsText" text="Yes">
      <formula>NOT(ISERROR(SEARCH(("Yes"),(P1020))))</formula>
    </cfRule>
  </conditionalFormatting>
  <conditionalFormatting sqref="P1020:P1022">
    <cfRule type="containsText" dxfId="9" priority="11217" operator="containsText" text="No">
      <formula>NOT(ISERROR(SEARCH(("No"),(P1020))))</formula>
    </cfRule>
  </conditionalFormatting>
  <conditionalFormatting sqref="P1020:P1022">
    <cfRule type="containsText" dxfId="2" priority="11218" operator="containsText" text="Yes">
      <formula>NOT(ISERROR(SEARCH(("Yes"),(P1020))))</formula>
    </cfRule>
  </conditionalFormatting>
  <conditionalFormatting sqref="P1020:P1022">
    <cfRule type="containsText" dxfId="9" priority="11219" operator="containsText" text="No">
      <formula>NOT(ISERROR(SEARCH(("No"),(P1020))))</formula>
    </cfRule>
  </conditionalFormatting>
  <conditionalFormatting sqref="P1020:P1022">
    <cfRule type="containsText" dxfId="2" priority="11220" operator="containsText" text="Yes">
      <formula>NOT(ISERROR(SEARCH(("Yes"),(P1020))))</formula>
    </cfRule>
  </conditionalFormatting>
  <conditionalFormatting sqref="P1020:P1022">
    <cfRule type="containsText" dxfId="9" priority="11221" operator="containsText" text="No">
      <formula>NOT(ISERROR(SEARCH(("No"),(P1020))))</formula>
    </cfRule>
  </conditionalFormatting>
  <conditionalFormatting sqref="P1020:P1022">
    <cfRule type="containsText" dxfId="2" priority="11222" operator="containsText" text="Yes">
      <formula>NOT(ISERROR(SEARCH(("Yes"),(P1020))))</formula>
    </cfRule>
  </conditionalFormatting>
  <conditionalFormatting sqref="P1020:P1022">
    <cfRule type="containsText" dxfId="9" priority="11223" operator="containsText" text="No">
      <formula>NOT(ISERROR(SEARCH(("No"),(P1020))))</formula>
    </cfRule>
  </conditionalFormatting>
  <conditionalFormatting sqref="P1020:P1022">
    <cfRule type="containsText" dxfId="2" priority="11224" operator="containsText" text="Yes">
      <formula>NOT(ISERROR(SEARCH(("Yes"),(P1020))))</formula>
    </cfRule>
  </conditionalFormatting>
  <conditionalFormatting sqref="P1020:P1022">
    <cfRule type="containsText" dxfId="9" priority="11225" operator="containsText" text="No">
      <formula>NOT(ISERROR(SEARCH(("No"),(P1020))))</formula>
    </cfRule>
  </conditionalFormatting>
  <conditionalFormatting sqref="P1020:P1022">
    <cfRule type="containsText" dxfId="2" priority="11226" operator="containsText" text="Yes">
      <formula>NOT(ISERROR(SEARCH(("Yes"),(P1020))))</formula>
    </cfRule>
  </conditionalFormatting>
  <conditionalFormatting sqref="P1020:P1022">
    <cfRule type="containsText" dxfId="9" priority="11227" operator="containsText" text="No">
      <formula>NOT(ISERROR(SEARCH(("No"),(P1020))))</formula>
    </cfRule>
  </conditionalFormatting>
  <conditionalFormatting sqref="P1020:P1022">
    <cfRule type="containsText" dxfId="2" priority="11228" operator="containsText" text="Yes">
      <formula>NOT(ISERROR(SEARCH(("Yes"),(P1020))))</formula>
    </cfRule>
  </conditionalFormatting>
  <conditionalFormatting sqref="P1020:P1022">
    <cfRule type="containsText" dxfId="9" priority="11229" operator="containsText" text="No">
      <formula>NOT(ISERROR(SEARCH(("No"),(P1020))))</formula>
    </cfRule>
  </conditionalFormatting>
  <conditionalFormatting sqref="P1020:P1022">
    <cfRule type="containsText" dxfId="2" priority="11230" operator="containsText" text="Yes">
      <formula>NOT(ISERROR(SEARCH(("Yes"),(P1020))))</formula>
    </cfRule>
  </conditionalFormatting>
  <conditionalFormatting sqref="P1020:P1022">
    <cfRule type="containsText" dxfId="9" priority="11231" operator="containsText" text="No">
      <formula>NOT(ISERROR(SEARCH(("No"),(P1020))))</formula>
    </cfRule>
  </conditionalFormatting>
  <conditionalFormatting sqref="P1020:P1022">
    <cfRule type="containsText" dxfId="2" priority="11232" operator="containsText" text="Yes">
      <formula>NOT(ISERROR(SEARCH(("Yes"),(P1020))))</formula>
    </cfRule>
  </conditionalFormatting>
  <conditionalFormatting sqref="P1020:P1022">
    <cfRule type="containsText" dxfId="9" priority="11233" operator="containsText" text="No">
      <formula>NOT(ISERROR(SEARCH(("No"),(P1020))))</formula>
    </cfRule>
  </conditionalFormatting>
  <conditionalFormatting sqref="P1020:P1022">
    <cfRule type="containsText" dxfId="2" priority="11234" operator="containsText" text="Yes">
      <formula>NOT(ISERROR(SEARCH(("Yes"),(P1020))))</formula>
    </cfRule>
  </conditionalFormatting>
  <conditionalFormatting sqref="P1020:P1022">
    <cfRule type="containsText" dxfId="9" priority="11235" operator="containsText" text="No">
      <formula>NOT(ISERROR(SEARCH(("No"),(P1020))))</formula>
    </cfRule>
  </conditionalFormatting>
  <conditionalFormatting sqref="P1020:P1022">
    <cfRule type="containsText" dxfId="2" priority="11236" operator="containsText" text="Yes">
      <formula>NOT(ISERROR(SEARCH(("Yes"),(P1020))))</formula>
    </cfRule>
  </conditionalFormatting>
  <conditionalFormatting sqref="P1020:P1022">
    <cfRule type="containsText" dxfId="9" priority="11237" operator="containsText" text="No">
      <formula>NOT(ISERROR(SEARCH(("No"),(P1020))))</formula>
    </cfRule>
  </conditionalFormatting>
  <conditionalFormatting sqref="P1020:P1022">
    <cfRule type="containsText" dxfId="2" priority="11238" operator="containsText" text="Yes">
      <formula>NOT(ISERROR(SEARCH(("Yes"),(P1020))))</formula>
    </cfRule>
  </conditionalFormatting>
  <conditionalFormatting sqref="P1020:P1022">
    <cfRule type="containsText" dxfId="9" priority="11239" operator="containsText" text="No">
      <formula>NOT(ISERROR(SEARCH(("No"),(P1020))))</formula>
    </cfRule>
  </conditionalFormatting>
  <conditionalFormatting sqref="P1020:P1022">
    <cfRule type="containsText" dxfId="2" priority="11240" operator="containsText" text="Yes">
      <formula>NOT(ISERROR(SEARCH(("Yes"),(P1020))))</formula>
    </cfRule>
  </conditionalFormatting>
  <conditionalFormatting sqref="P1020:P1022">
    <cfRule type="containsText" dxfId="9" priority="11241" operator="containsText" text="No">
      <formula>NOT(ISERROR(SEARCH(("No"),(P1020))))</formula>
    </cfRule>
  </conditionalFormatting>
  <conditionalFormatting sqref="P1020:P1022">
    <cfRule type="containsText" dxfId="2" priority="11242" operator="containsText" text="Yes">
      <formula>NOT(ISERROR(SEARCH(("Yes"),(P1020))))</formula>
    </cfRule>
  </conditionalFormatting>
  <conditionalFormatting sqref="P1020:P1022">
    <cfRule type="containsText" dxfId="9" priority="11243" operator="containsText" text="No">
      <formula>NOT(ISERROR(SEARCH(("No"),(P1020))))</formula>
    </cfRule>
  </conditionalFormatting>
  <conditionalFormatting sqref="P1020:P1022">
    <cfRule type="containsText" dxfId="2" priority="11244" operator="containsText" text="Yes">
      <formula>NOT(ISERROR(SEARCH(("Yes"),(P1020))))</formula>
    </cfRule>
  </conditionalFormatting>
  <conditionalFormatting sqref="P1020:P1022">
    <cfRule type="containsText" dxfId="9" priority="11245" operator="containsText" text="No">
      <formula>NOT(ISERROR(SEARCH(("No"),(P1020))))</formula>
    </cfRule>
  </conditionalFormatting>
  <conditionalFormatting sqref="P1020:P1022">
    <cfRule type="containsText" dxfId="2" priority="11246" operator="containsText" text="Yes">
      <formula>NOT(ISERROR(SEARCH(("Yes"),(P1020))))</formula>
    </cfRule>
  </conditionalFormatting>
  <conditionalFormatting sqref="P1020:P1022">
    <cfRule type="containsText" dxfId="9" priority="11247" operator="containsText" text="No">
      <formula>NOT(ISERROR(SEARCH(("No"),(P1020))))</formula>
    </cfRule>
  </conditionalFormatting>
  <conditionalFormatting sqref="P1020:P1022">
    <cfRule type="containsText" dxfId="2" priority="11248" operator="containsText" text="Yes">
      <formula>NOT(ISERROR(SEARCH(("Yes"),(P1020))))</formula>
    </cfRule>
  </conditionalFormatting>
  <conditionalFormatting sqref="P1020:P1022">
    <cfRule type="containsText" dxfId="9" priority="11249" operator="containsText" text="No">
      <formula>NOT(ISERROR(SEARCH(("No"),(P1020))))</formula>
    </cfRule>
  </conditionalFormatting>
  <conditionalFormatting sqref="P1020:P1022">
    <cfRule type="containsText" dxfId="2" priority="11250" operator="containsText" text="Yes">
      <formula>NOT(ISERROR(SEARCH(("Yes"),(P1020))))</formula>
    </cfRule>
  </conditionalFormatting>
  <conditionalFormatting sqref="P1020:P1022">
    <cfRule type="containsText" dxfId="9" priority="11251" operator="containsText" text="No">
      <formula>NOT(ISERROR(SEARCH(("No"),(P1020))))</formula>
    </cfRule>
  </conditionalFormatting>
  <conditionalFormatting sqref="P1020:P1022">
    <cfRule type="containsText" dxfId="2" priority="11252" operator="containsText" text="Yes">
      <formula>NOT(ISERROR(SEARCH(("Yes"),(P1020))))</formula>
    </cfRule>
  </conditionalFormatting>
  <conditionalFormatting sqref="P1020:P1022">
    <cfRule type="containsText" dxfId="9" priority="11253" operator="containsText" text="No">
      <formula>NOT(ISERROR(SEARCH(("No"),(P1020))))</formula>
    </cfRule>
  </conditionalFormatting>
  <conditionalFormatting sqref="P1020:P1022">
    <cfRule type="containsText" dxfId="2" priority="11254" operator="containsText" text="Yes">
      <formula>NOT(ISERROR(SEARCH(("Yes"),(P1020))))</formula>
    </cfRule>
  </conditionalFormatting>
  <conditionalFormatting sqref="P1020:P1022">
    <cfRule type="containsText" dxfId="9" priority="11255" operator="containsText" text="No">
      <formula>NOT(ISERROR(SEARCH(("No"),(P1020))))</formula>
    </cfRule>
  </conditionalFormatting>
  <conditionalFormatting sqref="P1020:P1022">
    <cfRule type="containsText" dxfId="2" priority="11256" operator="containsText" text="Yes">
      <formula>NOT(ISERROR(SEARCH(("Yes"),(P1020))))</formula>
    </cfRule>
  </conditionalFormatting>
  <conditionalFormatting sqref="P1020:P1022">
    <cfRule type="containsText" dxfId="9" priority="11257" operator="containsText" text="No">
      <formula>NOT(ISERROR(SEARCH(("No"),(P1020))))</formula>
    </cfRule>
  </conditionalFormatting>
  <conditionalFormatting sqref="P1020:P1022">
    <cfRule type="containsText" dxfId="2" priority="11258" operator="containsText" text="Yes">
      <formula>NOT(ISERROR(SEARCH(("Yes"),(P1020))))</formula>
    </cfRule>
  </conditionalFormatting>
  <conditionalFormatting sqref="P1020:P1022">
    <cfRule type="containsText" dxfId="9" priority="11259" operator="containsText" text="No">
      <formula>NOT(ISERROR(SEARCH(("No"),(P1020))))</formula>
    </cfRule>
  </conditionalFormatting>
  <conditionalFormatting sqref="P1020:P1022">
    <cfRule type="containsText" dxfId="2" priority="11260" operator="containsText" text="Yes">
      <formula>NOT(ISERROR(SEARCH(("Yes"),(P1020))))</formula>
    </cfRule>
  </conditionalFormatting>
  <conditionalFormatting sqref="P1020:P1022">
    <cfRule type="containsText" dxfId="9" priority="11261" operator="containsText" text="No">
      <formula>NOT(ISERROR(SEARCH(("No"),(P1020))))</formula>
    </cfRule>
  </conditionalFormatting>
  <conditionalFormatting sqref="P1020:P1022">
    <cfRule type="containsText" dxfId="2" priority="11262" operator="containsText" text="Yes">
      <formula>NOT(ISERROR(SEARCH(("Yes"),(P1020))))</formula>
    </cfRule>
  </conditionalFormatting>
  <conditionalFormatting sqref="P1020:P1022">
    <cfRule type="containsText" dxfId="9" priority="11263" operator="containsText" text="No">
      <formula>NOT(ISERROR(SEARCH(("No"),(P1020))))</formula>
    </cfRule>
  </conditionalFormatting>
  <conditionalFormatting sqref="P1020:P1022">
    <cfRule type="containsText" dxfId="2" priority="11264" operator="containsText" text="Yes">
      <formula>NOT(ISERROR(SEARCH(("Yes"),(P1020))))</formula>
    </cfRule>
  </conditionalFormatting>
  <conditionalFormatting sqref="P1020:P1022">
    <cfRule type="containsText" dxfId="9" priority="11265" operator="containsText" text="No">
      <formula>NOT(ISERROR(SEARCH(("No"),(P1020))))</formula>
    </cfRule>
  </conditionalFormatting>
  <conditionalFormatting sqref="P1020:P1022">
    <cfRule type="containsText" dxfId="2" priority="11266" operator="containsText" text="Yes">
      <formula>NOT(ISERROR(SEARCH(("Yes"),(P1020))))</formula>
    </cfRule>
  </conditionalFormatting>
  <conditionalFormatting sqref="P1020:P1022">
    <cfRule type="containsText" dxfId="9" priority="11267" operator="containsText" text="No">
      <formula>NOT(ISERROR(SEARCH(("No"),(P1020))))</formula>
    </cfRule>
  </conditionalFormatting>
  <conditionalFormatting sqref="P1020:P1022">
    <cfRule type="containsText" dxfId="2" priority="11268" operator="containsText" text="Yes">
      <formula>NOT(ISERROR(SEARCH(("Yes"),(P1020))))</formula>
    </cfRule>
  </conditionalFormatting>
  <conditionalFormatting sqref="P1020:P1022">
    <cfRule type="containsText" dxfId="9" priority="11269" operator="containsText" text="No">
      <formula>NOT(ISERROR(SEARCH(("No"),(P1020))))</formula>
    </cfRule>
  </conditionalFormatting>
  <conditionalFormatting sqref="P1020:P1022">
    <cfRule type="containsText" dxfId="2" priority="11270" operator="containsText" text="Yes">
      <formula>NOT(ISERROR(SEARCH(("Yes"),(P1020))))</formula>
    </cfRule>
  </conditionalFormatting>
  <conditionalFormatting sqref="P1020:P1022">
    <cfRule type="containsText" dxfId="9" priority="11271" operator="containsText" text="No">
      <formula>NOT(ISERROR(SEARCH(("No"),(P1020))))</formula>
    </cfRule>
  </conditionalFormatting>
  <conditionalFormatting sqref="P1020:P1022">
    <cfRule type="containsText" dxfId="2" priority="11272" operator="containsText" text="Yes">
      <formula>NOT(ISERROR(SEARCH(("Yes"),(P1020))))</formula>
    </cfRule>
  </conditionalFormatting>
  <conditionalFormatting sqref="P1020:P1022">
    <cfRule type="containsText" dxfId="9" priority="11273" operator="containsText" text="No">
      <formula>NOT(ISERROR(SEARCH(("No"),(P1020))))</formula>
    </cfRule>
  </conditionalFormatting>
  <conditionalFormatting sqref="P1020:P1022">
    <cfRule type="containsText" dxfId="2" priority="11274" operator="containsText" text="Yes">
      <formula>NOT(ISERROR(SEARCH(("Yes"),(P1020))))</formula>
    </cfRule>
  </conditionalFormatting>
  <conditionalFormatting sqref="P1020:P1022">
    <cfRule type="containsText" dxfId="9" priority="11275" operator="containsText" text="No">
      <formula>NOT(ISERROR(SEARCH(("No"),(P1020))))</formula>
    </cfRule>
  </conditionalFormatting>
  <conditionalFormatting sqref="P1020:P1022">
    <cfRule type="containsText" dxfId="2" priority="11276" operator="containsText" text="Yes">
      <formula>NOT(ISERROR(SEARCH(("Yes"),(P1020))))</formula>
    </cfRule>
  </conditionalFormatting>
  <conditionalFormatting sqref="P1020:P1022">
    <cfRule type="containsText" dxfId="9" priority="11277" operator="containsText" text="No">
      <formula>NOT(ISERROR(SEARCH(("No"),(P1020))))</formula>
    </cfRule>
  </conditionalFormatting>
  <conditionalFormatting sqref="P1020:P1022">
    <cfRule type="containsText" dxfId="2" priority="11278" operator="containsText" text="Yes">
      <formula>NOT(ISERROR(SEARCH(("Yes"),(P1020))))</formula>
    </cfRule>
  </conditionalFormatting>
  <conditionalFormatting sqref="P1020:P1022">
    <cfRule type="containsText" dxfId="9" priority="11279" operator="containsText" text="No">
      <formula>NOT(ISERROR(SEARCH(("No"),(P1020))))</formula>
    </cfRule>
  </conditionalFormatting>
  <conditionalFormatting sqref="P1020:P1022">
    <cfRule type="containsText" dxfId="2" priority="11280" operator="containsText" text="Yes">
      <formula>NOT(ISERROR(SEARCH(("Yes"),(P1020))))</formula>
    </cfRule>
  </conditionalFormatting>
  <conditionalFormatting sqref="P1020:P1022">
    <cfRule type="containsText" dxfId="2" priority="11281" operator="containsText" text="Yes">
      <formula>NOT(ISERROR(SEARCH(("Yes"),(P1020))))</formula>
    </cfRule>
  </conditionalFormatting>
  <conditionalFormatting sqref="P1020:P1022">
    <cfRule type="containsText" dxfId="9" priority="11282" operator="containsText" text="No">
      <formula>NOT(ISERROR(SEARCH(("No"),(P1020))))</formula>
    </cfRule>
  </conditionalFormatting>
  <conditionalFormatting sqref="P1020:P1022">
    <cfRule type="containsText" dxfId="2" priority="11283" operator="containsText" text="Yes">
      <formula>NOT(ISERROR(SEARCH(("Yes"),(P1020))))</formula>
    </cfRule>
  </conditionalFormatting>
  <conditionalFormatting sqref="P1023">
    <cfRule type="containsText" dxfId="2" priority="11284" operator="containsText" text="Yes">
      <formula>NOT(ISERROR(SEARCH(("Yes"),(P1023))))</formula>
    </cfRule>
  </conditionalFormatting>
  <conditionalFormatting sqref="P1023">
    <cfRule type="containsText" dxfId="9" priority="11285" operator="containsText" text="No">
      <formula>NOT(ISERROR(SEARCH(("No"),(P1023))))</formula>
    </cfRule>
  </conditionalFormatting>
  <conditionalFormatting sqref="P1023">
    <cfRule type="containsText" dxfId="2" priority="11286" operator="containsText" text="Yes">
      <formula>NOT(ISERROR(SEARCH(("Yes"),(P1023))))</formula>
    </cfRule>
  </conditionalFormatting>
  <conditionalFormatting sqref="P1023">
    <cfRule type="containsText" dxfId="9" priority="11287" operator="containsText" text="No">
      <formula>NOT(ISERROR(SEARCH(("No"),(P1023))))</formula>
    </cfRule>
  </conditionalFormatting>
  <conditionalFormatting sqref="P1023">
    <cfRule type="containsText" dxfId="2" priority="11288" operator="containsText" text="Yes">
      <formula>NOT(ISERROR(SEARCH(("Yes"),(P1023))))</formula>
    </cfRule>
  </conditionalFormatting>
  <conditionalFormatting sqref="P1023">
    <cfRule type="containsText" dxfId="9" priority="11289" operator="containsText" text="No">
      <formula>NOT(ISERROR(SEARCH(("No"),(P1023))))</formula>
    </cfRule>
  </conditionalFormatting>
  <conditionalFormatting sqref="P1023">
    <cfRule type="containsText" dxfId="2" priority="11290" operator="containsText" text="Yes">
      <formula>NOT(ISERROR(SEARCH(("Yes"),(P1023))))</formula>
    </cfRule>
  </conditionalFormatting>
  <conditionalFormatting sqref="P1023">
    <cfRule type="containsText" dxfId="9" priority="11291" operator="containsText" text="No">
      <formula>NOT(ISERROR(SEARCH(("No"),(P1023))))</formula>
    </cfRule>
  </conditionalFormatting>
  <conditionalFormatting sqref="P1023">
    <cfRule type="containsText" dxfId="2" priority="11292" operator="containsText" text="Yes">
      <formula>NOT(ISERROR(SEARCH(("Yes"),(P1023))))</formula>
    </cfRule>
  </conditionalFormatting>
  <conditionalFormatting sqref="P1023">
    <cfRule type="containsText" dxfId="9" priority="11293" operator="containsText" text="No">
      <formula>NOT(ISERROR(SEARCH(("No"),(P1023))))</formula>
    </cfRule>
  </conditionalFormatting>
  <conditionalFormatting sqref="P1023">
    <cfRule type="containsText" dxfId="2" priority="11294" operator="containsText" text="Yes">
      <formula>NOT(ISERROR(SEARCH(("Yes"),(P1023))))</formula>
    </cfRule>
  </conditionalFormatting>
  <conditionalFormatting sqref="P1023">
    <cfRule type="containsText" dxfId="9" priority="11295" operator="containsText" text="No">
      <formula>NOT(ISERROR(SEARCH(("No"),(P1023))))</formula>
    </cfRule>
  </conditionalFormatting>
  <conditionalFormatting sqref="P1023">
    <cfRule type="containsText" dxfId="2" priority="11296" operator="containsText" text="Yes">
      <formula>NOT(ISERROR(SEARCH(("Yes"),(P1023))))</formula>
    </cfRule>
  </conditionalFormatting>
  <conditionalFormatting sqref="P1023">
    <cfRule type="containsText" dxfId="9" priority="11297" operator="containsText" text="No">
      <formula>NOT(ISERROR(SEARCH(("No"),(P1023))))</formula>
    </cfRule>
  </conditionalFormatting>
  <conditionalFormatting sqref="P1023">
    <cfRule type="containsText" dxfId="2" priority="11298" operator="containsText" text="Yes">
      <formula>NOT(ISERROR(SEARCH(("Yes"),(P1023))))</formula>
    </cfRule>
  </conditionalFormatting>
  <conditionalFormatting sqref="P1023">
    <cfRule type="containsText" dxfId="9" priority="11299" operator="containsText" text="No">
      <formula>NOT(ISERROR(SEARCH(("No"),(P1023))))</formula>
    </cfRule>
  </conditionalFormatting>
  <conditionalFormatting sqref="P1023">
    <cfRule type="containsText" dxfId="2" priority="11300" operator="containsText" text="Yes">
      <formula>NOT(ISERROR(SEARCH(("Yes"),(P1023))))</formula>
    </cfRule>
  </conditionalFormatting>
  <conditionalFormatting sqref="P1023">
    <cfRule type="containsText" dxfId="9" priority="11301" operator="containsText" text="No">
      <formula>NOT(ISERROR(SEARCH(("No"),(P1023))))</formula>
    </cfRule>
  </conditionalFormatting>
  <conditionalFormatting sqref="P1023">
    <cfRule type="containsText" dxfId="2" priority="11302" operator="containsText" text="Yes">
      <formula>NOT(ISERROR(SEARCH(("Yes"),(P1023))))</formula>
    </cfRule>
  </conditionalFormatting>
  <conditionalFormatting sqref="P1023">
    <cfRule type="containsText" dxfId="9" priority="11303" operator="containsText" text="No">
      <formula>NOT(ISERROR(SEARCH(("No"),(P1023))))</formula>
    </cfRule>
  </conditionalFormatting>
  <conditionalFormatting sqref="P1023">
    <cfRule type="containsText" dxfId="2" priority="11304" operator="containsText" text="Yes">
      <formula>NOT(ISERROR(SEARCH(("Yes"),(P1023))))</formula>
    </cfRule>
  </conditionalFormatting>
  <conditionalFormatting sqref="P1023">
    <cfRule type="containsText" dxfId="9" priority="11305" operator="containsText" text="No">
      <formula>NOT(ISERROR(SEARCH(("No"),(P1023))))</formula>
    </cfRule>
  </conditionalFormatting>
  <conditionalFormatting sqref="P1023">
    <cfRule type="containsText" dxfId="2" priority="11306" operator="containsText" text="Yes">
      <formula>NOT(ISERROR(SEARCH(("Yes"),(P1023))))</formula>
    </cfRule>
  </conditionalFormatting>
  <conditionalFormatting sqref="P1023">
    <cfRule type="containsText" dxfId="9" priority="11307" operator="containsText" text="No">
      <formula>NOT(ISERROR(SEARCH(("No"),(P1023))))</formula>
    </cfRule>
  </conditionalFormatting>
  <conditionalFormatting sqref="P1023">
    <cfRule type="containsText" dxfId="2" priority="11308" operator="containsText" text="Yes">
      <formula>NOT(ISERROR(SEARCH(("Yes"),(P1023))))</formula>
    </cfRule>
  </conditionalFormatting>
  <conditionalFormatting sqref="P1023">
    <cfRule type="containsText" dxfId="9" priority="11309" operator="containsText" text="No">
      <formula>NOT(ISERROR(SEARCH(("No"),(P1023))))</formula>
    </cfRule>
  </conditionalFormatting>
  <conditionalFormatting sqref="P1023">
    <cfRule type="containsText" dxfId="2" priority="11310" operator="containsText" text="Yes">
      <formula>NOT(ISERROR(SEARCH(("Yes"),(P1023))))</formula>
    </cfRule>
  </conditionalFormatting>
  <conditionalFormatting sqref="P1023">
    <cfRule type="containsText" dxfId="9" priority="11311" operator="containsText" text="No">
      <formula>NOT(ISERROR(SEARCH(("No"),(P1023))))</formula>
    </cfRule>
  </conditionalFormatting>
  <conditionalFormatting sqref="P1023">
    <cfRule type="containsText" dxfId="2" priority="11312" operator="containsText" text="Yes">
      <formula>NOT(ISERROR(SEARCH(("Yes"),(P1023))))</formula>
    </cfRule>
  </conditionalFormatting>
  <conditionalFormatting sqref="P1023">
    <cfRule type="containsText" dxfId="9" priority="11313" operator="containsText" text="No">
      <formula>NOT(ISERROR(SEARCH(("No"),(P1023))))</formula>
    </cfRule>
  </conditionalFormatting>
  <conditionalFormatting sqref="P1023">
    <cfRule type="containsText" dxfId="2" priority="11314" operator="containsText" text="Yes">
      <formula>NOT(ISERROR(SEARCH(("Yes"),(P1023))))</formula>
    </cfRule>
  </conditionalFormatting>
  <conditionalFormatting sqref="P1023">
    <cfRule type="containsText" dxfId="9" priority="11315" operator="containsText" text="No">
      <formula>NOT(ISERROR(SEARCH(("No"),(P1023))))</formula>
    </cfRule>
  </conditionalFormatting>
  <conditionalFormatting sqref="P1023">
    <cfRule type="containsText" dxfId="2" priority="11316" operator="containsText" text="Yes">
      <formula>NOT(ISERROR(SEARCH(("Yes"),(P1023))))</formula>
    </cfRule>
  </conditionalFormatting>
  <conditionalFormatting sqref="P1023">
    <cfRule type="containsText" dxfId="9" priority="11317" operator="containsText" text="No">
      <formula>NOT(ISERROR(SEARCH(("No"),(P1023))))</formula>
    </cfRule>
  </conditionalFormatting>
  <conditionalFormatting sqref="P1023">
    <cfRule type="containsText" dxfId="2" priority="11318" operator="containsText" text="Yes">
      <formula>NOT(ISERROR(SEARCH(("Yes"),(P1023))))</formula>
    </cfRule>
  </conditionalFormatting>
  <conditionalFormatting sqref="P1023">
    <cfRule type="containsText" dxfId="9" priority="11319" operator="containsText" text="No">
      <formula>NOT(ISERROR(SEARCH(("No"),(P1023))))</formula>
    </cfRule>
  </conditionalFormatting>
  <conditionalFormatting sqref="P1023">
    <cfRule type="containsText" dxfId="2" priority="11320" operator="containsText" text="Yes">
      <formula>NOT(ISERROR(SEARCH(("Yes"),(P1023))))</formula>
    </cfRule>
  </conditionalFormatting>
  <conditionalFormatting sqref="P1023">
    <cfRule type="containsText" dxfId="9" priority="11321" operator="containsText" text="No">
      <formula>NOT(ISERROR(SEARCH(("No"),(P1023))))</formula>
    </cfRule>
  </conditionalFormatting>
  <conditionalFormatting sqref="P1023">
    <cfRule type="containsText" dxfId="2" priority="11322" operator="containsText" text="Yes">
      <formula>NOT(ISERROR(SEARCH(("Yes"),(P1023))))</formula>
    </cfRule>
  </conditionalFormatting>
  <conditionalFormatting sqref="P1023">
    <cfRule type="containsText" dxfId="9" priority="11323" operator="containsText" text="No">
      <formula>NOT(ISERROR(SEARCH(("No"),(P1023))))</formula>
    </cfRule>
  </conditionalFormatting>
  <conditionalFormatting sqref="P1023">
    <cfRule type="containsText" dxfId="2" priority="11324" operator="containsText" text="Yes">
      <formula>NOT(ISERROR(SEARCH(("Yes"),(P1023))))</formula>
    </cfRule>
  </conditionalFormatting>
  <conditionalFormatting sqref="P1023">
    <cfRule type="containsText" dxfId="9" priority="11325" operator="containsText" text="No">
      <formula>NOT(ISERROR(SEARCH(("No"),(P1023))))</formula>
    </cfRule>
  </conditionalFormatting>
  <conditionalFormatting sqref="P1023">
    <cfRule type="containsText" dxfId="2" priority="11326" operator="containsText" text="Yes">
      <formula>NOT(ISERROR(SEARCH(("Yes"),(P1023))))</formula>
    </cfRule>
  </conditionalFormatting>
  <conditionalFormatting sqref="P1023">
    <cfRule type="containsText" dxfId="9" priority="11327" operator="containsText" text="No">
      <formula>NOT(ISERROR(SEARCH(("No"),(P1023))))</formula>
    </cfRule>
  </conditionalFormatting>
  <conditionalFormatting sqref="P1023">
    <cfRule type="containsText" dxfId="2" priority="11328" operator="containsText" text="Yes">
      <formula>NOT(ISERROR(SEARCH(("Yes"),(P1023))))</formula>
    </cfRule>
  </conditionalFormatting>
  <conditionalFormatting sqref="P1023">
    <cfRule type="containsText" dxfId="9" priority="11329" operator="containsText" text="No">
      <formula>NOT(ISERROR(SEARCH(("No"),(P1023))))</formula>
    </cfRule>
  </conditionalFormatting>
  <conditionalFormatting sqref="P1023">
    <cfRule type="containsText" dxfId="2" priority="11330" operator="containsText" text="Yes">
      <formula>NOT(ISERROR(SEARCH(("Yes"),(P1023))))</formula>
    </cfRule>
  </conditionalFormatting>
  <conditionalFormatting sqref="P1023">
    <cfRule type="containsText" dxfId="9" priority="11331" operator="containsText" text="No">
      <formula>NOT(ISERROR(SEARCH(("No"),(P1023))))</formula>
    </cfRule>
  </conditionalFormatting>
  <conditionalFormatting sqref="P1023">
    <cfRule type="containsText" dxfId="2" priority="11332" operator="containsText" text="Yes">
      <formula>NOT(ISERROR(SEARCH(("Yes"),(P1023))))</formula>
    </cfRule>
  </conditionalFormatting>
  <conditionalFormatting sqref="P1023">
    <cfRule type="containsText" dxfId="9" priority="11333" operator="containsText" text="No">
      <formula>NOT(ISERROR(SEARCH(("No"),(P1023))))</formula>
    </cfRule>
  </conditionalFormatting>
  <conditionalFormatting sqref="P1023">
    <cfRule type="containsText" dxfId="2" priority="11334" operator="containsText" text="Yes">
      <formula>NOT(ISERROR(SEARCH(("Yes"),(P1023))))</formula>
    </cfRule>
  </conditionalFormatting>
  <conditionalFormatting sqref="P1023">
    <cfRule type="containsText" dxfId="9" priority="11335" operator="containsText" text="No">
      <formula>NOT(ISERROR(SEARCH(("No"),(P1023))))</formula>
    </cfRule>
  </conditionalFormatting>
  <conditionalFormatting sqref="P1023">
    <cfRule type="containsText" dxfId="2" priority="11336" operator="containsText" text="Yes">
      <formula>NOT(ISERROR(SEARCH(("Yes"),(P1023))))</formula>
    </cfRule>
  </conditionalFormatting>
  <conditionalFormatting sqref="P1023">
    <cfRule type="containsText" dxfId="9" priority="11337" operator="containsText" text="No">
      <formula>NOT(ISERROR(SEARCH(("No"),(P1023))))</formula>
    </cfRule>
  </conditionalFormatting>
  <conditionalFormatting sqref="P1023">
    <cfRule type="containsText" dxfId="2" priority="11338" operator="containsText" text="Yes">
      <formula>NOT(ISERROR(SEARCH(("Yes"),(P1023))))</formula>
    </cfRule>
  </conditionalFormatting>
  <conditionalFormatting sqref="P1023">
    <cfRule type="containsText" dxfId="9" priority="11339" operator="containsText" text="No">
      <formula>NOT(ISERROR(SEARCH(("No"),(P1023))))</formula>
    </cfRule>
  </conditionalFormatting>
  <conditionalFormatting sqref="P1023">
    <cfRule type="containsText" dxfId="2" priority="11340" operator="containsText" text="Yes">
      <formula>NOT(ISERROR(SEARCH(("Yes"),(P1023))))</formula>
    </cfRule>
  </conditionalFormatting>
  <conditionalFormatting sqref="P1023">
    <cfRule type="containsText" dxfId="9" priority="11341" operator="containsText" text="No">
      <formula>NOT(ISERROR(SEARCH(("No"),(P1023))))</formula>
    </cfRule>
  </conditionalFormatting>
  <conditionalFormatting sqref="P1023">
    <cfRule type="containsText" dxfId="2" priority="11342" operator="containsText" text="Yes">
      <formula>NOT(ISERROR(SEARCH(("Yes"),(P1023))))</formula>
    </cfRule>
  </conditionalFormatting>
  <conditionalFormatting sqref="P1023">
    <cfRule type="containsText" dxfId="9" priority="11343" operator="containsText" text="No">
      <formula>NOT(ISERROR(SEARCH(("No"),(P1023))))</formula>
    </cfRule>
  </conditionalFormatting>
  <conditionalFormatting sqref="P1023">
    <cfRule type="containsText" dxfId="2" priority="11344" operator="containsText" text="Yes">
      <formula>NOT(ISERROR(SEARCH(("Yes"),(P1023))))</formula>
    </cfRule>
  </conditionalFormatting>
  <conditionalFormatting sqref="P1023">
    <cfRule type="containsText" dxfId="9" priority="11345" operator="containsText" text="No">
      <formula>NOT(ISERROR(SEARCH(("No"),(P1023))))</formula>
    </cfRule>
  </conditionalFormatting>
  <conditionalFormatting sqref="P1023">
    <cfRule type="containsText" dxfId="2" priority="11346" operator="containsText" text="Yes">
      <formula>NOT(ISERROR(SEARCH(("Yes"),(P1023))))</formula>
    </cfRule>
  </conditionalFormatting>
  <conditionalFormatting sqref="P1023">
    <cfRule type="containsText" dxfId="9" priority="11347" operator="containsText" text="No">
      <formula>NOT(ISERROR(SEARCH(("No"),(P1023))))</formula>
    </cfRule>
  </conditionalFormatting>
  <conditionalFormatting sqref="P1023">
    <cfRule type="containsText" dxfId="2" priority="11348" operator="containsText" text="Yes">
      <formula>NOT(ISERROR(SEARCH(("Yes"),(P1023))))</formula>
    </cfRule>
  </conditionalFormatting>
  <conditionalFormatting sqref="P1023">
    <cfRule type="containsText" dxfId="9" priority="11349" operator="containsText" text="No">
      <formula>NOT(ISERROR(SEARCH(("No"),(P1023))))</formula>
    </cfRule>
  </conditionalFormatting>
  <conditionalFormatting sqref="P1023">
    <cfRule type="containsText" dxfId="2" priority="11350" operator="containsText" text="Yes">
      <formula>NOT(ISERROR(SEARCH(("Yes"),(P1023))))</formula>
    </cfRule>
  </conditionalFormatting>
  <conditionalFormatting sqref="P1023">
    <cfRule type="containsText" dxfId="9" priority="11351" operator="containsText" text="No">
      <formula>NOT(ISERROR(SEARCH(("No"),(P1023))))</formula>
    </cfRule>
  </conditionalFormatting>
  <conditionalFormatting sqref="P1023">
    <cfRule type="containsText" dxfId="2" priority="11352" operator="containsText" text="Yes">
      <formula>NOT(ISERROR(SEARCH(("Yes"),(P1023))))</formula>
    </cfRule>
  </conditionalFormatting>
  <conditionalFormatting sqref="P1023">
    <cfRule type="containsText" dxfId="9" priority="11353" operator="containsText" text="No">
      <formula>NOT(ISERROR(SEARCH(("No"),(P1023))))</formula>
    </cfRule>
  </conditionalFormatting>
  <conditionalFormatting sqref="P1023">
    <cfRule type="containsText" dxfId="2" priority="11354" operator="containsText" text="Yes">
      <formula>NOT(ISERROR(SEARCH(("Yes"),(P1023))))</formula>
    </cfRule>
  </conditionalFormatting>
  <conditionalFormatting sqref="P1023">
    <cfRule type="containsText" dxfId="9" priority="11355" operator="containsText" text="No">
      <formula>NOT(ISERROR(SEARCH(("No"),(P1023))))</formula>
    </cfRule>
  </conditionalFormatting>
  <conditionalFormatting sqref="P1023">
    <cfRule type="containsText" dxfId="2" priority="11356" operator="containsText" text="Yes">
      <formula>NOT(ISERROR(SEARCH(("Yes"),(P1023))))</formula>
    </cfRule>
  </conditionalFormatting>
  <conditionalFormatting sqref="P1023">
    <cfRule type="containsText" dxfId="9" priority="11357" operator="containsText" text="No">
      <formula>NOT(ISERROR(SEARCH(("No"),(P1023))))</formula>
    </cfRule>
  </conditionalFormatting>
  <conditionalFormatting sqref="P1023">
    <cfRule type="containsText" dxfId="2" priority="11358" operator="containsText" text="Yes">
      <formula>NOT(ISERROR(SEARCH(("Yes"),(P1023))))</formula>
    </cfRule>
  </conditionalFormatting>
  <conditionalFormatting sqref="P1023">
    <cfRule type="containsText" dxfId="9" priority="11359" operator="containsText" text="No">
      <formula>NOT(ISERROR(SEARCH(("No"),(P1023))))</formula>
    </cfRule>
  </conditionalFormatting>
  <conditionalFormatting sqref="P1023">
    <cfRule type="containsText" dxfId="2" priority="11360" operator="containsText" text="Yes">
      <formula>NOT(ISERROR(SEARCH(("Yes"),(P1023))))</formula>
    </cfRule>
  </conditionalFormatting>
  <conditionalFormatting sqref="P1023">
    <cfRule type="containsText" dxfId="9" priority="11361" operator="containsText" text="No">
      <formula>NOT(ISERROR(SEARCH(("No"),(P1023))))</formula>
    </cfRule>
  </conditionalFormatting>
  <conditionalFormatting sqref="P1023">
    <cfRule type="containsText" dxfId="2" priority="11362" operator="containsText" text="Yes">
      <formula>NOT(ISERROR(SEARCH(("Yes"),(P1023))))</formula>
    </cfRule>
  </conditionalFormatting>
  <conditionalFormatting sqref="P1023">
    <cfRule type="containsText" dxfId="9" priority="11363" operator="containsText" text="No">
      <formula>NOT(ISERROR(SEARCH(("No"),(P1023))))</formula>
    </cfRule>
  </conditionalFormatting>
  <conditionalFormatting sqref="P1023">
    <cfRule type="containsText" dxfId="2" priority="11364" operator="containsText" text="Yes">
      <formula>NOT(ISERROR(SEARCH(("Yes"),(P1023))))</formula>
    </cfRule>
  </conditionalFormatting>
  <conditionalFormatting sqref="P1023">
    <cfRule type="containsText" dxfId="9" priority="11365" operator="containsText" text="No">
      <formula>NOT(ISERROR(SEARCH(("No"),(P1023))))</formula>
    </cfRule>
  </conditionalFormatting>
  <conditionalFormatting sqref="P1023">
    <cfRule type="containsText" dxfId="2" priority="11366" operator="containsText" text="Yes">
      <formula>NOT(ISERROR(SEARCH(("Yes"),(P1023))))</formula>
    </cfRule>
  </conditionalFormatting>
  <conditionalFormatting sqref="P1023">
    <cfRule type="containsText" dxfId="9" priority="11367" operator="containsText" text="No">
      <formula>NOT(ISERROR(SEARCH(("No"),(P1023))))</formula>
    </cfRule>
  </conditionalFormatting>
  <conditionalFormatting sqref="P1023">
    <cfRule type="containsText" dxfId="2" priority="11368" operator="containsText" text="Yes">
      <formula>NOT(ISERROR(SEARCH(("Yes"),(P1023))))</formula>
    </cfRule>
  </conditionalFormatting>
  <conditionalFormatting sqref="P1023">
    <cfRule type="containsText" dxfId="9" priority="11369" operator="containsText" text="No">
      <formula>NOT(ISERROR(SEARCH(("No"),(P1023))))</formula>
    </cfRule>
  </conditionalFormatting>
  <conditionalFormatting sqref="P1023">
    <cfRule type="containsText" dxfId="2" priority="11370" operator="containsText" text="Yes">
      <formula>NOT(ISERROR(SEARCH(("Yes"),(P1023))))</formula>
    </cfRule>
  </conditionalFormatting>
  <conditionalFormatting sqref="P1023">
    <cfRule type="containsText" dxfId="9" priority="11371" operator="containsText" text="No">
      <formula>NOT(ISERROR(SEARCH(("No"),(P1023))))</formula>
    </cfRule>
  </conditionalFormatting>
  <conditionalFormatting sqref="P1023">
    <cfRule type="containsText" dxfId="2" priority="11372" operator="containsText" text="Yes">
      <formula>NOT(ISERROR(SEARCH(("Yes"),(P1023))))</formula>
    </cfRule>
  </conditionalFormatting>
  <conditionalFormatting sqref="P1023">
    <cfRule type="containsText" dxfId="2" priority="11373" operator="containsText" text="Yes">
      <formula>NOT(ISERROR(SEARCH(("Yes"),(P1023))))</formula>
    </cfRule>
  </conditionalFormatting>
  <conditionalFormatting sqref="P1023">
    <cfRule type="containsText" dxfId="9" priority="11374" operator="containsText" text="No">
      <formula>NOT(ISERROR(SEARCH(("No"),(P1023))))</formula>
    </cfRule>
  </conditionalFormatting>
  <conditionalFormatting sqref="P1023">
    <cfRule type="containsText" dxfId="2" priority="11375" operator="containsText" text="Yes">
      <formula>NOT(ISERROR(SEARCH(("Yes"),(P1023))))</formula>
    </cfRule>
  </conditionalFormatting>
  <conditionalFormatting sqref="P1024:P1025">
    <cfRule type="containsText" dxfId="2" priority="11376" operator="containsText" text="Yes">
      <formula>NOT(ISERROR(SEARCH(("Yes"),(P1024))))</formula>
    </cfRule>
  </conditionalFormatting>
  <conditionalFormatting sqref="P1024:P1025">
    <cfRule type="containsText" dxfId="9" priority="11377" operator="containsText" text="No">
      <formula>NOT(ISERROR(SEARCH(("No"),(P1024))))</formula>
    </cfRule>
  </conditionalFormatting>
  <conditionalFormatting sqref="P1024:P1025">
    <cfRule type="containsText" dxfId="2" priority="11378" operator="containsText" text="Yes">
      <formula>NOT(ISERROR(SEARCH(("Yes"),(P1024))))</formula>
    </cfRule>
  </conditionalFormatting>
  <conditionalFormatting sqref="P1024:P1025">
    <cfRule type="containsText" dxfId="9" priority="11379" operator="containsText" text="No">
      <formula>NOT(ISERROR(SEARCH(("No"),(P1024))))</formula>
    </cfRule>
  </conditionalFormatting>
  <conditionalFormatting sqref="P1024:P1025">
    <cfRule type="containsText" dxfId="2" priority="11380" operator="containsText" text="Yes">
      <formula>NOT(ISERROR(SEARCH(("Yes"),(P1024))))</formula>
    </cfRule>
  </conditionalFormatting>
  <conditionalFormatting sqref="P1024:P1025">
    <cfRule type="containsText" dxfId="9" priority="11381" operator="containsText" text="No">
      <formula>NOT(ISERROR(SEARCH(("No"),(P1024))))</formula>
    </cfRule>
  </conditionalFormatting>
  <conditionalFormatting sqref="P1024:P1025">
    <cfRule type="containsText" dxfId="2" priority="11382" operator="containsText" text="Yes">
      <formula>NOT(ISERROR(SEARCH(("Yes"),(P1024))))</formula>
    </cfRule>
  </conditionalFormatting>
  <conditionalFormatting sqref="P1024:P1025">
    <cfRule type="containsText" dxfId="9" priority="11383" operator="containsText" text="No">
      <formula>NOT(ISERROR(SEARCH(("No"),(P1024))))</formula>
    </cfRule>
  </conditionalFormatting>
  <conditionalFormatting sqref="P1024:P1025">
    <cfRule type="containsText" dxfId="2" priority="11384" operator="containsText" text="Yes">
      <formula>NOT(ISERROR(SEARCH(("Yes"),(P1024))))</formula>
    </cfRule>
  </conditionalFormatting>
  <conditionalFormatting sqref="P1024:P1025">
    <cfRule type="containsText" dxfId="9" priority="11385" operator="containsText" text="No">
      <formula>NOT(ISERROR(SEARCH(("No"),(P1024))))</formula>
    </cfRule>
  </conditionalFormatting>
  <conditionalFormatting sqref="P1024:P1025">
    <cfRule type="containsText" dxfId="2" priority="11386" operator="containsText" text="Yes">
      <formula>NOT(ISERROR(SEARCH(("Yes"),(P1024))))</formula>
    </cfRule>
  </conditionalFormatting>
  <conditionalFormatting sqref="P1024:P1025">
    <cfRule type="containsText" dxfId="9" priority="11387" operator="containsText" text="No">
      <formula>NOT(ISERROR(SEARCH(("No"),(P1024))))</formula>
    </cfRule>
  </conditionalFormatting>
  <conditionalFormatting sqref="P1024:P1025">
    <cfRule type="containsText" dxfId="2" priority="11388" operator="containsText" text="Yes">
      <formula>NOT(ISERROR(SEARCH(("Yes"),(P1024))))</formula>
    </cfRule>
  </conditionalFormatting>
  <conditionalFormatting sqref="P1024:P1025">
    <cfRule type="containsText" dxfId="9" priority="11389" operator="containsText" text="No">
      <formula>NOT(ISERROR(SEARCH(("No"),(P1024))))</formula>
    </cfRule>
  </conditionalFormatting>
  <conditionalFormatting sqref="P1024:P1025">
    <cfRule type="containsText" dxfId="2" priority="11390" operator="containsText" text="Yes">
      <formula>NOT(ISERROR(SEARCH(("Yes"),(P1024))))</formula>
    </cfRule>
  </conditionalFormatting>
  <conditionalFormatting sqref="P1024:P1025">
    <cfRule type="containsText" dxfId="9" priority="11391" operator="containsText" text="No">
      <formula>NOT(ISERROR(SEARCH(("No"),(P1024))))</formula>
    </cfRule>
  </conditionalFormatting>
  <conditionalFormatting sqref="P1024:P1025">
    <cfRule type="containsText" dxfId="2" priority="11392" operator="containsText" text="Yes">
      <formula>NOT(ISERROR(SEARCH(("Yes"),(P1024))))</formula>
    </cfRule>
  </conditionalFormatting>
  <conditionalFormatting sqref="P1024:P1025">
    <cfRule type="containsText" dxfId="9" priority="11393" operator="containsText" text="No">
      <formula>NOT(ISERROR(SEARCH(("No"),(P1024))))</formula>
    </cfRule>
  </conditionalFormatting>
  <conditionalFormatting sqref="P1024:P1025">
    <cfRule type="containsText" dxfId="2" priority="11394" operator="containsText" text="Yes">
      <formula>NOT(ISERROR(SEARCH(("Yes"),(P1024))))</formula>
    </cfRule>
  </conditionalFormatting>
  <conditionalFormatting sqref="P1024:P1025">
    <cfRule type="containsText" dxfId="9" priority="11395" operator="containsText" text="No">
      <formula>NOT(ISERROR(SEARCH(("No"),(P1024))))</formula>
    </cfRule>
  </conditionalFormatting>
  <conditionalFormatting sqref="P1024:P1025">
    <cfRule type="containsText" dxfId="2" priority="11396" operator="containsText" text="Yes">
      <formula>NOT(ISERROR(SEARCH(("Yes"),(P1024))))</formula>
    </cfRule>
  </conditionalFormatting>
  <conditionalFormatting sqref="P1024:P1025">
    <cfRule type="containsText" dxfId="9" priority="11397" operator="containsText" text="No">
      <formula>NOT(ISERROR(SEARCH(("No"),(P1024))))</formula>
    </cfRule>
  </conditionalFormatting>
  <conditionalFormatting sqref="P1024:P1025">
    <cfRule type="containsText" dxfId="2" priority="11398" operator="containsText" text="Yes">
      <formula>NOT(ISERROR(SEARCH(("Yes"),(P1024))))</formula>
    </cfRule>
  </conditionalFormatting>
  <conditionalFormatting sqref="P1024:P1025">
    <cfRule type="containsText" dxfId="9" priority="11399" operator="containsText" text="No">
      <formula>NOT(ISERROR(SEARCH(("No"),(P1024))))</formula>
    </cfRule>
  </conditionalFormatting>
  <conditionalFormatting sqref="P1024:P1025">
    <cfRule type="containsText" dxfId="2" priority="11400" operator="containsText" text="Yes">
      <formula>NOT(ISERROR(SEARCH(("Yes"),(P1024))))</formula>
    </cfRule>
  </conditionalFormatting>
  <conditionalFormatting sqref="P1024:P1025">
    <cfRule type="containsText" dxfId="9" priority="11401" operator="containsText" text="No">
      <formula>NOT(ISERROR(SEARCH(("No"),(P1024))))</formula>
    </cfRule>
  </conditionalFormatting>
  <conditionalFormatting sqref="P1024:P1025">
    <cfRule type="containsText" dxfId="2" priority="11402" operator="containsText" text="Yes">
      <formula>NOT(ISERROR(SEARCH(("Yes"),(P1024))))</formula>
    </cfRule>
  </conditionalFormatting>
  <conditionalFormatting sqref="P1024:P1025">
    <cfRule type="containsText" dxfId="9" priority="11403" operator="containsText" text="No">
      <formula>NOT(ISERROR(SEARCH(("No"),(P1024))))</formula>
    </cfRule>
  </conditionalFormatting>
  <conditionalFormatting sqref="P1024:P1025">
    <cfRule type="containsText" dxfId="2" priority="11404" operator="containsText" text="Yes">
      <formula>NOT(ISERROR(SEARCH(("Yes"),(P1024))))</formula>
    </cfRule>
  </conditionalFormatting>
  <conditionalFormatting sqref="P1024:P1025">
    <cfRule type="containsText" dxfId="9" priority="11405" operator="containsText" text="No">
      <formula>NOT(ISERROR(SEARCH(("No"),(P1024))))</formula>
    </cfRule>
  </conditionalFormatting>
  <conditionalFormatting sqref="P1024:P1025">
    <cfRule type="containsText" dxfId="2" priority="11406" operator="containsText" text="Yes">
      <formula>NOT(ISERROR(SEARCH(("Yes"),(P1024))))</formula>
    </cfRule>
  </conditionalFormatting>
  <conditionalFormatting sqref="P1024:P1025">
    <cfRule type="containsText" dxfId="9" priority="11407" operator="containsText" text="No">
      <formula>NOT(ISERROR(SEARCH(("No"),(P1024))))</formula>
    </cfRule>
  </conditionalFormatting>
  <conditionalFormatting sqref="P1024:P1025">
    <cfRule type="containsText" dxfId="2" priority="11408" operator="containsText" text="Yes">
      <formula>NOT(ISERROR(SEARCH(("Yes"),(P1024))))</formula>
    </cfRule>
  </conditionalFormatting>
  <conditionalFormatting sqref="P1024:P1025">
    <cfRule type="containsText" dxfId="9" priority="11409" operator="containsText" text="No">
      <formula>NOT(ISERROR(SEARCH(("No"),(P1024))))</formula>
    </cfRule>
  </conditionalFormatting>
  <conditionalFormatting sqref="P1024:P1025">
    <cfRule type="containsText" dxfId="2" priority="11410" operator="containsText" text="Yes">
      <formula>NOT(ISERROR(SEARCH(("Yes"),(P1024))))</formula>
    </cfRule>
  </conditionalFormatting>
  <conditionalFormatting sqref="P1024:P1025">
    <cfRule type="containsText" dxfId="9" priority="11411" operator="containsText" text="No">
      <formula>NOT(ISERROR(SEARCH(("No"),(P1024))))</formula>
    </cfRule>
  </conditionalFormatting>
  <conditionalFormatting sqref="P1024:P1025">
    <cfRule type="containsText" dxfId="2" priority="11412" operator="containsText" text="Yes">
      <formula>NOT(ISERROR(SEARCH(("Yes"),(P1024))))</formula>
    </cfRule>
  </conditionalFormatting>
  <conditionalFormatting sqref="P1024:P1025">
    <cfRule type="containsText" dxfId="9" priority="11413" operator="containsText" text="No">
      <formula>NOT(ISERROR(SEARCH(("No"),(P1024))))</formula>
    </cfRule>
  </conditionalFormatting>
  <conditionalFormatting sqref="P1024:P1025">
    <cfRule type="containsText" dxfId="2" priority="11414" operator="containsText" text="Yes">
      <formula>NOT(ISERROR(SEARCH(("Yes"),(P1024))))</formula>
    </cfRule>
  </conditionalFormatting>
  <conditionalFormatting sqref="P1024:P1025">
    <cfRule type="containsText" dxfId="9" priority="11415" operator="containsText" text="No">
      <formula>NOT(ISERROR(SEARCH(("No"),(P1024))))</formula>
    </cfRule>
  </conditionalFormatting>
  <conditionalFormatting sqref="P1024:P1025">
    <cfRule type="containsText" dxfId="2" priority="11416" operator="containsText" text="Yes">
      <formula>NOT(ISERROR(SEARCH(("Yes"),(P1024))))</formula>
    </cfRule>
  </conditionalFormatting>
  <conditionalFormatting sqref="P1024:P1025">
    <cfRule type="containsText" dxfId="9" priority="11417" operator="containsText" text="No">
      <formula>NOT(ISERROR(SEARCH(("No"),(P1024))))</formula>
    </cfRule>
  </conditionalFormatting>
  <conditionalFormatting sqref="P1024:P1025">
    <cfRule type="containsText" dxfId="2" priority="11418" operator="containsText" text="Yes">
      <formula>NOT(ISERROR(SEARCH(("Yes"),(P1024))))</formula>
    </cfRule>
  </conditionalFormatting>
  <conditionalFormatting sqref="P1024:P1025">
    <cfRule type="containsText" dxfId="9" priority="11419" operator="containsText" text="No">
      <formula>NOT(ISERROR(SEARCH(("No"),(P1024))))</formula>
    </cfRule>
  </conditionalFormatting>
  <conditionalFormatting sqref="P1024:P1025">
    <cfRule type="containsText" dxfId="2" priority="11420" operator="containsText" text="Yes">
      <formula>NOT(ISERROR(SEARCH(("Yes"),(P1024))))</formula>
    </cfRule>
  </conditionalFormatting>
  <conditionalFormatting sqref="P1024:P1025">
    <cfRule type="containsText" dxfId="9" priority="11421" operator="containsText" text="No">
      <formula>NOT(ISERROR(SEARCH(("No"),(P1024))))</formula>
    </cfRule>
  </conditionalFormatting>
  <conditionalFormatting sqref="P1024:P1025">
    <cfRule type="containsText" dxfId="2" priority="11422" operator="containsText" text="Yes">
      <formula>NOT(ISERROR(SEARCH(("Yes"),(P1024))))</formula>
    </cfRule>
  </conditionalFormatting>
  <conditionalFormatting sqref="P1024:P1025">
    <cfRule type="containsText" dxfId="9" priority="11423" operator="containsText" text="No">
      <formula>NOT(ISERROR(SEARCH(("No"),(P1024))))</formula>
    </cfRule>
  </conditionalFormatting>
  <conditionalFormatting sqref="P1024:P1025">
    <cfRule type="containsText" dxfId="2" priority="11424" operator="containsText" text="Yes">
      <formula>NOT(ISERROR(SEARCH(("Yes"),(P1024))))</formula>
    </cfRule>
  </conditionalFormatting>
  <conditionalFormatting sqref="P1024:P1025">
    <cfRule type="containsText" dxfId="9" priority="11425" operator="containsText" text="No">
      <formula>NOT(ISERROR(SEARCH(("No"),(P1024))))</formula>
    </cfRule>
  </conditionalFormatting>
  <conditionalFormatting sqref="P1024:P1025">
    <cfRule type="containsText" dxfId="2" priority="11426" operator="containsText" text="Yes">
      <formula>NOT(ISERROR(SEARCH(("Yes"),(P1024))))</formula>
    </cfRule>
  </conditionalFormatting>
  <conditionalFormatting sqref="P1024:P1025">
    <cfRule type="containsText" dxfId="9" priority="11427" operator="containsText" text="No">
      <formula>NOT(ISERROR(SEARCH(("No"),(P1024))))</formula>
    </cfRule>
  </conditionalFormatting>
  <conditionalFormatting sqref="P1024:P1025">
    <cfRule type="containsText" dxfId="2" priority="11428" operator="containsText" text="Yes">
      <formula>NOT(ISERROR(SEARCH(("Yes"),(P1024))))</formula>
    </cfRule>
  </conditionalFormatting>
  <conditionalFormatting sqref="P1024:P1025">
    <cfRule type="containsText" dxfId="9" priority="11429" operator="containsText" text="No">
      <formula>NOT(ISERROR(SEARCH(("No"),(P1024))))</formula>
    </cfRule>
  </conditionalFormatting>
  <conditionalFormatting sqref="P1024:P1025">
    <cfRule type="containsText" dxfId="2" priority="11430" operator="containsText" text="Yes">
      <formula>NOT(ISERROR(SEARCH(("Yes"),(P1024))))</formula>
    </cfRule>
  </conditionalFormatting>
  <conditionalFormatting sqref="P1024:P1025">
    <cfRule type="containsText" dxfId="9" priority="11431" operator="containsText" text="No">
      <formula>NOT(ISERROR(SEARCH(("No"),(P1024))))</formula>
    </cfRule>
  </conditionalFormatting>
  <conditionalFormatting sqref="P1024:P1025">
    <cfRule type="containsText" dxfId="2" priority="11432" operator="containsText" text="Yes">
      <formula>NOT(ISERROR(SEARCH(("Yes"),(P1024))))</formula>
    </cfRule>
  </conditionalFormatting>
  <conditionalFormatting sqref="P1024:P1025">
    <cfRule type="containsText" dxfId="9" priority="11433" operator="containsText" text="No">
      <formula>NOT(ISERROR(SEARCH(("No"),(P1024))))</formula>
    </cfRule>
  </conditionalFormatting>
  <conditionalFormatting sqref="P1024:P1025">
    <cfRule type="containsText" dxfId="2" priority="11434" operator="containsText" text="Yes">
      <formula>NOT(ISERROR(SEARCH(("Yes"),(P1024))))</formula>
    </cfRule>
  </conditionalFormatting>
  <conditionalFormatting sqref="P1024:P1025">
    <cfRule type="containsText" dxfId="9" priority="11435" operator="containsText" text="No">
      <formula>NOT(ISERROR(SEARCH(("No"),(P1024))))</formula>
    </cfRule>
  </conditionalFormatting>
  <conditionalFormatting sqref="P1024:P1025">
    <cfRule type="containsText" dxfId="2" priority="11436" operator="containsText" text="Yes">
      <formula>NOT(ISERROR(SEARCH(("Yes"),(P1024))))</formula>
    </cfRule>
  </conditionalFormatting>
  <conditionalFormatting sqref="P1024:P1025">
    <cfRule type="containsText" dxfId="9" priority="11437" operator="containsText" text="No">
      <formula>NOT(ISERROR(SEARCH(("No"),(P1024))))</formula>
    </cfRule>
  </conditionalFormatting>
  <conditionalFormatting sqref="P1024:P1025">
    <cfRule type="containsText" dxfId="2" priority="11438" operator="containsText" text="Yes">
      <formula>NOT(ISERROR(SEARCH(("Yes"),(P1024))))</formula>
    </cfRule>
  </conditionalFormatting>
  <conditionalFormatting sqref="P1024:P1025">
    <cfRule type="containsText" dxfId="9" priority="11439" operator="containsText" text="No">
      <formula>NOT(ISERROR(SEARCH(("No"),(P1024))))</formula>
    </cfRule>
  </conditionalFormatting>
  <conditionalFormatting sqref="P1024:P1025">
    <cfRule type="containsText" dxfId="2" priority="11440" operator="containsText" text="Yes">
      <formula>NOT(ISERROR(SEARCH(("Yes"),(P1024))))</formula>
    </cfRule>
  </conditionalFormatting>
  <conditionalFormatting sqref="P1024:P1025">
    <cfRule type="containsText" dxfId="9" priority="11441" operator="containsText" text="No">
      <formula>NOT(ISERROR(SEARCH(("No"),(P1024))))</formula>
    </cfRule>
  </conditionalFormatting>
  <conditionalFormatting sqref="P1024:P1025">
    <cfRule type="containsText" dxfId="2" priority="11442" operator="containsText" text="Yes">
      <formula>NOT(ISERROR(SEARCH(("Yes"),(P1024))))</formula>
    </cfRule>
  </conditionalFormatting>
  <conditionalFormatting sqref="P1024:P1025">
    <cfRule type="containsText" dxfId="9" priority="11443" operator="containsText" text="No">
      <formula>NOT(ISERROR(SEARCH(("No"),(P1024))))</formula>
    </cfRule>
  </conditionalFormatting>
  <conditionalFormatting sqref="P1024:P1025">
    <cfRule type="containsText" dxfId="2" priority="11444" operator="containsText" text="Yes">
      <formula>NOT(ISERROR(SEARCH(("Yes"),(P1024))))</formula>
    </cfRule>
  </conditionalFormatting>
  <conditionalFormatting sqref="P1024:P1025">
    <cfRule type="containsText" dxfId="9" priority="11445" operator="containsText" text="No">
      <formula>NOT(ISERROR(SEARCH(("No"),(P1024))))</formula>
    </cfRule>
  </conditionalFormatting>
  <conditionalFormatting sqref="P1024:P1025">
    <cfRule type="containsText" dxfId="2" priority="11446" operator="containsText" text="Yes">
      <formula>NOT(ISERROR(SEARCH(("Yes"),(P1024))))</formula>
    </cfRule>
  </conditionalFormatting>
  <conditionalFormatting sqref="P1024:P1025">
    <cfRule type="containsText" dxfId="9" priority="11447" operator="containsText" text="No">
      <formula>NOT(ISERROR(SEARCH(("No"),(P1024))))</formula>
    </cfRule>
  </conditionalFormatting>
  <conditionalFormatting sqref="P1024:P1025">
    <cfRule type="containsText" dxfId="2" priority="11448" operator="containsText" text="Yes">
      <formula>NOT(ISERROR(SEARCH(("Yes"),(P1024))))</formula>
    </cfRule>
  </conditionalFormatting>
  <conditionalFormatting sqref="P1024:P1025">
    <cfRule type="containsText" dxfId="9" priority="11449" operator="containsText" text="No">
      <formula>NOT(ISERROR(SEARCH(("No"),(P1024))))</formula>
    </cfRule>
  </conditionalFormatting>
  <conditionalFormatting sqref="P1024:P1025">
    <cfRule type="containsText" dxfId="2" priority="11450" operator="containsText" text="Yes">
      <formula>NOT(ISERROR(SEARCH(("Yes"),(P1024))))</formula>
    </cfRule>
  </conditionalFormatting>
  <conditionalFormatting sqref="P1024:P1025">
    <cfRule type="containsText" dxfId="9" priority="11451" operator="containsText" text="No">
      <formula>NOT(ISERROR(SEARCH(("No"),(P1024))))</formula>
    </cfRule>
  </conditionalFormatting>
  <conditionalFormatting sqref="P1024:P1025">
    <cfRule type="containsText" dxfId="2" priority="11452" operator="containsText" text="Yes">
      <formula>NOT(ISERROR(SEARCH(("Yes"),(P1024))))</formula>
    </cfRule>
  </conditionalFormatting>
  <conditionalFormatting sqref="P1024:P1025">
    <cfRule type="containsText" dxfId="9" priority="11453" operator="containsText" text="No">
      <formula>NOT(ISERROR(SEARCH(("No"),(P1024))))</formula>
    </cfRule>
  </conditionalFormatting>
  <conditionalFormatting sqref="P1024:P1025">
    <cfRule type="containsText" dxfId="2" priority="11454" operator="containsText" text="Yes">
      <formula>NOT(ISERROR(SEARCH(("Yes"),(P1024))))</formula>
    </cfRule>
  </conditionalFormatting>
  <conditionalFormatting sqref="P1024:P1025">
    <cfRule type="containsText" dxfId="9" priority="11455" operator="containsText" text="No">
      <formula>NOT(ISERROR(SEARCH(("No"),(P1024))))</formula>
    </cfRule>
  </conditionalFormatting>
  <conditionalFormatting sqref="P1024:P1025">
    <cfRule type="containsText" dxfId="2" priority="11456" operator="containsText" text="Yes">
      <formula>NOT(ISERROR(SEARCH(("Yes"),(P1024))))</formula>
    </cfRule>
  </conditionalFormatting>
  <conditionalFormatting sqref="P1024:P1025">
    <cfRule type="containsText" dxfId="9" priority="11457" operator="containsText" text="No">
      <formula>NOT(ISERROR(SEARCH(("No"),(P1024))))</formula>
    </cfRule>
  </conditionalFormatting>
  <conditionalFormatting sqref="P1024:P1025">
    <cfRule type="containsText" dxfId="2" priority="11458" operator="containsText" text="Yes">
      <formula>NOT(ISERROR(SEARCH(("Yes"),(P1024))))</formula>
    </cfRule>
  </conditionalFormatting>
  <conditionalFormatting sqref="P1024:P1025">
    <cfRule type="containsText" dxfId="9" priority="11459" operator="containsText" text="No">
      <formula>NOT(ISERROR(SEARCH(("No"),(P1024))))</formula>
    </cfRule>
  </conditionalFormatting>
  <conditionalFormatting sqref="P1024:P1025">
    <cfRule type="containsText" dxfId="2" priority="11460" operator="containsText" text="Yes">
      <formula>NOT(ISERROR(SEARCH(("Yes"),(P1024))))</formula>
    </cfRule>
  </conditionalFormatting>
  <conditionalFormatting sqref="P1024:P1025">
    <cfRule type="containsText" dxfId="9" priority="11461" operator="containsText" text="No">
      <formula>NOT(ISERROR(SEARCH(("No"),(P1024))))</formula>
    </cfRule>
  </conditionalFormatting>
  <conditionalFormatting sqref="P1024:P1025">
    <cfRule type="containsText" dxfId="2" priority="11462" operator="containsText" text="Yes">
      <formula>NOT(ISERROR(SEARCH(("Yes"),(P1024))))</formula>
    </cfRule>
  </conditionalFormatting>
  <conditionalFormatting sqref="P1024:P1025">
    <cfRule type="containsText" dxfId="9" priority="11463" operator="containsText" text="No">
      <formula>NOT(ISERROR(SEARCH(("No"),(P1024))))</formula>
    </cfRule>
  </conditionalFormatting>
  <conditionalFormatting sqref="P1024:P1025">
    <cfRule type="containsText" dxfId="2" priority="11464" operator="containsText" text="Yes">
      <formula>NOT(ISERROR(SEARCH(("Yes"),(P1024))))</formula>
    </cfRule>
  </conditionalFormatting>
  <conditionalFormatting sqref="P1024:P1025">
    <cfRule type="containsText" dxfId="2" priority="11465" operator="containsText" text="Yes">
      <formula>NOT(ISERROR(SEARCH(("Yes"),(P1024))))</formula>
    </cfRule>
  </conditionalFormatting>
  <conditionalFormatting sqref="P1024:P1025">
    <cfRule type="containsText" dxfId="9" priority="11466" operator="containsText" text="No">
      <formula>NOT(ISERROR(SEARCH(("No"),(P1024))))</formula>
    </cfRule>
  </conditionalFormatting>
  <conditionalFormatting sqref="P1024:P1025">
    <cfRule type="containsText" dxfId="2" priority="11467" operator="containsText" text="Yes">
      <formula>NOT(ISERROR(SEARCH(("Yes"),(P1024))))</formula>
    </cfRule>
  </conditionalFormatting>
  <conditionalFormatting sqref="P1027">
    <cfRule type="containsText" dxfId="9" priority="11468" operator="containsText" text="No">
      <formula>NOT(ISERROR(SEARCH(("No"),(P1027))))</formula>
    </cfRule>
  </conditionalFormatting>
  <conditionalFormatting sqref="P1027">
    <cfRule type="containsText" dxfId="2" priority="11469" operator="containsText" text="Yes">
      <formula>NOT(ISERROR(SEARCH(("Yes"),(P1027))))</formula>
    </cfRule>
  </conditionalFormatting>
  <conditionalFormatting sqref="P1027">
    <cfRule type="containsText" dxfId="2" priority="11470" operator="containsText" text="Yes">
      <formula>NOT(ISERROR(SEARCH(("Yes"),(P1027))))</formula>
    </cfRule>
  </conditionalFormatting>
  <conditionalFormatting sqref="P1029:P1050">
    <cfRule type="containsText" dxfId="2" priority="11471" operator="containsText" text="Yes">
      <formula>NOT(ISERROR(SEARCH(("Yes"),(P1029))))</formula>
    </cfRule>
  </conditionalFormatting>
  <conditionalFormatting sqref="P1029:P1050">
    <cfRule type="containsText" dxfId="9" priority="11472" operator="containsText" text="No">
      <formula>NOT(ISERROR(SEARCH(("No"),(P1029))))</formula>
    </cfRule>
  </conditionalFormatting>
  <conditionalFormatting sqref="P1029:P1050">
    <cfRule type="containsText" dxfId="2" priority="11473" operator="containsText" text="Yes">
      <formula>NOT(ISERROR(SEARCH(("Yes"),(P1029))))</formula>
    </cfRule>
  </conditionalFormatting>
  <conditionalFormatting sqref="P1029:P1050">
    <cfRule type="containsText" dxfId="9" priority="11474" operator="containsText" text="No">
      <formula>NOT(ISERROR(SEARCH(("No"),(P1029))))</formula>
    </cfRule>
  </conditionalFormatting>
  <conditionalFormatting sqref="P1029:P1050">
    <cfRule type="containsText" dxfId="2" priority="11475" operator="containsText" text="Yes">
      <formula>NOT(ISERROR(SEARCH(("Yes"),(P1029))))</formula>
    </cfRule>
  </conditionalFormatting>
  <conditionalFormatting sqref="P1029:P1050">
    <cfRule type="containsText" dxfId="9" priority="11476" operator="containsText" text="No">
      <formula>NOT(ISERROR(SEARCH(("No"),(P1029))))</formula>
    </cfRule>
  </conditionalFormatting>
  <conditionalFormatting sqref="P1029:P1050">
    <cfRule type="containsText" dxfId="2" priority="11477" operator="containsText" text="Yes">
      <formula>NOT(ISERROR(SEARCH(("Yes"),(P1029))))</formula>
    </cfRule>
  </conditionalFormatting>
  <conditionalFormatting sqref="P1029:P1050">
    <cfRule type="containsText" dxfId="9" priority="11478" operator="containsText" text="No">
      <formula>NOT(ISERROR(SEARCH(("No"),(P1029))))</formula>
    </cfRule>
  </conditionalFormatting>
  <conditionalFormatting sqref="P1029:P1050">
    <cfRule type="containsText" dxfId="2" priority="11479" operator="containsText" text="Yes">
      <formula>NOT(ISERROR(SEARCH(("Yes"),(P1029))))</formula>
    </cfRule>
  </conditionalFormatting>
  <conditionalFormatting sqref="P1029:P1050">
    <cfRule type="containsText" dxfId="9" priority="11480" operator="containsText" text="No">
      <formula>NOT(ISERROR(SEARCH(("No"),(P1029))))</formula>
    </cfRule>
  </conditionalFormatting>
  <conditionalFormatting sqref="P1029:P1050">
    <cfRule type="containsText" dxfId="2" priority="11481" operator="containsText" text="Yes">
      <formula>NOT(ISERROR(SEARCH(("Yes"),(P1029))))</formula>
    </cfRule>
  </conditionalFormatting>
  <conditionalFormatting sqref="P1029:P1050">
    <cfRule type="containsText" dxfId="9" priority="11482" operator="containsText" text="No">
      <formula>NOT(ISERROR(SEARCH(("No"),(P1029))))</formula>
    </cfRule>
  </conditionalFormatting>
  <conditionalFormatting sqref="P1029:P1050">
    <cfRule type="containsText" dxfId="2" priority="11483" operator="containsText" text="Yes">
      <formula>NOT(ISERROR(SEARCH(("Yes"),(P1029))))</formula>
    </cfRule>
  </conditionalFormatting>
  <conditionalFormatting sqref="P1029:P1050">
    <cfRule type="containsText" dxfId="9" priority="11484" operator="containsText" text="No">
      <formula>NOT(ISERROR(SEARCH(("No"),(P1029))))</formula>
    </cfRule>
  </conditionalFormatting>
  <conditionalFormatting sqref="P1029:P1050">
    <cfRule type="containsText" dxfId="2" priority="11485" operator="containsText" text="Yes">
      <formula>NOT(ISERROR(SEARCH(("Yes"),(P1029))))</formula>
    </cfRule>
  </conditionalFormatting>
  <conditionalFormatting sqref="P1029:P1050">
    <cfRule type="containsText" dxfId="9" priority="11486" operator="containsText" text="No">
      <formula>NOT(ISERROR(SEARCH(("No"),(P1029))))</formula>
    </cfRule>
  </conditionalFormatting>
  <conditionalFormatting sqref="P1029:P1050">
    <cfRule type="containsText" dxfId="2" priority="11487" operator="containsText" text="Yes">
      <formula>NOT(ISERROR(SEARCH(("Yes"),(P1029))))</formula>
    </cfRule>
  </conditionalFormatting>
  <conditionalFormatting sqref="P1029:P1050">
    <cfRule type="containsText" dxfId="9" priority="11488" operator="containsText" text="No">
      <formula>NOT(ISERROR(SEARCH(("No"),(P1029))))</formula>
    </cfRule>
  </conditionalFormatting>
  <conditionalFormatting sqref="P1029:P1050">
    <cfRule type="containsText" dxfId="2" priority="11489" operator="containsText" text="Yes">
      <formula>NOT(ISERROR(SEARCH(("Yes"),(P1029))))</formula>
    </cfRule>
  </conditionalFormatting>
  <conditionalFormatting sqref="P1029:P1050">
    <cfRule type="containsText" dxfId="9" priority="11490" operator="containsText" text="No">
      <formula>NOT(ISERROR(SEARCH(("No"),(P1029))))</formula>
    </cfRule>
  </conditionalFormatting>
  <conditionalFormatting sqref="P1029:P1050">
    <cfRule type="containsText" dxfId="2" priority="11491" operator="containsText" text="Yes">
      <formula>NOT(ISERROR(SEARCH(("Yes"),(P1029))))</formula>
    </cfRule>
  </conditionalFormatting>
  <conditionalFormatting sqref="P1029:P1050">
    <cfRule type="containsText" dxfId="9" priority="11492" operator="containsText" text="No">
      <formula>NOT(ISERROR(SEARCH(("No"),(P1029))))</formula>
    </cfRule>
  </conditionalFormatting>
  <conditionalFormatting sqref="P1029:P1050">
    <cfRule type="containsText" dxfId="2" priority="11493" operator="containsText" text="Yes">
      <formula>NOT(ISERROR(SEARCH(("Yes"),(P1029))))</formula>
    </cfRule>
  </conditionalFormatting>
  <conditionalFormatting sqref="P1029:P1050">
    <cfRule type="containsText" dxfId="9" priority="11494" operator="containsText" text="No">
      <formula>NOT(ISERROR(SEARCH(("No"),(P1029))))</formula>
    </cfRule>
  </conditionalFormatting>
  <conditionalFormatting sqref="P1029:P1050">
    <cfRule type="containsText" dxfId="2" priority="11495" operator="containsText" text="Yes">
      <formula>NOT(ISERROR(SEARCH(("Yes"),(P1029))))</formula>
    </cfRule>
  </conditionalFormatting>
  <conditionalFormatting sqref="P1029:P1050">
    <cfRule type="containsText" dxfId="9" priority="11496" operator="containsText" text="No">
      <formula>NOT(ISERROR(SEARCH(("No"),(P1029))))</formula>
    </cfRule>
  </conditionalFormatting>
  <conditionalFormatting sqref="P1029:P1050">
    <cfRule type="containsText" dxfId="2" priority="11497" operator="containsText" text="Yes">
      <formula>NOT(ISERROR(SEARCH(("Yes"),(P1029))))</formula>
    </cfRule>
  </conditionalFormatting>
  <conditionalFormatting sqref="P1029:P1050">
    <cfRule type="containsText" dxfId="9" priority="11498" operator="containsText" text="No">
      <formula>NOT(ISERROR(SEARCH(("No"),(P1029))))</formula>
    </cfRule>
  </conditionalFormatting>
  <conditionalFormatting sqref="P1029:P1050">
    <cfRule type="containsText" dxfId="2" priority="11499" operator="containsText" text="Yes">
      <formula>NOT(ISERROR(SEARCH(("Yes"),(P1029))))</formula>
    </cfRule>
  </conditionalFormatting>
  <conditionalFormatting sqref="P1029:P1050">
    <cfRule type="containsText" dxfId="9" priority="11500" operator="containsText" text="No">
      <formula>NOT(ISERROR(SEARCH(("No"),(P1029))))</formula>
    </cfRule>
  </conditionalFormatting>
  <conditionalFormatting sqref="P1029:P1050">
    <cfRule type="containsText" dxfId="2" priority="11501" operator="containsText" text="Yes">
      <formula>NOT(ISERROR(SEARCH(("Yes"),(P1029))))</formula>
    </cfRule>
  </conditionalFormatting>
  <conditionalFormatting sqref="P1029:P1050">
    <cfRule type="containsText" dxfId="9" priority="11502" operator="containsText" text="No">
      <formula>NOT(ISERROR(SEARCH(("No"),(P1029))))</formula>
    </cfRule>
  </conditionalFormatting>
  <conditionalFormatting sqref="P1029:P1050">
    <cfRule type="containsText" dxfId="2" priority="11503" operator="containsText" text="Yes">
      <formula>NOT(ISERROR(SEARCH(("Yes"),(P1029))))</formula>
    </cfRule>
  </conditionalFormatting>
  <conditionalFormatting sqref="P1029:P1050">
    <cfRule type="containsText" dxfId="9" priority="11504" operator="containsText" text="No">
      <formula>NOT(ISERROR(SEARCH(("No"),(P1029))))</formula>
    </cfRule>
  </conditionalFormatting>
  <conditionalFormatting sqref="P1029:P1050">
    <cfRule type="containsText" dxfId="2" priority="11505" operator="containsText" text="Yes">
      <formula>NOT(ISERROR(SEARCH(("Yes"),(P1029))))</formula>
    </cfRule>
  </conditionalFormatting>
  <conditionalFormatting sqref="P1029:P1050">
    <cfRule type="containsText" dxfId="9" priority="11506" operator="containsText" text="No">
      <formula>NOT(ISERROR(SEARCH(("No"),(P1029))))</formula>
    </cfRule>
  </conditionalFormatting>
  <conditionalFormatting sqref="P1029:P1050">
    <cfRule type="containsText" dxfId="2" priority="11507" operator="containsText" text="Yes">
      <formula>NOT(ISERROR(SEARCH(("Yes"),(P1029))))</formula>
    </cfRule>
  </conditionalFormatting>
  <conditionalFormatting sqref="P1029:P1050">
    <cfRule type="containsText" dxfId="9" priority="11508" operator="containsText" text="No">
      <formula>NOT(ISERROR(SEARCH(("No"),(P1029))))</formula>
    </cfRule>
  </conditionalFormatting>
  <conditionalFormatting sqref="P1029:P1050">
    <cfRule type="containsText" dxfId="2" priority="11509" operator="containsText" text="Yes">
      <formula>NOT(ISERROR(SEARCH(("Yes"),(P1029))))</formula>
    </cfRule>
  </conditionalFormatting>
  <conditionalFormatting sqref="P1029:P1050">
    <cfRule type="containsText" dxfId="9" priority="11510" operator="containsText" text="No">
      <formula>NOT(ISERROR(SEARCH(("No"),(P1029))))</formula>
    </cfRule>
  </conditionalFormatting>
  <conditionalFormatting sqref="P1029:P1050">
    <cfRule type="containsText" dxfId="2" priority="11511" operator="containsText" text="Yes">
      <formula>NOT(ISERROR(SEARCH(("Yes"),(P1029))))</formula>
    </cfRule>
  </conditionalFormatting>
  <conditionalFormatting sqref="P1029:P1050">
    <cfRule type="containsText" dxfId="9" priority="11512" operator="containsText" text="No">
      <formula>NOT(ISERROR(SEARCH(("No"),(P1029))))</formula>
    </cfRule>
  </conditionalFormatting>
  <conditionalFormatting sqref="P1029:P1050">
    <cfRule type="containsText" dxfId="2" priority="11513" operator="containsText" text="Yes">
      <formula>NOT(ISERROR(SEARCH(("Yes"),(P1029))))</formula>
    </cfRule>
  </conditionalFormatting>
  <conditionalFormatting sqref="P1029:P1050">
    <cfRule type="containsText" dxfId="9" priority="11514" operator="containsText" text="No">
      <formula>NOT(ISERROR(SEARCH(("No"),(P1029))))</formula>
    </cfRule>
  </conditionalFormatting>
  <conditionalFormatting sqref="P1029:P1050">
    <cfRule type="containsText" dxfId="2" priority="11515" operator="containsText" text="Yes">
      <formula>NOT(ISERROR(SEARCH(("Yes"),(P1029))))</formula>
    </cfRule>
  </conditionalFormatting>
  <conditionalFormatting sqref="P1029:P1050">
    <cfRule type="containsText" dxfId="9" priority="11516" operator="containsText" text="No">
      <formula>NOT(ISERROR(SEARCH(("No"),(P1029))))</formula>
    </cfRule>
  </conditionalFormatting>
  <conditionalFormatting sqref="P1029:P1050">
    <cfRule type="containsText" dxfId="2" priority="11517" operator="containsText" text="Yes">
      <formula>NOT(ISERROR(SEARCH(("Yes"),(P1029))))</formula>
    </cfRule>
  </conditionalFormatting>
  <conditionalFormatting sqref="P1029:P1050">
    <cfRule type="containsText" dxfId="9" priority="11518" operator="containsText" text="No">
      <formula>NOT(ISERROR(SEARCH(("No"),(P1029))))</formula>
    </cfRule>
  </conditionalFormatting>
  <conditionalFormatting sqref="P1029:P1050">
    <cfRule type="containsText" dxfId="2" priority="11519" operator="containsText" text="Yes">
      <formula>NOT(ISERROR(SEARCH(("Yes"),(P1029))))</formula>
    </cfRule>
  </conditionalFormatting>
  <conditionalFormatting sqref="P1029:P1050">
    <cfRule type="containsText" dxfId="9" priority="11520" operator="containsText" text="No">
      <formula>NOT(ISERROR(SEARCH(("No"),(P1029))))</formula>
    </cfRule>
  </conditionalFormatting>
  <conditionalFormatting sqref="P1029:P1050">
    <cfRule type="containsText" dxfId="2" priority="11521" operator="containsText" text="Yes">
      <formula>NOT(ISERROR(SEARCH(("Yes"),(P1029))))</formula>
    </cfRule>
  </conditionalFormatting>
  <conditionalFormatting sqref="P1029:P1050">
    <cfRule type="containsText" dxfId="9" priority="11522" operator="containsText" text="No">
      <formula>NOT(ISERROR(SEARCH(("No"),(P1029))))</formula>
    </cfRule>
  </conditionalFormatting>
  <conditionalFormatting sqref="P1029:P1050">
    <cfRule type="containsText" dxfId="2" priority="11523" operator="containsText" text="Yes">
      <formula>NOT(ISERROR(SEARCH(("Yes"),(P1029))))</formula>
    </cfRule>
  </conditionalFormatting>
  <conditionalFormatting sqref="P1029:P1050">
    <cfRule type="containsText" dxfId="9" priority="11524" operator="containsText" text="No">
      <formula>NOT(ISERROR(SEARCH(("No"),(P1029))))</formula>
    </cfRule>
  </conditionalFormatting>
  <conditionalFormatting sqref="P1029:P1050">
    <cfRule type="containsText" dxfId="2" priority="11525" operator="containsText" text="Yes">
      <formula>NOT(ISERROR(SEARCH(("Yes"),(P1029))))</formula>
    </cfRule>
  </conditionalFormatting>
  <conditionalFormatting sqref="P1029:P1050">
    <cfRule type="containsText" dxfId="9" priority="11526" operator="containsText" text="No">
      <formula>NOT(ISERROR(SEARCH(("No"),(P1029))))</formula>
    </cfRule>
  </conditionalFormatting>
  <conditionalFormatting sqref="P1029:P1050">
    <cfRule type="containsText" dxfId="2" priority="11527" operator="containsText" text="Yes">
      <formula>NOT(ISERROR(SEARCH(("Yes"),(P1029))))</formula>
    </cfRule>
  </conditionalFormatting>
  <conditionalFormatting sqref="P1029:P1050">
    <cfRule type="containsText" dxfId="9" priority="11528" operator="containsText" text="No">
      <formula>NOT(ISERROR(SEARCH(("No"),(P1029))))</formula>
    </cfRule>
  </conditionalFormatting>
  <conditionalFormatting sqref="P1029:P1050">
    <cfRule type="containsText" dxfId="2" priority="11529" operator="containsText" text="Yes">
      <formula>NOT(ISERROR(SEARCH(("Yes"),(P1029))))</formula>
    </cfRule>
  </conditionalFormatting>
  <conditionalFormatting sqref="P1029:P1050">
    <cfRule type="containsText" dxfId="9" priority="11530" operator="containsText" text="No">
      <formula>NOT(ISERROR(SEARCH(("No"),(P1029))))</formula>
    </cfRule>
  </conditionalFormatting>
  <conditionalFormatting sqref="P1029:P1050">
    <cfRule type="containsText" dxfId="2" priority="11531" operator="containsText" text="Yes">
      <formula>NOT(ISERROR(SEARCH(("Yes"),(P1029))))</formula>
    </cfRule>
  </conditionalFormatting>
  <conditionalFormatting sqref="P1029:P1050">
    <cfRule type="containsText" dxfId="9" priority="11532" operator="containsText" text="No">
      <formula>NOT(ISERROR(SEARCH(("No"),(P1029))))</formula>
    </cfRule>
  </conditionalFormatting>
  <conditionalFormatting sqref="P1029:P1050">
    <cfRule type="containsText" dxfId="2" priority="11533" operator="containsText" text="Yes">
      <formula>NOT(ISERROR(SEARCH(("Yes"),(P1029))))</formula>
    </cfRule>
  </conditionalFormatting>
  <conditionalFormatting sqref="P1029:P1050">
    <cfRule type="containsText" dxfId="9" priority="11534" operator="containsText" text="No">
      <formula>NOT(ISERROR(SEARCH(("No"),(P1029))))</formula>
    </cfRule>
  </conditionalFormatting>
  <conditionalFormatting sqref="P1029:P1050">
    <cfRule type="containsText" dxfId="2" priority="11535" operator="containsText" text="Yes">
      <formula>NOT(ISERROR(SEARCH(("Yes"),(P1029))))</formula>
    </cfRule>
  </conditionalFormatting>
  <conditionalFormatting sqref="P1029:P1050">
    <cfRule type="containsText" dxfId="9" priority="11536" operator="containsText" text="No">
      <formula>NOT(ISERROR(SEARCH(("No"),(P1029))))</formula>
    </cfRule>
  </conditionalFormatting>
  <conditionalFormatting sqref="P1029:P1050">
    <cfRule type="containsText" dxfId="2" priority="11537" operator="containsText" text="Yes">
      <formula>NOT(ISERROR(SEARCH(("Yes"),(P1029))))</formula>
    </cfRule>
  </conditionalFormatting>
  <conditionalFormatting sqref="P1029:P1050">
    <cfRule type="containsText" dxfId="9" priority="11538" operator="containsText" text="No">
      <formula>NOT(ISERROR(SEARCH(("No"),(P1029))))</formula>
    </cfRule>
  </conditionalFormatting>
  <conditionalFormatting sqref="P1029:P1050">
    <cfRule type="containsText" dxfId="2" priority="11539" operator="containsText" text="Yes">
      <formula>NOT(ISERROR(SEARCH(("Yes"),(P1029))))</formula>
    </cfRule>
  </conditionalFormatting>
  <conditionalFormatting sqref="P1029:P1050">
    <cfRule type="containsText" dxfId="9" priority="11540" operator="containsText" text="No">
      <formula>NOT(ISERROR(SEARCH(("No"),(P1029))))</formula>
    </cfRule>
  </conditionalFormatting>
  <conditionalFormatting sqref="P1029:P1050">
    <cfRule type="containsText" dxfId="2" priority="11541" operator="containsText" text="Yes">
      <formula>NOT(ISERROR(SEARCH(("Yes"),(P1029))))</formula>
    </cfRule>
  </conditionalFormatting>
  <conditionalFormatting sqref="P1029:P1050">
    <cfRule type="containsText" dxfId="9" priority="11542" operator="containsText" text="No">
      <formula>NOT(ISERROR(SEARCH(("No"),(P1029))))</formula>
    </cfRule>
  </conditionalFormatting>
  <conditionalFormatting sqref="P1029:P1050">
    <cfRule type="containsText" dxfId="2" priority="11543" operator="containsText" text="Yes">
      <formula>NOT(ISERROR(SEARCH(("Yes"),(P1029))))</formula>
    </cfRule>
  </conditionalFormatting>
  <conditionalFormatting sqref="P1029:P1050">
    <cfRule type="containsText" dxfId="9" priority="11544" operator="containsText" text="No">
      <formula>NOT(ISERROR(SEARCH(("No"),(P1029))))</formula>
    </cfRule>
  </conditionalFormatting>
  <conditionalFormatting sqref="P1029:P1050">
    <cfRule type="containsText" dxfId="2" priority="11545" operator="containsText" text="Yes">
      <formula>NOT(ISERROR(SEARCH(("Yes"),(P1029))))</formula>
    </cfRule>
  </conditionalFormatting>
  <conditionalFormatting sqref="P1029:P1050">
    <cfRule type="containsText" dxfId="9" priority="11546" operator="containsText" text="No">
      <formula>NOT(ISERROR(SEARCH(("No"),(P1029))))</formula>
    </cfRule>
  </conditionalFormatting>
  <conditionalFormatting sqref="P1029:P1050">
    <cfRule type="containsText" dxfId="2" priority="11547" operator="containsText" text="Yes">
      <formula>NOT(ISERROR(SEARCH(("Yes"),(P1029))))</formula>
    </cfRule>
  </conditionalFormatting>
  <conditionalFormatting sqref="P1029:P1050">
    <cfRule type="containsText" dxfId="9" priority="11548" operator="containsText" text="No">
      <formula>NOT(ISERROR(SEARCH(("No"),(P1029))))</formula>
    </cfRule>
  </conditionalFormatting>
  <conditionalFormatting sqref="P1029:P1050">
    <cfRule type="containsText" dxfId="2" priority="11549" operator="containsText" text="Yes">
      <formula>NOT(ISERROR(SEARCH(("Yes"),(P1029))))</formula>
    </cfRule>
  </conditionalFormatting>
  <conditionalFormatting sqref="P1029:P1050">
    <cfRule type="containsText" dxfId="9" priority="11550" operator="containsText" text="No">
      <formula>NOT(ISERROR(SEARCH(("No"),(P1029))))</formula>
    </cfRule>
  </conditionalFormatting>
  <conditionalFormatting sqref="P1029:P1050">
    <cfRule type="containsText" dxfId="2" priority="11551" operator="containsText" text="Yes">
      <formula>NOT(ISERROR(SEARCH(("Yes"),(P1029))))</formula>
    </cfRule>
  </conditionalFormatting>
  <conditionalFormatting sqref="P1029:P1050">
    <cfRule type="containsText" dxfId="9" priority="11552" operator="containsText" text="No">
      <formula>NOT(ISERROR(SEARCH(("No"),(P1029))))</formula>
    </cfRule>
  </conditionalFormatting>
  <conditionalFormatting sqref="P1029:P1050">
    <cfRule type="containsText" dxfId="2" priority="11553" operator="containsText" text="Yes">
      <formula>NOT(ISERROR(SEARCH(("Yes"),(P1029))))</formula>
    </cfRule>
  </conditionalFormatting>
  <conditionalFormatting sqref="P1029:P1050">
    <cfRule type="containsText" dxfId="9" priority="11554" operator="containsText" text="No">
      <formula>NOT(ISERROR(SEARCH(("No"),(P1029))))</formula>
    </cfRule>
  </conditionalFormatting>
  <conditionalFormatting sqref="P1029:P1050">
    <cfRule type="containsText" dxfId="2" priority="11555" operator="containsText" text="Yes">
      <formula>NOT(ISERROR(SEARCH(("Yes"),(P1029))))</formula>
    </cfRule>
  </conditionalFormatting>
  <conditionalFormatting sqref="P1029:P1050">
    <cfRule type="containsText" dxfId="9" priority="11556" operator="containsText" text="No">
      <formula>NOT(ISERROR(SEARCH(("No"),(P1029))))</formula>
    </cfRule>
  </conditionalFormatting>
  <conditionalFormatting sqref="P1029:P1050">
    <cfRule type="containsText" dxfId="2" priority="11557" operator="containsText" text="Yes">
      <formula>NOT(ISERROR(SEARCH(("Yes"),(P1029))))</formula>
    </cfRule>
  </conditionalFormatting>
  <conditionalFormatting sqref="P1029:P1050">
    <cfRule type="containsText" dxfId="9" priority="11558" operator="containsText" text="No">
      <formula>NOT(ISERROR(SEARCH(("No"),(P1029))))</formula>
    </cfRule>
  </conditionalFormatting>
  <conditionalFormatting sqref="P1029:P1050">
    <cfRule type="containsText" dxfId="2" priority="11559" operator="containsText" text="Yes">
      <formula>NOT(ISERROR(SEARCH(("Yes"),(P1029))))</formula>
    </cfRule>
  </conditionalFormatting>
  <conditionalFormatting sqref="P1029:P1050">
    <cfRule type="containsText" dxfId="2" priority="11560" operator="containsText" text="Yes">
      <formula>NOT(ISERROR(SEARCH(("Yes"),(P1029))))</formula>
    </cfRule>
  </conditionalFormatting>
  <conditionalFormatting sqref="P1029:P1050">
    <cfRule type="containsText" dxfId="9" priority="11561" operator="containsText" text="No">
      <formula>NOT(ISERROR(SEARCH(("No"),(P1029))))</formula>
    </cfRule>
  </conditionalFormatting>
  <conditionalFormatting sqref="P1029:P1050">
    <cfRule type="containsText" dxfId="2" priority="11562" operator="containsText" text="Yes">
      <formula>NOT(ISERROR(SEARCH(("Yes"),(P1029))))</formula>
    </cfRule>
  </conditionalFormatting>
  <conditionalFormatting sqref="P1052:P1058">
    <cfRule type="containsText" dxfId="2" priority="11563" operator="containsText" text="Yes">
      <formula>NOT(ISERROR(SEARCH(("Yes"),(P1052))))</formula>
    </cfRule>
  </conditionalFormatting>
  <conditionalFormatting sqref="P1052:P1058">
    <cfRule type="containsText" dxfId="9" priority="11564" operator="containsText" text="No">
      <formula>NOT(ISERROR(SEARCH(("No"),(P1052))))</formula>
    </cfRule>
  </conditionalFormatting>
  <conditionalFormatting sqref="P1052:P1058">
    <cfRule type="containsText" dxfId="2" priority="11565" operator="containsText" text="Yes">
      <formula>NOT(ISERROR(SEARCH(("Yes"),(P1052))))</formula>
    </cfRule>
  </conditionalFormatting>
  <conditionalFormatting sqref="P1052:P1058">
    <cfRule type="containsText" dxfId="9" priority="11566" operator="containsText" text="No">
      <formula>NOT(ISERROR(SEARCH(("No"),(P1052))))</formula>
    </cfRule>
  </conditionalFormatting>
  <conditionalFormatting sqref="P1052:P1058">
    <cfRule type="containsText" dxfId="2" priority="11567" operator="containsText" text="Yes">
      <formula>NOT(ISERROR(SEARCH(("Yes"),(P1052))))</formula>
    </cfRule>
  </conditionalFormatting>
  <conditionalFormatting sqref="P1052:P1058">
    <cfRule type="containsText" dxfId="9" priority="11568" operator="containsText" text="No">
      <formula>NOT(ISERROR(SEARCH(("No"),(P1052))))</formula>
    </cfRule>
  </conditionalFormatting>
  <conditionalFormatting sqref="P1052:P1058">
    <cfRule type="containsText" dxfId="2" priority="11569" operator="containsText" text="Yes">
      <formula>NOT(ISERROR(SEARCH(("Yes"),(P1052))))</formula>
    </cfRule>
  </conditionalFormatting>
  <conditionalFormatting sqref="P1052:P1058">
    <cfRule type="containsText" dxfId="9" priority="11570" operator="containsText" text="No">
      <formula>NOT(ISERROR(SEARCH(("No"),(P1052))))</formula>
    </cfRule>
  </conditionalFormatting>
  <conditionalFormatting sqref="P1052:P1058">
    <cfRule type="containsText" dxfId="2" priority="11571" operator="containsText" text="Yes">
      <formula>NOT(ISERROR(SEARCH(("Yes"),(P1052))))</formula>
    </cfRule>
  </conditionalFormatting>
  <conditionalFormatting sqref="P1052:P1058">
    <cfRule type="containsText" dxfId="9" priority="11572" operator="containsText" text="No">
      <formula>NOT(ISERROR(SEARCH(("No"),(P1052))))</formula>
    </cfRule>
  </conditionalFormatting>
  <conditionalFormatting sqref="P1052:P1058">
    <cfRule type="containsText" dxfId="2" priority="11573" operator="containsText" text="Yes">
      <formula>NOT(ISERROR(SEARCH(("Yes"),(P1052))))</formula>
    </cfRule>
  </conditionalFormatting>
  <conditionalFormatting sqref="P1052:P1058">
    <cfRule type="containsText" dxfId="9" priority="11574" operator="containsText" text="No">
      <formula>NOT(ISERROR(SEARCH(("No"),(P1052))))</formula>
    </cfRule>
  </conditionalFormatting>
  <conditionalFormatting sqref="P1052:P1058">
    <cfRule type="containsText" dxfId="2" priority="11575" operator="containsText" text="Yes">
      <formula>NOT(ISERROR(SEARCH(("Yes"),(P1052))))</formula>
    </cfRule>
  </conditionalFormatting>
  <conditionalFormatting sqref="P1052:P1058">
    <cfRule type="containsText" dxfId="9" priority="11576" operator="containsText" text="No">
      <formula>NOT(ISERROR(SEARCH(("No"),(P1052))))</formula>
    </cfRule>
  </conditionalFormatting>
  <conditionalFormatting sqref="P1052:P1058">
    <cfRule type="containsText" dxfId="2" priority="11577" operator="containsText" text="Yes">
      <formula>NOT(ISERROR(SEARCH(("Yes"),(P1052))))</formula>
    </cfRule>
  </conditionalFormatting>
  <conditionalFormatting sqref="P1052:P1058">
    <cfRule type="containsText" dxfId="9" priority="11578" operator="containsText" text="No">
      <formula>NOT(ISERROR(SEARCH(("No"),(P1052))))</formula>
    </cfRule>
  </conditionalFormatting>
  <conditionalFormatting sqref="P1052:P1058">
    <cfRule type="containsText" dxfId="2" priority="11579" operator="containsText" text="Yes">
      <formula>NOT(ISERROR(SEARCH(("Yes"),(P1052))))</formula>
    </cfRule>
  </conditionalFormatting>
  <conditionalFormatting sqref="P1052:P1058">
    <cfRule type="containsText" dxfId="9" priority="11580" operator="containsText" text="No">
      <formula>NOT(ISERROR(SEARCH(("No"),(P1052))))</formula>
    </cfRule>
  </conditionalFormatting>
  <conditionalFormatting sqref="P1052:P1058">
    <cfRule type="containsText" dxfId="2" priority="11581" operator="containsText" text="Yes">
      <formula>NOT(ISERROR(SEARCH(("Yes"),(P1052))))</formula>
    </cfRule>
  </conditionalFormatting>
  <conditionalFormatting sqref="P1052:P1058">
    <cfRule type="containsText" dxfId="9" priority="11582" operator="containsText" text="No">
      <formula>NOT(ISERROR(SEARCH(("No"),(P1052))))</formula>
    </cfRule>
  </conditionalFormatting>
  <conditionalFormatting sqref="P1052:P1058">
    <cfRule type="containsText" dxfId="2" priority="11583" operator="containsText" text="Yes">
      <formula>NOT(ISERROR(SEARCH(("Yes"),(P1052))))</formula>
    </cfRule>
  </conditionalFormatting>
  <conditionalFormatting sqref="P1052:P1058">
    <cfRule type="containsText" dxfId="9" priority="11584" operator="containsText" text="No">
      <formula>NOT(ISERROR(SEARCH(("No"),(P1052))))</formula>
    </cfRule>
  </conditionalFormatting>
  <conditionalFormatting sqref="P1052:P1058">
    <cfRule type="containsText" dxfId="2" priority="11585" operator="containsText" text="Yes">
      <formula>NOT(ISERROR(SEARCH(("Yes"),(P1052))))</formula>
    </cfRule>
  </conditionalFormatting>
  <conditionalFormatting sqref="P1052:P1058">
    <cfRule type="containsText" dxfId="9" priority="11586" operator="containsText" text="No">
      <formula>NOT(ISERROR(SEARCH(("No"),(P1052))))</formula>
    </cfRule>
  </conditionalFormatting>
  <conditionalFormatting sqref="P1052:P1058">
    <cfRule type="containsText" dxfId="2" priority="11587" operator="containsText" text="Yes">
      <formula>NOT(ISERROR(SEARCH(("Yes"),(P1052))))</formula>
    </cfRule>
  </conditionalFormatting>
  <conditionalFormatting sqref="P1052:P1058">
    <cfRule type="containsText" dxfId="9" priority="11588" operator="containsText" text="No">
      <formula>NOT(ISERROR(SEARCH(("No"),(P1052))))</formula>
    </cfRule>
  </conditionalFormatting>
  <conditionalFormatting sqref="P1052:P1058">
    <cfRule type="containsText" dxfId="2" priority="11589" operator="containsText" text="Yes">
      <formula>NOT(ISERROR(SEARCH(("Yes"),(P1052))))</formula>
    </cfRule>
  </conditionalFormatting>
  <conditionalFormatting sqref="P1052:P1058">
    <cfRule type="containsText" dxfId="9" priority="11590" operator="containsText" text="No">
      <formula>NOT(ISERROR(SEARCH(("No"),(P1052))))</formula>
    </cfRule>
  </conditionalFormatting>
  <conditionalFormatting sqref="P1052:P1058">
    <cfRule type="containsText" dxfId="2" priority="11591" operator="containsText" text="Yes">
      <formula>NOT(ISERROR(SEARCH(("Yes"),(P1052))))</formula>
    </cfRule>
  </conditionalFormatting>
  <conditionalFormatting sqref="P1052:P1058">
    <cfRule type="containsText" dxfId="9" priority="11592" operator="containsText" text="No">
      <formula>NOT(ISERROR(SEARCH(("No"),(P1052))))</formula>
    </cfRule>
  </conditionalFormatting>
  <conditionalFormatting sqref="P1052:P1058">
    <cfRule type="containsText" dxfId="2" priority="11593" operator="containsText" text="Yes">
      <formula>NOT(ISERROR(SEARCH(("Yes"),(P1052))))</formula>
    </cfRule>
  </conditionalFormatting>
  <conditionalFormatting sqref="P1052:P1058">
    <cfRule type="containsText" dxfId="9" priority="11594" operator="containsText" text="No">
      <formula>NOT(ISERROR(SEARCH(("No"),(P1052))))</formula>
    </cfRule>
  </conditionalFormatting>
  <conditionalFormatting sqref="P1052:P1058">
    <cfRule type="containsText" dxfId="2" priority="11595" operator="containsText" text="Yes">
      <formula>NOT(ISERROR(SEARCH(("Yes"),(P1052))))</formula>
    </cfRule>
  </conditionalFormatting>
  <conditionalFormatting sqref="P1052:P1058">
    <cfRule type="containsText" dxfId="9" priority="11596" operator="containsText" text="No">
      <formula>NOT(ISERROR(SEARCH(("No"),(P1052))))</formula>
    </cfRule>
  </conditionalFormatting>
  <conditionalFormatting sqref="P1052:P1058">
    <cfRule type="containsText" dxfId="2" priority="11597" operator="containsText" text="Yes">
      <formula>NOT(ISERROR(SEARCH(("Yes"),(P1052))))</formula>
    </cfRule>
  </conditionalFormatting>
  <conditionalFormatting sqref="P1052:P1058">
    <cfRule type="containsText" dxfId="9" priority="11598" operator="containsText" text="No">
      <formula>NOT(ISERROR(SEARCH(("No"),(P1052))))</formula>
    </cfRule>
  </conditionalFormatting>
  <conditionalFormatting sqref="P1052:P1058">
    <cfRule type="containsText" dxfId="2" priority="11599" operator="containsText" text="Yes">
      <formula>NOT(ISERROR(SEARCH(("Yes"),(P1052))))</formula>
    </cfRule>
  </conditionalFormatting>
  <conditionalFormatting sqref="P1052:P1058">
    <cfRule type="containsText" dxfId="9" priority="11600" operator="containsText" text="No">
      <formula>NOT(ISERROR(SEARCH(("No"),(P1052))))</formula>
    </cfRule>
  </conditionalFormatting>
  <conditionalFormatting sqref="P1052:P1058">
    <cfRule type="containsText" dxfId="2" priority="11601" operator="containsText" text="Yes">
      <formula>NOT(ISERROR(SEARCH(("Yes"),(P1052))))</formula>
    </cfRule>
  </conditionalFormatting>
  <conditionalFormatting sqref="P1052:P1058">
    <cfRule type="containsText" dxfId="9" priority="11602" operator="containsText" text="No">
      <formula>NOT(ISERROR(SEARCH(("No"),(P1052))))</formula>
    </cfRule>
  </conditionalFormatting>
  <conditionalFormatting sqref="P1052:P1058">
    <cfRule type="containsText" dxfId="2" priority="11603" operator="containsText" text="Yes">
      <formula>NOT(ISERROR(SEARCH(("Yes"),(P1052))))</formula>
    </cfRule>
  </conditionalFormatting>
  <conditionalFormatting sqref="P1052:P1058">
    <cfRule type="containsText" dxfId="9" priority="11604" operator="containsText" text="No">
      <formula>NOT(ISERROR(SEARCH(("No"),(P1052))))</formula>
    </cfRule>
  </conditionalFormatting>
  <conditionalFormatting sqref="P1052:P1058">
    <cfRule type="containsText" dxfId="2" priority="11605" operator="containsText" text="Yes">
      <formula>NOT(ISERROR(SEARCH(("Yes"),(P1052))))</formula>
    </cfRule>
  </conditionalFormatting>
  <conditionalFormatting sqref="P1052:P1058">
    <cfRule type="containsText" dxfId="9" priority="11606" operator="containsText" text="No">
      <formula>NOT(ISERROR(SEARCH(("No"),(P1052))))</formula>
    </cfRule>
  </conditionalFormatting>
  <conditionalFormatting sqref="P1052:P1058">
    <cfRule type="containsText" dxfId="2" priority="11607" operator="containsText" text="Yes">
      <formula>NOT(ISERROR(SEARCH(("Yes"),(P1052))))</formula>
    </cfRule>
  </conditionalFormatting>
  <conditionalFormatting sqref="P1052:P1058">
    <cfRule type="containsText" dxfId="9" priority="11608" operator="containsText" text="No">
      <formula>NOT(ISERROR(SEARCH(("No"),(P1052))))</formula>
    </cfRule>
  </conditionalFormatting>
  <conditionalFormatting sqref="P1052:P1058">
    <cfRule type="containsText" dxfId="2" priority="11609" operator="containsText" text="Yes">
      <formula>NOT(ISERROR(SEARCH(("Yes"),(P1052))))</formula>
    </cfRule>
  </conditionalFormatting>
  <conditionalFormatting sqref="P1052:P1058">
    <cfRule type="containsText" dxfId="9" priority="11610" operator="containsText" text="No">
      <formula>NOT(ISERROR(SEARCH(("No"),(P1052))))</formula>
    </cfRule>
  </conditionalFormatting>
  <conditionalFormatting sqref="P1052:P1058">
    <cfRule type="containsText" dxfId="2" priority="11611" operator="containsText" text="Yes">
      <formula>NOT(ISERROR(SEARCH(("Yes"),(P1052))))</formula>
    </cfRule>
  </conditionalFormatting>
  <conditionalFormatting sqref="P1052:P1058">
    <cfRule type="containsText" dxfId="9" priority="11612" operator="containsText" text="No">
      <formula>NOT(ISERROR(SEARCH(("No"),(P1052))))</formula>
    </cfRule>
  </conditionalFormatting>
  <conditionalFormatting sqref="P1052:P1058">
    <cfRule type="containsText" dxfId="2" priority="11613" operator="containsText" text="Yes">
      <formula>NOT(ISERROR(SEARCH(("Yes"),(P1052))))</formula>
    </cfRule>
  </conditionalFormatting>
  <conditionalFormatting sqref="P1052:P1058">
    <cfRule type="containsText" dxfId="9" priority="11614" operator="containsText" text="No">
      <formula>NOT(ISERROR(SEARCH(("No"),(P1052))))</formula>
    </cfRule>
  </conditionalFormatting>
  <conditionalFormatting sqref="P1052:P1058">
    <cfRule type="containsText" dxfId="2" priority="11615" operator="containsText" text="Yes">
      <formula>NOT(ISERROR(SEARCH(("Yes"),(P1052))))</formula>
    </cfRule>
  </conditionalFormatting>
  <conditionalFormatting sqref="P1052:P1058">
    <cfRule type="containsText" dxfId="9" priority="11616" operator="containsText" text="No">
      <formula>NOT(ISERROR(SEARCH(("No"),(P1052))))</formula>
    </cfRule>
  </conditionalFormatting>
  <conditionalFormatting sqref="P1052:P1058">
    <cfRule type="containsText" dxfId="2" priority="11617" operator="containsText" text="Yes">
      <formula>NOT(ISERROR(SEARCH(("Yes"),(P1052))))</formula>
    </cfRule>
  </conditionalFormatting>
  <conditionalFormatting sqref="P1052:P1058">
    <cfRule type="containsText" dxfId="9" priority="11618" operator="containsText" text="No">
      <formula>NOT(ISERROR(SEARCH(("No"),(P1052))))</formula>
    </cfRule>
  </conditionalFormatting>
  <conditionalFormatting sqref="P1052:P1058">
    <cfRule type="containsText" dxfId="2" priority="11619" operator="containsText" text="Yes">
      <formula>NOT(ISERROR(SEARCH(("Yes"),(P1052))))</formula>
    </cfRule>
  </conditionalFormatting>
  <conditionalFormatting sqref="P1052:P1058">
    <cfRule type="containsText" dxfId="9" priority="11620" operator="containsText" text="No">
      <formula>NOT(ISERROR(SEARCH(("No"),(P1052))))</formula>
    </cfRule>
  </conditionalFormatting>
  <conditionalFormatting sqref="P1052:P1058">
    <cfRule type="containsText" dxfId="2" priority="11621" operator="containsText" text="Yes">
      <formula>NOT(ISERROR(SEARCH(("Yes"),(P1052))))</formula>
    </cfRule>
  </conditionalFormatting>
  <conditionalFormatting sqref="P1052:P1058">
    <cfRule type="containsText" dxfId="9" priority="11622" operator="containsText" text="No">
      <formula>NOT(ISERROR(SEARCH(("No"),(P1052))))</formula>
    </cfRule>
  </conditionalFormatting>
  <conditionalFormatting sqref="P1052:P1058">
    <cfRule type="containsText" dxfId="2" priority="11623" operator="containsText" text="Yes">
      <formula>NOT(ISERROR(SEARCH(("Yes"),(P1052))))</formula>
    </cfRule>
  </conditionalFormatting>
  <conditionalFormatting sqref="P1052:P1058">
    <cfRule type="containsText" dxfId="9" priority="11624" operator="containsText" text="No">
      <formula>NOT(ISERROR(SEARCH(("No"),(P1052))))</formula>
    </cfRule>
  </conditionalFormatting>
  <conditionalFormatting sqref="P1052:P1058">
    <cfRule type="containsText" dxfId="2" priority="11625" operator="containsText" text="Yes">
      <formula>NOT(ISERROR(SEARCH(("Yes"),(P1052))))</formula>
    </cfRule>
  </conditionalFormatting>
  <conditionalFormatting sqref="P1052:P1058">
    <cfRule type="containsText" dxfId="9" priority="11626" operator="containsText" text="No">
      <formula>NOT(ISERROR(SEARCH(("No"),(P1052))))</formula>
    </cfRule>
  </conditionalFormatting>
  <conditionalFormatting sqref="P1052:P1058">
    <cfRule type="containsText" dxfId="2" priority="11627" operator="containsText" text="Yes">
      <formula>NOT(ISERROR(SEARCH(("Yes"),(P1052))))</formula>
    </cfRule>
  </conditionalFormatting>
  <conditionalFormatting sqref="P1052:P1058">
    <cfRule type="containsText" dxfId="9" priority="11628" operator="containsText" text="No">
      <formula>NOT(ISERROR(SEARCH(("No"),(P1052))))</formula>
    </cfRule>
  </conditionalFormatting>
  <conditionalFormatting sqref="P1052:P1058">
    <cfRule type="containsText" dxfId="2" priority="11629" operator="containsText" text="Yes">
      <formula>NOT(ISERROR(SEARCH(("Yes"),(P1052))))</formula>
    </cfRule>
  </conditionalFormatting>
  <conditionalFormatting sqref="P1052:P1058">
    <cfRule type="containsText" dxfId="9" priority="11630" operator="containsText" text="No">
      <formula>NOT(ISERROR(SEARCH(("No"),(P1052))))</formula>
    </cfRule>
  </conditionalFormatting>
  <conditionalFormatting sqref="P1052:P1058">
    <cfRule type="containsText" dxfId="2" priority="11631" operator="containsText" text="Yes">
      <formula>NOT(ISERROR(SEARCH(("Yes"),(P1052))))</formula>
    </cfRule>
  </conditionalFormatting>
  <conditionalFormatting sqref="P1052:P1058">
    <cfRule type="containsText" dxfId="9" priority="11632" operator="containsText" text="No">
      <formula>NOT(ISERROR(SEARCH(("No"),(P1052))))</formula>
    </cfRule>
  </conditionalFormatting>
  <conditionalFormatting sqref="P1052:P1058">
    <cfRule type="containsText" dxfId="2" priority="11633" operator="containsText" text="Yes">
      <formula>NOT(ISERROR(SEARCH(("Yes"),(P1052))))</formula>
    </cfRule>
  </conditionalFormatting>
  <conditionalFormatting sqref="P1052:P1058">
    <cfRule type="containsText" dxfId="9" priority="11634" operator="containsText" text="No">
      <formula>NOT(ISERROR(SEARCH(("No"),(P1052))))</formula>
    </cfRule>
  </conditionalFormatting>
  <conditionalFormatting sqref="P1052:P1058">
    <cfRule type="containsText" dxfId="2" priority="11635" operator="containsText" text="Yes">
      <formula>NOT(ISERROR(SEARCH(("Yes"),(P1052))))</formula>
    </cfRule>
  </conditionalFormatting>
  <conditionalFormatting sqref="P1052:P1058">
    <cfRule type="containsText" dxfId="9" priority="11636" operator="containsText" text="No">
      <formula>NOT(ISERROR(SEARCH(("No"),(P1052))))</formula>
    </cfRule>
  </conditionalFormatting>
  <conditionalFormatting sqref="P1052:P1058">
    <cfRule type="containsText" dxfId="2" priority="11637" operator="containsText" text="Yes">
      <formula>NOT(ISERROR(SEARCH(("Yes"),(P1052))))</formula>
    </cfRule>
  </conditionalFormatting>
  <conditionalFormatting sqref="P1052:P1058">
    <cfRule type="containsText" dxfId="9" priority="11638" operator="containsText" text="No">
      <formula>NOT(ISERROR(SEARCH(("No"),(P1052))))</formula>
    </cfRule>
  </conditionalFormatting>
  <conditionalFormatting sqref="P1052:P1058">
    <cfRule type="containsText" dxfId="2" priority="11639" operator="containsText" text="Yes">
      <formula>NOT(ISERROR(SEARCH(("Yes"),(P1052))))</formula>
    </cfRule>
  </conditionalFormatting>
  <conditionalFormatting sqref="P1052:P1058">
    <cfRule type="containsText" dxfId="9" priority="11640" operator="containsText" text="No">
      <formula>NOT(ISERROR(SEARCH(("No"),(P1052))))</formula>
    </cfRule>
  </conditionalFormatting>
  <conditionalFormatting sqref="P1052:P1058">
    <cfRule type="containsText" dxfId="2" priority="11641" operator="containsText" text="Yes">
      <formula>NOT(ISERROR(SEARCH(("Yes"),(P1052))))</formula>
    </cfRule>
  </conditionalFormatting>
  <conditionalFormatting sqref="P1052:P1058">
    <cfRule type="containsText" dxfId="9" priority="11642" operator="containsText" text="No">
      <formula>NOT(ISERROR(SEARCH(("No"),(P1052))))</formula>
    </cfRule>
  </conditionalFormatting>
  <conditionalFormatting sqref="P1052:P1058">
    <cfRule type="containsText" dxfId="2" priority="11643" operator="containsText" text="Yes">
      <formula>NOT(ISERROR(SEARCH(("Yes"),(P1052))))</formula>
    </cfRule>
  </conditionalFormatting>
  <conditionalFormatting sqref="P1052:P1058">
    <cfRule type="containsText" dxfId="9" priority="11644" operator="containsText" text="No">
      <formula>NOT(ISERROR(SEARCH(("No"),(P1052))))</formula>
    </cfRule>
  </conditionalFormatting>
  <conditionalFormatting sqref="P1052:P1058">
    <cfRule type="containsText" dxfId="2" priority="11645" operator="containsText" text="Yes">
      <formula>NOT(ISERROR(SEARCH(("Yes"),(P1052))))</formula>
    </cfRule>
  </conditionalFormatting>
  <conditionalFormatting sqref="P1052:P1058">
    <cfRule type="containsText" dxfId="9" priority="11646" operator="containsText" text="No">
      <formula>NOT(ISERROR(SEARCH(("No"),(P1052))))</formula>
    </cfRule>
  </conditionalFormatting>
  <conditionalFormatting sqref="P1052:P1058">
    <cfRule type="containsText" dxfId="2" priority="11647" operator="containsText" text="Yes">
      <formula>NOT(ISERROR(SEARCH(("Yes"),(P1052))))</formula>
    </cfRule>
  </conditionalFormatting>
  <conditionalFormatting sqref="P1052:P1058">
    <cfRule type="containsText" dxfId="9" priority="11648" operator="containsText" text="No">
      <formula>NOT(ISERROR(SEARCH(("No"),(P1052))))</formula>
    </cfRule>
  </conditionalFormatting>
  <conditionalFormatting sqref="P1052:P1058">
    <cfRule type="containsText" dxfId="2" priority="11649" operator="containsText" text="Yes">
      <formula>NOT(ISERROR(SEARCH(("Yes"),(P1052))))</formula>
    </cfRule>
  </conditionalFormatting>
  <conditionalFormatting sqref="P1052:P1058">
    <cfRule type="containsText" dxfId="9" priority="11650" operator="containsText" text="No">
      <formula>NOT(ISERROR(SEARCH(("No"),(P1052))))</formula>
    </cfRule>
  </conditionalFormatting>
  <conditionalFormatting sqref="P1052:P1058">
    <cfRule type="containsText" dxfId="2" priority="11651" operator="containsText" text="Yes">
      <formula>NOT(ISERROR(SEARCH(("Yes"),(P1052))))</formula>
    </cfRule>
  </conditionalFormatting>
  <conditionalFormatting sqref="P1052:P1058">
    <cfRule type="containsText" dxfId="2" priority="11652" operator="containsText" text="Yes">
      <formula>NOT(ISERROR(SEARCH(("Yes"),(P1052))))</formula>
    </cfRule>
  </conditionalFormatting>
  <conditionalFormatting sqref="P1052:P1058">
    <cfRule type="containsText" dxfId="9" priority="11653" operator="containsText" text="No">
      <formula>NOT(ISERROR(SEARCH(("No"),(P1052))))</formula>
    </cfRule>
  </conditionalFormatting>
  <conditionalFormatting sqref="P1052:P1058">
    <cfRule type="containsText" dxfId="2" priority="11654" operator="containsText" text="Yes">
      <formula>NOT(ISERROR(SEARCH(("Yes"),(P1052))))</formula>
    </cfRule>
  </conditionalFormatting>
  <conditionalFormatting sqref="P1060">
    <cfRule type="containsText" dxfId="2" priority="11655" operator="containsText" text="Yes">
      <formula>NOT(ISERROR(SEARCH(("Yes"),(P1060))))</formula>
    </cfRule>
  </conditionalFormatting>
  <conditionalFormatting sqref="P1060">
    <cfRule type="containsText" dxfId="9" priority="11656" operator="containsText" text="No">
      <formula>NOT(ISERROR(SEARCH(("No"),(P1060))))</formula>
    </cfRule>
  </conditionalFormatting>
  <conditionalFormatting sqref="P1060">
    <cfRule type="containsText" dxfId="2" priority="11657" operator="containsText" text="Yes">
      <formula>NOT(ISERROR(SEARCH(("Yes"),(P1060))))</formula>
    </cfRule>
  </conditionalFormatting>
  <conditionalFormatting sqref="P1060">
    <cfRule type="containsText" dxfId="9" priority="11658" operator="containsText" text="No">
      <formula>NOT(ISERROR(SEARCH(("No"),(P1060))))</formula>
    </cfRule>
  </conditionalFormatting>
  <conditionalFormatting sqref="P1060">
    <cfRule type="containsText" dxfId="2" priority="11659" operator="containsText" text="Yes">
      <formula>NOT(ISERROR(SEARCH(("Yes"),(P1060))))</formula>
    </cfRule>
  </conditionalFormatting>
  <conditionalFormatting sqref="P1060">
    <cfRule type="containsText" dxfId="9" priority="11660" operator="containsText" text="No">
      <formula>NOT(ISERROR(SEARCH(("No"),(P1060))))</formula>
    </cfRule>
  </conditionalFormatting>
  <conditionalFormatting sqref="P1060">
    <cfRule type="containsText" dxfId="2" priority="11661" operator="containsText" text="Yes">
      <formula>NOT(ISERROR(SEARCH(("Yes"),(P1060))))</formula>
    </cfRule>
  </conditionalFormatting>
  <conditionalFormatting sqref="P1060">
    <cfRule type="containsText" dxfId="9" priority="11662" operator="containsText" text="No">
      <formula>NOT(ISERROR(SEARCH(("No"),(P1060))))</formula>
    </cfRule>
  </conditionalFormatting>
  <conditionalFormatting sqref="P1060">
    <cfRule type="containsText" dxfId="2" priority="11663" operator="containsText" text="Yes">
      <formula>NOT(ISERROR(SEARCH(("Yes"),(P1060))))</formula>
    </cfRule>
  </conditionalFormatting>
  <conditionalFormatting sqref="P1060">
    <cfRule type="containsText" dxfId="9" priority="11664" operator="containsText" text="No">
      <formula>NOT(ISERROR(SEARCH(("No"),(P1060))))</formula>
    </cfRule>
  </conditionalFormatting>
  <conditionalFormatting sqref="P1060">
    <cfRule type="containsText" dxfId="2" priority="11665" operator="containsText" text="Yes">
      <formula>NOT(ISERROR(SEARCH(("Yes"),(P1060))))</formula>
    </cfRule>
  </conditionalFormatting>
  <conditionalFormatting sqref="P1060">
    <cfRule type="containsText" dxfId="9" priority="11666" operator="containsText" text="No">
      <formula>NOT(ISERROR(SEARCH(("No"),(P1060))))</formula>
    </cfRule>
  </conditionalFormatting>
  <conditionalFormatting sqref="P1060">
    <cfRule type="containsText" dxfId="2" priority="11667" operator="containsText" text="Yes">
      <formula>NOT(ISERROR(SEARCH(("Yes"),(P1060))))</formula>
    </cfRule>
  </conditionalFormatting>
  <conditionalFormatting sqref="P1060">
    <cfRule type="containsText" dxfId="9" priority="11668" operator="containsText" text="No">
      <formula>NOT(ISERROR(SEARCH(("No"),(P1060))))</formula>
    </cfRule>
  </conditionalFormatting>
  <conditionalFormatting sqref="P1060">
    <cfRule type="containsText" dxfId="2" priority="11669" operator="containsText" text="Yes">
      <formula>NOT(ISERROR(SEARCH(("Yes"),(P1060))))</formula>
    </cfRule>
  </conditionalFormatting>
  <conditionalFormatting sqref="P1060">
    <cfRule type="containsText" dxfId="9" priority="11670" operator="containsText" text="No">
      <formula>NOT(ISERROR(SEARCH(("No"),(P1060))))</formula>
    </cfRule>
  </conditionalFormatting>
  <conditionalFormatting sqref="P1060">
    <cfRule type="containsText" dxfId="2" priority="11671" operator="containsText" text="Yes">
      <formula>NOT(ISERROR(SEARCH(("Yes"),(P1060))))</formula>
    </cfRule>
  </conditionalFormatting>
  <conditionalFormatting sqref="P1060">
    <cfRule type="containsText" dxfId="9" priority="11672" operator="containsText" text="No">
      <formula>NOT(ISERROR(SEARCH(("No"),(P1060))))</formula>
    </cfRule>
  </conditionalFormatting>
  <conditionalFormatting sqref="P1060">
    <cfRule type="containsText" dxfId="2" priority="11673" operator="containsText" text="Yes">
      <formula>NOT(ISERROR(SEARCH(("Yes"),(P1060))))</formula>
    </cfRule>
  </conditionalFormatting>
  <conditionalFormatting sqref="P1060">
    <cfRule type="containsText" dxfId="9" priority="11674" operator="containsText" text="No">
      <formula>NOT(ISERROR(SEARCH(("No"),(P1060))))</formula>
    </cfRule>
  </conditionalFormatting>
  <conditionalFormatting sqref="P1060">
    <cfRule type="containsText" dxfId="2" priority="11675" operator="containsText" text="Yes">
      <formula>NOT(ISERROR(SEARCH(("Yes"),(P1060))))</formula>
    </cfRule>
  </conditionalFormatting>
  <conditionalFormatting sqref="P1060">
    <cfRule type="containsText" dxfId="9" priority="11676" operator="containsText" text="No">
      <formula>NOT(ISERROR(SEARCH(("No"),(P1060))))</formula>
    </cfRule>
  </conditionalFormatting>
  <conditionalFormatting sqref="P1060">
    <cfRule type="containsText" dxfId="2" priority="11677" operator="containsText" text="Yes">
      <formula>NOT(ISERROR(SEARCH(("Yes"),(P1060))))</formula>
    </cfRule>
  </conditionalFormatting>
  <conditionalFormatting sqref="P1060">
    <cfRule type="containsText" dxfId="9" priority="11678" operator="containsText" text="No">
      <formula>NOT(ISERROR(SEARCH(("No"),(P1060))))</formula>
    </cfRule>
  </conditionalFormatting>
  <conditionalFormatting sqref="P1060">
    <cfRule type="containsText" dxfId="2" priority="11679" operator="containsText" text="Yes">
      <formula>NOT(ISERROR(SEARCH(("Yes"),(P1060))))</formula>
    </cfRule>
  </conditionalFormatting>
  <conditionalFormatting sqref="P1060">
    <cfRule type="containsText" dxfId="9" priority="11680" operator="containsText" text="No">
      <formula>NOT(ISERROR(SEARCH(("No"),(P1060))))</formula>
    </cfRule>
  </conditionalFormatting>
  <conditionalFormatting sqref="P1060">
    <cfRule type="containsText" dxfId="2" priority="11681" operator="containsText" text="Yes">
      <formula>NOT(ISERROR(SEARCH(("Yes"),(P1060))))</formula>
    </cfRule>
  </conditionalFormatting>
  <conditionalFormatting sqref="P1060">
    <cfRule type="containsText" dxfId="9" priority="11682" operator="containsText" text="No">
      <formula>NOT(ISERROR(SEARCH(("No"),(P1060))))</formula>
    </cfRule>
  </conditionalFormatting>
  <conditionalFormatting sqref="P1060">
    <cfRule type="containsText" dxfId="2" priority="11683" operator="containsText" text="Yes">
      <formula>NOT(ISERROR(SEARCH(("Yes"),(P1060))))</formula>
    </cfRule>
  </conditionalFormatting>
  <conditionalFormatting sqref="P1060">
    <cfRule type="containsText" dxfId="9" priority="11684" operator="containsText" text="No">
      <formula>NOT(ISERROR(SEARCH(("No"),(P1060))))</formula>
    </cfRule>
  </conditionalFormatting>
  <conditionalFormatting sqref="P1060">
    <cfRule type="containsText" dxfId="2" priority="11685" operator="containsText" text="Yes">
      <formula>NOT(ISERROR(SEARCH(("Yes"),(P1060))))</formula>
    </cfRule>
  </conditionalFormatting>
  <conditionalFormatting sqref="P1060">
    <cfRule type="containsText" dxfId="9" priority="11686" operator="containsText" text="No">
      <formula>NOT(ISERROR(SEARCH(("No"),(P1060))))</formula>
    </cfRule>
  </conditionalFormatting>
  <conditionalFormatting sqref="P1060">
    <cfRule type="containsText" dxfId="2" priority="11687" operator="containsText" text="Yes">
      <formula>NOT(ISERROR(SEARCH(("Yes"),(P1060))))</formula>
    </cfRule>
  </conditionalFormatting>
  <conditionalFormatting sqref="P1060">
    <cfRule type="containsText" dxfId="9" priority="11688" operator="containsText" text="No">
      <formula>NOT(ISERROR(SEARCH(("No"),(P1060))))</formula>
    </cfRule>
  </conditionalFormatting>
  <conditionalFormatting sqref="P1060">
    <cfRule type="containsText" dxfId="2" priority="11689" operator="containsText" text="Yes">
      <formula>NOT(ISERROR(SEARCH(("Yes"),(P1060))))</formula>
    </cfRule>
  </conditionalFormatting>
  <conditionalFormatting sqref="P1060">
    <cfRule type="containsText" dxfId="9" priority="11690" operator="containsText" text="No">
      <formula>NOT(ISERROR(SEARCH(("No"),(P1060))))</formula>
    </cfRule>
  </conditionalFormatting>
  <conditionalFormatting sqref="P1060">
    <cfRule type="containsText" dxfId="2" priority="11691" operator="containsText" text="Yes">
      <formula>NOT(ISERROR(SEARCH(("Yes"),(P1060))))</formula>
    </cfRule>
  </conditionalFormatting>
  <conditionalFormatting sqref="P1060">
    <cfRule type="containsText" dxfId="9" priority="11692" operator="containsText" text="No">
      <formula>NOT(ISERROR(SEARCH(("No"),(P1060))))</formula>
    </cfRule>
  </conditionalFormatting>
  <conditionalFormatting sqref="P1060">
    <cfRule type="containsText" dxfId="2" priority="11693" operator="containsText" text="Yes">
      <formula>NOT(ISERROR(SEARCH(("Yes"),(P1060))))</formula>
    </cfRule>
  </conditionalFormatting>
  <conditionalFormatting sqref="P1060">
    <cfRule type="containsText" dxfId="9" priority="11694" operator="containsText" text="No">
      <formula>NOT(ISERROR(SEARCH(("No"),(P1060))))</formula>
    </cfRule>
  </conditionalFormatting>
  <conditionalFormatting sqref="P1060">
    <cfRule type="containsText" dxfId="2" priority="11695" operator="containsText" text="Yes">
      <formula>NOT(ISERROR(SEARCH(("Yes"),(P1060))))</formula>
    </cfRule>
  </conditionalFormatting>
  <conditionalFormatting sqref="P1060">
    <cfRule type="containsText" dxfId="9" priority="11696" operator="containsText" text="No">
      <formula>NOT(ISERROR(SEARCH(("No"),(P1060))))</formula>
    </cfRule>
  </conditionalFormatting>
  <conditionalFormatting sqref="P1060">
    <cfRule type="containsText" dxfId="2" priority="11697" operator="containsText" text="Yes">
      <formula>NOT(ISERROR(SEARCH(("Yes"),(P1060))))</formula>
    </cfRule>
  </conditionalFormatting>
  <conditionalFormatting sqref="P1060">
    <cfRule type="containsText" dxfId="9" priority="11698" operator="containsText" text="No">
      <formula>NOT(ISERROR(SEARCH(("No"),(P1060))))</formula>
    </cfRule>
  </conditionalFormatting>
  <conditionalFormatting sqref="P1060">
    <cfRule type="containsText" dxfId="2" priority="11699" operator="containsText" text="Yes">
      <formula>NOT(ISERROR(SEARCH(("Yes"),(P1060))))</formula>
    </cfRule>
  </conditionalFormatting>
  <conditionalFormatting sqref="P1060">
    <cfRule type="containsText" dxfId="9" priority="11700" operator="containsText" text="No">
      <formula>NOT(ISERROR(SEARCH(("No"),(P1060))))</formula>
    </cfRule>
  </conditionalFormatting>
  <conditionalFormatting sqref="P1060">
    <cfRule type="containsText" dxfId="2" priority="11701" operator="containsText" text="Yes">
      <formula>NOT(ISERROR(SEARCH(("Yes"),(P1060))))</formula>
    </cfRule>
  </conditionalFormatting>
  <conditionalFormatting sqref="P1060">
    <cfRule type="containsText" dxfId="9" priority="11702" operator="containsText" text="No">
      <formula>NOT(ISERROR(SEARCH(("No"),(P1060))))</formula>
    </cfRule>
  </conditionalFormatting>
  <conditionalFormatting sqref="P1060">
    <cfRule type="containsText" dxfId="2" priority="11703" operator="containsText" text="Yes">
      <formula>NOT(ISERROR(SEARCH(("Yes"),(P1060))))</formula>
    </cfRule>
  </conditionalFormatting>
  <conditionalFormatting sqref="P1060">
    <cfRule type="containsText" dxfId="9" priority="11704" operator="containsText" text="No">
      <formula>NOT(ISERROR(SEARCH(("No"),(P1060))))</formula>
    </cfRule>
  </conditionalFormatting>
  <conditionalFormatting sqref="P1060">
    <cfRule type="containsText" dxfId="2" priority="11705" operator="containsText" text="Yes">
      <formula>NOT(ISERROR(SEARCH(("Yes"),(P1060))))</formula>
    </cfRule>
  </conditionalFormatting>
  <conditionalFormatting sqref="P1060">
    <cfRule type="containsText" dxfId="9" priority="11706" operator="containsText" text="No">
      <formula>NOT(ISERROR(SEARCH(("No"),(P1060))))</formula>
    </cfRule>
  </conditionalFormatting>
  <conditionalFormatting sqref="P1060">
    <cfRule type="containsText" dxfId="2" priority="11707" operator="containsText" text="Yes">
      <formula>NOT(ISERROR(SEARCH(("Yes"),(P1060))))</formula>
    </cfRule>
  </conditionalFormatting>
  <conditionalFormatting sqref="P1060">
    <cfRule type="containsText" dxfId="9" priority="11708" operator="containsText" text="No">
      <formula>NOT(ISERROR(SEARCH(("No"),(P1060))))</formula>
    </cfRule>
  </conditionalFormatting>
  <conditionalFormatting sqref="P1060">
    <cfRule type="containsText" dxfId="2" priority="11709" operator="containsText" text="Yes">
      <formula>NOT(ISERROR(SEARCH(("Yes"),(P1060))))</formula>
    </cfRule>
  </conditionalFormatting>
  <conditionalFormatting sqref="P1060">
    <cfRule type="containsText" dxfId="9" priority="11710" operator="containsText" text="No">
      <formula>NOT(ISERROR(SEARCH(("No"),(P1060))))</formula>
    </cfRule>
  </conditionalFormatting>
  <conditionalFormatting sqref="P1060">
    <cfRule type="containsText" dxfId="2" priority="11711" operator="containsText" text="Yes">
      <formula>NOT(ISERROR(SEARCH(("Yes"),(P1060))))</formula>
    </cfRule>
  </conditionalFormatting>
  <conditionalFormatting sqref="P1060">
    <cfRule type="containsText" dxfId="9" priority="11712" operator="containsText" text="No">
      <formula>NOT(ISERROR(SEARCH(("No"),(P1060))))</formula>
    </cfRule>
  </conditionalFormatting>
  <conditionalFormatting sqref="P1060">
    <cfRule type="containsText" dxfId="2" priority="11713" operator="containsText" text="Yes">
      <formula>NOT(ISERROR(SEARCH(("Yes"),(P1060))))</formula>
    </cfRule>
  </conditionalFormatting>
  <conditionalFormatting sqref="P1060">
    <cfRule type="containsText" dxfId="9" priority="11714" operator="containsText" text="No">
      <formula>NOT(ISERROR(SEARCH(("No"),(P1060))))</formula>
    </cfRule>
  </conditionalFormatting>
  <conditionalFormatting sqref="P1060">
    <cfRule type="containsText" dxfId="2" priority="11715" operator="containsText" text="Yes">
      <formula>NOT(ISERROR(SEARCH(("Yes"),(P1060))))</formula>
    </cfRule>
  </conditionalFormatting>
  <conditionalFormatting sqref="P1060">
    <cfRule type="containsText" dxfId="9" priority="11716" operator="containsText" text="No">
      <formula>NOT(ISERROR(SEARCH(("No"),(P1060))))</formula>
    </cfRule>
  </conditionalFormatting>
  <conditionalFormatting sqref="P1060">
    <cfRule type="containsText" dxfId="2" priority="11717" operator="containsText" text="Yes">
      <formula>NOT(ISERROR(SEARCH(("Yes"),(P1060))))</formula>
    </cfRule>
  </conditionalFormatting>
  <conditionalFormatting sqref="P1060">
    <cfRule type="containsText" dxfId="9" priority="11718" operator="containsText" text="No">
      <formula>NOT(ISERROR(SEARCH(("No"),(P1060))))</formula>
    </cfRule>
  </conditionalFormatting>
  <conditionalFormatting sqref="P1060">
    <cfRule type="containsText" dxfId="2" priority="11719" operator="containsText" text="Yes">
      <formula>NOT(ISERROR(SEARCH(("Yes"),(P1060))))</formula>
    </cfRule>
  </conditionalFormatting>
  <conditionalFormatting sqref="P1060">
    <cfRule type="containsText" dxfId="9" priority="11720" operator="containsText" text="No">
      <formula>NOT(ISERROR(SEARCH(("No"),(P1060))))</formula>
    </cfRule>
  </conditionalFormatting>
  <conditionalFormatting sqref="P1060">
    <cfRule type="containsText" dxfId="2" priority="11721" operator="containsText" text="Yes">
      <formula>NOT(ISERROR(SEARCH(("Yes"),(P1060))))</formula>
    </cfRule>
  </conditionalFormatting>
  <conditionalFormatting sqref="P1060">
    <cfRule type="containsText" dxfId="9" priority="11722" operator="containsText" text="No">
      <formula>NOT(ISERROR(SEARCH(("No"),(P1060))))</formula>
    </cfRule>
  </conditionalFormatting>
  <conditionalFormatting sqref="P1060">
    <cfRule type="containsText" dxfId="2" priority="11723" operator="containsText" text="Yes">
      <formula>NOT(ISERROR(SEARCH(("Yes"),(P1060))))</formula>
    </cfRule>
  </conditionalFormatting>
  <conditionalFormatting sqref="P1060">
    <cfRule type="containsText" dxfId="9" priority="11724" operator="containsText" text="No">
      <formula>NOT(ISERROR(SEARCH(("No"),(P1060))))</formula>
    </cfRule>
  </conditionalFormatting>
  <conditionalFormatting sqref="P1060">
    <cfRule type="containsText" dxfId="2" priority="11725" operator="containsText" text="Yes">
      <formula>NOT(ISERROR(SEARCH(("Yes"),(P1060))))</formula>
    </cfRule>
  </conditionalFormatting>
  <conditionalFormatting sqref="P1060">
    <cfRule type="containsText" dxfId="9" priority="11726" operator="containsText" text="No">
      <formula>NOT(ISERROR(SEARCH(("No"),(P1060))))</formula>
    </cfRule>
  </conditionalFormatting>
  <conditionalFormatting sqref="P1060">
    <cfRule type="containsText" dxfId="2" priority="11727" operator="containsText" text="Yes">
      <formula>NOT(ISERROR(SEARCH(("Yes"),(P1060))))</formula>
    </cfRule>
  </conditionalFormatting>
  <conditionalFormatting sqref="P1060">
    <cfRule type="containsText" dxfId="9" priority="11728" operator="containsText" text="No">
      <formula>NOT(ISERROR(SEARCH(("No"),(P1060))))</formula>
    </cfRule>
  </conditionalFormatting>
  <conditionalFormatting sqref="P1060">
    <cfRule type="containsText" dxfId="2" priority="11729" operator="containsText" text="Yes">
      <formula>NOT(ISERROR(SEARCH(("Yes"),(P1060))))</formula>
    </cfRule>
  </conditionalFormatting>
  <conditionalFormatting sqref="P1060">
    <cfRule type="containsText" dxfId="9" priority="11730" operator="containsText" text="No">
      <formula>NOT(ISERROR(SEARCH(("No"),(P1060))))</formula>
    </cfRule>
  </conditionalFormatting>
  <conditionalFormatting sqref="P1060">
    <cfRule type="containsText" dxfId="2" priority="11731" operator="containsText" text="Yes">
      <formula>NOT(ISERROR(SEARCH(("Yes"),(P1060))))</formula>
    </cfRule>
  </conditionalFormatting>
  <conditionalFormatting sqref="P1060">
    <cfRule type="containsText" dxfId="9" priority="11732" operator="containsText" text="No">
      <formula>NOT(ISERROR(SEARCH(("No"),(P1060))))</formula>
    </cfRule>
  </conditionalFormatting>
  <conditionalFormatting sqref="P1060">
    <cfRule type="containsText" dxfId="2" priority="11733" operator="containsText" text="Yes">
      <formula>NOT(ISERROR(SEARCH(("Yes"),(P1060))))</formula>
    </cfRule>
  </conditionalFormatting>
  <conditionalFormatting sqref="P1060">
    <cfRule type="containsText" dxfId="9" priority="11734" operator="containsText" text="No">
      <formula>NOT(ISERROR(SEARCH(("No"),(P1060))))</formula>
    </cfRule>
  </conditionalFormatting>
  <conditionalFormatting sqref="P1060">
    <cfRule type="containsText" dxfId="2" priority="11735" operator="containsText" text="Yes">
      <formula>NOT(ISERROR(SEARCH(("Yes"),(P1060))))</formula>
    </cfRule>
  </conditionalFormatting>
  <conditionalFormatting sqref="P1060">
    <cfRule type="containsText" dxfId="9" priority="11736" operator="containsText" text="No">
      <formula>NOT(ISERROR(SEARCH(("No"),(P1060))))</formula>
    </cfRule>
  </conditionalFormatting>
  <conditionalFormatting sqref="P1060">
    <cfRule type="containsText" dxfId="2" priority="11737" operator="containsText" text="Yes">
      <formula>NOT(ISERROR(SEARCH(("Yes"),(P1060))))</formula>
    </cfRule>
  </conditionalFormatting>
  <conditionalFormatting sqref="P1060">
    <cfRule type="containsText" dxfId="9" priority="11738" operator="containsText" text="No">
      <formula>NOT(ISERROR(SEARCH(("No"),(P1060))))</formula>
    </cfRule>
  </conditionalFormatting>
  <conditionalFormatting sqref="P1060">
    <cfRule type="containsText" dxfId="2" priority="11739" operator="containsText" text="Yes">
      <formula>NOT(ISERROR(SEARCH(("Yes"),(P1060))))</formula>
    </cfRule>
  </conditionalFormatting>
  <conditionalFormatting sqref="P1060">
    <cfRule type="containsText" dxfId="9" priority="11740" operator="containsText" text="No">
      <formula>NOT(ISERROR(SEARCH(("No"),(P1060))))</formula>
    </cfRule>
  </conditionalFormatting>
  <conditionalFormatting sqref="P1060">
    <cfRule type="containsText" dxfId="2" priority="11741" operator="containsText" text="Yes">
      <formula>NOT(ISERROR(SEARCH(("Yes"),(P1060))))</formula>
    </cfRule>
  </conditionalFormatting>
  <conditionalFormatting sqref="P1060">
    <cfRule type="containsText" dxfId="9" priority="11742" operator="containsText" text="No">
      <formula>NOT(ISERROR(SEARCH(("No"),(P1060))))</formula>
    </cfRule>
  </conditionalFormatting>
  <conditionalFormatting sqref="P1060">
    <cfRule type="containsText" dxfId="2" priority="11743" operator="containsText" text="Yes">
      <formula>NOT(ISERROR(SEARCH(("Yes"),(P1060))))</formula>
    </cfRule>
  </conditionalFormatting>
  <conditionalFormatting sqref="P1060">
    <cfRule type="containsText" dxfId="2" priority="11744" operator="containsText" text="Yes">
      <formula>NOT(ISERROR(SEARCH(("Yes"),(P1060))))</formula>
    </cfRule>
  </conditionalFormatting>
  <conditionalFormatting sqref="P1060">
    <cfRule type="containsText" dxfId="9" priority="11745" operator="containsText" text="No">
      <formula>NOT(ISERROR(SEARCH(("No"),(P1060))))</formula>
    </cfRule>
  </conditionalFormatting>
  <conditionalFormatting sqref="P1060">
    <cfRule type="containsText" dxfId="2" priority="11746" operator="containsText" text="Yes">
      <formula>NOT(ISERROR(SEARCH(("Yes"),(P1060))))</formula>
    </cfRule>
  </conditionalFormatting>
  <conditionalFormatting sqref="P1064:P1068 P1071:P1073 P1075:P1077 P1079 P1081 P1083:P1084">
    <cfRule type="containsText" dxfId="2" priority="11747" operator="containsText" text="Yes">
      <formula>NOT(ISERROR(SEARCH(("Yes"),(P1064))))</formula>
    </cfRule>
  </conditionalFormatting>
  <conditionalFormatting sqref="P1064:P1068 P1071:P1073 P1075:P1077 P1079 P1081 P1083:P1084">
    <cfRule type="containsText" dxfId="9" priority="11748" operator="containsText" text="No">
      <formula>NOT(ISERROR(SEARCH(("No"),(P1064))))</formula>
    </cfRule>
  </conditionalFormatting>
  <conditionalFormatting sqref="P1064:P1068 P1071:P1073 P1075:P1077 P1079 P1081 P1083:P1084">
    <cfRule type="containsText" dxfId="2" priority="11749" operator="containsText" text="Yes">
      <formula>NOT(ISERROR(SEARCH(("Yes"),(P1064))))</formula>
    </cfRule>
  </conditionalFormatting>
  <conditionalFormatting sqref="P1064:P1068 P1071:P1073 P1075:P1077 P1079 P1081 P1083:P1084">
    <cfRule type="containsText" dxfId="9" priority="11750" operator="containsText" text="No">
      <formula>NOT(ISERROR(SEARCH(("No"),(P1064))))</formula>
    </cfRule>
  </conditionalFormatting>
  <conditionalFormatting sqref="P1064:P1068 P1071:P1073 P1075:P1077 P1079 P1081 P1083:P1084">
    <cfRule type="containsText" dxfId="2" priority="11751" operator="containsText" text="Yes">
      <formula>NOT(ISERROR(SEARCH(("Yes"),(P1064))))</formula>
    </cfRule>
  </conditionalFormatting>
  <conditionalFormatting sqref="P1064:P1068 P1071:P1073 P1075:P1077 P1079 P1081 P1083:P1084">
    <cfRule type="containsText" dxfId="9" priority="11752" operator="containsText" text="No">
      <formula>NOT(ISERROR(SEARCH(("No"),(P1064))))</formula>
    </cfRule>
  </conditionalFormatting>
  <conditionalFormatting sqref="P1064:P1068 P1071:P1073 P1075:P1077 P1079 P1081 P1083:P1084">
    <cfRule type="containsText" dxfId="2" priority="11753" operator="containsText" text="Yes">
      <formula>NOT(ISERROR(SEARCH(("Yes"),(P1064))))</formula>
    </cfRule>
  </conditionalFormatting>
  <conditionalFormatting sqref="P1064:P1068 P1071:P1073 P1075:P1077 P1079 P1081 P1083:P1084">
    <cfRule type="containsText" dxfId="9" priority="11754" operator="containsText" text="No">
      <formula>NOT(ISERROR(SEARCH(("No"),(P1064))))</formula>
    </cfRule>
  </conditionalFormatting>
  <conditionalFormatting sqref="P1064:P1068 P1071:P1073 P1075:P1077 P1079 P1081 P1083:P1084">
    <cfRule type="containsText" dxfId="2" priority="11755" operator="containsText" text="Yes">
      <formula>NOT(ISERROR(SEARCH(("Yes"),(P1064))))</formula>
    </cfRule>
  </conditionalFormatting>
  <conditionalFormatting sqref="P1064:P1068 P1071:P1073 P1075:P1077 P1079 P1081 P1083:P1084">
    <cfRule type="containsText" dxfId="9" priority="11756" operator="containsText" text="No">
      <formula>NOT(ISERROR(SEARCH(("No"),(P1064))))</formula>
    </cfRule>
  </conditionalFormatting>
  <conditionalFormatting sqref="P1064:P1068 P1071:P1073 P1075:P1077 P1079 P1081 P1083:P1084">
    <cfRule type="containsText" dxfId="2" priority="11757" operator="containsText" text="Yes">
      <formula>NOT(ISERROR(SEARCH(("Yes"),(P1064))))</formula>
    </cfRule>
  </conditionalFormatting>
  <conditionalFormatting sqref="P1064:P1068 P1071:P1073 P1075:P1077 P1079 P1081 P1083:P1084">
    <cfRule type="containsText" dxfId="9" priority="11758" operator="containsText" text="No">
      <formula>NOT(ISERROR(SEARCH(("No"),(P1064))))</formula>
    </cfRule>
  </conditionalFormatting>
  <conditionalFormatting sqref="P1064:P1068 P1071:P1073 P1075:P1077 P1079 P1081 P1083:P1084">
    <cfRule type="containsText" dxfId="2" priority="11759" operator="containsText" text="Yes">
      <formula>NOT(ISERROR(SEARCH(("Yes"),(P1064))))</formula>
    </cfRule>
  </conditionalFormatting>
  <conditionalFormatting sqref="P1064:P1068 P1071:P1073 P1075:P1077 P1079 P1081 P1083:P1084">
    <cfRule type="containsText" dxfId="9" priority="11760" operator="containsText" text="No">
      <formula>NOT(ISERROR(SEARCH(("No"),(P1064))))</formula>
    </cfRule>
  </conditionalFormatting>
  <conditionalFormatting sqref="P1064:P1068 P1071:P1073 P1075:P1077 P1079 P1081 P1083:P1084">
    <cfRule type="containsText" dxfId="2" priority="11761" operator="containsText" text="Yes">
      <formula>NOT(ISERROR(SEARCH(("Yes"),(P1064))))</formula>
    </cfRule>
  </conditionalFormatting>
  <conditionalFormatting sqref="P1064:P1068 P1071:P1073 P1075:P1077 P1079 P1081 P1083:P1084">
    <cfRule type="containsText" dxfId="9" priority="11762" operator="containsText" text="No">
      <formula>NOT(ISERROR(SEARCH(("No"),(P1064))))</formula>
    </cfRule>
  </conditionalFormatting>
  <conditionalFormatting sqref="P1064:P1068 P1071:P1073 P1075:P1077 P1079 P1081 P1083:P1084">
    <cfRule type="containsText" dxfId="2" priority="11763" operator="containsText" text="Yes">
      <formula>NOT(ISERROR(SEARCH(("Yes"),(P1064))))</formula>
    </cfRule>
  </conditionalFormatting>
  <conditionalFormatting sqref="P1064:P1068 P1071:P1073 P1075:P1077 P1079 P1081 P1083:P1084">
    <cfRule type="containsText" dxfId="9" priority="11764" operator="containsText" text="No">
      <formula>NOT(ISERROR(SEARCH(("No"),(P1064))))</formula>
    </cfRule>
  </conditionalFormatting>
  <conditionalFormatting sqref="P1064:P1068 P1071:P1073 P1075:P1077 P1079 P1081 P1083:P1084">
    <cfRule type="containsText" dxfId="2" priority="11765" operator="containsText" text="Yes">
      <formula>NOT(ISERROR(SEARCH(("Yes"),(P1064))))</formula>
    </cfRule>
  </conditionalFormatting>
  <conditionalFormatting sqref="P1064:P1068 P1071:P1073 P1075:P1077 P1079 P1081 P1083:P1084">
    <cfRule type="containsText" dxfId="9" priority="11766" operator="containsText" text="No">
      <formula>NOT(ISERROR(SEARCH(("No"),(P1064))))</formula>
    </cfRule>
  </conditionalFormatting>
  <conditionalFormatting sqref="P1064:P1068 P1071:P1073 P1075:P1077 P1079 P1081 P1083:P1084">
    <cfRule type="containsText" dxfId="2" priority="11767" operator="containsText" text="Yes">
      <formula>NOT(ISERROR(SEARCH(("Yes"),(P1064))))</formula>
    </cfRule>
  </conditionalFormatting>
  <conditionalFormatting sqref="P1064:P1068 P1071:P1073 P1075:P1077 P1079 P1081 P1083:P1084">
    <cfRule type="containsText" dxfId="9" priority="11768" operator="containsText" text="No">
      <formula>NOT(ISERROR(SEARCH(("No"),(P1064))))</formula>
    </cfRule>
  </conditionalFormatting>
  <conditionalFormatting sqref="P1064:P1068 P1071:P1073 P1075:P1077 P1079 P1081 P1083:P1084">
    <cfRule type="containsText" dxfId="2" priority="11769" operator="containsText" text="Yes">
      <formula>NOT(ISERROR(SEARCH(("Yes"),(P1064))))</formula>
    </cfRule>
  </conditionalFormatting>
  <conditionalFormatting sqref="P1064:P1068 P1071:P1073 P1075:P1077 P1079 P1081 P1083:P1084">
    <cfRule type="containsText" dxfId="9" priority="11770" operator="containsText" text="No">
      <formula>NOT(ISERROR(SEARCH(("No"),(P1064))))</formula>
    </cfRule>
  </conditionalFormatting>
  <conditionalFormatting sqref="P1064:P1068 P1071:P1073 P1075:P1077 P1079 P1081 P1083:P1084">
    <cfRule type="containsText" dxfId="2" priority="11771" operator="containsText" text="Yes">
      <formula>NOT(ISERROR(SEARCH(("Yes"),(P1064))))</formula>
    </cfRule>
  </conditionalFormatting>
  <conditionalFormatting sqref="P1064:P1068 P1071:P1073 P1075:P1077 P1079 P1081 P1083:P1084">
    <cfRule type="containsText" dxfId="9" priority="11772" operator="containsText" text="No">
      <formula>NOT(ISERROR(SEARCH(("No"),(P1064))))</formula>
    </cfRule>
  </conditionalFormatting>
  <conditionalFormatting sqref="P1064:P1068 P1071:P1073 P1075:P1077 P1079 P1081 P1083:P1084">
    <cfRule type="containsText" dxfId="2" priority="11773" operator="containsText" text="Yes">
      <formula>NOT(ISERROR(SEARCH(("Yes"),(P1064))))</formula>
    </cfRule>
  </conditionalFormatting>
  <conditionalFormatting sqref="P1064:P1068 P1071:P1073 P1075:P1077 P1079 P1081 P1083:P1084">
    <cfRule type="containsText" dxfId="9" priority="11774" operator="containsText" text="No">
      <formula>NOT(ISERROR(SEARCH(("No"),(P1064))))</formula>
    </cfRule>
  </conditionalFormatting>
  <conditionalFormatting sqref="P1064:P1068 P1071:P1073 P1075:P1077 P1079 P1081 P1083:P1084">
    <cfRule type="containsText" dxfId="2" priority="11775" operator="containsText" text="Yes">
      <formula>NOT(ISERROR(SEARCH(("Yes"),(P1064))))</formula>
    </cfRule>
  </conditionalFormatting>
  <conditionalFormatting sqref="P1064:P1068 P1071:P1073 P1075:P1077 P1079 P1081 P1083:P1084">
    <cfRule type="containsText" dxfId="9" priority="11776" operator="containsText" text="No">
      <formula>NOT(ISERROR(SEARCH(("No"),(P1064))))</formula>
    </cfRule>
  </conditionalFormatting>
  <conditionalFormatting sqref="P1064:P1068 P1071:P1073 P1075:P1077 P1079 P1081 P1083:P1084">
    <cfRule type="containsText" dxfId="2" priority="11777" operator="containsText" text="Yes">
      <formula>NOT(ISERROR(SEARCH(("Yes"),(P1064))))</formula>
    </cfRule>
  </conditionalFormatting>
  <conditionalFormatting sqref="P1064:P1068 P1071:P1073 P1075:P1077 P1079 P1081 P1083:P1084">
    <cfRule type="containsText" dxfId="9" priority="11778" operator="containsText" text="No">
      <formula>NOT(ISERROR(SEARCH(("No"),(P1064))))</formula>
    </cfRule>
  </conditionalFormatting>
  <conditionalFormatting sqref="P1064:P1068 P1071:P1073 P1075:P1077 P1079 P1081 P1083:P1084">
    <cfRule type="containsText" dxfId="2" priority="11779" operator="containsText" text="Yes">
      <formula>NOT(ISERROR(SEARCH(("Yes"),(P1064))))</formula>
    </cfRule>
  </conditionalFormatting>
  <conditionalFormatting sqref="P1064:P1068 P1071:P1073 P1075:P1077 P1079 P1081 P1083:P1084">
    <cfRule type="containsText" dxfId="9" priority="11780" operator="containsText" text="No">
      <formula>NOT(ISERROR(SEARCH(("No"),(P1064))))</formula>
    </cfRule>
  </conditionalFormatting>
  <conditionalFormatting sqref="P1064:P1068 P1071:P1073 P1075:P1077 P1079 P1081 P1083:P1084">
    <cfRule type="containsText" dxfId="2" priority="11781" operator="containsText" text="Yes">
      <formula>NOT(ISERROR(SEARCH(("Yes"),(P1064))))</formula>
    </cfRule>
  </conditionalFormatting>
  <conditionalFormatting sqref="P1064:P1068 P1071:P1073 P1075:P1077 P1079 P1081 P1083:P1084">
    <cfRule type="containsText" dxfId="9" priority="11782" operator="containsText" text="No">
      <formula>NOT(ISERROR(SEARCH(("No"),(P1064))))</formula>
    </cfRule>
  </conditionalFormatting>
  <conditionalFormatting sqref="P1064:P1068 P1071:P1073 P1075:P1077 P1079 P1081 P1083:P1084">
    <cfRule type="containsText" dxfId="2" priority="11783" operator="containsText" text="Yes">
      <formula>NOT(ISERROR(SEARCH(("Yes"),(P1064))))</formula>
    </cfRule>
  </conditionalFormatting>
  <conditionalFormatting sqref="P1064:P1068 P1071:P1073 P1075:P1077 P1079 P1081 P1083:P1084">
    <cfRule type="containsText" dxfId="9" priority="11784" operator="containsText" text="No">
      <formula>NOT(ISERROR(SEARCH(("No"),(P1064))))</formula>
    </cfRule>
  </conditionalFormatting>
  <conditionalFormatting sqref="P1064:P1068 P1071:P1073 P1075:P1077 P1079 P1081 P1083:P1084">
    <cfRule type="containsText" dxfId="2" priority="11785" operator="containsText" text="Yes">
      <formula>NOT(ISERROR(SEARCH(("Yes"),(P1064))))</formula>
    </cfRule>
  </conditionalFormatting>
  <conditionalFormatting sqref="P1064:P1068 P1071:P1073 P1075:P1077 P1079 P1081 P1083:P1084">
    <cfRule type="containsText" dxfId="9" priority="11786" operator="containsText" text="No">
      <formula>NOT(ISERROR(SEARCH(("No"),(P1064))))</formula>
    </cfRule>
  </conditionalFormatting>
  <conditionalFormatting sqref="P1064:P1068 P1071:P1073 P1075:P1077 P1079 P1081 P1083:P1084">
    <cfRule type="containsText" dxfId="2" priority="11787" operator="containsText" text="Yes">
      <formula>NOT(ISERROR(SEARCH(("Yes"),(P1064))))</formula>
    </cfRule>
  </conditionalFormatting>
  <conditionalFormatting sqref="P1064:P1068 P1071:P1073 P1075:P1077 P1079 P1081 P1083:P1084">
    <cfRule type="containsText" dxfId="9" priority="11788" operator="containsText" text="No">
      <formula>NOT(ISERROR(SEARCH(("No"),(P1064))))</formula>
    </cfRule>
  </conditionalFormatting>
  <conditionalFormatting sqref="P1064:P1068 P1071:P1073 P1075:P1077 P1079 P1081 P1083:P1084">
    <cfRule type="containsText" dxfId="2" priority="11789" operator="containsText" text="Yes">
      <formula>NOT(ISERROR(SEARCH(("Yes"),(P1064))))</formula>
    </cfRule>
  </conditionalFormatting>
  <conditionalFormatting sqref="P1064:P1068 P1071:P1073 P1075:P1077 P1079 P1081 P1083:P1084">
    <cfRule type="containsText" dxfId="9" priority="11790" operator="containsText" text="No">
      <formula>NOT(ISERROR(SEARCH(("No"),(P1064))))</formula>
    </cfRule>
  </conditionalFormatting>
  <conditionalFormatting sqref="P1064:P1068 P1071:P1073 P1075:P1077 P1079 P1081 P1083:P1084">
    <cfRule type="containsText" dxfId="2" priority="11791" operator="containsText" text="Yes">
      <formula>NOT(ISERROR(SEARCH(("Yes"),(P1064))))</formula>
    </cfRule>
  </conditionalFormatting>
  <conditionalFormatting sqref="P1064:P1068 P1071:P1073 P1075:P1077 P1079 P1081 P1083:P1084">
    <cfRule type="containsText" dxfId="9" priority="11792" operator="containsText" text="No">
      <formula>NOT(ISERROR(SEARCH(("No"),(P1064))))</formula>
    </cfRule>
  </conditionalFormatting>
  <conditionalFormatting sqref="P1064:P1068 P1071:P1073 P1075:P1077 P1079 P1081 P1083:P1084">
    <cfRule type="containsText" dxfId="2" priority="11793" operator="containsText" text="Yes">
      <formula>NOT(ISERROR(SEARCH(("Yes"),(P1064))))</formula>
    </cfRule>
  </conditionalFormatting>
  <conditionalFormatting sqref="P1064:P1068 P1071:P1073 P1075:P1077 P1079 P1081 P1083:P1084">
    <cfRule type="containsText" dxfId="9" priority="11794" operator="containsText" text="No">
      <formula>NOT(ISERROR(SEARCH(("No"),(P1064))))</formula>
    </cfRule>
  </conditionalFormatting>
  <conditionalFormatting sqref="P1064:P1068 P1071:P1073 P1075:P1077 P1079 P1081 P1083:P1084">
    <cfRule type="containsText" dxfId="2" priority="11795" operator="containsText" text="Yes">
      <formula>NOT(ISERROR(SEARCH(("Yes"),(P1064))))</formula>
    </cfRule>
  </conditionalFormatting>
  <conditionalFormatting sqref="P1064:P1068 P1071:P1073 P1075:P1077 P1079 P1081 P1083:P1084">
    <cfRule type="containsText" dxfId="9" priority="11796" operator="containsText" text="No">
      <formula>NOT(ISERROR(SEARCH(("No"),(P1064))))</formula>
    </cfRule>
  </conditionalFormatting>
  <conditionalFormatting sqref="P1064:P1068 P1071:P1073 P1075:P1077 P1079 P1081 P1083:P1084">
    <cfRule type="containsText" dxfId="2" priority="11797" operator="containsText" text="Yes">
      <formula>NOT(ISERROR(SEARCH(("Yes"),(P1064))))</formula>
    </cfRule>
  </conditionalFormatting>
  <conditionalFormatting sqref="P1064:P1068 P1071:P1073 P1075:P1077 P1079 P1081 P1083:P1084">
    <cfRule type="containsText" dxfId="9" priority="11798" operator="containsText" text="No">
      <formula>NOT(ISERROR(SEARCH(("No"),(P1064))))</formula>
    </cfRule>
  </conditionalFormatting>
  <conditionalFormatting sqref="P1064:P1068 P1071:P1073 P1075:P1077 P1079 P1081 P1083:P1084">
    <cfRule type="containsText" dxfId="2" priority="11799" operator="containsText" text="Yes">
      <formula>NOT(ISERROR(SEARCH(("Yes"),(P1064))))</formula>
    </cfRule>
  </conditionalFormatting>
  <conditionalFormatting sqref="P1064:P1068 P1071:P1073 P1075:P1077 P1079 P1081 P1083:P1084">
    <cfRule type="containsText" dxfId="9" priority="11800" operator="containsText" text="No">
      <formula>NOT(ISERROR(SEARCH(("No"),(P1064))))</formula>
    </cfRule>
  </conditionalFormatting>
  <conditionalFormatting sqref="P1064:P1068 P1071:P1073 P1075:P1077 P1079 P1081 P1083:P1084">
    <cfRule type="containsText" dxfId="2" priority="11801" operator="containsText" text="Yes">
      <formula>NOT(ISERROR(SEARCH(("Yes"),(P1064))))</formula>
    </cfRule>
  </conditionalFormatting>
  <conditionalFormatting sqref="P1064:P1068 P1071:P1073 P1075:P1077 P1079 P1081 P1083:P1084">
    <cfRule type="containsText" dxfId="9" priority="11802" operator="containsText" text="No">
      <formula>NOT(ISERROR(SEARCH(("No"),(P1064))))</formula>
    </cfRule>
  </conditionalFormatting>
  <conditionalFormatting sqref="P1064:P1068 P1071:P1073 P1075:P1077 P1079 P1081 P1083:P1084">
    <cfRule type="containsText" dxfId="2" priority="11803" operator="containsText" text="Yes">
      <formula>NOT(ISERROR(SEARCH(("Yes"),(P1064))))</formula>
    </cfRule>
  </conditionalFormatting>
  <conditionalFormatting sqref="P1064:P1068 P1071:P1073 P1075:P1077 P1079 P1081 P1083:P1084">
    <cfRule type="containsText" dxfId="9" priority="11804" operator="containsText" text="No">
      <formula>NOT(ISERROR(SEARCH(("No"),(P1064))))</formula>
    </cfRule>
  </conditionalFormatting>
  <conditionalFormatting sqref="P1064:P1068 P1071:P1073 P1075:P1077 P1079 P1081 P1083:P1084">
    <cfRule type="containsText" dxfId="2" priority="11805" operator="containsText" text="Yes">
      <formula>NOT(ISERROR(SEARCH(("Yes"),(P1064))))</formula>
    </cfRule>
  </conditionalFormatting>
  <conditionalFormatting sqref="P1064:P1068 P1071:P1073 P1075:P1077 P1079 P1081 P1083:P1084">
    <cfRule type="containsText" dxfId="9" priority="11806" operator="containsText" text="No">
      <formula>NOT(ISERROR(SEARCH(("No"),(P1064))))</formula>
    </cfRule>
  </conditionalFormatting>
  <conditionalFormatting sqref="P1064:P1068 P1071:P1073 P1075:P1077 P1079 P1081 P1083:P1084">
    <cfRule type="containsText" dxfId="2" priority="11807" operator="containsText" text="Yes">
      <formula>NOT(ISERROR(SEARCH(("Yes"),(P1064))))</formula>
    </cfRule>
  </conditionalFormatting>
  <conditionalFormatting sqref="P1064:P1068 P1071:P1073 P1075:P1077 P1079 P1081 P1083:P1084">
    <cfRule type="containsText" dxfId="9" priority="11808" operator="containsText" text="No">
      <formula>NOT(ISERROR(SEARCH(("No"),(P1064))))</formula>
    </cfRule>
  </conditionalFormatting>
  <conditionalFormatting sqref="P1064:P1068 P1071:P1073 P1075:P1077 P1079 P1081 P1083:P1084">
    <cfRule type="containsText" dxfId="2" priority="11809" operator="containsText" text="Yes">
      <formula>NOT(ISERROR(SEARCH(("Yes"),(P1064))))</formula>
    </cfRule>
  </conditionalFormatting>
  <conditionalFormatting sqref="P1064:P1068 P1071:P1073 P1075:P1077 P1079 P1081 P1083:P1084">
    <cfRule type="containsText" dxfId="9" priority="11810" operator="containsText" text="No">
      <formula>NOT(ISERROR(SEARCH(("No"),(P1064))))</formula>
    </cfRule>
  </conditionalFormatting>
  <conditionalFormatting sqref="P1064:P1068 P1071:P1073 P1075:P1077 P1079 P1081 P1083:P1084">
    <cfRule type="containsText" dxfId="2" priority="11811" operator="containsText" text="Yes">
      <formula>NOT(ISERROR(SEARCH(("Yes"),(P1064))))</formula>
    </cfRule>
  </conditionalFormatting>
  <conditionalFormatting sqref="P1064:P1068 P1071:P1073 P1075:P1077 P1079 P1081 P1083:P1084">
    <cfRule type="containsText" dxfId="9" priority="11812" operator="containsText" text="No">
      <formula>NOT(ISERROR(SEARCH(("No"),(P1064))))</formula>
    </cfRule>
  </conditionalFormatting>
  <conditionalFormatting sqref="P1064:P1068 P1071:P1073 P1075:P1077 P1079 P1081 P1083:P1084">
    <cfRule type="containsText" dxfId="2" priority="11813" operator="containsText" text="Yes">
      <formula>NOT(ISERROR(SEARCH(("Yes"),(P1064))))</formula>
    </cfRule>
  </conditionalFormatting>
  <conditionalFormatting sqref="P1064:P1068 P1071:P1073 P1075:P1077 P1079 P1081 P1083:P1084">
    <cfRule type="containsText" dxfId="9" priority="11814" operator="containsText" text="No">
      <formula>NOT(ISERROR(SEARCH(("No"),(P1064))))</formula>
    </cfRule>
  </conditionalFormatting>
  <conditionalFormatting sqref="P1064:P1068 P1071:P1073 P1075:P1077 P1079 P1081 P1083:P1084">
    <cfRule type="containsText" dxfId="2" priority="11815" operator="containsText" text="Yes">
      <formula>NOT(ISERROR(SEARCH(("Yes"),(P1064))))</formula>
    </cfRule>
  </conditionalFormatting>
  <conditionalFormatting sqref="P1064:P1068 P1071:P1073 P1075:P1077 P1079 P1081 P1083:P1084">
    <cfRule type="containsText" dxfId="9" priority="11816" operator="containsText" text="No">
      <formula>NOT(ISERROR(SEARCH(("No"),(P1064))))</formula>
    </cfRule>
  </conditionalFormatting>
  <conditionalFormatting sqref="P1064:P1068 P1071:P1073 P1075:P1077 P1079 P1081 P1083:P1084">
    <cfRule type="containsText" dxfId="2" priority="11817" operator="containsText" text="Yes">
      <formula>NOT(ISERROR(SEARCH(("Yes"),(P1064))))</formula>
    </cfRule>
  </conditionalFormatting>
  <conditionalFormatting sqref="P1064:P1068 P1071:P1073 P1075:P1077 P1079 P1081 P1083:P1084">
    <cfRule type="containsText" dxfId="9" priority="11818" operator="containsText" text="No">
      <formula>NOT(ISERROR(SEARCH(("No"),(P1064))))</formula>
    </cfRule>
  </conditionalFormatting>
  <conditionalFormatting sqref="P1064:P1068 P1071:P1073 P1075:P1077 P1079 P1081 P1083:P1084">
    <cfRule type="containsText" dxfId="2" priority="11819" operator="containsText" text="Yes">
      <formula>NOT(ISERROR(SEARCH(("Yes"),(P1064))))</formula>
    </cfRule>
  </conditionalFormatting>
  <conditionalFormatting sqref="P1064:P1068 P1071:P1073 P1075:P1077 P1079 P1081 P1083:P1084">
    <cfRule type="containsText" dxfId="9" priority="11820" operator="containsText" text="No">
      <formula>NOT(ISERROR(SEARCH(("No"),(P1064))))</formula>
    </cfRule>
  </conditionalFormatting>
  <conditionalFormatting sqref="P1064:P1068 P1071:P1073 P1075:P1077 P1079 P1081 P1083:P1084">
    <cfRule type="containsText" dxfId="2" priority="11821" operator="containsText" text="Yes">
      <formula>NOT(ISERROR(SEARCH(("Yes"),(P1064))))</formula>
    </cfRule>
  </conditionalFormatting>
  <conditionalFormatting sqref="P1064:P1068 P1071:P1073 P1075:P1077 P1079 P1081 P1083:P1084">
    <cfRule type="containsText" dxfId="9" priority="11822" operator="containsText" text="No">
      <formula>NOT(ISERROR(SEARCH(("No"),(P1064))))</formula>
    </cfRule>
  </conditionalFormatting>
  <conditionalFormatting sqref="P1064:P1068 P1071:P1073 P1075:P1077 P1079 P1081 P1083:P1084">
    <cfRule type="containsText" dxfId="2" priority="11823" operator="containsText" text="Yes">
      <formula>NOT(ISERROR(SEARCH(("Yes"),(P1064))))</formula>
    </cfRule>
  </conditionalFormatting>
  <conditionalFormatting sqref="P1064:P1068 P1071:P1073 P1075:P1077 P1079 P1081 P1083:P1084">
    <cfRule type="containsText" dxfId="9" priority="11824" operator="containsText" text="No">
      <formula>NOT(ISERROR(SEARCH(("No"),(P1064))))</formula>
    </cfRule>
  </conditionalFormatting>
  <conditionalFormatting sqref="P1064:P1068 P1071:P1073 P1075:P1077 P1079 P1081 P1083:P1084">
    <cfRule type="containsText" dxfId="2" priority="11825" operator="containsText" text="Yes">
      <formula>NOT(ISERROR(SEARCH(("Yes"),(P1064))))</formula>
    </cfRule>
  </conditionalFormatting>
  <conditionalFormatting sqref="P1064:P1068 P1071:P1073 P1075:P1077 P1079 P1081 P1083:P1084">
    <cfRule type="containsText" dxfId="9" priority="11826" operator="containsText" text="No">
      <formula>NOT(ISERROR(SEARCH(("No"),(P1064))))</formula>
    </cfRule>
  </conditionalFormatting>
  <conditionalFormatting sqref="P1064:P1068 P1071:P1073 P1075:P1077 P1079 P1081 P1083:P1084">
    <cfRule type="containsText" dxfId="2" priority="11827" operator="containsText" text="Yes">
      <formula>NOT(ISERROR(SEARCH(("Yes"),(P1064))))</formula>
    </cfRule>
  </conditionalFormatting>
  <conditionalFormatting sqref="P1064:P1068 P1071:P1073 P1075:P1077 P1079 P1081 P1083:P1084">
    <cfRule type="containsText" dxfId="9" priority="11828" operator="containsText" text="No">
      <formula>NOT(ISERROR(SEARCH(("No"),(P1064))))</formula>
    </cfRule>
  </conditionalFormatting>
  <conditionalFormatting sqref="P1064:P1068 P1071:P1073 P1075:P1077 P1079 P1081 P1083:P1084">
    <cfRule type="containsText" dxfId="2" priority="11829" operator="containsText" text="Yes">
      <formula>NOT(ISERROR(SEARCH(("Yes"),(P1064))))</formula>
    </cfRule>
  </conditionalFormatting>
  <conditionalFormatting sqref="P1064:P1068 P1071:P1073 P1075:P1077 P1079 P1081 P1083:P1084">
    <cfRule type="containsText" dxfId="9" priority="11830" operator="containsText" text="No">
      <formula>NOT(ISERROR(SEARCH(("No"),(P1064))))</formula>
    </cfRule>
  </conditionalFormatting>
  <conditionalFormatting sqref="P1064:P1068 P1071:P1073 P1075:P1077 P1079 P1081 P1083:P1084">
    <cfRule type="containsText" dxfId="2" priority="11831" operator="containsText" text="Yes">
      <formula>NOT(ISERROR(SEARCH(("Yes"),(P1064))))</formula>
    </cfRule>
  </conditionalFormatting>
  <conditionalFormatting sqref="P1064:P1068 P1071:P1073 P1075:P1077 P1079 P1081 P1083:P1084">
    <cfRule type="containsText" dxfId="9" priority="11832" operator="containsText" text="No">
      <formula>NOT(ISERROR(SEARCH(("No"),(P1064))))</formula>
    </cfRule>
  </conditionalFormatting>
  <conditionalFormatting sqref="P1064:P1068 P1071:P1073 P1075:P1077 P1079 P1081 P1083:P1084">
    <cfRule type="containsText" dxfId="2" priority="11833" operator="containsText" text="Yes">
      <formula>NOT(ISERROR(SEARCH(("Yes"),(P1064))))</formula>
    </cfRule>
  </conditionalFormatting>
  <conditionalFormatting sqref="P1064:P1068 P1071:P1073 P1075:P1077 P1079 P1081 P1083:P1084">
    <cfRule type="containsText" dxfId="9" priority="11834" operator="containsText" text="No">
      <formula>NOT(ISERROR(SEARCH(("No"),(P1064))))</formula>
    </cfRule>
  </conditionalFormatting>
  <conditionalFormatting sqref="P1064:P1068 P1071:P1073 P1075:P1077 P1079 P1081 P1083:P1084">
    <cfRule type="containsText" dxfId="2" priority="11835" operator="containsText" text="Yes">
      <formula>NOT(ISERROR(SEARCH(("Yes"),(P1064))))</formula>
    </cfRule>
  </conditionalFormatting>
  <conditionalFormatting sqref="P1064:P1068 P1071:P1073 P1075:P1077 P1079 P1081 P1083:P1084">
    <cfRule type="containsText" dxfId="2" priority="11836" operator="containsText" text="Yes">
      <formula>NOT(ISERROR(SEARCH(("Yes"),(P1064))))</formula>
    </cfRule>
  </conditionalFormatting>
  <conditionalFormatting sqref="P1064:P1068 P1071:P1073 P1075:P1077 P1079 P1081 P1083:P1084">
    <cfRule type="containsText" dxfId="9" priority="11837" operator="containsText" text="No">
      <formula>NOT(ISERROR(SEARCH(("No"),(P1064))))</formula>
    </cfRule>
  </conditionalFormatting>
  <conditionalFormatting sqref="P1064:P1068 P1071:P1073 P1075:P1077 P1079 P1081 P1083:P1084">
    <cfRule type="containsText" dxfId="2" priority="11838" operator="containsText" text="Yes">
      <formula>NOT(ISERROR(SEARCH(("Yes"),(P1064))))</formula>
    </cfRule>
  </conditionalFormatting>
  <conditionalFormatting sqref="P1080">
    <cfRule type="containsText" dxfId="9" priority="11839" operator="containsText" text="No">
      <formula>NOT(ISERROR(SEARCH(("No"),(P1080))))</formula>
    </cfRule>
  </conditionalFormatting>
  <conditionalFormatting sqref="P1080">
    <cfRule type="containsText" dxfId="2" priority="11840" operator="containsText" text="Yes">
      <formula>NOT(ISERROR(SEARCH(("Yes"),(P1080))))</formula>
    </cfRule>
  </conditionalFormatting>
  <conditionalFormatting sqref="P1082">
    <cfRule type="containsText" dxfId="9" priority="11841" operator="containsText" text="No">
      <formula>NOT(ISERROR(SEARCH(("No"),(P1082))))</formula>
    </cfRule>
  </conditionalFormatting>
  <conditionalFormatting sqref="P1082">
    <cfRule type="containsText" dxfId="2" priority="11842" operator="containsText" text="Yes">
      <formula>NOT(ISERROR(SEARCH(("Yes"),(P1082))))</formula>
    </cfRule>
  </conditionalFormatting>
  <conditionalFormatting sqref="P1085">
    <cfRule type="containsText" dxfId="9" priority="11843" operator="containsText" text="No">
      <formula>NOT(ISERROR(SEARCH(("No"),(P1085))))</formula>
    </cfRule>
  </conditionalFormatting>
  <conditionalFormatting sqref="P1085">
    <cfRule type="containsText" dxfId="2" priority="11844" operator="containsText" text="Yes">
      <formula>NOT(ISERROR(SEARCH(("Yes"),(P1085))))</formula>
    </cfRule>
  </conditionalFormatting>
  <conditionalFormatting sqref="P1086:P1092">
    <cfRule type="containsText" dxfId="9" priority="11845" operator="containsText" text="No">
      <formula>NOT(ISERROR(SEARCH(("No"),(P1086))))</formula>
    </cfRule>
  </conditionalFormatting>
  <conditionalFormatting sqref="P1086:P1092">
    <cfRule type="containsText" dxfId="2" priority="11846" operator="containsText" text="Yes">
      <formula>NOT(ISERROR(SEARCH(("Yes"),(P1086))))</formula>
    </cfRule>
  </conditionalFormatting>
  <conditionalFormatting sqref="P1086:P1092">
    <cfRule type="containsText" dxfId="9" priority="11847" operator="containsText" text="No">
      <formula>NOT(ISERROR(SEARCH(("No"),(P1086))))</formula>
    </cfRule>
  </conditionalFormatting>
  <conditionalFormatting sqref="P1086:P1092">
    <cfRule type="containsText" dxfId="2" priority="11848" operator="containsText" text="Yes">
      <formula>NOT(ISERROR(SEARCH(("Yes"),(P1086))))</formula>
    </cfRule>
  </conditionalFormatting>
  <conditionalFormatting sqref="P1086:P1092">
    <cfRule type="containsText" dxfId="9" priority="11849" operator="containsText" text="No">
      <formula>NOT(ISERROR(SEARCH(("No"),(P1086))))</formula>
    </cfRule>
  </conditionalFormatting>
  <conditionalFormatting sqref="P1086:P1092">
    <cfRule type="containsText" dxfId="2" priority="11850" operator="containsText" text="Yes">
      <formula>NOT(ISERROR(SEARCH(("Yes"),(P1086))))</formula>
    </cfRule>
  </conditionalFormatting>
  <conditionalFormatting sqref="P1086:P1092">
    <cfRule type="containsText" dxfId="9" priority="11851" operator="containsText" text="No">
      <formula>NOT(ISERROR(SEARCH(("No"),(P1086))))</formula>
    </cfRule>
  </conditionalFormatting>
  <conditionalFormatting sqref="P1086:P1092">
    <cfRule type="containsText" dxfId="2" priority="11852" operator="containsText" text="Yes">
      <formula>NOT(ISERROR(SEARCH(("Yes"),(P1086))))</formula>
    </cfRule>
  </conditionalFormatting>
  <conditionalFormatting sqref="P1086:P1092">
    <cfRule type="containsText" dxfId="9" priority="11853" operator="containsText" text="No">
      <formula>NOT(ISERROR(SEARCH(("No"),(P1086))))</formula>
    </cfRule>
  </conditionalFormatting>
  <conditionalFormatting sqref="P1086:P1092">
    <cfRule type="containsText" dxfId="2" priority="11854" operator="containsText" text="Yes">
      <formula>NOT(ISERROR(SEARCH(("Yes"),(P1086))))</formula>
    </cfRule>
  </conditionalFormatting>
  <conditionalFormatting sqref="P1086:P1092">
    <cfRule type="containsText" dxfId="9" priority="11855" operator="containsText" text="No">
      <formula>NOT(ISERROR(SEARCH(("No"),(P1086))))</formula>
    </cfRule>
  </conditionalFormatting>
  <conditionalFormatting sqref="P1086:P1092">
    <cfRule type="containsText" dxfId="2" priority="11856" operator="containsText" text="Yes">
      <formula>NOT(ISERROR(SEARCH(("Yes"),(P1086))))</formula>
    </cfRule>
  </conditionalFormatting>
  <conditionalFormatting sqref="P1086:P1092">
    <cfRule type="containsText" dxfId="9" priority="11857" operator="containsText" text="No">
      <formula>NOT(ISERROR(SEARCH(("No"),(P1086))))</formula>
    </cfRule>
  </conditionalFormatting>
  <conditionalFormatting sqref="P1086:P1092">
    <cfRule type="containsText" dxfId="2" priority="11858" operator="containsText" text="Yes">
      <formula>NOT(ISERROR(SEARCH(("Yes"),(P1086))))</formula>
    </cfRule>
  </conditionalFormatting>
  <conditionalFormatting sqref="P1086:P1092">
    <cfRule type="containsText" dxfId="9" priority="11859" operator="containsText" text="No">
      <formula>NOT(ISERROR(SEARCH(("No"),(P1086))))</formula>
    </cfRule>
  </conditionalFormatting>
  <conditionalFormatting sqref="P1086:P1092">
    <cfRule type="containsText" dxfId="2" priority="11860" operator="containsText" text="Yes">
      <formula>NOT(ISERROR(SEARCH(("Yes"),(P1086))))</formula>
    </cfRule>
  </conditionalFormatting>
  <conditionalFormatting sqref="P1086:P1092">
    <cfRule type="containsText" dxfId="9" priority="11861" operator="containsText" text="No">
      <formula>NOT(ISERROR(SEARCH(("No"),(P1086))))</formula>
    </cfRule>
  </conditionalFormatting>
  <conditionalFormatting sqref="P1086:P1092">
    <cfRule type="containsText" dxfId="2" priority="11862" operator="containsText" text="Yes">
      <formula>NOT(ISERROR(SEARCH(("Yes"),(P1086))))</formula>
    </cfRule>
  </conditionalFormatting>
  <conditionalFormatting sqref="P1086:P1092">
    <cfRule type="containsText" dxfId="2" priority="11863" operator="containsText" text="Yes">
      <formula>NOT(ISERROR(SEARCH(("Yes"),(P1086))))</formula>
    </cfRule>
  </conditionalFormatting>
  <conditionalFormatting sqref="P1086:P1092">
    <cfRule type="containsText" dxfId="9" priority="11864" operator="containsText" text="No">
      <formula>NOT(ISERROR(SEARCH(("No"),(P1086))))</formula>
    </cfRule>
  </conditionalFormatting>
  <conditionalFormatting sqref="P1086:P1092">
    <cfRule type="containsText" dxfId="2" priority="11865" operator="containsText" text="Yes">
      <formula>NOT(ISERROR(SEARCH(("Yes"),(P1086))))</formula>
    </cfRule>
  </conditionalFormatting>
  <conditionalFormatting sqref="P1086:P1092">
    <cfRule type="containsText" dxfId="9" priority="11866" operator="containsText" text="No">
      <formula>NOT(ISERROR(SEARCH(("No"),(P1086))))</formula>
    </cfRule>
  </conditionalFormatting>
  <conditionalFormatting sqref="P1086:P1092">
    <cfRule type="containsText" dxfId="2" priority="11867" operator="containsText" text="Yes">
      <formula>NOT(ISERROR(SEARCH(("Yes"),(P1086))))</formula>
    </cfRule>
  </conditionalFormatting>
  <conditionalFormatting sqref="P1086:P1092">
    <cfRule type="containsText" dxfId="9" priority="11868" operator="containsText" text="No">
      <formula>NOT(ISERROR(SEARCH(("No"),(P1086))))</formula>
    </cfRule>
  </conditionalFormatting>
  <conditionalFormatting sqref="P1086:P1092">
    <cfRule type="containsText" dxfId="2" priority="11869" operator="containsText" text="Yes">
      <formula>NOT(ISERROR(SEARCH(("Yes"),(P1086))))</formula>
    </cfRule>
  </conditionalFormatting>
  <conditionalFormatting sqref="P1086:P1092">
    <cfRule type="containsText" dxfId="9" priority="11870" operator="containsText" text="No">
      <formula>NOT(ISERROR(SEARCH(("No"),(P1086))))</formula>
    </cfRule>
  </conditionalFormatting>
  <conditionalFormatting sqref="P1086:P1092">
    <cfRule type="containsText" dxfId="2" priority="11871" operator="containsText" text="Yes">
      <formula>NOT(ISERROR(SEARCH(("Yes"),(P1086))))</formula>
    </cfRule>
  </conditionalFormatting>
  <conditionalFormatting sqref="P1086:P1092">
    <cfRule type="containsText" dxfId="9" priority="11872" operator="containsText" text="No">
      <formula>NOT(ISERROR(SEARCH(("No"),(P1086))))</formula>
    </cfRule>
  </conditionalFormatting>
  <conditionalFormatting sqref="P1086:P1092">
    <cfRule type="containsText" dxfId="2" priority="11873" operator="containsText" text="Yes">
      <formula>NOT(ISERROR(SEARCH(("Yes"),(P1086))))</formula>
    </cfRule>
  </conditionalFormatting>
  <conditionalFormatting sqref="P1086:P1092">
    <cfRule type="containsText" dxfId="9" priority="11874" operator="containsText" text="No">
      <formula>NOT(ISERROR(SEARCH(("No"),(P1086))))</formula>
    </cfRule>
  </conditionalFormatting>
  <conditionalFormatting sqref="P1086:P1092">
    <cfRule type="containsText" dxfId="2" priority="11875" operator="containsText" text="Yes">
      <formula>NOT(ISERROR(SEARCH(("Yes"),(P1086))))</formula>
    </cfRule>
  </conditionalFormatting>
  <conditionalFormatting sqref="P1086:P1092">
    <cfRule type="containsText" dxfId="9" priority="11876" operator="containsText" text="No">
      <formula>NOT(ISERROR(SEARCH(("No"),(P1086))))</formula>
    </cfRule>
  </conditionalFormatting>
  <conditionalFormatting sqref="P1086:P1092">
    <cfRule type="containsText" dxfId="2" priority="11877" operator="containsText" text="Yes">
      <formula>NOT(ISERROR(SEARCH(("Yes"),(P1086))))</formula>
    </cfRule>
  </conditionalFormatting>
  <conditionalFormatting sqref="P1086:P1092">
    <cfRule type="containsText" dxfId="9" priority="11878" operator="containsText" text="No">
      <formula>NOT(ISERROR(SEARCH(("No"),(P1086))))</formula>
    </cfRule>
  </conditionalFormatting>
  <conditionalFormatting sqref="P1086:P1092">
    <cfRule type="containsText" dxfId="2" priority="11879" operator="containsText" text="Yes">
      <formula>NOT(ISERROR(SEARCH(("Yes"),(P1086))))</formula>
    </cfRule>
  </conditionalFormatting>
  <conditionalFormatting sqref="P1086:P1092">
    <cfRule type="containsText" dxfId="9" priority="11880" operator="containsText" text="No">
      <formula>NOT(ISERROR(SEARCH(("No"),(P1086))))</formula>
    </cfRule>
  </conditionalFormatting>
  <conditionalFormatting sqref="P1086:P1092">
    <cfRule type="containsText" dxfId="2" priority="11881" operator="containsText" text="Yes">
      <formula>NOT(ISERROR(SEARCH(("Yes"),(P1086))))</formula>
    </cfRule>
  </conditionalFormatting>
  <conditionalFormatting sqref="P1086:P1092">
    <cfRule type="containsText" dxfId="9" priority="11882" operator="containsText" text="No">
      <formula>NOT(ISERROR(SEARCH(("No"),(P1086))))</formula>
    </cfRule>
  </conditionalFormatting>
  <conditionalFormatting sqref="P1086:P1092">
    <cfRule type="containsText" dxfId="2" priority="11883" operator="containsText" text="Yes">
      <formula>NOT(ISERROR(SEARCH(("Yes"),(P1086))))</formula>
    </cfRule>
  </conditionalFormatting>
  <conditionalFormatting sqref="P1086:P1092">
    <cfRule type="containsText" dxfId="9" priority="11884" operator="containsText" text="No">
      <formula>NOT(ISERROR(SEARCH(("No"),(P1086))))</formula>
    </cfRule>
  </conditionalFormatting>
  <conditionalFormatting sqref="P1086:P1092">
    <cfRule type="containsText" dxfId="2" priority="11885" operator="containsText" text="Yes">
      <formula>NOT(ISERROR(SEARCH(("Yes"),(P1086))))</formula>
    </cfRule>
  </conditionalFormatting>
  <conditionalFormatting sqref="P1086:P1092">
    <cfRule type="containsText" dxfId="9" priority="11886" operator="containsText" text="No">
      <formula>NOT(ISERROR(SEARCH(("No"),(P1086))))</formula>
    </cfRule>
  </conditionalFormatting>
  <conditionalFormatting sqref="P1086:P1092">
    <cfRule type="containsText" dxfId="2" priority="11887" operator="containsText" text="Yes">
      <formula>NOT(ISERROR(SEARCH(("Yes"),(P1086))))</formula>
    </cfRule>
  </conditionalFormatting>
  <conditionalFormatting sqref="P1086:P1092">
    <cfRule type="containsText" dxfId="9" priority="11888" operator="containsText" text="No">
      <formula>NOT(ISERROR(SEARCH(("No"),(P1086))))</formula>
    </cfRule>
  </conditionalFormatting>
  <conditionalFormatting sqref="P1086:P1092">
    <cfRule type="containsText" dxfId="2" priority="11889" operator="containsText" text="Yes">
      <formula>NOT(ISERROR(SEARCH(("Yes"),(P1086))))</formula>
    </cfRule>
  </conditionalFormatting>
  <conditionalFormatting sqref="P1086:P1092">
    <cfRule type="containsText" dxfId="9" priority="11890" operator="containsText" text="No">
      <formula>NOT(ISERROR(SEARCH(("No"),(P1086))))</formula>
    </cfRule>
  </conditionalFormatting>
  <conditionalFormatting sqref="P1086:P1092">
    <cfRule type="containsText" dxfId="2" priority="11891" operator="containsText" text="Yes">
      <formula>NOT(ISERROR(SEARCH(("Yes"),(P1086))))</formula>
    </cfRule>
  </conditionalFormatting>
  <conditionalFormatting sqref="P1086:P1092">
    <cfRule type="containsText" dxfId="9" priority="11892" operator="containsText" text="No">
      <formula>NOT(ISERROR(SEARCH(("No"),(P1086))))</formula>
    </cfRule>
  </conditionalFormatting>
  <conditionalFormatting sqref="P1086:P1092">
    <cfRule type="containsText" dxfId="2" priority="11893" operator="containsText" text="Yes">
      <formula>NOT(ISERROR(SEARCH(("Yes"),(P1086))))</formula>
    </cfRule>
  </conditionalFormatting>
  <conditionalFormatting sqref="P1086:P1092">
    <cfRule type="containsText" dxfId="9" priority="11894" operator="containsText" text="No">
      <formula>NOT(ISERROR(SEARCH(("No"),(P1086))))</formula>
    </cfRule>
  </conditionalFormatting>
  <conditionalFormatting sqref="P1086:P1092">
    <cfRule type="containsText" dxfId="2" priority="11895" operator="containsText" text="Yes">
      <formula>NOT(ISERROR(SEARCH(("Yes"),(P1086))))</formula>
    </cfRule>
  </conditionalFormatting>
  <conditionalFormatting sqref="P1086:P1092">
    <cfRule type="containsText" dxfId="9" priority="11896" operator="containsText" text="No">
      <formula>NOT(ISERROR(SEARCH(("No"),(P1086))))</formula>
    </cfRule>
  </conditionalFormatting>
  <conditionalFormatting sqref="P1086:P1092">
    <cfRule type="containsText" dxfId="2" priority="11897" operator="containsText" text="Yes">
      <formula>NOT(ISERROR(SEARCH(("Yes"),(P1086))))</formula>
    </cfRule>
  </conditionalFormatting>
  <conditionalFormatting sqref="P1086:P1092">
    <cfRule type="containsText" dxfId="9" priority="11898" operator="containsText" text="No">
      <formula>NOT(ISERROR(SEARCH(("No"),(P1086))))</formula>
    </cfRule>
  </conditionalFormatting>
  <conditionalFormatting sqref="P1086:P1092">
    <cfRule type="containsText" dxfId="2" priority="11899" operator="containsText" text="Yes">
      <formula>NOT(ISERROR(SEARCH(("Yes"),(P1086))))</formula>
    </cfRule>
  </conditionalFormatting>
  <conditionalFormatting sqref="P1086:P1092">
    <cfRule type="containsText" dxfId="9" priority="11900" operator="containsText" text="No">
      <formula>NOT(ISERROR(SEARCH(("No"),(P1086))))</formula>
    </cfRule>
  </conditionalFormatting>
  <conditionalFormatting sqref="P1086:P1092">
    <cfRule type="containsText" dxfId="2" priority="11901" operator="containsText" text="Yes">
      <formula>NOT(ISERROR(SEARCH(("Yes"),(P1086))))</formula>
    </cfRule>
  </conditionalFormatting>
  <conditionalFormatting sqref="P1086:P1092">
    <cfRule type="containsText" dxfId="9" priority="11902" operator="containsText" text="No">
      <formula>NOT(ISERROR(SEARCH(("No"),(P1086))))</formula>
    </cfRule>
  </conditionalFormatting>
  <conditionalFormatting sqref="P1086:P1092">
    <cfRule type="containsText" dxfId="2" priority="11903" operator="containsText" text="Yes">
      <formula>NOT(ISERROR(SEARCH(("Yes"),(P1086))))</formula>
    </cfRule>
  </conditionalFormatting>
  <conditionalFormatting sqref="P1086:P1092">
    <cfRule type="containsText" dxfId="9" priority="11904" operator="containsText" text="No">
      <formula>NOT(ISERROR(SEARCH(("No"),(P1086))))</formula>
    </cfRule>
  </conditionalFormatting>
  <conditionalFormatting sqref="P1086:P1092">
    <cfRule type="containsText" dxfId="2" priority="11905" operator="containsText" text="Yes">
      <formula>NOT(ISERROR(SEARCH(("Yes"),(P1086))))</formula>
    </cfRule>
  </conditionalFormatting>
  <conditionalFormatting sqref="P1086:P1092">
    <cfRule type="containsText" dxfId="9" priority="11906" operator="containsText" text="No">
      <formula>NOT(ISERROR(SEARCH(("No"),(P1086))))</formula>
    </cfRule>
  </conditionalFormatting>
  <conditionalFormatting sqref="P1086:P1092">
    <cfRule type="containsText" dxfId="2" priority="11907" operator="containsText" text="Yes">
      <formula>NOT(ISERROR(SEARCH(("Yes"),(P1086))))</formula>
    </cfRule>
  </conditionalFormatting>
  <conditionalFormatting sqref="P1086:P1092">
    <cfRule type="containsText" dxfId="9" priority="11908" operator="containsText" text="No">
      <formula>NOT(ISERROR(SEARCH(("No"),(P1086))))</formula>
    </cfRule>
  </conditionalFormatting>
  <conditionalFormatting sqref="P1086:P1092">
    <cfRule type="containsText" dxfId="2" priority="11909" operator="containsText" text="Yes">
      <formula>NOT(ISERROR(SEARCH(("Yes"),(P1086))))</formula>
    </cfRule>
  </conditionalFormatting>
  <conditionalFormatting sqref="P1086:P1092">
    <cfRule type="containsText" dxfId="9" priority="11910" operator="containsText" text="No">
      <formula>NOT(ISERROR(SEARCH(("No"),(P1086))))</formula>
    </cfRule>
  </conditionalFormatting>
  <conditionalFormatting sqref="P1086:P1092">
    <cfRule type="containsText" dxfId="2" priority="11911" operator="containsText" text="Yes">
      <formula>NOT(ISERROR(SEARCH(("Yes"),(P1086))))</formula>
    </cfRule>
  </conditionalFormatting>
  <conditionalFormatting sqref="P1086:P1092">
    <cfRule type="containsText" dxfId="9" priority="11912" operator="containsText" text="No">
      <formula>NOT(ISERROR(SEARCH(("No"),(P1086))))</formula>
    </cfRule>
  </conditionalFormatting>
  <conditionalFormatting sqref="P1086:P1092">
    <cfRule type="containsText" dxfId="2" priority="11913" operator="containsText" text="Yes">
      <formula>NOT(ISERROR(SEARCH(("Yes"),(P1086))))</formula>
    </cfRule>
  </conditionalFormatting>
  <conditionalFormatting sqref="P1086:P1092">
    <cfRule type="containsText" dxfId="9" priority="11914" operator="containsText" text="No">
      <formula>NOT(ISERROR(SEARCH(("No"),(P1086))))</formula>
    </cfRule>
  </conditionalFormatting>
  <conditionalFormatting sqref="P1086:P1092">
    <cfRule type="containsText" dxfId="2" priority="11915" operator="containsText" text="Yes">
      <formula>NOT(ISERROR(SEARCH(("Yes"),(P1086))))</formula>
    </cfRule>
  </conditionalFormatting>
  <conditionalFormatting sqref="P1086:P1092">
    <cfRule type="containsText" dxfId="9" priority="11916" operator="containsText" text="No">
      <formula>NOT(ISERROR(SEARCH(("No"),(P1086))))</formula>
    </cfRule>
  </conditionalFormatting>
  <conditionalFormatting sqref="P1086:P1092">
    <cfRule type="containsText" dxfId="2" priority="11917" operator="containsText" text="Yes">
      <formula>NOT(ISERROR(SEARCH(("Yes"),(P1086))))</formula>
    </cfRule>
  </conditionalFormatting>
  <conditionalFormatting sqref="P1086:P1092">
    <cfRule type="containsText" dxfId="9" priority="11918" operator="containsText" text="No">
      <formula>NOT(ISERROR(SEARCH(("No"),(P1086))))</formula>
    </cfRule>
  </conditionalFormatting>
  <conditionalFormatting sqref="P1086:P1092">
    <cfRule type="containsText" dxfId="2" priority="11919" operator="containsText" text="Yes">
      <formula>NOT(ISERROR(SEARCH(("Yes"),(P1086))))</formula>
    </cfRule>
  </conditionalFormatting>
  <conditionalFormatting sqref="P1086:P1092">
    <cfRule type="containsText" dxfId="9" priority="11920" operator="containsText" text="No">
      <formula>NOT(ISERROR(SEARCH(("No"),(P1086))))</formula>
    </cfRule>
  </conditionalFormatting>
  <conditionalFormatting sqref="P1086:P1092">
    <cfRule type="containsText" dxfId="2" priority="11921" operator="containsText" text="Yes">
      <formula>NOT(ISERROR(SEARCH(("Yes"),(P1086))))</formula>
    </cfRule>
  </conditionalFormatting>
  <conditionalFormatting sqref="P1086:P1092">
    <cfRule type="containsText" dxfId="9" priority="11922" operator="containsText" text="No">
      <formula>NOT(ISERROR(SEARCH(("No"),(P1086))))</formula>
    </cfRule>
  </conditionalFormatting>
  <conditionalFormatting sqref="P1086:P1092">
    <cfRule type="containsText" dxfId="2" priority="11923" operator="containsText" text="Yes">
      <formula>NOT(ISERROR(SEARCH(("Yes"),(P1086))))</formula>
    </cfRule>
  </conditionalFormatting>
  <conditionalFormatting sqref="P1086:P1092">
    <cfRule type="containsText" dxfId="9" priority="11924" operator="containsText" text="No">
      <formula>NOT(ISERROR(SEARCH(("No"),(P1086))))</formula>
    </cfRule>
  </conditionalFormatting>
  <conditionalFormatting sqref="P1086:P1092">
    <cfRule type="containsText" dxfId="2" priority="11925" operator="containsText" text="Yes">
      <formula>NOT(ISERROR(SEARCH(("Yes"),(P1086))))</formula>
    </cfRule>
  </conditionalFormatting>
  <conditionalFormatting sqref="P1086:P1092">
    <cfRule type="containsText" dxfId="9" priority="11926" operator="containsText" text="No">
      <formula>NOT(ISERROR(SEARCH(("No"),(P1086))))</formula>
    </cfRule>
  </conditionalFormatting>
  <conditionalFormatting sqref="P1086:P1092">
    <cfRule type="containsText" dxfId="2" priority="11927" operator="containsText" text="Yes">
      <formula>NOT(ISERROR(SEARCH(("Yes"),(P1086))))</formula>
    </cfRule>
  </conditionalFormatting>
  <conditionalFormatting sqref="P1086:P1092">
    <cfRule type="containsText" dxfId="9" priority="11928" operator="containsText" text="No">
      <formula>NOT(ISERROR(SEARCH(("No"),(P1086))))</formula>
    </cfRule>
  </conditionalFormatting>
  <conditionalFormatting sqref="P1086:P1092">
    <cfRule type="containsText" dxfId="2" priority="11929" operator="containsText" text="Yes">
      <formula>NOT(ISERROR(SEARCH(("Yes"),(P1086))))</formula>
    </cfRule>
  </conditionalFormatting>
  <conditionalFormatting sqref="P1086:P1092">
    <cfRule type="containsText" dxfId="9" priority="11930" operator="containsText" text="No">
      <formula>NOT(ISERROR(SEARCH(("No"),(P1086))))</formula>
    </cfRule>
  </conditionalFormatting>
  <conditionalFormatting sqref="P1086:P1092">
    <cfRule type="containsText" dxfId="2" priority="11931" operator="containsText" text="Yes">
      <formula>NOT(ISERROR(SEARCH(("Yes"),(P1086))))</formula>
    </cfRule>
  </conditionalFormatting>
  <conditionalFormatting sqref="P1086:P1092">
    <cfRule type="containsText" dxfId="9" priority="11932" operator="containsText" text="No">
      <formula>NOT(ISERROR(SEARCH(("No"),(P1086))))</formula>
    </cfRule>
  </conditionalFormatting>
  <conditionalFormatting sqref="P1086:P1092">
    <cfRule type="containsText" dxfId="2" priority="11933" operator="containsText" text="Yes">
      <formula>NOT(ISERROR(SEARCH(("Yes"),(P1086))))</formula>
    </cfRule>
  </conditionalFormatting>
  <conditionalFormatting sqref="P1086:P1092">
    <cfRule type="containsText" dxfId="2" priority="11934" operator="containsText" text="Yes">
      <formula>NOT(ISERROR(SEARCH(("Yes"),(P1086))))</formula>
    </cfRule>
  </conditionalFormatting>
  <conditionalFormatting sqref="P1086:P1092">
    <cfRule type="containsText" dxfId="9" priority="11935" operator="containsText" text="No">
      <formula>NOT(ISERROR(SEARCH(("No"),(P1086))))</formula>
    </cfRule>
  </conditionalFormatting>
  <conditionalFormatting sqref="P1086:P1092">
    <cfRule type="containsText" dxfId="2" priority="11936" operator="containsText" text="Yes">
      <formula>NOT(ISERROR(SEARCH(("Yes"),(P1086))))</formula>
    </cfRule>
  </conditionalFormatting>
  <conditionalFormatting sqref="P1093">
    <cfRule type="containsText" dxfId="9" priority="11937" operator="containsText" text="No">
      <formula>NOT(ISERROR(SEARCH(("No"),(P1093))))</formula>
    </cfRule>
  </conditionalFormatting>
  <conditionalFormatting sqref="P1093">
    <cfRule type="containsText" dxfId="2" priority="11938" operator="containsText" text="Yes">
      <formula>NOT(ISERROR(SEARCH(("Yes"),(P1093))))</formula>
    </cfRule>
  </conditionalFormatting>
  <conditionalFormatting sqref="P1094:P1099">
    <cfRule type="containsText" dxfId="9" priority="11939" operator="containsText" text="No">
      <formula>NOT(ISERROR(SEARCH(("No"),(P1094))))</formula>
    </cfRule>
  </conditionalFormatting>
  <conditionalFormatting sqref="P1094:P1099">
    <cfRule type="containsText" dxfId="2" priority="11940" operator="containsText" text="Yes">
      <formula>NOT(ISERROR(SEARCH(("Yes"),(P1094))))</formula>
    </cfRule>
  </conditionalFormatting>
  <conditionalFormatting sqref="P1094:P1099">
    <cfRule type="containsText" dxfId="9" priority="11941" operator="containsText" text="No">
      <formula>NOT(ISERROR(SEARCH(("No"),(P1094))))</formula>
    </cfRule>
  </conditionalFormatting>
  <conditionalFormatting sqref="P1094:P1099">
    <cfRule type="containsText" dxfId="2" priority="11942" operator="containsText" text="Yes">
      <formula>NOT(ISERROR(SEARCH(("Yes"),(P1094))))</formula>
    </cfRule>
  </conditionalFormatting>
  <conditionalFormatting sqref="P1094:P1099">
    <cfRule type="containsText" dxfId="9" priority="11943" operator="containsText" text="No">
      <formula>NOT(ISERROR(SEARCH(("No"),(P1094))))</formula>
    </cfRule>
  </conditionalFormatting>
  <conditionalFormatting sqref="P1094:P1099">
    <cfRule type="containsText" dxfId="2" priority="11944" operator="containsText" text="Yes">
      <formula>NOT(ISERROR(SEARCH(("Yes"),(P1094))))</formula>
    </cfRule>
  </conditionalFormatting>
  <conditionalFormatting sqref="P1094:P1099">
    <cfRule type="containsText" dxfId="9" priority="11945" operator="containsText" text="No">
      <formula>NOT(ISERROR(SEARCH(("No"),(P1094))))</formula>
    </cfRule>
  </conditionalFormatting>
  <conditionalFormatting sqref="P1094:P1099">
    <cfRule type="containsText" dxfId="2" priority="11946" operator="containsText" text="Yes">
      <formula>NOT(ISERROR(SEARCH(("Yes"),(P1094))))</formula>
    </cfRule>
  </conditionalFormatting>
  <conditionalFormatting sqref="P1094:P1099">
    <cfRule type="containsText" dxfId="9" priority="11947" operator="containsText" text="No">
      <formula>NOT(ISERROR(SEARCH(("No"),(P1094))))</formula>
    </cfRule>
  </conditionalFormatting>
  <conditionalFormatting sqref="P1094:P1099">
    <cfRule type="containsText" dxfId="2" priority="11948" operator="containsText" text="Yes">
      <formula>NOT(ISERROR(SEARCH(("Yes"),(P1094))))</formula>
    </cfRule>
  </conditionalFormatting>
  <conditionalFormatting sqref="P1094:P1099">
    <cfRule type="containsText" dxfId="9" priority="11949" operator="containsText" text="No">
      <formula>NOT(ISERROR(SEARCH(("No"),(P1094))))</formula>
    </cfRule>
  </conditionalFormatting>
  <conditionalFormatting sqref="P1094:P1099">
    <cfRule type="containsText" dxfId="2" priority="11950" operator="containsText" text="Yes">
      <formula>NOT(ISERROR(SEARCH(("Yes"),(P1094))))</formula>
    </cfRule>
  </conditionalFormatting>
  <conditionalFormatting sqref="P1094:P1099">
    <cfRule type="containsText" dxfId="9" priority="11951" operator="containsText" text="No">
      <formula>NOT(ISERROR(SEARCH(("No"),(P1094))))</formula>
    </cfRule>
  </conditionalFormatting>
  <conditionalFormatting sqref="P1094:P1099">
    <cfRule type="containsText" dxfId="2" priority="11952" operator="containsText" text="Yes">
      <formula>NOT(ISERROR(SEARCH(("Yes"),(P1094))))</formula>
    </cfRule>
  </conditionalFormatting>
  <conditionalFormatting sqref="P1094:P1099">
    <cfRule type="containsText" dxfId="9" priority="11953" operator="containsText" text="No">
      <formula>NOT(ISERROR(SEARCH(("No"),(P1094))))</formula>
    </cfRule>
  </conditionalFormatting>
  <conditionalFormatting sqref="P1094:P1099">
    <cfRule type="containsText" dxfId="2" priority="11954" operator="containsText" text="Yes">
      <formula>NOT(ISERROR(SEARCH(("Yes"),(P1094))))</formula>
    </cfRule>
  </conditionalFormatting>
  <conditionalFormatting sqref="P1094:P1099">
    <cfRule type="containsText" dxfId="9" priority="11955" operator="containsText" text="No">
      <formula>NOT(ISERROR(SEARCH(("No"),(P1094))))</formula>
    </cfRule>
  </conditionalFormatting>
  <conditionalFormatting sqref="P1094:P1099">
    <cfRule type="containsText" dxfId="2" priority="11956" operator="containsText" text="Yes">
      <formula>NOT(ISERROR(SEARCH(("Yes"),(P1094))))</formula>
    </cfRule>
  </conditionalFormatting>
  <conditionalFormatting sqref="P1094:P1099">
    <cfRule type="containsText" dxfId="2" priority="11957" operator="containsText" text="Yes">
      <formula>NOT(ISERROR(SEARCH(("Yes"),(P1094))))</formula>
    </cfRule>
  </conditionalFormatting>
  <conditionalFormatting sqref="P1094:P1099">
    <cfRule type="containsText" dxfId="9" priority="11958" operator="containsText" text="No">
      <formula>NOT(ISERROR(SEARCH(("No"),(P1094))))</formula>
    </cfRule>
  </conditionalFormatting>
  <conditionalFormatting sqref="P1094:P1099">
    <cfRule type="containsText" dxfId="2" priority="11959" operator="containsText" text="Yes">
      <formula>NOT(ISERROR(SEARCH(("Yes"),(P1094))))</formula>
    </cfRule>
  </conditionalFormatting>
  <conditionalFormatting sqref="P1094:P1099">
    <cfRule type="containsText" dxfId="9" priority="11960" operator="containsText" text="No">
      <formula>NOT(ISERROR(SEARCH(("No"),(P1094))))</formula>
    </cfRule>
  </conditionalFormatting>
  <conditionalFormatting sqref="P1094:P1099">
    <cfRule type="containsText" dxfId="2" priority="11961" operator="containsText" text="Yes">
      <formula>NOT(ISERROR(SEARCH(("Yes"),(P1094))))</formula>
    </cfRule>
  </conditionalFormatting>
  <conditionalFormatting sqref="P1094:P1099">
    <cfRule type="containsText" dxfId="9" priority="11962" operator="containsText" text="No">
      <formula>NOT(ISERROR(SEARCH(("No"),(P1094))))</formula>
    </cfRule>
  </conditionalFormatting>
  <conditionalFormatting sqref="P1094:P1099">
    <cfRule type="containsText" dxfId="2" priority="11963" operator="containsText" text="Yes">
      <formula>NOT(ISERROR(SEARCH(("Yes"),(P1094))))</formula>
    </cfRule>
  </conditionalFormatting>
  <conditionalFormatting sqref="P1094:P1099">
    <cfRule type="containsText" dxfId="9" priority="11964" operator="containsText" text="No">
      <formula>NOT(ISERROR(SEARCH(("No"),(P1094))))</formula>
    </cfRule>
  </conditionalFormatting>
  <conditionalFormatting sqref="P1094:P1099">
    <cfRule type="containsText" dxfId="2" priority="11965" operator="containsText" text="Yes">
      <formula>NOT(ISERROR(SEARCH(("Yes"),(P1094))))</formula>
    </cfRule>
  </conditionalFormatting>
  <conditionalFormatting sqref="P1094:P1099">
    <cfRule type="containsText" dxfId="9" priority="11966" operator="containsText" text="No">
      <formula>NOT(ISERROR(SEARCH(("No"),(P1094))))</formula>
    </cfRule>
  </conditionalFormatting>
  <conditionalFormatting sqref="P1094:P1099">
    <cfRule type="containsText" dxfId="2" priority="11967" operator="containsText" text="Yes">
      <formula>NOT(ISERROR(SEARCH(("Yes"),(P1094))))</formula>
    </cfRule>
  </conditionalFormatting>
  <conditionalFormatting sqref="P1094:P1099">
    <cfRule type="containsText" dxfId="9" priority="11968" operator="containsText" text="No">
      <formula>NOT(ISERROR(SEARCH(("No"),(P1094))))</formula>
    </cfRule>
  </conditionalFormatting>
  <conditionalFormatting sqref="P1094:P1099">
    <cfRule type="containsText" dxfId="2" priority="11969" operator="containsText" text="Yes">
      <formula>NOT(ISERROR(SEARCH(("Yes"),(P1094))))</formula>
    </cfRule>
  </conditionalFormatting>
  <conditionalFormatting sqref="P1094:P1099">
    <cfRule type="containsText" dxfId="9" priority="11970" operator="containsText" text="No">
      <formula>NOT(ISERROR(SEARCH(("No"),(P1094))))</formula>
    </cfRule>
  </conditionalFormatting>
  <conditionalFormatting sqref="P1094:P1099">
    <cfRule type="containsText" dxfId="2" priority="11971" operator="containsText" text="Yes">
      <formula>NOT(ISERROR(SEARCH(("Yes"),(P1094))))</formula>
    </cfRule>
  </conditionalFormatting>
  <conditionalFormatting sqref="P1094:P1099">
    <cfRule type="containsText" dxfId="9" priority="11972" operator="containsText" text="No">
      <formula>NOT(ISERROR(SEARCH(("No"),(P1094))))</formula>
    </cfRule>
  </conditionalFormatting>
  <conditionalFormatting sqref="P1094:P1099">
    <cfRule type="containsText" dxfId="2" priority="11973" operator="containsText" text="Yes">
      <formula>NOT(ISERROR(SEARCH(("Yes"),(P1094))))</formula>
    </cfRule>
  </conditionalFormatting>
  <conditionalFormatting sqref="P1094:P1099">
    <cfRule type="containsText" dxfId="9" priority="11974" operator="containsText" text="No">
      <formula>NOT(ISERROR(SEARCH(("No"),(P1094))))</formula>
    </cfRule>
  </conditionalFormatting>
  <conditionalFormatting sqref="P1094:P1099">
    <cfRule type="containsText" dxfId="2" priority="11975" operator="containsText" text="Yes">
      <formula>NOT(ISERROR(SEARCH(("Yes"),(P1094))))</formula>
    </cfRule>
  </conditionalFormatting>
  <conditionalFormatting sqref="P1094:P1099">
    <cfRule type="containsText" dxfId="9" priority="11976" operator="containsText" text="No">
      <formula>NOT(ISERROR(SEARCH(("No"),(P1094))))</formula>
    </cfRule>
  </conditionalFormatting>
  <conditionalFormatting sqref="P1094:P1099">
    <cfRule type="containsText" dxfId="2" priority="11977" operator="containsText" text="Yes">
      <formula>NOT(ISERROR(SEARCH(("Yes"),(P1094))))</formula>
    </cfRule>
  </conditionalFormatting>
  <conditionalFormatting sqref="P1094:P1099">
    <cfRule type="containsText" dxfId="9" priority="11978" operator="containsText" text="No">
      <formula>NOT(ISERROR(SEARCH(("No"),(P1094))))</formula>
    </cfRule>
  </conditionalFormatting>
  <conditionalFormatting sqref="P1094:P1099">
    <cfRule type="containsText" dxfId="2" priority="11979" operator="containsText" text="Yes">
      <formula>NOT(ISERROR(SEARCH(("Yes"),(P1094))))</formula>
    </cfRule>
  </conditionalFormatting>
  <conditionalFormatting sqref="P1094:P1099">
    <cfRule type="containsText" dxfId="9" priority="11980" operator="containsText" text="No">
      <formula>NOT(ISERROR(SEARCH(("No"),(P1094))))</formula>
    </cfRule>
  </conditionalFormatting>
  <conditionalFormatting sqref="P1094:P1099">
    <cfRule type="containsText" dxfId="2" priority="11981" operator="containsText" text="Yes">
      <formula>NOT(ISERROR(SEARCH(("Yes"),(P1094))))</formula>
    </cfRule>
  </conditionalFormatting>
  <conditionalFormatting sqref="P1094:P1099">
    <cfRule type="containsText" dxfId="9" priority="11982" operator="containsText" text="No">
      <formula>NOT(ISERROR(SEARCH(("No"),(P1094))))</formula>
    </cfRule>
  </conditionalFormatting>
  <conditionalFormatting sqref="P1094:P1099">
    <cfRule type="containsText" dxfId="2" priority="11983" operator="containsText" text="Yes">
      <formula>NOT(ISERROR(SEARCH(("Yes"),(P1094))))</formula>
    </cfRule>
  </conditionalFormatting>
  <conditionalFormatting sqref="P1094:P1099">
    <cfRule type="containsText" dxfId="9" priority="11984" operator="containsText" text="No">
      <formula>NOT(ISERROR(SEARCH(("No"),(P1094))))</formula>
    </cfRule>
  </conditionalFormatting>
  <conditionalFormatting sqref="P1094:P1099">
    <cfRule type="containsText" dxfId="2" priority="11985" operator="containsText" text="Yes">
      <formula>NOT(ISERROR(SEARCH(("Yes"),(P1094))))</formula>
    </cfRule>
  </conditionalFormatting>
  <conditionalFormatting sqref="P1094:P1099">
    <cfRule type="containsText" dxfId="9" priority="11986" operator="containsText" text="No">
      <formula>NOT(ISERROR(SEARCH(("No"),(P1094))))</formula>
    </cfRule>
  </conditionalFormatting>
  <conditionalFormatting sqref="P1094:P1099">
    <cfRule type="containsText" dxfId="2" priority="11987" operator="containsText" text="Yes">
      <formula>NOT(ISERROR(SEARCH(("Yes"),(P1094))))</formula>
    </cfRule>
  </conditionalFormatting>
  <conditionalFormatting sqref="P1094:P1099">
    <cfRule type="containsText" dxfId="9" priority="11988" operator="containsText" text="No">
      <formula>NOT(ISERROR(SEARCH(("No"),(P1094))))</formula>
    </cfRule>
  </conditionalFormatting>
  <conditionalFormatting sqref="P1094:P1099">
    <cfRule type="containsText" dxfId="2" priority="11989" operator="containsText" text="Yes">
      <formula>NOT(ISERROR(SEARCH(("Yes"),(P1094))))</formula>
    </cfRule>
  </conditionalFormatting>
  <conditionalFormatting sqref="P1094:P1099">
    <cfRule type="containsText" dxfId="9" priority="11990" operator="containsText" text="No">
      <formula>NOT(ISERROR(SEARCH(("No"),(P1094))))</formula>
    </cfRule>
  </conditionalFormatting>
  <conditionalFormatting sqref="P1094:P1099">
    <cfRule type="containsText" dxfId="2" priority="11991" operator="containsText" text="Yes">
      <formula>NOT(ISERROR(SEARCH(("Yes"),(P1094))))</formula>
    </cfRule>
  </conditionalFormatting>
  <conditionalFormatting sqref="P1094:P1099">
    <cfRule type="containsText" dxfId="9" priority="11992" operator="containsText" text="No">
      <formula>NOT(ISERROR(SEARCH(("No"),(P1094))))</formula>
    </cfRule>
  </conditionalFormatting>
  <conditionalFormatting sqref="P1094:P1099">
    <cfRule type="containsText" dxfId="2" priority="11993" operator="containsText" text="Yes">
      <formula>NOT(ISERROR(SEARCH(("Yes"),(P1094))))</formula>
    </cfRule>
  </conditionalFormatting>
  <conditionalFormatting sqref="P1094:P1099">
    <cfRule type="containsText" dxfId="9" priority="11994" operator="containsText" text="No">
      <formula>NOT(ISERROR(SEARCH(("No"),(P1094))))</formula>
    </cfRule>
  </conditionalFormatting>
  <conditionalFormatting sqref="P1094:P1099">
    <cfRule type="containsText" dxfId="2" priority="11995" operator="containsText" text="Yes">
      <formula>NOT(ISERROR(SEARCH(("Yes"),(P1094))))</formula>
    </cfRule>
  </conditionalFormatting>
  <conditionalFormatting sqref="P1094:P1099">
    <cfRule type="containsText" dxfId="9" priority="11996" operator="containsText" text="No">
      <formula>NOT(ISERROR(SEARCH(("No"),(P1094))))</formula>
    </cfRule>
  </conditionalFormatting>
  <conditionalFormatting sqref="P1094:P1099">
    <cfRule type="containsText" dxfId="2" priority="11997" operator="containsText" text="Yes">
      <formula>NOT(ISERROR(SEARCH(("Yes"),(P1094))))</formula>
    </cfRule>
  </conditionalFormatting>
  <conditionalFormatting sqref="P1094:P1099">
    <cfRule type="containsText" dxfId="9" priority="11998" operator="containsText" text="No">
      <formula>NOT(ISERROR(SEARCH(("No"),(P1094))))</formula>
    </cfRule>
  </conditionalFormatting>
  <conditionalFormatting sqref="P1094:P1099">
    <cfRule type="containsText" dxfId="2" priority="11999" operator="containsText" text="Yes">
      <formula>NOT(ISERROR(SEARCH(("Yes"),(P1094))))</formula>
    </cfRule>
  </conditionalFormatting>
  <conditionalFormatting sqref="P1094:P1099">
    <cfRule type="containsText" dxfId="9" priority="12000" operator="containsText" text="No">
      <formula>NOT(ISERROR(SEARCH(("No"),(P1094))))</formula>
    </cfRule>
  </conditionalFormatting>
  <conditionalFormatting sqref="P1094:P1099">
    <cfRule type="containsText" dxfId="2" priority="12001" operator="containsText" text="Yes">
      <formula>NOT(ISERROR(SEARCH(("Yes"),(P1094))))</formula>
    </cfRule>
  </conditionalFormatting>
  <conditionalFormatting sqref="P1094:P1099">
    <cfRule type="containsText" dxfId="9" priority="12002" operator="containsText" text="No">
      <formula>NOT(ISERROR(SEARCH(("No"),(P1094))))</formula>
    </cfRule>
  </conditionalFormatting>
  <conditionalFormatting sqref="P1094:P1099">
    <cfRule type="containsText" dxfId="2" priority="12003" operator="containsText" text="Yes">
      <formula>NOT(ISERROR(SEARCH(("Yes"),(P1094))))</formula>
    </cfRule>
  </conditionalFormatting>
  <conditionalFormatting sqref="P1094:P1099">
    <cfRule type="containsText" dxfId="9" priority="12004" operator="containsText" text="No">
      <formula>NOT(ISERROR(SEARCH(("No"),(P1094))))</formula>
    </cfRule>
  </conditionalFormatting>
  <conditionalFormatting sqref="P1094:P1099">
    <cfRule type="containsText" dxfId="2" priority="12005" operator="containsText" text="Yes">
      <formula>NOT(ISERROR(SEARCH(("Yes"),(P1094))))</formula>
    </cfRule>
  </conditionalFormatting>
  <conditionalFormatting sqref="P1094:P1099">
    <cfRule type="containsText" dxfId="9" priority="12006" operator="containsText" text="No">
      <formula>NOT(ISERROR(SEARCH(("No"),(P1094))))</formula>
    </cfRule>
  </conditionalFormatting>
  <conditionalFormatting sqref="P1094:P1099">
    <cfRule type="containsText" dxfId="2" priority="12007" operator="containsText" text="Yes">
      <formula>NOT(ISERROR(SEARCH(("Yes"),(P1094))))</formula>
    </cfRule>
  </conditionalFormatting>
  <conditionalFormatting sqref="P1094:P1099">
    <cfRule type="containsText" dxfId="9" priority="12008" operator="containsText" text="No">
      <formula>NOT(ISERROR(SEARCH(("No"),(P1094))))</formula>
    </cfRule>
  </conditionalFormatting>
  <conditionalFormatting sqref="P1094:P1099">
    <cfRule type="containsText" dxfId="2" priority="12009" operator="containsText" text="Yes">
      <formula>NOT(ISERROR(SEARCH(("Yes"),(P1094))))</formula>
    </cfRule>
  </conditionalFormatting>
  <conditionalFormatting sqref="P1094:P1099">
    <cfRule type="containsText" dxfId="9" priority="12010" operator="containsText" text="No">
      <formula>NOT(ISERROR(SEARCH(("No"),(P1094))))</formula>
    </cfRule>
  </conditionalFormatting>
  <conditionalFormatting sqref="P1094:P1099">
    <cfRule type="containsText" dxfId="2" priority="12011" operator="containsText" text="Yes">
      <formula>NOT(ISERROR(SEARCH(("Yes"),(P1094))))</formula>
    </cfRule>
  </conditionalFormatting>
  <conditionalFormatting sqref="P1094:P1099">
    <cfRule type="containsText" dxfId="9" priority="12012" operator="containsText" text="No">
      <formula>NOT(ISERROR(SEARCH(("No"),(P1094))))</formula>
    </cfRule>
  </conditionalFormatting>
  <conditionalFormatting sqref="P1094:P1099">
    <cfRule type="containsText" dxfId="2" priority="12013" operator="containsText" text="Yes">
      <formula>NOT(ISERROR(SEARCH(("Yes"),(P1094))))</formula>
    </cfRule>
  </conditionalFormatting>
  <conditionalFormatting sqref="P1094:P1099">
    <cfRule type="containsText" dxfId="9" priority="12014" operator="containsText" text="No">
      <formula>NOT(ISERROR(SEARCH(("No"),(P1094))))</formula>
    </cfRule>
  </conditionalFormatting>
  <conditionalFormatting sqref="P1094:P1099">
    <cfRule type="containsText" dxfId="2" priority="12015" operator="containsText" text="Yes">
      <formula>NOT(ISERROR(SEARCH(("Yes"),(P1094))))</formula>
    </cfRule>
  </conditionalFormatting>
  <conditionalFormatting sqref="P1094:P1099">
    <cfRule type="containsText" dxfId="9" priority="12016" operator="containsText" text="No">
      <formula>NOT(ISERROR(SEARCH(("No"),(P1094))))</formula>
    </cfRule>
  </conditionalFormatting>
  <conditionalFormatting sqref="P1094:P1099">
    <cfRule type="containsText" dxfId="2" priority="12017" operator="containsText" text="Yes">
      <formula>NOT(ISERROR(SEARCH(("Yes"),(P1094))))</formula>
    </cfRule>
  </conditionalFormatting>
  <conditionalFormatting sqref="P1094:P1099">
    <cfRule type="containsText" dxfId="9" priority="12018" operator="containsText" text="No">
      <formula>NOT(ISERROR(SEARCH(("No"),(P1094))))</formula>
    </cfRule>
  </conditionalFormatting>
  <conditionalFormatting sqref="P1094:P1099">
    <cfRule type="containsText" dxfId="2" priority="12019" operator="containsText" text="Yes">
      <formula>NOT(ISERROR(SEARCH(("Yes"),(P1094))))</formula>
    </cfRule>
  </conditionalFormatting>
  <conditionalFormatting sqref="P1094:P1099">
    <cfRule type="containsText" dxfId="9" priority="12020" operator="containsText" text="No">
      <formula>NOT(ISERROR(SEARCH(("No"),(P1094))))</formula>
    </cfRule>
  </conditionalFormatting>
  <conditionalFormatting sqref="P1094:P1099">
    <cfRule type="containsText" dxfId="2" priority="12021" operator="containsText" text="Yes">
      <formula>NOT(ISERROR(SEARCH(("Yes"),(P1094))))</formula>
    </cfRule>
  </conditionalFormatting>
  <conditionalFormatting sqref="P1094:P1099">
    <cfRule type="containsText" dxfId="9" priority="12022" operator="containsText" text="No">
      <formula>NOT(ISERROR(SEARCH(("No"),(P1094))))</formula>
    </cfRule>
  </conditionalFormatting>
  <conditionalFormatting sqref="P1094:P1099">
    <cfRule type="containsText" dxfId="2" priority="12023" operator="containsText" text="Yes">
      <formula>NOT(ISERROR(SEARCH(("Yes"),(P1094))))</formula>
    </cfRule>
  </conditionalFormatting>
  <conditionalFormatting sqref="P1094:P1099">
    <cfRule type="containsText" dxfId="9" priority="12024" operator="containsText" text="No">
      <formula>NOT(ISERROR(SEARCH(("No"),(P1094))))</formula>
    </cfRule>
  </conditionalFormatting>
  <conditionalFormatting sqref="P1094:P1099">
    <cfRule type="containsText" dxfId="2" priority="12025" operator="containsText" text="Yes">
      <formula>NOT(ISERROR(SEARCH(("Yes"),(P1094))))</formula>
    </cfRule>
  </conditionalFormatting>
  <conditionalFormatting sqref="P1094:P1099">
    <cfRule type="containsText" dxfId="9" priority="12026" operator="containsText" text="No">
      <formula>NOT(ISERROR(SEARCH(("No"),(P1094))))</formula>
    </cfRule>
  </conditionalFormatting>
  <conditionalFormatting sqref="P1094:P1099">
    <cfRule type="containsText" dxfId="2" priority="12027" operator="containsText" text="Yes">
      <formula>NOT(ISERROR(SEARCH(("Yes"),(P1094))))</formula>
    </cfRule>
  </conditionalFormatting>
  <conditionalFormatting sqref="P1094:P1099">
    <cfRule type="containsText" dxfId="2" priority="12028" operator="containsText" text="Yes">
      <formula>NOT(ISERROR(SEARCH(("Yes"),(P1094))))</formula>
    </cfRule>
  </conditionalFormatting>
  <conditionalFormatting sqref="P1094:P1099">
    <cfRule type="containsText" dxfId="9" priority="12029" operator="containsText" text="No">
      <formula>NOT(ISERROR(SEARCH(("No"),(P1094))))</formula>
    </cfRule>
  </conditionalFormatting>
  <conditionalFormatting sqref="P1094:P1099">
    <cfRule type="containsText" dxfId="2" priority="12030" operator="containsText" text="Yes">
      <formula>NOT(ISERROR(SEARCH(("Yes"),(P1094))))</formula>
    </cfRule>
  </conditionalFormatting>
  <conditionalFormatting sqref="P1101">
    <cfRule type="containsText" dxfId="9" priority="12031" operator="containsText" text="No">
      <formula>NOT(ISERROR(SEARCH(("No"),(P1101))))</formula>
    </cfRule>
  </conditionalFormatting>
  <conditionalFormatting sqref="P1101">
    <cfRule type="containsText" dxfId="2" priority="12032" operator="containsText" text="Yes">
      <formula>NOT(ISERROR(SEARCH(("Yes"),(P1101))))</formula>
    </cfRule>
  </conditionalFormatting>
  <conditionalFormatting sqref="P1102">
    <cfRule type="containsText" dxfId="9" priority="12033" operator="containsText" text="No">
      <formula>NOT(ISERROR(SEARCH(("No"),(P1102))))</formula>
    </cfRule>
  </conditionalFormatting>
  <conditionalFormatting sqref="P1102">
    <cfRule type="containsText" dxfId="2" priority="12034" operator="containsText" text="Yes">
      <formula>NOT(ISERROR(SEARCH(("Yes"),(P1102))))</formula>
    </cfRule>
  </conditionalFormatting>
  <conditionalFormatting sqref="P1102">
    <cfRule type="containsText" dxfId="9" priority="12035" operator="containsText" text="No">
      <formula>NOT(ISERROR(SEARCH(("No"),(P1102))))</formula>
    </cfRule>
  </conditionalFormatting>
  <conditionalFormatting sqref="P1102">
    <cfRule type="containsText" dxfId="2" priority="12036" operator="containsText" text="Yes">
      <formula>NOT(ISERROR(SEARCH(("Yes"),(P1102))))</formula>
    </cfRule>
  </conditionalFormatting>
  <conditionalFormatting sqref="P1102">
    <cfRule type="containsText" dxfId="9" priority="12037" operator="containsText" text="No">
      <formula>NOT(ISERROR(SEARCH(("No"),(P1102))))</formula>
    </cfRule>
  </conditionalFormatting>
  <conditionalFormatting sqref="P1102">
    <cfRule type="containsText" dxfId="2" priority="12038" operator="containsText" text="Yes">
      <formula>NOT(ISERROR(SEARCH(("Yes"),(P1102))))</formula>
    </cfRule>
  </conditionalFormatting>
  <conditionalFormatting sqref="P1102">
    <cfRule type="containsText" dxfId="9" priority="12039" operator="containsText" text="No">
      <formula>NOT(ISERROR(SEARCH(("No"),(P1102))))</formula>
    </cfRule>
  </conditionalFormatting>
  <conditionalFormatting sqref="P1102">
    <cfRule type="containsText" dxfId="2" priority="12040" operator="containsText" text="Yes">
      <formula>NOT(ISERROR(SEARCH(("Yes"),(P1102))))</formula>
    </cfRule>
  </conditionalFormatting>
  <conditionalFormatting sqref="P1102">
    <cfRule type="containsText" dxfId="9" priority="12041" operator="containsText" text="No">
      <formula>NOT(ISERROR(SEARCH(("No"),(P1102))))</formula>
    </cfRule>
  </conditionalFormatting>
  <conditionalFormatting sqref="P1102">
    <cfRule type="containsText" dxfId="2" priority="12042" operator="containsText" text="Yes">
      <formula>NOT(ISERROR(SEARCH(("Yes"),(P1102))))</formula>
    </cfRule>
  </conditionalFormatting>
  <conditionalFormatting sqref="P1102">
    <cfRule type="containsText" dxfId="9" priority="12043" operator="containsText" text="No">
      <formula>NOT(ISERROR(SEARCH(("No"),(P1102))))</formula>
    </cfRule>
  </conditionalFormatting>
  <conditionalFormatting sqref="P1102">
    <cfRule type="containsText" dxfId="2" priority="12044" operator="containsText" text="Yes">
      <formula>NOT(ISERROR(SEARCH(("Yes"),(P1102))))</formula>
    </cfRule>
  </conditionalFormatting>
  <conditionalFormatting sqref="P1102">
    <cfRule type="containsText" dxfId="9" priority="12045" operator="containsText" text="No">
      <formula>NOT(ISERROR(SEARCH(("No"),(P1102))))</formula>
    </cfRule>
  </conditionalFormatting>
  <conditionalFormatting sqref="P1102">
    <cfRule type="containsText" dxfId="2" priority="12046" operator="containsText" text="Yes">
      <formula>NOT(ISERROR(SEARCH(("Yes"),(P1102))))</formula>
    </cfRule>
  </conditionalFormatting>
  <conditionalFormatting sqref="P1102">
    <cfRule type="containsText" dxfId="9" priority="12047" operator="containsText" text="No">
      <formula>NOT(ISERROR(SEARCH(("No"),(P1102))))</formula>
    </cfRule>
  </conditionalFormatting>
  <conditionalFormatting sqref="P1102">
    <cfRule type="containsText" dxfId="2" priority="12048" operator="containsText" text="Yes">
      <formula>NOT(ISERROR(SEARCH(("Yes"),(P1102))))</formula>
    </cfRule>
  </conditionalFormatting>
  <conditionalFormatting sqref="P1102">
    <cfRule type="containsText" dxfId="9" priority="12049" operator="containsText" text="No">
      <formula>NOT(ISERROR(SEARCH(("No"),(P1102))))</formula>
    </cfRule>
  </conditionalFormatting>
  <conditionalFormatting sqref="P1102">
    <cfRule type="containsText" dxfId="2" priority="12050" operator="containsText" text="Yes">
      <formula>NOT(ISERROR(SEARCH(("Yes"),(P1102))))</formula>
    </cfRule>
  </conditionalFormatting>
  <conditionalFormatting sqref="P1102">
    <cfRule type="containsText" dxfId="2" priority="12051" operator="containsText" text="Yes">
      <formula>NOT(ISERROR(SEARCH(("Yes"),(P1102))))</formula>
    </cfRule>
  </conditionalFormatting>
  <conditionalFormatting sqref="P1102">
    <cfRule type="containsText" dxfId="9" priority="12052" operator="containsText" text="No">
      <formula>NOT(ISERROR(SEARCH(("No"),(P1102))))</formula>
    </cfRule>
  </conditionalFormatting>
  <conditionalFormatting sqref="P1102">
    <cfRule type="containsText" dxfId="2" priority="12053" operator="containsText" text="Yes">
      <formula>NOT(ISERROR(SEARCH(("Yes"),(P1102))))</formula>
    </cfRule>
  </conditionalFormatting>
  <conditionalFormatting sqref="P1102">
    <cfRule type="containsText" dxfId="9" priority="12054" operator="containsText" text="No">
      <formula>NOT(ISERROR(SEARCH(("No"),(P1102))))</formula>
    </cfRule>
  </conditionalFormatting>
  <conditionalFormatting sqref="P1102">
    <cfRule type="containsText" dxfId="2" priority="12055" operator="containsText" text="Yes">
      <formula>NOT(ISERROR(SEARCH(("Yes"),(P1102))))</formula>
    </cfRule>
  </conditionalFormatting>
  <conditionalFormatting sqref="P1102">
    <cfRule type="containsText" dxfId="9" priority="12056" operator="containsText" text="No">
      <formula>NOT(ISERROR(SEARCH(("No"),(P1102))))</formula>
    </cfRule>
  </conditionalFormatting>
  <conditionalFormatting sqref="P1102">
    <cfRule type="containsText" dxfId="2" priority="12057" operator="containsText" text="Yes">
      <formula>NOT(ISERROR(SEARCH(("Yes"),(P1102))))</formula>
    </cfRule>
  </conditionalFormatting>
  <conditionalFormatting sqref="P1102">
    <cfRule type="containsText" dxfId="9" priority="12058" operator="containsText" text="No">
      <formula>NOT(ISERROR(SEARCH(("No"),(P1102))))</formula>
    </cfRule>
  </conditionalFormatting>
  <conditionalFormatting sqref="P1102">
    <cfRule type="containsText" dxfId="2" priority="12059" operator="containsText" text="Yes">
      <formula>NOT(ISERROR(SEARCH(("Yes"),(P1102))))</formula>
    </cfRule>
  </conditionalFormatting>
  <conditionalFormatting sqref="P1102">
    <cfRule type="containsText" dxfId="9" priority="12060" operator="containsText" text="No">
      <formula>NOT(ISERROR(SEARCH(("No"),(P1102))))</formula>
    </cfRule>
  </conditionalFormatting>
  <conditionalFormatting sqref="P1102">
    <cfRule type="containsText" dxfId="2" priority="12061" operator="containsText" text="Yes">
      <formula>NOT(ISERROR(SEARCH(("Yes"),(P1102))))</formula>
    </cfRule>
  </conditionalFormatting>
  <conditionalFormatting sqref="P1102">
    <cfRule type="containsText" dxfId="9" priority="12062" operator="containsText" text="No">
      <formula>NOT(ISERROR(SEARCH(("No"),(P1102))))</formula>
    </cfRule>
  </conditionalFormatting>
  <conditionalFormatting sqref="P1102">
    <cfRule type="containsText" dxfId="2" priority="12063" operator="containsText" text="Yes">
      <formula>NOT(ISERROR(SEARCH(("Yes"),(P1102))))</formula>
    </cfRule>
  </conditionalFormatting>
  <conditionalFormatting sqref="P1102">
    <cfRule type="containsText" dxfId="9" priority="12064" operator="containsText" text="No">
      <formula>NOT(ISERROR(SEARCH(("No"),(P1102))))</formula>
    </cfRule>
  </conditionalFormatting>
  <conditionalFormatting sqref="P1102">
    <cfRule type="containsText" dxfId="2" priority="12065" operator="containsText" text="Yes">
      <formula>NOT(ISERROR(SEARCH(("Yes"),(P1102))))</formula>
    </cfRule>
  </conditionalFormatting>
  <conditionalFormatting sqref="P1102">
    <cfRule type="containsText" dxfId="9" priority="12066" operator="containsText" text="No">
      <formula>NOT(ISERROR(SEARCH(("No"),(P1102))))</formula>
    </cfRule>
  </conditionalFormatting>
  <conditionalFormatting sqref="P1102">
    <cfRule type="containsText" dxfId="2" priority="12067" operator="containsText" text="Yes">
      <formula>NOT(ISERROR(SEARCH(("Yes"),(P1102))))</formula>
    </cfRule>
  </conditionalFormatting>
  <conditionalFormatting sqref="P1102">
    <cfRule type="containsText" dxfId="9" priority="12068" operator="containsText" text="No">
      <formula>NOT(ISERROR(SEARCH(("No"),(P1102))))</formula>
    </cfRule>
  </conditionalFormatting>
  <conditionalFormatting sqref="P1102">
    <cfRule type="containsText" dxfId="2" priority="12069" operator="containsText" text="Yes">
      <formula>NOT(ISERROR(SEARCH(("Yes"),(P1102))))</formula>
    </cfRule>
  </conditionalFormatting>
  <conditionalFormatting sqref="P1102">
    <cfRule type="containsText" dxfId="9" priority="12070" operator="containsText" text="No">
      <formula>NOT(ISERROR(SEARCH(("No"),(P1102))))</formula>
    </cfRule>
  </conditionalFormatting>
  <conditionalFormatting sqref="P1102">
    <cfRule type="containsText" dxfId="2" priority="12071" operator="containsText" text="Yes">
      <formula>NOT(ISERROR(SEARCH(("Yes"),(P1102))))</formula>
    </cfRule>
  </conditionalFormatting>
  <conditionalFormatting sqref="P1102">
    <cfRule type="containsText" dxfId="9" priority="12072" operator="containsText" text="No">
      <formula>NOT(ISERROR(SEARCH(("No"),(P1102))))</formula>
    </cfRule>
  </conditionalFormatting>
  <conditionalFormatting sqref="P1102">
    <cfRule type="containsText" dxfId="2" priority="12073" operator="containsText" text="Yes">
      <formula>NOT(ISERROR(SEARCH(("Yes"),(P1102))))</formula>
    </cfRule>
  </conditionalFormatting>
  <conditionalFormatting sqref="P1102">
    <cfRule type="containsText" dxfId="9" priority="12074" operator="containsText" text="No">
      <formula>NOT(ISERROR(SEARCH(("No"),(P1102))))</formula>
    </cfRule>
  </conditionalFormatting>
  <conditionalFormatting sqref="P1102">
    <cfRule type="containsText" dxfId="2" priority="12075" operator="containsText" text="Yes">
      <formula>NOT(ISERROR(SEARCH(("Yes"),(P1102))))</formula>
    </cfRule>
  </conditionalFormatting>
  <conditionalFormatting sqref="P1102">
    <cfRule type="containsText" dxfId="9" priority="12076" operator="containsText" text="No">
      <formula>NOT(ISERROR(SEARCH(("No"),(P1102))))</formula>
    </cfRule>
  </conditionalFormatting>
  <conditionalFormatting sqref="P1102">
    <cfRule type="containsText" dxfId="2" priority="12077" operator="containsText" text="Yes">
      <formula>NOT(ISERROR(SEARCH(("Yes"),(P1102))))</formula>
    </cfRule>
  </conditionalFormatting>
  <conditionalFormatting sqref="P1102">
    <cfRule type="containsText" dxfId="9" priority="12078" operator="containsText" text="No">
      <formula>NOT(ISERROR(SEARCH(("No"),(P1102))))</formula>
    </cfRule>
  </conditionalFormatting>
  <conditionalFormatting sqref="P1102">
    <cfRule type="containsText" dxfId="2" priority="12079" operator="containsText" text="Yes">
      <formula>NOT(ISERROR(SEARCH(("Yes"),(P1102))))</formula>
    </cfRule>
  </conditionalFormatting>
  <conditionalFormatting sqref="P1102">
    <cfRule type="containsText" dxfId="9" priority="12080" operator="containsText" text="No">
      <formula>NOT(ISERROR(SEARCH(("No"),(P1102))))</formula>
    </cfRule>
  </conditionalFormatting>
  <conditionalFormatting sqref="P1102">
    <cfRule type="containsText" dxfId="2" priority="12081" operator="containsText" text="Yes">
      <formula>NOT(ISERROR(SEARCH(("Yes"),(P1102))))</formula>
    </cfRule>
  </conditionalFormatting>
  <conditionalFormatting sqref="P1102">
    <cfRule type="containsText" dxfId="9" priority="12082" operator="containsText" text="No">
      <formula>NOT(ISERROR(SEARCH(("No"),(P1102))))</formula>
    </cfRule>
  </conditionalFormatting>
  <conditionalFormatting sqref="P1102">
    <cfRule type="containsText" dxfId="2" priority="12083" operator="containsText" text="Yes">
      <formula>NOT(ISERROR(SEARCH(("Yes"),(P1102))))</formula>
    </cfRule>
  </conditionalFormatting>
  <conditionalFormatting sqref="P1102">
    <cfRule type="containsText" dxfId="9" priority="12084" operator="containsText" text="No">
      <formula>NOT(ISERROR(SEARCH(("No"),(P1102))))</formula>
    </cfRule>
  </conditionalFormatting>
  <conditionalFormatting sqref="P1102">
    <cfRule type="containsText" dxfId="2" priority="12085" operator="containsText" text="Yes">
      <formula>NOT(ISERROR(SEARCH(("Yes"),(P1102))))</formula>
    </cfRule>
  </conditionalFormatting>
  <conditionalFormatting sqref="P1102">
    <cfRule type="containsText" dxfId="9" priority="12086" operator="containsText" text="No">
      <formula>NOT(ISERROR(SEARCH(("No"),(P1102))))</formula>
    </cfRule>
  </conditionalFormatting>
  <conditionalFormatting sqref="P1102">
    <cfRule type="containsText" dxfId="2" priority="12087" operator="containsText" text="Yes">
      <formula>NOT(ISERROR(SEARCH(("Yes"),(P1102))))</formula>
    </cfRule>
  </conditionalFormatting>
  <conditionalFormatting sqref="P1102">
    <cfRule type="containsText" dxfId="9" priority="12088" operator="containsText" text="No">
      <formula>NOT(ISERROR(SEARCH(("No"),(P1102))))</formula>
    </cfRule>
  </conditionalFormatting>
  <conditionalFormatting sqref="P1102">
    <cfRule type="containsText" dxfId="2" priority="12089" operator="containsText" text="Yes">
      <formula>NOT(ISERROR(SEARCH(("Yes"),(P1102))))</formula>
    </cfRule>
  </conditionalFormatting>
  <conditionalFormatting sqref="P1102">
    <cfRule type="containsText" dxfId="9" priority="12090" operator="containsText" text="No">
      <formula>NOT(ISERROR(SEARCH(("No"),(P1102))))</formula>
    </cfRule>
  </conditionalFormatting>
  <conditionalFormatting sqref="P1102">
    <cfRule type="containsText" dxfId="2" priority="12091" operator="containsText" text="Yes">
      <formula>NOT(ISERROR(SEARCH(("Yes"),(P1102))))</formula>
    </cfRule>
  </conditionalFormatting>
  <conditionalFormatting sqref="P1102">
    <cfRule type="containsText" dxfId="9" priority="12092" operator="containsText" text="No">
      <formula>NOT(ISERROR(SEARCH(("No"),(P1102))))</formula>
    </cfRule>
  </conditionalFormatting>
  <conditionalFormatting sqref="P1102">
    <cfRule type="containsText" dxfId="2" priority="12093" operator="containsText" text="Yes">
      <formula>NOT(ISERROR(SEARCH(("Yes"),(P1102))))</formula>
    </cfRule>
  </conditionalFormatting>
  <conditionalFormatting sqref="P1102">
    <cfRule type="containsText" dxfId="9" priority="12094" operator="containsText" text="No">
      <formula>NOT(ISERROR(SEARCH(("No"),(P1102))))</formula>
    </cfRule>
  </conditionalFormatting>
  <conditionalFormatting sqref="P1102">
    <cfRule type="containsText" dxfId="2" priority="12095" operator="containsText" text="Yes">
      <formula>NOT(ISERROR(SEARCH(("Yes"),(P1102))))</formula>
    </cfRule>
  </conditionalFormatting>
  <conditionalFormatting sqref="P1102">
    <cfRule type="containsText" dxfId="9" priority="12096" operator="containsText" text="No">
      <formula>NOT(ISERROR(SEARCH(("No"),(P1102))))</formula>
    </cfRule>
  </conditionalFormatting>
  <conditionalFormatting sqref="P1102">
    <cfRule type="containsText" dxfId="2" priority="12097" operator="containsText" text="Yes">
      <formula>NOT(ISERROR(SEARCH(("Yes"),(P1102))))</formula>
    </cfRule>
  </conditionalFormatting>
  <conditionalFormatting sqref="P1102">
    <cfRule type="containsText" dxfId="9" priority="12098" operator="containsText" text="No">
      <formula>NOT(ISERROR(SEARCH(("No"),(P1102))))</formula>
    </cfRule>
  </conditionalFormatting>
  <conditionalFormatting sqref="P1102">
    <cfRule type="containsText" dxfId="2" priority="12099" operator="containsText" text="Yes">
      <formula>NOT(ISERROR(SEARCH(("Yes"),(P1102))))</formula>
    </cfRule>
  </conditionalFormatting>
  <conditionalFormatting sqref="P1102">
    <cfRule type="containsText" dxfId="9" priority="12100" operator="containsText" text="No">
      <formula>NOT(ISERROR(SEARCH(("No"),(P1102))))</formula>
    </cfRule>
  </conditionalFormatting>
  <conditionalFormatting sqref="P1102">
    <cfRule type="containsText" dxfId="2" priority="12101" operator="containsText" text="Yes">
      <formula>NOT(ISERROR(SEARCH(("Yes"),(P1102))))</formula>
    </cfRule>
  </conditionalFormatting>
  <conditionalFormatting sqref="P1102">
    <cfRule type="containsText" dxfId="9" priority="12102" operator="containsText" text="No">
      <formula>NOT(ISERROR(SEARCH(("No"),(P1102))))</formula>
    </cfRule>
  </conditionalFormatting>
  <conditionalFormatting sqref="P1102">
    <cfRule type="containsText" dxfId="2" priority="12103" operator="containsText" text="Yes">
      <formula>NOT(ISERROR(SEARCH(("Yes"),(P1102))))</formula>
    </cfRule>
  </conditionalFormatting>
  <conditionalFormatting sqref="P1102">
    <cfRule type="containsText" dxfId="9" priority="12104" operator="containsText" text="No">
      <formula>NOT(ISERROR(SEARCH(("No"),(P1102))))</formula>
    </cfRule>
  </conditionalFormatting>
  <conditionalFormatting sqref="P1102">
    <cfRule type="containsText" dxfId="2" priority="12105" operator="containsText" text="Yes">
      <formula>NOT(ISERROR(SEARCH(("Yes"),(P1102))))</formula>
    </cfRule>
  </conditionalFormatting>
  <conditionalFormatting sqref="P1102">
    <cfRule type="containsText" dxfId="9" priority="12106" operator="containsText" text="No">
      <formula>NOT(ISERROR(SEARCH(("No"),(P1102))))</formula>
    </cfRule>
  </conditionalFormatting>
  <conditionalFormatting sqref="P1102">
    <cfRule type="containsText" dxfId="2" priority="12107" operator="containsText" text="Yes">
      <formula>NOT(ISERROR(SEARCH(("Yes"),(P1102))))</formula>
    </cfRule>
  </conditionalFormatting>
  <conditionalFormatting sqref="P1102">
    <cfRule type="containsText" dxfId="9" priority="12108" operator="containsText" text="No">
      <formula>NOT(ISERROR(SEARCH(("No"),(P1102))))</formula>
    </cfRule>
  </conditionalFormatting>
  <conditionalFormatting sqref="P1102">
    <cfRule type="containsText" dxfId="2" priority="12109" operator="containsText" text="Yes">
      <formula>NOT(ISERROR(SEARCH(("Yes"),(P1102))))</formula>
    </cfRule>
  </conditionalFormatting>
  <conditionalFormatting sqref="P1102">
    <cfRule type="containsText" dxfId="9" priority="12110" operator="containsText" text="No">
      <formula>NOT(ISERROR(SEARCH(("No"),(P1102))))</formula>
    </cfRule>
  </conditionalFormatting>
  <conditionalFormatting sqref="P1102">
    <cfRule type="containsText" dxfId="2" priority="12111" operator="containsText" text="Yes">
      <formula>NOT(ISERROR(SEARCH(("Yes"),(P1102))))</formula>
    </cfRule>
  </conditionalFormatting>
  <conditionalFormatting sqref="P1102">
    <cfRule type="containsText" dxfId="9" priority="12112" operator="containsText" text="No">
      <formula>NOT(ISERROR(SEARCH(("No"),(P1102))))</formula>
    </cfRule>
  </conditionalFormatting>
  <conditionalFormatting sqref="P1102">
    <cfRule type="containsText" dxfId="2" priority="12113" operator="containsText" text="Yes">
      <formula>NOT(ISERROR(SEARCH(("Yes"),(P1102))))</formula>
    </cfRule>
  </conditionalFormatting>
  <conditionalFormatting sqref="P1102">
    <cfRule type="containsText" dxfId="9" priority="12114" operator="containsText" text="No">
      <formula>NOT(ISERROR(SEARCH(("No"),(P1102))))</formula>
    </cfRule>
  </conditionalFormatting>
  <conditionalFormatting sqref="P1102">
    <cfRule type="containsText" dxfId="2" priority="12115" operator="containsText" text="Yes">
      <formula>NOT(ISERROR(SEARCH(("Yes"),(P1102))))</formula>
    </cfRule>
  </conditionalFormatting>
  <conditionalFormatting sqref="P1102">
    <cfRule type="containsText" dxfId="9" priority="12116" operator="containsText" text="No">
      <formula>NOT(ISERROR(SEARCH(("No"),(P1102))))</formula>
    </cfRule>
  </conditionalFormatting>
  <conditionalFormatting sqref="P1102">
    <cfRule type="containsText" dxfId="2" priority="12117" operator="containsText" text="Yes">
      <formula>NOT(ISERROR(SEARCH(("Yes"),(P1102))))</formula>
    </cfRule>
  </conditionalFormatting>
  <conditionalFormatting sqref="P1102">
    <cfRule type="containsText" dxfId="9" priority="12118" operator="containsText" text="No">
      <formula>NOT(ISERROR(SEARCH(("No"),(P1102))))</formula>
    </cfRule>
  </conditionalFormatting>
  <conditionalFormatting sqref="P1102">
    <cfRule type="containsText" dxfId="2" priority="12119" operator="containsText" text="Yes">
      <formula>NOT(ISERROR(SEARCH(("Yes"),(P1102))))</formula>
    </cfRule>
  </conditionalFormatting>
  <conditionalFormatting sqref="P1102">
    <cfRule type="containsText" dxfId="9" priority="12120" operator="containsText" text="No">
      <formula>NOT(ISERROR(SEARCH(("No"),(P1102))))</formula>
    </cfRule>
  </conditionalFormatting>
  <conditionalFormatting sqref="P1102">
    <cfRule type="containsText" dxfId="2" priority="12121" operator="containsText" text="Yes">
      <formula>NOT(ISERROR(SEARCH(("Yes"),(P1102))))</formula>
    </cfRule>
  </conditionalFormatting>
  <conditionalFormatting sqref="P1102">
    <cfRule type="containsText" dxfId="2" priority="12122" operator="containsText" text="Yes">
      <formula>NOT(ISERROR(SEARCH(("Yes"),(P1102))))</formula>
    </cfRule>
  </conditionalFormatting>
  <conditionalFormatting sqref="P1102">
    <cfRule type="containsText" dxfId="9" priority="12123" operator="containsText" text="No">
      <formula>NOT(ISERROR(SEARCH(("No"),(P1102))))</formula>
    </cfRule>
  </conditionalFormatting>
  <conditionalFormatting sqref="P1102">
    <cfRule type="containsText" dxfId="2" priority="12124" operator="containsText" text="Yes">
      <formula>NOT(ISERROR(SEARCH(("Yes"),(P1102))))</formula>
    </cfRule>
  </conditionalFormatting>
  <conditionalFormatting sqref="P1108:P1109">
    <cfRule type="containsText" dxfId="9" priority="12125" operator="containsText" text="No">
      <formula>NOT(ISERROR(SEARCH(("No"),(P1108))))</formula>
    </cfRule>
  </conditionalFormatting>
  <conditionalFormatting sqref="P1108:P1109">
    <cfRule type="containsText" dxfId="2" priority="12126" operator="containsText" text="Yes">
      <formula>NOT(ISERROR(SEARCH(("Yes"),(P1108))))</formula>
    </cfRule>
  </conditionalFormatting>
  <conditionalFormatting sqref="P1108:P1109">
    <cfRule type="containsText" dxfId="9" priority="12127" operator="containsText" text="No">
      <formula>NOT(ISERROR(SEARCH(("No"),(P1108))))</formula>
    </cfRule>
  </conditionalFormatting>
  <conditionalFormatting sqref="P1108:P1109">
    <cfRule type="containsText" dxfId="2" priority="12128" operator="containsText" text="Yes">
      <formula>NOT(ISERROR(SEARCH(("Yes"),(P1108))))</formula>
    </cfRule>
  </conditionalFormatting>
  <conditionalFormatting sqref="P1108:P1109">
    <cfRule type="containsText" dxfId="9" priority="12129" operator="containsText" text="No">
      <formula>NOT(ISERROR(SEARCH(("No"),(P1108))))</formula>
    </cfRule>
  </conditionalFormatting>
  <conditionalFormatting sqref="P1108:P1109">
    <cfRule type="containsText" dxfId="2" priority="12130" operator="containsText" text="Yes">
      <formula>NOT(ISERROR(SEARCH(("Yes"),(P1108))))</formula>
    </cfRule>
  </conditionalFormatting>
  <conditionalFormatting sqref="P1108:P1109">
    <cfRule type="containsText" dxfId="9" priority="12131" operator="containsText" text="No">
      <formula>NOT(ISERROR(SEARCH(("No"),(P1108))))</formula>
    </cfRule>
  </conditionalFormatting>
  <conditionalFormatting sqref="P1108:P1109">
    <cfRule type="containsText" dxfId="2" priority="12132" operator="containsText" text="Yes">
      <formula>NOT(ISERROR(SEARCH(("Yes"),(P1108))))</formula>
    </cfRule>
  </conditionalFormatting>
  <conditionalFormatting sqref="P1108:P1109">
    <cfRule type="containsText" dxfId="9" priority="12133" operator="containsText" text="No">
      <formula>NOT(ISERROR(SEARCH(("No"),(P1108))))</formula>
    </cfRule>
  </conditionalFormatting>
  <conditionalFormatting sqref="P1108:P1109">
    <cfRule type="containsText" dxfId="2" priority="12134" operator="containsText" text="Yes">
      <formula>NOT(ISERROR(SEARCH(("Yes"),(P1108))))</formula>
    </cfRule>
  </conditionalFormatting>
  <conditionalFormatting sqref="P1108:P1109">
    <cfRule type="containsText" dxfId="9" priority="12135" operator="containsText" text="No">
      <formula>NOT(ISERROR(SEARCH(("No"),(P1108))))</formula>
    </cfRule>
  </conditionalFormatting>
  <conditionalFormatting sqref="P1108:P1109">
    <cfRule type="containsText" dxfId="2" priority="12136" operator="containsText" text="Yes">
      <formula>NOT(ISERROR(SEARCH(("Yes"),(P1108))))</formula>
    </cfRule>
  </conditionalFormatting>
  <conditionalFormatting sqref="P1108:P1109">
    <cfRule type="containsText" dxfId="9" priority="12137" operator="containsText" text="No">
      <formula>NOT(ISERROR(SEARCH(("No"),(P1108))))</formula>
    </cfRule>
  </conditionalFormatting>
  <conditionalFormatting sqref="P1108:P1109">
    <cfRule type="containsText" dxfId="2" priority="12138" operator="containsText" text="Yes">
      <formula>NOT(ISERROR(SEARCH(("Yes"),(P1108))))</formula>
    </cfRule>
  </conditionalFormatting>
  <conditionalFormatting sqref="P1108:P1109">
    <cfRule type="containsText" dxfId="9" priority="12139" operator="containsText" text="No">
      <formula>NOT(ISERROR(SEARCH(("No"),(P1108))))</formula>
    </cfRule>
  </conditionalFormatting>
  <conditionalFormatting sqref="P1108:P1109">
    <cfRule type="containsText" dxfId="2" priority="12140" operator="containsText" text="Yes">
      <formula>NOT(ISERROR(SEARCH(("Yes"),(P1108))))</formula>
    </cfRule>
  </conditionalFormatting>
  <conditionalFormatting sqref="P1108:P1109">
    <cfRule type="containsText" dxfId="9" priority="12141" operator="containsText" text="No">
      <formula>NOT(ISERROR(SEARCH(("No"),(P1108))))</formula>
    </cfRule>
  </conditionalFormatting>
  <conditionalFormatting sqref="P1108:P1109">
    <cfRule type="containsText" dxfId="2" priority="12142" operator="containsText" text="Yes">
      <formula>NOT(ISERROR(SEARCH(("Yes"),(P1108))))</formula>
    </cfRule>
  </conditionalFormatting>
  <conditionalFormatting sqref="P1108:P1109">
    <cfRule type="containsText" dxfId="2" priority="12143" operator="containsText" text="Yes">
      <formula>NOT(ISERROR(SEARCH(("Yes"),(P1108))))</formula>
    </cfRule>
  </conditionalFormatting>
  <conditionalFormatting sqref="P1108:P1109">
    <cfRule type="containsText" dxfId="9" priority="12144" operator="containsText" text="No">
      <formula>NOT(ISERROR(SEARCH(("No"),(P1108))))</formula>
    </cfRule>
  </conditionalFormatting>
  <conditionalFormatting sqref="P1108:P1109">
    <cfRule type="containsText" dxfId="2" priority="12145" operator="containsText" text="Yes">
      <formula>NOT(ISERROR(SEARCH(("Yes"),(P1108))))</formula>
    </cfRule>
  </conditionalFormatting>
  <conditionalFormatting sqref="P1108:P1109">
    <cfRule type="containsText" dxfId="9" priority="12146" operator="containsText" text="No">
      <formula>NOT(ISERROR(SEARCH(("No"),(P1108))))</formula>
    </cfRule>
  </conditionalFormatting>
  <conditionalFormatting sqref="P1108:P1109">
    <cfRule type="containsText" dxfId="2" priority="12147" operator="containsText" text="Yes">
      <formula>NOT(ISERROR(SEARCH(("Yes"),(P1108))))</formula>
    </cfRule>
  </conditionalFormatting>
  <conditionalFormatting sqref="P1108:P1109">
    <cfRule type="containsText" dxfId="9" priority="12148" operator="containsText" text="No">
      <formula>NOT(ISERROR(SEARCH(("No"),(P1108))))</formula>
    </cfRule>
  </conditionalFormatting>
  <conditionalFormatting sqref="P1108:P1109">
    <cfRule type="containsText" dxfId="2" priority="12149" operator="containsText" text="Yes">
      <formula>NOT(ISERROR(SEARCH(("Yes"),(P1108))))</formula>
    </cfRule>
  </conditionalFormatting>
  <conditionalFormatting sqref="P1108:P1109">
    <cfRule type="containsText" dxfId="9" priority="12150" operator="containsText" text="No">
      <formula>NOT(ISERROR(SEARCH(("No"),(P1108))))</formula>
    </cfRule>
  </conditionalFormatting>
  <conditionalFormatting sqref="P1108:P1109">
    <cfRule type="containsText" dxfId="2" priority="12151" operator="containsText" text="Yes">
      <formula>NOT(ISERROR(SEARCH(("Yes"),(P1108))))</formula>
    </cfRule>
  </conditionalFormatting>
  <conditionalFormatting sqref="P1108:P1109">
    <cfRule type="containsText" dxfId="9" priority="12152" operator="containsText" text="No">
      <formula>NOT(ISERROR(SEARCH(("No"),(P1108))))</formula>
    </cfRule>
  </conditionalFormatting>
  <conditionalFormatting sqref="P1108:P1109">
    <cfRule type="containsText" dxfId="2" priority="12153" operator="containsText" text="Yes">
      <formula>NOT(ISERROR(SEARCH(("Yes"),(P1108))))</formula>
    </cfRule>
  </conditionalFormatting>
  <conditionalFormatting sqref="P1108:P1109">
    <cfRule type="containsText" dxfId="9" priority="12154" operator="containsText" text="No">
      <formula>NOT(ISERROR(SEARCH(("No"),(P1108))))</formula>
    </cfRule>
  </conditionalFormatting>
  <conditionalFormatting sqref="P1108:P1109">
    <cfRule type="containsText" dxfId="2" priority="12155" operator="containsText" text="Yes">
      <formula>NOT(ISERROR(SEARCH(("Yes"),(P1108))))</formula>
    </cfRule>
  </conditionalFormatting>
  <conditionalFormatting sqref="P1108:P1109">
    <cfRule type="containsText" dxfId="9" priority="12156" operator="containsText" text="No">
      <formula>NOT(ISERROR(SEARCH(("No"),(P1108))))</formula>
    </cfRule>
  </conditionalFormatting>
  <conditionalFormatting sqref="P1108:P1109">
    <cfRule type="containsText" dxfId="2" priority="12157" operator="containsText" text="Yes">
      <formula>NOT(ISERROR(SEARCH(("Yes"),(P1108))))</formula>
    </cfRule>
  </conditionalFormatting>
  <conditionalFormatting sqref="P1108:P1109">
    <cfRule type="containsText" dxfId="9" priority="12158" operator="containsText" text="No">
      <formula>NOT(ISERROR(SEARCH(("No"),(P1108))))</formula>
    </cfRule>
  </conditionalFormatting>
  <conditionalFormatting sqref="P1108:P1109">
    <cfRule type="containsText" dxfId="2" priority="12159" operator="containsText" text="Yes">
      <formula>NOT(ISERROR(SEARCH(("Yes"),(P1108))))</formula>
    </cfRule>
  </conditionalFormatting>
  <conditionalFormatting sqref="P1108:P1109">
    <cfRule type="containsText" dxfId="9" priority="12160" operator="containsText" text="No">
      <formula>NOT(ISERROR(SEARCH(("No"),(P1108))))</formula>
    </cfRule>
  </conditionalFormatting>
  <conditionalFormatting sqref="P1108:P1109">
    <cfRule type="containsText" dxfId="2" priority="12161" operator="containsText" text="Yes">
      <formula>NOT(ISERROR(SEARCH(("Yes"),(P1108))))</formula>
    </cfRule>
  </conditionalFormatting>
  <conditionalFormatting sqref="P1108:P1109">
    <cfRule type="containsText" dxfId="9" priority="12162" operator="containsText" text="No">
      <formula>NOT(ISERROR(SEARCH(("No"),(P1108))))</formula>
    </cfRule>
  </conditionalFormatting>
  <conditionalFormatting sqref="P1108:P1109">
    <cfRule type="containsText" dxfId="2" priority="12163" operator="containsText" text="Yes">
      <formula>NOT(ISERROR(SEARCH(("Yes"),(P1108))))</formula>
    </cfRule>
  </conditionalFormatting>
  <conditionalFormatting sqref="P1108:P1109">
    <cfRule type="containsText" dxfId="9" priority="12164" operator="containsText" text="No">
      <formula>NOT(ISERROR(SEARCH(("No"),(P1108))))</formula>
    </cfRule>
  </conditionalFormatting>
  <conditionalFormatting sqref="P1108:P1109">
    <cfRule type="containsText" dxfId="2" priority="12165" operator="containsText" text="Yes">
      <formula>NOT(ISERROR(SEARCH(("Yes"),(P1108))))</formula>
    </cfRule>
  </conditionalFormatting>
  <conditionalFormatting sqref="P1108:P1109">
    <cfRule type="containsText" dxfId="9" priority="12166" operator="containsText" text="No">
      <formula>NOT(ISERROR(SEARCH(("No"),(P1108))))</formula>
    </cfRule>
  </conditionalFormatting>
  <conditionalFormatting sqref="P1108:P1109">
    <cfRule type="containsText" dxfId="2" priority="12167" operator="containsText" text="Yes">
      <formula>NOT(ISERROR(SEARCH(("Yes"),(P1108))))</formula>
    </cfRule>
  </conditionalFormatting>
  <conditionalFormatting sqref="P1108:P1109">
    <cfRule type="containsText" dxfId="9" priority="12168" operator="containsText" text="No">
      <formula>NOT(ISERROR(SEARCH(("No"),(P1108))))</formula>
    </cfRule>
  </conditionalFormatting>
  <conditionalFormatting sqref="P1108:P1109">
    <cfRule type="containsText" dxfId="2" priority="12169" operator="containsText" text="Yes">
      <formula>NOT(ISERROR(SEARCH(("Yes"),(P1108))))</formula>
    </cfRule>
  </conditionalFormatting>
  <conditionalFormatting sqref="P1108:P1109">
    <cfRule type="containsText" dxfId="9" priority="12170" operator="containsText" text="No">
      <formula>NOT(ISERROR(SEARCH(("No"),(P1108))))</formula>
    </cfRule>
  </conditionalFormatting>
  <conditionalFormatting sqref="P1108:P1109">
    <cfRule type="containsText" dxfId="2" priority="12171" operator="containsText" text="Yes">
      <formula>NOT(ISERROR(SEARCH(("Yes"),(P1108))))</formula>
    </cfRule>
  </conditionalFormatting>
  <conditionalFormatting sqref="P1108:P1109">
    <cfRule type="containsText" dxfId="9" priority="12172" operator="containsText" text="No">
      <formula>NOT(ISERROR(SEARCH(("No"),(P1108))))</formula>
    </cfRule>
  </conditionalFormatting>
  <conditionalFormatting sqref="P1108:P1109">
    <cfRule type="containsText" dxfId="2" priority="12173" operator="containsText" text="Yes">
      <formula>NOT(ISERROR(SEARCH(("Yes"),(P1108))))</formula>
    </cfRule>
  </conditionalFormatting>
  <conditionalFormatting sqref="P1108:P1109">
    <cfRule type="containsText" dxfId="9" priority="12174" operator="containsText" text="No">
      <formula>NOT(ISERROR(SEARCH(("No"),(P1108))))</formula>
    </cfRule>
  </conditionalFormatting>
  <conditionalFormatting sqref="P1108:P1109">
    <cfRule type="containsText" dxfId="2" priority="12175" operator="containsText" text="Yes">
      <formula>NOT(ISERROR(SEARCH(("Yes"),(P1108))))</formula>
    </cfRule>
  </conditionalFormatting>
  <conditionalFormatting sqref="P1108:P1109">
    <cfRule type="containsText" dxfId="9" priority="12176" operator="containsText" text="No">
      <formula>NOT(ISERROR(SEARCH(("No"),(P1108))))</formula>
    </cfRule>
  </conditionalFormatting>
  <conditionalFormatting sqref="P1108:P1109">
    <cfRule type="containsText" dxfId="2" priority="12177" operator="containsText" text="Yes">
      <formula>NOT(ISERROR(SEARCH(("Yes"),(P1108))))</formula>
    </cfRule>
  </conditionalFormatting>
  <conditionalFormatting sqref="P1108:P1109">
    <cfRule type="containsText" dxfId="9" priority="12178" operator="containsText" text="No">
      <formula>NOT(ISERROR(SEARCH(("No"),(P1108))))</formula>
    </cfRule>
  </conditionalFormatting>
  <conditionalFormatting sqref="P1108:P1109">
    <cfRule type="containsText" dxfId="2" priority="12179" operator="containsText" text="Yes">
      <formula>NOT(ISERROR(SEARCH(("Yes"),(P1108))))</formula>
    </cfRule>
  </conditionalFormatting>
  <conditionalFormatting sqref="P1108:P1109">
    <cfRule type="containsText" dxfId="9" priority="12180" operator="containsText" text="No">
      <formula>NOT(ISERROR(SEARCH(("No"),(P1108))))</formula>
    </cfRule>
  </conditionalFormatting>
  <conditionalFormatting sqref="P1108:P1109">
    <cfRule type="containsText" dxfId="2" priority="12181" operator="containsText" text="Yes">
      <formula>NOT(ISERROR(SEARCH(("Yes"),(P1108))))</formula>
    </cfRule>
  </conditionalFormatting>
  <conditionalFormatting sqref="P1108:P1109">
    <cfRule type="containsText" dxfId="9" priority="12182" operator="containsText" text="No">
      <formula>NOT(ISERROR(SEARCH(("No"),(P1108))))</formula>
    </cfRule>
  </conditionalFormatting>
  <conditionalFormatting sqref="P1108:P1109">
    <cfRule type="containsText" dxfId="2" priority="12183" operator="containsText" text="Yes">
      <formula>NOT(ISERROR(SEARCH(("Yes"),(P1108))))</formula>
    </cfRule>
  </conditionalFormatting>
  <conditionalFormatting sqref="P1108:P1109">
    <cfRule type="containsText" dxfId="9" priority="12184" operator="containsText" text="No">
      <formula>NOT(ISERROR(SEARCH(("No"),(P1108))))</formula>
    </cfRule>
  </conditionalFormatting>
  <conditionalFormatting sqref="P1108:P1109">
    <cfRule type="containsText" dxfId="2" priority="12185" operator="containsText" text="Yes">
      <formula>NOT(ISERROR(SEARCH(("Yes"),(P1108))))</formula>
    </cfRule>
  </conditionalFormatting>
  <conditionalFormatting sqref="P1108:P1109">
    <cfRule type="containsText" dxfId="9" priority="12186" operator="containsText" text="No">
      <formula>NOT(ISERROR(SEARCH(("No"),(P1108))))</formula>
    </cfRule>
  </conditionalFormatting>
  <conditionalFormatting sqref="P1108:P1109">
    <cfRule type="containsText" dxfId="2" priority="12187" operator="containsText" text="Yes">
      <formula>NOT(ISERROR(SEARCH(("Yes"),(P1108))))</formula>
    </cfRule>
  </conditionalFormatting>
  <conditionalFormatting sqref="P1108:P1109">
    <cfRule type="containsText" dxfId="9" priority="12188" operator="containsText" text="No">
      <formula>NOT(ISERROR(SEARCH(("No"),(P1108))))</formula>
    </cfRule>
  </conditionalFormatting>
  <conditionalFormatting sqref="P1108:P1109">
    <cfRule type="containsText" dxfId="2" priority="12189" operator="containsText" text="Yes">
      <formula>NOT(ISERROR(SEARCH(("Yes"),(P1108))))</formula>
    </cfRule>
  </conditionalFormatting>
  <conditionalFormatting sqref="P1108:P1109">
    <cfRule type="containsText" dxfId="9" priority="12190" operator="containsText" text="No">
      <formula>NOT(ISERROR(SEARCH(("No"),(P1108))))</formula>
    </cfRule>
  </conditionalFormatting>
  <conditionalFormatting sqref="P1108:P1109">
    <cfRule type="containsText" dxfId="2" priority="12191" operator="containsText" text="Yes">
      <formula>NOT(ISERROR(SEARCH(("Yes"),(P1108))))</formula>
    </cfRule>
  </conditionalFormatting>
  <conditionalFormatting sqref="P1108:P1109">
    <cfRule type="containsText" dxfId="9" priority="12192" operator="containsText" text="No">
      <formula>NOT(ISERROR(SEARCH(("No"),(P1108))))</formula>
    </cfRule>
  </conditionalFormatting>
  <conditionalFormatting sqref="P1108:P1109">
    <cfRule type="containsText" dxfId="2" priority="12193" operator="containsText" text="Yes">
      <formula>NOT(ISERROR(SEARCH(("Yes"),(P1108))))</formula>
    </cfRule>
  </conditionalFormatting>
  <conditionalFormatting sqref="P1108:P1109">
    <cfRule type="containsText" dxfId="9" priority="12194" operator="containsText" text="No">
      <formula>NOT(ISERROR(SEARCH(("No"),(P1108))))</formula>
    </cfRule>
  </conditionalFormatting>
  <conditionalFormatting sqref="P1108:P1109">
    <cfRule type="containsText" dxfId="2" priority="12195" operator="containsText" text="Yes">
      <formula>NOT(ISERROR(SEARCH(("Yes"),(P1108))))</formula>
    </cfRule>
  </conditionalFormatting>
  <conditionalFormatting sqref="P1108:P1109">
    <cfRule type="containsText" dxfId="9" priority="12196" operator="containsText" text="No">
      <formula>NOT(ISERROR(SEARCH(("No"),(P1108))))</formula>
    </cfRule>
  </conditionalFormatting>
  <conditionalFormatting sqref="P1108:P1109">
    <cfRule type="containsText" dxfId="2" priority="12197" operator="containsText" text="Yes">
      <formula>NOT(ISERROR(SEARCH(("Yes"),(P1108))))</formula>
    </cfRule>
  </conditionalFormatting>
  <conditionalFormatting sqref="P1108:P1109">
    <cfRule type="containsText" dxfId="9" priority="12198" operator="containsText" text="No">
      <formula>NOT(ISERROR(SEARCH(("No"),(P1108))))</formula>
    </cfRule>
  </conditionalFormatting>
  <conditionalFormatting sqref="P1108:P1109">
    <cfRule type="containsText" dxfId="2" priority="12199" operator="containsText" text="Yes">
      <formula>NOT(ISERROR(SEARCH(("Yes"),(P1108))))</formula>
    </cfRule>
  </conditionalFormatting>
  <conditionalFormatting sqref="P1108:P1109">
    <cfRule type="containsText" dxfId="9" priority="12200" operator="containsText" text="No">
      <formula>NOT(ISERROR(SEARCH(("No"),(P1108))))</formula>
    </cfRule>
  </conditionalFormatting>
  <conditionalFormatting sqref="P1108:P1109">
    <cfRule type="containsText" dxfId="2" priority="12201" operator="containsText" text="Yes">
      <formula>NOT(ISERROR(SEARCH(("Yes"),(P1108))))</formula>
    </cfRule>
  </conditionalFormatting>
  <conditionalFormatting sqref="P1108:P1109">
    <cfRule type="containsText" dxfId="9" priority="12202" operator="containsText" text="No">
      <formula>NOT(ISERROR(SEARCH(("No"),(P1108))))</formula>
    </cfRule>
  </conditionalFormatting>
  <conditionalFormatting sqref="P1108:P1109">
    <cfRule type="containsText" dxfId="2" priority="12203" operator="containsText" text="Yes">
      <formula>NOT(ISERROR(SEARCH(("Yes"),(P1108))))</formula>
    </cfRule>
  </conditionalFormatting>
  <conditionalFormatting sqref="P1108:P1109">
    <cfRule type="containsText" dxfId="9" priority="12204" operator="containsText" text="No">
      <formula>NOT(ISERROR(SEARCH(("No"),(P1108))))</formula>
    </cfRule>
  </conditionalFormatting>
  <conditionalFormatting sqref="P1108:P1109">
    <cfRule type="containsText" dxfId="2" priority="12205" operator="containsText" text="Yes">
      <formula>NOT(ISERROR(SEARCH(("Yes"),(P1108))))</formula>
    </cfRule>
  </conditionalFormatting>
  <conditionalFormatting sqref="P1108:P1109">
    <cfRule type="containsText" dxfId="9" priority="12206" operator="containsText" text="No">
      <formula>NOT(ISERROR(SEARCH(("No"),(P1108))))</formula>
    </cfRule>
  </conditionalFormatting>
  <conditionalFormatting sqref="P1108:P1109">
    <cfRule type="containsText" dxfId="2" priority="12207" operator="containsText" text="Yes">
      <formula>NOT(ISERROR(SEARCH(("Yes"),(P1108))))</formula>
    </cfRule>
  </conditionalFormatting>
  <conditionalFormatting sqref="P1108:P1109">
    <cfRule type="containsText" dxfId="9" priority="12208" operator="containsText" text="No">
      <formula>NOT(ISERROR(SEARCH(("No"),(P1108))))</formula>
    </cfRule>
  </conditionalFormatting>
  <conditionalFormatting sqref="P1108:P1109">
    <cfRule type="containsText" dxfId="2" priority="12209" operator="containsText" text="Yes">
      <formula>NOT(ISERROR(SEARCH(("Yes"),(P1108))))</formula>
    </cfRule>
  </conditionalFormatting>
  <conditionalFormatting sqref="P1108:P1109">
    <cfRule type="containsText" dxfId="9" priority="12210" operator="containsText" text="No">
      <formula>NOT(ISERROR(SEARCH(("No"),(P1108))))</formula>
    </cfRule>
  </conditionalFormatting>
  <conditionalFormatting sqref="P1108:P1109">
    <cfRule type="containsText" dxfId="2" priority="12211" operator="containsText" text="Yes">
      <formula>NOT(ISERROR(SEARCH(("Yes"),(P1108))))</formula>
    </cfRule>
  </conditionalFormatting>
  <conditionalFormatting sqref="P1108:P1109">
    <cfRule type="containsText" dxfId="9" priority="12212" operator="containsText" text="No">
      <formula>NOT(ISERROR(SEARCH(("No"),(P1108))))</formula>
    </cfRule>
  </conditionalFormatting>
  <conditionalFormatting sqref="P1108:P1109">
    <cfRule type="containsText" dxfId="2" priority="12213" operator="containsText" text="Yes">
      <formula>NOT(ISERROR(SEARCH(("Yes"),(P1108))))</formula>
    </cfRule>
  </conditionalFormatting>
  <conditionalFormatting sqref="P1108:P1109">
    <cfRule type="containsText" dxfId="2" priority="12214" operator="containsText" text="Yes">
      <formula>NOT(ISERROR(SEARCH(("Yes"),(P1108))))</formula>
    </cfRule>
  </conditionalFormatting>
  <conditionalFormatting sqref="P1108:P1109">
    <cfRule type="containsText" dxfId="9" priority="12215" operator="containsText" text="No">
      <formula>NOT(ISERROR(SEARCH(("No"),(P1108))))</formula>
    </cfRule>
  </conditionalFormatting>
  <conditionalFormatting sqref="P1108:P1109">
    <cfRule type="containsText" dxfId="2" priority="12216" operator="containsText" text="Yes">
      <formula>NOT(ISERROR(SEARCH(("Yes"),(P1108))))</formula>
    </cfRule>
  </conditionalFormatting>
  <conditionalFormatting sqref="P1111:P1114">
    <cfRule type="containsText" dxfId="9" priority="12217" operator="containsText" text="No">
      <formula>NOT(ISERROR(SEARCH(("No"),(P1111))))</formula>
    </cfRule>
  </conditionalFormatting>
  <conditionalFormatting sqref="P1111:P1114">
    <cfRule type="containsText" dxfId="2" priority="12218" operator="containsText" text="Yes">
      <formula>NOT(ISERROR(SEARCH(("Yes"),(P1111))))</formula>
    </cfRule>
  </conditionalFormatting>
  <conditionalFormatting sqref="P1111:P1114">
    <cfRule type="containsText" dxfId="9" priority="12219" operator="containsText" text="No">
      <formula>NOT(ISERROR(SEARCH(("No"),(P1111))))</formula>
    </cfRule>
  </conditionalFormatting>
  <conditionalFormatting sqref="P1111:P1114">
    <cfRule type="containsText" dxfId="2" priority="12220" operator="containsText" text="Yes">
      <formula>NOT(ISERROR(SEARCH(("Yes"),(P1111))))</formula>
    </cfRule>
  </conditionalFormatting>
  <conditionalFormatting sqref="P1111:P1114">
    <cfRule type="containsText" dxfId="9" priority="12221" operator="containsText" text="No">
      <formula>NOT(ISERROR(SEARCH(("No"),(P1111))))</formula>
    </cfRule>
  </conditionalFormatting>
  <conditionalFormatting sqref="P1111:P1114">
    <cfRule type="containsText" dxfId="2" priority="12222" operator="containsText" text="Yes">
      <formula>NOT(ISERROR(SEARCH(("Yes"),(P1111))))</formula>
    </cfRule>
  </conditionalFormatting>
  <conditionalFormatting sqref="P1111:P1114">
    <cfRule type="containsText" dxfId="9" priority="12223" operator="containsText" text="No">
      <formula>NOT(ISERROR(SEARCH(("No"),(P1111))))</formula>
    </cfRule>
  </conditionalFormatting>
  <conditionalFormatting sqref="P1111:P1114">
    <cfRule type="containsText" dxfId="2" priority="12224" operator="containsText" text="Yes">
      <formula>NOT(ISERROR(SEARCH(("Yes"),(P1111))))</formula>
    </cfRule>
  </conditionalFormatting>
  <conditionalFormatting sqref="P1111:P1114">
    <cfRule type="containsText" dxfId="9" priority="12225" operator="containsText" text="No">
      <formula>NOT(ISERROR(SEARCH(("No"),(P1111))))</formula>
    </cfRule>
  </conditionalFormatting>
  <conditionalFormatting sqref="P1111:P1114">
    <cfRule type="containsText" dxfId="2" priority="12226" operator="containsText" text="Yes">
      <formula>NOT(ISERROR(SEARCH(("Yes"),(P1111))))</formula>
    </cfRule>
  </conditionalFormatting>
  <conditionalFormatting sqref="P1111:P1114">
    <cfRule type="containsText" dxfId="9" priority="12227" operator="containsText" text="No">
      <formula>NOT(ISERROR(SEARCH(("No"),(P1111))))</formula>
    </cfRule>
  </conditionalFormatting>
  <conditionalFormatting sqref="P1111:P1114">
    <cfRule type="containsText" dxfId="2" priority="12228" operator="containsText" text="Yes">
      <formula>NOT(ISERROR(SEARCH(("Yes"),(P1111))))</formula>
    </cfRule>
  </conditionalFormatting>
  <conditionalFormatting sqref="P1111:P1114">
    <cfRule type="containsText" dxfId="9" priority="12229" operator="containsText" text="No">
      <formula>NOT(ISERROR(SEARCH(("No"),(P1111))))</formula>
    </cfRule>
  </conditionalFormatting>
  <conditionalFormatting sqref="P1111:P1114">
    <cfRule type="containsText" dxfId="2" priority="12230" operator="containsText" text="Yes">
      <formula>NOT(ISERROR(SEARCH(("Yes"),(P1111))))</formula>
    </cfRule>
  </conditionalFormatting>
  <conditionalFormatting sqref="P1111:P1114">
    <cfRule type="containsText" dxfId="9" priority="12231" operator="containsText" text="No">
      <formula>NOT(ISERROR(SEARCH(("No"),(P1111))))</formula>
    </cfRule>
  </conditionalFormatting>
  <conditionalFormatting sqref="P1111:P1114">
    <cfRule type="containsText" dxfId="2" priority="12232" operator="containsText" text="Yes">
      <formula>NOT(ISERROR(SEARCH(("Yes"),(P1111))))</formula>
    </cfRule>
  </conditionalFormatting>
  <conditionalFormatting sqref="P1111:P1114">
    <cfRule type="containsText" dxfId="9" priority="12233" operator="containsText" text="No">
      <formula>NOT(ISERROR(SEARCH(("No"),(P1111))))</formula>
    </cfRule>
  </conditionalFormatting>
  <conditionalFormatting sqref="P1111:P1114">
    <cfRule type="containsText" dxfId="2" priority="12234" operator="containsText" text="Yes">
      <formula>NOT(ISERROR(SEARCH(("Yes"),(P1111))))</formula>
    </cfRule>
  </conditionalFormatting>
  <conditionalFormatting sqref="P1111:P1114">
    <cfRule type="containsText" dxfId="2" priority="12235" operator="containsText" text="Yes">
      <formula>NOT(ISERROR(SEARCH(("Yes"),(P1111))))</formula>
    </cfRule>
  </conditionalFormatting>
  <conditionalFormatting sqref="P1111:P1114">
    <cfRule type="containsText" dxfId="9" priority="12236" operator="containsText" text="No">
      <formula>NOT(ISERROR(SEARCH(("No"),(P1111))))</formula>
    </cfRule>
  </conditionalFormatting>
  <conditionalFormatting sqref="P1111:P1114">
    <cfRule type="containsText" dxfId="2" priority="12237" operator="containsText" text="Yes">
      <formula>NOT(ISERROR(SEARCH(("Yes"),(P1111))))</formula>
    </cfRule>
  </conditionalFormatting>
  <conditionalFormatting sqref="P1111:P1114">
    <cfRule type="containsText" dxfId="9" priority="12238" operator="containsText" text="No">
      <formula>NOT(ISERROR(SEARCH(("No"),(P1111))))</formula>
    </cfRule>
  </conditionalFormatting>
  <conditionalFormatting sqref="P1111:P1114">
    <cfRule type="containsText" dxfId="2" priority="12239" operator="containsText" text="Yes">
      <formula>NOT(ISERROR(SEARCH(("Yes"),(P1111))))</formula>
    </cfRule>
  </conditionalFormatting>
  <conditionalFormatting sqref="P1111:P1114">
    <cfRule type="containsText" dxfId="9" priority="12240" operator="containsText" text="No">
      <formula>NOT(ISERROR(SEARCH(("No"),(P1111))))</formula>
    </cfRule>
  </conditionalFormatting>
  <conditionalFormatting sqref="P1111:P1114">
    <cfRule type="containsText" dxfId="2" priority="12241" operator="containsText" text="Yes">
      <formula>NOT(ISERROR(SEARCH(("Yes"),(P1111))))</formula>
    </cfRule>
  </conditionalFormatting>
  <conditionalFormatting sqref="P1111:P1114">
    <cfRule type="containsText" dxfId="9" priority="12242" operator="containsText" text="No">
      <formula>NOT(ISERROR(SEARCH(("No"),(P1111))))</formula>
    </cfRule>
  </conditionalFormatting>
  <conditionalFormatting sqref="P1111:P1114">
    <cfRule type="containsText" dxfId="2" priority="12243" operator="containsText" text="Yes">
      <formula>NOT(ISERROR(SEARCH(("Yes"),(P1111))))</formula>
    </cfRule>
  </conditionalFormatting>
  <conditionalFormatting sqref="P1111:P1114">
    <cfRule type="containsText" dxfId="9" priority="12244" operator="containsText" text="No">
      <formula>NOT(ISERROR(SEARCH(("No"),(P1111))))</formula>
    </cfRule>
  </conditionalFormatting>
  <conditionalFormatting sqref="P1111:P1114">
    <cfRule type="containsText" dxfId="2" priority="12245" operator="containsText" text="Yes">
      <formula>NOT(ISERROR(SEARCH(("Yes"),(P1111))))</formula>
    </cfRule>
  </conditionalFormatting>
  <conditionalFormatting sqref="P1111:P1114">
    <cfRule type="containsText" dxfId="9" priority="12246" operator="containsText" text="No">
      <formula>NOT(ISERROR(SEARCH(("No"),(P1111))))</formula>
    </cfRule>
  </conditionalFormatting>
  <conditionalFormatting sqref="P1111:P1114">
    <cfRule type="containsText" dxfId="2" priority="12247" operator="containsText" text="Yes">
      <formula>NOT(ISERROR(SEARCH(("Yes"),(P1111))))</formula>
    </cfRule>
  </conditionalFormatting>
  <conditionalFormatting sqref="P1111:P1114">
    <cfRule type="containsText" dxfId="9" priority="12248" operator="containsText" text="No">
      <formula>NOT(ISERROR(SEARCH(("No"),(P1111))))</formula>
    </cfRule>
  </conditionalFormatting>
  <conditionalFormatting sqref="P1111:P1114">
    <cfRule type="containsText" dxfId="2" priority="12249" operator="containsText" text="Yes">
      <formula>NOT(ISERROR(SEARCH(("Yes"),(P1111))))</formula>
    </cfRule>
  </conditionalFormatting>
  <conditionalFormatting sqref="P1111:P1114">
    <cfRule type="containsText" dxfId="9" priority="12250" operator="containsText" text="No">
      <formula>NOT(ISERROR(SEARCH(("No"),(P1111))))</formula>
    </cfRule>
  </conditionalFormatting>
  <conditionalFormatting sqref="P1111:P1114">
    <cfRule type="containsText" dxfId="2" priority="12251" operator="containsText" text="Yes">
      <formula>NOT(ISERROR(SEARCH(("Yes"),(P1111))))</formula>
    </cfRule>
  </conditionalFormatting>
  <conditionalFormatting sqref="P1111:P1114">
    <cfRule type="containsText" dxfId="9" priority="12252" operator="containsText" text="No">
      <formula>NOT(ISERROR(SEARCH(("No"),(P1111))))</formula>
    </cfRule>
  </conditionalFormatting>
  <conditionalFormatting sqref="P1111:P1114">
    <cfRule type="containsText" dxfId="2" priority="12253" operator="containsText" text="Yes">
      <formula>NOT(ISERROR(SEARCH(("Yes"),(P1111))))</formula>
    </cfRule>
  </conditionalFormatting>
  <conditionalFormatting sqref="P1111:P1114">
    <cfRule type="containsText" dxfId="9" priority="12254" operator="containsText" text="No">
      <formula>NOT(ISERROR(SEARCH(("No"),(P1111))))</formula>
    </cfRule>
  </conditionalFormatting>
  <conditionalFormatting sqref="P1111:P1114">
    <cfRule type="containsText" dxfId="2" priority="12255" operator="containsText" text="Yes">
      <formula>NOT(ISERROR(SEARCH(("Yes"),(P1111))))</formula>
    </cfRule>
  </conditionalFormatting>
  <conditionalFormatting sqref="P1111:P1114">
    <cfRule type="containsText" dxfId="9" priority="12256" operator="containsText" text="No">
      <formula>NOT(ISERROR(SEARCH(("No"),(P1111))))</formula>
    </cfRule>
  </conditionalFormatting>
  <conditionalFormatting sqref="P1111:P1114">
    <cfRule type="containsText" dxfId="2" priority="12257" operator="containsText" text="Yes">
      <formula>NOT(ISERROR(SEARCH(("Yes"),(P1111))))</formula>
    </cfRule>
  </conditionalFormatting>
  <conditionalFormatting sqref="P1111:P1114">
    <cfRule type="containsText" dxfId="9" priority="12258" operator="containsText" text="No">
      <formula>NOT(ISERROR(SEARCH(("No"),(P1111))))</formula>
    </cfRule>
  </conditionalFormatting>
  <conditionalFormatting sqref="P1111:P1114">
    <cfRule type="containsText" dxfId="2" priority="12259" operator="containsText" text="Yes">
      <formula>NOT(ISERROR(SEARCH(("Yes"),(P1111))))</formula>
    </cfRule>
  </conditionalFormatting>
  <conditionalFormatting sqref="P1111:P1114">
    <cfRule type="containsText" dxfId="9" priority="12260" operator="containsText" text="No">
      <formula>NOT(ISERROR(SEARCH(("No"),(P1111))))</formula>
    </cfRule>
  </conditionalFormatting>
  <conditionalFormatting sqref="P1111:P1114">
    <cfRule type="containsText" dxfId="2" priority="12261" operator="containsText" text="Yes">
      <formula>NOT(ISERROR(SEARCH(("Yes"),(P1111))))</formula>
    </cfRule>
  </conditionalFormatting>
  <conditionalFormatting sqref="P1111:P1114">
    <cfRule type="containsText" dxfId="9" priority="12262" operator="containsText" text="No">
      <formula>NOT(ISERROR(SEARCH(("No"),(P1111))))</formula>
    </cfRule>
  </conditionalFormatting>
  <conditionalFormatting sqref="P1111:P1114">
    <cfRule type="containsText" dxfId="2" priority="12263" operator="containsText" text="Yes">
      <formula>NOT(ISERROR(SEARCH(("Yes"),(P1111))))</formula>
    </cfRule>
  </conditionalFormatting>
  <conditionalFormatting sqref="P1111:P1114">
    <cfRule type="containsText" dxfId="9" priority="12264" operator="containsText" text="No">
      <formula>NOT(ISERROR(SEARCH(("No"),(P1111))))</formula>
    </cfRule>
  </conditionalFormatting>
  <conditionalFormatting sqref="P1111:P1114">
    <cfRule type="containsText" dxfId="2" priority="12265" operator="containsText" text="Yes">
      <formula>NOT(ISERROR(SEARCH(("Yes"),(P1111))))</formula>
    </cfRule>
  </conditionalFormatting>
  <conditionalFormatting sqref="P1111:P1114">
    <cfRule type="containsText" dxfId="9" priority="12266" operator="containsText" text="No">
      <formula>NOT(ISERROR(SEARCH(("No"),(P1111))))</formula>
    </cfRule>
  </conditionalFormatting>
  <conditionalFormatting sqref="P1111:P1114">
    <cfRule type="containsText" dxfId="2" priority="12267" operator="containsText" text="Yes">
      <formula>NOT(ISERROR(SEARCH(("Yes"),(P1111))))</formula>
    </cfRule>
  </conditionalFormatting>
  <conditionalFormatting sqref="P1111:P1114">
    <cfRule type="containsText" dxfId="9" priority="12268" operator="containsText" text="No">
      <formula>NOT(ISERROR(SEARCH(("No"),(P1111))))</formula>
    </cfRule>
  </conditionalFormatting>
  <conditionalFormatting sqref="P1111:P1114">
    <cfRule type="containsText" dxfId="2" priority="12269" operator="containsText" text="Yes">
      <formula>NOT(ISERROR(SEARCH(("Yes"),(P1111))))</formula>
    </cfRule>
  </conditionalFormatting>
  <conditionalFormatting sqref="P1111:P1114">
    <cfRule type="containsText" dxfId="9" priority="12270" operator="containsText" text="No">
      <formula>NOT(ISERROR(SEARCH(("No"),(P1111))))</formula>
    </cfRule>
  </conditionalFormatting>
  <conditionalFormatting sqref="P1111:P1114">
    <cfRule type="containsText" dxfId="2" priority="12271" operator="containsText" text="Yes">
      <formula>NOT(ISERROR(SEARCH(("Yes"),(P1111))))</formula>
    </cfRule>
  </conditionalFormatting>
  <conditionalFormatting sqref="P1111:P1114">
    <cfRule type="containsText" dxfId="9" priority="12272" operator="containsText" text="No">
      <formula>NOT(ISERROR(SEARCH(("No"),(P1111))))</formula>
    </cfRule>
  </conditionalFormatting>
  <conditionalFormatting sqref="P1111:P1114">
    <cfRule type="containsText" dxfId="2" priority="12273" operator="containsText" text="Yes">
      <formula>NOT(ISERROR(SEARCH(("Yes"),(P1111))))</formula>
    </cfRule>
  </conditionalFormatting>
  <conditionalFormatting sqref="P1111:P1114">
    <cfRule type="containsText" dxfId="9" priority="12274" operator="containsText" text="No">
      <formula>NOT(ISERROR(SEARCH(("No"),(P1111))))</formula>
    </cfRule>
  </conditionalFormatting>
  <conditionalFormatting sqref="P1111:P1114">
    <cfRule type="containsText" dxfId="2" priority="12275" operator="containsText" text="Yes">
      <formula>NOT(ISERROR(SEARCH(("Yes"),(P1111))))</formula>
    </cfRule>
  </conditionalFormatting>
  <conditionalFormatting sqref="P1111:P1114">
    <cfRule type="containsText" dxfId="9" priority="12276" operator="containsText" text="No">
      <formula>NOT(ISERROR(SEARCH(("No"),(P1111))))</formula>
    </cfRule>
  </conditionalFormatting>
  <conditionalFormatting sqref="P1111:P1114">
    <cfRule type="containsText" dxfId="2" priority="12277" operator="containsText" text="Yes">
      <formula>NOT(ISERROR(SEARCH(("Yes"),(P1111))))</formula>
    </cfRule>
  </conditionalFormatting>
  <conditionalFormatting sqref="P1111:P1114">
    <cfRule type="containsText" dxfId="9" priority="12278" operator="containsText" text="No">
      <formula>NOT(ISERROR(SEARCH(("No"),(P1111))))</formula>
    </cfRule>
  </conditionalFormatting>
  <conditionalFormatting sqref="P1111:P1114">
    <cfRule type="containsText" dxfId="2" priority="12279" operator="containsText" text="Yes">
      <formula>NOT(ISERROR(SEARCH(("Yes"),(P1111))))</formula>
    </cfRule>
  </conditionalFormatting>
  <conditionalFormatting sqref="P1111:P1114">
    <cfRule type="containsText" dxfId="9" priority="12280" operator="containsText" text="No">
      <formula>NOT(ISERROR(SEARCH(("No"),(P1111))))</formula>
    </cfRule>
  </conditionalFormatting>
  <conditionalFormatting sqref="P1111:P1114">
    <cfRule type="containsText" dxfId="2" priority="12281" operator="containsText" text="Yes">
      <formula>NOT(ISERROR(SEARCH(("Yes"),(P1111))))</formula>
    </cfRule>
  </conditionalFormatting>
  <conditionalFormatting sqref="P1111:P1114">
    <cfRule type="containsText" dxfId="9" priority="12282" operator="containsText" text="No">
      <formula>NOT(ISERROR(SEARCH(("No"),(P1111))))</formula>
    </cfRule>
  </conditionalFormatting>
  <conditionalFormatting sqref="P1111:P1114">
    <cfRule type="containsText" dxfId="2" priority="12283" operator="containsText" text="Yes">
      <formula>NOT(ISERROR(SEARCH(("Yes"),(P1111))))</formula>
    </cfRule>
  </conditionalFormatting>
  <conditionalFormatting sqref="P1111:P1114">
    <cfRule type="containsText" dxfId="9" priority="12284" operator="containsText" text="No">
      <formula>NOT(ISERROR(SEARCH(("No"),(P1111))))</formula>
    </cfRule>
  </conditionalFormatting>
  <conditionalFormatting sqref="P1111:P1114">
    <cfRule type="containsText" dxfId="2" priority="12285" operator="containsText" text="Yes">
      <formula>NOT(ISERROR(SEARCH(("Yes"),(P1111))))</formula>
    </cfRule>
  </conditionalFormatting>
  <conditionalFormatting sqref="P1111:P1114">
    <cfRule type="containsText" dxfId="9" priority="12286" operator="containsText" text="No">
      <formula>NOT(ISERROR(SEARCH(("No"),(P1111))))</formula>
    </cfRule>
  </conditionalFormatting>
  <conditionalFormatting sqref="P1111:P1114">
    <cfRule type="containsText" dxfId="2" priority="12287" operator="containsText" text="Yes">
      <formula>NOT(ISERROR(SEARCH(("Yes"),(P1111))))</formula>
    </cfRule>
  </conditionalFormatting>
  <conditionalFormatting sqref="P1111:P1114">
    <cfRule type="containsText" dxfId="9" priority="12288" operator="containsText" text="No">
      <formula>NOT(ISERROR(SEARCH(("No"),(P1111))))</formula>
    </cfRule>
  </conditionalFormatting>
  <conditionalFormatting sqref="P1111:P1114">
    <cfRule type="containsText" dxfId="2" priority="12289" operator="containsText" text="Yes">
      <formula>NOT(ISERROR(SEARCH(("Yes"),(P1111))))</formula>
    </cfRule>
  </conditionalFormatting>
  <conditionalFormatting sqref="P1111:P1114">
    <cfRule type="containsText" dxfId="9" priority="12290" operator="containsText" text="No">
      <formula>NOT(ISERROR(SEARCH(("No"),(P1111))))</formula>
    </cfRule>
  </conditionalFormatting>
  <conditionalFormatting sqref="P1111:P1114">
    <cfRule type="containsText" dxfId="2" priority="12291" operator="containsText" text="Yes">
      <formula>NOT(ISERROR(SEARCH(("Yes"),(P1111))))</formula>
    </cfRule>
  </conditionalFormatting>
  <conditionalFormatting sqref="P1111:P1114">
    <cfRule type="containsText" dxfId="9" priority="12292" operator="containsText" text="No">
      <formula>NOT(ISERROR(SEARCH(("No"),(P1111))))</formula>
    </cfRule>
  </conditionalFormatting>
  <conditionalFormatting sqref="P1111:P1114">
    <cfRule type="containsText" dxfId="2" priority="12293" operator="containsText" text="Yes">
      <formula>NOT(ISERROR(SEARCH(("Yes"),(P1111))))</formula>
    </cfRule>
  </conditionalFormatting>
  <conditionalFormatting sqref="P1111:P1114">
    <cfRule type="containsText" dxfId="9" priority="12294" operator="containsText" text="No">
      <formula>NOT(ISERROR(SEARCH(("No"),(P1111))))</formula>
    </cfRule>
  </conditionalFormatting>
  <conditionalFormatting sqref="P1111:P1114">
    <cfRule type="containsText" dxfId="2" priority="12295" operator="containsText" text="Yes">
      <formula>NOT(ISERROR(SEARCH(("Yes"),(P1111))))</formula>
    </cfRule>
  </conditionalFormatting>
  <conditionalFormatting sqref="P1111:P1114">
    <cfRule type="containsText" dxfId="9" priority="12296" operator="containsText" text="No">
      <formula>NOT(ISERROR(SEARCH(("No"),(P1111))))</formula>
    </cfRule>
  </conditionalFormatting>
  <conditionalFormatting sqref="P1111:P1114">
    <cfRule type="containsText" dxfId="2" priority="12297" operator="containsText" text="Yes">
      <formula>NOT(ISERROR(SEARCH(("Yes"),(P1111))))</formula>
    </cfRule>
  </conditionalFormatting>
  <conditionalFormatting sqref="P1111:P1114">
    <cfRule type="containsText" dxfId="9" priority="12298" operator="containsText" text="No">
      <formula>NOT(ISERROR(SEARCH(("No"),(P1111))))</formula>
    </cfRule>
  </conditionalFormatting>
  <conditionalFormatting sqref="P1111:P1114">
    <cfRule type="containsText" dxfId="2" priority="12299" operator="containsText" text="Yes">
      <formula>NOT(ISERROR(SEARCH(("Yes"),(P1111))))</formula>
    </cfRule>
  </conditionalFormatting>
  <conditionalFormatting sqref="P1111:P1114">
    <cfRule type="containsText" dxfId="9" priority="12300" operator="containsText" text="No">
      <formula>NOT(ISERROR(SEARCH(("No"),(P1111))))</formula>
    </cfRule>
  </conditionalFormatting>
  <conditionalFormatting sqref="P1111:P1114">
    <cfRule type="containsText" dxfId="2" priority="12301" operator="containsText" text="Yes">
      <formula>NOT(ISERROR(SEARCH(("Yes"),(P1111))))</formula>
    </cfRule>
  </conditionalFormatting>
  <conditionalFormatting sqref="P1111:P1114">
    <cfRule type="containsText" dxfId="9" priority="12302" operator="containsText" text="No">
      <formula>NOT(ISERROR(SEARCH(("No"),(P1111))))</formula>
    </cfRule>
  </conditionalFormatting>
  <conditionalFormatting sqref="P1111:P1114">
    <cfRule type="containsText" dxfId="2" priority="12303" operator="containsText" text="Yes">
      <formula>NOT(ISERROR(SEARCH(("Yes"),(P1111))))</formula>
    </cfRule>
  </conditionalFormatting>
  <conditionalFormatting sqref="P1111:P1114">
    <cfRule type="containsText" dxfId="9" priority="12304" operator="containsText" text="No">
      <formula>NOT(ISERROR(SEARCH(("No"),(P1111))))</formula>
    </cfRule>
  </conditionalFormatting>
  <conditionalFormatting sqref="P1111:P1114">
    <cfRule type="containsText" dxfId="2" priority="12305" operator="containsText" text="Yes">
      <formula>NOT(ISERROR(SEARCH(("Yes"),(P1111))))</formula>
    </cfRule>
  </conditionalFormatting>
  <conditionalFormatting sqref="P1111:P1114">
    <cfRule type="containsText" dxfId="2" priority="12306" operator="containsText" text="Yes">
      <formula>NOT(ISERROR(SEARCH(("Yes"),(P1111))))</formula>
    </cfRule>
  </conditionalFormatting>
  <conditionalFormatting sqref="P1111:P1114">
    <cfRule type="containsText" dxfId="9" priority="12307" operator="containsText" text="No">
      <formula>NOT(ISERROR(SEARCH(("No"),(P1111))))</formula>
    </cfRule>
  </conditionalFormatting>
  <conditionalFormatting sqref="P1111:P1114">
    <cfRule type="containsText" dxfId="2" priority="12308" operator="containsText" text="Yes">
      <formula>NOT(ISERROR(SEARCH(("Yes"),(P1111))))</formula>
    </cfRule>
  </conditionalFormatting>
  <conditionalFormatting sqref="P1117:P1121">
    <cfRule type="containsText" dxfId="9" priority="12309" operator="containsText" text="No">
      <formula>NOT(ISERROR(SEARCH(("No"),(P1117))))</formula>
    </cfRule>
  </conditionalFormatting>
  <conditionalFormatting sqref="P1117:P1121">
    <cfRule type="containsText" dxfId="2" priority="12310" operator="containsText" text="Yes">
      <formula>NOT(ISERROR(SEARCH(("Yes"),(P1117))))</formula>
    </cfRule>
  </conditionalFormatting>
  <conditionalFormatting sqref="P1117:P1121">
    <cfRule type="containsText" dxfId="9" priority="12311" operator="containsText" text="No">
      <formula>NOT(ISERROR(SEARCH(("No"),(P1117))))</formula>
    </cfRule>
  </conditionalFormatting>
  <conditionalFormatting sqref="P1117:P1121">
    <cfRule type="containsText" dxfId="2" priority="12312" operator="containsText" text="Yes">
      <formula>NOT(ISERROR(SEARCH(("Yes"),(P1117))))</formula>
    </cfRule>
  </conditionalFormatting>
  <conditionalFormatting sqref="P1117:P1121">
    <cfRule type="containsText" dxfId="9" priority="12313" operator="containsText" text="No">
      <formula>NOT(ISERROR(SEARCH(("No"),(P1117))))</formula>
    </cfRule>
  </conditionalFormatting>
  <conditionalFormatting sqref="P1117:P1121">
    <cfRule type="containsText" dxfId="2" priority="12314" operator="containsText" text="Yes">
      <formula>NOT(ISERROR(SEARCH(("Yes"),(P1117))))</formula>
    </cfRule>
  </conditionalFormatting>
  <conditionalFormatting sqref="P1117:P1121">
    <cfRule type="containsText" dxfId="9" priority="12315" operator="containsText" text="No">
      <formula>NOT(ISERROR(SEARCH(("No"),(P1117))))</formula>
    </cfRule>
  </conditionalFormatting>
  <conditionalFormatting sqref="P1117:P1121">
    <cfRule type="containsText" dxfId="2" priority="12316" operator="containsText" text="Yes">
      <formula>NOT(ISERROR(SEARCH(("Yes"),(P1117))))</formula>
    </cfRule>
  </conditionalFormatting>
  <conditionalFormatting sqref="P1117:P1121">
    <cfRule type="containsText" dxfId="9" priority="12317" operator="containsText" text="No">
      <formula>NOT(ISERROR(SEARCH(("No"),(P1117))))</formula>
    </cfRule>
  </conditionalFormatting>
  <conditionalFormatting sqref="P1117:P1121">
    <cfRule type="containsText" dxfId="2" priority="12318" operator="containsText" text="Yes">
      <formula>NOT(ISERROR(SEARCH(("Yes"),(P1117))))</formula>
    </cfRule>
  </conditionalFormatting>
  <conditionalFormatting sqref="P1117:P1121">
    <cfRule type="containsText" dxfId="9" priority="12319" operator="containsText" text="No">
      <formula>NOT(ISERROR(SEARCH(("No"),(P1117))))</formula>
    </cfRule>
  </conditionalFormatting>
  <conditionalFormatting sqref="P1117:P1121">
    <cfRule type="containsText" dxfId="2" priority="12320" operator="containsText" text="Yes">
      <formula>NOT(ISERROR(SEARCH(("Yes"),(P1117))))</formula>
    </cfRule>
  </conditionalFormatting>
  <conditionalFormatting sqref="P1117:P1121">
    <cfRule type="containsText" dxfId="9" priority="12321" operator="containsText" text="No">
      <formula>NOT(ISERROR(SEARCH(("No"),(P1117))))</formula>
    </cfRule>
  </conditionalFormatting>
  <conditionalFormatting sqref="P1117:P1121">
    <cfRule type="containsText" dxfId="2" priority="12322" operator="containsText" text="Yes">
      <formula>NOT(ISERROR(SEARCH(("Yes"),(P1117))))</formula>
    </cfRule>
  </conditionalFormatting>
  <conditionalFormatting sqref="P1117:P1121">
    <cfRule type="containsText" dxfId="9" priority="12323" operator="containsText" text="No">
      <formula>NOT(ISERROR(SEARCH(("No"),(P1117))))</formula>
    </cfRule>
  </conditionalFormatting>
  <conditionalFormatting sqref="P1117:P1121">
    <cfRule type="containsText" dxfId="2" priority="12324" operator="containsText" text="Yes">
      <formula>NOT(ISERROR(SEARCH(("Yes"),(P1117))))</formula>
    </cfRule>
  </conditionalFormatting>
  <conditionalFormatting sqref="P1117:P1121">
    <cfRule type="containsText" dxfId="9" priority="12325" operator="containsText" text="No">
      <formula>NOT(ISERROR(SEARCH(("No"),(P1117))))</formula>
    </cfRule>
  </conditionalFormatting>
  <conditionalFormatting sqref="P1117:P1121">
    <cfRule type="containsText" dxfId="2" priority="12326" operator="containsText" text="Yes">
      <formula>NOT(ISERROR(SEARCH(("Yes"),(P1117))))</formula>
    </cfRule>
  </conditionalFormatting>
  <conditionalFormatting sqref="P1117:P1121">
    <cfRule type="containsText" dxfId="2" priority="12327" operator="containsText" text="Yes">
      <formula>NOT(ISERROR(SEARCH(("Yes"),(P1117))))</formula>
    </cfRule>
  </conditionalFormatting>
  <conditionalFormatting sqref="P1117:P1121">
    <cfRule type="containsText" dxfId="9" priority="12328" operator="containsText" text="No">
      <formula>NOT(ISERROR(SEARCH(("No"),(P1117))))</formula>
    </cfRule>
  </conditionalFormatting>
  <conditionalFormatting sqref="P1117:P1121">
    <cfRule type="containsText" dxfId="2" priority="12329" operator="containsText" text="Yes">
      <formula>NOT(ISERROR(SEARCH(("Yes"),(P1117))))</formula>
    </cfRule>
  </conditionalFormatting>
  <conditionalFormatting sqref="P1117:P1121">
    <cfRule type="containsText" dxfId="9" priority="12330" operator="containsText" text="No">
      <formula>NOT(ISERROR(SEARCH(("No"),(P1117))))</formula>
    </cfRule>
  </conditionalFormatting>
  <conditionalFormatting sqref="P1117:P1121">
    <cfRule type="containsText" dxfId="2" priority="12331" operator="containsText" text="Yes">
      <formula>NOT(ISERROR(SEARCH(("Yes"),(P1117))))</formula>
    </cfRule>
  </conditionalFormatting>
  <conditionalFormatting sqref="P1117:P1121">
    <cfRule type="containsText" dxfId="9" priority="12332" operator="containsText" text="No">
      <formula>NOT(ISERROR(SEARCH(("No"),(P1117))))</formula>
    </cfRule>
  </conditionalFormatting>
  <conditionalFormatting sqref="P1117:P1121">
    <cfRule type="containsText" dxfId="2" priority="12333" operator="containsText" text="Yes">
      <formula>NOT(ISERROR(SEARCH(("Yes"),(P1117))))</formula>
    </cfRule>
  </conditionalFormatting>
  <conditionalFormatting sqref="P1117:P1121">
    <cfRule type="containsText" dxfId="9" priority="12334" operator="containsText" text="No">
      <formula>NOT(ISERROR(SEARCH(("No"),(P1117))))</formula>
    </cfRule>
  </conditionalFormatting>
  <conditionalFormatting sqref="P1117:P1121">
    <cfRule type="containsText" dxfId="2" priority="12335" operator="containsText" text="Yes">
      <formula>NOT(ISERROR(SEARCH(("Yes"),(P1117))))</formula>
    </cfRule>
  </conditionalFormatting>
  <conditionalFormatting sqref="P1117:P1121">
    <cfRule type="containsText" dxfId="9" priority="12336" operator="containsText" text="No">
      <formula>NOT(ISERROR(SEARCH(("No"),(P1117))))</formula>
    </cfRule>
  </conditionalFormatting>
  <conditionalFormatting sqref="P1117:P1121">
    <cfRule type="containsText" dxfId="2" priority="12337" operator="containsText" text="Yes">
      <formula>NOT(ISERROR(SEARCH(("Yes"),(P1117))))</formula>
    </cfRule>
  </conditionalFormatting>
  <conditionalFormatting sqref="P1117:P1121">
    <cfRule type="containsText" dxfId="9" priority="12338" operator="containsText" text="No">
      <formula>NOT(ISERROR(SEARCH(("No"),(P1117))))</formula>
    </cfRule>
  </conditionalFormatting>
  <conditionalFormatting sqref="P1117:P1121">
    <cfRule type="containsText" dxfId="2" priority="12339" operator="containsText" text="Yes">
      <formula>NOT(ISERROR(SEARCH(("Yes"),(P1117))))</formula>
    </cfRule>
  </conditionalFormatting>
  <conditionalFormatting sqref="P1117:P1121">
    <cfRule type="containsText" dxfId="9" priority="12340" operator="containsText" text="No">
      <formula>NOT(ISERROR(SEARCH(("No"),(P1117))))</formula>
    </cfRule>
  </conditionalFormatting>
  <conditionalFormatting sqref="P1117:P1121">
    <cfRule type="containsText" dxfId="2" priority="12341" operator="containsText" text="Yes">
      <formula>NOT(ISERROR(SEARCH(("Yes"),(P1117))))</formula>
    </cfRule>
  </conditionalFormatting>
  <conditionalFormatting sqref="P1117:P1121">
    <cfRule type="containsText" dxfId="9" priority="12342" operator="containsText" text="No">
      <formula>NOT(ISERROR(SEARCH(("No"),(P1117))))</formula>
    </cfRule>
  </conditionalFormatting>
  <conditionalFormatting sqref="P1117:P1121">
    <cfRule type="containsText" dxfId="2" priority="12343" operator="containsText" text="Yes">
      <formula>NOT(ISERROR(SEARCH(("Yes"),(P1117))))</formula>
    </cfRule>
  </conditionalFormatting>
  <conditionalFormatting sqref="P1117:P1121">
    <cfRule type="containsText" dxfId="9" priority="12344" operator="containsText" text="No">
      <formula>NOT(ISERROR(SEARCH(("No"),(P1117))))</formula>
    </cfRule>
  </conditionalFormatting>
  <conditionalFormatting sqref="P1117:P1121">
    <cfRule type="containsText" dxfId="2" priority="12345" operator="containsText" text="Yes">
      <formula>NOT(ISERROR(SEARCH(("Yes"),(P1117))))</formula>
    </cfRule>
  </conditionalFormatting>
  <conditionalFormatting sqref="P1117:P1121">
    <cfRule type="containsText" dxfId="9" priority="12346" operator="containsText" text="No">
      <formula>NOT(ISERROR(SEARCH(("No"),(P1117))))</formula>
    </cfRule>
  </conditionalFormatting>
  <conditionalFormatting sqref="P1117:P1121">
    <cfRule type="containsText" dxfId="2" priority="12347" operator="containsText" text="Yes">
      <formula>NOT(ISERROR(SEARCH(("Yes"),(P1117))))</formula>
    </cfRule>
  </conditionalFormatting>
  <conditionalFormatting sqref="P1117:P1121">
    <cfRule type="containsText" dxfId="9" priority="12348" operator="containsText" text="No">
      <formula>NOT(ISERROR(SEARCH(("No"),(P1117))))</formula>
    </cfRule>
  </conditionalFormatting>
  <conditionalFormatting sqref="P1117:P1121">
    <cfRule type="containsText" dxfId="2" priority="12349" operator="containsText" text="Yes">
      <formula>NOT(ISERROR(SEARCH(("Yes"),(P1117))))</formula>
    </cfRule>
  </conditionalFormatting>
  <conditionalFormatting sqref="P1117:P1121">
    <cfRule type="containsText" dxfId="9" priority="12350" operator="containsText" text="No">
      <formula>NOT(ISERROR(SEARCH(("No"),(P1117))))</formula>
    </cfRule>
  </conditionalFormatting>
  <conditionalFormatting sqref="P1117:P1121">
    <cfRule type="containsText" dxfId="2" priority="12351" operator="containsText" text="Yes">
      <formula>NOT(ISERROR(SEARCH(("Yes"),(P1117))))</formula>
    </cfRule>
  </conditionalFormatting>
  <conditionalFormatting sqref="P1117:P1121">
    <cfRule type="containsText" dxfId="9" priority="12352" operator="containsText" text="No">
      <formula>NOT(ISERROR(SEARCH(("No"),(P1117))))</formula>
    </cfRule>
  </conditionalFormatting>
  <conditionalFormatting sqref="P1117:P1121">
    <cfRule type="containsText" dxfId="2" priority="12353" operator="containsText" text="Yes">
      <formula>NOT(ISERROR(SEARCH(("Yes"),(P1117))))</formula>
    </cfRule>
  </conditionalFormatting>
  <conditionalFormatting sqref="P1117:P1121">
    <cfRule type="containsText" dxfId="9" priority="12354" operator="containsText" text="No">
      <formula>NOT(ISERROR(SEARCH(("No"),(P1117))))</formula>
    </cfRule>
  </conditionalFormatting>
  <conditionalFormatting sqref="P1117:P1121">
    <cfRule type="containsText" dxfId="2" priority="12355" operator="containsText" text="Yes">
      <formula>NOT(ISERROR(SEARCH(("Yes"),(P1117))))</formula>
    </cfRule>
  </conditionalFormatting>
  <conditionalFormatting sqref="P1117:P1121">
    <cfRule type="containsText" dxfId="9" priority="12356" operator="containsText" text="No">
      <formula>NOT(ISERROR(SEARCH(("No"),(P1117))))</formula>
    </cfRule>
  </conditionalFormatting>
  <conditionalFormatting sqref="P1117:P1121">
    <cfRule type="containsText" dxfId="2" priority="12357" operator="containsText" text="Yes">
      <formula>NOT(ISERROR(SEARCH(("Yes"),(P1117))))</formula>
    </cfRule>
  </conditionalFormatting>
  <conditionalFormatting sqref="P1117:P1121">
    <cfRule type="containsText" dxfId="9" priority="12358" operator="containsText" text="No">
      <formula>NOT(ISERROR(SEARCH(("No"),(P1117))))</formula>
    </cfRule>
  </conditionalFormatting>
  <conditionalFormatting sqref="P1117:P1121">
    <cfRule type="containsText" dxfId="2" priority="12359" operator="containsText" text="Yes">
      <formula>NOT(ISERROR(SEARCH(("Yes"),(P1117))))</formula>
    </cfRule>
  </conditionalFormatting>
  <conditionalFormatting sqref="P1117:P1121">
    <cfRule type="containsText" dxfId="9" priority="12360" operator="containsText" text="No">
      <formula>NOT(ISERROR(SEARCH(("No"),(P1117))))</formula>
    </cfRule>
  </conditionalFormatting>
  <conditionalFormatting sqref="P1117:P1121">
    <cfRule type="containsText" dxfId="2" priority="12361" operator="containsText" text="Yes">
      <formula>NOT(ISERROR(SEARCH(("Yes"),(P1117))))</formula>
    </cfRule>
  </conditionalFormatting>
  <conditionalFormatting sqref="P1117:P1121">
    <cfRule type="containsText" dxfId="9" priority="12362" operator="containsText" text="No">
      <formula>NOT(ISERROR(SEARCH(("No"),(P1117))))</formula>
    </cfRule>
  </conditionalFormatting>
  <conditionalFormatting sqref="P1117:P1121">
    <cfRule type="containsText" dxfId="2" priority="12363" operator="containsText" text="Yes">
      <formula>NOT(ISERROR(SEARCH(("Yes"),(P1117))))</formula>
    </cfRule>
  </conditionalFormatting>
  <conditionalFormatting sqref="P1117:P1121">
    <cfRule type="containsText" dxfId="9" priority="12364" operator="containsText" text="No">
      <formula>NOT(ISERROR(SEARCH(("No"),(P1117))))</formula>
    </cfRule>
  </conditionalFormatting>
  <conditionalFormatting sqref="P1117:P1121">
    <cfRule type="containsText" dxfId="2" priority="12365" operator="containsText" text="Yes">
      <formula>NOT(ISERROR(SEARCH(("Yes"),(P1117))))</formula>
    </cfRule>
  </conditionalFormatting>
  <conditionalFormatting sqref="P1117:P1121">
    <cfRule type="containsText" dxfId="9" priority="12366" operator="containsText" text="No">
      <formula>NOT(ISERROR(SEARCH(("No"),(P1117))))</formula>
    </cfRule>
  </conditionalFormatting>
  <conditionalFormatting sqref="P1117:P1121">
    <cfRule type="containsText" dxfId="2" priority="12367" operator="containsText" text="Yes">
      <formula>NOT(ISERROR(SEARCH(("Yes"),(P1117))))</formula>
    </cfRule>
  </conditionalFormatting>
  <conditionalFormatting sqref="P1117:P1121">
    <cfRule type="containsText" dxfId="9" priority="12368" operator="containsText" text="No">
      <formula>NOT(ISERROR(SEARCH(("No"),(P1117))))</formula>
    </cfRule>
  </conditionalFormatting>
  <conditionalFormatting sqref="P1117:P1121">
    <cfRule type="containsText" dxfId="2" priority="12369" operator="containsText" text="Yes">
      <formula>NOT(ISERROR(SEARCH(("Yes"),(P1117))))</formula>
    </cfRule>
  </conditionalFormatting>
  <conditionalFormatting sqref="P1117:P1121">
    <cfRule type="containsText" dxfId="9" priority="12370" operator="containsText" text="No">
      <formula>NOT(ISERROR(SEARCH(("No"),(P1117))))</formula>
    </cfRule>
  </conditionalFormatting>
  <conditionalFormatting sqref="P1117:P1121">
    <cfRule type="containsText" dxfId="2" priority="12371" operator="containsText" text="Yes">
      <formula>NOT(ISERROR(SEARCH(("Yes"),(P1117))))</formula>
    </cfRule>
  </conditionalFormatting>
  <conditionalFormatting sqref="P1117:P1121">
    <cfRule type="containsText" dxfId="9" priority="12372" operator="containsText" text="No">
      <formula>NOT(ISERROR(SEARCH(("No"),(P1117))))</formula>
    </cfRule>
  </conditionalFormatting>
  <conditionalFormatting sqref="P1117:P1121">
    <cfRule type="containsText" dxfId="2" priority="12373" operator="containsText" text="Yes">
      <formula>NOT(ISERROR(SEARCH(("Yes"),(P1117))))</formula>
    </cfRule>
  </conditionalFormatting>
  <conditionalFormatting sqref="P1117:P1121">
    <cfRule type="containsText" dxfId="9" priority="12374" operator="containsText" text="No">
      <formula>NOT(ISERROR(SEARCH(("No"),(P1117))))</formula>
    </cfRule>
  </conditionalFormatting>
  <conditionalFormatting sqref="P1117:P1121">
    <cfRule type="containsText" dxfId="2" priority="12375" operator="containsText" text="Yes">
      <formula>NOT(ISERROR(SEARCH(("Yes"),(P1117))))</formula>
    </cfRule>
  </conditionalFormatting>
  <conditionalFormatting sqref="P1117:P1121">
    <cfRule type="containsText" dxfId="9" priority="12376" operator="containsText" text="No">
      <formula>NOT(ISERROR(SEARCH(("No"),(P1117))))</formula>
    </cfRule>
  </conditionalFormatting>
  <conditionalFormatting sqref="P1117:P1121">
    <cfRule type="containsText" dxfId="2" priority="12377" operator="containsText" text="Yes">
      <formula>NOT(ISERROR(SEARCH(("Yes"),(P1117))))</formula>
    </cfRule>
  </conditionalFormatting>
  <conditionalFormatting sqref="P1117:P1121">
    <cfRule type="containsText" dxfId="9" priority="12378" operator="containsText" text="No">
      <formula>NOT(ISERROR(SEARCH(("No"),(P1117))))</formula>
    </cfRule>
  </conditionalFormatting>
  <conditionalFormatting sqref="P1117:P1121">
    <cfRule type="containsText" dxfId="2" priority="12379" operator="containsText" text="Yes">
      <formula>NOT(ISERROR(SEARCH(("Yes"),(P1117))))</formula>
    </cfRule>
  </conditionalFormatting>
  <conditionalFormatting sqref="P1117:P1121">
    <cfRule type="containsText" dxfId="9" priority="12380" operator="containsText" text="No">
      <formula>NOT(ISERROR(SEARCH(("No"),(P1117))))</formula>
    </cfRule>
  </conditionalFormatting>
  <conditionalFormatting sqref="P1117:P1121">
    <cfRule type="containsText" dxfId="2" priority="12381" operator="containsText" text="Yes">
      <formula>NOT(ISERROR(SEARCH(("Yes"),(P1117))))</formula>
    </cfRule>
  </conditionalFormatting>
  <conditionalFormatting sqref="P1117:P1121">
    <cfRule type="containsText" dxfId="9" priority="12382" operator="containsText" text="No">
      <formula>NOT(ISERROR(SEARCH(("No"),(P1117))))</formula>
    </cfRule>
  </conditionalFormatting>
  <conditionalFormatting sqref="P1117:P1121">
    <cfRule type="containsText" dxfId="2" priority="12383" operator="containsText" text="Yes">
      <formula>NOT(ISERROR(SEARCH(("Yes"),(P1117))))</formula>
    </cfRule>
  </conditionalFormatting>
  <conditionalFormatting sqref="P1117:P1121">
    <cfRule type="containsText" dxfId="9" priority="12384" operator="containsText" text="No">
      <formula>NOT(ISERROR(SEARCH(("No"),(P1117))))</formula>
    </cfRule>
  </conditionalFormatting>
  <conditionalFormatting sqref="P1117:P1121">
    <cfRule type="containsText" dxfId="2" priority="12385" operator="containsText" text="Yes">
      <formula>NOT(ISERROR(SEARCH(("Yes"),(P1117))))</formula>
    </cfRule>
  </conditionalFormatting>
  <conditionalFormatting sqref="P1117:P1121">
    <cfRule type="containsText" dxfId="9" priority="12386" operator="containsText" text="No">
      <formula>NOT(ISERROR(SEARCH(("No"),(P1117))))</formula>
    </cfRule>
  </conditionalFormatting>
  <conditionalFormatting sqref="P1117:P1121">
    <cfRule type="containsText" dxfId="2" priority="12387" operator="containsText" text="Yes">
      <formula>NOT(ISERROR(SEARCH(("Yes"),(P1117))))</formula>
    </cfRule>
  </conditionalFormatting>
  <conditionalFormatting sqref="P1117:P1121">
    <cfRule type="containsText" dxfId="9" priority="12388" operator="containsText" text="No">
      <formula>NOT(ISERROR(SEARCH(("No"),(P1117))))</formula>
    </cfRule>
  </conditionalFormatting>
  <conditionalFormatting sqref="P1117:P1121">
    <cfRule type="containsText" dxfId="2" priority="12389" operator="containsText" text="Yes">
      <formula>NOT(ISERROR(SEARCH(("Yes"),(P1117))))</formula>
    </cfRule>
  </conditionalFormatting>
  <conditionalFormatting sqref="P1117:P1121">
    <cfRule type="containsText" dxfId="9" priority="12390" operator="containsText" text="No">
      <formula>NOT(ISERROR(SEARCH(("No"),(P1117))))</formula>
    </cfRule>
  </conditionalFormatting>
  <conditionalFormatting sqref="P1117:P1121">
    <cfRule type="containsText" dxfId="2" priority="12391" operator="containsText" text="Yes">
      <formula>NOT(ISERROR(SEARCH(("Yes"),(P1117))))</formula>
    </cfRule>
  </conditionalFormatting>
  <conditionalFormatting sqref="P1117:P1121">
    <cfRule type="containsText" dxfId="9" priority="12392" operator="containsText" text="No">
      <formula>NOT(ISERROR(SEARCH(("No"),(P1117))))</formula>
    </cfRule>
  </conditionalFormatting>
  <conditionalFormatting sqref="P1117:P1121">
    <cfRule type="containsText" dxfId="2" priority="12393" operator="containsText" text="Yes">
      <formula>NOT(ISERROR(SEARCH(("Yes"),(P1117))))</formula>
    </cfRule>
  </conditionalFormatting>
  <conditionalFormatting sqref="P1117:P1121">
    <cfRule type="containsText" dxfId="9" priority="12394" operator="containsText" text="No">
      <formula>NOT(ISERROR(SEARCH(("No"),(P1117))))</formula>
    </cfRule>
  </conditionalFormatting>
  <conditionalFormatting sqref="P1117:P1121">
    <cfRule type="containsText" dxfId="2" priority="12395" operator="containsText" text="Yes">
      <formula>NOT(ISERROR(SEARCH(("Yes"),(P1117))))</formula>
    </cfRule>
  </conditionalFormatting>
  <conditionalFormatting sqref="P1117:P1121">
    <cfRule type="containsText" dxfId="9" priority="12396" operator="containsText" text="No">
      <formula>NOT(ISERROR(SEARCH(("No"),(P1117))))</formula>
    </cfRule>
  </conditionalFormatting>
  <conditionalFormatting sqref="P1117:P1121">
    <cfRule type="containsText" dxfId="2" priority="12397" operator="containsText" text="Yes">
      <formula>NOT(ISERROR(SEARCH(("Yes"),(P1117))))</formula>
    </cfRule>
  </conditionalFormatting>
  <conditionalFormatting sqref="P1117:P1121">
    <cfRule type="containsText" dxfId="2" priority="12398" operator="containsText" text="Yes">
      <formula>NOT(ISERROR(SEARCH(("Yes"),(P1117))))</formula>
    </cfRule>
  </conditionalFormatting>
  <conditionalFormatting sqref="P1117:P1121">
    <cfRule type="containsText" dxfId="9" priority="12399" operator="containsText" text="No">
      <formula>NOT(ISERROR(SEARCH(("No"),(P1117))))</formula>
    </cfRule>
  </conditionalFormatting>
  <conditionalFormatting sqref="P1117:P1121">
    <cfRule type="containsText" dxfId="2" priority="12400" operator="containsText" text="Yes">
      <formula>NOT(ISERROR(SEARCH(("Yes"),(P1117))))</formula>
    </cfRule>
  </conditionalFormatting>
  <conditionalFormatting sqref="P1123:P1128">
    <cfRule type="containsText" dxfId="9" priority="12401" operator="containsText" text="No">
      <formula>NOT(ISERROR(SEARCH(("No"),(P1123))))</formula>
    </cfRule>
  </conditionalFormatting>
  <conditionalFormatting sqref="P1123:P1128">
    <cfRule type="containsText" dxfId="2" priority="12402" operator="containsText" text="Yes">
      <formula>NOT(ISERROR(SEARCH(("Yes"),(P1123))))</formula>
    </cfRule>
  </conditionalFormatting>
  <conditionalFormatting sqref="P1123:P1128">
    <cfRule type="containsText" dxfId="9" priority="12403" operator="containsText" text="No">
      <formula>NOT(ISERROR(SEARCH(("No"),(P1123))))</formula>
    </cfRule>
  </conditionalFormatting>
  <conditionalFormatting sqref="P1123:P1128">
    <cfRule type="containsText" dxfId="2" priority="12404" operator="containsText" text="Yes">
      <formula>NOT(ISERROR(SEARCH(("Yes"),(P1123))))</formula>
    </cfRule>
  </conditionalFormatting>
  <conditionalFormatting sqref="P1123:P1128">
    <cfRule type="containsText" dxfId="9" priority="12405" operator="containsText" text="No">
      <formula>NOT(ISERROR(SEARCH(("No"),(P1123))))</formula>
    </cfRule>
  </conditionalFormatting>
  <conditionalFormatting sqref="P1123:P1128">
    <cfRule type="containsText" dxfId="2" priority="12406" operator="containsText" text="Yes">
      <formula>NOT(ISERROR(SEARCH(("Yes"),(P1123))))</formula>
    </cfRule>
  </conditionalFormatting>
  <conditionalFormatting sqref="P1123:P1128">
    <cfRule type="containsText" dxfId="9" priority="12407" operator="containsText" text="No">
      <formula>NOT(ISERROR(SEARCH(("No"),(P1123))))</formula>
    </cfRule>
  </conditionalFormatting>
  <conditionalFormatting sqref="P1123:P1128">
    <cfRule type="containsText" dxfId="2" priority="12408" operator="containsText" text="Yes">
      <formula>NOT(ISERROR(SEARCH(("Yes"),(P1123))))</formula>
    </cfRule>
  </conditionalFormatting>
  <conditionalFormatting sqref="P1123:P1128">
    <cfRule type="containsText" dxfId="9" priority="12409" operator="containsText" text="No">
      <formula>NOT(ISERROR(SEARCH(("No"),(P1123))))</formula>
    </cfRule>
  </conditionalFormatting>
  <conditionalFormatting sqref="P1123:P1128">
    <cfRule type="containsText" dxfId="2" priority="12410" operator="containsText" text="Yes">
      <formula>NOT(ISERROR(SEARCH(("Yes"),(P1123))))</formula>
    </cfRule>
  </conditionalFormatting>
  <conditionalFormatting sqref="P1123:P1128">
    <cfRule type="containsText" dxfId="9" priority="12411" operator="containsText" text="No">
      <formula>NOT(ISERROR(SEARCH(("No"),(P1123))))</formula>
    </cfRule>
  </conditionalFormatting>
  <conditionalFormatting sqref="P1123:P1128">
    <cfRule type="containsText" dxfId="2" priority="12412" operator="containsText" text="Yes">
      <formula>NOT(ISERROR(SEARCH(("Yes"),(P1123))))</formula>
    </cfRule>
  </conditionalFormatting>
  <conditionalFormatting sqref="P1123:P1128">
    <cfRule type="containsText" dxfId="9" priority="12413" operator="containsText" text="No">
      <formula>NOT(ISERROR(SEARCH(("No"),(P1123))))</formula>
    </cfRule>
  </conditionalFormatting>
  <conditionalFormatting sqref="P1123:P1128">
    <cfRule type="containsText" dxfId="2" priority="12414" operator="containsText" text="Yes">
      <formula>NOT(ISERROR(SEARCH(("Yes"),(P1123))))</formula>
    </cfRule>
  </conditionalFormatting>
  <conditionalFormatting sqref="P1123:P1128">
    <cfRule type="containsText" dxfId="9" priority="12415" operator="containsText" text="No">
      <formula>NOT(ISERROR(SEARCH(("No"),(P1123))))</formula>
    </cfRule>
  </conditionalFormatting>
  <conditionalFormatting sqref="P1123:P1128">
    <cfRule type="containsText" dxfId="2" priority="12416" operator="containsText" text="Yes">
      <formula>NOT(ISERROR(SEARCH(("Yes"),(P1123))))</formula>
    </cfRule>
  </conditionalFormatting>
  <conditionalFormatting sqref="P1123:P1128">
    <cfRule type="containsText" dxfId="9" priority="12417" operator="containsText" text="No">
      <formula>NOT(ISERROR(SEARCH(("No"),(P1123))))</formula>
    </cfRule>
  </conditionalFormatting>
  <conditionalFormatting sqref="P1123:P1128">
    <cfRule type="containsText" dxfId="2" priority="12418" operator="containsText" text="Yes">
      <formula>NOT(ISERROR(SEARCH(("Yes"),(P1123))))</formula>
    </cfRule>
  </conditionalFormatting>
  <conditionalFormatting sqref="P1123:P1128">
    <cfRule type="containsText" dxfId="2" priority="12419" operator="containsText" text="Yes">
      <formula>NOT(ISERROR(SEARCH(("Yes"),(P1123))))</formula>
    </cfRule>
  </conditionalFormatting>
  <conditionalFormatting sqref="P1123:P1128">
    <cfRule type="containsText" dxfId="9" priority="12420" operator="containsText" text="No">
      <formula>NOT(ISERROR(SEARCH(("No"),(P1123))))</formula>
    </cfRule>
  </conditionalFormatting>
  <conditionalFormatting sqref="P1123:P1128">
    <cfRule type="containsText" dxfId="2" priority="12421" operator="containsText" text="Yes">
      <formula>NOT(ISERROR(SEARCH(("Yes"),(P1123))))</formula>
    </cfRule>
  </conditionalFormatting>
  <conditionalFormatting sqref="P1123:P1128">
    <cfRule type="containsText" dxfId="9" priority="12422" operator="containsText" text="No">
      <formula>NOT(ISERROR(SEARCH(("No"),(P1123))))</formula>
    </cfRule>
  </conditionalFormatting>
  <conditionalFormatting sqref="P1123:P1128">
    <cfRule type="containsText" dxfId="2" priority="12423" operator="containsText" text="Yes">
      <formula>NOT(ISERROR(SEARCH(("Yes"),(P1123))))</formula>
    </cfRule>
  </conditionalFormatting>
  <conditionalFormatting sqref="P1123:P1128">
    <cfRule type="containsText" dxfId="9" priority="12424" operator="containsText" text="No">
      <formula>NOT(ISERROR(SEARCH(("No"),(P1123))))</formula>
    </cfRule>
  </conditionalFormatting>
  <conditionalFormatting sqref="P1123:P1128">
    <cfRule type="containsText" dxfId="2" priority="12425" operator="containsText" text="Yes">
      <formula>NOT(ISERROR(SEARCH(("Yes"),(P1123))))</formula>
    </cfRule>
  </conditionalFormatting>
  <conditionalFormatting sqref="P1123:P1128">
    <cfRule type="containsText" dxfId="9" priority="12426" operator="containsText" text="No">
      <formula>NOT(ISERROR(SEARCH(("No"),(P1123))))</formula>
    </cfRule>
  </conditionalFormatting>
  <conditionalFormatting sqref="P1123:P1128">
    <cfRule type="containsText" dxfId="2" priority="12427" operator="containsText" text="Yes">
      <formula>NOT(ISERROR(SEARCH(("Yes"),(P1123))))</formula>
    </cfRule>
  </conditionalFormatting>
  <conditionalFormatting sqref="P1123:P1128">
    <cfRule type="containsText" dxfId="9" priority="12428" operator="containsText" text="No">
      <formula>NOT(ISERROR(SEARCH(("No"),(P1123))))</formula>
    </cfRule>
  </conditionalFormatting>
  <conditionalFormatting sqref="P1123:P1128">
    <cfRule type="containsText" dxfId="2" priority="12429" operator="containsText" text="Yes">
      <formula>NOT(ISERROR(SEARCH(("Yes"),(P1123))))</formula>
    </cfRule>
  </conditionalFormatting>
  <conditionalFormatting sqref="P1123:P1128">
    <cfRule type="containsText" dxfId="9" priority="12430" operator="containsText" text="No">
      <formula>NOT(ISERROR(SEARCH(("No"),(P1123))))</formula>
    </cfRule>
  </conditionalFormatting>
  <conditionalFormatting sqref="P1123:P1128">
    <cfRule type="containsText" dxfId="2" priority="12431" operator="containsText" text="Yes">
      <formula>NOT(ISERROR(SEARCH(("Yes"),(P1123))))</formula>
    </cfRule>
  </conditionalFormatting>
  <conditionalFormatting sqref="P1123:P1128">
    <cfRule type="containsText" dxfId="9" priority="12432" operator="containsText" text="No">
      <formula>NOT(ISERROR(SEARCH(("No"),(P1123))))</formula>
    </cfRule>
  </conditionalFormatting>
  <conditionalFormatting sqref="P1123:P1128">
    <cfRule type="containsText" dxfId="2" priority="12433" operator="containsText" text="Yes">
      <formula>NOT(ISERROR(SEARCH(("Yes"),(P1123))))</formula>
    </cfRule>
  </conditionalFormatting>
  <conditionalFormatting sqref="P1123:P1128">
    <cfRule type="containsText" dxfId="9" priority="12434" operator="containsText" text="No">
      <formula>NOT(ISERROR(SEARCH(("No"),(P1123))))</formula>
    </cfRule>
  </conditionalFormatting>
  <conditionalFormatting sqref="P1123:P1128">
    <cfRule type="containsText" dxfId="2" priority="12435" operator="containsText" text="Yes">
      <formula>NOT(ISERROR(SEARCH(("Yes"),(P1123))))</formula>
    </cfRule>
  </conditionalFormatting>
  <conditionalFormatting sqref="P1123:P1128">
    <cfRule type="containsText" dxfId="9" priority="12436" operator="containsText" text="No">
      <formula>NOT(ISERROR(SEARCH(("No"),(P1123))))</formula>
    </cfRule>
  </conditionalFormatting>
  <conditionalFormatting sqref="P1123:P1128">
    <cfRule type="containsText" dxfId="2" priority="12437" operator="containsText" text="Yes">
      <formula>NOT(ISERROR(SEARCH(("Yes"),(P1123))))</formula>
    </cfRule>
  </conditionalFormatting>
  <conditionalFormatting sqref="P1123:P1128">
    <cfRule type="containsText" dxfId="9" priority="12438" operator="containsText" text="No">
      <formula>NOT(ISERROR(SEARCH(("No"),(P1123))))</formula>
    </cfRule>
  </conditionalFormatting>
  <conditionalFormatting sqref="P1123:P1128">
    <cfRule type="containsText" dxfId="2" priority="12439" operator="containsText" text="Yes">
      <formula>NOT(ISERROR(SEARCH(("Yes"),(P1123))))</formula>
    </cfRule>
  </conditionalFormatting>
  <conditionalFormatting sqref="P1123:P1128">
    <cfRule type="containsText" dxfId="9" priority="12440" operator="containsText" text="No">
      <formula>NOT(ISERROR(SEARCH(("No"),(P1123))))</formula>
    </cfRule>
  </conditionalFormatting>
  <conditionalFormatting sqref="P1123:P1128">
    <cfRule type="containsText" dxfId="2" priority="12441" operator="containsText" text="Yes">
      <formula>NOT(ISERROR(SEARCH(("Yes"),(P1123))))</formula>
    </cfRule>
  </conditionalFormatting>
  <conditionalFormatting sqref="P1123:P1128">
    <cfRule type="containsText" dxfId="9" priority="12442" operator="containsText" text="No">
      <formula>NOT(ISERROR(SEARCH(("No"),(P1123))))</formula>
    </cfRule>
  </conditionalFormatting>
  <conditionalFormatting sqref="P1123:P1128">
    <cfRule type="containsText" dxfId="2" priority="12443" operator="containsText" text="Yes">
      <formula>NOT(ISERROR(SEARCH(("Yes"),(P1123))))</formula>
    </cfRule>
  </conditionalFormatting>
  <conditionalFormatting sqref="P1123:P1128">
    <cfRule type="containsText" dxfId="9" priority="12444" operator="containsText" text="No">
      <formula>NOT(ISERROR(SEARCH(("No"),(P1123))))</formula>
    </cfRule>
  </conditionalFormatting>
  <conditionalFormatting sqref="P1123:P1128">
    <cfRule type="containsText" dxfId="2" priority="12445" operator="containsText" text="Yes">
      <formula>NOT(ISERROR(SEARCH(("Yes"),(P1123))))</formula>
    </cfRule>
  </conditionalFormatting>
  <conditionalFormatting sqref="P1123:P1128">
    <cfRule type="containsText" dxfId="9" priority="12446" operator="containsText" text="No">
      <formula>NOT(ISERROR(SEARCH(("No"),(P1123))))</formula>
    </cfRule>
  </conditionalFormatting>
  <conditionalFormatting sqref="P1123:P1128">
    <cfRule type="containsText" dxfId="2" priority="12447" operator="containsText" text="Yes">
      <formula>NOT(ISERROR(SEARCH(("Yes"),(P1123))))</formula>
    </cfRule>
  </conditionalFormatting>
  <conditionalFormatting sqref="P1123:P1128">
    <cfRule type="containsText" dxfId="9" priority="12448" operator="containsText" text="No">
      <formula>NOT(ISERROR(SEARCH(("No"),(P1123))))</formula>
    </cfRule>
  </conditionalFormatting>
  <conditionalFormatting sqref="P1123:P1128">
    <cfRule type="containsText" dxfId="2" priority="12449" operator="containsText" text="Yes">
      <formula>NOT(ISERROR(SEARCH(("Yes"),(P1123))))</formula>
    </cfRule>
  </conditionalFormatting>
  <conditionalFormatting sqref="P1123:P1128">
    <cfRule type="containsText" dxfId="9" priority="12450" operator="containsText" text="No">
      <formula>NOT(ISERROR(SEARCH(("No"),(P1123))))</formula>
    </cfRule>
  </conditionalFormatting>
  <conditionalFormatting sqref="P1123:P1128">
    <cfRule type="containsText" dxfId="2" priority="12451" operator="containsText" text="Yes">
      <formula>NOT(ISERROR(SEARCH(("Yes"),(P1123))))</formula>
    </cfRule>
  </conditionalFormatting>
  <conditionalFormatting sqref="P1123:P1128">
    <cfRule type="containsText" dxfId="9" priority="12452" operator="containsText" text="No">
      <formula>NOT(ISERROR(SEARCH(("No"),(P1123))))</formula>
    </cfRule>
  </conditionalFormatting>
  <conditionalFormatting sqref="P1123:P1128">
    <cfRule type="containsText" dxfId="2" priority="12453" operator="containsText" text="Yes">
      <formula>NOT(ISERROR(SEARCH(("Yes"),(P1123))))</formula>
    </cfRule>
  </conditionalFormatting>
  <conditionalFormatting sqref="P1123:P1128">
    <cfRule type="containsText" dxfId="9" priority="12454" operator="containsText" text="No">
      <formula>NOT(ISERROR(SEARCH(("No"),(P1123))))</formula>
    </cfRule>
  </conditionalFormatting>
  <conditionalFormatting sqref="P1123:P1128">
    <cfRule type="containsText" dxfId="2" priority="12455" operator="containsText" text="Yes">
      <formula>NOT(ISERROR(SEARCH(("Yes"),(P1123))))</formula>
    </cfRule>
  </conditionalFormatting>
  <conditionalFormatting sqref="P1123:P1128">
    <cfRule type="containsText" dxfId="9" priority="12456" operator="containsText" text="No">
      <formula>NOT(ISERROR(SEARCH(("No"),(P1123))))</formula>
    </cfRule>
  </conditionalFormatting>
  <conditionalFormatting sqref="P1123:P1128">
    <cfRule type="containsText" dxfId="2" priority="12457" operator="containsText" text="Yes">
      <formula>NOT(ISERROR(SEARCH(("Yes"),(P1123))))</formula>
    </cfRule>
  </conditionalFormatting>
  <conditionalFormatting sqref="P1123:P1128">
    <cfRule type="containsText" dxfId="9" priority="12458" operator="containsText" text="No">
      <formula>NOT(ISERROR(SEARCH(("No"),(P1123))))</formula>
    </cfRule>
  </conditionalFormatting>
  <conditionalFormatting sqref="P1123:P1128">
    <cfRule type="containsText" dxfId="2" priority="12459" operator="containsText" text="Yes">
      <formula>NOT(ISERROR(SEARCH(("Yes"),(P1123))))</formula>
    </cfRule>
  </conditionalFormatting>
  <conditionalFormatting sqref="P1123:P1128">
    <cfRule type="containsText" dxfId="9" priority="12460" operator="containsText" text="No">
      <formula>NOT(ISERROR(SEARCH(("No"),(P1123))))</formula>
    </cfRule>
  </conditionalFormatting>
  <conditionalFormatting sqref="P1123:P1128">
    <cfRule type="containsText" dxfId="2" priority="12461" operator="containsText" text="Yes">
      <formula>NOT(ISERROR(SEARCH(("Yes"),(P1123))))</formula>
    </cfRule>
  </conditionalFormatting>
  <conditionalFormatting sqref="P1123:P1128">
    <cfRule type="containsText" dxfId="9" priority="12462" operator="containsText" text="No">
      <formula>NOT(ISERROR(SEARCH(("No"),(P1123))))</formula>
    </cfRule>
  </conditionalFormatting>
  <conditionalFormatting sqref="P1123:P1128">
    <cfRule type="containsText" dxfId="2" priority="12463" operator="containsText" text="Yes">
      <formula>NOT(ISERROR(SEARCH(("Yes"),(P1123))))</formula>
    </cfRule>
  </conditionalFormatting>
  <conditionalFormatting sqref="P1123:P1128">
    <cfRule type="containsText" dxfId="9" priority="12464" operator="containsText" text="No">
      <formula>NOT(ISERROR(SEARCH(("No"),(P1123))))</formula>
    </cfRule>
  </conditionalFormatting>
  <conditionalFormatting sqref="P1123:P1128">
    <cfRule type="containsText" dxfId="2" priority="12465" operator="containsText" text="Yes">
      <formula>NOT(ISERROR(SEARCH(("Yes"),(P1123))))</formula>
    </cfRule>
  </conditionalFormatting>
  <conditionalFormatting sqref="P1123:P1128">
    <cfRule type="containsText" dxfId="9" priority="12466" operator="containsText" text="No">
      <formula>NOT(ISERROR(SEARCH(("No"),(P1123))))</formula>
    </cfRule>
  </conditionalFormatting>
  <conditionalFormatting sqref="P1123:P1128">
    <cfRule type="containsText" dxfId="2" priority="12467" operator="containsText" text="Yes">
      <formula>NOT(ISERROR(SEARCH(("Yes"),(P1123))))</formula>
    </cfRule>
  </conditionalFormatting>
  <conditionalFormatting sqref="P1123:P1128">
    <cfRule type="containsText" dxfId="9" priority="12468" operator="containsText" text="No">
      <formula>NOT(ISERROR(SEARCH(("No"),(P1123))))</formula>
    </cfRule>
  </conditionalFormatting>
  <conditionalFormatting sqref="P1123:P1128">
    <cfRule type="containsText" dxfId="2" priority="12469" operator="containsText" text="Yes">
      <formula>NOT(ISERROR(SEARCH(("Yes"),(P1123))))</formula>
    </cfRule>
  </conditionalFormatting>
  <conditionalFormatting sqref="P1123:P1128">
    <cfRule type="containsText" dxfId="9" priority="12470" operator="containsText" text="No">
      <formula>NOT(ISERROR(SEARCH(("No"),(P1123))))</formula>
    </cfRule>
  </conditionalFormatting>
  <conditionalFormatting sqref="P1123:P1128">
    <cfRule type="containsText" dxfId="2" priority="12471" operator="containsText" text="Yes">
      <formula>NOT(ISERROR(SEARCH(("Yes"),(P1123))))</formula>
    </cfRule>
  </conditionalFormatting>
  <conditionalFormatting sqref="P1123:P1128">
    <cfRule type="containsText" dxfId="9" priority="12472" operator="containsText" text="No">
      <formula>NOT(ISERROR(SEARCH(("No"),(P1123))))</formula>
    </cfRule>
  </conditionalFormatting>
  <conditionalFormatting sqref="P1123:P1128">
    <cfRule type="containsText" dxfId="2" priority="12473" operator="containsText" text="Yes">
      <formula>NOT(ISERROR(SEARCH(("Yes"),(P1123))))</formula>
    </cfRule>
  </conditionalFormatting>
  <conditionalFormatting sqref="P1123:P1128">
    <cfRule type="containsText" dxfId="9" priority="12474" operator="containsText" text="No">
      <formula>NOT(ISERROR(SEARCH(("No"),(P1123))))</formula>
    </cfRule>
  </conditionalFormatting>
  <conditionalFormatting sqref="P1123:P1128">
    <cfRule type="containsText" dxfId="2" priority="12475" operator="containsText" text="Yes">
      <formula>NOT(ISERROR(SEARCH(("Yes"),(P1123))))</formula>
    </cfRule>
  </conditionalFormatting>
  <conditionalFormatting sqref="P1123:P1128">
    <cfRule type="containsText" dxfId="9" priority="12476" operator="containsText" text="No">
      <formula>NOT(ISERROR(SEARCH(("No"),(P1123))))</formula>
    </cfRule>
  </conditionalFormatting>
  <conditionalFormatting sqref="P1123:P1128">
    <cfRule type="containsText" dxfId="2" priority="12477" operator="containsText" text="Yes">
      <formula>NOT(ISERROR(SEARCH(("Yes"),(P1123))))</formula>
    </cfRule>
  </conditionalFormatting>
  <conditionalFormatting sqref="P1123:P1128">
    <cfRule type="containsText" dxfId="9" priority="12478" operator="containsText" text="No">
      <formula>NOT(ISERROR(SEARCH(("No"),(P1123))))</formula>
    </cfRule>
  </conditionalFormatting>
  <conditionalFormatting sqref="P1123:P1128">
    <cfRule type="containsText" dxfId="2" priority="12479" operator="containsText" text="Yes">
      <formula>NOT(ISERROR(SEARCH(("Yes"),(P1123))))</formula>
    </cfRule>
  </conditionalFormatting>
  <conditionalFormatting sqref="P1123:P1128">
    <cfRule type="containsText" dxfId="9" priority="12480" operator="containsText" text="No">
      <formula>NOT(ISERROR(SEARCH(("No"),(P1123))))</formula>
    </cfRule>
  </conditionalFormatting>
  <conditionalFormatting sqref="P1123:P1128">
    <cfRule type="containsText" dxfId="2" priority="12481" operator="containsText" text="Yes">
      <formula>NOT(ISERROR(SEARCH(("Yes"),(P1123))))</formula>
    </cfRule>
  </conditionalFormatting>
  <conditionalFormatting sqref="P1123:P1128">
    <cfRule type="containsText" dxfId="9" priority="12482" operator="containsText" text="No">
      <formula>NOT(ISERROR(SEARCH(("No"),(P1123))))</formula>
    </cfRule>
  </conditionalFormatting>
  <conditionalFormatting sqref="P1123:P1128">
    <cfRule type="containsText" dxfId="2" priority="12483" operator="containsText" text="Yes">
      <formula>NOT(ISERROR(SEARCH(("Yes"),(P1123))))</formula>
    </cfRule>
  </conditionalFormatting>
  <conditionalFormatting sqref="P1123:P1128">
    <cfRule type="containsText" dxfId="9" priority="12484" operator="containsText" text="No">
      <formula>NOT(ISERROR(SEARCH(("No"),(P1123))))</formula>
    </cfRule>
  </conditionalFormatting>
  <conditionalFormatting sqref="P1123:P1128">
    <cfRule type="containsText" dxfId="2" priority="12485" operator="containsText" text="Yes">
      <formula>NOT(ISERROR(SEARCH(("Yes"),(P1123))))</formula>
    </cfRule>
  </conditionalFormatting>
  <conditionalFormatting sqref="P1123:P1128">
    <cfRule type="containsText" dxfId="9" priority="12486" operator="containsText" text="No">
      <formula>NOT(ISERROR(SEARCH(("No"),(P1123))))</formula>
    </cfRule>
  </conditionalFormatting>
  <conditionalFormatting sqref="P1123:P1128">
    <cfRule type="containsText" dxfId="2" priority="12487" operator="containsText" text="Yes">
      <formula>NOT(ISERROR(SEARCH(("Yes"),(P1123))))</formula>
    </cfRule>
  </conditionalFormatting>
  <conditionalFormatting sqref="P1123:P1128">
    <cfRule type="containsText" dxfId="9" priority="12488" operator="containsText" text="No">
      <formula>NOT(ISERROR(SEARCH(("No"),(P1123))))</formula>
    </cfRule>
  </conditionalFormatting>
  <conditionalFormatting sqref="P1123:P1128">
    <cfRule type="containsText" dxfId="2" priority="12489" operator="containsText" text="Yes">
      <formula>NOT(ISERROR(SEARCH(("Yes"),(P1123))))</formula>
    </cfRule>
  </conditionalFormatting>
  <conditionalFormatting sqref="P1123:P1128">
    <cfRule type="containsText" dxfId="2" priority="12490" operator="containsText" text="Yes">
      <formula>NOT(ISERROR(SEARCH(("Yes"),(P1123))))</formula>
    </cfRule>
  </conditionalFormatting>
  <conditionalFormatting sqref="P1123:P1128">
    <cfRule type="containsText" dxfId="9" priority="12491" operator="containsText" text="No">
      <formula>NOT(ISERROR(SEARCH(("No"),(P1123))))</formula>
    </cfRule>
  </conditionalFormatting>
  <conditionalFormatting sqref="P1123:P1128">
    <cfRule type="containsText" dxfId="2" priority="12492" operator="containsText" text="Yes">
      <formula>NOT(ISERROR(SEARCH(("Yes"),(P1123))))</formula>
    </cfRule>
  </conditionalFormatting>
  <conditionalFormatting sqref="P1130:P1158">
    <cfRule type="containsText" dxfId="9" priority="12493" operator="containsText" text="No">
      <formula>NOT(ISERROR(SEARCH(("No"),(P1130))))</formula>
    </cfRule>
  </conditionalFormatting>
  <conditionalFormatting sqref="P1130:P1158">
    <cfRule type="containsText" dxfId="2" priority="12494" operator="containsText" text="Yes">
      <formula>NOT(ISERROR(SEARCH(("Yes"),(P1130))))</formula>
    </cfRule>
  </conditionalFormatting>
  <conditionalFormatting sqref="P1130:P1158">
    <cfRule type="containsText" dxfId="9" priority="12495" operator="containsText" text="No">
      <formula>NOT(ISERROR(SEARCH(("No"),(P1130))))</formula>
    </cfRule>
  </conditionalFormatting>
  <conditionalFormatting sqref="P1130:P1158">
    <cfRule type="containsText" dxfId="2" priority="12496" operator="containsText" text="Yes">
      <formula>NOT(ISERROR(SEARCH(("Yes"),(P1130))))</formula>
    </cfRule>
  </conditionalFormatting>
  <conditionalFormatting sqref="P1130:P1158">
    <cfRule type="containsText" dxfId="9" priority="12497" operator="containsText" text="No">
      <formula>NOT(ISERROR(SEARCH(("No"),(P1130))))</formula>
    </cfRule>
  </conditionalFormatting>
  <conditionalFormatting sqref="P1130:P1158">
    <cfRule type="containsText" dxfId="2" priority="12498" operator="containsText" text="Yes">
      <formula>NOT(ISERROR(SEARCH(("Yes"),(P1130))))</formula>
    </cfRule>
  </conditionalFormatting>
  <conditionalFormatting sqref="P1130:P1158">
    <cfRule type="containsText" dxfId="9" priority="12499" operator="containsText" text="No">
      <formula>NOT(ISERROR(SEARCH(("No"),(P1130))))</formula>
    </cfRule>
  </conditionalFormatting>
  <conditionalFormatting sqref="P1130:P1158">
    <cfRule type="containsText" dxfId="2" priority="12500" operator="containsText" text="Yes">
      <formula>NOT(ISERROR(SEARCH(("Yes"),(P1130))))</formula>
    </cfRule>
  </conditionalFormatting>
  <conditionalFormatting sqref="P1130:P1158">
    <cfRule type="containsText" dxfId="9" priority="12501" operator="containsText" text="No">
      <formula>NOT(ISERROR(SEARCH(("No"),(P1130))))</formula>
    </cfRule>
  </conditionalFormatting>
  <conditionalFormatting sqref="P1130:P1158">
    <cfRule type="containsText" dxfId="2" priority="12502" operator="containsText" text="Yes">
      <formula>NOT(ISERROR(SEARCH(("Yes"),(P1130))))</formula>
    </cfRule>
  </conditionalFormatting>
  <conditionalFormatting sqref="P1130:P1158">
    <cfRule type="containsText" dxfId="9" priority="12503" operator="containsText" text="No">
      <formula>NOT(ISERROR(SEARCH(("No"),(P1130))))</formula>
    </cfRule>
  </conditionalFormatting>
  <conditionalFormatting sqref="P1130:P1158">
    <cfRule type="containsText" dxfId="2" priority="12504" operator="containsText" text="Yes">
      <formula>NOT(ISERROR(SEARCH(("Yes"),(P1130))))</formula>
    </cfRule>
  </conditionalFormatting>
  <conditionalFormatting sqref="P1130:P1158">
    <cfRule type="containsText" dxfId="9" priority="12505" operator="containsText" text="No">
      <formula>NOT(ISERROR(SEARCH(("No"),(P1130))))</formula>
    </cfRule>
  </conditionalFormatting>
  <conditionalFormatting sqref="P1130:P1158">
    <cfRule type="containsText" dxfId="2" priority="12506" operator="containsText" text="Yes">
      <formula>NOT(ISERROR(SEARCH(("Yes"),(P1130))))</formula>
    </cfRule>
  </conditionalFormatting>
  <conditionalFormatting sqref="P1130:P1158">
    <cfRule type="containsText" dxfId="9" priority="12507" operator="containsText" text="No">
      <formula>NOT(ISERROR(SEARCH(("No"),(P1130))))</formula>
    </cfRule>
  </conditionalFormatting>
  <conditionalFormatting sqref="P1130:P1158">
    <cfRule type="containsText" dxfId="2" priority="12508" operator="containsText" text="Yes">
      <formula>NOT(ISERROR(SEARCH(("Yes"),(P1130))))</formula>
    </cfRule>
  </conditionalFormatting>
  <conditionalFormatting sqref="P1130:P1158">
    <cfRule type="containsText" dxfId="9" priority="12509" operator="containsText" text="No">
      <formula>NOT(ISERROR(SEARCH(("No"),(P1130))))</formula>
    </cfRule>
  </conditionalFormatting>
  <conditionalFormatting sqref="P1130:P1158">
    <cfRule type="containsText" dxfId="2" priority="12510" operator="containsText" text="Yes">
      <formula>NOT(ISERROR(SEARCH(("Yes"),(P1130))))</formula>
    </cfRule>
  </conditionalFormatting>
  <conditionalFormatting sqref="P1130:P1158">
    <cfRule type="containsText" dxfId="2" priority="12511" operator="containsText" text="Yes">
      <formula>NOT(ISERROR(SEARCH(("Yes"),(P1130))))</formula>
    </cfRule>
  </conditionalFormatting>
  <conditionalFormatting sqref="P1130:P1158">
    <cfRule type="containsText" dxfId="9" priority="12512" operator="containsText" text="No">
      <formula>NOT(ISERROR(SEARCH(("No"),(P1130))))</formula>
    </cfRule>
  </conditionalFormatting>
  <conditionalFormatting sqref="P1130:P1158">
    <cfRule type="containsText" dxfId="2" priority="12513" operator="containsText" text="Yes">
      <formula>NOT(ISERROR(SEARCH(("Yes"),(P1130))))</formula>
    </cfRule>
  </conditionalFormatting>
  <conditionalFormatting sqref="P1130:P1158">
    <cfRule type="containsText" dxfId="9" priority="12514" operator="containsText" text="No">
      <formula>NOT(ISERROR(SEARCH(("No"),(P1130))))</formula>
    </cfRule>
  </conditionalFormatting>
  <conditionalFormatting sqref="P1130:P1158">
    <cfRule type="containsText" dxfId="2" priority="12515" operator="containsText" text="Yes">
      <formula>NOT(ISERROR(SEARCH(("Yes"),(P1130))))</formula>
    </cfRule>
  </conditionalFormatting>
  <conditionalFormatting sqref="P1130:P1158">
    <cfRule type="containsText" dxfId="9" priority="12516" operator="containsText" text="No">
      <formula>NOT(ISERROR(SEARCH(("No"),(P1130))))</formula>
    </cfRule>
  </conditionalFormatting>
  <conditionalFormatting sqref="P1130:P1158">
    <cfRule type="containsText" dxfId="2" priority="12517" operator="containsText" text="Yes">
      <formula>NOT(ISERROR(SEARCH(("Yes"),(P1130))))</formula>
    </cfRule>
  </conditionalFormatting>
  <conditionalFormatting sqref="P1130:P1158">
    <cfRule type="containsText" dxfId="9" priority="12518" operator="containsText" text="No">
      <formula>NOT(ISERROR(SEARCH(("No"),(P1130))))</formula>
    </cfRule>
  </conditionalFormatting>
  <conditionalFormatting sqref="P1130:P1158">
    <cfRule type="containsText" dxfId="2" priority="12519" operator="containsText" text="Yes">
      <formula>NOT(ISERROR(SEARCH(("Yes"),(P1130))))</formula>
    </cfRule>
  </conditionalFormatting>
  <conditionalFormatting sqref="P1130:P1158">
    <cfRule type="containsText" dxfId="9" priority="12520" operator="containsText" text="No">
      <formula>NOT(ISERROR(SEARCH(("No"),(P1130))))</formula>
    </cfRule>
  </conditionalFormatting>
  <conditionalFormatting sqref="P1130:P1158">
    <cfRule type="containsText" dxfId="2" priority="12521" operator="containsText" text="Yes">
      <formula>NOT(ISERROR(SEARCH(("Yes"),(P1130))))</formula>
    </cfRule>
  </conditionalFormatting>
  <conditionalFormatting sqref="P1130:P1158">
    <cfRule type="containsText" dxfId="9" priority="12522" operator="containsText" text="No">
      <formula>NOT(ISERROR(SEARCH(("No"),(P1130))))</formula>
    </cfRule>
  </conditionalFormatting>
  <conditionalFormatting sqref="P1130:P1158">
    <cfRule type="containsText" dxfId="2" priority="12523" operator="containsText" text="Yes">
      <formula>NOT(ISERROR(SEARCH(("Yes"),(P1130))))</formula>
    </cfRule>
  </conditionalFormatting>
  <conditionalFormatting sqref="P1130:P1158">
    <cfRule type="containsText" dxfId="9" priority="12524" operator="containsText" text="No">
      <formula>NOT(ISERROR(SEARCH(("No"),(P1130))))</formula>
    </cfRule>
  </conditionalFormatting>
  <conditionalFormatting sqref="P1130:P1158">
    <cfRule type="containsText" dxfId="2" priority="12525" operator="containsText" text="Yes">
      <formula>NOT(ISERROR(SEARCH(("Yes"),(P1130))))</formula>
    </cfRule>
  </conditionalFormatting>
  <conditionalFormatting sqref="P1130:P1158">
    <cfRule type="containsText" dxfId="9" priority="12526" operator="containsText" text="No">
      <formula>NOT(ISERROR(SEARCH(("No"),(P1130))))</formula>
    </cfRule>
  </conditionalFormatting>
  <conditionalFormatting sqref="P1130:P1158">
    <cfRule type="containsText" dxfId="2" priority="12527" operator="containsText" text="Yes">
      <formula>NOT(ISERROR(SEARCH(("Yes"),(P1130))))</formula>
    </cfRule>
  </conditionalFormatting>
  <conditionalFormatting sqref="P1130:P1158">
    <cfRule type="containsText" dxfId="9" priority="12528" operator="containsText" text="No">
      <formula>NOT(ISERROR(SEARCH(("No"),(P1130))))</formula>
    </cfRule>
  </conditionalFormatting>
  <conditionalFormatting sqref="P1130:P1158">
    <cfRule type="containsText" dxfId="2" priority="12529" operator="containsText" text="Yes">
      <formula>NOT(ISERROR(SEARCH(("Yes"),(P1130))))</formula>
    </cfRule>
  </conditionalFormatting>
  <conditionalFormatting sqref="P1130:P1158">
    <cfRule type="containsText" dxfId="9" priority="12530" operator="containsText" text="No">
      <formula>NOT(ISERROR(SEARCH(("No"),(P1130))))</formula>
    </cfRule>
  </conditionalFormatting>
  <conditionalFormatting sqref="P1130:P1158">
    <cfRule type="containsText" dxfId="2" priority="12531" operator="containsText" text="Yes">
      <formula>NOT(ISERROR(SEARCH(("Yes"),(P1130))))</formula>
    </cfRule>
  </conditionalFormatting>
  <conditionalFormatting sqref="P1130:P1158">
    <cfRule type="containsText" dxfId="9" priority="12532" operator="containsText" text="No">
      <formula>NOT(ISERROR(SEARCH(("No"),(P1130))))</formula>
    </cfRule>
  </conditionalFormatting>
  <conditionalFormatting sqref="P1130:P1158">
    <cfRule type="containsText" dxfId="2" priority="12533" operator="containsText" text="Yes">
      <formula>NOT(ISERROR(SEARCH(("Yes"),(P1130))))</formula>
    </cfRule>
  </conditionalFormatting>
  <conditionalFormatting sqref="P1130:P1158">
    <cfRule type="containsText" dxfId="9" priority="12534" operator="containsText" text="No">
      <formula>NOT(ISERROR(SEARCH(("No"),(P1130))))</formula>
    </cfRule>
  </conditionalFormatting>
  <conditionalFormatting sqref="P1130:P1158">
    <cfRule type="containsText" dxfId="2" priority="12535" operator="containsText" text="Yes">
      <formula>NOT(ISERROR(SEARCH(("Yes"),(P1130))))</formula>
    </cfRule>
  </conditionalFormatting>
  <conditionalFormatting sqref="P1130:P1158">
    <cfRule type="containsText" dxfId="9" priority="12536" operator="containsText" text="No">
      <formula>NOT(ISERROR(SEARCH(("No"),(P1130))))</formula>
    </cfRule>
  </conditionalFormatting>
  <conditionalFormatting sqref="P1130:P1158">
    <cfRule type="containsText" dxfId="2" priority="12537" operator="containsText" text="Yes">
      <formula>NOT(ISERROR(SEARCH(("Yes"),(P1130))))</formula>
    </cfRule>
  </conditionalFormatting>
  <conditionalFormatting sqref="P1130:P1158">
    <cfRule type="containsText" dxfId="9" priority="12538" operator="containsText" text="No">
      <formula>NOT(ISERROR(SEARCH(("No"),(P1130))))</formula>
    </cfRule>
  </conditionalFormatting>
  <conditionalFormatting sqref="P1130:P1158">
    <cfRule type="containsText" dxfId="2" priority="12539" operator="containsText" text="Yes">
      <formula>NOT(ISERROR(SEARCH(("Yes"),(P1130))))</formula>
    </cfRule>
  </conditionalFormatting>
  <conditionalFormatting sqref="P1130:P1158">
    <cfRule type="containsText" dxfId="9" priority="12540" operator="containsText" text="No">
      <formula>NOT(ISERROR(SEARCH(("No"),(P1130))))</formula>
    </cfRule>
  </conditionalFormatting>
  <conditionalFormatting sqref="P1130:P1158">
    <cfRule type="containsText" dxfId="2" priority="12541" operator="containsText" text="Yes">
      <formula>NOT(ISERROR(SEARCH(("Yes"),(P1130))))</formula>
    </cfRule>
  </conditionalFormatting>
  <conditionalFormatting sqref="P1130:P1158">
    <cfRule type="containsText" dxfId="9" priority="12542" operator="containsText" text="No">
      <formula>NOT(ISERROR(SEARCH(("No"),(P1130))))</formula>
    </cfRule>
  </conditionalFormatting>
  <conditionalFormatting sqref="P1130:P1158">
    <cfRule type="containsText" dxfId="2" priority="12543" operator="containsText" text="Yes">
      <formula>NOT(ISERROR(SEARCH(("Yes"),(P1130))))</formula>
    </cfRule>
  </conditionalFormatting>
  <conditionalFormatting sqref="P1130:P1158">
    <cfRule type="containsText" dxfId="9" priority="12544" operator="containsText" text="No">
      <formula>NOT(ISERROR(SEARCH(("No"),(P1130))))</formula>
    </cfRule>
  </conditionalFormatting>
  <conditionalFormatting sqref="P1130:P1158">
    <cfRule type="containsText" dxfId="2" priority="12545" operator="containsText" text="Yes">
      <formula>NOT(ISERROR(SEARCH(("Yes"),(P1130))))</formula>
    </cfRule>
  </conditionalFormatting>
  <conditionalFormatting sqref="P1130:P1158">
    <cfRule type="containsText" dxfId="9" priority="12546" operator="containsText" text="No">
      <formula>NOT(ISERROR(SEARCH(("No"),(P1130))))</formula>
    </cfRule>
  </conditionalFormatting>
  <conditionalFormatting sqref="P1130:P1158">
    <cfRule type="containsText" dxfId="2" priority="12547" operator="containsText" text="Yes">
      <formula>NOT(ISERROR(SEARCH(("Yes"),(P1130))))</formula>
    </cfRule>
  </conditionalFormatting>
  <conditionalFormatting sqref="P1130:P1158">
    <cfRule type="containsText" dxfId="9" priority="12548" operator="containsText" text="No">
      <formula>NOT(ISERROR(SEARCH(("No"),(P1130))))</formula>
    </cfRule>
  </conditionalFormatting>
  <conditionalFormatting sqref="P1130:P1158">
    <cfRule type="containsText" dxfId="2" priority="12549" operator="containsText" text="Yes">
      <formula>NOT(ISERROR(SEARCH(("Yes"),(P1130))))</formula>
    </cfRule>
  </conditionalFormatting>
  <conditionalFormatting sqref="P1130:P1158">
    <cfRule type="containsText" dxfId="9" priority="12550" operator="containsText" text="No">
      <formula>NOT(ISERROR(SEARCH(("No"),(P1130))))</formula>
    </cfRule>
  </conditionalFormatting>
  <conditionalFormatting sqref="P1130:P1158">
    <cfRule type="containsText" dxfId="2" priority="12551" operator="containsText" text="Yes">
      <formula>NOT(ISERROR(SEARCH(("Yes"),(P1130))))</formula>
    </cfRule>
  </conditionalFormatting>
  <conditionalFormatting sqref="P1130:P1158">
    <cfRule type="containsText" dxfId="9" priority="12552" operator="containsText" text="No">
      <formula>NOT(ISERROR(SEARCH(("No"),(P1130))))</formula>
    </cfRule>
  </conditionalFormatting>
  <conditionalFormatting sqref="P1130:P1158">
    <cfRule type="containsText" dxfId="2" priority="12553" operator="containsText" text="Yes">
      <formula>NOT(ISERROR(SEARCH(("Yes"),(P1130))))</formula>
    </cfRule>
  </conditionalFormatting>
  <conditionalFormatting sqref="P1130:P1158">
    <cfRule type="containsText" dxfId="9" priority="12554" operator="containsText" text="No">
      <formula>NOT(ISERROR(SEARCH(("No"),(P1130))))</formula>
    </cfRule>
  </conditionalFormatting>
  <conditionalFormatting sqref="P1130:P1158">
    <cfRule type="containsText" dxfId="2" priority="12555" operator="containsText" text="Yes">
      <formula>NOT(ISERROR(SEARCH(("Yes"),(P1130))))</formula>
    </cfRule>
  </conditionalFormatting>
  <conditionalFormatting sqref="P1130:P1158">
    <cfRule type="containsText" dxfId="9" priority="12556" operator="containsText" text="No">
      <formula>NOT(ISERROR(SEARCH(("No"),(P1130))))</formula>
    </cfRule>
  </conditionalFormatting>
  <conditionalFormatting sqref="P1130:P1158">
    <cfRule type="containsText" dxfId="2" priority="12557" operator="containsText" text="Yes">
      <formula>NOT(ISERROR(SEARCH(("Yes"),(P1130))))</formula>
    </cfRule>
  </conditionalFormatting>
  <conditionalFormatting sqref="P1130:P1158">
    <cfRule type="containsText" dxfId="9" priority="12558" operator="containsText" text="No">
      <formula>NOT(ISERROR(SEARCH(("No"),(P1130))))</formula>
    </cfRule>
  </conditionalFormatting>
  <conditionalFormatting sqref="P1130:P1158">
    <cfRule type="containsText" dxfId="2" priority="12559" operator="containsText" text="Yes">
      <formula>NOT(ISERROR(SEARCH(("Yes"),(P1130))))</formula>
    </cfRule>
  </conditionalFormatting>
  <conditionalFormatting sqref="P1130:P1158">
    <cfRule type="containsText" dxfId="9" priority="12560" operator="containsText" text="No">
      <formula>NOT(ISERROR(SEARCH(("No"),(P1130))))</formula>
    </cfRule>
  </conditionalFormatting>
  <conditionalFormatting sqref="P1130:P1158">
    <cfRule type="containsText" dxfId="2" priority="12561" operator="containsText" text="Yes">
      <formula>NOT(ISERROR(SEARCH(("Yes"),(P1130))))</formula>
    </cfRule>
  </conditionalFormatting>
  <conditionalFormatting sqref="P1130:P1158">
    <cfRule type="containsText" dxfId="9" priority="12562" operator="containsText" text="No">
      <formula>NOT(ISERROR(SEARCH(("No"),(P1130))))</formula>
    </cfRule>
  </conditionalFormatting>
  <conditionalFormatting sqref="P1130:P1158">
    <cfRule type="containsText" dxfId="2" priority="12563" operator="containsText" text="Yes">
      <formula>NOT(ISERROR(SEARCH(("Yes"),(P1130))))</formula>
    </cfRule>
  </conditionalFormatting>
  <conditionalFormatting sqref="P1130:P1158">
    <cfRule type="containsText" dxfId="9" priority="12564" operator="containsText" text="No">
      <formula>NOT(ISERROR(SEARCH(("No"),(P1130))))</formula>
    </cfRule>
  </conditionalFormatting>
  <conditionalFormatting sqref="P1130:P1158">
    <cfRule type="containsText" dxfId="2" priority="12565" operator="containsText" text="Yes">
      <formula>NOT(ISERROR(SEARCH(("Yes"),(P1130))))</formula>
    </cfRule>
  </conditionalFormatting>
  <conditionalFormatting sqref="P1130:P1158">
    <cfRule type="containsText" dxfId="9" priority="12566" operator="containsText" text="No">
      <formula>NOT(ISERROR(SEARCH(("No"),(P1130))))</formula>
    </cfRule>
  </conditionalFormatting>
  <conditionalFormatting sqref="P1130:P1158">
    <cfRule type="containsText" dxfId="2" priority="12567" operator="containsText" text="Yes">
      <formula>NOT(ISERROR(SEARCH(("Yes"),(P1130))))</formula>
    </cfRule>
  </conditionalFormatting>
  <conditionalFormatting sqref="P1130:P1158">
    <cfRule type="containsText" dxfId="9" priority="12568" operator="containsText" text="No">
      <formula>NOT(ISERROR(SEARCH(("No"),(P1130))))</formula>
    </cfRule>
  </conditionalFormatting>
  <conditionalFormatting sqref="P1130:P1158">
    <cfRule type="containsText" dxfId="2" priority="12569" operator="containsText" text="Yes">
      <formula>NOT(ISERROR(SEARCH(("Yes"),(P1130))))</formula>
    </cfRule>
  </conditionalFormatting>
  <conditionalFormatting sqref="P1130:P1158">
    <cfRule type="containsText" dxfId="9" priority="12570" operator="containsText" text="No">
      <formula>NOT(ISERROR(SEARCH(("No"),(P1130))))</formula>
    </cfRule>
  </conditionalFormatting>
  <conditionalFormatting sqref="P1130:P1158">
    <cfRule type="containsText" dxfId="2" priority="12571" operator="containsText" text="Yes">
      <formula>NOT(ISERROR(SEARCH(("Yes"),(P1130))))</formula>
    </cfRule>
  </conditionalFormatting>
  <conditionalFormatting sqref="P1130:P1158">
    <cfRule type="containsText" dxfId="9" priority="12572" operator="containsText" text="No">
      <formula>NOT(ISERROR(SEARCH(("No"),(P1130))))</formula>
    </cfRule>
  </conditionalFormatting>
  <conditionalFormatting sqref="P1130:P1158">
    <cfRule type="containsText" dxfId="2" priority="12573" operator="containsText" text="Yes">
      <formula>NOT(ISERROR(SEARCH(("Yes"),(P1130))))</formula>
    </cfRule>
  </conditionalFormatting>
  <conditionalFormatting sqref="P1130:P1158">
    <cfRule type="containsText" dxfId="9" priority="12574" operator="containsText" text="No">
      <formula>NOT(ISERROR(SEARCH(("No"),(P1130))))</formula>
    </cfRule>
  </conditionalFormatting>
  <conditionalFormatting sqref="P1130:P1158">
    <cfRule type="containsText" dxfId="2" priority="12575" operator="containsText" text="Yes">
      <formula>NOT(ISERROR(SEARCH(("Yes"),(P1130))))</formula>
    </cfRule>
  </conditionalFormatting>
  <conditionalFormatting sqref="P1130:P1158">
    <cfRule type="containsText" dxfId="9" priority="12576" operator="containsText" text="No">
      <formula>NOT(ISERROR(SEARCH(("No"),(P1130))))</formula>
    </cfRule>
  </conditionalFormatting>
  <conditionalFormatting sqref="P1130:P1158">
    <cfRule type="containsText" dxfId="2" priority="12577" operator="containsText" text="Yes">
      <formula>NOT(ISERROR(SEARCH(("Yes"),(P1130))))</formula>
    </cfRule>
  </conditionalFormatting>
  <conditionalFormatting sqref="P1130:P1158">
    <cfRule type="containsText" dxfId="9" priority="12578" operator="containsText" text="No">
      <formula>NOT(ISERROR(SEARCH(("No"),(P1130))))</formula>
    </cfRule>
  </conditionalFormatting>
  <conditionalFormatting sqref="P1130:P1158">
    <cfRule type="containsText" dxfId="2" priority="12579" operator="containsText" text="Yes">
      <formula>NOT(ISERROR(SEARCH(("Yes"),(P1130))))</formula>
    </cfRule>
  </conditionalFormatting>
  <conditionalFormatting sqref="P1130:P1158">
    <cfRule type="containsText" dxfId="9" priority="12580" operator="containsText" text="No">
      <formula>NOT(ISERROR(SEARCH(("No"),(P1130))))</formula>
    </cfRule>
  </conditionalFormatting>
  <conditionalFormatting sqref="P1130:P1158">
    <cfRule type="containsText" dxfId="2" priority="12581" operator="containsText" text="Yes">
      <formula>NOT(ISERROR(SEARCH(("Yes"),(P1130))))</formula>
    </cfRule>
  </conditionalFormatting>
  <conditionalFormatting sqref="P1130:P1158">
    <cfRule type="containsText" dxfId="2" priority="12582" operator="containsText" text="Yes">
      <formula>NOT(ISERROR(SEARCH(("Yes"),(P1130))))</formula>
    </cfRule>
  </conditionalFormatting>
  <conditionalFormatting sqref="P1130:P1158">
    <cfRule type="containsText" dxfId="9" priority="12583" operator="containsText" text="No">
      <formula>NOT(ISERROR(SEARCH(("No"),(P1130))))</formula>
    </cfRule>
  </conditionalFormatting>
  <conditionalFormatting sqref="P1130:P1158">
    <cfRule type="containsText" dxfId="2" priority="12584" operator="containsText" text="Yes">
      <formula>NOT(ISERROR(SEARCH(("Yes"),(P1130))))</formula>
    </cfRule>
  </conditionalFormatting>
  <conditionalFormatting sqref="P1160:P1162">
    <cfRule type="containsText" dxfId="9" priority="12585" operator="containsText" text="No">
      <formula>NOT(ISERROR(SEARCH(("No"),(P1160))))</formula>
    </cfRule>
  </conditionalFormatting>
  <conditionalFormatting sqref="P1160:P1162">
    <cfRule type="containsText" dxfId="2" priority="12586" operator="containsText" text="Yes">
      <formula>NOT(ISERROR(SEARCH(("Yes"),(P1160))))</formula>
    </cfRule>
  </conditionalFormatting>
  <conditionalFormatting sqref="P1160:P1162">
    <cfRule type="containsText" dxfId="9" priority="12587" operator="containsText" text="No">
      <formula>NOT(ISERROR(SEARCH(("No"),(P1160))))</formula>
    </cfRule>
  </conditionalFormatting>
  <conditionalFormatting sqref="P1160:P1162">
    <cfRule type="containsText" dxfId="2" priority="12588" operator="containsText" text="Yes">
      <formula>NOT(ISERROR(SEARCH(("Yes"),(P1160))))</formula>
    </cfRule>
  </conditionalFormatting>
  <conditionalFormatting sqref="P1160:P1162">
    <cfRule type="containsText" dxfId="9" priority="12589" operator="containsText" text="No">
      <formula>NOT(ISERROR(SEARCH(("No"),(P1160))))</formula>
    </cfRule>
  </conditionalFormatting>
  <conditionalFormatting sqref="P1160:P1162">
    <cfRule type="containsText" dxfId="2" priority="12590" operator="containsText" text="Yes">
      <formula>NOT(ISERROR(SEARCH(("Yes"),(P1160))))</formula>
    </cfRule>
  </conditionalFormatting>
  <conditionalFormatting sqref="P1160:P1162">
    <cfRule type="containsText" dxfId="9" priority="12591" operator="containsText" text="No">
      <formula>NOT(ISERROR(SEARCH(("No"),(P1160))))</formula>
    </cfRule>
  </conditionalFormatting>
  <conditionalFormatting sqref="P1160:P1162">
    <cfRule type="containsText" dxfId="2" priority="12592" operator="containsText" text="Yes">
      <formula>NOT(ISERROR(SEARCH(("Yes"),(P1160))))</formula>
    </cfRule>
  </conditionalFormatting>
  <conditionalFormatting sqref="P1160:P1162">
    <cfRule type="containsText" dxfId="9" priority="12593" operator="containsText" text="No">
      <formula>NOT(ISERROR(SEARCH(("No"),(P1160))))</formula>
    </cfRule>
  </conditionalFormatting>
  <conditionalFormatting sqref="P1160:P1162">
    <cfRule type="containsText" dxfId="2" priority="12594" operator="containsText" text="Yes">
      <formula>NOT(ISERROR(SEARCH(("Yes"),(P1160))))</formula>
    </cfRule>
  </conditionalFormatting>
  <conditionalFormatting sqref="P1160:P1162">
    <cfRule type="containsText" dxfId="9" priority="12595" operator="containsText" text="No">
      <formula>NOT(ISERROR(SEARCH(("No"),(P1160))))</formula>
    </cfRule>
  </conditionalFormatting>
  <conditionalFormatting sqref="P1160:P1162">
    <cfRule type="containsText" dxfId="2" priority="12596" operator="containsText" text="Yes">
      <formula>NOT(ISERROR(SEARCH(("Yes"),(P1160))))</formula>
    </cfRule>
  </conditionalFormatting>
  <conditionalFormatting sqref="P1160:P1162">
    <cfRule type="containsText" dxfId="9" priority="12597" operator="containsText" text="No">
      <formula>NOT(ISERROR(SEARCH(("No"),(P1160))))</formula>
    </cfRule>
  </conditionalFormatting>
  <conditionalFormatting sqref="P1160:P1162">
    <cfRule type="containsText" dxfId="2" priority="12598" operator="containsText" text="Yes">
      <formula>NOT(ISERROR(SEARCH(("Yes"),(P1160))))</formula>
    </cfRule>
  </conditionalFormatting>
  <conditionalFormatting sqref="P1160:P1162">
    <cfRule type="containsText" dxfId="9" priority="12599" operator="containsText" text="No">
      <formula>NOT(ISERROR(SEARCH(("No"),(P1160))))</formula>
    </cfRule>
  </conditionalFormatting>
  <conditionalFormatting sqref="P1160:P1162">
    <cfRule type="containsText" dxfId="2" priority="12600" operator="containsText" text="Yes">
      <formula>NOT(ISERROR(SEARCH(("Yes"),(P1160))))</formula>
    </cfRule>
  </conditionalFormatting>
  <conditionalFormatting sqref="P1160:P1162">
    <cfRule type="containsText" dxfId="9" priority="12601" operator="containsText" text="No">
      <formula>NOT(ISERROR(SEARCH(("No"),(P1160))))</formula>
    </cfRule>
  </conditionalFormatting>
  <conditionalFormatting sqref="P1160:P1162">
    <cfRule type="containsText" dxfId="2" priority="12602" operator="containsText" text="Yes">
      <formula>NOT(ISERROR(SEARCH(("Yes"),(P1160))))</formula>
    </cfRule>
  </conditionalFormatting>
  <conditionalFormatting sqref="P1160:P1162">
    <cfRule type="containsText" dxfId="2" priority="12603" operator="containsText" text="Yes">
      <formula>NOT(ISERROR(SEARCH(("Yes"),(P1160))))</formula>
    </cfRule>
  </conditionalFormatting>
  <conditionalFormatting sqref="P1160:P1162">
    <cfRule type="containsText" dxfId="9" priority="12604" operator="containsText" text="No">
      <formula>NOT(ISERROR(SEARCH(("No"),(P1160))))</formula>
    </cfRule>
  </conditionalFormatting>
  <conditionalFormatting sqref="P1160:P1162">
    <cfRule type="containsText" dxfId="2" priority="12605" operator="containsText" text="Yes">
      <formula>NOT(ISERROR(SEARCH(("Yes"),(P1160))))</formula>
    </cfRule>
  </conditionalFormatting>
  <conditionalFormatting sqref="P1160:P1162">
    <cfRule type="containsText" dxfId="9" priority="12606" operator="containsText" text="No">
      <formula>NOT(ISERROR(SEARCH(("No"),(P1160))))</formula>
    </cfRule>
  </conditionalFormatting>
  <conditionalFormatting sqref="P1160:P1162">
    <cfRule type="containsText" dxfId="2" priority="12607" operator="containsText" text="Yes">
      <formula>NOT(ISERROR(SEARCH(("Yes"),(P1160))))</formula>
    </cfRule>
  </conditionalFormatting>
  <conditionalFormatting sqref="P1160:P1162">
    <cfRule type="containsText" dxfId="9" priority="12608" operator="containsText" text="No">
      <formula>NOT(ISERROR(SEARCH(("No"),(P1160))))</formula>
    </cfRule>
  </conditionalFormatting>
  <conditionalFormatting sqref="P1160:P1162">
    <cfRule type="containsText" dxfId="2" priority="12609" operator="containsText" text="Yes">
      <formula>NOT(ISERROR(SEARCH(("Yes"),(P1160))))</formula>
    </cfRule>
  </conditionalFormatting>
  <conditionalFormatting sqref="P1160:P1162">
    <cfRule type="containsText" dxfId="9" priority="12610" operator="containsText" text="No">
      <formula>NOT(ISERROR(SEARCH(("No"),(P1160))))</formula>
    </cfRule>
  </conditionalFormatting>
  <conditionalFormatting sqref="P1160:P1162">
    <cfRule type="containsText" dxfId="2" priority="12611" operator="containsText" text="Yes">
      <formula>NOT(ISERROR(SEARCH(("Yes"),(P1160))))</formula>
    </cfRule>
  </conditionalFormatting>
  <conditionalFormatting sqref="P1160:P1162">
    <cfRule type="containsText" dxfId="9" priority="12612" operator="containsText" text="No">
      <formula>NOT(ISERROR(SEARCH(("No"),(P1160))))</formula>
    </cfRule>
  </conditionalFormatting>
  <conditionalFormatting sqref="P1160:P1162">
    <cfRule type="containsText" dxfId="2" priority="12613" operator="containsText" text="Yes">
      <formula>NOT(ISERROR(SEARCH(("Yes"),(P1160))))</formula>
    </cfRule>
  </conditionalFormatting>
  <conditionalFormatting sqref="P1160:P1162">
    <cfRule type="containsText" dxfId="9" priority="12614" operator="containsText" text="No">
      <formula>NOT(ISERROR(SEARCH(("No"),(P1160))))</formula>
    </cfRule>
  </conditionalFormatting>
  <conditionalFormatting sqref="P1160:P1162">
    <cfRule type="containsText" dxfId="2" priority="12615" operator="containsText" text="Yes">
      <formula>NOT(ISERROR(SEARCH(("Yes"),(P1160))))</formula>
    </cfRule>
  </conditionalFormatting>
  <conditionalFormatting sqref="P1160:P1162">
    <cfRule type="containsText" dxfId="9" priority="12616" operator="containsText" text="No">
      <formula>NOT(ISERROR(SEARCH(("No"),(P1160))))</formula>
    </cfRule>
  </conditionalFormatting>
  <conditionalFormatting sqref="P1160:P1162">
    <cfRule type="containsText" dxfId="2" priority="12617" operator="containsText" text="Yes">
      <formula>NOT(ISERROR(SEARCH(("Yes"),(P1160))))</formula>
    </cfRule>
  </conditionalFormatting>
  <conditionalFormatting sqref="P1160:P1162">
    <cfRule type="containsText" dxfId="9" priority="12618" operator="containsText" text="No">
      <formula>NOT(ISERROR(SEARCH(("No"),(P1160))))</formula>
    </cfRule>
  </conditionalFormatting>
  <conditionalFormatting sqref="P1160:P1162">
    <cfRule type="containsText" dxfId="2" priority="12619" operator="containsText" text="Yes">
      <formula>NOT(ISERROR(SEARCH(("Yes"),(P1160))))</formula>
    </cfRule>
  </conditionalFormatting>
  <conditionalFormatting sqref="P1160:P1162">
    <cfRule type="containsText" dxfId="9" priority="12620" operator="containsText" text="No">
      <formula>NOT(ISERROR(SEARCH(("No"),(P1160))))</formula>
    </cfRule>
  </conditionalFormatting>
  <conditionalFormatting sqref="P1160:P1162">
    <cfRule type="containsText" dxfId="2" priority="12621" operator="containsText" text="Yes">
      <formula>NOT(ISERROR(SEARCH(("Yes"),(P1160))))</formula>
    </cfRule>
  </conditionalFormatting>
  <conditionalFormatting sqref="P1160:P1162">
    <cfRule type="containsText" dxfId="9" priority="12622" operator="containsText" text="No">
      <formula>NOT(ISERROR(SEARCH(("No"),(P1160))))</formula>
    </cfRule>
  </conditionalFormatting>
  <conditionalFormatting sqref="P1160:P1162">
    <cfRule type="containsText" dxfId="2" priority="12623" operator="containsText" text="Yes">
      <formula>NOT(ISERROR(SEARCH(("Yes"),(P1160))))</formula>
    </cfRule>
  </conditionalFormatting>
  <conditionalFormatting sqref="P1160:P1162">
    <cfRule type="containsText" dxfId="9" priority="12624" operator="containsText" text="No">
      <formula>NOT(ISERROR(SEARCH(("No"),(P1160))))</formula>
    </cfRule>
  </conditionalFormatting>
  <conditionalFormatting sqref="P1160:P1162">
    <cfRule type="containsText" dxfId="2" priority="12625" operator="containsText" text="Yes">
      <formula>NOT(ISERROR(SEARCH(("Yes"),(P1160))))</formula>
    </cfRule>
  </conditionalFormatting>
  <conditionalFormatting sqref="P1160:P1162">
    <cfRule type="containsText" dxfId="9" priority="12626" operator="containsText" text="No">
      <formula>NOT(ISERROR(SEARCH(("No"),(P1160))))</formula>
    </cfRule>
  </conditionalFormatting>
  <conditionalFormatting sqref="P1160:P1162">
    <cfRule type="containsText" dxfId="2" priority="12627" operator="containsText" text="Yes">
      <formula>NOT(ISERROR(SEARCH(("Yes"),(P1160))))</formula>
    </cfRule>
  </conditionalFormatting>
  <conditionalFormatting sqref="P1160:P1162">
    <cfRule type="containsText" dxfId="9" priority="12628" operator="containsText" text="No">
      <formula>NOT(ISERROR(SEARCH(("No"),(P1160))))</formula>
    </cfRule>
  </conditionalFormatting>
  <conditionalFormatting sqref="P1160:P1162">
    <cfRule type="containsText" dxfId="2" priority="12629" operator="containsText" text="Yes">
      <formula>NOT(ISERROR(SEARCH(("Yes"),(P1160))))</formula>
    </cfRule>
  </conditionalFormatting>
  <conditionalFormatting sqref="P1160:P1162">
    <cfRule type="containsText" dxfId="9" priority="12630" operator="containsText" text="No">
      <formula>NOT(ISERROR(SEARCH(("No"),(P1160))))</formula>
    </cfRule>
  </conditionalFormatting>
  <conditionalFormatting sqref="P1160:P1162">
    <cfRule type="containsText" dxfId="2" priority="12631" operator="containsText" text="Yes">
      <formula>NOT(ISERROR(SEARCH(("Yes"),(P1160))))</formula>
    </cfRule>
  </conditionalFormatting>
  <conditionalFormatting sqref="P1160:P1162">
    <cfRule type="containsText" dxfId="9" priority="12632" operator="containsText" text="No">
      <formula>NOT(ISERROR(SEARCH(("No"),(P1160))))</formula>
    </cfRule>
  </conditionalFormatting>
  <conditionalFormatting sqref="P1160:P1162">
    <cfRule type="containsText" dxfId="2" priority="12633" operator="containsText" text="Yes">
      <formula>NOT(ISERROR(SEARCH(("Yes"),(P1160))))</formula>
    </cfRule>
  </conditionalFormatting>
  <conditionalFormatting sqref="P1160:P1162">
    <cfRule type="containsText" dxfId="9" priority="12634" operator="containsText" text="No">
      <formula>NOT(ISERROR(SEARCH(("No"),(P1160))))</formula>
    </cfRule>
  </conditionalFormatting>
  <conditionalFormatting sqref="P1160:P1162">
    <cfRule type="containsText" dxfId="2" priority="12635" operator="containsText" text="Yes">
      <formula>NOT(ISERROR(SEARCH(("Yes"),(P1160))))</formula>
    </cfRule>
  </conditionalFormatting>
  <conditionalFormatting sqref="P1160:P1162">
    <cfRule type="containsText" dxfId="9" priority="12636" operator="containsText" text="No">
      <formula>NOT(ISERROR(SEARCH(("No"),(P1160))))</formula>
    </cfRule>
  </conditionalFormatting>
  <conditionalFormatting sqref="P1160:P1162">
    <cfRule type="containsText" dxfId="2" priority="12637" operator="containsText" text="Yes">
      <formula>NOT(ISERROR(SEARCH(("Yes"),(P1160))))</formula>
    </cfRule>
  </conditionalFormatting>
  <conditionalFormatting sqref="P1160:P1162">
    <cfRule type="containsText" dxfId="9" priority="12638" operator="containsText" text="No">
      <formula>NOT(ISERROR(SEARCH(("No"),(P1160))))</formula>
    </cfRule>
  </conditionalFormatting>
  <conditionalFormatting sqref="P1160:P1162">
    <cfRule type="containsText" dxfId="2" priority="12639" operator="containsText" text="Yes">
      <formula>NOT(ISERROR(SEARCH(("Yes"),(P1160))))</formula>
    </cfRule>
  </conditionalFormatting>
  <conditionalFormatting sqref="P1160:P1162">
    <cfRule type="containsText" dxfId="9" priority="12640" operator="containsText" text="No">
      <formula>NOT(ISERROR(SEARCH(("No"),(P1160))))</formula>
    </cfRule>
  </conditionalFormatting>
  <conditionalFormatting sqref="P1160:P1162">
    <cfRule type="containsText" dxfId="2" priority="12641" operator="containsText" text="Yes">
      <formula>NOT(ISERROR(SEARCH(("Yes"),(P1160))))</formula>
    </cfRule>
  </conditionalFormatting>
  <conditionalFormatting sqref="P1160:P1162">
    <cfRule type="containsText" dxfId="9" priority="12642" operator="containsText" text="No">
      <formula>NOT(ISERROR(SEARCH(("No"),(P1160))))</formula>
    </cfRule>
  </conditionalFormatting>
  <conditionalFormatting sqref="P1160:P1162">
    <cfRule type="containsText" dxfId="2" priority="12643" operator="containsText" text="Yes">
      <formula>NOT(ISERROR(SEARCH(("Yes"),(P1160))))</formula>
    </cfRule>
  </conditionalFormatting>
  <conditionalFormatting sqref="P1160:P1162">
    <cfRule type="containsText" dxfId="9" priority="12644" operator="containsText" text="No">
      <formula>NOT(ISERROR(SEARCH(("No"),(P1160))))</formula>
    </cfRule>
  </conditionalFormatting>
  <conditionalFormatting sqref="P1160:P1162">
    <cfRule type="containsText" dxfId="2" priority="12645" operator="containsText" text="Yes">
      <formula>NOT(ISERROR(SEARCH(("Yes"),(P1160))))</formula>
    </cfRule>
  </conditionalFormatting>
  <conditionalFormatting sqref="P1160:P1162">
    <cfRule type="containsText" dxfId="9" priority="12646" operator="containsText" text="No">
      <formula>NOT(ISERROR(SEARCH(("No"),(P1160))))</formula>
    </cfRule>
  </conditionalFormatting>
  <conditionalFormatting sqref="P1160:P1162">
    <cfRule type="containsText" dxfId="2" priority="12647" operator="containsText" text="Yes">
      <formula>NOT(ISERROR(SEARCH(("Yes"),(P1160))))</formula>
    </cfRule>
  </conditionalFormatting>
  <conditionalFormatting sqref="P1160:P1162">
    <cfRule type="containsText" dxfId="9" priority="12648" operator="containsText" text="No">
      <formula>NOT(ISERROR(SEARCH(("No"),(P1160))))</formula>
    </cfRule>
  </conditionalFormatting>
  <conditionalFormatting sqref="P1160:P1162">
    <cfRule type="containsText" dxfId="2" priority="12649" operator="containsText" text="Yes">
      <formula>NOT(ISERROR(SEARCH(("Yes"),(P1160))))</formula>
    </cfRule>
  </conditionalFormatting>
  <conditionalFormatting sqref="P1160:P1162">
    <cfRule type="containsText" dxfId="9" priority="12650" operator="containsText" text="No">
      <formula>NOT(ISERROR(SEARCH(("No"),(P1160))))</formula>
    </cfRule>
  </conditionalFormatting>
  <conditionalFormatting sqref="P1160:P1162">
    <cfRule type="containsText" dxfId="2" priority="12651" operator="containsText" text="Yes">
      <formula>NOT(ISERROR(SEARCH(("Yes"),(P1160))))</formula>
    </cfRule>
  </conditionalFormatting>
  <conditionalFormatting sqref="P1160:P1162">
    <cfRule type="containsText" dxfId="9" priority="12652" operator="containsText" text="No">
      <formula>NOT(ISERROR(SEARCH(("No"),(P1160))))</formula>
    </cfRule>
  </conditionalFormatting>
  <conditionalFormatting sqref="P1160:P1162">
    <cfRule type="containsText" dxfId="2" priority="12653" operator="containsText" text="Yes">
      <formula>NOT(ISERROR(SEARCH(("Yes"),(P1160))))</formula>
    </cfRule>
  </conditionalFormatting>
  <conditionalFormatting sqref="P1160:P1162">
    <cfRule type="containsText" dxfId="9" priority="12654" operator="containsText" text="No">
      <formula>NOT(ISERROR(SEARCH(("No"),(P1160))))</formula>
    </cfRule>
  </conditionalFormatting>
  <conditionalFormatting sqref="P1160:P1162">
    <cfRule type="containsText" dxfId="2" priority="12655" operator="containsText" text="Yes">
      <formula>NOT(ISERROR(SEARCH(("Yes"),(P1160))))</formula>
    </cfRule>
  </conditionalFormatting>
  <conditionalFormatting sqref="P1160:P1162">
    <cfRule type="containsText" dxfId="9" priority="12656" operator="containsText" text="No">
      <formula>NOT(ISERROR(SEARCH(("No"),(P1160))))</formula>
    </cfRule>
  </conditionalFormatting>
  <conditionalFormatting sqref="P1160:P1162">
    <cfRule type="containsText" dxfId="2" priority="12657" operator="containsText" text="Yes">
      <formula>NOT(ISERROR(SEARCH(("Yes"),(P1160))))</formula>
    </cfRule>
  </conditionalFormatting>
  <conditionalFormatting sqref="P1160:P1162">
    <cfRule type="containsText" dxfId="9" priority="12658" operator="containsText" text="No">
      <formula>NOT(ISERROR(SEARCH(("No"),(P1160))))</formula>
    </cfRule>
  </conditionalFormatting>
  <conditionalFormatting sqref="P1160:P1162">
    <cfRule type="containsText" dxfId="2" priority="12659" operator="containsText" text="Yes">
      <formula>NOT(ISERROR(SEARCH(("Yes"),(P1160))))</formula>
    </cfRule>
  </conditionalFormatting>
  <conditionalFormatting sqref="P1160:P1162">
    <cfRule type="containsText" dxfId="9" priority="12660" operator="containsText" text="No">
      <formula>NOT(ISERROR(SEARCH(("No"),(P1160))))</formula>
    </cfRule>
  </conditionalFormatting>
  <conditionalFormatting sqref="P1160:P1162">
    <cfRule type="containsText" dxfId="2" priority="12661" operator="containsText" text="Yes">
      <formula>NOT(ISERROR(SEARCH(("Yes"),(P1160))))</formula>
    </cfRule>
  </conditionalFormatting>
  <conditionalFormatting sqref="P1160:P1162">
    <cfRule type="containsText" dxfId="9" priority="12662" operator="containsText" text="No">
      <formula>NOT(ISERROR(SEARCH(("No"),(P1160))))</formula>
    </cfRule>
  </conditionalFormatting>
  <conditionalFormatting sqref="P1160:P1162">
    <cfRule type="containsText" dxfId="2" priority="12663" operator="containsText" text="Yes">
      <formula>NOT(ISERROR(SEARCH(("Yes"),(P1160))))</formula>
    </cfRule>
  </conditionalFormatting>
  <conditionalFormatting sqref="P1160:P1162">
    <cfRule type="containsText" dxfId="9" priority="12664" operator="containsText" text="No">
      <formula>NOT(ISERROR(SEARCH(("No"),(P1160))))</formula>
    </cfRule>
  </conditionalFormatting>
  <conditionalFormatting sqref="P1160:P1162">
    <cfRule type="containsText" dxfId="2" priority="12665" operator="containsText" text="Yes">
      <formula>NOT(ISERROR(SEARCH(("Yes"),(P1160))))</formula>
    </cfRule>
  </conditionalFormatting>
  <conditionalFormatting sqref="P1160:P1162">
    <cfRule type="containsText" dxfId="9" priority="12666" operator="containsText" text="No">
      <formula>NOT(ISERROR(SEARCH(("No"),(P1160))))</formula>
    </cfRule>
  </conditionalFormatting>
  <conditionalFormatting sqref="P1160:P1162">
    <cfRule type="containsText" dxfId="2" priority="12667" operator="containsText" text="Yes">
      <formula>NOT(ISERROR(SEARCH(("Yes"),(P1160))))</formula>
    </cfRule>
  </conditionalFormatting>
  <conditionalFormatting sqref="P1160:P1162">
    <cfRule type="containsText" dxfId="9" priority="12668" operator="containsText" text="No">
      <formula>NOT(ISERROR(SEARCH(("No"),(P1160))))</formula>
    </cfRule>
  </conditionalFormatting>
  <conditionalFormatting sqref="P1160:P1162">
    <cfRule type="containsText" dxfId="2" priority="12669" operator="containsText" text="Yes">
      <formula>NOT(ISERROR(SEARCH(("Yes"),(P1160))))</formula>
    </cfRule>
  </conditionalFormatting>
  <conditionalFormatting sqref="P1160:P1162">
    <cfRule type="containsText" dxfId="9" priority="12670" operator="containsText" text="No">
      <formula>NOT(ISERROR(SEARCH(("No"),(P1160))))</formula>
    </cfRule>
  </conditionalFormatting>
  <conditionalFormatting sqref="P1160:P1162">
    <cfRule type="containsText" dxfId="2" priority="12671" operator="containsText" text="Yes">
      <formula>NOT(ISERROR(SEARCH(("Yes"),(P1160))))</formula>
    </cfRule>
  </conditionalFormatting>
  <conditionalFormatting sqref="P1160:P1162">
    <cfRule type="containsText" dxfId="9" priority="12672" operator="containsText" text="No">
      <formula>NOT(ISERROR(SEARCH(("No"),(P1160))))</formula>
    </cfRule>
  </conditionalFormatting>
  <conditionalFormatting sqref="P1160:P1162">
    <cfRule type="containsText" dxfId="2" priority="12673" operator="containsText" text="Yes">
      <formula>NOT(ISERROR(SEARCH(("Yes"),(P1160))))</formula>
    </cfRule>
  </conditionalFormatting>
  <conditionalFormatting sqref="P1160:P1162">
    <cfRule type="containsText" dxfId="2" priority="12674" operator="containsText" text="Yes">
      <formula>NOT(ISERROR(SEARCH(("Yes"),(P1160))))</formula>
    </cfRule>
  </conditionalFormatting>
  <conditionalFormatting sqref="P1160:P1162">
    <cfRule type="containsText" dxfId="9" priority="12675" operator="containsText" text="No">
      <formula>NOT(ISERROR(SEARCH(("No"),(P1160))))</formula>
    </cfRule>
  </conditionalFormatting>
  <conditionalFormatting sqref="P1160:P1162">
    <cfRule type="containsText" dxfId="2" priority="12676" operator="containsText" text="Yes">
      <formula>NOT(ISERROR(SEARCH(("Yes"),(P1160))))</formula>
    </cfRule>
  </conditionalFormatting>
  <conditionalFormatting sqref="O670 P659:Q661 P663:Q663 P666:Q669 P674:Q674 P676:Q677 P679:Q679 P681:Q681 P684:Q685 P688:Q688 P690:Q690 P692:Q692 U692:V692">
    <cfRule type="containsText" dxfId="9" priority="12677" operator="containsText" text="No">
      <formula>NOT(ISERROR(SEARCH(("No"),(O670))))</formula>
    </cfRule>
  </conditionalFormatting>
  <conditionalFormatting sqref="O670 P659:Q661 P663:Q663 P666:Q669 P674:Q674 P676:Q677 P679:Q679 P681:Q681 P684:Q685 P688:Q688 P690:Q690 P692:Q692 U692:V692">
    <cfRule type="containsText" dxfId="2" priority="12678" operator="containsText" text="Yes">
      <formula>NOT(ISERROR(SEARCH(("Yes"),(O670))))</formula>
    </cfRule>
  </conditionalFormatting>
  <conditionalFormatting sqref="O670 P659:Q661 P663:Q663 P666:Q669 P674:Q674 P676:Q677 P679:Q679 P681:Q681 P684:Q685 P688:Q688 P690:Q690 P692:Q692 U692:V692">
    <cfRule type="containsText" dxfId="9" priority="12679" operator="containsText" text="No">
      <formula>NOT(ISERROR(SEARCH(("No"),(O670))))</formula>
    </cfRule>
  </conditionalFormatting>
  <conditionalFormatting sqref="O670 P659:Q661 P663:Q663 P666:Q669 P674:Q674 P676:Q677 P679:Q679 P681:Q681 P684:Q685 P688:Q688 P690:Q690 P692:Q692 U692:V692">
    <cfRule type="containsText" dxfId="2" priority="12680" operator="containsText" text="Yes">
      <formula>NOT(ISERROR(SEARCH(("Yes"),(O670))))</formula>
    </cfRule>
  </conditionalFormatting>
  <conditionalFormatting sqref="O670 P659:Q661 P663:Q663 P666:Q669 P674:Q674 P676:Q677 P679:Q679 P681:Q681 P684:Q685 P688:Q688 P690:Q690 P692:Q692 U692:V692">
    <cfRule type="containsText" dxfId="9" priority="12681" operator="containsText" text="No">
      <formula>NOT(ISERROR(SEARCH(("No"),(O670))))</formula>
    </cfRule>
  </conditionalFormatting>
  <conditionalFormatting sqref="O670 P659:Q661 P663:Q663 P666:Q669 P674:Q674 P676:Q677 P679:Q679 P681:Q681 P684:Q685 P688:Q688 P690:Q690 P692:Q692 U692:V692">
    <cfRule type="containsText" dxfId="2" priority="12682" operator="containsText" text="Yes">
      <formula>NOT(ISERROR(SEARCH(("Yes"),(O670))))</formula>
    </cfRule>
  </conditionalFormatting>
  <conditionalFormatting sqref="O670 P659:Q661 P663:Q663 P666:Q669 P674:Q674 P676:Q677 P679:Q679 P681:Q681 P684:Q685 P688:Q688 P690:Q690 P692:Q692 U692:V692">
    <cfRule type="containsText" dxfId="9" priority="12683" operator="containsText" text="No">
      <formula>NOT(ISERROR(SEARCH(("No"),(O670))))</formula>
    </cfRule>
  </conditionalFormatting>
  <conditionalFormatting sqref="O670 P659:Q661 P663:Q663 P666:Q669 P674:Q674 P676:Q677 P679:Q679 P681:Q681 P684:Q685 P688:Q688 P690:Q690 P692:Q692 U692:V692">
    <cfRule type="containsText" dxfId="2" priority="12684" operator="containsText" text="Yes">
      <formula>NOT(ISERROR(SEARCH(("Yes"),(O670))))</formula>
    </cfRule>
  </conditionalFormatting>
  <conditionalFormatting sqref="O670 P659:Q661 P663:Q663 P666:Q669 P674:Q674 P676:Q677 P679:Q679 P681:Q681 P684:Q685 P688:Q688 P690:Q690 P692:Q692 U692:V692">
    <cfRule type="containsText" dxfId="9" priority="12685" operator="containsText" text="No">
      <formula>NOT(ISERROR(SEARCH(("No"),(O670))))</formula>
    </cfRule>
  </conditionalFormatting>
  <conditionalFormatting sqref="O670 P659:Q661 P663:Q663 P666:Q669 P674:Q674 P676:Q677 P679:Q679 P681:Q681 P684:Q685 P688:Q688 P690:Q690 P692:Q692 U692:V692">
    <cfRule type="containsText" dxfId="2" priority="12686" operator="containsText" text="Yes">
      <formula>NOT(ISERROR(SEARCH(("Yes"),(O670))))</formula>
    </cfRule>
  </conditionalFormatting>
  <conditionalFormatting sqref="O670 P659:Q661 P663:Q663 P666:Q669 P674:Q674 P676:Q677 P679:Q679 P681:Q681 P684:Q685 P688:Q688 P690:Q690 P692:Q692 U692:V692">
    <cfRule type="containsText" dxfId="9" priority="12687" operator="containsText" text="No">
      <formula>NOT(ISERROR(SEARCH(("No"),(O670))))</formula>
    </cfRule>
  </conditionalFormatting>
  <conditionalFormatting sqref="O670 P659:Q661 P663:Q663 P666:Q669 P674:Q674 P676:Q677 P679:Q679 P681:Q681 P684:Q685 P688:Q688 P690:Q690 P692:Q692 U692:V692">
    <cfRule type="containsText" dxfId="2" priority="12688" operator="containsText" text="Yes">
      <formula>NOT(ISERROR(SEARCH(("Yes"),(O670))))</formula>
    </cfRule>
  </conditionalFormatting>
  <conditionalFormatting sqref="O670 P659:Q661 P663:Q663 P666:Q669 P674:Q674 P676:Q677 P679:Q679 P681:Q681 P684:Q685 P688:Q688 P690:Q690 P692:Q692 U692:V692">
    <cfRule type="containsText" dxfId="9" priority="12689" operator="containsText" text="No">
      <formula>NOT(ISERROR(SEARCH(("No"),(O670))))</formula>
    </cfRule>
  </conditionalFormatting>
  <conditionalFormatting sqref="O670 P659:Q661 P663:Q663 P666:Q669 P674:Q674 P676:Q677 P679:Q679 P681:Q681 P684:Q685 P688:Q688 P690:Q690 P692:Q692 U692:V692">
    <cfRule type="containsText" dxfId="2" priority="12690" operator="containsText" text="Yes">
      <formula>NOT(ISERROR(SEARCH(("Yes"),(O670))))</formula>
    </cfRule>
  </conditionalFormatting>
  <conditionalFormatting sqref="O670 P659:Q661 P663:Q663 P666:Q669 P674:Q674 P676:Q677 P679:Q679 P681:Q681 P684:Q685 P688:Q688 P690:Q690 P692:Q692 U692:V692">
    <cfRule type="containsText" dxfId="9" priority="12691" operator="containsText" text="No">
      <formula>NOT(ISERROR(SEARCH(("No"),(O670))))</formula>
    </cfRule>
  </conditionalFormatting>
  <conditionalFormatting sqref="O670 P659:Q661 P663:Q663 P666:Q669 P674:Q674 P676:Q677 P679:Q679 P681:Q681 P684:Q685 P688:Q688 P690:Q690 P692:Q692 U692:V692">
    <cfRule type="containsText" dxfId="2" priority="12692" operator="containsText" text="Yes">
      <formula>NOT(ISERROR(SEARCH(("Yes"),(O670))))</formula>
    </cfRule>
  </conditionalFormatting>
  <conditionalFormatting sqref="O670 P659:Q661 P663:Q663 P666:Q669 P674:Q674 P676:Q677 P679:Q679 P681:Q681 P684:Q685 P688:Q688 P690:Q690 P692:Q692 U692:V692">
    <cfRule type="containsText" dxfId="9" priority="12693" operator="containsText" text="No">
      <formula>NOT(ISERROR(SEARCH(("No"),(O670))))</formula>
    </cfRule>
  </conditionalFormatting>
  <conditionalFormatting sqref="O670 P659:Q661 P663:Q663 P666:Q669 P674:Q674 P676:Q677 P679:Q679 P681:Q681 P684:Q685 P688:Q688 P690:Q690 P692:Q692 U692:V692">
    <cfRule type="containsText" dxfId="2" priority="12694" operator="containsText" text="Yes">
      <formula>NOT(ISERROR(SEARCH(("Yes"),(O670))))</formula>
    </cfRule>
  </conditionalFormatting>
  <conditionalFormatting sqref="O670 P659:Q661 P663:Q663 P666:Q669 P674:Q674 P676:Q677 P679:Q679 P681:Q681 P684:Q685 P688:Q688 P690:Q690 P692:Q692 U692:V692">
    <cfRule type="containsText" dxfId="9" priority="12695" operator="containsText" text="No">
      <formula>NOT(ISERROR(SEARCH(("No"),(O670))))</formula>
    </cfRule>
  </conditionalFormatting>
  <conditionalFormatting sqref="O670 P659:Q661 P663:Q663 P666:Q669 P674:Q674 P676:Q677 P679:Q679 P681:Q681 P684:Q685 P688:Q688 P690:Q690 P692:Q692 U692:V692">
    <cfRule type="containsText" dxfId="2" priority="12696" operator="containsText" text="Yes">
      <formula>NOT(ISERROR(SEARCH(("Yes"),(O670))))</formula>
    </cfRule>
  </conditionalFormatting>
  <conditionalFormatting sqref="O670 P659:Q661 P663:Q663 P666:Q669 P674:Q674 P676:Q677 P679:Q679 P681:Q681 P684:Q685 P688:Q688 P690:Q690 P692:Q692 U692:V692">
    <cfRule type="containsText" dxfId="9" priority="12697" operator="containsText" text="No">
      <formula>NOT(ISERROR(SEARCH(("No"),(O670))))</formula>
    </cfRule>
  </conditionalFormatting>
  <conditionalFormatting sqref="O670 P659:Q661 P663:Q663 P666:Q669 P674:Q674 P676:Q677 P679:Q679 P681:Q681 P684:Q685 P688:Q688 P690:Q690 P692:Q692 U692:V692">
    <cfRule type="containsText" dxfId="2" priority="12698" operator="containsText" text="Yes">
      <formula>NOT(ISERROR(SEARCH(("Yes"),(O670))))</formula>
    </cfRule>
  </conditionalFormatting>
  <conditionalFormatting sqref="O670 P659:Q661 P663:Q663 P666:Q669 P674:Q674 P676:Q677 P679:Q679 P681:Q681 P684:Q685 P688:Q688 P690:Q690 P692:Q692 U692:V692">
    <cfRule type="containsText" dxfId="9" priority="12699" operator="containsText" text="No">
      <formula>NOT(ISERROR(SEARCH(("No"),(O670))))</formula>
    </cfRule>
  </conditionalFormatting>
  <conditionalFormatting sqref="O670 P659:Q661 P663:Q663 P666:Q669 P674:Q674 P676:Q677 P679:Q679 P681:Q681 P684:Q685 P688:Q688 P690:Q690 P692:Q692 U692:V692">
    <cfRule type="containsText" dxfId="2" priority="12700" operator="containsText" text="Yes">
      <formula>NOT(ISERROR(SEARCH(("Yes"),(O670))))</formula>
    </cfRule>
  </conditionalFormatting>
  <conditionalFormatting sqref="O670 P659:Q661 P663:Q663 P666:Q669 P674:Q674 P676:Q677 P679:Q679 P681:Q681 P684:Q685 P688:Q688 P690:Q690 P692:Q692 U692:V692">
    <cfRule type="containsText" dxfId="9" priority="12701" operator="containsText" text="No">
      <formula>NOT(ISERROR(SEARCH(("No"),(O670))))</formula>
    </cfRule>
  </conditionalFormatting>
  <conditionalFormatting sqref="O670 P659:Q661 P663:Q663 P666:Q669 P674:Q674 P676:Q677 P679:Q679 P681:Q681 P684:Q685 P688:Q688 P690:Q690 P692:Q692 U692:V692">
    <cfRule type="containsText" dxfId="2" priority="12702" operator="containsText" text="Yes">
      <formula>NOT(ISERROR(SEARCH(("Yes"),(O670))))</formula>
    </cfRule>
  </conditionalFormatting>
  <conditionalFormatting sqref="O670 P659:Q661 P663:Q663 P666:Q669 P674:Q674 P676:Q677 P679:Q679 P681:Q681 P684:Q685 P688:Q688 P690:Q690 P692:Q692 U692:V692">
    <cfRule type="containsText" dxfId="9" priority="12703" operator="containsText" text="No">
      <formula>NOT(ISERROR(SEARCH(("No"),(O670))))</formula>
    </cfRule>
  </conditionalFormatting>
  <conditionalFormatting sqref="O670 P659:Q661 P663:Q663 P666:Q669 P674:Q674 P676:Q677 P679:Q679 P681:Q681 P684:Q685 P688:Q688 P690:Q690 P692:Q692 U692:V692">
    <cfRule type="containsText" dxfId="2" priority="12704" operator="containsText" text="Yes">
      <formula>NOT(ISERROR(SEARCH(("Yes"),(O670))))</formula>
    </cfRule>
  </conditionalFormatting>
  <conditionalFormatting sqref="O670 P659:Q661 P663:Q663 P666:Q669 P674:Q674 P676:Q677 P679:Q679 P681:Q681 P684:Q685 P688:Q688 P690:Q690 P692:Q692 U692:V692">
    <cfRule type="containsText" dxfId="9" priority="12705" operator="containsText" text="No">
      <formula>NOT(ISERROR(SEARCH(("No"),(O670))))</formula>
    </cfRule>
  </conditionalFormatting>
  <conditionalFormatting sqref="O670 P659:Q661 P663:Q663 P666:Q669 P674:Q674 P676:Q677 P679:Q679 P681:Q681 P684:Q685 P688:Q688 P690:Q690 P692:Q692 U692:V692">
    <cfRule type="containsText" dxfId="2" priority="12706" operator="containsText" text="Yes">
      <formula>NOT(ISERROR(SEARCH(("Yes"),(O670))))</formula>
    </cfRule>
  </conditionalFormatting>
  <conditionalFormatting sqref="O670 P659:Q661 P663:Q663 P666:Q669 P674:Q674 P676:Q677 P679:Q679 P681:Q681 P684:Q685 P688:Q688 P690:Q690 P692:Q692 U692:V692">
    <cfRule type="containsText" dxfId="9" priority="12707" operator="containsText" text="No">
      <formula>NOT(ISERROR(SEARCH(("No"),(O670))))</formula>
    </cfRule>
  </conditionalFormatting>
  <conditionalFormatting sqref="O670 P659:Q661 P663:Q663 P666:Q669 P674:Q674 P676:Q677 P679:Q679 P681:Q681 P684:Q685 P688:Q688 P690:Q690 P692:Q692 U692:V692">
    <cfRule type="containsText" dxfId="2" priority="12708" operator="containsText" text="Yes">
      <formula>NOT(ISERROR(SEARCH(("Yes"),(O670))))</formula>
    </cfRule>
  </conditionalFormatting>
  <conditionalFormatting sqref="O670 P659:Q661 P663:Q663 P666:Q669 P674:Q674 P676:Q677 P679:Q679 P681:Q681 P684:Q685 P688:Q688 P690:Q690 P692:Q692 U692:V692">
    <cfRule type="containsText" dxfId="9" priority="12709" operator="containsText" text="No">
      <formula>NOT(ISERROR(SEARCH(("No"),(O670))))</formula>
    </cfRule>
  </conditionalFormatting>
  <conditionalFormatting sqref="O670 P659:Q661 P663:Q663 P666:Q669 P674:Q674 P676:Q677 P679:Q679 P681:Q681 P684:Q685 P688:Q688 P690:Q690 P692:Q692 U692:V692">
    <cfRule type="containsText" dxfId="2" priority="12710" operator="containsText" text="Yes">
      <formula>NOT(ISERROR(SEARCH(("Yes"),(O670))))</formula>
    </cfRule>
  </conditionalFormatting>
  <conditionalFormatting sqref="O670 P659:Q661 P663:Q663 P666:Q669 P674:Q674 P676:Q677 P679:Q679 P681:Q681 P684:Q685 P688:Q688 P690:Q690 P692:Q692 U692:V692">
    <cfRule type="containsText" dxfId="9" priority="12711" operator="containsText" text="No">
      <formula>NOT(ISERROR(SEARCH(("No"),(O670))))</formula>
    </cfRule>
  </conditionalFormatting>
  <conditionalFormatting sqref="O670 P659:Q661 P663:Q663 P666:Q669 P674:Q674 P676:Q677 P679:Q679 P681:Q681 P684:Q685 P688:Q688 P690:Q690 P692:Q692 U692:V692">
    <cfRule type="containsText" dxfId="2" priority="12712" operator="containsText" text="Yes">
      <formula>NOT(ISERROR(SEARCH(("Yes"),(O670))))</formula>
    </cfRule>
  </conditionalFormatting>
  <conditionalFormatting sqref="O670 P659:Q661 P663:Q663 P666:Q669 P674:Q674 P676:Q677 P679:Q679 P681:Q681 P684:Q685 P688:Q688 P690:Q690 P692:Q692 U692:V692">
    <cfRule type="containsText" dxfId="9" priority="12713" operator="containsText" text="No">
      <formula>NOT(ISERROR(SEARCH(("No"),(O670))))</formula>
    </cfRule>
  </conditionalFormatting>
  <conditionalFormatting sqref="O670 P659:Q661 P663:Q663 P666:Q669 P674:Q674 P676:Q677 P679:Q679 P681:Q681 P684:Q685 P688:Q688 P690:Q690 P692:Q692 U692:V692">
    <cfRule type="containsText" dxfId="2" priority="12714" operator="containsText" text="Yes">
      <formula>NOT(ISERROR(SEARCH(("Yes"),(O670))))</formula>
    </cfRule>
  </conditionalFormatting>
  <conditionalFormatting sqref="O670 P659:Q661 P663:Q663 P666:Q669 P674:Q674 P676:Q677 P679:Q679 P681:Q681 P684:Q685 P688:Q688 P690:Q690 P692:Q692 U692:V692">
    <cfRule type="containsText" dxfId="9" priority="12715" operator="containsText" text="No">
      <formula>NOT(ISERROR(SEARCH(("No"),(O670))))</formula>
    </cfRule>
  </conditionalFormatting>
  <conditionalFormatting sqref="O670 P659:Q661 P663:Q663 P666:Q669 P674:Q674 P676:Q677 P679:Q679 P681:Q681 P684:Q685 P688:Q688 P690:Q690 P692:Q692 U692:V692">
    <cfRule type="containsText" dxfId="2" priority="12716" operator="containsText" text="Yes">
      <formula>NOT(ISERROR(SEARCH(("Yes"),(O670))))</formula>
    </cfRule>
  </conditionalFormatting>
  <conditionalFormatting sqref="O670 P659:Q661 P663:Q663 P666:Q669 P674:Q674 P676:Q677 P679:Q679 P681:Q681 P684:Q685 P688:Q688 P690:Q690 P692:Q692 U692:V692">
    <cfRule type="containsText" dxfId="9" priority="12717" operator="containsText" text="No">
      <formula>NOT(ISERROR(SEARCH(("No"),(O670))))</formula>
    </cfRule>
  </conditionalFormatting>
  <conditionalFormatting sqref="O670 P659:Q661 P663:Q663 P666:Q669 P674:Q674 P676:Q677 P679:Q679 P681:Q681 P684:Q685 P688:Q688 P690:Q690 P692:Q692 U692:V692">
    <cfRule type="containsText" dxfId="2" priority="12718" operator="containsText" text="Yes">
      <formula>NOT(ISERROR(SEARCH(("Yes"),(O670))))</formula>
    </cfRule>
  </conditionalFormatting>
  <conditionalFormatting sqref="O670 P659:Q661 P663:Q663 P666:Q669 P674:Q674 P676:Q677 P679:Q679 P681:Q681 P684:Q685 P688:Q688 P690:Q690 P692:Q692 U692:V692">
    <cfRule type="containsText" dxfId="9" priority="12719" operator="containsText" text="No">
      <formula>NOT(ISERROR(SEARCH(("No"),(O670))))</formula>
    </cfRule>
  </conditionalFormatting>
  <conditionalFormatting sqref="O670 P659:Q661 P663:Q663 P666:Q669 P674:Q674 P676:Q677 P679:Q679 P681:Q681 P684:Q685 P688:Q688 P690:Q690 P692:Q692 U692:V692">
    <cfRule type="containsText" dxfId="2" priority="12720" operator="containsText" text="Yes">
      <formula>NOT(ISERROR(SEARCH(("Yes"),(O670))))</formula>
    </cfRule>
  </conditionalFormatting>
  <conditionalFormatting sqref="O670 P659:Q661 P663:Q663 P666:Q669 P674:Q674 P676:Q677 P679:Q679 P681:Q681 P684:Q685 P688:Q688 P690:Q690 P692:Q692 U692:V692">
    <cfRule type="containsText" dxfId="9" priority="12721" operator="containsText" text="No">
      <formula>NOT(ISERROR(SEARCH(("No"),(O670))))</formula>
    </cfRule>
  </conditionalFormatting>
  <conditionalFormatting sqref="O670 P659:Q661 P663:Q663 P666:Q669 P674:Q674 P676:Q677 P679:Q679 P681:Q681 P684:Q685 P688:Q688 P690:Q690 P692:Q692 U692:V692">
    <cfRule type="containsText" dxfId="2" priority="12722" operator="containsText" text="Yes">
      <formula>NOT(ISERROR(SEARCH(("Yes"),(O670))))</formula>
    </cfRule>
  </conditionalFormatting>
  <conditionalFormatting sqref="O670 P659:Q661 P663:Q663 P666:Q669 P674:Q674 P676:Q677 P679:Q679 P681:Q681 P684:Q685 P688:Q688 P690:Q690 P692:Q692 U692:V692">
    <cfRule type="containsText" dxfId="9" priority="12723" operator="containsText" text="No">
      <formula>NOT(ISERROR(SEARCH(("No"),(O670))))</formula>
    </cfRule>
  </conditionalFormatting>
  <conditionalFormatting sqref="O670 P659:Q661 P663:Q663 P666:Q669 P674:Q674 P676:Q677 P679:Q679 P681:Q681 P684:Q685 P688:Q688 P690:Q690 P692:Q692 U692:V692">
    <cfRule type="containsText" dxfId="2" priority="12724" operator="containsText" text="Yes">
      <formula>NOT(ISERROR(SEARCH(("Yes"),(O670))))</formula>
    </cfRule>
  </conditionalFormatting>
  <conditionalFormatting sqref="O670 P659:Q661 P663:Q663 P666:Q669 P674:Q674 P676:Q677 P679:Q679 P681:Q681 P684:Q685 P688:Q688 P690:Q690 P692:Q692 U692:V692">
    <cfRule type="containsText" dxfId="9" priority="12725" operator="containsText" text="No">
      <formula>NOT(ISERROR(SEARCH(("No"),(O670))))</formula>
    </cfRule>
  </conditionalFormatting>
  <conditionalFormatting sqref="O670 P659:Q661 P663:Q663 P666:Q669 P674:Q674 P676:Q677 P679:Q679 P681:Q681 P684:Q685 P688:Q688 P690:Q690 P692:Q692 U692:V692">
    <cfRule type="containsText" dxfId="2" priority="12726" operator="containsText" text="Yes">
      <formula>NOT(ISERROR(SEARCH(("Yes"),(O670))))</formula>
    </cfRule>
  </conditionalFormatting>
  <conditionalFormatting sqref="O670 P659:Q661 P663:Q663 P666:Q669 P674:Q674 P676:Q677 P679:Q679 P681:Q681 P684:Q685 P688:Q688 P690:Q690 P692:Q692 U692:V692">
    <cfRule type="containsText" dxfId="9" priority="12727" operator="containsText" text="No">
      <formula>NOT(ISERROR(SEARCH(("No"),(O670))))</formula>
    </cfRule>
  </conditionalFormatting>
  <conditionalFormatting sqref="O670 P659:Q661 P663:Q663 P666:Q669 P674:Q674 P676:Q677 P679:Q679 P681:Q681 P684:Q685 P688:Q688 P690:Q690 P692:Q692 U692:V692">
    <cfRule type="containsText" dxfId="2" priority="12728" operator="containsText" text="Yes">
      <formula>NOT(ISERROR(SEARCH(("Yes"),(O670))))</formula>
    </cfRule>
  </conditionalFormatting>
  <conditionalFormatting sqref="O670 P659:Q661 P663:Q663 P666:Q669 P674:Q674 P676:Q677 P679:Q679 P681:Q681 P684:Q685 P688:Q688 P690:Q690 P692:Q692 U692:V692">
    <cfRule type="containsText" dxfId="9" priority="12729" operator="containsText" text="No">
      <formula>NOT(ISERROR(SEARCH(("No"),(O670))))</formula>
    </cfRule>
  </conditionalFormatting>
  <conditionalFormatting sqref="O670 P659:Q661 P663:Q663 P666:Q669 P674:Q674 P676:Q677 P679:Q679 P681:Q681 P684:Q685 P688:Q688 P690:Q690 P692:Q692 U692:V692">
    <cfRule type="containsText" dxfId="2" priority="12730" operator="containsText" text="Yes">
      <formula>NOT(ISERROR(SEARCH(("Yes"),(O670))))</formula>
    </cfRule>
  </conditionalFormatting>
  <conditionalFormatting sqref="O670 P659:Q661 P663:Q663 P666:Q669 P674:Q674 P676:Q677 P679:Q679 P681:Q681 P684:Q685 P688:Q688 P690:Q690 P692:Q692 U692:V692">
    <cfRule type="containsText" dxfId="9" priority="12731" operator="containsText" text="No">
      <formula>NOT(ISERROR(SEARCH(("No"),(O670))))</formula>
    </cfRule>
  </conditionalFormatting>
  <conditionalFormatting sqref="O670 P659:Q661 P663:Q663 P666:Q669 P674:Q674 P676:Q677 P679:Q679 P681:Q681 P684:Q685 P688:Q688 P690:Q690 P692:Q692 U692:V692">
    <cfRule type="containsText" dxfId="2" priority="12732" operator="containsText" text="Yes">
      <formula>NOT(ISERROR(SEARCH(("Yes"),(O670))))</formula>
    </cfRule>
  </conditionalFormatting>
  <conditionalFormatting sqref="O670 P659:Q661 P663:Q663 P666:Q669 P674:Q674 P676:Q677 P679:Q679 P681:Q681 P684:Q685 P688:Q688 P690:Q690 P692:Q692 U692:V692">
    <cfRule type="containsText" dxfId="9" priority="12733" operator="containsText" text="No">
      <formula>NOT(ISERROR(SEARCH(("No"),(O670))))</formula>
    </cfRule>
  </conditionalFormatting>
  <conditionalFormatting sqref="O670 P659:Q661 P663:Q663 P666:Q669 P674:Q674 P676:Q677 P679:Q679 P681:Q681 P684:Q685 P688:Q688 P690:Q690 P692:Q692 U692:V692">
    <cfRule type="containsText" dxfId="2" priority="12734" operator="containsText" text="Yes">
      <formula>NOT(ISERROR(SEARCH(("Yes"),(O670))))</formula>
    </cfRule>
  </conditionalFormatting>
  <conditionalFormatting sqref="O670 P659:Q661 P663:Q663 P666:Q669 P674:Q674 P676:Q677 P679:Q679 P681:Q681 P684:Q685 P688:Q688 P690:Q690 P692:Q692 U692:V692">
    <cfRule type="containsText" dxfId="9" priority="12735" operator="containsText" text="No">
      <formula>NOT(ISERROR(SEARCH(("No"),(O670))))</formula>
    </cfRule>
  </conditionalFormatting>
  <conditionalFormatting sqref="O670 P659:Q661 P663:Q663 P666:Q669 P674:Q674 P676:Q677 P679:Q679 P681:Q681 P684:Q685 P688:Q688 P690:Q690 P692:Q692 U692:V692">
    <cfRule type="containsText" dxfId="2" priority="12736" operator="containsText" text="Yes">
      <formula>NOT(ISERROR(SEARCH(("Yes"),(O670))))</formula>
    </cfRule>
  </conditionalFormatting>
  <conditionalFormatting sqref="O670 P659:Q661 P663:Q663 P666:Q669 P674:Q674 P676:Q677 P679:Q679 P681:Q681 P684:Q685 P688:Q688 P690:Q690 P692:Q692 U692:V692">
    <cfRule type="containsText" dxfId="9" priority="12737" operator="containsText" text="No">
      <formula>NOT(ISERROR(SEARCH(("No"),(O670))))</formula>
    </cfRule>
  </conditionalFormatting>
  <conditionalFormatting sqref="O670 P659:Q661 P663:Q663 P666:Q669 P674:Q674 P676:Q677 P679:Q679 P681:Q681 P684:Q685 P688:Q688 P690:Q690 P692:Q692 U692:V692">
    <cfRule type="containsText" dxfId="2" priority="12738" operator="containsText" text="Yes">
      <formula>NOT(ISERROR(SEARCH(("Yes"),(O670))))</formula>
    </cfRule>
  </conditionalFormatting>
  <conditionalFormatting sqref="O670 P659:Q661 P663:Q663 P666:Q669 P674:Q674 P676:Q677 P679:Q679 P681:Q681 P684:Q685 P688:Q688 P690:Q690 P692:Q692 U692:V692">
    <cfRule type="containsText" dxfId="9" priority="12739" operator="containsText" text="No">
      <formula>NOT(ISERROR(SEARCH(("No"),(O670))))</formula>
    </cfRule>
  </conditionalFormatting>
  <conditionalFormatting sqref="O670 P659:Q661 P663:Q663 P666:Q669 P674:Q674 P676:Q677 P679:Q679 P681:Q681 P684:Q685 P688:Q688 P690:Q690 P692:Q692 U692:V692">
    <cfRule type="containsText" dxfId="2" priority="12740" operator="containsText" text="Yes">
      <formula>NOT(ISERROR(SEARCH(("Yes"),(O670))))</formula>
    </cfRule>
  </conditionalFormatting>
  <conditionalFormatting sqref="O670 P659:Q661 P663:Q663 P666:Q669 P674:Q674 P676:Q677 P679:Q679 P681:Q681 P684:Q685 P688:Q688 P690:Q690 P692:Q692 U692:V692">
    <cfRule type="containsText" dxfId="9" priority="12741" operator="containsText" text="No">
      <formula>NOT(ISERROR(SEARCH(("No"),(O670))))</formula>
    </cfRule>
  </conditionalFormatting>
  <conditionalFormatting sqref="O670 P659:Q661 P663:Q663 P666:Q669 P674:Q674 P676:Q677 P679:Q679 P681:Q681 P684:Q685 P688:Q688 P690:Q690 P692:Q692 U692:V692">
    <cfRule type="containsText" dxfId="2" priority="12742" operator="containsText" text="Yes">
      <formula>NOT(ISERROR(SEARCH(("Yes"),(O670))))</formula>
    </cfRule>
  </conditionalFormatting>
  <conditionalFormatting sqref="O670 P659:Q661 P663:Q663 P666:Q669 P674:Q674 P676:Q677 P679:Q679 P681:Q681 P684:Q685 P688:Q688 P690:Q690 P692:Q692 U692:V692">
    <cfRule type="containsText" dxfId="9" priority="12743" operator="containsText" text="No">
      <formula>NOT(ISERROR(SEARCH(("No"),(O670))))</formula>
    </cfRule>
  </conditionalFormatting>
  <conditionalFormatting sqref="O670 P659:Q661 P663:Q663 P666:Q669 P674:Q674 P676:Q677 P679:Q679 P681:Q681 P684:Q685 P688:Q688 P690:Q690 P692:Q692 U692:V692">
    <cfRule type="containsText" dxfId="2" priority="12744" operator="containsText" text="Yes">
      <formula>NOT(ISERROR(SEARCH(("Yes"),(O670))))</formula>
    </cfRule>
  </conditionalFormatting>
  <conditionalFormatting sqref="O670 P659:Q661 P663:Q663 P666:Q669 P674:Q674 P676:Q677 P679:Q679 P681:Q681 P684:Q685 P688:Q688 P690:Q690 P692:Q692 U692:V692">
    <cfRule type="containsText" dxfId="9" priority="12745" operator="containsText" text="No">
      <formula>NOT(ISERROR(SEARCH(("No"),(O670))))</formula>
    </cfRule>
  </conditionalFormatting>
  <conditionalFormatting sqref="O670 P659:Q661 P663:Q663 P666:Q669 P674:Q674 P676:Q677 P679:Q679 P681:Q681 P684:Q685 P688:Q688 P690:Q690 P692:Q692 U692:V692">
    <cfRule type="containsText" dxfId="2" priority="12746" operator="containsText" text="Yes">
      <formula>NOT(ISERROR(SEARCH(("Yes"),(O670))))</formula>
    </cfRule>
  </conditionalFormatting>
  <conditionalFormatting sqref="O670 P659:Q661 P663:Q663 P666:Q669 P674:Q674 P676:Q677 P679:Q679 P681:Q681 P684:Q685 P688:Q688 P690:Q690 P692:Q692 U692:V692">
    <cfRule type="containsText" dxfId="9" priority="12747" operator="containsText" text="No">
      <formula>NOT(ISERROR(SEARCH(("No"),(O670))))</formula>
    </cfRule>
  </conditionalFormatting>
  <conditionalFormatting sqref="O670 P659:Q661 P663:Q663 P666:Q669 P674:Q674 P676:Q677 P679:Q679 P681:Q681 P684:Q685 P688:Q688 P690:Q690 P692:Q692 U692:V692">
    <cfRule type="containsText" dxfId="2" priority="12748" operator="containsText" text="Yes">
      <formula>NOT(ISERROR(SEARCH(("Yes"),(O670))))</formula>
    </cfRule>
  </conditionalFormatting>
  <conditionalFormatting sqref="O670 P659:Q661 P663:Q663 P666:Q669 P674:Q674 P676:Q677 P679:Q679 P681:Q681 P684:Q685 P688:Q688 P690:Q690 P692:Q692 U692:V692">
    <cfRule type="containsText" dxfId="9" priority="12749" operator="containsText" text="No">
      <formula>NOT(ISERROR(SEARCH(("No"),(O670))))</formula>
    </cfRule>
  </conditionalFormatting>
  <conditionalFormatting sqref="O670 P659:Q661 P663:Q663 P666:Q669 P674:Q674 P676:Q677 P679:Q679 P681:Q681 P684:Q685 P688:Q688 P690:Q690 P692:Q692 U692:V692">
    <cfRule type="containsText" dxfId="2" priority="12750" operator="containsText" text="Yes">
      <formula>NOT(ISERROR(SEARCH(("Yes"),(O670))))</formula>
    </cfRule>
  </conditionalFormatting>
  <conditionalFormatting sqref="O670 P659:Q661 P663:Q663 P666:Q669 P674:Q674 P676:Q677 P679:Q679 P681:Q681 P684:Q685 P688:Q688 P690:Q690 P692:Q692 U692:V692">
    <cfRule type="containsText" dxfId="9" priority="12751" operator="containsText" text="No">
      <formula>NOT(ISERROR(SEARCH(("No"),(O670))))</formula>
    </cfRule>
  </conditionalFormatting>
  <conditionalFormatting sqref="O670 P659:Q661 P663:Q663 P666:Q669 P674:Q674 P676:Q677 P679:Q679 P681:Q681 P684:Q685 P688:Q688 P690:Q690 P692:Q692 U692:V692">
    <cfRule type="containsText" dxfId="2" priority="12752" operator="containsText" text="Yes">
      <formula>NOT(ISERROR(SEARCH(("Yes"),(O670))))</formula>
    </cfRule>
  </conditionalFormatting>
  <conditionalFormatting sqref="O670 P659:Q661 P663:Q663 P666:Q669 P674:Q674 P676:Q677 P679:Q679 P681:Q681 P684:Q685 P688:Q688 P690:Q690 P692:Q692 U692:V692">
    <cfRule type="containsText" dxfId="9" priority="12753" operator="containsText" text="No">
      <formula>NOT(ISERROR(SEARCH(("No"),(O670))))</formula>
    </cfRule>
  </conditionalFormatting>
  <conditionalFormatting sqref="O670 P659:Q661 P663:Q663 P666:Q669 P674:Q674 P676:Q677 P679:Q679 P681:Q681 P684:Q685 P688:Q688 P690:Q690 P692:Q692 U692:V692">
    <cfRule type="containsText" dxfId="2" priority="12754" operator="containsText" text="Yes">
      <formula>NOT(ISERROR(SEARCH(("Yes"),(O670))))</formula>
    </cfRule>
  </conditionalFormatting>
  <conditionalFormatting sqref="O670 P659:Q661 P663:Q663 P666:Q669 P674:Q674 P676:Q677 P679:Q679 P681:Q681 P684:Q685 P688:Q688 P690:Q690 P692:Q692 U692:V692">
    <cfRule type="containsText" dxfId="9" priority="12755" operator="containsText" text="No">
      <formula>NOT(ISERROR(SEARCH(("No"),(O670))))</formula>
    </cfRule>
  </conditionalFormatting>
  <conditionalFormatting sqref="O670 P659:Q661 P663:Q663 P666:Q669 P674:Q674 P676:Q677 P679:Q679 P681:Q681 P684:Q685 P688:Q688 P690:Q690 P692:Q692 U692:V692">
    <cfRule type="containsText" dxfId="2" priority="12756" operator="containsText" text="Yes">
      <formula>NOT(ISERROR(SEARCH(("Yes"),(O670))))</formula>
    </cfRule>
  </conditionalFormatting>
  <conditionalFormatting sqref="O670 P659:Q661 P663:Q663 P666:Q669 P674:Q674 P676:Q677 P679:Q679 P681:Q681 P684:Q685 P688:Q688 P690:Q690 P692:Q692 U692:V692">
    <cfRule type="containsText" dxfId="9" priority="12757" operator="containsText" text="No">
      <formula>NOT(ISERROR(SEARCH(("No"),(O670))))</formula>
    </cfRule>
  </conditionalFormatting>
  <conditionalFormatting sqref="O670 P659:Q661 P663:Q663 P666:Q669 P674:Q674 P676:Q677 P679:Q679 P681:Q681 P684:Q685 P688:Q688 P690:Q690 P692:Q692 U692:V692">
    <cfRule type="containsText" dxfId="2" priority="12758" operator="containsText" text="Yes">
      <formula>NOT(ISERROR(SEARCH(("Yes"),(O670))))</formula>
    </cfRule>
  </conditionalFormatting>
  <conditionalFormatting sqref="O670 P659:Q661 P663:Q663 P666:Q669 P674:Q674 P676:Q677 P679:Q679 P681:Q681 P684:Q685 P688:Q688 P690:Q690 P692:Q692 U692:V692">
    <cfRule type="containsText" dxfId="9" priority="12759" operator="containsText" text="No">
      <formula>NOT(ISERROR(SEARCH(("No"),(O670))))</formula>
    </cfRule>
  </conditionalFormatting>
  <conditionalFormatting sqref="O670 P659:Q661 P663:Q663 P666:Q669 P674:Q674 P676:Q677 P679:Q679 P681:Q681 P684:Q685 P688:Q688 P690:Q690 P692:Q692 U692:V692">
    <cfRule type="containsText" dxfId="2" priority="12760" operator="containsText" text="Yes">
      <formula>NOT(ISERROR(SEARCH(("Yes"),(O670))))</formula>
    </cfRule>
  </conditionalFormatting>
  <conditionalFormatting sqref="O670 P659:Q661 P663:Q663 P666:Q669 P674:Q674 P676:Q677 P679:Q679 P681:Q681 P684:Q685 P688:Q688 P690:Q690 P692:Q692 U692:V692">
    <cfRule type="containsText" dxfId="9" priority="12761" operator="containsText" text="No">
      <formula>NOT(ISERROR(SEARCH(("No"),(O670))))</formula>
    </cfRule>
  </conditionalFormatting>
  <conditionalFormatting sqref="O670 P659:Q661 P663:Q663 P666:Q669 P674:Q674 P676:Q677 P679:Q679 P681:Q681 P684:Q685 P688:Q688 P690:Q690 P692:Q692 U692:V692">
    <cfRule type="containsText" dxfId="2" priority="12762" operator="containsText" text="Yes">
      <formula>NOT(ISERROR(SEARCH(("Yes"),(O670))))</formula>
    </cfRule>
  </conditionalFormatting>
  <conditionalFormatting sqref="O670 P659:Q661 P663:Q663 P666:Q669 P674:Q674 P676:Q677 P679:Q679 P681:Q681 P684:Q685 P688:Q688 P690:Q690 P692:Q692 U692:V692">
    <cfRule type="containsText" dxfId="9" priority="12763" operator="containsText" text="No">
      <formula>NOT(ISERROR(SEARCH(("No"),(O670))))</formula>
    </cfRule>
  </conditionalFormatting>
  <conditionalFormatting sqref="O670 P659:Q661 P663:Q663 P666:Q669 P674:Q674 P676:Q677 P679:Q679 P681:Q681 P684:Q685 P688:Q688 P690:Q690 P692:Q692 U692:V692">
    <cfRule type="containsText" dxfId="2" priority="12764" operator="containsText" text="Yes">
      <formula>NOT(ISERROR(SEARCH(("Yes"),(O670))))</formula>
    </cfRule>
  </conditionalFormatting>
  <conditionalFormatting sqref="O670 P659:Q661 P663:Q663 P666:Q669 P674:Q674 P676:Q677 P679:Q679 P681:Q681 P684:Q685 P688:Q688 P690:Q690 P692:Q692 U692:V692">
    <cfRule type="containsText" dxfId="9" priority="12765" operator="containsText" text="No">
      <formula>NOT(ISERROR(SEARCH(("No"),(O670))))</formula>
    </cfRule>
  </conditionalFormatting>
  <conditionalFormatting sqref="O670 P659:Q661 P663:Q663 P666:Q669 P674:Q674 P676:Q677 P679:Q679 P681:Q681 P684:Q685 P688:Q688 P690:Q690 P692:Q692 U692:V692">
    <cfRule type="containsText" dxfId="2" priority="12766" operator="containsText" text="Yes">
      <formula>NOT(ISERROR(SEARCH(("Yes"),(O670))))</formula>
    </cfRule>
  </conditionalFormatting>
  <conditionalFormatting sqref="O670 P659:Q661 P663:Q663 P666:Q669 P674:Q674 P676:Q677 P679:Q679 P681:Q681 P684:Q685 P688:Q688 P690:Q690 P692:Q692 U692:V692">
    <cfRule type="containsText" dxfId="9" priority="12767" operator="containsText" text="No">
      <formula>NOT(ISERROR(SEARCH(("No"),(O670))))</formula>
    </cfRule>
  </conditionalFormatting>
  <conditionalFormatting sqref="O670 P659:Q661 P663:Q663 P666:Q669 P674:Q674 P676:Q677 P679:Q679 P681:Q681 P684:Q685 P688:Q688 P690:Q690 P692:Q692 U692:V692">
    <cfRule type="containsText" dxfId="2" priority="12768" operator="containsText" text="Yes">
      <formula>NOT(ISERROR(SEARCH(("Yes"),(O670))))</formula>
    </cfRule>
  </conditionalFormatting>
  <conditionalFormatting sqref="O670 P659:Q661 P663:Q663 P666:Q669 P674:Q674 P676:Q677 P679:Q679 P681:Q681 P684:Q685 P688:Q688 P690:Q690 P692:Q692 U692:V692">
    <cfRule type="containsText" dxfId="9" priority="12769" operator="containsText" text="No">
      <formula>NOT(ISERROR(SEARCH(("No"),(O670))))</formula>
    </cfRule>
  </conditionalFormatting>
  <conditionalFormatting sqref="O670 P659:Q661 P663:Q663 P666:Q669 P674:Q674 P676:Q677 P679:Q679 P681:Q681 P684:Q685 P688:Q688 P690:Q690 P692:Q692 U692:V692">
    <cfRule type="containsText" dxfId="2" priority="12770" operator="containsText" text="Yes">
      <formula>NOT(ISERROR(SEARCH(("Yes"),(O670))))</formula>
    </cfRule>
  </conditionalFormatting>
  <conditionalFormatting sqref="O670 P659:Q661 P663:Q663 P666:Q669 P674:Q674 P676:Q677 P679:Q679 P681:Q681 P684:Q685 P688:Q688 P690:Q690 P692:Q692 U692:V692">
    <cfRule type="containsText" dxfId="9" priority="12771" operator="containsText" text="No">
      <formula>NOT(ISERROR(SEARCH(("No"),(O670))))</formula>
    </cfRule>
  </conditionalFormatting>
  <conditionalFormatting sqref="O670 P659:Q661 P663:Q663 P666:Q669 P674:Q674 P676:Q677 P679:Q679 P681:Q681 P684:Q685 P688:Q688 P690:Q690 P692:Q692 U692:V692">
    <cfRule type="containsText" dxfId="2" priority="12772" operator="containsText" text="Yes">
      <formula>NOT(ISERROR(SEARCH(("Yes"),(O670))))</formula>
    </cfRule>
  </conditionalFormatting>
  <conditionalFormatting sqref="O670 P659:Q661 P663:Q663 P666:Q669 P674:Q674 P676:Q677 P679:Q679 P681:Q681 P684:Q685 P688:Q688 P690:Q690 P692:Q692 U692:V692">
    <cfRule type="containsText" dxfId="9" priority="12773" operator="containsText" text="No">
      <formula>NOT(ISERROR(SEARCH(("No"),(O670))))</formula>
    </cfRule>
  </conditionalFormatting>
  <conditionalFormatting sqref="O670 P659:Q661 P663:Q663 P666:Q669 P674:Q674 P676:Q677 P679:Q679 P681:Q681 P684:Q685 P688:Q688 P690:Q690 P692:Q692 U692:V692">
    <cfRule type="containsText" dxfId="2" priority="12774" operator="containsText" text="Yes">
      <formula>NOT(ISERROR(SEARCH(("Yes"),(O670))))</formula>
    </cfRule>
  </conditionalFormatting>
  <conditionalFormatting sqref="O670 P659:Q661 P663:Q663 P666:Q669 P674:Q674 P676:Q677 P679:Q679 P681:Q681 P684:Q685 P688:Q688 P690:Q690 P692:Q692 U692:V692">
    <cfRule type="containsText" dxfId="9" priority="12775" operator="containsText" text="No">
      <formula>NOT(ISERROR(SEARCH(("No"),(O670))))</formula>
    </cfRule>
  </conditionalFormatting>
  <conditionalFormatting sqref="O670 P659:Q661 P663:Q663 P666:Q669 P674:Q674 P676:Q677 P679:Q679 P681:Q681 P684:Q685 P688:Q688 P690:Q690 P692:Q692 U692:V692">
    <cfRule type="containsText" dxfId="2" priority="12776" operator="containsText" text="Yes">
      <formula>NOT(ISERROR(SEARCH(("Yes"),(O670))))</formula>
    </cfRule>
  </conditionalFormatting>
  <conditionalFormatting sqref="O670 P659:Q661 P663:Q663 P666:Q669 P674:Q674 P676:Q677 P679:Q679 P681:Q681 P684:Q685 P688:Q688 P690:Q690 P692:Q692 U692:V692">
    <cfRule type="containsText" dxfId="9" priority="12777" operator="containsText" text="No">
      <formula>NOT(ISERROR(SEARCH(("No"),(O670))))</formula>
    </cfRule>
  </conditionalFormatting>
  <conditionalFormatting sqref="O670 P659:Q661 P663:Q663 P666:Q669 P674:Q674 P676:Q677 P679:Q679 P681:Q681 P684:Q685 P688:Q688 P690:Q690 P692:Q692 U692:V692">
    <cfRule type="containsText" dxfId="2" priority="12778" operator="containsText" text="Yes">
      <formula>NOT(ISERROR(SEARCH(("Yes"),(O670))))</formula>
    </cfRule>
  </conditionalFormatting>
  <conditionalFormatting sqref="O670 P659:Q661 P663:Q663 P666:Q669 P674:Q674 P676:Q677 P679:Q679 P681:Q681 P684:Q685 P688:Q688 P690:Q690 P692:Q692 U692:V692">
    <cfRule type="containsText" dxfId="9" priority="12779" operator="containsText" text="No">
      <formula>NOT(ISERROR(SEARCH(("No"),(O670))))</formula>
    </cfRule>
  </conditionalFormatting>
  <conditionalFormatting sqref="O670 P659:Q661 P663:Q663 P666:Q669 P674:Q674 P676:Q677 P679:Q679 P681:Q681 P684:Q685 P688:Q688 P690:Q690 P692:Q692 U692:V692">
    <cfRule type="containsText" dxfId="2" priority="12780" operator="containsText" text="Yes">
      <formula>NOT(ISERROR(SEARCH(("Yes"),(O670))))</formula>
    </cfRule>
  </conditionalFormatting>
  <conditionalFormatting sqref="O670 P659:Q661 P663:Q663 P666:Q669 P674:Q674 P676:Q677 P679:Q679 P681:Q681 P684:Q685 P688:Q688 P690:Q690 P692:Q692 U692:V692">
    <cfRule type="containsText" dxfId="9" priority="12781" operator="containsText" text="No">
      <formula>NOT(ISERROR(SEARCH(("No"),(O670))))</formula>
    </cfRule>
  </conditionalFormatting>
  <conditionalFormatting sqref="O670 P659:Q661 P663:Q663 P666:Q669 P674:Q674 P676:Q677 P679:Q679 P681:Q681 P684:Q685 P688:Q688 P690:Q690 P692:Q692 U692:V692">
    <cfRule type="containsText" dxfId="2" priority="12782" operator="containsText" text="Yes">
      <formula>NOT(ISERROR(SEARCH(("Yes"),(O670))))</formula>
    </cfRule>
  </conditionalFormatting>
  <conditionalFormatting sqref="O670 P659:Q661 P663:Q663 P666:Q669 P674:Q674 P676:Q677 P679:Q679 P681:Q681 P684:Q685 P688:Q688 P690:Q690 P692:Q692 U692:V692">
    <cfRule type="containsText" dxfId="9" priority="12783" operator="containsText" text="No">
      <formula>NOT(ISERROR(SEARCH(("No"),(O670))))</formula>
    </cfRule>
  </conditionalFormatting>
  <conditionalFormatting sqref="O670 P659:Q661 P663:Q663 P666:Q669 P674:Q674 P676:Q677 P679:Q679 P681:Q681 P684:Q685 P688:Q688 P690:Q690 P692:Q692 U692:V692">
    <cfRule type="containsText" dxfId="2" priority="12784" operator="containsText" text="Yes">
      <formula>NOT(ISERROR(SEARCH(("Yes"),(O670))))</formula>
    </cfRule>
  </conditionalFormatting>
  <conditionalFormatting sqref="O670 P659:Q661 P663:Q663 P666:Q669 P674:Q674 P676:Q677 P679:Q679 P681:Q681 P684:Q685 P688:Q688 P690:Q690 P692:Q692 U692:V692">
    <cfRule type="containsText" dxfId="9" priority="12785" operator="containsText" text="No">
      <formula>NOT(ISERROR(SEARCH(("No"),(O670))))</formula>
    </cfRule>
  </conditionalFormatting>
  <conditionalFormatting sqref="O670 P659:Q661 P663:Q663 P666:Q669 P674:Q674 P676:Q677 P679:Q679 P681:Q681 P684:Q685 P688:Q688 P690:Q690 P692:Q692 U692:V692">
    <cfRule type="containsText" dxfId="2" priority="12786" operator="containsText" text="Yes">
      <formula>NOT(ISERROR(SEARCH(("Yes"),(O670))))</formula>
    </cfRule>
  </conditionalFormatting>
  <conditionalFormatting sqref="O670 P659:Q661 P663:Q663 P666:Q669 P674:Q674 P676:Q677 P679:Q679 P681:Q681 P684:Q685 P688:Q688 P690:Q690 P692:Q692 U692:V692">
    <cfRule type="containsText" dxfId="9" priority="12787" operator="containsText" text="No">
      <formula>NOT(ISERROR(SEARCH(("No"),(O670))))</formula>
    </cfRule>
  </conditionalFormatting>
  <conditionalFormatting sqref="O670 P659:Q661 P663:Q663 P666:Q669 P674:Q674 P676:Q677 P679:Q679 P681:Q681 P684:Q685 P688:Q688 P690:Q690 P692:Q692 U692:V692">
    <cfRule type="containsText" dxfId="2" priority="12788" operator="containsText" text="Yes">
      <formula>NOT(ISERROR(SEARCH(("Yes"),(O670))))</formula>
    </cfRule>
  </conditionalFormatting>
  <conditionalFormatting sqref="O670 P659:Q661 P663:Q663 P666:Q669 P674:Q674 P676:Q677 P679:Q679 P681:Q681 P684:Q685 P688:Q688 P690:Q690 P692:Q692 U692:V692">
    <cfRule type="containsText" dxfId="9" priority="12789" operator="containsText" text="No">
      <formula>NOT(ISERROR(SEARCH(("No"),(O670))))</formula>
    </cfRule>
  </conditionalFormatting>
  <conditionalFormatting sqref="O670 P659:Q661 P663:Q663 P666:Q669 P674:Q674 P676:Q677 P679:Q679 P681:Q681 P684:Q685 P688:Q688 P690:Q690 P692:Q692 U692:V692">
    <cfRule type="containsText" dxfId="2" priority="12790" operator="containsText" text="Yes">
      <formula>NOT(ISERROR(SEARCH(("Yes"),(O670))))</formula>
    </cfRule>
  </conditionalFormatting>
  <conditionalFormatting sqref="O670 P659:Q661 P663:Q663 P666:Q669 P674:Q674 P676:Q677 P679:Q679 P681:Q681 P684:Q685 P688:Q688 P690:Q690 P692:Q692 U692:V692">
    <cfRule type="containsText" dxfId="9" priority="12791" operator="containsText" text="No">
      <formula>NOT(ISERROR(SEARCH(("No"),(O670))))</formula>
    </cfRule>
  </conditionalFormatting>
  <conditionalFormatting sqref="O670 P659:Q661 P663:Q663 P666:Q669 P674:Q674 P676:Q677 P679:Q679 P681:Q681 P684:Q685 P688:Q688 P690:Q690 P692:Q692 U692:V692">
    <cfRule type="containsText" dxfId="2" priority="12792" operator="containsText" text="Yes">
      <formula>NOT(ISERROR(SEARCH(("Yes"),(O670))))</formula>
    </cfRule>
  </conditionalFormatting>
  <conditionalFormatting sqref="O670 P659:Q661 P663:Q663 P666:Q669 P674:Q674 P676:Q677 P679:Q679 P681:Q681 P684:Q685 P688:Q688 P690:Q690 P692:Q692 U692:V692">
    <cfRule type="containsText" dxfId="9" priority="12793" operator="containsText" text="No">
      <formula>NOT(ISERROR(SEARCH(("No"),(O670))))</formula>
    </cfRule>
  </conditionalFormatting>
  <conditionalFormatting sqref="O670 P659:Q661 P663:Q663 P666:Q669 P674:Q674 P676:Q677 P679:Q679 P681:Q681 P684:Q685 P688:Q688 P690:Q690 P692:Q692 U692:V692">
    <cfRule type="containsText" dxfId="2" priority="12794" operator="containsText" text="Yes">
      <formula>NOT(ISERROR(SEARCH(("Yes"),(O670))))</formula>
    </cfRule>
  </conditionalFormatting>
  <conditionalFormatting sqref="O670 P659:Q661 P663:Q663 P666:Q669 P674:Q674 P676:Q677 P679:Q679 P681:Q681 P684:Q685 P688:Q688 P690:Q690 P692:Q692 U692:V692">
    <cfRule type="containsText" dxfId="9" priority="12795" operator="containsText" text="No">
      <formula>NOT(ISERROR(SEARCH(("No"),(O670))))</formula>
    </cfRule>
  </conditionalFormatting>
  <conditionalFormatting sqref="O670 P659:Q661 P663:Q663 P666:Q669 P674:Q674 P676:Q677 P679:Q679 P681:Q681 P684:Q685 P688:Q688 P690:Q690 P692:Q692 U692:V692">
    <cfRule type="containsText" dxfId="2" priority="12796" operator="containsText" text="Yes">
      <formula>NOT(ISERROR(SEARCH(("Yes"),(O670))))</formula>
    </cfRule>
  </conditionalFormatting>
  <conditionalFormatting sqref="O670 P659:Q661 P663:Q663 P666:Q669 P674:Q674 P676:Q677 P679:Q679 P681:Q681 P684:Q685 P688:Q688 P690:Q690 P692:Q692 U692:V692">
    <cfRule type="containsText" dxfId="9" priority="12797" operator="containsText" text="No">
      <formula>NOT(ISERROR(SEARCH(("No"),(O670))))</formula>
    </cfRule>
  </conditionalFormatting>
  <conditionalFormatting sqref="O670 P659:Q661 P663:Q663 P666:Q669 P674:Q674 P676:Q677 P679:Q679 P681:Q681 P684:Q685 P688:Q688 P690:Q690 P692:Q692 U692:V692">
    <cfRule type="containsText" dxfId="2" priority="12798" operator="containsText" text="Yes">
      <formula>NOT(ISERROR(SEARCH(("Yes"),(O670))))</formula>
    </cfRule>
  </conditionalFormatting>
  <conditionalFormatting sqref="O670 P659:Q661 P663:Q663 P666:Q669 P674:Q674 P676:Q677 P679:Q679 P681:Q681 P684:Q685 P688:Q688 P690:Q690 P692:Q692 U692:V692">
    <cfRule type="containsText" dxfId="9" priority="12799" operator="containsText" text="No">
      <formula>NOT(ISERROR(SEARCH(("No"),(O670))))</formula>
    </cfRule>
  </conditionalFormatting>
  <conditionalFormatting sqref="O670 P659:Q661 P663:Q663 P666:Q669 P674:Q674 P676:Q677 P679:Q679 P681:Q681 P684:Q685 P688:Q688 P690:Q690 P692:Q692 U692:V692">
    <cfRule type="containsText" dxfId="2" priority="12800" operator="containsText" text="Yes">
      <formula>NOT(ISERROR(SEARCH(("Yes"),(O670))))</formula>
    </cfRule>
  </conditionalFormatting>
  <conditionalFormatting sqref="O670 P659:Q661 P663:Q663 P666:Q669 P674:Q674 P676:Q677 P679:Q679 P681:Q681 P684:Q685 P688:Q688 P690:Q690 P692:Q692 U692:V692">
    <cfRule type="containsText" dxfId="9" priority="12801" operator="containsText" text="No">
      <formula>NOT(ISERROR(SEARCH(("No"),(O670))))</formula>
    </cfRule>
  </conditionalFormatting>
  <conditionalFormatting sqref="O670 P659:Q661 P663:Q663 P666:Q669 P674:Q674 P676:Q677 P679:Q679 P681:Q681 P684:Q685 P688:Q688 P690:Q690 P692:Q692 U692:V692">
    <cfRule type="containsText" dxfId="2" priority="12802" operator="containsText" text="Yes">
      <formula>NOT(ISERROR(SEARCH(("Yes"),(O670))))</formula>
    </cfRule>
  </conditionalFormatting>
  <conditionalFormatting sqref="O670 P659:Q661 P663:Q663 P666:Q669 P674:Q674 P676:Q677 P679:Q679 P681:Q681 P684:Q685 P688:Q688 P690:Q690 P692:Q692 U692:V692">
    <cfRule type="containsText" dxfId="9" priority="12803" operator="containsText" text="No">
      <formula>NOT(ISERROR(SEARCH(("No"),(O670))))</formula>
    </cfRule>
  </conditionalFormatting>
  <conditionalFormatting sqref="O670 P659:Q661 P663:Q663 P666:Q669 P674:Q674 P676:Q677 P679:Q679 P681:Q681 P684:Q685 P688:Q688 P690:Q690 P692:Q692 U692:V692">
    <cfRule type="containsText" dxfId="2" priority="12804" operator="containsText" text="Yes">
      <formula>NOT(ISERROR(SEARCH(("Yes"),(O670))))</formula>
    </cfRule>
  </conditionalFormatting>
  <conditionalFormatting sqref="O670 P659:Q661 P663:Q663 P666:Q669 P674:Q674 P676:Q677 P679:Q679 P681:Q681 P684:Q685 P688:Q688 P690:Q690 P692:Q692 U692:V692">
    <cfRule type="containsText" dxfId="9" priority="12805" operator="containsText" text="No">
      <formula>NOT(ISERROR(SEARCH(("No"),(O670))))</formula>
    </cfRule>
  </conditionalFormatting>
  <conditionalFormatting sqref="O670 P659:Q661 P663:Q663 P666:Q669 P674:Q674 P676:Q677 P679:Q679 P681:Q681 P684:Q685 P688:Q688 P690:Q690 P692:Q692 U692:V692">
    <cfRule type="containsText" dxfId="2" priority="12806" operator="containsText" text="Yes">
      <formula>NOT(ISERROR(SEARCH(("Yes"),(O670))))</formula>
    </cfRule>
  </conditionalFormatting>
  <conditionalFormatting sqref="O670 P659:Q661 P663:Q663 P666:Q669 P674:Q674 P676:Q677 P679:Q679 P681:Q681 P684:Q685 P688:Q688 P690:Q690 P692:Q692 U692:V692">
    <cfRule type="containsText" dxfId="9" priority="12807" operator="containsText" text="No">
      <formula>NOT(ISERROR(SEARCH(("No"),(O670))))</formula>
    </cfRule>
  </conditionalFormatting>
  <conditionalFormatting sqref="O670 P659:Q661 P663:Q663 P666:Q669 P674:Q674 P676:Q677 P679:Q679 P681:Q681 P684:Q685 P688:Q688 P690:Q690 P692:Q692 U692:V692">
    <cfRule type="containsText" dxfId="2" priority="12808" operator="containsText" text="Yes">
      <formula>NOT(ISERROR(SEARCH(("Yes"),(O670))))</formula>
    </cfRule>
  </conditionalFormatting>
  <conditionalFormatting sqref="O670 P659:Q661 P663:Q663 P666:Q669 P674:Q674 P676:Q677 P679:Q679 P681:Q681 P684:Q685 P688:Q688 P690:Q690 P692:Q692 U692:V692">
    <cfRule type="containsText" dxfId="9" priority="12809" operator="containsText" text="No">
      <formula>NOT(ISERROR(SEARCH(("No"),(O670))))</formula>
    </cfRule>
  </conditionalFormatting>
  <conditionalFormatting sqref="O670 P659:Q661 P663:Q663 P666:Q669 P674:Q674 P676:Q677 P679:Q679 P681:Q681 P684:Q685 P688:Q688 P690:Q690 P692:Q692 U692:V692">
    <cfRule type="containsText" dxfId="2" priority="12810" operator="containsText" text="Yes">
      <formula>NOT(ISERROR(SEARCH(("Yes"),(O670))))</formula>
    </cfRule>
  </conditionalFormatting>
  <conditionalFormatting sqref="O670 P659:Q661 P663:Q663 P666:Q669 P674:Q674 P676:Q677 P679:Q679 P681:Q681 P684:Q685 P688:Q688 P690:Q690 P692:Q692 U692:V692">
    <cfRule type="containsText" dxfId="9" priority="12811" operator="containsText" text="No">
      <formula>NOT(ISERROR(SEARCH(("No"),(O670))))</formula>
    </cfRule>
  </conditionalFormatting>
  <conditionalFormatting sqref="O670 P659:Q661 P663:Q663 P666:Q669 P674:Q674 P676:Q677 P679:Q679 P681:Q681 P684:Q685 P688:Q688 P690:Q690 P692:Q692 U692:V692">
    <cfRule type="containsText" dxfId="2" priority="12812" operator="containsText" text="Yes">
      <formula>NOT(ISERROR(SEARCH(("Yes"),(O670))))</formula>
    </cfRule>
  </conditionalFormatting>
  <conditionalFormatting sqref="O670 P659:Q661 P663:Q663 P666:Q669 P674:Q674 P676:Q677 P679:Q679 P681:Q681 P684:Q685 P688:Q688 P690:Q690 P692:Q692 U692:V692">
    <cfRule type="containsText" dxfId="9" priority="12813" operator="containsText" text="No">
      <formula>NOT(ISERROR(SEARCH(("No"),(O670))))</formula>
    </cfRule>
  </conditionalFormatting>
  <conditionalFormatting sqref="O670 P659:Q661 P663:Q663 P666:Q669 P674:Q674 P676:Q677 P679:Q679 P681:Q681 P684:Q685 P688:Q688 P690:Q690 P692:Q692 U692:V692">
    <cfRule type="containsText" dxfId="2" priority="12814" operator="containsText" text="Yes">
      <formula>NOT(ISERROR(SEARCH(("Yes"),(O670))))</formula>
    </cfRule>
  </conditionalFormatting>
  <conditionalFormatting sqref="O670 P659:Q661 P663:Q663 P666:Q669 P674:Q674 P676:Q677 P679:Q679 P681:Q681 P684:Q685 P688:Q688 P690:Q690 P692:Q692 U692:V692">
    <cfRule type="containsText" dxfId="9" priority="12815" operator="containsText" text="No">
      <formula>NOT(ISERROR(SEARCH(("No"),(O670))))</formula>
    </cfRule>
  </conditionalFormatting>
  <conditionalFormatting sqref="O670 P659:Q661 P663:Q663 P666:Q669 P674:Q674 P676:Q677 P679:Q679 P681:Q681 P684:Q685 P688:Q688 P690:Q690 P692:Q692 U692:V692">
    <cfRule type="containsText" dxfId="2" priority="12816" operator="containsText" text="Yes">
      <formula>NOT(ISERROR(SEARCH(("Yes"),(O670))))</formula>
    </cfRule>
  </conditionalFormatting>
  <conditionalFormatting sqref="O670 P659:Q661 P663:Q663 P666:Q669 P674:Q674 P676:Q677 P679:Q679 P681:Q681 P684:Q685 P688:Q688 P690:Q690 P692:Q692 U692:V692">
    <cfRule type="containsText" dxfId="9" priority="12817" operator="containsText" text="No">
      <formula>NOT(ISERROR(SEARCH(("No"),(O670))))</formula>
    </cfRule>
  </conditionalFormatting>
  <conditionalFormatting sqref="O670 P659:Q661 P663:Q663 P666:Q669 P674:Q674 P676:Q677 P679:Q679 P681:Q681 P684:Q685 P688:Q688 P690:Q690 P692:Q692 U692:V692">
    <cfRule type="containsText" dxfId="2" priority="12818" operator="containsText" text="Yes">
      <formula>NOT(ISERROR(SEARCH(("Yes"),(O670))))</formula>
    </cfRule>
  </conditionalFormatting>
  <conditionalFormatting sqref="O670 P659:Q661 P663:Q663 P666:Q669 P674:Q674 P676:Q677 P679:Q679 P681:Q681 P684:Q685 P688:Q688 P690:Q690 P692:Q692 U692:V692">
    <cfRule type="containsText" dxfId="9" priority="12819" operator="containsText" text="No">
      <formula>NOT(ISERROR(SEARCH(("No"),(O670))))</formula>
    </cfRule>
  </conditionalFormatting>
  <conditionalFormatting sqref="O670 P659:Q661 P663:Q663 P666:Q669 P674:Q674 P676:Q677 P679:Q679 P681:Q681 P684:Q685 P688:Q688 P690:Q690 P692:Q692 U692:V692">
    <cfRule type="containsText" dxfId="2" priority="12820" operator="containsText" text="Yes">
      <formula>NOT(ISERROR(SEARCH(("Yes"),(O670))))</formula>
    </cfRule>
  </conditionalFormatting>
  <conditionalFormatting sqref="O670 P659:Q661 P663:Q663 P666:Q669 P674:Q674 P676:Q677 P679:Q679 P681:Q681 P684:Q685 P688:Q688 P690:Q690 P692:Q692 U692:V692">
    <cfRule type="containsText" dxfId="9" priority="12821" operator="containsText" text="No">
      <formula>NOT(ISERROR(SEARCH(("No"),(O670))))</formula>
    </cfRule>
  </conditionalFormatting>
  <conditionalFormatting sqref="O670 P659:Q661 P663:Q663 P666:Q669 P674:Q674 P676:Q677 P679:Q679 P681:Q681 P684:Q685 P688:Q688 P690:Q690 P692:Q692 U692:V692">
    <cfRule type="containsText" dxfId="2" priority="12822" operator="containsText" text="Yes">
      <formula>NOT(ISERROR(SEARCH(("Yes"),(O670))))</formula>
    </cfRule>
  </conditionalFormatting>
  <conditionalFormatting sqref="O670 P659:Q661 P663:Q663 P666:Q669 P674:Q674 P676:Q677 P679:Q679 P681:Q681 P684:Q685 P688:Q688 P690:Q690 P692:Q692 U692:V692">
    <cfRule type="containsText" dxfId="9" priority="12823" operator="containsText" text="No">
      <formula>NOT(ISERROR(SEARCH(("No"),(O670))))</formula>
    </cfRule>
  </conditionalFormatting>
  <conditionalFormatting sqref="O670 P659:Q661 P663:Q663 P666:Q669 P674:Q674 P676:Q677 P679:Q679 P681:Q681 P684:Q685 P688:Q688 P690:Q690 P692:Q692 U692:V692">
    <cfRule type="containsText" dxfId="2" priority="12824" operator="containsText" text="Yes">
      <formula>NOT(ISERROR(SEARCH(("Yes"),(O670))))</formula>
    </cfRule>
  </conditionalFormatting>
  <conditionalFormatting sqref="O670 P659:Q661 P663:Q663 P666:Q669 P674:Q674 P676:Q677 P679:Q679 P681:Q681 P684:Q685 P688:Q688 P690:Q690 P692:Q692 U692:V692">
    <cfRule type="containsText" dxfId="9" priority="12825" operator="containsText" text="No">
      <formula>NOT(ISERROR(SEARCH(("No"),(O670))))</formula>
    </cfRule>
  </conditionalFormatting>
  <conditionalFormatting sqref="O670 P659:Q661 P663:Q663 P666:Q669 P674:Q674 P676:Q677 P679:Q679 P681:Q681 P684:Q685 P688:Q688 P690:Q690 P692:Q692 U692:V692">
    <cfRule type="containsText" dxfId="2" priority="12826" operator="containsText" text="Yes">
      <formula>NOT(ISERROR(SEARCH(("Yes"),(O670))))</formula>
    </cfRule>
  </conditionalFormatting>
  <conditionalFormatting sqref="O670 P659:Q661 P663:Q663 P666:Q669 P674:Q674 P676:Q677 P679:Q679 P681:Q681 P684:Q685 P688:Q688 P690:Q690 P692:Q692 U692:V692">
    <cfRule type="containsText" dxfId="9" priority="12827" operator="containsText" text="No">
      <formula>NOT(ISERROR(SEARCH(("No"),(O670))))</formula>
    </cfRule>
  </conditionalFormatting>
  <conditionalFormatting sqref="O670 P659:Q661 P663:Q663 P666:Q669 P674:Q674 P676:Q677 P679:Q679 P681:Q681 P684:Q685 P688:Q688 P690:Q690 P692:Q692 U692:V692">
    <cfRule type="containsText" dxfId="2" priority="12828" operator="containsText" text="Yes">
      <formula>NOT(ISERROR(SEARCH(("Yes"),(O670))))</formula>
    </cfRule>
  </conditionalFormatting>
  <conditionalFormatting sqref="O670 P659:Q661 P663:Q663 P666:Q669 P674:Q674 P676:Q677 P679:Q679 P681:Q681 P684:Q685 P688:Q688 P690:Q690 P692:Q692 U692:V692">
    <cfRule type="containsText" dxfId="9" priority="12829" operator="containsText" text="No">
      <formula>NOT(ISERROR(SEARCH(("No"),(O670))))</formula>
    </cfRule>
  </conditionalFormatting>
  <conditionalFormatting sqref="O670 P659:Q661 P663:Q663 P666:Q669 P674:Q674 P676:Q677 P679:Q679 P681:Q681 P684:Q685 P688:Q688 P690:Q690 P692:Q692 U692:V692">
    <cfRule type="containsText" dxfId="2" priority="12830" operator="containsText" text="Yes">
      <formula>NOT(ISERROR(SEARCH(("Yes"),(O670))))</formula>
    </cfRule>
  </conditionalFormatting>
  <conditionalFormatting sqref="O670 P659:Q661 P663:Q663 P666:Q669 P674:Q674 P676:Q677 P679:Q679 P681:Q681 P684:Q685 P688:Q688 P690:Q690 P692:Q692 U692:V692">
    <cfRule type="containsText" dxfId="9" priority="12831" operator="containsText" text="No">
      <formula>NOT(ISERROR(SEARCH(("No"),(O670))))</formula>
    </cfRule>
  </conditionalFormatting>
  <conditionalFormatting sqref="O670 P659:Q661 P663:Q663 P666:Q669 P674:Q674 P676:Q677 P679:Q679 P681:Q681 P684:Q685 P688:Q688 P690:Q690 P692:Q692 U692:V692">
    <cfRule type="containsText" dxfId="2" priority="12832" operator="containsText" text="Yes">
      <formula>NOT(ISERROR(SEARCH(("Yes"),(O670))))</formula>
    </cfRule>
  </conditionalFormatting>
  <conditionalFormatting sqref="O670 P659:Q661 P663:Q663 P666:Q669 P674:Q674 P676:Q677 P679:Q679 P681:Q681 P684:Q685 P688:Q688 P690:Q690 P692:Q692 U692:V692">
    <cfRule type="containsText" dxfId="9" priority="12833" operator="containsText" text="No">
      <formula>NOT(ISERROR(SEARCH(("No"),(O670))))</formula>
    </cfRule>
  </conditionalFormatting>
  <conditionalFormatting sqref="O670 P659:Q661 P663:Q663 P666:Q669 P674:Q674 P676:Q677 P679:Q679 P681:Q681 P684:Q685 P688:Q688 P690:Q690 P692:Q692 U692:V692">
    <cfRule type="containsText" dxfId="2" priority="12834" operator="containsText" text="Yes">
      <formula>NOT(ISERROR(SEARCH(("Yes"),(O670))))</formula>
    </cfRule>
  </conditionalFormatting>
  <conditionalFormatting sqref="O670 P659:Q661 P663:Q663 P666:Q669 P674:Q674 P676:Q677 P679:Q679 P681:Q681 P684:Q685 P688:Q688 P690:Q690 P692:Q692 U692:V692">
    <cfRule type="containsText" dxfId="9" priority="12835" operator="containsText" text="No">
      <formula>NOT(ISERROR(SEARCH(("No"),(O670))))</formula>
    </cfRule>
  </conditionalFormatting>
  <conditionalFormatting sqref="O670 P659:Q661 P663:Q663 P666:Q669 P674:Q674 P676:Q677 P679:Q679 P681:Q681 P684:Q685 P688:Q688 P690:Q690 P692:Q692 U692:V692">
    <cfRule type="containsText" dxfId="2" priority="12836" operator="containsText" text="Yes">
      <formula>NOT(ISERROR(SEARCH(("Yes"),(O670))))</formula>
    </cfRule>
  </conditionalFormatting>
  <conditionalFormatting sqref="O670 P659:Q661 P663:Q663 P666:Q669 P674:Q674 P676:Q677 P679:Q679 P681:Q681 P684:Q685 P688:Q688 P690:Q690 P692:Q692 U692:V692">
    <cfRule type="containsText" dxfId="9" priority="12837" operator="containsText" text="No">
      <formula>NOT(ISERROR(SEARCH(("No"),(O670))))</formula>
    </cfRule>
  </conditionalFormatting>
  <conditionalFormatting sqref="O670 P659:Q661 P663:Q663 P666:Q669 P674:Q674 P676:Q677 P679:Q679 P681:Q681 P684:Q685 P688:Q688 P690:Q690 P692:Q692 U692:V692">
    <cfRule type="containsText" dxfId="2" priority="12838" operator="containsText" text="Yes">
      <formula>NOT(ISERROR(SEARCH(("Yes"),(O670))))</formula>
    </cfRule>
  </conditionalFormatting>
  <conditionalFormatting sqref="O670 P659:Q661 P663:Q663 P666:Q669 P674:Q674 P676:Q677 P679:Q679 P681:Q681 P684:Q685 P688:Q688 P690:Q690 P692:Q692 U692:V692">
    <cfRule type="containsText" dxfId="9" priority="12839" operator="containsText" text="No">
      <formula>NOT(ISERROR(SEARCH(("No"),(O670))))</formula>
    </cfRule>
  </conditionalFormatting>
  <conditionalFormatting sqref="O670 P659:Q661 P663:Q663 P666:Q669 P674:Q674 P676:Q677 P679:Q679 P681:Q681 P684:Q685 P688:Q688 P690:Q690 P692:Q692 U692:V692">
    <cfRule type="containsText" dxfId="2" priority="12840" operator="containsText" text="Yes">
      <formula>NOT(ISERROR(SEARCH(("Yes"),(O670))))</formula>
    </cfRule>
  </conditionalFormatting>
  <conditionalFormatting sqref="O670 P659:Q661 P663:Q663 P666:Q669 P674:Q674 P676:Q677 P679:Q679 P681:Q681 P684:Q685 P688:Q688 P690:Q690 P692:Q692 U692:V692">
    <cfRule type="containsText" dxfId="9" priority="12841" operator="containsText" text="No">
      <formula>NOT(ISERROR(SEARCH(("No"),(O670))))</formula>
    </cfRule>
  </conditionalFormatting>
  <conditionalFormatting sqref="O670 P659:Q661 P663:Q663 P666:Q669 P674:Q674 P676:Q677 P679:Q679 P681:Q681 P684:Q685 P688:Q688 P690:Q690 P692:Q692 U692:V692">
    <cfRule type="containsText" dxfId="2" priority="12842" operator="containsText" text="Yes">
      <formula>NOT(ISERROR(SEARCH(("Yes"),(O670))))</formula>
    </cfRule>
  </conditionalFormatting>
  <conditionalFormatting sqref="O670 P659:Q661 P663:Q663 P666:Q669 P674:Q674 P676:Q677 P679:Q679 P681:Q681 P684:Q685 P688:Q688 P690:Q690 P692:Q692 U692:V692">
    <cfRule type="containsText" dxfId="9" priority="12843" operator="containsText" text="No">
      <formula>NOT(ISERROR(SEARCH(("No"),(O670))))</formula>
    </cfRule>
  </conditionalFormatting>
  <conditionalFormatting sqref="O670 P659:Q661 P663:Q663 P666:Q669 P674:Q674 P676:Q677 P679:Q679 P681:Q681 P684:Q685 P688:Q688 P690:Q690 P692:Q692 U692:V692">
    <cfRule type="containsText" dxfId="2" priority="12844" operator="containsText" text="Yes">
      <formula>NOT(ISERROR(SEARCH(("Yes"),(O670))))</formula>
    </cfRule>
  </conditionalFormatting>
  <conditionalFormatting sqref="O670 P659:Q661 P663:Q663 P666:Q669 P674:Q674 P676:Q677 P679:Q679 P681:Q681 P684:Q685 P688:Q688 P690:Q690 P692:Q692 U692:V692">
    <cfRule type="containsText" dxfId="9" priority="12845" operator="containsText" text="No">
      <formula>NOT(ISERROR(SEARCH(("No"),(O670))))</formula>
    </cfRule>
  </conditionalFormatting>
  <conditionalFormatting sqref="O670 P659:Q661 P663:Q663 P666:Q669 P674:Q674 P676:Q677 P679:Q679 P681:Q681 P684:Q685 P688:Q688 P690:Q690 P692:Q692 U692:V692">
    <cfRule type="containsText" dxfId="2" priority="12846" operator="containsText" text="Yes">
      <formula>NOT(ISERROR(SEARCH(("Yes"),(O670))))</formula>
    </cfRule>
  </conditionalFormatting>
  <conditionalFormatting sqref="O670 P659:Q661 P663:Q663 P666:Q669 P674:Q674 P676:Q677 P679:Q679 P681:Q681 P684:Q685 P688:Q688 P690:Q690 P692:Q692 U692:V692">
    <cfRule type="containsText" dxfId="9" priority="12847" operator="containsText" text="No">
      <formula>NOT(ISERROR(SEARCH(("No"),(O670))))</formula>
    </cfRule>
  </conditionalFormatting>
  <conditionalFormatting sqref="O670 P659:Q661 P663:Q663 P666:Q669 P674:Q674 P676:Q677 P679:Q679 P681:Q681 P684:Q685 P688:Q688 P690:Q690 P692:Q692 U692:V692">
    <cfRule type="containsText" dxfId="2" priority="12848" operator="containsText" text="Yes">
      <formula>NOT(ISERROR(SEARCH(("Yes"),(O670))))</formula>
    </cfRule>
  </conditionalFormatting>
  <conditionalFormatting sqref="O670 P659:Q661 P663:Q663 P666:Q669 P674:Q674 P676:Q677 P679:Q679 P681:Q681 P684:Q685 P688:Q688 P690:Q690 P692:Q692 U692:V692">
    <cfRule type="containsText" dxfId="9" priority="12849" operator="containsText" text="No">
      <formula>NOT(ISERROR(SEARCH(("No"),(O670))))</formula>
    </cfRule>
  </conditionalFormatting>
  <conditionalFormatting sqref="O670 P659:Q661 P663:Q663 P666:Q669 P674:Q674 P676:Q677 P679:Q679 P681:Q681 P684:Q685 P688:Q688 P690:Q690 P692:Q692 U692:V692">
    <cfRule type="containsText" dxfId="2" priority="12850" operator="containsText" text="Yes">
      <formula>NOT(ISERROR(SEARCH(("Yes"),(O670))))</formula>
    </cfRule>
  </conditionalFormatting>
  <conditionalFormatting sqref="O670 P659:Q661 P663:Q663 P666:Q669 P674:Q674 P676:Q677 P679:Q679 P681:Q681 P684:Q685 P688:Q688 P690:Q690 P692:Q692 U692:V692">
    <cfRule type="containsText" dxfId="9" priority="12851" operator="containsText" text="No">
      <formula>NOT(ISERROR(SEARCH(("No"),(O670))))</formula>
    </cfRule>
  </conditionalFormatting>
  <conditionalFormatting sqref="O670 P659:Q661 P663:Q663 P666:Q669 P674:Q674 P676:Q677 P679:Q679 P681:Q681 P684:Q685 P688:Q688 P690:Q690 P692:Q692 U692:V692">
    <cfRule type="containsText" dxfId="2" priority="12852" operator="containsText" text="Yes">
      <formula>NOT(ISERROR(SEARCH(("Yes"),(O670))))</formula>
    </cfRule>
  </conditionalFormatting>
  <conditionalFormatting sqref="O670 P659:Q661 P663:Q663 P666:Q669 P674:Q674 P676:Q677 P679:Q679 P681:Q681 P684:Q685 P688:Q688 P690:Q690 P692:Q692 U692:V692">
    <cfRule type="containsText" dxfId="9" priority="12853" operator="containsText" text="No">
      <formula>NOT(ISERROR(SEARCH(("No"),(O670))))</formula>
    </cfRule>
  </conditionalFormatting>
  <conditionalFormatting sqref="O670 P659:Q661 P663:Q663 P666:Q669 P674:Q674 P676:Q677 P679:Q679 P681:Q681 P684:Q685 P688:Q688 P690:Q690 P692:Q692 U692:V692">
    <cfRule type="containsText" dxfId="2" priority="12854" operator="containsText" text="Yes">
      <formula>NOT(ISERROR(SEARCH(("Yes"),(O670))))</formula>
    </cfRule>
  </conditionalFormatting>
  <conditionalFormatting sqref="O670 P659:Q661 P663:Q663 P666:Q669 P674:Q674 P676:Q677 P679:Q679 P681:Q681 P684:Q685 P688:Q688 P690:Q690 P692:Q692 U692:V692">
    <cfRule type="containsText" dxfId="9" priority="12855" operator="containsText" text="No">
      <formula>NOT(ISERROR(SEARCH(("No"),(O670))))</formula>
    </cfRule>
  </conditionalFormatting>
  <conditionalFormatting sqref="O670 P659:Q661 P663:Q663 P666:Q669 P674:Q674 P676:Q677 P679:Q679 P681:Q681 P684:Q685 P688:Q688 P690:Q690 P692:Q692 U692:V692">
    <cfRule type="containsText" dxfId="2" priority="12856" operator="containsText" text="Yes">
      <formula>NOT(ISERROR(SEARCH(("Yes"),(O670))))</formula>
    </cfRule>
  </conditionalFormatting>
  <conditionalFormatting sqref="O670 P659:Q661 P663:Q663 P666:Q669 P674:Q674 P676:Q677 P679:Q679 P681:Q681 P684:Q685 P688:Q688 P690:Q690 P692:Q692 U692:V692">
    <cfRule type="containsText" dxfId="9" priority="12857" operator="containsText" text="No">
      <formula>NOT(ISERROR(SEARCH(("No"),(O670))))</formula>
    </cfRule>
  </conditionalFormatting>
  <conditionalFormatting sqref="O670 P659:Q661 P663:Q663 P666:Q669 P674:Q674 P676:Q677 P679:Q679 P681:Q681 P684:Q685 P688:Q688 P690:Q690 P692:Q692 U692:V692">
    <cfRule type="containsText" dxfId="2" priority="12858" operator="containsText" text="Yes">
      <formula>NOT(ISERROR(SEARCH(("Yes"),(O670))))</formula>
    </cfRule>
  </conditionalFormatting>
  <conditionalFormatting sqref="O670 P659:Q661 P663:Q663 P666:Q669 P674:Q674 P676:Q677 P679:Q679 P681:Q681 P684:Q685 P688:Q688 P690:Q690 P692:Q692 U692:V692">
    <cfRule type="containsText" dxfId="9" priority="12859" operator="containsText" text="No">
      <formula>NOT(ISERROR(SEARCH(("No"),(O670))))</formula>
    </cfRule>
  </conditionalFormatting>
  <conditionalFormatting sqref="O670 P659:Q661 P663:Q663 P666:Q669 P674:Q674 P676:Q677 P679:Q679 P681:Q681 P684:Q685 P688:Q688 P690:Q690 P692:Q692 U692:V692">
    <cfRule type="containsText" dxfId="2" priority="12860" operator="containsText" text="Yes">
      <formula>NOT(ISERROR(SEARCH(("Yes"),(O670))))</formula>
    </cfRule>
  </conditionalFormatting>
  <conditionalFormatting sqref="O670 P659:Q661 P663:Q663 P666:Q669 P674:Q674 P676:Q677 P679:Q679 P681:Q681 P684:Q685 P688:Q688 P690:Q690 P692:Q692 U692:V692">
    <cfRule type="containsText" dxfId="9" priority="12861" operator="containsText" text="No">
      <formula>NOT(ISERROR(SEARCH(("No"),(O670))))</formula>
    </cfRule>
  </conditionalFormatting>
  <conditionalFormatting sqref="O670 P659:Q661 P663:Q663 P666:Q669 P674:Q674 P676:Q677 P679:Q679 P681:Q681 P684:Q685 P688:Q688 P690:Q690 P692:Q692 U692:V692">
    <cfRule type="containsText" dxfId="2" priority="12862" operator="containsText" text="Yes">
      <formula>NOT(ISERROR(SEARCH(("Yes"),(O670))))</formula>
    </cfRule>
  </conditionalFormatting>
  <conditionalFormatting sqref="O670 P659:Q661 P663:Q663 P666:Q669 P674:Q674 P676:Q677 P679:Q679 P681:Q681 P684:Q685 P688:Q688 P690:Q690 P692:Q692 U692:V692">
    <cfRule type="containsText" dxfId="9" priority="12863" operator="containsText" text="No">
      <formula>NOT(ISERROR(SEARCH(("No"),(O670))))</formula>
    </cfRule>
  </conditionalFormatting>
  <conditionalFormatting sqref="O670 P659:Q661 P663:Q663 P666:Q669 P674:Q674 P676:Q677 P679:Q679 P681:Q681 P684:Q685 P688:Q688 P690:Q690 P692:Q692 U692:V692">
    <cfRule type="containsText" dxfId="9" priority="12864" operator="containsText" text="No">
      <formula>NOT(ISERROR(SEARCH(("No"),(O670))))</formula>
    </cfRule>
  </conditionalFormatting>
  <conditionalFormatting sqref="O670 P659:Q661 P663:Q663 P666:Q669 P674:Q674 P676:Q677 P679:Q679 P681:Q681 P684:Q685 P688:Q688 P690:Q690 P692:Q692 U692:V692">
    <cfRule type="containsText" dxfId="2" priority="12865" operator="containsText" text="Yes">
      <formula>NOT(ISERROR(SEARCH(("Yes"),(O670))))</formula>
    </cfRule>
  </conditionalFormatting>
  <conditionalFormatting sqref="O670 P659:Q661 P663:Q663 P666:Q669 P674:Q674 P676:Q677 P679:Q679 P681:Q681 P684:Q685 P688:Q688 P690:Q690 P692:Q692 U692:V692">
    <cfRule type="containsText" dxfId="2" priority="12866" operator="containsText" text="Yes">
      <formula>NOT(ISERROR(SEARCH(("Yes"),(O670))))</formula>
    </cfRule>
  </conditionalFormatting>
  <conditionalFormatting sqref="O670 P659:Q661 P663:Q663 P666:Q669 P674:Q674 P676:Q677 P679:Q679 P681:Q681 P684:Q685 P688:Q688 P690:Q690 P692:Q692 U692:V692">
    <cfRule type="containsText" dxfId="9" priority="12867" operator="containsText" text="No">
      <formula>NOT(ISERROR(SEARCH(("No"),(O670))))</formula>
    </cfRule>
  </conditionalFormatting>
  <conditionalFormatting sqref="O670 P659:Q661 P663:Q663 P666:Q669 P674:Q674 P676:Q677 P679:Q679 P681:Q681 P684:Q685 P688:Q688 P690:Q690 P692:Q692 U692:V692">
    <cfRule type="containsText" dxfId="2" priority="12868" operator="containsText" text="Yes">
      <formula>NOT(ISERROR(SEARCH(("Yes"),(O670))))</formula>
    </cfRule>
  </conditionalFormatting>
  <conditionalFormatting sqref="O670 P659:Q661 P663:Q663 P666:Q669 P674:Q674 P676:Q677 P679:Q679 P681:Q681 P684:Q685 P688:Q688 P690:Q690 P692:Q692 U692:V692">
    <cfRule type="containsText" dxfId="9" priority="12869" operator="containsText" text="No">
      <formula>NOT(ISERROR(SEARCH(("No"),(O670))))</formula>
    </cfRule>
  </conditionalFormatting>
  <conditionalFormatting sqref="O670 P659:Q661 P663:Q663 P666:Q669 P674:Q674 P676:Q677 P679:Q679 P681:Q681 P684:Q685 P688:Q688 P690:Q690 P692:Q692 U692:V692">
    <cfRule type="containsText" dxfId="2" priority="12870" operator="containsText" text="Yes">
      <formula>NOT(ISERROR(SEARCH(("Yes"),(O670))))</formula>
    </cfRule>
  </conditionalFormatting>
  <conditionalFormatting sqref="O670 P659:Q661 P663:Q663 P666:Q669 P674:Q674 P676:Q677 P679:Q679 P681:Q681 P684:Q685 P688:Q688 P690:Q690 P692:Q692 U692:V692">
    <cfRule type="containsText" dxfId="9" priority="12871" operator="containsText" text="No">
      <formula>NOT(ISERROR(SEARCH(("No"),(O670))))</formula>
    </cfRule>
  </conditionalFormatting>
  <conditionalFormatting sqref="O670 P659:Q661 P663:Q663 P666:Q669 P674:Q674 P676:Q677 P679:Q679 P681:Q681 P684:Q685 P688:Q688 P690:Q690 P692:Q692 U692:V692">
    <cfRule type="containsText" dxfId="2" priority="12872" operator="containsText" text="Yes">
      <formula>NOT(ISERROR(SEARCH(("Yes"),(O670))))</formula>
    </cfRule>
  </conditionalFormatting>
  <conditionalFormatting sqref="O670 P659:Q661 P663:Q663 P666:Q669 P674:Q674 P676:Q677 P679:Q679 P681:Q681 P684:Q685 P688:Q688 P690:Q690 P692:Q692 U692:V692">
    <cfRule type="containsText" dxfId="9" priority="12873" operator="containsText" text="No">
      <formula>NOT(ISERROR(SEARCH(("No"),(O670))))</formula>
    </cfRule>
  </conditionalFormatting>
  <conditionalFormatting sqref="O670 P659:Q661 P663:Q663 P666:Q669 P674:Q674 P676:Q677 P679:Q679 P681:Q681 P684:Q685 P688:Q688 P690:Q690 P692:Q692 U692:V692">
    <cfRule type="containsText" dxfId="2" priority="12874" operator="containsText" text="Yes">
      <formula>NOT(ISERROR(SEARCH(("Yes"),(O670))))</formula>
    </cfRule>
  </conditionalFormatting>
  <conditionalFormatting sqref="O670 P659:Q661 P663:Q663 P666:Q669 P674:Q674 P676:Q677 P679:Q679 P681:Q681 P684:Q685 P688:Q688 P690:Q690 P692:Q692 U692:V692">
    <cfRule type="containsText" dxfId="9" priority="12875" operator="containsText" text="No">
      <formula>NOT(ISERROR(SEARCH(("No"),(O670))))</formula>
    </cfRule>
  </conditionalFormatting>
  <conditionalFormatting sqref="O670 P659:Q661 P663:Q663 P666:Q669 P674:Q674 P676:Q677 P679:Q679 P681:Q681 P684:Q685 P688:Q688 P690:Q690 P692:Q692 U692:V692">
    <cfRule type="containsText" dxfId="2" priority="12876" operator="containsText" text="Yes">
      <formula>NOT(ISERROR(SEARCH(("Yes"),(O670))))</formula>
    </cfRule>
  </conditionalFormatting>
  <conditionalFormatting sqref="O670 P659:Q661 P663:Q663 P666:Q669 P674:Q674 P676:Q677 P679:Q679 P681:Q681 P684:Q685 P688:Q688 P690:Q690 P692:Q692 U692:V692">
    <cfRule type="containsText" dxfId="9" priority="12877" operator="containsText" text="No">
      <formula>NOT(ISERROR(SEARCH(("No"),(O670))))</formula>
    </cfRule>
  </conditionalFormatting>
  <conditionalFormatting sqref="O670 P659:Q661 P663:Q663 P666:Q669 P674:Q674 P676:Q677 P679:Q679 P681:Q681 P684:Q685 P688:Q688 P690:Q690 P692:Q692 U692:V692">
    <cfRule type="containsText" dxfId="2" priority="12878" operator="containsText" text="Yes">
      <formula>NOT(ISERROR(SEARCH(("Yes"),(O670))))</formula>
    </cfRule>
  </conditionalFormatting>
  <conditionalFormatting sqref="O670 P659:Q661 P663:Q663 P666:Q669 P674:Q674 P676:Q677 P679:Q679 P681:Q681 P684:Q685 P688:Q688 P690:Q690 P692:Q692 U692:V692">
    <cfRule type="containsText" dxfId="9" priority="12879" operator="containsText" text="No">
      <formula>NOT(ISERROR(SEARCH(("No"),(O670))))</formula>
    </cfRule>
  </conditionalFormatting>
  <conditionalFormatting sqref="O670 P659:Q661 P663:Q663 P666:Q669 P674:Q674 P676:Q677 P679:Q679 P681:Q681 P684:Q685 P688:Q688 P690:Q690 P692:Q692 U692:V692">
    <cfRule type="containsText" dxfId="2" priority="12880" operator="containsText" text="Yes">
      <formula>NOT(ISERROR(SEARCH(("Yes"),(O670))))</formula>
    </cfRule>
  </conditionalFormatting>
  <conditionalFormatting sqref="O670 P659:Q661 P663:Q663 P666:Q669 P674:Q674 P676:Q677 P679:Q679 P681:Q681 P684:Q685 P688:Q688 P690:Q690 P692:Q692 U692:V692">
    <cfRule type="containsText" dxfId="9" priority="12881" operator="containsText" text="No">
      <formula>NOT(ISERROR(SEARCH(("No"),(O670))))</formula>
    </cfRule>
  </conditionalFormatting>
  <conditionalFormatting sqref="O670 P659:Q661 P663:Q663 P666:Q669 P674:Q674 P676:Q677 P679:Q679 P681:Q681 P684:Q685 P688:Q688 P690:Q690 P692:Q692 U692:V692">
    <cfRule type="containsText" dxfId="2" priority="12882" operator="containsText" text="Yes">
      <formula>NOT(ISERROR(SEARCH(("Yes"),(O670))))</formula>
    </cfRule>
  </conditionalFormatting>
  <conditionalFormatting sqref="O670 P659:Q661 P663:Q663 P666:Q669 P674:Q674 P676:Q677 P679:Q679 P681:Q681 P684:Q685 P688:Q688 P690:Q690 P692:Q692 U692:V692">
    <cfRule type="containsText" dxfId="9" priority="12883" operator="containsText" text="No">
      <formula>NOT(ISERROR(SEARCH(("No"),(O670))))</formula>
    </cfRule>
  </conditionalFormatting>
  <conditionalFormatting sqref="O670 P659:Q661 P663:Q663 P666:Q669 P674:Q674 P676:Q677 P679:Q679 P681:Q681 P684:Q685 P688:Q688 P690:Q690 P692:Q692 U692:V692">
    <cfRule type="containsText" dxfId="2" priority="12884" operator="containsText" text="Yes">
      <formula>NOT(ISERROR(SEARCH(("Yes"),(O670))))</formula>
    </cfRule>
  </conditionalFormatting>
  <conditionalFormatting sqref="O670 P659:Q661 P663:Q663 P666:Q669 P674:Q674 P676:Q677 P679:Q679 P681:Q681 P684:Q685 P688:Q688 P690:Q690 P692:Q692 U692:V692">
    <cfRule type="containsText" dxfId="9" priority="12885" operator="containsText" text="No">
      <formula>NOT(ISERROR(SEARCH(("No"),(O670))))</formula>
    </cfRule>
  </conditionalFormatting>
  <conditionalFormatting sqref="O670 P659:Q661 P663:Q663 P666:Q669 P674:Q674 P676:Q677 P679:Q679 P681:Q681 P684:Q685 P688:Q688 P690:Q690 P692:Q692 U692:V692">
    <cfRule type="containsText" dxfId="2" priority="12886" operator="containsText" text="Yes">
      <formula>NOT(ISERROR(SEARCH(("Yes"),(O670))))</formula>
    </cfRule>
  </conditionalFormatting>
  <conditionalFormatting sqref="O670 P659:Q661 P663:Q663 P666:Q669 P674:Q674 P676:Q677 P679:Q679 P681:Q681 P684:Q685 P688:Q688 P690:Q690 P692:Q692 U692:V692">
    <cfRule type="containsText" dxfId="9" priority="12887" operator="containsText" text="No">
      <formula>NOT(ISERROR(SEARCH(("No"),(O670))))</formula>
    </cfRule>
  </conditionalFormatting>
  <conditionalFormatting sqref="O670 P659:Q661 P663:Q663 P666:Q669 P674:Q674 P676:Q677 P679:Q679 P681:Q681 P684:Q685 P688:Q688 P690:Q690 P692:Q692 U692:V692">
    <cfRule type="containsText" dxfId="2" priority="12888" operator="containsText" text="Yes">
      <formula>NOT(ISERROR(SEARCH(("Yes"),(O670))))</formula>
    </cfRule>
  </conditionalFormatting>
  <conditionalFormatting sqref="O670 P659:Q661 P663:Q663 P666:Q669 P674:Q674 P676:Q677 P679:Q679 P681:Q681 P684:Q685 P688:Q688 P690:Q690 P692:Q692 U692:V692">
    <cfRule type="containsText" dxfId="9" priority="12889" operator="containsText" text="No">
      <formula>NOT(ISERROR(SEARCH(("No"),(O670))))</formula>
    </cfRule>
  </conditionalFormatting>
  <conditionalFormatting sqref="O670 P659:Q661 P663:Q663 P666:Q669 P674:Q674 P676:Q677 P679:Q679 P681:Q681 P684:Q685 P688:Q688 P690:Q690 P692:Q692 U692:V692">
    <cfRule type="containsText" dxfId="2" priority="12890" operator="containsText" text="Yes">
      <formula>NOT(ISERROR(SEARCH(("Yes"),(O670))))</formula>
    </cfRule>
  </conditionalFormatting>
  <conditionalFormatting sqref="O670 P659:Q661 P663:Q663 P666:Q669 P674:Q674 P676:Q677 P679:Q679 P681:Q681 P684:Q685 P688:Q688 P690:Q690 P692:Q692 U692:V692">
    <cfRule type="containsText" dxfId="9" priority="12891" operator="containsText" text="No">
      <formula>NOT(ISERROR(SEARCH(("No"),(O670))))</formula>
    </cfRule>
  </conditionalFormatting>
  <conditionalFormatting sqref="O670 P659:Q661 P663:Q663 P666:Q669 P674:Q674 P676:Q677 P679:Q679 P681:Q681 P684:Q685 P688:Q688 P690:Q690 P692:Q692 U692:V692">
    <cfRule type="containsText" dxfId="2" priority="12892" operator="containsText" text="Yes">
      <formula>NOT(ISERROR(SEARCH(("Yes"),(O670))))</formula>
    </cfRule>
  </conditionalFormatting>
  <conditionalFormatting sqref="O670 P659:Q661 P663:Q663 P666:Q669 P674:Q674 P676:Q677 P679:Q679 P681:Q681 P684:Q685 P688:Q688 P690:Q690 P692:Q692 U692:V692">
    <cfRule type="containsText" dxfId="9" priority="12893" operator="containsText" text="No">
      <formula>NOT(ISERROR(SEARCH(("No"),(O670))))</formula>
    </cfRule>
  </conditionalFormatting>
  <conditionalFormatting sqref="O670 P659:Q661 P663:Q663 P666:Q669 P674:Q674 P676:Q677 P679:Q679 P681:Q681 P684:Q685 P688:Q688 P690:Q690 P692:Q692 U692:V692">
    <cfRule type="containsText" dxfId="2" priority="12894" operator="containsText" text="Yes">
      <formula>NOT(ISERROR(SEARCH(("Yes"),(O670))))</formula>
    </cfRule>
  </conditionalFormatting>
  <conditionalFormatting sqref="O670 P659:Q661 P663:Q663 P666:Q669 P674:Q674 P676:Q677 P679:Q679 P681:Q681 P684:Q685 P688:Q688 P690:Q690 P692:Q692 U692:V692">
    <cfRule type="containsText" dxfId="9" priority="12895" operator="containsText" text="No">
      <formula>NOT(ISERROR(SEARCH(("No"),(O670))))</formula>
    </cfRule>
  </conditionalFormatting>
  <conditionalFormatting sqref="O670 P659:Q661 P663:Q663 P666:Q669 P674:Q674 P676:Q677 P679:Q679 P681:Q681 P684:Q685 P688:Q688 P690:Q690 P692:Q692 U692:V692">
    <cfRule type="containsText" dxfId="2" priority="12896" operator="containsText" text="Yes">
      <formula>NOT(ISERROR(SEARCH(("Yes"),(O670))))</formula>
    </cfRule>
  </conditionalFormatting>
  <conditionalFormatting sqref="O670 P659:Q661 P663:Q663 P666:Q669 P674:Q674 P676:Q677 P679:Q679 P681:Q681 P684:Q685 P688:Q688 P690:Q690 P692:Q692 U692:V692">
    <cfRule type="containsText" dxfId="9" priority="12897" operator="containsText" text="No">
      <formula>NOT(ISERROR(SEARCH(("No"),(O670))))</formula>
    </cfRule>
  </conditionalFormatting>
  <conditionalFormatting sqref="O670 P659:Q661 P663:Q663 P666:Q669 P674:Q674 P676:Q677 P679:Q679 P681:Q681 P684:Q685 P688:Q688 P690:Q690 P692:Q692 U692:V692">
    <cfRule type="containsText" dxfId="2" priority="12898" operator="containsText" text="Yes">
      <formula>NOT(ISERROR(SEARCH(("Yes"),(O670))))</formula>
    </cfRule>
  </conditionalFormatting>
  <conditionalFormatting sqref="O670 P659:Q661 P663:Q663 P666:Q669 P674:Q674 P676:Q677 P679:Q679 P681:Q681 P684:Q685 P688:Q688 P690:Q690 P692:Q692 U692:V692">
    <cfRule type="containsText" dxfId="9" priority="12899" operator="containsText" text="No">
      <formula>NOT(ISERROR(SEARCH(("No"),(O670))))</formula>
    </cfRule>
  </conditionalFormatting>
  <conditionalFormatting sqref="O670 P659:Q661 P663:Q663 P666:Q669 P674:Q674 P676:Q677 P679:Q679 P681:Q681 P684:Q685 P688:Q688 P690:Q690 P692:Q692 U692:V692">
    <cfRule type="containsText" dxfId="2" priority="12900" operator="containsText" text="Yes">
      <formula>NOT(ISERROR(SEARCH(("Yes"),(O670))))</formula>
    </cfRule>
  </conditionalFormatting>
  <conditionalFormatting sqref="O670 P659:Q661 P663:Q663 P666:Q669 P674:Q674 P676:Q677 P679:Q679 P681:Q681 P684:Q685 P688:Q688 P690:Q690 P692:Q692 U692:V692">
    <cfRule type="containsText" dxfId="9" priority="12901" operator="containsText" text="No">
      <formula>NOT(ISERROR(SEARCH(("No"),(O670))))</formula>
    </cfRule>
  </conditionalFormatting>
  <conditionalFormatting sqref="O670 P659:Q661 P663:Q663 P666:Q669 P674:Q674 P676:Q677 P679:Q679 P681:Q681 P684:Q685 P688:Q688 P690:Q690 P692:Q692 U692:V692">
    <cfRule type="containsText" dxfId="2" priority="12902" operator="containsText" text="Yes">
      <formula>NOT(ISERROR(SEARCH(("Yes"),(O670))))</formula>
    </cfRule>
  </conditionalFormatting>
  <conditionalFormatting sqref="O670 P659:Q661 P663:Q663 P666:Q669 P674:Q674 P676:Q677 P679:Q679 P681:Q681 P684:Q685 P688:Q688 P690:Q690 P692:Q692 U692:V692">
    <cfRule type="containsText" dxfId="9" priority="12903" operator="containsText" text="No">
      <formula>NOT(ISERROR(SEARCH(("No"),(O670))))</formula>
    </cfRule>
  </conditionalFormatting>
  <conditionalFormatting sqref="O670 P659:Q661 P663:Q663 P666:Q669 P674:Q674 P676:Q677 P679:Q679 P681:Q681 P684:Q685 P688:Q688 P690:Q690 P692:Q692 U692:V692">
    <cfRule type="containsText" dxfId="2" priority="12904" operator="containsText" text="Yes">
      <formula>NOT(ISERROR(SEARCH(("Yes"),(O670))))</formula>
    </cfRule>
  </conditionalFormatting>
  <conditionalFormatting sqref="O670 P659:Q661 P663:Q663 P666:Q669 P674:Q674 P676:Q677 P679:Q679 P681:Q681 P684:Q685 P688:Q688 P690:Q690 P692:Q692 U692:V692">
    <cfRule type="containsText" dxfId="9" priority="12905" operator="containsText" text="No">
      <formula>NOT(ISERROR(SEARCH(("No"),(O670))))</formula>
    </cfRule>
  </conditionalFormatting>
  <conditionalFormatting sqref="O670 P659:Q661 P663:Q663 P666:Q669 P674:Q674 P676:Q677 P679:Q679 P681:Q681 P684:Q685 P688:Q688 P690:Q690 P692:Q692 U692:V692">
    <cfRule type="containsText" dxfId="2" priority="12906" operator="containsText" text="Yes">
      <formula>NOT(ISERROR(SEARCH(("Yes"),(O670))))</formula>
    </cfRule>
  </conditionalFormatting>
  <conditionalFormatting sqref="O670 P659:Q661 P663:Q663 P666:Q669 P674:Q674 P676:Q677 P679:Q679 P681:Q681 P684:Q685 P688:Q688 P690:Q690 P692:Q692 U692:V692">
    <cfRule type="containsText" dxfId="9" priority="12907" operator="containsText" text="No">
      <formula>NOT(ISERROR(SEARCH(("No"),(O670))))</formula>
    </cfRule>
  </conditionalFormatting>
  <conditionalFormatting sqref="O670 P659:Q661 P663:Q663 P666:Q669 P674:Q674 P676:Q677 P679:Q679 P681:Q681 P684:Q685 P688:Q688 P690:Q690 P692:Q692 U692:V692">
    <cfRule type="containsText" dxfId="2" priority="12908" operator="containsText" text="Yes">
      <formula>NOT(ISERROR(SEARCH(("Yes"),(O670))))</formula>
    </cfRule>
  </conditionalFormatting>
  <conditionalFormatting sqref="O670 P659:Q661 P663:Q663 P666:Q669 P674:Q674 P676:Q677 P679:Q679 P681:Q681 P684:Q685 P688:Q688 P690:Q690 P692:Q692 U692:V692">
    <cfRule type="containsText" dxfId="9" priority="12909" operator="containsText" text="No">
      <formula>NOT(ISERROR(SEARCH(("No"),(O670))))</formula>
    </cfRule>
  </conditionalFormatting>
  <conditionalFormatting sqref="O670 P659:Q661 P663:Q663 P666:Q669 P674:Q674 P676:Q677 P679:Q679 P681:Q681 P684:Q685 P688:Q688 P690:Q690 P692:Q692 U692:V692">
    <cfRule type="containsText" dxfId="2" priority="12910" operator="containsText" text="Yes">
      <formula>NOT(ISERROR(SEARCH(("Yes"),(O670))))</formula>
    </cfRule>
  </conditionalFormatting>
  <conditionalFormatting sqref="O670 P659:Q661 P663:Q663 P666:Q669 P674:Q674 P676:Q677 P679:Q679 P681:Q681 P684:Q685 P688:Q688 P690:Q690 P692:Q692 U692:V692">
    <cfRule type="containsText" dxfId="9" priority="12911" operator="containsText" text="No">
      <formula>NOT(ISERROR(SEARCH(("No"),(O670))))</formula>
    </cfRule>
  </conditionalFormatting>
  <conditionalFormatting sqref="O670 P659:Q661 P663:Q663 P666:Q669 P674:Q674 P676:Q677 P679:Q679 P681:Q681 P684:Q685 P688:Q688 P690:Q690 P692:Q692 U692:V692">
    <cfRule type="containsText" dxfId="2" priority="12912" operator="containsText" text="Yes">
      <formula>NOT(ISERROR(SEARCH(("Yes"),(O670))))</formula>
    </cfRule>
  </conditionalFormatting>
  <conditionalFormatting sqref="O670 P659:Q661 P663:Q663 P666:Q669 P674:Q674 P676:Q677 P679:Q679 P681:Q681 P684:Q685 P688:Q688 P690:Q690 P692:Q692 U692:V692">
    <cfRule type="containsText" dxfId="9" priority="12913" operator="containsText" text="No">
      <formula>NOT(ISERROR(SEARCH(("No"),(O670))))</formula>
    </cfRule>
  </conditionalFormatting>
  <conditionalFormatting sqref="O670 P659:Q661 P663:Q663 P666:Q669 P674:Q674 P676:Q677 P679:Q679 P681:Q681 P684:Q685 P688:Q688 P690:Q690 P692:Q692 U692:V692">
    <cfRule type="containsText" dxfId="2" priority="12914" operator="containsText" text="Yes">
      <formula>NOT(ISERROR(SEARCH(("Yes"),(O670))))</formula>
    </cfRule>
  </conditionalFormatting>
  <conditionalFormatting sqref="O670 P659:Q661 P663:Q663 P666:Q669 P674:Q674 P676:Q677 P679:Q679 P681:Q681 P684:Q685 P688:Q688 P690:Q690 P692:Q692 U692:V692">
    <cfRule type="containsText" dxfId="9" priority="12915" operator="containsText" text="No">
      <formula>NOT(ISERROR(SEARCH(("No"),(O670))))</formula>
    </cfRule>
  </conditionalFormatting>
  <conditionalFormatting sqref="O670 P659:Q661 P663:Q663 P666:Q669 P674:Q674 P676:Q677 P679:Q679 P681:Q681 P684:Q685 P688:Q688 P690:Q690 P692:Q692 U692:V692">
    <cfRule type="containsText" dxfId="2" priority="12916" operator="containsText" text="Yes">
      <formula>NOT(ISERROR(SEARCH(("Yes"),(O670))))</formula>
    </cfRule>
  </conditionalFormatting>
  <conditionalFormatting sqref="O670 P659:Q661 P663:Q663 P666:Q669 P674:Q674 P676:Q677 P679:Q679 P681:Q681 P684:Q685 P688:Q688 P690:Q690 P692:Q692 U692:V692">
    <cfRule type="containsText" dxfId="9" priority="12917" operator="containsText" text="No">
      <formula>NOT(ISERROR(SEARCH(("No"),(O670))))</formula>
    </cfRule>
  </conditionalFormatting>
  <conditionalFormatting sqref="O670 P659:Q661 P663:Q663 P666:Q669 P674:Q674 P676:Q677 P679:Q679 P681:Q681 P684:Q685 P688:Q688 P690:Q690 P692:Q692 U692:V692">
    <cfRule type="containsText" dxfId="2" priority="12918" operator="containsText" text="Yes">
      <formula>NOT(ISERROR(SEARCH(("Yes"),(O670))))</formula>
    </cfRule>
  </conditionalFormatting>
  <conditionalFormatting sqref="O670 P659:Q661 P663:Q663 P666:Q669 P674:Q674 P676:Q677 P679:Q679 P681:Q681 P684:Q685 P688:Q688 P690:Q690 P692:Q692 U692:V692">
    <cfRule type="containsText" dxfId="9" priority="12919" operator="containsText" text="No">
      <formula>NOT(ISERROR(SEARCH(("No"),(O670))))</formula>
    </cfRule>
  </conditionalFormatting>
  <conditionalFormatting sqref="O670 P659:Q661 P663:Q663 P666:Q669 P674:Q674 P676:Q677 P679:Q679 P681:Q681 P684:Q685 P688:Q688 P690:Q690 P692:Q692 U692:V692">
    <cfRule type="containsText" dxfId="2" priority="12920" operator="containsText" text="Yes">
      <formula>NOT(ISERROR(SEARCH(("Yes"),(O670))))</formula>
    </cfRule>
  </conditionalFormatting>
  <conditionalFormatting sqref="O670 P659:Q661 P663:Q663 P666:Q669 P674:Q674 P676:Q677 P679:Q679 P681:Q681 P684:Q685 P688:Q688 P690:Q690 P692:Q692 U692:V692">
    <cfRule type="containsText" dxfId="9" priority="12921" operator="containsText" text="No">
      <formula>NOT(ISERROR(SEARCH(("No"),(O670))))</formula>
    </cfRule>
  </conditionalFormatting>
  <conditionalFormatting sqref="O670 P659:Q661 P663:Q663 P666:Q669 P674:Q674 P676:Q677 P679:Q679 P681:Q681 P684:Q685 P688:Q688 P690:Q690 P692:Q692 U692:V692">
    <cfRule type="containsText" dxfId="2" priority="12922" operator="containsText" text="Yes">
      <formula>NOT(ISERROR(SEARCH(("Yes"),(O670))))</formula>
    </cfRule>
  </conditionalFormatting>
  <conditionalFormatting sqref="O670 P659:Q661 P663:Q663 P666:Q669 P674:Q674 P676:Q677 P679:Q679 P681:Q681 P684:Q685 P688:Q688 P690:Q690 P692:Q692 U692:V692">
    <cfRule type="containsText" dxfId="9" priority="12923" operator="containsText" text="No">
      <formula>NOT(ISERROR(SEARCH(("No"),(O670))))</formula>
    </cfRule>
  </conditionalFormatting>
  <conditionalFormatting sqref="O670 P659:Q661 P663:Q663 P666:Q669 P674:Q674 P676:Q677 P679:Q679 P681:Q681 P684:Q685 P688:Q688 P690:Q690 P692:Q692 U692:V692">
    <cfRule type="containsText" dxfId="2" priority="12924" operator="containsText" text="Yes">
      <formula>NOT(ISERROR(SEARCH(("Yes"),(O670))))</formula>
    </cfRule>
  </conditionalFormatting>
  <conditionalFormatting sqref="O670 P659:Q661 P663:Q663 P666:Q669 P674:Q674 P676:Q677 P679:Q679 P681:Q681 P684:Q685 P688:Q688 P690:Q690 P692:Q692 U692:V692">
    <cfRule type="containsText" dxfId="9" priority="12925" operator="containsText" text="No">
      <formula>NOT(ISERROR(SEARCH(("No"),(O670))))</formula>
    </cfRule>
  </conditionalFormatting>
  <conditionalFormatting sqref="O670 P659:Q661 P663:Q663 P666:Q669 P674:Q674 P676:Q677 P679:Q679 P681:Q681 P684:Q685 P688:Q688 P690:Q690 P692:Q692 U692:V692">
    <cfRule type="containsText" dxfId="2" priority="12926" operator="containsText" text="Yes">
      <formula>NOT(ISERROR(SEARCH(("Yes"),(O670))))</formula>
    </cfRule>
  </conditionalFormatting>
  <conditionalFormatting sqref="O670 P659:Q661 P663:Q663 P666:Q669 P674:Q674 P676:Q677 P679:Q679 P681:Q681 P684:Q685 P688:Q688 P690:Q690 P692:Q692 U692:V692">
    <cfRule type="containsText" dxfId="9" priority="12927" operator="containsText" text="No">
      <formula>NOT(ISERROR(SEARCH(("No"),(O670))))</formula>
    </cfRule>
  </conditionalFormatting>
  <conditionalFormatting sqref="O670 P659:Q661 P663:Q663 P666:Q669 P674:Q674 P676:Q677 P679:Q679 P681:Q681 P684:Q685 P688:Q688 P690:Q690 P692:Q692 U692:V692">
    <cfRule type="containsText" dxfId="2" priority="12928" operator="containsText" text="Yes">
      <formula>NOT(ISERROR(SEARCH(("Yes"),(O670))))</formula>
    </cfRule>
  </conditionalFormatting>
  <conditionalFormatting sqref="O670 P659:Q661 P663:Q663 P666:Q669 P674:Q674 P676:Q677 P679:Q679 P681:Q681 P684:Q685 P688:Q688 P690:Q690 P692:Q692 U692:V692">
    <cfRule type="containsText" dxfId="9" priority="12929" operator="containsText" text="No">
      <formula>NOT(ISERROR(SEARCH(("No"),(O670))))</formula>
    </cfRule>
  </conditionalFormatting>
  <conditionalFormatting sqref="O670 P659:Q661 P663:Q663 P666:Q669 P674:Q674 P676:Q677 P679:Q679 P681:Q681 P684:Q685 P688:Q688 P690:Q690 P692:Q692 U692:V692">
    <cfRule type="containsText" dxfId="2" priority="12930" operator="containsText" text="Yes">
      <formula>NOT(ISERROR(SEARCH(("Yes"),(O670))))</formula>
    </cfRule>
  </conditionalFormatting>
  <conditionalFormatting sqref="O670 P659:Q661 P663:Q663 P666:Q669 P674:Q674 P676:Q677 P679:Q679 P681:Q681 P684:Q685 P688:Q688 P690:Q690 P692:Q692 U692:V692">
    <cfRule type="containsText" dxfId="9" priority="12931" operator="containsText" text="No">
      <formula>NOT(ISERROR(SEARCH(("No"),(O670))))</formula>
    </cfRule>
  </conditionalFormatting>
  <conditionalFormatting sqref="O670 P659:Q661 P663:Q663 P666:Q669 P674:Q674 P676:Q677 P679:Q679 P681:Q681 P684:Q685 P688:Q688 P690:Q690 P692:Q692 U692:V692">
    <cfRule type="containsText" dxfId="2" priority="12932" operator="containsText" text="Yes">
      <formula>NOT(ISERROR(SEARCH(("Yes"),(O670))))</formula>
    </cfRule>
  </conditionalFormatting>
  <conditionalFormatting sqref="O670 P659:Q661 P663:Q663 P666:Q669 P674:Q674 P676:Q677 P679:Q679 P681:Q681 P684:Q685 P688:Q688 P690:Q690 P692:Q692 U692:V692">
    <cfRule type="containsText" dxfId="9" priority="12933" operator="containsText" text="No">
      <formula>NOT(ISERROR(SEARCH(("No"),(O670))))</formula>
    </cfRule>
  </conditionalFormatting>
  <conditionalFormatting sqref="O670 P659:Q661 P663:Q663 P666:Q669 P674:Q674 P676:Q677 P679:Q679 P681:Q681 P684:Q685 P688:Q688 P690:Q690 P692:Q692 U692:V692">
    <cfRule type="containsText" dxfId="2" priority="12934" operator="containsText" text="Yes">
      <formula>NOT(ISERROR(SEARCH(("Yes"),(O670))))</formula>
    </cfRule>
  </conditionalFormatting>
  <conditionalFormatting sqref="O670 P659:Q661 P663:Q663 P666:Q669 P674:Q674 P676:Q677 P679:Q679 P681:Q681 P684:Q685 P688:Q688 P690:Q690 P692:Q692 U692:V692">
    <cfRule type="containsText" dxfId="9" priority="12935" operator="containsText" text="No">
      <formula>NOT(ISERROR(SEARCH(("No"),(O670))))</formula>
    </cfRule>
  </conditionalFormatting>
  <conditionalFormatting sqref="O670 P659:Q661 P663:Q663 P666:Q669 P674:Q674 P676:Q677 P679:Q679 P681:Q681 P684:Q685 P688:Q688 P690:Q690 P692:Q692 U692:V692">
    <cfRule type="containsText" dxfId="2" priority="12936" operator="containsText" text="Yes">
      <formula>NOT(ISERROR(SEARCH(("Yes"),(O670))))</formula>
    </cfRule>
  </conditionalFormatting>
  <conditionalFormatting sqref="O670 P659:Q661 P663:Q663 P666:Q669 P674:Q674 P676:Q677 P679:Q679 P681:Q681 P684:Q685 P688:Q688 P690:Q690 P692:Q692 U692:V692">
    <cfRule type="containsText" dxfId="9" priority="12937" operator="containsText" text="No">
      <formula>NOT(ISERROR(SEARCH(("No"),(O670))))</formula>
    </cfRule>
  </conditionalFormatting>
  <conditionalFormatting sqref="O670 P659:Q661 P663:Q663 P666:Q669 P674:Q674 P676:Q677 P679:Q679 P681:Q681 P684:Q685 P688:Q688 P690:Q690 P692:Q692 U692:V692">
    <cfRule type="containsText" dxfId="2" priority="12938" operator="containsText" text="Yes">
      <formula>NOT(ISERROR(SEARCH(("Yes"),(O670))))</formula>
    </cfRule>
  </conditionalFormatting>
  <conditionalFormatting sqref="O670 P659:Q661 P663:Q663 P666:Q669 P674:Q674 P676:Q677 P679:Q679 P681:Q681 P684:Q685 P688:Q688 P690:Q690 P692:Q692 U692:V692">
    <cfRule type="containsText" dxfId="9" priority="12939" operator="containsText" text="No">
      <formula>NOT(ISERROR(SEARCH(("No"),(O670))))</formula>
    </cfRule>
  </conditionalFormatting>
  <conditionalFormatting sqref="O670 P659:Q661 P663:Q663 P666:Q669 P674:Q674 P676:Q677 P679:Q679 P681:Q681 P684:Q685 P688:Q688 P690:Q690 P692:Q692 U692:V692">
    <cfRule type="containsText" dxfId="2" priority="12940" operator="containsText" text="Yes">
      <formula>NOT(ISERROR(SEARCH(("Yes"),(O670))))</formula>
    </cfRule>
  </conditionalFormatting>
  <conditionalFormatting sqref="O670 P659:Q661 P663:Q663 P666:Q669 P674:Q674 P676:Q677 P679:Q679 P681:Q681 P684:Q685 P688:Q688 P690:Q690 P692:Q692 U692:V692">
    <cfRule type="containsText" dxfId="9" priority="12941" operator="containsText" text="No">
      <formula>NOT(ISERROR(SEARCH(("No"),(O670))))</formula>
    </cfRule>
  </conditionalFormatting>
  <conditionalFormatting sqref="O670 P659:Q661 P663:Q663 P666:Q669 P674:Q674 P676:Q677 P679:Q679 P681:Q681 P684:Q685 P688:Q688 P690:Q690 P692:Q692 U692:V692">
    <cfRule type="containsText" dxfId="2" priority="12942" operator="containsText" text="Yes">
      <formula>NOT(ISERROR(SEARCH(("Yes"),(O670))))</formula>
    </cfRule>
  </conditionalFormatting>
  <conditionalFormatting sqref="O670 P659:Q661 P663:Q663 P666:Q669 P674:Q674 P676:Q677 P679:Q679 P681:Q681 P684:Q685 P688:Q688 P690:Q690 P692:Q692 U692:V692">
    <cfRule type="containsText" dxfId="9" priority="12943" operator="containsText" text="No">
      <formula>NOT(ISERROR(SEARCH(("No"),(O670))))</formula>
    </cfRule>
  </conditionalFormatting>
  <conditionalFormatting sqref="O670 P659:Q661 P663:Q663 P666:Q669 P674:Q674 P676:Q677 P679:Q679 P681:Q681 P684:Q685 P688:Q688 P690:Q690 P692:Q692 U692:V692">
    <cfRule type="containsText" dxfId="2" priority="12944" operator="containsText" text="Yes">
      <formula>NOT(ISERROR(SEARCH(("Yes"),(O670))))</formula>
    </cfRule>
  </conditionalFormatting>
  <conditionalFormatting sqref="O670 P659:Q661 P663:Q663 P666:Q669 P674:Q674 P676:Q677 P679:Q679 P681:Q681 P684:Q685 P688:Q688 P690:Q690 P692:Q692 U692:V692">
    <cfRule type="containsText" dxfId="9" priority="12945" operator="containsText" text="No">
      <formula>NOT(ISERROR(SEARCH(("No"),(O670))))</formula>
    </cfRule>
  </conditionalFormatting>
  <conditionalFormatting sqref="O670 P659:Q661 P663:Q663 P666:Q669 P674:Q674 P676:Q677 P679:Q679 P681:Q681 P684:Q685 P688:Q688 P690:Q690 P692:Q692 U692:V692">
    <cfRule type="containsText" dxfId="2" priority="12946" operator="containsText" text="Yes">
      <formula>NOT(ISERROR(SEARCH(("Yes"),(O670))))</formula>
    </cfRule>
  </conditionalFormatting>
  <conditionalFormatting sqref="O670 P659:Q661 P663:Q663 P666:Q669 P674:Q674 P676:Q677 P679:Q679 P681:Q681 P684:Q685 P688:Q688 P690:Q690 P692:Q692 U692:V692">
    <cfRule type="containsText" dxfId="9" priority="12947" operator="containsText" text="No">
      <formula>NOT(ISERROR(SEARCH(("No"),(O670))))</formula>
    </cfRule>
  </conditionalFormatting>
  <conditionalFormatting sqref="O670 P659:Q661 P663:Q663 P666:Q669 P674:Q674 P676:Q677 P679:Q679 P681:Q681 P684:Q685 P688:Q688 P690:Q690 P692:Q692 U692:V692">
    <cfRule type="containsText" dxfId="2" priority="12948" operator="containsText" text="Yes">
      <formula>NOT(ISERROR(SEARCH(("Yes"),(O670))))</formula>
    </cfRule>
  </conditionalFormatting>
  <conditionalFormatting sqref="O670 P659:Q661 P663:Q663 P666:Q669 P674:Q674 P676:Q677 P679:Q679 P681:Q681 P684:Q685 P688:Q688 P690:Q690 P692:Q692 U692:V692">
    <cfRule type="containsText" dxfId="9" priority="12949" operator="containsText" text="No">
      <formula>NOT(ISERROR(SEARCH(("No"),(O670))))</formula>
    </cfRule>
  </conditionalFormatting>
  <conditionalFormatting sqref="O670 P659:Q661 P663:Q663 P666:Q669 P674:Q674 P676:Q677 P679:Q679 P681:Q681 P684:Q685 P688:Q688 P690:Q690 P692:Q692 U692:V692">
    <cfRule type="containsText" dxfId="2" priority="12950" operator="containsText" text="Yes">
      <formula>NOT(ISERROR(SEARCH(("Yes"),(O670))))</formula>
    </cfRule>
  </conditionalFormatting>
  <conditionalFormatting sqref="O670 P659:Q661 P663:Q663 P666:Q669 P674:Q674 P676:Q677 P679:Q679 P681:Q681 P684:Q685 P688:Q688 P690:Q690 P692:Q692 U692:V692">
    <cfRule type="containsText" dxfId="9" priority="12951" operator="containsText" text="No">
      <formula>NOT(ISERROR(SEARCH(("No"),(O670))))</formula>
    </cfRule>
  </conditionalFormatting>
  <conditionalFormatting sqref="O670 P659:Q661 P663:Q663 P666:Q669 P674:Q674 P676:Q677 P679:Q679 P681:Q681 P684:Q685 P688:Q688 P690:Q690 P692:Q692 U692:V692">
    <cfRule type="containsText" dxfId="2" priority="12952" operator="containsText" text="Yes">
      <formula>NOT(ISERROR(SEARCH(("Yes"),(O670))))</formula>
    </cfRule>
  </conditionalFormatting>
  <conditionalFormatting sqref="O670 P659:Q661 P663:Q663 P666:Q669 P674:Q674 P676:Q677 P679:Q679 P681:Q681 P684:Q685 P688:Q688 P690:Q690 P692:Q692 U692:V692">
    <cfRule type="containsText" dxfId="9" priority="12953" operator="containsText" text="No">
      <formula>NOT(ISERROR(SEARCH(("No"),(O670))))</formula>
    </cfRule>
  </conditionalFormatting>
  <conditionalFormatting sqref="O670 P659:Q661 P663:Q663 P666:Q669 P674:Q674 P676:Q677 P679:Q679 P681:Q681 P684:Q685 P688:Q688 P690:Q690 P692:Q692 U692:V692">
    <cfRule type="containsText" dxfId="2" priority="12954" operator="containsText" text="Yes">
      <formula>NOT(ISERROR(SEARCH(("Yes"),(O670))))</formula>
    </cfRule>
  </conditionalFormatting>
  <conditionalFormatting sqref="O670 P659:Q661 P663:Q663 P666:Q669 P674:Q674 P676:Q677 P679:Q679 P681:Q681 P684:Q685 P688:Q688 P690:Q690 P692:Q692 U692:V692">
    <cfRule type="containsText" dxfId="9" priority="12955" operator="containsText" text="No">
      <formula>NOT(ISERROR(SEARCH(("No"),(O670))))</formula>
    </cfRule>
  </conditionalFormatting>
  <conditionalFormatting sqref="O670 P659:Q661 P663:Q663 P666:Q669 P674:Q674 P676:Q677 P679:Q679 P681:Q681 P684:Q685 P688:Q688 P690:Q690 P692:Q692 U692:V692">
    <cfRule type="containsText" dxfId="2" priority="12956" operator="containsText" text="Yes">
      <formula>NOT(ISERROR(SEARCH(("Yes"),(O670))))</formula>
    </cfRule>
  </conditionalFormatting>
  <conditionalFormatting sqref="O670 P659:Q661 P663:Q663 P666:Q669 P674:Q674 P676:Q677 P679:Q679 P681:Q681 P684:Q685 P688:Q688 P690:Q690 P692:Q692 U692:V692">
    <cfRule type="containsText" dxfId="9" priority="12957" operator="containsText" text="No">
      <formula>NOT(ISERROR(SEARCH(("No"),(O670))))</formula>
    </cfRule>
  </conditionalFormatting>
  <conditionalFormatting sqref="O670 P659:Q661 P663:Q663 P666:Q669 P674:Q674 P676:Q677 P679:Q679 P681:Q681 P684:Q685 P688:Q688 P690:Q690 P692:Q692 U692:V692">
    <cfRule type="containsText" dxfId="2" priority="12958" operator="containsText" text="Yes">
      <formula>NOT(ISERROR(SEARCH(("Yes"),(O670))))</formula>
    </cfRule>
  </conditionalFormatting>
  <conditionalFormatting sqref="O670 P659:Q661 P663:Q663 P666:Q669 P674:Q674 P676:Q677 P679:Q679 P681:Q681 P684:Q685 P688:Q688 P690:Q690 P692:Q692 U692:V692">
    <cfRule type="containsText" dxfId="9" priority="12959" operator="containsText" text="No">
      <formula>NOT(ISERROR(SEARCH(("No"),(O670))))</formula>
    </cfRule>
  </conditionalFormatting>
  <conditionalFormatting sqref="O670 P659:Q661 P663:Q663 P666:Q669 P674:Q674 P676:Q677 P679:Q679 P681:Q681 P684:Q685 P688:Q688 P690:Q690 P692:Q692 U692:V692">
    <cfRule type="containsText" dxfId="2" priority="12960" operator="containsText" text="Yes">
      <formula>NOT(ISERROR(SEARCH(("Yes"),(O670))))</formula>
    </cfRule>
  </conditionalFormatting>
  <conditionalFormatting sqref="O670 P659:Q661 P663:Q663 P666:Q669 P674:Q674 P676:Q677 P679:Q679 P681:Q681 P684:Q685 P688:Q688 P690:Q690 P692:Q692 U692:V692">
    <cfRule type="containsText" dxfId="9" priority="12961" operator="containsText" text="No">
      <formula>NOT(ISERROR(SEARCH(("No"),(O670))))</formula>
    </cfRule>
  </conditionalFormatting>
  <conditionalFormatting sqref="O670 P659:Q661 P663:Q663 P666:Q669 P674:Q674 P676:Q677 P679:Q679 P681:Q681 P684:Q685 P688:Q688 P690:Q690 P692:Q692 U692:V692">
    <cfRule type="containsText" dxfId="2" priority="12962" operator="containsText" text="Yes">
      <formula>NOT(ISERROR(SEARCH(("Yes"),(O670))))</formula>
    </cfRule>
  </conditionalFormatting>
  <conditionalFormatting sqref="O670 P659:Q661 P663:Q663 P666:Q669 P674:Q674 P676:Q677 P679:Q679 P681:Q681 P684:Q685 P688:Q688 P690:Q690 P692:Q692 U692:V692">
    <cfRule type="containsText" dxfId="9" priority="12963" operator="containsText" text="No">
      <formula>NOT(ISERROR(SEARCH(("No"),(O670))))</formula>
    </cfRule>
  </conditionalFormatting>
  <conditionalFormatting sqref="O670 P659:Q661 P663:Q663 P666:Q669 P674:Q674 P676:Q677 P679:Q679 P681:Q681 P684:Q685 P688:Q688 P690:Q690 P692:Q692 U692:V692">
    <cfRule type="containsText" dxfId="2" priority="12964" operator="containsText" text="Yes">
      <formula>NOT(ISERROR(SEARCH(("Yes"),(O670))))</formula>
    </cfRule>
  </conditionalFormatting>
  <conditionalFormatting sqref="O670 P659:Q661 P663:Q663 P666:Q669 P674:Q674 P676:Q677 P679:Q679 P681:Q681 P684:Q685 P688:Q688 P690:Q690 P692:Q692 U692:V692">
    <cfRule type="containsText" dxfId="9" priority="12965" operator="containsText" text="No">
      <formula>NOT(ISERROR(SEARCH(("No"),(O670))))</formula>
    </cfRule>
  </conditionalFormatting>
  <conditionalFormatting sqref="O670 P659:Q661 P663:Q663 P666:Q669 P674:Q674 P676:Q677 P679:Q679 P681:Q681 P684:Q685 P688:Q688 P690:Q690 P692:Q692 U692:V692">
    <cfRule type="containsText" dxfId="9" priority="12966" operator="containsText" text="No">
      <formula>NOT(ISERROR(SEARCH(("No"),(O670))))</formula>
    </cfRule>
  </conditionalFormatting>
  <conditionalFormatting sqref="O670 P659:Q661 P663:Q663 P666:Q669 P674:Q674 P676:Q677 P679:Q679 P681:Q681 P684:Q685 P688:Q688 P690:Q690 P692:Q692 U692:V692">
    <cfRule type="containsText" dxfId="9" priority="12967" operator="containsText" text="No">
      <formula>NOT(ISERROR(SEARCH(("No"),(O670))))</formula>
    </cfRule>
  </conditionalFormatting>
  <conditionalFormatting sqref="O670 P659:Q661 P663:Q663 P666:Q669 P674:Q674 P676:Q677 P679:Q679 P681:Q681 P684:Q685 P688:Q688 P690:Q690 P692:Q692 U692:V692">
    <cfRule type="containsText" dxfId="2" priority="12968" operator="containsText" text="Yes">
      <formula>NOT(ISERROR(SEARCH(("Yes"),(O670))))</formula>
    </cfRule>
  </conditionalFormatting>
  <conditionalFormatting sqref="O670 P659:Q661 P663:Q663 P666:Q669 P674:Q674 P676:Q677 P679:Q679 P681:Q681 P684:Q685 P688:Q688 P690:Q690 P692:Q692 U692:V692">
    <cfRule type="containsText" dxfId="9" priority="12969" operator="containsText" text="No">
      <formula>NOT(ISERROR(SEARCH(("No"),(O670))))</formula>
    </cfRule>
  </conditionalFormatting>
  <conditionalFormatting sqref="O670 P659:Q661 P663:Q663 P666:Q669 P674:Q674 P676:Q677 P679:Q679 P681:Q681 P684:Q685 P688:Q688 P690:Q690 P692:Q692 U692:V692">
    <cfRule type="containsText" dxfId="9" priority="12970" operator="containsText" text="No">
      <formula>NOT(ISERROR(SEARCH(("No"),(O670))))</formula>
    </cfRule>
  </conditionalFormatting>
  <conditionalFormatting sqref="O670 P659:Q661 P663:Q663 P666:Q669 P674:Q674 P676:Q677 P679:Q679 P681:Q681 P684:Q685 P688:Q688 P690:Q690 P692:Q692 U692:V692">
    <cfRule type="containsText" dxfId="9" priority="12971" operator="containsText" text="No">
      <formula>NOT(ISERROR(SEARCH(("No"),(O670))))</formula>
    </cfRule>
  </conditionalFormatting>
  <conditionalFormatting sqref="O670 P659:Q661 P663:Q663 P666:Q669 P674:Q674 P676:Q677 P679:Q679 P681:Q681 P684:Q685 P688:Q688 P690:Q690 P692:Q692 U692:V692">
    <cfRule type="containsText" dxfId="2" priority="12972" operator="containsText" text="Yes">
      <formula>NOT(ISERROR(SEARCH(("Yes"),(O670))))</formula>
    </cfRule>
  </conditionalFormatting>
  <conditionalFormatting sqref="O670 P659:Q661 P663:Q663 P666:Q669 P674:Q674 P676:Q677 P679:Q679 P681:Q681 P684:Q685 P688:Q688 P690:Q690 P692:Q692 U692:V692">
    <cfRule type="containsText" dxfId="9" priority="12973" operator="containsText" text="No">
      <formula>NOT(ISERROR(SEARCH(("No"),(O670))))</formula>
    </cfRule>
  </conditionalFormatting>
  <conditionalFormatting sqref="O670 P659:Q661 P663:Q663 P666:Q669 P674:Q674 P676:Q677 P679:Q679 P681:Q681 P684:Q685 P688:Q688 P690:Q690 P692:Q692 U692:V692">
    <cfRule type="containsText" dxfId="9" priority="12974" operator="containsText" text="No">
      <formula>NOT(ISERROR(SEARCH(("No"),(O670))))</formula>
    </cfRule>
  </conditionalFormatting>
  <conditionalFormatting sqref="O670 P659:Q661 P663:Q663 P666:Q669 P674:Q674 P676:Q677 P679:Q679 P681:Q681 P684:Q685 P688:Q688 P690:Q690 P692:Q692 U692:V692">
    <cfRule type="containsText" dxfId="9" priority="12975" operator="containsText" text="No">
      <formula>NOT(ISERROR(SEARCH(("No"),(O670))))</formula>
    </cfRule>
  </conditionalFormatting>
  <conditionalFormatting sqref="O670 P659:Q661 P663:Q663 P666:Q669 P674:Q674 P676:Q677 P679:Q679 P681:Q681 P684:Q685 P688:Q688 P690:Q690 P692:Q692 U692:V692">
    <cfRule type="containsText" dxfId="2" priority="12976" operator="containsText" text="Yes">
      <formula>NOT(ISERROR(SEARCH(("Yes"),(O670))))</formula>
    </cfRule>
  </conditionalFormatting>
  <conditionalFormatting sqref="O670 P659:Q661 P663:Q663 P666:Q669 P674:Q674 P676:Q677 P679:Q679 P681:Q681 P684:Q685 P688:Q688 P690:Q690 P692:Q692 U692:V692">
    <cfRule type="containsText" dxfId="9" priority="12977" operator="containsText" text="No">
      <formula>NOT(ISERROR(SEARCH(("No"),(O670))))</formula>
    </cfRule>
  </conditionalFormatting>
  <conditionalFormatting sqref="O670 P659:Q661 P663:Q663 P666:Q669 P674:Q674 P676:Q677 P679:Q679 P681:Q681 P684:Q685 P688:Q688 P690:Q690 P692:Q692 U692:V692">
    <cfRule type="containsText" dxfId="9" priority="12978" operator="containsText" text="No">
      <formula>NOT(ISERROR(SEARCH(("No"),(O670))))</formula>
    </cfRule>
  </conditionalFormatting>
  <conditionalFormatting sqref="O670 P660:Q661 P663:Q663 P666:Q669 P674:Q674 P676:Q677 P679:Q679 P681:Q681 P684:Q685 P688:Q688 P690:Q690 P692:Q692 U692:V692">
    <cfRule type="containsText" dxfId="9" priority="12979" operator="containsText" text="No">
      <formula>NOT(ISERROR(SEARCH(("No"),(O670))))</formula>
    </cfRule>
  </conditionalFormatting>
  <conditionalFormatting sqref="O670 P660:Q661 P663:Q663 P666:Q669 P674:Q674 P676:Q677 P679:Q679 P681:Q681 P684:Q685 P688:Q688 P690:Q690 P692:Q692 U692:V692">
    <cfRule type="containsText" dxfId="2" priority="12980" operator="containsText" text="Yes">
      <formula>NOT(ISERROR(SEARCH(("Yes"),(O670))))</formula>
    </cfRule>
  </conditionalFormatting>
  <conditionalFormatting sqref="O670 P660:Q661 P663:Q663 P666:Q669 P674:Q674 P676:Q677 P679:Q679 P681:Q681 P684:Q685 P688:Q688 P690:Q690 P692:Q692 U692:V692">
    <cfRule type="containsText" dxfId="9" priority="12981" operator="containsText" text="No">
      <formula>NOT(ISERROR(SEARCH(("No"),(O670))))</formula>
    </cfRule>
  </conditionalFormatting>
  <conditionalFormatting sqref="O670 P660:Q661 P663:Q663 P666:Q669 P674:Q674 P676:Q677 P679:Q679 P681:Q681 P684:Q685 P688:Q688 P690:Q690 P692:Q692 U692:V692">
    <cfRule type="containsText" dxfId="2" priority="12982" operator="containsText" text="Yes">
      <formula>NOT(ISERROR(SEARCH(("Yes"),(O670))))</formula>
    </cfRule>
  </conditionalFormatting>
  <conditionalFormatting sqref="O670 P660:Q661 P663:Q663 P666:Q669 P674:Q674 P676:Q677 P679:Q679 P681:Q681 P684:Q685 P688:Q688 P690:Q690 P692:Q692 U692:V692">
    <cfRule type="containsText" dxfId="9" priority="12983" operator="containsText" text="No">
      <formula>NOT(ISERROR(SEARCH(("No"),(O670))))</formula>
    </cfRule>
  </conditionalFormatting>
  <conditionalFormatting sqref="O670 P660:Q661 P663:Q663 P666:Q669 P674:Q674 P676:Q677 P679:Q679 P681:Q681 P684:Q685 P688:Q688 P690:Q690 P692:Q692 U692:V692">
    <cfRule type="containsText" dxfId="2" priority="12984" operator="containsText" text="Yes">
      <formula>NOT(ISERROR(SEARCH(("Yes"),(O670))))</formula>
    </cfRule>
  </conditionalFormatting>
  <conditionalFormatting sqref="O670 P660:Q661 P663:Q663 P666:Q669 P674:Q674 P676:Q677 P679:Q679 P681:Q681 P684:Q685 P688:Q688 P690:Q690 P692:Q692 U692:V692">
    <cfRule type="containsText" dxfId="9" priority="12985" operator="containsText" text="No">
      <formula>NOT(ISERROR(SEARCH(("No"),(O670))))</formula>
    </cfRule>
  </conditionalFormatting>
  <conditionalFormatting sqref="O670 P660:Q661 P663:Q663 P666:Q669 P674:Q674 P676:Q677 P679:Q679 P681:Q681 P684:Q685 P688:Q688 P690:Q690 P692:Q692 U692:V692">
    <cfRule type="containsText" dxfId="2" priority="12986" operator="containsText" text="Yes">
      <formula>NOT(ISERROR(SEARCH(("Yes"),(O670))))</formula>
    </cfRule>
  </conditionalFormatting>
  <conditionalFormatting sqref="O670 P660:Q661 P663:Q663 P666:Q669 P674:Q674 P676:Q677 P679:Q679 P681:Q681 P684:Q685 P688:Q688 P690:Q690 P692:Q692 U692:V692">
    <cfRule type="containsText" dxfId="9" priority="12987" operator="containsText" text="No">
      <formula>NOT(ISERROR(SEARCH(("No"),(O670))))</formula>
    </cfRule>
  </conditionalFormatting>
  <conditionalFormatting sqref="O670 P660:Q661 P663:Q663 P666:Q669 P674:Q674 P676:Q677 P679:Q679 P681:Q681 P684:Q685 P688:Q688 P690:Q690 P692:Q692 U692:V692">
    <cfRule type="containsText" dxfId="2" priority="12988" operator="containsText" text="Yes">
      <formula>NOT(ISERROR(SEARCH(("Yes"),(O670))))</formula>
    </cfRule>
  </conditionalFormatting>
  <conditionalFormatting sqref="O670 P660:Q661 P663:Q663 P666:Q669 P674:Q674 P676:Q677 P679:Q679 P681:Q681 P684:Q685 P688:Q688 P690:Q690 P692:Q692 U692:V692">
    <cfRule type="containsText" dxfId="9" priority="12989" operator="containsText" text="No">
      <formula>NOT(ISERROR(SEARCH(("No"),(O670))))</formula>
    </cfRule>
  </conditionalFormatting>
  <conditionalFormatting sqref="O670 P660:Q661 P663:Q663 P666:Q669 P674:Q674 P676:Q677 P679:Q679 P681:Q681 P684:Q685 P688:Q688 P690:Q690 P692:Q692 U692:V692">
    <cfRule type="containsText" dxfId="2" priority="12990" operator="containsText" text="Yes">
      <formula>NOT(ISERROR(SEARCH(("Yes"),(O670))))</formula>
    </cfRule>
  </conditionalFormatting>
  <conditionalFormatting sqref="O670 P660:Q661 P663:Q663 P666:Q669 P674:Q674 P676:Q677 P679:Q679 P681:Q681 P684:Q685 P688:Q688 P690:Q690 P692:Q692 U692:V692">
    <cfRule type="containsText" dxfId="9" priority="12991" operator="containsText" text="No">
      <formula>NOT(ISERROR(SEARCH(("No"),(O670))))</formula>
    </cfRule>
  </conditionalFormatting>
  <conditionalFormatting sqref="O670 P660:Q661 P663:Q663 P666:Q669 P674:Q674 P676:Q677 P679:Q679 P681:Q681 P684:Q685 P688:Q688 P690:Q690 P692:Q692 U692:V692">
    <cfRule type="containsText" dxfId="2" priority="12992" operator="containsText" text="Yes">
      <formula>NOT(ISERROR(SEARCH(("Yes"),(O670))))</formula>
    </cfRule>
  </conditionalFormatting>
  <conditionalFormatting sqref="O670 P660:Q661 P663:Q663 P666:Q669 P674:Q674 P676:Q677 P679:Q679 P681:Q681 P684:Q685 P688:Q688 P690:Q690 P692:Q692 U692:V692">
    <cfRule type="containsText" dxfId="9" priority="12993" operator="containsText" text="No">
      <formula>NOT(ISERROR(SEARCH(("No"),(O670))))</formula>
    </cfRule>
  </conditionalFormatting>
  <conditionalFormatting sqref="O670 P660:Q661 P663:Q663 P666:Q669 P674:Q674 P676:Q677 P679:Q679 P681:Q681 P684:Q685 P688:Q688 P690:Q690 P692:Q692 U692:V692">
    <cfRule type="containsText" dxfId="2" priority="12994" operator="containsText" text="Yes">
      <formula>NOT(ISERROR(SEARCH(("Yes"),(O670))))</formula>
    </cfRule>
  </conditionalFormatting>
  <conditionalFormatting sqref="O670 P660:Q661 P663:Q663 P666:Q669 P674:Q674 P676:Q677 P679:Q679 P681:Q681 P684:Q685 P688:Q688 P690:Q690 P692:Q692 U692:V692">
    <cfRule type="containsText" dxfId="9" priority="12995" operator="containsText" text="No">
      <formula>NOT(ISERROR(SEARCH(("No"),(O670))))</formula>
    </cfRule>
  </conditionalFormatting>
  <conditionalFormatting sqref="O670 P660:Q661 P663:Q663 P666:Q669 P674:Q674 P676:Q677 P679:Q679 P681:Q681 P684:Q685 P688:Q688 P690:Q690 P692:Q692 U692:V692">
    <cfRule type="containsText" dxfId="2" priority="12996" operator="containsText" text="Yes">
      <formula>NOT(ISERROR(SEARCH(("Yes"),(O670))))</formula>
    </cfRule>
  </conditionalFormatting>
  <conditionalFormatting sqref="O670 P660:Q661 P663:Q663 P666:Q669 P674:Q674 P676:Q677 P679:Q679 P681:Q681 P684:Q685 P688:Q688 P690:Q690 P692:Q692 U692:V692">
    <cfRule type="containsText" dxfId="9" priority="12997" operator="containsText" text="No">
      <formula>NOT(ISERROR(SEARCH(("No"),(O670))))</formula>
    </cfRule>
  </conditionalFormatting>
  <conditionalFormatting sqref="O670 P660:Q661 P663:Q663 P666:Q669 P674:Q674 P676:Q677 P679:Q679 P681:Q681 P684:Q685 P688:Q688 P690:Q690 P692:Q692 U692:V692">
    <cfRule type="containsText" dxfId="2" priority="12998" operator="containsText" text="Yes">
      <formula>NOT(ISERROR(SEARCH(("Yes"),(O670))))</formula>
    </cfRule>
  </conditionalFormatting>
  <conditionalFormatting sqref="O670 P660:Q661 P663:Q663 P666:Q669 P674:Q674 P676:Q677 P679:Q679 P681:Q681 P684:Q685 P688:Q688 P690:Q690 P692:Q692 U692:V692">
    <cfRule type="containsText" dxfId="9" priority="12999" operator="containsText" text="No">
      <formula>NOT(ISERROR(SEARCH(("No"),(O670))))</formula>
    </cfRule>
  </conditionalFormatting>
  <conditionalFormatting sqref="O670 P660:Q661 P663:Q663 P666:Q669 P674:Q674 P676:Q677 P679:Q679 P681:Q681 P684:Q685 P688:Q688 P690:Q690 P692:Q692 U692:V692">
    <cfRule type="containsText" dxfId="2" priority="13000" operator="containsText" text="Yes">
      <formula>NOT(ISERROR(SEARCH(("Yes"),(O670))))</formula>
    </cfRule>
  </conditionalFormatting>
  <conditionalFormatting sqref="O670 P660:Q661 P663:Q663 P666:Q669 P674:Q674 P676:Q677 P679:Q679 P681:Q681 P684:Q685 P688:Q688 P690:Q690 P692:Q692 U692:V692">
    <cfRule type="containsText" dxfId="9" priority="13001" operator="containsText" text="No">
      <formula>NOT(ISERROR(SEARCH(("No"),(O670))))</formula>
    </cfRule>
  </conditionalFormatting>
  <conditionalFormatting sqref="O670 P660:Q661 P663:Q663 P666:Q669 P674:Q674 P676:Q677 P679:Q679 P681:Q681 P684:Q685 P688:Q688 P690:Q690 P692:Q692 U692:V692">
    <cfRule type="containsText" dxfId="2" priority="13002" operator="containsText" text="Yes">
      <formula>NOT(ISERROR(SEARCH(("Yes"),(O670))))</formula>
    </cfRule>
  </conditionalFormatting>
  <conditionalFormatting sqref="O670 P660:Q661 P663:Q663 P666:Q669 P674:Q674 P676:Q677 P679:Q679 P681:Q681 P684:Q685 P688:Q688 P690:Q690 P692:Q692 U692:V692">
    <cfRule type="containsText" dxfId="9" priority="13003" operator="containsText" text="No">
      <formula>NOT(ISERROR(SEARCH(("No"),(O670))))</formula>
    </cfRule>
  </conditionalFormatting>
  <conditionalFormatting sqref="O670 P660:Q661 P663:Q663 P666:Q669 P674:Q674 P676:Q677 P679:Q679 P681:Q681 P684:Q685 P688:Q688 P690:Q690 P692:Q692 U692:V692">
    <cfRule type="containsText" dxfId="2" priority="13004" operator="containsText" text="Yes">
      <formula>NOT(ISERROR(SEARCH(("Yes"),(O670))))</formula>
    </cfRule>
  </conditionalFormatting>
  <conditionalFormatting sqref="O670 P660:Q661 P663:Q663 P666:Q669 P674:Q674 P676:Q677 P679:Q679 P681:Q681 P684:Q685 P688:Q688 P690:Q690 P692:Q692 U692:V692">
    <cfRule type="containsText" dxfId="9" priority="13005" operator="containsText" text="No">
      <formula>NOT(ISERROR(SEARCH(("No"),(O670))))</formula>
    </cfRule>
  </conditionalFormatting>
  <conditionalFormatting sqref="O670 P660:Q661 P663:Q663 P666:Q669 P674:Q674 P676:Q677 P679:Q679 P681:Q681 P684:Q685 P688:Q688 P690:Q690 P692:Q692 U692:V692">
    <cfRule type="containsText" dxfId="2" priority="13006" operator="containsText" text="Yes">
      <formula>NOT(ISERROR(SEARCH(("Yes"),(O670))))</formula>
    </cfRule>
  </conditionalFormatting>
  <conditionalFormatting sqref="O670 P660:Q661 P663:Q663 P666:Q669 P674:Q674 P676:Q677 P679:Q679 P681:Q681 P684:Q685 P688:Q688 P690:Q690 P692:Q692 U692:V692">
    <cfRule type="containsText" dxfId="9" priority="13007" operator="containsText" text="No">
      <formula>NOT(ISERROR(SEARCH(("No"),(O670))))</formula>
    </cfRule>
  </conditionalFormatting>
  <conditionalFormatting sqref="O670 P660:Q661 P663:Q663 P666:Q669 P674:Q674 P676:Q677 P679:Q679 P681:Q681 P684:Q685 P688:Q688 P690:Q690 P692:Q692 U692:V692">
    <cfRule type="containsText" dxfId="2" priority="13008" operator="containsText" text="Yes">
      <formula>NOT(ISERROR(SEARCH(("Yes"),(O670))))</formula>
    </cfRule>
  </conditionalFormatting>
  <conditionalFormatting sqref="O670 P660:Q661 P663:Q663 P666:Q669 P674:Q674 P676:Q677 P679:Q679 P681:Q681 P684:Q685 P688:Q688 P690:Q690 P692:Q692 U692:V692">
    <cfRule type="containsText" dxfId="9" priority="13009" operator="containsText" text="No">
      <formula>NOT(ISERROR(SEARCH(("No"),(O670))))</formula>
    </cfRule>
  </conditionalFormatting>
  <conditionalFormatting sqref="O670 P660:Q661 P663:Q663 P666:Q669 P674:Q674 P676:Q677 P679:Q679 P681:Q681 P684:Q685 P688:Q688 P690:Q690 P692:Q692 U692:V692">
    <cfRule type="containsText" dxfId="2" priority="13010" operator="containsText" text="Yes">
      <formula>NOT(ISERROR(SEARCH(("Yes"),(O670))))</formula>
    </cfRule>
  </conditionalFormatting>
  <conditionalFormatting sqref="O670 P660:Q661 P663:Q663 P666:Q669 P674:Q674 P676:Q677 P679:Q679 P681:Q681 P684:Q685 P688:Q688 P690:Q690 P692:Q692 U692:V692">
    <cfRule type="containsText" dxfId="9" priority="13011" operator="containsText" text="No">
      <formula>NOT(ISERROR(SEARCH(("No"),(O670))))</formula>
    </cfRule>
  </conditionalFormatting>
  <conditionalFormatting sqref="O670 P660:Q661 P663:Q663 P666:Q669 P674:Q674 P676:Q677 P679:Q679 P681:Q681 P684:Q685 P688:Q688 P690:Q690 P692:Q692 U692:V692">
    <cfRule type="containsText" dxfId="2" priority="13012" operator="containsText" text="Yes">
      <formula>NOT(ISERROR(SEARCH(("Yes"),(O670))))</formula>
    </cfRule>
  </conditionalFormatting>
  <conditionalFormatting sqref="O670 P660:Q661 P663:Q663 P666:Q669 P674:Q674 P676:Q677 P679:Q679 P681:Q681 P684:Q685 P688:Q688 P690:Q690 P692:Q692 U692:V692">
    <cfRule type="containsText" dxfId="9" priority="13013" operator="containsText" text="No">
      <formula>NOT(ISERROR(SEARCH(("No"),(O670))))</formula>
    </cfRule>
  </conditionalFormatting>
  <conditionalFormatting sqref="O670 P660:Q661 P663:Q663 P666:Q669 P674:Q674 P676:Q677 P679:Q679 P681:Q681 P684:Q685 P688:Q688 P690:Q690 P692:Q692 U692:V692">
    <cfRule type="containsText" dxfId="2" priority="13014" operator="containsText" text="Yes">
      <formula>NOT(ISERROR(SEARCH(("Yes"),(O670))))</formula>
    </cfRule>
  </conditionalFormatting>
  <conditionalFormatting sqref="O670 P660:Q661 P663:Q663 P666:Q669 P674:Q674 P676:Q677 P679:Q679 P681:Q681 P684:Q685 P688:Q688 P690:Q690 P692:Q692 U692:V692">
    <cfRule type="containsText" dxfId="9" priority="13015" operator="containsText" text="No">
      <formula>NOT(ISERROR(SEARCH(("No"),(O670))))</formula>
    </cfRule>
  </conditionalFormatting>
  <conditionalFormatting sqref="O670 P660:Q661 P663:Q663 P666:Q669 P674:Q674 P676:Q677 P679:Q679 P681:Q681 P684:Q685 P688:Q688 P690:Q690 P692:Q692 U692:V692">
    <cfRule type="containsText" dxfId="2" priority="13016" operator="containsText" text="Yes">
      <formula>NOT(ISERROR(SEARCH(("Yes"),(O670))))</formula>
    </cfRule>
  </conditionalFormatting>
  <conditionalFormatting sqref="O670 P660:Q661 P663:Q663 P666:Q669 P674:Q674 P676:Q677 P679:Q679 P681:Q681 P684:Q685 P688:Q688 P690:Q690 P692:Q692 U692:V692">
    <cfRule type="containsText" dxfId="9" priority="13017" operator="containsText" text="No">
      <formula>NOT(ISERROR(SEARCH(("No"),(O670))))</formula>
    </cfRule>
  </conditionalFormatting>
  <conditionalFormatting sqref="O670 P660:Q661 P663:Q663 P666:Q669 P674:Q674 P676:Q677 P679:Q679 P681:Q681 P684:Q685 P688:Q688 P690:Q690 P692:Q692 U692:V692">
    <cfRule type="containsText" dxfId="2" priority="13018" operator="containsText" text="Yes">
      <formula>NOT(ISERROR(SEARCH(("Yes"),(O670))))</formula>
    </cfRule>
  </conditionalFormatting>
  <conditionalFormatting sqref="O670 P660:Q661 P663:Q663 P666:Q669 P674:Q674 P676:Q677 P679:Q679 P681:Q681 P684:Q685 P688:Q688 P690:Q690 P692:Q692 U692:V692">
    <cfRule type="containsText" dxfId="9" priority="13019" operator="containsText" text="No">
      <formula>NOT(ISERROR(SEARCH(("No"),(O670))))</formula>
    </cfRule>
  </conditionalFormatting>
  <conditionalFormatting sqref="O670 P660:Q661 P663:Q663 P666:Q669 P674:Q674 P676:Q677 P679:Q679 P681:Q681 P684:Q685 P688:Q688 P690:Q690 P692:Q692 U692:V692">
    <cfRule type="containsText" dxfId="2" priority="13020" operator="containsText" text="Yes">
      <formula>NOT(ISERROR(SEARCH(("Yes"),(O670))))</formula>
    </cfRule>
  </conditionalFormatting>
  <conditionalFormatting sqref="O670 P660:Q661 P663:Q663 P666:Q669 P674:Q674 P676:Q677 P679:Q679 P681:Q681 P684:Q685 P688:Q688 P690:Q690 P692:Q692 U692:V692">
    <cfRule type="containsText" dxfId="9" priority="13021" operator="containsText" text="No">
      <formula>NOT(ISERROR(SEARCH(("No"),(O670))))</formula>
    </cfRule>
  </conditionalFormatting>
  <conditionalFormatting sqref="O670 P660:Q661 P663:Q663 P666:Q669 P674:Q674 P676:Q677 P679:Q679 P681:Q681 P684:Q685 P688:Q688 P690:Q690 P692:Q692 U692:V692">
    <cfRule type="containsText" dxfId="2" priority="13022" operator="containsText" text="Yes">
      <formula>NOT(ISERROR(SEARCH(("Yes"),(O670))))</formula>
    </cfRule>
  </conditionalFormatting>
  <conditionalFormatting sqref="O670 P660:Q661 P663:Q663 P666:Q669 P674:Q674 P676:Q677 P679:Q679 P681:Q681 P684:Q685 P688:Q688 P690:Q690 P692:Q692 U692:V692">
    <cfRule type="containsText" dxfId="9" priority="13023" operator="containsText" text="No">
      <formula>NOT(ISERROR(SEARCH(("No"),(O670))))</formula>
    </cfRule>
  </conditionalFormatting>
  <conditionalFormatting sqref="O670 P660:Q661 P663:Q663 P666:Q669 P674:Q674 P676:Q677 P679:Q679 P681:Q681 P684:Q685 P688:Q688 P690:Q690 P692:Q692 U692:V692">
    <cfRule type="containsText" dxfId="2" priority="13024" operator="containsText" text="Yes">
      <formula>NOT(ISERROR(SEARCH(("Yes"),(O670))))</formula>
    </cfRule>
  </conditionalFormatting>
  <conditionalFormatting sqref="O670 P660:Q661 P663:Q663 P666:Q669 P674:Q674 P676:Q677 P679:Q679 P681:Q681 P684:Q685 P688:Q688 P690:Q690 P692:Q692 U692:V692">
    <cfRule type="containsText" dxfId="9" priority="13025" operator="containsText" text="No">
      <formula>NOT(ISERROR(SEARCH(("No"),(O670))))</formula>
    </cfRule>
  </conditionalFormatting>
  <conditionalFormatting sqref="O670 P660:Q661 P663:Q663 P666:Q669 P674:Q674 P676:Q677 P679:Q679 P681:Q681 P684:Q685 P688:Q688 P690:Q690 P692:Q692 U692:V692">
    <cfRule type="containsText" dxfId="2" priority="13026" operator="containsText" text="Yes">
      <formula>NOT(ISERROR(SEARCH(("Yes"),(O670))))</formula>
    </cfRule>
  </conditionalFormatting>
  <conditionalFormatting sqref="O670 P660:Q661 P663:Q663 P666:Q669 P674:Q674 P676:Q677 P679:Q679 P681:Q681 P684:Q685 P688:Q688 P690:Q690 P692:Q692 U692:V692">
    <cfRule type="containsText" dxfId="9" priority="13027" operator="containsText" text="No">
      <formula>NOT(ISERROR(SEARCH(("No"),(O670))))</formula>
    </cfRule>
  </conditionalFormatting>
  <conditionalFormatting sqref="O670 P660:Q661 P663:Q663 P666:Q669 P674:Q674 P676:Q677 P679:Q679 P681:Q681 P684:Q685 P688:Q688 P690:Q690 P692:Q692 U692:V692">
    <cfRule type="containsText" dxfId="2" priority="13028" operator="containsText" text="Yes">
      <formula>NOT(ISERROR(SEARCH(("Yes"),(O670))))</formula>
    </cfRule>
  </conditionalFormatting>
  <conditionalFormatting sqref="O670 P660:Q661 P663:Q663 P666:Q669 P674:Q674 P676:Q677 P679:Q679 P681:Q681 P684:Q685 P688:Q688 P690:Q690 P692:Q692 U692:V692">
    <cfRule type="containsText" dxfId="9" priority="13029" operator="containsText" text="No">
      <formula>NOT(ISERROR(SEARCH(("No"),(O670))))</formula>
    </cfRule>
  </conditionalFormatting>
  <conditionalFormatting sqref="O670 P660:Q661 P663:Q663 P666:Q669 P674:Q674 P676:Q677 P679:Q679 P681:Q681 P684:Q685 P688:Q688 P690:Q690 P692:Q692 U692:V692">
    <cfRule type="containsText" dxfId="2" priority="13030" operator="containsText" text="Yes">
      <formula>NOT(ISERROR(SEARCH(("Yes"),(O670))))</formula>
    </cfRule>
  </conditionalFormatting>
  <conditionalFormatting sqref="O670 P660:Q661 P663:Q663 P666:Q669 P674:Q674 P676:Q677 P679:Q679 P681:Q681 P684:Q685 P688:Q688 P690:Q690 P692:Q692 U692:V692">
    <cfRule type="containsText" dxfId="9" priority="13031" operator="containsText" text="No">
      <formula>NOT(ISERROR(SEARCH(("No"),(O670))))</formula>
    </cfRule>
  </conditionalFormatting>
  <conditionalFormatting sqref="O670 P660:Q661 P663:Q663 P666:Q669 P674:Q674 P676:Q677 P679:Q679 P681:Q681 P684:Q685 P688:Q688 P690:Q690 P692:Q692 U692:V692">
    <cfRule type="containsText" dxfId="2" priority="13032" operator="containsText" text="Yes">
      <formula>NOT(ISERROR(SEARCH(("Yes"),(O670))))</formula>
    </cfRule>
  </conditionalFormatting>
  <conditionalFormatting sqref="O670 P660:Q661 P663:Q663 P666:Q669 P674:Q674 P676:Q677 P679:Q679 P681:Q681 P684:Q685 P688:Q688 P690:Q690 P692:Q692 U692:V692">
    <cfRule type="containsText" dxfId="9" priority="13033" operator="containsText" text="No">
      <formula>NOT(ISERROR(SEARCH(("No"),(O670))))</formula>
    </cfRule>
  </conditionalFormatting>
  <conditionalFormatting sqref="O670 P660:Q661 P663:Q663 P666:Q669 P674:Q674 P676:Q677 P679:Q679 P681:Q681 P684:Q685 P688:Q688 P690:Q690 P692:Q692 U692:V692">
    <cfRule type="containsText" dxfId="2" priority="13034" operator="containsText" text="Yes">
      <formula>NOT(ISERROR(SEARCH(("Yes"),(O670))))</formula>
    </cfRule>
  </conditionalFormatting>
  <conditionalFormatting sqref="O670 P660:Q661 P663:Q663 P666:Q669 P674:Q674 P676:Q677 P679:Q679 P681:Q681 P684:Q685 P688:Q688 P690:Q690 P692:Q692 U692:V692">
    <cfRule type="containsText" dxfId="9" priority="13035" operator="containsText" text="No">
      <formula>NOT(ISERROR(SEARCH(("No"),(O670))))</formula>
    </cfRule>
  </conditionalFormatting>
  <conditionalFormatting sqref="O670 P660:Q661 P663:Q663 P666:Q669 P674:Q674 P676:Q677 P679:Q679 P681:Q681 P684:Q685 P688:Q688 P690:Q690 P692:Q692 U692:V692">
    <cfRule type="containsText" dxfId="2" priority="13036" operator="containsText" text="Yes">
      <formula>NOT(ISERROR(SEARCH(("Yes"),(O670))))</formula>
    </cfRule>
  </conditionalFormatting>
  <conditionalFormatting sqref="O670 P660:Q661 P663:Q663 P666:Q669 P674:Q674 P676:Q677 P679:Q679 P681:Q681 P684:Q685 P688:Q688 P690:Q690 P692:Q692 U692:V692">
    <cfRule type="containsText" dxfId="9" priority="13037" operator="containsText" text="No">
      <formula>NOT(ISERROR(SEARCH(("No"),(O670))))</formula>
    </cfRule>
  </conditionalFormatting>
  <conditionalFormatting sqref="O670 P660:Q661 P663:Q663 P666:Q669 P674:Q674 P676:Q677 P679:Q679 P681:Q681 P684:Q685 P688:Q688 P690:Q690 P692:Q692 U692:V692">
    <cfRule type="containsText" dxfId="2" priority="13038" operator="containsText" text="Yes">
      <formula>NOT(ISERROR(SEARCH(("Yes"),(O670))))</formula>
    </cfRule>
  </conditionalFormatting>
  <conditionalFormatting sqref="O670 P660:Q661 P663:Q663 P666:Q669 P674:Q674 P676:Q677 P679:Q679 P681:Q681 P684:Q685 P688:Q688 P690:Q690 P692:Q692 U692:V692">
    <cfRule type="containsText" dxfId="9" priority="13039" operator="containsText" text="No">
      <formula>NOT(ISERROR(SEARCH(("No"),(O670))))</formula>
    </cfRule>
  </conditionalFormatting>
  <conditionalFormatting sqref="O670 P660:Q661 P663:Q663 P666:Q669 P674:Q674 P676:Q677 P679:Q679 P681:Q681 P684:Q685 P688:Q688 P690:Q690 P692:Q692 U692:V692">
    <cfRule type="containsText" dxfId="2" priority="13040" operator="containsText" text="Yes">
      <formula>NOT(ISERROR(SEARCH(("Yes"),(O670))))</formula>
    </cfRule>
  </conditionalFormatting>
  <conditionalFormatting sqref="O670 P660:Q661 P663:Q663 P666:Q669 P674:Q674 P676:Q677 P679:Q679 P681:Q681 P684:Q685 P688:Q688 P690:Q690 P692:Q692 U692:V692">
    <cfRule type="containsText" dxfId="9" priority="13041" operator="containsText" text="No">
      <formula>NOT(ISERROR(SEARCH(("No"),(O670))))</formula>
    </cfRule>
  </conditionalFormatting>
  <conditionalFormatting sqref="O670 P660:Q661 P663:Q663 P666:Q669 P674:Q674 P676:Q677 P679:Q679 P681:Q681 P684:Q685 P688:Q688 P690:Q690 P692:Q692 U692:V692">
    <cfRule type="containsText" dxfId="2" priority="13042" operator="containsText" text="Yes">
      <formula>NOT(ISERROR(SEARCH(("Yes"),(O670))))</formula>
    </cfRule>
  </conditionalFormatting>
  <conditionalFormatting sqref="O670 P660:Q661 P663:Q663 P666:Q669 P674:Q674 P676:Q677 P679:Q679 P681:Q681 P684:Q685 P688:Q688 P690:Q690 P692:Q692 U692:V692">
    <cfRule type="containsText" dxfId="9" priority="13043" operator="containsText" text="No">
      <formula>NOT(ISERROR(SEARCH(("No"),(O670))))</formula>
    </cfRule>
  </conditionalFormatting>
  <conditionalFormatting sqref="O670 P660:Q661 P663:Q663 P666:Q669 P674:Q674 P676:Q677 P679:Q679 P681:Q681 P684:Q685 P688:Q688 P690:Q690 P692:Q692 U692:V692">
    <cfRule type="containsText" dxfId="2" priority="13044" operator="containsText" text="Yes">
      <formula>NOT(ISERROR(SEARCH(("Yes"),(O670))))</formula>
    </cfRule>
  </conditionalFormatting>
  <conditionalFormatting sqref="O670 P660:Q661 P663:Q663 P666:Q669 P674:Q674 P676:Q677 P679:Q679 P681:Q681 P684:Q685 P688:Q688 P690:Q690 P692:Q692 U692:V692">
    <cfRule type="containsText" dxfId="9" priority="13045" operator="containsText" text="No">
      <formula>NOT(ISERROR(SEARCH(("No"),(O670))))</formula>
    </cfRule>
  </conditionalFormatting>
  <conditionalFormatting sqref="O670 P660:Q661 P663:Q663 P666:Q669 P674:Q674 P676:Q677 P679:Q679 P681:Q681 P684:Q685 P688:Q688 P690:Q690 P692:Q692 U692:V692">
    <cfRule type="containsText" dxfId="2" priority="13046" operator="containsText" text="Yes">
      <formula>NOT(ISERROR(SEARCH(("Yes"),(O670))))</formula>
    </cfRule>
  </conditionalFormatting>
  <conditionalFormatting sqref="O670 P660:Q661 P663:Q663 P666:Q669 P674:Q674 P676:Q677 P679:Q679 P681:Q681 P684:Q685 P688:Q688 P690:Q690 P692:Q692 U692:V692">
    <cfRule type="containsText" dxfId="9" priority="13047" operator="containsText" text="No">
      <formula>NOT(ISERROR(SEARCH(("No"),(O670))))</formula>
    </cfRule>
  </conditionalFormatting>
  <conditionalFormatting sqref="O670 P660:Q661 P663:Q663 P666:Q669 P674:Q674 P676:Q677 P679:Q679 P681:Q681 P684:Q685 P688:Q688 P690:Q690 P692:Q692 U692:V692">
    <cfRule type="containsText" dxfId="2" priority="13048" operator="containsText" text="Yes">
      <formula>NOT(ISERROR(SEARCH(("Yes"),(O670))))</formula>
    </cfRule>
  </conditionalFormatting>
  <conditionalFormatting sqref="O670 P660:Q661 P663:Q663 P666:Q669 P674:Q674 P676:Q677 P679:Q679 P681:Q681 P684:Q685 P688:Q688 P690:Q690 P692:Q692 U692:V692">
    <cfRule type="containsText" dxfId="9" priority="13049" operator="containsText" text="No">
      <formula>NOT(ISERROR(SEARCH(("No"),(O670))))</formula>
    </cfRule>
  </conditionalFormatting>
  <conditionalFormatting sqref="O670 P660:Q661 P663:Q663 P666:Q669 P674:Q674 P676:Q677 P679:Q679 P681:Q681 P684:Q685 P688:Q688 P690:Q690 P692:Q692 U692:V692">
    <cfRule type="containsText" dxfId="2" priority="13050" operator="containsText" text="Yes">
      <formula>NOT(ISERROR(SEARCH(("Yes"),(O670))))</formula>
    </cfRule>
  </conditionalFormatting>
  <conditionalFormatting sqref="O670 P660:Q661 P663:Q663 P666:Q669 P674:Q674 P676:Q677 P679:Q679 P681:Q681 P684:Q685 P688:Q688 P690:Q690 P692:Q692 U692:V692">
    <cfRule type="containsText" dxfId="9" priority="13051" operator="containsText" text="No">
      <formula>NOT(ISERROR(SEARCH(("No"),(O670))))</formula>
    </cfRule>
  </conditionalFormatting>
  <conditionalFormatting sqref="O670 P660:Q661 P663:Q663 P666:Q669 P674:Q674 P676:Q677 P679:Q679 P681:Q681 P684:Q685 P688:Q688 P690:Q690 P692:Q692 U692:V692">
    <cfRule type="containsText" dxfId="2" priority="13052" operator="containsText" text="Yes">
      <formula>NOT(ISERROR(SEARCH(("Yes"),(O670))))</formula>
    </cfRule>
  </conditionalFormatting>
  <conditionalFormatting sqref="O670 P660:Q661 P663:Q663 P666:Q669 P674:Q674 P676:Q677 P679:Q679 P681:Q681 P684:Q685 P688:Q688 P690:Q690 P692:Q692 U692:V692">
    <cfRule type="containsText" dxfId="9" priority="13053" operator="containsText" text="No">
      <formula>NOT(ISERROR(SEARCH(("No"),(O670))))</formula>
    </cfRule>
  </conditionalFormatting>
  <conditionalFormatting sqref="O670 P660:Q661 P663:Q663 P666:Q669 P674:Q674 P676:Q677 P679:Q679 P681:Q681 P684:Q685 P688:Q688 P690:Q690 P692:Q692 U692:V692">
    <cfRule type="containsText" dxfId="2" priority="13054" operator="containsText" text="Yes">
      <formula>NOT(ISERROR(SEARCH(("Yes"),(O670))))</formula>
    </cfRule>
  </conditionalFormatting>
  <conditionalFormatting sqref="O670 P660:Q661 P663:Q663 P666:Q669 P674:Q674 P676:Q677 P679:Q679 P681:Q681 P684:Q685 P688:Q688 P690:Q690 P692:Q692 U692:V692">
    <cfRule type="containsText" dxfId="9" priority="13055" operator="containsText" text="No">
      <formula>NOT(ISERROR(SEARCH(("No"),(O670))))</formula>
    </cfRule>
  </conditionalFormatting>
  <conditionalFormatting sqref="O670 P660:Q661 P663:Q663 P666:Q669 P674:Q674 P676:Q677 P679:Q679 P681:Q681 P684:Q685 P688:Q688 P690:Q690 P692:Q692 U692:V692">
    <cfRule type="containsText" dxfId="2" priority="13056" operator="containsText" text="Yes">
      <formula>NOT(ISERROR(SEARCH(("Yes"),(O670))))</formula>
    </cfRule>
  </conditionalFormatting>
  <conditionalFormatting sqref="O670 P660:Q661 P663:Q663 P666:Q669 P674:Q674 P676:Q677 P679:Q679 P681:Q681 P684:Q685 P688:Q688 P690:Q690 P692:Q692 U692:V692">
    <cfRule type="containsText" dxfId="9" priority="13057" operator="containsText" text="No">
      <formula>NOT(ISERROR(SEARCH(("No"),(O670))))</formula>
    </cfRule>
  </conditionalFormatting>
  <conditionalFormatting sqref="O670 P660:Q661 P663:Q663 P666:Q669 P674:Q674 P676:Q677 P679:Q679 P681:Q681 P684:Q685 P688:Q688 P690:Q690 P692:Q692 U692:V692">
    <cfRule type="containsText" dxfId="2" priority="13058" operator="containsText" text="Yes">
      <formula>NOT(ISERROR(SEARCH(("Yes"),(O670))))</formula>
    </cfRule>
  </conditionalFormatting>
  <conditionalFormatting sqref="O670 P660:Q661 P663:Q663 P666:Q669 P674:Q674 P676:Q677 P679:Q679 P681:Q681 P684:Q685 P688:Q688 P690:Q690 P692:Q692 U692:V692">
    <cfRule type="containsText" dxfId="9" priority="13059" operator="containsText" text="No">
      <formula>NOT(ISERROR(SEARCH(("No"),(O670))))</formula>
    </cfRule>
  </conditionalFormatting>
  <conditionalFormatting sqref="O670 P660:Q661 P663:Q663 P666:Q669 P674:Q674 P676:Q677 P679:Q679 P681:Q681 P684:Q685 P688:Q688 P690:Q690 P692:Q692 U692:V692">
    <cfRule type="containsText" dxfId="2" priority="13060" operator="containsText" text="Yes">
      <formula>NOT(ISERROR(SEARCH(("Yes"),(O670))))</formula>
    </cfRule>
  </conditionalFormatting>
  <conditionalFormatting sqref="O670 P660:Q661 P663:Q663 P666:Q669 P674:Q674 P676:Q677 P679:Q679 P681:Q681 P684:Q685 P688:Q688 P690:Q690 P692:Q692 U692:V692">
    <cfRule type="containsText" dxfId="9" priority="13061" operator="containsText" text="No">
      <formula>NOT(ISERROR(SEARCH(("No"),(O670))))</formula>
    </cfRule>
  </conditionalFormatting>
  <conditionalFormatting sqref="O670 P660:Q661 P663:Q663 P666:Q669 P674:Q674 P676:Q677 P679:Q679 P681:Q681 P684:Q685 P688:Q688 P690:Q690 P692:Q692 U692:V692">
    <cfRule type="containsText" dxfId="2" priority="13062" operator="containsText" text="Yes">
      <formula>NOT(ISERROR(SEARCH(("Yes"),(O670))))</formula>
    </cfRule>
  </conditionalFormatting>
  <conditionalFormatting sqref="O670 P660:Q661 P663:Q663 P666:Q669 P674:Q674 P676:Q677 P679:Q679 P681:Q681 P684:Q685 P688:Q688 P690:Q690 P692:Q692 U692:V692">
    <cfRule type="containsText" dxfId="9" priority="13063" operator="containsText" text="No">
      <formula>NOT(ISERROR(SEARCH(("No"),(O670))))</formula>
    </cfRule>
  </conditionalFormatting>
  <conditionalFormatting sqref="O670 P660:Q661 P663:Q663 P666:Q669 P674:Q674 P676:Q677 P679:Q679 P681:Q681 P684:Q685 P688:Q688 P690:Q690 P692:Q692 U692:V692">
    <cfRule type="containsText" dxfId="2" priority="13064" operator="containsText" text="Yes">
      <formula>NOT(ISERROR(SEARCH(("Yes"),(O670))))</formula>
    </cfRule>
  </conditionalFormatting>
  <conditionalFormatting sqref="O670 P660:Q661 P663:Q663 P666:Q669 P674:Q674 P676:Q677 P679:Q679 P681:Q681 P684:Q685 P688:Q688 P690:Q690 P692:Q692 U692:V692">
    <cfRule type="containsText" dxfId="9" priority="13065" operator="containsText" text="No">
      <formula>NOT(ISERROR(SEARCH(("No"),(O670))))</formula>
    </cfRule>
  </conditionalFormatting>
  <conditionalFormatting sqref="O670 P660:Q661 P663:Q663 P666:Q669 P674:Q674 P676:Q677 P679:Q679 P681:Q681 P684:Q685 P688:Q688 P690:Q690 P692:Q692 U692:V692">
    <cfRule type="containsText" dxfId="2" priority="13066" operator="containsText" text="Yes">
      <formula>NOT(ISERROR(SEARCH(("Yes"),(O670))))</formula>
    </cfRule>
  </conditionalFormatting>
  <conditionalFormatting sqref="O670 P660:Q661 P663:Q663 P666:Q669 P674:Q674 P676:Q677 P679:Q679 P681:Q681 P684:Q685 P688:Q688 P690:Q690 P692:Q692 U692:V692">
    <cfRule type="containsText" dxfId="9" priority="13067" operator="containsText" text="No">
      <formula>NOT(ISERROR(SEARCH(("No"),(O670))))</formula>
    </cfRule>
  </conditionalFormatting>
  <conditionalFormatting sqref="O670 P660:Q661 P663:Q663 P666:Q669 P674:Q674 P676:Q677 P679:Q679 P681:Q681 P684:Q685 P688:Q688 P690:Q690 P692:Q692 U692:V692">
    <cfRule type="containsText" dxfId="2" priority="13068" operator="containsText" text="Yes">
      <formula>NOT(ISERROR(SEARCH(("Yes"),(O670))))</formula>
    </cfRule>
  </conditionalFormatting>
  <conditionalFormatting sqref="O670 P660:Q661 P663:Q663 P666:Q669 P674:Q674 P676:Q677 P679:Q679 P681:Q681 P684:Q685 P688:Q688 P690:Q690 P692:Q692 U692:V692">
    <cfRule type="containsText" dxfId="9" priority="13069" operator="containsText" text="No">
      <formula>NOT(ISERROR(SEARCH(("No"),(O670))))</formula>
    </cfRule>
  </conditionalFormatting>
  <conditionalFormatting sqref="O670 P660:Q661 P663:Q663 P666:Q669 P674:Q674 P676:Q677 P679:Q679 P681:Q681 P684:Q685 P688:Q688 P690:Q690 P692:Q692 U692:V692">
    <cfRule type="containsText" dxfId="2" priority="13070" operator="containsText" text="Yes">
      <formula>NOT(ISERROR(SEARCH(("Yes"),(O670))))</formula>
    </cfRule>
  </conditionalFormatting>
  <conditionalFormatting sqref="O670 P660:Q661 P663:Q663 P666:Q669 P674:Q674 P676:Q677 P679:Q679 P681:Q681 P684:Q685 P688:Q688 P690:Q690 P692:Q692 U692:V692">
    <cfRule type="containsText" dxfId="9" priority="13071" operator="containsText" text="No">
      <formula>NOT(ISERROR(SEARCH(("No"),(O670))))</formula>
    </cfRule>
  </conditionalFormatting>
  <conditionalFormatting sqref="O670 P660:Q661 P663:Q663 P666:Q669 P674:Q674 P676:Q677 P679:Q679 P681:Q681 P684:Q685 P688:Q688 P690:Q690 P692:Q692 U692:V692">
    <cfRule type="containsText" dxfId="2" priority="13072" operator="containsText" text="Yes">
      <formula>NOT(ISERROR(SEARCH(("Yes"),(O670))))</formula>
    </cfRule>
  </conditionalFormatting>
  <conditionalFormatting sqref="O670 P660:Q661 P663:Q663 P666:Q669 P674:Q674 P676:Q677 P679:Q679 P681:Q681 P684:Q685 P688:Q688 P690:Q690 P692:Q692 U692:V692">
    <cfRule type="containsText" dxfId="9" priority="13073" operator="containsText" text="No">
      <formula>NOT(ISERROR(SEARCH(("No"),(O670))))</formula>
    </cfRule>
  </conditionalFormatting>
  <conditionalFormatting sqref="O670 P660:Q661 P663:Q663 P666:Q669 P674:Q674 P676:Q677 P679:Q679 P681:Q681 P684:Q685 P688:Q688 P690:Q690 P692:Q692 U692:V692">
    <cfRule type="containsText" dxfId="2" priority="13074" operator="containsText" text="Yes">
      <formula>NOT(ISERROR(SEARCH(("Yes"),(O670))))</formula>
    </cfRule>
  </conditionalFormatting>
  <conditionalFormatting sqref="O670 P660:Q661 P663:Q663 P666:Q669 P674:Q674 P676:Q677 P679:Q679 P681:Q681 P684:Q685 P688:Q688 P690:Q690 P692:Q692 U692:V692">
    <cfRule type="containsText" dxfId="9" priority="13075" operator="containsText" text="No">
      <formula>NOT(ISERROR(SEARCH(("No"),(O670))))</formula>
    </cfRule>
  </conditionalFormatting>
  <conditionalFormatting sqref="O670 P660:Q661 P663:Q663 P666:Q669 P674:Q674 P676:Q677 P679:Q679 P681:Q681 P684:Q685 P688:Q688 P690:Q690 P692:Q692 U692:V692">
    <cfRule type="containsText" dxfId="2" priority="13076" operator="containsText" text="Yes">
      <formula>NOT(ISERROR(SEARCH(("Yes"),(O670))))</formula>
    </cfRule>
  </conditionalFormatting>
  <conditionalFormatting sqref="O670 P660:Q661 P663:Q663 P666:Q669 P674:Q674 P676:Q677 P679:Q679 P681:Q681 P684:Q685 P688:Q688 P690:Q690 P692:Q692 U692:V692">
    <cfRule type="containsText" dxfId="9" priority="13077" operator="containsText" text="No">
      <formula>NOT(ISERROR(SEARCH(("No"),(O670))))</formula>
    </cfRule>
  </conditionalFormatting>
  <conditionalFormatting sqref="O670 P660:Q661 P663:Q663 P666:Q669 P674:Q674 P676:Q677 P679:Q679 P681:Q681 P684:Q685 P688:Q688 P690:Q690 P692:Q692 U692:V692">
    <cfRule type="containsText" dxfId="2" priority="13078" operator="containsText" text="Yes">
      <formula>NOT(ISERROR(SEARCH(("Yes"),(O670))))</formula>
    </cfRule>
  </conditionalFormatting>
  <conditionalFormatting sqref="O670 P660:Q661 P663:Q663 P666:Q669 P674:Q674 P676:Q677 P679:Q679 P681:Q681 P684:Q685 P688:Q688 P690:Q690 P692:Q692 U692:V692">
    <cfRule type="containsText" dxfId="9" priority="13079" operator="containsText" text="No">
      <formula>NOT(ISERROR(SEARCH(("No"),(O670))))</formula>
    </cfRule>
  </conditionalFormatting>
  <conditionalFormatting sqref="O670 P660:Q661 P663:Q663 P666:Q669 P674:Q674 P676:Q677 P679:Q679 P681:Q681 P684:Q685 P688:Q688 P690:Q690 P692:Q692 U692:V692">
    <cfRule type="containsText" dxfId="2" priority="13080" operator="containsText" text="Yes">
      <formula>NOT(ISERROR(SEARCH(("Yes"),(O670))))</formula>
    </cfRule>
  </conditionalFormatting>
  <conditionalFormatting sqref="O670 P660:Q661 P663:Q663 P666:Q669 P674:Q674 P676:Q677 P679:Q679 P681:Q681 P684:Q685 P688:Q688 P690:Q690 P692:Q692 U692:V692">
    <cfRule type="containsText" dxfId="9" priority="13081" operator="containsText" text="No">
      <formula>NOT(ISERROR(SEARCH(("No"),(O670))))</formula>
    </cfRule>
  </conditionalFormatting>
  <conditionalFormatting sqref="O670 P660:Q661 P663:Q663 P666:Q669 P674:Q674 P676:Q677 P679:Q679 P681:Q681 P684:Q685 P688:Q688 P690:Q690 P692:Q692 U692:V692">
    <cfRule type="containsText" dxfId="2" priority="13082" operator="containsText" text="Yes">
      <formula>NOT(ISERROR(SEARCH(("Yes"),(O670))))</formula>
    </cfRule>
  </conditionalFormatting>
  <conditionalFormatting sqref="O670 P660:Q661 P663:Q663 P666:Q669 P674:Q674 P676:Q677 P679:Q679 P681:Q681 P684:Q685 P688:Q688 P690:Q690 P692:Q692 U692:V692">
    <cfRule type="containsText" dxfId="9" priority="13083" operator="containsText" text="No">
      <formula>NOT(ISERROR(SEARCH(("No"),(O670))))</formula>
    </cfRule>
  </conditionalFormatting>
  <conditionalFormatting sqref="O670 P660:Q661 P663:Q663 P666:Q669 P674:Q674 P676:Q677 P679:Q679 P681:Q681 P684:Q685 P688:Q688 P690:Q690 P692:Q692 U692:V692">
    <cfRule type="containsText" dxfId="2" priority="13084" operator="containsText" text="Yes">
      <formula>NOT(ISERROR(SEARCH(("Yes"),(O670))))</formula>
    </cfRule>
  </conditionalFormatting>
  <conditionalFormatting sqref="O670 P660:Q661 P663:Q663 P666:Q669 P674:Q674 P676:Q677 P679:Q679 P681:Q681 P684:Q685 P688:Q688 P690:Q690 P692:Q692 U692:V692">
    <cfRule type="containsText" dxfId="9" priority="13085" operator="containsText" text="No">
      <formula>NOT(ISERROR(SEARCH(("No"),(O670))))</formula>
    </cfRule>
  </conditionalFormatting>
  <conditionalFormatting sqref="O670 P660:Q661 P663:Q663 P666:Q669 P674:Q674 P676:Q677 P679:Q679 P681:Q681 P684:Q685 P688:Q688 P690:Q690 P692:Q692 U692:V692">
    <cfRule type="containsText" dxfId="2" priority="13086" operator="containsText" text="Yes">
      <formula>NOT(ISERROR(SEARCH(("Yes"),(O670))))</formula>
    </cfRule>
  </conditionalFormatting>
  <conditionalFormatting sqref="O670 P660:Q661 P663:Q663 P666:Q669 P674:Q674 P676:Q677 P679:Q679 P681:Q681 P684:Q685 P688:Q688 P690:Q690 P692:Q692 U692:V692">
    <cfRule type="containsText" dxfId="9" priority="13087" operator="containsText" text="No">
      <formula>NOT(ISERROR(SEARCH(("No"),(O670))))</formula>
    </cfRule>
  </conditionalFormatting>
  <conditionalFormatting sqref="O670 P660:Q661 P663:Q663 P666:Q669 P674:Q674 P676:Q677 P679:Q679 P681:Q681 P684:Q685 P688:Q688 P690:Q690 P692:Q692 U692:V692">
    <cfRule type="containsText" dxfId="2" priority="13088" operator="containsText" text="Yes">
      <formula>NOT(ISERROR(SEARCH(("Yes"),(O670))))</formula>
    </cfRule>
  </conditionalFormatting>
  <conditionalFormatting sqref="O670 P660:Q661 P663:Q663 P666:Q669 P674:Q674 P676:Q677 P679:Q679 P681:Q681 P684:Q685 P688:Q688 P690:Q690 P692:Q692 U692:V692">
    <cfRule type="containsText" dxfId="9" priority="13089" operator="containsText" text="No">
      <formula>NOT(ISERROR(SEARCH(("No"),(O670))))</formula>
    </cfRule>
  </conditionalFormatting>
  <conditionalFormatting sqref="O670 P660:Q661 P663:Q663 P666:Q669 P674:Q674 P676:Q677 P679:Q679 P681:Q681 P684:Q685 P688:Q688 P690:Q690 P692:Q692 U692:V692">
    <cfRule type="containsText" dxfId="2" priority="13090" operator="containsText" text="Yes">
      <formula>NOT(ISERROR(SEARCH(("Yes"),(O670))))</formula>
    </cfRule>
  </conditionalFormatting>
  <conditionalFormatting sqref="O670 P660:Q661 P663:Q663 P666:Q669 P674:Q674 P676:Q677 P679:Q679 P681:Q681 P684:Q685 P688:Q688 P690:Q690 P692:Q692 U692:V692">
    <cfRule type="containsText" dxfId="9" priority="13091" operator="containsText" text="No">
      <formula>NOT(ISERROR(SEARCH(("No"),(O670))))</formula>
    </cfRule>
  </conditionalFormatting>
  <conditionalFormatting sqref="O670 P660:Q661 P663:Q663 P666:Q669 P674:Q674 P676:Q677 P679:Q679 P681:Q681 P684:Q685 P688:Q688 P690:Q690 P692:Q692 U692:V692">
    <cfRule type="containsText" dxfId="2" priority="13092" operator="containsText" text="Yes">
      <formula>NOT(ISERROR(SEARCH(("Yes"),(O670))))</formula>
    </cfRule>
  </conditionalFormatting>
  <conditionalFormatting sqref="O670 P660:Q661 P663:Q663 P666:Q669 P674:Q674 P676:Q677 P679:Q679 P681:Q681 P684:Q685 P688:Q688 P690:Q690 P692:Q692 U692:V692">
    <cfRule type="containsText" dxfId="9" priority="13093" operator="containsText" text="No">
      <formula>NOT(ISERROR(SEARCH(("No"),(O670))))</formula>
    </cfRule>
  </conditionalFormatting>
  <conditionalFormatting sqref="O670 P660:Q661 P663:Q663 P666:Q669 P674:Q674 P676:Q677 P679:Q679 P681:Q681 P684:Q685 P688:Q688 P690:Q690 P692:Q692 U692:V692">
    <cfRule type="containsText" dxfId="2" priority="13094" operator="containsText" text="Yes">
      <formula>NOT(ISERROR(SEARCH(("Yes"),(O670))))</formula>
    </cfRule>
  </conditionalFormatting>
  <conditionalFormatting sqref="O670 P660:Q661 P663:Q663 P666:Q669 P674:Q674 P676:Q677 P679:Q679 P681:Q681 P684:Q685 P688:Q688 P690:Q690 P692:Q692 U692:V692">
    <cfRule type="containsText" dxfId="9" priority="13095" operator="containsText" text="No">
      <formula>NOT(ISERROR(SEARCH(("No"),(O670))))</formula>
    </cfRule>
  </conditionalFormatting>
  <conditionalFormatting sqref="O670 P660:Q661 P663:Q663 P666:Q669 P674:Q674 P676:Q677 P679:Q679 P681:Q681 P684:Q685 P688:Q688 P690:Q690 P692:Q692 U692:V692">
    <cfRule type="containsText" dxfId="2" priority="13096" operator="containsText" text="Yes">
      <formula>NOT(ISERROR(SEARCH(("Yes"),(O670))))</formula>
    </cfRule>
  </conditionalFormatting>
  <conditionalFormatting sqref="O670 P660:Q661 P663:Q663 P666:Q669 P674:Q674 P676:Q677 P679:Q679 P681:Q681 P684:Q685 P688:Q688 P690:Q690 P692:Q692 U692:V692">
    <cfRule type="containsText" dxfId="9" priority="13097" operator="containsText" text="No">
      <formula>NOT(ISERROR(SEARCH(("No"),(O670))))</formula>
    </cfRule>
  </conditionalFormatting>
  <conditionalFormatting sqref="O670 P660:Q661 P663:Q663 P666:Q669 P674:Q674 P676:Q677 P679:Q679 P681:Q681 P684:Q685 P688:Q688 P690:Q690 P692:Q692 U692:V692">
    <cfRule type="containsText" dxfId="2" priority="13098" operator="containsText" text="Yes">
      <formula>NOT(ISERROR(SEARCH(("Yes"),(O670))))</formula>
    </cfRule>
  </conditionalFormatting>
  <conditionalFormatting sqref="O670 P660:Q661 P663:Q663 P666:Q669 P674:Q674 P676:Q677 P679:Q679 P681:Q681 P684:Q685 P688:Q688 P690:Q690 P692:Q692 U692:V692">
    <cfRule type="containsText" dxfId="9" priority="13099" operator="containsText" text="No">
      <formula>NOT(ISERROR(SEARCH(("No"),(O670))))</formula>
    </cfRule>
  </conditionalFormatting>
  <conditionalFormatting sqref="O670 P660:Q661 P663:Q663 P666:Q669 P674:Q674 P676:Q677 P679:Q679 P681:Q681 P684:Q685 P688:Q688 P690:Q690 P692:Q692 U692:V692">
    <cfRule type="containsText" dxfId="2" priority="13100" operator="containsText" text="Yes">
      <formula>NOT(ISERROR(SEARCH(("Yes"),(O670))))</formula>
    </cfRule>
  </conditionalFormatting>
  <conditionalFormatting sqref="O670 P660:Q661 P663:Q663 P666:Q669 P674:Q674 P676:Q677 P679:Q679 P681:Q681 P684:Q685 P688:Q688 P690:Q690 P692:Q692 U692:V692">
    <cfRule type="containsText" dxfId="9" priority="13101" operator="containsText" text="No">
      <formula>NOT(ISERROR(SEARCH(("No"),(O670))))</formula>
    </cfRule>
  </conditionalFormatting>
  <conditionalFormatting sqref="O670 P660:Q661 P663:Q663 P666:Q669 P674:Q674 P676:Q677 P679:Q679 P681:Q681 P684:Q685 P688:Q688 P690:Q690 P692:Q692 U692:V692">
    <cfRule type="containsText" dxfId="2" priority="13102" operator="containsText" text="Yes">
      <formula>NOT(ISERROR(SEARCH(("Yes"),(O670))))</formula>
    </cfRule>
  </conditionalFormatting>
  <conditionalFormatting sqref="O670 P660:Q661 P663:Q663 P666:Q669 P674:Q674 P676:Q677 P679:Q679 P681:Q681 P684:Q685 P688:Q688 P690:Q690 P692:Q692 U692:V692">
    <cfRule type="containsText" dxfId="9" priority="13103" operator="containsText" text="No">
      <formula>NOT(ISERROR(SEARCH(("No"),(O670))))</formula>
    </cfRule>
  </conditionalFormatting>
  <conditionalFormatting sqref="O670 P660:Q661 P663:Q663 P666:Q669 P674:Q674 P676:Q677 P679:Q679 P681:Q681 P684:Q685 P688:Q688 P690:Q690 P692:Q692 U692:V692">
    <cfRule type="containsText" dxfId="2" priority="13104" operator="containsText" text="Yes">
      <formula>NOT(ISERROR(SEARCH(("Yes"),(O670))))</formula>
    </cfRule>
  </conditionalFormatting>
  <conditionalFormatting sqref="O670 P660:Q661 P663:Q663 P666:Q669 P674:Q674 P676:Q677 P679:Q679 P681:Q681 P684:Q685 P688:Q688 P690:Q690 P692:Q692 U692:V692">
    <cfRule type="containsText" dxfId="9" priority="13105" operator="containsText" text="No">
      <formula>NOT(ISERROR(SEARCH(("No"),(O670))))</formula>
    </cfRule>
  </conditionalFormatting>
  <conditionalFormatting sqref="O670 P660:Q661 P663:Q663 P666:Q669 P674:Q674 P676:Q677 P679:Q679 P681:Q681 P684:Q685 P688:Q688 P690:Q690 P692:Q692 U692:V692">
    <cfRule type="containsText" dxfId="2" priority="13106" operator="containsText" text="Yes">
      <formula>NOT(ISERROR(SEARCH(("Yes"),(O670))))</formula>
    </cfRule>
  </conditionalFormatting>
  <conditionalFormatting sqref="O670 P660:Q661 P663:Q663 P666:Q669 P674:Q674 P676:Q677 P679:Q679 P681:Q681 P684:Q685 P688:Q688 P690:Q690 P692:Q692 U692:V692">
    <cfRule type="containsText" dxfId="9" priority="13107" operator="containsText" text="No">
      <formula>NOT(ISERROR(SEARCH(("No"),(O670))))</formula>
    </cfRule>
  </conditionalFormatting>
  <conditionalFormatting sqref="O670 P660:Q661 P663:Q663 P666:Q669 P674:Q674 P676:Q677 P679:Q679 P681:Q681 P684:Q685 P688:Q688 P690:Q690 P692:Q692 U692:V692">
    <cfRule type="containsText" dxfId="2" priority="13108" operator="containsText" text="Yes">
      <formula>NOT(ISERROR(SEARCH(("Yes"),(O670))))</formula>
    </cfRule>
  </conditionalFormatting>
  <conditionalFormatting sqref="O670 P660:Q661 P663:Q663 P666:Q669 P674:Q674 P676:Q677 P679:Q679 P681:Q681 P684:Q685 P688:Q688 P690:Q690 P692:Q692 U692:V692">
    <cfRule type="containsText" dxfId="9" priority="13109" operator="containsText" text="No">
      <formula>NOT(ISERROR(SEARCH(("No"),(O670))))</formula>
    </cfRule>
  </conditionalFormatting>
  <conditionalFormatting sqref="O670 P660:Q661 P663:Q663 P666:Q669 P674:Q674 P676:Q677 P679:Q679 P681:Q681 P684:Q685 P688:Q688 P690:Q690 P692:Q692 U692:V692">
    <cfRule type="containsText" dxfId="2" priority="13110" operator="containsText" text="Yes">
      <formula>NOT(ISERROR(SEARCH(("Yes"),(O670))))</formula>
    </cfRule>
  </conditionalFormatting>
  <conditionalFormatting sqref="O670 P660:Q661 P663:Q663 P666:Q669 P674:Q674 P676:Q677 P679:Q679 P681:Q681 P684:Q685 P688:Q688 P690:Q690 P692:Q692 U692:V692">
    <cfRule type="containsText" dxfId="9" priority="13111" operator="containsText" text="No">
      <formula>NOT(ISERROR(SEARCH(("No"),(O670))))</formula>
    </cfRule>
  </conditionalFormatting>
  <conditionalFormatting sqref="O670 P660:Q661 P663:Q663 P666:Q669 P674:Q674 P676:Q677 P679:Q679 P681:Q681 P684:Q685 P688:Q688 P690:Q690 P692:Q692 U692:V692">
    <cfRule type="containsText" dxfId="2" priority="13112" operator="containsText" text="Yes">
      <formula>NOT(ISERROR(SEARCH(("Yes"),(O670))))</formula>
    </cfRule>
  </conditionalFormatting>
  <conditionalFormatting sqref="O670 P660:Q661 P663:Q663 P666:Q669 P674:Q674 P676:Q677 P679:Q679 P681:Q681 P684:Q685 P688:Q688 P690:Q690 P692:Q692 U692:V692">
    <cfRule type="containsText" dxfId="9" priority="13113" operator="containsText" text="No">
      <formula>NOT(ISERROR(SEARCH(("No"),(O670))))</formula>
    </cfRule>
  </conditionalFormatting>
  <conditionalFormatting sqref="O670 P660:Q661 P663:Q663 P666:Q669 P674:Q674 P676:Q677 P679:Q679 P681:Q681 P684:Q685 P688:Q688 P690:Q690 P692:Q692 U692:V692">
    <cfRule type="containsText" dxfId="2" priority="13114" operator="containsText" text="Yes">
      <formula>NOT(ISERROR(SEARCH(("Yes"),(O670))))</formula>
    </cfRule>
  </conditionalFormatting>
  <conditionalFormatting sqref="O670 P660:Q661 P663:Q663 P666:Q669 P674:Q674 P676:Q677 P679:Q679 P681:Q681 P684:Q685 P688:Q688 P690:Q690 P692:Q692 U692:V692">
    <cfRule type="containsText" dxfId="9" priority="13115" operator="containsText" text="No">
      <formula>NOT(ISERROR(SEARCH(("No"),(O670))))</formula>
    </cfRule>
  </conditionalFormatting>
  <conditionalFormatting sqref="O670 P660:Q661 P663:Q663 P666:Q669 P674:Q674 P676:Q677 P679:Q679 P681:Q681 P684:Q685 P688:Q688 P690:Q690 P692:Q692 U692:V692">
    <cfRule type="containsText" dxfId="2" priority="13116" operator="containsText" text="Yes">
      <formula>NOT(ISERROR(SEARCH(("Yes"),(O670))))</formula>
    </cfRule>
  </conditionalFormatting>
  <conditionalFormatting sqref="O670 P660:Q661 P663:Q663 P666:Q669 P674:Q674 P676:Q677 P679:Q679 P681:Q681 P684:Q685 P688:Q688 P690:Q690 P692:Q692 U692:V692">
    <cfRule type="containsText" dxfId="9" priority="13117" operator="containsText" text="No">
      <formula>NOT(ISERROR(SEARCH(("No"),(O670))))</formula>
    </cfRule>
  </conditionalFormatting>
  <conditionalFormatting sqref="O670 P660:Q661 P663:Q663 P666:Q669 P674:Q674 P676:Q677 P679:Q679 P681:Q681 P684:Q685 P688:Q688 P690:Q690 P692:Q692 U692:V692">
    <cfRule type="containsText" dxfId="2" priority="13118" operator="containsText" text="Yes">
      <formula>NOT(ISERROR(SEARCH(("Yes"),(O670))))</formula>
    </cfRule>
  </conditionalFormatting>
  <conditionalFormatting sqref="O670 P660:Q661 P663:Q663 P666:Q669 P674:Q674 P676:Q677 P679:Q679 P681:Q681 P684:Q685 P688:Q688 P690:Q690 P692:Q692 U692:V692">
    <cfRule type="containsText" dxfId="9" priority="13119" operator="containsText" text="No">
      <formula>NOT(ISERROR(SEARCH(("No"),(O670))))</formula>
    </cfRule>
  </conditionalFormatting>
  <conditionalFormatting sqref="O670 P660:Q661 P663:Q663 P666:Q669 P674:Q674 P676:Q677 P679:Q679 P681:Q681 P684:Q685 P688:Q688 P690:Q690 P692:Q692 U692:V692">
    <cfRule type="containsText" dxfId="2" priority="13120" operator="containsText" text="Yes">
      <formula>NOT(ISERROR(SEARCH(("Yes"),(O670))))</formula>
    </cfRule>
  </conditionalFormatting>
  <conditionalFormatting sqref="O670 P660:Q661 P663:Q663 P666:Q669 P674:Q674 P676:Q677 P679:Q679 P681:Q681 P684:Q685 P688:Q688 P690:Q690 P692:Q692 U692:V692">
    <cfRule type="containsText" dxfId="9" priority="13121" operator="containsText" text="No">
      <formula>NOT(ISERROR(SEARCH(("No"),(O670))))</formula>
    </cfRule>
  </conditionalFormatting>
  <conditionalFormatting sqref="O670 P660:Q661 P663:Q663 P666:Q669 P674:Q674 P676:Q677 P679:Q679 P681:Q681 P684:Q685 P688:Q688 P690:Q690 P692:Q692 U692:V692">
    <cfRule type="containsText" dxfId="2" priority="13122" operator="containsText" text="Yes">
      <formula>NOT(ISERROR(SEARCH(("Yes"),(O670))))</formula>
    </cfRule>
  </conditionalFormatting>
  <conditionalFormatting sqref="O670 P660:Q661 P663:Q663 P666:Q669 P674:Q674 P676:Q677 P679:Q679 P681:Q681 P684:Q685 P688:Q688 P690:Q690 P692:Q692 U692:V692">
    <cfRule type="containsText" dxfId="9" priority="13123" operator="containsText" text="No">
      <formula>NOT(ISERROR(SEARCH(("No"),(O670))))</formula>
    </cfRule>
  </conditionalFormatting>
  <conditionalFormatting sqref="O670 P660:Q661 P663:Q663 P666:Q669 P674:Q674 P676:Q677 P679:Q679 P681:Q681 P684:Q685 P688:Q688 P690:Q690 P692:Q692 U692:V692">
    <cfRule type="containsText" dxfId="2" priority="13124" operator="containsText" text="Yes">
      <formula>NOT(ISERROR(SEARCH(("Yes"),(O670))))</formula>
    </cfRule>
  </conditionalFormatting>
  <conditionalFormatting sqref="O670 P660:Q661 P663:Q663 P666:Q669 P674:Q674 P676:Q677 P679:Q679 P681:Q681 P684:Q685 P688:Q688 P690:Q690 P692:Q692 U692:V692">
    <cfRule type="containsText" dxfId="9" priority="13125" operator="containsText" text="No">
      <formula>NOT(ISERROR(SEARCH(("No"),(O670))))</formula>
    </cfRule>
  </conditionalFormatting>
  <conditionalFormatting sqref="O670 P660:Q661 P663:Q663 P666:Q669 P674:Q674 P676:Q677 P679:Q679 P681:Q681 P684:Q685 P688:Q688 P690:Q690 P692:Q692 U692:V692">
    <cfRule type="containsText" dxfId="2" priority="13126" operator="containsText" text="Yes">
      <formula>NOT(ISERROR(SEARCH(("Yes"),(O670))))</formula>
    </cfRule>
  </conditionalFormatting>
  <conditionalFormatting sqref="O670 P660:Q661 P663:Q663 P666:Q669 P674:Q674 P676:Q677 P679:Q679 P681:Q681 P684:Q685 P688:Q688 P690:Q690 P692:Q692 U692:V692">
    <cfRule type="containsText" dxfId="9" priority="13127" operator="containsText" text="No">
      <formula>NOT(ISERROR(SEARCH(("No"),(O670))))</formula>
    </cfRule>
  </conditionalFormatting>
  <conditionalFormatting sqref="O670 P660:Q661 P663:Q663 P666:Q669 P674:Q674 P676:Q677 P679:Q679 P681:Q681 P684:Q685 P688:Q688 P690:Q690 P692:Q692 U692:V692">
    <cfRule type="containsText" dxfId="2" priority="13128" operator="containsText" text="Yes">
      <formula>NOT(ISERROR(SEARCH(("Yes"),(O670))))</formula>
    </cfRule>
  </conditionalFormatting>
  <conditionalFormatting sqref="O670 P660:Q661 P663:Q663 P666:Q669 P674:Q674 P676:Q677 P679:Q679 P681:Q681 P684:Q685 P688:Q688 P690:Q690 P692:Q692 U692:V692">
    <cfRule type="containsText" dxfId="9" priority="13129" operator="containsText" text="No">
      <formula>NOT(ISERROR(SEARCH(("No"),(O670))))</formula>
    </cfRule>
  </conditionalFormatting>
  <conditionalFormatting sqref="O670 P660:Q661 P663:Q663 P666:Q669 P674:Q674 P676:Q677 P679:Q679 P681:Q681 P684:Q685 P688:Q688 P690:Q690 P692:Q692 U692:V692">
    <cfRule type="containsText" dxfId="2" priority="13130" operator="containsText" text="Yes">
      <formula>NOT(ISERROR(SEARCH(("Yes"),(O670))))</formula>
    </cfRule>
  </conditionalFormatting>
  <conditionalFormatting sqref="O670 P660:Q661 P663:Q663 P666:Q669 P674:Q674 P676:Q677 P679:Q679 P681:Q681 P684:Q685 P688:Q688 P690:Q690 P692:Q692 U692:V692">
    <cfRule type="containsText" dxfId="9" priority="13131" operator="containsText" text="No">
      <formula>NOT(ISERROR(SEARCH(("No"),(O670))))</formula>
    </cfRule>
  </conditionalFormatting>
  <conditionalFormatting sqref="O670 P660:Q661 P663:Q663 P666:Q669 P674:Q674 P676:Q677 P679:Q679 P681:Q681 P684:Q685 P688:Q688 P690:Q690 P692:Q692 U692:V692">
    <cfRule type="containsText" dxfId="2" priority="13132" operator="containsText" text="Yes">
      <formula>NOT(ISERROR(SEARCH(("Yes"),(O670))))</formula>
    </cfRule>
  </conditionalFormatting>
  <conditionalFormatting sqref="O670 P660:Q661 P663:Q663 P666:Q669 P674:Q674 P676:Q677 P679:Q679 P681:Q681 P684:Q685 P688:Q688 P690:Q690 P692:Q692 U692:V692">
    <cfRule type="containsText" dxfId="9" priority="13133" operator="containsText" text="No">
      <formula>NOT(ISERROR(SEARCH(("No"),(O670))))</formula>
    </cfRule>
  </conditionalFormatting>
  <conditionalFormatting sqref="O670 P660:Q661 P663:Q663 P666:Q669 P674:Q674 P676:Q677 P679:Q679 P681:Q681 P684:Q685 P688:Q688 P690:Q690 P692:Q692 U692:V692">
    <cfRule type="containsText" dxfId="2" priority="13134" operator="containsText" text="Yes">
      <formula>NOT(ISERROR(SEARCH(("Yes"),(O670))))</formula>
    </cfRule>
  </conditionalFormatting>
  <conditionalFormatting sqref="O670 P660:Q661 P663:Q663 P666:Q669 P674:Q674 P676:Q677 P679:Q679 P681:Q681 P684:Q685 P688:Q688 P690:Q690 P692:Q692 U692:V692">
    <cfRule type="containsText" dxfId="9" priority="13135" operator="containsText" text="No">
      <formula>NOT(ISERROR(SEARCH(("No"),(O670))))</formula>
    </cfRule>
  </conditionalFormatting>
  <conditionalFormatting sqref="O670 P660:Q661 P663:Q663 P666:Q669 P674:Q674 P676:Q677 P679:Q679 P681:Q681 P684:Q685 P688:Q688 P690:Q690 P692:Q692 U692:V692">
    <cfRule type="containsText" dxfId="2" priority="13136" operator="containsText" text="Yes">
      <formula>NOT(ISERROR(SEARCH(("Yes"),(O670))))</formula>
    </cfRule>
  </conditionalFormatting>
  <conditionalFormatting sqref="O670 P660:Q661 P663:Q663 P666:Q669 P674:Q674 P676:Q677 P679:Q679 P681:Q681 P684:Q685 P688:Q688 P690:Q690 P692:Q692 U692:V692">
    <cfRule type="containsText" dxfId="9" priority="13137" operator="containsText" text="No">
      <formula>NOT(ISERROR(SEARCH(("No"),(O670))))</formula>
    </cfRule>
  </conditionalFormatting>
  <conditionalFormatting sqref="O670 P660:Q661 P663:Q663 P666:Q669 P674:Q674 P676:Q677 P679:Q679 P681:Q681 P684:Q685 P688:Q688 P690:Q690 P692:Q692 U692:V692">
    <cfRule type="containsText" dxfId="2" priority="13138" operator="containsText" text="Yes">
      <formula>NOT(ISERROR(SEARCH(("Yes"),(O670))))</formula>
    </cfRule>
  </conditionalFormatting>
  <conditionalFormatting sqref="O670 P660:Q661 P663:Q663 P666:Q669 P674:Q674 P676:Q677 P679:Q679 P681:Q681 P684:Q685 P688:Q688 P690:Q690 P692:Q692 U692:V692">
    <cfRule type="containsText" dxfId="9" priority="13139" operator="containsText" text="No">
      <formula>NOT(ISERROR(SEARCH(("No"),(O670))))</formula>
    </cfRule>
  </conditionalFormatting>
  <conditionalFormatting sqref="O670 P660:Q661 P663:Q663 P666:Q669 P674:Q674 P676:Q677 P679:Q679 P681:Q681 P684:Q685 P688:Q688 P690:Q690 P692:Q692 U692:V692">
    <cfRule type="containsText" dxfId="2" priority="13140" operator="containsText" text="Yes">
      <formula>NOT(ISERROR(SEARCH(("Yes"),(O670))))</formula>
    </cfRule>
  </conditionalFormatting>
  <conditionalFormatting sqref="O670 P660:Q661 P663:Q663 P666:Q669 P674:Q674 P676:Q677 P679:Q679 P681:Q681 P684:Q685 P688:Q688 P690:Q690 P692:Q692 U692:V692">
    <cfRule type="containsText" dxfId="9" priority="13141" operator="containsText" text="No">
      <formula>NOT(ISERROR(SEARCH(("No"),(O670))))</formula>
    </cfRule>
  </conditionalFormatting>
  <conditionalFormatting sqref="O670 P660:Q661 P663:Q663 P666:Q669 P674:Q674 P676:Q677 P679:Q679 P681:Q681 P684:Q685 P688:Q688 P690:Q690 P692:Q692 U692:V692">
    <cfRule type="containsText" dxfId="2" priority="13142" operator="containsText" text="Yes">
      <formula>NOT(ISERROR(SEARCH(("Yes"),(O670))))</formula>
    </cfRule>
  </conditionalFormatting>
  <conditionalFormatting sqref="O670 P660:Q661 P663:Q663 P666:Q669 P674:Q674 P676:Q677 P679:Q679 P681:Q681 P684:Q685 P688:Q688 P690:Q690 P692:Q692 U692:V692">
    <cfRule type="containsText" dxfId="9" priority="13143" operator="containsText" text="No">
      <formula>NOT(ISERROR(SEARCH(("No"),(O670))))</formula>
    </cfRule>
  </conditionalFormatting>
  <conditionalFormatting sqref="O670 P660:Q661 P663:Q663 P666:Q669 P674:Q674 P676:Q677 P679:Q679 P681:Q681 P684:Q685 P688:Q688 P690:Q690 P692:Q692 U692:V692">
    <cfRule type="containsText" dxfId="2" priority="13144" operator="containsText" text="Yes">
      <formula>NOT(ISERROR(SEARCH(("Yes"),(O670))))</formula>
    </cfRule>
  </conditionalFormatting>
  <conditionalFormatting sqref="O670 P660:Q661 P663:Q663 P666:Q669 P674:Q674 P676:Q677 P679:Q679 P681:Q681 P684:Q685 P688:Q688 P690:Q690 P692:Q692 U692:V692">
    <cfRule type="containsText" dxfId="9" priority="13145" operator="containsText" text="No">
      <formula>NOT(ISERROR(SEARCH(("No"),(O670))))</formula>
    </cfRule>
  </conditionalFormatting>
  <conditionalFormatting sqref="O670 P660:Q661 P663:Q663 P666:Q669 P674:Q674 P676:Q677 P679:Q679 P681:Q681 P684:Q685 P688:Q688 P690:Q690 P692:Q692 U692:V692">
    <cfRule type="containsText" dxfId="2" priority="13146" operator="containsText" text="Yes">
      <formula>NOT(ISERROR(SEARCH(("Yes"),(O670))))</formula>
    </cfRule>
  </conditionalFormatting>
  <conditionalFormatting sqref="O670 P660:Q661 P663:Q663 P666:Q669 P674:Q674 P676:Q677 P679:Q679 P681:Q681 P684:Q685 P688:Q688 P690:Q690 P692:Q692 U692:V692">
    <cfRule type="containsText" dxfId="9" priority="13147" operator="containsText" text="No">
      <formula>NOT(ISERROR(SEARCH(("No"),(O670))))</formula>
    </cfRule>
  </conditionalFormatting>
  <conditionalFormatting sqref="O670 P660:Q661 P663:Q663 P666:Q669 P674:Q674 P676:Q677 P679:Q679 P681:Q681 P684:Q685 P688:Q688 P690:Q690 P692:Q692 U692:V692">
    <cfRule type="containsText" dxfId="2" priority="13148" operator="containsText" text="Yes">
      <formula>NOT(ISERROR(SEARCH(("Yes"),(O670))))</formula>
    </cfRule>
  </conditionalFormatting>
  <conditionalFormatting sqref="O670 P660:Q661 P663:Q663 P666:Q669 P674:Q674 P676:Q677 P679:Q679 P681:Q681 P684:Q685 P688:Q688 P690:Q690 P692:Q692 U692:V692">
    <cfRule type="containsText" dxfId="9" priority="13149" operator="containsText" text="No">
      <formula>NOT(ISERROR(SEARCH(("No"),(O670))))</formula>
    </cfRule>
  </conditionalFormatting>
  <conditionalFormatting sqref="O670 P660:Q661 P663:Q663 P666:Q669 P674:Q674 P676:Q677 P679:Q679 P681:Q681 P684:Q685 P688:Q688 P690:Q690 P692:Q692 U692:V692">
    <cfRule type="containsText" dxfId="2" priority="13150" operator="containsText" text="Yes">
      <formula>NOT(ISERROR(SEARCH(("Yes"),(O670))))</formula>
    </cfRule>
  </conditionalFormatting>
  <conditionalFormatting sqref="O670 P660:Q661 P663:Q663 P666:Q669 P674:Q674 P676:Q677 P679:Q679 P681:Q681 P684:Q685 P688:Q688 P690:Q690 P692:Q692 U692:V692">
    <cfRule type="containsText" dxfId="9" priority="13151" operator="containsText" text="No">
      <formula>NOT(ISERROR(SEARCH(("No"),(O670))))</formula>
    </cfRule>
  </conditionalFormatting>
  <conditionalFormatting sqref="O670 P660:Q661 P663:Q663 P666:Q669 P674:Q674 P676:Q677 P679:Q679 P681:Q681 P684:Q685 P688:Q688 P690:Q690 P692:Q692 U692:V692">
    <cfRule type="containsText" dxfId="2" priority="13152" operator="containsText" text="Yes">
      <formula>NOT(ISERROR(SEARCH(("Yes"),(O670))))</formula>
    </cfRule>
  </conditionalFormatting>
  <conditionalFormatting sqref="O670 P660:Q661 P663:Q663 P666:Q669 P674:Q674 P676:Q677 P679:Q679 P681:Q681 P684:Q685 P688:Q688 P690:Q690 P692:Q692 U692:V692">
    <cfRule type="containsText" dxfId="9" priority="13153" operator="containsText" text="No">
      <formula>NOT(ISERROR(SEARCH(("No"),(O670))))</formula>
    </cfRule>
  </conditionalFormatting>
  <conditionalFormatting sqref="O670 P660:Q661 P663:Q663 P666:Q669 P674:Q674 P676:Q677 P679:Q679 P681:Q681 P684:Q685 P688:Q688 P690:Q690 P692:Q692 U692:V692">
    <cfRule type="containsText" dxfId="2" priority="13154" operator="containsText" text="Yes">
      <formula>NOT(ISERROR(SEARCH(("Yes"),(O670))))</formula>
    </cfRule>
  </conditionalFormatting>
  <conditionalFormatting sqref="O670 P660:Q661 P663:Q663 P666:Q669 P674:Q674 P676:Q677 P679:Q679 P681:Q681 P684:Q685 P688:Q688 P690:Q690 P692:Q692 U692:V692">
    <cfRule type="containsText" dxfId="9" priority="13155" operator="containsText" text="No">
      <formula>NOT(ISERROR(SEARCH(("No"),(O670))))</formula>
    </cfRule>
  </conditionalFormatting>
  <conditionalFormatting sqref="O670 P660:Q661 P663:Q663 P666:Q669 P674:Q674 P676:Q677 P679:Q679 P681:Q681 P684:Q685 P688:Q688 P690:Q690 P692:Q692 U692:V692">
    <cfRule type="containsText" dxfId="2" priority="13156" operator="containsText" text="Yes">
      <formula>NOT(ISERROR(SEARCH(("Yes"),(O670))))</formula>
    </cfRule>
  </conditionalFormatting>
  <conditionalFormatting sqref="O670 P660:Q661 P663:Q663 P666:Q669 P674:Q674 P676:Q677 P679:Q679 P681:Q681 P684:Q685 P688:Q688 P690:Q690 P692:Q692 U692:V692">
    <cfRule type="containsText" dxfId="9" priority="13157" operator="containsText" text="No">
      <formula>NOT(ISERROR(SEARCH(("No"),(O670))))</formula>
    </cfRule>
  </conditionalFormatting>
  <conditionalFormatting sqref="O670 P660:Q661 P663:Q663 P666:Q669 P674:Q674 P676:Q677 P679:Q679 P681:Q681 P684:Q685 P688:Q688 P690:Q690 P692:Q692 U692:V692">
    <cfRule type="containsText" dxfId="2" priority="13158" operator="containsText" text="Yes">
      <formula>NOT(ISERROR(SEARCH(("Yes"),(O670))))</formula>
    </cfRule>
  </conditionalFormatting>
  <conditionalFormatting sqref="O670 P660:Q661 P663:Q663 P666:Q669 P674:Q674 P676:Q677 P679:Q679 P681:Q681 P684:Q685 P688:Q688 P690:Q690 P692:Q692 U692:V692">
    <cfRule type="containsText" dxfId="9" priority="13159" operator="containsText" text="No">
      <formula>NOT(ISERROR(SEARCH(("No"),(O670))))</formula>
    </cfRule>
  </conditionalFormatting>
  <conditionalFormatting sqref="O670 P660:Q661 P663:Q663 P666:Q669 P674:Q674 P676:Q677 P679:Q679 P681:Q681 P684:Q685 P688:Q688 P690:Q690 P692:Q692 U692:V692">
    <cfRule type="containsText" dxfId="2" priority="13160" operator="containsText" text="Yes">
      <formula>NOT(ISERROR(SEARCH(("Yes"),(O670))))</formula>
    </cfRule>
  </conditionalFormatting>
  <conditionalFormatting sqref="O670 P660:Q661 P663:Q663 P666:Q669 P674:Q674 P676:Q677 P679:Q679 P681:Q681 P684:Q685 P688:Q688 P690:Q690 P692:Q692 U692:V692">
    <cfRule type="containsText" dxfId="9" priority="13161" operator="containsText" text="No">
      <formula>NOT(ISERROR(SEARCH(("No"),(O670))))</formula>
    </cfRule>
  </conditionalFormatting>
  <conditionalFormatting sqref="O670 P660:Q661 P663:Q663 P666:Q669 P674:Q674 P676:Q677 P679:Q679 P681:Q681 P684:Q685 P688:Q688 P690:Q690 P692:Q692 U692:V692">
    <cfRule type="containsText" dxfId="2" priority="13162" operator="containsText" text="Yes">
      <formula>NOT(ISERROR(SEARCH(("Yes"),(O670))))</formula>
    </cfRule>
  </conditionalFormatting>
  <conditionalFormatting sqref="O670 P660:Q661 P663:Q663 P666:Q669 P674:Q674 P676:Q677 P679:Q679 P681:Q681 P684:Q685 P688:Q688 P690:Q690 P692:Q692 U692:V692">
    <cfRule type="containsText" dxfId="9" priority="13163" operator="containsText" text="No">
      <formula>NOT(ISERROR(SEARCH(("No"),(O670))))</formula>
    </cfRule>
  </conditionalFormatting>
  <conditionalFormatting sqref="O670 P660:Q661 P663:Q663 P666:Q669 P674:Q674 P676:Q677 P679:Q679 P681:Q681 P684:Q685 P688:Q688 P690:Q690 P692:Q692 U692:V692">
    <cfRule type="containsText" dxfId="2" priority="13164" operator="containsText" text="Yes">
      <formula>NOT(ISERROR(SEARCH(("Yes"),(O670))))</formula>
    </cfRule>
  </conditionalFormatting>
  <conditionalFormatting sqref="O670 P660:Q661 P663:Q663 P666:Q669 P674:Q674 P676:Q677 P679:Q679 P681:Q681 P684:Q685 P688:Q688 P690:Q690 P692:Q692 U692:V692">
    <cfRule type="containsText" dxfId="9" priority="13165" operator="containsText" text="No">
      <formula>NOT(ISERROR(SEARCH(("No"),(O670))))</formula>
    </cfRule>
  </conditionalFormatting>
  <conditionalFormatting sqref="O670 P660:Q661 P663:Q663 P666:Q669 P674:Q674 P676:Q677 P679:Q679 P681:Q681 P684:Q685 P688:Q688 P690:Q690 P692:Q692 U692:V692">
    <cfRule type="containsText" dxfId="9" priority="13166" operator="containsText" text="No">
      <formula>NOT(ISERROR(SEARCH(("No"),(O670))))</formula>
    </cfRule>
  </conditionalFormatting>
  <conditionalFormatting sqref="O670 P660:Q661 P663:Q663 P666:Q669 P674:Q674 P676:Q677 P679:Q679 P681:Q681 P684:Q685 P688:Q688 P690:Q690 P692:Q692 U692:V692">
    <cfRule type="containsText" dxfId="2" priority="13167" operator="containsText" text="Yes">
      <formula>NOT(ISERROR(SEARCH(("Yes"),(O670))))</formula>
    </cfRule>
  </conditionalFormatting>
  <conditionalFormatting sqref="O670 P660:Q661 P663:Q663 P666:Q669 P674:Q674 P676:Q677 P679:Q679 P681:Q681 P684:Q685 P688:Q688 P690:Q690 P692:Q692 U692:V692">
    <cfRule type="containsText" dxfId="2" priority="13168" operator="containsText" text="Yes">
      <formula>NOT(ISERROR(SEARCH(("Yes"),(O670))))</formula>
    </cfRule>
  </conditionalFormatting>
  <conditionalFormatting sqref="O670 P660:Q661 P663:Q663 P666:Q669 P674:Q674 P676:Q677 P679:Q679 P681:Q681 P684:Q685 P688:Q688 P690:Q690 P692:Q692 U692:V692">
    <cfRule type="containsText" dxfId="9" priority="13169" operator="containsText" text="No">
      <formula>NOT(ISERROR(SEARCH(("No"),(O670))))</formula>
    </cfRule>
  </conditionalFormatting>
  <conditionalFormatting sqref="O670 P660:Q661 P663:Q663 P666:Q669 P674:Q674 P676:Q677 P679:Q679 P681:Q681 P684:Q685 P688:Q688 P690:Q690 P692:Q692 U692:V692">
    <cfRule type="containsText" dxfId="2" priority="13170" operator="containsText" text="Yes">
      <formula>NOT(ISERROR(SEARCH(("Yes"),(O670))))</formula>
    </cfRule>
  </conditionalFormatting>
  <conditionalFormatting sqref="O670 P660:Q661 P663:Q663 P666:Q669 P674:Q674 P676:Q677 P679:Q679 P681:Q681 P684:Q685 P688:Q688 P690:Q690 P692:Q692 U692:V692">
    <cfRule type="containsText" dxfId="9" priority="13171" operator="containsText" text="No">
      <formula>NOT(ISERROR(SEARCH(("No"),(O670))))</formula>
    </cfRule>
  </conditionalFormatting>
  <conditionalFormatting sqref="O670 P660:Q661 P663:Q663 P666:Q669 P674:Q674 P676:Q677 P679:Q679 P681:Q681 P684:Q685 P688:Q688 P690:Q690 P692:Q692 U692:V692">
    <cfRule type="containsText" dxfId="2" priority="13172" operator="containsText" text="Yes">
      <formula>NOT(ISERROR(SEARCH(("Yes"),(O670))))</formula>
    </cfRule>
  </conditionalFormatting>
  <conditionalFormatting sqref="O670 P660:Q661 P663:Q663 P666:Q669 P674:Q674 P676:Q677 P679:Q679 P681:Q681 P684:Q685 P688:Q688 P690:Q690 P692:Q692 U692:V692">
    <cfRule type="containsText" dxfId="9" priority="13173" operator="containsText" text="No">
      <formula>NOT(ISERROR(SEARCH(("No"),(O670))))</formula>
    </cfRule>
  </conditionalFormatting>
  <conditionalFormatting sqref="O670 P660:Q661 P663:Q663 P666:Q669 P674:Q674 P676:Q677 P679:Q679 P681:Q681 P684:Q685 P688:Q688 P690:Q690 P692:Q692 U692:V692">
    <cfRule type="containsText" dxfId="2" priority="13174" operator="containsText" text="Yes">
      <formula>NOT(ISERROR(SEARCH(("Yes"),(O670))))</formula>
    </cfRule>
  </conditionalFormatting>
  <conditionalFormatting sqref="O670 P660:Q661 P663:Q663 P666:Q669 P674:Q674 P676:Q677 P679:Q679 P681:Q681 P684:Q685 P688:Q688 P690:Q690 P692:Q692 U692:V692">
    <cfRule type="containsText" dxfId="9" priority="13175" operator="containsText" text="No">
      <formula>NOT(ISERROR(SEARCH(("No"),(O670))))</formula>
    </cfRule>
  </conditionalFormatting>
  <conditionalFormatting sqref="O670 P660:Q661 P663:Q663 P666:Q669 P674:Q674 P676:Q677 P679:Q679 P681:Q681 P684:Q685 P688:Q688 P690:Q690 P692:Q692 U692:V692">
    <cfRule type="containsText" dxfId="2" priority="13176" operator="containsText" text="Yes">
      <formula>NOT(ISERROR(SEARCH(("Yes"),(O670))))</formula>
    </cfRule>
  </conditionalFormatting>
  <conditionalFormatting sqref="O670 P660:Q661 P663:Q663 P666:Q669 P674:Q674 P676:Q677 P679:Q679 P681:Q681 P684:Q685 P688:Q688 P690:Q690 P692:Q692 U692:V692">
    <cfRule type="containsText" dxfId="9" priority="13177" operator="containsText" text="No">
      <formula>NOT(ISERROR(SEARCH(("No"),(O670))))</formula>
    </cfRule>
  </conditionalFormatting>
  <conditionalFormatting sqref="O670 P660:Q661 P663:Q663 P666:Q669 P674:Q674 P676:Q677 P679:Q679 P681:Q681 P684:Q685 P688:Q688 P690:Q690 P692:Q692 U692:V692">
    <cfRule type="containsText" dxfId="2" priority="13178" operator="containsText" text="Yes">
      <formula>NOT(ISERROR(SEARCH(("Yes"),(O670))))</formula>
    </cfRule>
  </conditionalFormatting>
  <conditionalFormatting sqref="O670 P660:Q661 P663:Q663 P666:Q669 P674:Q674 P676:Q677 P679:Q679 P681:Q681 P684:Q685 P688:Q688 P690:Q690 P692:Q692 U692:V692">
    <cfRule type="containsText" dxfId="9" priority="13179" operator="containsText" text="No">
      <formula>NOT(ISERROR(SEARCH(("No"),(O670))))</formula>
    </cfRule>
  </conditionalFormatting>
  <conditionalFormatting sqref="O670 P660:Q661 P663:Q663 P666:Q669 P674:Q674 P676:Q677 P679:Q679 P681:Q681 P684:Q685 P688:Q688 P690:Q690 P692:Q692 U692:V692">
    <cfRule type="containsText" dxfId="2" priority="13180" operator="containsText" text="Yes">
      <formula>NOT(ISERROR(SEARCH(("Yes"),(O670))))</formula>
    </cfRule>
  </conditionalFormatting>
  <conditionalFormatting sqref="O670 P660:Q661 P663:Q663 P666:Q669 P674:Q674 P676:Q677 P679:Q679 P681:Q681 P684:Q685 P688:Q688 P690:Q690 P692:Q692 U692:V692">
    <cfRule type="containsText" dxfId="9" priority="13181" operator="containsText" text="No">
      <formula>NOT(ISERROR(SEARCH(("No"),(O670))))</formula>
    </cfRule>
  </conditionalFormatting>
  <conditionalFormatting sqref="O670 P660:Q661 P663:Q663 P666:Q669 P674:Q674 P676:Q677 P679:Q679 P681:Q681 P684:Q685 P688:Q688 P690:Q690 P692:Q692 U692:V692">
    <cfRule type="containsText" dxfId="2" priority="13182" operator="containsText" text="Yes">
      <formula>NOT(ISERROR(SEARCH(("Yes"),(O670))))</formula>
    </cfRule>
  </conditionalFormatting>
  <conditionalFormatting sqref="O670 P660:Q661 P663:Q663 P666:Q669 P674:Q674 P676:Q677 P679:Q679 P681:Q681 P684:Q685 P688:Q688 P690:Q690 P692:Q692 U692:V692">
    <cfRule type="containsText" dxfId="9" priority="13183" operator="containsText" text="No">
      <formula>NOT(ISERROR(SEARCH(("No"),(O670))))</formula>
    </cfRule>
  </conditionalFormatting>
  <conditionalFormatting sqref="O670 P660:Q661 P663:Q663 P666:Q669 P674:Q674 P676:Q677 P679:Q679 P681:Q681 P684:Q685 P688:Q688 P690:Q690 P692:Q692 U692:V692">
    <cfRule type="containsText" dxfId="2" priority="13184" operator="containsText" text="Yes">
      <formula>NOT(ISERROR(SEARCH(("Yes"),(O670))))</formula>
    </cfRule>
  </conditionalFormatting>
  <conditionalFormatting sqref="O670 P660:Q661 P663:Q663 P666:Q669 P674:Q674 P676:Q677 P679:Q679 P681:Q681 P684:Q685 P688:Q688 P690:Q690 P692:Q692 U692:V692">
    <cfRule type="containsText" dxfId="9" priority="13185" operator="containsText" text="No">
      <formula>NOT(ISERROR(SEARCH(("No"),(O670))))</formula>
    </cfRule>
  </conditionalFormatting>
  <conditionalFormatting sqref="O670 P660:Q661 P663:Q663 P666:Q669 P674:Q674 P676:Q677 P679:Q679 P681:Q681 P684:Q685 P688:Q688 P690:Q690 P692:Q692 U692:V692">
    <cfRule type="containsText" dxfId="2" priority="13186" operator="containsText" text="Yes">
      <formula>NOT(ISERROR(SEARCH(("Yes"),(O670))))</formula>
    </cfRule>
  </conditionalFormatting>
  <conditionalFormatting sqref="O670 P660:Q661 P663:Q663 P666:Q669 P674:Q674 P676:Q677 P679:Q679 P681:Q681 P684:Q685 P688:Q688 P690:Q690 P692:Q692 U692:V692">
    <cfRule type="containsText" dxfId="9" priority="13187" operator="containsText" text="No">
      <formula>NOT(ISERROR(SEARCH(("No"),(O670))))</formula>
    </cfRule>
  </conditionalFormatting>
  <conditionalFormatting sqref="O670 P660:Q661 P663:Q663 P666:Q669 P674:Q674 P676:Q677 P679:Q679 P681:Q681 P684:Q685 P688:Q688 P690:Q690 P692:Q692 U692:V692">
    <cfRule type="containsText" dxfId="2" priority="13188" operator="containsText" text="Yes">
      <formula>NOT(ISERROR(SEARCH(("Yes"),(O670))))</formula>
    </cfRule>
  </conditionalFormatting>
  <conditionalFormatting sqref="O670 P660:Q661 P663:Q663 P666:Q669 P674:Q674 P676:Q677 P679:Q679 P681:Q681 P684:Q685 P688:Q688 P690:Q690 P692:Q692 U692:V692">
    <cfRule type="containsText" dxfId="9" priority="13189" operator="containsText" text="No">
      <formula>NOT(ISERROR(SEARCH(("No"),(O670))))</formula>
    </cfRule>
  </conditionalFormatting>
  <conditionalFormatting sqref="O670 P660:Q661 P663:Q663 P666:Q669 P674:Q674 P676:Q677 P679:Q679 P681:Q681 P684:Q685 P688:Q688 P690:Q690 P692:Q692 U692:V692">
    <cfRule type="containsText" dxfId="2" priority="13190" operator="containsText" text="Yes">
      <formula>NOT(ISERROR(SEARCH(("Yes"),(O670))))</formula>
    </cfRule>
  </conditionalFormatting>
  <conditionalFormatting sqref="O670 P660:Q661 P663:Q663 P666:Q669 P674:Q674 P676:Q677 P679:Q679 P681:Q681 P684:Q685 P688:Q688 P690:Q690 P692:Q692 U692:V692">
    <cfRule type="containsText" dxfId="9" priority="13191" operator="containsText" text="No">
      <formula>NOT(ISERROR(SEARCH(("No"),(O670))))</formula>
    </cfRule>
  </conditionalFormatting>
  <conditionalFormatting sqref="O670 P660:Q661 P663:Q663 P666:Q669 P674:Q674 P676:Q677 P679:Q679 P681:Q681 P684:Q685 P688:Q688 P690:Q690 P692:Q692 U692:V692">
    <cfRule type="containsText" dxfId="2" priority="13192" operator="containsText" text="Yes">
      <formula>NOT(ISERROR(SEARCH(("Yes"),(O670))))</formula>
    </cfRule>
  </conditionalFormatting>
  <conditionalFormatting sqref="O670 P660:Q661 P663:Q663 P666:Q669 P674:Q674 P676:Q677 P679:Q679 P681:Q681 P684:Q685 P688:Q688 P690:Q690 P692:Q692 U692:V692">
    <cfRule type="containsText" dxfId="9" priority="13193" operator="containsText" text="No">
      <formula>NOT(ISERROR(SEARCH(("No"),(O670))))</formula>
    </cfRule>
  </conditionalFormatting>
  <conditionalFormatting sqref="O670 P660:Q661 P663:Q663 P666:Q669 P674:Q674 P676:Q677 P679:Q679 P681:Q681 P684:Q685 P688:Q688 P690:Q690 P692:Q692 U692:V692">
    <cfRule type="containsText" dxfId="2" priority="13194" operator="containsText" text="Yes">
      <formula>NOT(ISERROR(SEARCH(("Yes"),(O670))))</formula>
    </cfRule>
  </conditionalFormatting>
  <conditionalFormatting sqref="O670 P660:Q661 P663:Q663 P666:Q669 P674:Q674 P676:Q677 P679:Q679 P681:Q681 P684:Q685 P688:Q688 P690:Q690 P692:Q692 U692:V692">
    <cfRule type="containsText" dxfId="9" priority="13195" operator="containsText" text="No">
      <formula>NOT(ISERROR(SEARCH(("No"),(O670))))</formula>
    </cfRule>
  </conditionalFormatting>
  <conditionalFormatting sqref="O670 P660:Q661 P663:Q663 P666:Q669 P674:Q674 P676:Q677 P679:Q679 P681:Q681 P684:Q685 P688:Q688 P690:Q690 P692:Q692 U692:V692">
    <cfRule type="containsText" dxfId="2" priority="13196" operator="containsText" text="Yes">
      <formula>NOT(ISERROR(SEARCH(("Yes"),(O670))))</formula>
    </cfRule>
  </conditionalFormatting>
  <conditionalFormatting sqref="O670 P660:Q661 P663:Q663 P666:Q669 P674:Q674 P676:Q677 P679:Q679 P681:Q681 P684:Q685 P688:Q688 P690:Q690 P692:Q692 U692:V692">
    <cfRule type="containsText" dxfId="9" priority="13197" operator="containsText" text="No">
      <formula>NOT(ISERROR(SEARCH(("No"),(O670))))</formula>
    </cfRule>
  </conditionalFormatting>
  <conditionalFormatting sqref="O670 P660:Q661 P663:Q663 P666:Q669 P674:Q674 P676:Q677 P679:Q679 P681:Q681 P684:Q685 P688:Q688 P690:Q690 P692:Q692 U692:V692">
    <cfRule type="containsText" dxfId="2" priority="13198" operator="containsText" text="Yes">
      <formula>NOT(ISERROR(SEARCH(("Yes"),(O670))))</formula>
    </cfRule>
  </conditionalFormatting>
  <conditionalFormatting sqref="O670 P660:Q661 P663:Q663 P666:Q669 P674:Q674 P676:Q677 P679:Q679 P681:Q681 P684:Q685 P688:Q688 P690:Q690 P692:Q692 U692:V692">
    <cfRule type="containsText" dxfId="9" priority="13199" operator="containsText" text="No">
      <formula>NOT(ISERROR(SEARCH(("No"),(O670))))</formula>
    </cfRule>
  </conditionalFormatting>
  <conditionalFormatting sqref="O670 P660:Q661 P663:Q663 P666:Q669 P674:Q674 P676:Q677 P679:Q679 P681:Q681 P684:Q685 P688:Q688 P690:Q690 P692:Q692 U692:V692">
    <cfRule type="containsText" dxfId="2" priority="13200" operator="containsText" text="Yes">
      <formula>NOT(ISERROR(SEARCH(("Yes"),(O670))))</formula>
    </cfRule>
  </conditionalFormatting>
  <conditionalFormatting sqref="O670 P660:Q661 P663:Q663 P666:Q669 P674:Q674 P676:Q677 P679:Q679 P681:Q681 P684:Q685 P688:Q688 P690:Q690 P692:Q692 U692:V692">
    <cfRule type="containsText" dxfId="9" priority="13201" operator="containsText" text="No">
      <formula>NOT(ISERROR(SEARCH(("No"),(O670))))</formula>
    </cfRule>
  </conditionalFormatting>
  <conditionalFormatting sqref="O670 P660:Q661 P663:Q663 P666:Q669 P674:Q674 P676:Q677 P679:Q679 P681:Q681 P684:Q685 P688:Q688 P690:Q690 P692:Q692 U692:V692">
    <cfRule type="containsText" dxfId="2" priority="13202" operator="containsText" text="Yes">
      <formula>NOT(ISERROR(SEARCH(("Yes"),(O670))))</formula>
    </cfRule>
  </conditionalFormatting>
  <conditionalFormatting sqref="O670 P660:Q661 P663:Q663 P666:Q669 P674:Q674 P676:Q677 P679:Q679 P681:Q681 P684:Q685 P688:Q688 P690:Q690 P692:Q692 U692:V692">
    <cfRule type="containsText" dxfId="9" priority="13203" operator="containsText" text="No">
      <formula>NOT(ISERROR(SEARCH(("No"),(O670))))</formula>
    </cfRule>
  </conditionalFormatting>
  <conditionalFormatting sqref="O670 P660:Q661 P663:Q663 P666:Q669 P674:Q674 P676:Q677 P679:Q679 P681:Q681 P684:Q685 P688:Q688 P690:Q690 P692:Q692 U692:V692">
    <cfRule type="containsText" dxfId="2" priority="13204" operator="containsText" text="Yes">
      <formula>NOT(ISERROR(SEARCH(("Yes"),(O670))))</formula>
    </cfRule>
  </conditionalFormatting>
  <conditionalFormatting sqref="O670 P660:Q661 P663:Q663 P666:Q669 P674:Q674 P676:Q677 P679:Q679 P681:Q681 P684:Q685 P688:Q688 P690:Q690 P692:Q692 U692:V692">
    <cfRule type="containsText" dxfId="9" priority="13205" operator="containsText" text="No">
      <formula>NOT(ISERROR(SEARCH(("No"),(O670))))</formula>
    </cfRule>
  </conditionalFormatting>
  <conditionalFormatting sqref="O670 P660:Q661 P663:Q663 P666:Q669 P674:Q674 P676:Q677 P679:Q679 P681:Q681 P684:Q685 P688:Q688 P690:Q690 P692:Q692 U692:V692">
    <cfRule type="containsText" dxfId="2" priority="13206" operator="containsText" text="Yes">
      <formula>NOT(ISERROR(SEARCH(("Yes"),(O670))))</formula>
    </cfRule>
  </conditionalFormatting>
  <conditionalFormatting sqref="O670 P660:Q661 P663:Q663 P666:Q669 P674:Q674 P676:Q677 P679:Q679 P681:Q681 P684:Q685 P688:Q688 P690:Q690 P692:Q692 U692:V692">
    <cfRule type="containsText" dxfId="9" priority="13207" operator="containsText" text="No">
      <formula>NOT(ISERROR(SEARCH(("No"),(O670))))</formula>
    </cfRule>
  </conditionalFormatting>
  <conditionalFormatting sqref="O670 P660:Q661 P663:Q663 P666:Q669 P674:Q674 P676:Q677 P679:Q679 P681:Q681 P684:Q685 P688:Q688 P690:Q690 P692:Q692 U692:V692">
    <cfRule type="containsText" dxfId="2" priority="13208" operator="containsText" text="Yes">
      <formula>NOT(ISERROR(SEARCH(("Yes"),(O670))))</formula>
    </cfRule>
  </conditionalFormatting>
  <conditionalFormatting sqref="O670 P660:Q661 P663:Q663 P666:Q669 P674:Q674 P676:Q677 P679:Q679 P681:Q681 P684:Q685 P688:Q688 P690:Q690 P692:Q692 U692:V692">
    <cfRule type="containsText" dxfId="9" priority="13209" operator="containsText" text="No">
      <formula>NOT(ISERROR(SEARCH(("No"),(O670))))</formula>
    </cfRule>
  </conditionalFormatting>
  <conditionalFormatting sqref="O670 P660:Q661 P663:Q663 P666:Q669 P674:Q674 P676:Q677 P679:Q679 P681:Q681 P684:Q685 P688:Q688 P690:Q690 P692:Q692 U692:V692">
    <cfRule type="containsText" dxfId="2" priority="13210" operator="containsText" text="Yes">
      <formula>NOT(ISERROR(SEARCH(("Yes"),(O670))))</formula>
    </cfRule>
  </conditionalFormatting>
  <conditionalFormatting sqref="O670 P660:Q661 P663:Q663 P666:Q669 P674:Q674 P676:Q677 P679:Q679 P681:Q681 P684:Q685 P688:Q688 P690:Q690 P692:Q692 U692:V692">
    <cfRule type="containsText" dxfId="9" priority="13211" operator="containsText" text="No">
      <formula>NOT(ISERROR(SEARCH(("No"),(O670))))</formula>
    </cfRule>
  </conditionalFormatting>
  <conditionalFormatting sqref="O670 P660:Q661 P663:Q663 P666:Q669 P674:Q674 P676:Q677 P679:Q679 P681:Q681 P684:Q685 P688:Q688 P690:Q690 P692:Q692 U692:V692">
    <cfRule type="containsText" dxfId="2" priority="13212" operator="containsText" text="Yes">
      <formula>NOT(ISERROR(SEARCH(("Yes"),(O670))))</formula>
    </cfRule>
  </conditionalFormatting>
  <conditionalFormatting sqref="O670 P660:Q661 P663:Q663 P666:Q669 P674:Q674 P676:Q677 P679:Q679 P681:Q681 P684:Q685 P688:Q688 P690:Q690 P692:Q692 U692:V692">
    <cfRule type="containsText" dxfId="9" priority="13213" operator="containsText" text="No">
      <formula>NOT(ISERROR(SEARCH(("No"),(O670))))</formula>
    </cfRule>
  </conditionalFormatting>
  <conditionalFormatting sqref="O670 P660:Q661 P663:Q663 P666:Q669 P674:Q674 P676:Q677 P679:Q679 P681:Q681 P684:Q685 P688:Q688 P690:Q690 P692:Q692 U692:V692">
    <cfRule type="containsText" dxfId="2" priority="13214" operator="containsText" text="Yes">
      <formula>NOT(ISERROR(SEARCH(("Yes"),(O670))))</formula>
    </cfRule>
  </conditionalFormatting>
  <conditionalFormatting sqref="O670 P660:Q661 P663:Q663 P666:Q669 P674:Q674 P676:Q677 P679:Q679 P681:Q681 P684:Q685 P688:Q688 P690:Q690 P692:Q692 U692:V692">
    <cfRule type="containsText" dxfId="9" priority="13215" operator="containsText" text="No">
      <formula>NOT(ISERROR(SEARCH(("No"),(O670))))</formula>
    </cfRule>
  </conditionalFormatting>
  <conditionalFormatting sqref="O670 P660:Q661 P663:Q663 P666:Q669 P674:Q674 P676:Q677 P679:Q679 P681:Q681 P684:Q685 P688:Q688 P690:Q690 P692:Q692 U692:V692">
    <cfRule type="containsText" dxfId="2" priority="13216" operator="containsText" text="Yes">
      <formula>NOT(ISERROR(SEARCH(("Yes"),(O670))))</formula>
    </cfRule>
  </conditionalFormatting>
  <conditionalFormatting sqref="O670 P660:Q661 P663:Q663 P666:Q669 P674:Q674 P676:Q677 P679:Q679 P681:Q681 P684:Q685 P688:Q688 P690:Q690 P692:Q692 U692:V692">
    <cfRule type="containsText" dxfId="9" priority="13217" operator="containsText" text="No">
      <formula>NOT(ISERROR(SEARCH(("No"),(O670))))</formula>
    </cfRule>
  </conditionalFormatting>
  <conditionalFormatting sqref="O670 P660:Q661 P663:Q663 P666:Q669 P674:Q674 P676:Q677 P679:Q679 P681:Q681 P684:Q685 P688:Q688 P690:Q690 P692:Q692 U692:V692">
    <cfRule type="containsText" dxfId="2" priority="13218" operator="containsText" text="Yes">
      <formula>NOT(ISERROR(SEARCH(("Yes"),(O670))))</formula>
    </cfRule>
  </conditionalFormatting>
  <conditionalFormatting sqref="O670 P660:Q661 P663:Q663 P666:Q669 P674:Q674 P676:Q677 P679:Q679 P681:Q681 P684:Q685 P688:Q688 P690:Q690 P692:Q692 U692:V692">
    <cfRule type="containsText" dxfId="9" priority="13219" operator="containsText" text="No">
      <formula>NOT(ISERROR(SEARCH(("No"),(O670))))</formula>
    </cfRule>
  </conditionalFormatting>
  <conditionalFormatting sqref="O670 P660:Q661 P663:Q663 P666:Q669 P674:Q674 P676:Q677 P679:Q679 P681:Q681 P684:Q685 P688:Q688 P690:Q690 P692:Q692 U692:V692">
    <cfRule type="containsText" dxfId="2" priority="13220" operator="containsText" text="Yes">
      <formula>NOT(ISERROR(SEARCH(("Yes"),(O670))))</formula>
    </cfRule>
  </conditionalFormatting>
  <conditionalFormatting sqref="O670 P660:Q661 P663:Q663 P666:Q669 P674:Q674 P676:Q677 P679:Q679 P681:Q681 P684:Q685 P688:Q688 P690:Q690 P692:Q692 U692:V692">
    <cfRule type="containsText" dxfId="9" priority="13221" operator="containsText" text="No">
      <formula>NOT(ISERROR(SEARCH(("No"),(O670))))</formula>
    </cfRule>
  </conditionalFormatting>
  <conditionalFormatting sqref="O670 P660:Q661 P663:Q663 P666:Q669 P674:Q674 P676:Q677 P679:Q679 P681:Q681 P684:Q685 P688:Q688 P690:Q690 P692:Q692 U692:V692">
    <cfRule type="containsText" dxfId="2" priority="13222" operator="containsText" text="Yes">
      <formula>NOT(ISERROR(SEARCH(("Yes"),(O670))))</formula>
    </cfRule>
  </conditionalFormatting>
  <conditionalFormatting sqref="O670 P660:Q661 P663:Q663 P666:Q669 P674:Q674 P676:Q677 P679:Q679 P681:Q681 P684:Q685 P688:Q688 P690:Q690 P692:Q692 U692:V692">
    <cfRule type="containsText" dxfId="9" priority="13223" operator="containsText" text="No">
      <formula>NOT(ISERROR(SEARCH(("No"),(O670))))</formula>
    </cfRule>
  </conditionalFormatting>
  <conditionalFormatting sqref="O670 P660:Q661 P663:Q663 P666:Q669 P674:Q674 P676:Q677 P679:Q679 P681:Q681 P684:Q685 P688:Q688 P690:Q690 P692:Q692 U692:V692">
    <cfRule type="containsText" dxfId="2" priority="13224" operator="containsText" text="Yes">
      <formula>NOT(ISERROR(SEARCH(("Yes"),(O670))))</formula>
    </cfRule>
  </conditionalFormatting>
  <conditionalFormatting sqref="O670 P660:Q661 P663:Q663 P666:Q669 P674:Q674 P676:Q677 P679:Q679 P681:Q681 P684:Q685 P688:Q688 P690:Q690 P692:Q692 U692:V692">
    <cfRule type="containsText" dxfId="9" priority="13225" operator="containsText" text="No">
      <formula>NOT(ISERROR(SEARCH(("No"),(O670))))</formula>
    </cfRule>
  </conditionalFormatting>
  <conditionalFormatting sqref="O670 P660:Q661 P663:Q663 P666:Q669 P674:Q674 P676:Q677 P679:Q679 P681:Q681 P684:Q685 P688:Q688 P690:Q690 P692:Q692 U692:V692">
    <cfRule type="containsText" dxfId="2" priority="13226" operator="containsText" text="Yes">
      <formula>NOT(ISERROR(SEARCH(("Yes"),(O670))))</formula>
    </cfRule>
  </conditionalFormatting>
  <conditionalFormatting sqref="O670 P660:Q661 P663:Q663 P666:Q669 P674:Q674 P676:Q677 P679:Q679 P681:Q681 P684:Q685 P688:Q688 P690:Q690 P692:Q692 U692:V692">
    <cfRule type="containsText" dxfId="9" priority="13227" operator="containsText" text="No">
      <formula>NOT(ISERROR(SEARCH(("No"),(O670))))</formula>
    </cfRule>
  </conditionalFormatting>
  <conditionalFormatting sqref="O670 P660:Q661 P663:Q663 P666:Q669 P674:Q674 P676:Q677 P679:Q679 P681:Q681 P684:Q685 P688:Q688 P690:Q690 P692:Q692 U692:V692">
    <cfRule type="containsText" dxfId="2" priority="13228" operator="containsText" text="Yes">
      <formula>NOT(ISERROR(SEARCH(("Yes"),(O670))))</formula>
    </cfRule>
  </conditionalFormatting>
  <conditionalFormatting sqref="O670 P660:Q661 P663:Q663 P666:Q669 P674:Q674 P676:Q677 P679:Q679 P681:Q681 P684:Q685 P688:Q688 P690:Q690 P692:Q692 U692:V692">
    <cfRule type="containsText" dxfId="9" priority="13229" operator="containsText" text="No">
      <formula>NOT(ISERROR(SEARCH(("No"),(O670))))</formula>
    </cfRule>
  </conditionalFormatting>
  <conditionalFormatting sqref="O670 P660:Q661 P663:Q663 P666:Q669 P674:Q674 P676:Q677 P679:Q679 P681:Q681 P684:Q685 P688:Q688 P690:Q690 P692:Q692 U692:V692">
    <cfRule type="containsText" dxfId="2" priority="13230" operator="containsText" text="Yes">
      <formula>NOT(ISERROR(SEARCH(("Yes"),(O670))))</formula>
    </cfRule>
  </conditionalFormatting>
  <conditionalFormatting sqref="O670 P660:Q661 P663:Q663 P666:Q669 P674:Q674 P676:Q677 P679:Q679 P681:Q681 P684:Q685 P688:Q688 P690:Q690 P692:Q692 U692:V692">
    <cfRule type="containsText" dxfId="9" priority="13231" operator="containsText" text="No">
      <formula>NOT(ISERROR(SEARCH(("No"),(O670))))</formula>
    </cfRule>
  </conditionalFormatting>
  <conditionalFormatting sqref="O670 P660:Q661 P663:Q663 P666:Q669 P674:Q674 P676:Q677 P679:Q679 P681:Q681 P684:Q685 P688:Q688 P690:Q690 P692:Q692 U692:V692">
    <cfRule type="containsText" dxfId="2" priority="13232" operator="containsText" text="Yes">
      <formula>NOT(ISERROR(SEARCH(("Yes"),(O670))))</formula>
    </cfRule>
  </conditionalFormatting>
  <conditionalFormatting sqref="O670 P660:Q661 P663:Q663 P666:Q669 P674:Q674 P676:Q677 P679:Q679 P681:Q681 P684:Q685 P688:Q688 P690:Q690 P692:Q692 U692:V692">
    <cfRule type="containsText" dxfId="9" priority="13233" operator="containsText" text="No">
      <formula>NOT(ISERROR(SEARCH(("No"),(O670))))</formula>
    </cfRule>
  </conditionalFormatting>
  <conditionalFormatting sqref="O670 P660:Q661 P663:Q663 P666:Q669 P674:Q674 P676:Q677 P679:Q679 P681:Q681 P684:Q685 P688:Q688 P690:Q690 P692:Q692 U692:V692">
    <cfRule type="containsText" dxfId="2" priority="13234" operator="containsText" text="Yes">
      <formula>NOT(ISERROR(SEARCH(("Yes"),(O670))))</formula>
    </cfRule>
  </conditionalFormatting>
  <conditionalFormatting sqref="O670 P660:Q661 P663:Q663 P666:Q669 P674:Q674 P676:Q677 P679:Q679 P681:Q681 P684:Q685 P688:Q688 P690:Q690 P692:Q692 U692:V692">
    <cfRule type="containsText" dxfId="9" priority="13235" operator="containsText" text="No">
      <formula>NOT(ISERROR(SEARCH(("No"),(O670))))</formula>
    </cfRule>
  </conditionalFormatting>
  <conditionalFormatting sqref="O670 P660:Q661 P663:Q663 P666:Q669 P674:Q674 P676:Q677 P679:Q679 P681:Q681 P684:Q685 P688:Q688 P690:Q690 P692:Q692 U692:V692">
    <cfRule type="containsText" dxfId="2" priority="13236" operator="containsText" text="Yes">
      <formula>NOT(ISERROR(SEARCH(("Yes"),(O670))))</formula>
    </cfRule>
  </conditionalFormatting>
  <conditionalFormatting sqref="O670 P660:Q661 P663:Q663 P666:Q669 P674:Q674 P676:Q677 P679:Q679 P681:Q681 P684:Q685 P688:Q688 P690:Q690 P692:Q692 U692:V692">
    <cfRule type="containsText" dxfId="9" priority="13237" operator="containsText" text="No">
      <formula>NOT(ISERROR(SEARCH(("No"),(O670))))</formula>
    </cfRule>
  </conditionalFormatting>
  <conditionalFormatting sqref="O670 P660:Q661 P663:Q663 P666:Q669 P674:Q674 P676:Q677 P679:Q679 P681:Q681 P684:Q685 P688:Q688 P690:Q690 P692:Q692 U692:V692">
    <cfRule type="containsText" dxfId="2" priority="13238" operator="containsText" text="Yes">
      <formula>NOT(ISERROR(SEARCH(("Yes"),(O670))))</formula>
    </cfRule>
  </conditionalFormatting>
  <conditionalFormatting sqref="O670 P660:Q661 P663:Q663 P666:Q669 P674:Q674 P676:Q677 P679:Q679 P681:Q681 P684:Q685 P688:Q688 P690:Q690 P692:Q692 U692:V692">
    <cfRule type="containsText" dxfId="9" priority="13239" operator="containsText" text="No">
      <formula>NOT(ISERROR(SEARCH(("No"),(O670))))</formula>
    </cfRule>
  </conditionalFormatting>
  <conditionalFormatting sqref="O670 P660:Q661 P663:Q663 P666:Q669 P674:Q674 P676:Q677 P679:Q679 P681:Q681 P684:Q685 P688:Q688 P690:Q690 P692:Q692 U692:V692">
    <cfRule type="containsText" dxfId="2" priority="13240" operator="containsText" text="Yes">
      <formula>NOT(ISERROR(SEARCH(("Yes"),(O670))))</formula>
    </cfRule>
  </conditionalFormatting>
  <conditionalFormatting sqref="O670 P660:Q661 P663:Q663 P666:Q669 P674:Q674 P676:Q677 P679:Q679 P681:Q681 P684:Q685 P688:Q688 P690:Q690 P692:Q692 U692:V692">
    <cfRule type="containsText" dxfId="9" priority="13241" operator="containsText" text="No">
      <formula>NOT(ISERROR(SEARCH(("No"),(O670))))</formula>
    </cfRule>
  </conditionalFormatting>
  <conditionalFormatting sqref="O670 P660:Q661 P663:Q663 P666:Q669 P674:Q674 P676:Q677 P679:Q679 P681:Q681 P684:Q685 P688:Q688 P690:Q690 P692:Q692 U692:V692">
    <cfRule type="containsText" dxfId="2" priority="13242" operator="containsText" text="Yes">
      <formula>NOT(ISERROR(SEARCH(("Yes"),(O670))))</formula>
    </cfRule>
  </conditionalFormatting>
  <conditionalFormatting sqref="O670 P660:Q661 P663:Q663 P666:Q669 P674:Q674 P676:Q677 P679:Q679 P681:Q681 P684:Q685 P688:Q688 P690:Q690 P692:Q692 U692:V692">
    <cfRule type="containsText" dxfId="9" priority="13243" operator="containsText" text="No">
      <formula>NOT(ISERROR(SEARCH(("No"),(O670))))</formula>
    </cfRule>
  </conditionalFormatting>
  <conditionalFormatting sqref="O670 P660:Q661 P663:Q663 P666:Q669 P674:Q674 P676:Q677 P679:Q679 P681:Q681 P684:Q685 P688:Q688 P690:Q690 P692:Q692 U692:V692">
    <cfRule type="containsText" dxfId="2" priority="13244" operator="containsText" text="Yes">
      <formula>NOT(ISERROR(SEARCH(("Yes"),(O670))))</formula>
    </cfRule>
  </conditionalFormatting>
  <conditionalFormatting sqref="O670 P660:Q661 P663:Q663 P666:Q669 P674:Q674 P676:Q677 P679:Q679 P681:Q681 P684:Q685 P688:Q688 P690:Q690 P692:Q692 U692:V692">
    <cfRule type="containsText" dxfId="9" priority="13245" operator="containsText" text="No">
      <formula>NOT(ISERROR(SEARCH(("No"),(O670))))</formula>
    </cfRule>
  </conditionalFormatting>
  <conditionalFormatting sqref="O670 P660:Q661 P663:Q663 P666:Q669 P674:Q674 P676:Q677 P679:Q679 P681:Q681 P684:Q685 P688:Q688 P690:Q690 P692:Q692 U692:V692">
    <cfRule type="containsText" dxfId="2" priority="13246" operator="containsText" text="Yes">
      <formula>NOT(ISERROR(SEARCH(("Yes"),(O670))))</formula>
    </cfRule>
  </conditionalFormatting>
  <conditionalFormatting sqref="O670 P660:Q661 P663:Q663 P666:Q669 P674:Q674 P676:Q677 P679:Q679 P681:Q681 P684:Q685 P688:Q688 P690:Q690 P692:Q692 U692:V692">
    <cfRule type="containsText" dxfId="9" priority="13247" operator="containsText" text="No">
      <formula>NOT(ISERROR(SEARCH(("No"),(O670))))</formula>
    </cfRule>
  </conditionalFormatting>
  <conditionalFormatting sqref="O670 P660:Q661 P663:Q663 P666:Q669 P674:Q674 P676:Q677 P679:Q679 P681:Q681 P684:Q685 P688:Q688 P690:Q690 P692:Q692 U692:V692">
    <cfRule type="containsText" dxfId="2" priority="13248" operator="containsText" text="Yes">
      <formula>NOT(ISERROR(SEARCH(("Yes"),(O670))))</formula>
    </cfRule>
  </conditionalFormatting>
  <conditionalFormatting sqref="O670 P660:Q661 P663:Q663 P666:Q669 P674:Q674 P676:Q677 P679:Q679 P681:Q681 P684:Q685 P688:Q688 P690:Q690 P692:Q692 U692:V692">
    <cfRule type="containsText" dxfId="9" priority="13249" operator="containsText" text="No">
      <formula>NOT(ISERROR(SEARCH(("No"),(O670))))</formula>
    </cfRule>
  </conditionalFormatting>
  <conditionalFormatting sqref="O670 P660:Q661 P663:Q663 P666:Q669 P674:Q674 P676:Q677 P679:Q679 P681:Q681 P684:Q685 P688:Q688 P690:Q690 P692:Q692 U692:V692">
    <cfRule type="containsText" dxfId="2" priority="13250" operator="containsText" text="Yes">
      <formula>NOT(ISERROR(SEARCH(("Yes"),(O670))))</formula>
    </cfRule>
  </conditionalFormatting>
  <conditionalFormatting sqref="O670 P660:Q661 P663:Q663 P666:Q669 P674:Q674 P676:Q677 P679:Q679 P681:Q681 P684:Q685 P688:Q688 P690:Q690 P692:Q692 U692:V692">
    <cfRule type="containsText" dxfId="9" priority="13251" operator="containsText" text="No">
      <formula>NOT(ISERROR(SEARCH(("No"),(O670))))</formula>
    </cfRule>
  </conditionalFormatting>
  <conditionalFormatting sqref="O670 P660:Q661 P663:Q663 P666:Q669 P674:Q674 P676:Q677 P679:Q679 P681:Q681 P684:Q685 P688:Q688 P690:Q690 P692:Q692 U692:V692">
    <cfRule type="containsText" dxfId="2" priority="13252" operator="containsText" text="Yes">
      <formula>NOT(ISERROR(SEARCH(("Yes"),(O670))))</formula>
    </cfRule>
  </conditionalFormatting>
  <conditionalFormatting sqref="O670 P660:Q661 P663:Q663 P666:Q669 P674:Q674 P676:Q677 P679:Q679 P681:Q681 P684:Q685 P688:Q688 P690:Q690 P692:Q692 U692:V692">
    <cfRule type="containsText" dxfId="9" priority="13253" operator="containsText" text="No">
      <formula>NOT(ISERROR(SEARCH(("No"),(O670))))</formula>
    </cfRule>
  </conditionalFormatting>
  <conditionalFormatting sqref="O670 P660:Q661 P663:Q663 P666:Q669 P674:Q674 P676:Q677 P679:Q679 P681:Q681 P684:Q685 P688:Q688 P690:Q690 P692:Q692 U692:V692">
    <cfRule type="containsText" dxfId="2" priority="13254" operator="containsText" text="Yes">
      <formula>NOT(ISERROR(SEARCH(("Yes"),(O670))))</formula>
    </cfRule>
  </conditionalFormatting>
  <conditionalFormatting sqref="O670 P660:Q661 P663:Q663 P666:Q669 P674:Q674 P676:Q677 P679:Q679 P681:Q681 P684:Q685 P688:Q688 P690:Q690 P692:Q692 U692:V692">
    <cfRule type="containsText" dxfId="9" priority="13255" operator="containsText" text="No">
      <formula>NOT(ISERROR(SEARCH(("No"),(O670))))</formula>
    </cfRule>
  </conditionalFormatting>
  <conditionalFormatting sqref="O670 P660:Q661 P663:Q663 P666:Q669 P674:Q674 P676:Q677 P679:Q679 P681:Q681 P684:Q685 P688:Q688 P690:Q690 P692:Q692 U692:V692">
    <cfRule type="containsText" dxfId="2" priority="13256" operator="containsText" text="Yes">
      <formula>NOT(ISERROR(SEARCH(("Yes"),(O670))))</formula>
    </cfRule>
  </conditionalFormatting>
  <conditionalFormatting sqref="O670 P660:Q661 P663:Q663 P666:Q669 P674:Q674 P676:Q677 P679:Q679 P681:Q681 P684:Q685 P688:Q688 P690:Q690 P692:Q692 U692:V692">
    <cfRule type="containsText" dxfId="9" priority="13257" operator="containsText" text="No">
      <formula>NOT(ISERROR(SEARCH(("No"),(O670))))</formula>
    </cfRule>
  </conditionalFormatting>
  <conditionalFormatting sqref="O670 P660:Q661 P663:Q663 P666:Q669 P674:Q674 P676:Q677 P679:Q679 P681:Q681 P684:Q685 P688:Q688 P690:Q690 P692:Q692 U692:V692">
    <cfRule type="containsText" dxfId="2" priority="13258" operator="containsText" text="Yes">
      <formula>NOT(ISERROR(SEARCH(("Yes"),(O670))))</formula>
    </cfRule>
  </conditionalFormatting>
  <conditionalFormatting sqref="O670 P660:Q661 P663:Q663 P666:Q669 P674:Q674 P676:Q677 P679:Q679 P681:Q681 P684:Q685 P688:Q688 P690:Q690 P692:Q692 U692:V692">
    <cfRule type="containsText" dxfId="9" priority="13259" operator="containsText" text="No">
      <formula>NOT(ISERROR(SEARCH(("No"),(O670))))</formula>
    </cfRule>
  </conditionalFormatting>
  <conditionalFormatting sqref="O670 P660:Q661 P663:Q663 P666:Q669 P674:Q674 P676:Q677 P679:Q679 P681:Q681 P684:Q685 P688:Q688 P690:Q690 P692:Q692 U692:V692">
    <cfRule type="containsText" dxfId="2" priority="13260" operator="containsText" text="Yes">
      <formula>NOT(ISERROR(SEARCH(("Yes"),(O670))))</formula>
    </cfRule>
  </conditionalFormatting>
  <conditionalFormatting sqref="O670 P660:Q661 P663:Q663 P666:Q669 P674:Q674 P676:Q677 P679:Q679 P681:Q681 P684:Q685 P688:Q688 P690:Q690 P692:Q692 U692:V692">
    <cfRule type="containsText" dxfId="9" priority="13261" operator="containsText" text="No">
      <formula>NOT(ISERROR(SEARCH(("No"),(O670))))</formula>
    </cfRule>
  </conditionalFormatting>
  <conditionalFormatting sqref="O670 P660:Q661 P663:Q663 P666:Q669 P674:Q674 P676:Q677 P679:Q679 P681:Q681 P684:Q685 P688:Q688 P690:Q690 P692:Q692 U692:V692">
    <cfRule type="containsText" dxfId="2" priority="13262" operator="containsText" text="Yes">
      <formula>NOT(ISERROR(SEARCH(("Yes"),(O670))))</formula>
    </cfRule>
  </conditionalFormatting>
  <conditionalFormatting sqref="O670 P660:Q661 P663:Q663 P666:Q669 P674:Q674 P676:Q677 P679:Q679 P681:Q681 P684:Q685 P688:Q688 P690:Q690 P692:Q692 U692:V692">
    <cfRule type="containsText" dxfId="9" priority="13263" operator="containsText" text="No">
      <formula>NOT(ISERROR(SEARCH(("No"),(O670))))</formula>
    </cfRule>
  </conditionalFormatting>
  <conditionalFormatting sqref="O670 P660:Q661 P663:Q663 P666:Q669 P674:Q674 P676:Q677 P679:Q679 P681:Q681 P684:Q685 P688:Q688 P690:Q690 P692:Q692 U692:V692">
    <cfRule type="containsText" dxfId="2" priority="13264" operator="containsText" text="Yes">
      <formula>NOT(ISERROR(SEARCH(("Yes"),(O670))))</formula>
    </cfRule>
  </conditionalFormatting>
  <conditionalFormatting sqref="O670 P660:Q661 P663:Q663 P666:Q669 P674:Q674 P676:Q677 P679:Q679 P681:Q681 P684:Q685 P688:Q688 P690:Q690 P692:Q692 U692:V692">
    <cfRule type="containsText" dxfId="9" priority="13265" operator="containsText" text="No">
      <formula>NOT(ISERROR(SEARCH(("No"),(O670))))</formula>
    </cfRule>
  </conditionalFormatting>
  <conditionalFormatting sqref="O670 P660:Q661 P663:Q663 P666:Q669 P674:Q674 P676:Q677 P679:Q679 P681:Q681 P684:Q685 P688:Q688 P690:Q690 P692:Q692 U692:V692">
    <cfRule type="containsText" dxfId="2" priority="13266" operator="containsText" text="Yes">
      <formula>NOT(ISERROR(SEARCH(("Yes"),(O670))))</formula>
    </cfRule>
  </conditionalFormatting>
  <conditionalFormatting sqref="O670 P660:Q661 P663:Q663 P666:Q669 P674:Q674 P676:Q677 P679:Q679 P681:Q681 P684:Q685 P688:Q688 P690:Q690 P692:Q692 U692:V692">
    <cfRule type="containsText" dxfId="9" priority="13267" operator="containsText" text="No">
      <formula>NOT(ISERROR(SEARCH(("No"),(O670))))</formula>
    </cfRule>
  </conditionalFormatting>
  <conditionalFormatting sqref="O670 P660:Q661 P663:Q663 P666:Q669 P674:Q674 P676:Q677 P679:Q679 P681:Q681 P684:Q685 P688:Q688 P690:Q690 P692:Q692 U692:V692">
    <cfRule type="containsText" dxfId="9" priority="13268" operator="containsText" text="No">
      <formula>NOT(ISERROR(SEARCH(("No"),(O670))))</formula>
    </cfRule>
  </conditionalFormatting>
  <conditionalFormatting sqref="O670 P660:Q661 P663:Q663 P666:Q669 P674:Q674 P676:Q677 P679:Q679 P681:Q681 P684:Q685 P688:Q688 P690:Q690 P692:Q692 U692:V692">
    <cfRule type="containsText" dxfId="9" priority="13269" operator="containsText" text="No">
      <formula>NOT(ISERROR(SEARCH(("No"),(O670))))</formula>
    </cfRule>
  </conditionalFormatting>
  <conditionalFormatting sqref="O670 P660:Q661 P663:Q663 P666:Q669 P674:Q674 P676:Q677 P679:Q679 P681:Q681 P684:Q685 P688:Q688 P690:Q690 P692:Q692 U692:V692">
    <cfRule type="containsText" dxfId="2" priority="13270" operator="containsText" text="Yes">
      <formula>NOT(ISERROR(SEARCH(("Yes"),(O670))))</formula>
    </cfRule>
  </conditionalFormatting>
  <conditionalFormatting sqref="O670 P660:Q661 P663:Q663 P666:Q669 P674:Q674 P676:Q677 P679:Q679 P681:Q681 P684:Q685 P688:Q688 P690:Q690 P692:Q692 U692:V692">
    <cfRule type="containsText" dxfId="9" priority="13271" operator="containsText" text="No">
      <formula>NOT(ISERROR(SEARCH(("No"),(O670))))</formula>
    </cfRule>
  </conditionalFormatting>
  <conditionalFormatting sqref="O670 P660:Q661 P663:Q663 P666:Q669 P674:Q674 P676:Q677 P679:Q679 P681:Q681 P684:Q685 P688:Q688 P690:Q690 P692:Q692 U692:V692">
    <cfRule type="containsText" dxfId="9" priority="13272" operator="containsText" text="No">
      <formula>NOT(ISERROR(SEARCH(("No"),(O670))))</formula>
    </cfRule>
  </conditionalFormatting>
  <conditionalFormatting sqref="O670 P660:Q661 P663:Q663 P666:Q669 P674:Q674 P676:Q677 P679:Q679 P681:Q681 P684:Q685 P688:Q688 P690:Q690 P692:Q692 U692:V692">
    <cfRule type="containsText" dxfId="9" priority="13273" operator="containsText" text="No">
      <formula>NOT(ISERROR(SEARCH(("No"),(O670))))</formula>
    </cfRule>
  </conditionalFormatting>
  <conditionalFormatting sqref="O670 P660:Q661 P663:Q663 P666:Q669 P674:Q674 P676:Q677 P679:Q679 P681:Q681 P684:Q685 P688:Q688 P690:Q690 P692:Q692 U692:V692">
    <cfRule type="containsText" dxfId="2" priority="13274" operator="containsText" text="Yes">
      <formula>NOT(ISERROR(SEARCH(("Yes"),(O670))))</formula>
    </cfRule>
  </conditionalFormatting>
  <conditionalFormatting sqref="O670 P660:Q661 P663:Q663 P666:Q669 P674:Q674 P676:Q677 P679:Q679 P681:Q681 P684:Q685 P688:Q688 P690:Q690 P692:Q692 U692:V692">
    <cfRule type="containsText" dxfId="9" priority="13275" operator="containsText" text="No">
      <formula>NOT(ISERROR(SEARCH(("No"),(O670))))</formula>
    </cfRule>
  </conditionalFormatting>
  <conditionalFormatting sqref="O670 P660:Q661 P663:Q663 P666:Q669 P674:Q674 P676:Q677 P679:Q679 P681:Q681 P684:Q685 P688:Q688 P690:Q690 P692:Q692 U692:V692">
    <cfRule type="containsText" dxfId="9" priority="13276" operator="containsText" text="No">
      <formula>NOT(ISERROR(SEARCH(("No"),(O670))))</formula>
    </cfRule>
  </conditionalFormatting>
  <conditionalFormatting sqref="O670 P660:Q661 P663:Q663 P666:Q669 P674:Q674 P676:Q677 P679:Q679 P681:Q681 P684:Q685 P688:Q688 P690:Q690 P692:Q692 U692:V692">
    <cfRule type="containsText" dxfId="9" priority="13277" operator="containsText" text="No">
      <formula>NOT(ISERROR(SEARCH(("No"),(O670))))</formula>
    </cfRule>
  </conditionalFormatting>
  <conditionalFormatting sqref="O670 P660:Q661 P663:Q663 P666:Q669 P674:Q674 P676:Q677 P679:Q679 P681:Q681 P684:Q685 P688:Q688 P690:Q690 P692:Q692 U692:V692">
    <cfRule type="containsText" dxfId="2" priority="13278" operator="containsText" text="Yes">
      <formula>NOT(ISERROR(SEARCH(("Yes"),(O670))))</formula>
    </cfRule>
  </conditionalFormatting>
  <conditionalFormatting sqref="O670 P660:Q661 P663:Q663 P666:Q669 P674:Q674 P676:Q677 P679:Q679 P681:Q681 P684:Q685 P688:Q688 P690:Q690 P692:Q692 U692:V692">
    <cfRule type="containsText" dxfId="9" priority="13279" operator="containsText" text="No">
      <formula>NOT(ISERROR(SEARCH(("No"),(O670))))</formula>
    </cfRule>
  </conditionalFormatting>
  <conditionalFormatting sqref="O670 P660:Q661 P663:Q663 P666:Q669 P674:Q674 P676:Q677 P679:Q679 P681:Q681 P684:Q685 P688:Q688 P690:Q690 P692:Q692 U692:V692">
    <cfRule type="containsText" dxfId="9" priority="13280" operator="containsText" text="No">
      <formula>NOT(ISERROR(SEARCH(("No"),(O670))))</formula>
    </cfRule>
  </conditionalFormatting>
  <conditionalFormatting sqref="O670 P666:Q669 P674:Q674 P676:Q677 P679:Q679 P681:Q681 P684:Q685 P688:Q688 P690:Q690 P692:Q692 U692:V692">
    <cfRule type="containsText" dxfId="9" priority="13281" operator="containsText" text="No">
      <formula>NOT(ISERROR(SEARCH(("No"),(O670))))</formula>
    </cfRule>
  </conditionalFormatting>
  <conditionalFormatting sqref="O670 P666:Q669 P674:Q674 P676:Q677 P679:Q679 P681:Q681 P684:Q685 P688:Q688 P690:Q690 P692:Q692 U692:V692">
    <cfRule type="containsText" dxfId="9" priority="13282" operator="containsText" text="No">
      <formula>NOT(ISERROR(SEARCH(("No"),(O670))))</formula>
    </cfRule>
  </conditionalFormatting>
  <conditionalFormatting sqref="O670 P666:Q669 P674:Q674 P676:Q677 P679:Q679 P681:Q681 P684:Q685 P688:Q688 P690:Q690 P692:Q692 U692:V692">
    <cfRule type="containsText" dxfId="2" priority="13283" operator="containsText" text="Yes">
      <formula>NOT(ISERROR(SEARCH(("Yes"),(O670))))</formula>
    </cfRule>
  </conditionalFormatting>
  <conditionalFormatting sqref="O670 P666:Q669 P674:Q674 P676:Q677 P679:Q679 P681:Q681 P684:Q685 P688:Q688 P690:Q690 P692:Q692 U692:V692">
    <cfRule type="containsText" dxfId="2" priority="13284" operator="containsText" text="Yes">
      <formula>NOT(ISERROR(SEARCH(("Yes"),(O670))))</formula>
    </cfRule>
  </conditionalFormatting>
  <conditionalFormatting sqref="O670 P666:Q669 P674:Q674 P676:Q677 P679:Q679 P681:Q681 P684:Q685 P688:Q688 P690:Q690 P692:Q692 U692:V692">
    <cfRule type="containsText" dxfId="9" priority="13285" operator="containsText" text="No">
      <formula>NOT(ISERROR(SEARCH(("No"),(O670))))</formula>
    </cfRule>
  </conditionalFormatting>
  <conditionalFormatting sqref="O670 P666:Q669 P674:Q674 P676:Q677 P679:Q679 P681:Q681 P684:Q685 P688:Q688 P690:Q690 P692:Q692 U692:V692">
    <cfRule type="containsText" dxfId="2" priority="13286" operator="containsText" text="Yes">
      <formula>NOT(ISERROR(SEARCH(("Yes"),(O670))))</formula>
    </cfRule>
  </conditionalFormatting>
  <conditionalFormatting sqref="O670 P666:Q669 P674:Q674 P676:Q677 P679:Q679 P681:Q681 P684:Q685 P688:Q688 P690:Q690 P692:Q692 U692:V692">
    <cfRule type="containsText" dxfId="9" priority="13287" operator="containsText" text="No">
      <formula>NOT(ISERROR(SEARCH(("No"),(O670))))</formula>
    </cfRule>
  </conditionalFormatting>
  <conditionalFormatting sqref="O670 P666:Q669 P674:Q674 P676:Q677 P679:Q679 P681:Q681 P684:Q685 P688:Q688 P690:Q690 P692:Q692 U692:V692">
    <cfRule type="containsText" dxfId="2" priority="13288" operator="containsText" text="Yes">
      <formula>NOT(ISERROR(SEARCH(("Yes"),(O670))))</formula>
    </cfRule>
  </conditionalFormatting>
  <conditionalFormatting sqref="O670 P666:Q669 P674:Q674 P676:Q677 P679:Q679 P681:Q681 P684:Q685 P688:Q688 P690:Q690 P692:Q692 U692:V692">
    <cfRule type="containsText" dxfId="9" priority="13289" operator="containsText" text="No">
      <formula>NOT(ISERROR(SEARCH(("No"),(O670))))</formula>
    </cfRule>
  </conditionalFormatting>
  <conditionalFormatting sqref="O670 P666:Q669 P674:Q674 P676:Q677 P679:Q679 P681:Q681 P684:Q685 P688:Q688 P690:Q690 P692:Q692 U692:V692">
    <cfRule type="containsText" dxfId="2" priority="13290" operator="containsText" text="Yes">
      <formula>NOT(ISERROR(SEARCH(("Yes"),(O670))))</formula>
    </cfRule>
  </conditionalFormatting>
  <conditionalFormatting sqref="O670 P666:Q669 P674:Q674 P676:Q677 P679:Q679 P681:Q681 P684:Q685 P688:Q688 P690:Q690 P692:Q692 U692:V692">
    <cfRule type="containsText" dxfId="9" priority="13291" operator="containsText" text="No">
      <formula>NOT(ISERROR(SEARCH(("No"),(O670))))</formula>
    </cfRule>
  </conditionalFormatting>
  <conditionalFormatting sqref="O670 P666:Q669 P674:Q674 P676:Q677 P679:Q679 P681:Q681 P684:Q685 P688:Q688 P690:Q690 P692:Q692 U692:V692">
    <cfRule type="containsText" dxfId="2" priority="13292" operator="containsText" text="Yes">
      <formula>NOT(ISERROR(SEARCH(("Yes"),(O670))))</formula>
    </cfRule>
  </conditionalFormatting>
  <conditionalFormatting sqref="P803:Q803">
    <cfRule type="containsText" dxfId="2" priority="13293" operator="containsText" text="Yes">
      <formula>NOT(ISERROR(SEARCH(("Yes"),(P803))))</formula>
    </cfRule>
  </conditionalFormatting>
  <conditionalFormatting sqref="P803:Q803">
    <cfRule type="containsText" dxfId="9" priority="13294" operator="containsText" text="No">
      <formula>NOT(ISERROR(SEARCH(("No"),(P803))))</formula>
    </cfRule>
  </conditionalFormatting>
  <conditionalFormatting sqref="P803:Q803">
    <cfRule type="containsText" dxfId="2" priority="13295" operator="containsText" text="Yes">
      <formula>NOT(ISERROR(SEARCH(("Yes"),(P803))))</formula>
    </cfRule>
  </conditionalFormatting>
  <conditionalFormatting sqref="P803:Q803">
    <cfRule type="containsText" dxfId="9" priority="13296" operator="containsText" text="No">
      <formula>NOT(ISERROR(SEARCH(("No"),(P803))))</formula>
    </cfRule>
  </conditionalFormatting>
  <conditionalFormatting sqref="P803:Q803">
    <cfRule type="containsText" dxfId="2" priority="13297" operator="containsText" text="Yes">
      <formula>NOT(ISERROR(SEARCH(("Yes"),(P803))))</formula>
    </cfRule>
  </conditionalFormatting>
  <conditionalFormatting sqref="P803:Q803">
    <cfRule type="containsText" dxfId="9" priority="13298" operator="containsText" text="No">
      <formula>NOT(ISERROR(SEARCH(("No"),(P803))))</formula>
    </cfRule>
  </conditionalFormatting>
  <conditionalFormatting sqref="P803:Q803">
    <cfRule type="containsText" dxfId="2" priority="13299" operator="containsText" text="Yes">
      <formula>NOT(ISERROR(SEARCH(("Yes"),(P803))))</formula>
    </cfRule>
  </conditionalFormatting>
  <conditionalFormatting sqref="P803:Q803">
    <cfRule type="containsText" dxfId="9" priority="13300" operator="containsText" text="No">
      <formula>NOT(ISERROR(SEARCH(("No"),(P803))))</formula>
    </cfRule>
  </conditionalFormatting>
  <conditionalFormatting sqref="P803:Q803">
    <cfRule type="containsText" dxfId="2" priority="13301" operator="containsText" text="Yes">
      <formula>NOT(ISERROR(SEARCH(("Yes"),(P803))))</formula>
    </cfRule>
  </conditionalFormatting>
  <conditionalFormatting sqref="P803:Q803">
    <cfRule type="containsText" dxfId="9" priority="13302" operator="containsText" text="No">
      <formula>NOT(ISERROR(SEARCH(("No"),(P803))))</formula>
    </cfRule>
  </conditionalFormatting>
  <conditionalFormatting sqref="P803:Q803">
    <cfRule type="containsText" dxfId="2" priority="13303" operator="containsText" text="Yes">
      <formula>NOT(ISERROR(SEARCH(("Yes"),(P803))))</formula>
    </cfRule>
  </conditionalFormatting>
  <conditionalFormatting sqref="P803:Q803">
    <cfRule type="containsText" dxfId="9" priority="13304" operator="containsText" text="No">
      <formula>NOT(ISERROR(SEARCH(("No"),(P803))))</formula>
    </cfRule>
  </conditionalFormatting>
  <conditionalFormatting sqref="P803:Q803">
    <cfRule type="containsText" dxfId="2" priority="13305" operator="containsText" text="Yes">
      <formula>NOT(ISERROR(SEARCH(("Yes"),(P803))))</formula>
    </cfRule>
  </conditionalFormatting>
  <conditionalFormatting sqref="P803:Q803">
    <cfRule type="containsText" dxfId="9" priority="13306" operator="containsText" text="No">
      <formula>NOT(ISERROR(SEARCH(("No"),(P803))))</formula>
    </cfRule>
  </conditionalFormatting>
  <conditionalFormatting sqref="P803:Q803">
    <cfRule type="containsText" dxfId="2" priority="13307" operator="containsText" text="Yes">
      <formula>NOT(ISERROR(SEARCH(("Yes"),(P803))))</formula>
    </cfRule>
  </conditionalFormatting>
  <conditionalFormatting sqref="P803:Q803">
    <cfRule type="containsText" dxfId="9" priority="13308" operator="containsText" text="No">
      <formula>NOT(ISERROR(SEARCH(("No"),(P803))))</formula>
    </cfRule>
  </conditionalFormatting>
  <conditionalFormatting sqref="P803:Q803">
    <cfRule type="containsText" dxfId="2" priority="13309" operator="containsText" text="Yes">
      <formula>NOT(ISERROR(SEARCH(("Yes"),(P803))))</formula>
    </cfRule>
  </conditionalFormatting>
  <conditionalFormatting sqref="P803:Q803">
    <cfRule type="containsText" dxfId="9" priority="13310" operator="containsText" text="No">
      <formula>NOT(ISERROR(SEARCH(("No"),(P803))))</formula>
    </cfRule>
  </conditionalFormatting>
  <conditionalFormatting sqref="P803:Q803">
    <cfRule type="containsText" dxfId="2" priority="13311" operator="containsText" text="Yes">
      <formula>NOT(ISERROR(SEARCH(("Yes"),(P803))))</formula>
    </cfRule>
  </conditionalFormatting>
  <conditionalFormatting sqref="P803:Q803">
    <cfRule type="containsText" dxfId="9" priority="13312" operator="containsText" text="No">
      <formula>NOT(ISERROR(SEARCH(("No"),(P803))))</formula>
    </cfRule>
  </conditionalFormatting>
  <conditionalFormatting sqref="P803:Q803">
    <cfRule type="containsText" dxfId="2" priority="13313" operator="containsText" text="Yes">
      <formula>NOT(ISERROR(SEARCH(("Yes"),(P803))))</formula>
    </cfRule>
  </conditionalFormatting>
  <conditionalFormatting sqref="P803:Q803">
    <cfRule type="containsText" dxfId="9" priority="13314" operator="containsText" text="No">
      <formula>NOT(ISERROR(SEARCH(("No"),(P803))))</formula>
    </cfRule>
  </conditionalFormatting>
  <conditionalFormatting sqref="P803:Q803">
    <cfRule type="containsText" dxfId="2" priority="13315" operator="containsText" text="Yes">
      <formula>NOT(ISERROR(SEARCH(("Yes"),(P803))))</formula>
    </cfRule>
  </conditionalFormatting>
  <conditionalFormatting sqref="P803:Q803">
    <cfRule type="containsText" dxfId="9" priority="13316" operator="containsText" text="No">
      <formula>NOT(ISERROR(SEARCH(("No"),(P803))))</formula>
    </cfRule>
  </conditionalFormatting>
  <conditionalFormatting sqref="P803:Q803">
    <cfRule type="containsText" dxfId="2" priority="13317" operator="containsText" text="Yes">
      <formula>NOT(ISERROR(SEARCH(("Yes"),(P803))))</formula>
    </cfRule>
  </conditionalFormatting>
  <conditionalFormatting sqref="P803:Q803">
    <cfRule type="containsText" dxfId="9" priority="13318" operator="containsText" text="No">
      <formula>NOT(ISERROR(SEARCH(("No"),(P803))))</formula>
    </cfRule>
  </conditionalFormatting>
  <conditionalFormatting sqref="P803:Q803">
    <cfRule type="containsText" dxfId="2" priority="13319" operator="containsText" text="Yes">
      <formula>NOT(ISERROR(SEARCH(("Yes"),(P803))))</formula>
    </cfRule>
  </conditionalFormatting>
  <conditionalFormatting sqref="P803:Q803">
    <cfRule type="containsText" dxfId="9" priority="13320" operator="containsText" text="No">
      <formula>NOT(ISERROR(SEARCH(("No"),(P803))))</formula>
    </cfRule>
  </conditionalFormatting>
  <conditionalFormatting sqref="P803:Q803">
    <cfRule type="containsText" dxfId="2" priority="13321" operator="containsText" text="Yes">
      <formula>NOT(ISERROR(SEARCH(("Yes"),(P803))))</formula>
    </cfRule>
  </conditionalFormatting>
  <conditionalFormatting sqref="P803:Q803">
    <cfRule type="containsText" dxfId="9" priority="13322" operator="containsText" text="No">
      <formula>NOT(ISERROR(SEARCH(("No"),(P803))))</formula>
    </cfRule>
  </conditionalFormatting>
  <conditionalFormatting sqref="P803:Q803">
    <cfRule type="containsText" dxfId="2" priority="13323" operator="containsText" text="Yes">
      <formula>NOT(ISERROR(SEARCH(("Yes"),(P803))))</formula>
    </cfRule>
  </conditionalFormatting>
  <conditionalFormatting sqref="P803:Q803">
    <cfRule type="containsText" dxfId="9" priority="13324" operator="containsText" text="No">
      <formula>NOT(ISERROR(SEARCH(("No"),(P803))))</formula>
    </cfRule>
  </conditionalFormatting>
  <conditionalFormatting sqref="P803:Q803">
    <cfRule type="containsText" dxfId="2" priority="13325" operator="containsText" text="Yes">
      <formula>NOT(ISERROR(SEARCH(("Yes"),(P803))))</formula>
    </cfRule>
  </conditionalFormatting>
  <conditionalFormatting sqref="P803:Q803">
    <cfRule type="containsText" dxfId="9" priority="13326" operator="containsText" text="No">
      <formula>NOT(ISERROR(SEARCH(("No"),(P803))))</formula>
    </cfRule>
  </conditionalFormatting>
  <conditionalFormatting sqref="P803:Q803">
    <cfRule type="containsText" dxfId="2" priority="13327" operator="containsText" text="Yes">
      <formula>NOT(ISERROR(SEARCH(("Yes"),(P803))))</formula>
    </cfRule>
  </conditionalFormatting>
  <conditionalFormatting sqref="P803:Q803">
    <cfRule type="containsText" dxfId="9" priority="13328" operator="containsText" text="No">
      <formula>NOT(ISERROR(SEARCH(("No"),(P803))))</formula>
    </cfRule>
  </conditionalFormatting>
  <conditionalFormatting sqref="P803:Q803">
    <cfRule type="containsText" dxfId="2" priority="13329" operator="containsText" text="Yes">
      <formula>NOT(ISERROR(SEARCH(("Yes"),(P803))))</formula>
    </cfRule>
  </conditionalFormatting>
  <conditionalFormatting sqref="P803:Q803">
    <cfRule type="containsText" dxfId="9" priority="13330" operator="containsText" text="No">
      <formula>NOT(ISERROR(SEARCH(("No"),(P803))))</formula>
    </cfRule>
  </conditionalFormatting>
  <conditionalFormatting sqref="P803:Q803">
    <cfRule type="containsText" dxfId="2" priority="13331" operator="containsText" text="Yes">
      <formula>NOT(ISERROR(SEARCH(("Yes"),(P803))))</formula>
    </cfRule>
  </conditionalFormatting>
  <conditionalFormatting sqref="P803:Q803">
    <cfRule type="containsText" dxfId="9" priority="13332" operator="containsText" text="No">
      <formula>NOT(ISERROR(SEARCH(("No"),(P803))))</formula>
    </cfRule>
  </conditionalFormatting>
  <conditionalFormatting sqref="P803:Q803">
    <cfRule type="containsText" dxfId="2" priority="13333" operator="containsText" text="Yes">
      <formula>NOT(ISERROR(SEARCH(("Yes"),(P803))))</formula>
    </cfRule>
  </conditionalFormatting>
  <conditionalFormatting sqref="P803:Q803">
    <cfRule type="containsText" dxfId="9" priority="13334" operator="containsText" text="No">
      <formula>NOT(ISERROR(SEARCH(("No"),(P803))))</formula>
    </cfRule>
  </conditionalFormatting>
  <conditionalFormatting sqref="P803:Q803">
    <cfRule type="containsText" dxfId="2" priority="13335" operator="containsText" text="Yes">
      <formula>NOT(ISERROR(SEARCH(("Yes"),(P803))))</formula>
    </cfRule>
  </conditionalFormatting>
  <conditionalFormatting sqref="P803:Q803">
    <cfRule type="containsText" dxfId="9" priority="13336" operator="containsText" text="No">
      <formula>NOT(ISERROR(SEARCH(("No"),(P803))))</formula>
    </cfRule>
  </conditionalFormatting>
  <conditionalFormatting sqref="P803:Q803">
    <cfRule type="containsText" dxfId="2" priority="13337" operator="containsText" text="Yes">
      <formula>NOT(ISERROR(SEARCH(("Yes"),(P803))))</formula>
    </cfRule>
  </conditionalFormatting>
  <conditionalFormatting sqref="P803:Q803">
    <cfRule type="containsText" dxfId="9" priority="13338" operator="containsText" text="No">
      <formula>NOT(ISERROR(SEARCH(("No"),(P803))))</formula>
    </cfRule>
  </conditionalFormatting>
  <conditionalFormatting sqref="P803:Q803">
    <cfRule type="containsText" dxfId="2" priority="13339" operator="containsText" text="Yes">
      <formula>NOT(ISERROR(SEARCH(("Yes"),(P803))))</formula>
    </cfRule>
  </conditionalFormatting>
  <conditionalFormatting sqref="P803:Q803">
    <cfRule type="containsText" dxfId="9" priority="13340" operator="containsText" text="No">
      <formula>NOT(ISERROR(SEARCH(("No"),(P803))))</formula>
    </cfRule>
  </conditionalFormatting>
  <conditionalFormatting sqref="P803:Q803">
    <cfRule type="containsText" dxfId="2" priority="13341" operator="containsText" text="Yes">
      <formula>NOT(ISERROR(SEARCH(("Yes"),(P803))))</formula>
    </cfRule>
  </conditionalFormatting>
  <conditionalFormatting sqref="P803:Q803">
    <cfRule type="containsText" dxfId="9" priority="13342" operator="containsText" text="No">
      <formula>NOT(ISERROR(SEARCH(("No"),(P803))))</formula>
    </cfRule>
  </conditionalFormatting>
  <conditionalFormatting sqref="P803:Q803">
    <cfRule type="containsText" dxfId="2" priority="13343" operator="containsText" text="Yes">
      <formula>NOT(ISERROR(SEARCH(("Yes"),(P803))))</formula>
    </cfRule>
  </conditionalFormatting>
  <conditionalFormatting sqref="P803:Q803">
    <cfRule type="containsText" dxfId="9" priority="13344" operator="containsText" text="No">
      <formula>NOT(ISERROR(SEARCH(("No"),(P803))))</formula>
    </cfRule>
  </conditionalFormatting>
  <conditionalFormatting sqref="P803:Q803">
    <cfRule type="containsText" dxfId="2" priority="13345" operator="containsText" text="Yes">
      <formula>NOT(ISERROR(SEARCH(("Yes"),(P803))))</formula>
    </cfRule>
  </conditionalFormatting>
  <conditionalFormatting sqref="P803:Q803">
    <cfRule type="containsText" dxfId="9" priority="13346" operator="containsText" text="No">
      <formula>NOT(ISERROR(SEARCH(("No"),(P803))))</formula>
    </cfRule>
  </conditionalFormatting>
  <conditionalFormatting sqref="P803:Q803">
    <cfRule type="containsText" dxfId="2" priority="13347" operator="containsText" text="Yes">
      <formula>NOT(ISERROR(SEARCH(("Yes"),(P803))))</formula>
    </cfRule>
  </conditionalFormatting>
  <conditionalFormatting sqref="P803:Q803">
    <cfRule type="containsText" dxfId="9" priority="13348" operator="containsText" text="No">
      <formula>NOT(ISERROR(SEARCH(("No"),(P803))))</formula>
    </cfRule>
  </conditionalFormatting>
  <conditionalFormatting sqref="P803:Q803">
    <cfRule type="containsText" dxfId="2" priority="13349" operator="containsText" text="Yes">
      <formula>NOT(ISERROR(SEARCH(("Yes"),(P803))))</formula>
    </cfRule>
  </conditionalFormatting>
  <conditionalFormatting sqref="P803:Q803">
    <cfRule type="containsText" dxfId="9" priority="13350" operator="containsText" text="No">
      <formula>NOT(ISERROR(SEARCH(("No"),(P803))))</formula>
    </cfRule>
  </conditionalFormatting>
  <conditionalFormatting sqref="P803:Q803">
    <cfRule type="containsText" dxfId="2" priority="13351" operator="containsText" text="Yes">
      <formula>NOT(ISERROR(SEARCH(("Yes"),(P803))))</formula>
    </cfRule>
  </conditionalFormatting>
  <conditionalFormatting sqref="P803:Q803">
    <cfRule type="containsText" dxfId="9" priority="13352" operator="containsText" text="No">
      <formula>NOT(ISERROR(SEARCH(("No"),(P803))))</formula>
    </cfRule>
  </conditionalFormatting>
  <conditionalFormatting sqref="P803:Q803">
    <cfRule type="containsText" dxfId="2" priority="13353" operator="containsText" text="Yes">
      <formula>NOT(ISERROR(SEARCH(("Yes"),(P803))))</formula>
    </cfRule>
  </conditionalFormatting>
  <conditionalFormatting sqref="P803:Q803">
    <cfRule type="containsText" dxfId="9" priority="13354" operator="containsText" text="No">
      <formula>NOT(ISERROR(SEARCH(("No"),(P803))))</formula>
    </cfRule>
  </conditionalFormatting>
  <conditionalFormatting sqref="P803:Q803">
    <cfRule type="containsText" dxfId="2" priority="13355" operator="containsText" text="Yes">
      <formula>NOT(ISERROR(SEARCH(("Yes"),(P803))))</formula>
    </cfRule>
  </conditionalFormatting>
  <conditionalFormatting sqref="P803:Q803">
    <cfRule type="containsText" dxfId="9" priority="13356" operator="containsText" text="No">
      <formula>NOT(ISERROR(SEARCH(("No"),(P803))))</formula>
    </cfRule>
  </conditionalFormatting>
  <conditionalFormatting sqref="P803:Q803">
    <cfRule type="containsText" dxfId="2" priority="13357" operator="containsText" text="Yes">
      <formula>NOT(ISERROR(SEARCH(("Yes"),(P803))))</formula>
    </cfRule>
  </conditionalFormatting>
  <conditionalFormatting sqref="P803:Q803">
    <cfRule type="containsText" dxfId="9" priority="13358" operator="containsText" text="No">
      <formula>NOT(ISERROR(SEARCH(("No"),(P803))))</formula>
    </cfRule>
  </conditionalFormatting>
  <conditionalFormatting sqref="P803:Q803">
    <cfRule type="containsText" dxfId="2" priority="13359" operator="containsText" text="Yes">
      <formula>NOT(ISERROR(SEARCH(("Yes"),(P803))))</formula>
    </cfRule>
  </conditionalFormatting>
  <conditionalFormatting sqref="P803:Q803">
    <cfRule type="containsText" dxfId="9" priority="13360" operator="containsText" text="No">
      <formula>NOT(ISERROR(SEARCH(("No"),(P803))))</formula>
    </cfRule>
  </conditionalFormatting>
  <conditionalFormatting sqref="P803:Q803">
    <cfRule type="containsText" dxfId="2" priority="13361" operator="containsText" text="Yes">
      <formula>NOT(ISERROR(SEARCH(("Yes"),(P803))))</formula>
    </cfRule>
  </conditionalFormatting>
  <conditionalFormatting sqref="P803:Q803">
    <cfRule type="containsText" dxfId="9" priority="13362" operator="containsText" text="No">
      <formula>NOT(ISERROR(SEARCH(("No"),(P803))))</formula>
    </cfRule>
  </conditionalFormatting>
  <conditionalFormatting sqref="P803:Q803">
    <cfRule type="containsText" dxfId="2" priority="13363" operator="containsText" text="Yes">
      <formula>NOT(ISERROR(SEARCH(("Yes"),(P803))))</formula>
    </cfRule>
  </conditionalFormatting>
  <conditionalFormatting sqref="P803:Q803">
    <cfRule type="containsText" dxfId="9" priority="13364" operator="containsText" text="No">
      <formula>NOT(ISERROR(SEARCH(("No"),(P803))))</formula>
    </cfRule>
  </conditionalFormatting>
  <conditionalFormatting sqref="P803:Q803">
    <cfRule type="containsText" dxfId="2" priority="13365" operator="containsText" text="Yes">
      <formula>NOT(ISERROR(SEARCH(("Yes"),(P803))))</formula>
    </cfRule>
  </conditionalFormatting>
  <conditionalFormatting sqref="P803:Q803">
    <cfRule type="containsText" dxfId="9" priority="13366" operator="containsText" text="No">
      <formula>NOT(ISERROR(SEARCH(("No"),(P803))))</formula>
    </cfRule>
  </conditionalFormatting>
  <conditionalFormatting sqref="P803:Q803">
    <cfRule type="containsText" dxfId="2" priority="13367" operator="containsText" text="Yes">
      <formula>NOT(ISERROR(SEARCH(("Yes"),(P803))))</formula>
    </cfRule>
  </conditionalFormatting>
  <conditionalFormatting sqref="P803:Q803">
    <cfRule type="containsText" dxfId="9" priority="13368" operator="containsText" text="No">
      <formula>NOT(ISERROR(SEARCH(("No"),(P803))))</formula>
    </cfRule>
  </conditionalFormatting>
  <conditionalFormatting sqref="P803:Q803">
    <cfRule type="containsText" dxfId="2" priority="13369" operator="containsText" text="Yes">
      <formula>NOT(ISERROR(SEARCH(("Yes"),(P803))))</formula>
    </cfRule>
  </conditionalFormatting>
  <conditionalFormatting sqref="P803:Q803">
    <cfRule type="containsText" dxfId="9" priority="13370" operator="containsText" text="No">
      <formula>NOT(ISERROR(SEARCH(("No"),(P803))))</formula>
    </cfRule>
  </conditionalFormatting>
  <conditionalFormatting sqref="P803:Q803">
    <cfRule type="containsText" dxfId="2" priority="13371" operator="containsText" text="Yes">
      <formula>NOT(ISERROR(SEARCH(("Yes"),(P803))))</formula>
    </cfRule>
  </conditionalFormatting>
  <conditionalFormatting sqref="P803:Q803">
    <cfRule type="containsText" dxfId="9" priority="13372" operator="containsText" text="No">
      <formula>NOT(ISERROR(SEARCH(("No"),(P803))))</formula>
    </cfRule>
  </conditionalFormatting>
  <conditionalFormatting sqref="P803:Q803">
    <cfRule type="containsText" dxfId="2" priority="13373" operator="containsText" text="Yes">
      <formula>NOT(ISERROR(SEARCH(("Yes"),(P803))))</formula>
    </cfRule>
  </conditionalFormatting>
  <conditionalFormatting sqref="P803:Q803">
    <cfRule type="containsText" dxfId="9" priority="13374" operator="containsText" text="No">
      <formula>NOT(ISERROR(SEARCH(("No"),(P803))))</formula>
    </cfRule>
  </conditionalFormatting>
  <conditionalFormatting sqref="P803:Q803">
    <cfRule type="containsText" dxfId="2" priority="13375" operator="containsText" text="Yes">
      <formula>NOT(ISERROR(SEARCH(("Yes"),(P803))))</formula>
    </cfRule>
  </conditionalFormatting>
  <conditionalFormatting sqref="P803:Q803">
    <cfRule type="containsText" dxfId="9" priority="13376" operator="containsText" text="No">
      <formula>NOT(ISERROR(SEARCH(("No"),(P803))))</formula>
    </cfRule>
  </conditionalFormatting>
  <conditionalFormatting sqref="P803:Q803">
    <cfRule type="containsText" dxfId="2" priority="13377" operator="containsText" text="Yes">
      <formula>NOT(ISERROR(SEARCH(("Yes"),(P803))))</formula>
    </cfRule>
  </conditionalFormatting>
  <conditionalFormatting sqref="P803:Q803">
    <cfRule type="containsText" dxfId="9" priority="13378" operator="containsText" text="No">
      <formula>NOT(ISERROR(SEARCH(("No"),(P803))))</formula>
    </cfRule>
  </conditionalFormatting>
  <conditionalFormatting sqref="P803:Q803">
    <cfRule type="containsText" dxfId="2" priority="13379" operator="containsText" text="Yes">
      <formula>NOT(ISERROR(SEARCH(("Yes"),(P803))))</formula>
    </cfRule>
  </conditionalFormatting>
  <conditionalFormatting sqref="P803:Q803">
    <cfRule type="containsText" dxfId="9" priority="13380" operator="containsText" text="No">
      <formula>NOT(ISERROR(SEARCH(("No"),(P803))))</formula>
    </cfRule>
  </conditionalFormatting>
  <conditionalFormatting sqref="P803:Q803">
    <cfRule type="containsText" dxfId="2" priority="13381" operator="containsText" text="Yes">
      <formula>NOT(ISERROR(SEARCH(("Yes"),(P803))))</formula>
    </cfRule>
  </conditionalFormatting>
  <conditionalFormatting sqref="P803:Q803">
    <cfRule type="containsText" dxfId="2" priority="13382" operator="containsText" text="Yes">
      <formula>NOT(ISERROR(SEARCH(("Yes"),(P803))))</formula>
    </cfRule>
  </conditionalFormatting>
  <conditionalFormatting sqref="P803:Q803">
    <cfRule type="containsText" dxfId="9" priority="13383" operator="containsText" text="No">
      <formula>NOT(ISERROR(SEARCH(("No"),(P803))))</formula>
    </cfRule>
  </conditionalFormatting>
  <conditionalFormatting sqref="P803:Q803">
    <cfRule type="containsText" dxfId="2" priority="13384" operator="containsText" text="Yes">
      <formula>NOT(ISERROR(SEARCH(("Yes"),(P803))))</formula>
    </cfRule>
  </conditionalFormatting>
  <conditionalFormatting sqref="P805:Q805">
    <cfRule type="containsText" dxfId="2" priority="13385" operator="containsText" text="Yes">
      <formula>NOT(ISERROR(SEARCH(("Yes"),(P805))))</formula>
    </cfRule>
  </conditionalFormatting>
  <conditionalFormatting sqref="P805:Q805">
    <cfRule type="containsText" dxfId="9" priority="13386" operator="containsText" text="No">
      <formula>NOT(ISERROR(SEARCH(("No"),(P805))))</formula>
    </cfRule>
  </conditionalFormatting>
  <conditionalFormatting sqref="P805:Q805">
    <cfRule type="containsText" dxfId="2" priority="13387" operator="containsText" text="Yes">
      <formula>NOT(ISERROR(SEARCH(("Yes"),(P805))))</formula>
    </cfRule>
  </conditionalFormatting>
  <conditionalFormatting sqref="P805:Q805">
    <cfRule type="containsText" dxfId="9" priority="13388" operator="containsText" text="No">
      <formula>NOT(ISERROR(SEARCH(("No"),(P805))))</formula>
    </cfRule>
  </conditionalFormatting>
  <conditionalFormatting sqref="P805:Q805">
    <cfRule type="containsText" dxfId="2" priority="13389" operator="containsText" text="Yes">
      <formula>NOT(ISERROR(SEARCH(("Yes"),(P805))))</formula>
    </cfRule>
  </conditionalFormatting>
  <conditionalFormatting sqref="P805:Q805">
    <cfRule type="containsText" dxfId="9" priority="13390" operator="containsText" text="No">
      <formula>NOT(ISERROR(SEARCH(("No"),(P805))))</formula>
    </cfRule>
  </conditionalFormatting>
  <conditionalFormatting sqref="P805:Q805">
    <cfRule type="containsText" dxfId="2" priority="13391" operator="containsText" text="Yes">
      <formula>NOT(ISERROR(SEARCH(("Yes"),(P805))))</formula>
    </cfRule>
  </conditionalFormatting>
  <conditionalFormatting sqref="P805:Q805">
    <cfRule type="containsText" dxfId="9" priority="13392" operator="containsText" text="No">
      <formula>NOT(ISERROR(SEARCH(("No"),(P805))))</formula>
    </cfRule>
  </conditionalFormatting>
  <conditionalFormatting sqref="P805:Q805">
    <cfRule type="containsText" dxfId="2" priority="13393" operator="containsText" text="Yes">
      <formula>NOT(ISERROR(SEARCH(("Yes"),(P805))))</formula>
    </cfRule>
  </conditionalFormatting>
  <conditionalFormatting sqref="P805:Q805">
    <cfRule type="containsText" dxfId="9" priority="13394" operator="containsText" text="No">
      <formula>NOT(ISERROR(SEARCH(("No"),(P805))))</formula>
    </cfRule>
  </conditionalFormatting>
  <conditionalFormatting sqref="P805:Q805">
    <cfRule type="containsText" dxfId="2" priority="13395" operator="containsText" text="Yes">
      <formula>NOT(ISERROR(SEARCH(("Yes"),(P805))))</formula>
    </cfRule>
  </conditionalFormatting>
  <conditionalFormatting sqref="P805:Q805">
    <cfRule type="containsText" dxfId="9" priority="13396" operator="containsText" text="No">
      <formula>NOT(ISERROR(SEARCH(("No"),(P805))))</formula>
    </cfRule>
  </conditionalFormatting>
  <conditionalFormatting sqref="P805:Q805">
    <cfRule type="containsText" dxfId="2" priority="13397" operator="containsText" text="Yes">
      <formula>NOT(ISERROR(SEARCH(("Yes"),(P805))))</formula>
    </cfRule>
  </conditionalFormatting>
  <conditionalFormatting sqref="P805:Q805">
    <cfRule type="containsText" dxfId="9" priority="13398" operator="containsText" text="No">
      <formula>NOT(ISERROR(SEARCH(("No"),(P805))))</formula>
    </cfRule>
  </conditionalFormatting>
  <conditionalFormatting sqref="P805:Q805">
    <cfRule type="containsText" dxfId="2" priority="13399" operator="containsText" text="Yes">
      <formula>NOT(ISERROR(SEARCH(("Yes"),(P805))))</formula>
    </cfRule>
  </conditionalFormatting>
  <conditionalFormatting sqref="P805:Q805">
    <cfRule type="containsText" dxfId="9" priority="13400" operator="containsText" text="No">
      <formula>NOT(ISERROR(SEARCH(("No"),(P805))))</formula>
    </cfRule>
  </conditionalFormatting>
  <conditionalFormatting sqref="P805:Q805">
    <cfRule type="containsText" dxfId="2" priority="13401" operator="containsText" text="Yes">
      <formula>NOT(ISERROR(SEARCH(("Yes"),(P805))))</formula>
    </cfRule>
  </conditionalFormatting>
  <conditionalFormatting sqref="P805:Q805">
    <cfRule type="containsText" dxfId="9" priority="13402" operator="containsText" text="No">
      <formula>NOT(ISERROR(SEARCH(("No"),(P805))))</formula>
    </cfRule>
  </conditionalFormatting>
  <conditionalFormatting sqref="P805:Q805">
    <cfRule type="containsText" dxfId="2" priority="13403" operator="containsText" text="Yes">
      <formula>NOT(ISERROR(SEARCH(("Yes"),(P805))))</formula>
    </cfRule>
  </conditionalFormatting>
  <conditionalFormatting sqref="P805:Q805">
    <cfRule type="containsText" dxfId="9" priority="13404" operator="containsText" text="No">
      <formula>NOT(ISERROR(SEARCH(("No"),(P805))))</formula>
    </cfRule>
  </conditionalFormatting>
  <conditionalFormatting sqref="P805:Q805">
    <cfRule type="containsText" dxfId="2" priority="13405" operator="containsText" text="Yes">
      <formula>NOT(ISERROR(SEARCH(("Yes"),(P805))))</formula>
    </cfRule>
  </conditionalFormatting>
  <conditionalFormatting sqref="P805:Q805">
    <cfRule type="containsText" dxfId="9" priority="13406" operator="containsText" text="No">
      <formula>NOT(ISERROR(SEARCH(("No"),(P805))))</formula>
    </cfRule>
  </conditionalFormatting>
  <conditionalFormatting sqref="P805:Q805">
    <cfRule type="containsText" dxfId="2" priority="13407" operator="containsText" text="Yes">
      <formula>NOT(ISERROR(SEARCH(("Yes"),(P805))))</formula>
    </cfRule>
  </conditionalFormatting>
  <conditionalFormatting sqref="P805:Q805">
    <cfRule type="containsText" dxfId="9" priority="13408" operator="containsText" text="No">
      <formula>NOT(ISERROR(SEARCH(("No"),(P805))))</formula>
    </cfRule>
  </conditionalFormatting>
  <conditionalFormatting sqref="P805:Q805">
    <cfRule type="containsText" dxfId="2" priority="13409" operator="containsText" text="Yes">
      <formula>NOT(ISERROR(SEARCH(("Yes"),(P805))))</formula>
    </cfRule>
  </conditionalFormatting>
  <conditionalFormatting sqref="P805:Q805">
    <cfRule type="containsText" dxfId="9" priority="13410" operator="containsText" text="No">
      <formula>NOT(ISERROR(SEARCH(("No"),(P805))))</formula>
    </cfRule>
  </conditionalFormatting>
  <conditionalFormatting sqref="P805:Q805">
    <cfRule type="containsText" dxfId="2" priority="13411" operator="containsText" text="Yes">
      <formula>NOT(ISERROR(SEARCH(("Yes"),(P805))))</formula>
    </cfRule>
  </conditionalFormatting>
  <conditionalFormatting sqref="P805:Q805">
    <cfRule type="containsText" dxfId="9" priority="13412" operator="containsText" text="No">
      <formula>NOT(ISERROR(SEARCH(("No"),(P805))))</formula>
    </cfRule>
  </conditionalFormatting>
  <conditionalFormatting sqref="P805:Q805">
    <cfRule type="containsText" dxfId="2" priority="13413" operator="containsText" text="Yes">
      <formula>NOT(ISERROR(SEARCH(("Yes"),(P805))))</formula>
    </cfRule>
  </conditionalFormatting>
  <conditionalFormatting sqref="P805:Q805">
    <cfRule type="containsText" dxfId="9" priority="13414" operator="containsText" text="No">
      <formula>NOT(ISERROR(SEARCH(("No"),(P805))))</formula>
    </cfRule>
  </conditionalFormatting>
  <conditionalFormatting sqref="P805:Q805">
    <cfRule type="containsText" dxfId="2" priority="13415" operator="containsText" text="Yes">
      <formula>NOT(ISERROR(SEARCH(("Yes"),(P805))))</formula>
    </cfRule>
  </conditionalFormatting>
  <conditionalFormatting sqref="P805:Q805">
    <cfRule type="containsText" dxfId="9" priority="13416" operator="containsText" text="No">
      <formula>NOT(ISERROR(SEARCH(("No"),(P805))))</formula>
    </cfRule>
  </conditionalFormatting>
  <conditionalFormatting sqref="P805:Q805">
    <cfRule type="containsText" dxfId="2" priority="13417" operator="containsText" text="Yes">
      <formula>NOT(ISERROR(SEARCH(("Yes"),(P805))))</formula>
    </cfRule>
  </conditionalFormatting>
  <conditionalFormatting sqref="P805:Q805">
    <cfRule type="containsText" dxfId="9" priority="13418" operator="containsText" text="No">
      <formula>NOT(ISERROR(SEARCH(("No"),(P805))))</formula>
    </cfRule>
  </conditionalFormatting>
  <conditionalFormatting sqref="P805:Q805">
    <cfRule type="containsText" dxfId="2" priority="13419" operator="containsText" text="Yes">
      <formula>NOT(ISERROR(SEARCH(("Yes"),(P805))))</formula>
    </cfRule>
  </conditionalFormatting>
  <conditionalFormatting sqref="P805:Q805">
    <cfRule type="containsText" dxfId="9" priority="13420" operator="containsText" text="No">
      <formula>NOT(ISERROR(SEARCH(("No"),(P805))))</formula>
    </cfRule>
  </conditionalFormatting>
  <conditionalFormatting sqref="P805:Q805">
    <cfRule type="containsText" dxfId="2" priority="13421" operator="containsText" text="Yes">
      <formula>NOT(ISERROR(SEARCH(("Yes"),(P805))))</formula>
    </cfRule>
  </conditionalFormatting>
  <conditionalFormatting sqref="P805:Q805">
    <cfRule type="containsText" dxfId="9" priority="13422" operator="containsText" text="No">
      <formula>NOT(ISERROR(SEARCH(("No"),(P805))))</formula>
    </cfRule>
  </conditionalFormatting>
  <conditionalFormatting sqref="P805:Q805">
    <cfRule type="containsText" dxfId="2" priority="13423" operator="containsText" text="Yes">
      <formula>NOT(ISERROR(SEARCH(("Yes"),(P805))))</formula>
    </cfRule>
  </conditionalFormatting>
  <conditionalFormatting sqref="P805:Q805">
    <cfRule type="containsText" dxfId="9" priority="13424" operator="containsText" text="No">
      <formula>NOT(ISERROR(SEARCH(("No"),(P805))))</formula>
    </cfRule>
  </conditionalFormatting>
  <conditionalFormatting sqref="P805:Q805">
    <cfRule type="containsText" dxfId="2" priority="13425" operator="containsText" text="Yes">
      <formula>NOT(ISERROR(SEARCH(("Yes"),(P805))))</formula>
    </cfRule>
  </conditionalFormatting>
  <conditionalFormatting sqref="P805:Q805">
    <cfRule type="containsText" dxfId="9" priority="13426" operator="containsText" text="No">
      <formula>NOT(ISERROR(SEARCH(("No"),(P805))))</formula>
    </cfRule>
  </conditionalFormatting>
  <conditionalFormatting sqref="P805:Q805">
    <cfRule type="containsText" dxfId="2" priority="13427" operator="containsText" text="Yes">
      <formula>NOT(ISERROR(SEARCH(("Yes"),(P805))))</formula>
    </cfRule>
  </conditionalFormatting>
  <conditionalFormatting sqref="P805:Q805">
    <cfRule type="containsText" dxfId="9" priority="13428" operator="containsText" text="No">
      <formula>NOT(ISERROR(SEARCH(("No"),(P805))))</formula>
    </cfRule>
  </conditionalFormatting>
  <conditionalFormatting sqref="P805:Q805">
    <cfRule type="containsText" dxfId="2" priority="13429" operator="containsText" text="Yes">
      <formula>NOT(ISERROR(SEARCH(("Yes"),(P805))))</formula>
    </cfRule>
  </conditionalFormatting>
  <conditionalFormatting sqref="P805:Q805">
    <cfRule type="containsText" dxfId="9" priority="13430" operator="containsText" text="No">
      <formula>NOT(ISERROR(SEARCH(("No"),(P805))))</formula>
    </cfRule>
  </conditionalFormatting>
  <conditionalFormatting sqref="P805:Q805">
    <cfRule type="containsText" dxfId="2" priority="13431" operator="containsText" text="Yes">
      <formula>NOT(ISERROR(SEARCH(("Yes"),(P805))))</formula>
    </cfRule>
  </conditionalFormatting>
  <conditionalFormatting sqref="P805:Q805">
    <cfRule type="containsText" dxfId="9" priority="13432" operator="containsText" text="No">
      <formula>NOT(ISERROR(SEARCH(("No"),(P805))))</formula>
    </cfRule>
  </conditionalFormatting>
  <conditionalFormatting sqref="P805:Q805">
    <cfRule type="containsText" dxfId="2" priority="13433" operator="containsText" text="Yes">
      <formula>NOT(ISERROR(SEARCH(("Yes"),(P805))))</formula>
    </cfRule>
  </conditionalFormatting>
  <conditionalFormatting sqref="P805:Q805">
    <cfRule type="containsText" dxfId="9" priority="13434" operator="containsText" text="No">
      <formula>NOT(ISERROR(SEARCH(("No"),(P805))))</formula>
    </cfRule>
  </conditionalFormatting>
  <conditionalFormatting sqref="P805:Q805">
    <cfRule type="containsText" dxfId="2" priority="13435" operator="containsText" text="Yes">
      <formula>NOT(ISERROR(SEARCH(("Yes"),(P805))))</formula>
    </cfRule>
  </conditionalFormatting>
  <conditionalFormatting sqref="P805:Q805">
    <cfRule type="containsText" dxfId="9" priority="13436" operator="containsText" text="No">
      <formula>NOT(ISERROR(SEARCH(("No"),(P805))))</formula>
    </cfRule>
  </conditionalFormatting>
  <conditionalFormatting sqref="P805:Q805">
    <cfRule type="containsText" dxfId="2" priority="13437" operator="containsText" text="Yes">
      <formula>NOT(ISERROR(SEARCH(("Yes"),(P805))))</formula>
    </cfRule>
  </conditionalFormatting>
  <conditionalFormatting sqref="P805:Q805">
    <cfRule type="containsText" dxfId="9" priority="13438" operator="containsText" text="No">
      <formula>NOT(ISERROR(SEARCH(("No"),(P805))))</formula>
    </cfRule>
  </conditionalFormatting>
  <conditionalFormatting sqref="P805:Q805">
    <cfRule type="containsText" dxfId="2" priority="13439" operator="containsText" text="Yes">
      <formula>NOT(ISERROR(SEARCH(("Yes"),(P805))))</formula>
    </cfRule>
  </conditionalFormatting>
  <conditionalFormatting sqref="P805:Q805">
    <cfRule type="containsText" dxfId="9" priority="13440" operator="containsText" text="No">
      <formula>NOT(ISERROR(SEARCH(("No"),(P805))))</formula>
    </cfRule>
  </conditionalFormatting>
  <conditionalFormatting sqref="P805:Q805">
    <cfRule type="containsText" dxfId="2" priority="13441" operator="containsText" text="Yes">
      <formula>NOT(ISERROR(SEARCH(("Yes"),(P805))))</formula>
    </cfRule>
  </conditionalFormatting>
  <conditionalFormatting sqref="P805:Q805">
    <cfRule type="containsText" dxfId="9" priority="13442" operator="containsText" text="No">
      <formula>NOT(ISERROR(SEARCH(("No"),(P805))))</formula>
    </cfRule>
  </conditionalFormatting>
  <conditionalFormatting sqref="P805:Q805">
    <cfRule type="containsText" dxfId="2" priority="13443" operator="containsText" text="Yes">
      <formula>NOT(ISERROR(SEARCH(("Yes"),(P805))))</formula>
    </cfRule>
  </conditionalFormatting>
  <conditionalFormatting sqref="P805:Q805">
    <cfRule type="containsText" dxfId="9" priority="13444" operator="containsText" text="No">
      <formula>NOT(ISERROR(SEARCH(("No"),(P805))))</formula>
    </cfRule>
  </conditionalFormatting>
  <conditionalFormatting sqref="P805:Q805">
    <cfRule type="containsText" dxfId="2" priority="13445" operator="containsText" text="Yes">
      <formula>NOT(ISERROR(SEARCH(("Yes"),(P805))))</formula>
    </cfRule>
  </conditionalFormatting>
  <conditionalFormatting sqref="P805:Q805">
    <cfRule type="containsText" dxfId="9" priority="13446" operator="containsText" text="No">
      <formula>NOT(ISERROR(SEARCH(("No"),(P805))))</formula>
    </cfRule>
  </conditionalFormatting>
  <conditionalFormatting sqref="P805:Q805">
    <cfRule type="containsText" dxfId="2" priority="13447" operator="containsText" text="Yes">
      <formula>NOT(ISERROR(SEARCH(("Yes"),(P805))))</formula>
    </cfRule>
  </conditionalFormatting>
  <conditionalFormatting sqref="P805:Q805">
    <cfRule type="containsText" dxfId="9" priority="13448" operator="containsText" text="No">
      <formula>NOT(ISERROR(SEARCH(("No"),(P805))))</formula>
    </cfRule>
  </conditionalFormatting>
  <conditionalFormatting sqref="P805:Q805">
    <cfRule type="containsText" dxfId="2" priority="13449" operator="containsText" text="Yes">
      <formula>NOT(ISERROR(SEARCH(("Yes"),(P805))))</formula>
    </cfRule>
  </conditionalFormatting>
  <conditionalFormatting sqref="P805:Q805">
    <cfRule type="containsText" dxfId="9" priority="13450" operator="containsText" text="No">
      <formula>NOT(ISERROR(SEARCH(("No"),(P805))))</formula>
    </cfRule>
  </conditionalFormatting>
  <conditionalFormatting sqref="P805:Q805">
    <cfRule type="containsText" dxfId="2" priority="13451" operator="containsText" text="Yes">
      <formula>NOT(ISERROR(SEARCH(("Yes"),(P805))))</formula>
    </cfRule>
  </conditionalFormatting>
  <conditionalFormatting sqref="P805:Q805">
    <cfRule type="containsText" dxfId="9" priority="13452" operator="containsText" text="No">
      <formula>NOT(ISERROR(SEARCH(("No"),(P805))))</formula>
    </cfRule>
  </conditionalFormatting>
  <conditionalFormatting sqref="P805:Q805">
    <cfRule type="containsText" dxfId="2" priority="13453" operator="containsText" text="Yes">
      <formula>NOT(ISERROR(SEARCH(("Yes"),(P805))))</formula>
    </cfRule>
  </conditionalFormatting>
  <conditionalFormatting sqref="P805:Q805">
    <cfRule type="containsText" dxfId="9" priority="13454" operator="containsText" text="No">
      <formula>NOT(ISERROR(SEARCH(("No"),(P805))))</formula>
    </cfRule>
  </conditionalFormatting>
  <conditionalFormatting sqref="P805:Q805">
    <cfRule type="containsText" dxfId="2" priority="13455" operator="containsText" text="Yes">
      <formula>NOT(ISERROR(SEARCH(("Yes"),(P805))))</formula>
    </cfRule>
  </conditionalFormatting>
  <conditionalFormatting sqref="P805:Q805">
    <cfRule type="containsText" dxfId="9" priority="13456" operator="containsText" text="No">
      <formula>NOT(ISERROR(SEARCH(("No"),(P805))))</formula>
    </cfRule>
  </conditionalFormatting>
  <conditionalFormatting sqref="P805:Q805">
    <cfRule type="containsText" dxfId="2" priority="13457" operator="containsText" text="Yes">
      <formula>NOT(ISERROR(SEARCH(("Yes"),(P805))))</formula>
    </cfRule>
  </conditionalFormatting>
  <conditionalFormatting sqref="P805:Q805">
    <cfRule type="containsText" dxfId="9" priority="13458" operator="containsText" text="No">
      <formula>NOT(ISERROR(SEARCH(("No"),(P805))))</formula>
    </cfRule>
  </conditionalFormatting>
  <conditionalFormatting sqref="P805:Q805">
    <cfRule type="containsText" dxfId="2" priority="13459" operator="containsText" text="Yes">
      <formula>NOT(ISERROR(SEARCH(("Yes"),(P805))))</formula>
    </cfRule>
  </conditionalFormatting>
  <conditionalFormatting sqref="P805:Q805">
    <cfRule type="containsText" dxfId="9" priority="13460" operator="containsText" text="No">
      <formula>NOT(ISERROR(SEARCH(("No"),(P805))))</formula>
    </cfRule>
  </conditionalFormatting>
  <conditionalFormatting sqref="P805:Q805">
    <cfRule type="containsText" dxfId="2" priority="13461" operator="containsText" text="Yes">
      <formula>NOT(ISERROR(SEARCH(("Yes"),(P805))))</formula>
    </cfRule>
  </conditionalFormatting>
  <conditionalFormatting sqref="P805:Q805">
    <cfRule type="containsText" dxfId="9" priority="13462" operator="containsText" text="No">
      <formula>NOT(ISERROR(SEARCH(("No"),(P805))))</formula>
    </cfRule>
  </conditionalFormatting>
  <conditionalFormatting sqref="P805:Q805">
    <cfRule type="containsText" dxfId="2" priority="13463" operator="containsText" text="Yes">
      <formula>NOT(ISERROR(SEARCH(("Yes"),(P805))))</formula>
    </cfRule>
  </conditionalFormatting>
  <conditionalFormatting sqref="P805:Q805">
    <cfRule type="containsText" dxfId="9" priority="13464" operator="containsText" text="No">
      <formula>NOT(ISERROR(SEARCH(("No"),(P805))))</formula>
    </cfRule>
  </conditionalFormatting>
  <conditionalFormatting sqref="P805:Q805">
    <cfRule type="containsText" dxfId="2" priority="13465" operator="containsText" text="Yes">
      <formula>NOT(ISERROR(SEARCH(("Yes"),(P805))))</formula>
    </cfRule>
  </conditionalFormatting>
  <conditionalFormatting sqref="P805:Q805">
    <cfRule type="containsText" dxfId="9" priority="13466" operator="containsText" text="No">
      <formula>NOT(ISERROR(SEARCH(("No"),(P805))))</formula>
    </cfRule>
  </conditionalFormatting>
  <conditionalFormatting sqref="P805:Q805">
    <cfRule type="containsText" dxfId="2" priority="13467" operator="containsText" text="Yes">
      <formula>NOT(ISERROR(SEARCH(("Yes"),(P805))))</formula>
    </cfRule>
  </conditionalFormatting>
  <conditionalFormatting sqref="P805:Q805">
    <cfRule type="containsText" dxfId="9" priority="13468" operator="containsText" text="No">
      <formula>NOT(ISERROR(SEARCH(("No"),(P805))))</formula>
    </cfRule>
  </conditionalFormatting>
  <conditionalFormatting sqref="P805:Q805">
    <cfRule type="containsText" dxfId="2" priority="13469" operator="containsText" text="Yes">
      <formula>NOT(ISERROR(SEARCH(("Yes"),(P805))))</formula>
    </cfRule>
  </conditionalFormatting>
  <conditionalFormatting sqref="P805:Q805">
    <cfRule type="containsText" dxfId="9" priority="13470" operator="containsText" text="No">
      <formula>NOT(ISERROR(SEARCH(("No"),(P805))))</formula>
    </cfRule>
  </conditionalFormatting>
  <conditionalFormatting sqref="P805:Q805">
    <cfRule type="containsText" dxfId="2" priority="13471" operator="containsText" text="Yes">
      <formula>NOT(ISERROR(SEARCH(("Yes"),(P805))))</formula>
    </cfRule>
  </conditionalFormatting>
  <conditionalFormatting sqref="P805:Q805">
    <cfRule type="containsText" dxfId="9" priority="13472" operator="containsText" text="No">
      <formula>NOT(ISERROR(SEARCH(("No"),(P805))))</formula>
    </cfRule>
  </conditionalFormatting>
  <conditionalFormatting sqref="P805:Q805">
    <cfRule type="containsText" dxfId="2" priority="13473" operator="containsText" text="Yes">
      <formula>NOT(ISERROR(SEARCH(("Yes"),(P805))))</formula>
    </cfRule>
  </conditionalFormatting>
  <conditionalFormatting sqref="P805:Q805">
    <cfRule type="containsText" dxfId="2" priority="13474" operator="containsText" text="Yes">
      <formula>NOT(ISERROR(SEARCH(("Yes"),(P805))))</formula>
    </cfRule>
  </conditionalFormatting>
  <conditionalFormatting sqref="P805:Q805">
    <cfRule type="containsText" dxfId="9" priority="13475" operator="containsText" text="No">
      <formula>NOT(ISERROR(SEARCH(("No"),(P805))))</formula>
    </cfRule>
  </conditionalFormatting>
  <conditionalFormatting sqref="P805:Q805">
    <cfRule type="containsText" dxfId="2" priority="13476" operator="containsText" text="Yes">
      <formula>NOT(ISERROR(SEARCH(("Yes"),(P805))))</formula>
    </cfRule>
  </conditionalFormatting>
  <conditionalFormatting sqref="P901:Q901">
    <cfRule type="containsText" dxfId="9" priority="13477" operator="containsText" text="No">
      <formula>NOT(ISERROR(SEARCH(("No"),(P901))))</formula>
    </cfRule>
  </conditionalFormatting>
  <conditionalFormatting sqref="P901:Q901">
    <cfRule type="containsText" dxfId="2" priority="13478" operator="containsText" text="Yes">
      <formula>NOT(ISERROR(SEARCH(("Yes"),(P901))))</formula>
    </cfRule>
  </conditionalFormatting>
  <conditionalFormatting sqref="P901:Q901">
    <cfRule type="containsText" dxfId="9" priority="13479" operator="containsText" text="No">
      <formula>NOT(ISERROR(SEARCH(("No"),(P901))))</formula>
    </cfRule>
  </conditionalFormatting>
  <conditionalFormatting sqref="P901:Q901">
    <cfRule type="containsText" dxfId="9" priority="13480" operator="containsText" text="No">
      <formula>NOT(ISERROR(SEARCH(("No"),(P901))))</formula>
    </cfRule>
  </conditionalFormatting>
  <conditionalFormatting sqref="P901:Q901">
    <cfRule type="containsText" dxfId="2" priority="13481" operator="containsText" text="Yes">
      <formula>NOT(ISERROR(SEARCH(("Yes"),(P901))))</formula>
    </cfRule>
  </conditionalFormatting>
  <conditionalFormatting sqref="P901:Q901">
    <cfRule type="containsText" dxfId="2" priority="13482" operator="containsText" text="Yes">
      <formula>NOT(ISERROR(SEARCH(("Yes"),(P901))))</formula>
    </cfRule>
  </conditionalFormatting>
  <conditionalFormatting sqref="P901:Q901">
    <cfRule type="containsText" dxfId="9" priority="13483" operator="containsText" text="No">
      <formula>NOT(ISERROR(SEARCH(("No"),(P901))))</formula>
    </cfRule>
  </conditionalFormatting>
  <conditionalFormatting sqref="P901:Q901">
    <cfRule type="containsText" dxfId="2" priority="13484" operator="containsText" text="Yes">
      <formula>NOT(ISERROR(SEARCH(("Yes"),(P901))))</formula>
    </cfRule>
  </conditionalFormatting>
  <conditionalFormatting sqref="P901:Q901">
    <cfRule type="containsText" dxfId="9" priority="13485" operator="containsText" text="No">
      <formula>NOT(ISERROR(SEARCH(("No"),(P901))))</formula>
    </cfRule>
  </conditionalFormatting>
  <conditionalFormatting sqref="P901:Q901">
    <cfRule type="containsText" dxfId="2" priority="13486" operator="containsText" text="Yes">
      <formula>NOT(ISERROR(SEARCH(("Yes"),(P901))))</formula>
    </cfRule>
  </conditionalFormatting>
  <conditionalFormatting sqref="P901:Q901">
    <cfRule type="containsText" dxfId="9" priority="13487" operator="containsText" text="No">
      <formula>NOT(ISERROR(SEARCH(("No"),(P901))))</formula>
    </cfRule>
  </conditionalFormatting>
  <conditionalFormatting sqref="P901:Q901">
    <cfRule type="containsText" dxfId="2" priority="13488" operator="containsText" text="Yes">
      <formula>NOT(ISERROR(SEARCH(("Yes"),(P901))))</formula>
    </cfRule>
  </conditionalFormatting>
  <conditionalFormatting sqref="P904:Q904">
    <cfRule type="containsText" dxfId="9" priority="13489" operator="containsText" text="No">
      <formula>NOT(ISERROR(SEARCH(("No"),(P904))))</formula>
    </cfRule>
  </conditionalFormatting>
  <conditionalFormatting sqref="P904:Q904">
    <cfRule type="containsText" dxfId="2" priority="13490" operator="containsText" text="Yes">
      <formula>NOT(ISERROR(SEARCH(("Yes"),(P904))))</formula>
    </cfRule>
  </conditionalFormatting>
  <conditionalFormatting sqref="P908:Q908">
    <cfRule type="containsText" dxfId="9" priority="13491" operator="containsText" text="No">
      <formula>NOT(ISERROR(SEARCH(("No"),(P908))))</formula>
    </cfRule>
  </conditionalFormatting>
  <conditionalFormatting sqref="P908:Q908">
    <cfRule type="containsText" dxfId="2" priority="13492" operator="containsText" text="Yes">
      <formula>NOT(ISERROR(SEARCH(("Yes"),(P908))))</formula>
    </cfRule>
  </conditionalFormatting>
  <conditionalFormatting sqref="P946:Q946">
    <cfRule type="containsText" dxfId="9" priority="13493" operator="containsText" text="No">
      <formula>NOT(ISERROR(SEARCH(("No"),(P946))))</formula>
    </cfRule>
  </conditionalFormatting>
  <conditionalFormatting sqref="P946:Q946">
    <cfRule type="containsText" dxfId="2" priority="13494" operator="containsText" text="Yes">
      <formula>NOT(ISERROR(SEARCH(("Yes"),(P946))))</formula>
    </cfRule>
  </conditionalFormatting>
  <conditionalFormatting sqref="P946:Q946">
    <cfRule type="containsText" dxfId="9" priority="13495" operator="containsText" text="No">
      <formula>NOT(ISERROR(SEARCH(("No"),(P946))))</formula>
    </cfRule>
  </conditionalFormatting>
  <conditionalFormatting sqref="P946:Q946">
    <cfRule type="containsText" dxfId="9" priority="13496" operator="containsText" text="No">
      <formula>NOT(ISERROR(SEARCH(("No"),(P946))))</formula>
    </cfRule>
  </conditionalFormatting>
  <conditionalFormatting sqref="P946:Q946">
    <cfRule type="containsText" dxfId="2" priority="13497" operator="containsText" text="Yes">
      <formula>NOT(ISERROR(SEARCH(("Yes"),(P946))))</formula>
    </cfRule>
  </conditionalFormatting>
  <conditionalFormatting sqref="P946:Q946">
    <cfRule type="containsText" dxfId="2" priority="13498" operator="containsText" text="Yes">
      <formula>NOT(ISERROR(SEARCH(("Yes"),(P946))))</formula>
    </cfRule>
  </conditionalFormatting>
  <conditionalFormatting sqref="P946:Q946">
    <cfRule type="containsText" dxfId="9" priority="13499" operator="containsText" text="No">
      <formula>NOT(ISERROR(SEARCH(("No"),(P946))))</formula>
    </cfRule>
  </conditionalFormatting>
  <conditionalFormatting sqref="P946:Q946">
    <cfRule type="containsText" dxfId="2" priority="13500" operator="containsText" text="Yes">
      <formula>NOT(ISERROR(SEARCH(("Yes"),(P946))))</formula>
    </cfRule>
  </conditionalFormatting>
  <conditionalFormatting sqref="P946:Q946">
    <cfRule type="containsText" dxfId="9" priority="13501" operator="containsText" text="No">
      <formula>NOT(ISERROR(SEARCH(("No"),(P946))))</formula>
    </cfRule>
  </conditionalFormatting>
  <conditionalFormatting sqref="P946:Q946">
    <cfRule type="containsText" dxfId="2" priority="13502" operator="containsText" text="Yes">
      <formula>NOT(ISERROR(SEARCH(("Yes"),(P946))))</formula>
    </cfRule>
  </conditionalFormatting>
  <conditionalFormatting sqref="P946:Q946">
    <cfRule type="containsText" dxfId="9" priority="13503" operator="containsText" text="No">
      <formula>NOT(ISERROR(SEARCH(("No"),(P946))))</formula>
    </cfRule>
  </conditionalFormatting>
  <conditionalFormatting sqref="P946:Q946">
    <cfRule type="containsText" dxfId="2" priority="13504" operator="containsText" text="Yes">
      <formula>NOT(ISERROR(SEARCH(("Yes"),(P946))))</formula>
    </cfRule>
  </conditionalFormatting>
  <conditionalFormatting sqref="P976:Q976">
    <cfRule type="containsText" dxfId="2" priority="13505" operator="containsText" text="Yes">
      <formula>NOT(ISERROR(SEARCH(("Yes"),(P976))))</formula>
    </cfRule>
  </conditionalFormatting>
  <conditionalFormatting sqref="P976:Q976">
    <cfRule type="containsText" dxfId="9" priority="13506" operator="containsText" text="No">
      <formula>NOT(ISERROR(SEARCH(("No"),(P976))))</formula>
    </cfRule>
  </conditionalFormatting>
  <conditionalFormatting sqref="P976:Q976">
    <cfRule type="containsText" dxfId="2" priority="13507" operator="containsText" text="Yes">
      <formula>NOT(ISERROR(SEARCH(("Yes"),(P976))))</formula>
    </cfRule>
  </conditionalFormatting>
  <conditionalFormatting sqref="P976:Q976">
    <cfRule type="containsText" dxfId="9" priority="13508" operator="containsText" text="No">
      <formula>NOT(ISERROR(SEARCH(("No"),(P976))))</formula>
    </cfRule>
  </conditionalFormatting>
  <conditionalFormatting sqref="P976:Q976">
    <cfRule type="containsText" dxfId="2" priority="13509" operator="containsText" text="Yes">
      <formula>NOT(ISERROR(SEARCH(("Yes"),(P976))))</formula>
    </cfRule>
  </conditionalFormatting>
  <conditionalFormatting sqref="P976:Q976">
    <cfRule type="containsText" dxfId="9" priority="13510" operator="containsText" text="No">
      <formula>NOT(ISERROR(SEARCH(("No"),(P976))))</formula>
    </cfRule>
  </conditionalFormatting>
  <conditionalFormatting sqref="P976:Q976">
    <cfRule type="containsText" dxfId="2" priority="13511" operator="containsText" text="Yes">
      <formula>NOT(ISERROR(SEARCH(("Yes"),(P976))))</formula>
    </cfRule>
  </conditionalFormatting>
  <conditionalFormatting sqref="P976:Q976">
    <cfRule type="containsText" dxfId="9" priority="13512" operator="containsText" text="No">
      <formula>NOT(ISERROR(SEARCH(("No"),(P976))))</formula>
    </cfRule>
  </conditionalFormatting>
  <conditionalFormatting sqref="P976:Q976">
    <cfRule type="containsText" dxfId="2" priority="13513" operator="containsText" text="Yes">
      <formula>NOT(ISERROR(SEARCH(("Yes"),(P976))))</formula>
    </cfRule>
  </conditionalFormatting>
  <conditionalFormatting sqref="P976:Q976">
    <cfRule type="containsText" dxfId="9" priority="13514" operator="containsText" text="No">
      <formula>NOT(ISERROR(SEARCH(("No"),(P976))))</formula>
    </cfRule>
  </conditionalFormatting>
  <conditionalFormatting sqref="P976:Q976">
    <cfRule type="containsText" dxfId="2" priority="13515" operator="containsText" text="Yes">
      <formula>NOT(ISERROR(SEARCH(("Yes"),(P976))))</formula>
    </cfRule>
  </conditionalFormatting>
  <conditionalFormatting sqref="P976:Q976">
    <cfRule type="containsText" dxfId="9" priority="13516" operator="containsText" text="No">
      <formula>NOT(ISERROR(SEARCH(("No"),(P976))))</formula>
    </cfRule>
  </conditionalFormatting>
  <conditionalFormatting sqref="P976:Q976">
    <cfRule type="containsText" dxfId="2" priority="13517" operator="containsText" text="Yes">
      <formula>NOT(ISERROR(SEARCH(("Yes"),(P976))))</formula>
    </cfRule>
  </conditionalFormatting>
  <conditionalFormatting sqref="P976:Q976">
    <cfRule type="containsText" dxfId="9" priority="13518" operator="containsText" text="No">
      <formula>NOT(ISERROR(SEARCH(("No"),(P976))))</formula>
    </cfRule>
  </conditionalFormatting>
  <conditionalFormatting sqref="P976:Q976">
    <cfRule type="containsText" dxfId="2" priority="13519" operator="containsText" text="Yes">
      <formula>NOT(ISERROR(SEARCH(("Yes"),(P976))))</formula>
    </cfRule>
  </conditionalFormatting>
  <conditionalFormatting sqref="P976:Q976">
    <cfRule type="containsText" dxfId="9" priority="13520" operator="containsText" text="No">
      <formula>NOT(ISERROR(SEARCH(("No"),(P976))))</formula>
    </cfRule>
  </conditionalFormatting>
  <conditionalFormatting sqref="P976:Q976">
    <cfRule type="containsText" dxfId="2" priority="13521" operator="containsText" text="Yes">
      <formula>NOT(ISERROR(SEARCH(("Yes"),(P976))))</formula>
    </cfRule>
  </conditionalFormatting>
  <conditionalFormatting sqref="P976:Q976">
    <cfRule type="containsText" dxfId="9" priority="13522" operator="containsText" text="No">
      <formula>NOT(ISERROR(SEARCH(("No"),(P976))))</formula>
    </cfRule>
  </conditionalFormatting>
  <conditionalFormatting sqref="P976:Q976">
    <cfRule type="containsText" dxfId="2" priority="13523" operator="containsText" text="Yes">
      <formula>NOT(ISERROR(SEARCH(("Yes"),(P976))))</formula>
    </cfRule>
  </conditionalFormatting>
  <conditionalFormatting sqref="P976:Q976">
    <cfRule type="containsText" dxfId="9" priority="13524" operator="containsText" text="No">
      <formula>NOT(ISERROR(SEARCH(("No"),(P976))))</formula>
    </cfRule>
  </conditionalFormatting>
  <conditionalFormatting sqref="P976:Q976">
    <cfRule type="containsText" dxfId="2" priority="13525" operator="containsText" text="Yes">
      <formula>NOT(ISERROR(SEARCH(("Yes"),(P976))))</formula>
    </cfRule>
  </conditionalFormatting>
  <conditionalFormatting sqref="P976:Q976">
    <cfRule type="containsText" dxfId="9" priority="13526" operator="containsText" text="No">
      <formula>NOT(ISERROR(SEARCH(("No"),(P976))))</formula>
    </cfRule>
  </conditionalFormatting>
  <conditionalFormatting sqref="P976:Q976">
    <cfRule type="containsText" dxfId="2" priority="13527" operator="containsText" text="Yes">
      <formula>NOT(ISERROR(SEARCH(("Yes"),(P976))))</formula>
    </cfRule>
  </conditionalFormatting>
  <conditionalFormatting sqref="P976:Q976">
    <cfRule type="containsText" dxfId="9" priority="13528" operator="containsText" text="No">
      <formula>NOT(ISERROR(SEARCH(("No"),(P976))))</formula>
    </cfRule>
  </conditionalFormatting>
  <conditionalFormatting sqref="P976:Q976">
    <cfRule type="containsText" dxfId="2" priority="13529" operator="containsText" text="Yes">
      <formula>NOT(ISERROR(SEARCH(("Yes"),(P976))))</formula>
    </cfRule>
  </conditionalFormatting>
  <conditionalFormatting sqref="P976:Q976">
    <cfRule type="containsText" dxfId="9" priority="13530" operator="containsText" text="No">
      <formula>NOT(ISERROR(SEARCH(("No"),(P976))))</formula>
    </cfRule>
  </conditionalFormatting>
  <conditionalFormatting sqref="P976:Q976">
    <cfRule type="containsText" dxfId="2" priority="13531" operator="containsText" text="Yes">
      <formula>NOT(ISERROR(SEARCH(("Yes"),(P976))))</formula>
    </cfRule>
  </conditionalFormatting>
  <conditionalFormatting sqref="P976:Q976">
    <cfRule type="containsText" dxfId="9" priority="13532" operator="containsText" text="No">
      <formula>NOT(ISERROR(SEARCH(("No"),(P976))))</formula>
    </cfRule>
  </conditionalFormatting>
  <conditionalFormatting sqref="P976:Q976">
    <cfRule type="containsText" dxfId="2" priority="13533" operator="containsText" text="Yes">
      <formula>NOT(ISERROR(SEARCH(("Yes"),(P976))))</formula>
    </cfRule>
  </conditionalFormatting>
  <conditionalFormatting sqref="P976:Q976">
    <cfRule type="containsText" dxfId="9" priority="13534" operator="containsText" text="No">
      <formula>NOT(ISERROR(SEARCH(("No"),(P976))))</formula>
    </cfRule>
  </conditionalFormatting>
  <conditionalFormatting sqref="P976:Q976">
    <cfRule type="containsText" dxfId="2" priority="13535" operator="containsText" text="Yes">
      <formula>NOT(ISERROR(SEARCH(("Yes"),(P976))))</formula>
    </cfRule>
  </conditionalFormatting>
  <conditionalFormatting sqref="P976:Q976">
    <cfRule type="containsText" dxfId="9" priority="13536" operator="containsText" text="No">
      <formula>NOT(ISERROR(SEARCH(("No"),(P976))))</formula>
    </cfRule>
  </conditionalFormatting>
  <conditionalFormatting sqref="P976:Q976">
    <cfRule type="containsText" dxfId="2" priority="13537" operator="containsText" text="Yes">
      <formula>NOT(ISERROR(SEARCH(("Yes"),(P976))))</formula>
    </cfRule>
  </conditionalFormatting>
  <conditionalFormatting sqref="P976:Q976">
    <cfRule type="containsText" dxfId="9" priority="13538" operator="containsText" text="No">
      <formula>NOT(ISERROR(SEARCH(("No"),(P976))))</formula>
    </cfRule>
  </conditionalFormatting>
  <conditionalFormatting sqref="P976:Q976">
    <cfRule type="containsText" dxfId="2" priority="13539" operator="containsText" text="Yes">
      <formula>NOT(ISERROR(SEARCH(("Yes"),(P976))))</formula>
    </cfRule>
  </conditionalFormatting>
  <conditionalFormatting sqref="P976:Q976">
    <cfRule type="containsText" dxfId="9" priority="13540" operator="containsText" text="No">
      <formula>NOT(ISERROR(SEARCH(("No"),(P976))))</formula>
    </cfRule>
  </conditionalFormatting>
  <conditionalFormatting sqref="P976:Q976">
    <cfRule type="containsText" dxfId="2" priority="13541" operator="containsText" text="Yes">
      <formula>NOT(ISERROR(SEARCH(("Yes"),(P976))))</formula>
    </cfRule>
  </conditionalFormatting>
  <conditionalFormatting sqref="P976:Q976">
    <cfRule type="containsText" dxfId="9" priority="13542" operator="containsText" text="No">
      <formula>NOT(ISERROR(SEARCH(("No"),(P976))))</formula>
    </cfRule>
  </conditionalFormatting>
  <conditionalFormatting sqref="P976:Q976">
    <cfRule type="containsText" dxfId="2" priority="13543" operator="containsText" text="Yes">
      <formula>NOT(ISERROR(SEARCH(("Yes"),(P976))))</formula>
    </cfRule>
  </conditionalFormatting>
  <conditionalFormatting sqref="P976:Q976">
    <cfRule type="containsText" dxfId="9" priority="13544" operator="containsText" text="No">
      <formula>NOT(ISERROR(SEARCH(("No"),(P976))))</formula>
    </cfRule>
  </conditionalFormatting>
  <conditionalFormatting sqref="P976:Q976">
    <cfRule type="containsText" dxfId="2" priority="13545" operator="containsText" text="Yes">
      <formula>NOT(ISERROR(SEARCH(("Yes"),(P976))))</formula>
    </cfRule>
  </conditionalFormatting>
  <conditionalFormatting sqref="P976:Q976">
    <cfRule type="containsText" dxfId="9" priority="13546" operator="containsText" text="No">
      <formula>NOT(ISERROR(SEARCH(("No"),(P976))))</formula>
    </cfRule>
  </conditionalFormatting>
  <conditionalFormatting sqref="P976:Q976">
    <cfRule type="containsText" dxfId="2" priority="13547" operator="containsText" text="Yes">
      <formula>NOT(ISERROR(SEARCH(("Yes"),(P976))))</formula>
    </cfRule>
  </conditionalFormatting>
  <conditionalFormatting sqref="P976:Q976">
    <cfRule type="containsText" dxfId="9" priority="13548" operator="containsText" text="No">
      <formula>NOT(ISERROR(SEARCH(("No"),(P976))))</formula>
    </cfRule>
  </conditionalFormatting>
  <conditionalFormatting sqref="P976:Q976">
    <cfRule type="containsText" dxfId="2" priority="13549" operator="containsText" text="Yes">
      <formula>NOT(ISERROR(SEARCH(("Yes"),(P976))))</formula>
    </cfRule>
  </conditionalFormatting>
  <conditionalFormatting sqref="P976:Q976">
    <cfRule type="containsText" dxfId="9" priority="13550" operator="containsText" text="No">
      <formula>NOT(ISERROR(SEARCH(("No"),(P976))))</formula>
    </cfRule>
  </conditionalFormatting>
  <conditionalFormatting sqref="P976:Q976">
    <cfRule type="containsText" dxfId="2" priority="13551" operator="containsText" text="Yes">
      <formula>NOT(ISERROR(SEARCH(("Yes"),(P976))))</formula>
    </cfRule>
  </conditionalFormatting>
  <conditionalFormatting sqref="P976:Q976">
    <cfRule type="containsText" dxfId="9" priority="13552" operator="containsText" text="No">
      <formula>NOT(ISERROR(SEARCH(("No"),(P976))))</formula>
    </cfRule>
  </conditionalFormatting>
  <conditionalFormatting sqref="P976:Q976">
    <cfRule type="containsText" dxfId="2" priority="13553" operator="containsText" text="Yes">
      <formula>NOT(ISERROR(SEARCH(("Yes"),(P976))))</formula>
    </cfRule>
  </conditionalFormatting>
  <conditionalFormatting sqref="P976:Q976">
    <cfRule type="containsText" dxfId="9" priority="13554" operator="containsText" text="No">
      <formula>NOT(ISERROR(SEARCH(("No"),(P976))))</formula>
    </cfRule>
  </conditionalFormatting>
  <conditionalFormatting sqref="P976:Q976">
    <cfRule type="containsText" dxfId="2" priority="13555" operator="containsText" text="Yes">
      <formula>NOT(ISERROR(SEARCH(("Yes"),(P976))))</formula>
    </cfRule>
  </conditionalFormatting>
  <conditionalFormatting sqref="P976:Q976">
    <cfRule type="containsText" dxfId="9" priority="13556" operator="containsText" text="No">
      <formula>NOT(ISERROR(SEARCH(("No"),(P976))))</formula>
    </cfRule>
  </conditionalFormatting>
  <conditionalFormatting sqref="P976:Q976">
    <cfRule type="containsText" dxfId="2" priority="13557" operator="containsText" text="Yes">
      <formula>NOT(ISERROR(SEARCH(("Yes"),(P976))))</formula>
    </cfRule>
  </conditionalFormatting>
  <conditionalFormatting sqref="P976:Q976">
    <cfRule type="containsText" dxfId="9" priority="13558" operator="containsText" text="No">
      <formula>NOT(ISERROR(SEARCH(("No"),(P976))))</formula>
    </cfRule>
  </conditionalFormatting>
  <conditionalFormatting sqref="P976:Q976">
    <cfRule type="containsText" dxfId="2" priority="13559" operator="containsText" text="Yes">
      <formula>NOT(ISERROR(SEARCH(("Yes"),(P976))))</formula>
    </cfRule>
  </conditionalFormatting>
  <conditionalFormatting sqref="P976:Q976">
    <cfRule type="containsText" dxfId="9" priority="13560" operator="containsText" text="No">
      <formula>NOT(ISERROR(SEARCH(("No"),(P976))))</formula>
    </cfRule>
  </conditionalFormatting>
  <conditionalFormatting sqref="P976:Q976">
    <cfRule type="containsText" dxfId="2" priority="13561" operator="containsText" text="Yes">
      <formula>NOT(ISERROR(SEARCH(("Yes"),(P976))))</formula>
    </cfRule>
  </conditionalFormatting>
  <conditionalFormatting sqref="P976:Q976">
    <cfRule type="containsText" dxfId="9" priority="13562" operator="containsText" text="No">
      <formula>NOT(ISERROR(SEARCH(("No"),(P976))))</formula>
    </cfRule>
  </conditionalFormatting>
  <conditionalFormatting sqref="P976:Q976">
    <cfRule type="containsText" dxfId="2" priority="13563" operator="containsText" text="Yes">
      <formula>NOT(ISERROR(SEARCH(("Yes"),(P976))))</formula>
    </cfRule>
  </conditionalFormatting>
  <conditionalFormatting sqref="P976:Q976">
    <cfRule type="containsText" dxfId="9" priority="13564" operator="containsText" text="No">
      <formula>NOT(ISERROR(SEARCH(("No"),(P976))))</formula>
    </cfRule>
  </conditionalFormatting>
  <conditionalFormatting sqref="P976:Q976">
    <cfRule type="containsText" dxfId="2" priority="13565" operator="containsText" text="Yes">
      <formula>NOT(ISERROR(SEARCH(("Yes"),(P976))))</formula>
    </cfRule>
  </conditionalFormatting>
  <conditionalFormatting sqref="P976:Q976">
    <cfRule type="containsText" dxfId="9" priority="13566" operator="containsText" text="No">
      <formula>NOT(ISERROR(SEARCH(("No"),(P976))))</formula>
    </cfRule>
  </conditionalFormatting>
  <conditionalFormatting sqref="P976:Q976">
    <cfRule type="containsText" dxfId="2" priority="13567" operator="containsText" text="Yes">
      <formula>NOT(ISERROR(SEARCH(("Yes"),(P976))))</formula>
    </cfRule>
  </conditionalFormatting>
  <conditionalFormatting sqref="P976:Q976">
    <cfRule type="containsText" dxfId="9" priority="13568" operator="containsText" text="No">
      <formula>NOT(ISERROR(SEARCH(("No"),(P976))))</formula>
    </cfRule>
  </conditionalFormatting>
  <conditionalFormatting sqref="P976:Q976">
    <cfRule type="containsText" dxfId="2" priority="13569" operator="containsText" text="Yes">
      <formula>NOT(ISERROR(SEARCH(("Yes"),(P976))))</formula>
    </cfRule>
  </conditionalFormatting>
  <conditionalFormatting sqref="P976:Q976">
    <cfRule type="containsText" dxfId="9" priority="13570" operator="containsText" text="No">
      <formula>NOT(ISERROR(SEARCH(("No"),(P976))))</formula>
    </cfRule>
  </conditionalFormatting>
  <conditionalFormatting sqref="P976:Q976">
    <cfRule type="containsText" dxfId="2" priority="13571" operator="containsText" text="Yes">
      <formula>NOT(ISERROR(SEARCH(("Yes"),(P976))))</formula>
    </cfRule>
  </conditionalFormatting>
  <conditionalFormatting sqref="P976:Q976">
    <cfRule type="containsText" dxfId="9" priority="13572" operator="containsText" text="No">
      <formula>NOT(ISERROR(SEARCH(("No"),(P976))))</formula>
    </cfRule>
  </conditionalFormatting>
  <conditionalFormatting sqref="P976:Q976">
    <cfRule type="containsText" dxfId="2" priority="13573" operator="containsText" text="Yes">
      <formula>NOT(ISERROR(SEARCH(("Yes"),(P976))))</formula>
    </cfRule>
  </conditionalFormatting>
  <conditionalFormatting sqref="P976:Q976">
    <cfRule type="containsText" dxfId="9" priority="13574" operator="containsText" text="No">
      <formula>NOT(ISERROR(SEARCH(("No"),(P976))))</formula>
    </cfRule>
  </conditionalFormatting>
  <conditionalFormatting sqref="P976:Q976">
    <cfRule type="containsText" dxfId="2" priority="13575" operator="containsText" text="Yes">
      <formula>NOT(ISERROR(SEARCH(("Yes"),(P976))))</formula>
    </cfRule>
  </conditionalFormatting>
  <conditionalFormatting sqref="P976:Q976">
    <cfRule type="containsText" dxfId="9" priority="13576" operator="containsText" text="No">
      <formula>NOT(ISERROR(SEARCH(("No"),(P976))))</formula>
    </cfRule>
  </conditionalFormatting>
  <conditionalFormatting sqref="P976:Q976">
    <cfRule type="containsText" dxfId="2" priority="13577" operator="containsText" text="Yes">
      <formula>NOT(ISERROR(SEARCH(("Yes"),(P976))))</formula>
    </cfRule>
  </conditionalFormatting>
  <conditionalFormatting sqref="P976:Q976">
    <cfRule type="containsText" dxfId="9" priority="13578" operator="containsText" text="No">
      <formula>NOT(ISERROR(SEARCH(("No"),(P976))))</formula>
    </cfRule>
  </conditionalFormatting>
  <conditionalFormatting sqref="P976:Q976">
    <cfRule type="containsText" dxfId="2" priority="13579" operator="containsText" text="Yes">
      <formula>NOT(ISERROR(SEARCH(("Yes"),(P976))))</formula>
    </cfRule>
  </conditionalFormatting>
  <conditionalFormatting sqref="P976:Q976">
    <cfRule type="containsText" dxfId="9" priority="13580" operator="containsText" text="No">
      <formula>NOT(ISERROR(SEARCH(("No"),(P976))))</formula>
    </cfRule>
  </conditionalFormatting>
  <conditionalFormatting sqref="P976:Q976">
    <cfRule type="containsText" dxfId="2" priority="13581" operator="containsText" text="Yes">
      <formula>NOT(ISERROR(SEARCH(("Yes"),(P976))))</formula>
    </cfRule>
  </conditionalFormatting>
  <conditionalFormatting sqref="P976:Q976">
    <cfRule type="containsText" dxfId="9" priority="13582" operator="containsText" text="No">
      <formula>NOT(ISERROR(SEARCH(("No"),(P976))))</formula>
    </cfRule>
  </conditionalFormatting>
  <conditionalFormatting sqref="P976:Q976">
    <cfRule type="containsText" dxfId="2" priority="13583" operator="containsText" text="Yes">
      <formula>NOT(ISERROR(SEARCH(("Yes"),(P976))))</formula>
    </cfRule>
  </conditionalFormatting>
  <conditionalFormatting sqref="P976:Q976">
    <cfRule type="containsText" dxfId="9" priority="13584" operator="containsText" text="No">
      <formula>NOT(ISERROR(SEARCH(("No"),(P976))))</formula>
    </cfRule>
  </conditionalFormatting>
  <conditionalFormatting sqref="P976:Q976">
    <cfRule type="containsText" dxfId="2" priority="13585" operator="containsText" text="Yes">
      <formula>NOT(ISERROR(SEARCH(("Yes"),(P976))))</formula>
    </cfRule>
  </conditionalFormatting>
  <conditionalFormatting sqref="P976:Q976">
    <cfRule type="containsText" dxfId="9" priority="13586" operator="containsText" text="No">
      <formula>NOT(ISERROR(SEARCH(("No"),(P976))))</formula>
    </cfRule>
  </conditionalFormatting>
  <conditionalFormatting sqref="P976:Q976">
    <cfRule type="containsText" dxfId="2" priority="13587" operator="containsText" text="Yes">
      <formula>NOT(ISERROR(SEARCH(("Yes"),(P976))))</formula>
    </cfRule>
  </conditionalFormatting>
  <conditionalFormatting sqref="P976:Q976">
    <cfRule type="containsText" dxfId="9" priority="13588" operator="containsText" text="No">
      <formula>NOT(ISERROR(SEARCH(("No"),(P976))))</formula>
    </cfRule>
  </conditionalFormatting>
  <conditionalFormatting sqref="P976:Q976">
    <cfRule type="containsText" dxfId="2" priority="13589" operator="containsText" text="Yes">
      <formula>NOT(ISERROR(SEARCH(("Yes"),(P976))))</formula>
    </cfRule>
  </conditionalFormatting>
  <conditionalFormatting sqref="P976:Q976">
    <cfRule type="containsText" dxfId="9" priority="13590" operator="containsText" text="No">
      <formula>NOT(ISERROR(SEARCH(("No"),(P976))))</formula>
    </cfRule>
  </conditionalFormatting>
  <conditionalFormatting sqref="P976:Q976">
    <cfRule type="containsText" dxfId="2" priority="13591" operator="containsText" text="Yes">
      <formula>NOT(ISERROR(SEARCH(("Yes"),(P976))))</formula>
    </cfRule>
  </conditionalFormatting>
  <conditionalFormatting sqref="P976:Q976">
    <cfRule type="containsText" dxfId="9" priority="13592" operator="containsText" text="No">
      <formula>NOT(ISERROR(SEARCH(("No"),(P976))))</formula>
    </cfRule>
  </conditionalFormatting>
  <conditionalFormatting sqref="P976:Q976">
    <cfRule type="containsText" dxfId="2" priority="13593" operator="containsText" text="Yes">
      <formula>NOT(ISERROR(SEARCH(("Yes"),(P976))))</formula>
    </cfRule>
  </conditionalFormatting>
  <conditionalFormatting sqref="P976:Q976">
    <cfRule type="containsText" dxfId="2" priority="13594" operator="containsText" text="Yes">
      <formula>NOT(ISERROR(SEARCH(("Yes"),(P976))))</formula>
    </cfRule>
  </conditionalFormatting>
  <conditionalFormatting sqref="P976:Q976">
    <cfRule type="containsText" dxfId="9" priority="13595" operator="containsText" text="No">
      <formula>NOT(ISERROR(SEARCH(("No"),(P976))))</formula>
    </cfRule>
  </conditionalFormatting>
  <conditionalFormatting sqref="P976:Q976">
    <cfRule type="containsText" dxfId="2" priority="13596" operator="containsText" text="Yes">
      <formula>NOT(ISERROR(SEARCH(("Yes"),(P976))))</formula>
    </cfRule>
  </conditionalFormatting>
  <conditionalFormatting sqref="P977:Q977">
    <cfRule type="containsText" dxfId="2" priority="13597" operator="containsText" text="Yes">
      <formula>NOT(ISERROR(SEARCH(("Yes"),(P977))))</formula>
    </cfRule>
  </conditionalFormatting>
  <conditionalFormatting sqref="P977:Q977">
    <cfRule type="containsText" dxfId="9" priority="13598" operator="containsText" text="No">
      <formula>NOT(ISERROR(SEARCH(("No"),(P977))))</formula>
    </cfRule>
  </conditionalFormatting>
  <conditionalFormatting sqref="P977:Q977">
    <cfRule type="containsText" dxfId="2" priority="13599" operator="containsText" text="Yes">
      <formula>NOT(ISERROR(SEARCH(("Yes"),(P977))))</formula>
    </cfRule>
  </conditionalFormatting>
  <conditionalFormatting sqref="P977:Q977">
    <cfRule type="containsText" dxfId="9" priority="13600" operator="containsText" text="No">
      <formula>NOT(ISERROR(SEARCH(("No"),(P977))))</formula>
    </cfRule>
  </conditionalFormatting>
  <conditionalFormatting sqref="P977:Q977">
    <cfRule type="containsText" dxfId="2" priority="13601" operator="containsText" text="Yes">
      <formula>NOT(ISERROR(SEARCH(("Yes"),(P977))))</formula>
    </cfRule>
  </conditionalFormatting>
  <conditionalFormatting sqref="P977:Q977">
    <cfRule type="containsText" dxfId="9" priority="13602" operator="containsText" text="No">
      <formula>NOT(ISERROR(SEARCH(("No"),(P977))))</formula>
    </cfRule>
  </conditionalFormatting>
  <conditionalFormatting sqref="P977:Q977">
    <cfRule type="containsText" dxfId="2" priority="13603" operator="containsText" text="Yes">
      <formula>NOT(ISERROR(SEARCH(("Yes"),(P977))))</formula>
    </cfRule>
  </conditionalFormatting>
  <conditionalFormatting sqref="P977:Q977">
    <cfRule type="containsText" dxfId="9" priority="13604" operator="containsText" text="No">
      <formula>NOT(ISERROR(SEARCH(("No"),(P977))))</formula>
    </cfRule>
  </conditionalFormatting>
  <conditionalFormatting sqref="P977:Q977">
    <cfRule type="containsText" dxfId="2" priority="13605" operator="containsText" text="Yes">
      <formula>NOT(ISERROR(SEARCH(("Yes"),(P977))))</formula>
    </cfRule>
  </conditionalFormatting>
  <conditionalFormatting sqref="P977:Q977">
    <cfRule type="containsText" dxfId="9" priority="13606" operator="containsText" text="No">
      <formula>NOT(ISERROR(SEARCH(("No"),(P977))))</formula>
    </cfRule>
  </conditionalFormatting>
  <conditionalFormatting sqref="P977:Q977">
    <cfRule type="containsText" dxfId="2" priority="13607" operator="containsText" text="Yes">
      <formula>NOT(ISERROR(SEARCH(("Yes"),(P977))))</formula>
    </cfRule>
  </conditionalFormatting>
  <conditionalFormatting sqref="P977:Q977">
    <cfRule type="containsText" dxfId="9" priority="13608" operator="containsText" text="No">
      <formula>NOT(ISERROR(SEARCH(("No"),(P977))))</formula>
    </cfRule>
  </conditionalFormatting>
  <conditionalFormatting sqref="P977:Q977">
    <cfRule type="containsText" dxfId="2" priority="13609" operator="containsText" text="Yes">
      <formula>NOT(ISERROR(SEARCH(("Yes"),(P977))))</formula>
    </cfRule>
  </conditionalFormatting>
  <conditionalFormatting sqref="P977:Q977">
    <cfRule type="containsText" dxfId="9" priority="13610" operator="containsText" text="No">
      <formula>NOT(ISERROR(SEARCH(("No"),(P977))))</formula>
    </cfRule>
  </conditionalFormatting>
  <conditionalFormatting sqref="P977:Q977">
    <cfRule type="containsText" dxfId="2" priority="13611" operator="containsText" text="Yes">
      <formula>NOT(ISERROR(SEARCH(("Yes"),(P977))))</formula>
    </cfRule>
  </conditionalFormatting>
  <conditionalFormatting sqref="P977:Q977">
    <cfRule type="containsText" dxfId="9" priority="13612" operator="containsText" text="No">
      <formula>NOT(ISERROR(SEARCH(("No"),(P977))))</formula>
    </cfRule>
  </conditionalFormatting>
  <conditionalFormatting sqref="P977:Q977">
    <cfRule type="containsText" dxfId="2" priority="13613" operator="containsText" text="Yes">
      <formula>NOT(ISERROR(SEARCH(("Yes"),(P977))))</formula>
    </cfRule>
  </conditionalFormatting>
  <conditionalFormatting sqref="P977:Q977">
    <cfRule type="containsText" dxfId="9" priority="13614" operator="containsText" text="No">
      <formula>NOT(ISERROR(SEARCH(("No"),(P977))))</formula>
    </cfRule>
  </conditionalFormatting>
  <conditionalFormatting sqref="P977:Q977">
    <cfRule type="containsText" dxfId="2" priority="13615" operator="containsText" text="Yes">
      <formula>NOT(ISERROR(SEARCH(("Yes"),(P977))))</formula>
    </cfRule>
  </conditionalFormatting>
  <conditionalFormatting sqref="P977:Q977">
    <cfRule type="containsText" dxfId="9" priority="13616" operator="containsText" text="No">
      <formula>NOT(ISERROR(SEARCH(("No"),(P977))))</formula>
    </cfRule>
  </conditionalFormatting>
  <conditionalFormatting sqref="P977:Q977">
    <cfRule type="containsText" dxfId="2" priority="13617" operator="containsText" text="Yes">
      <formula>NOT(ISERROR(SEARCH(("Yes"),(P977))))</formula>
    </cfRule>
  </conditionalFormatting>
  <conditionalFormatting sqref="P977:Q977">
    <cfRule type="containsText" dxfId="9" priority="13618" operator="containsText" text="No">
      <formula>NOT(ISERROR(SEARCH(("No"),(P977))))</formula>
    </cfRule>
  </conditionalFormatting>
  <conditionalFormatting sqref="P977:Q977">
    <cfRule type="containsText" dxfId="2" priority="13619" operator="containsText" text="Yes">
      <formula>NOT(ISERROR(SEARCH(("Yes"),(P977))))</formula>
    </cfRule>
  </conditionalFormatting>
  <conditionalFormatting sqref="P977:Q977">
    <cfRule type="containsText" dxfId="9" priority="13620" operator="containsText" text="No">
      <formula>NOT(ISERROR(SEARCH(("No"),(P977))))</formula>
    </cfRule>
  </conditionalFormatting>
  <conditionalFormatting sqref="P977:Q977">
    <cfRule type="containsText" dxfId="2" priority="13621" operator="containsText" text="Yes">
      <formula>NOT(ISERROR(SEARCH(("Yes"),(P977))))</formula>
    </cfRule>
  </conditionalFormatting>
  <conditionalFormatting sqref="P977:Q977">
    <cfRule type="containsText" dxfId="9" priority="13622" operator="containsText" text="No">
      <formula>NOT(ISERROR(SEARCH(("No"),(P977))))</formula>
    </cfRule>
  </conditionalFormatting>
  <conditionalFormatting sqref="P977:Q977">
    <cfRule type="containsText" dxfId="2" priority="13623" operator="containsText" text="Yes">
      <formula>NOT(ISERROR(SEARCH(("Yes"),(P977))))</formula>
    </cfRule>
  </conditionalFormatting>
  <conditionalFormatting sqref="P977:Q977">
    <cfRule type="containsText" dxfId="9" priority="13624" operator="containsText" text="No">
      <formula>NOT(ISERROR(SEARCH(("No"),(P977))))</formula>
    </cfRule>
  </conditionalFormatting>
  <conditionalFormatting sqref="P977:Q977">
    <cfRule type="containsText" dxfId="2" priority="13625" operator="containsText" text="Yes">
      <formula>NOT(ISERROR(SEARCH(("Yes"),(P977))))</formula>
    </cfRule>
  </conditionalFormatting>
  <conditionalFormatting sqref="P977:Q977">
    <cfRule type="containsText" dxfId="9" priority="13626" operator="containsText" text="No">
      <formula>NOT(ISERROR(SEARCH(("No"),(P977))))</formula>
    </cfRule>
  </conditionalFormatting>
  <conditionalFormatting sqref="P977:Q977">
    <cfRule type="containsText" dxfId="2" priority="13627" operator="containsText" text="Yes">
      <formula>NOT(ISERROR(SEARCH(("Yes"),(P977))))</formula>
    </cfRule>
  </conditionalFormatting>
  <conditionalFormatting sqref="P977:Q977">
    <cfRule type="containsText" dxfId="9" priority="13628" operator="containsText" text="No">
      <formula>NOT(ISERROR(SEARCH(("No"),(P977))))</formula>
    </cfRule>
  </conditionalFormatting>
  <conditionalFormatting sqref="P977:Q977">
    <cfRule type="containsText" dxfId="2" priority="13629" operator="containsText" text="Yes">
      <formula>NOT(ISERROR(SEARCH(("Yes"),(P977))))</formula>
    </cfRule>
  </conditionalFormatting>
  <conditionalFormatting sqref="P977:Q977">
    <cfRule type="containsText" dxfId="9" priority="13630" operator="containsText" text="No">
      <formula>NOT(ISERROR(SEARCH(("No"),(P977))))</formula>
    </cfRule>
  </conditionalFormatting>
  <conditionalFormatting sqref="P977:Q977">
    <cfRule type="containsText" dxfId="2" priority="13631" operator="containsText" text="Yes">
      <formula>NOT(ISERROR(SEARCH(("Yes"),(P977))))</formula>
    </cfRule>
  </conditionalFormatting>
  <conditionalFormatting sqref="P977:Q977">
    <cfRule type="containsText" dxfId="9" priority="13632" operator="containsText" text="No">
      <formula>NOT(ISERROR(SEARCH(("No"),(P977))))</formula>
    </cfRule>
  </conditionalFormatting>
  <conditionalFormatting sqref="P977:Q977">
    <cfRule type="containsText" dxfId="2" priority="13633" operator="containsText" text="Yes">
      <formula>NOT(ISERROR(SEARCH(("Yes"),(P977))))</formula>
    </cfRule>
  </conditionalFormatting>
  <conditionalFormatting sqref="P977:Q977">
    <cfRule type="containsText" dxfId="9" priority="13634" operator="containsText" text="No">
      <formula>NOT(ISERROR(SEARCH(("No"),(P977))))</formula>
    </cfRule>
  </conditionalFormatting>
  <conditionalFormatting sqref="P977:Q977">
    <cfRule type="containsText" dxfId="2" priority="13635" operator="containsText" text="Yes">
      <formula>NOT(ISERROR(SEARCH(("Yes"),(P977))))</formula>
    </cfRule>
  </conditionalFormatting>
  <conditionalFormatting sqref="P977:Q977">
    <cfRule type="containsText" dxfId="9" priority="13636" operator="containsText" text="No">
      <formula>NOT(ISERROR(SEARCH(("No"),(P977))))</formula>
    </cfRule>
  </conditionalFormatting>
  <conditionalFormatting sqref="P977:Q977">
    <cfRule type="containsText" dxfId="2" priority="13637" operator="containsText" text="Yes">
      <formula>NOT(ISERROR(SEARCH(("Yes"),(P977))))</formula>
    </cfRule>
  </conditionalFormatting>
  <conditionalFormatting sqref="P977:Q977">
    <cfRule type="containsText" dxfId="9" priority="13638" operator="containsText" text="No">
      <formula>NOT(ISERROR(SEARCH(("No"),(P977))))</formula>
    </cfRule>
  </conditionalFormatting>
  <conditionalFormatting sqref="P977:Q977">
    <cfRule type="containsText" dxfId="2" priority="13639" operator="containsText" text="Yes">
      <formula>NOT(ISERROR(SEARCH(("Yes"),(P977))))</formula>
    </cfRule>
  </conditionalFormatting>
  <conditionalFormatting sqref="P977:Q977">
    <cfRule type="containsText" dxfId="9" priority="13640" operator="containsText" text="No">
      <formula>NOT(ISERROR(SEARCH(("No"),(P977))))</formula>
    </cfRule>
  </conditionalFormatting>
  <conditionalFormatting sqref="P977:Q977">
    <cfRule type="containsText" dxfId="2" priority="13641" operator="containsText" text="Yes">
      <formula>NOT(ISERROR(SEARCH(("Yes"),(P977))))</formula>
    </cfRule>
  </conditionalFormatting>
  <conditionalFormatting sqref="P977:Q977">
    <cfRule type="containsText" dxfId="9" priority="13642" operator="containsText" text="No">
      <formula>NOT(ISERROR(SEARCH(("No"),(P977))))</formula>
    </cfRule>
  </conditionalFormatting>
  <conditionalFormatting sqref="P977:Q977">
    <cfRule type="containsText" dxfId="2" priority="13643" operator="containsText" text="Yes">
      <formula>NOT(ISERROR(SEARCH(("Yes"),(P977))))</formula>
    </cfRule>
  </conditionalFormatting>
  <conditionalFormatting sqref="P977:Q977">
    <cfRule type="containsText" dxfId="9" priority="13644" operator="containsText" text="No">
      <formula>NOT(ISERROR(SEARCH(("No"),(P977))))</formula>
    </cfRule>
  </conditionalFormatting>
  <conditionalFormatting sqref="P977:Q977">
    <cfRule type="containsText" dxfId="2" priority="13645" operator="containsText" text="Yes">
      <formula>NOT(ISERROR(SEARCH(("Yes"),(P977))))</formula>
    </cfRule>
  </conditionalFormatting>
  <conditionalFormatting sqref="P977:Q977">
    <cfRule type="containsText" dxfId="9" priority="13646" operator="containsText" text="No">
      <formula>NOT(ISERROR(SEARCH(("No"),(P977))))</formula>
    </cfRule>
  </conditionalFormatting>
  <conditionalFormatting sqref="P977:Q977">
    <cfRule type="containsText" dxfId="2" priority="13647" operator="containsText" text="Yes">
      <formula>NOT(ISERROR(SEARCH(("Yes"),(P977))))</formula>
    </cfRule>
  </conditionalFormatting>
  <conditionalFormatting sqref="P977:Q977">
    <cfRule type="containsText" dxfId="9" priority="13648" operator="containsText" text="No">
      <formula>NOT(ISERROR(SEARCH(("No"),(P977))))</formula>
    </cfRule>
  </conditionalFormatting>
  <conditionalFormatting sqref="P977:Q977">
    <cfRule type="containsText" dxfId="2" priority="13649" operator="containsText" text="Yes">
      <formula>NOT(ISERROR(SEARCH(("Yes"),(P977))))</formula>
    </cfRule>
  </conditionalFormatting>
  <conditionalFormatting sqref="P977:Q977">
    <cfRule type="containsText" dxfId="9" priority="13650" operator="containsText" text="No">
      <formula>NOT(ISERROR(SEARCH(("No"),(P977))))</formula>
    </cfRule>
  </conditionalFormatting>
  <conditionalFormatting sqref="P977:Q977">
    <cfRule type="containsText" dxfId="2" priority="13651" operator="containsText" text="Yes">
      <formula>NOT(ISERROR(SEARCH(("Yes"),(P977))))</formula>
    </cfRule>
  </conditionalFormatting>
  <conditionalFormatting sqref="P977:Q977">
    <cfRule type="containsText" dxfId="9" priority="13652" operator="containsText" text="No">
      <formula>NOT(ISERROR(SEARCH(("No"),(P977))))</formula>
    </cfRule>
  </conditionalFormatting>
  <conditionalFormatting sqref="P977:Q977">
    <cfRule type="containsText" dxfId="2" priority="13653" operator="containsText" text="Yes">
      <formula>NOT(ISERROR(SEARCH(("Yes"),(P977))))</formula>
    </cfRule>
  </conditionalFormatting>
  <conditionalFormatting sqref="P977:Q977">
    <cfRule type="containsText" dxfId="9" priority="13654" operator="containsText" text="No">
      <formula>NOT(ISERROR(SEARCH(("No"),(P977))))</formula>
    </cfRule>
  </conditionalFormatting>
  <conditionalFormatting sqref="P977:Q977">
    <cfRule type="containsText" dxfId="2" priority="13655" operator="containsText" text="Yes">
      <formula>NOT(ISERROR(SEARCH(("Yes"),(P977))))</formula>
    </cfRule>
  </conditionalFormatting>
  <conditionalFormatting sqref="P977:Q977">
    <cfRule type="containsText" dxfId="9" priority="13656" operator="containsText" text="No">
      <formula>NOT(ISERROR(SEARCH(("No"),(P977))))</formula>
    </cfRule>
  </conditionalFormatting>
  <conditionalFormatting sqref="P977:Q977">
    <cfRule type="containsText" dxfId="2" priority="13657" operator="containsText" text="Yes">
      <formula>NOT(ISERROR(SEARCH(("Yes"),(P977))))</formula>
    </cfRule>
  </conditionalFormatting>
  <conditionalFormatting sqref="P977:Q977">
    <cfRule type="containsText" dxfId="9" priority="13658" operator="containsText" text="No">
      <formula>NOT(ISERROR(SEARCH(("No"),(P977))))</formula>
    </cfRule>
  </conditionalFormatting>
  <conditionalFormatting sqref="P977:Q977">
    <cfRule type="containsText" dxfId="2" priority="13659" operator="containsText" text="Yes">
      <formula>NOT(ISERROR(SEARCH(("Yes"),(P977))))</formula>
    </cfRule>
  </conditionalFormatting>
  <conditionalFormatting sqref="P977:Q977">
    <cfRule type="containsText" dxfId="9" priority="13660" operator="containsText" text="No">
      <formula>NOT(ISERROR(SEARCH(("No"),(P977))))</formula>
    </cfRule>
  </conditionalFormatting>
  <conditionalFormatting sqref="P977:Q977">
    <cfRule type="containsText" dxfId="2" priority="13661" operator="containsText" text="Yes">
      <formula>NOT(ISERROR(SEARCH(("Yes"),(P977))))</formula>
    </cfRule>
  </conditionalFormatting>
  <conditionalFormatting sqref="P977:Q977">
    <cfRule type="containsText" dxfId="9" priority="13662" operator="containsText" text="No">
      <formula>NOT(ISERROR(SEARCH(("No"),(P977))))</formula>
    </cfRule>
  </conditionalFormatting>
  <conditionalFormatting sqref="P977:Q977">
    <cfRule type="containsText" dxfId="2" priority="13663" operator="containsText" text="Yes">
      <formula>NOT(ISERROR(SEARCH(("Yes"),(P977))))</formula>
    </cfRule>
  </conditionalFormatting>
  <conditionalFormatting sqref="P977:Q977">
    <cfRule type="containsText" dxfId="9" priority="13664" operator="containsText" text="No">
      <formula>NOT(ISERROR(SEARCH(("No"),(P977))))</formula>
    </cfRule>
  </conditionalFormatting>
  <conditionalFormatting sqref="P977:Q977">
    <cfRule type="containsText" dxfId="2" priority="13665" operator="containsText" text="Yes">
      <formula>NOT(ISERROR(SEARCH(("Yes"),(P977))))</formula>
    </cfRule>
  </conditionalFormatting>
  <conditionalFormatting sqref="P977:Q977">
    <cfRule type="containsText" dxfId="9" priority="13666" operator="containsText" text="No">
      <formula>NOT(ISERROR(SEARCH(("No"),(P977))))</formula>
    </cfRule>
  </conditionalFormatting>
  <conditionalFormatting sqref="P977:Q977">
    <cfRule type="containsText" dxfId="2" priority="13667" operator="containsText" text="Yes">
      <formula>NOT(ISERROR(SEARCH(("Yes"),(P977))))</formula>
    </cfRule>
  </conditionalFormatting>
  <conditionalFormatting sqref="P977:Q977">
    <cfRule type="containsText" dxfId="9" priority="13668" operator="containsText" text="No">
      <formula>NOT(ISERROR(SEARCH(("No"),(P977))))</formula>
    </cfRule>
  </conditionalFormatting>
  <conditionalFormatting sqref="P977:Q977">
    <cfRule type="containsText" dxfId="2" priority="13669" operator="containsText" text="Yes">
      <formula>NOT(ISERROR(SEARCH(("Yes"),(P977))))</formula>
    </cfRule>
  </conditionalFormatting>
  <conditionalFormatting sqref="P977:Q977">
    <cfRule type="containsText" dxfId="9" priority="13670" operator="containsText" text="No">
      <formula>NOT(ISERROR(SEARCH(("No"),(P977))))</formula>
    </cfRule>
  </conditionalFormatting>
  <conditionalFormatting sqref="P977:Q977">
    <cfRule type="containsText" dxfId="2" priority="13671" operator="containsText" text="Yes">
      <formula>NOT(ISERROR(SEARCH(("Yes"),(P977))))</formula>
    </cfRule>
  </conditionalFormatting>
  <conditionalFormatting sqref="P977:Q977">
    <cfRule type="containsText" dxfId="9" priority="13672" operator="containsText" text="No">
      <formula>NOT(ISERROR(SEARCH(("No"),(P977))))</formula>
    </cfRule>
  </conditionalFormatting>
  <conditionalFormatting sqref="P977:Q977">
    <cfRule type="containsText" dxfId="2" priority="13673" operator="containsText" text="Yes">
      <formula>NOT(ISERROR(SEARCH(("Yes"),(P977))))</formula>
    </cfRule>
  </conditionalFormatting>
  <conditionalFormatting sqref="P977:Q977">
    <cfRule type="containsText" dxfId="9" priority="13674" operator="containsText" text="No">
      <formula>NOT(ISERROR(SEARCH(("No"),(P977))))</formula>
    </cfRule>
  </conditionalFormatting>
  <conditionalFormatting sqref="P977:Q977">
    <cfRule type="containsText" dxfId="2" priority="13675" operator="containsText" text="Yes">
      <formula>NOT(ISERROR(SEARCH(("Yes"),(P977))))</formula>
    </cfRule>
  </conditionalFormatting>
  <conditionalFormatting sqref="P977:Q977">
    <cfRule type="containsText" dxfId="9" priority="13676" operator="containsText" text="No">
      <formula>NOT(ISERROR(SEARCH(("No"),(P977))))</formula>
    </cfRule>
  </conditionalFormatting>
  <conditionalFormatting sqref="P977:Q977">
    <cfRule type="containsText" dxfId="2" priority="13677" operator="containsText" text="Yes">
      <formula>NOT(ISERROR(SEARCH(("Yes"),(P977))))</formula>
    </cfRule>
  </conditionalFormatting>
  <conditionalFormatting sqref="P977:Q977">
    <cfRule type="containsText" dxfId="9" priority="13678" operator="containsText" text="No">
      <formula>NOT(ISERROR(SEARCH(("No"),(P977))))</formula>
    </cfRule>
  </conditionalFormatting>
  <conditionalFormatting sqref="P977:Q977">
    <cfRule type="containsText" dxfId="2" priority="13679" operator="containsText" text="Yes">
      <formula>NOT(ISERROR(SEARCH(("Yes"),(P977))))</formula>
    </cfRule>
  </conditionalFormatting>
  <conditionalFormatting sqref="P977:Q977">
    <cfRule type="containsText" dxfId="9" priority="13680" operator="containsText" text="No">
      <formula>NOT(ISERROR(SEARCH(("No"),(P977))))</formula>
    </cfRule>
  </conditionalFormatting>
  <conditionalFormatting sqref="P977:Q977">
    <cfRule type="containsText" dxfId="2" priority="13681" operator="containsText" text="Yes">
      <formula>NOT(ISERROR(SEARCH(("Yes"),(P977))))</formula>
    </cfRule>
  </conditionalFormatting>
  <conditionalFormatting sqref="P977:Q977">
    <cfRule type="containsText" dxfId="9" priority="13682" operator="containsText" text="No">
      <formula>NOT(ISERROR(SEARCH(("No"),(P977))))</formula>
    </cfRule>
  </conditionalFormatting>
  <conditionalFormatting sqref="P977:Q977">
    <cfRule type="containsText" dxfId="2" priority="13683" operator="containsText" text="Yes">
      <formula>NOT(ISERROR(SEARCH(("Yes"),(P977))))</formula>
    </cfRule>
  </conditionalFormatting>
  <conditionalFormatting sqref="P977:Q977">
    <cfRule type="containsText" dxfId="9" priority="13684" operator="containsText" text="No">
      <formula>NOT(ISERROR(SEARCH(("No"),(P977))))</formula>
    </cfRule>
  </conditionalFormatting>
  <conditionalFormatting sqref="P977:Q977">
    <cfRule type="containsText" dxfId="2" priority="13685" operator="containsText" text="Yes">
      <formula>NOT(ISERROR(SEARCH(("Yes"),(P977))))</formula>
    </cfRule>
  </conditionalFormatting>
  <conditionalFormatting sqref="P977:Q977">
    <cfRule type="containsText" dxfId="2" priority="13686" operator="containsText" text="Yes">
      <formula>NOT(ISERROR(SEARCH(("Yes"),(P977))))</formula>
    </cfRule>
  </conditionalFormatting>
  <conditionalFormatting sqref="P977:Q977">
    <cfRule type="containsText" dxfId="9" priority="13687" operator="containsText" text="No">
      <formula>NOT(ISERROR(SEARCH(("No"),(P977))))</formula>
    </cfRule>
  </conditionalFormatting>
  <conditionalFormatting sqref="P977:Q977">
    <cfRule type="containsText" dxfId="2" priority="13688" operator="containsText" text="Yes">
      <formula>NOT(ISERROR(SEARCH(("Yes"),(P977))))</formula>
    </cfRule>
  </conditionalFormatting>
  <conditionalFormatting sqref="P1016:Q1016">
    <cfRule type="containsText" dxfId="9" priority="13689" operator="containsText" text="No">
      <formula>NOT(ISERROR(SEARCH(("No"),(P1016))))</formula>
    </cfRule>
  </conditionalFormatting>
  <conditionalFormatting sqref="P1016:Q1016">
    <cfRule type="containsText" dxfId="9" priority="13690" operator="containsText" text="No">
      <formula>NOT(ISERROR(SEARCH(("No"),(P1016))))</formula>
    </cfRule>
  </conditionalFormatting>
  <conditionalFormatting sqref="P1016:Q1016">
    <cfRule type="containsText" dxfId="2" priority="13691" operator="containsText" text="Yes">
      <formula>NOT(ISERROR(SEARCH(("Yes"),(P1016))))</formula>
    </cfRule>
  </conditionalFormatting>
  <conditionalFormatting sqref="P1016:Q1016">
    <cfRule type="containsText" dxfId="2" priority="13692" operator="containsText" text="Yes">
      <formula>NOT(ISERROR(SEARCH(("Yes"),(P1016))))</formula>
    </cfRule>
  </conditionalFormatting>
  <conditionalFormatting sqref="P1017:Q1017">
    <cfRule type="containsText" dxfId="9" priority="13693" operator="containsText" text="No">
      <formula>NOT(ISERROR(SEARCH(("No"),(P1017))))</formula>
    </cfRule>
  </conditionalFormatting>
  <conditionalFormatting sqref="P1017:Q1017">
    <cfRule type="containsText" dxfId="9" priority="13694" operator="containsText" text="No">
      <formula>NOT(ISERROR(SEARCH(("No"),(P1017))))</formula>
    </cfRule>
  </conditionalFormatting>
  <conditionalFormatting sqref="P1017:Q1017">
    <cfRule type="containsText" dxfId="2" priority="13695" operator="containsText" text="Yes">
      <formula>NOT(ISERROR(SEARCH(("Yes"),(P1017))))</formula>
    </cfRule>
  </conditionalFormatting>
  <conditionalFormatting sqref="P1017:Q1017">
    <cfRule type="containsText" dxfId="2" priority="13696" operator="containsText" text="Yes">
      <formula>NOT(ISERROR(SEARCH(("Yes"),(P1017))))</formula>
    </cfRule>
  </conditionalFormatting>
  <conditionalFormatting sqref="P1026:Q1026">
    <cfRule type="containsText" dxfId="2" priority="13697" operator="containsText" text="Yes">
      <formula>NOT(ISERROR(SEARCH(("Yes"),(P1026))))</formula>
    </cfRule>
  </conditionalFormatting>
  <conditionalFormatting sqref="P1026:Q1026">
    <cfRule type="containsText" dxfId="9" priority="13698" operator="containsText" text="No">
      <formula>NOT(ISERROR(SEARCH(("No"),(P1026))))</formula>
    </cfRule>
  </conditionalFormatting>
  <conditionalFormatting sqref="P1026:Q1026">
    <cfRule type="containsText" dxfId="2" priority="13699" operator="containsText" text="Yes">
      <formula>NOT(ISERROR(SEARCH(("Yes"),(P1026))))</formula>
    </cfRule>
  </conditionalFormatting>
  <conditionalFormatting sqref="P1026:Q1026">
    <cfRule type="containsText" dxfId="9" priority="13700" operator="containsText" text="No">
      <formula>NOT(ISERROR(SEARCH(("No"),(P1026))))</formula>
    </cfRule>
  </conditionalFormatting>
  <conditionalFormatting sqref="P1026:Q1026">
    <cfRule type="containsText" dxfId="2" priority="13701" operator="containsText" text="Yes">
      <formula>NOT(ISERROR(SEARCH(("Yes"),(P1026))))</formula>
    </cfRule>
  </conditionalFormatting>
  <conditionalFormatting sqref="P1026:Q1026">
    <cfRule type="containsText" dxfId="9" priority="13702" operator="containsText" text="No">
      <formula>NOT(ISERROR(SEARCH(("No"),(P1026))))</formula>
    </cfRule>
  </conditionalFormatting>
  <conditionalFormatting sqref="P1026:Q1026">
    <cfRule type="containsText" dxfId="2" priority="13703" operator="containsText" text="Yes">
      <formula>NOT(ISERROR(SEARCH(("Yes"),(P1026))))</formula>
    </cfRule>
  </conditionalFormatting>
  <conditionalFormatting sqref="P1026:Q1026">
    <cfRule type="containsText" dxfId="9" priority="13704" operator="containsText" text="No">
      <formula>NOT(ISERROR(SEARCH(("No"),(P1026))))</formula>
    </cfRule>
  </conditionalFormatting>
  <conditionalFormatting sqref="P1026:Q1026">
    <cfRule type="containsText" dxfId="2" priority="13705" operator="containsText" text="Yes">
      <formula>NOT(ISERROR(SEARCH(("Yes"),(P1026))))</formula>
    </cfRule>
  </conditionalFormatting>
  <conditionalFormatting sqref="P1026:Q1026">
    <cfRule type="containsText" dxfId="9" priority="13706" operator="containsText" text="No">
      <formula>NOT(ISERROR(SEARCH(("No"),(P1026))))</formula>
    </cfRule>
  </conditionalFormatting>
  <conditionalFormatting sqref="P1026:Q1026">
    <cfRule type="containsText" dxfId="2" priority="13707" operator="containsText" text="Yes">
      <formula>NOT(ISERROR(SEARCH(("Yes"),(P1026))))</formula>
    </cfRule>
  </conditionalFormatting>
  <conditionalFormatting sqref="P1026:Q1026">
    <cfRule type="containsText" dxfId="9" priority="13708" operator="containsText" text="No">
      <formula>NOT(ISERROR(SEARCH(("No"),(P1026))))</formula>
    </cfRule>
  </conditionalFormatting>
  <conditionalFormatting sqref="P1026:Q1026">
    <cfRule type="containsText" dxfId="2" priority="13709" operator="containsText" text="Yes">
      <formula>NOT(ISERROR(SEARCH(("Yes"),(P1026))))</formula>
    </cfRule>
  </conditionalFormatting>
  <conditionalFormatting sqref="P1026:Q1026">
    <cfRule type="containsText" dxfId="9" priority="13710" operator="containsText" text="No">
      <formula>NOT(ISERROR(SEARCH(("No"),(P1026))))</formula>
    </cfRule>
  </conditionalFormatting>
  <conditionalFormatting sqref="P1026:Q1026">
    <cfRule type="containsText" dxfId="2" priority="13711" operator="containsText" text="Yes">
      <formula>NOT(ISERROR(SEARCH(("Yes"),(P1026))))</formula>
    </cfRule>
  </conditionalFormatting>
  <conditionalFormatting sqref="P1026:Q1026">
    <cfRule type="containsText" dxfId="9" priority="13712" operator="containsText" text="No">
      <formula>NOT(ISERROR(SEARCH(("No"),(P1026))))</formula>
    </cfRule>
  </conditionalFormatting>
  <conditionalFormatting sqref="P1026:Q1026">
    <cfRule type="containsText" dxfId="2" priority="13713" operator="containsText" text="Yes">
      <formula>NOT(ISERROR(SEARCH(("Yes"),(P1026))))</formula>
    </cfRule>
  </conditionalFormatting>
  <conditionalFormatting sqref="P1026:Q1026">
    <cfRule type="containsText" dxfId="9" priority="13714" operator="containsText" text="No">
      <formula>NOT(ISERROR(SEARCH(("No"),(P1026))))</formula>
    </cfRule>
  </conditionalFormatting>
  <conditionalFormatting sqref="P1026:Q1026">
    <cfRule type="containsText" dxfId="2" priority="13715" operator="containsText" text="Yes">
      <formula>NOT(ISERROR(SEARCH(("Yes"),(P1026))))</formula>
    </cfRule>
  </conditionalFormatting>
  <conditionalFormatting sqref="P1026:Q1026">
    <cfRule type="containsText" dxfId="9" priority="13716" operator="containsText" text="No">
      <formula>NOT(ISERROR(SEARCH(("No"),(P1026))))</formula>
    </cfRule>
  </conditionalFormatting>
  <conditionalFormatting sqref="P1026:Q1026">
    <cfRule type="containsText" dxfId="2" priority="13717" operator="containsText" text="Yes">
      <formula>NOT(ISERROR(SEARCH(("Yes"),(P1026))))</formula>
    </cfRule>
  </conditionalFormatting>
  <conditionalFormatting sqref="P1026:Q1026">
    <cfRule type="containsText" dxfId="9" priority="13718" operator="containsText" text="No">
      <formula>NOT(ISERROR(SEARCH(("No"),(P1026))))</formula>
    </cfRule>
  </conditionalFormatting>
  <conditionalFormatting sqref="P1026:Q1026">
    <cfRule type="containsText" dxfId="2" priority="13719" operator="containsText" text="Yes">
      <formula>NOT(ISERROR(SEARCH(("Yes"),(P1026))))</formula>
    </cfRule>
  </conditionalFormatting>
  <conditionalFormatting sqref="P1026:Q1026">
    <cfRule type="containsText" dxfId="9" priority="13720" operator="containsText" text="No">
      <formula>NOT(ISERROR(SEARCH(("No"),(P1026))))</formula>
    </cfRule>
  </conditionalFormatting>
  <conditionalFormatting sqref="P1026:Q1026">
    <cfRule type="containsText" dxfId="2" priority="13721" operator="containsText" text="Yes">
      <formula>NOT(ISERROR(SEARCH(("Yes"),(P1026))))</formula>
    </cfRule>
  </conditionalFormatting>
  <conditionalFormatting sqref="P1026:Q1026">
    <cfRule type="containsText" dxfId="9" priority="13722" operator="containsText" text="No">
      <formula>NOT(ISERROR(SEARCH(("No"),(P1026))))</formula>
    </cfRule>
  </conditionalFormatting>
  <conditionalFormatting sqref="P1026:Q1026">
    <cfRule type="containsText" dxfId="2" priority="13723" operator="containsText" text="Yes">
      <formula>NOT(ISERROR(SEARCH(("Yes"),(P1026))))</formula>
    </cfRule>
  </conditionalFormatting>
  <conditionalFormatting sqref="P1026:Q1026">
    <cfRule type="containsText" dxfId="9" priority="13724" operator="containsText" text="No">
      <formula>NOT(ISERROR(SEARCH(("No"),(P1026))))</formula>
    </cfRule>
  </conditionalFormatting>
  <conditionalFormatting sqref="P1026:Q1026">
    <cfRule type="containsText" dxfId="2" priority="13725" operator="containsText" text="Yes">
      <formula>NOT(ISERROR(SEARCH(("Yes"),(P1026))))</formula>
    </cfRule>
  </conditionalFormatting>
  <conditionalFormatting sqref="P1026:Q1026">
    <cfRule type="containsText" dxfId="9" priority="13726" operator="containsText" text="No">
      <formula>NOT(ISERROR(SEARCH(("No"),(P1026))))</formula>
    </cfRule>
  </conditionalFormatting>
  <conditionalFormatting sqref="P1026:Q1026">
    <cfRule type="containsText" dxfId="2" priority="13727" operator="containsText" text="Yes">
      <formula>NOT(ISERROR(SEARCH(("Yes"),(P1026))))</formula>
    </cfRule>
  </conditionalFormatting>
  <conditionalFormatting sqref="P1026:Q1026">
    <cfRule type="containsText" dxfId="9" priority="13728" operator="containsText" text="No">
      <formula>NOT(ISERROR(SEARCH(("No"),(P1026))))</formula>
    </cfRule>
  </conditionalFormatting>
  <conditionalFormatting sqref="P1026:Q1026">
    <cfRule type="containsText" dxfId="2" priority="13729" operator="containsText" text="Yes">
      <formula>NOT(ISERROR(SEARCH(("Yes"),(P1026))))</formula>
    </cfRule>
  </conditionalFormatting>
  <conditionalFormatting sqref="P1026:Q1026">
    <cfRule type="containsText" dxfId="9" priority="13730" operator="containsText" text="No">
      <formula>NOT(ISERROR(SEARCH(("No"),(P1026))))</formula>
    </cfRule>
  </conditionalFormatting>
  <conditionalFormatting sqref="P1026:Q1026">
    <cfRule type="containsText" dxfId="2" priority="13731" operator="containsText" text="Yes">
      <formula>NOT(ISERROR(SEARCH(("Yes"),(P1026))))</formula>
    </cfRule>
  </conditionalFormatting>
  <conditionalFormatting sqref="P1026:Q1026">
    <cfRule type="containsText" dxfId="9" priority="13732" operator="containsText" text="No">
      <formula>NOT(ISERROR(SEARCH(("No"),(P1026))))</formula>
    </cfRule>
  </conditionalFormatting>
  <conditionalFormatting sqref="P1026:Q1026">
    <cfRule type="containsText" dxfId="2" priority="13733" operator="containsText" text="Yes">
      <formula>NOT(ISERROR(SEARCH(("Yes"),(P1026))))</formula>
    </cfRule>
  </conditionalFormatting>
  <conditionalFormatting sqref="P1026:Q1026">
    <cfRule type="containsText" dxfId="9" priority="13734" operator="containsText" text="No">
      <formula>NOT(ISERROR(SEARCH(("No"),(P1026))))</formula>
    </cfRule>
  </conditionalFormatting>
  <conditionalFormatting sqref="P1026:Q1026">
    <cfRule type="containsText" dxfId="2" priority="13735" operator="containsText" text="Yes">
      <formula>NOT(ISERROR(SEARCH(("Yes"),(P1026))))</formula>
    </cfRule>
  </conditionalFormatting>
  <conditionalFormatting sqref="P1026:Q1026">
    <cfRule type="containsText" dxfId="9" priority="13736" operator="containsText" text="No">
      <formula>NOT(ISERROR(SEARCH(("No"),(P1026))))</formula>
    </cfRule>
  </conditionalFormatting>
  <conditionalFormatting sqref="P1026:Q1026">
    <cfRule type="containsText" dxfId="2" priority="13737" operator="containsText" text="Yes">
      <formula>NOT(ISERROR(SEARCH(("Yes"),(P1026))))</formula>
    </cfRule>
  </conditionalFormatting>
  <conditionalFormatting sqref="P1026:Q1026">
    <cfRule type="containsText" dxfId="9" priority="13738" operator="containsText" text="No">
      <formula>NOT(ISERROR(SEARCH(("No"),(P1026))))</formula>
    </cfRule>
  </conditionalFormatting>
  <conditionalFormatting sqref="P1026:Q1026">
    <cfRule type="containsText" dxfId="2" priority="13739" operator="containsText" text="Yes">
      <formula>NOT(ISERROR(SEARCH(("Yes"),(P1026))))</formula>
    </cfRule>
  </conditionalFormatting>
  <conditionalFormatting sqref="P1026:Q1026">
    <cfRule type="containsText" dxfId="9" priority="13740" operator="containsText" text="No">
      <formula>NOT(ISERROR(SEARCH(("No"),(P1026))))</formula>
    </cfRule>
  </conditionalFormatting>
  <conditionalFormatting sqref="P1026:Q1026">
    <cfRule type="containsText" dxfId="2" priority="13741" operator="containsText" text="Yes">
      <formula>NOT(ISERROR(SEARCH(("Yes"),(P1026))))</formula>
    </cfRule>
  </conditionalFormatting>
  <conditionalFormatting sqref="P1026:Q1026">
    <cfRule type="containsText" dxfId="9" priority="13742" operator="containsText" text="No">
      <formula>NOT(ISERROR(SEARCH(("No"),(P1026))))</formula>
    </cfRule>
  </conditionalFormatting>
  <conditionalFormatting sqref="P1026:Q1026">
    <cfRule type="containsText" dxfId="2" priority="13743" operator="containsText" text="Yes">
      <formula>NOT(ISERROR(SEARCH(("Yes"),(P1026))))</formula>
    </cfRule>
  </conditionalFormatting>
  <conditionalFormatting sqref="P1026:Q1026">
    <cfRule type="containsText" dxfId="9" priority="13744" operator="containsText" text="No">
      <formula>NOT(ISERROR(SEARCH(("No"),(P1026))))</formula>
    </cfRule>
  </conditionalFormatting>
  <conditionalFormatting sqref="P1026:Q1026">
    <cfRule type="containsText" dxfId="2" priority="13745" operator="containsText" text="Yes">
      <formula>NOT(ISERROR(SEARCH(("Yes"),(P1026))))</formula>
    </cfRule>
  </conditionalFormatting>
  <conditionalFormatting sqref="P1026:Q1026">
    <cfRule type="containsText" dxfId="9" priority="13746" operator="containsText" text="No">
      <formula>NOT(ISERROR(SEARCH(("No"),(P1026))))</formula>
    </cfRule>
  </conditionalFormatting>
  <conditionalFormatting sqref="P1026:Q1026">
    <cfRule type="containsText" dxfId="2" priority="13747" operator="containsText" text="Yes">
      <formula>NOT(ISERROR(SEARCH(("Yes"),(P1026))))</formula>
    </cfRule>
  </conditionalFormatting>
  <conditionalFormatting sqref="P1026:Q1026">
    <cfRule type="containsText" dxfId="9" priority="13748" operator="containsText" text="No">
      <formula>NOT(ISERROR(SEARCH(("No"),(P1026))))</formula>
    </cfRule>
  </conditionalFormatting>
  <conditionalFormatting sqref="P1026:Q1026">
    <cfRule type="containsText" dxfId="2" priority="13749" operator="containsText" text="Yes">
      <formula>NOT(ISERROR(SEARCH(("Yes"),(P1026))))</formula>
    </cfRule>
  </conditionalFormatting>
  <conditionalFormatting sqref="P1026:Q1026">
    <cfRule type="containsText" dxfId="9" priority="13750" operator="containsText" text="No">
      <formula>NOT(ISERROR(SEARCH(("No"),(P1026))))</formula>
    </cfRule>
  </conditionalFormatting>
  <conditionalFormatting sqref="P1026:Q1026">
    <cfRule type="containsText" dxfId="2" priority="13751" operator="containsText" text="Yes">
      <formula>NOT(ISERROR(SEARCH(("Yes"),(P1026))))</formula>
    </cfRule>
  </conditionalFormatting>
  <conditionalFormatting sqref="P1026:Q1026">
    <cfRule type="containsText" dxfId="9" priority="13752" operator="containsText" text="No">
      <formula>NOT(ISERROR(SEARCH(("No"),(P1026))))</formula>
    </cfRule>
  </conditionalFormatting>
  <conditionalFormatting sqref="P1026:Q1026">
    <cfRule type="containsText" dxfId="2" priority="13753" operator="containsText" text="Yes">
      <formula>NOT(ISERROR(SEARCH(("Yes"),(P1026))))</formula>
    </cfRule>
  </conditionalFormatting>
  <conditionalFormatting sqref="P1026:Q1026">
    <cfRule type="containsText" dxfId="9" priority="13754" operator="containsText" text="No">
      <formula>NOT(ISERROR(SEARCH(("No"),(P1026))))</formula>
    </cfRule>
  </conditionalFormatting>
  <conditionalFormatting sqref="P1026:Q1026">
    <cfRule type="containsText" dxfId="2" priority="13755" operator="containsText" text="Yes">
      <formula>NOT(ISERROR(SEARCH(("Yes"),(P1026))))</formula>
    </cfRule>
  </conditionalFormatting>
  <conditionalFormatting sqref="P1026:Q1026">
    <cfRule type="containsText" dxfId="9" priority="13756" operator="containsText" text="No">
      <formula>NOT(ISERROR(SEARCH(("No"),(P1026))))</formula>
    </cfRule>
  </conditionalFormatting>
  <conditionalFormatting sqref="P1026:Q1026">
    <cfRule type="containsText" dxfId="2" priority="13757" operator="containsText" text="Yes">
      <formula>NOT(ISERROR(SEARCH(("Yes"),(P1026))))</formula>
    </cfRule>
  </conditionalFormatting>
  <conditionalFormatting sqref="P1026:Q1026">
    <cfRule type="containsText" dxfId="9" priority="13758" operator="containsText" text="No">
      <formula>NOT(ISERROR(SEARCH(("No"),(P1026))))</formula>
    </cfRule>
  </conditionalFormatting>
  <conditionalFormatting sqref="P1026:Q1026">
    <cfRule type="containsText" dxfId="2" priority="13759" operator="containsText" text="Yes">
      <formula>NOT(ISERROR(SEARCH(("Yes"),(P1026))))</formula>
    </cfRule>
  </conditionalFormatting>
  <conditionalFormatting sqref="P1026:Q1026">
    <cfRule type="containsText" dxfId="9" priority="13760" operator="containsText" text="No">
      <formula>NOT(ISERROR(SEARCH(("No"),(P1026))))</formula>
    </cfRule>
  </conditionalFormatting>
  <conditionalFormatting sqref="P1026:Q1026">
    <cfRule type="containsText" dxfId="2" priority="13761" operator="containsText" text="Yes">
      <formula>NOT(ISERROR(SEARCH(("Yes"),(P1026))))</formula>
    </cfRule>
  </conditionalFormatting>
  <conditionalFormatting sqref="P1026:Q1026">
    <cfRule type="containsText" dxfId="9" priority="13762" operator="containsText" text="No">
      <formula>NOT(ISERROR(SEARCH(("No"),(P1026))))</formula>
    </cfRule>
  </conditionalFormatting>
  <conditionalFormatting sqref="P1026:Q1026">
    <cfRule type="containsText" dxfId="2" priority="13763" operator="containsText" text="Yes">
      <formula>NOT(ISERROR(SEARCH(("Yes"),(P1026))))</formula>
    </cfRule>
  </conditionalFormatting>
  <conditionalFormatting sqref="P1026:Q1026">
    <cfRule type="containsText" dxfId="9" priority="13764" operator="containsText" text="No">
      <formula>NOT(ISERROR(SEARCH(("No"),(P1026))))</formula>
    </cfRule>
  </conditionalFormatting>
  <conditionalFormatting sqref="P1026:Q1026">
    <cfRule type="containsText" dxfId="2" priority="13765" operator="containsText" text="Yes">
      <formula>NOT(ISERROR(SEARCH(("Yes"),(P1026))))</formula>
    </cfRule>
  </conditionalFormatting>
  <conditionalFormatting sqref="P1026:Q1026">
    <cfRule type="containsText" dxfId="9" priority="13766" operator="containsText" text="No">
      <formula>NOT(ISERROR(SEARCH(("No"),(P1026))))</formula>
    </cfRule>
  </conditionalFormatting>
  <conditionalFormatting sqref="P1026:Q1026">
    <cfRule type="containsText" dxfId="2" priority="13767" operator="containsText" text="Yes">
      <formula>NOT(ISERROR(SEARCH(("Yes"),(P1026))))</formula>
    </cfRule>
  </conditionalFormatting>
  <conditionalFormatting sqref="P1026:Q1026">
    <cfRule type="containsText" dxfId="9" priority="13768" operator="containsText" text="No">
      <formula>NOT(ISERROR(SEARCH(("No"),(P1026))))</formula>
    </cfRule>
  </conditionalFormatting>
  <conditionalFormatting sqref="P1026:Q1026">
    <cfRule type="containsText" dxfId="2" priority="13769" operator="containsText" text="Yes">
      <formula>NOT(ISERROR(SEARCH(("Yes"),(P1026))))</formula>
    </cfRule>
  </conditionalFormatting>
  <conditionalFormatting sqref="P1026:Q1026">
    <cfRule type="containsText" dxfId="9" priority="13770" operator="containsText" text="No">
      <formula>NOT(ISERROR(SEARCH(("No"),(P1026))))</formula>
    </cfRule>
  </conditionalFormatting>
  <conditionalFormatting sqref="P1026:Q1026">
    <cfRule type="containsText" dxfId="2" priority="13771" operator="containsText" text="Yes">
      <formula>NOT(ISERROR(SEARCH(("Yes"),(P1026))))</formula>
    </cfRule>
  </conditionalFormatting>
  <conditionalFormatting sqref="P1026:Q1026">
    <cfRule type="containsText" dxfId="9" priority="13772" operator="containsText" text="No">
      <formula>NOT(ISERROR(SEARCH(("No"),(P1026))))</formula>
    </cfRule>
  </conditionalFormatting>
  <conditionalFormatting sqref="P1026:Q1026">
    <cfRule type="containsText" dxfId="2" priority="13773" operator="containsText" text="Yes">
      <formula>NOT(ISERROR(SEARCH(("Yes"),(P1026))))</formula>
    </cfRule>
  </conditionalFormatting>
  <conditionalFormatting sqref="P1026:Q1026">
    <cfRule type="containsText" dxfId="9" priority="13774" operator="containsText" text="No">
      <formula>NOT(ISERROR(SEARCH(("No"),(P1026))))</formula>
    </cfRule>
  </conditionalFormatting>
  <conditionalFormatting sqref="P1026:Q1026">
    <cfRule type="containsText" dxfId="2" priority="13775" operator="containsText" text="Yes">
      <formula>NOT(ISERROR(SEARCH(("Yes"),(P1026))))</formula>
    </cfRule>
  </conditionalFormatting>
  <conditionalFormatting sqref="P1026:Q1026">
    <cfRule type="containsText" dxfId="9" priority="13776" operator="containsText" text="No">
      <formula>NOT(ISERROR(SEARCH(("No"),(P1026))))</formula>
    </cfRule>
  </conditionalFormatting>
  <conditionalFormatting sqref="P1026:Q1026">
    <cfRule type="containsText" dxfId="2" priority="13777" operator="containsText" text="Yes">
      <formula>NOT(ISERROR(SEARCH(("Yes"),(P1026))))</formula>
    </cfRule>
  </conditionalFormatting>
  <conditionalFormatting sqref="P1026:Q1026">
    <cfRule type="containsText" dxfId="9" priority="13778" operator="containsText" text="No">
      <formula>NOT(ISERROR(SEARCH(("No"),(P1026))))</formula>
    </cfRule>
  </conditionalFormatting>
  <conditionalFormatting sqref="P1026:Q1026">
    <cfRule type="containsText" dxfId="2" priority="13779" operator="containsText" text="Yes">
      <formula>NOT(ISERROR(SEARCH(("Yes"),(P1026))))</formula>
    </cfRule>
  </conditionalFormatting>
  <conditionalFormatting sqref="P1026:Q1026">
    <cfRule type="containsText" dxfId="9" priority="13780" operator="containsText" text="No">
      <formula>NOT(ISERROR(SEARCH(("No"),(P1026))))</formula>
    </cfRule>
  </conditionalFormatting>
  <conditionalFormatting sqref="P1026:Q1026">
    <cfRule type="containsText" dxfId="2" priority="13781" operator="containsText" text="Yes">
      <formula>NOT(ISERROR(SEARCH(("Yes"),(P1026))))</formula>
    </cfRule>
  </conditionalFormatting>
  <conditionalFormatting sqref="P1026:Q1026">
    <cfRule type="containsText" dxfId="9" priority="13782" operator="containsText" text="No">
      <formula>NOT(ISERROR(SEARCH(("No"),(P1026))))</formula>
    </cfRule>
  </conditionalFormatting>
  <conditionalFormatting sqref="P1026:Q1026">
    <cfRule type="containsText" dxfId="2" priority="13783" operator="containsText" text="Yes">
      <formula>NOT(ISERROR(SEARCH(("Yes"),(P1026))))</formula>
    </cfRule>
  </conditionalFormatting>
  <conditionalFormatting sqref="P1026:Q1026">
    <cfRule type="containsText" dxfId="9" priority="13784" operator="containsText" text="No">
      <formula>NOT(ISERROR(SEARCH(("No"),(P1026))))</formula>
    </cfRule>
  </conditionalFormatting>
  <conditionalFormatting sqref="P1026:Q1026">
    <cfRule type="containsText" dxfId="2" priority="13785" operator="containsText" text="Yes">
      <formula>NOT(ISERROR(SEARCH(("Yes"),(P1026))))</formula>
    </cfRule>
  </conditionalFormatting>
  <conditionalFormatting sqref="P1026:Q1026">
    <cfRule type="containsText" dxfId="2" priority="13786" operator="containsText" text="Yes">
      <formula>NOT(ISERROR(SEARCH(("Yes"),(P1026))))</formula>
    </cfRule>
  </conditionalFormatting>
  <conditionalFormatting sqref="P1026:Q1026">
    <cfRule type="containsText" dxfId="9" priority="13787" operator="containsText" text="No">
      <formula>NOT(ISERROR(SEARCH(("No"),(P1026))))</formula>
    </cfRule>
  </conditionalFormatting>
  <conditionalFormatting sqref="P1026:Q1026">
    <cfRule type="containsText" dxfId="2" priority="13788" operator="containsText" text="Yes">
      <formula>NOT(ISERROR(SEARCH(("Yes"),(P1026))))</formula>
    </cfRule>
  </conditionalFormatting>
  <conditionalFormatting sqref="P1027:Q1027">
    <cfRule type="containsText" dxfId="9" priority="13789" operator="containsText" text="No">
      <formula>NOT(ISERROR(SEARCH(("No"),(P1027))))</formula>
    </cfRule>
  </conditionalFormatting>
  <conditionalFormatting sqref="P1027:Q1027">
    <cfRule type="containsText" dxfId="9" priority="13790" operator="containsText" text="No">
      <formula>NOT(ISERROR(SEARCH(("No"),(P1027))))</formula>
    </cfRule>
  </conditionalFormatting>
  <conditionalFormatting sqref="P1027:Q1027">
    <cfRule type="containsText" dxfId="2" priority="13791" operator="containsText" text="Yes">
      <formula>NOT(ISERROR(SEARCH(("Yes"),(P1027))))</formula>
    </cfRule>
  </conditionalFormatting>
  <conditionalFormatting sqref="P1027:Q1027">
    <cfRule type="containsText" dxfId="2" priority="13792" operator="containsText" text="Yes">
      <formula>NOT(ISERROR(SEARCH(("Yes"),(P1027))))</formula>
    </cfRule>
  </conditionalFormatting>
  <conditionalFormatting sqref="P1027:Q1027">
    <cfRule type="containsText" dxfId="9" priority="13793" operator="containsText" text="No">
      <formula>NOT(ISERROR(SEARCH(("No"),(P1027))))</formula>
    </cfRule>
  </conditionalFormatting>
  <conditionalFormatting sqref="P1027:Q1027">
    <cfRule type="containsText" dxfId="2" priority="13794" operator="containsText" text="Yes">
      <formula>NOT(ISERROR(SEARCH(("Yes"),(P1027))))</formula>
    </cfRule>
  </conditionalFormatting>
  <conditionalFormatting sqref="P1027:Q1027">
    <cfRule type="containsText" dxfId="9" priority="13795" operator="containsText" text="No">
      <formula>NOT(ISERROR(SEARCH(("No"),(P1027))))</formula>
    </cfRule>
  </conditionalFormatting>
  <conditionalFormatting sqref="P1027:Q1027">
    <cfRule type="containsText" dxfId="2" priority="13796" operator="containsText" text="Yes">
      <formula>NOT(ISERROR(SEARCH(("Yes"),(P1027))))</formula>
    </cfRule>
  </conditionalFormatting>
  <conditionalFormatting sqref="P1027:Q1027">
    <cfRule type="containsText" dxfId="9" priority="13797" operator="containsText" text="No">
      <formula>NOT(ISERROR(SEARCH(("No"),(P1027))))</formula>
    </cfRule>
  </conditionalFormatting>
  <conditionalFormatting sqref="P1027:Q1027">
    <cfRule type="containsText" dxfId="2" priority="13798" operator="containsText" text="Yes">
      <formula>NOT(ISERROR(SEARCH(("Yes"),(P1027))))</formula>
    </cfRule>
  </conditionalFormatting>
  <conditionalFormatting sqref="P1062:Q1062">
    <cfRule type="containsText" dxfId="9" priority="13799" operator="containsText" text="No">
      <formula>NOT(ISERROR(SEARCH(("No"),(P1062))))</formula>
    </cfRule>
  </conditionalFormatting>
  <conditionalFormatting sqref="P1062:Q1062">
    <cfRule type="containsText" dxfId="2" priority="13800" operator="containsText" text="Yes">
      <formula>NOT(ISERROR(SEARCH(("Yes"),(P1062))))</formula>
    </cfRule>
  </conditionalFormatting>
  <conditionalFormatting sqref="P1062:Q1062">
    <cfRule type="containsText" dxfId="9" priority="13801" operator="containsText" text="No">
      <formula>NOT(ISERROR(SEARCH(("No"),(P1062))))</formula>
    </cfRule>
  </conditionalFormatting>
  <conditionalFormatting sqref="P1062:Q1062">
    <cfRule type="containsText" dxfId="9" priority="13802" operator="containsText" text="No">
      <formula>NOT(ISERROR(SEARCH(("No"),(P1062))))</formula>
    </cfRule>
  </conditionalFormatting>
  <conditionalFormatting sqref="P1062:Q1062">
    <cfRule type="containsText" dxfId="2" priority="13803" operator="containsText" text="Yes">
      <formula>NOT(ISERROR(SEARCH(("Yes"),(P1062))))</formula>
    </cfRule>
  </conditionalFormatting>
  <conditionalFormatting sqref="P1062:Q1062">
    <cfRule type="containsText" dxfId="2" priority="13804" operator="containsText" text="Yes">
      <formula>NOT(ISERROR(SEARCH(("Yes"),(P1062))))</formula>
    </cfRule>
  </conditionalFormatting>
  <conditionalFormatting sqref="P1062:Q1062">
    <cfRule type="containsText" dxfId="9" priority="13805" operator="containsText" text="No">
      <formula>NOT(ISERROR(SEARCH(("No"),(P1062))))</formula>
    </cfRule>
  </conditionalFormatting>
  <conditionalFormatting sqref="P1062:Q1062">
    <cfRule type="containsText" dxfId="2" priority="13806" operator="containsText" text="Yes">
      <formula>NOT(ISERROR(SEARCH(("Yes"),(P1062))))</formula>
    </cfRule>
  </conditionalFormatting>
  <conditionalFormatting sqref="P1062:Q1062">
    <cfRule type="containsText" dxfId="9" priority="13807" operator="containsText" text="No">
      <formula>NOT(ISERROR(SEARCH(("No"),(P1062))))</formula>
    </cfRule>
  </conditionalFormatting>
  <conditionalFormatting sqref="P1062:Q1062">
    <cfRule type="containsText" dxfId="2" priority="13808" operator="containsText" text="Yes">
      <formula>NOT(ISERROR(SEARCH(("Yes"),(P1062))))</formula>
    </cfRule>
  </conditionalFormatting>
  <conditionalFormatting sqref="P1062:Q1062">
    <cfRule type="containsText" dxfId="9" priority="13809" operator="containsText" text="No">
      <formula>NOT(ISERROR(SEARCH(("No"),(P1062))))</formula>
    </cfRule>
  </conditionalFormatting>
  <conditionalFormatting sqref="P1062:Q1062">
    <cfRule type="containsText" dxfId="2" priority="13810" operator="containsText" text="Yes">
      <formula>NOT(ISERROR(SEARCH(("Yes"),(P1062))))</formula>
    </cfRule>
  </conditionalFormatting>
  <conditionalFormatting sqref="P1063:Q1063">
    <cfRule type="containsText" dxfId="9" priority="13811" operator="containsText" text="No">
      <formula>NOT(ISERROR(SEARCH(("No"),(P1063))))</formula>
    </cfRule>
  </conditionalFormatting>
  <conditionalFormatting sqref="P1063:Q1063">
    <cfRule type="containsText" dxfId="2" priority="13812" operator="containsText" text="Yes">
      <formula>NOT(ISERROR(SEARCH(("Yes"),(P1063))))</formula>
    </cfRule>
  </conditionalFormatting>
  <conditionalFormatting sqref="P1063:Q1063">
    <cfRule type="containsText" dxfId="9" priority="13813" operator="containsText" text="No">
      <formula>NOT(ISERROR(SEARCH(("No"),(P1063))))</formula>
    </cfRule>
  </conditionalFormatting>
  <conditionalFormatting sqref="P1063:Q1063">
    <cfRule type="containsText" dxfId="9" priority="13814" operator="containsText" text="No">
      <formula>NOT(ISERROR(SEARCH(("No"),(P1063))))</formula>
    </cfRule>
  </conditionalFormatting>
  <conditionalFormatting sqref="P1063:Q1063">
    <cfRule type="containsText" dxfId="2" priority="13815" operator="containsText" text="Yes">
      <formula>NOT(ISERROR(SEARCH(("Yes"),(P1063))))</formula>
    </cfRule>
  </conditionalFormatting>
  <conditionalFormatting sqref="P1063:Q1063">
    <cfRule type="containsText" dxfId="2" priority="13816" operator="containsText" text="Yes">
      <formula>NOT(ISERROR(SEARCH(("Yes"),(P1063))))</formula>
    </cfRule>
  </conditionalFormatting>
  <conditionalFormatting sqref="P1063:Q1063">
    <cfRule type="containsText" dxfId="9" priority="13817" operator="containsText" text="No">
      <formula>NOT(ISERROR(SEARCH(("No"),(P1063))))</formula>
    </cfRule>
  </conditionalFormatting>
  <conditionalFormatting sqref="P1063:Q1063">
    <cfRule type="containsText" dxfId="2" priority="13818" operator="containsText" text="Yes">
      <formula>NOT(ISERROR(SEARCH(("Yes"),(P1063))))</formula>
    </cfRule>
  </conditionalFormatting>
  <conditionalFormatting sqref="P1063:Q1063">
    <cfRule type="containsText" dxfId="9" priority="13819" operator="containsText" text="No">
      <formula>NOT(ISERROR(SEARCH(("No"),(P1063))))</formula>
    </cfRule>
  </conditionalFormatting>
  <conditionalFormatting sqref="P1063:Q1063">
    <cfRule type="containsText" dxfId="2" priority="13820" operator="containsText" text="Yes">
      <formula>NOT(ISERROR(SEARCH(("Yes"),(P1063))))</formula>
    </cfRule>
  </conditionalFormatting>
  <conditionalFormatting sqref="P1063:Q1063">
    <cfRule type="containsText" dxfId="9" priority="13821" operator="containsText" text="No">
      <formula>NOT(ISERROR(SEARCH(("No"),(P1063))))</formula>
    </cfRule>
  </conditionalFormatting>
  <conditionalFormatting sqref="P1063:Q1063">
    <cfRule type="containsText" dxfId="2" priority="13822" operator="containsText" text="Yes">
      <formula>NOT(ISERROR(SEARCH(("Yes"),(P1063))))</formula>
    </cfRule>
  </conditionalFormatting>
  <conditionalFormatting sqref="P1069:Q1069">
    <cfRule type="containsText" dxfId="9" priority="13823" operator="containsText" text="No">
      <formula>NOT(ISERROR(SEARCH(("No"),(P1069))))</formula>
    </cfRule>
  </conditionalFormatting>
  <conditionalFormatting sqref="P1069:Q1069">
    <cfRule type="containsText" dxfId="2" priority="13824" operator="containsText" text="Yes">
      <formula>NOT(ISERROR(SEARCH(("Yes"),(P1069))))</formula>
    </cfRule>
  </conditionalFormatting>
  <conditionalFormatting sqref="P1069:Q1069">
    <cfRule type="containsText" dxfId="9" priority="13825" operator="containsText" text="No">
      <formula>NOT(ISERROR(SEARCH(("No"),(P1069))))</formula>
    </cfRule>
  </conditionalFormatting>
  <conditionalFormatting sqref="P1069:Q1069">
    <cfRule type="containsText" dxfId="9" priority="13826" operator="containsText" text="No">
      <formula>NOT(ISERROR(SEARCH(("No"),(P1069))))</formula>
    </cfRule>
  </conditionalFormatting>
  <conditionalFormatting sqref="P1069:Q1069">
    <cfRule type="containsText" dxfId="2" priority="13827" operator="containsText" text="Yes">
      <formula>NOT(ISERROR(SEARCH(("Yes"),(P1069))))</formula>
    </cfRule>
  </conditionalFormatting>
  <conditionalFormatting sqref="P1069:Q1069">
    <cfRule type="containsText" dxfId="2" priority="13828" operator="containsText" text="Yes">
      <formula>NOT(ISERROR(SEARCH(("Yes"),(P1069))))</formula>
    </cfRule>
  </conditionalFormatting>
  <conditionalFormatting sqref="P1069:Q1069">
    <cfRule type="containsText" dxfId="9" priority="13829" operator="containsText" text="No">
      <formula>NOT(ISERROR(SEARCH(("No"),(P1069))))</formula>
    </cfRule>
  </conditionalFormatting>
  <conditionalFormatting sqref="P1069:Q1069">
    <cfRule type="containsText" dxfId="2" priority="13830" operator="containsText" text="Yes">
      <formula>NOT(ISERROR(SEARCH(("Yes"),(P1069))))</formula>
    </cfRule>
  </conditionalFormatting>
  <conditionalFormatting sqref="P1069:Q1069">
    <cfRule type="containsText" dxfId="9" priority="13831" operator="containsText" text="No">
      <formula>NOT(ISERROR(SEARCH(("No"),(P1069))))</formula>
    </cfRule>
  </conditionalFormatting>
  <conditionalFormatting sqref="P1069:Q1069">
    <cfRule type="containsText" dxfId="2" priority="13832" operator="containsText" text="Yes">
      <formula>NOT(ISERROR(SEARCH(("Yes"),(P1069))))</formula>
    </cfRule>
  </conditionalFormatting>
  <conditionalFormatting sqref="P1069:Q1069">
    <cfRule type="containsText" dxfId="9" priority="13833" operator="containsText" text="No">
      <formula>NOT(ISERROR(SEARCH(("No"),(P1069))))</formula>
    </cfRule>
  </conditionalFormatting>
  <conditionalFormatting sqref="P1069:Q1069">
    <cfRule type="containsText" dxfId="2" priority="13834" operator="containsText" text="Yes">
      <formula>NOT(ISERROR(SEARCH(("Yes"),(P1069))))</formula>
    </cfRule>
  </conditionalFormatting>
  <conditionalFormatting sqref="P1069:Q1069">
    <cfRule type="containsText" dxfId="9" priority="13835" operator="containsText" text="No">
      <formula>NOT(ISERROR(SEARCH(("No"),(P1069))))</formula>
    </cfRule>
  </conditionalFormatting>
  <conditionalFormatting sqref="P1069:Q1069">
    <cfRule type="containsText" dxfId="2" priority="13836" operator="containsText" text="Yes">
      <formula>NOT(ISERROR(SEARCH(("Yes"),(P1069))))</formula>
    </cfRule>
  </conditionalFormatting>
  <conditionalFormatting sqref="P1070:Q1070">
    <cfRule type="containsText" dxfId="9" priority="13837" operator="containsText" text="No">
      <formula>NOT(ISERROR(SEARCH(("No"),(P1070))))</formula>
    </cfRule>
  </conditionalFormatting>
  <conditionalFormatting sqref="P1070:Q1070">
    <cfRule type="containsText" dxfId="2" priority="13838" operator="containsText" text="Yes">
      <formula>NOT(ISERROR(SEARCH(("Yes"),(P1070))))</formula>
    </cfRule>
  </conditionalFormatting>
  <conditionalFormatting sqref="P1070:Q1070">
    <cfRule type="containsText" dxfId="9" priority="13839" operator="containsText" text="No">
      <formula>NOT(ISERROR(SEARCH(("No"),(P1070))))</formula>
    </cfRule>
  </conditionalFormatting>
  <conditionalFormatting sqref="P1070:Q1070">
    <cfRule type="containsText" dxfId="9" priority="13840" operator="containsText" text="No">
      <formula>NOT(ISERROR(SEARCH(("No"),(P1070))))</formula>
    </cfRule>
  </conditionalFormatting>
  <conditionalFormatting sqref="P1070:Q1070">
    <cfRule type="containsText" dxfId="2" priority="13841" operator="containsText" text="Yes">
      <formula>NOT(ISERROR(SEARCH(("Yes"),(P1070))))</formula>
    </cfRule>
  </conditionalFormatting>
  <conditionalFormatting sqref="P1070:Q1070">
    <cfRule type="containsText" dxfId="2" priority="13842" operator="containsText" text="Yes">
      <formula>NOT(ISERROR(SEARCH(("Yes"),(P1070))))</formula>
    </cfRule>
  </conditionalFormatting>
  <conditionalFormatting sqref="P1070:Q1070">
    <cfRule type="containsText" dxfId="9" priority="13843" operator="containsText" text="No">
      <formula>NOT(ISERROR(SEARCH(("No"),(P1070))))</formula>
    </cfRule>
  </conditionalFormatting>
  <conditionalFormatting sqref="P1070:Q1070">
    <cfRule type="containsText" dxfId="2" priority="13844" operator="containsText" text="Yes">
      <formula>NOT(ISERROR(SEARCH(("Yes"),(P1070))))</formula>
    </cfRule>
  </conditionalFormatting>
  <conditionalFormatting sqref="P1070:Q1070">
    <cfRule type="containsText" dxfId="9" priority="13845" operator="containsText" text="No">
      <formula>NOT(ISERROR(SEARCH(("No"),(P1070))))</formula>
    </cfRule>
  </conditionalFormatting>
  <conditionalFormatting sqref="P1070:Q1070">
    <cfRule type="containsText" dxfId="2" priority="13846" operator="containsText" text="Yes">
      <formula>NOT(ISERROR(SEARCH(("Yes"),(P1070))))</formula>
    </cfRule>
  </conditionalFormatting>
  <conditionalFormatting sqref="P1070:Q1070">
    <cfRule type="containsText" dxfId="9" priority="13847" operator="containsText" text="No">
      <formula>NOT(ISERROR(SEARCH(("No"),(P1070))))</formula>
    </cfRule>
  </conditionalFormatting>
  <conditionalFormatting sqref="P1070:Q1070">
    <cfRule type="containsText" dxfId="2" priority="13848" operator="containsText" text="Yes">
      <formula>NOT(ISERROR(SEARCH(("Yes"),(P1070))))</formula>
    </cfRule>
  </conditionalFormatting>
  <conditionalFormatting sqref="P1070:Q1070">
    <cfRule type="containsText" dxfId="9" priority="13849" operator="containsText" text="No">
      <formula>NOT(ISERROR(SEARCH(("No"),(P1070))))</formula>
    </cfRule>
  </conditionalFormatting>
  <conditionalFormatting sqref="P1070:Q1070">
    <cfRule type="containsText" dxfId="2" priority="13850" operator="containsText" text="Yes">
      <formula>NOT(ISERROR(SEARCH(("Yes"),(P1070))))</formula>
    </cfRule>
  </conditionalFormatting>
  <conditionalFormatting sqref="P1074:Q1074">
    <cfRule type="containsText" dxfId="9" priority="13851" operator="containsText" text="No">
      <formula>NOT(ISERROR(SEARCH(("No"),(P1074))))</formula>
    </cfRule>
  </conditionalFormatting>
  <conditionalFormatting sqref="P1074:Q1074">
    <cfRule type="containsText" dxfId="2" priority="13852" operator="containsText" text="Yes">
      <formula>NOT(ISERROR(SEARCH(("Yes"),(P1074))))</formula>
    </cfRule>
  </conditionalFormatting>
  <conditionalFormatting sqref="P1074:Q1074">
    <cfRule type="containsText" dxfId="9" priority="13853" operator="containsText" text="No">
      <formula>NOT(ISERROR(SEARCH(("No"),(P1074))))</formula>
    </cfRule>
  </conditionalFormatting>
  <conditionalFormatting sqref="P1074:Q1074">
    <cfRule type="containsText" dxfId="9" priority="13854" operator="containsText" text="No">
      <formula>NOT(ISERROR(SEARCH(("No"),(P1074))))</formula>
    </cfRule>
  </conditionalFormatting>
  <conditionalFormatting sqref="P1074:Q1074">
    <cfRule type="containsText" dxfId="2" priority="13855" operator="containsText" text="Yes">
      <formula>NOT(ISERROR(SEARCH(("Yes"),(P1074))))</formula>
    </cfRule>
  </conditionalFormatting>
  <conditionalFormatting sqref="P1074:Q1074">
    <cfRule type="containsText" dxfId="2" priority="13856" operator="containsText" text="Yes">
      <formula>NOT(ISERROR(SEARCH(("Yes"),(P1074))))</formula>
    </cfRule>
  </conditionalFormatting>
  <conditionalFormatting sqref="P1074:Q1074">
    <cfRule type="containsText" dxfId="9" priority="13857" operator="containsText" text="No">
      <formula>NOT(ISERROR(SEARCH(("No"),(P1074))))</formula>
    </cfRule>
  </conditionalFormatting>
  <conditionalFormatting sqref="P1074:Q1074">
    <cfRule type="containsText" dxfId="2" priority="13858" operator="containsText" text="Yes">
      <formula>NOT(ISERROR(SEARCH(("Yes"),(P1074))))</formula>
    </cfRule>
  </conditionalFormatting>
  <conditionalFormatting sqref="P1074:Q1074">
    <cfRule type="containsText" dxfId="9" priority="13859" operator="containsText" text="No">
      <formula>NOT(ISERROR(SEARCH(("No"),(P1074))))</formula>
    </cfRule>
  </conditionalFormatting>
  <conditionalFormatting sqref="P1074:Q1074">
    <cfRule type="containsText" dxfId="2" priority="13860" operator="containsText" text="Yes">
      <formula>NOT(ISERROR(SEARCH(("Yes"),(P1074))))</formula>
    </cfRule>
  </conditionalFormatting>
  <conditionalFormatting sqref="P1074:Q1074">
    <cfRule type="containsText" dxfId="9" priority="13861" operator="containsText" text="No">
      <formula>NOT(ISERROR(SEARCH(("No"),(P1074))))</formula>
    </cfRule>
  </conditionalFormatting>
  <conditionalFormatting sqref="P1074:Q1074">
    <cfRule type="containsText" dxfId="2" priority="13862" operator="containsText" text="Yes">
      <formula>NOT(ISERROR(SEARCH(("Yes"),(P1074))))</formula>
    </cfRule>
  </conditionalFormatting>
  <conditionalFormatting sqref="P1074:Q1074">
    <cfRule type="containsText" dxfId="9" priority="13863" operator="containsText" text="No">
      <formula>NOT(ISERROR(SEARCH(("No"),(P1074))))</formula>
    </cfRule>
  </conditionalFormatting>
  <conditionalFormatting sqref="P1074:Q1074">
    <cfRule type="containsText" dxfId="2" priority="13864" operator="containsText" text="Yes">
      <formula>NOT(ISERROR(SEARCH(("Yes"),(P1074))))</formula>
    </cfRule>
  </conditionalFormatting>
  <conditionalFormatting sqref="P1078:Q1078">
    <cfRule type="containsText" dxfId="9" priority="13865" operator="containsText" text="No">
      <formula>NOT(ISERROR(SEARCH(("No"),(P1078))))</formula>
    </cfRule>
  </conditionalFormatting>
  <conditionalFormatting sqref="P1078:Q1078">
    <cfRule type="containsText" dxfId="2" priority="13866" operator="containsText" text="Yes">
      <formula>NOT(ISERROR(SEARCH(("Yes"),(P1078))))</formula>
    </cfRule>
  </conditionalFormatting>
  <conditionalFormatting sqref="P1078:Q1078">
    <cfRule type="containsText" dxfId="9" priority="13867" operator="containsText" text="No">
      <formula>NOT(ISERROR(SEARCH(("No"),(P1078))))</formula>
    </cfRule>
  </conditionalFormatting>
  <conditionalFormatting sqref="P1078:Q1078">
    <cfRule type="containsText" dxfId="9" priority="13868" operator="containsText" text="No">
      <formula>NOT(ISERROR(SEARCH(("No"),(P1078))))</formula>
    </cfRule>
  </conditionalFormatting>
  <conditionalFormatting sqref="P1078:Q1078">
    <cfRule type="containsText" dxfId="2" priority="13869" operator="containsText" text="Yes">
      <formula>NOT(ISERROR(SEARCH(("Yes"),(P1078))))</formula>
    </cfRule>
  </conditionalFormatting>
  <conditionalFormatting sqref="P1078:Q1078">
    <cfRule type="containsText" dxfId="2" priority="13870" operator="containsText" text="Yes">
      <formula>NOT(ISERROR(SEARCH(("Yes"),(P1078))))</formula>
    </cfRule>
  </conditionalFormatting>
  <conditionalFormatting sqref="P1078:Q1078">
    <cfRule type="containsText" dxfId="9" priority="13871" operator="containsText" text="No">
      <formula>NOT(ISERROR(SEARCH(("No"),(P1078))))</formula>
    </cfRule>
  </conditionalFormatting>
  <conditionalFormatting sqref="P1078:Q1078">
    <cfRule type="containsText" dxfId="2" priority="13872" operator="containsText" text="Yes">
      <formula>NOT(ISERROR(SEARCH(("Yes"),(P1078))))</formula>
    </cfRule>
  </conditionalFormatting>
  <conditionalFormatting sqref="P1078:Q1078">
    <cfRule type="containsText" dxfId="9" priority="13873" operator="containsText" text="No">
      <formula>NOT(ISERROR(SEARCH(("No"),(P1078))))</formula>
    </cfRule>
  </conditionalFormatting>
  <conditionalFormatting sqref="P1078:Q1078">
    <cfRule type="containsText" dxfId="2" priority="13874" operator="containsText" text="Yes">
      <formula>NOT(ISERROR(SEARCH(("Yes"),(P1078))))</formula>
    </cfRule>
  </conditionalFormatting>
  <conditionalFormatting sqref="P1078:Q1078">
    <cfRule type="containsText" dxfId="9" priority="13875" operator="containsText" text="No">
      <formula>NOT(ISERROR(SEARCH(("No"),(P1078))))</formula>
    </cfRule>
  </conditionalFormatting>
  <conditionalFormatting sqref="P1078:Q1078">
    <cfRule type="containsText" dxfId="2" priority="13876" operator="containsText" text="Yes">
      <formula>NOT(ISERROR(SEARCH(("Yes"),(P1078))))</formula>
    </cfRule>
  </conditionalFormatting>
  <conditionalFormatting sqref="P1078:Q1078">
    <cfRule type="containsText" dxfId="9" priority="13877" operator="containsText" text="No">
      <formula>NOT(ISERROR(SEARCH(("No"),(P1078))))</formula>
    </cfRule>
  </conditionalFormatting>
  <conditionalFormatting sqref="P1078:Q1078">
    <cfRule type="containsText" dxfId="2" priority="13878" operator="containsText" text="Yes">
      <formula>NOT(ISERROR(SEARCH(("Yes"),(P1078))))</formula>
    </cfRule>
  </conditionalFormatting>
  <conditionalFormatting sqref="P1122:Q1122">
    <cfRule type="containsText" dxfId="9" priority="13879" operator="containsText" text="No">
      <formula>NOT(ISERROR(SEARCH(("No"),(P1122))))</formula>
    </cfRule>
  </conditionalFormatting>
  <conditionalFormatting sqref="P1122:Q1122">
    <cfRule type="containsText" dxfId="2" priority="13880" operator="containsText" text="Yes">
      <formula>NOT(ISERROR(SEARCH(("Yes"),(P1122))))</formula>
    </cfRule>
  </conditionalFormatting>
  <conditionalFormatting sqref="P1122:Q1122">
    <cfRule type="containsText" dxfId="9" priority="13881" operator="containsText" text="No">
      <formula>NOT(ISERROR(SEARCH(("No"),(P1122))))</formula>
    </cfRule>
  </conditionalFormatting>
  <conditionalFormatting sqref="P1122:Q1122">
    <cfRule type="containsText" dxfId="2" priority="13882" operator="containsText" text="Yes">
      <formula>NOT(ISERROR(SEARCH(("Yes"),(P1122))))</formula>
    </cfRule>
  </conditionalFormatting>
  <conditionalFormatting sqref="P1122:Q1122">
    <cfRule type="containsText" dxfId="9" priority="13883" operator="containsText" text="No">
      <formula>NOT(ISERROR(SEARCH(("No"),(P1122))))</formula>
    </cfRule>
  </conditionalFormatting>
  <conditionalFormatting sqref="P1122:Q1122">
    <cfRule type="containsText" dxfId="2" priority="13884" operator="containsText" text="Yes">
      <formula>NOT(ISERROR(SEARCH(("Yes"),(P1122))))</formula>
    </cfRule>
  </conditionalFormatting>
  <conditionalFormatting sqref="P1122:Q1122">
    <cfRule type="containsText" dxfId="9" priority="13885" operator="containsText" text="No">
      <formula>NOT(ISERROR(SEARCH(("No"),(P1122))))</formula>
    </cfRule>
  </conditionalFormatting>
  <conditionalFormatting sqref="P1122:Q1122">
    <cfRule type="containsText" dxfId="2" priority="13886" operator="containsText" text="Yes">
      <formula>NOT(ISERROR(SEARCH(("Yes"),(P1122))))</formula>
    </cfRule>
  </conditionalFormatting>
  <conditionalFormatting sqref="P1122:Q1122">
    <cfRule type="containsText" dxfId="9" priority="13887" operator="containsText" text="No">
      <formula>NOT(ISERROR(SEARCH(("No"),(P1122))))</formula>
    </cfRule>
  </conditionalFormatting>
  <conditionalFormatting sqref="P1122:Q1122">
    <cfRule type="containsText" dxfId="2" priority="13888" operator="containsText" text="Yes">
      <formula>NOT(ISERROR(SEARCH(("Yes"),(P1122))))</formula>
    </cfRule>
  </conditionalFormatting>
  <conditionalFormatting sqref="P1122:Q1122">
    <cfRule type="containsText" dxfId="9" priority="13889" operator="containsText" text="No">
      <formula>NOT(ISERROR(SEARCH(("No"),(P1122))))</formula>
    </cfRule>
  </conditionalFormatting>
  <conditionalFormatting sqref="P1122:Q1122">
    <cfRule type="containsText" dxfId="2" priority="13890" operator="containsText" text="Yes">
      <formula>NOT(ISERROR(SEARCH(("Yes"),(P1122))))</formula>
    </cfRule>
  </conditionalFormatting>
  <conditionalFormatting sqref="P1122:Q1122">
    <cfRule type="containsText" dxfId="9" priority="13891" operator="containsText" text="No">
      <formula>NOT(ISERROR(SEARCH(("No"),(P1122))))</formula>
    </cfRule>
  </conditionalFormatting>
  <conditionalFormatting sqref="P1122:Q1122">
    <cfRule type="containsText" dxfId="2" priority="13892" operator="containsText" text="Yes">
      <formula>NOT(ISERROR(SEARCH(("Yes"),(P1122))))</formula>
    </cfRule>
  </conditionalFormatting>
  <conditionalFormatting sqref="P1122:Q1122">
    <cfRule type="containsText" dxfId="9" priority="13893" operator="containsText" text="No">
      <formula>NOT(ISERROR(SEARCH(("No"),(P1122))))</formula>
    </cfRule>
  </conditionalFormatting>
  <conditionalFormatting sqref="P1122:Q1122">
    <cfRule type="containsText" dxfId="2" priority="13894" operator="containsText" text="Yes">
      <formula>NOT(ISERROR(SEARCH(("Yes"),(P1122))))</formula>
    </cfRule>
  </conditionalFormatting>
  <conditionalFormatting sqref="P1122:Q1122">
    <cfRule type="containsText" dxfId="9" priority="13895" operator="containsText" text="No">
      <formula>NOT(ISERROR(SEARCH(("No"),(P1122))))</formula>
    </cfRule>
  </conditionalFormatting>
  <conditionalFormatting sqref="P1122:Q1122">
    <cfRule type="containsText" dxfId="2" priority="13896" operator="containsText" text="Yes">
      <formula>NOT(ISERROR(SEARCH(("Yes"),(P1122))))</formula>
    </cfRule>
  </conditionalFormatting>
  <conditionalFormatting sqref="P1122:Q1122">
    <cfRule type="containsText" dxfId="2" priority="13897" operator="containsText" text="Yes">
      <formula>NOT(ISERROR(SEARCH(("Yes"),(P1122))))</formula>
    </cfRule>
  </conditionalFormatting>
  <conditionalFormatting sqref="P1122:Q1122">
    <cfRule type="containsText" dxfId="9" priority="13898" operator="containsText" text="No">
      <formula>NOT(ISERROR(SEARCH(("No"),(P1122))))</formula>
    </cfRule>
  </conditionalFormatting>
  <conditionalFormatting sqref="P1122:Q1122">
    <cfRule type="containsText" dxfId="2" priority="13899" operator="containsText" text="Yes">
      <formula>NOT(ISERROR(SEARCH(("Yes"),(P1122))))</formula>
    </cfRule>
  </conditionalFormatting>
  <conditionalFormatting sqref="P1122:Q1122">
    <cfRule type="containsText" dxfId="9" priority="13900" operator="containsText" text="No">
      <formula>NOT(ISERROR(SEARCH(("No"),(P1122))))</formula>
    </cfRule>
  </conditionalFormatting>
  <conditionalFormatting sqref="P1122:Q1122">
    <cfRule type="containsText" dxfId="2" priority="13901" operator="containsText" text="Yes">
      <formula>NOT(ISERROR(SEARCH(("Yes"),(P1122))))</formula>
    </cfRule>
  </conditionalFormatting>
  <conditionalFormatting sqref="P1122:Q1122">
    <cfRule type="containsText" dxfId="9" priority="13902" operator="containsText" text="No">
      <formula>NOT(ISERROR(SEARCH(("No"),(P1122))))</formula>
    </cfRule>
  </conditionalFormatting>
  <conditionalFormatting sqref="P1122:Q1122">
    <cfRule type="containsText" dxfId="2" priority="13903" operator="containsText" text="Yes">
      <formula>NOT(ISERROR(SEARCH(("Yes"),(P1122))))</formula>
    </cfRule>
  </conditionalFormatting>
  <conditionalFormatting sqref="P1122:Q1122">
    <cfRule type="containsText" dxfId="9" priority="13904" operator="containsText" text="No">
      <formula>NOT(ISERROR(SEARCH(("No"),(P1122))))</formula>
    </cfRule>
  </conditionalFormatting>
  <conditionalFormatting sqref="P1122:Q1122">
    <cfRule type="containsText" dxfId="2" priority="13905" operator="containsText" text="Yes">
      <formula>NOT(ISERROR(SEARCH(("Yes"),(P1122))))</formula>
    </cfRule>
  </conditionalFormatting>
  <conditionalFormatting sqref="P1122:Q1122">
    <cfRule type="containsText" dxfId="9" priority="13906" operator="containsText" text="No">
      <formula>NOT(ISERROR(SEARCH(("No"),(P1122))))</formula>
    </cfRule>
  </conditionalFormatting>
  <conditionalFormatting sqref="P1122:Q1122">
    <cfRule type="containsText" dxfId="2" priority="13907" operator="containsText" text="Yes">
      <formula>NOT(ISERROR(SEARCH(("Yes"),(P1122))))</formula>
    </cfRule>
  </conditionalFormatting>
  <conditionalFormatting sqref="P1122:Q1122">
    <cfRule type="containsText" dxfId="9" priority="13908" operator="containsText" text="No">
      <formula>NOT(ISERROR(SEARCH(("No"),(P1122))))</formula>
    </cfRule>
  </conditionalFormatting>
  <conditionalFormatting sqref="P1122:Q1122">
    <cfRule type="containsText" dxfId="2" priority="13909" operator="containsText" text="Yes">
      <formula>NOT(ISERROR(SEARCH(("Yes"),(P1122))))</formula>
    </cfRule>
  </conditionalFormatting>
  <conditionalFormatting sqref="P1122:Q1122">
    <cfRule type="containsText" dxfId="9" priority="13910" operator="containsText" text="No">
      <formula>NOT(ISERROR(SEARCH(("No"),(P1122))))</formula>
    </cfRule>
  </conditionalFormatting>
  <conditionalFormatting sqref="P1122:Q1122">
    <cfRule type="containsText" dxfId="2" priority="13911" operator="containsText" text="Yes">
      <formula>NOT(ISERROR(SEARCH(("Yes"),(P1122))))</formula>
    </cfRule>
  </conditionalFormatting>
  <conditionalFormatting sqref="P1122:Q1122">
    <cfRule type="containsText" dxfId="9" priority="13912" operator="containsText" text="No">
      <formula>NOT(ISERROR(SEARCH(("No"),(P1122))))</formula>
    </cfRule>
  </conditionalFormatting>
  <conditionalFormatting sqref="P1122:Q1122">
    <cfRule type="containsText" dxfId="2" priority="13913" operator="containsText" text="Yes">
      <formula>NOT(ISERROR(SEARCH(("Yes"),(P1122))))</formula>
    </cfRule>
  </conditionalFormatting>
  <conditionalFormatting sqref="P1122:Q1122">
    <cfRule type="containsText" dxfId="9" priority="13914" operator="containsText" text="No">
      <formula>NOT(ISERROR(SEARCH(("No"),(P1122))))</formula>
    </cfRule>
  </conditionalFormatting>
  <conditionalFormatting sqref="P1122:Q1122">
    <cfRule type="containsText" dxfId="2" priority="13915" operator="containsText" text="Yes">
      <formula>NOT(ISERROR(SEARCH(("Yes"),(P1122))))</formula>
    </cfRule>
  </conditionalFormatting>
  <conditionalFormatting sqref="P1122:Q1122">
    <cfRule type="containsText" dxfId="9" priority="13916" operator="containsText" text="No">
      <formula>NOT(ISERROR(SEARCH(("No"),(P1122))))</formula>
    </cfRule>
  </conditionalFormatting>
  <conditionalFormatting sqref="P1122:Q1122">
    <cfRule type="containsText" dxfId="2" priority="13917" operator="containsText" text="Yes">
      <formula>NOT(ISERROR(SEARCH(("Yes"),(P1122))))</formula>
    </cfRule>
  </conditionalFormatting>
  <conditionalFormatting sqref="P1122:Q1122">
    <cfRule type="containsText" dxfId="9" priority="13918" operator="containsText" text="No">
      <formula>NOT(ISERROR(SEARCH(("No"),(P1122))))</formula>
    </cfRule>
  </conditionalFormatting>
  <conditionalFormatting sqref="P1122:Q1122">
    <cfRule type="containsText" dxfId="2" priority="13919" operator="containsText" text="Yes">
      <formula>NOT(ISERROR(SEARCH(("Yes"),(P1122))))</formula>
    </cfRule>
  </conditionalFormatting>
  <conditionalFormatting sqref="P1122:Q1122">
    <cfRule type="containsText" dxfId="9" priority="13920" operator="containsText" text="No">
      <formula>NOT(ISERROR(SEARCH(("No"),(P1122))))</formula>
    </cfRule>
  </conditionalFormatting>
  <conditionalFormatting sqref="P1122:Q1122">
    <cfRule type="containsText" dxfId="2" priority="13921" operator="containsText" text="Yes">
      <formula>NOT(ISERROR(SEARCH(("Yes"),(P1122))))</formula>
    </cfRule>
  </conditionalFormatting>
  <conditionalFormatting sqref="P1122:Q1122">
    <cfRule type="containsText" dxfId="9" priority="13922" operator="containsText" text="No">
      <formula>NOT(ISERROR(SEARCH(("No"),(P1122))))</formula>
    </cfRule>
  </conditionalFormatting>
  <conditionalFormatting sqref="P1122:Q1122">
    <cfRule type="containsText" dxfId="2" priority="13923" operator="containsText" text="Yes">
      <formula>NOT(ISERROR(SEARCH(("Yes"),(P1122))))</formula>
    </cfRule>
  </conditionalFormatting>
  <conditionalFormatting sqref="P1122:Q1122">
    <cfRule type="containsText" dxfId="9" priority="13924" operator="containsText" text="No">
      <formula>NOT(ISERROR(SEARCH(("No"),(P1122))))</formula>
    </cfRule>
  </conditionalFormatting>
  <conditionalFormatting sqref="P1122:Q1122">
    <cfRule type="containsText" dxfId="2" priority="13925" operator="containsText" text="Yes">
      <formula>NOT(ISERROR(SEARCH(("Yes"),(P1122))))</formula>
    </cfRule>
  </conditionalFormatting>
  <conditionalFormatting sqref="P1122:Q1122">
    <cfRule type="containsText" dxfId="9" priority="13926" operator="containsText" text="No">
      <formula>NOT(ISERROR(SEARCH(("No"),(P1122))))</formula>
    </cfRule>
  </conditionalFormatting>
  <conditionalFormatting sqref="P1122:Q1122">
    <cfRule type="containsText" dxfId="2" priority="13927" operator="containsText" text="Yes">
      <formula>NOT(ISERROR(SEARCH(("Yes"),(P1122))))</formula>
    </cfRule>
  </conditionalFormatting>
  <conditionalFormatting sqref="P1122:Q1122">
    <cfRule type="containsText" dxfId="9" priority="13928" operator="containsText" text="No">
      <formula>NOT(ISERROR(SEARCH(("No"),(P1122))))</formula>
    </cfRule>
  </conditionalFormatting>
  <conditionalFormatting sqref="P1122:Q1122">
    <cfRule type="containsText" dxfId="2" priority="13929" operator="containsText" text="Yes">
      <formula>NOT(ISERROR(SEARCH(("Yes"),(P1122))))</formula>
    </cfRule>
  </conditionalFormatting>
  <conditionalFormatting sqref="P1122:Q1122">
    <cfRule type="containsText" dxfId="9" priority="13930" operator="containsText" text="No">
      <formula>NOT(ISERROR(SEARCH(("No"),(P1122))))</formula>
    </cfRule>
  </conditionalFormatting>
  <conditionalFormatting sqref="P1122:Q1122">
    <cfRule type="containsText" dxfId="2" priority="13931" operator="containsText" text="Yes">
      <formula>NOT(ISERROR(SEARCH(("Yes"),(P1122))))</formula>
    </cfRule>
  </conditionalFormatting>
  <conditionalFormatting sqref="P1122:Q1122">
    <cfRule type="containsText" dxfId="9" priority="13932" operator="containsText" text="No">
      <formula>NOT(ISERROR(SEARCH(("No"),(P1122))))</formula>
    </cfRule>
  </conditionalFormatting>
  <conditionalFormatting sqref="P1122:Q1122">
    <cfRule type="containsText" dxfId="2" priority="13933" operator="containsText" text="Yes">
      <formula>NOT(ISERROR(SEARCH(("Yes"),(P1122))))</formula>
    </cfRule>
  </conditionalFormatting>
  <conditionalFormatting sqref="P1122:Q1122">
    <cfRule type="containsText" dxfId="9" priority="13934" operator="containsText" text="No">
      <formula>NOT(ISERROR(SEARCH(("No"),(P1122))))</formula>
    </cfRule>
  </conditionalFormatting>
  <conditionalFormatting sqref="P1122:Q1122">
    <cfRule type="containsText" dxfId="2" priority="13935" operator="containsText" text="Yes">
      <formula>NOT(ISERROR(SEARCH(("Yes"),(P1122))))</formula>
    </cfRule>
  </conditionalFormatting>
  <conditionalFormatting sqref="P1122:Q1122">
    <cfRule type="containsText" dxfId="9" priority="13936" operator="containsText" text="No">
      <formula>NOT(ISERROR(SEARCH(("No"),(P1122))))</formula>
    </cfRule>
  </conditionalFormatting>
  <conditionalFormatting sqref="P1122:Q1122">
    <cfRule type="containsText" dxfId="2" priority="13937" operator="containsText" text="Yes">
      <formula>NOT(ISERROR(SEARCH(("Yes"),(P1122))))</formula>
    </cfRule>
  </conditionalFormatting>
  <conditionalFormatting sqref="P1122:Q1122">
    <cfRule type="containsText" dxfId="9" priority="13938" operator="containsText" text="No">
      <formula>NOT(ISERROR(SEARCH(("No"),(P1122))))</formula>
    </cfRule>
  </conditionalFormatting>
  <conditionalFormatting sqref="P1122:Q1122">
    <cfRule type="containsText" dxfId="2" priority="13939" operator="containsText" text="Yes">
      <formula>NOT(ISERROR(SEARCH(("Yes"),(P1122))))</formula>
    </cfRule>
  </conditionalFormatting>
  <conditionalFormatting sqref="P1122:Q1122">
    <cfRule type="containsText" dxfId="9" priority="13940" operator="containsText" text="No">
      <formula>NOT(ISERROR(SEARCH(("No"),(P1122))))</formula>
    </cfRule>
  </conditionalFormatting>
  <conditionalFormatting sqref="P1122:Q1122">
    <cfRule type="containsText" dxfId="2" priority="13941" operator="containsText" text="Yes">
      <formula>NOT(ISERROR(SEARCH(("Yes"),(P1122))))</formula>
    </cfRule>
  </conditionalFormatting>
  <conditionalFormatting sqref="P1122:Q1122">
    <cfRule type="containsText" dxfId="9" priority="13942" operator="containsText" text="No">
      <formula>NOT(ISERROR(SEARCH(("No"),(P1122))))</formula>
    </cfRule>
  </conditionalFormatting>
  <conditionalFormatting sqref="P1122:Q1122">
    <cfRule type="containsText" dxfId="2" priority="13943" operator="containsText" text="Yes">
      <formula>NOT(ISERROR(SEARCH(("Yes"),(P1122))))</formula>
    </cfRule>
  </conditionalFormatting>
  <conditionalFormatting sqref="P1122:Q1122">
    <cfRule type="containsText" dxfId="9" priority="13944" operator="containsText" text="No">
      <formula>NOT(ISERROR(SEARCH(("No"),(P1122))))</formula>
    </cfRule>
  </conditionalFormatting>
  <conditionalFormatting sqref="P1122:Q1122">
    <cfRule type="containsText" dxfId="2" priority="13945" operator="containsText" text="Yes">
      <formula>NOT(ISERROR(SEARCH(("Yes"),(P1122))))</formula>
    </cfRule>
  </conditionalFormatting>
  <conditionalFormatting sqref="P1122:Q1122">
    <cfRule type="containsText" dxfId="9" priority="13946" operator="containsText" text="No">
      <formula>NOT(ISERROR(SEARCH(("No"),(P1122))))</formula>
    </cfRule>
  </conditionalFormatting>
  <conditionalFormatting sqref="P1122:Q1122">
    <cfRule type="containsText" dxfId="2" priority="13947" operator="containsText" text="Yes">
      <formula>NOT(ISERROR(SEARCH(("Yes"),(P1122))))</formula>
    </cfRule>
  </conditionalFormatting>
  <conditionalFormatting sqref="P1122:Q1122">
    <cfRule type="containsText" dxfId="9" priority="13948" operator="containsText" text="No">
      <formula>NOT(ISERROR(SEARCH(("No"),(P1122))))</formula>
    </cfRule>
  </conditionalFormatting>
  <conditionalFormatting sqref="P1122:Q1122">
    <cfRule type="containsText" dxfId="2" priority="13949" operator="containsText" text="Yes">
      <formula>NOT(ISERROR(SEARCH(("Yes"),(P1122))))</formula>
    </cfRule>
  </conditionalFormatting>
  <conditionalFormatting sqref="P1122:Q1122">
    <cfRule type="containsText" dxfId="9" priority="13950" operator="containsText" text="No">
      <formula>NOT(ISERROR(SEARCH(("No"),(P1122))))</formula>
    </cfRule>
  </conditionalFormatting>
  <conditionalFormatting sqref="P1122:Q1122">
    <cfRule type="containsText" dxfId="2" priority="13951" operator="containsText" text="Yes">
      <formula>NOT(ISERROR(SEARCH(("Yes"),(P1122))))</formula>
    </cfRule>
  </conditionalFormatting>
  <conditionalFormatting sqref="P1122:Q1122">
    <cfRule type="containsText" dxfId="9" priority="13952" operator="containsText" text="No">
      <formula>NOT(ISERROR(SEARCH(("No"),(P1122))))</formula>
    </cfRule>
  </conditionalFormatting>
  <conditionalFormatting sqref="P1122:Q1122">
    <cfRule type="containsText" dxfId="2" priority="13953" operator="containsText" text="Yes">
      <formula>NOT(ISERROR(SEARCH(("Yes"),(P1122))))</formula>
    </cfRule>
  </conditionalFormatting>
  <conditionalFormatting sqref="P1122:Q1122">
    <cfRule type="containsText" dxfId="9" priority="13954" operator="containsText" text="No">
      <formula>NOT(ISERROR(SEARCH(("No"),(P1122))))</formula>
    </cfRule>
  </conditionalFormatting>
  <conditionalFormatting sqref="P1122:Q1122">
    <cfRule type="containsText" dxfId="2" priority="13955" operator="containsText" text="Yes">
      <formula>NOT(ISERROR(SEARCH(("Yes"),(P1122))))</formula>
    </cfRule>
  </conditionalFormatting>
  <conditionalFormatting sqref="P1122:Q1122">
    <cfRule type="containsText" dxfId="9" priority="13956" operator="containsText" text="No">
      <formula>NOT(ISERROR(SEARCH(("No"),(P1122))))</formula>
    </cfRule>
  </conditionalFormatting>
  <conditionalFormatting sqref="P1122:Q1122">
    <cfRule type="containsText" dxfId="2" priority="13957" operator="containsText" text="Yes">
      <formula>NOT(ISERROR(SEARCH(("Yes"),(P1122))))</formula>
    </cfRule>
  </conditionalFormatting>
  <conditionalFormatting sqref="P1122:Q1122">
    <cfRule type="containsText" dxfId="9" priority="13958" operator="containsText" text="No">
      <formula>NOT(ISERROR(SEARCH(("No"),(P1122))))</formula>
    </cfRule>
  </conditionalFormatting>
  <conditionalFormatting sqref="P1122:Q1122">
    <cfRule type="containsText" dxfId="2" priority="13959" operator="containsText" text="Yes">
      <formula>NOT(ISERROR(SEARCH(("Yes"),(P1122))))</formula>
    </cfRule>
  </conditionalFormatting>
  <conditionalFormatting sqref="P1122:Q1122">
    <cfRule type="containsText" dxfId="9" priority="13960" operator="containsText" text="No">
      <formula>NOT(ISERROR(SEARCH(("No"),(P1122))))</formula>
    </cfRule>
  </conditionalFormatting>
  <conditionalFormatting sqref="P1122:Q1122">
    <cfRule type="containsText" dxfId="2" priority="13961" operator="containsText" text="Yes">
      <formula>NOT(ISERROR(SEARCH(("Yes"),(P1122))))</formula>
    </cfRule>
  </conditionalFormatting>
  <conditionalFormatting sqref="P1122:Q1122">
    <cfRule type="containsText" dxfId="9" priority="13962" operator="containsText" text="No">
      <formula>NOT(ISERROR(SEARCH(("No"),(P1122))))</formula>
    </cfRule>
  </conditionalFormatting>
  <conditionalFormatting sqref="P1122:Q1122">
    <cfRule type="containsText" dxfId="2" priority="13963" operator="containsText" text="Yes">
      <formula>NOT(ISERROR(SEARCH(("Yes"),(P1122))))</formula>
    </cfRule>
  </conditionalFormatting>
  <conditionalFormatting sqref="P1122:Q1122">
    <cfRule type="containsText" dxfId="9" priority="13964" operator="containsText" text="No">
      <formula>NOT(ISERROR(SEARCH(("No"),(P1122))))</formula>
    </cfRule>
  </conditionalFormatting>
  <conditionalFormatting sqref="P1122:Q1122">
    <cfRule type="containsText" dxfId="2" priority="13965" operator="containsText" text="Yes">
      <formula>NOT(ISERROR(SEARCH(("Yes"),(P1122))))</formula>
    </cfRule>
  </conditionalFormatting>
  <conditionalFormatting sqref="P1122:Q1122">
    <cfRule type="containsText" dxfId="9" priority="13966" operator="containsText" text="No">
      <formula>NOT(ISERROR(SEARCH(("No"),(P1122))))</formula>
    </cfRule>
  </conditionalFormatting>
  <conditionalFormatting sqref="P1122:Q1122">
    <cfRule type="containsText" dxfId="2" priority="13967" operator="containsText" text="Yes">
      <formula>NOT(ISERROR(SEARCH(("Yes"),(P1122))))</formula>
    </cfRule>
  </conditionalFormatting>
  <conditionalFormatting sqref="P1122:Q1122">
    <cfRule type="containsText" dxfId="2" priority="13968" operator="containsText" text="Yes">
      <formula>NOT(ISERROR(SEARCH(("Yes"),(P1122))))</formula>
    </cfRule>
  </conditionalFormatting>
  <conditionalFormatting sqref="P1122:Q1122">
    <cfRule type="containsText" dxfId="9" priority="13969" operator="containsText" text="No">
      <formula>NOT(ISERROR(SEARCH(("No"),(P1122))))</formula>
    </cfRule>
  </conditionalFormatting>
  <conditionalFormatting sqref="P1122:Q1122">
    <cfRule type="containsText" dxfId="2" priority="13970" operator="containsText" text="Yes">
      <formula>NOT(ISERROR(SEARCH(("Yes"),(P1122))))</formula>
    </cfRule>
  </conditionalFormatting>
  <conditionalFormatting sqref="P1431:Q1431">
    <cfRule type="containsText" dxfId="9" priority="13971" operator="containsText" text="No">
      <formula>NOT(ISERROR(SEARCH(("No"),(P1431))))</formula>
    </cfRule>
  </conditionalFormatting>
  <conditionalFormatting sqref="P1431:Q1431">
    <cfRule type="containsText" dxfId="2" priority="13972" operator="containsText" text="Yes">
      <formula>NOT(ISERROR(SEARCH(("Yes"),(P1431))))</formula>
    </cfRule>
  </conditionalFormatting>
  <conditionalFormatting sqref="Q576 Q587:Q589 Q591 Q593 Q595:Q627 Q632:Q633 Q638 Q641 Q643 Q645 Q647:Q651 Q653:Q654 Q657 Q659:Q661 Q663 Q666:Q669 Q674 Q676:Q677 Q679 Q681 Q684:Q685 Q688 Q690 Q692 V692">
    <cfRule type="containsText" dxfId="9" priority="13973" operator="containsText" text="No">
      <formula>NOT(ISERROR(SEARCH(("No"),(Q576))))</formula>
    </cfRule>
  </conditionalFormatting>
  <conditionalFormatting sqref="Q576">
    <cfRule type="containsText" dxfId="2" priority="13974" operator="containsText" text="Yes">
      <formula>NOT(ISERROR(SEARCH(("Yes"),(Q576))))</formula>
    </cfRule>
  </conditionalFormatting>
  <conditionalFormatting sqref="Q628:Q631">
    <cfRule type="containsText" dxfId="9" priority="13975" operator="containsText" text="No">
      <formula>NOT(ISERROR(SEARCH(("No"),(Q628))))</formula>
    </cfRule>
  </conditionalFormatting>
  <conditionalFormatting sqref="Q628:Q631">
    <cfRule type="containsText" dxfId="2" priority="13976" operator="containsText" text="Yes">
      <formula>NOT(ISERROR(SEARCH(("Yes"),(Q628))))</formula>
    </cfRule>
  </conditionalFormatting>
  <conditionalFormatting sqref="Q629:Q637 Q639:Q669 Q671:Q692 V692">
    <cfRule type="containsText" dxfId="9" priority="13977" operator="containsText" text="No">
      <formula>NOT(ISERROR(SEARCH(("No"),(Q629))))</formula>
    </cfRule>
  </conditionalFormatting>
  <conditionalFormatting sqref="Q629:Q637 Q639:Q669 Q671:Q692 V692">
    <cfRule type="containsText" dxfId="2" priority="13978" operator="containsText" text="Yes">
      <formula>NOT(ISERROR(SEARCH(("Yes"),(Q629))))</formula>
    </cfRule>
  </conditionalFormatting>
  <conditionalFormatting sqref="Q637 Q648:Q651 Q653:Q654 Q657 Q659:Q661 Q663 Q666:Q669 Q674 Q676:Q677 Q679 Q681 Q684:Q685 Q688 Q690 Q692 V692">
    <cfRule type="containsText" dxfId="9" priority="13979" operator="containsText" text="No">
      <formula>NOT(ISERROR(SEARCH(("No"),(Q637))))</formula>
    </cfRule>
  </conditionalFormatting>
  <conditionalFormatting sqref="Q637 Q648:Q651 Q653:Q654 Q657 Q659:Q661 Q663 Q666:Q669 Q674 Q676:Q677 Q679 Q681 Q684:Q685 Q688 Q690 Q692 V692">
    <cfRule type="containsText" dxfId="2" priority="13980" operator="containsText" text="Yes">
      <formula>NOT(ISERROR(SEARCH(("Yes"),(Q637))))</formula>
    </cfRule>
  </conditionalFormatting>
  <conditionalFormatting sqref="Q638:Q669 Q671:Q692 V692">
    <cfRule type="containsText" dxfId="9" priority="13981" operator="containsText" text="No">
      <formula>NOT(ISERROR(SEARCH(("No"),(Q638))))</formula>
    </cfRule>
  </conditionalFormatting>
  <conditionalFormatting sqref="Q638:Q669 Q671:Q692 V692">
    <cfRule type="containsText" dxfId="2" priority="13982" operator="containsText" text="Yes">
      <formula>NOT(ISERROR(SEARCH(("Yes"),(Q638))))</formula>
    </cfRule>
  </conditionalFormatting>
  <conditionalFormatting sqref="Q647:Q651 Q653:Q654 Q657 Q659:Q661 Q663 Q666:Q669 Q674 Q676:Q677 Q679 Q681 Q684:Q685 Q688 Q690 Q692 V692">
    <cfRule type="containsText" dxfId="9" priority="13983" operator="containsText" text="No">
      <formula>NOT(ISERROR(SEARCH(("No"),(Q647))))</formula>
    </cfRule>
  </conditionalFormatting>
  <conditionalFormatting sqref="Q647:Q651 Q653:Q654 Q657 Q659:Q661 Q663 Q666:Q669 Q674 Q676:Q677 Q679 Q681 Q684:Q685 Q688 Q690 Q692 V692">
    <cfRule type="containsText" dxfId="2" priority="13984" operator="containsText" text="Yes">
      <formula>NOT(ISERROR(SEARCH(("Yes"),(Q647))))</formula>
    </cfRule>
  </conditionalFormatting>
  <conditionalFormatting sqref="Q649:Q669 Q671:Q692 V692">
    <cfRule type="containsText" dxfId="9" priority="13985" operator="containsText" text="No">
      <formula>NOT(ISERROR(SEARCH(("No"),(Q649))))</formula>
    </cfRule>
  </conditionalFormatting>
  <conditionalFormatting sqref="Q649:Q669 Q671:Q692 V692">
    <cfRule type="containsText" dxfId="2" priority="13986" operator="containsText" text="Yes">
      <formula>NOT(ISERROR(SEARCH(("Yes"),(Q649))))</formula>
    </cfRule>
  </conditionalFormatting>
  <conditionalFormatting sqref="Q661:Q669 Q671:Q692 V692">
    <cfRule type="containsText" dxfId="9" priority="13987" operator="containsText" text="No">
      <formula>NOT(ISERROR(SEARCH(("No"),(Q661))))</formula>
    </cfRule>
  </conditionalFormatting>
  <conditionalFormatting sqref="Q661:Q669 Q671:Q692 V692">
    <cfRule type="containsText" dxfId="2" priority="13988" operator="containsText" text="Yes">
      <formula>NOT(ISERROR(SEARCH(("Yes"),(Q661))))</formula>
    </cfRule>
  </conditionalFormatting>
  <conditionalFormatting sqref="Q665 Q671:Q673 Q675 Q678 Q680 Q682:Q683 Q686:Q687 Q689 Q691">
    <cfRule type="containsText" dxfId="9" priority="13989" operator="containsText" text="No">
      <formula>NOT(ISERROR(SEARCH(("No"),(Q665))))</formula>
    </cfRule>
  </conditionalFormatting>
  <conditionalFormatting sqref="Q665 Q671:Q673 Q675 Q678 Q680 Q682:Q683 Q686:Q687 Q689 Q691">
    <cfRule type="containsText" dxfId="9" priority="13990" operator="containsText" text="No">
      <formula>NOT(ISERROR(SEARCH(("No"),(Q665))))</formula>
    </cfRule>
  </conditionalFormatting>
  <conditionalFormatting sqref="Q665 Q671:Q673 Q675 Q678 Q680 Q682:Q683 Q686:Q687 Q689 Q691">
    <cfRule type="containsText" dxfId="2" priority="13991" operator="containsText" text="Yes">
      <formula>NOT(ISERROR(SEARCH(("Yes"),(Q665))))</formula>
    </cfRule>
  </conditionalFormatting>
  <conditionalFormatting sqref="Q665 Q671:Q673 Q675 Q678 Q680 Q682:Q683 Q686:Q687 Q689 Q691">
    <cfRule type="containsText" dxfId="2" priority="13992" operator="containsText" text="Yes">
      <formula>NOT(ISERROR(SEARCH(("Yes"),(Q665))))</formula>
    </cfRule>
  </conditionalFormatting>
  <conditionalFormatting sqref="Q665 Q671:Q673 Q675 Q678 Q680 Q682:Q683 Q686:Q687 Q689 Q691">
    <cfRule type="containsText" dxfId="9" priority="13993" operator="containsText" text="No">
      <formula>NOT(ISERROR(SEARCH(("No"),(Q665))))</formula>
    </cfRule>
  </conditionalFormatting>
  <conditionalFormatting sqref="Q665 Q671:Q673 Q675 Q678 Q680 Q682:Q683 Q686:Q687 Q689 Q691">
    <cfRule type="containsText" dxfId="2" priority="13994" operator="containsText" text="Yes">
      <formula>NOT(ISERROR(SEARCH(("Yes"),(Q665))))</formula>
    </cfRule>
  </conditionalFormatting>
  <conditionalFormatting sqref="Q665 Q671:Q673 Q675 Q678 Q680 Q682:Q683 Q686:Q687 Q689 Q691">
    <cfRule type="containsText" dxfId="9" priority="13995" operator="containsText" text="No">
      <formula>NOT(ISERROR(SEARCH(("No"),(Q665))))</formula>
    </cfRule>
  </conditionalFormatting>
  <conditionalFormatting sqref="Q665 Q671:Q673 Q675 Q678 Q680 Q682:Q683 Q686:Q687 Q689 Q691">
    <cfRule type="containsText" dxfId="2" priority="13996" operator="containsText" text="Yes">
      <formula>NOT(ISERROR(SEARCH(("Yes"),(Q665))))</formula>
    </cfRule>
  </conditionalFormatting>
  <conditionalFormatting sqref="Q665 Q671:Q673 Q675 Q678 Q680 Q682:Q683 Q686:Q687 Q689 Q691">
    <cfRule type="containsText" dxfId="9" priority="13997" operator="containsText" text="No">
      <formula>NOT(ISERROR(SEARCH(("No"),(Q665))))</formula>
    </cfRule>
  </conditionalFormatting>
  <conditionalFormatting sqref="Q665 Q671:Q673 Q675 Q678 Q680 Q682:Q683 Q686:Q687 Q689 Q691">
    <cfRule type="containsText" dxfId="2" priority="13998" operator="containsText" text="Yes">
      <formula>NOT(ISERROR(SEARCH(("Yes"),(Q665))))</formula>
    </cfRule>
  </conditionalFormatting>
  <conditionalFormatting sqref="Q665 Q671:Q673 Q675 Q678 Q680 Q682:Q683 Q686:Q687 Q689 Q691">
    <cfRule type="containsText" dxfId="9" priority="13999" operator="containsText" text="No">
      <formula>NOT(ISERROR(SEARCH(("No"),(Q665))))</formula>
    </cfRule>
  </conditionalFormatting>
  <conditionalFormatting sqref="Q665 Q671:Q673 Q675 Q678 Q680 Q682:Q683 Q686:Q687 Q689 Q691">
    <cfRule type="containsText" dxfId="2" priority="14000" operator="containsText" text="Yes">
      <formula>NOT(ISERROR(SEARCH(("Yes"),(Q665))))</formula>
    </cfRule>
  </conditionalFormatting>
  <conditionalFormatting sqref="Q667:Q669 Q674 Q676:Q677 Q679 Q681 Q684:Q685 Q688 Q690 Q692 V692">
    <cfRule type="containsText" dxfId="9" priority="14001" operator="containsText" text="No">
      <formula>NOT(ISERROR(SEARCH(("No"),(Q667))))</formula>
    </cfRule>
  </conditionalFormatting>
  <conditionalFormatting sqref="Q667:Q669 Q674 Q676:Q677 Q679 Q681 Q684:Q685 Q688 Q690 Q692 V692">
    <cfRule type="containsText" dxfId="2" priority="14002" operator="containsText" text="Yes">
      <formula>NOT(ISERROR(SEARCH(("Yes"),(Q667))))</formula>
    </cfRule>
  </conditionalFormatting>
  <conditionalFormatting sqref="Q669 Q674 Q676:Q677 Q679 Q681 Q684">
    <cfRule type="containsText" dxfId="9" priority="14003" operator="containsText" text="No">
      <formula>NOT(ISERROR(SEARCH(("No"),(Q669))))</formula>
    </cfRule>
  </conditionalFormatting>
  <conditionalFormatting sqref="Q669 Q674 Q676:Q677 Q679 Q681 Q684">
    <cfRule type="containsText" dxfId="2" priority="14004" operator="containsText" text="Yes">
      <formula>NOT(ISERROR(SEARCH(("Yes"),(Q669))))</formula>
    </cfRule>
  </conditionalFormatting>
  <conditionalFormatting sqref="Q670">
    <cfRule type="containsText" dxfId="9" priority="14005" operator="containsText" text="No">
      <formula>NOT(ISERROR(SEARCH(("No"),(Q670))))</formula>
    </cfRule>
  </conditionalFormatting>
  <conditionalFormatting sqref="Q670">
    <cfRule type="containsText" dxfId="2" priority="14006" operator="containsText" text="Yes">
      <formula>NOT(ISERROR(SEARCH(("Yes"),(Q670))))</formula>
    </cfRule>
  </conditionalFormatting>
  <conditionalFormatting sqref="Q671:Q673 Q675 Q682 Q687">
    <cfRule type="containsText" dxfId="9" priority="14007" operator="containsText" text="No">
      <formula>NOT(ISERROR(SEARCH(("No"),(Q671))))</formula>
    </cfRule>
  </conditionalFormatting>
  <conditionalFormatting sqref="Q671:Q673 Q675 Q682 Q687">
    <cfRule type="containsText" dxfId="2" priority="14008" operator="containsText" text="Yes">
      <formula>NOT(ISERROR(SEARCH(("Yes"),(Q671))))</formula>
    </cfRule>
  </conditionalFormatting>
  <conditionalFormatting sqref="Q672:Q681 Q683:Q684 Q686 Q689 Q691">
    <cfRule type="containsText" dxfId="9" priority="14009" operator="containsText" text="No">
      <formula>NOT(ISERROR(SEARCH(("No"),(Q672))))</formula>
    </cfRule>
  </conditionalFormatting>
  <conditionalFormatting sqref="Q672:Q681 Q683:Q684 Q686 Q689 Q691">
    <cfRule type="containsText" dxfId="2" priority="14010" operator="containsText" text="Yes">
      <formula>NOT(ISERROR(SEARCH(("Yes"),(Q672))))</formula>
    </cfRule>
  </conditionalFormatting>
  <conditionalFormatting sqref="Q679 Q682:Q692 V692">
    <cfRule type="containsText" dxfId="2" priority="14011" operator="containsText" text="Yes">
      <formula>NOT(ISERROR(SEARCH(("Yes"),(Q679))))</formula>
    </cfRule>
  </conditionalFormatting>
  <conditionalFormatting sqref="Q679">
    <cfRule type="containsText" dxfId="9" priority="14012" operator="containsText" text="No">
      <formula>NOT(ISERROR(SEARCH(("No"),(Q679))))</formula>
    </cfRule>
  </conditionalFormatting>
  <conditionalFormatting sqref="Q680:Q681 Q683:Q684 Q686 Q689 Q691">
    <cfRule type="containsText" dxfId="9" priority="14013" operator="containsText" text="No">
      <formula>NOT(ISERROR(SEARCH(("No"),(Q680))))</formula>
    </cfRule>
  </conditionalFormatting>
  <conditionalFormatting sqref="Q680:Q681 Q683:Q684 Q686 Q689 Q691">
    <cfRule type="containsText" dxfId="2" priority="14014" operator="containsText" text="Yes">
      <formula>NOT(ISERROR(SEARCH(("Yes"),(Q680))))</formula>
    </cfRule>
  </conditionalFormatting>
  <conditionalFormatting sqref="Q682:Q693 V692">
    <cfRule type="containsText" dxfId="9" priority="14015" operator="containsText" text="No">
      <formula>NOT(ISERROR(SEARCH(("No"),(Q682))))</formula>
    </cfRule>
  </conditionalFormatting>
  <conditionalFormatting sqref="Q692 V692">
    <cfRule type="containsText" dxfId="2" priority="14016" operator="containsText" text="Yes">
      <formula>NOT(ISERROR(SEARCH(("Yes"),(Q692))))</formula>
    </cfRule>
  </conditionalFormatting>
  <conditionalFormatting sqref="Q693">
    <cfRule type="containsText" dxfId="2" priority="14017" operator="containsText" text="Yes">
      <formula>NOT(ISERROR(SEARCH(("Yes"),(Q693))))</formula>
    </cfRule>
  </conditionalFormatting>
  <conditionalFormatting sqref="Q694:Q698">
    <cfRule type="containsText" dxfId="9" priority="14018" operator="containsText" text="No">
      <formula>NOT(ISERROR(SEARCH(("No"),(Q694))))</formula>
    </cfRule>
  </conditionalFormatting>
  <conditionalFormatting sqref="Q694:Q698">
    <cfRule type="containsText" dxfId="2" priority="14019" operator="containsText" text="Yes">
      <formula>NOT(ISERROR(SEARCH(("Yes"),(Q694))))</formula>
    </cfRule>
  </conditionalFormatting>
  <conditionalFormatting sqref="Q699:Q703">
    <cfRule type="containsText" dxfId="9" priority="14020" operator="containsText" text="No">
      <formula>NOT(ISERROR(SEARCH(("No"),(Q699))))</formula>
    </cfRule>
  </conditionalFormatting>
  <conditionalFormatting sqref="Q699:Q703">
    <cfRule type="containsText" dxfId="2" priority="14021" operator="containsText" text="Yes">
      <formula>NOT(ISERROR(SEARCH(("Yes"),(Q699))))</formula>
    </cfRule>
  </conditionalFormatting>
  <conditionalFormatting sqref="Q705:Q719">
    <cfRule type="containsText" dxfId="9" priority="14022" operator="containsText" text="No">
      <formula>NOT(ISERROR(SEARCH(("No"),(Q705))))</formula>
    </cfRule>
  </conditionalFormatting>
  <conditionalFormatting sqref="Q705:Q719">
    <cfRule type="containsText" dxfId="2" priority="14023" operator="containsText" text="Yes">
      <formula>NOT(ISERROR(SEARCH(("Yes"),(Q705))))</formula>
    </cfRule>
  </conditionalFormatting>
  <conditionalFormatting sqref="Q720 Q725">
    <cfRule type="containsText" dxfId="2" priority="14024" operator="containsText" text="Yes">
      <formula>NOT(ISERROR(SEARCH(("Yes"),(Q720))))</formula>
    </cfRule>
  </conditionalFormatting>
  <conditionalFormatting sqref="Q720 Q725:Q739">
    <cfRule type="containsText" dxfId="9" priority="14025" operator="containsText" text="No">
      <formula>NOT(ISERROR(SEARCH(("No"),(Q720))))</formula>
    </cfRule>
  </conditionalFormatting>
  <conditionalFormatting sqref="Q721">
    <cfRule type="containsText" dxfId="9" priority="14026" operator="containsText" text="No">
      <formula>NOT(ISERROR(SEARCH(("No"),(Q721))))</formula>
    </cfRule>
  </conditionalFormatting>
  <conditionalFormatting sqref="Q721">
    <cfRule type="containsText" dxfId="2" priority="14027" operator="containsText" text="Yes">
      <formula>NOT(ISERROR(SEARCH(("Yes"),(Q721))))</formula>
    </cfRule>
  </conditionalFormatting>
  <conditionalFormatting sqref="Q722">
    <cfRule type="containsText" dxfId="9" priority="14028" operator="containsText" text="No">
      <formula>NOT(ISERROR(SEARCH(("No"),(Q722))))</formula>
    </cfRule>
  </conditionalFormatting>
  <conditionalFormatting sqref="Q722">
    <cfRule type="containsText" dxfId="2" priority="14029" operator="containsText" text="Yes">
      <formula>NOT(ISERROR(SEARCH(("Yes"),(Q722))))</formula>
    </cfRule>
  </conditionalFormatting>
  <conditionalFormatting sqref="Q723:Q724">
    <cfRule type="containsText" dxfId="9" priority="14030" operator="containsText" text="No">
      <formula>NOT(ISERROR(SEARCH(("No"),(Q723))))</formula>
    </cfRule>
  </conditionalFormatting>
  <conditionalFormatting sqref="Q723:Q724">
    <cfRule type="containsText" dxfId="2" priority="14031" operator="containsText" text="Yes">
      <formula>NOT(ISERROR(SEARCH(("Yes"),(Q723))))</formula>
    </cfRule>
  </conditionalFormatting>
  <conditionalFormatting sqref="Q751">
    <cfRule type="containsText" dxfId="2" priority="14032" operator="containsText" text="Yes">
      <formula>NOT(ISERROR(SEARCH(("Yes"),(Q751))))</formula>
    </cfRule>
  </conditionalFormatting>
  <conditionalFormatting sqref="Q751">
    <cfRule type="containsText" dxfId="9" priority="14033" operator="containsText" text="No">
      <formula>NOT(ISERROR(SEARCH(("No"),(Q751))))</formula>
    </cfRule>
  </conditionalFormatting>
  <conditionalFormatting sqref="Q751">
    <cfRule type="containsText" dxfId="2" priority="14034" operator="containsText" text="Yes">
      <formula>NOT(ISERROR(SEARCH(("Yes"),(Q751))))</formula>
    </cfRule>
  </conditionalFormatting>
  <conditionalFormatting sqref="Q751">
    <cfRule type="containsText" dxfId="9" priority="14035" operator="containsText" text="No">
      <formula>NOT(ISERROR(SEARCH(("No"),(Q751))))</formula>
    </cfRule>
  </conditionalFormatting>
  <conditionalFormatting sqref="Q751">
    <cfRule type="containsText" dxfId="2" priority="14036" operator="containsText" text="Yes">
      <formula>NOT(ISERROR(SEARCH(("Yes"),(Q751))))</formula>
    </cfRule>
  </conditionalFormatting>
  <conditionalFormatting sqref="Q751">
    <cfRule type="containsText" dxfId="9" priority="14037" operator="containsText" text="No">
      <formula>NOT(ISERROR(SEARCH(("No"),(Q751))))</formula>
    </cfRule>
  </conditionalFormatting>
  <conditionalFormatting sqref="Q751">
    <cfRule type="containsText" dxfId="2" priority="14038" operator="containsText" text="Yes">
      <formula>NOT(ISERROR(SEARCH(("Yes"),(Q751))))</formula>
    </cfRule>
  </conditionalFormatting>
  <conditionalFormatting sqref="Q751">
    <cfRule type="containsText" dxfId="9" priority="14039" operator="containsText" text="No">
      <formula>NOT(ISERROR(SEARCH(("No"),(Q751))))</formula>
    </cfRule>
  </conditionalFormatting>
  <conditionalFormatting sqref="Q751">
    <cfRule type="containsText" dxfId="2" priority="14040" operator="containsText" text="Yes">
      <formula>NOT(ISERROR(SEARCH(("Yes"),(Q751))))</formula>
    </cfRule>
  </conditionalFormatting>
  <conditionalFormatting sqref="Q751">
    <cfRule type="containsText" dxfId="9" priority="14041" operator="containsText" text="No">
      <formula>NOT(ISERROR(SEARCH(("No"),(Q751))))</formula>
    </cfRule>
  </conditionalFormatting>
  <conditionalFormatting sqref="Q751">
    <cfRule type="containsText" dxfId="2" priority="14042" operator="containsText" text="Yes">
      <formula>NOT(ISERROR(SEARCH(("Yes"),(Q751))))</formula>
    </cfRule>
  </conditionalFormatting>
  <conditionalFormatting sqref="Q751">
    <cfRule type="containsText" dxfId="9" priority="14043" operator="containsText" text="No">
      <formula>NOT(ISERROR(SEARCH(("No"),(Q751))))</formula>
    </cfRule>
  </conditionalFormatting>
  <conditionalFormatting sqref="Q751">
    <cfRule type="containsText" dxfId="2" priority="14044" operator="containsText" text="Yes">
      <formula>NOT(ISERROR(SEARCH(("Yes"),(Q751))))</formula>
    </cfRule>
  </conditionalFormatting>
  <conditionalFormatting sqref="Q751">
    <cfRule type="containsText" dxfId="9" priority="14045" operator="containsText" text="No">
      <formula>NOT(ISERROR(SEARCH(("No"),(Q751))))</formula>
    </cfRule>
  </conditionalFormatting>
  <conditionalFormatting sqref="Q751">
    <cfRule type="containsText" dxfId="2" priority="14046" operator="containsText" text="Yes">
      <formula>NOT(ISERROR(SEARCH(("Yes"),(Q751))))</formula>
    </cfRule>
  </conditionalFormatting>
  <conditionalFormatting sqref="Q751">
    <cfRule type="containsText" dxfId="9" priority="14047" operator="containsText" text="No">
      <formula>NOT(ISERROR(SEARCH(("No"),(Q751))))</formula>
    </cfRule>
  </conditionalFormatting>
  <conditionalFormatting sqref="Q751">
    <cfRule type="containsText" dxfId="2" priority="14048" operator="containsText" text="Yes">
      <formula>NOT(ISERROR(SEARCH(("Yes"),(Q751))))</formula>
    </cfRule>
  </conditionalFormatting>
  <conditionalFormatting sqref="Q751">
    <cfRule type="containsText" dxfId="9" priority="14049" operator="containsText" text="No">
      <formula>NOT(ISERROR(SEARCH(("No"),(Q751))))</formula>
    </cfRule>
  </conditionalFormatting>
  <conditionalFormatting sqref="Q751">
    <cfRule type="containsText" dxfId="2" priority="14050" operator="containsText" text="Yes">
      <formula>NOT(ISERROR(SEARCH(("Yes"),(Q751))))</formula>
    </cfRule>
  </conditionalFormatting>
  <conditionalFormatting sqref="Q751">
    <cfRule type="containsText" dxfId="9" priority="14051" operator="containsText" text="No">
      <formula>NOT(ISERROR(SEARCH(("No"),(Q751))))</formula>
    </cfRule>
  </conditionalFormatting>
  <conditionalFormatting sqref="Q751">
    <cfRule type="containsText" dxfId="2" priority="14052" operator="containsText" text="Yes">
      <formula>NOT(ISERROR(SEARCH(("Yes"),(Q751))))</formula>
    </cfRule>
  </conditionalFormatting>
  <conditionalFormatting sqref="Q751">
    <cfRule type="containsText" dxfId="9" priority="14053" operator="containsText" text="No">
      <formula>NOT(ISERROR(SEARCH(("No"),(Q751))))</formula>
    </cfRule>
  </conditionalFormatting>
  <conditionalFormatting sqref="Q751">
    <cfRule type="containsText" dxfId="2" priority="14054" operator="containsText" text="Yes">
      <formula>NOT(ISERROR(SEARCH(("Yes"),(Q751))))</formula>
    </cfRule>
  </conditionalFormatting>
  <conditionalFormatting sqref="Q751">
    <cfRule type="containsText" dxfId="9" priority="14055" operator="containsText" text="No">
      <formula>NOT(ISERROR(SEARCH(("No"),(Q751))))</formula>
    </cfRule>
  </conditionalFormatting>
  <conditionalFormatting sqref="Q751">
    <cfRule type="containsText" dxfId="2" priority="14056" operator="containsText" text="Yes">
      <formula>NOT(ISERROR(SEARCH(("Yes"),(Q751))))</formula>
    </cfRule>
  </conditionalFormatting>
  <conditionalFormatting sqref="Q751">
    <cfRule type="containsText" dxfId="9" priority="14057" operator="containsText" text="No">
      <formula>NOT(ISERROR(SEARCH(("No"),(Q751))))</formula>
    </cfRule>
  </conditionalFormatting>
  <conditionalFormatting sqref="Q751">
    <cfRule type="containsText" dxfId="2" priority="14058" operator="containsText" text="Yes">
      <formula>NOT(ISERROR(SEARCH(("Yes"),(Q751))))</formula>
    </cfRule>
  </conditionalFormatting>
  <conditionalFormatting sqref="Q751">
    <cfRule type="containsText" dxfId="9" priority="14059" operator="containsText" text="No">
      <formula>NOT(ISERROR(SEARCH(("No"),(Q751))))</formula>
    </cfRule>
  </conditionalFormatting>
  <conditionalFormatting sqref="Q751">
    <cfRule type="containsText" dxfId="2" priority="14060" operator="containsText" text="Yes">
      <formula>NOT(ISERROR(SEARCH(("Yes"),(Q751))))</formula>
    </cfRule>
  </conditionalFormatting>
  <conditionalFormatting sqref="Q751">
    <cfRule type="containsText" dxfId="9" priority="14061" operator="containsText" text="No">
      <formula>NOT(ISERROR(SEARCH(("No"),(Q751))))</formula>
    </cfRule>
  </conditionalFormatting>
  <conditionalFormatting sqref="Q751">
    <cfRule type="containsText" dxfId="2" priority="14062" operator="containsText" text="Yes">
      <formula>NOT(ISERROR(SEARCH(("Yes"),(Q751))))</formula>
    </cfRule>
  </conditionalFormatting>
  <conditionalFormatting sqref="Q751">
    <cfRule type="containsText" dxfId="9" priority="14063" operator="containsText" text="No">
      <formula>NOT(ISERROR(SEARCH(("No"),(Q751))))</formula>
    </cfRule>
  </conditionalFormatting>
  <conditionalFormatting sqref="Q751">
    <cfRule type="containsText" dxfId="2" priority="14064" operator="containsText" text="Yes">
      <formula>NOT(ISERROR(SEARCH(("Yes"),(Q751))))</formula>
    </cfRule>
  </conditionalFormatting>
  <conditionalFormatting sqref="Q751">
    <cfRule type="containsText" dxfId="9" priority="14065" operator="containsText" text="No">
      <formula>NOT(ISERROR(SEARCH(("No"),(Q751))))</formula>
    </cfRule>
  </conditionalFormatting>
  <conditionalFormatting sqref="Q751">
    <cfRule type="containsText" dxfId="2" priority="14066" operator="containsText" text="Yes">
      <formula>NOT(ISERROR(SEARCH(("Yes"),(Q751))))</formula>
    </cfRule>
  </conditionalFormatting>
  <conditionalFormatting sqref="Q751">
    <cfRule type="containsText" dxfId="9" priority="14067" operator="containsText" text="No">
      <formula>NOT(ISERROR(SEARCH(("No"),(Q751))))</formula>
    </cfRule>
  </conditionalFormatting>
  <conditionalFormatting sqref="Q751">
    <cfRule type="containsText" dxfId="2" priority="14068" operator="containsText" text="Yes">
      <formula>NOT(ISERROR(SEARCH(("Yes"),(Q751))))</formula>
    </cfRule>
  </conditionalFormatting>
  <conditionalFormatting sqref="Q751">
    <cfRule type="containsText" dxfId="9" priority="14069" operator="containsText" text="No">
      <formula>NOT(ISERROR(SEARCH(("No"),(Q751))))</formula>
    </cfRule>
  </conditionalFormatting>
  <conditionalFormatting sqref="Q751">
    <cfRule type="containsText" dxfId="2" priority="14070" operator="containsText" text="Yes">
      <formula>NOT(ISERROR(SEARCH(("Yes"),(Q751))))</formula>
    </cfRule>
  </conditionalFormatting>
  <conditionalFormatting sqref="Q751">
    <cfRule type="containsText" dxfId="9" priority="14071" operator="containsText" text="No">
      <formula>NOT(ISERROR(SEARCH(("No"),(Q751))))</formula>
    </cfRule>
  </conditionalFormatting>
  <conditionalFormatting sqref="Q751">
    <cfRule type="containsText" dxfId="2" priority="14072" operator="containsText" text="Yes">
      <formula>NOT(ISERROR(SEARCH(("Yes"),(Q751))))</formula>
    </cfRule>
  </conditionalFormatting>
  <conditionalFormatting sqref="Q751">
    <cfRule type="containsText" dxfId="9" priority="14073" operator="containsText" text="No">
      <formula>NOT(ISERROR(SEARCH(("No"),(Q751))))</formula>
    </cfRule>
  </conditionalFormatting>
  <conditionalFormatting sqref="Q751">
    <cfRule type="containsText" dxfId="2" priority="14074" operator="containsText" text="Yes">
      <formula>NOT(ISERROR(SEARCH(("Yes"),(Q751))))</formula>
    </cfRule>
  </conditionalFormatting>
  <conditionalFormatting sqref="Q751">
    <cfRule type="containsText" dxfId="9" priority="14075" operator="containsText" text="No">
      <formula>NOT(ISERROR(SEARCH(("No"),(Q751))))</formula>
    </cfRule>
  </conditionalFormatting>
  <conditionalFormatting sqref="Q751">
    <cfRule type="containsText" dxfId="2" priority="14076" operator="containsText" text="Yes">
      <formula>NOT(ISERROR(SEARCH(("Yes"),(Q751))))</formula>
    </cfRule>
  </conditionalFormatting>
  <conditionalFormatting sqref="Q751">
    <cfRule type="containsText" dxfId="9" priority="14077" operator="containsText" text="No">
      <formula>NOT(ISERROR(SEARCH(("No"),(Q751))))</formula>
    </cfRule>
  </conditionalFormatting>
  <conditionalFormatting sqref="Q751">
    <cfRule type="containsText" dxfId="2" priority="14078" operator="containsText" text="Yes">
      <formula>NOT(ISERROR(SEARCH(("Yes"),(Q751))))</formula>
    </cfRule>
  </conditionalFormatting>
  <conditionalFormatting sqref="Q751">
    <cfRule type="containsText" dxfId="9" priority="14079" operator="containsText" text="No">
      <formula>NOT(ISERROR(SEARCH(("No"),(Q751))))</formula>
    </cfRule>
  </conditionalFormatting>
  <conditionalFormatting sqref="Q751">
    <cfRule type="containsText" dxfId="2" priority="14080" operator="containsText" text="Yes">
      <formula>NOT(ISERROR(SEARCH(("Yes"),(Q751))))</formula>
    </cfRule>
  </conditionalFormatting>
  <conditionalFormatting sqref="Q751">
    <cfRule type="containsText" dxfId="9" priority="14081" operator="containsText" text="No">
      <formula>NOT(ISERROR(SEARCH(("No"),(Q751))))</formula>
    </cfRule>
  </conditionalFormatting>
  <conditionalFormatting sqref="Q751">
    <cfRule type="containsText" dxfId="2" priority="14082" operator="containsText" text="Yes">
      <formula>NOT(ISERROR(SEARCH(("Yes"),(Q751))))</formula>
    </cfRule>
  </conditionalFormatting>
  <conditionalFormatting sqref="Q751">
    <cfRule type="containsText" dxfId="9" priority="14083" operator="containsText" text="No">
      <formula>NOT(ISERROR(SEARCH(("No"),(Q751))))</formula>
    </cfRule>
  </conditionalFormatting>
  <conditionalFormatting sqref="Q751">
    <cfRule type="containsText" dxfId="2" priority="14084" operator="containsText" text="Yes">
      <formula>NOT(ISERROR(SEARCH(("Yes"),(Q751))))</formula>
    </cfRule>
  </conditionalFormatting>
  <conditionalFormatting sqref="Q751">
    <cfRule type="containsText" dxfId="9" priority="14085" operator="containsText" text="No">
      <formula>NOT(ISERROR(SEARCH(("No"),(Q751))))</formula>
    </cfRule>
  </conditionalFormatting>
  <conditionalFormatting sqref="Q751">
    <cfRule type="containsText" dxfId="2" priority="14086" operator="containsText" text="Yes">
      <formula>NOT(ISERROR(SEARCH(("Yes"),(Q751))))</formula>
    </cfRule>
  </conditionalFormatting>
  <conditionalFormatting sqref="Q751">
    <cfRule type="containsText" dxfId="9" priority="14087" operator="containsText" text="No">
      <formula>NOT(ISERROR(SEARCH(("No"),(Q751))))</formula>
    </cfRule>
  </conditionalFormatting>
  <conditionalFormatting sqref="Q751">
    <cfRule type="containsText" dxfId="2" priority="14088" operator="containsText" text="Yes">
      <formula>NOT(ISERROR(SEARCH(("Yes"),(Q751))))</formula>
    </cfRule>
  </conditionalFormatting>
  <conditionalFormatting sqref="Q751">
    <cfRule type="containsText" dxfId="9" priority="14089" operator="containsText" text="No">
      <formula>NOT(ISERROR(SEARCH(("No"),(Q751))))</formula>
    </cfRule>
  </conditionalFormatting>
  <conditionalFormatting sqref="Q751">
    <cfRule type="containsText" dxfId="2" priority="14090" operator="containsText" text="Yes">
      <formula>NOT(ISERROR(SEARCH(("Yes"),(Q751))))</formula>
    </cfRule>
  </conditionalFormatting>
  <conditionalFormatting sqref="Q751">
    <cfRule type="containsText" dxfId="9" priority="14091" operator="containsText" text="No">
      <formula>NOT(ISERROR(SEARCH(("No"),(Q751))))</formula>
    </cfRule>
  </conditionalFormatting>
  <conditionalFormatting sqref="Q751">
    <cfRule type="containsText" dxfId="2" priority="14092" operator="containsText" text="Yes">
      <formula>NOT(ISERROR(SEARCH(("Yes"),(Q751))))</formula>
    </cfRule>
  </conditionalFormatting>
  <conditionalFormatting sqref="Q751">
    <cfRule type="containsText" dxfId="9" priority="14093" operator="containsText" text="No">
      <formula>NOT(ISERROR(SEARCH(("No"),(Q751))))</formula>
    </cfRule>
  </conditionalFormatting>
  <conditionalFormatting sqref="Q751">
    <cfRule type="containsText" dxfId="2" priority="14094" operator="containsText" text="Yes">
      <formula>NOT(ISERROR(SEARCH(("Yes"),(Q751))))</formula>
    </cfRule>
  </conditionalFormatting>
  <conditionalFormatting sqref="Q751">
    <cfRule type="containsText" dxfId="9" priority="14095" operator="containsText" text="No">
      <formula>NOT(ISERROR(SEARCH(("No"),(Q751))))</formula>
    </cfRule>
  </conditionalFormatting>
  <conditionalFormatting sqref="Q751">
    <cfRule type="containsText" dxfId="2" priority="14096" operator="containsText" text="Yes">
      <formula>NOT(ISERROR(SEARCH(("Yes"),(Q751))))</formula>
    </cfRule>
  </conditionalFormatting>
  <conditionalFormatting sqref="Q751">
    <cfRule type="containsText" dxfId="9" priority="14097" operator="containsText" text="No">
      <formula>NOT(ISERROR(SEARCH(("No"),(Q751))))</formula>
    </cfRule>
  </conditionalFormatting>
  <conditionalFormatting sqref="Q751">
    <cfRule type="containsText" dxfId="2" priority="14098" operator="containsText" text="Yes">
      <formula>NOT(ISERROR(SEARCH(("Yes"),(Q751))))</formula>
    </cfRule>
  </conditionalFormatting>
  <conditionalFormatting sqref="Q751">
    <cfRule type="containsText" dxfId="9" priority="14099" operator="containsText" text="No">
      <formula>NOT(ISERROR(SEARCH(("No"),(Q751))))</formula>
    </cfRule>
  </conditionalFormatting>
  <conditionalFormatting sqref="Q751">
    <cfRule type="containsText" dxfId="2" priority="14100" operator="containsText" text="Yes">
      <formula>NOT(ISERROR(SEARCH(("Yes"),(Q751))))</formula>
    </cfRule>
  </conditionalFormatting>
  <conditionalFormatting sqref="Q751">
    <cfRule type="containsText" dxfId="9" priority="14101" operator="containsText" text="No">
      <formula>NOT(ISERROR(SEARCH(("No"),(Q751))))</formula>
    </cfRule>
  </conditionalFormatting>
  <conditionalFormatting sqref="Q751">
    <cfRule type="containsText" dxfId="2" priority="14102" operator="containsText" text="Yes">
      <formula>NOT(ISERROR(SEARCH(("Yes"),(Q751))))</formula>
    </cfRule>
  </conditionalFormatting>
  <conditionalFormatting sqref="Q751">
    <cfRule type="containsText" dxfId="9" priority="14103" operator="containsText" text="No">
      <formula>NOT(ISERROR(SEARCH(("No"),(Q751))))</formula>
    </cfRule>
  </conditionalFormatting>
  <conditionalFormatting sqref="Q751">
    <cfRule type="containsText" dxfId="2" priority="14104" operator="containsText" text="Yes">
      <formula>NOT(ISERROR(SEARCH(("Yes"),(Q751))))</formula>
    </cfRule>
  </conditionalFormatting>
  <conditionalFormatting sqref="Q751">
    <cfRule type="containsText" dxfId="9" priority="14105" operator="containsText" text="No">
      <formula>NOT(ISERROR(SEARCH(("No"),(Q751))))</formula>
    </cfRule>
  </conditionalFormatting>
  <conditionalFormatting sqref="Q751">
    <cfRule type="containsText" dxfId="2" priority="14106" operator="containsText" text="Yes">
      <formula>NOT(ISERROR(SEARCH(("Yes"),(Q751))))</formula>
    </cfRule>
  </conditionalFormatting>
  <conditionalFormatting sqref="Q751">
    <cfRule type="containsText" dxfId="9" priority="14107" operator="containsText" text="No">
      <formula>NOT(ISERROR(SEARCH(("No"),(Q751))))</formula>
    </cfRule>
  </conditionalFormatting>
  <conditionalFormatting sqref="Q751">
    <cfRule type="containsText" dxfId="2" priority="14108" operator="containsText" text="Yes">
      <formula>NOT(ISERROR(SEARCH(("Yes"),(Q751))))</formula>
    </cfRule>
  </conditionalFormatting>
  <conditionalFormatting sqref="Q751">
    <cfRule type="containsText" dxfId="9" priority="14109" operator="containsText" text="No">
      <formula>NOT(ISERROR(SEARCH(("No"),(Q751))))</formula>
    </cfRule>
  </conditionalFormatting>
  <conditionalFormatting sqref="Q751">
    <cfRule type="containsText" dxfId="2" priority="14110" operator="containsText" text="Yes">
      <formula>NOT(ISERROR(SEARCH(("Yes"),(Q751))))</formula>
    </cfRule>
  </conditionalFormatting>
  <conditionalFormatting sqref="Q751">
    <cfRule type="containsText" dxfId="9" priority="14111" operator="containsText" text="No">
      <formula>NOT(ISERROR(SEARCH(("No"),(Q751))))</formula>
    </cfRule>
  </conditionalFormatting>
  <conditionalFormatting sqref="Q751">
    <cfRule type="containsText" dxfId="2" priority="14112" operator="containsText" text="Yes">
      <formula>NOT(ISERROR(SEARCH(("Yes"),(Q751))))</formula>
    </cfRule>
  </conditionalFormatting>
  <conditionalFormatting sqref="Q751">
    <cfRule type="containsText" dxfId="9" priority="14113" operator="containsText" text="No">
      <formula>NOT(ISERROR(SEARCH(("No"),(Q751))))</formula>
    </cfRule>
  </conditionalFormatting>
  <conditionalFormatting sqref="Q751">
    <cfRule type="containsText" dxfId="2" priority="14114" operator="containsText" text="Yes">
      <formula>NOT(ISERROR(SEARCH(("Yes"),(Q751))))</formula>
    </cfRule>
  </conditionalFormatting>
  <conditionalFormatting sqref="Q751">
    <cfRule type="containsText" dxfId="9" priority="14115" operator="containsText" text="No">
      <formula>NOT(ISERROR(SEARCH(("No"),(Q751))))</formula>
    </cfRule>
  </conditionalFormatting>
  <conditionalFormatting sqref="Q751">
    <cfRule type="containsText" dxfId="2" priority="14116" operator="containsText" text="Yes">
      <formula>NOT(ISERROR(SEARCH(("Yes"),(Q751))))</formula>
    </cfRule>
  </conditionalFormatting>
  <conditionalFormatting sqref="Q751">
    <cfRule type="containsText" dxfId="9" priority="14117" operator="containsText" text="No">
      <formula>NOT(ISERROR(SEARCH(("No"),(Q751))))</formula>
    </cfRule>
  </conditionalFormatting>
  <conditionalFormatting sqref="Q751">
    <cfRule type="containsText" dxfId="2" priority="14118" operator="containsText" text="Yes">
      <formula>NOT(ISERROR(SEARCH(("Yes"),(Q751))))</formula>
    </cfRule>
  </conditionalFormatting>
  <conditionalFormatting sqref="Q751">
    <cfRule type="containsText" dxfId="9" priority="14119" operator="containsText" text="No">
      <formula>NOT(ISERROR(SEARCH(("No"),(Q751))))</formula>
    </cfRule>
  </conditionalFormatting>
  <conditionalFormatting sqref="Q751">
    <cfRule type="containsText" dxfId="2" priority="14120" operator="containsText" text="Yes">
      <formula>NOT(ISERROR(SEARCH(("Yes"),(Q751))))</formula>
    </cfRule>
  </conditionalFormatting>
  <conditionalFormatting sqref="Q751">
    <cfRule type="containsText" dxfId="2" priority="14121" operator="containsText" text="Yes">
      <formula>NOT(ISERROR(SEARCH(("Yes"),(Q751))))</formula>
    </cfRule>
  </conditionalFormatting>
  <conditionalFormatting sqref="Q751">
    <cfRule type="containsText" dxfId="9" priority="14122" operator="containsText" text="No">
      <formula>NOT(ISERROR(SEARCH(("No"),(Q751))))</formula>
    </cfRule>
  </conditionalFormatting>
  <conditionalFormatting sqref="Q751">
    <cfRule type="containsText" dxfId="2" priority="14123" operator="containsText" text="Yes">
      <formula>NOT(ISERROR(SEARCH(("Yes"),(Q751))))</formula>
    </cfRule>
  </conditionalFormatting>
  <conditionalFormatting sqref="Q752:Q753">
    <cfRule type="containsText" dxfId="2" priority="14124" operator="containsText" text="Yes">
      <formula>NOT(ISERROR(SEARCH(("Yes"),(Q752))))</formula>
    </cfRule>
  </conditionalFormatting>
  <conditionalFormatting sqref="Q752:Q753">
    <cfRule type="containsText" dxfId="9" priority="14125" operator="containsText" text="No">
      <formula>NOT(ISERROR(SEARCH(("No"),(Q752))))</formula>
    </cfRule>
  </conditionalFormatting>
  <conditionalFormatting sqref="Q752:Q753">
    <cfRule type="containsText" dxfId="2" priority="14126" operator="containsText" text="Yes">
      <formula>NOT(ISERROR(SEARCH(("Yes"),(Q752))))</formula>
    </cfRule>
  </conditionalFormatting>
  <conditionalFormatting sqref="Q752:Q753">
    <cfRule type="containsText" dxfId="9" priority="14127" operator="containsText" text="No">
      <formula>NOT(ISERROR(SEARCH(("No"),(Q752))))</formula>
    </cfRule>
  </conditionalFormatting>
  <conditionalFormatting sqref="Q752:Q753">
    <cfRule type="containsText" dxfId="2" priority="14128" operator="containsText" text="Yes">
      <formula>NOT(ISERROR(SEARCH(("Yes"),(Q752))))</formula>
    </cfRule>
  </conditionalFormatting>
  <conditionalFormatting sqref="Q752:Q753">
    <cfRule type="containsText" dxfId="9" priority="14129" operator="containsText" text="No">
      <formula>NOT(ISERROR(SEARCH(("No"),(Q752))))</formula>
    </cfRule>
  </conditionalFormatting>
  <conditionalFormatting sqref="Q752:Q753">
    <cfRule type="containsText" dxfId="2" priority="14130" operator="containsText" text="Yes">
      <formula>NOT(ISERROR(SEARCH(("Yes"),(Q752))))</formula>
    </cfRule>
  </conditionalFormatting>
  <conditionalFormatting sqref="Q752:Q753">
    <cfRule type="containsText" dxfId="9" priority="14131" operator="containsText" text="No">
      <formula>NOT(ISERROR(SEARCH(("No"),(Q752))))</formula>
    </cfRule>
  </conditionalFormatting>
  <conditionalFormatting sqref="Q752:Q753">
    <cfRule type="containsText" dxfId="2" priority="14132" operator="containsText" text="Yes">
      <formula>NOT(ISERROR(SEARCH(("Yes"),(Q752))))</formula>
    </cfRule>
  </conditionalFormatting>
  <conditionalFormatting sqref="Q752:Q753">
    <cfRule type="containsText" dxfId="9" priority="14133" operator="containsText" text="No">
      <formula>NOT(ISERROR(SEARCH(("No"),(Q752))))</formula>
    </cfRule>
  </conditionalFormatting>
  <conditionalFormatting sqref="Q752:Q753">
    <cfRule type="containsText" dxfId="2" priority="14134" operator="containsText" text="Yes">
      <formula>NOT(ISERROR(SEARCH(("Yes"),(Q752))))</formula>
    </cfRule>
  </conditionalFormatting>
  <conditionalFormatting sqref="Q752:Q753">
    <cfRule type="containsText" dxfId="9" priority="14135" operator="containsText" text="No">
      <formula>NOT(ISERROR(SEARCH(("No"),(Q752))))</formula>
    </cfRule>
  </conditionalFormatting>
  <conditionalFormatting sqref="Q752:Q753">
    <cfRule type="containsText" dxfId="2" priority="14136" operator="containsText" text="Yes">
      <formula>NOT(ISERROR(SEARCH(("Yes"),(Q752))))</formula>
    </cfRule>
  </conditionalFormatting>
  <conditionalFormatting sqref="Q752:Q753">
    <cfRule type="containsText" dxfId="9" priority="14137" operator="containsText" text="No">
      <formula>NOT(ISERROR(SEARCH(("No"),(Q752))))</formula>
    </cfRule>
  </conditionalFormatting>
  <conditionalFormatting sqref="Q752:Q753">
    <cfRule type="containsText" dxfId="2" priority="14138" operator="containsText" text="Yes">
      <formula>NOT(ISERROR(SEARCH(("Yes"),(Q752))))</formula>
    </cfRule>
  </conditionalFormatting>
  <conditionalFormatting sqref="Q752:Q753">
    <cfRule type="containsText" dxfId="9" priority="14139" operator="containsText" text="No">
      <formula>NOT(ISERROR(SEARCH(("No"),(Q752))))</formula>
    </cfRule>
  </conditionalFormatting>
  <conditionalFormatting sqref="Q752:Q753">
    <cfRule type="containsText" dxfId="2" priority="14140" operator="containsText" text="Yes">
      <formula>NOT(ISERROR(SEARCH(("Yes"),(Q752))))</formula>
    </cfRule>
  </conditionalFormatting>
  <conditionalFormatting sqref="Q752:Q753">
    <cfRule type="containsText" dxfId="9" priority="14141" operator="containsText" text="No">
      <formula>NOT(ISERROR(SEARCH(("No"),(Q752))))</formula>
    </cfRule>
  </conditionalFormatting>
  <conditionalFormatting sqref="Q752:Q753">
    <cfRule type="containsText" dxfId="2" priority="14142" operator="containsText" text="Yes">
      <formula>NOT(ISERROR(SEARCH(("Yes"),(Q752))))</formula>
    </cfRule>
  </conditionalFormatting>
  <conditionalFormatting sqref="Q752:Q753">
    <cfRule type="containsText" dxfId="9" priority="14143" operator="containsText" text="No">
      <formula>NOT(ISERROR(SEARCH(("No"),(Q752))))</formula>
    </cfRule>
  </conditionalFormatting>
  <conditionalFormatting sqref="Q752:Q753">
    <cfRule type="containsText" dxfId="2" priority="14144" operator="containsText" text="Yes">
      <formula>NOT(ISERROR(SEARCH(("Yes"),(Q752))))</formula>
    </cfRule>
  </conditionalFormatting>
  <conditionalFormatting sqref="Q752:Q753">
    <cfRule type="containsText" dxfId="9" priority="14145" operator="containsText" text="No">
      <formula>NOT(ISERROR(SEARCH(("No"),(Q752))))</formula>
    </cfRule>
  </conditionalFormatting>
  <conditionalFormatting sqref="Q752:Q753">
    <cfRule type="containsText" dxfId="2" priority="14146" operator="containsText" text="Yes">
      <formula>NOT(ISERROR(SEARCH(("Yes"),(Q752))))</formula>
    </cfRule>
  </conditionalFormatting>
  <conditionalFormatting sqref="Q752:Q753">
    <cfRule type="containsText" dxfId="9" priority="14147" operator="containsText" text="No">
      <formula>NOT(ISERROR(SEARCH(("No"),(Q752))))</formula>
    </cfRule>
  </conditionalFormatting>
  <conditionalFormatting sqref="Q752:Q753">
    <cfRule type="containsText" dxfId="2" priority="14148" operator="containsText" text="Yes">
      <formula>NOT(ISERROR(SEARCH(("Yes"),(Q752))))</formula>
    </cfRule>
  </conditionalFormatting>
  <conditionalFormatting sqref="Q752:Q753">
    <cfRule type="containsText" dxfId="9" priority="14149" operator="containsText" text="No">
      <formula>NOT(ISERROR(SEARCH(("No"),(Q752))))</formula>
    </cfRule>
  </conditionalFormatting>
  <conditionalFormatting sqref="Q752:Q753">
    <cfRule type="containsText" dxfId="2" priority="14150" operator="containsText" text="Yes">
      <formula>NOT(ISERROR(SEARCH(("Yes"),(Q752))))</formula>
    </cfRule>
  </conditionalFormatting>
  <conditionalFormatting sqref="Q752:Q753">
    <cfRule type="containsText" dxfId="9" priority="14151" operator="containsText" text="No">
      <formula>NOT(ISERROR(SEARCH(("No"),(Q752))))</formula>
    </cfRule>
  </conditionalFormatting>
  <conditionalFormatting sqref="Q752:Q753">
    <cfRule type="containsText" dxfId="2" priority="14152" operator="containsText" text="Yes">
      <formula>NOT(ISERROR(SEARCH(("Yes"),(Q752))))</formula>
    </cfRule>
  </conditionalFormatting>
  <conditionalFormatting sqref="Q752:Q753">
    <cfRule type="containsText" dxfId="9" priority="14153" operator="containsText" text="No">
      <formula>NOT(ISERROR(SEARCH(("No"),(Q752))))</formula>
    </cfRule>
  </conditionalFormatting>
  <conditionalFormatting sqref="Q752:Q753">
    <cfRule type="containsText" dxfId="2" priority="14154" operator="containsText" text="Yes">
      <formula>NOT(ISERROR(SEARCH(("Yes"),(Q752))))</formula>
    </cfRule>
  </conditionalFormatting>
  <conditionalFormatting sqref="Q752:Q753">
    <cfRule type="containsText" dxfId="9" priority="14155" operator="containsText" text="No">
      <formula>NOT(ISERROR(SEARCH(("No"),(Q752))))</formula>
    </cfRule>
  </conditionalFormatting>
  <conditionalFormatting sqref="Q752:Q753">
    <cfRule type="containsText" dxfId="2" priority="14156" operator="containsText" text="Yes">
      <formula>NOT(ISERROR(SEARCH(("Yes"),(Q752))))</formula>
    </cfRule>
  </conditionalFormatting>
  <conditionalFormatting sqref="Q752:Q753">
    <cfRule type="containsText" dxfId="9" priority="14157" operator="containsText" text="No">
      <formula>NOT(ISERROR(SEARCH(("No"),(Q752))))</formula>
    </cfRule>
  </conditionalFormatting>
  <conditionalFormatting sqref="Q752:Q753">
    <cfRule type="containsText" dxfId="2" priority="14158" operator="containsText" text="Yes">
      <formula>NOT(ISERROR(SEARCH(("Yes"),(Q752))))</formula>
    </cfRule>
  </conditionalFormatting>
  <conditionalFormatting sqref="Q752:Q753">
    <cfRule type="containsText" dxfId="9" priority="14159" operator="containsText" text="No">
      <formula>NOT(ISERROR(SEARCH(("No"),(Q752))))</formula>
    </cfRule>
  </conditionalFormatting>
  <conditionalFormatting sqref="Q752:Q753">
    <cfRule type="containsText" dxfId="2" priority="14160" operator="containsText" text="Yes">
      <formula>NOT(ISERROR(SEARCH(("Yes"),(Q752))))</formula>
    </cfRule>
  </conditionalFormatting>
  <conditionalFormatting sqref="Q752:Q753">
    <cfRule type="containsText" dxfId="9" priority="14161" operator="containsText" text="No">
      <formula>NOT(ISERROR(SEARCH(("No"),(Q752))))</formula>
    </cfRule>
  </conditionalFormatting>
  <conditionalFormatting sqref="Q752:Q753">
    <cfRule type="containsText" dxfId="2" priority="14162" operator="containsText" text="Yes">
      <formula>NOT(ISERROR(SEARCH(("Yes"),(Q752))))</formula>
    </cfRule>
  </conditionalFormatting>
  <conditionalFormatting sqref="Q752:Q753">
    <cfRule type="containsText" dxfId="9" priority="14163" operator="containsText" text="No">
      <formula>NOT(ISERROR(SEARCH(("No"),(Q752))))</formula>
    </cfRule>
  </conditionalFormatting>
  <conditionalFormatting sqref="Q752:Q753">
    <cfRule type="containsText" dxfId="2" priority="14164" operator="containsText" text="Yes">
      <formula>NOT(ISERROR(SEARCH(("Yes"),(Q752))))</formula>
    </cfRule>
  </conditionalFormatting>
  <conditionalFormatting sqref="Q752:Q753">
    <cfRule type="containsText" dxfId="9" priority="14165" operator="containsText" text="No">
      <formula>NOT(ISERROR(SEARCH(("No"),(Q752))))</formula>
    </cfRule>
  </conditionalFormatting>
  <conditionalFormatting sqref="Q752:Q753">
    <cfRule type="containsText" dxfId="2" priority="14166" operator="containsText" text="Yes">
      <formula>NOT(ISERROR(SEARCH(("Yes"),(Q752))))</formula>
    </cfRule>
  </conditionalFormatting>
  <conditionalFormatting sqref="Q752:Q753">
    <cfRule type="containsText" dxfId="9" priority="14167" operator="containsText" text="No">
      <formula>NOT(ISERROR(SEARCH(("No"),(Q752))))</formula>
    </cfRule>
  </conditionalFormatting>
  <conditionalFormatting sqref="Q752:Q753">
    <cfRule type="containsText" dxfId="2" priority="14168" operator="containsText" text="Yes">
      <formula>NOT(ISERROR(SEARCH(("Yes"),(Q752))))</formula>
    </cfRule>
  </conditionalFormatting>
  <conditionalFormatting sqref="Q752:Q753">
    <cfRule type="containsText" dxfId="9" priority="14169" operator="containsText" text="No">
      <formula>NOT(ISERROR(SEARCH(("No"),(Q752))))</formula>
    </cfRule>
  </conditionalFormatting>
  <conditionalFormatting sqref="Q752:Q753">
    <cfRule type="containsText" dxfId="2" priority="14170" operator="containsText" text="Yes">
      <formula>NOT(ISERROR(SEARCH(("Yes"),(Q752))))</formula>
    </cfRule>
  </conditionalFormatting>
  <conditionalFormatting sqref="Q752:Q753">
    <cfRule type="containsText" dxfId="9" priority="14171" operator="containsText" text="No">
      <formula>NOT(ISERROR(SEARCH(("No"),(Q752))))</formula>
    </cfRule>
  </conditionalFormatting>
  <conditionalFormatting sqref="Q752:Q753">
    <cfRule type="containsText" dxfId="2" priority="14172" operator="containsText" text="Yes">
      <formula>NOT(ISERROR(SEARCH(("Yes"),(Q752))))</formula>
    </cfRule>
  </conditionalFormatting>
  <conditionalFormatting sqref="Q752:Q753">
    <cfRule type="containsText" dxfId="9" priority="14173" operator="containsText" text="No">
      <formula>NOT(ISERROR(SEARCH(("No"),(Q752))))</formula>
    </cfRule>
  </conditionalFormatting>
  <conditionalFormatting sqref="Q752:Q753">
    <cfRule type="containsText" dxfId="2" priority="14174" operator="containsText" text="Yes">
      <formula>NOT(ISERROR(SEARCH(("Yes"),(Q752))))</formula>
    </cfRule>
  </conditionalFormatting>
  <conditionalFormatting sqref="Q752:Q753">
    <cfRule type="containsText" dxfId="9" priority="14175" operator="containsText" text="No">
      <formula>NOT(ISERROR(SEARCH(("No"),(Q752))))</formula>
    </cfRule>
  </conditionalFormatting>
  <conditionalFormatting sqref="Q752:Q753">
    <cfRule type="containsText" dxfId="2" priority="14176" operator="containsText" text="Yes">
      <formula>NOT(ISERROR(SEARCH(("Yes"),(Q752))))</formula>
    </cfRule>
  </conditionalFormatting>
  <conditionalFormatting sqref="Q752:Q753">
    <cfRule type="containsText" dxfId="9" priority="14177" operator="containsText" text="No">
      <formula>NOT(ISERROR(SEARCH(("No"),(Q752))))</formula>
    </cfRule>
  </conditionalFormatting>
  <conditionalFormatting sqref="Q752:Q753">
    <cfRule type="containsText" dxfId="2" priority="14178" operator="containsText" text="Yes">
      <formula>NOT(ISERROR(SEARCH(("Yes"),(Q752))))</formula>
    </cfRule>
  </conditionalFormatting>
  <conditionalFormatting sqref="Q752:Q753">
    <cfRule type="containsText" dxfId="9" priority="14179" operator="containsText" text="No">
      <formula>NOT(ISERROR(SEARCH(("No"),(Q752))))</formula>
    </cfRule>
  </conditionalFormatting>
  <conditionalFormatting sqref="Q752:Q753">
    <cfRule type="containsText" dxfId="2" priority="14180" operator="containsText" text="Yes">
      <formula>NOT(ISERROR(SEARCH(("Yes"),(Q752))))</formula>
    </cfRule>
  </conditionalFormatting>
  <conditionalFormatting sqref="Q752:Q753">
    <cfRule type="containsText" dxfId="9" priority="14181" operator="containsText" text="No">
      <formula>NOT(ISERROR(SEARCH(("No"),(Q752))))</formula>
    </cfRule>
  </conditionalFormatting>
  <conditionalFormatting sqref="Q752:Q753">
    <cfRule type="containsText" dxfId="2" priority="14182" operator="containsText" text="Yes">
      <formula>NOT(ISERROR(SEARCH(("Yes"),(Q752))))</formula>
    </cfRule>
  </conditionalFormatting>
  <conditionalFormatting sqref="Q752:Q753">
    <cfRule type="containsText" dxfId="9" priority="14183" operator="containsText" text="No">
      <formula>NOT(ISERROR(SEARCH(("No"),(Q752))))</formula>
    </cfRule>
  </conditionalFormatting>
  <conditionalFormatting sqref="Q752:Q753">
    <cfRule type="containsText" dxfId="2" priority="14184" operator="containsText" text="Yes">
      <formula>NOT(ISERROR(SEARCH(("Yes"),(Q752))))</formula>
    </cfRule>
  </conditionalFormatting>
  <conditionalFormatting sqref="Q752:Q753">
    <cfRule type="containsText" dxfId="9" priority="14185" operator="containsText" text="No">
      <formula>NOT(ISERROR(SEARCH(("No"),(Q752))))</formula>
    </cfRule>
  </conditionalFormatting>
  <conditionalFormatting sqref="Q752:Q753">
    <cfRule type="containsText" dxfId="2" priority="14186" operator="containsText" text="Yes">
      <formula>NOT(ISERROR(SEARCH(("Yes"),(Q752))))</formula>
    </cfRule>
  </conditionalFormatting>
  <conditionalFormatting sqref="Q752:Q753">
    <cfRule type="containsText" dxfId="9" priority="14187" operator="containsText" text="No">
      <formula>NOT(ISERROR(SEARCH(("No"),(Q752))))</formula>
    </cfRule>
  </conditionalFormatting>
  <conditionalFormatting sqref="Q752:Q753">
    <cfRule type="containsText" dxfId="2" priority="14188" operator="containsText" text="Yes">
      <formula>NOT(ISERROR(SEARCH(("Yes"),(Q752))))</formula>
    </cfRule>
  </conditionalFormatting>
  <conditionalFormatting sqref="Q752:Q753">
    <cfRule type="containsText" dxfId="9" priority="14189" operator="containsText" text="No">
      <formula>NOT(ISERROR(SEARCH(("No"),(Q752))))</formula>
    </cfRule>
  </conditionalFormatting>
  <conditionalFormatting sqref="Q752:Q753">
    <cfRule type="containsText" dxfId="2" priority="14190" operator="containsText" text="Yes">
      <formula>NOT(ISERROR(SEARCH(("Yes"),(Q752))))</formula>
    </cfRule>
  </conditionalFormatting>
  <conditionalFormatting sqref="Q752:Q753">
    <cfRule type="containsText" dxfId="9" priority="14191" operator="containsText" text="No">
      <formula>NOT(ISERROR(SEARCH(("No"),(Q752))))</formula>
    </cfRule>
  </conditionalFormatting>
  <conditionalFormatting sqref="Q752:Q753">
    <cfRule type="containsText" dxfId="2" priority="14192" operator="containsText" text="Yes">
      <formula>NOT(ISERROR(SEARCH(("Yes"),(Q752))))</formula>
    </cfRule>
  </conditionalFormatting>
  <conditionalFormatting sqref="Q752:Q753">
    <cfRule type="containsText" dxfId="9" priority="14193" operator="containsText" text="No">
      <formula>NOT(ISERROR(SEARCH(("No"),(Q752))))</formula>
    </cfRule>
  </conditionalFormatting>
  <conditionalFormatting sqref="Q752:Q753">
    <cfRule type="containsText" dxfId="2" priority="14194" operator="containsText" text="Yes">
      <formula>NOT(ISERROR(SEARCH(("Yes"),(Q752))))</formula>
    </cfRule>
  </conditionalFormatting>
  <conditionalFormatting sqref="Q752:Q753">
    <cfRule type="containsText" dxfId="9" priority="14195" operator="containsText" text="No">
      <formula>NOT(ISERROR(SEARCH(("No"),(Q752))))</formula>
    </cfRule>
  </conditionalFormatting>
  <conditionalFormatting sqref="Q752:Q753">
    <cfRule type="containsText" dxfId="2" priority="14196" operator="containsText" text="Yes">
      <formula>NOT(ISERROR(SEARCH(("Yes"),(Q752))))</formula>
    </cfRule>
  </conditionalFormatting>
  <conditionalFormatting sqref="Q752:Q753">
    <cfRule type="containsText" dxfId="9" priority="14197" operator="containsText" text="No">
      <formula>NOT(ISERROR(SEARCH(("No"),(Q752))))</formula>
    </cfRule>
  </conditionalFormatting>
  <conditionalFormatting sqref="Q752:Q753">
    <cfRule type="containsText" dxfId="2" priority="14198" operator="containsText" text="Yes">
      <formula>NOT(ISERROR(SEARCH(("Yes"),(Q752))))</formula>
    </cfRule>
  </conditionalFormatting>
  <conditionalFormatting sqref="Q752:Q753">
    <cfRule type="containsText" dxfId="9" priority="14199" operator="containsText" text="No">
      <formula>NOT(ISERROR(SEARCH(("No"),(Q752))))</formula>
    </cfRule>
  </conditionalFormatting>
  <conditionalFormatting sqref="Q752:Q753">
    <cfRule type="containsText" dxfId="2" priority="14200" operator="containsText" text="Yes">
      <formula>NOT(ISERROR(SEARCH(("Yes"),(Q752))))</formula>
    </cfRule>
  </conditionalFormatting>
  <conditionalFormatting sqref="Q752:Q753">
    <cfRule type="containsText" dxfId="9" priority="14201" operator="containsText" text="No">
      <formula>NOT(ISERROR(SEARCH(("No"),(Q752))))</formula>
    </cfRule>
  </conditionalFormatting>
  <conditionalFormatting sqref="Q752:Q753">
    <cfRule type="containsText" dxfId="2" priority="14202" operator="containsText" text="Yes">
      <formula>NOT(ISERROR(SEARCH(("Yes"),(Q752))))</formula>
    </cfRule>
  </conditionalFormatting>
  <conditionalFormatting sqref="Q752:Q753">
    <cfRule type="containsText" dxfId="9" priority="14203" operator="containsText" text="No">
      <formula>NOT(ISERROR(SEARCH(("No"),(Q752))))</formula>
    </cfRule>
  </conditionalFormatting>
  <conditionalFormatting sqref="Q752:Q753">
    <cfRule type="containsText" dxfId="2" priority="14204" operator="containsText" text="Yes">
      <formula>NOT(ISERROR(SEARCH(("Yes"),(Q752))))</formula>
    </cfRule>
  </conditionalFormatting>
  <conditionalFormatting sqref="Q752:Q753">
    <cfRule type="containsText" dxfId="9" priority="14205" operator="containsText" text="No">
      <formula>NOT(ISERROR(SEARCH(("No"),(Q752))))</formula>
    </cfRule>
  </conditionalFormatting>
  <conditionalFormatting sqref="Q752:Q753">
    <cfRule type="containsText" dxfId="2" priority="14206" operator="containsText" text="Yes">
      <formula>NOT(ISERROR(SEARCH(("Yes"),(Q752))))</formula>
    </cfRule>
  </conditionalFormatting>
  <conditionalFormatting sqref="Q752:Q753">
    <cfRule type="containsText" dxfId="9" priority="14207" operator="containsText" text="No">
      <formula>NOT(ISERROR(SEARCH(("No"),(Q752))))</formula>
    </cfRule>
  </conditionalFormatting>
  <conditionalFormatting sqref="Q752:Q753">
    <cfRule type="containsText" dxfId="2" priority="14208" operator="containsText" text="Yes">
      <formula>NOT(ISERROR(SEARCH(("Yes"),(Q752))))</formula>
    </cfRule>
  </conditionalFormatting>
  <conditionalFormatting sqref="Q752:Q753">
    <cfRule type="containsText" dxfId="9" priority="14209" operator="containsText" text="No">
      <formula>NOT(ISERROR(SEARCH(("No"),(Q752))))</formula>
    </cfRule>
  </conditionalFormatting>
  <conditionalFormatting sqref="Q752:Q753">
    <cfRule type="containsText" dxfId="2" priority="14210" operator="containsText" text="Yes">
      <formula>NOT(ISERROR(SEARCH(("Yes"),(Q752))))</formula>
    </cfRule>
  </conditionalFormatting>
  <conditionalFormatting sqref="Q752:Q753">
    <cfRule type="containsText" dxfId="9" priority="14211" operator="containsText" text="No">
      <formula>NOT(ISERROR(SEARCH(("No"),(Q752))))</formula>
    </cfRule>
  </conditionalFormatting>
  <conditionalFormatting sqref="Q752:Q753">
    <cfRule type="containsText" dxfId="2" priority="14212" operator="containsText" text="Yes">
      <formula>NOT(ISERROR(SEARCH(("Yes"),(Q752))))</formula>
    </cfRule>
  </conditionalFormatting>
  <conditionalFormatting sqref="Q752:Q753">
    <cfRule type="containsText" dxfId="2" priority="14213" operator="containsText" text="Yes">
      <formula>NOT(ISERROR(SEARCH(("Yes"),(Q752))))</formula>
    </cfRule>
  </conditionalFormatting>
  <conditionalFormatting sqref="Q752:Q753">
    <cfRule type="containsText" dxfId="9" priority="14214" operator="containsText" text="No">
      <formula>NOT(ISERROR(SEARCH(("No"),(Q752))))</formula>
    </cfRule>
  </conditionalFormatting>
  <conditionalFormatting sqref="Q752:Q753">
    <cfRule type="containsText" dxfId="2" priority="14215" operator="containsText" text="Yes">
      <formula>NOT(ISERROR(SEARCH(("Yes"),(Q752))))</formula>
    </cfRule>
  </conditionalFormatting>
  <conditionalFormatting sqref="Q754:Q758">
    <cfRule type="containsText" dxfId="2" priority="14216" operator="containsText" text="Yes">
      <formula>NOT(ISERROR(SEARCH(("Yes"),(Q754))))</formula>
    </cfRule>
  </conditionalFormatting>
  <conditionalFormatting sqref="Q754:Q758">
    <cfRule type="containsText" dxfId="9" priority="14217" operator="containsText" text="No">
      <formula>NOT(ISERROR(SEARCH(("No"),(Q754))))</formula>
    </cfRule>
  </conditionalFormatting>
  <conditionalFormatting sqref="Q754:Q758">
    <cfRule type="containsText" dxfId="2" priority="14218" operator="containsText" text="Yes">
      <formula>NOT(ISERROR(SEARCH(("Yes"),(Q754))))</formula>
    </cfRule>
  </conditionalFormatting>
  <conditionalFormatting sqref="Q754:Q758">
    <cfRule type="containsText" dxfId="9" priority="14219" operator="containsText" text="No">
      <formula>NOT(ISERROR(SEARCH(("No"),(Q754))))</formula>
    </cfRule>
  </conditionalFormatting>
  <conditionalFormatting sqref="Q754:Q758">
    <cfRule type="containsText" dxfId="2" priority="14220" operator="containsText" text="Yes">
      <formula>NOT(ISERROR(SEARCH(("Yes"),(Q754))))</formula>
    </cfRule>
  </conditionalFormatting>
  <conditionalFormatting sqref="Q754:Q758">
    <cfRule type="containsText" dxfId="9" priority="14221" operator="containsText" text="No">
      <formula>NOT(ISERROR(SEARCH(("No"),(Q754))))</formula>
    </cfRule>
  </conditionalFormatting>
  <conditionalFormatting sqref="Q754:Q758">
    <cfRule type="containsText" dxfId="2" priority="14222" operator="containsText" text="Yes">
      <formula>NOT(ISERROR(SEARCH(("Yes"),(Q754))))</formula>
    </cfRule>
  </conditionalFormatting>
  <conditionalFormatting sqref="Q754:Q758">
    <cfRule type="containsText" dxfId="9" priority="14223" operator="containsText" text="No">
      <formula>NOT(ISERROR(SEARCH(("No"),(Q754))))</formula>
    </cfRule>
  </conditionalFormatting>
  <conditionalFormatting sqref="Q754:Q758">
    <cfRule type="containsText" dxfId="2" priority="14224" operator="containsText" text="Yes">
      <formula>NOT(ISERROR(SEARCH(("Yes"),(Q754))))</formula>
    </cfRule>
  </conditionalFormatting>
  <conditionalFormatting sqref="Q754:Q758">
    <cfRule type="containsText" dxfId="9" priority="14225" operator="containsText" text="No">
      <formula>NOT(ISERROR(SEARCH(("No"),(Q754))))</formula>
    </cfRule>
  </conditionalFormatting>
  <conditionalFormatting sqref="Q754:Q758">
    <cfRule type="containsText" dxfId="2" priority="14226" operator="containsText" text="Yes">
      <formula>NOT(ISERROR(SEARCH(("Yes"),(Q754))))</formula>
    </cfRule>
  </conditionalFormatting>
  <conditionalFormatting sqref="Q754:Q758">
    <cfRule type="containsText" dxfId="9" priority="14227" operator="containsText" text="No">
      <formula>NOT(ISERROR(SEARCH(("No"),(Q754))))</formula>
    </cfRule>
  </conditionalFormatting>
  <conditionalFormatting sqref="Q754:Q758">
    <cfRule type="containsText" dxfId="2" priority="14228" operator="containsText" text="Yes">
      <formula>NOT(ISERROR(SEARCH(("Yes"),(Q754))))</formula>
    </cfRule>
  </conditionalFormatting>
  <conditionalFormatting sqref="Q754:Q758">
    <cfRule type="containsText" dxfId="9" priority="14229" operator="containsText" text="No">
      <formula>NOT(ISERROR(SEARCH(("No"),(Q754))))</formula>
    </cfRule>
  </conditionalFormatting>
  <conditionalFormatting sqref="Q754:Q758">
    <cfRule type="containsText" dxfId="2" priority="14230" operator="containsText" text="Yes">
      <formula>NOT(ISERROR(SEARCH(("Yes"),(Q754))))</formula>
    </cfRule>
  </conditionalFormatting>
  <conditionalFormatting sqref="Q754:Q758">
    <cfRule type="containsText" dxfId="9" priority="14231" operator="containsText" text="No">
      <formula>NOT(ISERROR(SEARCH(("No"),(Q754))))</formula>
    </cfRule>
  </conditionalFormatting>
  <conditionalFormatting sqref="Q754:Q758">
    <cfRule type="containsText" dxfId="2" priority="14232" operator="containsText" text="Yes">
      <formula>NOT(ISERROR(SEARCH(("Yes"),(Q754))))</formula>
    </cfRule>
  </conditionalFormatting>
  <conditionalFormatting sqref="Q754:Q758">
    <cfRule type="containsText" dxfId="9" priority="14233" operator="containsText" text="No">
      <formula>NOT(ISERROR(SEARCH(("No"),(Q754))))</formula>
    </cfRule>
  </conditionalFormatting>
  <conditionalFormatting sqref="Q754:Q758">
    <cfRule type="containsText" dxfId="2" priority="14234" operator="containsText" text="Yes">
      <formula>NOT(ISERROR(SEARCH(("Yes"),(Q754))))</formula>
    </cfRule>
  </conditionalFormatting>
  <conditionalFormatting sqref="Q754:Q758">
    <cfRule type="containsText" dxfId="9" priority="14235" operator="containsText" text="No">
      <formula>NOT(ISERROR(SEARCH(("No"),(Q754))))</formula>
    </cfRule>
  </conditionalFormatting>
  <conditionalFormatting sqref="Q754:Q758">
    <cfRule type="containsText" dxfId="2" priority="14236" operator="containsText" text="Yes">
      <formula>NOT(ISERROR(SEARCH(("Yes"),(Q754))))</formula>
    </cfRule>
  </conditionalFormatting>
  <conditionalFormatting sqref="Q754:Q758">
    <cfRule type="containsText" dxfId="9" priority="14237" operator="containsText" text="No">
      <formula>NOT(ISERROR(SEARCH(("No"),(Q754))))</formula>
    </cfRule>
  </conditionalFormatting>
  <conditionalFormatting sqref="Q754:Q758">
    <cfRule type="containsText" dxfId="2" priority="14238" operator="containsText" text="Yes">
      <formula>NOT(ISERROR(SEARCH(("Yes"),(Q754))))</formula>
    </cfRule>
  </conditionalFormatting>
  <conditionalFormatting sqref="Q754:Q758">
    <cfRule type="containsText" dxfId="9" priority="14239" operator="containsText" text="No">
      <formula>NOT(ISERROR(SEARCH(("No"),(Q754))))</formula>
    </cfRule>
  </conditionalFormatting>
  <conditionalFormatting sqref="Q754:Q758">
    <cfRule type="containsText" dxfId="2" priority="14240" operator="containsText" text="Yes">
      <formula>NOT(ISERROR(SEARCH(("Yes"),(Q754))))</formula>
    </cfRule>
  </conditionalFormatting>
  <conditionalFormatting sqref="Q754:Q758">
    <cfRule type="containsText" dxfId="9" priority="14241" operator="containsText" text="No">
      <formula>NOT(ISERROR(SEARCH(("No"),(Q754))))</formula>
    </cfRule>
  </conditionalFormatting>
  <conditionalFormatting sqref="Q754:Q758">
    <cfRule type="containsText" dxfId="2" priority="14242" operator="containsText" text="Yes">
      <formula>NOT(ISERROR(SEARCH(("Yes"),(Q754))))</formula>
    </cfRule>
  </conditionalFormatting>
  <conditionalFormatting sqref="Q754:Q758">
    <cfRule type="containsText" dxfId="9" priority="14243" operator="containsText" text="No">
      <formula>NOT(ISERROR(SEARCH(("No"),(Q754))))</formula>
    </cfRule>
  </conditionalFormatting>
  <conditionalFormatting sqref="Q754:Q758">
    <cfRule type="containsText" dxfId="2" priority="14244" operator="containsText" text="Yes">
      <formula>NOT(ISERROR(SEARCH(("Yes"),(Q754))))</formula>
    </cfRule>
  </conditionalFormatting>
  <conditionalFormatting sqref="Q754:Q758">
    <cfRule type="containsText" dxfId="9" priority="14245" operator="containsText" text="No">
      <formula>NOT(ISERROR(SEARCH(("No"),(Q754))))</formula>
    </cfRule>
  </conditionalFormatting>
  <conditionalFormatting sqref="Q754:Q758">
    <cfRule type="containsText" dxfId="2" priority="14246" operator="containsText" text="Yes">
      <formula>NOT(ISERROR(SEARCH(("Yes"),(Q754))))</formula>
    </cfRule>
  </conditionalFormatting>
  <conditionalFormatting sqref="Q754:Q758">
    <cfRule type="containsText" dxfId="9" priority="14247" operator="containsText" text="No">
      <formula>NOT(ISERROR(SEARCH(("No"),(Q754))))</formula>
    </cfRule>
  </conditionalFormatting>
  <conditionalFormatting sqref="Q754:Q758">
    <cfRule type="containsText" dxfId="2" priority="14248" operator="containsText" text="Yes">
      <formula>NOT(ISERROR(SEARCH(("Yes"),(Q754))))</formula>
    </cfRule>
  </conditionalFormatting>
  <conditionalFormatting sqref="Q754:Q758">
    <cfRule type="containsText" dxfId="9" priority="14249" operator="containsText" text="No">
      <formula>NOT(ISERROR(SEARCH(("No"),(Q754))))</formula>
    </cfRule>
  </conditionalFormatting>
  <conditionalFormatting sqref="Q754:Q758">
    <cfRule type="containsText" dxfId="2" priority="14250" operator="containsText" text="Yes">
      <formula>NOT(ISERROR(SEARCH(("Yes"),(Q754))))</formula>
    </cfRule>
  </conditionalFormatting>
  <conditionalFormatting sqref="Q754:Q758">
    <cfRule type="containsText" dxfId="9" priority="14251" operator="containsText" text="No">
      <formula>NOT(ISERROR(SEARCH(("No"),(Q754))))</formula>
    </cfRule>
  </conditionalFormatting>
  <conditionalFormatting sqref="Q754:Q758">
    <cfRule type="containsText" dxfId="2" priority="14252" operator="containsText" text="Yes">
      <formula>NOT(ISERROR(SEARCH(("Yes"),(Q754))))</formula>
    </cfRule>
  </conditionalFormatting>
  <conditionalFormatting sqref="Q754:Q758">
    <cfRule type="containsText" dxfId="9" priority="14253" operator="containsText" text="No">
      <formula>NOT(ISERROR(SEARCH(("No"),(Q754))))</formula>
    </cfRule>
  </conditionalFormatting>
  <conditionalFormatting sqref="Q754:Q758">
    <cfRule type="containsText" dxfId="2" priority="14254" operator="containsText" text="Yes">
      <formula>NOT(ISERROR(SEARCH(("Yes"),(Q754))))</formula>
    </cfRule>
  </conditionalFormatting>
  <conditionalFormatting sqref="Q754:Q758">
    <cfRule type="containsText" dxfId="9" priority="14255" operator="containsText" text="No">
      <formula>NOT(ISERROR(SEARCH(("No"),(Q754))))</formula>
    </cfRule>
  </conditionalFormatting>
  <conditionalFormatting sqref="Q754:Q758">
    <cfRule type="containsText" dxfId="2" priority="14256" operator="containsText" text="Yes">
      <formula>NOT(ISERROR(SEARCH(("Yes"),(Q754))))</formula>
    </cfRule>
  </conditionalFormatting>
  <conditionalFormatting sqref="Q754:Q758">
    <cfRule type="containsText" dxfId="9" priority="14257" operator="containsText" text="No">
      <formula>NOT(ISERROR(SEARCH(("No"),(Q754))))</formula>
    </cfRule>
  </conditionalFormatting>
  <conditionalFormatting sqref="Q754:Q758">
    <cfRule type="containsText" dxfId="2" priority="14258" operator="containsText" text="Yes">
      <formula>NOT(ISERROR(SEARCH(("Yes"),(Q754))))</formula>
    </cfRule>
  </conditionalFormatting>
  <conditionalFormatting sqref="Q754:Q758">
    <cfRule type="containsText" dxfId="9" priority="14259" operator="containsText" text="No">
      <formula>NOT(ISERROR(SEARCH(("No"),(Q754))))</formula>
    </cfRule>
  </conditionalFormatting>
  <conditionalFormatting sqref="Q754:Q758">
    <cfRule type="containsText" dxfId="2" priority="14260" operator="containsText" text="Yes">
      <formula>NOT(ISERROR(SEARCH(("Yes"),(Q754))))</formula>
    </cfRule>
  </conditionalFormatting>
  <conditionalFormatting sqref="Q754:Q758">
    <cfRule type="containsText" dxfId="9" priority="14261" operator="containsText" text="No">
      <formula>NOT(ISERROR(SEARCH(("No"),(Q754))))</formula>
    </cfRule>
  </conditionalFormatting>
  <conditionalFormatting sqref="Q754:Q758">
    <cfRule type="containsText" dxfId="2" priority="14262" operator="containsText" text="Yes">
      <formula>NOT(ISERROR(SEARCH(("Yes"),(Q754))))</formula>
    </cfRule>
  </conditionalFormatting>
  <conditionalFormatting sqref="Q754:Q758">
    <cfRule type="containsText" dxfId="9" priority="14263" operator="containsText" text="No">
      <formula>NOT(ISERROR(SEARCH(("No"),(Q754))))</formula>
    </cfRule>
  </conditionalFormatting>
  <conditionalFormatting sqref="Q754:Q758">
    <cfRule type="containsText" dxfId="2" priority="14264" operator="containsText" text="Yes">
      <formula>NOT(ISERROR(SEARCH(("Yes"),(Q754))))</formula>
    </cfRule>
  </conditionalFormatting>
  <conditionalFormatting sqref="Q754:Q758">
    <cfRule type="containsText" dxfId="9" priority="14265" operator="containsText" text="No">
      <formula>NOT(ISERROR(SEARCH(("No"),(Q754))))</formula>
    </cfRule>
  </conditionalFormatting>
  <conditionalFormatting sqref="Q754:Q758">
    <cfRule type="containsText" dxfId="2" priority="14266" operator="containsText" text="Yes">
      <formula>NOT(ISERROR(SEARCH(("Yes"),(Q754))))</formula>
    </cfRule>
  </conditionalFormatting>
  <conditionalFormatting sqref="Q754:Q758">
    <cfRule type="containsText" dxfId="9" priority="14267" operator="containsText" text="No">
      <formula>NOT(ISERROR(SEARCH(("No"),(Q754))))</formula>
    </cfRule>
  </conditionalFormatting>
  <conditionalFormatting sqref="Q754:Q758">
    <cfRule type="containsText" dxfId="2" priority="14268" operator="containsText" text="Yes">
      <formula>NOT(ISERROR(SEARCH(("Yes"),(Q754))))</formula>
    </cfRule>
  </conditionalFormatting>
  <conditionalFormatting sqref="Q754:Q758">
    <cfRule type="containsText" dxfId="9" priority="14269" operator="containsText" text="No">
      <formula>NOT(ISERROR(SEARCH(("No"),(Q754))))</formula>
    </cfRule>
  </conditionalFormatting>
  <conditionalFormatting sqref="Q754:Q758">
    <cfRule type="containsText" dxfId="2" priority="14270" operator="containsText" text="Yes">
      <formula>NOT(ISERROR(SEARCH(("Yes"),(Q754))))</formula>
    </cfRule>
  </conditionalFormatting>
  <conditionalFormatting sqref="Q754:Q758">
    <cfRule type="containsText" dxfId="9" priority="14271" operator="containsText" text="No">
      <formula>NOT(ISERROR(SEARCH(("No"),(Q754))))</formula>
    </cfRule>
  </conditionalFormatting>
  <conditionalFormatting sqref="Q754:Q758">
    <cfRule type="containsText" dxfId="2" priority="14272" operator="containsText" text="Yes">
      <formula>NOT(ISERROR(SEARCH(("Yes"),(Q754))))</formula>
    </cfRule>
  </conditionalFormatting>
  <conditionalFormatting sqref="Q754:Q758">
    <cfRule type="containsText" dxfId="9" priority="14273" operator="containsText" text="No">
      <formula>NOT(ISERROR(SEARCH(("No"),(Q754))))</formula>
    </cfRule>
  </conditionalFormatting>
  <conditionalFormatting sqref="Q754:Q758">
    <cfRule type="containsText" dxfId="2" priority="14274" operator="containsText" text="Yes">
      <formula>NOT(ISERROR(SEARCH(("Yes"),(Q754))))</formula>
    </cfRule>
  </conditionalFormatting>
  <conditionalFormatting sqref="Q754:Q758">
    <cfRule type="containsText" dxfId="9" priority="14275" operator="containsText" text="No">
      <formula>NOT(ISERROR(SEARCH(("No"),(Q754))))</formula>
    </cfRule>
  </conditionalFormatting>
  <conditionalFormatting sqref="Q754:Q758">
    <cfRule type="containsText" dxfId="2" priority="14276" operator="containsText" text="Yes">
      <formula>NOT(ISERROR(SEARCH(("Yes"),(Q754))))</formula>
    </cfRule>
  </conditionalFormatting>
  <conditionalFormatting sqref="Q754:Q758">
    <cfRule type="containsText" dxfId="9" priority="14277" operator="containsText" text="No">
      <formula>NOT(ISERROR(SEARCH(("No"),(Q754))))</formula>
    </cfRule>
  </conditionalFormatting>
  <conditionalFormatting sqref="Q754:Q758">
    <cfRule type="containsText" dxfId="2" priority="14278" operator="containsText" text="Yes">
      <formula>NOT(ISERROR(SEARCH(("Yes"),(Q754))))</formula>
    </cfRule>
  </conditionalFormatting>
  <conditionalFormatting sqref="Q754:Q758">
    <cfRule type="containsText" dxfId="9" priority="14279" operator="containsText" text="No">
      <formula>NOT(ISERROR(SEARCH(("No"),(Q754))))</formula>
    </cfRule>
  </conditionalFormatting>
  <conditionalFormatting sqref="Q754:Q758">
    <cfRule type="containsText" dxfId="2" priority="14280" operator="containsText" text="Yes">
      <formula>NOT(ISERROR(SEARCH(("Yes"),(Q754))))</formula>
    </cfRule>
  </conditionalFormatting>
  <conditionalFormatting sqref="Q754:Q758">
    <cfRule type="containsText" dxfId="9" priority="14281" operator="containsText" text="No">
      <formula>NOT(ISERROR(SEARCH(("No"),(Q754))))</formula>
    </cfRule>
  </conditionalFormatting>
  <conditionalFormatting sqref="Q754:Q758">
    <cfRule type="containsText" dxfId="2" priority="14282" operator="containsText" text="Yes">
      <formula>NOT(ISERROR(SEARCH(("Yes"),(Q754))))</formula>
    </cfRule>
  </conditionalFormatting>
  <conditionalFormatting sqref="Q754:Q758">
    <cfRule type="containsText" dxfId="9" priority="14283" operator="containsText" text="No">
      <formula>NOT(ISERROR(SEARCH(("No"),(Q754))))</formula>
    </cfRule>
  </conditionalFormatting>
  <conditionalFormatting sqref="Q754:Q758">
    <cfRule type="containsText" dxfId="2" priority="14284" operator="containsText" text="Yes">
      <formula>NOT(ISERROR(SEARCH(("Yes"),(Q754))))</formula>
    </cfRule>
  </conditionalFormatting>
  <conditionalFormatting sqref="Q754:Q758">
    <cfRule type="containsText" dxfId="9" priority="14285" operator="containsText" text="No">
      <formula>NOT(ISERROR(SEARCH(("No"),(Q754))))</formula>
    </cfRule>
  </conditionalFormatting>
  <conditionalFormatting sqref="Q754:Q758">
    <cfRule type="containsText" dxfId="2" priority="14286" operator="containsText" text="Yes">
      <formula>NOT(ISERROR(SEARCH(("Yes"),(Q754))))</formula>
    </cfRule>
  </conditionalFormatting>
  <conditionalFormatting sqref="Q754:Q758">
    <cfRule type="containsText" dxfId="9" priority="14287" operator="containsText" text="No">
      <formula>NOT(ISERROR(SEARCH(("No"),(Q754))))</formula>
    </cfRule>
  </conditionalFormatting>
  <conditionalFormatting sqref="Q754:Q758">
    <cfRule type="containsText" dxfId="2" priority="14288" operator="containsText" text="Yes">
      <formula>NOT(ISERROR(SEARCH(("Yes"),(Q754))))</formula>
    </cfRule>
  </conditionalFormatting>
  <conditionalFormatting sqref="Q754:Q758">
    <cfRule type="containsText" dxfId="9" priority="14289" operator="containsText" text="No">
      <formula>NOT(ISERROR(SEARCH(("No"),(Q754))))</formula>
    </cfRule>
  </conditionalFormatting>
  <conditionalFormatting sqref="Q754:Q758">
    <cfRule type="containsText" dxfId="2" priority="14290" operator="containsText" text="Yes">
      <formula>NOT(ISERROR(SEARCH(("Yes"),(Q754))))</formula>
    </cfRule>
  </conditionalFormatting>
  <conditionalFormatting sqref="Q754:Q758">
    <cfRule type="containsText" dxfId="9" priority="14291" operator="containsText" text="No">
      <formula>NOT(ISERROR(SEARCH(("No"),(Q754))))</formula>
    </cfRule>
  </conditionalFormatting>
  <conditionalFormatting sqref="Q754:Q758">
    <cfRule type="containsText" dxfId="2" priority="14292" operator="containsText" text="Yes">
      <formula>NOT(ISERROR(SEARCH(("Yes"),(Q754))))</formula>
    </cfRule>
  </conditionalFormatting>
  <conditionalFormatting sqref="Q754:Q758">
    <cfRule type="containsText" dxfId="9" priority="14293" operator="containsText" text="No">
      <formula>NOT(ISERROR(SEARCH(("No"),(Q754))))</formula>
    </cfRule>
  </conditionalFormatting>
  <conditionalFormatting sqref="Q754:Q758">
    <cfRule type="containsText" dxfId="2" priority="14294" operator="containsText" text="Yes">
      <formula>NOT(ISERROR(SEARCH(("Yes"),(Q754))))</formula>
    </cfRule>
  </conditionalFormatting>
  <conditionalFormatting sqref="Q754:Q758">
    <cfRule type="containsText" dxfId="9" priority="14295" operator="containsText" text="No">
      <formula>NOT(ISERROR(SEARCH(("No"),(Q754))))</formula>
    </cfRule>
  </conditionalFormatting>
  <conditionalFormatting sqref="Q754:Q758">
    <cfRule type="containsText" dxfId="2" priority="14296" operator="containsText" text="Yes">
      <formula>NOT(ISERROR(SEARCH(("Yes"),(Q754))))</formula>
    </cfRule>
  </conditionalFormatting>
  <conditionalFormatting sqref="Q754:Q758">
    <cfRule type="containsText" dxfId="9" priority="14297" operator="containsText" text="No">
      <formula>NOT(ISERROR(SEARCH(("No"),(Q754))))</formula>
    </cfRule>
  </conditionalFormatting>
  <conditionalFormatting sqref="Q754:Q758">
    <cfRule type="containsText" dxfId="2" priority="14298" operator="containsText" text="Yes">
      <formula>NOT(ISERROR(SEARCH(("Yes"),(Q754))))</formula>
    </cfRule>
  </conditionalFormatting>
  <conditionalFormatting sqref="Q754:Q758">
    <cfRule type="containsText" dxfId="9" priority="14299" operator="containsText" text="No">
      <formula>NOT(ISERROR(SEARCH(("No"),(Q754))))</formula>
    </cfRule>
  </conditionalFormatting>
  <conditionalFormatting sqref="Q754:Q758">
    <cfRule type="containsText" dxfId="2" priority="14300" operator="containsText" text="Yes">
      <formula>NOT(ISERROR(SEARCH(("Yes"),(Q754))))</formula>
    </cfRule>
  </conditionalFormatting>
  <conditionalFormatting sqref="Q754:Q758">
    <cfRule type="containsText" dxfId="9" priority="14301" operator="containsText" text="No">
      <formula>NOT(ISERROR(SEARCH(("No"),(Q754))))</formula>
    </cfRule>
  </conditionalFormatting>
  <conditionalFormatting sqref="Q754:Q758">
    <cfRule type="containsText" dxfId="2" priority="14302" operator="containsText" text="Yes">
      <formula>NOT(ISERROR(SEARCH(("Yes"),(Q754))))</formula>
    </cfRule>
  </conditionalFormatting>
  <conditionalFormatting sqref="Q754:Q758">
    <cfRule type="containsText" dxfId="9" priority="14303" operator="containsText" text="No">
      <formula>NOT(ISERROR(SEARCH(("No"),(Q754))))</formula>
    </cfRule>
  </conditionalFormatting>
  <conditionalFormatting sqref="Q754:Q758">
    <cfRule type="containsText" dxfId="2" priority="14304" operator="containsText" text="Yes">
      <formula>NOT(ISERROR(SEARCH(("Yes"),(Q754))))</formula>
    </cfRule>
  </conditionalFormatting>
  <conditionalFormatting sqref="Q754:Q758">
    <cfRule type="containsText" dxfId="2" priority="14305" operator="containsText" text="Yes">
      <formula>NOT(ISERROR(SEARCH(("Yes"),(Q754))))</formula>
    </cfRule>
  </conditionalFormatting>
  <conditionalFormatting sqref="Q754:Q758">
    <cfRule type="containsText" dxfId="9" priority="14306" operator="containsText" text="No">
      <formula>NOT(ISERROR(SEARCH(("No"),(Q754))))</formula>
    </cfRule>
  </conditionalFormatting>
  <conditionalFormatting sqref="Q754:Q758">
    <cfRule type="containsText" dxfId="2" priority="14307" operator="containsText" text="Yes">
      <formula>NOT(ISERROR(SEARCH(("Yes"),(Q754))))</formula>
    </cfRule>
  </conditionalFormatting>
  <conditionalFormatting sqref="Q763:Q769">
    <cfRule type="containsText" dxfId="2" priority="14308" operator="containsText" text="Yes">
      <formula>NOT(ISERROR(SEARCH(("Yes"),(Q763))))</formula>
    </cfRule>
  </conditionalFormatting>
  <conditionalFormatting sqref="Q763:Q769">
    <cfRule type="containsText" dxfId="9" priority="14309" operator="containsText" text="No">
      <formula>NOT(ISERROR(SEARCH(("No"),(Q763))))</formula>
    </cfRule>
  </conditionalFormatting>
  <conditionalFormatting sqref="Q763:Q769">
    <cfRule type="containsText" dxfId="2" priority="14310" operator="containsText" text="Yes">
      <formula>NOT(ISERROR(SEARCH(("Yes"),(Q763))))</formula>
    </cfRule>
  </conditionalFormatting>
  <conditionalFormatting sqref="Q763:Q769">
    <cfRule type="containsText" dxfId="9" priority="14311" operator="containsText" text="No">
      <formula>NOT(ISERROR(SEARCH(("No"),(Q763))))</formula>
    </cfRule>
  </conditionalFormatting>
  <conditionalFormatting sqref="Q763:Q769">
    <cfRule type="containsText" dxfId="2" priority="14312" operator="containsText" text="Yes">
      <formula>NOT(ISERROR(SEARCH(("Yes"),(Q763))))</formula>
    </cfRule>
  </conditionalFormatting>
  <conditionalFormatting sqref="Q763:Q769">
    <cfRule type="containsText" dxfId="9" priority="14313" operator="containsText" text="No">
      <formula>NOT(ISERROR(SEARCH(("No"),(Q763))))</formula>
    </cfRule>
  </conditionalFormatting>
  <conditionalFormatting sqref="Q763:Q769">
    <cfRule type="containsText" dxfId="2" priority="14314" operator="containsText" text="Yes">
      <formula>NOT(ISERROR(SEARCH(("Yes"),(Q763))))</formula>
    </cfRule>
  </conditionalFormatting>
  <conditionalFormatting sqref="Q763:Q769">
    <cfRule type="containsText" dxfId="9" priority="14315" operator="containsText" text="No">
      <formula>NOT(ISERROR(SEARCH(("No"),(Q763))))</formula>
    </cfRule>
  </conditionalFormatting>
  <conditionalFormatting sqref="Q763:Q769">
    <cfRule type="containsText" dxfId="2" priority="14316" operator="containsText" text="Yes">
      <formula>NOT(ISERROR(SEARCH(("Yes"),(Q763))))</formula>
    </cfRule>
  </conditionalFormatting>
  <conditionalFormatting sqref="Q763:Q769">
    <cfRule type="containsText" dxfId="9" priority="14317" operator="containsText" text="No">
      <formula>NOT(ISERROR(SEARCH(("No"),(Q763))))</formula>
    </cfRule>
  </conditionalFormatting>
  <conditionalFormatting sqref="Q763:Q769">
    <cfRule type="containsText" dxfId="2" priority="14318" operator="containsText" text="Yes">
      <formula>NOT(ISERROR(SEARCH(("Yes"),(Q763))))</formula>
    </cfRule>
  </conditionalFormatting>
  <conditionalFormatting sqref="Q763:Q769">
    <cfRule type="containsText" dxfId="9" priority="14319" operator="containsText" text="No">
      <formula>NOT(ISERROR(SEARCH(("No"),(Q763))))</formula>
    </cfRule>
  </conditionalFormatting>
  <conditionalFormatting sqref="Q763:Q769">
    <cfRule type="containsText" dxfId="2" priority="14320" operator="containsText" text="Yes">
      <formula>NOT(ISERROR(SEARCH(("Yes"),(Q763))))</formula>
    </cfRule>
  </conditionalFormatting>
  <conditionalFormatting sqref="Q763:Q769">
    <cfRule type="containsText" dxfId="9" priority="14321" operator="containsText" text="No">
      <formula>NOT(ISERROR(SEARCH(("No"),(Q763))))</formula>
    </cfRule>
  </conditionalFormatting>
  <conditionalFormatting sqref="Q763:Q769">
    <cfRule type="containsText" dxfId="2" priority="14322" operator="containsText" text="Yes">
      <formula>NOT(ISERROR(SEARCH(("Yes"),(Q763))))</formula>
    </cfRule>
  </conditionalFormatting>
  <conditionalFormatting sqref="Q763:Q769">
    <cfRule type="containsText" dxfId="9" priority="14323" operator="containsText" text="No">
      <formula>NOT(ISERROR(SEARCH(("No"),(Q763))))</formula>
    </cfRule>
  </conditionalFormatting>
  <conditionalFormatting sqref="Q763:Q769">
    <cfRule type="containsText" dxfId="2" priority="14324" operator="containsText" text="Yes">
      <formula>NOT(ISERROR(SEARCH(("Yes"),(Q763))))</formula>
    </cfRule>
  </conditionalFormatting>
  <conditionalFormatting sqref="Q763:Q769">
    <cfRule type="containsText" dxfId="9" priority="14325" operator="containsText" text="No">
      <formula>NOT(ISERROR(SEARCH(("No"),(Q763))))</formula>
    </cfRule>
  </conditionalFormatting>
  <conditionalFormatting sqref="Q763:Q769">
    <cfRule type="containsText" dxfId="2" priority="14326" operator="containsText" text="Yes">
      <formula>NOT(ISERROR(SEARCH(("Yes"),(Q763))))</formula>
    </cfRule>
  </conditionalFormatting>
  <conditionalFormatting sqref="Q763:Q769">
    <cfRule type="containsText" dxfId="9" priority="14327" operator="containsText" text="No">
      <formula>NOT(ISERROR(SEARCH(("No"),(Q763))))</formula>
    </cfRule>
  </conditionalFormatting>
  <conditionalFormatting sqref="Q763:Q769">
    <cfRule type="containsText" dxfId="2" priority="14328" operator="containsText" text="Yes">
      <formula>NOT(ISERROR(SEARCH(("Yes"),(Q763))))</formula>
    </cfRule>
  </conditionalFormatting>
  <conditionalFormatting sqref="Q763:Q769">
    <cfRule type="containsText" dxfId="9" priority="14329" operator="containsText" text="No">
      <formula>NOT(ISERROR(SEARCH(("No"),(Q763))))</formula>
    </cfRule>
  </conditionalFormatting>
  <conditionalFormatting sqref="Q763:Q769">
    <cfRule type="containsText" dxfId="2" priority="14330" operator="containsText" text="Yes">
      <formula>NOT(ISERROR(SEARCH(("Yes"),(Q763))))</formula>
    </cfRule>
  </conditionalFormatting>
  <conditionalFormatting sqref="Q763:Q769">
    <cfRule type="containsText" dxfId="9" priority="14331" operator="containsText" text="No">
      <formula>NOT(ISERROR(SEARCH(("No"),(Q763))))</formula>
    </cfRule>
  </conditionalFormatting>
  <conditionalFormatting sqref="Q763:Q769">
    <cfRule type="containsText" dxfId="2" priority="14332" operator="containsText" text="Yes">
      <formula>NOT(ISERROR(SEARCH(("Yes"),(Q763))))</formula>
    </cfRule>
  </conditionalFormatting>
  <conditionalFormatting sqref="Q763:Q769">
    <cfRule type="containsText" dxfId="9" priority="14333" operator="containsText" text="No">
      <formula>NOT(ISERROR(SEARCH(("No"),(Q763))))</formula>
    </cfRule>
  </conditionalFormatting>
  <conditionalFormatting sqref="Q763:Q769">
    <cfRule type="containsText" dxfId="2" priority="14334" operator="containsText" text="Yes">
      <formula>NOT(ISERROR(SEARCH(("Yes"),(Q763))))</formula>
    </cfRule>
  </conditionalFormatting>
  <conditionalFormatting sqref="Q763:Q769">
    <cfRule type="containsText" dxfId="9" priority="14335" operator="containsText" text="No">
      <formula>NOT(ISERROR(SEARCH(("No"),(Q763))))</formula>
    </cfRule>
  </conditionalFormatting>
  <conditionalFormatting sqref="Q763:Q769">
    <cfRule type="containsText" dxfId="2" priority="14336" operator="containsText" text="Yes">
      <formula>NOT(ISERROR(SEARCH(("Yes"),(Q763))))</formula>
    </cfRule>
  </conditionalFormatting>
  <conditionalFormatting sqref="Q763:Q769">
    <cfRule type="containsText" dxfId="9" priority="14337" operator="containsText" text="No">
      <formula>NOT(ISERROR(SEARCH(("No"),(Q763))))</formula>
    </cfRule>
  </conditionalFormatting>
  <conditionalFormatting sqref="Q763:Q769">
    <cfRule type="containsText" dxfId="2" priority="14338" operator="containsText" text="Yes">
      <formula>NOT(ISERROR(SEARCH(("Yes"),(Q763))))</formula>
    </cfRule>
  </conditionalFormatting>
  <conditionalFormatting sqref="Q763:Q769">
    <cfRule type="containsText" dxfId="9" priority="14339" operator="containsText" text="No">
      <formula>NOT(ISERROR(SEARCH(("No"),(Q763))))</formula>
    </cfRule>
  </conditionalFormatting>
  <conditionalFormatting sqref="Q763:Q769">
    <cfRule type="containsText" dxfId="2" priority="14340" operator="containsText" text="Yes">
      <formula>NOT(ISERROR(SEARCH(("Yes"),(Q763))))</formula>
    </cfRule>
  </conditionalFormatting>
  <conditionalFormatting sqref="Q763:Q769">
    <cfRule type="containsText" dxfId="9" priority="14341" operator="containsText" text="No">
      <formula>NOT(ISERROR(SEARCH(("No"),(Q763))))</formula>
    </cfRule>
  </conditionalFormatting>
  <conditionalFormatting sqref="Q763:Q769">
    <cfRule type="containsText" dxfId="2" priority="14342" operator="containsText" text="Yes">
      <formula>NOT(ISERROR(SEARCH(("Yes"),(Q763))))</formula>
    </cfRule>
  </conditionalFormatting>
  <conditionalFormatting sqref="Q763:Q769">
    <cfRule type="containsText" dxfId="9" priority="14343" operator="containsText" text="No">
      <formula>NOT(ISERROR(SEARCH(("No"),(Q763))))</formula>
    </cfRule>
  </conditionalFormatting>
  <conditionalFormatting sqref="Q763:Q769">
    <cfRule type="containsText" dxfId="2" priority="14344" operator="containsText" text="Yes">
      <formula>NOT(ISERROR(SEARCH(("Yes"),(Q763))))</formula>
    </cfRule>
  </conditionalFormatting>
  <conditionalFormatting sqref="Q763:Q769">
    <cfRule type="containsText" dxfId="9" priority="14345" operator="containsText" text="No">
      <formula>NOT(ISERROR(SEARCH(("No"),(Q763))))</formula>
    </cfRule>
  </conditionalFormatting>
  <conditionalFormatting sqref="Q763:Q769">
    <cfRule type="containsText" dxfId="2" priority="14346" operator="containsText" text="Yes">
      <formula>NOT(ISERROR(SEARCH(("Yes"),(Q763))))</formula>
    </cfRule>
  </conditionalFormatting>
  <conditionalFormatting sqref="Q763:Q769">
    <cfRule type="containsText" dxfId="9" priority="14347" operator="containsText" text="No">
      <formula>NOT(ISERROR(SEARCH(("No"),(Q763))))</formula>
    </cfRule>
  </conditionalFormatting>
  <conditionalFormatting sqref="Q763:Q769">
    <cfRule type="containsText" dxfId="2" priority="14348" operator="containsText" text="Yes">
      <formula>NOT(ISERROR(SEARCH(("Yes"),(Q763))))</formula>
    </cfRule>
  </conditionalFormatting>
  <conditionalFormatting sqref="Q763:Q769">
    <cfRule type="containsText" dxfId="9" priority="14349" operator="containsText" text="No">
      <formula>NOT(ISERROR(SEARCH(("No"),(Q763))))</formula>
    </cfRule>
  </conditionalFormatting>
  <conditionalFormatting sqref="Q763:Q769">
    <cfRule type="containsText" dxfId="2" priority="14350" operator="containsText" text="Yes">
      <formula>NOT(ISERROR(SEARCH(("Yes"),(Q763))))</formula>
    </cfRule>
  </conditionalFormatting>
  <conditionalFormatting sqref="Q763:Q769">
    <cfRule type="containsText" dxfId="9" priority="14351" operator="containsText" text="No">
      <formula>NOT(ISERROR(SEARCH(("No"),(Q763))))</formula>
    </cfRule>
  </conditionalFormatting>
  <conditionalFormatting sqref="Q763:Q769">
    <cfRule type="containsText" dxfId="2" priority="14352" operator="containsText" text="Yes">
      <formula>NOT(ISERROR(SEARCH(("Yes"),(Q763))))</formula>
    </cfRule>
  </conditionalFormatting>
  <conditionalFormatting sqref="Q763:Q769">
    <cfRule type="containsText" dxfId="9" priority="14353" operator="containsText" text="No">
      <formula>NOT(ISERROR(SEARCH(("No"),(Q763))))</formula>
    </cfRule>
  </conditionalFormatting>
  <conditionalFormatting sqref="Q763:Q769">
    <cfRule type="containsText" dxfId="2" priority="14354" operator="containsText" text="Yes">
      <formula>NOT(ISERROR(SEARCH(("Yes"),(Q763))))</formula>
    </cfRule>
  </conditionalFormatting>
  <conditionalFormatting sqref="Q763:Q769">
    <cfRule type="containsText" dxfId="9" priority="14355" operator="containsText" text="No">
      <formula>NOT(ISERROR(SEARCH(("No"),(Q763))))</formula>
    </cfRule>
  </conditionalFormatting>
  <conditionalFormatting sqref="Q763:Q769">
    <cfRule type="containsText" dxfId="2" priority="14356" operator="containsText" text="Yes">
      <formula>NOT(ISERROR(SEARCH(("Yes"),(Q763))))</formula>
    </cfRule>
  </conditionalFormatting>
  <conditionalFormatting sqref="Q763:Q769">
    <cfRule type="containsText" dxfId="9" priority="14357" operator="containsText" text="No">
      <formula>NOT(ISERROR(SEARCH(("No"),(Q763))))</formula>
    </cfRule>
  </conditionalFormatting>
  <conditionalFormatting sqref="Q763:Q769">
    <cfRule type="containsText" dxfId="2" priority="14358" operator="containsText" text="Yes">
      <formula>NOT(ISERROR(SEARCH(("Yes"),(Q763))))</formula>
    </cfRule>
  </conditionalFormatting>
  <conditionalFormatting sqref="Q763:Q769">
    <cfRule type="containsText" dxfId="9" priority="14359" operator="containsText" text="No">
      <formula>NOT(ISERROR(SEARCH(("No"),(Q763))))</formula>
    </cfRule>
  </conditionalFormatting>
  <conditionalFormatting sqref="Q763:Q769">
    <cfRule type="containsText" dxfId="2" priority="14360" operator="containsText" text="Yes">
      <formula>NOT(ISERROR(SEARCH(("Yes"),(Q763))))</formula>
    </cfRule>
  </conditionalFormatting>
  <conditionalFormatting sqref="Q763:Q769">
    <cfRule type="containsText" dxfId="9" priority="14361" operator="containsText" text="No">
      <formula>NOT(ISERROR(SEARCH(("No"),(Q763))))</formula>
    </cfRule>
  </conditionalFormatting>
  <conditionalFormatting sqref="Q763:Q769">
    <cfRule type="containsText" dxfId="2" priority="14362" operator="containsText" text="Yes">
      <formula>NOT(ISERROR(SEARCH(("Yes"),(Q763))))</formula>
    </cfRule>
  </conditionalFormatting>
  <conditionalFormatting sqref="Q763:Q769">
    <cfRule type="containsText" dxfId="9" priority="14363" operator="containsText" text="No">
      <formula>NOT(ISERROR(SEARCH(("No"),(Q763))))</formula>
    </cfRule>
  </conditionalFormatting>
  <conditionalFormatting sqref="Q763:Q769">
    <cfRule type="containsText" dxfId="2" priority="14364" operator="containsText" text="Yes">
      <formula>NOT(ISERROR(SEARCH(("Yes"),(Q763))))</formula>
    </cfRule>
  </conditionalFormatting>
  <conditionalFormatting sqref="Q763:Q769">
    <cfRule type="containsText" dxfId="9" priority="14365" operator="containsText" text="No">
      <formula>NOT(ISERROR(SEARCH(("No"),(Q763))))</formula>
    </cfRule>
  </conditionalFormatting>
  <conditionalFormatting sqref="Q763:Q769">
    <cfRule type="containsText" dxfId="2" priority="14366" operator="containsText" text="Yes">
      <formula>NOT(ISERROR(SEARCH(("Yes"),(Q763))))</formula>
    </cfRule>
  </conditionalFormatting>
  <conditionalFormatting sqref="Q763:Q769">
    <cfRule type="containsText" dxfId="9" priority="14367" operator="containsText" text="No">
      <formula>NOT(ISERROR(SEARCH(("No"),(Q763))))</formula>
    </cfRule>
  </conditionalFormatting>
  <conditionalFormatting sqref="Q763:Q769">
    <cfRule type="containsText" dxfId="2" priority="14368" operator="containsText" text="Yes">
      <formula>NOT(ISERROR(SEARCH(("Yes"),(Q763))))</formula>
    </cfRule>
  </conditionalFormatting>
  <conditionalFormatting sqref="Q763:Q769">
    <cfRule type="containsText" dxfId="9" priority="14369" operator="containsText" text="No">
      <formula>NOT(ISERROR(SEARCH(("No"),(Q763))))</formula>
    </cfRule>
  </conditionalFormatting>
  <conditionalFormatting sqref="Q763:Q769">
    <cfRule type="containsText" dxfId="2" priority="14370" operator="containsText" text="Yes">
      <formula>NOT(ISERROR(SEARCH(("Yes"),(Q763))))</formula>
    </cfRule>
  </conditionalFormatting>
  <conditionalFormatting sqref="Q763:Q769">
    <cfRule type="containsText" dxfId="9" priority="14371" operator="containsText" text="No">
      <formula>NOT(ISERROR(SEARCH(("No"),(Q763))))</formula>
    </cfRule>
  </conditionalFormatting>
  <conditionalFormatting sqref="Q763:Q769">
    <cfRule type="containsText" dxfId="2" priority="14372" operator="containsText" text="Yes">
      <formula>NOT(ISERROR(SEARCH(("Yes"),(Q763))))</formula>
    </cfRule>
  </conditionalFormatting>
  <conditionalFormatting sqref="Q763:Q769">
    <cfRule type="containsText" dxfId="9" priority="14373" operator="containsText" text="No">
      <formula>NOT(ISERROR(SEARCH(("No"),(Q763))))</formula>
    </cfRule>
  </conditionalFormatting>
  <conditionalFormatting sqref="Q763:Q769">
    <cfRule type="containsText" dxfId="2" priority="14374" operator="containsText" text="Yes">
      <formula>NOT(ISERROR(SEARCH(("Yes"),(Q763))))</formula>
    </cfRule>
  </conditionalFormatting>
  <conditionalFormatting sqref="Q763:Q769">
    <cfRule type="containsText" dxfId="9" priority="14375" operator="containsText" text="No">
      <formula>NOT(ISERROR(SEARCH(("No"),(Q763))))</formula>
    </cfRule>
  </conditionalFormatting>
  <conditionalFormatting sqref="Q763:Q769">
    <cfRule type="containsText" dxfId="2" priority="14376" operator="containsText" text="Yes">
      <formula>NOT(ISERROR(SEARCH(("Yes"),(Q763))))</formula>
    </cfRule>
  </conditionalFormatting>
  <conditionalFormatting sqref="Q763:Q769">
    <cfRule type="containsText" dxfId="9" priority="14377" operator="containsText" text="No">
      <formula>NOT(ISERROR(SEARCH(("No"),(Q763))))</formula>
    </cfRule>
  </conditionalFormatting>
  <conditionalFormatting sqref="Q763:Q769">
    <cfRule type="containsText" dxfId="2" priority="14378" operator="containsText" text="Yes">
      <formula>NOT(ISERROR(SEARCH(("Yes"),(Q763))))</formula>
    </cfRule>
  </conditionalFormatting>
  <conditionalFormatting sqref="Q763:Q769">
    <cfRule type="containsText" dxfId="9" priority="14379" operator="containsText" text="No">
      <formula>NOT(ISERROR(SEARCH(("No"),(Q763))))</formula>
    </cfRule>
  </conditionalFormatting>
  <conditionalFormatting sqref="Q763:Q769">
    <cfRule type="containsText" dxfId="2" priority="14380" operator="containsText" text="Yes">
      <formula>NOT(ISERROR(SEARCH(("Yes"),(Q763))))</formula>
    </cfRule>
  </conditionalFormatting>
  <conditionalFormatting sqref="Q763:Q769">
    <cfRule type="containsText" dxfId="9" priority="14381" operator="containsText" text="No">
      <formula>NOT(ISERROR(SEARCH(("No"),(Q763))))</formula>
    </cfRule>
  </conditionalFormatting>
  <conditionalFormatting sqref="Q763:Q769">
    <cfRule type="containsText" dxfId="2" priority="14382" operator="containsText" text="Yes">
      <formula>NOT(ISERROR(SEARCH(("Yes"),(Q763))))</formula>
    </cfRule>
  </conditionalFormatting>
  <conditionalFormatting sqref="Q763:Q769">
    <cfRule type="containsText" dxfId="9" priority="14383" operator="containsText" text="No">
      <formula>NOT(ISERROR(SEARCH(("No"),(Q763))))</formula>
    </cfRule>
  </conditionalFormatting>
  <conditionalFormatting sqref="Q763:Q769">
    <cfRule type="containsText" dxfId="2" priority="14384" operator="containsText" text="Yes">
      <formula>NOT(ISERROR(SEARCH(("Yes"),(Q763))))</formula>
    </cfRule>
  </conditionalFormatting>
  <conditionalFormatting sqref="Q763:Q769">
    <cfRule type="containsText" dxfId="9" priority="14385" operator="containsText" text="No">
      <formula>NOT(ISERROR(SEARCH(("No"),(Q763))))</formula>
    </cfRule>
  </conditionalFormatting>
  <conditionalFormatting sqref="Q763:Q769">
    <cfRule type="containsText" dxfId="2" priority="14386" operator="containsText" text="Yes">
      <formula>NOT(ISERROR(SEARCH(("Yes"),(Q763))))</formula>
    </cfRule>
  </conditionalFormatting>
  <conditionalFormatting sqref="Q763:Q769">
    <cfRule type="containsText" dxfId="9" priority="14387" operator="containsText" text="No">
      <formula>NOT(ISERROR(SEARCH(("No"),(Q763))))</formula>
    </cfRule>
  </conditionalFormatting>
  <conditionalFormatting sqref="Q763:Q769">
    <cfRule type="containsText" dxfId="2" priority="14388" operator="containsText" text="Yes">
      <formula>NOT(ISERROR(SEARCH(("Yes"),(Q763))))</formula>
    </cfRule>
  </conditionalFormatting>
  <conditionalFormatting sqref="Q763:Q769">
    <cfRule type="containsText" dxfId="9" priority="14389" operator="containsText" text="No">
      <formula>NOT(ISERROR(SEARCH(("No"),(Q763))))</formula>
    </cfRule>
  </conditionalFormatting>
  <conditionalFormatting sqref="Q763:Q769">
    <cfRule type="containsText" dxfId="2" priority="14390" operator="containsText" text="Yes">
      <formula>NOT(ISERROR(SEARCH(("Yes"),(Q763))))</formula>
    </cfRule>
  </conditionalFormatting>
  <conditionalFormatting sqref="Q763:Q769">
    <cfRule type="containsText" dxfId="9" priority="14391" operator="containsText" text="No">
      <formula>NOT(ISERROR(SEARCH(("No"),(Q763))))</formula>
    </cfRule>
  </conditionalFormatting>
  <conditionalFormatting sqref="Q763:Q769">
    <cfRule type="containsText" dxfId="2" priority="14392" operator="containsText" text="Yes">
      <formula>NOT(ISERROR(SEARCH(("Yes"),(Q763))))</formula>
    </cfRule>
  </conditionalFormatting>
  <conditionalFormatting sqref="Q763:Q769">
    <cfRule type="containsText" dxfId="9" priority="14393" operator="containsText" text="No">
      <formula>NOT(ISERROR(SEARCH(("No"),(Q763))))</formula>
    </cfRule>
  </conditionalFormatting>
  <conditionalFormatting sqref="Q763:Q769">
    <cfRule type="containsText" dxfId="2" priority="14394" operator="containsText" text="Yes">
      <formula>NOT(ISERROR(SEARCH(("Yes"),(Q763))))</formula>
    </cfRule>
  </conditionalFormatting>
  <conditionalFormatting sqref="Q763:Q769">
    <cfRule type="containsText" dxfId="9" priority="14395" operator="containsText" text="No">
      <formula>NOT(ISERROR(SEARCH(("No"),(Q763))))</formula>
    </cfRule>
  </conditionalFormatting>
  <conditionalFormatting sqref="Q763:Q769">
    <cfRule type="containsText" dxfId="2" priority="14396" operator="containsText" text="Yes">
      <formula>NOT(ISERROR(SEARCH(("Yes"),(Q763))))</formula>
    </cfRule>
  </conditionalFormatting>
  <conditionalFormatting sqref="Q763:Q769">
    <cfRule type="containsText" dxfId="2" priority="14397" operator="containsText" text="Yes">
      <formula>NOT(ISERROR(SEARCH(("Yes"),(Q763))))</formula>
    </cfRule>
  </conditionalFormatting>
  <conditionalFormatting sqref="Q763:Q769">
    <cfRule type="containsText" dxfId="9" priority="14398" operator="containsText" text="No">
      <formula>NOT(ISERROR(SEARCH(("No"),(Q763))))</formula>
    </cfRule>
  </conditionalFormatting>
  <conditionalFormatting sqref="Q763:Q769">
    <cfRule type="containsText" dxfId="2" priority="14399" operator="containsText" text="Yes">
      <formula>NOT(ISERROR(SEARCH(("Yes"),(Q763))))</formula>
    </cfRule>
  </conditionalFormatting>
  <conditionalFormatting sqref="Q771:Q772">
    <cfRule type="containsText" dxfId="2" priority="14400" operator="containsText" text="Yes">
      <formula>NOT(ISERROR(SEARCH(("Yes"),(Q771))))</formula>
    </cfRule>
  </conditionalFormatting>
  <conditionalFormatting sqref="Q771:Q772">
    <cfRule type="containsText" dxfId="9" priority="14401" operator="containsText" text="No">
      <formula>NOT(ISERROR(SEARCH(("No"),(Q771))))</formula>
    </cfRule>
  </conditionalFormatting>
  <conditionalFormatting sqref="Q771:Q772">
    <cfRule type="containsText" dxfId="2" priority="14402" operator="containsText" text="Yes">
      <formula>NOT(ISERROR(SEARCH(("Yes"),(Q771))))</formula>
    </cfRule>
  </conditionalFormatting>
  <conditionalFormatting sqref="Q771:Q772">
    <cfRule type="containsText" dxfId="9" priority="14403" operator="containsText" text="No">
      <formula>NOT(ISERROR(SEARCH(("No"),(Q771))))</formula>
    </cfRule>
  </conditionalFormatting>
  <conditionalFormatting sqref="Q771:Q772">
    <cfRule type="containsText" dxfId="2" priority="14404" operator="containsText" text="Yes">
      <formula>NOT(ISERROR(SEARCH(("Yes"),(Q771))))</formula>
    </cfRule>
  </conditionalFormatting>
  <conditionalFormatting sqref="Q771:Q772">
    <cfRule type="containsText" dxfId="9" priority="14405" operator="containsText" text="No">
      <formula>NOT(ISERROR(SEARCH(("No"),(Q771))))</formula>
    </cfRule>
  </conditionalFormatting>
  <conditionalFormatting sqref="Q771:Q772">
    <cfRule type="containsText" dxfId="2" priority="14406" operator="containsText" text="Yes">
      <formula>NOT(ISERROR(SEARCH(("Yes"),(Q771))))</formula>
    </cfRule>
  </conditionalFormatting>
  <conditionalFormatting sqref="Q771:Q772">
    <cfRule type="containsText" dxfId="9" priority="14407" operator="containsText" text="No">
      <formula>NOT(ISERROR(SEARCH(("No"),(Q771))))</formula>
    </cfRule>
  </conditionalFormatting>
  <conditionalFormatting sqref="Q771:Q772">
    <cfRule type="containsText" dxfId="2" priority="14408" operator="containsText" text="Yes">
      <formula>NOT(ISERROR(SEARCH(("Yes"),(Q771))))</formula>
    </cfRule>
  </conditionalFormatting>
  <conditionalFormatting sqref="Q771:Q772">
    <cfRule type="containsText" dxfId="9" priority="14409" operator="containsText" text="No">
      <formula>NOT(ISERROR(SEARCH(("No"),(Q771))))</formula>
    </cfRule>
  </conditionalFormatting>
  <conditionalFormatting sqref="Q771:Q772">
    <cfRule type="containsText" dxfId="2" priority="14410" operator="containsText" text="Yes">
      <formula>NOT(ISERROR(SEARCH(("Yes"),(Q771))))</formula>
    </cfRule>
  </conditionalFormatting>
  <conditionalFormatting sqref="Q771:Q772">
    <cfRule type="containsText" dxfId="9" priority="14411" operator="containsText" text="No">
      <formula>NOT(ISERROR(SEARCH(("No"),(Q771))))</formula>
    </cfRule>
  </conditionalFormatting>
  <conditionalFormatting sqref="Q771:Q772">
    <cfRule type="containsText" dxfId="2" priority="14412" operator="containsText" text="Yes">
      <formula>NOT(ISERROR(SEARCH(("Yes"),(Q771))))</formula>
    </cfRule>
  </conditionalFormatting>
  <conditionalFormatting sqref="Q771:Q772">
    <cfRule type="containsText" dxfId="9" priority="14413" operator="containsText" text="No">
      <formula>NOT(ISERROR(SEARCH(("No"),(Q771))))</formula>
    </cfRule>
  </conditionalFormatting>
  <conditionalFormatting sqref="Q771:Q772">
    <cfRule type="containsText" dxfId="2" priority="14414" operator="containsText" text="Yes">
      <formula>NOT(ISERROR(SEARCH(("Yes"),(Q771))))</formula>
    </cfRule>
  </conditionalFormatting>
  <conditionalFormatting sqref="Q771:Q772">
    <cfRule type="containsText" dxfId="9" priority="14415" operator="containsText" text="No">
      <formula>NOT(ISERROR(SEARCH(("No"),(Q771))))</formula>
    </cfRule>
  </conditionalFormatting>
  <conditionalFormatting sqref="Q771:Q772">
    <cfRule type="containsText" dxfId="2" priority="14416" operator="containsText" text="Yes">
      <formula>NOT(ISERROR(SEARCH(("Yes"),(Q771))))</formula>
    </cfRule>
  </conditionalFormatting>
  <conditionalFormatting sqref="Q771:Q772">
    <cfRule type="containsText" dxfId="9" priority="14417" operator="containsText" text="No">
      <formula>NOT(ISERROR(SEARCH(("No"),(Q771))))</formula>
    </cfRule>
  </conditionalFormatting>
  <conditionalFormatting sqref="Q771:Q772">
    <cfRule type="containsText" dxfId="2" priority="14418" operator="containsText" text="Yes">
      <formula>NOT(ISERROR(SEARCH(("Yes"),(Q771))))</formula>
    </cfRule>
  </conditionalFormatting>
  <conditionalFormatting sqref="Q771:Q772">
    <cfRule type="containsText" dxfId="9" priority="14419" operator="containsText" text="No">
      <formula>NOT(ISERROR(SEARCH(("No"),(Q771))))</formula>
    </cfRule>
  </conditionalFormatting>
  <conditionalFormatting sqref="Q771:Q772">
    <cfRule type="containsText" dxfId="2" priority="14420" operator="containsText" text="Yes">
      <formula>NOT(ISERROR(SEARCH(("Yes"),(Q771))))</formula>
    </cfRule>
  </conditionalFormatting>
  <conditionalFormatting sqref="Q771:Q772">
    <cfRule type="containsText" dxfId="9" priority="14421" operator="containsText" text="No">
      <formula>NOT(ISERROR(SEARCH(("No"),(Q771))))</formula>
    </cfRule>
  </conditionalFormatting>
  <conditionalFormatting sqref="Q771:Q772">
    <cfRule type="containsText" dxfId="2" priority="14422" operator="containsText" text="Yes">
      <formula>NOT(ISERROR(SEARCH(("Yes"),(Q771))))</formula>
    </cfRule>
  </conditionalFormatting>
  <conditionalFormatting sqref="Q771:Q772">
    <cfRule type="containsText" dxfId="9" priority="14423" operator="containsText" text="No">
      <formula>NOT(ISERROR(SEARCH(("No"),(Q771))))</formula>
    </cfRule>
  </conditionalFormatting>
  <conditionalFormatting sqref="Q771:Q772">
    <cfRule type="containsText" dxfId="2" priority="14424" operator="containsText" text="Yes">
      <formula>NOT(ISERROR(SEARCH(("Yes"),(Q771))))</formula>
    </cfRule>
  </conditionalFormatting>
  <conditionalFormatting sqref="Q771:Q772">
    <cfRule type="containsText" dxfId="9" priority="14425" operator="containsText" text="No">
      <formula>NOT(ISERROR(SEARCH(("No"),(Q771))))</formula>
    </cfRule>
  </conditionalFormatting>
  <conditionalFormatting sqref="Q771:Q772">
    <cfRule type="containsText" dxfId="2" priority="14426" operator="containsText" text="Yes">
      <formula>NOT(ISERROR(SEARCH(("Yes"),(Q771))))</formula>
    </cfRule>
  </conditionalFormatting>
  <conditionalFormatting sqref="Q771:Q772">
    <cfRule type="containsText" dxfId="9" priority="14427" operator="containsText" text="No">
      <formula>NOT(ISERROR(SEARCH(("No"),(Q771))))</formula>
    </cfRule>
  </conditionalFormatting>
  <conditionalFormatting sqref="Q771:Q772">
    <cfRule type="containsText" dxfId="2" priority="14428" operator="containsText" text="Yes">
      <formula>NOT(ISERROR(SEARCH(("Yes"),(Q771))))</formula>
    </cfRule>
  </conditionalFormatting>
  <conditionalFormatting sqref="Q771:Q772">
    <cfRule type="containsText" dxfId="9" priority="14429" operator="containsText" text="No">
      <formula>NOT(ISERROR(SEARCH(("No"),(Q771))))</formula>
    </cfRule>
  </conditionalFormatting>
  <conditionalFormatting sqref="Q771:Q772">
    <cfRule type="containsText" dxfId="2" priority="14430" operator="containsText" text="Yes">
      <formula>NOT(ISERROR(SEARCH(("Yes"),(Q771))))</formula>
    </cfRule>
  </conditionalFormatting>
  <conditionalFormatting sqref="Q771:Q772">
    <cfRule type="containsText" dxfId="9" priority="14431" operator="containsText" text="No">
      <formula>NOT(ISERROR(SEARCH(("No"),(Q771))))</formula>
    </cfRule>
  </conditionalFormatting>
  <conditionalFormatting sqref="Q771:Q772">
    <cfRule type="containsText" dxfId="2" priority="14432" operator="containsText" text="Yes">
      <formula>NOT(ISERROR(SEARCH(("Yes"),(Q771))))</formula>
    </cfRule>
  </conditionalFormatting>
  <conditionalFormatting sqref="Q771:Q772">
    <cfRule type="containsText" dxfId="9" priority="14433" operator="containsText" text="No">
      <formula>NOT(ISERROR(SEARCH(("No"),(Q771))))</formula>
    </cfRule>
  </conditionalFormatting>
  <conditionalFormatting sqref="Q771:Q772">
    <cfRule type="containsText" dxfId="2" priority="14434" operator="containsText" text="Yes">
      <formula>NOT(ISERROR(SEARCH(("Yes"),(Q771))))</formula>
    </cfRule>
  </conditionalFormatting>
  <conditionalFormatting sqref="Q771:Q772">
    <cfRule type="containsText" dxfId="9" priority="14435" operator="containsText" text="No">
      <formula>NOT(ISERROR(SEARCH(("No"),(Q771))))</formula>
    </cfRule>
  </conditionalFormatting>
  <conditionalFormatting sqref="Q771:Q772">
    <cfRule type="containsText" dxfId="2" priority="14436" operator="containsText" text="Yes">
      <formula>NOT(ISERROR(SEARCH(("Yes"),(Q771))))</formula>
    </cfRule>
  </conditionalFormatting>
  <conditionalFormatting sqref="Q771:Q772">
    <cfRule type="containsText" dxfId="9" priority="14437" operator="containsText" text="No">
      <formula>NOT(ISERROR(SEARCH(("No"),(Q771))))</formula>
    </cfRule>
  </conditionalFormatting>
  <conditionalFormatting sqref="Q771:Q772">
    <cfRule type="containsText" dxfId="2" priority="14438" operator="containsText" text="Yes">
      <formula>NOT(ISERROR(SEARCH(("Yes"),(Q771))))</formula>
    </cfRule>
  </conditionalFormatting>
  <conditionalFormatting sqref="Q771:Q772">
    <cfRule type="containsText" dxfId="9" priority="14439" operator="containsText" text="No">
      <formula>NOT(ISERROR(SEARCH(("No"),(Q771))))</formula>
    </cfRule>
  </conditionalFormatting>
  <conditionalFormatting sqref="Q771:Q772">
    <cfRule type="containsText" dxfId="2" priority="14440" operator="containsText" text="Yes">
      <formula>NOT(ISERROR(SEARCH(("Yes"),(Q771))))</formula>
    </cfRule>
  </conditionalFormatting>
  <conditionalFormatting sqref="Q771:Q772">
    <cfRule type="containsText" dxfId="9" priority="14441" operator="containsText" text="No">
      <formula>NOT(ISERROR(SEARCH(("No"),(Q771))))</formula>
    </cfRule>
  </conditionalFormatting>
  <conditionalFormatting sqref="Q771:Q772">
    <cfRule type="containsText" dxfId="2" priority="14442" operator="containsText" text="Yes">
      <formula>NOT(ISERROR(SEARCH(("Yes"),(Q771))))</formula>
    </cfRule>
  </conditionalFormatting>
  <conditionalFormatting sqref="Q771:Q772">
    <cfRule type="containsText" dxfId="9" priority="14443" operator="containsText" text="No">
      <formula>NOT(ISERROR(SEARCH(("No"),(Q771))))</formula>
    </cfRule>
  </conditionalFormatting>
  <conditionalFormatting sqref="Q771:Q772">
    <cfRule type="containsText" dxfId="2" priority="14444" operator="containsText" text="Yes">
      <formula>NOT(ISERROR(SEARCH(("Yes"),(Q771))))</formula>
    </cfRule>
  </conditionalFormatting>
  <conditionalFormatting sqref="Q771:Q772">
    <cfRule type="containsText" dxfId="9" priority="14445" operator="containsText" text="No">
      <formula>NOT(ISERROR(SEARCH(("No"),(Q771))))</formula>
    </cfRule>
  </conditionalFormatting>
  <conditionalFormatting sqref="Q771:Q772">
    <cfRule type="containsText" dxfId="2" priority="14446" operator="containsText" text="Yes">
      <formula>NOT(ISERROR(SEARCH(("Yes"),(Q771))))</formula>
    </cfRule>
  </conditionalFormatting>
  <conditionalFormatting sqref="Q771:Q772">
    <cfRule type="containsText" dxfId="9" priority="14447" operator="containsText" text="No">
      <formula>NOT(ISERROR(SEARCH(("No"),(Q771))))</formula>
    </cfRule>
  </conditionalFormatting>
  <conditionalFormatting sqref="Q771:Q772">
    <cfRule type="containsText" dxfId="2" priority="14448" operator="containsText" text="Yes">
      <formula>NOT(ISERROR(SEARCH(("Yes"),(Q771))))</formula>
    </cfRule>
  </conditionalFormatting>
  <conditionalFormatting sqref="Q771:Q772">
    <cfRule type="containsText" dxfId="9" priority="14449" operator="containsText" text="No">
      <formula>NOT(ISERROR(SEARCH(("No"),(Q771))))</formula>
    </cfRule>
  </conditionalFormatting>
  <conditionalFormatting sqref="Q771:Q772">
    <cfRule type="containsText" dxfId="2" priority="14450" operator="containsText" text="Yes">
      <formula>NOT(ISERROR(SEARCH(("Yes"),(Q771))))</formula>
    </cfRule>
  </conditionalFormatting>
  <conditionalFormatting sqref="Q771:Q772">
    <cfRule type="containsText" dxfId="9" priority="14451" operator="containsText" text="No">
      <formula>NOT(ISERROR(SEARCH(("No"),(Q771))))</formula>
    </cfRule>
  </conditionalFormatting>
  <conditionalFormatting sqref="Q771:Q772">
    <cfRule type="containsText" dxfId="2" priority="14452" operator="containsText" text="Yes">
      <formula>NOT(ISERROR(SEARCH(("Yes"),(Q771))))</formula>
    </cfRule>
  </conditionalFormatting>
  <conditionalFormatting sqref="Q771:Q772">
    <cfRule type="containsText" dxfId="9" priority="14453" operator="containsText" text="No">
      <formula>NOT(ISERROR(SEARCH(("No"),(Q771))))</formula>
    </cfRule>
  </conditionalFormatting>
  <conditionalFormatting sqref="Q771:Q772">
    <cfRule type="containsText" dxfId="2" priority="14454" operator="containsText" text="Yes">
      <formula>NOT(ISERROR(SEARCH(("Yes"),(Q771))))</formula>
    </cfRule>
  </conditionalFormatting>
  <conditionalFormatting sqref="Q771:Q772">
    <cfRule type="containsText" dxfId="9" priority="14455" operator="containsText" text="No">
      <formula>NOT(ISERROR(SEARCH(("No"),(Q771))))</formula>
    </cfRule>
  </conditionalFormatting>
  <conditionalFormatting sqref="Q771:Q772">
    <cfRule type="containsText" dxfId="2" priority="14456" operator="containsText" text="Yes">
      <formula>NOT(ISERROR(SEARCH(("Yes"),(Q771))))</formula>
    </cfRule>
  </conditionalFormatting>
  <conditionalFormatting sqref="Q771:Q772">
    <cfRule type="containsText" dxfId="9" priority="14457" operator="containsText" text="No">
      <formula>NOT(ISERROR(SEARCH(("No"),(Q771))))</formula>
    </cfRule>
  </conditionalFormatting>
  <conditionalFormatting sqref="Q771:Q772">
    <cfRule type="containsText" dxfId="2" priority="14458" operator="containsText" text="Yes">
      <formula>NOT(ISERROR(SEARCH(("Yes"),(Q771))))</formula>
    </cfRule>
  </conditionalFormatting>
  <conditionalFormatting sqref="Q771:Q772">
    <cfRule type="containsText" dxfId="9" priority="14459" operator="containsText" text="No">
      <formula>NOT(ISERROR(SEARCH(("No"),(Q771))))</formula>
    </cfRule>
  </conditionalFormatting>
  <conditionalFormatting sqref="Q771:Q772">
    <cfRule type="containsText" dxfId="2" priority="14460" operator="containsText" text="Yes">
      <formula>NOT(ISERROR(SEARCH(("Yes"),(Q771))))</formula>
    </cfRule>
  </conditionalFormatting>
  <conditionalFormatting sqref="Q771:Q772">
    <cfRule type="containsText" dxfId="9" priority="14461" operator="containsText" text="No">
      <formula>NOT(ISERROR(SEARCH(("No"),(Q771))))</formula>
    </cfRule>
  </conditionalFormatting>
  <conditionalFormatting sqref="Q771:Q772">
    <cfRule type="containsText" dxfId="2" priority="14462" operator="containsText" text="Yes">
      <formula>NOT(ISERROR(SEARCH(("Yes"),(Q771))))</formula>
    </cfRule>
  </conditionalFormatting>
  <conditionalFormatting sqref="Q771:Q772">
    <cfRule type="containsText" dxfId="9" priority="14463" operator="containsText" text="No">
      <formula>NOT(ISERROR(SEARCH(("No"),(Q771))))</formula>
    </cfRule>
  </conditionalFormatting>
  <conditionalFormatting sqref="Q771:Q772">
    <cfRule type="containsText" dxfId="2" priority="14464" operator="containsText" text="Yes">
      <formula>NOT(ISERROR(SEARCH(("Yes"),(Q771))))</formula>
    </cfRule>
  </conditionalFormatting>
  <conditionalFormatting sqref="Q771:Q772">
    <cfRule type="containsText" dxfId="9" priority="14465" operator="containsText" text="No">
      <formula>NOT(ISERROR(SEARCH(("No"),(Q771))))</formula>
    </cfRule>
  </conditionalFormatting>
  <conditionalFormatting sqref="Q771:Q772">
    <cfRule type="containsText" dxfId="2" priority="14466" operator="containsText" text="Yes">
      <formula>NOT(ISERROR(SEARCH(("Yes"),(Q771))))</formula>
    </cfRule>
  </conditionalFormatting>
  <conditionalFormatting sqref="Q771:Q772">
    <cfRule type="containsText" dxfId="9" priority="14467" operator="containsText" text="No">
      <formula>NOT(ISERROR(SEARCH(("No"),(Q771))))</formula>
    </cfRule>
  </conditionalFormatting>
  <conditionalFormatting sqref="Q771:Q772">
    <cfRule type="containsText" dxfId="2" priority="14468" operator="containsText" text="Yes">
      <formula>NOT(ISERROR(SEARCH(("Yes"),(Q771))))</formula>
    </cfRule>
  </conditionalFormatting>
  <conditionalFormatting sqref="Q771:Q772">
    <cfRule type="containsText" dxfId="9" priority="14469" operator="containsText" text="No">
      <formula>NOT(ISERROR(SEARCH(("No"),(Q771))))</formula>
    </cfRule>
  </conditionalFormatting>
  <conditionalFormatting sqref="Q771:Q772">
    <cfRule type="containsText" dxfId="2" priority="14470" operator="containsText" text="Yes">
      <formula>NOT(ISERROR(SEARCH(("Yes"),(Q771))))</formula>
    </cfRule>
  </conditionalFormatting>
  <conditionalFormatting sqref="Q771:Q772">
    <cfRule type="containsText" dxfId="9" priority="14471" operator="containsText" text="No">
      <formula>NOT(ISERROR(SEARCH(("No"),(Q771))))</formula>
    </cfRule>
  </conditionalFormatting>
  <conditionalFormatting sqref="Q771:Q772">
    <cfRule type="containsText" dxfId="2" priority="14472" operator="containsText" text="Yes">
      <formula>NOT(ISERROR(SEARCH(("Yes"),(Q771))))</formula>
    </cfRule>
  </conditionalFormatting>
  <conditionalFormatting sqref="Q771:Q772">
    <cfRule type="containsText" dxfId="9" priority="14473" operator="containsText" text="No">
      <formula>NOT(ISERROR(SEARCH(("No"),(Q771))))</formula>
    </cfRule>
  </conditionalFormatting>
  <conditionalFormatting sqref="Q771:Q772">
    <cfRule type="containsText" dxfId="2" priority="14474" operator="containsText" text="Yes">
      <formula>NOT(ISERROR(SEARCH(("Yes"),(Q771))))</formula>
    </cfRule>
  </conditionalFormatting>
  <conditionalFormatting sqref="Q771:Q772">
    <cfRule type="containsText" dxfId="9" priority="14475" operator="containsText" text="No">
      <formula>NOT(ISERROR(SEARCH(("No"),(Q771))))</formula>
    </cfRule>
  </conditionalFormatting>
  <conditionalFormatting sqref="Q771:Q772">
    <cfRule type="containsText" dxfId="2" priority="14476" operator="containsText" text="Yes">
      <formula>NOT(ISERROR(SEARCH(("Yes"),(Q771))))</formula>
    </cfRule>
  </conditionalFormatting>
  <conditionalFormatting sqref="Q771:Q772">
    <cfRule type="containsText" dxfId="9" priority="14477" operator="containsText" text="No">
      <formula>NOT(ISERROR(SEARCH(("No"),(Q771))))</formula>
    </cfRule>
  </conditionalFormatting>
  <conditionalFormatting sqref="Q771:Q772">
    <cfRule type="containsText" dxfId="2" priority="14478" operator="containsText" text="Yes">
      <formula>NOT(ISERROR(SEARCH(("Yes"),(Q771))))</formula>
    </cfRule>
  </conditionalFormatting>
  <conditionalFormatting sqref="Q771:Q772">
    <cfRule type="containsText" dxfId="9" priority="14479" operator="containsText" text="No">
      <formula>NOT(ISERROR(SEARCH(("No"),(Q771))))</formula>
    </cfRule>
  </conditionalFormatting>
  <conditionalFormatting sqref="Q771:Q772">
    <cfRule type="containsText" dxfId="2" priority="14480" operator="containsText" text="Yes">
      <formula>NOT(ISERROR(SEARCH(("Yes"),(Q771))))</formula>
    </cfRule>
  </conditionalFormatting>
  <conditionalFormatting sqref="Q771:Q772">
    <cfRule type="containsText" dxfId="9" priority="14481" operator="containsText" text="No">
      <formula>NOT(ISERROR(SEARCH(("No"),(Q771))))</formula>
    </cfRule>
  </conditionalFormatting>
  <conditionalFormatting sqref="Q771:Q772">
    <cfRule type="containsText" dxfId="2" priority="14482" operator="containsText" text="Yes">
      <formula>NOT(ISERROR(SEARCH(("Yes"),(Q771))))</formula>
    </cfRule>
  </conditionalFormatting>
  <conditionalFormatting sqref="Q771:Q772">
    <cfRule type="containsText" dxfId="9" priority="14483" operator="containsText" text="No">
      <formula>NOT(ISERROR(SEARCH(("No"),(Q771))))</formula>
    </cfRule>
  </conditionalFormatting>
  <conditionalFormatting sqref="Q771:Q772">
    <cfRule type="containsText" dxfId="2" priority="14484" operator="containsText" text="Yes">
      <formula>NOT(ISERROR(SEARCH(("Yes"),(Q771))))</formula>
    </cfRule>
  </conditionalFormatting>
  <conditionalFormatting sqref="Q771:Q772">
    <cfRule type="containsText" dxfId="9" priority="14485" operator="containsText" text="No">
      <formula>NOT(ISERROR(SEARCH(("No"),(Q771))))</formula>
    </cfRule>
  </conditionalFormatting>
  <conditionalFormatting sqref="Q771:Q772">
    <cfRule type="containsText" dxfId="2" priority="14486" operator="containsText" text="Yes">
      <formula>NOT(ISERROR(SEARCH(("Yes"),(Q771))))</formula>
    </cfRule>
  </conditionalFormatting>
  <conditionalFormatting sqref="Q771:Q772">
    <cfRule type="containsText" dxfId="9" priority="14487" operator="containsText" text="No">
      <formula>NOT(ISERROR(SEARCH(("No"),(Q771))))</formula>
    </cfRule>
  </conditionalFormatting>
  <conditionalFormatting sqref="Q771:Q772">
    <cfRule type="containsText" dxfId="2" priority="14488" operator="containsText" text="Yes">
      <formula>NOT(ISERROR(SEARCH(("Yes"),(Q771))))</formula>
    </cfRule>
  </conditionalFormatting>
  <conditionalFormatting sqref="Q771:Q772">
    <cfRule type="containsText" dxfId="2" priority="14489" operator="containsText" text="Yes">
      <formula>NOT(ISERROR(SEARCH(("Yes"),(Q771))))</formula>
    </cfRule>
  </conditionalFormatting>
  <conditionalFormatting sqref="Q771:Q772">
    <cfRule type="containsText" dxfId="9" priority="14490" operator="containsText" text="No">
      <formula>NOT(ISERROR(SEARCH(("No"),(Q771))))</formula>
    </cfRule>
  </conditionalFormatting>
  <conditionalFormatting sqref="Q771:Q772">
    <cfRule type="containsText" dxfId="2" priority="14491" operator="containsText" text="Yes">
      <formula>NOT(ISERROR(SEARCH(("Yes"),(Q771))))</formula>
    </cfRule>
  </conditionalFormatting>
  <conditionalFormatting sqref="Q774">
    <cfRule type="containsText" dxfId="2" priority="14492" operator="containsText" text="Yes">
      <formula>NOT(ISERROR(SEARCH(("Yes"),(Q774))))</formula>
    </cfRule>
  </conditionalFormatting>
  <conditionalFormatting sqref="Q774">
    <cfRule type="containsText" dxfId="9" priority="14493" operator="containsText" text="No">
      <formula>NOT(ISERROR(SEARCH(("No"),(Q774))))</formula>
    </cfRule>
  </conditionalFormatting>
  <conditionalFormatting sqref="Q774">
    <cfRule type="containsText" dxfId="2" priority="14494" operator="containsText" text="Yes">
      <formula>NOT(ISERROR(SEARCH(("Yes"),(Q774))))</formula>
    </cfRule>
  </conditionalFormatting>
  <conditionalFormatting sqref="Q774">
    <cfRule type="containsText" dxfId="9" priority="14495" operator="containsText" text="No">
      <formula>NOT(ISERROR(SEARCH(("No"),(Q774))))</formula>
    </cfRule>
  </conditionalFormatting>
  <conditionalFormatting sqref="Q774">
    <cfRule type="containsText" dxfId="2" priority="14496" operator="containsText" text="Yes">
      <formula>NOT(ISERROR(SEARCH(("Yes"),(Q774))))</formula>
    </cfRule>
  </conditionalFormatting>
  <conditionalFormatting sqref="Q774">
    <cfRule type="containsText" dxfId="9" priority="14497" operator="containsText" text="No">
      <formula>NOT(ISERROR(SEARCH(("No"),(Q774))))</formula>
    </cfRule>
  </conditionalFormatting>
  <conditionalFormatting sqref="Q774">
    <cfRule type="containsText" dxfId="2" priority="14498" operator="containsText" text="Yes">
      <formula>NOT(ISERROR(SEARCH(("Yes"),(Q774))))</formula>
    </cfRule>
  </conditionalFormatting>
  <conditionalFormatting sqref="Q774">
    <cfRule type="containsText" dxfId="9" priority="14499" operator="containsText" text="No">
      <formula>NOT(ISERROR(SEARCH(("No"),(Q774))))</formula>
    </cfRule>
  </conditionalFormatting>
  <conditionalFormatting sqref="Q774">
    <cfRule type="containsText" dxfId="2" priority="14500" operator="containsText" text="Yes">
      <formula>NOT(ISERROR(SEARCH(("Yes"),(Q774))))</formula>
    </cfRule>
  </conditionalFormatting>
  <conditionalFormatting sqref="Q774">
    <cfRule type="containsText" dxfId="9" priority="14501" operator="containsText" text="No">
      <formula>NOT(ISERROR(SEARCH(("No"),(Q774))))</formula>
    </cfRule>
  </conditionalFormatting>
  <conditionalFormatting sqref="Q774">
    <cfRule type="containsText" dxfId="2" priority="14502" operator="containsText" text="Yes">
      <formula>NOT(ISERROR(SEARCH(("Yes"),(Q774))))</formula>
    </cfRule>
  </conditionalFormatting>
  <conditionalFormatting sqref="Q774">
    <cfRule type="containsText" dxfId="9" priority="14503" operator="containsText" text="No">
      <formula>NOT(ISERROR(SEARCH(("No"),(Q774))))</formula>
    </cfRule>
  </conditionalFormatting>
  <conditionalFormatting sqref="Q774">
    <cfRule type="containsText" dxfId="2" priority="14504" operator="containsText" text="Yes">
      <formula>NOT(ISERROR(SEARCH(("Yes"),(Q774))))</formula>
    </cfRule>
  </conditionalFormatting>
  <conditionalFormatting sqref="Q774">
    <cfRule type="containsText" dxfId="9" priority="14505" operator="containsText" text="No">
      <formula>NOT(ISERROR(SEARCH(("No"),(Q774))))</formula>
    </cfRule>
  </conditionalFormatting>
  <conditionalFormatting sqref="Q774">
    <cfRule type="containsText" dxfId="2" priority="14506" operator="containsText" text="Yes">
      <formula>NOT(ISERROR(SEARCH(("Yes"),(Q774))))</formula>
    </cfRule>
  </conditionalFormatting>
  <conditionalFormatting sqref="Q774">
    <cfRule type="containsText" dxfId="9" priority="14507" operator="containsText" text="No">
      <formula>NOT(ISERROR(SEARCH(("No"),(Q774))))</formula>
    </cfRule>
  </conditionalFormatting>
  <conditionalFormatting sqref="Q774">
    <cfRule type="containsText" dxfId="2" priority="14508" operator="containsText" text="Yes">
      <formula>NOT(ISERROR(SEARCH(("Yes"),(Q774))))</formula>
    </cfRule>
  </conditionalFormatting>
  <conditionalFormatting sqref="Q774">
    <cfRule type="containsText" dxfId="9" priority="14509" operator="containsText" text="No">
      <formula>NOT(ISERROR(SEARCH(("No"),(Q774))))</formula>
    </cfRule>
  </conditionalFormatting>
  <conditionalFormatting sqref="Q774">
    <cfRule type="containsText" dxfId="2" priority="14510" operator="containsText" text="Yes">
      <formula>NOT(ISERROR(SEARCH(("Yes"),(Q774))))</formula>
    </cfRule>
  </conditionalFormatting>
  <conditionalFormatting sqref="Q774">
    <cfRule type="containsText" dxfId="9" priority="14511" operator="containsText" text="No">
      <formula>NOT(ISERROR(SEARCH(("No"),(Q774))))</formula>
    </cfRule>
  </conditionalFormatting>
  <conditionalFormatting sqref="Q774">
    <cfRule type="containsText" dxfId="2" priority="14512" operator="containsText" text="Yes">
      <formula>NOT(ISERROR(SEARCH(("Yes"),(Q774))))</formula>
    </cfRule>
  </conditionalFormatting>
  <conditionalFormatting sqref="Q774">
    <cfRule type="containsText" dxfId="9" priority="14513" operator="containsText" text="No">
      <formula>NOT(ISERROR(SEARCH(("No"),(Q774))))</formula>
    </cfRule>
  </conditionalFormatting>
  <conditionalFormatting sqref="Q774">
    <cfRule type="containsText" dxfId="2" priority="14514" operator="containsText" text="Yes">
      <formula>NOT(ISERROR(SEARCH(("Yes"),(Q774))))</formula>
    </cfRule>
  </conditionalFormatting>
  <conditionalFormatting sqref="Q774">
    <cfRule type="containsText" dxfId="9" priority="14515" operator="containsText" text="No">
      <formula>NOT(ISERROR(SEARCH(("No"),(Q774))))</formula>
    </cfRule>
  </conditionalFormatting>
  <conditionalFormatting sqref="Q774">
    <cfRule type="containsText" dxfId="2" priority="14516" operator="containsText" text="Yes">
      <formula>NOT(ISERROR(SEARCH(("Yes"),(Q774))))</formula>
    </cfRule>
  </conditionalFormatting>
  <conditionalFormatting sqref="Q774">
    <cfRule type="containsText" dxfId="9" priority="14517" operator="containsText" text="No">
      <formula>NOT(ISERROR(SEARCH(("No"),(Q774))))</formula>
    </cfRule>
  </conditionalFormatting>
  <conditionalFormatting sqref="Q774">
    <cfRule type="containsText" dxfId="2" priority="14518" operator="containsText" text="Yes">
      <formula>NOT(ISERROR(SEARCH(("Yes"),(Q774))))</formula>
    </cfRule>
  </conditionalFormatting>
  <conditionalFormatting sqref="Q774">
    <cfRule type="containsText" dxfId="9" priority="14519" operator="containsText" text="No">
      <formula>NOT(ISERROR(SEARCH(("No"),(Q774))))</formula>
    </cfRule>
  </conditionalFormatting>
  <conditionalFormatting sqref="Q774">
    <cfRule type="containsText" dxfId="2" priority="14520" operator="containsText" text="Yes">
      <formula>NOT(ISERROR(SEARCH(("Yes"),(Q774))))</formula>
    </cfRule>
  </conditionalFormatting>
  <conditionalFormatting sqref="Q774">
    <cfRule type="containsText" dxfId="9" priority="14521" operator="containsText" text="No">
      <formula>NOT(ISERROR(SEARCH(("No"),(Q774))))</formula>
    </cfRule>
  </conditionalFormatting>
  <conditionalFormatting sqref="Q774">
    <cfRule type="containsText" dxfId="2" priority="14522" operator="containsText" text="Yes">
      <formula>NOT(ISERROR(SEARCH(("Yes"),(Q774))))</formula>
    </cfRule>
  </conditionalFormatting>
  <conditionalFormatting sqref="Q774">
    <cfRule type="containsText" dxfId="9" priority="14523" operator="containsText" text="No">
      <formula>NOT(ISERROR(SEARCH(("No"),(Q774))))</formula>
    </cfRule>
  </conditionalFormatting>
  <conditionalFormatting sqref="Q774">
    <cfRule type="containsText" dxfId="2" priority="14524" operator="containsText" text="Yes">
      <formula>NOT(ISERROR(SEARCH(("Yes"),(Q774))))</formula>
    </cfRule>
  </conditionalFormatting>
  <conditionalFormatting sqref="Q774">
    <cfRule type="containsText" dxfId="9" priority="14525" operator="containsText" text="No">
      <formula>NOT(ISERROR(SEARCH(("No"),(Q774))))</formula>
    </cfRule>
  </conditionalFormatting>
  <conditionalFormatting sqref="Q774">
    <cfRule type="containsText" dxfId="2" priority="14526" operator="containsText" text="Yes">
      <formula>NOT(ISERROR(SEARCH(("Yes"),(Q774))))</formula>
    </cfRule>
  </conditionalFormatting>
  <conditionalFormatting sqref="Q774">
    <cfRule type="containsText" dxfId="9" priority="14527" operator="containsText" text="No">
      <formula>NOT(ISERROR(SEARCH(("No"),(Q774))))</formula>
    </cfRule>
  </conditionalFormatting>
  <conditionalFormatting sqref="Q774">
    <cfRule type="containsText" dxfId="2" priority="14528" operator="containsText" text="Yes">
      <formula>NOT(ISERROR(SEARCH(("Yes"),(Q774))))</formula>
    </cfRule>
  </conditionalFormatting>
  <conditionalFormatting sqref="Q774">
    <cfRule type="containsText" dxfId="9" priority="14529" operator="containsText" text="No">
      <formula>NOT(ISERROR(SEARCH(("No"),(Q774))))</formula>
    </cfRule>
  </conditionalFormatting>
  <conditionalFormatting sqref="Q774">
    <cfRule type="containsText" dxfId="2" priority="14530" operator="containsText" text="Yes">
      <formula>NOT(ISERROR(SEARCH(("Yes"),(Q774))))</formula>
    </cfRule>
  </conditionalFormatting>
  <conditionalFormatting sqref="Q774">
    <cfRule type="containsText" dxfId="9" priority="14531" operator="containsText" text="No">
      <formula>NOT(ISERROR(SEARCH(("No"),(Q774))))</formula>
    </cfRule>
  </conditionalFormatting>
  <conditionalFormatting sqref="Q774">
    <cfRule type="containsText" dxfId="2" priority="14532" operator="containsText" text="Yes">
      <formula>NOT(ISERROR(SEARCH(("Yes"),(Q774))))</formula>
    </cfRule>
  </conditionalFormatting>
  <conditionalFormatting sqref="Q774">
    <cfRule type="containsText" dxfId="9" priority="14533" operator="containsText" text="No">
      <formula>NOT(ISERROR(SEARCH(("No"),(Q774))))</formula>
    </cfRule>
  </conditionalFormatting>
  <conditionalFormatting sqref="Q774">
    <cfRule type="containsText" dxfId="2" priority="14534" operator="containsText" text="Yes">
      <formula>NOT(ISERROR(SEARCH(("Yes"),(Q774))))</formula>
    </cfRule>
  </conditionalFormatting>
  <conditionalFormatting sqref="Q774">
    <cfRule type="containsText" dxfId="9" priority="14535" operator="containsText" text="No">
      <formula>NOT(ISERROR(SEARCH(("No"),(Q774))))</formula>
    </cfRule>
  </conditionalFormatting>
  <conditionalFormatting sqref="Q774">
    <cfRule type="containsText" dxfId="2" priority="14536" operator="containsText" text="Yes">
      <formula>NOT(ISERROR(SEARCH(("Yes"),(Q774))))</formula>
    </cfRule>
  </conditionalFormatting>
  <conditionalFormatting sqref="Q774">
    <cfRule type="containsText" dxfId="9" priority="14537" operator="containsText" text="No">
      <formula>NOT(ISERROR(SEARCH(("No"),(Q774))))</formula>
    </cfRule>
  </conditionalFormatting>
  <conditionalFormatting sqref="Q774">
    <cfRule type="containsText" dxfId="2" priority="14538" operator="containsText" text="Yes">
      <formula>NOT(ISERROR(SEARCH(("Yes"),(Q774))))</formula>
    </cfRule>
  </conditionalFormatting>
  <conditionalFormatting sqref="Q774">
    <cfRule type="containsText" dxfId="9" priority="14539" operator="containsText" text="No">
      <formula>NOT(ISERROR(SEARCH(("No"),(Q774))))</formula>
    </cfRule>
  </conditionalFormatting>
  <conditionalFormatting sqref="Q774">
    <cfRule type="containsText" dxfId="2" priority="14540" operator="containsText" text="Yes">
      <formula>NOT(ISERROR(SEARCH(("Yes"),(Q774))))</formula>
    </cfRule>
  </conditionalFormatting>
  <conditionalFormatting sqref="Q774">
    <cfRule type="containsText" dxfId="9" priority="14541" operator="containsText" text="No">
      <formula>NOT(ISERROR(SEARCH(("No"),(Q774))))</formula>
    </cfRule>
  </conditionalFormatting>
  <conditionalFormatting sqref="Q774">
    <cfRule type="containsText" dxfId="2" priority="14542" operator="containsText" text="Yes">
      <formula>NOT(ISERROR(SEARCH(("Yes"),(Q774))))</formula>
    </cfRule>
  </conditionalFormatting>
  <conditionalFormatting sqref="Q774">
    <cfRule type="containsText" dxfId="9" priority="14543" operator="containsText" text="No">
      <formula>NOT(ISERROR(SEARCH(("No"),(Q774))))</formula>
    </cfRule>
  </conditionalFormatting>
  <conditionalFormatting sqref="Q774">
    <cfRule type="containsText" dxfId="2" priority="14544" operator="containsText" text="Yes">
      <formula>NOT(ISERROR(SEARCH(("Yes"),(Q774))))</formula>
    </cfRule>
  </conditionalFormatting>
  <conditionalFormatting sqref="Q774">
    <cfRule type="containsText" dxfId="9" priority="14545" operator="containsText" text="No">
      <formula>NOT(ISERROR(SEARCH(("No"),(Q774))))</formula>
    </cfRule>
  </conditionalFormatting>
  <conditionalFormatting sqref="Q774">
    <cfRule type="containsText" dxfId="2" priority="14546" operator="containsText" text="Yes">
      <formula>NOT(ISERROR(SEARCH(("Yes"),(Q774))))</formula>
    </cfRule>
  </conditionalFormatting>
  <conditionalFormatting sqref="Q774">
    <cfRule type="containsText" dxfId="9" priority="14547" operator="containsText" text="No">
      <formula>NOT(ISERROR(SEARCH(("No"),(Q774))))</formula>
    </cfRule>
  </conditionalFormatting>
  <conditionalFormatting sqref="Q774">
    <cfRule type="containsText" dxfId="2" priority="14548" operator="containsText" text="Yes">
      <formula>NOT(ISERROR(SEARCH(("Yes"),(Q774))))</formula>
    </cfRule>
  </conditionalFormatting>
  <conditionalFormatting sqref="Q774">
    <cfRule type="containsText" dxfId="9" priority="14549" operator="containsText" text="No">
      <formula>NOT(ISERROR(SEARCH(("No"),(Q774))))</formula>
    </cfRule>
  </conditionalFormatting>
  <conditionalFormatting sqref="Q774">
    <cfRule type="containsText" dxfId="2" priority="14550" operator="containsText" text="Yes">
      <formula>NOT(ISERROR(SEARCH(("Yes"),(Q774))))</formula>
    </cfRule>
  </conditionalFormatting>
  <conditionalFormatting sqref="Q774">
    <cfRule type="containsText" dxfId="9" priority="14551" operator="containsText" text="No">
      <formula>NOT(ISERROR(SEARCH(("No"),(Q774))))</formula>
    </cfRule>
  </conditionalFormatting>
  <conditionalFormatting sqref="Q774">
    <cfRule type="containsText" dxfId="2" priority="14552" operator="containsText" text="Yes">
      <formula>NOT(ISERROR(SEARCH(("Yes"),(Q774))))</formula>
    </cfRule>
  </conditionalFormatting>
  <conditionalFormatting sqref="Q774">
    <cfRule type="containsText" dxfId="9" priority="14553" operator="containsText" text="No">
      <formula>NOT(ISERROR(SEARCH(("No"),(Q774))))</formula>
    </cfRule>
  </conditionalFormatting>
  <conditionalFormatting sqref="Q774">
    <cfRule type="containsText" dxfId="2" priority="14554" operator="containsText" text="Yes">
      <formula>NOT(ISERROR(SEARCH(("Yes"),(Q774))))</formula>
    </cfRule>
  </conditionalFormatting>
  <conditionalFormatting sqref="Q774">
    <cfRule type="containsText" dxfId="9" priority="14555" operator="containsText" text="No">
      <formula>NOT(ISERROR(SEARCH(("No"),(Q774))))</formula>
    </cfRule>
  </conditionalFormatting>
  <conditionalFormatting sqref="Q774">
    <cfRule type="containsText" dxfId="2" priority="14556" operator="containsText" text="Yes">
      <formula>NOT(ISERROR(SEARCH(("Yes"),(Q774))))</formula>
    </cfRule>
  </conditionalFormatting>
  <conditionalFormatting sqref="Q774">
    <cfRule type="containsText" dxfId="9" priority="14557" operator="containsText" text="No">
      <formula>NOT(ISERROR(SEARCH(("No"),(Q774))))</formula>
    </cfRule>
  </conditionalFormatting>
  <conditionalFormatting sqref="Q774">
    <cfRule type="containsText" dxfId="2" priority="14558" operator="containsText" text="Yes">
      <formula>NOT(ISERROR(SEARCH(("Yes"),(Q774))))</formula>
    </cfRule>
  </conditionalFormatting>
  <conditionalFormatting sqref="Q774">
    <cfRule type="containsText" dxfId="9" priority="14559" operator="containsText" text="No">
      <formula>NOT(ISERROR(SEARCH(("No"),(Q774))))</formula>
    </cfRule>
  </conditionalFormatting>
  <conditionalFormatting sqref="Q774">
    <cfRule type="containsText" dxfId="2" priority="14560" operator="containsText" text="Yes">
      <formula>NOT(ISERROR(SEARCH(("Yes"),(Q774))))</formula>
    </cfRule>
  </conditionalFormatting>
  <conditionalFormatting sqref="Q774">
    <cfRule type="containsText" dxfId="9" priority="14561" operator="containsText" text="No">
      <formula>NOT(ISERROR(SEARCH(("No"),(Q774))))</formula>
    </cfRule>
  </conditionalFormatting>
  <conditionalFormatting sqref="Q774">
    <cfRule type="containsText" dxfId="2" priority="14562" operator="containsText" text="Yes">
      <formula>NOT(ISERROR(SEARCH(("Yes"),(Q774))))</formula>
    </cfRule>
  </conditionalFormatting>
  <conditionalFormatting sqref="Q774">
    <cfRule type="containsText" dxfId="9" priority="14563" operator="containsText" text="No">
      <formula>NOT(ISERROR(SEARCH(("No"),(Q774))))</formula>
    </cfRule>
  </conditionalFormatting>
  <conditionalFormatting sqref="Q774">
    <cfRule type="containsText" dxfId="2" priority="14564" operator="containsText" text="Yes">
      <formula>NOT(ISERROR(SEARCH(("Yes"),(Q774))))</formula>
    </cfRule>
  </conditionalFormatting>
  <conditionalFormatting sqref="Q774">
    <cfRule type="containsText" dxfId="9" priority="14565" operator="containsText" text="No">
      <formula>NOT(ISERROR(SEARCH(("No"),(Q774))))</formula>
    </cfRule>
  </conditionalFormatting>
  <conditionalFormatting sqref="Q774">
    <cfRule type="containsText" dxfId="2" priority="14566" operator="containsText" text="Yes">
      <formula>NOT(ISERROR(SEARCH(("Yes"),(Q774))))</formula>
    </cfRule>
  </conditionalFormatting>
  <conditionalFormatting sqref="Q774">
    <cfRule type="containsText" dxfId="9" priority="14567" operator="containsText" text="No">
      <formula>NOT(ISERROR(SEARCH(("No"),(Q774))))</formula>
    </cfRule>
  </conditionalFormatting>
  <conditionalFormatting sqref="Q774">
    <cfRule type="containsText" dxfId="2" priority="14568" operator="containsText" text="Yes">
      <formula>NOT(ISERROR(SEARCH(("Yes"),(Q774))))</formula>
    </cfRule>
  </conditionalFormatting>
  <conditionalFormatting sqref="Q774">
    <cfRule type="containsText" dxfId="9" priority="14569" operator="containsText" text="No">
      <formula>NOT(ISERROR(SEARCH(("No"),(Q774))))</formula>
    </cfRule>
  </conditionalFormatting>
  <conditionalFormatting sqref="Q774">
    <cfRule type="containsText" dxfId="2" priority="14570" operator="containsText" text="Yes">
      <formula>NOT(ISERROR(SEARCH(("Yes"),(Q774))))</formula>
    </cfRule>
  </conditionalFormatting>
  <conditionalFormatting sqref="Q774">
    <cfRule type="containsText" dxfId="9" priority="14571" operator="containsText" text="No">
      <formula>NOT(ISERROR(SEARCH(("No"),(Q774))))</formula>
    </cfRule>
  </conditionalFormatting>
  <conditionalFormatting sqref="Q774">
    <cfRule type="containsText" dxfId="2" priority="14572" operator="containsText" text="Yes">
      <formula>NOT(ISERROR(SEARCH(("Yes"),(Q774))))</formula>
    </cfRule>
  </conditionalFormatting>
  <conditionalFormatting sqref="Q774">
    <cfRule type="containsText" dxfId="9" priority="14573" operator="containsText" text="No">
      <formula>NOT(ISERROR(SEARCH(("No"),(Q774))))</formula>
    </cfRule>
  </conditionalFormatting>
  <conditionalFormatting sqref="Q774">
    <cfRule type="containsText" dxfId="2" priority="14574" operator="containsText" text="Yes">
      <formula>NOT(ISERROR(SEARCH(("Yes"),(Q774))))</formula>
    </cfRule>
  </conditionalFormatting>
  <conditionalFormatting sqref="Q774">
    <cfRule type="containsText" dxfId="9" priority="14575" operator="containsText" text="No">
      <formula>NOT(ISERROR(SEARCH(("No"),(Q774))))</formula>
    </cfRule>
  </conditionalFormatting>
  <conditionalFormatting sqref="Q774">
    <cfRule type="containsText" dxfId="2" priority="14576" operator="containsText" text="Yes">
      <formula>NOT(ISERROR(SEARCH(("Yes"),(Q774))))</formula>
    </cfRule>
  </conditionalFormatting>
  <conditionalFormatting sqref="Q774">
    <cfRule type="containsText" dxfId="9" priority="14577" operator="containsText" text="No">
      <formula>NOT(ISERROR(SEARCH(("No"),(Q774))))</formula>
    </cfRule>
  </conditionalFormatting>
  <conditionalFormatting sqref="Q774">
    <cfRule type="containsText" dxfId="2" priority="14578" operator="containsText" text="Yes">
      <formula>NOT(ISERROR(SEARCH(("Yes"),(Q774))))</formula>
    </cfRule>
  </conditionalFormatting>
  <conditionalFormatting sqref="Q774">
    <cfRule type="containsText" dxfId="9" priority="14579" operator="containsText" text="No">
      <formula>NOT(ISERROR(SEARCH(("No"),(Q774))))</formula>
    </cfRule>
  </conditionalFormatting>
  <conditionalFormatting sqref="Q774">
    <cfRule type="containsText" dxfId="2" priority="14580" operator="containsText" text="Yes">
      <formula>NOT(ISERROR(SEARCH(("Yes"),(Q774))))</formula>
    </cfRule>
  </conditionalFormatting>
  <conditionalFormatting sqref="Q774">
    <cfRule type="containsText" dxfId="2" priority="14581" operator="containsText" text="Yes">
      <formula>NOT(ISERROR(SEARCH(("Yes"),(Q774))))</formula>
    </cfRule>
  </conditionalFormatting>
  <conditionalFormatting sqref="Q774">
    <cfRule type="containsText" dxfId="9" priority="14582" operator="containsText" text="No">
      <formula>NOT(ISERROR(SEARCH(("No"),(Q774))))</formula>
    </cfRule>
  </conditionalFormatting>
  <conditionalFormatting sqref="Q774">
    <cfRule type="containsText" dxfId="2" priority="14583" operator="containsText" text="Yes">
      <formula>NOT(ISERROR(SEARCH(("Yes"),(Q774))))</formula>
    </cfRule>
  </conditionalFormatting>
  <conditionalFormatting sqref="Q775">
    <cfRule type="containsText" dxfId="2" priority="14584" operator="containsText" text="Yes">
      <formula>NOT(ISERROR(SEARCH(("Yes"),(Q775))))</formula>
    </cfRule>
  </conditionalFormatting>
  <conditionalFormatting sqref="Q775">
    <cfRule type="containsText" dxfId="9" priority="14585" operator="containsText" text="No">
      <formula>NOT(ISERROR(SEARCH(("No"),(Q775))))</formula>
    </cfRule>
  </conditionalFormatting>
  <conditionalFormatting sqref="Q775">
    <cfRule type="containsText" dxfId="2" priority="14586" operator="containsText" text="Yes">
      <formula>NOT(ISERROR(SEARCH(("Yes"),(Q775))))</formula>
    </cfRule>
  </conditionalFormatting>
  <conditionalFormatting sqref="Q775">
    <cfRule type="containsText" dxfId="9" priority="14587" operator="containsText" text="No">
      <formula>NOT(ISERROR(SEARCH(("No"),(Q775))))</formula>
    </cfRule>
  </conditionalFormatting>
  <conditionalFormatting sqref="Q775">
    <cfRule type="containsText" dxfId="2" priority="14588" operator="containsText" text="Yes">
      <formula>NOT(ISERROR(SEARCH(("Yes"),(Q775))))</formula>
    </cfRule>
  </conditionalFormatting>
  <conditionalFormatting sqref="Q775">
    <cfRule type="containsText" dxfId="9" priority="14589" operator="containsText" text="No">
      <formula>NOT(ISERROR(SEARCH(("No"),(Q775))))</formula>
    </cfRule>
  </conditionalFormatting>
  <conditionalFormatting sqref="Q775">
    <cfRule type="containsText" dxfId="2" priority="14590" operator="containsText" text="Yes">
      <formula>NOT(ISERROR(SEARCH(("Yes"),(Q775))))</formula>
    </cfRule>
  </conditionalFormatting>
  <conditionalFormatting sqref="Q775">
    <cfRule type="containsText" dxfId="9" priority="14591" operator="containsText" text="No">
      <formula>NOT(ISERROR(SEARCH(("No"),(Q775))))</formula>
    </cfRule>
  </conditionalFormatting>
  <conditionalFormatting sqref="Q775">
    <cfRule type="containsText" dxfId="2" priority="14592" operator="containsText" text="Yes">
      <formula>NOT(ISERROR(SEARCH(("Yes"),(Q775))))</formula>
    </cfRule>
  </conditionalFormatting>
  <conditionalFormatting sqref="Q775">
    <cfRule type="containsText" dxfId="9" priority="14593" operator="containsText" text="No">
      <formula>NOT(ISERROR(SEARCH(("No"),(Q775))))</formula>
    </cfRule>
  </conditionalFormatting>
  <conditionalFormatting sqref="Q775">
    <cfRule type="containsText" dxfId="2" priority="14594" operator="containsText" text="Yes">
      <formula>NOT(ISERROR(SEARCH(("Yes"),(Q775))))</formula>
    </cfRule>
  </conditionalFormatting>
  <conditionalFormatting sqref="Q775">
    <cfRule type="containsText" dxfId="9" priority="14595" operator="containsText" text="No">
      <formula>NOT(ISERROR(SEARCH(("No"),(Q775))))</formula>
    </cfRule>
  </conditionalFormatting>
  <conditionalFormatting sqref="Q775">
    <cfRule type="containsText" dxfId="2" priority="14596" operator="containsText" text="Yes">
      <formula>NOT(ISERROR(SEARCH(("Yes"),(Q775))))</formula>
    </cfRule>
  </conditionalFormatting>
  <conditionalFormatting sqref="Q775">
    <cfRule type="containsText" dxfId="9" priority="14597" operator="containsText" text="No">
      <formula>NOT(ISERROR(SEARCH(("No"),(Q775))))</formula>
    </cfRule>
  </conditionalFormatting>
  <conditionalFormatting sqref="Q775">
    <cfRule type="containsText" dxfId="2" priority="14598" operator="containsText" text="Yes">
      <formula>NOT(ISERROR(SEARCH(("Yes"),(Q775))))</formula>
    </cfRule>
  </conditionalFormatting>
  <conditionalFormatting sqref="Q775">
    <cfRule type="containsText" dxfId="9" priority="14599" operator="containsText" text="No">
      <formula>NOT(ISERROR(SEARCH(("No"),(Q775))))</formula>
    </cfRule>
  </conditionalFormatting>
  <conditionalFormatting sqref="Q775">
    <cfRule type="containsText" dxfId="2" priority="14600" operator="containsText" text="Yes">
      <formula>NOT(ISERROR(SEARCH(("Yes"),(Q775))))</formula>
    </cfRule>
  </conditionalFormatting>
  <conditionalFormatting sqref="Q775">
    <cfRule type="containsText" dxfId="9" priority="14601" operator="containsText" text="No">
      <formula>NOT(ISERROR(SEARCH(("No"),(Q775))))</formula>
    </cfRule>
  </conditionalFormatting>
  <conditionalFormatting sqref="Q775">
    <cfRule type="containsText" dxfId="2" priority="14602" operator="containsText" text="Yes">
      <formula>NOT(ISERROR(SEARCH(("Yes"),(Q775))))</formula>
    </cfRule>
  </conditionalFormatting>
  <conditionalFormatting sqref="Q775">
    <cfRule type="containsText" dxfId="9" priority="14603" operator="containsText" text="No">
      <formula>NOT(ISERROR(SEARCH(("No"),(Q775))))</formula>
    </cfRule>
  </conditionalFormatting>
  <conditionalFormatting sqref="Q775">
    <cfRule type="containsText" dxfId="2" priority="14604" operator="containsText" text="Yes">
      <formula>NOT(ISERROR(SEARCH(("Yes"),(Q775))))</formula>
    </cfRule>
  </conditionalFormatting>
  <conditionalFormatting sqref="Q775">
    <cfRule type="containsText" dxfId="9" priority="14605" operator="containsText" text="No">
      <formula>NOT(ISERROR(SEARCH(("No"),(Q775))))</formula>
    </cfRule>
  </conditionalFormatting>
  <conditionalFormatting sqref="Q775">
    <cfRule type="containsText" dxfId="2" priority="14606" operator="containsText" text="Yes">
      <formula>NOT(ISERROR(SEARCH(("Yes"),(Q775))))</formula>
    </cfRule>
  </conditionalFormatting>
  <conditionalFormatting sqref="Q775">
    <cfRule type="containsText" dxfId="9" priority="14607" operator="containsText" text="No">
      <formula>NOT(ISERROR(SEARCH(("No"),(Q775))))</formula>
    </cfRule>
  </conditionalFormatting>
  <conditionalFormatting sqref="Q775">
    <cfRule type="containsText" dxfId="2" priority="14608" operator="containsText" text="Yes">
      <formula>NOT(ISERROR(SEARCH(("Yes"),(Q775))))</formula>
    </cfRule>
  </conditionalFormatting>
  <conditionalFormatting sqref="Q775">
    <cfRule type="containsText" dxfId="9" priority="14609" operator="containsText" text="No">
      <formula>NOT(ISERROR(SEARCH(("No"),(Q775))))</formula>
    </cfRule>
  </conditionalFormatting>
  <conditionalFormatting sqref="Q775">
    <cfRule type="containsText" dxfId="2" priority="14610" operator="containsText" text="Yes">
      <formula>NOT(ISERROR(SEARCH(("Yes"),(Q775))))</formula>
    </cfRule>
  </conditionalFormatting>
  <conditionalFormatting sqref="Q775">
    <cfRule type="containsText" dxfId="9" priority="14611" operator="containsText" text="No">
      <formula>NOT(ISERROR(SEARCH(("No"),(Q775))))</formula>
    </cfRule>
  </conditionalFormatting>
  <conditionalFormatting sqref="Q775">
    <cfRule type="containsText" dxfId="2" priority="14612" operator="containsText" text="Yes">
      <formula>NOT(ISERROR(SEARCH(("Yes"),(Q775))))</formula>
    </cfRule>
  </conditionalFormatting>
  <conditionalFormatting sqref="Q775">
    <cfRule type="containsText" dxfId="9" priority="14613" operator="containsText" text="No">
      <formula>NOT(ISERROR(SEARCH(("No"),(Q775))))</formula>
    </cfRule>
  </conditionalFormatting>
  <conditionalFormatting sqref="Q775">
    <cfRule type="containsText" dxfId="2" priority="14614" operator="containsText" text="Yes">
      <formula>NOT(ISERROR(SEARCH(("Yes"),(Q775))))</formula>
    </cfRule>
  </conditionalFormatting>
  <conditionalFormatting sqref="Q775">
    <cfRule type="containsText" dxfId="9" priority="14615" operator="containsText" text="No">
      <formula>NOT(ISERROR(SEARCH(("No"),(Q775))))</formula>
    </cfRule>
  </conditionalFormatting>
  <conditionalFormatting sqref="Q775">
    <cfRule type="containsText" dxfId="2" priority="14616" operator="containsText" text="Yes">
      <formula>NOT(ISERROR(SEARCH(("Yes"),(Q775))))</formula>
    </cfRule>
  </conditionalFormatting>
  <conditionalFormatting sqref="Q775">
    <cfRule type="containsText" dxfId="9" priority="14617" operator="containsText" text="No">
      <formula>NOT(ISERROR(SEARCH(("No"),(Q775))))</formula>
    </cfRule>
  </conditionalFormatting>
  <conditionalFormatting sqref="Q775">
    <cfRule type="containsText" dxfId="2" priority="14618" operator="containsText" text="Yes">
      <formula>NOT(ISERROR(SEARCH(("Yes"),(Q775))))</formula>
    </cfRule>
  </conditionalFormatting>
  <conditionalFormatting sqref="Q775">
    <cfRule type="containsText" dxfId="9" priority="14619" operator="containsText" text="No">
      <formula>NOT(ISERROR(SEARCH(("No"),(Q775))))</formula>
    </cfRule>
  </conditionalFormatting>
  <conditionalFormatting sqref="Q775">
    <cfRule type="containsText" dxfId="2" priority="14620" operator="containsText" text="Yes">
      <formula>NOT(ISERROR(SEARCH(("Yes"),(Q775))))</formula>
    </cfRule>
  </conditionalFormatting>
  <conditionalFormatting sqref="Q775">
    <cfRule type="containsText" dxfId="9" priority="14621" operator="containsText" text="No">
      <formula>NOT(ISERROR(SEARCH(("No"),(Q775))))</formula>
    </cfRule>
  </conditionalFormatting>
  <conditionalFormatting sqref="Q775">
    <cfRule type="containsText" dxfId="2" priority="14622" operator="containsText" text="Yes">
      <formula>NOT(ISERROR(SEARCH(("Yes"),(Q775))))</formula>
    </cfRule>
  </conditionalFormatting>
  <conditionalFormatting sqref="Q775">
    <cfRule type="containsText" dxfId="9" priority="14623" operator="containsText" text="No">
      <formula>NOT(ISERROR(SEARCH(("No"),(Q775))))</formula>
    </cfRule>
  </conditionalFormatting>
  <conditionalFormatting sqref="Q775">
    <cfRule type="containsText" dxfId="2" priority="14624" operator="containsText" text="Yes">
      <formula>NOT(ISERROR(SEARCH(("Yes"),(Q775))))</formula>
    </cfRule>
  </conditionalFormatting>
  <conditionalFormatting sqref="Q775">
    <cfRule type="containsText" dxfId="9" priority="14625" operator="containsText" text="No">
      <formula>NOT(ISERROR(SEARCH(("No"),(Q775))))</formula>
    </cfRule>
  </conditionalFormatting>
  <conditionalFormatting sqref="Q775">
    <cfRule type="containsText" dxfId="2" priority="14626" operator="containsText" text="Yes">
      <formula>NOT(ISERROR(SEARCH(("Yes"),(Q775))))</formula>
    </cfRule>
  </conditionalFormatting>
  <conditionalFormatting sqref="Q775">
    <cfRule type="containsText" dxfId="9" priority="14627" operator="containsText" text="No">
      <formula>NOT(ISERROR(SEARCH(("No"),(Q775))))</formula>
    </cfRule>
  </conditionalFormatting>
  <conditionalFormatting sqref="Q775">
    <cfRule type="containsText" dxfId="2" priority="14628" operator="containsText" text="Yes">
      <formula>NOT(ISERROR(SEARCH(("Yes"),(Q775))))</formula>
    </cfRule>
  </conditionalFormatting>
  <conditionalFormatting sqref="Q775">
    <cfRule type="containsText" dxfId="9" priority="14629" operator="containsText" text="No">
      <formula>NOT(ISERROR(SEARCH(("No"),(Q775))))</formula>
    </cfRule>
  </conditionalFormatting>
  <conditionalFormatting sqref="Q775">
    <cfRule type="containsText" dxfId="2" priority="14630" operator="containsText" text="Yes">
      <formula>NOT(ISERROR(SEARCH(("Yes"),(Q775))))</formula>
    </cfRule>
  </conditionalFormatting>
  <conditionalFormatting sqref="Q775">
    <cfRule type="containsText" dxfId="9" priority="14631" operator="containsText" text="No">
      <formula>NOT(ISERROR(SEARCH(("No"),(Q775))))</formula>
    </cfRule>
  </conditionalFormatting>
  <conditionalFormatting sqref="Q775">
    <cfRule type="containsText" dxfId="2" priority="14632" operator="containsText" text="Yes">
      <formula>NOT(ISERROR(SEARCH(("Yes"),(Q775))))</formula>
    </cfRule>
  </conditionalFormatting>
  <conditionalFormatting sqref="Q775">
    <cfRule type="containsText" dxfId="9" priority="14633" operator="containsText" text="No">
      <formula>NOT(ISERROR(SEARCH(("No"),(Q775))))</formula>
    </cfRule>
  </conditionalFormatting>
  <conditionalFormatting sqref="Q775">
    <cfRule type="containsText" dxfId="2" priority="14634" operator="containsText" text="Yes">
      <formula>NOT(ISERROR(SEARCH(("Yes"),(Q775))))</formula>
    </cfRule>
  </conditionalFormatting>
  <conditionalFormatting sqref="Q775">
    <cfRule type="containsText" dxfId="9" priority="14635" operator="containsText" text="No">
      <formula>NOT(ISERROR(SEARCH(("No"),(Q775))))</formula>
    </cfRule>
  </conditionalFormatting>
  <conditionalFormatting sqref="Q775">
    <cfRule type="containsText" dxfId="2" priority="14636" operator="containsText" text="Yes">
      <formula>NOT(ISERROR(SEARCH(("Yes"),(Q775))))</formula>
    </cfRule>
  </conditionalFormatting>
  <conditionalFormatting sqref="Q775">
    <cfRule type="containsText" dxfId="9" priority="14637" operator="containsText" text="No">
      <formula>NOT(ISERROR(SEARCH(("No"),(Q775))))</formula>
    </cfRule>
  </conditionalFormatting>
  <conditionalFormatting sqref="Q775">
    <cfRule type="containsText" dxfId="2" priority="14638" operator="containsText" text="Yes">
      <formula>NOT(ISERROR(SEARCH(("Yes"),(Q775))))</formula>
    </cfRule>
  </conditionalFormatting>
  <conditionalFormatting sqref="Q775">
    <cfRule type="containsText" dxfId="9" priority="14639" operator="containsText" text="No">
      <formula>NOT(ISERROR(SEARCH(("No"),(Q775))))</formula>
    </cfRule>
  </conditionalFormatting>
  <conditionalFormatting sqref="Q775">
    <cfRule type="containsText" dxfId="2" priority="14640" operator="containsText" text="Yes">
      <formula>NOT(ISERROR(SEARCH(("Yes"),(Q775))))</formula>
    </cfRule>
  </conditionalFormatting>
  <conditionalFormatting sqref="Q775">
    <cfRule type="containsText" dxfId="9" priority="14641" operator="containsText" text="No">
      <formula>NOT(ISERROR(SEARCH(("No"),(Q775))))</formula>
    </cfRule>
  </conditionalFormatting>
  <conditionalFormatting sqref="Q775">
    <cfRule type="containsText" dxfId="2" priority="14642" operator="containsText" text="Yes">
      <formula>NOT(ISERROR(SEARCH(("Yes"),(Q775))))</formula>
    </cfRule>
  </conditionalFormatting>
  <conditionalFormatting sqref="Q775">
    <cfRule type="containsText" dxfId="9" priority="14643" operator="containsText" text="No">
      <formula>NOT(ISERROR(SEARCH(("No"),(Q775))))</formula>
    </cfRule>
  </conditionalFormatting>
  <conditionalFormatting sqref="Q775">
    <cfRule type="containsText" dxfId="2" priority="14644" operator="containsText" text="Yes">
      <formula>NOT(ISERROR(SEARCH(("Yes"),(Q775))))</formula>
    </cfRule>
  </conditionalFormatting>
  <conditionalFormatting sqref="Q775">
    <cfRule type="containsText" dxfId="9" priority="14645" operator="containsText" text="No">
      <formula>NOT(ISERROR(SEARCH(("No"),(Q775))))</formula>
    </cfRule>
  </conditionalFormatting>
  <conditionalFormatting sqref="Q775">
    <cfRule type="containsText" dxfId="2" priority="14646" operator="containsText" text="Yes">
      <formula>NOT(ISERROR(SEARCH(("Yes"),(Q775))))</formula>
    </cfRule>
  </conditionalFormatting>
  <conditionalFormatting sqref="Q775">
    <cfRule type="containsText" dxfId="9" priority="14647" operator="containsText" text="No">
      <formula>NOT(ISERROR(SEARCH(("No"),(Q775))))</formula>
    </cfRule>
  </conditionalFormatting>
  <conditionalFormatting sqref="Q775">
    <cfRule type="containsText" dxfId="2" priority="14648" operator="containsText" text="Yes">
      <formula>NOT(ISERROR(SEARCH(("Yes"),(Q775))))</formula>
    </cfRule>
  </conditionalFormatting>
  <conditionalFormatting sqref="Q775">
    <cfRule type="containsText" dxfId="9" priority="14649" operator="containsText" text="No">
      <formula>NOT(ISERROR(SEARCH(("No"),(Q775))))</formula>
    </cfRule>
  </conditionalFormatting>
  <conditionalFormatting sqref="Q775">
    <cfRule type="containsText" dxfId="2" priority="14650" operator="containsText" text="Yes">
      <formula>NOT(ISERROR(SEARCH(("Yes"),(Q775))))</formula>
    </cfRule>
  </conditionalFormatting>
  <conditionalFormatting sqref="Q775">
    <cfRule type="containsText" dxfId="9" priority="14651" operator="containsText" text="No">
      <formula>NOT(ISERROR(SEARCH(("No"),(Q775))))</formula>
    </cfRule>
  </conditionalFormatting>
  <conditionalFormatting sqref="Q775">
    <cfRule type="containsText" dxfId="2" priority="14652" operator="containsText" text="Yes">
      <formula>NOT(ISERROR(SEARCH(("Yes"),(Q775))))</formula>
    </cfRule>
  </conditionalFormatting>
  <conditionalFormatting sqref="Q775">
    <cfRule type="containsText" dxfId="9" priority="14653" operator="containsText" text="No">
      <formula>NOT(ISERROR(SEARCH(("No"),(Q775))))</formula>
    </cfRule>
  </conditionalFormatting>
  <conditionalFormatting sqref="Q775">
    <cfRule type="containsText" dxfId="2" priority="14654" operator="containsText" text="Yes">
      <formula>NOT(ISERROR(SEARCH(("Yes"),(Q775))))</formula>
    </cfRule>
  </conditionalFormatting>
  <conditionalFormatting sqref="Q775">
    <cfRule type="containsText" dxfId="9" priority="14655" operator="containsText" text="No">
      <formula>NOT(ISERROR(SEARCH(("No"),(Q775))))</formula>
    </cfRule>
  </conditionalFormatting>
  <conditionalFormatting sqref="Q775">
    <cfRule type="containsText" dxfId="2" priority="14656" operator="containsText" text="Yes">
      <formula>NOT(ISERROR(SEARCH(("Yes"),(Q775))))</formula>
    </cfRule>
  </conditionalFormatting>
  <conditionalFormatting sqref="Q775">
    <cfRule type="containsText" dxfId="9" priority="14657" operator="containsText" text="No">
      <formula>NOT(ISERROR(SEARCH(("No"),(Q775))))</formula>
    </cfRule>
  </conditionalFormatting>
  <conditionalFormatting sqref="Q775">
    <cfRule type="containsText" dxfId="2" priority="14658" operator="containsText" text="Yes">
      <formula>NOT(ISERROR(SEARCH(("Yes"),(Q775))))</formula>
    </cfRule>
  </conditionalFormatting>
  <conditionalFormatting sqref="Q775">
    <cfRule type="containsText" dxfId="9" priority="14659" operator="containsText" text="No">
      <formula>NOT(ISERROR(SEARCH(("No"),(Q775))))</formula>
    </cfRule>
  </conditionalFormatting>
  <conditionalFormatting sqref="Q775">
    <cfRule type="containsText" dxfId="2" priority="14660" operator="containsText" text="Yes">
      <formula>NOT(ISERROR(SEARCH(("Yes"),(Q775))))</formula>
    </cfRule>
  </conditionalFormatting>
  <conditionalFormatting sqref="Q775">
    <cfRule type="containsText" dxfId="9" priority="14661" operator="containsText" text="No">
      <formula>NOT(ISERROR(SEARCH(("No"),(Q775))))</formula>
    </cfRule>
  </conditionalFormatting>
  <conditionalFormatting sqref="Q775">
    <cfRule type="containsText" dxfId="2" priority="14662" operator="containsText" text="Yes">
      <formula>NOT(ISERROR(SEARCH(("Yes"),(Q775))))</formula>
    </cfRule>
  </conditionalFormatting>
  <conditionalFormatting sqref="Q775">
    <cfRule type="containsText" dxfId="9" priority="14663" operator="containsText" text="No">
      <formula>NOT(ISERROR(SEARCH(("No"),(Q775))))</formula>
    </cfRule>
  </conditionalFormatting>
  <conditionalFormatting sqref="Q775">
    <cfRule type="containsText" dxfId="2" priority="14664" operator="containsText" text="Yes">
      <formula>NOT(ISERROR(SEARCH(("Yes"),(Q775))))</formula>
    </cfRule>
  </conditionalFormatting>
  <conditionalFormatting sqref="Q775">
    <cfRule type="containsText" dxfId="9" priority="14665" operator="containsText" text="No">
      <formula>NOT(ISERROR(SEARCH(("No"),(Q775))))</formula>
    </cfRule>
  </conditionalFormatting>
  <conditionalFormatting sqref="Q775">
    <cfRule type="containsText" dxfId="2" priority="14666" operator="containsText" text="Yes">
      <formula>NOT(ISERROR(SEARCH(("Yes"),(Q775))))</formula>
    </cfRule>
  </conditionalFormatting>
  <conditionalFormatting sqref="Q775">
    <cfRule type="containsText" dxfId="9" priority="14667" operator="containsText" text="No">
      <formula>NOT(ISERROR(SEARCH(("No"),(Q775))))</formula>
    </cfRule>
  </conditionalFormatting>
  <conditionalFormatting sqref="Q775">
    <cfRule type="containsText" dxfId="2" priority="14668" operator="containsText" text="Yes">
      <formula>NOT(ISERROR(SEARCH(("Yes"),(Q775))))</formula>
    </cfRule>
  </conditionalFormatting>
  <conditionalFormatting sqref="Q775">
    <cfRule type="containsText" dxfId="9" priority="14669" operator="containsText" text="No">
      <formula>NOT(ISERROR(SEARCH(("No"),(Q775))))</formula>
    </cfRule>
  </conditionalFormatting>
  <conditionalFormatting sqref="Q775">
    <cfRule type="containsText" dxfId="2" priority="14670" operator="containsText" text="Yes">
      <formula>NOT(ISERROR(SEARCH(("Yes"),(Q775))))</formula>
    </cfRule>
  </conditionalFormatting>
  <conditionalFormatting sqref="Q775">
    <cfRule type="containsText" dxfId="9" priority="14671" operator="containsText" text="No">
      <formula>NOT(ISERROR(SEARCH(("No"),(Q775))))</formula>
    </cfRule>
  </conditionalFormatting>
  <conditionalFormatting sqref="Q775">
    <cfRule type="containsText" dxfId="2" priority="14672" operator="containsText" text="Yes">
      <formula>NOT(ISERROR(SEARCH(("Yes"),(Q775))))</formula>
    </cfRule>
  </conditionalFormatting>
  <conditionalFormatting sqref="Q775">
    <cfRule type="containsText" dxfId="2" priority="14673" operator="containsText" text="Yes">
      <formula>NOT(ISERROR(SEARCH(("Yes"),(Q775))))</formula>
    </cfRule>
  </conditionalFormatting>
  <conditionalFormatting sqref="Q775">
    <cfRule type="containsText" dxfId="9" priority="14674" operator="containsText" text="No">
      <formula>NOT(ISERROR(SEARCH(("No"),(Q775))))</formula>
    </cfRule>
  </conditionalFormatting>
  <conditionalFormatting sqref="Q775">
    <cfRule type="containsText" dxfId="2" priority="14675" operator="containsText" text="Yes">
      <formula>NOT(ISERROR(SEARCH(("Yes"),(Q775))))</formula>
    </cfRule>
  </conditionalFormatting>
  <conditionalFormatting sqref="Q776">
    <cfRule type="containsText" dxfId="9" priority="14676" operator="containsText" text="No">
      <formula>NOT(ISERROR(SEARCH(("No"),(Q776))))</formula>
    </cfRule>
  </conditionalFormatting>
  <conditionalFormatting sqref="Q776">
    <cfRule type="containsText" dxfId="2" priority="14677" operator="containsText" text="Yes">
      <formula>NOT(ISERROR(SEARCH(("Yes"),(Q776))))</formula>
    </cfRule>
  </conditionalFormatting>
  <conditionalFormatting sqref="Q777:Q781">
    <cfRule type="containsText" dxfId="2" priority="14678" operator="containsText" text="Yes">
      <formula>NOT(ISERROR(SEARCH(("Yes"),(Q777))))</formula>
    </cfRule>
  </conditionalFormatting>
  <conditionalFormatting sqref="Q777:Q781">
    <cfRule type="containsText" dxfId="9" priority="14679" operator="containsText" text="No">
      <formula>NOT(ISERROR(SEARCH(("No"),(Q777))))</formula>
    </cfRule>
  </conditionalFormatting>
  <conditionalFormatting sqref="Q777:Q781">
    <cfRule type="containsText" dxfId="2" priority="14680" operator="containsText" text="Yes">
      <formula>NOT(ISERROR(SEARCH(("Yes"),(Q777))))</formula>
    </cfRule>
  </conditionalFormatting>
  <conditionalFormatting sqref="Q777:Q781">
    <cfRule type="containsText" dxfId="9" priority="14681" operator="containsText" text="No">
      <formula>NOT(ISERROR(SEARCH(("No"),(Q777))))</formula>
    </cfRule>
  </conditionalFormatting>
  <conditionalFormatting sqref="Q777:Q781">
    <cfRule type="containsText" dxfId="2" priority="14682" operator="containsText" text="Yes">
      <formula>NOT(ISERROR(SEARCH(("Yes"),(Q777))))</formula>
    </cfRule>
  </conditionalFormatting>
  <conditionalFormatting sqref="Q777:Q781">
    <cfRule type="containsText" dxfId="9" priority="14683" operator="containsText" text="No">
      <formula>NOT(ISERROR(SEARCH(("No"),(Q777))))</formula>
    </cfRule>
  </conditionalFormatting>
  <conditionalFormatting sqref="Q777:Q781">
    <cfRule type="containsText" dxfId="2" priority="14684" operator="containsText" text="Yes">
      <formula>NOT(ISERROR(SEARCH(("Yes"),(Q777))))</formula>
    </cfRule>
  </conditionalFormatting>
  <conditionalFormatting sqref="Q777:Q781">
    <cfRule type="containsText" dxfId="9" priority="14685" operator="containsText" text="No">
      <formula>NOT(ISERROR(SEARCH(("No"),(Q777))))</formula>
    </cfRule>
  </conditionalFormatting>
  <conditionalFormatting sqref="Q777:Q781">
    <cfRule type="containsText" dxfId="2" priority="14686" operator="containsText" text="Yes">
      <formula>NOT(ISERROR(SEARCH(("Yes"),(Q777))))</formula>
    </cfRule>
  </conditionalFormatting>
  <conditionalFormatting sqref="Q777:Q781">
    <cfRule type="containsText" dxfId="9" priority="14687" operator="containsText" text="No">
      <formula>NOT(ISERROR(SEARCH(("No"),(Q777))))</formula>
    </cfRule>
  </conditionalFormatting>
  <conditionalFormatting sqref="Q777:Q781">
    <cfRule type="containsText" dxfId="2" priority="14688" operator="containsText" text="Yes">
      <formula>NOT(ISERROR(SEARCH(("Yes"),(Q777))))</formula>
    </cfRule>
  </conditionalFormatting>
  <conditionalFormatting sqref="Q777:Q781">
    <cfRule type="containsText" dxfId="9" priority="14689" operator="containsText" text="No">
      <formula>NOT(ISERROR(SEARCH(("No"),(Q777))))</formula>
    </cfRule>
  </conditionalFormatting>
  <conditionalFormatting sqref="Q777:Q781">
    <cfRule type="containsText" dxfId="2" priority="14690" operator="containsText" text="Yes">
      <formula>NOT(ISERROR(SEARCH(("Yes"),(Q777))))</formula>
    </cfRule>
  </conditionalFormatting>
  <conditionalFormatting sqref="Q777:Q781">
    <cfRule type="containsText" dxfId="9" priority="14691" operator="containsText" text="No">
      <formula>NOT(ISERROR(SEARCH(("No"),(Q777))))</formula>
    </cfRule>
  </conditionalFormatting>
  <conditionalFormatting sqref="Q777:Q781">
    <cfRule type="containsText" dxfId="2" priority="14692" operator="containsText" text="Yes">
      <formula>NOT(ISERROR(SEARCH(("Yes"),(Q777))))</formula>
    </cfRule>
  </conditionalFormatting>
  <conditionalFormatting sqref="Q777:Q781">
    <cfRule type="containsText" dxfId="9" priority="14693" operator="containsText" text="No">
      <formula>NOT(ISERROR(SEARCH(("No"),(Q777))))</formula>
    </cfRule>
  </conditionalFormatting>
  <conditionalFormatting sqref="Q777:Q781">
    <cfRule type="containsText" dxfId="2" priority="14694" operator="containsText" text="Yes">
      <formula>NOT(ISERROR(SEARCH(("Yes"),(Q777))))</formula>
    </cfRule>
  </conditionalFormatting>
  <conditionalFormatting sqref="Q777:Q781">
    <cfRule type="containsText" dxfId="9" priority="14695" operator="containsText" text="No">
      <formula>NOT(ISERROR(SEARCH(("No"),(Q777))))</formula>
    </cfRule>
  </conditionalFormatting>
  <conditionalFormatting sqref="Q777:Q781">
    <cfRule type="containsText" dxfId="2" priority="14696" operator="containsText" text="Yes">
      <formula>NOT(ISERROR(SEARCH(("Yes"),(Q777))))</formula>
    </cfRule>
  </conditionalFormatting>
  <conditionalFormatting sqref="Q777:Q781">
    <cfRule type="containsText" dxfId="9" priority="14697" operator="containsText" text="No">
      <formula>NOT(ISERROR(SEARCH(("No"),(Q777))))</formula>
    </cfRule>
  </conditionalFormatting>
  <conditionalFormatting sqref="Q777:Q781">
    <cfRule type="containsText" dxfId="2" priority="14698" operator="containsText" text="Yes">
      <formula>NOT(ISERROR(SEARCH(("Yes"),(Q777))))</formula>
    </cfRule>
  </conditionalFormatting>
  <conditionalFormatting sqref="Q777:Q781">
    <cfRule type="containsText" dxfId="9" priority="14699" operator="containsText" text="No">
      <formula>NOT(ISERROR(SEARCH(("No"),(Q777))))</formula>
    </cfRule>
  </conditionalFormatting>
  <conditionalFormatting sqref="Q777:Q781">
    <cfRule type="containsText" dxfId="2" priority="14700" operator="containsText" text="Yes">
      <formula>NOT(ISERROR(SEARCH(("Yes"),(Q777))))</formula>
    </cfRule>
  </conditionalFormatting>
  <conditionalFormatting sqref="Q777:Q781">
    <cfRule type="containsText" dxfId="9" priority="14701" operator="containsText" text="No">
      <formula>NOT(ISERROR(SEARCH(("No"),(Q777))))</formula>
    </cfRule>
  </conditionalFormatting>
  <conditionalFormatting sqref="Q777:Q781">
    <cfRule type="containsText" dxfId="2" priority="14702" operator="containsText" text="Yes">
      <formula>NOT(ISERROR(SEARCH(("Yes"),(Q777))))</formula>
    </cfRule>
  </conditionalFormatting>
  <conditionalFormatting sqref="Q777:Q781">
    <cfRule type="containsText" dxfId="9" priority="14703" operator="containsText" text="No">
      <formula>NOT(ISERROR(SEARCH(("No"),(Q777))))</formula>
    </cfRule>
  </conditionalFormatting>
  <conditionalFormatting sqref="Q777:Q781">
    <cfRule type="containsText" dxfId="2" priority="14704" operator="containsText" text="Yes">
      <formula>NOT(ISERROR(SEARCH(("Yes"),(Q777))))</formula>
    </cfRule>
  </conditionalFormatting>
  <conditionalFormatting sqref="Q777:Q781">
    <cfRule type="containsText" dxfId="9" priority="14705" operator="containsText" text="No">
      <formula>NOT(ISERROR(SEARCH(("No"),(Q777))))</formula>
    </cfRule>
  </conditionalFormatting>
  <conditionalFormatting sqref="Q777:Q781">
    <cfRule type="containsText" dxfId="2" priority="14706" operator="containsText" text="Yes">
      <formula>NOT(ISERROR(SEARCH(("Yes"),(Q777))))</formula>
    </cfRule>
  </conditionalFormatting>
  <conditionalFormatting sqref="Q777:Q781">
    <cfRule type="containsText" dxfId="9" priority="14707" operator="containsText" text="No">
      <formula>NOT(ISERROR(SEARCH(("No"),(Q777))))</formula>
    </cfRule>
  </conditionalFormatting>
  <conditionalFormatting sqref="Q777:Q781">
    <cfRule type="containsText" dxfId="2" priority="14708" operator="containsText" text="Yes">
      <formula>NOT(ISERROR(SEARCH(("Yes"),(Q777))))</formula>
    </cfRule>
  </conditionalFormatting>
  <conditionalFormatting sqref="Q777:Q781">
    <cfRule type="containsText" dxfId="9" priority="14709" operator="containsText" text="No">
      <formula>NOT(ISERROR(SEARCH(("No"),(Q777))))</formula>
    </cfRule>
  </conditionalFormatting>
  <conditionalFormatting sqref="Q777:Q781">
    <cfRule type="containsText" dxfId="2" priority="14710" operator="containsText" text="Yes">
      <formula>NOT(ISERROR(SEARCH(("Yes"),(Q777))))</formula>
    </cfRule>
  </conditionalFormatting>
  <conditionalFormatting sqref="Q777:Q781">
    <cfRule type="containsText" dxfId="9" priority="14711" operator="containsText" text="No">
      <formula>NOT(ISERROR(SEARCH(("No"),(Q777))))</formula>
    </cfRule>
  </conditionalFormatting>
  <conditionalFormatting sqref="Q777:Q781">
    <cfRule type="containsText" dxfId="2" priority="14712" operator="containsText" text="Yes">
      <formula>NOT(ISERROR(SEARCH(("Yes"),(Q777))))</formula>
    </cfRule>
  </conditionalFormatting>
  <conditionalFormatting sqref="Q777:Q781">
    <cfRule type="containsText" dxfId="9" priority="14713" operator="containsText" text="No">
      <formula>NOT(ISERROR(SEARCH(("No"),(Q777))))</formula>
    </cfRule>
  </conditionalFormatting>
  <conditionalFormatting sqref="Q777:Q781">
    <cfRule type="containsText" dxfId="2" priority="14714" operator="containsText" text="Yes">
      <formula>NOT(ISERROR(SEARCH(("Yes"),(Q777))))</formula>
    </cfRule>
  </conditionalFormatting>
  <conditionalFormatting sqref="Q777:Q781">
    <cfRule type="containsText" dxfId="9" priority="14715" operator="containsText" text="No">
      <formula>NOT(ISERROR(SEARCH(("No"),(Q777))))</formula>
    </cfRule>
  </conditionalFormatting>
  <conditionalFormatting sqref="Q777:Q781">
    <cfRule type="containsText" dxfId="2" priority="14716" operator="containsText" text="Yes">
      <formula>NOT(ISERROR(SEARCH(("Yes"),(Q777))))</formula>
    </cfRule>
  </conditionalFormatting>
  <conditionalFormatting sqref="Q777:Q781">
    <cfRule type="containsText" dxfId="9" priority="14717" operator="containsText" text="No">
      <formula>NOT(ISERROR(SEARCH(("No"),(Q777))))</formula>
    </cfRule>
  </conditionalFormatting>
  <conditionalFormatting sqref="Q777:Q781">
    <cfRule type="containsText" dxfId="2" priority="14718" operator="containsText" text="Yes">
      <formula>NOT(ISERROR(SEARCH(("Yes"),(Q777))))</formula>
    </cfRule>
  </conditionalFormatting>
  <conditionalFormatting sqref="Q777:Q781">
    <cfRule type="containsText" dxfId="9" priority="14719" operator="containsText" text="No">
      <formula>NOT(ISERROR(SEARCH(("No"),(Q777))))</formula>
    </cfRule>
  </conditionalFormatting>
  <conditionalFormatting sqref="Q777:Q781">
    <cfRule type="containsText" dxfId="2" priority="14720" operator="containsText" text="Yes">
      <formula>NOT(ISERROR(SEARCH(("Yes"),(Q777))))</formula>
    </cfRule>
  </conditionalFormatting>
  <conditionalFormatting sqref="Q777:Q781">
    <cfRule type="containsText" dxfId="9" priority="14721" operator="containsText" text="No">
      <formula>NOT(ISERROR(SEARCH(("No"),(Q777))))</formula>
    </cfRule>
  </conditionalFormatting>
  <conditionalFormatting sqref="Q777:Q781">
    <cfRule type="containsText" dxfId="2" priority="14722" operator="containsText" text="Yes">
      <formula>NOT(ISERROR(SEARCH(("Yes"),(Q777))))</formula>
    </cfRule>
  </conditionalFormatting>
  <conditionalFormatting sqref="Q777:Q781">
    <cfRule type="containsText" dxfId="9" priority="14723" operator="containsText" text="No">
      <formula>NOT(ISERROR(SEARCH(("No"),(Q777))))</formula>
    </cfRule>
  </conditionalFormatting>
  <conditionalFormatting sqref="Q777:Q781">
    <cfRule type="containsText" dxfId="2" priority="14724" operator="containsText" text="Yes">
      <formula>NOT(ISERROR(SEARCH(("Yes"),(Q777))))</formula>
    </cfRule>
  </conditionalFormatting>
  <conditionalFormatting sqref="Q777:Q781">
    <cfRule type="containsText" dxfId="9" priority="14725" operator="containsText" text="No">
      <formula>NOT(ISERROR(SEARCH(("No"),(Q777))))</formula>
    </cfRule>
  </conditionalFormatting>
  <conditionalFormatting sqref="Q777:Q781">
    <cfRule type="containsText" dxfId="2" priority="14726" operator="containsText" text="Yes">
      <formula>NOT(ISERROR(SEARCH(("Yes"),(Q777))))</formula>
    </cfRule>
  </conditionalFormatting>
  <conditionalFormatting sqref="Q777:Q781">
    <cfRule type="containsText" dxfId="9" priority="14727" operator="containsText" text="No">
      <formula>NOT(ISERROR(SEARCH(("No"),(Q777))))</formula>
    </cfRule>
  </conditionalFormatting>
  <conditionalFormatting sqref="Q777:Q781">
    <cfRule type="containsText" dxfId="2" priority="14728" operator="containsText" text="Yes">
      <formula>NOT(ISERROR(SEARCH(("Yes"),(Q777))))</formula>
    </cfRule>
  </conditionalFormatting>
  <conditionalFormatting sqref="Q777:Q781">
    <cfRule type="containsText" dxfId="9" priority="14729" operator="containsText" text="No">
      <formula>NOT(ISERROR(SEARCH(("No"),(Q777))))</formula>
    </cfRule>
  </conditionalFormatting>
  <conditionalFormatting sqref="Q777:Q781">
    <cfRule type="containsText" dxfId="2" priority="14730" operator="containsText" text="Yes">
      <formula>NOT(ISERROR(SEARCH(("Yes"),(Q777))))</formula>
    </cfRule>
  </conditionalFormatting>
  <conditionalFormatting sqref="Q777:Q781">
    <cfRule type="containsText" dxfId="9" priority="14731" operator="containsText" text="No">
      <formula>NOT(ISERROR(SEARCH(("No"),(Q777))))</formula>
    </cfRule>
  </conditionalFormatting>
  <conditionalFormatting sqref="Q777:Q781">
    <cfRule type="containsText" dxfId="2" priority="14732" operator="containsText" text="Yes">
      <formula>NOT(ISERROR(SEARCH(("Yes"),(Q777))))</formula>
    </cfRule>
  </conditionalFormatting>
  <conditionalFormatting sqref="Q777:Q781">
    <cfRule type="containsText" dxfId="9" priority="14733" operator="containsText" text="No">
      <formula>NOT(ISERROR(SEARCH(("No"),(Q777))))</formula>
    </cfRule>
  </conditionalFormatting>
  <conditionalFormatting sqref="Q777:Q781">
    <cfRule type="containsText" dxfId="2" priority="14734" operator="containsText" text="Yes">
      <formula>NOT(ISERROR(SEARCH(("Yes"),(Q777))))</formula>
    </cfRule>
  </conditionalFormatting>
  <conditionalFormatting sqref="Q777:Q781">
    <cfRule type="containsText" dxfId="9" priority="14735" operator="containsText" text="No">
      <formula>NOT(ISERROR(SEARCH(("No"),(Q777))))</formula>
    </cfRule>
  </conditionalFormatting>
  <conditionalFormatting sqref="Q777:Q781">
    <cfRule type="containsText" dxfId="2" priority="14736" operator="containsText" text="Yes">
      <formula>NOT(ISERROR(SEARCH(("Yes"),(Q777))))</formula>
    </cfRule>
  </conditionalFormatting>
  <conditionalFormatting sqref="Q777:Q781">
    <cfRule type="containsText" dxfId="9" priority="14737" operator="containsText" text="No">
      <formula>NOT(ISERROR(SEARCH(("No"),(Q777))))</formula>
    </cfRule>
  </conditionalFormatting>
  <conditionalFormatting sqref="Q777:Q781">
    <cfRule type="containsText" dxfId="2" priority="14738" operator="containsText" text="Yes">
      <formula>NOT(ISERROR(SEARCH(("Yes"),(Q777))))</formula>
    </cfRule>
  </conditionalFormatting>
  <conditionalFormatting sqref="Q777:Q781">
    <cfRule type="containsText" dxfId="9" priority="14739" operator="containsText" text="No">
      <formula>NOT(ISERROR(SEARCH(("No"),(Q777))))</formula>
    </cfRule>
  </conditionalFormatting>
  <conditionalFormatting sqref="Q777:Q781">
    <cfRule type="containsText" dxfId="2" priority="14740" operator="containsText" text="Yes">
      <formula>NOT(ISERROR(SEARCH(("Yes"),(Q777))))</formula>
    </cfRule>
  </conditionalFormatting>
  <conditionalFormatting sqref="Q777:Q781">
    <cfRule type="containsText" dxfId="9" priority="14741" operator="containsText" text="No">
      <formula>NOT(ISERROR(SEARCH(("No"),(Q777))))</formula>
    </cfRule>
  </conditionalFormatting>
  <conditionalFormatting sqref="Q777:Q781">
    <cfRule type="containsText" dxfId="2" priority="14742" operator="containsText" text="Yes">
      <formula>NOT(ISERROR(SEARCH(("Yes"),(Q777))))</formula>
    </cfRule>
  </conditionalFormatting>
  <conditionalFormatting sqref="Q777:Q781">
    <cfRule type="containsText" dxfId="9" priority="14743" operator="containsText" text="No">
      <formula>NOT(ISERROR(SEARCH(("No"),(Q777))))</formula>
    </cfRule>
  </conditionalFormatting>
  <conditionalFormatting sqref="Q777:Q781">
    <cfRule type="containsText" dxfId="2" priority="14744" operator="containsText" text="Yes">
      <formula>NOT(ISERROR(SEARCH(("Yes"),(Q777))))</formula>
    </cfRule>
  </conditionalFormatting>
  <conditionalFormatting sqref="Q777:Q781">
    <cfRule type="containsText" dxfId="9" priority="14745" operator="containsText" text="No">
      <formula>NOT(ISERROR(SEARCH(("No"),(Q777))))</formula>
    </cfRule>
  </conditionalFormatting>
  <conditionalFormatting sqref="Q777:Q781">
    <cfRule type="containsText" dxfId="2" priority="14746" operator="containsText" text="Yes">
      <formula>NOT(ISERROR(SEARCH(("Yes"),(Q777))))</formula>
    </cfRule>
  </conditionalFormatting>
  <conditionalFormatting sqref="Q777:Q781">
    <cfRule type="containsText" dxfId="9" priority="14747" operator="containsText" text="No">
      <formula>NOT(ISERROR(SEARCH(("No"),(Q777))))</formula>
    </cfRule>
  </conditionalFormatting>
  <conditionalFormatting sqref="Q777:Q781">
    <cfRule type="containsText" dxfId="2" priority="14748" operator="containsText" text="Yes">
      <formula>NOT(ISERROR(SEARCH(("Yes"),(Q777))))</formula>
    </cfRule>
  </conditionalFormatting>
  <conditionalFormatting sqref="Q777:Q781">
    <cfRule type="containsText" dxfId="9" priority="14749" operator="containsText" text="No">
      <formula>NOT(ISERROR(SEARCH(("No"),(Q777))))</formula>
    </cfRule>
  </conditionalFormatting>
  <conditionalFormatting sqref="Q777:Q781">
    <cfRule type="containsText" dxfId="2" priority="14750" operator="containsText" text="Yes">
      <formula>NOT(ISERROR(SEARCH(("Yes"),(Q777))))</formula>
    </cfRule>
  </conditionalFormatting>
  <conditionalFormatting sqref="Q777:Q781">
    <cfRule type="containsText" dxfId="9" priority="14751" operator="containsText" text="No">
      <formula>NOT(ISERROR(SEARCH(("No"),(Q777))))</formula>
    </cfRule>
  </conditionalFormatting>
  <conditionalFormatting sqref="Q777:Q781">
    <cfRule type="containsText" dxfId="2" priority="14752" operator="containsText" text="Yes">
      <formula>NOT(ISERROR(SEARCH(("Yes"),(Q777))))</formula>
    </cfRule>
  </conditionalFormatting>
  <conditionalFormatting sqref="Q777:Q781">
    <cfRule type="containsText" dxfId="9" priority="14753" operator="containsText" text="No">
      <formula>NOT(ISERROR(SEARCH(("No"),(Q777))))</formula>
    </cfRule>
  </conditionalFormatting>
  <conditionalFormatting sqref="Q777:Q781">
    <cfRule type="containsText" dxfId="2" priority="14754" operator="containsText" text="Yes">
      <formula>NOT(ISERROR(SEARCH(("Yes"),(Q777))))</formula>
    </cfRule>
  </conditionalFormatting>
  <conditionalFormatting sqref="Q777:Q781">
    <cfRule type="containsText" dxfId="9" priority="14755" operator="containsText" text="No">
      <formula>NOT(ISERROR(SEARCH(("No"),(Q777))))</formula>
    </cfRule>
  </conditionalFormatting>
  <conditionalFormatting sqref="Q777:Q781">
    <cfRule type="containsText" dxfId="2" priority="14756" operator="containsText" text="Yes">
      <formula>NOT(ISERROR(SEARCH(("Yes"),(Q777))))</formula>
    </cfRule>
  </conditionalFormatting>
  <conditionalFormatting sqref="Q777:Q781">
    <cfRule type="containsText" dxfId="9" priority="14757" operator="containsText" text="No">
      <formula>NOT(ISERROR(SEARCH(("No"),(Q777))))</formula>
    </cfRule>
  </conditionalFormatting>
  <conditionalFormatting sqref="Q777:Q781">
    <cfRule type="containsText" dxfId="2" priority="14758" operator="containsText" text="Yes">
      <formula>NOT(ISERROR(SEARCH(("Yes"),(Q777))))</formula>
    </cfRule>
  </conditionalFormatting>
  <conditionalFormatting sqref="Q777:Q781">
    <cfRule type="containsText" dxfId="9" priority="14759" operator="containsText" text="No">
      <formula>NOT(ISERROR(SEARCH(("No"),(Q777))))</formula>
    </cfRule>
  </conditionalFormatting>
  <conditionalFormatting sqref="Q777:Q781">
    <cfRule type="containsText" dxfId="2" priority="14760" operator="containsText" text="Yes">
      <formula>NOT(ISERROR(SEARCH(("Yes"),(Q777))))</formula>
    </cfRule>
  </conditionalFormatting>
  <conditionalFormatting sqref="Q777:Q781">
    <cfRule type="containsText" dxfId="9" priority="14761" operator="containsText" text="No">
      <formula>NOT(ISERROR(SEARCH(("No"),(Q777))))</formula>
    </cfRule>
  </conditionalFormatting>
  <conditionalFormatting sqref="Q777:Q781">
    <cfRule type="containsText" dxfId="2" priority="14762" operator="containsText" text="Yes">
      <formula>NOT(ISERROR(SEARCH(("Yes"),(Q777))))</formula>
    </cfRule>
  </conditionalFormatting>
  <conditionalFormatting sqref="Q777:Q781">
    <cfRule type="containsText" dxfId="9" priority="14763" operator="containsText" text="No">
      <formula>NOT(ISERROR(SEARCH(("No"),(Q777))))</formula>
    </cfRule>
  </conditionalFormatting>
  <conditionalFormatting sqref="Q777:Q781">
    <cfRule type="containsText" dxfId="2" priority="14764" operator="containsText" text="Yes">
      <formula>NOT(ISERROR(SEARCH(("Yes"),(Q777))))</formula>
    </cfRule>
  </conditionalFormatting>
  <conditionalFormatting sqref="Q777:Q781">
    <cfRule type="containsText" dxfId="9" priority="14765" operator="containsText" text="No">
      <formula>NOT(ISERROR(SEARCH(("No"),(Q777))))</formula>
    </cfRule>
  </conditionalFormatting>
  <conditionalFormatting sqref="Q777:Q781">
    <cfRule type="containsText" dxfId="2" priority="14766" operator="containsText" text="Yes">
      <formula>NOT(ISERROR(SEARCH(("Yes"),(Q777))))</formula>
    </cfRule>
  </conditionalFormatting>
  <conditionalFormatting sqref="Q777:Q781">
    <cfRule type="containsText" dxfId="2" priority="14767" operator="containsText" text="Yes">
      <formula>NOT(ISERROR(SEARCH(("Yes"),(Q777))))</formula>
    </cfRule>
  </conditionalFormatting>
  <conditionalFormatting sqref="Q777:Q781">
    <cfRule type="containsText" dxfId="9" priority="14768" operator="containsText" text="No">
      <formula>NOT(ISERROR(SEARCH(("No"),(Q777))))</formula>
    </cfRule>
  </conditionalFormatting>
  <conditionalFormatting sqref="Q777:Q781">
    <cfRule type="containsText" dxfId="2" priority="14769" operator="containsText" text="Yes">
      <formula>NOT(ISERROR(SEARCH(("Yes"),(Q777))))</formula>
    </cfRule>
  </conditionalFormatting>
  <conditionalFormatting sqref="Q783">
    <cfRule type="containsText" dxfId="9" priority="14770" operator="containsText" text="No">
      <formula>NOT(ISERROR(SEARCH(("No"),(Q783))))</formula>
    </cfRule>
  </conditionalFormatting>
  <conditionalFormatting sqref="Q783">
    <cfRule type="containsText" dxfId="2" priority="14771" operator="containsText" text="Yes">
      <formula>NOT(ISERROR(SEARCH(("Yes"),(Q783))))</formula>
    </cfRule>
  </conditionalFormatting>
  <conditionalFormatting sqref="Q786:Q800">
    <cfRule type="containsText" dxfId="2" priority="14772" operator="containsText" text="Yes">
      <formula>NOT(ISERROR(SEARCH(("Yes"),(Q786))))</formula>
    </cfRule>
  </conditionalFormatting>
  <conditionalFormatting sqref="Q786:Q800">
    <cfRule type="containsText" dxfId="9" priority="14773" operator="containsText" text="No">
      <formula>NOT(ISERROR(SEARCH(("No"),(Q786))))</formula>
    </cfRule>
  </conditionalFormatting>
  <conditionalFormatting sqref="Q786:Q800">
    <cfRule type="containsText" dxfId="2" priority="14774" operator="containsText" text="Yes">
      <formula>NOT(ISERROR(SEARCH(("Yes"),(Q786))))</formula>
    </cfRule>
  </conditionalFormatting>
  <conditionalFormatting sqref="Q786:Q800">
    <cfRule type="containsText" dxfId="9" priority="14775" operator="containsText" text="No">
      <formula>NOT(ISERROR(SEARCH(("No"),(Q786))))</formula>
    </cfRule>
  </conditionalFormatting>
  <conditionalFormatting sqref="Q786:Q800">
    <cfRule type="containsText" dxfId="2" priority="14776" operator="containsText" text="Yes">
      <formula>NOT(ISERROR(SEARCH(("Yes"),(Q786))))</formula>
    </cfRule>
  </conditionalFormatting>
  <conditionalFormatting sqref="Q786:Q800">
    <cfRule type="containsText" dxfId="9" priority="14777" operator="containsText" text="No">
      <formula>NOT(ISERROR(SEARCH(("No"),(Q786))))</formula>
    </cfRule>
  </conditionalFormatting>
  <conditionalFormatting sqref="Q786:Q800">
    <cfRule type="containsText" dxfId="2" priority="14778" operator="containsText" text="Yes">
      <formula>NOT(ISERROR(SEARCH(("Yes"),(Q786))))</formula>
    </cfRule>
  </conditionalFormatting>
  <conditionalFormatting sqref="Q786:Q800">
    <cfRule type="containsText" dxfId="9" priority="14779" operator="containsText" text="No">
      <formula>NOT(ISERROR(SEARCH(("No"),(Q786))))</formula>
    </cfRule>
  </conditionalFormatting>
  <conditionalFormatting sqref="Q786:Q800">
    <cfRule type="containsText" dxfId="2" priority="14780" operator="containsText" text="Yes">
      <formula>NOT(ISERROR(SEARCH(("Yes"),(Q786))))</formula>
    </cfRule>
  </conditionalFormatting>
  <conditionalFormatting sqref="Q786:Q800">
    <cfRule type="containsText" dxfId="9" priority="14781" operator="containsText" text="No">
      <formula>NOT(ISERROR(SEARCH(("No"),(Q786))))</formula>
    </cfRule>
  </conditionalFormatting>
  <conditionalFormatting sqref="Q786:Q800">
    <cfRule type="containsText" dxfId="2" priority="14782" operator="containsText" text="Yes">
      <formula>NOT(ISERROR(SEARCH(("Yes"),(Q786))))</formula>
    </cfRule>
  </conditionalFormatting>
  <conditionalFormatting sqref="Q786:Q800">
    <cfRule type="containsText" dxfId="9" priority="14783" operator="containsText" text="No">
      <formula>NOT(ISERROR(SEARCH(("No"),(Q786))))</formula>
    </cfRule>
  </conditionalFormatting>
  <conditionalFormatting sqref="Q786:Q800">
    <cfRule type="containsText" dxfId="2" priority="14784" operator="containsText" text="Yes">
      <formula>NOT(ISERROR(SEARCH(("Yes"),(Q786))))</formula>
    </cfRule>
  </conditionalFormatting>
  <conditionalFormatting sqref="Q786:Q800">
    <cfRule type="containsText" dxfId="9" priority="14785" operator="containsText" text="No">
      <formula>NOT(ISERROR(SEARCH(("No"),(Q786))))</formula>
    </cfRule>
  </conditionalFormatting>
  <conditionalFormatting sqref="Q786:Q800">
    <cfRule type="containsText" dxfId="2" priority="14786" operator="containsText" text="Yes">
      <formula>NOT(ISERROR(SEARCH(("Yes"),(Q786))))</formula>
    </cfRule>
  </conditionalFormatting>
  <conditionalFormatting sqref="Q786:Q800">
    <cfRule type="containsText" dxfId="9" priority="14787" operator="containsText" text="No">
      <formula>NOT(ISERROR(SEARCH(("No"),(Q786))))</formula>
    </cfRule>
  </conditionalFormatting>
  <conditionalFormatting sqref="Q786:Q800">
    <cfRule type="containsText" dxfId="2" priority="14788" operator="containsText" text="Yes">
      <formula>NOT(ISERROR(SEARCH(("Yes"),(Q786))))</formula>
    </cfRule>
  </conditionalFormatting>
  <conditionalFormatting sqref="Q786:Q800">
    <cfRule type="containsText" dxfId="9" priority="14789" operator="containsText" text="No">
      <formula>NOT(ISERROR(SEARCH(("No"),(Q786))))</formula>
    </cfRule>
  </conditionalFormatting>
  <conditionalFormatting sqref="Q786:Q800">
    <cfRule type="containsText" dxfId="2" priority="14790" operator="containsText" text="Yes">
      <formula>NOT(ISERROR(SEARCH(("Yes"),(Q786))))</formula>
    </cfRule>
  </conditionalFormatting>
  <conditionalFormatting sqref="Q786:Q800">
    <cfRule type="containsText" dxfId="9" priority="14791" operator="containsText" text="No">
      <formula>NOT(ISERROR(SEARCH(("No"),(Q786))))</formula>
    </cfRule>
  </conditionalFormatting>
  <conditionalFormatting sqref="Q786:Q800">
    <cfRule type="containsText" dxfId="2" priority="14792" operator="containsText" text="Yes">
      <formula>NOT(ISERROR(SEARCH(("Yes"),(Q786))))</formula>
    </cfRule>
  </conditionalFormatting>
  <conditionalFormatting sqref="Q786:Q800">
    <cfRule type="containsText" dxfId="9" priority="14793" operator="containsText" text="No">
      <formula>NOT(ISERROR(SEARCH(("No"),(Q786))))</formula>
    </cfRule>
  </conditionalFormatting>
  <conditionalFormatting sqref="Q786:Q800">
    <cfRule type="containsText" dxfId="2" priority="14794" operator="containsText" text="Yes">
      <formula>NOT(ISERROR(SEARCH(("Yes"),(Q786))))</formula>
    </cfRule>
  </conditionalFormatting>
  <conditionalFormatting sqref="Q786:Q800">
    <cfRule type="containsText" dxfId="9" priority="14795" operator="containsText" text="No">
      <formula>NOT(ISERROR(SEARCH(("No"),(Q786))))</formula>
    </cfRule>
  </conditionalFormatting>
  <conditionalFormatting sqref="Q786:Q800">
    <cfRule type="containsText" dxfId="2" priority="14796" operator="containsText" text="Yes">
      <formula>NOT(ISERROR(SEARCH(("Yes"),(Q786))))</formula>
    </cfRule>
  </conditionalFormatting>
  <conditionalFormatting sqref="Q786:Q800">
    <cfRule type="containsText" dxfId="9" priority="14797" operator="containsText" text="No">
      <formula>NOT(ISERROR(SEARCH(("No"),(Q786))))</formula>
    </cfRule>
  </conditionalFormatting>
  <conditionalFormatting sqref="Q786:Q800">
    <cfRule type="containsText" dxfId="2" priority="14798" operator="containsText" text="Yes">
      <formula>NOT(ISERROR(SEARCH(("Yes"),(Q786))))</formula>
    </cfRule>
  </conditionalFormatting>
  <conditionalFormatting sqref="Q786:Q800">
    <cfRule type="containsText" dxfId="9" priority="14799" operator="containsText" text="No">
      <formula>NOT(ISERROR(SEARCH(("No"),(Q786))))</formula>
    </cfRule>
  </conditionalFormatting>
  <conditionalFormatting sqref="Q786:Q800">
    <cfRule type="containsText" dxfId="2" priority="14800" operator="containsText" text="Yes">
      <formula>NOT(ISERROR(SEARCH(("Yes"),(Q786))))</formula>
    </cfRule>
  </conditionalFormatting>
  <conditionalFormatting sqref="Q786:Q800">
    <cfRule type="containsText" dxfId="9" priority="14801" operator="containsText" text="No">
      <formula>NOT(ISERROR(SEARCH(("No"),(Q786))))</formula>
    </cfRule>
  </conditionalFormatting>
  <conditionalFormatting sqref="Q786:Q800">
    <cfRule type="containsText" dxfId="2" priority="14802" operator="containsText" text="Yes">
      <formula>NOT(ISERROR(SEARCH(("Yes"),(Q786))))</formula>
    </cfRule>
  </conditionalFormatting>
  <conditionalFormatting sqref="Q786:Q800">
    <cfRule type="containsText" dxfId="9" priority="14803" operator="containsText" text="No">
      <formula>NOT(ISERROR(SEARCH(("No"),(Q786))))</formula>
    </cfRule>
  </conditionalFormatting>
  <conditionalFormatting sqref="Q786:Q800">
    <cfRule type="containsText" dxfId="2" priority="14804" operator="containsText" text="Yes">
      <formula>NOT(ISERROR(SEARCH(("Yes"),(Q786))))</formula>
    </cfRule>
  </conditionalFormatting>
  <conditionalFormatting sqref="Q786:Q800">
    <cfRule type="containsText" dxfId="9" priority="14805" operator="containsText" text="No">
      <formula>NOT(ISERROR(SEARCH(("No"),(Q786))))</formula>
    </cfRule>
  </conditionalFormatting>
  <conditionalFormatting sqref="Q786:Q800">
    <cfRule type="containsText" dxfId="2" priority="14806" operator="containsText" text="Yes">
      <formula>NOT(ISERROR(SEARCH(("Yes"),(Q786))))</formula>
    </cfRule>
  </conditionalFormatting>
  <conditionalFormatting sqref="Q786:Q800">
    <cfRule type="containsText" dxfId="9" priority="14807" operator="containsText" text="No">
      <formula>NOT(ISERROR(SEARCH(("No"),(Q786))))</formula>
    </cfRule>
  </conditionalFormatting>
  <conditionalFormatting sqref="Q786:Q800">
    <cfRule type="containsText" dxfId="2" priority="14808" operator="containsText" text="Yes">
      <formula>NOT(ISERROR(SEARCH(("Yes"),(Q786))))</formula>
    </cfRule>
  </conditionalFormatting>
  <conditionalFormatting sqref="Q786:Q800">
    <cfRule type="containsText" dxfId="9" priority="14809" operator="containsText" text="No">
      <formula>NOT(ISERROR(SEARCH(("No"),(Q786))))</formula>
    </cfRule>
  </conditionalFormatting>
  <conditionalFormatting sqref="Q786:Q800">
    <cfRule type="containsText" dxfId="2" priority="14810" operator="containsText" text="Yes">
      <formula>NOT(ISERROR(SEARCH(("Yes"),(Q786))))</formula>
    </cfRule>
  </conditionalFormatting>
  <conditionalFormatting sqref="Q786:Q800">
    <cfRule type="containsText" dxfId="9" priority="14811" operator="containsText" text="No">
      <formula>NOT(ISERROR(SEARCH(("No"),(Q786))))</formula>
    </cfRule>
  </conditionalFormatting>
  <conditionalFormatting sqref="Q786:Q800">
    <cfRule type="containsText" dxfId="2" priority="14812" operator="containsText" text="Yes">
      <formula>NOT(ISERROR(SEARCH(("Yes"),(Q786))))</formula>
    </cfRule>
  </conditionalFormatting>
  <conditionalFormatting sqref="Q786:Q800">
    <cfRule type="containsText" dxfId="9" priority="14813" operator="containsText" text="No">
      <formula>NOT(ISERROR(SEARCH(("No"),(Q786))))</formula>
    </cfRule>
  </conditionalFormatting>
  <conditionalFormatting sqref="Q786:Q800">
    <cfRule type="containsText" dxfId="2" priority="14814" operator="containsText" text="Yes">
      <formula>NOT(ISERROR(SEARCH(("Yes"),(Q786))))</formula>
    </cfRule>
  </conditionalFormatting>
  <conditionalFormatting sqref="Q786:Q800">
    <cfRule type="containsText" dxfId="9" priority="14815" operator="containsText" text="No">
      <formula>NOT(ISERROR(SEARCH(("No"),(Q786))))</formula>
    </cfRule>
  </conditionalFormatting>
  <conditionalFormatting sqref="Q786:Q800">
    <cfRule type="containsText" dxfId="2" priority="14816" operator="containsText" text="Yes">
      <formula>NOT(ISERROR(SEARCH(("Yes"),(Q786))))</formula>
    </cfRule>
  </conditionalFormatting>
  <conditionalFormatting sqref="Q786:Q800">
    <cfRule type="containsText" dxfId="9" priority="14817" operator="containsText" text="No">
      <formula>NOT(ISERROR(SEARCH(("No"),(Q786))))</formula>
    </cfRule>
  </conditionalFormatting>
  <conditionalFormatting sqref="Q786:Q800">
    <cfRule type="containsText" dxfId="2" priority="14818" operator="containsText" text="Yes">
      <formula>NOT(ISERROR(SEARCH(("Yes"),(Q786))))</formula>
    </cfRule>
  </conditionalFormatting>
  <conditionalFormatting sqref="Q786:Q800">
    <cfRule type="containsText" dxfId="9" priority="14819" operator="containsText" text="No">
      <formula>NOT(ISERROR(SEARCH(("No"),(Q786))))</formula>
    </cfRule>
  </conditionalFormatting>
  <conditionalFormatting sqref="Q786:Q800">
    <cfRule type="containsText" dxfId="2" priority="14820" operator="containsText" text="Yes">
      <formula>NOT(ISERROR(SEARCH(("Yes"),(Q786))))</formula>
    </cfRule>
  </conditionalFormatting>
  <conditionalFormatting sqref="Q786:Q800">
    <cfRule type="containsText" dxfId="9" priority="14821" operator="containsText" text="No">
      <formula>NOT(ISERROR(SEARCH(("No"),(Q786))))</formula>
    </cfRule>
  </conditionalFormatting>
  <conditionalFormatting sqref="Q786:Q800">
    <cfRule type="containsText" dxfId="2" priority="14822" operator="containsText" text="Yes">
      <formula>NOT(ISERROR(SEARCH(("Yes"),(Q786))))</formula>
    </cfRule>
  </conditionalFormatting>
  <conditionalFormatting sqref="Q786:Q800">
    <cfRule type="containsText" dxfId="9" priority="14823" operator="containsText" text="No">
      <formula>NOT(ISERROR(SEARCH(("No"),(Q786))))</formula>
    </cfRule>
  </conditionalFormatting>
  <conditionalFormatting sqref="Q786:Q800">
    <cfRule type="containsText" dxfId="2" priority="14824" operator="containsText" text="Yes">
      <formula>NOT(ISERROR(SEARCH(("Yes"),(Q786))))</formula>
    </cfRule>
  </conditionalFormatting>
  <conditionalFormatting sqref="Q786:Q800">
    <cfRule type="containsText" dxfId="9" priority="14825" operator="containsText" text="No">
      <formula>NOT(ISERROR(SEARCH(("No"),(Q786))))</formula>
    </cfRule>
  </conditionalFormatting>
  <conditionalFormatting sqref="Q786:Q800">
    <cfRule type="containsText" dxfId="2" priority="14826" operator="containsText" text="Yes">
      <formula>NOT(ISERROR(SEARCH(("Yes"),(Q786))))</formula>
    </cfRule>
  </conditionalFormatting>
  <conditionalFormatting sqref="Q786:Q800">
    <cfRule type="containsText" dxfId="9" priority="14827" operator="containsText" text="No">
      <formula>NOT(ISERROR(SEARCH(("No"),(Q786))))</formula>
    </cfRule>
  </conditionalFormatting>
  <conditionalFormatting sqref="Q786:Q800">
    <cfRule type="containsText" dxfId="2" priority="14828" operator="containsText" text="Yes">
      <formula>NOT(ISERROR(SEARCH(("Yes"),(Q786))))</formula>
    </cfRule>
  </conditionalFormatting>
  <conditionalFormatting sqref="Q786:Q800">
    <cfRule type="containsText" dxfId="9" priority="14829" operator="containsText" text="No">
      <formula>NOT(ISERROR(SEARCH(("No"),(Q786))))</formula>
    </cfRule>
  </conditionalFormatting>
  <conditionalFormatting sqref="Q786:Q800">
    <cfRule type="containsText" dxfId="2" priority="14830" operator="containsText" text="Yes">
      <formula>NOT(ISERROR(SEARCH(("Yes"),(Q786))))</formula>
    </cfRule>
  </conditionalFormatting>
  <conditionalFormatting sqref="Q786:Q800">
    <cfRule type="containsText" dxfId="9" priority="14831" operator="containsText" text="No">
      <formula>NOT(ISERROR(SEARCH(("No"),(Q786))))</formula>
    </cfRule>
  </conditionalFormatting>
  <conditionalFormatting sqref="Q786:Q800">
    <cfRule type="containsText" dxfId="2" priority="14832" operator="containsText" text="Yes">
      <formula>NOT(ISERROR(SEARCH(("Yes"),(Q786))))</formula>
    </cfRule>
  </conditionalFormatting>
  <conditionalFormatting sqref="Q786:Q800">
    <cfRule type="containsText" dxfId="9" priority="14833" operator="containsText" text="No">
      <formula>NOT(ISERROR(SEARCH(("No"),(Q786))))</formula>
    </cfRule>
  </conditionalFormatting>
  <conditionalFormatting sqref="Q786:Q800">
    <cfRule type="containsText" dxfId="2" priority="14834" operator="containsText" text="Yes">
      <formula>NOT(ISERROR(SEARCH(("Yes"),(Q786))))</formula>
    </cfRule>
  </conditionalFormatting>
  <conditionalFormatting sqref="Q786:Q800">
    <cfRule type="containsText" dxfId="9" priority="14835" operator="containsText" text="No">
      <formula>NOT(ISERROR(SEARCH(("No"),(Q786))))</formula>
    </cfRule>
  </conditionalFormatting>
  <conditionalFormatting sqref="Q786:Q800">
    <cfRule type="containsText" dxfId="2" priority="14836" operator="containsText" text="Yes">
      <formula>NOT(ISERROR(SEARCH(("Yes"),(Q786))))</formula>
    </cfRule>
  </conditionalFormatting>
  <conditionalFormatting sqref="Q786:Q800">
    <cfRule type="containsText" dxfId="9" priority="14837" operator="containsText" text="No">
      <formula>NOT(ISERROR(SEARCH(("No"),(Q786))))</formula>
    </cfRule>
  </conditionalFormatting>
  <conditionalFormatting sqref="Q786:Q800">
    <cfRule type="containsText" dxfId="2" priority="14838" operator="containsText" text="Yes">
      <formula>NOT(ISERROR(SEARCH(("Yes"),(Q786))))</formula>
    </cfRule>
  </conditionalFormatting>
  <conditionalFormatting sqref="Q786:Q800">
    <cfRule type="containsText" dxfId="9" priority="14839" operator="containsText" text="No">
      <formula>NOT(ISERROR(SEARCH(("No"),(Q786))))</formula>
    </cfRule>
  </conditionalFormatting>
  <conditionalFormatting sqref="Q786:Q800">
    <cfRule type="containsText" dxfId="2" priority="14840" operator="containsText" text="Yes">
      <formula>NOT(ISERROR(SEARCH(("Yes"),(Q786))))</formula>
    </cfRule>
  </conditionalFormatting>
  <conditionalFormatting sqref="Q786:Q800">
    <cfRule type="containsText" dxfId="9" priority="14841" operator="containsText" text="No">
      <formula>NOT(ISERROR(SEARCH(("No"),(Q786))))</formula>
    </cfRule>
  </conditionalFormatting>
  <conditionalFormatting sqref="Q786:Q800">
    <cfRule type="containsText" dxfId="2" priority="14842" operator="containsText" text="Yes">
      <formula>NOT(ISERROR(SEARCH(("Yes"),(Q786))))</formula>
    </cfRule>
  </conditionalFormatting>
  <conditionalFormatting sqref="Q786:Q800">
    <cfRule type="containsText" dxfId="9" priority="14843" operator="containsText" text="No">
      <formula>NOT(ISERROR(SEARCH(("No"),(Q786))))</formula>
    </cfRule>
  </conditionalFormatting>
  <conditionalFormatting sqref="Q786:Q800">
    <cfRule type="containsText" dxfId="2" priority="14844" operator="containsText" text="Yes">
      <formula>NOT(ISERROR(SEARCH(("Yes"),(Q786))))</formula>
    </cfRule>
  </conditionalFormatting>
  <conditionalFormatting sqref="Q786:Q800">
    <cfRule type="containsText" dxfId="9" priority="14845" operator="containsText" text="No">
      <formula>NOT(ISERROR(SEARCH(("No"),(Q786))))</formula>
    </cfRule>
  </conditionalFormatting>
  <conditionalFormatting sqref="Q786:Q800">
    <cfRule type="containsText" dxfId="2" priority="14846" operator="containsText" text="Yes">
      <formula>NOT(ISERROR(SEARCH(("Yes"),(Q786))))</formula>
    </cfRule>
  </conditionalFormatting>
  <conditionalFormatting sqref="Q786:Q800">
    <cfRule type="containsText" dxfId="9" priority="14847" operator="containsText" text="No">
      <formula>NOT(ISERROR(SEARCH(("No"),(Q786))))</formula>
    </cfRule>
  </conditionalFormatting>
  <conditionalFormatting sqref="Q786:Q800">
    <cfRule type="containsText" dxfId="2" priority="14848" operator="containsText" text="Yes">
      <formula>NOT(ISERROR(SEARCH(("Yes"),(Q786))))</formula>
    </cfRule>
  </conditionalFormatting>
  <conditionalFormatting sqref="Q786:Q800">
    <cfRule type="containsText" dxfId="9" priority="14849" operator="containsText" text="No">
      <formula>NOT(ISERROR(SEARCH(("No"),(Q786))))</formula>
    </cfRule>
  </conditionalFormatting>
  <conditionalFormatting sqref="Q786:Q800">
    <cfRule type="containsText" dxfId="2" priority="14850" operator="containsText" text="Yes">
      <formula>NOT(ISERROR(SEARCH(("Yes"),(Q786))))</formula>
    </cfRule>
  </conditionalFormatting>
  <conditionalFormatting sqref="Q786:Q800">
    <cfRule type="containsText" dxfId="9" priority="14851" operator="containsText" text="No">
      <formula>NOT(ISERROR(SEARCH(("No"),(Q786))))</formula>
    </cfRule>
  </conditionalFormatting>
  <conditionalFormatting sqref="Q786:Q800">
    <cfRule type="containsText" dxfId="2" priority="14852" operator="containsText" text="Yes">
      <formula>NOT(ISERROR(SEARCH(("Yes"),(Q786))))</formula>
    </cfRule>
  </conditionalFormatting>
  <conditionalFormatting sqref="Q786:Q800">
    <cfRule type="containsText" dxfId="9" priority="14853" operator="containsText" text="No">
      <formula>NOT(ISERROR(SEARCH(("No"),(Q786))))</formula>
    </cfRule>
  </conditionalFormatting>
  <conditionalFormatting sqref="Q786:Q800">
    <cfRule type="containsText" dxfId="2" priority="14854" operator="containsText" text="Yes">
      <formula>NOT(ISERROR(SEARCH(("Yes"),(Q786))))</formula>
    </cfRule>
  </conditionalFormatting>
  <conditionalFormatting sqref="Q786:Q800">
    <cfRule type="containsText" dxfId="9" priority="14855" operator="containsText" text="No">
      <formula>NOT(ISERROR(SEARCH(("No"),(Q786))))</formula>
    </cfRule>
  </conditionalFormatting>
  <conditionalFormatting sqref="Q786:Q800">
    <cfRule type="containsText" dxfId="2" priority="14856" operator="containsText" text="Yes">
      <formula>NOT(ISERROR(SEARCH(("Yes"),(Q786))))</formula>
    </cfRule>
  </conditionalFormatting>
  <conditionalFormatting sqref="Q786:Q800">
    <cfRule type="containsText" dxfId="9" priority="14857" operator="containsText" text="No">
      <formula>NOT(ISERROR(SEARCH(("No"),(Q786))))</formula>
    </cfRule>
  </conditionalFormatting>
  <conditionalFormatting sqref="Q786:Q800">
    <cfRule type="containsText" dxfId="2" priority="14858" operator="containsText" text="Yes">
      <formula>NOT(ISERROR(SEARCH(("Yes"),(Q786))))</formula>
    </cfRule>
  </conditionalFormatting>
  <conditionalFormatting sqref="Q786:Q800">
    <cfRule type="containsText" dxfId="9" priority="14859" operator="containsText" text="No">
      <formula>NOT(ISERROR(SEARCH(("No"),(Q786))))</formula>
    </cfRule>
  </conditionalFormatting>
  <conditionalFormatting sqref="Q786:Q800">
    <cfRule type="containsText" dxfId="2" priority="14860" operator="containsText" text="Yes">
      <formula>NOT(ISERROR(SEARCH(("Yes"),(Q786))))</formula>
    </cfRule>
  </conditionalFormatting>
  <conditionalFormatting sqref="Q786:Q800">
    <cfRule type="containsText" dxfId="2" priority="14861" operator="containsText" text="Yes">
      <formula>NOT(ISERROR(SEARCH(("Yes"),(Q786))))</formula>
    </cfRule>
  </conditionalFormatting>
  <conditionalFormatting sqref="Q786:Q800">
    <cfRule type="containsText" dxfId="9" priority="14862" operator="containsText" text="No">
      <formula>NOT(ISERROR(SEARCH(("No"),(Q786))))</formula>
    </cfRule>
  </conditionalFormatting>
  <conditionalFormatting sqref="Q786:Q800">
    <cfRule type="containsText" dxfId="2" priority="14863" operator="containsText" text="Yes">
      <formula>NOT(ISERROR(SEARCH(("Yes"),(Q786))))</formula>
    </cfRule>
  </conditionalFormatting>
  <conditionalFormatting sqref="Q801">
    <cfRule type="containsText" dxfId="9" priority="14864" operator="containsText" text="No">
      <formula>NOT(ISERROR(SEARCH(("No"),(Q801))))</formula>
    </cfRule>
  </conditionalFormatting>
  <conditionalFormatting sqref="Q801">
    <cfRule type="containsText" dxfId="2" priority="14865" operator="containsText" text="Yes">
      <formula>NOT(ISERROR(SEARCH(("Yes"),(Q801))))</formula>
    </cfRule>
  </conditionalFormatting>
  <conditionalFormatting sqref="Q801">
    <cfRule type="containsText" dxfId="9" priority="14866" operator="containsText" text="No">
      <formula>NOT(ISERROR(SEARCH(("No"),(Q801))))</formula>
    </cfRule>
  </conditionalFormatting>
  <conditionalFormatting sqref="Q801">
    <cfRule type="containsText" dxfId="9" priority="14867" operator="containsText" text="No">
      <formula>NOT(ISERROR(SEARCH(("No"),(Q801))))</formula>
    </cfRule>
  </conditionalFormatting>
  <conditionalFormatting sqref="Q801">
    <cfRule type="containsText" dxfId="2" priority="14868" operator="containsText" text="Yes">
      <formula>NOT(ISERROR(SEARCH(("Yes"),(Q801))))</formula>
    </cfRule>
  </conditionalFormatting>
  <conditionalFormatting sqref="Q801">
    <cfRule type="containsText" dxfId="2" priority="14869" operator="containsText" text="Yes">
      <formula>NOT(ISERROR(SEARCH(("Yes"),(Q801))))</formula>
    </cfRule>
  </conditionalFormatting>
  <conditionalFormatting sqref="Q801">
    <cfRule type="containsText" dxfId="9" priority="14870" operator="containsText" text="No">
      <formula>NOT(ISERROR(SEARCH(("No"),(Q801))))</formula>
    </cfRule>
  </conditionalFormatting>
  <conditionalFormatting sqref="Q801">
    <cfRule type="containsText" dxfId="2" priority="14871" operator="containsText" text="Yes">
      <formula>NOT(ISERROR(SEARCH(("Yes"),(Q801))))</formula>
    </cfRule>
  </conditionalFormatting>
  <conditionalFormatting sqref="Q801">
    <cfRule type="containsText" dxfId="9" priority="14872" operator="containsText" text="No">
      <formula>NOT(ISERROR(SEARCH(("No"),(Q801))))</formula>
    </cfRule>
  </conditionalFormatting>
  <conditionalFormatting sqref="Q801">
    <cfRule type="containsText" dxfId="2" priority="14873" operator="containsText" text="Yes">
      <formula>NOT(ISERROR(SEARCH(("Yes"),(Q801))))</formula>
    </cfRule>
  </conditionalFormatting>
  <conditionalFormatting sqref="Q801">
    <cfRule type="containsText" dxfId="9" priority="14874" operator="containsText" text="No">
      <formula>NOT(ISERROR(SEARCH(("No"),(Q801))))</formula>
    </cfRule>
  </conditionalFormatting>
  <conditionalFormatting sqref="Q801">
    <cfRule type="containsText" dxfId="2" priority="14875" operator="containsText" text="Yes">
      <formula>NOT(ISERROR(SEARCH(("Yes"),(Q801))))</formula>
    </cfRule>
  </conditionalFormatting>
  <conditionalFormatting sqref="Q802">
    <cfRule type="containsText" dxfId="2" priority="14876" operator="containsText" text="Yes">
      <formula>NOT(ISERROR(SEARCH(("Yes"),(Q802))))</formula>
    </cfRule>
  </conditionalFormatting>
  <conditionalFormatting sqref="Q802">
    <cfRule type="containsText" dxfId="9" priority="14877" operator="containsText" text="No">
      <formula>NOT(ISERROR(SEARCH(("No"),(Q802))))</formula>
    </cfRule>
  </conditionalFormatting>
  <conditionalFormatting sqref="Q802">
    <cfRule type="containsText" dxfId="2" priority="14878" operator="containsText" text="Yes">
      <formula>NOT(ISERROR(SEARCH(("Yes"),(Q802))))</formula>
    </cfRule>
  </conditionalFormatting>
  <conditionalFormatting sqref="Q802">
    <cfRule type="containsText" dxfId="9" priority="14879" operator="containsText" text="No">
      <formula>NOT(ISERROR(SEARCH(("No"),(Q802))))</formula>
    </cfRule>
  </conditionalFormatting>
  <conditionalFormatting sqref="Q802">
    <cfRule type="containsText" dxfId="2" priority="14880" operator="containsText" text="Yes">
      <formula>NOT(ISERROR(SEARCH(("Yes"),(Q802))))</formula>
    </cfRule>
  </conditionalFormatting>
  <conditionalFormatting sqref="Q802">
    <cfRule type="containsText" dxfId="9" priority="14881" operator="containsText" text="No">
      <formula>NOT(ISERROR(SEARCH(("No"),(Q802))))</formula>
    </cfRule>
  </conditionalFormatting>
  <conditionalFormatting sqref="Q802">
    <cfRule type="containsText" dxfId="2" priority="14882" operator="containsText" text="Yes">
      <formula>NOT(ISERROR(SEARCH(("Yes"),(Q802))))</formula>
    </cfRule>
  </conditionalFormatting>
  <conditionalFormatting sqref="Q802">
    <cfRule type="containsText" dxfId="9" priority="14883" operator="containsText" text="No">
      <formula>NOT(ISERROR(SEARCH(("No"),(Q802))))</formula>
    </cfRule>
  </conditionalFormatting>
  <conditionalFormatting sqref="Q802">
    <cfRule type="containsText" dxfId="2" priority="14884" operator="containsText" text="Yes">
      <formula>NOT(ISERROR(SEARCH(("Yes"),(Q802))))</formula>
    </cfRule>
  </conditionalFormatting>
  <conditionalFormatting sqref="Q802">
    <cfRule type="containsText" dxfId="9" priority="14885" operator="containsText" text="No">
      <formula>NOT(ISERROR(SEARCH(("No"),(Q802))))</formula>
    </cfRule>
  </conditionalFormatting>
  <conditionalFormatting sqref="Q802">
    <cfRule type="containsText" dxfId="2" priority="14886" operator="containsText" text="Yes">
      <formula>NOT(ISERROR(SEARCH(("Yes"),(Q802))))</formula>
    </cfRule>
  </conditionalFormatting>
  <conditionalFormatting sqref="Q802">
    <cfRule type="containsText" dxfId="9" priority="14887" operator="containsText" text="No">
      <formula>NOT(ISERROR(SEARCH(("No"),(Q802))))</formula>
    </cfRule>
  </conditionalFormatting>
  <conditionalFormatting sqref="Q802">
    <cfRule type="containsText" dxfId="2" priority="14888" operator="containsText" text="Yes">
      <formula>NOT(ISERROR(SEARCH(("Yes"),(Q802))))</formula>
    </cfRule>
  </conditionalFormatting>
  <conditionalFormatting sqref="Q802">
    <cfRule type="containsText" dxfId="9" priority="14889" operator="containsText" text="No">
      <formula>NOT(ISERROR(SEARCH(("No"),(Q802))))</formula>
    </cfRule>
  </conditionalFormatting>
  <conditionalFormatting sqref="Q802">
    <cfRule type="containsText" dxfId="2" priority="14890" operator="containsText" text="Yes">
      <formula>NOT(ISERROR(SEARCH(("Yes"),(Q802))))</formula>
    </cfRule>
  </conditionalFormatting>
  <conditionalFormatting sqref="Q802">
    <cfRule type="containsText" dxfId="9" priority="14891" operator="containsText" text="No">
      <formula>NOT(ISERROR(SEARCH(("No"),(Q802))))</formula>
    </cfRule>
  </conditionalFormatting>
  <conditionalFormatting sqref="Q802">
    <cfRule type="containsText" dxfId="2" priority="14892" operator="containsText" text="Yes">
      <formula>NOT(ISERROR(SEARCH(("Yes"),(Q802))))</formula>
    </cfRule>
  </conditionalFormatting>
  <conditionalFormatting sqref="Q802">
    <cfRule type="containsText" dxfId="9" priority="14893" operator="containsText" text="No">
      <formula>NOT(ISERROR(SEARCH(("No"),(Q802))))</formula>
    </cfRule>
  </conditionalFormatting>
  <conditionalFormatting sqref="Q802">
    <cfRule type="containsText" dxfId="2" priority="14894" operator="containsText" text="Yes">
      <formula>NOT(ISERROR(SEARCH(("Yes"),(Q802))))</formula>
    </cfRule>
  </conditionalFormatting>
  <conditionalFormatting sqref="Q802">
    <cfRule type="containsText" dxfId="9" priority="14895" operator="containsText" text="No">
      <formula>NOT(ISERROR(SEARCH(("No"),(Q802))))</formula>
    </cfRule>
  </conditionalFormatting>
  <conditionalFormatting sqref="Q802">
    <cfRule type="containsText" dxfId="2" priority="14896" operator="containsText" text="Yes">
      <formula>NOT(ISERROR(SEARCH(("Yes"),(Q802))))</formula>
    </cfRule>
  </conditionalFormatting>
  <conditionalFormatting sqref="Q802">
    <cfRule type="containsText" dxfId="9" priority="14897" operator="containsText" text="No">
      <formula>NOT(ISERROR(SEARCH(("No"),(Q802))))</formula>
    </cfRule>
  </conditionalFormatting>
  <conditionalFormatting sqref="Q802">
    <cfRule type="containsText" dxfId="2" priority="14898" operator="containsText" text="Yes">
      <formula>NOT(ISERROR(SEARCH(("Yes"),(Q802))))</formula>
    </cfRule>
  </conditionalFormatting>
  <conditionalFormatting sqref="Q802">
    <cfRule type="containsText" dxfId="9" priority="14899" operator="containsText" text="No">
      <formula>NOT(ISERROR(SEARCH(("No"),(Q802))))</formula>
    </cfRule>
  </conditionalFormatting>
  <conditionalFormatting sqref="Q802">
    <cfRule type="containsText" dxfId="2" priority="14900" operator="containsText" text="Yes">
      <formula>NOT(ISERROR(SEARCH(("Yes"),(Q802))))</formula>
    </cfRule>
  </conditionalFormatting>
  <conditionalFormatting sqref="Q802">
    <cfRule type="containsText" dxfId="9" priority="14901" operator="containsText" text="No">
      <formula>NOT(ISERROR(SEARCH(("No"),(Q802))))</formula>
    </cfRule>
  </conditionalFormatting>
  <conditionalFormatting sqref="Q802">
    <cfRule type="containsText" dxfId="2" priority="14902" operator="containsText" text="Yes">
      <formula>NOT(ISERROR(SEARCH(("Yes"),(Q802))))</formula>
    </cfRule>
  </conditionalFormatting>
  <conditionalFormatting sqref="Q802">
    <cfRule type="containsText" dxfId="9" priority="14903" operator="containsText" text="No">
      <formula>NOT(ISERROR(SEARCH(("No"),(Q802))))</formula>
    </cfRule>
  </conditionalFormatting>
  <conditionalFormatting sqref="Q802">
    <cfRule type="containsText" dxfId="2" priority="14904" operator="containsText" text="Yes">
      <formula>NOT(ISERROR(SEARCH(("Yes"),(Q802))))</formula>
    </cfRule>
  </conditionalFormatting>
  <conditionalFormatting sqref="Q802">
    <cfRule type="containsText" dxfId="9" priority="14905" operator="containsText" text="No">
      <formula>NOT(ISERROR(SEARCH(("No"),(Q802))))</formula>
    </cfRule>
  </conditionalFormatting>
  <conditionalFormatting sqref="Q802">
    <cfRule type="containsText" dxfId="2" priority="14906" operator="containsText" text="Yes">
      <formula>NOT(ISERROR(SEARCH(("Yes"),(Q802))))</formula>
    </cfRule>
  </conditionalFormatting>
  <conditionalFormatting sqref="Q802">
    <cfRule type="containsText" dxfId="9" priority="14907" operator="containsText" text="No">
      <formula>NOT(ISERROR(SEARCH(("No"),(Q802))))</formula>
    </cfRule>
  </conditionalFormatting>
  <conditionalFormatting sqref="Q802">
    <cfRule type="containsText" dxfId="2" priority="14908" operator="containsText" text="Yes">
      <formula>NOT(ISERROR(SEARCH(("Yes"),(Q802))))</formula>
    </cfRule>
  </conditionalFormatting>
  <conditionalFormatting sqref="Q802">
    <cfRule type="containsText" dxfId="9" priority="14909" operator="containsText" text="No">
      <formula>NOT(ISERROR(SEARCH(("No"),(Q802))))</formula>
    </cfRule>
  </conditionalFormatting>
  <conditionalFormatting sqref="Q802">
    <cfRule type="containsText" dxfId="2" priority="14910" operator="containsText" text="Yes">
      <formula>NOT(ISERROR(SEARCH(("Yes"),(Q802))))</formula>
    </cfRule>
  </conditionalFormatting>
  <conditionalFormatting sqref="Q802">
    <cfRule type="containsText" dxfId="9" priority="14911" operator="containsText" text="No">
      <formula>NOT(ISERROR(SEARCH(("No"),(Q802))))</formula>
    </cfRule>
  </conditionalFormatting>
  <conditionalFormatting sqref="Q802">
    <cfRule type="containsText" dxfId="2" priority="14912" operator="containsText" text="Yes">
      <formula>NOT(ISERROR(SEARCH(("Yes"),(Q802))))</formula>
    </cfRule>
  </conditionalFormatting>
  <conditionalFormatting sqref="Q802">
    <cfRule type="containsText" dxfId="9" priority="14913" operator="containsText" text="No">
      <formula>NOT(ISERROR(SEARCH(("No"),(Q802))))</formula>
    </cfRule>
  </conditionalFormatting>
  <conditionalFormatting sqref="Q802">
    <cfRule type="containsText" dxfId="2" priority="14914" operator="containsText" text="Yes">
      <formula>NOT(ISERROR(SEARCH(("Yes"),(Q802))))</formula>
    </cfRule>
  </conditionalFormatting>
  <conditionalFormatting sqref="Q802">
    <cfRule type="containsText" dxfId="9" priority="14915" operator="containsText" text="No">
      <formula>NOT(ISERROR(SEARCH(("No"),(Q802))))</formula>
    </cfRule>
  </conditionalFormatting>
  <conditionalFormatting sqref="Q802">
    <cfRule type="containsText" dxfId="2" priority="14916" operator="containsText" text="Yes">
      <formula>NOT(ISERROR(SEARCH(("Yes"),(Q802))))</formula>
    </cfRule>
  </conditionalFormatting>
  <conditionalFormatting sqref="Q802">
    <cfRule type="containsText" dxfId="9" priority="14917" operator="containsText" text="No">
      <formula>NOT(ISERROR(SEARCH(("No"),(Q802))))</formula>
    </cfRule>
  </conditionalFormatting>
  <conditionalFormatting sqref="Q802">
    <cfRule type="containsText" dxfId="2" priority="14918" operator="containsText" text="Yes">
      <formula>NOT(ISERROR(SEARCH(("Yes"),(Q802))))</formula>
    </cfRule>
  </conditionalFormatting>
  <conditionalFormatting sqref="Q802">
    <cfRule type="containsText" dxfId="9" priority="14919" operator="containsText" text="No">
      <formula>NOT(ISERROR(SEARCH(("No"),(Q802))))</formula>
    </cfRule>
  </conditionalFormatting>
  <conditionalFormatting sqref="Q802">
    <cfRule type="containsText" dxfId="2" priority="14920" operator="containsText" text="Yes">
      <formula>NOT(ISERROR(SEARCH(("Yes"),(Q802))))</formula>
    </cfRule>
  </conditionalFormatting>
  <conditionalFormatting sqref="Q802">
    <cfRule type="containsText" dxfId="9" priority="14921" operator="containsText" text="No">
      <formula>NOT(ISERROR(SEARCH(("No"),(Q802))))</formula>
    </cfRule>
  </conditionalFormatting>
  <conditionalFormatting sqref="Q802">
    <cfRule type="containsText" dxfId="2" priority="14922" operator="containsText" text="Yes">
      <formula>NOT(ISERROR(SEARCH(("Yes"),(Q802))))</formula>
    </cfRule>
  </conditionalFormatting>
  <conditionalFormatting sqref="Q802">
    <cfRule type="containsText" dxfId="9" priority="14923" operator="containsText" text="No">
      <formula>NOT(ISERROR(SEARCH(("No"),(Q802))))</formula>
    </cfRule>
  </conditionalFormatting>
  <conditionalFormatting sqref="Q802">
    <cfRule type="containsText" dxfId="2" priority="14924" operator="containsText" text="Yes">
      <formula>NOT(ISERROR(SEARCH(("Yes"),(Q802))))</formula>
    </cfRule>
  </conditionalFormatting>
  <conditionalFormatting sqref="Q802">
    <cfRule type="containsText" dxfId="9" priority="14925" operator="containsText" text="No">
      <formula>NOT(ISERROR(SEARCH(("No"),(Q802))))</formula>
    </cfRule>
  </conditionalFormatting>
  <conditionalFormatting sqref="Q802">
    <cfRule type="containsText" dxfId="2" priority="14926" operator="containsText" text="Yes">
      <formula>NOT(ISERROR(SEARCH(("Yes"),(Q802))))</formula>
    </cfRule>
  </conditionalFormatting>
  <conditionalFormatting sqref="Q802">
    <cfRule type="containsText" dxfId="9" priority="14927" operator="containsText" text="No">
      <formula>NOT(ISERROR(SEARCH(("No"),(Q802))))</formula>
    </cfRule>
  </conditionalFormatting>
  <conditionalFormatting sqref="Q802">
    <cfRule type="containsText" dxfId="2" priority="14928" operator="containsText" text="Yes">
      <formula>NOT(ISERROR(SEARCH(("Yes"),(Q802))))</formula>
    </cfRule>
  </conditionalFormatting>
  <conditionalFormatting sqref="Q802">
    <cfRule type="containsText" dxfId="9" priority="14929" operator="containsText" text="No">
      <formula>NOT(ISERROR(SEARCH(("No"),(Q802))))</formula>
    </cfRule>
  </conditionalFormatting>
  <conditionalFormatting sqref="Q802">
    <cfRule type="containsText" dxfId="2" priority="14930" operator="containsText" text="Yes">
      <formula>NOT(ISERROR(SEARCH(("Yes"),(Q802))))</formula>
    </cfRule>
  </conditionalFormatting>
  <conditionalFormatting sqref="Q802">
    <cfRule type="containsText" dxfId="9" priority="14931" operator="containsText" text="No">
      <formula>NOT(ISERROR(SEARCH(("No"),(Q802))))</formula>
    </cfRule>
  </conditionalFormatting>
  <conditionalFormatting sqref="Q802">
    <cfRule type="containsText" dxfId="2" priority="14932" operator="containsText" text="Yes">
      <formula>NOT(ISERROR(SEARCH(("Yes"),(Q802))))</formula>
    </cfRule>
  </conditionalFormatting>
  <conditionalFormatting sqref="Q802">
    <cfRule type="containsText" dxfId="9" priority="14933" operator="containsText" text="No">
      <formula>NOT(ISERROR(SEARCH(("No"),(Q802))))</formula>
    </cfRule>
  </conditionalFormatting>
  <conditionalFormatting sqref="Q802">
    <cfRule type="containsText" dxfId="2" priority="14934" operator="containsText" text="Yes">
      <formula>NOT(ISERROR(SEARCH(("Yes"),(Q802))))</formula>
    </cfRule>
  </conditionalFormatting>
  <conditionalFormatting sqref="Q802">
    <cfRule type="containsText" dxfId="9" priority="14935" operator="containsText" text="No">
      <formula>NOT(ISERROR(SEARCH(("No"),(Q802))))</formula>
    </cfRule>
  </conditionalFormatting>
  <conditionalFormatting sqref="Q802">
    <cfRule type="containsText" dxfId="2" priority="14936" operator="containsText" text="Yes">
      <formula>NOT(ISERROR(SEARCH(("Yes"),(Q802))))</formula>
    </cfRule>
  </conditionalFormatting>
  <conditionalFormatting sqref="Q802">
    <cfRule type="containsText" dxfId="9" priority="14937" operator="containsText" text="No">
      <formula>NOT(ISERROR(SEARCH(("No"),(Q802))))</formula>
    </cfRule>
  </conditionalFormatting>
  <conditionalFormatting sqref="Q802">
    <cfRule type="containsText" dxfId="2" priority="14938" operator="containsText" text="Yes">
      <formula>NOT(ISERROR(SEARCH(("Yes"),(Q802))))</formula>
    </cfRule>
  </conditionalFormatting>
  <conditionalFormatting sqref="Q802">
    <cfRule type="containsText" dxfId="9" priority="14939" operator="containsText" text="No">
      <formula>NOT(ISERROR(SEARCH(("No"),(Q802))))</formula>
    </cfRule>
  </conditionalFormatting>
  <conditionalFormatting sqref="Q802">
    <cfRule type="containsText" dxfId="2" priority="14940" operator="containsText" text="Yes">
      <formula>NOT(ISERROR(SEARCH(("Yes"),(Q802))))</formula>
    </cfRule>
  </conditionalFormatting>
  <conditionalFormatting sqref="Q802">
    <cfRule type="containsText" dxfId="9" priority="14941" operator="containsText" text="No">
      <formula>NOT(ISERROR(SEARCH(("No"),(Q802))))</formula>
    </cfRule>
  </conditionalFormatting>
  <conditionalFormatting sqref="Q802">
    <cfRule type="containsText" dxfId="2" priority="14942" operator="containsText" text="Yes">
      <formula>NOT(ISERROR(SEARCH(("Yes"),(Q802))))</formula>
    </cfRule>
  </conditionalFormatting>
  <conditionalFormatting sqref="Q802">
    <cfRule type="containsText" dxfId="9" priority="14943" operator="containsText" text="No">
      <formula>NOT(ISERROR(SEARCH(("No"),(Q802))))</formula>
    </cfRule>
  </conditionalFormatting>
  <conditionalFormatting sqref="Q802">
    <cfRule type="containsText" dxfId="2" priority="14944" operator="containsText" text="Yes">
      <formula>NOT(ISERROR(SEARCH(("Yes"),(Q802))))</formula>
    </cfRule>
  </conditionalFormatting>
  <conditionalFormatting sqref="Q802">
    <cfRule type="containsText" dxfId="9" priority="14945" operator="containsText" text="No">
      <formula>NOT(ISERROR(SEARCH(("No"),(Q802))))</formula>
    </cfRule>
  </conditionalFormatting>
  <conditionalFormatting sqref="Q802">
    <cfRule type="containsText" dxfId="2" priority="14946" operator="containsText" text="Yes">
      <formula>NOT(ISERROR(SEARCH(("Yes"),(Q802))))</formula>
    </cfRule>
  </conditionalFormatting>
  <conditionalFormatting sqref="Q802">
    <cfRule type="containsText" dxfId="9" priority="14947" operator="containsText" text="No">
      <formula>NOT(ISERROR(SEARCH(("No"),(Q802))))</formula>
    </cfRule>
  </conditionalFormatting>
  <conditionalFormatting sqref="Q802">
    <cfRule type="containsText" dxfId="2" priority="14948" operator="containsText" text="Yes">
      <formula>NOT(ISERROR(SEARCH(("Yes"),(Q802))))</formula>
    </cfRule>
  </conditionalFormatting>
  <conditionalFormatting sqref="Q802">
    <cfRule type="containsText" dxfId="9" priority="14949" operator="containsText" text="No">
      <formula>NOT(ISERROR(SEARCH(("No"),(Q802))))</formula>
    </cfRule>
  </conditionalFormatting>
  <conditionalFormatting sqref="Q802">
    <cfRule type="containsText" dxfId="2" priority="14950" operator="containsText" text="Yes">
      <formula>NOT(ISERROR(SEARCH(("Yes"),(Q802))))</formula>
    </cfRule>
  </conditionalFormatting>
  <conditionalFormatting sqref="Q802">
    <cfRule type="containsText" dxfId="9" priority="14951" operator="containsText" text="No">
      <formula>NOT(ISERROR(SEARCH(("No"),(Q802))))</formula>
    </cfRule>
  </conditionalFormatting>
  <conditionalFormatting sqref="Q802">
    <cfRule type="containsText" dxfId="2" priority="14952" operator="containsText" text="Yes">
      <formula>NOT(ISERROR(SEARCH(("Yes"),(Q802))))</formula>
    </cfRule>
  </conditionalFormatting>
  <conditionalFormatting sqref="Q802">
    <cfRule type="containsText" dxfId="9" priority="14953" operator="containsText" text="No">
      <formula>NOT(ISERROR(SEARCH(("No"),(Q802))))</formula>
    </cfRule>
  </conditionalFormatting>
  <conditionalFormatting sqref="Q802">
    <cfRule type="containsText" dxfId="2" priority="14954" operator="containsText" text="Yes">
      <formula>NOT(ISERROR(SEARCH(("Yes"),(Q802))))</formula>
    </cfRule>
  </conditionalFormatting>
  <conditionalFormatting sqref="Q802">
    <cfRule type="containsText" dxfId="9" priority="14955" operator="containsText" text="No">
      <formula>NOT(ISERROR(SEARCH(("No"),(Q802))))</formula>
    </cfRule>
  </conditionalFormatting>
  <conditionalFormatting sqref="Q802">
    <cfRule type="containsText" dxfId="2" priority="14956" operator="containsText" text="Yes">
      <formula>NOT(ISERROR(SEARCH(("Yes"),(Q802))))</formula>
    </cfRule>
  </conditionalFormatting>
  <conditionalFormatting sqref="Q802">
    <cfRule type="containsText" dxfId="9" priority="14957" operator="containsText" text="No">
      <formula>NOT(ISERROR(SEARCH(("No"),(Q802))))</formula>
    </cfRule>
  </conditionalFormatting>
  <conditionalFormatting sqref="Q802">
    <cfRule type="containsText" dxfId="2" priority="14958" operator="containsText" text="Yes">
      <formula>NOT(ISERROR(SEARCH(("Yes"),(Q802))))</formula>
    </cfRule>
  </conditionalFormatting>
  <conditionalFormatting sqref="Q802">
    <cfRule type="containsText" dxfId="9" priority="14959" operator="containsText" text="No">
      <formula>NOT(ISERROR(SEARCH(("No"),(Q802))))</formula>
    </cfRule>
  </conditionalFormatting>
  <conditionalFormatting sqref="Q802">
    <cfRule type="containsText" dxfId="2" priority="14960" operator="containsText" text="Yes">
      <formula>NOT(ISERROR(SEARCH(("Yes"),(Q802))))</formula>
    </cfRule>
  </conditionalFormatting>
  <conditionalFormatting sqref="Q802">
    <cfRule type="containsText" dxfId="9" priority="14961" operator="containsText" text="No">
      <formula>NOT(ISERROR(SEARCH(("No"),(Q802))))</formula>
    </cfRule>
  </conditionalFormatting>
  <conditionalFormatting sqref="Q802">
    <cfRule type="containsText" dxfId="2" priority="14962" operator="containsText" text="Yes">
      <formula>NOT(ISERROR(SEARCH(("Yes"),(Q802))))</formula>
    </cfRule>
  </conditionalFormatting>
  <conditionalFormatting sqref="Q802">
    <cfRule type="containsText" dxfId="9" priority="14963" operator="containsText" text="No">
      <formula>NOT(ISERROR(SEARCH(("No"),(Q802))))</formula>
    </cfRule>
  </conditionalFormatting>
  <conditionalFormatting sqref="Q802">
    <cfRule type="containsText" dxfId="2" priority="14964" operator="containsText" text="Yes">
      <formula>NOT(ISERROR(SEARCH(("Yes"),(Q802))))</formula>
    </cfRule>
  </conditionalFormatting>
  <conditionalFormatting sqref="Q802">
    <cfRule type="containsText" dxfId="2" priority="14965" operator="containsText" text="Yes">
      <formula>NOT(ISERROR(SEARCH(("Yes"),(Q802))))</formula>
    </cfRule>
  </conditionalFormatting>
  <conditionalFormatting sqref="Q802">
    <cfRule type="containsText" dxfId="9" priority="14966" operator="containsText" text="No">
      <formula>NOT(ISERROR(SEARCH(("No"),(Q802))))</formula>
    </cfRule>
  </conditionalFormatting>
  <conditionalFormatting sqref="Q802">
    <cfRule type="containsText" dxfId="2" priority="14967" operator="containsText" text="Yes">
      <formula>NOT(ISERROR(SEARCH(("Yes"),(Q802))))</formula>
    </cfRule>
  </conditionalFormatting>
  <conditionalFormatting sqref="Q804">
    <cfRule type="containsText" dxfId="2" priority="14968" operator="containsText" text="Yes">
      <formula>NOT(ISERROR(SEARCH(("Yes"),(Q804))))</formula>
    </cfRule>
  </conditionalFormatting>
  <conditionalFormatting sqref="Q804">
    <cfRule type="containsText" dxfId="9" priority="14969" operator="containsText" text="No">
      <formula>NOT(ISERROR(SEARCH(("No"),(Q804))))</formula>
    </cfRule>
  </conditionalFormatting>
  <conditionalFormatting sqref="Q804">
    <cfRule type="containsText" dxfId="2" priority="14970" operator="containsText" text="Yes">
      <formula>NOT(ISERROR(SEARCH(("Yes"),(Q804))))</formula>
    </cfRule>
  </conditionalFormatting>
  <conditionalFormatting sqref="Q804">
    <cfRule type="containsText" dxfId="9" priority="14971" operator="containsText" text="No">
      <formula>NOT(ISERROR(SEARCH(("No"),(Q804))))</formula>
    </cfRule>
  </conditionalFormatting>
  <conditionalFormatting sqref="Q804">
    <cfRule type="containsText" dxfId="2" priority="14972" operator="containsText" text="Yes">
      <formula>NOT(ISERROR(SEARCH(("Yes"),(Q804))))</formula>
    </cfRule>
  </conditionalFormatting>
  <conditionalFormatting sqref="Q804">
    <cfRule type="containsText" dxfId="9" priority="14973" operator="containsText" text="No">
      <formula>NOT(ISERROR(SEARCH(("No"),(Q804))))</formula>
    </cfRule>
  </conditionalFormatting>
  <conditionalFormatting sqref="Q804">
    <cfRule type="containsText" dxfId="2" priority="14974" operator="containsText" text="Yes">
      <formula>NOT(ISERROR(SEARCH(("Yes"),(Q804))))</formula>
    </cfRule>
  </conditionalFormatting>
  <conditionalFormatting sqref="Q804">
    <cfRule type="containsText" dxfId="9" priority="14975" operator="containsText" text="No">
      <formula>NOT(ISERROR(SEARCH(("No"),(Q804))))</formula>
    </cfRule>
  </conditionalFormatting>
  <conditionalFormatting sqref="Q804">
    <cfRule type="containsText" dxfId="2" priority="14976" operator="containsText" text="Yes">
      <formula>NOT(ISERROR(SEARCH(("Yes"),(Q804))))</formula>
    </cfRule>
  </conditionalFormatting>
  <conditionalFormatting sqref="Q804">
    <cfRule type="containsText" dxfId="9" priority="14977" operator="containsText" text="No">
      <formula>NOT(ISERROR(SEARCH(("No"),(Q804))))</formula>
    </cfRule>
  </conditionalFormatting>
  <conditionalFormatting sqref="Q804">
    <cfRule type="containsText" dxfId="2" priority="14978" operator="containsText" text="Yes">
      <formula>NOT(ISERROR(SEARCH(("Yes"),(Q804))))</formula>
    </cfRule>
  </conditionalFormatting>
  <conditionalFormatting sqref="Q804">
    <cfRule type="containsText" dxfId="9" priority="14979" operator="containsText" text="No">
      <formula>NOT(ISERROR(SEARCH(("No"),(Q804))))</formula>
    </cfRule>
  </conditionalFormatting>
  <conditionalFormatting sqref="Q804">
    <cfRule type="containsText" dxfId="2" priority="14980" operator="containsText" text="Yes">
      <formula>NOT(ISERROR(SEARCH(("Yes"),(Q804))))</formula>
    </cfRule>
  </conditionalFormatting>
  <conditionalFormatting sqref="Q804">
    <cfRule type="containsText" dxfId="9" priority="14981" operator="containsText" text="No">
      <formula>NOT(ISERROR(SEARCH(("No"),(Q804))))</formula>
    </cfRule>
  </conditionalFormatting>
  <conditionalFormatting sqref="Q804">
    <cfRule type="containsText" dxfId="2" priority="14982" operator="containsText" text="Yes">
      <formula>NOT(ISERROR(SEARCH(("Yes"),(Q804))))</formula>
    </cfRule>
  </conditionalFormatting>
  <conditionalFormatting sqref="Q804">
    <cfRule type="containsText" dxfId="9" priority="14983" operator="containsText" text="No">
      <formula>NOT(ISERROR(SEARCH(("No"),(Q804))))</formula>
    </cfRule>
  </conditionalFormatting>
  <conditionalFormatting sqref="Q804">
    <cfRule type="containsText" dxfId="2" priority="14984" operator="containsText" text="Yes">
      <formula>NOT(ISERROR(SEARCH(("Yes"),(Q804))))</formula>
    </cfRule>
  </conditionalFormatting>
  <conditionalFormatting sqref="Q804">
    <cfRule type="containsText" dxfId="9" priority="14985" operator="containsText" text="No">
      <formula>NOT(ISERROR(SEARCH(("No"),(Q804))))</formula>
    </cfRule>
  </conditionalFormatting>
  <conditionalFormatting sqref="Q804">
    <cfRule type="containsText" dxfId="2" priority="14986" operator="containsText" text="Yes">
      <formula>NOT(ISERROR(SEARCH(("Yes"),(Q804))))</formula>
    </cfRule>
  </conditionalFormatting>
  <conditionalFormatting sqref="Q804">
    <cfRule type="containsText" dxfId="9" priority="14987" operator="containsText" text="No">
      <formula>NOT(ISERROR(SEARCH(("No"),(Q804))))</formula>
    </cfRule>
  </conditionalFormatting>
  <conditionalFormatting sqref="Q804">
    <cfRule type="containsText" dxfId="2" priority="14988" operator="containsText" text="Yes">
      <formula>NOT(ISERROR(SEARCH(("Yes"),(Q804))))</formula>
    </cfRule>
  </conditionalFormatting>
  <conditionalFormatting sqref="Q804">
    <cfRule type="containsText" dxfId="9" priority="14989" operator="containsText" text="No">
      <formula>NOT(ISERROR(SEARCH(("No"),(Q804))))</formula>
    </cfRule>
  </conditionalFormatting>
  <conditionalFormatting sqref="Q804">
    <cfRule type="containsText" dxfId="2" priority="14990" operator="containsText" text="Yes">
      <formula>NOT(ISERROR(SEARCH(("Yes"),(Q804))))</formula>
    </cfRule>
  </conditionalFormatting>
  <conditionalFormatting sqref="Q804">
    <cfRule type="containsText" dxfId="9" priority="14991" operator="containsText" text="No">
      <formula>NOT(ISERROR(SEARCH(("No"),(Q804))))</formula>
    </cfRule>
  </conditionalFormatting>
  <conditionalFormatting sqref="Q804">
    <cfRule type="containsText" dxfId="2" priority="14992" operator="containsText" text="Yes">
      <formula>NOT(ISERROR(SEARCH(("Yes"),(Q804))))</formula>
    </cfRule>
  </conditionalFormatting>
  <conditionalFormatting sqref="Q804">
    <cfRule type="containsText" dxfId="9" priority="14993" operator="containsText" text="No">
      <formula>NOT(ISERROR(SEARCH(("No"),(Q804))))</formula>
    </cfRule>
  </conditionalFormatting>
  <conditionalFormatting sqref="Q804">
    <cfRule type="containsText" dxfId="2" priority="14994" operator="containsText" text="Yes">
      <formula>NOT(ISERROR(SEARCH(("Yes"),(Q804))))</formula>
    </cfRule>
  </conditionalFormatting>
  <conditionalFormatting sqref="Q804">
    <cfRule type="containsText" dxfId="9" priority="14995" operator="containsText" text="No">
      <formula>NOT(ISERROR(SEARCH(("No"),(Q804))))</formula>
    </cfRule>
  </conditionalFormatting>
  <conditionalFormatting sqref="Q804">
    <cfRule type="containsText" dxfId="2" priority="14996" operator="containsText" text="Yes">
      <formula>NOT(ISERROR(SEARCH(("Yes"),(Q804))))</formula>
    </cfRule>
  </conditionalFormatting>
  <conditionalFormatting sqref="Q804">
    <cfRule type="containsText" dxfId="9" priority="14997" operator="containsText" text="No">
      <formula>NOT(ISERROR(SEARCH(("No"),(Q804))))</formula>
    </cfRule>
  </conditionalFormatting>
  <conditionalFormatting sqref="Q804">
    <cfRule type="containsText" dxfId="2" priority="14998" operator="containsText" text="Yes">
      <formula>NOT(ISERROR(SEARCH(("Yes"),(Q804))))</formula>
    </cfRule>
  </conditionalFormatting>
  <conditionalFormatting sqref="Q804">
    <cfRule type="containsText" dxfId="9" priority="14999" operator="containsText" text="No">
      <formula>NOT(ISERROR(SEARCH(("No"),(Q804))))</formula>
    </cfRule>
  </conditionalFormatting>
  <conditionalFormatting sqref="Q804">
    <cfRule type="containsText" dxfId="2" priority="15000" operator="containsText" text="Yes">
      <formula>NOT(ISERROR(SEARCH(("Yes"),(Q804))))</formula>
    </cfRule>
  </conditionalFormatting>
  <conditionalFormatting sqref="Q804">
    <cfRule type="containsText" dxfId="9" priority="15001" operator="containsText" text="No">
      <formula>NOT(ISERROR(SEARCH(("No"),(Q804))))</formula>
    </cfRule>
  </conditionalFormatting>
  <conditionalFormatting sqref="Q804">
    <cfRule type="containsText" dxfId="2" priority="15002" operator="containsText" text="Yes">
      <formula>NOT(ISERROR(SEARCH(("Yes"),(Q804))))</formula>
    </cfRule>
  </conditionalFormatting>
  <conditionalFormatting sqref="Q804">
    <cfRule type="containsText" dxfId="9" priority="15003" operator="containsText" text="No">
      <formula>NOT(ISERROR(SEARCH(("No"),(Q804))))</formula>
    </cfRule>
  </conditionalFormatting>
  <conditionalFormatting sqref="Q804">
    <cfRule type="containsText" dxfId="2" priority="15004" operator="containsText" text="Yes">
      <formula>NOT(ISERROR(SEARCH(("Yes"),(Q804))))</formula>
    </cfRule>
  </conditionalFormatting>
  <conditionalFormatting sqref="Q804">
    <cfRule type="containsText" dxfId="9" priority="15005" operator="containsText" text="No">
      <formula>NOT(ISERROR(SEARCH(("No"),(Q804))))</formula>
    </cfRule>
  </conditionalFormatting>
  <conditionalFormatting sqref="Q804">
    <cfRule type="containsText" dxfId="2" priority="15006" operator="containsText" text="Yes">
      <formula>NOT(ISERROR(SEARCH(("Yes"),(Q804))))</formula>
    </cfRule>
  </conditionalFormatting>
  <conditionalFormatting sqref="Q804">
    <cfRule type="containsText" dxfId="9" priority="15007" operator="containsText" text="No">
      <formula>NOT(ISERROR(SEARCH(("No"),(Q804))))</formula>
    </cfRule>
  </conditionalFormatting>
  <conditionalFormatting sqref="Q804">
    <cfRule type="containsText" dxfId="2" priority="15008" operator="containsText" text="Yes">
      <formula>NOT(ISERROR(SEARCH(("Yes"),(Q804))))</formula>
    </cfRule>
  </conditionalFormatting>
  <conditionalFormatting sqref="Q804">
    <cfRule type="containsText" dxfId="9" priority="15009" operator="containsText" text="No">
      <formula>NOT(ISERROR(SEARCH(("No"),(Q804))))</formula>
    </cfRule>
  </conditionalFormatting>
  <conditionalFormatting sqref="Q804">
    <cfRule type="containsText" dxfId="2" priority="15010" operator="containsText" text="Yes">
      <formula>NOT(ISERROR(SEARCH(("Yes"),(Q804))))</formula>
    </cfRule>
  </conditionalFormatting>
  <conditionalFormatting sqref="Q804">
    <cfRule type="containsText" dxfId="9" priority="15011" operator="containsText" text="No">
      <formula>NOT(ISERROR(SEARCH(("No"),(Q804))))</formula>
    </cfRule>
  </conditionalFormatting>
  <conditionalFormatting sqref="Q804">
    <cfRule type="containsText" dxfId="2" priority="15012" operator="containsText" text="Yes">
      <formula>NOT(ISERROR(SEARCH(("Yes"),(Q804))))</formula>
    </cfRule>
  </conditionalFormatting>
  <conditionalFormatting sqref="Q804">
    <cfRule type="containsText" dxfId="9" priority="15013" operator="containsText" text="No">
      <formula>NOT(ISERROR(SEARCH(("No"),(Q804))))</formula>
    </cfRule>
  </conditionalFormatting>
  <conditionalFormatting sqref="Q804">
    <cfRule type="containsText" dxfId="2" priority="15014" operator="containsText" text="Yes">
      <formula>NOT(ISERROR(SEARCH(("Yes"),(Q804))))</formula>
    </cfRule>
  </conditionalFormatting>
  <conditionalFormatting sqref="Q804">
    <cfRule type="containsText" dxfId="9" priority="15015" operator="containsText" text="No">
      <formula>NOT(ISERROR(SEARCH(("No"),(Q804))))</formula>
    </cfRule>
  </conditionalFormatting>
  <conditionalFormatting sqref="Q804">
    <cfRule type="containsText" dxfId="2" priority="15016" operator="containsText" text="Yes">
      <formula>NOT(ISERROR(SEARCH(("Yes"),(Q804))))</formula>
    </cfRule>
  </conditionalFormatting>
  <conditionalFormatting sqref="Q804">
    <cfRule type="containsText" dxfId="9" priority="15017" operator="containsText" text="No">
      <formula>NOT(ISERROR(SEARCH(("No"),(Q804))))</formula>
    </cfRule>
  </conditionalFormatting>
  <conditionalFormatting sqref="Q804">
    <cfRule type="containsText" dxfId="2" priority="15018" operator="containsText" text="Yes">
      <formula>NOT(ISERROR(SEARCH(("Yes"),(Q804))))</formula>
    </cfRule>
  </conditionalFormatting>
  <conditionalFormatting sqref="Q804">
    <cfRule type="containsText" dxfId="9" priority="15019" operator="containsText" text="No">
      <formula>NOT(ISERROR(SEARCH(("No"),(Q804))))</formula>
    </cfRule>
  </conditionalFormatting>
  <conditionalFormatting sqref="Q804">
    <cfRule type="containsText" dxfId="2" priority="15020" operator="containsText" text="Yes">
      <formula>NOT(ISERROR(SEARCH(("Yes"),(Q804))))</formula>
    </cfRule>
  </conditionalFormatting>
  <conditionalFormatting sqref="Q804">
    <cfRule type="containsText" dxfId="9" priority="15021" operator="containsText" text="No">
      <formula>NOT(ISERROR(SEARCH(("No"),(Q804))))</formula>
    </cfRule>
  </conditionalFormatting>
  <conditionalFormatting sqref="Q804">
    <cfRule type="containsText" dxfId="2" priority="15022" operator="containsText" text="Yes">
      <formula>NOT(ISERROR(SEARCH(("Yes"),(Q804))))</formula>
    </cfRule>
  </conditionalFormatting>
  <conditionalFormatting sqref="Q804">
    <cfRule type="containsText" dxfId="9" priority="15023" operator="containsText" text="No">
      <formula>NOT(ISERROR(SEARCH(("No"),(Q804))))</formula>
    </cfRule>
  </conditionalFormatting>
  <conditionalFormatting sqref="Q804">
    <cfRule type="containsText" dxfId="2" priority="15024" operator="containsText" text="Yes">
      <formula>NOT(ISERROR(SEARCH(("Yes"),(Q804))))</formula>
    </cfRule>
  </conditionalFormatting>
  <conditionalFormatting sqref="Q804">
    <cfRule type="containsText" dxfId="9" priority="15025" operator="containsText" text="No">
      <formula>NOT(ISERROR(SEARCH(("No"),(Q804))))</formula>
    </cfRule>
  </conditionalFormatting>
  <conditionalFormatting sqref="Q804">
    <cfRule type="containsText" dxfId="2" priority="15026" operator="containsText" text="Yes">
      <formula>NOT(ISERROR(SEARCH(("Yes"),(Q804))))</formula>
    </cfRule>
  </conditionalFormatting>
  <conditionalFormatting sqref="Q804">
    <cfRule type="containsText" dxfId="9" priority="15027" operator="containsText" text="No">
      <formula>NOT(ISERROR(SEARCH(("No"),(Q804))))</formula>
    </cfRule>
  </conditionalFormatting>
  <conditionalFormatting sqref="Q804">
    <cfRule type="containsText" dxfId="2" priority="15028" operator="containsText" text="Yes">
      <formula>NOT(ISERROR(SEARCH(("Yes"),(Q804))))</formula>
    </cfRule>
  </conditionalFormatting>
  <conditionalFormatting sqref="Q804">
    <cfRule type="containsText" dxfId="9" priority="15029" operator="containsText" text="No">
      <formula>NOT(ISERROR(SEARCH(("No"),(Q804))))</formula>
    </cfRule>
  </conditionalFormatting>
  <conditionalFormatting sqref="Q804">
    <cfRule type="containsText" dxfId="2" priority="15030" operator="containsText" text="Yes">
      <formula>NOT(ISERROR(SEARCH(("Yes"),(Q804))))</formula>
    </cfRule>
  </conditionalFormatting>
  <conditionalFormatting sqref="Q804">
    <cfRule type="containsText" dxfId="9" priority="15031" operator="containsText" text="No">
      <formula>NOT(ISERROR(SEARCH(("No"),(Q804))))</formula>
    </cfRule>
  </conditionalFormatting>
  <conditionalFormatting sqref="Q804">
    <cfRule type="containsText" dxfId="2" priority="15032" operator="containsText" text="Yes">
      <formula>NOT(ISERROR(SEARCH(("Yes"),(Q804))))</formula>
    </cfRule>
  </conditionalFormatting>
  <conditionalFormatting sqref="Q804">
    <cfRule type="containsText" dxfId="9" priority="15033" operator="containsText" text="No">
      <formula>NOT(ISERROR(SEARCH(("No"),(Q804))))</formula>
    </cfRule>
  </conditionalFormatting>
  <conditionalFormatting sqref="Q804">
    <cfRule type="containsText" dxfId="2" priority="15034" operator="containsText" text="Yes">
      <formula>NOT(ISERROR(SEARCH(("Yes"),(Q804))))</formula>
    </cfRule>
  </conditionalFormatting>
  <conditionalFormatting sqref="Q804">
    <cfRule type="containsText" dxfId="9" priority="15035" operator="containsText" text="No">
      <formula>NOT(ISERROR(SEARCH(("No"),(Q804))))</formula>
    </cfRule>
  </conditionalFormatting>
  <conditionalFormatting sqref="Q804">
    <cfRule type="containsText" dxfId="2" priority="15036" operator="containsText" text="Yes">
      <formula>NOT(ISERROR(SEARCH(("Yes"),(Q804))))</formula>
    </cfRule>
  </conditionalFormatting>
  <conditionalFormatting sqref="Q804">
    <cfRule type="containsText" dxfId="9" priority="15037" operator="containsText" text="No">
      <formula>NOT(ISERROR(SEARCH(("No"),(Q804))))</formula>
    </cfRule>
  </conditionalFormatting>
  <conditionalFormatting sqref="Q804">
    <cfRule type="containsText" dxfId="2" priority="15038" operator="containsText" text="Yes">
      <formula>NOT(ISERROR(SEARCH(("Yes"),(Q804))))</formula>
    </cfRule>
  </conditionalFormatting>
  <conditionalFormatting sqref="Q804">
    <cfRule type="containsText" dxfId="9" priority="15039" operator="containsText" text="No">
      <formula>NOT(ISERROR(SEARCH(("No"),(Q804))))</formula>
    </cfRule>
  </conditionalFormatting>
  <conditionalFormatting sqref="Q804">
    <cfRule type="containsText" dxfId="2" priority="15040" operator="containsText" text="Yes">
      <formula>NOT(ISERROR(SEARCH(("Yes"),(Q804))))</formula>
    </cfRule>
  </conditionalFormatting>
  <conditionalFormatting sqref="Q804">
    <cfRule type="containsText" dxfId="9" priority="15041" operator="containsText" text="No">
      <formula>NOT(ISERROR(SEARCH(("No"),(Q804))))</formula>
    </cfRule>
  </conditionalFormatting>
  <conditionalFormatting sqref="Q804">
    <cfRule type="containsText" dxfId="2" priority="15042" operator="containsText" text="Yes">
      <formula>NOT(ISERROR(SEARCH(("Yes"),(Q804))))</formula>
    </cfRule>
  </conditionalFormatting>
  <conditionalFormatting sqref="Q804">
    <cfRule type="containsText" dxfId="9" priority="15043" operator="containsText" text="No">
      <formula>NOT(ISERROR(SEARCH(("No"),(Q804))))</formula>
    </cfRule>
  </conditionalFormatting>
  <conditionalFormatting sqref="Q804">
    <cfRule type="containsText" dxfId="2" priority="15044" operator="containsText" text="Yes">
      <formula>NOT(ISERROR(SEARCH(("Yes"),(Q804))))</formula>
    </cfRule>
  </conditionalFormatting>
  <conditionalFormatting sqref="Q804">
    <cfRule type="containsText" dxfId="9" priority="15045" operator="containsText" text="No">
      <formula>NOT(ISERROR(SEARCH(("No"),(Q804))))</formula>
    </cfRule>
  </conditionalFormatting>
  <conditionalFormatting sqref="Q804">
    <cfRule type="containsText" dxfId="2" priority="15046" operator="containsText" text="Yes">
      <formula>NOT(ISERROR(SEARCH(("Yes"),(Q804))))</formula>
    </cfRule>
  </conditionalFormatting>
  <conditionalFormatting sqref="Q804">
    <cfRule type="containsText" dxfId="9" priority="15047" operator="containsText" text="No">
      <formula>NOT(ISERROR(SEARCH(("No"),(Q804))))</formula>
    </cfRule>
  </conditionalFormatting>
  <conditionalFormatting sqref="Q804">
    <cfRule type="containsText" dxfId="2" priority="15048" operator="containsText" text="Yes">
      <formula>NOT(ISERROR(SEARCH(("Yes"),(Q804))))</formula>
    </cfRule>
  </conditionalFormatting>
  <conditionalFormatting sqref="Q804">
    <cfRule type="containsText" dxfId="9" priority="15049" operator="containsText" text="No">
      <formula>NOT(ISERROR(SEARCH(("No"),(Q804))))</formula>
    </cfRule>
  </conditionalFormatting>
  <conditionalFormatting sqref="Q804">
    <cfRule type="containsText" dxfId="2" priority="15050" operator="containsText" text="Yes">
      <formula>NOT(ISERROR(SEARCH(("Yes"),(Q804))))</formula>
    </cfRule>
  </conditionalFormatting>
  <conditionalFormatting sqref="Q804">
    <cfRule type="containsText" dxfId="9" priority="15051" operator="containsText" text="No">
      <formula>NOT(ISERROR(SEARCH(("No"),(Q804))))</formula>
    </cfRule>
  </conditionalFormatting>
  <conditionalFormatting sqref="Q804">
    <cfRule type="containsText" dxfId="2" priority="15052" operator="containsText" text="Yes">
      <formula>NOT(ISERROR(SEARCH(("Yes"),(Q804))))</formula>
    </cfRule>
  </conditionalFormatting>
  <conditionalFormatting sqref="Q804">
    <cfRule type="containsText" dxfId="9" priority="15053" operator="containsText" text="No">
      <formula>NOT(ISERROR(SEARCH(("No"),(Q804))))</formula>
    </cfRule>
  </conditionalFormatting>
  <conditionalFormatting sqref="Q804">
    <cfRule type="containsText" dxfId="2" priority="15054" operator="containsText" text="Yes">
      <formula>NOT(ISERROR(SEARCH(("Yes"),(Q804))))</formula>
    </cfRule>
  </conditionalFormatting>
  <conditionalFormatting sqref="Q804">
    <cfRule type="containsText" dxfId="9" priority="15055" operator="containsText" text="No">
      <formula>NOT(ISERROR(SEARCH(("No"),(Q804))))</formula>
    </cfRule>
  </conditionalFormatting>
  <conditionalFormatting sqref="Q804">
    <cfRule type="containsText" dxfId="2" priority="15056" operator="containsText" text="Yes">
      <formula>NOT(ISERROR(SEARCH(("Yes"),(Q804))))</formula>
    </cfRule>
  </conditionalFormatting>
  <conditionalFormatting sqref="Q804">
    <cfRule type="containsText" dxfId="2" priority="15057" operator="containsText" text="Yes">
      <formula>NOT(ISERROR(SEARCH(("Yes"),(Q804))))</formula>
    </cfRule>
  </conditionalFormatting>
  <conditionalFormatting sqref="Q804">
    <cfRule type="containsText" dxfId="9" priority="15058" operator="containsText" text="No">
      <formula>NOT(ISERROR(SEARCH(("No"),(Q804))))</formula>
    </cfRule>
  </conditionalFormatting>
  <conditionalFormatting sqref="Q804">
    <cfRule type="containsText" dxfId="2" priority="15059" operator="containsText" text="Yes">
      <formula>NOT(ISERROR(SEARCH(("Yes"),(Q804))))</formula>
    </cfRule>
  </conditionalFormatting>
  <conditionalFormatting sqref="Q806:Q818">
    <cfRule type="containsText" dxfId="2" priority="15060" operator="containsText" text="Yes">
      <formula>NOT(ISERROR(SEARCH(("Yes"),(Q806))))</formula>
    </cfRule>
  </conditionalFormatting>
  <conditionalFormatting sqref="Q806:Q818">
    <cfRule type="containsText" dxfId="9" priority="15061" operator="containsText" text="No">
      <formula>NOT(ISERROR(SEARCH(("No"),(Q806))))</formula>
    </cfRule>
  </conditionalFormatting>
  <conditionalFormatting sqref="Q806:Q818">
    <cfRule type="containsText" dxfId="2" priority="15062" operator="containsText" text="Yes">
      <formula>NOT(ISERROR(SEARCH(("Yes"),(Q806))))</formula>
    </cfRule>
  </conditionalFormatting>
  <conditionalFormatting sqref="Q806:Q818">
    <cfRule type="containsText" dxfId="9" priority="15063" operator="containsText" text="No">
      <formula>NOT(ISERROR(SEARCH(("No"),(Q806))))</formula>
    </cfRule>
  </conditionalFormatting>
  <conditionalFormatting sqref="Q806:Q818">
    <cfRule type="containsText" dxfId="2" priority="15064" operator="containsText" text="Yes">
      <formula>NOT(ISERROR(SEARCH(("Yes"),(Q806))))</formula>
    </cfRule>
  </conditionalFormatting>
  <conditionalFormatting sqref="Q806:Q818">
    <cfRule type="containsText" dxfId="9" priority="15065" operator="containsText" text="No">
      <formula>NOT(ISERROR(SEARCH(("No"),(Q806))))</formula>
    </cfRule>
  </conditionalFormatting>
  <conditionalFormatting sqref="Q806:Q818">
    <cfRule type="containsText" dxfId="2" priority="15066" operator="containsText" text="Yes">
      <formula>NOT(ISERROR(SEARCH(("Yes"),(Q806))))</formula>
    </cfRule>
  </conditionalFormatting>
  <conditionalFormatting sqref="Q806:Q818">
    <cfRule type="containsText" dxfId="9" priority="15067" operator="containsText" text="No">
      <formula>NOT(ISERROR(SEARCH(("No"),(Q806))))</formula>
    </cfRule>
  </conditionalFormatting>
  <conditionalFormatting sqref="Q806:Q818">
    <cfRule type="containsText" dxfId="2" priority="15068" operator="containsText" text="Yes">
      <formula>NOT(ISERROR(SEARCH(("Yes"),(Q806))))</formula>
    </cfRule>
  </conditionalFormatting>
  <conditionalFormatting sqref="Q806:Q818">
    <cfRule type="containsText" dxfId="9" priority="15069" operator="containsText" text="No">
      <formula>NOT(ISERROR(SEARCH(("No"),(Q806))))</formula>
    </cfRule>
  </conditionalFormatting>
  <conditionalFormatting sqref="Q806:Q818">
    <cfRule type="containsText" dxfId="2" priority="15070" operator="containsText" text="Yes">
      <formula>NOT(ISERROR(SEARCH(("Yes"),(Q806))))</formula>
    </cfRule>
  </conditionalFormatting>
  <conditionalFormatting sqref="Q806:Q818">
    <cfRule type="containsText" dxfId="9" priority="15071" operator="containsText" text="No">
      <formula>NOT(ISERROR(SEARCH(("No"),(Q806))))</formula>
    </cfRule>
  </conditionalFormatting>
  <conditionalFormatting sqref="Q806:Q818">
    <cfRule type="containsText" dxfId="2" priority="15072" operator="containsText" text="Yes">
      <formula>NOT(ISERROR(SEARCH(("Yes"),(Q806))))</formula>
    </cfRule>
  </conditionalFormatting>
  <conditionalFormatting sqref="Q806:Q818">
    <cfRule type="containsText" dxfId="9" priority="15073" operator="containsText" text="No">
      <formula>NOT(ISERROR(SEARCH(("No"),(Q806))))</formula>
    </cfRule>
  </conditionalFormatting>
  <conditionalFormatting sqref="Q806:Q818">
    <cfRule type="containsText" dxfId="2" priority="15074" operator="containsText" text="Yes">
      <formula>NOT(ISERROR(SEARCH(("Yes"),(Q806))))</formula>
    </cfRule>
  </conditionalFormatting>
  <conditionalFormatting sqref="Q806:Q818">
    <cfRule type="containsText" dxfId="9" priority="15075" operator="containsText" text="No">
      <formula>NOT(ISERROR(SEARCH(("No"),(Q806))))</formula>
    </cfRule>
  </conditionalFormatting>
  <conditionalFormatting sqref="Q806:Q818">
    <cfRule type="containsText" dxfId="2" priority="15076" operator="containsText" text="Yes">
      <formula>NOT(ISERROR(SEARCH(("Yes"),(Q806))))</formula>
    </cfRule>
  </conditionalFormatting>
  <conditionalFormatting sqref="Q806:Q818">
    <cfRule type="containsText" dxfId="9" priority="15077" operator="containsText" text="No">
      <formula>NOT(ISERROR(SEARCH(("No"),(Q806))))</formula>
    </cfRule>
  </conditionalFormatting>
  <conditionalFormatting sqref="Q806:Q818">
    <cfRule type="containsText" dxfId="2" priority="15078" operator="containsText" text="Yes">
      <formula>NOT(ISERROR(SEARCH(("Yes"),(Q806))))</formula>
    </cfRule>
  </conditionalFormatting>
  <conditionalFormatting sqref="Q806:Q818">
    <cfRule type="containsText" dxfId="9" priority="15079" operator="containsText" text="No">
      <formula>NOT(ISERROR(SEARCH(("No"),(Q806))))</formula>
    </cfRule>
  </conditionalFormatting>
  <conditionalFormatting sqref="Q806:Q818">
    <cfRule type="containsText" dxfId="2" priority="15080" operator="containsText" text="Yes">
      <formula>NOT(ISERROR(SEARCH(("Yes"),(Q806))))</formula>
    </cfRule>
  </conditionalFormatting>
  <conditionalFormatting sqref="Q806:Q818">
    <cfRule type="containsText" dxfId="9" priority="15081" operator="containsText" text="No">
      <formula>NOT(ISERROR(SEARCH(("No"),(Q806))))</formula>
    </cfRule>
  </conditionalFormatting>
  <conditionalFormatting sqref="Q806:Q818">
    <cfRule type="containsText" dxfId="2" priority="15082" operator="containsText" text="Yes">
      <formula>NOT(ISERROR(SEARCH(("Yes"),(Q806))))</formula>
    </cfRule>
  </conditionalFormatting>
  <conditionalFormatting sqref="Q806:Q818">
    <cfRule type="containsText" dxfId="9" priority="15083" operator="containsText" text="No">
      <formula>NOT(ISERROR(SEARCH(("No"),(Q806))))</formula>
    </cfRule>
  </conditionalFormatting>
  <conditionalFormatting sqref="Q806:Q818">
    <cfRule type="containsText" dxfId="2" priority="15084" operator="containsText" text="Yes">
      <formula>NOT(ISERROR(SEARCH(("Yes"),(Q806))))</formula>
    </cfRule>
  </conditionalFormatting>
  <conditionalFormatting sqref="Q806:Q818">
    <cfRule type="containsText" dxfId="9" priority="15085" operator="containsText" text="No">
      <formula>NOT(ISERROR(SEARCH(("No"),(Q806))))</formula>
    </cfRule>
  </conditionalFormatting>
  <conditionalFormatting sqref="Q806:Q818">
    <cfRule type="containsText" dxfId="2" priority="15086" operator="containsText" text="Yes">
      <formula>NOT(ISERROR(SEARCH(("Yes"),(Q806))))</formula>
    </cfRule>
  </conditionalFormatting>
  <conditionalFormatting sqref="Q806:Q818">
    <cfRule type="containsText" dxfId="9" priority="15087" operator="containsText" text="No">
      <formula>NOT(ISERROR(SEARCH(("No"),(Q806))))</formula>
    </cfRule>
  </conditionalFormatting>
  <conditionalFormatting sqref="Q806:Q818">
    <cfRule type="containsText" dxfId="2" priority="15088" operator="containsText" text="Yes">
      <formula>NOT(ISERROR(SEARCH(("Yes"),(Q806))))</formula>
    </cfRule>
  </conditionalFormatting>
  <conditionalFormatting sqref="Q806:Q818">
    <cfRule type="containsText" dxfId="9" priority="15089" operator="containsText" text="No">
      <formula>NOT(ISERROR(SEARCH(("No"),(Q806))))</formula>
    </cfRule>
  </conditionalFormatting>
  <conditionalFormatting sqref="Q806:Q818">
    <cfRule type="containsText" dxfId="2" priority="15090" operator="containsText" text="Yes">
      <formula>NOT(ISERROR(SEARCH(("Yes"),(Q806))))</formula>
    </cfRule>
  </conditionalFormatting>
  <conditionalFormatting sqref="Q806:Q818">
    <cfRule type="containsText" dxfId="9" priority="15091" operator="containsText" text="No">
      <formula>NOT(ISERROR(SEARCH(("No"),(Q806))))</formula>
    </cfRule>
  </conditionalFormatting>
  <conditionalFormatting sqref="Q806:Q818">
    <cfRule type="containsText" dxfId="2" priority="15092" operator="containsText" text="Yes">
      <formula>NOT(ISERROR(SEARCH(("Yes"),(Q806))))</formula>
    </cfRule>
  </conditionalFormatting>
  <conditionalFormatting sqref="Q806:Q818">
    <cfRule type="containsText" dxfId="9" priority="15093" operator="containsText" text="No">
      <formula>NOT(ISERROR(SEARCH(("No"),(Q806))))</formula>
    </cfRule>
  </conditionalFormatting>
  <conditionalFormatting sqref="Q806:Q818">
    <cfRule type="containsText" dxfId="2" priority="15094" operator="containsText" text="Yes">
      <formula>NOT(ISERROR(SEARCH(("Yes"),(Q806))))</formula>
    </cfRule>
  </conditionalFormatting>
  <conditionalFormatting sqref="Q806:Q818">
    <cfRule type="containsText" dxfId="9" priority="15095" operator="containsText" text="No">
      <formula>NOT(ISERROR(SEARCH(("No"),(Q806))))</formula>
    </cfRule>
  </conditionalFormatting>
  <conditionalFormatting sqref="Q806:Q818">
    <cfRule type="containsText" dxfId="2" priority="15096" operator="containsText" text="Yes">
      <formula>NOT(ISERROR(SEARCH(("Yes"),(Q806))))</formula>
    </cfRule>
  </conditionalFormatting>
  <conditionalFormatting sqref="Q806:Q818">
    <cfRule type="containsText" dxfId="9" priority="15097" operator="containsText" text="No">
      <formula>NOT(ISERROR(SEARCH(("No"),(Q806))))</formula>
    </cfRule>
  </conditionalFormatting>
  <conditionalFormatting sqref="Q806:Q818">
    <cfRule type="containsText" dxfId="2" priority="15098" operator="containsText" text="Yes">
      <formula>NOT(ISERROR(SEARCH(("Yes"),(Q806))))</formula>
    </cfRule>
  </conditionalFormatting>
  <conditionalFormatting sqref="Q806:Q818">
    <cfRule type="containsText" dxfId="9" priority="15099" operator="containsText" text="No">
      <formula>NOT(ISERROR(SEARCH(("No"),(Q806))))</formula>
    </cfRule>
  </conditionalFormatting>
  <conditionalFormatting sqref="Q806:Q818">
    <cfRule type="containsText" dxfId="2" priority="15100" operator="containsText" text="Yes">
      <formula>NOT(ISERROR(SEARCH(("Yes"),(Q806))))</formula>
    </cfRule>
  </conditionalFormatting>
  <conditionalFormatting sqref="Q806:Q818">
    <cfRule type="containsText" dxfId="9" priority="15101" operator="containsText" text="No">
      <formula>NOT(ISERROR(SEARCH(("No"),(Q806))))</formula>
    </cfRule>
  </conditionalFormatting>
  <conditionalFormatting sqref="Q806:Q818">
    <cfRule type="containsText" dxfId="2" priority="15102" operator="containsText" text="Yes">
      <formula>NOT(ISERROR(SEARCH(("Yes"),(Q806))))</formula>
    </cfRule>
  </conditionalFormatting>
  <conditionalFormatting sqref="Q806:Q818">
    <cfRule type="containsText" dxfId="9" priority="15103" operator="containsText" text="No">
      <formula>NOT(ISERROR(SEARCH(("No"),(Q806))))</formula>
    </cfRule>
  </conditionalFormatting>
  <conditionalFormatting sqref="Q806:Q818">
    <cfRule type="containsText" dxfId="2" priority="15104" operator="containsText" text="Yes">
      <formula>NOT(ISERROR(SEARCH(("Yes"),(Q806))))</formula>
    </cfRule>
  </conditionalFormatting>
  <conditionalFormatting sqref="Q806:Q818">
    <cfRule type="containsText" dxfId="9" priority="15105" operator="containsText" text="No">
      <formula>NOT(ISERROR(SEARCH(("No"),(Q806))))</formula>
    </cfRule>
  </conditionalFormatting>
  <conditionalFormatting sqref="Q806:Q818">
    <cfRule type="containsText" dxfId="2" priority="15106" operator="containsText" text="Yes">
      <formula>NOT(ISERROR(SEARCH(("Yes"),(Q806))))</formula>
    </cfRule>
  </conditionalFormatting>
  <conditionalFormatting sqref="Q806:Q818">
    <cfRule type="containsText" dxfId="9" priority="15107" operator="containsText" text="No">
      <formula>NOT(ISERROR(SEARCH(("No"),(Q806))))</formula>
    </cfRule>
  </conditionalFormatting>
  <conditionalFormatting sqref="Q806:Q818">
    <cfRule type="containsText" dxfId="2" priority="15108" operator="containsText" text="Yes">
      <formula>NOT(ISERROR(SEARCH(("Yes"),(Q806))))</formula>
    </cfRule>
  </conditionalFormatting>
  <conditionalFormatting sqref="Q806:Q818">
    <cfRule type="containsText" dxfId="9" priority="15109" operator="containsText" text="No">
      <formula>NOT(ISERROR(SEARCH(("No"),(Q806))))</formula>
    </cfRule>
  </conditionalFormatting>
  <conditionalFormatting sqref="Q806:Q818">
    <cfRule type="containsText" dxfId="2" priority="15110" operator="containsText" text="Yes">
      <formula>NOT(ISERROR(SEARCH(("Yes"),(Q806))))</formula>
    </cfRule>
  </conditionalFormatting>
  <conditionalFormatting sqref="Q806:Q818">
    <cfRule type="containsText" dxfId="9" priority="15111" operator="containsText" text="No">
      <formula>NOT(ISERROR(SEARCH(("No"),(Q806))))</formula>
    </cfRule>
  </conditionalFormatting>
  <conditionalFormatting sqref="Q806:Q818">
    <cfRule type="containsText" dxfId="2" priority="15112" operator="containsText" text="Yes">
      <formula>NOT(ISERROR(SEARCH(("Yes"),(Q806))))</formula>
    </cfRule>
  </conditionalFormatting>
  <conditionalFormatting sqref="Q806:Q818">
    <cfRule type="containsText" dxfId="9" priority="15113" operator="containsText" text="No">
      <formula>NOT(ISERROR(SEARCH(("No"),(Q806))))</formula>
    </cfRule>
  </conditionalFormatting>
  <conditionalFormatting sqref="Q806:Q818">
    <cfRule type="containsText" dxfId="2" priority="15114" operator="containsText" text="Yes">
      <formula>NOT(ISERROR(SEARCH(("Yes"),(Q806))))</formula>
    </cfRule>
  </conditionalFormatting>
  <conditionalFormatting sqref="Q806:Q818">
    <cfRule type="containsText" dxfId="9" priority="15115" operator="containsText" text="No">
      <formula>NOT(ISERROR(SEARCH(("No"),(Q806))))</formula>
    </cfRule>
  </conditionalFormatting>
  <conditionalFormatting sqref="Q806:Q818">
    <cfRule type="containsText" dxfId="2" priority="15116" operator="containsText" text="Yes">
      <formula>NOT(ISERROR(SEARCH(("Yes"),(Q806))))</formula>
    </cfRule>
  </conditionalFormatting>
  <conditionalFormatting sqref="Q806:Q818">
    <cfRule type="containsText" dxfId="9" priority="15117" operator="containsText" text="No">
      <formula>NOT(ISERROR(SEARCH(("No"),(Q806))))</formula>
    </cfRule>
  </conditionalFormatting>
  <conditionalFormatting sqref="Q806:Q818">
    <cfRule type="containsText" dxfId="2" priority="15118" operator="containsText" text="Yes">
      <formula>NOT(ISERROR(SEARCH(("Yes"),(Q806))))</formula>
    </cfRule>
  </conditionalFormatting>
  <conditionalFormatting sqref="Q806:Q818">
    <cfRule type="containsText" dxfId="9" priority="15119" operator="containsText" text="No">
      <formula>NOT(ISERROR(SEARCH(("No"),(Q806))))</formula>
    </cfRule>
  </conditionalFormatting>
  <conditionalFormatting sqref="Q806:Q818">
    <cfRule type="containsText" dxfId="2" priority="15120" operator="containsText" text="Yes">
      <formula>NOT(ISERROR(SEARCH(("Yes"),(Q806))))</formula>
    </cfRule>
  </conditionalFormatting>
  <conditionalFormatting sqref="Q806:Q818">
    <cfRule type="containsText" dxfId="9" priority="15121" operator="containsText" text="No">
      <formula>NOT(ISERROR(SEARCH(("No"),(Q806))))</formula>
    </cfRule>
  </conditionalFormatting>
  <conditionalFormatting sqref="Q806:Q818">
    <cfRule type="containsText" dxfId="2" priority="15122" operator="containsText" text="Yes">
      <formula>NOT(ISERROR(SEARCH(("Yes"),(Q806))))</formula>
    </cfRule>
  </conditionalFormatting>
  <conditionalFormatting sqref="Q806:Q818">
    <cfRule type="containsText" dxfId="9" priority="15123" operator="containsText" text="No">
      <formula>NOT(ISERROR(SEARCH(("No"),(Q806))))</formula>
    </cfRule>
  </conditionalFormatting>
  <conditionalFormatting sqref="Q806:Q818">
    <cfRule type="containsText" dxfId="2" priority="15124" operator="containsText" text="Yes">
      <formula>NOT(ISERROR(SEARCH(("Yes"),(Q806))))</formula>
    </cfRule>
  </conditionalFormatting>
  <conditionalFormatting sqref="Q806:Q818">
    <cfRule type="containsText" dxfId="9" priority="15125" operator="containsText" text="No">
      <formula>NOT(ISERROR(SEARCH(("No"),(Q806))))</formula>
    </cfRule>
  </conditionalFormatting>
  <conditionalFormatting sqref="Q806:Q818">
    <cfRule type="containsText" dxfId="2" priority="15126" operator="containsText" text="Yes">
      <formula>NOT(ISERROR(SEARCH(("Yes"),(Q806))))</formula>
    </cfRule>
  </conditionalFormatting>
  <conditionalFormatting sqref="Q806:Q818">
    <cfRule type="containsText" dxfId="9" priority="15127" operator="containsText" text="No">
      <formula>NOT(ISERROR(SEARCH(("No"),(Q806))))</formula>
    </cfRule>
  </conditionalFormatting>
  <conditionalFormatting sqref="Q806:Q818">
    <cfRule type="containsText" dxfId="2" priority="15128" operator="containsText" text="Yes">
      <formula>NOT(ISERROR(SEARCH(("Yes"),(Q806))))</formula>
    </cfRule>
  </conditionalFormatting>
  <conditionalFormatting sqref="Q806:Q818">
    <cfRule type="containsText" dxfId="9" priority="15129" operator="containsText" text="No">
      <formula>NOT(ISERROR(SEARCH(("No"),(Q806))))</formula>
    </cfRule>
  </conditionalFormatting>
  <conditionalFormatting sqref="Q806:Q818">
    <cfRule type="containsText" dxfId="2" priority="15130" operator="containsText" text="Yes">
      <formula>NOT(ISERROR(SEARCH(("Yes"),(Q806))))</formula>
    </cfRule>
  </conditionalFormatting>
  <conditionalFormatting sqref="Q806:Q818">
    <cfRule type="containsText" dxfId="9" priority="15131" operator="containsText" text="No">
      <formula>NOT(ISERROR(SEARCH(("No"),(Q806))))</formula>
    </cfRule>
  </conditionalFormatting>
  <conditionalFormatting sqref="Q806:Q818">
    <cfRule type="containsText" dxfId="2" priority="15132" operator="containsText" text="Yes">
      <formula>NOT(ISERROR(SEARCH(("Yes"),(Q806))))</formula>
    </cfRule>
  </conditionalFormatting>
  <conditionalFormatting sqref="Q806:Q818">
    <cfRule type="containsText" dxfId="9" priority="15133" operator="containsText" text="No">
      <formula>NOT(ISERROR(SEARCH(("No"),(Q806))))</formula>
    </cfRule>
  </conditionalFormatting>
  <conditionalFormatting sqref="Q806:Q818">
    <cfRule type="containsText" dxfId="2" priority="15134" operator="containsText" text="Yes">
      <formula>NOT(ISERROR(SEARCH(("Yes"),(Q806))))</formula>
    </cfRule>
  </conditionalFormatting>
  <conditionalFormatting sqref="Q806:Q818">
    <cfRule type="containsText" dxfId="9" priority="15135" operator="containsText" text="No">
      <formula>NOT(ISERROR(SEARCH(("No"),(Q806))))</formula>
    </cfRule>
  </conditionalFormatting>
  <conditionalFormatting sqref="Q806:Q818">
    <cfRule type="containsText" dxfId="2" priority="15136" operator="containsText" text="Yes">
      <formula>NOT(ISERROR(SEARCH(("Yes"),(Q806))))</formula>
    </cfRule>
  </conditionalFormatting>
  <conditionalFormatting sqref="Q806:Q818">
    <cfRule type="containsText" dxfId="9" priority="15137" operator="containsText" text="No">
      <formula>NOT(ISERROR(SEARCH(("No"),(Q806))))</formula>
    </cfRule>
  </conditionalFormatting>
  <conditionalFormatting sqref="Q806:Q818">
    <cfRule type="containsText" dxfId="2" priority="15138" operator="containsText" text="Yes">
      <formula>NOT(ISERROR(SEARCH(("Yes"),(Q806))))</formula>
    </cfRule>
  </conditionalFormatting>
  <conditionalFormatting sqref="Q806:Q818">
    <cfRule type="containsText" dxfId="9" priority="15139" operator="containsText" text="No">
      <formula>NOT(ISERROR(SEARCH(("No"),(Q806))))</formula>
    </cfRule>
  </conditionalFormatting>
  <conditionalFormatting sqref="Q806:Q818">
    <cfRule type="containsText" dxfId="2" priority="15140" operator="containsText" text="Yes">
      <formula>NOT(ISERROR(SEARCH(("Yes"),(Q806))))</formula>
    </cfRule>
  </conditionalFormatting>
  <conditionalFormatting sqref="Q806:Q818">
    <cfRule type="containsText" dxfId="9" priority="15141" operator="containsText" text="No">
      <formula>NOT(ISERROR(SEARCH(("No"),(Q806))))</formula>
    </cfRule>
  </conditionalFormatting>
  <conditionalFormatting sqref="Q806:Q818">
    <cfRule type="containsText" dxfId="2" priority="15142" operator="containsText" text="Yes">
      <formula>NOT(ISERROR(SEARCH(("Yes"),(Q806))))</formula>
    </cfRule>
  </conditionalFormatting>
  <conditionalFormatting sqref="Q806:Q818">
    <cfRule type="containsText" dxfId="9" priority="15143" operator="containsText" text="No">
      <formula>NOT(ISERROR(SEARCH(("No"),(Q806))))</formula>
    </cfRule>
  </conditionalFormatting>
  <conditionalFormatting sqref="Q806:Q818">
    <cfRule type="containsText" dxfId="2" priority="15144" operator="containsText" text="Yes">
      <formula>NOT(ISERROR(SEARCH(("Yes"),(Q806))))</formula>
    </cfRule>
  </conditionalFormatting>
  <conditionalFormatting sqref="Q806:Q818">
    <cfRule type="containsText" dxfId="9" priority="15145" operator="containsText" text="No">
      <formula>NOT(ISERROR(SEARCH(("No"),(Q806))))</formula>
    </cfRule>
  </conditionalFormatting>
  <conditionalFormatting sqref="Q806:Q818">
    <cfRule type="containsText" dxfId="2" priority="15146" operator="containsText" text="Yes">
      <formula>NOT(ISERROR(SEARCH(("Yes"),(Q806))))</formula>
    </cfRule>
  </conditionalFormatting>
  <conditionalFormatting sqref="Q806:Q818">
    <cfRule type="containsText" dxfId="9" priority="15147" operator="containsText" text="No">
      <formula>NOT(ISERROR(SEARCH(("No"),(Q806))))</formula>
    </cfRule>
  </conditionalFormatting>
  <conditionalFormatting sqref="Q806:Q818">
    <cfRule type="containsText" dxfId="2" priority="15148" operator="containsText" text="Yes">
      <formula>NOT(ISERROR(SEARCH(("Yes"),(Q806))))</formula>
    </cfRule>
  </conditionalFormatting>
  <conditionalFormatting sqref="Q806:Q818">
    <cfRule type="containsText" dxfId="2" priority="15149" operator="containsText" text="Yes">
      <formula>NOT(ISERROR(SEARCH(("Yes"),(Q806))))</formula>
    </cfRule>
  </conditionalFormatting>
  <conditionalFormatting sqref="Q806:Q818">
    <cfRule type="containsText" dxfId="9" priority="15150" operator="containsText" text="No">
      <formula>NOT(ISERROR(SEARCH(("No"),(Q806))))</formula>
    </cfRule>
  </conditionalFormatting>
  <conditionalFormatting sqref="Q806:Q818">
    <cfRule type="containsText" dxfId="2" priority="15151" operator="containsText" text="Yes">
      <formula>NOT(ISERROR(SEARCH(("Yes"),(Q806))))</formula>
    </cfRule>
  </conditionalFormatting>
  <conditionalFormatting sqref="Q820:Q832">
    <cfRule type="containsText" dxfId="2" priority="15152" operator="containsText" text="Yes">
      <formula>NOT(ISERROR(SEARCH(("Yes"),(Q820))))</formula>
    </cfRule>
  </conditionalFormatting>
  <conditionalFormatting sqref="Q820:Q832">
    <cfRule type="containsText" dxfId="9" priority="15153" operator="containsText" text="No">
      <formula>NOT(ISERROR(SEARCH(("No"),(Q820))))</formula>
    </cfRule>
  </conditionalFormatting>
  <conditionalFormatting sqref="Q820:Q832">
    <cfRule type="containsText" dxfId="2" priority="15154" operator="containsText" text="Yes">
      <formula>NOT(ISERROR(SEARCH(("Yes"),(Q820))))</formula>
    </cfRule>
  </conditionalFormatting>
  <conditionalFormatting sqref="Q820:Q832">
    <cfRule type="containsText" dxfId="9" priority="15155" operator="containsText" text="No">
      <formula>NOT(ISERROR(SEARCH(("No"),(Q820))))</formula>
    </cfRule>
  </conditionalFormatting>
  <conditionalFormatting sqref="Q820:Q832">
    <cfRule type="containsText" dxfId="2" priority="15156" operator="containsText" text="Yes">
      <formula>NOT(ISERROR(SEARCH(("Yes"),(Q820))))</formula>
    </cfRule>
  </conditionalFormatting>
  <conditionalFormatting sqref="Q820:Q832">
    <cfRule type="containsText" dxfId="9" priority="15157" operator="containsText" text="No">
      <formula>NOT(ISERROR(SEARCH(("No"),(Q820))))</formula>
    </cfRule>
  </conditionalFormatting>
  <conditionalFormatting sqref="Q820:Q832">
    <cfRule type="containsText" dxfId="2" priority="15158" operator="containsText" text="Yes">
      <formula>NOT(ISERROR(SEARCH(("Yes"),(Q820))))</formula>
    </cfRule>
  </conditionalFormatting>
  <conditionalFormatting sqref="Q820:Q832">
    <cfRule type="containsText" dxfId="9" priority="15159" operator="containsText" text="No">
      <formula>NOT(ISERROR(SEARCH(("No"),(Q820))))</formula>
    </cfRule>
  </conditionalFormatting>
  <conditionalFormatting sqref="Q820:Q832">
    <cfRule type="containsText" dxfId="2" priority="15160" operator="containsText" text="Yes">
      <formula>NOT(ISERROR(SEARCH(("Yes"),(Q820))))</formula>
    </cfRule>
  </conditionalFormatting>
  <conditionalFormatting sqref="Q820:Q832">
    <cfRule type="containsText" dxfId="9" priority="15161" operator="containsText" text="No">
      <formula>NOT(ISERROR(SEARCH(("No"),(Q820))))</formula>
    </cfRule>
  </conditionalFormatting>
  <conditionalFormatting sqref="Q820:Q832">
    <cfRule type="containsText" dxfId="2" priority="15162" operator="containsText" text="Yes">
      <formula>NOT(ISERROR(SEARCH(("Yes"),(Q820))))</formula>
    </cfRule>
  </conditionalFormatting>
  <conditionalFormatting sqref="Q820:Q832">
    <cfRule type="containsText" dxfId="9" priority="15163" operator="containsText" text="No">
      <formula>NOT(ISERROR(SEARCH(("No"),(Q820))))</formula>
    </cfRule>
  </conditionalFormatting>
  <conditionalFormatting sqref="Q820:Q832">
    <cfRule type="containsText" dxfId="2" priority="15164" operator="containsText" text="Yes">
      <formula>NOT(ISERROR(SEARCH(("Yes"),(Q820))))</formula>
    </cfRule>
  </conditionalFormatting>
  <conditionalFormatting sqref="Q820:Q832">
    <cfRule type="containsText" dxfId="9" priority="15165" operator="containsText" text="No">
      <formula>NOT(ISERROR(SEARCH(("No"),(Q820))))</formula>
    </cfRule>
  </conditionalFormatting>
  <conditionalFormatting sqref="Q820:Q832">
    <cfRule type="containsText" dxfId="2" priority="15166" operator="containsText" text="Yes">
      <formula>NOT(ISERROR(SEARCH(("Yes"),(Q820))))</formula>
    </cfRule>
  </conditionalFormatting>
  <conditionalFormatting sqref="Q820:Q832">
    <cfRule type="containsText" dxfId="9" priority="15167" operator="containsText" text="No">
      <formula>NOT(ISERROR(SEARCH(("No"),(Q820))))</formula>
    </cfRule>
  </conditionalFormatting>
  <conditionalFormatting sqref="Q820:Q832">
    <cfRule type="containsText" dxfId="2" priority="15168" operator="containsText" text="Yes">
      <formula>NOT(ISERROR(SEARCH(("Yes"),(Q820))))</formula>
    </cfRule>
  </conditionalFormatting>
  <conditionalFormatting sqref="Q820:Q832">
    <cfRule type="containsText" dxfId="9" priority="15169" operator="containsText" text="No">
      <formula>NOT(ISERROR(SEARCH(("No"),(Q820))))</formula>
    </cfRule>
  </conditionalFormatting>
  <conditionalFormatting sqref="Q820:Q832">
    <cfRule type="containsText" dxfId="2" priority="15170" operator="containsText" text="Yes">
      <formula>NOT(ISERROR(SEARCH(("Yes"),(Q820))))</formula>
    </cfRule>
  </conditionalFormatting>
  <conditionalFormatting sqref="Q820:Q832">
    <cfRule type="containsText" dxfId="9" priority="15171" operator="containsText" text="No">
      <formula>NOT(ISERROR(SEARCH(("No"),(Q820))))</formula>
    </cfRule>
  </conditionalFormatting>
  <conditionalFormatting sqref="Q820:Q832">
    <cfRule type="containsText" dxfId="2" priority="15172" operator="containsText" text="Yes">
      <formula>NOT(ISERROR(SEARCH(("Yes"),(Q820))))</formula>
    </cfRule>
  </conditionalFormatting>
  <conditionalFormatting sqref="Q820:Q832">
    <cfRule type="containsText" dxfId="9" priority="15173" operator="containsText" text="No">
      <formula>NOT(ISERROR(SEARCH(("No"),(Q820))))</formula>
    </cfRule>
  </conditionalFormatting>
  <conditionalFormatting sqref="Q820:Q832">
    <cfRule type="containsText" dxfId="2" priority="15174" operator="containsText" text="Yes">
      <formula>NOT(ISERROR(SEARCH(("Yes"),(Q820))))</formula>
    </cfRule>
  </conditionalFormatting>
  <conditionalFormatting sqref="Q820:Q832">
    <cfRule type="containsText" dxfId="9" priority="15175" operator="containsText" text="No">
      <formula>NOT(ISERROR(SEARCH(("No"),(Q820))))</formula>
    </cfRule>
  </conditionalFormatting>
  <conditionalFormatting sqref="Q820:Q832">
    <cfRule type="containsText" dxfId="2" priority="15176" operator="containsText" text="Yes">
      <formula>NOT(ISERROR(SEARCH(("Yes"),(Q820))))</formula>
    </cfRule>
  </conditionalFormatting>
  <conditionalFormatting sqref="Q820:Q832">
    <cfRule type="containsText" dxfId="9" priority="15177" operator="containsText" text="No">
      <formula>NOT(ISERROR(SEARCH(("No"),(Q820))))</formula>
    </cfRule>
  </conditionalFormatting>
  <conditionalFormatting sqref="Q820:Q832">
    <cfRule type="containsText" dxfId="2" priority="15178" operator="containsText" text="Yes">
      <formula>NOT(ISERROR(SEARCH(("Yes"),(Q820))))</formula>
    </cfRule>
  </conditionalFormatting>
  <conditionalFormatting sqref="Q820:Q832">
    <cfRule type="containsText" dxfId="9" priority="15179" operator="containsText" text="No">
      <formula>NOT(ISERROR(SEARCH(("No"),(Q820))))</formula>
    </cfRule>
  </conditionalFormatting>
  <conditionalFormatting sqref="Q820:Q832">
    <cfRule type="containsText" dxfId="2" priority="15180" operator="containsText" text="Yes">
      <formula>NOT(ISERROR(SEARCH(("Yes"),(Q820))))</formula>
    </cfRule>
  </conditionalFormatting>
  <conditionalFormatting sqref="Q820:Q832">
    <cfRule type="containsText" dxfId="9" priority="15181" operator="containsText" text="No">
      <formula>NOT(ISERROR(SEARCH(("No"),(Q820))))</formula>
    </cfRule>
  </conditionalFormatting>
  <conditionalFormatting sqref="Q820:Q832">
    <cfRule type="containsText" dxfId="2" priority="15182" operator="containsText" text="Yes">
      <formula>NOT(ISERROR(SEARCH(("Yes"),(Q820))))</formula>
    </cfRule>
  </conditionalFormatting>
  <conditionalFormatting sqref="Q820:Q832">
    <cfRule type="containsText" dxfId="9" priority="15183" operator="containsText" text="No">
      <formula>NOT(ISERROR(SEARCH(("No"),(Q820))))</formula>
    </cfRule>
  </conditionalFormatting>
  <conditionalFormatting sqref="Q820:Q832">
    <cfRule type="containsText" dxfId="2" priority="15184" operator="containsText" text="Yes">
      <formula>NOT(ISERROR(SEARCH(("Yes"),(Q820))))</formula>
    </cfRule>
  </conditionalFormatting>
  <conditionalFormatting sqref="Q820:Q832">
    <cfRule type="containsText" dxfId="9" priority="15185" operator="containsText" text="No">
      <formula>NOT(ISERROR(SEARCH(("No"),(Q820))))</formula>
    </cfRule>
  </conditionalFormatting>
  <conditionalFormatting sqref="Q820:Q832">
    <cfRule type="containsText" dxfId="2" priority="15186" operator="containsText" text="Yes">
      <formula>NOT(ISERROR(SEARCH(("Yes"),(Q820))))</formula>
    </cfRule>
  </conditionalFormatting>
  <conditionalFormatting sqref="Q820:Q832">
    <cfRule type="containsText" dxfId="9" priority="15187" operator="containsText" text="No">
      <formula>NOT(ISERROR(SEARCH(("No"),(Q820))))</formula>
    </cfRule>
  </conditionalFormatting>
  <conditionalFormatting sqref="Q820:Q832">
    <cfRule type="containsText" dxfId="2" priority="15188" operator="containsText" text="Yes">
      <formula>NOT(ISERROR(SEARCH(("Yes"),(Q820))))</formula>
    </cfRule>
  </conditionalFormatting>
  <conditionalFormatting sqref="Q820:Q832">
    <cfRule type="containsText" dxfId="9" priority="15189" operator="containsText" text="No">
      <formula>NOT(ISERROR(SEARCH(("No"),(Q820))))</formula>
    </cfRule>
  </conditionalFormatting>
  <conditionalFormatting sqref="Q820:Q832">
    <cfRule type="containsText" dxfId="2" priority="15190" operator="containsText" text="Yes">
      <formula>NOT(ISERROR(SEARCH(("Yes"),(Q820))))</formula>
    </cfRule>
  </conditionalFormatting>
  <conditionalFormatting sqref="Q820:Q832">
    <cfRule type="containsText" dxfId="9" priority="15191" operator="containsText" text="No">
      <formula>NOT(ISERROR(SEARCH(("No"),(Q820))))</formula>
    </cfRule>
  </conditionalFormatting>
  <conditionalFormatting sqref="Q820:Q832">
    <cfRule type="containsText" dxfId="2" priority="15192" operator="containsText" text="Yes">
      <formula>NOT(ISERROR(SEARCH(("Yes"),(Q820))))</formula>
    </cfRule>
  </conditionalFormatting>
  <conditionalFormatting sqref="Q820:Q832">
    <cfRule type="containsText" dxfId="9" priority="15193" operator="containsText" text="No">
      <formula>NOT(ISERROR(SEARCH(("No"),(Q820))))</formula>
    </cfRule>
  </conditionalFormatting>
  <conditionalFormatting sqref="Q820:Q832">
    <cfRule type="containsText" dxfId="2" priority="15194" operator="containsText" text="Yes">
      <formula>NOT(ISERROR(SEARCH(("Yes"),(Q820))))</formula>
    </cfRule>
  </conditionalFormatting>
  <conditionalFormatting sqref="Q820:Q832">
    <cfRule type="containsText" dxfId="9" priority="15195" operator="containsText" text="No">
      <formula>NOT(ISERROR(SEARCH(("No"),(Q820))))</formula>
    </cfRule>
  </conditionalFormatting>
  <conditionalFormatting sqref="Q820:Q832">
    <cfRule type="containsText" dxfId="2" priority="15196" operator="containsText" text="Yes">
      <formula>NOT(ISERROR(SEARCH(("Yes"),(Q820))))</formula>
    </cfRule>
  </conditionalFormatting>
  <conditionalFormatting sqref="Q820:Q832">
    <cfRule type="containsText" dxfId="9" priority="15197" operator="containsText" text="No">
      <formula>NOT(ISERROR(SEARCH(("No"),(Q820))))</formula>
    </cfRule>
  </conditionalFormatting>
  <conditionalFormatting sqref="Q820:Q832">
    <cfRule type="containsText" dxfId="2" priority="15198" operator="containsText" text="Yes">
      <formula>NOT(ISERROR(SEARCH(("Yes"),(Q820))))</formula>
    </cfRule>
  </conditionalFormatting>
  <conditionalFormatting sqref="Q820:Q832">
    <cfRule type="containsText" dxfId="9" priority="15199" operator="containsText" text="No">
      <formula>NOT(ISERROR(SEARCH(("No"),(Q820))))</formula>
    </cfRule>
  </conditionalFormatting>
  <conditionalFormatting sqref="Q820:Q832">
    <cfRule type="containsText" dxfId="2" priority="15200" operator="containsText" text="Yes">
      <formula>NOT(ISERROR(SEARCH(("Yes"),(Q820))))</formula>
    </cfRule>
  </conditionalFormatting>
  <conditionalFormatting sqref="Q820:Q832">
    <cfRule type="containsText" dxfId="9" priority="15201" operator="containsText" text="No">
      <formula>NOT(ISERROR(SEARCH(("No"),(Q820))))</formula>
    </cfRule>
  </conditionalFormatting>
  <conditionalFormatting sqref="Q820:Q832">
    <cfRule type="containsText" dxfId="2" priority="15202" operator="containsText" text="Yes">
      <formula>NOT(ISERROR(SEARCH(("Yes"),(Q820))))</formula>
    </cfRule>
  </conditionalFormatting>
  <conditionalFormatting sqref="Q820:Q832">
    <cfRule type="containsText" dxfId="9" priority="15203" operator="containsText" text="No">
      <formula>NOT(ISERROR(SEARCH(("No"),(Q820))))</formula>
    </cfRule>
  </conditionalFormatting>
  <conditionalFormatting sqref="Q820:Q832">
    <cfRule type="containsText" dxfId="2" priority="15204" operator="containsText" text="Yes">
      <formula>NOT(ISERROR(SEARCH(("Yes"),(Q820))))</formula>
    </cfRule>
  </conditionalFormatting>
  <conditionalFormatting sqref="Q820:Q832">
    <cfRule type="containsText" dxfId="9" priority="15205" operator="containsText" text="No">
      <formula>NOT(ISERROR(SEARCH(("No"),(Q820))))</formula>
    </cfRule>
  </conditionalFormatting>
  <conditionalFormatting sqref="Q820:Q832">
    <cfRule type="containsText" dxfId="2" priority="15206" operator="containsText" text="Yes">
      <formula>NOT(ISERROR(SEARCH(("Yes"),(Q820))))</formula>
    </cfRule>
  </conditionalFormatting>
  <conditionalFormatting sqref="Q820:Q832">
    <cfRule type="containsText" dxfId="9" priority="15207" operator="containsText" text="No">
      <formula>NOT(ISERROR(SEARCH(("No"),(Q820))))</formula>
    </cfRule>
  </conditionalFormatting>
  <conditionalFormatting sqref="Q820:Q832">
    <cfRule type="containsText" dxfId="2" priority="15208" operator="containsText" text="Yes">
      <formula>NOT(ISERROR(SEARCH(("Yes"),(Q820))))</formula>
    </cfRule>
  </conditionalFormatting>
  <conditionalFormatting sqref="Q820:Q832">
    <cfRule type="containsText" dxfId="9" priority="15209" operator="containsText" text="No">
      <formula>NOT(ISERROR(SEARCH(("No"),(Q820))))</formula>
    </cfRule>
  </conditionalFormatting>
  <conditionalFormatting sqref="Q820:Q832">
    <cfRule type="containsText" dxfId="2" priority="15210" operator="containsText" text="Yes">
      <formula>NOT(ISERROR(SEARCH(("Yes"),(Q820))))</formula>
    </cfRule>
  </conditionalFormatting>
  <conditionalFormatting sqref="Q820:Q832">
    <cfRule type="containsText" dxfId="9" priority="15211" operator="containsText" text="No">
      <formula>NOT(ISERROR(SEARCH(("No"),(Q820))))</formula>
    </cfRule>
  </conditionalFormatting>
  <conditionalFormatting sqref="Q820:Q832">
    <cfRule type="containsText" dxfId="2" priority="15212" operator="containsText" text="Yes">
      <formula>NOT(ISERROR(SEARCH(("Yes"),(Q820))))</formula>
    </cfRule>
  </conditionalFormatting>
  <conditionalFormatting sqref="Q820:Q832">
    <cfRule type="containsText" dxfId="9" priority="15213" operator="containsText" text="No">
      <formula>NOT(ISERROR(SEARCH(("No"),(Q820))))</formula>
    </cfRule>
  </conditionalFormatting>
  <conditionalFormatting sqref="Q820:Q832">
    <cfRule type="containsText" dxfId="2" priority="15214" operator="containsText" text="Yes">
      <formula>NOT(ISERROR(SEARCH(("Yes"),(Q820))))</formula>
    </cfRule>
  </conditionalFormatting>
  <conditionalFormatting sqref="Q820:Q832">
    <cfRule type="containsText" dxfId="9" priority="15215" operator="containsText" text="No">
      <formula>NOT(ISERROR(SEARCH(("No"),(Q820))))</formula>
    </cfRule>
  </conditionalFormatting>
  <conditionalFormatting sqref="Q820:Q832">
    <cfRule type="containsText" dxfId="2" priority="15216" operator="containsText" text="Yes">
      <formula>NOT(ISERROR(SEARCH(("Yes"),(Q820))))</formula>
    </cfRule>
  </conditionalFormatting>
  <conditionalFormatting sqref="Q820:Q832">
    <cfRule type="containsText" dxfId="9" priority="15217" operator="containsText" text="No">
      <formula>NOT(ISERROR(SEARCH(("No"),(Q820))))</formula>
    </cfRule>
  </conditionalFormatting>
  <conditionalFormatting sqref="Q820:Q832">
    <cfRule type="containsText" dxfId="2" priority="15218" operator="containsText" text="Yes">
      <formula>NOT(ISERROR(SEARCH(("Yes"),(Q820))))</formula>
    </cfRule>
  </conditionalFormatting>
  <conditionalFormatting sqref="Q820:Q832">
    <cfRule type="containsText" dxfId="9" priority="15219" operator="containsText" text="No">
      <formula>NOT(ISERROR(SEARCH(("No"),(Q820))))</formula>
    </cfRule>
  </conditionalFormatting>
  <conditionalFormatting sqref="Q820:Q832">
    <cfRule type="containsText" dxfId="2" priority="15220" operator="containsText" text="Yes">
      <formula>NOT(ISERROR(SEARCH(("Yes"),(Q820))))</formula>
    </cfRule>
  </conditionalFormatting>
  <conditionalFormatting sqref="Q820:Q832">
    <cfRule type="containsText" dxfId="9" priority="15221" operator="containsText" text="No">
      <formula>NOT(ISERROR(SEARCH(("No"),(Q820))))</formula>
    </cfRule>
  </conditionalFormatting>
  <conditionalFormatting sqref="Q820:Q832">
    <cfRule type="containsText" dxfId="2" priority="15222" operator="containsText" text="Yes">
      <formula>NOT(ISERROR(SEARCH(("Yes"),(Q820))))</formula>
    </cfRule>
  </conditionalFormatting>
  <conditionalFormatting sqref="Q820:Q832">
    <cfRule type="containsText" dxfId="9" priority="15223" operator="containsText" text="No">
      <formula>NOT(ISERROR(SEARCH(("No"),(Q820))))</formula>
    </cfRule>
  </conditionalFormatting>
  <conditionalFormatting sqref="Q820:Q832">
    <cfRule type="containsText" dxfId="2" priority="15224" operator="containsText" text="Yes">
      <formula>NOT(ISERROR(SEARCH(("Yes"),(Q820))))</formula>
    </cfRule>
  </conditionalFormatting>
  <conditionalFormatting sqref="Q820:Q832">
    <cfRule type="containsText" dxfId="9" priority="15225" operator="containsText" text="No">
      <formula>NOT(ISERROR(SEARCH(("No"),(Q820))))</formula>
    </cfRule>
  </conditionalFormatting>
  <conditionalFormatting sqref="Q820:Q832">
    <cfRule type="containsText" dxfId="2" priority="15226" operator="containsText" text="Yes">
      <formula>NOT(ISERROR(SEARCH(("Yes"),(Q820))))</formula>
    </cfRule>
  </conditionalFormatting>
  <conditionalFormatting sqref="Q820:Q832">
    <cfRule type="containsText" dxfId="9" priority="15227" operator="containsText" text="No">
      <formula>NOT(ISERROR(SEARCH(("No"),(Q820))))</formula>
    </cfRule>
  </conditionalFormatting>
  <conditionalFormatting sqref="Q820:Q832">
    <cfRule type="containsText" dxfId="2" priority="15228" operator="containsText" text="Yes">
      <formula>NOT(ISERROR(SEARCH(("Yes"),(Q820))))</formula>
    </cfRule>
  </conditionalFormatting>
  <conditionalFormatting sqref="Q820:Q832">
    <cfRule type="containsText" dxfId="9" priority="15229" operator="containsText" text="No">
      <formula>NOT(ISERROR(SEARCH(("No"),(Q820))))</formula>
    </cfRule>
  </conditionalFormatting>
  <conditionalFormatting sqref="Q820:Q832">
    <cfRule type="containsText" dxfId="2" priority="15230" operator="containsText" text="Yes">
      <formula>NOT(ISERROR(SEARCH(("Yes"),(Q820))))</formula>
    </cfRule>
  </conditionalFormatting>
  <conditionalFormatting sqref="Q820:Q832">
    <cfRule type="containsText" dxfId="9" priority="15231" operator="containsText" text="No">
      <formula>NOT(ISERROR(SEARCH(("No"),(Q820))))</formula>
    </cfRule>
  </conditionalFormatting>
  <conditionalFormatting sqref="Q820:Q832">
    <cfRule type="containsText" dxfId="2" priority="15232" operator="containsText" text="Yes">
      <formula>NOT(ISERROR(SEARCH(("Yes"),(Q820))))</formula>
    </cfRule>
  </conditionalFormatting>
  <conditionalFormatting sqref="Q820:Q832">
    <cfRule type="containsText" dxfId="9" priority="15233" operator="containsText" text="No">
      <formula>NOT(ISERROR(SEARCH(("No"),(Q820))))</formula>
    </cfRule>
  </conditionalFormatting>
  <conditionalFormatting sqref="Q820:Q832">
    <cfRule type="containsText" dxfId="2" priority="15234" operator="containsText" text="Yes">
      <formula>NOT(ISERROR(SEARCH(("Yes"),(Q820))))</formula>
    </cfRule>
  </conditionalFormatting>
  <conditionalFormatting sqref="Q820:Q832">
    <cfRule type="containsText" dxfId="9" priority="15235" operator="containsText" text="No">
      <formula>NOT(ISERROR(SEARCH(("No"),(Q820))))</formula>
    </cfRule>
  </conditionalFormatting>
  <conditionalFormatting sqref="Q820:Q832">
    <cfRule type="containsText" dxfId="2" priority="15236" operator="containsText" text="Yes">
      <formula>NOT(ISERROR(SEARCH(("Yes"),(Q820))))</formula>
    </cfRule>
  </conditionalFormatting>
  <conditionalFormatting sqref="Q820:Q832">
    <cfRule type="containsText" dxfId="9" priority="15237" operator="containsText" text="No">
      <formula>NOT(ISERROR(SEARCH(("No"),(Q820))))</formula>
    </cfRule>
  </conditionalFormatting>
  <conditionalFormatting sqref="Q820:Q832">
    <cfRule type="containsText" dxfId="2" priority="15238" operator="containsText" text="Yes">
      <formula>NOT(ISERROR(SEARCH(("Yes"),(Q820))))</formula>
    </cfRule>
  </conditionalFormatting>
  <conditionalFormatting sqref="Q820:Q832">
    <cfRule type="containsText" dxfId="9" priority="15239" operator="containsText" text="No">
      <formula>NOT(ISERROR(SEARCH(("No"),(Q820))))</formula>
    </cfRule>
  </conditionalFormatting>
  <conditionalFormatting sqref="Q820:Q832">
    <cfRule type="containsText" dxfId="2" priority="15240" operator="containsText" text="Yes">
      <formula>NOT(ISERROR(SEARCH(("Yes"),(Q820))))</formula>
    </cfRule>
  </conditionalFormatting>
  <conditionalFormatting sqref="Q820:Q832">
    <cfRule type="containsText" dxfId="2" priority="15241" operator="containsText" text="Yes">
      <formula>NOT(ISERROR(SEARCH(("Yes"),(Q820))))</formula>
    </cfRule>
  </conditionalFormatting>
  <conditionalFormatting sqref="Q820:Q832">
    <cfRule type="containsText" dxfId="9" priority="15242" operator="containsText" text="No">
      <formula>NOT(ISERROR(SEARCH(("No"),(Q820))))</formula>
    </cfRule>
  </conditionalFormatting>
  <conditionalFormatting sqref="Q820:Q832">
    <cfRule type="containsText" dxfId="2" priority="15243" operator="containsText" text="Yes">
      <formula>NOT(ISERROR(SEARCH(("Yes"),(Q820))))</formula>
    </cfRule>
  </conditionalFormatting>
  <conditionalFormatting sqref="Q835:Q844">
    <cfRule type="containsText" dxfId="2" priority="15244" operator="containsText" text="Yes">
      <formula>NOT(ISERROR(SEARCH(("Yes"),(Q835))))</formula>
    </cfRule>
  </conditionalFormatting>
  <conditionalFormatting sqref="Q835:Q844">
    <cfRule type="containsText" dxfId="9" priority="15245" operator="containsText" text="No">
      <formula>NOT(ISERROR(SEARCH(("No"),(Q835))))</formula>
    </cfRule>
  </conditionalFormatting>
  <conditionalFormatting sqref="Q835:Q844">
    <cfRule type="containsText" dxfId="2" priority="15246" operator="containsText" text="Yes">
      <formula>NOT(ISERROR(SEARCH(("Yes"),(Q835))))</formula>
    </cfRule>
  </conditionalFormatting>
  <conditionalFormatting sqref="Q835:Q844">
    <cfRule type="containsText" dxfId="9" priority="15247" operator="containsText" text="No">
      <formula>NOT(ISERROR(SEARCH(("No"),(Q835))))</formula>
    </cfRule>
  </conditionalFormatting>
  <conditionalFormatting sqref="Q835:Q844">
    <cfRule type="containsText" dxfId="2" priority="15248" operator="containsText" text="Yes">
      <formula>NOT(ISERROR(SEARCH(("Yes"),(Q835))))</formula>
    </cfRule>
  </conditionalFormatting>
  <conditionalFormatting sqref="Q835:Q844">
    <cfRule type="containsText" dxfId="9" priority="15249" operator="containsText" text="No">
      <formula>NOT(ISERROR(SEARCH(("No"),(Q835))))</formula>
    </cfRule>
  </conditionalFormatting>
  <conditionalFormatting sqref="Q835:Q844">
    <cfRule type="containsText" dxfId="2" priority="15250" operator="containsText" text="Yes">
      <formula>NOT(ISERROR(SEARCH(("Yes"),(Q835))))</formula>
    </cfRule>
  </conditionalFormatting>
  <conditionalFormatting sqref="Q835:Q844">
    <cfRule type="containsText" dxfId="9" priority="15251" operator="containsText" text="No">
      <formula>NOT(ISERROR(SEARCH(("No"),(Q835))))</formula>
    </cfRule>
  </conditionalFormatting>
  <conditionalFormatting sqref="Q835:Q844">
    <cfRule type="containsText" dxfId="2" priority="15252" operator="containsText" text="Yes">
      <formula>NOT(ISERROR(SEARCH(("Yes"),(Q835))))</formula>
    </cfRule>
  </conditionalFormatting>
  <conditionalFormatting sqref="Q835:Q844">
    <cfRule type="containsText" dxfId="9" priority="15253" operator="containsText" text="No">
      <formula>NOT(ISERROR(SEARCH(("No"),(Q835))))</formula>
    </cfRule>
  </conditionalFormatting>
  <conditionalFormatting sqref="Q835:Q844">
    <cfRule type="containsText" dxfId="2" priority="15254" operator="containsText" text="Yes">
      <formula>NOT(ISERROR(SEARCH(("Yes"),(Q835))))</formula>
    </cfRule>
  </conditionalFormatting>
  <conditionalFormatting sqref="Q835:Q844">
    <cfRule type="containsText" dxfId="9" priority="15255" operator="containsText" text="No">
      <formula>NOT(ISERROR(SEARCH(("No"),(Q835))))</formula>
    </cfRule>
  </conditionalFormatting>
  <conditionalFormatting sqref="Q835:Q844">
    <cfRule type="containsText" dxfId="2" priority="15256" operator="containsText" text="Yes">
      <formula>NOT(ISERROR(SEARCH(("Yes"),(Q835))))</formula>
    </cfRule>
  </conditionalFormatting>
  <conditionalFormatting sqref="Q835:Q844">
    <cfRule type="containsText" dxfId="9" priority="15257" operator="containsText" text="No">
      <formula>NOT(ISERROR(SEARCH(("No"),(Q835))))</formula>
    </cfRule>
  </conditionalFormatting>
  <conditionalFormatting sqref="Q835:Q844">
    <cfRule type="containsText" dxfId="2" priority="15258" operator="containsText" text="Yes">
      <formula>NOT(ISERROR(SEARCH(("Yes"),(Q835))))</formula>
    </cfRule>
  </conditionalFormatting>
  <conditionalFormatting sqref="Q835:Q844">
    <cfRule type="containsText" dxfId="9" priority="15259" operator="containsText" text="No">
      <formula>NOT(ISERROR(SEARCH(("No"),(Q835))))</formula>
    </cfRule>
  </conditionalFormatting>
  <conditionalFormatting sqref="Q835:Q844">
    <cfRule type="containsText" dxfId="2" priority="15260" operator="containsText" text="Yes">
      <formula>NOT(ISERROR(SEARCH(("Yes"),(Q835))))</formula>
    </cfRule>
  </conditionalFormatting>
  <conditionalFormatting sqref="Q835:Q844">
    <cfRule type="containsText" dxfId="9" priority="15261" operator="containsText" text="No">
      <formula>NOT(ISERROR(SEARCH(("No"),(Q835))))</formula>
    </cfRule>
  </conditionalFormatting>
  <conditionalFormatting sqref="Q835:Q844">
    <cfRule type="containsText" dxfId="2" priority="15262" operator="containsText" text="Yes">
      <formula>NOT(ISERROR(SEARCH(("Yes"),(Q835))))</formula>
    </cfRule>
  </conditionalFormatting>
  <conditionalFormatting sqref="Q835:Q844">
    <cfRule type="containsText" dxfId="9" priority="15263" operator="containsText" text="No">
      <formula>NOT(ISERROR(SEARCH(("No"),(Q835))))</formula>
    </cfRule>
  </conditionalFormatting>
  <conditionalFormatting sqref="Q835:Q844">
    <cfRule type="containsText" dxfId="2" priority="15264" operator="containsText" text="Yes">
      <formula>NOT(ISERROR(SEARCH(("Yes"),(Q835))))</formula>
    </cfRule>
  </conditionalFormatting>
  <conditionalFormatting sqref="Q835:Q844">
    <cfRule type="containsText" dxfId="9" priority="15265" operator="containsText" text="No">
      <formula>NOT(ISERROR(SEARCH(("No"),(Q835))))</formula>
    </cfRule>
  </conditionalFormatting>
  <conditionalFormatting sqref="Q835:Q844">
    <cfRule type="containsText" dxfId="2" priority="15266" operator="containsText" text="Yes">
      <formula>NOT(ISERROR(SEARCH(("Yes"),(Q835))))</formula>
    </cfRule>
  </conditionalFormatting>
  <conditionalFormatting sqref="Q835:Q844">
    <cfRule type="containsText" dxfId="9" priority="15267" operator="containsText" text="No">
      <formula>NOT(ISERROR(SEARCH(("No"),(Q835))))</formula>
    </cfRule>
  </conditionalFormatting>
  <conditionalFormatting sqref="Q835:Q844">
    <cfRule type="containsText" dxfId="2" priority="15268" operator="containsText" text="Yes">
      <formula>NOT(ISERROR(SEARCH(("Yes"),(Q835))))</formula>
    </cfRule>
  </conditionalFormatting>
  <conditionalFormatting sqref="Q835:Q844">
    <cfRule type="containsText" dxfId="9" priority="15269" operator="containsText" text="No">
      <formula>NOT(ISERROR(SEARCH(("No"),(Q835))))</formula>
    </cfRule>
  </conditionalFormatting>
  <conditionalFormatting sqref="Q835:Q844">
    <cfRule type="containsText" dxfId="2" priority="15270" operator="containsText" text="Yes">
      <formula>NOT(ISERROR(SEARCH(("Yes"),(Q835))))</formula>
    </cfRule>
  </conditionalFormatting>
  <conditionalFormatting sqref="Q835:Q844">
    <cfRule type="containsText" dxfId="9" priority="15271" operator="containsText" text="No">
      <formula>NOT(ISERROR(SEARCH(("No"),(Q835))))</formula>
    </cfRule>
  </conditionalFormatting>
  <conditionalFormatting sqref="Q835:Q844">
    <cfRule type="containsText" dxfId="2" priority="15272" operator="containsText" text="Yes">
      <formula>NOT(ISERROR(SEARCH(("Yes"),(Q835))))</formula>
    </cfRule>
  </conditionalFormatting>
  <conditionalFormatting sqref="Q835:Q844">
    <cfRule type="containsText" dxfId="9" priority="15273" operator="containsText" text="No">
      <formula>NOT(ISERROR(SEARCH(("No"),(Q835))))</formula>
    </cfRule>
  </conditionalFormatting>
  <conditionalFormatting sqref="Q835:Q844">
    <cfRule type="containsText" dxfId="2" priority="15274" operator="containsText" text="Yes">
      <formula>NOT(ISERROR(SEARCH(("Yes"),(Q835))))</formula>
    </cfRule>
  </conditionalFormatting>
  <conditionalFormatting sqref="Q835:Q844">
    <cfRule type="containsText" dxfId="9" priority="15275" operator="containsText" text="No">
      <formula>NOT(ISERROR(SEARCH(("No"),(Q835))))</formula>
    </cfRule>
  </conditionalFormatting>
  <conditionalFormatting sqref="Q835:Q844">
    <cfRule type="containsText" dxfId="2" priority="15276" operator="containsText" text="Yes">
      <formula>NOT(ISERROR(SEARCH(("Yes"),(Q835))))</formula>
    </cfRule>
  </conditionalFormatting>
  <conditionalFormatting sqref="Q835:Q844">
    <cfRule type="containsText" dxfId="9" priority="15277" operator="containsText" text="No">
      <formula>NOT(ISERROR(SEARCH(("No"),(Q835))))</formula>
    </cfRule>
  </conditionalFormatting>
  <conditionalFormatting sqref="Q835:Q844">
    <cfRule type="containsText" dxfId="2" priority="15278" operator="containsText" text="Yes">
      <formula>NOT(ISERROR(SEARCH(("Yes"),(Q835))))</formula>
    </cfRule>
  </conditionalFormatting>
  <conditionalFormatting sqref="Q835:Q844">
    <cfRule type="containsText" dxfId="9" priority="15279" operator="containsText" text="No">
      <formula>NOT(ISERROR(SEARCH(("No"),(Q835))))</formula>
    </cfRule>
  </conditionalFormatting>
  <conditionalFormatting sqref="Q835:Q844">
    <cfRule type="containsText" dxfId="2" priority="15280" operator="containsText" text="Yes">
      <formula>NOT(ISERROR(SEARCH(("Yes"),(Q835))))</formula>
    </cfRule>
  </conditionalFormatting>
  <conditionalFormatting sqref="Q835:Q844">
    <cfRule type="containsText" dxfId="9" priority="15281" operator="containsText" text="No">
      <formula>NOT(ISERROR(SEARCH(("No"),(Q835))))</formula>
    </cfRule>
  </conditionalFormatting>
  <conditionalFormatting sqref="Q835:Q844">
    <cfRule type="containsText" dxfId="2" priority="15282" operator="containsText" text="Yes">
      <formula>NOT(ISERROR(SEARCH(("Yes"),(Q835))))</formula>
    </cfRule>
  </conditionalFormatting>
  <conditionalFormatting sqref="Q835:Q844">
    <cfRule type="containsText" dxfId="9" priority="15283" operator="containsText" text="No">
      <formula>NOT(ISERROR(SEARCH(("No"),(Q835))))</formula>
    </cfRule>
  </conditionalFormatting>
  <conditionalFormatting sqref="Q835:Q844">
    <cfRule type="containsText" dxfId="2" priority="15284" operator="containsText" text="Yes">
      <formula>NOT(ISERROR(SEARCH(("Yes"),(Q835))))</formula>
    </cfRule>
  </conditionalFormatting>
  <conditionalFormatting sqref="Q835:Q844">
    <cfRule type="containsText" dxfId="9" priority="15285" operator="containsText" text="No">
      <formula>NOT(ISERROR(SEARCH(("No"),(Q835))))</formula>
    </cfRule>
  </conditionalFormatting>
  <conditionalFormatting sqref="Q835:Q844">
    <cfRule type="containsText" dxfId="2" priority="15286" operator="containsText" text="Yes">
      <formula>NOT(ISERROR(SEARCH(("Yes"),(Q835))))</formula>
    </cfRule>
  </conditionalFormatting>
  <conditionalFormatting sqref="Q835:Q844">
    <cfRule type="containsText" dxfId="9" priority="15287" operator="containsText" text="No">
      <formula>NOT(ISERROR(SEARCH(("No"),(Q835))))</formula>
    </cfRule>
  </conditionalFormatting>
  <conditionalFormatting sqref="Q835:Q844">
    <cfRule type="containsText" dxfId="2" priority="15288" operator="containsText" text="Yes">
      <formula>NOT(ISERROR(SEARCH(("Yes"),(Q835))))</formula>
    </cfRule>
  </conditionalFormatting>
  <conditionalFormatting sqref="Q835:Q844">
    <cfRule type="containsText" dxfId="9" priority="15289" operator="containsText" text="No">
      <formula>NOT(ISERROR(SEARCH(("No"),(Q835))))</formula>
    </cfRule>
  </conditionalFormatting>
  <conditionalFormatting sqref="Q835:Q844">
    <cfRule type="containsText" dxfId="2" priority="15290" operator="containsText" text="Yes">
      <formula>NOT(ISERROR(SEARCH(("Yes"),(Q835))))</formula>
    </cfRule>
  </conditionalFormatting>
  <conditionalFormatting sqref="Q835:Q844">
    <cfRule type="containsText" dxfId="9" priority="15291" operator="containsText" text="No">
      <formula>NOT(ISERROR(SEARCH(("No"),(Q835))))</formula>
    </cfRule>
  </conditionalFormatting>
  <conditionalFormatting sqref="Q835:Q844">
    <cfRule type="containsText" dxfId="2" priority="15292" operator="containsText" text="Yes">
      <formula>NOT(ISERROR(SEARCH(("Yes"),(Q835))))</formula>
    </cfRule>
  </conditionalFormatting>
  <conditionalFormatting sqref="Q835:Q844">
    <cfRule type="containsText" dxfId="9" priority="15293" operator="containsText" text="No">
      <formula>NOT(ISERROR(SEARCH(("No"),(Q835))))</formula>
    </cfRule>
  </conditionalFormatting>
  <conditionalFormatting sqref="Q835:Q844">
    <cfRule type="containsText" dxfId="2" priority="15294" operator="containsText" text="Yes">
      <formula>NOT(ISERROR(SEARCH(("Yes"),(Q835))))</formula>
    </cfRule>
  </conditionalFormatting>
  <conditionalFormatting sqref="Q835:Q844">
    <cfRule type="containsText" dxfId="9" priority="15295" operator="containsText" text="No">
      <formula>NOT(ISERROR(SEARCH(("No"),(Q835))))</formula>
    </cfRule>
  </conditionalFormatting>
  <conditionalFormatting sqref="Q835:Q844">
    <cfRule type="containsText" dxfId="2" priority="15296" operator="containsText" text="Yes">
      <formula>NOT(ISERROR(SEARCH(("Yes"),(Q835))))</formula>
    </cfRule>
  </conditionalFormatting>
  <conditionalFormatting sqref="Q835:Q844">
    <cfRule type="containsText" dxfId="9" priority="15297" operator="containsText" text="No">
      <formula>NOT(ISERROR(SEARCH(("No"),(Q835))))</formula>
    </cfRule>
  </conditionalFormatting>
  <conditionalFormatting sqref="Q835:Q844">
    <cfRule type="containsText" dxfId="2" priority="15298" operator="containsText" text="Yes">
      <formula>NOT(ISERROR(SEARCH(("Yes"),(Q835))))</formula>
    </cfRule>
  </conditionalFormatting>
  <conditionalFormatting sqref="Q835:Q844">
    <cfRule type="containsText" dxfId="9" priority="15299" operator="containsText" text="No">
      <formula>NOT(ISERROR(SEARCH(("No"),(Q835))))</formula>
    </cfRule>
  </conditionalFormatting>
  <conditionalFormatting sqref="Q835:Q844">
    <cfRule type="containsText" dxfId="2" priority="15300" operator="containsText" text="Yes">
      <formula>NOT(ISERROR(SEARCH(("Yes"),(Q835))))</formula>
    </cfRule>
  </conditionalFormatting>
  <conditionalFormatting sqref="Q835:Q844">
    <cfRule type="containsText" dxfId="9" priority="15301" operator="containsText" text="No">
      <formula>NOT(ISERROR(SEARCH(("No"),(Q835))))</formula>
    </cfRule>
  </conditionalFormatting>
  <conditionalFormatting sqref="Q835:Q844">
    <cfRule type="containsText" dxfId="2" priority="15302" operator="containsText" text="Yes">
      <formula>NOT(ISERROR(SEARCH(("Yes"),(Q835))))</formula>
    </cfRule>
  </conditionalFormatting>
  <conditionalFormatting sqref="Q835:Q844">
    <cfRule type="containsText" dxfId="9" priority="15303" operator="containsText" text="No">
      <formula>NOT(ISERROR(SEARCH(("No"),(Q835))))</formula>
    </cfRule>
  </conditionalFormatting>
  <conditionalFormatting sqref="Q835:Q844">
    <cfRule type="containsText" dxfId="2" priority="15304" operator="containsText" text="Yes">
      <formula>NOT(ISERROR(SEARCH(("Yes"),(Q835))))</formula>
    </cfRule>
  </conditionalFormatting>
  <conditionalFormatting sqref="Q835:Q844">
    <cfRule type="containsText" dxfId="9" priority="15305" operator="containsText" text="No">
      <formula>NOT(ISERROR(SEARCH(("No"),(Q835))))</formula>
    </cfRule>
  </conditionalFormatting>
  <conditionalFormatting sqref="Q835:Q844">
    <cfRule type="containsText" dxfId="2" priority="15306" operator="containsText" text="Yes">
      <formula>NOT(ISERROR(SEARCH(("Yes"),(Q835))))</formula>
    </cfRule>
  </conditionalFormatting>
  <conditionalFormatting sqref="Q835:Q844">
    <cfRule type="containsText" dxfId="9" priority="15307" operator="containsText" text="No">
      <formula>NOT(ISERROR(SEARCH(("No"),(Q835))))</formula>
    </cfRule>
  </conditionalFormatting>
  <conditionalFormatting sqref="Q835:Q844">
    <cfRule type="containsText" dxfId="2" priority="15308" operator="containsText" text="Yes">
      <formula>NOT(ISERROR(SEARCH(("Yes"),(Q835))))</formula>
    </cfRule>
  </conditionalFormatting>
  <conditionalFormatting sqref="Q835:Q844">
    <cfRule type="containsText" dxfId="9" priority="15309" operator="containsText" text="No">
      <formula>NOT(ISERROR(SEARCH(("No"),(Q835))))</formula>
    </cfRule>
  </conditionalFormatting>
  <conditionalFormatting sqref="Q835:Q844">
    <cfRule type="containsText" dxfId="2" priority="15310" operator="containsText" text="Yes">
      <formula>NOT(ISERROR(SEARCH(("Yes"),(Q835))))</formula>
    </cfRule>
  </conditionalFormatting>
  <conditionalFormatting sqref="Q835:Q844">
    <cfRule type="containsText" dxfId="9" priority="15311" operator="containsText" text="No">
      <formula>NOT(ISERROR(SEARCH(("No"),(Q835))))</formula>
    </cfRule>
  </conditionalFormatting>
  <conditionalFormatting sqref="Q835:Q844">
    <cfRule type="containsText" dxfId="2" priority="15312" operator="containsText" text="Yes">
      <formula>NOT(ISERROR(SEARCH(("Yes"),(Q835))))</formula>
    </cfRule>
  </conditionalFormatting>
  <conditionalFormatting sqref="Q835:Q844">
    <cfRule type="containsText" dxfId="9" priority="15313" operator="containsText" text="No">
      <formula>NOT(ISERROR(SEARCH(("No"),(Q835))))</formula>
    </cfRule>
  </conditionalFormatting>
  <conditionalFormatting sqref="Q835:Q844">
    <cfRule type="containsText" dxfId="2" priority="15314" operator="containsText" text="Yes">
      <formula>NOT(ISERROR(SEARCH(("Yes"),(Q835))))</formula>
    </cfRule>
  </conditionalFormatting>
  <conditionalFormatting sqref="Q835:Q844">
    <cfRule type="containsText" dxfId="9" priority="15315" operator="containsText" text="No">
      <formula>NOT(ISERROR(SEARCH(("No"),(Q835))))</formula>
    </cfRule>
  </conditionalFormatting>
  <conditionalFormatting sqref="Q835:Q844">
    <cfRule type="containsText" dxfId="2" priority="15316" operator="containsText" text="Yes">
      <formula>NOT(ISERROR(SEARCH(("Yes"),(Q835))))</formula>
    </cfRule>
  </conditionalFormatting>
  <conditionalFormatting sqref="Q835:Q844">
    <cfRule type="containsText" dxfId="9" priority="15317" operator="containsText" text="No">
      <formula>NOT(ISERROR(SEARCH(("No"),(Q835))))</formula>
    </cfRule>
  </conditionalFormatting>
  <conditionalFormatting sqref="Q835:Q844">
    <cfRule type="containsText" dxfId="2" priority="15318" operator="containsText" text="Yes">
      <formula>NOT(ISERROR(SEARCH(("Yes"),(Q835))))</formula>
    </cfRule>
  </conditionalFormatting>
  <conditionalFormatting sqref="Q835:Q844">
    <cfRule type="containsText" dxfId="9" priority="15319" operator="containsText" text="No">
      <formula>NOT(ISERROR(SEARCH(("No"),(Q835))))</formula>
    </cfRule>
  </conditionalFormatting>
  <conditionalFormatting sqref="Q835:Q844">
    <cfRule type="containsText" dxfId="2" priority="15320" operator="containsText" text="Yes">
      <formula>NOT(ISERROR(SEARCH(("Yes"),(Q835))))</formula>
    </cfRule>
  </conditionalFormatting>
  <conditionalFormatting sqref="Q835:Q844">
    <cfRule type="containsText" dxfId="9" priority="15321" operator="containsText" text="No">
      <formula>NOT(ISERROR(SEARCH(("No"),(Q835))))</formula>
    </cfRule>
  </conditionalFormatting>
  <conditionalFormatting sqref="Q835:Q844">
    <cfRule type="containsText" dxfId="2" priority="15322" operator="containsText" text="Yes">
      <formula>NOT(ISERROR(SEARCH(("Yes"),(Q835))))</formula>
    </cfRule>
  </conditionalFormatting>
  <conditionalFormatting sqref="Q835:Q844">
    <cfRule type="containsText" dxfId="9" priority="15323" operator="containsText" text="No">
      <formula>NOT(ISERROR(SEARCH(("No"),(Q835))))</formula>
    </cfRule>
  </conditionalFormatting>
  <conditionalFormatting sqref="Q835:Q844">
    <cfRule type="containsText" dxfId="2" priority="15324" operator="containsText" text="Yes">
      <formula>NOT(ISERROR(SEARCH(("Yes"),(Q835))))</formula>
    </cfRule>
  </conditionalFormatting>
  <conditionalFormatting sqref="Q835:Q844">
    <cfRule type="containsText" dxfId="9" priority="15325" operator="containsText" text="No">
      <formula>NOT(ISERROR(SEARCH(("No"),(Q835))))</formula>
    </cfRule>
  </conditionalFormatting>
  <conditionalFormatting sqref="Q835:Q844">
    <cfRule type="containsText" dxfId="2" priority="15326" operator="containsText" text="Yes">
      <formula>NOT(ISERROR(SEARCH(("Yes"),(Q835))))</formula>
    </cfRule>
  </conditionalFormatting>
  <conditionalFormatting sqref="Q835:Q844">
    <cfRule type="containsText" dxfId="9" priority="15327" operator="containsText" text="No">
      <formula>NOT(ISERROR(SEARCH(("No"),(Q835))))</formula>
    </cfRule>
  </conditionalFormatting>
  <conditionalFormatting sqref="Q835:Q844">
    <cfRule type="containsText" dxfId="2" priority="15328" operator="containsText" text="Yes">
      <formula>NOT(ISERROR(SEARCH(("Yes"),(Q835))))</formula>
    </cfRule>
  </conditionalFormatting>
  <conditionalFormatting sqref="Q835:Q844">
    <cfRule type="containsText" dxfId="9" priority="15329" operator="containsText" text="No">
      <formula>NOT(ISERROR(SEARCH(("No"),(Q835))))</formula>
    </cfRule>
  </conditionalFormatting>
  <conditionalFormatting sqref="Q835:Q844">
    <cfRule type="containsText" dxfId="2" priority="15330" operator="containsText" text="Yes">
      <formula>NOT(ISERROR(SEARCH(("Yes"),(Q835))))</formula>
    </cfRule>
  </conditionalFormatting>
  <conditionalFormatting sqref="Q835:Q844">
    <cfRule type="containsText" dxfId="9" priority="15331" operator="containsText" text="No">
      <formula>NOT(ISERROR(SEARCH(("No"),(Q835))))</formula>
    </cfRule>
  </conditionalFormatting>
  <conditionalFormatting sqref="Q835:Q844">
    <cfRule type="containsText" dxfId="2" priority="15332" operator="containsText" text="Yes">
      <formula>NOT(ISERROR(SEARCH(("Yes"),(Q835))))</formula>
    </cfRule>
  </conditionalFormatting>
  <conditionalFormatting sqref="Q835:Q844">
    <cfRule type="containsText" dxfId="2" priority="15333" operator="containsText" text="Yes">
      <formula>NOT(ISERROR(SEARCH(("Yes"),(Q835))))</formula>
    </cfRule>
  </conditionalFormatting>
  <conditionalFormatting sqref="Q835:Q844">
    <cfRule type="containsText" dxfId="9" priority="15334" operator="containsText" text="No">
      <formula>NOT(ISERROR(SEARCH(("No"),(Q835))))</formula>
    </cfRule>
  </conditionalFormatting>
  <conditionalFormatting sqref="Q835:Q844">
    <cfRule type="containsText" dxfId="2" priority="15335" operator="containsText" text="Yes">
      <formula>NOT(ISERROR(SEARCH(("Yes"),(Q835))))</formula>
    </cfRule>
  </conditionalFormatting>
  <conditionalFormatting sqref="Q845:Q846">
    <cfRule type="containsText" dxfId="2" priority="15336" operator="containsText" text="Yes">
      <formula>NOT(ISERROR(SEARCH(("Yes"),(Q845))))</formula>
    </cfRule>
  </conditionalFormatting>
  <conditionalFormatting sqref="Q845:Q846">
    <cfRule type="containsText" dxfId="9" priority="15337" operator="containsText" text="No">
      <formula>NOT(ISERROR(SEARCH(("No"),(Q845))))</formula>
    </cfRule>
  </conditionalFormatting>
  <conditionalFormatting sqref="Q845:Q846">
    <cfRule type="containsText" dxfId="2" priority="15338" operator="containsText" text="Yes">
      <formula>NOT(ISERROR(SEARCH(("Yes"),(Q845))))</formula>
    </cfRule>
  </conditionalFormatting>
  <conditionalFormatting sqref="Q845:Q846">
    <cfRule type="containsText" dxfId="9" priority="15339" operator="containsText" text="No">
      <formula>NOT(ISERROR(SEARCH(("No"),(Q845))))</formula>
    </cfRule>
  </conditionalFormatting>
  <conditionalFormatting sqref="Q845:Q846">
    <cfRule type="containsText" dxfId="2" priority="15340" operator="containsText" text="Yes">
      <formula>NOT(ISERROR(SEARCH(("Yes"),(Q845))))</formula>
    </cfRule>
  </conditionalFormatting>
  <conditionalFormatting sqref="Q845:Q846">
    <cfRule type="containsText" dxfId="9" priority="15341" operator="containsText" text="No">
      <formula>NOT(ISERROR(SEARCH(("No"),(Q845))))</formula>
    </cfRule>
  </conditionalFormatting>
  <conditionalFormatting sqref="Q845:Q846">
    <cfRule type="containsText" dxfId="2" priority="15342" operator="containsText" text="Yes">
      <formula>NOT(ISERROR(SEARCH(("Yes"),(Q845))))</formula>
    </cfRule>
  </conditionalFormatting>
  <conditionalFormatting sqref="Q845:Q846">
    <cfRule type="containsText" dxfId="9" priority="15343" operator="containsText" text="No">
      <formula>NOT(ISERROR(SEARCH(("No"),(Q845))))</formula>
    </cfRule>
  </conditionalFormatting>
  <conditionalFormatting sqref="Q845:Q846">
    <cfRule type="containsText" dxfId="2" priority="15344" operator="containsText" text="Yes">
      <formula>NOT(ISERROR(SEARCH(("Yes"),(Q845))))</formula>
    </cfRule>
  </conditionalFormatting>
  <conditionalFormatting sqref="Q845:Q846">
    <cfRule type="containsText" dxfId="9" priority="15345" operator="containsText" text="No">
      <formula>NOT(ISERROR(SEARCH(("No"),(Q845))))</formula>
    </cfRule>
  </conditionalFormatting>
  <conditionalFormatting sqref="Q845:Q846">
    <cfRule type="containsText" dxfId="2" priority="15346" operator="containsText" text="Yes">
      <formula>NOT(ISERROR(SEARCH(("Yes"),(Q845))))</formula>
    </cfRule>
  </conditionalFormatting>
  <conditionalFormatting sqref="Q845:Q846">
    <cfRule type="containsText" dxfId="9" priority="15347" operator="containsText" text="No">
      <formula>NOT(ISERROR(SEARCH(("No"),(Q845))))</formula>
    </cfRule>
  </conditionalFormatting>
  <conditionalFormatting sqref="Q845:Q846">
    <cfRule type="containsText" dxfId="2" priority="15348" operator="containsText" text="Yes">
      <formula>NOT(ISERROR(SEARCH(("Yes"),(Q845))))</formula>
    </cfRule>
  </conditionalFormatting>
  <conditionalFormatting sqref="Q845:Q846">
    <cfRule type="containsText" dxfId="9" priority="15349" operator="containsText" text="No">
      <formula>NOT(ISERROR(SEARCH(("No"),(Q845))))</formula>
    </cfRule>
  </conditionalFormatting>
  <conditionalFormatting sqref="Q845:Q846">
    <cfRule type="containsText" dxfId="2" priority="15350" operator="containsText" text="Yes">
      <formula>NOT(ISERROR(SEARCH(("Yes"),(Q845))))</formula>
    </cfRule>
  </conditionalFormatting>
  <conditionalFormatting sqref="Q845:Q846">
    <cfRule type="containsText" dxfId="9" priority="15351" operator="containsText" text="No">
      <formula>NOT(ISERROR(SEARCH(("No"),(Q845))))</formula>
    </cfRule>
  </conditionalFormatting>
  <conditionalFormatting sqref="Q845:Q846">
    <cfRule type="containsText" dxfId="2" priority="15352" operator="containsText" text="Yes">
      <formula>NOT(ISERROR(SEARCH(("Yes"),(Q845))))</formula>
    </cfRule>
  </conditionalFormatting>
  <conditionalFormatting sqref="Q845:Q846">
    <cfRule type="containsText" dxfId="9" priority="15353" operator="containsText" text="No">
      <formula>NOT(ISERROR(SEARCH(("No"),(Q845))))</formula>
    </cfRule>
  </conditionalFormatting>
  <conditionalFormatting sqref="Q845:Q846">
    <cfRule type="containsText" dxfId="2" priority="15354" operator="containsText" text="Yes">
      <formula>NOT(ISERROR(SEARCH(("Yes"),(Q845))))</formula>
    </cfRule>
  </conditionalFormatting>
  <conditionalFormatting sqref="Q845:Q846">
    <cfRule type="containsText" dxfId="9" priority="15355" operator="containsText" text="No">
      <formula>NOT(ISERROR(SEARCH(("No"),(Q845))))</formula>
    </cfRule>
  </conditionalFormatting>
  <conditionalFormatting sqref="Q845:Q846">
    <cfRule type="containsText" dxfId="2" priority="15356" operator="containsText" text="Yes">
      <formula>NOT(ISERROR(SEARCH(("Yes"),(Q845))))</formula>
    </cfRule>
  </conditionalFormatting>
  <conditionalFormatting sqref="Q845:Q846">
    <cfRule type="containsText" dxfId="9" priority="15357" operator="containsText" text="No">
      <formula>NOT(ISERROR(SEARCH(("No"),(Q845))))</formula>
    </cfRule>
  </conditionalFormatting>
  <conditionalFormatting sqref="Q845:Q846">
    <cfRule type="containsText" dxfId="2" priority="15358" operator="containsText" text="Yes">
      <formula>NOT(ISERROR(SEARCH(("Yes"),(Q845))))</formula>
    </cfRule>
  </conditionalFormatting>
  <conditionalFormatting sqref="Q845:Q846">
    <cfRule type="containsText" dxfId="9" priority="15359" operator="containsText" text="No">
      <formula>NOT(ISERROR(SEARCH(("No"),(Q845))))</formula>
    </cfRule>
  </conditionalFormatting>
  <conditionalFormatting sqref="Q845:Q846">
    <cfRule type="containsText" dxfId="2" priority="15360" operator="containsText" text="Yes">
      <formula>NOT(ISERROR(SEARCH(("Yes"),(Q845))))</formula>
    </cfRule>
  </conditionalFormatting>
  <conditionalFormatting sqref="Q845:Q846">
    <cfRule type="containsText" dxfId="9" priority="15361" operator="containsText" text="No">
      <formula>NOT(ISERROR(SEARCH(("No"),(Q845))))</formula>
    </cfRule>
  </conditionalFormatting>
  <conditionalFormatting sqref="Q845:Q846">
    <cfRule type="containsText" dxfId="2" priority="15362" operator="containsText" text="Yes">
      <formula>NOT(ISERROR(SEARCH(("Yes"),(Q845))))</formula>
    </cfRule>
  </conditionalFormatting>
  <conditionalFormatting sqref="Q845:Q846">
    <cfRule type="containsText" dxfId="9" priority="15363" operator="containsText" text="No">
      <formula>NOT(ISERROR(SEARCH(("No"),(Q845))))</formula>
    </cfRule>
  </conditionalFormatting>
  <conditionalFormatting sqref="Q845:Q846">
    <cfRule type="containsText" dxfId="2" priority="15364" operator="containsText" text="Yes">
      <formula>NOT(ISERROR(SEARCH(("Yes"),(Q845))))</formula>
    </cfRule>
  </conditionalFormatting>
  <conditionalFormatting sqref="Q845:Q846">
    <cfRule type="containsText" dxfId="9" priority="15365" operator="containsText" text="No">
      <formula>NOT(ISERROR(SEARCH(("No"),(Q845))))</formula>
    </cfRule>
  </conditionalFormatting>
  <conditionalFormatting sqref="Q845:Q846">
    <cfRule type="containsText" dxfId="2" priority="15366" operator="containsText" text="Yes">
      <formula>NOT(ISERROR(SEARCH(("Yes"),(Q845))))</formula>
    </cfRule>
  </conditionalFormatting>
  <conditionalFormatting sqref="Q845:Q846">
    <cfRule type="containsText" dxfId="9" priority="15367" operator="containsText" text="No">
      <formula>NOT(ISERROR(SEARCH(("No"),(Q845))))</formula>
    </cfRule>
  </conditionalFormatting>
  <conditionalFormatting sqref="Q845:Q846">
    <cfRule type="containsText" dxfId="2" priority="15368" operator="containsText" text="Yes">
      <formula>NOT(ISERROR(SEARCH(("Yes"),(Q845))))</formula>
    </cfRule>
  </conditionalFormatting>
  <conditionalFormatting sqref="Q845:Q846">
    <cfRule type="containsText" dxfId="9" priority="15369" operator="containsText" text="No">
      <formula>NOT(ISERROR(SEARCH(("No"),(Q845))))</formula>
    </cfRule>
  </conditionalFormatting>
  <conditionalFormatting sqref="Q845:Q846">
    <cfRule type="containsText" dxfId="2" priority="15370" operator="containsText" text="Yes">
      <formula>NOT(ISERROR(SEARCH(("Yes"),(Q845))))</formula>
    </cfRule>
  </conditionalFormatting>
  <conditionalFormatting sqref="Q845:Q846">
    <cfRule type="containsText" dxfId="9" priority="15371" operator="containsText" text="No">
      <formula>NOT(ISERROR(SEARCH(("No"),(Q845))))</formula>
    </cfRule>
  </conditionalFormatting>
  <conditionalFormatting sqref="Q845:Q846">
    <cfRule type="containsText" dxfId="2" priority="15372" operator="containsText" text="Yes">
      <formula>NOT(ISERROR(SEARCH(("Yes"),(Q845))))</formula>
    </cfRule>
  </conditionalFormatting>
  <conditionalFormatting sqref="Q845:Q846">
    <cfRule type="containsText" dxfId="9" priority="15373" operator="containsText" text="No">
      <formula>NOT(ISERROR(SEARCH(("No"),(Q845))))</formula>
    </cfRule>
  </conditionalFormatting>
  <conditionalFormatting sqref="Q845:Q846">
    <cfRule type="containsText" dxfId="2" priority="15374" operator="containsText" text="Yes">
      <formula>NOT(ISERROR(SEARCH(("Yes"),(Q845))))</formula>
    </cfRule>
  </conditionalFormatting>
  <conditionalFormatting sqref="Q845:Q846">
    <cfRule type="containsText" dxfId="9" priority="15375" operator="containsText" text="No">
      <formula>NOT(ISERROR(SEARCH(("No"),(Q845))))</formula>
    </cfRule>
  </conditionalFormatting>
  <conditionalFormatting sqref="Q845:Q846">
    <cfRule type="containsText" dxfId="2" priority="15376" operator="containsText" text="Yes">
      <formula>NOT(ISERROR(SEARCH(("Yes"),(Q845))))</formula>
    </cfRule>
  </conditionalFormatting>
  <conditionalFormatting sqref="Q845:Q846">
    <cfRule type="containsText" dxfId="9" priority="15377" operator="containsText" text="No">
      <formula>NOT(ISERROR(SEARCH(("No"),(Q845))))</formula>
    </cfRule>
  </conditionalFormatting>
  <conditionalFormatting sqref="Q845:Q846">
    <cfRule type="containsText" dxfId="2" priority="15378" operator="containsText" text="Yes">
      <formula>NOT(ISERROR(SEARCH(("Yes"),(Q845))))</formula>
    </cfRule>
  </conditionalFormatting>
  <conditionalFormatting sqref="Q845:Q846">
    <cfRule type="containsText" dxfId="9" priority="15379" operator="containsText" text="No">
      <formula>NOT(ISERROR(SEARCH(("No"),(Q845))))</formula>
    </cfRule>
  </conditionalFormatting>
  <conditionalFormatting sqref="Q845:Q846">
    <cfRule type="containsText" dxfId="2" priority="15380" operator="containsText" text="Yes">
      <formula>NOT(ISERROR(SEARCH(("Yes"),(Q845))))</formula>
    </cfRule>
  </conditionalFormatting>
  <conditionalFormatting sqref="Q845:Q846">
    <cfRule type="containsText" dxfId="9" priority="15381" operator="containsText" text="No">
      <formula>NOT(ISERROR(SEARCH(("No"),(Q845))))</formula>
    </cfRule>
  </conditionalFormatting>
  <conditionalFormatting sqref="Q845:Q846">
    <cfRule type="containsText" dxfId="2" priority="15382" operator="containsText" text="Yes">
      <formula>NOT(ISERROR(SEARCH(("Yes"),(Q845))))</formula>
    </cfRule>
  </conditionalFormatting>
  <conditionalFormatting sqref="Q845:Q846">
    <cfRule type="containsText" dxfId="9" priority="15383" operator="containsText" text="No">
      <formula>NOT(ISERROR(SEARCH(("No"),(Q845))))</formula>
    </cfRule>
  </conditionalFormatting>
  <conditionalFormatting sqref="Q845:Q846">
    <cfRule type="containsText" dxfId="2" priority="15384" operator="containsText" text="Yes">
      <formula>NOT(ISERROR(SEARCH(("Yes"),(Q845))))</formula>
    </cfRule>
  </conditionalFormatting>
  <conditionalFormatting sqref="Q845:Q846">
    <cfRule type="containsText" dxfId="9" priority="15385" operator="containsText" text="No">
      <formula>NOT(ISERROR(SEARCH(("No"),(Q845))))</formula>
    </cfRule>
  </conditionalFormatting>
  <conditionalFormatting sqref="Q845:Q846">
    <cfRule type="containsText" dxfId="2" priority="15386" operator="containsText" text="Yes">
      <formula>NOT(ISERROR(SEARCH(("Yes"),(Q845))))</formula>
    </cfRule>
  </conditionalFormatting>
  <conditionalFormatting sqref="Q845:Q846">
    <cfRule type="containsText" dxfId="9" priority="15387" operator="containsText" text="No">
      <formula>NOT(ISERROR(SEARCH(("No"),(Q845))))</formula>
    </cfRule>
  </conditionalFormatting>
  <conditionalFormatting sqref="Q845:Q846">
    <cfRule type="containsText" dxfId="2" priority="15388" operator="containsText" text="Yes">
      <formula>NOT(ISERROR(SEARCH(("Yes"),(Q845))))</formula>
    </cfRule>
  </conditionalFormatting>
  <conditionalFormatting sqref="Q845:Q846">
    <cfRule type="containsText" dxfId="9" priority="15389" operator="containsText" text="No">
      <formula>NOT(ISERROR(SEARCH(("No"),(Q845))))</formula>
    </cfRule>
  </conditionalFormatting>
  <conditionalFormatting sqref="Q845:Q846">
    <cfRule type="containsText" dxfId="2" priority="15390" operator="containsText" text="Yes">
      <formula>NOT(ISERROR(SEARCH(("Yes"),(Q845))))</formula>
    </cfRule>
  </conditionalFormatting>
  <conditionalFormatting sqref="Q845:Q846">
    <cfRule type="containsText" dxfId="9" priority="15391" operator="containsText" text="No">
      <formula>NOT(ISERROR(SEARCH(("No"),(Q845))))</formula>
    </cfRule>
  </conditionalFormatting>
  <conditionalFormatting sqref="Q845:Q846">
    <cfRule type="containsText" dxfId="2" priority="15392" operator="containsText" text="Yes">
      <formula>NOT(ISERROR(SEARCH(("Yes"),(Q845))))</formula>
    </cfRule>
  </conditionalFormatting>
  <conditionalFormatting sqref="Q845:Q846">
    <cfRule type="containsText" dxfId="9" priority="15393" operator="containsText" text="No">
      <formula>NOT(ISERROR(SEARCH(("No"),(Q845))))</formula>
    </cfRule>
  </conditionalFormatting>
  <conditionalFormatting sqref="Q845:Q846">
    <cfRule type="containsText" dxfId="2" priority="15394" operator="containsText" text="Yes">
      <formula>NOT(ISERROR(SEARCH(("Yes"),(Q845))))</formula>
    </cfRule>
  </conditionalFormatting>
  <conditionalFormatting sqref="Q845:Q846">
    <cfRule type="containsText" dxfId="9" priority="15395" operator="containsText" text="No">
      <formula>NOT(ISERROR(SEARCH(("No"),(Q845))))</formula>
    </cfRule>
  </conditionalFormatting>
  <conditionalFormatting sqref="Q845:Q846">
    <cfRule type="containsText" dxfId="2" priority="15396" operator="containsText" text="Yes">
      <formula>NOT(ISERROR(SEARCH(("Yes"),(Q845))))</formula>
    </cfRule>
  </conditionalFormatting>
  <conditionalFormatting sqref="Q845:Q846">
    <cfRule type="containsText" dxfId="9" priority="15397" operator="containsText" text="No">
      <formula>NOT(ISERROR(SEARCH(("No"),(Q845))))</formula>
    </cfRule>
  </conditionalFormatting>
  <conditionalFormatting sqref="Q845:Q846">
    <cfRule type="containsText" dxfId="2" priority="15398" operator="containsText" text="Yes">
      <formula>NOT(ISERROR(SEARCH(("Yes"),(Q845))))</formula>
    </cfRule>
  </conditionalFormatting>
  <conditionalFormatting sqref="Q845:Q846">
    <cfRule type="containsText" dxfId="9" priority="15399" operator="containsText" text="No">
      <formula>NOT(ISERROR(SEARCH(("No"),(Q845))))</formula>
    </cfRule>
  </conditionalFormatting>
  <conditionalFormatting sqref="Q845:Q846">
    <cfRule type="containsText" dxfId="2" priority="15400" operator="containsText" text="Yes">
      <formula>NOT(ISERROR(SEARCH(("Yes"),(Q845))))</formula>
    </cfRule>
  </conditionalFormatting>
  <conditionalFormatting sqref="Q845:Q846">
    <cfRule type="containsText" dxfId="9" priority="15401" operator="containsText" text="No">
      <formula>NOT(ISERROR(SEARCH(("No"),(Q845))))</formula>
    </cfRule>
  </conditionalFormatting>
  <conditionalFormatting sqref="Q845:Q846">
    <cfRule type="containsText" dxfId="2" priority="15402" operator="containsText" text="Yes">
      <formula>NOT(ISERROR(SEARCH(("Yes"),(Q845))))</formula>
    </cfRule>
  </conditionalFormatting>
  <conditionalFormatting sqref="Q845:Q846">
    <cfRule type="containsText" dxfId="9" priority="15403" operator="containsText" text="No">
      <formula>NOT(ISERROR(SEARCH(("No"),(Q845))))</formula>
    </cfRule>
  </conditionalFormatting>
  <conditionalFormatting sqref="Q845:Q846">
    <cfRule type="containsText" dxfId="2" priority="15404" operator="containsText" text="Yes">
      <formula>NOT(ISERROR(SEARCH(("Yes"),(Q845))))</formula>
    </cfRule>
  </conditionalFormatting>
  <conditionalFormatting sqref="Q845:Q846">
    <cfRule type="containsText" dxfId="9" priority="15405" operator="containsText" text="No">
      <formula>NOT(ISERROR(SEARCH(("No"),(Q845))))</formula>
    </cfRule>
  </conditionalFormatting>
  <conditionalFormatting sqref="Q845:Q846">
    <cfRule type="containsText" dxfId="2" priority="15406" operator="containsText" text="Yes">
      <formula>NOT(ISERROR(SEARCH(("Yes"),(Q845))))</formula>
    </cfRule>
  </conditionalFormatting>
  <conditionalFormatting sqref="Q845:Q846">
    <cfRule type="containsText" dxfId="9" priority="15407" operator="containsText" text="No">
      <formula>NOT(ISERROR(SEARCH(("No"),(Q845))))</formula>
    </cfRule>
  </conditionalFormatting>
  <conditionalFormatting sqref="Q845:Q846">
    <cfRule type="containsText" dxfId="2" priority="15408" operator="containsText" text="Yes">
      <formula>NOT(ISERROR(SEARCH(("Yes"),(Q845))))</formula>
    </cfRule>
  </conditionalFormatting>
  <conditionalFormatting sqref="Q845:Q846">
    <cfRule type="containsText" dxfId="9" priority="15409" operator="containsText" text="No">
      <formula>NOT(ISERROR(SEARCH(("No"),(Q845))))</formula>
    </cfRule>
  </conditionalFormatting>
  <conditionalFormatting sqref="Q845:Q846">
    <cfRule type="containsText" dxfId="2" priority="15410" operator="containsText" text="Yes">
      <formula>NOT(ISERROR(SEARCH(("Yes"),(Q845))))</formula>
    </cfRule>
  </conditionalFormatting>
  <conditionalFormatting sqref="Q845:Q846">
    <cfRule type="containsText" dxfId="9" priority="15411" operator="containsText" text="No">
      <formula>NOT(ISERROR(SEARCH(("No"),(Q845))))</formula>
    </cfRule>
  </conditionalFormatting>
  <conditionalFormatting sqref="Q845:Q846">
    <cfRule type="containsText" dxfId="2" priority="15412" operator="containsText" text="Yes">
      <formula>NOT(ISERROR(SEARCH(("Yes"),(Q845))))</formula>
    </cfRule>
  </conditionalFormatting>
  <conditionalFormatting sqref="Q845:Q846">
    <cfRule type="containsText" dxfId="9" priority="15413" operator="containsText" text="No">
      <formula>NOT(ISERROR(SEARCH(("No"),(Q845))))</formula>
    </cfRule>
  </conditionalFormatting>
  <conditionalFormatting sqref="Q845:Q846">
    <cfRule type="containsText" dxfId="2" priority="15414" operator="containsText" text="Yes">
      <formula>NOT(ISERROR(SEARCH(("Yes"),(Q845))))</formula>
    </cfRule>
  </conditionalFormatting>
  <conditionalFormatting sqref="Q845:Q846">
    <cfRule type="containsText" dxfId="9" priority="15415" operator="containsText" text="No">
      <formula>NOT(ISERROR(SEARCH(("No"),(Q845))))</formula>
    </cfRule>
  </conditionalFormatting>
  <conditionalFormatting sqref="Q845:Q846">
    <cfRule type="containsText" dxfId="2" priority="15416" operator="containsText" text="Yes">
      <formula>NOT(ISERROR(SEARCH(("Yes"),(Q845))))</formula>
    </cfRule>
  </conditionalFormatting>
  <conditionalFormatting sqref="Q845:Q846">
    <cfRule type="containsText" dxfId="9" priority="15417" operator="containsText" text="No">
      <formula>NOT(ISERROR(SEARCH(("No"),(Q845))))</formula>
    </cfRule>
  </conditionalFormatting>
  <conditionalFormatting sqref="Q845:Q846">
    <cfRule type="containsText" dxfId="2" priority="15418" operator="containsText" text="Yes">
      <formula>NOT(ISERROR(SEARCH(("Yes"),(Q845))))</formula>
    </cfRule>
  </conditionalFormatting>
  <conditionalFormatting sqref="Q845:Q846">
    <cfRule type="containsText" dxfId="9" priority="15419" operator="containsText" text="No">
      <formula>NOT(ISERROR(SEARCH(("No"),(Q845))))</formula>
    </cfRule>
  </conditionalFormatting>
  <conditionalFormatting sqref="Q845:Q846">
    <cfRule type="containsText" dxfId="2" priority="15420" operator="containsText" text="Yes">
      <formula>NOT(ISERROR(SEARCH(("Yes"),(Q845))))</formula>
    </cfRule>
  </conditionalFormatting>
  <conditionalFormatting sqref="Q845:Q846">
    <cfRule type="containsText" dxfId="9" priority="15421" operator="containsText" text="No">
      <formula>NOT(ISERROR(SEARCH(("No"),(Q845))))</formula>
    </cfRule>
  </conditionalFormatting>
  <conditionalFormatting sqref="Q845:Q846">
    <cfRule type="containsText" dxfId="2" priority="15422" operator="containsText" text="Yes">
      <formula>NOT(ISERROR(SEARCH(("Yes"),(Q845))))</formula>
    </cfRule>
  </conditionalFormatting>
  <conditionalFormatting sqref="Q845:Q846">
    <cfRule type="containsText" dxfId="9" priority="15423" operator="containsText" text="No">
      <formula>NOT(ISERROR(SEARCH(("No"),(Q845))))</formula>
    </cfRule>
  </conditionalFormatting>
  <conditionalFormatting sqref="Q845:Q846">
    <cfRule type="containsText" dxfId="2" priority="15424" operator="containsText" text="Yes">
      <formula>NOT(ISERROR(SEARCH(("Yes"),(Q845))))</formula>
    </cfRule>
  </conditionalFormatting>
  <conditionalFormatting sqref="Q845:Q846">
    <cfRule type="containsText" dxfId="2" priority="15425" operator="containsText" text="Yes">
      <formula>NOT(ISERROR(SEARCH(("Yes"),(Q845))))</formula>
    </cfRule>
  </conditionalFormatting>
  <conditionalFormatting sqref="Q845:Q846">
    <cfRule type="containsText" dxfId="9" priority="15426" operator="containsText" text="No">
      <formula>NOT(ISERROR(SEARCH(("No"),(Q845))))</formula>
    </cfRule>
  </conditionalFormatting>
  <conditionalFormatting sqref="Q845:Q846">
    <cfRule type="containsText" dxfId="2" priority="15427" operator="containsText" text="Yes">
      <formula>NOT(ISERROR(SEARCH(("Yes"),(Q845))))</formula>
    </cfRule>
  </conditionalFormatting>
  <conditionalFormatting sqref="Q847:Q853">
    <cfRule type="containsText" dxfId="2" priority="15428" operator="containsText" text="Yes">
      <formula>NOT(ISERROR(SEARCH(("Yes"),(Q847))))</formula>
    </cfRule>
  </conditionalFormatting>
  <conditionalFormatting sqref="Q847:Q853">
    <cfRule type="containsText" dxfId="9" priority="15429" operator="containsText" text="No">
      <formula>NOT(ISERROR(SEARCH(("No"),(Q847))))</formula>
    </cfRule>
  </conditionalFormatting>
  <conditionalFormatting sqref="Q847:Q853">
    <cfRule type="containsText" dxfId="2" priority="15430" operator="containsText" text="Yes">
      <formula>NOT(ISERROR(SEARCH(("Yes"),(Q847))))</formula>
    </cfRule>
  </conditionalFormatting>
  <conditionalFormatting sqref="Q847:Q853">
    <cfRule type="containsText" dxfId="9" priority="15431" operator="containsText" text="No">
      <formula>NOT(ISERROR(SEARCH(("No"),(Q847))))</formula>
    </cfRule>
  </conditionalFormatting>
  <conditionalFormatting sqref="Q847:Q853">
    <cfRule type="containsText" dxfId="2" priority="15432" operator="containsText" text="Yes">
      <formula>NOT(ISERROR(SEARCH(("Yes"),(Q847))))</formula>
    </cfRule>
  </conditionalFormatting>
  <conditionalFormatting sqref="Q847:Q853">
    <cfRule type="containsText" dxfId="9" priority="15433" operator="containsText" text="No">
      <formula>NOT(ISERROR(SEARCH(("No"),(Q847))))</formula>
    </cfRule>
  </conditionalFormatting>
  <conditionalFormatting sqref="Q847:Q853">
    <cfRule type="containsText" dxfId="2" priority="15434" operator="containsText" text="Yes">
      <formula>NOT(ISERROR(SEARCH(("Yes"),(Q847))))</formula>
    </cfRule>
  </conditionalFormatting>
  <conditionalFormatting sqref="Q847:Q853">
    <cfRule type="containsText" dxfId="9" priority="15435" operator="containsText" text="No">
      <formula>NOT(ISERROR(SEARCH(("No"),(Q847))))</formula>
    </cfRule>
  </conditionalFormatting>
  <conditionalFormatting sqref="Q847:Q853">
    <cfRule type="containsText" dxfId="2" priority="15436" operator="containsText" text="Yes">
      <formula>NOT(ISERROR(SEARCH(("Yes"),(Q847))))</formula>
    </cfRule>
  </conditionalFormatting>
  <conditionalFormatting sqref="Q847:Q853">
    <cfRule type="containsText" dxfId="9" priority="15437" operator="containsText" text="No">
      <formula>NOT(ISERROR(SEARCH(("No"),(Q847))))</formula>
    </cfRule>
  </conditionalFormatting>
  <conditionalFormatting sqref="Q847:Q853">
    <cfRule type="containsText" dxfId="2" priority="15438" operator="containsText" text="Yes">
      <formula>NOT(ISERROR(SEARCH(("Yes"),(Q847))))</formula>
    </cfRule>
  </conditionalFormatting>
  <conditionalFormatting sqref="Q847:Q853">
    <cfRule type="containsText" dxfId="9" priority="15439" operator="containsText" text="No">
      <formula>NOT(ISERROR(SEARCH(("No"),(Q847))))</formula>
    </cfRule>
  </conditionalFormatting>
  <conditionalFormatting sqref="Q847:Q853">
    <cfRule type="containsText" dxfId="2" priority="15440" operator="containsText" text="Yes">
      <formula>NOT(ISERROR(SEARCH(("Yes"),(Q847))))</formula>
    </cfRule>
  </conditionalFormatting>
  <conditionalFormatting sqref="Q847:Q853">
    <cfRule type="containsText" dxfId="9" priority="15441" operator="containsText" text="No">
      <formula>NOT(ISERROR(SEARCH(("No"),(Q847))))</formula>
    </cfRule>
  </conditionalFormatting>
  <conditionalFormatting sqref="Q847:Q853">
    <cfRule type="containsText" dxfId="2" priority="15442" operator="containsText" text="Yes">
      <formula>NOT(ISERROR(SEARCH(("Yes"),(Q847))))</formula>
    </cfRule>
  </conditionalFormatting>
  <conditionalFormatting sqref="Q847:Q853">
    <cfRule type="containsText" dxfId="9" priority="15443" operator="containsText" text="No">
      <formula>NOT(ISERROR(SEARCH(("No"),(Q847))))</formula>
    </cfRule>
  </conditionalFormatting>
  <conditionalFormatting sqref="Q847:Q853">
    <cfRule type="containsText" dxfId="2" priority="15444" operator="containsText" text="Yes">
      <formula>NOT(ISERROR(SEARCH(("Yes"),(Q847))))</formula>
    </cfRule>
  </conditionalFormatting>
  <conditionalFormatting sqref="Q847:Q853">
    <cfRule type="containsText" dxfId="9" priority="15445" operator="containsText" text="No">
      <formula>NOT(ISERROR(SEARCH(("No"),(Q847))))</formula>
    </cfRule>
  </conditionalFormatting>
  <conditionalFormatting sqref="Q847:Q853">
    <cfRule type="containsText" dxfId="2" priority="15446" operator="containsText" text="Yes">
      <formula>NOT(ISERROR(SEARCH(("Yes"),(Q847))))</formula>
    </cfRule>
  </conditionalFormatting>
  <conditionalFormatting sqref="Q847:Q853">
    <cfRule type="containsText" dxfId="9" priority="15447" operator="containsText" text="No">
      <formula>NOT(ISERROR(SEARCH(("No"),(Q847))))</formula>
    </cfRule>
  </conditionalFormatting>
  <conditionalFormatting sqref="Q847:Q853">
    <cfRule type="containsText" dxfId="2" priority="15448" operator="containsText" text="Yes">
      <formula>NOT(ISERROR(SEARCH(("Yes"),(Q847))))</formula>
    </cfRule>
  </conditionalFormatting>
  <conditionalFormatting sqref="Q847:Q853">
    <cfRule type="containsText" dxfId="9" priority="15449" operator="containsText" text="No">
      <formula>NOT(ISERROR(SEARCH(("No"),(Q847))))</formula>
    </cfRule>
  </conditionalFormatting>
  <conditionalFormatting sqref="Q847:Q853">
    <cfRule type="containsText" dxfId="2" priority="15450" operator="containsText" text="Yes">
      <formula>NOT(ISERROR(SEARCH(("Yes"),(Q847))))</formula>
    </cfRule>
  </conditionalFormatting>
  <conditionalFormatting sqref="Q847:Q853">
    <cfRule type="containsText" dxfId="9" priority="15451" operator="containsText" text="No">
      <formula>NOT(ISERROR(SEARCH(("No"),(Q847))))</formula>
    </cfRule>
  </conditionalFormatting>
  <conditionalFormatting sqref="Q847:Q853">
    <cfRule type="containsText" dxfId="2" priority="15452" operator="containsText" text="Yes">
      <formula>NOT(ISERROR(SEARCH(("Yes"),(Q847))))</formula>
    </cfRule>
  </conditionalFormatting>
  <conditionalFormatting sqref="Q847:Q853">
    <cfRule type="containsText" dxfId="9" priority="15453" operator="containsText" text="No">
      <formula>NOT(ISERROR(SEARCH(("No"),(Q847))))</formula>
    </cfRule>
  </conditionalFormatting>
  <conditionalFormatting sqref="Q847:Q853">
    <cfRule type="containsText" dxfId="2" priority="15454" operator="containsText" text="Yes">
      <formula>NOT(ISERROR(SEARCH(("Yes"),(Q847))))</formula>
    </cfRule>
  </conditionalFormatting>
  <conditionalFormatting sqref="Q847:Q853">
    <cfRule type="containsText" dxfId="9" priority="15455" operator="containsText" text="No">
      <formula>NOT(ISERROR(SEARCH(("No"),(Q847))))</formula>
    </cfRule>
  </conditionalFormatting>
  <conditionalFormatting sqref="Q847:Q853">
    <cfRule type="containsText" dxfId="2" priority="15456" operator="containsText" text="Yes">
      <formula>NOT(ISERROR(SEARCH(("Yes"),(Q847))))</formula>
    </cfRule>
  </conditionalFormatting>
  <conditionalFormatting sqref="Q847:Q853">
    <cfRule type="containsText" dxfId="9" priority="15457" operator="containsText" text="No">
      <formula>NOT(ISERROR(SEARCH(("No"),(Q847))))</formula>
    </cfRule>
  </conditionalFormatting>
  <conditionalFormatting sqref="Q847:Q853">
    <cfRule type="containsText" dxfId="2" priority="15458" operator="containsText" text="Yes">
      <formula>NOT(ISERROR(SEARCH(("Yes"),(Q847))))</formula>
    </cfRule>
  </conditionalFormatting>
  <conditionalFormatting sqref="Q847:Q853">
    <cfRule type="containsText" dxfId="9" priority="15459" operator="containsText" text="No">
      <formula>NOT(ISERROR(SEARCH(("No"),(Q847))))</formula>
    </cfRule>
  </conditionalFormatting>
  <conditionalFormatting sqref="Q847:Q853">
    <cfRule type="containsText" dxfId="2" priority="15460" operator="containsText" text="Yes">
      <formula>NOT(ISERROR(SEARCH(("Yes"),(Q847))))</formula>
    </cfRule>
  </conditionalFormatting>
  <conditionalFormatting sqref="Q847:Q853">
    <cfRule type="containsText" dxfId="9" priority="15461" operator="containsText" text="No">
      <formula>NOT(ISERROR(SEARCH(("No"),(Q847))))</formula>
    </cfRule>
  </conditionalFormatting>
  <conditionalFormatting sqref="Q847:Q853">
    <cfRule type="containsText" dxfId="2" priority="15462" operator="containsText" text="Yes">
      <formula>NOT(ISERROR(SEARCH(("Yes"),(Q847))))</formula>
    </cfRule>
  </conditionalFormatting>
  <conditionalFormatting sqref="Q847:Q853">
    <cfRule type="containsText" dxfId="9" priority="15463" operator="containsText" text="No">
      <formula>NOT(ISERROR(SEARCH(("No"),(Q847))))</formula>
    </cfRule>
  </conditionalFormatting>
  <conditionalFormatting sqref="Q847:Q853">
    <cfRule type="containsText" dxfId="2" priority="15464" operator="containsText" text="Yes">
      <formula>NOT(ISERROR(SEARCH(("Yes"),(Q847))))</formula>
    </cfRule>
  </conditionalFormatting>
  <conditionalFormatting sqref="Q847:Q853">
    <cfRule type="containsText" dxfId="9" priority="15465" operator="containsText" text="No">
      <formula>NOT(ISERROR(SEARCH(("No"),(Q847))))</formula>
    </cfRule>
  </conditionalFormatting>
  <conditionalFormatting sqref="Q847:Q853">
    <cfRule type="containsText" dxfId="2" priority="15466" operator="containsText" text="Yes">
      <formula>NOT(ISERROR(SEARCH(("Yes"),(Q847))))</formula>
    </cfRule>
  </conditionalFormatting>
  <conditionalFormatting sqref="Q847:Q853">
    <cfRule type="containsText" dxfId="9" priority="15467" operator="containsText" text="No">
      <formula>NOT(ISERROR(SEARCH(("No"),(Q847))))</formula>
    </cfRule>
  </conditionalFormatting>
  <conditionalFormatting sqref="Q847:Q853">
    <cfRule type="containsText" dxfId="2" priority="15468" operator="containsText" text="Yes">
      <formula>NOT(ISERROR(SEARCH(("Yes"),(Q847))))</formula>
    </cfRule>
  </conditionalFormatting>
  <conditionalFormatting sqref="Q847:Q853">
    <cfRule type="containsText" dxfId="9" priority="15469" operator="containsText" text="No">
      <formula>NOT(ISERROR(SEARCH(("No"),(Q847))))</formula>
    </cfRule>
  </conditionalFormatting>
  <conditionalFormatting sqref="Q847:Q853">
    <cfRule type="containsText" dxfId="2" priority="15470" operator="containsText" text="Yes">
      <formula>NOT(ISERROR(SEARCH(("Yes"),(Q847))))</formula>
    </cfRule>
  </conditionalFormatting>
  <conditionalFormatting sqref="Q847:Q853">
    <cfRule type="containsText" dxfId="9" priority="15471" operator="containsText" text="No">
      <formula>NOT(ISERROR(SEARCH(("No"),(Q847))))</formula>
    </cfRule>
  </conditionalFormatting>
  <conditionalFormatting sqref="Q847:Q853">
    <cfRule type="containsText" dxfId="2" priority="15472" operator="containsText" text="Yes">
      <formula>NOT(ISERROR(SEARCH(("Yes"),(Q847))))</formula>
    </cfRule>
  </conditionalFormatting>
  <conditionalFormatting sqref="Q847:Q853">
    <cfRule type="containsText" dxfId="9" priority="15473" operator="containsText" text="No">
      <formula>NOT(ISERROR(SEARCH(("No"),(Q847))))</formula>
    </cfRule>
  </conditionalFormatting>
  <conditionalFormatting sqref="Q847:Q853">
    <cfRule type="containsText" dxfId="2" priority="15474" operator="containsText" text="Yes">
      <formula>NOT(ISERROR(SEARCH(("Yes"),(Q847))))</formula>
    </cfRule>
  </conditionalFormatting>
  <conditionalFormatting sqref="Q847:Q853">
    <cfRule type="containsText" dxfId="9" priority="15475" operator="containsText" text="No">
      <formula>NOT(ISERROR(SEARCH(("No"),(Q847))))</formula>
    </cfRule>
  </conditionalFormatting>
  <conditionalFormatting sqref="Q847:Q853">
    <cfRule type="containsText" dxfId="2" priority="15476" operator="containsText" text="Yes">
      <formula>NOT(ISERROR(SEARCH(("Yes"),(Q847))))</formula>
    </cfRule>
  </conditionalFormatting>
  <conditionalFormatting sqref="Q847:Q853">
    <cfRule type="containsText" dxfId="9" priority="15477" operator="containsText" text="No">
      <formula>NOT(ISERROR(SEARCH(("No"),(Q847))))</formula>
    </cfRule>
  </conditionalFormatting>
  <conditionalFormatting sqref="Q847:Q853">
    <cfRule type="containsText" dxfId="2" priority="15478" operator="containsText" text="Yes">
      <formula>NOT(ISERROR(SEARCH(("Yes"),(Q847))))</formula>
    </cfRule>
  </conditionalFormatting>
  <conditionalFormatting sqref="Q847:Q853">
    <cfRule type="containsText" dxfId="9" priority="15479" operator="containsText" text="No">
      <formula>NOT(ISERROR(SEARCH(("No"),(Q847))))</formula>
    </cfRule>
  </conditionalFormatting>
  <conditionalFormatting sqref="Q847:Q853">
    <cfRule type="containsText" dxfId="2" priority="15480" operator="containsText" text="Yes">
      <formula>NOT(ISERROR(SEARCH(("Yes"),(Q847))))</formula>
    </cfRule>
  </conditionalFormatting>
  <conditionalFormatting sqref="Q847:Q853">
    <cfRule type="containsText" dxfId="9" priority="15481" operator="containsText" text="No">
      <formula>NOT(ISERROR(SEARCH(("No"),(Q847))))</formula>
    </cfRule>
  </conditionalFormatting>
  <conditionalFormatting sqref="Q847:Q853">
    <cfRule type="containsText" dxfId="2" priority="15482" operator="containsText" text="Yes">
      <formula>NOT(ISERROR(SEARCH(("Yes"),(Q847))))</formula>
    </cfRule>
  </conditionalFormatting>
  <conditionalFormatting sqref="Q847:Q853">
    <cfRule type="containsText" dxfId="9" priority="15483" operator="containsText" text="No">
      <formula>NOT(ISERROR(SEARCH(("No"),(Q847))))</formula>
    </cfRule>
  </conditionalFormatting>
  <conditionalFormatting sqref="Q847:Q853">
    <cfRule type="containsText" dxfId="2" priority="15484" operator="containsText" text="Yes">
      <formula>NOT(ISERROR(SEARCH(("Yes"),(Q847))))</formula>
    </cfRule>
  </conditionalFormatting>
  <conditionalFormatting sqref="Q847:Q853">
    <cfRule type="containsText" dxfId="9" priority="15485" operator="containsText" text="No">
      <formula>NOT(ISERROR(SEARCH(("No"),(Q847))))</formula>
    </cfRule>
  </conditionalFormatting>
  <conditionalFormatting sqref="Q847:Q853">
    <cfRule type="containsText" dxfId="2" priority="15486" operator="containsText" text="Yes">
      <formula>NOT(ISERROR(SEARCH(("Yes"),(Q847))))</formula>
    </cfRule>
  </conditionalFormatting>
  <conditionalFormatting sqref="Q847:Q853">
    <cfRule type="containsText" dxfId="9" priority="15487" operator="containsText" text="No">
      <formula>NOT(ISERROR(SEARCH(("No"),(Q847))))</formula>
    </cfRule>
  </conditionalFormatting>
  <conditionalFormatting sqref="Q847:Q853">
    <cfRule type="containsText" dxfId="2" priority="15488" operator="containsText" text="Yes">
      <formula>NOT(ISERROR(SEARCH(("Yes"),(Q847))))</formula>
    </cfRule>
  </conditionalFormatting>
  <conditionalFormatting sqref="Q847:Q853">
    <cfRule type="containsText" dxfId="9" priority="15489" operator="containsText" text="No">
      <formula>NOT(ISERROR(SEARCH(("No"),(Q847))))</formula>
    </cfRule>
  </conditionalFormatting>
  <conditionalFormatting sqref="Q847:Q853">
    <cfRule type="containsText" dxfId="2" priority="15490" operator="containsText" text="Yes">
      <formula>NOT(ISERROR(SEARCH(("Yes"),(Q847))))</formula>
    </cfRule>
  </conditionalFormatting>
  <conditionalFormatting sqref="Q847:Q853">
    <cfRule type="containsText" dxfId="9" priority="15491" operator="containsText" text="No">
      <formula>NOT(ISERROR(SEARCH(("No"),(Q847))))</formula>
    </cfRule>
  </conditionalFormatting>
  <conditionalFormatting sqref="Q847:Q853">
    <cfRule type="containsText" dxfId="2" priority="15492" operator="containsText" text="Yes">
      <formula>NOT(ISERROR(SEARCH(("Yes"),(Q847))))</formula>
    </cfRule>
  </conditionalFormatting>
  <conditionalFormatting sqref="Q847:Q853">
    <cfRule type="containsText" dxfId="9" priority="15493" operator="containsText" text="No">
      <formula>NOT(ISERROR(SEARCH(("No"),(Q847))))</formula>
    </cfRule>
  </conditionalFormatting>
  <conditionalFormatting sqref="Q847:Q853">
    <cfRule type="containsText" dxfId="2" priority="15494" operator="containsText" text="Yes">
      <formula>NOT(ISERROR(SEARCH(("Yes"),(Q847))))</formula>
    </cfRule>
  </conditionalFormatting>
  <conditionalFormatting sqref="Q847:Q853">
    <cfRule type="containsText" dxfId="9" priority="15495" operator="containsText" text="No">
      <formula>NOT(ISERROR(SEARCH(("No"),(Q847))))</formula>
    </cfRule>
  </conditionalFormatting>
  <conditionalFormatting sqref="Q847:Q853">
    <cfRule type="containsText" dxfId="2" priority="15496" operator="containsText" text="Yes">
      <formula>NOT(ISERROR(SEARCH(("Yes"),(Q847))))</formula>
    </cfRule>
  </conditionalFormatting>
  <conditionalFormatting sqref="Q847:Q853">
    <cfRule type="containsText" dxfId="9" priority="15497" operator="containsText" text="No">
      <formula>NOT(ISERROR(SEARCH(("No"),(Q847))))</formula>
    </cfRule>
  </conditionalFormatting>
  <conditionalFormatting sqref="Q847:Q853">
    <cfRule type="containsText" dxfId="2" priority="15498" operator="containsText" text="Yes">
      <formula>NOT(ISERROR(SEARCH(("Yes"),(Q847))))</formula>
    </cfRule>
  </conditionalFormatting>
  <conditionalFormatting sqref="Q847:Q853">
    <cfRule type="containsText" dxfId="9" priority="15499" operator="containsText" text="No">
      <formula>NOT(ISERROR(SEARCH(("No"),(Q847))))</formula>
    </cfRule>
  </conditionalFormatting>
  <conditionalFormatting sqref="Q847:Q853">
    <cfRule type="containsText" dxfId="2" priority="15500" operator="containsText" text="Yes">
      <formula>NOT(ISERROR(SEARCH(("Yes"),(Q847))))</formula>
    </cfRule>
  </conditionalFormatting>
  <conditionalFormatting sqref="Q847:Q853">
    <cfRule type="containsText" dxfId="9" priority="15501" operator="containsText" text="No">
      <formula>NOT(ISERROR(SEARCH(("No"),(Q847))))</formula>
    </cfRule>
  </conditionalFormatting>
  <conditionalFormatting sqref="Q847:Q853">
    <cfRule type="containsText" dxfId="2" priority="15502" operator="containsText" text="Yes">
      <formula>NOT(ISERROR(SEARCH(("Yes"),(Q847))))</formula>
    </cfRule>
  </conditionalFormatting>
  <conditionalFormatting sqref="Q847:Q853">
    <cfRule type="containsText" dxfId="9" priority="15503" operator="containsText" text="No">
      <formula>NOT(ISERROR(SEARCH(("No"),(Q847))))</formula>
    </cfRule>
  </conditionalFormatting>
  <conditionalFormatting sqref="Q847:Q853">
    <cfRule type="containsText" dxfId="2" priority="15504" operator="containsText" text="Yes">
      <formula>NOT(ISERROR(SEARCH(("Yes"),(Q847))))</formula>
    </cfRule>
  </conditionalFormatting>
  <conditionalFormatting sqref="Q847:Q853">
    <cfRule type="containsText" dxfId="9" priority="15505" operator="containsText" text="No">
      <formula>NOT(ISERROR(SEARCH(("No"),(Q847))))</formula>
    </cfRule>
  </conditionalFormatting>
  <conditionalFormatting sqref="Q847:Q853">
    <cfRule type="containsText" dxfId="2" priority="15506" operator="containsText" text="Yes">
      <formula>NOT(ISERROR(SEARCH(("Yes"),(Q847))))</formula>
    </cfRule>
  </conditionalFormatting>
  <conditionalFormatting sqref="Q847:Q853">
    <cfRule type="containsText" dxfId="9" priority="15507" operator="containsText" text="No">
      <formula>NOT(ISERROR(SEARCH(("No"),(Q847))))</formula>
    </cfRule>
  </conditionalFormatting>
  <conditionalFormatting sqref="Q847:Q853">
    <cfRule type="containsText" dxfId="2" priority="15508" operator="containsText" text="Yes">
      <formula>NOT(ISERROR(SEARCH(("Yes"),(Q847))))</formula>
    </cfRule>
  </conditionalFormatting>
  <conditionalFormatting sqref="Q847:Q853">
    <cfRule type="containsText" dxfId="9" priority="15509" operator="containsText" text="No">
      <formula>NOT(ISERROR(SEARCH(("No"),(Q847))))</formula>
    </cfRule>
  </conditionalFormatting>
  <conditionalFormatting sqref="Q847:Q853">
    <cfRule type="containsText" dxfId="2" priority="15510" operator="containsText" text="Yes">
      <formula>NOT(ISERROR(SEARCH(("Yes"),(Q847))))</formula>
    </cfRule>
  </conditionalFormatting>
  <conditionalFormatting sqref="Q847:Q853">
    <cfRule type="containsText" dxfId="9" priority="15511" operator="containsText" text="No">
      <formula>NOT(ISERROR(SEARCH(("No"),(Q847))))</formula>
    </cfRule>
  </conditionalFormatting>
  <conditionalFormatting sqref="Q847:Q853">
    <cfRule type="containsText" dxfId="2" priority="15512" operator="containsText" text="Yes">
      <formula>NOT(ISERROR(SEARCH(("Yes"),(Q847))))</formula>
    </cfRule>
  </conditionalFormatting>
  <conditionalFormatting sqref="Q847:Q853">
    <cfRule type="containsText" dxfId="9" priority="15513" operator="containsText" text="No">
      <formula>NOT(ISERROR(SEARCH(("No"),(Q847))))</formula>
    </cfRule>
  </conditionalFormatting>
  <conditionalFormatting sqref="Q847:Q853">
    <cfRule type="containsText" dxfId="2" priority="15514" operator="containsText" text="Yes">
      <formula>NOT(ISERROR(SEARCH(("Yes"),(Q847))))</formula>
    </cfRule>
  </conditionalFormatting>
  <conditionalFormatting sqref="Q847:Q853">
    <cfRule type="containsText" dxfId="9" priority="15515" operator="containsText" text="No">
      <formula>NOT(ISERROR(SEARCH(("No"),(Q847))))</formula>
    </cfRule>
  </conditionalFormatting>
  <conditionalFormatting sqref="Q847:Q853">
    <cfRule type="containsText" dxfId="2" priority="15516" operator="containsText" text="Yes">
      <formula>NOT(ISERROR(SEARCH(("Yes"),(Q847))))</formula>
    </cfRule>
  </conditionalFormatting>
  <conditionalFormatting sqref="Q847:Q853">
    <cfRule type="containsText" dxfId="2" priority="15517" operator="containsText" text="Yes">
      <formula>NOT(ISERROR(SEARCH(("Yes"),(Q847))))</formula>
    </cfRule>
  </conditionalFormatting>
  <conditionalFormatting sqref="Q847:Q853">
    <cfRule type="containsText" dxfId="9" priority="15518" operator="containsText" text="No">
      <formula>NOT(ISERROR(SEARCH(("No"),(Q847))))</formula>
    </cfRule>
  </conditionalFormatting>
  <conditionalFormatting sqref="Q847:Q853">
    <cfRule type="containsText" dxfId="2" priority="15519" operator="containsText" text="Yes">
      <formula>NOT(ISERROR(SEARCH(("Yes"),(Q847))))</formula>
    </cfRule>
  </conditionalFormatting>
  <conditionalFormatting sqref="Q854">
    <cfRule type="containsText" dxfId="2" priority="15520" operator="containsText" text="Yes">
      <formula>NOT(ISERROR(SEARCH(("Yes"),(Q854))))</formula>
    </cfRule>
  </conditionalFormatting>
  <conditionalFormatting sqref="Q854">
    <cfRule type="containsText" dxfId="9" priority="15521" operator="containsText" text="No">
      <formula>NOT(ISERROR(SEARCH(("No"),(Q854))))</formula>
    </cfRule>
  </conditionalFormatting>
  <conditionalFormatting sqref="Q854">
    <cfRule type="containsText" dxfId="2" priority="15522" operator="containsText" text="Yes">
      <formula>NOT(ISERROR(SEARCH(("Yes"),(Q854))))</formula>
    </cfRule>
  </conditionalFormatting>
  <conditionalFormatting sqref="Q854">
    <cfRule type="containsText" dxfId="9" priority="15523" operator="containsText" text="No">
      <formula>NOT(ISERROR(SEARCH(("No"),(Q854))))</formula>
    </cfRule>
  </conditionalFormatting>
  <conditionalFormatting sqref="Q854">
    <cfRule type="containsText" dxfId="2" priority="15524" operator="containsText" text="Yes">
      <formula>NOT(ISERROR(SEARCH(("Yes"),(Q854))))</formula>
    </cfRule>
  </conditionalFormatting>
  <conditionalFormatting sqref="Q854">
    <cfRule type="containsText" dxfId="9" priority="15525" operator="containsText" text="No">
      <formula>NOT(ISERROR(SEARCH(("No"),(Q854))))</formula>
    </cfRule>
  </conditionalFormatting>
  <conditionalFormatting sqref="Q854">
    <cfRule type="containsText" dxfId="2" priority="15526" operator="containsText" text="Yes">
      <formula>NOT(ISERROR(SEARCH(("Yes"),(Q854))))</formula>
    </cfRule>
  </conditionalFormatting>
  <conditionalFormatting sqref="Q854">
    <cfRule type="containsText" dxfId="9" priority="15527" operator="containsText" text="No">
      <formula>NOT(ISERROR(SEARCH(("No"),(Q854))))</formula>
    </cfRule>
  </conditionalFormatting>
  <conditionalFormatting sqref="Q854">
    <cfRule type="containsText" dxfId="2" priority="15528" operator="containsText" text="Yes">
      <formula>NOT(ISERROR(SEARCH(("Yes"),(Q854))))</formula>
    </cfRule>
  </conditionalFormatting>
  <conditionalFormatting sqref="Q854">
    <cfRule type="containsText" dxfId="9" priority="15529" operator="containsText" text="No">
      <formula>NOT(ISERROR(SEARCH(("No"),(Q854))))</formula>
    </cfRule>
  </conditionalFormatting>
  <conditionalFormatting sqref="Q854">
    <cfRule type="containsText" dxfId="2" priority="15530" operator="containsText" text="Yes">
      <formula>NOT(ISERROR(SEARCH(("Yes"),(Q854))))</formula>
    </cfRule>
  </conditionalFormatting>
  <conditionalFormatting sqref="Q854">
    <cfRule type="containsText" dxfId="9" priority="15531" operator="containsText" text="No">
      <formula>NOT(ISERROR(SEARCH(("No"),(Q854))))</formula>
    </cfRule>
  </conditionalFormatting>
  <conditionalFormatting sqref="Q854">
    <cfRule type="containsText" dxfId="2" priority="15532" operator="containsText" text="Yes">
      <formula>NOT(ISERROR(SEARCH(("Yes"),(Q854))))</formula>
    </cfRule>
  </conditionalFormatting>
  <conditionalFormatting sqref="Q854">
    <cfRule type="containsText" dxfId="9" priority="15533" operator="containsText" text="No">
      <formula>NOT(ISERROR(SEARCH(("No"),(Q854))))</formula>
    </cfRule>
  </conditionalFormatting>
  <conditionalFormatting sqref="Q854">
    <cfRule type="containsText" dxfId="2" priority="15534" operator="containsText" text="Yes">
      <formula>NOT(ISERROR(SEARCH(("Yes"),(Q854))))</formula>
    </cfRule>
  </conditionalFormatting>
  <conditionalFormatting sqref="Q854">
    <cfRule type="containsText" dxfId="9" priority="15535" operator="containsText" text="No">
      <formula>NOT(ISERROR(SEARCH(("No"),(Q854))))</formula>
    </cfRule>
  </conditionalFormatting>
  <conditionalFormatting sqref="Q854">
    <cfRule type="containsText" dxfId="2" priority="15536" operator="containsText" text="Yes">
      <formula>NOT(ISERROR(SEARCH(("Yes"),(Q854))))</formula>
    </cfRule>
  </conditionalFormatting>
  <conditionalFormatting sqref="Q854">
    <cfRule type="containsText" dxfId="9" priority="15537" operator="containsText" text="No">
      <formula>NOT(ISERROR(SEARCH(("No"),(Q854))))</formula>
    </cfRule>
  </conditionalFormatting>
  <conditionalFormatting sqref="Q854">
    <cfRule type="containsText" dxfId="2" priority="15538" operator="containsText" text="Yes">
      <formula>NOT(ISERROR(SEARCH(("Yes"),(Q854))))</formula>
    </cfRule>
  </conditionalFormatting>
  <conditionalFormatting sqref="Q854">
    <cfRule type="containsText" dxfId="9" priority="15539" operator="containsText" text="No">
      <formula>NOT(ISERROR(SEARCH(("No"),(Q854))))</formula>
    </cfRule>
  </conditionalFormatting>
  <conditionalFormatting sqref="Q854">
    <cfRule type="containsText" dxfId="2" priority="15540" operator="containsText" text="Yes">
      <formula>NOT(ISERROR(SEARCH(("Yes"),(Q854))))</formula>
    </cfRule>
  </conditionalFormatting>
  <conditionalFormatting sqref="Q854">
    <cfRule type="containsText" dxfId="9" priority="15541" operator="containsText" text="No">
      <formula>NOT(ISERROR(SEARCH(("No"),(Q854))))</formula>
    </cfRule>
  </conditionalFormatting>
  <conditionalFormatting sqref="Q854">
    <cfRule type="containsText" dxfId="2" priority="15542" operator="containsText" text="Yes">
      <formula>NOT(ISERROR(SEARCH(("Yes"),(Q854))))</formula>
    </cfRule>
  </conditionalFormatting>
  <conditionalFormatting sqref="Q854">
    <cfRule type="containsText" dxfId="9" priority="15543" operator="containsText" text="No">
      <formula>NOT(ISERROR(SEARCH(("No"),(Q854))))</formula>
    </cfRule>
  </conditionalFormatting>
  <conditionalFormatting sqref="Q854">
    <cfRule type="containsText" dxfId="2" priority="15544" operator="containsText" text="Yes">
      <formula>NOT(ISERROR(SEARCH(("Yes"),(Q854))))</formula>
    </cfRule>
  </conditionalFormatting>
  <conditionalFormatting sqref="Q854">
    <cfRule type="containsText" dxfId="9" priority="15545" operator="containsText" text="No">
      <formula>NOT(ISERROR(SEARCH(("No"),(Q854))))</formula>
    </cfRule>
  </conditionalFormatting>
  <conditionalFormatting sqref="Q854">
    <cfRule type="containsText" dxfId="2" priority="15546" operator="containsText" text="Yes">
      <formula>NOT(ISERROR(SEARCH(("Yes"),(Q854))))</formula>
    </cfRule>
  </conditionalFormatting>
  <conditionalFormatting sqref="Q854">
    <cfRule type="containsText" dxfId="9" priority="15547" operator="containsText" text="No">
      <formula>NOT(ISERROR(SEARCH(("No"),(Q854))))</formula>
    </cfRule>
  </conditionalFormatting>
  <conditionalFormatting sqref="Q854">
    <cfRule type="containsText" dxfId="2" priority="15548" operator="containsText" text="Yes">
      <formula>NOT(ISERROR(SEARCH(("Yes"),(Q854))))</formula>
    </cfRule>
  </conditionalFormatting>
  <conditionalFormatting sqref="Q854">
    <cfRule type="containsText" dxfId="9" priority="15549" operator="containsText" text="No">
      <formula>NOT(ISERROR(SEARCH(("No"),(Q854))))</formula>
    </cfRule>
  </conditionalFormatting>
  <conditionalFormatting sqref="Q854">
    <cfRule type="containsText" dxfId="2" priority="15550" operator="containsText" text="Yes">
      <formula>NOT(ISERROR(SEARCH(("Yes"),(Q854))))</formula>
    </cfRule>
  </conditionalFormatting>
  <conditionalFormatting sqref="Q854">
    <cfRule type="containsText" dxfId="9" priority="15551" operator="containsText" text="No">
      <formula>NOT(ISERROR(SEARCH(("No"),(Q854))))</formula>
    </cfRule>
  </conditionalFormatting>
  <conditionalFormatting sqref="Q854">
    <cfRule type="containsText" dxfId="2" priority="15552" operator="containsText" text="Yes">
      <formula>NOT(ISERROR(SEARCH(("Yes"),(Q854))))</formula>
    </cfRule>
  </conditionalFormatting>
  <conditionalFormatting sqref="Q854">
    <cfRule type="containsText" dxfId="9" priority="15553" operator="containsText" text="No">
      <formula>NOT(ISERROR(SEARCH(("No"),(Q854))))</formula>
    </cfRule>
  </conditionalFormatting>
  <conditionalFormatting sqref="Q854">
    <cfRule type="containsText" dxfId="2" priority="15554" operator="containsText" text="Yes">
      <formula>NOT(ISERROR(SEARCH(("Yes"),(Q854))))</formula>
    </cfRule>
  </conditionalFormatting>
  <conditionalFormatting sqref="Q854">
    <cfRule type="containsText" dxfId="9" priority="15555" operator="containsText" text="No">
      <formula>NOT(ISERROR(SEARCH(("No"),(Q854))))</formula>
    </cfRule>
  </conditionalFormatting>
  <conditionalFormatting sqref="Q854">
    <cfRule type="containsText" dxfId="2" priority="15556" operator="containsText" text="Yes">
      <formula>NOT(ISERROR(SEARCH(("Yes"),(Q854))))</formula>
    </cfRule>
  </conditionalFormatting>
  <conditionalFormatting sqref="Q854">
    <cfRule type="containsText" dxfId="9" priority="15557" operator="containsText" text="No">
      <formula>NOT(ISERROR(SEARCH(("No"),(Q854))))</formula>
    </cfRule>
  </conditionalFormatting>
  <conditionalFormatting sqref="Q854">
    <cfRule type="containsText" dxfId="2" priority="15558" operator="containsText" text="Yes">
      <formula>NOT(ISERROR(SEARCH(("Yes"),(Q854))))</formula>
    </cfRule>
  </conditionalFormatting>
  <conditionalFormatting sqref="Q854">
    <cfRule type="containsText" dxfId="9" priority="15559" operator="containsText" text="No">
      <formula>NOT(ISERROR(SEARCH(("No"),(Q854))))</formula>
    </cfRule>
  </conditionalFormatting>
  <conditionalFormatting sqref="Q854">
    <cfRule type="containsText" dxfId="2" priority="15560" operator="containsText" text="Yes">
      <formula>NOT(ISERROR(SEARCH(("Yes"),(Q854))))</formula>
    </cfRule>
  </conditionalFormatting>
  <conditionalFormatting sqref="Q854">
    <cfRule type="containsText" dxfId="9" priority="15561" operator="containsText" text="No">
      <formula>NOT(ISERROR(SEARCH(("No"),(Q854))))</formula>
    </cfRule>
  </conditionalFormatting>
  <conditionalFormatting sqref="Q854">
    <cfRule type="containsText" dxfId="2" priority="15562" operator="containsText" text="Yes">
      <formula>NOT(ISERROR(SEARCH(("Yes"),(Q854))))</formula>
    </cfRule>
  </conditionalFormatting>
  <conditionalFormatting sqref="Q854">
    <cfRule type="containsText" dxfId="9" priority="15563" operator="containsText" text="No">
      <formula>NOT(ISERROR(SEARCH(("No"),(Q854))))</formula>
    </cfRule>
  </conditionalFormatting>
  <conditionalFormatting sqref="Q854">
    <cfRule type="containsText" dxfId="2" priority="15564" operator="containsText" text="Yes">
      <formula>NOT(ISERROR(SEARCH(("Yes"),(Q854))))</formula>
    </cfRule>
  </conditionalFormatting>
  <conditionalFormatting sqref="Q854">
    <cfRule type="containsText" dxfId="9" priority="15565" operator="containsText" text="No">
      <formula>NOT(ISERROR(SEARCH(("No"),(Q854))))</formula>
    </cfRule>
  </conditionalFormatting>
  <conditionalFormatting sqref="Q854">
    <cfRule type="containsText" dxfId="2" priority="15566" operator="containsText" text="Yes">
      <formula>NOT(ISERROR(SEARCH(("Yes"),(Q854))))</formula>
    </cfRule>
  </conditionalFormatting>
  <conditionalFormatting sqref="Q854">
    <cfRule type="containsText" dxfId="9" priority="15567" operator="containsText" text="No">
      <formula>NOT(ISERROR(SEARCH(("No"),(Q854))))</formula>
    </cfRule>
  </conditionalFormatting>
  <conditionalFormatting sqref="Q854">
    <cfRule type="containsText" dxfId="2" priority="15568" operator="containsText" text="Yes">
      <formula>NOT(ISERROR(SEARCH(("Yes"),(Q854))))</formula>
    </cfRule>
  </conditionalFormatting>
  <conditionalFormatting sqref="Q854">
    <cfRule type="containsText" dxfId="9" priority="15569" operator="containsText" text="No">
      <formula>NOT(ISERROR(SEARCH(("No"),(Q854))))</formula>
    </cfRule>
  </conditionalFormatting>
  <conditionalFormatting sqref="Q854">
    <cfRule type="containsText" dxfId="2" priority="15570" operator="containsText" text="Yes">
      <formula>NOT(ISERROR(SEARCH(("Yes"),(Q854))))</formula>
    </cfRule>
  </conditionalFormatting>
  <conditionalFormatting sqref="Q854">
    <cfRule type="containsText" dxfId="9" priority="15571" operator="containsText" text="No">
      <formula>NOT(ISERROR(SEARCH(("No"),(Q854))))</formula>
    </cfRule>
  </conditionalFormatting>
  <conditionalFormatting sqref="Q854">
    <cfRule type="containsText" dxfId="2" priority="15572" operator="containsText" text="Yes">
      <formula>NOT(ISERROR(SEARCH(("Yes"),(Q854))))</formula>
    </cfRule>
  </conditionalFormatting>
  <conditionalFormatting sqref="Q854">
    <cfRule type="containsText" dxfId="9" priority="15573" operator="containsText" text="No">
      <formula>NOT(ISERROR(SEARCH(("No"),(Q854))))</formula>
    </cfRule>
  </conditionalFormatting>
  <conditionalFormatting sqref="Q854">
    <cfRule type="containsText" dxfId="2" priority="15574" operator="containsText" text="Yes">
      <formula>NOT(ISERROR(SEARCH(("Yes"),(Q854))))</formula>
    </cfRule>
  </conditionalFormatting>
  <conditionalFormatting sqref="Q854">
    <cfRule type="containsText" dxfId="9" priority="15575" operator="containsText" text="No">
      <formula>NOT(ISERROR(SEARCH(("No"),(Q854))))</formula>
    </cfRule>
  </conditionalFormatting>
  <conditionalFormatting sqref="Q854">
    <cfRule type="containsText" dxfId="2" priority="15576" operator="containsText" text="Yes">
      <formula>NOT(ISERROR(SEARCH(("Yes"),(Q854))))</formula>
    </cfRule>
  </conditionalFormatting>
  <conditionalFormatting sqref="Q854">
    <cfRule type="containsText" dxfId="9" priority="15577" operator="containsText" text="No">
      <formula>NOT(ISERROR(SEARCH(("No"),(Q854))))</formula>
    </cfRule>
  </conditionalFormatting>
  <conditionalFormatting sqref="Q854">
    <cfRule type="containsText" dxfId="2" priority="15578" operator="containsText" text="Yes">
      <formula>NOT(ISERROR(SEARCH(("Yes"),(Q854))))</formula>
    </cfRule>
  </conditionalFormatting>
  <conditionalFormatting sqref="Q854">
    <cfRule type="containsText" dxfId="9" priority="15579" operator="containsText" text="No">
      <formula>NOT(ISERROR(SEARCH(("No"),(Q854))))</formula>
    </cfRule>
  </conditionalFormatting>
  <conditionalFormatting sqref="Q854">
    <cfRule type="containsText" dxfId="2" priority="15580" operator="containsText" text="Yes">
      <formula>NOT(ISERROR(SEARCH(("Yes"),(Q854))))</formula>
    </cfRule>
  </conditionalFormatting>
  <conditionalFormatting sqref="Q854">
    <cfRule type="containsText" dxfId="9" priority="15581" operator="containsText" text="No">
      <formula>NOT(ISERROR(SEARCH(("No"),(Q854))))</formula>
    </cfRule>
  </conditionalFormatting>
  <conditionalFormatting sqref="Q854">
    <cfRule type="containsText" dxfId="2" priority="15582" operator="containsText" text="Yes">
      <formula>NOT(ISERROR(SEARCH(("Yes"),(Q854))))</formula>
    </cfRule>
  </conditionalFormatting>
  <conditionalFormatting sqref="Q854">
    <cfRule type="containsText" dxfId="9" priority="15583" operator="containsText" text="No">
      <formula>NOT(ISERROR(SEARCH(("No"),(Q854))))</formula>
    </cfRule>
  </conditionalFormatting>
  <conditionalFormatting sqref="Q854">
    <cfRule type="containsText" dxfId="2" priority="15584" operator="containsText" text="Yes">
      <formula>NOT(ISERROR(SEARCH(("Yes"),(Q854))))</formula>
    </cfRule>
  </conditionalFormatting>
  <conditionalFormatting sqref="Q854">
    <cfRule type="containsText" dxfId="9" priority="15585" operator="containsText" text="No">
      <formula>NOT(ISERROR(SEARCH(("No"),(Q854))))</formula>
    </cfRule>
  </conditionalFormatting>
  <conditionalFormatting sqref="Q854">
    <cfRule type="containsText" dxfId="2" priority="15586" operator="containsText" text="Yes">
      <formula>NOT(ISERROR(SEARCH(("Yes"),(Q854))))</formula>
    </cfRule>
  </conditionalFormatting>
  <conditionalFormatting sqref="Q854">
    <cfRule type="containsText" dxfId="9" priority="15587" operator="containsText" text="No">
      <formula>NOT(ISERROR(SEARCH(("No"),(Q854))))</formula>
    </cfRule>
  </conditionalFormatting>
  <conditionalFormatting sqref="Q854">
    <cfRule type="containsText" dxfId="2" priority="15588" operator="containsText" text="Yes">
      <formula>NOT(ISERROR(SEARCH(("Yes"),(Q854))))</formula>
    </cfRule>
  </conditionalFormatting>
  <conditionalFormatting sqref="Q854">
    <cfRule type="containsText" dxfId="9" priority="15589" operator="containsText" text="No">
      <formula>NOT(ISERROR(SEARCH(("No"),(Q854))))</formula>
    </cfRule>
  </conditionalFormatting>
  <conditionalFormatting sqref="Q854">
    <cfRule type="containsText" dxfId="2" priority="15590" operator="containsText" text="Yes">
      <formula>NOT(ISERROR(SEARCH(("Yes"),(Q854))))</formula>
    </cfRule>
  </conditionalFormatting>
  <conditionalFormatting sqref="Q854">
    <cfRule type="containsText" dxfId="9" priority="15591" operator="containsText" text="No">
      <formula>NOT(ISERROR(SEARCH(("No"),(Q854))))</formula>
    </cfRule>
  </conditionalFormatting>
  <conditionalFormatting sqref="Q854">
    <cfRule type="containsText" dxfId="2" priority="15592" operator="containsText" text="Yes">
      <formula>NOT(ISERROR(SEARCH(("Yes"),(Q854))))</formula>
    </cfRule>
  </conditionalFormatting>
  <conditionalFormatting sqref="Q854">
    <cfRule type="containsText" dxfId="9" priority="15593" operator="containsText" text="No">
      <formula>NOT(ISERROR(SEARCH(("No"),(Q854))))</formula>
    </cfRule>
  </conditionalFormatting>
  <conditionalFormatting sqref="Q854">
    <cfRule type="containsText" dxfId="2" priority="15594" operator="containsText" text="Yes">
      <formula>NOT(ISERROR(SEARCH(("Yes"),(Q854))))</formula>
    </cfRule>
  </conditionalFormatting>
  <conditionalFormatting sqref="Q854">
    <cfRule type="containsText" dxfId="9" priority="15595" operator="containsText" text="No">
      <formula>NOT(ISERROR(SEARCH(("No"),(Q854))))</formula>
    </cfRule>
  </conditionalFormatting>
  <conditionalFormatting sqref="Q854">
    <cfRule type="containsText" dxfId="2" priority="15596" operator="containsText" text="Yes">
      <formula>NOT(ISERROR(SEARCH(("Yes"),(Q854))))</formula>
    </cfRule>
  </conditionalFormatting>
  <conditionalFormatting sqref="Q854">
    <cfRule type="containsText" dxfId="9" priority="15597" operator="containsText" text="No">
      <formula>NOT(ISERROR(SEARCH(("No"),(Q854))))</formula>
    </cfRule>
  </conditionalFormatting>
  <conditionalFormatting sqref="Q854">
    <cfRule type="containsText" dxfId="2" priority="15598" operator="containsText" text="Yes">
      <formula>NOT(ISERROR(SEARCH(("Yes"),(Q854))))</formula>
    </cfRule>
  </conditionalFormatting>
  <conditionalFormatting sqref="Q854">
    <cfRule type="containsText" dxfId="9" priority="15599" operator="containsText" text="No">
      <formula>NOT(ISERROR(SEARCH(("No"),(Q854))))</formula>
    </cfRule>
  </conditionalFormatting>
  <conditionalFormatting sqref="Q854">
    <cfRule type="containsText" dxfId="2" priority="15600" operator="containsText" text="Yes">
      <formula>NOT(ISERROR(SEARCH(("Yes"),(Q854))))</formula>
    </cfRule>
  </conditionalFormatting>
  <conditionalFormatting sqref="Q854">
    <cfRule type="containsText" dxfId="9" priority="15601" operator="containsText" text="No">
      <formula>NOT(ISERROR(SEARCH(("No"),(Q854))))</formula>
    </cfRule>
  </conditionalFormatting>
  <conditionalFormatting sqref="Q854">
    <cfRule type="containsText" dxfId="2" priority="15602" operator="containsText" text="Yes">
      <formula>NOT(ISERROR(SEARCH(("Yes"),(Q854))))</formula>
    </cfRule>
  </conditionalFormatting>
  <conditionalFormatting sqref="Q854">
    <cfRule type="containsText" dxfId="9" priority="15603" operator="containsText" text="No">
      <formula>NOT(ISERROR(SEARCH(("No"),(Q854))))</formula>
    </cfRule>
  </conditionalFormatting>
  <conditionalFormatting sqref="Q854">
    <cfRule type="containsText" dxfId="2" priority="15604" operator="containsText" text="Yes">
      <formula>NOT(ISERROR(SEARCH(("Yes"),(Q854))))</formula>
    </cfRule>
  </conditionalFormatting>
  <conditionalFormatting sqref="Q854">
    <cfRule type="containsText" dxfId="9" priority="15605" operator="containsText" text="No">
      <formula>NOT(ISERROR(SEARCH(("No"),(Q854))))</formula>
    </cfRule>
  </conditionalFormatting>
  <conditionalFormatting sqref="Q854">
    <cfRule type="containsText" dxfId="2" priority="15606" operator="containsText" text="Yes">
      <formula>NOT(ISERROR(SEARCH(("Yes"),(Q854))))</formula>
    </cfRule>
  </conditionalFormatting>
  <conditionalFormatting sqref="Q854">
    <cfRule type="containsText" dxfId="9" priority="15607" operator="containsText" text="No">
      <formula>NOT(ISERROR(SEARCH(("No"),(Q854))))</formula>
    </cfRule>
  </conditionalFormatting>
  <conditionalFormatting sqref="Q854">
    <cfRule type="containsText" dxfId="2" priority="15608" operator="containsText" text="Yes">
      <formula>NOT(ISERROR(SEARCH(("Yes"),(Q854))))</formula>
    </cfRule>
  </conditionalFormatting>
  <conditionalFormatting sqref="Q854">
    <cfRule type="containsText" dxfId="2" priority="15609" operator="containsText" text="Yes">
      <formula>NOT(ISERROR(SEARCH(("Yes"),(Q854))))</formula>
    </cfRule>
  </conditionalFormatting>
  <conditionalFormatting sqref="Q854">
    <cfRule type="containsText" dxfId="9" priority="15610" operator="containsText" text="No">
      <formula>NOT(ISERROR(SEARCH(("No"),(Q854))))</formula>
    </cfRule>
  </conditionalFormatting>
  <conditionalFormatting sqref="Q854">
    <cfRule type="containsText" dxfId="2" priority="15611" operator="containsText" text="Yes">
      <formula>NOT(ISERROR(SEARCH(("Yes"),(Q854))))</formula>
    </cfRule>
  </conditionalFormatting>
  <conditionalFormatting sqref="Q855">
    <cfRule type="containsText" dxfId="2" priority="15612" operator="containsText" text="Yes">
      <formula>NOT(ISERROR(SEARCH(("Yes"),(Q855))))</formula>
    </cfRule>
  </conditionalFormatting>
  <conditionalFormatting sqref="Q855">
    <cfRule type="containsText" dxfId="9" priority="15613" operator="containsText" text="No">
      <formula>NOT(ISERROR(SEARCH(("No"),(Q855))))</formula>
    </cfRule>
  </conditionalFormatting>
  <conditionalFormatting sqref="Q855">
    <cfRule type="containsText" dxfId="2" priority="15614" operator="containsText" text="Yes">
      <formula>NOT(ISERROR(SEARCH(("Yes"),(Q855))))</formula>
    </cfRule>
  </conditionalFormatting>
  <conditionalFormatting sqref="Q855">
    <cfRule type="containsText" dxfId="9" priority="15615" operator="containsText" text="No">
      <formula>NOT(ISERROR(SEARCH(("No"),(Q855))))</formula>
    </cfRule>
  </conditionalFormatting>
  <conditionalFormatting sqref="Q855">
    <cfRule type="containsText" dxfId="2" priority="15616" operator="containsText" text="Yes">
      <formula>NOT(ISERROR(SEARCH(("Yes"),(Q855))))</formula>
    </cfRule>
  </conditionalFormatting>
  <conditionalFormatting sqref="Q855">
    <cfRule type="containsText" dxfId="9" priority="15617" operator="containsText" text="No">
      <formula>NOT(ISERROR(SEARCH(("No"),(Q855))))</formula>
    </cfRule>
  </conditionalFormatting>
  <conditionalFormatting sqref="Q855">
    <cfRule type="containsText" dxfId="2" priority="15618" operator="containsText" text="Yes">
      <formula>NOT(ISERROR(SEARCH(("Yes"),(Q855))))</formula>
    </cfRule>
  </conditionalFormatting>
  <conditionalFormatting sqref="Q855">
    <cfRule type="containsText" dxfId="9" priority="15619" operator="containsText" text="No">
      <formula>NOT(ISERROR(SEARCH(("No"),(Q855))))</formula>
    </cfRule>
  </conditionalFormatting>
  <conditionalFormatting sqref="Q855">
    <cfRule type="containsText" dxfId="2" priority="15620" operator="containsText" text="Yes">
      <formula>NOT(ISERROR(SEARCH(("Yes"),(Q855))))</formula>
    </cfRule>
  </conditionalFormatting>
  <conditionalFormatting sqref="Q855">
    <cfRule type="containsText" dxfId="9" priority="15621" operator="containsText" text="No">
      <formula>NOT(ISERROR(SEARCH(("No"),(Q855))))</formula>
    </cfRule>
  </conditionalFormatting>
  <conditionalFormatting sqref="Q855">
    <cfRule type="containsText" dxfId="2" priority="15622" operator="containsText" text="Yes">
      <formula>NOT(ISERROR(SEARCH(("Yes"),(Q855))))</formula>
    </cfRule>
  </conditionalFormatting>
  <conditionalFormatting sqref="Q855">
    <cfRule type="containsText" dxfId="9" priority="15623" operator="containsText" text="No">
      <formula>NOT(ISERROR(SEARCH(("No"),(Q855))))</formula>
    </cfRule>
  </conditionalFormatting>
  <conditionalFormatting sqref="Q855">
    <cfRule type="containsText" dxfId="2" priority="15624" operator="containsText" text="Yes">
      <formula>NOT(ISERROR(SEARCH(("Yes"),(Q855))))</formula>
    </cfRule>
  </conditionalFormatting>
  <conditionalFormatting sqref="Q855">
    <cfRule type="containsText" dxfId="9" priority="15625" operator="containsText" text="No">
      <formula>NOT(ISERROR(SEARCH(("No"),(Q855))))</formula>
    </cfRule>
  </conditionalFormatting>
  <conditionalFormatting sqref="Q855">
    <cfRule type="containsText" dxfId="2" priority="15626" operator="containsText" text="Yes">
      <formula>NOT(ISERROR(SEARCH(("Yes"),(Q855))))</formula>
    </cfRule>
  </conditionalFormatting>
  <conditionalFormatting sqref="Q855">
    <cfRule type="containsText" dxfId="9" priority="15627" operator="containsText" text="No">
      <formula>NOT(ISERROR(SEARCH(("No"),(Q855))))</formula>
    </cfRule>
  </conditionalFormatting>
  <conditionalFormatting sqref="Q855">
    <cfRule type="containsText" dxfId="2" priority="15628" operator="containsText" text="Yes">
      <formula>NOT(ISERROR(SEARCH(("Yes"),(Q855))))</formula>
    </cfRule>
  </conditionalFormatting>
  <conditionalFormatting sqref="Q855">
    <cfRule type="containsText" dxfId="9" priority="15629" operator="containsText" text="No">
      <formula>NOT(ISERROR(SEARCH(("No"),(Q855))))</formula>
    </cfRule>
  </conditionalFormatting>
  <conditionalFormatting sqref="Q855">
    <cfRule type="containsText" dxfId="2" priority="15630" operator="containsText" text="Yes">
      <formula>NOT(ISERROR(SEARCH(("Yes"),(Q855))))</formula>
    </cfRule>
  </conditionalFormatting>
  <conditionalFormatting sqref="Q855">
    <cfRule type="containsText" dxfId="9" priority="15631" operator="containsText" text="No">
      <formula>NOT(ISERROR(SEARCH(("No"),(Q855))))</formula>
    </cfRule>
  </conditionalFormatting>
  <conditionalFormatting sqref="Q855">
    <cfRule type="containsText" dxfId="2" priority="15632" operator="containsText" text="Yes">
      <formula>NOT(ISERROR(SEARCH(("Yes"),(Q855))))</formula>
    </cfRule>
  </conditionalFormatting>
  <conditionalFormatting sqref="Q855">
    <cfRule type="containsText" dxfId="9" priority="15633" operator="containsText" text="No">
      <formula>NOT(ISERROR(SEARCH(("No"),(Q855))))</formula>
    </cfRule>
  </conditionalFormatting>
  <conditionalFormatting sqref="Q855">
    <cfRule type="containsText" dxfId="2" priority="15634" operator="containsText" text="Yes">
      <formula>NOT(ISERROR(SEARCH(("Yes"),(Q855))))</formula>
    </cfRule>
  </conditionalFormatting>
  <conditionalFormatting sqref="Q855">
    <cfRule type="containsText" dxfId="9" priority="15635" operator="containsText" text="No">
      <formula>NOT(ISERROR(SEARCH(("No"),(Q855))))</formula>
    </cfRule>
  </conditionalFormatting>
  <conditionalFormatting sqref="Q855">
    <cfRule type="containsText" dxfId="2" priority="15636" operator="containsText" text="Yes">
      <formula>NOT(ISERROR(SEARCH(("Yes"),(Q855))))</formula>
    </cfRule>
  </conditionalFormatting>
  <conditionalFormatting sqref="Q855">
    <cfRule type="containsText" dxfId="9" priority="15637" operator="containsText" text="No">
      <formula>NOT(ISERROR(SEARCH(("No"),(Q855))))</formula>
    </cfRule>
  </conditionalFormatting>
  <conditionalFormatting sqref="Q855">
    <cfRule type="containsText" dxfId="2" priority="15638" operator="containsText" text="Yes">
      <formula>NOT(ISERROR(SEARCH(("Yes"),(Q855))))</formula>
    </cfRule>
  </conditionalFormatting>
  <conditionalFormatting sqref="Q855">
    <cfRule type="containsText" dxfId="9" priority="15639" operator="containsText" text="No">
      <formula>NOT(ISERROR(SEARCH(("No"),(Q855))))</formula>
    </cfRule>
  </conditionalFormatting>
  <conditionalFormatting sqref="Q855">
    <cfRule type="containsText" dxfId="2" priority="15640" operator="containsText" text="Yes">
      <formula>NOT(ISERROR(SEARCH(("Yes"),(Q855))))</formula>
    </cfRule>
  </conditionalFormatting>
  <conditionalFormatting sqref="Q855">
    <cfRule type="containsText" dxfId="9" priority="15641" operator="containsText" text="No">
      <formula>NOT(ISERROR(SEARCH(("No"),(Q855))))</formula>
    </cfRule>
  </conditionalFormatting>
  <conditionalFormatting sqref="Q855">
    <cfRule type="containsText" dxfId="2" priority="15642" operator="containsText" text="Yes">
      <formula>NOT(ISERROR(SEARCH(("Yes"),(Q855))))</formula>
    </cfRule>
  </conditionalFormatting>
  <conditionalFormatting sqref="Q855">
    <cfRule type="containsText" dxfId="9" priority="15643" operator="containsText" text="No">
      <formula>NOT(ISERROR(SEARCH(("No"),(Q855))))</formula>
    </cfRule>
  </conditionalFormatting>
  <conditionalFormatting sqref="Q855">
    <cfRule type="containsText" dxfId="2" priority="15644" operator="containsText" text="Yes">
      <formula>NOT(ISERROR(SEARCH(("Yes"),(Q855))))</formula>
    </cfRule>
  </conditionalFormatting>
  <conditionalFormatting sqref="Q855">
    <cfRule type="containsText" dxfId="9" priority="15645" operator="containsText" text="No">
      <formula>NOT(ISERROR(SEARCH(("No"),(Q855))))</formula>
    </cfRule>
  </conditionalFormatting>
  <conditionalFormatting sqref="Q855">
    <cfRule type="containsText" dxfId="2" priority="15646" operator="containsText" text="Yes">
      <formula>NOT(ISERROR(SEARCH(("Yes"),(Q855))))</formula>
    </cfRule>
  </conditionalFormatting>
  <conditionalFormatting sqref="Q855">
    <cfRule type="containsText" dxfId="9" priority="15647" operator="containsText" text="No">
      <formula>NOT(ISERROR(SEARCH(("No"),(Q855))))</formula>
    </cfRule>
  </conditionalFormatting>
  <conditionalFormatting sqref="Q855">
    <cfRule type="containsText" dxfId="2" priority="15648" operator="containsText" text="Yes">
      <formula>NOT(ISERROR(SEARCH(("Yes"),(Q855))))</formula>
    </cfRule>
  </conditionalFormatting>
  <conditionalFormatting sqref="Q855">
    <cfRule type="containsText" dxfId="9" priority="15649" operator="containsText" text="No">
      <formula>NOT(ISERROR(SEARCH(("No"),(Q855))))</formula>
    </cfRule>
  </conditionalFormatting>
  <conditionalFormatting sqref="Q855">
    <cfRule type="containsText" dxfId="2" priority="15650" operator="containsText" text="Yes">
      <formula>NOT(ISERROR(SEARCH(("Yes"),(Q855))))</formula>
    </cfRule>
  </conditionalFormatting>
  <conditionalFormatting sqref="Q855">
    <cfRule type="containsText" dxfId="9" priority="15651" operator="containsText" text="No">
      <formula>NOT(ISERROR(SEARCH(("No"),(Q855))))</formula>
    </cfRule>
  </conditionalFormatting>
  <conditionalFormatting sqref="Q855">
    <cfRule type="containsText" dxfId="2" priority="15652" operator="containsText" text="Yes">
      <formula>NOT(ISERROR(SEARCH(("Yes"),(Q855))))</formula>
    </cfRule>
  </conditionalFormatting>
  <conditionalFormatting sqref="Q855">
    <cfRule type="containsText" dxfId="9" priority="15653" operator="containsText" text="No">
      <formula>NOT(ISERROR(SEARCH(("No"),(Q855))))</formula>
    </cfRule>
  </conditionalFormatting>
  <conditionalFormatting sqref="Q855">
    <cfRule type="containsText" dxfId="2" priority="15654" operator="containsText" text="Yes">
      <formula>NOT(ISERROR(SEARCH(("Yes"),(Q855))))</formula>
    </cfRule>
  </conditionalFormatting>
  <conditionalFormatting sqref="Q855">
    <cfRule type="containsText" dxfId="9" priority="15655" operator="containsText" text="No">
      <formula>NOT(ISERROR(SEARCH(("No"),(Q855))))</formula>
    </cfRule>
  </conditionalFormatting>
  <conditionalFormatting sqref="Q855">
    <cfRule type="containsText" dxfId="2" priority="15656" operator="containsText" text="Yes">
      <formula>NOT(ISERROR(SEARCH(("Yes"),(Q855))))</formula>
    </cfRule>
  </conditionalFormatting>
  <conditionalFormatting sqref="Q855">
    <cfRule type="containsText" dxfId="9" priority="15657" operator="containsText" text="No">
      <formula>NOT(ISERROR(SEARCH(("No"),(Q855))))</formula>
    </cfRule>
  </conditionalFormatting>
  <conditionalFormatting sqref="Q855">
    <cfRule type="containsText" dxfId="2" priority="15658" operator="containsText" text="Yes">
      <formula>NOT(ISERROR(SEARCH(("Yes"),(Q855))))</formula>
    </cfRule>
  </conditionalFormatting>
  <conditionalFormatting sqref="Q855">
    <cfRule type="containsText" dxfId="9" priority="15659" operator="containsText" text="No">
      <formula>NOT(ISERROR(SEARCH(("No"),(Q855))))</formula>
    </cfRule>
  </conditionalFormatting>
  <conditionalFormatting sqref="Q855">
    <cfRule type="containsText" dxfId="2" priority="15660" operator="containsText" text="Yes">
      <formula>NOT(ISERROR(SEARCH(("Yes"),(Q855))))</formula>
    </cfRule>
  </conditionalFormatting>
  <conditionalFormatting sqref="Q855">
    <cfRule type="containsText" dxfId="9" priority="15661" operator="containsText" text="No">
      <formula>NOT(ISERROR(SEARCH(("No"),(Q855))))</formula>
    </cfRule>
  </conditionalFormatting>
  <conditionalFormatting sqref="Q855">
    <cfRule type="containsText" dxfId="2" priority="15662" operator="containsText" text="Yes">
      <formula>NOT(ISERROR(SEARCH(("Yes"),(Q855))))</formula>
    </cfRule>
  </conditionalFormatting>
  <conditionalFormatting sqref="Q855">
    <cfRule type="containsText" dxfId="9" priority="15663" operator="containsText" text="No">
      <formula>NOT(ISERROR(SEARCH(("No"),(Q855))))</formula>
    </cfRule>
  </conditionalFormatting>
  <conditionalFormatting sqref="Q855">
    <cfRule type="containsText" dxfId="2" priority="15664" operator="containsText" text="Yes">
      <formula>NOT(ISERROR(SEARCH(("Yes"),(Q855))))</formula>
    </cfRule>
  </conditionalFormatting>
  <conditionalFormatting sqref="Q855">
    <cfRule type="containsText" dxfId="9" priority="15665" operator="containsText" text="No">
      <formula>NOT(ISERROR(SEARCH(("No"),(Q855))))</formula>
    </cfRule>
  </conditionalFormatting>
  <conditionalFormatting sqref="Q855">
    <cfRule type="containsText" dxfId="2" priority="15666" operator="containsText" text="Yes">
      <formula>NOT(ISERROR(SEARCH(("Yes"),(Q855))))</formula>
    </cfRule>
  </conditionalFormatting>
  <conditionalFormatting sqref="Q855">
    <cfRule type="containsText" dxfId="9" priority="15667" operator="containsText" text="No">
      <formula>NOT(ISERROR(SEARCH(("No"),(Q855))))</formula>
    </cfRule>
  </conditionalFormatting>
  <conditionalFormatting sqref="Q855">
    <cfRule type="containsText" dxfId="2" priority="15668" operator="containsText" text="Yes">
      <formula>NOT(ISERROR(SEARCH(("Yes"),(Q855))))</formula>
    </cfRule>
  </conditionalFormatting>
  <conditionalFormatting sqref="Q855">
    <cfRule type="containsText" dxfId="9" priority="15669" operator="containsText" text="No">
      <formula>NOT(ISERROR(SEARCH(("No"),(Q855))))</formula>
    </cfRule>
  </conditionalFormatting>
  <conditionalFormatting sqref="Q855">
    <cfRule type="containsText" dxfId="2" priority="15670" operator="containsText" text="Yes">
      <formula>NOT(ISERROR(SEARCH(("Yes"),(Q855))))</formula>
    </cfRule>
  </conditionalFormatting>
  <conditionalFormatting sqref="Q855">
    <cfRule type="containsText" dxfId="9" priority="15671" operator="containsText" text="No">
      <formula>NOT(ISERROR(SEARCH(("No"),(Q855))))</formula>
    </cfRule>
  </conditionalFormatting>
  <conditionalFormatting sqref="Q855">
    <cfRule type="containsText" dxfId="2" priority="15672" operator="containsText" text="Yes">
      <formula>NOT(ISERROR(SEARCH(("Yes"),(Q855))))</formula>
    </cfRule>
  </conditionalFormatting>
  <conditionalFormatting sqref="Q855">
    <cfRule type="containsText" dxfId="9" priority="15673" operator="containsText" text="No">
      <formula>NOT(ISERROR(SEARCH(("No"),(Q855))))</formula>
    </cfRule>
  </conditionalFormatting>
  <conditionalFormatting sqref="Q855">
    <cfRule type="containsText" dxfId="2" priority="15674" operator="containsText" text="Yes">
      <formula>NOT(ISERROR(SEARCH(("Yes"),(Q855))))</formula>
    </cfRule>
  </conditionalFormatting>
  <conditionalFormatting sqref="Q855">
    <cfRule type="containsText" dxfId="9" priority="15675" operator="containsText" text="No">
      <formula>NOT(ISERROR(SEARCH(("No"),(Q855))))</formula>
    </cfRule>
  </conditionalFormatting>
  <conditionalFormatting sqref="Q855">
    <cfRule type="containsText" dxfId="2" priority="15676" operator="containsText" text="Yes">
      <formula>NOT(ISERROR(SEARCH(("Yes"),(Q855))))</formula>
    </cfRule>
  </conditionalFormatting>
  <conditionalFormatting sqref="Q855">
    <cfRule type="containsText" dxfId="9" priority="15677" operator="containsText" text="No">
      <formula>NOT(ISERROR(SEARCH(("No"),(Q855))))</formula>
    </cfRule>
  </conditionalFormatting>
  <conditionalFormatting sqref="Q855">
    <cfRule type="containsText" dxfId="2" priority="15678" operator="containsText" text="Yes">
      <formula>NOT(ISERROR(SEARCH(("Yes"),(Q855))))</formula>
    </cfRule>
  </conditionalFormatting>
  <conditionalFormatting sqref="Q855">
    <cfRule type="containsText" dxfId="9" priority="15679" operator="containsText" text="No">
      <formula>NOT(ISERROR(SEARCH(("No"),(Q855))))</formula>
    </cfRule>
  </conditionalFormatting>
  <conditionalFormatting sqref="Q855">
    <cfRule type="containsText" dxfId="2" priority="15680" operator="containsText" text="Yes">
      <formula>NOT(ISERROR(SEARCH(("Yes"),(Q855))))</formula>
    </cfRule>
  </conditionalFormatting>
  <conditionalFormatting sqref="Q855">
    <cfRule type="containsText" dxfId="9" priority="15681" operator="containsText" text="No">
      <formula>NOT(ISERROR(SEARCH(("No"),(Q855))))</formula>
    </cfRule>
  </conditionalFormatting>
  <conditionalFormatting sqref="Q855">
    <cfRule type="containsText" dxfId="2" priority="15682" operator="containsText" text="Yes">
      <formula>NOT(ISERROR(SEARCH(("Yes"),(Q855))))</formula>
    </cfRule>
  </conditionalFormatting>
  <conditionalFormatting sqref="Q855">
    <cfRule type="containsText" dxfId="9" priority="15683" operator="containsText" text="No">
      <formula>NOT(ISERROR(SEARCH(("No"),(Q855))))</formula>
    </cfRule>
  </conditionalFormatting>
  <conditionalFormatting sqref="Q855">
    <cfRule type="containsText" dxfId="2" priority="15684" operator="containsText" text="Yes">
      <formula>NOT(ISERROR(SEARCH(("Yes"),(Q855))))</formula>
    </cfRule>
  </conditionalFormatting>
  <conditionalFormatting sqref="Q855">
    <cfRule type="containsText" dxfId="9" priority="15685" operator="containsText" text="No">
      <formula>NOT(ISERROR(SEARCH(("No"),(Q855))))</formula>
    </cfRule>
  </conditionalFormatting>
  <conditionalFormatting sqref="Q855">
    <cfRule type="containsText" dxfId="2" priority="15686" operator="containsText" text="Yes">
      <formula>NOT(ISERROR(SEARCH(("Yes"),(Q855))))</formula>
    </cfRule>
  </conditionalFormatting>
  <conditionalFormatting sqref="Q855">
    <cfRule type="containsText" dxfId="9" priority="15687" operator="containsText" text="No">
      <formula>NOT(ISERROR(SEARCH(("No"),(Q855))))</formula>
    </cfRule>
  </conditionalFormatting>
  <conditionalFormatting sqref="Q855">
    <cfRule type="containsText" dxfId="2" priority="15688" operator="containsText" text="Yes">
      <formula>NOT(ISERROR(SEARCH(("Yes"),(Q855))))</formula>
    </cfRule>
  </conditionalFormatting>
  <conditionalFormatting sqref="Q855">
    <cfRule type="containsText" dxfId="9" priority="15689" operator="containsText" text="No">
      <formula>NOT(ISERROR(SEARCH(("No"),(Q855))))</formula>
    </cfRule>
  </conditionalFormatting>
  <conditionalFormatting sqref="Q855">
    <cfRule type="containsText" dxfId="2" priority="15690" operator="containsText" text="Yes">
      <formula>NOT(ISERROR(SEARCH(("Yes"),(Q855))))</formula>
    </cfRule>
  </conditionalFormatting>
  <conditionalFormatting sqref="Q855">
    <cfRule type="containsText" dxfId="9" priority="15691" operator="containsText" text="No">
      <formula>NOT(ISERROR(SEARCH(("No"),(Q855))))</formula>
    </cfRule>
  </conditionalFormatting>
  <conditionalFormatting sqref="Q855">
    <cfRule type="containsText" dxfId="2" priority="15692" operator="containsText" text="Yes">
      <formula>NOT(ISERROR(SEARCH(("Yes"),(Q855))))</formula>
    </cfRule>
  </conditionalFormatting>
  <conditionalFormatting sqref="Q855">
    <cfRule type="containsText" dxfId="9" priority="15693" operator="containsText" text="No">
      <formula>NOT(ISERROR(SEARCH(("No"),(Q855))))</formula>
    </cfRule>
  </conditionalFormatting>
  <conditionalFormatting sqref="Q855">
    <cfRule type="containsText" dxfId="2" priority="15694" operator="containsText" text="Yes">
      <formula>NOT(ISERROR(SEARCH(("Yes"),(Q855))))</formula>
    </cfRule>
  </conditionalFormatting>
  <conditionalFormatting sqref="Q855">
    <cfRule type="containsText" dxfId="9" priority="15695" operator="containsText" text="No">
      <formula>NOT(ISERROR(SEARCH(("No"),(Q855))))</formula>
    </cfRule>
  </conditionalFormatting>
  <conditionalFormatting sqref="Q855">
    <cfRule type="containsText" dxfId="2" priority="15696" operator="containsText" text="Yes">
      <formula>NOT(ISERROR(SEARCH(("Yes"),(Q855))))</formula>
    </cfRule>
  </conditionalFormatting>
  <conditionalFormatting sqref="Q855">
    <cfRule type="containsText" dxfId="9" priority="15697" operator="containsText" text="No">
      <formula>NOT(ISERROR(SEARCH(("No"),(Q855))))</formula>
    </cfRule>
  </conditionalFormatting>
  <conditionalFormatting sqref="Q855">
    <cfRule type="containsText" dxfId="2" priority="15698" operator="containsText" text="Yes">
      <formula>NOT(ISERROR(SEARCH(("Yes"),(Q855))))</formula>
    </cfRule>
  </conditionalFormatting>
  <conditionalFormatting sqref="Q855">
    <cfRule type="containsText" dxfId="9" priority="15699" operator="containsText" text="No">
      <formula>NOT(ISERROR(SEARCH(("No"),(Q855))))</formula>
    </cfRule>
  </conditionalFormatting>
  <conditionalFormatting sqref="Q855">
    <cfRule type="containsText" dxfId="2" priority="15700" operator="containsText" text="Yes">
      <formula>NOT(ISERROR(SEARCH(("Yes"),(Q855))))</formula>
    </cfRule>
  </conditionalFormatting>
  <conditionalFormatting sqref="Q855">
    <cfRule type="containsText" dxfId="2" priority="15701" operator="containsText" text="Yes">
      <formula>NOT(ISERROR(SEARCH(("Yes"),(Q855))))</formula>
    </cfRule>
  </conditionalFormatting>
  <conditionalFormatting sqref="Q855">
    <cfRule type="containsText" dxfId="9" priority="15702" operator="containsText" text="No">
      <formula>NOT(ISERROR(SEARCH(("No"),(Q855))))</formula>
    </cfRule>
  </conditionalFormatting>
  <conditionalFormatting sqref="Q855">
    <cfRule type="containsText" dxfId="2" priority="15703" operator="containsText" text="Yes">
      <formula>NOT(ISERROR(SEARCH(("Yes"),(Q855))))</formula>
    </cfRule>
  </conditionalFormatting>
  <conditionalFormatting sqref="Q856">
    <cfRule type="containsText" dxfId="2" priority="15704" operator="containsText" text="Yes">
      <formula>NOT(ISERROR(SEARCH(("Yes"),(Q856))))</formula>
    </cfRule>
  </conditionalFormatting>
  <conditionalFormatting sqref="Q856">
    <cfRule type="containsText" dxfId="9" priority="15705" operator="containsText" text="No">
      <formula>NOT(ISERROR(SEARCH(("No"),(Q856))))</formula>
    </cfRule>
  </conditionalFormatting>
  <conditionalFormatting sqref="Q856">
    <cfRule type="containsText" dxfId="2" priority="15706" operator="containsText" text="Yes">
      <formula>NOT(ISERROR(SEARCH(("Yes"),(Q856))))</formula>
    </cfRule>
  </conditionalFormatting>
  <conditionalFormatting sqref="Q856">
    <cfRule type="containsText" dxfId="9" priority="15707" operator="containsText" text="No">
      <formula>NOT(ISERROR(SEARCH(("No"),(Q856))))</formula>
    </cfRule>
  </conditionalFormatting>
  <conditionalFormatting sqref="Q856">
    <cfRule type="containsText" dxfId="2" priority="15708" operator="containsText" text="Yes">
      <formula>NOT(ISERROR(SEARCH(("Yes"),(Q856))))</formula>
    </cfRule>
  </conditionalFormatting>
  <conditionalFormatting sqref="Q856">
    <cfRule type="containsText" dxfId="9" priority="15709" operator="containsText" text="No">
      <formula>NOT(ISERROR(SEARCH(("No"),(Q856))))</formula>
    </cfRule>
  </conditionalFormatting>
  <conditionalFormatting sqref="Q856">
    <cfRule type="containsText" dxfId="2" priority="15710" operator="containsText" text="Yes">
      <formula>NOT(ISERROR(SEARCH(("Yes"),(Q856))))</formula>
    </cfRule>
  </conditionalFormatting>
  <conditionalFormatting sqref="Q856">
    <cfRule type="containsText" dxfId="9" priority="15711" operator="containsText" text="No">
      <formula>NOT(ISERROR(SEARCH(("No"),(Q856))))</formula>
    </cfRule>
  </conditionalFormatting>
  <conditionalFormatting sqref="Q856">
    <cfRule type="containsText" dxfId="2" priority="15712" operator="containsText" text="Yes">
      <formula>NOT(ISERROR(SEARCH(("Yes"),(Q856))))</formula>
    </cfRule>
  </conditionalFormatting>
  <conditionalFormatting sqref="Q856">
    <cfRule type="containsText" dxfId="9" priority="15713" operator="containsText" text="No">
      <formula>NOT(ISERROR(SEARCH(("No"),(Q856))))</formula>
    </cfRule>
  </conditionalFormatting>
  <conditionalFormatting sqref="Q856">
    <cfRule type="containsText" dxfId="2" priority="15714" operator="containsText" text="Yes">
      <formula>NOT(ISERROR(SEARCH(("Yes"),(Q856))))</formula>
    </cfRule>
  </conditionalFormatting>
  <conditionalFormatting sqref="Q856">
    <cfRule type="containsText" dxfId="9" priority="15715" operator="containsText" text="No">
      <formula>NOT(ISERROR(SEARCH(("No"),(Q856))))</formula>
    </cfRule>
  </conditionalFormatting>
  <conditionalFormatting sqref="Q856">
    <cfRule type="containsText" dxfId="2" priority="15716" operator="containsText" text="Yes">
      <formula>NOT(ISERROR(SEARCH(("Yes"),(Q856))))</formula>
    </cfRule>
  </conditionalFormatting>
  <conditionalFormatting sqref="Q856">
    <cfRule type="containsText" dxfId="9" priority="15717" operator="containsText" text="No">
      <formula>NOT(ISERROR(SEARCH(("No"),(Q856))))</formula>
    </cfRule>
  </conditionalFormatting>
  <conditionalFormatting sqref="Q856">
    <cfRule type="containsText" dxfId="2" priority="15718" operator="containsText" text="Yes">
      <formula>NOT(ISERROR(SEARCH(("Yes"),(Q856))))</formula>
    </cfRule>
  </conditionalFormatting>
  <conditionalFormatting sqref="Q856">
    <cfRule type="containsText" dxfId="9" priority="15719" operator="containsText" text="No">
      <formula>NOT(ISERROR(SEARCH(("No"),(Q856))))</formula>
    </cfRule>
  </conditionalFormatting>
  <conditionalFormatting sqref="Q856">
    <cfRule type="containsText" dxfId="2" priority="15720" operator="containsText" text="Yes">
      <formula>NOT(ISERROR(SEARCH(("Yes"),(Q856))))</formula>
    </cfRule>
  </conditionalFormatting>
  <conditionalFormatting sqref="Q856">
    <cfRule type="containsText" dxfId="9" priority="15721" operator="containsText" text="No">
      <formula>NOT(ISERROR(SEARCH(("No"),(Q856))))</formula>
    </cfRule>
  </conditionalFormatting>
  <conditionalFormatting sqref="Q856">
    <cfRule type="containsText" dxfId="2" priority="15722" operator="containsText" text="Yes">
      <formula>NOT(ISERROR(SEARCH(("Yes"),(Q856))))</formula>
    </cfRule>
  </conditionalFormatting>
  <conditionalFormatting sqref="Q856">
    <cfRule type="containsText" dxfId="9" priority="15723" operator="containsText" text="No">
      <formula>NOT(ISERROR(SEARCH(("No"),(Q856))))</formula>
    </cfRule>
  </conditionalFormatting>
  <conditionalFormatting sqref="Q856">
    <cfRule type="containsText" dxfId="2" priority="15724" operator="containsText" text="Yes">
      <formula>NOT(ISERROR(SEARCH(("Yes"),(Q856))))</formula>
    </cfRule>
  </conditionalFormatting>
  <conditionalFormatting sqref="Q856">
    <cfRule type="containsText" dxfId="9" priority="15725" operator="containsText" text="No">
      <formula>NOT(ISERROR(SEARCH(("No"),(Q856))))</formula>
    </cfRule>
  </conditionalFormatting>
  <conditionalFormatting sqref="Q856">
    <cfRule type="containsText" dxfId="2" priority="15726" operator="containsText" text="Yes">
      <formula>NOT(ISERROR(SEARCH(("Yes"),(Q856))))</formula>
    </cfRule>
  </conditionalFormatting>
  <conditionalFormatting sqref="Q856">
    <cfRule type="containsText" dxfId="9" priority="15727" operator="containsText" text="No">
      <formula>NOT(ISERROR(SEARCH(("No"),(Q856))))</formula>
    </cfRule>
  </conditionalFormatting>
  <conditionalFormatting sqref="Q856">
    <cfRule type="containsText" dxfId="2" priority="15728" operator="containsText" text="Yes">
      <formula>NOT(ISERROR(SEARCH(("Yes"),(Q856))))</formula>
    </cfRule>
  </conditionalFormatting>
  <conditionalFormatting sqref="Q856">
    <cfRule type="containsText" dxfId="9" priority="15729" operator="containsText" text="No">
      <formula>NOT(ISERROR(SEARCH(("No"),(Q856))))</formula>
    </cfRule>
  </conditionalFormatting>
  <conditionalFormatting sqref="Q856">
    <cfRule type="containsText" dxfId="2" priority="15730" operator="containsText" text="Yes">
      <formula>NOT(ISERROR(SEARCH(("Yes"),(Q856))))</formula>
    </cfRule>
  </conditionalFormatting>
  <conditionalFormatting sqref="Q856">
    <cfRule type="containsText" dxfId="9" priority="15731" operator="containsText" text="No">
      <formula>NOT(ISERROR(SEARCH(("No"),(Q856))))</formula>
    </cfRule>
  </conditionalFormatting>
  <conditionalFormatting sqref="Q856">
    <cfRule type="containsText" dxfId="2" priority="15732" operator="containsText" text="Yes">
      <formula>NOT(ISERROR(SEARCH(("Yes"),(Q856))))</formula>
    </cfRule>
  </conditionalFormatting>
  <conditionalFormatting sqref="Q856">
    <cfRule type="containsText" dxfId="9" priority="15733" operator="containsText" text="No">
      <formula>NOT(ISERROR(SEARCH(("No"),(Q856))))</formula>
    </cfRule>
  </conditionalFormatting>
  <conditionalFormatting sqref="Q856">
    <cfRule type="containsText" dxfId="2" priority="15734" operator="containsText" text="Yes">
      <formula>NOT(ISERROR(SEARCH(("Yes"),(Q856))))</formula>
    </cfRule>
  </conditionalFormatting>
  <conditionalFormatting sqref="Q856">
    <cfRule type="containsText" dxfId="9" priority="15735" operator="containsText" text="No">
      <formula>NOT(ISERROR(SEARCH(("No"),(Q856))))</formula>
    </cfRule>
  </conditionalFormatting>
  <conditionalFormatting sqref="Q856">
    <cfRule type="containsText" dxfId="2" priority="15736" operator="containsText" text="Yes">
      <formula>NOT(ISERROR(SEARCH(("Yes"),(Q856))))</formula>
    </cfRule>
  </conditionalFormatting>
  <conditionalFormatting sqref="Q856">
    <cfRule type="containsText" dxfId="9" priority="15737" operator="containsText" text="No">
      <formula>NOT(ISERROR(SEARCH(("No"),(Q856))))</formula>
    </cfRule>
  </conditionalFormatting>
  <conditionalFormatting sqref="Q856">
    <cfRule type="containsText" dxfId="2" priority="15738" operator="containsText" text="Yes">
      <formula>NOT(ISERROR(SEARCH(("Yes"),(Q856))))</formula>
    </cfRule>
  </conditionalFormatting>
  <conditionalFormatting sqref="Q856">
    <cfRule type="containsText" dxfId="9" priority="15739" operator="containsText" text="No">
      <formula>NOT(ISERROR(SEARCH(("No"),(Q856))))</formula>
    </cfRule>
  </conditionalFormatting>
  <conditionalFormatting sqref="Q856">
    <cfRule type="containsText" dxfId="2" priority="15740" operator="containsText" text="Yes">
      <formula>NOT(ISERROR(SEARCH(("Yes"),(Q856))))</formula>
    </cfRule>
  </conditionalFormatting>
  <conditionalFormatting sqref="Q856">
    <cfRule type="containsText" dxfId="9" priority="15741" operator="containsText" text="No">
      <formula>NOT(ISERROR(SEARCH(("No"),(Q856))))</formula>
    </cfRule>
  </conditionalFormatting>
  <conditionalFormatting sqref="Q856">
    <cfRule type="containsText" dxfId="2" priority="15742" operator="containsText" text="Yes">
      <formula>NOT(ISERROR(SEARCH(("Yes"),(Q856))))</formula>
    </cfRule>
  </conditionalFormatting>
  <conditionalFormatting sqref="Q856">
    <cfRule type="containsText" dxfId="9" priority="15743" operator="containsText" text="No">
      <formula>NOT(ISERROR(SEARCH(("No"),(Q856))))</formula>
    </cfRule>
  </conditionalFormatting>
  <conditionalFormatting sqref="Q856">
    <cfRule type="containsText" dxfId="2" priority="15744" operator="containsText" text="Yes">
      <formula>NOT(ISERROR(SEARCH(("Yes"),(Q856))))</formula>
    </cfRule>
  </conditionalFormatting>
  <conditionalFormatting sqref="Q856">
    <cfRule type="containsText" dxfId="9" priority="15745" operator="containsText" text="No">
      <formula>NOT(ISERROR(SEARCH(("No"),(Q856))))</formula>
    </cfRule>
  </conditionalFormatting>
  <conditionalFormatting sqref="Q856">
    <cfRule type="containsText" dxfId="2" priority="15746" operator="containsText" text="Yes">
      <formula>NOT(ISERROR(SEARCH(("Yes"),(Q856))))</formula>
    </cfRule>
  </conditionalFormatting>
  <conditionalFormatting sqref="Q856">
    <cfRule type="containsText" dxfId="9" priority="15747" operator="containsText" text="No">
      <formula>NOT(ISERROR(SEARCH(("No"),(Q856))))</formula>
    </cfRule>
  </conditionalFormatting>
  <conditionalFormatting sqref="Q856">
    <cfRule type="containsText" dxfId="2" priority="15748" operator="containsText" text="Yes">
      <formula>NOT(ISERROR(SEARCH(("Yes"),(Q856))))</formula>
    </cfRule>
  </conditionalFormatting>
  <conditionalFormatting sqref="Q856">
    <cfRule type="containsText" dxfId="9" priority="15749" operator="containsText" text="No">
      <formula>NOT(ISERROR(SEARCH(("No"),(Q856))))</formula>
    </cfRule>
  </conditionalFormatting>
  <conditionalFormatting sqref="Q856">
    <cfRule type="containsText" dxfId="2" priority="15750" operator="containsText" text="Yes">
      <formula>NOT(ISERROR(SEARCH(("Yes"),(Q856))))</formula>
    </cfRule>
  </conditionalFormatting>
  <conditionalFormatting sqref="Q856">
    <cfRule type="containsText" dxfId="9" priority="15751" operator="containsText" text="No">
      <formula>NOT(ISERROR(SEARCH(("No"),(Q856))))</formula>
    </cfRule>
  </conditionalFormatting>
  <conditionalFormatting sqref="Q856">
    <cfRule type="containsText" dxfId="2" priority="15752" operator="containsText" text="Yes">
      <formula>NOT(ISERROR(SEARCH(("Yes"),(Q856))))</formula>
    </cfRule>
  </conditionalFormatting>
  <conditionalFormatting sqref="Q856">
    <cfRule type="containsText" dxfId="9" priority="15753" operator="containsText" text="No">
      <formula>NOT(ISERROR(SEARCH(("No"),(Q856))))</formula>
    </cfRule>
  </conditionalFormatting>
  <conditionalFormatting sqref="Q856">
    <cfRule type="containsText" dxfId="2" priority="15754" operator="containsText" text="Yes">
      <formula>NOT(ISERROR(SEARCH(("Yes"),(Q856))))</formula>
    </cfRule>
  </conditionalFormatting>
  <conditionalFormatting sqref="Q856">
    <cfRule type="containsText" dxfId="9" priority="15755" operator="containsText" text="No">
      <formula>NOT(ISERROR(SEARCH(("No"),(Q856))))</formula>
    </cfRule>
  </conditionalFormatting>
  <conditionalFormatting sqref="Q856">
    <cfRule type="containsText" dxfId="2" priority="15756" operator="containsText" text="Yes">
      <formula>NOT(ISERROR(SEARCH(("Yes"),(Q856))))</formula>
    </cfRule>
  </conditionalFormatting>
  <conditionalFormatting sqref="Q856">
    <cfRule type="containsText" dxfId="9" priority="15757" operator="containsText" text="No">
      <formula>NOT(ISERROR(SEARCH(("No"),(Q856))))</formula>
    </cfRule>
  </conditionalFormatting>
  <conditionalFormatting sqref="Q856">
    <cfRule type="containsText" dxfId="2" priority="15758" operator="containsText" text="Yes">
      <formula>NOT(ISERROR(SEARCH(("Yes"),(Q856))))</formula>
    </cfRule>
  </conditionalFormatting>
  <conditionalFormatting sqref="Q856">
    <cfRule type="containsText" dxfId="9" priority="15759" operator="containsText" text="No">
      <formula>NOT(ISERROR(SEARCH(("No"),(Q856))))</formula>
    </cfRule>
  </conditionalFormatting>
  <conditionalFormatting sqref="Q856">
    <cfRule type="containsText" dxfId="2" priority="15760" operator="containsText" text="Yes">
      <formula>NOT(ISERROR(SEARCH(("Yes"),(Q856))))</formula>
    </cfRule>
  </conditionalFormatting>
  <conditionalFormatting sqref="Q856">
    <cfRule type="containsText" dxfId="9" priority="15761" operator="containsText" text="No">
      <formula>NOT(ISERROR(SEARCH(("No"),(Q856))))</formula>
    </cfRule>
  </conditionalFormatting>
  <conditionalFormatting sqref="Q856">
    <cfRule type="containsText" dxfId="2" priority="15762" operator="containsText" text="Yes">
      <formula>NOT(ISERROR(SEARCH(("Yes"),(Q856))))</formula>
    </cfRule>
  </conditionalFormatting>
  <conditionalFormatting sqref="Q856">
    <cfRule type="containsText" dxfId="9" priority="15763" operator="containsText" text="No">
      <formula>NOT(ISERROR(SEARCH(("No"),(Q856))))</formula>
    </cfRule>
  </conditionalFormatting>
  <conditionalFormatting sqref="Q856">
    <cfRule type="containsText" dxfId="2" priority="15764" operator="containsText" text="Yes">
      <formula>NOT(ISERROR(SEARCH(("Yes"),(Q856))))</formula>
    </cfRule>
  </conditionalFormatting>
  <conditionalFormatting sqref="Q856">
    <cfRule type="containsText" dxfId="9" priority="15765" operator="containsText" text="No">
      <formula>NOT(ISERROR(SEARCH(("No"),(Q856))))</formula>
    </cfRule>
  </conditionalFormatting>
  <conditionalFormatting sqref="Q856">
    <cfRule type="containsText" dxfId="2" priority="15766" operator="containsText" text="Yes">
      <formula>NOT(ISERROR(SEARCH(("Yes"),(Q856))))</formula>
    </cfRule>
  </conditionalFormatting>
  <conditionalFormatting sqref="Q856">
    <cfRule type="containsText" dxfId="9" priority="15767" operator="containsText" text="No">
      <formula>NOT(ISERROR(SEARCH(("No"),(Q856))))</formula>
    </cfRule>
  </conditionalFormatting>
  <conditionalFormatting sqref="Q856">
    <cfRule type="containsText" dxfId="2" priority="15768" operator="containsText" text="Yes">
      <formula>NOT(ISERROR(SEARCH(("Yes"),(Q856))))</formula>
    </cfRule>
  </conditionalFormatting>
  <conditionalFormatting sqref="Q856">
    <cfRule type="containsText" dxfId="9" priority="15769" operator="containsText" text="No">
      <formula>NOT(ISERROR(SEARCH(("No"),(Q856))))</formula>
    </cfRule>
  </conditionalFormatting>
  <conditionalFormatting sqref="Q856">
    <cfRule type="containsText" dxfId="2" priority="15770" operator="containsText" text="Yes">
      <formula>NOT(ISERROR(SEARCH(("Yes"),(Q856))))</formula>
    </cfRule>
  </conditionalFormatting>
  <conditionalFormatting sqref="Q856">
    <cfRule type="containsText" dxfId="9" priority="15771" operator="containsText" text="No">
      <formula>NOT(ISERROR(SEARCH(("No"),(Q856))))</formula>
    </cfRule>
  </conditionalFormatting>
  <conditionalFormatting sqref="Q856">
    <cfRule type="containsText" dxfId="2" priority="15772" operator="containsText" text="Yes">
      <formula>NOT(ISERROR(SEARCH(("Yes"),(Q856))))</formula>
    </cfRule>
  </conditionalFormatting>
  <conditionalFormatting sqref="Q856">
    <cfRule type="containsText" dxfId="9" priority="15773" operator="containsText" text="No">
      <formula>NOT(ISERROR(SEARCH(("No"),(Q856))))</formula>
    </cfRule>
  </conditionalFormatting>
  <conditionalFormatting sqref="Q856">
    <cfRule type="containsText" dxfId="2" priority="15774" operator="containsText" text="Yes">
      <formula>NOT(ISERROR(SEARCH(("Yes"),(Q856))))</formula>
    </cfRule>
  </conditionalFormatting>
  <conditionalFormatting sqref="Q856">
    <cfRule type="containsText" dxfId="9" priority="15775" operator="containsText" text="No">
      <formula>NOT(ISERROR(SEARCH(("No"),(Q856))))</formula>
    </cfRule>
  </conditionalFormatting>
  <conditionalFormatting sqref="Q856">
    <cfRule type="containsText" dxfId="2" priority="15776" operator="containsText" text="Yes">
      <formula>NOT(ISERROR(SEARCH(("Yes"),(Q856))))</formula>
    </cfRule>
  </conditionalFormatting>
  <conditionalFormatting sqref="Q856">
    <cfRule type="containsText" dxfId="9" priority="15777" operator="containsText" text="No">
      <formula>NOT(ISERROR(SEARCH(("No"),(Q856))))</formula>
    </cfRule>
  </conditionalFormatting>
  <conditionalFormatting sqref="Q856">
    <cfRule type="containsText" dxfId="2" priority="15778" operator="containsText" text="Yes">
      <formula>NOT(ISERROR(SEARCH(("Yes"),(Q856))))</formula>
    </cfRule>
  </conditionalFormatting>
  <conditionalFormatting sqref="Q856">
    <cfRule type="containsText" dxfId="9" priority="15779" operator="containsText" text="No">
      <formula>NOT(ISERROR(SEARCH(("No"),(Q856))))</formula>
    </cfRule>
  </conditionalFormatting>
  <conditionalFormatting sqref="Q856">
    <cfRule type="containsText" dxfId="2" priority="15780" operator="containsText" text="Yes">
      <formula>NOT(ISERROR(SEARCH(("Yes"),(Q856))))</formula>
    </cfRule>
  </conditionalFormatting>
  <conditionalFormatting sqref="Q856">
    <cfRule type="containsText" dxfId="9" priority="15781" operator="containsText" text="No">
      <formula>NOT(ISERROR(SEARCH(("No"),(Q856))))</formula>
    </cfRule>
  </conditionalFormatting>
  <conditionalFormatting sqref="Q856">
    <cfRule type="containsText" dxfId="2" priority="15782" operator="containsText" text="Yes">
      <formula>NOT(ISERROR(SEARCH(("Yes"),(Q856))))</formula>
    </cfRule>
  </conditionalFormatting>
  <conditionalFormatting sqref="Q856">
    <cfRule type="containsText" dxfId="9" priority="15783" operator="containsText" text="No">
      <formula>NOT(ISERROR(SEARCH(("No"),(Q856))))</formula>
    </cfRule>
  </conditionalFormatting>
  <conditionalFormatting sqref="Q856">
    <cfRule type="containsText" dxfId="2" priority="15784" operator="containsText" text="Yes">
      <formula>NOT(ISERROR(SEARCH(("Yes"),(Q856))))</formula>
    </cfRule>
  </conditionalFormatting>
  <conditionalFormatting sqref="Q856">
    <cfRule type="containsText" dxfId="9" priority="15785" operator="containsText" text="No">
      <formula>NOT(ISERROR(SEARCH(("No"),(Q856))))</formula>
    </cfRule>
  </conditionalFormatting>
  <conditionalFormatting sqref="Q856">
    <cfRule type="containsText" dxfId="2" priority="15786" operator="containsText" text="Yes">
      <formula>NOT(ISERROR(SEARCH(("Yes"),(Q856))))</formula>
    </cfRule>
  </conditionalFormatting>
  <conditionalFormatting sqref="Q856">
    <cfRule type="containsText" dxfId="9" priority="15787" operator="containsText" text="No">
      <formula>NOT(ISERROR(SEARCH(("No"),(Q856))))</formula>
    </cfRule>
  </conditionalFormatting>
  <conditionalFormatting sqref="Q856">
    <cfRule type="containsText" dxfId="2" priority="15788" operator="containsText" text="Yes">
      <formula>NOT(ISERROR(SEARCH(("Yes"),(Q856))))</formula>
    </cfRule>
  </conditionalFormatting>
  <conditionalFormatting sqref="Q856">
    <cfRule type="containsText" dxfId="9" priority="15789" operator="containsText" text="No">
      <formula>NOT(ISERROR(SEARCH(("No"),(Q856))))</formula>
    </cfRule>
  </conditionalFormatting>
  <conditionalFormatting sqref="Q856">
    <cfRule type="containsText" dxfId="2" priority="15790" operator="containsText" text="Yes">
      <formula>NOT(ISERROR(SEARCH(("Yes"),(Q856))))</formula>
    </cfRule>
  </conditionalFormatting>
  <conditionalFormatting sqref="Q856">
    <cfRule type="containsText" dxfId="9" priority="15791" operator="containsText" text="No">
      <formula>NOT(ISERROR(SEARCH(("No"),(Q856))))</formula>
    </cfRule>
  </conditionalFormatting>
  <conditionalFormatting sqref="Q856">
    <cfRule type="containsText" dxfId="2" priority="15792" operator="containsText" text="Yes">
      <formula>NOT(ISERROR(SEARCH(("Yes"),(Q856))))</formula>
    </cfRule>
  </conditionalFormatting>
  <conditionalFormatting sqref="Q856">
    <cfRule type="containsText" dxfId="2" priority="15793" operator="containsText" text="Yes">
      <formula>NOT(ISERROR(SEARCH(("Yes"),(Q856))))</formula>
    </cfRule>
  </conditionalFormatting>
  <conditionalFormatting sqref="Q856">
    <cfRule type="containsText" dxfId="9" priority="15794" operator="containsText" text="No">
      <formula>NOT(ISERROR(SEARCH(("No"),(Q856))))</formula>
    </cfRule>
  </conditionalFormatting>
  <conditionalFormatting sqref="Q856">
    <cfRule type="containsText" dxfId="2" priority="15795" operator="containsText" text="Yes">
      <formula>NOT(ISERROR(SEARCH(("Yes"),(Q856))))</formula>
    </cfRule>
  </conditionalFormatting>
  <conditionalFormatting sqref="Q857:Q860">
    <cfRule type="containsText" dxfId="2" priority="15796" operator="containsText" text="Yes">
      <formula>NOT(ISERROR(SEARCH(("Yes"),(Q857))))</formula>
    </cfRule>
  </conditionalFormatting>
  <conditionalFormatting sqref="Q857:Q860">
    <cfRule type="containsText" dxfId="9" priority="15797" operator="containsText" text="No">
      <formula>NOT(ISERROR(SEARCH(("No"),(Q857))))</formula>
    </cfRule>
  </conditionalFormatting>
  <conditionalFormatting sqref="Q857:Q860">
    <cfRule type="containsText" dxfId="2" priority="15798" operator="containsText" text="Yes">
      <formula>NOT(ISERROR(SEARCH(("Yes"),(Q857))))</formula>
    </cfRule>
  </conditionalFormatting>
  <conditionalFormatting sqref="Q857:Q860">
    <cfRule type="containsText" dxfId="9" priority="15799" operator="containsText" text="No">
      <formula>NOT(ISERROR(SEARCH(("No"),(Q857))))</formula>
    </cfRule>
  </conditionalFormatting>
  <conditionalFormatting sqref="Q857:Q860">
    <cfRule type="containsText" dxfId="2" priority="15800" operator="containsText" text="Yes">
      <formula>NOT(ISERROR(SEARCH(("Yes"),(Q857))))</formula>
    </cfRule>
  </conditionalFormatting>
  <conditionalFormatting sqref="Q857:Q860">
    <cfRule type="containsText" dxfId="9" priority="15801" operator="containsText" text="No">
      <formula>NOT(ISERROR(SEARCH(("No"),(Q857))))</formula>
    </cfRule>
  </conditionalFormatting>
  <conditionalFormatting sqref="Q857:Q860">
    <cfRule type="containsText" dxfId="2" priority="15802" operator="containsText" text="Yes">
      <formula>NOT(ISERROR(SEARCH(("Yes"),(Q857))))</formula>
    </cfRule>
  </conditionalFormatting>
  <conditionalFormatting sqref="Q857:Q860">
    <cfRule type="containsText" dxfId="9" priority="15803" operator="containsText" text="No">
      <formula>NOT(ISERROR(SEARCH(("No"),(Q857))))</formula>
    </cfRule>
  </conditionalFormatting>
  <conditionalFormatting sqref="Q857:Q860">
    <cfRule type="containsText" dxfId="2" priority="15804" operator="containsText" text="Yes">
      <formula>NOT(ISERROR(SEARCH(("Yes"),(Q857))))</formula>
    </cfRule>
  </conditionalFormatting>
  <conditionalFormatting sqref="Q857:Q860">
    <cfRule type="containsText" dxfId="9" priority="15805" operator="containsText" text="No">
      <formula>NOT(ISERROR(SEARCH(("No"),(Q857))))</formula>
    </cfRule>
  </conditionalFormatting>
  <conditionalFormatting sqref="Q857:Q860">
    <cfRule type="containsText" dxfId="2" priority="15806" operator="containsText" text="Yes">
      <formula>NOT(ISERROR(SEARCH(("Yes"),(Q857))))</formula>
    </cfRule>
  </conditionalFormatting>
  <conditionalFormatting sqref="Q857:Q860">
    <cfRule type="containsText" dxfId="9" priority="15807" operator="containsText" text="No">
      <formula>NOT(ISERROR(SEARCH(("No"),(Q857))))</formula>
    </cfRule>
  </conditionalFormatting>
  <conditionalFormatting sqref="Q857:Q860">
    <cfRule type="containsText" dxfId="2" priority="15808" operator="containsText" text="Yes">
      <formula>NOT(ISERROR(SEARCH(("Yes"),(Q857))))</formula>
    </cfRule>
  </conditionalFormatting>
  <conditionalFormatting sqref="Q857:Q860">
    <cfRule type="containsText" dxfId="9" priority="15809" operator="containsText" text="No">
      <formula>NOT(ISERROR(SEARCH(("No"),(Q857))))</formula>
    </cfRule>
  </conditionalFormatting>
  <conditionalFormatting sqref="Q857:Q860">
    <cfRule type="containsText" dxfId="2" priority="15810" operator="containsText" text="Yes">
      <formula>NOT(ISERROR(SEARCH(("Yes"),(Q857))))</formula>
    </cfRule>
  </conditionalFormatting>
  <conditionalFormatting sqref="Q857:Q860">
    <cfRule type="containsText" dxfId="9" priority="15811" operator="containsText" text="No">
      <formula>NOT(ISERROR(SEARCH(("No"),(Q857))))</formula>
    </cfRule>
  </conditionalFormatting>
  <conditionalFormatting sqref="Q857:Q860">
    <cfRule type="containsText" dxfId="2" priority="15812" operator="containsText" text="Yes">
      <formula>NOT(ISERROR(SEARCH(("Yes"),(Q857))))</formula>
    </cfRule>
  </conditionalFormatting>
  <conditionalFormatting sqref="Q857:Q860">
    <cfRule type="containsText" dxfId="9" priority="15813" operator="containsText" text="No">
      <formula>NOT(ISERROR(SEARCH(("No"),(Q857))))</formula>
    </cfRule>
  </conditionalFormatting>
  <conditionalFormatting sqref="Q857:Q860">
    <cfRule type="containsText" dxfId="2" priority="15814" operator="containsText" text="Yes">
      <formula>NOT(ISERROR(SEARCH(("Yes"),(Q857))))</formula>
    </cfRule>
  </conditionalFormatting>
  <conditionalFormatting sqref="Q857:Q860">
    <cfRule type="containsText" dxfId="9" priority="15815" operator="containsText" text="No">
      <formula>NOT(ISERROR(SEARCH(("No"),(Q857))))</formula>
    </cfRule>
  </conditionalFormatting>
  <conditionalFormatting sqref="Q857:Q860">
    <cfRule type="containsText" dxfId="2" priority="15816" operator="containsText" text="Yes">
      <formula>NOT(ISERROR(SEARCH(("Yes"),(Q857))))</formula>
    </cfRule>
  </conditionalFormatting>
  <conditionalFormatting sqref="Q857:Q860">
    <cfRule type="containsText" dxfId="9" priority="15817" operator="containsText" text="No">
      <formula>NOT(ISERROR(SEARCH(("No"),(Q857))))</formula>
    </cfRule>
  </conditionalFormatting>
  <conditionalFormatting sqref="Q857:Q860">
    <cfRule type="containsText" dxfId="2" priority="15818" operator="containsText" text="Yes">
      <formula>NOT(ISERROR(SEARCH(("Yes"),(Q857))))</formula>
    </cfRule>
  </conditionalFormatting>
  <conditionalFormatting sqref="Q857:Q860">
    <cfRule type="containsText" dxfId="9" priority="15819" operator="containsText" text="No">
      <formula>NOT(ISERROR(SEARCH(("No"),(Q857))))</formula>
    </cfRule>
  </conditionalFormatting>
  <conditionalFormatting sqref="Q857:Q860">
    <cfRule type="containsText" dxfId="2" priority="15820" operator="containsText" text="Yes">
      <formula>NOT(ISERROR(SEARCH(("Yes"),(Q857))))</formula>
    </cfRule>
  </conditionalFormatting>
  <conditionalFormatting sqref="Q857:Q860">
    <cfRule type="containsText" dxfId="9" priority="15821" operator="containsText" text="No">
      <formula>NOT(ISERROR(SEARCH(("No"),(Q857))))</formula>
    </cfRule>
  </conditionalFormatting>
  <conditionalFormatting sqref="Q857:Q860">
    <cfRule type="containsText" dxfId="2" priority="15822" operator="containsText" text="Yes">
      <formula>NOT(ISERROR(SEARCH(("Yes"),(Q857))))</formula>
    </cfRule>
  </conditionalFormatting>
  <conditionalFormatting sqref="Q857:Q860">
    <cfRule type="containsText" dxfId="9" priority="15823" operator="containsText" text="No">
      <formula>NOT(ISERROR(SEARCH(("No"),(Q857))))</formula>
    </cfRule>
  </conditionalFormatting>
  <conditionalFormatting sqref="Q857:Q860">
    <cfRule type="containsText" dxfId="2" priority="15824" operator="containsText" text="Yes">
      <formula>NOT(ISERROR(SEARCH(("Yes"),(Q857))))</formula>
    </cfRule>
  </conditionalFormatting>
  <conditionalFormatting sqref="Q857:Q860">
    <cfRule type="containsText" dxfId="9" priority="15825" operator="containsText" text="No">
      <formula>NOT(ISERROR(SEARCH(("No"),(Q857))))</formula>
    </cfRule>
  </conditionalFormatting>
  <conditionalFormatting sqref="Q857:Q860">
    <cfRule type="containsText" dxfId="2" priority="15826" operator="containsText" text="Yes">
      <formula>NOT(ISERROR(SEARCH(("Yes"),(Q857))))</formula>
    </cfRule>
  </conditionalFormatting>
  <conditionalFormatting sqref="Q857:Q860">
    <cfRule type="containsText" dxfId="9" priority="15827" operator="containsText" text="No">
      <formula>NOT(ISERROR(SEARCH(("No"),(Q857))))</formula>
    </cfRule>
  </conditionalFormatting>
  <conditionalFormatting sqref="Q857:Q860">
    <cfRule type="containsText" dxfId="2" priority="15828" operator="containsText" text="Yes">
      <formula>NOT(ISERROR(SEARCH(("Yes"),(Q857))))</formula>
    </cfRule>
  </conditionalFormatting>
  <conditionalFormatting sqref="Q857:Q860">
    <cfRule type="containsText" dxfId="9" priority="15829" operator="containsText" text="No">
      <formula>NOT(ISERROR(SEARCH(("No"),(Q857))))</formula>
    </cfRule>
  </conditionalFormatting>
  <conditionalFormatting sqref="Q857:Q860">
    <cfRule type="containsText" dxfId="2" priority="15830" operator="containsText" text="Yes">
      <formula>NOT(ISERROR(SEARCH(("Yes"),(Q857))))</formula>
    </cfRule>
  </conditionalFormatting>
  <conditionalFormatting sqref="Q857:Q860">
    <cfRule type="containsText" dxfId="9" priority="15831" operator="containsText" text="No">
      <formula>NOT(ISERROR(SEARCH(("No"),(Q857))))</formula>
    </cfRule>
  </conditionalFormatting>
  <conditionalFormatting sqref="Q857:Q860">
    <cfRule type="containsText" dxfId="2" priority="15832" operator="containsText" text="Yes">
      <formula>NOT(ISERROR(SEARCH(("Yes"),(Q857))))</formula>
    </cfRule>
  </conditionalFormatting>
  <conditionalFormatting sqref="Q857:Q860">
    <cfRule type="containsText" dxfId="9" priority="15833" operator="containsText" text="No">
      <formula>NOT(ISERROR(SEARCH(("No"),(Q857))))</formula>
    </cfRule>
  </conditionalFormatting>
  <conditionalFormatting sqref="Q857:Q860">
    <cfRule type="containsText" dxfId="2" priority="15834" operator="containsText" text="Yes">
      <formula>NOT(ISERROR(SEARCH(("Yes"),(Q857))))</formula>
    </cfRule>
  </conditionalFormatting>
  <conditionalFormatting sqref="Q857:Q860">
    <cfRule type="containsText" dxfId="9" priority="15835" operator="containsText" text="No">
      <formula>NOT(ISERROR(SEARCH(("No"),(Q857))))</formula>
    </cfRule>
  </conditionalFormatting>
  <conditionalFormatting sqref="Q857:Q860">
    <cfRule type="containsText" dxfId="2" priority="15836" operator="containsText" text="Yes">
      <formula>NOT(ISERROR(SEARCH(("Yes"),(Q857))))</formula>
    </cfRule>
  </conditionalFormatting>
  <conditionalFormatting sqref="Q857:Q860">
    <cfRule type="containsText" dxfId="9" priority="15837" operator="containsText" text="No">
      <formula>NOT(ISERROR(SEARCH(("No"),(Q857))))</formula>
    </cfRule>
  </conditionalFormatting>
  <conditionalFormatting sqref="Q857:Q860">
    <cfRule type="containsText" dxfId="2" priority="15838" operator="containsText" text="Yes">
      <formula>NOT(ISERROR(SEARCH(("Yes"),(Q857))))</formula>
    </cfRule>
  </conditionalFormatting>
  <conditionalFormatting sqref="Q857:Q860">
    <cfRule type="containsText" dxfId="9" priority="15839" operator="containsText" text="No">
      <formula>NOT(ISERROR(SEARCH(("No"),(Q857))))</formula>
    </cfRule>
  </conditionalFormatting>
  <conditionalFormatting sqref="Q857:Q860">
    <cfRule type="containsText" dxfId="2" priority="15840" operator="containsText" text="Yes">
      <formula>NOT(ISERROR(SEARCH(("Yes"),(Q857))))</formula>
    </cfRule>
  </conditionalFormatting>
  <conditionalFormatting sqref="Q857:Q860">
    <cfRule type="containsText" dxfId="9" priority="15841" operator="containsText" text="No">
      <formula>NOT(ISERROR(SEARCH(("No"),(Q857))))</formula>
    </cfRule>
  </conditionalFormatting>
  <conditionalFormatting sqref="Q857:Q860">
    <cfRule type="containsText" dxfId="2" priority="15842" operator="containsText" text="Yes">
      <formula>NOT(ISERROR(SEARCH(("Yes"),(Q857))))</formula>
    </cfRule>
  </conditionalFormatting>
  <conditionalFormatting sqref="Q857:Q860">
    <cfRule type="containsText" dxfId="9" priority="15843" operator="containsText" text="No">
      <formula>NOT(ISERROR(SEARCH(("No"),(Q857))))</formula>
    </cfRule>
  </conditionalFormatting>
  <conditionalFormatting sqref="Q857:Q860">
    <cfRule type="containsText" dxfId="2" priority="15844" operator="containsText" text="Yes">
      <formula>NOT(ISERROR(SEARCH(("Yes"),(Q857))))</formula>
    </cfRule>
  </conditionalFormatting>
  <conditionalFormatting sqref="Q857:Q860">
    <cfRule type="containsText" dxfId="9" priority="15845" operator="containsText" text="No">
      <formula>NOT(ISERROR(SEARCH(("No"),(Q857))))</formula>
    </cfRule>
  </conditionalFormatting>
  <conditionalFormatting sqref="Q857:Q860">
    <cfRule type="containsText" dxfId="2" priority="15846" operator="containsText" text="Yes">
      <formula>NOT(ISERROR(SEARCH(("Yes"),(Q857))))</formula>
    </cfRule>
  </conditionalFormatting>
  <conditionalFormatting sqref="Q857:Q860">
    <cfRule type="containsText" dxfId="9" priority="15847" operator="containsText" text="No">
      <formula>NOT(ISERROR(SEARCH(("No"),(Q857))))</formula>
    </cfRule>
  </conditionalFormatting>
  <conditionalFormatting sqref="Q857:Q860">
    <cfRule type="containsText" dxfId="2" priority="15848" operator="containsText" text="Yes">
      <formula>NOT(ISERROR(SEARCH(("Yes"),(Q857))))</formula>
    </cfRule>
  </conditionalFormatting>
  <conditionalFormatting sqref="Q857:Q860">
    <cfRule type="containsText" dxfId="9" priority="15849" operator="containsText" text="No">
      <formula>NOT(ISERROR(SEARCH(("No"),(Q857))))</formula>
    </cfRule>
  </conditionalFormatting>
  <conditionalFormatting sqref="Q857:Q860">
    <cfRule type="containsText" dxfId="2" priority="15850" operator="containsText" text="Yes">
      <formula>NOT(ISERROR(SEARCH(("Yes"),(Q857))))</formula>
    </cfRule>
  </conditionalFormatting>
  <conditionalFormatting sqref="Q857:Q860">
    <cfRule type="containsText" dxfId="9" priority="15851" operator="containsText" text="No">
      <formula>NOT(ISERROR(SEARCH(("No"),(Q857))))</formula>
    </cfRule>
  </conditionalFormatting>
  <conditionalFormatting sqref="Q857:Q860">
    <cfRule type="containsText" dxfId="2" priority="15852" operator="containsText" text="Yes">
      <formula>NOT(ISERROR(SEARCH(("Yes"),(Q857))))</formula>
    </cfRule>
  </conditionalFormatting>
  <conditionalFormatting sqref="Q857:Q860">
    <cfRule type="containsText" dxfId="9" priority="15853" operator="containsText" text="No">
      <formula>NOT(ISERROR(SEARCH(("No"),(Q857))))</formula>
    </cfRule>
  </conditionalFormatting>
  <conditionalFormatting sqref="Q857:Q860">
    <cfRule type="containsText" dxfId="2" priority="15854" operator="containsText" text="Yes">
      <formula>NOT(ISERROR(SEARCH(("Yes"),(Q857))))</formula>
    </cfRule>
  </conditionalFormatting>
  <conditionalFormatting sqref="Q857:Q860">
    <cfRule type="containsText" dxfId="9" priority="15855" operator="containsText" text="No">
      <formula>NOT(ISERROR(SEARCH(("No"),(Q857))))</formula>
    </cfRule>
  </conditionalFormatting>
  <conditionalFormatting sqref="Q857:Q860">
    <cfRule type="containsText" dxfId="2" priority="15856" operator="containsText" text="Yes">
      <formula>NOT(ISERROR(SEARCH(("Yes"),(Q857))))</formula>
    </cfRule>
  </conditionalFormatting>
  <conditionalFormatting sqref="Q857:Q860">
    <cfRule type="containsText" dxfId="9" priority="15857" operator="containsText" text="No">
      <formula>NOT(ISERROR(SEARCH(("No"),(Q857))))</formula>
    </cfRule>
  </conditionalFormatting>
  <conditionalFormatting sqref="Q857:Q860">
    <cfRule type="containsText" dxfId="2" priority="15858" operator="containsText" text="Yes">
      <formula>NOT(ISERROR(SEARCH(("Yes"),(Q857))))</formula>
    </cfRule>
  </conditionalFormatting>
  <conditionalFormatting sqref="Q857:Q860">
    <cfRule type="containsText" dxfId="9" priority="15859" operator="containsText" text="No">
      <formula>NOT(ISERROR(SEARCH(("No"),(Q857))))</formula>
    </cfRule>
  </conditionalFormatting>
  <conditionalFormatting sqref="Q857:Q860">
    <cfRule type="containsText" dxfId="2" priority="15860" operator="containsText" text="Yes">
      <formula>NOT(ISERROR(SEARCH(("Yes"),(Q857))))</formula>
    </cfRule>
  </conditionalFormatting>
  <conditionalFormatting sqref="Q857:Q860">
    <cfRule type="containsText" dxfId="9" priority="15861" operator="containsText" text="No">
      <formula>NOT(ISERROR(SEARCH(("No"),(Q857))))</formula>
    </cfRule>
  </conditionalFormatting>
  <conditionalFormatting sqref="Q857:Q860">
    <cfRule type="containsText" dxfId="2" priority="15862" operator="containsText" text="Yes">
      <formula>NOT(ISERROR(SEARCH(("Yes"),(Q857))))</formula>
    </cfRule>
  </conditionalFormatting>
  <conditionalFormatting sqref="Q857:Q860">
    <cfRule type="containsText" dxfId="9" priority="15863" operator="containsText" text="No">
      <formula>NOT(ISERROR(SEARCH(("No"),(Q857))))</formula>
    </cfRule>
  </conditionalFormatting>
  <conditionalFormatting sqref="Q857:Q860">
    <cfRule type="containsText" dxfId="2" priority="15864" operator="containsText" text="Yes">
      <formula>NOT(ISERROR(SEARCH(("Yes"),(Q857))))</formula>
    </cfRule>
  </conditionalFormatting>
  <conditionalFormatting sqref="Q857:Q860">
    <cfRule type="containsText" dxfId="9" priority="15865" operator="containsText" text="No">
      <formula>NOT(ISERROR(SEARCH(("No"),(Q857))))</formula>
    </cfRule>
  </conditionalFormatting>
  <conditionalFormatting sqref="Q857:Q860">
    <cfRule type="containsText" dxfId="2" priority="15866" operator="containsText" text="Yes">
      <formula>NOT(ISERROR(SEARCH(("Yes"),(Q857))))</formula>
    </cfRule>
  </conditionalFormatting>
  <conditionalFormatting sqref="Q857:Q860">
    <cfRule type="containsText" dxfId="9" priority="15867" operator="containsText" text="No">
      <formula>NOT(ISERROR(SEARCH(("No"),(Q857))))</formula>
    </cfRule>
  </conditionalFormatting>
  <conditionalFormatting sqref="Q857:Q860">
    <cfRule type="containsText" dxfId="2" priority="15868" operator="containsText" text="Yes">
      <formula>NOT(ISERROR(SEARCH(("Yes"),(Q857))))</formula>
    </cfRule>
  </conditionalFormatting>
  <conditionalFormatting sqref="Q857:Q860">
    <cfRule type="containsText" dxfId="9" priority="15869" operator="containsText" text="No">
      <formula>NOT(ISERROR(SEARCH(("No"),(Q857))))</formula>
    </cfRule>
  </conditionalFormatting>
  <conditionalFormatting sqref="Q857:Q860">
    <cfRule type="containsText" dxfId="2" priority="15870" operator="containsText" text="Yes">
      <formula>NOT(ISERROR(SEARCH(("Yes"),(Q857))))</formula>
    </cfRule>
  </conditionalFormatting>
  <conditionalFormatting sqref="Q857:Q860">
    <cfRule type="containsText" dxfId="9" priority="15871" operator="containsText" text="No">
      <formula>NOT(ISERROR(SEARCH(("No"),(Q857))))</formula>
    </cfRule>
  </conditionalFormatting>
  <conditionalFormatting sqref="Q857:Q860">
    <cfRule type="containsText" dxfId="2" priority="15872" operator="containsText" text="Yes">
      <formula>NOT(ISERROR(SEARCH(("Yes"),(Q857))))</formula>
    </cfRule>
  </conditionalFormatting>
  <conditionalFormatting sqref="Q857:Q860">
    <cfRule type="containsText" dxfId="9" priority="15873" operator="containsText" text="No">
      <formula>NOT(ISERROR(SEARCH(("No"),(Q857))))</formula>
    </cfRule>
  </conditionalFormatting>
  <conditionalFormatting sqref="Q857:Q860">
    <cfRule type="containsText" dxfId="2" priority="15874" operator="containsText" text="Yes">
      <formula>NOT(ISERROR(SEARCH(("Yes"),(Q857))))</formula>
    </cfRule>
  </conditionalFormatting>
  <conditionalFormatting sqref="Q857:Q860">
    <cfRule type="containsText" dxfId="9" priority="15875" operator="containsText" text="No">
      <formula>NOT(ISERROR(SEARCH(("No"),(Q857))))</formula>
    </cfRule>
  </conditionalFormatting>
  <conditionalFormatting sqref="Q857:Q860">
    <cfRule type="containsText" dxfId="2" priority="15876" operator="containsText" text="Yes">
      <formula>NOT(ISERROR(SEARCH(("Yes"),(Q857))))</formula>
    </cfRule>
  </conditionalFormatting>
  <conditionalFormatting sqref="Q857:Q860">
    <cfRule type="containsText" dxfId="9" priority="15877" operator="containsText" text="No">
      <formula>NOT(ISERROR(SEARCH(("No"),(Q857))))</formula>
    </cfRule>
  </conditionalFormatting>
  <conditionalFormatting sqref="Q857:Q860">
    <cfRule type="containsText" dxfId="2" priority="15878" operator="containsText" text="Yes">
      <formula>NOT(ISERROR(SEARCH(("Yes"),(Q857))))</formula>
    </cfRule>
  </conditionalFormatting>
  <conditionalFormatting sqref="Q857:Q860">
    <cfRule type="containsText" dxfId="9" priority="15879" operator="containsText" text="No">
      <formula>NOT(ISERROR(SEARCH(("No"),(Q857))))</formula>
    </cfRule>
  </conditionalFormatting>
  <conditionalFormatting sqref="Q857:Q860">
    <cfRule type="containsText" dxfId="2" priority="15880" operator="containsText" text="Yes">
      <formula>NOT(ISERROR(SEARCH(("Yes"),(Q857))))</formula>
    </cfRule>
  </conditionalFormatting>
  <conditionalFormatting sqref="Q857:Q860">
    <cfRule type="containsText" dxfId="9" priority="15881" operator="containsText" text="No">
      <formula>NOT(ISERROR(SEARCH(("No"),(Q857))))</formula>
    </cfRule>
  </conditionalFormatting>
  <conditionalFormatting sqref="Q857:Q860">
    <cfRule type="containsText" dxfId="2" priority="15882" operator="containsText" text="Yes">
      <formula>NOT(ISERROR(SEARCH(("Yes"),(Q857))))</formula>
    </cfRule>
  </conditionalFormatting>
  <conditionalFormatting sqref="Q857:Q860">
    <cfRule type="containsText" dxfId="9" priority="15883" operator="containsText" text="No">
      <formula>NOT(ISERROR(SEARCH(("No"),(Q857))))</formula>
    </cfRule>
  </conditionalFormatting>
  <conditionalFormatting sqref="Q857:Q860">
    <cfRule type="containsText" dxfId="2" priority="15884" operator="containsText" text="Yes">
      <formula>NOT(ISERROR(SEARCH(("Yes"),(Q857))))</formula>
    </cfRule>
  </conditionalFormatting>
  <conditionalFormatting sqref="Q857:Q860">
    <cfRule type="containsText" dxfId="2" priority="15885" operator="containsText" text="Yes">
      <formula>NOT(ISERROR(SEARCH(("Yes"),(Q857))))</formula>
    </cfRule>
  </conditionalFormatting>
  <conditionalFormatting sqref="Q857:Q860">
    <cfRule type="containsText" dxfId="9" priority="15886" operator="containsText" text="No">
      <formula>NOT(ISERROR(SEARCH(("No"),(Q857))))</formula>
    </cfRule>
  </conditionalFormatting>
  <conditionalFormatting sqref="Q857:Q860">
    <cfRule type="containsText" dxfId="2" priority="15887" operator="containsText" text="Yes">
      <formula>NOT(ISERROR(SEARCH(("Yes"),(Q857))))</formula>
    </cfRule>
  </conditionalFormatting>
  <conditionalFormatting sqref="Q861">
    <cfRule type="containsText" dxfId="2" priority="15888" operator="containsText" text="Yes">
      <formula>NOT(ISERROR(SEARCH(("Yes"),(Q861))))</formula>
    </cfRule>
  </conditionalFormatting>
  <conditionalFormatting sqref="Q861">
    <cfRule type="containsText" dxfId="9" priority="15889" operator="containsText" text="No">
      <formula>NOT(ISERROR(SEARCH(("No"),(Q861))))</formula>
    </cfRule>
  </conditionalFormatting>
  <conditionalFormatting sqref="Q861">
    <cfRule type="containsText" dxfId="2" priority="15890" operator="containsText" text="Yes">
      <formula>NOT(ISERROR(SEARCH(("Yes"),(Q861))))</formula>
    </cfRule>
  </conditionalFormatting>
  <conditionalFormatting sqref="Q861">
    <cfRule type="containsText" dxfId="9" priority="15891" operator="containsText" text="No">
      <formula>NOT(ISERROR(SEARCH(("No"),(Q861))))</formula>
    </cfRule>
  </conditionalFormatting>
  <conditionalFormatting sqref="Q861">
    <cfRule type="containsText" dxfId="2" priority="15892" operator="containsText" text="Yes">
      <formula>NOT(ISERROR(SEARCH(("Yes"),(Q861))))</formula>
    </cfRule>
  </conditionalFormatting>
  <conditionalFormatting sqref="Q861">
    <cfRule type="containsText" dxfId="9" priority="15893" operator="containsText" text="No">
      <formula>NOT(ISERROR(SEARCH(("No"),(Q861))))</formula>
    </cfRule>
  </conditionalFormatting>
  <conditionalFormatting sqref="Q861">
    <cfRule type="containsText" dxfId="2" priority="15894" operator="containsText" text="Yes">
      <formula>NOT(ISERROR(SEARCH(("Yes"),(Q861))))</formula>
    </cfRule>
  </conditionalFormatting>
  <conditionalFormatting sqref="Q861">
    <cfRule type="containsText" dxfId="9" priority="15895" operator="containsText" text="No">
      <formula>NOT(ISERROR(SEARCH(("No"),(Q861))))</formula>
    </cfRule>
  </conditionalFormatting>
  <conditionalFormatting sqref="Q861">
    <cfRule type="containsText" dxfId="2" priority="15896" operator="containsText" text="Yes">
      <formula>NOT(ISERROR(SEARCH(("Yes"),(Q861))))</formula>
    </cfRule>
  </conditionalFormatting>
  <conditionalFormatting sqref="Q861">
    <cfRule type="containsText" dxfId="9" priority="15897" operator="containsText" text="No">
      <formula>NOT(ISERROR(SEARCH(("No"),(Q861))))</formula>
    </cfRule>
  </conditionalFormatting>
  <conditionalFormatting sqref="Q861">
    <cfRule type="containsText" dxfId="2" priority="15898" operator="containsText" text="Yes">
      <formula>NOT(ISERROR(SEARCH(("Yes"),(Q861))))</formula>
    </cfRule>
  </conditionalFormatting>
  <conditionalFormatting sqref="Q861">
    <cfRule type="containsText" dxfId="9" priority="15899" operator="containsText" text="No">
      <formula>NOT(ISERROR(SEARCH(("No"),(Q861))))</formula>
    </cfRule>
  </conditionalFormatting>
  <conditionalFormatting sqref="Q861">
    <cfRule type="containsText" dxfId="2" priority="15900" operator="containsText" text="Yes">
      <formula>NOT(ISERROR(SEARCH(("Yes"),(Q861))))</formula>
    </cfRule>
  </conditionalFormatting>
  <conditionalFormatting sqref="Q861">
    <cfRule type="containsText" dxfId="9" priority="15901" operator="containsText" text="No">
      <formula>NOT(ISERROR(SEARCH(("No"),(Q861))))</formula>
    </cfRule>
  </conditionalFormatting>
  <conditionalFormatting sqref="Q861">
    <cfRule type="containsText" dxfId="2" priority="15902" operator="containsText" text="Yes">
      <formula>NOT(ISERROR(SEARCH(("Yes"),(Q861))))</formula>
    </cfRule>
  </conditionalFormatting>
  <conditionalFormatting sqref="Q861">
    <cfRule type="containsText" dxfId="9" priority="15903" operator="containsText" text="No">
      <formula>NOT(ISERROR(SEARCH(("No"),(Q861))))</formula>
    </cfRule>
  </conditionalFormatting>
  <conditionalFormatting sqref="Q861">
    <cfRule type="containsText" dxfId="2" priority="15904" operator="containsText" text="Yes">
      <formula>NOT(ISERROR(SEARCH(("Yes"),(Q861))))</formula>
    </cfRule>
  </conditionalFormatting>
  <conditionalFormatting sqref="Q861">
    <cfRule type="containsText" dxfId="9" priority="15905" operator="containsText" text="No">
      <formula>NOT(ISERROR(SEARCH(("No"),(Q861))))</formula>
    </cfRule>
  </conditionalFormatting>
  <conditionalFormatting sqref="Q861">
    <cfRule type="containsText" dxfId="2" priority="15906" operator="containsText" text="Yes">
      <formula>NOT(ISERROR(SEARCH(("Yes"),(Q861))))</formula>
    </cfRule>
  </conditionalFormatting>
  <conditionalFormatting sqref="Q861">
    <cfRule type="containsText" dxfId="9" priority="15907" operator="containsText" text="No">
      <formula>NOT(ISERROR(SEARCH(("No"),(Q861))))</formula>
    </cfRule>
  </conditionalFormatting>
  <conditionalFormatting sqref="Q861">
    <cfRule type="containsText" dxfId="2" priority="15908" operator="containsText" text="Yes">
      <formula>NOT(ISERROR(SEARCH(("Yes"),(Q861))))</formula>
    </cfRule>
  </conditionalFormatting>
  <conditionalFormatting sqref="Q861">
    <cfRule type="containsText" dxfId="9" priority="15909" operator="containsText" text="No">
      <formula>NOT(ISERROR(SEARCH(("No"),(Q861))))</formula>
    </cfRule>
  </conditionalFormatting>
  <conditionalFormatting sqref="Q861">
    <cfRule type="containsText" dxfId="2" priority="15910" operator="containsText" text="Yes">
      <formula>NOT(ISERROR(SEARCH(("Yes"),(Q861))))</formula>
    </cfRule>
  </conditionalFormatting>
  <conditionalFormatting sqref="Q861">
    <cfRule type="containsText" dxfId="9" priority="15911" operator="containsText" text="No">
      <formula>NOT(ISERROR(SEARCH(("No"),(Q861))))</formula>
    </cfRule>
  </conditionalFormatting>
  <conditionalFormatting sqref="Q861">
    <cfRule type="containsText" dxfId="2" priority="15912" operator="containsText" text="Yes">
      <formula>NOT(ISERROR(SEARCH(("Yes"),(Q861))))</formula>
    </cfRule>
  </conditionalFormatting>
  <conditionalFormatting sqref="Q861">
    <cfRule type="containsText" dxfId="9" priority="15913" operator="containsText" text="No">
      <formula>NOT(ISERROR(SEARCH(("No"),(Q861))))</formula>
    </cfRule>
  </conditionalFormatting>
  <conditionalFormatting sqref="Q861">
    <cfRule type="containsText" dxfId="2" priority="15914" operator="containsText" text="Yes">
      <formula>NOT(ISERROR(SEARCH(("Yes"),(Q861))))</formula>
    </cfRule>
  </conditionalFormatting>
  <conditionalFormatting sqref="Q861">
    <cfRule type="containsText" dxfId="9" priority="15915" operator="containsText" text="No">
      <formula>NOT(ISERROR(SEARCH(("No"),(Q861))))</formula>
    </cfRule>
  </conditionalFormatting>
  <conditionalFormatting sqref="Q861">
    <cfRule type="containsText" dxfId="2" priority="15916" operator="containsText" text="Yes">
      <formula>NOT(ISERROR(SEARCH(("Yes"),(Q861))))</formula>
    </cfRule>
  </conditionalFormatting>
  <conditionalFormatting sqref="Q861">
    <cfRule type="containsText" dxfId="9" priority="15917" operator="containsText" text="No">
      <formula>NOT(ISERROR(SEARCH(("No"),(Q861))))</formula>
    </cfRule>
  </conditionalFormatting>
  <conditionalFormatting sqref="Q861">
    <cfRule type="containsText" dxfId="2" priority="15918" operator="containsText" text="Yes">
      <formula>NOT(ISERROR(SEARCH(("Yes"),(Q861))))</formula>
    </cfRule>
  </conditionalFormatting>
  <conditionalFormatting sqref="Q861">
    <cfRule type="containsText" dxfId="9" priority="15919" operator="containsText" text="No">
      <formula>NOT(ISERROR(SEARCH(("No"),(Q861))))</formula>
    </cfRule>
  </conditionalFormatting>
  <conditionalFormatting sqref="Q861">
    <cfRule type="containsText" dxfId="2" priority="15920" operator="containsText" text="Yes">
      <formula>NOT(ISERROR(SEARCH(("Yes"),(Q861))))</formula>
    </cfRule>
  </conditionalFormatting>
  <conditionalFormatting sqref="Q861">
    <cfRule type="containsText" dxfId="9" priority="15921" operator="containsText" text="No">
      <formula>NOT(ISERROR(SEARCH(("No"),(Q861))))</formula>
    </cfRule>
  </conditionalFormatting>
  <conditionalFormatting sqref="Q861">
    <cfRule type="containsText" dxfId="2" priority="15922" operator="containsText" text="Yes">
      <formula>NOT(ISERROR(SEARCH(("Yes"),(Q861))))</formula>
    </cfRule>
  </conditionalFormatting>
  <conditionalFormatting sqref="Q861">
    <cfRule type="containsText" dxfId="9" priority="15923" operator="containsText" text="No">
      <formula>NOT(ISERROR(SEARCH(("No"),(Q861))))</formula>
    </cfRule>
  </conditionalFormatting>
  <conditionalFormatting sqref="Q861">
    <cfRule type="containsText" dxfId="2" priority="15924" operator="containsText" text="Yes">
      <formula>NOT(ISERROR(SEARCH(("Yes"),(Q861))))</formula>
    </cfRule>
  </conditionalFormatting>
  <conditionalFormatting sqref="Q861">
    <cfRule type="containsText" dxfId="9" priority="15925" operator="containsText" text="No">
      <formula>NOT(ISERROR(SEARCH(("No"),(Q861))))</formula>
    </cfRule>
  </conditionalFormatting>
  <conditionalFormatting sqref="Q861">
    <cfRule type="containsText" dxfId="2" priority="15926" operator="containsText" text="Yes">
      <formula>NOT(ISERROR(SEARCH(("Yes"),(Q861))))</formula>
    </cfRule>
  </conditionalFormatting>
  <conditionalFormatting sqref="Q861">
    <cfRule type="containsText" dxfId="9" priority="15927" operator="containsText" text="No">
      <formula>NOT(ISERROR(SEARCH(("No"),(Q861))))</formula>
    </cfRule>
  </conditionalFormatting>
  <conditionalFormatting sqref="Q861">
    <cfRule type="containsText" dxfId="2" priority="15928" operator="containsText" text="Yes">
      <formula>NOT(ISERROR(SEARCH(("Yes"),(Q861))))</formula>
    </cfRule>
  </conditionalFormatting>
  <conditionalFormatting sqref="Q861">
    <cfRule type="containsText" dxfId="9" priority="15929" operator="containsText" text="No">
      <formula>NOT(ISERROR(SEARCH(("No"),(Q861))))</formula>
    </cfRule>
  </conditionalFormatting>
  <conditionalFormatting sqref="Q861">
    <cfRule type="containsText" dxfId="2" priority="15930" operator="containsText" text="Yes">
      <formula>NOT(ISERROR(SEARCH(("Yes"),(Q861))))</formula>
    </cfRule>
  </conditionalFormatting>
  <conditionalFormatting sqref="Q861">
    <cfRule type="containsText" dxfId="9" priority="15931" operator="containsText" text="No">
      <formula>NOT(ISERROR(SEARCH(("No"),(Q861))))</formula>
    </cfRule>
  </conditionalFormatting>
  <conditionalFormatting sqref="Q861">
    <cfRule type="containsText" dxfId="2" priority="15932" operator="containsText" text="Yes">
      <formula>NOT(ISERROR(SEARCH(("Yes"),(Q861))))</formula>
    </cfRule>
  </conditionalFormatting>
  <conditionalFormatting sqref="Q861">
    <cfRule type="containsText" dxfId="9" priority="15933" operator="containsText" text="No">
      <formula>NOT(ISERROR(SEARCH(("No"),(Q861))))</formula>
    </cfRule>
  </conditionalFormatting>
  <conditionalFormatting sqref="Q861">
    <cfRule type="containsText" dxfId="2" priority="15934" operator="containsText" text="Yes">
      <formula>NOT(ISERROR(SEARCH(("Yes"),(Q861))))</formula>
    </cfRule>
  </conditionalFormatting>
  <conditionalFormatting sqref="Q861">
    <cfRule type="containsText" dxfId="9" priority="15935" operator="containsText" text="No">
      <formula>NOT(ISERROR(SEARCH(("No"),(Q861))))</formula>
    </cfRule>
  </conditionalFormatting>
  <conditionalFormatting sqref="Q861">
    <cfRule type="containsText" dxfId="2" priority="15936" operator="containsText" text="Yes">
      <formula>NOT(ISERROR(SEARCH(("Yes"),(Q861))))</formula>
    </cfRule>
  </conditionalFormatting>
  <conditionalFormatting sqref="Q861">
    <cfRule type="containsText" dxfId="9" priority="15937" operator="containsText" text="No">
      <formula>NOT(ISERROR(SEARCH(("No"),(Q861))))</formula>
    </cfRule>
  </conditionalFormatting>
  <conditionalFormatting sqref="Q861">
    <cfRule type="containsText" dxfId="2" priority="15938" operator="containsText" text="Yes">
      <formula>NOT(ISERROR(SEARCH(("Yes"),(Q861))))</formula>
    </cfRule>
  </conditionalFormatting>
  <conditionalFormatting sqref="Q861">
    <cfRule type="containsText" dxfId="9" priority="15939" operator="containsText" text="No">
      <formula>NOT(ISERROR(SEARCH(("No"),(Q861))))</formula>
    </cfRule>
  </conditionalFormatting>
  <conditionalFormatting sqref="Q861">
    <cfRule type="containsText" dxfId="2" priority="15940" operator="containsText" text="Yes">
      <formula>NOT(ISERROR(SEARCH(("Yes"),(Q861))))</formula>
    </cfRule>
  </conditionalFormatting>
  <conditionalFormatting sqref="Q861">
    <cfRule type="containsText" dxfId="9" priority="15941" operator="containsText" text="No">
      <formula>NOT(ISERROR(SEARCH(("No"),(Q861))))</formula>
    </cfRule>
  </conditionalFormatting>
  <conditionalFormatting sqref="Q861">
    <cfRule type="containsText" dxfId="2" priority="15942" operator="containsText" text="Yes">
      <formula>NOT(ISERROR(SEARCH(("Yes"),(Q861))))</formula>
    </cfRule>
  </conditionalFormatting>
  <conditionalFormatting sqref="Q861">
    <cfRule type="containsText" dxfId="9" priority="15943" operator="containsText" text="No">
      <formula>NOT(ISERROR(SEARCH(("No"),(Q861))))</formula>
    </cfRule>
  </conditionalFormatting>
  <conditionalFormatting sqref="Q861">
    <cfRule type="containsText" dxfId="2" priority="15944" operator="containsText" text="Yes">
      <formula>NOT(ISERROR(SEARCH(("Yes"),(Q861))))</formula>
    </cfRule>
  </conditionalFormatting>
  <conditionalFormatting sqref="Q861">
    <cfRule type="containsText" dxfId="9" priority="15945" operator="containsText" text="No">
      <formula>NOT(ISERROR(SEARCH(("No"),(Q861))))</formula>
    </cfRule>
  </conditionalFormatting>
  <conditionalFormatting sqref="Q861">
    <cfRule type="containsText" dxfId="2" priority="15946" operator="containsText" text="Yes">
      <formula>NOT(ISERROR(SEARCH(("Yes"),(Q861))))</formula>
    </cfRule>
  </conditionalFormatting>
  <conditionalFormatting sqref="Q861">
    <cfRule type="containsText" dxfId="9" priority="15947" operator="containsText" text="No">
      <formula>NOT(ISERROR(SEARCH(("No"),(Q861))))</formula>
    </cfRule>
  </conditionalFormatting>
  <conditionalFormatting sqref="Q861">
    <cfRule type="containsText" dxfId="2" priority="15948" operator="containsText" text="Yes">
      <formula>NOT(ISERROR(SEARCH(("Yes"),(Q861))))</formula>
    </cfRule>
  </conditionalFormatting>
  <conditionalFormatting sqref="Q861">
    <cfRule type="containsText" dxfId="9" priority="15949" operator="containsText" text="No">
      <formula>NOT(ISERROR(SEARCH(("No"),(Q861))))</formula>
    </cfRule>
  </conditionalFormatting>
  <conditionalFormatting sqref="Q861">
    <cfRule type="containsText" dxfId="2" priority="15950" operator="containsText" text="Yes">
      <formula>NOT(ISERROR(SEARCH(("Yes"),(Q861))))</formula>
    </cfRule>
  </conditionalFormatting>
  <conditionalFormatting sqref="Q861">
    <cfRule type="containsText" dxfId="9" priority="15951" operator="containsText" text="No">
      <formula>NOT(ISERROR(SEARCH(("No"),(Q861))))</formula>
    </cfRule>
  </conditionalFormatting>
  <conditionalFormatting sqref="Q861">
    <cfRule type="containsText" dxfId="2" priority="15952" operator="containsText" text="Yes">
      <formula>NOT(ISERROR(SEARCH(("Yes"),(Q861))))</formula>
    </cfRule>
  </conditionalFormatting>
  <conditionalFormatting sqref="Q861">
    <cfRule type="containsText" dxfId="9" priority="15953" operator="containsText" text="No">
      <formula>NOT(ISERROR(SEARCH(("No"),(Q861))))</formula>
    </cfRule>
  </conditionalFormatting>
  <conditionalFormatting sqref="Q861">
    <cfRule type="containsText" dxfId="2" priority="15954" operator="containsText" text="Yes">
      <formula>NOT(ISERROR(SEARCH(("Yes"),(Q861))))</formula>
    </cfRule>
  </conditionalFormatting>
  <conditionalFormatting sqref="Q861">
    <cfRule type="containsText" dxfId="9" priority="15955" operator="containsText" text="No">
      <formula>NOT(ISERROR(SEARCH(("No"),(Q861))))</formula>
    </cfRule>
  </conditionalFormatting>
  <conditionalFormatting sqref="Q861">
    <cfRule type="containsText" dxfId="2" priority="15956" operator="containsText" text="Yes">
      <formula>NOT(ISERROR(SEARCH(("Yes"),(Q861))))</formula>
    </cfRule>
  </conditionalFormatting>
  <conditionalFormatting sqref="Q861">
    <cfRule type="containsText" dxfId="9" priority="15957" operator="containsText" text="No">
      <formula>NOT(ISERROR(SEARCH(("No"),(Q861))))</formula>
    </cfRule>
  </conditionalFormatting>
  <conditionalFormatting sqref="Q861">
    <cfRule type="containsText" dxfId="2" priority="15958" operator="containsText" text="Yes">
      <formula>NOT(ISERROR(SEARCH(("Yes"),(Q861))))</formula>
    </cfRule>
  </conditionalFormatting>
  <conditionalFormatting sqref="Q861">
    <cfRule type="containsText" dxfId="9" priority="15959" operator="containsText" text="No">
      <formula>NOT(ISERROR(SEARCH(("No"),(Q861))))</formula>
    </cfRule>
  </conditionalFormatting>
  <conditionalFormatting sqref="Q861">
    <cfRule type="containsText" dxfId="2" priority="15960" operator="containsText" text="Yes">
      <formula>NOT(ISERROR(SEARCH(("Yes"),(Q861))))</formula>
    </cfRule>
  </conditionalFormatting>
  <conditionalFormatting sqref="Q861">
    <cfRule type="containsText" dxfId="9" priority="15961" operator="containsText" text="No">
      <formula>NOT(ISERROR(SEARCH(("No"),(Q861))))</formula>
    </cfRule>
  </conditionalFormatting>
  <conditionalFormatting sqref="Q861">
    <cfRule type="containsText" dxfId="2" priority="15962" operator="containsText" text="Yes">
      <formula>NOT(ISERROR(SEARCH(("Yes"),(Q861))))</formula>
    </cfRule>
  </conditionalFormatting>
  <conditionalFormatting sqref="Q861">
    <cfRule type="containsText" dxfId="9" priority="15963" operator="containsText" text="No">
      <formula>NOT(ISERROR(SEARCH(("No"),(Q861))))</formula>
    </cfRule>
  </conditionalFormatting>
  <conditionalFormatting sqref="Q861">
    <cfRule type="containsText" dxfId="2" priority="15964" operator="containsText" text="Yes">
      <formula>NOT(ISERROR(SEARCH(("Yes"),(Q861))))</formula>
    </cfRule>
  </conditionalFormatting>
  <conditionalFormatting sqref="Q861">
    <cfRule type="containsText" dxfId="9" priority="15965" operator="containsText" text="No">
      <formula>NOT(ISERROR(SEARCH(("No"),(Q861))))</formula>
    </cfRule>
  </conditionalFormatting>
  <conditionalFormatting sqref="Q861">
    <cfRule type="containsText" dxfId="2" priority="15966" operator="containsText" text="Yes">
      <formula>NOT(ISERROR(SEARCH(("Yes"),(Q861))))</formula>
    </cfRule>
  </conditionalFormatting>
  <conditionalFormatting sqref="Q861">
    <cfRule type="containsText" dxfId="9" priority="15967" operator="containsText" text="No">
      <formula>NOT(ISERROR(SEARCH(("No"),(Q861))))</formula>
    </cfRule>
  </conditionalFormatting>
  <conditionalFormatting sqref="Q861">
    <cfRule type="containsText" dxfId="2" priority="15968" operator="containsText" text="Yes">
      <formula>NOT(ISERROR(SEARCH(("Yes"),(Q861))))</formula>
    </cfRule>
  </conditionalFormatting>
  <conditionalFormatting sqref="Q861">
    <cfRule type="containsText" dxfId="9" priority="15969" operator="containsText" text="No">
      <formula>NOT(ISERROR(SEARCH(("No"),(Q861))))</formula>
    </cfRule>
  </conditionalFormatting>
  <conditionalFormatting sqref="Q861">
    <cfRule type="containsText" dxfId="2" priority="15970" operator="containsText" text="Yes">
      <formula>NOT(ISERROR(SEARCH(("Yes"),(Q861))))</formula>
    </cfRule>
  </conditionalFormatting>
  <conditionalFormatting sqref="Q861">
    <cfRule type="containsText" dxfId="9" priority="15971" operator="containsText" text="No">
      <formula>NOT(ISERROR(SEARCH(("No"),(Q861))))</formula>
    </cfRule>
  </conditionalFormatting>
  <conditionalFormatting sqref="Q861">
    <cfRule type="containsText" dxfId="2" priority="15972" operator="containsText" text="Yes">
      <formula>NOT(ISERROR(SEARCH(("Yes"),(Q861))))</formula>
    </cfRule>
  </conditionalFormatting>
  <conditionalFormatting sqref="Q861">
    <cfRule type="containsText" dxfId="9" priority="15973" operator="containsText" text="No">
      <formula>NOT(ISERROR(SEARCH(("No"),(Q861))))</formula>
    </cfRule>
  </conditionalFormatting>
  <conditionalFormatting sqref="Q861">
    <cfRule type="containsText" dxfId="2" priority="15974" operator="containsText" text="Yes">
      <formula>NOT(ISERROR(SEARCH(("Yes"),(Q861))))</formula>
    </cfRule>
  </conditionalFormatting>
  <conditionalFormatting sqref="Q861">
    <cfRule type="containsText" dxfId="9" priority="15975" operator="containsText" text="No">
      <formula>NOT(ISERROR(SEARCH(("No"),(Q861))))</formula>
    </cfRule>
  </conditionalFormatting>
  <conditionalFormatting sqref="Q861">
    <cfRule type="containsText" dxfId="2" priority="15976" operator="containsText" text="Yes">
      <formula>NOT(ISERROR(SEARCH(("Yes"),(Q861))))</formula>
    </cfRule>
  </conditionalFormatting>
  <conditionalFormatting sqref="Q861">
    <cfRule type="containsText" dxfId="2" priority="15977" operator="containsText" text="Yes">
      <formula>NOT(ISERROR(SEARCH(("Yes"),(Q861))))</formula>
    </cfRule>
  </conditionalFormatting>
  <conditionalFormatting sqref="Q861">
    <cfRule type="containsText" dxfId="9" priority="15978" operator="containsText" text="No">
      <formula>NOT(ISERROR(SEARCH(("No"),(Q861))))</formula>
    </cfRule>
  </conditionalFormatting>
  <conditionalFormatting sqref="Q861">
    <cfRule type="containsText" dxfId="2" priority="15979" operator="containsText" text="Yes">
      <formula>NOT(ISERROR(SEARCH(("Yes"),(Q861))))</formula>
    </cfRule>
  </conditionalFormatting>
  <conditionalFormatting sqref="Q862">
    <cfRule type="containsText" dxfId="2" priority="15980" operator="containsText" text="Yes">
      <formula>NOT(ISERROR(SEARCH(("Yes"),(Q862))))</formula>
    </cfRule>
  </conditionalFormatting>
  <conditionalFormatting sqref="Q862">
    <cfRule type="containsText" dxfId="9" priority="15981" operator="containsText" text="No">
      <formula>NOT(ISERROR(SEARCH(("No"),(Q862))))</formula>
    </cfRule>
  </conditionalFormatting>
  <conditionalFormatting sqref="Q862">
    <cfRule type="containsText" dxfId="2" priority="15982" operator="containsText" text="Yes">
      <formula>NOT(ISERROR(SEARCH(("Yes"),(Q862))))</formula>
    </cfRule>
  </conditionalFormatting>
  <conditionalFormatting sqref="Q862">
    <cfRule type="containsText" dxfId="9" priority="15983" operator="containsText" text="No">
      <formula>NOT(ISERROR(SEARCH(("No"),(Q862))))</formula>
    </cfRule>
  </conditionalFormatting>
  <conditionalFormatting sqref="Q862">
    <cfRule type="containsText" dxfId="2" priority="15984" operator="containsText" text="Yes">
      <formula>NOT(ISERROR(SEARCH(("Yes"),(Q862))))</formula>
    </cfRule>
  </conditionalFormatting>
  <conditionalFormatting sqref="Q862">
    <cfRule type="containsText" dxfId="9" priority="15985" operator="containsText" text="No">
      <formula>NOT(ISERROR(SEARCH(("No"),(Q862))))</formula>
    </cfRule>
  </conditionalFormatting>
  <conditionalFormatting sqref="Q862">
    <cfRule type="containsText" dxfId="2" priority="15986" operator="containsText" text="Yes">
      <formula>NOT(ISERROR(SEARCH(("Yes"),(Q862))))</formula>
    </cfRule>
  </conditionalFormatting>
  <conditionalFormatting sqref="Q862">
    <cfRule type="containsText" dxfId="9" priority="15987" operator="containsText" text="No">
      <formula>NOT(ISERROR(SEARCH(("No"),(Q862))))</formula>
    </cfRule>
  </conditionalFormatting>
  <conditionalFormatting sqref="Q862">
    <cfRule type="containsText" dxfId="2" priority="15988" operator="containsText" text="Yes">
      <formula>NOT(ISERROR(SEARCH(("Yes"),(Q862))))</formula>
    </cfRule>
  </conditionalFormatting>
  <conditionalFormatting sqref="Q862">
    <cfRule type="containsText" dxfId="9" priority="15989" operator="containsText" text="No">
      <formula>NOT(ISERROR(SEARCH(("No"),(Q862))))</formula>
    </cfRule>
  </conditionalFormatting>
  <conditionalFormatting sqref="Q862">
    <cfRule type="containsText" dxfId="2" priority="15990" operator="containsText" text="Yes">
      <formula>NOT(ISERROR(SEARCH(("Yes"),(Q862))))</formula>
    </cfRule>
  </conditionalFormatting>
  <conditionalFormatting sqref="Q862">
    <cfRule type="containsText" dxfId="9" priority="15991" operator="containsText" text="No">
      <formula>NOT(ISERROR(SEARCH(("No"),(Q862))))</formula>
    </cfRule>
  </conditionalFormatting>
  <conditionalFormatting sqref="Q862">
    <cfRule type="containsText" dxfId="2" priority="15992" operator="containsText" text="Yes">
      <formula>NOT(ISERROR(SEARCH(("Yes"),(Q862))))</formula>
    </cfRule>
  </conditionalFormatting>
  <conditionalFormatting sqref="Q862">
    <cfRule type="containsText" dxfId="9" priority="15993" operator="containsText" text="No">
      <formula>NOT(ISERROR(SEARCH(("No"),(Q862))))</formula>
    </cfRule>
  </conditionalFormatting>
  <conditionalFormatting sqref="Q862">
    <cfRule type="containsText" dxfId="2" priority="15994" operator="containsText" text="Yes">
      <formula>NOT(ISERROR(SEARCH(("Yes"),(Q862))))</formula>
    </cfRule>
  </conditionalFormatting>
  <conditionalFormatting sqref="Q862">
    <cfRule type="containsText" dxfId="9" priority="15995" operator="containsText" text="No">
      <formula>NOT(ISERROR(SEARCH(("No"),(Q862))))</formula>
    </cfRule>
  </conditionalFormatting>
  <conditionalFormatting sqref="Q862">
    <cfRule type="containsText" dxfId="2" priority="15996" operator="containsText" text="Yes">
      <formula>NOT(ISERROR(SEARCH(("Yes"),(Q862))))</formula>
    </cfRule>
  </conditionalFormatting>
  <conditionalFormatting sqref="Q862">
    <cfRule type="containsText" dxfId="9" priority="15997" operator="containsText" text="No">
      <formula>NOT(ISERROR(SEARCH(("No"),(Q862))))</formula>
    </cfRule>
  </conditionalFormatting>
  <conditionalFormatting sqref="Q862">
    <cfRule type="containsText" dxfId="2" priority="15998" operator="containsText" text="Yes">
      <formula>NOT(ISERROR(SEARCH(("Yes"),(Q862))))</formula>
    </cfRule>
  </conditionalFormatting>
  <conditionalFormatting sqref="Q862">
    <cfRule type="containsText" dxfId="9" priority="15999" operator="containsText" text="No">
      <formula>NOT(ISERROR(SEARCH(("No"),(Q862))))</formula>
    </cfRule>
  </conditionalFormatting>
  <conditionalFormatting sqref="Q862">
    <cfRule type="containsText" dxfId="2" priority="16000" operator="containsText" text="Yes">
      <formula>NOT(ISERROR(SEARCH(("Yes"),(Q862))))</formula>
    </cfRule>
  </conditionalFormatting>
  <conditionalFormatting sqref="Q862">
    <cfRule type="containsText" dxfId="9" priority="16001" operator="containsText" text="No">
      <formula>NOT(ISERROR(SEARCH(("No"),(Q862))))</formula>
    </cfRule>
  </conditionalFormatting>
  <conditionalFormatting sqref="Q862">
    <cfRule type="containsText" dxfId="2" priority="16002" operator="containsText" text="Yes">
      <formula>NOT(ISERROR(SEARCH(("Yes"),(Q862))))</formula>
    </cfRule>
  </conditionalFormatting>
  <conditionalFormatting sqref="Q862">
    <cfRule type="containsText" dxfId="9" priority="16003" operator="containsText" text="No">
      <formula>NOT(ISERROR(SEARCH(("No"),(Q862))))</formula>
    </cfRule>
  </conditionalFormatting>
  <conditionalFormatting sqref="Q862">
    <cfRule type="containsText" dxfId="2" priority="16004" operator="containsText" text="Yes">
      <formula>NOT(ISERROR(SEARCH(("Yes"),(Q862))))</formula>
    </cfRule>
  </conditionalFormatting>
  <conditionalFormatting sqref="Q862">
    <cfRule type="containsText" dxfId="9" priority="16005" operator="containsText" text="No">
      <formula>NOT(ISERROR(SEARCH(("No"),(Q862))))</formula>
    </cfRule>
  </conditionalFormatting>
  <conditionalFormatting sqref="Q862">
    <cfRule type="containsText" dxfId="2" priority="16006" operator="containsText" text="Yes">
      <formula>NOT(ISERROR(SEARCH(("Yes"),(Q862))))</formula>
    </cfRule>
  </conditionalFormatting>
  <conditionalFormatting sqref="Q862">
    <cfRule type="containsText" dxfId="9" priority="16007" operator="containsText" text="No">
      <formula>NOT(ISERROR(SEARCH(("No"),(Q862))))</formula>
    </cfRule>
  </conditionalFormatting>
  <conditionalFormatting sqref="Q862">
    <cfRule type="containsText" dxfId="2" priority="16008" operator="containsText" text="Yes">
      <formula>NOT(ISERROR(SEARCH(("Yes"),(Q862))))</formula>
    </cfRule>
  </conditionalFormatting>
  <conditionalFormatting sqref="Q862">
    <cfRule type="containsText" dxfId="9" priority="16009" operator="containsText" text="No">
      <formula>NOT(ISERROR(SEARCH(("No"),(Q862))))</formula>
    </cfRule>
  </conditionalFormatting>
  <conditionalFormatting sqref="Q862">
    <cfRule type="containsText" dxfId="2" priority="16010" operator="containsText" text="Yes">
      <formula>NOT(ISERROR(SEARCH(("Yes"),(Q862))))</formula>
    </cfRule>
  </conditionalFormatting>
  <conditionalFormatting sqref="Q862">
    <cfRule type="containsText" dxfId="9" priority="16011" operator="containsText" text="No">
      <formula>NOT(ISERROR(SEARCH(("No"),(Q862))))</formula>
    </cfRule>
  </conditionalFormatting>
  <conditionalFormatting sqref="Q862">
    <cfRule type="containsText" dxfId="2" priority="16012" operator="containsText" text="Yes">
      <formula>NOT(ISERROR(SEARCH(("Yes"),(Q862))))</formula>
    </cfRule>
  </conditionalFormatting>
  <conditionalFormatting sqref="Q862">
    <cfRule type="containsText" dxfId="9" priority="16013" operator="containsText" text="No">
      <formula>NOT(ISERROR(SEARCH(("No"),(Q862))))</formula>
    </cfRule>
  </conditionalFormatting>
  <conditionalFormatting sqref="Q862">
    <cfRule type="containsText" dxfId="2" priority="16014" operator="containsText" text="Yes">
      <formula>NOT(ISERROR(SEARCH(("Yes"),(Q862))))</formula>
    </cfRule>
  </conditionalFormatting>
  <conditionalFormatting sqref="Q862">
    <cfRule type="containsText" dxfId="9" priority="16015" operator="containsText" text="No">
      <formula>NOT(ISERROR(SEARCH(("No"),(Q862))))</formula>
    </cfRule>
  </conditionalFormatting>
  <conditionalFormatting sqref="Q862">
    <cfRule type="containsText" dxfId="2" priority="16016" operator="containsText" text="Yes">
      <formula>NOT(ISERROR(SEARCH(("Yes"),(Q862))))</formula>
    </cfRule>
  </conditionalFormatting>
  <conditionalFormatting sqref="Q862">
    <cfRule type="containsText" dxfId="9" priority="16017" operator="containsText" text="No">
      <formula>NOT(ISERROR(SEARCH(("No"),(Q862))))</formula>
    </cfRule>
  </conditionalFormatting>
  <conditionalFormatting sqref="Q862">
    <cfRule type="containsText" dxfId="2" priority="16018" operator="containsText" text="Yes">
      <formula>NOT(ISERROR(SEARCH(("Yes"),(Q862))))</formula>
    </cfRule>
  </conditionalFormatting>
  <conditionalFormatting sqref="Q862">
    <cfRule type="containsText" dxfId="9" priority="16019" operator="containsText" text="No">
      <formula>NOT(ISERROR(SEARCH(("No"),(Q862))))</formula>
    </cfRule>
  </conditionalFormatting>
  <conditionalFormatting sqref="Q862">
    <cfRule type="containsText" dxfId="2" priority="16020" operator="containsText" text="Yes">
      <formula>NOT(ISERROR(SEARCH(("Yes"),(Q862))))</formula>
    </cfRule>
  </conditionalFormatting>
  <conditionalFormatting sqref="Q862">
    <cfRule type="containsText" dxfId="9" priority="16021" operator="containsText" text="No">
      <formula>NOT(ISERROR(SEARCH(("No"),(Q862))))</formula>
    </cfRule>
  </conditionalFormatting>
  <conditionalFormatting sqref="Q862">
    <cfRule type="containsText" dxfId="2" priority="16022" operator="containsText" text="Yes">
      <formula>NOT(ISERROR(SEARCH(("Yes"),(Q862))))</formula>
    </cfRule>
  </conditionalFormatting>
  <conditionalFormatting sqref="Q862">
    <cfRule type="containsText" dxfId="9" priority="16023" operator="containsText" text="No">
      <formula>NOT(ISERROR(SEARCH(("No"),(Q862))))</formula>
    </cfRule>
  </conditionalFormatting>
  <conditionalFormatting sqref="Q862">
    <cfRule type="containsText" dxfId="2" priority="16024" operator="containsText" text="Yes">
      <formula>NOT(ISERROR(SEARCH(("Yes"),(Q862))))</formula>
    </cfRule>
  </conditionalFormatting>
  <conditionalFormatting sqref="Q862">
    <cfRule type="containsText" dxfId="9" priority="16025" operator="containsText" text="No">
      <formula>NOT(ISERROR(SEARCH(("No"),(Q862))))</formula>
    </cfRule>
  </conditionalFormatting>
  <conditionalFormatting sqref="Q862">
    <cfRule type="containsText" dxfId="2" priority="16026" operator="containsText" text="Yes">
      <formula>NOT(ISERROR(SEARCH(("Yes"),(Q862))))</formula>
    </cfRule>
  </conditionalFormatting>
  <conditionalFormatting sqref="Q862">
    <cfRule type="containsText" dxfId="9" priority="16027" operator="containsText" text="No">
      <formula>NOT(ISERROR(SEARCH(("No"),(Q862))))</formula>
    </cfRule>
  </conditionalFormatting>
  <conditionalFormatting sqref="Q862">
    <cfRule type="containsText" dxfId="2" priority="16028" operator="containsText" text="Yes">
      <formula>NOT(ISERROR(SEARCH(("Yes"),(Q862))))</formula>
    </cfRule>
  </conditionalFormatting>
  <conditionalFormatting sqref="Q862">
    <cfRule type="containsText" dxfId="9" priority="16029" operator="containsText" text="No">
      <formula>NOT(ISERROR(SEARCH(("No"),(Q862))))</formula>
    </cfRule>
  </conditionalFormatting>
  <conditionalFormatting sqref="Q862">
    <cfRule type="containsText" dxfId="2" priority="16030" operator="containsText" text="Yes">
      <formula>NOT(ISERROR(SEARCH(("Yes"),(Q862))))</formula>
    </cfRule>
  </conditionalFormatting>
  <conditionalFormatting sqref="Q862">
    <cfRule type="containsText" dxfId="9" priority="16031" operator="containsText" text="No">
      <formula>NOT(ISERROR(SEARCH(("No"),(Q862))))</formula>
    </cfRule>
  </conditionalFormatting>
  <conditionalFormatting sqref="Q862">
    <cfRule type="containsText" dxfId="2" priority="16032" operator="containsText" text="Yes">
      <formula>NOT(ISERROR(SEARCH(("Yes"),(Q862))))</formula>
    </cfRule>
  </conditionalFormatting>
  <conditionalFormatting sqref="Q862">
    <cfRule type="containsText" dxfId="9" priority="16033" operator="containsText" text="No">
      <formula>NOT(ISERROR(SEARCH(("No"),(Q862))))</formula>
    </cfRule>
  </conditionalFormatting>
  <conditionalFormatting sqref="Q862">
    <cfRule type="containsText" dxfId="2" priority="16034" operator="containsText" text="Yes">
      <formula>NOT(ISERROR(SEARCH(("Yes"),(Q862))))</formula>
    </cfRule>
  </conditionalFormatting>
  <conditionalFormatting sqref="Q862">
    <cfRule type="containsText" dxfId="9" priority="16035" operator="containsText" text="No">
      <formula>NOT(ISERROR(SEARCH(("No"),(Q862))))</formula>
    </cfRule>
  </conditionalFormatting>
  <conditionalFormatting sqref="Q862">
    <cfRule type="containsText" dxfId="2" priority="16036" operator="containsText" text="Yes">
      <formula>NOT(ISERROR(SEARCH(("Yes"),(Q862))))</formula>
    </cfRule>
  </conditionalFormatting>
  <conditionalFormatting sqref="Q862">
    <cfRule type="containsText" dxfId="9" priority="16037" operator="containsText" text="No">
      <formula>NOT(ISERROR(SEARCH(("No"),(Q862))))</formula>
    </cfRule>
  </conditionalFormatting>
  <conditionalFormatting sqref="Q862">
    <cfRule type="containsText" dxfId="2" priority="16038" operator="containsText" text="Yes">
      <formula>NOT(ISERROR(SEARCH(("Yes"),(Q862))))</formula>
    </cfRule>
  </conditionalFormatting>
  <conditionalFormatting sqref="Q862">
    <cfRule type="containsText" dxfId="9" priority="16039" operator="containsText" text="No">
      <formula>NOT(ISERROR(SEARCH(("No"),(Q862))))</formula>
    </cfRule>
  </conditionalFormatting>
  <conditionalFormatting sqref="Q862">
    <cfRule type="containsText" dxfId="2" priority="16040" operator="containsText" text="Yes">
      <formula>NOT(ISERROR(SEARCH(("Yes"),(Q862))))</formula>
    </cfRule>
  </conditionalFormatting>
  <conditionalFormatting sqref="Q862">
    <cfRule type="containsText" dxfId="9" priority="16041" operator="containsText" text="No">
      <formula>NOT(ISERROR(SEARCH(("No"),(Q862))))</formula>
    </cfRule>
  </conditionalFormatting>
  <conditionalFormatting sqref="Q862">
    <cfRule type="containsText" dxfId="2" priority="16042" operator="containsText" text="Yes">
      <formula>NOT(ISERROR(SEARCH(("Yes"),(Q862))))</formula>
    </cfRule>
  </conditionalFormatting>
  <conditionalFormatting sqref="Q862">
    <cfRule type="containsText" dxfId="9" priority="16043" operator="containsText" text="No">
      <formula>NOT(ISERROR(SEARCH(("No"),(Q862))))</formula>
    </cfRule>
  </conditionalFormatting>
  <conditionalFormatting sqref="Q862">
    <cfRule type="containsText" dxfId="2" priority="16044" operator="containsText" text="Yes">
      <formula>NOT(ISERROR(SEARCH(("Yes"),(Q862))))</formula>
    </cfRule>
  </conditionalFormatting>
  <conditionalFormatting sqref="Q862">
    <cfRule type="containsText" dxfId="9" priority="16045" operator="containsText" text="No">
      <formula>NOT(ISERROR(SEARCH(("No"),(Q862))))</formula>
    </cfRule>
  </conditionalFormatting>
  <conditionalFormatting sqref="Q862">
    <cfRule type="containsText" dxfId="2" priority="16046" operator="containsText" text="Yes">
      <formula>NOT(ISERROR(SEARCH(("Yes"),(Q862))))</formula>
    </cfRule>
  </conditionalFormatting>
  <conditionalFormatting sqref="Q862">
    <cfRule type="containsText" dxfId="9" priority="16047" operator="containsText" text="No">
      <formula>NOT(ISERROR(SEARCH(("No"),(Q862))))</formula>
    </cfRule>
  </conditionalFormatting>
  <conditionalFormatting sqref="Q862">
    <cfRule type="containsText" dxfId="2" priority="16048" operator="containsText" text="Yes">
      <formula>NOT(ISERROR(SEARCH(("Yes"),(Q862))))</formula>
    </cfRule>
  </conditionalFormatting>
  <conditionalFormatting sqref="Q862">
    <cfRule type="containsText" dxfId="9" priority="16049" operator="containsText" text="No">
      <formula>NOT(ISERROR(SEARCH(("No"),(Q862))))</formula>
    </cfRule>
  </conditionalFormatting>
  <conditionalFormatting sqref="Q862">
    <cfRule type="containsText" dxfId="2" priority="16050" operator="containsText" text="Yes">
      <formula>NOT(ISERROR(SEARCH(("Yes"),(Q862))))</formula>
    </cfRule>
  </conditionalFormatting>
  <conditionalFormatting sqref="Q862">
    <cfRule type="containsText" dxfId="9" priority="16051" operator="containsText" text="No">
      <formula>NOT(ISERROR(SEARCH(("No"),(Q862))))</formula>
    </cfRule>
  </conditionalFormatting>
  <conditionalFormatting sqref="Q862">
    <cfRule type="containsText" dxfId="2" priority="16052" operator="containsText" text="Yes">
      <formula>NOT(ISERROR(SEARCH(("Yes"),(Q862))))</formula>
    </cfRule>
  </conditionalFormatting>
  <conditionalFormatting sqref="Q862">
    <cfRule type="containsText" dxfId="9" priority="16053" operator="containsText" text="No">
      <formula>NOT(ISERROR(SEARCH(("No"),(Q862))))</formula>
    </cfRule>
  </conditionalFormatting>
  <conditionalFormatting sqref="Q862">
    <cfRule type="containsText" dxfId="2" priority="16054" operator="containsText" text="Yes">
      <formula>NOT(ISERROR(SEARCH(("Yes"),(Q862))))</formula>
    </cfRule>
  </conditionalFormatting>
  <conditionalFormatting sqref="Q862">
    <cfRule type="containsText" dxfId="9" priority="16055" operator="containsText" text="No">
      <formula>NOT(ISERROR(SEARCH(("No"),(Q862))))</formula>
    </cfRule>
  </conditionalFormatting>
  <conditionalFormatting sqref="Q862">
    <cfRule type="containsText" dxfId="2" priority="16056" operator="containsText" text="Yes">
      <formula>NOT(ISERROR(SEARCH(("Yes"),(Q862))))</formula>
    </cfRule>
  </conditionalFormatting>
  <conditionalFormatting sqref="Q862">
    <cfRule type="containsText" dxfId="9" priority="16057" operator="containsText" text="No">
      <formula>NOT(ISERROR(SEARCH(("No"),(Q862))))</formula>
    </cfRule>
  </conditionalFormatting>
  <conditionalFormatting sqref="Q862">
    <cfRule type="containsText" dxfId="2" priority="16058" operator="containsText" text="Yes">
      <formula>NOT(ISERROR(SEARCH(("Yes"),(Q862))))</formula>
    </cfRule>
  </conditionalFormatting>
  <conditionalFormatting sqref="Q862">
    <cfRule type="containsText" dxfId="9" priority="16059" operator="containsText" text="No">
      <formula>NOT(ISERROR(SEARCH(("No"),(Q862))))</formula>
    </cfRule>
  </conditionalFormatting>
  <conditionalFormatting sqref="Q862">
    <cfRule type="containsText" dxfId="2" priority="16060" operator="containsText" text="Yes">
      <formula>NOT(ISERROR(SEARCH(("Yes"),(Q862))))</formula>
    </cfRule>
  </conditionalFormatting>
  <conditionalFormatting sqref="Q862">
    <cfRule type="containsText" dxfId="9" priority="16061" operator="containsText" text="No">
      <formula>NOT(ISERROR(SEARCH(("No"),(Q862))))</formula>
    </cfRule>
  </conditionalFormatting>
  <conditionalFormatting sqref="Q862">
    <cfRule type="containsText" dxfId="2" priority="16062" operator="containsText" text="Yes">
      <formula>NOT(ISERROR(SEARCH(("Yes"),(Q862))))</formula>
    </cfRule>
  </conditionalFormatting>
  <conditionalFormatting sqref="Q862">
    <cfRule type="containsText" dxfId="9" priority="16063" operator="containsText" text="No">
      <formula>NOT(ISERROR(SEARCH(("No"),(Q862))))</formula>
    </cfRule>
  </conditionalFormatting>
  <conditionalFormatting sqref="Q862">
    <cfRule type="containsText" dxfId="2" priority="16064" operator="containsText" text="Yes">
      <formula>NOT(ISERROR(SEARCH(("Yes"),(Q862))))</formula>
    </cfRule>
  </conditionalFormatting>
  <conditionalFormatting sqref="Q862">
    <cfRule type="containsText" dxfId="9" priority="16065" operator="containsText" text="No">
      <formula>NOT(ISERROR(SEARCH(("No"),(Q862))))</formula>
    </cfRule>
  </conditionalFormatting>
  <conditionalFormatting sqref="Q862">
    <cfRule type="containsText" dxfId="2" priority="16066" operator="containsText" text="Yes">
      <formula>NOT(ISERROR(SEARCH(("Yes"),(Q862))))</formula>
    </cfRule>
  </conditionalFormatting>
  <conditionalFormatting sqref="Q862">
    <cfRule type="containsText" dxfId="9" priority="16067" operator="containsText" text="No">
      <formula>NOT(ISERROR(SEARCH(("No"),(Q862))))</formula>
    </cfRule>
  </conditionalFormatting>
  <conditionalFormatting sqref="Q862">
    <cfRule type="containsText" dxfId="2" priority="16068" operator="containsText" text="Yes">
      <formula>NOT(ISERROR(SEARCH(("Yes"),(Q862))))</formula>
    </cfRule>
  </conditionalFormatting>
  <conditionalFormatting sqref="Q862">
    <cfRule type="containsText" dxfId="2" priority="16069" operator="containsText" text="Yes">
      <formula>NOT(ISERROR(SEARCH(("Yes"),(Q862))))</formula>
    </cfRule>
  </conditionalFormatting>
  <conditionalFormatting sqref="Q862">
    <cfRule type="containsText" dxfId="9" priority="16070" operator="containsText" text="No">
      <formula>NOT(ISERROR(SEARCH(("No"),(Q862))))</formula>
    </cfRule>
  </conditionalFormatting>
  <conditionalFormatting sqref="Q862">
    <cfRule type="containsText" dxfId="2" priority="16071" operator="containsText" text="Yes">
      <formula>NOT(ISERROR(SEARCH(("Yes"),(Q862))))</formula>
    </cfRule>
  </conditionalFormatting>
  <conditionalFormatting sqref="Q863:Q864">
    <cfRule type="containsText" dxfId="2" priority="16072" operator="containsText" text="Yes">
      <formula>NOT(ISERROR(SEARCH(("Yes"),(Q863))))</formula>
    </cfRule>
  </conditionalFormatting>
  <conditionalFormatting sqref="Q863:Q864">
    <cfRule type="containsText" dxfId="9" priority="16073" operator="containsText" text="No">
      <formula>NOT(ISERROR(SEARCH(("No"),(Q863))))</formula>
    </cfRule>
  </conditionalFormatting>
  <conditionalFormatting sqref="Q863:Q864">
    <cfRule type="containsText" dxfId="2" priority="16074" operator="containsText" text="Yes">
      <formula>NOT(ISERROR(SEARCH(("Yes"),(Q863))))</formula>
    </cfRule>
  </conditionalFormatting>
  <conditionalFormatting sqref="Q863:Q864">
    <cfRule type="containsText" dxfId="9" priority="16075" operator="containsText" text="No">
      <formula>NOT(ISERROR(SEARCH(("No"),(Q863))))</formula>
    </cfRule>
  </conditionalFormatting>
  <conditionalFormatting sqref="Q863:Q864">
    <cfRule type="containsText" dxfId="2" priority="16076" operator="containsText" text="Yes">
      <formula>NOT(ISERROR(SEARCH(("Yes"),(Q863))))</formula>
    </cfRule>
  </conditionalFormatting>
  <conditionalFormatting sqref="Q863:Q864">
    <cfRule type="containsText" dxfId="9" priority="16077" operator="containsText" text="No">
      <formula>NOT(ISERROR(SEARCH(("No"),(Q863))))</formula>
    </cfRule>
  </conditionalFormatting>
  <conditionalFormatting sqref="Q863:Q864">
    <cfRule type="containsText" dxfId="2" priority="16078" operator="containsText" text="Yes">
      <formula>NOT(ISERROR(SEARCH(("Yes"),(Q863))))</formula>
    </cfRule>
  </conditionalFormatting>
  <conditionalFormatting sqref="Q863:Q864">
    <cfRule type="containsText" dxfId="9" priority="16079" operator="containsText" text="No">
      <formula>NOT(ISERROR(SEARCH(("No"),(Q863))))</formula>
    </cfRule>
  </conditionalFormatting>
  <conditionalFormatting sqref="Q863:Q864">
    <cfRule type="containsText" dxfId="2" priority="16080" operator="containsText" text="Yes">
      <formula>NOT(ISERROR(SEARCH(("Yes"),(Q863))))</formula>
    </cfRule>
  </conditionalFormatting>
  <conditionalFormatting sqref="Q863:Q864">
    <cfRule type="containsText" dxfId="9" priority="16081" operator="containsText" text="No">
      <formula>NOT(ISERROR(SEARCH(("No"),(Q863))))</formula>
    </cfRule>
  </conditionalFormatting>
  <conditionalFormatting sqref="Q863:Q864">
    <cfRule type="containsText" dxfId="2" priority="16082" operator="containsText" text="Yes">
      <formula>NOT(ISERROR(SEARCH(("Yes"),(Q863))))</formula>
    </cfRule>
  </conditionalFormatting>
  <conditionalFormatting sqref="Q863:Q864">
    <cfRule type="containsText" dxfId="9" priority="16083" operator="containsText" text="No">
      <formula>NOT(ISERROR(SEARCH(("No"),(Q863))))</formula>
    </cfRule>
  </conditionalFormatting>
  <conditionalFormatting sqref="Q863:Q864">
    <cfRule type="containsText" dxfId="2" priority="16084" operator="containsText" text="Yes">
      <formula>NOT(ISERROR(SEARCH(("Yes"),(Q863))))</formula>
    </cfRule>
  </conditionalFormatting>
  <conditionalFormatting sqref="Q863:Q864">
    <cfRule type="containsText" dxfId="9" priority="16085" operator="containsText" text="No">
      <formula>NOT(ISERROR(SEARCH(("No"),(Q863))))</formula>
    </cfRule>
  </conditionalFormatting>
  <conditionalFormatting sqref="Q863:Q864">
    <cfRule type="containsText" dxfId="2" priority="16086" operator="containsText" text="Yes">
      <formula>NOT(ISERROR(SEARCH(("Yes"),(Q863))))</formula>
    </cfRule>
  </conditionalFormatting>
  <conditionalFormatting sqref="Q863:Q864">
    <cfRule type="containsText" dxfId="9" priority="16087" operator="containsText" text="No">
      <formula>NOT(ISERROR(SEARCH(("No"),(Q863))))</formula>
    </cfRule>
  </conditionalFormatting>
  <conditionalFormatting sqref="Q863:Q864">
    <cfRule type="containsText" dxfId="2" priority="16088" operator="containsText" text="Yes">
      <formula>NOT(ISERROR(SEARCH(("Yes"),(Q863))))</formula>
    </cfRule>
  </conditionalFormatting>
  <conditionalFormatting sqref="Q863:Q864">
    <cfRule type="containsText" dxfId="9" priority="16089" operator="containsText" text="No">
      <formula>NOT(ISERROR(SEARCH(("No"),(Q863))))</formula>
    </cfRule>
  </conditionalFormatting>
  <conditionalFormatting sqref="Q863:Q864">
    <cfRule type="containsText" dxfId="2" priority="16090" operator="containsText" text="Yes">
      <formula>NOT(ISERROR(SEARCH(("Yes"),(Q863))))</formula>
    </cfRule>
  </conditionalFormatting>
  <conditionalFormatting sqref="Q863:Q864">
    <cfRule type="containsText" dxfId="9" priority="16091" operator="containsText" text="No">
      <formula>NOT(ISERROR(SEARCH(("No"),(Q863))))</formula>
    </cfRule>
  </conditionalFormatting>
  <conditionalFormatting sqref="Q863:Q864">
    <cfRule type="containsText" dxfId="2" priority="16092" operator="containsText" text="Yes">
      <formula>NOT(ISERROR(SEARCH(("Yes"),(Q863))))</formula>
    </cfRule>
  </conditionalFormatting>
  <conditionalFormatting sqref="Q863:Q864">
    <cfRule type="containsText" dxfId="9" priority="16093" operator="containsText" text="No">
      <formula>NOT(ISERROR(SEARCH(("No"),(Q863))))</formula>
    </cfRule>
  </conditionalFormatting>
  <conditionalFormatting sqref="Q863:Q864">
    <cfRule type="containsText" dxfId="2" priority="16094" operator="containsText" text="Yes">
      <formula>NOT(ISERROR(SEARCH(("Yes"),(Q863))))</formula>
    </cfRule>
  </conditionalFormatting>
  <conditionalFormatting sqref="Q863:Q864">
    <cfRule type="containsText" dxfId="9" priority="16095" operator="containsText" text="No">
      <formula>NOT(ISERROR(SEARCH(("No"),(Q863))))</formula>
    </cfRule>
  </conditionalFormatting>
  <conditionalFormatting sqref="Q863:Q864">
    <cfRule type="containsText" dxfId="2" priority="16096" operator="containsText" text="Yes">
      <formula>NOT(ISERROR(SEARCH(("Yes"),(Q863))))</formula>
    </cfRule>
  </conditionalFormatting>
  <conditionalFormatting sqref="Q863:Q864">
    <cfRule type="containsText" dxfId="9" priority="16097" operator="containsText" text="No">
      <formula>NOT(ISERROR(SEARCH(("No"),(Q863))))</formula>
    </cfRule>
  </conditionalFormatting>
  <conditionalFormatting sqref="Q863:Q864">
    <cfRule type="containsText" dxfId="2" priority="16098" operator="containsText" text="Yes">
      <formula>NOT(ISERROR(SEARCH(("Yes"),(Q863))))</formula>
    </cfRule>
  </conditionalFormatting>
  <conditionalFormatting sqref="Q863:Q864">
    <cfRule type="containsText" dxfId="9" priority="16099" operator="containsText" text="No">
      <formula>NOT(ISERROR(SEARCH(("No"),(Q863))))</formula>
    </cfRule>
  </conditionalFormatting>
  <conditionalFormatting sqref="Q863:Q864">
    <cfRule type="containsText" dxfId="2" priority="16100" operator="containsText" text="Yes">
      <formula>NOT(ISERROR(SEARCH(("Yes"),(Q863))))</formula>
    </cfRule>
  </conditionalFormatting>
  <conditionalFormatting sqref="Q863:Q864">
    <cfRule type="containsText" dxfId="9" priority="16101" operator="containsText" text="No">
      <formula>NOT(ISERROR(SEARCH(("No"),(Q863))))</formula>
    </cfRule>
  </conditionalFormatting>
  <conditionalFormatting sqref="Q863:Q864">
    <cfRule type="containsText" dxfId="2" priority="16102" operator="containsText" text="Yes">
      <formula>NOT(ISERROR(SEARCH(("Yes"),(Q863))))</formula>
    </cfRule>
  </conditionalFormatting>
  <conditionalFormatting sqref="Q863:Q864">
    <cfRule type="containsText" dxfId="9" priority="16103" operator="containsText" text="No">
      <formula>NOT(ISERROR(SEARCH(("No"),(Q863))))</formula>
    </cfRule>
  </conditionalFormatting>
  <conditionalFormatting sqref="Q863:Q864">
    <cfRule type="containsText" dxfId="2" priority="16104" operator="containsText" text="Yes">
      <formula>NOT(ISERROR(SEARCH(("Yes"),(Q863))))</formula>
    </cfRule>
  </conditionalFormatting>
  <conditionalFormatting sqref="Q863:Q864">
    <cfRule type="containsText" dxfId="9" priority="16105" operator="containsText" text="No">
      <formula>NOT(ISERROR(SEARCH(("No"),(Q863))))</formula>
    </cfRule>
  </conditionalFormatting>
  <conditionalFormatting sqref="Q863:Q864">
    <cfRule type="containsText" dxfId="2" priority="16106" operator="containsText" text="Yes">
      <formula>NOT(ISERROR(SEARCH(("Yes"),(Q863))))</formula>
    </cfRule>
  </conditionalFormatting>
  <conditionalFormatting sqref="Q863:Q864">
    <cfRule type="containsText" dxfId="9" priority="16107" operator="containsText" text="No">
      <formula>NOT(ISERROR(SEARCH(("No"),(Q863))))</formula>
    </cfRule>
  </conditionalFormatting>
  <conditionalFormatting sqref="Q863:Q864">
    <cfRule type="containsText" dxfId="2" priority="16108" operator="containsText" text="Yes">
      <formula>NOT(ISERROR(SEARCH(("Yes"),(Q863))))</formula>
    </cfRule>
  </conditionalFormatting>
  <conditionalFormatting sqref="Q863:Q864">
    <cfRule type="containsText" dxfId="9" priority="16109" operator="containsText" text="No">
      <formula>NOT(ISERROR(SEARCH(("No"),(Q863))))</formula>
    </cfRule>
  </conditionalFormatting>
  <conditionalFormatting sqref="Q863:Q864">
    <cfRule type="containsText" dxfId="2" priority="16110" operator="containsText" text="Yes">
      <formula>NOT(ISERROR(SEARCH(("Yes"),(Q863))))</formula>
    </cfRule>
  </conditionalFormatting>
  <conditionalFormatting sqref="Q863:Q864">
    <cfRule type="containsText" dxfId="9" priority="16111" operator="containsText" text="No">
      <formula>NOT(ISERROR(SEARCH(("No"),(Q863))))</formula>
    </cfRule>
  </conditionalFormatting>
  <conditionalFormatting sqref="Q863:Q864">
    <cfRule type="containsText" dxfId="2" priority="16112" operator="containsText" text="Yes">
      <formula>NOT(ISERROR(SEARCH(("Yes"),(Q863))))</formula>
    </cfRule>
  </conditionalFormatting>
  <conditionalFormatting sqref="Q863:Q864">
    <cfRule type="containsText" dxfId="9" priority="16113" operator="containsText" text="No">
      <formula>NOT(ISERROR(SEARCH(("No"),(Q863))))</formula>
    </cfRule>
  </conditionalFormatting>
  <conditionalFormatting sqref="Q863:Q864">
    <cfRule type="containsText" dxfId="2" priority="16114" operator="containsText" text="Yes">
      <formula>NOT(ISERROR(SEARCH(("Yes"),(Q863))))</formula>
    </cfRule>
  </conditionalFormatting>
  <conditionalFormatting sqref="Q863:Q864">
    <cfRule type="containsText" dxfId="9" priority="16115" operator="containsText" text="No">
      <formula>NOT(ISERROR(SEARCH(("No"),(Q863))))</formula>
    </cfRule>
  </conditionalFormatting>
  <conditionalFormatting sqref="Q863:Q864">
    <cfRule type="containsText" dxfId="2" priority="16116" operator="containsText" text="Yes">
      <formula>NOT(ISERROR(SEARCH(("Yes"),(Q863))))</formula>
    </cfRule>
  </conditionalFormatting>
  <conditionalFormatting sqref="Q863:Q864">
    <cfRule type="containsText" dxfId="9" priority="16117" operator="containsText" text="No">
      <formula>NOT(ISERROR(SEARCH(("No"),(Q863))))</formula>
    </cfRule>
  </conditionalFormatting>
  <conditionalFormatting sqref="Q863:Q864">
    <cfRule type="containsText" dxfId="2" priority="16118" operator="containsText" text="Yes">
      <formula>NOT(ISERROR(SEARCH(("Yes"),(Q863))))</formula>
    </cfRule>
  </conditionalFormatting>
  <conditionalFormatting sqref="Q863:Q864">
    <cfRule type="containsText" dxfId="9" priority="16119" operator="containsText" text="No">
      <formula>NOT(ISERROR(SEARCH(("No"),(Q863))))</formula>
    </cfRule>
  </conditionalFormatting>
  <conditionalFormatting sqref="Q863:Q864">
    <cfRule type="containsText" dxfId="2" priority="16120" operator="containsText" text="Yes">
      <formula>NOT(ISERROR(SEARCH(("Yes"),(Q863))))</formula>
    </cfRule>
  </conditionalFormatting>
  <conditionalFormatting sqref="Q863:Q864">
    <cfRule type="containsText" dxfId="9" priority="16121" operator="containsText" text="No">
      <formula>NOT(ISERROR(SEARCH(("No"),(Q863))))</formula>
    </cfRule>
  </conditionalFormatting>
  <conditionalFormatting sqref="Q863:Q864">
    <cfRule type="containsText" dxfId="2" priority="16122" operator="containsText" text="Yes">
      <formula>NOT(ISERROR(SEARCH(("Yes"),(Q863))))</formula>
    </cfRule>
  </conditionalFormatting>
  <conditionalFormatting sqref="Q863:Q864">
    <cfRule type="containsText" dxfId="9" priority="16123" operator="containsText" text="No">
      <formula>NOT(ISERROR(SEARCH(("No"),(Q863))))</formula>
    </cfRule>
  </conditionalFormatting>
  <conditionalFormatting sqref="Q863:Q864">
    <cfRule type="containsText" dxfId="2" priority="16124" operator="containsText" text="Yes">
      <formula>NOT(ISERROR(SEARCH(("Yes"),(Q863))))</formula>
    </cfRule>
  </conditionalFormatting>
  <conditionalFormatting sqref="Q863:Q864">
    <cfRule type="containsText" dxfId="9" priority="16125" operator="containsText" text="No">
      <formula>NOT(ISERROR(SEARCH(("No"),(Q863))))</formula>
    </cfRule>
  </conditionalFormatting>
  <conditionalFormatting sqref="Q863:Q864">
    <cfRule type="containsText" dxfId="2" priority="16126" operator="containsText" text="Yes">
      <formula>NOT(ISERROR(SEARCH(("Yes"),(Q863))))</formula>
    </cfRule>
  </conditionalFormatting>
  <conditionalFormatting sqref="Q863:Q864">
    <cfRule type="containsText" dxfId="9" priority="16127" operator="containsText" text="No">
      <formula>NOT(ISERROR(SEARCH(("No"),(Q863))))</formula>
    </cfRule>
  </conditionalFormatting>
  <conditionalFormatting sqref="Q863:Q864">
    <cfRule type="containsText" dxfId="2" priority="16128" operator="containsText" text="Yes">
      <formula>NOT(ISERROR(SEARCH(("Yes"),(Q863))))</formula>
    </cfRule>
  </conditionalFormatting>
  <conditionalFormatting sqref="Q863:Q864">
    <cfRule type="containsText" dxfId="9" priority="16129" operator="containsText" text="No">
      <formula>NOT(ISERROR(SEARCH(("No"),(Q863))))</formula>
    </cfRule>
  </conditionalFormatting>
  <conditionalFormatting sqref="Q863:Q864">
    <cfRule type="containsText" dxfId="2" priority="16130" operator="containsText" text="Yes">
      <formula>NOT(ISERROR(SEARCH(("Yes"),(Q863))))</formula>
    </cfRule>
  </conditionalFormatting>
  <conditionalFormatting sqref="Q863:Q864">
    <cfRule type="containsText" dxfId="9" priority="16131" operator="containsText" text="No">
      <formula>NOT(ISERROR(SEARCH(("No"),(Q863))))</formula>
    </cfRule>
  </conditionalFormatting>
  <conditionalFormatting sqref="Q863:Q864">
    <cfRule type="containsText" dxfId="2" priority="16132" operator="containsText" text="Yes">
      <formula>NOT(ISERROR(SEARCH(("Yes"),(Q863))))</formula>
    </cfRule>
  </conditionalFormatting>
  <conditionalFormatting sqref="Q863:Q864">
    <cfRule type="containsText" dxfId="9" priority="16133" operator="containsText" text="No">
      <formula>NOT(ISERROR(SEARCH(("No"),(Q863))))</formula>
    </cfRule>
  </conditionalFormatting>
  <conditionalFormatting sqref="Q863:Q864">
    <cfRule type="containsText" dxfId="2" priority="16134" operator="containsText" text="Yes">
      <formula>NOT(ISERROR(SEARCH(("Yes"),(Q863))))</formula>
    </cfRule>
  </conditionalFormatting>
  <conditionalFormatting sqref="Q863:Q864">
    <cfRule type="containsText" dxfId="9" priority="16135" operator="containsText" text="No">
      <formula>NOT(ISERROR(SEARCH(("No"),(Q863))))</formula>
    </cfRule>
  </conditionalFormatting>
  <conditionalFormatting sqref="Q863:Q864">
    <cfRule type="containsText" dxfId="2" priority="16136" operator="containsText" text="Yes">
      <formula>NOT(ISERROR(SEARCH(("Yes"),(Q863))))</formula>
    </cfRule>
  </conditionalFormatting>
  <conditionalFormatting sqref="Q863:Q864">
    <cfRule type="containsText" dxfId="9" priority="16137" operator="containsText" text="No">
      <formula>NOT(ISERROR(SEARCH(("No"),(Q863))))</formula>
    </cfRule>
  </conditionalFormatting>
  <conditionalFormatting sqref="Q863:Q864">
    <cfRule type="containsText" dxfId="2" priority="16138" operator="containsText" text="Yes">
      <formula>NOT(ISERROR(SEARCH(("Yes"),(Q863))))</formula>
    </cfRule>
  </conditionalFormatting>
  <conditionalFormatting sqref="Q863:Q864">
    <cfRule type="containsText" dxfId="9" priority="16139" operator="containsText" text="No">
      <formula>NOT(ISERROR(SEARCH(("No"),(Q863))))</formula>
    </cfRule>
  </conditionalFormatting>
  <conditionalFormatting sqref="Q863:Q864">
    <cfRule type="containsText" dxfId="2" priority="16140" operator="containsText" text="Yes">
      <formula>NOT(ISERROR(SEARCH(("Yes"),(Q863))))</formula>
    </cfRule>
  </conditionalFormatting>
  <conditionalFormatting sqref="Q863:Q864">
    <cfRule type="containsText" dxfId="9" priority="16141" operator="containsText" text="No">
      <formula>NOT(ISERROR(SEARCH(("No"),(Q863))))</formula>
    </cfRule>
  </conditionalFormatting>
  <conditionalFormatting sqref="Q863:Q864">
    <cfRule type="containsText" dxfId="2" priority="16142" operator="containsText" text="Yes">
      <formula>NOT(ISERROR(SEARCH(("Yes"),(Q863))))</formula>
    </cfRule>
  </conditionalFormatting>
  <conditionalFormatting sqref="Q863:Q864">
    <cfRule type="containsText" dxfId="9" priority="16143" operator="containsText" text="No">
      <formula>NOT(ISERROR(SEARCH(("No"),(Q863))))</formula>
    </cfRule>
  </conditionalFormatting>
  <conditionalFormatting sqref="Q863:Q864">
    <cfRule type="containsText" dxfId="2" priority="16144" operator="containsText" text="Yes">
      <formula>NOT(ISERROR(SEARCH(("Yes"),(Q863))))</formula>
    </cfRule>
  </conditionalFormatting>
  <conditionalFormatting sqref="Q863:Q864">
    <cfRule type="containsText" dxfId="9" priority="16145" operator="containsText" text="No">
      <formula>NOT(ISERROR(SEARCH(("No"),(Q863))))</formula>
    </cfRule>
  </conditionalFormatting>
  <conditionalFormatting sqref="Q863:Q864">
    <cfRule type="containsText" dxfId="2" priority="16146" operator="containsText" text="Yes">
      <formula>NOT(ISERROR(SEARCH(("Yes"),(Q863))))</formula>
    </cfRule>
  </conditionalFormatting>
  <conditionalFormatting sqref="Q863:Q864">
    <cfRule type="containsText" dxfId="9" priority="16147" operator="containsText" text="No">
      <formula>NOT(ISERROR(SEARCH(("No"),(Q863))))</formula>
    </cfRule>
  </conditionalFormatting>
  <conditionalFormatting sqref="Q863:Q864">
    <cfRule type="containsText" dxfId="2" priority="16148" operator="containsText" text="Yes">
      <formula>NOT(ISERROR(SEARCH(("Yes"),(Q863))))</formula>
    </cfRule>
  </conditionalFormatting>
  <conditionalFormatting sqref="Q863:Q864">
    <cfRule type="containsText" dxfId="9" priority="16149" operator="containsText" text="No">
      <formula>NOT(ISERROR(SEARCH(("No"),(Q863))))</formula>
    </cfRule>
  </conditionalFormatting>
  <conditionalFormatting sqref="Q863:Q864">
    <cfRule type="containsText" dxfId="2" priority="16150" operator="containsText" text="Yes">
      <formula>NOT(ISERROR(SEARCH(("Yes"),(Q863))))</formula>
    </cfRule>
  </conditionalFormatting>
  <conditionalFormatting sqref="Q863:Q864">
    <cfRule type="containsText" dxfId="9" priority="16151" operator="containsText" text="No">
      <formula>NOT(ISERROR(SEARCH(("No"),(Q863))))</formula>
    </cfRule>
  </conditionalFormatting>
  <conditionalFormatting sqref="Q863:Q864">
    <cfRule type="containsText" dxfId="2" priority="16152" operator="containsText" text="Yes">
      <formula>NOT(ISERROR(SEARCH(("Yes"),(Q863))))</formula>
    </cfRule>
  </conditionalFormatting>
  <conditionalFormatting sqref="Q863:Q864">
    <cfRule type="containsText" dxfId="9" priority="16153" operator="containsText" text="No">
      <formula>NOT(ISERROR(SEARCH(("No"),(Q863))))</formula>
    </cfRule>
  </conditionalFormatting>
  <conditionalFormatting sqref="Q863:Q864">
    <cfRule type="containsText" dxfId="2" priority="16154" operator="containsText" text="Yes">
      <formula>NOT(ISERROR(SEARCH(("Yes"),(Q863))))</formula>
    </cfRule>
  </conditionalFormatting>
  <conditionalFormatting sqref="Q863:Q864">
    <cfRule type="containsText" dxfId="9" priority="16155" operator="containsText" text="No">
      <formula>NOT(ISERROR(SEARCH(("No"),(Q863))))</formula>
    </cfRule>
  </conditionalFormatting>
  <conditionalFormatting sqref="Q863:Q864">
    <cfRule type="containsText" dxfId="2" priority="16156" operator="containsText" text="Yes">
      <formula>NOT(ISERROR(SEARCH(("Yes"),(Q863))))</formula>
    </cfRule>
  </conditionalFormatting>
  <conditionalFormatting sqref="Q863:Q864">
    <cfRule type="containsText" dxfId="9" priority="16157" operator="containsText" text="No">
      <formula>NOT(ISERROR(SEARCH(("No"),(Q863))))</formula>
    </cfRule>
  </conditionalFormatting>
  <conditionalFormatting sqref="Q863:Q864">
    <cfRule type="containsText" dxfId="2" priority="16158" operator="containsText" text="Yes">
      <formula>NOT(ISERROR(SEARCH(("Yes"),(Q863))))</formula>
    </cfRule>
  </conditionalFormatting>
  <conditionalFormatting sqref="Q863:Q864">
    <cfRule type="containsText" dxfId="9" priority="16159" operator="containsText" text="No">
      <formula>NOT(ISERROR(SEARCH(("No"),(Q863))))</formula>
    </cfRule>
  </conditionalFormatting>
  <conditionalFormatting sqref="Q863:Q864">
    <cfRule type="containsText" dxfId="2" priority="16160" operator="containsText" text="Yes">
      <formula>NOT(ISERROR(SEARCH(("Yes"),(Q863))))</formula>
    </cfRule>
  </conditionalFormatting>
  <conditionalFormatting sqref="Q863:Q864">
    <cfRule type="containsText" dxfId="2" priority="16161" operator="containsText" text="Yes">
      <formula>NOT(ISERROR(SEARCH(("Yes"),(Q863))))</formula>
    </cfRule>
  </conditionalFormatting>
  <conditionalFormatting sqref="Q863:Q864">
    <cfRule type="containsText" dxfId="9" priority="16162" operator="containsText" text="No">
      <formula>NOT(ISERROR(SEARCH(("No"),(Q863))))</formula>
    </cfRule>
  </conditionalFormatting>
  <conditionalFormatting sqref="Q863:Q864">
    <cfRule type="containsText" dxfId="2" priority="16163" operator="containsText" text="Yes">
      <formula>NOT(ISERROR(SEARCH(("Yes"),(Q863))))</formula>
    </cfRule>
  </conditionalFormatting>
  <conditionalFormatting sqref="Q867:Q872">
    <cfRule type="containsText" dxfId="2" priority="16164" operator="containsText" text="Yes">
      <formula>NOT(ISERROR(SEARCH(("Yes"),(Q867))))</formula>
    </cfRule>
  </conditionalFormatting>
  <conditionalFormatting sqref="Q867:Q872">
    <cfRule type="containsText" dxfId="9" priority="16165" operator="containsText" text="No">
      <formula>NOT(ISERROR(SEARCH(("No"),(Q867))))</formula>
    </cfRule>
  </conditionalFormatting>
  <conditionalFormatting sqref="Q867:Q872">
    <cfRule type="containsText" dxfId="2" priority="16166" operator="containsText" text="Yes">
      <formula>NOT(ISERROR(SEARCH(("Yes"),(Q867))))</formula>
    </cfRule>
  </conditionalFormatting>
  <conditionalFormatting sqref="Q867:Q872">
    <cfRule type="containsText" dxfId="9" priority="16167" operator="containsText" text="No">
      <formula>NOT(ISERROR(SEARCH(("No"),(Q867))))</formula>
    </cfRule>
  </conditionalFormatting>
  <conditionalFormatting sqref="Q867:Q872">
    <cfRule type="containsText" dxfId="2" priority="16168" operator="containsText" text="Yes">
      <formula>NOT(ISERROR(SEARCH(("Yes"),(Q867))))</formula>
    </cfRule>
  </conditionalFormatting>
  <conditionalFormatting sqref="Q867:Q872">
    <cfRule type="containsText" dxfId="9" priority="16169" operator="containsText" text="No">
      <formula>NOT(ISERROR(SEARCH(("No"),(Q867))))</formula>
    </cfRule>
  </conditionalFormatting>
  <conditionalFormatting sqref="Q867:Q872">
    <cfRule type="containsText" dxfId="2" priority="16170" operator="containsText" text="Yes">
      <formula>NOT(ISERROR(SEARCH(("Yes"),(Q867))))</formula>
    </cfRule>
  </conditionalFormatting>
  <conditionalFormatting sqref="Q867:Q872">
    <cfRule type="containsText" dxfId="9" priority="16171" operator="containsText" text="No">
      <formula>NOT(ISERROR(SEARCH(("No"),(Q867))))</formula>
    </cfRule>
  </conditionalFormatting>
  <conditionalFormatting sqref="Q867:Q872">
    <cfRule type="containsText" dxfId="2" priority="16172" operator="containsText" text="Yes">
      <formula>NOT(ISERROR(SEARCH(("Yes"),(Q867))))</formula>
    </cfRule>
  </conditionalFormatting>
  <conditionalFormatting sqref="Q867:Q872">
    <cfRule type="containsText" dxfId="9" priority="16173" operator="containsText" text="No">
      <formula>NOT(ISERROR(SEARCH(("No"),(Q867))))</formula>
    </cfRule>
  </conditionalFormatting>
  <conditionalFormatting sqref="Q867:Q872">
    <cfRule type="containsText" dxfId="2" priority="16174" operator="containsText" text="Yes">
      <formula>NOT(ISERROR(SEARCH(("Yes"),(Q867))))</formula>
    </cfRule>
  </conditionalFormatting>
  <conditionalFormatting sqref="Q867:Q872">
    <cfRule type="containsText" dxfId="9" priority="16175" operator="containsText" text="No">
      <formula>NOT(ISERROR(SEARCH(("No"),(Q867))))</formula>
    </cfRule>
  </conditionalFormatting>
  <conditionalFormatting sqref="Q867:Q872">
    <cfRule type="containsText" dxfId="2" priority="16176" operator="containsText" text="Yes">
      <formula>NOT(ISERROR(SEARCH(("Yes"),(Q867))))</formula>
    </cfRule>
  </conditionalFormatting>
  <conditionalFormatting sqref="Q867:Q872">
    <cfRule type="containsText" dxfId="9" priority="16177" operator="containsText" text="No">
      <formula>NOT(ISERROR(SEARCH(("No"),(Q867))))</formula>
    </cfRule>
  </conditionalFormatting>
  <conditionalFormatting sqref="Q867:Q872">
    <cfRule type="containsText" dxfId="2" priority="16178" operator="containsText" text="Yes">
      <formula>NOT(ISERROR(SEARCH(("Yes"),(Q867))))</formula>
    </cfRule>
  </conditionalFormatting>
  <conditionalFormatting sqref="Q867:Q872">
    <cfRule type="containsText" dxfId="9" priority="16179" operator="containsText" text="No">
      <formula>NOT(ISERROR(SEARCH(("No"),(Q867))))</formula>
    </cfRule>
  </conditionalFormatting>
  <conditionalFormatting sqref="Q867:Q872">
    <cfRule type="containsText" dxfId="2" priority="16180" operator="containsText" text="Yes">
      <formula>NOT(ISERROR(SEARCH(("Yes"),(Q867))))</formula>
    </cfRule>
  </conditionalFormatting>
  <conditionalFormatting sqref="Q867:Q872">
    <cfRule type="containsText" dxfId="9" priority="16181" operator="containsText" text="No">
      <formula>NOT(ISERROR(SEARCH(("No"),(Q867))))</formula>
    </cfRule>
  </conditionalFormatting>
  <conditionalFormatting sqref="Q867:Q872">
    <cfRule type="containsText" dxfId="2" priority="16182" operator="containsText" text="Yes">
      <formula>NOT(ISERROR(SEARCH(("Yes"),(Q867))))</formula>
    </cfRule>
  </conditionalFormatting>
  <conditionalFormatting sqref="Q867:Q872">
    <cfRule type="containsText" dxfId="9" priority="16183" operator="containsText" text="No">
      <formula>NOT(ISERROR(SEARCH(("No"),(Q867))))</formula>
    </cfRule>
  </conditionalFormatting>
  <conditionalFormatting sqref="Q867:Q872">
    <cfRule type="containsText" dxfId="2" priority="16184" operator="containsText" text="Yes">
      <formula>NOT(ISERROR(SEARCH(("Yes"),(Q867))))</formula>
    </cfRule>
  </conditionalFormatting>
  <conditionalFormatting sqref="Q867:Q872">
    <cfRule type="containsText" dxfId="9" priority="16185" operator="containsText" text="No">
      <formula>NOT(ISERROR(SEARCH(("No"),(Q867))))</formula>
    </cfRule>
  </conditionalFormatting>
  <conditionalFormatting sqref="Q867:Q872">
    <cfRule type="containsText" dxfId="2" priority="16186" operator="containsText" text="Yes">
      <formula>NOT(ISERROR(SEARCH(("Yes"),(Q867))))</formula>
    </cfRule>
  </conditionalFormatting>
  <conditionalFormatting sqref="Q867:Q872">
    <cfRule type="containsText" dxfId="9" priority="16187" operator="containsText" text="No">
      <formula>NOT(ISERROR(SEARCH(("No"),(Q867))))</formula>
    </cfRule>
  </conditionalFormatting>
  <conditionalFormatting sqref="Q867:Q872">
    <cfRule type="containsText" dxfId="2" priority="16188" operator="containsText" text="Yes">
      <formula>NOT(ISERROR(SEARCH(("Yes"),(Q867))))</formula>
    </cfRule>
  </conditionalFormatting>
  <conditionalFormatting sqref="Q867:Q872">
    <cfRule type="containsText" dxfId="9" priority="16189" operator="containsText" text="No">
      <formula>NOT(ISERROR(SEARCH(("No"),(Q867))))</formula>
    </cfRule>
  </conditionalFormatting>
  <conditionalFormatting sqref="Q867:Q872">
    <cfRule type="containsText" dxfId="2" priority="16190" operator="containsText" text="Yes">
      <formula>NOT(ISERROR(SEARCH(("Yes"),(Q867))))</formula>
    </cfRule>
  </conditionalFormatting>
  <conditionalFormatting sqref="Q867:Q872">
    <cfRule type="containsText" dxfId="9" priority="16191" operator="containsText" text="No">
      <formula>NOT(ISERROR(SEARCH(("No"),(Q867))))</formula>
    </cfRule>
  </conditionalFormatting>
  <conditionalFormatting sqref="Q867:Q872">
    <cfRule type="containsText" dxfId="2" priority="16192" operator="containsText" text="Yes">
      <formula>NOT(ISERROR(SEARCH(("Yes"),(Q867))))</formula>
    </cfRule>
  </conditionalFormatting>
  <conditionalFormatting sqref="Q867:Q872">
    <cfRule type="containsText" dxfId="9" priority="16193" operator="containsText" text="No">
      <formula>NOT(ISERROR(SEARCH(("No"),(Q867))))</formula>
    </cfRule>
  </conditionalFormatting>
  <conditionalFormatting sqref="Q867:Q872">
    <cfRule type="containsText" dxfId="2" priority="16194" operator="containsText" text="Yes">
      <formula>NOT(ISERROR(SEARCH(("Yes"),(Q867))))</formula>
    </cfRule>
  </conditionalFormatting>
  <conditionalFormatting sqref="Q867:Q872">
    <cfRule type="containsText" dxfId="9" priority="16195" operator="containsText" text="No">
      <formula>NOT(ISERROR(SEARCH(("No"),(Q867))))</formula>
    </cfRule>
  </conditionalFormatting>
  <conditionalFormatting sqref="Q867:Q872">
    <cfRule type="containsText" dxfId="2" priority="16196" operator="containsText" text="Yes">
      <formula>NOT(ISERROR(SEARCH(("Yes"),(Q867))))</formula>
    </cfRule>
  </conditionalFormatting>
  <conditionalFormatting sqref="Q867:Q872">
    <cfRule type="containsText" dxfId="9" priority="16197" operator="containsText" text="No">
      <formula>NOT(ISERROR(SEARCH(("No"),(Q867))))</formula>
    </cfRule>
  </conditionalFormatting>
  <conditionalFormatting sqref="Q867:Q872">
    <cfRule type="containsText" dxfId="2" priority="16198" operator="containsText" text="Yes">
      <formula>NOT(ISERROR(SEARCH(("Yes"),(Q867))))</formula>
    </cfRule>
  </conditionalFormatting>
  <conditionalFormatting sqref="Q867:Q872">
    <cfRule type="containsText" dxfId="9" priority="16199" operator="containsText" text="No">
      <formula>NOT(ISERROR(SEARCH(("No"),(Q867))))</formula>
    </cfRule>
  </conditionalFormatting>
  <conditionalFormatting sqref="Q867:Q872">
    <cfRule type="containsText" dxfId="2" priority="16200" operator="containsText" text="Yes">
      <formula>NOT(ISERROR(SEARCH(("Yes"),(Q867))))</formula>
    </cfRule>
  </conditionalFormatting>
  <conditionalFormatting sqref="Q867:Q872">
    <cfRule type="containsText" dxfId="9" priority="16201" operator="containsText" text="No">
      <formula>NOT(ISERROR(SEARCH(("No"),(Q867))))</formula>
    </cfRule>
  </conditionalFormatting>
  <conditionalFormatting sqref="Q867:Q872">
    <cfRule type="containsText" dxfId="2" priority="16202" operator="containsText" text="Yes">
      <formula>NOT(ISERROR(SEARCH(("Yes"),(Q867))))</formula>
    </cfRule>
  </conditionalFormatting>
  <conditionalFormatting sqref="Q867:Q872">
    <cfRule type="containsText" dxfId="9" priority="16203" operator="containsText" text="No">
      <formula>NOT(ISERROR(SEARCH(("No"),(Q867))))</formula>
    </cfRule>
  </conditionalFormatting>
  <conditionalFormatting sqref="Q867:Q872">
    <cfRule type="containsText" dxfId="2" priority="16204" operator="containsText" text="Yes">
      <formula>NOT(ISERROR(SEARCH(("Yes"),(Q867))))</formula>
    </cfRule>
  </conditionalFormatting>
  <conditionalFormatting sqref="Q867:Q872">
    <cfRule type="containsText" dxfId="9" priority="16205" operator="containsText" text="No">
      <formula>NOT(ISERROR(SEARCH(("No"),(Q867))))</formula>
    </cfRule>
  </conditionalFormatting>
  <conditionalFormatting sqref="Q867:Q872">
    <cfRule type="containsText" dxfId="2" priority="16206" operator="containsText" text="Yes">
      <formula>NOT(ISERROR(SEARCH(("Yes"),(Q867))))</formula>
    </cfRule>
  </conditionalFormatting>
  <conditionalFormatting sqref="Q867:Q872">
    <cfRule type="containsText" dxfId="9" priority="16207" operator="containsText" text="No">
      <formula>NOT(ISERROR(SEARCH(("No"),(Q867))))</formula>
    </cfRule>
  </conditionalFormatting>
  <conditionalFormatting sqref="Q867:Q872">
    <cfRule type="containsText" dxfId="2" priority="16208" operator="containsText" text="Yes">
      <formula>NOT(ISERROR(SEARCH(("Yes"),(Q867))))</formula>
    </cfRule>
  </conditionalFormatting>
  <conditionalFormatting sqref="Q867:Q872">
    <cfRule type="containsText" dxfId="9" priority="16209" operator="containsText" text="No">
      <formula>NOT(ISERROR(SEARCH(("No"),(Q867))))</formula>
    </cfRule>
  </conditionalFormatting>
  <conditionalFormatting sqref="Q867:Q872">
    <cfRule type="containsText" dxfId="2" priority="16210" operator="containsText" text="Yes">
      <formula>NOT(ISERROR(SEARCH(("Yes"),(Q867))))</formula>
    </cfRule>
  </conditionalFormatting>
  <conditionalFormatting sqref="Q867:Q872">
    <cfRule type="containsText" dxfId="9" priority="16211" operator="containsText" text="No">
      <formula>NOT(ISERROR(SEARCH(("No"),(Q867))))</formula>
    </cfRule>
  </conditionalFormatting>
  <conditionalFormatting sqref="Q867:Q872">
    <cfRule type="containsText" dxfId="2" priority="16212" operator="containsText" text="Yes">
      <formula>NOT(ISERROR(SEARCH(("Yes"),(Q867))))</formula>
    </cfRule>
  </conditionalFormatting>
  <conditionalFormatting sqref="Q867:Q872">
    <cfRule type="containsText" dxfId="9" priority="16213" operator="containsText" text="No">
      <formula>NOT(ISERROR(SEARCH(("No"),(Q867))))</formula>
    </cfRule>
  </conditionalFormatting>
  <conditionalFormatting sqref="Q867:Q872">
    <cfRule type="containsText" dxfId="2" priority="16214" operator="containsText" text="Yes">
      <formula>NOT(ISERROR(SEARCH(("Yes"),(Q867))))</formula>
    </cfRule>
  </conditionalFormatting>
  <conditionalFormatting sqref="Q867:Q872">
    <cfRule type="containsText" dxfId="9" priority="16215" operator="containsText" text="No">
      <formula>NOT(ISERROR(SEARCH(("No"),(Q867))))</formula>
    </cfRule>
  </conditionalFormatting>
  <conditionalFormatting sqref="Q867:Q872">
    <cfRule type="containsText" dxfId="2" priority="16216" operator="containsText" text="Yes">
      <formula>NOT(ISERROR(SEARCH(("Yes"),(Q867))))</formula>
    </cfRule>
  </conditionalFormatting>
  <conditionalFormatting sqref="Q867:Q872">
    <cfRule type="containsText" dxfId="9" priority="16217" operator="containsText" text="No">
      <formula>NOT(ISERROR(SEARCH(("No"),(Q867))))</formula>
    </cfRule>
  </conditionalFormatting>
  <conditionalFormatting sqref="Q867:Q872">
    <cfRule type="containsText" dxfId="2" priority="16218" operator="containsText" text="Yes">
      <formula>NOT(ISERROR(SEARCH(("Yes"),(Q867))))</formula>
    </cfRule>
  </conditionalFormatting>
  <conditionalFormatting sqref="Q867:Q872">
    <cfRule type="containsText" dxfId="9" priority="16219" operator="containsText" text="No">
      <formula>NOT(ISERROR(SEARCH(("No"),(Q867))))</formula>
    </cfRule>
  </conditionalFormatting>
  <conditionalFormatting sqref="Q867:Q872">
    <cfRule type="containsText" dxfId="2" priority="16220" operator="containsText" text="Yes">
      <formula>NOT(ISERROR(SEARCH(("Yes"),(Q867))))</formula>
    </cfRule>
  </conditionalFormatting>
  <conditionalFormatting sqref="Q867:Q872">
    <cfRule type="containsText" dxfId="9" priority="16221" operator="containsText" text="No">
      <formula>NOT(ISERROR(SEARCH(("No"),(Q867))))</formula>
    </cfRule>
  </conditionalFormatting>
  <conditionalFormatting sqref="Q867:Q872">
    <cfRule type="containsText" dxfId="2" priority="16222" operator="containsText" text="Yes">
      <formula>NOT(ISERROR(SEARCH(("Yes"),(Q867))))</formula>
    </cfRule>
  </conditionalFormatting>
  <conditionalFormatting sqref="Q867:Q872">
    <cfRule type="containsText" dxfId="9" priority="16223" operator="containsText" text="No">
      <formula>NOT(ISERROR(SEARCH(("No"),(Q867))))</formula>
    </cfRule>
  </conditionalFormatting>
  <conditionalFormatting sqref="Q867:Q872">
    <cfRule type="containsText" dxfId="2" priority="16224" operator="containsText" text="Yes">
      <formula>NOT(ISERROR(SEARCH(("Yes"),(Q867))))</formula>
    </cfRule>
  </conditionalFormatting>
  <conditionalFormatting sqref="Q867:Q872">
    <cfRule type="containsText" dxfId="9" priority="16225" operator="containsText" text="No">
      <formula>NOT(ISERROR(SEARCH(("No"),(Q867))))</formula>
    </cfRule>
  </conditionalFormatting>
  <conditionalFormatting sqref="Q867:Q872">
    <cfRule type="containsText" dxfId="2" priority="16226" operator="containsText" text="Yes">
      <formula>NOT(ISERROR(SEARCH(("Yes"),(Q867))))</formula>
    </cfRule>
  </conditionalFormatting>
  <conditionalFormatting sqref="Q867:Q872">
    <cfRule type="containsText" dxfId="9" priority="16227" operator="containsText" text="No">
      <formula>NOT(ISERROR(SEARCH(("No"),(Q867))))</formula>
    </cfRule>
  </conditionalFormatting>
  <conditionalFormatting sqref="Q867:Q872">
    <cfRule type="containsText" dxfId="2" priority="16228" operator="containsText" text="Yes">
      <formula>NOT(ISERROR(SEARCH(("Yes"),(Q867))))</formula>
    </cfRule>
  </conditionalFormatting>
  <conditionalFormatting sqref="Q867:Q872">
    <cfRule type="containsText" dxfId="9" priority="16229" operator="containsText" text="No">
      <formula>NOT(ISERROR(SEARCH(("No"),(Q867))))</formula>
    </cfRule>
  </conditionalFormatting>
  <conditionalFormatting sqref="Q867:Q872">
    <cfRule type="containsText" dxfId="2" priority="16230" operator="containsText" text="Yes">
      <formula>NOT(ISERROR(SEARCH(("Yes"),(Q867))))</formula>
    </cfRule>
  </conditionalFormatting>
  <conditionalFormatting sqref="Q867:Q872">
    <cfRule type="containsText" dxfId="9" priority="16231" operator="containsText" text="No">
      <formula>NOT(ISERROR(SEARCH(("No"),(Q867))))</formula>
    </cfRule>
  </conditionalFormatting>
  <conditionalFormatting sqref="Q867:Q872">
    <cfRule type="containsText" dxfId="2" priority="16232" operator="containsText" text="Yes">
      <formula>NOT(ISERROR(SEARCH(("Yes"),(Q867))))</formula>
    </cfRule>
  </conditionalFormatting>
  <conditionalFormatting sqref="Q867:Q872">
    <cfRule type="containsText" dxfId="9" priority="16233" operator="containsText" text="No">
      <formula>NOT(ISERROR(SEARCH(("No"),(Q867))))</formula>
    </cfRule>
  </conditionalFormatting>
  <conditionalFormatting sqref="Q867:Q872">
    <cfRule type="containsText" dxfId="2" priority="16234" operator="containsText" text="Yes">
      <formula>NOT(ISERROR(SEARCH(("Yes"),(Q867))))</formula>
    </cfRule>
  </conditionalFormatting>
  <conditionalFormatting sqref="Q867:Q872">
    <cfRule type="containsText" dxfId="9" priority="16235" operator="containsText" text="No">
      <formula>NOT(ISERROR(SEARCH(("No"),(Q867))))</formula>
    </cfRule>
  </conditionalFormatting>
  <conditionalFormatting sqref="Q867:Q872">
    <cfRule type="containsText" dxfId="2" priority="16236" operator="containsText" text="Yes">
      <formula>NOT(ISERROR(SEARCH(("Yes"),(Q867))))</formula>
    </cfRule>
  </conditionalFormatting>
  <conditionalFormatting sqref="Q867:Q872">
    <cfRule type="containsText" dxfId="9" priority="16237" operator="containsText" text="No">
      <formula>NOT(ISERROR(SEARCH(("No"),(Q867))))</formula>
    </cfRule>
  </conditionalFormatting>
  <conditionalFormatting sqref="Q867:Q872">
    <cfRule type="containsText" dxfId="2" priority="16238" operator="containsText" text="Yes">
      <formula>NOT(ISERROR(SEARCH(("Yes"),(Q867))))</formula>
    </cfRule>
  </conditionalFormatting>
  <conditionalFormatting sqref="Q867:Q872">
    <cfRule type="containsText" dxfId="9" priority="16239" operator="containsText" text="No">
      <formula>NOT(ISERROR(SEARCH(("No"),(Q867))))</formula>
    </cfRule>
  </conditionalFormatting>
  <conditionalFormatting sqref="Q867:Q872">
    <cfRule type="containsText" dxfId="2" priority="16240" operator="containsText" text="Yes">
      <formula>NOT(ISERROR(SEARCH(("Yes"),(Q867))))</formula>
    </cfRule>
  </conditionalFormatting>
  <conditionalFormatting sqref="Q867:Q872">
    <cfRule type="containsText" dxfId="9" priority="16241" operator="containsText" text="No">
      <formula>NOT(ISERROR(SEARCH(("No"),(Q867))))</formula>
    </cfRule>
  </conditionalFormatting>
  <conditionalFormatting sqref="Q867:Q872">
    <cfRule type="containsText" dxfId="2" priority="16242" operator="containsText" text="Yes">
      <formula>NOT(ISERROR(SEARCH(("Yes"),(Q867))))</formula>
    </cfRule>
  </conditionalFormatting>
  <conditionalFormatting sqref="Q867:Q872">
    <cfRule type="containsText" dxfId="9" priority="16243" operator="containsText" text="No">
      <formula>NOT(ISERROR(SEARCH(("No"),(Q867))))</formula>
    </cfRule>
  </conditionalFormatting>
  <conditionalFormatting sqref="Q867:Q872">
    <cfRule type="containsText" dxfId="2" priority="16244" operator="containsText" text="Yes">
      <formula>NOT(ISERROR(SEARCH(("Yes"),(Q867))))</formula>
    </cfRule>
  </conditionalFormatting>
  <conditionalFormatting sqref="Q867:Q872">
    <cfRule type="containsText" dxfId="9" priority="16245" operator="containsText" text="No">
      <formula>NOT(ISERROR(SEARCH(("No"),(Q867))))</formula>
    </cfRule>
  </conditionalFormatting>
  <conditionalFormatting sqref="Q867:Q872">
    <cfRule type="containsText" dxfId="2" priority="16246" operator="containsText" text="Yes">
      <formula>NOT(ISERROR(SEARCH(("Yes"),(Q867))))</formula>
    </cfRule>
  </conditionalFormatting>
  <conditionalFormatting sqref="Q867:Q872">
    <cfRule type="containsText" dxfId="9" priority="16247" operator="containsText" text="No">
      <formula>NOT(ISERROR(SEARCH(("No"),(Q867))))</formula>
    </cfRule>
  </conditionalFormatting>
  <conditionalFormatting sqref="Q867:Q872">
    <cfRule type="containsText" dxfId="2" priority="16248" operator="containsText" text="Yes">
      <formula>NOT(ISERROR(SEARCH(("Yes"),(Q867))))</formula>
    </cfRule>
  </conditionalFormatting>
  <conditionalFormatting sqref="Q867:Q872">
    <cfRule type="containsText" dxfId="9" priority="16249" operator="containsText" text="No">
      <formula>NOT(ISERROR(SEARCH(("No"),(Q867))))</formula>
    </cfRule>
  </conditionalFormatting>
  <conditionalFormatting sqref="Q867:Q872">
    <cfRule type="containsText" dxfId="2" priority="16250" operator="containsText" text="Yes">
      <formula>NOT(ISERROR(SEARCH(("Yes"),(Q867))))</formula>
    </cfRule>
  </conditionalFormatting>
  <conditionalFormatting sqref="Q867:Q872">
    <cfRule type="containsText" dxfId="9" priority="16251" operator="containsText" text="No">
      <formula>NOT(ISERROR(SEARCH(("No"),(Q867))))</formula>
    </cfRule>
  </conditionalFormatting>
  <conditionalFormatting sqref="Q867:Q872">
    <cfRule type="containsText" dxfId="2" priority="16252" operator="containsText" text="Yes">
      <formula>NOT(ISERROR(SEARCH(("Yes"),(Q867))))</formula>
    </cfRule>
  </conditionalFormatting>
  <conditionalFormatting sqref="Q867:Q872">
    <cfRule type="containsText" dxfId="2" priority="16253" operator="containsText" text="Yes">
      <formula>NOT(ISERROR(SEARCH(("Yes"),(Q867))))</formula>
    </cfRule>
  </conditionalFormatting>
  <conditionalFormatting sqref="Q867:Q872">
    <cfRule type="containsText" dxfId="9" priority="16254" operator="containsText" text="No">
      <formula>NOT(ISERROR(SEARCH(("No"),(Q867))))</formula>
    </cfRule>
  </conditionalFormatting>
  <conditionalFormatting sqref="Q867:Q872">
    <cfRule type="containsText" dxfId="2" priority="16255" operator="containsText" text="Yes">
      <formula>NOT(ISERROR(SEARCH(("Yes"),(Q867))))</formula>
    </cfRule>
  </conditionalFormatting>
  <conditionalFormatting sqref="Q873">
    <cfRule type="containsText" dxfId="2" priority="16256" operator="containsText" text="Yes">
      <formula>NOT(ISERROR(SEARCH(("Yes"),(Q873))))</formula>
    </cfRule>
  </conditionalFormatting>
  <conditionalFormatting sqref="Q873">
    <cfRule type="containsText" dxfId="9" priority="16257" operator="containsText" text="No">
      <formula>NOT(ISERROR(SEARCH(("No"),(Q873))))</formula>
    </cfRule>
  </conditionalFormatting>
  <conditionalFormatting sqref="Q873">
    <cfRule type="containsText" dxfId="2" priority="16258" operator="containsText" text="Yes">
      <formula>NOT(ISERROR(SEARCH(("Yes"),(Q873))))</formula>
    </cfRule>
  </conditionalFormatting>
  <conditionalFormatting sqref="Q873">
    <cfRule type="containsText" dxfId="9" priority="16259" operator="containsText" text="No">
      <formula>NOT(ISERROR(SEARCH(("No"),(Q873))))</formula>
    </cfRule>
  </conditionalFormatting>
  <conditionalFormatting sqref="Q873">
    <cfRule type="containsText" dxfId="2" priority="16260" operator="containsText" text="Yes">
      <formula>NOT(ISERROR(SEARCH(("Yes"),(Q873))))</formula>
    </cfRule>
  </conditionalFormatting>
  <conditionalFormatting sqref="Q873">
    <cfRule type="containsText" dxfId="9" priority="16261" operator="containsText" text="No">
      <formula>NOT(ISERROR(SEARCH(("No"),(Q873))))</formula>
    </cfRule>
  </conditionalFormatting>
  <conditionalFormatting sqref="Q873">
    <cfRule type="containsText" dxfId="2" priority="16262" operator="containsText" text="Yes">
      <formula>NOT(ISERROR(SEARCH(("Yes"),(Q873))))</formula>
    </cfRule>
  </conditionalFormatting>
  <conditionalFormatting sqref="Q873">
    <cfRule type="containsText" dxfId="9" priority="16263" operator="containsText" text="No">
      <formula>NOT(ISERROR(SEARCH(("No"),(Q873))))</formula>
    </cfRule>
  </conditionalFormatting>
  <conditionalFormatting sqref="Q873">
    <cfRule type="containsText" dxfId="2" priority="16264" operator="containsText" text="Yes">
      <formula>NOT(ISERROR(SEARCH(("Yes"),(Q873))))</formula>
    </cfRule>
  </conditionalFormatting>
  <conditionalFormatting sqref="Q873">
    <cfRule type="containsText" dxfId="9" priority="16265" operator="containsText" text="No">
      <formula>NOT(ISERROR(SEARCH(("No"),(Q873))))</formula>
    </cfRule>
  </conditionalFormatting>
  <conditionalFormatting sqref="Q873">
    <cfRule type="containsText" dxfId="2" priority="16266" operator="containsText" text="Yes">
      <formula>NOT(ISERROR(SEARCH(("Yes"),(Q873))))</formula>
    </cfRule>
  </conditionalFormatting>
  <conditionalFormatting sqref="Q873">
    <cfRule type="containsText" dxfId="9" priority="16267" operator="containsText" text="No">
      <formula>NOT(ISERROR(SEARCH(("No"),(Q873))))</formula>
    </cfRule>
  </conditionalFormatting>
  <conditionalFormatting sqref="Q873">
    <cfRule type="containsText" dxfId="2" priority="16268" operator="containsText" text="Yes">
      <formula>NOT(ISERROR(SEARCH(("Yes"),(Q873))))</formula>
    </cfRule>
  </conditionalFormatting>
  <conditionalFormatting sqref="Q873">
    <cfRule type="containsText" dxfId="9" priority="16269" operator="containsText" text="No">
      <formula>NOT(ISERROR(SEARCH(("No"),(Q873))))</formula>
    </cfRule>
  </conditionalFormatting>
  <conditionalFormatting sqref="Q873">
    <cfRule type="containsText" dxfId="2" priority="16270" operator="containsText" text="Yes">
      <formula>NOT(ISERROR(SEARCH(("Yes"),(Q873))))</formula>
    </cfRule>
  </conditionalFormatting>
  <conditionalFormatting sqref="Q873">
    <cfRule type="containsText" dxfId="9" priority="16271" operator="containsText" text="No">
      <formula>NOT(ISERROR(SEARCH(("No"),(Q873))))</formula>
    </cfRule>
  </conditionalFormatting>
  <conditionalFormatting sqref="Q873">
    <cfRule type="containsText" dxfId="2" priority="16272" operator="containsText" text="Yes">
      <formula>NOT(ISERROR(SEARCH(("Yes"),(Q873))))</formula>
    </cfRule>
  </conditionalFormatting>
  <conditionalFormatting sqref="Q873">
    <cfRule type="containsText" dxfId="9" priority="16273" operator="containsText" text="No">
      <formula>NOT(ISERROR(SEARCH(("No"),(Q873))))</formula>
    </cfRule>
  </conditionalFormatting>
  <conditionalFormatting sqref="Q873">
    <cfRule type="containsText" dxfId="2" priority="16274" operator="containsText" text="Yes">
      <formula>NOT(ISERROR(SEARCH(("Yes"),(Q873))))</formula>
    </cfRule>
  </conditionalFormatting>
  <conditionalFormatting sqref="Q873">
    <cfRule type="containsText" dxfId="9" priority="16275" operator="containsText" text="No">
      <formula>NOT(ISERROR(SEARCH(("No"),(Q873))))</formula>
    </cfRule>
  </conditionalFormatting>
  <conditionalFormatting sqref="Q873">
    <cfRule type="containsText" dxfId="2" priority="16276" operator="containsText" text="Yes">
      <formula>NOT(ISERROR(SEARCH(("Yes"),(Q873))))</formula>
    </cfRule>
  </conditionalFormatting>
  <conditionalFormatting sqref="Q873">
    <cfRule type="containsText" dxfId="9" priority="16277" operator="containsText" text="No">
      <formula>NOT(ISERROR(SEARCH(("No"),(Q873))))</formula>
    </cfRule>
  </conditionalFormatting>
  <conditionalFormatting sqref="Q873">
    <cfRule type="containsText" dxfId="2" priority="16278" operator="containsText" text="Yes">
      <formula>NOT(ISERROR(SEARCH(("Yes"),(Q873))))</formula>
    </cfRule>
  </conditionalFormatting>
  <conditionalFormatting sqref="Q873">
    <cfRule type="containsText" dxfId="9" priority="16279" operator="containsText" text="No">
      <formula>NOT(ISERROR(SEARCH(("No"),(Q873))))</formula>
    </cfRule>
  </conditionalFormatting>
  <conditionalFormatting sqref="Q873">
    <cfRule type="containsText" dxfId="2" priority="16280" operator="containsText" text="Yes">
      <formula>NOT(ISERROR(SEARCH(("Yes"),(Q873))))</formula>
    </cfRule>
  </conditionalFormatting>
  <conditionalFormatting sqref="Q873">
    <cfRule type="containsText" dxfId="9" priority="16281" operator="containsText" text="No">
      <formula>NOT(ISERROR(SEARCH(("No"),(Q873))))</formula>
    </cfRule>
  </conditionalFormatting>
  <conditionalFormatting sqref="Q873">
    <cfRule type="containsText" dxfId="2" priority="16282" operator="containsText" text="Yes">
      <formula>NOT(ISERROR(SEARCH(("Yes"),(Q873))))</formula>
    </cfRule>
  </conditionalFormatting>
  <conditionalFormatting sqref="Q873">
    <cfRule type="containsText" dxfId="9" priority="16283" operator="containsText" text="No">
      <formula>NOT(ISERROR(SEARCH(("No"),(Q873))))</formula>
    </cfRule>
  </conditionalFormatting>
  <conditionalFormatting sqref="Q873">
    <cfRule type="containsText" dxfId="2" priority="16284" operator="containsText" text="Yes">
      <formula>NOT(ISERROR(SEARCH(("Yes"),(Q873))))</formula>
    </cfRule>
  </conditionalFormatting>
  <conditionalFormatting sqref="Q873">
    <cfRule type="containsText" dxfId="9" priority="16285" operator="containsText" text="No">
      <formula>NOT(ISERROR(SEARCH(("No"),(Q873))))</formula>
    </cfRule>
  </conditionalFormatting>
  <conditionalFormatting sqref="Q873">
    <cfRule type="containsText" dxfId="2" priority="16286" operator="containsText" text="Yes">
      <formula>NOT(ISERROR(SEARCH(("Yes"),(Q873))))</formula>
    </cfRule>
  </conditionalFormatting>
  <conditionalFormatting sqref="Q873">
    <cfRule type="containsText" dxfId="9" priority="16287" operator="containsText" text="No">
      <formula>NOT(ISERROR(SEARCH(("No"),(Q873))))</formula>
    </cfRule>
  </conditionalFormatting>
  <conditionalFormatting sqref="Q873">
    <cfRule type="containsText" dxfId="2" priority="16288" operator="containsText" text="Yes">
      <formula>NOT(ISERROR(SEARCH(("Yes"),(Q873))))</formula>
    </cfRule>
  </conditionalFormatting>
  <conditionalFormatting sqref="Q873">
    <cfRule type="containsText" dxfId="9" priority="16289" operator="containsText" text="No">
      <formula>NOT(ISERROR(SEARCH(("No"),(Q873))))</formula>
    </cfRule>
  </conditionalFormatting>
  <conditionalFormatting sqref="Q873">
    <cfRule type="containsText" dxfId="2" priority="16290" operator="containsText" text="Yes">
      <formula>NOT(ISERROR(SEARCH(("Yes"),(Q873))))</formula>
    </cfRule>
  </conditionalFormatting>
  <conditionalFormatting sqref="Q873">
    <cfRule type="containsText" dxfId="9" priority="16291" operator="containsText" text="No">
      <formula>NOT(ISERROR(SEARCH(("No"),(Q873))))</formula>
    </cfRule>
  </conditionalFormatting>
  <conditionalFormatting sqref="Q873">
    <cfRule type="containsText" dxfId="2" priority="16292" operator="containsText" text="Yes">
      <formula>NOT(ISERROR(SEARCH(("Yes"),(Q873))))</formula>
    </cfRule>
  </conditionalFormatting>
  <conditionalFormatting sqref="Q873">
    <cfRule type="containsText" dxfId="9" priority="16293" operator="containsText" text="No">
      <formula>NOT(ISERROR(SEARCH(("No"),(Q873))))</formula>
    </cfRule>
  </conditionalFormatting>
  <conditionalFormatting sqref="Q873">
    <cfRule type="containsText" dxfId="2" priority="16294" operator="containsText" text="Yes">
      <formula>NOT(ISERROR(SEARCH(("Yes"),(Q873))))</formula>
    </cfRule>
  </conditionalFormatting>
  <conditionalFormatting sqref="Q873">
    <cfRule type="containsText" dxfId="9" priority="16295" operator="containsText" text="No">
      <formula>NOT(ISERROR(SEARCH(("No"),(Q873))))</formula>
    </cfRule>
  </conditionalFormatting>
  <conditionalFormatting sqref="Q873">
    <cfRule type="containsText" dxfId="2" priority="16296" operator="containsText" text="Yes">
      <formula>NOT(ISERROR(SEARCH(("Yes"),(Q873))))</formula>
    </cfRule>
  </conditionalFormatting>
  <conditionalFormatting sqref="Q873">
    <cfRule type="containsText" dxfId="9" priority="16297" operator="containsText" text="No">
      <formula>NOT(ISERROR(SEARCH(("No"),(Q873))))</formula>
    </cfRule>
  </conditionalFormatting>
  <conditionalFormatting sqref="Q873">
    <cfRule type="containsText" dxfId="2" priority="16298" operator="containsText" text="Yes">
      <formula>NOT(ISERROR(SEARCH(("Yes"),(Q873))))</formula>
    </cfRule>
  </conditionalFormatting>
  <conditionalFormatting sqref="Q873">
    <cfRule type="containsText" dxfId="9" priority="16299" operator="containsText" text="No">
      <formula>NOT(ISERROR(SEARCH(("No"),(Q873))))</formula>
    </cfRule>
  </conditionalFormatting>
  <conditionalFormatting sqref="Q873">
    <cfRule type="containsText" dxfId="2" priority="16300" operator="containsText" text="Yes">
      <formula>NOT(ISERROR(SEARCH(("Yes"),(Q873))))</formula>
    </cfRule>
  </conditionalFormatting>
  <conditionalFormatting sqref="Q873">
    <cfRule type="containsText" dxfId="9" priority="16301" operator="containsText" text="No">
      <formula>NOT(ISERROR(SEARCH(("No"),(Q873))))</formula>
    </cfRule>
  </conditionalFormatting>
  <conditionalFormatting sqref="Q873">
    <cfRule type="containsText" dxfId="2" priority="16302" operator="containsText" text="Yes">
      <formula>NOT(ISERROR(SEARCH(("Yes"),(Q873))))</formula>
    </cfRule>
  </conditionalFormatting>
  <conditionalFormatting sqref="Q873">
    <cfRule type="containsText" dxfId="9" priority="16303" operator="containsText" text="No">
      <formula>NOT(ISERROR(SEARCH(("No"),(Q873))))</formula>
    </cfRule>
  </conditionalFormatting>
  <conditionalFormatting sqref="Q873">
    <cfRule type="containsText" dxfId="2" priority="16304" operator="containsText" text="Yes">
      <formula>NOT(ISERROR(SEARCH(("Yes"),(Q873))))</formula>
    </cfRule>
  </conditionalFormatting>
  <conditionalFormatting sqref="Q873">
    <cfRule type="containsText" dxfId="9" priority="16305" operator="containsText" text="No">
      <formula>NOT(ISERROR(SEARCH(("No"),(Q873))))</formula>
    </cfRule>
  </conditionalFormatting>
  <conditionalFormatting sqref="Q873">
    <cfRule type="containsText" dxfId="2" priority="16306" operator="containsText" text="Yes">
      <formula>NOT(ISERROR(SEARCH(("Yes"),(Q873))))</formula>
    </cfRule>
  </conditionalFormatting>
  <conditionalFormatting sqref="Q873">
    <cfRule type="containsText" dxfId="9" priority="16307" operator="containsText" text="No">
      <formula>NOT(ISERROR(SEARCH(("No"),(Q873))))</formula>
    </cfRule>
  </conditionalFormatting>
  <conditionalFormatting sqref="Q873">
    <cfRule type="containsText" dxfId="2" priority="16308" operator="containsText" text="Yes">
      <formula>NOT(ISERROR(SEARCH(("Yes"),(Q873))))</formula>
    </cfRule>
  </conditionalFormatting>
  <conditionalFormatting sqref="Q873">
    <cfRule type="containsText" dxfId="9" priority="16309" operator="containsText" text="No">
      <formula>NOT(ISERROR(SEARCH(("No"),(Q873))))</formula>
    </cfRule>
  </conditionalFormatting>
  <conditionalFormatting sqref="Q873">
    <cfRule type="containsText" dxfId="2" priority="16310" operator="containsText" text="Yes">
      <formula>NOT(ISERROR(SEARCH(("Yes"),(Q873))))</formula>
    </cfRule>
  </conditionalFormatting>
  <conditionalFormatting sqref="Q873">
    <cfRule type="containsText" dxfId="9" priority="16311" operator="containsText" text="No">
      <formula>NOT(ISERROR(SEARCH(("No"),(Q873))))</formula>
    </cfRule>
  </conditionalFormatting>
  <conditionalFormatting sqref="Q873">
    <cfRule type="containsText" dxfId="2" priority="16312" operator="containsText" text="Yes">
      <formula>NOT(ISERROR(SEARCH(("Yes"),(Q873))))</formula>
    </cfRule>
  </conditionalFormatting>
  <conditionalFormatting sqref="Q873">
    <cfRule type="containsText" dxfId="9" priority="16313" operator="containsText" text="No">
      <formula>NOT(ISERROR(SEARCH(("No"),(Q873))))</formula>
    </cfRule>
  </conditionalFormatting>
  <conditionalFormatting sqref="Q873">
    <cfRule type="containsText" dxfId="2" priority="16314" operator="containsText" text="Yes">
      <formula>NOT(ISERROR(SEARCH(("Yes"),(Q873))))</formula>
    </cfRule>
  </conditionalFormatting>
  <conditionalFormatting sqref="Q873">
    <cfRule type="containsText" dxfId="9" priority="16315" operator="containsText" text="No">
      <formula>NOT(ISERROR(SEARCH(("No"),(Q873))))</formula>
    </cfRule>
  </conditionalFormatting>
  <conditionalFormatting sqref="Q873">
    <cfRule type="containsText" dxfId="2" priority="16316" operator="containsText" text="Yes">
      <formula>NOT(ISERROR(SEARCH(("Yes"),(Q873))))</formula>
    </cfRule>
  </conditionalFormatting>
  <conditionalFormatting sqref="Q873">
    <cfRule type="containsText" dxfId="9" priority="16317" operator="containsText" text="No">
      <formula>NOT(ISERROR(SEARCH(("No"),(Q873))))</formula>
    </cfRule>
  </conditionalFormatting>
  <conditionalFormatting sqref="Q873">
    <cfRule type="containsText" dxfId="2" priority="16318" operator="containsText" text="Yes">
      <formula>NOT(ISERROR(SEARCH(("Yes"),(Q873))))</formula>
    </cfRule>
  </conditionalFormatting>
  <conditionalFormatting sqref="Q873">
    <cfRule type="containsText" dxfId="9" priority="16319" operator="containsText" text="No">
      <formula>NOT(ISERROR(SEARCH(("No"),(Q873))))</formula>
    </cfRule>
  </conditionalFormatting>
  <conditionalFormatting sqref="Q873">
    <cfRule type="containsText" dxfId="2" priority="16320" operator="containsText" text="Yes">
      <formula>NOT(ISERROR(SEARCH(("Yes"),(Q873))))</formula>
    </cfRule>
  </conditionalFormatting>
  <conditionalFormatting sqref="Q873">
    <cfRule type="containsText" dxfId="9" priority="16321" operator="containsText" text="No">
      <formula>NOT(ISERROR(SEARCH(("No"),(Q873))))</formula>
    </cfRule>
  </conditionalFormatting>
  <conditionalFormatting sqref="Q873">
    <cfRule type="containsText" dxfId="2" priority="16322" operator="containsText" text="Yes">
      <formula>NOT(ISERROR(SEARCH(("Yes"),(Q873))))</formula>
    </cfRule>
  </conditionalFormatting>
  <conditionalFormatting sqref="Q873">
    <cfRule type="containsText" dxfId="9" priority="16323" operator="containsText" text="No">
      <formula>NOT(ISERROR(SEARCH(("No"),(Q873))))</formula>
    </cfRule>
  </conditionalFormatting>
  <conditionalFormatting sqref="Q873">
    <cfRule type="containsText" dxfId="2" priority="16324" operator="containsText" text="Yes">
      <formula>NOT(ISERROR(SEARCH(("Yes"),(Q873))))</formula>
    </cfRule>
  </conditionalFormatting>
  <conditionalFormatting sqref="Q873">
    <cfRule type="containsText" dxfId="9" priority="16325" operator="containsText" text="No">
      <formula>NOT(ISERROR(SEARCH(("No"),(Q873))))</formula>
    </cfRule>
  </conditionalFormatting>
  <conditionalFormatting sqref="Q873">
    <cfRule type="containsText" dxfId="2" priority="16326" operator="containsText" text="Yes">
      <formula>NOT(ISERROR(SEARCH(("Yes"),(Q873))))</formula>
    </cfRule>
  </conditionalFormatting>
  <conditionalFormatting sqref="Q873">
    <cfRule type="containsText" dxfId="9" priority="16327" operator="containsText" text="No">
      <formula>NOT(ISERROR(SEARCH(("No"),(Q873))))</formula>
    </cfRule>
  </conditionalFormatting>
  <conditionalFormatting sqref="Q873">
    <cfRule type="containsText" dxfId="2" priority="16328" operator="containsText" text="Yes">
      <formula>NOT(ISERROR(SEARCH(("Yes"),(Q873))))</formula>
    </cfRule>
  </conditionalFormatting>
  <conditionalFormatting sqref="Q873">
    <cfRule type="containsText" dxfId="9" priority="16329" operator="containsText" text="No">
      <formula>NOT(ISERROR(SEARCH(("No"),(Q873))))</formula>
    </cfRule>
  </conditionalFormatting>
  <conditionalFormatting sqref="Q873">
    <cfRule type="containsText" dxfId="2" priority="16330" operator="containsText" text="Yes">
      <formula>NOT(ISERROR(SEARCH(("Yes"),(Q873))))</formula>
    </cfRule>
  </conditionalFormatting>
  <conditionalFormatting sqref="Q873">
    <cfRule type="containsText" dxfId="9" priority="16331" operator="containsText" text="No">
      <formula>NOT(ISERROR(SEARCH(("No"),(Q873))))</formula>
    </cfRule>
  </conditionalFormatting>
  <conditionalFormatting sqref="Q873">
    <cfRule type="containsText" dxfId="2" priority="16332" operator="containsText" text="Yes">
      <formula>NOT(ISERROR(SEARCH(("Yes"),(Q873))))</formula>
    </cfRule>
  </conditionalFormatting>
  <conditionalFormatting sqref="Q873">
    <cfRule type="containsText" dxfId="9" priority="16333" operator="containsText" text="No">
      <formula>NOT(ISERROR(SEARCH(("No"),(Q873))))</formula>
    </cfRule>
  </conditionalFormatting>
  <conditionalFormatting sqref="Q873">
    <cfRule type="containsText" dxfId="2" priority="16334" operator="containsText" text="Yes">
      <formula>NOT(ISERROR(SEARCH(("Yes"),(Q873))))</formula>
    </cfRule>
  </conditionalFormatting>
  <conditionalFormatting sqref="Q873">
    <cfRule type="containsText" dxfId="9" priority="16335" operator="containsText" text="No">
      <formula>NOT(ISERROR(SEARCH(("No"),(Q873))))</formula>
    </cfRule>
  </conditionalFormatting>
  <conditionalFormatting sqref="Q873">
    <cfRule type="containsText" dxfId="2" priority="16336" operator="containsText" text="Yes">
      <formula>NOT(ISERROR(SEARCH(("Yes"),(Q873))))</formula>
    </cfRule>
  </conditionalFormatting>
  <conditionalFormatting sqref="Q873">
    <cfRule type="containsText" dxfId="9" priority="16337" operator="containsText" text="No">
      <formula>NOT(ISERROR(SEARCH(("No"),(Q873))))</formula>
    </cfRule>
  </conditionalFormatting>
  <conditionalFormatting sqref="Q873">
    <cfRule type="containsText" dxfId="2" priority="16338" operator="containsText" text="Yes">
      <formula>NOT(ISERROR(SEARCH(("Yes"),(Q873))))</formula>
    </cfRule>
  </conditionalFormatting>
  <conditionalFormatting sqref="Q873">
    <cfRule type="containsText" dxfId="9" priority="16339" operator="containsText" text="No">
      <formula>NOT(ISERROR(SEARCH(("No"),(Q873))))</formula>
    </cfRule>
  </conditionalFormatting>
  <conditionalFormatting sqref="Q873">
    <cfRule type="containsText" dxfId="2" priority="16340" operator="containsText" text="Yes">
      <formula>NOT(ISERROR(SEARCH(("Yes"),(Q873))))</formula>
    </cfRule>
  </conditionalFormatting>
  <conditionalFormatting sqref="Q873">
    <cfRule type="containsText" dxfId="9" priority="16341" operator="containsText" text="No">
      <formula>NOT(ISERROR(SEARCH(("No"),(Q873))))</formula>
    </cfRule>
  </conditionalFormatting>
  <conditionalFormatting sqref="Q873">
    <cfRule type="containsText" dxfId="2" priority="16342" operator="containsText" text="Yes">
      <formula>NOT(ISERROR(SEARCH(("Yes"),(Q873))))</formula>
    </cfRule>
  </conditionalFormatting>
  <conditionalFormatting sqref="Q873">
    <cfRule type="containsText" dxfId="9" priority="16343" operator="containsText" text="No">
      <formula>NOT(ISERROR(SEARCH(("No"),(Q873))))</formula>
    </cfRule>
  </conditionalFormatting>
  <conditionalFormatting sqref="Q873">
    <cfRule type="containsText" dxfId="2" priority="16344" operator="containsText" text="Yes">
      <formula>NOT(ISERROR(SEARCH(("Yes"),(Q873))))</formula>
    </cfRule>
  </conditionalFormatting>
  <conditionalFormatting sqref="Q873">
    <cfRule type="containsText" dxfId="2" priority="16345" operator="containsText" text="Yes">
      <formula>NOT(ISERROR(SEARCH(("Yes"),(Q873))))</formula>
    </cfRule>
  </conditionalFormatting>
  <conditionalFormatting sqref="Q873">
    <cfRule type="containsText" dxfId="9" priority="16346" operator="containsText" text="No">
      <formula>NOT(ISERROR(SEARCH(("No"),(Q873))))</formula>
    </cfRule>
  </conditionalFormatting>
  <conditionalFormatting sqref="Q873">
    <cfRule type="containsText" dxfId="2" priority="16347" operator="containsText" text="Yes">
      <formula>NOT(ISERROR(SEARCH(("Yes"),(Q873))))</formula>
    </cfRule>
  </conditionalFormatting>
  <conditionalFormatting sqref="Q874">
    <cfRule type="containsText" dxfId="2" priority="16348" operator="containsText" text="Yes">
      <formula>NOT(ISERROR(SEARCH(("Yes"),(Q874))))</formula>
    </cfRule>
  </conditionalFormatting>
  <conditionalFormatting sqref="Q874">
    <cfRule type="containsText" dxfId="9" priority="16349" operator="containsText" text="No">
      <formula>NOT(ISERROR(SEARCH(("No"),(Q874))))</formula>
    </cfRule>
  </conditionalFormatting>
  <conditionalFormatting sqref="Q874">
    <cfRule type="containsText" dxfId="2" priority="16350" operator="containsText" text="Yes">
      <formula>NOT(ISERROR(SEARCH(("Yes"),(Q874))))</formula>
    </cfRule>
  </conditionalFormatting>
  <conditionalFormatting sqref="Q874">
    <cfRule type="containsText" dxfId="9" priority="16351" operator="containsText" text="No">
      <formula>NOT(ISERROR(SEARCH(("No"),(Q874))))</formula>
    </cfRule>
  </conditionalFormatting>
  <conditionalFormatting sqref="Q874">
    <cfRule type="containsText" dxfId="2" priority="16352" operator="containsText" text="Yes">
      <formula>NOT(ISERROR(SEARCH(("Yes"),(Q874))))</formula>
    </cfRule>
  </conditionalFormatting>
  <conditionalFormatting sqref="Q874">
    <cfRule type="containsText" dxfId="9" priority="16353" operator="containsText" text="No">
      <formula>NOT(ISERROR(SEARCH(("No"),(Q874))))</formula>
    </cfRule>
  </conditionalFormatting>
  <conditionalFormatting sqref="Q874">
    <cfRule type="containsText" dxfId="2" priority="16354" operator="containsText" text="Yes">
      <formula>NOT(ISERROR(SEARCH(("Yes"),(Q874))))</formula>
    </cfRule>
  </conditionalFormatting>
  <conditionalFormatting sqref="Q874">
    <cfRule type="containsText" dxfId="9" priority="16355" operator="containsText" text="No">
      <formula>NOT(ISERROR(SEARCH(("No"),(Q874))))</formula>
    </cfRule>
  </conditionalFormatting>
  <conditionalFormatting sqref="Q874">
    <cfRule type="containsText" dxfId="2" priority="16356" operator="containsText" text="Yes">
      <formula>NOT(ISERROR(SEARCH(("Yes"),(Q874))))</formula>
    </cfRule>
  </conditionalFormatting>
  <conditionalFormatting sqref="Q874">
    <cfRule type="containsText" dxfId="9" priority="16357" operator="containsText" text="No">
      <formula>NOT(ISERROR(SEARCH(("No"),(Q874))))</formula>
    </cfRule>
  </conditionalFormatting>
  <conditionalFormatting sqref="Q874">
    <cfRule type="containsText" dxfId="2" priority="16358" operator="containsText" text="Yes">
      <formula>NOT(ISERROR(SEARCH(("Yes"),(Q874))))</formula>
    </cfRule>
  </conditionalFormatting>
  <conditionalFormatting sqref="Q874">
    <cfRule type="containsText" dxfId="9" priority="16359" operator="containsText" text="No">
      <formula>NOT(ISERROR(SEARCH(("No"),(Q874))))</formula>
    </cfRule>
  </conditionalFormatting>
  <conditionalFormatting sqref="Q874">
    <cfRule type="containsText" dxfId="2" priority="16360" operator="containsText" text="Yes">
      <formula>NOT(ISERROR(SEARCH(("Yes"),(Q874))))</formula>
    </cfRule>
  </conditionalFormatting>
  <conditionalFormatting sqref="Q874">
    <cfRule type="containsText" dxfId="9" priority="16361" operator="containsText" text="No">
      <formula>NOT(ISERROR(SEARCH(("No"),(Q874))))</formula>
    </cfRule>
  </conditionalFormatting>
  <conditionalFormatting sqref="Q874">
    <cfRule type="containsText" dxfId="2" priority="16362" operator="containsText" text="Yes">
      <formula>NOT(ISERROR(SEARCH(("Yes"),(Q874))))</formula>
    </cfRule>
  </conditionalFormatting>
  <conditionalFormatting sqref="Q874">
    <cfRule type="containsText" dxfId="9" priority="16363" operator="containsText" text="No">
      <formula>NOT(ISERROR(SEARCH(("No"),(Q874))))</formula>
    </cfRule>
  </conditionalFormatting>
  <conditionalFormatting sqref="Q874">
    <cfRule type="containsText" dxfId="2" priority="16364" operator="containsText" text="Yes">
      <formula>NOT(ISERROR(SEARCH(("Yes"),(Q874))))</formula>
    </cfRule>
  </conditionalFormatting>
  <conditionalFormatting sqref="Q874">
    <cfRule type="containsText" dxfId="9" priority="16365" operator="containsText" text="No">
      <formula>NOT(ISERROR(SEARCH(("No"),(Q874))))</formula>
    </cfRule>
  </conditionalFormatting>
  <conditionalFormatting sqref="Q874">
    <cfRule type="containsText" dxfId="2" priority="16366" operator="containsText" text="Yes">
      <formula>NOT(ISERROR(SEARCH(("Yes"),(Q874))))</formula>
    </cfRule>
  </conditionalFormatting>
  <conditionalFormatting sqref="Q874">
    <cfRule type="containsText" dxfId="9" priority="16367" operator="containsText" text="No">
      <formula>NOT(ISERROR(SEARCH(("No"),(Q874))))</formula>
    </cfRule>
  </conditionalFormatting>
  <conditionalFormatting sqref="Q874">
    <cfRule type="containsText" dxfId="2" priority="16368" operator="containsText" text="Yes">
      <formula>NOT(ISERROR(SEARCH(("Yes"),(Q874))))</formula>
    </cfRule>
  </conditionalFormatting>
  <conditionalFormatting sqref="Q874">
    <cfRule type="containsText" dxfId="9" priority="16369" operator="containsText" text="No">
      <formula>NOT(ISERROR(SEARCH(("No"),(Q874))))</formula>
    </cfRule>
  </conditionalFormatting>
  <conditionalFormatting sqref="Q874">
    <cfRule type="containsText" dxfId="2" priority="16370" operator="containsText" text="Yes">
      <formula>NOT(ISERROR(SEARCH(("Yes"),(Q874))))</formula>
    </cfRule>
  </conditionalFormatting>
  <conditionalFormatting sqref="Q874">
    <cfRule type="containsText" dxfId="9" priority="16371" operator="containsText" text="No">
      <formula>NOT(ISERROR(SEARCH(("No"),(Q874))))</formula>
    </cfRule>
  </conditionalFormatting>
  <conditionalFormatting sqref="Q874">
    <cfRule type="containsText" dxfId="2" priority="16372" operator="containsText" text="Yes">
      <formula>NOT(ISERROR(SEARCH(("Yes"),(Q874))))</formula>
    </cfRule>
  </conditionalFormatting>
  <conditionalFormatting sqref="Q874">
    <cfRule type="containsText" dxfId="9" priority="16373" operator="containsText" text="No">
      <formula>NOT(ISERROR(SEARCH(("No"),(Q874))))</formula>
    </cfRule>
  </conditionalFormatting>
  <conditionalFormatting sqref="Q874">
    <cfRule type="containsText" dxfId="2" priority="16374" operator="containsText" text="Yes">
      <formula>NOT(ISERROR(SEARCH(("Yes"),(Q874))))</formula>
    </cfRule>
  </conditionalFormatting>
  <conditionalFormatting sqref="Q874">
    <cfRule type="containsText" dxfId="9" priority="16375" operator="containsText" text="No">
      <formula>NOT(ISERROR(SEARCH(("No"),(Q874))))</formula>
    </cfRule>
  </conditionalFormatting>
  <conditionalFormatting sqref="Q874">
    <cfRule type="containsText" dxfId="2" priority="16376" operator="containsText" text="Yes">
      <formula>NOT(ISERROR(SEARCH(("Yes"),(Q874))))</formula>
    </cfRule>
  </conditionalFormatting>
  <conditionalFormatting sqref="Q874">
    <cfRule type="containsText" dxfId="9" priority="16377" operator="containsText" text="No">
      <formula>NOT(ISERROR(SEARCH(("No"),(Q874))))</formula>
    </cfRule>
  </conditionalFormatting>
  <conditionalFormatting sqref="Q874">
    <cfRule type="containsText" dxfId="2" priority="16378" operator="containsText" text="Yes">
      <formula>NOT(ISERROR(SEARCH(("Yes"),(Q874))))</formula>
    </cfRule>
  </conditionalFormatting>
  <conditionalFormatting sqref="Q874">
    <cfRule type="containsText" dxfId="9" priority="16379" operator="containsText" text="No">
      <formula>NOT(ISERROR(SEARCH(("No"),(Q874))))</formula>
    </cfRule>
  </conditionalFormatting>
  <conditionalFormatting sqref="Q874">
    <cfRule type="containsText" dxfId="2" priority="16380" operator="containsText" text="Yes">
      <formula>NOT(ISERROR(SEARCH(("Yes"),(Q874))))</formula>
    </cfRule>
  </conditionalFormatting>
  <conditionalFormatting sqref="Q874">
    <cfRule type="containsText" dxfId="9" priority="16381" operator="containsText" text="No">
      <formula>NOT(ISERROR(SEARCH(("No"),(Q874))))</formula>
    </cfRule>
  </conditionalFormatting>
  <conditionalFormatting sqref="Q874">
    <cfRule type="containsText" dxfId="2" priority="16382" operator="containsText" text="Yes">
      <formula>NOT(ISERROR(SEARCH(("Yes"),(Q874))))</formula>
    </cfRule>
  </conditionalFormatting>
  <conditionalFormatting sqref="Q874">
    <cfRule type="containsText" dxfId="9" priority="16383" operator="containsText" text="No">
      <formula>NOT(ISERROR(SEARCH(("No"),(Q874))))</formula>
    </cfRule>
  </conditionalFormatting>
  <conditionalFormatting sqref="Q874">
    <cfRule type="containsText" dxfId="2" priority="16384" operator="containsText" text="Yes">
      <formula>NOT(ISERROR(SEARCH(("Yes"),(Q874))))</formula>
    </cfRule>
  </conditionalFormatting>
  <conditionalFormatting sqref="Q874">
    <cfRule type="containsText" dxfId="9" priority="16385" operator="containsText" text="No">
      <formula>NOT(ISERROR(SEARCH(("No"),(Q874))))</formula>
    </cfRule>
  </conditionalFormatting>
  <conditionalFormatting sqref="Q874">
    <cfRule type="containsText" dxfId="2" priority="16386" operator="containsText" text="Yes">
      <formula>NOT(ISERROR(SEARCH(("Yes"),(Q874))))</formula>
    </cfRule>
  </conditionalFormatting>
  <conditionalFormatting sqref="Q874">
    <cfRule type="containsText" dxfId="9" priority="16387" operator="containsText" text="No">
      <formula>NOT(ISERROR(SEARCH(("No"),(Q874))))</formula>
    </cfRule>
  </conditionalFormatting>
  <conditionalFormatting sqref="Q874">
    <cfRule type="containsText" dxfId="2" priority="16388" operator="containsText" text="Yes">
      <formula>NOT(ISERROR(SEARCH(("Yes"),(Q874))))</formula>
    </cfRule>
  </conditionalFormatting>
  <conditionalFormatting sqref="Q874">
    <cfRule type="containsText" dxfId="9" priority="16389" operator="containsText" text="No">
      <formula>NOT(ISERROR(SEARCH(("No"),(Q874))))</formula>
    </cfRule>
  </conditionalFormatting>
  <conditionalFormatting sqref="Q874">
    <cfRule type="containsText" dxfId="2" priority="16390" operator="containsText" text="Yes">
      <formula>NOT(ISERROR(SEARCH(("Yes"),(Q874))))</formula>
    </cfRule>
  </conditionalFormatting>
  <conditionalFormatting sqref="Q874">
    <cfRule type="containsText" dxfId="9" priority="16391" operator="containsText" text="No">
      <formula>NOT(ISERROR(SEARCH(("No"),(Q874))))</formula>
    </cfRule>
  </conditionalFormatting>
  <conditionalFormatting sqref="Q874">
    <cfRule type="containsText" dxfId="2" priority="16392" operator="containsText" text="Yes">
      <formula>NOT(ISERROR(SEARCH(("Yes"),(Q874))))</formula>
    </cfRule>
  </conditionalFormatting>
  <conditionalFormatting sqref="Q874">
    <cfRule type="containsText" dxfId="9" priority="16393" operator="containsText" text="No">
      <formula>NOT(ISERROR(SEARCH(("No"),(Q874))))</formula>
    </cfRule>
  </conditionalFormatting>
  <conditionalFormatting sqref="Q874">
    <cfRule type="containsText" dxfId="2" priority="16394" operator="containsText" text="Yes">
      <formula>NOT(ISERROR(SEARCH(("Yes"),(Q874))))</formula>
    </cfRule>
  </conditionalFormatting>
  <conditionalFormatting sqref="Q874">
    <cfRule type="containsText" dxfId="9" priority="16395" operator="containsText" text="No">
      <formula>NOT(ISERROR(SEARCH(("No"),(Q874))))</formula>
    </cfRule>
  </conditionalFormatting>
  <conditionalFormatting sqref="Q874">
    <cfRule type="containsText" dxfId="2" priority="16396" operator="containsText" text="Yes">
      <formula>NOT(ISERROR(SEARCH(("Yes"),(Q874))))</formula>
    </cfRule>
  </conditionalFormatting>
  <conditionalFormatting sqref="Q874">
    <cfRule type="containsText" dxfId="9" priority="16397" operator="containsText" text="No">
      <formula>NOT(ISERROR(SEARCH(("No"),(Q874))))</formula>
    </cfRule>
  </conditionalFormatting>
  <conditionalFormatting sqref="Q874">
    <cfRule type="containsText" dxfId="2" priority="16398" operator="containsText" text="Yes">
      <formula>NOT(ISERROR(SEARCH(("Yes"),(Q874))))</formula>
    </cfRule>
  </conditionalFormatting>
  <conditionalFormatting sqref="Q874">
    <cfRule type="containsText" dxfId="9" priority="16399" operator="containsText" text="No">
      <formula>NOT(ISERROR(SEARCH(("No"),(Q874))))</formula>
    </cfRule>
  </conditionalFormatting>
  <conditionalFormatting sqref="Q874">
    <cfRule type="containsText" dxfId="2" priority="16400" operator="containsText" text="Yes">
      <formula>NOT(ISERROR(SEARCH(("Yes"),(Q874))))</formula>
    </cfRule>
  </conditionalFormatting>
  <conditionalFormatting sqref="Q874">
    <cfRule type="containsText" dxfId="9" priority="16401" operator="containsText" text="No">
      <formula>NOT(ISERROR(SEARCH(("No"),(Q874))))</formula>
    </cfRule>
  </conditionalFormatting>
  <conditionalFormatting sqref="Q874">
    <cfRule type="containsText" dxfId="2" priority="16402" operator="containsText" text="Yes">
      <formula>NOT(ISERROR(SEARCH(("Yes"),(Q874))))</formula>
    </cfRule>
  </conditionalFormatting>
  <conditionalFormatting sqref="Q874">
    <cfRule type="containsText" dxfId="9" priority="16403" operator="containsText" text="No">
      <formula>NOT(ISERROR(SEARCH(("No"),(Q874))))</formula>
    </cfRule>
  </conditionalFormatting>
  <conditionalFormatting sqref="Q874">
    <cfRule type="containsText" dxfId="2" priority="16404" operator="containsText" text="Yes">
      <formula>NOT(ISERROR(SEARCH(("Yes"),(Q874))))</formula>
    </cfRule>
  </conditionalFormatting>
  <conditionalFormatting sqref="Q874">
    <cfRule type="containsText" dxfId="9" priority="16405" operator="containsText" text="No">
      <formula>NOT(ISERROR(SEARCH(("No"),(Q874))))</formula>
    </cfRule>
  </conditionalFormatting>
  <conditionalFormatting sqref="Q874">
    <cfRule type="containsText" dxfId="2" priority="16406" operator="containsText" text="Yes">
      <formula>NOT(ISERROR(SEARCH(("Yes"),(Q874))))</formula>
    </cfRule>
  </conditionalFormatting>
  <conditionalFormatting sqref="Q874">
    <cfRule type="containsText" dxfId="9" priority="16407" operator="containsText" text="No">
      <formula>NOT(ISERROR(SEARCH(("No"),(Q874))))</formula>
    </cfRule>
  </conditionalFormatting>
  <conditionalFormatting sqref="Q874">
    <cfRule type="containsText" dxfId="2" priority="16408" operator="containsText" text="Yes">
      <formula>NOT(ISERROR(SEARCH(("Yes"),(Q874))))</formula>
    </cfRule>
  </conditionalFormatting>
  <conditionalFormatting sqref="Q874">
    <cfRule type="containsText" dxfId="9" priority="16409" operator="containsText" text="No">
      <formula>NOT(ISERROR(SEARCH(("No"),(Q874))))</formula>
    </cfRule>
  </conditionalFormatting>
  <conditionalFormatting sqref="Q874">
    <cfRule type="containsText" dxfId="2" priority="16410" operator="containsText" text="Yes">
      <formula>NOT(ISERROR(SEARCH(("Yes"),(Q874))))</formula>
    </cfRule>
  </conditionalFormatting>
  <conditionalFormatting sqref="Q874">
    <cfRule type="containsText" dxfId="9" priority="16411" operator="containsText" text="No">
      <formula>NOT(ISERROR(SEARCH(("No"),(Q874))))</formula>
    </cfRule>
  </conditionalFormatting>
  <conditionalFormatting sqref="Q874">
    <cfRule type="containsText" dxfId="2" priority="16412" operator="containsText" text="Yes">
      <formula>NOT(ISERROR(SEARCH(("Yes"),(Q874))))</formula>
    </cfRule>
  </conditionalFormatting>
  <conditionalFormatting sqref="Q874">
    <cfRule type="containsText" dxfId="9" priority="16413" operator="containsText" text="No">
      <formula>NOT(ISERROR(SEARCH(("No"),(Q874))))</formula>
    </cfRule>
  </conditionalFormatting>
  <conditionalFormatting sqref="Q874">
    <cfRule type="containsText" dxfId="2" priority="16414" operator="containsText" text="Yes">
      <formula>NOT(ISERROR(SEARCH(("Yes"),(Q874))))</formula>
    </cfRule>
  </conditionalFormatting>
  <conditionalFormatting sqref="Q874">
    <cfRule type="containsText" dxfId="9" priority="16415" operator="containsText" text="No">
      <formula>NOT(ISERROR(SEARCH(("No"),(Q874))))</formula>
    </cfRule>
  </conditionalFormatting>
  <conditionalFormatting sqref="Q874">
    <cfRule type="containsText" dxfId="2" priority="16416" operator="containsText" text="Yes">
      <formula>NOT(ISERROR(SEARCH(("Yes"),(Q874))))</formula>
    </cfRule>
  </conditionalFormatting>
  <conditionalFormatting sqref="Q874">
    <cfRule type="containsText" dxfId="9" priority="16417" operator="containsText" text="No">
      <formula>NOT(ISERROR(SEARCH(("No"),(Q874))))</formula>
    </cfRule>
  </conditionalFormatting>
  <conditionalFormatting sqref="Q874">
    <cfRule type="containsText" dxfId="2" priority="16418" operator="containsText" text="Yes">
      <formula>NOT(ISERROR(SEARCH(("Yes"),(Q874))))</formula>
    </cfRule>
  </conditionalFormatting>
  <conditionalFormatting sqref="Q874">
    <cfRule type="containsText" dxfId="9" priority="16419" operator="containsText" text="No">
      <formula>NOT(ISERROR(SEARCH(("No"),(Q874))))</formula>
    </cfRule>
  </conditionalFormatting>
  <conditionalFormatting sqref="Q874">
    <cfRule type="containsText" dxfId="2" priority="16420" operator="containsText" text="Yes">
      <formula>NOT(ISERROR(SEARCH(("Yes"),(Q874))))</formula>
    </cfRule>
  </conditionalFormatting>
  <conditionalFormatting sqref="Q874">
    <cfRule type="containsText" dxfId="9" priority="16421" operator="containsText" text="No">
      <formula>NOT(ISERROR(SEARCH(("No"),(Q874))))</formula>
    </cfRule>
  </conditionalFormatting>
  <conditionalFormatting sqref="Q874">
    <cfRule type="containsText" dxfId="2" priority="16422" operator="containsText" text="Yes">
      <formula>NOT(ISERROR(SEARCH(("Yes"),(Q874))))</formula>
    </cfRule>
  </conditionalFormatting>
  <conditionalFormatting sqref="Q874">
    <cfRule type="containsText" dxfId="9" priority="16423" operator="containsText" text="No">
      <formula>NOT(ISERROR(SEARCH(("No"),(Q874))))</formula>
    </cfRule>
  </conditionalFormatting>
  <conditionalFormatting sqref="Q874">
    <cfRule type="containsText" dxfId="2" priority="16424" operator="containsText" text="Yes">
      <formula>NOT(ISERROR(SEARCH(("Yes"),(Q874))))</formula>
    </cfRule>
  </conditionalFormatting>
  <conditionalFormatting sqref="Q874">
    <cfRule type="containsText" dxfId="9" priority="16425" operator="containsText" text="No">
      <formula>NOT(ISERROR(SEARCH(("No"),(Q874))))</formula>
    </cfRule>
  </conditionalFormatting>
  <conditionalFormatting sqref="Q874">
    <cfRule type="containsText" dxfId="2" priority="16426" operator="containsText" text="Yes">
      <formula>NOT(ISERROR(SEARCH(("Yes"),(Q874))))</formula>
    </cfRule>
  </conditionalFormatting>
  <conditionalFormatting sqref="Q874">
    <cfRule type="containsText" dxfId="9" priority="16427" operator="containsText" text="No">
      <formula>NOT(ISERROR(SEARCH(("No"),(Q874))))</formula>
    </cfRule>
  </conditionalFormatting>
  <conditionalFormatting sqref="Q874">
    <cfRule type="containsText" dxfId="2" priority="16428" operator="containsText" text="Yes">
      <formula>NOT(ISERROR(SEARCH(("Yes"),(Q874))))</formula>
    </cfRule>
  </conditionalFormatting>
  <conditionalFormatting sqref="Q874">
    <cfRule type="containsText" dxfId="9" priority="16429" operator="containsText" text="No">
      <formula>NOT(ISERROR(SEARCH(("No"),(Q874))))</formula>
    </cfRule>
  </conditionalFormatting>
  <conditionalFormatting sqref="Q874">
    <cfRule type="containsText" dxfId="2" priority="16430" operator="containsText" text="Yes">
      <formula>NOT(ISERROR(SEARCH(("Yes"),(Q874))))</formula>
    </cfRule>
  </conditionalFormatting>
  <conditionalFormatting sqref="Q874">
    <cfRule type="containsText" dxfId="9" priority="16431" operator="containsText" text="No">
      <formula>NOT(ISERROR(SEARCH(("No"),(Q874))))</formula>
    </cfRule>
  </conditionalFormatting>
  <conditionalFormatting sqref="Q874">
    <cfRule type="containsText" dxfId="2" priority="16432" operator="containsText" text="Yes">
      <formula>NOT(ISERROR(SEARCH(("Yes"),(Q874))))</formula>
    </cfRule>
  </conditionalFormatting>
  <conditionalFormatting sqref="Q874">
    <cfRule type="containsText" dxfId="9" priority="16433" operator="containsText" text="No">
      <formula>NOT(ISERROR(SEARCH(("No"),(Q874))))</formula>
    </cfRule>
  </conditionalFormatting>
  <conditionalFormatting sqref="Q874">
    <cfRule type="containsText" dxfId="2" priority="16434" operator="containsText" text="Yes">
      <formula>NOT(ISERROR(SEARCH(("Yes"),(Q874))))</formula>
    </cfRule>
  </conditionalFormatting>
  <conditionalFormatting sqref="Q874">
    <cfRule type="containsText" dxfId="9" priority="16435" operator="containsText" text="No">
      <formula>NOT(ISERROR(SEARCH(("No"),(Q874))))</formula>
    </cfRule>
  </conditionalFormatting>
  <conditionalFormatting sqref="Q874">
    <cfRule type="containsText" dxfId="2" priority="16436" operator="containsText" text="Yes">
      <formula>NOT(ISERROR(SEARCH(("Yes"),(Q874))))</formula>
    </cfRule>
  </conditionalFormatting>
  <conditionalFormatting sqref="Q874">
    <cfRule type="containsText" dxfId="2" priority="16437" operator="containsText" text="Yes">
      <formula>NOT(ISERROR(SEARCH(("Yes"),(Q874))))</formula>
    </cfRule>
  </conditionalFormatting>
  <conditionalFormatting sqref="Q874">
    <cfRule type="containsText" dxfId="9" priority="16438" operator="containsText" text="No">
      <formula>NOT(ISERROR(SEARCH(("No"),(Q874))))</formula>
    </cfRule>
  </conditionalFormatting>
  <conditionalFormatting sqref="Q874">
    <cfRule type="containsText" dxfId="2" priority="16439" operator="containsText" text="Yes">
      <formula>NOT(ISERROR(SEARCH(("Yes"),(Q874))))</formula>
    </cfRule>
  </conditionalFormatting>
  <conditionalFormatting sqref="Q875:Q876">
    <cfRule type="containsText" dxfId="2" priority="16440" operator="containsText" text="Yes">
      <formula>NOT(ISERROR(SEARCH(("Yes"),(Q875))))</formula>
    </cfRule>
  </conditionalFormatting>
  <conditionalFormatting sqref="Q875:Q876">
    <cfRule type="containsText" dxfId="9" priority="16441" operator="containsText" text="No">
      <formula>NOT(ISERROR(SEARCH(("No"),(Q875))))</formula>
    </cfRule>
  </conditionalFormatting>
  <conditionalFormatting sqref="Q875:Q876">
    <cfRule type="containsText" dxfId="2" priority="16442" operator="containsText" text="Yes">
      <formula>NOT(ISERROR(SEARCH(("Yes"),(Q875))))</formula>
    </cfRule>
  </conditionalFormatting>
  <conditionalFormatting sqref="Q875:Q876">
    <cfRule type="containsText" dxfId="9" priority="16443" operator="containsText" text="No">
      <formula>NOT(ISERROR(SEARCH(("No"),(Q875))))</formula>
    </cfRule>
  </conditionalFormatting>
  <conditionalFormatting sqref="Q875:Q876">
    <cfRule type="containsText" dxfId="2" priority="16444" operator="containsText" text="Yes">
      <formula>NOT(ISERROR(SEARCH(("Yes"),(Q875))))</formula>
    </cfRule>
  </conditionalFormatting>
  <conditionalFormatting sqref="Q875:Q876">
    <cfRule type="containsText" dxfId="9" priority="16445" operator="containsText" text="No">
      <formula>NOT(ISERROR(SEARCH(("No"),(Q875))))</formula>
    </cfRule>
  </conditionalFormatting>
  <conditionalFormatting sqref="Q875:Q876">
    <cfRule type="containsText" dxfId="2" priority="16446" operator="containsText" text="Yes">
      <formula>NOT(ISERROR(SEARCH(("Yes"),(Q875))))</formula>
    </cfRule>
  </conditionalFormatting>
  <conditionalFormatting sqref="Q875:Q876">
    <cfRule type="containsText" dxfId="9" priority="16447" operator="containsText" text="No">
      <formula>NOT(ISERROR(SEARCH(("No"),(Q875))))</formula>
    </cfRule>
  </conditionalFormatting>
  <conditionalFormatting sqref="Q875:Q876">
    <cfRule type="containsText" dxfId="2" priority="16448" operator="containsText" text="Yes">
      <formula>NOT(ISERROR(SEARCH(("Yes"),(Q875))))</formula>
    </cfRule>
  </conditionalFormatting>
  <conditionalFormatting sqref="Q875:Q876">
    <cfRule type="containsText" dxfId="9" priority="16449" operator="containsText" text="No">
      <formula>NOT(ISERROR(SEARCH(("No"),(Q875))))</formula>
    </cfRule>
  </conditionalFormatting>
  <conditionalFormatting sqref="Q875:Q876">
    <cfRule type="containsText" dxfId="2" priority="16450" operator="containsText" text="Yes">
      <formula>NOT(ISERROR(SEARCH(("Yes"),(Q875))))</formula>
    </cfRule>
  </conditionalFormatting>
  <conditionalFormatting sqref="Q875:Q876">
    <cfRule type="containsText" dxfId="9" priority="16451" operator="containsText" text="No">
      <formula>NOT(ISERROR(SEARCH(("No"),(Q875))))</formula>
    </cfRule>
  </conditionalFormatting>
  <conditionalFormatting sqref="Q875:Q876">
    <cfRule type="containsText" dxfId="2" priority="16452" operator="containsText" text="Yes">
      <formula>NOT(ISERROR(SEARCH(("Yes"),(Q875))))</formula>
    </cfRule>
  </conditionalFormatting>
  <conditionalFormatting sqref="Q875:Q876">
    <cfRule type="containsText" dxfId="9" priority="16453" operator="containsText" text="No">
      <formula>NOT(ISERROR(SEARCH(("No"),(Q875))))</formula>
    </cfRule>
  </conditionalFormatting>
  <conditionalFormatting sqref="Q875:Q876">
    <cfRule type="containsText" dxfId="2" priority="16454" operator="containsText" text="Yes">
      <formula>NOT(ISERROR(SEARCH(("Yes"),(Q875))))</formula>
    </cfRule>
  </conditionalFormatting>
  <conditionalFormatting sqref="Q875:Q876">
    <cfRule type="containsText" dxfId="9" priority="16455" operator="containsText" text="No">
      <formula>NOT(ISERROR(SEARCH(("No"),(Q875))))</formula>
    </cfRule>
  </conditionalFormatting>
  <conditionalFormatting sqref="Q875:Q876">
    <cfRule type="containsText" dxfId="2" priority="16456" operator="containsText" text="Yes">
      <formula>NOT(ISERROR(SEARCH(("Yes"),(Q875))))</formula>
    </cfRule>
  </conditionalFormatting>
  <conditionalFormatting sqref="Q875:Q876">
    <cfRule type="containsText" dxfId="9" priority="16457" operator="containsText" text="No">
      <formula>NOT(ISERROR(SEARCH(("No"),(Q875))))</formula>
    </cfRule>
  </conditionalFormatting>
  <conditionalFormatting sqref="Q875:Q876">
    <cfRule type="containsText" dxfId="2" priority="16458" operator="containsText" text="Yes">
      <formula>NOT(ISERROR(SEARCH(("Yes"),(Q875))))</formula>
    </cfRule>
  </conditionalFormatting>
  <conditionalFormatting sqref="Q875:Q876">
    <cfRule type="containsText" dxfId="9" priority="16459" operator="containsText" text="No">
      <formula>NOT(ISERROR(SEARCH(("No"),(Q875))))</formula>
    </cfRule>
  </conditionalFormatting>
  <conditionalFormatting sqref="Q875:Q876">
    <cfRule type="containsText" dxfId="2" priority="16460" operator="containsText" text="Yes">
      <formula>NOT(ISERROR(SEARCH(("Yes"),(Q875))))</formula>
    </cfRule>
  </conditionalFormatting>
  <conditionalFormatting sqref="Q875:Q876">
    <cfRule type="containsText" dxfId="9" priority="16461" operator="containsText" text="No">
      <formula>NOT(ISERROR(SEARCH(("No"),(Q875))))</formula>
    </cfRule>
  </conditionalFormatting>
  <conditionalFormatting sqref="Q875:Q876">
    <cfRule type="containsText" dxfId="2" priority="16462" operator="containsText" text="Yes">
      <formula>NOT(ISERROR(SEARCH(("Yes"),(Q875))))</formula>
    </cfRule>
  </conditionalFormatting>
  <conditionalFormatting sqref="Q875:Q876">
    <cfRule type="containsText" dxfId="9" priority="16463" operator="containsText" text="No">
      <formula>NOT(ISERROR(SEARCH(("No"),(Q875))))</formula>
    </cfRule>
  </conditionalFormatting>
  <conditionalFormatting sqref="Q875:Q876">
    <cfRule type="containsText" dxfId="2" priority="16464" operator="containsText" text="Yes">
      <formula>NOT(ISERROR(SEARCH(("Yes"),(Q875))))</formula>
    </cfRule>
  </conditionalFormatting>
  <conditionalFormatting sqref="Q875:Q876">
    <cfRule type="containsText" dxfId="9" priority="16465" operator="containsText" text="No">
      <formula>NOT(ISERROR(SEARCH(("No"),(Q875))))</formula>
    </cfRule>
  </conditionalFormatting>
  <conditionalFormatting sqref="Q875:Q876">
    <cfRule type="containsText" dxfId="2" priority="16466" operator="containsText" text="Yes">
      <formula>NOT(ISERROR(SEARCH(("Yes"),(Q875))))</formula>
    </cfRule>
  </conditionalFormatting>
  <conditionalFormatting sqref="Q875:Q876">
    <cfRule type="containsText" dxfId="9" priority="16467" operator="containsText" text="No">
      <formula>NOT(ISERROR(SEARCH(("No"),(Q875))))</formula>
    </cfRule>
  </conditionalFormatting>
  <conditionalFormatting sqref="Q875:Q876">
    <cfRule type="containsText" dxfId="2" priority="16468" operator="containsText" text="Yes">
      <formula>NOT(ISERROR(SEARCH(("Yes"),(Q875))))</formula>
    </cfRule>
  </conditionalFormatting>
  <conditionalFormatting sqref="Q875:Q876">
    <cfRule type="containsText" dxfId="9" priority="16469" operator="containsText" text="No">
      <formula>NOT(ISERROR(SEARCH(("No"),(Q875))))</formula>
    </cfRule>
  </conditionalFormatting>
  <conditionalFormatting sqref="Q875:Q876">
    <cfRule type="containsText" dxfId="2" priority="16470" operator="containsText" text="Yes">
      <formula>NOT(ISERROR(SEARCH(("Yes"),(Q875))))</formula>
    </cfRule>
  </conditionalFormatting>
  <conditionalFormatting sqref="Q875:Q876">
    <cfRule type="containsText" dxfId="9" priority="16471" operator="containsText" text="No">
      <formula>NOT(ISERROR(SEARCH(("No"),(Q875))))</formula>
    </cfRule>
  </conditionalFormatting>
  <conditionalFormatting sqref="Q875:Q876">
    <cfRule type="containsText" dxfId="2" priority="16472" operator="containsText" text="Yes">
      <formula>NOT(ISERROR(SEARCH(("Yes"),(Q875))))</formula>
    </cfRule>
  </conditionalFormatting>
  <conditionalFormatting sqref="Q875:Q876">
    <cfRule type="containsText" dxfId="9" priority="16473" operator="containsText" text="No">
      <formula>NOT(ISERROR(SEARCH(("No"),(Q875))))</formula>
    </cfRule>
  </conditionalFormatting>
  <conditionalFormatting sqref="Q875:Q876">
    <cfRule type="containsText" dxfId="2" priority="16474" operator="containsText" text="Yes">
      <formula>NOT(ISERROR(SEARCH(("Yes"),(Q875))))</formula>
    </cfRule>
  </conditionalFormatting>
  <conditionalFormatting sqref="Q875:Q876">
    <cfRule type="containsText" dxfId="9" priority="16475" operator="containsText" text="No">
      <formula>NOT(ISERROR(SEARCH(("No"),(Q875))))</formula>
    </cfRule>
  </conditionalFormatting>
  <conditionalFormatting sqref="Q875:Q876">
    <cfRule type="containsText" dxfId="2" priority="16476" operator="containsText" text="Yes">
      <formula>NOT(ISERROR(SEARCH(("Yes"),(Q875))))</formula>
    </cfRule>
  </conditionalFormatting>
  <conditionalFormatting sqref="Q875:Q876">
    <cfRule type="containsText" dxfId="9" priority="16477" operator="containsText" text="No">
      <formula>NOT(ISERROR(SEARCH(("No"),(Q875))))</formula>
    </cfRule>
  </conditionalFormatting>
  <conditionalFormatting sqref="Q875:Q876">
    <cfRule type="containsText" dxfId="2" priority="16478" operator="containsText" text="Yes">
      <formula>NOT(ISERROR(SEARCH(("Yes"),(Q875))))</formula>
    </cfRule>
  </conditionalFormatting>
  <conditionalFormatting sqref="Q875:Q876">
    <cfRule type="containsText" dxfId="9" priority="16479" operator="containsText" text="No">
      <formula>NOT(ISERROR(SEARCH(("No"),(Q875))))</formula>
    </cfRule>
  </conditionalFormatting>
  <conditionalFormatting sqref="Q875:Q876">
    <cfRule type="containsText" dxfId="2" priority="16480" operator="containsText" text="Yes">
      <formula>NOT(ISERROR(SEARCH(("Yes"),(Q875))))</formula>
    </cfRule>
  </conditionalFormatting>
  <conditionalFormatting sqref="Q875:Q876">
    <cfRule type="containsText" dxfId="9" priority="16481" operator="containsText" text="No">
      <formula>NOT(ISERROR(SEARCH(("No"),(Q875))))</formula>
    </cfRule>
  </conditionalFormatting>
  <conditionalFormatting sqref="Q875:Q876">
    <cfRule type="containsText" dxfId="2" priority="16482" operator="containsText" text="Yes">
      <formula>NOT(ISERROR(SEARCH(("Yes"),(Q875))))</formula>
    </cfRule>
  </conditionalFormatting>
  <conditionalFormatting sqref="Q875:Q876">
    <cfRule type="containsText" dxfId="9" priority="16483" operator="containsText" text="No">
      <formula>NOT(ISERROR(SEARCH(("No"),(Q875))))</formula>
    </cfRule>
  </conditionalFormatting>
  <conditionalFormatting sqref="Q875:Q876">
    <cfRule type="containsText" dxfId="2" priority="16484" operator="containsText" text="Yes">
      <formula>NOT(ISERROR(SEARCH(("Yes"),(Q875))))</formula>
    </cfRule>
  </conditionalFormatting>
  <conditionalFormatting sqref="Q875:Q876">
    <cfRule type="containsText" dxfId="9" priority="16485" operator="containsText" text="No">
      <formula>NOT(ISERROR(SEARCH(("No"),(Q875))))</formula>
    </cfRule>
  </conditionalFormatting>
  <conditionalFormatting sqref="Q875:Q876">
    <cfRule type="containsText" dxfId="2" priority="16486" operator="containsText" text="Yes">
      <formula>NOT(ISERROR(SEARCH(("Yes"),(Q875))))</formula>
    </cfRule>
  </conditionalFormatting>
  <conditionalFormatting sqref="Q875:Q876">
    <cfRule type="containsText" dxfId="9" priority="16487" operator="containsText" text="No">
      <formula>NOT(ISERROR(SEARCH(("No"),(Q875))))</formula>
    </cfRule>
  </conditionalFormatting>
  <conditionalFormatting sqref="Q875:Q876">
    <cfRule type="containsText" dxfId="2" priority="16488" operator="containsText" text="Yes">
      <formula>NOT(ISERROR(SEARCH(("Yes"),(Q875))))</formula>
    </cfRule>
  </conditionalFormatting>
  <conditionalFormatting sqref="Q875:Q876">
    <cfRule type="containsText" dxfId="9" priority="16489" operator="containsText" text="No">
      <formula>NOT(ISERROR(SEARCH(("No"),(Q875))))</formula>
    </cfRule>
  </conditionalFormatting>
  <conditionalFormatting sqref="Q875:Q876">
    <cfRule type="containsText" dxfId="2" priority="16490" operator="containsText" text="Yes">
      <formula>NOT(ISERROR(SEARCH(("Yes"),(Q875))))</formula>
    </cfRule>
  </conditionalFormatting>
  <conditionalFormatting sqref="Q875:Q876">
    <cfRule type="containsText" dxfId="9" priority="16491" operator="containsText" text="No">
      <formula>NOT(ISERROR(SEARCH(("No"),(Q875))))</formula>
    </cfRule>
  </conditionalFormatting>
  <conditionalFormatting sqref="Q875:Q876">
    <cfRule type="containsText" dxfId="2" priority="16492" operator="containsText" text="Yes">
      <formula>NOT(ISERROR(SEARCH(("Yes"),(Q875))))</formula>
    </cfRule>
  </conditionalFormatting>
  <conditionalFormatting sqref="Q875:Q876">
    <cfRule type="containsText" dxfId="9" priority="16493" operator="containsText" text="No">
      <formula>NOT(ISERROR(SEARCH(("No"),(Q875))))</formula>
    </cfRule>
  </conditionalFormatting>
  <conditionalFormatting sqref="Q875:Q876">
    <cfRule type="containsText" dxfId="2" priority="16494" operator="containsText" text="Yes">
      <formula>NOT(ISERROR(SEARCH(("Yes"),(Q875))))</formula>
    </cfRule>
  </conditionalFormatting>
  <conditionalFormatting sqref="Q875:Q876">
    <cfRule type="containsText" dxfId="9" priority="16495" operator="containsText" text="No">
      <formula>NOT(ISERROR(SEARCH(("No"),(Q875))))</formula>
    </cfRule>
  </conditionalFormatting>
  <conditionalFormatting sqref="Q875:Q876">
    <cfRule type="containsText" dxfId="2" priority="16496" operator="containsText" text="Yes">
      <formula>NOT(ISERROR(SEARCH(("Yes"),(Q875))))</formula>
    </cfRule>
  </conditionalFormatting>
  <conditionalFormatting sqref="Q875:Q876">
    <cfRule type="containsText" dxfId="9" priority="16497" operator="containsText" text="No">
      <formula>NOT(ISERROR(SEARCH(("No"),(Q875))))</formula>
    </cfRule>
  </conditionalFormatting>
  <conditionalFormatting sqref="Q875:Q876">
    <cfRule type="containsText" dxfId="2" priority="16498" operator="containsText" text="Yes">
      <formula>NOT(ISERROR(SEARCH(("Yes"),(Q875))))</formula>
    </cfRule>
  </conditionalFormatting>
  <conditionalFormatting sqref="Q875:Q876">
    <cfRule type="containsText" dxfId="9" priority="16499" operator="containsText" text="No">
      <formula>NOT(ISERROR(SEARCH(("No"),(Q875))))</formula>
    </cfRule>
  </conditionalFormatting>
  <conditionalFormatting sqref="Q875:Q876">
    <cfRule type="containsText" dxfId="2" priority="16500" operator="containsText" text="Yes">
      <formula>NOT(ISERROR(SEARCH(("Yes"),(Q875))))</formula>
    </cfRule>
  </conditionalFormatting>
  <conditionalFormatting sqref="Q875:Q876">
    <cfRule type="containsText" dxfId="9" priority="16501" operator="containsText" text="No">
      <formula>NOT(ISERROR(SEARCH(("No"),(Q875))))</formula>
    </cfRule>
  </conditionalFormatting>
  <conditionalFormatting sqref="Q875:Q876">
    <cfRule type="containsText" dxfId="2" priority="16502" operator="containsText" text="Yes">
      <formula>NOT(ISERROR(SEARCH(("Yes"),(Q875))))</formula>
    </cfRule>
  </conditionalFormatting>
  <conditionalFormatting sqref="Q875:Q876">
    <cfRule type="containsText" dxfId="9" priority="16503" operator="containsText" text="No">
      <formula>NOT(ISERROR(SEARCH(("No"),(Q875))))</formula>
    </cfRule>
  </conditionalFormatting>
  <conditionalFormatting sqref="Q875:Q876">
    <cfRule type="containsText" dxfId="2" priority="16504" operator="containsText" text="Yes">
      <formula>NOT(ISERROR(SEARCH(("Yes"),(Q875))))</formula>
    </cfRule>
  </conditionalFormatting>
  <conditionalFormatting sqref="Q875:Q876">
    <cfRule type="containsText" dxfId="9" priority="16505" operator="containsText" text="No">
      <formula>NOT(ISERROR(SEARCH(("No"),(Q875))))</formula>
    </cfRule>
  </conditionalFormatting>
  <conditionalFormatting sqref="Q875:Q876">
    <cfRule type="containsText" dxfId="2" priority="16506" operator="containsText" text="Yes">
      <formula>NOT(ISERROR(SEARCH(("Yes"),(Q875))))</formula>
    </cfRule>
  </conditionalFormatting>
  <conditionalFormatting sqref="Q875:Q876">
    <cfRule type="containsText" dxfId="9" priority="16507" operator="containsText" text="No">
      <formula>NOT(ISERROR(SEARCH(("No"),(Q875))))</formula>
    </cfRule>
  </conditionalFormatting>
  <conditionalFormatting sqref="Q875:Q876">
    <cfRule type="containsText" dxfId="2" priority="16508" operator="containsText" text="Yes">
      <formula>NOT(ISERROR(SEARCH(("Yes"),(Q875))))</formula>
    </cfRule>
  </conditionalFormatting>
  <conditionalFormatting sqref="Q875:Q876">
    <cfRule type="containsText" dxfId="9" priority="16509" operator="containsText" text="No">
      <formula>NOT(ISERROR(SEARCH(("No"),(Q875))))</formula>
    </cfRule>
  </conditionalFormatting>
  <conditionalFormatting sqref="Q875:Q876">
    <cfRule type="containsText" dxfId="2" priority="16510" operator="containsText" text="Yes">
      <formula>NOT(ISERROR(SEARCH(("Yes"),(Q875))))</formula>
    </cfRule>
  </conditionalFormatting>
  <conditionalFormatting sqref="Q875:Q876">
    <cfRule type="containsText" dxfId="9" priority="16511" operator="containsText" text="No">
      <formula>NOT(ISERROR(SEARCH(("No"),(Q875))))</formula>
    </cfRule>
  </conditionalFormatting>
  <conditionalFormatting sqref="Q875:Q876">
    <cfRule type="containsText" dxfId="2" priority="16512" operator="containsText" text="Yes">
      <formula>NOT(ISERROR(SEARCH(("Yes"),(Q875))))</formula>
    </cfRule>
  </conditionalFormatting>
  <conditionalFormatting sqref="Q875:Q876">
    <cfRule type="containsText" dxfId="9" priority="16513" operator="containsText" text="No">
      <formula>NOT(ISERROR(SEARCH(("No"),(Q875))))</formula>
    </cfRule>
  </conditionalFormatting>
  <conditionalFormatting sqref="Q875:Q876">
    <cfRule type="containsText" dxfId="2" priority="16514" operator="containsText" text="Yes">
      <formula>NOT(ISERROR(SEARCH(("Yes"),(Q875))))</formula>
    </cfRule>
  </conditionalFormatting>
  <conditionalFormatting sqref="Q875:Q876">
    <cfRule type="containsText" dxfId="9" priority="16515" operator="containsText" text="No">
      <formula>NOT(ISERROR(SEARCH(("No"),(Q875))))</formula>
    </cfRule>
  </conditionalFormatting>
  <conditionalFormatting sqref="Q875:Q876">
    <cfRule type="containsText" dxfId="2" priority="16516" operator="containsText" text="Yes">
      <formula>NOT(ISERROR(SEARCH(("Yes"),(Q875))))</formula>
    </cfRule>
  </conditionalFormatting>
  <conditionalFormatting sqref="Q875:Q876">
    <cfRule type="containsText" dxfId="9" priority="16517" operator="containsText" text="No">
      <formula>NOT(ISERROR(SEARCH(("No"),(Q875))))</formula>
    </cfRule>
  </conditionalFormatting>
  <conditionalFormatting sqref="Q875:Q876">
    <cfRule type="containsText" dxfId="2" priority="16518" operator="containsText" text="Yes">
      <formula>NOT(ISERROR(SEARCH(("Yes"),(Q875))))</formula>
    </cfRule>
  </conditionalFormatting>
  <conditionalFormatting sqref="Q875:Q876">
    <cfRule type="containsText" dxfId="9" priority="16519" operator="containsText" text="No">
      <formula>NOT(ISERROR(SEARCH(("No"),(Q875))))</formula>
    </cfRule>
  </conditionalFormatting>
  <conditionalFormatting sqref="Q875:Q876">
    <cfRule type="containsText" dxfId="2" priority="16520" operator="containsText" text="Yes">
      <formula>NOT(ISERROR(SEARCH(("Yes"),(Q875))))</formula>
    </cfRule>
  </conditionalFormatting>
  <conditionalFormatting sqref="Q875:Q876">
    <cfRule type="containsText" dxfId="9" priority="16521" operator="containsText" text="No">
      <formula>NOT(ISERROR(SEARCH(("No"),(Q875))))</formula>
    </cfRule>
  </conditionalFormatting>
  <conditionalFormatting sqref="Q875:Q876">
    <cfRule type="containsText" dxfId="2" priority="16522" operator="containsText" text="Yes">
      <formula>NOT(ISERROR(SEARCH(("Yes"),(Q875))))</formula>
    </cfRule>
  </conditionalFormatting>
  <conditionalFormatting sqref="Q875:Q876">
    <cfRule type="containsText" dxfId="9" priority="16523" operator="containsText" text="No">
      <formula>NOT(ISERROR(SEARCH(("No"),(Q875))))</formula>
    </cfRule>
  </conditionalFormatting>
  <conditionalFormatting sqref="Q875:Q876">
    <cfRule type="containsText" dxfId="2" priority="16524" operator="containsText" text="Yes">
      <formula>NOT(ISERROR(SEARCH(("Yes"),(Q875))))</formula>
    </cfRule>
  </conditionalFormatting>
  <conditionalFormatting sqref="Q875:Q876">
    <cfRule type="containsText" dxfId="9" priority="16525" operator="containsText" text="No">
      <formula>NOT(ISERROR(SEARCH(("No"),(Q875))))</formula>
    </cfRule>
  </conditionalFormatting>
  <conditionalFormatting sqref="Q875:Q876">
    <cfRule type="containsText" dxfId="2" priority="16526" operator="containsText" text="Yes">
      <formula>NOT(ISERROR(SEARCH(("Yes"),(Q875))))</formula>
    </cfRule>
  </conditionalFormatting>
  <conditionalFormatting sqref="Q875:Q876">
    <cfRule type="containsText" dxfId="9" priority="16527" operator="containsText" text="No">
      <formula>NOT(ISERROR(SEARCH(("No"),(Q875))))</formula>
    </cfRule>
  </conditionalFormatting>
  <conditionalFormatting sqref="Q875:Q876">
    <cfRule type="containsText" dxfId="2" priority="16528" operator="containsText" text="Yes">
      <formula>NOT(ISERROR(SEARCH(("Yes"),(Q875))))</formula>
    </cfRule>
  </conditionalFormatting>
  <conditionalFormatting sqref="Q875:Q876">
    <cfRule type="containsText" dxfId="2" priority="16529" operator="containsText" text="Yes">
      <formula>NOT(ISERROR(SEARCH(("Yes"),(Q875))))</formula>
    </cfRule>
  </conditionalFormatting>
  <conditionalFormatting sqref="Q875:Q876">
    <cfRule type="containsText" dxfId="9" priority="16530" operator="containsText" text="No">
      <formula>NOT(ISERROR(SEARCH(("No"),(Q875))))</formula>
    </cfRule>
  </conditionalFormatting>
  <conditionalFormatting sqref="Q875:Q876">
    <cfRule type="containsText" dxfId="2" priority="16531" operator="containsText" text="Yes">
      <formula>NOT(ISERROR(SEARCH(("Yes"),(Q875))))</formula>
    </cfRule>
  </conditionalFormatting>
  <conditionalFormatting sqref="Q878:Q879">
    <cfRule type="containsText" dxfId="2" priority="16532" operator="containsText" text="Yes">
      <formula>NOT(ISERROR(SEARCH(("Yes"),(Q878))))</formula>
    </cfRule>
  </conditionalFormatting>
  <conditionalFormatting sqref="Q878:Q879">
    <cfRule type="containsText" dxfId="9" priority="16533" operator="containsText" text="No">
      <formula>NOT(ISERROR(SEARCH(("No"),(Q878))))</formula>
    </cfRule>
  </conditionalFormatting>
  <conditionalFormatting sqref="Q878:Q879">
    <cfRule type="containsText" dxfId="2" priority="16534" operator="containsText" text="Yes">
      <formula>NOT(ISERROR(SEARCH(("Yes"),(Q878))))</formula>
    </cfRule>
  </conditionalFormatting>
  <conditionalFormatting sqref="Q878:Q879">
    <cfRule type="containsText" dxfId="9" priority="16535" operator="containsText" text="No">
      <formula>NOT(ISERROR(SEARCH(("No"),(Q878))))</formula>
    </cfRule>
  </conditionalFormatting>
  <conditionalFormatting sqref="Q878:Q879">
    <cfRule type="containsText" dxfId="2" priority="16536" operator="containsText" text="Yes">
      <formula>NOT(ISERROR(SEARCH(("Yes"),(Q878))))</formula>
    </cfRule>
  </conditionalFormatting>
  <conditionalFormatting sqref="Q878:Q879">
    <cfRule type="containsText" dxfId="9" priority="16537" operator="containsText" text="No">
      <formula>NOT(ISERROR(SEARCH(("No"),(Q878))))</formula>
    </cfRule>
  </conditionalFormatting>
  <conditionalFormatting sqref="Q878:Q879">
    <cfRule type="containsText" dxfId="2" priority="16538" operator="containsText" text="Yes">
      <formula>NOT(ISERROR(SEARCH(("Yes"),(Q878))))</formula>
    </cfRule>
  </conditionalFormatting>
  <conditionalFormatting sqref="Q878:Q879">
    <cfRule type="containsText" dxfId="9" priority="16539" operator="containsText" text="No">
      <formula>NOT(ISERROR(SEARCH(("No"),(Q878))))</formula>
    </cfRule>
  </conditionalFormatting>
  <conditionalFormatting sqref="Q878:Q879">
    <cfRule type="containsText" dxfId="2" priority="16540" operator="containsText" text="Yes">
      <formula>NOT(ISERROR(SEARCH(("Yes"),(Q878))))</formula>
    </cfRule>
  </conditionalFormatting>
  <conditionalFormatting sqref="Q878:Q879">
    <cfRule type="containsText" dxfId="9" priority="16541" operator="containsText" text="No">
      <formula>NOT(ISERROR(SEARCH(("No"),(Q878))))</formula>
    </cfRule>
  </conditionalFormatting>
  <conditionalFormatting sqref="Q878:Q879">
    <cfRule type="containsText" dxfId="2" priority="16542" operator="containsText" text="Yes">
      <formula>NOT(ISERROR(SEARCH(("Yes"),(Q878))))</formula>
    </cfRule>
  </conditionalFormatting>
  <conditionalFormatting sqref="Q878:Q879">
    <cfRule type="containsText" dxfId="9" priority="16543" operator="containsText" text="No">
      <formula>NOT(ISERROR(SEARCH(("No"),(Q878))))</formula>
    </cfRule>
  </conditionalFormatting>
  <conditionalFormatting sqref="Q878:Q879">
    <cfRule type="containsText" dxfId="2" priority="16544" operator="containsText" text="Yes">
      <formula>NOT(ISERROR(SEARCH(("Yes"),(Q878))))</formula>
    </cfRule>
  </conditionalFormatting>
  <conditionalFormatting sqref="Q878:Q879">
    <cfRule type="containsText" dxfId="9" priority="16545" operator="containsText" text="No">
      <formula>NOT(ISERROR(SEARCH(("No"),(Q878))))</formula>
    </cfRule>
  </conditionalFormatting>
  <conditionalFormatting sqref="Q878:Q879">
    <cfRule type="containsText" dxfId="2" priority="16546" operator="containsText" text="Yes">
      <formula>NOT(ISERROR(SEARCH(("Yes"),(Q878))))</formula>
    </cfRule>
  </conditionalFormatting>
  <conditionalFormatting sqref="Q878:Q879">
    <cfRule type="containsText" dxfId="9" priority="16547" operator="containsText" text="No">
      <formula>NOT(ISERROR(SEARCH(("No"),(Q878))))</formula>
    </cfRule>
  </conditionalFormatting>
  <conditionalFormatting sqref="Q878:Q879">
    <cfRule type="containsText" dxfId="2" priority="16548" operator="containsText" text="Yes">
      <formula>NOT(ISERROR(SEARCH(("Yes"),(Q878))))</formula>
    </cfRule>
  </conditionalFormatting>
  <conditionalFormatting sqref="Q878:Q879">
    <cfRule type="containsText" dxfId="9" priority="16549" operator="containsText" text="No">
      <formula>NOT(ISERROR(SEARCH(("No"),(Q878))))</formula>
    </cfRule>
  </conditionalFormatting>
  <conditionalFormatting sqref="Q878:Q879">
    <cfRule type="containsText" dxfId="2" priority="16550" operator="containsText" text="Yes">
      <formula>NOT(ISERROR(SEARCH(("Yes"),(Q878))))</formula>
    </cfRule>
  </conditionalFormatting>
  <conditionalFormatting sqref="Q878:Q879">
    <cfRule type="containsText" dxfId="9" priority="16551" operator="containsText" text="No">
      <formula>NOT(ISERROR(SEARCH(("No"),(Q878))))</formula>
    </cfRule>
  </conditionalFormatting>
  <conditionalFormatting sqref="Q878:Q879">
    <cfRule type="containsText" dxfId="2" priority="16552" operator="containsText" text="Yes">
      <formula>NOT(ISERROR(SEARCH(("Yes"),(Q878))))</formula>
    </cfRule>
  </conditionalFormatting>
  <conditionalFormatting sqref="Q878:Q879">
    <cfRule type="containsText" dxfId="9" priority="16553" operator="containsText" text="No">
      <formula>NOT(ISERROR(SEARCH(("No"),(Q878))))</formula>
    </cfRule>
  </conditionalFormatting>
  <conditionalFormatting sqref="Q878:Q879">
    <cfRule type="containsText" dxfId="2" priority="16554" operator="containsText" text="Yes">
      <formula>NOT(ISERROR(SEARCH(("Yes"),(Q878))))</formula>
    </cfRule>
  </conditionalFormatting>
  <conditionalFormatting sqref="Q878:Q879">
    <cfRule type="containsText" dxfId="9" priority="16555" operator="containsText" text="No">
      <formula>NOT(ISERROR(SEARCH(("No"),(Q878))))</formula>
    </cfRule>
  </conditionalFormatting>
  <conditionalFormatting sqref="Q878:Q879">
    <cfRule type="containsText" dxfId="2" priority="16556" operator="containsText" text="Yes">
      <formula>NOT(ISERROR(SEARCH(("Yes"),(Q878))))</formula>
    </cfRule>
  </conditionalFormatting>
  <conditionalFormatting sqref="Q878:Q879">
    <cfRule type="containsText" dxfId="9" priority="16557" operator="containsText" text="No">
      <formula>NOT(ISERROR(SEARCH(("No"),(Q878))))</formula>
    </cfRule>
  </conditionalFormatting>
  <conditionalFormatting sqref="Q878:Q879">
    <cfRule type="containsText" dxfId="2" priority="16558" operator="containsText" text="Yes">
      <formula>NOT(ISERROR(SEARCH(("Yes"),(Q878))))</formula>
    </cfRule>
  </conditionalFormatting>
  <conditionalFormatting sqref="Q878:Q879">
    <cfRule type="containsText" dxfId="9" priority="16559" operator="containsText" text="No">
      <formula>NOT(ISERROR(SEARCH(("No"),(Q878))))</formula>
    </cfRule>
  </conditionalFormatting>
  <conditionalFormatting sqref="Q878:Q879">
    <cfRule type="containsText" dxfId="2" priority="16560" operator="containsText" text="Yes">
      <formula>NOT(ISERROR(SEARCH(("Yes"),(Q878))))</formula>
    </cfRule>
  </conditionalFormatting>
  <conditionalFormatting sqref="Q878:Q879">
    <cfRule type="containsText" dxfId="9" priority="16561" operator="containsText" text="No">
      <formula>NOT(ISERROR(SEARCH(("No"),(Q878))))</formula>
    </cfRule>
  </conditionalFormatting>
  <conditionalFormatting sqref="Q878:Q879">
    <cfRule type="containsText" dxfId="2" priority="16562" operator="containsText" text="Yes">
      <formula>NOT(ISERROR(SEARCH(("Yes"),(Q878))))</formula>
    </cfRule>
  </conditionalFormatting>
  <conditionalFormatting sqref="Q878:Q879">
    <cfRule type="containsText" dxfId="9" priority="16563" operator="containsText" text="No">
      <formula>NOT(ISERROR(SEARCH(("No"),(Q878))))</formula>
    </cfRule>
  </conditionalFormatting>
  <conditionalFormatting sqref="Q878:Q879">
    <cfRule type="containsText" dxfId="2" priority="16564" operator="containsText" text="Yes">
      <formula>NOT(ISERROR(SEARCH(("Yes"),(Q878))))</formula>
    </cfRule>
  </conditionalFormatting>
  <conditionalFormatting sqref="Q878:Q879">
    <cfRule type="containsText" dxfId="9" priority="16565" operator="containsText" text="No">
      <formula>NOT(ISERROR(SEARCH(("No"),(Q878))))</formula>
    </cfRule>
  </conditionalFormatting>
  <conditionalFormatting sqref="Q878:Q879">
    <cfRule type="containsText" dxfId="2" priority="16566" operator="containsText" text="Yes">
      <formula>NOT(ISERROR(SEARCH(("Yes"),(Q878))))</formula>
    </cfRule>
  </conditionalFormatting>
  <conditionalFormatting sqref="Q878:Q879">
    <cfRule type="containsText" dxfId="9" priority="16567" operator="containsText" text="No">
      <formula>NOT(ISERROR(SEARCH(("No"),(Q878))))</formula>
    </cfRule>
  </conditionalFormatting>
  <conditionalFormatting sqref="Q878:Q879">
    <cfRule type="containsText" dxfId="2" priority="16568" operator="containsText" text="Yes">
      <formula>NOT(ISERROR(SEARCH(("Yes"),(Q878))))</formula>
    </cfRule>
  </conditionalFormatting>
  <conditionalFormatting sqref="Q878:Q879">
    <cfRule type="containsText" dxfId="9" priority="16569" operator="containsText" text="No">
      <formula>NOT(ISERROR(SEARCH(("No"),(Q878))))</formula>
    </cfRule>
  </conditionalFormatting>
  <conditionalFormatting sqref="Q878:Q879">
    <cfRule type="containsText" dxfId="2" priority="16570" operator="containsText" text="Yes">
      <formula>NOT(ISERROR(SEARCH(("Yes"),(Q878))))</formula>
    </cfRule>
  </conditionalFormatting>
  <conditionalFormatting sqref="Q878:Q879">
    <cfRule type="containsText" dxfId="9" priority="16571" operator="containsText" text="No">
      <formula>NOT(ISERROR(SEARCH(("No"),(Q878))))</formula>
    </cfRule>
  </conditionalFormatting>
  <conditionalFormatting sqref="Q878:Q879">
    <cfRule type="containsText" dxfId="2" priority="16572" operator="containsText" text="Yes">
      <formula>NOT(ISERROR(SEARCH(("Yes"),(Q878))))</formula>
    </cfRule>
  </conditionalFormatting>
  <conditionalFormatting sqref="Q878:Q879">
    <cfRule type="containsText" dxfId="9" priority="16573" operator="containsText" text="No">
      <formula>NOT(ISERROR(SEARCH(("No"),(Q878))))</formula>
    </cfRule>
  </conditionalFormatting>
  <conditionalFormatting sqref="Q878:Q879">
    <cfRule type="containsText" dxfId="2" priority="16574" operator="containsText" text="Yes">
      <formula>NOT(ISERROR(SEARCH(("Yes"),(Q878))))</formula>
    </cfRule>
  </conditionalFormatting>
  <conditionalFormatting sqref="Q878:Q879">
    <cfRule type="containsText" dxfId="9" priority="16575" operator="containsText" text="No">
      <formula>NOT(ISERROR(SEARCH(("No"),(Q878))))</formula>
    </cfRule>
  </conditionalFormatting>
  <conditionalFormatting sqref="Q878:Q879">
    <cfRule type="containsText" dxfId="2" priority="16576" operator="containsText" text="Yes">
      <formula>NOT(ISERROR(SEARCH(("Yes"),(Q878))))</formula>
    </cfRule>
  </conditionalFormatting>
  <conditionalFormatting sqref="Q878:Q879">
    <cfRule type="containsText" dxfId="9" priority="16577" operator="containsText" text="No">
      <formula>NOT(ISERROR(SEARCH(("No"),(Q878))))</formula>
    </cfRule>
  </conditionalFormatting>
  <conditionalFormatting sqref="Q878:Q879">
    <cfRule type="containsText" dxfId="2" priority="16578" operator="containsText" text="Yes">
      <formula>NOT(ISERROR(SEARCH(("Yes"),(Q878))))</formula>
    </cfRule>
  </conditionalFormatting>
  <conditionalFormatting sqref="Q878:Q879">
    <cfRule type="containsText" dxfId="9" priority="16579" operator="containsText" text="No">
      <formula>NOT(ISERROR(SEARCH(("No"),(Q878))))</formula>
    </cfRule>
  </conditionalFormatting>
  <conditionalFormatting sqref="Q878:Q879">
    <cfRule type="containsText" dxfId="2" priority="16580" operator="containsText" text="Yes">
      <formula>NOT(ISERROR(SEARCH(("Yes"),(Q878))))</formula>
    </cfRule>
  </conditionalFormatting>
  <conditionalFormatting sqref="Q878:Q879">
    <cfRule type="containsText" dxfId="9" priority="16581" operator="containsText" text="No">
      <formula>NOT(ISERROR(SEARCH(("No"),(Q878))))</formula>
    </cfRule>
  </conditionalFormatting>
  <conditionalFormatting sqref="Q878:Q879">
    <cfRule type="containsText" dxfId="2" priority="16582" operator="containsText" text="Yes">
      <formula>NOT(ISERROR(SEARCH(("Yes"),(Q878))))</formula>
    </cfRule>
  </conditionalFormatting>
  <conditionalFormatting sqref="Q878:Q879">
    <cfRule type="containsText" dxfId="9" priority="16583" operator="containsText" text="No">
      <formula>NOT(ISERROR(SEARCH(("No"),(Q878))))</formula>
    </cfRule>
  </conditionalFormatting>
  <conditionalFormatting sqref="Q878:Q879">
    <cfRule type="containsText" dxfId="2" priority="16584" operator="containsText" text="Yes">
      <formula>NOT(ISERROR(SEARCH(("Yes"),(Q878))))</formula>
    </cfRule>
  </conditionalFormatting>
  <conditionalFormatting sqref="Q878:Q879">
    <cfRule type="containsText" dxfId="9" priority="16585" operator="containsText" text="No">
      <formula>NOT(ISERROR(SEARCH(("No"),(Q878))))</formula>
    </cfRule>
  </conditionalFormatting>
  <conditionalFormatting sqref="Q878:Q879">
    <cfRule type="containsText" dxfId="2" priority="16586" operator="containsText" text="Yes">
      <formula>NOT(ISERROR(SEARCH(("Yes"),(Q878))))</formula>
    </cfRule>
  </conditionalFormatting>
  <conditionalFormatting sqref="Q878:Q879">
    <cfRule type="containsText" dxfId="9" priority="16587" operator="containsText" text="No">
      <formula>NOT(ISERROR(SEARCH(("No"),(Q878))))</formula>
    </cfRule>
  </conditionalFormatting>
  <conditionalFormatting sqref="Q878:Q879">
    <cfRule type="containsText" dxfId="2" priority="16588" operator="containsText" text="Yes">
      <formula>NOT(ISERROR(SEARCH(("Yes"),(Q878))))</formula>
    </cfRule>
  </conditionalFormatting>
  <conditionalFormatting sqref="Q878:Q879">
    <cfRule type="containsText" dxfId="9" priority="16589" operator="containsText" text="No">
      <formula>NOT(ISERROR(SEARCH(("No"),(Q878))))</formula>
    </cfRule>
  </conditionalFormatting>
  <conditionalFormatting sqref="Q878:Q879">
    <cfRule type="containsText" dxfId="2" priority="16590" operator="containsText" text="Yes">
      <formula>NOT(ISERROR(SEARCH(("Yes"),(Q878))))</formula>
    </cfRule>
  </conditionalFormatting>
  <conditionalFormatting sqref="Q878:Q879">
    <cfRule type="containsText" dxfId="9" priority="16591" operator="containsText" text="No">
      <formula>NOT(ISERROR(SEARCH(("No"),(Q878))))</formula>
    </cfRule>
  </conditionalFormatting>
  <conditionalFormatting sqref="Q878:Q879">
    <cfRule type="containsText" dxfId="2" priority="16592" operator="containsText" text="Yes">
      <formula>NOT(ISERROR(SEARCH(("Yes"),(Q878))))</formula>
    </cfRule>
  </conditionalFormatting>
  <conditionalFormatting sqref="Q878:Q879">
    <cfRule type="containsText" dxfId="9" priority="16593" operator="containsText" text="No">
      <formula>NOT(ISERROR(SEARCH(("No"),(Q878))))</formula>
    </cfRule>
  </conditionalFormatting>
  <conditionalFormatting sqref="Q878:Q879">
    <cfRule type="containsText" dxfId="2" priority="16594" operator="containsText" text="Yes">
      <formula>NOT(ISERROR(SEARCH(("Yes"),(Q878))))</formula>
    </cfRule>
  </conditionalFormatting>
  <conditionalFormatting sqref="Q878:Q879">
    <cfRule type="containsText" dxfId="9" priority="16595" operator="containsText" text="No">
      <formula>NOT(ISERROR(SEARCH(("No"),(Q878))))</formula>
    </cfRule>
  </conditionalFormatting>
  <conditionalFormatting sqref="Q878:Q879">
    <cfRule type="containsText" dxfId="2" priority="16596" operator="containsText" text="Yes">
      <formula>NOT(ISERROR(SEARCH(("Yes"),(Q878))))</formula>
    </cfRule>
  </conditionalFormatting>
  <conditionalFormatting sqref="Q878:Q879">
    <cfRule type="containsText" dxfId="9" priority="16597" operator="containsText" text="No">
      <formula>NOT(ISERROR(SEARCH(("No"),(Q878))))</formula>
    </cfRule>
  </conditionalFormatting>
  <conditionalFormatting sqref="Q878:Q879">
    <cfRule type="containsText" dxfId="2" priority="16598" operator="containsText" text="Yes">
      <formula>NOT(ISERROR(SEARCH(("Yes"),(Q878))))</formula>
    </cfRule>
  </conditionalFormatting>
  <conditionalFormatting sqref="Q878:Q879">
    <cfRule type="containsText" dxfId="9" priority="16599" operator="containsText" text="No">
      <formula>NOT(ISERROR(SEARCH(("No"),(Q878))))</formula>
    </cfRule>
  </conditionalFormatting>
  <conditionalFormatting sqref="Q878:Q879">
    <cfRule type="containsText" dxfId="2" priority="16600" operator="containsText" text="Yes">
      <formula>NOT(ISERROR(SEARCH(("Yes"),(Q878))))</formula>
    </cfRule>
  </conditionalFormatting>
  <conditionalFormatting sqref="Q878:Q879">
    <cfRule type="containsText" dxfId="9" priority="16601" operator="containsText" text="No">
      <formula>NOT(ISERROR(SEARCH(("No"),(Q878))))</formula>
    </cfRule>
  </conditionalFormatting>
  <conditionalFormatting sqref="Q878:Q879">
    <cfRule type="containsText" dxfId="2" priority="16602" operator="containsText" text="Yes">
      <formula>NOT(ISERROR(SEARCH(("Yes"),(Q878))))</formula>
    </cfRule>
  </conditionalFormatting>
  <conditionalFormatting sqref="Q878:Q879">
    <cfRule type="containsText" dxfId="9" priority="16603" operator="containsText" text="No">
      <formula>NOT(ISERROR(SEARCH(("No"),(Q878))))</formula>
    </cfRule>
  </conditionalFormatting>
  <conditionalFormatting sqref="Q878:Q879">
    <cfRule type="containsText" dxfId="2" priority="16604" operator="containsText" text="Yes">
      <formula>NOT(ISERROR(SEARCH(("Yes"),(Q878))))</formula>
    </cfRule>
  </conditionalFormatting>
  <conditionalFormatting sqref="Q878:Q879">
    <cfRule type="containsText" dxfId="9" priority="16605" operator="containsText" text="No">
      <formula>NOT(ISERROR(SEARCH(("No"),(Q878))))</formula>
    </cfRule>
  </conditionalFormatting>
  <conditionalFormatting sqref="Q878:Q879">
    <cfRule type="containsText" dxfId="2" priority="16606" operator="containsText" text="Yes">
      <formula>NOT(ISERROR(SEARCH(("Yes"),(Q878))))</formula>
    </cfRule>
  </conditionalFormatting>
  <conditionalFormatting sqref="Q878:Q879">
    <cfRule type="containsText" dxfId="9" priority="16607" operator="containsText" text="No">
      <formula>NOT(ISERROR(SEARCH(("No"),(Q878))))</formula>
    </cfRule>
  </conditionalFormatting>
  <conditionalFormatting sqref="Q878:Q879">
    <cfRule type="containsText" dxfId="2" priority="16608" operator="containsText" text="Yes">
      <formula>NOT(ISERROR(SEARCH(("Yes"),(Q878))))</formula>
    </cfRule>
  </conditionalFormatting>
  <conditionalFormatting sqref="Q878:Q879">
    <cfRule type="containsText" dxfId="9" priority="16609" operator="containsText" text="No">
      <formula>NOT(ISERROR(SEARCH(("No"),(Q878))))</formula>
    </cfRule>
  </conditionalFormatting>
  <conditionalFormatting sqref="Q878:Q879">
    <cfRule type="containsText" dxfId="2" priority="16610" operator="containsText" text="Yes">
      <formula>NOT(ISERROR(SEARCH(("Yes"),(Q878))))</formula>
    </cfRule>
  </conditionalFormatting>
  <conditionalFormatting sqref="Q878:Q879">
    <cfRule type="containsText" dxfId="9" priority="16611" operator="containsText" text="No">
      <formula>NOT(ISERROR(SEARCH(("No"),(Q878))))</formula>
    </cfRule>
  </conditionalFormatting>
  <conditionalFormatting sqref="Q878:Q879">
    <cfRule type="containsText" dxfId="2" priority="16612" operator="containsText" text="Yes">
      <formula>NOT(ISERROR(SEARCH(("Yes"),(Q878))))</formula>
    </cfRule>
  </conditionalFormatting>
  <conditionalFormatting sqref="Q878:Q879">
    <cfRule type="containsText" dxfId="9" priority="16613" operator="containsText" text="No">
      <formula>NOT(ISERROR(SEARCH(("No"),(Q878))))</formula>
    </cfRule>
  </conditionalFormatting>
  <conditionalFormatting sqref="Q878:Q879">
    <cfRule type="containsText" dxfId="2" priority="16614" operator="containsText" text="Yes">
      <formula>NOT(ISERROR(SEARCH(("Yes"),(Q878))))</formula>
    </cfRule>
  </conditionalFormatting>
  <conditionalFormatting sqref="Q878:Q879">
    <cfRule type="containsText" dxfId="9" priority="16615" operator="containsText" text="No">
      <formula>NOT(ISERROR(SEARCH(("No"),(Q878))))</formula>
    </cfRule>
  </conditionalFormatting>
  <conditionalFormatting sqref="Q878:Q879">
    <cfRule type="containsText" dxfId="2" priority="16616" operator="containsText" text="Yes">
      <formula>NOT(ISERROR(SEARCH(("Yes"),(Q878))))</formula>
    </cfRule>
  </conditionalFormatting>
  <conditionalFormatting sqref="Q878:Q879">
    <cfRule type="containsText" dxfId="9" priority="16617" operator="containsText" text="No">
      <formula>NOT(ISERROR(SEARCH(("No"),(Q878))))</formula>
    </cfRule>
  </conditionalFormatting>
  <conditionalFormatting sqref="Q878:Q879">
    <cfRule type="containsText" dxfId="2" priority="16618" operator="containsText" text="Yes">
      <formula>NOT(ISERROR(SEARCH(("Yes"),(Q878))))</formula>
    </cfRule>
  </conditionalFormatting>
  <conditionalFormatting sqref="Q878:Q879">
    <cfRule type="containsText" dxfId="9" priority="16619" operator="containsText" text="No">
      <formula>NOT(ISERROR(SEARCH(("No"),(Q878))))</formula>
    </cfRule>
  </conditionalFormatting>
  <conditionalFormatting sqref="Q878:Q879">
    <cfRule type="containsText" dxfId="2" priority="16620" operator="containsText" text="Yes">
      <formula>NOT(ISERROR(SEARCH(("Yes"),(Q878))))</formula>
    </cfRule>
  </conditionalFormatting>
  <conditionalFormatting sqref="Q878:Q879">
    <cfRule type="containsText" dxfId="2" priority="16621" operator="containsText" text="Yes">
      <formula>NOT(ISERROR(SEARCH(("Yes"),(Q878))))</formula>
    </cfRule>
  </conditionalFormatting>
  <conditionalFormatting sqref="Q878:Q879">
    <cfRule type="containsText" dxfId="9" priority="16622" operator="containsText" text="No">
      <formula>NOT(ISERROR(SEARCH(("No"),(Q878))))</formula>
    </cfRule>
  </conditionalFormatting>
  <conditionalFormatting sqref="Q878:Q879">
    <cfRule type="containsText" dxfId="2" priority="16623" operator="containsText" text="Yes">
      <formula>NOT(ISERROR(SEARCH(("Yes"),(Q878))))</formula>
    </cfRule>
  </conditionalFormatting>
  <conditionalFormatting sqref="Q881:Q882">
    <cfRule type="containsText" dxfId="2" priority="16624" operator="containsText" text="Yes">
      <formula>NOT(ISERROR(SEARCH(("Yes"),(Q881))))</formula>
    </cfRule>
  </conditionalFormatting>
  <conditionalFormatting sqref="Q881:Q882">
    <cfRule type="containsText" dxfId="9" priority="16625" operator="containsText" text="No">
      <formula>NOT(ISERROR(SEARCH(("No"),(Q881))))</formula>
    </cfRule>
  </conditionalFormatting>
  <conditionalFormatting sqref="Q881:Q882">
    <cfRule type="containsText" dxfId="2" priority="16626" operator="containsText" text="Yes">
      <formula>NOT(ISERROR(SEARCH(("Yes"),(Q881))))</formula>
    </cfRule>
  </conditionalFormatting>
  <conditionalFormatting sqref="Q881:Q882">
    <cfRule type="containsText" dxfId="9" priority="16627" operator="containsText" text="No">
      <formula>NOT(ISERROR(SEARCH(("No"),(Q881))))</formula>
    </cfRule>
  </conditionalFormatting>
  <conditionalFormatting sqref="Q881:Q882">
    <cfRule type="containsText" dxfId="2" priority="16628" operator="containsText" text="Yes">
      <formula>NOT(ISERROR(SEARCH(("Yes"),(Q881))))</formula>
    </cfRule>
  </conditionalFormatting>
  <conditionalFormatting sqref="Q881:Q882">
    <cfRule type="containsText" dxfId="9" priority="16629" operator="containsText" text="No">
      <formula>NOT(ISERROR(SEARCH(("No"),(Q881))))</formula>
    </cfRule>
  </conditionalFormatting>
  <conditionalFormatting sqref="Q881:Q882">
    <cfRule type="containsText" dxfId="2" priority="16630" operator="containsText" text="Yes">
      <formula>NOT(ISERROR(SEARCH(("Yes"),(Q881))))</formula>
    </cfRule>
  </conditionalFormatting>
  <conditionalFormatting sqref="Q881:Q882">
    <cfRule type="containsText" dxfId="9" priority="16631" operator="containsText" text="No">
      <formula>NOT(ISERROR(SEARCH(("No"),(Q881))))</formula>
    </cfRule>
  </conditionalFormatting>
  <conditionalFormatting sqref="Q881:Q882">
    <cfRule type="containsText" dxfId="2" priority="16632" operator="containsText" text="Yes">
      <formula>NOT(ISERROR(SEARCH(("Yes"),(Q881))))</formula>
    </cfRule>
  </conditionalFormatting>
  <conditionalFormatting sqref="Q881:Q882">
    <cfRule type="containsText" dxfId="9" priority="16633" operator="containsText" text="No">
      <formula>NOT(ISERROR(SEARCH(("No"),(Q881))))</formula>
    </cfRule>
  </conditionalFormatting>
  <conditionalFormatting sqref="Q881:Q882">
    <cfRule type="containsText" dxfId="2" priority="16634" operator="containsText" text="Yes">
      <formula>NOT(ISERROR(SEARCH(("Yes"),(Q881))))</formula>
    </cfRule>
  </conditionalFormatting>
  <conditionalFormatting sqref="Q881:Q882">
    <cfRule type="containsText" dxfId="9" priority="16635" operator="containsText" text="No">
      <formula>NOT(ISERROR(SEARCH(("No"),(Q881))))</formula>
    </cfRule>
  </conditionalFormatting>
  <conditionalFormatting sqref="Q881:Q882">
    <cfRule type="containsText" dxfId="2" priority="16636" operator="containsText" text="Yes">
      <formula>NOT(ISERROR(SEARCH(("Yes"),(Q881))))</formula>
    </cfRule>
  </conditionalFormatting>
  <conditionalFormatting sqref="Q881:Q882">
    <cfRule type="containsText" dxfId="9" priority="16637" operator="containsText" text="No">
      <formula>NOT(ISERROR(SEARCH(("No"),(Q881))))</formula>
    </cfRule>
  </conditionalFormatting>
  <conditionalFormatting sqref="Q881:Q882">
    <cfRule type="containsText" dxfId="2" priority="16638" operator="containsText" text="Yes">
      <formula>NOT(ISERROR(SEARCH(("Yes"),(Q881))))</formula>
    </cfRule>
  </conditionalFormatting>
  <conditionalFormatting sqref="Q881:Q882">
    <cfRule type="containsText" dxfId="9" priority="16639" operator="containsText" text="No">
      <formula>NOT(ISERROR(SEARCH(("No"),(Q881))))</formula>
    </cfRule>
  </conditionalFormatting>
  <conditionalFormatting sqref="Q881:Q882">
    <cfRule type="containsText" dxfId="2" priority="16640" operator="containsText" text="Yes">
      <formula>NOT(ISERROR(SEARCH(("Yes"),(Q881))))</formula>
    </cfRule>
  </conditionalFormatting>
  <conditionalFormatting sqref="Q881:Q882">
    <cfRule type="containsText" dxfId="9" priority="16641" operator="containsText" text="No">
      <formula>NOT(ISERROR(SEARCH(("No"),(Q881))))</formula>
    </cfRule>
  </conditionalFormatting>
  <conditionalFormatting sqref="Q881:Q882">
    <cfRule type="containsText" dxfId="2" priority="16642" operator="containsText" text="Yes">
      <formula>NOT(ISERROR(SEARCH(("Yes"),(Q881))))</formula>
    </cfRule>
  </conditionalFormatting>
  <conditionalFormatting sqref="Q881:Q882">
    <cfRule type="containsText" dxfId="9" priority="16643" operator="containsText" text="No">
      <formula>NOT(ISERROR(SEARCH(("No"),(Q881))))</formula>
    </cfRule>
  </conditionalFormatting>
  <conditionalFormatting sqref="Q881:Q882">
    <cfRule type="containsText" dxfId="2" priority="16644" operator="containsText" text="Yes">
      <formula>NOT(ISERROR(SEARCH(("Yes"),(Q881))))</formula>
    </cfRule>
  </conditionalFormatting>
  <conditionalFormatting sqref="Q881:Q882">
    <cfRule type="containsText" dxfId="9" priority="16645" operator="containsText" text="No">
      <formula>NOT(ISERROR(SEARCH(("No"),(Q881))))</formula>
    </cfRule>
  </conditionalFormatting>
  <conditionalFormatting sqref="Q881:Q882">
    <cfRule type="containsText" dxfId="2" priority="16646" operator="containsText" text="Yes">
      <formula>NOT(ISERROR(SEARCH(("Yes"),(Q881))))</formula>
    </cfRule>
  </conditionalFormatting>
  <conditionalFormatting sqref="Q881:Q882">
    <cfRule type="containsText" dxfId="9" priority="16647" operator="containsText" text="No">
      <formula>NOT(ISERROR(SEARCH(("No"),(Q881))))</formula>
    </cfRule>
  </conditionalFormatting>
  <conditionalFormatting sqref="Q881:Q882">
    <cfRule type="containsText" dxfId="2" priority="16648" operator="containsText" text="Yes">
      <formula>NOT(ISERROR(SEARCH(("Yes"),(Q881))))</formula>
    </cfRule>
  </conditionalFormatting>
  <conditionalFormatting sqref="Q881:Q882">
    <cfRule type="containsText" dxfId="9" priority="16649" operator="containsText" text="No">
      <formula>NOT(ISERROR(SEARCH(("No"),(Q881))))</formula>
    </cfRule>
  </conditionalFormatting>
  <conditionalFormatting sqref="Q881:Q882">
    <cfRule type="containsText" dxfId="2" priority="16650" operator="containsText" text="Yes">
      <formula>NOT(ISERROR(SEARCH(("Yes"),(Q881))))</formula>
    </cfRule>
  </conditionalFormatting>
  <conditionalFormatting sqref="Q881:Q882">
    <cfRule type="containsText" dxfId="9" priority="16651" operator="containsText" text="No">
      <formula>NOT(ISERROR(SEARCH(("No"),(Q881))))</formula>
    </cfRule>
  </conditionalFormatting>
  <conditionalFormatting sqref="Q881:Q882">
    <cfRule type="containsText" dxfId="2" priority="16652" operator="containsText" text="Yes">
      <formula>NOT(ISERROR(SEARCH(("Yes"),(Q881))))</formula>
    </cfRule>
  </conditionalFormatting>
  <conditionalFormatting sqref="Q881:Q882">
    <cfRule type="containsText" dxfId="9" priority="16653" operator="containsText" text="No">
      <formula>NOT(ISERROR(SEARCH(("No"),(Q881))))</formula>
    </cfRule>
  </conditionalFormatting>
  <conditionalFormatting sqref="Q881:Q882">
    <cfRule type="containsText" dxfId="2" priority="16654" operator="containsText" text="Yes">
      <formula>NOT(ISERROR(SEARCH(("Yes"),(Q881))))</formula>
    </cfRule>
  </conditionalFormatting>
  <conditionalFormatting sqref="Q881:Q882">
    <cfRule type="containsText" dxfId="9" priority="16655" operator="containsText" text="No">
      <formula>NOT(ISERROR(SEARCH(("No"),(Q881))))</formula>
    </cfRule>
  </conditionalFormatting>
  <conditionalFormatting sqref="Q881:Q882">
    <cfRule type="containsText" dxfId="2" priority="16656" operator="containsText" text="Yes">
      <formula>NOT(ISERROR(SEARCH(("Yes"),(Q881))))</formula>
    </cfRule>
  </conditionalFormatting>
  <conditionalFormatting sqref="Q881:Q882">
    <cfRule type="containsText" dxfId="9" priority="16657" operator="containsText" text="No">
      <formula>NOT(ISERROR(SEARCH(("No"),(Q881))))</formula>
    </cfRule>
  </conditionalFormatting>
  <conditionalFormatting sqref="Q881:Q882">
    <cfRule type="containsText" dxfId="2" priority="16658" operator="containsText" text="Yes">
      <formula>NOT(ISERROR(SEARCH(("Yes"),(Q881))))</formula>
    </cfRule>
  </conditionalFormatting>
  <conditionalFormatting sqref="Q881:Q882">
    <cfRule type="containsText" dxfId="9" priority="16659" operator="containsText" text="No">
      <formula>NOT(ISERROR(SEARCH(("No"),(Q881))))</formula>
    </cfRule>
  </conditionalFormatting>
  <conditionalFormatting sqref="Q881:Q882">
    <cfRule type="containsText" dxfId="2" priority="16660" operator="containsText" text="Yes">
      <formula>NOT(ISERROR(SEARCH(("Yes"),(Q881))))</formula>
    </cfRule>
  </conditionalFormatting>
  <conditionalFormatting sqref="Q881:Q882">
    <cfRule type="containsText" dxfId="9" priority="16661" operator="containsText" text="No">
      <formula>NOT(ISERROR(SEARCH(("No"),(Q881))))</formula>
    </cfRule>
  </conditionalFormatting>
  <conditionalFormatting sqref="Q881:Q882">
    <cfRule type="containsText" dxfId="2" priority="16662" operator="containsText" text="Yes">
      <formula>NOT(ISERROR(SEARCH(("Yes"),(Q881))))</formula>
    </cfRule>
  </conditionalFormatting>
  <conditionalFormatting sqref="Q881:Q882">
    <cfRule type="containsText" dxfId="9" priority="16663" operator="containsText" text="No">
      <formula>NOT(ISERROR(SEARCH(("No"),(Q881))))</formula>
    </cfRule>
  </conditionalFormatting>
  <conditionalFormatting sqref="Q881:Q882">
    <cfRule type="containsText" dxfId="2" priority="16664" operator="containsText" text="Yes">
      <formula>NOT(ISERROR(SEARCH(("Yes"),(Q881))))</formula>
    </cfRule>
  </conditionalFormatting>
  <conditionalFormatting sqref="Q881:Q882">
    <cfRule type="containsText" dxfId="9" priority="16665" operator="containsText" text="No">
      <formula>NOT(ISERROR(SEARCH(("No"),(Q881))))</formula>
    </cfRule>
  </conditionalFormatting>
  <conditionalFormatting sqref="Q881:Q882">
    <cfRule type="containsText" dxfId="2" priority="16666" operator="containsText" text="Yes">
      <formula>NOT(ISERROR(SEARCH(("Yes"),(Q881))))</formula>
    </cfRule>
  </conditionalFormatting>
  <conditionalFormatting sqref="Q881:Q882">
    <cfRule type="containsText" dxfId="9" priority="16667" operator="containsText" text="No">
      <formula>NOT(ISERROR(SEARCH(("No"),(Q881))))</formula>
    </cfRule>
  </conditionalFormatting>
  <conditionalFormatting sqref="Q881:Q882">
    <cfRule type="containsText" dxfId="2" priority="16668" operator="containsText" text="Yes">
      <formula>NOT(ISERROR(SEARCH(("Yes"),(Q881))))</formula>
    </cfRule>
  </conditionalFormatting>
  <conditionalFormatting sqref="Q881:Q882">
    <cfRule type="containsText" dxfId="9" priority="16669" operator="containsText" text="No">
      <formula>NOT(ISERROR(SEARCH(("No"),(Q881))))</formula>
    </cfRule>
  </conditionalFormatting>
  <conditionalFormatting sqref="Q881:Q882">
    <cfRule type="containsText" dxfId="2" priority="16670" operator="containsText" text="Yes">
      <formula>NOT(ISERROR(SEARCH(("Yes"),(Q881))))</formula>
    </cfRule>
  </conditionalFormatting>
  <conditionalFormatting sqref="Q881:Q882">
    <cfRule type="containsText" dxfId="9" priority="16671" operator="containsText" text="No">
      <formula>NOT(ISERROR(SEARCH(("No"),(Q881))))</formula>
    </cfRule>
  </conditionalFormatting>
  <conditionalFormatting sqref="Q881:Q882">
    <cfRule type="containsText" dxfId="2" priority="16672" operator="containsText" text="Yes">
      <formula>NOT(ISERROR(SEARCH(("Yes"),(Q881))))</formula>
    </cfRule>
  </conditionalFormatting>
  <conditionalFormatting sqref="Q881:Q882">
    <cfRule type="containsText" dxfId="9" priority="16673" operator="containsText" text="No">
      <formula>NOT(ISERROR(SEARCH(("No"),(Q881))))</formula>
    </cfRule>
  </conditionalFormatting>
  <conditionalFormatting sqref="Q881:Q882">
    <cfRule type="containsText" dxfId="2" priority="16674" operator="containsText" text="Yes">
      <formula>NOT(ISERROR(SEARCH(("Yes"),(Q881))))</formula>
    </cfRule>
  </conditionalFormatting>
  <conditionalFormatting sqref="Q881:Q882">
    <cfRule type="containsText" dxfId="9" priority="16675" operator="containsText" text="No">
      <formula>NOT(ISERROR(SEARCH(("No"),(Q881))))</formula>
    </cfRule>
  </conditionalFormatting>
  <conditionalFormatting sqref="Q881:Q882">
    <cfRule type="containsText" dxfId="2" priority="16676" operator="containsText" text="Yes">
      <formula>NOT(ISERROR(SEARCH(("Yes"),(Q881))))</formula>
    </cfRule>
  </conditionalFormatting>
  <conditionalFormatting sqref="Q881:Q882">
    <cfRule type="containsText" dxfId="9" priority="16677" operator="containsText" text="No">
      <formula>NOT(ISERROR(SEARCH(("No"),(Q881))))</formula>
    </cfRule>
  </conditionalFormatting>
  <conditionalFormatting sqref="Q881:Q882">
    <cfRule type="containsText" dxfId="2" priority="16678" operator="containsText" text="Yes">
      <formula>NOT(ISERROR(SEARCH(("Yes"),(Q881))))</formula>
    </cfRule>
  </conditionalFormatting>
  <conditionalFormatting sqref="Q881:Q882">
    <cfRule type="containsText" dxfId="9" priority="16679" operator="containsText" text="No">
      <formula>NOT(ISERROR(SEARCH(("No"),(Q881))))</formula>
    </cfRule>
  </conditionalFormatting>
  <conditionalFormatting sqref="Q881:Q882">
    <cfRule type="containsText" dxfId="2" priority="16680" operator="containsText" text="Yes">
      <formula>NOT(ISERROR(SEARCH(("Yes"),(Q881))))</formula>
    </cfRule>
  </conditionalFormatting>
  <conditionalFormatting sqref="Q881:Q882">
    <cfRule type="containsText" dxfId="9" priority="16681" operator="containsText" text="No">
      <formula>NOT(ISERROR(SEARCH(("No"),(Q881))))</formula>
    </cfRule>
  </conditionalFormatting>
  <conditionalFormatting sqref="Q881:Q882">
    <cfRule type="containsText" dxfId="2" priority="16682" operator="containsText" text="Yes">
      <formula>NOT(ISERROR(SEARCH(("Yes"),(Q881))))</formula>
    </cfRule>
  </conditionalFormatting>
  <conditionalFormatting sqref="Q881:Q882">
    <cfRule type="containsText" dxfId="9" priority="16683" operator="containsText" text="No">
      <formula>NOT(ISERROR(SEARCH(("No"),(Q881))))</formula>
    </cfRule>
  </conditionalFormatting>
  <conditionalFormatting sqref="Q881:Q882">
    <cfRule type="containsText" dxfId="2" priority="16684" operator="containsText" text="Yes">
      <formula>NOT(ISERROR(SEARCH(("Yes"),(Q881))))</formula>
    </cfRule>
  </conditionalFormatting>
  <conditionalFormatting sqref="Q881:Q882">
    <cfRule type="containsText" dxfId="9" priority="16685" operator="containsText" text="No">
      <formula>NOT(ISERROR(SEARCH(("No"),(Q881))))</formula>
    </cfRule>
  </conditionalFormatting>
  <conditionalFormatting sqref="Q881:Q882">
    <cfRule type="containsText" dxfId="2" priority="16686" operator="containsText" text="Yes">
      <formula>NOT(ISERROR(SEARCH(("Yes"),(Q881))))</formula>
    </cfRule>
  </conditionalFormatting>
  <conditionalFormatting sqref="Q881:Q882">
    <cfRule type="containsText" dxfId="9" priority="16687" operator="containsText" text="No">
      <formula>NOT(ISERROR(SEARCH(("No"),(Q881))))</formula>
    </cfRule>
  </conditionalFormatting>
  <conditionalFormatting sqref="Q881:Q882">
    <cfRule type="containsText" dxfId="2" priority="16688" operator="containsText" text="Yes">
      <formula>NOT(ISERROR(SEARCH(("Yes"),(Q881))))</formula>
    </cfRule>
  </conditionalFormatting>
  <conditionalFormatting sqref="Q881:Q882">
    <cfRule type="containsText" dxfId="9" priority="16689" operator="containsText" text="No">
      <formula>NOT(ISERROR(SEARCH(("No"),(Q881))))</formula>
    </cfRule>
  </conditionalFormatting>
  <conditionalFormatting sqref="Q881:Q882">
    <cfRule type="containsText" dxfId="2" priority="16690" operator="containsText" text="Yes">
      <formula>NOT(ISERROR(SEARCH(("Yes"),(Q881))))</formula>
    </cfRule>
  </conditionalFormatting>
  <conditionalFormatting sqref="Q881:Q882">
    <cfRule type="containsText" dxfId="9" priority="16691" operator="containsText" text="No">
      <formula>NOT(ISERROR(SEARCH(("No"),(Q881))))</formula>
    </cfRule>
  </conditionalFormatting>
  <conditionalFormatting sqref="Q881:Q882">
    <cfRule type="containsText" dxfId="2" priority="16692" operator="containsText" text="Yes">
      <formula>NOT(ISERROR(SEARCH(("Yes"),(Q881))))</formula>
    </cfRule>
  </conditionalFormatting>
  <conditionalFormatting sqref="Q881:Q882">
    <cfRule type="containsText" dxfId="9" priority="16693" operator="containsText" text="No">
      <formula>NOT(ISERROR(SEARCH(("No"),(Q881))))</formula>
    </cfRule>
  </conditionalFormatting>
  <conditionalFormatting sqref="Q881:Q882">
    <cfRule type="containsText" dxfId="2" priority="16694" operator="containsText" text="Yes">
      <formula>NOT(ISERROR(SEARCH(("Yes"),(Q881))))</formula>
    </cfRule>
  </conditionalFormatting>
  <conditionalFormatting sqref="Q881:Q882">
    <cfRule type="containsText" dxfId="9" priority="16695" operator="containsText" text="No">
      <formula>NOT(ISERROR(SEARCH(("No"),(Q881))))</formula>
    </cfRule>
  </conditionalFormatting>
  <conditionalFormatting sqref="Q881:Q882">
    <cfRule type="containsText" dxfId="2" priority="16696" operator="containsText" text="Yes">
      <formula>NOT(ISERROR(SEARCH(("Yes"),(Q881))))</formula>
    </cfRule>
  </conditionalFormatting>
  <conditionalFormatting sqref="Q881:Q882">
    <cfRule type="containsText" dxfId="9" priority="16697" operator="containsText" text="No">
      <formula>NOT(ISERROR(SEARCH(("No"),(Q881))))</formula>
    </cfRule>
  </conditionalFormatting>
  <conditionalFormatting sqref="Q881:Q882">
    <cfRule type="containsText" dxfId="2" priority="16698" operator="containsText" text="Yes">
      <formula>NOT(ISERROR(SEARCH(("Yes"),(Q881))))</formula>
    </cfRule>
  </conditionalFormatting>
  <conditionalFormatting sqref="Q881:Q882">
    <cfRule type="containsText" dxfId="9" priority="16699" operator="containsText" text="No">
      <formula>NOT(ISERROR(SEARCH(("No"),(Q881))))</formula>
    </cfRule>
  </conditionalFormatting>
  <conditionalFormatting sqref="Q881:Q882">
    <cfRule type="containsText" dxfId="2" priority="16700" operator="containsText" text="Yes">
      <formula>NOT(ISERROR(SEARCH(("Yes"),(Q881))))</formula>
    </cfRule>
  </conditionalFormatting>
  <conditionalFormatting sqref="Q881:Q882">
    <cfRule type="containsText" dxfId="9" priority="16701" operator="containsText" text="No">
      <formula>NOT(ISERROR(SEARCH(("No"),(Q881))))</formula>
    </cfRule>
  </conditionalFormatting>
  <conditionalFormatting sqref="Q881:Q882">
    <cfRule type="containsText" dxfId="2" priority="16702" operator="containsText" text="Yes">
      <formula>NOT(ISERROR(SEARCH(("Yes"),(Q881))))</formula>
    </cfRule>
  </conditionalFormatting>
  <conditionalFormatting sqref="Q881:Q882">
    <cfRule type="containsText" dxfId="9" priority="16703" operator="containsText" text="No">
      <formula>NOT(ISERROR(SEARCH(("No"),(Q881))))</formula>
    </cfRule>
  </conditionalFormatting>
  <conditionalFormatting sqref="Q881:Q882">
    <cfRule type="containsText" dxfId="2" priority="16704" operator="containsText" text="Yes">
      <formula>NOT(ISERROR(SEARCH(("Yes"),(Q881))))</formula>
    </cfRule>
  </conditionalFormatting>
  <conditionalFormatting sqref="Q881:Q882">
    <cfRule type="containsText" dxfId="9" priority="16705" operator="containsText" text="No">
      <formula>NOT(ISERROR(SEARCH(("No"),(Q881))))</formula>
    </cfRule>
  </conditionalFormatting>
  <conditionalFormatting sqref="Q881:Q882">
    <cfRule type="containsText" dxfId="2" priority="16706" operator="containsText" text="Yes">
      <formula>NOT(ISERROR(SEARCH(("Yes"),(Q881))))</formula>
    </cfRule>
  </conditionalFormatting>
  <conditionalFormatting sqref="Q881:Q882">
    <cfRule type="containsText" dxfId="9" priority="16707" operator="containsText" text="No">
      <formula>NOT(ISERROR(SEARCH(("No"),(Q881))))</formula>
    </cfRule>
  </conditionalFormatting>
  <conditionalFormatting sqref="Q881:Q882">
    <cfRule type="containsText" dxfId="2" priority="16708" operator="containsText" text="Yes">
      <formula>NOT(ISERROR(SEARCH(("Yes"),(Q881))))</formula>
    </cfRule>
  </conditionalFormatting>
  <conditionalFormatting sqref="Q881:Q882">
    <cfRule type="containsText" dxfId="9" priority="16709" operator="containsText" text="No">
      <formula>NOT(ISERROR(SEARCH(("No"),(Q881))))</formula>
    </cfRule>
  </conditionalFormatting>
  <conditionalFormatting sqref="Q881:Q882">
    <cfRule type="containsText" dxfId="2" priority="16710" operator="containsText" text="Yes">
      <formula>NOT(ISERROR(SEARCH(("Yes"),(Q881))))</formula>
    </cfRule>
  </conditionalFormatting>
  <conditionalFormatting sqref="Q881:Q882">
    <cfRule type="containsText" dxfId="9" priority="16711" operator="containsText" text="No">
      <formula>NOT(ISERROR(SEARCH(("No"),(Q881))))</formula>
    </cfRule>
  </conditionalFormatting>
  <conditionalFormatting sqref="Q881:Q882">
    <cfRule type="containsText" dxfId="2" priority="16712" operator="containsText" text="Yes">
      <formula>NOT(ISERROR(SEARCH(("Yes"),(Q881))))</formula>
    </cfRule>
  </conditionalFormatting>
  <conditionalFormatting sqref="Q881:Q882">
    <cfRule type="containsText" dxfId="2" priority="16713" operator="containsText" text="Yes">
      <formula>NOT(ISERROR(SEARCH(("Yes"),(Q881))))</formula>
    </cfRule>
  </conditionalFormatting>
  <conditionalFormatting sqref="Q881:Q882">
    <cfRule type="containsText" dxfId="9" priority="16714" operator="containsText" text="No">
      <formula>NOT(ISERROR(SEARCH(("No"),(Q881))))</formula>
    </cfRule>
  </conditionalFormatting>
  <conditionalFormatting sqref="Q881:Q882">
    <cfRule type="containsText" dxfId="2" priority="16715" operator="containsText" text="Yes">
      <formula>NOT(ISERROR(SEARCH(("Yes"),(Q881))))</formula>
    </cfRule>
  </conditionalFormatting>
  <conditionalFormatting sqref="Q884:Q900">
    <cfRule type="containsText" dxfId="2" priority="16716" operator="containsText" text="Yes">
      <formula>NOT(ISERROR(SEARCH(("Yes"),(Q884))))</formula>
    </cfRule>
  </conditionalFormatting>
  <conditionalFormatting sqref="Q884:Q900">
    <cfRule type="containsText" dxfId="9" priority="16717" operator="containsText" text="No">
      <formula>NOT(ISERROR(SEARCH(("No"),(Q884))))</formula>
    </cfRule>
  </conditionalFormatting>
  <conditionalFormatting sqref="Q884:Q900">
    <cfRule type="containsText" dxfId="2" priority="16718" operator="containsText" text="Yes">
      <formula>NOT(ISERROR(SEARCH(("Yes"),(Q884))))</formula>
    </cfRule>
  </conditionalFormatting>
  <conditionalFormatting sqref="Q884:Q900">
    <cfRule type="containsText" dxfId="9" priority="16719" operator="containsText" text="No">
      <formula>NOT(ISERROR(SEARCH(("No"),(Q884))))</formula>
    </cfRule>
  </conditionalFormatting>
  <conditionalFormatting sqref="Q884:Q900">
    <cfRule type="containsText" dxfId="2" priority="16720" operator="containsText" text="Yes">
      <formula>NOT(ISERROR(SEARCH(("Yes"),(Q884))))</formula>
    </cfRule>
  </conditionalFormatting>
  <conditionalFormatting sqref="Q884:Q900">
    <cfRule type="containsText" dxfId="9" priority="16721" operator="containsText" text="No">
      <formula>NOT(ISERROR(SEARCH(("No"),(Q884))))</formula>
    </cfRule>
  </conditionalFormatting>
  <conditionalFormatting sqref="Q884:Q900">
    <cfRule type="containsText" dxfId="2" priority="16722" operator="containsText" text="Yes">
      <formula>NOT(ISERROR(SEARCH(("Yes"),(Q884))))</formula>
    </cfRule>
  </conditionalFormatting>
  <conditionalFormatting sqref="Q884:Q900">
    <cfRule type="containsText" dxfId="9" priority="16723" operator="containsText" text="No">
      <formula>NOT(ISERROR(SEARCH(("No"),(Q884))))</formula>
    </cfRule>
  </conditionalFormatting>
  <conditionalFormatting sqref="Q884:Q900">
    <cfRule type="containsText" dxfId="2" priority="16724" operator="containsText" text="Yes">
      <formula>NOT(ISERROR(SEARCH(("Yes"),(Q884))))</formula>
    </cfRule>
  </conditionalFormatting>
  <conditionalFormatting sqref="Q884:Q900">
    <cfRule type="containsText" dxfId="9" priority="16725" operator="containsText" text="No">
      <formula>NOT(ISERROR(SEARCH(("No"),(Q884))))</formula>
    </cfRule>
  </conditionalFormatting>
  <conditionalFormatting sqref="Q884:Q900">
    <cfRule type="containsText" dxfId="2" priority="16726" operator="containsText" text="Yes">
      <formula>NOT(ISERROR(SEARCH(("Yes"),(Q884))))</formula>
    </cfRule>
  </conditionalFormatting>
  <conditionalFormatting sqref="Q884:Q900">
    <cfRule type="containsText" dxfId="9" priority="16727" operator="containsText" text="No">
      <formula>NOT(ISERROR(SEARCH(("No"),(Q884))))</formula>
    </cfRule>
  </conditionalFormatting>
  <conditionalFormatting sqref="Q884:Q900">
    <cfRule type="containsText" dxfId="2" priority="16728" operator="containsText" text="Yes">
      <formula>NOT(ISERROR(SEARCH(("Yes"),(Q884))))</formula>
    </cfRule>
  </conditionalFormatting>
  <conditionalFormatting sqref="Q884:Q900">
    <cfRule type="containsText" dxfId="9" priority="16729" operator="containsText" text="No">
      <formula>NOT(ISERROR(SEARCH(("No"),(Q884))))</formula>
    </cfRule>
  </conditionalFormatting>
  <conditionalFormatting sqref="Q884:Q900">
    <cfRule type="containsText" dxfId="2" priority="16730" operator="containsText" text="Yes">
      <formula>NOT(ISERROR(SEARCH(("Yes"),(Q884))))</formula>
    </cfRule>
  </conditionalFormatting>
  <conditionalFormatting sqref="Q884:Q900">
    <cfRule type="containsText" dxfId="9" priority="16731" operator="containsText" text="No">
      <formula>NOT(ISERROR(SEARCH(("No"),(Q884))))</formula>
    </cfRule>
  </conditionalFormatting>
  <conditionalFormatting sqref="Q884:Q900">
    <cfRule type="containsText" dxfId="2" priority="16732" operator="containsText" text="Yes">
      <formula>NOT(ISERROR(SEARCH(("Yes"),(Q884))))</formula>
    </cfRule>
  </conditionalFormatting>
  <conditionalFormatting sqref="Q884:Q900">
    <cfRule type="containsText" dxfId="9" priority="16733" operator="containsText" text="No">
      <formula>NOT(ISERROR(SEARCH(("No"),(Q884))))</formula>
    </cfRule>
  </conditionalFormatting>
  <conditionalFormatting sqref="Q884:Q900">
    <cfRule type="containsText" dxfId="2" priority="16734" operator="containsText" text="Yes">
      <formula>NOT(ISERROR(SEARCH(("Yes"),(Q884))))</formula>
    </cfRule>
  </conditionalFormatting>
  <conditionalFormatting sqref="Q884:Q900">
    <cfRule type="containsText" dxfId="9" priority="16735" operator="containsText" text="No">
      <formula>NOT(ISERROR(SEARCH(("No"),(Q884))))</formula>
    </cfRule>
  </conditionalFormatting>
  <conditionalFormatting sqref="Q884:Q900">
    <cfRule type="containsText" dxfId="2" priority="16736" operator="containsText" text="Yes">
      <formula>NOT(ISERROR(SEARCH(("Yes"),(Q884))))</formula>
    </cfRule>
  </conditionalFormatting>
  <conditionalFormatting sqref="Q884:Q900">
    <cfRule type="containsText" dxfId="9" priority="16737" operator="containsText" text="No">
      <formula>NOT(ISERROR(SEARCH(("No"),(Q884))))</formula>
    </cfRule>
  </conditionalFormatting>
  <conditionalFormatting sqref="Q884:Q900">
    <cfRule type="containsText" dxfId="2" priority="16738" operator="containsText" text="Yes">
      <formula>NOT(ISERROR(SEARCH(("Yes"),(Q884))))</formula>
    </cfRule>
  </conditionalFormatting>
  <conditionalFormatting sqref="Q884:Q900">
    <cfRule type="containsText" dxfId="9" priority="16739" operator="containsText" text="No">
      <formula>NOT(ISERROR(SEARCH(("No"),(Q884))))</formula>
    </cfRule>
  </conditionalFormatting>
  <conditionalFormatting sqref="Q884:Q900">
    <cfRule type="containsText" dxfId="2" priority="16740" operator="containsText" text="Yes">
      <formula>NOT(ISERROR(SEARCH(("Yes"),(Q884))))</formula>
    </cfRule>
  </conditionalFormatting>
  <conditionalFormatting sqref="Q884:Q900">
    <cfRule type="containsText" dxfId="9" priority="16741" operator="containsText" text="No">
      <formula>NOT(ISERROR(SEARCH(("No"),(Q884))))</formula>
    </cfRule>
  </conditionalFormatting>
  <conditionalFormatting sqref="Q884:Q900">
    <cfRule type="containsText" dxfId="2" priority="16742" operator="containsText" text="Yes">
      <formula>NOT(ISERROR(SEARCH(("Yes"),(Q884))))</formula>
    </cfRule>
  </conditionalFormatting>
  <conditionalFormatting sqref="Q884:Q900">
    <cfRule type="containsText" dxfId="9" priority="16743" operator="containsText" text="No">
      <formula>NOT(ISERROR(SEARCH(("No"),(Q884))))</formula>
    </cfRule>
  </conditionalFormatting>
  <conditionalFormatting sqref="Q884:Q900">
    <cfRule type="containsText" dxfId="2" priority="16744" operator="containsText" text="Yes">
      <formula>NOT(ISERROR(SEARCH(("Yes"),(Q884))))</formula>
    </cfRule>
  </conditionalFormatting>
  <conditionalFormatting sqref="Q884:Q900">
    <cfRule type="containsText" dxfId="9" priority="16745" operator="containsText" text="No">
      <formula>NOT(ISERROR(SEARCH(("No"),(Q884))))</formula>
    </cfRule>
  </conditionalFormatting>
  <conditionalFormatting sqref="Q884:Q900">
    <cfRule type="containsText" dxfId="2" priority="16746" operator="containsText" text="Yes">
      <formula>NOT(ISERROR(SEARCH(("Yes"),(Q884))))</formula>
    </cfRule>
  </conditionalFormatting>
  <conditionalFormatting sqref="Q884:Q900">
    <cfRule type="containsText" dxfId="9" priority="16747" operator="containsText" text="No">
      <formula>NOT(ISERROR(SEARCH(("No"),(Q884))))</formula>
    </cfRule>
  </conditionalFormatting>
  <conditionalFormatting sqref="Q884:Q900">
    <cfRule type="containsText" dxfId="2" priority="16748" operator="containsText" text="Yes">
      <formula>NOT(ISERROR(SEARCH(("Yes"),(Q884))))</formula>
    </cfRule>
  </conditionalFormatting>
  <conditionalFormatting sqref="Q884:Q900">
    <cfRule type="containsText" dxfId="9" priority="16749" operator="containsText" text="No">
      <formula>NOT(ISERROR(SEARCH(("No"),(Q884))))</formula>
    </cfRule>
  </conditionalFormatting>
  <conditionalFormatting sqref="Q884:Q900">
    <cfRule type="containsText" dxfId="2" priority="16750" operator="containsText" text="Yes">
      <formula>NOT(ISERROR(SEARCH(("Yes"),(Q884))))</formula>
    </cfRule>
  </conditionalFormatting>
  <conditionalFormatting sqref="Q884:Q900">
    <cfRule type="containsText" dxfId="9" priority="16751" operator="containsText" text="No">
      <formula>NOT(ISERROR(SEARCH(("No"),(Q884))))</formula>
    </cfRule>
  </conditionalFormatting>
  <conditionalFormatting sqref="Q884:Q900">
    <cfRule type="containsText" dxfId="2" priority="16752" operator="containsText" text="Yes">
      <formula>NOT(ISERROR(SEARCH(("Yes"),(Q884))))</formula>
    </cfRule>
  </conditionalFormatting>
  <conditionalFormatting sqref="Q884:Q900">
    <cfRule type="containsText" dxfId="9" priority="16753" operator="containsText" text="No">
      <formula>NOT(ISERROR(SEARCH(("No"),(Q884))))</formula>
    </cfRule>
  </conditionalFormatting>
  <conditionalFormatting sqref="Q884:Q900">
    <cfRule type="containsText" dxfId="2" priority="16754" operator="containsText" text="Yes">
      <formula>NOT(ISERROR(SEARCH(("Yes"),(Q884))))</formula>
    </cfRule>
  </conditionalFormatting>
  <conditionalFormatting sqref="Q884:Q900">
    <cfRule type="containsText" dxfId="9" priority="16755" operator="containsText" text="No">
      <formula>NOT(ISERROR(SEARCH(("No"),(Q884))))</formula>
    </cfRule>
  </conditionalFormatting>
  <conditionalFormatting sqref="Q884:Q900">
    <cfRule type="containsText" dxfId="2" priority="16756" operator="containsText" text="Yes">
      <formula>NOT(ISERROR(SEARCH(("Yes"),(Q884))))</formula>
    </cfRule>
  </conditionalFormatting>
  <conditionalFormatting sqref="Q884:Q900">
    <cfRule type="containsText" dxfId="9" priority="16757" operator="containsText" text="No">
      <formula>NOT(ISERROR(SEARCH(("No"),(Q884))))</formula>
    </cfRule>
  </conditionalFormatting>
  <conditionalFormatting sqref="Q884:Q900">
    <cfRule type="containsText" dxfId="2" priority="16758" operator="containsText" text="Yes">
      <formula>NOT(ISERROR(SEARCH(("Yes"),(Q884))))</formula>
    </cfRule>
  </conditionalFormatting>
  <conditionalFormatting sqref="Q884:Q900">
    <cfRule type="containsText" dxfId="9" priority="16759" operator="containsText" text="No">
      <formula>NOT(ISERROR(SEARCH(("No"),(Q884))))</formula>
    </cfRule>
  </conditionalFormatting>
  <conditionalFormatting sqref="Q884:Q900">
    <cfRule type="containsText" dxfId="2" priority="16760" operator="containsText" text="Yes">
      <formula>NOT(ISERROR(SEARCH(("Yes"),(Q884))))</formula>
    </cfRule>
  </conditionalFormatting>
  <conditionalFormatting sqref="Q884:Q900">
    <cfRule type="containsText" dxfId="9" priority="16761" operator="containsText" text="No">
      <formula>NOT(ISERROR(SEARCH(("No"),(Q884))))</formula>
    </cfRule>
  </conditionalFormatting>
  <conditionalFormatting sqref="Q884:Q900">
    <cfRule type="containsText" dxfId="2" priority="16762" operator="containsText" text="Yes">
      <formula>NOT(ISERROR(SEARCH(("Yes"),(Q884))))</formula>
    </cfRule>
  </conditionalFormatting>
  <conditionalFormatting sqref="Q884:Q900">
    <cfRule type="containsText" dxfId="9" priority="16763" operator="containsText" text="No">
      <formula>NOT(ISERROR(SEARCH(("No"),(Q884))))</formula>
    </cfRule>
  </conditionalFormatting>
  <conditionalFormatting sqref="Q884:Q900">
    <cfRule type="containsText" dxfId="2" priority="16764" operator="containsText" text="Yes">
      <formula>NOT(ISERROR(SEARCH(("Yes"),(Q884))))</formula>
    </cfRule>
  </conditionalFormatting>
  <conditionalFormatting sqref="Q884:Q900">
    <cfRule type="containsText" dxfId="9" priority="16765" operator="containsText" text="No">
      <formula>NOT(ISERROR(SEARCH(("No"),(Q884))))</formula>
    </cfRule>
  </conditionalFormatting>
  <conditionalFormatting sqref="Q884:Q900">
    <cfRule type="containsText" dxfId="2" priority="16766" operator="containsText" text="Yes">
      <formula>NOT(ISERROR(SEARCH(("Yes"),(Q884))))</formula>
    </cfRule>
  </conditionalFormatting>
  <conditionalFormatting sqref="Q884:Q900">
    <cfRule type="containsText" dxfId="9" priority="16767" operator="containsText" text="No">
      <formula>NOT(ISERROR(SEARCH(("No"),(Q884))))</formula>
    </cfRule>
  </conditionalFormatting>
  <conditionalFormatting sqref="Q884:Q900">
    <cfRule type="containsText" dxfId="2" priority="16768" operator="containsText" text="Yes">
      <formula>NOT(ISERROR(SEARCH(("Yes"),(Q884))))</formula>
    </cfRule>
  </conditionalFormatting>
  <conditionalFormatting sqref="Q884:Q900">
    <cfRule type="containsText" dxfId="9" priority="16769" operator="containsText" text="No">
      <formula>NOT(ISERROR(SEARCH(("No"),(Q884))))</formula>
    </cfRule>
  </conditionalFormatting>
  <conditionalFormatting sqref="Q884:Q900">
    <cfRule type="containsText" dxfId="2" priority="16770" operator="containsText" text="Yes">
      <formula>NOT(ISERROR(SEARCH(("Yes"),(Q884))))</formula>
    </cfRule>
  </conditionalFormatting>
  <conditionalFormatting sqref="Q884:Q900">
    <cfRule type="containsText" dxfId="9" priority="16771" operator="containsText" text="No">
      <formula>NOT(ISERROR(SEARCH(("No"),(Q884))))</formula>
    </cfRule>
  </conditionalFormatting>
  <conditionalFormatting sqref="Q884:Q900">
    <cfRule type="containsText" dxfId="2" priority="16772" operator="containsText" text="Yes">
      <formula>NOT(ISERROR(SEARCH(("Yes"),(Q884))))</formula>
    </cfRule>
  </conditionalFormatting>
  <conditionalFormatting sqref="Q884:Q900">
    <cfRule type="containsText" dxfId="9" priority="16773" operator="containsText" text="No">
      <formula>NOT(ISERROR(SEARCH(("No"),(Q884))))</formula>
    </cfRule>
  </conditionalFormatting>
  <conditionalFormatting sqref="Q884:Q900">
    <cfRule type="containsText" dxfId="2" priority="16774" operator="containsText" text="Yes">
      <formula>NOT(ISERROR(SEARCH(("Yes"),(Q884))))</formula>
    </cfRule>
  </conditionalFormatting>
  <conditionalFormatting sqref="Q884:Q900">
    <cfRule type="containsText" dxfId="9" priority="16775" operator="containsText" text="No">
      <formula>NOT(ISERROR(SEARCH(("No"),(Q884))))</formula>
    </cfRule>
  </conditionalFormatting>
  <conditionalFormatting sqref="Q884:Q900">
    <cfRule type="containsText" dxfId="2" priority="16776" operator="containsText" text="Yes">
      <formula>NOT(ISERROR(SEARCH(("Yes"),(Q884))))</formula>
    </cfRule>
  </conditionalFormatting>
  <conditionalFormatting sqref="Q884:Q900">
    <cfRule type="containsText" dxfId="9" priority="16777" operator="containsText" text="No">
      <formula>NOT(ISERROR(SEARCH(("No"),(Q884))))</formula>
    </cfRule>
  </conditionalFormatting>
  <conditionalFormatting sqref="Q884:Q900">
    <cfRule type="containsText" dxfId="2" priority="16778" operator="containsText" text="Yes">
      <formula>NOT(ISERROR(SEARCH(("Yes"),(Q884))))</formula>
    </cfRule>
  </conditionalFormatting>
  <conditionalFormatting sqref="Q884:Q900">
    <cfRule type="containsText" dxfId="9" priority="16779" operator="containsText" text="No">
      <formula>NOT(ISERROR(SEARCH(("No"),(Q884))))</formula>
    </cfRule>
  </conditionalFormatting>
  <conditionalFormatting sqref="Q884:Q900">
    <cfRule type="containsText" dxfId="2" priority="16780" operator="containsText" text="Yes">
      <formula>NOT(ISERROR(SEARCH(("Yes"),(Q884))))</formula>
    </cfRule>
  </conditionalFormatting>
  <conditionalFormatting sqref="Q884:Q900">
    <cfRule type="containsText" dxfId="9" priority="16781" operator="containsText" text="No">
      <formula>NOT(ISERROR(SEARCH(("No"),(Q884))))</formula>
    </cfRule>
  </conditionalFormatting>
  <conditionalFormatting sqref="Q884:Q900">
    <cfRule type="containsText" dxfId="2" priority="16782" operator="containsText" text="Yes">
      <formula>NOT(ISERROR(SEARCH(("Yes"),(Q884))))</formula>
    </cfRule>
  </conditionalFormatting>
  <conditionalFormatting sqref="Q884:Q900">
    <cfRule type="containsText" dxfId="9" priority="16783" operator="containsText" text="No">
      <formula>NOT(ISERROR(SEARCH(("No"),(Q884))))</formula>
    </cfRule>
  </conditionalFormatting>
  <conditionalFormatting sqref="Q884:Q900">
    <cfRule type="containsText" dxfId="2" priority="16784" operator="containsText" text="Yes">
      <formula>NOT(ISERROR(SEARCH(("Yes"),(Q884))))</formula>
    </cfRule>
  </conditionalFormatting>
  <conditionalFormatting sqref="Q884:Q900">
    <cfRule type="containsText" dxfId="9" priority="16785" operator="containsText" text="No">
      <formula>NOT(ISERROR(SEARCH(("No"),(Q884))))</formula>
    </cfRule>
  </conditionalFormatting>
  <conditionalFormatting sqref="Q884:Q900">
    <cfRule type="containsText" dxfId="2" priority="16786" operator="containsText" text="Yes">
      <formula>NOT(ISERROR(SEARCH(("Yes"),(Q884))))</formula>
    </cfRule>
  </conditionalFormatting>
  <conditionalFormatting sqref="Q884:Q900">
    <cfRule type="containsText" dxfId="9" priority="16787" operator="containsText" text="No">
      <formula>NOT(ISERROR(SEARCH(("No"),(Q884))))</formula>
    </cfRule>
  </conditionalFormatting>
  <conditionalFormatting sqref="Q884:Q900">
    <cfRule type="containsText" dxfId="2" priority="16788" operator="containsText" text="Yes">
      <formula>NOT(ISERROR(SEARCH(("Yes"),(Q884))))</formula>
    </cfRule>
  </conditionalFormatting>
  <conditionalFormatting sqref="Q884:Q900">
    <cfRule type="containsText" dxfId="9" priority="16789" operator="containsText" text="No">
      <formula>NOT(ISERROR(SEARCH(("No"),(Q884))))</formula>
    </cfRule>
  </conditionalFormatting>
  <conditionalFormatting sqref="Q884:Q900">
    <cfRule type="containsText" dxfId="2" priority="16790" operator="containsText" text="Yes">
      <formula>NOT(ISERROR(SEARCH(("Yes"),(Q884))))</formula>
    </cfRule>
  </conditionalFormatting>
  <conditionalFormatting sqref="Q884:Q900">
    <cfRule type="containsText" dxfId="9" priority="16791" operator="containsText" text="No">
      <formula>NOT(ISERROR(SEARCH(("No"),(Q884))))</formula>
    </cfRule>
  </conditionalFormatting>
  <conditionalFormatting sqref="Q884:Q900">
    <cfRule type="containsText" dxfId="2" priority="16792" operator="containsText" text="Yes">
      <formula>NOT(ISERROR(SEARCH(("Yes"),(Q884))))</formula>
    </cfRule>
  </conditionalFormatting>
  <conditionalFormatting sqref="Q884:Q900">
    <cfRule type="containsText" dxfId="9" priority="16793" operator="containsText" text="No">
      <formula>NOT(ISERROR(SEARCH(("No"),(Q884))))</formula>
    </cfRule>
  </conditionalFormatting>
  <conditionalFormatting sqref="Q884:Q900">
    <cfRule type="containsText" dxfId="2" priority="16794" operator="containsText" text="Yes">
      <formula>NOT(ISERROR(SEARCH(("Yes"),(Q884))))</formula>
    </cfRule>
  </conditionalFormatting>
  <conditionalFormatting sqref="Q884:Q900">
    <cfRule type="containsText" dxfId="9" priority="16795" operator="containsText" text="No">
      <formula>NOT(ISERROR(SEARCH(("No"),(Q884))))</formula>
    </cfRule>
  </conditionalFormatting>
  <conditionalFormatting sqref="Q884:Q900">
    <cfRule type="containsText" dxfId="2" priority="16796" operator="containsText" text="Yes">
      <formula>NOT(ISERROR(SEARCH(("Yes"),(Q884))))</formula>
    </cfRule>
  </conditionalFormatting>
  <conditionalFormatting sqref="Q884:Q900">
    <cfRule type="containsText" dxfId="9" priority="16797" operator="containsText" text="No">
      <formula>NOT(ISERROR(SEARCH(("No"),(Q884))))</formula>
    </cfRule>
  </conditionalFormatting>
  <conditionalFormatting sqref="Q884:Q900">
    <cfRule type="containsText" dxfId="2" priority="16798" operator="containsText" text="Yes">
      <formula>NOT(ISERROR(SEARCH(("Yes"),(Q884))))</formula>
    </cfRule>
  </conditionalFormatting>
  <conditionalFormatting sqref="Q884:Q900">
    <cfRule type="containsText" dxfId="9" priority="16799" operator="containsText" text="No">
      <formula>NOT(ISERROR(SEARCH(("No"),(Q884))))</formula>
    </cfRule>
  </conditionalFormatting>
  <conditionalFormatting sqref="Q884:Q900">
    <cfRule type="containsText" dxfId="2" priority="16800" operator="containsText" text="Yes">
      <formula>NOT(ISERROR(SEARCH(("Yes"),(Q884))))</formula>
    </cfRule>
  </conditionalFormatting>
  <conditionalFormatting sqref="Q884:Q900">
    <cfRule type="containsText" dxfId="9" priority="16801" operator="containsText" text="No">
      <formula>NOT(ISERROR(SEARCH(("No"),(Q884))))</formula>
    </cfRule>
  </conditionalFormatting>
  <conditionalFormatting sqref="Q884:Q900">
    <cfRule type="containsText" dxfId="2" priority="16802" operator="containsText" text="Yes">
      <formula>NOT(ISERROR(SEARCH(("Yes"),(Q884))))</formula>
    </cfRule>
  </conditionalFormatting>
  <conditionalFormatting sqref="Q884:Q900">
    <cfRule type="containsText" dxfId="9" priority="16803" operator="containsText" text="No">
      <formula>NOT(ISERROR(SEARCH(("No"),(Q884))))</formula>
    </cfRule>
  </conditionalFormatting>
  <conditionalFormatting sqref="Q884:Q900">
    <cfRule type="containsText" dxfId="2" priority="16804" operator="containsText" text="Yes">
      <formula>NOT(ISERROR(SEARCH(("Yes"),(Q884))))</formula>
    </cfRule>
  </conditionalFormatting>
  <conditionalFormatting sqref="Q884:Q900">
    <cfRule type="containsText" dxfId="2" priority="16805" operator="containsText" text="Yes">
      <formula>NOT(ISERROR(SEARCH(("Yes"),(Q884))))</formula>
    </cfRule>
  </conditionalFormatting>
  <conditionalFormatting sqref="Q884:Q900">
    <cfRule type="containsText" dxfId="9" priority="16806" operator="containsText" text="No">
      <formula>NOT(ISERROR(SEARCH(("No"),(Q884))))</formula>
    </cfRule>
  </conditionalFormatting>
  <conditionalFormatting sqref="Q884:Q900">
    <cfRule type="containsText" dxfId="2" priority="16807" operator="containsText" text="Yes">
      <formula>NOT(ISERROR(SEARCH(("Yes"),(Q884))))</formula>
    </cfRule>
  </conditionalFormatting>
  <conditionalFormatting sqref="Q902:Q903">
    <cfRule type="containsText" dxfId="2" priority="16808" operator="containsText" text="Yes">
      <formula>NOT(ISERROR(SEARCH(("Yes"),(Q902))))</formula>
    </cfRule>
  </conditionalFormatting>
  <conditionalFormatting sqref="Q902:Q903">
    <cfRule type="containsText" dxfId="9" priority="16809" operator="containsText" text="No">
      <formula>NOT(ISERROR(SEARCH(("No"),(Q902))))</formula>
    </cfRule>
  </conditionalFormatting>
  <conditionalFormatting sqref="Q902:Q903">
    <cfRule type="containsText" dxfId="2" priority="16810" operator="containsText" text="Yes">
      <formula>NOT(ISERROR(SEARCH(("Yes"),(Q902))))</formula>
    </cfRule>
  </conditionalFormatting>
  <conditionalFormatting sqref="Q902:Q903">
    <cfRule type="containsText" dxfId="9" priority="16811" operator="containsText" text="No">
      <formula>NOT(ISERROR(SEARCH(("No"),(Q902))))</formula>
    </cfRule>
  </conditionalFormatting>
  <conditionalFormatting sqref="Q902:Q903">
    <cfRule type="containsText" dxfId="2" priority="16812" operator="containsText" text="Yes">
      <formula>NOT(ISERROR(SEARCH(("Yes"),(Q902))))</formula>
    </cfRule>
  </conditionalFormatting>
  <conditionalFormatting sqref="Q902:Q903">
    <cfRule type="containsText" dxfId="9" priority="16813" operator="containsText" text="No">
      <formula>NOT(ISERROR(SEARCH(("No"),(Q902))))</formula>
    </cfRule>
  </conditionalFormatting>
  <conditionalFormatting sqref="Q902:Q903">
    <cfRule type="containsText" dxfId="2" priority="16814" operator="containsText" text="Yes">
      <formula>NOT(ISERROR(SEARCH(("Yes"),(Q902))))</formula>
    </cfRule>
  </conditionalFormatting>
  <conditionalFormatting sqref="Q902:Q903">
    <cfRule type="containsText" dxfId="9" priority="16815" operator="containsText" text="No">
      <formula>NOT(ISERROR(SEARCH(("No"),(Q902))))</formula>
    </cfRule>
  </conditionalFormatting>
  <conditionalFormatting sqref="Q902:Q903">
    <cfRule type="containsText" dxfId="2" priority="16816" operator="containsText" text="Yes">
      <formula>NOT(ISERROR(SEARCH(("Yes"),(Q902))))</formula>
    </cfRule>
  </conditionalFormatting>
  <conditionalFormatting sqref="Q902:Q903">
    <cfRule type="containsText" dxfId="9" priority="16817" operator="containsText" text="No">
      <formula>NOT(ISERROR(SEARCH(("No"),(Q902))))</formula>
    </cfRule>
  </conditionalFormatting>
  <conditionalFormatting sqref="Q902:Q903">
    <cfRule type="containsText" dxfId="2" priority="16818" operator="containsText" text="Yes">
      <formula>NOT(ISERROR(SEARCH(("Yes"),(Q902))))</formula>
    </cfRule>
  </conditionalFormatting>
  <conditionalFormatting sqref="Q902:Q903">
    <cfRule type="containsText" dxfId="9" priority="16819" operator="containsText" text="No">
      <formula>NOT(ISERROR(SEARCH(("No"),(Q902))))</formula>
    </cfRule>
  </conditionalFormatting>
  <conditionalFormatting sqref="Q902:Q903">
    <cfRule type="containsText" dxfId="2" priority="16820" operator="containsText" text="Yes">
      <formula>NOT(ISERROR(SEARCH(("Yes"),(Q902))))</formula>
    </cfRule>
  </conditionalFormatting>
  <conditionalFormatting sqref="Q902:Q903">
    <cfRule type="containsText" dxfId="9" priority="16821" operator="containsText" text="No">
      <formula>NOT(ISERROR(SEARCH(("No"),(Q902))))</formula>
    </cfRule>
  </conditionalFormatting>
  <conditionalFormatting sqref="Q902:Q903">
    <cfRule type="containsText" dxfId="2" priority="16822" operator="containsText" text="Yes">
      <formula>NOT(ISERROR(SEARCH(("Yes"),(Q902))))</formula>
    </cfRule>
  </conditionalFormatting>
  <conditionalFormatting sqref="Q902:Q903">
    <cfRule type="containsText" dxfId="9" priority="16823" operator="containsText" text="No">
      <formula>NOT(ISERROR(SEARCH(("No"),(Q902))))</formula>
    </cfRule>
  </conditionalFormatting>
  <conditionalFormatting sqref="Q902:Q903">
    <cfRule type="containsText" dxfId="2" priority="16824" operator="containsText" text="Yes">
      <formula>NOT(ISERROR(SEARCH(("Yes"),(Q902))))</formula>
    </cfRule>
  </conditionalFormatting>
  <conditionalFormatting sqref="Q902:Q903">
    <cfRule type="containsText" dxfId="9" priority="16825" operator="containsText" text="No">
      <formula>NOT(ISERROR(SEARCH(("No"),(Q902))))</formula>
    </cfRule>
  </conditionalFormatting>
  <conditionalFormatting sqref="Q902:Q903">
    <cfRule type="containsText" dxfId="2" priority="16826" operator="containsText" text="Yes">
      <formula>NOT(ISERROR(SEARCH(("Yes"),(Q902))))</formula>
    </cfRule>
  </conditionalFormatting>
  <conditionalFormatting sqref="Q902:Q903">
    <cfRule type="containsText" dxfId="9" priority="16827" operator="containsText" text="No">
      <formula>NOT(ISERROR(SEARCH(("No"),(Q902))))</formula>
    </cfRule>
  </conditionalFormatting>
  <conditionalFormatting sqref="Q902:Q903">
    <cfRule type="containsText" dxfId="2" priority="16828" operator="containsText" text="Yes">
      <formula>NOT(ISERROR(SEARCH(("Yes"),(Q902))))</formula>
    </cfRule>
  </conditionalFormatting>
  <conditionalFormatting sqref="Q902:Q903">
    <cfRule type="containsText" dxfId="9" priority="16829" operator="containsText" text="No">
      <formula>NOT(ISERROR(SEARCH(("No"),(Q902))))</formula>
    </cfRule>
  </conditionalFormatting>
  <conditionalFormatting sqref="Q902:Q903">
    <cfRule type="containsText" dxfId="2" priority="16830" operator="containsText" text="Yes">
      <formula>NOT(ISERROR(SEARCH(("Yes"),(Q902))))</formula>
    </cfRule>
  </conditionalFormatting>
  <conditionalFormatting sqref="Q902:Q903">
    <cfRule type="containsText" dxfId="9" priority="16831" operator="containsText" text="No">
      <formula>NOT(ISERROR(SEARCH(("No"),(Q902))))</formula>
    </cfRule>
  </conditionalFormatting>
  <conditionalFormatting sqref="Q902:Q903">
    <cfRule type="containsText" dxfId="2" priority="16832" operator="containsText" text="Yes">
      <formula>NOT(ISERROR(SEARCH(("Yes"),(Q902))))</formula>
    </cfRule>
  </conditionalFormatting>
  <conditionalFormatting sqref="Q902:Q903">
    <cfRule type="containsText" dxfId="9" priority="16833" operator="containsText" text="No">
      <formula>NOT(ISERROR(SEARCH(("No"),(Q902))))</formula>
    </cfRule>
  </conditionalFormatting>
  <conditionalFormatting sqref="Q902:Q903">
    <cfRule type="containsText" dxfId="2" priority="16834" operator="containsText" text="Yes">
      <formula>NOT(ISERROR(SEARCH(("Yes"),(Q902))))</formula>
    </cfRule>
  </conditionalFormatting>
  <conditionalFormatting sqref="Q902:Q903">
    <cfRule type="containsText" dxfId="9" priority="16835" operator="containsText" text="No">
      <formula>NOT(ISERROR(SEARCH(("No"),(Q902))))</formula>
    </cfRule>
  </conditionalFormatting>
  <conditionalFormatting sqref="Q902:Q903">
    <cfRule type="containsText" dxfId="2" priority="16836" operator="containsText" text="Yes">
      <formula>NOT(ISERROR(SEARCH(("Yes"),(Q902))))</formula>
    </cfRule>
  </conditionalFormatting>
  <conditionalFormatting sqref="Q902:Q903">
    <cfRule type="containsText" dxfId="9" priority="16837" operator="containsText" text="No">
      <formula>NOT(ISERROR(SEARCH(("No"),(Q902))))</formula>
    </cfRule>
  </conditionalFormatting>
  <conditionalFormatting sqref="Q902:Q903">
    <cfRule type="containsText" dxfId="2" priority="16838" operator="containsText" text="Yes">
      <formula>NOT(ISERROR(SEARCH(("Yes"),(Q902))))</formula>
    </cfRule>
  </conditionalFormatting>
  <conditionalFormatting sqref="Q902:Q903">
    <cfRule type="containsText" dxfId="9" priority="16839" operator="containsText" text="No">
      <formula>NOT(ISERROR(SEARCH(("No"),(Q902))))</formula>
    </cfRule>
  </conditionalFormatting>
  <conditionalFormatting sqref="Q902:Q903">
    <cfRule type="containsText" dxfId="2" priority="16840" operator="containsText" text="Yes">
      <formula>NOT(ISERROR(SEARCH(("Yes"),(Q902))))</formula>
    </cfRule>
  </conditionalFormatting>
  <conditionalFormatting sqref="Q902:Q903">
    <cfRule type="containsText" dxfId="9" priority="16841" operator="containsText" text="No">
      <formula>NOT(ISERROR(SEARCH(("No"),(Q902))))</formula>
    </cfRule>
  </conditionalFormatting>
  <conditionalFormatting sqref="Q902:Q903">
    <cfRule type="containsText" dxfId="2" priority="16842" operator="containsText" text="Yes">
      <formula>NOT(ISERROR(SEARCH(("Yes"),(Q902))))</formula>
    </cfRule>
  </conditionalFormatting>
  <conditionalFormatting sqref="Q902:Q903">
    <cfRule type="containsText" dxfId="9" priority="16843" operator="containsText" text="No">
      <formula>NOT(ISERROR(SEARCH(("No"),(Q902))))</formula>
    </cfRule>
  </conditionalFormatting>
  <conditionalFormatting sqref="Q902:Q903">
    <cfRule type="containsText" dxfId="2" priority="16844" operator="containsText" text="Yes">
      <formula>NOT(ISERROR(SEARCH(("Yes"),(Q902))))</formula>
    </cfRule>
  </conditionalFormatting>
  <conditionalFormatting sqref="Q902:Q903">
    <cfRule type="containsText" dxfId="9" priority="16845" operator="containsText" text="No">
      <formula>NOT(ISERROR(SEARCH(("No"),(Q902))))</formula>
    </cfRule>
  </conditionalFormatting>
  <conditionalFormatting sqref="Q902:Q903">
    <cfRule type="containsText" dxfId="2" priority="16846" operator="containsText" text="Yes">
      <formula>NOT(ISERROR(SEARCH(("Yes"),(Q902))))</formula>
    </cfRule>
  </conditionalFormatting>
  <conditionalFormatting sqref="Q902:Q903">
    <cfRule type="containsText" dxfId="9" priority="16847" operator="containsText" text="No">
      <formula>NOT(ISERROR(SEARCH(("No"),(Q902))))</formula>
    </cfRule>
  </conditionalFormatting>
  <conditionalFormatting sqref="Q902:Q903">
    <cfRule type="containsText" dxfId="2" priority="16848" operator="containsText" text="Yes">
      <formula>NOT(ISERROR(SEARCH(("Yes"),(Q902))))</formula>
    </cfRule>
  </conditionalFormatting>
  <conditionalFormatting sqref="Q902:Q903">
    <cfRule type="containsText" dxfId="9" priority="16849" operator="containsText" text="No">
      <formula>NOT(ISERROR(SEARCH(("No"),(Q902))))</formula>
    </cfRule>
  </conditionalFormatting>
  <conditionalFormatting sqref="Q902:Q903">
    <cfRule type="containsText" dxfId="2" priority="16850" operator="containsText" text="Yes">
      <formula>NOT(ISERROR(SEARCH(("Yes"),(Q902))))</formula>
    </cfRule>
  </conditionalFormatting>
  <conditionalFormatting sqref="Q902:Q903">
    <cfRule type="containsText" dxfId="9" priority="16851" operator="containsText" text="No">
      <formula>NOT(ISERROR(SEARCH(("No"),(Q902))))</formula>
    </cfRule>
  </conditionalFormatting>
  <conditionalFormatting sqref="Q902:Q903">
    <cfRule type="containsText" dxfId="2" priority="16852" operator="containsText" text="Yes">
      <formula>NOT(ISERROR(SEARCH(("Yes"),(Q902))))</formula>
    </cfRule>
  </conditionalFormatting>
  <conditionalFormatting sqref="Q902:Q903">
    <cfRule type="containsText" dxfId="9" priority="16853" operator="containsText" text="No">
      <formula>NOT(ISERROR(SEARCH(("No"),(Q902))))</formula>
    </cfRule>
  </conditionalFormatting>
  <conditionalFormatting sqref="Q902:Q903">
    <cfRule type="containsText" dxfId="2" priority="16854" operator="containsText" text="Yes">
      <formula>NOT(ISERROR(SEARCH(("Yes"),(Q902))))</formula>
    </cfRule>
  </conditionalFormatting>
  <conditionalFormatting sqref="Q902:Q903">
    <cfRule type="containsText" dxfId="9" priority="16855" operator="containsText" text="No">
      <formula>NOT(ISERROR(SEARCH(("No"),(Q902))))</formula>
    </cfRule>
  </conditionalFormatting>
  <conditionalFormatting sqref="Q902:Q903">
    <cfRule type="containsText" dxfId="2" priority="16856" operator="containsText" text="Yes">
      <formula>NOT(ISERROR(SEARCH(("Yes"),(Q902))))</formula>
    </cfRule>
  </conditionalFormatting>
  <conditionalFormatting sqref="Q902:Q903">
    <cfRule type="containsText" dxfId="9" priority="16857" operator="containsText" text="No">
      <formula>NOT(ISERROR(SEARCH(("No"),(Q902))))</formula>
    </cfRule>
  </conditionalFormatting>
  <conditionalFormatting sqref="Q902:Q903">
    <cfRule type="containsText" dxfId="2" priority="16858" operator="containsText" text="Yes">
      <formula>NOT(ISERROR(SEARCH(("Yes"),(Q902))))</formula>
    </cfRule>
  </conditionalFormatting>
  <conditionalFormatting sqref="Q902:Q903">
    <cfRule type="containsText" dxfId="9" priority="16859" operator="containsText" text="No">
      <formula>NOT(ISERROR(SEARCH(("No"),(Q902))))</formula>
    </cfRule>
  </conditionalFormatting>
  <conditionalFormatting sqref="Q902:Q903">
    <cfRule type="containsText" dxfId="2" priority="16860" operator="containsText" text="Yes">
      <formula>NOT(ISERROR(SEARCH(("Yes"),(Q902))))</formula>
    </cfRule>
  </conditionalFormatting>
  <conditionalFormatting sqref="Q902:Q903">
    <cfRule type="containsText" dxfId="9" priority="16861" operator="containsText" text="No">
      <formula>NOT(ISERROR(SEARCH(("No"),(Q902))))</formula>
    </cfRule>
  </conditionalFormatting>
  <conditionalFormatting sqref="Q902:Q903">
    <cfRule type="containsText" dxfId="2" priority="16862" operator="containsText" text="Yes">
      <formula>NOT(ISERROR(SEARCH(("Yes"),(Q902))))</formula>
    </cfRule>
  </conditionalFormatting>
  <conditionalFormatting sqref="Q902:Q903">
    <cfRule type="containsText" dxfId="9" priority="16863" operator="containsText" text="No">
      <formula>NOT(ISERROR(SEARCH(("No"),(Q902))))</formula>
    </cfRule>
  </conditionalFormatting>
  <conditionalFormatting sqref="Q902:Q903">
    <cfRule type="containsText" dxfId="2" priority="16864" operator="containsText" text="Yes">
      <formula>NOT(ISERROR(SEARCH(("Yes"),(Q902))))</formula>
    </cfRule>
  </conditionalFormatting>
  <conditionalFormatting sqref="Q902:Q903">
    <cfRule type="containsText" dxfId="9" priority="16865" operator="containsText" text="No">
      <formula>NOT(ISERROR(SEARCH(("No"),(Q902))))</formula>
    </cfRule>
  </conditionalFormatting>
  <conditionalFormatting sqref="Q902:Q903">
    <cfRule type="containsText" dxfId="2" priority="16866" operator="containsText" text="Yes">
      <formula>NOT(ISERROR(SEARCH(("Yes"),(Q902))))</formula>
    </cfRule>
  </conditionalFormatting>
  <conditionalFormatting sqref="Q902:Q903">
    <cfRule type="containsText" dxfId="9" priority="16867" operator="containsText" text="No">
      <formula>NOT(ISERROR(SEARCH(("No"),(Q902))))</formula>
    </cfRule>
  </conditionalFormatting>
  <conditionalFormatting sqref="Q902:Q903">
    <cfRule type="containsText" dxfId="2" priority="16868" operator="containsText" text="Yes">
      <formula>NOT(ISERROR(SEARCH(("Yes"),(Q902))))</formula>
    </cfRule>
  </conditionalFormatting>
  <conditionalFormatting sqref="Q902:Q903">
    <cfRule type="containsText" dxfId="9" priority="16869" operator="containsText" text="No">
      <formula>NOT(ISERROR(SEARCH(("No"),(Q902))))</formula>
    </cfRule>
  </conditionalFormatting>
  <conditionalFormatting sqref="Q902:Q903">
    <cfRule type="containsText" dxfId="2" priority="16870" operator="containsText" text="Yes">
      <formula>NOT(ISERROR(SEARCH(("Yes"),(Q902))))</formula>
    </cfRule>
  </conditionalFormatting>
  <conditionalFormatting sqref="Q902:Q903">
    <cfRule type="containsText" dxfId="9" priority="16871" operator="containsText" text="No">
      <formula>NOT(ISERROR(SEARCH(("No"),(Q902))))</formula>
    </cfRule>
  </conditionalFormatting>
  <conditionalFormatting sqref="Q902:Q903">
    <cfRule type="containsText" dxfId="2" priority="16872" operator="containsText" text="Yes">
      <formula>NOT(ISERROR(SEARCH(("Yes"),(Q902))))</formula>
    </cfRule>
  </conditionalFormatting>
  <conditionalFormatting sqref="Q902:Q903">
    <cfRule type="containsText" dxfId="9" priority="16873" operator="containsText" text="No">
      <formula>NOT(ISERROR(SEARCH(("No"),(Q902))))</formula>
    </cfRule>
  </conditionalFormatting>
  <conditionalFormatting sqref="Q902:Q903">
    <cfRule type="containsText" dxfId="2" priority="16874" operator="containsText" text="Yes">
      <formula>NOT(ISERROR(SEARCH(("Yes"),(Q902))))</formula>
    </cfRule>
  </conditionalFormatting>
  <conditionalFormatting sqref="Q902:Q903">
    <cfRule type="containsText" dxfId="9" priority="16875" operator="containsText" text="No">
      <formula>NOT(ISERROR(SEARCH(("No"),(Q902))))</formula>
    </cfRule>
  </conditionalFormatting>
  <conditionalFormatting sqref="Q902:Q903">
    <cfRule type="containsText" dxfId="2" priority="16876" operator="containsText" text="Yes">
      <formula>NOT(ISERROR(SEARCH(("Yes"),(Q902))))</formula>
    </cfRule>
  </conditionalFormatting>
  <conditionalFormatting sqref="Q902:Q903">
    <cfRule type="containsText" dxfId="9" priority="16877" operator="containsText" text="No">
      <formula>NOT(ISERROR(SEARCH(("No"),(Q902))))</formula>
    </cfRule>
  </conditionalFormatting>
  <conditionalFormatting sqref="Q902:Q903">
    <cfRule type="containsText" dxfId="2" priority="16878" operator="containsText" text="Yes">
      <formula>NOT(ISERROR(SEARCH(("Yes"),(Q902))))</formula>
    </cfRule>
  </conditionalFormatting>
  <conditionalFormatting sqref="Q902:Q903">
    <cfRule type="containsText" dxfId="9" priority="16879" operator="containsText" text="No">
      <formula>NOT(ISERROR(SEARCH(("No"),(Q902))))</formula>
    </cfRule>
  </conditionalFormatting>
  <conditionalFormatting sqref="Q902:Q903">
    <cfRule type="containsText" dxfId="2" priority="16880" operator="containsText" text="Yes">
      <formula>NOT(ISERROR(SEARCH(("Yes"),(Q902))))</formula>
    </cfRule>
  </conditionalFormatting>
  <conditionalFormatting sqref="Q902:Q903">
    <cfRule type="containsText" dxfId="9" priority="16881" operator="containsText" text="No">
      <formula>NOT(ISERROR(SEARCH(("No"),(Q902))))</formula>
    </cfRule>
  </conditionalFormatting>
  <conditionalFormatting sqref="Q902:Q903">
    <cfRule type="containsText" dxfId="2" priority="16882" operator="containsText" text="Yes">
      <formula>NOT(ISERROR(SEARCH(("Yes"),(Q902))))</formula>
    </cfRule>
  </conditionalFormatting>
  <conditionalFormatting sqref="Q902:Q903">
    <cfRule type="containsText" dxfId="9" priority="16883" operator="containsText" text="No">
      <formula>NOT(ISERROR(SEARCH(("No"),(Q902))))</formula>
    </cfRule>
  </conditionalFormatting>
  <conditionalFormatting sqref="Q902:Q903">
    <cfRule type="containsText" dxfId="2" priority="16884" operator="containsText" text="Yes">
      <formula>NOT(ISERROR(SEARCH(("Yes"),(Q902))))</formula>
    </cfRule>
  </conditionalFormatting>
  <conditionalFormatting sqref="Q902:Q903">
    <cfRule type="containsText" dxfId="9" priority="16885" operator="containsText" text="No">
      <formula>NOT(ISERROR(SEARCH(("No"),(Q902))))</formula>
    </cfRule>
  </conditionalFormatting>
  <conditionalFormatting sqref="Q902:Q903">
    <cfRule type="containsText" dxfId="2" priority="16886" operator="containsText" text="Yes">
      <formula>NOT(ISERROR(SEARCH(("Yes"),(Q902))))</formula>
    </cfRule>
  </conditionalFormatting>
  <conditionalFormatting sqref="Q902:Q903">
    <cfRule type="containsText" dxfId="9" priority="16887" operator="containsText" text="No">
      <formula>NOT(ISERROR(SEARCH(("No"),(Q902))))</formula>
    </cfRule>
  </conditionalFormatting>
  <conditionalFormatting sqref="Q902:Q903">
    <cfRule type="containsText" dxfId="2" priority="16888" operator="containsText" text="Yes">
      <formula>NOT(ISERROR(SEARCH(("Yes"),(Q902))))</formula>
    </cfRule>
  </conditionalFormatting>
  <conditionalFormatting sqref="Q902:Q903">
    <cfRule type="containsText" dxfId="9" priority="16889" operator="containsText" text="No">
      <formula>NOT(ISERROR(SEARCH(("No"),(Q902))))</formula>
    </cfRule>
  </conditionalFormatting>
  <conditionalFormatting sqref="Q902:Q903">
    <cfRule type="containsText" dxfId="2" priority="16890" operator="containsText" text="Yes">
      <formula>NOT(ISERROR(SEARCH(("Yes"),(Q902))))</formula>
    </cfRule>
  </conditionalFormatting>
  <conditionalFormatting sqref="Q902:Q903">
    <cfRule type="containsText" dxfId="9" priority="16891" operator="containsText" text="No">
      <formula>NOT(ISERROR(SEARCH(("No"),(Q902))))</formula>
    </cfRule>
  </conditionalFormatting>
  <conditionalFormatting sqref="Q902:Q903">
    <cfRule type="containsText" dxfId="2" priority="16892" operator="containsText" text="Yes">
      <formula>NOT(ISERROR(SEARCH(("Yes"),(Q902))))</formula>
    </cfRule>
  </conditionalFormatting>
  <conditionalFormatting sqref="Q902:Q903">
    <cfRule type="containsText" dxfId="9" priority="16893" operator="containsText" text="No">
      <formula>NOT(ISERROR(SEARCH(("No"),(Q902))))</formula>
    </cfRule>
  </conditionalFormatting>
  <conditionalFormatting sqref="Q902:Q903">
    <cfRule type="containsText" dxfId="2" priority="16894" operator="containsText" text="Yes">
      <formula>NOT(ISERROR(SEARCH(("Yes"),(Q902))))</formula>
    </cfRule>
  </conditionalFormatting>
  <conditionalFormatting sqref="Q902:Q903">
    <cfRule type="containsText" dxfId="9" priority="16895" operator="containsText" text="No">
      <formula>NOT(ISERROR(SEARCH(("No"),(Q902))))</formula>
    </cfRule>
  </conditionalFormatting>
  <conditionalFormatting sqref="Q902:Q903">
    <cfRule type="containsText" dxfId="2" priority="16896" operator="containsText" text="Yes">
      <formula>NOT(ISERROR(SEARCH(("Yes"),(Q902))))</formula>
    </cfRule>
  </conditionalFormatting>
  <conditionalFormatting sqref="Q902:Q903">
    <cfRule type="containsText" dxfId="2" priority="16897" operator="containsText" text="Yes">
      <formula>NOT(ISERROR(SEARCH(("Yes"),(Q902))))</formula>
    </cfRule>
  </conditionalFormatting>
  <conditionalFormatting sqref="Q902:Q903">
    <cfRule type="containsText" dxfId="9" priority="16898" operator="containsText" text="No">
      <formula>NOT(ISERROR(SEARCH(("No"),(Q902))))</formula>
    </cfRule>
  </conditionalFormatting>
  <conditionalFormatting sqref="Q902:Q903">
    <cfRule type="containsText" dxfId="2" priority="16899" operator="containsText" text="Yes">
      <formula>NOT(ISERROR(SEARCH(("Yes"),(Q902))))</formula>
    </cfRule>
  </conditionalFormatting>
  <conditionalFormatting sqref="Q905:Q906">
    <cfRule type="containsText" dxfId="2" priority="16900" operator="containsText" text="Yes">
      <formula>NOT(ISERROR(SEARCH(("Yes"),(Q905))))</formula>
    </cfRule>
  </conditionalFormatting>
  <conditionalFormatting sqref="Q905:Q906">
    <cfRule type="containsText" dxfId="9" priority="16901" operator="containsText" text="No">
      <formula>NOT(ISERROR(SEARCH(("No"),(Q905))))</formula>
    </cfRule>
  </conditionalFormatting>
  <conditionalFormatting sqref="Q905:Q906">
    <cfRule type="containsText" dxfId="2" priority="16902" operator="containsText" text="Yes">
      <formula>NOT(ISERROR(SEARCH(("Yes"),(Q905))))</formula>
    </cfRule>
  </conditionalFormatting>
  <conditionalFormatting sqref="Q905:Q906">
    <cfRule type="containsText" dxfId="9" priority="16903" operator="containsText" text="No">
      <formula>NOT(ISERROR(SEARCH(("No"),(Q905))))</formula>
    </cfRule>
  </conditionalFormatting>
  <conditionalFormatting sqref="Q905:Q906">
    <cfRule type="containsText" dxfId="2" priority="16904" operator="containsText" text="Yes">
      <formula>NOT(ISERROR(SEARCH(("Yes"),(Q905))))</formula>
    </cfRule>
  </conditionalFormatting>
  <conditionalFormatting sqref="Q905:Q906">
    <cfRule type="containsText" dxfId="9" priority="16905" operator="containsText" text="No">
      <formula>NOT(ISERROR(SEARCH(("No"),(Q905))))</formula>
    </cfRule>
  </conditionalFormatting>
  <conditionalFormatting sqref="Q905:Q906">
    <cfRule type="containsText" dxfId="2" priority="16906" operator="containsText" text="Yes">
      <formula>NOT(ISERROR(SEARCH(("Yes"),(Q905))))</formula>
    </cfRule>
  </conditionalFormatting>
  <conditionalFormatting sqref="Q905:Q906">
    <cfRule type="containsText" dxfId="9" priority="16907" operator="containsText" text="No">
      <formula>NOT(ISERROR(SEARCH(("No"),(Q905))))</formula>
    </cfRule>
  </conditionalFormatting>
  <conditionalFormatting sqref="Q905:Q906">
    <cfRule type="containsText" dxfId="2" priority="16908" operator="containsText" text="Yes">
      <formula>NOT(ISERROR(SEARCH(("Yes"),(Q905))))</formula>
    </cfRule>
  </conditionalFormatting>
  <conditionalFormatting sqref="Q905:Q906">
    <cfRule type="containsText" dxfId="9" priority="16909" operator="containsText" text="No">
      <formula>NOT(ISERROR(SEARCH(("No"),(Q905))))</formula>
    </cfRule>
  </conditionalFormatting>
  <conditionalFormatting sqref="Q905:Q906">
    <cfRule type="containsText" dxfId="2" priority="16910" operator="containsText" text="Yes">
      <formula>NOT(ISERROR(SEARCH(("Yes"),(Q905))))</formula>
    </cfRule>
  </conditionalFormatting>
  <conditionalFormatting sqref="Q905:Q906">
    <cfRule type="containsText" dxfId="9" priority="16911" operator="containsText" text="No">
      <formula>NOT(ISERROR(SEARCH(("No"),(Q905))))</formula>
    </cfRule>
  </conditionalFormatting>
  <conditionalFormatting sqref="Q905:Q906">
    <cfRule type="containsText" dxfId="2" priority="16912" operator="containsText" text="Yes">
      <formula>NOT(ISERROR(SEARCH(("Yes"),(Q905))))</formula>
    </cfRule>
  </conditionalFormatting>
  <conditionalFormatting sqref="Q905:Q906">
    <cfRule type="containsText" dxfId="9" priority="16913" operator="containsText" text="No">
      <formula>NOT(ISERROR(SEARCH(("No"),(Q905))))</formula>
    </cfRule>
  </conditionalFormatting>
  <conditionalFormatting sqref="Q905:Q906">
    <cfRule type="containsText" dxfId="2" priority="16914" operator="containsText" text="Yes">
      <formula>NOT(ISERROR(SEARCH(("Yes"),(Q905))))</formula>
    </cfRule>
  </conditionalFormatting>
  <conditionalFormatting sqref="Q905:Q906">
    <cfRule type="containsText" dxfId="9" priority="16915" operator="containsText" text="No">
      <formula>NOT(ISERROR(SEARCH(("No"),(Q905))))</formula>
    </cfRule>
  </conditionalFormatting>
  <conditionalFormatting sqref="Q905:Q906">
    <cfRule type="containsText" dxfId="2" priority="16916" operator="containsText" text="Yes">
      <formula>NOT(ISERROR(SEARCH(("Yes"),(Q905))))</formula>
    </cfRule>
  </conditionalFormatting>
  <conditionalFormatting sqref="Q905:Q906">
    <cfRule type="containsText" dxfId="9" priority="16917" operator="containsText" text="No">
      <formula>NOT(ISERROR(SEARCH(("No"),(Q905))))</formula>
    </cfRule>
  </conditionalFormatting>
  <conditionalFormatting sqref="Q905:Q906">
    <cfRule type="containsText" dxfId="2" priority="16918" operator="containsText" text="Yes">
      <formula>NOT(ISERROR(SEARCH(("Yes"),(Q905))))</formula>
    </cfRule>
  </conditionalFormatting>
  <conditionalFormatting sqref="Q905:Q906">
    <cfRule type="containsText" dxfId="9" priority="16919" operator="containsText" text="No">
      <formula>NOT(ISERROR(SEARCH(("No"),(Q905))))</formula>
    </cfRule>
  </conditionalFormatting>
  <conditionalFormatting sqref="Q905:Q906">
    <cfRule type="containsText" dxfId="2" priority="16920" operator="containsText" text="Yes">
      <formula>NOT(ISERROR(SEARCH(("Yes"),(Q905))))</formula>
    </cfRule>
  </conditionalFormatting>
  <conditionalFormatting sqref="Q905:Q906">
    <cfRule type="containsText" dxfId="9" priority="16921" operator="containsText" text="No">
      <formula>NOT(ISERROR(SEARCH(("No"),(Q905))))</formula>
    </cfRule>
  </conditionalFormatting>
  <conditionalFormatting sqref="Q905:Q906">
    <cfRule type="containsText" dxfId="2" priority="16922" operator="containsText" text="Yes">
      <formula>NOT(ISERROR(SEARCH(("Yes"),(Q905))))</formula>
    </cfRule>
  </conditionalFormatting>
  <conditionalFormatting sqref="Q905:Q906">
    <cfRule type="containsText" dxfId="9" priority="16923" operator="containsText" text="No">
      <formula>NOT(ISERROR(SEARCH(("No"),(Q905))))</formula>
    </cfRule>
  </conditionalFormatting>
  <conditionalFormatting sqref="Q905:Q906">
    <cfRule type="containsText" dxfId="2" priority="16924" operator="containsText" text="Yes">
      <formula>NOT(ISERROR(SEARCH(("Yes"),(Q905))))</formula>
    </cfRule>
  </conditionalFormatting>
  <conditionalFormatting sqref="Q905:Q906">
    <cfRule type="containsText" dxfId="9" priority="16925" operator="containsText" text="No">
      <formula>NOT(ISERROR(SEARCH(("No"),(Q905))))</formula>
    </cfRule>
  </conditionalFormatting>
  <conditionalFormatting sqref="Q905:Q906">
    <cfRule type="containsText" dxfId="2" priority="16926" operator="containsText" text="Yes">
      <formula>NOT(ISERROR(SEARCH(("Yes"),(Q905))))</formula>
    </cfRule>
  </conditionalFormatting>
  <conditionalFormatting sqref="Q905:Q906">
    <cfRule type="containsText" dxfId="9" priority="16927" operator="containsText" text="No">
      <formula>NOT(ISERROR(SEARCH(("No"),(Q905))))</formula>
    </cfRule>
  </conditionalFormatting>
  <conditionalFormatting sqref="Q905:Q906">
    <cfRule type="containsText" dxfId="2" priority="16928" operator="containsText" text="Yes">
      <formula>NOT(ISERROR(SEARCH(("Yes"),(Q905))))</formula>
    </cfRule>
  </conditionalFormatting>
  <conditionalFormatting sqref="Q905:Q906">
    <cfRule type="containsText" dxfId="9" priority="16929" operator="containsText" text="No">
      <formula>NOT(ISERROR(SEARCH(("No"),(Q905))))</formula>
    </cfRule>
  </conditionalFormatting>
  <conditionalFormatting sqref="Q905:Q906">
    <cfRule type="containsText" dxfId="2" priority="16930" operator="containsText" text="Yes">
      <formula>NOT(ISERROR(SEARCH(("Yes"),(Q905))))</formula>
    </cfRule>
  </conditionalFormatting>
  <conditionalFormatting sqref="Q905:Q906">
    <cfRule type="containsText" dxfId="9" priority="16931" operator="containsText" text="No">
      <formula>NOT(ISERROR(SEARCH(("No"),(Q905))))</formula>
    </cfRule>
  </conditionalFormatting>
  <conditionalFormatting sqref="Q905:Q906">
    <cfRule type="containsText" dxfId="2" priority="16932" operator="containsText" text="Yes">
      <formula>NOT(ISERROR(SEARCH(("Yes"),(Q905))))</formula>
    </cfRule>
  </conditionalFormatting>
  <conditionalFormatting sqref="Q905:Q906">
    <cfRule type="containsText" dxfId="9" priority="16933" operator="containsText" text="No">
      <formula>NOT(ISERROR(SEARCH(("No"),(Q905))))</formula>
    </cfRule>
  </conditionalFormatting>
  <conditionalFormatting sqref="Q905:Q906">
    <cfRule type="containsText" dxfId="2" priority="16934" operator="containsText" text="Yes">
      <formula>NOT(ISERROR(SEARCH(("Yes"),(Q905))))</formula>
    </cfRule>
  </conditionalFormatting>
  <conditionalFormatting sqref="Q905:Q906">
    <cfRule type="containsText" dxfId="9" priority="16935" operator="containsText" text="No">
      <formula>NOT(ISERROR(SEARCH(("No"),(Q905))))</formula>
    </cfRule>
  </conditionalFormatting>
  <conditionalFormatting sqref="Q905:Q906">
    <cfRule type="containsText" dxfId="2" priority="16936" operator="containsText" text="Yes">
      <formula>NOT(ISERROR(SEARCH(("Yes"),(Q905))))</formula>
    </cfRule>
  </conditionalFormatting>
  <conditionalFormatting sqref="Q905:Q906">
    <cfRule type="containsText" dxfId="9" priority="16937" operator="containsText" text="No">
      <formula>NOT(ISERROR(SEARCH(("No"),(Q905))))</formula>
    </cfRule>
  </conditionalFormatting>
  <conditionalFormatting sqref="Q905:Q906">
    <cfRule type="containsText" dxfId="2" priority="16938" operator="containsText" text="Yes">
      <formula>NOT(ISERROR(SEARCH(("Yes"),(Q905))))</formula>
    </cfRule>
  </conditionalFormatting>
  <conditionalFormatting sqref="Q905:Q906">
    <cfRule type="containsText" dxfId="9" priority="16939" operator="containsText" text="No">
      <formula>NOT(ISERROR(SEARCH(("No"),(Q905))))</formula>
    </cfRule>
  </conditionalFormatting>
  <conditionalFormatting sqref="Q905:Q906">
    <cfRule type="containsText" dxfId="2" priority="16940" operator="containsText" text="Yes">
      <formula>NOT(ISERROR(SEARCH(("Yes"),(Q905))))</formula>
    </cfRule>
  </conditionalFormatting>
  <conditionalFormatting sqref="Q905:Q906">
    <cfRule type="containsText" dxfId="9" priority="16941" operator="containsText" text="No">
      <formula>NOT(ISERROR(SEARCH(("No"),(Q905))))</formula>
    </cfRule>
  </conditionalFormatting>
  <conditionalFormatting sqref="Q905:Q906">
    <cfRule type="containsText" dxfId="2" priority="16942" operator="containsText" text="Yes">
      <formula>NOT(ISERROR(SEARCH(("Yes"),(Q905))))</formula>
    </cfRule>
  </conditionalFormatting>
  <conditionalFormatting sqref="Q905:Q906">
    <cfRule type="containsText" dxfId="9" priority="16943" operator="containsText" text="No">
      <formula>NOT(ISERROR(SEARCH(("No"),(Q905))))</formula>
    </cfRule>
  </conditionalFormatting>
  <conditionalFormatting sqref="Q905:Q906">
    <cfRule type="containsText" dxfId="2" priority="16944" operator="containsText" text="Yes">
      <formula>NOT(ISERROR(SEARCH(("Yes"),(Q905))))</formula>
    </cfRule>
  </conditionalFormatting>
  <conditionalFormatting sqref="Q905:Q906">
    <cfRule type="containsText" dxfId="9" priority="16945" operator="containsText" text="No">
      <formula>NOT(ISERROR(SEARCH(("No"),(Q905))))</formula>
    </cfRule>
  </conditionalFormatting>
  <conditionalFormatting sqref="Q905:Q906">
    <cfRule type="containsText" dxfId="2" priority="16946" operator="containsText" text="Yes">
      <formula>NOT(ISERROR(SEARCH(("Yes"),(Q905))))</formula>
    </cfRule>
  </conditionalFormatting>
  <conditionalFormatting sqref="Q905:Q906">
    <cfRule type="containsText" dxfId="9" priority="16947" operator="containsText" text="No">
      <formula>NOT(ISERROR(SEARCH(("No"),(Q905))))</formula>
    </cfRule>
  </conditionalFormatting>
  <conditionalFormatting sqref="Q905:Q906">
    <cfRule type="containsText" dxfId="2" priority="16948" operator="containsText" text="Yes">
      <formula>NOT(ISERROR(SEARCH(("Yes"),(Q905))))</formula>
    </cfRule>
  </conditionalFormatting>
  <conditionalFormatting sqref="Q905:Q906">
    <cfRule type="containsText" dxfId="9" priority="16949" operator="containsText" text="No">
      <formula>NOT(ISERROR(SEARCH(("No"),(Q905))))</formula>
    </cfRule>
  </conditionalFormatting>
  <conditionalFormatting sqref="Q905:Q906">
    <cfRule type="containsText" dxfId="2" priority="16950" operator="containsText" text="Yes">
      <formula>NOT(ISERROR(SEARCH(("Yes"),(Q905))))</formula>
    </cfRule>
  </conditionalFormatting>
  <conditionalFormatting sqref="Q905:Q906">
    <cfRule type="containsText" dxfId="9" priority="16951" operator="containsText" text="No">
      <formula>NOT(ISERROR(SEARCH(("No"),(Q905))))</formula>
    </cfRule>
  </conditionalFormatting>
  <conditionalFormatting sqref="Q905:Q906">
    <cfRule type="containsText" dxfId="2" priority="16952" operator="containsText" text="Yes">
      <formula>NOT(ISERROR(SEARCH(("Yes"),(Q905))))</formula>
    </cfRule>
  </conditionalFormatting>
  <conditionalFormatting sqref="Q905:Q906">
    <cfRule type="containsText" dxfId="9" priority="16953" operator="containsText" text="No">
      <formula>NOT(ISERROR(SEARCH(("No"),(Q905))))</formula>
    </cfRule>
  </conditionalFormatting>
  <conditionalFormatting sqref="Q905:Q906">
    <cfRule type="containsText" dxfId="2" priority="16954" operator="containsText" text="Yes">
      <formula>NOT(ISERROR(SEARCH(("Yes"),(Q905))))</formula>
    </cfRule>
  </conditionalFormatting>
  <conditionalFormatting sqref="Q905:Q906">
    <cfRule type="containsText" dxfId="9" priority="16955" operator="containsText" text="No">
      <formula>NOT(ISERROR(SEARCH(("No"),(Q905))))</formula>
    </cfRule>
  </conditionalFormatting>
  <conditionalFormatting sqref="Q905:Q906">
    <cfRule type="containsText" dxfId="2" priority="16956" operator="containsText" text="Yes">
      <formula>NOT(ISERROR(SEARCH(("Yes"),(Q905))))</formula>
    </cfRule>
  </conditionalFormatting>
  <conditionalFormatting sqref="Q905:Q906">
    <cfRule type="containsText" dxfId="9" priority="16957" operator="containsText" text="No">
      <formula>NOT(ISERROR(SEARCH(("No"),(Q905))))</formula>
    </cfRule>
  </conditionalFormatting>
  <conditionalFormatting sqref="Q905:Q906">
    <cfRule type="containsText" dxfId="2" priority="16958" operator="containsText" text="Yes">
      <formula>NOT(ISERROR(SEARCH(("Yes"),(Q905))))</formula>
    </cfRule>
  </conditionalFormatting>
  <conditionalFormatting sqref="Q905:Q906">
    <cfRule type="containsText" dxfId="9" priority="16959" operator="containsText" text="No">
      <formula>NOT(ISERROR(SEARCH(("No"),(Q905))))</formula>
    </cfRule>
  </conditionalFormatting>
  <conditionalFormatting sqref="Q905:Q906">
    <cfRule type="containsText" dxfId="2" priority="16960" operator="containsText" text="Yes">
      <formula>NOT(ISERROR(SEARCH(("Yes"),(Q905))))</formula>
    </cfRule>
  </conditionalFormatting>
  <conditionalFormatting sqref="Q905:Q906">
    <cfRule type="containsText" dxfId="9" priority="16961" operator="containsText" text="No">
      <formula>NOT(ISERROR(SEARCH(("No"),(Q905))))</formula>
    </cfRule>
  </conditionalFormatting>
  <conditionalFormatting sqref="Q905:Q906">
    <cfRule type="containsText" dxfId="2" priority="16962" operator="containsText" text="Yes">
      <formula>NOT(ISERROR(SEARCH(("Yes"),(Q905))))</formula>
    </cfRule>
  </conditionalFormatting>
  <conditionalFormatting sqref="Q905:Q906">
    <cfRule type="containsText" dxfId="9" priority="16963" operator="containsText" text="No">
      <formula>NOT(ISERROR(SEARCH(("No"),(Q905))))</formula>
    </cfRule>
  </conditionalFormatting>
  <conditionalFormatting sqref="Q905:Q906">
    <cfRule type="containsText" dxfId="2" priority="16964" operator="containsText" text="Yes">
      <formula>NOT(ISERROR(SEARCH(("Yes"),(Q905))))</formula>
    </cfRule>
  </conditionalFormatting>
  <conditionalFormatting sqref="Q905:Q906">
    <cfRule type="containsText" dxfId="9" priority="16965" operator="containsText" text="No">
      <formula>NOT(ISERROR(SEARCH(("No"),(Q905))))</formula>
    </cfRule>
  </conditionalFormatting>
  <conditionalFormatting sqref="Q905:Q906">
    <cfRule type="containsText" dxfId="2" priority="16966" operator="containsText" text="Yes">
      <formula>NOT(ISERROR(SEARCH(("Yes"),(Q905))))</formula>
    </cfRule>
  </conditionalFormatting>
  <conditionalFormatting sqref="Q905:Q906">
    <cfRule type="containsText" dxfId="9" priority="16967" operator="containsText" text="No">
      <formula>NOT(ISERROR(SEARCH(("No"),(Q905))))</formula>
    </cfRule>
  </conditionalFormatting>
  <conditionalFormatting sqref="Q905:Q906">
    <cfRule type="containsText" dxfId="2" priority="16968" operator="containsText" text="Yes">
      <formula>NOT(ISERROR(SEARCH(("Yes"),(Q905))))</formula>
    </cfRule>
  </conditionalFormatting>
  <conditionalFormatting sqref="Q905:Q906">
    <cfRule type="containsText" dxfId="9" priority="16969" operator="containsText" text="No">
      <formula>NOT(ISERROR(SEARCH(("No"),(Q905))))</formula>
    </cfRule>
  </conditionalFormatting>
  <conditionalFormatting sqref="Q905:Q906">
    <cfRule type="containsText" dxfId="2" priority="16970" operator="containsText" text="Yes">
      <formula>NOT(ISERROR(SEARCH(("Yes"),(Q905))))</formula>
    </cfRule>
  </conditionalFormatting>
  <conditionalFormatting sqref="Q905:Q906">
    <cfRule type="containsText" dxfId="9" priority="16971" operator="containsText" text="No">
      <formula>NOT(ISERROR(SEARCH(("No"),(Q905))))</formula>
    </cfRule>
  </conditionalFormatting>
  <conditionalFormatting sqref="Q905:Q906">
    <cfRule type="containsText" dxfId="2" priority="16972" operator="containsText" text="Yes">
      <formula>NOT(ISERROR(SEARCH(("Yes"),(Q905))))</formula>
    </cfRule>
  </conditionalFormatting>
  <conditionalFormatting sqref="Q905:Q906">
    <cfRule type="containsText" dxfId="9" priority="16973" operator="containsText" text="No">
      <formula>NOT(ISERROR(SEARCH(("No"),(Q905))))</formula>
    </cfRule>
  </conditionalFormatting>
  <conditionalFormatting sqref="Q905:Q906">
    <cfRule type="containsText" dxfId="2" priority="16974" operator="containsText" text="Yes">
      <formula>NOT(ISERROR(SEARCH(("Yes"),(Q905))))</formula>
    </cfRule>
  </conditionalFormatting>
  <conditionalFormatting sqref="Q905:Q906">
    <cfRule type="containsText" dxfId="9" priority="16975" operator="containsText" text="No">
      <formula>NOT(ISERROR(SEARCH(("No"),(Q905))))</formula>
    </cfRule>
  </conditionalFormatting>
  <conditionalFormatting sqref="Q905:Q906">
    <cfRule type="containsText" dxfId="2" priority="16976" operator="containsText" text="Yes">
      <formula>NOT(ISERROR(SEARCH(("Yes"),(Q905))))</formula>
    </cfRule>
  </conditionalFormatting>
  <conditionalFormatting sqref="Q905:Q906">
    <cfRule type="containsText" dxfId="9" priority="16977" operator="containsText" text="No">
      <formula>NOT(ISERROR(SEARCH(("No"),(Q905))))</formula>
    </cfRule>
  </conditionalFormatting>
  <conditionalFormatting sqref="Q905:Q906">
    <cfRule type="containsText" dxfId="2" priority="16978" operator="containsText" text="Yes">
      <formula>NOT(ISERROR(SEARCH(("Yes"),(Q905))))</formula>
    </cfRule>
  </conditionalFormatting>
  <conditionalFormatting sqref="Q905:Q906">
    <cfRule type="containsText" dxfId="9" priority="16979" operator="containsText" text="No">
      <formula>NOT(ISERROR(SEARCH(("No"),(Q905))))</formula>
    </cfRule>
  </conditionalFormatting>
  <conditionalFormatting sqref="Q905:Q906">
    <cfRule type="containsText" dxfId="2" priority="16980" operator="containsText" text="Yes">
      <formula>NOT(ISERROR(SEARCH(("Yes"),(Q905))))</formula>
    </cfRule>
  </conditionalFormatting>
  <conditionalFormatting sqref="Q905:Q906">
    <cfRule type="containsText" dxfId="9" priority="16981" operator="containsText" text="No">
      <formula>NOT(ISERROR(SEARCH(("No"),(Q905))))</formula>
    </cfRule>
  </conditionalFormatting>
  <conditionalFormatting sqref="Q905:Q906">
    <cfRule type="containsText" dxfId="2" priority="16982" operator="containsText" text="Yes">
      <formula>NOT(ISERROR(SEARCH(("Yes"),(Q905))))</formula>
    </cfRule>
  </conditionalFormatting>
  <conditionalFormatting sqref="Q905:Q906">
    <cfRule type="containsText" dxfId="9" priority="16983" operator="containsText" text="No">
      <formula>NOT(ISERROR(SEARCH(("No"),(Q905))))</formula>
    </cfRule>
  </conditionalFormatting>
  <conditionalFormatting sqref="Q905:Q906">
    <cfRule type="containsText" dxfId="2" priority="16984" operator="containsText" text="Yes">
      <formula>NOT(ISERROR(SEARCH(("Yes"),(Q905))))</formula>
    </cfRule>
  </conditionalFormatting>
  <conditionalFormatting sqref="Q905:Q906">
    <cfRule type="containsText" dxfId="9" priority="16985" operator="containsText" text="No">
      <formula>NOT(ISERROR(SEARCH(("No"),(Q905))))</formula>
    </cfRule>
  </conditionalFormatting>
  <conditionalFormatting sqref="Q905:Q906">
    <cfRule type="containsText" dxfId="2" priority="16986" operator="containsText" text="Yes">
      <formula>NOT(ISERROR(SEARCH(("Yes"),(Q905))))</formula>
    </cfRule>
  </conditionalFormatting>
  <conditionalFormatting sqref="Q905:Q906">
    <cfRule type="containsText" dxfId="9" priority="16987" operator="containsText" text="No">
      <formula>NOT(ISERROR(SEARCH(("No"),(Q905))))</formula>
    </cfRule>
  </conditionalFormatting>
  <conditionalFormatting sqref="Q905:Q906">
    <cfRule type="containsText" dxfId="2" priority="16988" operator="containsText" text="Yes">
      <formula>NOT(ISERROR(SEARCH(("Yes"),(Q905))))</formula>
    </cfRule>
  </conditionalFormatting>
  <conditionalFormatting sqref="Q905:Q906">
    <cfRule type="containsText" dxfId="2" priority="16989" operator="containsText" text="Yes">
      <formula>NOT(ISERROR(SEARCH(("Yes"),(Q905))))</formula>
    </cfRule>
  </conditionalFormatting>
  <conditionalFormatting sqref="Q905:Q906">
    <cfRule type="containsText" dxfId="9" priority="16990" operator="containsText" text="No">
      <formula>NOT(ISERROR(SEARCH(("No"),(Q905))))</formula>
    </cfRule>
  </conditionalFormatting>
  <conditionalFormatting sqref="Q905:Q906">
    <cfRule type="containsText" dxfId="2" priority="16991" operator="containsText" text="Yes">
      <formula>NOT(ISERROR(SEARCH(("Yes"),(Q905))))</formula>
    </cfRule>
  </conditionalFormatting>
  <conditionalFormatting sqref="Q909:Q923">
    <cfRule type="containsText" dxfId="2" priority="16992" operator="containsText" text="Yes">
      <formula>NOT(ISERROR(SEARCH(("Yes"),(Q909))))</formula>
    </cfRule>
  </conditionalFormatting>
  <conditionalFormatting sqref="Q909:Q923">
    <cfRule type="containsText" dxfId="9" priority="16993" operator="containsText" text="No">
      <formula>NOT(ISERROR(SEARCH(("No"),(Q909))))</formula>
    </cfRule>
  </conditionalFormatting>
  <conditionalFormatting sqref="Q909:Q923">
    <cfRule type="containsText" dxfId="2" priority="16994" operator="containsText" text="Yes">
      <formula>NOT(ISERROR(SEARCH(("Yes"),(Q909))))</formula>
    </cfRule>
  </conditionalFormatting>
  <conditionalFormatting sqref="Q909:Q923">
    <cfRule type="containsText" dxfId="9" priority="16995" operator="containsText" text="No">
      <formula>NOT(ISERROR(SEARCH(("No"),(Q909))))</formula>
    </cfRule>
  </conditionalFormatting>
  <conditionalFormatting sqref="Q909:Q923">
    <cfRule type="containsText" dxfId="2" priority="16996" operator="containsText" text="Yes">
      <formula>NOT(ISERROR(SEARCH(("Yes"),(Q909))))</formula>
    </cfRule>
  </conditionalFormatting>
  <conditionalFormatting sqref="Q909:Q923">
    <cfRule type="containsText" dxfId="9" priority="16997" operator="containsText" text="No">
      <formula>NOT(ISERROR(SEARCH(("No"),(Q909))))</formula>
    </cfRule>
  </conditionalFormatting>
  <conditionalFormatting sqref="Q909:Q923">
    <cfRule type="containsText" dxfId="2" priority="16998" operator="containsText" text="Yes">
      <formula>NOT(ISERROR(SEARCH(("Yes"),(Q909))))</formula>
    </cfRule>
  </conditionalFormatting>
  <conditionalFormatting sqref="Q909:Q923">
    <cfRule type="containsText" dxfId="9" priority="16999" operator="containsText" text="No">
      <formula>NOT(ISERROR(SEARCH(("No"),(Q909))))</formula>
    </cfRule>
  </conditionalFormatting>
  <conditionalFormatting sqref="Q909:Q923">
    <cfRule type="containsText" dxfId="2" priority="17000" operator="containsText" text="Yes">
      <formula>NOT(ISERROR(SEARCH(("Yes"),(Q909))))</formula>
    </cfRule>
  </conditionalFormatting>
  <conditionalFormatting sqref="Q909:Q923">
    <cfRule type="containsText" dxfId="9" priority="17001" operator="containsText" text="No">
      <formula>NOT(ISERROR(SEARCH(("No"),(Q909))))</formula>
    </cfRule>
  </conditionalFormatting>
  <conditionalFormatting sqref="Q909:Q923">
    <cfRule type="containsText" dxfId="2" priority="17002" operator="containsText" text="Yes">
      <formula>NOT(ISERROR(SEARCH(("Yes"),(Q909))))</formula>
    </cfRule>
  </conditionalFormatting>
  <conditionalFormatting sqref="Q909:Q923">
    <cfRule type="containsText" dxfId="9" priority="17003" operator="containsText" text="No">
      <formula>NOT(ISERROR(SEARCH(("No"),(Q909))))</formula>
    </cfRule>
  </conditionalFormatting>
  <conditionalFormatting sqref="Q909:Q923">
    <cfRule type="containsText" dxfId="2" priority="17004" operator="containsText" text="Yes">
      <formula>NOT(ISERROR(SEARCH(("Yes"),(Q909))))</formula>
    </cfRule>
  </conditionalFormatting>
  <conditionalFormatting sqref="Q909:Q923">
    <cfRule type="containsText" dxfId="9" priority="17005" operator="containsText" text="No">
      <formula>NOT(ISERROR(SEARCH(("No"),(Q909))))</formula>
    </cfRule>
  </conditionalFormatting>
  <conditionalFormatting sqref="Q909:Q923">
    <cfRule type="containsText" dxfId="2" priority="17006" operator="containsText" text="Yes">
      <formula>NOT(ISERROR(SEARCH(("Yes"),(Q909))))</formula>
    </cfRule>
  </conditionalFormatting>
  <conditionalFormatting sqref="Q909:Q923">
    <cfRule type="containsText" dxfId="9" priority="17007" operator="containsText" text="No">
      <formula>NOT(ISERROR(SEARCH(("No"),(Q909))))</formula>
    </cfRule>
  </conditionalFormatting>
  <conditionalFormatting sqref="Q909:Q923">
    <cfRule type="containsText" dxfId="2" priority="17008" operator="containsText" text="Yes">
      <formula>NOT(ISERROR(SEARCH(("Yes"),(Q909))))</formula>
    </cfRule>
  </conditionalFormatting>
  <conditionalFormatting sqref="Q909:Q923">
    <cfRule type="containsText" dxfId="9" priority="17009" operator="containsText" text="No">
      <formula>NOT(ISERROR(SEARCH(("No"),(Q909))))</formula>
    </cfRule>
  </conditionalFormatting>
  <conditionalFormatting sqref="Q909:Q923">
    <cfRule type="containsText" dxfId="2" priority="17010" operator="containsText" text="Yes">
      <formula>NOT(ISERROR(SEARCH(("Yes"),(Q909))))</formula>
    </cfRule>
  </conditionalFormatting>
  <conditionalFormatting sqref="Q909:Q923">
    <cfRule type="containsText" dxfId="9" priority="17011" operator="containsText" text="No">
      <formula>NOT(ISERROR(SEARCH(("No"),(Q909))))</formula>
    </cfRule>
  </conditionalFormatting>
  <conditionalFormatting sqref="Q909:Q923">
    <cfRule type="containsText" dxfId="2" priority="17012" operator="containsText" text="Yes">
      <formula>NOT(ISERROR(SEARCH(("Yes"),(Q909))))</formula>
    </cfRule>
  </conditionalFormatting>
  <conditionalFormatting sqref="Q909:Q923">
    <cfRule type="containsText" dxfId="9" priority="17013" operator="containsText" text="No">
      <formula>NOT(ISERROR(SEARCH(("No"),(Q909))))</formula>
    </cfRule>
  </conditionalFormatting>
  <conditionalFormatting sqref="Q909:Q923">
    <cfRule type="containsText" dxfId="2" priority="17014" operator="containsText" text="Yes">
      <formula>NOT(ISERROR(SEARCH(("Yes"),(Q909))))</formula>
    </cfRule>
  </conditionalFormatting>
  <conditionalFormatting sqref="Q909:Q923">
    <cfRule type="containsText" dxfId="9" priority="17015" operator="containsText" text="No">
      <formula>NOT(ISERROR(SEARCH(("No"),(Q909))))</formula>
    </cfRule>
  </conditionalFormatting>
  <conditionalFormatting sqref="Q909:Q923">
    <cfRule type="containsText" dxfId="2" priority="17016" operator="containsText" text="Yes">
      <formula>NOT(ISERROR(SEARCH(("Yes"),(Q909))))</formula>
    </cfRule>
  </conditionalFormatting>
  <conditionalFormatting sqref="Q909:Q923">
    <cfRule type="containsText" dxfId="9" priority="17017" operator="containsText" text="No">
      <formula>NOT(ISERROR(SEARCH(("No"),(Q909))))</formula>
    </cfRule>
  </conditionalFormatting>
  <conditionalFormatting sqref="Q909:Q923">
    <cfRule type="containsText" dxfId="2" priority="17018" operator="containsText" text="Yes">
      <formula>NOT(ISERROR(SEARCH(("Yes"),(Q909))))</formula>
    </cfRule>
  </conditionalFormatting>
  <conditionalFormatting sqref="Q909:Q923">
    <cfRule type="containsText" dxfId="9" priority="17019" operator="containsText" text="No">
      <formula>NOT(ISERROR(SEARCH(("No"),(Q909))))</formula>
    </cfRule>
  </conditionalFormatting>
  <conditionalFormatting sqref="Q909:Q923">
    <cfRule type="containsText" dxfId="2" priority="17020" operator="containsText" text="Yes">
      <formula>NOT(ISERROR(SEARCH(("Yes"),(Q909))))</formula>
    </cfRule>
  </conditionalFormatting>
  <conditionalFormatting sqref="Q909:Q923">
    <cfRule type="containsText" dxfId="9" priority="17021" operator="containsText" text="No">
      <formula>NOT(ISERROR(SEARCH(("No"),(Q909))))</formula>
    </cfRule>
  </conditionalFormatting>
  <conditionalFormatting sqref="Q909:Q923">
    <cfRule type="containsText" dxfId="2" priority="17022" operator="containsText" text="Yes">
      <formula>NOT(ISERROR(SEARCH(("Yes"),(Q909))))</formula>
    </cfRule>
  </conditionalFormatting>
  <conditionalFormatting sqref="Q909:Q923">
    <cfRule type="containsText" dxfId="9" priority="17023" operator="containsText" text="No">
      <formula>NOT(ISERROR(SEARCH(("No"),(Q909))))</formula>
    </cfRule>
  </conditionalFormatting>
  <conditionalFormatting sqref="Q909:Q923">
    <cfRule type="containsText" dxfId="2" priority="17024" operator="containsText" text="Yes">
      <formula>NOT(ISERROR(SEARCH(("Yes"),(Q909))))</formula>
    </cfRule>
  </conditionalFormatting>
  <conditionalFormatting sqref="Q909:Q923">
    <cfRule type="containsText" dxfId="9" priority="17025" operator="containsText" text="No">
      <formula>NOT(ISERROR(SEARCH(("No"),(Q909))))</formula>
    </cfRule>
  </conditionalFormatting>
  <conditionalFormatting sqref="Q909:Q923">
    <cfRule type="containsText" dxfId="2" priority="17026" operator="containsText" text="Yes">
      <formula>NOT(ISERROR(SEARCH(("Yes"),(Q909))))</formula>
    </cfRule>
  </conditionalFormatting>
  <conditionalFormatting sqref="Q909:Q923">
    <cfRule type="containsText" dxfId="9" priority="17027" operator="containsText" text="No">
      <formula>NOT(ISERROR(SEARCH(("No"),(Q909))))</formula>
    </cfRule>
  </conditionalFormatting>
  <conditionalFormatting sqref="Q909:Q923">
    <cfRule type="containsText" dxfId="2" priority="17028" operator="containsText" text="Yes">
      <formula>NOT(ISERROR(SEARCH(("Yes"),(Q909))))</formula>
    </cfRule>
  </conditionalFormatting>
  <conditionalFormatting sqref="Q909:Q923">
    <cfRule type="containsText" dxfId="9" priority="17029" operator="containsText" text="No">
      <formula>NOT(ISERROR(SEARCH(("No"),(Q909))))</formula>
    </cfRule>
  </conditionalFormatting>
  <conditionalFormatting sqref="Q909:Q923">
    <cfRule type="containsText" dxfId="2" priority="17030" operator="containsText" text="Yes">
      <formula>NOT(ISERROR(SEARCH(("Yes"),(Q909))))</formula>
    </cfRule>
  </conditionalFormatting>
  <conditionalFormatting sqref="Q909:Q923">
    <cfRule type="containsText" dxfId="9" priority="17031" operator="containsText" text="No">
      <formula>NOT(ISERROR(SEARCH(("No"),(Q909))))</formula>
    </cfRule>
  </conditionalFormatting>
  <conditionalFormatting sqref="Q909:Q923">
    <cfRule type="containsText" dxfId="2" priority="17032" operator="containsText" text="Yes">
      <formula>NOT(ISERROR(SEARCH(("Yes"),(Q909))))</formula>
    </cfRule>
  </conditionalFormatting>
  <conditionalFormatting sqref="Q909:Q923">
    <cfRule type="containsText" dxfId="9" priority="17033" operator="containsText" text="No">
      <formula>NOT(ISERROR(SEARCH(("No"),(Q909))))</formula>
    </cfRule>
  </conditionalFormatting>
  <conditionalFormatting sqref="Q909:Q923">
    <cfRule type="containsText" dxfId="2" priority="17034" operator="containsText" text="Yes">
      <formula>NOT(ISERROR(SEARCH(("Yes"),(Q909))))</formula>
    </cfRule>
  </conditionalFormatting>
  <conditionalFormatting sqref="Q909:Q923">
    <cfRule type="containsText" dxfId="9" priority="17035" operator="containsText" text="No">
      <formula>NOT(ISERROR(SEARCH(("No"),(Q909))))</formula>
    </cfRule>
  </conditionalFormatting>
  <conditionalFormatting sqref="Q909:Q923">
    <cfRule type="containsText" dxfId="2" priority="17036" operator="containsText" text="Yes">
      <formula>NOT(ISERROR(SEARCH(("Yes"),(Q909))))</formula>
    </cfRule>
  </conditionalFormatting>
  <conditionalFormatting sqref="Q909:Q923">
    <cfRule type="containsText" dxfId="9" priority="17037" operator="containsText" text="No">
      <formula>NOT(ISERROR(SEARCH(("No"),(Q909))))</formula>
    </cfRule>
  </conditionalFormatting>
  <conditionalFormatting sqref="Q909:Q923">
    <cfRule type="containsText" dxfId="2" priority="17038" operator="containsText" text="Yes">
      <formula>NOT(ISERROR(SEARCH(("Yes"),(Q909))))</formula>
    </cfRule>
  </conditionalFormatting>
  <conditionalFormatting sqref="Q909:Q923">
    <cfRule type="containsText" dxfId="9" priority="17039" operator="containsText" text="No">
      <formula>NOT(ISERROR(SEARCH(("No"),(Q909))))</formula>
    </cfRule>
  </conditionalFormatting>
  <conditionalFormatting sqref="Q909:Q923">
    <cfRule type="containsText" dxfId="2" priority="17040" operator="containsText" text="Yes">
      <formula>NOT(ISERROR(SEARCH(("Yes"),(Q909))))</formula>
    </cfRule>
  </conditionalFormatting>
  <conditionalFormatting sqref="Q909:Q923">
    <cfRule type="containsText" dxfId="9" priority="17041" operator="containsText" text="No">
      <formula>NOT(ISERROR(SEARCH(("No"),(Q909))))</formula>
    </cfRule>
  </conditionalFormatting>
  <conditionalFormatting sqref="Q909:Q923">
    <cfRule type="containsText" dxfId="2" priority="17042" operator="containsText" text="Yes">
      <formula>NOT(ISERROR(SEARCH(("Yes"),(Q909))))</formula>
    </cfRule>
  </conditionalFormatting>
  <conditionalFormatting sqref="Q909:Q923">
    <cfRule type="containsText" dxfId="9" priority="17043" operator="containsText" text="No">
      <formula>NOT(ISERROR(SEARCH(("No"),(Q909))))</formula>
    </cfRule>
  </conditionalFormatting>
  <conditionalFormatting sqref="Q909:Q923">
    <cfRule type="containsText" dxfId="2" priority="17044" operator="containsText" text="Yes">
      <formula>NOT(ISERROR(SEARCH(("Yes"),(Q909))))</formula>
    </cfRule>
  </conditionalFormatting>
  <conditionalFormatting sqref="Q909:Q923">
    <cfRule type="containsText" dxfId="9" priority="17045" operator="containsText" text="No">
      <formula>NOT(ISERROR(SEARCH(("No"),(Q909))))</formula>
    </cfRule>
  </conditionalFormatting>
  <conditionalFormatting sqref="Q909:Q923">
    <cfRule type="containsText" dxfId="2" priority="17046" operator="containsText" text="Yes">
      <formula>NOT(ISERROR(SEARCH(("Yes"),(Q909))))</formula>
    </cfRule>
  </conditionalFormatting>
  <conditionalFormatting sqref="Q909:Q923">
    <cfRule type="containsText" dxfId="9" priority="17047" operator="containsText" text="No">
      <formula>NOT(ISERROR(SEARCH(("No"),(Q909))))</formula>
    </cfRule>
  </conditionalFormatting>
  <conditionalFormatting sqref="Q909:Q923">
    <cfRule type="containsText" dxfId="2" priority="17048" operator="containsText" text="Yes">
      <formula>NOT(ISERROR(SEARCH(("Yes"),(Q909))))</formula>
    </cfRule>
  </conditionalFormatting>
  <conditionalFormatting sqref="Q909:Q923">
    <cfRule type="containsText" dxfId="9" priority="17049" operator="containsText" text="No">
      <formula>NOT(ISERROR(SEARCH(("No"),(Q909))))</formula>
    </cfRule>
  </conditionalFormatting>
  <conditionalFormatting sqref="Q909:Q923">
    <cfRule type="containsText" dxfId="2" priority="17050" operator="containsText" text="Yes">
      <formula>NOT(ISERROR(SEARCH(("Yes"),(Q909))))</formula>
    </cfRule>
  </conditionalFormatting>
  <conditionalFormatting sqref="Q909:Q923">
    <cfRule type="containsText" dxfId="9" priority="17051" operator="containsText" text="No">
      <formula>NOT(ISERROR(SEARCH(("No"),(Q909))))</formula>
    </cfRule>
  </conditionalFormatting>
  <conditionalFormatting sqref="Q909:Q923">
    <cfRule type="containsText" dxfId="2" priority="17052" operator="containsText" text="Yes">
      <formula>NOT(ISERROR(SEARCH(("Yes"),(Q909))))</formula>
    </cfRule>
  </conditionalFormatting>
  <conditionalFormatting sqref="Q909:Q923">
    <cfRule type="containsText" dxfId="9" priority="17053" operator="containsText" text="No">
      <formula>NOT(ISERROR(SEARCH(("No"),(Q909))))</formula>
    </cfRule>
  </conditionalFormatting>
  <conditionalFormatting sqref="Q909:Q923">
    <cfRule type="containsText" dxfId="2" priority="17054" operator="containsText" text="Yes">
      <formula>NOT(ISERROR(SEARCH(("Yes"),(Q909))))</formula>
    </cfRule>
  </conditionalFormatting>
  <conditionalFormatting sqref="Q909:Q923">
    <cfRule type="containsText" dxfId="9" priority="17055" operator="containsText" text="No">
      <formula>NOT(ISERROR(SEARCH(("No"),(Q909))))</formula>
    </cfRule>
  </conditionalFormatting>
  <conditionalFormatting sqref="Q909:Q923">
    <cfRule type="containsText" dxfId="2" priority="17056" operator="containsText" text="Yes">
      <formula>NOT(ISERROR(SEARCH(("Yes"),(Q909))))</formula>
    </cfRule>
  </conditionalFormatting>
  <conditionalFormatting sqref="Q909:Q923">
    <cfRule type="containsText" dxfId="9" priority="17057" operator="containsText" text="No">
      <formula>NOT(ISERROR(SEARCH(("No"),(Q909))))</formula>
    </cfRule>
  </conditionalFormatting>
  <conditionalFormatting sqref="Q909:Q923">
    <cfRule type="containsText" dxfId="2" priority="17058" operator="containsText" text="Yes">
      <formula>NOT(ISERROR(SEARCH(("Yes"),(Q909))))</formula>
    </cfRule>
  </conditionalFormatting>
  <conditionalFormatting sqref="Q909:Q923">
    <cfRule type="containsText" dxfId="9" priority="17059" operator="containsText" text="No">
      <formula>NOT(ISERROR(SEARCH(("No"),(Q909))))</formula>
    </cfRule>
  </conditionalFormatting>
  <conditionalFormatting sqref="Q909:Q923">
    <cfRule type="containsText" dxfId="2" priority="17060" operator="containsText" text="Yes">
      <formula>NOT(ISERROR(SEARCH(("Yes"),(Q909))))</formula>
    </cfRule>
  </conditionalFormatting>
  <conditionalFormatting sqref="Q909:Q923">
    <cfRule type="containsText" dxfId="9" priority="17061" operator="containsText" text="No">
      <formula>NOT(ISERROR(SEARCH(("No"),(Q909))))</formula>
    </cfRule>
  </conditionalFormatting>
  <conditionalFormatting sqref="Q909:Q923">
    <cfRule type="containsText" dxfId="2" priority="17062" operator="containsText" text="Yes">
      <formula>NOT(ISERROR(SEARCH(("Yes"),(Q909))))</formula>
    </cfRule>
  </conditionalFormatting>
  <conditionalFormatting sqref="Q909:Q923">
    <cfRule type="containsText" dxfId="9" priority="17063" operator="containsText" text="No">
      <formula>NOT(ISERROR(SEARCH(("No"),(Q909))))</formula>
    </cfRule>
  </conditionalFormatting>
  <conditionalFormatting sqref="Q909:Q923">
    <cfRule type="containsText" dxfId="2" priority="17064" operator="containsText" text="Yes">
      <formula>NOT(ISERROR(SEARCH(("Yes"),(Q909))))</formula>
    </cfRule>
  </conditionalFormatting>
  <conditionalFormatting sqref="Q909:Q923">
    <cfRule type="containsText" dxfId="9" priority="17065" operator="containsText" text="No">
      <formula>NOT(ISERROR(SEARCH(("No"),(Q909))))</formula>
    </cfRule>
  </conditionalFormatting>
  <conditionalFormatting sqref="Q909:Q923">
    <cfRule type="containsText" dxfId="2" priority="17066" operator="containsText" text="Yes">
      <formula>NOT(ISERROR(SEARCH(("Yes"),(Q909))))</formula>
    </cfRule>
  </conditionalFormatting>
  <conditionalFormatting sqref="Q909:Q923">
    <cfRule type="containsText" dxfId="9" priority="17067" operator="containsText" text="No">
      <formula>NOT(ISERROR(SEARCH(("No"),(Q909))))</formula>
    </cfRule>
  </conditionalFormatting>
  <conditionalFormatting sqref="Q909:Q923">
    <cfRule type="containsText" dxfId="2" priority="17068" operator="containsText" text="Yes">
      <formula>NOT(ISERROR(SEARCH(("Yes"),(Q909))))</formula>
    </cfRule>
  </conditionalFormatting>
  <conditionalFormatting sqref="Q909:Q923">
    <cfRule type="containsText" dxfId="9" priority="17069" operator="containsText" text="No">
      <formula>NOT(ISERROR(SEARCH(("No"),(Q909))))</formula>
    </cfRule>
  </conditionalFormatting>
  <conditionalFormatting sqref="Q909:Q923">
    <cfRule type="containsText" dxfId="2" priority="17070" operator="containsText" text="Yes">
      <formula>NOT(ISERROR(SEARCH(("Yes"),(Q909))))</formula>
    </cfRule>
  </conditionalFormatting>
  <conditionalFormatting sqref="Q909:Q923">
    <cfRule type="containsText" dxfId="9" priority="17071" operator="containsText" text="No">
      <formula>NOT(ISERROR(SEARCH(("No"),(Q909))))</formula>
    </cfRule>
  </conditionalFormatting>
  <conditionalFormatting sqref="Q909:Q923">
    <cfRule type="containsText" dxfId="2" priority="17072" operator="containsText" text="Yes">
      <formula>NOT(ISERROR(SEARCH(("Yes"),(Q909))))</formula>
    </cfRule>
  </conditionalFormatting>
  <conditionalFormatting sqref="Q909:Q923">
    <cfRule type="containsText" dxfId="9" priority="17073" operator="containsText" text="No">
      <formula>NOT(ISERROR(SEARCH(("No"),(Q909))))</formula>
    </cfRule>
  </conditionalFormatting>
  <conditionalFormatting sqref="Q909:Q923">
    <cfRule type="containsText" dxfId="2" priority="17074" operator="containsText" text="Yes">
      <formula>NOT(ISERROR(SEARCH(("Yes"),(Q909))))</formula>
    </cfRule>
  </conditionalFormatting>
  <conditionalFormatting sqref="Q909:Q923">
    <cfRule type="containsText" dxfId="9" priority="17075" operator="containsText" text="No">
      <formula>NOT(ISERROR(SEARCH(("No"),(Q909))))</formula>
    </cfRule>
  </conditionalFormatting>
  <conditionalFormatting sqref="Q909:Q923">
    <cfRule type="containsText" dxfId="2" priority="17076" operator="containsText" text="Yes">
      <formula>NOT(ISERROR(SEARCH(("Yes"),(Q909))))</formula>
    </cfRule>
  </conditionalFormatting>
  <conditionalFormatting sqref="Q909:Q923">
    <cfRule type="containsText" dxfId="9" priority="17077" operator="containsText" text="No">
      <formula>NOT(ISERROR(SEARCH(("No"),(Q909))))</formula>
    </cfRule>
  </conditionalFormatting>
  <conditionalFormatting sqref="Q909:Q923">
    <cfRule type="containsText" dxfId="2" priority="17078" operator="containsText" text="Yes">
      <formula>NOT(ISERROR(SEARCH(("Yes"),(Q909))))</formula>
    </cfRule>
  </conditionalFormatting>
  <conditionalFormatting sqref="Q909:Q923">
    <cfRule type="containsText" dxfId="9" priority="17079" operator="containsText" text="No">
      <formula>NOT(ISERROR(SEARCH(("No"),(Q909))))</formula>
    </cfRule>
  </conditionalFormatting>
  <conditionalFormatting sqref="Q909:Q923">
    <cfRule type="containsText" dxfId="2" priority="17080" operator="containsText" text="Yes">
      <formula>NOT(ISERROR(SEARCH(("Yes"),(Q909))))</formula>
    </cfRule>
  </conditionalFormatting>
  <conditionalFormatting sqref="Q909:Q923">
    <cfRule type="containsText" dxfId="2" priority="17081" operator="containsText" text="Yes">
      <formula>NOT(ISERROR(SEARCH(("Yes"),(Q909))))</formula>
    </cfRule>
  </conditionalFormatting>
  <conditionalFormatting sqref="Q909:Q923">
    <cfRule type="containsText" dxfId="9" priority="17082" operator="containsText" text="No">
      <formula>NOT(ISERROR(SEARCH(("No"),(Q909))))</formula>
    </cfRule>
  </conditionalFormatting>
  <conditionalFormatting sqref="Q909:Q923">
    <cfRule type="containsText" dxfId="2" priority="17083" operator="containsText" text="Yes">
      <formula>NOT(ISERROR(SEARCH(("Yes"),(Q909))))</formula>
    </cfRule>
  </conditionalFormatting>
  <conditionalFormatting sqref="N924:O925 Q924:Q925">
    <cfRule type="containsText" dxfId="2" priority="17084" operator="containsText" text="Yes">
      <formula>NOT(ISERROR(SEARCH(("Yes"),(N924))))</formula>
    </cfRule>
  </conditionalFormatting>
  <conditionalFormatting sqref="Q926:Q938">
    <cfRule type="containsText" dxfId="2" priority="17085" operator="containsText" text="Yes">
      <formula>NOT(ISERROR(SEARCH(("Yes"),(Q926))))</formula>
    </cfRule>
  </conditionalFormatting>
  <conditionalFormatting sqref="Q926:Q938">
    <cfRule type="containsText" dxfId="9" priority="17086" operator="containsText" text="No">
      <formula>NOT(ISERROR(SEARCH(("No"),(Q926))))</formula>
    </cfRule>
  </conditionalFormatting>
  <conditionalFormatting sqref="Q926:Q938">
    <cfRule type="containsText" dxfId="2" priority="17087" operator="containsText" text="Yes">
      <formula>NOT(ISERROR(SEARCH(("Yes"),(Q926))))</formula>
    </cfRule>
  </conditionalFormatting>
  <conditionalFormatting sqref="Q926:Q938">
    <cfRule type="containsText" dxfId="9" priority="17088" operator="containsText" text="No">
      <formula>NOT(ISERROR(SEARCH(("No"),(Q926))))</formula>
    </cfRule>
  </conditionalFormatting>
  <conditionalFormatting sqref="Q926:Q938">
    <cfRule type="containsText" dxfId="2" priority="17089" operator="containsText" text="Yes">
      <formula>NOT(ISERROR(SEARCH(("Yes"),(Q926))))</formula>
    </cfRule>
  </conditionalFormatting>
  <conditionalFormatting sqref="Q926:Q938">
    <cfRule type="containsText" dxfId="9" priority="17090" operator="containsText" text="No">
      <formula>NOT(ISERROR(SEARCH(("No"),(Q926))))</formula>
    </cfRule>
  </conditionalFormatting>
  <conditionalFormatting sqref="Q926:Q938">
    <cfRule type="containsText" dxfId="2" priority="17091" operator="containsText" text="Yes">
      <formula>NOT(ISERROR(SEARCH(("Yes"),(Q926))))</formula>
    </cfRule>
  </conditionalFormatting>
  <conditionalFormatting sqref="Q926:Q938">
    <cfRule type="containsText" dxfId="9" priority="17092" operator="containsText" text="No">
      <formula>NOT(ISERROR(SEARCH(("No"),(Q926))))</formula>
    </cfRule>
  </conditionalFormatting>
  <conditionalFormatting sqref="Q926:Q938">
    <cfRule type="containsText" dxfId="2" priority="17093" operator="containsText" text="Yes">
      <formula>NOT(ISERROR(SEARCH(("Yes"),(Q926))))</formula>
    </cfRule>
  </conditionalFormatting>
  <conditionalFormatting sqref="Q926:Q938">
    <cfRule type="containsText" dxfId="9" priority="17094" operator="containsText" text="No">
      <formula>NOT(ISERROR(SEARCH(("No"),(Q926))))</formula>
    </cfRule>
  </conditionalFormatting>
  <conditionalFormatting sqref="Q926:Q938">
    <cfRule type="containsText" dxfId="2" priority="17095" operator="containsText" text="Yes">
      <formula>NOT(ISERROR(SEARCH(("Yes"),(Q926))))</formula>
    </cfRule>
  </conditionalFormatting>
  <conditionalFormatting sqref="Q926:Q938">
    <cfRule type="containsText" dxfId="9" priority="17096" operator="containsText" text="No">
      <formula>NOT(ISERROR(SEARCH(("No"),(Q926))))</formula>
    </cfRule>
  </conditionalFormatting>
  <conditionalFormatting sqref="Q926:Q938">
    <cfRule type="containsText" dxfId="2" priority="17097" operator="containsText" text="Yes">
      <formula>NOT(ISERROR(SEARCH(("Yes"),(Q926))))</formula>
    </cfRule>
  </conditionalFormatting>
  <conditionalFormatting sqref="Q926:Q938">
    <cfRule type="containsText" dxfId="9" priority="17098" operator="containsText" text="No">
      <formula>NOT(ISERROR(SEARCH(("No"),(Q926))))</formula>
    </cfRule>
  </conditionalFormatting>
  <conditionalFormatting sqref="Q926:Q938">
    <cfRule type="containsText" dxfId="2" priority="17099" operator="containsText" text="Yes">
      <formula>NOT(ISERROR(SEARCH(("Yes"),(Q926))))</formula>
    </cfRule>
  </conditionalFormatting>
  <conditionalFormatting sqref="Q926:Q938">
    <cfRule type="containsText" dxfId="9" priority="17100" operator="containsText" text="No">
      <formula>NOT(ISERROR(SEARCH(("No"),(Q926))))</formula>
    </cfRule>
  </conditionalFormatting>
  <conditionalFormatting sqref="Q926:Q938">
    <cfRule type="containsText" dxfId="2" priority="17101" operator="containsText" text="Yes">
      <formula>NOT(ISERROR(SEARCH(("Yes"),(Q926))))</formula>
    </cfRule>
  </conditionalFormatting>
  <conditionalFormatting sqref="Q926:Q938">
    <cfRule type="containsText" dxfId="9" priority="17102" operator="containsText" text="No">
      <formula>NOT(ISERROR(SEARCH(("No"),(Q926))))</formula>
    </cfRule>
  </conditionalFormatting>
  <conditionalFormatting sqref="Q926:Q938">
    <cfRule type="containsText" dxfId="2" priority="17103" operator="containsText" text="Yes">
      <formula>NOT(ISERROR(SEARCH(("Yes"),(Q926))))</formula>
    </cfRule>
  </conditionalFormatting>
  <conditionalFormatting sqref="Q926:Q938">
    <cfRule type="containsText" dxfId="9" priority="17104" operator="containsText" text="No">
      <formula>NOT(ISERROR(SEARCH(("No"),(Q926))))</formula>
    </cfRule>
  </conditionalFormatting>
  <conditionalFormatting sqref="Q926:Q938">
    <cfRule type="containsText" dxfId="2" priority="17105" operator="containsText" text="Yes">
      <formula>NOT(ISERROR(SEARCH(("Yes"),(Q926))))</formula>
    </cfRule>
  </conditionalFormatting>
  <conditionalFormatting sqref="Q926:Q938">
    <cfRule type="containsText" dxfId="9" priority="17106" operator="containsText" text="No">
      <formula>NOT(ISERROR(SEARCH(("No"),(Q926))))</formula>
    </cfRule>
  </conditionalFormatting>
  <conditionalFormatting sqref="Q926:Q938">
    <cfRule type="containsText" dxfId="2" priority="17107" operator="containsText" text="Yes">
      <formula>NOT(ISERROR(SEARCH(("Yes"),(Q926))))</formula>
    </cfRule>
  </conditionalFormatting>
  <conditionalFormatting sqref="Q926:Q938">
    <cfRule type="containsText" dxfId="9" priority="17108" operator="containsText" text="No">
      <formula>NOT(ISERROR(SEARCH(("No"),(Q926))))</formula>
    </cfRule>
  </conditionalFormatting>
  <conditionalFormatting sqref="Q926:Q938">
    <cfRule type="containsText" dxfId="2" priority="17109" operator="containsText" text="Yes">
      <formula>NOT(ISERROR(SEARCH(("Yes"),(Q926))))</formula>
    </cfRule>
  </conditionalFormatting>
  <conditionalFormatting sqref="Q926:Q938">
    <cfRule type="containsText" dxfId="9" priority="17110" operator="containsText" text="No">
      <formula>NOT(ISERROR(SEARCH(("No"),(Q926))))</formula>
    </cfRule>
  </conditionalFormatting>
  <conditionalFormatting sqref="Q926:Q938">
    <cfRule type="containsText" dxfId="2" priority="17111" operator="containsText" text="Yes">
      <formula>NOT(ISERROR(SEARCH(("Yes"),(Q926))))</formula>
    </cfRule>
  </conditionalFormatting>
  <conditionalFormatting sqref="Q926:Q938">
    <cfRule type="containsText" dxfId="9" priority="17112" operator="containsText" text="No">
      <formula>NOT(ISERROR(SEARCH(("No"),(Q926))))</formula>
    </cfRule>
  </conditionalFormatting>
  <conditionalFormatting sqref="Q926:Q938">
    <cfRule type="containsText" dxfId="2" priority="17113" operator="containsText" text="Yes">
      <formula>NOT(ISERROR(SEARCH(("Yes"),(Q926))))</formula>
    </cfRule>
  </conditionalFormatting>
  <conditionalFormatting sqref="Q926:Q938">
    <cfRule type="containsText" dxfId="9" priority="17114" operator="containsText" text="No">
      <formula>NOT(ISERROR(SEARCH(("No"),(Q926))))</formula>
    </cfRule>
  </conditionalFormatting>
  <conditionalFormatting sqref="Q926:Q938">
    <cfRule type="containsText" dxfId="2" priority="17115" operator="containsText" text="Yes">
      <formula>NOT(ISERROR(SEARCH(("Yes"),(Q926))))</formula>
    </cfRule>
  </conditionalFormatting>
  <conditionalFormatting sqref="Q926:Q938">
    <cfRule type="containsText" dxfId="9" priority="17116" operator="containsText" text="No">
      <formula>NOT(ISERROR(SEARCH(("No"),(Q926))))</formula>
    </cfRule>
  </conditionalFormatting>
  <conditionalFormatting sqref="Q926:Q938">
    <cfRule type="containsText" dxfId="2" priority="17117" operator="containsText" text="Yes">
      <formula>NOT(ISERROR(SEARCH(("Yes"),(Q926))))</formula>
    </cfRule>
  </conditionalFormatting>
  <conditionalFormatting sqref="Q926:Q938">
    <cfRule type="containsText" dxfId="9" priority="17118" operator="containsText" text="No">
      <formula>NOT(ISERROR(SEARCH(("No"),(Q926))))</formula>
    </cfRule>
  </conditionalFormatting>
  <conditionalFormatting sqref="Q926:Q938">
    <cfRule type="containsText" dxfId="2" priority="17119" operator="containsText" text="Yes">
      <formula>NOT(ISERROR(SEARCH(("Yes"),(Q926))))</formula>
    </cfRule>
  </conditionalFormatting>
  <conditionalFormatting sqref="Q926:Q938">
    <cfRule type="containsText" dxfId="9" priority="17120" operator="containsText" text="No">
      <formula>NOT(ISERROR(SEARCH(("No"),(Q926))))</formula>
    </cfRule>
  </conditionalFormatting>
  <conditionalFormatting sqref="Q926:Q938">
    <cfRule type="containsText" dxfId="2" priority="17121" operator="containsText" text="Yes">
      <formula>NOT(ISERROR(SEARCH(("Yes"),(Q926))))</formula>
    </cfRule>
  </conditionalFormatting>
  <conditionalFormatting sqref="Q926:Q938">
    <cfRule type="containsText" dxfId="9" priority="17122" operator="containsText" text="No">
      <formula>NOT(ISERROR(SEARCH(("No"),(Q926))))</formula>
    </cfRule>
  </conditionalFormatting>
  <conditionalFormatting sqref="Q926:Q938">
    <cfRule type="containsText" dxfId="2" priority="17123" operator="containsText" text="Yes">
      <formula>NOT(ISERROR(SEARCH(("Yes"),(Q926))))</formula>
    </cfRule>
  </conditionalFormatting>
  <conditionalFormatting sqref="Q926:Q938">
    <cfRule type="containsText" dxfId="9" priority="17124" operator="containsText" text="No">
      <formula>NOT(ISERROR(SEARCH(("No"),(Q926))))</formula>
    </cfRule>
  </conditionalFormatting>
  <conditionalFormatting sqref="Q926:Q938">
    <cfRule type="containsText" dxfId="2" priority="17125" operator="containsText" text="Yes">
      <formula>NOT(ISERROR(SEARCH(("Yes"),(Q926))))</formula>
    </cfRule>
  </conditionalFormatting>
  <conditionalFormatting sqref="Q926:Q938">
    <cfRule type="containsText" dxfId="9" priority="17126" operator="containsText" text="No">
      <formula>NOT(ISERROR(SEARCH(("No"),(Q926))))</formula>
    </cfRule>
  </conditionalFormatting>
  <conditionalFormatting sqref="Q926:Q938">
    <cfRule type="containsText" dxfId="2" priority="17127" operator="containsText" text="Yes">
      <formula>NOT(ISERROR(SEARCH(("Yes"),(Q926))))</formula>
    </cfRule>
  </conditionalFormatting>
  <conditionalFormatting sqref="Q926:Q938">
    <cfRule type="containsText" dxfId="9" priority="17128" operator="containsText" text="No">
      <formula>NOT(ISERROR(SEARCH(("No"),(Q926))))</formula>
    </cfRule>
  </conditionalFormatting>
  <conditionalFormatting sqref="Q926:Q938">
    <cfRule type="containsText" dxfId="2" priority="17129" operator="containsText" text="Yes">
      <formula>NOT(ISERROR(SEARCH(("Yes"),(Q926))))</formula>
    </cfRule>
  </conditionalFormatting>
  <conditionalFormatting sqref="Q926:Q938">
    <cfRule type="containsText" dxfId="9" priority="17130" operator="containsText" text="No">
      <formula>NOT(ISERROR(SEARCH(("No"),(Q926))))</formula>
    </cfRule>
  </conditionalFormatting>
  <conditionalFormatting sqref="Q926:Q938">
    <cfRule type="containsText" dxfId="2" priority="17131" operator="containsText" text="Yes">
      <formula>NOT(ISERROR(SEARCH(("Yes"),(Q926))))</formula>
    </cfRule>
  </conditionalFormatting>
  <conditionalFormatting sqref="Q926:Q938">
    <cfRule type="containsText" dxfId="9" priority="17132" operator="containsText" text="No">
      <formula>NOT(ISERROR(SEARCH(("No"),(Q926))))</formula>
    </cfRule>
  </conditionalFormatting>
  <conditionalFormatting sqref="Q926:Q938">
    <cfRule type="containsText" dxfId="2" priority="17133" operator="containsText" text="Yes">
      <formula>NOT(ISERROR(SEARCH(("Yes"),(Q926))))</formula>
    </cfRule>
  </conditionalFormatting>
  <conditionalFormatting sqref="Q926:Q938">
    <cfRule type="containsText" dxfId="9" priority="17134" operator="containsText" text="No">
      <formula>NOT(ISERROR(SEARCH(("No"),(Q926))))</formula>
    </cfRule>
  </conditionalFormatting>
  <conditionalFormatting sqref="Q926:Q938">
    <cfRule type="containsText" dxfId="2" priority="17135" operator="containsText" text="Yes">
      <formula>NOT(ISERROR(SEARCH(("Yes"),(Q926))))</formula>
    </cfRule>
  </conditionalFormatting>
  <conditionalFormatting sqref="Q926:Q938">
    <cfRule type="containsText" dxfId="9" priority="17136" operator="containsText" text="No">
      <formula>NOT(ISERROR(SEARCH(("No"),(Q926))))</formula>
    </cfRule>
  </conditionalFormatting>
  <conditionalFormatting sqref="Q926:Q938">
    <cfRule type="containsText" dxfId="2" priority="17137" operator="containsText" text="Yes">
      <formula>NOT(ISERROR(SEARCH(("Yes"),(Q926))))</formula>
    </cfRule>
  </conditionalFormatting>
  <conditionalFormatting sqref="Q926:Q938">
    <cfRule type="containsText" dxfId="9" priority="17138" operator="containsText" text="No">
      <formula>NOT(ISERROR(SEARCH(("No"),(Q926))))</formula>
    </cfRule>
  </conditionalFormatting>
  <conditionalFormatting sqref="Q926:Q938">
    <cfRule type="containsText" dxfId="2" priority="17139" operator="containsText" text="Yes">
      <formula>NOT(ISERROR(SEARCH(("Yes"),(Q926))))</formula>
    </cfRule>
  </conditionalFormatting>
  <conditionalFormatting sqref="Q926:Q938">
    <cfRule type="containsText" dxfId="9" priority="17140" operator="containsText" text="No">
      <formula>NOT(ISERROR(SEARCH(("No"),(Q926))))</formula>
    </cfRule>
  </conditionalFormatting>
  <conditionalFormatting sqref="Q926:Q938">
    <cfRule type="containsText" dxfId="2" priority="17141" operator="containsText" text="Yes">
      <formula>NOT(ISERROR(SEARCH(("Yes"),(Q926))))</formula>
    </cfRule>
  </conditionalFormatting>
  <conditionalFormatting sqref="Q926:Q938">
    <cfRule type="containsText" dxfId="9" priority="17142" operator="containsText" text="No">
      <formula>NOT(ISERROR(SEARCH(("No"),(Q926))))</formula>
    </cfRule>
  </conditionalFormatting>
  <conditionalFormatting sqref="Q926:Q938">
    <cfRule type="containsText" dxfId="2" priority="17143" operator="containsText" text="Yes">
      <formula>NOT(ISERROR(SEARCH(("Yes"),(Q926))))</formula>
    </cfRule>
  </conditionalFormatting>
  <conditionalFormatting sqref="Q926:Q938">
    <cfRule type="containsText" dxfId="9" priority="17144" operator="containsText" text="No">
      <formula>NOT(ISERROR(SEARCH(("No"),(Q926))))</formula>
    </cfRule>
  </conditionalFormatting>
  <conditionalFormatting sqref="Q926:Q938">
    <cfRule type="containsText" dxfId="2" priority="17145" operator="containsText" text="Yes">
      <formula>NOT(ISERROR(SEARCH(("Yes"),(Q926))))</formula>
    </cfRule>
  </conditionalFormatting>
  <conditionalFormatting sqref="Q926:Q938">
    <cfRule type="containsText" dxfId="9" priority="17146" operator="containsText" text="No">
      <formula>NOT(ISERROR(SEARCH(("No"),(Q926))))</formula>
    </cfRule>
  </conditionalFormatting>
  <conditionalFormatting sqref="Q926:Q938">
    <cfRule type="containsText" dxfId="2" priority="17147" operator="containsText" text="Yes">
      <formula>NOT(ISERROR(SEARCH(("Yes"),(Q926))))</formula>
    </cfRule>
  </conditionalFormatting>
  <conditionalFormatting sqref="Q926:Q938">
    <cfRule type="containsText" dxfId="9" priority="17148" operator="containsText" text="No">
      <formula>NOT(ISERROR(SEARCH(("No"),(Q926))))</formula>
    </cfRule>
  </conditionalFormatting>
  <conditionalFormatting sqref="Q926:Q938">
    <cfRule type="containsText" dxfId="2" priority="17149" operator="containsText" text="Yes">
      <formula>NOT(ISERROR(SEARCH(("Yes"),(Q926))))</formula>
    </cfRule>
  </conditionalFormatting>
  <conditionalFormatting sqref="Q926:Q938">
    <cfRule type="containsText" dxfId="9" priority="17150" operator="containsText" text="No">
      <formula>NOT(ISERROR(SEARCH(("No"),(Q926))))</formula>
    </cfRule>
  </conditionalFormatting>
  <conditionalFormatting sqref="Q926:Q938">
    <cfRule type="containsText" dxfId="2" priority="17151" operator="containsText" text="Yes">
      <formula>NOT(ISERROR(SEARCH(("Yes"),(Q926))))</formula>
    </cfRule>
  </conditionalFormatting>
  <conditionalFormatting sqref="Q926:Q938">
    <cfRule type="containsText" dxfId="9" priority="17152" operator="containsText" text="No">
      <formula>NOT(ISERROR(SEARCH(("No"),(Q926))))</formula>
    </cfRule>
  </conditionalFormatting>
  <conditionalFormatting sqref="Q926:Q938">
    <cfRule type="containsText" dxfId="2" priority="17153" operator="containsText" text="Yes">
      <formula>NOT(ISERROR(SEARCH(("Yes"),(Q926))))</formula>
    </cfRule>
  </conditionalFormatting>
  <conditionalFormatting sqref="Q926:Q938">
    <cfRule type="containsText" dxfId="9" priority="17154" operator="containsText" text="No">
      <formula>NOT(ISERROR(SEARCH(("No"),(Q926))))</formula>
    </cfRule>
  </conditionalFormatting>
  <conditionalFormatting sqref="Q926:Q938">
    <cfRule type="containsText" dxfId="2" priority="17155" operator="containsText" text="Yes">
      <formula>NOT(ISERROR(SEARCH(("Yes"),(Q926))))</formula>
    </cfRule>
  </conditionalFormatting>
  <conditionalFormatting sqref="Q926:Q938">
    <cfRule type="containsText" dxfId="9" priority="17156" operator="containsText" text="No">
      <formula>NOT(ISERROR(SEARCH(("No"),(Q926))))</formula>
    </cfRule>
  </conditionalFormatting>
  <conditionalFormatting sqref="Q926:Q938">
    <cfRule type="containsText" dxfId="2" priority="17157" operator="containsText" text="Yes">
      <formula>NOT(ISERROR(SEARCH(("Yes"),(Q926))))</formula>
    </cfRule>
  </conditionalFormatting>
  <conditionalFormatting sqref="Q926:Q938">
    <cfRule type="containsText" dxfId="9" priority="17158" operator="containsText" text="No">
      <formula>NOT(ISERROR(SEARCH(("No"),(Q926))))</formula>
    </cfRule>
  </conditionalFormatting>
  <conditionalFormatting sqref="Q926:Q938">
    <cfRule type="containsText" dxfId="2" priority="17159" operator="containsText" text="Yes">
      <formula>NOT(ISERROR(SEARCH(("Yes"),(Q926))))</formula>
    </cfRule>
  </conditionalFormatting>
  <conditionalFormatting sqref="Q926:Q938">
    <cfRule type="containsText" dxfId="9" priority="17160" operator="containsText" text="No">
      <formula>NOT(ISERROR(SEARCH(("No"),(Q926))))</formula>
    </cfRule>
  </conditionalFormatting>
  <conditionalFormatting sqref="Q926:Q938">
    <cfRule type="containsText" dxfId="2" priority="17161" operator="containsText" text="Yes">
      <formula>NOT(ISERROR(SEARCH(("Yes"),(Q926))))</formula>
    </cfRule>
  </conditionalFormatting>
  <conditionalFormatting sqref="Q926:Q938">
    <cfRule type="containsText" dxfId="9" priority="17162" operator="containsText" text="No">
      <formula>NOT(ISERROR(SEARCH(("No"),(Q926))))</formula>
    </cfRule>
  </conditionalFormatting>
  <conditionalFormatting sqref="Q926:Q938">
    <cfRule type="containsText" dxfId="2" priority="17163" operator="containsText" text="Yes">
      <formula>NOT(ISERROR(SEARCH(("Yes"),(Q926))))</formula>
    </cfRule>
  </conditionalFormatting>
  <conditionalFormatting sqref="Q926:Q938">
    <cfRule type="containsText" dxfId="9" priority="17164" operator="containsText" text="No">
      <formula>NOT(ISERROR(SEARCH(("No"),(Q926))))</formula>
    </cfRule>
  </conditionalFormatting>
  <conditionalFormatting sqref="Q926:Q938">
    <cfRule type="containsText" dxfId="2" priority="17165" operator="containsText" text="Yes">
      <formula>NOT(ISERROR(SEARCH(("Yes"),(Q926))))</formula>
    </cfRule>
  </conditionalFormatting>
  <conditionalFormatting sqref="Q926:Q938">
    <cfRule type="containsText" dxfId="9" priority="17166" operator="containsText" text="No">
      <formula>NOT(ISERROR(SEARCH(("No"),(Q926))))</formula>
    </cfRule>
  </conditionalFormatting>
  <conditionalFormatting sqref="Q926:Q938">
    <cfRule type="containsText" dxfId="2" priority="17167" operator="containsText" text="Yes">
      <formula>NOT(ISERROR(SEARCH(("Yes"),(Q926))))</formula>
    </cfRule>
  </conditionalFormatting>
  <conditionalFormatting sqref="Q926:Q938">
    <cfRule type="containsText" dxfId="9" priority="17168" operator="containsText" text="No">
      <formula>NOT(ISERROR(SEARCH(("No"),(Q926))))</formula>
    </cfRule>
  </conditionalFormatting>
  <conditionalFormatting sqref="Q926:Q938">
    <cfRule type="containsText" dxfId="2" priority="17169" operator="containsText" text="Yes">
      <formula>NOT(ISERROR(SEARCH(("Yes"),(Q926))))</formula>
    </cfRule>
  </conditionalFormatting>
  <conditionalFormatting sqref="Q926:Q938">
    <cfRule type="containsText" dxfId="9" priority="17170" operator="containsText" text="No">
      <formula>NOT(ISERROR(SEARCH(("No"),(Q926))))</formula>
    </cfRule>
  </conditionalFormatting>
  <conditionalFormatting sqref="Q926:Q938">
    <cfRule type="containsText" dxfId="2" priority="17171" operator="containsText" text="Yes">
      <formula>NOT(ISERROR(SEARCH(("Yes"),(Q926))))</formula>
    </cfRule>
  </conditionalFormatting>
  <conditionalFormatting sqref="Q926:Q938">
    <cfRule type="containsText" dxfId="9" priority="17172" operator="containsText" text="No">
      <formula>NOT(ISERROR(SEARCH(("No"),(Q926))))</formula>
    </cfRule>
  </conditionalFormatting>
  <conditionalFormatting sqref="Q926:Q938">
    <cfRule type="containsText" dxfId="2" priority="17173" operator="containsText" text="Yes">
      <formula>NOT(ISERROR(SEARCH(("Yes"),(Q926))))</formula>
    </cfRule>
  </conditionalFormatting>
  <conditionalFormatting sqref="Q926:Q938">
    <cfRule type="containsText" dxfId="2" priority="17174" operator="containsText" text="Yes">
      <formula>NOT(ISERROR(SEARCH(("Yes"),(Q926))))</formula>
    </cfRule>
  </conditionalFormatting>
  <conditionalFormatting sqref="Q926:Q938">
    <cfRule type="containsText" dxfId="9" priority="17175" operator="containsText" text="No">
      <formula>NOT(ISERROR(SEARCH(("No"),(Q926))))</formula>
    </cfRule>
  </conditionalFormatting>
  <conditionalFormatting sqref="Q926:Q938">
    <cfRule type="containsText" dxfId="2" priority="17176" operator="containsText" text="Yes">
      <formula>NOT(ISERROR(SEARCH(("Yes"),(Q926))))</formula>
    </cfRule>
  </conditionalFormatting>
  <conditionalFormatting sqref="Q940:Q945">
    <cfRule type="containsText" dxfId="2" priority="17177" operator="containsText" text="Yes">
      <formula>NOT(ISERROR(SEARCH(("Yes"),(Q940))))</formula>
    </cfRule>
  </conditionalFormatting>
  <conditionalFormatting sqref="Q940:Q945">
    <cfRule type="containsText" dxfId="9" priority="17178" operator="containsText" text="No">
      <formula>NOT(ISERROR(SEARCH(("No"),(Q940))))</formula>
    </cfRule>
  </conditionalFormatting>
  <conditionalFormatting sqref="Q940:Q945">
    <cfRule type="containsText" dxfId="2" priority="17179" operator="containsText" text="Yes">
      <formula>NOT(ISERROR(SEARCH(("Yes"),(Q940))))</formula>
    </cfRule>
  </conditionalFormatting>
  <conditionalFormatting sqref="Q940:Q945">
    <cfRule type="containsText" dxfId="9" priority="17180" operator="containsText" text="No">
      <formula>NOT(ISERROR(SEARCH(("No"),(Q940))))</formula>
    </cfRule>
  </conditionalFormatting>
  <conditionalFormatting sqref="Q940:Q945">
    <cfRule type="containsText" dxfId="2" priority="17181" operator="containsText" text="Yes">
      <formula>NOT(ISERROR(SEARCH(("Yes"),(Q940))))</formula>
    </cfRule>
  </conditionalFormatting>
  <conditionalFormatting sqref="Q940:Q945">
    <cfRule type="containsText" dxfId="9" priority="17182" operator="containsText" text="No">
      <formula>NOT(ISERROR(SEARCH(("No"),(Q940))))</formula>
    </cfRule>
  </conditionalFormatting>
  <conditionalFormatting sqref="Q940:Q945">
    <cfRule type="containsText" dxfId="2" priority="17183" operator="containsText" text="Yes">
      <formula>NOT(ISERROR(SEARCH(("Yes"),(Q940))))</formula>
    </cfRule>
  </conditionalFormatting>
  <conditionalFormatting sqref="Q940:Q945">
    <cfRule type="containsText" dxfId="9" priority="17184" operator="containsText" text="No">
      <formula>NOT(ISERROR(SEARCH(("No"),(Q940))))</formula>
    </cfRule>
  </conditionalFormatting>
  <conditionalFormatting sqref="Q940:Q945">
    <cfRule type="containsText" dxfId="2" priority="17185" operator="containsText" text="Yes">
      <formula>NOT(ISERROR(SEARCH(("Yes"),(Q940))))</formula>
    </cfRule>
  </conditionalFormatting>
  <conditionalFormatting sqref="Q940:Q945">
    <cfRule type="containsText" dxfId="9" priority="17186" operator="containsText" text="No">
      <formula>NOT(ISERROR(SEARCH(("No"),(Q940))))</formula>
    </cfRule>
  </conditionalFormatting>
  <conditionalFormatting sqref="Q940:Q945">
    <cfRule type="containsText" dxfId="2" priority="17187" operator="containsText" text="Yes">
      <formula>NOT(ISERROR(SEARCH(("Yes"),(Q940))))</formula>
    </cfRule>
  </conditionalFormatting>
  <conditionalFormatting sqref="Q940:Q945">
    <cfRule type="containsText" dxfId="9" priority="17188" operator="containsText" text="No">
      <formula>NOT(ISERROR(SEARCH(("No"),(Q940))))</formula>
    </cfRule>
  </conditionalFormatting>
  <conditionalFormatting sqref="Q940:Q945">
    <cfRule type="containsText" dxfId="2" priority="17189" operator="containsText" text="Yes">
      <formula>NOT(ISERROR(SEARCH(("Yes"),(Q940))))</formula>
    </cfRule>
  </conditionalFormatting>
  <conditionalFormatting sqref="Q940:Q945">
    <cfRule type="containsText" dxfId="9" priority="17190" operator="containsText" text="No">
      <formula>NOT(ISERROR(SEARCH(("No"),(Q940))))</formula>
    </cfRule>
  </conditionalFormatting>
  <conditionalFormatting sqref="Q940:Q945">
    <cfRule type="containsText" dxfId="2" priority="17191" operator="containsText" text="Yes">
      <formula>NOT(ISERROR(SEARCH(("Yes"),(Q940))))</formula>
    </cfRule>
  </conditionalFormatting>
  <conditionalFormatting sqref="Q940:Q945">
    <cfRule type="containsText" dxfId="9" priority="17192" operator="containsText" text="No">
      <formula>NOT(ISERROR(SEARCH(("No"),(Q940))))</formula>
    </cfRule>
  </conditionalFormatting>
  <conditionalFormatting sqref="Q940:Q945">
    <cfRule type="containsText" dxfId="2" priority="17193" operator="containsText" text="Yes">
      <formula>NOT(ISERROR(SEARCH(("Yes"),(Q940))))</formula>
    </cfRule>
  </conditionalFormatting>
  <conditionalFormatting sqref="Q940:Q945">
    <cfRule type="containsText" dxfId="9" priority="17194" operator="containsText" text="No">
      <formula>NOT(ISERROR(SEARCH(("No"),(Q940))))</formula>
    </cfRule>
  </conditionalFormatting>
  <conditionalFormatting sqref="Q940:Q945">
    <cfRule type="containsText" dxfId="2" priority="17195" operator="containsText" text="Yes">
      <formula>NOT(ISERROR(SEARCH(("Yes"),(Q940))))</formula>
    </cfRule>
  </conditionalFormatting>
  <conditionalFormatting sqref="Q940:Q945">
    <cfRule type="containsText" dxfId="9" priority="17196" operator="containsText" text="No">
      <formula>NOT(ISERROR(SEARCH(("No"),(Q940))))</formula>
    </cfRule>
  </conditionalFormatting>
  <conditionalFormatting sqref="Q940:Q945">
    <cfRule type="containsText" dxfId="2" priority="17197" operator="containsText" text="Yes">
      <formula>NOT(ISERROR(SEARCH(("Yes"),(Q940))))</formula>
    </cfRule>
  </conditionalFormatting>
  <conditionalFormatting sqref="Q940:Q945">
    <cfRule type="containsText" dxfId="9" priority="17198" operator="containsText" text="No">
      <formula>NOT(ISERROR(SEARCH(("No"),(Q940))))</formula>
    </cfRule>
  </conditionalFormatting>
  <conditionalFormatting sqref="Q940:Q945">
    <cfRule type="containsText" dxfId="2" priority="17199" operator="containsText" text="Yes">
      <formula>NOT(ISERROR(SEARCH(("Yes"),(Q940))))</formula>
    </cfRule>
  </conditionalFormatting>
  <conditionalFormatting sqref="Q940:Q945">
    <cfRule type="containsText" dxfId="9" priority="17200" operator="containsText" text="No">
      <formula>NOT(ISERROR(SEARCH(("No"),(Q940))))</formula>
    </cfRule>
  </conditionalFormatting>
  <conditionalFormatting sqref="Q940:Q945">
    <cfRule type="containsText" dxfId="2" priority="17201" operator="containsText" text="Yes">
      <formula>NOT(ISERROR(SEARCH(("Yes"),(Q940))))</formula>
    </cfRule>
  </conditionalFormatting>
  <conditionalFormatting sqref="Q940:Q945">
    <cfRule type="containsText" dxfId="9" priority="17202" operator="containsText" text="No">
      <formula>NOT(ISERROR(SEARCH(("No"),(Q940))))</formula>
    </cfRule>
  </conditionalFormatting>
  <conditionalFormatting sqref="Q940:Q945">
    <cfRule type="containsText" dxfId="2" priority="17203" operator="containsText" text="Yes">
      <formula>NOT(ISERROR(SEARCH(("Yes"),(Q940))))</formula>
    </cfRule>
  </conditionalFormatting>
  <conditionalFormatting sqref="Q940:Q945">
    <cfRule type="containsText" dxfId="9" priority="17204" operator="containsText" text="No">
      <formula>NOT(ISERROR(SEARCH(("No"),(Q940))))</formula>
    </cfRule>
  </conditionalFormatting>
  <conditionalFormatting sqref="Q940:Q945">
    <cfRule type="containsText" dxfId="2" priority="17205" operator="containsText" text="Yes">
      <formula>NOT(ISERROR(SEARCH(("Yes"),(Q940))))</formula>
    </cfRule>
  </conditionalFormatting>
  <conditionalFormatting sqref="Q940:Q945">
    <cfRule type="containsText" dxfId="9" priority="17206" operator="containsText" text="No">
      <formula>NOT(ISERROR(SEARCH(("No"),(Q940))))</formula>
    </cfRule>
  </conditionalFormatting>
  <conditionalFormatting sqref="Q940:Q945">
    <cfRule type="containsText" dxfId="2" priority="17207" operator="containsText" text="Yes">
      <formula>NOT(ISERROR(SEARCH(("Yes"),(Q940))))</formula>
    </cfRule>
  </conditionalFormatting>
  <conditionalFormatting sqref="Q940:Q945">
    <cfRule type="containsText" dxfId="9" priority="17208" operator="containsText" text="No">
      <formula>NOT(ISERROR(SEARCH(("No"),(Q940))))</formula>
    </cfRule>
  </conditionalFormatting>
  <conditionalFormatting sqref="Q940:Q945">
    <cfRule type="containsText" dxfId="2" priority="17209" operator="containsText" text="Yes">
      <formula>NOT(ISERROR(SEARCH(("Yes"),(Q940))))</formula>
    </cfRule>
  </conditionalFormatting>
  <conditionalFormatting sqref="Q940:Q945">
    <cfRule type="containsText" dxfId="9" priority="17210" operator="containsText" text="No">
      <formula>NOT(ISERROR(SEARCH(("No"),(Q940))))</formula>
    </cfRule>
  </conditionalFormatting>
  <conditionalFormatting sqref="Q940:Q945">
    <cfRule type="containsText" dxfId="2" priority="17211" operator="containsText" text="Yes">
      <formula>NOT(ISERROR(SEARCH(("Yes"),(Q940))))</formula>
    </cfRule>
  </conditionalFormatting>
  <conditionalFormatting sqref="Q940:Q945">
    <cfRule type="containsText" dxfId="9" priority="17212" operator="containsText" text="No">
      <formula>NOT(ISERROR(SEARCH(("No"),(Q940))))</formula>
    </cfRule>
  </conditionalFormatting>
  <conditionalFormatting sqref="Q940:Q945">
    <cfRule type="containsText" dxfId="2" priority="17213" operator="containsText" text="Yes">
      <formula>NOT(ISERROR(SEARCH(("Yes"),(Q940))))</formula>
    </cfRule>
  </conditionalFormatting>
  <conditionalFormatting sqref="Q940:Q945">
    <cfRule type="containsText" dxfId="9" priority="17214" operator="containsText" text="No">
      <formula>NOT(ISERROR(SEARCH(("No"),(Q940))))</formula>
    </cfRule>
  </conditionalFormatting>
  <conditionalFormatting sqref="Q940:Q945">
    <cfRule type="containsText" dxfId="2" priority="17215" operator="containsText" text="Yes">
      <formula>NOT(ISERROR(SEARCH(("Yes"),(Q940))))</formula>
    </cfRule>
  </conditionalFormatting>
  <conditionalFormatting sqref="Q940:Q945">
    <cfRule type="containsText" dxfId="9" priority="17216" operator="containsText" text="No">
      <formula>NOT(ISERROR(SEARCH(("No"),(Q940))))</formula>
    </cfRule>
  </conditionalFormatting>
  <conditionalFormatting sqref="Q940:Q945">
    <cfRule type="containsText" dxfId="2" priority="17217" operator="containsText" text="Yes">
      <formula>NOT(ISERROR(SEARCH(("Yes"),(Q940))))</formula>
    </cfRule>
  </conditionalFormatting>
  <conditionalFormatting sqref="Q940:Q945">
    <cfRule type="containsText" dxfId="9" priority="17218" operator="containsText" text="No">
      <formula>NOT(ISERROR(SEARCH(("No"),(Q940))))</formula>
    </cfRule>
  </conditionalFormatting>
  <conditionalFormatting sqref="Q940:Q945">
    <cfRule type="containsText" dxfId="2" priority="17219" operator="containsText" text="Yes">
      <formula>NOT(ISERROR(SEARCH(("Yes"),(Q940))))</formula>
    </cfRule>
  </conditionalFormatting>
  <conditionalFormatting sqref="Q940:Q945">
    <cfRule type="containsText" dxfId="9" priority="17220" operator="containsText" text="No">
      <formula>NOT(ISERROR(SEARCH(("No"),(Q940))))</formula>
    </cfRule>
  </conditionalFormatting>
  <conditionalFormatting sqref="Q940:Q945">
    <cfRule type="containsText" dxfId="2" priority="17221" operator="containsText" text="Yes">
      <formula>NOT(ISERROR(SEARCH(("Yes"),(Q940))))</formula>
    </cfRule>
  </conditionalFormatting>
  <conditionalFormatting sqref="Q940:Q945">
    <cfRule type="containsText" dxfId="9" priority="17222" operator="containsText" text="No">
      <formula>NOT(ISERROR(SEARCH(("No"),(Q940))))</formula>
    </cfRule>
  </conditionalFormatting>
  <conditionalFormatting sqref="Q940:Q945">
    <cfRule type="containsText" dxfId="2" priority="17223" operator="containsText" text="Yes">
      <formula>NOT(ISERROR(SEARCH(("Yes"),(Q940))))</formula>
    </cfRule>
  </conditionalFormatting>
  <conditionalFormatting sqref="Q940:Q945">
    <cfRule type="containsText" dxfId="9" priority="17224" operator="containsText" text="No">
      <formula>NOT(ISERROR(SEARCH(("No"),(Q940))))</formula>
    </cfRule>
  </conditionalFormatting>
  <conditionalFormatting sqref="Q940:Q945">
    <cfRule type="containsText" dxfId="2" priority="17225" operator="containsText" text="Yes">
      <formula>NOT(ISERROR(SEARCH(("Yes"),(Q940))))</formula>
    </cfRule>
  </conditionalFormatting>
  <conditionalFormatting sqref="Q940:Q945">
    <cfRule type="containsText" dxfId="9" priority="17226" operator="containsText" text="No">
      <formula>NOT(ISERROR(SEARCH(("No"),(Q940))))</formula>
    </cfRule>
  </conditionalFormatting>
  <conditionalFormatting sqref="Q940:Q945">
    <cfRule type="containsText" dxfId="2" priority="17227" operator="containsText" text="Yes">
      <formula>NOT(ISERROR(SEARCH(("Yes"),(Q940))))</formula>
    </cfRule>
  </conditionalFormatting>
  <conditionalFormatting sqref="Q940:Q945">
    <cfRule type="containsText" dxfId="9" priority="17228" operator="containsText" text="No">
      <formula>NOT(ISERROR(SEARCH(("No"),(Q940))))</formula>
    </cfRule>
  </conditionalFormatting>
  <conditionalFormatting sqref="Q940:Q945">
    <cfRule type="containsText" dxfId="2" priority="17229" operator="containsText" text="Yes">
      <formula>NOT(ISERROR(SEARCH(("Yes"),(Q940))))</formula>
    </cfRule>
  </conditionalFormatting>
  <conditionalFormatting sqref="Q940:Q945">
    <cfRule type="containsText" dxfId="9" priority="17230" operator="containsText" text="No">
      <formula>NOT(ISERROR(SEARCH(("No"),(Q940))))</formula>
    </cfRule>
  </conditionalFormatting>
  <conditionalFormatting sqref="Q940:Q945">
    <cfRule type="containsText" dxfId="2" priority="17231" operator="containsText" text="Yes">
      <formula>NOT(ISERROR(SEARCH(("Yes"),(Q940))))</formula>
    </cfRule>
  </conditionalFormatting>
  <conditionalFormatting sqref="Q940:Q945">
    <cfRule type="containsText" dxfId="9" priority="17232" operator="containsText" text="No">
      <formula>NOT(ISERROR(SEARCH(("No"),(Q940))))</formula>
    </cfRule>
  </conditionalFormatting>
  <conditionalFormatting sqref="Q940:Q945">
    <cfRule type="containsText" dxfId="2" priority="17233" operator="containsText" text="Yes">
      <formula>NOT(ISERROR(SEARCH(("Yes"),(Q940))))</formula>
    </cfRule>
  </conditionalFormatting>
  <conditionalFormatting sqref="Q940:Q945">
    <cfRule type="containsText" dxfId="9" priority="17234" operator="containsText" text="No">
      <formula>NOT(ISERROR(SEARCH(("No"),(Q940))))</formula>
    </cfRule>
  </conditionalFormatting>
  <conditionalFormatting sqref="Q940:Q945">
    <cfRule type="containsText" dxfId="2" priority="17235" operator="containsText" text="Yes">
      <formula>NOT(ISERROR(SEARCH(("Yes"),(Q940))))</formula>
    </cfRule>
  </conditionalFormatting>
  <conditionalFormatting sqref="Q940:Q945">
    <cfRule type="containsText" dxfId="9" priority="17236" operator="containsText" text="No">
      <formula>NOT(ISERROR(SEARCH(("No"),(Q940))))</formula>
    </cfRule>
  </conditionalFormatting>
  <conditionalFormatting sqref="Q940:Q945">
    <cfRule type="containsText" dxfId="2" priority="17237" operator="containsText" text="Yes">
      <formula>NOT(ISERROR(SEARCH(("Yes"),(Q940))))</formula>
    </cfRule>
  </conditionalFormatting>
  <conditionalFormatting sqref="Q940:Q945">
    <cfRule type="containsText" dxfId="9" priority="17238" operator="containsText" text="No">
      <formula>NOT(ISERROR(SEARCH(("No"),(Q940))))</formula>
    </cfRule>
  </conditionalFormatting>
  <conditionalFormatting sqref="Q940:Q945">
    <cfRule type="containsText" dxfId="2" priority="17239" operator="containsText" text="Yes">
      <formula>NOT(ISERROR(SEARCH(("Yes"),(Q940))))</formula>
    </cfRule>
  </conditionalFormatting>
  <conditionalFormatting sqref="Q940:Q945">
    <cfRule type="containsText" dxfId="9" priority="17240" operator="containsText" text="No">
      <formula>NOT(ISERROR(SEARCH(("No"),(Q940))))</formula>
    </cfRule>
  </conditionalFormatting>
  <conditionalFormatting sqref="Q940:Q945">
    <cfRule type="containsText" dxfId="2" priority="17241" operator="containsText" text="Yes">
      <formula>NOT(ISERROR(SEARCH(("Yes"),(Q940))))</formula>
    </cfRule>
  </conditionalFormatting>
  <conditionalFormatting sqref="Q940:Q945">
    <cfRule type="containsText" dxfId="9" priority="17242" operator="containsText" text="No">
      <formula>NOT(ISERROR(SEARCH(("No"),(Q940))))</formula>
    </cfRule>
  </conditionalFormatting>
  <conditionalFormatting sqref="Q940:Q945">
    <cfRule type="containsText" dxfId="2" priority="17243" operator="containsText" text="Yes">
      <formula>NOT(ISERROR(SEARCH(("Yes"),(Q940))))</formula>
    </cfRule>
  </conditionalFormatting>
  <conditionalFormatting sqref="Q940:Q945">
    <cfRule type="containsText" dxfId="9" priority="17244" operator="containsText" text="No">
      <formula>NOT(ISERROR(SEARCH(("No"),(Q940))))</formula>
    </cfRule>
  </conditionalFormatting>
  <conditionalFormatting sqref="Q940:Q945">
    <cfRule type="containsText" dxfId="2" priority="17245" operator="containsText" text="Yes">
      <formula>NOT(ISERROR(SEARCH(("Yes"),(Q940))))</formula>
    </cfRule>
  </conditionalFormatting>
  <conditionalFormatting sqref="Q940:Q945">
    <cfRule type="containsText" dxfId="9" priority="17246" operator="containsText" text="No">
      <formula>NOT(ISERROR(SEARCH(("No"),(Q940))))</formula>
    </cfRule>
  </conditionalFormatting>
  <conditionalFormatting sqref="Q940:Q945">
    <cfRule type="containsText" dxfId="2" priority="17247" operator="containsText" text="Yes">
      <formula>NOT(ISERROR(SEARCH(("Yes"),(Q940))))</formula>
    </cfRule>
  </conditionalFormatting>
  <conditionalFormatting sqref="Q940:Q945">
    <cfRule type="containsText" dxfId="9" priority="17248" operator="containsText" text="No">
      <formula>NOT(ISERROR(SEARCH(("No"),(Q940))))</formula>
    </cfRule>
  </conditionalFormatting>
  <conditionalFormatting sqref="Q940:Q945">
    <cfRule type="containsText" dxfId="2" priority="17249" operator="containsText" text="Yes">
      <formula>NOT(ISERROR(SEARCH(("Yes"),(Q940))))</formula>
    </cfRule>
  </conditionalFormatting>
  <conditionalFormatting sqref="Q940:Q945">
    <cfRule type="containsText" dxfId="9" priority="17250" operator="containsText" text="No">
      <formula>NOT(ISERROR(SEARCH(("No"),(Q940))))</formula>
    </cfRule>
  </conditionalFormatting>
  <conditionalFormatting sqref="Q940:Q945">
    <cfRule type="containsText" dxfId="2" priority="17251" operator="containsText" text="Yes">
      <formula>NOT(ISERROR(SEARCH(("Yes"),(Q940))))</formula>
    </cfRule>
  </conditionalFormatting>
  <conditionalFormatting sqref="Q940:Q945">
    <cfRule type="containsText" dxfId="9" priority="17252" operator="containsText" text="No">
      <formula>NOT(ISERROR(SEARCH(("No"),(Q940))))</formula>
    </cfRule>
  </conditionalFormatting>
  <conditionalFormatting sqref="Q940:Q945">
    <cfRule type="containsText" dxfId="2" priority="17253" operator="containsText" text="Yes">
      <formula>NOT(ISERROR(SEARCH(("Yes"),(Q940))))</formula>
    </cfRule>
  </conditionalFormatting>
  <conditionalFormatting sqref="Q940:Q945">
    <cfRule type="containsText" dxfId="9" priority="17254" operator="containsText" text="No">
      <formula>NOT(ISERROR(SEARCH(("No"),(Q940))))</formula>
    </cfRule>
  </conditionalFormatting>
  <conditionalFormatting sqref="Q940:Q945">
    <cfRule type="containsText" dxfId="2" priority="17255" operator="containsText" text="Yes">
      <formula>NOT(ISERROR(SEARCH(("Yes"),(Q940))))</formula>
    </cfRule>
  </conditionalFormatting>
  <conditionalFormatting sqref="Q940:Q945">
    <cfRule type="containsText" dxfId="9" priority="17256" operator="containsText" text="No">
      <formula>NOT(ISERROR(SEARCH(("No"),(Q940))))</formula>
    </cfRule>
  </conditionalFormatting>
  <conditionalFormatting sqref="Q940:Q945">
    <cfRule type="containsText" dxfId="2" priority="17257" operator="containsText" text="Yes">
      <formula>NOT(ISERROR(SEARCH(("Yes"),(Q940))))</formula>
    </cfRule>
  </conditionalFormatting>
  <conditionalFormatting sqref="Q940:Q945">
    <cfRule type="containsText" dxfId="9" priority="17258" operator="containsText" text="No">
      <formula>NOT(ISERROR(SEARCH(("No"),(Q940))))</formula>
    </cfRule>
  </conditionalFormatting>
  <conditionalFormatting sqref="Q940:Q945">
    <cfRule type="containsText" dxfId="2" priority="17259" operator="containsText" text="Yes">
      <formula>NOT(ISERROR(SEARCH(("Yes"),(Q940))))</formula>
    </cfRule>
  </conditionalFormatting>
  <conditionalFormatting sqref="Q940:Q945">
    <cfRule type="containsText" dxfId="9" priority="17260" operator="containsText" text="No">
      <formula>NOT(ISERROR(SEARCH(("No"),(Q940))))</formula>
    </cfRule>
  </conditionalFormatting>
  <conditionalFormatting sqref="Q940:Q945">
    <cfRule type="containsText" dxfId="2" priority="17261" operator="containsText" text="Yes">
      <formula>NOT(ISERROR(SEARCH(("Yes"),(Q940))))</formula>
    </cfRule>
  </conditionalFormatting>
  <conditionalFormatting sqref="Q940:Q945">
    <cfRule type="containsText" dxfId="9" priority="17262" operator="containsText" text="No">
      <formula>NOT(ISERROR(SEARCH(("No"),(Q940))))</formula>
    </cfRule>
  </conditionalFormatting>
  <conditionalFormatting sqref="Q940:Q945">
    <cfRule type="containsText" dxfId="2" priority="17263" operator="containsText" text="Yes">
      <formula>NOT(ISERROR(SEARCH(("Yes"),(Q940))))</formula>
    </cfRule>
  </conditionalFormatting>
  <conditionalFormatting sqref="Q940:Q945">
    <cfRule type="containsText" dxfId="9" priority="17264" operator="containsText" text="No">
      <formula>NOT(ISERROR(SEARCH(("No"),(Q940))))</formula>
    </cfRule>
  </conditionalFormatting>
  <conditionalFormatting sqref="Q940:Q945">
    <cfRule type="containsText" dxfId="2" priority="17265" operator="containsText" text="Yes">
      <formula>NOT(ISERROR(SEARCH(("Yes"),(Q940))))</formula>
    </cfRule>
  </conditionalFormatting>
  <conditionalFormatting sqref="Q940:Q945">
    <cfRule type="containsText" dxfId="2" priority="17266" operator="containsText" text="Yes">
      <formula>NOT(ISERROR(SEARCH(("Yes"),(Q940))))</formula>
    </cfRule>
  </conditionalFormatting>
  <conditionalFormatting sqref="Q940:Q945">
    <cfRule type="containsText" dxfId="9" priority="17267" operator="containsText" text="No">
      <formula>NOT(ISERROR(SEARCH(("No"),(Q940))))</formula>
    </cfRule>
  </conditionalFormatting>
  <conditionalFormatting sqref="Q940:Q945">
    <cfRule type="containsText" dxfId="2" priority="17268" operator="containsText" text="Yes">
      <formula>NOT(ISERROR(SEARCH(("Yes"),(Q940))))</formula>
    </cfRule>
  </conditionalFormatting>
  <conditionalFormatting sqref="Q947:Q948">
    <cfRule type="containsText" dxfId="2" priority="17269" operator="containsText" text="Yes">
      <formula>NOT(ISERROR(SEARCH(("Yes"),(Q947))))</formula>
    </cfRule>
  </conditionalFormatting>
  <conditionalFormatting sqref="Q947:Q948">
    <cfRule type="containsText" dxfId="9" priority="17270" operator="containsText" text="No">
      <formula>NOT(ISERROR(SEARCH(("No"),(Q947))))</formula>
    </cfRule>
  </conditionalFormatting>
  <conditionalFormatting sqref="Q947:Q948">
    <cfRule type="containsText" dxfId="2" priority="17271" operator="containsText" text="Yes">
      <formula>NOT(ISERROR(SEARCH(("Yes"),(Q947))))</formula>
    </cfRule>
  </conditionalFormatting>
  <conditionalFormatting sqref="Q947:Q948">
    <cfRule type="containsText" dxfId="9" priority="17272" operator="containsText" text="No">
      <formula>NOT(ISERROR(SEARCH(("No"),(Q947))))</formula>
    </cfRule>
  </conditionalFormatting>
  <conditionalFormatting sqref="Q947:Q948">
    <cfRule type="containsText" dxfId="2" priority="17273" operator="containsText" text="Yes">
      <formula>NOT(ISERROR(SEARCH(("Yes"),(Q947))))</formula>
    </cfRule>
  </conditionalFormatting>
  <conditionalFormatting sqref="Q947:Q948">
    <cfRule type="containsText" dxfId="9" priority="17274" operator="containsText" text="No">
      <formula>NOT(ISERROR(SEARCH(("No"),(Q947))))</formula>
    </cfRule>
  </conditionalFormatting>
  <conditionalFormatting sqref="Q947:Q948">
    <cfRule type="containsText" dxfId="2" priority="17275" operator="containsText" text="Yes">
      <formula>NOT(ISERROR(SEARCH(("Yes"),(Q947))))</formula>
    </cfRule>
  </conditionalFormatting>
  <conditionalFormatting sqref="Q947:Q948">
    <cfRule type="containsText" dxfId="9" priority="17276" operator="containsText" text="No">
      <formula>NOT(ISERROR(SEARCH(("No"),(Q947))))</formula>
    </cfRule>
  </conditionalFormatting>
  <conditionalFormatting sqref="Q947:Q948">
    <cfRule type="containsText" dxfId="2" priority="17277" operator="containsText" text="Yes">
      <formula>NOT(ISERROR(SEARCH(("Yes"),(Q947))))</formula>
    </cfRule>
  </conditionalFormatting>
  <conditionalFormatting sqref="Q947:Q948">
    <cfRule type="containsText" dxfId="9" priority="17278" operator="containsText" text="No">
      <formula>NOT(ISERROR(SEARCH(("No"),(Q947))))</formula>
    </cfRule>
  </conditionalFormatting>
  <conditionalFormatting sqref="Q947:Q948">
    <cfRule type="containsText" dxfId="2" priority="17279" operator="containsText" text="Yes">
      <formula>NOT(ISERROR(SEARCH(("Yes"),(Q947))))</formula>
    </cfRule>
  </conditionalFormatting>
  <conditionalFormatting sqref="Q947:Q948">
    <cfRule type="containsText" dxfId="9" priority="17280" operator="containsText" text="No">
      <formula>NOT(ISERROR(SEARCH(("No"),(Q947))))</formula>
    </cfRule>
  </conditionalFormatting>
  <conditionalFormatting sqref="Q947:Q948">
    <cfRule type="containsText" dxfId="2" priority="17281" operator="containsText" text="Yes">
      <formula>NOT(ISERROR(SEARCH(("Yes"),(Q947))))</formula>
    </cfRule>
  </conditionalFormatting>
  <conditionalFormatting sqref="Q947:Q948">
    <cfRule type="containsText" dxfId="9" priority="17282" operator="containsText" text="No">
      <formula>NOT(ISERROR(SEARCH(("No"),(Q947))))</formula>
    </cfRule>
  </conditionalFormatting>
  <conditionalFormatting sqref="Q947:Q948">
    <cfRule type="containsText" dxfId="2" priority="17283" operator="containsText" text="Yes">
      <formula>NOT(ISERROR(SEARCH(("Yes"),(Q947))))</formula>
    </cfRule>
  </conditionalFormatting>
  <conditionalFormatting sqref="Q947:Q948">
    <cfRule type="containsText" dxfId="9" priority="17284" operator="containsText" text="No">
      <formula>NOT(ISERROR(SEARCH(("No"),(Q947))))</formula>
    </cfRule>
  </conditionalFormatting>
  <conditionalFormatting sqref="Q947:Q948">
    <cfRule type="containsText" dxfId="2" priority="17285" operator="containsText" text="Yes">
      <formula>NOT(ISERROR(SEARCH(("Yes"),(Q947))))</formula>
    </cfRule>
  </conditionalFormatting>
  <conditionalFormatting sqref="Q947:Q948">
    <cfRule type="containsText" dxfId="9" priority="17286" operator="containsText" text="No">
      <formula>NOT(ISERROR(SEARCH(("No"),(Q947))))</formula>
    </cfRule>
  </conditionalFormatting>
  <conditionalFormatting sqref="Q947:Q948">
    <cfRule type="containsText" dxfId="2" priority="17287" operator="containsText" text="Yes">
      <formula>NOT(ISERROR(SEARCH(("Yes"),(Q947))))</formula>
    </cfRule>
  </conditionalFormatting>
  <conditionalFormatting sqref="Q947:Q948">
    <cfRule type="containsText" dxfId="9" priority="17288" operator="containsText" text="No">
      <formula>NOT(ISERROR(SEARCH(("No"),(Q947))))</formula>
    </cfRule>
  </conditionalFormatting>
  <conditionalFormatting sqref="Q947:Q948">
    <cfRule type="containsText" dxfId="2" priority="17289" operator="containsText" text="Yes">
      <formula>NOT(ISERROR(SEARCH(("Yes"),(Q947))))</formula>
    </cfRule>
  </conditionalFormatting>
  <conditionalFormatting sqref="Q947:Q948">
    <cfRule type="containsText" dxfId="9" priority="17290" operator="containsText" text="No">
      <formula>NOT(ISERROR(SEARCH(("No"),(Q947))))</formula>
    </cfRule>
  </conditionalFormatting>
  <conditionalFormatting sqref="Q947:Q948">
    <cfRule type="containsText" dxfId="2" priority="17291" operator="containsText" text="Yes">
      <formula>NOT(ISERROR(SEARCH(("Yes"),(Q947))))</formula>
    </cfRule>
  </conditionalFormatting>
  <conditionalFormatting sqref="Q947:Q948">
    <cfRule type="containsText" dxfId="9" priority="17292" operator="containsText" text="No">
      <formula>NOT(ISERROR(SEARCH(("No"),(Q947))))</formula>
    </cfRule>
  </conditionalFormatting>
  <conditionalFormatting sqref="Q947:Q948">
    <cfRule type="containsText" dxfId="2" priority="17293" operator="containsText" text="Yes">
      <formula>NOT(ISERROR(SEARCH(("Yes"),(Q947))))</formula>
    </cfRule>
  </conditionalFormatting>
  <conditionalFormatting sqref="Q947:Q948">
    <cfRule type="containsText" dxfId="9" priority="17294" operator="containsText" text="No">
      <formula>NOT(ISERROR(SEARCH(("No"),(Q947))))</formula>
    </cfRule>
  </conditionalFormatting>
  <conditionalFormatting sqref="Q947:Q948">
    <cfRule type="containsText" dxfId="2" priority="17295" operator="containsText" text="Yes">
      <formula>NOT(ISERROR(SEARCH(("Yes"),(Q947))))</formula>
    </cfRule>
  </conditionalFormatting>
  <conditionalFormatting sqref="Q947:Q948">
    <cfRule type="containsText" dxfId="9" priority="17296" operator="containsText" text="No">
      <formula>NOT(ISERROR(SEARCH(("No"),(Q947))))</formula>
    </cfRule>
  </conditionalFormatting>
  <conditionalFormatting sqref="Q947:Q948">
    <cfRule type="containsText" dxfId="2" priority="17297" operator="containsText" text="Yes">
      <formula>NOT(ISERROR(SEARCH(("Yes"),(Q947))))</formula>
    </cfRule>
  </conditionalFormatting>
  <conditionalFormatting sqref="Q947:Q948">
    <cfRule type="containsText" dxfId="9" priority="17298" operator="containsText" text="No">
      <formula>NOT(ISERROR(SEARCH(("No"),(Q947))))</formula>
    </cfRule>
  </conditionalFormatting>
  <conditionalFormatting sqref="Q947:Q948">
    <cfRule type="containsText" dxfId="2" priority="17299" operator="containsText" text="Yes">
      <formula>NOT(ISERROR(SEARCH(("Yes"),(Q947))))</formula>
    </cfRule>
  </conditionalFormatting>
  <conditionalFormatting sqref="Q947:Q948">
    <cfRule type="containsText" dxfId="9" priority="17300" operator="containsText" text="No">
      <formula>NOT(ISERROR(SEARCH(("No"),(Q947))))</formula>
    </cfRule>
  </conditionalFormatting>
  <conditionalFormatting sqref="Q947:Q948">
    <cfRule type="containsText" dxfId="2" priority="17301" operator="containsText" text="Yes">
      <formula>NOT(ISERROR(SEARCH(("Yes"),(Q947))))</formula>
    </cfRule>
  </conditionalFormatting>
  <conditionalFormatting sqref="Q947:Q948">
    <cfRule type="containsText" dxfId="9" priority="17302" operator="containsText" text="No">
      <formula>NOT(ISERROR(SEARCH(("No"),(Q947))))</formula>
    </cfRule>
  </conditionalFormatting>
  <conditionalFormatting sqref="Q947:Q948">
    <cfRule type="containsText" dxfId="2" priority="17303" operator="containsText" text="Yes">
      <formula>NOT(ISERROR(SEARCH(("Yes"),(Q947))))</formula>
    </cfRule>
  </conditionalFormatting>
  <conditionalFormatting sqref="Q947:Q948">
    <cfRule type="containsText" dxfId="9" priority="17304" operator="containsText" text="No">
      <formula>NOT(ISERROR(SEARCH(("No"),(Q947))))</formula>
    </cfRule>
  </conditionalFormatting>
  <conditionalFormatting sqref="Q947:Q948">
    <cfRule type="containsText" dxfId="2" priority="17305" operator="containsText" text="Yes">
      <formula>NOT(ISERROR(SEARCH(("Yes"),(Q947))))</formula>
    </cfRule>
  </conditionalFormatting>
  <conditionalFormatting sqref="Q947:Q948">
    <cfRule type="containsText" dxfId="9" priority="17306" operator="containsText" text="No">
      <formula>NOT(ISERROR(SEARCH(("No"),(Q947))))</formula>
    </cfRule>
  </conditionalFormatting>
  <conditionalFormatting sqref="Q947:Q948">
    <cfRule type="containsText" dxfId="2" priority="17307" operator="containsText" text="Yes">
      <formula>NOT(ISERROR(SEARCH(("Yes"),(Q947))))</formula>
    </cfRule>
  </conditionalFormatting>
  <conditionalFormatting sqref="Q947:Q948">
    <cfRule type="containsText" dxfId="9" priority="17308" operator="containsText" text="No">
      <formula>NOT(ISERROR(SEARCH(("No"),(Q947))))</formula>
    </cfRule>
  </conditionalFormatting>
  <conditionalFormatting sqref="Q947:Q948">
    <cfRule type="containsText" dxfId="2" priority="17309" operator="containsText" text="Yes">
      <formula>NOT(ISERROR(SEARCH(("Yes"),(Q947))))</formula>
    </cfRule>
  </conditionalFormatting>
  <conditionalFormatting sqref="Q947:Q948">
    <cfRule type="containsText" dxfId="9" priority="17310" operator="containsText" text="No">
      <formula>NOT(ISERROR(SEARCH(("No"),(Q947))))</formula>
    </cfRule>
  </conditionalFormatting>
  <conditionalFormatting sqref="Q947:Q948">
    <cfRule type="containsText" dxfId="2" priority="17311" operator="containsText" text="Yes">
      <formula>NOT(ISERROR(SEARCH(("Yes"),(Q947))))</formula>
    </cfRule>
  </conditionalFormatting>
  <conditionalFormatting sqref="Q947:Q948">
    <cfRule type="containsText" dxfId="9" priority="17312" operator="containsText" text="No">
      <formula>NOT(ISERROR(SEARCH(("No"),(Q947))))</formula>
    </cfRule>
  </conditionalFormatting>
  <conditionalFormatting sqref="Q947:Q948">
    <cfRule type="containsText" dxfId="2" priority="17313" operator="containsText" text="Yes">
      <formula>NOT(ISERROR(SEARCH(("Yes"),(Q947))))</formula>
    </cfRule>
  </conditionalFormatting>
  <conditionalFormatting sqref="Q947:Q948">
    <cfRule type="containsText" dxfId="9" priority="17314" operator="containsText" text="No">
      <formula>NOT(ISERROR(SEARCH(("No"),(Q947))))</formula>
    </cfRule>
  </conditionalFormatting>
  <conditionalFormatting sqref="Q947:Q948">
    <cfRule type="containsText" dxfId="2" priority="17315" operator="containsText" text="Yes">
      <formula>NOT(ISERROR(SEARCH(("Yes"),(Q947))))</formula>
    </cfRule>
  </conditionalFormatting>
  <conditionalFormatting sqref="Q947:Q948">
    <cfRule type="containsText" dxfId="9" priority="17316" operator="containsText" text="No">
      <formula>NOT(ISERROR(SEARCH(("No"),(Q947))))</formula>
    </cfRule>
  </conditionalFormatting>
  <conditionalFormatting sqref="Q947:Q948">
    <cfRule type="containsText" dxfId="2" priority="17317" operator="containsText" text="Yes">
      <formula>NOT(ISERROR(SEARCH(("Yes"),(Q947))))</formula>
    </cfRule>
  </conditionalFormatting>
  <conditionalFormatting sqref="Q947:Q948">
    <cfRule type="containsText" dxfId="9" priority="17318" operator="containsText" text="No">
      <formula>NOT(ISERROR(SEARCH(("No"),(Q947))))</formula>
    </cfRule>
  </conditionalFormatting>
  <conditionalFormatting sqref="Q947:Q948">
    <cfRule type="containsText" dxfId="2" priority="17319" operator="containsText" text="Yes">
      <formula>NOT(ISERROR(SEARCH(("Yes"),(Q947))))</formula>
    </cfRule>
  </conditionalFormatting>
  <conditionalFormatting sqref="Q947:Q948">
    <cfRule type="containsText" dxfId="9" priority="17320" operator="containsText" text="No">
      <formula>NOT(ISERROR(SEARCH(("No"),(Q947))))</formula>
    </cfRule>
  </conditionalFormatting>
  <conditionalFormatting sqref="Q947:Q948">
    <cfRule type="containsText" dxfId="2" priority="17321" operator="containsText" text="Yes">
      <formula>NOT(ISERROR(SEARCH(("Yes"),(Q947))))</formula>
    </cfRule>
  </conditionalFormatting>
  <conditionalFormatting sqref="Q947:Q948">
    <cfRule type="containsText" dxfId="9" priority="17322" operator="containsText" text="No">
      <formula>NOT(ISERROR(SEARCH(("No"),(Q947))))</formula>
    </cfRule>
  </conditionalFormatting>
  <conditionalFormatting sqref="Q947:Q948">
    <cfRule type="containsText" dxfId="2" priority="17323" operator="containsText" text="Yes">
      <formula>NOT(ISERROR(SEARCH(("Yes"),(Q947))))</formula>
    </cfRule>
  </conditionalFormatting>
  <conditionalFormatting sqref="Q947:Q948">
    <cfRule type="containsText" dxfId="9" priority="17324" operator="containsText" text="No">
      <formula>NOT(ISERROR(SEARCH(("No"),(Q947))))</formula>
    </cfRule>
  </conditionalFormatting>
  <conditionalFormatting sqref="Q947:Q948">
    <cfRule type="containsText" dxfId="2" priority="17325" operator="containsText" text="Yes">
      <formula>NOT(ISERROR(SEARCH(("Yes"),(Q947))))</formula>
    </cfRule>
  </conditionalFormatting>
  <conditionalFormatting sqref="Q947:Q948">
    <cfRule type="containsText" dxfId="9" priority="17326" operator="containsText" text="No">
      <formula>NOT(ISERROR(SEARCH(("No"),(Q947))))</formula>
    </cfRule>
  </conditionalFormatting>
  <conditionalFormatting sqref="Q947:Q948">
    <cfRule type="containsText" dxfId="2" priority="17327" operator="containsText" text="Yes">
      <formula>NOT(ISERROR(SEARCH(("Yes"),(Q947))))</formula>
    </cfRule>
  </conditionalFormatting>
  <conditionalFormatting sqref="Q947:Q948">
    <cfRule type="containsText" dxfId="9" priority="17328" operator="containsText" text="No">
      <formula>NOT(ISERROR(SEARCH(("No"),(Q947))))</formula>
    </cfRule>
  </conditionalFormatting>
  <conditionalFormatting sqref="Q947:Q948">
    <cfRule type="containsText" dxfId="2" priority="17329" operator="containsText" text="Yes">
      <formula>NOT(ISERROR(SEARCH(("Yes"),(Q947))))</formula>
    </cfRule>
  </conditionalFormatting>
  <conditionalFormatting sqref="Q947:Q948">
    <cfRule type="containsText" dxfId="9" priority="17330" operator="containsText" text="No">
      <formula>NOT(ISERROR(SEARCH(("No"),(Q947))))</formula>
    </cfRule>
  </conditionalFormatting>
  <conditionalFormatting sqref="Q947:Q948">
    <cfRule type="containsText" dxfId="2" priority="17331" operator="containsText" text="Yes">
      <formula>NOT(ISERROR(SEARCH(("Yes"),(Q947))))</formula>
    </cfRule>
  </conditionalFormatting>
  <conditionalFormatting sqref="Q947:Q948">
    <cfRule type="containsText" dxfId="9" priority="17332" operator="containsText" text="No">
      <formula>NOT(ISERROR(SEARCH(("No"),(Q947))))</formula>
    </cfRule>
  </conditionalFormatting>
  <conditionalFormatting sqref="Q947:Q948">
    <cfRule type="containsText" dxfId="2" priority="17333" operator="containsText" text="Yes">
      <formula>NOT(ISERROR(SEARCH(("Yes"),(Q947))))</formula>
    </cfRule>
  </conditionalFormatting>
  <conditionalFormatting sqref="Q947:Q948">
    <cfRule type="containsText" dxfId="9" priority="17334" operator="containsText" text="No">
      <formula>NOT(ISERROR(SEARCH(("No"),(Q947))))</formula>
    </cfRule>
  </conditionalFormatting>
  <conditionalFormatting sqref="Q947:Q948">
    <cfRule type="containsText" dxfId="2" priority="17335" operator="containsText" text="Yes">
      <formula>NOT(ISERROR(SEARCH(("Yes"),(Q947))))</formula>
    </cfRule>
  </conditionalFormatting>
  <conditionalFormatting sqref="Q947:Q948">
    <cfRule type="containsText" dxfId="9" priority="17336" operator="containsText" text="No">
      <formula>NOT(ISERROR(SEARCH(("No"),(Q947))))</formula>
    </cfRule>
  </conditionalFormatting>
  <conditionalFormatting sqref="Q947:Q948">
    <cfRule type="containsText" dxfId="2" priority="17337" operator="containsText" text="Yes">
      <formula>NOT(ISERROR(SEARCH(("Yes"),(Q947))))</formula>
    </cfRule>
  </conditionalFormatting>
  <conditionalFormatting sqref="Q947:Q948">
    <cfRule type="containsText" dxfId="9" priority="17338" operator="containsText" text="No">
      <formula>NOT(ISERROR(SEARCH(("No"),(Q947))))</formula>
    </cfRule>
  </conditionalFormatting>
  <conditionalFormatting sqref="Q947:Q948">
    <cfRule type="containsText" dxfId="2" priority="17339" operator="containsText" text="Yes">
      <formula>NOT(ISERROR(SEARCH(("Yes"),(Q947))))</formula>
    </cfRule>
  </conditionalFormatting>
  <conditionalFormatting sqref="Q947:Q948">
    <cfRule type="containsText" dxfId="9" priority="17340" operator="containsText" text="No">
      <formula>NOT(ISERROR(SEARCH(("No"),(Q947))))</formula>
    </cfRule>
  </conditionalFormatting>
  <conditionalFormatting sqref="Q947:Q948">
    <cfRule type="containsText" dxfId="2" priority="17341" operator="containsText" text="Yes">
      <formula>NOT(ISERROR(SEARCH(("Yes"),(Q947))))</formula>
    </cfRule>
  </conditionalFormatting>
  <conditionalFormatting sqref="Q947:Q948">
    <cfRule type="containsText" dxfId="9" priority="17342" operator="containsText" text="No">
      <formula>NOT(ISERROR(SEARCH(("No"),(Q947))))</formula>
    </cfRule>
  </conditionalFormatting>
  <conditionalFormatting sqref="Q947:Q948">
    <cfRule type="containsText" dxfId="2" priority="17343" operator="containsText" text="Yes">
      <formula>NOT(ISERROR(SEARCH(("Yes"),(Q947))))</formula>
    </cfRule>
  </conditionalFormatting>
  <conditionalFormatting sqref="Q947:Q948">
    <cfRule type="containsText" dxfId="9" priority="17344" operator="containsText" text="No">
      <formula>NOT(ISERROR(SEARCH(("No"),(Q947))))</formula>
    </cfRule>
  </conditionalFormatting>
  <conditionalFormatting sqref="Q947:Q948">
    <cfRule type="containsText" dxfId="2" priority="17345" operator="containsText" text="Yes">
      <formula>NOT(ISERROR(SEARCH(("Yes"),(Q947))))</formula>
    </cfRule>
  </conditionalFormatting>
  <conditionalFormatting sqref="Q947:Q948">
    <cfRule type="containsText" dxfId="9" priority="17346" operator="containsText" text="No">
      <formula>NOT(ISERROR(SEARCH(("No"),(Q947))))</formula>
    </cfRule>
  </conditionalFormatting>
  <conditionalFormatting sqref="Q947:Q948">
    <cfRule type="containsText" dxfId="2" priority="17347" operator="containsText" text="Yes">
      <formula>NOT(ISERROR(SEARCH(("Yes"),(Q947))))</formula>
    </cfRule>
  </conditionalFormatting>
  <conditionalFormatting sqref="Q947:Q948">
    <cfRule type="containsText" dxfId="9" priority="17348" operator="containsText" text="No">
      <formula>NOT(ISERROR(SEARCH(("No"),(Q947))))</formula>
    </cfRule>
  </conditionalFormatting>
  <conditionalFormatting sqref="Q947:Q948">
    <cfRule type="containsText" dxfId="2" priority="17349" operator="containsText" text="Yes">
      <formula>NOT(ISERROR(SEARCH(("Yes"),(Q947))))</formula>
    </cfRule>
  </conditionalFormatting>
  <conditionalFormatting sqref="Q947:Q948">
    <cfRule type="containsText" dxfId="9" priority="17350" operator="containsText" text="No">
      <formula>NOT(ISERROR(SEARCH(("No"),(Q947))))</formula>
    </cfRule>
  </conditionalFormatting>
  <conditionalFormatting sqref="Q947:Q948">
    <cfRule type="containsText" dxfId="2" priority="17351" operator="containsText" text="Yes">
      <formula>NOT(ISERROR(SEARCH(("Yes"),(Q947))))</formula>
    </cfRule>
  </conditionalFormatting>
  <conditionalFormatting sqref="Q947:Q948">
    <cfRule type="containsText" dxfId="9" priority="17352" operator="containsText" text="No">
      <formula>NOT(ISERROR(SEARCH(("No"),(Q947))))</formula>
    </cfRule>
  </conditionalFormatting>
  <conditionalFormatting sqref="Q947:Q948">
    <cfRule type="containsText" dxfId="2" priority="17353" operator="containsText" text="Yes">
      <formula>NOT(ISERROR(SEARCH(("Yes"),(Q947))))</formula>
    </cfRule>
  </conditionalFormatting>
  <conditionalFormatting sqref="Q947:Q948">
    <cfRule type="containsText" dxfId="9" priority="17354" operator="containsText" text="No">
      <formula>NOT(ISERROR(SEARCH(("No"),(Q947))))</formula>
    </cfRule>
  </conditionalFormatting>
  <conditionalFormatting sqref="Q947:Q948">
    <cfRule type="containsText" dxfId="2" priority="17355" operator="containsText" text="Yes">
      <formula>NOT(ISERROR(SEARCH(("Yes"),(Q947))))</formula>
    </cfRule>
  </conditionalFormatting>
  <conditionalFormatting sqref="Q947:Q948">
    <cfRule type="containsText" dxfId="9" priority="17356" operator="containsText" text="No">
      <formula>NOT(ISERROR(SEARCH(("No"),(Q947))))</formula>
    </cfRule>
  </conditionalFormatting>
  <conditionalFormatting sqref="Q947:Q948">
    <cfRule type="containsText" dxfId="2" priority="17357" operator="containsText" text="Yes">
      <formula>NOT(ISERROR(SEARCH(("Yes"),(Q947))))</formula>
    </cfRule>
  </conditionalFormatting>
  <conditionalFormatting sqref="Q947:Q948">
    <cfRule type="containsText" dxfId="2" priority="17358" operator="containsText" text="Yes">
      <formula>NOT(ISERROR(SEARCH(("Yes"),(Q947))))</formula>
    </cfRule>
  </conditionalFormatting>
  <conditionalFormatting sqref="Q947:Q948">
    <cfRule type="containsText" dxfId="9" priority="17359" operator="containsText" text="No">
      <formula>NOT(ISERROR(SEARCH(("No"),(Q947))))</formula>
    </cfRule>
  </conditionalFormatting>
  <conditionalFormatting sqref="Q947:Q948">
    <cfRule type="containsText" dxfId="2" priority="17360" operator="containsText" text="Yes">
      <formula>NOT(ISERROR(SEARCH(("Yes"),(Q947))))</formula>
    </cfRule>
  </conditionalFormatting>
  <conditionalFormatting sqref="Q950:Q975">
    <cfRule type="containsText" dxfId="2" priority="17361" operator="containsText" text="Yes">
      <formula>NOT(ISERROR(SEARCH(("Yes"),(Q950))))</formula>
    </cfRule>
  </conditionalFormatting>
  <conditionalFormatting sqref="Q950:Q975">
    <cfRule type="containsText" dxfId="9" priority="17362" operator="containsText" text="No">
      <formula>NOT(ISERROR(SEARCH(("No"),(Q950))))</formula>
    </cfRule>
  </conditionalFormatting>
  <conditionalFormatting sqref="Q950:Q975">
    <cfRule type="containsText" dxfId="2" priority="17363" operator="containsText" text="Yes">
      <formula>NOT(ISERROR(SEARCH(("Yes"),(Q950))))</formula>
    </cfRule>
  </conditionalFormatting>
  <conditionalFormatting sqref="Q950:Q975">
    <cfRule type="containsText" dxfId="9" priority="17364" operator="containsText" text="No">
      <formula>NOT(ISERROR(SEARCH(("No"),(Q950))))</formula>
    </cfRule>
  </conditionalFormatting>
  <conditionalFormatting sqref="Q950:Q975">
    <cfRule type="containsText" dxfId="2" priority="17365" operator="containsText" text="Yes">
      <formula>NOT(ISERROR(SEARCH(("Yes"),(Q950))))</formula>
    </cfRule>
  </conditionalFormatting>
  <conditionalFormatting sqref="Q950:Q975">
    <cfRule type="containsText" dxfId="9" priority="17366" operator="containsText" text="No">
      <formula>NOT(ISERROR(SEARCH(("No"),(Q950))))</formula>
    </cfRule>
  </conditionalFormatting>
  <conditionalFormatting sqref="Q950:Q975">
    <cfRule type="containsText" dxfId="2" priority="17367" operator="containsText" text="Yes">
      <formula>NOT(ISERROR(SEARCH(("Yes"),(Q950))))</formula>
    </cfRule>
  </conditionalFormatting>
  <conditionalFormatting sqref="Q950:Q975">
    <cfRule type="containsText" dxfId="9" priority="17368" operator="containsText" text="No">
      <formula>NOT(ISERROR(SEARCH(("No"),(Q950))))</formula>
    </cfRule>
  </conditionalFormatting>
  <conditionalFormatting sqref="Q950:Q975">
    <cfRule type="containsText" dxfId="2" priority="17369" operator="containsText" text="Yes">
      <formula>NOT(ISERROR(SEARCH(("Yes"),(Q950))))</formula>
    </cfRule>
  </conditionalFormatting>
  <conditionalFormatting sqref="Q950:Q975">
    <cfRule type="containsText" dxfId="9" priority="17370" operator="containsText" text="No">
      <formula>NOT(ISERROR(SEARCH(("No"),(Q950))))</formula>
    </cfRule>
  </conditionalFormatting>
  <conditionalFormatting sqref="Q950:Q975">
    <cfRule type="containsText" dxfId="2" priority="17371" operator="containsText" text="Yes">
      <formula>NOT(ISERROR(SEARCH(("Yes"),(Q950))))</formula>
    </cfRule>
  </conditionalFormatting>
  <conditionalFormatting sqref="Q950:Q975">
    <cfRule type="containsText" dxfId="9" priority="17372" operator="containsText" text="No">
      <formula>NOT(ISERROR(SEARCH(("No"),(Q950))))</formula>
    </cfRule>
  </conditionalFormatting>
  <conditionalFormatting sqref="Q950:Q975">
    <cfRule type="containsText" dxfId="2" priority="17373" operator="containsText" text="Yes">
      <formula>NOT(ISERROR(SEARCH(("Yes"),(Q950))))</formula>
    </cfRule>
  </conditionalFormatting>
  <conditionalFormatting sqref="Q950:Q975">
    <cfRule type="containsText" dxfId="9" priority="17374" operator="containsText" text="No">
      <formula>NOT(ISERROR(SEARCH(("No"),(Q950))))</formula>
    </cfRule>
  </conditionalFormatting>
  <conditionalFormatting sqref="Q950:Q975">
    <cfRule type="containsText" dxfId="2" priority="17375" operator="containsText" text="Yes">
      <formula>NOT(ISERROR(SEARCH(("Yes"),(Q950))))</formula>
    </cfRule>
  </conditionalFormatting>
  <conditionalFormatting sqref="Q950:Q975">
    <cfRule type="containsText" dxfId="9" priority="17376" operator="containsText" text="No">
      <formula>NOT(ISERROR(SEARCH(("No"),(Q950))))</formula>
    </cfRule>
  </conditionalFormatting>
  <conditionalFormatting sqref="Q950:Q975">
    <cfRule type="containsText" dxfId="2" priority="17377" operator="containsText" text="Yes">
      <formula>NOT(ISERROR(SEARCH(("Yes"),(Q950))))</formula>
    </cfRule>
  </conditionalFormatting>
  <conditionalFormatting sqref="Q950:Q975">
    <cfRule type="containsText" dxfId="9" priority="17378" operator="containsText" text="No">
      <formula>NOT(ISERROR(SEARCH(("No"),(Q950))))</formula>
    </cfRule>
  </conditionalFormatting>
  <conditionalFormatting sqref="Q950:Q975">
    <cfRule type="containsText" dxfId="2" priority="17379" operator="containsText" text="Yes">
      <formula>NOT(ISERROR(SEARCH(("Yes"),(Q950))))</formula>
    </cfRule>
  </conditionalFormatting>
  <conditionalFormatting sqref="Q950:Q975">
    <cfRule type="containsText" dxfId="9" priority="17380" operator="containsText" text="No">
      <formula>NOT(ISERROR(SEARCH(("No"),(Q950))))</formula>
    </cfRule>
  </conditionalFormatting>
  <conditionalFormatting sqref="Q950:Q975">
    <cfRule type="containsText" dxfId="2" priority="17381" operator="containsText" text="Yes">
      <formula>NOT(ISERROR(SEARCH(("Yes"),(Q950))))</formula>
    </cfRule>
  </conditionalFormatting>
  <conditionalFormatting sqref="Q950:Q975">
    <cfRule type="containsText" dxfId="9" priority="17382" operator="containsText" text="No">
      <formula>NOT(ISERROR(SEARCH(("No"),(Q950))))</formula>
    </cfRule>
  </conditionalFormatting>
  <conditionalFormatting sqref="Q950:Q975">
    <cfRule type="containsText" dxfId="2" priority="17383" operator="containsText" text="Yes">
      <formula>NOT(ISERROR(SEARCH(("Yes"),(Q950))))</formula>
    </cfRule>
  </conditionalFormatting>
  <conditionalFormatting sqref="Q950:Q975">
    <cfRule type="containsText" dxfId="9" priority="17384" operator="containsText" text="No">
      <formula>NOT(ISERROR(SEARCH(("No"),(Q950))))</formula>
    </cfRule>
  </conditionalFormatting>
  <conditionalFormatting sqref="Q950:Q975">
    <cfRule type="containsText" dxfId="2" priority="17385" operator="containsText" text="Yes">
      <formula>NOT(ISERROR(SEARCH(("Yes"),(Q950))))</formula>
    </cfRule>
  </conditionalFormatting>
  <conditionalFormatting sqref="Q950:Q975">
    <cfRule type="containsText" dxfId="9" priority="17386" operator="containsText" text="No">
      <formula>NOT(ISERROR(SEARCH(("No"),(Q950))))</formula>
    </cfRule>
  </conditionalFormatting>
  <conditionalFormatting sqref="Q950:Q975">
    <cfRule type="containsText" dxfId="2" priority="17387" operator="containsText" text="Yes">
      <formula>NOT(ISERROR(SEARCH(("Yes"),(Q950))))</formula>
    </cfRule>
  </conditionalFormatting>
  <conditionalFormatting sqref="Q950:Q975">
    <cfRule type="containsText" dxfId="9" priority="17388" operator="containsText" text="No">
      <formula>NOT(ISERROR(SEARCH(("No"),(Q950))))</formula>
    </cfRule>
  </conditionalFormatting>
  <conditionalFormatting sqref="Q950:Q975">
    <cfRule type="containsText" dxfId="2" priority="17389" operator="containsText" text="Yes">
      <formula>NOT(ISERROR(SEARCH(("Yes"),(Q950))))</formula>
    </cfRule>
  </conditionalFormatting>
  <conditionalFormatting sqref="Q950:Q975">
    <cfRule type="containsText" dxfId="9" priority="17390" operator="containsText" text="No">
      <formula>NOT(ISERROR(SEARCH(("No"),(Q950))))</formula>
    </cfRule>
  </conditionalFormatting>
  <conditionalFormatting sqref="Q950:Q975">
    <cfRule type="containsText" dxfId="2" priority="17391" operator="containsText" text="Yes">
      <formula>NOT(ISERROR(SEARCH(("Yes"),(Q950))))</formula>
    </cfRule>
  </conditionalFormatting>
  <conditionalFormatting sqref="Q950:Q975">
    <cfRule type="containsText" dxfId="9" priority="17392" operator="containsText" text="No">
      <formula>NOT(ISERROR(SEARCH(("No"),(Q950))))</formula>
    </cfRule>
  </conditionalFormatting>
  <conditionalFormatting sqref="Q950:Q975">
    <cfRule type="containsText" dxfId="2" priority="17393" operator="containsText" text="Yes">
      <formula>NOT(ISERROR(SEARCH(("Yes"),(Q950))))</formula>
    </cfRule>
  </conditionalFormatting>
  <conditionalFormatting sqref="Q950:Q975">
    <cfRule type="containsText" dxfId="9" priority="17394" operator="containsText" text="No">
      <formula>NOT(ISERROR(SEARCH(("No"),(Q950))))</formula>
    </cfRule>
  </conditionalFormatting>
  <conditionalFormatting sqref="Q950:Q975">
    <cfRule type="containsText" dxfId="2" priority="17395" operator="containsText" text="Yes">
      <formula>NOT(ISERROR(SEARCH(("Yes"),(Q950))))</formula>
    </cfRule>
  </conditionalFormatting>
  <conditionalFormatting sqref="Q950:Q975">
    <cfRule type="containsText" dxfId="9" priority="17396" operator="containsText" text="No">
      <formula>NOT(ISERROR(SEARCH(("No"),(Q950))))</formula>
    </cfRule>
  </conditionalFormatting>
  <conditionalFormatting sqref="Q950:Q975">
    <cfRule type="containsText" dxfId="2" priority="17397" operator="containsText" text="Yes">
      <formula>NOT(ISERROR(SEARCH(("Yes"),(Q950))))</formula>
    </cfRule>
  </conditionalFormatting>
  <conditionalFormatting sqref="Q950:Q975">
    <cfRule type="containsText" dxfId="9" priority="17398" operator="containsText" text="No">
      <formula>NOT(ISERROR(SEARCH(("No"),(Q950))))</formula>
    </cfRule>
  </conditionalFormatting>
  <conditionalFormatting sqref="Q950:Q975">
    <cfRule type="containsText" dxfId="2" priority="17399" operator="containsText" text="Yes">
      <formula>NOT(ISERROR(SEARCH(("Yes"),(Q950))))</formula>
    </cfRule>
  </conditionalFormatting>
  <conditionalFormatting sqref="Q950:Q975">
    <cfRule type="containsText" dxfId="9" priority="17400" operator="containsText" text="No">
      <formula>NOT(ISERROR(SEARCH(("No"),(Q950))))</formula>
    </cfRule>
  </conditionalFormatting>
  <conditionalFormatting sqref="Q950:Q975">
    <cfRule type="containsText" dxfId="2" priority="17401" operator="containsText" text="Yes">
      <formula>NOT(ISERROR(SEARCH(("Yes"),(Q950))))</formula>
    </cfRule>
  </conditionalFormatting>
  <conditionalFormatting sqref="Q950:Q975">
    <cfRule type="containsText" dxfId="9" priority="17402" operator="containsText" text="No">
      <formula>NOT(ISERROR(SEARCH(("No"),(Q950))))</formula>
    </cfRule>
  </conditionalFormatting>
  <conditionalFormatting sqref="Q950:Q975">
    <cfRule type="containsText" dxfId="2" priority="17403" operator="containsText" text="Yes">
      <formula>NOT(ISERROR(SEARCH(("Yes"),(Q950))))</formula>
    </cfRule>
  </conditionalFormatting>
  <conditionalFormatting sqref="Q950:Q975">
    <cfRule type="containsText" dxfId="9" priority="17404" operator="containsText" text="No">
      <formula>NOT(ISERROR(SEARCH(("No"),(Q950))))</formula>
    </cfRule>
  </conditionalFormatting>
  <conditionalFormatting sqref="Q950:Q975">
    <cfRule type="containsText" dxfId="2" priority="17405" operator="containsText" text="Yes">
      <formula>NOT(ISERROR(SEARCH(("Yes"),(Q950))))</formula>
    </cfRule>
  </conditionalFormatting>
  <conditionalFormatting sqref="Q950:Q975">
    <cfRule type="containsText" dxfId="9" priority="17406" operator="containsText" text="No">
      <formula>NOT(ISERROR(SEARCH(("No"),(Q950))))</formula>
    </cfRule>
  </conditionalFormatting>
  <conditionalFormatting sqref="Q950:Q975">
    <cfRule type="containsText" dxfId="2" priority="17407" operator="containsText" text="Yes">
      <formula>NOT(ISERROR(SEARCH(("Yes"),(Q950))))</formula>
    </cfRule>
  </conditionalFormatting>
  <conditionalFormatting sqref="Q950:Q975">
    <cfRule type="containsText" dxfId="9" priority="17408" operator="containsText" text="No">
      <formula>NOT(ISERROR(SEARCH(("No"),(Q950))))</formula>
    </cfRule>
  </conditionalFormatting>
  <conditionalFormatting sqref="Q950:Q975">
    <cfRule type="containsText" dxfId="2" priority="17409" operator="containsText" text="Yes">
      <formula>NOT(ISERROR(SEARCH(("Yes"),(Q950))))</formula>
    </cfRule>
  </conditionalFormatting>
  <conditionalFormatting sqref="Q950:Q975">
    <cfRule type="containsText" dxfId="9" priority="17410" operator="containsText" text="No">
      <formula>NOT(ISERROR(SEARCH(("No"),(Q950))))</formula>
    </cfRule>
  </conditionalFormatting>
  <conditionalFormatting sqref="Q950:Q975">
    <cfRule type="containsText" dxfId="2" priority="17411" operator="containsText" text="Yes">
      <formula>NOT(ISERROR(SEARCH(("Yes"),(Q950))))</formula>
    </cfRule>
  </conditionalFormatting>
  <conditionalFormatting sqref="Q950:Q975">
    <cfRule type="containsText" dxfId="9" priority="17412" operator="containsText" text="No">
      <formula>NOT(ISERROR(SEARCH(("No"),(Q950))))</formula>
    </cfRule>
  </conditionalFormatting>
  <conditionalFormatting sqref="Q950:Q975">
    <cfRule type="containsText" dxfId="2" priority="17413" operator="containsText" text="Yes">
      <formula>NOT(ISERROR(SEARCH(("Yes"),(Q950))))</formula>
    </cfRule>
  </conditionalFormatting>
  <conditionalFormatting sqref="Q950:Q975">
    <cfRule type="containsText" dxfId="9" priority="17414" operator="containsText" text="No">
      <formula>NOT(ISERROR(SEARCH(("No"),(Q950))))</formula>
    </cfRule>
  </conditionalFormatting>
  <conditionalFormatting sqref="Q950:Q975">
    <cfRule type="containsText" dxfId="2" priority="17415" operator="containsText" text="Yes">
      <formula>NOT(ISERROR(SEARCH(("Yes"),(Q950))))</formula>
    </cfRule>
  </conditionalFormatting>
  <conditionalFormatting sqref="Q950:Q975">
    <cfRule type="containsText" dxfId="9" priority="17416" operator="containsText" text="No">
      <formula>NOT(ISERROR(SEARCH(("No"),(Q950))))</formula>
    </cfRule>
  </conditionalFormatting>
  <conditionalFormatting sqref="Q950:Q975">
    <cfRule type="containsText" dxfId="2" priority="17417" operator="containsText" text="Yes">
      <formula>NOT(ISERROR(SEARCH(("Yes"),(Q950))))</formula>
    </cfRule>
  </conditionalFormatting>
  <conditionalFormatting sqref="Q950:Q975">
    <cfRule type="containsText" dxfId="9" priority="17418" operator="containsText" text="No">
      <formula>NOT(ISERROR(SEARCH(("No"),(Q950))))</formula>
    </cfRule>
  </conditionalFormatting>
  <conditionalFormatting sqref="Q950:Q975">
    <cfRule type="containsText" dxfId="2" priority="17419" operator="containsText" text="Yes">
      <formula>NOT(ISERROR(SEARCH(("Yes"),(Q950))))</formula>
    </cfRule>
  </conditionalFormatting>
  <conditionalFormatting sqref="Q950:Q975">
    <cfRule type="containsText" dxfId="9" priority="17420" operator="containsText" text="No">
      <formula>NOT(ISERROR(SEARCH(("No"),(Q950))))</formula>
    </cfRule>
  </conditionalFormatting>
  <conditionalFormatting sqref="Q950:Q975">
    <cfRule type="containsText" dxfId="2" priority="17421" operator="containsText" text="Yes">
      <formula>NOT(ISERROR(SEARCH(("Yes"),(Q950))))</formula>
    </cfRule>
  </conditionalFormatting>
  <conditionalFormatting sqref="Q950:Q975">
    <cfRule type="containsText" dxfId="9" priority="17422" operator="containsText" text="No">
      <formula>NOT(ISERROR(SEARCH(("No"),(Q950))))</formula>
    </cfRule>
  </conditionalFormatting>
  <conditionalFormatting sqref="Q950:Q975">
    <cfRule type="containsText" dxfId="2" priority="17423" operator="containsText" text="Yes">
      <formula>NOT(ISERROR(SEARCH(("Yes"),(Q950))))</formula>
    </cfRule>
  </conditionalFormatting>
  <conditionalFormatting sqref="Q950:Q975">
    <cfRule type="containsText" dxfId="9" priority="17424" operator="containsText" text="No">
      <formula>NOT(ISERROR(SEARCH(("No"),(Q950))))</formula>
    </cfRule>
  </conditionalFormatting>
  <conditionalFormatting sqref="Q950:Q975">
    <cfRule type="containsText" dxfId="2" priority="17425" operator="containsText" text="Yes">
      <formula>NOT(ISERROR(SEARCH(("Yes"),(Q950))))</formula>
    </cfRule>
  </conditionalFormatting>
  <conditionalFormatting sqref="Q950:Q975">
    <cfRule type="containsText" dxfId="9" priority="17426" operator="containsText" text="No">
      <formula>NOT(ISERROR(SEARCH(("No"),(Q950))))</formula>
    </cfRule>
  </conditionalFormatting>
  <conditionalFormatting sqref="Q950:Q975">
    <cfRule type="containsText" dxfId="2" priority="17427" operator="containsText" text="Yes">
      <formula>NOT(ISERROR(SEARCH(("Yes"),(Q950))))</formula>
    </cfRule>
  </conditionalFormatting>
  <conditionalFormatting sqref="Q950:Q975">
    <cfRule type="containsText" dxfId="9" priority="17428" operator="containsText" text="No">
      <formula>NOT(ISERROR(SEARCH(("No"),(Q950))))</formula>
    </cfRule>
  </conditionalFormatting>
  <conditionalFormatting sqref="Q950:Q975">
    <cfRule type="containsText" dxfId="2" priority="17429" operator="containsText" text="Yes">
      <formula>NOT(ISERROR(SEARCH(("Yes"),(Q950))))</formula>
    </cfRule>
  </conditionalFormatting>
  <conditionalFormatting sqref="Q950:Q975">
    <cfRule type="containsText" dxfId="9" priority="17430" operator="containsText" text="No">
      <formula>NOT(ISERROR(SEARCH(("No"),(Q950))))</formula>
    </cfRule>
  </conditionalFormatting>
  <conditionalFormatting sqref="Q950:Q975">
    <cfRule type="containsText" dxfId="2" priority="17431" operator="containsText" text="Yes">
      <formula>NOT(ISERROR(SEARCH(("Yes"),(Q950))))</formula>
    </cfRule>
  </conditionalFormatting>
  <conditionalFormatting sqref="Q950:Q975">
    <cfRule type="containsText" dxfId="9" priority="17432" operator="containsText" text="No">
      <formula>NOT(ISERROR(SEARCH(("No"),(Q950))))</formula>
    </cfRule>
  </conditionalFormatting>
  <conditionalFormatting sqref="Q950:Q975">
    <cfRule type="containsText" dxfId="2" priority="17433" operator="containsText" text="Yes">
      <formula>NOT(ISERROR(SEARCH(("Yes"),(Q950))))</formula>
    </cfRule>
  </conditionalFormatting>
  <conditionalFormatting sqref="Q950:Q975">
    <cfRule type="containsText" dxfId="9" priority="17434" operator="containsText" text="No">
      <formula>NOT(ISERROR(SEARCH(("No"),(Q950))))</formula>
    </cfRule>
  </conditionalFormatting>
  <conditionalFormatting sqref="Q950:Q975">
    <cfRule type="containsText" dxfId="2" priority="17435" operator="containsText" text="Yes">
      <formula>NOT(ISERROR(SEARCH(("Yes"),(Q950))))</formula>
    </cfRule>
  </conditionalFormatting>
  <conditionalFormatting sqref="Q950:Q975">
    <cfRule type="containsText" dxfId="9" priority="17436" operator="containsText" text="No">
      <formula>NOT(ISERROR(SEARCH(("No"),(Q950))))</formula>
    </cfRule>
  </conditionalFormatting>
  <conditionalFormatting sqref="Q950:Q975">
    <cfRule type="containsText" dxfId="2" priority="17437" operator="containsText" text="Yes">
      <formula>NOT(ISERROR(SEARCH(("Yes"),(Q950))))</formula>
    </cfRule>
  </conditionalFormatting>
  <conditionalFormatting sqref="Q950:Q975">
    <cfRule type="containsText" dxfId="9" priority="17438" operator="containsText" text="No">
      <formula>NOT(ISERROR(SEARCH(("No"),(Q950))))</formula>
    </cfRule>
  </conditionalFormatting>
  <conditionalFormatting sqref="Q950:Q975">
    <cfRule type="containsText" dxfId="2" priority="17439" operator="containsText" text="Yes">
      <formula>NOT(ISERROR(SEARCH(("Yes"),(Q950))))</formula>
    </cfRule>
  </conditionalFormatting>
  <conditionalFormatting sqref="Q950:Q975">
    <cfRule type="containsText" dxfId="9" priority="17440" operator="containsText" text="No">
      <formula>NOT(ISERROR(SEARCH(("No"),(Q950))))</formula>
    </cfRule>
  </conditionalFormatting>
  <conditionalFormatting sqref="Q950:Q975">
    <cfRule type="containsText" dxfId="2" priority="17441" operator="containsText" text="Yes">
      <formula>NOT(ISERROR(SEARCH(("Yes"),(Q950))))</formula>
    </cfRule>
  </conditionalFormatting>
  <conditionalFormatting sqref="Q950:Q975">
    <cfRule type="containsText" dxfId="9" priority="17442" operator="containsText" text="No">
      <formula>NOT(ISERROR(SEARCH(("No"),(Q950))))</formula>
    </cfRule>
  </conditionalFormatting>
  <conditionalFormatting sqref="Q950:Q975">
    <cfRule type="containsText" dxfId="2" priority="17443" operator="containsText" text="Yes">
      <formula>NOT(ISERROR(SEARCH(("Yes"),(Q950))))</formula>
    </cfRule>
  </conditionalFormatting>
  <conditionalFormatting sqref="Q950:Q975">
    <cfRule type="containsText" dxfId="9" priority="17444" operator="containsText" text="No">
      <formula>NOT(ISERROR(SEARCH(("No"),(Q950))))</formula>
    </cfRule>
  </conditionalFormatting>
  <conditionalFormatting sqref="Q950:Q975">
    <cfRule type="containsText" dxfId="2" priority="17445" operator="containsText" text="Yes">
      <formula>NOT(ISERROR(SEARCH(("Yes"),(Q950))))</formula>
    </cfRule>
  </conditionalFormatting>
  <conditionalFormatting sqref="Q950:Q975">
    <cfRule type="containsText" dxfId="9" priority="17446" operator="containsText" text="No">
      <formula>NOT(ISERROR(SEARCH(("No"),(Q950))))</formula>
    </cfRule>
  </conditionalFormatting>
  <conditionalFormatting sqref="Q950:Q975">
    <cfRule type="containsText" dxfId="2" priority="17447" operator="containsText" text="Yes">
      <formula>NOT(ISERROR(SEARCH(("Yes"),(Q950))))</formula>
    </cfRule>
  </conditionalFormatting>
  <conditionalFormatting sqref="Q950:Q975">
    <cfRule type="containsText" dxfId="9" priority="17448" operator="containsText" text="No">
      <formula>NOT(ISERROR(SEARCH(("No"),(Q950))))</formula>
    </cfRule>
  </conditionalFormatting>
  <conditionalFormatting sqref="Q950:Q975">
    <cfRule type="containsText" dxfId="2" priority="17449" operator="containsText" text="Yes">
      <formula>NOT(ISERROR(SEARCH(("Yes"),(Q950))))</formula>
    </cfRule>
  </conditionalFormatting>
  <conditionalFormatting sqref="Q950:Q975">
    <cfRule type="containsText" dxfId="2" priority="17450" operator="containsText" text="Yes">
      <formula>NOT(ISERROR(SEARCH(("Yes"),(Q950))))</formula>
    </cfRule>
  </conditionalFormatting>
  <conditionalFormatting sqref="Q950:Q975">
    <cfRule type="containsText" dxfId="9" priority="17451" operator="containsText" text="No">
      <formula>NOT(ISERROR(SEARCH(("No"),(Q950))))</formula>
    </cfRule>
  </conditionalFormatting>
  <conditionalFormatting sqref="Q950:Q975">
    <cfRule type="containsText" dxfId="2" priority="17452" operator="containsText" text="Yes">
      <formula>NOT(ISERROR(SEARCH(("Yes"),(Q950))))</formula>
    </cfRule>
  </conditionalFormatting>
  <conditionalFormatting sqref="Q978:Q1012">
    <cfRule type="containsText" dxfId="2" priority="17453" operator="containsText" text="Yes">
      <formula>NOT(ISERROR(SEARCH(("Yes"),(Q978))))</formula>
    </cfRule>
  </conditionalFormatting>
  <conditionalFormatting sqref="Q978:Q1012">
    <cfRule type="containsText" dxfId="9" priority="17454" operator="containsText" text="No">
      <formula>NOT(ISERROR(SEARCH(("No"),(Q978))))</formula>
    </cfRule>
  </conditionalFormatting>
  <conditionalFormatting sqref="Q978:Q1012">
    <cfRule type="containsText" dxfId="2" priority="17455" operator="containsText" text="Yes">
      <formula>NOT(ISERROR(SEARCH(("Yes"),(Q978))))</formula>
    </cfRule>
  </conditionalFormatting>
  <conditionalFormatting sqref="Q978:Q1012">
    <cfRule type="containsText" dxfId="9" priority="17456" operator="containsText" text="No">
      <formula>NOT(ISERROR(SEARCH(("No"),(Q978))))</formula>
    </cfRule>
  </conditionalFormatting>
  <conditionalFormatting sqref="Q978:Q1012">
    <cfRule type="containsText" dxfId="2" priority="17457" operator="containsText" text="Yes">
      <formula>NOT(ISERROR(SEARCH(("Yes"),(Q978))))</formula>
    </cfRule>
  </conditionalFormatting>
  <conditionalFormatting sqref="Q978:Q1012">
    <cfRule type="containsText" dxfId="9" priority="17458" operator="containsText" text="No">
      <formula>NOT(ISERROR(SEARCH(("No"),(Q978))))</formula>
    </cfRule>
  </conditionalFormatting>
  <conditionalFormatting sqref="Q978:Q1012">
    <cfRule type="containsText" dxfId="2" priority="17459" operator="containsText" text="Yes">
      <formula>NOT(ISERROR(SEARCH(("Yes"),(Q978))))</formula>
    </cfRule>
  </conditionalFormatting>
  <conditionalFormatting sqref="Q978:Q1012">
    <cfRule type="containsText" dxfId="9" priority="17460" operator="containsText" text="No">
      <formula>NOT(ISERROR(SEARCH(("No"),(Q978))))</formula>
    </cfRule>
  </conditionalFormatting>
  <conditionalFormatting sqref="Q978:Q1012">
    <cfRule type="containsText" dxfId="2" priority="17461" operator="containsText" text="Yes">
      <formula>NOT(ISERROR(SEARCH(("Yes"),(Q978))))</formula>
    </cfRule>
  </conditionalFormatting>
  <conditionalFormatting sqref="Q978:Q1012">
    <cfRule type="containsText" dxfId="9" priority="17462" operator="containsText" text="No">
      <formula>NOT(ISERROR(SEARCH(("No"),(Q978))))</formula>
    </cfRule>
  </conditionalFormatting>
  <conditionalFormatting sqref="Q978:Q1012">
    <cfRule type="containsText" dxfId="2" priority="17463" operator="containsText" text="Yes">
      <formula>NOT(ISERROR(SEARCH(("Yes"),(Q978))))</formula>
    </cfRule>
  </conditionalFormatting>
  <conditionalFormatting sqref="Q978:Q1012">
    <cfRule type="containsText" dxfId="9" priority="17464" operator="containsText" text="No">
      <formula>NOT(ISERROR(SEARCH(("No"),(Q978))))</formula>
    </cfRule>
  </conditionalFormatting>
  <conditionalFormatting sqref="Q978:Q1012">
    <cfRule type="containsText" dxfId="2" priority="17465" operator="containsText" text="Yes">
      <formula>NOT(ISERROR(SEARCH(("Yes"),(Q978))))</formula>
    </cfRule>
  </conditionalFormatting>
  <conditionalFormatting sqref="Q978:Q1012">
    <cfRule type="containsText" dxfId="9" priority="17466" operator="containsText" text="No">
      <formula>NOT(ISERROR(SEARCH(("No"),(Q978))))</formula>
    </cfRule>
  </conditionalFormatting>
  <conditionalFormatting sqref="Q978:Q1012">
    <cfRule type="containsText" dxfId="2" priority="17467" operator="containsText" text="Yes">
      <formula>NOT(ISERROR(SEARCH(("Yes"),(Q978))))</formula>
    </cfRule>
  </conditionalFormatting>
  <conditionalFormatting sqref="Q978:Q1012">
    <cfRule type="containsText" dxfId="9" priority="17468" operator="containsText" text="No">
      <formula>NOT(ISERROR(SEARCH(("No"),(Q978))))</formula>
    </cfRule>
  </conditionalFormatting>
  <conditionalFormatting sqref="Q978:Q1012">
    <cfRule type="containsText" dxfId="2" priority="17469" operator="containsText" text="Yes">
      <formula>NOT(ISERROR(SEARCH(("Yes"),(Q978))))</formula>
    </cfRule>
  </conditionalFormatting>
  <conditionalFormatting sqref="Q978:Q1012">
    <cfRule type="containsText" dxfId="9" priority="17470" operator="containsText" text="No">
      <formula>NOT(ISERROR(SEARCH(("No"),(Q978))))</formula>
    </cfRule>
  </conditionalFormatting>
  <conditionalFormatting sqref="Q978:Q1012">
    <cfRule type="containsText" dxfId="2" priority="17471" operator="containsText" text="Yes">
      <formula>NOT(ISERROR(SEARCH(("Yes"),(Q978))))</formula>
    </cfRule>
  </conditionalFormatting>
  <conditionalFormatting sqref="Q978:Q1012">
    <cfRule type="containsText" dxfId="9" priority="17472" operator="containsText" text="No">
      <formula>NOT(ISERROR(SEARCH(("No"),(Q978))))</formula>
    </cfRule>
  </conditionalFormatting>
  <conditionalFormatting sqref="Q978:Q1012">
    <cfRule type="containsText" dxfId="2" priority="17473" operator="containsText" text="Yes">
      <formula>NOT(ISERROR(SEARCH(("Yes"),(Q978))))</formula>
    </cfRule>
  </conditionalFormatting>
  <conditionalFormatting sqref="Q978:Q1012">
    <cfRule type="containsText" dxfId="9" priority="17474" operator="containsText" text="No">
      <formula>NOT(ISERROR(SEARCH(("No"),(Q978))))</formula>
    </cfRule>
  </conditionalFormatting>
  <conditionalFormatting sqref="Q978:Q1012">
    <cfRule type="containsText" dxfId="2" priority="17475" operator="containsText" text="Yes">
      <formula>NOT(ISERROR(SEARCH(("Yes"),(Q978))))</formula>
    </cfRule>
  </conditionalFormatting>
  <conditionalFormatting sqref="Q978:Q1012">
    <cfRule type="containsText" dxfId="9" priority="17476" operator="containsText" text="No">
      <formula>NOT(ISERROR(SEARCH(("No"),(Q978))))</formula>
    </cfRule>
  </conditionalFormatting>
  <conditionalFormatting sqref="Q978:Q1012">
    <cfRule type="containsText" dxfId="2" priority="17477" operator="containsText" text="Yes">
      <formula>NOT(ISERROR(SEARCH(("Yes"),(Q978))))</formula>
    </cfRule>
  </conditionalFormatting>
  <conditionalFormatting sqref="Q978:Q1012">
    <cfRule type="containsText" dxfId="9" priority="17478" operator="containsText" text="No">
      <formula>NOT(ISERROR(SEARCH(("No"),(Q978))))</formula>
    </cfRule>
  </conditionalFormatting>
  <conditionalFormatting sqref="Q978:Q1012">
    <cfRule type="containsText" dxfId="2" priority="17479" operator="containsText" text="Yes">
      <formula>NOT(ISERROR(SEARCH(("Yes"),(Q978))))</formula>
    </cfRule>
  </conditionalFormatting>
  <conditionalFormatting sqref="Q978:Q1012">
    <cfRule type="containsText" dxfId="9" priority="17480" operator="containsText" text="No">
      <formula>NOT(ISERROR(SEARCH(("No"),(Q978))))</formula>
    </cfRule>
  </conditionalFormatting>
  <conditionalFormatting sqref="Q978:Q1012">
    <cfRule type="containsText" dxfId="2" priority="17481" operator="containsText" text="Yes">
      <formula>NOT(ISERROR(SEARCH(("Yes"),(Q978))))</formula>
    </cfRule>
  </conditionalFormatting>
  <conditionalFormatting sqref="Q978:Q1012">
    <cfRule type="containsText" dxfId="9" priority="17482" operator="containsText" text="No">
      <formula>NOT(ISERROR(SEARCH(("No"),(Q978))))</formula>
    </cfRule>
  </conditionalFormatting>
  <conditionalFormatting sqref="Q978:Q1012">
    <cfRule type="containsText" dxfId="2" priority="17483" operator="containsText" text="Yes">
      <formula>NOT(ISERROR(SEARCH(("Yes"),(Q978))))</formula>
    </cfRule>
  </conditionalFormatting>
  <conditionalFormatting sqref="Q978:Q1012">
    <cfRule type="containsText" dxfId="9" priority="17484" operator="containsText" text="No">
      <formula>NOT(ISERROR(SEARCH(("No"),(Q978))))</formula>
    </cfRule>
  </conditionalFormatting>
  <conditionalFormatting sqref="Q978:Q1012">
    <cfRule type="containsText" dxfId="2" priority="17485" operator="containsText" text="Yes">
      <formula>NOT(ISERROR(SEARCH(("Yes"),(Q978))))</formula>
    </cfRule>
  </conditionalFormatting>
  <conditionalFormatting sqref="Q978:Q1012">
    <cfRule type="containsText" dxfId="9" priority="17486" operator="containsText" text="No">
      <formula>NOT(ISERROR(SEARCH(("No"),(Q978))))</formula>
    </cfRule>
  </conditionalFormatting>
  <conditionalFormatting sqref="Q978:Q1012">
    <cfRule type="containsText" dxfId="2" priority="17487" operator="containsText" text="Yes">
      <formula>NOT(ISERROR(SEARCH(("Yes"),(Q978))))</formula>
    </cfRule>
  </conditionalFormatting>
  <conditionalFormatting sqref="Q978:Q1012">
    <cfRule type="containsText" dxfId="9" priority="17488" operator="containsText" text="No">
      <formula>NOT(ISERROR(SEARCH(("No"),(Q978))))</formula>
    </cfRule>
  </conditionalFormatting>
  <conditionalFormatting sqref="Q978:Q1012">
    <cfRule type="containsText" dxfId="2" priority="17489" operator="containsText" text="Yes">
      <formula>NOT(ISERROR(SEARCH(("Yes"),(Q978))))</formula>
    </cfRule>
  </conditionalFormatting>
  <conditionalFormatting sqref="Q978:Q1012">
    <cfRule type="containsText" dxfId="9" priority="17490" operator="containsText" text="No">
      <formula>NOT(ISERROR(SEARCH(("No"),(Q978))))</formula>
    </cfRule>
  </conditionalFormatting>
  <conditionalFormatting sqref="Q978:Q1012">
    <cfRule type="containsText" dxfId="2" priority="17491" operator="containsText" text="Yes">
      <formula>NOT(ISERROR(SEARCH(("Yes"),(Q978))))</formula>
    </cfRule>
  </conditionalFormatting>
  <conditionalFormatting sqref="Q978:Q1012">
    <cfRule type="containsText" dxfId="9" priority="17492" operator="containsText" text="No">
      <formula>NOT(ISERROR(SEARCH(("No"),(Q978))))</formula>
    </cfRule>
  </conditionalFormatting>
  <conditionalFormatting sqref="Q978:Q1012">
    <cfRule type="containsText" dxfId="2" priority="17493" operator="containsText" text="Yes">
      <formula>NOT(ISERROR(SEARCH(("Yes"),(Q978))))</formula>
    </cfRule>
  </conditionalFormatting>
  <conditionalFormatting sqref="Q978:Q1012">
    <cfRule type="containsText" dxfId="9" priority="17494" operator="containsText" text="No">
      <formula>NOT(ISERROR(SEARCH(("No"),(Q978))))</formula>
    </cfRule>
  </conditionalFormatting>
  <conditionalFormatting sqref="Q978:Q1012">
    <cfRule type="containsText" dxfId="2" priority="17495" operator="containsText" text="Yes">
      <formula>NOT(ISERROR(SEARCH(("Yes"),(Q978))))</formula>
    </cfRule>
  </conditionalFormatting>
  <conditionalFormatting sqref="Q978:Q1012">
    <cfRule type="containsText" dxfId="9" priority="17496" operator="containsText" text="No">
      <formula>NOT(ISERROR(SEARCH(("No"),(Q978))))</formula>
    </cfRule>
  </conditionalFormatting>
  <conditionalFormatting sqref="Q978:Q1012">
    <cfRule type="containsText" dxfId="2" priority="17497" operator="containsText" text="Yes">
      <formula>NOT(ISERROR(SEARCH(("Yes"),(Q978))))</formula>
    </cfRule>
  </conditionalFormatting>
  <conditionalFormatting sqref="Q978:Q1012">
    <cfRule type="containsText" dxfId="9" priority="17498" operator="containsText" text="No">
      <formula>NOT(ISERROR(SEARCH(("No"),(Q978))))</formula>
    </cfRule>
  </conditionalFormatting>
  <conditionalFormatting sqref="Q978:Q1012">
    <cfRule type="containsText" dxfId="2" priority="17499" operator="containsText" text="Yes">
      <formula>NOT(ISERROR(SEARCH(("Yes"),(Q978))))</formula>
    </cfRule>
  </conditionalFormatting>
  <conditionalFormatting sqref="Q978:Q1012">
    <cfRule type="containsText" dxfId="9" priority="17500" operator="containsText" text="No">
      <formula>NOT(ISERROR(SEARCH(("No"),(Q978))))</formula>
    </cfRule>
  </conditionalFormatting>
  <conditionalFormatting sqref="Q978:Q1012">
    <cfRule type="containsText" dxfId="2" priority="17501" operator="containsText" text="Yes">
      <formula>NOT(ISERROR(SEARCH(("Yes"),(Q978))))</formula>
    </cfRule>
  </conditionalFormatting>
  <conditionalFormatting sqref="Q978:Q1012">
    <cfRule type="containsText" dxfId="9" priority="17502" operator="containsText" text="No">
      <formula>NOT(ISERROR(SEARCH(("No"),(Q978))))</formula>
    </cfRule>
  </conditionalFormatting>
  <conditionalFormatting sqref="Q978:Q1012">
    <cfRule type="containsText" dxfId="2" priority="17503" operator="containsText" text="Yes">
      <formula>NOT(ISERROR(SEARCH(("Yes"),(Q978))))</formula>
    </cfRule>
  </conditionalFormatting>
  <conditionalFormatting sqref="Q978:Q1012">
    <cfRule type="containsText" dxfId="9" priority="17504" operator="containsText" text="No">
      <formula>NOT(ISERROR(SEARCH(("No"),(Q978))))</formula>
    </cfRule>
  </conditionalFormatting>
  <conditionalFormatting sqref="Q978:Q1012">
    <cfRule type="containsText" dxfId="2" priority="17505" operator="containsText" text="Yes">
      <formula>NOT(ISERROR(SEARCH(("Yes"),(Q978))))</formula>
    </cfRule>
  </conditionalFormatting>
  <conditionalFormatting sqref="Q978:Q1012">
    <cfRule type="containsText" dxfId="9" priority="17506" operator="containsText" text="No">
      <formula>NOT(ISERROR(SEARCH(("No"),(Q978))))</formula>
    </cfRule>
  </conditionalFormatting>
  <conditionalFormatting sqref="Q978:Q1012">
    <cfRule type="containsText" dxfId="2" priority="17507" operator="containsText" text="Yes">
      <formula>NOT(ISERROR(SEARCH(("Yes"),(Q978))))</formula>
    </cfRule>
  </conditionalFormatting>
  <conditionalFormatting sqref="Q978:Q1012">
    <cfRule type="containsText" dxfId="9" priority="17508" operator="containsText" text="No">
      <formula>NOT(ISERROR(SEARCH(("No"),(Q978))))</formula>
    </cfRule>
  </conditionalFormatting>
  <conditionalFormatting sqref="Q978:Q1012">
    <cfRule type="containsText" dxfId="2" priority="17509" operator="containsText" text="Yes">
      <formula>NOT(ISERROR(SEARCH(("Yes"),(Q978))))</formula>
    </cfRule>
  </conditionalFormatting>
  <conditionalFormatting sqref="Q978:Q1012">
    <cfRule type="containsText" dxfId="9" priority="17510" operator="containsText" text="No">
      <formula>NOT(ISERROR(SEARCH(("No"),(Q978))))</formula>
    </cfRule>
  </conditionalFormatting>
  <conditionalFormatting sqref="Q978:Q1012">
    <cfRule type="containsText" dxfId="2" priority="17511" operator="containsText" text="Yes">
      <formula>NOT(ISERROR(SEARCH(("Yes"),(Q978))))</formula>
    </cfRule>
  </conditionalFormatting>
  <conditionalFormatting sqref="Q978:Q1012">
    <cfRule type="containsText" dxfId="9" priority="17512" operator="containsText" text="No">
      <formula>NOT(ISERROR(SEARCH(("No"),(Q978))))</formula>
    </cfRule>
  </conditionalFormatting>
  <conditionalFormatting sqref="Q978:Q1012">
    <cfRule type="containsText" dxfId="2" priority="17513" operator="containsText" text="Yes">
      <formula>NOT(ISERROR(SEARCH(("Yes"),(Q978))))</formula>
    </cfRule>
  </conditionalFormatting>
  <conditionalFormatting sqref="Q978:Q1012">
    <cfRule type="containsText" dxfId="9" priority="17514" operator="containsText" text="No">
      <formula>NOT(ISERROR(SEARCH(("No"),(Q978))))</formula>
    </cfRule>
  </conditionalFormatting>
  <conditionalFormatting sqref="Q978:Q1012">
    <cfRule type="containsText" dxfId="2" priority="17515" operator="containsText" text="Yes">
      <formula>NOT(ISERROR(SEARCH(("Yes"),(Q978))))</formula>
    </cfRule>
  </conditionalFormatting>
  <conditionalFormatting sqref="Q978:Q1012">
    <cfRule type="containsText" dxfId="9" priority="17516" operator="containsText" text="No">
      <formula>NOT(ISERROR(SEARCH(("No"),(Q978))))</formula>
    </cfRule>
  </conditionalFormatting>
  <conditionalFormatting sqref="Q978:Q1012">
    <cfRule type="containsText" dxfId="2" priority="17517" operator="containsText" text="Yes">
      <formula>NOT(ISERROR(SEARCH(("Yes"),(Q978))))</formula>
    </cfRule>
  </conditionalFormatting>
  <conditionalFormatting sqref="Q978:Q1012">
    <cfRule type="containsText" dxfId="9" priority="17518" operator="containsText" text="No">
      <formula>NOT(ISERROR(SEARCH(("No"),(Q978))))</formula>
    </cfRule>
  </conditionalFormatting>
  <conditionalFormatting sqref="Q978:Q1012">
    <cfRule type="containsText" dxfId="2" priority="17519" operator="containsText" text="Yes">
      <formula>NOT(ISERROR(SEARCH(("Yes"),(Q978))))</formula>
    </cfRule>
  </conditionalFormatting>
  <conditionalFormatting sqref="Q978:Q1012">
    <cfRule type="containsText" dxfId="9" priority="17520" operator="containsText" text="No">
      <formula>NOT(ISERROR(SEARCH(("No"),(Q978))))</formula>
    </cfRule>
  </conditionalFormatting>
  <conditionalFormatting sqref="Q978:Q1012">
    <cfRule type="containsText" dxfId="2" priority="17521" operator="containsText" text="Yes">
      <formula>NOT(ISERROR(SEARCH(("Yes"),(Q978))))</formula>
    </cfRule>
  </conditionalFormatting>
  <conditionalFormatting sqref="Q978:Q1012">
    <cfRule type="containsText" dxfId="9" priority="17522" operator="containsText" text="No">
      <formula>NOT(ISERROR(SEARCH(("No"),(Q978))))</formula>
    </cfRule>
  </conditionalFormatting>
  <conditionalFormatting sqref="Q978:Q1012">
    <cfRule type="containsText" dxfId="2" priority="17523" operator="containsText" text="Yes">
      <formula>NOT(ISERROR(SEARCH(("Yes"),(Q978))))</formula>
    </cfRule>
  </conditionalFormatting>
  <conditionalFormatting sqref="Q978:Q1012">
    <cfRule type="containsText" dxfId="9" priority="17524" operator="containsText" text="No">
      <formula>NOT(ISERROR(SEARCH(("No"),(Q978))))</formula>
    </cfRule>
  </conditionalFormatting>
  <conditionalFormatting sqref="Q978:Q1012">
    <cfRule type="containsText" dxfId="2" priority="17525" operator="containsText" text="Yes">
      <formula>NOT(ISERROR(SEARCH(("Yes"),(Q978))))</formula>
    </cfRule>
  </conditionalFormatting>
  <conditionalFormatting sqref="Q978:Q1012">
    <cfRule type="containsText" dxfId="9" priority="17526" operator="containsText" text="No">
      <formula>NOT(ISERROR(SEARCH(("No"),(Q978))))</formula>
    </cfRule>
  </conditionalFormatting>
  <conditionalFormatting sqref="Q978:Q1012">
    <cfRule type="containsText" dxfId="2" priority="17527" operator="containsText" text="Yes">
      <formula>NOT(ISERROR(SEARCH(("Yes"),(Q978))))</formula>
    </cfRule>
  </conditionalFormatting>
  <conditionalFormatting sqref="Q978:Q1012">
    <cfRule type="containsText" dxfId="9" priority="17528" operator="containsText" text="No">
      <formula>NOT(ISERROR(SEARCH(("No"),(Q978))))</formula>
    </cfRule>
  </conditionalFormatting>
  <conditionalFormatting sqref="Q978:Q1012">
    <cfRule type="containsText" dxfId="2" priority="17529" operator="containsText" text="Yes">
      <formula>NOT(ISERROR(SEARCH(("Yes"),(Q978))))</formula>
    </cfRule>
  </conditionalFormatting>
  <conditionalFormatting sqref="Q978:Q1012">
    <cfRule type="containsText" dxfId="9" priority="17530" operator="containsText" text="No">
      <formula>NOT(ISERROR(SEARCH(("No"),(Q978))))</formula>
    </cfRule>
  </conditionalFormatting>
  <conditionalFormatting sqref="Q978:Q1012">
    <cfRule type="containsText" dxfId="2" priority="17531" operator="containsText" text="Yes">
      <formula>NOT(ISERROR(SEARCH(("Yes"),(Q978))))</formula>
    </cfRule>
  </conditionalFormatting>
  <conditionalFormatting sqref="Q978:Q1012">
    <cfRule type="containsText" dxfId="9" priority="17532" operator="containsText" text="No">
      <formula>NOT(ISERROR(SEARCH(("No"),(Q978))))</formula>
    </cfRule>
  </conditionalFormatting>
  <conditionalFormatting sqref="Q978:Q1012">
    <cfRule type="containsText" dxfId="2" priority="17533" operator="containsText" text="Yes">
      <formula>NOT(ISERROR(SEARCH(("Yes"),(Q978))))</formula>
    </cfRule>
  </conditionalFormatting>
  <conditionalFormatting sqref="Q978:Q1012">
    <cfRule type="containsText" dxfId="9" priority="17534" operator="containsText" text="No">
      <formula>NOT(ISERROR(SEARCH(("No"),(Q978))))</formula>
    </cfRule>
  </conditionalFormatting>
  <conditionalFormatting sqref="Q978:Q1012">
    <cfRule type="containsText" dxfId="2" priority="17535" operator="containsText" text="Yes">
      <formula>NOT(ISERROR(SEARCH(("Yes"),(Q978))))</formula>
    </cfRule>
  </conditionalFormatting>
  <conditionalFormatting sqref="Q978:Q1012">
    <cfRule type="containsText" dxfId="9" priority="17536" operator="containsText" text="No">
      <formula>NOT(ISERROR(SEARCH(("No"),(Q978))))</formula>
    </cfRule>
  </conditionalFormatting>
  <conditionalFormatting sqref="Q978:Q1012">
    <cfRule type="containsText" dxfId="2" priority="17537" operator="containsText" text="Yes">
      <formula>NOT(ISERROR(SEARCH(("Yes"),(Q978))))</formula>
    </cfRule>
  </conditionalFormatting>
  <conditionalFormatting sqref="Q978:Q1012">
    <cfRule type="containsText" dxfId="9" priority="17538" operator="containsText" text="No">
      <formula>NOT(ISERROR(SEARCH(("No"),(Q978))))</formula>
    </cfRule>
  </conditionalFormatting>
  <conditionalFormatting sqref="Q978:Q1012">
    <cfRule type="containsText" dxfId="2" priority="17539" operator="containsText" text="Yes">
      <formula>NOT(ISERROR(SEARCH(("Yes"),(Q978))))</formula>
    </cfRule>
  </conditionalFormatting>
  <conditionalFormatting sqref="Q978:Q1012">
    <cfRule type="containsText" dxfId="9" priority="17540" operator="containsText" text="No">
      <formula>NOT(ISERROR(SEARCH(("No"),(Q978))))</formula>
    </cfRule>
  </conditionalFormatting>
  <conditionalFormatting sqref="Q978:Q1012">
    <cfRule type="containsText" dxfId="2" priority="17541" operator="containsText" text="Yes">
      <formula>NOT(ISERROR(SEARCH(("Yes"),(Q978))))</formula>
    </cfRule>
  </conditionalFormatting>
  <conditionalFormatting sqref="Q978:Q1012">
    <cfRule type="containsText" dxfId="2" priority="17542" operator="containsText" text="Yes">
      <formula>NOT(ISERROR(SEARCH(("Yes"),(Q978))))</formula>
    </cfRule>
  </conditionalFormatting>
  <conditionalFormatting sqref="Q978:Q1012">
    <cfRule type="containsText" dxfId="9" priority="17543" operator="containsText" text="No">
      <formula>NOT(ISERROR(SEARCH(("No"),(Q978))))</formula>
    </cfRule>
  </conditionalFormatting>
  <conditionalFormatting sqref="Q978:Q1012">
    <cfRule type="containsText" dxfId="2" priority="17544" operator="containsText" text="Yes">
      <formula>NOT(ISERROR(SEARCH(("Yes"),(Q978))))</formula>
    </cfRule>
  </conditionalFormatting>
  <conditionalFormatting sqref="Q1014">
    <cfRule type="containsText" dxfId="2" priority="17545" operator="containsText" text="Yes">
      <formula>NOT(ISERROR(SEARCH(("Yes"),(Q1014))))</formula>
    </cfRule>
  </conditionalFormatting>
  <conditionalFormatting sqref="Q1014">
    <cfRule type="containsText" dxfId="9" priority="17546" operator="containsText" text="No">
      <formula>NOT(ISERROR(SEARCH(("No"),(Q1014))))</formula>
    </cfRule>
  </conditionalFormatting>
  <conditionalFormatting sqref="Q1014">
    <cfRule type="containsText" dxfId="2" priority="17547" operator="containsText" text="Yes">
      <formula>NOT(ISERROR(SEARCH(("Yes"),(Q1014))))</formula>
    </cfRule>
  </conditionalFormatting>
  <conditionalFormatting sqref="Q1014">
    <cfRule type="containsText" dxfId="9" priority="17548" operator="containsText" text="No">
      <formula>NOT(ISERROR(SEARCH(("No"),(Q1014))))</formula>
    </cfRule>
  </conditionalFormatting>
  <conditionalFormatting sqref="Q1014">
    <cfRule type="containsText" dxfId="2" priority="17549" operator="containsText" text="Yes">
      <formula>NOT(ISERROR(SEARCH(("Yes"),(Q1014))))</formula>
    </cfRule>
  </conditionalFormatting>
  <conditionalFormatting sqref="Q1014">
    <cfRule type="containsText" dxfId="9" priority="17550" operator="containsText" text="No">
      <formula>NOT(ISERROR(SEARCH(("No"),(Q1014))))</formula>
    </cfRule>
  </conditionalFormatting>
  <conditionalFormatting sqref="Q1014">
    <cfRule type="containsText" dxfId="2" priority="17551" operator="containsText" text="Yes">
      <formula>NOT(ISERROR(SEARCH(("Yes"),(Q1014))))</formula>
    </cfRule>
  </conditionalFormatting>
  <conditionalFormatting sqref="Q1014">
    <cfRule type="containsText" dxfId="9" priority="17552" operator="containsText" text="No">
      <formula>NOT(ISERROR(SEARCH(("No"),(Q1014))))</formula>
    </cfRule>
  </conditionalFormatting>
  <conditionalFormatting sqref="Q1014">
    <cfRule type="containsText" dxfId="2" priority="17553" operator="containsText" text="Yes">
      <formula>NOT(ISERROR(SEARCH(("Yes"),(Q1014))))</formula>
    </cfRule>
  </conditionalFormatting>
  <conditionalFormatting sqref="Q1014">
    <cfRule type="containsText" dxfId="9" priority="17554" operator="containsText" text="No">
      <formula>NOT(ISERROR(SEARCH(("No"),(Q1014))))</formula>
    </cfRule>
  </conditionalFormatting>
  <conditionalFormatting sqref="Q1014">
    <cfRule type="containsText" dxfId="2" priority="17555" operator="containsText" text="Yes">
      <formula>NOT(ISERROR(SEARCH(("Yes"),(Q1014))))</formula>
    </cfRule>
  </conditionalFormatting>
  <conditionalFormatting sqref="Q1014">
    <cfRule type="containsText" dxfId="9" priority="17556" operator="containsText" text="No">
      <formula>NOT(ISERROR(SEARCH(("No"),(Q1014))))</formula>
    </cfRule>
  </conditionalFormatting>
  <conditionalFormatting sqref="Q1014">
    <cfRule type="containsText" dxfId="2" priority="17557" operator="containsText" text="Yes">
      <formula>NOT(ISERROR(SEARCH(("Yes"),(Q1014))))</formula>
    </cfRule>
  </conditionalFormatting>
  <conditionalFormatting sqref="Q1014">
    <cfRule type="containsText" dxfId="9" priority="17558" operator="containsText" text="No">
      <formula>NOT(ISERROR(SEARCH(("No"),(Q1014))))</formula>
    </cfRule>
  </conditionalFormatting>
  <conditionalFormatting sqref="Q1014">
    <cfRule type="containsText" dxfId="2" priority="17559" operator="containsText" text="Yes">
      <formula>NOT(ISERROR(SEARCH(("Yes"),(Q1014))))</formula>
    </cfRule>
  </conditionalFormatting>
  <conditionalFormatting sqref="Q1014">
    <cfRule type="containsText" dxfId="9" priority="17560" operator="containsText" text="No">
      <formula>NOT(ISERROR(SEARCH(("No"),(Q1014))))</formula>
    </cfRule>
  </conditionalFormatting>
  <conditionalFormatting sqref="Q1014">
    <cfRule type="containsText" dxfId="2" priority="17561" operator="containsText" text="Yes">
      <formula>NOT(ISERROR(SEARCH(("Yes"),(Q1014))))</formula>
    </cfRule>
  </conditionalFormatting>
  <conditionalFormatting sqref="Q1014">
    <cfRule type="containsText" dxfId="9" priority="17562" operator="containsText" text="No">
      <formula>NOT(ISERROR(SEARCH(("No"),(Q1014))))</formula>
    </cfRule>
  </conditionalFormatting>
  <conditionalFormatting sqref="Q1014">
    <cfRule type="containsText" dxfId="2" priority="17563" operator="containsText" text="Yes">
      <formula>NOT(ISERROR(SEARCH(("Yes"),(Q1014))))</formula>
    </cfRule>
  </conditionalFormatting>
  <conditionalFormatting sqref="Q1014">
    <cfRule type="containsText" dxfId="9" priority="17564" operator="containsText" text="No">
      <formula>NOT(ISERROR(SEARCH(("No"),(Q1014))))</formula>
    </cfRule>
  </conditionalFormatting>
  <conditionalFormatting sqref="Q1014">
    <cfRule type="containsText" dxfId="2" priority="17565" operator="containsText" text="Yes">
      <formula>NOT(ISERROR(SEARCH(("Yes"),(Q1014))))</formula>
    </cfRule>
  </conditionalFormatting>
  <conditionalFormatting sqref="Q1014">
    <cfRule type="containsText" dxfId="9" priority="17566" operator="containsText" text="No">
      <formula>NOT(ISERROR(SEARCH(("No"),(Q1014))))</formula>
    </cfRule>
  </conditionalFormatting>
  <conditionalFormatting sqref="Q1014">
    <cfRule type="containsText" dxfId="2" priority="17567" operator="containsText" text="Yes">
      <formula>NOT(ISERROR(SEARCH(("Yes"),(Q1014))))</formula>
    </cfRule>
  </conditionalFormatting>
  <conditionalFormatting sqref="Q1014">
    <cfRule type="containsText" dxfId="9" priority="17568" operator="containsText" text="No">
      <formula>NOT(ISERROR(SEARCH(("No"),(Q1014))))</formula>
    </cfRule>
  </conditionalFormatting>
  <conditionalFormatting sqref="Q1014">
    <cfRule type="containsText" dxfId="2" priority="17569" operator="containsText" text="Yes">
      <formula>NOT(ISERROR(SEARCH(("Yes"),(Q1014))))</formula>
    </cfRule>
  </conditionalFormatting>
  <conditionalFormatting sqref="Q1014">
    <cfRule type="containsText" dxfId="9" priority="17570" operator="containsText" text="No">
      <formula>NOT(ISERROR(SEARCH(("No"),(Q1014))))</formula>
    </cfRule>
  </conditionalFormatting>
  <conditionalFormatting sqref="Q1014">
    <cfRule type="containsText" dxfId="2" priority="17571" operator="containsText" text="Yes">
      <formula>NOT(ISERROR(SEARCH(("Yes"),(Q1014))))</formula>
    </cfRule>
  </conditionalFormatting>
  <conditionalFormatting sqref="Q1014">
    <cfRule type="containsText" dxfId="9" priority="17572" operator="containsText" text="No">
      <formula>NOT(ISERROR(SEARCH(("No"),(Q1014))))</formula>
    </cfRule>
  </conditionalFormatting>
  <conditionalFormatting sqref="Q1014">
    <cfRule type="containsText" dxfId="2" priority="17573" operator="containsText" text="Yes">
      <formula>NOT(ISERROR(SEARCH(("Yes"),(Q1014))))</formula>
    </cfRule>
  </conditionalFormatting>
  <conditionalFormatting sqref="Q1014">
    <cfRule type="containsText" dxfId="9" priority="17574" operator="containsText" text="No">
      <formula>NOT(ISERROR(SEARCH(("No"),(Q1014))))</formula>
    </cfRule>
  </conditionalFormatting>
  <conditionalFormatting sqref="Q1014">
    <cfRule type="containsText" dxfId="2" priority="17575" operator="containsText" text="Yes">
      <formula>NOT(ISERROR(SEARCH(("Yes"),(Q1014))))</formula>
    </cfRule>
  </conditionalFormatting>
  <conditionalFormatting sqref="Q1014">
    <cfRule type="containsText" dxfId="9" priority="17576" operator="containsText" text="No">
      <formula>NOT(ISERROR(SEARCH(("No"),(Q1014))))</formula>
    </cfRule>
  </conditionalFormatting>
  <conditionalFormatting sqref="Q1014">
    <cfRule type="containsText" dxfId="2" priority="17577" operator="containsText" text="Yes">
      <formula>NOT(ISERROR(SEARCH(("Yes"),(Q1014))))</formula>
    </cfRule>
  </conditionalFormatting>
  <conditionalFormatting sqref="Q1014">
    <cfRule type="containsText" dxfId="9" priority="17578" operator="containsText" text="No">
      <formula>NOT(ISERROR(SEARCH(("No"),(Q1014))))</formula>
    </cfRule>
  </conditionalFormatting>
  <conditionalFormatting sqref="Q1014">
    <cfRule type="containsText" dxfId="2" priority="17579" operator="containsText" text="Yes">
      <formula>NOT(ISERROR(SEARCH(("Yes"),(Q1014))))</formula>
    </cfRule>
  </conditionalFormatting>
  <conditionalFormatting sqref="Q1014">
    <cfRule type="containsText" dxfId="9" priority="17580" operator="containsText" text="No">
      <formula>NOT(ISERROR(SEARCH(("No"),(Q1014))))</formula>
    </cfRule>
  </conditionalFormatting>
  <conditionalFormatting sqref="Q1014">
    <cfRule type="containsText" dxfId="2" priority="17581" operator="containsText" text="Yes">
      <formula>NOT(ISERROR(SEARCH(("Yes"),(Q1014))))</formula>
    </cfRule>
  </conditionalFormatting>
  <conditionalFormatting sqref="Q1014">
    <cfRule type="containsText" dxfId="9" priority="17582" operator="containsText" text="No">
      <formula>NOT(ISERROR(SEARCH(("No"),(Q1014))))</formula>
    </cfRule>
  </conditionalFormatting>
  <conditionalFormatting sqref="Q1014">
    <cfRule type="containsText" dxfId="2" priority="17583" operator="containsText" text="Yes">
      <formula>NOT(ISERROR(SEARCH(("Yes"),(Q1014))))</formula>
    </cfRule>
  </conditionalFormatting>
  <conditionalFormatting sqref="Q1014">
    <cfRule type="containsText" dxfId="9" priority="17584" operator="containsText" text="No">
      <formula>NOT(ISERROR(SEARCH(("No"),(Q1014))))</formula>
    </cfRule>
  </conditionalFormatting>
  <conditionalFormatting sqref="Q1014">
    <cfRule type="containsText" dxfId="2" priority="17585" operator="containsText" text="Yes">
      <formula>NOT(ISERROR(SEARCH(("Yes"),(Q1014))))</formula>
    </cfRule>
  </conditionalFormatting>
  <conditionalFormatting sqref="Q1014">
    <cfRule type="containsText" dxfId="9" priority="17586" operator="containsText" text="No">
      <formula>NOT(ISERROR(SEARCH(("No"),(Q1014))))</formula>
    </cfRule>
  </conditionalFormatting>
  <conditionalFormatting sqref="Q1014">
    <cfRule type="containsText" dxfId="2" priority="17587" operator="containsText" text="Yes">
      <formula>NOT(ISERROR(SEARCH(("Yes"),(Q1014))))</formula>
    </cfRule>
  </conditionalFormatting>
  <conditionalFormatting sqref="Q1014">
    <cfRule type="containsText" dxfId="9" priority="17588" operator="containsText" text="No">
      <formula>NOT(ISERROR(SEARCH(("No"),(Q1014))))</formula>
    </cfRule>
  </conditionalFormatting>
  <conditionalFormatting sqref="Q1014">
    <cfRule type="containsText" dxfId="2" priority="17589" operator="containsText" text="Yes">
      <formula>NOT(ISERROR(SEARCH(("Yes"),(Q1014))))</formula>
    </cfRule>
  </conditionalFormatting>
  <conditionalFormatting sqref="Q1014">
    <cfRule type="containsText" dxfId="9" priority="17590" operator="containsText" text="No">
      <formula>NOT(ISERROR(SEARCH(("No"),(Q1014))))</formula>
    </cfRule>
  </conditionalFormatting>
  <conditionalFormatting sqref="Q1014">
    <cfRule type="containsText" dxfId="2" priority="17591" operator="containsText" text="Yes">
      <formula>NOT(ISERROR(SEARCH(("Yes"),(Q1014))))</formula>
    </cfRule>
  </conditionalFormatting>
  <conditionalFormatting sqref="Q1014">
    <cfRule type="containsText" dxfId="9" priority="17592" operator="containsText" text="No">
      <formula>NOT(ISERROR(SEARCH(("No"),(Q1014))))</formula>
    </cfRule>
  </conditionalFormatting>
  <conditionalFormatting sqref="Q1014">
    <cfRule type="containsText" dxfId="2" priority="17593" operator="containsText" text="Yes">
      <formula>NOT(ISERROR(SEARCH(("Yes"),(Q1014))))</formula>
    </cfRule>
  </conditionalFormatting>
  <conditionalFormatting sqref="Q1014">
    <cfRule type="containsText" dxfId="9" priority="17594" operator="containsText" text="No">
      <formula>NOT(ISERROR(SEARCH(("No"),(Q1014))))</formula>
    </cfRule>
  </conditionalFormatting>
  <conditionalFormatting sqref="Q1014">
    <cfRule type="containsText" dxfId="2" priority="17595" operator="containsText" text="Yes">
      <formula>NOT(ISERROR(SEARCH(("Yes"),(Q1014))))</formula>
    </cfRule>
  </conditionalFormatting>
  <conditionalFormatting sqref="Q1014">
    <cfRule type="containsText" dxfId="9" priority="17596" operator="containsText" text="No">
      <formula>NOT(ISERROR(SEARCH(("No"),(Q1014))))</formula>
    </cfRule>
  </conditionalFormatting>
  <conditionalFormatting sqref="Q1014">
    <cfRule type="containsText" dxfId="2" priority="17597" operator="containsText" text="Yes">
      <formula>NOT(ISERROR(SEARCH(("Yes"),(Q1014))))</formula>
    </cfRule>
  </conditionalFormatting>
  <conditionalFormatting sqref="Q1014">
    <cfRule type="containsText" dxfId="9" priority="17598" operator="containsText" text="No">
      <formula>NOT(ISERROR(SEARCH(("No"),(Q1014))))</formula>
    </cfRule>
  </conditionalFormatting>
  <conditionalFormatting sqref="Q1014">
    <cfRule type="containsText" dxfId="2" priority="17599" operator="containsText" text="Yes">
      <formula>NOT(ISERROR(SEARCH(("Yes"),(Q1014))))</formula>
    </cfRule>
  </conditionalFormatting>
  <conditionalFormatting sqref="Q1014">
    <cfRule type="containsText" dxfId="9" priority="17600" operator="containsText" text="No">
      <formula>NOT(ISERROR(SEARCH(("No"),(Q1014))))</formula>
    </cfRule>
  </conditionalFormatting>
  <conditionalFormatting sqref="Q1014">
    <cfRule type="containsText" dxfId="2" priority="17601" operator="containsText" text="Yes">
      <formula>NOT(ISERROR(SEARCH(("Yes"),(Q1014))))</formula>
    </cfRule>
  </conditionalFormatting>
  <conditionalFormatting sqref="Q1014">
    <cfRule type="containsText" dxfId="9" priority="17602" operator="containsText" text="No">
      <formula>NOT(ISERROR(SEARCH(("No"),(Q1014))))</formula>
    </cfRule>
  </conditionalFormatting>
  <conditionalFormatting sqref="Q1014">
    <cfRule type="containsText" dxfId="2" priority="17603" operator="containsText" text="Yes">
      <formula>NOT(ISERROR(SEARCH(("Yes"),(Q1014))))</formula>
    </cfRule>
  </conditionalFormatting>
  <conditionalFormatting sqref="Q1014">
    <cfRule type="containsText" dxfId="9" priority="17604" operator="containsText" text="No">
      <formula>NOT(ISERROR(SEARCH(("No"),(Q1014))))</formula>
    </cfRule>
  </conditionalFormatting>
  <conditionalFormatting sqref="Q1014">
    <cfRule type="containsText" dxfId="2" priority="17605" operator="containsText" text="Yes">
      <formula>NOT(ISERROR(SEARCH(("Yes"),(Q1014))))</formula>
    </cfRule>
  </conditionalFormatting>
  <conditionalFormatting sqref="Q1014">
    <cfRule type="containsText" dxfId="9" priority="17606" operator="containsText" text="No">
      <formula>NOT(ISERROR(SEARCH(("No"),(Q1014))))</formula>
    </cfRule>
  </conditionalFormatting>
  <conditionalFormatting sqref="Q1014">
    <cfRule type="containsText" dxfId="2" priority="17607" operator="containsText" text="Yes">
      <formula>NOT(ISERROR(SEARCH(("Yes"),(Q1014))))</formula>
    </cfRule>
  </conditionalFormatting>
  <conditionalFormatting sqref="Q1014">
    <cfRule type="containsText" dxfId="9" priority="17608" operator="containsText" text="No">
      <formula>NOT(ISERROR(SEARCH(("No"),(Q1014))))</formula>
    </cfRule>
  </conditionalFormatting>
  <conditionalFormatting sqref="Q1014">
    <cfRule type="containsText" dxfId="2" priority="17609" operator="containsText" text="Yes">
      <formula>NOT(ISERROR(SEARCH(("Yes"),(Q1014))))</formula>
    </cfRule>
  </conditionalFormatting>
  <conditionalFormatting sqref="Q1014">
    <cfRule type="containsText" dxfId="9" priority="17610" operator="containsText" text="No">
      <formula>NOT(ISERROR(SEARCH(("No"),(Q1014))))</formula>
    </cfRule>
  </conditionalFormatting>
  <conditionalFormatting sqref="Q1014">
    <cfRule type="containsText" dxfId="2" priority="17611" operator="containsText" text="Yes">
      <formula>NOT(ISERROR(SEARCH(("Yes"),(Q1014))))</formula>
    </cfRule>
  </conditionalFormatting>
  <conditionalFormatting sqref="Q1014">
    <cfRule type="containsText" dxfId="9" priority="17612" operator="containsText" text="No">
      <formula>NOT(ISERROR(SEARCH(("No"),(Q1014))))</formula>
    </cfRule>
  </conditionalFormatting>
  <conditionalFormatting sqref="Q1014">
    <cfRule type="containsText" dxfId="2" priority="17613" operator="containsText" text="Yes">
      <formula>NOT(ISERROR(SEARCH(("Yes"),(Q1014))))</formula>
    </cfRule>
  </conditionalFormatting>
  <conditionalFormatting sqref="Q1014">
    <cfRule type="containsText" dxfId="9" priority="17614" operator="containsText" text="No">
      <formula>NOT(ISERROR(SEARCH(("No"),(Q1014))))</formula>
    </cfRule>
  </conditionalFormatting>
  <conditionalFormatting sqref="Q1014">
    <cfRule type="containsText" dxfId="2" priority="17615" operator="containsText" text="Yes">
      <formula>NOT(ISERROR(SEARCH(("Yes"),(Q1014))))</formula>
    </cfRule>
  </conditionalFormatting>
  <conditionalFormatting sqref="Q1014">
    <cfRule type="containsText" dxfId="9" priority="17616" operator="containsText" text="No">
      <formula>NOT(ISERROR(SEARCH(("No"),(Q1014))))</formula>
    </cfRule>
  </conditionalFormatting>
  <conditionalFormatting sqref="Q1014">
    <cfRule type="containsText" dxfId="2" priority="17617" operator="containsText" text="Yes">
      <formula>NOT(ISERROR(SEARCH(("Yes"),(Q1014))))</formula>
    </cfRule>
  </conditionalFormatting>
  <conditionalFormatting sqref="Q1014">
    <cfRule type="containsText" dxfId="9" priority="17618" operator="containsText" text="No">
      <formula>NOT(ISERROR(SEARCH(("No"),(Q1014))))</formula>
    </cfRule>
  </conditionalFormatting>
  <conditionalFormatting sqref="Q1014">
    <cfRule type="containsText" dxfId="2" priority="17619" operator="containsText" text="Yes">
      <formula>NOT(ISERROR(SEARCH(("Yes"),(Q1014))))</formula>
    </cfRule>
  </conditionalFormatting>
  <conditionalFormatting sqref="Q1014">
    <cfRule type="containsText" dxfId="9" priority="17620" operator="containsText" text="No">
      <formula>NOT(ISERROR(SEARCH(("No"),(Q1014))))</formula>
    </cfRule>
  </conditionalFormatting>
  <conditionalFormatting sqref="Q1014">
    <cfRule type="containsText" dxfId="2" priority="17621" operator="containsText" text="Yes">
      <formula>NOT(ISERROR(SEARCH(("Yes"),(Q1014))))</formula>
    </cfRule>
  </conditionalFormatting>
  <conditionalFormatting sqref="Q1014">
    <cfRule type="containsText" dxfId="9" priority="17622" operator="containsText" text="No">
      <formula>NOT(ISERROR(SEARCH(("No"),(Q1014))))</formula>
    </cfRule>
  </conditionalFormatting>
  <conditionalFormatting sqref="Q1014">
    <cfRule type="containsText" dxfId="2" priority="17623" operator="containsText" text="Yes">
      <formula>NOT(ISERROR(SEARCH(("Yes"),(Q1014))))</formula>
    </cfRule>
  </conditionalFormatting>
  <conditionalFormatting sqref="Q1014">
    <cfRule type="containsText" dxfId="9" priority="17624" operator="containsText" text="No">
      <formula>NOT(ISERROR(SEARCH(("No"),(Q1014))))</formula>
    </cfRule>
  </conditionalFormatting>
  <conditionalFormatting sqref="Q1014">
    <cfRule type="containsText" dxfId="2" priority="17625" operator="containsText" text="Yes">
      <formula>NOT(ISERROR(SEARCH(("Yes"),(Q1014))))</formula>
    </cfRule>
  </conditionalFormatting>
  <conditionalFormatting sqref="Q1014">
    <cfRule type="containsText" dxfId="9" priority="17626" operator="containsText" text="No">
      <formula>NOT(ISERROR(SEARCH(("No"),(Q1014))))</formula>
    </cfRule>
  </conditionalFormatting>
  <conditionalFormatting sqref="Q1014">
    <cfRule type="containsText" dxfId="2" priority="17627" operator="containsText" text="Yes">
      <formula>NOT(ISERROR(SEARCH(("Yes"),(Q1014))))</formula>
    </cfRule>
  </conditionalFormatting>
  <conditionalFormatting sqref="Q1014">
    <cfRule type="containsText" dxfId="9" priority="17628" operator="containsText" text="No">
      <formula>NOT(ISERROR(SEARCH(("No"),(Q1014))))</formula>
    </cfRule>
  </conditionalFormatting>
  <conditionalFormatting sqref="Q1014">
    <cfRule type="containsText" dxfId="2" priority="17629" operator="containsText" text="Yes">
      <formula>NOT(ISERROR(SEARCH(("Yes"),(Q1014))))</formula>
    </cfRule>
  </conditionalFormatting>
  <conditionalFormatting sqref="Q1014">
    <cfRule type="containsText" dxfId="9" priority="17630" operator="containsText" text="No">
      <formula>NOT(ISERROR(SEARCH(("No"),(Q1014))))</formula>
    </cfRule>
  </conditionalFormatting>
  <conditionalFormatting sqref="Q1014">
    <cfRule type="containsText" dxfId="2" priority="17631" operator="containsText" text="Yes">
      <formula>NOT(ISERROR(SEARCH(("Yes"),(Q1014))))</formula>
    </cfRule>
  </conditionalFormatting>
  <conditionalFormatting sqref="Q1014">
    <cfRule type="containsText" dxfId="9" priority="17632" operator="containsText" text="No">
      <formula>NOT(ISERROR(SEARCH(("No"),(Q1014))))</formula>
    </cfRule>
  </conditionalFormatting>
  <conditionalFormatting sqref="Q1014">
    <cfRule type="containsText" dxfId="2" priority="17633" operator="containsText" text="Yes">
      <formula>NOT(ISERROR(SEARCH(("Yes"),(Q1014))))</formula>
    </cfRule>
  </conditionalFormatting>
  <conditionalFormatting sqref="Q1014">
    <cfRule type="containsText" dxfId="2" priority="17634" operator="containsText" text="Yes">
      <formula>NOT(ISERROR(SEARCH(("Yes"),(Q1014))))</formula>
    </cfRule>
  </conditionalFormatting>
  <conditionalFormatting sqref="Q1014">
    <cfRule type="containsText" dxfId="9" priority="17635" operator="containsText" text="No">
      <formula>NOT(ISERROR(SEARCH(("No"),(Q1014))))</formula>
    </cfRule>
  </conditionalFormatting>
  <conditionalFormatting sqref="Q1014">
    <cfRule type="containsText" dxfId="2" priority="17636" operator="containsText" text="Yes">
      <formula>NOT(ISERROR(SEARCH(("Yes"),(Q1014))))</formula>
    </cfRule>
  </conditionalFormatting>
  <conditionalFormatting sqref="Q1015">
    <cfRule type="containsText" dxfId="2" priority="17637" operator="containsText" text="Yes">
      <formula>NOT(ISERROR(SEARCH(("Yes"),(Q1015))))</formula>
    </cfRule>
  </conditionalFormatting>
  <conditionalFormatting sqref="Q1015">
    <cfRule type="containsText" dxfId="9" priority="17638" operator="containsText" text="No">
      <formula>NOT(ISERROR(SEARCH(("No"),(Q1015))))</formula>
    </cfRule>
  </conditionalFormatting>
  <conditionalFormatting sqref="Q1015">
    <cfRule type="containsText" dxfId="2" priority="17639" operator="containsText" text="Yes">
      <formula>NOT(ISERROR(SEARCH(("Yes"),(Q1015))))</formula>
    </cfRule>
  </conditionalFormatting>
  <conditionalFormatting sqref="Q1015">
    <cfRule type="containsText" dxfId="9" priority="17640" operator="containsText" text="No">
      <formula>NOT(ISERROR(SEARCH(("No"),(Q1015))))</formula>
    </cfRule>
  </conditionalFormatting>
  <conditionalFormatting sqref="Q1015">
    <cfRule type="containsText" dxfId="2" priority="17641" operator="containsText" text="Yes">
      <formula>NOT(ISERROR(SEARCH(("Yes"),(Q1015))))</formula>
    </cfRule>
  </conditionalFormatting>
  <conditionalFormatting sqref="Q1015">
    <cfRule type="containsText" dxfId="9" priority="17642" operator="containsText" text="No">
      <formula>NOT(ISERROR(SEARCH(("No"),(Q1015))))</formula>
    </cfRule>
  </conditionalFormatting>
  <conditionalFormatting sqref="Q1015">
    <cfRule type="containsText" dxfId="2" priority="17643" operator="containsText" text="Yes">
      <formula>NOT(ISERROR(SEARCH(("Yes"),(Q1015))))</formula>
    </cfRule>
  </conditionalFormatting>
  <conditionalFormatting sqref="Q1015">
    <cfRule type="containsText" dxfId="9" priority="17644" operator="containsText" text="No">
      <formula>NOT(ISERROR(SEARCH(("No"),(Q1015))))</formula>
    </cfRule>
  </conditionalFormatting>
  <conditionalFormatting sqref="Q1015">
    <cfRule type="containsText" dxfId="2" priority="17645" operator="containsText" text="Yes">
      <formula>NOT(ISERROR(SEARCH(("Yes"),(Q1015))))</formula>
    </cfRule>
  </conditionalFormatting>
  <conditionalFormatting sqref="Q1015">
    <cfRule type="containsText" dxfId="9" priority="17646" operator="containsText" text="No">
      <formula>NOT(ISERROR(SEARCH(("No"),(Q1015))))</formula>
    </cfRule>
  </conditionalFormatting>
  <conditionalFormatting sqref="Q1015">
    <cfRule type="containsText" dxfId="2" priority="17647" operator="containsText" text="Yes">
      <formula>NOT(ISERROR(SEARCH(("Yes"),(Q1015))))</formula>
    </cfRule>
  </conditionalFormatting>
  <conditionalFormatting sqref="Q1015">
    <cfRule type="containsText" dxfId="9" priority="17648" operator="containsText" text="No">
      <formula>NOT(ISERROR(SEARCH(("No"),(Q1015))))</formula>
    </cfRule>
  </conditionalFormatting>
  <conditionalFormatting sqref="Q1015">
    <cfRule type="containsText" dxfId="2" priority="17649" operator="containsText" text="Yes">
      <formula>NOT(ISERROR(SEARCH(("Yes"),(Q1015))))</formula>
    </cfRule>
  </conditionalFormatting>
  <conditionalFormatting sqref="Q1015">
    <cfRule type="containsText" dxfId="9" priority="17650" operator="containsText" text="No">
      <formula>NOT(ISERROR(SEARCH(("No"),(Q1015))))</formula>
    </cfRule>
  </conditionalFormatting>
  <conditionalFormatting sqref="Q1015">
    <cfRule type="containsText" dxfId="2" priority="17651" operator="containsText" text="Yes">
      <formula>NOT(ISERROR(SEARCH(("Yes"),(Q1015))))</formula>
    </cfRule>
  </conditionalFormatting>
  <conditionalFormatting sqref="Q1015">
    <cfRule type="containsText" dxfId="9" priority="17652" operator="containsText" text="No">
      <formula>NOT(ISERROR(SEARCH(("No"),(Q1015))))</formula>
    </cfRule>
  </conditionalFormatting>
  <conditionalFormatting sqref="Q1015">
    <cfRule type="containsText" dxfId="2" priority="17653" operator="containsText" text="Yes">
      <formula>NOT(ISERROR(SEARCH(("Yes"),(Q1015))))</formula>
    </cfRule>
  </conditionalFormatting>
  <conditionalFormatting sqref="Q1015">
    <cfRule type="containsText" dxfId="9" priority="17654" operator="containsText" text="No">
      <formula>NOT(ISERROR(SEARCH(("No"),(Q1015))))</formula>
    </cfRule>
  </conditionalFormatting>
  <conditionalFormatting sqref="Q1015">
    <cfRule type="containsText" dxfId="2" priority="17655" operator="containsText" text="Yes">
      <formula>NOT(ISERROR(SEARCH(("Yes"),(Q1015))))</formula>
    </cfRule>
  </conditionalFormatting>
  <conditionalFormatting sqref="Q1015">
    <cfRule type="containsText" dxfId="9" priority="17656" operator="containsText" text="No">
      <formula>NOT(ISERROR(SEARCH(("No"),(Q1015))))</formula>
    </cfRule>
  </conditionalFormatting>
  <conditionalFormatting sqref="Q1015">
    <cfRule type="containsText" dxfId="2" priority="17657" operator="containsText" text="Yes">
      <formula>NOT(ISERROR(SEARCH(("Yes"),(Q1015))))</formula>
    </cfRule>
  </conditionalFormatting>
  <conditionalFormatting sqref="Q1015">
    <cfRule type="containsText" dxfId="9" priority="17658" operator="containsText" text="No">
      <formula>NOT(ISERROR(SEARCH(("No"),(Q1015))))</formula>
    </cfRule>
  </conditionalFormatting>
  <conditionalFormatting sqref="Q1015">
    <cfRule type="containsText" dxfId="2" priority="17659" operator="containsText" text="Yes">
      <formula>NOT(ISERROR(SEARCH(("Yes"),(Q1015))))</formula>
    </cfRule>
  </conditionalFormatting>
  <conditionalFormatting sqref="Q1015">
    <cfRule type="containsText" dxfId="9" priority="17660" operator="containsText" text="No">
      <formula>NOT(ISERROR(SEARCH(("No"),(Q1015))))</formula>
    </cfRule>
  </conditionalFormatting>
  <conditionalFormatting sqref="Q1015">
    <cfRule type="containsText" dxfId="2" priority="17661" operator="containsText" text="Yes">
      <formula>NOT(ISERROR(SEARCH(("Yes"),(Q1015))))</formula>
    </cfRule>
  </conditionalFormatting>
  <conditionalFormatting sqref="Q1015">
    <cfRule type="containsText" dxfId="9" priority="17662" operator="containsText" text="No">
      <formula>NOT(ISERROR(SEARCH(("No"),(Q1015))))</formula>
    </cfRule>
  </conditionalFormatting>
  <conditionalFormatting sqref="Q1015">
    <cfRule type="containsText" dxfId="2" priority="17663" operator="containsText" text="Yes">
      <formula>NOT(ISERROR(SEARCH(("Yes"),(Q1015))))</formula>
    </cfRule>
  </conditionalFormatting>
  <conditionalFormatting sqref="Q1015">
    <cfRule type="containsText" dxfId="9" priority="17664" operator="containsText" text="No">
      <formula>NOT(ISERROR(SEARCH(("No"),(Q1015))))</formula>
    </cfRule>
  </conditionalFormatting>
  <conditionalFormatting sqref="Q1015">
    <cfRule type="containsText" dxfId="2" priority="17665" operator="containsText" text="Yes">
      <formula>NOT(ISERROR(SEARCH(("Yes"),(Q1015))))</formula>
    </cfRule>
  </conditionalFormatting>
  <conditionalFormatting sqref="Q1015">
    <cfRule type="containsText" dxfId="9" priority="17666" operator="containsText" text="No">
      <formula>NOT(ISERROR(SEARCH(("No"),(Q1015))))</formula>
    </cfRule>
  </conditionalFormatting>
  <conditionalFormatting sqref="Q1015">
    <cfRule type="containsText" dxfId="2" priority="17667" operator="containsText" text="Yes">
      <formula>NOT(ISERROR(SEARCH(("Yes"),(Q1015))))</formula>
    </cfRule>
  </conditionalFormatting>
  <conditionalFormatting sqref="Q1015">
    <cfRule type="containsText" dxfId="9" priority="17668" operator="containsText" text="No">
      <formula>NOT(ISERROR(SEARCH(("No"),(Q1015))))</formula>
    </cfRule>
  </conditionalFormatting>
  <conditionalFormatting sqref="Q1015">
    <cfRule type="containsText" dxfId="2" priority="17669" operator="containsText" text="Yes">
      <formula>NOT(ISERROR(SEARCH(("Yes"),(Q1015))))</formula>
    </cfRule>
  </conditionalFormatting>
  <conditionalFormatting sqref="Q1015">
    <cfRule type="containsText" dxfId="9" priority="17670" operator="containsText" text="No">
      <formula>NOT(ISERROR(SEARCH(("No"),(Q1015))))</formula>
    </cfRule>
  </conditionalFormatting>
  <conditionalFormatting sqref="Q1015">
    <cfRule type="containsText" dxfId="2" priority="17671" operator="containsText" text="Yes">
      <formula>NOT(ISERROR(SEARCH(("Yes"),(Q1015))))</formula>
    </cfRule>
  </conditionalFormatting>
  <conditionalFormatting sqref="Q1015">
    <cfRule type="containsText" dxfId="9" priority="17672" operator="containsText" text="No">
      <formula>NOT(ISERROR(SEARCH(("No"),(Q1015))))</formula>
    </cfRule>
  </conditionalFormatting>
  <conditionalFormatting sqref="Q1015">
    <cfRule type="containsText" dxfId="2" priority="17673" operator="containsText" text="Yes">
      <formula>NOT(ISERROR(SEARCH(("Yes"),(Q1015))))</formula>
    </cfRule>
  </conditionalFormatting>
  <conditionalFormatting sqref="Q1015">
    <cfRule type="containsText" dxfId="9" priority="17674" operator="containsText" text="No">
      <formula>NOT(ISERROR(SEARCH(("No"),(Q1015))))</formula>
    </cfRule>
  </conditionalFormatting>
  <conditionalFormatting sqref="Q1015">
    <cfRule type="containsText" dxfId="2" priority="17675" operator="containsText" text="Yes">
      <formula>NOT(ISERROR(SEARCH(("Yes"),(Q1015))))</formula>
    </cfRule>
  </conditionalFormatting>
  <conditionalFormatting sqref="Q1015">
    <cfRule type="containsText" dxfId="9" priority="17676" operator="containsText" text="No">
      <formula>NOT(ISERROR(SEARCH(("No"),(Q1015))))</formula>
    </cfRule>
  </conditionalFormatting>
  <conditionalFormatting sqref="Q1015">
    <cfRule type="containsText" dxfId="2" priority="17677" operator="containsText" text="Yes">
      <formula>NOT(ISERROR(SEARCH(("Yes"),(Q1015))))</formula>
    </cfRule>
  </conditionalFormatting>
  <conditionalFormatting sqref="Q1015">
    <cfRule type="containsText" dxfId="9" priority="17678" operator="containsText" text="No">
      <formula>NOT(ISERROR(SEARCH(("No"),(Q1015))))</formula>
    </cfRule>
  </conditionalFormatting>
  <conditionalFormatting sqref="Q1015">
    <cfRule type="containsText" dxfId="2" priority="17679" operator="containsText" text="Yes">
      <formula>NOT(ISERROR(SEARCH(("Yes"),(Q1015))))</formula>
    </cfRule>
  </conditionalFormatting>
  <conditionalFormatting sqref="Q1015">
    <cfRule type="containsText" dxfId="9" priority="17680" operator="containsText" text="No">
      <formula>NOT(ISERROR(SEARCH(("No"),(Q1015))))</formula>
    </cfRule>
  </conditionalFormatting>
  <conditionalFormatting sqref="Q1015">
    <cfRule type="containsText" dxfId="2" priority="17681" operator="containsText" text="Yes">
      <formula>NOT(ISERROR(SEARCH(("Yes"),(Q1015))))</formula>
    </cfRule>
  </conditionalFormatting>
  <conditionalFormatting sqref="Q1015">
    <cfRule type="containsText" dxfId="9" priority="17682" operator="containsText" text="No">
      <formula>NOT(ISERROR(SEARCH(("No"),(Q1015))))</formula>
    </cfRule>
  </conditionalFormatting>
  <conditionalFormatting sqref="Q1015">
    <cfRule type="containsText" dxfId="2" priority="17683" operator="containsText" text="Yes">
      <formula>NOT(ISERROR(SEARCH(("Yes"),(Q1015))))</formula>
    </cfRule>
  </conditionalFormatting>
  <conditionalFormatting sqref="Q1015">
    <cfRule type="containsText" dxfId="9" priority="17684" operator="containsText" text="No">
      <formula>NOT(ISERROR(SEARCH(("No"),(Q1015))))</formula>
    </cfRule>
  </conditionalFormatting>
  <conditionalFormatting sqref="Q1015">
    <cfRule type="containsText" dxfId="2" priority="17685" operator="containsText" text="Yes">
      <formula>NOT(ISERROR(SEARCH(("Yes"),(Q1015))))</formula>
    </cfRule>
  </conditionalFormatting>
  <conditionalFormatting sqref="Q1015">
    <cfRule type="containsText" dxfId="9" priority="17686" operator="containsText" text="No">
      <formula>NOT(ISERROR(SEARCH(("No"),(Q1015))))</formula>
    </cfRule>
  </conditionalFormatting>
  <conditionalFormatting sqref="Q1015">
    <cfRule type="containsText" dxfId="2" priority="17687" operator="containsText" text="Yes">
      <formula>NOT(ISERROR(SEARCH(("Yes"),(Q1015))))</formula>
    </cfRule>
  </conditionalFormatting>
  <conditionalFormatting sqref="Q1015">
    <cfRule type="containsText" dxfId="9" priority="17688" operator="containsText" text="No">
      <formula>NOT(ISERROR(SEARCH(("No"),(Q1015))))</formula>
    </cfRule>
  </conditionalFormatting>
  <conditionalFormatting sqref="Q1015">
    <cfRule type="containsText" dxfId="2" priority="17689" operator="containsText" text="Yes">
      <formula>NOT(ISERROR(SEARCH(("Yes"),(Q1015))))</formula>
    </cfRule>
  </conditionalFormatting>
  <conditionalFormatting sqref="Q1015">
    <cfRule type="containsText" dxfId="9" priority="17690" operator="containsText" text="No">
      <formula>NOT(ISERROR(SEARCH(("No"),(Q1015))))</formula>
    </cfRule>
  </conditionalFormatting>
  <conditionalFormatting sqref="Q1015">
    <cfRule type="containsText" dxfId="2" priority="17691" operator="containsText" text="Yes">
      <formula>NOT(ISERROR(SEARCH(("Yes"),(Q1015))))</formula>
    </cfRule>
  </conditionalFormatting>
  <conditionalFormatting sqref="Q1015">
    <cfRule type="containsText" dxfId="9" priority="17692" operator="containsText" text="No">
      <formula>NOT(ISERROR(SEARCH(("No"),(Q1015))))</formula>
    </cfRule>
  </conditionalFormatting>
  <conditionalFormatting sqref="Q1015">
    <cfRule type="containsText" dxfId="2" priority="17693" operator="containsText" text="Yes">
      <formula>NOT(ISERROR(SEARCH(("Yes"),(Q1015))))</formula>
    </cfRule>
  </conditionalFormatting>
  <conditionalFormatting sqref="Q1015">
    <cfRule type="containsText" dxfId="9" priority="17694" operator="containsText" text="No">
      <formula>NOT(ISERROR(SEARCH(("No"),(Q1015))))</formula>
    </cfRule>
  </conditionalFormatting>
  <conditionalFormatting sqref="Q1015">
    <cfRule type="containsText" dxfId="2" priority="17695" operator="containsText" text="Yes">
      <formula>NOT(ISERROR(SEARCH(("Yes"),(Q1015))))</formula>
    </cfRule>
  </conditionalFormatting>
  <conditionalFormatting sqref="Q1015">
    <cfRule type="containsText" dxfId="9" priority="17696" operator="containsText" text="No">
      <formula>NOT(ISERROR(SEARCH(("No"),(Q1015))))</formula>
    </cfRule>
  </conditionalFormatting>
  <conditionalFormatting sqref="Q1015">
    <cfRule type="containsText" dxfId="2" priority="17697" operator="containsText" text="Yes">
      <formula>NOT(ISERROR(SEARCH(("Yes"),(Q1015))))</formula>
    </cfRule>
  </conditionalFormatting>
  <conditionalFormatting sqref="Q1015">
    <cfRule type="containsText" dxfId="9" priority="17698" operator="containsText" text="No">
      <formula>NOT(ISERROR(SEARCH(("No"),(Q1015))))</formula>
    </cfRule>
  </conditionalFormatting>
  <conditionalFormatting sqref="Q1015">
    <cfRule type="containsText" dxfId="2" priority="17699" operator="containsText" text="Yes">
      <formula>NOT(ISERROR(SEARCH(("Yes"),(Q1015))))</formula>
    </cfRule>
  </conditionalFormatting>
  <conditionalFormatting sqref="Q1015">
    <cfRule type="containsText" dxfId="9" priority="17700" operator="containsText" text="No">
      <formula>NOT(ISERROR(SEARCH(("No"),(Q1015))))</formula>
    </cfRule>
  </conditionalFormatting>
  <conditionalFormatting sqref="Q1015">
    <cfRule type="containsText" dxfId="2" priority="17701" operator="containsText" text="Yes">
      <formula>NOT(ISERROR(SEARCH(("Yes"),(Q1015))))</formula>
    </cfRule>
  </conditionalFormatting>
  <conditionalFormatting sqref="Q1015">
    <cfRule type="containsText" dxfId="9" priority="17702" operator="containsText" text="No">
      <formula>NOT(ISERROR(SEARCH(("No"),(Q1015))))</formula>
    </cfRule>
  </conditionalFormatting>
  <conditionalFormatting sqref="Q1015">
    <cfRule type="containsText" dxfId="2" priority="17703" operator="containsText" text="Yes">
      <formula>NOT(ISERROR(SEARCH(("Yes"),(Q1015))))</formula>
    </cfRule>
  </conditionalFormatting>
  <conditionalFormatting sqref="Q1015">
    <cfRule type="containsText" dxfId="9" priority="17704" operator="containsText" text="No">
      <formula>NOT(ISERROR(SEARCH(("No"),(Q1015))))</formula>
    </cfRule>
  </conditionalFormatting>
  <conditionalFormatting sqref="Q1015">
    <cfRule type="containsText" dxfId="2" priority="17705" operator="containsText" text="Yes">
      <formula>NOT(ISERROR(SEARCH(("Yes"),(Q1015))))</formula>
    </cfRule>
  </conditionalFormatting>
  <conditionalFormatting sqref="Q1015">
    <cfRule type="containsText" dxfId="9" priority="17706" operator="containsText" text="No">
      <formula>NOT(ISERROR(SEARCH(("No"),(Q1015))))</formula>
    </cfRule>
  </conditionalFormatting>
  <conditionalFormatting sqref="Q1015">
    <cfRule type="containsText" dxfId="2" priority="17707" operator="containsText" text="Yes">
      <formula>NOT(ISERROR(SEARCH(("Yes"),(Q1015))))</formula>
    </cfRule>
  </conditionalFormatting>
  <conditionalFormatting sqref="Q1015">
    <cfRule type="containsText" dxfId="9" priority="17708" operator="containsText" text="No">
      <formula>NOT(ISERROR(SEARCH(("No"),(Q1015))))</formula>
    </cfRule>
  </conditionalFormatting>
  <conditionalFormatting sqref="Q1015">
    <cfRule type="containsText" dxfId="2" priority="17709" operator="containsText" text="Yes">
      <formula>NOT(ISERROR(SEARCH(("Yes"),(Q1015))))</formula>
    </cfRule>
  </conditionalFormatting>
  <conditionalFormatting sqref="Q1015">
    <cfRule type="containsText" dxfId="9" priority="17710" operator="containsText" text="No">
      <formula>NOT(ISERROR(SEARCH(("No"),(Q1015))))</formula>
    </cfRule>
  </conditionalFormatting>
  <conditionalFormatting sqref="Q1015">
    <cfRule type="containsText" dxfId="2" priority="17711" operator="containsText" text="Yes">
      <formula>NOT(ISERROR(SEARCH(("Yes"),(Q1015))))</formula>
    </cfRule>
  </conditionalFormatting>
  <conditionalFormatting sqref="Q1015">
    <cfRule type="containsText" dxfId="9" priority="17712" operator="containsText" text="No">
      <formula>NOT(ISERROR(SEARCH(("No"),(Q1015))))</formula>
    </cfRule>
  </conditionalFormatting>
  <conditionalFormatting sqref="Q1015">
    <cfRule type="containsText" dxfId="2" priority="17713" operator="containsText" text="Yes">
      <formula>NOT(ISERROR(SEARCH(("Yes"),(Q1015))))</formula>
    </cfRule>
  </conditionalFormatting>
  <conditionalFormatting sqref="Q1015">
    <cfRule type="containsText" dxfId="9" priority="17714" operator="containsText" text="No">
      <formula>NOT(ISERROR(SEARCH(("No"),(Q1015))))</formula>
    </cfRule>
  </conditionalFormatting>
  <conditionalFormatting sqref="Q1015">
    <cfRule type="containsText" dxfId="2" priority="17715" operator="containsText" text="Yes">
      <formula>NOT(ISERROR(SEARCH(("Yes"),(Q1015))))</formula>
    </cfRule>
  </conditionalFormatting>
  <conditionalFormatting sqref="Q1015">
    <cfRule type="containsText" dxfId="9" priority="17716" operator="containsText" text="No">
      <formula>NOT(ISERROR(SEARCH(("No"),(Q1015))))</formula>
    </cfRule>
  </conditionalFormatting>
  <conditionalFormatting sqref="Q1015">
    <cfRule type="containsText" dxfId="2" priority="17717" operator="containsText" text="Yes">
      <formula>NOT(ISERROR(SEARCH(("Yes"),(Q1015))))</formula>
    </cfRule>
  </conditionalFormatting>
  <conditionalFormatting sqref="Q1015">
    <cfRule type="containsText" dxfId="9" priority="17718" operator="containsText" text="No">
      <formula>NOT(ISERROR(SEARCH(("No"),(Q1015))))</formula>
    </cfRule>
  </conditionalFormatting>
  <conditionalFormatting sqref="Q1015">
    <cfRule type="containsText" dxfId="2" priority="17719" operator="containsText" text="Yes">
      <formula>NOT(ISERROR(SEARCH(("Yes"),(Q1015))))</formula>
    </cfRule>
  </conditionalFormatting>
  <conditionalFormatting sqref="Q1015">
    <cfRule type="containsText" dxfId="9" priority="17720" operator="containsText" text="No">
      <formula>NOT(ISERROR(SEARCH(("No"),(Q1015))))</formula>
    </cfRule>
  </conditionalFormatting>
  <conditionalFormatting sqref="Q1015">
    <cfRule type="containsText" dxfId="2" priority="17721" operator="containsText" text="Yes">
      <formula>NOT(ISERROR(SEARCH(("Yes"),(Q1015))))</formula>
    </cfRule>
  </conditionalFormatting>
  <conditionalFormatting sqref="Q1015">
    <cfRule type="containsText" dxfId="9" priority="17722" operator="containsText" text="No">
      <formula>NOT(ISERROR(SEARCH(("No"),(Q1015))))</formula>
    </cfRule>
  </conditionalFormatting>
  <conditionalFormatting sqref="Q1015">
    <cfRule type="containsText" dxfId="2" priority="17723" operator="containsText" text="Yes">
      <formula>NOT(ISERROR(SEARCH(("Yes"),(Q1015))))</formula>
    </cfRule>
  </conditionalFormatting>
  <conditionalFormatting sqref="Q1015">
    <cfRule type="containsText" dxfId="9" priority="17724" operator="containsText" text="No">
      <formula>NOT(ISERROR(SEARCH(("No"),(Q1015))))</formula>
    </cfRule>
  </conditionalFormatting>
  <conditionalFormatting sqref="Q1015">
    <cfRule type="containsText" dxfId="2" priority="17725" operator="containsText" text="Yes">
      <formula>NOT(ISERROR(SEARCH(("Yes"),(Q1015))))</formula>
    </cfRule>
  </conditionalFormatting>
  <conditionalFormatting sqref="Q1015">
    <cfRule type="containsText" dxfId="2" priority="17726" operator="containsText" text="Yes">
      <formula>NOT(ISERROR(SEARCH(("Yes"),(Q1015))))</formula>
    </cfRule>
  </conditionalFormatting>
  <conditionalFormatting sqref="Q1015">
    <cfRule type="containsText" dxfId="9" priority="17727" operator="containsText" text="No">
      <formula>NOT(ISERROR(SEARCH(("No"),(Q1015))))</formula>
    </cfRule>
  </conditionalFormatting>
  <conditionalFormatting sqref="Q1015">
    <cfRule type="containsText" dxfId="2" priority="17728" operator="containsText" text="Yes">
      <formula>NOT(ISERROR(SEARCH(("Yes"),(Q1015))))</formula>
    </cfRule>
  </conditionalFormatting>
  <conditionalFormatting sqref="Q1018">
    <cfRule type="containsText" dxfId="2" priority="17729" operator="containsText" text="Yes">
      <formula>NOT(ISERROR(SEARCH(("Yes"),(Q1018))))</formula>
    </cfRule>
  </conditionalFormatting>
  <conditionalFormatting sqref="Q1018">
    <cfRule type="containsText" dxfId="9" priority="17730" operator="containsText" text="No">
      <formula>NOT(ISERROR(SEARCH(("No"),(Q1018))))</formula>
    </cfRule>
  </conditionalFormatting>
  <conditionalFormatting sqref="Q1018">
    <cfRule type="containsText" dxfId="2" priority="17731" operator="containsText" text="Yes">
      <formula>NOT(ISERROR(SEARCH(("Yes"),(Q1018))))</formula>
    </cfRule>
  </conditionalFormatting>
  <conditionalFormatting sqref="Q1018">
    <cfRule type="containsText" dxfId="9" priority="17732" operator="containsText" text="No">
      <formula>NOT(ISERROR(SEARCH(("No"),(Q1018))))</formula>
    </cfRule>
  </conditionalFormatting>
  <conditionalFormatting sqref="Q1018">
    <cfRule type="containsText" dxfId="2" priority="17733" operator="containsText" text="Yes">
      <formula>NOT(ISERROR(SEARCH(("Yes"),(Q1018))))</formula>
    </cfRule>
  </conditionalFormatting>
  <conditionalFormatting sqref="Q1018">
    <cfRule type="containsText" dxfId="9" priority="17734" operator="containsText" text="No">
      <formula>NOT(ISERROR(SEARCH(("No"),(Q1018))))</formula>
    </cfRule>
  </conditionalFormatting>
  <conditionalFormatting sqref="Q1018">
    <cfRule type="containsText" dxfId="2" priority="17735" operator="containsText" text="Yes">
      <formula>NOT(ISERROR(SEARCH(("Yes"),(Q1018))))</formula>
    </cfRule>
  </conditionalFormatting>
  <conditionalFormatting sqref="Q1018">
    <cfRule type="containsText" dxfId="9" priority="17736" operator="containsText" text="No">
      <formula>NOT(ISERROR(SEARCH(("No"),(Q1018))))</formula>
    </cfRule>
  </conditionalFormatting>
  <conditionalFormatting sqref="Q1018">
    <cfRule type="containsText" dxfId="2" priority="17737" operator="containsText" text="Yes">
      <formula>NOT(ISERROR(SEARCH(("Yes"),(Q1018))))</formula>
    </cfRule>
  </conditionalFormatting>
  <conditionalFormatting sqref="Q1018">
    <cfRule type="containsText" dxfId="9" priority="17738" operator="containsText" text="No">
      <formula>NOT(ISERROR(SEARCH(("No"),(Q1018))))</formula>
    </cfRule>
  </conditionalFormatting>
  <conditionalFormatting sqref="Q1018">
    <cfRule type="containsText" dxfId="2" priority="17739" operator="containsText" text="Yes">
      <formula>NOT(ISERROR(SEARCH(("Yes"),(Q1018))))</formula>
    </cfRule>
  </conditionalFormatting>
  <conditionalFormatting sqref="Q1018">
    <cfRule type="containsText" dxfId="9" priority="17740" operator="containsText" text="No">
      <formula>NOT(ISERROR(SEARCH(("No"),(Q1018))))</formula>
    </cfRule>
  </conditionalFormatting>
  <conditionalFormatting sqref="Q1018">
    <cfRule type="containsText" dxfId="2" priority="17741" operator="containsText" text="Yes">
      <formula>NOT(ISERROR(SEARCH(("Yes"),(Q1018))))</formula>
    </cfRule>
  </conditionalFormatting>
  <conditionalFormatting sqref="Q1018">
    <cfRule type="containsText" dxfId="9" priority="17742" operator="containsText" text="No">
      <formula>NOT(ISERROR(SEARCH(("No"),(Q1018))))</formula>
    </cfRule>
  </conditionalFormatting>
  <conditionalFormatting sqref="Q1018">
    <cfRule type="containsText" dxfId="2" priority="17743" operator="containsText" text="Yes">
      <formula>NOT(ISERROR(SEARCH(("Yes"),(Q1018))))</formula>
    </cfRule>
  </conditionalFormatting>
  <conditionalFormatting sqref="Q1018">
    <cfRule type="containsText" dxfId="9" priority="17744" operator="containsText" text="No">
      <formula>NOT(ISERROR(SEARCH(("No"),(Q1018))))</formula>
    </cfRule>
  </conditionalFormatting>
  <conditionalFormatting sqref="Q1018">
    <cfRule type="containsText" dxfId="2" priority="17745" operator="containsText" text="Yes">
      <formula>NOT(ISERROR(SEARCH(("Yes"),(Q1018))))</formula>
    </cfRule>
  </conditionalFormatting>
  <conditionalFormatting sqref="Q1018">
    <cfRule type="containsText" dxfId="9" priority="17746" operator="containsText" text="No">
      <formula>NOT(ISERROR(SEARCH(("No"),(Q1018))))</formula>
    </cfRule>
  </conditionalFormatting>
  <conditionalFormatting sqref="Q1018">
    <cfRule type="containsText" dxfId="2" priority="17747" operator="containsText" text="Yes">
      <formula>NOT(ISERROR(SEARCH(("Yes"),(Q1018))))</formula>
    </cfRule>
  </conditionalFormatting>
  <conditionalFormatting sqref="Q1018">
    <cfRule type="containsText" dxfId="9" priority="17748" operator="containsText" text="No">
      <formula>NOT(ISERROR(SEARCH(("No"),(Q1018))))</formula>
    </cfRule>
  </conditionalFormatting>
  <conditionalFormatting sqref="Q1018">
    <cfRule type="containsText" dxfId="2" priority="17749" operator="containsText" text="Yes">
      <formula>NOT(ISERROR(SEARCH(("Yes"),(Q1018))))</formula>
    </cfRule>
  </conditionalFormatting>
  <conditionalFormatting sqref="Q1018">
    <cfRule type="containsText" dxfId="9" priority="17750" operator="containsText" text="No">
      <formula>NOT(ISERROR(SEARCH(("No"),(Q1018))))</formula>
    </cfRule>
  </conditionalFormatting>
  <conditionalFormatting sqref="Q1018">
    <cfRule type="containsText" dxfId="2" priority="17751" operator="containsText" text="Yes">
      <formula>NOT(ISERROR(SEARCH(("Yes"),(Q1018))))</formula>
    </cfRule>
  </conditionalFormatting>
  <conditionalFormatting sqref="Q1018">
    <cfRule type="containsText" dxfId="9" priority="17752" operator="containsText" text="No">
      <formula>NOT(ISERROR(SEARCH(("No"),(Q1018))))</formula>
    </cfRule>
  </conditionalFormatting>
  <conditionalFormatting sqref="Q1018">
    <cfRule type="containsText" dxfId="2" priority="17753" operator="containsText" text="Yes">
      <formula>NOT(ISERROR(SEARCH(("Yes"),(Q1018))))</formula>
    </cfRule>
  </conditionalFormatting>
  <conditionalFormatting sqref="Q1018">
    <cfRule type="containsText" dxfId="9" priority="17754" operator="containsText" text="No">
      <formula>NOT(ISERROR(SEARCH(("No"),(Q1018))))</formula>
    </cfRule>
  </conditionalFormatting>
  <conditionalFormatting sqref="Q1018">
    <cfRule type="containsText" dxfId="2" priority="17755" operator="containsText" text="Yes">
      <formula>NOT(ISERROR(SEARCH(("Yes"),(Q1018))))</formula>
    </cfRule>
  </conditionalFormatting>
  <conditionalFormatting sqref="Q1018">
    <cfRule type="containsText" dxfId="9" priority="17756" operator="containsText" text="No">
      <formula>NOT(ISERROR(SEARCH(("No"),(Q1018))))</formula>
    </cfRule>
  </conditionalFormatting>
  <conditionalFormatting sqref="Q1018">
    <cfRule type="containsText" dxfId="2" priority="17757" operator="containsText" text="Yes">
      <formula>NOT(ISERROR(SEARCH(("Yes"),(Q1018))))</formula>
    </cfRule>
  </conditionalFormatting>
  <conditionalFormatting sqref="Q1018">
    <cfRule type="containsText" dxfId="9" priority="17758" operator="containsText" text="No">
      <formula>NOT(ISERROR(SEARCH(("No"),(Q1018))))</formula>
    </cfRule>
  </conditionalFormatting>
  <conditionalFormatting sqref="Q1018">
    <cfRule type="containsText" dxfId="2" priority="17759" operator="containsText" text="Yes">
      <formula>NOT(ISERROR(SEARCH(("Yes"),(Q1018))))</formula>
    </cfRule>
  </conditionalFormatting>
  <conditionalFormatting sqref="Q1018">
    <cfRule type="containsText" dxfId="9" priority="17760" operator="containsText" text="No">
      <formula>NOT(ISERROR(SEARCH(("No"),(Q1018))))</formula>
    </cfRule>
  </conditionalFormatting>
  <conditionalFormatting sqref="Q1018">
    <cfRule type="containsText" dxfId="2" priority="17761" operator="containsText" text="Yes">
      <formula>NOT(ISERROR(SEARCH(("Yes"),(Q1018))))</formula>
    </cfRule>
  </conditionalFormatting>
  <conditionalFormatting sqref="Q1018">
    <cfRule type="containsText" dxfId="9" priority="17762" operator="containsText" text="No">
      <formula>NOT(ISERROR(SEARCH(("No"),(Q1018))))</formula>
    </cfRule>
  </conditionalFormatting>
  <conditionalFormatting sqref="Q1018">
    <cfRule type="containsText" dxfId="2" priority="17763" operator="containsText" text="Yes">
      <formula>NOT(ISERROR(SEARCH(("Yes"),(Q1018))))</formula>
    </cfRule>
  </conditionalFormatting>
  <conditionalFormatting sqref="Q1018">
    <cfRule type="containsText" dxfId="9" priority="17764" operator="containsText" text="No">
      <formula>NOT(ISERROR(SEARCH(("No"),(Q1018))))</formula>
    </cfRule>
  </conditionalFormatting>
  <conditionalFormatting sqref="Q1018">
    <cfRule type="containsText" dxfId="2" priority="17765" operator="containsText" text="Yes">
      <formula>NOT(ISERROR(SEARCH(("Yes"),(Q1018))))</formula>
    </cfRule>
  </conditionalFormatting>
  <conditionalFormatting sqref="Q1018">
    <cfRule type="containsText" dxfId="9" priority="17766" operator="containsText" text="No">
      <formula>NOT(ISERROR(SEARCH(("No"),(Q1018))))</formula>
    </cfRule>
  </conditionalFormatting>
  <conditionalFormatting sqref="Q1018">
    <cfRule type="containsText" dxfId="2" priority="17767" operator="containsText" text="Yes">
      <formula>NOT(ISERROR(SEARCH(("Yes"),(Q1018))))</formula>
    </cfRule>
  </conditionalFormatting>
  <conditionalFormatting sqref="Q1018">
    <cfRule type="containsText" dxfId="9" priority="17768" operator="containsText" text="No">
      <formula>NOT(ISERROR(SEARCH(("No"),(Q1018))))</formula>
    </cfRule>
  </conditionalFormatting>
  <conditionalFormatting sqref="Q1018">
    <cfRule type="containsText" dxfId="2" priority="17769" operator="containsText" text="Yes">
      <formula>NOT(ISERROR(SEARCH(("Yes"),(Q1018))))</formula>
    </cfRule>
  </conditionalFormatting>
  <conditionalFormatting sqref="Q1018">
    <cfRule type="containsText" dxfId="9" priority="17770" operator="containsText" text="No">
      <formula>NOT(ISERROR(SEARCH(("No"),(Q1018))))</formula>
    </cfRule>
  </conditionalFormatting>
  <conditionalFormatting sqref="Q1018">
    <cfRule type="containsText" dxfId="2" priority="17771" operator="containsText" text="Yes">
      <formula>NOT(ISERROR(SEARCH(("Yes"),(Q1018))))</formula>
    </cfRule>
  </conditionalFormatting>
  <conditionalFormatting sqref="Q1018">
    <cfRule type="containsText" dxfId="9" priority="17772" operator="containsText" text="No">
      <formula>NOT(ISERROR(SEARCH(("No"),(Q1018))))</formula>
    </cfRule>
  </conditionalFormatting>
  <conditionalFormatting sqref="Q1018">
    <cfRule type="containsText" dxfId="2" priority="17773" operator="containsText" text="Yes">
      <formula>NOT(ISERROR(SEARCH(("Yes"),(Q1018))))</formula>
    </cfRule>
  </conditionalFormatting>
  <conditionalFormatting sqref="Q1018">
    <cfRule type="containsText" dxfId="9" priority="17774" operator="containsText" text="No">
      <formula>NOT(ISERROR(SEARCH(("No"),(Q1018))))</formula>
    </cfRule>
  </conditionalFormatting>
  <conditionalFormatting sqref="Q1018">
    <cfRule type="containsText" dxfId="2" priority="17775" operator="containsText" text="Yes">
      <formula>NOT(ISERROR(SEARCH(("Yes"),(Q1018))))</formula>
    </cfRule>
  </conditionalFormatting>
  <conditionalFormatting sqref="Q1018">
    <cfRule type="containsText" dxfId="9" priority="17776" operator="containsText" text="No">
      <formula>NOT(ISERROR(SEARCH(("No"),(Q1018))))</formula>
    </cfRule>
  </conditionalFormatting>
  <conditionalFormatting sqref="Q1018">
    <cfRule type="containsText" dxfId="2" priority="17777" operator="containsText" text="Yes">
      <formula>NOT(ISERROR(SEARCH(("Yes"),(Q1018))))</formula>
    </cfRule>
  </conditionalFormatting>
  <conditionalFormatting sqref="Q1018">
    <cfRule type="containsText" dxfId="9" priority="17778" operator="containsText" text="No">
      <formula>NOT(ISERROR(SEARCH(("No"),(Q1018))))</formula>
    </cfRule>
  </conditionalFormatting>
  <conditionalFormatting sqref="Q1018">
    <cfRule type="containsText" dxfId="2" priority="17779" operator="containsText" text="Yes">
      <formula>NOT(ISERROR(SEARCH(("Yes"),(Q1018))))</formula>
    </cfRule>
  </conditionalFormatting>
  <conditionalFormatting sqref="Q1018">
    <cfRule type="containsText" dxfId="9" priority="17780" operator="containsText" text="No">
      <formula>NOT(ISERROR(SEARCH(("No"),(Q1018))))</formula>
    </cfRule>
  </conditionalFormatting>
  <conditionalFormatting sqref="Q1018">
    <cfRule type="containsText" dxfId="2" priority="17781" operator="containsText" text="Yes">
      <formula>NOT(ISERROR(SEARCH(("Yes"),(Q1018))))</formula>
    </cfRule>
  </conditionalFormatting>
  <conditionalFormatting sqref="Q1018">
    <cfRule type="containsText" dxfId="9" priority="17782" operator="containsText" text="No">
      <formula>NOT(ISERROR(SEARCH(("No"),(Q1018))))</formula>
    </cfRule>
  </conditionalFormatting>
  <conditionalFormatting sqref="Q1018">
    <cfRule type="containsText" dxfId="2" priority="17783" operator="containsText" text="Yes">
      <formula>NOT(ISERROR(SEARCH(("Yes"),(Q1018))))</formula>
    </cfRule>
  </conditionalFormatting>
  <conditionalFormatting sqref="Q1018">
    <cfRule type="containsText" dxfId="9" priority="17784" operator="containsText" text="No">
      <formula>NOT(ISERROR(SEARCH(("No"),(Q1018))))</formula>
    </cfRule>
  </conditionalFormatting>
  <conditionalFormatting sqref="Q1018">
    <cfRule type="containsText" dxfId="2" priority="17785" operator="containsText" text="Yes">
      <formula>NOT(ISERROR(SEARCH(("Yes"),(Q1018))))</formula>
    </cfRule>
  </conditionalFormatting>
  <conditionalFormatting sqref="Q1018">
    <cfRule type="containsText" dxfId="9" priority="17786" operator="containsText" text="No">
      <formula>NOT(ISERROR(SEARCH(("No"),(Q1018))))</formula>
    </cfRule>
  </conditionalFormatting>
  <conditionalFormatting sqref="Q1018">
    <cfRule type="containsText" dxfId="2" priority="17787" operator="containsText" text="Yes">
      <formula>NOT(ISERROR(SEARCH(("Yes"),(Q1018))))</formula>
    </cfRule>
  </conditionalFormatting>
  <conditionalFormatting sqref="Q1018">
    <cfRule type="containsText" dxfId="9" priority="17788" operator="containsText" text="No">
      <formula>NOT(ISERROR(SEARCH(("No"),(Q1018))))</formula>
    </cfRule>
  </conditionalFormatting>
  <conditionalFormatting sqref="Q1018">
    <cfRule type="containsText" dxfId="2" priority="17789" operator="containsText" text="Yes">
      <formula>NOT(ISERROR(SEARCH(("Yes"),(Q1018))))</formula>
    </cfRule>
  </conditionalFormatting>
  <conditionalFormatting sqref="Q1018">
    <cfRule type="containsText" dxfId="9" priority="17790" operator="containsText" text="No">
      <formula>NOT(ISERROR(SEARCH(("No"),(Q1018))))</formula>
    </cfRule>
  </conditionalFormatting>
  <conditionalFormatting sqref="Q1018">
    <cfRule type="containsText" dxfId="2" priority="17791" operator="containsText" text="Yes">
      <formula>NOT(ISERROR(SEARCH(("Yes"),(Q1018))))</formula>
    </cfRule>
  </conditionalFormatting>
  <conditionalFormatting sqref="Q1018">
    <cfRule type="containsText" dxfId="9" priority="17792" operator="containsText" text="No">
      <formula>NOT(ISERROR(SEARCH(("No"),(Q1018))))</formula>
    </cfRule>
  </conditionalFormatting>
  <conditionalFormatting sqref="Q1018">
    <cfRule type="containsText" dxfId="2" priority="17793" operator="containsText" text="Yes">
      <formula>NOT(ISERROR(SEARCH(("Yes"),(Q1018))))</formula>
    </cfRule>
  </conditionalFormatting>
  <conditionalFormatting sqref="Q1018">
    <cfRule type="containsText" dxfId="9" priority="17794" operator="containsText" text="No">
      <formula>NOT(ISERROR(SEARCH(("No"),(Q1018))))</formula>
    </cfRule>
  </conditionalFormatting>
  <conditionalFormatting sqref="Q1018">
    <cfRule type="containsText" dxfId="2" priority="17795" operator="containsText" text="Yes">
      <formula>NOT(ISERROR(SEARCH(("Yes"),(Q1018))))</formula>
    </cfRule>
  </conditionalFormatting>
  <conditionalFormatting sqref="Q1018">
    <cfRule type="containsText" dxfId="9" priority="17796" operator="containsText" text="No">
      <formula>NOT(ISERROR(SEARCH(("No"),(Q1018))))</formula>
    </cfRule>
  </conditionalFormatting>
  <conditionalFormatting sqref="Q1018">
    <cfRule type="containsText" dxfId="2" priority="17797" operator="containsText" text="Yes">
      <formula>NOT(ISERROR(SEARCH(("Yes"),(Q1018))))</formula>
    </cfRule>
  </conditionalFormatting>
  <conditionalFormatting sqref="Q1018">
    <cfRule type="containsText" dxfId="9" priority="17798" operator="containsText" text="No">
      <formula>NOT(ISERROR(SEARCH(("No"),(Q1018))))</formula>
    </cfRule>
  </conditionalFormatting>
  <conditionalFormatting sqref="Q1018">
    <cfRule type="containsText" dxfId="2" priority="17799" operator="containsText" text="Yes">
      <formula>NOT(ISERROR(SEARCH(("Yes"),(Q1018))))</formula>
    </cfRule>
  </conditionalFormatting>
  <conditionalFormatting sqref="Q1018">
    <cfRule type="containsText" dxfId="9" priority="17800" operator="containsText" text="No">
      <formula>NOT(ISERROR(SEARCH(("No"),(Q1018))))</formula>
    </cfRule>
  </conditionalFormatting>
  <conditionalFormatting sqref="Q1018">
    <cfRule type="containsText" dxfId="2" priority="17801" operator="containsText" text="Yes">
      <formula>NOT(ISERROR(SEARCH(("Yes"),(Q1018))))</formula>
    </cfRule>
  </conditionalFormatting>
  <conditionalFormatting sqref="Q1018">
    <cfRule type="containsText" dxfId="9" priority="17802" operator="containsText" text="No">
      <formula>NOT(ISERROR(SEARCH(("No"),(Q1018))))</formula>
    </cfRule>
  </conditionalFormatting>
  <conditionalFormatting sqref="Q1018">
    <cfRule type="containsText" dxfId="2" priority="17803" operator="containsText" text="Yes">
      <formula>NOT(ISERROR(SEARCH(("Yes"),(Q1018))))</formula>
    </cfRule>
  </conditionalFormatting>
  <conditionalFormatting sqref="Q1018">
    <cfRule type="containsText" dxfId="9" priority="17804" operator="containsText" text="No">
      <formula>NOT(ISERROR(SEARCH(("No"),(Q1018))))</formula>
    </cfRule>
  </conditionalFormatting>
  <conditionalFormatting sqref="Q1018">
    <cfRule type="containsText" dxfId="2" priority="17805" operator="containsText" text="Yes">
      <formula>NOT(ISERROR(SEARCH(("Yes"),(Q1018))))</formula>
    </cfRule>
  </conditionalFormatting>
  <conditionalFormatting sqref="Q1018">
    <cfRule type="containsText" dxfId="9" priority="17806" operator="containsText" text="No">
      <formula>NOT(ISERROR(SEARCH(("No"),(Q1018))))</formula>
    </cfRule>
  </conditionalFormatting>
  <conditionalFormatting sqref="Q1018">
    <cfRule type="containsText" dxfId="2" priority="17807" operator="containsText" text="Yes">
      <formula>NOT(ISERROR(SEARCH(("Yes"),(Q1018))))</formula>
    </cfRule>
  </conditionalFormatting>
  <conditionalFormatting sqref="Q1018">
    <cfRule type="containsText" dxfId="9" priority="17808" operator="containsText" text="No">
      <formula>NOT(ISERROR(SEARCH(("No"),(Q1018))))</formula>
    </cfRule>
  </conditionalFormatting>
  <conditionalFormatting sqref="Q1018">
    <cfRule type="containsText" dxfId="2" priority="17809" operator="containsText" text="Yes">
      <formula>NOT(ISERROR(SEARCH(("Yes"),(Q1018))))</formula>
    </cfRule>
  </conditionalFormatting>
  <conditionalFormatting sqref="Q1018">
    <cfRule type="containsText" dxfId="9" priority="17810" operator="containsText" text="No">
      <formula>NOT(ISERROR(SEARCH(("No"),(Q1018))))</formula>
    </cfRule>
  </conditionalFormatting>
  <conditionalFormatting sqref="Q1018">
    <cfRule type="containsText" dxfId="2" priority="17811" operator="containsText" text="Yes">
      <formula>NOT(ISERROR(SEARCH(("Yes"),(Q1018))))</formula>
    </cfRule>
  </conditionalFormatting>
  <conditionalFormatting sqref="Q1018">
    <cfRule type="containsText" dxfId="9" priority="17812" operator="containsText" text="No">
      <formula>NOT(ISERROR(SEARCH(("No"),(Q1018))))</formula>
    </cfRule>
  </conditionalFormatting>
  <conditionalFormatting sqref="Q1018">
    <cfRule type="containsText" dxfId="2" priority="17813" operator="containsText" text="Yes">
      <formula>NOT(ISERROR(SEARCH(("Yes"),(Q1018))))</formula>
    </cfRule>
  </conditionalFormatting>
  <conditionalFormatting sqref="Q1018">
    <cfRule type="containsText" dxfId="9" priority="17814" operator="containsText" text="No">
      <formula>NOT(ISERROR(SEARCH(("No"),(Q1018))))</formula>
    </cfRule>
  </conditionalFormatting>
  <conditionalFormatting sqref="Q1018">
    <cfRule type="containsText" dxfId="2" priority="17815" operator="containsText" text="Yes">
      <formula>NOT(ISERROR(SEARCH(("Yes"),(Q1018))))</formula>
    </cfRule>
  </conditionalFormatting>
  <conditionalFormatting sqref="Q1018">
    <cfRule type="containsText" dxfId="9" priority="17816" operator="containsText" text="No">
      <formula>NOT(ISERROR(SEARCH(("No"),(Q1018))))</formula>
    </cfRule>
  </conditionalFormatting>
  <conditionalFormatting sqref="Q1018">
    <cfRule type="containsText" dxfId="2" priority="17817" operator="containsText" text="Yes">
      <formula>NOT(ISERROR(SEARCH(("Yes"),(Q1018))))</formula>
    </cfRule>
  </conditionalFormatting>
  <conditionalFormatting sqref="Q1018">
    <cfRule type="containsText" dxfId="2" priority="17818" operator="containsText" text="Yes">
      <formula>NOT(ISERROR(SEARCH(("Yes"),(Q1018))))</formula>
    </cfRule>
  </conditionalFormatting>
  <conditionalFormatting sqref="Q1018">
    <cfRule type="containsText" dxfId="9" priority="17819" operator="containsText" text="No">
      <formula>NOT(ISERROR(SEARCH(("No"),(Q1018))))</formula>
    </cfRule>
  </conditionalFormatting>
  <conditionalFormatting sqref="Q1018">
    <cfRule type="containsText" dxfId="2" priority="17820" operator="containsText" text="Yes">
      <formula>NOT(ISERROR(SEARCH(("Yes"),(Q1018))))</formula>
    </cfRule>
  </conditionalFormatting>
  <conditionalFormatting sqref="Q1019">
    <cfRule type="containsText" dxfId="2" priority="17821" operator="containsText" text="Yes">
      <formula>NOT(ISERROR(SEARCH(("Yes"),(Q1019))))</formula>
    </cfRule>
  </conditionalFormatting>
  <conditionalFormatting sqref="Q1019">
    <cfRule type="containsText" dxfId="9" priority="17822" operator="containsText" text="No">
      <formula>NOT(ISERROR(SEARCH(("No"),(Q1019))))</formula>
    </cfRule>
  </conditionalFormatting>
  <conditionalFormatting sqref="Q1019">
    <cfRule type="containsText" dxfId="2" priority="17823" operator="containsText" text="Yes">
      <formula>NOT(ISERROR(SEARCH(("Yes"),(Q1019))))</formula>
    </cfRule>
  </conditionalFormatting>
  <conditionalFormatting sqref="Q1019">
    <cfRule type="containsText" dxfId="9" priority="17824" operator="containsText" text="No">
      <formula>NOT(ISERROR(SEARCH(("No"),(Q1019))))</formula>
    </cfRule>
  </conditionalFormatting>
  <conditionalFormatting sqref="Q1019">
    <cfRule type="containsText" dxfId="2" priority="17825" operator="containsText" text="Yes">
      <formula>NOT(ISERROR(SEARCH(("Yes"),(Q1019))))</formula>
    </cfRule>
  </conditionalFormatting>
  <conditionalFormatting sqref="Q1019">
    <cfRule type="containsText" dxfId="9" priority="17826" operator="containsText" text="No">
      <formula>NOT(ISERROR(SEARCH(("No"),(Q1019))))</formula>
    </cfRule>
  </conditionalFormatting>
  <conditionalFormatting sqref="Q1019">
    <cfRule type="containsText" dxfId="2" priority="17827" operator="containsText" text="Yes">
      <formula>NOT(ISERROR(SEARCH(("Yes"),(Q1019))))</formula>
    </cfRule>
  </conditionalFormatting>
  <conditionalFormatting sqref="Q1019">
    <cfRule type="containsText" dxfId="9" priority="17828" operator="containsText" text="No">
      <formula>NOT(ISERROR(SEARCH(("No"),(Q1019))))</formula>
    </cfRule>
  </conditionalFormatting>
  <conditionalFormatting sqref="Q1019">
    <cfRule type="containsText" dxfId="2" priority="17829" operator="containsText" text="Yes">
      <formula>NOT(ISERROR(SEARCH(("Yes"),(Q1019))))</formula>
    </cfRule>
  </conditionalFormatting>
  <conditionalFormatting sqref="Q1019">
    <cfRule type="containsText" dxfId="9" priority="17830" operator="containsText" text="No">
      <formula>NOT(ISERROR(SEARCH(("No"),(Q1019))))</formula>
    </cfRule>
  </conditionalFormatting>
  <conditionalFormatting sqref="Q1019">
    <cfRule type="containsText" dxfId="2" priority="17831" operator="containsText" text="Yes">
      <formula>NOT(ISERROR(SEARCH(("Yes"),(Q1019))))</formula>
    </cfRule>
  </conditionalFormatting>
  <conditionalFormatting sqref="Q1019">
    <cfRule type="containsText" dxfId="9" priority="17832" operator="containsText" text="No">
      <formula>NOT(ISERROR(SEARCH(("No"),(Q1019))))</formula>
    </cfRule>
  </conditionalFormatting>
  <conditionalFormatting sqref="Q1019">
    <cfRule type="containsText" dxfId="2" priority="17833" operator="containsText" text="Yes">
      <formula>NOT(ISERROR(SEARCH(("Yes"),(Q1019))))</formula>
    </cfRule>
  </conditionalFormatting>
  <conditionalFormatting sqref="Q1019">
    <cfRule type="containsText" dxfId="9" priority="17834" operator="containsText" text="No">
      <formula>NOT(ISERROR(SEARCH(("No"),(Q1019))))</formula>
    </cfRule>
  </conditionalFormatting>
  <conditionalFormatting sqref="Q1019">
    <cfRule type="containsText" dxfId="2" priority="17835" operator="containsText" text="Yes">
      <formula>NOT(ISERROR(SEARCH(("Yes"),(Q1019))))</formula>
    </cfRule>
  </conditionalFormatting>
  <conditionalFormatting sqref="Q1019">
    <cfRule type="containsText" dxfId="9" priority="17836" operator="containsText" text="No">
      <formula>NOT(ISERROR(SEARCH(("No"),(Q1019))))</formula>
    </cfRule>
  </conditionalFormatting>
  <conditionalFormatting sqref="Q1019">
    <cfRule type="containsText" dxfId="2" priority="17837" operator="containsText" text="Yes">
      <formula>NOT(ISERROR(SEARCH(("Yes"),(Q1019))))</formula>
    </cfRule>
  </conditionalFormatting>
  <conditionalFormatting sqref="Q1019">
    <cfRule type="containsText" dxfId="9" priority="17838" operator="containsText" text="No">
      <formula>NOT(ISERROR(SEARCH(("No"),(Q1019))))</formula>
    </cfRule>
  </conditionalFormatting>
  <conditionalFormatting sqref="Q1019">
    <cfRule type="containsText" dxfId="2" priority="17839" operator="containsText" text="Yes">
      <formula>NOT(ISERROR(SEARCH(("Yes"),(Q1019))))</formula>
    </cfRule>
  </conditionalFormatting>
  <conditionalFormatting sqref="Q1019">
    <cfRule type="containsText" dxfId="9" priority="17840" operator="containsText" text="No">
      <formula>NOT(ISERROR(SEARCH(("No"),(Q1019))))</formula>
    </cfRule>
  </conditionalFormatting>
  <conditionalFormatting sqref="Q1019">
    <cfRule type="containsText" dxfId="2" priority="17841" operator="containsText" text="Yes">
      <formula>NOT(ISERROR(SEARCH(("Yes"),(Q1019))))</formula>
    </cfRule>
  </conditionalFormatting>
  <conditionalFormatting sqref="Q1019">
    <cfRule type="containsText" dxfId="9" priority="17842" operator="containsText" text="No">
      <formula>NOT(ISERROR(SEARCH(("No"),(Q1019))))</formula>
    </cfRule>
  </conditionalFormatting>
  <conditionalFormatting sqref="Q1019">
    <cfRule type="containsText" dxfId="2" priority="17843" operator="containsText" text="Yes">
      <formula>NOT(ISERROR(SEARCH(("Yes"),(Q1019))))</formula>
    </cfRule>
  </conditionalFormatting>
  <conditionalFormatting sqref="Q1019">
    <cfRule type="containsText" dxfId="9" priority="17844" operator="containsText" text="No">
      <formula>NOT(ISERROR(SEARCH(("No"),(Q1019))))</formula>
    </cfRule>
  </conditionalFormatting>
  <conditionalFormatting sqref="Q1019">
    <cfRule type="containsText" dxfId="2" priority="17845" operator="containsText" text="Yes">
      <formula>NOT(ISERROR(SEARCH(("Yes"),(Q1019))))</formula>
    </cfRule>
  </conditionalFormatting>
  <conditionalFormatting sqref="Q1019">
    <cfRule type="containsText" dxfId="9" priority="17846" operator="containsText" text="No">
      <formula>NOT(ISERROR(SEARCH(("No"),(Q1019))))</formula>
    </cfRule>
  </conditionalFormatting>
  <conditionalFormatting sqref="Q1019">
    <cfRule type="containsText" dxfId="2" priority="17847" operator="containsText" text="Yes">
      <formula>NOT(ISERROR(SEARCH(("Yes"),(Q1019))))</formula>
    </cfRule>
  </conditionalFormatting>
  <conditionalFormatting sqref="Q1019">
    <cfRule type="containsText" dxfId="9" priority="17848" operator="containsText" text="No">
      <formula>NOT(ISERROR(SEARCH(("No"),(Q1019))))</formula>
    </cfRule>
  </conditionalFormatting>
  <conditionalFormatting sqref="Q1019">
    <cfRule type="containsText" dxfId="2" priority="17849" operator="containsText" text="Yes">
      <formula>NOT(ISERROR(SEARCH(("Yes"),(Q1019))))</formula>
    </cfRule>
  </conditionalFormatting>
  <conditionalFormatting sqref="Q1019">
    <cfRule type="containsText" dxfId="9" priority="17850" operator="containsText" text="No">
      <formula>NOT(ISERROR(SEARCH(("No"),(Q1019))))</formula>
    </cfRule>
  </conditionalFormatting>
  <conditionalFormatting sqref="Q1019">
    <cfRule type="containsText" dxfId="2" priority="17851" operator="containsText" text="Yes">
      <formula>NOT(ISERROR(SEARCH(("Yes"),(Q1019))))</formula>
    </cfRule>
  </conditionalFormatting>
  <conditionalFormatting sqref="Q1019">
    <cfRule type="containsText" dxfId="9" priority="17852" operator="containsText" text="No">
      <formula>NOT(ISERROR(SEARCH(("No"),(Q1019))))</formula>
    </cfRule>
  </conditionalFormatting>
  <conditionalFormatting sqref="Q1019">
    <cfRule type="containsText" dxfId="2" priority="17853" operator="containsText" text="Yes">
      <formula>NOT(ISERROR(SEARCH(("Yes"),(Q1019))))</formula>
    </cfRule>
  </conditionalFormatting>
  <conditionalFormatting sqref="Q1019">
    <cfRule type="containsText" dxfId="9" priority="17854" operator="containsText" text="No">
      <formula>NOT(ISERROR(SEARCH(("No"),(Q1019))))</formula>
    </cfRule>
  </conditionalFormatting>
  <conditionalFormatting sqref="Q1019">
    <cfRule type="containsText" dxfId="2" priority="17855" operator="containsText" text="Yes">
      <formula>NOT(ISERROR(SEARCH(("Yes"),(Q1019))))</formula>
    </cfRule>
  </conditionalFormatting>
  <conditionalFormatting sqref="Q1019">
    <cfRule type="containsText" dxfId="9" priority="17856" operator="containsText" text="No">
      <formula>NOT(ISERROR(SEARCH(("No"),(Q1019))))</formula>
    </cfRule>
  </conditionalFormatting>
  <conditionalFormatting sqref="Q1019">
    <cfRule type="containsText" dxfId="2" priority="17857" operator="containsText" text="Yes">
      <formula>NOT(ISERROR(SEARCH(("Yes"),(Q1019))))</formula>
    </cfRule>
  </conditionalFormatting>
  <conditionalFormatting sqref="Q1019">
    <cfRule type="containsText" dxfId="9" priority="17858" operator="containsText" text="No">
      <formula>NOT(ISERROR(SEARCH(("No"),(Q1019))))</formula>
    </cfRule>
  </conditionalFormatting>
  <conditionalFormatting sqref="Q1019">
    <cfRule type="containsText" dxfId="2" priority="17859" operator="containsText" text="Yes">
      <formula>NOT(ISERROR(SEARCH(("Yes"),(Q1019))))</formula>
    </cfRule>
  </conditionalFormatting>
  <conditionalFormatting sqref="Q1019">
    <cfRule type="containsText" dxfId="9" priority="17860" operator="containsText" text="No">
      <formula>NOT(ISERROR(SEARCH(("No"),(Q1019))))</formula>
    </cfRule>
  </conditionalFormatting>
  <conditionalFormatting sqref="Q1019">
    <cfRule type="containsText" dxfId="2" priority="17861" operator="containsText" text="Yes">
      <formula>NOT(ISERROR(SEARCH(("Yes"),(Q1019))))</formula>
    </cfRule>
  </conditionalFormatting>
  <conditionalFormatting sqref="Q1019">
    <cfRule type="containsText" dxfId="9" priority="17862" operator="containsText" text="No">
      <formula>NOT(ISERROR(SEARCH(("No"),(Q1019))))</formula>
    </cfRule>
  </conditionalFormatting>
  <conditionalFormatting sqref="Q1019">
    <cfRule type="containsText" dxfId="2" priority="17863" operator="containsText" text="Yes">
      <formula>NOT(ISERROR(SEARCH(("Yes"),(Q1019))))</formula>
    </cfRule>
  </conditionalFormatting>
  <conditionalFormatting sqref="Q1019">
    <cfRule type="containsText" dxfId="9" priority="17864" operator="containsText" text="No">
      <formula>NOT(ISERROR(SEARCH(("No"),(Q1019))))</formula>
    </cfRule>
  </conditionalFormatting>
  <conditionalFormatting sqref="Q1019">
    <cfRule type="containsText" dxfId="2" priority="17865" operator="containsText" text="Yes">
      <formula>NOT(ISERROR(SEARCH(("Yes"),(Q1019))))</formula>
    </cfRule>
  </conditionalFormatting>
  <conditionalFormatting sqref="Q1019">
    <cfRule type="containsText" dxfId="9" priority="17866" operator="containsText" text="No">
      <formula>NOT(ISERROR(SEARCH(("No"),(Q1019))))</formula>
    </cfRule>
  </conditionalFormatting>
  <conditionalFormatting sqref="Q1019">
    <cfRule type="containsText" dxfId="2" priority="17867" operator="containsText" text="Yes">
      <formula>NOT(ISERROR(SEARCH(("Yes"),(Q1019))))</formula>
    </cfRule>
  </conditionalFormatting>
  <conditionalFormatting sqref="Q1019">
    <cfRule type="containsText" dxfId="9" priority="17868" operator="containsText" text="No">
      <formula>NOT(ISERROR(SEARCH(("No"),(Q1019))))</formula>
    </cfRule>
  </conditionalFormatting>
  <conditionalFormatting sqref="Q1019">
    <cfRule type="containsText" dxfId="2" priority="17869" operator="containsText" text="Yes">
      <formula>NOT(ISERROR(SEARCH(("Yes"),(Q1019))))</formula>
    </cfRule>
  </conditionalFormatting>
  <conditionalFormatting sqref="Q1019">
    <cfRule type="containsText" dxfId="9" priority="17870" operator="containsText" text="No">
      <formula>NOT(ISERROR(SEARCH(("No"),(Q1019))))</formula>
    </cfRule>
  </conditionalFormatting>
  <conditionalFormatting sqref="Q1019">
    <cfRule type="containsText" dxfId="2" priority="17871" operator="containsText" text="Yes">
      <formula>NOT(ISERROR(SEARCH(("Yes"),(Q1019))))</formula>
    </cfRule>
  </conditionalFormatting>
  <conditionalFormatting sqref="Q1019">
    <cfRule type="containsText" dxfId="9" priority="17872" operator="containsText" text="No">
      <formula>NOT(ISERROR(SEARCH(("No"),(Q1019))))</formula>
    </cfRule>
  </conditionalFormatting>
  <conditionalFormatting sqref="Q1019">
    <cfRule type="containsText" dxfId="2" priority="17873" operator="containsText" text="Yes">
      <formula>NOT(ISERROR(SEARCH(("Yes"),(Q1019))))</formula>
    </cfRule>
  </conditionalFormatting>
  <conditionalFormatting sqref="Q1019">
    <cfRule type="containsText" dxfId="9" priority="17874" operator="containsText" text="No">
      <formula>NOT(ISERROR(SEARCH(("No"),(Q1019))))</formula>
    </cfRule>
  </conditionalFormatting>
  <conditionalFormatting sqref="Q1019">
    <cfRule type="containsText" dxfId="2" priority="17875" operator="containsText" text="Yes">
      <formula>NOT(ISERROR(SEARCH(("Yes"),(Q1019))))</formula>
    </cfRule>
  </conditionalFormatting>
  <conditionalFormatting sqref="Q1019">
    <cfRule type="containsText" dxfId="9" priority="17876" operator="containsText" text="No">
      <formula>NOT(ISERROR(SEARCH(("No"),(Q1019))))</formula>
    </cfRule>
  </conditionalFormatting>
  <conditionalFormatting sqref="Q1019">
    <cfRule type="containsText" dxfId="2" priority="17877" operator="containsText" text="Yes">
      <formula>NOT(ISERROR(SEARCH(("Yes"),(Q1019))))</formula>
    </cfRule>
  </conditionalFormatting>
  <conditionalFormatting sqref="Q1019">
    <cfRule type="containsText" dxfId="9" priority="17878" operator="containsText" text="No">
      <formula>NOT(ISERROR(SEARCH(("No"),(Q1019))))</formula>
    </cfRule>
  </conditionalFormatting>
  <conditionalFormatting sqref="Q1019">
    <cfRule type="containsText" dxfId="2" priority="17879" operator="containsText" text="Yes">
      <formula>NOT(ISERROR(SEARCH(("Yes"),(Q1019))))</formula>
    </cfRule>
  </conditionalFormatting>
  <conditionalFormatting sqref="Q1019">
    <cfRule type="containsText" dxfId="9" priority="17880" operator="containsText" text="No">
      <formula>NOT(ISERROR(SEARCH(("No"),(Q1019))))</formula>
    </cfRule>
  </conditionalFormatting>
  <conditionalFormatting sqref="Q1019">
    <cfRule type="containsText" dxfId="2" priority="17881" operator="containsText" text="Yes">
      <formula>NOT(ISERROR(SEARCH(("Yes"),(Q1019))))</formula>
    </cfRule>
  </conditionalFormatting>
  <conditionalFormatting sqref="Q1019">
    <cfRule type="containsText" dxfId="9" priority="17882" operator="containsText" text="No">
      <formula>NOT(ISERROR(SEARCH(("No"),(Q1019))))</formula>
    </cfRule>
  </conditionalFormatting>
  <conditionalFormatting sqref="Q1019">
    <cfRule type="containsText" dxfId="2" priority="17883" operator="containsText" text="Yes">
      <formula>NOT(ISERROR(SEARCH(("Yes"),(Q1019))))</formula>
    </cfRule>
  </conditionalFormatting>
  <conditionalFormatting sqref="Q1019">
    <cfRule type="containsText" dxfId="9" priority="17884" operator="containsText" text="No">
      <formula>NOT(ISERROR(SEARCH(("No"),(Q1019))))</formula>
    </cfRule>
  </conditionalFormatting>
  <conditionalFormatting sqref="Q1019">
    <cfRule type="containsText" dxfId="2" priority="17885" operator="containsText" text="Yes">
      <formula>NOT(ISERROR(SEARCH(("Yes"),(Q1019))))</formula>
    </cfRule>
  </conditionalFormatting>
  <conditionalFormatting sqref="Q1019">
    <cfRule type="containsText" dxfId="9" priority="17886" operator="containsText" text="No">
      <formula>NOT(ISERROR(SEARCH(("No"),(Q1019))))</formula>
    </cfRule>
  </conditionalFormatting>
  <conditionalFormatting sqref="Q1019">
    <cfRule type="containsText" dxfId="2" priority="17887" operator="containsText" text="Yes">
      <formula>NOT(ISERROR(SEARCH(("Yes"),(Q1019))))</formula>
    </cfRule>
  </conditionalFormatting>
  <conditionalFormatting sqref="Q1019">
    <cfRule type="containsText" dxfId="9" priority="17888" operator="containsText" text="No">
      <formula>NOT(ISERROR(SEARCH(("No"),(Q1019))))</formula>
    </cfRule>
  </conditionalFormatting>
  <conditionalFormatting sqref="Q1019">
    <cfRule type="containsText" dxfId="2" priority="17889" operator="containsText" text="Yes">
      <formula>NOT(ISERROR(SEARCH(("Yes"),(Q1019))))</formula>
    </cfRule>
  </conditionalFormatting>
  <conditionalFormatting sqref="Q1019">
    <cfRule type="containsText" dxfId="9" priority="17890" operator="containsText" text="No">
      <formula>NOT(ISERROR(SEARCH(("No"),(Q1019))))</formula>
    </cfRule>
  </conditionalFormatting>
  <conditionalFormatting sqref="Q1019">
    <cfRule type="containsText" dxfId="2" priority="17891" operator="containsText" text="Yes">
      <formula>NOT(ISERROR(SEARCH(("Yes"),(Q1019))))</formula>
    </cfRule>
  </conditionalFormatting>
  <conditionalFormatting sqref="Q1019">
    <cfRule type="containsText" dxfId="9" priority="17892" operator="containsText" text="No">
      <formula>NOT(ISERROR(SEARCH(("No"),(Q1019))))</formula>
    </cfRule>
  </conditionalFormatting>
  <conditionalFormatting sqref="Q1019">
    <cfRule type="containsText" dxfId="2" priority="17893" operator="containsText" text="Yes">
      <formula>NOT(ISERROR(SEARCH(("Yes"),(Q1019))))</formula>
    </cfRule>
  </conditionalFormatting>
  <conditionalFormatting sqref="Q1019">
    <cfRule type="containsText" dxfId="9" priority="17894" operator="containsText" text="No">
      <formula>NOT(ISERROR(SEARCH(("No"),(Q1019))))</formula>
    </cfRule>
  </conditionalFormatting>
  <conditionalFormatting sqref="Q1019">
    <cfRule type="containsText" dxfId="2" priority="17895" operator="containsText" text="Yes">
      <formula>NOT(ISERROR(SEARCH(("Yes"),(Q1019))))</formula>
    </cfRule>
  </conditionalFormatting>
  <conditionalFormatting sqref="Q1019">
    <cfRule type="containsText" dxfId="9" priority="17896" operator="containsText" text="No">
      <formula>NOT(ISERROR(SEARCH(("No"),(Q1019))))</formula>
    </cfRule>
  </conditionalFormatting>
  <conditionalFormatting sqref="Q1019">
    <cfRule type="containsText" dxfId="2" priority="17897" operator="containsText" text="Yes">
      <formula>NOT(ISERROR(SEARCH(("Yes"),(Q1019))))</formula>
    </cfRule>
  </conditionalFormatting>
  <conditionalFormatting sqref="Q1019">
    <cfRule type="containsText" dxfId="9" priority="17898" operator="containsText" text="No">
      <formula>NOT(ISERROR(SEARCH(("No"),(Q1019))))</formula>
    </cfRule>
  </conditionalFormatting>
  <conditionalFormatting sqref="Q1019">
    <cfRule type="containsText" dxfId="2" priority="17899" operator="containsText" text="Yes">
      <formula>NOT(ISERROR(SEARCH(("Yes"),(Q1019))))</formula>
    </cfRule>
  </conditionalFormatting>
  <conditionalFormatting sqref="Q1019">
    <cfRule type="containsText" dxfId="9" priority="17900" operator="containsText" text="No">
      <formula>NOT(ISERROR(SEARCH(("No"),(Q1019))))</formula>
    </cfRule>
  </conditionalFormatting>
  <conditionalFormatting sqref="Q1019">
    <cfRule type="containsText" dxfId="2" priority="17901" operator="containsText" text="Yes">
      <formula>NOT(ISERROR(SEARCH(("Yes"),(Q1019))))</formula>
    </cfRule>
  </conditionalFormatting>
  <conditionalFormatting sqref="Q1019">
    <cfRule type="containsText" dxfId="9" priority="17902" operator="containsText" text="No">
      <formula>NOT(ISERROR(SEARCH(("No"),(Q1019))))</formula>
    </cfRule>
  </conditionalFormatting>
  <conditionalFormatting sqref="Q1019">
    <cfRule type="containsText" dxfId="2" priority="17903" operator="containsText" text="Yes">
      <formula>NOT(ISERROR(SEARCH(("Yes"),(Q1019))))</formula>
    </cfRule>
  </conditionalFormatting>
  <conditionalFormatting sqref="Q1019">
    <cfRule type="containsText" dxfId="9" priority="17904" operator="containsText" text="No">
      <formula>NOT(ISERROR(SEARCH(("No"),(Q1019))))</formula>
    </cfRule>
  </conditionalFormatting>
  <conditionalFormatting sqref="Q1019">
    <cfRule type="containsText" dxfId="2" priority="17905" operator="containsText" text="Yes">
      <formula>NOT(ISERROR(SEARCH(("Yes"),(Q1019))))</formula>
    </cfRule>
  </conditionalFormatting>
  <conditionalFormatting sqref="Q1019">
    <cfRule type="containsText" dxfId="9" priority="17906" operator="containsText" text="No">
      <formula>NOT(ISERROR(SEARCH(("No"),(Q1019))))</formula>
    </cfRule>
  </conditionalFormatting>
  <conditionalFormatting sqref="Q1019">
    <cfRule type="containsText" dxfId="2" priority="17907" operator="containsText" text="Yes">
      <formula>NOT(ISERROR(SEARCH(("Yes"),(Q1019))))</formula>
    </cfRule>
  </conditionalFormatting>
  <conditionalFormatting sqref="Q1019">
    <cfRule type="containsText" dxfId="9" priority="17908" operator="containsText" text="No">
      <formula>NOT(ISERROR(SEARCH(("No"),(Q1019))))</formula>
    </cfRule>
  </conditionalFormatting>
  <conditionalFormatting sqref="Q1019">
    <cfRule type="containsText" dxfId="2" priority="17909" operator="containsText" text="Yes">
      <formula>NOT(ISERROR(SEARCH(("Yes"),(Q1019))))</formula>
    </cfRule>
  </conditionalFormatting>
  <conditionalFormatting sqref="Q1019">
    <cfRule type="containsText" dxfId="2" priority="17910" operator="containsText" text="Yes">
      <formula>NOT(ISERROR(SEARCH(("Yes"),(Q1019))))</formula>
    </cfRule>
  </conditionalFormatting>
  <conditionalFormatting sqref="Q1019">
    <cfRule type="containsText" dxfId="9" priority="17911" operator="containsText" text="No">
      <formula>NOT(ISERROR(SEARCH(("No"),(Q1019))))</formula>
    </cfRule>
  </conditionalFormatting>
  <conditionalFormatting sqref="Q1019">
    <cfRule type="containsText" dxfId="2" priority="17912" operator="containsText" text="Yes">
      <formula>NOT(ISERROR(SEARCH(("Yes"),(Q1019))))</formula>
    </cfRule>
  </conditionalFormatting>
  <conditionalFormatting sqref="Q1020:Q1022">
    <cfRule type="containsText" dxfId="2" priority="17913" operator="containsText" text="Yes">
      <formula>NOT(ISERROR(SEARCH(("Yes"),(Q1020))))</formula>
    </cfRule>
  </conditionalFormatting>
  <conditionalFormatting sqref="Q1020:Q1022">
    <cfRule type="containsText" dxfId="9" priority="17914" operator="containsText" text="No">
      <formula>NOT(ISERROR(SEARCH(("No"),(Q1020))))</formula>
    </cfRule>
  </conditionalFormatting>
  <conditionalFormatting sqref="Q1020:Q1022">
    <cfRule type="containsText" dxfId="2" priority="17915" operator="containsText" text="Yes">
      <formula>NOT(ISERROR(SEARCH(("Yes"),(Q1020))))</formula>
    </cfRule>
  </conditionalFormatting>
  <conditionalFormatting sqref="Q1020:Q1022">
    <cfRule type="containsText" dxfId="9" priority="17916" operator="containsText" text="No">
      <formula>NOT(ISERROR(SEARCH(("No"),(Q1020))))</formula>
    </cfRule>
  </conditionalFormatting>
  <conditionalFormatting sqref="Q1020:Q1022">
    <cfRule type="containsText" dxfId="2" priority="17917" operator="containsText" text="Yes">
      <formula>NOT(ISERROR(SEARCH(("Yes"),(Q1020))))</formula>
    </cfRule>
  </conditionalFormatting>
  <conditionalFormatting sqref="Q1020:Q1022">
    <cfRule type="containsText" dxfId="9" priority="17918" operator="containsText" text="No">
      <formula>NOT(ISERROR(SEARCH(("No"),(Q1020))))</formula>
    </cfRule>
  </conditionalFormatting>
  <conditionalFormatting sqref="Q1020:Q1022">
    <cfRule type="containsText" dxfId="2" priority="17919" operator="containsText" text="Yes">
      <formula>NOT(ISERROR(SEARCH(("Yes"),(Q1020))))</formula>
    </cfRule>
  </conditionalFormatting>
  <conditionalFormatting sqref="Q1020:Q1022">
    <cfRule type="containsText" dxfId="9" priority="17920" operator="containsText" text="No">
      <formula>NOT(ISERROR(SEARCH(("No"),(Q1020))))</formula>
    </cfRule>
  </conditionalFormatting>
  <conditionalFormatting sqref="Q1020:Q1022">
    <cfRule type="containsText" dxfId="2" priority="17921" operator="containsText" text="Yes">
      <formula>NOT(ISERROR(SEARCH(("Yes"),(Q1020))))</formula>
    </cfRule>
  </conditionalFormatting>
  <conditionalFormatting sqref="Q1020:Q1022">
    <cfRule type="containsText" dxfId="9" priority="17922" operator="containsText" text="No">
      <formula>NOT(ISERROR(SEARCH(("No"),(Q1020))))</formula>
    </cfRule>
  </conditionalFormatting>
  <conditionalFormatting sqref="Q1020:Q1022">
    <cfRule type="containsText" dxfId="2" priority="17923" operator="containsText" text="Yes">
      <formula>NOT(ISERROR(SEARCH(("Yes"),(Q1020))))</formula>
    </cfRule>
  </conditionalFormatting>
  <conditionalFormatting sqref="Q1020:Q1022">
    <cfRule type="containsText" dxfId="9" priority="17924" operator="containsText" text="No">
      <formula>NOT(ISERROR(SEARCH(("No"),(Q1020))))</formula>
    </cfRule>
  </conditionalFormatting>
  <conditionalFormatting sqref="Q1020:Q1022">
    <cfRule type="containsText" dxfId="2" priority="17925" operator="containsText" text="Yes">
      <formula>NOT(ISERROR(SEARCH(("Yes"),(Q1020))))</formula>
    </cfRule>
  </conditionalFormatting>
  <conditionalFormatting sqref="Q1020:Q1022">
    <cfRule type="containsText" dxfId="9" priority="17926" operator="containsText" text="No">
      <formula>NOT(ISERROR(SEARCH(("No"),(Q1020))))</formula>
    </cfRule>
  </conditionalFormatting>
  <conditionalFormatting sqref="Q1020:Q1022">
    <cfRule type="containsText" dxfId="2" priority="17927" operator="containsText" text="Yes">
      <formula>NOT(ISERROR(SEARCH(("Yes"),(Q1020))))</formula>
    </cfRule>
  </conditionalFormatting>
  <conditionalFormatting sqref="Q1020:Q1022">
    <cfRule type="containsText" dxfId="9" priority="17928" operator="containsText" text="No">
      <formula>NOT(ISERROR(SEARCH(("No"),(Q1020))))</formula>
    </cfRule>
  </conditionalFormatting>
  <conditionalFormatting sqref="Q1020:Q1022">
    <cfRule type="containsText" dxfId="2" priority="17929" operator="containsText" text="Yes">
      <formula>NOT(ISERROR(SEARCH(("Yes"),(Q1020))))</formula>
    </cfRule>
  </conditionalFormatting>
  <conditionalFormatting sqref="Q1020:Q1022">
    <cfRule type="containsText" dxfId="9" priority="17930" operator="containsText" text="No">
      <formula>NOT(ISERROR(SEARCH(("No"),(Q1020))))</formula>
    </cfRule>
  </conditionalFormatting>
  <conditionalFormatting sqref="Q1020:Q1022">
    <cfRule type="containsText" dxfId="2" priority="17931" operator="containsText" text="Yes">
      <formula>NOT(ISERROR(SEARCH(("Yes"),(Q1020))))</formula>
    </cfRule>
  </conditionalFormatting>
  <conditionalFormatting sqref="Q1020:Q1022">
    <cfRule type="containsText" dxfId="9" priority="17932" operator="containsText" text="No">
      <formula>NOT(ISERROR(SEARCH(("No"),(Q1020))))</formula>
    </cfRule>
  </conditionalFormatting>
  <conditionalFormatting sqref="Q1020:Q1022">
    <cfRule type="containsText" dxfId="2" priority="17933" operator="containsText" text="Yes">
      <formula>NOT(ISERROR(SEARCH(("Yes"),(Q1020))))</formula>
    </cfRule>
  </conditionalFormatting>
  <conditionalFormatting sqref="Q1020:Q1022">
    <cfRule type="containsText" dxfId="9" priority="17934" operator="containsText" text="No">
      <formula>NOT(ISERROR(SEARCH(("No"),(Q1020))))</formula>
    </cfRule>
  </conditionalFormatting>
  <conditionalFormatting sqref="Q1020:Q1022">
    <cfRule type="containsText" dxfId="2" priority="17935" operator="containsText" text="Yes">
      <formula>NOT(ISERROR(SEARCH(("Yes"),(Q1020))))</formula>
    </cfRule>
  </conditionalFormatting>
  <conditionalFormatting sqref="Q1020:Q1022">
    <cfRule type="containsText" dxfId="9" priority="17936" operator="containsText" text="No">
      <formula>NOT(ISERROR(SEARCH(("No"),(Q1020))))</formula>
    </cfRule>
  </conditionalFormatting>
  <conditionalFormatting sqref="Q1020:Q1022">
    <cfRule type="containsText" dxfId="2" priority="17937" operator="containsText" text="Yes">
      <formula>NOT(ISERROR(SEARCH(("Yes"),(Q1020))))</formula>
    </cfRule>
  </conditionalFormatting>
  <conditionalFormatting sqref="Q1020:Q1022">
    <cfRule type="containsText" dxfId="9" priority="17938" operator="containsText" text="No">
      <formula>NOT(ISERROR(SEARCH(("No"),(Q1020))))</formula>
    </cfRule>
  </conditionalFormatting>
  <conditionalFormatting sqref="Q1020:Q1022">
    <cfRule type="containsText" dxfId="2" priority="17939" operator="containsText" text="Yes">
      <formula>NOT(ISERROR(SEARCH(("Yes"),(Q1020))))</formula>
    </cfRule>
  </conditionalFormatting>
  <conditionalFormatting sqref="Q1020:Q1022">
    <cfRule type="containsText" dxfId="9" priority="17940" operator="containsText" text="No">
      <formula>NOT(ISERROR(SEARCH(("No"),(Q1020))))</formula>
    </cfRule>
  </conditionalFormatting>
  <conditionalFormatting sqref="Q1020:Q1022">
    <cfRule type="containsText" dxfId="2" priority="17941" operator="containsText" text="Yes">
      <formula>NOT(ISERROR(SEARCH(("Yes"),(Q1020))))</formula>
    </cfRule>
  </conditionalFormatting>
  <conditionalFormatting sqref="Q1020:Q1022">
    <cfRule type="containsText" dxfId="9" priority="17942" operator="containsText" text="No">
      <formula>NOT(ISERROR(SEARCH(("No"),(Q1020))))</formula>
    </cfRule>
  </conditionalFormatting>
  <conditionalFormatting sqref="Q1020:Q1022">
    <cfRule type="containsText" dxfId="2" priority="17943" operator="containsText" text="Yes">
      <formula>NOT(ISERROR(SEARCH(("Yes"),(Q1020))))</formula>
    </cfRule>
  </conditionalFormatting>
  <conditionalFormatting sqref="Q1020:Q1022">
    <cfRule type="containsText" dxfId="9" priority="17944" operator="containsText" text="No">
      <formula>NOT(ISERROR(SEARCH(("No"),(Q1020))))</formula>
    </cfRule>
  </conditionalFormatting>
  <conditionalFormatting sqref="Q1020:Q1022">
    <cfRule type="containsText" dxfId="2" priority="17945" operator="containsText" text="Yes">
      <formula>NOT(ISERROR(SEARCH(("Yes"),(Q1020))))</formula>
    </cfRule>
  </conditionalFormatting>
  <conditionalFormatting sqref="Q1020:Q1022">
    <cfRule type="containsText" dxfId="9" priority="17946" operator="containsText" text="No">
      <formula>NOT(ISERROR(SEARCH(("No"),(Q1020))))</formula>
    </cfRule>
  </conditionalFormatting>
  <conditionalFormatting sqref="Q1020:Q1022">
    <cfRule type="containsText" dxfId="2" priority="17947" operator="containsText" text="Yes">
      <formula>NOT(ISERROR(SEARCH(("Yes"),(Q1020))))</formula>
    </cfRule>
  </conditionalFormatting>
  <conditionalFormatting sqref="Q1020:Q1022">
    <cfRule type="containsText" dxfId="9" priority="17948" operator="containsText" text="No">
      <formula>NOT(ISERROR(SEARCH(("No"),(Q1020))))</formula>
    </cfRule>
  </conditionalFormatting>
  <conditionalFormatting sqref="Q1020:Q1022">
    <cfRule type="containsText" dxfId="2" priority="17949" operator="containsText" text="Yes">
      <formula>NOT(ISERROR(SEARCH(("Yes"),(Q1020))))</formula>
    </cfRule>
  </conditionalFormatting>
  <conditionalFormatting sqref="Q1020:Q1022">
    <cfRule type="containsText" dxfId="9" priority="17950" operator="containsText" text="No">
      <formula>NOT(ISERROR(SEARCH(("No"),(Q1020))))</formula>
    </cfRule>
  </conditionalFormatting>
  <conditionalFormatting sqref="Q1020:Q1022">
    <cfRule type="containsText" dxfId="2" priority="17951" operator="containsText" text="Yes">
      <formula>NOT(ISERROR(SEARCH(("Yes"),(Q1020))))</formula>
    </cfRule>
  </conditionalFormatting>
  <conditionalFormatting sqref="Q1020:Q1022">
    <cfRule type="containsText" dxfId="9" priority="17952" operator="containsText" text="No">
      <formula>NOT(ISERROR(SEARCH(("No"),(Q1020))))</formula>
    </cfRule>
  </conditionalFormatting>
  <conditionalFormatting sqref="Q1020:Q1022">
    <cfRule type="containsText" dxfId="2" priority="17953" operator="containsText" text="Yes">
      <formula>NOT(ISERROR(SEARCH(("Yes"),(Q1020))))</formula>
    </cfRule>
  </conditionalFormatting>
  <conditionalFormatting sqref="Q1020:Q1022">
    <cfRule type="containsText" dxfId="9" priority="17954" operator="containsText" text="No">
      <formula>NOT(ISERROR(SEARCH(("No"),(Q1020))))</formula>
    </cfRule>
  </conditionalFormatting>
  <conditionalFormatting sqref="Q1020:Q1022">
    <cfRule type="containsText" dxfId="2" priority="17955" operator="containsText" text="Yes">
      <formula>NOT(ISERROR(SEARCH(("Yes"),(Q1020))))</formula>
    </cfRule>
  </conditionalFormatting>
  <conditionalFormatting sqref="Q1020:Q1022">
    <cfRule type="containsText" dxfId="9" priority="17956" operator="containsText" text="No">
      <formula>NOT(ISERROR(SEARCH(("No"),(Q1020))))</formula>
    </cfRule>
  </conditionalFormatting>
  <conditionalFormatting sqref="Q1020:Q1022">
    <cfRule type="containsText" dxfId="2" priority="17957" operator="containsText" text="Yes">
      <formula>NOT(ISERROR(SEARCH(("Yes"),(Q1020))))</formula>
    </cfRule>
  </conditionalFormatting>
  <conditionalFormatting sqref="Q1020:Q1022">
    <cfRule type="containsText" dxfId="9" priority="17958" operator="containsText" text="No">
      <formula>NOT(ISERROR(SEARCH(("No"),(Q1020))))</formula>
    </cfRule>
  </conditionalFormatting>
  <conditionalFormatting sqref="Q1020:Q1022">
    <cfRule type="containsText" dxfId="2" priority="17959" operator="containsText" text="Yes">
      <formula>NOT(ISERROR(SEARCH(("Yes"),(Q1020))))</formula>
    </cfRule>
  </conditionalFormatting>
  <conditionalFormatting sqref="Q1020:Q1022">
    <cfRule type="containsText" dxfId="9" priority="17960" operator="containsText" text="No">
      <formula>NOT(ISERROR(SEARCH(("No"),(Q1020))))</formula>
    </cfRule>
  </conditionalFormatting>
  <conditionalFormatting sqref="Q1020:Q1022">
    <cfRule type="containsText" dxfId="2" priority="17961" operator="containsText" text="Yes">
      <formula>NOT(ISERROR(SEARCH(("Yes"),(Q1020))))</formula>
    </cfRule>
  </conditionalFormatting>
  <conditionalFormatting sqref="Q1020:Q1022">
    <cfRule type="containsText" dxfId="9" priority="17962" operator="containsText" text="No">
      <formula>NOT(ISERROR(SEARCH(("No"),(Q1020))))</formula>
    </cfRule>
  </conditionalFormatting>
  <conditionalFormatting sqref="Q1020:Q1022">
    <cfRule type="containsText" dxfId="2" priority="17963" operator="containsText" text="Yes">
      <formula>NOT(ISERROR(SEARCH(("Yes"),(Q1020))))</formula>
    </cfRule>
  </conditionalFormatting>
  <conditionalFormatting sqref="Q1020:Q1022">
    <cfRule type="containsText" dxfId="9" priority="17964" operator="containsText" text="No">
      <formula>NOT(ISERROR(SEARCH(("No"),(Q1020))))</formula>
    </cfRule>
  </conditionalFormatting>
  <conditionalFormatting sqref="Q1020:Q1022">
    <cfRule type="containsText" dxfId="2" priority="17965" operator="containsText" text="Yes">
      <formula>NOT(ISERROR(SEARCH(("Yes"),(Q1020))))</formula>
    </cfRule>
  </conditionalFormatting>
  <conditionalFormatting sqref="Q1020:Q1022">
    <cfRule type="containsText" dxfId="9" priority="17966" operator="containsText" text="No">
      <formula>NOT(ISERROR(SEARCH(("No"),(Q1020))))</formula>
    </cfRule>
  </conditionalFormatting>
  <conditionalFormatting sqref="Q1020:Q1022">
    <cfRule type="containsText" dxfId="2" priority="17967" operator="containsText" text="Yes">
      <formula>NOT(ISERROR(SEARCH(("Yes"),(Q1020))))</formula>
    </cfRule>
  </conditionalFormatting>
  <conditionalFormatting sqref="Q1020:Q1022">
    <cfRule type="containsText" dxfId="9" priority="17968" operator="containsText" text="No">
      <formula>NOT(ISERROR(SEARCH(("No"),(Q1020))))</formula>
    </cfRule>
  </conditionalFormatting>
  <conditionalFormatting sqref="Q1020:Q1022">
    <cfRule type="containsText" dxfId="2" priority="17969" operator="containsText" text="Yes">
      <formula>NOT(ISERROR(SEARCH(("Yes"),(Q1020))))</formula>
    </cfRule>
  </conditionalFormatting>
  <conditionalFormatting sqref="Q1020:Q1022">
    <cfRule type="containsText" dxfId="9" priority="17970" operator="containsText" text="No">
      <formula>NOT(ISERROR(SEARCH(("No"),(Q1020))))</formula>
    </cfRule>
  </conditionalFormatting>
  <conditionalFormatting sqref="Q1020:Q1022">
    <cfRule type="containsText" dxfId="2" priority="17971" operator="containsText" text="Yes">
      <formula>NOT(ISERROR(SEARCH(("Yes"),(Q1020))))</formula>
    </cfRule>
  </conditionalFormatting>
  <conditionalFormatting sqref="Q1020:Q1022">
    <cfRule type="containsText" dxfId="9" priority="17972" operator="containsText" text="No">
      <formula>NOT(ISERROR(SEARCH(("No"),(Q1020))))</formula>
    </cfRule>
  </conditionalFormatting>
  <conditionalFormatting sqref="Q1020:Q1022">
    <cfRule type="containsText" dxfId="2" priority="17973" operator="containsText" text="Yes">
      <formula>NOT(ISERROR(SEARCH(("Yes"),(Q1020))))</formula>
    </cfRule>
  </conditionalFormatting>
  <conditionalFormatting sqref="Q1020:Q1022">
    <cfRule type="containsText" dxfId="9" priority="17974" operator="containsText" text="No">
      <formula>NOT(ISERROR(SEARCH(("No"),(Q1020))))</formula>
    </cfRule>
  </conditionalFormatting>
  <conditionalFormatting sqref="Q1020:Q1022">
    <cfRule type="containsText" dxfId="2" priority="17975" operator="containsText" text="Yes">
      <formula>NOT(ISERROR(SEARCH(("Yes"),(Q1020))))</formula>
    </cfRule>
  </conditionalFormatting>
  <conditionalFormatting sqref="Q1020:Q1022">
    <cfRule type="containsText" dxfId="9" priority="17976" operator="containsText" text="No">
      <formula>NOT(ISERROR(SEARCH(("No"),(Q1020))))</formula>
    </cfRule>
  </conditionalFormatting>
  <conditionalFormatting sqref="Q1020:Q1022">
    <cfRule type="containsText" dxfId="2" priority="17977" operator="containsText" text="Yes">
      <formula>NOT(ISERROR(SEARCH(("Yes"),(Q1020))))</formula>
    </cfRule>
  </conditionalFormatting>
  <conditionalFormatting sqref="Q1020:Q1022">
    <cfRule type="containsText" dxfId="9" priority="17978" operator="containsText" text="No">
      <formula>NOT(ISERROR(SEARCH(("No"),(Q1020))))</formula>
    </cfRule>
  </conditionalFormatting>
  <conditionalFormatting sqref="Q1020:Q1022">
    <cfRule type="containsText" dxfId="2" priority="17979" operator="containsText" text="Yes">
      <formula>NOT(ISERROR(SEARCH(("Yes"),(Q1020))))</formula>
    </cfRule>
  </conditionalFormatting>
  <conditionalFormatting sqref="Q1020:Q1022">
    <cfRule type="containsText" dxfId="9" priority="17980" operator="containsText" text="No">
      <formula>NOT(ISERROR(SEARCH(("No"),(Q1020))))</formula>
    </cfRule>
  </conditionalFormatting>
  <conditionalFormatting sqref="Q1020:Q1022">
    <cfRule type="containsText" dxfId="2" priority="17981" operator="containsText" text="Yes">
      <formula>NOT(ISERROR(SEARCH(("Yes"),(Q1020))))</formula>
    </cfRule>
  </conditionalFormatting>
  <conditionalFormatting sqref="Q1020:Q1022">
    <cfRule type="containsText" dxfId="9" priority="17982" operator="containsText" text="No">
      <formula>NOT(ISERROR(SEARCH(("No"),(Q1020))))</formula>
    </cfRule>
  </conditionalFormatting>
  <conditionalFormatting sqref="Q1020:Q1022">
    <cfRule type="containsText" dxfId="2" priority="17983" operator="containsText" text="Yes">
      <formula>NOT(ISERROR(SEARCH(("Yes"),(Q1020))))</formula>
    </cfRule>
  </conditionalFormatting>
  <conditionalFormatting sqref="Q1020:Q1022">
    <cfRule type="containsText" dxfId="9" priority="17984" operator="containsText" text="No">
      <formula>NOT(ISERROR(SEARCH(("No"),(Q1020))))</formula>
    </cfRule>
  </conditionalFormatting>
  <conditionalFormatting sqref="Q1020:Q1022">
    <cfRule type="containsText" dxfId="2" priority="17985" operator="containsText" text="Yes">
      <formula>NOT(ISERROR(SEARCH(("Yes"),(Q1020))))</formula>
    </cfRule>
  </conditionalFormatting>
  <conditionalFormatting sqref="Q1020:Q1022">
    <cfRule type="containsText" dxfId="9" priority="17986" operator="containsText" text="No">
      <formula>NOT(ISERROR(SEARCH(("No"),(Q1020))))</formula>
    </cfRule>
  </conditionalFormatting>
  <conditionalFormatting sqref="Q1020:Q1022">
    <cfRule type="containsText" dxfId="2" priority="17987" operator="containsText" text="Yes">
      <formula>NOT(ISERROR(SEARCH(("Yes"),(Q1020))))</formula>
    </cfRule>
  </conditionalFormatting>
  <conditionalFormatting sqref="Q1020:Q1022">
    <cfRule type="containsText" dxfId="9" priority="17988" operator="containsText" text="No">
      <formula>NOT(ISERROR(SEARCH(("No"),(Q1020))))</formula>
    </cfRule>
  </conditionalFormatting>
  <conditionalFormatting sqref="Q1020:Q1022">
    <cfRule type="containsText" dxfId="2" priority="17989" operator="containsText" text="Yes">
      <formula>NOT(ISERROR(SEARCH(("Yes"),(Q1020))))</formula>
    </cfRule>
  </conditionalFormatting>
  <conditionalFormatting sqref="Q1020:Q1022">
    <cfRule type="containsText" dxfId="9" priority="17990" operator="containsText" text="No">
      <formula>NOT(ISERROR(SEARCH(("No"),(Q1020))))</formula>
    </cfRule>
  </conditionalFormatting>
  <conditionalFormatting sqref="Q1020:Q1022">
    <cfRule type="containsText" dxfId="2" priority="17991" operator="containsText" text="Yes">
      <formula>NOT(ISERROR(SEARCH(("Yes"),(Q1020))))</formula>
    </cfRule>
  </conditionalFormatting>
  <conditionalFormatting sqref="Q1020:Q1022">
    <cfRule type="containsText" dxfId="9" priority="17992" operator="containsText" text="No">
      <formula>NOT(ISERROR(SEARCH(("No"),(Q1020))))</formula>
    </cfRule>
  </conditionalFormatting>
  <conditionalFormatting sqref="Q1020:Q1022">
    <cfRule type="containsText" dxfId="2" priority="17993" operator="containsText" text="Yes">
      <formula>NOT(ISERROR(SEARCH(("Yes"),(Q1020))))</formula>
    </cfRule>
  </conditionalFormatting>
  <conditionalFormatting sqref="Q1020:Q1022">
    <cfRule type="containsText" dxfId="9" priority="17994" operator="containsText" text="No">
      <formula>NOT(ISERROR(SEARCH(("No"),(Q1020))))</formula>
    </cfRule>
  </conditionalFormatting>
  <conditionalFormatting sqref="Q1020:Q1022">
    <cfRule type="containsText" dxfId="2" priority="17995" operator="containsText" text="Yes">
      <formula>NOT(ISERROR(SEARCH(("Yes"),(Q1020))))</formula>
    </cfRule>
  </conditionalFormatting>
  <conditionalFormatting sqref="Q1020:Q1022">
    <cfRule type="containsText" dxfId="9" priority="17996" operator="containsText" text="No">
      <formula>NOT(ISERROR(SEARCH(("No"),(Q1020))))</formula>
    </cfRule>
  </conditionalFormatting>
  <conditionalFormatting sqref="Q1020:Q1022">
    <cfRule type="containsText" dxfId="2" priority="17997" operator="containsText" text="Yes">
      <formula>NOT(ISERROR(SEARCH(("Yes"),(Q1020))))</formula>
    </cfRule>
  </conditionalFormatting>
  <conditionalFormatting sqref="Q1020:Q1022">
    <cfRule type="containsText" dxfId="9" priority="17998" operator="containsText" text="No">
      <formula>NOT(ISERROR(SEARCH(("No"),(Q1020))))</formula>
    </cfRule>
  </conditionalFormatting>
  <conditionalFormatting sqref="Q1020:Q1022">
    <cfRule type="containsText" dxfId="2" priority="17999" operator="containsText" text="Yes">
      <formula>NOT(ISERROR(SEARCH(("Yes"),(Q1020))))</formula>
    </cfRule>
  </conditionalFormatting>
  <conditionalFormatting sqref="Q1020:Q1022">
    <cfRule type="containsText" dxfId="9" priority="18000" operator="containsText" text="No">
      <formula>NOT(ISERROR(SEARCH(("No"),(Q1020))))</formula>
    </cfRule>
  </conditionalFormatting>
  <conditionalFormatting sqref="Q1020:Q1022">
    <cfRule type="containsText" dxfId="2" priority="18001" operator="containsText" text="Yes">
      <formula>NOT(ISERROR(SEARCH(("Yes"),(Q1020))))</formula>
    </cfRule>
  </conditionalFormatting>
  <conditionalFormatting sqref="Q1020:Q1022">
    <cfRule type="containsText" dxfId="2" priority="18002" operator="containsText" text="Yes">
      <formula>NOT(ISERROR(SEARCH(("Yes"),(Q1020))))</formula>
    </cfRule>
  </conditionalFormatting>
  <conditionalFormatting sqref="Q1020:Q1022">
    <cfRule type="containsText" dxfId="9" priority="18003" operator="containsText" text="No">
      <formula>NOT(ISERROR(SEARCH(("No"),(Q1020))))</formula>
    </cfRule>
  </conditionalFormatting>
  <conditionalFormatting sqref="Q1020:Q1022">
    <cfRule type="containsText" dxfId="2" priority="18004" operator="containsText" text="Yes">
      <formula>NOT(ISERROR(SEARCH(("Yes"),(Q1020))))</formula>
    </cfRule>
  </conditionalFormatting>
  <conditionalFormatting sqref="Q1023">
    <cfRule type="containsText" dxfId="2" priority="18005" operator="containsText" text="Yes">
      <formula>NOT(ISERROR(SEARCH(("Yes"),(Q1023))))</formula>
    </cfRule>
  </conditionalFormatting>
  <conditionalFormatting sqref="Q1023">
    <cfRule type="containsText" dxfId="9" priority="18006" operator="containsText" text="No">
      <formula>NOT(ISERROR(SEARCH(("No"),(Q1023))))</formula>
    </cfRule>
  </conditionalFormatting>
  <conditionalFormatting sqref="Q1023">
    <cfRule type="containsText" dxfId="2" priority="18007" operator="containsText" text="Yes">
      <formula>NOT(ISERROR(SEARCH(("Yes"),(Q1023))))</formula>
    </cfRule>
  </conditionalFormatting>
  <conditionalFormatting sqref="Q1023">
    <cfRule type="containsText" dxfId="9" priority="18008" operator="containsText" text="No">
      <formula>NOT(ISERROR(SEARCH(("No"),(Q1023))))</formula>
    </cfRule>
  </conditionalFormatting>
  <conditionalFormatting sqref="Q1023">
    <cfRule type="containsText" dxfId="2" priority="18009" operator="containsText" text="Yes">
      <formula>NOT(ISERROR(SEARCH(("Yes"),(Q1023))))</formula>
    </cfRule>
  </conditionalFormatting>
  <conditionalFormatting sqref="Q1023">
    <cfRule type="containsText" dxfId="9" priority="18010" operator="containsText" text="No">
      <formula>NOT(ISERROR(SEARCH(("No"),(Q1023))))</formula>
    </cfRule>
  </conditionalFormatting>
  <conditionalFormatting sqref="Q1023">
    <cfRule type="containsText" dxfId="2" priority="18011" operator="containsText" text="Yes">
      <formula>NOT(ISERROR(SEARCH(("Yes"),(Q1023))))</formula>
    </cfRule>
  </conditionalFormatting>
  <conditionalFormatting sqref="Q1023">
    <cfRule type="containsText" dxfId="9" priority="18012" operator="containsText" text="No">
      <formula>NOT(ISERROR(SEARCH(("No"),(Q1023))))</formula>
    </cfRule>
  </conditionalFormatting>
  <conditionalFormatting sqref="Q1023">
    <cfRule type="containsText" dxfId="2" priority="18013" operator="containsText" text="Yes">
      <formula>NOT(ISERROR(SEARCH(("Yes"),(Q1023))))</formula>
    </cfRule>
  </conditionalFormatting>
  <conditionalFormatting sqref="Q1023">
    <cfRule type="containsText" dxfId="9" priority="18014" operator="containsText" text="No">
      <formula>NOT(ISERROR(SEARCH(("No"),(Q1023))))</formula>
    </cfRule>
  </conditionalFormatting>
  <conditionalFormatting sqref="Q1023">
    <cfRule type="containsText" dxfId="2" priority="18015" operator="containsText" text="Yes">
      <formula>NOT(ISERROR(SEARCH(("Yes"),(Q1023))))</formula>
    </cfRule>
  </conditionalFormatting>
  <conditionalFormatting sqref="Q1023">
    <cfRule type="containsText" dxfId="9" priority="18016" operator="containsText" text="No">
      <formula>NOT(ISERROR(SEARCH(("No"),(Q1023))))</formula>
    </cfRule>
  </conditionalFormatting>
  <conditionalFormatting sqref="Q1023">
    <cfRule type="containsText" dxfId="2" priority="18017" operator="containsText" text="Yes">
      <formula>NOT(ISERROR(SEARCH(("Yes"),(Q1023))))</formula>
    </cfRule>
  </conditionalFormatting>
  <conditionalFormatting sqref="Q1023">
    <cfRule type="containsText" dxfId="9" priority="18018" operator="containsText" text="No">
      <formula>NOT(ISERROR(SEARCH(("No"),(Q1023))))</formula>
    </cfRule>
  </conditionalFormatting>
  <conditionalFormatting sqref="Q1023">
    <cfRule type="containsText" dxfId="2" priority="18019" operator="containsText" text="Yes">
      <formula>NOT(ISERROR(SEARCH(("Yes"),(Q1023))))</formula>
    </cfRule>
  </conditionalFormatting>
  <conditionalFormatting sqref="Q1023">
    <cfRule type="containsText" dxfId="9" priority="18020" operator="containsText" text="No">
      <formula>NOT(ISERROR(SEARCH(("No"),(Q1023))))</formula>
    </cfRule>
  </conditionalFormatting>
  <conditionalFormatting sqref="Q1023">
    <cfRule type="containsText" dxfId="2" priority="18021" operator="containsText" text="Yes">
      <formula>NOT(ISERROR(SEARCH(("Yes"),(Q1023))))</formula>
    </cfRule>
  </conditionalFormatting>
  <conditionalFormatting sqref="Q1023">
    <cfRule type="containsText" dxfId="9" priority="18022" operator="containsText" text="No">
      <formula>NOT(ISERROR(SEARCH(("No"),(Q1023))))</formula>
    </cfRule>
  </conditionalFormatting>
  <conditionalFormatting sqref="Q1023">
    <cfRule type="containsText" dxfId="2" priority="18023" operator="containsText" text="Yes">
      <formula>NOT(ISERROR(SEARCH(("Yes"),(Q1023))))</formula>
    </cfRule>
  </conditionalFormatting>
  <conditionalFormatting sqref="Q1023">
    <cfRule type="containsText" dxfId="9" priority="18024" operator="containsText" text="No">
      <formula>NOT(ISERROR(SEARCH(("No"),(Q1023))))</formula>
    </cfRule>
  </conditionalFormatting>
  <conditionalFormatting sqref="Q1023">
    <cfRule type="containsText" dxfId="2" priority="18025" operator="containsText" text="Yes">
      <formula>NOT(ISERROR(SEARCH(("Yes"),(Q1023))))</formula>
    </cfRule>
  </conditionalFormatting>
  <conditionalFormatting sqref="Q1023">
    <cfRule type="containsText" dxfId="9" priority="18026" operator="containsText" text="No">
      <formula>NOT(ISERROR(SEARCH(("No"),(Q1023))))</formula>
    </cfRule>
  </conditionalFormatting>
  <conditionalFormatting sqref="Q1023">
    <cfRule type="containsText" dxfId="2" priority="18027" operator="containsText" text="Yes">
      <formula>NOT(ISERROR(SEARCH(("Yes"),(Q1023))))</formula>
    </cfRule>
  </conditionalFormatting>
  <conditionalFormatting sqref="Q1023">
    <cfRule type="containsText" dxfId="9" priority="18028" operator="containsText" text="No">
      <formula>NOT(ISERROR(SEARCH(("No"),(Q1023))))</formula>
    </cfRule>
  </conditionalFormatting>
  <conditionalFormatting sqref="Q1023">
    <cfRule type="containsText" dxfId="2" priority="18029" operator="containsText" text="Yes">
      <formula>NOT(ISERROR(SEARCH(("Yes"),(Q1023))))</formula>
    </cfRule>
  </conditionalFormatting>
  <conditionalFormatting sqref="Q1023">
    <cfRule type="containsText" dxfId="9" priority="18030" operator="containsText" text="No">
      <formula>NOT(ISERROR(SEARCH(("No"),(Q1023))))</formula>
    </cfRule>
  </conditionalFormatting>
  <conditionalFormatting sqref="Q1023">
    <cfRule type="containsText" dxfId="2" priority="18031" operator="containsText" text="Yes">
      <formula>NOT(ISERROR(SEARCH(("Yes"),(Q1023))))</formula>
    </cfRule>
  </conditionalFormatting>
  <conditionalFormatting sqref="Q1023">
    <cfRule type="containsText" dxfId="9" priority="18032" operator="containsText" text="No">
      <formula>NOT(ISERROR(SEARCH(("No"),(Q1023))))</formula>
    </cfRule>
  </conditionalFormatting>
  <conditionalFormatting sqref="Q1023">
    <cfRule type="containsText" dxfId="2" priority="18033" operator="containsText" text="Yes">
      <formula>NOT(ISERROR(SEARCH(("Yes"),(Q1023))))</formula>
    </cfRule>
  </conditionalFormatting>
  <conditionalFormatting sqref="Q1023">
    <cfRule type="containsText" dxfId="9" priority="18034" operator="containsText" text="No">
      <formula>NOT(ISERROR(SEARCH(("No"),(Q1023))))</formula>
    </cfRule>
  </conditionalFormatting>
  <conditionalFormatting sqref="Q1023">
    <cfRule type="containsText" dxfId="2" priority="18035" operator="containsText" text="Yes">
      <formula>NOT(ISERROR(SEARCH(("Yes"),(Q1023))))</formula>
    </cfRule>
  </conditionalFormatting>
  <conditionalFormatting sqref="Q1023">
    <cfRule type="containsText" dxfId="9" priority="18036" operator="containsText" text="No">
      <formula>NOT(ISERROR(SEARCH(("No"),(Q1023))))</formula>
    </cfRule>
  </conditionalFormatting>
  <conditionalFormatting sqref="Q1023">
    <cfRule type="containsText" dxfId="2" priority="18037" operator="containsText" text="Yes">
      <formula>NOT(ISERROR(SEARCH(("Yes"),(Q1023))))</formula>
    </cfRule>
  </conditionalFormatting>
  <conditionalFormatting sqref="Q1023">
    <cfRule type="containsText" dxfId="9" priority="18038" operator="containsText" text="No">
      <formula>NOT(ISERROR(SEARCH(("No"),(Q1023))))</formula>
    </cfRule>
  </conditionalFormatting>
  <conditionalFormatting sqref="Q1023">
    <cfRule type="containsText" dxfId="2" priority="18039" operator="containsText" text="Yes">
      <formula>NOT(ISERROR(SEARCH(("Yes"),(Q1023))))</formula>
    </cfRule>
  </conditionalFormatting>
  <conditionalFormatting sqref="Q1023">
    <cfRule type="containsText" dxfId="9" priority="18040" operator="containsText" text="No">
      <formula>NOT(ISERROR(SEARCH(("No"),(Q1023))))</formula>
    </cfRule>
  </conditionalFormatting>
  <conditionalFormatting sqref="Q1023">
    <cfRule type="containsText" dxfId="2" priority="18041" operator="containsText" text="Yes">
      <formula>NOT(ISERROR(SEARCH(("Yes"),(Q1023))))</formula>
    </cfRule>
  </conditionalFormatting>
  <conditionalFormatting sqref="Q1023">
    <cfRule type="containsText" dxfId="9" priority="18042" operator="containsText" text="No">
      <formula>NOT(ISERROR(SEARCH(("No"),(Q1023))))</formula>
    </cfRule>
  </conditionalFormatting>
  <conditionalFormatting sqref="Q1023">
    <cfRule type="containsText" dxfId="2" priority="18043" operator="containsText" text="Yes">
      <formula>NOT(ISERROR(SEARCH(("Yes"),(Q1023))))</formula>
    </cfRule>
  </conditionalFormatting>
  <conditionalFormatting sqref="Q1023">
    <cfRule type="containsText" dxfId="9" priority="18044" operator="containsText" text="No">
      <formula>NOT(ISERROR(SEARCH(("No"),(Q1023))))</formula>
    </cfRule>
  </conditionalFormatting>
  <conditionalFormatting sqref="Q1023">
    <cfRule type="containsText" dxfId="2" priority="18045" operator="containsText" text="Yes">
      <formula>NOT(ISERROR(SEARCH(("Yes"),(Q1023))))</formula>
    </cfRule>
  </conditionalFormatting>
  <conditionalFormatting sqref="Q1023">
    <cfRule type="containsText" dxfId="9" priority="18046" operator="containsText" text="No">
      <formula>NOT(ISERROR(SEARCH(("No"),(Q1023))))</formula>
    </cfRule>
  </conditionalFormatting>
  <conditionalFormatting sqref="Q1023">
    <cfRule type="containsText" dxfId="2" priority="18047" operator="containsText" text="Yes">
      <formula>NOT(ISERROR(SEARCH(("Yes"),(Q1023))))</formula>
    </cfRule>
  </conditionalFormatting>
  <conditionalFormatting sqref="Q1023">
    <cfRule type="containsText" dxfId="9" priority="18048" operator="containsText" text="No">
      <formula>NOT(ISERROR(SEARCH(("No"),(Q1023))))</formula>
    </cfRule>
  </conditionalFormatting>
  <conditionalFormatting sqref="Q1023">
    <cfRule type="containsText" dxfId="2" priority="18049" operator="containsText" text="Yes">
      <formula>NOT(ISERROR(SEARCH(("Yes"),(Q1023))))</formula>
    </cfRule>
  </conditionalFormatting>
  <conditionalFormatting sqref="Q1023">
    <cfRule type="containsText" dxfId="9" priority="18050" operator="containsText" text="No">
      <formula>NOT(ISERROR(SEARCH(("No"),(Q1023))))</formula>
    </cfRule>
  </conditionalFormatting>
  <conditionalFormatting sqref="Q1023">
    <cfRule type="containsText" dxfId="2" priority="18051" operator="containsText" text="Yes">
      <formula>NOT(ISERROR(SEARCH(("Yes"),(Q1023))))</formula>
    </cfRule>
  </conditionalFormatting>
  <conditionalFormatting sqref="Q1023">
    <cfRule type="containsText" dxfId="9" priority="18052" operator="containsText" text="No">
      <formula>NOT(ISERROR(SEARCH(("No"),(Q1023))))</formula>
    </cfRule>
  </conditionalFormatting>
  <conditionalFormatting sqref="Q1023">
    <cfRule type="containsText" dxfId="2" priority="18053" operator="containsText" text="Yes">
      <formula>NOT(ISERROR(SEARCH(("Yes"),(Q1023))))</formula>
    </cfRule>
  </conditionalFormatting>
  <conditionalFormatting sqref="Q1023">
    <cfRule type="containsText" dxfId="9" priority="18054" operator="containsText" text="No">
      <formula>NOT(ISERROR(SEARCH(("No"),(Q1023))))</formula>
    </cfRule>
  </conditionalFormatting>
  <conditionalFormatting sqref="Q1023">
    <cfRule type="containsText" dxfId="2" priority="18055" operator="containsText" text="Yes">
      <formula>NOT(ISERROR(SEARCH(("Yes"),(Q1023))))</formula>
    </cfRule>
  </conditionalFormatting>
  <conditionalFormatting sqref="Q1023">
    <cfRule type="containsText" dxfId="9" priority="18056" operator="containsText" text="No">
      <formula>NOT(ISERROR(SEARCH(("No"),(Q1023))))</formula>
    </cfRule>
  </conditionalFormatting>
  <conditionalFormatting sqref="Q1023">
    <cfRule type="containsText" dxfId="2" priority="18057" operator="containsText" text="Yes">
      <formula>NOT(ISERROR(SEARCH(("Yes"),(Q1023))))</formula>
    </cfRule>
  </conditionalFormatting>
  <conditionalFormatting sqref="Q1023">
    <cfRule type="containsText" dxfId="9" priority="18058" operator="containsText" text="No">
      <formula>NOT(ISERROR(SEARCH(("No"),(Q1023))))</formula>
    </cfRule>
  </conditionalFormatting>
  <conditionalFormatting sqref="Q1023">
    <cfRule type="containsText" dxfId="2" priority="18059" operator="containsText" text="Yes">
      <formula>NOT(ISERROR(SEARCH(("Yes"),(Q1023))))</formula>
    </cfRule>
  </conditionalFormatting>
  <conditionalFormatting sqref="Q1023">
    <cfRule type="containsText" dxfId="9" priority="18060" operator="containsText" text="No">
      <formula>NOT(ISERROR(SEARCH(("No"),(Q1023))))</formula>
    </cfRule>
  </conditionalFormatting>
  <conditionalFormatting sqref="Q1023">
    <cfRule type="containsText" dxfId="2" priority="18061" operator="containsText" text="Yes">
      <formula>NOT(ISERROR(SEARCH(("Yes"),(Q1023))))</formula>
    </cfRule>
  </conditionalFormatting>
  <conditionalFormatting sqref="Q1023">
    <cfRule type="containsText" dxfId="9" priority="18062" operator="containsText" text="No">
      <formula>NOT(ISERROR(SEARCH(("No"),(Q1023))))</formula>
    </cfRule>
  </conditionalFormatting>
  <conditionalFormatting sqref="Q1023">
    <cfRule type="containsText" dxfId="2" priority="18063" operator="containsText" text="Yes">
      <formula>NOT(ISERROR(SEARCH(("Yes"),(Q1023))))</formula>
    </cfRule>
  </conditionalFormatting>
  <conditionalFormatting sqref="Q1023">
    <cfRule type="containsText" dxfId="9" priority="18064" operator="containsText" text="No">
      <formula>NOT(ISERROR(SEARCH(("No"),(Q1023))))</formula>
    </cfRule>
  </conditionalFormatting>
  <conditionalFormatting sqref="Q1023">
    <cfRule type="containsText" dxfId="2" priority="18065" operator="containsText" text="Yes">
      <formula>NOT(ISERROR(SEARCH(("Yes"),(Q1023))))</formula>
    </cfRule>
  </conditionalFormatting>
  <conditionalFormatting sqref="Q1023">
    <cfRule type="containsText" dxfId="9" priority="18066" operator="containsText" text="No">
      <formula>NOT(ISERROR(SEARCH(("No"),(Q1023))))</formula>
    </cfRule>
  </conditionalFormatting>
  <conditionalFormatting sqref="Q1023">
    <cfRule type="containsText" dxfId="2" priority="18067" operator="containsText" text="Yes">
      <formula>NOT(ISERROR(SEARCH(("Yes"),(Q1023))))</formula>
    </cfRule>
  </conditionalFormatting>
  <conditionalFormatting sqref="Q1023">
    <cfRule type="containsText" dxfId="9" priority="18068" operator="containsText" text="No">
      <formula>NOT(ISERROR(SEARCH(("No"),(Q1023))))</formula>
    </cfRule>
  </conditionalFormatting>
  <conditionalFormatting sqref="Q1023">
    <cfRule type="containsText" dxfId="2" priority="18069" operator="containsText" text="Yes">
      <formula>NOT(ISERROR(SEARCH(("Yes"),(Q1023))))</formula>
    </cfRule>
  </conditionalFormatting>
  <conditionalFormatting sqref="Q1023">
    <cfRule type="containsText" dxfId="9" priority="18070" operator="containsText" text="No">
      <formula>NOT(ISERROR(SEARCH(("No"),(Q1023))))</formula>
    </cfRule>
  </conditionalFormatting>
  <conditionalFormatting sqref="Q1023">
    <cfRule type="containsText" dxfId="2" priority="18071" operator="containsText" text="Yes">
      <formula>NOT(ISERROR(SEARCH(("Yes"),(Q1023))))</formula>
    </cfRule>
  </conditionalFormatting>
  <conditionalFormatting sqref="Q1023">
    <cfRule type="containsText" dxfId="9" priority="18072" operator="containsText" text="No">
      <formula>NOT(ISERROR(SEARCH(("No"),(Q1023))))</formula>
    </cfRule>
  </conditionalFormatting>
  <conditionalFormatting sqref="Q1023">
    <cfRule type="containsText" dxfId="2" priority="18073" operator="containsText" text="Yes">
      <formula>NOT(ISERROR(SEARCH(("Yes"),(Q1023))))</formula>
    </cfRule>
  </conditionalFormatting>
  <conditionalFormatting sqref="Q1023">
    <cfRule type="containsText" dxfId="9" priority="18074" operator="containsText" text="No">
      <formula>NOT(ISERROR(SEARCH(("No"),(Q1023))))</formula>
    </cfRule>
  </conditionalFormatting>
  <conditionalFormatting sqref="Q1023">
    <cfRule type="containsText" dxfId="2" priority="18075" operator="containsText" text="Yes">
      <formula>NOT(ISERROR(SEARCH(("Yes"),(Q1023))))</formula>
    </cfRule>
  </conditionalFormatting>
  <conditionalFormatting sqref="Q1023">
    <cfRule type="containsText" dxfId="9" priority="18076" operator="containsText" text="No">
      <formula>NOT(ISERROR(SEARCH(("No"),(Q1023))))</formula>
    </cfRule>
  </conditionalFormatting>
  <conditionalFormatting sqref="Q1023">
    <cfRule type="containsText" dxfId="2" priority="18077" operator="containsText" text="Yes">
      <formula>NOT(ISERROR(SEARCH(("Yes"),(Q1023))))</formula>
    </cfRule>
  </conditionalFormatting>
  <conditionalFormatting sqref="Q1023">
    <cfRule type="containsText" dxfId="9" priority="18078" operator="containsText" text="No">
      <formula>NOT(ISERROR(SEARCH(("No"),(Q1023))))</formula>
    </cfRule>
  </conditionalFormatting>
  <conditionalFormatting sqref="Q1023">
    <cfRule type="containsText" dxfId="2" priority="18079" operator="containsText" text="Yes">
      <formula>NOT(ISERROR(SEARCH(("Yes"),(Q1023))))</formula>
    </cfRule>
  </conditionalFormatting>
  <conditionalFormatting sqref="Q1023">
    <cfRule type="containsText" dxfId="9" priority="18080" operator="containsText" text="No">
      <formula>NOT(ISERROR(SEARCH(("No"),(Q1023))))</formula>
    </cfRule>
  </conditionalFormatting>
  <conditionalFormatting sqref="Q1023">
    <cfRule type="containsText" dxfId="2" priority="18081" operator="containsText" text="Yes">
      <formula>NOT(ISERROR(SEARCH(("Yes"),(Q1023))))</formula>
    </cfRule>
  </conditionalFormatting>
  <conditionalFormatting sqref="Q1023">
    <cfRule type="containsText" dxfId="9" priority="18082" operator="containsText" text="No">
      <formula>NOT(ISERROR(SEARCH(("No"),(Q1023))))</formula>
    </cfRule>
  </conditionalFormatting>
  <conditionalFormatting sqref="Q1023">
    <cfRule type="containsText" dxfId="2" priority="18083" operator="containsText" text="Yes">
      <formula>NOT(ISERROR(SEARCH(("Yes"),(Q1023))))</formula>
    </cfRule>
  </conditionalFormatting>
  <conditionalFormatting sqref="Q1023">
    <cfRule type="containsText" dxfId="9" priority="18084" operator="containsText" text="No">
      <formula>NOT(ISERROR(SEARCH(("No"),(Q1023))))</formula>
    </cfRule>
  </conditionalFormatting>
  <conditionalFormatting sqref="Q1023">
    <cfRule type="containsText" dxfId="2" priority="18085" operator="containsText" text="Yes">
      <formula>NOT(ISERROR(SEARCH(("Yes"),(Q1023))))</formula>
    </cfRule>
  </conditionalFormatting>
  <conditionalFormatting sqref="Q1023">
    <cfRule type="containsText" dxfId="9" priority="18086" operator="containsText" text="No">
      <formula>NOT(ISERROR(SEARCH(("No"),(Q1023))))</formula>
    </cfRule>
  </conditionalFormatting>
  <conditionalFormatting sqref="Q1023">
    <cfRule type="containsText" dxfId="2" priority="18087" operator="containsText" text="Yes">
      <formula>NOT(ISERROR(SEARCH(("Yes"),(Q1023))))</formula>
    </cfRule>
  </conditionalFormatting>
  <conditionalFormatting sqref="Q1023">
    <cfRule type="containsText" dxfId="9" priority="18088" operator="containsText" text="No">
      <formula>NOT(ISERROR(SEARCH(("No"),(Q1023))))</formula>
    </cfRule>
  </conditionalFormatting>
  <conditionalFormatting sqref="Q1023">
    <cfRule type="containsText" dxfId="2" priority="18089" operator="containsText" text="Yes">
      <formula>NOT(ISERROR(SEARCH(("Yes"),(Q1023))))</formula>
    </cfRule>
  </conditionalFormatting>
  <conditionalFormatting sqref="Q1023">
    <cfRule type="containsText" dxfId="9" priority="18090" operator="containsText" text="No">
      <formula>NOT(ISERROR(SEARCH(("No"),(Q1023))))</formula>
    </cfRule>
  </conditionalFormatting>
  <conditionalFormatting sqref="Q1023">
    <cfRule type="containsText" dxfId="2" priority="18091" operator="containsText" text="Yes">
      <formula>NOT(ISERROR(SEARCH(("Yes"),(Q1023))))</formula>
    </cfRule>
  </conditionalFormatting>
  <conditionalFormatting sqref="Q1023">
    <cfRule type="containsText" dxfId="9" priority="18092" operator="containsText" text="No">
      <formula>NOT(ISERROR(SEARCH(("No"),(Q1023))))</formula>
    </cfRule>
  </conditionalFormatting>
  <conditionalFormatting sqref="Q1023">
    <cfRule type="containsText" dxfId="2" priority="18093" operator="containsText" text="Yes">
      <formula>NOT(ISERROR(SEARCH(("Yes"),(Q1023))))</formula>
    </cfRule>
  </conditionalFormatting>
  <conditionalFormatting sqref="Q1023">
    <cfRule type="containsText" dxfId="2" priority="18094" operator="containsText" text="Yes">
      <formula>NOT(ISERROR(SEARCH(("Yes"),(Q1023))))</formula>
    </cfRule>
  </conditionalFormatting>
  <conditionalFormatting sqref="Q1023">
    <cfRule type="containsText" dxfId="9" priority="18095" operator="containsText" text="No">
      <formula>NOT(ISERROR(SEARCH(("No"),(Q1023))))</formula>
    </cfRule>
  </conditionalFormatting>
  <conditionalFormatting sqref="Q1023">
    <cfRule type="containsText" dxfId="2" priority="18096" operator="containsText" text="Yes">
      <formula>NOT(ISERROR(SEARCH(("Yes"),(Q1023))))</formula>
    </cfRule>
  </conditionalFormatting>
  <conditionalFormatting sqref="Q1024:Q1025">
    <cfRule type="containsText" dxfId="2" priority="18097" operator="containsText" text="Yes">
      <formula>NOT(ISERROR(SEARCH(("Yes"),(Q1024))))</formula>
    </cfRule>
  </conditionalFormatting>
  <conditionalFormatting sqref="Q1024:Q1025">
    <cfRule type="containsText" dxfId="9" priority="18098" operator="containsText" text="No">
      <formula>NOT(ISERROR(SEARCH(("No"),(Q1024))))</formula>
    </cfRule>
  </conditionalFormatting>
  <conditionalFormatting sqref="Q1024:Q1025">
    <cfRule type="containsText" dxfId="2" priority="18099" operator="containsText" text="Yes">
      <formula>NOT(ISERROR(SEARCH(("Yes"),(Q1024))))</formula>
    </cfRule>
  </conditionalFormatting>
  <conditionalFormatting sqref="Q1024:Q1025">
    <cfRule type="containsText" dxfId="9" priority="18100" operator="containsText" text="No">
      <formula>NOT(ISERROR(SEARCH(("No"),(Q1024))))</formula>
    </cfRule>
  </conditionalFormatting>
  <conditionalFormatting sqref="Q1024:Q1025">
    <cfRule type="containsText" dxfId="2" priority="18101" operator="containsText" text="Yes">
      <formula>NOT(ISERROR(SEARCH(("Yes"),(Q1024))))</formula>
    </cfRule>
  </conditionalFormatting>
  <conditionalFormatting sqref="Q1024:Q1025">
    <cfRule type="containsText" dxfId="9" priority="18102" operator="containsText" text="No">
      <formula>NOT(ISERROR(SEARCH(("No"),(Q1024))))</formula>
    </cfRule>
  </conditionalFormatting>
  <conditionalFormatting sqref="Q1024:Q1025">
    <cfRule type="containsText" dxfId="2" priority="18103" operator="containsText" text="Yes">
      <formula>NOT(ISERROR(SEARCH(("Yes"),(Q1024))))</formula>
    </cfRule>
  </conditionalFormatting>
  <conditionalFormatting sqref="Q1024:Q1025">
    <cfRule type="containsText" dxfId="9" priority="18104" operator="containsText" text="No">
      <formula>NOT(ISERROR(SEARCH(("No"),(Q1024))))</formula>
    </cfRule>
  </conditionalFormatting>
  <conditionalFormatting sqref="Q1024:Q1025">
    <cfRule type="containsText" dxfId="2" priority="18105" operator="containsText" text="Yes">
      <formula>NOT(ISERROR(SEARCH(("Yes"),(Q1024))))</formula>
    </cfRule>
  </conditionalFormatting>
  <conditionalFormatting sqref="Q1024:Q1025">
    <cfRule type="containsText" dxfId="9" priority="18106" operator="containsText" text="No">
      <formula>NOT(ISERROR(SEARCH(("No"),(Q1024))))</formula>
    </cfRule>
  </conditionalFormatting>
  <conditionalFormatting sqref="Q1024:Q1025">
    <cfRule type="containsText" dxfId="2" priority="18107" operator="containsText" text="Yes">
      <formula>NOT(ISERROR(SEARCH(("Yes"),(Q1024))))</formula>
    </cfRule>
  </conditionalFormatting>
  <conditionalFormatting sqref="Q1024:Q1025">
    <cfRule type="containsText" dxfId="9" priority="18108" operator="containsText" text="No">
      <formula>NOT(ISERROR(SEARCH(("No"),(Q1024))))</formula>
    </cfRule>
  </conditionalFormatting>
  <conditionalFormatting sqref="Q1024:Q1025">
    <cfRule type="containsText" dxfId="2" priority="18109" operator="containsText" text="Yes">
      <formula>NOT(ISERROR(SEARCH(("Yes"),(Q1024))))</formula>
    </cfRule>
  </conditionalFormatting>
  <conditionalFormatting sqref="Q1024:Q1025">
    <cfRule type="containsText" dxfId="9" priority="18110" operator="containsText" text="No">
      <formula>NOT(ISERROR(SEARCH(("No"),(Q1024))))</formula>
    </cfRule>
  </conditionalFormatting>
  <conditionalFormatting sqref="Q1024:Q1025">
    <cfRule type="containsText" dxfId="2" priority="18111" operator="containsText" text="Yes">
      <formula>NOT(ISERROR(SEARCH(("Yes"),(Q1024))))</formula>
    </cfRule>
  </conditionalFormatting>
  <conditionalFormatting sqref="Q1024:Q1025">
    <cfRule type="containsText" dxfId="9" priority="18112" operator="containsText" text="No">
      <formula>NOT(ISERROR(SEARCH(("No"),(Q1024))))</formula>
    </cfRule>
  </conditionalFormatting>
  <conditionalFormatting sqref="Q1024:Q1025">
    <cfRule type="containsText" dxfId="2" priority="18113" operator="containsText" text="Yes">
      <formula>NOT(ISERROR(SEARCH(("Yes"),(Q1024))))</formula>
    </cfRule>
  </conditionalFormatting>
  <conditionalFormatting sqref="Q1024:Q1025">
    <cfRule type="containsText" dxfId="9" priority="18114" operator="containsText" text="No">
      <formula>NOT(ISERROR(SEARCH(("No"),(Q1024))))</formula>
    </cfRule>
  </conditionalFormatting>
  <conditionalFormatting sqref="Q1024:Q1025">
    <cfRule type="containsText" dxfId="2" priority="18115" operator="containsText" text="Yes">
      <formula>NOT(ISERROR(SEARCH(("Yes"),(Q1024))))</formula>
    </cfRule>
  </conditionalFormatting>
  <conditionalFormatting sqref="Q1024:Q1025">
    <cfRule type="containsText" dxfId="9" priority="18116" operator="containsText" text="No">
      <formula>NOT(ISERROR(SEARCH(("No"),(Q1024))))</formula>
    </cfRule>
  </conditionalFormatting>
  <conditionalFormatting sqref="Q1024:Q1025">
    <cfRule type="containsText" dxfId="2" priority="18117" operator="containsText" text="Yes">
      <formula>NOT(ISERROR(SEARCH(("Yes"),(Q1024))))</formula>
    </cfRule>
  </conditionalFormatting>
  <conditionalFormatting sqref="Q1024:Q1025">
    <cfRule type="containsText" dxfId="9" priority="18118" operator="containsText" text="No">
      <formula>NOT(ISERROR(SEARCH(("No"),(Q1024))))</formula>
    </cfRule>
  </conditionalFormatting>
  <conditionalFormatting sqref="Q1024:Q1025">
    <cfRule type="containsText" dxfId="2" priority="18119" operator="containsText" text="Yes">
      <formula>NOT(ISERROR(SEARCH(("Yes"),(Q1024))))</formula>
    </cfRule>
  </conditionalFormatting>
  <conditionalFormatting sqref="Q1024:Q1025">
    <cfRule type="containsText" dxfId="9" priority="18120" operator="containsText" text="No">
      <formula>NOT(ISERROR(SEARCH(("No"),(Q1024))))</formula>
    </cfRule>
  </conditionalFormatting>
  <conditionalFormatting sqref="Q1024:Q1025">
    <cfRule type="containsText" dxfId="2" priority="18121" operator="containsText" text="Yes">
      <formula>NOT(ISERROR(SEARCH(("Yes"),(Q1024))))</formula>
    </cfRule>
  </conditionalFormatting>
  <conditionalFormatting sqref="Q1024:Q1025">
    <cfRule type="containsText" dxfId="9" priority="18122" operator="containsText" text="No">
      <formula>NOT(ISERROR(SEARCH(("No"),(Q1024))))</formula>
    </cfRule>
  </conditionalFormatting>
  <conditionalFormatting sqref="Q1024:Q1025">
    <cfRule type="containsText" dxfId="2" priority="18123" operator="containsText" text="Yes">
      <formula>NOT(ISERROR(SEARCH(("Yes"),(Q1024))))</formula>
    </cfRule>
  </conditionalFormatting>
  <conditionalFormatting sqref="Q1024:Q1025">
    <cfRule type="containsText" dxfId="9" priority="18124" operator="containsText" text="No">
      <formula>NOT(ISERROR(SEARCH(("No"),(Q1024))))</formula>
    </cfRule>
  </conditionalFormatting>
  <conditionalFormatting sqref="Q1024:Q1025">
    <cfRule type="containsText" dxfId="2" priority="18125" operator="containsText" text="Yes">
      <formula>NOT(ISERROR(SEARCH(("Yes"),(Q1024))))</formula>
    </cfRule>
  </conditionalFormatting>
  <conditionalFormatting sqref="Q1024:Q1025">
    <cfRule type="containsText" dxfId="9" priority="18126" operator="containsText" text="No">
      <formula>NOT(ISERROR(SEARCH(("No"),(Q1024))))</formula>
    </cfRule>
  </conditionalFormatting>
  <conditionalFormatting sqref="Q1024:Q1025">
    <cfRule type="containsText" dxfId="2" priority="18127" operator="containsText" text="Yes">
      <formula>NOT(ISERROR(SEARCH(("Yes"),(Q1024))))</formula>
    </cfRule>
  </conditionalFormatting>
  <conditionalFormatting sqref="Q1024:Q1025">
    <cfRule type="containsText" dxfId="9" priority="18128" operator="containsText" text="No">
      <formula>NOT(ISERROR(SEARCH(("No"),(Q1024))))</formula>
    </cfRule>
  </conditionalFormatting>
  <conditionalFormatting sqref="Q1024:Q1025">
    <cfRule type="containsText" dxfId="2" priority="18129" operator="containsText" text="Yes">
      <formula>NOT(ISERROR(SEARCH(("Yes"),(Q1024))))</formula>
    </cfRule>
  </conditionalFormatting>
  <conditionalFormatting sqref="Q1024:Q1025">
    <cfRule type="containsText" dxfId="9" priority="18130" operator="containsText" text="No">
      <formula>NOT(ISERROR(SEARCH(("No"),(Q1024))))</formula>
    </cfRule>
  </conditionalFormatting>
  <conditionalFormatting sqref="Q1024:Q1025">
    <cfRule type="containsText" dxfId="2" priority="18131" operator="containsText" text="Yes">
      <formula>NOT(ISERROR(SEARCH(("Yes"),(Q1024))))</formula>
    </cfRule>
  </conditionalFormatting>
  <conditionalFormatting sqref="Q1024:Q1025">
    <cfRule type="containsText" dxfId="9" priority="18132" operator="containsText" text="No">
      <formula>NOT(ISERROR(SEARCH(("No"),(Q1024))))</formula>
    </cfRule>
  </conditionalFormatting>
  <conditionalFormatting sqref="Q1024:Q1025">
    <cfRule type="containsText" dxfId="2" priority="18133" operator="containsText" text="Yes">
      <formula>NOT(ISERROR(SEARCH(("Yes"),(Q1024))))</formula>
    </cfRule>
  </conditionalFormatting>
  <conditionalFormatting sqref="Q1024:Q1025">
    <cfRule type="containsText" dxfId="9" priority="18134" operator="containsText" text="No">
      <formula>NOT(ISERROR(SEARCH(("No"),(Q1024))))</formula>
    </cfRule>
  </conditionalFormatting>
  <conditionalFormatting sqref="Q1024:Q1025">
    <cfRule type="containsText" dxfId="2" priority="18135" operator="containsText" text="Yes">
      <formula>NOT(ISERROR(SEARCH(("Yes"),(Q1024))))</formula>
    </cfRule>
  </conditionalFormatting>
  <conditionalFormatting sqref="Q1024:Q1025">
    <cfRule type="containsText" dxfId="9" priority="18136" operator="containsText" text="No">
      <formula>NOT(ISERROR(SEARCH(("No"),(Q1024))))</formula>
    </cfRule>
  </conditionalFormatting>
  <conditionalFormatting sqref="Q1024:Q1025">
    <cfRule type="containsText" dxfId="2" priority="18137" operator="containsText" text="Yes">
      <formula>NOT(ISERROR(SEARCH(("Yes"),(Q1024))))</formula>
    </cfRule>
  </conditionalFormatting>
  <conditionalFormatting sqref="Q1024:Q1025">
    <cfRule type="containsText" dxfId="9" priority="18138" operator="containsText" text="No">
      <formula>NOT(ISERROR(SEARCH(("No"),(Q1024))))</formula>
    </cfRule>
  </conditionalFormatting>
  <conditionalFormatting sqref="Q1024:Q1025">
    <cfRule type="containsText" dxfId="2" priority="18139" operator="containsText" text="Yes">
      <formula>NOT(ISERROR(SEARCH(("Yes"),(Q1024))))</formula>
    </cfRule>
  </conditionalFormatting>
  <conditionalFormatting sqref="Q1024:Q1025">
    <cfRule type="containsText" dxfId="9" priority="18140" operator="containsText" text="No">
      <formula>NOT(ISERROR(SEARCH(("No"),(Q1024))))</formula>
    </cfRule>
  </conditionalFormatting>
  <conditionalFormatting sqref="Q1024:Q1025">
    <cfRule type="containsText" dxfId="2" priority="18141" operator="containsText" text="Yes">
      <formula>NOT(ISERROR(SEARCH(("Yes"),(Q1024))))</formula>
    </cfRule>
  </conditionalFormatting>
  <conditionalFormatting sqref="Q1024:Q1025">
    <cfRule type="containsText" dxfId="9" priority="18142" operator="containsText" text="No">
      <formula>NOT(ISERROR(SEARCH(("No"),(Q1024))))</formula>
    </cfRule>
  </conditionalFormatting>
  <conditionalFormatting sqref="Q1024:Q1025">
    <cfRule type="containsText" dxfId="2" priority="18143" operator="containsText" text="Yes">
      <formula>NOT(ISERROR(SEARCH(("Yes"),(Q1024))))</formula>
    </cfRule>
  </conditionalFormatting>
  <conditionalFormatting sqref="Q1024:Q1025">
    <cfRule type="containsText" dxfId="9" priority="18144" operator="containsText" text="No">
      <formula>NOT(ISERROR(SEARCH(("No"),(Q1024))))</formula>
    </cfRule>
  </conditionalFormatting>
  <conditionalFormatting sqref="Q1024:Q1025">
    <cfRule type="containsText" dxfId="2" priority="18145" operator="containsText" text="Yes">
      <formula>NOT(ISERROR(SEARCH(("Yes"),(Q1024))))</formula>
    </cfRule>
  </conditionalFormatting>
  <conditionalFormatting sqref="Q1024:Q1025">
    <cfRule type="containsText" dxfId="9" priority="18146" operator="containsText" text="No">
      <formula>NOT(ISERROR(SEARCH(("No"),(Q1024))))</formula>
    </cfRule>
  </conditionalFormatting>
  <conditionalFormatting sqref="Q1024:Q1025">
    <cfRule type="containsText" dxfId="2" priority="18147" operator="containsText" text="Yes">
      <formula>NOT(ISERROR(SEARCH(("Yes"),(Q1024))))</formula>
    </cfRule>
  </conditionalFormatting>
  <conditionalFormatting sqref="Q1024:Q1025">
    <cfRule type="containsText" dxfId="9" priority="18148" operator="containsText" text="No">
      <formula>NOT(ISERROR(SEARCH(("No"),(Q1024))))</formula>
    </cfRule>
  </conditionalFormatting>
  <conditionalFormatting sqref="Q1024:Q1025">
    <cfRule type="containsText" dxfId="2" priority="18149" operator="containsText" text="Yes">
      <formula>NOT(ISERROR(SEARCH(("Yes"),(Q1024))))</formula>
    </cfRule>
  </conditionalFormatting>
  <conditionalFormatting sqref="Q1024:Q1025">
    <cfRule type="containsText" dxfId="9" priority="18150" operator="containsText" text="No">
      <formula>NOT(ISERROR(SEARCH(("No"),(Q1024))))</formula>
    </cfRule>
  </conditionalFormatting>
  <conditionalFormatting sqref="Q1024:Q1025">
    <cfRule type="containsText" dxfId="2" priority="18151" operator="containsText" text="Yes">
      <formula>NOT(ISERROR(SEARCH(("Yes"),(Q1024))))</formula>
    </cfRule>
  </conditionalFormatting>
  <conditionalFormatting sqref="Q1024:Q1025">
    <cfRule type="containsText" dxfId="9" priority="18152" operator="containsText" text="No">
      <formula>NOT(ISERROR(SEARCH(("No"),(Q1024))))</formula>
    </cfRule>
  </conditionalFormatting>
  <conditionalFormatting sqref="Q1024:Q1025">
    <cfRule type="containsText" dxfId="2" priority="18153" operator="containsText" text="Yes">
      <formula>NOT(ISERROR(SEARCH(("Yes"),(Q1024))))</formula>
    </cfRule>
  </conditionalFormatting>
  <conditionalFormatting sqref="Q1024:Q1025">
    <cfRule type="containsText" dxfId="9" priority="18154" operator="containsText" text="No">
      <formula>NOT(ISERROR(SEARCH(("No"),(Q1024))))</formula>
    </cfRule>
  </conditionalFormatting>
  <conditionalFormatting sqref="Q1024:Q1025">
    <cfRule type="containsText" dxfId="2" priority="18155" operator="containsText" text="Yes">
      <formula>NOT(ISERROR(SEARCH(("Yes"),(Q1024))))</formula>
    </cfRule>
  </conditionalFormatting>
  <conditionalFormatting sqref="Q1024:Q1025">
    <cfRule type="containsText" dxfId="9" priority="18156" operator="containsText" text="No">
      <formula>NOT(ISERROR(SEARCH(("No"),(Q1024))))</formula>
    </cfRule>
  </conditionalFormatting>
  <conditionalFormatting sqref="Q1024:Q1025">
    <cfRule type="containsText" dxfId="2" priority="18157" operator="containsText" text="Yes">
      <formula>NOT(ISERROR(SEARCH(("Yes"),(Q1024))))</formula>
    </cfRule>
  </conditionalFormatting>
  <conditionalFormatting sqref="Q1024:Q1025">
    <cfRule type="containsText" dxfId="9" priority="18158" operator="containsText" text="No">
      <formula>NOT(ISERROR(SEARCH(("No"),(Q1024))))</formula>
    </cfRule>
  </conditionalFormatting>
  <conditionalFormatting sqref="Q1024:Q1025">
    <cfRule type="containsText" dxfId="2" priority="18159" operator="containsText" text="Yes">
      <formula>NOT(ISERROR(SEARCH(("Yes"),(Q1024))))</formula>
    </cfRule>
  </conditionalFormatting>
  <conditionalFormatting sqref="Q1024:Q1025">
    <cfRule type="containsText" dxfId="9" priority="18160" operator="containsText" text="No">
      <formula>NOT(ISERROR(SEARCH(("No"),(Q1024))))</formula>
    </cfRule>
  </conditionalFormatting>
  <conditionalFormatting sqref="Q1024:Q1025">
    <cfRule type="containsText" dxfId="2" priority="18161" operator="containsText" text="Yes">
      <formula>NOT(ISERROR(SEARCH(("Yes"),(Q1024))))</formula>
    </cfRule>
  </conditionalFormatting>
  <conditionalFormatting sqref="Q1024:Q1025">
    <cfRule type="containsText" dxfId="9" priority="18162" operator="containsText" text="No">
      <formula>NOT(ISERROR(SEARCH(("No"),(Q1024))))</formula>
    </cfRule>
  </conditionalFormatting>
  <conditionalFormatting sqref="Q1024:Q1025">
    <cfRule type="containsText" dxfId="2" priority="18163" operator="containsText" text="Yes">
      <formula>NOT(ISERROR(SEARCH(("Yes"),(Q1024))))</formula>
    </cfRule>
  </conditionalFormatting>
  <conditionalFormatting sqref="Q1024:Q1025">
    <cfRule type="containsText" dxfId="9" priority="18164" operator="containsText" text="No">
      <formula>NOT(ISERROR(SEARCH(("No"),(Q1024))))</formula>
    </cfRule>
  </conditionalFormatting>
  <conditionalFormatting sqref="Q1024:Q1025">
    <cfRule type="containsText" dxfId="2" priority="18165" operator="containsText" text="Yes">
      <formula>NOT(ISERROR(SEARCH(("Yes"),(Q1024))))</formula>
    </cfRule>
  </conditionalFormatting>
  <conditionalFormatting sqref="Q1024:Q1025">
    <cfRule type="containsText" dxfId="9" priority="18166" operator="containsText" text="No">
      <formula>NOT(ISERROR(SEARCH(("No"),(Q1024))))</formula>
    </cfRule>
  </conditionalFormatting>
  <conditionalFormatting sqref="Q1024:Q1025">
    <cfRule type="containsText" dxfId="2" priority="18167" operator="containsText" text="Yes">
      <formula>NOT(ISERROR(SEARCH(("Yes"),(Q1024))))</formula>
    </cfRule>
  </conditionalFormatting>
  <conditionalFormatting sqref="Q1024:Q1025">
    <cfRule type="containsText" dxfId="9" priority="18168" operator="containsText" text="No">
      <formula>NOT(ISERROR(SEARCH(("No"),(Q1024))))</formula>
    </cfRule>
  </conditionalFormatting>
  <conditionalFormatting sqref="Q1024:Q1025">
    <cfRule type="containsText" dxfId="2" priority="18169" operator="containsText" text="Yes">
      <formula>NOT(ISERROR(SEARCH(("Yes"),(Q1024))))</formula>
    </cfRule>
  </conditionalFormatting>
  <conditionalFormatting sqref="Q1024:Q1025">
    <cfRule type="containsText" dxfId="9" priority="18170" operator="containsText" text="No">
      <formula>NOT(ISERROR(SEARCH(("No"),(Q1024))))</formula>
    </cfRule>
  </conditionalFormatting>
  <conditionalFormatting sqref="Q1024:Q1025">
    <cfRule type="containsText" dxfId="2" priority="18171" operator="containsText" text="Yes">
      <formula>NOT(ISERROR(SEARCH(("Yes"),(Q1024))))</formula>
    </cfRule>
  </conditionalFormatting>
  <conditionalFormatting sqref="Q1024:Q1025">
    <cfRule type="containsText" dxfId="9" priority="18172" operator="containsText" text="No">
      <formula>NOT(ISERROR(SEARCH(("No"),(Q1024))))</formula>
    </cfRule>
  </conditionalFormatting>
  <conditionalFormatting sqref="Q1024:Q1025">
    <cfRule type="containsText" dxfId="2" priority="18173" operator="containsText" text="Yes">
      <formula>NOT(ISERROR(SEARCH(("Yes"),(Q1024))))</formula>
    </cfRule>
  </conditionalFormatting>
  <conditionalFormatting sqref="Q1024:Q1025">
    <cfRule type="containsText" dxfId="9" priority="18174" operator="containsText" text="No">
      <formula>NOT(ISERROR(SEARCH(("No"),(Q1024))))</formula>
    </cfRule>
  </conditionalFormatting>
  <conditionalFormatting sqref="Q1024:Q1025">
    <cfRule type="containsText" dxfId="2" priority="18175" operator="containsText" text="Yes">
      <formula>NOT(ISERROR(SEARCH(("Yes"),(Q1024))))</formula>
    </cfRule>
  </conditionalFormatting>
  <conditionalFormatting sqref="Q1024:Q1025">
    <cfRule type="containsText" dxfId="9" priority="18176" operator="containsText" text="No">
      <formula>NOT(ISERROR(SEARCH(("No"),(Q1024))))</formula>
    </cfRule>
  </conditionalFormatting>
  <conditionalFormatting sqref="Q1024:Q1025">
    <cfRule type="containsText" dxfId="2" priority="18177" operator="containsText" text="Yes">
      <formula>NOT(ISERROR(SEARCH(("Yes"),(Q1024))))</formula>
    </cfRule>
  </conditionalFormatting>
  <conditionalFormatting sqref="Q1024:Q1025">
    <cfRule type="containsText" dxfId="9" priority="18178" operator="containsText" text="No">
      <formula>NOT(ISERROR(SEARCH(("No"),(Q1024))))</formula>
    </cfRule>
  </conditionalFormatting>
  <conditionalFormatting sqref="Q1024:Q1025">
    <cfRule type="containsText" dxfId="2" priority="18179" operator="containsText" text="Yes">
      <formula>NOT(ISERROR(SEARCH(("Yes"),(Q1024))))</formula>
    </cfRule>
  </conditionalFormatting>
  <conditionalFormatting sqref="Q1024:Q1025">
    <cfRule type="containsText" dxfId="9" priority="18180" operator="containsText" text="No">
      <formula>NOT(ISERROR(SEARCH(("No"),(Q1024))))</formula>
    </cfRule>
  </conditionalFormatting>
  <conditionalFormatting sqref="Q1024:Q1025">
    <cfRule type="containsText" dxfId="2" priority="18181" operator="containsText" text="Yes">
      <formula>NOT(ISERROR(SEARCH(("Yes"),(Q1024))))</formula>
    </cfRule>
  </conditionalFormatting>
  <conditionalFormatting sqref="Q1024:Q1025">
    <cfRule type="containsText" dxfId="9" priority="18182" operator="containsText" text="No">
      <formula>NOT(ISERROR(SEARCH(("No"),(Q1024))))</formula>
    </cfRule>
  </conditionalFormatting>
  <conditionalFormatting sqref="Q1024:Q1025">
    <cfRule type="containsText" dxfId="2" priority="18183" operator="containsText" text="Yes">
      <formula>NOT(ISERROR(SEARCH(("Yes"),(Q1024))))</formula>
    </cfRule>
  </conditionalFormatting>
  <conditionalFormatting sqref="Q1024:Q1025">
    <cfRule type="containsText" dxfId="9" priority="18184" operator="containsText" text="No">
      <formula>NOT(ISERROR(SEARCH(("No"),(Q1024))))</formula>
    </cfRule>
  </conditionalFormatting>
  <conditionalFormatting sqref="Q1024:Q1025">
    <cfRule type="containsText" dxfId="2" priority="18185" operator="containsText" text="Yes">
      <formula>NOT(ISERROR(SEARCH(("Yes"),(Q1024))))</formula>
    </cfRule>
  </conditionalFormatting>
  <conditionalFormatting sqref="Q1024:Q1025">
    <cfRule type="containsText" dxfId="2" priority="18186" operator="containsText" text="Yes">
      <formula>NOT(ISERROR(SEARCH(("Yes"),(Q1024))))</formula>
    </cfRule>
  </conditionalFormatting>
  <conditionalFormatting sqref="Q1024:Q1025">
    <cfRule type="containsText" dxfId="9" priority="18187" operator="containsText" text="No">
      <formula>NOT(ISERROR(SEARCH(("No"),(Q1024))))</formula>
    </cfRule>
  </conditionalFormatting>
  <conditionalFormatting sqref="Q1024:Q1025">
    <cfRule type="containsText" dxfId="2" priority="18188" operator="containsText" text="Yes">
      <formula>NOT(ISERROR(SEARCH(("Yes"),(Q1024))))</formula>
    </cfRule>
  </conditionalFormatting>
  <conditionalFormatting sqref="Q1029:Q1050">
    <cfRule type="containsText" dxfId="2" priority="18189" operator="containsText" text="Yes">
      <formula>NOT(ISERROR(SEARCH(("Yes"),(Q1029))))</formula>
    </cfRule>
  </conditionalFormatting>
  <conditionalFormatting sqref="Q1029:Q1050">
    <cfRule type="containsText" dxfId="9" priority="18190" operator="containsText" text="No">
      <formula>NOT(ISERROR(SEARCH(("No"),(Q1029))))</formula>
    </cfRule>
  </conditionalFormatting>
  <conditionalFormatting sqref="Q1029:Q1050">
    <cfRule type="containsText" dxfId="2" priority="18191" operator="containsText" text="Yes">
      <formula>NOT(ISERROR(SEARCH(("Yes"),(Q1029))))</formula>
    </cfRule>
  </conditionalFormatting>
  <conditionalFormatting sqref="Q1029:Q1050">
    <cfRule type="containsText" dxfId="9" priority="18192" operator="containsText" text="No">
      <formula>NOT(ISERROR(SEARCH(("No"),(Q1029))))</formula>
    </cfRule>
  </conditionalFormatting>
  <conditionalFormatting sqref="Q1029:Q1050">
    <cfRule type="containsText" dxfId="2" priority="18193" operator="containsText" text="Yes">
      <formula>NOT(ISERROR(SEARCH(("Yes"),(Q1029))))</formula>
    </cfRule>
  </conditionalFormatting>
  <conditionalFormatting sqref="Q1029:Q1050">
    <cfRule type="containsText" dxfId="9" priority="18194" operator="containsText" text="No">
      <formula>NOT(ISERROR(SEARCH(("No"),(Q1029))))</formula>
    </cfRule>
  </conditionalFormatting>
  <conditionalFormatting sqref="Q1029:Q1050">
    <cfRule type="containsText" dxfId="2" priority="18195" operator="containsText" text="Yes">
      <formula>NOT(ISERROR(SEARCH(("Yes"),(Q1029))))</formula>
    </cfRule>
  </conditionalFormatting>
  <conditionalFormatting sqref="Q1029:Q1050">
    <cfRule type="containsText" dxfId="9" priority="18196" operator="containsText" text="No">
      <formula>NOT(ISERROR(SEARCH(("No"),(Q1029))))</formula>
    </cfRule>
  </conditionalFormatting>
  <conditionalFormatting sqref="Q1029:Q1050">
    <cfRule type="containsText" dxfId="2" priority="18197" operator="containsText" text="Yes">
      <formula>NOT(ISERROR(SEARCH(("Yes"),(Q1029))))</formula>
    </cfRule>
  </conditionalFormatting>
  <conditionalFormatting sqref="Q1029:Q1050">
    <cfRule type="containsText" dxfId="9" priority="18198" operator="containsText" text="No">
      <formula>NOT(ISERROR(SEARCH(("No"),(Q1029))))</formula>
    </cfRule>
  </conditionalFormatting>
  <conditionalFormatting sqref="Q1029:Q1050">
    <cfRule type="containsText" dxfId="2" priority="18199" operator="containsText" text="Yes">
      <formula>NOT(ISERROR(SEARCH(("Yes"),(Q1029))))</formula>
    </cfRule>
  </conditionalFormatting>
  <conditionalFormatting sqref="Q1029:Q1050">
    <cfRule type="containsText" dxfId="9" priority="18200" operator="containsText" text="No">
      <formula>NOT(ISERROR(SEARCH(("No"),(Q1029))))</formula>
    </cfRule>
  </conditionalFormatting>
  <conditionalFormatting sqref="Q1029:Q1050">
    <cfRule type="containsText" dxfId="2" priority="18201" operator="containsText" text="Yes">
      <formula>NOT(ISERROR(SEARCH(("Yes"),(Q1029))))</formula>
    </cfRule>
  </conditionalFormatting>
  <conditionalFormatting sqref="Q1029:Q1050">
    <cfRule type="containsText" dxfId="9" priority="18202" operator="containsText" text="No">
      <formula>NOT(ISERROR(SEARCH(("No"),(Q1029))))</formula>
    </cfRule>
  </conditionalFormatting>
  <conditionalFormatting sqref="Q1029:Q1050">
    <cfRule type="containsText" dxfId="2" priority="18203" operator="containsText" text="Yes">
      <formula>NOT(ISERROR(SEARCH(("Yes"),(Q1029))))</formula>
    </cfRule>
  </conditionalFormatting>
  <conditionalFormatting sqref="Q1029:Q1050">
    <cfRule type="containsText" dxfId="9" priority="18204" operator="containsText" text="No">
      <formula>NOT(ISERROR(SEARCH(("No"),(Q1029))))</formula>
    </cfRule>
  </conditionalFormatting>
  <conditionalFormatting sqref="Q1029:Q1050">
    <cfRule type="containsText" dxfId="2" priority="18205" operator="containsText" text="Yes">
      <formula>NOT(ISERROR(SEARCH(("Yes"),(Q1029))))</formula>
    </cfRule>
  </conditionalFormatting>
  <conditionalFormatting sqref="Q1029:Q1050">
    <cfRule type="containsText" dxfId="9" priority="18206" operator="containsText" text="No">
      <formula>NOT(ISERROR(SEARCH(("No"),(Q1029))))</formula>
    </cfRule>
  </conditionalFormatting>
  <conditionalFormatting sqref="Q1029:Q1050">
    <cfRule type="containsText" dxfId="2" priority="18207" operator="containsText" text="Yes">
      <formula>NOT(ISERROR(SEARCH(("Yes"),(Q1029))))</formula>
    </cfRule>
  </conditionalFormatting>
  <conditionalFormatting sqref="Q1029:Q1050">
    <cfRule type="containsText" dxfId="9" priority="18208" operator="containsText" text="No">
      <formula>NOT(ISERROR(SEARCH(("No"),(Q1029))))</formula>
    </cfRule>
  </conditionalFormatting>
  <conditionalFormatting sqref="Q1029:Q1050">
    <cfRule type="containsText" dxfId="2" priority="18209" operator="containsText" text="Yes">
      <formula>NOT(ISERROR(SEARCH(("Yes"),(Q1029))))</formula>
    </cfRule>
  </conditionalFormatting>
  <conditionalFormatting sqref="Q1029:Q1050">
    <cfRule type="containsText" dxfId="9" priority="18210" operator="containsText" text="No">
      <formula>NOT(ISERROR(SEARCH(("No"),(Q1029))))</formula>
    </cfRule>
  </conditionalFormatting>
  <conditionalFormatting sqref="Q1029:Q1050">
    <cfRule type="containsText" dxfId="2" priority="18211" operator="containsText" text="Yes">
      <formula>NOT(ISERROR(SEARCH(("Yes"),(Q1029))))</formula>
    </cfRule>
  </conditionalFormatting>
  <conditionalFormatting sqref="Q1029:Q1050">
    <cfRule type="containsText" dxfId="9" priority="18212" operator="containsText" text="No">
      <formula>NOT(ISERROR(SEARCH(("No"),(Q1029))))</formula>
    </cfRule>
  </conditionalFormatting>
  <conditionalFormatting sqref="Q1029:Q1050">
    <cfRule type="containsText" dxfId="2" priority="18213" operator="containsText" text="Yes">
      <formula>NOT(ISERROR(SEARCH(("Yes"),(Q1029))))</formula>
    </cfRule>
  </conditionalFormatting>
  <conditionalFormatting sqref="Q1029:Q1050">
    <cfRule type="containsText" dxfId="9" priority="18214" operator="containsText" text="No">
      <formula>NOT(ISERROR(SEARCH(("No"),(Q1029))))</formula>
    </cfRule>
  </conditionalFormatting>
  <conditionalFormatting sqref="Q1029:Q1050">
    <cfRule type="containsText" dxfId="2" priority="18215" operator="containsText" text="Yes">
      <formula>NOT(ISERROR(SEARCH(("Yes"),(Q1029))))</formula>
    </cfRule>
  </conditionalFormatting>
  <conditionalFormatting sqref="Q1029:Q1050">
    <cfRule type="containsText" dxfId="9" priority="18216" operator="containsText" text="No">
      <formula>NOT(ISERROR(SEARCH(("No"),(Q1029))))</formula>
    </cfRule>
  </conditionalFormatting>
  <conditionalFormatting sqref="Q1029:Q1050">
    <cfRule type="containsText" dxfId="2" priority="18217" operator="containsText" text="Yes">
      <formula>NOT(ISERROR(SEARCH(("Yes"),(Q1029))))</formula>
    </cfRule>
  </conditionalFormatting>
  <conditionalFormatting sqref="Q1029:Q1050">
    <cfRule type="containsText" dxfId="9" priority="18218" operator="containsText" text="No">
      <formula>NOT(ISERROR(SEARCH(("No"),(Q1029))))</formula>
    </cfRule>
  </conditionalFormatting>
  <conditionalFormatting sqref="Q1029:Q1050">
    <cfRule type="containsText" dxfId="2" priority="18219" operator="containsText" text="Yes">
      <formula>NOT(ISERROR(SEARCH(("Yes"),(Q1029))))</formula>
    </cfRule>
  </conditionalFormatting>
  <conditionalFormatting sqref="Q1029:Q1050">
    <cfRule type="containsText" dxfId="9" priority="18220" operator="containsText" text="No">
      <formula>NOT(ISERROR(SEARCH(("No"),(Q1029))))</formula>
    </cfRule>
  </conditionalFormatting>
  <conditionalFormatting sqref="Q1029:Q1050">
    <cfRule type="containsText" dxfId="2" priority="18221" operator="containsText" text="Yes">
      <formula>NOT(ISERROR(SEARCH(("Yes"),(Q1029))))</formula>
    </cfRule>
  </conditionalFormatting>
  <conditionalFormatting sqref="Q1029:Q1050">
    <cfRule type="containsText" dxfId="9" priority="18222" operator="containsText" text="No">
      <formula>NOT(ISERROR(SEARCH(("No"),(Q1029))))</formula>
    </cfRule>
  </conditionalFormatting>
  <conditionalFormatting sqref="Q1029:Q1050">
    <cfRule type="containsText" dxfId="2" priority="18223" operator="containsText" text="Yes">
      <formula>NOT(ISERROR(SEARCH(("Yes"),(Q1029))))</formula>
    </cfRule>
  </conditionalFormatting>
  <conditionalFormatting sqref="Q1029:Q1050">
    <cfRule type="containsText" dxfId="9" priority="18224" operator="containsText" text="No">
      <formula>NOT(ISERROR(SEARCH(("No"),(Q1029))))</formula>
    </cfRule>
  </conditionalFormatting>
  <conditionalFormatting sqref="Q1029:Q1050">
    <cfRule type="containsText" dxfId="2" priority="18225" operator="containsText" text="Yes">
      <formula>NOT(ISERROR(SEARCH(("Yes"),(Q1029))))</formula>
    </cfRule>
  </conditionalFormatting>
  <conditionalFormatting sqref="Q1029:Q1050">
    <cfRule type="containsText" dxfId="9" priority="18226" operator="containsText" text="No">
      <formula>NOT(ISERROR(SEARCH(("No"),(Q1029))))</formula>
    </cfRule>
  </conditionalFormatting>
  <conditionalFormatting sqref="Q1029:Q1050">
    <cfRule type="containsText" dxfId="2" priority="18227" operator="containsText" text="Yes">
      <formula>NOT(ISERROR(SEARCH(("Yes"),(Q1029))))</formula>
    </cfRule>
  </conditionalFormatting>
  <conditionalFormatting sqref="Q1029:Q1050">
    <cfRule type="containsText" dxfId="9" priority="18228" operator="containsText" text="No">
      <formula>NOT(ISERROR(SEARCH(("No"),(Q1029))))</formula>
    </cfRule>
  </conditionalFormatting>
  <conditionalFormatting sqref="Q1029:Q1050">
    <cfRule type="containsText" dxfId="2" priority="18229" operator="containsText" text="Yes">
      <formula>NOT(ISERROR(SEARCH(("Yes"),(Q1029))))</formula>
    </cfRule>
  </conditionalFormatting>
  <conditionalFormatting sqref="Q1029:Q1050">
    <cfRule type="containsText" dxfId="9" priority="18230" operator="containsText" text="No">
      <formula>NOT(ISERROR(SEARCH(("No"),(Q1029))))</formula>
    </cfRule>
  </conditionalFormatting>
  <conditionalFormatting sqref="Q1029:Q1050">
    <cfRule type="containsText" dxfId="2" priority="18231" operator="containsText" text="Yes">
      <formula>NOT(ISERROR(SEARCH(("Yes"),(Q1029))))</formula>
    </cfRule>
  </conditionalFormatting>
  <conditionalFormatting sqref="Q1029:Q1050">
    <cfRule type="containsText" dxfId="9" priority="18232" operator="containsText" text="No">
      <formula>NOT(ISERROR(SEARCH(("No"),(Q1029))))</formula>
    </cfRule>
  </conditionalFormatting>
  <conditionalFormatting sqref="Q1029:Q1050">
    <cfRule type="containsText" dxfId="2" priority="18233" operator="containsText" text="Yes">
      <formula>NOT(ISERROR(SEARCH(("Yes"),(Q1029))))</formula>
    </cfRule>
  </conditionalFormatting>
  <conditionalFormatting sqref="Q1029:Q1050">
    <cfRule type="containsText" dxfId="9" priority="18234" operator="containsText" text="No">
      <formula>NOT(ISERROR(SEARCH(("No"),(Q1029))))</formula>
    </cfRule>
  </conditionalFormatting>
  <conditionalFormatting sqref="Q1029:Q1050">
    <cfRule type="containsText" dxfId="2" priority="18235" operator="containsText" text="Yes">
      <formula>NOT(ISERROR(SEARCH(("Yes"),(Q1029))))</formula>
    </cfRule>
  </conditionalFormatting>
  <conditionalFormatting sqref="Q1029:Q1050">
    <cfRule type="containsText" dxfId="9" priority="18236" operator="containsText" text="No">
      <formula>NOT(ISERROR(SEARCH(("No"),(Q1029))))</formula>
    </cfRule>
  </conditionalFormatting>
  <conditionalFormatting sqref="Q1029:Q1050">
    <cfRule type="containsText" dxfId="2" priority="18237" operator="containsText" text="Yes">
      <formula>NOT(ISERROR(SEARCH(("Yes"),(Q1029))))</formula>
    </cfRule>
  </conditionalFormatting>
  <conditionalFormatting sqref="Q1029:Q1050">
    <cfRule type="containsText" dxfId="9" priority="18238" operator="containsText" text="No">
      <formula>NOT(ISERROR(SEARCH(("No"),(Q1029))))</formula>
    </cfRule>
  </conditionalFormatting>
  <conditionalFormatting sqref="Q1029:Q1050">
    <cfRule type="containsText" dxfId="2" priority="18239" operator="containsText" text="Yes">
      <formula>NOT(ISERROR(SEARCH(("Yes"),(Q1029))))</formula>
    </cfRule>
  </conditionalFormatting>
  <conditionalFormatting sqref="Q1029:Q1050">
    <cfRule type="containsText" dxfId="9" priority="18240" operator="containsText" text="No">
      <formula>NOT(ISERROR(SEARCH(("No"),(Q1029))))</formula>
    </cfRule>
  </conditionalFormatting>
  <conditionalFormatting sqref="Q1029:Q1050">
    <cfRule type="containsText" dxfId="2" priority="18241" operator="containsText" text="Yes">
      <formula>NOT(ISERROR(SEARCH(("Yes"),(Q1029))))</formula>
    </cfRule>
  </conditionalFormatting>
  <conditionalFormatting sqref="Q1029:Q1050">
    <cfRule type="containsText" dxfId="9" priority="18242" operator="containsText" text="No">
      <formula>NOT(ISERROR(SEARCH(("No"),(Q1029))))</formula>
    </cfRule>
  </conditionalFormatting>
  <conditionalFormatting sqref="Q1029:Q1050">
    <cfRule type="containsText" dxfId="2" priority="18243" operator="containsText" text="Yes">
      <formula>NOT(ISERROR(SEARCH(("Yes"),(Q1029))))</formula>
    </cfRule>
  </conditionalFormatting>
  <conditionalFormatting sqref="Q1029:Q1050">
    <cfRule type="containsText" dxfId="9" priority="18244" operator="containsText" text="No">
      <formula>NOT(ISERROR(SEARCH(("No"),(Q1029))))</formula>
    </cfRule>
  </conditionalFormatting>
  <conditionalFormatting sqref="Q1029:Q1050">
    <cfRule type="containsText" dxfId="2" priority="18245" operator="containsText" text="Yes">
      <formula>NOT(ISERROR(SEARCH(("Yes"),(Q1029))))</formula>
    </cfRule>
  </conditionalFormatting>
  <conditionalFormatting sqref="Q1029:Q1050">
    <cfRule type="containsText" dxfId="9" priority="18246" operator="containsText" text="No">
      <formula>NOT(ISERROR(SEARCH(("No"),(Q1029))))</formula>
    </cfRule>
  </conditionalFormatting>
  <conditionalFormatting sqref="Q1029:Q1050">
    <cfRule type="containsText" dxfId="2" priority="18247" operator="containsText" text="Yes">
      <formula>NOT(ISERROR(SEARCH(("Yes"),(Q1029))))</formula>
    </cfRule>
  </conditionalFormatting>
  <conditionalFormatting sqref="Q1029:Q1050">
    <cfRule type="containsText" dxfId="9" priority="18248" operator="containsText" text="No">
      <formula>NOT(ISERROR(SEARCH(("No"),(Q1029))))</formula>
    </cfRule>
  </conditionalFormatting>
  <conditionalFormatting sqref="Q1029:Q1050">
    <cfRule type="containsText" dxfId="2" priority="18249" operator="containsText" text="Yes">
      <formula>NOT(ISERROR(SEARCH(("Yes"),(Q1029))))</formula>
    </cfRule>
  </conditionalFormatting>
  <conditionalFormatting sqref="Q1029:Q1050">
    <cfRule type="containsText" dxfId="9" priority="18250" operator="containsText" text="No">
      <formula>NOT(ISERROR(SEARCH(("No"),(Q1029))))</formula>
    </cfRule>
  </conditionalFormatting>
  <conditionalFormatting sqref="Q1029:Q1050">
    <cfRule type="containsText" dxfId="2" priority="18251" operator="containsText" text="Yes">
      <formula>NOT(ISERROR(SEARCH(("Yes"),(Q1029))))</formula>
    </cfRule>
  </conditionalFormatting>
  <conditionalFormatting sqref="Q1029:Q1050">
    <cfRule type="containsText" dxfId="9" priority="18252" operator="containsText" text="No">
      <formula>NOT(ISERROR(SEARCH(("No"),(Q1029))))</formula>
    </cfRule>
  </conditionalFormatting>
  <conditionalFormatting sqref="Q1029:Q1050">
    <cfRule type="containsText" dxfId="2" priority="18253" operator="containsText" text="Yes">
      <formula>NOT(ISERROR(SEARCH(("Yes"),(Q1029))))</formula>
    </cfRule>
  </conditionalFormatting>
  <conditionalFormatting sqref="Q1029:Q1050">
    <cfRule type="containsText" dxfId="9" priority="18254" operator="containsText" text="No">
      <formula>NOT(ISERROR(SEARCH(("No"),(Q1029))))</formula>
    </cfRule>
  </conditionalFormatting>
  <conditionalFormatting sqref="Q1029:Q1050">
    <cfRule type="containsText" dxfId="2" priority="18255" operator="containsText" text="Yes">
      <formula>NOT(ISERROR(SEARCH(("Yes"),(Q1029))))</formula>
    </cfRule>
  </conditionalFormatting>
  <conditionalFormatting sqref="Q1029:Q1050">
    <cfRule type="containsText" dxfId="9" priority="18256" operator="containsText" text="No">
      <formula>NOT(ISERROR(SEARCH(("No"),(Q1029))))</formula>
    </cfRule>
  </conditionalFormatting>
  <conditionalFormatting sqref="Q1029:Q1050">
    <cfRule type="containsText" dxfId="2" priority="18257" operator="containsText" text="Yes">
      <formula>NOT(ISERROR(SEARCH(("Yes"),(Q1029))))</formula>
    </cfRule>
  </conditionalFormatting>
  <conditionalFormatting sqref="Q1029:Q1050">
    <cfRule type="containsText" dxfId="9" priority="18258" operator="containsText" text="No">
      <formula>NOT(ISERROR(SEARCH(("No"),(Q1029))))</formula>
    </cfRule>
  </conditionalFormatting>
  <conditionalFormatting sqref="Q1029:Q1050">
    <cfRule type="containsText" dxfId="2" priority="18259" operator="containsText" text="Yes">
      <formula>NOT(ISERROR(SEARCH(("Yes"),(Q1029))))</formula>
    </cfRule>
  </conditionalFormatting>
  <conditionalFormatting sqref="Q1029:Q1050">
    <cfRule type="containsText" dxfId="9" priority="18260" operator="containsText" text="No">
      <formula>NOT(ISERROR(SEARCH(("No"),(Q1029))))</formula>
    </cfRule>
  </conditionalFormatting>
  <conditionalFormatting sqref="Q1029:Q1050">
    <cfRule type="containsText" dxfId="2" priority="18261" operator="containsText" text="Yes">
      <formula>NOT(ISERROR(SEARCH(("Yes"),(Q1029))))</formula>
    </cfRule>
  </conditionalFormatting>
  <conditionalFormatting sqref="Q1029:Q1050">
    <cfRule type="containsText" dxfId="9" priority="18262" operator="containsText" text="No">
      <formula>NOT(ISERROR(SEARCH(("No"),(Q1029))))</formula>
    </cfRule>
  </conditionalFormatting>
  <conditionalFormatting sqref="Q1029:Q1050">
    <cfRule type="containsText" dxfId="2" priority="18263" operator="containsText" text="Yes">
      <formula>NOT(ISERROR(SEARCH(("Yes"),(Q1029))))</formula>
    </cfRule>
  </conditionalFormatting>
  <conditionalFormatting sqref="Q1029:Q1050">
    <cfRule type="containsText" dxfId="9" priority="18264" operator="containsText" text="No">
      <formula>NOT(ISERROR(SEARCH(("No"),(Q1029))))</formula>
    </cfRule>
  </conditionalFormatting>
  <conditionalFormatting sqref="Q1029:Q1050">
    <cfRule type="containsText" dxfId="2" priority="18265" operator="containsText" text="Yes">
      <formula>NOT(ISERROR(SEARCH(("Yes"),(Q1029))))</formula>
    </cfRule>
  </conditionalFormatting>
  <conditionalFormatting sqref="Q1029:Q1050">
    <cfRule type="containsText" dxfId="9" priority="18266" operator="containsText" text="No">
      <formula>NOT(ISERROR(SEARCH(("No"),(Q1029))))</formula>
    </cfRule>
  </conditionalFormatting>
  <conditionalFormatting sqref="Q1029:Q1050">
    <cfRule type="containsText" dxfId="2" priority="18267" operator="containsText" text="Yes">
      <formula>NOT(ISERROR(SEARCH(("Yes"),(Q1029))))</formula>
    </cfRule>
  </conditionalFormatting>
  <conditionalFormatting sqref="Q1029:Q1050">
    <cfRule type="containsText" dxfId="9" priority="18268" operator="containsText" text="No">
      <formula>NOT(ISERROR(SEARCH(("No"),(Q1029))))</formula>
    </cfRule>
  </conditionalFormatting>
  <conditionalFormatting sqref="Q1029:Q1050">
    <cfRule type="containsText" dxfId="2" priority="18269" operator="containsText" text="Yes">
      <formula>NOT(ISERROR(SEARCH(("Yes"),(Q1029))))</formula>
    </cfRule>
  </conditionalFormatting>
  <conditionalFormatting sqref="Q1029:Q1050">
    <cfRule type="containsText" dxfId="9" priority="18270" operator="containsText" text="No">
      <formula>NOT(ISERROR(SEARCH(("No"),(Q1029))))</formula>
    </cfRule>
  </conditionalFormatting>
  <conditionalFormatting sqref="Q1029:Q1050">
    <cfRule type="containsText" dxfId="2" priority="18271" operator="containsText" text="Yes">
      <formula>NOT(ISERROR(SEARCH(("Yes"),(Q1029))))</formula>
    </cfRule>
  </conditionalFormatting>
  <conditionalFormatting sqref="Q1029:Q1050">
    <cfRule type="containsText" dxfId="9" priority="18272" operator="containsText" text="No">
      <formula>NOT(ISERROR(SEARCH(("No"),(Q1029))))</formula>
    </cfRule>
  </conditionalFormatting>
  <conditionalFormatting sqref="Q1029:Q1050">
    <cfRule type="containsText" dxfId="2" priority="18273" operator="containsText" text="Yes">
      <formula>NOT(ISERROR(SEARCH(("Yes"),(Q1029))))</formula>
    </cfRule>
  </conditionalFormatting>
  <conditionalFormatting sqref="Q1029:Q1050">
    <cfRule type="containsText" dxfId="9" priority="18274" operator="containsText" text="No">
      <formula>NOT(ISERROR(SEARCH(("No"),(Q1029))))</formula>
    </cfRule>
  </conditionalFormatting>
  <conditionalFormatting sqref="Q1029:Q1050">
    <cfRule type="containsText" dxfId="2" priority="18275" operator="containsText" text="Yes">
      <formula>NOT(ISERROR(SEARCH(("Yes"),(Q1029))))</formula>
    </cfRule>
  </conditionalFormatting>
  <conditionalFormatting sqref="Q1029:Q1050">
    <cfRule type="containsText" dxfId="9" priority="18276" operator="containsText" text="No">
      <formula>NOT(ISERROR(SEARCH(("No"),(Q1029))))</formula>
    </cfRule>
  </conditionalFormatting>
  <conditionalFormatting sqref="Q1029:Q1050">
    <cfRule type="containsText" dxfId="2" priority="18277" operator="containsText" text="Yes">
      <formula>NOT(ISERROR(SEARCH(("Yes"),(Q1029))))</formula>
    </cfRule>
  </conditionalFormatting>
  <conditionalFormatting sqref="Q1029:Q1050">
    <cfRule type="containsText" dxfId="2" priority="18278" operator="containsText" text="Yes">
      <formula>NOT(ISERROR(SEARCH(("Yes"),(Q1029))))</formula>
    </cfRule>
  </conditionalFormatting>
  <conditionalFormatting sqref="Q1029:Q1050">
    <cfRule type="containsText" dxfId="9" priority="18279" operator="containsText" text="No">
      <formula>NOT(ISERROR(SEARCH(("No"),(Q1029))))</formula>
    </cfRule>
  </conditionalFormatting>
  <conditionalFormatting sqref="Q1029:Q1050">
    <cfRule type="containsText" dxfId="2" priority="18280" operator="containsText" text="Yes">
      <formula>NOT(ISERROR(SEARCH(("Yes"),(Q1029))))</formula>
    </cfRule>
  </conditionalFormatting>
  <conditionalFormatting sqref="Q1052:Q1058">
    <cfRule type="containsText" dxfId="2" priority="18281" operator="containsText" text="Yes">
      <formula>NOT(ISERROR(SEARCH(("Yes"),(Q1052))))</formula>
    </cfRule>
  </conditionalFormatting>
  <conditionalFormatting sqref="Q1052:Q1058">
    <cfRule type="containsText" dxfId="9" priority="18282" operator="containsText" text="No">
      <formula>NOT(ISERROR(SEARCH(("No"),(Q1052))))</formula>
    </cfRule>
  </conditionalFormatting>
  <conditionalFormatting sqref="Q1052:Q1058">
    <cfRule type="containsText" dxfId="2" priority="18283" operator="containsText" text="Yes">
      <formula>NOT(ISERROR(SEARCH(("Yes"),(Q1052))))</formula>
    </cfRule>
  </conditionalFormatting>
  <conditionalFormatting sqref="Q1052:Q1058">
    <cfRule type="containsText" dxfId="9" priority="18284" operator="containsText" text="No">
      <formula>NOT(ISERROR(SEARCH(("No"),(Q1052))))</formula>
    </cfRule>
  </conditionalFormatting>
  <conditionalFormatting sqref="Q1052:Q1058">
    <cfRule type="containsText" dxfId="2" priority="18285" operator="containsText" text="Yes">
      <formula>NOT(ISERROR(SEARCH(("Yes"),(Q1052))))</formula>
    </cfRule>
  </conditionalFormatting>
  <conditionalFormatting sqref="Q1052:Q1058">
    <cfRule type="containsText" dxfId="9" priority="18286" operator="containsText" text="No">
      <formula>NOT(ISERROR(SEARCH(("No"),(Q1052))))</formula>
    </cfRule>
  </conditionalFormatting>
  <conditionalFormatting sqref="Q1052:Q1058">
    <cfRule type="containsText" dxfId="2" priority="18287" operator="containsText" text="Yes">
      <formula>NOT(ISERROR(SEARCH(("Yes"),(Q1052))))</formula>
    </cfRule>
  </conditionalFormatting>
  <conditionalFormatting sqref="Q1052:Q1058">
    <cfRule type="containsText" dxfId="9" priority="18288" operator="containsText" text="No">
      <formula>NOT(ISERROR(SEARCH(("No"),(Q1052))))</formula>
    </cfRule>
  </conditionalFormatting>
  <conditionalFormatting sqref="Q1052:Q1058">
    <cfRule type="containsText" dxfId="2" priority="18289" operator="containsText" text="Yes">
      <formula>NOT(ISERROR(SEARCH(("Yes"),(Q1052))))</formula>
    </cfRule>
  </conditionalFormatting>
  <conditionalFormatting sqref="Q1052:Q1058">
    <cfRule type="containsText" dxfId="9" priority="18290" operator="containsText" text="No">
      <formula>NOT(ISERROR(SEARCH(("No"),(Q1052))))</formula>
    </cfRule>
  </conditionalFormatting>
  <conditionalFormatting sqref="Q1052:Q1058">
    <cfRule type="containsText" dxfId="2" priority="18291" operator="containsText" text="Yes">
      <formula>NOT(ISERROR(SEARCH(("Yes"),(Q1052))))</formula>
    </cfRule>
  </conditionalFormatting>
  <conditionalFormatting sqref="Q1052:Q1058">
    <cfRule type="containsText" dxfId="9" priority="18292" operator="containsText" text="No">
      <formula>NOT(ISERROR(SEARCH(("No"),(Q1052))))</formula>
    </cfRule>
  </conditionalFormatting>
  <conditionalFormatting sqref="Q1052:Q1058">
    <cfRule type="containsText" dxfId="2" priority="18293" operator="containsText" text="Yes">
      <formula>NOT(ISERROR(SEARCH(("Yes"),(Q1052))))</formula>
    </cfRule>
  </conditionalFormatting>
  <conditionalFormatting sqref="Q1052:Q1058">
    <cfRule type="containsText" dxfId="9" priority="18294" operator="containsText" text="No">
      <formula>NOT(ISERROR(SEARCH(("No"),(Q1052))))</formula>
    </cfRule>
  </conditionalFormatting>
  <conditionalFormatting sqref="Q1052:Q1058">
    <cfRule type="containsText" dxfId="2" priority="18295" operator="containsText" text="Yes">
      <formula>NOT(ISERROR(SEARCH(("Yes"),(Q1052))))</formula>
    </cfRule>
  </conditionalFormatting>
  <conditionalFormatting sqref="Q1052:Q1058">
    <cfRule type="containsText" dxfId="9" priority="18296" operator="containsText" text="No">
      <formula>NOT(ISERROR(SEARCH(("No"),(Q1052))))</formula>
    </cfRule>
  </conditionalFormatting>
  <conditionalFormatting sqref="Q1052:Q1058">
    <cfRule type="containsText" dxfId="2" priority="18297" operator="containsText" text="Yes">
      <formula>NOT(ISERROR(SEARCH(("Yes"),(Q1052))))</formula>
    </cfRule>
  </conditionalFormatting>
  <conditionalFormatting sqref="Q1052:Q1058">
    <cfRule type="containsText" dxfId="9" priority="18298" operator="containsText" text="No">
      <formula>NOT(ISERROR(SEARCH(("No"),(Q1052))))</formula>
    </cfRule>
  </conditionalFormatting>
  <conditionalFormatting sqref="Q1052:Q1058">
    <cfRule type="containsText" dxfId="2" priority="18299" operator="containsText" text="Yes">
      <formula>NOT(ISERROR(SEARCH(("Yes"),(Q1052))))</formula>
    </cfRule>
  </conditionalFormatting>
  <conditionalFormatting sqref="Q1052:Q1058">
    <cfRule type="containsText" dxfId="9" priority="18300" operator="containsText" text="No">
      <formula>NOT(ISERROR(SEARCH(("No"),(Q1052))))</formula>
    </cfRule>
  </conditionalFormatting>
  <conditionalFormatting sqref="Q1052:Q1058">
    <cfRule type="containsText" dxfId="2" priority="18301" operator="containsText" text="Yes">
      <formula>NOT(ISERROR(SEARCH(("Yes"),(Q1052))))</formula>
    </cfRule>
  </conditionalFormatting>
  <conditionalFormatting sqref="Q1052:Q1058">
    <cfRule type="containsText" dxfId="9" priority="18302" operator="containsText" text="No">
      <formula>NOT(ISERROR(SEARCH(("No"),(Q1052))))</formula>
    </cfRule>
  </conditionalFormatting>
  <conditionalFormatting sqref="Q1052:Q1058">
    <cfRule type="containsText" dxfId="2" priority="18303" operator="containsText" text="Yes">
      <formula>NOT(ISERROR(SEARCH(("Yes"),(Q1052))))</formula>
    </cfRule>
  </conditionalFormatting>
  <conditionalFormatting sqref="Q1052:Q1058">
    <cfRule type="containsText" dxfId="9" priority="18304" operator="containsText" text="No">
      <formula>NOT(ISERROR(SEARCH(("No"),(Q1052))))</formula>
    </cfRule>
  </conditionalFormatting>
  <conditionalFormatting sqref="Q1052:Q1058">
    <cfRule type="containsText" dxfId="2" priority="18305" operator="containsText" text="Yes">
      <formula>NOT(ISERROR(SEARCH(("Yes"),(Q1052))))</formula>
    </cfRule>
  </conditionalFormatting>
  <conditionalFormatting sqref="Q1052:Q1058">
    <cfRule type="containsText" dxfId="9" priority="18306" operator="containsText" text="No">
      <formula>NOT(ISERROR(SEARCH(("No"),(Q1052))))</formula>
    </cfRule>
  </conditionalFormatting>
  <conditionalFormatting sqref="Q1052:Q1058">
    <cfRule type="containsText" dxfId="2" priority="18307" operator="containsText" text="Yes">
      <formula>NOT(ISERROR(SEARCH(("Yes"),(Q1052))))</formula>
    </cfRule>
  </conditionalFormatting>
  <conditionalFormatting sqref="Q1052:Q1058">
    <cfRule type="containsText" dxfId="9" priority="18308" operator="containsText" text="No">
      <formula>NOT(ISERROR(SEARCH(("No"),(Q1052))))</formula>
    </cfRule>
  </conditionalFormatting>
  <conditionalFormatting sqref="Q1052:Q1058">
    <cfRule type="containsText" dxfId="2" priority="18309" operator="containsText" text="Yes">
      <formula>NOT(ISERROR(SEARCH(("Yes"),(Q1052))))</formula>
    </cfRule>
  </conditionalFormatting>
  <conditionalFormatting sqref="Q1052:Q1058">
    <cfRule type="containsText" dxfId="9" priority="18310" operator="containsText" text="No">
      <formula>NOT(ISERROR(SEARCH(("No"),(Q1052))))</formula>
    </cfRule>
  </conditionalFormatting>
  <conditionalFormatting sqref="Q1052:Q1058">
    <cfRule type="containsText" dxfId="2" priority="18311" operator="containsText" text="Yes">
      <formula>NOT(ISERROR(SEARCH(("Yes"),(Q1052))))</formula>
    </cfRule>
  </conditionalFormatting>
  <conditionalFormatting sqref="Q1052:Q1058">
    <cfRule type="containsText" dxfId="9" priority="18312" operator="containsText" text="No">
      <formula>NOT(ISERROR(SEARCH(("No"),(Q1052))))</formula>
    </cfRule>
  </conditionalFormatting>
  <conditionalFormatting sqref="Q1052:Q1058">
    <cfRule type="containsText" dxfId="2" priority="18313" operator="containsText" text="Yes">
      <formula>NOT(ISERROR(SEARCH(("Yes"),(Q1052))))</formula>
    </cfRule>
  </conditionalFormatting>
  <conditionalFormatting sqref="Q1052:Q1058">
    <cfRule type="containsText" dxfId="9" priority="18314" operator="containsText" text="No">
      <formula>NOT(ISERROR(SEARCH(("No"),(Q1052))))</formula>
    </cfRule>
  </conditionalFormatting>
  <conditionalFormatting sqref="Q1052:Q1058">
    <cfRule type="containsText" dxfId="2" priority="18315" operator="containsText" text="Yes">
      <formula>NOT(ISERROR(SEARCH(("Yes"),(Q1052))))</formula>
    </cfRule>
  </conditionalFormatting>
  <conditionalFormatting sqref="Q1052:Q1058">
    <cfRule type="containsText" dxfId="9" priority="18316" operator="containsText" text="No">
      <formula>NOT(ISERROR(SEARCH(("No"),(Q1052))))</formula>
    </cfRule>
  </conditionalFormatting>
  <conditionalFormatting sqref="Q1052:Q1058">
    <cfRule type="containsText" dxfId="2" priority="18317" operator="containsText" text="Yes">
      <formula>NOT(ISERROR(SEARCH(("Yes"),(Q1052))))</formula>
    </cfRule>
  </conditionalFormatting>
  <conditionalFormatting sqref="Q1052:Q1058">
    <cfRule type="containsText" dxfId="9" priority="18318" operator="containsText" text="No">
      <formula>NOT(ISERROR(SEARCH(("No"),(Q1052))))</formula>
    </cfRule>
  </conditionalFormatting>
  <conditionalFormatting sqref="Q1052:Q1058">
    <cfRule type="containsText" dxfId="2" priority="18319" operator="containsText" text="Yes">
      <formula>NOT(ISERROR(SEARCH(("Yes"),(Q1052))))</formula>
    </cfRule>
  </conditionalFormatting>
  <conditionalFormatting sqref="Q1052:Q1058">
    <cfRule type="containsText" dxfId="9" priority="18320" operator="containsText" text="No">
      <formula>NOT(ISERROR(SEARCH(("No"),(Q1052))))</formula>
    </cfRule>
  </conditionalFormatting>
  <conditionalFormatting sqref="Q1052:Q1058">
    <cfRule type="containsText" dxfId="2" priority="18321" operator="containsText" text="Yes">
      <formula>NOT(ISERROR(SEARCH(("Yes"),(Q1052))))</formula>
    </cfRule>
  </conditionalFormatting>
  <conditionalFormatting sqref="Q1052:Q1058">
    <cfRule type="containsText" dxfId="9" priority="18322" operator="containsText" text="No">
      <formula>NOT(ISERROR(SEARCH(("No"),(Q1052))))</formula>
    </cfRule>
  </conditionalFormatting>
  <conditionalFormatting sqref="Q1052:Q1058">
    <cfRule type="containsText" dxfId="2" priority="18323" operator="containsText" text="Yes">
      <formula>NOT(ISERROR(SEARCH(("Yes"),(Q1052))))</formula>
    </cfRule>
  </conditionalFormatting>
  <conditionalFormatting sqref="Q1052:Q1058">
    <cfRule type="containsText" dxfId="9" priority="18324" operator="containsText" text="No">
      <formula>NOT(ISERROR(SEARCH(("No"),(Q1052))))</formula>
    </cfRule>
  </conditionalFormatting>
  <conditionalFormatting sqref="Q1052:Q1058">
    <cfRule type="containsText" dxfId="2" priority="18325" operator="containsText" text="Yes">
      <formula>NOT(ISERROR(SEARCH(("Yes"),(Q1052))))</formula>
    </cfRule>
  </conditionalFormatting>
  <conditionalFormatting sqref="Q1052:Q1058">
    <cfRule type="containsText" dxfId="9" priority="18326" operator="containsText" text="No">
      <formula>NOT(ISERROR(SEARCH(("No"),(Q1052))))</formula>
    </cfRule>
  </conditionalFormatting>
  <conditionalFormatting sqref="Q1052:Q1058">
    <cfRule type="containsText" dxfId="2" priority="18327" operator="containsText" text="Yes">
      <formula>NOT(ISERROR(SEARCH(("Yes"),(Q1052))))</formula>
    </cfRule>
  </conditionalFormatting>
  <conditionalFormatting sqref="Q1052:Q1058">
    <cfRule type="containsText" dxfId="9" priority="18328" operator="containsText" text="No">
      <formula>NOT(ISERROR(SEARCH(("No"),(Q1052))))</formula>
    </cfRule>
  </conditionalFormatting>
  <conditionalFormatting sqref="Q1052:Q1058">
    <cfRule type="containsText" dxfId="2" priority="18329" operator="containsText" text="Yes">
      <formula>NOT(ISERROR(SEARCH(("Yes"),(Q1052))))</formula>
    </cfRule>
  </conditionalFormatting>
  <conditionalFormatting sqref="Q1052:Q1058">
    <cfRule type="containsText" dxfId="9" priority="18330" operator="containsText" text="No">
      <formula>NOT(ISERROR(SEARCH(("No"),(Q1052))))</formula>
    </cfRule>
  </conditionalFormatting>
  <conditionalFormatting sqref="Q1052:Q1058">
    <cfRule type="containsText" dxfId="2" priority="18331" operator="containsText" text="Yes">
      <formula>NOT(ISERROR(SEARCH(("Yes"),(Q1052))))</formula>
    </cfRule>
  </conditionalFormatting>
  <conditionalFormatting sqref="Q1052:Q1058">
    <cfRule type="containsText" dxfId="9" priority="18332" operator="containsText" text="No">
      <formula>NOT(ISERROR(SEARCH(("No"),(Q1052))))</formula>
    </cfRule>
  </conditionalFormatting>
  <conditionalFormatting sqref="Q1052:Q1058">
    <cfRule type="containsText" dxfId="2" priority="18333" operator="containsText" text="Yes">
      <formula>NOT(ISERROR(SEARCH(("Yes"),(Q1052))))</formula>
    </cfRule>
  </conditionalFormatting>
  <conditionalFormatting sqref="Q1052:Q1058">
    <cfRule type="containsText" dxfId="9" priority="18334" operator="containsText" text="No">
      <formula>NOT(ISERROR(SEARCH(("No"),(Q1052))))</formula>
    </cfRule>
  </conditionalFormatting>
  <conditionalFormatting sqref="Q1052:Q1058">
    <cfRule type="containsText" dxfId="2" priority="18335" operator="containsText" text="Yes">
      <formula>NOT(ISERROR(SEARCH(("Yes"),(Q1052))))</formula>
    </cfRule>
  </conditionalFormatting>
  <conditionalFormatting sqref="Q1052:Q1058">
    <cfRule type="containsText" dxfId="9" priority="18336" operator="containsText" text="No">
      <formula>NOT(ISERROR(SEARCH(("No"),(Q1052))))</formula>
    </cfRule>
  </conditionalFormatting>
  <conditionalFormatting sqref="Q1052:Q1058">
    <cfRule type="containsText" dxfId="2" priority="18337" operator="containsText" text="Yes">
      <formula>NOT(ISERROR(SEARCH(("Yes"),(Q1052))))</formula>
    </cfRule>
  </conditionalFormatting>
  <conditionalFormatting sqref="Q1052:Q1058">
    <cfRule type="containsText" dxfId="9" priority="18338" operator="containsText" text="No">
      <formula>NOT(ISERROR(SEARCH(("No"),(Q1052))))</formula>
    </cfRule>
  </conditionalFormatting>
  <conditionalFormatting sqref="Q1052:Q1058">
    <cfRule type="containsText" dxfId="2" priority="18339" operator="containsText" text="Yes">
      <formula>NOT(ISERROR(SEARCH(("Yes"),(Q1052))))</formula>
    </cfRule>
  </conditionalFormatting>
  <conditionalFormatting sqref="Q1052:Q1058">
    <cfRule type="containsText" dxfId="9" priority="18340" operator="containsText" text="No">
      <formula>NOT(ISERROR(SEARCH(("No"),(Q1052))))</formula>
    </cfRule>
  </conditionalFormatting>
  <conditionalFormatting sqref="Q1052:Q1058">
    <cfRule type="containsText" dxfId="2" priority="18341" operator="containsText" text="Yes">
      <formula>NOT(ISERROR(SEARCH(("Yes"),(Q1052))))</formula>
    </cfRule>
  </conditionalFormatting>
  <conditionalFormatting sqref="Q1052:Q1058">
    <cfRule type="containsText" dxfId="9" priority="18342" operator="containsText" text="No">
      <formula>NOT(ISERROR(SEARCH(("No"),(Q1052))))</formula>
    </cfRule>
  </conditionalFormatting>
  <conditionalFormatting sqref="Q1052:Q1058">
    <cfRule type="containsText" dxfId="2" priority="18343" operator="containsText" text="Yes">
      <formula>NOT(ISERROR(SEARCH(("Yes"),(Q1052))))</formula>
    </cfRule>
  </conditionalFormatting>
  <conditionalFormatting sqref="Q1052:Q1058">
    <cfRule type="containsText" dxfId="9" priority="18344" operator="containsText" text="No">
      <formula>NOT(ISERROR(SEARCH(("No"),(Q1052))))</formula>
    </cfRule>
  </conditionalFormatting>
  <conditionalFormatting sqref="Q1052:Q1058">
    <cfRule type="containsText" dxfId="2" priority="18345" operator="containsText" text="Yes">
      <formula>NOT(ISERROR(SEARCH(("Yes"),(Q1052))))</formula>
    </cfRule>
  </conditionalFormatting>
  <conditionalFormatting sqref="Q1052:Q1058">
    <cfRule type="containsText" dxfId="9" priority="18346" operator="containsText" text="No">
      <formula>NOT(ISERROR(SEARCH(("No"),(Q1052))))</formula>
    </cfRule>
  </conditionalFormatting>
  <conditionalFormatting sqref="Q1052:Q1058">
    <cfRule type="containsText" dxfId="2" priority="18347" operator="containsText" text="Yes">
      <formula>NOT(ISERROR(SEARCH(("Yes"),(Q1052))))</formula>
    </cfRule>
  </conditionalFormatting>
  <conditionalFormatting sqref="Q1052:Q1058">
    <cfRule type="containsText" dxfId="9" priority="18348" operator="containsText" text="No">
      <formula>NOT(ISERROR(SEARCH(("No"),(Q1052))))</formula>
    </cfRule>
  </conditionalFormatting>
  <conditionalFormatting sqref="Q1052:Q1058">
    <cfRule type="containsText" dxfId="2" priority="18349" operator="containsText" text="Yes">
      <formula>NOT(ISERROR(SEARCH(("Yes"),(Q1052))))</formula>
    </cfRule>
  </conditionalFormatting>
  <conditionalFormatting sqref="Q1052:Q1058">
    <cfRule type="containsText" dxfId="9" priority="18350" operator="containsText" text="No">
      <formula>NOT(ISERROR(SEARCH(("No"),(Q1052))))</formula>
    </cfRule>
  </conditionalFormatting>
  <conditionalFormatting sqref="Q1052:Q1058">
    <cfRule type="containsText" dxfId="2" priority="18351" operator="containsText" text="Yes">
      <formula>NOT(ISERROR(SEARCH(("Yes"),(Q1052))))</formula>
    </cfRule>
  </conditionalFormatting>
  <conditionalFormatting sqref="Q1052:Q1058">
    <cfRule type="containsText" dxfId="9" priority="18352" operator="containsText" text="No">
      <formula>NOT(ISERROR(SEARCH(("No"),(Q1052))))</formula>
    </cfRule>
  </conditionalFormatting>
  <conditionalFormatting sqref="Q1052:Q1058">
    <cfRule type="containsText" dxfId="2" priority="18353" operator="containsText" text="Yes">
      <formula>NOT(ISERROR(SEARCH(("Yes"),(Q1052))))</formula>
    </cfRule>
  </conditionalFormatting>
  <conditionalFormatting sqref="Q1052:Q1058">
    <cfRule type="containsText" dxfId="9" priority="18354" operator="containsText" text="No">
      <formula>NOT(ISERROR(SEARCH(("No"),(Q1052))))</formula>
    </cfRule>
  </conditionalFormatting>
  <conditionalFormatting sqref="Q1052:Q1058">
    <cfRule type="containsText" dxfId="2" priority="18355" operator="containsText" text="Yes">
      <formula>NOT(ISERROR(SEARCH(("Yes"),(Q1052))))</formula>
    </cfRule>
  </conditionalFormatting>
  <conditionalFormatting sqref="Q1052:Q1058">
    <cfRule type="containsText" dxfId="9" priority="18356" operator="containsText" text="No">
      <formula>NOT(ISERROR(SEARCH(("No"),(Q1052))))</formula>
    </cfRule>
  </conditionalFormatting>
  <conditionalFormatting sqref="Q1052:Q1058">
    <cfRule type="containsText" dxfId="2" priority="18357" operator="containsText" text="Yes">
      <formula>NOT(ISERROR(SEARCH(("Yes"),(Q1052))))</formula>
    </cfRule>
  </conditionalFormatting>
  <conditionalFormatting sqref="Q1052:Q1058">
    <cfRule type="containsText" dxfId="9" priority="18358" operator="containsText" text="No">
      <formula>NOT(ISERROR(SEARCH(("No"),(Q1052))))</formula>
    </cfRule>
  </conditionalFormatting>
  <conditionalFormatting sqref="Q1052:Q1058">
    <cfRule type="containsText" dxfId="2" priority="18359" operator="containsText" text="Yes">
      <formula>NOT(ISERROR(SEARCH(("Yes"),(Q1052))))</formula>
    </cfRule>
  </conditionalFormatting>
  <conditionalFormatting sqref="Q1052:Q1058">
    <cfRule type="containsText" dxfId="9" priority="18360" operator="containsText" text="No">
      <formula>NOT(ISERROR(SEARCH(("No"),(Q1052))))</formula>
    </cfRule>
  </conditionalFormatting>
  <conditionalFormatting sqref="Q1052:Q1058">
    <cfRule type="containsText" dxfId="2" priority="18361" operator="containsText" text="Yes">
      <formula>NOT(ISERROR(SEARCH(("Yes"),(Q1052))))</formula>
    </cfRule>
  </conditionalFormatting>
  <conditionalFormatting sqref="Q1052:Q1058">
    <cfRule type="containsText" dxfId="9" priority="18362" operator="containsText" text="No">
      <formula>NOT(ISERROR(SEARCH(("No"),(Q1052))))</formula>
    </cfRule>
  </conditionalFormatting>
  <conditionalFormatting sqref="Q1052:Q1058">
    <cfRule type="containsText" dxfId="2" priority="18363" operator="containsText" text="Yes">
      <formula>NOT(ISERROR(SEARCH(("Yes"),(Q1052))))</formula>
    </cfRule>
  </conditionalFormatting>
  <conditionalFormatting sqref="Q1052:Q1058">
    <cfRule type="containsText" dxfId="9" priority="18364" operator="containsText" text="No">
      <formula>NOT(ISERROR(SEARCH(("No"),(Q1052))))</formula>
    </cfRule>
  </conditionalFormatting>
  <conditionalFormatting sqref="Q1052:Q1058">
    <cfRule type="containsText" dxfId="2" priority="18365" operator="containsText" text="Yes">
      <formula>NOT(ISERROR(SEARCH(("Yes"),(Q1052))))</formula>
    </cfRule>
  </conditionalFormatting>
  <conditionalFormatting sqref="Q1052:Q1058">
    <cfRule type="containsText" dxfId="9" priority="18366" operator="containsText" text="No">
      <formula>NOT(ISERROR(SEARCH(("No"),(Q1052))))</formula>
    </cfRule>
  </conditionalFormatting>
  <conditionalFormatting sqref="Q1052:Q1058">
    <cfRule type="containsText" dxfId="2" priority="18367" operator="containsText" text="Yes">
      <formula>NOT(ISERROR(SEARCH(("Yes"),(Q1052))))</formula>
    </cfRule>
  </conditionalFormatting>
  <conditionalFormatting sqref="Q1052:Q1058">
    <cfRule type="containsText" dxfId="9" priority="18368" operator="containsText" text="No">
      <formula>NOT(ISERROR(SEARCH(("No"),(Q1052))))</formula>
    </cfRule>
  </conditionalFormatting>
  <conditionalFormatting sqref="Q1052:Q1058">
    <cfRule type="containsText" dxfId="2" priority="18369" operator="containsText" text="Yes">
      <formula>NOT(ISERROR(SEARCH(("Yes"),(Q1052))))</formula>
    </cfRule>
  </conditionalFormatting>
  <conditionalFormatting sqref="Q1052:Q1058">
    <cfRule type="containsText" dxfId="2" priority="18370" operator="containsText" text="Yes">
      <formula>NOT(ISERROR(SEARCH(("Yes"),(Q1052))))</formula>
    </cfRule>
  </conditionalFormatting>
  <conditionalFormatting sqref="Q1052:Q1058">
    <cfRule type="containsText" dxfId="9" priority="18371" operator="containsText" text="No">
      <formula>NOT(ISERROR(SEARCH(("No"),(Q1052))))</formula>
    </cfRule>
  </conditionalFormatting>
  <conditionalFormatting sqref="Q1052:Q1058">
    <cfRule type="containsText" dxfId="2" priority="18372" operator="containsText" text="Yes">
      <formula>NOT(ISERROR(SEARCH(("Yes"),(Q1052))))</formula>
    </cfRule>
  </conditionalFormatting>
  <conditionalFormatting sqref="Q1060">
    <cfRule type="containsText" dxfId="2" priority="18373" operator="containsText" text="Yes">
      <formula>NOT(ISERROR(SEARCH(("Yes"),(Q1060))))</formula>
    </cfRule>
  </conditionalFormatting>
  <conditionalFormatting sqref="Q1060">
    <cfRule type="containsText" dxfId="9" priority="18374" operator="containsText" text="No">
      <formula>NOT(ISERROR(SEARCH(("No"),(Q1060))))</formula>
    </cfRule>
  </conditionalFormatting>
  <conditionalFormatting sqref="Q1060">
    <cfRule type="containsText" dxfId="2" priority="18375" operator="containsText" text="Yes">
      <formula>NOT(ISERROR(SEARCH(("Yes"),(Q1060))))</formula>
    </cfRule>
  </conditionalFormatting>
  <conditionalFormatting sqref="Q1060">
    <cfRule type="containsText" dxfId="9" priority="18376" operator="containsText" text="No">
      <formula>NOT(ISERROR(SEARCH(("No"),(Q1060))))</formula>
    </cfRule>
  </conditionalFormatting>
  <conditionalFormatting sqref="Q1060">
    <cfRule type="containsText" dxfId="2" priority="18377" operator="containsText" text="Yes">
      <formula>NOT(ISERROR(SEARCH(("Yes"),(Q1060))))</formula>
    </cfRule>
  </conditionalFormatting>
  <conditionalFormatting sqref="Q1060">
    <cfRule type="containsText" dxfId="9" priority="18378" operator="containsText" text="No">
      <formula>NOT(ISERROR(SEARCH(("No"),(Q1060))))</formula>
    </cfRule>
  </conditionalFormatting>
  <conditionalFormatting sqref="Q1060">
    <cfRule type="containsText" dxfId="2" priority="18379" operator="containsText" text="Yes">
      <formula>NOT(ISERROR(SEARCH(("Yes"),(Q1060))))</formula>
    </cfRule>
  </conditionalFormatting>
  <conditionalFormatting sqref="Q1060">
    <cfRule type="containsText" dxfId="9" priority="18380" operator="containsText" text="No">
      <formula>NOT(ISERROR(SEARCH(("No"),(Q1060))))</formula>
    </cfRule>
  </conditionalFormatting>
  <conditionalFormatting sqref="Q1060">
    <cfRule type="containsText" dxfId="2" priority="18381" operator="containsText" text="Yes">
      <formula>NOT(ISERROR(SEARCH(("Yes"),(Q1060))))</formula>
    </cfRule>
  </conditionalFormatting>
  <conditionalFormatting sqref="Q1060">
    <cfRule type="containsText" dxfId="9" priority="18382" operator="containsText" text="No">
      <formula>NOT(ISERROR(SEARCH(("No"),(Q1060))))</formula>
    </cfRule>
  </conditionalFormatting>
  <conditionalFormatting sqref="Q1060">
    <cfRule type="containsText" dxfId="2" priority="18383" operator="containsText" text="Yes">
      <formula>NOT(ISERROR(SEARCH(("Yes"),(Q1060))))</formula>
    </cfRule>
  </conditionalFormatting>
  <conditionalFormatting sqref="Q1060">
    <cfRule type="containsText" dxfId="9" priority="18384" operator="containsText" text="No">
      <formula>NOT(ISERROR(SEARCH(("No"),(Q1060))))</formula>
    </cfRule>
  </conditionalFormatting>
  <conditionalFormatting sqref="Q1060">
    <cfRule type="containsText" dxfId="2" priority="18385" operator="containsText" text="Yes">
      <formula>NOT(ISERROR(SEARCH(("Yes"),(Q1060))))</formula>
    </cfRule>
  </conditionalFormatting>
  <conditionalFormatting sqref="Q1060">
    <cfRule type="containsText" dxfId="9" priority="18386" operator="containsText" text="No">
      <formula>NOT(ISERROR(SEARCH(("No"),(Q1060))))</formula>
    </cfRule>
  </conditionalFormatting>
  <conditionalFormatting sqref="Q1060">
    <cfRule type="containsText" dxfId="2" priority="18387" operator="containsText" text="Yes">
      <formula>NOT(ISERROR(SEARCH(("Yes"),(Q1060))))</formula>
    </cfRule>
  </conditionalFormatting>
  <conditionalFormatting sqref="Q1060">
    <cfRule type="containsText" dxfId="9" priority="18388" operator="containsText" text="No">
      <formula>NOT(ISERROR(SEARCH(("No"),(Q1060))))</formula>
    </cfRule>
  </conditionalFormatting>
  <conditionalFormatting sqref="Q1060">
    <cfRule type="containsText" dxfId="2" priority="18389" operator="containsText" text="Yes">
      <formula>NOT(ISERROR(SEARCH(("Yes"),(Q1060))))</formula>
    </cfRule>
  </conditionalFormatting>
  <conditionalFormatting sqref="Q1060">
    <cfRule type="containsText" dxfId="9" priority="18390" operator="containsText" text="No">
      <formula>NOT(ISERROR(SEARCH(("No"),(Q1060))))</formula>
    </cfRule>
  </conditionalFormatting>
  <conditionalFormatting sqref="Q1060">
    <cfRule type="containsText" dxfId="2" priority="18391" operator="containsText" text="Yes">
      <formula>NOT(ISERROR(SEARCH(("Yes"),(Q1060))))</formula>
    </cfRule>
  </conditionalFormatting>
  <conditionalFormatting sqref="Q1060">
    <cfRule type="containsText" dxfId="9" priority="18392" operator="containsText" text="No">
      <formula>NOT(ISERROR(SEARCH(("No"),(Q1060))))</formula>
    </cfRule>
  </conditionalFormatting>
  <conditionalFormatting sqref="Q1060">
    <cfRule type="containsText" dxfId="2" priority="18393" operator="containsText" text="Yes">
      <formula>NOT(ISERROR(SEARCH(("Yes"),(Q1060))))</formula>
    </cfRule>
  </conditionalFormatting>
  <conditionalFormatting sqref="Q1060">
    <cfRule type="containsText" dxfId="9" priority="18394" operator="containsText" text="No">
      <formula>NOT(ISERROR(SEARCH(("No"),(Q1060))))</formula>
    </cfRule>
  </conditionalFormatting>
  <conditionalFormatting sqref="Q1060">
    <cfRule type="containsText" dxfId="2" priority="18395" operator="containsText" text="Yes">
      <formula>NOT(ISERROR(SEARCH(("Yes"),(Q1060))))</formula>
    </cfRule>
  </conditionalFormatting>
  <conditionalFormatting sqref="Q1060">
    <cfRule type="containsText" dxfId="9" priority="18396" operator="containsText" text="No">
      <formula>NOT(ISERROR(SEARCH(("No"),(Q1060))))</formula>
    </cfRule>
  </conditionalFormatting>
  <conditionalFormatting sqref="Q1060">
    <cfRule type="containsText" dxfId="2" priority="18397" operator="containsText" text="Yes">
      <formula>NOT(ISERROR(SEARCH(("Yes"),(Q1060))))</formula>
    </cfRule>
  </conditionalFormatting>
  <conditionalFormatting sqref="Q1060">
    <cfRule type="containsText" dxfId="9" priority="18398" operator="containsText" text="No">
      <formula>NOT(ISERROR(SEARCH(("No"),(Q1060))))</formula>
    </cfRule>
  </conditionalFormatting>
  <conditionalFormatting sqref="Q1060">
    <cfRule type="containsText" dxfId="2" priority="18399" operator="containsText" text="Yes">
      <formula>NOT(ISERROR(SEARCH(("Yes"),(Q1060))))</formula>
    </cfRule>
  </conditionalFormatting>
  <conditionalFormatting sqref="Q1060">
    <cfRule type="containsText" dxfId="9" priority="18400" operator="containsText" text="No">
      <formula>NOT(ISERROR(SEARCH(("No"),(Q1060))))</formula>
    </cfRule>
  </conditionalFormatting>
  <conditionalFormatting sqref="Q1060">
    <cfRule type="containsText" dxfId="2" priority="18401" operator="containsText" text="Yes">
      <formula>NOT(ISERROR(SEARCH(("Yes"),(Q1060))))</formula>
    </cfRule>
  </conditionalFormatting>
  <conditionalFormatting sqref="Q1060">
    <cfRule type="containsText" dxfId="9" priority="18402" operator="containsText" text="No">
      <formula>NOT(ISERROR(SEARCH(("No"),(Q1060))))</formula>
    </cfRule>
  </conditionalFormatting>
  <conditionalFormatting sqref="Q1060">
    <cfRule type="containsText" dxfId="2" priority="18403" operator="containsText" text="Yes">
      <formula>NOT(ISERROR(SEARCH(("Yes"),(Q1060))))</formula>
    </cfRule>
  </conditionalFormatting>
  <conditionalFormatting sqref="Q1060">
    <cfRule type="containsText" dxfId="9" priority="18404" operator="containsText" text="No">
      <formula>NOT(ISERROR(SEARCH(("No"),(Q1060))))</formula>
    </cfRule>
  </conditionalFormatting>
  <conditionalFormatting sqref="Q1060">
    <cfRule type="containsText" dxfId="2" priority="18405" operator="containsText" text="Yes">
      <formula>NOT(ISERROR(SEARCH(("Yes"),(Q1060))))</formula>
    </cfRule>
  </conditionalFormatting>
  <conditionalFormatting sqref="Q1060">
    <cfRule type="containsText" dxfId="9" priority="18406" operator="containsText" text="No">
      <formula>NOT(ISERROR(SEARCH(("No"),(Q1060))))</formula>
    </cfRule>
  </conditionalFormatting>
  <conditionalFormatting sqref="Q1060">
    <cfRule type="containsText" dxfId="2" priority="18407" operator="containsText" text="Yes">
      <formula>NOT(ISERROR(SEARCH(("Yes"),(Q1060))))</formula>
    </cfRule>
  </conditionalFormatting>
  <conditionalFormatting sqref="Q1060">
    <cfRule type="containsText" dxfId="9" priority="18408" operator="containsText" text="No">
      <formula>NOT(ISERROR(SEARCH(("No"),(Q1060))))</formula>
    </cfRule>
  </conditionalFormatting>
  <conditionalFormatting sqref="Q1060">
    <cfRule type="containsText" dxfId="2" priority="18409" operator="containsText" text="Yes">
      <formula>NOT(ISERROR(SEARCH(("Yes"),(Q1060))))</formula>
    </cfRule>
  </conditionalFormatting>
  <conditionalFormatting sqref="Q1060">
    <cfRule type="containsText" dxfId="9" priority="18410" operator="containsText" text="No">
      <formula>NOT(ISERROR(SEARCH(("No"),(Q1060))))</formula>
    </cfRule>
  </conditionalFormatting>
  <conditionalFormatting sqref="Q1060">
    <cfRule type="containsText" dxfId="2" priority="18411" operator="containsText" text="Yes">
      <formula>NOT(ISERROR(SEARCH(("Yes"),(Q1060))))</formula>
    </cfRule>
  </conditionalFormatting>
  <conditionalFormatting sqref="Q1060">
    <cfRule type="containsText" dxfId="9" priority="18412" operator="containsText" text="No">
      <formula>NOT(ISERROR(SEARCH(("No"),(Q1060))))</formula>
    </cfRule>
  </conditionalFormatting>
  <conditionalFormatting sqref="Q1060">
    <cfRule type="containsText" dxfId="2" priority="18413" operator="containsText" text="Yes">
      <formula>NOT(ISERROR(SEARCH(("Yes"),(Q1060))))</formula>
    </cfRule>
  </conditionalFormatting>
  <conditionalFormatting sqref="Q1060">
    <cfRule type="containsText" dxfId="9" priority="18414" operator="containsText" text="No">
      <formula>NOT(ISERROR(SEARCH(("No"),(Q1060))))</formula>
    </cfRule>
  </conditionalFormatting>
  <conditionalFormatting sqref="Q1060">
    <cfRule type="containsText" dxfId="2" priority="18415" operator="containsText" text="Yes">
      <formula>NOT(ISERROR(SEARCH(("Yes"),(Q1060))))</formula>
    </cfRule>
  </conditionalFormatting>
  <conditionalFormatting sqref="Q1060">
    <cfRule type="containsText" dxfId="9" priority="18416" operator="containsText" text="No">
      <formula>NOT(ISERROR(SEARCH(("No"),(Q1060))))</formula>
    </cfRule>
  </conditionalFormatting>
  <conditionalFormatting sqref="Q1060">
    <cfRule type="containsText" dxfId="2" priority="18417" operator="containsText" text="Yes">
      <formula>NOT(ISERROR(SEARCH(("Yes"),(Q1060))))</formula>
    </cfRule>
  </conditionalFormatting>
  <conditionalFormatting sqref="Q1060">
    <cfRule type="containsText" dxfId="9" priority="18418" operator="containsText" text="No">
      <formula>NOT(ISERROR(SEARCH(("No"),(Q1060))))</formula>
    </cfRule>
  </conditionalFormatting>
  <conditionalFormatting sqref="Q1060">
    <cfRule type="containsText" dxfId="2" priority="18419" operator="containsText" text="Yes">
      <formula>NOT(ISERROR(SEARCH(("Yes"),(Q1060))))</formula>
    </cfRule>
  </conditionalFormatting>
  <conditionalFormatting sqref="Q1060">
    <cfRule type="containsText" dxfId="9" priority="18420" operator="containsText" text="No">
      <formula>NOT(ISERROR(SEARCH(("No"),(Q1060))))</formula>
    </cfRule>
  </conditionalFormatting>
  <conditionalFormatting sqref="Q1060">
    <cfRule type="containsText" dxfId="2" priority="18421" operator="containsText" text="Yes">
      <formula>NOT(ISERROR(SEARCH(("Yes"),(Q1060))))</formula>
    </cfRule>
  </conditionalFormatting>
  <conditionalFormatting sqref="Q1060">
    <cfRule type="containsText" dxfId="9" priority="18422" operator="containsText" text="No">
      <formula>NOT(ISERROR(SEARCH(("No"),(Q1060))))</formula>
    </cfRule>
  </conditionalFormatting>
  <conditionalFormatting sqref="Q1060">
    <cfRule type="containsText" dxfId="2" priority="18423" operator="containsText" text="Yes">
      <formula>NOT(ISERROR(SEARCH(("Yes"),(Q1060))))</formula>
    </cfRule>
  </conditionalFormatting>
  <conditionalFormatting sqref="Q1060">
    <cfRule type="containsText" dxfId="9" priority="18424" operator="containsText" text="No">
      <formula>NOT(ISERROR(SEARCH(("No"),(Q1060))))</formula>
    </cfRule>
  </conditionalFormatting>
  <conditionalFormatting sqref="Q1060">
    <cfRule type="containsText" dxfId="2" priority="18425" operator="containsText" text="Yes">
      <formula>NOT(ISERROR(SEARCH(("Yes"),(Q1060))))</formula>
    </cfRule>
  </conditionalFormatting>
  <conditionalFormatting sqref="Q1060">
    <cfRule type="containsText" dxfId="9" priority="18426" operator="containsText" text="No">
      <formula>NOT(ISERROR(SEARCH(("No"),(Q1060))))</formula>
    </cfRule>
  </conditionalFormatting>
  <conditionalFormatting sqref="Q1060">
    <cfRule type="containsText" dxfId="2" priority="18427" operator="containsText" text="Yes">
      <formula>NOT(ISERROR(SEARCH(("Yes"),(Q1060))))</formula>
    </cfRule>
  </conditionalFormatting>
  <conditionalFormatting sqref="Q1060">
    <cfRule type="containsText" dxfId="9" priority="18428" operator="containsText" text="No">
      <formula>NOT(ISERROR(SEARCH(("No"),(Q1060))))</formula>
    </cfRule>
  </conditionalFormatting>
  <conditionalFormatting sqref="Q1060">
    <cfRule type="containsText" dxfId="2" priority="18429" operator="containsText" text="Yes">
      <formula>NOT(ISERROR(SEARCH(("Yes"),(Q1060))))</formula>
    </cfRule>
  </conditionalFormatting>
  <conditionalFormatting sqref="Q1060">
    <cfRule type="containsText" dxfId="9" priority="18430" operator="containsText" text="No">
      <formula>NOT(ISERROR(SEARCH(("No"),(Q1060))))</formula>
    </cfRule>
  </conditionalFormatting>
  <conditionalFormatting sqref="Q1060">
    <cfRule type="containsText" dxfId="2" priority="18431" operator="containsText" text="Yes">
      <formula>NOT(ISERROR(SEARCH(("Yes"),(Q1060))))</formula>
    </cfRule>
  </conditionalFormatting>
  <conditionalFormatting sqref="Q1060">
    <cfRule type="containsText" dxfId="9" priority="18432" operator="containsText" text="No">
      <formula>NOT(ISERROR(SEARCH(("No"),(Q1060))))</formula>
    </cfRule>
  </conditionalFormatting>
  <conditionalFormatting sqref="Q1060">
    <cfRule type="containsText" dxfId="2" priority="18433" operator="containsText" text="Yes">
      <formula>NOT(ISERROR(SEARCH(("Yes"),(Q1060))))</formula>
    </cfRule>
  </conditionalFormatting>
  <conditionalFormatting sqref="Q1060">
    <cfRule type="containsText" dxfId="9" priority="18434" operator="containsText" text="No">
      <formula>NOT(ISERROR(SEARCH(("No"),(Q1060))))</formula>
    </cfRule>
  </conditionalFormatting>
  <conditionalFormatting sqref="Q1060">
    <cfRule type="containsText" dxfId="2" priority="18435" operator="containsText" text="Yes">
      <formula>NOT(ISERROR(SEARCH(("Yes"),(Q1060))))</formula>
    </cfRule>
  </conditionalFormatting>
  <conditionalFormatting sqref="Q1060">
    <cfRule type="containsText" dxfId="9" priority="18436" operator="containsText" text="No">
      <formula>NOT(ISERROR(SEARCH(("No"),(Q1060))))</formula>
    </cfRule>
  </conditionalFormatting>
  <conditionalFormatting sqref="Q1060">
    <cfRule type="containsText" dxfId="2" priority="18437" operator="containsText" text="Yes">
      <formula>NOT(ISERROR(SEARCH(("Yes"),(Q1060))))</formula>
    </cfRule>
  </conditionalFormatting>
  <conditionalFormatting sqref="Q1060">
    <cfRule type="containsText" dxfId="9" priority="18438" operator="containsText" text="No">
      <formula>NOT(ISERROR(SEARCH(("No"),(Q1060))))</formula>
    </cfRule>
  </conditionalFormatting>
  <conditionalFormatting sqref="Q1060">
    <cfRule type="containsText" dxfId="2" priority="18439" operator="containsText" text="Yes">
      <formula>NOT(ISERROR(SEARCH(("Yes"),(Q1060))))</formula>
    </cfRule>
  </conditionalFormatting>
  <conditionalFormatting sqref="Q1060">
    <cfRule type="containsText" dxfId="9" priority="18440" operator="containsText" text="No">
      <formula>NOT(ISERROR(SEARCH(("No"),(Q1060))))</formula>
    </cfRule>
  </conditionalFormatting>
  <conditionalFormatting sqref="Q1060">
    <cfRule type="containsText" dxfId="2" priority="18441" operator="containsText" text="Yes">
      <formula>NOT(ISERROR(SEARCH(("Yes"),(Q1060))))</formula>
    </cfRule>
  </conditionalFormatting>
  <conditionalFormatting sqref="Q1060">
    <cfRule type="containsText" dxfId="9" priority="18442" operator="containsText" text="No">
      <formula>NOT(ISERROR(SEARCH(("No"),(Q1060))))</formula>
    </cfRule>
  </conditionalFormatting>
  <conditionalFormatting sqref="Q1060">
    <cfRule type="containsText" dxfId="2" priority="18443" operator="containsText" text="Yes">
      <formula>NOT(ISERROR(SEARCH(("Yes"),(Q1060))))</formula>
    </cfRule>
  </conditionalFormatting>
  <conditionalFormatting sqref="Q1060">
    <cfRule type="containsText" dxfId="9" priority="18444" operator="containsText" text="No">
      <formula>NOT(ISERROR(SEARCH(("No"),(Q1060))))</formula>
    </cfRule>
  </conditionalFormatting>
  <conditionalFormatting sqref="Q1060">
    <cfRule type="containsText" dxfId="2" priority="18445" operator="containsText" text="Yes">
      <formula>NOT(ISERROR(SEARCH(("Yes"),(Q1060))))</formula>
    </cfRule>
  </conditionalFormatting>
  <conditionalFormatting sqref="Q1060">
    <cfRule type="containsText" dxfId="9" priority="18446" operator="containsText" text="No">
      <formula>NOT(ISERROR(SEARCH(("No"),(Q1060))))</formula>
    </cfRule>
  </conditionalFormatting>
  <conditionalFormatting sqref="Q1060">
    <cfRule type="containsText" dxfId="2" priority="18447" operator="containsText" text="Yes">
      <formula>NOT(ISERROR(SEARCH(("Yes"),(Q1060))))</formula>
    </cfRule>
  </conditionalFormatting>
  <conditionalFormatting sqref="Q1060">
    <cfRule type="containsText" dxfId="9" priority="18448" operator="containsText" text="No">
      <formula>NOT(ISERROR(SEARCH(("No"),(Q1060))))</formula>
    </cfRule>
  </conditionalFormatting>
  <conditionalFormatting sqref="Q1060">
    <cfRule type="containsText" dxfId="2" priority="18449" operator="containsText" text="Yes">
      <formula>NOT(ISERROR(SEARCH(("Yes"),(Q1060))))</formula>
    </cfRule>
  </conditionalFormatting>
  <conditionalFormatting sqref="Q1060">
    <cfRule type="containsText" dxfId="9" priority="18450" operator="containsText" text="No">
      <formula>NOT(ISERROR(SEARCH(("No"),(Q1060))))</formula>
    </cfRule>
  </conditionalFormatting>
  <conditionalFormatting sqref="Q1060">
    <cfRule type="containsText" dxfId="2" priority="18451" operator="containsText" text="Yes">
      <formula>NOT(ISERROR(SEARCH(("Yes"),(Q1060))))</formula>
    </cfRule>
  </conditionalFormatting>
  <conditionalFormatting sqref="Q1060">
    <cfRule type="containsText" dxfId="9" priority="18452" operator="containsText" text="No">
      <formula>NOT(ISERROR(SEARCH(("No"),(Q1060))))</formula>
    </cfRule>
  </conditionalFormatting>
  <conditionalFormatting sqref="Q1060">
    <cfRule type="containsText" dxfId="2" priority="18453" operator="containsText" text="Yes">
      <formula>NOT(ISERROR(SEARCH(("Yes"),(Q1060))))</formula>
    </cfRule>
  </conditionalFormatting>
  <conditionalFormatting sqref="Q1060">
    <cfRule type="containsText" dxfId="9" priority="18454" operator="containsText" text="No">
      <formula>NOT(ISERROR(SEARCH(("No"),(Q1060))))</formula>
    </cfRule>
  </conditionalFormatting>
  <conditionalFormatting sqref="Q1060">
    <cfRule type="containsText" dxfId="2" priority="18455" operator="containsText" text="Yes">
      <formula>NOT(ISERROR(SEARCH(("Yes"),(Q1060))))</formula>
    </cfRule>
  </conditionalFormatting>
  <conditionalFormatting sqref="Q1060">
    <cfRule type="containsText" dxfId="9" priority="18456" operator="containsText" text="No">
      <formula>NOT(ISERROR(SEARCH(("No"),(Q1060))))</formula>
    </cfRule>
  </conditionalFormatting>
  <conditionalFormatting sqref="Q1060">
    <cfRule type="containsText" dxfId="2" priority="18457" operator="containsText" text="Yes">
      <formula>NOT(ISERROR(SEARCH(("Yes"),(Q1060))))</formula>
    </cfRule>
  </conditionalFormatting>
  <conditionalFormatting sqref="Q1060">
    <cfRule type="containsText" dxfId="9" priority="18458" operator="containsText" text="No">
      <formula>NOT(ISERROR(SEARCH(("No"),(Q1060))))</formula>
    </cfRule>
  </conditionalFormatting>
  <conditionalFormatting sqref="Q1060">
    <cfRule type="containsText" dxfId="2" priority="18459" operator="containsText" text="Yes">
      <formula>NOT(ISERROR(SEARCH(("Yes"),(Q1060))))</formula>
    </cfRule>
  </conditionalFormatting>
  <conditionalFormatting sqref="Q1060">
    <cfRule type="containsText" dxfId="9" priority="18460" operator="containsText" text="No">
      <formula>NOT(ISERROR(SEARCH(("No"),(Q1060))))</formula>
    </cfRule>
  </conditionalFormatting>
  <conditionalFormatting sqref="Q1060">
    <cfRule type="containsText" dxfId="2" priority="18461" operator="containsText" text="Yes">
      <formula>NOT(ISERROR(SEARCH(("Yes"),(Q1060))))</formula>
    </cfRule>
  </conditionalFormatting>
  <conditionalFormatting sqref="Q1060">
    <cfRule type="containsText" dxfId="2" priority="18462" operator="containsText" text="Yes">
      <formula>NOT(ISERROR(SEARCH(("Yes"),(Q1060))))</formula>
    </cfRule>
  </conditionalFormatting>
  <conditionalFormatting sqref="Q1060">
    <cfRule type="containsText" dxfId="9" priority="18463" operator="containsText" text="No">
      <formula>NOT(ISERROR(SEARCH(("No"),(Q1060))))</formula>
    </cfRule>
  </conditionalFormatting>
  <conditionalFormatting sqref="Q1060">
    <cfRule type="containsText" dxfId="2" priority="18464" operator="containsText" text="Yes">
      <formula>NOT(ISERROR(SEARCH(("Yes"),(Q1060))))</formula>
    </cfRule>
  </conditionalFormatting>
  <conditionalFormatting sqref="Q1064:Q1068 Q1071:Q1073 Q1075:Q1077 Q1079:Q1099">
    <cfRule type="containsText" dxfId="2" priority="18465" operator="containsText" text="Yes">
      <formula>NOT(ISERROR(SEARCH(("Yes"),(Q1064))))</formula>
    </cfRule>
  </conditionalFormatting>
  <conditionalFormatting sqref="Q1064:Q1068 Q1071:Q1073 Q1075:Q1077 Q1079:Q1099">
    <cfRule type="containsText" dxfId="9" priority="18466" operator="containsText" text="No">
      <formula>NOT(ISERROR(SEARCH(("No"),(Q1064))))</formula>
    </cfRule>
  </conditionalFormatting>
  <conditionalFormatting sqref="Q1064:Q1068 Q1071:Q1073 Q1075:Q1077 Q1079:Q1099">
    <cfRule type="containsText" dxfId="2" priority="18467" operator="containsText" text="Yes">
      <formula>NOT(ISERROR(SEARCH(("Yes"),(Q1064))))</formula>
    </cfRule>
  </conditionalFormatting>
  <conditionalFormatting sqref="Q1064:Q1068 Q1071:Q1073 Q1075:Q1077 Q1079:Q1099">
    <cfRule type="containsText" dxfId="9" priority="18468" operator="containsText" text="No">
      <formula>NOT(ISERROR(SEARCH(("No"),(Q1064))))</formula>
    </cfRule>
  </conditionalFormatting>
  <conditionalFormatting sqref="Q1064:Q1068 Q1071:Q1073 Q1075:Q1077 Q1079:Q1099">
    <cfRule type="containsText" dxfId="2" priority="18469" operator="containsText" text="Yes">
      <formula>NOT(ISERROR(SEARCH(("Yes"),(Q1064))))</formula>
    </cfRule>
  </conditionalFormatting>
  <conditionalFormatting sqref="Q1064:Q1068 Q1071:Q1073 Q1075:Q1077 Q1079:Q1099">
    <cfRule type="containsText" dxfId="9" priority="18470" operator="containsText" text="No">
      <formula>NOT(ISERROR(SEARCH(("No"),(Q1064))))</formula>
    </cfRule>
  </conditionalFormatting>
  <conditionalFormatting sqref="Q1064:Q1068 Q1071:Q1073 Q1075:Q1077 Q1079:Q1099">
    <cfRule type="containsText" dxfId="2" priority="18471" operator="containsText" text="Yes">
      <formula>NOT(ISERROR(SEARCH(("Yes"),(Q1064))))</formula>
    </cfRule>
  </conditionalFormatting>
  <conditionalFormatting sqref="Q1064:Q1068 Q1071:Q1073 Q1075:Q1077 Q1079:Q1099">
    <cfRule type="containsText" dxfId="9" priority="18472" operator="containsText" text="No">
      <formula>NOT(ISERROR(SEARCH(("No"),(Q1064))))</formula>
    </cfRule>
  </conditionalFormatting>
  <conditionalFormatting sqref="Q1064:Q1068 Q1071:Q1073 Q1075:Q1077 Q1079:Q1099">
    <cfRule type="containsText" dxfId="2" priority="18473" operator="containsText" text="Yes">
      <formula>NOT(ISERROR(SEARCH(("Yes"),(Q1064))))</formula>
    </cfRule>
  </conditionalFormatting>
  <conditionalFormatting sqref="Q1064:Q1068 Q1071:Q1073 Q1075:Q1077 Q1079:Q1099">
    <cfRule type="containsText" dxfId="9" priority="18474" operator="containsText" text="No">
      <formula>NOT(ISERROR(SEARCH(("No"),(Q1064))))</formula>
    </cfRule>
  </conditionalFormatting>
  <conditionalFormatting sqref="Q1064:Q1068 Q1071:Q1073 Q1075:Q1077 Q1079:Q1099">
    <cfRule type="containsText" dxfId="2" priority="18475" operator="containsText" text="Yes">
      <formula>NOT(ISERROR(SEARCH(("Yes"),(Q1064))))</formula>
    </cfRule>
  </conditionalFormatting>
  <conditionalFormatting sqref="Q1064:Q1068 Q1071:Q1073 Q1075:Q1077 Q1079:Q1099">
    <cfRule type="containsText" dxfId="9" priority="18476" operator="containsText" text="No">
      <formula>NOT(ISERROR(SEARCH(("No"),(Q1064))))</formula>
    </cfRule>
  </conditionalFormatting>
  <conditionalFormatting sqref="Q1064:Q1068 Q1071:Q1073 Q1075:Q1077 Q1079:Q1099">
    <cfRule type="containsText" dxfId="2" priority="18477" operator="containsText" text="Yes">
      <formula>NOT(ISERROR(SEARCH(("Yes"),(Q1064))))</formula>
    </cfRule>
  </conditionalFormatting>
  <conditionalFormatting sqref="Q1064:Q1068 Q1071:Q1073 Q1075:Q1077 Q1079:Q1099">
    <cfRule type="containsText" dxfId="9" priority="18478" operator="containsText" text="No">
      <formula>NOT(ISERROR(SEARCH(("No"),(Q1064))))</formula>
    </cfRule>
  </conditionalFormatting>
  <conditionalFormatting sqref="Q1064:Q1068 Q1071:Q1073 Q1075:Q1077 Q1079:Q1099">
    <cfRule type="containsText" dxfId="2" priority="18479" operator="containsText" text="Yes">
      <formula>NOT(ISERROR(SEARCH(("Yes"),(Q1064))))</formula>
    </cfRule>
  </conditionalFormatting>
  <conditionalFormatting sqref="Q1064:Q1068 Q1071:Q1073 Q1075:Q1077 Q1079:Q1099">
    <cfRule type="containsText" dxfId="9" priority="18480" operator="containsText" text="No">
      <formula>NOT(ISERROR(SEARCH(("No"),(Q1064))))</formula>
    </cfRule>
  </conditionalFormatting>
  <conditionalFormatting sqref="Q1064:Q1068 Q1071:Q1073 Q1075:Q1077 Q1079:Q1099">
    <cfRule type="containsText" dxfId="2" priority="18481" operator="containsText" text="Yes">
      <formula>NOT(ISERROR(SEARCH(("Yes"),(Q1064))))</formula>
    </cfRule>
  </conditionalFormatting>
  <conditionalFormatting sqref="Q1064:Q1068 Q1071:Q1073 Q1075:Q1077 Q1079:Q1099">
    <cfRule type="containsText" dxfId="9" priority="18482" operator="containsText" text="No">
      <formula>NOT(ISERROR(SEARCH(("No"),(Q1064))))</formula>
    </cfRule>
  </conditionalFormatting>
  <conditionalFormatting sqref="Q1064:Q1068 Q1071:Q1073 Q1075:Q1077 Q1079:Q1099">
    <cfRule type="containsText" dxfId="2" priority="18483" operator="containsText" text="Yes">
      <formula>NOT(ISERROR(SEARCH(("Yes"),(Q1064))))</formula>
    </cfRule>
  </conditionalFormatting>
  <conditionalFormatting sqref="Q1064:Q1068 Q1071:Q1073 Q1075:Q1077 Q1079:Q1099">
    <cfRule type="containsText" dxfId="9" priority="18484" operator="containsText" text="No">
      <formula>NOT(ISERROR(SEARCH(("No"),(Q1064))))</formula>
    </cfRule>
  </conditionalFormatting>
  <conditionalFormatting sqref="Q1064:Q1068 Q1071:Q1073 Q1075:Q1077 Q1079:Q1099">
    <cfRule type="containsText" dxfId="2" priority="18485" operator="containsText" text="Yes">
      <formula>NOT(ISERROR(SEARCH(("Yes"),(Q1064))))</formula>
    </cfRule>
  </conditionalFormatting>
  <conditionalFormatting sqref="Q1064:Q1068 Q1071:Q1073 Q1075:Q1077 Q1079:Q1099">
    <cfRule type="containsText" dxfId="9" priority="18486" operator="containsText" text="No">
      <formula>NOT(ISERROR(SEARCH(("No"),(Q1064))))</formula>
    </cfRule>
  </conditionalFormatting>
  <conditionalFormatting sqref="Q1064:Q1068 Q1071:Q1073 Q1075:Q1077 Q1079:Q1099">
    <cfRule type="containsText" dxfId="2" priority="18487" operator="containsText" text="Yes">
      <formula>NOT(ISERROR(SEARCH(("Yes"),(Q1064))))</formula>
    </cfRule>
  </conditionalFormatting>
  <conditionalFormatting sqref="Q1064:Q1068 Q1071:Q1073 Q1075:Q1077 Q1079:Q1099">
    <cfRule type="containsText" dxfId="9" priority="18488" operator="containsText" text="No">
      <formula>NOT(ISERROR(SEARCH(("No"),(Q1064))))</formula>
    </cfRule>
  </conditionalFormatting>
  <conditionalFormatting sqref="Q1064:Q1068 Q1071:Q1073 Q1075:Q1077 Q1079:Q1099">
    <cfRule type="containsText" dxfId="2" priority="18489" operator="containsText" text="Yes">
      <formula>NOT(ISERROR(SEARCH(("Yes"),(Q1064))))</formula>
    </cfRule>
  </conditionalFormatting>
  <conditionalFormatting sqref="Q1064:Q1068 Q1071:Q1073 Q1075:Q1077 Q1079:Q1099">
    <cfRule type="containsText" dxfId="9" priority="18490" operator="containsText" text="No">
      <formula>NOT(ISERROR(SEARCH(("No"),(Q1064))))</formula>
    </cfRule>
  </conditionalFormatting>
  <conditionalFormatting sqref="Q1064:Q1068 Q1071:Q1073 Q1075:Q1077 Q1079:Q1099">
    <cfRule type="containsText" dxfId="2" priority="18491" operator="containsText" text="Yes">
      <formula>NOT(ISERROR(SEARCH(("Yes"),(Q1064))))</formula>
    </cfRule>
  </conditionalFormatting>
  <conditionalFormatting sqref="Q1064:Q1068 Q1071:Q1073 Q1075:Q1077 Q1079:Q1099">
    <cfRule type="containsText" dxfId="9" priority="18492" operator="containsText" text="No">
      <formula>NOT(ISERROR(SEARCH(("No"),(Q1064))))</formula>
    </cfRule>
  </conditionalFormatting>
  <conditionalFormatting sqref="Q1064:Q1068 Q1071:Q1073 Q1075:Q1077 Q1079:Q1099">
    <cfRule type="containsText" dxfId="2" priority="18493" operator="containsText" text="Yes">
      <formula>NOT(ISERROR(SEARCH(("Yes"),(Q1064))))</formula>
    </cfRule>
  </conditionalFormatting>
  <conditionalFormatting sqref="Q1064:Q1068 Q1071:Q1073 Q1075:Q1077 Q1079:Q1099">
    <cfRule type="containsText" dxfId="9" priority="18494" operator="containsText" text="No">
      <formula>NOT(ISERROR(SEARCH(("No"),(Q1064))))</formula>
    </cfRule>
  </conditionalFormatting>
  <conditionalFormatting sqref="Q1064:Q1068 Q1071:Q1073 Q1075:Q1077 Q1079:Q1099">
    <cfRule type="containsText" dxfId="2" priority="18495" operator="containsText" text="Yes">
      <formula>NOT(ISERROR(SEARCH(("Yes"),(Q1064))))</formula>
    </cfRule>
  </conditionalFormatting>
  <conditionalFormatting sqref="Q1064:Q1068 Q1071:Q1073 Q1075:Q1077 Q1079:Q1099">
    <cfRule type="containsText" dxfId="9" priority="18496" operator="containsText" text="No">
      <formula>NOT(ISERROR(SEARCH(("No"),(Q1064))))</formula>
    </cfRule>
  </conditionalFormatting>
  <conditionalFormatting sqref="Q1064:Q1068 Q1071:Q1073 Q1075:Q1077 Q1079:Q1099">
    <cfRule type="containsText" dxfId="2" priority="18497" operator="containsText" text="Yes">
      <formula>NOT(ISERROR(SEARCH(("Yes"),(Q1064))))</formula>
    </cfRule>
  </conditionalFormatting>
  <conditionalFormatting sqref="Q1064:Q1068 Q1071:Q1073 Q1075:Q1077 Q1079:Q1099">
    <cfRule type="containsText" dxfId="9" priority="18498" operator="containsText" text="No">
      <formula>NOT(ISERROR(SEARCH(("No"),(Q1064))))</formula>
    </cfRule>
  </conditionalFormatting>
  <conditionalFormatting sqref="Q1064:Q1068 Q1071:Q1073 Q1075:Q1077 Q1079:Q1099">
    <cfRule type="containsText" dxfId="2" priority="18499" operator="containsText" text="Yes">
      <formula>NOT(ISERROR(SEARCH(("Yes"),(Q1064))))</formula>
    </cfRule>
  </conditionalFormatting>
  <conditionalFormatting sqref="Q1064:Q1068 Q1071:Q1073 Q1075:Q1077 Q1079:Q1099">
    <cfRule type="containsText" dxfId="9" priority="18500" operator="containsText" text="No">
      <formula>NOT(ISERROR(SEARCH(("No"),(Q1064))))</formula>
    </cfRule>
  </conditionalFormatting>
  <conditionalFormatting sqref="Q1064:Q1068 Q1071:Q1073 Q1075:Q1077 Q1079:Q1099">
    <cfRule type="containsText" dxfId="2" priority="18501" operator="containsText" text="Yes">
      <formula>NOT(ISERROR(SEARCH(("Yes"),(Q1064))))</formula>
    </cfRule>
  </conditionalFormatting>
  <conditionalFormatting sqref="Q1064:Q1068 Q1071:Q1073 Q1075:Q1077 Q1079:Q1099">
    <cfRule type="containsText" dxfId="9" priority="18502" operator="containsText" text="No">
      <formula>NOT(ISERROR(SEARCH(("No"),(Q1064))))</formula>
    </cfRule>
  </conditionalFormatting>
  <conditionalFormatting sqref="Q1064:Q1068 Q1071:Q1073 Q1075:Q1077 Q1079:Q1099">
    <cfRule type="containsText" dxfId="2" priority="18503" operator="containsText" text="Yes">
      <formula>NOT(ISERROR(SEARCH(("Yes"),(Q1064))))</formula>
    </cfRule>
  </conditionalFormatting>
  <conditionalFormatting sqref="Q1064:Q1068 Q1071:Q1073 Q1075:Q1077 Q1079:Q1099">
    <cfRule type="containsText" dxfId="9" priority="18504" operator="containsText" text="No">
      <formula>NOT(ISERROR(SEARCH(("No"),(Q1064))))</formula>
    </cfRule>
  </conditionalFormatting>
  <conditionalFormatting sqref="Q1064:Q1068 Q1071:Q1073 Q1075:Q1077 Q1079:Q1099">
    <cfRule type="containsText" dxfId="2" priority="18505" operator="containsText" text="Yes">
      <formula>NOT(ISERROR(SEARCH(("Yes"),(Q1064))))</formula>
    </cfRule>
  </conditionalFormatting>
  <conditionalFormatting sqref="Q1064:Q1068 Q1071:Q1073 Q1075:Q1077 Q1079:Q1099">
    <cfRule type="containsText" dxfId="9" priority="18506" operator="containsText" text="No">
      <formula>NOT(ISERROR(SEARCH(("No"),(Q1064))))</formula>
    </cfRule>
  </conditionalFormatting>
  <conditionalFormatting sqref="Q1064:Q1068 Q1071:Q1073 Q1075:Q1077 Q1079:Q1099">
    <cfRule type="containsText" dxfId="2" priority="18507" operator="containsText" text="Yes">
      <formula>NOT(ISERROR(SEARCH(("Yes"),(Q1064))))</formula>
    </cfRule>
  </conditionalFormatting>
  <conditionalFormatting sqref="Q1064:Q1068 Q1071:Q1073 Q1075:Q1077 Q1079:Q1099">
    <cfRule type="containsText" dxfId="9" priority="18508" operator="containsText" text="No">
      <formula>NOT(ISERROR(SEARCH(("No"),(Q1064))))</formula>
    </cfRule>
  </conditionalFormatting>
  <conditionalFormatting sqref="Q1064:Q1068 Q1071:Q1073 Q1075:Q1077 Q1079:Q1099">
    <cfRule type="containsText" dxfId="2" priority="18509" operator="containsText" text="Yes">
      <formula>NOT(ISERROR(SEARCH(("Yes"),(Q1064))))</formula>
    </cfRule>
  </conditionalFormatting>
  <conditionalFormatting sqref="Q1064:Q1068 Q1071:Q1073 Q1075:Q1077 Q1079:Q1099">
    <cfRule type="containsText" dxfId="9" priority="18510" operator="containsText" text="No">
      <formula>NOT(ISERROR(SEARCH(("No"),(Q1064))))</formula>
    </cfRule>
  </conditionalFormatting>
  <conditionalFormatting sqref="Q1064:Q1068 Q1071:Q1073 Q1075:Q1077 Q1079:Q1099">
    <cfRule type="containsText" dxfId="2" priority="18511" operator="containsText" text="Yes">
      <formula>NOT(ISERROR(SEARCH(("Yes"),(Q1064))))</formula>
    </cfRule>
  </conditionalFormatting>
  <conditionalFormatting sqref="Q1064:Q1068 Q1071:Q1073 Q1075:Q1077 Q1079:Q1099">
    <cfRule type="containsText" dxfId="9" priority="18512" operator="containsText" text="No">
      <formula>NOT(ISERROR(SEARCH(("No"),(Q1064))))</formula>
    </cfRule>
  </conditionalFormatting>
  <conditionalFormatting sqref="Q1064:Q1068 Q1071:Q1073 Q1075:Q1077 Q1079:Q1099">
    <cfRule type="containsText" dxfId="2" priority="18513" operator="containsText" text="Yes">
      <formula>NOT(ISERROR(SEARCH(("Yes"),(Q1064))))</formula>
    </cfRule>
  </conditionalFormatting>
  <conditionalFormatting sqref="Q1064:Q1068 Q1071:Q1073 Q1075:Q1077 Q1079:Q1099">
    <cfRule type="containsText" dxfId="9" priority="18514" operator="containsText" text="No">
      <formula>NOT(ISERROR(SEARCH(("No"),(Q1064))))</formula>
    </cfRule>
  </conditionalFormatting>
  <conditionalFormatting sqref="Q1064:Q1068 Q1071:Q1073 Q1075:Q1077 Q1079:Q1099">
    <cfRule type="containsText" dxfId="2" priority="18515" operator="containsText" text="Yes">
      <formula>NOT(ISERROR(SEARCH(("Yes"),(Q1064))))</formula>
    </cfRule>
  </conditionalFormatting>
  <conditionalFormatting sqref="Q1064:Q1068 Q1071:Q1073 Q1075:Q1077 Q1079:Q1099">
    <cfRule type="containsText" dxfId="9" priority="18516" operator="containsText" text="No">
      <formula>NOT(ISERROR(SEARCH(("No"),(Q1064))))</formula>
    </cfRule>
  </conditionalFormatting>
  <conditionalFormatting sqref="Q1064:Q1068 Q1071:Q1073 Q1075:Q1077 Q1079:Q1099">
    <cfRule type="containsText" dxfId="2" priority="18517" operator="containsText" text="Yes">
      <formula>NOT(ISERROR(SEARCH(("Yes"),(Q1064))))</formula>
    </cfRule>
  </conditionalFormatting>
  <conditionalFormatting sqref="Q1064:Q1068 Q1071:Q1073 Q1075:Q1077 Q1079:Q1099">
    <cfRule type="containsText" dxfId="9" priority="18518" operator="containsText" text="No">
      <formula>NOT(ISERROR(SEARCH(("No"),(Q1064))))</formula>
    </cfRule>
  </conditionalFormatting>
  <conditionalFormatting sqref="Q1064:Q1068 Q1071:Q1073 Q1075:Q1077 Q1079:Q1099">
    <cfRule type="containsText" dxfId="2" priority="18519" operator="containsText" text="Yes">
      <formula>NOT(ISERROR(SEARCH(("Yes"),(Q1064))))</formula>
    </cfRule>
  </conditionalFormatting>
  <conditionalFormatting sqref="Q1064:Q1068 Q1071:Q1073 Q1075:Q1077 Q1079:Q1099">
    <cfRule type="containsText" dxfId="9" priority="18520" operator="containsText" text="No">
      <formula>NOT(ISERROR(SEARCH(("No"),(Q1064))))</formula>
    </cfRule>
  </conditionalFormatting>
  <conditionalFormatting sqref="Q1064:Q1068 Q1071:Q1073 Q1075:Q1077 Q1079:Q1099">
    <cfRule type="containsText" dxfId="2" priority="18521" operator="containsText" text="Yes">
      <formula>NOT(ISERROR(SEARCH(("Yes"),(Q1064))))</formula>
    </cfRule>
  </conditionalFormatting>
  <conditionalFormatting sqref="Q1064:Q1068 Q1071:Q1073 Q1075:Q1077 Q1079:Q1099">
    <cfRule type="containsText" dxfId="9" priority="18522" operator="containsText" text="No">
      <formula>NOT(ISERROR(SEARCH(("No"),(Q1064))))</formula>
    </cfRule>
  </conditionalFormatting>
  <conditionalFormatting sqref="Q1064:Q1068 Q1071:Q1073 Q1075:Q1077 Q1079:Q1099">
    <cfRule type="containsText" dxfId="2" priority="18523" operator="containsText" text="Yes">
      <formula>NOT(ISERROR(SEARCH(("Yes"),(Q1064))))</formula>
    </cfRule>
  </conditionalFormatting>
  <conditionalFormatting sqref="Q1064:Q1068 Q1071:Q1073 Q1075:Q1077 Q1079:Q1099">
    <cfRule type="containsText" dxfId="9" priority="18524" operator="containsText" text="No">
      <formula>NOT(ISERROR(SEARCH(("No"),(Q1064))))</formula>
    </cfRule>
  </conditionalFormatting>
  <conditionalFormatting sqref="Q1064:Q1068 Q1071:Q1073 Q1075:Q1077 Q1079:Q1099">
    <cfRule type="containsText" dxfId="2" priority="18525" operator="containsText" text="Yes">
      <formula>NOT(ISERROR(SEARCH(("Yes"),(Q1064))))</formula>
    </cfRule>
  </conditionalFormatting>
  <conditionalFormatting sqref="Q1064:Q1068 Q1071:Q1073 Q1075:Q1077 Q1079:Q1099">
    <cfRule type="containsText" dxfId="9" priority="18526" operator="containsText" text="No">
      <formula>NOT(ISERROR(SEARCH(("No"),(Q1064))))</formula>
    </cfRule>
  </conditionalFormatting>
  <conditionalFormatting sqref="Q1064:Q1068 Q1071:Q1073 Q1075:Q1077 Q1079:Q1099">
    <cfRule type="containsText" dxfId="2" priority="18527" operator="containsText" text="Yes">
      <formula>NOT(ISERROR(SEARCH(("Yes"),(Q1064))))</formula>
    </cfRule>
  </conditionalFormatting>
  <conditionalFormatting sqref="Q1064:Q1068 Q1071:Q1073 Q1075:Q1077 Q1079:Q1099">
    <cfRule type="containsText" dxfId="9" priority="18528" operator="containsText" text="No">
      <formula>NOT(ISERROR(SEARCH(("No"),(Q1064))))</formula>
    </cfRule>
  </conditionalFormatting>
  <conditionalFormatting sqref="Q1064:Q1068 Q1071:Q1073 Q1075:Q1077 Q1079:Q1099">
    <cfRule type="containsText" dxfId="2" priority="18529" operator="containsText" text="Yes">
      <formula>NOT(ISERROR(SEARCH(("Yes"),(Q1064))))</formula>
    </cfRule>
  </conditionalFormatting>
  <conditionalFormatting sqref="Q1064:Q1068 Q1071:Q1073 Q1075:Q1077 Q1079:Q1099">
    <cfRule type="containsText" dxfId="9" priority="18530" operator="containsText" text="No">
      <formula>NOT(ISERROR(SEARCH(("No"),(Q1064))))</formula>
    </cfRule>
  </conditionalFormatting>
  <conditionalFormatting sqref="Q1064:Q1068 Q1071:Q1073 Q1075:Q1077 Q1079:Q1099">
    <cfRule type="containsText" dxfId="2" priority="18531" operator="containsText" text="Yes">
      <formula>NOT(ISERROR(SEARCH(("Yes"),(Q1064))))</formula>
    </cfRule>
  </conditionalFormatting>
  <conditionalFormatting sqref="Q1064:Q1068 Q1071:Q1073 Q1075:Q1077 Q1079:Q1099">
    <cfRule type="containsText" dxfId="9" priority="18532" operator="containsText" text="No">
      <formula>NOT(ISERROR(SEARCH(("No"),(Q1064))))</formula>
    </cfRule>
  </conditionalFormatting>
  <conditionalFormatting sqref="Q1064:Q1068 Q1071:Q1073 Q1075:Q1077 Q1079:Q1099">
    <cfRule type="containsText" dxfId="2" priority="18533" operator="containsText" text="Yes">
      <formula>NOT(ISERROR(SEARCH(("Yes"),(Q1064))))</formula>
    </cfRule>
  </conditionalFormatting>
  <conditionalFormatting sqref="Q1064:Q1068 Q1071:Q1073 Q1075:Q1077 Q1079:Q1099">
    <cfRule type="containsText" dxfId="9" priority="18534" operator="containsText" text="No">
      <formula>NOT(ISERROR(SEARCH(("No"),(Q1064))))</formula>
    </cfRule>
  </conditionalFormatting>
  <conditionalFormatting sqref="Q1064:Q1068 Q1071:Q1073 Q1075:Q1077 Q1079:Q1099">
    <cfRule type="containsText" dxfId="2" priority="18535" operator="containsText" text="Yes">
      <formula>NOT(ISERROR(SEARCH(("Yes"),(Q1064))))</formula>
    </cfRule>
  </conditionalFormatting>
  <conditionalFormatting sqref="Q1064:Q1068 Q1071:Q1073 Q1075:Q1077 Q1079:Q1099">
    <cfRule type="containsText" dxfId="9" priority="18536" operator="containsText" text="No">
      <formula>NOT(ISERROR(SEARCH(("No"),(Q1064))))</formula>
    </cfRule>
  </conditionalFormatting>
  <conditionalFormatting sqref="Q1064:Q1068 Q1071:Q1073 Q1075:Q1077 Q1079:Q1099">
    <cfRule type="containsText" dxfId="2" priority="18537" operator="containsText" text="Yes">
      <formula>NOT(ISERROR(SEARCH(("Yes"),(Q1064))))</formula>
    </cfRule>
  </conditionalFormatting>
  <conditionalFormatting sqref="Q1064:Q1068 Q1071:Q1073 Q1075:Q1077 Q1079:Q1099">
    <cfRule type="containsText" dxfId="9" priority="18538" operator="containsText" text="No">
      <formula>NOT(ISERROR(SEARCH(("No"),(Q1064))))</formula>
    </cfRule>
  </conditionalFormatting>
  <conditionalFormatting sqref="Q1064:Q1068 Q1071:Q1073 Q1075:Q1077 Q1079:Q1099">
    <cfRule type="containsText" dxfId="2" priority="18539" operator="containsText" text="Yes">
      <formula>NOT(ISERROR(SEARCH(("Yes"),(Q1064))))</formula>
    </cfRule>
  </conditionalFormatting>
  <conditionalFormatting sqref="Q1064:Q1068 Q1071:Q1073 Q1075:Q1077 Q1079:Q1099">
    <cfRule type="containsText" dxfId="9" priority="18540" operator="containsText" text="No">
      <formula>NOT(ISERROR(SEARCH(("No"),(Q1064))))</formula>
    </cfRule>
  </conditionalFormatting>
  <conditionalFormatting sqref="Q1064:Q1068 Q1071:Q1073 Q1075:Q1077 Q1079:Q1099">
    <cfRule type="containsText" dxfId="2" priority="18541" operator="containsText" text="Yes">
      <formula>NOT(ISERROR(SEARCH(("Yes"),(Q1064))))</formula>
    </cfRule>
  </conditionalFormatting>
  <conditionalFormatting sqref="Q1064:Q1068 Q1071:Q1073 Q1075:Q1077 Q1079:Q1099">
    <cfRule type="containsText" dxfId="9" priority="18542" operator="containsText" text="No">
      <formula>NOT(ISERROR(SEARCH(("No"),(Q1064))))</formula>
    </cfRule>
  </conditionalFormatting>
  <conditionalFormatting sqref="Q1064:Q1068 Q1071:Q1073 Q1075:Q1077 Q1079:Q1099">
    <cfRule type="containsText" dxfId="2" priority="18543" operator="containsText" text="Yes">
      <formula>NOT(ISERROR(SEARCH(("Yes"),(Q1064))))</formula>
    </cfRule>
  </conditionalFormatting>
  <conditionalFormatting sqref="Q1064:Q1068 Q1071:Q1073 Q1075:Q1077 Q1079:Q1099">
    <cfRule type="containsText" dxfId="9" priority="18544" operator="containsText" text="No">
      <formula>NOT(ISERROR(SEARCH(("No"),(Q1064))))</formula>
    </cfRule>
  </conditionalFormatting>
  <conditionalFormatting sqref="Q1064:Q1068 Q1071:Q1073 Q1075:Q1077 Q1079:Q1099">
    <cfRule type="containsText" dxfId="2" priority="18545" operator="containsText" text="Yes">
      <formula>NOT(ISERROR(SEARCH(("Yes"),(Q1064))))</formula>
    </cfRule>
  </conditionalFormatting>
  <conditionalFormatting sqref="Q1064:Q1068 Q1071:Q1073 Q1075:Q1077 Q1079:Q1099">
    <cfRule type="containsText" dxfId="9" priority="18546" operator="containsText" text="No">
      <formula>NOT(ISERROR(SEARCH(("No"),(Q1064))))</formula>
    </cfRule>
  </conditionalFormatting>
  <conditionalFormatting sqref="Q1064:Q1068 Q1071:Q1073 Q1075:Q1077 Q1079:Q1099">
    <cfRule type="containsText" dxfId="2" priority="18547" operator="containsText" text="Yes">
      <formula>NOT(ISERROR(SEARCH(("Yes"),(Q1064))))</formula>
    </cfRule>
  </conditionalFormatting>
  <conditionalFormatting sqref="Q1064:Q1068 Q1071:Q1073 Q1075:Q1077 Q1079:Q1099">
    <cfRule type="containsText" dxfId="9" priority="18548" operator="containsText" text="No">
      <formula>NOT(ISERROR(SEARCH(("No"),(Q1064))))</formula>
    </cfRule>
  </conditionalFormatting>
  <conditionalFormatting sqref="Q1064:Q1068 Q1071:Q1073 Q1075:Q1077 Q1079:Q1099">
    <cfRule type="containsText" dxfId="2" priority="18549" operator="containsText" text="Yes">
      <formula>NOT(ISERROR(SEARCH(("Yes"),(Q1064))))</formula>
    </cfRule>
  </conditionalFormatting>
  <conditionalFormatting sqref="Q1064:Q1068 Q1071:Q1073 Q1075:Q1077 Q1079:Q1099">
    <cfRule type="containsText" dxfId="9" priority="18550" operator="containsText" text="No">
      <formula>NOT(ISERROR(SEARCH(("No"),(Q1064))))</formula>
    </cfRule>
  </conditionalFormatting>
  <conditionalFormatting sqref="Q1064:Q1068 Q1071:Q1073 Q1075:Q1077 Q1079:Q1099">
    <cfRule type="containsText" dxfId="2" priority="18551" operator="containsText" text="Yes">
      <formula>NOT(ISERROR(SEARCH(("Yes"),(Q1064))))</formula>
    </cfRule>
  </conditionalFormatting>
  <conditionalFormatting sqref="Q1064:Q1068 Q1071:Q1073 Q1075:Q1077 Q1079:Q1099">
    <cfRule type="containsText" dxfId="9" priority="18552" operator="containsText" text="No">
      <formula>NOT(ISERROR(SEARCH(("No"),(Q1064))))</formula>
    </cfRule>
  </conditionalFormatting>
  <conditionalFormatting sqref="Q1064:Q1068 Q1071:Q1073 Q1075:Q1077 Q1079:Q1099">
    <cfRule type="containsText" dxfId="2" priority="18553" operator="containsText" text="Yes">
      <formula>NOT(ISERROR(SEARCH(("Yes"),(Q1064))))</formula>
    </cfRule>
  </conditionalFormatting>
  <conditionalFormatting sqref="Q1064:Q1068 Q1071:Q1073 Q1075:Q1077 Q1079:Q1099">
    <cfRule type="containsText" dxfId="2" priority="18554" operator="containsText" text="Yes">
      <formula>NOT(ISERROR(SEARCH(("Yes"),(Q1064))))</formula>
    </cfRule>
  </conditionalFormatting>
  <conditionalFormatting sqref="Q1064:Q1068 Q1071:Q1073 Q1075:Q1077 Q1079:Q1099">
    <cfRule type="containsText" dxfId="9" priority="18555" operator="containsText" text="No">
      <formula>NOT(ISERROR(SEARCH(("No"),(Q1064))))</formula>
    </cfRule>
  </conditionalFormatting>
  <conditionalFormatting sqref="Q1064:Q1068 Q1071:Q1073 Q1075:Q1077 Q1079:Q1099">
    <cfRule type="containsText" dxfId="2" priority="18556" operator="containsText" text="Yes">
      <formula>NOT(ISERROR(SEARCH(("Yes"),(Q1064))))</formula>
    </cfRule>
  </conditionalFormatting>
  <conditionalFormatting sqref="Q1101">
    <cfRule type="containsText" dxfId="2" priority="18557" operator="containsText" text="Yes">
      <formula>NOT(ISERROR(SEARCH(("Yes"),(Q1101))))</formula>
    </cfRule>
  </conditionalFormatting>
  <conditionalFormatting sqref="Q1101">
    <cfRule type="containsText" dxfId="9" priority="18558" operator="containsText" text="No">
      <formula>NOT(ISERROR(SEARCH(("No"),(Q1101))))</formula>
    </cfRule>
  </conditionalFormatting>
  <conditionalFormatting sqref="Q1101">
    <cfRule type="containsText" dxfId="2" priority="18559" operator="containsText" text="Yes">
      <formula>NOT(ISERROR(SEARCH(("Yes"),(Q1101))))</formula>
    </cfRule>
  </conditionalFormatting>
  <conditionalFormatting sqref="Q1101">
    <cfRule type="containsText" dxfId="9" priority="18560" operator="containsText" text="No">
      <formula>NOT(ISERROR(SEARCH(("No"),(Q1101))))</formula>
    </cfRule>
  </conditionalFormatting>
  <conditionalFormatting sqref="Q1101">
    <cfRule type="containsText" dxfId="2" priority="18561" operator="containsText" text="Yes">
      <formula>NOT(ISERROR(SEARCH(("Yes"),(Q1101))))</formula>
    </cfRule>
  </conditionalFormatting>
  <conditionalFormatting sqref="Q1101">
    <cfRule type="containsText" dxfId="9" priority="18562" operator="containsText" text="No">
      <formula>NOT(ISERROR(SEARCH(("No"),(Q1101))))</formula>
    </cfRule>
  </conditionalFormatting>
  <conditionalFormatting sqref="Q1101">
    <cfRule type="containsText" dxfId="2" priority="18563" operator="containsText" text="Yes">
      <formula>NOT(ISERROR(SEARCH(("Yes"),(Q1101))))</formula>
    </cfRule>
  </conditionalFormatting>
  <conditionalFormatting sqref="Q1101">
    <cfRule type="containsText" dxfId="9" priority="18564" operator="containsText" text="No">
      <formula>NOT(ISERROR(SEARCH(("No"),(Q1101))))</formula>
    </cfRule>
  </conditionalFormatting>
  <conditionalFormatting sqref="Q1101">
    <cfRule type="containsText" dxfId="2" priority="18565" operator="containsText" text="Yes">
      <formula>NOT(ISERROR(SEARCH(("Yes"),(Q1101))))</formula>
    </cfRule>
  </conditionalFormatting>
  <conditionalFormatting sqref="Q1101">
    <cfRule type="containsText" dxfId="9" priority="18566" operator="containsText" text="No">
      <formula>NOT(ISERROR(SEARCH(("No"),(Q1101))))</formula>
    </cfRule>
  </conditionalFormatting>
  <conditionalFormatting sqref="Q1101">
    <cfRule type="containsText" dxfId="2" priority="18567" operator="containsText" text="Yes">
      <formula>NOT(ISERROR(SEARCH(("Yes"),(Q1101))))</formula>
    </cfRule>
  </conditionalFormatting>
  <conditionalFormatting sqref="Q1101">
    <cfRule type="containsText" dxfId="9" priority="18568" operator="containsText" text="No">
      <formula>NOT(ISERROR(SEARCH(("No"),(Q1101))))</formula>
    </cfRule>
  </conditionalFormatting>
  <conditionalFormatting sqref="Q1101">
    <cfRule type="containsText" dxfId="2" priority="18569" operator="containsText" text="Yes">
      <formula>NOT(ISERROR(SEARCH(("Yes"),(Q1101))))</formula>
    </cfRule>
  </conditionalFormatting>
  <conditionalFormatting sqref="Q1101">
    <cfRule type="containsText" dxfId="9" priority="18570" operator="containsText" text="No">
      <formula>NOT(ISERROR(SEARCH(("No"),(Q1101))))</formula>
    </cfRule>
  </conditionalFormatting>
  <conditionalFormatting sqref="Q1101">
    <cfRule type="containsText" dxfId="2" priority="18571" operator="containsText" text="Yes">
      <formula>NOT(ISERROR(SEARCH(("Yes"),(Q1101))))</formula>
    </cfRule>
  </conditionalFormatting>
  <conditionalFormatting sqref="Q1101">
    <cfRule type="containsText" dxfId="9" priority="18572" operator="containsText" text="No">
      <formula>NOT(ISERROR(SEARCH(("No"),(Q1101))))</formula>
    </cfRule>
  </conditionalFormatting>
  <conditionalFormatting sqref="Q1101">
    <cfRule type="containsText" dxfId="2" priority="18573" operator="containsText" text="Yes">
      <formula>NOT(ISERROR(SEARCH(("Yes"),(Q1101))))</formula>
    </cfRule>
  </conditionalFormatting>
  <conditionalFormatting sqref="Q1101">
    <cfRule type="containsText" dxfId="9" priority="18574" operator="containsText" text="No">
      <formula>NOT(ISERROR(SEARCH(("No"),(Q1101))))</formula>
    </cfRule>
  </conditionalFormatting>
  <conditionalFormatting sqref="Q1101">
    <cfRule type="containsText" dxfId="2" priority="18575" operator="containsText" text="Yes">
      <formula>NOT(ISERROR(SEARCH(("Yes"),(Q1101))))</formula>
    </cfRule>
  </conditionalFormatting>
  <conditionalFormatting sqref="Q1101">
    <cfRule type="containsText" dxfId="9" priority="18576" operator="containsText" text="No">
      <formula>NOT(ISERROR(SEARCH(("No"),(Q1101))))</formula>
    </cfRule>
  </conditionalFormatting>
  <conditionalFormatting sqref="Q1101">
    <cfRule type="containsText" dxfId="2" priority="18577" operator="containsText" text="Yes">
      <formula>NOT(ISERROR(SEARCH(("Yes"),(Q1101))))</formula>
    </cfRule>
  </conditionalFormatting>
  <conditionalFormatting sqref="Q1101">
    <cfRule type="containsText" dxfId="9" priority="18578" operator="containsText" text="No">
      <formula>NOT(ISERROR(SEARCH(("No"),(Q1101))))</formula>
    </cfRule>
  </conditionalFormatting>
  <conditionalFormatting sqref="Q1101">
    <cfRule type="containsText" dxfId="2" priority="18579" operator="containsText" text="Yes">
      <formula>NOT(ISERROR(SEARCH(("Yes"),(Q1101))))</formula>
    </cfRule>
  </conditionalFormatting>
  <conditionalFormatting sqref="Q1101">
    <cfRule type="containsText" dxfId="9" priority="18580" operator="containsText" text="No">
      <formula>NOT(ISERROR(SEARCH(("No"),(Q1101))))</formula>
    </cfRule>
  </conditionalFormatting>
  <conditionalFormatting sqref="Q1101">
    <cfRule type="containsText" dxfId="2" priority="18581" operator="containsText" text="Yes">
      <formula>NOT(ISERROR(SEARCH(("Yes"),(Q1101))))</formula>
    </cfRule>
  </conditionalFormatting>
  <conditionalFormatting sqref="Q1101">
    <cfRule type="containsText" dxfId="9" priority="18582" operator="containsText" text="No">
      <formula>NOT(ISERROR(SEARCH(("No"),(Q1101))))</formula>
    </cfRule>
  </conditionalFormatting>
  <conditionalFormatting sqref="Q1101">
    <cfRule type="containsText" dxfId="2" priority="18583" operator="containsText" text="Yes">
      <formula>NOT(ISERROR(SEARCH(("Yes"),(Q1101))))</formula>
    </cfRule>
  </conditionalFormatting>
  <conditionalFormatting sqref="Q1101">
    <cfRule type="containsText" dxfId="9" priority="18584" operator="containsText" text="No">
      <formula>NOT(ISERROR(SEARCH(("No"),(Q1101))))</formula>
    </cfRule>
  </conditionalFormatting>
  <conditionalFormatting sqref="Q1101">
    <cfRule type="containsText" dxfId="2" priority="18585" operator="containsText" text="Yes">
      <formula>NOT(ISERROR(SEARCH(("Yes"),(Q1101))))</formula>
    </cfRule>
  </conditionalFormatting>
  <conditionalFormatting sqref="Q1101">
    <cfRule type="containsText" dxfId="9" priority="18586" operator="containsText" text="No">
      <formula>NOT(ISERROR(SEARCH(("No"),(Q1101))))</formula>
    </cfRule>
  </conditionalFormatting>
  <conditionalFormatting sqref="Q1101">
    <cfRule type="containsText" dxfId="2" priority="18587" operator="containsText" text="Yes">
      <formula>NOT(ISERROR(SEARCH(("Yes"),(Q1101))))</formula>
    </cfRule>
  </conditionalFormatting>
  <conditionalFormatting sqref="Q1101">
    <cfRule type="containsText" dxfId="9" priority="18588" operator="containsText" text="No">
      <formula>NOT(ISERROR(SEARCH(("No"),(Q1101))))</formula>
    </cfRule>
  </conditionalFormatting>
  <conditionalFormatting sqref="Q1101">
    <cfRule type="containsText" dxfId="2" priority="18589" operator="containsText" text="Yes">
      <formula>NOT(ISERROR(SEARCH(("Yes"),(Q1101))))</formula>
    </cfRule>
  </conditionalFormatting>
  <conditionalFormatting sqref="Q1101">
    <cfRule type="containsText" dxfId="9" priority="18590" operator="containsText" text="No">
      <formula>NOT(ISERROR(SEARCH(("No"),(Q1101))))</formula>
    </cfRule>
  </conditionalFormatting>
  <conditionalFormatting sqref="Q1101">
    <cfRule type="containsText" dxfId="2" priority="18591" operator="containsText" text="Yes">
      <formula>NOT(ISERROR(SEARCH(("Yes"),(Q1101))))</formula>
    </cfRule>
  </conditionalFormatting>
  <conditionalFormatting sqref="Q1101">
    <cfRule type="containsText" dxfId="9" priority="18592" operator="containsText" text="No">
      <formula>NOT(ISERROR(SEARCH(("No"),(Q1101))))</formula>
    </cfRule>
  </conditionalFormatting>
  <conditionalFormatting sqref="Q1101">
    <cfRule type="containsText" dxfId="2" priority="18593" operator="containsText" text="Yes">
      <formula>NOT(ISERROR(SEARCH(("Yes"),(Q1101))))</formula>
    </cfRule>
  </conditionalFormatting>
  <conditionalFormatting sqref="Q1101">
    <cfRule type="containsText" dxfId="9" priority="18594" operator="containsText" text="No">
      <formula>NOT(ISERROR(SEARCH(("No"),(Q1101))))</formula>
    </cfRule>
  </conditionalFormatting>
  <conditionalFormatting sqref="Q1101">
    <cfRule type="containsText" dxfId="2" priority="18595" operator="containsText" text="Yes">
      <formula>NOT(ISERROR(SEARCH(("Yes"),(Q1101))))</formula>
    </cfRule>
  </conditionalFormatting>
  <conditionalFormatting sqref="Q1101">
    <cfRule type="containsText" dxfId="9" priority="18596" operator="containsText" text="No">
      <formula>NOT(ISERROR(SEARCH(("No"),(Q1101))))</formula>
    </cfRule>
  </conditionalFormatting>
  <conditionalFormatting sqref="Q1101">
    <cfRule type="containsText" dxfId="2" priority="18597" operator="containsText" text="Yes">
      <formula>NOT(ISERROR(SEARCH(("Yes"),(Q1101))))</formula>
    </cfRule>
  </conditionalFormatting>
  <conditionalFormatting sqref="Q1101">
    <cfRule type="containsText" dxfId="9" priority="18598" operator="containsText" text="No">
      <formula>NOT(ISERROR(SEARCH(("No"),(Q1101))))</formula>
    </cfRule>
  </conditionalFormatting>
  <conditionalFormatting sqref="Q1101">
    <cfRule type="containsText" dxfId="2" priority="18599" operator="containsText" text="Yes">
      <formula>NOT(ISERROR(SEARCH(("Yes"),(Q1101))))</formula>
    </cfRule>
  </conditionalFormatting>
  <conditionalFormatting sqref="Q1101">
    <cfRule type="containsText" dxfId="9" priority="18600" operator="containsText" text="No">
      <formula>NOT(ISERROR(SEARCH(("No"),(Q1101))))</formula>
    </cfRule>
  </conditionalFormatting>
  <conditionalFormatting sqref="Q1101">
    <cfRule type="containsText" dxfId="2" priority="18601" operator="containsText" text="Yes">
      <formula>NOT(ISERROR(SEARCH(("Yes"),(Q1101))))</formula>
    </cfRule>
  </conditionalFormatting>
  <conditionalFormatting sqref="Q1101">
    <cfRule type="containsText" dxfId="9" priority="18602" operator="containsText" text="No">
      <formula>NOT(ISERROR(SEARCH(("No"),(Q1101))))</formula>
    </cfRule>
  </conditionalFormatting>
  <conditionalFormatting sqref="Q1101">
    <cfRule type="containsText" dxfId="2" priority="18603" operator="containsText" text="Yes">
      <formula>NOT(ISERROR(SEARCH(("Yes"),(Q1101))))</formula>
    </cfRule>
  </conditionalFormatting>
  <conditionalFormatting sqref="Q1101">
    <cfRule type="containsText" dxfId="9" priority="18604" operator="containsText" text="No">
      <formula>NOT(ISERROR(SEARCH(("No"),(Q1101))))</formula>
    </cfRule>
  </conditionalFormatting>
  <conditionalFormatting sqref="Q1101">
    <cfRule type="containsText" dxfId="2" priority="18605" operator="containsText" text="Yes">
      <formula>NOT(ISERROR(SEARCH(("Yes"),(Q1101))))</formula>
    </cfRule>
  </conditionalFormatting>
  <conditionalFormatting sqref="Q1101">
    <cfRule type="containsText" dxfId="9" priority="18606" operator="containsText" text="No">
      <formula>NOT(ISERROR(SEARCH(("No"),(Q1101))))</formula>
    </cfRule>
  </conditionalFormatting>
  <conditionalFormatting sqref="Q1101">
    <cfRule type="containsText" dxfId="2" priority="18607" operator="containsText" text="Yes">
      <formula>NOT(ISERROR(SEARCH(("Yes"),(Q1101))))</formula>
    </cfRule>
  </conditionalFormatting>
  <conditionalFormatting sqref="Q1101">
    <cfRule type="containsText" dxfId="9" priority="18608" operator="containsText" text="No">
      <formula>NOT(ISERROR(SEARCH(("No"),(Q1101))))</formula>
    </cfRule>
  </conditionalFormatting>
  <conditionalFormatting sqref="Q1101">
    <cfRule type="containsText" dxfId="2" priority="18609" operator="containsText" text="Yes">
      <formula>NOT(ISERROR(SEARCH(("Yes"),(Q1101))))</formula>
    </cfRule>
  </conditionalFormatting>
  <conditionalFormatting sqref="Q1101">
    <cfRule type="containsText" dxfId="9" priority="18610" operator="containsText" text="No">
      <formula>NOT(ISERROR(SEARCH(("No"),(Q1101))))</formula>
    </cfRule>
  </conditionalFormatting>
  <conditionalFormatting sqref="Q1101">
    <cfRule type="containsText" dxfId="2" priority="18611" operator="containsText" text="Yes">
      <formula>NOT(ISERROR(SEARCH(("Yes"),(Q1101))))</formula>
    </cfRule>
  </conditionalFormatting>
  <conditionalFormatting sqref="Q1101">
    <cfRule type="containsText" dxfId="9" priority="18612" operator="containsText" text="No">
      <formula>NOT(ISERROR(SEARCH(("No"),(Q1101))))</formula>
    </cfRule>
  </conditionalFormatting>
  <conditionalFormatting sqref="Q1101">
    <cfRule type="containsText" dxfId="2" priority="18613" operator="containsText" text="Yes">
      <formula>NOT(ISERROR(SEARCH(("Yes"),(Q1101))))</formula>
    </cfRule>
  </conditionalFormatting>
  <conditionalFormatting sqref="Q1101">
    <cfRule type="containsText" dxfId="9" priority="18614" operator="containsText" text="No">
      <formula>NOT(ISERROR(SEARCH(("No"),(Q1101))))</formula>
    </cfRule>
  </conditionalFormatting>
  <conditionalFormatting sqref="Q1101">
    <cfRule type="containsText" dxfId="2" priority="18615" operator="containsText" text="Yes">
      <formula>NOT(ISERROR(SEARCH(("Yes"),(Q1101))))</formula>
    </cfRule>
  </conditionalFormatting>
  <conditionalFormatting sqref="Q1101">
    <cfRule type="containsText" dxfId="9" priority="18616" operator="containsText" text="No">
      <formula>NOT(ISERROR(SEARCH(("No"),(Q1101))))</formula>
    </cfRule>
  </conditionalFormatting>
  <conditionalFormatting sqref="Q1101">
    <cfRule type="containsText" dxfId="2" priority="18617" operator="containsText" text="Yes">
      <formula>NOT(ISERROR(SEARCH(("Yes"),(Q1101))))</formula>
    </cfRule>
  </conditionalFormatting>
  <conditionalFormatting sqref="Q1101">
    <cfRule type="containsText" dxfId="9" priority="18618" operator="containsText" text="No">
      <formula>NOT(ISERROR(SEARCH(("No"),(Q1101))))</formula>
    </cfRule>
  </conditionalFormatting>
  <conditionalFormatting sqref="Q1101">
    <cfRule type="containsText" dxfId="2" priority="18619" operator="containsText" text="Yes">
      <formula>NOT(ISERROR(SEARCH(("Yes"),(Q1101))))</formula>
    </cfRule>
  </conditionalFormatting>
  <conditionalFormatting sqref="Q1101">
    <cfRule type="containsText" dxfId="9" priority="18620" operator="containsText" text="No">
      <formula>NOT(ISERROR(SEARCH(("No"),(Q1101))))</formula>
    </cfRule>
  </conditionalFormatting>
  <conditionalFormatting sqref="Q1101">
    <cfRule type="containsText" dxfId="2" priority="18621" operator="containsText" text="Yes">
      <formula>NOT(ISERROR(SEARCH(("Yes"),(Q1101))))</formula>
    </cfRule>
  </conditionalFormatting>
  <conditionalFormatting sqref="Q1101">
    <cfRule type="containsText" dxfId="9" priority="18622" operator="containsText" text="No">
      <formula>NOT(ISERROR(SEARCH(("No"),(Q1101))))</formula>
    </cfRule>
  </conditionalFormatting>
  <conditionalFormatting sqref="Q1101">
    <cfRule type="containsText" dxfId="2" priority="18623" operator="containsText" text="Yes">
      <formula>NOT(ISERROR(SEARCH(("Yes"),(Q1101))))</formula>
    </cfRule>
  </conditionalFormatting>
  <conditionalFormatting sqref="Q1101">
    <cfRule type="containsText" dxfId="9" priority="18624" operator="containsText" text="No">
      <formula>NOT(ISERROR(SEARCH(("No"),(Q1101))))</formula>
    </cfRule>
  </conditionalFormatting>
  <conditionalFormatting sqref="Q1101">
    <cfRule type="containsText" dxfId="2" priority="18625" operator="containsText" text="Yes">
      <formula>NOT(ISERROR(SEARCH(("Yes"),(Q1101))))</formula>
    </cfRule>
  </conditionalFormatting>
  <conditionalFormatting sqref="Q1101">
    <cfRule type="containsText" dxfId="9" priority="18626" operator="containsText" text="No">
      <formula>NOT(ISERROR(SEARCH(("No"),(Q1101))))</formula>
    </cfRule>
  </conditionalFormatting>
  <conditionalFormatting sqref="Q1101">
    <cfRule type="containsText" dxfId="2" priority="18627" operator="containsText" text="Yes">
      <formula>NOT(ISERROR(SEARCH(("Yes"),(Q1101))))</formula>
    </cfRule>
  </conditionalFormatting>
  <conditionalFormatting sqref="Q1101">
    <cfRule type="containsText" dxfId="9" priority="18628" operator="containsText" text="No">
      <formula>NOT(ISERROR(SEARCH(("No"),(Q1101))))</formula>
    </cfRule>
  </conditionalFormatting>
  <conditionalFormatting sqref="Q1101">
    <cfRule type="containsText" dxfId="2" priority="18629" operator="containsText" text="Yes">
      <formula>NOT(ISERROR(SEARCH(("Yes"),(Q1101))))</formula>
    </cfRule>
  </conditionalFormatting>
  <conditionalFormatting sqref="Q1101">
    <cfRule type="containsText" dxfId="9" priority="18630" operator="containsText" text="No">
      <formula>NOT(ISERROR(SEARCH(("No"),(Q1101))))</formula>
    </cfRule>
  </conditionalFormatting>
  <conditionalFormatting sqref="Q1101">
    <cfRule type="containsText" dxfId="2" priority="18631" operator="containsText" text="Yes">
      <formula>NOT(ISERROR(SEARCH(("Yes"),(Q1101))))</formula>
    </cfRule>
  </conditionalFormatting>
  <conditionalFormatting sqref="Q1101">
    <cfRule type="containsText" dxfId="9" priority="18632" operator="containsText" text="No">
      <formula>NOT(ISERROR(SEARCH(("No"),(Q1101))))</formula>
    </cfRule>
  </conditionalFormatting>
  <conditionalFormatting sqref="Q1101">
    <cfRule type="containsText" dxfId="2" priority="18633" operator="containsText" text="Yes">
      <formula>NOT(ISERROR(SEARCH(("Yes"),(Q1101))))</formula>
    </cfRule>
  </conditionalFormatting>
  <conditionalFormatting sqref="Q1101">
    <cfRule type="containsText" dxfId="9" priority="18634" operator="containsText" text="No">
      <formula>NOT(ISERROR(SEARCH(("No"),(Q1101))))</formula>
    </cfRule>
  </conditionalFormatting>
  <conditionalFormatting sqref="Q1101">
    <cfRule type="containsText" dxfId="2" priority="18635" operator="containsText" text="Yes">
      <formula>NOT(ISERROR(SEARCH(("Yes"),(Q1101))))</formula>
    </cfRule>
  </conditionalFormatting>
  <conditionalFormatting sqref="Q1101">
    <cfRule type="containsText" dxfId="9" priority="18636" operator="containsText" text="No">
      <formula>NOT(ISERROR(SEARCH(("No"),(Q1101))))</formula>
    </cfRule>
  </conditionalFormatting>
  <conditionalFormatting sqref="Q1101">
    <cfRule type="containsText" dxfId="2" priority="18637" operator="containsText" text="Yes">
      <formula>NOT(ISERROR(SEARCH(("Yes"),(Q1101))))</formula>
    </cfRule>
  </conditionalFormatting>
  <conditionalFormatting sqref="Q1101">
    <cfRule type="containsText" dxfId="9" priority="18638" operator="containsText" text="No">
      <formula>NOT(ISERROR(SEARCH(("No"),(Q1101))))</formula>
    </cfRule>
  </conditionalFormatting>
  <conditionalFormatting sqref="Q1101">
    <cfRule type="containsText" dxfId="2" priority="18639" operator="containsText" text="Yes">
      <formula>NOT(ISERROR(SEARCH(("Yes"),(Q1101))))</formula>
    </cfRule>
  </conditionalFormatting>
  <conditionalFormatting sqref="Q1101">
    <cfRule type="containsText" dxfId="9" priority="18640" operator="containsText" text="No">
      <formula>NOT(ISERROR(SEARCH(("No"),(Q1101))))</formula>
    </cfRule>
  </conditionalFormatting>
  <conditionalFormatting sqref="Q1101">
    <cfRule type="containsText" dxfId="2" priority="18641" operator="containsText" text="Yes">
      <formula>NOT(ISERROR(SEARCH(("Yes"),(Q1101))))</formula>
    </cfRule>
  </conditionalFormatting>
  <conditionalFormatting sqref="Q1101">
    <cfRule type="containsText" dxfId="9" priority="18642" operator="containsText" text="No">
      <formula>NOT(ISERROR(SEARCH(("No"),(Q1101))))</formula>
    </cfRule>
  </conditionalFormatting>
  <conditionalFormatting sqref="Q1101">
    <cfRule type="containsText" dxfId="2" priority="18643" operator="containsText" text="Yes">
      <formula>NOT(ISERROR(SEARCH(("Yes"),(Q1101))))</formula>
    </cfRule>
  </conditionalFormatting>
  <conditionalFormatting sqref="Q1101">
    <cfRule type="containsText" dxfId="9" priority="18644" operator="containsText" text="No">
      <formula>NOT(ISERROR(SEARCH(("No"),(Q1101))))</formula>
    </cfRule>
  </conditionalFormatting>
  <conditionalFormatting sqref="Q1101">
    <cfRule type="containsText" dxfId="2" priority="18645" operator="containsText" text="Yes">
      <formula>NOT(ISERROR(SEARCH(("Yes"),(Q1101))))</formula>
    </cfRule>
  </conditionalFormatting>
  <conditionalFormatting sqref="Q1101">
    <cfRule type="containsText" dxfId="2" priority="18646" operator="containsText" text="Yes">
      <formula>NOT(ISERROR(SEARCH(("Yes"),(Q1101))))</formula>
    </cfRule>
  </conditionalFormatting>
  <conditionalFormatting sqref="Q1101">
    <cfRule type="containsText" dxfId="9" priority="18647" operator="containsText" text="No">
      <formula>NOT(ISERROR(SEARCH(("No"),(Q1101))))</formula>
    </cfRule>
  </conditionalFormatting>
  <conditionalFormatting sqref="Q1101">
    <cfRule type="containsText" dxfId="2" priority="18648" operator="containsText" text="Yes">
      <formula>NOT(ISERROR(SEARCH(("Yes"),(Q1101))))</formula>
    </cfRule>
  </conditionalFormatting>
  <conditionalFormatting sqref="Q1102">
    <cfRule type="containsText" dxfId="2" priority="18649" operator="containsText" text="Yes">
      <formula>NOT(ISERROR(SEARCH(("Yes"),(Q1102))))</formula>
    </cfRule>
  </conditionalFormatting>
  <conditionalFormatting sqref="Q1102">
    <cfRule type="containsText" dxfId="9" priority="18650" operator="containsText" text="No">
      <formula>NOT(ISERROR(SEARCH(("No"),(Q1102))))</formula>
    </cfRule>
  </conditionalFormatting>
  <conditionalFormatting sqref="Q1102">
    <cfRule type="containsText" dxfId="2" priority="18651" operator="containsText" text="Yes">
      <formula>NOT(ISERROR(SEARCH(("Yes"),(Q1102))))</formula>
    </cfRule>
  </conditionalFormatting>
  <conditionalFormatting sqref="Q1102">
    <cfRule type="containsText" dxfId="9" priority="18652" operator="containsText" text="No">
      <formula>NOT(ISERROR(SEARCH(("No"),(Q1102))))</formula>
    </cfRule>
  </conditionalFormatting>
  <conditionalFormatting sqref="Q1102">
    <cfRule type="containsText" dxfId="2" priority="18653" operator="containsText" text="Yes">
      <formula>NOT(ISERROR(SEARCH(("Yes"),(Q1102))))</formula>
    </cfRule>
  </conditionalFormatting>
  <conditionalFormatting sqref="Q1102">
    <cfRule type="containsText" dxfId="9" priority="18654" operator="containsText" text="No">
      <formula>NOT(ISERROR(SEARCH(("No"),(Q1102))))</formula>
    </cfRule>
  </conditionalFormatting>
  <conditionalFormatting sqref="Q1102">
    <cfRule type="containsText" dxfId="2" priority="18655" operator="containsText" text="Yes">
      <formula>NOT(ISERROR(SEARCH(("Yes"),(Q1102))))</formula>
    </cfRule>
  </conditionalFormatting>
  <conditionalFormatting sqref="Q1102">
    <cfRule type="containsText" dxfId="9" priority="18656" operator="containsText" text="No">
      <formula>NOT(ISERROR(SEARCH(("No"),(Q1102))))</formula>
    </cfRule>
  </conditionalFormatting>
  <conditionalFormatting sqref="Q1102">
    <cfRule type="containsText" dxfId="2" priority="18657" operator="containsText" text="Yes">
      <formula>NOT(ISERROR(SEARCH(("Yes"),(Q1102))))</formula>
    </cfRule>
  </conditionalFormatting>
  <conditionalFormatting sqref="Q1102">
    <cfRule type="containsText" dxfId="9" priority="18658" operator="containsText" text="No">
      <formula>NOT(ISERROR(SEARCH(("No"),(Q1102))))</formula>
    </cfRule>
  </conditionalFormatting>
  <conditionalFormatting sqref="Q1102">
    <cfRule type="containsText" dxfId="2" priority="18659" operator="containsText" text="Yes">
      <formula>NOT(ISERROR(SEARCH(("Yes"),(Q1102))))</formula>
    </cfRule>
  </conditionalFormatting>
  <conditionalFormatting sqref="Q1102">
    <cfRule type="containsText" dxfId="9" priority="18660" operator="containsText" text="No">
      <formula>NOT(ISERROR(SEARCH(("No"),(Q1102))))</formula>
    </cfRule>
  </conditionalFormatting>
  <conditionalFormatting sqref="Q1102">
    <cfRule type="containsText" dxfId="2" priority="18661" operator="containsText" text="Yes">
      <formula>NOT(ISERROR(SEARCH(("Yes"),(Q1102))))</formula>
    </cfRule>
  </conditionalFormatting>
  <conditionalFormatting sqref="Q1102">
    <cfRule type="containsText" dxfId="9" priority="18662" operator="containsText" text="No">
      <formula>NOT(ISERROR(SEARCH(("No"),(Q1102))))</formula>
    </cfRule>
  </conditionalFormatting>
  <conditionalFormatting sqref="Q1102">
    <cfRule type="containsText" dxfId="2" priority="18663" operator="containsText" text="Yes">
      <formula>NOT(ISERROR(SEARCH(("Yes"),(Q1102))))</formula>
    </cfRule>
  </conditionalFormatting>
  <conditionalFormatting sqref="Q1102">
    <cfRule type="containsText" dxfId="9" priority="18664" operator="containsText" text="No">
      <formula>NOT(ISERROR(SEARCH(("No"),(Q1102))))</formula>
    </cfRule>
  </conditionalFormatting>
  <conditionalFormatting sqref="Q1102">
    <cfRule type="containsText" dxfId="2" priority="18665" operator="containsText" text="Yes">
      <formula>NOT(ISERROR(SEARCH(("Yes"),(Q1102))))</formula>
    </cfRule>
  </conditionalFormatting>
  <conditionalFormatting sqref="Q1102">
    <cfRule type="containsText" dxfId="9" priority="18666" operator="containsText" text="No">
      <formula>NOT(ISERROR(SEARCH(("No"),(Q1102))))</formula>
    </cfRule>
  </conditionalFormatting>
  <conditionalFormatting sqref="Q1102">
    <cfRule type="containsText" dxfId="2" priority="18667" operator="containsText" text="Yes">
      <formula>NOT(ISERROR(SEARCH(("Yes"),(Q1102))))</formula>
    </cfRule>
  </conditionalFormatting>
  <conditionalFormatting sqref="Q1102">
    <cfRule type="containsText" dxfId="9" priority="18668" operator="containsText" text="No">
      <formula>NOT(ISERROR(SEARCH(("No"),(Q1102))))</formula>
    </cfRule>
  </conditionalFormatting>
  <conditionalFormatting sqref="Q1102">
    <cfRule type="containsText" dxfId="2" priority="18669" operator="containsText" text="Yes">
      <formula>NOT(ISERROR(SEARCH(("Yes"),(Q1102))))</formula>
    </cfRule>
  </conditionalFormatting>
  <conditionalFormatting sqref="Q1102">
    <cfRule type="containsText" dxfId="9" priority="18670" operator="containsText" text="No">
      <formula>NOT(ISERROR(SEARCH(("No"),(Q1102))))</formula>
    </cfRule>
  </conditionalFormatting>
  <conditionalFormatting sqref="Q1102">
    <cfRule type="containsText" dxfId="2" priority="18671" operator="containsText" text="Yes">
      <formula>NOT(ISERROR(SEARCH(("Yes"),(Q1102))))</formula>
    </cfRule>
  </conditionalFormatting>
  <conditionalFormatting sqref="Q1102">
    <cfRule type="containsText" dxfId="9" priority="18672" operator="containsText" text="No">
      <formula>NOT(ISERROR(SEARCH(("No"),(Q1102))))</formula>
    </cfRule>
  </conditionalFormatting>
  <conditionalFormatting sqref="Q1102">
    <cfRule type="containsText" dxfId="2" priority="18673" operator="containsText" text="Yes">
      <formula>NOT(ISERROR(SEARCH(("Yes"),(Q1102))))</formula>
    </cfRule>
  </conditionalFormatting>
  <conditionalFormatting sqref="Q1102">
    <cfRule type="containsText" dxfId="9" priority="18674" operator="containsText" text="No">
      <formula>NOT(ISERROR(SEARCH(("No"),(Q1102))))</formula>
    </cfRule>
  </conditionalFormatting>
  <conditionalFormatting sqref="Q1102">
    <cfRule type="containsText" dxfId="2" priority="18675" operator="containsText" text="Yes">
      <formula>NOT(ISERROR(SEARCH(("Yes"),(Q1102))))</formula>
    </cfRule>
  </conditionalFormatting>
  <conditionalFormatting sqref="Q1102">
    <cfRule type="containsText" dxfId="9" priority="18676" operator="containsText" text="No">
      <formula>NOT(ISERROR(SEARCH(("No"),(Q1102))))</formula>
    </cfRule>
  </conditionalFormatting>
  <conditionalFormatting sqref="Q1102">
    <cfRule type="containsText" dxfId="2" priority="18677" operator="containsText" text="Yes">
      <formula>NOT(ISERROR(SEARCH(("Yes"),(Q1102))))</formula>
    </cfRule>
  </conditionalFormatting>
  <conditionalFormatting sqref="Q1102">
    <cfRule type="containsText" dxfId="9" priority="18678" operator="containsText" text="No">
      <formula>NOT(ISERROR(SEARCH(("No"),(Q1102))))</formula>
    </cfRule>
  </conditionalFormatting>
  <conditionalFormatting sqref="Q1102">
    <cfRule type="containsText" dxfId="2" priority="18679" operator="containsText" text="Yes">
      <formula>NOT(ISERROR(SEARCH(("Yes"),(Q1102))))</formula>
    </cfRule>
  </conditionalFormatting>
  <conditionalFormatting sqref="Q1102">
    <cfRule type="containsText" dxfId="9" priority="18680" operator="containsText" text="No">
      <formula>NOT(ISERROR(SEARCH(("No"),(Q1102))))</formula>
    </cfRule>
  </conditionalFormatting>
  <conditionalFormatting sqref="Q1102">
    <cfRule type="containsText" dxfId="2" priority="18681" operator="containsText" text="Yes">
      <formula>NOT(ISERROR(SEARCH(("Yes"),(Q1102))))</formula>
    </cfRule>
  </conditionalFormatting>
  <conditionalFormatting sqref="Q1102">
    <cfRule type="containsText" dxfId="9" priority="18682" operator="containsText" text="No">
      <formula>NOT(ISERROR(SEARCH(("No"),(Q1102))))</formula>
    </cfRule>
  </conditionalFormatting>
  <conditionalFormatting sqref="Q1102">
    <cfRule type="containsText" dxfId="2" priority="18683" operator="containsText" text="Yes">
      <formula>NOT(ISERROR(SEARCH(("Yes"),(Q1102))))</formula>
    </cfRule>
  </conditionalFormatting>
  <conditionalFormatting sqref="Q1102">
    <cfRule type="containsText" dxfId="9" priority="18684" operator="containsText" text="No">
      <formula>NOT(ISERROR(SEARCH(("No"),(Q1102))))</formula>
    </cfRule>
  </conditionalFormatting>
  <conditionalFormatting sqref="Q1102">
    <cfRule type="containsText" dxfId="2" priority="18685" operator="containsText" text="Yes">
      <formula>NOT(ISERROR(SEARCH(("Yes"),(Q1102))))</formula>
    </cfRule>
  </conditionalFormatting>
  <conditionalFormatting sqref="Q1102">
    <cfRule type="containsText" dxfId="9" priority="18686" operator="containsText" text="No">
      <formula>NOT(ISERROR(SEARCH(("No"),(Q1102))))</formula>
    </cfRule>
  </conditionalFormatting>
  <conditionalFormatting sqref="Q1102">
    <cfRule type="containsText" dxfId="2" priority="18687" operator="containsText" text="Yes">
      <formula>NOT(ISERROR(SEARCH(("Yes"),(Q1102))))</formula>
    </cfRule>
  </conditionalFormatting>
  <conditionalFormatting sqref="Q1102">
    <cfRule type="containsText" dxfId="9" priority="18688" operator="containsText" text="No">
      <formula>NOT(ISERROR(SEARCH(("No"),(Q1102))))</formula>
    </cfRule>
  </conditionalFormatting>
  <conditionalFormatting sqref="Q1102">
    <cfRule type="containsText" dxfId="2" priority="18689" operator="containsText" text="Yes">
      <formula>NOT(ISERROR(SEARCH(("Yes"),(Q1102))))</formula>
    </cfRule>
  </conditionalFormatting>
  <conditionalFormatting sqref="Q1102">
    <cfRule type="containsText" dxfId="9" priority="18690" operator="containsText" text="No">
      <formula>NOT(ISERROR(SEARCH(("No"),(Q1102))))</formula>
    </cfRule>
  </conditionalFormatting>
  <conditionalFormatting sqref="Q1102">
    <cfRule type="containsText" dxfId="2" priority="18691" operator="containsText" text="Yes">
      <formula>NOT(ISERROR(SEARCH(("Yes"),(Q1102))))</formula>
    </cfRule>
  </conditionalFormatting>
  <conditionalFormatting sqref="Q1102">
    <cfRule type="containsText" dxfId="9" priority="18692" operator="containsText" text="No">
      <formula>NOT(ISERROR(SEARCH(("No"),(Q1102))))</formula>
    </cfRule>
  </conditionalFormatting>
  <conditionalFormatting sqref="Q1102">
    <cfRule type="containsText" dxfId="2" priority="18693" operator="containsText" text="Yes">
      <formula>NOT(ISERROR(SEARCH(("Yes"),(Q1102))))</formula>
    </cfRule>
  </conditionalFormatting>
  <conditionalFormatting sqref="Q1102">
    <cfRule type="containsText" dxfId="9" priority="18694" operator="containsText" text="No">
      <formula>NOT(ISERROR(SEARCH(("No"),(Q1102))))</formula>
    </cfRule>
  </conditionalFormatting>
  <conditionalFormatting sqref="Q1102">
    <cfRule type="containsText" dxfId="2" priority="18695" operator="containsText" text="Yes">
      <formula>NOT(ISERROR(SEARCH(("Yes"),(Q1102))))</formula>
    </cfRule>
  </conditionalFormatting>
  <conditionalFormatting sqref="Q1102">
    <cfRule type="containsText" dxfId="9" priority="18696" operator="containsText" text="No">
      <formula>NOT(ISERROR(SEARCH(("No"),(Q1102))))</formula>
    </cfRule>
  </conditionalFormatting>
  <conditionalFormatting sqref="Q1102">
    <cfRule type="containsText" dxfId="2" priority="18697" operator="containsText" text="Yes">
      <formula>NOT(ISERROR(SEARCH(("Yes"),(Q1102))))</formula>
    </cfRule>
  </conditionalFormatting>
  <conditionalFormatting sqref="Q1102">
    <cfRule type="containsText" dxfId="9" priority="18698" operator="containsText" text="No">
      <formula>NOT(ISERROR(SEARCH(("No"),(Q1102))))</formula>
    </cfRule>
  </conditionalFormatting>
  <conditionalFormatting sqref="Q1102">
    <cfRule type="containsText" dxfId="2" priority="18699" operator="containsText" text="Yes">
      <formula>NOT(ISERROR(SEARCH(("Yes"),(Q1102))))</formula>
    </cfRule>
  </conditionalFormatting>
  <conditionalFormatting sqref="Q1102">
    <cfRule type="containsText" dxfId="9" priority="18700" operator="containsText" text="No">
      <formula>NOT(ISERROR(SEARCH(("No"),(Q1102))))</formula>
    </cfRule>
  </conditionalFormatting>
  <conditionalFormatting sqref="Q1102">
    <cfRule type="containsText" dxfId="2" priority="18701" operator="containsText" text="Yes">
      <formula>NOT(ISERROR(SEARCH(("Yes"),(Q1102))))</formula>
    </cfRule>
  </conditionalFormatting>
  <conditionalFormatting sqref="Q1102">
    <cfRule type="containsText" dxfId="9" priority="18702" operator="containsText" text="No">
      <formula>NOT(ISERROR(SEARCH(("No"),(Q1102))))</formula>
    </cfRule>
  </conditionalFormatting>
  <conditionalFormatting sqref="Q1102">
    <cfRule type="containsText" dxfId="2" priority="18703" operator="containsText" text="Yes">
      <formula>NOT(ISERROR(SEARCH(("Yes"),(Q1102))))</formula>
    </cfRule>
  </conditionalFormatting>
  <conditionalFormatting sqref="Q1102">
    <cfRule type="containsText" dxfId="9" priority="18704" operator="containsText" text="No">
      <formula>NOT(ISERROR(SEARCH(("No"),(Q1102))))</formula>
    </cfRule>
  </conditionalFormatting>
  <conditionalFormatting sqref="Q1102">
    <cfRule type="containsText" dxfId="2" priority="18705" operator="containsText" text="Yes">
      <formula>NOT(ISERROR(SEARCH(("Yes"),(Q1102))))</formula>
    </cfRule>
  </conditionalFormatting>
  <conditionalFormatting sqref="Q1102">
    <cfRule type="containsText" dxfId="9" priority="18706" operator="containsText" text="No">
      <formula>NOT(ISERROR(SEARCH(("No"),(Q1102))))</formula>
    </cfRule>
  </conditionalFormatting>
  <conditionalFormatting sqref="Q1102">
    <cfRule type="containsText" dxfId="2" priority="18707" operator="containsText" text="Yes">
      <formula>NOT(ISERROR(SEARCH(("Yes"),(Q1102))))</formula>
    </cfRule>
  </conditionalFormatting>
  <conditionalFormatting sqref="Q1102">
    <cfRule type="containsText" dxfId="9" priority="18708" operator="containsText" text="No">
      <formula>NOT(ISERROR(SEARCH(("No"),(Q1102))))</formula>
    </cfRule>
  </conditionalFormatting>
  <conditionalFormatting sqref="Q1102">
    <cfRule type="containsText" dxfId="2" priority="18709" operator="containsText" text="Yes">
      <formula>NOT(ISERROR(SEARCH(("Yes"),(Q1102))))</formula>
    </cfRule>
  </conditionalFormatting>
  <conditionalFormatting sqref="Q1102">
    <cfRule type="containsText" dxfId="9" priority="18710" operator="containsText" text="No">
      <formula>NOT(ISERROR(SEARCH(("No"),(Q1102))))</formula>
    </cfRule>
  </conditionalFormatting>
  <conditionalFormatting sqref="Q1102">
    <cfRule type="containsText" dxfId="2" priority="18711" operator="containsText" text="Yes">
      <formula>NOT(ISERROR(SEARCH(("Yes"),(Q1102))))</formula>
    </cfRule>
  </conditionalFormatting>
  <conditionalFormatting sqref="Q1102">
    <cfRule type="containsText" dxfId="9" priority="18712" operator="containsText" text="No">
      <formula>NOT(ISERROR(SEARCH(("No"),(Q1102))))</formula>
    </cfRule>
  </conditionalFormatting>
  <conditionalFormatting sqref="Q1102">
    <cfRule type="containsText" dxfId="2" priority="18713" operator="containsText" text="Yes">
      <formula>NOT(ISERROR(SEARCH(("Yes"),(Q1102))))</formula>
    </cfRule>
  </conditionalFormatting>
  <conditionalFormatting sqref="Q1102">
    <cfRule type="containsText" dxfId="9" priority="18714" operator="containsText" text="No">
      <formula>NOT(ISERROR(SEARCH(("No"),(Q1102))))</formula>
    </cfRule>
  </conditionalFormatting>
  <conditionalFormatting sqref="Q1102">
    <cfRule type="containsText" dxfId="2" priority="18715" operator="containsText" text="Yes">
      <formula>NOT(ISERROR(SEARCH(("Yes"),(Q1102))))</formula>
    </cfRule>
  </conditionalFormatting>
  <conditionalFormatting sqref="Q1102">
    <cfRule type="containsText" dxfId="9" priority="18716" operator="containsText" text="No">
      <formula>NOT(ISERROR(SEARCH(("No"),(Q1102))))</formula>
    </cfRule>
  </conditionalFormatting>
  <conditionalFormatting sqref="Q1102">
    <cfRule type="containsText" dxfId="2" priority="18717" operator="containsText" text="Yes">
      <formula>NOT(ISERROR(SEARCH(("Yes"),(Q1102))))</formula>
    </cfRule>
  </conditionalFormatting>
  <conditionalFormatting sqref="Q1102">
    <cfRule type="containsText" dxfId="9" priority="18718" operator="containsText" text="No">
      <formula>NOT(ISERROR(SEARCH(("No"),(Q1102))))</formula>
    </cfRule>
  </conditionalFormatting>
  <conditionalFormatting sqref="Q1102">
    <cfRule type="containsText" dxfId="2" priority="18719" operator="containsText" text="Yes">
      <formula>NOT(ISERROR(SEARCH(("Yes"),(Q1102))))</formula>
    </cfRule>
  </conditionalFormatting>
  <conditionalFormatting sqref="Q1102">
    <cfRule type="containsText" dxfId="9" priority="18720" operator="containsText" text="No">
      <formula>NOT(ISERROR(SEARCH(("No"),(Q1102))))</formula>
    </cfRule>
  </conditionalFormatting>
  <conditionalFormatting sqref="Q1102">
    <cfRule type="containsText" dxfId="2" priority="18721" operator="containsText" text="Yes">
      <formula>NOT(ISERROR(SEARCH(("Yes"),(Q1102))))</formula>
    </cfRule>
  </conditionalFormatting>
  <conditionalFormatting sqref="Q1102">
    <cfRule type="containsText" dxfId="9" priority="18722" operator="containsText" text="No">
      <formula>NOT(ISERROR(SEARCH(("No"),(Q1102))))</formula>
    </cfRule>
  </conditionalFormatting>
  <conditionalFormatting sqref="Q1102">
    <cfRule type="containsText" dxfId="2" priority="18723" operator="containsText" text="Yes">
      <formula>NOT(ISERROR(SEARCH(("Yes"),(Q1102))))</formula>
    </cfRule>
  </conditionalFormatting>
  <conditionalFormatting sqref="Q1102">
    <cfRule type="containsText" dxfId="9" priority="18724" operator="containsText" text="No">
      <formula>NOT(ISERROR(SEARCH(("No"),(Q1102))))</formula>
    </cfRule>
  </conditionalFormatting>
  <conditionalFormatting sqref="Q1102">
    <cfRule type="containsText" dxfId="2" priority="18725" operator="containsText" text="Yes">
      <formula>NOT(ISERROR(SEARCH(("Yes"),(Q1102))))</formula>
    </cfRule>
  </conditionalFormatting>
  <conditionalFormatting sqref="Q1102">
    <cfRule type="containsText" dxfId="9" priority="18726" operator="containsText" text="No">
      <formula>NOT(ISERROR(SEARCH(("No"),(Q1102))))</formula>
    </cfRule>
  </conditionalFormatting>
  <conditionalFormatting sqref="Q1102">
    <cfRule type="containsText" dxfId="2" priority="18727" operator="containsText" text="Yes">
      <formula>NOT(ISERROR(SEARCH(("Yes"),(Q1102))))</formula>
    </cfRule>
  </conditionalFormatting>
  <conditionalFormatting sqref="Q1102">
    <cfRule type="containsText" dxfId="9" priority="18728" operator="containsText" text="No">
      <formula>NOT(ISERROR(SEARCH(("No"),(Q1102))))</formula>
    </cfRule>
  </conditionalFormatting>
  <conditionalFormatting sqref="Q1102">
    <cfRule type="containsText" dxfId="2" priority="18729" operator="containsText" text="Yes">
      <formula>NOT(ISERROR(SEARCH(("Yes"),(Q1102))))</formula>
    </cfRule>
  </conditionalFormatting>
  <conditionalFormatting sqref="Q1102">
    <cfRule type="containsText" dxfId="9" priority="18730" operator="containsText" text="No">
      <formula>NOT(ISERROR(SEARCH(("No"),(Q1102))))</formula>
    </cfRule>
  </conditionalFormatting>
  <conditionalFormatting sqref="Q1102">
    <cfRule type="containsText" dxfId="2" priority="18731" operator="containsText" text="Yes">
      <formula>NOT(ISERROR(SEARCH(("Yes"),(Q1102))))</formula>
    </cfRule>
  </conditionalFormatting>
  <conditionalFormatting sqref="Q1102">
    <cfRule type="containsText" dxfId="9" priority="18732" operator="containsText" text="No">
      <formula>NOT(ISERROR(SEARCH(("No"),(Q1102))))</formula>
    </cfRule>
  </conditionalFormatting>
  <conditionalFormatting sqref="Q1102">
    <cfRule type="containsText" dxfId="2" priority="18733" operator="containsText" text="Yes">
      <formula>NOT(ISERROR(SEARCH(("Yes"),(Q1102))))</formula>
    </cfRule>
  </conditionalFormatting>
  <conditionalFormatting sqref="Q1102">
    <cfRule type="containsText" dxfId="9" priority="18734" operator="containsText" text="No">
      <formula>NOT(ISERROR(SEARCH(("No"),(Q1102))))</formula>
    </cfRule>
  </conditionalFormatting>
  <conditionalFormatting sqref="Q1102">
    <cfRule type="containsText" dxfId="2" priority="18735" operator="containsText" text="Yes">
      <formula>NOT(ISERROR(SEARCH(("Yes"),(Q1102))))</formula>
    </cfRule>
  </conditionalFormatting>
  <conditionalFormatting sqref="Q1102">
    <cfRule type="containsText" dxfId="9" priority="18736" operator="containsText" text="No">
      <formula>NOT(ISERROR(SEARCH(("No"),(Q1102))))</formula>
    </cfRule>
  </conditionalFormatting>
  <conditionalFormatting sqref="Q1102">
    <cfRule type="containsText" dxfId="2" priority="18737" operator="containsText" text="Yes">
      <formula>NOT(ISERROR(SEARCH(("Yes"),(Q1102))))</formula>
    </cfRule>
  </conditionalFormatting>
  <conditionalFormatting sqref="Q1102">
    <cfRule type="containsText" dxfId="2" priority="18738" operator="containsText" text="Yes">
      <formula>NOT(ISERROR(SEARCH(("Yes"),(Q1102))))</formula>
    </cfRule>
  </conditionalFormatting>
  <conditionalFormatting sqref="Q1102">
    <cfRule type="containsText" dxfId="9" priority="18739" operator="containsText" text="No">
      <formula>NOT(ISERROR(SEARCH(("No"),(Q1102))))</formula>
    </cfRule>
  </conditionalFormatting>
  <conditionalFormatting sqref="Q1102">
    <cfRule type="containsText" dxfId="2" priority="18740" operator="containsText" text="Yes">
      <formula>NOT(ISERROR(SEARCH(("Yes"),(Q1102))))</formula>
    </cfRule>
  </conditionalFormatting>
  <conditionalFormatting sqref="Q1108:Q1109">
    <cfRule type="containsText" dxfId="2" priority="18741" operator="containsText" text="Yes">
      <formula>NOT(ISERROR(SEARCH(("Yes"),(Q1108))))</formula>
    </cfRule>
  </conditionalFormatting>
  <conditionalFormatting sqref="Q1108:Q1109">
    <cfRule type="containsText" dxfId="9" priority="18742" operator="containsText" text="No">
      <formula>NOT(ISERROR(SEARCH(("No"),(Q1108))))</formula>
    </cfRule>
  </conditionalFormatting>
  <conditionalFormatting sqref="Q1108:Q1109">
    <cfRule type="containsText" dxfId="2" priority="18743" operator="containsText" text="Yes">
      <formula>NOT(ISERROR(SEARCH(("Yes"),(Q1108))))</formula>
    </cfRule>
  </conditionalFormatting>
  <conditionalFormatting sqref="Q1108:Q1109">
    <cfRule type="containsText" dxfId="9" priority="18744" operator="containsText" text="No">
      <formula>NOT(ISERROR(SEARCH(("No"),(Q1108))))</formula>
    </cfRule>
  </conditionalFormatting>
  <conditionalFormatting sqref="Q1108:Q1109">
    <cfRule type="containsText" dxfId="2" priority="18745" operator="containsText" text="Yes">
      <formula>NOT(ISERROR(SEARCH(("Yes"),(Q1108))))</formula>
    </cfRule>
  </conditionalFormatting>
  <conditionalFormatting sqref="Q1108:Q1109">
    <cfRule type="containsText" dxfId="9" priority="18746" operator="containsText" text="No">
      <formula>NOT(ISERROR(SEARCH(("No"),(Q1108))))</formula>
    </cfRule>
  </conditionalFormatting>
  <conditionalFormatting sqref="Q1108:Q1109">
    <cfRule type="containsText" dxfId="2" priority="18747" operator="containsText" text="Yes">
      <formula>NOT(ISERROR(SEARCH(("Yes"),(Q1108))))</formula>
    </cfRule>
  </conditionalFormatting>
  <conditionalFormatting sqref="Q1108:Q1109">
    <cfRule type="containsText" dxfId="9" priority="18748" operator="containsText" text="No">
      <formula>NOT(ISERROR(SEARCH(("No"),(Q1108))))</formula>
    </cfRule>
  </conditionalFormatting>
  <conditionalFormatting sqref="Q1108:Q1109">
    <cfRule type="containsText" dxfId="2" priority="18749" operator="containsText" text="Yes">
      <formula>NOT(ISERROR(SEARCH(("Yes"),(Q1108))))</formula>
    </cfRule>
  </conditionalFormatting>
  <conditionalFormatting sqref="Q1108:Q1109">
    <cfRule type="containsText" dxfId="9" priority="18750" operator="containsText" text="No">
      <formula>NOT(ISERROR(SEARCH(("No"),(Q1108))))</formula>
    </cfRule>
  </conditionalFormatting>
  <conditionalFormatting sqref="Q1108:Q1109">
    <cfRule type="containsText" dxfId="2" priority="18751" operator="containsText" text="Yes">
      <formula>NOT(ISERROR(SEARCH(("Yes"),(Q1108))))</formula>
    </cfRule>
  </conditionalFormatting>
  <conditionalFormatting sqref="Q1108:Q1109">
    <cfRule type="containsText" dxfId="9" priority="18752" operator="containsText" text="No">
      <formula>NOT(ISERROR(SEARCH(("No"),(Q1108))))</formula>
    </cfRule>
  </conditionalFormatting>
  <conditionalFormatting sqref="Q1108:Q1109">
    <cfRule type="containsText" dxfId="2" priority="18753" operator="containsText" text="Yes">
      <formula>NOT(ISERROR(SEARCH(("Yes"),(Q1108))))</formula>
    </cfRule>
  </conditionalFormatting>
  <conditionalFormatting sqref="Q1108:Q1109">
    <cfRule type="containsText" dxfId="9" priority="18754" operator="containsText" text="No">
      <formula>NOT(ISERROR(SEARCH(("No"),(Q1108))))</formula>
    </cfRule>
  </conditionalFormatting>
  <conditionalFormatting sqref="Q1108:Q1109">
    <cfRule type="containsText" dxfId="2" priority="18755" operator="containsText" text="Yes">
      <formula>NOT(ISERROR(SEARCH(("Yes"),(Q1108))))</formula>
    </cfRule>
  </conditionalFormatting>
  <conditionalFormatting sqref="Q1108:Q1109">
    <cfRule type="containsText" dxfId="9" priority="18756" operator="containsText" text="No">
      <formula>NOT(ISERROR(SEARCH(("No"),(Q1108))))</formula>
    </cfRule>
  </conditionalFormatting>
  <conditionalFormatting sqref="Q1108:Q1109">
    <cfRule type="containsText" dxfId="2" priority="18757" operator="containsText" text="Yes">
      <formula>NOT(ISERROR(SEARCH(("Yes"),(Q1108))))</formula>
    </cfRule>
  </conditionalFormatting>
  <conditionalFormatting sqref="Q1108:Q1109">
    <cfRule type="containsText" dxfId="9" priority="18758" operator="containsText" text="No">
      <formula>NOT(ISERROR(SEARCH(("No"),(Q1108))))</formula>
    </cfRule>
  </conditionalFormatting>
  <conditionalFormatting sqref="Q1108:Q1109">
    <cfRule type="containsText" dxfId="2" priority="18759" operator="containsText" text="Yes">
      <formula>NOT(ISERROR(SEARCH(("Yes"),(Q1108))))</formula>
    </cfRule>
  </conditionalFormatting>
  <conditionalFormatting sqref="Q1108:Q1109">
    <cfRule type="containsText" dxfId="9" priority="18760" operator="containsText" text="No">
      <formula>NOT(ISERROR(SEARCH(("No"),(Q1108))))</formula>
    </cfRule>
  </conditionalFormatting>
  <conditionalFormatting sqref="Q1108:Q1109">
    <cfRule type="containsText" dxfId="2" priority="18761" operator="containsText" text="Yes">
      <formula>NOT(ISERROR(SEARCH(("Yes"),(Q1108))))</formula>
    </cfRule>
  </conditionalFormatting>
  <conditionalFormatting sqref="Q1108:Q1109">
    <cfRule type="containsText" dxfId="9" priority="18762" operator="containsText" text="No">
      <formula>NOT(ISERROR(SEARCH(("No"),(Q1108))))</formula>
    </cfRule>
  </conditionalFormatting>
  <conditionalFormatting sqref="Q1108:Q1109">
    <cfRule type="containsText" dxfId="2" priority="18763" operator="containsText" text="Yes">
      <formula>NOT(ISERROR(SEARCH(("Yes"),(Q1108))))</formula>
    </cfRule>
  </conditionalFormatting>
  <conditionalFormatting sqref="Q1108:Q1109">
    <cfRule type="containsText" dxfId="9" priority="18764" operator="containsText" text="No">
      <formula>NOT(ISERROR(SEARCH(("No"),(Q1108))))</formula>
    </cfRule>
  </conditionalFormatting>
  <conditionalFormatting sqref="Q1108:Q1109">
    <cfRule type="containsText" dxfId="2" priority="18765" operator="containsText" text="Yes">
      <formula>NOT(ISERROR(SEARCH(("Yes"),(Q1108))))</formula>
    </cfRule>
  </conditionalFormatting>
  <conditionalFormatting sqref="Q1108:Q1109">
    <cfRule type="containsText" dxfId="9" priority="18766" operator="containsText" text="No">
      <formula>NOT(ISERROR(SEARCH(("No"),(Q1108))))</formula>
    </cfRule>
  </conditionalFormatting>
  <conditionalFormatting sqref="Q1108:Q1109">
    <cfRule type="containsText" dxfId="2" priority="18767" operator="containsText" text="Yes">
      <formula>NOT(ISERROR(SEARCH(("Yes"),(Q1108))))</formula>
    </cfRule>
  </conditionalFormatting>
  <conditionalFormatting sqref="Q1108:Q1109">
    <cfRule type="containsText" dxfId="9" priority="18768" operator="containsText" text="No">
      <formula>NOT(ISERROR(SEARCH(("No"),(Q1108))))</formula>
    </cfRule>
  </conditionalFormatting>
  <conditionalFormatting sqref="Q1108:Q1109">
    <cfRule type="containsText" dxfId="2" priority="18769" operator="containsText" text="Yes">
      <formula>NOT(ISERROR(SEARCH(("Yes"),(Q1108))))</formula>
    </cfRule>
  </conditionalFormatting>
  <conditionalFormatting sqref="Q1108:Q1109">
    <cfRule type="containsText" dxfId="9" priority="18770" operator="containsText" text="No">
      <formula>NOT(ISERROR(SEARCH(("No"),(Q1108))))</formula>
    </cfRule>
  </conditionalFormatting>
  <conditionalFormatting sqref="Q1108:Q1109">
    <cfRule type="containsText" dxfId="2" priority="18771" operator="containsText" text="Yes">
      <formula>NOT(ISERROR(SEARCH(("Yes"),(Q1108))))</formula>
    </cfRule>
  </conditionalFormatting>
  <conditionalFormatting sqref="Q1108:Q1109">
    <cfRule type="containsText" dxfId="9" priority="18772" operator="containsText" text="No">
      <formula>NOT(ISERROR(SEARCH(("No"),(Q1108))))</formula>
    </cfRule>
  </conditionalFormatting>
  <conditionalFormatting sqref="Q1108:Q1109">
    <cfRule type="containsText" dxfId="2" priority="18773" operator="containsText" text="Yes">
      <formula>NOT(ISERROR(SEARCH(("Yes"),(Q1108))))</formula>
    </cfRule>
  </conditionalFormatting>
  <conditionalFormatting sqref="Q1108:Q1109">
    <cfRule type="containsText" dxfId="9" priority="18774" operator="containsText" text="No">
      <formula>NOT(ISERROR(SEARCH(("No"),(Q1108))))</formula>
    </cfRule>
  </conditionalFormatting>
  <conditionalFormatting sqref="Q1108:Q1109">
    <cfRule type="containsText" dxfId="2" priority="18775" operator="containsText" text="Yes">
      <formula>NOT(ISERROR(SEARCH(("Yes"),(Q1108))))</formula>
    </cfRule>
  </conditionalFormatting>
  <conditionalFormatting sqref="Q1108:Q1109">
    <cfRule type="containsText" dxfId="9" priority="18776" operator="containsText" text="No">
      <formula>NOT(ISERROR(SEARCH(("No"),(Q1108))))</formula>
    </cfRule>
  </conditionalFormatting>
  <conditionalFormatting sqref="Q1108:Q1109">
    <cfRule type="containsText" dxfId="2" priority="18777" operator="containsText" text="Yes">
      <formula>NOT(ISERROR(SEARCH(("Yes"),(Q1108))))</formula>
    </cfRule>
  </conditionalFormatting>
  <conditionalFormatting sqref="Q1108:Q1109">
    <cfRule type="containsText" dxfId="9" priority="18778" operator="containsText" text="No">
      <formula>NOT(ISERROR(SEARCH(("No"),(Q1108))))</formula>
    </cfRule>
  </conditionalFormatting>
  <conditionalFormatting sqref="Q1108:Q1109">
    <cfRule type="containsText" dxfId="2" priority="18779" operator="containsText" text="Yes">
      <formula>NOT(ISERROR(SEARCH(("Yes"),(Q1108))))</formula>
    </cfRule>
  </conditionalFormatting>
  <conditionalFormatting sqref="Q1108:Q1109">
    <cfRule type="containsText" dxfId="9" priority="18780" operator="containsText" text="No">
      <formula>NOT(ISERROR(SEARCH(("No"),(Q1108))))</formula>
    </cfRule>
  </conditionalFormatting>
  <conditionalFormatting sqref="Q1108:Q1109">
    <cfRule type="containsText" dxfId="2" priority="18781" operator="containsText" text="Yes">
      <formula>NOT(ISERROR(SEARCH(("Yes"),(Q1108))))</formula>
    </cfRule>
  </conditionalFormatting>
  <conditionalFormatting sqref="Q1108:Q1109">
    <cfRule type="containsText" dxfId="9" priority="18782" operator="containsText" text="No">
      <formula>NOT(ISERROR(SEARCH(("No"),(Q1108))))</formula>
    </cfRule>
  </conditionalFormatting>
  <conditionalFormatting sqref="Q1108:Q1109">
    <cfRule type="containsText" dxfId="2" priority="18783" operator="containsText" text="Yes">
      <formula>NOT(ISERROR(SEARCH(("Yes"),(Q1108))))</formula>
    </cfRule>
  </conditionalFormatting>
  <conditionalFormatting sqref="Q1108:Q1109">
    <cfRule type="containsText" dxfId="9" priority="18784" operator="containsText" text="No">
      <formula>NOT(ISERROR(SEARCH(("No"),(Q1108))))</formula>
    </cfRule>
  </conditionalFormatting>
  <conditionalFormatting sqref="Q1108:Q1109">
    <cfRule type="containsText" dxfId="2" priority="18785" operator="containsText" text="Yes">
      <formula>NOT(ISERROR(SEARCH(("Yes"),(Q1108))))</formula>
    </cfRule>
  </conditionalFormatting>
  <conditionalFormatting sqref="Q1108:Q1109">
    <cfRule type="containsText" dxfId="9" priority="18786" operator="containsText" text="No">
      <formula>NOT(ISERROR(SEARCH(("No"),(Q1108))))</formula>
    </cfRule>
  </conditionalFormatting>
  <conditionalFormatting sqref="Q1108:Q1109">
    <cfRule type="containsText" dxfId="2" priority="18787" operator="containsText" text="Yes">
      <formula>NOT(ISERROR(SEARCH(("Yes"),(Q1108))))</formula>
    </cfRule>
  </conditionalFormatting>
  <conditionalFormatting sqref="Q1108:Q1109">
    <cfRule type="containsText" dxfId="9" priority="18788" operator="containsText" text="No">
      <formula>NOT(ISERROR(SEARCH(("No"),(Q1108))))</formula>
    </cfRule>
  </conditionalFormatting>
  <conditionalFormatting sqref="Q1108:Q1109">
    <cfRule type="containsText" dxfId="2" priority="18789" operator="containsText" text="Yes">
      <formula>NOT(ISERROR(SEARCH(("Yes"),(Q1108))))</formula>
    </cfRule>
  </conditionalFormatting>
  <conditionalFormatting sqref="Q1108:Q1109">
    <cfRule type="containsText" dxfId="9" priority="18790" operator="containsText" text="No">
      <formula>NOT(ISERROR(SEARCH(("No"),(Q1108))))</formula>
    </cfRule>
  </conditionalFormatting>
  <conditionalFormatting sqref="Q1108:Q1109">
    <cfRule type="containsText" dxfId="2" priority="18791" operator="containsText" text="Yes">
      <formula>NOT(ISERROR(SEARCH(("Yes"),(Q1108))))</formula>
    </cfRule>
  </conditionalFormatting>
  <conditionalFormatting sqref="Q1108:Q1109">
    <cfRule type="containsText" dxfId="9" priority="18792" operator="containsText" text="No">
      <formula>NOT(ISERROR(SEARCH(("No"),(Q1108))))</formula>
    </cfRule>
  </conditionalFormatting>
  <conditionalFormatting sqref="Q1108:Q1109">
    <cfRule type="containsText" dxfId="2" priority="18793" operator="containsText" text="Yes">
      <formula>NOT(ISERROR(SEARCH(("Yes"),(Q1108))))</formula>
    </cfRule>
  </conditionalFormatting>
  <conditionalFormatting sqref="Q1108:Q1109">
    <cfRule type="containsText" dxfId="9" priority="18794" operator="containsText" text="No">
      <formula>NOT(ISERROR(SEARCH(("No"),(Q1108))))</formula>
    </cfRule>
  </conditionalFormatting>
  <conditionalFormatting sqref="Q1108:Q1109">
    <cfRule type="containsText" dxfId="2" priority="18795" operator="containsText" text="Yes">
      <formula>NOT(ISERROR(SEARCH(("Yes"),(Q1108))))</formula>
    </cfRule>
  </conditionalFormatting>
  <conditionalFormatting sqref="Q1108:Q1109">
    <cfRule type="containsText" dxfId="9" priority="18796" operator="containsText" text="No">
      <formula>NOT(ISERROR(SEARCH(("No"),(Q1108))))</formula>
    </cfRule>
  </conditionalFormatting>
  <conditionalFormatting sqref="Q1108:Q1109">
    <cfRule type="containsText" dxfId="2" priority="18797" operator="containsText" text="Yes">
      <formula>NOT(ISERROR(SEARCH(("Yes"),(Q1108))))</formula>
    </cfRule>
  </conditionalFormatting>
  <conditionalFormatting sqref="Q1108:Q1109">
    <cfRule type="containsText" dxfId="9" priority="18798" operator="containsText" text="No">
      <formula>NOT(ISERROR(SEARCH(("No"),(Q1108))))</formula>
    </cfRule>
  </conditionalFormatting>
  <conditionalFormatting sqref="Q1108:Q1109">
    <cfRule type="containsText" dxfId="2" priority="18799" operator="containsText" text="Yes">
      <formula>NOT(ISERROR(SEARCH(("Yes"),(Q1108))))</formula>
    </cfRule>
  </conditionalFormatting>
  <conditionalFormatting sqref="Q1108:Q1109">
    <cfRule type="containsText" dxfId="9" priority="18800" operator="containsText" text="No">
      <formula>NOT(ISERROR(SEARCH(("No"),(Q1108))))</formula>
    </cfRule>
  </conditionalFormatting>
  <conditionalFormatting sqref="Q1108:Q1109">
    <cfRule type="containsText" dxfId="2" priority="18801" operator="containsText" text="Yes">
      <formula>NOT(ISERROR(SEARCH(("Yes"),(Q1108))))</formula>
    </cfRule>
  </conditionalFormatting>
  <conditionalFormatting sqref="Q1108:Q1109">
    <cfRule type="containsText" dxfId="9" priority="18802" operator="containsText" text="No">
      <formula>NOT(ISERROR(SEARCH(("No"),(Q1108))))</formula>
    </cfRule>
  </conditionalFormatting>
  <conditionalFormatting sqref="Q1108:Q1109">
    <cfRule type="containsText" dxfId="2" priority="18803" operator="containsText" text="Yes">
      <formula>NOT(ISERROR(SEARCH(("Yes"),(Q1108))))</formula>
    </cfRule>
  </conditionalFormatting>
  <conditionalFormatting sqref="Q1108:Q1109">
    <cfRule type="containsText" dxfId="9" priority="18804" operator="containsText" text="No">
      <formula>NOT(ISERROR(SEARCH(("No"),(Q1108))))</formula>
    </cfRule>
  </conditionalFormatting>
  <conditionalFormatting sqref="Q1108:Q1109">
    <cfRule type="containsText" dxfId="2" priority="18805" operator="containsText" text="Yes">
      <formula>NOT(ISERROR(SEARCH(("Yes"),(Q1108))))</formula>
    </cfRule>
  </conditionalFormatting>
  <conditionalFormatting sqref="Q1108:Q1109">
    <cfRule type="containsText" dxfId="9" priority="18806" operator="containsText" text="No">
      <formula>NOT(ISERROR(SEARCH(("No"),(Q1108))))</formula>
    </cfRule>
  </conditionalFormatting>
  <conditionalFormatting sqref="Q1108:Q1109">
    <cfRule type="containsText" dxfId="2" priority="18807" operator="containsText" text="Yes">
      <formula>NOT(ISERROR(SEARCH(("Yes"),(Q1108))))</formula>
    </cfRule>
  </conditionalFormatting>
  <conditionalFormatting sqref="Q1108:Q1109">
    <cfRule type="containsText" dxfId="9" priority="18808" operator="containsText" text="No">
      <formula>NOT(ISERROR(SEARCH(("No"),(Q1108))))</formula>
    </cfRule>
  </conditionalFormatting>
  <conditionalFormatting sqref="Q1108:Q1109">
    <cfRule type="containsText" dxfId="2" priority="18809" operator="containsText" text="Yes">
      <formula>NOT(ISERROR(SEARCH(("Yes"),(Q1108))))</formula>
    </cfRule>
  </conditionalFormatting>
  <conditionalFormatting sqref="Q1108:Q1109">
    <cfRule type="containsText" dxfId="9" priority="18810" operator="containsText" text="No">
      <formula>NOT(ISERROR(SEARCH(("No"),(Q1108))))</formula>
    </cfRule>
  </conditionalFormatting>
  <conditionalFormatting sqref="Q1108:Q1109">
    <cfRule type="containsText" dxfId="2" priority="18811" operator="containsText" text="Yes">
      <formula>NOT(ISERROR(SEARCH(("Yes"),(Q1108))))</formula>
    </cfRule>
  </conditionalFormatting>
  <conditionalFormatting sqref="Q1108:Q1109">
    <cfRule type="containsText" dxfId="9" priority="18812" operator="containsText" text="No">
      <formula>NOT(ISERROR(SEARCH(("No"),(Q1108))))</formula>
    </cfRule>
  </conditionalFormatting>
  <conditionalFormatting sqref="Q1108:Q1109">
    <cfRule type="containsText" dxfId="2" priority="18813" operator="containsText" text="Yes">
      <formula>NOT(ISERROR(SEARCH(("Yes"),(Q1108))))</formula>
    </cfRule>
  </conditionalFormatting>
  <conditionalFormatting sqref="Q1108:Q1109">
    <cfRule type="containsText" dxfId="9" priority="18814" operator="containsText" text="No">
      <formula>NOT(ISERROR(SEARCH(("No"),(Q1108))))</formula>
    </cfRule>
  </conditionalFormatting>
  <conditionalFormatting sqref="Q1108:Q1109">
    <cfRule type="containsText" dxfId="2" priority="18815" operator="containsText" text="Yes">
      <formula>NOT(ISERROR(SEARCH(("Yes"),(Q1108))))</formula>
    </cfRule>
  </conditionalFormatting>
  <conditionalFormatting sqref="Q1108:Q1109">
    <cfRule type="containsText" dxfId="9" priority="18816" operator="containsText" text="No">
      <formula>NOT(ISERROR(SEARCH(("No"),(Q1108))))</formula>
    </cfRule>
  </conditionalFormatting>
  <conditionalFormatting sqref="Q1108:Q1109">
    <cfRule type="containsText" dxfId="2" priority="18817" operator="containsText" text="Yes">
      <formula>NOT(ISERROR(SEARCH(("Yes"),(Q1108))))</formula>
    </cfRule>
  </conditionalFormatting>
  <conditionalFormatting sqref="Q1108:Q1109">
    <cfRule type="containsText" dxfId="9" priority="18818" operator="containsText" text="No">
      <formula>NOT(ISERROR(SEARCH(("No"),(Q1108))))</formula>
    </cfRule>
  </conditionalFormatting>
  <conditionalFormatting sqref="Q1108:Q1109">
    <cfRule type="containsText" dxfId="2" priority="18819" operator="containsText" text="Yes">
      <formula>NOT(ISERROR(SEARCH(("Yes"),(Q1108))))</formula>
    </cfRule>
  </conditionalFormatting>
  <conditionalFormatting sqref="Q1108:Q1109">
    <cfRule type="containsText" dxfId="9" priority="18820" operator="containsText" text="No">
      <formula>NOT(ISERROR(SEARCH(("No"),(Q1108))))</formula>
    </cfRule>
  </conditionalFormatting>
  <conditionalFormatting sqref="Q1108:Q1109">
    <cfRule type="containsText" dxfId="2" priority="18821" operator="containsText" text="Yes">
      <formula>NOT(ISERROR(SEARCH(("Yes"),(Q1108))))</formula>
    </cfRule>
  </conditionalFormatting>
  <conditionalFormatting sqref="Q1108:Q1109">
    <cfRule type="containsText" dxfId="9" priority="18822" operator="containsText" text="No">
      <formula>NOT(ISERROR(SEARCH(("No"),(Q1108))))</formula>
    </cfRule>
  </conditionalFormatting>
  <conditionalFormatting sqref="Q1108:Q1109">
    <cfRule type="containsText" dxfId="2" priority="18823" operator="containsText" text="Yes">
      <formula>NOT(ISERROR(SEARCH(("Yes"),(Q1108))))</formula>
    </cfRule>
  </conditionalFormatting>
  <conditionalFormatting sqref="Q1108:Q1109">
    <cfRule type="containsText" dxfId="9" priority="18824" operator="containsText" text="No">
      <formula>NOT(ISERROR(SEARCH(("No"),(Q1108))))</formula>
    </cfRule>
  </conditionalFormatting>
  <conditionalFormatting sqref="Q1108:Q1109">
    <cfRule type="containsText" dxfId="2" priority="18825" operator="containsText" text="Yes">
      <formula>NOT(ISERROR(SEARCH(("Yes"),(Q1108))))</formula>
    </cfRule>
  </conditionalFormatting>
  <conditionalFormatting sqref="Q1108:Q1109">
    <cfRule type="containsText" dxfId="9" priority="18826" operator="containsText" text="No">
      <formula>NOT(ISERROR(SEARCH(("No"),(Q1108))))</formula>
    </cfRule>
  </conditionalFormatting>
  <conditionalFormatting sqref="Q1108:Q1109">
    <cfRule type="containsText" dxfId="2" priority="18827" operator="containsText" text="Yes">
      <formula>NOT(ISERROR(SEARCH(("Yes"),(Q1108))))</formula>
    </cfRule>
  </conditionalFormatting>
  <conditionalFormatting sqref="Q1108:Q1109">
    <cfRule type="containsText" dxfId="9" priority="18828" operator="containsText" text="No">
      <formula>NOT(ISERROR(SEARCH(("No"),(Q1108))))</formula>
    </cfRule>
  </conditionalFormatting>
  <conditionalFormatting sqref="Q1108:Q1109">
    <cfRule type="containsText" dxfId="2" priority="18829" operator="containsText" text="Yes">
      <formula>NOT(ISERROR(SEARCH(("Yes"),(Q1108))))</formula>
    </cfRule>
  </conditionalFormatting>
  <conditionalFormatting sqref="Q1108:Q1109">
    <cfRule type="containsText" dxfId="2" priority="18830" operator="containsText" text="Yes">
      <formula>NOT(ISERROR(SEARCH(("Yes"),(Q1108))))</formula>
    </cfRule>
  </conditionalFormatting>
  <conditionalFormatting sqref="Q1108:Q1109">
    <cfRule type="containsText" dxfId="9" priority="18831" operator="containsText" text="No">
      <formula>NOT(ISERROR(SEARCH(("No"),(Q1108))))</formula>
    </cfRule>
  </conditionalFormatting>
  <conditionalFormatting sqref="Q1108:Q1109">
    <cfRule type="containsText" dxfId="2" priority="18832" operator="containsText" text="Yes">
      <formula>NOT(ISERROR(SEARCH(("Yes"),(Q1108))))</formula>
    </cfRule>
  </conditionalFormatting>
  <conditionalFormatting sqref="Q1111:Q1112 Q1114">
    <cfRule type="containsText" dxfId="2" priority="18833" operator="containsText" text="Yes">
      <formula>NOT(ISERROR(SEARCH(("Yes"),(Q1111))))</formula>
    </cfRule>
  </conditionalFormatting>
  <conditionalFormatting sqref="Q1111:Q1112 Q1114">
    <cfRule type="containsText" dxfId="9" priority="18834" operator="containsText" text="No">
      <formula>NOT(ISERROR(SEARCH(("No"),(Q1111))))</formula>
    </cfRule>
  </conditionalFormatting>
  <conditionalFormatting sqref="Q1111:Q1112 Q1114">
    <cfRule type="containsText" dxfId="2" priority="18835" operator="containsText" text="Yes">
      <formula>NOT(ISERROR(SEARCH(("Yes"),(Q1111))))</formula>
    </cfRule>
  </conditionalFormatting>
  <conditionalFormatting sqref="Q1111:Q1112 Q1114">
    <cfRule type="containsText" dxfId="9" priority="18836" operator="containsText" text="No">
      <formula>NOT(ISERROR(SEARCH(("No"),(Q1111))))</formula>
    </cfRule>
  </conditionalFormatting>
  <conditionalFormatting sqref="Q1111:Q1112 Q1114">
    <cfRule type="containsText" dxfId="2" priority="18837" operator="containsText" text="Yes">
      <formula>NOT(ISERROR(SEARCH(("Yes"),(Q1111))))</formula>
    </cfRule>
  </conditionalFormatting>
  <conditionalFormatting sqref="Q1111:Q1112 Q1114">
    <cfRule type="containsText" dxfId="9" priority="18838" operator="containsText" text="No">
      <formula>NOT(ISERROR(SEARCH(("No"),(Q1111))))</formula>
    </cfRule>
  </conditionalFormatting>
  <conditionalFormatting sqref="Q1111:Q1112 Q1114">
    <cfRule type="containsText" dxfId="2" priority="18839" operator="containsText" text="Yes">
      <formula>NOT(ISERROR(SEARCH(("Yes"),(Q1111))))</formula>
    </cfRule>
  </conditionalFormatting>
  <conditionalFormatting sqref="Q1111:Q1112 Q1114">
    <cfRule type="containsText" dxfId="9" priority="18840" operator="containsText" text="No">
      <formula>NOT(ISERROR(SEARCH(("No"),(Q1111))))</formula>
    </cfRule>
  </conditionalFormatting>
  <conditionalFormatting sqref="Q1111:Q1112 Q1114">
    <cfRule type="containsText" dxfId="2" priority="18841" operator="containsText" text="Yes">
      <formula>NOT(ISERROR(SEARCH(("Yes"),(Q1111))))</formula>
    </cfRule>
  </conditionalFormatting>
  <conditionalFormatting sqref="Q1111:Q1112 Q1114">
    <cfRule type="containsText" dxfId="9" priority="18842" operator="containsText" text="No">
      <formula>NOT(ISERROR(SEARCH(("No"),(Q1111))))</formula>
    </cfRule>
  </conditionalFormatting>
  <conditionalFormatting sqref="Q1111:Q1112 Q1114">
    <cfRule type="containsText" dxfId="2" priority="18843" operator="containsText" text="Yes">
      <formula>NOT(ISERROR(SEARCH(("Yes"),(Q1111))))</formula>
    </cfRule>
  </conditionalFormatting>
  <conditionalFormatting sqref="Q1111:Q1112 Q1114">
    <cfRule type="containsText" dxfId="9" priority="18844" operator="containsText" text="No">
      <formula>NOT(ISERROR(SEARCH(("No"),(Q1111))))</formula>
    </cfRule>
  </conditionalFormatting>
  <conditionalFormatting sqref="Q1111:Q1112 Q1114">
    <cfRule type="containsText" dxfId="2" priority="18845" operator="containsText" text="Yes">
      <formula>NOT(ISERROR(SEARCH(("Yes"),(Q1111))))</formula>
    </cfRule>
  </conditionalFormatting>
  <conditionalFormatting sqref="Q1111:Q1112 Q1114">
    <cfRule type="containsText" dxfId="9" priority="18846" operator="containsText" text="No">
      <formula>NOT(ISERROR(SEARCH(("No"),(Q1111))))</formula>
    </cfRule>
  </conditionalFormatting>
  <conditionalFormatting sqref="Q1111:Q1112 Q1114">
    <cfRule type="containsText" dxfId="2" priority="18847" operator="containsText" text="Yes">
      <formula>NOT(ISERROR(SEARCH(("Yes"),(Q1111))))</formula>
    </cfRule>
  </conditionalFormatting>
  <conditionalFormatting sqref="Q1111:Q1112 Q1114">
    <cfRule type="containsText" dxfId="9" priority="18848" operator="containsText" text="No">
      <formula>NOT(ISERROR(SEARCH(("No"),(Q1111))))</formula>
    </cfRule>
  </conditionalFormatting>
  <conditionalFormatting sqref="Q1111:Q1112 Q1114">
    <cfRule type="containsText" dxfId="2" priority="18849" operator="containsText" text="Yes">
      <formula>NOT(ISERROR(SEARCH(("Yes"),(Q1111))))</formula>
    </cfRule>
  </conditionalFormatting>
  <conditionalFormatting sqref="Q1111:Q1112 Q1114">
    <cfRule type="containsText" dxfId="9" priority="18850" operator="containsText" text="No">
      <formula>NOT(ISERROR(SEARCH(("No"),(Q1111))))</formula>
    </cfRule>
  </conditionalFormatting>
  <conditionalFormatting sqref="Q1111:Q1112 Q1114">
    <cfRule type="containsText" dxfId="2" priority="18851" operator="containsText" text="Yes">
      <formula>NOT(ISERROR(SEARCH(("Yes"),(Q1111))))</formula>
    </cfRule>
  </conditionalFormatting>
  <conditionalFormatting sqref="Q1111:Q1112 Q1114">
    <cfRule type="containsText" dxfId="9" priority="18852" operator="containsText" text="No">
      <formula>NOT(ISERROR(SEARCH(("No"),(Q1111))))</formula>
    </cfRule>
  </conditionalFormatting>
  <conditionalFormatting sqref="Q1111:Q1112 Q1114">
    <cfRule type="containsText" dxfId="2" priority="18853" operator="containsText" text="Yes">
      <formula>NOT(ISERROR(SEARCH(("Yes"),(Q1111))))</formula>
    </cfRule>
  </conditionalFormatting>
  <conditionalFormatting sqref="Q1111:Q1112 Q1114">
    <cfRule type="containsText" dxfId="9" priority="18854" operator="containsText" text="No">
      <formula>NOT(ISERROR(SEARCH(("No"),(Q1111))))</formula>
    </cfRule>
  </conditionalFormatting>
  <conditionalFormatting sqref="Q1111:Q1112 Q1114">
    <cfRule type="containsText" dxfId="2" priority="18855" operator="containsText" text="Yes">
      <formula>NOT(ISERROR(SEARCH(("Yes"),(Q1111))))</formula>
    </cfRule>
  </conditionalFormatting>
  <conditionalFormatting sqref="Q1111:Q1112 Q1114">
    <cfRule type="containsText" dxfId="9" priority="18856" operator="containsText" text="No">
      <formula>NOT(ISERROR(SEARCH(("No"),(Q1111))))</formula>
    </cfRule>
  </conditionalFormatting>
  <conditionalFormatting sqref="Q1111:Q1112 Q1114">
    <cfRule type="containsText" dxfId="2" priority="18857" operator="containsText" text="Yes">
      <formula>NOT(ISERROR(SEARCH(("Yes"),(Q1111))))</formula>
    </cfRule>
  </conditionalFormatting>
  <conditionalFormatting sqref="Q1111:Q1112 Q1114">
    <cfRule type="containsText" dxfId="9" priority="18858" operator="containsText" text="No">
      <formula>NOT(ISERROR(SEARCH(("No"),(Q1111))))</formula>
    </cfRule>
  </conditionalFormatting>
  <conditionalFormatting sqref="Q1111:Q1112 Q1114">
    <cfRule type="containsText" dxfId="2" priority="18859" operator="containsText" text="Yes">
      <formula>NOT(ISERROR(SEARCH(("Yes"),(Q1111))))</formula>
    </cfRule>
  </conditionalFormatting>
  <conditionalFormatting sqref="Q1111:Q1112 Q1114">
    <cfRule type="containsText" dxfId="9" priority="18860" operator="containsText" text="No">
      <formula>NOT(ISERROR(SEARCH(("No"),(Q1111))))</formula>
    </cfRule>
  </conditionalFormatting>
  <conditionalFormatting sqref="Q1111:Q1112 Q1114">
    <cfRule type="containsText" dxfId="2" priority="18861" operator="containsText" text="Yes">
      <formula>NOT(ISERROR(SEARCH(("Yes"),(Q1111))))</formula>
    </cfRule>
  </conditionalFormatting>
  <conditionalFormatting sqref="Q1111:Q1112 Q1114">
    <cfRule type="containsText" dxfId="9" priority="18862" operator="containsText" text="No">
      <formula>NOT(ISERROR(SEARCH(("No"),(Q1111))))</formula>
    </cfRule>
  </conditionalFormatting>
  <conditionalFormatting sqref="Q1111:Q1112 Q1114">
    <cfRule type="containsText" dxfId="2" priority="18863" operator="containsText" text="Yes">
      <formula>NOT(ISERROR(SEARCH(("Yes"),(Q1111))))</formula>
    </cfRule>
  </conditionalFormatting>
  <conditionalFormatting sqref="Q1111:Q1112 Q1114">
    <cfRule type="containsText" dxfId="9" priority="18864" operator="containsText" text="No">
      <formula>NOT(ISERROR(SEARCH(("No"),(Q1111))))</formula>
    </cfRule>
  </conditionalFormatting>
  <conditionalFormatting sqref="Q1111:Q1112 Q1114">
    <cfRule type="containsText" dxfId="2" priority="18865" operator="containsText" text="Yes">
      <formula>NOT(ISERROR(SEARCH(("Yes"),(Q1111))))</formula>
    </cfRule>
  </conditionalFormatting>
  <conditionalFormatting sqref="Q1111:Q1112 Q1114">
    <cfRule type="containsText" dxfId="9" priority="18866" operator="containsText" text="No">
      <formula>NOT(ISERROR(SEARCH(("No"),(Q1111))))</formula>
    </cfRule>
  </conditionalFormatting>
  <conditionalFormatting sqref="Q1111:Q1112 Q1114">
    <cfRule type="containsText" dxfId="2" priority="18867" operator="containsText" text="Yes">
      <formula>NOT(ISERROR(SEARCH(("Yes"),(Q1111))))</formula>
    </cfRule>
  </conditionalFormatting>
  <conditionalFormatting sqref="Q1111:Q1112 Q1114">
    <cfRule type="containsText" dxfId="9" priority="18868" operator="containsText" text="No">
      <formula>NOT(ISERROR(SEARCH(("No"),(Q1111))))</formula>
    </cfRule>
  </conditionalFormatting>
  <conditionalFormatting sqref="Q1111:Q1112 Q1114">
    <cfRule type="containsText" dxfId="2" priority="18869" operator="containsText" text="Yes">
      <formula>NOT(ISERROR(SEARCH(("Yes"),(Q1111))))</formula>
    </cfRule>
  </conditionalFormatting>
  <conditionalFormatting sqref="Q1111:Q1112 Q1114">
    <cfRule type="containsText" dxfId="9" priority="18870" operator="containsText" text="No">
      <formula>NOT(ISERROR(SEARCH(("No"),(Q1111))))</formula>
    </cfRule>
  </conditionalFormatting>
  <conditionalFormatting sqref="Q1111:Q1112 Q1114">
    <cfRule type="containsText" dxfId="2" priority="18871" operator="containsText" text="Yes">
      <formula>NOT(ISERROR(SEARCH(("Yes"),(Q1111))))</formula>
    </cfRule>
  </conditionalFormatting>
  <conditionalFormatting sqref="Q1111:Q1112 Q1114">
    <cfRule type="containsText" dxfId="9" priority="18872" operator="containsText" text="No">
      <formula>NOT(ISERROR(SEARCH(("No"),(Q1111))))</formula>
    </cfRule>
  </conditionalFormatting>
  <conditionalFormatting sqref="Q1111:Q1112 Q1114">
    <cfRule type="containsText" dxfId="2" priority="18873" operator="containsText" text="Yes">
      <formula>NOT(ISERROR(SEARCH(("Yes"),(Q1111))))</formula>
    </cfRule>
  </conditionalFormatting>
  <conditionalFormatting sqref="Q1111:Q1112 Q1114">
    <cfRule type="containsText" dxfId="9" priority="18874" operator="containsText" text="No">
      <formula>NOT(ISERROR(SEARCH(("No"),(Q1111))))</formula>
    </cfRule>
  </conditionalFormatting>
  <conditionalFormatting sqref="Q1111:Q1112 Q1114">
    <cfRule type="containsText" dxfId="2" priority="18875" operator="containsText" text="Yes">
      <formula>NOT(ISERROR(SEARCH(("Yes"),(Q1111))))</formula>
    </cfRule>
  </conditionalFormatting>
  <conditionalFormatting sqref="Q1111:Q1112 Q1114">
    <cfRule type="containsText" dxfId="9" priority="18876" operator="containsText" text="No">
      <formula>NOT(ISERROR(SEARCH(("No"),(Q1111))))</formula>
    </cfRule>
  </conditionalFormatting>
  <conditionalFormatting sqref="Q1111:Q1112 Q1114">
    <cfRule type="containsText" dxfId="2" priority="18877" operator="containsText" text="Yes">
      <formula>NOT(ISERROR(SEARCH(("Yes"),(Q1111))))</formula>
    </cfRule>
  </conditionalFormatting>
  <conditionalFormatting sqref="Q1111:Q1112 Q1114">
    <cfRule type="containsText" dxfId="9" priority="18878" operator="containsText" text="No">
      <formula>NOT(ISERROR(SEARCH(("No"),(Q1111))))</formula>
    </cfRule>
  </conditionalFormatting>
  <conditionalFormatting sqref="Q1111:Q1112 Q1114">
    <cfRule type="containsText" dxfId="2" priority="18879" operator="containsText" text="Yes">
      <formula>NOT(ISERROR(SEARCH(("Yes"),(Q1111))))</formula>
    </cfRule>
  </conditionalFormatting>
  <conditionalFormatting sqref="Q1111:Q1112 Q1114">
    <cfRule type="containsText" dxfId="9" priority="18880" operator="containsText" text="No">
      <formula>NOT(ISERROR(SEARCH(("No"),(Q1111))))</formula>
    </cfRule>
  </conditionalFormatting>
  <conditionalFormatting sqref="Q1111:Q1112 Q1114">
    <cfRule type="containsText" dxfId="2" priority="18881" operator="containsText" text="Yes">
      <formula>NOT(ISERROR(SEARCH(("Yes"),(Q1111))))</formula>
    </cfRule>
  </conditionalFormatting>
  <conditionalFormatting sqref="Q1111:Q1112 Q1114">
    <cfRule type="containsText" dxfId="9" priority="18882" operator="containsText" text="No">
      <formula>NOT(ISERROR(SEARCH(("No"),(Q1111))))</formula>
    </cfRule>
  </conditionalFormatting>
  <conditionalFormatting sqref="Q1111:Q1112 Q1114">
    <cfRule type="containsText" dxfId="2" priority="18883" operator="containsText" text="Yes">
      <formula>NOT(ISERROR(SEARCH(("Yes"),(Q1111))))</formula>
    </cfRule>
  </conditionalFormatting>
  <conditionalFormatting sqref="Q1111:Q1112 Q1114">
    <cfRule type="containsText" dxfId="9" priority="18884" operator="containsText" text="No">
      <formula>NOT(ISERROR(SEARCH(("No"),(Q1111))))</formula>
    </cfRule>
  </conditionalFormatting>
  <conditionalFormatting sqref="Q1111:Q1112 Q1114">
    <cfRule type="containsText" dxfId="2" priority="18885" operator="containsText" text="Yes">
      <formula>NOT(ISERROR(SEARCH(("Yes"),(Q1111))))</formula>
    </cfRule>
  </conditionalFormatting>
  <conditionalFormatting sqref="Q1111:Q1112 Q1114">
    <cfRule type="containsText" dxfId="9" priority="18886" operator="containsText" text="No">
      <formula>NOT(ISERROR(SEARCH(("No"),(Q1111))))</formula>
    </cfRule>
  </conditionalFormatting>
  <conditionalFormatting sqref="Q1111:Q1112 Q1114">
    <cfRule type="containsText" dxfId="2" priority="18887" operator="containsText" text="Yes">
      <formula>NOT(ISERROR(SEARCH(("Yes"),(Q1111))))</formula>
    </cfRule>
  </conditionalFormatting>
  <conditionalFormatting sqref="Q1111:Q1112 Q1114">
    <cfRule type="containsText" dxfId="9" priority="18888" operator="containsText" text="No">
      <formula>NOT(ISERROR(SEARCH(("No"),(Q1111))))</formula>
    </cfRule>
  </conditionalFormatting>
  <conditionalFormatting sqref="Q1111:Q1112 Q1114">
    <cfRule type="containsText" dxfId="2" priority="18889" operator="containsText" text="Yes">
      <formula>NOT(ISERROR(SEARCH(("Yes"),(Q1111))))</formula>
    </cfRule>
  </conditionalFormatting>
  <conditionalFormatting sqref="Q1111:Q1112 Q1114">
    <cfRule type="containsText" dxfId="9" priority="18890" operator="containsText" text="No">
      <formula>NOT(ISERROR(SEARCH(("No"),(Q1111))))</formula>
    </cfRule>
  </conditionalFormatting>
  <conditionalFormatting sqref="Q1111:Q1112 Q1114">
    <cfRule type="containsText" dxfId="2" priority="18891" operator="containsText" text="Yes">
      <formula>NOT(ISERROR(SEARCH(("Yes"),(Q1111))))</formula>
    </cfRule>
  </conditionalFormatting>
  <conditionalFormatting sqref="Q1111:Q1112 Q1114">
    <cfRule type="containsText" dxfId="9" priority="18892" operator="containsText" text="No">
      <formula>NOT(ISERROR(SEARCH(("No"),(Q1111))))</formula>
    </cfRule>
  </conditionalFormatting>
  <conditionalFormatting sqref="Q1111:Q1112 Q1114">
    <cfRule type="containsText" dxfId="2" priority="18893" operator="containsText" text="Yes">
      <formula>NOT(ISERROR(SEARCH(("Yes"),(Q1111))))</formula>
    </cfRule>
  </conditionalFormatting>
  <conditionalFormatting sqref="Q1111:Q1112 Q1114">
    <cfRule type="containsText" dxfId="9" priority="18894" operator="containsText" text="No">
      <formula>NOT(ISERROR(SEARCH(("No"),(Q1111))))</formula>
    </cfRule>
  </conditionalFormatting>
  <conditionalFormatting sqref="Q1111:Q1112 Q1114">
    <cfRule type="containsText" dxfId="2" priority="18895" operator="containsText" text="Yes">
      <formula>NOT(ISERROR(SEARCH(("Yes"),(Q1111))))</formula>
    </cfRule>
  </conditionalFormatting>
  <conditionalFormatting sqref="Q1111:Q1112 Q1114">
    <cfRule type="containsText" dxfId="9" priority="18896" operator="containsText" text="No">
      <formula>NOT(ISERROR(SEARCH(("No"),(Q1111))))</formula>
    </cfRule>
  </conditionalFormatting>
  <conditionalFormatting sqref="Q1111:Q1112 Q1114">
    <cfRule type="containsText" dxfId="2" priority="18897" operator="containsText" text="Yes">
      <formula>NOT(ISERROR(SEARCH(("Yes"),(Q1111))))</formula>
    </cfRule>
  </conditionalFormatting>
  <conditionalFormatting sqref="Q1111:Q1112 Q1114">
    <cfRule type="containsText" dxfId="9" priority="18898" operator="containsText" text="No">
      <formula>NOT(ISERROR(SEARCH(("No"),(Q1111))))</formula>
    </cfRule>
  </conditionalFormatting>
  <conditionalFormatting sqref="Q1111:Q1112 Q1114">
    <cfRule type="containsText" dxfId="2" priority="18899" operator="containsText" text="Yes">
      <formula>NOT(ISERROR(SEARCH(("Yes"),(Q1111))))</formula>
    </cfRule>
  </conditionalFormatting>
  <conditionalFormatting sqref="Q1111:Q1112 Q1114">
    <cfRule type="containsText" dxfId="9" priority="18900" operator="containsText" text="No">
      <formula>NOT(ISERROR(SEARCH(("No"),(Q1111))))</formula>
    </cfRule>
  </conditionalFormatting>
  <conditionalFormatting sqref="Q1111:Q1112 Q1114">
    <cfRule type="containsText" dxfId="2" priority="18901" operator="containsText" text="Yes">
      <formula>NOT(ISERROR(SEARCH(("Yes"),(Q1111))))</formula>
    </cfRule>
  </conditionalFormatting>
  <conditionalFormatting sqref="Q1111:Q1112 Q1114">
    <cfRule type="containsText" dxfId="9" priority="18902" operator="containsText" text="No">
      <formula>NOT(ISERROR(SEARCH(("No"),(Q1111))))</formula>
    </cfRule>
  </conditionalFormatting>
  <conditionalFormatting sqref="Q1111:Q1112 Q1114">
    <cfRule type="containsText" dxfId="2" priority="18903" operator="containsText" text="Yes">
      <formula>NOT(ISERROR(SEARCH(("Yes"),(Q1111))))</formula>
    </cfRule>
  </conditionalFormatting>
  <conditionalFormatting sqref="Q1111:Q1112 Q1114">
    <cfRule type="containsText" dxfId="9" priority="18904" operator="containsText" text="No">
      <formula>NOT(ISERROR(SEARCH(("No"),(Q1111))))</formula>
    </cfRule>
  </conditionalFormatting>
  <conditionalFormatting sqref="Q1111:Q1112 Q1114">
    <cfRule type="containsText" dxfId="2" priority="18905" operator="containsText" text="Yes">
      <formula>NOT(ISERROR(SEARCH(("Yes"),(Q1111))))</formula>
    </cfRule>
  </conditionalFormatting>
  <conditionalFormatting sqref="Q1111:Q1112 Q1114">
    <cfRule type="containsText" dxfId="9" priority="18906" operator="containsText" text="No">
      <formula>NOT(ISERROR(SEARCH(("No"),(Q1111))))</formula>
    </cfRule>
  </conditionalFormatting>
  <conditionalFormatting sqref="Q1111:Q1112 Q1114">
    <cfRule type="containsText" dxfId="2" priority="18907" operator="containsText" text="Yes">
      <formula>NOT(ISERROR(SEARCH(("Yes"),(Q1111))))</formula>
    </cfRule>
  </conditionalFormatting>
  <conditionalFormatting sqref="Q1111:Q1112 Q1114">
    <cfRule type="containsText" dxfId="9" priority="18908" operator="containsText" text="No">
      <formula>NOT(ISERROR(SEARCH(("No"),(Q1111))))</formula>
    </cfRule>
  </conditionalFormatting>
  <conditionalFormatting sqref="Q1111:Q1112 Q1114">
    <cfRule type="containsText" dxfId="2" priority="18909" operator="containsText" text="Yes">
      <formula>NOT(ISERROR(SEARCH(("Yes"),(Q1111))))</formula>
    </cfRule>
  </conditionalFormatting>
  <conditionalFormatting sqref="Q1111:Q1112 Q1114">
    <cfRule type="containsText" dxfId="9" priority="18910" operator="containsText" text="No">
      <formula>NOT(ISERROR(SEARCH(("No"),(Q1111))))</formula>
    </cfRule>
  </conditionalFormatting>
  <conditionalFormatting sqref="Q1111:Q1112 Q1114">
    <cfRule type="containsText" dxfId="2" priority="18911" operator="containsText" text="Yes">
      <formula>NOT(ISERROR(SEARCH(("Yes"),(Q1111))))</formula>
    </cfRule>
  </conditionalFormatting>
  <conditionalFormatting sqref="Q1111:Q1112 Q1114">
    <cfRule type="containsText" dxfId="9" priority="18912" operator="containsText" text="No">
      <formula>NOT(ISERROR(SEARCH(("No"),(Q1111))))</formula>
    </cfRule>
  </conditionalFormatting>
  <conditionalFormatting sqref="Q1111:Q1112 Q1114">
    <cfRule type="containsText" dxfId="2" priority="18913" operator="containsText" text="Yes">
      <formula>NOT(ISERROR(SEARCH(("Yes"),(Q1111))))</formula>
    </cfRule>
  </conditionalFormatting>
  <conditionalFormatting sqref="Q1111:Q1112 Q1114">
    <cfRule type="containsText" dxfId="9" priority="18914" operator="containsText" text="No">
      <formula>NOT(ISERROR(SEARCH(("No"),(Q1111))))</formula>
    </cfRule>
  </conditionalFormatting>
  <conditionalFormatting sqref="Q1111:Q1112 Q1114">
    <cfRule type="containsText" dxfId="2" priority="18915" operator="containsText" text="Yes">
      <formula>NOT(ISERROR(SEARCH(("Yes"),(Q1111))))</formula>
    </cfRule>
  </conditionalFormatting>
  <conditionalFormatting sqref="Q1111:Q1112 Q1114">
    <cfRule type="containsText" dxfId="9" priority="18916" operator="containsText" text="No">
      <formula>NOT(ISERROR(SEARCH(("No"),(Q1111))))</formula>
    </cfRule>
  </conditionalFormatting>
  <conditionalFormatting sqref="Q1111:Q1112 Q1114">
    <cfRule type="containsText" dxfId="2" priority="18917" operator="containsText" text="Yes">
      <formula>NOT(ISERROR(SEARCH(("Yes"),(Q1111))))</formula>
    </cfRule>
  </conditionalFormatting>
  <conditionalFormatting sqref="Q1111:Q1112 Q1114">
    <cfRule type="containsText" dxfId="9" priority="18918" operator="containsText" text="No">
      <formula>NOT(ISERROR(SEARCH(("No"),(Q1111))))</formula>
    </cfRule>
  </conditionalFormatting>
  <conditionalFormatting sqref="Q1111:Q1112 Q1114">
    <cfRule type="containsText" dxfId="2" priority="18919" operator="containsText" text="Yes">
      <formula>NOT(ISERROR(SEARCH(("Yes"),(Q1111))))</formula>
    </cfRule>
  </conditionalFormatting>
  <conditionalFormatting sqref="Q1111:Q1112 Q1114">
    <cfRule type="containsText" dxfId="9" priority="18920" operator="containsText" text="No">
      <formula>NOT(ISERROR(SEARCH(("No"),(Q1111))))</formula>
    </cfRule>
  </conditionalFormatting>
  <conditionalFormatting sqref="Q1111:Q1112 Q1114">
    <cfRule type="containsText" dxfId="2" priority="18921" operator="containsText" text="Yes">
      <formula>NOT(ISERROR(SEARCH(("Yes"),(Q1111))))</formula>
    </cfRule>
  </conditionalFormatting>
  <conditionalFormatting sqref="Q1111:Q1112 Q1114">
    <cfRule type="containsText" dxfId="2" priority="18922" operator="containsText" text="Yes">
      <formula>NOT(ISERROR(SEARCH(("Yes"),(Q1111))))</formula>
    </cfRule>
  </conditionalFormatting>
  <conditionalFormatting sqref="Q1111:Q1112 Q1114">
    <cfRule type="containsText" dxfId="9" priority="18923" operator="containsText" text="No">
      <formula>NOT(ISERROR(SEARCH(("No"),(Q1111))))</formula>
    </cfRule>
  </conditionalFormatting>
  <conditionalFormatting sqref="Q1111:Q1112 Q1114">
    <cfRule type="containsText" dxfId="2" priority="18924" operator="containsText" text="Yes">
      <formula>NOT(ISERROR(SEARCH(("Yes"),(Q1111))))</formula>
    </cfRule>
  </conditionalFormatting>
  <conditionalFormatting sqref="Q1113">
    <cfRule type="containsText" dxfId="9" priority="18925" operator="containsText" text="No">
      <formula>NOT(ISERROR(SEARCH(("No"),(Q1113))))</formula>
    </cfRule>
  </conditionalFormatting>
  <conditionalFormatting sqref="Q1113">
    <cfRule type="containsText" dxfId="2" priority="18926" operator="containsText" text="Yes">
      <formula>NOT(ISERROR(SEARCH(("Yes"),(Q1113))))</formula>
    </cfRule>
  </conditionalFormatting>
  <conditionalFormatting sqref="Q1113">
    <cfRule type="containsText" dxfId="9" priority="18927" operator="containsText" text="No">
      <formula>NOT(ISERROR(SEARCH(("No"),(Q1113))))</formula>
    </cfRule>
  </conditionalFormatting>
  <conditionalFormatting sqref="Q1113">
    <cfRule type="containsText" dxfId="2" priority="18928" operator="containsText" text="Yes">
      <formula>NOT(ISERROR(SEARCH(("Yes"),(Q1113))))</formula>
    </cfRule>
  </conditionalFormatting>
  <conditionalFormatting sqref="Q1113">
    <cfRule type="containsText" dxfId="9" priority="18929" operator="containsText" text="No">
      <formula>NOT(ISERROR(SEARCH(("No"),(Q1113))))</formula>
    </cfRule>
  </conditionalFormatting>
  <conditionalFormatting sqref="Q1113">
    <cfRule type="containsText" dxfId="2" priority="18930" operator="containsText" text="Yes">
      <formula>NOT(ISERROR(SEARCH(("Yes"),(Q1113))))</formula>
    </cfRule>
  </conditionalFormatting>
  <conditionalFormatting sqref="Q1113">
    <cfRule type="containsText" dxfId="9" priority="18931" operator="containsText" text="No">
      <formula>NOT(ISERROR(SEARCH(("No"),(Q1113))))</formula>
    </cfRule>
  </conditionalFormatting>
  <conditionalFormatting sqref="Q1113">
    <cfRule type="containsText" dxfId="2" priority="18932" operator="containsText" text="Yes">
      <formula>NOT(ISERROR(SEARCH(("Yes"),(Q1113))))</formula>
    </cfRule>
  </conditionalFormatting>
  <conditionalFormatting sqref="Q1113">
    <cfRule type="containsText" dxfId="9" priority="18933" operator="containsText" text="No">
      <formula>NOT(ISERROR(SEARCH(("No"),(Q1113))))</formula>
    </cfRule>
  </conditionalFormatting>
  <conditionalFormatting sqref="Q1113">
    <cfRule type="containsText" dxfId="2" priority="18934" operator="containsText" text="Yes">
      <formula>NOT(ISERROR(SEARCH(("Yes"),(Q1113))))</formula>
    </cfRule>
  </conditionalFormatting>
  <conditionalFormatting sqref="Q1113">
    <cfRule type="containsText" dxfId="9" priority="18935" operator="containsText" text="No">
      <formula>NOT(ISERROR(SEARCH(("No"),(Q1113))))</formula>
    </cfRule>
  </conditionalFormatting>
  <conditionalFormatting sqref="Q1113">
    <cfRule type="containsText" dxfId="2" priority="18936" operator="containsText" text="Yes">
      <formula>NOT(ISERROR(SEARCH(("Yes"),(Q1113))))</formula>
    </cfRule>
  </conditionalFormatting>
  <conditionalFormatting sqref="Q1113">
    <cfRule type="containsText" dxfId="9" priority="18937" operator="containsText" text="No">
      <formula>NOT(ISERROR(SEARCH(("No"),(Q1113))))</formula>
    </cfRule>
  </conditionalFormatting>
  <conditionalFormatting sqref="Q1113">
    <cfRule type="containsText" dxfId="2" priority="18938" operator="containsText" text="Yes">
      <formula>NOT(ISERROR(SEARCH(("Yes"),(Q1113))))</formula>
    </cfRule>
  </conditionalFormatting>
  <conditionalFormatting sqref="Q1113">
    <cfRule type="containsText" dxfId="9" priority="18939" operator="containsText" text="No">
      <formula>NOT(ISERROR(SEARCH(("No"),(Q1113))))</formula>
    </cfRule>
  </conditionalFormatting>
  <conditionalFormatting sqref="Q1113">
    <cfRule type="containsText" dxfId="2" priority="18940" operator="containsText" text="Yes">
      <formula>NOT(ISERROR(SEARCH(("Yes"),(Q1113))))</formula>
    </cfRule>
  </conditionalFormatting>
  <conditionalFormatting sqref="Q1113">
    <cfRule type="containsText" dxfId="9" priority="18941" operator="containsText" text="No">
      <formula>NOT(ISERROR(SEARCH(("No"),(Q1113))))</formula>
    </cfRule>
  </conditionalFormatting>
  <conditionalFormatting sqref="Q1113">
    <cfRule type="containsText" dxfId="2" priority="18942" operator="containsText" text="Yes">
      <formula>NOT(ISERROR(SEARCH(("Yes"),(Q1113))))</formula>
    </cfRule>
  </conditionalFormatting>
  <conditionalFormatting sqref="Q1113">
    <cfRule type="containsText" dxfId="2" priority="18943" operator="containsText" text="Yes">
      <formula>NOT(ISERROR(SEARCH(("Yes"),(Q1113))))</formula>
    </cfRule>
  </conditionalFormatting>
  <conditionalFormatting sqref="Q1113">
    <cfRule type="containsText" dxfId="9" priority="18944" operator="containsText" text="No">
      <formula>NOT(ISERROR(SEARCH(("No"),(Q1113))))</formula>
    </cfRule>
  </conditionalFormatting>
  <conditionalFormatting sqref="Q1113">
    <cfRule type="containsText" dxfId="2" priority="18945" operator="containsText" text="Yes">
      <formula>NOT(ISERROR(SEARCH(("Yes"),(Q1113))))</formula>
    </cfRule>
  </conditionalFormatting>
  <conditionalFormatting sqref="Q1113">
    <cfRule type="containsText" dxfId="9" priority="18946" operator="containsText" text="No">
      <formula>NOT(ISERROR(SEARCH(("No"),(Q1113))))</formula>
    </cfRule>
  </conditionalFormatting>
  <conditionalFormatting sqref="Q1113">
    <cfRule type="containsText" dxfId="2" priority="18947" operator="containsText" text="Yes">
      <formula>NOT(ISERROR(SEARCH(("Yes"),(Q1113))))</formula>
    </cfRule>
  </conditionalFormatting>
  <conditionalFormatting sqref="Q1113">
    <cfRule type="containsText" dxfId="9" priority="18948" operator="containsText" text="No">
      <formula>NOT(ISERROR(SEARCH(("No"),(Q1113))))</formula>
    </cfRule>
  </conditionalFormatting>
  <conditionalFormatting sqref="Q1113">
    <cfRule type="containsText" dxfId="2" priority="18949" operator="containsText" text="Yes">
      <formula>NOT(ISERROR(SEARCH(("Yes"),(Q1113))))</formula>
    </cfRule>
  </conditionalFormatting>
  <conditionalFormatting sqref="Q1113">
    <cfRule type="containsText" dxfId="9" priority="18950" operator="containsText" text="No">
      <formula>NOT(ISERROR(SEARCH(("No"),(Q1113))))</formula>
    </cfRule>
  </conditionalFormatting>
  <conditionalFormatting sqref="Q1113">
    <cfRule type="containsText" dxfId="2" priority="18951" operator="containsText" text="Yes">
      <formula>NOT(ISERROR(SEARCH(("Yes"),(Q1113))))</formula>
    </cfRule>
  </conditionalFormatting>
  <conditionalFormatting sqref="Q1113">
    <cfRule type="containsText" dxfId="9" priority="18952" operator="containsText" text="No">
      <formula>NOT(ISERROR(SEARCH(("No"),(Q1113))))</formula>
    </cfRule>
  </conditionalFormatting>
  <conditionalFormatting sqref="Q1113">
    <cfRule type="containsText" dxfId="2" priority="18953" operator="containsText" text="Yes">
      <formula>NOT(ISERROR(SEARCH(("Yes"),(Q1113))))</formula>
    </cfRule>
  </conditionalFormatting>
  <conditionalFormatting sqref="Q1113">
    <cfRule type="containsText" dxfId="9" priority="18954" operator="containsText" text="No">
      <formula>NOT(ISERROR(SEARCH(("No"),(Q1113))))</formula>
    </cfRule>
  </conditionalFormatting>
  <conditionalFormatting sqref="Q1113">
    <cfRule type="containsText" dxfId="2" priority="18955" operator="containsText" text="Yes">
      <formula>NOT(ISERROR(SEARCH(("Yes"),(Q1113))))</formula>
    </cfRule>
  </conditionalFormatting>
  <conditionalFormatting sqref="Q1113">
    <cfRule type="containsText" dxfId="9" priority="18956" operator="containsText" text="No">
      <formula>NOT(ISERROR(SEARCH(("No"),(Q1113))))</formula>
    </cfRule>
  </conditionalFormatting>
  <conditionalFormatting sqref="Q1113">
    <cfRule type="containsText" dxfId="2" priority="18957" operator="containsText" text="Yes">
      <formula>NOT(ISERROR(SEARCH(("Yes"),(Q1113))))</formula>
    </cfRule>
  </conditionalFormatting>
  <conditionalFormatting sqref="Q1113">
    <cfRule type="containsText" dxfId="9" priority="18958" operator="containsText" text="No">
      <formula>NOT(ISERROR(SEARCH(("No"),(Q1113))))</formula>
    </cfRule>
  </conditionalFormatting>
  <conditionalFormatting sqref="Q1113">
    <cfRule type="containsText" dxfId="2" priority="18959" operator="containsText" text="Yes">
      <formula>NOT(ISERROR(SEARCH(("Yes"),(Q1113))))</formula>
    </cfRule>
  </conditionalFormatting>
  <conditionalFormatting sqref="Q1113">
    <cfRule type="containsText" dxfId="9" priority="18960" operator="containsText" text="No">
      <formula>NOT(ISERROR(SEARCH(("No"),(Q1113))))</formula>
    </cfRule>
  </conditionalFormatting>
  <conditionalFormatting sqref="Q1113">
    <cfRule type="containsText" dxfId="2" priority="18961" operator="containsText" text="Yes">
      <formula>NOT(ISERROR(SEARCH(("Yes"),(Q1113))))</formula>
    </cfRule>
  </conditionalFormatting>
  <conditionalFormatting sqref="Q1113">
    <cfRule type="containsText" dxfId="9" priority="18962" operator="containsText" text="No">
      <formula>NOT(ISERROR(SEARCH(("No"),(Q1113))))</formula>
    </cfRule>
  </conditionalFormatting>
  <conditionalFormatting sqref="Q1113">
    <cfRule type="containsText" dxfId="2" priority="18963" operator="containsText" text="Yes">
      <formula>NOT(ISERROR(SEARCH(("Yes"),(Q1113))))</formula>
    </cfRule>
  </conditionalFormatting>
  <conditionalFormatting sqref="Q1113">
    <cfRule type="containsText" dxfId="9" priority="18964" operator="containsText" text="No">
      <formula>NOT(ISERROR(SEARCH(("No"),(Q1113))))</formula>
    </cfRule>
  </conditionalFormatting>
  <conditionalFormatting sqref="Q1113">
    <cfRule type="containsText" dxfId="2" priority="18965" operator="containsText" text="Yes">
      <formula>NOT(ISERROR(SEARCH(("Yes"),(Q1113))))</formula>
    </cfRule>
  </conditionalFormatting>
  <conditionalFormatting sqref="Q1113">
    <cfRule type="containsText" dxfId="9" priority="18966" operator="containsText" text="No">
      <formula>NOT(ISERROR(SEARCH(("No"),(Q1113))))</formula>
    </cfRule>
  </conditionalFormatting>
  <conditionalFormatting sqref="Q1113">
    <cfRule type="containsText" dxfId="2" priority="18967" operator="containsText" text="Yes">
      <formula>NOT(ISERROR(SEARCH(("Yes"),(Q1113))))</formula>
    </cfRule>
  </conditionalFormatting>
  <conditionalFormatting sqref="Q1113">
    <cfRule type="containsText" dxfId="9" priority="18968" operator="containsText" text="No">
      <formula>NOT(ISERROR(SEARCH(("No"),(Q1113))))</formula>
    </cfRule>
  </conditionalFormatting>
  <conditionalFormatting sqref="Q1113">
    <cfRule type="containsText" dxfId="2" priority="18969" operator="containsText" text="Yes">
      <formula>NOT(ISERROR(SEARCH(("Yes"),(Q1113))))</formula>
    </cfRule>
  </conditionalFormatting>
  <conditionalFormatting sqref="Q1113">
    <cfRule type="containsText" dxfId="9" priority="18970" operator="containsText" text="No">
      <formula>NOT(ISERROR(SEARCH(("No"),(Q1113))))</formula>
    </cfRule>
  </conditionalFormatting>
  <conditionalFormatting sqref="Q1113">
    <cfRule type="containsText" dxfId="2" priority="18971" operator="containsText" text="Yes">
      <formula>NOT(ISERROR(SEARCH(("Yes"),(Q1113))))</formula>
    </cfRule>
  </conditionalFormatting>
  <conditionalFormatting sqref="Q1113">
    <cfRule type="containsText" dxfId="9" priority="18972" operator="containsText" text="No">
      <formula>NOT(ISERROR(SEARCH(("No"),(Q1113))))</formula>
    </cfRule>
  </conditionalFormatting>
  <conditionalFormatting sqref="Q1113">
    <cfRule type="containsText" dxfId="2" priority="18973" operator="containsText" text="Yes">
      <formula>NOT(ISERROR(SEARCH(("Yes"),(Q1113))))</formula>
    </cfRule>
  </conditionalFormatting>
  <conditionalFormatting sqref="Q1113">
    <cfRule type="containsText" dxfId="9" priority="18974" operator="containsText" text="No">
      <formula>NOT(ISERROR(SEARCH(("No"),(Q1113))))</formula>
    </cfRule>
  </conditionalFormatting>
  <conditionalFormatting sqref="Q1113">
    <cfRule type="containsText" dxfId="2" priority="18975" operator="containsText" text="Yes">
      <formula>NOT(ISERROR(SEARCH(("Yes"),(Q1113))))</formula>
    </cfRule>
  </conditionalFormatting>
  <conditionalFormatting sqref="Q1113">
    <cfRule type="containsText" dxfId="9" priority="18976" operator="containsText" text="No">
      <formula>NOT(ISERROR(SEARCH(("No"),(Q1113))))</formula>
    </cfRule>
  </conditionalFormatting>
  <conditionalFormatting sqref="Q1113">
    <cfRule type="containsText" dxfId="2" priority="18977" operator="containsText" text="Yes">
      <formula>NOT(ISERROR(SEARCH(("Yes"),(Q1113))))</formula>
    </cfRule>
  </conditionalFormatting>
  <conditionalFormatting sqref="Q1113">
    <cfRule type="containsText" dxfId="9" priority="18978" operator="containsText" text="No">
      <formula>NOT(ISERROR(SEARCH(("No"),(Q1113))))</formula>
    </cfRule>
  </conditionalFormatting>
  <conditionalFormatting sqref="Q1113">
    <cfRule type="containsText" dxfId="2" priority="18979" operator="containsText" text="Yes">
      <formula>NOT(ISERROR(SEARCH(("Yes"),(Q1113))))</formula>
    </cfRule>
  </conditionalFormatting>
  <conditionalFormatting sqref="Q1113">
    <cfRule type="containsText" dxfId="9" priority="18980" operator="containsText" text="No">
      <formula>NOT(ISERROR(SEARCH(("No"),(Q1113))))</formula>
    </cfRule>
  </conditionalFormatting>
  <conditionalFormatting sqref="Q1113">
    <cfRule type="containsText" dxfId="2" priority="18981" operator="containsText" text="Yes">
      <formula>NOT(ISERROR(SEARCH(("Yes"),(Q1113))))</formula>
    </cfRule>
  </conditionalFormatting>
  <conditionalFormatting sqref="Q1113">
    <cfRule type="containsText" dxfId="9" priority="18982" operator="containsText" text="No">
      <formula>NOT(ISERROR(SEARCH(("No"),(Q1113))))</formula>
    </cfRule>
  </conditionalFormatting>
  <conditionalFormatting sqref="Q1113">
    <cfRule type="containsText" dxfId="2" priority="18983" operator="containsText" text="Yes">
      <formula>NOT(ISERROR(SEARCH(("Yes"),(Q1113))))</formula>
    </cfRule>
  </conditionalFormatting>
  <conditionalFormatting sqref="Q1113">
    <cfRule type="containsText" dxfId="9" priority="18984" operator="containsText" text="No">
      <formula>NOT(ISERROR(SEARCH(("No"),(Q1113))))</formula>
    </cfRule>
  </conditionalFormatting>
  <conditionalFormatting sqref="Q1113">
    <cfRule type="containsText" dxfId="2" priority="18985" operator="containsText" text="Yes">
      <formula>NOT(ISERROR(SEARCH(("Yes"),(Q1113))))</formula>
    </cfRule>
  </conditionalFormatting>
  <conditionalFormatting sqref="Q1113">
    <cfRule type="containsText" dxfId="9" priority="18986" operator="containsText" text="No">
      <formula>NOT(ISERROR(SEARCH(("No"),(Q1113))))</formula>
    </cfRule>
  </conditionalFormatting>
  <conditionalFormatting sqref="Q1113">
    <cfRule type="containsText" dxfId="2" priority="18987" operator="containsText" text="Yes">
      <formula>NOT(ISERROR(SEARCH(("Yes"),(Q1113))))</formula>
    </cfRule>
  </conditionalFormatting>
  <conditionalFormatting sqref="Q1113">
    <cfRule type="containsText" dxfId="9" priority="18988" operator="containsText" text="No">
      <formula>NOT(ISERROR(SEARCH(("No"),(Q1113))))</formula>
    </cfRule>
  </conditionalFormatting>
  <conditionalFormatting sqref="Q1113">
    <cfRule type="containsText" dxfId="2" priority="18989" operator="containsText" text="Yes">
      <formula>NOT(ISERROR(SEARCH(("Yes"),(Q1113))))</formula>
    </cfRule>
  </conditionalFormatting>
  <conditionalFormatting sqref="Q1113">
    <cfRule type="containsText" dxfId="9" priority="18990" operator="containsText" text="No">
      <formula>NOT(ISERROR(SEARCH(("No"),(Q1113))))</formula>
    </cfRule>
  </conditionalFormatting>
  <conditionalFormatting sqref="Q1113">
    <cfRule type="containsText" dxfId="2" priority="18991" operator="containsText" text="Yes">
      <formula>NOT(ISERROR(SEARCH(("Yes"),(Q1113))))</formula>
    </cfRule>
  </conditionalFormatting>
  <conditionalFormatting sqref="Q1113">
    <cfRule type="containsText" dxfId="9" priority="18992" operator="containsText" text="No">
      <formula>NOT(ISERROR(SEARCH(("No"),(Q1113))))</formula>
    </cfRule>
  </conditionalFormatting>
  <conditionalFormatting sqref="Q1113">
    <cfRule type="containsText" dxfId="2" priority="18993" operator="containsText" text="Yes">
      <formula>NOT(ISERROR(SEARCH(("Yes"),(Q1113))))</formula>
    </cfRule>
  </conditionalFormatting>
  <conditionalFormatting sqref="Q1113">
    <cfRule type="containsText" dxfId="9" priority="18994" operator="containsText" text="No">
      <formula>NOT(ISERROR(SEARCH(("No"),(Q1113))))</formula>
    </cfRule>
  </conditionalFormatting>
  <conditionalFormatting sqref="Q1113">
    <cfRule type="containsText" dxfId="2" priority="18995" operator="containsText" text="Yes">
      <formula>NOT(ISERROR(SEARCH(("Yes"),(Q1113))))</formula>
    </cfRule>
  </conditionalFormatting>
  <conditionalFormatting sqref="Q1113">
    <cfRule type="containsText" dxfId="9" priority="18996" operator="containsText" text="No">
      <formula>NOT(ISERROR(SEARCH(("No"),(Q1113))))</formula>
    </cfRule>
  </conditionalFormatting>
  <conditionalFormatting sqref="Q1113">
    <cfRule type="containsText" dxfId="2" priority="18997" operator="containsText" text="Yes">
      <formula>NOT(ISERROR(SEARCH(("Yes"),(Q1113))))</formula>
    </cfRule>
  </conditionalFormatting>
  <conditionalFormatting sqref="Q1113">
    <cfRule type="containsText" dxfId="9" priority="18998" operator="containsText" text="No">
      <formula>NOT(ISERROR(SEARCH(("No"),(Q1113))))</formula>
    </cfRule>
  </conditionalFormatting>
  <conditionalFormatting sqref="Q1113">
    <cfRule type="containsText" dxfId="2" priority="18999" operator="containsText" text="Yes">
      <formula>NOT(ISERROR(SEARCH(("Yes"),(Q1113))))</formula>
    </cfRule>
  </conditionalFormatting>
  <conditionalFormatting sqref="Q1113">
    <cfRule type="containsText" dxfId="9" priority="19000" operator="containsText" text="No">
      <formula>NOT(ISERROR(SEARCH(("No"),(Q1113))))</formula>
    </cfRule>
  </conditionalFormatting>
  <conditionalFormatting sqref="Q1113">
    <cfRule type="containsText" dxfId="2" priority="19001" operator="containsText" text="Yes">
      <formula>NOT(ISERROR(SEARCH(("Yes"),(Q1113))))</formula>
    </cfRule>
  </conditionalFormatting>
  <conditionalFormatting sqref="Q1113">
    <cfRule type="containsText" dxfId="9" priority="19002" operator="containsText" text="No">
      <formula>NOT(ISERROR(SEARCH(("No"),(Q1113))))</formula>
    </cfRule>
  </conditionalFormatting>
  <conditionalFormatting sqref="Q1113">
    <cfRule type="containsText" dxfId="2" priority="19003" operator="containsText" text="Yes">
      <formula>NOT(ISERROR(SEARCH(("Yes"),(Q1113))))</formula>
    </cfRule>
  </conditionalFormatting>
  <conditionalFormatting sqref="Q1113">
    <cfRule type="containsText" dxfId="9" priority="19004" operator="containsText" text="No">
      <formula>NOT(ISERROR(SEARCH(("No"),(Q1113))))</formula>
    </cfRule>
  </conditionalFormatting>
  <conditionalFormatting sqref="Q1113">
    <cfRule type="containsText" dxfId="2" priority="19005" operator="containsText" text="Yes">
      <formula>NOT(ISERROR(SEARCH(("Yes"),(Q1113))))</formula>
    </cfRule>
  </conditionalFormatting>
  <conditionalFormatting sqref="Q1113">
    <cfRule type="containsText" dxfId="9" priority="19006" operator="containsText" text="No">
      <formula>NOT(ISERROR(SEARCH(("No"),(Q1113))))</formula>
    </cfRule>
  </conditionalFormatting>
  <conditionalFormatting sqref="Q1113">
    <cfRule type="containsText" dxfId="2" priority="19007" operator="containsText" text="Yes">
      <formula>NOT(ISERROR(SEARCH(("Yes"),(Q1113))))</formula>
    </cfRule>
  </conditionalFormatting>
  <conditionalFormatting sqref="Q1113">
    <cfRule type="containsText" dxfId="9" priority="19008" operator="containsText" text="No">
      <formula>NOT(ISERROR(SEARCH(("No"),(Q1113))))</formula>
    </cfRule>
  </conditionalFormatting>
  <conditionalFormatting sqref="Q1113">
    <cfRule type="containsText" dxfId="2" priority="19009" operator="containsText" text="Yes">
      <formula>NOT(ISERROR(SEARCH(("Yes"),(Q1113))))</formula>
    </cfRule>
  </conditionalFormatting>
  <conditionalFormatting sqref="Q1113">
    <cfRule type="containsText" dxfId="9" priority="19010" operator="containsText" text="No">
      <formula>NOT(ISERROR(SEARCH(("No"),(Q1113))))</formula>
    </cfRule>
  </conditionalFormatting>
  <conditionalFormatting sqref="Q1113">
    <cfRule type="containsText" dxfId="2" priority="19011" operator="containsText" text="Yes">
      <formula>NOT(ISERROR(SEARCH(("Yes"),(Q1113))))</formula>
    </cfRule>
  </conditionalFormatting>
  <conditionalFormatting sqref="Q1113">
    <cfRule type="containsText" dxfId="9" priority="19012" operator="containsText" text="No">
      <formula>NOT(ISERROR(SEARCH(("No"),(Q1113))))</formula>
    </cfRule>
  </conditionalFormatting>
  <conditionalFormatting sqref="Q1113">
    <cfRule type="containsText" dxfId="2" priority="19013" operator="containsText" text="Yes">
      <formula>NOT(ISERROR(SEARCH(("Yes"),(Q1113))))</formula>
    </cfRule>
  </conditionalFormatting>
  <conditionalFormatting sqref="Q1113">
    <cfRule type="containsText" dxfId="2" priority="19014" operator="containsText" text="Yes">
      <formula>NOT(ISERROR(SEARCH(("Yes"),(Q1113))))</formula>
    </cfRule>
  </conditionalFormatting>
  <conditionalFormatting sqref="Q1113">
    <cfRule type="containsText" dxfId="9" priority="19015" operator="containsText" text="No">
      <formula>NOT(ISERROR(SEARCH(("No"),(Q1113))))</formula>
    </cfRule>
  </conditionalFormatting>
  <conditionalFormatting sqref="Q1113">
    <cfRule type="containsText" dxfId="2" priority="19016" operator="containsText" text="Yes">
      <formula>NOT(ISERROR(SEARCH(("Yes"),(Q1113))))</formula>
    </cfRule>
  </conditionalFormatting>
  <conditionalFormatting sqref="Q1117:Q1121">
    <cfRule type="containsText" dxfId="2" priority="19017" operator="containsText" text="Yes">
      <formula>NOT(ISERROR(SEARCH(("Yes"),(Q1117))))</formula>
    </cfRule>
  </conditionalFormatting>
  <conditionalFormatting sqref="Q1117:Q1121">
    <cfRule type="containsText" dxfId="9" priority="19018" operator="containsText" text="No">
      <formula>NOT(ISERROR(SEARCH(("No"),(Q1117))))</formula>
    </cfRule>
  </conditionalFormatting>
  <conditionalFormatting sqref="Q1117:Q1121">
    <cfRule type="containsText" dxfId="2" priority="19019" operator="containsText" text="Yes">
      <formula>NOT(ISERROR(SEARCH(("Yes"),(Q1117))))</formula>
    </cfRule>
  </conditionalFormatting>
  <conditionalFormatting sqref="Q1117:Q1121">
    <cfRule type="containsText" dxfId="9" priority="19020" operator="containsText" text="No">
      <formula>NOT(ISERROR(SEARCH(("No"),(Q1117))))</formula>
    </cfRule>
  </conditionalFormatting>
  <conditionalFormatting sqref="Q1117:Q1121">
    <cfRule type="containsText" dxfId="2" priority="19021" operator="containsText" text="Yes">
      <formula>NOT(ISERROR(SEARCH(("Yes"),(Q1117))))</formula>
    </cfRule>
  </conditionalFormatting>
  <conditionalFormatting sqref="Q1117:Q1121">
    <cfRule type="containsText" dxfId="9" priority="19022" operator="containsText" text="No">
      <formula>NOT(ISERROR(SEARCH(("No"),(Q1117))))</formula>
    </cfRule>
  </conditionalFormatting>
  <conditionalFormatting sqref="Q1117:Q1121">
    <cfRule type="containsText" dxfId="2" priority="19023" operator="containsText" text="Yes">
      <formula>NOT(ISERROR(SEARCH(("Yes"),(Q1117))))</formula>
    </cfRule>
  </conditionalFormatting>
  <conditionalFormatting sqref="Q1117:Q1121">
    <cfRule type="containsText" dxfId="9" priority="19024" operator="containsText" text="No">
      <formula>NOT(ISERROR(SEARCH(("No"),(Q1117))))</formula>
    </cfRule>
  </conditionalFormatting>
  <conditionalFormatting sqref="Q1117:Q1121">
    <cfRule type="containsText" dxfId="2" priority="19025" operator="containsText" text="Yes">
      <formula>NOT(ISERROR(SEARCH(("Yes"),(Q1117))))</formula>
    </cfRule>
  </conditionalFormatting>
  <conditionalFormatting sqref="Q1117:Q1121">
    <cfRule type="containsText" dxfId="9" priority="19026" operator="containsText" text="No">
      <formula>NOT(ISERROR(SEARCH(("No"),(Q1117))))</formula>
    </cfRule>
  </conditionalFormatting>
  <conditionalFormatting sqref="Q1117:Q1121">
    <cfRule type="containsText" dxfId="2" priority="19027" operator="containsText" text="Yes">
      <formula>NOT(ISERROR(SEARCH(("Yes"),(Q1117))))</formula>
    </cfRule>
  </conditionalFormatting>
  <conditionalFormatting sqref="Q1117:Q1121">
    <cfRule type="containsText" dxfId="9" priority="19028" operator="containsText" text="No">
      <formula>NOT(ISERROR(SEARCH(("No"),(Q1117))))</formula>
    </cfRule>
  </conditionalFormatting>
  <conditionalFormatting sqref="Q1117:Q1121">
    <cfRule type="containsText" dxfId="2" priority="19029" operator="containsText" text="Yes">
      <formula>NOT(ISERROR(SEARCH(("Yes"),(Q1117))))</formula>
    </cfRule>
  </conditionalFormatting>
  <conditionalFormatting sqref="Q1117:Q1121">
    <cfRule type="containsText" dxfId="9" priority="19030" operator="containsText" text="No">
      <formula>NOT(ISERROR(SEARCH(("No"),(Q1117))))</formula>
    </cfRule>
  </conditionalFormatting>
  <conditionalFormatting sqref="Q1117:Q1121">
    <cfRule type="containsText" dxfId="2" priority="19031" operator="containsText" text="Yes">
      <formula>NOT(ISERROR(SEARCH(("Yes"),(Q1117))))</formula>
    </cfRule>
  </conditionalFormatting>
  <conditionalFormatting sqref="Q1117:Q1121">
    <cfRule type="containsText" dxfId="9" priority="19032" operator="containsText" text="No">
      <formula>NOT(ISERROR(SEARCH(("No"),(Q1117))))</formula>
    </cfRule>
  </conditionalFormatting>
  <conditionalFormatting sqref="Q1117:Q1121">
    <cfRule type="containsText" dxfId="2" priority="19033" operator="containsText" text="Yes">
      <formula>NOT(ISERROR(SEARCH(("Yes"),(Q1117))))</formula>
    </cfRule>
  </conditionalFormatting>
  <conditionalFormatting sqref="Q1117:Q1121">
    <cfRule type="containsText" dxfId="9" priority="19034" operator="containsText" text="No">
      <formula>NOT(ISERROR(SEARCH(("No"),(Q1117))))</formula>
    </cfRule>
  </conditionalFormatting>
  <conditionalFormatting sqref="Q1117:Q1121">
    <cfRule type="containsText" dxfId="2" priority="19035" operator="containsText" text="Yes">
      <formula>NOT(ISERROR(SEARCH(("Yes"),(Q1117))))</formula>
    </cfRule>
  </conditionalFormatting>
  <conditionalFormatting sqref="Q1117:Q1121">
    <cfRule type="containsText" dxfId="9" priority="19036" operator="containsText" text="No">
      <formula>NOT(ISERROR(SEARCH(("No"),(Q1117))))</formula>
    </cfRule>
  </conditionalFormatting>
  <conditionalFormatting sqref="Q1117:Q1121">
    <cfRule type="containsText" dxfId="2" priority="19037" operator="containsText" text="Yes">
      <formula>NOT(ISERROR(SEARCH(("Yes"),(Q1117))))</formula>
    </cfRule>
  </conditionalFormatting>
  <conditionalFormatting sqref="Q1117:Q1121">
    <cfRule type="containsText" dxfId="9" priority="19038" operator="containsText" text="No">
      <formula>NOT(ISERROR(SEARCH(("No"),(Q1117))))</formula>
    </cfRule>
  </conditionalFormatting>
  <conditionalFormatting sqref="Q1117:Q1121">
    <cfRule type="containsText" dxfId="2" priority="19039" operator="containsText" text="Yes">
      <formula>NOT(ISERROR(SEARCH(("Yes"),(Q1117))))</formula>
    </cfRule>
  </conditionalFormatting>
  <conditionalFormatting sqref="Q1117:Q1121">
    <cfRule type="containsText" dxfId="9" priority="19040" operator="containsText" text="No">
      <formula>NOT(ISERROR(SEARCH(("No"),(Q1117))))</formula>
    </cfRule>
  </conditionalFormatting>
  <conditionalFormatting sqref="Q1117:Q1121">
    <cfRule type="containsText" dxfId="2" priority="19041" operator="containsText" text="Yes">
      <formula>NOT(ISERROR(SEARCH(("Yes"),(Q1117))))</formula>
    </cfRule>
  </conditionalFormatting>
  <conditionalFormatting sqref="Q1117:Q1121">
    <cfRule type="containsText" dxfId="9" priority="19042" operator="containsText" text="No">
      <formula>NOT(ISERROR(SEARCH(("No"),(Q1117))))</formula>
    </cfRule>
  </conditionalFormatting>
  <conditionalFormatting sqref="Q1117:Q1121">
    <cfRule type="containsText" dxfId="2" priority="19043" operator="containsText" text="Yes">
      <formula>NOT(ISERROR(SEARCH(("Yes"),(Q1117))))</formula>
    </cfRule>
  </conditionalFormatting>
  <conditionalFormatting sqref="Q1117:Q1121">
    <cfRule type="containsText" dxfId="9" priority="19044" operator="containsText" text="No">
      <formula>NOT(ISERROR(SEARCH(("No"),(Q1117))))</formula>
    </cfRule>
  </conditionalFormatting>
  <conditionalFormatting sqref="Q1117:Q1121">
    <cfRule type="containsText" dxfId="2" priority="19045" operator="containsText" text="Yes">
      <formula>NOT(ISERROR(SEARCH(("Yes"),(Q1117))))</formula>
    </cfRule>
  </conditionalFormatting>
  <conditionalFormatting sqref="Q1117:Q1121">
    <cfRule type="containsText" dxfId="9" priority="19046" operator="containsText" text="No">
      <formula>NOT(ISERROR(SEARCH(("No"),(Q1117))))</formula>
    </cfRule>
  </conditionalFormatting>
  <conditionalFormatting sqref="Q1117:Q1121">
    <cfRule type="containsText" dxfId="2" priority="19047" operator="containsText" text="Yes">
      <formula>NOT(ISERROR(SEARCH(("Yes"),(Q1117))))</formula>
    </cfRule>
  </conditionalFormatting>
  <conditionalFormatting sqref="Q1117:Q1121">
    <cfRule type="containsText" dxfId="9" priority="19048" operator="containsText" text="No">
      <formula>NOT(ISERROR(SEARCH(("No"),(Q1117))))</formula>
    </cfRule>
  </conditionalFormatting>
  <conditionalFormatting sqref="Q1117:Q1121">
    <cfRule type="containsText" dxfId="2" priority="19049" operator="containsText" text="Yes">
      <formula>NOT(ISERROR(SEARCH(("Yes"),(Q1117))))</formula>
    </cfRule>
  </conditionalFormatting>
  <conditionalFormatting sqref="Q1117:Q1121">
    <cfRule type="containsText" dxfId="9" priority="19050" operator="containsText" text="No">
      <formula>NOT(ISERROR(SEARCH(("No"),(Q1117))))</formula>
    </cfRule>
  </conditionalFormatting>
  <conditionalFormatting sqref="Q1117:Q1121">
    <cfRule type="containsText" dxfId="2" priority="19051" operator="containsText" text="Yes">
      <formula>NOT(ISERROR(SEARCH(("Yes"),(Q1117))))</formula>
    </cfRule>
  </conditionalFormatting>
  <conditionalFormatting sqref="Q1117:Q1121">
    <cfRule type="containsText" dxfId="9" priority="19052" operator="containsText" text="No">
      <formula>NOT(ISERROR(SEARCH(("No"),(Q1117))))</formula>
    </cfRule>
  </conditionalFormatting>
  <conditionalFormatting sqref="Q1117:Q1121">
    <cfRule type="containsText" dxfId="2" priority="19053" operator="containsText" text="Yes">
      <formula>NOT(ISERROR(SEARCH(("Yes"),(Q1117))))</formula>
    </cfRule>
  </conditionalFormatting>
  <conditionalFormatting sqref="Q1117:Q1121">
    <cfRule type="containsText" dxfId="9" priority="19054" operator="containsText" text="No">
      <formula>NOT(ISERROR(SEARCH(("No"),(Q1117))))</formula>
    </cfRule>
  </conditionalFormatting>
  <conditionalFormatting sqref="Q1117:Q1121">
    <cfRule type="containsText" dxfId="2" priority="19055" operator="containsText" text="Yes">
      <formula>NOT(ISERROR(SEARCH(("Yes"),(Q1117))))</formula>
    </cfRule>
  </conditionalFormatting>
  <conditionalFormatting sqref="Q1117:Q1121">
    <cfRule type="containsText" dxfId="9" priority="19056" operator="containsText" text="No">
      <formula>NOT(ISERROR(SEARCH(("No"),(Q1117))))</formula>
    </cfRule>
  </conditionalFormatting>
  <conditionalFormatting sqref="Q1117:Q1121">
    <cfRule type="containsText" dxfId="2" priority="19057" operator="containsText" text="Yes">
      <formula>NOT(ISERROR(SEARCH(("Yes"),(Q1117))))</formula>
    </cfRule>
  </conditionalFormatting>
  <conditionalFormatting sqref="Q1117:Q1121">
    <cfRule type="containsText" dxfId="9" priority="19058" operator="containsText" text="No">
      <formula>NOT(ISERROR(SEARCH(("No"),(Q1117))))</formula>
    </cfRule>
  </conditionalFormatting>
  <conditionalFormatting sqref="Q1117:Q1121">
    <cfRule type="containsText" dxfId="2" priority="19059" operator="containsText" text="Yes">
      <formula>NOT(ISERROR(SEARCH(("Yes"),(Q1117))))</formula>
    </cfRule>
  </conditionalFormatting>
  <conditionalFormatting sqref="Q1117:Q1121">
    <cfRule type="containsText" dxfId="9" priority="19060" operator="containsText" text="No">
      <formula>NOT(ISERROR(SEARCH(("No"),(Q1117))))</formula>
    </cfRule>
  </conditionalFormatting>
  <conditionalFormatting sqref="Q1117:Q1121">
    <cfRule type="containsText" dxfId="2" priority="19061" operator="containsText" text="Yes">
      <formula>NOT(ISERROR(SEARCH(("Yes"),(Q1117))))</formula>
    </cfRule>
  </conditionalFormatting>
  <conditionalFormatting sqref="Q1117:Q1121">
    <cfRule type="containsText" dxfId="9" priority="19062" operator="containsText" text="No">
      <formula>NOT(ISERROR(SEARCH(("No"),(Q1117))))</formula>
    </cfRule>
  </conditionalFormatting>
  <conditionalFormatting sqref="Q1117:Q1121">
    <cfRule type="containsText" dxfId="2" priority="19063" operator="containsText" text="Yes">
      <formula>NOT(ISERROR(SEARCH(("Yes"),(Q1117))))</formula>
    </cfRule>
  </conditionalFormatting>
  <conditionalFormatting sqref="Q1117:Q1121">
    <cfRule type="containsText" dxfId="9" priority="19064" operator="containsText" text="No">
      <formula>NOT(ISERROR(SEARCH(("No"),(Q1117))))</formula>
    </cfRule>
  </conditionalFormatting>
  <conditionalFormatting sqref="Q1117:Q1121">
    <cfRule type="containsText" dxfId="2" priority="19065" operator="containsText" text="Yes">
      <formula>NOT(ISERROR(SEARCH(("Yes"),(Q1117))))</formula>
    </cfRule>
  </conditionalFormatting>
  <conditionalFormatting sqref="Q1117:Q1121">
    <cfRule type="containsText" dxfId="9" priority="19066" operator="containsText" text="No">
      <formula>NOT(ISERROR(SEARCH(("No"),(Q1117))))</formula>
    </cfRule>
  </conditionalFormatting>
  <conditionalFormatting sqref="Q1117:Q1121">
    <cfRule type="containsText" dxfId="2" priority="19067" operator="containsText" text="Yes">
      <formula>NOT(ISERROR(SEARCH(("Yes"),(Q1117))))</formula>
    </cfRule>
  </conditionalFormatting>
  <conditionalFormatting sqref="Q1117:Q1121">
    <cfRule type="containsText" dxfId="9" priority="19068" operator="containsText" text="No">
      <formula>NOT(ISERROR(SEARCH(("No"),(Q1117))))</formula>
    </cfRule>
  </conditionalFormatting>
  <conditionalFormatting sqref="Q1117:Q1121">
    <cfRule type="containsText" dxfId="2" priority="19069" operator="containsText" text="Yes">
      <formula>NOT(ISERROR(SEARCH(("Yes"),(Q1117))))</formula>
    </cfRule>
  </conditionalFormatting>
  <conditionalFormatting sqref="Q1117:Q1121">
    <cfRule type="containsText" dxfId="9" priority="19070" operator="containsText" text="No">
      <formula>NOT(ISERROR(SEARCH(("No"),(Q1117))))</formula>
    </cfRule>
  </conditionalFormatting>
  <conditionalFormatting sqref="Q1117:Q1121">
    <cfRule type="containsText" dxfId="2" priority="19071" operator="containsText" text="Yes">
      <formula>NOT(ISERROR(SEARCH(("Yes"),(Q1117))))</formula>
    </cfRule>
  </conditionalFormatting>
  <conditionalFormatting sqref="Q1117:Q1121">
    <cfRule type="containsText" dxfId="9" priority="19072" operator="containsText" text="No">
      <formula>NOT(ISERROR(SEARCH(("No"),(Q1117))))</formula>
    </cfRule>
  </conditionalFormatting>
  <conditionalFormatting sqref="Q1117:Q1121">
    <cfRule type="containsText" dxfId="2" priority="19073" operator="containsText" text="Yes">
      <formula>NOT(ISERROR(SEARCH(("Yes"),(Q1117))))</formula>
    </cfRule>
  </conditionalFormatting>
  <conditionalFormatting sqref="Q1117:Q1121">
    <cfRule type="containsText" dxfId="9" priority="19074" operator="containsText" text="No">
      <formula>NOT(ISERROR(SEARCH(("No"),(Q1117))))</formula>
    </cfRule>
  </conditionalFormatting>
  <conditionalFormatting sqref="Q1117:Q1121">
    <cfRule type="containsText" dxfId="2" priority="19075" operator="containsText" text="Yes">
      <formula>NOT(ISERROR(SEARCH(("Yes"),(Q1117))))</formula>
    </cfRule>
  </conditionalFormatting>
  <conditionalFormatting sqref="Q1117:Q1121">
    <cfRule type="containsText" dxfId="9" priority="19076" operator="containsText" text="No">
      <formula>NOT(ISERROR(SEARCH(("No"),(Q1117))))</formula>
    </cfRule>
  </conditionalFormatting>
  <conditionalFormatting sqref="Q1117:Q1121">
    <cfRule type="containsText" dxfId="2" priority="19077" operator="containsText" text="Yes">
      <formula>NOT(ISERROR(SEARCH(("Yes"),(Q1117))))</formula>
    </cfRule>
  </conditionalFormatting>
  <conditionalFormatting sqref="Q1117:Q1121">
    <cfRule type="containsText" dxfId="9" priority="19078" operator="containsText" text="No">
      <formula>NOT(ISERROR(SEARCH(("No"),(Q1117))))</formula>
    </cfRule>
  </conditionalFormatting>
  <conditionalFormatting sqref="Q1117:Q1121">
    <cfRule type="containsText" dxfId="2" priority="19079" operator="containsText" text="Yes">
      <formula>NOT(ISERROR(SEARCH(("Yes"),(Q1117))))</formula>
    </cfRule>
  </conditionalFormatting>
  <conditionalFormatting sqref="Q1117:Q1121">
    <cfRule type="containsText" dxfId="9" priority="19080" operator="containsText" text="No">
      <formula>NOT(ISERROR(SEARCH(("No"),(Q1117))))</formula>
    </cfRule>
  </conditionalFormatting>
  <conditionalFormatting sqref="Q1117:Q1121">
    <cfRule type="containsText" dxfId="2" priority="19081" operator="containsText" text="Yes">
      <formula>NOT(ISERROR(SEARCH(("Yes"),(Q1117))))</formula>
    </cfRule>
  </conditionalFormatting>
  <conditionalFormatting sqref="Q1117:Q1121">
    <cfRule type="containsText" dxfId="9" priority="19082" operator="containsText" text="No">
      <formula>NOT(ISERROR(SEARCH(("No"),(Q1117))))</formula>
    </cfRule>
  </conditionalFormatting>
  <conditionalFormatting sqref="Q1117:Q1121">
    <cfRule type="containsText" dxfId="2" priority="19083" operator="containsText" text="Yes">
      <formula>NOT(ISERROR(SEARCH(("Yes"),(Q1117))))</formula>
    </cfRule>
  </conditionalFormatting>
  <conditionalFormatting sqref="Q1117:Q1121">
    <cfRule type="containsText" dxfId="9" priority="19084" operator="containsText" text="No">
      <formula>NOT(ISERROR(SEARCH(("No"),(Q1117))))</formula>
    </cfRule>
  </conditionalFormatting>
  <conditionalFormatting sqref="Q1117:Q1121">
    <cfRule type="containsText" dxfId="2" priority="19085" operator="containsText" text="Yes">
      <formula>NOT(ISERROR(SEARCH(("Yes"),(Q1117))))</formula>
    </cfRule>
  </conditionalFormatting>
  <conditionalFormatting sqref="Q1117:Q1121">
    <cfRule type="containsText" dxfId="9" priority="19086" operator="containsText" text="No">
      <formula>NOT(ISERROR(SEARCH(("No"),(Q1117))))</formula>
    </cfRule>
  </conditionalFormatting>
  <conditionalFormatting sqref="Q1117:Q1121">
    <cfRule type="containsText" dxfId="2" priority="19087" operator="containsText" text="Yes">
      <formula>NOT(ISERROR(SEARCH(("Yes"),(Q1117))))</formula>
    </cfRule>
  </conditionalFormatting>
  <conditionalFormatting sqref="Q1117:Q1121">
    <cfRule type="containsText" dxfId="9" priority="19088" operator="containsText" text="No">
      <formula>NOT(ISERROR(SEARCH(("No"),(Q1117))))</formula>
    </cfRule>
  </conditionalFormatting>
  <conditionalFormatting sqref="Q1117:Q1121">
    <cfRule type="containsText" dxfId="2" priority="19089" operator="containsText" text="Yes">
      <formula>NOT(ISERROR(SEARCH(("Yes"),(Q1117))))</formula>
    </cfRule>
  </conditionalFormatting>
  <conditionalFormatting sqref="Q1117:Q1121">
    <cfRule type="containsText" dxfId="9" priority="19090" operator="containsText" text="No">
      <formula>NOT(ISERROR(SEARCH(("No"),(Q1117))))</formula>
    </cfRule>
  </conditionalFormatting>
  <conditionalFormatting sqref="Q1117:Q1121">
    <cfRule type="containsText" dxfId="2" priority="19091" operator="containsText" text="Yes">
      <formula>NOT(ISERROR(SEARCH(("Yes"),(Q1117))))</formula>
    </cfRule>
  </conditionalFormatting>
  <conditionalFormatting sqref="Q1117:Q1121">
    <cfRule type="containsText" dxfId="9" priority="19092" operator="containsText" text="No">
      <formula>NOT(ISERROR(SEARCH(("No"),(Q1117))))</formula>
    </cfRule>
  </conditionalFormatting>
  <conditionalFormatting sqref="Q1117:Q1121">
    <cfRule type="containsText" dxfId="2" priority="19093" operator="containsText" text="Yes">
      <formula>NOT(ISERROR(SEARCH(("Yes"),(Q1117))))</formula>
    </cfRule>
  </conditionalFormatting>
  <conditionalFormatting sqref="Q1117:Q1121">
    <cfRule type="containsText" dxfId="9" priority="19094" operator="containsText" text="No">
      <formula>NOT(ISERROR(SEARCH(("No"),(Q1117))))</formula>
    </cfRule>
  </conditionalFormatting>
  <conditionalFormatting sqref="Q1117:Q1121">
    <cfRule type="containsText" dxfId="2" priority="19095" operator="containsText" text="Yes">
      <formula>NOT(ISERROR(SEARCH(("Yes"),(Q1117))))</formula>
    </cfRule>
  </conditionalFormatting>
  <conditionalFormatting sqref="Q1117:Q1121">
    <cfRule type="containsText" dxfId="9" priority="19096" operator="containsText" text="No">
      <formula>NOT(ISERROR(SEARCH(("No"),(Q1117))))</formula>
    </cfRule>
  </conditionalFormatting>
  <conditionalFormatting sqref="Q1117:Q1121">
    <cfRule type="containsText" dxfId="2" priority="19097" operator="containsText" text="Yes">
      <formula>NOT(ISERROR(SEARCH(("Yes"),(Q1117))))</formula>
    </cfRule>
  </conditionalFormatting>
  <conditionalFormatting sqref="Q1117:Q1121">
    <cfRule type="containsText" dxfId="9" priority="19098" operator="containsText" text="No">
      <formula>NOT(ISERROR(SEARCH(("No"),(Q1117))))</formula>
    </cfRule>
  </conditionalFormatting>
  <conditionalFormatting sqref="Q1117:Q1121">
    <cfRule type="containsText" dxfId="2" priority="19099" operator="containsText" text="Yes">
      <formula>NOT(ISERROR(SEARCH(("Yes"),(Q1117))))</formula>
    </cfRule>
  </conditionalFormatting>
  <conditionalFormatting sqref="Q1117:Q1121">
    <cfRule type="containsText" dxfId="9" priority="19100" operator="containsText" text="No">
      <formula>NOT(ISERROR(SEARCH(("No"),(Q1117))))</formula>
    </cfRule>
  </conditionalFormatting>
  <conditionalFormatting sqref="Q1117:Q1121">
    <cfRule type="containsText" dxfId="2" priority="19101" operator="containsText" text="Yes">
      <formula>NOT(ISERROR(SEARCH(("Yes"),(Q1117))))</formula>
    </cfRule>
  </conditionalFormatting>
  <conditionalFormatting sqref="Q1117:Q1121">
    <cfRule type="containsText" dxfId="9" priority="19102" operator="containsText" text="No">
      <formula>NOT(ISERROR(SEARCH(("No"),(Q1117))))</formula>
    </cfRule>
  </conditionalFormatting>
  <conditionalFormatting sqref="Q1117:Q1121">
    <cfRule type="containsText" dxfId="2" priority="19103" operator="containsText" text="Yes">
      <formula>NOT(ISERROR(SEARCH(("Yes"),(Q1117))))</formula>
    </cfRule>
  </conditionalFormatting>
  <conditionalFormatting sqref="Q1117:Q1121">
    <cfRule type="containsText" dxfId="9" priority="19104" operator="containsText" text="No">
      <formula>NOT(ISERROR(SEARCH(("No"),(Q1117))))</formula>
    </cfRule>
  </conditionalFormatting>
  <conditionalFormatting sqref="Q1117:Q1121">
    <cfRule type="containsText" dxfId="2" priority="19105" operator="containsText" text="Yes">
      <formula>NOT(ISERROR(SEARCH(("Yes"),(Q1117))))</formula>
    </cfRule>
  </conditionalFormatting>
  <conditionalFormatting sqref="Q1117:Q1121">
    <cfRule type="containsText" dxfId="2" priority="19106" operator="containsText" text="Yes">
      <formula>NOT(ISERROR(SEARCH(("Yes"),(Q1117))))</formula>
    </cfRule>
  </conditionalFormatting>
  <conditionalFormatting sqref="Q1117:Q1121">
    <cfRule type="containsText" dxfId="9" priority="19107" operator="containsText" text="No">
      <formula>NOT(ISERROR(SEARCH(("No"),(Q1117))))</formula>
    </cfRule>
  </conditionalFormatting>
  <conditionalFormatting sqref="Q1117:Q1121">
    <cfRule type="containsText" dxfId="2" priority="19108" operator="containsText" text="Yes">
      <formula>NOT(ISERROR(SEARCH(("Yes"),(Q1117))))</formula>
    </cfRule>
  </conditionalFormatting>
  <conditionalFormatting sqref="Q1123:Q1128">
    <cfRule type="containsText" dxfId="2" priority="19109" operator="containsText" text="Yes">
      <formula>NOT(ISERROR(SEARCH(("Yes"),(Q1123))))</formula>
    </cfRule>
  </conditionalFormatting>
  <conditionalFormatting sqref="Q1123:Q1128">
    <cfRule type="containsText" dxfId="9" priority="19110" operator="containsText" text="No">
      <formula>NOT(ISERROR(SEARCH(("No"),(Q1123))))</formula>
    </cfRule>
  </conditionalFormatting>
  <conditionalFormatting sqref="Q1123:Q1128">
    <cfRule type="containsText" dxfId="2" priority="19111" operator="containsText" text="Yes">
      <formula>NOT(ISERROR(SEARCH(("Yes"),(Q1123))))</formula>
    </cfRule>
  </conditionalFormatting>
  <conditionalFormatting sqref="Q1123:Q1128">
    <cfRule type="containsText" dxfId="9" priority="19112" operator="containsText" text="No">
      <formula>NOT(ISERROR(SEARCH(("No"),(Q1123))))</formula>
    </cfRule>
  </conditionalFormatting>
  <conditionalFormatting sqref="Q1123:Q1128">
    <cfRule type="containsText" dxfId="2" priority="19113" operator="containsText" text="Yes">
      <formula>NOT(ISERROR(SEARCH(("Yes"),(Q1123))))</formula>
    </cfRule>
  </conditionalFormatting>
  <conditionalFormatting sqref="Q1123:Q1128">
    <cfRule type="containsText" dxfId="9" priority="19114" operator="containsText" text="No">
      <formula>NOT(ISERROR(SEARCH(("No"),(Q1123))))</formula>
    </cfRule>
  </conditionalFormatting>
  <conditionalFormatting sqref="Q1123:Q1128">
    <cfRule type="containsText" dxfId="2" priority="19115" operator="containsText" text="Yes">
      <formula>NOT(ISERROR(SEARCH(("Yes"),(Q1123))))</formula>
    </cfRule>
  </conditionalFormatting>
  <conditionalFormatting sqref="Q1123:Q1128">
    <cfRule type="containsText" dxfId="9" priority="19116" operator="containsText" text="No">
      <formula>NOT(ISERROR(SEARCH(("No"),(Q1123))))</formula>
    </cfRule>
  </conditionalFormatting>
  <conditionalFormatting sqref="Q1123:Q1128">
    <cfRule type="containsText" dxfId="2" priority="19117" operator="containsText" text="Yes">
      <formula>NOT(ISERROR(SEARCH(("Yes"),(Q1123))))</formula>
    </cfRule>
  </conditionalFormatting>
  <conditionalFormatting sqref="Q1123:Q1128">
    <cfRule type="containsText" dxfId="9" priority="19118" operator="containsText" text="No">
      <formula>NOT(ISERROR(SEARCH(("No"),(Q1123))))</formula>
    </cfRule>
  </conditionalFormatting>
  <conditionalFormatting sqref="Q1123:Q1128">
    <cfRule type="containsText" dxfId="2" priority="19119" operator="containsText" text="Yes">
      <formula>NOT(ISERROR(SEARCH(("Yes"),(Q1123))))</formula>
    </cfRule>
  </conditionalFormatting>
  <conditionalFormatting sqref="Q1123:Q1128">
    <cfRule type="containsText" dxfId="9" priority="19120" operator="containsText" text="No">
      <formula>NOT(ISERROR(SEARCH(("No"),(Q1123))))</formula>
    </cfRule>
  </conditionalFormatting>
  <conditionalFormatting sqref="Q1123:Q1128">
    <cfRule type="containsText" dxfId="2" priority="19121" operator="containsText" text="Yes">
      <formula>NOT(ISERROR(SEARCH(("Yes"),(Q1123))))</formula>
    </cfRule>
  </conditionalFormatting>
  <conditionalFormatting sqref="Q1123:Q1128">
    <cfRule type="containsText" dxfId="9" priority="19122" operator="containsText" text="No">
      <formula>NOT(ISERROR(SEARCH(("No"),(Q1123))))</formula>
    </cfRule>
  </conditionalFormatting>
  <conditionalFormatting sqref="Q1123:Q1128">
    <cfRule type="containsText" dxfId="2" priority="19123" operator="containsText" text="Yes">
      <formula>NOT(ISERROR(SEARCH(("Yes"),(Q1123))))</formula>
    </cfRule>
  </conditionalFormatting>
  <conditionalFormatting sqref="Q1123:Q1128">
    <cfRule type="containsText" dxfId="9" priority="19124" operator="containsText" text="No">
      <formula>NOT(ISERROR(SEARCH(("No"),(Q1123))))</formula>
    </cfRule>
  </conditionalFormatting>
  <conditionalFormatting sqref="Q1123:Q1128">
    <cfRule type="containsText" dxfId="2" priority="19125" operator="containsText" text="Yes">
      <formula>NOT(ISERROR(SEARCH(("Yes"),(Q1123))))</formula>
    </cfRule>
  </conditionalFormatting>
  <conditionalFormatting sqref="Q1123:Q1128">
    <cfRule type="containsText" dxfId="9" priority="19126" operator="containsText" text="No">
      <formula>NOT(ISERROR(SEARCH(("No"),(Q1123))))</formula>
    </cfRule>
  </conditionalFormatting>
  <conditionalFormatting sqref="Q1123:Q1128">
    <cfRule type="containsText" dxfId="2" priority="19127" operator="containsText" text="Yes">
      <formula>NOT(ISERROR(SEARCH(("Yes"),(Q1123))))</formula>
    </cfRule>
  </conditionalFormatting>
  <conditionalFormatting sqref="Q1123:Q1128">
    <cfRule type="containsText" dxfId="9" priority="19128" operator="containsText" text="No">
      <formula>NOT(ISERROR(SEARCH(("No"),(Q1123))))</formula>
    </cfRule>
  </conditionalFormatting>
  <conditionalFormatting sqref="Q1123:Q1128">
    <cfRule type="containsText" dxfId="2" priority="19129" operator="containsText" text="Yes">
      <formula>NOT(ISERROR(SEARCH(("Yes"),(Q1123))))</formula>
    </cfRule>
  </conditionalFormatting>
  <conditionalFormatting sqref="Q1123:Q1128">
    <cfRule type="containsText" dxfId="9" priority="19130" operator="containsText" text="No">
      <formula>NOT(ISERROR(SEARCH(("No"),(Q1123))))</formula>
    </cfRule>
  </conditionalFormatting>
  <conditionalFormatting sqref="Q1123:Q1128">
    <cfRule type="containsText" dxfId="2" priority="19131" operator="containsText" text="Yes">
      <formula>NOT(ISERROR(SEARCH(("Yes"),(Q1123))))</formula>
    </cfRule>
  </conditionalFormatting>
  <conditionalFormatting sqref="Q1123:Q1128">
    <cfRule type="containsText" dxfId="9" priority="19132" operator="containsText" text="No">
      <formula>NOT(ISERROR(SEARCH(("No"),(Q1123))))</formula>
    </cfRule>
  </conditionalFormatting>
  <conditionalFormatting sqref="Q1123:Q1128">
    <cfRule type="containsText" dxfId="2" priority="19133" operator="containsText" text="Yes">
      <formula>NOT(ISERROR(SEARCH(("Yes"),(Q1123))))</formula>
    </cfRule>
  </conditionalFormatting>
  <conditionalFormatting sqref="Q1123:Q1128">
    <cfRule type="containsText" dxfId="9" priority="19134" operator="containsText" text="No">
      <formula>NOT(ISERROR(SEARCH(("No"),(Q1123))))</formula>
    </cfRule>
  </conditionalFormatting>
  <conditionalFormatting sqref="Q1123:Q1128">
    <cfRule type="containsText" dxfId="2" priority="19135" operator="containsText" text="Yes">
      <formula>NOT(ISERROR(SEARCH(("Yes"),(Q1123))))</formula>
    </cfRule>
  </conditionalFormatting>
  <conditionalFormatting sqref="Q1123:Q1128">
    <cfRule type="containsText" dxfId="9" priority="19136" operator="containsText" text="No">
      <formula>NOT(ISERROR(SEARCH(("No"),(Q1123))))</formula>
    </cfRule>
  </conditionalFormatting>
  <conditionalFormatting sqref="Q1123:Q1128">
    <cfRule type="containsText" dxfId="2" priority="19137" operator="containsText" text="Yes">
      <formula>NOT(ISERROR(SEARCH(("Yes"),(Q1123))))</formula>
    </cfRule>
  </conditionalFormatting>
  <conditionalFormatting sqref="Q1123:Q1128">
    <cfRule type="containsText" dxfId="9" priority="19138" operator="containsText" text="No">
      <formula>NOT(ISERROR(SEARCH(("No"),(Q1123))))</formula>
    </cfRule>
  </conditionalFormatting>
  <conditionalFormatting sqref="Q1123:Q1128">
    <cfRule type="containsText" dxfId="2" priority="19139" operator="containsText" text="Yes">
      <formula>NOT(ISERROR(SEARCH(("Yes"),(Q1123))))</formula>
    </cfRule>
  </conditionalFormatting>
  <conditionalFormatting sqref="Q1123:Q1128">
    <cfRule type="containsText" dxfId="9" priority="19140" operator="containsText" text="No">
      <formula>NOT(ISERROR(SEARCH(("No"),(Q1123))))</formula>
    </cfRule>
  </conditionalFormatting>
  <conditionalFormatting sqref="Q1123:Q1128">
    <cfRule type="containsText" dxfId="2" priority="19141" operator="containsText" text="Yes">
      <formula>NOT(ISERROR(SEARCH(("Yes"),(Q1123))))</formula>
    </cfRule>
  </conditionalFormatting>
  <conditionalFormatting sqref="Q1123:Q1128">
    <cfRule type="containsText" dxfId="9" priority="19142" operator="containsText" text="No">
      <formula>NOT(ISERROR(SEARCH(("No"),(Q1123))))</formula>
    </cfRule>
  </conditionalFormatting>
  <conditionalFormatting sqref="Q1123:Q1128">
    <cfRule type="containsText" dxfId="2" priority="19143" operator="containsText" text="Yes">
      <formula>NOT(ISERROR(SEARCH(("Yes"),(Q1123))))</formula>
    </cfRule>
  </conditionalFormatting>
  <conditionalFormatting sqref="Q1123:Q1128">
    <cfRule type="containsText" dxfId="9" priority="19144" operator="containsText" text="No">
      <formula>NOT(ISERROR(SEARCH(("No"),(Q1123))))</formula>
    </cfRule>
  </conditionalFormatting>
  <conditionalFormatting sqref="Q1123:Q1128">
    <cfRule type="containsText" dxfId="2" priority="19145" operator="containsText" text="Yes">
      <formula>NOT(ISERROR(SEARCH(("Yes"),(Q1123))))</formula>
    </cfRule>
  </conditionalFormatting>
  <conditionalFormatting sqref="Q1123:Q1128">
    <cfRule type="containsText" dxfId="9" priority="19146" operator="containsText" text="No">
      <formula>NOT(ISERROR(SEARCH(("No"),(Q1123))))</formula>
    </cfRule>
  </conditionalFormatting>
  <conditionalFormatting sqref="Q1123:Q1128">
    <cfRule type="containsText" dxfId="2" priority="19147" operator="containsText" text="Yes">
      <formula>NOT(ISERROR(SEARCH(("Yes"),(Q1123))))</formula>
    </cfRule>
  </conditionalFormatting>
  <conditionalFormatting sqref="Q1123:Q1128">
    <cfRule type="containsText" dxfId="9" priority="19148" operator="containsText" text="No">
      <formula>NOT(ISERROR(SEARCH(("No"),(Q1123))))</formula>
    </cfRule>
  </conditionalFormatting>
  <conditionalFormatting sqref="Q1123:Q1128">
    <cfRule type="containsText" dxfId="2" priority="19149" operator="containsText" text="Yes">
      <formula>NOT(ISERROR(SEARCH(("Yes"),(Q1123))))</formula>
    </cfRule>
  </conditionalFormatting>
  <conditionalFormatting sqref="Q1123:Q1128">
    <cfRule type="containsText" dxfId="9" priority="19150" operator="containsText" text="No">
      <formula>NOT(ISERROR(SEARCH(("No"),(Q1123))))</formula>
    </cfRule>
  </conditionalFormatting>
  <conditionalFormatting sqref="Q1123:Q1128">
    <cfRule type="containsText" dxfId="2" priority="19151" operator="containsText" text="Yes">
      <formula>NOT(ISERROR(SEARCH(("Yes"),(Q1123))))</formula>
    </cfRule>
  </conditionalFormatting>
  <conditionalFormatting sqref="Q1123:Q1128">
    <cfRule type="containsText" dxfId="9" priority="19152" operator="containsText" text="No">
      <formula>NOT(ISERROR(SEARCH(("No"),(Q1123))))</formula>
    </cfRule>
  </conditionalFormatting>
  <conditionalFormatting sqref="Q1123:Q1128">
    <cfRule type="containsText" dxfId="2" priority="19153" operator="containsText" text="Yes">
      <formula>NOT(ISERROR(SEARCH(("Yes"),(Q1123))))</formula>
    </cfRule>
  </conditionalFormatting>
  <conditionalFormatting sqref="Q1123:Q1128">
    <cfRule type="containsText" dxfId="9" priority="19154" operator="containsText" text="No">
      <formula>NOT(ISERROR(SEARCH(("No"),(Q1123))))</formula>
    </cfRule>
  </conditionalFormatting>
  <conditionalFormatting sqref="Q1123:Q1128">
    <cfRule type="containsText" dxfId="2" priority="19155" operator="containsText" text="Yes">
      <formula>NOT(ISERROR(SEARCH(("Yes"),(Q1123))))</formula>
    </cfRule>
  </conditionalFormatting>
  <conditionalFormatting sqref="Q1123:Q1128">
    <cfRule type="containsText" dxfId="9" priority="19156" operator="containsText" text="No">
      <formula>NOT(ISERROR(SEARCH(("No"),(Q1123))))</formula>
    </cfRule>
  </conditionalFormatting>
  <conditionalFormatting sqref="Q1123:Q1128">
    <cfRule type="containsText" dxfId="2" priority="19157" operator="containsText" text="Yes">
      <formula>NOT(ISERROR(SEARCH(("Yes"),(Q1123))))</formula>
    </cfRule>
  </conditionalFormatting>
  <conditionalFormatting sqref="Q1123:Q1128">
    <cfRule type="containsText" dxfId="9" priority="19158" operator="containsText" text="No">
      <formula>NOT(ISERROR(SEARCH(("No"),(Q1123))))</formula>
    </cfRule>
  </conditionalFormatting>
  <conditionalFormatting sqref="Q1123:Q1128">
    <cfRule type="containsText" dxfId="2" priority="19159" operator="containsText" text="Yes">
      <formula>NOT(ISERROR(SEARCH(("Yes"),(Q1123))))</formula>
    </cfRule>
  </conditionalFormatting>
  <conditionalFormatting sqref="Q1123:Q1128">
    <cfRule type="containsText" dxfId="9" priority="19160" operator="containsText" text="No">
      <formula>NOT(ISERROR(SEARCH(("No"),(Q1123))))</formula>
    </cfRule>
  </conditionalFormatting>
  <conditionalFormatting sqref="Q1123:Q1128">
    <cfRule type="containsText" dxfId="2" priority="19161" operator="containsText" text="Yes">
      <formula>NOT(ISERROR(SEARCH(("Yes"),(Q1123))))</formula>
    </cfRule>
  </conditionalFormatting>
  <conditionalFormatting sqref="Q1123:Q1128">
    <cfRule type="containsText" dxfId="9" priority="19162" operator="containsText" text="No">
      <formula>NOT(ISERROR(SEARCH(("No"),(Q1123))))</formula>
    </cfRule>
  </conditionalFormatting>
  <conditionalFormatting sqref="Q1123:Q1128">
    <cfRule type="containsText" dxfId="2" priority="19163" operator="containsText" text="Yes">
      <formula>NOT(ISERROR(SEARCH(("Yes"),(Q1123))))</formula>
    </cfRule>
  </conditionalFormatting>
  <conditionalFormatting sqref="Q1123:Q1128">
    <cfRule type="containsText" dxfId="9" priority="19164" operator="containsText" text="No">
      <formula>NOT(ISERROR(SEARCH(("No"),(Q1123))))</formula>
    </cfRule>
  </conditionalFormatting>
  <conditionalFormatting sqref="Q1123:Q1128">
    <cfRule type="containsText" dxfId="2" priority="19165" operator="containsText" text="Yes">
      <formula>NOT(ISERROR(SEARCH(("Yes"),(Q1123))))</formula>
    </cfRule>
  </conditionalFormatting>
  <conditionalFormatting sqref="Q1123:Q1128">
    <cfRule type="containsText" dxfId="9" priority="19166" operator="containsText" text="No">
      <formula>NOT(ISERROR(SEARCH(("No"),(Q1123))))</formula>
    </cfRule>
  </conditionalFormatting>
  <conditionalFormatting sqref="Q1123:Q1128">
    <cfRule type="containsText" dxfId="2" priority="19167" operator="containsText" text="Yes">
      <formula>NOT(ISERROR(SEARCH(("Yes"),(Q1123))))</formula>
    </cfRule>
  </conditionalFormatting>
  <conditionalFormatting sqref="Q1123:Q1128">
    <cfRule type="containsText" dxfId="9" priority="19168" operator="containsText" text="No">
      <formula>NOT(ISERROR(SEARCH(("No"),(Q1123))))</formula>
    </cfRule>
  </conditionalFormatting>
  <conditionalFormatting sqref="Q1123:Q1128">
    <cfRule type="containsText" dxfId="2" priority="19169" operator="containsText" text="Yes">
      <formula>NOT(ISERROR(SEARCH(("Yes"),(Q1123))))</formula>
    </cfRule>
  </conditionalFormatting>
  <conditionalFormatting sqref="Q1123:Q1128">
    <cfRule type="containsText" dxfId="9" priority="19170" operator="containsText" text="No">
      <formula>NOT(ISERROR(SEARCH(("No"),(Q1123))))</formula>
    </cfRule>
  </conditionalFormatting>
  <conditionalFormatting sqref="Q1123:Q1128">
    <cfRule type="containsText" dxfId="2" priority="19171" operator="containsText" text="Yes">
      <formula>NOT(ISERROR(SEARCH(("Yes"),(Q1123))))</formula>
    </cfRule>
  </conditionalFormatting>
  <conditionalFormatting sqref="Q1123:Q1128">
    <cfRule type="containsText" dxfId="9" priority="19172" operator="containsText" text="No">
      <formula>NOT(ISERROR(SEARCH(("No"),(Q1123))))</formula>
    </cfRule>
  </conditionalFormatting>
  <conditionalFormatting sqref="Q1123:Q1128">
    <cfRule type="containsText" dxfId="2" priority="19173" operator="containsText" text="Yes">
      <formula>NOT(ISERROR(SEARCH(("Yes"),(Q1123))))</formula>
    </cfRule>
  </conditionalFormatting>
  <conditionalFormatting sqref="Q1123:Q1128">
    <cfRule type="containsText" dxfId="9" priority="19174" operator="containsText" text="No">
      <formula>NOT(ISERROR(SEARCH(("No"),(Q1123))))</formula>
    </cfRule>
  </conditionalFormatting>
  <conditionalFormatting sqref="Q1123:Q1128">
    <cfRule type="containsText" dxfId="2" priority="19175" operator="containsText" text="Yes">
      <formula>NOT(ISERROR(SEARCH(("Yes"),(Q1123))))</formula>
    </cfRule>
  </conditionalFormatting>
  <conditionalFormatting sqref="Q1123:Q1128">
    <cfRule type="containsText" dxfId="9" priority="19176" operator="containsText" text="No">
      <formula>NOT(ISERROR(SEARCH(("No"),(Q1123))))</formula>
    </cfRule>
  </conditionalFormatting>
  <conditionalFormatting sqref="Q1123:Q1128">
    <cfRule type="containsText" dxfId="2" priority="19177" operator="containsText" text="Yes">
      <formula>NOT(ISERROR(SEARCH(("Yes"),(Q1123))))</formula>
    </cfRule>
  </conditionalFormatting>
  <conditionalFormatting sqref="Q1123:Q1128">
    <cfRule type="containsText" dxfId="9" priority="19178" operator="containsText" text="No">
      <formula>NOT(ISERROR(SEARCH(("No"),(Q1123))))</formula>
    </cfRule>
  </conditionalFormatting>
  <conditionalFormatting sqref="Q1123:Q1128">
    <cfRule type="containsText" dxfId="2" priority="19179" operator="containsText" text="Yes">
      <formula>NOT(ISERROR(SEARCH(("Yes"),(Q1123))))</formula>
    </cfRule>
  </conditionalFormatting>
  <conditionalFormatting sqref="Q1123:Q1128">
    <cfRule type="containsText" dxfId="9" priority="19180" operator="containsText" text="No">
      <formula>NOT(ISERROR(SEARCH(("No"),(Q1123))))</formula>
    </cfRule>
  </conditionalFormatting>
  <conditionalFormatting sqref="Q1123:Q1128">
    <cfRule type="containsText" dxfId="2" priority="19181" operator="containsText" text="Yes">
      <formula>NOT(ISERROR(SEARCH(("Yes"),(Q1123))))</formula>
    </cfRule>
  </conditionalFormatting>
  <conditionalFormatting sqref="Q1123:Q1128">
    <cfRule type="containsText" dxfId="9" priority="19182" operator="containsText" text="No">
      <formula>NOT(ISERROR(SEARCH(("No"),(Q1123))))</formula>
    </cfRule>
  </conditionalFormatting>
  <conditionalFormatting sqref="Q1123:Q1128">
    <cfRule type="containsText" dxfId="2" priority="19183" operator="containsText" text="Yes">
      <formula>NOT(ISERROR(SEARCH(("Yes"),(Q1123))))</formula>
    </cfRule>
  </conditionalFormatting>
  <conditionalFormatting sqref="Q1123:Q1128">
    <cfRule type="containsText" dxfId="9" priority="19184" operator="containsText" text="No">
      <formula>NOT(ISERROR(SEARCH(("No"),(Q1123))))</formula>
    </cfRule>
  </conditionalFormatting>
  <conditionalFormatting sqref="Q1123:Q1128">
    <cfRule type="containsText" dxfId="2" priority="19185" operator="containsText" text="Yes">
      <formula>NOT(ISERROR(SEARCH(("Yes"),(Q1123))))</formula>
    </cfRule>
  </conditionalFormatting>
  <conditionalFormatting sqref="Q1123:Q1128">
    <cfRule type="containsText" dxfId="9" priority="19186" operator="containsText" text="No">
      <formula>NOT(ISERROR(SEARCH(("No"),(Q1123))))</formula>
    </cfRule>
  </conditionalFormatting>
  <conditionalFormatting sqref="Q1123:Q1128">
    <cfRule type="containsText" dxfId="2" priority="19187" operator="containsText" text="Yes">
      <formula>NOT(ISERROR(SEARCH(("Yes"),(Q1123))))</formula>
    </cfRule>
  </conditionalFormatting>
  <conditionalFormatting sqref="Q1123:Q1128">
    <cfRule type="containsText" dxfId="9" priority="19188" operator="containsText" text="No">
      <formula>NOT(ISERROR(SEARCH(("No"),(Q1123))))</formula>
    </cfRule>
  </conditionalFormatting>
  <conditionalFormatting sqref="Q1123:Q1128">
    <cfRule type="containsText" dxfId="2" priority="19189" operator="containsText" text="Yes">
      <formula>NOT(ISERROR(SEARCH(("Yes"),(Q1123))))</formula>
    </cfRule>
  </conditionalFormatting>
  <conditionalFormatting sqref="Q1123:Q1128">
    <cfRule type="containsText" dxfId="9" priority="19190" operator="containsText" text="No">
      <formula>NOT(ISERROR(SEARCH(("No"),(Q1123))))</formula>
    </cfRule>
  </conditionalFormatting>
  <conditionalFormatting sqref="Q1123:Q1128">
    <cfRule type="containsText" dxfId="2" priority="19191" operator="containsText" text="Yes">
      <formula>NOT(ISERROR(SEARCH(("Yes"),(Q1123))))</formula>
    </cfRule>
  </conditionalFormatting>
  <conditionalFormatting sqref="Q1123:Q1128">
    <cfRule type="containsText" dxfId="9" priority="19192" operator="containsText" text="No">
      <formula>NOT(ISERROR(SEARCH(("No"),(Q1123))))</formula>
    </cfRule>
  </conditionalFormatting>
  <conditionalFormatting sqref="Q1123:Q1128">
    <cfRule type="containsText" dxfId="2" priority="19193" operator="containsText" text="Yes">
      <formula>NOT(ISERROR(SEARCH(("Yes"),(Q1123))))</formula>
    </cfRule>
  </conditionalFormatting>
  <conditionalFormatting sqref="Q1123:Q1128">
    <cfRule type="containsText" dxfId="9" priority="19194" operator="containsText" text="No">
      <formula>NOT(ISERROR(SEARCH(("No"),(Q1123))))</formula>
    </cfRule>
  </conditionalFormatting>
  <conditionalFormatting sqref="Q1123:Q1128">
    <cfRule type="containsText" dxfId="2" priority="19195" operator="containsText" text="Yes">
      <formula>NOT(ISERROR(SEARCH(("Yes"),(Q1123))))</formula>
    </cfRule>
  </conditionalFormatting>
  <conditionalFormatting sqref="Q1123:Q1128">
    <cfRule type="containsText" dxfId="9" priority="19196" operator="containsText" text="No">
      <formula>NOT(ISERROR(SEARCH(("No"),(Q1123))))</formula>
    </cfRule>
  </conditionalFormatting>
  <conditionalFormatting sqref="Q1123:Q1128">
    <cfRule type="containsText" dxfId="2" priority="19197" operator="containsText" text="Yes">
      <formula>NOT(ISERROR(SEARCH(("Yes"),(Q1123))))</formula>
    </cfRule>
  </conditionalFormatting>
  <conditionalFormatting sqref="Q1123:Q1128">
    <cfRule type="containsText" dxfId="2" priority="19198" operator="containsText" text="Yes">
      <formula>NOT(ISERROR(SEARCH(("Yes"),(Q1123))))</formula>
    </cfRule>
  </conditionalFormatting>
  <conditionalFormatting sqref="Q1123:Q1128">
    <cfRule type="containsText" dxfId="9" priority="19199" operator="containsText" text="No">
      <formula>NOT(ISERROR(SEARCH(("No"),(Q1123))))</formula>
    </cfRule>
  </conditionalFormatting>
  <conditionalFormatting sqref="Q1123:Q1128">
    <cfRule type="containsText" dxfId="2" priority="19200" operator="containsText" text="Yes">
      <formula>NOT(ISERROR(SEARCH(("Yes"),(Q1123))))</formula>
    </cfRule>
  </conditionalFormatting>
  <conditionalFormatting sqref="Q1130:Q1158">
    <cfRule type="containsText" dxfId="2" priority="19201" operator="containsText" text="Yes">
      <formula>NOT(ISERROR(SEARCH(("Yes"),(Q1130))))</formula>
    </cfRule>
  </conditionalFormatting>
  <conditionalFormatting sqref="Q1130:Q1158">
    <cfRule type="containsText" dxfId="9" priority="19202" operator="containsText" text="No">
      <formula>NOT(ISERROR(SEARCH(("No"),(Q1130))))</formula>
    </cfRule>
  </conditionalFormatting>
  <conditionalFormatting sqref="Q1130:Q1158">
    <cfRule type="containsText" dxfId="2" priority="19203" operator="containsText" text="Yes">
      <formula>NOT(ISERROR(SEARCH(("Yes"),(Q1130))))</formula>
    </cfRule>
  </conditionalFormatting>
  <conditionalFormatting sqref="Q1130:Q1158">
    <cfRule type="containsText" dxfId="9" priority="19204" operator="containsText" text="No">
      <formula>NOT(ISERROR(SEARCH(("No"),(Q1130))))</formula>
    </cfRule>
  </conditionalFormatting>
  <conditionalFormatting sqref="Q1130:Q1158">
    <cfRule type="containsText" dxfId="2" priority="19205" operator="containsText" text="Yes">
      <formula>NOT(ISERROR(SEARCH(("Yes"),(Q1130))))</formula>
    </cfRule>
  </conditionalFormatting>
  <conditionalFormatting sqref="Q1130:Q1158">
    <cfRule type="containsText" dxfId="9" priority="19206" operator="containsText" text="No">
      <formula>NOT(ISERROR(SEARCH(("No"),(Q1130))))</formula>
    </cfRule>
  </conditionalFormatting>
  <conditionalFormatting sqref="Q1130:Q1158">
    <cfRule type="containsText" dxfId="2" priority="19207" operator="containsText" text="Yes">
      <formula>NOT(ISERROR(SEARCH(("Yes"),(Q1130))))</formula>
    </cfRule>
  </conditionalFormatting>
  <conditionalFormatting sqref="Q1130:Q1158">
    <cfRule type="containsText" dxfId="9" priority="19208" operator="containsText" text="No">
      <formula>NOT(ISERROR(SEARCH(("No"),(Q1130))))</formula>
    </cfRule>
  </conditionalFormatting>
  <conditionalFormatting sqref="Q1130:Q1158">
    <cfRule type="containsText" dxfId="2" priority="19209" operator="containsText" text="Yes">
      <formula>NOT(ISERROR(SEARCH(("Yes"),(Q1130))))</formula>
    </cfRule>
  </conditionalFormatting>
  <conditionalFormatting sqref="Q1130:Q1158">
    <cfRule type="containsText" dxfId="9" priority="19210" operator="containsText" text="No">
      <formula>NOT(ISERROR(SEARCH(("No"),(Q1130))))</formula>
    </cfRule>
  </conditionalFormatting>
  <conditionalFormatting sqref="Q1130:Q1158">
    <cfRule type="containsText" dxfId="2" priority="19211" operator="containsText" text="Yes">
      <formula>NOT(ISERROR(SEARCH(("Yes"),(Q1130))))</formula>
    </cfRule>
  </conditionalFormatting>
  <conditionalFormatting sqref="Q1130:Q1158">
    <cfRule type="containsText" dxfId="9" priority="19212" operator="containsText" text="No">
      <formula>NOT(ISERROR(SEARCH(("No"),(Q1130))))</formula>
    </cfRule>
  </conditionalFormatting>
  <conditionalFormatting sqref="Q1130:Q1158">
    <cfRule type="containsText" dxfId="2" priority="19213" operator="containsText" text="Yes">
      <formula>NOT(ISERROR(SEARCH(("Yes"),(Q1130))))</formula>
    </cfRule>
  </conditionalFormatting>
  <conditionalFormatting sqref="Q1130:Q1158">
    <cfRule type="containsText" dxfId="9" priority="19214" operator="containsText" text="No">
      <formula>NOT(ISERROR(SEARCH(("No"),(Q1130))))</formula>
    </cfRule>
  </conditionalFormatting>
  <conditionalFormatting sqref="Q1130:Q1158">
    <cfRule type="containsText" dxfId="2" priority="19215" operator="containsText" text="Yes">
      <formula>NOT(ISERROR(SEARCH(("Yes"),(Q1130))))</formula>
    </cfRule>
  </conditionalFormatting>
  <conditionalFormatting sqref="Q1130:Q1158">
    <cfRule type="containsText" dxfId="9" priority="19216" operator="containsText" text="No">
      <formula>NOT(ISERROR(SEARCH(("No"),(Q1130))))</formula>
    </cfRule>
  </conditionalFormatting>
  <conditionalFormatting sqref="Q1130:Q1158">
    <cfRule type="containsText" dxfId="2" priority="19217" operator="containsText" text="Yes">
      <formula>NOT(ISERROR(SEARCH(("Yes"),(Q1130))))</formula>
    </cfRule>
  </conditionalFormatting>
  <conditionalFormatting sqref="Q1130:Q1158">
    <cfRule type="containsText" dxfId="9" priority="19218" operator="containsText" text="No">
      <formula>NOT(ISERROR(SEARCH(("No"),(Q1130))))</formula>
    </cfRule>
  </conditionalFormatting>
  <conditionalFormatting sqref="Q1130:Q1158">
    <cfRule type="containsText" dxfId="2" priority="19219" operator="containsText" text="Yes">
      <formula>NOT(ISERROR(SEARCH(("Yes"),(Q1130))))</formula>
    </cfRule>
  </conditionalFormatting>
  <conditionalFormatting sqref="Q1130:Q1158">
    <cfRule type="containsText" dxfId="9" priority="19220" operator="containsText" text="No">
      <formula>NOT(ISERROR(SEARCH(("No"),(Q1130))))</formula>
    </cfRule>
  </conditionalFormatting>
  <conditionalFormatting sqref="Q1130:Q1158">
    <cfRule type="containsText" dxfId="2" priority="19221" operator="containsText" text="Yes">
      <formula>NOT(ISERROR(SEARCH(("Yes"),(Q1130))))</formula>
    </cfRule>
  </conditionalFormatting>
  <conditionalFormatting sqref="Q1130:Q1158">
    <cfRule type="containsText" dxfId="9" priority="19222" operator="containsText" text="No">
      <formula>NOT(ISERROR(SEARCH(("No"),(Q1130))))</formula>
    </cfRule>
  </conditionalFormatting>
  <conditionalFormatting sqref="Q1130:Q1158">
    <cfRule type="containsText" dxfId="2" priority="19223" operator="containsText" text="Yes">
      <formula>NOT(ISERROR(SEARCH(("Yes"),(Q1130))))</formula>
    </cfRule>
  </conditionalFormatting>
  <conditionalFormatting sqref="Q1130:Q1158">
    <cfRule type="containsText" dxfId="9" priority="19224" operator="containsText" text="No">
      <formula>NOT(ISERROR(SEARCH(("No"),(Q1130))))</formula>
    </cfRule>
  </conditionalFormatting>
  <conditionalFormatting sqref="Q1130:Q1158">
    <cfRule type="containsText" dxfId="2" priority="19225" operator="containsText" text="Yes">
      <formula>NOT(ISERROR(SEARCH(("Yes"),(Q1130))))</formula>
    </cfRule>
  </conditionalFormatting>
  <conditionalFormatting sqref="Q1130:Q1158">
    <cfRule type="containsText" dxfId="9" priority="19226" operator="containsText" text="No">
      <formula>NOT(ISERROR(SEARCH(("No"),(Q1130))))</formula>
    </cfRule>
  </conditionalFormatting>
  <conditionalFormatting sqref="Q1130:Q1158">
    <cfRule type="containsText" dxfId="2" priority="19227" operator="containsText" text="Yes">
      <formula>NOT(ISERROR(SEARCH(("Yes"),(Q1130))))</formula>
    </cfRule>
  </conditionalFormatting>
  <conditionalFormatting sqref="Q1130:Q1158">
    <cfRule type="containsText" dxfId="9" priority="19228" operator="containsText" text="No">
      <formula>NOT(ISERROR(SEARCH(("No"),(Q1130))))</formula>
    </cfRule>
  </conditionalFormatting>
  <conditionalFormatting sqref="Q1130:Q1158">
    <cfRule type="containsText" dxfId="2" priority="19229" operator="containsText" text="Yes">
      <formula>NOT(ISERROR(SEARCH(("Yes"),(Q1130))))</formula>
    </cfRule>
  </conditionalFormatting>
  <conditionalFormatting sqref="Q1130:Q1158">
    <cfRule type="containsText" dxfId="9" priority="19230" operator="containsText" text="No">
      <formula>NOT(ISERROR(SEARCH(("No"),(Q1130))))</formula>
    </cfRule>
  </conditionalFormatting>
  <conditionalFormatting sqref="Q1130:Q1158">
    <cfRule type="containsText" dxfId="2" priority="19231" operator="containsText" text="Yes">
      <formula>NOT(ISERROR(SEARCH(("Yes"),(Q1130))))</formula>
    </cfRule>
  </conditionalFormatting>
  <conditionalFormatting sqref="Q1130:Q1158">
    <cfRule type="containsText" dxfId="9" priority="19232" operator="containsText" text="No">
      <formula>NOT(ISERROR(SEARCH(("No"),(Q1130))))</formula>
    </cfRule>
  </conditionalFormatting>
  <conditionalFormatting sqref="Q1130:Q1158">
    <cfRule type="containsText" dxfId="2" priority="19233" operator="containsText" text="Yes">
      <formula>NOT(ISERROR(SEARCH(("Yes"),(Q1130))))</formula>
    </cfRule>
  </conditionalFormatting>
  <conditionalFormatting sqref="Q1130:Q1158">
    <cfRule type="containsText" dxfId="9" priority="19234" operator="containsText" text="No">
      <formula>NOT(ISERROR(SEARCH(("No"),(Q1130))))</formula>
    </cfRule>
  </conditionalFormatting>
  <conditionalFormatting sqref="Q1130:Q1158">
    <cfRule type="containsText" dxfId="2" priority="19235" operator="containsText" text="Yes">
      <formula>NOT(ISERROR(SEARCH(("Yes"),(Q1130))))</formula>
    </cfRule>
  </conditionalFormatting>
  <conditionalFormatting sqref="Q1130:Q1158">
    <cfRule type="containsText" dxfId="9" priority="19236" operator="containsText" text="No">
      <formula>NOT(ISERROR(SEARCH(("No"),(Q1130))))</formula>
    </cfRule>
  </conditionalFormatting>
  <conditionalFormatting sqref="Q1130:Q1158">
    <cfRule type="containsText" dxfId="2" priority="19237" operator="containsText" text="Yes">
      <formula>NOT(ISERROR(SEARCH(("Yes"),(Q1130))))</formula>
    </cfRule>
  </conditionalFormatting>
  <conditionalFormatting sqref="Q1130:Q1158">
    <cfRule type="containsText" dxfId="9" priority="19238" operator="containsText" text="No">
      <formula>NOT(ISERROR(SEARCH(("No"),(Q1130))))</formula>
    </cfRule>
  </conditionalFormatting>
  <conditionalFormatting sqref="Q1130:Q1158">
    <cfRule type="containsText" dxfId="2" priority="19239" operator="containsText" text="Yes">
      <formula>NOT(ISERROR(SEARCH(("Yes"),(Q1130))))</formula>
    </cfRule>
  </conditionalFormatting>
  <conditionalFormatting sqref="Q1130:Q1158">
    <cfRule type="containsText" dxfId="9" priority="19240" operator="containsText" text="No">
      <formula>NOT(ISERROR(SEARCH(("No"),(Q1130))))</formula>
    </cfRule>
  </conditionalFormatting>
  <conditionalFormatting sqref="Q1130:Q1158">
    <cfRule type="containsText" dxfId="2" priority="19241" operator="containsText" text="Yes">
      <formula>NOT(ISERROR(SEARCH(("Yes"),(Q1130))))</formula>
    </cfRule>
  </conditionalFormatting>
  <conditionalFormatting sqref="Q1130:Q1158">
    <cfRule type="containsText" dxfId="9" priority="19242" operator="containsText" text="No">
      <formula>NOT(ISERROR(SEARCH(("No"),(Q1130))))</formula>
    </cfRule>
  </conditionalFormatting>
  <conditionalFormatting sqref="Q1130:Q1158">
    <cfRule type="containsText" dxfId="2" priority="19243" operator="containsText" text="Yes">
      <formula>NOT(ISERROR(SEARCH(("Yes"),(Q1130))))</formula>
    </cfRule>
  </conditionalFormatting>
  <conditionalFormatting sqref="Q1130:Q1158">
    <cfRule type="containsText" dxfId="9" priority="19244" operator="containsText" text="No">
      <formula>NOT(ISERROR(SEARCH(("No"),(Q1130))))</formula>
    </cfRule>
  </conditionalFormatting>
  <conditionalFormatting sqref="Q1130:Q1158">
    <cfRule type="containsText" dxfId="2" priority="19245" operator="containsText" text="Yes">
      <formula>NOT(ISERROR(SEARCH(("Yes"),(Q1130))))</formula>
    </cfRule>
  </conditionalFormatting>
  <conditionalFormatting sqref="Q1130:Q1158">
    <cfRule type="containsText" dxfId="9" priority="19246" operator="containsText" text="No">
      <formula>NOT(ISERROR(SEARCH(("No"),(Q1130))))</formula>
    </cfRule>
  </conditionalFormatting>
  <conditionalFormatting sqref="Q1130:Q1158">
    <cfRule type="containsText" dxfId="2" priority="19247" operator="containsText" text="Yes">
      <formula>NOT(ISERROR(SEARCH(("Yes"),(Q1130))))</formula>
    </cfRule>
  </conditionalFormatting>
  <conditionalFormatting sqref="Q1130:Q1158">
    <cfRule type="containsText" dxfId="9" priority="19248" operator="containsText" text="No">
      <formula>NOT(ISERROR(SEARCH(("No"),(Q1130))))</formula>
    </cfRule>
  </conditionalFormatting>
  <conditionalFormatting sqref="Q1130:Q1158">
    <cfRule type="containsText" dxfId="2" priority="19249" operator="containsText" text="Yes">
      <formula>NOT(ISERROR(SEARCH(("Yes"),(Q1130))))</formula>
    </cfRule>
  </conditionalFormatting>
  <conditionalFormatting sqref="Q1130:Q1158">
    <cfRule type="containsText" dxfId="9" priority="19250" operator="containsText" text="No">
      <formula>NOT(ISERROR(SEARCH(("No"),(Q1130))))</formula>
    </cfRule>
  </conditionalFormatting>
  <conditionalFormatting sqref="Q1130:Q1158">
    <cfRule type="containsText" dxfId="2" priority="19251" operator="containsText" text="Yes">
      <formula>NOT(ISERROR(SEARCH(("Yes"),(Q1130))))</formula>
    </cfRule>
  </conditionalFormatting>
  <conditionalFormatting sqref="Q1130:Q1158">
    <cfRule type="containsText" dxfId="9" priority="19252" operator="containsText" text="No">
      <formula>NOT(ISERROR(SEARCH(("No"),(Q1130))))</formula>
    </cfRule>
  </conditionalFormatting>
  <conditionalFormatting sqref="Q1130:Q1158">
    <cfRule type="containsText" dxfId="2" priority="19253" operator="containsText" text="Yes">
      <formula>NOT(ISERROR(SEARCH(("Yes"),(Q1130))))</formula>
    </cfRule>
  </conditionalFormatting>
  <conditionalFormatting sqref="Q1130:Q1158">
    <cfRule type="containsText" dxfId="9" priority="19254" operator="containsText" text="No">
      <formula>NOT(ISERROR(SEARCH(("No"),(Q1130))))</formula>
    </cfRule>
  </conditionalFormatting>
  <conditionalFormatting sqref="Q1130:Q1158">
    <cfRule type="containsText" dxfId="2" priority="19255" operator="containsText" text="Yes">
      <formula>NOT(ISERROR(SEARCH(("Yes"),(Q1130))))</formula>
    </cfRule>
  </conditionalFormatting>
  <conditionalFormatting sqref="Q1130:Q1158">
    <cfRule type="containsText" dxfId="9" priority="19256" operator="containsText" text="No">
      <formula>NOT(ISERROR(SEARCH(("No"),(Q1130))))</formula>
    </cfRule>
  </conditionalFormatting>
  <conditionalFormatting sqref="Q1130:Q1158">
    <cfRule type="containsText" dxfId="2" priority="19257" operator="containsText" text="Yes">
      <formula>NOT(ISERROR(SEARCH(("Yes"),(Q1130))))</formula>
    </cfRule>
  </conditionalFormatting>
  <conditionalFormatting sqref="Q1130:Q1158">
    <cfRule type="containsText" dxfId="9" priority="19258" operator="containsText" text="No">
      <formula>NOT(ISERROR(SEARCH(("No"),(Q1130))))</formula>
    </cfRule>
  </conditionalFormatting>
  <conditionalFormatting sqref="Q1130:Q1158">
    <cfRule type="containsText" dxfId="2" priority="19259" operator="containsText" text="Yes">
      <formula>NOT(ISERROR(SEARCH(("Yes"),(Q1130))))</formula>
    </cfRule>
  </conditionalFormatting>
  <conditionalFormatting sqref="Q1130:Q1158">
    <cfRule type="containsText" dxfId="9" priority="19260" operator="containsText" text="No">
      <formula>NOT(ISERROR(SEARCH(("No"),(Q1130))))</formula>
    </cfRule>
  </conditionalFormatting>
  <conditionalFormatting sqref="Q1130:Q1158">
    <cfRule type="containsText" dxfId="2" priority="19261" operator="containsText" text="Yes">
      <formula>NOT(ISERROR(SEARCH(("Yes"),(Q1130))))</formula>
    </cfRule>
  </conditionalFormatting>
  <conditionalFormatting sqref="Q1130:Q1158">
    <cfRule type="containsText" dxfId="9" priority="19262" operator="containsText" text="No">
      <formula>NOT(ISERROR(SEARCH(("No"),(Q1130))))</formula>
    </cfRule>
  </conditionalFormatting>
  <conditionalFormatting sqref="Q1130:Q1158">
    <cfRule type="containsText" dxfId="2" priority="19263" operator="containsText" text="Yes">
      <formula>NOT(ISERROR(SEARCH(("Yes"),(Q1130))))</formula>
    </cfRule>
  </conditionalFormatting>
  <conditionalFormatting sqref="Q1130:Q1158">
    <cfRule type="containsText" dxfId="9" priority="19264" operator="containsText" text="No">
      <formula>NOT(ISERROR(SEARCH(("No"),(Q1130))))</formula>
    </cfRule>
  </conditionalFormatting>
  <conditionalFormatting sqref="Q1130:Q1158">
    <cfRule type="containsText" dxfId="2" priority="19265" operator="containsText" text="Yes">
      <formula>NOT(ISERROR(SEARCH(("Yes"),(Q1130))))</formula>
    </cfRule>
  </conditionalFormatting>
  <conditionalFormatting sqref="Q1130:Q1158">
    <cfRule type="containsText" dxfId="9" priority="19266" operator="containsText" text="No">
      <formula>NOT(ISERROR(SEARCH(("No"),(Q1130))))</formula>
    </cfRule>
  </conditionalFormatting>
  <conditionalFormatting sqref="Q1130:Q1158">
    <cfRule type="containsText" dxfId="2" priority="19267" operator="containsText" text="Yes">
      <formula>NOT(ISERROR(SEARCH(("Yes"),(Q1130))))</formula>
    </cfRule>
  </conditionalFormatting>
  <conditionalFormatting sqref="Q1130:Q1158">
    <cfRule type="containsText" dxfId="9" priority="19268" operator="containsText" text="No">
      <formula>NOT(ISERROR(SEARCH(("No"),(Q1130))))</formula>
    </cfRule>
  </conditionalFormatting>
  <conditionalFormatting sqref="Q1130:Q1158">
    <cfRule type="containsText" dxfId="2" priority="19269" operator="containsText" text="Yes">
      <formula>NOT(ISERROR(SEARCH(("Yes"),(Q1130))))</formula>
    </cfRule>
  </conditionalFormatting>
  <conditionalFormatting sqref="Q1130:Q1158">
    <cfRule type="containsText" dxfId="9" priority="19270" operator="containsText" text="No">
      <formula>NOT(ISERROR(SEARCH(("No"),(Q1130))))</formula>
    </cfRule>
  </conditionalFormatting>
  <conditionalFormatting sqref="Q1130:Q1158">
    <cfRule type="containsText" dxfId="2" priority="19271" operator="containsText" text="Yes">
      <formula>NOT(ISERROR(SEARCH(("Yes"),(Q1130))))</formula>
    </cfRule>
  </conditionalFormatting>
  <conditionalFormatting sqref="Q1130:Q1158">
    <cfRule type="containsText" dxfId="9" priority="19272" operator="containsText" text="No">
      <formula>NOT(ISERROR(SEARCH(("No"),(Q1130))))</formula>
    </cfRule>
  </conditionalFormatting>
  <conditionalFormatting sqref="Q1130:Q1158">
    <cfRule type="containsText" dxfId="2" priority="19273" operator="containsText" text="Yes">
      <formula>NOT(ISERROR(SEARCH(("Yes"),(Q1130))))</formula>
    </cfRule>
  </conditionalFormatting>
  <conditionalFormatting sqref="Q1130:Q1158">
    <cfRule type="containsText" dxfId="9" priority="19274" operator="containsText" text="No">
      <formula>NOT(ISERROR(SEARCH(("No"),(Q1130))))</formula>
    </cfRule>
  </conditionalFormatting>
  <conditionalFormatting sqref="Q1130:Q1158">
    <cfRule type="containsText" dxfId="2" priority="19275" operator="containsText" text="Yes">
      <formula>NOT(ISERROR(SEARCH(("Yes"),(Q1130))))</formula>
    </cfRule>
  </conditionalFormatting>
  <conditionalFormatting sqref="Q1130:Q1158">
    <cfRule type="containsText" dxfId="9" priority="19276" operator="containsText" text="No">
      <formula>NOT(ISERROR(SEARCH(("No"),(Q1130))))</formula>
    </cfRule>
  </conditionalFormatting>
  <conditionalFormatting sqref="Q1130:Q1158">
    <cfRule type="containsText" dxfId="2" priority="19277" operator="containsText" text="Yes">
      <formula>NOT(ISERROR(SEARCH(("Yes"),(Q1130))))</formula>
    </cfRule>
  </conditionalFormatting>
  <conditionalFormatting sqref="Q1130:Q1158">
    <cfRule type="containsText" dxfId="9" priority="19278" operator="containsText" text="No">
      <formula>NOT(ISERROR(SEARCH(("No"),(Q1130))))</formula>
    </cfRule>
  </conditionalFormatting>
  <conditionalFormatting sqref="Q1130:Q1158">
    <cfRule type="containsText" dxfId="2" priority="19279" operator="containsText" text="Yes">
      <formula>NOT(ISERROR(SEARCH(("Yes"),(Q1130))))</formula>
    </cfRule>
  </conditionalFormatting>
  <conditionalFormatting sqref="Q1130:Q1158">
    <cfRule type="containsText" dxfId="9" priority="19280" operator="containsText" text="No">
      <formula>NOT(ISERROR(SEARCH(("No"),(Q1130))))</formula>
    </cfRule>
  </conditionalFormatting>
  <conditionalFormatting sqref="Q1130:Q1158">
    <cfRule type="containsText" dxfId="2" priority="19281" operator="containsText" text="Yes">
      <formula>NOT(ISERROR(SEARCH(("Yes"),(Q1130))))</formula>
    </cfRule>
  </conditionalFormatting>
  <conditionalFormatting sqref="Q1130:Q1158">
    <cfRule type="containsText" dxfId="9" priority="19282" operator="containsText" text="No">
      <formula>NOT(ISERROR(SEARCH(("No"),(Q1130))))</formula>
    </cfRule>
  </conditionalFormatting>
  <conditionalFormatting sqref="Q1130:Q1158">
    <cfRule type="containsText" dxfId="2" priority="19283" operator="containsText" text="Yes">
      <formula>NOT(ISERROR(SEARCH(("Yes"),(Q1130))))</formula>
    </cfRule>
  </conditionalFormatting>
  <conditionalFormatting sqref="Q1130:Q1158">
    <cfRule type="containsText" dxfId="9" priority="19284" operator="containsText" text="No">
      <formula>NOT(ISERROR(SEARCH(("No"),(Q1130))))</formula>
    </cfRule>
  </conditionalFormatting>
  <conditionalFormatting sqref="Q1130:Q1158">
    <cfRule type="containsText" dxfId="2" priority="19285" operator="containsText" text="Yes">
      <formula>NOT(ISERROR(SEARCH(("Yes"),(Q1130))))</formula>
    </cfRule>
  </conditionalFormatting>
  <conditionalFormatting sqref="Q1130:Q1158">
    <cfRule type="containsText" dxfId="9" priority="19286" operator="containsText" text="No">
      <formula>NOT(ISERROR(SEARCH(("No"),(Q1130))))</formula>
    </cfRule>
  </conditionalFormatting>
  <conditionalFormatting sqref="Q1130:Q1158">
    <cfRule type="containsText" dxfId="2" priority="19287" operator="containsText" text="Yes">
      <formula>NOT(ISERROR(SEARCH(("Yes"),(Q1130))))</formula>
    </cfRule>
  </conditionalFormatting>
  <conditionalFormatting sqref="Q1130:Q1158">
    <cfRule type="containsText" dxfId="9" priority="19288" operator="containsText" text="No">
      <formula>NOT(ISERROR(SEARCH(("No"),(Q1130))))</formula>
    </cfRule>
  </conditionalFormatting>
  <conditionalFormatting sqref="Q1130:Q1158">
    <cfRule type="containsText" dxfId="2" priority="19289" operator="containsText" text="Yes">
      <formula>NOT(ISERROR(SEARCH(("Yes"),(Q1130))))</formula>
    </cfRule>
  </conditionalFormatting>
  <conditionalFormatting sqref="Q1130:Q1158">
    <cfRule type="containsText" dxfId="2" priority="19290" operator="containsText" text="Yes">
      <formula>NOT(ISERROR(SEARCH(("Yes"),(Q1130))))</formula>
    </cfRule>
  </conditionalFormatting>
  <conditionalFormatting sqref="Q1130:Q1158">
    <cfRule type="containsText" dxfId="9" priority="19291" operator="containsText" text="No">
      <formula>NOT(ISERROR(SEARCH(("No"),(Q1130))))</formula>
    </cfRule>
  </conditionalFormatting>
  <conditionalFormatting sqref="Q1130:Q1158">
    <cfRule type="containsText" dxfId="2" priority="19292" operator="containsText" text="Yes">
      <formula>NOT(ISERROR(SEARCH(("Yes"),(Q1130))))</formula>
    </cfRule>
  </conditionalFormatting>
  <conditionalFormatting sqref="Q1160:Q1162">
    <cfRule type="containsText" dxfId="2" priority="19293" operator="containsText" text="Yes">
      <formula>NOT(ISERROR(SEARCH(("Yes"),(Q1160))))</formula>
    </cfRule>
  </conditionalFormatting>
  <conditionalFormatting sqref="Q1160:Q1162">
    <cfRule type="containsText" dxfId="9" priority="19294" operator="containsText" text="No">
      <formula>NOT(ISERROR(SEARCH(("No"),(Q1160))))</formula>
    </cfRule>
  </conditionalFormatting>
  <conditionalFormatting sqref="Q1160:Q1162">
    <cfRule type="containsText" dxfId="2" priority="19295" operator="containsText" text="Yes">
      <formula>NOT(ISERROR(SEARCH(("Yes"),(Q1160))))</formula>
    </cfRule>
  </conditionalFormatting>
  <conditionalFormatting sqref="Q1160:Q1162">
    <cfRule type="containsText" dxfId="9" priority="19296" operator="containsText" text="No">
      <formula>NOT(ISERROR(SEARCH(("No"),(Q1160))))</formula>
    </cfRule>
  </conditionalFormatting>
  <conditionalFormatting sqref="Q1160:Q1162">
    <cfRule type="containsText" dxfId="2" priority="19297" operator="containsText" text="Yes">
      <formula>NOT(ISERROR(SEARCH(("Yes"),(Q1160))))</formula>
    </cfRule>
  </conditionalFormatting>
  <conditionalFormatting sqref="Q1160:Q1162">
    <cfRule type="containsText" dxfId="9" priority="19298" operator="containsText" text="No">
      <formula>NOT(ISERROR(SEARCH(("No"),(Q1160))))</formula>
    </cfRule>
  </conditionalFormatting>
  <conditionalFormatting sqref="Q1160:Q1162">
    <cfRule type="containsText" dxfId="2" priority="19299" operator="containsText" text="Yes">
      <formula>NOT(ISERROR(SEARCH(("Yes"),(Q1160))))</formula>
    </cfRule>
  </conditionalFormatting>
  <conditionalFormatting sqref="Q1160:Q1162">
    <cfRule type="containsText" dxfId="9" priority="19300" operator="containsText" text="No">
      <formula>NOT(ISERROR(SEARCH(("No"),(Q1160))))</formula>
    </cfRule>
  </conditionalFormatting>
  <conditionalFormatting sqref="Q1160:Q1162">
    <cfRule type="containsText" dxfId="2" priority="19301" operator="containsText" text="Yes">
      <formula>NOT(ISERROR(SEARCH(("Yes"),(Q1160))))</formula>
    </cfRule>
  </conditionalFormatting>
  <conditionalFormatting sqref="Q1160:Q1162">
    <cfRule type="containsText" dxfId="9" priority="19302" operator="containsText" text="No">
      <formula>NOT(ISERROR(SEARCH(("No"),(Q1160))))</formula>
    </cfRule>
  </conditionalFormatting>
  <conditionalFormatting sqref="Q1160:Q1162">
    <cfRule type="containsText" dxfId="2" priority="19303" operator="containsText" text="Yes">
      <formula>NOT(ISERROR(SEARCH(("Yes"),(Q1160))))</formula>
    </cfRule>
  </conditionalFormatting>
  <conditionalFormatting sqref="Q1160:Q1162">
    <cfRule type="containsText" dxfId="9" priority="19304" operator="containsText" text="No">
      <formula>NOT(ISERROR(SEARCH(("No"),(Q1160))))</formula>
    </cfRule>
  </conditionalFormatting>
  <conditionalFormatting sqref="Q1160:Q1162">
    <cfRule type="containsText" dxfId="2" priority="19305" operator="containsText" text="Yes">
      <formula>NOT(ISERROR(SEARCH(("Yes"),(Q1160))))</formula>
    </cfRule>
  </conditionalFormatting>
  <conditionalFormatting sqref="Q1160:Q1162">
    <cfRule type="containsText" dxfId="9" priority="19306" operator="containsText" text="No">
      <formula>NOT(ISERROR(SEARCH(("No"),(Q1160))))</formula>
    </cfRule>
  </conditionalFormatting>
  <conditionalFormatting sqref="Q1160:Q1162">
    <cfRule type="containsText" dxfId="2" priority="19307" operator="containsText" text="Yes">
      <formula>NOT(ISERROR(SEARCH(("Yes"),(Q1160))))</formula>
    </cfRule>
  </conditionalFormatting>
  <conditionalFormatting sqref="Q1160:Q1162">
    <cfRule type="containsText" dxfId="9" priority="19308" operator="containsText" text="No">
      <formula>NOT(ISERROR(SEARCH(("No"),(Q1160))))</formula>
    </cfRule>
  </conditionalFormatting>
  <conditionalFormatting sqref="Q1160:Q1162">
    <cfRule type="containsText" dxfId="2" priority="19309" operator="containsText" text="Yes">
      <formula>NOT(ISERROR(SEARCH(("Yes"),(Q1160))))</formula>
    </cfRule>
  </conditionalFormatting>
  <conditionalFormatting sqref="Q1160:Q1162">
    <cfRule type="containsText" dxfId="9" priority="19310" operator="containsText" text="No">
      <formula>NOT(ISERROR(SEARCH(("No"),(Q1160))))</formula>
    </cfRule>
  </conditionalFormatting>
  <conditionalFormatting sqref="Q1160:Q1162">
    <cfRule type="containsText" dxfId="2" priority="19311" operator="containsText" text="Yes">
      <formula>NOT(ISERROR(SEARCH(("Yes"),(Q1160))))</formula>
    </cfRule>
  </conditionalFormatting>
  <conditionalFormatting sqref="Q1160:Q1162">
    <cfRule type="containsText" dxfId="9" priority="19312" operator="containsText" text="No">
      <formula>NOT(ISERROR(SEARCH(("No"),(Q1160))))</formula>
    </cfRule>
  </conditionalFormatting>
  <conditionalFormatting sqref="Q1160:Q1162">
    <cfRule type="containsText" dxfId="2" priority="19313" operator="containsText" text="Yes">
      <formula>NOT(ISERROR(SEARCH(("Yes"),(Q1160))))</formula>
    </cfRule>
  </conditionalFormatting>
  <conditionalFormatting sqref="Q1160:Q1162">
    <cfRule type="containsText" dxfId="9" priority="19314" operator="containsText" text="No">
      <formula>NOT(ISERROR(SEARCH(("No"),(Q1160))))</formula>
    </cfRule>
  </conditionalFormatting>
  <conditionalFormatting sqref="Q1160:Q1162">
    <cfRule type="containsText" dxfId="2" priority="19315" operator="containsText" text="Yes">
      <formula>NOT(ISERROR(SEARCH(("Yes"),(Q1160))))</formula>
    </cfRule>
  </conditionalFormatting>
  <conditionalFormatting sqref="Q1160:Q1162">
    <cfRule type="containsText" dxfId="9" priority="19316" operator="containsText" text="No">
      <formula>NOT(ISERROR(SEARCH(("No"),(Q1160))))</formula>
    </cfRule>
  </conditionalFormatting>
  <conditionalFormatting sqref="Q1160:Q1162">
    <cfRule type="containsText" dxfId="2" priority="19317" operator="containsText" text="Yes">
      <formula>NOT(ISERROR(SEARCH(("Yes"),(Q1160))))</formula>
    </cfRule>
  </conditionalFormatting>
  <conditionalFormatting sqref="Q1160:Q1162">
    <cfRule type="containsText" dxfId="9" priority="19318" operator="containsText" text="No">
      <formula>NOT(ISERROR(SEARCH(("No"),(Q1160))))</formula>
    </cfRule>
  </conditionalFormatting>
  <conditionalFormatting sqref="Q1160:Q1162">
    <cfRule type="containsText" dxfId="2" priority="19319" operator="containsText" text="Yes">
      <formula>NOT(ISERROR(SEARCH(("Yes"),(Q1160))))</formula>
    </cfRule>
  </conditionalFormatting>
  <conditionalFormatting sqref="Q1160:Q1162">
    <cfRule type="containsText" dxfId="9" priority="19320" operator="containsText" text="No">
      <formula>NOT(ISERROR(SEARCH(("No"),(Q1160))))</formula>
    </cfRule>
  </conditionalFormatting>
  <conditionalFormatting sqref="Q1160:Q1162">
    <cfRule type="containsText" dxfId="2" priority="19321" operator="containsText" text="Yes">
      <formula>NOT(ISERROR(SEARCH(("Yes"),(Q1160))))</formula>
    </cfRule>
  </conditionalFormatting>
  <conditionalFormatting sqref="Q1160:Q1162">
    <cfRule type="containsText" dxfId="9" priority="19322" operator="containsText" text="No">
      <formula>NOT(ISERROR(SEARCH(("No"),(Q1160))))</formula>
    </cfRule>
  </conditionalFormatting>
  <conditionalFormatting sqref="Q1160:Q1162">
    <cfRule type="containsText" dxfId="2" priority="19323" operator="containsText" text="Yes">
      <formula>NOT(ISERROR(SEARCH(("Yes"),(Q1160))))</formula>
    </cfRule>
  </conditionalFormatting>
  <conditionalFormatting sqref="Q1160:Q1162">
    <cfRule type="containsText" dxfId="9" priority="19324" operator="containsText" text="No">
      <formula>NOT(ISERROR(SEARCH(("No"),(Q1160))))</formula>
    </cfRule>
  </conditionalFormatting>
  <conditionalFormatting sqref="Q1160:Q1162">
    <cfRule type="containsText" dxfId="2" priority="19325" operator="containsText" text="Yes">
      <formula>NOT(ISERROR(SEARCH(("Yes"),(Q1160))))</formula>
    </cfRule>
  </conditionalFormatting>
  <conditionalFormatting sqref="Q1160:Q1162">
    <cfRule type="containsText" dxfId="9" priority="19326" operator="containsText" text="No">
      <formula>NOT(ISERROR(SEARCH(("No"),(Q1160))))</formula>
    </cfRule>
  </conditionalFormatting>
  <conditionalFormatting sqref="Q1160:Q1162">
    <cfRule type="containsText" dxfId="2" priority="19327" operator="containsText" text="Yes">
      <formula>NOT(ISERROR(SEARCH(("Yes"),(Q1160))))</formula>
    </cfRule>
  </conditionalFormatting>
  <conditionalFormatting sqref="Q1160:Q1162">
    <cfRule type="containsText" dxfId="9" priority="19328" operator="containsText" text="No">
      <formula>NOT(ISERROR(SEARCH(("No"),(Q1160))))</formula>
    </cfRule>
  </conditionalFormatting>
  <conditionalFormatting sqref="Q1160:Q1162">
    <cfRule type="containsText" dxfId="2" priority="19329" operator="containsText" text="Yes">
      <formula>NOT(ISERROR(SEARCH(("Yes"),(Q1160))))</formula>
    </cfRule>
  </conditionalFormatting>
  <conditionalFormatting sqref="Q1160:Q1162">
    <cfRule type="containsText" dxfId="9" priority="19330" operator="containsText" text="No">
      <formula>NOT(ISERROR(SEARCH(("No"),(Q1160))))</formula>
    </cfRule>
  </conditionalFormatting>
  <conditionalFormatting sqref="Q1160:Q1162">
    <cfRule type="containsText" dxfId="2" priority="19331" operator="containsText" text="Yes">
      <formula>NOT(ISERROR(SEARCH(("Yes"),(Q1160))))</formula>
    </cfRule>
  </conditionalFormatting>
  <conditionalFormatting sqref="Q1160:Q1162">
    <cfRule type="containsText" dxfId="9" priority="19332" operator="containsText" text="No">
      <formula>NOT(ISERROR(SEARCH(("No"),(Q1160))))</formula>
    </cfRule>
  </conditionalFormatting>
  <conditionalFormatting sqref="Q1160:Q1162">
    <cfRule type="containsText" dxfId="2" priority="19333" operator="containsText" text="Yes">
      <formula>NOT(ISERROR(SEARCH(("Yes"),(Q1160))))</formula>
    </cfRule>
  </conditionalFormatting>
  <conditionalFormatting sqref="Q1160:Q1162">
    <cfRule type="containsText" dxfId="9" priority="19334" operator="containsText" text="No">
      <formula>NOT(ISERROR(SEARCH(("No"),(Q1160))))</formula>
    </cfRule>
  </conditionalFormatting>
  <conditionalFormatting sqref="Q1160:Q1162">
    <cfRule type="containsText" dxfId="2" priority="19335" operator="containsText" text="Yes">
      <formula>NOT(ISERROR(SEARCH(("Yes"),(Q1160))))</formula>
    </cfRule>
  </conditionalFormatting>
  <conditionalFormatting sqref="Q1160:Q1162">
    <cfRule type="containsText" dxfId="9" priority="19336" operator="containsText" text="No">
      <formula>NOT(ISERROR(SEARCH(("No"),(Q1160))))</formula>
    </cfRule>
  </conditionalFormatting>
  <conditionalFormatting sqref="Q1160:Q1162">
    <cfRule type="containsText" dxfId="2" priority="19337" operator="containsText" text="Yes">
      <formula>NOT(ISERROR(SEARCH(("Yes"),(Q1160))))</formula>
    </cfRule>
  </conditionalFormatting>
  <conditionalFormatting sqref="Q1160:Q1162">
    <cfRule type="containsText" dxfId="9" priority="19338" operator="containsText" text="No">
      <formula>NOT(ISERROR(SEARCH(("No"),(Q1160))))</formula>
    </cfRule>
  </conditionalFormatting>
  <conditionalFormatting sqref="Q1160:Q1162">
    <cfRule type="containsText" dxfId="2" priority="19339" operator="containsText" text="Yes">
      <formula>NOT(ISERROR(SEARCH(("Yes"),(Q1160))))</formula>
    </cfRule>
  </conditionalFormatting>
  <conditionalFormatting sqref="Q1160:Q1162">
    <cfRule type="containsText" dxfId="9" priority="19340" operator="containsText" text="No">
      <formula>NOT(ISERROR(SEARCH(("No"),(Q1160))))</formula>
    </cfRule>
  </conditionalFormatting>
  <conditionalFormatting sqref="Q1160:Q1162">
    <cfRule type="containsText" dxfId="2" priority="19341" operator="containsText" text="Yes">
      <formula>NOT(ISERROR(SEARCH(("Yes"),(Q1160))))</formula>
    </cfRule>
  </conditionalFormatting>
  <conditionalFormatting sqref="Q1160:Q1162">
    <cfRule type="containsText" dxfId="9" priority="19342" operator="containsText" text="No">
      <formula>NOT(ISERROR(SEARCH(("No"),(Q1160))))</formula>
    </cfRule>
  </conditionalFormatting>
  <conditionalFormatting sqref="Q1160:Q1162">
    <cfRule type="containsText" dxfId="2" priority="19343" operator="containsText" text="Yes">
      <formula>NOT(ISERROR(SEARCH(("Yes"),(Q1160))))</formula>
    </cfRule>
  </conditionalFormatting>
  <conditionalFormatting sqref="Q1160:Q1162">
    <cfRule type="containsText" dxfId="9" priority="19344" operator="containsText" text="No">
      <formula>NOT(ISERROR(SEARCH(("No"),(Q1160))))</formula>
    </cfRule>
  </conditionalFormatting>
  <conditionalFormatting sqref="Q1160:Q1162">
    <cfRule type="containsText" dxfId="2" priority="19345" operator="containsText" text="Yes">
      <formula>NOT(ISERROR(SEARCH(("Yes"),(Q1160))))</formula>
    </cfRule>
  </conditionalFormatting>
  <conditionalFormatting sqref="Q1160:Q1162">
    <cfRule type="containsText" dxfId="9" priority="19346" operator="containsText" text="No">
      <formula>NOT(ISERROR(SEARCH(("No"),(Q1160))))</formula>
    </cfRule>
  </conditionalFormatting>
  <conditionalFormatting sqref="Q1160:Q1162">
    <cfRule type="containsText" dxfId="2" priority="19347" operator="containsText" text="Yes">
      <formula>NOT(ISERROR(SEARCH(("Yes"),(Q1160))))</formula>
    </cfRule>
  </conditionalFormatting>
  <conditionalFormatting sqref="Q1160:Q1162">
    <cfRule type="containsText" dxfId="9" priority="19348" operator="containsText" text="No">
      <formula>NOT(ISERROR(SEARCH(("No"),(Q1160))))</formula>
    </cfRule>
  </conditionalFormatting>
  <conditionalFormatting sqref="Q1160:Q1162">
    <cfRule type="containsText" dxfId="2" priority="19349" operator="containsText" text="Yes">
      <formula>NOT(ISERROR(SEARCH(("Yes"),(Q1160))))</formula>
    </cfRule>
  </conditionalFormatting>
  <conditionalFormatting sqref="Q1160:Q1162">
    <cfRule type="containsText" dxfId="9" priority="19350" operator="containsText" text="No">
      <formula>NOT(ISERROR(SEARCH(("No"),(Q1160))))</formula>
    </cfRule>
  </conditionalFormatting>
  <conditionalFormatting sqref="Q1160:Q1162">
    <cfRule type="containsText" dxfId="2" priority="19351" operator="containsText" text="Yes">
      <formula>NOT(ISERROR(SEARCH(("Yes"),(Q1160))))</formula>
    </cfRule>
  </conditionalFormatting>
  <conditionalFormatting sqref="Q1160:Q1162">
    <cfRule type="containsText" dxfId="9" priority="19352" operator="containsText" text="No">
      <formula>NOT(ISERROR(SEARCH(("No"),(Q1160))))</formula>
    </cfRule>
  </conditionalFormatting>
  <conditionalFormatting sqref="Q1160:Q1162">
    <cfRule type="containsText" dxfId="2" priority="19353" operator="containsText" text="Yes">
      <formula>NOT(ISERROR(SEARCH(("Yes"),(Q1160))))</formula>
    </cfRule>
  </conditionalFormatting>
  <conditionalFormatting sqref="Q1160:Q1162">
    <cfRule type="containsText" dxfId="9" priority="19354" operator="containsText" text="No">
      <formula>NOT(ISERROR(SEARCH(("No"),(Q1160))))</formula>
    </cfRule>
  </conditionalFormatting>
  <conditionalFormatting sqref="Q1160:Q1162">
    <cfRule type="containsText" dxfId="2" priority="19355" operator="containsText" text="Yes">
      <formula>NOT(ISERROR(SEARCH(("Yes"),(Q1160))))</formula>
    </cfRule>
  </conditionalFormatting>
  <conditionalFormatting sqref="Q1160:Q1162">
    <cfRule type="containsText" dxfId="9" priority="19356" operator="containsText" text="No">
      <formula>NOT(ISERROR(SEARCH(("No"),(Q1160))))</formula>
    </cfRule>
  </conditionalFormatting>
  <conditionalFormatting sqref="Q1160:Q1162">
    <cfRule type="containsText" dxfId="2" priority="19357" operator="containsText" text="Yes">
      <formula>NOT(ISERROR(SEARCH(("Yes"),(Q1160))))</formula>
    </cfRule>
  </conditionalFormatting>
  <conditionalFormatting sqref="Q1160:Q1162">
    <cfRule type="containsText" dxfId="9" priority="19358" operator="containsText" text="No">
      <formula>NOT(ISERROR(SEARCH(("No"),(Q1160))))</formula>
    </cfRule>
  </conditionalFormatting>
  <conditionalFormatting sqref="Q1160:Q1162">
    <cfRule type="containsText" dxfId="2" priority="19359" operator="containsText" text="Yes">
      <formula>NOT(ISERROR(SEARCH(("Yes"),(Q1160))))</formula>
    </cfRule>
  </conditionalFormatting>
  <conditionalFormatting sqref="Q1160:Q1162">
    <cfRule type="containsText" dxfId="9" priority="19360" operator="containsText" text="No">
      <formula>NOT(ISERROR(SEARCH(("No"),(Q1160))))</formula>
    </cfRule>
  </conditionalFormatting>
  <conditionalFormatting sqref="Q1160:Q1162">
    <cfRule type="containsText" dxfId="2" priority="19361" operator="containsText" text="Yes">
      <formula>NOT(ISERROR(SEARCH(("Yes"),(Q1160))))</formula>
    </cfRule>
  </conditionalFormatting>
  <conditionalFormatting sqref="Q1160:Q1162">
    <cfRule type="containsText" dxfId="9" priority="19362" operator="containsText" text="No">
      <formula>NOT(ISERROR(SEARCH(("No"),(Q1160))))</formula>
    </cfRule>
  </conditionalFormatting>
  <conditionalFormatting sqref="Q1160:Q1162">
    <cfRule type="containsText" dxfId="2" priority="19363" operator="containsText" text="Yes">
      <formula>NOT(ISERROR(SEARCH(("Yes"),(Q1160))))</formula>
    </cfRule>
  </conditionalFormatting>
  <conditionalFormatting sqref="Q1160:Q1162">
    <cfRule type="containsText" dxfId="9" priority="19364" operator="containsText" text="No">
      <formula>NOT(ISERROR(SEARCH(("No"),(Q1160))))</formula>
    </cfRule>
  </conditionalFormatting>
  <conditionalFormatting sqref="Q1160:Q1162">
    <cfRule type="containsText" dxfId="2" priority="19365" operator="containsText" text="Yes">
      <formula>NOT(ISERROR(SEARCH(("Yes"),(Q1160))))</formula>
    </cfRule>
  </conditionalFormatting>
  <conditionalFormatting sqref="Q1160:Q1162">
    <cfRule type="containsText" dxfId="9" priority="19366" operator="containsText" text="No">
      <formula>NOT(ISERROR(SEARCH(("No"),(Q1160))))</formula>
    </cfRule>
  </conditionalFormatting>
  <conditionalFormatting sqref="Q1160:Q1162">
    <cfRule type="containsText" dxfId="2" priority="19367" operator="containsText" text="Yes">
      <formula>NOT(ISERROR(SEARCH(("Yes"),(Q1160))))</formula>
    </cfRule>
  </conditionalFormatting>
  <conditionalFormatting sqref="Q1160:Q1162">
    <cfRule type="containsText" dxfId="9" priority="19368" operator="containsText" text="No">
      <formula>NOT(ISERROR(SEARCH(("No"),(Q1160))))</formula>
    </cfRule>
  </conditionalFormatting>
  <conditionalFormatting sqref="Q1160:Q1162">
    <cfRule type="containsText" dxfId="2" priority="19369" operator="containsText" text="Yes">
      <formula>NOT(ISERROR(SEARCH(("Yes"),(Q1160))))</formula>
    </cfRule>
  </conditionalFormatting>
  <conditionalFormatting sqref="Q1160:Q1162">
    <cfRule type="containsText" dxfId="9" priority="19370" operator="containsText" text="No">
      <formula>NOT(ISERROR(SEARCH(("No"),(Q1160))))</formula>
    </cfRule>
  </conditionalFormatting>
  <conditionalFormatting sqref="Q1160:Q1162">
    <cfRule type="containsText" dxfId="2" priority="19371" operator="containsText" text="Yes">
      <formula>NOT(ISERROR(SEARCH(("Yes"),(Q1160))))</formula>
    </cfRule>
  </conditionalFormatting>
  <conditionalFormatting sqref="Q1160:Q1162">
    <cfRule type="containsText" dxfId="9" priority="19372" operator="containsText" text="No">
      <formula>NOT(ISERROR(SEARCH(("No"),(Q1160))))</formula>
    </cfRule>
  </conditionalFormatting>
  <conditionalFormatting sqref="Q1160:Q1162">
    <cfRule type="containsText" dxfId="2" priority="19373" operator="containsText" text="Yes">
      <formula>NOT(ISERROR(SEARCH(("Yes"),(Q1160))))</formula>
    </cfRule>
  </conditionalFormatting>
  <conditionalFormatting sqref="Q1160:Q1162">
    <cfRule type="containsText" dxfId="9" priority="19374" operator="containsText" text="No">
      <formula>NOT(ISERROR(SEARCH(("No"),(Q1160))))</formula>
    </cfRule>
  </conditionalFormatting>
  <conditionalFormatting sqref="Q1160:Q1162">
    <cfRule type="containsText" dxfId="2" priority="19375" operator="containsText" text="Yes">
      <formula>NOT(ISERROR(SEARCH(("Yes"),(Q1160))))</formula>
    </cfRule>
  </conditionalFormatting>
  <conditionalFormatting sqref="Q1160:Q1162">
    <cfRule type="containsText" dxfId="9" priority="19376" operator="containsText" text="No">
      <formula>NOT(ISERROR(SEARCH(("No"),(Q1160))))</formula>
    </cfRule>
  </conditionalFormatting>
  <conditionalFormatting sqref="Q1160:Q1162">
    <cfRule type="containsText" dxfId="2" priority="19377" operator="containsText" text="Yes">
      <formula>NOT(ISERROR(SEARCH(("Yes"),(Q1160))))</formula>
    </cfRule>
  </conditionalFormatting>
  <conditionalFormatting sqref="Q1160:Q1162">
    <cfRule type="containsText" dxfId="9" priority="19378" operator="containsText" text="No">
      <formula>NOT(ISERROR(SEARCH(("No"),(Q1160))))</formula>
    </cfRule>
  </conditionalFormatting>
  <conditionalFormatting sqref="Q1160:Q1162">
    <cfRule type="containsText" dxfId="2" priority="19379" operator="containsText" text="Yes">
      <formula>NOT(ISERROR(SEARCH(("Yes"),(Q1160))))</formula>
    </cfRule>
  </conditionalFormatting>
  <conditionalFormatting sqref="Q1160:Q1162">
    <cfRule type="containsText" dxfId="9" priority="19380" operator="containsText" text="No">
      <formula>NOT(ISERROR(SEARCH(("No"),(Q1160))))</formula>
    </cfRule>
  </conditionalFormatting>
  <conditionalFormatting sqref="Q1160:Q1162">
    <cfRule type="containsText" dxfId="2" priority="19381" operator="containsText" text="Yes">
      <formula>NOT(ISERROR(SEARCH(("Yes"),(Q1160))))</formula>
    </cfRule>
  </conditionalFormatting>
  <conditionalFormatting sqref="Q1160:Q1162">
    <cfRule type="containsText" dxfId="2" priority="19382" operator="containsText" text="Yes">
      <formula>NOT(ISERROR(SEARCH(("Yes"),(Q1160))))</formula>
    </cfRule>
  </conditionalFormatting>
  <conditionalFormatting sqref="Q1160:Q1162">
    <cfRule type="containsText" dxfId="9" priority="19383" operator="containsText" text="No">
      <formula>NOT(ISERROR(SEARCH(("No"),(Q1160))))</formula>
    </cfRule>
  </conditionalFormatting>
  <conditionalFormatting sqref="Q1160:Q1162">
    <cfRule type="containsText" dxfId="2" priority="19384" operator="containsText" text="Yes">
      <formula>NOT(ISERROR(SEARCH(("Yes"),(Q1160))))</formula>
    </cfRule>
  </conditionalFormatting>
  <conditionalFormatting sqref="T830">
    <cfRule type="containsText" dxfId="2" priority="19385" operator="containsText" text="Yes">
      <formula>NOT(ISERROR(SEARCH(("Yes"),(T830))))</formula>
    </cfRule>
  </conditionalFormatting>
  <conditionalFormatting sqref="T830">
    <cfRule type="containsText" dxfId="9" priority="19386" operator="containsText" text="No">
      <formula>NOT(ISERROR(SEARCH(("No"),(T830))))</formula>
    </cfRule>
  </conditionalFormatting>
  <conditionalFormatting sqref="T830">
    <cfRule type="containsText" dxfId="2" priority="19387" operator="containsText" text="Yes">
      <formula>NOT(ISERROR(SEARCH(("Yes"),(T830))))</formula>
    </cfRule>
  </conditionalFormatting>
  <conditionalFormatting sqref="T830">
    <cfRule type="containsText" dxfId="9" priority="19388" operator="containsText" text="No">
      <formula>NOT(ISERROR(SEARCH(("No"),(T830))))</formula>
    </cfRule>
  </conditionalFormatting>
  <conditionalFormatting sqref="T830">
    <cfRule type="containsText" dxfId="2" priority="19389" operator="containsText" text="Yes">
      <formula>NOT(ISERROR(SEARCH(("Yes"),(T830))))</formula>
    </cfRule>
  </conditionalFormatting>
  <conditionalFormatting sqref="T830">
    <cfRule type="containsText" dxfId="9" priority="19390" operator="containsText" text="No">
      <formula>NOT(ISERROR(SEARCH(("No"),(T830))))</formula>
    </cfRule>
  </conditionalFormatting>
  <conditionalFormatting sqref="T830">
    <cfRule type="containsText" dxfId="2" priority="19391" operator="containsText" text="Yes">
      <formula>NOT(ISERROR(SEARCH(("Yes"),(T830))))</formula>
    </cfRule>
  </conditionalFormatting>
  <conditionalFormatting sqref="T830">
    <cfRule type="containsText" dxfId="9" priority="19392" operator="containsText" text="No">
      <formula>NOT(ISERROR(SEARCH(("No"),(T830))))</formula>
    </cfRule>
  </conditionalFormatting>
  <conditionalFormatting sqref="T830">
    <cfRule type="containsText" dxfId="2" priority="19393" operator="containsText" text="Yes">
      <formula>NOT(ISERROR(SEARCH(("Yes"),(T830))))</formula>
    </cfRule>
  </conditionalFormatting>
  <conditionalFormatting sqref="T830">
    <cfRule type="containsText" dxfId="9" priority="19394" operator="containsText" text="No">
      <formula>NOT(ISERROR(SEARCH(("No"),(T830))))</formula>
    </cfRule>
  </conditionalFormatting>
  <conditionalFormatting sqref="T830">
    <cfRule type="containsText" dxfId="2" priority="19395" operator="containsText" text="Yes">
      <formula>NOT(ISERROR(SEARCH(("Yes"),(T830))))</formula>
    </cfRule>
  </conditionalFormatting>
  <conditionalFormatting sqref="T830">
    <cfRule type="containsText" dxfId="9" priority="19396" operator="containsText" text="No">
      <formula>NOT(ISERROR(SEARCH(("No"),(T830))))</formula>
    </cfRule>
  </conditionalFormatting>
  <conditionalFormatting sqref="T830">
    <cfRule type="containsText" dxfId="2" priority="19397" operator="containsText" text="Yes">
      <formula>NOT(ISERROR(SEARCH(("Yes"),(T830))))</formula>
    </cfRule>
  </conditionalFormatting>
  <conditionalFormatting sqref="T830">
    <cfRule type="containsText" dxfId="9" priority="19398" operator="containsText" text="No">
      <formula>NOT(ISERROR(SEARCH(("No"),(T830))))</formula>
    </cfRule>
  </conditionalFormatting>
  <conditionalFormatting sqref="T830">
    <cfRule type="containsText" dxfId="2" priority="19399" operator="containsText" text="Yes">
      <formula>NOT(ISERROR(SEARCH(("Yes"),(T830))))</formula>
    </cfRule>
  </conditionalFormatting>
  <conditionalFormatting sqref="T830">
    <cfRule type="containsText" dxfId="9" priority="19400" operator="containsText" text="No">
      <formula>NOT(ISERROR(SEARCH(("No"),(T830))))</formula>
    </cfRule>
  </conditionalFormatting>
  <conditionalFormatting sqref="T830">
    <cfRule type="containsText" dxfId="2" priority="19401" operator="containsText" text="Yes">
      <formula>NOT(ISERROR(SEARCH(("Yes"),(T830))))</formula>
    </cfRule>
  </conditionalFormatting>
  <conditionalFormatting sqref="T830">
    <cfRule type="containsText" dxfId="9" priority="19402" operator="containsText" text="No">
      <formula>NOT(ISERROR(SEARCH(("No"),(T830))))</formula>
    </cfRule>
  </conditionalFormatting>
  <conditionalFormatting sqref="T830">
    <cfRule type="containsText" dxfId="2" priority="19403" operator="containsText" text="Yes">
      <formula>NOT(ISERROR(SEARCH(("Yes"),(T830))))</formula>
    </cfRule>
  </conditionalFormatting>
  <conditionalFormatting sqref="T830">
    <cfRule type="containsText" dxfId="9" priority="19404" operator="containsText" text="No">
      <formula>NOT(ISERROR(SEARCH(("No"),(T830))))</formula>
    </cfRule>
  </conditionalFormatting>
  <conditionalFormatting sqref="T830">
    <cfRule type="containsText" dxfId="2" priority="19405" operator="containsText" text="Yes">
      <formula>NOT(ISERROR(SEARCH(("Yes"),(T830))))</formula>
    </cfRule>
  </conditionalFormatting>
  <conditionalFormatting sqref="T830">
    <cfRule type="containsText" dxfId="9" priority="19406" operator="containsText" text="No">
      <formula>NOT(ISERROR(SEARCH(("No"),(T830))))</formula>
    </cfRule>
  </conditionalFormatting>
  <conditionalFormatting sqref="T830">
    <cfRule type="containsText" dxfId="2" priority="19407" operator="containsText" text="Yes">
      <formula>NOT(ISERROR(SEARCH(("Yes"),(T830))))</formula>
    </cfRule>
  </conditionalFormatting>
  <conditionalFormatting sqref="T830">
    <cfRule type="containsText" dxfId="9" priority="19408" operator="containsText" text="No">
      <formula>NOT(ISERROR(SEARCH(("No"),(T830))))</formula>
    </cfRule>
  </conditionalFormatting>
  <conditionalFormatting sqref="T830">
    <cfRule type="containsText" dxfId="2" priority="19409" operator="containsText" text="Yes">
      <formula>NOT(ISERROR(SEARCH(("Yes"),(T830))))</formula>
    </cfRule>
  </conditionalFormatting>
  <conditionalFormatting sqref="T830">
    <cfRule type="containsText" dxfId="9" priority="19410" operator="containsText" text="No">
      <formula>NOT(ISERROR(SEARCH(("No"),(T830))))</formula>
    </cfRule>
  </conditionalFormatting>
  <conditionalFormatting sqref="T830">
    <cfRule type="containsText" dxfId="2" priority="19411" operator="containsText" text="Yes">
      <formula>NOT(ISERROR(SEARCH(("Yes"),(T830))))</formula>
    </cfRule>
  </conditionalFormatting>
  <conditionalFormatting sqref="T830">
    <cfRule type="containsText" dxfId="9" priority="19412" operator="containsText" text="No">
      <formula>NOT(ISERROR(SEARCH(("No"),(T830))))</formula>
    </cfRule>
  </conditionalFormatting>
  <conditionalFormatting sqref="T830">
    <cfRule type="containsText" dxfId="2" priority="19413" operator="containsText" text="Yes">
      <formula>NOT(ISERROR(SEARCH(("Yes"),(T830))))</formula>
    </cfRule>
  </conditionalFormatting>
  <conditionalFormatting sqref="T830">
    <cfRule type="containsText" dxfId="9" priority="19414" operator="containsText" text="No">
      <formula>NOT(ISERROR(SEARCH(("No"),(T830))))</formula>
    </cfRule>
  </conditionalFormatting>
  <conditionalFormatting sqref="T830">
    <cfRule type="containsText" dxfId="2" priority="19415" operator="containsText" text="Yes">
      <formula>NOT(ISERROR(SEARCH(("Yes"),(T830))))</formula>
    </cfRule>
  </conditionalFormatting>
  <conditionalFormatting sqref="T830">
    <cfRule type="containsText" dxfId="9" priority="19416" operator="containsText" text="No">
      <formula>NOT(ISERROR(SEARCH(("No"),(T830))))</formula>
    </cfRule>
  </conditionalFormatting>
  <conditionalFormatting sqref="T830">
    <cfRule type="containsText" dxfId="2" priority="19417" operator="containsText" text="Yes">
      <formula>NOT(ISERROR(SEARCH(("Yes"),(T830))))</formula>
    </cfRule>
  </conditionalFormatting>
  <conditionalFormatting sqref="T830">
    <cfRule type="containsText" dxfId="9" priority="19418" operator="containsText" text="No">
      <formula>NOT(ISERROR(SEARCH(("No"),(T830))))</formula>
    </cfRule>
  </conditionalFormatting>
  <conditionalFormatting sqref="T830">
    <cfRule type="containsText" dxfId="2" priority="19419" operator="containsText" text="Yes">
      <formula>NOT(ISERROR(SEARCH(("Yes"),(T830))))</formula>
    </cfRule>
  </conditionalFormatting>
  <conditionalFormatting sqref="T830">
    <cfRule type="containsText" dxfId="9" priority="19420" operator="containsText" text="No">
      <formula>NOT(ISERROR(SEARCH(("No"),(T830))))</formula>
    </cfRule>
  </conditionalFormatting>
  <conditionalFormatting sqref="T830">
    <cfRule type="containsText" dxfId="2" priority="19421" operator="containsText" text="Yes">
      <formula>NOT(ISERROR(SEARCH(("Yes"),(T830))))</formula>
    </cfRule>
  </conditionalFormatting>
  <conditionalFormatting sqref="T830">
    <cfRule type="containsText" dxfId="9" priority="19422" operator="containsText" text="No">
      <formula>NOT(ISERROR(SEARCH(("No"),(T830))))</formula>
    </cfRule>
  </conditionalFormatting>
  <conditionalFormatting sqref="T830">
    <cfRule type="containsText" dxfId="2" priority="19423" operator="containsText" text="Yes">
      <formula>NOT(ISERROR(SEARCH(("Yes"),(T830))))</formula>
    </cfRule>
  </conditionalFormatting>
  <conditionalFormatting sqref="T830">
    <cfRule type="containsText" dxfId="9" priority="19424" operator="containsText" text="No">
      <formula>NOT(ISERROR(SEARCH(("No"),(T830))))</formula>
    </cfRule>
  </conditionalFormatting>
  <conditionalFormatting sqref="T830">
    <cfRule type="containsText" dxfId="2" priority="19425" operator="containsText" text="Yes">
      <formula>NOT(ISERROR(SEARCH(("Yes"),(T830))))</formula>
    </cfRule>
  </conditionalFormatting>
  <conditionalFormatting sqref="T830">
    <cfRule type="containsText" dxfId="9" priority="19426" operator="containsText" text="No">
      <formula>NOT(ISERROR(SEARCH(("No"),(T830))))</formula>
    </cfRule>
  </conditionalFormatting>
  <conditionalFormatting sqref="T830">
    <cfRule type="containsText" dxfId="2" priority="19427" operator="containsText" text="Yes">
      <formula>NOT(ISERROR(SEARCH(("Yes"),(T830))))</formula>
    </cfRule>
  </conditionalFormatting>
  <conditionalFormatting sqref="T830">
    <cfRule type="containsText" dxfId="9" priority="19428" operator="containsText" text="No">
      <formula>NOT(ISERROR(SEARCH(("No"),(T830))))</formula>
    </cfRule>
  </conditionalFormatting>
  <conditionalFormatting sqref="T830">
    <cfRule type="containsText" dxfId="2" priority="19429" operator="containsText" text="Yes">
      <formula>NOT(ISERROR(SEARCH(("Yes"),(T830))))</formula>
    </cfRule>
  </conditionalFormatting>
  <conditionalFormatting sqref="T830">
    <cfRule type="containsText" dxfId="9" priority="19430" operator="containsText" text="No">
      <formula>NOT(ISERROR(SEARCH(("No"),(T830))))</formula>
    </cfRule>
  </conditionalFormatting>
  <conditionalFormatting sqref="T830">
    <cfRule type="containsText" dxfId="2" priority="19431" operator="containsText" text="Yes">
      <formula>NOT(ISERROR(SEARCH(("Yes"),(T830))))</formula>
    </cfRule>
  </conditionalFormatting>
  <conditionalFormatting sqref="T830">
    <cfRule type="containsText" dxfId="9" priority="19432" operator="containsText" text="No">
      <formula>NOT(ISERROR(SEARCH(("No"),(T830))))</formula>
    </cfRule>
  </conditionalFormatting>
  <conditionalFormatting sqref="T830">
    <cfRule type="containsText" dxfId="2" priority="19433" operator="containsText" text="Yes">
      <formula>NOT(ISERROR(SEARCH(("Yes"),(T830))))</formula>
    </cfRule>
  </conditionalFormatting>
  <conditionalFormatting sqref="T830">
    <cfRule type="containsText" dxfId="9" priority="19434" operator="containsText" text="No">
      <formula>NOT(ISERROR(SEARCH(("No"),(T830))))</formula>
    </cfRule>
  </conditionalFormatting>
  <conditionalFormatting sqref="T830">
    <cfRule type="containsText" dxfId="2" priority="19435" operator="containsText" text="Yes">
      <formula>NOT(ISERROR(SEARCH(("Yes"),(T830))))</formula>
    </cfRule>
  </conditionalFormatting>
  <conditionalFormatting sqref="T830">
    <cfRule type="containsText" dxfId="9" priority="19436" operator="containsText" text="No">
      <formula>NOT(ISERROR(SEARCH(("No"),(T830))))</formula>
    </cfRule>
  </conditionalFormatting>
  <conditionalFormatting sqref="T830">
    <cfRule type="containsText" dxfId="2" priority="19437" operator="containsText" text="Yes">
      <formula>NOT(ISERROR(SEARCH(("Yes"),(T830))))</formula>
    </cfRule>
  </conditionalFormatting>
  <conditionalFormatting sqref="T830">
    <cfRule type="containsText" dxfId="9" priority="19438" operator="containsText" text="No">
      <formula>NOT(ISERROR(SEARCH(("No"),(T830))))</formula>
    </cfRule>
  </conditionalFormatting>
  <conditionalFormatting sqref="T830">
    <cfRule type="containsText" dxfId="2" priority="19439" operator="containsText" text="Yes">
      <formula>NOT(ISERROR(SEARCH(("Yes"),(T830))))</formula>
    </cfRule>
  </conditionalFormatting>
  <conditionalFormatting sqref="T830">
    <cfRule type="containsText" dxfId="9" priority="19440" operator="containsText" text="No">
      <formula>NOT(ISERROR(SEARCH(("No"),(T830))))</formula>
    </cfRule>
  </conditionalFormatting>
  <conditionalFormatting sqref="T830">
    <cfRule type="containsText" dxfId="2" priority="19441" operator="containsText" text="Yes">
      <formula>NOT(ISERROR(SEARCH(("Yes"),(T830))))</formula>
    </cfRule>
  </conditionalFormatting>
  <conditionalFormatting sqref="T830">
    <cfRule type="containsText" dxfId="9" priority="19442" operator="containsText" text="No">
      <formula>NOT(ISERROR(SEARCH(("No"),(T830))))</formula>
    </cfRule>
  </conditionalFormatting>
  <conditionalFormatting sqref="T830">
    <cfRule type="containsText" dxfId="2" priority="19443" operator="containsText" text="Yes">
      <formula>NOT(ISERROR(SEARCH(("Yes"),(T830))))</formula>
    </cfRule>
  </conditionalFormatting>
  <conditionalFormatting sqref="T830">
    <cfRule type="containsText" dxfId="9" priority="19444" operator="containsText" text="No">
      <formula>NOT(ISERROR(SEARCH(("No"),(T830))))</formula>
    </cfRule>
  </conditionalFormatting>
  <conditionalFormatting sqref="T830">
    <cfRule type="containsText" dxfId="2" priority="19445" operator="containsText" text="Yes">
      <formula>NOT(ISERROR(SEARCH(("Yes"),(T830))))</formula>
    </cfRule>
  </conditionalFormatting>
  <conditionalFormatting sqref="T830">
    <cfRule type="containsText" dxfId="9" priority="19446" operator="containsText" text="No">
      <formula>NOT(ISERROR(SEARCH(("No"),(T830))))</formula>
    </cfRule>
  </conditionalFormatting>
  <conditionalFormatting sqref="T830">
    <cfRule type="containsText" dxfId="2" priority="19447" operator="containsText" text="Yes">
      <formula>NOT(ISERROR(SEARCH(("Yes"),(T830))))</formula>
    </cfRule>
  </conditionalFormatting>
  <conditionalFormatting sqref="T830">
    <cfRule type="containsText" dxfId="9" priority="19448" operator="containsText" text="No">
      <formula>NOT(ISERROR(SEARCH(("No"),(T830))))</formula>
    </cfRule>
  </conditionalFormatting>
  <conditionalFormatting sqref="T830">
    <cfRule type="containsText" dxfId="2" priority="19449" operator="containsText" text="Yes">
      <formula>NOT(ISERROR(SEARCH(("Yes"),(T830))))</formula>
    </cfRule>
  </conditionalFormatting>
  <conditionalFormatting sqref="T830">
    <cfRule type="containsText" dxfId="9" priority="19450" operator="containsText" text="No">
      <formula>NOT(ISERROR(SEARCH(("No"),(T830))))</formula>
    </cfRule>
  </conditionalFormatting>
  <conditionalFormatting sqref="T830">
    <cfRule type="containsText" dxfId="2" priority="19451" operator="containsText" text="Yes">
      <formula>NOT(ISERROR(SEARCH(("Yes"),(T830))))</formula>
    </cfRule>
  </conditionalFormatting>
  <conditionalFormatting sqref="T830">
    <cfRule type="containsText" dxfId="9" priority="19452" operator="containsText" text="No">
      <formula>NOT(ISERROR(SEARCH(("No"),(T830))))</formula>
    </cfRule>
  </conditionalFormatting>
  <conditionalFormatting sqref="T830">
    <cfRule type="containsText" dxfId="2" priority="19453" operator="containsText" text="Yes">
      <formula>NOT(ISERROR(SEARCH(("Yes"),(T830))))</formula>
    </cfRule>
  </conditionalFormatting>
  <conditionalFormatting sqref="T830">
    <cfRule type="containsText" dxfId="9" priority="19454" operator="containsText" text="No">
      <formula>NOT(ISERROR(SEARCH(("No"),(T830))))</formula>
    </cfRule>
  </conditionalFormatting>
  <conditionalFormatting sqref="T830">
    <cfRule type="containsText" dxfId="2" priority="19455" operator="containsText" text="Yes">
      <formula>NOT(ISERROR(SEARCH(("Yes"),(T830))))</formula>
    </cfRule>
  </conditionalFormatting>
  <conditionalFormatting sqref="T830">
    <cfRule type="containsText" dxfId="9" priority="19456" operator="containsText" text="No">
      <formula>NOT(ISERROR(SEARCH(("No"),(T830))))</formula>
    </cfRule>
  </conditionalFormatting>
  <conditionalFormatting sqref="T830">
    <cfRule type="containsText" dxfId="2" priority="19457" operator="containsText" text="Yes">
      <formula>NOT(ISERROR(SEARCH(("Yes"),(T830))))</formula>
    </cfRule>
  </conditionalFormatting>
  <conditionalFormatting sqref="T830">
    <cfRule type="containsText" dxfId="9" priority="19458" operator="containsText" text="No">
      <formula>NOT(ISERROR(SEARCH(("No"),(T830))))</formula>
    </cfRule>
  </conditionalFormatting>
  <conditionalFormatting sqref="T830">
    <cfRule type="containsText" dxfId="2" priority="19459" operator="containsText" text="Yes">
      <formula>NOT(ISERROR(SEARCH(("Yes"),(T830))))</formula>
    </cfRule>
  </conditionalFormatting>
  <conditionalFormatting sqref="T830">
    <cfRule type="containsText" dxfId="9" priority="19460" operator="containsText" text="No">
      <formula>NOT(ISERROR(SEARCH(("No"),(T830))))</formula>
    </cfRule>
  </conditionalFormatting>
  <conditionalFormatting sqref="T830">
    <cfRule type="containsText" dxfId="2" priority="19461" operator="containsText" text="Yes">
      <formula>NOT(ISERROR(SEARCH(("Yes"),(T830))))</formula>
    </cfRule>
  </conditionalFormatting>
  <conditionalFormatting sqref="T830">
    <cfRule type="containsText" dxfId="9" priority="19462" operator="containsText" text="No">
      <formula>NOT(ISERROR(SEARCH(("No"),(T830))))</formula>
    </cfRule>
  </conditionalFormatting>
  <conditionalFormatting sqref="T830">
    <cfRule type="containsText" dxfId="2" priority="19463" operator="containsText" text="Yes">
      <formula>NOT(ISERROR(SEARCH(("Yes"),(T830))))</formula>
    </cfRule>
  </conditionalFormatting>
  <conditionalFormatting sqref="T830">
    <cfRule type="containsText" dxfId="9" priority="19464" operator="containsText" text="No">
      <formula>NOT(ISERROR(SEARCH(("No"),(T830))))</formula>
    </cfRule>
  </conditionalFormatting>
  <conditionalFormatting sqref="T830">
    <cfRule type="containsText" dxfId="2" priority="19465" operator="containsText" text="Yes">
      <formula>NOT(ISERROR(SEARCH(("Yes"),(T830))))</formula>
    </cfRule>
  </conditionalFormatting>
  <conditionalFormatting sqref="T830">
    <cfRule type="containsText" dxfId="9" priority="19466" operator="containsText" text="No">
      <formula>NOT(ISERROR(SEARCH(("No"),(T830))))</formula>
    </cfRule>
  </conditionalFormatting>
  <conditionalFormatting sqref="T830">
    <cfRule type="containsText" dxfId="2" priority="19467" operator="containsText" text="Yes">
      <formula>NOT(ISERROR(SEARCH(("Yes"),(T830))))</formula>
    </cfRule>
  </conditionalFormatting>
  <conditionalFormatting sqref="T830">
    <cfRule type="containsText" dxfId="9" priority="19468" operator="containsText" text="No">
      <formula>NOT(ISERROR(SEARCH(("No"),(T830))))</formula>
    </cfRule>
  </conditionalFormatting>
  <conditionalFormatting sqref="T830">
    <cfRule type="containsText" dxfId="2" priority="19469" operator="containsText" text="Yes">
      <formula>NOT(ISERROR(SEARCH(("Yes"),(T830))))</formula>
    </cfRule>
  </conditionalFormatting>
  <conditionalFormatting sqref="T830">
    <cfRule type="containsText" dxfId="9" priority="19470" operator="containsText" text="No">
      <formula>NOT(ISERROR(SEARCH(("No"),(T830))))</formula>
    </cfRule>
  </conditionalFormatting>
  <conditionalFormatting sqref="T830">
    <cfRule type="containsText" dxfId="2" priority="19471" operator="containsText" text="Yes">
      <formula>NOT(ISERROR(SEARCH(("Yes"),(T830))))</formula>
    </cfRule>
  </conditionalFormatting>
  <conditionalFormatting sqref="T830">
    <cfRule type="containsText" dxfId="9" priority="19472" operator="containsText" text="No">
      <formula>NOT(ISERROR(SEARCH(("No"),(T830))))</formula>
    </cfRule>
  </conditionalFormatting>
  <conditionalFormatting sqref="T830">
    <cfRule type="containsText" dxfId="2" priority="19473" operator="containsText" text="Yes">
      <formula>NOT(ISERROR(SEARCH(("Yes"),(T830))))</formula>
    </cfRule>
  </conditionalFormatting>
  <conditionalFormatting sqref="T830">
    <cfRule type="containsText" dxfId="2" priority="19474" operator="containsText" text="Yes">
      <formula>NOT(ISERROR(SEARCH(("Yes"),(T830))))</formula>
    </cfRule>
  </conditionalFormatting>
  <conditionalFormatting sqref="T830">
    <cfRule type="containsText" dxfId="9" priority="19475" operator="containsText" text="No">
      <formula>NOT(ISERROR(SEARCH(("No"),(T830))))</formula>
    </cfRule>
  </conditionalFormatting>
  <conditionalFormatting sqref="T830">
    <cfRule type="containsText" dxfId="2" priority="19476" operator="containsText" text="Yes">
      <formula>NOT(ISERROR(SEARCH(("Yes"),(T830))))</formula>
    </cfRule>
  </conditionalFormatting>
  <conditionalFormatting sqref="U277:U283">
    <cfRule type="containsText" dxfId="9" priority="19477" operator="containsText" text="No">
      <formula>NOT(ISERROR(SEARCH(("No"),(U277))))</formula>
    </cfRule>
  </conditionalFormatting>
  <conditionalFormatting sqref="U277:U283">
    <cfRule type="containsText" dxfId="2" priority="19478" operator="containsText" text="Yes">
      <formula>NOT(ISERROR(SEARCH(("Yes"),(U277))))</formula>
    </cfRule>
  </conditionalFormatting>
  <conditionalFormatting sqref="V277:V283">
    <cfRule type="containsText" dxfId="9" priority="19479" operator="containsText" text="No">
      <formula>NOT(ISERROR(SEARCH(("No"),(V277))))</formula>
    </cfRule>
  </conditionalFormatting>
  <conditionalFormatting sqref="V277:V283">
    <cfRule type="containsText" dxfId="2" priority="19480" operator="containsText" text="Yes">
      <formula>NOT(ISERROR(SEARCH(("Yes"),(V277))))</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81"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82"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83"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84"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85"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86"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87"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88"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89"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90"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91"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92"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93"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94"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95"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96"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97"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98"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499"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00"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01"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02"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03"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04"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05"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06"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07"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08"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09"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10"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11"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12"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13"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14"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15"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16"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17"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18"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19"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20"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21"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22"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23"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24"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9" priority="19525" operator="containsText" text="No">
      <formula>NOT(ISERROR(SEARCH(("No"),(P3))))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26"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27"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28"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29"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30"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31"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32"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33"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34"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35"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36"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37"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38"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39"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40"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41"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42"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43"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44"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45"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46"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47"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48"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49"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50"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51"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52"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53"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54"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55"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56"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57"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58"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59"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60"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61"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62"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63"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64"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65"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66"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67"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68"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69"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70"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71" operator="containsText" text="Yes">
      <formula>NOT(ISERROR(SEARCH(("Yes"),(P3))))</formula>
    </cfRule>
  </conditionalFormatting>
  <conditionalFormatting sqref="P3:P3008 O13:O14 Q13:Q14 O19:O20 Q19:Q20 O22:O56 Q22:Q27 N31:N43 Q32:Q33 N46:N51 Q50:Q51 N53:N55 O58:O83 N66:N68 N74:N77 O85:O91 O96:O99 O102:O109 O112:O113 O115:O118 O121:O133 O136:O139 N139 O142:O143 O145:O152 Q150 O154:O155 Q155 O159 O161:O162 N162 N164:O167 N170:O170 N172:O172 N174:O174 N176:O176 N180:O182 N184:O184 Q203 U204:V204 Q205:Q215 O261:O264 O267:O269 Q274 O275 O295 Q295 O362">
    <cfRule type="containsText" dxfId="2" priority="19572" operator="containsText" text="Yes">
      <formula>NOT(ISERROR(SEARCH(("Yes"),(P3))))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cfRule type="containsText" dxfId="9" priority="19573" operator="containsText" text="No">
      <formula>NOT(ISERROR(SEARCH(("No"),(N3))))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cfRule type="containsText" dxfId="9" priority="19574" operator="containsText" text="No">
      <formula>NOT(ISERROR(SEARCH(("No"),(N3))))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cfRule type="containsText" dxfId="9" priority="19575" operator="containsText" text="No">
      <formula>NOT(ISERROR(SEARCH(("No"),(N3))))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cfRule type="containsText" dxfId="2" priority="19576" operator="containsText" text="Yes">
      <formula>NOT(ISERROR(SEARCH(("Yes"),(N3))))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cfRule type="containsText" dxfId="2" priority="19577" operator="containsText" text="Yes">
      <formula>NOT(ISERROR(SEARCH(("Yes"),(N3))))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cfRule type="containsText" dxfId="2" priority="19578" operator="containsText" text="Yes">
      <formula>NOT(ISERROR(SEARCH(("Yes"),(N3))))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cfRule type="containsText" dxfId="2" priority="19579" operator="containsText" text="Yes">
      <formula>NOT(ISERROR(SEARCH(("Yes"),(N3))))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cfRule type="containsText" dxfId="2" priority="19580" operator="containsText" text="Yes">
      <formula>NOT(ISERROR(SEARCH(("Yes"),(N3))))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cfRule type="containsText" dxfId="9" priority="19581" operator="containsText" text="No">
      <formula>NOT(ISERROR(SEARCH(("No"),(N3))))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cfRule type="containsText" dxfId="9" priority="19582" operator="containsText" text="No">
      <formula>NOT(ISERROR(SEARCH(("No"),(N3))))</formula>
    </cfRule>
  </conditionalFormatting>
  <conditionalFormatting sqref="N3:N3008 O13:Q83 O85:Q91 O96:Q99 O102:O109 P102:Q110 O112:Q113 O115:Q118 O121:O133 P121:Q139 O136:O139 O142:Q143 O146:Q152 O154:Q155 O159:Q159 O161:Q162 O164:Q167 O170:Q170 O172:Q172 O174:O226 P174:Q174 P176:Q176 P179:Q214 U204:V204 P217:Q221 O228:O252 O254:O256 O258:O264 O267:O269 O272:O273 O275 O296 P362:Q362">
    <cfRule type="containsText" dxfId="2" priority="19583" operator="containsText" text="Yes">
      <formula>NOT(ISERROR(SEARCH(("Yes"),(N3))))</formula>
    </cfRule>
  </conditionalFormatting>
  <conditionalFormatting sqref="O3:O3008 P13:Q14 P19:Q20 P22:Q27 N31:N43 P32:Q33 N46:N51 P50:Q51 N53:N55 N66:N68 N74:N77 Q127 N139 P145 P150 P153:P214 Q155 N162 N164:N167 N170 N172 N174 N176 N180:N182 N184 N187:N216 Q203 U204:V204 Q205:Q214 N222:N226 N228:N252 N254:N256 N258:N264 N267:N269 N272:N273 N275:N282 P276:Q284 N286 P286:Q292 P294:Q295 N296 N300 P300:Q300 P304:Q304 P307:Q307 P310:Q311 P313:Q316 P318:Q318 P321:Q322 P329:Q329 P343:Q346 N395">
    <cfRule type="containsText" dxfId="9" priority="19584" operator="containsText" text="No">
      <formula>NOT(ISERROR(SEARCH(("No"),(O3))))</formula>
    </cfRule>
  </conditionalFormatting>
  <conditionalFormatting sqref="O3:O3008 P13:Q14 P19:Q20 P22:Q27 N31:N43 P32:Q33 N46:N51 P50:Q51 N53:N55 N66:N68 N74:N77 Q127 N139 P145 P150 P153:P214 Q155 N162 N164:N167 N170 N172 N174 N176 N180:N182 N184 N187:N216 Q203 U204:V204 Q205:Q214 N222:N226 N228:N252 N254:N256 N258:N264 N267:N269 N272:N273 N275:N282 P276:Q284 N286 P286:Q292 P294:Q295 N296 N300 P300:Q300 P304:Q304 P307:Q307 P310:Q311 P313:Q316 P318:Q318 P321:Q322 P329:Q329 P343:Q346 N395">
    <cfRule type="containsText" dxfId="9" priority="19585" operator="containsText" text="No">
      <formula>NOT(ISERROR(SEARCH(("No"),(O3))))</formula>
    </cfRule>
  </conditionalFormatting>
  <conditionalFormatting sqref="O3:O3008 P13:Q14 P19:Q20 P22:Q27 N31:N43 P32:Q33 N46:N51 P50:Q51 N53:N55 N66:N68 N74:N77 Q127 N139 P145 P150 P153:P214 Q155 N162 N164:N167 N170 N172 N174 N176 N180:N182 N184 N187:N216 Q203 U204:V204 Q205:Q214 N222:N226 N228:N252 N254:N256 N258:N264 N267:N269 N272:N273 N275:N282 P276:Q284 N286 P286:Q292 P294:Q295 N296 N300 P300:Q300 P304:Q304 P307:Q307 P310:Q311 P313:Q316 P318:Q318 P321:Q322 P329:Q329 P343:Q346 N395">
    <cfRule type="containsText" dxfId="9" priority="19586" operator="containsText" text="No">
      <formula>NOT(ISERROR(SEARCH(("No"),(O3))))</formula>
    </cfRule>
  </conditionalFormatting>
  <conditionalFormatting sqref="O3:O3008 P13:Q14 P19:Q20 P22:Q27 N31:N43 P32:Q33 N46:N51 P50:Q51 N53:N55 N66:N68 N74:N77 Q127 N139 P145 P150 P153:P214 Q155 N162 N164:N167 N170 N172 N174 N176 N180:N182 N184 N187:N216 Q203 U204:V204 Q205:Q214 N222:N226 N228:N252 N254:N256 N258:N264 N267:N269 N272:N273 N275:N282 P276:Q284 N286 P286:Q292 P294:Q295 N296 N300 P300:Q300 P304:Q304 P307:Q307 P310:Q311 P313:Q316 P318:Q318 P321:Q322 P329:Q329 P343:Q346 N395">
    <cfRule type="containsText" dxfId="2" priority="19587" operator="containsText" text="Yes">
      <formula>NOT(ISERROR(SEARCH(("Yes"),(O3))))</formula>
    </cfRule>
  </conditionalFormatting>
  <conditionalFormatting sqref="O3:O3008 P13:Q14 P19:Q20 P22:Q27 N31:N43 P32:Q33 N46:N51 P50:Q51 N53:N55 N66:N68 N74:N77 Q127 N139 P145 P150 P153:P214 Q155 N162 N164:N167 N170 N172 N174 N176 N180:N182 N184 N187:N216 Q203 U204:V204 Q205:Q214 N222:N226 N228:N252 N254:N256 N258:N264 N267:N269 N272:N273 N275:N282 P276:Q284 N286 P286:Q292 P294:Q295 N296 N300 P300:Q300 P304:Q304 P307:Q307 P310:Q311 P313:Q316 P318:Q318 P321:Q322 P329:Q329 P343:Q346 N395">
    <cfRule type="containsText" dxfId="2" priority="19588" operator="containsText" text="Yes">
      <formula>NOT(ISERROR(SEARCH(("Yes"),(O3))))</formula>
    </cfRule>
  </conditionalFormatting>
  <conditionalFormatting sqref="O3:O3008 P13:Q14 P19:Q20 P22:Q27 N31:N43 P32:Q33 N46:N51 P50:Q51 N53:N55 N66:N68 N74:N77 Q127 N139 P145 P150 P153:P214 Q155 N162 N164:N167 N170 N172 N174 N176 N180:N182 N184 N187:N216 Q203 U204:V204 Q205:Q214 N222:N226 N228:N252 N254:N256 N258:N264 N267:N269 N272:N273 N275:N282 P276:Q284 N286 P286:Q292 P294:Q295 N296 N300 P300:Q300 P304:Q304 P307:Q307 P310:Q311 P313:Q316 P318:Q318 P321:Q322 P329:Q329 P343:Q346 N395">
    <cfRule type="containsText" dxfId="2" priority="19589" operator="containsText" text="Yes">
      <formula>NOT(ISERROR(SEARCH(("Yes"),(O3))))</formula>
    </cfRule>
  </conditionalFormatting>
  <conditionalFormatting sqref="O3:O3008 P13:Q14 P19:Q20 P22:Q27 N31:N43 P32:Q33 N46:N51 P50:Q51 N53:N55 N66:N68 N74:N77 Q127 N139 P145 P150 P153:P214 Q155 N162 N164:N167 N170 N172 N174 N176 N180:N182 N184 N187:N216 Q203 U204:V204 Q205:Q214 N222:N226 N228:N252 N254:N256 N258:N264 N267:N269 N272:N273 N275:N282 P276:Q284 N286 P286:Q292 P294:Q295 N296 N300 P300:Q300 P304:Q304 P307:Q307 P310:Q311 P313:Q316 P318:Q318 P321:Q322 P329:Q329 P343:Q346 N395">
    <cfRule type="containsText" dxfId="2" priority="19590" operator="containsText" text="Yes">
      <formula>NOT(ISERROR(SEARCH(("Yes"),(O3))))</formula>
    </cfRule>
  </conditionalFormatting>
  <conditionalFormatting sqref="O3:O3008 P13:Q14 P19:Q20 P22:Q27 N31:N43 P32:Q33 N46:N51 P50:Q51 N53:N55 N66:N68 N74:N77 Q127 N139 P145 P150 P153:P214 Q155 N162 N164:N167 N170 N172 N174 N176 N180:N182 N184 N187:N216 Q203 U204:V204 Q205:Q214 N222:N226 N228:N252 N254:N256 N258:N264 N267:N269 N272:N273 N275:N282 P276:Q284 N286 P286:Q292 P294:Q295 N296 N300 P300:Q300 P304:Q304 P307:Q307 P310:Q311 P313:Q316 P318:Q318 P321:Q322 P329:Q329 P343:Q346 N395">
    <cfRule type="containsText" dxfId="2" priority="19591" operator="containsText" text="Yes">
      <formula>NOT(ISERROR(SEARCH(("Yes"),(O3))))</formula>
    </cfRule>
  </conditionalFormatting>
  <conditionalFormatting sqref="O3:O3008 P13:Q14 P19:Q20 P22:Q27 N31:N43 P32:Q33 N46:N51 P50:Q51 N53:N55 N66:N68 N74:N77 Q127 N139 P145 P150 P153:P214 Q155 N162 N164:N167 N170 N172 N174 N176 N180:N182 N184 N187:N216 Q203 U204:V204 Q205:Q214 N222:N226 N228:N252 N254:N256 N258:N264 N267:N269 N272:N273 N275:N282 P276:Q284 N286 P286:Q292 P294:Q295 N296 N300 P300:Q300 P304:Q304 P307:Q307 P310:Q311 P313:Q316 P318:Q318 P321:Q322 P329:Q329 P343:Q346 N395">
    <cfRule type="containsText" dxfId="9" priority="19592" operator="containsText" text="No">
      <formula>NOT(ISERROR(SEARCH(("No"),(O3))))</formula>
    </cfRule>
  </conditionalFormatting>
  <conditionalFormatting sqref="O3:O3008 P13:Q14 P19:Q20 P22:Q27 N31:N43 P32:Q33 N46:N51 P50:Q51 N53:N55 N66:N68 N74:N77 Q127 N139 P145 P150 P153:P214 Q155 N162 N164:N167 N170 N172 N174 N176 N180:N182 N184 N187:N216 Q203 U204:V204 Q205:Q214 N222:N226 N228:N252 N254:N256 N258:N264 N267:N269 N272:N273 N275:N282 P276:Q284 N286 P286:Q292 P294:Q295 N296 N300 P300:Q300 P304:Q304 P307:Q307 P310:Q311 P313:Q316 P318:Q318 P321:Q322 P329:Q329 P343:Q346 N395">
    <cfRule type="containsText" dxfId="9" priority="19593" operator="containsText" text="No">
      <formula>NOT(ISERROR(SEARCH(("No"),(O3))))</formula>
    </cfRule>
  </conditionalFormatting>
  <conditionalFormatting sqref="O3:O3008 P13:Q14 P19:Q20 P22:Q27 N31:N43 P32:Q33 N46:N51 P50:Q51 N53:N55 N66:N68 N74:N77 Q127 N139 P145 P150 P153:P214 Q155 N162 N164:N167 N170 N172 N174 N176 N180:N182 N184 N187:N216 Q203 U204:V204 Q205:Q214 N222:N226 N228:N252 N254:N256 N258:N264 N267:N269 N272:N273 N275:N282 P276:Q284 N286 P286:Q292 P294:Q295 N296 N300 P300:Q300 P304:Q304 P307:Q307 P310:Q311 P313:Q316 P318:Q318 P321:Q322 P329:Q329 P343:Q346 N395">
    <cfRule type="containsText" dxfId="2" priority="19594" operator="containsText" text="Yes">
      <formula>NOT(ISERROR(SEARCH(("Yes"),(O3))))</formula>
    </cfRule>
  </conditionalFormatting>
  <conditionalFormatting sqref="Q3:Q3008 P174:P214 U204:V204">
    <cfRule type="containsText" dxfId="9" priority="19595" operator="containsText" text="No">
      <formula>NOT(ISERROR(SEARCH(("No"),(Q3))))</formula>
    </cfRule>
  </conditionalFormatting>
  <conditionalFormatting sqref="Q3:Q3008 P174:P214 U204:V204">
    <cfRule type="containsText" dxfId="9" priority="19596" operator="containsText" text="No">
      <formula>NOT(ISERROR(SEARCH(("No"),(Q3))))</formula>
    </cfRule>
  </conditionalFormatting>
  <conditionalFormatting sqref="Q3:Q3008 P174:P214 U204:V204">
    <cfRule type="containsText" dxfId="9" priority="19597" operator="containsText" text="No">
      <formula>NOT(ISERROR(SEARCH(("No"),(Q3))))</formula>
    </cfRule>
  </conditionalFormatting>
  <conditionalFormatting sqref="Q3:Q3008 P174:P214 U204:V204">
    <cfRule type="containsText" dxfId="9" priority="19598" operator="containsText" text="No">
      <formula>NOT(ISERROR(SEARCH(("No"),(Q3))))</formula>
    </cfRule>
  </conditionalFormatting>
  <conditionalFormatting sqref="Q3:Q3008 P174:P214 U204:V204">
    <cfRule type="containsText" dxfId="9" priority="19599" operator="containsText" text="No">
      <formula>NOT(ISERROR(SEARCH(("No"),(Q3))))</formula>
    </cfRule>
  </conditionalFormatting>
  <conditionalFormatting sqref="Q3:Q3008 P174:P214 U204:V204">
    <cfRule type="containsText" dxfId="9" priority="19600" operator="containsText" text="No">
      <formula>NOT(ISERROR(SEARCH(("No"),(Q3))))</formula>
    </cfRule>
  </conditionalFormatting>
  <conditionalFormatting sqref="Q3:Q3008 P174:P214 U204:V204">
    <cfRule type="containsText" dxfId="9" priority="19601" operator="containsText" text="No">
      <formula>NOT(ISERROR(SEARCH(("No"),(Q3))))</formula>
    </cfRule>
  </conditionalFormatting>
  <conditionalFormatting sqref="Q3:Q3008 P174:P214 U204:V204">
    <cfRule type="containsText" dxfId="9" priority="19602" operator="containsText" text="No">
      <formula>NOT(ISERROR(SEARCH(("No"),(Q3))))</formula>
    </cfRule>
  </conditionalFormatting>
  <conditionalFormatting sqref="Q3:Q3008 P174:P214 U204:V204">
    <cfRule type="containsText" dxfId="9" priority="19603" operator="containsText" text="No">
      <formula>NOT(ISERROR(SEARCH(("No"),(Q3))))</formula>
    </cfRule>
  </conditionalFormatting>
  <conditionalFormatting sqref="Q3:Q3008 P174:P214 U204:V204">
    <cfRule type="containsText" dxfId="9" priority="19604" operator="containsText" text="No">
      <formula>NOT(ISERROR(SEARCH(("No"),(Q3))))</formula>
    </cfRule>
  </conditionalFormatting>
  <conditionalFormatting sqref="Q3:Q3008 P174:P214 U204:V204">
    <cfRule type="containsText" dxfId="9" priority="19605" operator="containsText" text="No">
      <formula>NOT(ISERROR(SEARCH(("No"),(Q3))))</formula>
    </cfRule>
  </conditionalFormatting>
  <conditionalFormatting sqref="Q3:Q3008 P174:P214 U204:V204">
    <cfRule type="containsText" dxfId="9" priority="19606" operator="containsText" text="No">
      <formula>NOT(ISERROR(SEARCH(("No"),(Q3))))</formula>
    </cfRule>
  </conditionalFormatting>
  <conditionalFormatting sqref="Q3:Q3008 P174:P214 U204:V204">
    <cfRule type="containsText" dxfId="9" priority="19607" operator="containsText" text="No">
      <formula>NOT(ISERROR(SEARCH(("No"),(Q3))))</formula>
    </cfRule>
  </conditionalFormatting>
  <conditionalFormatting sqref="Q3:Q3008 P174:P214 U204:V204">
    <cfRule type="containsText" dxfId="9" priority="19608" operator="containsText" text="No">
      <formula>NOT(ISERROR(SEARCH(("No"),(Q3))))</formula>
    </cfRule>
  </conditionalFormatting>
  <conditionalFormatting sqref="Q3:Q3008 P174:P214 U204:V204">
    <cfRule type="containsText" dxfId="9" priority="19609" operator="containsText" text="No">
      <formula>NOT(ISERROR(SEARCH(("No"),(Q3))))</formula>
    </cfRule>
  </conditionalFormatting>
  <conditionalFormatting sqref="Q3:Q3008 P174:P214 U204:V204">
    <cfRule type="containsText" dxfId="9" priority="19610" operator="containsText" text="No">
      <formula>NOT(ISERROR(SEARCH(("No"),(Q3))))</formula>
    </cfRule>
  </conditionalFormatting>
  <conditionalFormatting sqref="Q3:Q3008 P174:P214 U204:V204">
    <cfRule type="containsText" dxfId="9" priority="19611" operator="containsText" text="No">
      <formula>NOT(ISERROR(SEARCH(("No"),(Q3))))</formula>
    </cfRule>
  </conditionalFormatting>
  <conditionalFormatting sqref="Q3:Q3008 P174:P214 U204:V204">
    <cfRule type="containsText" dxfId="9" priority="19612" operator="containsText" text="No">
      <formula>NOT(ISERROR(SEARCH(("No"),(Q3))))</formula>
    </cfRule>
  </conditionalFormatting>
  <conditionalFormatting sqref="Q3:Q3008 P174:P214 U204:V204">
    <cfRule type="containsText" dxfId="9" priority="19613" operator="containsText" text="No">
      <formula>NOT(ISERROR(SEARCH(("No"),(Q3))))</formula>
    </cfRule>
  </conditionalFormatting>
  <conditionalFormatting sqref="Q3:Q3008 P174:P214 U204:V204">
    <cfRule type="containsText" dxfId="9" priority="19614" operator="containsText" text="No">
      <formula>NOT(ISERROR(SEARCH(("No"),(Q3))))</formula>
    </cfRule>
  </conditionalFormatting>
  <conditionalFormatting sqref="Q3:Q3008 P174:P214 U204:V204">
    <cfRule type="containsText" dxfId="9" priority="19615" operator="containsText" text="No">
      <formula>NOT(ISERROR(SEARCH(("No"),(Q3))))</formula>
    </cfRule>
  </conditionalFormatting>
  <conditionalFormatting sqref="Q3:Q3008 P174:P214 U204:V204">
    <cfRule type="containsText" dxfId="9" priority="19616" operator="containsText" text="No">
      <formula>NOT(ISERROR(SEARCH(("No"),(Q3))))</formula>
    </cfRule>
  </conditionalFormatting>
  <conditionalFormatting sqref="Q3:Q3008 P174:P214 U204:V204">
    <cfRule type="containsText" dxfId="9" priority="19617" operator="containsText" text="No">
      <formula>NOT(ISERROR(SEARCH(("No"),(Q3))))</formula>
    </cfRule>
  </conditionalFormatting>
  <conditionalFormatting sqref="Q3:Q3008 P174:P214 U204:V204">
    <cfRule type="containsText" dxfId="9" priority="19618" operator="containsText" text="No">
      <formula>NOT(ISERROR(SEARCH(("No"),(Q3))))</formula>
    </cfRule>
  </conditionalFormatting>
  <conditionalFormatting sqref="Q3:Q3008 P174:P214 U204:V204">
    <cfRule type="containsText" dxfId="9" priority="19619" operator="containsText" text="No">
      <formula>NOT(ISERROR(SEARCH(("No"),(Q3))))</formula>
    </cfRule>
  </conditionalFormatting>
  <conditionalFormatting sqref="Q3:Q3008 P174:P214 U204:V204">
    <cfRule type="containsText" dxfId="9" priority="19620" operator="containsText" text="No">
      <formula>NOT(ISERROR(SEARCH(("No"),(Q3))))</formula>
    </cfRule>
  </conditionalFormatting>
  <conditionalFormatting sqref="Q3:Q3008 P174:P214 U204:V204">
    <cfRule type="containsText" dxfId="9" priority="19621" operator="containsText" text="No">
      <formula>NOT(ISERROR(SEARCH(("No"),(Q3))))</formula>
    </cfRule>
  </conditionalFormatting>
  <conditionalFormatting sqref="Q3:Q3008 P174:P214 U204:V204">
    <cfRule type="containsText" dxfId="9" priority="19622" operator="containsText" text="No">
      <formula>NOT(ISERROR(SEARCH(("No"),(Q3))))</formula>
    </cfRule>
  </conditionalFormatting>
  <conditionalFormatting sqref="Q3:Q3008 P174:P214 U204:V204">
    <cfRule type="containsText" dxfId="9" priority="19623" operator="containsText" text="No">
      <formula>NOT(ISERROR(SEARCH(("No"),(Q3))))</formula>
    </cfRule>
  </conditionalFormatting>
  <conditionalFormatting sqref="Q3:Q3008 P174:P214 U204:V204">
    <cfRule type="containsText" dxfId="9" priority="19624" operator="containsText" text="No">
      <formula>NOT(ISERROR(SEARCH(("No"),(Q3))))</formula>
    </cfRule>
  </conditionalFormatting>
  <conditionalFormatting sqref="Q3:Q3008 P174:P214 U204:V204">
    <cfRule type="containsText" dxfId="9" priority="19625" operator="containsText" text="No">
      <formula>NOT(ISERROR(SEARCH(("No"),(Q3))))</formula>
    </cfRule>
  </conditionalFormatting>
  <conditionalFormatting sqref="Q3:Q3008 P174:P214 U204:V204">
    <cfRule type="containsText" dxfId="9" priority="19626" operator="containsText" text="No">
      <formula>NOT(ISERROR(SEARCH(("No"),(Q3))))</formula>
    </cfRule>
  </conditionalFormatting>
  <conditionalFormatting sqref="Q3:Q3008 P174:P214 U204:V204">
    <cfRule type="containsText" dxfId="9" priority="19627" operator="containsText" text="No">
      <formula>NOT(ISERROR(SEARCH(("No"),(Q3))))</formula>
    </cfRule>
  </conditionalFormatting>
  <conditionalFormatting sqref="Q3:Q3008 P174:P214 U204:V204">
    <cfRule type="containsText" dxfId="9" priority="19628" operator="containsText" text="No">
      <formula>NOT(ISERROR(SEARCH(("No"),(Q3))))</formula>
    </cfRule>
  </conditionalFormatting>
  <conditionalFormatting sqref="Q3:Q3008 P174:P214 U204:V204">
    <cfRule type="containsText" dxfId="9" priority="19629" operator="containsText" text="No">
      <formula>NOT(ISERROR(SEARCH(("No"),(Q3))))</formula>
    </cfRule>
  </conditionalFormatting>
  <conditionalFormatting sqref="Q3:Q3008 P174:P214 U204:V204">
    <cfRule type="containsText" dxfId="9" priority="19630" operator="containsText" text="No">
      <formula>NOT(ISERROR(SEARCH(("No"),(Q3))))</formula>
    </cfRule>
  </conditionalFormatting>
  <conditionalFormatting sqref="Q3:Q3008 P174:P214 U204:V204">
    <cfRule type="containsText" dxfId="9" priority="19631" operator="containsText" text="No">
      <formula>NOT(ISERROR(SEARCH(("No"),(Q3))))</formula>
    </cfRule>
  </conditionalFormatting>
  <conditionalFormatting sqref="Q3:Q3008 P174:P214 U204:V204">
    <cfRule type="containsText" dxfId="9" priority="19632" operator="containsText" text="No">
      <formula>NOT(ISERROR(SEARCH(("No"),(Q3))))</formula>
    </cfRule>
  </conditionalFormatting>
  <conditionalFormatting sqref="Q3:Q3008 P174:P214 U204:V204">
    <cfRule type="containsText" dxfId="9" priority="19633" operator="containsText" text="No">
      <formula>NOT(ISERROR(SEARCH(("No"),(Q3))))</formula>
    </cfRule>
  </conditionalFormatting>
  <conditionalFormatting sqref="Q3:Q3008 P174:P214 U204:V204">
    <cfRule type="containsText" dxfId="9" priority="19634" operator="containsText" text="No">
      <formula>NOT(ISERROR(SEARCH(("No"),(Q3))))</formula>
    </cfRule>
  </conditionalFormatting>
  <conditionalFormatting sqref="Q3:Q3008 P174:P214 U204:V204">
    <cfRule type="containsText" dxfId="9" priority="19635" operator="containsText" text="No">
      <formula>NOT(ISERROR(SEARCH(("No"),(Q3))))</formula>
    </cfRule>
  </conditionalFormatting>
  <conditionalFormatting sqref="Q3:Q3008 P174:P214 U204:V204">
    <cfRule type="containsText" dxfId="9" priority="19636" operator="containsText" text="No">
      <formula>NOT(ISERROR(SEARCH(("No"),(Q3))))</formula>
    </cfRule>
  </conditionalFormatting>
  <conditionalFormatting sqref="Q3:Q3008 P174:P214 U204:V204">
    <cfRule type="containsText" dxfId="9" priority="19637" operator="containsText" text="No">
      <formula>NOT(ISERROR(SEARCH(("No"),(Q3))))</formula>
    </cfRule>
  </conditionalFormatting>
  <conditionalFormatting sqref="Q3:Q3008 P174:P214 U204:V204">
    <cfRule type="containsText" dxfId="9" priority="19638" operator="containsText" text="No">
      <formula>NOT(ISERROR(SEARCH(("No"),(Q3))))</formula>
    </cfRule>
  </conditionalFormatting>
  <conditionalFormatting sqref="Q3:Q3008 P174:P214 U204:V204">
    <cfRule type="containsText" dxfId="9" priority="19639" operator="containsText" text="No">
      <formula>NOT(ISERROR(SEARCH(("No"),(Q3))))</formula>
    </cfRule>
  </conditionalFormatting>
  <conditionalFormatting sqref="Q3:Q3008 P174:P214 U204:V204">
    <cfRule type="containsText" dxfId="2" priority="19640" operator="containsText" text="Yes">
      <formula>NOT(ISERROR(SEARCH(("Yes"),(Q3))))</formula>
    </cfRule>
  </conditionalFormatting>
  <conditionalFormatting sqref="Q3:Q3008 P174:P214 U204:V204">
    <cfRule type="containsText" dxfId="2" priority="19641" operator="containsText" text="Yes">
      <formula>NOT(ISERROR(SEARCH(("Yes"),(Q3))))</formula>
    </cfRule>
  </conditionalFormatting>
  <conditionalFormatting sqref="Q3:Q3008 P174:P214 U204:V204">
    <cfRule type="containsText" dxfId="2" priority="19642" operator="containsText" text="Yes">
      <formula>NOT(ISERROR(SEARCH(("Yes"),(Q3))))</formula>
    </cfRule>
  </conditionalFormatting>
  <conditionalFormatting sqref="Q3:Q3008 P174:P214 U204:V204">
    <cfRule type="containsText" dxfId="2" priority="19643" operator="containsText" text="Yes">
      <formula>NOT(ISERROR(SEARCH(("Yes"),(Q3))))</formula>
    </cfRule>
  </conditionalFormatting>
  <conditionalFormatting sqref="Q3:Q3008 P174:P214 U204:V204">
    <cfRule type="containsText" dxfId="2" priority="19644" operator="containsText" text="Yes">
      <formula>NOT(ISERROR(SEARCH(("Yes"),(Q3))))</formula>
    </cfRule>
  </conditionalFormatting>
  <conditionalFormatting sqref="Q3:Q3008 P174:P214 U204:V204">
    <cfRule type="containsText" dxfId="2" priority="19645" operator="containsText" text="Yes">
      <formula>NOT(ISERROR(SEARCH(("Yes"),(Q3))))</formula>
    </cfRule>
  </conditionalFormatting>
  <conditionalFormatting sqref="Q3:Q3008 P174:P214 U204:V204">
    <cfRule type="containsText" dxfId="2" priority="19646" operator="containsText" text="Yes">
      <formula>NOT(ISERROR(SEARCH(("Yes"),(Q3))))</formula>
    </cfRule>
  </conditionalFormatting>
  <conditionalFormatting sqref="Q3:Q3008 P174:P214 U204:V204">
    <cfRule type="containsText" dxfId="2" priority="19647" operator="containsText" text="Yes">
      <formula>NOT(ISERROR(SEARCH(("Yes"),(Q3))))</formula>
    </cfRule>
  </conditionalFormatting>
  <conditionalFormatting sqref="Q3:Q3008 P174:P214 U204:V204">
    <cfRule type="containsText" dxfId="2" priority="19648" operator="containsText" text="Yes">
      <formula>NOT(ISERROR(SEARCH(("Yes"),(Q3))))</formula>
    </cfRule>
  </conditionalFormatting>
  <conditionalFormatting sqref="Q3:Q3008 P174:P214 U204:V204">
    <cfRule type="containsText" dxfId="2" priority="19649" operator="containsText" text="Yes">
      <formula>NOT(ISERROR(SEARCH(("Yes"),(Q3))))</formula>
    </cfRule>
  </conditionalFormatting>
  <conditionalFormatting sqref="Q3:Q3008 P174:P214 U204:V204">
    <cfRule type="containsText" dxfId="2" priority="19650" operator="containsText" text="Yes">
      <formula>NOT(ISERROR(SEARCH(("Yes"),(Q3))))</formula>
    </cfRule>
  </conditionalFormatting>
  <conditionalFormatting sqref="Q3:Q3008 P174:P214 U204:V204">
    <cfRule type="containsText" dxfId="2" priority="19651" operator="containsText" text="Yes">
      <formula>NOT(ISERROR(SEARCH(("Yes"),(Q3))))</formula>
    </cfRule>
  </conditionalFormatting>
  <conditionalFormatting sqref="Q3:Q3008 P174:P214 U204:V204">
    <cfRule type="containsText" dxfId="2" priority="19652" operator="containsText" text="Yes">
      <formula>NOT(ISERROR(SEARCH(("Yes"),(Q3))))</formula>
    </cfRule>
  </conditionalFormatting>
  <conditionalFormatting sqref="Q3:Q3008 P174:P214 U204:V204">
    <cfRule type="containsText" dxfId="2" priority="19653" operator="containsText" text="Yes">
      <formula>NOT(ISERROR(SEARCH(("Yes"),(Q3))))</formula>
    </cfRule>
  </conditionalFormatting>
  <conditionalFormatting sqref="Q3:Q3008 P174:P214 U204:V204">
    <cfRule type="containsText" dxfId="2" priority="19654" operator="containsText" text="Yes">
      <formula>NOT(ISERROR(SEARCH(("Yes"),(Q3))))</formula>
    </cfRule>
  </conditionalFormatting>
  <conditionalFormatting sqref="Q3:Q3008 P174:P214 U204:V204">
    <cfRule type="containsText" dxfId="2" priority="19655" operator="containsText" text="Yes">
      <formula>NOT(ISERROR(SEARCH(("Yes"),(Q3))))</formula>
    </cfRule>
  </conditionalFormatting>
  <conditionalFormatting sqref="Q3:Q3008 P174:P214 U204:V204">
    <cfRule type="containsText" dxfId="2" priority="19656" operator="containsText" text="Yes">
      <formula>NOT(ISERROR(SEARCH(("Yes"),(Q3))))</formula>
    </cfRule>
  </conditionalFormatting>
  <conditionalFormatting sqref="Q3:Q3008 P174:P214 U204:V204">
    <cfRule type="containsText" dxfId="2" priority="19657" operator="containsText" text="Yes">
      <formula>NOT(ISERROR(SEARCH(("Yes"),(Q3))))</formula>
    </cfRule>
  </conditionalFormatting>
  <conditionalFormatting sqref="Q3:Q3008 P174:P214 U204:V204">
    <cfRule type="containsText" dxfId="2" priority="19658" operator="containsText" text="Yes">
      <formula>NOT(ISERROR(SEARCH(("Yes"),(Q3))))</formula>
    </cfRule>
  </conditionalFormatting>
  <conditionalFormatting sqref="Q3:Q3008 P174:P214 U204:V204">
    <cfRule type="containsText" dxfId="2" priority="19659" operator="containsText" text="Yes">
      <formula>NOT(ISERROR(SEARCH(("Yes"),(Q3))))</formula>
    </cfRule>
  </conditionalFormatting>
  <conditionalFormatting sqref="Q3:Q3008 P174:P214 U204:V204">
    <cfRule type="containsText" dxfId="2" priority="19660" operator="containsText" text="Yes">
      <formula>NOT(ISERROR(SEARCH(("Yes"),(Q3))))</formula>
    </cfRule>
  </conditionalFormatting>
  <conditionalFormatting sqref="Q3:Q3008 P174:P214 U204:V204">
    <cfRule type="containsText" dxfId="2" priority="19661" operator="containsText" text="Yes">
      <formula>NOT(ISERROR(SEARCH(("Yes"),(Q3))))</formula>
    </cfRule>
  </conditionalFormatting>
  <conditionalFormatting sqref="Q3:Q3008 P174:P214 U204:V204">
    <cfRule type="containsText" dxfId="2" priority="19662" operator="containsText" text="Yes">
      <formula>NOT(ISERROR(SEARCH(("Yes"),(Q3))))</formula>
    </cfRule>
  </conditionalFormatting>
  <conditionalFormatting sqref="Q3:Q3008 P174:P214 U204:V204">
    <cfRule type="containsText" dxfId="2" priority="19663" operator="containsText" text="Yes">
      <formula>NOT(ISERROR(SEARCH(("Yes"),(Q3))))</formula>
    </cfRule>
  </conditionalFormatting>
  <conditionalFormatting sqref="Q3:Q3008 P174:P214 U204:V204">
    <cfRule type="containsText" dxfId="2" priority="19664" operator="containsText" text="Yes">
      <formula>NOT(ISERROR(SEARCH(("Yes"),(Q3))))</formula>
    </cfRule>
  </conditionalFormatting>
  <conditionalFormatting sqref="Q3:Q3008 P174:P214 U204:V204">
    <cfRule type="containsText" dxfId="2" priority="19665" operator="containsText" text="Yes">
      <formula>NOT(ISERROR(SEARCH(("Yes"),(Q3))))</formula>
    </cfRule>
  </conditionalFormatting>
  <conditionalFormatting sqref="Q3:Q3008 P174:P214 U204:V204">
    <cfRule type="containsText" dxfId="2" priority="19666" operator="containsText" text="Yes">
      <formula>NOT(ISERROR(SEARCH(("Yes"),(Q3))))</formula>
    </cfRule>
  </conditionalFormatting>
  <conditionalFormatting sqref="Q3:Q3008 P174:P214 U204:V204">
    <cfRule type="containsText" dxfId="2" priority="19667" operator="containsText" text="Yes">
      <formula>NOT(ISERROR(SEARCH(("Yes"),(Q3))))</formula>
    </cfRule>
  </conditionalFormatting>
  <conditionalFormatting sqref="Q3:Q3008 P174:P214 U204:V204">
    <cfRule type="containsText" dxfId="2" priority="19668" operator="containsText" text="Yes">
      <formula>NOT(ISERROR(SEARCH(("Yes"),(Q3))))</formula>
    </cfRule>
  </conditionalFormatting>
  <conditionalFormatting sqref="Q3:Q3008 P174:P214 U204:V204">
    <cfRule type="containsText" dxfId="2" priority="19669" operator="containsText" text="Yes">
      <formula>NOT(ISERROR(SEARCH(("Yes"),(Q3))))</formula>
    </cfRule>
  </conditionalFormatting>
  <conditionalFormatting sqref="Q3:Q3008 P174:P214 U204:V204">
    <cfRule type="containsText" dxfId="2" priority="19670" operator="containsText" text="Yes">
      <formula>NOT(ISERROR(SEARCH(("Yes"),(Q3))))</formula>
    </cfRule>
  </conditionalFormatting>
  <conditionalFormatting sqref="Q3:Q3008 P174:P214 U204:V204">
    <cfRule type="containsText" dxfId="2" priority="19671" operator="containsText" text="Yes">
      <formula>NOT(ISERROR(SEARCH(("Yes"),(Q3))))</formula>
    </cfRule>
  </conditionalFormatting>
  <conditionalFormatting sqref="Q3:Q3008 P174:P214 U204:V204">
    <cfRule type="containsText" dxfId="2" priority="19672" operator="containsText" text="Yes">
      <formula>NOT(ISERROR(SEARCH(("Yes"),(Q3))))</formula>
    </cfRule>
  </conditionalFormatting>
  <conditionalFormatting sqref="Q3:Q3008 P174:P214 U204:V204">
    <cfRule type="containsText" dxfId="2" priority="19673" operator="containsText" text="Yes">
      <formula>NOT(ISERROR(SEARCH(("Yes"),(Q3))))</formula>
    </cfRule>
  </conditionalFormatting>
  <conditionalFormatting sqref="Q3:Q3008 P174:P214 U204:V204">
    <cfRule type="containsText" dxfId="2" priority="19674" operator="containsText" text="Yes">
      <formula>NOT(ISERROR(SEARCH(("Yes"),(Q3))))</formula>
    </cfRule>
  </conditionalFormatting>
  <conditionalFormatting sqref="Q3:Q3008 P174:P214 U204:V204">
    <cfRule type="containsText" dxfId="2" priority="19675" operator="containsText" text="Yes">
      <formula>NOT(ISERROR(SEARCH(("Yes"),(Q3))))</formula>
    </cfRule>
  </conditionalFormatting>
  <conditionalFormatting sqref="Q3:Q3008 P174:P214 U204:V204">
    <cfRule type="containsText" dxfId="2" priority="19676" operator="containsText" text="Yes">
      <formula>NOT(ISERROR(SEARCH(("Yes"),(Q3))))</formula>
    </cfRule>
  </conditionalFormatting>
  <conditionalFormatting sqref="Q3:Q3008 P174:P214 U204:V204">
    <cfRule type="containsText" dxfId="2" priority="19677" operator="containsText" text="Yes">
      <formula>NOT(ISERROR(SEARCH(("Yes"),(Q3))))</formula>
    </cfRule>
  </conditionalFormatting>
  <conditionalFormatting sqref="Q3:Q3008 P174:P214 U204:V204">
    <cfRule type="containsText" dxfId="2" priority="19678" operator="containsText" text="Yes">
      <formula>NOT(ISERROR(SEARCH(("Yes"),(Q3))))</formula>
    </cfRule>
  </conditionalFormatting>
  <conditionalFormatting sqref="Q3:Q3008 P174:P214 U204:V204">
    <cfRule type="containsText" dxfId="2" priority="19679" operator="containsText" text="Yes">
      <formula>NOT(ISERROR(SEARCH(("Yes"),(Q3))))</formula>
    </cfRule>
  </conditionalFormatting>
  <conditionalFormatting sqref="Q3:Q3008 P174:P214 U204:V204">
    <cfRule type="containsText" dxfId="2" priority="19680" operator="containsText" text="Yes">
      <formula>NOT(ISERROR(SEARCH(("Yes"),(Q3))))</formula>
    </cfRule>
  </conditionalFormatting>
  <conditionalFormatting sqref="Q3:Q3008 P174:P214 U204:V204">
    <cfRule type="containsText" dxfId="2" priority="19681" operator="containsText" text="Yes">
      <formula>NOT(ISERROR(SEARCH(("Yes"),(Q3))))</formula>
    </cfRule>
  </conditionalFormatting>
  <conditionalFormatting sqref="Q3:Q3008 P174:P214 U204:V204">
    <cfRule type="containsText" dxfId="2" priority="19682" operator="containsText" text="Yes">
      <formula>NOT(ISERROR(SEARCH(("Yes"),(Q3))))</formula>
    </cfRule>
  </conditionalFormatting>
  <conditionalFormatting sqref="Q3:Q3008 P174:P214 U204:V204">
    <cfRule type="containsText" dxfId="2" priority="19683" operator="containsText" text="Yes">
      <formula>NOT(ISERROR(SEARCH(("Yes"),(Q3))))</formula>
    </cfRule>
  </conditionalFormatting>
  <conditionalFormatting sqref="Q3:Q3008 P174:P214 U204:V204">
    <cfRule type="containsText" dxfId="2" priority="19684" operator="containsText" text="Yes">
      <formula>NOT(ISERROR(SEARCH(("Yes"),(Q3))))</formula>
    </cfRule>
  </conditionalFormatting>
  <conditionalFormatting sqref="Q3:Q3008 P174:P214 U204:V204">
    <cfRule type="containsText" dxfId="2" priority="19685" operator="containsText" text="Yes">
      <formula>NOT(ISERROR(SEARCH(("Yes"),(Q3))))</formula>
    </cfRule>
  </conditionalFormatting>
  <conditionalFormatting sqref="Q3:Q3008 P174:P214 U204:V204">
    <cfRule type="containsText" dxfId="2" priority="19686" operator="containsText" text="Yes">
      <formula>NOT(ISERROR(SEARCH(("Yes"),(Q3))))</formula>
    </cfRule>
  </conditionalFormatting>
  <conditionalFormatting sqref="N7:N8 N12:N13 N15:N16 N18:N44 P27:Q28 N46:N51 N53:N55 N66:N68 N74:N77">
    <cfRule type="containsText" dxfId="9" priority="19687" operator="containsText" text="No">
      <formula>NOT(ISERROR(SEARCH(("No"),(N7))))</formula>
    </cfRule>
  </conditionalFormatting>
  <conditionalFormatting sqref="N7:N8 N12:N13 N15:N16 N18:N44 P27:Q28 N46:N51 N53:N55 N66:N68 N74:N77">
    <cfRule type="containsText" dxfId="9" priority="19688" operator="containsText" text="No">
      <formula>NOT(ISERROR(SEARCH(("No"),(N7))))</formula>
    </cfRule>
  </conditionalFormatting>
  <conditionalFormatting sqref="N7:N8 N12:N13 N15:N16 N18:N44 P27:Q28 N46:N51 N53:N55 N66:N68 N74:N77">
    <cfRule type="containsText" dxfId="9" priority="19689" operator="containsText" text="No">
      <formula>NOT(ISERROR(SEARCH(("No"),(N7))))</formula>
    </cfRule>
  </conditionalFormatting>
  <conditionalFormatting sqref="N7:N8 N12:N13 N15:N16 N18:N44 P27:Q28 N46:N51 N53:N55 N66:N68 N74:N77">
    <cfRule type="containsText" dxfId="9" priority="19690" operator="containsText" text="No">
      <formula>NOT(ISERROR(SEARCH(("No"),(N7))))</formula>
    </cfRule>
  </conditionalFormatting>
  <conditionalFormatting sqref="N7:N8 N12:N13 N15:N16 N18:N44 P27:Q28 N46:N51 N53:N55 N66:N68 N74:N77">
    <cfRule type="containsText" dxfId="9" priority="19691" operator="containsText" text="No">
      <formula>NOT(ISERROR(SEARCH(("No"),(N7))))</formula>
    </cfRule>
  </conditionalFormatting>
  <conditionalFormatting sqref="N7:N8 N12:N13 N15:N16 N18:N44 P27:Q28 N46:N51 N53:N55 N66:N68 N74:N77">
    <cfRule type="containsText" dxfId="9" priority="19692" operator="containsText" text="No">
      <formula>NOT(ISERROR(SEARCH(("No"),(N7))))</formula>
    </cfRule>
  </conditionalFormatting>
  <conditionalFormatting sqref="N7:N8 N12:N13 N15:N16 N18:N44 P27:Q28 N46:N51 N53:N55 N66:N68 N74:N77">
    <cfRule type="containsText" dxfId="9" priority="19693" operator="containsText" text="No">
      <formula>NOT(ISERROR(SEARCH(("No"),(N7))))</formula>
    </cfRule>
  </conditionalFormatting>
  <conditionalFormatting sqref="N7:N8 N12:N13 N15:N16 N18:N44 P27:Q28 N46:N51 N53:N55 N66:N68 N74:N77">
    <cfRule type="containsText" dxfId="9" priority="19694" operator="containsText" text="No">
      <formula>NOT(ISERROR(SEARCH(("No"),(N7))))</formula>
    </cfRule>
  </conditionalFormatting>
  <conditionalFormatting sqref="N7:N8 N12:N13 N15:N16 N18:N44 P27:Q28 N46:N51 N53:N55 N66:N68 N74:N77">
    <cfRule type="containsText" dxfId="9" priority="19695" operator="containsText" text="No">
      <formula>NOT(ISERROR(SEARCH(("No"),(N7))))</formula>
    </cfRule>
  </conditionalFormatting>
  <conditionalFormatting sqref="N7:N8 N12:N13 N15:N16 N18:N44 P27:Q28 N46:N51 N53:N55 N66:N68 N74:N77">
    <cfRule type="containsText" dxfId="9" priority="19696" operator="containsText" text="No">
      <formula>NOT(ISERROR(SEARCH(("No"),(N7))))</formula>
    </cfRule>
  </conditionalFormatting>
  <conditionalFormatting sqref="N7:N8 N12:N13 N15:N16 N18:N44 P27:Q28 N46:N51 N53:N55 N66:N68 N74:N77">
    <cfRule type="containsText" dxfId="9" priority="19697" operator="containsText" text="No">
      <formula>NOT(ISERROR(SEARCH(("No"),(N7))))</formula>
    </cfRule>
  </conditionalFormatting>
  <conditionalFormatting sqref="N7:N8 N12:N13 N15:N16 N18:N44 P27:Q28 N46:N51 N53:N55 N66:N68 N74:N77">
    <cfRule type="containsText" dxfId="9" priority="19698" operator="containsText" text="No">
      <formula>NOT(ISERROR(SEARCH(("No"),(N7))))</formula>
    </cfRule>
  </conditionalFormatting>
  <conditionalFormatting sqref="N7:N8 N12:N13 N15:N16 N18:N44 P27:Q28 N46:N51 N53:N55 N66:N68 N74:N77">
    <cfRule type="containsText" dxfId="9" priority="19699" operator="containsText" text="No">
      <formula>NOT(ISERROR(SEARCH(("No"),(N7))))</formula>
    </cfRule>
  </conditionalFormatting>
  <conditionalFormatting sqref="N7:N8 N12:N13 N15:N16 N18:N44 P27:Q28 N46:N51 N53:N55 N66:N68 N74:N77">
    <cfRule type="containsText" dxfId="9" priority="19700" operator="containsText" text="No">
      <formula>NOT(ISERROR(SEARCH(("No"),(N7))))</formula>
    </cfRule>
  </conditionalFormatting>
  <conditionalFormatting sqref="N7:N8 N12:N13 N15:N16 N18:N44 P27:Q28 N46:N51 N53:N55 N66:N68 N74:N77">
    <cfRule type="containsText" dxfId="9" priority="19701" operator="containsText" text="No">
      <formula>NOT(ISERROR(SEARCH(("No"),(N7))))</formula>
    </cfRule>
  </conditionalFormatting>
  <conditionalFormatting sqref="N7:N8 N12:N13 N15:N16 N18:N44 P27:Q28 N46:N51 N53:N55 N66:N68 N74:N77">
    <cfRule type="containsText" dxfId="9" priority="19702" operator="containsText" text="No">
      <formula>NOT(ISERROR(SEARCH(("No"),(N7))))</formula>
    </cfRule>
  </conditionalFormatting>
  <conditionalFormatting sqref="N7:N8 N12:N13 N15:N16 N18:N44 P27:Q28 N46:N51 N53:N55 N66:N68 N74:N77">
    <cfRule type="containsText" dxfId="9" priority="19703" operator="containsText" text="No">
      <formula>NOT(ISERROR(SEARCH(("No"),(N7))))</formula>
    </cfRule>
  </conditionalFormatting>
  <conditionalFormatting sqref="N7:N8 N12:N13 N15:N16 N18:N44 P27:Q28 N46:N51 N53:N55 N66:N68 N74:N77">
    <cfRule type="containsText" dxfId="9" priority="19704" operator="containsText" text="No">
      <formula>NOT(ISERROR(SEARCH(("No"),(N7))))</formula>
    </cfRule>
  </conditionalFormatting>
  <conditionalFormatting sqref="N7:N8 N12:N13 N15:N16 N18:N44 P27:Q28 N46:N51 N53:N55 N66:N68 N74:N77">
    <cfRule type="containsText" dxfId="9" priority="19705" operator="containsText" text="No">
      <formula>NOT(ISERROR(SEARCH(("No"),(N7))))</formula>
    </cfRule>
  </conditionalFormatting>
  <conditionalFormatting sqref="N7:N8 N12:N13 N15:N16 N18:N44 P27:Q28 N46:N51 N53:N55 N66:N68 N74:N77">
    <cfRule type="containsText" dxfId="9" priority="19706" operator="containsText" text="No">
      <formula>NOT(ISERROR(SEARCH(("No"),(N7))))</formula>
    </cfRule>
  </conditionalFormatting>
  <conditionalFormatting sqref="N7:N8 N12:N13 N15:N16 N18:N44 P27:Q28 N46:N51 N53:N55 N66:N68 N74:N77">
    <cfRule type="containsText" dxfId="9" priority="19707" operator="containsText" text="No">
      <formula>NOT(ISERROR(SEARCH(("No"),(N7))))</formula>
    </cfRule>
  </conditionalFormatting>
  <conditionalFormatting sqref="N7:N8 N12:N13 N15:N16 N18:N44 P27:Q28 N46:N51 N53:N55 N66:N68 N74:N77">
    <cfRule type="containsText" dxfId="9" priority="19708" operator="containsText" text="No">
      <formula>NOT(ISERROR(SEARCH(("No"),(N7))))</formula>
    </cfRule>
  </conditionalFormatting>
  <conditionalFormatting sqref="N7:N8 N12:N13 N15:N16 N18:N44 P27:Q28 N46:N51 N53:N55 N66:N68 N74:N77">
    <cfRule type="containsText" dxfId="9" priority="19709" operator="containsText" text="No">
      <formula>NOT(ISERROR(SEARCH(("No"),(N7))))</formula>
    </cfRule>
  </conditionalFormatting>
  <conditionalFormatting sqref="N7:N8 N12:N13 N15:N16 N18:N44 P27:Q28 N46:N51 N53:N55 N66:N68 N74:N77">
    <cfRule type="containsText" dxfId="9" priority="19710" operator="containsText" text="No">
      <formula>NOT(ISERROR(SEARCH(("No"),(N7))))</formula>
    </cfRule>
  </conditionalFormatting>
  <conditionalFormatting sqref="N7:N8 N12:N13 N15:N16 N18:N44 P27:Q28 N46:N51 N53:N55 N66:N68 N74:N77">
    <cfRule type="containsText" dxfId="9" priority="19711" operator="containsText" text="No">
      <formula>NOT(ISERROR(SEARCH(("No"),(N7))))</formula>
    </cfRule>
  </conditionalFormatting>
  <conditionalFormatting sqref="N7:N8 N12:N13 N15:N16 N18:N44 P27:Q28 N46:N51 N53:N55 N66:N68 N74:N77">
    <cfRule type="containsText" dxfId="9" priority="19712" operator="containsText" text="No">
      <formula>NOT(ISERROR(SEARCH(("No"),(N7))))</formula>
    </cfRule>
  </conditionalFormatting>
  <conditionalFormatting sqref="N7:N8 N12:N13 N15:N16 N18:N44 P27:Q28 N46:N51 N53:N55 N66:N68 N74:N77">
    <cfRule type="containsText" dxfId="9" priority="19713" operator="containsText" text="No">
      <formula>NOT(ISERROR(SEARCH(("No"),(N7))))</formula>
    </cfRule>
  </conditionalFormatting>
  <conditionalFormatting sqref="N7:N8 N12:N13 N15:N16 N18:N44 P27:Q28 N46:N51 N53:N55 N66:N68 N74:N77">
    <cfRule type="containsText" dxfId="9" priority="19714" operator="containsText" text="No">
      <formula>NOT(ISERROR(SEARCH(("No"),(N7))))</formula>
    </cfRule>
  </conditionalFormatting>
  <conditionalFormatting sqref="N7:N8 N12:N13 N15:N16 N18:N44 P27:Q28 N46:N51 N53:N55 N66:N68 N74:N77">
    <cfRule type="containsText" dxfId="9" priority="19715" operator="containsText" text="No">
      <formula>NOT(ISERROR(SEARCH(("No"),(N7))))</formula>
    </cfRule>
  </conditionalFormatting>
  <conditionalFormatting sqref="N7:N8 N12:N13 N15:N16 N18:N44 P27:Q28 N46:N51 N53:N55 N66:N68 N74:N77">
    <cfRule type="containsText" dxfId="9" priority="19716" operator="containsText" text="No">
      <formula>NOT(ISERROR(SEARCH(("No"),(N7))))</formula>
    </cfRule>
  </conditionalFormatting>
  <conditionalFormatting sqref="N7:N8 N12:N13 N15:N16 N18:N44 P27:Q28 N46:N51 N53:N55 N66:N68 N74:N77">
    <cfRule type="containsText" dxfId="9" priority="19717" operator="containsText" text="No">
      <formula>NOT(ISERROR(SEARCH(("No"),(N7))))</formula>
    </cfRule>
  </conditionalFormatting>
  <conditionalFormatting sqref="N7:N8 N12:N13 N15:N16 N18:N44 P27:Q28 N46:N51 N53:N55 N66:N68 N74:N77">
    <cfRule type="containsText" dxfId="9" priority="19718" operator="containsText" text="No">
      <formula>NOT(ISERROR(SEARCH(("No"),(N7))))</formula>
    </cfRule>
  </conditionalFormatting>
  <conditionalFormatting sqref="N7:N8 N12:N13 N15:N16 N18:N44 P27:Q28 N46:N51 N53:N55 N66:N68 N74:N77">
    <cfRule type="containsText" dxfId="9" priority="19719" operator="containsText" text="No">
      <formula>NOT(ISERROR(SEARCH(("No"),(N7))))</formula>
    </cfRule>
  </conditionalFormatting>
  <conditionalFormatting sqref="N7:N8 N12:N13 N15:N16 N18:N44 P27:Q28 N46:N51 N53:N55 N66:N68 N74:N77">
    <cfRule type="containsText" dxfId="9" priority="19720" operator="containsText" text="No">
      <formula>NOT(ISERROR(SEARCH(("No"),(N7))))</formula>
    </cfRule>
  </conditionalFormatting>
  <conditionalFormatting sqref="N7:N8 N12:N13 N15:N16 N18:N44 P27:Q28 N46:N51 N53:N55 N66:N68 N74:N77">
    <cfRule type="containsText" dxfId="9" priority="19721" operator="containsText" text="No">
      <formula>NOT(ISERROR(SEARCH(("No"),(N7))))</formula>
    </cfRule>
  </conditionalFormatting>
  <conditionalFormatting sqref="N7:N8 N12:N13 N15:N16 N18:N44 P27:Q28 N46:N51 N53:N55 N66:N68 N74:N77">
    <cfRule type="containsText" dxfId="9" priority="19722" operator="containsText" text="No">
      <formula>NOT(ISERROR(SEARCH(("No"),(N7))))</formula>
    </cfRule>
  </conditionalFormatting>
  <conditionalFormatting sqref="N7:N8 N12:N13 N15:N16 N18:N44 P27:Q28 N46:N51 N53:N55 N66:N68 N74:N77">
    <cfRule type="containsText" dxfId="9" priority="19723" operator="containsText" text="No">
      <formula>NOT(ISERROR(SEARCH(("No"),(N7))))</formula>
    </cfRule>
  </conditionalFormatting>
  <conditionalFormatting sqref="N7:N8 N12:N13 N15:N16 N18:N44 P27:Q28 N46:N51 N53:N55 N66:N68 N74:N77">
    <cfRule type="containsText" dxfId="9" priority="19724" operator="containsText" text="No">
      <formula>NOT(ISERROR(SEARCH(("No"),(N7))))</formula>
    </cfRule>
  </conditionalFormatting>
  <conditionalFormatting sqref="N7:N8 N12:N13 N15:N16 N18:N44 P27:Q28 N46:N51 N53:N55 N66:N68 N74:N77">
    <cfRule type="containsText" dxfId="9" priority="19725" operator="containsText" text="No">
      <formula>NOT(ISERROR(SEARCH(("No"),(N7))))</formula>
    </cfRule>
  </conditionalFormatting>
  <conditionalFormatting sqref="N7:N8 N12:N13 N15:N16 N18:N44 P27:Q28 N46:N51 N53:N55 N66:N68 N74:N77">
    <cfRule type="containsText" dxfId="9" priority="19726" operator="containsText" text="No">
      <formula>NOT(ISERROR(SEARCH(("No"),(N7))))</formula>
    </cfRule>
  </conditionalFormatting>
  <conditionalFormatting sqref="N7:N8 N12:N13 N15:N16 N18:N44 P27:Q28 N46:N51 N53:N55 N66:N68 N74:N77">
    <cfRule type="containsText" dxfId="9" priority="19727" operator="containsText" text="No">
      <formula>NOT(ISERROR(SEARCH(("No"),(N7))))</formula>
    </cfRule>
  </conditionalFormatting>
  <conditionalFormatting sqref="N7:N8 N12:N13 N15:N16 N18:N44 P27:Q28 N46:N51 N53:N55 N66:N68 N74:N77">
    <cfRule type="containsText" dxfId="9" priority="19728" operator="containsText" text="No">
      <formula>NOT(ISERROR(SEARCH(("No"),(N7))))</formula>
    </cfRule>
  </conditionalFormatting>
  <conditionalFormatting sqref="N7:N8 N12:N13 N15:N16 N18:N44 P27:Q28 N46:N51 N53:N55 N66:N68 N74:N77">
    <cfRule type="containsText" dxfId="9" priority="19729" operator="containsText" text="No">
      <formula>NOT(ISERROR(SEARCH(("No"),(N7))))</formula>
    </cfRule>
  </conditionalFormatting>
  <conditionalFormatting sqref="N7:N8 N12:N13 N15:N16 N18:N44 P27:Q28 N46:N51 N53:N55 N66:N68 N74:N77">
    <cfRule type="containsText" dxfId="9" priority="19730" operator="containsText" text="No">
      <formula>NOT(ISERROR(SEARCH(("No"),(N7))))</formula>
    </cfRule>
  </conditionalFormatting>
  <conditionalFormatting sqref="N7:N8 N12:N13 N15:N16 N18:N44 P27:Q28 N46:N51 N53:N55 N66:N68 N74:N77">
    <cfRule type="containsText" dxfId="9" priority="19731" operator="containsText" text="No">
      <formula>NOT(ISERROR(SEARCH(("No"),(N7))))</formula>
    </cfRule>
  </conditionalFormatting>
  <conditionalFormatting sqref="N7:N8 N12:N13 N15:N16 N18:N44 P27:Q28 N46:N51 N53:N55 N66:N68 N74:N77">
    <cfRule type="containsText" dxfId="2" priority="19732" operator="containsText" text="Yes">
      <formula>NOT(ISERROR(SEARCH(("Yes"),(N7))))</formula>
    </cfRule>
  </conditionalFormatting>
  <conditionalFormatting sqref="N7:N8 N12:N13 N15:N16 N18:N44 P27:Q28 N46:N51 N53:N55 N66:N68 N74:N77">
    <cfRule type="containsText" dxfId="2" priority="19733" operator="containsText" text="Yes">
      <formula>NOT(ISERROR(SEARCH(("Yes"),(N7))))</formula>
    </cfRule>
  </conditionalFormatting>
  <conditionalFormatting sqref="N7:N8 N12:N13 N15:N16 N18:N44 P27:Q28 N46:N51 N53:N55 N66:N68 N74:N77">
    <cfRule type="containsText" dxfId="2" priority="19734" operator="containsText" text="Yes">
      <formula>NOT(ISERROR(SEARCH(("Yes"),(N7))))</formula>
    </cfRule>
  </conditionalFormatting>
  <conditionalFormatting sqref="N7:N8 N12:N13 N15:N16 N18:N44 P27:Q28 N46:N51 N53:N55 N66:N68 N74:N77">
    <cfRule type="containsText" dxfId="2" priority="19735" operator="containsText" text="Yes">
      <formula>NOT(ISERROR(SEARCH(("Yes"),(N7))))</formula>
    </cfRule>
  </conditionalFormatting>
  <conditionalFormatting sqref="N7:N8 N12:N13 N15:N16 N18:N44 P27:Q28 N46:N51 N53:N55 N66:N68 N74:N77">
    <cfRule type="containsText" dxfId="2" priority="19736" operator="containsText" text="Yes">
      <formula>NOT(ISERROR(SEARCH(("Yes"),(N7))))</formula>
    </cfRule>
  </conditionalFormatting>
  <conditionalFormatting sqref="N7:N8 N12:N13 N15:N16 N18:N44 P27:Q28 N46:N51 N53:N55 N66:N68 N74:N77">
    <cfRule type="containsText" dxfId="2" priority="19737" operator="containsText" text="Yes">
      <formula>NOT(ISERROR(SEARCH(("Yes"),(N7))))</formula>
    </cfRule>
  </conditionalFormatting>
  <conditionalFormatting sqref="N7:N8 N12:N13 N15:N16 N18:N44 P27:Q28 N46:N51 N53:N55 N66:N68 N74:N77">
    <cfRule type="containsText" dxfId="2" priority="19738" operator="containsText" text="Yes">
      <formula>NOT(ISERROR(SEARCH(("Yes"),(N7))))</formula>
    </cfRule>
  </conditionalFormatting>
  <conditionalFormatting sqref="N7:N8 N12:N13 N15:N16 N18:N44 P27:Q28 N46:N51 N53:N55 N66:N68 N74:N77">
    <cfRule type="containsText" dxfId="2" priority="19739" operator="containsText" text="Yes">
      <formula>NOT(ISERROR(SEARCH(("Yes"),(N7))))</formula>
    </cfRule>
  </conditionalFormatting>
  <conditionalFormatting sqref="N7:N8 N12:N13 N15:N16 N18:N44 P27:Q28 N46:N51 N53:N55 N66:N68 N74:N77">
    <cfRule type="containsText" dxfId="2" priority="19740" operator="containsText" text="Yes">
      <formula>NOT(ISERROR(SEARCH(("Yes"),(N7))))</formula>
    </cfRule>
  </conditionalFormatting>
  <conditionalFormatting sqref="N7:N8 N12:N13 N15:N16 N18:N44 P27:Q28 N46:N51 N53:N55 N66:N68 N74:N77">
    <cfRule type="containsText" dxfId="2" priority="19741" operator="containsText" text="Yes">
      <formula>NOT(ISERROR(SEARCH(("Yes"),(N7))))</formula>
    </cfRule>
  </conditionalFormatting>
  <conditionalFormatting sqref="N7:N8 N12:N13 N15:N16 N18:N44 P27:Q28 N46:N51 N53:N55 N66:N68 N74:N77">
    <cfRule type="containsText" dxfId="2" priority="19742" operator="containsText" text="Yes">
      <formula>NOT(ISERROR(SEARCH(("Yes"),(N7))))</formula>
    </cfRule>
  </conditionalFormatting>
  <conditionalFormatting sqref="N7:N8 N12:N13 N15:N16 N18:N44 P27:Q28 N46:N51 N53:N55 N66:N68 N74:N77">
    <cfRule type="containsText" dxfId="2" priority="19743" operator="containsText" text="Yes">
      <formula>NOT(ISERROR(SEARCH(("Yes"),(N7))))</formula>
    </cfRule>
  </conditionalFormatting>
  <conditionalFormatting sqref="N7:N8 N12:N13 N15:N16 N18:N44 P27:Q28 N46:N51 N53:N55 N66:N68 N74:N77">
    <cfRule type="containsText" dxfId="2" priority="19744" operator="containsText" text="Yes">
      <formula>NOT(ISERROR(SEARCH(("Yes"),(N7))))</formula>
    </cfRule>
  </conditionalFormatting>
  <conditionalFormatting sqref="N7:N8 N12:N13 N15:N16 N18:N44 P27:Q28 N46:N51 N53:N55 N66:N68 N74:N77">
    <cfRule type="containsText" dxfId="2" priority="19745" operator="containsText" text="Yes">
      <formula>NOT(ISERROR(SEARCH(("Yes"),(N7))))</formula>
    </cfRule>
  </conditionalFormatting>
  <conditionalFormatting sqref="N7:N8 N12:N13 N15:N16 N18:N44 P27:Q28 N46:N51 N53:N55 N66:N68 N74:N77">
    <cfRule type="containsText" dxfId="2" priority="19746" operator="containsText" text="Yes">
      <formula>NOT(ISERROR(SEARCH(("Yes"),(N7))))</formula>
    </cfRule>
  </conditionalFormatting>
  <conditionalFormatting sqref="N7:N8 N12:N13 N15:N16 N18:N44 P27:Q28 N46:N51 N53:N55 N66:N68 N74:N77">
    <cfRule type="containsText" dxfId="2" priority="19747" operator="containsText" text="Yes">
      <formula>NOT(ISERROR(SEARCH(("Yes"),(N7))))</formula>
    </cfRule>
  </conditionalFormatting>
  <conditionalFormatting sqref="N7:N8 N12:N13 N15:N16 N18:N44 P27:Q28 N46:N51 N53:N55 N66:N68 N74:N77">
    <cfRule type="containsText" dxfId="2" priority="19748" operator="containsText" text="Yes">
      <formula>NOT(ISERROR(SEARCH(("Yes"),(N7))))</formula>
    </cfRule>
  </conditionalFormatting>
  <conditionalFormatting sqref="N7:N8 N12:N13 N15:N16 N18:N44 P27:Q28 N46:N51 N53:N55 N66:N68 N74:N77">
    <cfRule type="containsText" dxfId="2" priority="19749" operator="containsText" text="Yes">
      <formula>NOT(ISERROR(SEARCH(("Yes"),(N7))))</formula>
    </cfRule>
  </conditionalFormatting>
  <conditionalFormatting sqref="N7:N8 N12:N13 N15:N16 N18:N44 P27:Q28 N46:N51 N53:N55 N66:N68 N74:N77">
    <cfRule type="containsText" dxfId="2" priority="19750" operator="containsText" text="Yes">
      <formula>NOT(ISERROR(SEARCH(("Yes"),(N7))))</formula>
    </cfRule>
  </conditionalFormatting>
  <conditionalFormatting sqref="N7:N8 N12:N13 N15:N16 N18:N44 P27:Q28 N46:N51 N53:N55 N66:N68 N74:N77">
    <cfRule type="containsText" dxfId="2" priority="19751" operator="containsText" text="Yes">
      <formula>NOT(ISERROR(SEARCH(("Yes"),(N7))))</formula>
    </cfRule>
  </conditionalFormatting>
  <conditionalFormatting sqref="N7:N8 N12:N13 N15:N16 N18:N44 P27:Q28 N46:N51 N53:N55 N66:N68 N74:N77">
    <cfRule type="containsText" dxfId="2" priority="19752" operator="containsText" text="Yes">
      <formula>NOT(ISERROR(SEARCH(("Yes"),(N7))))</formula>
    </cfRule>
  </conditionalFormatting>
  <conditionalFormatting sqref="N7:N8 N12:N13 N15:N16 N18:N44 P27:Q28 N46:N51 N53:N55 N66:N68 N74:N77">
    <cfRule type="containsText" dxfId="2" priority="19753" operator="containsText" text="Yes">
      <formula>NOT(ISERROR(SEARCH(("Yes"),(N7))))</formula>
    </cfRule>
  </conditionalFormatting>
  <conditionalFormatting sqref="N7:N8 N12:N13 N15:N16 N18:N44 P27:Q28 N46:N51 N53:N55 N66:N68 N74:N77">
    <cfRule type="containsText" dxfId="2" priority="19754" operator="containsText" text="Yes">
      <formula>NOT(ISERROR(SEARCH(("Yes"),(N7))))</formula>
    </cfRule>
  </conditionalFormatting>
  <conditionalFormatting sqref="N7:N8 N12:N13 N15:N16 N18:N44 P27:Q28 N46:N51 N53:N55 N66:N68 N74:N77">
    <cfRule type="containsText" dxfId="2" priority="19755" operator="containsText" text="Yes">
      <formula>NOT(ISERROR(SEARCH(("Yes"),(N7))))</formula>
    </cfRule>
  </conditionalFormatting>
  <conditionalFormatting sqref="N7:N8 N12:N13 N15:N16 N18:N44 P27:Q28 N46:N51 N53:N55 N66:N68 N74:N77">
    <cfRule type="containsText" dxfId="2" priority="19756" operator="containsText" text="Yes">
      <formula>NOT(ISERROR(SEARCH(("Yes"),(N7))))</formula>
    </cfRule>
  </conditionalFormatting>
  <conditionalFormatting sqref="N7:N8 N12:N13 N15:N16 N18:N44 P27:Q28 N46:N51 N53:N55 N66:N68 N74:N77">
    <cfRule type="containsText" dxfId="2" priority="19757" operator="containsText" text="Yes">
      <formula>NOT(ISERROR(SEARCH(("Yes"),(N7))))</formula>
    </cfRule>
  </conditionalFormatting>
  <conditionalFormatting sqref="N7:N8 N12:N13 N15:N16 N18:N44 P27:Q28 N46:N51 N53:N55 N66:N68 N74:N77">
    <cfRule type="containsText" dxfId="2" priority="19758" operator="containsText" text="Yes">
      <formula>NOT(ISERROR(SEARCH(("Yes"),(N7))))</formula>
    </cfRule>
  </conditionalFormatting>
  <conditionalFormatting sqref="N7:N8 N12:N13 N15:N16 N18:N44 P27:Q28 N46:N51 N53:N55 N66:N68 N74:N77">
    <cfRule type="containsText" dxfId="2" priority="19759" operator="containsText" text="Yes">
      <formula>NOT(ISERROR(SEARCH(("Yes"),(N7))))</formula>
    </cfRule>
  </conditionalFormatting>
  <conditionalFormatting sqref="N7:N8 N12:N13 N15:N16 N18:N44 P27:Q28 N46:N51 N53:N55 N66:N68 N74:N77">
    <cfRule type="containsText" dxfId="2" priority="19760" operator="containsText" text="Yes">
      <formula>NOT(ISERROR(SEARCH(("Yes"),(N7))))</formula>
    </cfRule>
  </conditionalFormatting>
  <conditionalFormatting sqref="N7:N8 N12:N13 N15:N16 N18:N44 P27:Q28 N46:N51 N53:N55 N66:N68 N74:N77">
    <cfRule type="containsText" dxfId="2" priority="19761" operator="containsText" text="Yes">
      <formula>NOT(ISERROR(SEARCH(("Yes"),(N7))))</formula>
    </cfRule>
  </conditionalFormatting>
  <conditionalFormatting sqref="N7:N8 N12:N13 N15:N16 N18:N44 P27:Q28 N46:N51 N53:N55 N66:N68 N74:N77">
    <cfRule type="containsText" dxfId="2" priority="19762" operator="containsText" text="Yes">
      <formula>NOT(ISERROR(SEARCH(("Yes"),(N7))))</formula>
    </cfRule>
  </conditionalFormatting>
  <conditionalFormatting sqref="N7:N8 N12:N13 N15:N16 N18:N44 P27:Q28 N46:N51 N53:N55 N66:N68 N74:N77">
    <cfRule type="containsText" dxfId="2" priority="19763" operator="containsText" text="Yes">
      <formula>NOT(ISERROR(SEARCH(("Yes"),(N7))))</formula>
    </cfRule>
  </conditionalFormatting>
  <conditionalFormatting sqref="N7:N8 N12:N13 N15:N16 N18:N44 P27:Q28 N46:N51 N53:N55 N66:N68 N74:N77">
    <cfRule type="containsText" dxfId="2" priority="19764" operator="containsText" text="Yes">
      <formula>NOT(ISERROR(SEARCH(("Yes"),(N7))))</formula>
    </cfRule>
  </conditionalFormatting>
  <conditionalFormatting sqref="N7:N8 N12:N13 N15:N16 N18:N44 P27:Q28 N46:N51 N53:N55 N66:N68 N74:N77">
    <cfRule type="containsText" dxfId="2" priority="19765" operator="containsText" text="Yes">
      <formula>NOT(ISERROR(SEARCH(("Yes"),(N7))))</formula>
    </cfRule>
  </conditionalFormatting>
  <conditionalFormatting sqref="N7:N8 N12:N13 N15:N16 N18:N44 P27:Q28 N46:N51 N53:N55 N66:N68 N74:N77">
    <cfRule type="containsText" dxfId="2" priority="19766" operator="containsText" text="Yes">
      <formula>NOT(ISERROR(SEARCH(("Yes"),(N7))))</formula>
    </cfRule>
  </conditionalFormatting>
  <conditionalFormatting sqref="N7:N8 N12:N13 N15:N16 N18:N44 P27:Q28 N46:N51 N53:N55 N66:N68 N74:N77">
    <cfRule type="containsText" dxfId="2" priority="19767" operator="containsText" text="Yes">
      <formula>NOT(ISERROR(SEARCH(("Yes"),(N7))))</formula>
    </cfRule>
  </conditionalFormatting>
  <conditionalFormatting sqref="N7:N8 N12:N13 N15:N16 N18:N44 P27:Q28 N46:N51 N53:N55 N66:N68 N74:N77">
    <cfRule type="containsText" dxfId="2" priority="19768" operator="containsText" text="Yes">
      <formula>NOT(ISERROR(SEARCH(("Yes"),(N7))))</formula>
    </cfRule>
  </conditionalFormatting>
  <conditionalFormatting sqref="N7:N8 N12:N13 N15:N16 N18:N44 P27:Q28 N46:N51 N53:N55 N66:N68 N74:N77">
    <cfRule type="containsText" dxfId="2" priority="19769" operator="containsText" text="Yes">
      <formula>NOT(ISERROR(SEARCH(("Yes"),(N7))))</formula>
    </cfRule>
  </conditionalFormatting>
  <conditionalFormatting sqref="N7:N8 N12:N13 N15:N16 N18:N44 P27:Q28 N46:N51 N53:N55 N66:N68 N74:N77">
    <cfRule type="containsText" dxfId="2" priority="19770" operator="containsText" text="Yes">
      <formula>NOT(ISERROR(SEARCH(("Yes"),(N7))))</formula>
    </cfRule>
  </conditionalFormatting>
  <conditionalFormatting sqref="N7:N8 N12:N13 N15:N16 N18:N44 P27:Q28 N46:N51 N53:N55 N66:N68 N74:N77">
    <cfRule type="containsText" dxfId="2" priority="19771" operator="containsText" text="Yes">
      <formula>NOT(ISERROR(SEARCH(("Yes"),(N7))))</formula>
    </cfRule>
  </conditionalFormatting>
  <conditionalFormatting sqref="N7:N8 N12:N13 N15:N16 N18:N44 P27:Q28 N46:N51 N53:N55 N66:N68 N74:N77">
    <cfRule type="containsText" dxfId="2" priority="19772" operator="containsText" text="Yes">
      <formula>NOT(ISERROR(SEARCH(("Yes"),(N7))))</formula>
    </cfRule>
  </conditionalFormatting>
  <conditionalFormatting sqref="N7:N8 N12:N13 N15:N16 N18:N44 P27:Q28 N46:N51 N53:N55 N66:N68 N74:N77">
    <cfRule type="containsText" dxfId="2" priority="19773" operator="containsText" text="Yes">
      <formula>NOT(ISERROR(SEARCH(("Yes"),(N7))))</formula>
    </cfRule>
  </conditionalFormatting>
  <conditionalFormatting sqref="N7:N8 N12:N13 N15:N16 N18:N44 P27:Q28 N46:N51 N53:N55 N66:N68 N74:N77">
    <cfRule type="containsText" dxfId="2" priority="19774" operator="containsText" text="Yes">
      <formula>NOT(ISERROR(SEARCH(("Yes"),(N7))))</formula>
    </cfRule>
  </conditionalFormatting>
  <conditionalFormatting sqref="N7:N8 N12:N13 N15:N16 N18:N44 P27:Q28 N46:N51 N53:N55 N66:N68 N74:N77">
    <cfRule type="containsText" dxfId="2" priority="19775" operator="containsText" text="Yes">
      <formula>NOT(ISERROR(SEARCH(("Yes"),(N7))))</formula>
    </cfRule>
  </conditionalFormatting>
  <conditionalFormatting sqref="N7:N8 N12:N13 N15:N16 N18:N44 P27:Q28 N46:N51 N53:N55 N66:N68 N74:N77">
    <cfRule type="containsText" dxfId="2" priority="19776" operator="containsText" text="Yes">
      <formula>NOT(ISERROR(SEARCH(("Yes"),(N7))))</formula>
    </cfRule>
  </conditionalFormatting>
  <conditionalFormatting sqref="N7:N8 N12:N13 N15:N16 N18:N44 P27:Q28 N46:N51 N53:N55 N66:N68 N74:N77">
    <cfRule type="containsText" dxfId="2" priority="19777" operator="containsText" text="Yes">
      <formula>NOT(ISERROR(SEARCH(("Yes"),(N7))))</formula>
    </cfRule>
  </conditionalFormatting>
  <conditionalFormatting sqref="N7:N8 N12:N13 N15:N16 N18:N44 P27:Q28 N46:N51 N53:N55 N66:N68 N74:N77">
    <cfRule type="containsText" dxfId="2" priority="19778" operator="containsText" text="Yes">
      <formula>NOT(ISERROR(SEARCH(("Yes"),(N7))))</formula>
    </cfRule>
  </conditionalFormatting>
  <conditionalFormatting sqref="O7:O8 O12:O13 O15:O16 O18:O27 O29:O44 N31:N43 P32:Q33 N46:N51 O46:O49 P50:Q51 N53:O55 N66:O68 N74:O77">
    <cfRule type="containsText" dxfId="9" priority="19779" operator="containsText" text="No">
      <formula>NOT(ISERROR(SEARCH(("No"),(O7))))</formula>
    </cfRule>
  </conditionalFormatting>
  <conditionalFormatting sqref="O7:O8 O12:O13 O15:O16 O18:O27 O29:O44 N31:N43 P32:Q33 N46:N51 O46:O49 P50:Q51 N53:O55 N66:O68 N74:O77">
    <cfRule type="containsText" dxfId="9" priority="19780" operator="containsText" text="No">
      <formula>NOT(ISERROR(SEARCH(("No"),(O7))))</formula>
    </cfRule>
  </conditionalFormatting>
  <conditionalFormatting sqref="O7:O8 O12:O13 O15:O16 O18:O27 O29:O44 N31:N43 P32:Q33 N46:N51 O46:O49 P50:Q51 N53:O55 N66:O68 N74:O77">
    <cfRule type="containsText" dxfId="9" priority="19781" operator="containsText" text="No">
      <formula>NOT(ISERROR(SEARCH(("No"),(O7))))</formula>
    </cfRule>
  </conditionalFormatting>
  <conditionalFormatting sqref="O7:O8 O12:O13 O15:O16 O18:O27 O29:O44 N31:N43 P32:Q33 N46:N51 O46:O49 P50:Q51 N53:O55 N66:O68 N74:O77">
    <cfRule type="containsText" dxfId="9" priority="19782" operator="containsText" text="No">
      <formula>NOT(ISERROR(SEARCH(("No"),(O7))))</formula>
    </cfRule>
  </conditionalFormatting>
  <conditionalFormatting sqref="O7:O8 O12:O13 O15:O16 O18:O27 O29:O44 N31:N43 P32:Q33 N46:N51 O46:O49 P50:Q51 N53:O55 N66:O68 N74:O77">
    <cfRule type="containsText" dxfId="9" priority="19783" operator="containsText" text="No">
      <formula>NOT(ISERROR(SEARCH(("No"),(O7))))</formula>
    </cfRule>
  </conditionalFormatting>
  <conditionalFormatting sqref="O7:O8 O12:O13 O15:O16 O18:O27 O29:O44 N31:N43 P32:Q33 N46:N51 O46:O49 P50:Q51 N53:O55 N66:O68 N74:O77">
    <cfRule type="containsText" dxfId="9" priority="19784" operator="containsText" text="No">
      <formula>NOT(ISERROR(SEARCH(("No"),(O7))))</formula>
    </cfRule>
  </conditionalFormatting>
  <conditionalFormatting sqref="O7:O8 O12:O13 O15:O16 O18:O27 O29:O44 N31:N43 P32:Q33 N46:N51 O46:O49 P50:Q51 N53:O55 N66:O68 N74:O77">
    <cfRule type="containsText" dxfId="9" priority="19785" operator="containsText" text="No">
      <formula>NOT(ISERROR(SEARCH(("No"),(O7))))</formula>
    </cfRule>
  </conditionalFormatting>
  <conditionalFormatting sqref="O7:O8 O12:O13 O15:O16 O18:O27 O29:O44 N31:N43 P32:Q33 N46:N51 O46:O49 P50:Q51 N53:O55 N66:O68 N74:O77">
    <cfRule type="containsText" dxfId="9" priority="19786" operator="containsText" text="No">
      <formula>NOT(ISERROR(SEARCH(("No"),(O7))))</formula>
    </cfRule>
  </conditionalFormatting>
  <conditionalFormatting sqref="O7:O8 O12:O13 O15:O16 O18:O27 O29:O44 N31:N43 P32:Q33 N46:N51 O46:O49 P50:Q51 N53:O55 N66:O68 N74:O77">
    <cfRule type="containsText" dxfId="9" priority="19787" operator="containsText" text="No">
      <formula>NOT(ISERROR(SEARCH(("No"),(O7))))</formula>
    </cfRule>
  </conditionalFormatting>
  <conditionalFormatting sqref="O7:O8 O12:O13 O15:O16 O18:O27 O29:O44 N31:N43 P32:Q33 N46:N51 O46:O49 P50:Q51 N53:O55 N66:O68 N74:O77">
    <cfRule type="containsText" dxfId="9" priority="19788" operator="containsText" text="No">
      <formula>NOT(ISERROR(SEARCH(("No"),(O7))))</formula>
    </cfRule>
  </conditionalFormatting>
  <conditionalFormatting sqref="O7:O8 O12:O13 O15:O16 O18:O27 O29:O44 N31:N43 P32:Q33 N46:N51 O46:O49 P50:Q51 N53:O55 N66:O68 N74:O77">
    <cfRule type="containsText" dxfId="9" priority="19789" operator="containsText" text="No">
      <formula>NOT(ISERROR(SEARCH(("No"),(O7))))</formula>
    </cfRule>
  </conditionalFormatting>
  <conditionalFormatting sqref="O7:O8 O12:O13 O15:O16 O18:O27 O29:O44 N31:N43 P32:Q33 N46:N51 O46:O49 P50:Q51 N53:O55 N66:O68 N74:O77">
    <cfRule type="containsText" dxfId="9" priority="19790" operator="containsText" text="No">
      <formula>NOT(ISERROR(SEARCH(("No"),(O7))))</formula>
    </cfRule>
  </conditionalFormatting>
  <conditionalFormatting sqref="O7:O8 O12:O13 O15:O16 O18:O27 O29:O44 N31:N43 P32:Q33 N46:N51 O46:O49 P50:Q51 N53:O55 N66:O68 N74:O77">
    <cfRule type="containsText" dxfId="9" priority="19791" operator="containsText" text="No">
      <formula>NOT(ISERROR(SEARCH(("No"),(O7))))</formula>
    </cfRule>
  </conditionalFormatting>
  <conditionalFormatting sqref="O7:O8 O12:O13 O15:O16 O18:O27 O29:O44 N31:N43 P32:Q33 N46:N51 O46:O49 P50:Q51 N53:O55 N66:O68 N74:O77">
    <cfRule type="containsText" dxfId="9" priority="19792" operator="containsText" text="No">
      <formula>NOT(ISERROR(SEARCH(("No"),(O7))))</formula>
    </cfRule>
  </conditionalFormatting>
  <conditionalFormatting sqref="O7:O8 O12:O13 O15:O16 O18:O27 O29:O44 N31:N43 P32:Q33 N46:N51 O46:O49 P50:Q51 N53:O55 N66:O68 N74:O77">
    <cfRule type="containsText" dxfId="9" priority="19793" operator="containsText" text="No">
      <formula>NOT(ISERROR(SEARCH(("No"),(O7))))</formula>
    </cfRule>
  </conditionalFormatting>
  <conditionalFormatting sqref="O7:O8 O12:O13 O15:O16 O18:O27 O29:O44 N31:N43 P32:Q33 N46:N51 O46:O49 P50:Q51 N53:O55 N66:O68 N74:O77">
    <cfRule type="containsText" dxfId="9" priority="19794" operator="containsText" text="No">
      <formula>NOT(ISERROR(SEARCH(("No"),(O7))))</formula>
    </cfRule>
  </conditionalFormatting>
  <conditionalFormatting sqref="O7:O8 O12:O13 O15:O16 O18:O27 O29:O44 N31:N43 P32:Q33 N46:N51 O46:O49 P50:Q51 N53:O55 N66:O68 N74:O77">
    <cfRule type="containsText" dxfId="9" priority="19795" operator="containsText" text="No">
      <formula>NOT(ISERROR(SEARCH(("No"),(O7))))</formula>
    </cfRule>
  </conditionalFormatting>
  <conditionalFormatting sqref="O7:O8 O12:O13 O15:O16 O18:O27 O29:O44 N31:N43 P32:Q33 N46:N51 O46:O49 P50:Q51 N53:O55 N66:O68 N74:O77">
    <cfRule type="containsText" dxfId="9" priority="19796" operator="containsText" text="No">
      <formula>NOT(ISERROR(SEARCH(("No"),(O7))))</formula>
    </cfRule>
  </conditionalFormatting>
  <conditionalFormatting sqref="O7:O8 O12:O13 O15:O16 O18:O27 O29:O44 N31:N43 P32:Q33 N46:N51 O46:O49 P50:Q51 N53:O55 N66:O68 N74:O77">
    <cfRule type="containsText" dxfId="9" priority="19797" operator="containsText" text="No">
      <formula>NOT(ISERROR(SEARCH(("No"),(O7))))</formula>
    </cfRule>
  </conditionalFormatting>
  <conditionalFormatting sqref="O7:O8 O12:O13 O15:O16 O18:O27 O29:O44 N31:N43 P32:Q33 N46:N51 O46:O49 P50:Q51 N53:O55 N66:O68 N74:O77">
    <cfRule type="containsText" dxfId="9" priority="19798" operator="containsText" text="No">
      <formula>NOT(ISERROR(SEARCH(("No"),(O7))))</formula>
    </cfRule>
  </conditionalFormatting>
  <conditionalFormatting sqref="O7:O8 O12:O13 O15:O16 O18:O27 O29:O44 N31:N43 P32:Q33 N46:N51 O46:O49 P50:Q51 N53:O55 N66:O68 N74:O77">
    <cfRule type="containsText" dxfId="9" priority="19799" operator="containsText" text="No">
      <formula>NOT(ISERROR(SEARCH(("No"),(O7))))</formula>
    </cfRule>
  </conditionalFormatting>
  <conditionalFormatting sqref="O7:O8 O12:O13 O15:O16 O18:O27 O29:O44 N31:N43 P32:Q33 N46:N51 O46:O49 P50:Q51 N53:O55 N66:O68 N74:O77">
    <cfRule type="containsText" dxfId="9" priority="19800" operator="containsText" text="No">
      <formula>NOT(ISERROR(SEARCH(("No"),(O7))))</formula>
    </cfRule>
  </conditionalFormatting>
  <conditionalFormatting sqref="O7:O8 O12:O13 O15:O16 O18:O27 O29:O44 N31:N43 P32:Q33 N46:N51 O46:O49 P50:Q51 N53:O55 N66:O68 N74:O77">
    <cfRule type="containsText" dxfId="9" priority="19801" operator="containsText" text="No">
      <formula>NOT(ISERROR(SEARCH(("No"),(O7))))</formula>
    </cfRule>
  </conditionalFormatting>
  <conditionalFormatting sqref="O7:O8 O12:O13 O15:O16 O18:O27 O29:O44 N31:N43 P32:Q33 N46:N51 O46:O49 P50:Q51 N53:O55 N66:O68 N74:O77">
    <cfRule type="containsText" dxfId="9" priority="19802" operator="containsText" text="No">
      <formula>NOT(ISERROR(SEARCH(("No"),(O7))))</formula>
    </cfRule>
  </conditionalFormatting>
  <conditionalFormatting sqref="O7:O8 O12:O13 O15:O16 O18:O27 O29:O44 N31:N43 P32:Q33 N46:N51 O46:O49 P50:Q51 N53:O55 N66:O68 N74:O77">
    <cfRule type="containsText" dxfId="9" priority="19803" operator="containsText" text="No">
      <formula>NOT(ISERROR(SEARCH(("No"),(O7))))</formula>
    </cfRule>
  </conditionalFormatting>
  <conditionalFormatting sqref="O7:O8 O12:O13 O15:O16 O18:O27 O29:O44 N31:N43 P32:Q33 N46:N51 O46:O49 P50:Q51 N53:O55 N66:O68 N74:O77">
    <cfRule type="containsText" dxfId="9" priority="19804" operator="containsText" text="No">
      <formula>NOT(ISERROR(SEARCH(("No"),(O7))))</formula>
    </cfRule>
  </conditionalFormatting>
  <conditionalFormatting sqref="O7:O8 O12:O13 O15:O16 O18:O27 O29:O44 N31:N43 P32:Q33 N46:N51 O46:O49 P50:Q51 N53:O55 N66:O68 N74:O77">
    <cfRule type="containsText" dxfId="9" priority="19805" operator="containsText" text="No">
      <formula>NOT(ISERROR(SEARCH(("No"),(O7))))</formula>
    </cfRule>
  </conditionalFormatting>
  <conditionalFormatting sqref="O7:O8 O12:O13 O15:O16 O18:O27 O29:O44 N31:N43 P32:Q33 N46:N51 O46:O49 P50:Q51 N53:O55 N66:O68 N74:O77">
    <cfRule type="containsText" dxfId="9" priority="19806" operator="containsText" text="No">
      <formula>NOT(ISERROR(SEARCH(("No"),(O7))))</formula>
    </cfRule>
  </conditionalFormatting>
  <conditionalFormatting sqref="O7:O8 O12:O13 O15:O16 O18:O27 O29:O44 N31:N43 P32:Q33 N46:N51 O46:O49 P50:Q51 N53:O55 N66:O68 N74:O77">
    <cfRule type="containsText" dxfId="9" priority="19807" operator="containsText" text="No">
      <formula>NOT(ISERROR(SEARCH(("No"),(O7))))</formula>
    </cfRule>
  </conditionalFormatting>
  <conditionalFormatting sqref="O7:O8 O12:O13 O15:O16 O18:O27 O29:O44 N31:N43 P32:Q33 N46:N51 O46:O49 P50:Q51 N53:O55 N66:O68 N74:O77">
    <cfRule type="containsText" dxfId="9" priority="19808" operator="containsText" text="No">
      <formula>NOT(ISERROR(SEARCH(("No"),(O7))))</formula>
    </cfRule>
  </conditionalFormatting>
  <conditionalFormatting sqref="O7:O8 O12:O13 O15:O16 O18:O27 O29:O44 N31:N43 P32:Q33 N46:N51 O46:O49 P50:Q51 N53:O55 N66:O68 N74:O77">
    <cfRule type="containsText" dxfId="9" priority="19809" operator="containsText" text="No">
      <formula>NOT(ISERROR(SEARCH(("No"),(O7))))</formula>
    </cfRule>
  </conditionalFormatting>
  <conditionalFormatting sqref="O7:O8 O12:O13 O15:O16 O18:O27 O29:O44 N31:N43 P32:Q33 N46:N51 O46:O49 P50:Q51 N53:O55 N66:O68 N74:O77">
    <cfRule type="containsText" dxfId="9" priority="19810" operator="containsText" text="No">
      <formula>NOT(ISERROR(SEARCH(("No"),(O7))))</formula>
    </cfRule>
  </conditionalFormatting>
  <conditionalFormatting sqref="O7:O8 O12:O13 O15:O16 O18:O27 O29:O44 N31:N43 P32:Q33 N46:N51 O46:O49 P50:Q51 N53:O55 N66:O68 N74:O77">
    <cfRule type="containsText" dxfId="9" priority="19811" operator="containsText" text="No">
      <formula>NOT(ISERROR(SEARCH(("No"),(O7))))</formula>
    </cfRule>
  </conditionalFormatting>
  <conditionalFormatting sqref="O7:O8 O12:O13 O15:O16 O18:O27 O29:O44 N31:N43 P32:Q33 N46:N51 O46:O49 P50:Q51 N53:O55 N66:O68 N74:O77">
    <cfRule type="containsText" dxfId="9" priority="19812" operator="containsText" text="No">
      <formula>NOT(ISERROR(SEARCH(("No"),(O7))))</formula>
    </cfRule>
  </conditionalFormatting>
  <conditionalFormatting sqref="O7:O8 O12:O13 O15:O16 O18:O27 O29:O44 N31:N43 P32:Q33 N46:N51 O46:O49 P50:Q51 N53:O55 N66:O68 N74:O77">
    <cfRule type="containsText" dxfId="9" priority="19813" operator="containsText" text="No">
      <formula>NOT(ISERROR(SEARCH(("No"),(O7))))</formula>
    </cfRule>
  </conditionalFormatting>
  <conditionalFormatting sqref="O7:O8 O12:O13 O15:O16 O18:O27 O29:O44 N31:N43 P32:Q33 N46:N51 O46:O49 P50:Q51 N53:O55 N66:O68 N74:O77">
    <cfRule type="containsText" dxfId="9" priority="19814" operator="containsText" text="No">
      <formula>NOT(ISERROR(SEARCH(("No"),(O7))))</formula>
    </cfRule>
  </conditionalFormatting>
  <conditionalFormatting sqref="O7:O8 O12:O13 O15:O16 O18:O27 O29:O44 N31:N43 P32:Q33 N46:N51 O46:O49 P50:Q51 N53:O55 N66:O68 N74:O77">
    <cfRule type="containsText" dxfId="9" priority="19815" operator="containsText" text="No">
      <formula>NOT(ISERROR(SEARCH(("No"),(O7))))</formula>
    </cfRule>
  </conditionalFormatting>
  <conditionalFormatting sqref="O7:O8 O12:O13 O15:O16 O18:O27 O29:O44 N31:N43 P32:Q33 N46:N51 O46:O49 P50:Q51 N53:O55 N66:O68 N74:O77">
    <cfRule type="containsText" dxfId="9" priority="19816" operator="containsText" text="No">
      <formula>NOT(ISERROR(SEARCH(("No"),(O7))))</formula>
    </cfRule>
  </conditionalFormatting>
  <conditionalFormatting sqref="O7:O8 O12:O13 O15:O16 O18:O27 O29:O44 N31:N43 P32:Q33 N46:N51 O46:O49 P50:Q51 N53:O55 N66:O68 N74:O77">
    <cfRule type="containsText" dxfId="9" priority="19817" operator="containsText" text="No">
      <formula>NOT(ISERROR(SEARCH(("No"),(O7))))</formula>
    </cfRule>
  </conditionalFormatting>
  <conditionalFormatting sqref="O7:O8 O12:O13 O15:O16 O18:O27 O29:O44 N31:N43 P32:Q33 N46:N51 O46:O49 P50:Q51 N53:O55 N66:O68 N74:O77">
    <cfRule type="containsText" dxfId="9" priority="19818" operator="containsText" text="No">
      <formula>NOT(ISERROR(SEARCH(("No"),(O7))))</formula>
    </cfRule>
  </conditionalFormatting>
  <conditionalFormatting sqref="O7:O8 O12:O13 O15:O16 O18:O27 O29:O44 N31:N43 P32:Q33 N46:N51 O46:O49 P50:Q51 N53:O55 N66:O68 N74:O77">
    <cfRule type="containsText" dxfId="9" priority="19819" operator="containsText" text="No">
      <formula>NOT(ISERROR(SEARCH(("No"),(O7))))</formula>
    </cfRule>
  </conditionalFormatting>
  <conditionalFormatting sqref="O7:O8 O12:O13 O15:O16 O18:O27 O29:O44 N31:N43 P32:Q33 N46:N51 O46:O49 P50:Q51 N53:O55 N66:O68 N74:O77">
    <cfRule type="containsText" dxfId="9" priority="19820" operator="containsText" text="No">
      <formula>NOT(ISERROR(SEARCH(("No"),(O7))))</formula>
    </cfRule>
  </conditionalFormatting>
  <conditionalFormatting sqref="O7:O8 O12:O13 O15:O16 O18:O27 O29:O44 N31:N43 P32:Q33 N46:N51 O46:O49 P50:Q51 N53:O55 N66:O68 N74:O77">
    <cfRule type="containsText" dxfId="9" priority="19821" operator="containsText" text="No">
      <formula>NOT(ISERROR(SEARCH(("No"),(O7))))</formula>
    </cfRule>
  </conditionalFormatting>
  <conditionalFormatting sqref="O7:O8 O12:O13 O15:O16 O18:O27 O29:O44 N31:N43 P32:Q33 N46:N51 O46:O49 P50:Q51 N53:O55 N66:O68 N74:O77">
    <cfRule type="containsText" dxfId="9" priority="19822" operator="containsText" text="No">
      <formula>NOT(ISERROR(SEARCH(("No"),(O7))))</formula>
    </cfRule>
  </conditionalFormatting>
  <conditionalFormatting sqref="O7:O8 O12:O13 O15:O16 O18:O27 O29:O44 N31:N43 P32:Q33 N46:N51 O46:O49 P50:Q51 N53:O55 N66:O68 N74:O77">
    <cfRule type="containsText" dxfId="9" priority="19823" operator="containsText" text="No">
      <formula>NOT(ISERROR(SEARCH(("No"),(O7))))</formula>
    </cfRule>
  </conditionalFormatting>
  <conditionalFormatting sqref="O7:O8 O12:O13 O15:O16 O18:O27 O29:O44 N31:N43 P32:Q33 N46:N51 O46:O49 P50:Q51 N53:O55 N66:O68 N74:O77">
    <cfRule type="containsText" dxfId="2" priority="19824" operator="containsText" text="Yes">
      <formula>NOT(ISERROR(SEARCH(("Yes"),(O7))))</formula>
    </cfRule>
  </conditionalFormatting>
  <conditionalFormatting sqref="O7:O8 O12:O13 O15:O16 O18:O27 O29:O44 N31:N43 P32:Q33 N46:N51 O46:O49 P50:Q51 N53:O55 N66:O68 N74:O77">
    <cfRule type="containsText" dxfId="2" priority="19825" operator="containsText" text="Yes">
      <formula>NOT(ISERROR(SEARCH(("Yes"),(O7))))</formula>
    </cfRule>
  </conditionalFormatting>
  <conditionalFormatting sqref="O7:O8 O12:O13 O15:O16 O18:O27 O29:O44 N31:N43 P32:Q33 N46:N51 O46:O49 P50:Q51 N53:O55 N66:O68 N74:O77">
    <cfRule type="containsText" dxfId="2" priority="19826" operator="containsText" text="Yes">
      <formula>NOT(ISERROR(SEARCH(("Yes"),(O7))))</formula>
    </cfRule>
  </conditionalFormatting>
  <conditionalFormatting sqref="O7:O8 O12:O13 O15:O16 O18:O27 O29:O44 N31:N43 P32:Q33 N46:N51 O46:O49 P50:Q51 N53:O55 N66:O68 N74:O77">
    <cfRule type="containsText" dxfId="2" priority="19827" operator="containsText" text="Yes">
      <formula>NOT(ISERROR(SEARCH(("Yes"),(O7))))</formula>
    </cfRule>
  </conditionalFormatting>
  <conditionalFormatting sqref="O7:O8 O12:O13 O15:O16 O18:O27 O29:O44 N31:N43 P32:Q33 N46:N51 O46:O49 P50:Q51 N53:O55 N66:O68 N74:O77">
    <cfRule type="containsText" dxfId="2" priority="19828" operator="containsText" text="Yes">
      <formula>NOT(ISERROR(SEARCH(("Yes"),(O7))))</formula>
    </cfRule>
  </conditionalFormatting>
  <conditionalFormatting sqref="O7:O8 O12:O13 O15:O16 O18:O27 O29:O44 N31:N43 P32:Q33 N46:N51 O46:O49 P50:Q51 N53:O55 N66:O68 N74:O77">
    <cfRule type="containsText" dxfId="2" priority="19829" operator="containsText" text="Yes">
      <formula>NOT(ISERROR(SEARCH(("Yes"),(O7))))</formula>
    </cfRule>
  </conditionalFormatting>
  <conditionalFormatting sqref="O7:O8 O12:O13 O15:O16 O18:O27 O29:O44 N31:N43 P32:Q33 N46:N51 O46:O49 P50:Q51 N53:O55 N66:O68 N74:O77">
    <cfRule type="containsText" dxfId="2" priority="19830" operator="containsText" text="Yes">
      <formula>NOT(ISERROR(SEARCH(("Yes"),(O7))))</formula>
    </cfRule>
  </conditionalFormatting>
  <conditionalFormatting sqref="O7:O8 O12:O13 O15:O16 O18:O27 O29:O44 N31:N43 P32:Q33 N46:N51 O46:O49 P50:Q51 N53:O55 N66:O68 N74:O77">
    <cfRule type="containsText" dxfId="2" priority="19831" operator="containsText" text="Yes">
      <formula>NOT(ISERROR(SEARCH(("Yes"),(O7))))</formula>
    </cfRule>
  </conditionalFormatting>
  <conditionalFormatting sqref="O7:O8 O12:O13 O15:O16 O18:O27 O29:O44 N31:N43 P32:Q33 N46:N51 O46:O49 P50:Q51 N53:O55 N66:O68 N74:O77">
    <cfRule type="containsText" dxfId="2" priority="19832" operator="containsText" text="Yes">
      <formula>NOT(ISERROR(SEARCH(("Yes"),(O7))))</formula>
    </cfRule>
  </conditionalFormatting>
  <conditionalFormatting sqref="O7:O8 O12:O13 O15:O16 O18:O27 O29:O44 N31:N43 P32:Q33 N46:N51 O46:O49 P50:Q51 N53:O55 N66:O68 N74:O77">
    <cfRule type="containsText" dxfId="2" priority="19833" operator="containsText" text="Yes">
      <formula>NOT(ISERROR(SEARCH(("Yes"),(O7))))</formula>
    </cfRule>
  </conditionalFormatting>
  <conditionalFormatting sqref="O7:O8 O12:O13 O15:O16 O18:O27 O29:O44 N31:N43 P32:Q33 N46:N51 O46:O49 P50:Q51 N53:O55 N66:O68 N74:O77">
    <cfRule type="containsText" dxfId="2" priority="19834" operator="containsText" text="Yes">
      <formula>NOT(ISERROR(SEARCH(("Yes"),(O7))))</formula>
    </cfRule>
  </conditionalFormatting>
  <conditionalFormatting sqref="O7:O8 O12:O13 O15:O16 O18:O27 O29:O44 N31:N43 P32:Q33 N46:N51 O46:O49 P50:Q51 N53:O55 N66:O68 N74:O77">
    <cfRule type="containsText" dxfId="2" priority="19835" operator="containsText" text="Yes">
      <formula>NOT(ISERROR(SEARCH(("Yes"),(O7))))</formula>
    </cfRule>
  </conditionalFormatting>
  <conditionalFormatting sqref="O7:O8 O12:O13 O15:O16 O18:O27 O29:O44 N31:N43 P32:Q33 N46:N51 O46:O49 P50:Q51 N53:O55 N66:O68 N74:O77">
    <cfRule type="containsText" dxfId="2" priority="19836" operator="containsText" text="Yes">
      <formula>NOT(ISERROR(SEARCH(("Yes"),(O7))))</formula>
    </cfRule>
  </conditionalFormatting>
  <conditionalFormatting sqref="O7:O8 O12:O13 O15:O16 O18:O27 O29:O44 N31:N43 P32:Q33 N46:N51 O46:O49 P50:Q51 N53:O55 N66:O68 N74:O77">
    <cfRule type="containsText" dxfId="2" priority="19837" operator="containsText" text="Yes">
      <formula>NOT(ISERROR(SEARCH(("Yes"),(O7))))</formula>
    </cfRule>
  </conditionalFormatting>
  <conditionalFormatting sqref="O7:O8 O12:O13 O15:O16 O18:O27 O29:O44 N31:N43 P32:Q33 N46:N51 O46:O49 P50:Q51 N53:O55 N66:O68 N74:O77">
    <cfRule type="containsText" dxfId="2" priority="19838" operator="containsText" text="Yes">
      <formula>NOT(ISERROR(SEARCH(("Yes"),(O7))))</formula>
    </cfRule>
  </conditionalFormatting>
  <conditionalFormatting sqref="O7:O8 O12:O13 O15:O16 O18:O27 O29:O44 N31:N43 P32:Q33 N46:N51 O46:O49 P50:Q51 N53:O55 N66:O68 N74:O77">
    <cfRule type="containsText" dxfId="2" priority="19839" operator="containsText" text="Yes">
      <formula>NOT(ISERROR(SEARCH(("Yes"),(O7))))</formula>
    </cfRule>
  </conditionalFormatting>
  <conditionalFormatting sqref="O7:O8 O12:O13 O15:O16 O18:O27 O29:O44 N31:N43 P32:Q33 N46:N51 O46:O49 P50:Q51 N53:O55 N66:O68 N74:O77">
    <cfRule type="containsText" dxfId="2" priority="19840" operator="containsText" text="Yes">
      <formula>NOT(ISERROR(SEARCH(("Yes"),(O7))))</formula>
    </cfRule>
  </conditionalFormatting>
  <conditionalFormatting sqref="O7:O8 O12:O13 O15:O16 O18:O27 O29:O44 N31:N43 P32:Q33 N46:N51 O46:O49 P50:Q51 N53:O55 N66:O68 N74:O77">
    <cfRule type="containsText" dxfId="2" priority="19841" operator="containsText" text="Yes">
      <formula>NOT(ISERROR(SEARCH(("Yes"),(O7))))</formula>
    </cfRule>
  </conditionalFormatting>
  <conditionalFormatting sqref="O7:O8 O12:O13 O15:O16 O18:O27 O29:O44 N31:N43 P32:Q33 N46:N51 O46:O49 P50:Q51 N53:O55 N66:O68 N74:O77">
    <cfRule type="containsText" dxfId="2" priority="19842" operator="containsText" text="Yes">
      <formula>NOT(ISERROR(SEARCH(("Yes"),(O7))))</formula>
    </cfRule>
  </conditionalFormatting>
  <conditionalFormatting sqref="O7:O8 O12:O13 O15:O16 O18:O27 O29:O44 N31:N43 P32:Q33 N46:N51 O46:O49 P50:Q51 N53:O55 N66:O68 N74:O77">
    <cfRule type="containsText" dxfId="2" priority="19843" operator="containsText" text="Yes">
      <formula>NOT(ISERROR(SEARCH(("Yes"),(O7))))</formula>
    </cfRule>
  </conditionalFormatting>
  <conditionalFormatting sqref="O7:O8 O12:O13 O15:O16 O18:O27 O29:O44 N31:N43 P32:Q33 N46:N51 O46:O49 P50:Q51 N53:O55 N66:O68 N74:O77">
    <cfRule type="containsText" dxfId="2" priority="19844" operator="containsText" text="Yes">
      <formula>NOT(ISERROR(SEARCH(("Yes"),(O7))))</formula>
    </cfRule>
  </conditionalFormatting>
  <conditionalFormatting sqref="O7:O8 O12:O13 O15:O16 O18:O27 O29:O44 N31:N43 P32:Q33 N46:N51 O46:O49 P50:Q51 N53:O55 N66:O68 N74:O77">
    <cfRule type="containsText" dxfId="2" priority="19845" operator="containsText" text="Yes">
      <formula>NOT(ISERROR(SEARCH(("Yes"),(O7))))</formula>
    </cfRule>
  </conditionalFormatting>
  <conditionalFormatting sqref="O7:O8 O12:O13 O15:O16 O18:O27 O29:O44 N31:N43 P32:Q33 N46:N51 O46:O49 P50:Q51 N53:O55 N66:O68 N74:O77">
    <cfRule type="containsText" dxfId="2" priority="19846" operator="containsText" text="Yes">
      <formula>NOT(ISERROR(SEARCH(("Yes"),(O7))))</formula>
    </cfRule>
  </conditionalFormatting>
  <conditionalFormatting sqref="O7:O8 O12:O13 O15:O16 O18:O27 O29:O44 N31:N43 P32:Q33 N46:N51 O46:O49 P50:Q51 N53:O55 N66:O68 N74:O77">
    <cfRule type="containsText" dxfId="2" priority="19847" operator="containsText" text="Yes">
      <formula>NOT(ISERROR(SEARCH(("Yes"),(O7))))</formula>
    </cfRule>
  </conditionalFormatting>
  <conditionalFormatting sqref="O7:O8 O12:O13 O15:O16 O18:O27 O29:O44 N31:N43 P32:Q33 N46:N51 O46:O49 P50:Q51 N53:O55 N66:O68 N74:O77">
    <cfRule type="containsText" dxfId="2" priority="19848" operator="containsText" text="Yes">
      <formula>NOT(ISERROR(SEARCH(("Yes"),(O7))))</formula>
    </cfRule>
  </conditionalFormatting>
  <conditionalFormatting sqref="O7:O8 O12:O13 O15:O16 O18:O27 O29:O44 N31:N43 P32:Q33 N46:N51 O46:O49 P50:Q51 N53:O55 N66:O68 N74:O77">
    <cfRule type="containsText" dxfId="2" priority="19849" operator="containsText" text="Yes">
      <formula>NOT(ISERROR(SEARCH(("Yes"),(O7))))</formula>
    </cfRule>
  </conditionalFormatting>
  <conditionalFormatting sqref="O7:O8 O12:O13 O15:O16 O18:O27 O29:O44 N31:N43 P32:Q33 N46:N51 O46:O49 P50:Q51 N53:O55 N66:O68 N74:O77">
    <cfRule type="containsText" dxfId="2" priority="19850" operator="containsText" text="Yes">
      <formula>NOT(ISERROR(SEARCH(("Yes"),(O7))))</formula>
    </cfRule>
  </conditionalFormatting>
  <conditionalFormatting sqref="O7:O8 O12:O13 O15:O16 O18:O27 O29:O44 N31:N43 P32:Q33 N46:N51 O46:O49 P50:Q51 N53:O55 N66:O68 N74:O77">
    <cfRule type="containsText" dxfId="2" priority="19851" operator="containsText" text="Yes">
      <formula>NOT(ISERROR(SEARCH(("Yes"),(O7))))</formula>
    </cfRule>
  </conditionalFormatting>
  <conditionalFormatting sqref="O7:O8 O12:O13 O15:O16 O18:O27 O29:O44 N31:N43 P32:Q33 N46:N51 O46:O49 P50:Q51 N53:O55 N66:O68 N74:O77">
    <cfRule type="containsText" dxfId="2" priority="19852" operator="containsText" text="Yes">
      <formula>NOT(ISERROR(SEARCH(("Yes"),(O7))))</formula>
    </cfRule>
  </conditionalFormatting>
  <conditionalFormatting sqref="O7:O8 O12:O13 O15:O16 O18:O27 O29:O44 N31:N43 P32:Q33 N46:N51 O46:O49 P50:Q51 N53:O55 N66:O68 N74:O77">
    <cfRule type="containsText" dxfId="2" priority="19853" operator="containsText" text="Yes">
      <formula>NOT(ISERROR(SEARCH(("Yes"),(O7))))</formula>
    </cfRule>
  </conditionalFormatting>
  <conditionalFormatting sqref="O7:O8 O12:O13 O15:O16 O18:O27 O29:O44 N31:N43 P32:Q33 N46:N51 O46:O49 P50:Q51 N53:O55 N66:O68 N74:O77">
    <cfRule type="containsText" dxfId="2" priority="19854" operator="containsText" text="Yes">
      <formula>NOT(ISERROR(SEARCH(("Yes"),(O7))))</formula>
    </cfRule>
  </conditionalFormatting>
  <conditionalFormatting sqref="O7:O8 O12:O13 O15:O16 O18:O27 O29:O44 N31:N43 P32:Q33 N46:N51 O46:O49 P50:Q51 N53:O55 N66:O68 N74:O77">
    <cfRule type="containsText" dxfId="2" priority="19855" operator="containsText" text="Yes">
      <formula>NOT(ISERROR(SEARCH(("Yes"),(O7))))</formula>
    </cfRule>
  </conditionalFormatting>
  <conditionalFormatting sqref="O7:O8 O12:O13 O15:O16 O18:O27 O29:O44 N31:N43 P32:Q33 N46:N51 O46:O49 P50:Q51 N53:O55 N66:O68 N74:O77">
    <cfRule type="containsText" dxfId="2" priority="19856" operator="containsText" text="Yes">
      <formula>NOT(ISERROR(SEARCH(("Yes"),(O7))))</formula>
    </cfRule>
  </conditionalFormatting>
  <conditionalFormatting sqref="O7:O8 O12:O13 O15:O16 O18:O27 O29:O44 N31:N43 P32:Q33 N46:N51 O46:O49 P50:Q51 N53:O55 N66:O68 N74:O77">
    <cfRule type="containsText" dxfId="2" priority="19857" operator="containsText" text="Yes">
      <formula>NOT(ISERROR(SEARCH(("Yes"),(O7))))</formula>
    </cfRule>
  </conditionalFormatting>
  <conditionalFormatting sqref="O7:O8 O12:O13 O15:O16 O18:O27 O29:O44 N31:N43 P32:Q33 N46:N51 O46:O49 P50:Q51 N53:O55 N66:O68 N74:O77">
    <cfRule type="containsText" dxfId="2" priority="19858" operator="containsText" text="Yes">
      <formula>NOT(ISERROR(SEARCH(("Yes"),(O7))))</formula>
    </cfRule>
  </conditionalFormatting>
  <conditionalFormatting sqref="O7:O8 O12:O13 O15:O16 O18:O27 O29:O44 N31:N43 P32:Q33 N46:N51 O46:O49 P50:Q51 N53:O55 N66:O68 N74:O77">
    <cfRule type="containsText" dxfId="2" priority="19859" operator="containsText" text="Yes">
      <formula>NOT(ISERROR(SEARCH(("Yes"),(O7))))</formula>
    </cfRule>
  </conditionalFormatting>
  <conditionalFormatting sqref="O7:O8 O12:O13 O15:O16 O18:O27 O29:O44 N31:N43 P32:Q33 N46:N51 O46:O49 P50:Q51 N53:O55 N66:O68 N74:O77">
    <cfRule type="containsText" dxfId="2" priority="19860" operator="containsText" text="Yes">
      <formula>NOT(ISERROR(SEARCH(("Yes"),(O7))))</formula>
    </cfRule>
  </conditionalFormatting>
  <conditionalFormatting sqref="O7:O8 O12:O13 O15:O16 O18:O27 O29:O44 N31:N43 P32:Q33 N46:N51 O46:O49 P50:Q51 N53:O55 N66:O68 N74:O77">
    <cfRule type="containsText" dxfId="2" priority="19861" operator="containsText" text="Yes">
      <formula>NOT(ISERROR(SEARCH(("Yes"),(O7))))</formula>
    </cfRule>
  </conditionalFormatting>
  <conditionalFormatting sqref="O7:O8 O12:O13 O15:O16 O18:O27 O29:O44 N31:N43 P32:Q33 N46:N51 O46:O49 P50:Q51 N53:O55 N66:O68 N74:O77">
    <cfRule type="containsText" dxfId="2" priority="19862" operator="containsText" text="Yes">
      <formula>NOT(ISERROR(SEARCH(("Yes"),(O7))))</formula>
    </cfRule>
  </conditionalFormatting>
  <conditionalFormatting sqref="O7:O8 O12:O13 O15:O16 O18:O27 O29:O44 N31:N43 P32:Q33 N46:N51 O46:O49 P50:Q51 N53:O55 N66:O68 N74:O77">
    <cfRule type="containsText" dxfId="2" priority="19863" operator="containsText" text="Yes">
      <formula>NOT(ISERROR(SEARCH(("Yes"),(O7))))</formula>
    </cfRule>
  </conditionalFormatting>
  <conditionalFormatting sqref="O7:O8 O12:O13 O15:O16 O18:O27 O29:O44 N31:N43 P32:Q33 N46:N51 O46:O49 P50:Q51 N53:O55 N66:O68 N74:O77">
    <cfRule type="containsText" dxfId="2" priority="19864" operator="containsText" text="Yes">
      <formula>NOT(ISERROR(SEARCH(("Yes"),(O7))))</formula>
    </cfRule>
  </conditionalFormatting>
  <conditionalFormatting sqref="O7:O8 O12:O13 O15:O16 O18:O27 O29:O44 N31:N43 P32:Q33 N46:N51 O46:O49 P50:Q51 N53:O55 N66:O68 N74:O77">
    <cfRule type="containsText" dxfId="2" priority="19865" operator="containsText" text="Yes">
      <formula>NOT(ISERROR(SEARCH(("Yes"),(O7))))</formula>
    </cfRule>
  </conditionalFormatting>
  <conditionalFormatting sqref="O7:O8 O12:O13 O15:O16 O18:O27 O29:O44 N31:N43 P32:Q33 N46:N51 O46:O49 P50:Q51 N53:O55 N66:O68 N74:O77">
    <cfRule type="containsText" dxfId="2" priority="19866" operator="containsText" text="Yes">
      <formula>NOT(ISERROR(SEARCH(("Yes"),(O7))))</formula>
    </cfRule>
  </conditionalFormatting>
  <conditionalFormatting sqref="O7:O8 O12:O13 O15:O16 O18:O27 O29:O44 N31:N43 P32:Q33 N46:N51 O46:O49 P50:Q51 N53:O55 N66:O68 N74:O77">
    <cfRule type="containsText" dxfId="2" priority="19867" operator="containsText" text="Yes">
      <formula>NOT(ISERROR(SEARCH(("Yes"),(O7))))</formula>
    </cfRule>
  </conditionalFormatting>
  <conditionalFormatting sqref="O7:O8 O12:O13 O15:O16 O18:O27 O29:O44 N31:N43 P32:Q33 N46:N51 O46:O49 P50:Q51 N53:O55 N66:O68 N74:O77">
    <cfRule type="containsText" dxfId="2" priority="19868" operator="containsText" text="Yes">
      <formula>NOT(ISERROR(SEARCH(("Yes"),(O7))))</formula>
    </cfRule>
  </conditionalFormatting>
  <conditionalFormatting sqref="O7:O8 O12:O13 O15:O16 O18:O27 O29:O44 N31:N43 P32:Q33 N46:N51 O46:O49 P50:Q51 N53:O55 N66:O68 N74:O77">
    <cfRule type="containsText" dxfId="2" priority="19869" operator="containsText" text="Yes">
      <formula>NOT(ISERROR(SEARCH(("Yes"),(O7))))</formula>
    </cfRule>
  </conditionalFormatting>
  <conditionalFormatting sqref="O7:O8 O12:O13 O15:O16 O18:O27 O29:O44 N31:N43 P32:Q33 N46:N51 O46:O49 P50:Q51 N53:O55 N66:O68 N74:O77">
    <cfRule type="containsText" dxfId="2" priority="19870" operator="containsText" text="Yes">
      <formula>NOT(ISERROR(SEARCH(("Yes"),(O7))))</formula>
    </cfRule>
  </conditionalFormatting>
  <conditionalFormatting sqref="N8:N83 O13:Q83 N85:N87 O85:Q91 N89:N91 N96:Q99 N102:Q109 N112:Q113 N115:Q118 N121:Q133 N136:Q139 N142:Q143 N146:Q152 N154 O154:O155 P154:Q154 N159:Q159 N161:Q162 N164:O167 P164:Q164 P166:Q167 N170:O170 N172:Q172 N174:Q174 N176:Q176 N180:Q182 N184:Q184">
    <cfRule type="containsText" dxfId="9" priority="19871" operator="containsText" text="No">
      <formula>NOT(ISERROR(SEARCH(("No"),(N8))))</formula>
    </cfRule>
  </conditionalFormatting>
  <conditionalFormatting sqref="N8:N83 O13:Q83 N85:N87 O85:Q91 N89:N91 N96:Q99 N102:Q109 N112:Q113 N115:Q118 N121:Q133 N136:Q139 N142:Q143 N146:Q152 N154 O154:O155 P154:Q154 N159:Q159 N161:Q162 N164:O167 P164:Q164 P166:Q167 N170:O170 N172:Q172 N174:Q174 N176:Q176 N180:Q182 N184:Q184">
    <cfRule type="containsText" dxfId="9" priority="19872" operator="containsText" text="No">
      <formula>NOT(ISERROR(SEARCH(("No"),(N8))))</formula>
    </cfRule>
  </conditionalFormatting>
  <conditionalFormatting sqref="N8:N83 O13:Q83 N85:N87 O85:Q91 N89:N91 N96:Q99 N102:Q109 N112:Q113 N115:Q118 N121:Q133 N136:Q139 N142:Q143 N146:Q152 N154 O154:O155 P154:Q154 N159:Q159 N161:Q162 N164:O167 P164:Q164 P166:Q167 N170:O170 N172:Q172 N174:Q174 N176:Q176 N180:Q182 N184:Q184">
    <cfRule type="containsText" dxfId="9" priority="19873" operator="containsText" text="No">
      <formula>NOT(ISERROR(SEARCH(("No"),(N8))))</formula>
    </cfRule>
  </conditionalFormatting>
  <conditionalFormatting sqref="N8:N83 O13:Q83 N85:N87 O85:Q91 N89:N91 N96:Q99 N102:Q109 N112:Q113 N115:Q118 N121:Q133 N136:Q139 N142:Q143 N146:Q152 N154 O154:O155 P154:Q154 N159:Q159 N161:Q162 N164:O167 P164:Q164 P166:Q167 N170:O170 N172:Q172 N174:Q174 N176:Q176 N180:Q182 N184:Q184">
    <cfRule type="containsText" dxfId="2" priority="19874" operator="containsText" text="Yes">
      <formula>NOT(ISERROR(SEARCH(("Yes"),(N8))))</formula>
    </cfRule>
  </conditionalFormatting>
  <conditionalFormatting sqref="N8:N83 O13:Q83 N85:N87 O85:Q91 N89:N91 N96:Q99 N102:Q109 N112:Q113 N115:Q118 N121:Q133 N136:Q139 N142:Q143 N146:Q152 N154 O154:O155 P154:Q154 N159:Q159 N161:Q162 N164:O167 P164:Q164 P166:Q167 N170:O170 N172:Q172 N174:Q174 N176:Q176 N180:Q182 N184:Q184">
    <cfRule type="containsText" dxfId="2" priority="19875" operator="containsText" text="Yes">
      <formula>NOT(ISERROR(SEARCH(("Yes"),(N8))))</formula>
    </cfRule>
  </conditionalFormatting>
  <conditionalFormatting sqref="N8:N83 O13:Q83 N85:N87 O85:Q91 N89:N91 N96:Q99 N102:Q109 N112:Q113 N115:Q118 N121:Q133 N136:Q139 N142:Q143 N146:Q152 N154 O154:O155 P154:Q154 N159:Q159 N161:Q162 N164:O167 P164:Q164 P166:Q167 N170:O170 N172:Q172 N174:Q174 N176:Q176 N180:Q182 N184:Q184">
    <cfRule type="containsText" dxfId="2" priority="19876" operator="containsText" text="Yes">
      <formula>NOT(ISERROR(SEARCH(("Yes"),(N8))))</formula>
    </cfRule>
  </conditionalFormatting>
  <conditionalFormatting sqref="N8:N83 O13:Q83 N85:N87 O85:Q91 N89:N91 N96:Q99 N102:Q109 N112:Q113 N115:Q118 N121:Q133 N136:Q139 N142:Q143 N146:Q152 N154 O154:O155 P154:Q154 N159:Q159 N161:Q162 N164:O167 P164:Q164 P166:Q167 N170:O170 N172:Q172 N174:Q174 N176:Q176 N180:Q182 N184:Q184">
    <cfRule type="containsText" dxfId="2" priority="19877" operator="containsText" text="Yes">
      <formula>NOT(ISERROR(SEARCH(("Yes"),(N8))))</formula>
    </cfRule>
  </conditionalFormatting>
  <conditionalFormatting sqref="N8:N83 O13:Q83 N85:N87 O85:Q91 N89:N91 N96:Q99 N102:Q109 N112:Q113 N115:Q118 N121:Q133 N136:Q139 N142:Q143 N146:Q152 N154 O154:O155 P154:Q154 N159:Q159 N161:Q162 N164:O167 P164:Q164 P166:Q167 N170:O170 N172:Q172 N174:Q174 N176:Q176 N180:Q182 N184:Q184">
    <cfRule type="containsText" dxfId="2" priority="19878" operator="containsText" text="Yes">
      <formula>NOT(ISERROR(SEARCH(("Yes"),(N8))))</formula>
    </cfRule>
  </conditionalFormatting>
  <conditionalFormatting sqref="N8:N83 O13:Q83 N85:N87 O85:Q91 N89:N91 N96:Q99 N102:Q109 N112:Q113 N115:Q118 N121:Q133 N136:Q139 N142:Q143 N146:Q152 N154 O154:O155 P154:Q154 N159:Q159 N161:Q162 N164:O167 P164:Q164 P166:Q167 N170:O170 N172:Q172 N174:Q174 N176:Q176 N180:Q182 N184:Q184">
    <cfRule type="containsText" dxfId="9" priority="19879" operator="containsText" text="No">
      <formula>NOT(ISERROR(SEARCH(("No"),(N8))))</formula>
    </cfRule>
  </conditionalFormatting>
  <conditionalFormatting sqref="N8:N83 O13:Q83 N85:N87 O85:Q91 N89:N91 N96:Q99 N102:Q109 N112:Q113 N115:Q118 N121:Q133 N136:Q139 N142:Q143 N146:Q152 N154 O154:O155 P154:Q154 N159:Q159 N161:Q162 N164:O167 P164:Q164 P166:Q167 N170:O170 N172:Q172 N174:Q174 N176:Q176 N180:Q182 N184:Q184">
    <cfRule type="containsText" dxfId="9" priority="19880" operator="containsText" text="No">
      <formula>NOT(ISERROR(SEARCH(("No"),(N8))))</formula>
    </cfRule>
  </conditionalFormatting>
  <conditionalFormatting sqref="N8:N83 O13:Q83 N85:N87 O85:Q91 N89:N91 N96:Q99 N102:Q109 N112:Q113 N115:Q118 N121:Q133 N136:Q139 N142:Q143 N146:Q152 N154 O154:O155 P154:Q154 N159:Q159 N161:Q162 N164:O167 P164:Q164 P166:Q167 N170:O170 N172:Q172 N174:Q174 N176:Q176 N180:Q182 N184:Q184">
    <cfRule type="containsText" dxfId="2" priority="19881" operator="containsText" text="Yes">
      <formula>NOT(ISERROR(SEARCH(("Yes"),(N8))))</formula>
    </cfRule>
  </conditionalFormatting>
  <conditionalFormatting sqref="O8:O49 P13:Q14 P19:Q20 P22:Q27 N31:N43 P32:Q33 N46:N51 P50:Q51 N53:N55 O53:O82 N66:N68 N74:N77 O85:O91 O96:O99 O104:O109 O112:O113 O115:O118 O121:O133 O136:O139 N139 O142:O143 O146:O152 O154:O155 O159 O161:O162 N162 N164:O167 N170:O170 N172:O172 N174:O174 N176:O176 N180:O182 N184:O184">
    <cfRule type="containsText" dxfId="9" priority="19882" operator="containsText" text="No">
      <formula>NOT(ISERROR(SEARCH(("No"),(O8))))</formula>
    </cfRule>
  </conditionalFormatting>
  <conditionalFormatting sqref="O8:O49 P13:Q14 P19:Q20 P22:Q27 N31:N43 P32:Q33 N46:N51 P50:Q51 N53:N55 O53:O82 N66:N68 N74:N77 O85:O91 O96:O99 O104:O109 O112:O113 O115:O118 O121:O133 O136:O139 N139 O142:O143 O146:O152 O154:O155 O159 O161:O162 N162 N164:O167 N170:O170 N172:O172 N174:O174 N176:O176 N180:O182 N184:O184">
    <cfRule type="containsText" dxfId="9" priority="19883" operator="containsText" text="No">
      <formula>NOT(ISERROR(SEARCH(("No"),(O8))))</formula>
    </cfRule>
  </conditionalFormatting>
  <conditionalFormatting sqref="O8:O49 P13:Q14 P19:Q20 P22:Q27 N31:N43 P32:Q33 N46:N51 P50:Q51 N53:N55 O53:O82 N66:N68 N74:N77 O85:O91 O96:O99 O104:O109 O112:O113 O115:O118 O121:O133 O136:O139 N139 O142:O143 O146:O152 O154:O155 O159 O161:O162 N162 N164:O167 N170:O170 N172:O172 N174:O174 N176:O176 N180:O182 N184:O184">
    <cfRule type="containsText" dxfId="9" priority="19884" operator="containsText" text="No">
      <formula>NOT(ISERROR(SEARCH(("No"),(O8))))</formula>
    </cfRule>
  </conditionalFormatting>
  <conditionalFormatting sqref="O8:O49 P13:Q14 P19:Q20 P22:Q27 N31:N43 P32:Q33 N46:N51 P50:Q51 N53:N55 O53:O82 N66:N68 N74:N77 O85:O91 O96:O99 O104:O109 O112:O113 O115:O118 O121:O133 O136:O139 N139 O142:O143 O146:O152 O154:O155 O159 O161:O162 N162 N164:O167 N170:O170 N172:O172 N174:O174 N176:O176 N180:O182 N184:O184">
    <cfRule type="containsText" dxfId="2" priority="19885" operator="containsText" text="Yes">
      <formula>NOT(ISERROR(SEARCH(("Yes"),(O8))))</formula>
    </cfRule>
  </conditionalFormatting>
  <conditionalFormatting sqref="O8:O49 P13:Q14 P19:Q20 P22:Q27 N31:N43 P32:Q33 N46:N51 P50:Q51 N53:N55 O53:O82 N66:N68 N74:N77 O85:O91 O96:O99 O104:O109 O112:O113 O115:O118 O121:O133 O136:O139 N139 O142:O143 O146:O152 O154:O155 O159 O161:O162 N162 N164:O167 N170:O170 N172:O172 N174:O174 N176:O176 N180:O182 N184:O184">
    <cfRule type="containsText" dxfId="2" priority="19886" operator="containsText" text="Yes">
      <formula>NOT(ISERROR(SEARCH(("Yes"),(O8))))</formula>
    </cfRule>
  </conditionalFormatting>
  <conditionalFormatting sqref="O8:O49 P13:Q14 P19:Q20 P22:Q27 N31:N43 P32:Q33 N46:N51 P50:Q51 N53:N55 O53:O82 N66:N68 N74:N77 O85:O91 O96:O99 O104:O109 O112:O113 O115:O118 O121:O133 O136:O139 N139 O142:O143 O146:O152 O154:O155 O159 O161:O162 N162 N164:O167 N170:O170 N172:O172 N174:O174 N176:O176 N180:O182 N184:O184">
    <cfRule type="containsText" dxfId="2" priority="19887" operator="containsText" text="Yes">
      <formula>NOT(ISERROR(SEARCH(("Yes"),(O8))))</formula>
    </cfRule>
  </conditionalFormatting>
  <conditionalFormatting sqref="O8:O49 P13:Q14 P19:Q20 P22:Q27 N31:N43 P32:Q33 N46:N51 P50:Q51 N53:N55 O53:O82 N66:N68 N74:N77 O85:O91 O96:O99 O104:O109 O112:O113 O115:O118 O121:O133 O136:O139 N139 O142:O143 O146:O152 O154:O155 O159 O161:O162 N162 N164:O167 N170:O170 N172:O172 N174:O174 N176:O176 N180:O182 N184:O184">
    <cfRule type="containsText" dxfId="2" priority="19888" operator="containsText" text="Yes">
      <formula>NOT(ISERROR(SEARCH(("Yes"),(O8))))</formula>
    </cfRule>
  </conditionalFormatting>
  <conditionalFormatting sqref="O8:O49 P13:Q14 P19:Q20 P22:Q27 N31:N43 P32:Q33 N46:N51 P50:Q51 N53:N55 O53:O82 N66:N68 N74:N77 O85:O91 O96:O99 O104:O109 O112:O113 O115:O118 O121:O133 O136:O139 N139 O142:O143 O146:O152 O154:O155 O159 O161:O162 N162 N164:O167 N170:O170 N172:O172 N174:O174 N176:O176 N180:O182 N184:O184">
    <cfRule type="containsText" dxfId="2" priority="19889" operator="containsText" text="Yes">
      <formula>NOT(ISERROR(SEARCH(("Yes"),(O8))))</formula>
    </cfRule>
  </conditionalFormatting>
  <conditionalFormatting sqref="O8:O49 P13:Q14 P19:Q20 P22:Q27 N31:N43 P32:Q33 N46:N51 P50:Q51 N53:N55 O53:O82 N66:N68 N74:N77 O85:O91 O96:O99 O104:O109 O112:O113 O115:O118 O121:O133 O136:O139 N139 O142:O143 O146:O152 O154:O155 O159 O161:O162 N162 N164:O167 N170:O170 N172:O172 N174:O174 N176:O176 N180:O182 N184:O184">
    <cfRule type="containsText" dxfId="9" priority="19890" operator="containsText" text="No">
      <formula>NOT(ISERROR(SEARCH(("No"),(O8))))</formula>
    </cfRule>
  </conditionalFormatting>
  <conditionalFormatting sqref="O8:O49 P13:Q14 P19:Q20 P22:Q27 N31:N43 P32:Q33 N46:N51 P50:Q51 N53:N55 O53:O82 N66:N68 N74:N77 O85:O91 O96:O99 O104:O109 O112:O113 O115:O118 O121:O133 O136:O139 N139 O142:O143 O146:O152 O154:O155 O159 O161:O162 N162 N164:O167 N170:O170 N172:O172 N174:O174 N176:O176 N180:O182 N184:O184">
    <cfRule type="containsText" dxfId="9" priority="19891" operator="containsText" text="No">
      <formula>NOT(ISERROR(SEARCH(("No"),(O8))))</formula>
    </cfRule>
  </conditionalFormatting>
  <conditionalFormatting sqref="O8:O49 P13:Q14 P19:Q20 P22:Q27 N31:N43 P32:Q33 N46:N51 P50:Q51 N53:N55 O53:O82 N66:N68 N74:N77 O85:O91 O96:O99 O104:O109 O112:O113 O115:O118 O121:O133 O136:O139 N139 O142:O143 O146:O152 O154:O155 O159 O161:O162 N162 N164:O167 N170:O170 N172:O172 N174:O174 N176:O176 N180:O182 N184:O184">
    <cfRule type="containsText" dxfId="2" priority="19892" operator="containsText" text="Yes">
      <formula>NOT(ISERROR(SEARCH(("Yes"),(O8))))</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893"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894"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895"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896"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897"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898"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899"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00"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01"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02"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03"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04"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05"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06"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07"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08"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09"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10"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11"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12"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13"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14"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15"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16"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17"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18"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19"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20"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21"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22"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23"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24"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25"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26"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27"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28"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29"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30"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31"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32"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33"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34"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35"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36"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9" priority="19937" operator="containsText" text="No">
      <formula>NOT(ISERROR(SEARCH(("No"),(N11))))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38"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39"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40"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41"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42"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43"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44"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45"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46"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47"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48"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49"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50"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51"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52"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53"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54"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55"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56"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57"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58"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59"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60"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61"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62"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63"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64"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65"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66"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67"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68"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69"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70"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71"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72"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73"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74"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75"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76"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77"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78"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79"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80"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81"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82"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83" operator="containsText" text="Yes">
      <formula>NOT(ISERROR(SEARCH(("Yes"),(N11))))</formula>
    </cfRule>
  </conditionalFormatting>
  <conditionalFormatting sqref="N11:N83 O13:Q83 N85:N87 O85:Q91 N89:N91 N96:Q99 N102:Q109 N112:Q113 N115:Q118 N121:Q133 N136:Q139 N142:Q143 N146:Q152 N154 O154:O155 P154:Q154 N159:Q159 N161:Q162 N164:O167 P164:Q164 P166:Q167 N170:O170 N172:Q172 N174:Q174 N176:Q176 N180:Q182 N184:Q184">
    <cfRule type="containsText" dxfId="2" priority="19984" operator="containsText" text="Yes">
      <formula>NOT(ISERROR(SEARCH(("Yes"),(N11))))</formula>
    </cfRule>
  </conditionalFormatting>
  <conditionalFormatting sqref="O11:O44 P13:Q14 P19:Q20 P22:Q27 N31:N43 P32:Q33 N46:N51 O46:O49 P50:Q51 N53:O55 N66:O68 N74:O77">
    <cfRule type="containsText" dxfId="9" priority="19985" operator="containsText" text="No">
      <formula>NOT(ISERROR(SEARCH(("No"),(O11))))</formula>
    </cfRule>
  </conditionalFormatting>
  <conditionalFormatting sqref="O11:O44 P13:Q14 P19:Q20 P22:Q27 N31:N43 P32:Q33 N46:N51 O46:O49 P50:Q51 N53:O55 N66:O68 N74:O77">
    <cfRule type="containsText" dxfId="9" priority="19986" operator="containsText" text="No">
      <formula>NOT(ISERROR(SEARCH(("No"),(O11))))</formula>
    </cfRule>
  </conditionalFormatting>
  <conditionalFormatting sqref="O11:O44 P13:Q14 P19:Q20 P22:Q27 N31:N43 P32:Q33 N46:N51 O46:O49 P50:Q51 N53:O55 N66:O68 N74:O77">
    <cfRule type="containsText" dxfId="9" priority="19987" operator="containsText" text="No">
      <formula>NOT(ISERROR(SEARCH(("No"),(O11))))</formula>
    </cfRule>
  </conditionalFormatting>
  <conditionalFormatting sqref="O11:O44 P13:Q14 P19:Q20 P22:Q27 N31:N43 P32:Q33 N46:N51 O46:O49 P50:Q51 N53:O55 N66:O68 N74:O77">
    <cfRule type="containsText" dxfId="9" priority="19988" operator="containsText" text="No">
      <formula>NOT(ISERROR(SEARCH(("No"),(O11))))</formula>
    </cfRule>
  </conditionalFormatting>
  <conditionalFormatting sqref="O11:O44 P13:Q14 P19:Q20 P22:Q27 N31:N43 P32:Q33 N46:N51 O46:O49 P50:Q51 N53:O55 N66:O68 N74:O77">
    <cfRule type="containsText" dxfId="9" priority="19989" operator="containsText" text="No">
      <formula>NOT(ISERROR(SEARCH(("No"),(O11))))</formula>
    </cfRule>
  </conditionalFormatting>
  <conditionalFormatting sqref="O11:O44 P13:Q14 P19:Q20 P22:Q27 N31:N43 P32:Q33 N46:N51 O46:O49 P50:Q51 N53:O55 N66:O68 N74:O77">
    <cfRule type="containsText" dxfId="9" priority="19990" operator="containsText" text="No">
      <formula>NOT(ISERROR(SEARCH(("No"),(O11))))</formula>
    </cfRule>
  </conditionalFormatting>
  <conditionalFormatting sqref="O11:O44 P13:Q14 P19:Q20 P22:Q27 N31:N43 P32:Q33 N46:N51 O46:O49 P50:Q51 N53:O55 N66:O68 N74:O77">
    <cfRule type="containsText" dxfId="9" priority="19991" operator="containsText" text="No">
      <formula>NOT(ISERROR(SEARCH(("No"),(O11))))</formula>
    </cfRule>
  </conditionalFormatting>
  <conditionalFormatting sqref="O11:O44 P13:Q14 P19:Q20 P22:Q27 N31:N43 P32:Q33 N46:N51 O46:O49 P50:Q51 N53:O55 N66:O68 N74:O77">
    <cfRule type="containsText" dxfId="9" priority="19992" operator="containsText" text="No">
      <formula>NOT(ISERROR(SEARCH(("No"),(O11))))</formula>
    </cfRule>
  </conditionalFormatting>
  <conditionalFormatting sqref="O11:O44 P13:Q14 P19:Q20 P22:Q27 N31:N43 P32:Q33 N46:N51 O46:O49 P50:Q51 N53:O55 N66:O68 N74:O77">
    <cfRule type="containsText" dxfId="9" priority="19993" operator="containsText" text="No">
      <formula>NOT(ISERROR(SEARCH(("No"),(O11))))</formula>
    </cfRule>
  </conditionalFormatting>
  <conditionalFormatting sqref="O11:O44 P13:Q14 P19:Q20 P22:Q27 N31:N43 P32:Q33 N46:N51 O46:O49 P50:Q51 N53:O55 N66:O68 N74:O77">
    <cfRule type="containsText" dxfId="9" priority="19994" operator="containsText" text="No">
      <formula>NOT(ISERROR(SEARCH(("No"),(O11))))</formula>
    </cfRule>
  </conditionalFormatting>
  <conditionalFormatting sqref="O11:O44 P13:Q14 P19:Q20 P22:Q27 N31:N43 P32:Q33 N46:N51 O46:O49 P50:Q51 N53:O55 N66:O68 N74:O77">
    <cfRule type="containsText" dxfId="9" priority="19995" operator="containsText" text="No">
      <formula>NOT(ISERROR(SEARCH(("No"),(O11))))</formula>
    </cfRule>
  </conditionalFormatting>
  <conditionalFormatting sqref="O11:O44 P13:Q14 P19:Q20 P22:Q27 N31:N43 P32:Q33 N46:N51 O46:O49 P50:Q51 N53:O55 N66:O68 N74:O77">
    <cfRule type="containsText" dxfId="9" priority="19996" operator="containsText" text="No">
      <formula>NOT(ISERROR(SEARCH(("No"),(O11))))</formula>
    </cfRule>
  </conditionalFormatting>
  <conditionalFormatting sqref="O11:O44 P13:Q14 P19:Q20 P22:Q27 N31:N43 P32:Q33 N46:N51 O46:O49 P50:Q51 N53:O55 N66:O68 N74:O77">
    <cfRule type="containsText" dxfId="9" priority="19997" operator="containsText" text="No">
      <formula>NOT(ISERROR(SEARCH(("No"),(O11))))</formula>
    </cfRule>
  </conditionalFormatting>
  <conditionalFormatting sqref="O11:O44 P13:Q14 P19:Q20 P22:Q27 N31:N43 P32:Q33 N46:N51 O46:O49 P50:Q51 N53:O55 N66:O68 N74:O77">
    <cfRule type="containsText" dxfId="9" priority="19998" operator="containsText" text="No">
      <formula>NOT(ISERROR(SEARCH(("No"),(O11))))</formula>
    </cfRule>
  </conditionalFormatting>
  <conditionalFormatting sqref="O11:O44 P13:Q14 P19:Q20 P22:Q27 N31:N43 P32:Q33 N46:N51 O46:O49 P50:Q51 N53:O55 N66:O68 N74:O77">
    <cfRule type="containsText" dxfId="9" priority="19999" operator="containsText" text="No">
      <formula>NOT(ISERROR(SEARCH(("No"),(O11))))</formula>
    </cfRule>
  </conditionalFormatting>
  <conditionalFormatting sqref="O11:O44 P13:Q14 P19:Q20 P22:Q27 N31:N43 P32:Q33 N46:N51 O46:O49 P50:Q51 N53:O55 N66:O68 N74:O77">
    <cfRule type="containsText" dxfId="9" priority="20000" operator="containsText" text="No">
      <formula>NOT(ISERROR(SEARCH(("No"),(O11))))</formula>
    </cfRule>
  </conditionalFormatting>
  <conditionalFormatting sqref="O11:O44 P13:Q14 P19:Q20 P22:Q27 N31:N43 P32:Q33 N46:N51 O46:O49 P50:Q51 N53:O55 N66:O68 N74:O77">
    <cfRule type="containsText" dxfId="9" priority="20001" operator="containsText" text="No">
      <formula>NOT(ISERROR(SEARCH(("No"),(O11))))</formula>
    </cfRule>
  </conditionalFormatting>
  <conditionalFormatting sqref="O11:O44 P13:Q14 P19:Q20 P22:Q27 N31:N43 P32:Q33 N46:N51 O46:O49 P50:Q51 N53:O55 N66:O68 N74:O77">
    <cfRule type="containsText" dxfId="9" priority="20002" operator="containsText" text="No">
      <formula>NOT(ISERROR(SEARCH(("No"),(O11))))</formula>
    </cfRule>
  </conditionalFormatting>
  <conditionalFormatting sqref="O11:O44 P13:Q14 P19:Q20 P22:Q27 N31:N43 P32:Q33 N46:N51 O46:O49 P50:Q51 N53:O55 N66:O68 N74:O77">
    <cfRule type="containsText" dxfId="9" priority="20003" operator="containsText" text="No">
      <formula>NOT(ISERROR(SEARCH(("No"),(O11))))</formula>
    </cfRule>
  </conditionalFormatting>
  <conditionalFormatting sqref="O11:O44 P13:Q14 P19:Q20 P22:Q27 N31:N43 P32:Q33 N46:N51 O46:O49 P50:Q51 N53:O55 N66:O68 N74:O77">
    <cfRule type="containsText" dxfId="9" priority="20004" operator="containsText" text="No">
      <formula>NOT(ISERROR(SEARCH(("No"),(O11))))</formula>
    </cfRule>
  </conditionalFormatting>
  <conditionalFormatting sqref="O11:O44 P13:Q14 P19:Q20 P22:Q27 N31:N43 P32:Q33 N46:N51 O46:O49 P50:Q51 N53:O55 N66:O68 N74:O77">
    <cfRule type="containsText" dxfId="9" priority="20005" operator="containsText" text="No">
      <formula>NOT(ISERROR(SEARCH(("No"),(O11))))</formula>
    </cfRule>
  </conditionalFormatting>
  <conditionalFormatting sqref="O11:O44 P13:Q14 P19:Q20 P22:Q27 N31:N43 P32:Q33 N46:N51 O46:O49 P50:Q51 N53:O55 N66:O68 N74:O77">
    <cfRule type="containsText" dxfId="9" priority="20006" operator="containsText" text="No">
      <formula>NOT(ISERROR(SEARCH(("No"),(O11))))</formula>
    </cfRule>
  </conditionalFormatting>
  <conditionalFormatting sqref="O11:O44 P13:Q14 P19:Q20 P22:Q27 N31:N43 P32:Q33 N46:N51 O46:O49 P50:Q51 N53:O55 N66:O68 N74:O77">
    <cfRule type="containsText" dxfId="9" priority="20007" operator="containsText" text="No">
      <formula>NOT(ISERROR(SEARCH(("No"),(O11))))</formula>
    </cfRule>
  </conditionalFormatting>
  <conditionalFormatting sqref="O11:O44 P13:Q14 P19:Q20 P22:Q27 N31:N43 P32:Q33 N46:N51 O46:O49 P50:Q51 N53:O55 N66:O68 N74:O77">
    <cfRule type="containsText" dxfId="9" priority="20008" operator="containsText" text="No">
      <formula>NOT(ISERROR(SEARCH(("No"),(O11))))</formula>
    </cfRule>
  </conditionalFormatting>
  <conditionalFormatting sqref="O11:O44 P13:Q14 P19:Q20 P22:Q27 N31:N43 P32:Q33 N46:N51 O46:O49 P50:Q51 N53:O55 N66:O68 N74:O77">
    <cfRule type="containsText" dxfId="9" priority="20009" operator="containsText" text="No">
      <formula>NOT(ISERROR(SEARCH(("No"),(O11))))</formula>
    </cfRule>
  </conditionalFormatting>
  <conditionalFormatting sqref="O11:O44 P13:Q14 P19:Q20 P22:Q27 N31:N43 P32:Q33 N46:N51 O46:O49 P50:Q51 N53:O55 N66:O68 N74:O77">
    <cfRule type="containsText" dxfId="9" priority="20010" operator="containsText" text="No">
      <formula>NOT(ISERROR(SEARCH(("No"),(O11))))</formula>
    </cfRule>
  </conditionalFormatting>
  <conditionalFormatting sqref="O11:O44 P13:Q14 P19:Q20 P22:Q27 N31:N43 P32:Q33 N46:N51 O46:O49 P50:Q51 N53:O55 N66:O68 N74:O77">
    <cfRule type="containsText" dxfId="9" priority="20011" operator="containsText" text="No">
      <formula>NOT(ISERROR(SEARCH(("No"),(O11))))</formula>
    </cfRule>
  </conditionalFormatting>
  <conditionalFormatting sqref="O11:O44 P13:Q14 P19:Q20 P22:Q27 N31:N43 P32:Q33 N46:N51 O46:O49 P50:Q51 N53:O55 N66:O68 N74:O77">
    <cfRule type="containsText" dxfId="9" priority="20012" operator="containsText" text="No">
      <formula>NOT(ISERROR(SEARCH(("No"),(O11))))</formula>
    </cfRule>
  </conditionalFormatting>
  <conditionalFormatting sqref="O11:O44 P13:Q14 P19:Q20 P22:Q27 N31:N43 P32:Q33 N46:N51 O46:O49 P50:Q51 N53:O55 N66:O68 N74:O77">
    <cfRule type="containsText" dxfId="9" priority="20013" operator="containsText" text="No">
      <formula>NOT(ISERROR(SEARCH(("No"),(O11))))</formula>
    </cfRule>
  </conditionalFormatting>
  <conditionalFormatting sqref="O11:O44 P13:Q14 P19:Q20 P22:Q27 N31:N43 P32:Q33 N46:N51 O46:O49 P50:Q51 N53:O55 N66:O68 N74:O77">
    <cfRule type="containsText" dxfId="9" priority="20014" operator="containsText" text="No">
      <formula>NOT(ISERROR(SEARCH(("No"),(O11))))</formula>
    </cfRule>
  </conditionalFormatting>
  <conditionalFormatting sqref="O11:O44 P13:Q14 P19:Q20 P22:Q27 N31:N43 P32:Q33 N46:N51 O46:O49 P50:Q51 N53:O55 N66:O68 N74:O77">
    <cfRule type="containsText" dxfId="9" priority="20015" operator="containsText" text="No">
      <formula>NOT(ISERROR(SEARCH(("No"),(O11))))</formula>
    </cfRule>
  </conditionalFormatting>
  <conditionalFormatting sqref="O11:O44 P13:Q14 P19:Q20 P22:Q27 N31:N43 P32:Q33 N46:N51 O46:O49 P50:Q51 N53:O55 N66:O68 N74:O77">
    <cfRule type="containsText" dxfId="9" priority="20016" operator="containsText" text="No">
      <formula>NOT(ISERROR(SEARCH(("No"),(O11))))</formula>
    </cfRule>
  </conditionalFormatting>
  <conditionalFormatting sqref="O11:O44 P13:Q14 P19:Q20 P22:Q27 N31:N43 P32:Q33 N46:N51 O46:O49 P50:Q51 N53:O55 N66:O68 N74:O77">
    <cfRule type="containsText" dxfId="9" priority="20017" operator="containsText" text="No">
      <formula>NOT(ISERROR(SEARCH(("No"),(O11))))</formula>
    </cfRule>
  </conditionalFormatting>
  <conditionalFormatting sqref="O11:O44 P13:Q14 P19:Q20 P22:Q27 N31:N43 P32:Q33 N46:N51 O46:O49 P50:Q51 N53:O55 N66:O68 N74:O77">
    <cfRule type="containsText" dxfId="9" priority="20018" operator="containsText" text="No">
      <formula>NOT(ISERROR(SEARCH(("No"),(O11))))</formula>
    </cfRule>
  </conditionalFormatting>
  <conditionalFormatting sqref="O11:O44 P13:Q14 P19:Q20 P22:Q27 N31:N43 P32:Q33 N46:N51 O46:O49 P50:Q51 N53:O55 N66:O68 N74:O77">
    <cfRule type="containsText" dxfId="9" priority="20019" operator="containsText" text="No">
      <formula>NOT(ISERROR(SEARCH(("No"),(O11))))</formula>
    </cfRule>
  </conditionalFormatting>
  <conditionalFormatting sqref="O11:O44 P13:Q14 P19:Q20 P22:Q27 N31:N43 P32:Q33 N46:N51 O46:O49 P50:Q51 N53:O55 N66:O68 N74:O77">
    <cfRule type="containsText" dxfId="9" priority="20020" operator="containsText" text="No">
      <formula>NOT(ISERROR(SEARCH(("No"),(O11))))</formula>
    </cfRule>
  </conditionalFormatting>
  <conditionalFormatting sqref="O11:O44 P13:Q14 P19:Q20 P22:Q27 N31:N43 P32:Q33 N46:N51 O46:O49 P50:Q51 N53:O55 N66:O68 N74:O77">
    <cfRule type="containsText" dxfId="9" priority="20021" operator="containsText" text="No">
      <formula>NOT(ISERROR(SEARCH(("No"),(O11))))</formula>
    </cfRule>
  </conditionalFormatting>
  <conditionalFormatting sqref="O11:O44 P13:Q14 P19:Q20 P22:Q27 N31:N43 P32:Q33 N46:N51 O46:O49 P50:Q51 N53:O55 N66:O68 N74:O77">
    <cfRule type="containsText" dxfId="9" priority="20022" operator="containsText" text="No">
      <formula>NOT(ISERROR(SEARCH(("No"),(O11))))</formula>
    </cfRule>
  </conditionalFormatting>
  <conditionalFormatting sqref="O11:O44 P13:Q14 P19:Q20 P22:Q27 N31:N43 P32:Q33 N46:N51 O46:O49 P50:Q51 N53:O55 N66:O68 N74:O77">
    <cfRule type="containsText" dxfId="9" priority="20023" operator="containsText" text="No">
      <formula>NOT(ISERROR(SEARCH(("No"),(O11))))</formula>
    </cfRule>
  </conditionalFormatting>
  <conditionalFormatting sqref="O11:O44 P13:Q14 P19:Q20 P22:Q27 N31:N43 P32:Q33 N46:N51 O46:O49 P50:Q51 N53:O55 N66:O68 N74:O77">
    <cfRule type="containsText" dxfId="9" priority="20024" operator="containsText" text="No">
      <formula>NOT(ISERROR(SEARCH(("No"),(O11))))</formula>
    </cfRule>
  </conditionalFormatting>
  <conditionalFormatting sqref="O11:O44 P13:Q14 P19:Q20 P22:Q27 N31:N43 P32:Q33 N46:N51 O46:O49 P50:Q51 N53:O55 N66:O68 N74:O77">
    <cfRule type="containsText" dxfId="9" priority="20025" operator="containsText" text="No">
      <formula>NOT(ISERROR(SEARCH(("No"),(O11))))</formula>
    </cfRule>
  </conditionalFormatting>
  <conditionalFormatting sqref="O11:O44 P13:Q14 P19:Q20 P22:Q27 N31:N43 P32:Q33 N46:N51 O46:O49 P50:Q51 N53:O55 N66:O68 N74:O77">
    <cfRule type="containsText" dxfId="9" priority="20026" operator="containsText" text="No">
      <formula>NOT(ISERROR(SEARCH(("No"),(O11))))</formula>
    </cfRule>
  </conditionalFormatting>
  <conditionalFormatting sqref="O11:O44 P13:Q14 P19:Q20 P22:Q27 N31:N43 P32:Q33 N46:N51 O46:O49 P50:Q51 N53:O55 N66:O68 N74:O77">
    <cfRule type="containsText" dxfId="9" priority="20027" operator="containsText" text="No">
      <formula>NOT(ISERROR(SEARCH(("No"),(O11))))</formula>
    </cfRule>
  </conditionalFormatting>
  <conditionalFormatting sqref="O11:O44 P13:Q14 P19:Q20 P22:Q27 N31:N43 P32:Q33 N46:N51 O46:O49 P50:Q51 N53:O55 N66:O68 N74:O77">
    <cfRule type="containsText" dxfId="9" priority="20028" operator="containsText" text="No">
      <formula>NOT(ISERROR(SEARCH(("No"),(O11))))</formula>
    </cfRule>
  </conditionalFormatting>
  <conditionalFormatting sqref="O11:O44 P13:Q14 P19:Q20 P22:Q27 N31:N43 P32:Q33 N46:N51 O46:O49 P50:Q51 N53:O55 N66:O68 N74:O77">
    <cfRule type="containsText" dxfId="9" priority="20029" operator="containsText" text="No">
      <formula>NOT(ISERROR(SEARCH(("No"),(O11))))</formula>
    </cfRule>
  </conditionalFormatting>
  <conditionalFormatting sqref="O11:O44 P13:Q14 P19:Q20 P22:Q27 N31:N43 P32:Q33 N46:N51 O46:O49 P50:Q51 N53:O55 N66:O68 N74:O77">
    <cfRule type="containsText" dxfId="2" priority="20030" operator="containsText" text="Yes">
      <formula>NOT(ISERROR(SEARCH(("Yes"),(O11))))</formula>
    </cfRule>
  </conditionalFormatting>
  <conditionalFormatting sqref="O11:O44 P13:Q14 P19:Q20 P22:Q27 N31:N43 P32:Q33 N46:N51 O46:O49 P50:Q51 N53:O55 N66:O68 N74:O77">
    <cfRule type="containsText" dxfId="2" priority="20031" operator="containsText" text="Yes">
      <formula>NOT(ISERROR(SEARCH(("Yes"),(O11))))</formula>
    </cfRule>
  </conditionalFormatting>
  <conditionalFormatting sqref="O11:O44 P13:Q14 P19:Q20 P22:Q27 N31:N43 P32:Q33 N46:N51 O46:O49 P50:Q51 N53:O55 N66:O68 N74:O77">
    <cfRule type="containsText" dxfId="2" priority="20032" operator="containsText" text="Yes">
      <formula>NOT(ISERROR(SEARCH(("Yes"),(O11))))</formula>
    </cfRule>
  </conditionalFormatting>
  <conditionalFormatting sqref="O11:O44 P13:Q14 P19:Q20 P22:Q27 N31:N43 P32:Q33 N46:N51 O46:O49 P50:Q51 N53:O55 N66:O68 N74:O77">
    <cfRule type="containsText" dxfId="2" priority="20033" operator="containsText" text="Yes">
      <formula>NOT(ISERROR(SEARCH(("Yes"),(O11))))</formula>
    </cfRule>
  </conditionalFormatting>
  <conditionalFormatting sqref="O11:O44 P13:Q14 P19:Q20 P22:Q27 N31:N43 P32:Q33 N46:N51 O46:O49 P50:Q51 N53:O55 N66:O68 N74:O77">
    <cfRule type="containsText" dxfId="2" priority="20034" operator="containsText" text="Yes">
      <formula>NOT(ISERROR(SEARCH(("Yes"),(O11))))</formula>
    </cfRule>
  </conditionalFormatting>
  <conditionalFormatting sqref="O11:O44 P13:Q14 P19:Q20 P22:Q27 N31:N43 P32:Q33 N46:N51 O46:O49 P50:Q51 N53:O55 N66:O68 N74:O77">
    <cfRule type="containsText" dxfId="2" priority="20035" operator="containsText" text="Yes">
      <formula>NOT(ISERROR(SEARCH(("Yes"),(O11))))</formula>
    </cfRule>
  </conditionalFormatting>
  <conditionalFormatting sqref="O11:O44 P13:Q14 P19:Q20 P22:Q27 N31:N43 P32:Q33 N46:N51 O46:O49 P50:Q51 N53:O55 N66:O68 N74:O77">
    <cfRule type="containsText" dxfId="2" priority="20036" operator="containsText" text="Yes">
      <formula>NOT(ISERROR(SEARCH(("Yes"),(O11))))</formula>
    </cfRule>
  </conditionalFormatting>
  <conditionalFormatting sqref="O11:O44 P13:Q14 P19:Q20 P22:Q27 N31:N43 P32:Q33 N46:N51 O46:O49 P50:Q51 N53:O55 N66:O68 N74:O77">
    <cfRule type="containsText" dxfId="2" priority="20037" operator="containsText" text="Yes">
      <formula>NOT(ISERROR(SEARCH(("Yes"),(O11))))</formula>
    </cfRule>
  </conditionalFormatting>
  <conditionalFormatting sqref="O11:O44 P13:Q14 P19:Q20 P22:Q27 N31:N43 P32:Q33 N46:N51 O46:O49 P50:Q51 N53:O55 N66:O68 N74:O77">
    <cfRule type="containsText" dxfId="2" priority="20038" operator="containsText" text="Yes">
      <formula>NOT(ISERROR(SEARCH(("Yes"),(O11))))</formula>
    </cfRule>
  </conditionalFormatting>
  <conditionalFormatting sqref="O11:O44 P13:Q14 P19:Q20 P22:Q27 N31:N43 P32:Q33 N46:N51 O46:O49 P50:Q51 N53:O55 N66:O68 N74:O77">
    <cfRule type="containsText" dxfId="2" priority="20039" operator="containsText" text="Yes">
      <formula>NOT(ISERROR(SEARCH(("Yes"),(O11))))</formula>
    </cfRule>
  </conditionalFormatting>
  <conditionalFormatting sqref="O11:O44 P13:Q14 P19:Q20 P22:Q27 N31:N43 P32:Q33 N46:N51 O46:O49 P50:Q51 N53:O55 N66:O68 N74:O77">
    <cfRule type="containsText" dxfId="2" priority="20040" operator="containsText" text="Yes">
      <formula>NOT(ISERROR(SEARCH(("Yes"),(O11))))</formula>
    </cfRule>
  </conditionalFormatting>
  <conditionalFormatting sqref="O11:O44 P13:Q14 P19:Q20 P22:Q27 N31:N43 P32:Q33 N46:N51 O46:O49 P50:Q51 N53:O55 N66:O68 N74:O77">
    <cfRule type="containsText" dxfId="2" priority="20041" operator="containsText" text="Yes">
      <formula>NOT(ISERROR(SEARCH(("Yes"),(O11))))</formula>
    </cfRule>
  </conditionalFormatting>
  <conditionalFormatting sqref="O11:O44 P13:Q14 P19:Q20 P22:Q27 N31:N43 P32:Q33 N46:N51 O46:O49 P50:Q51 N53:O55 N66:O68 N74:O77">
    <cfRule type="containsText" dxfId="2" priority="20042" operator="containsText" text="Yes">
      <formula>NOT(ISERROR(SEARCH(("Yes"),(O11))))</formula>
    </cfRule>
  </conditionalFormatting>
  <conditionalFormatting sqref="O11:O44 P13:Q14 P19:Q20 P22:Q27 N31:N43 P32:Q33 N46:N51 O46:O49 P50:Q51 N53:O55 N66:O68 N74:O77">
    <cfRule type="containsText" dxfId="2" priority="20043" operator="containsText" text="Yes">
      <formula>NOT(ISERROR(SEARCH(("Yes"),(O11))))</formula>
    </cfRule>
  </conditionalFormatting>
  <conditionalFormatting sqref="O11:O44 P13:Q14 P19:Q20 P22:Q27 N31:N43 P32:Q33 N46:N51 O46:O49 P50:Q51 N53:O55 N66:O68 N74:O77">
    <cfRule type="containsText" dxfId="2" priority="20044" operator="containsText" text="Yes">
      <formula>NOT(ISERROR(SEARCH(("Yes"),(O11))))</formula>
    </cfRule>
  </conditionalFormatting>
  <conditionalFormatting sqref="O11:O44 P13:Q14 P19:Q20 P22:Q27 N31:N43 P32:Q33 N46:N51 O46:O49 P50:Q51 N53:O55 N66:O68 N74:O77">
    <cfRule type="containsText" dxfId="2" priority="20045" operator="containsText" text="Yes">
      <formula>NOT(ISERROR(SEARCH(("Yes"),(O11))))</formula>
    </cfRule>
  </conditionalFormatting>
  <conditionalFormatting sqref="O11:O44 P13:Q14 P19:Q20 P22:Q27 N31:N43 P32:Q33 N46:N51 O46:O49 P50:Q51 N53:O55 N66:O68 N74:O77">
    <cfRule type="containsText" dxfId="2" priority="20046" operator="containsText" text="Yes">
      <formula>NOT(ISERROR(SEARCH(("Yes"),(O11))))</formula>
    </cfRule>
  </conditionalFormatting>
  <conditionalFormatting sqref="O11:O44 P13:Q14 P19:Q20 P22:Q27 N31:N43 P32:Q33 N46:N51 O46:O49 P50:Q51 N53:O55 N66:O68 N74:O77">
    <cfRule type="containsText" dxfId="2" priority="20047" operator="containsText" text="Yes">
      <formula>NOT(ISERROR(SEARCH(("Yes"),(O11))))</formula>
    </cfRule>
  </conditionalFormatting>
  <conditionalFormatting sqref="O11:O44 P13:Q14 P19:Q20 P22:Q27 N31:N43 P32:Q33 N46:N51 O46:O49 P50:Q51 N53:O55 N66:O68 N74:O77">
    <cfRule type="containsText" dxfId="2" priority="20048" operator="containsText" text="Yes">
      <formula>NOT(ISERROR(SEARCH(("Yes"),(O11))))</formula>
    </cfRule>
  </conditionalFormatting>
  <conditionalFormatting sqref="O11:O44 P13:Q14 P19:Q20 P22:Q27 N31:N43 P32:Q33 N46:N51 O46:O49 P50:Q51 N53:O55 N66:O68 N74:O77">
    <cfRule type="containsText" dxfId="2" priority="20049" operator="containsText" text="Yes">
      <formula>NOT(ISERROR(SEARCH(("Yes"),(O11))))</formula>
    </cfRule>
  </conditionalFormatting>
  <conditionalFormatting sqref="O11:O44 P13:Q14 P19:Q20 P22:Q27 N31:N43 P32:Q33 N46:N51 O46:O49 P50:Q51 N53:O55 N66:O68 N74:O77">
    <cfRule type="containsText" dxfId="2" priority="20050" operator="containsText" text="Yes">
      <formula>NOT(ISERROR(SEARCH(("Yes"),(O11))))</formula>
    </cfRule>
  </conditionalFormatting>
  <conditionalFormatting sqref="O11:O44 P13:Q14 P19:Q20 P22:Q27 N31:N43 P32:Q33 N46:N51 O46:O49 P50:Q51 N53:O55 N66:O68 N74:O77">
    <cfRule type="containsText" dxfId="2" priority="20051" operator="containsText" text="Yes">
      <formula>NOT(ISERROR(SEARCH(("Yes"),(O11))))</formula>
    </cfRule>
  </conditionalFormatting>
  <conditionalFormatting sqref="O11:O44 P13:Q14 P19:Q20 P22:Q27 N31:N43 P32:Q33 N46:N51 O46:O49 P50:Q51 N53:O55 N66:O68 N74:O77">
    <cfRule type="containsText" dxfId="2" priority="20052" operator="containsText" text="Yes">
      <formula>NOT(ISERROR(SEARCH(("Yes"),(O11))))</formula>
    </cfRule>
  </conditionalFormatting>
  <conditionalFormatting sqref="O11:O44 P13:Q14 P19:Q20 P22:Q27 N31:N43 P32:Q33 N46:N51 O46:O49 P50:Q51 N53:O55 N66:O68 N74:O77">
    <cfRule type="containsText" dxfId="2" priority="20053" operator="containsText" text="Yes">
      <formula>NOT(ISERROR(SEARCH(("Yes"),(O11))))</formula>
    </cfRule>
  </conditionalFormatting>
  <conditionalFormatting sqref="O11:O44 P13:Q14 P19:Q20 P22:Q27 N31:N43 P32:Q33 N46:N51 O46:O49 P50:Q51 N53:O55 N66:O68 N74:O77">
    <cfRule type="containsText" dxfId="2" priority="20054" operator="containsText" text="Yes">
      <formula>NOT(ISERROR(SEARCH(("Yes"),(O11))))</formula>
    </cfRule>
  </conditionalFormatting>
  <conditionalFormatting sqref="O11:O44 P13:Q14 P19:Q20 P22:Q27 N31:N43 P32:Q33 N46:N51 O46:O49 P50:Q51 N53:O55 N66:O68 N74:O77">
    <cfRule type="containsText" dxfId="2" priority="20055" operator="containsText" text="Yes">
      <formula>NOT(ISERROR(SEARCH(("Yes"),(O11))))</formula>
    </cfRule>
  </conditionalFormatting>
  <conditionalFormatting sqref="O11:O44 P13:Q14 P19:Q20 P22:Q27 N31:N43 P32:Q33 N46:N51 O46:O49 P50:Q51 N53:O55 N66:O68 N74:O77">
    <cfRule type="containsText" dxfId="2" priority="20056" operator="containsText" text="Yes">
      <formula>NOT(ISERROR(SEARCH(("Yes"),(O11))))</formula>
    </cfRule>
  </conditionalFormatting>
  <conditionalFormatting sqref="O11:O44 P13:Q14 P19:Q20 P22:Q27 N31:N43 P32:Q33 N46:N51 O46:O49 P50:Q51 N53:O55 N66:O68 N74:O77">
    <cfRule type="containsText" dxfId="2" priority="20057" operator="containsText" text="Yes">
      <formula>NOT(ISERROR(SEARCH(("Yes"),(O11))))</formula>
    </cfRule>
  </conditionalFormatting>
  <conditionalFormatting sqref="O11:O44 P13:Q14 P19:Q20 P22:Q27 N31:N43 P32:Q33 N46:N51 O46:O49 P50:Q51 N53:O55 N66:O68 N74:O77">
    <cfRule type="containsText" dxfId="2" priority="20058" operator="containsText" text="Yes">
      <formula>NOT(ISERROR(SEARCH(("Yes"),(O11))))</formula>
    </cfRule>
  </conditionalFormatting>
  <conditionalFormatting sqref="O11:O44 P13:Q14 P19:Q20 P22:Q27 N31:N43 P32:Q33 N46:N51 O46:O49 P50:Q51 N53:O55 N66:O68 N74:O77">
    <cfRule type="containsText" dxfId="2" priority="20059" operator="containsText" text="Yes">
      <formula>NOT(ISERROR(SEARCH(("Yes"),(O11))))</formula>
    </cfRule>
  </conditionalFormatting>
  <conditionalFormatting sqref="O11:O44 P13:Q14 P19:Q20 P22:Q27 N31:N43 P32:Q33 N46:N51 O46:O49 P50:Q51 N53:O55 N66:O68 N74:O77">
    <cfRule type="containsText" dxfId="2" priority="20060" operator="containsText" text="Yes">
      <formula>NOT(ISERROR(SEARCH(("Yes"),(O11))))</formula>
    </cfRule>
  </conditionalFormatting>
  <conditionalFormatting sqref="O11:O44 P13:Q14 P19:Q20 P22:Q27 N31:N43 P32:Q33 N46:N51 O46:O49 P50:Q51 N53:O55 N66:O68 N74:O77">
    <cfRule type="containsText" dxfId="2" priority="20061" operator="containsText" text="Yes">
      <formula>NOT(ISERROR(SEARCH(("Yes"),(O11))))</formula>
    </cfRule>
  </conditionalFormatting>
  <conditionalFormatting sqref="O11:O44 P13:Q14 P19:Q20 P22:Q27 N31:N43 P32:Q33 N46:N51 O46:O49 P50:Q51 N53:O55 N66:O68 N74:O77">
    <cfRule type="containsText" dxfId="2" priority="20062" operator="containsText" text="Yes">
      <formula>NOT(ISERROR(SEARCH(("Yes"),(O11))))</formula>
    </cfRule>
  </conditionalFormatting>
  <conditionalFormatting sqref="O11:O44 P13:Q14 P19:Q20 P22:Q27 N31:N43 P32:Q33 N46:N51 O46:O49 P50:Q51 N53:O55 N66:O68 N74:O77">
    <cfRule type="containsText" dxfId="2" priority="20063" operator="containsText" text="Yes">
      <formula>NOT(ISERROR(SEARCH(("Yes"),(O11))))</formula>
    </cfRule>
  </conditionalFormatting>
  <conditionalFormatting sqref="O11:O44 P13:Q14 P19:Q20 P22:Q27 N31:N43 P32:Q33 N46:N51 O46:O49 P50:Q51 N53:O55 N66:O68 N74:O77">
    <cfRule type="containsText" dxfId="2" priority="20064" operator="containsText" text="Yes">
      <formula>NOT(ISERROR(SEARCH(("Yes"),(O11))))</formula>
    </cfRule>
  </conditionalFormatting>
  <conditionalFormatting sqref="O11:O44 P13:Q14 P19:Q20 P22:Q27 N31:N43 P32:Q33 N46:N51 O46:O49 P50:Q51 N53:O55 N66:O68 N74:O77">
    <cfRule type="containsText" dxfId="2" priority="20065" operator="containsText" text="Yes">
      <formula>NOT(ISERROR(SEARCH(("Yes"),(O11))))</formula>
    </cfRule>
  </conditionalFormatting>
  <conditionalFormatting sqref="O11:O44 P13:Q14 P19:Q20 P22:Q27 N31:N43 P32:Q33 N46:N51 O46:O49 P50:Q51 N53:O55 N66:O68 N74:O77">
    <cfRule type="containsText" dxfId="2" priority="20066" operator="containsText" text="Yes">
      <formula>NOT(ISERROR(SEARCH(("Yes"),(O11))))</formula>
    </cfRule>
  </conditionalFormatting>
  <conditionalFormatting sqref="O11:O44 P13:Q14 P19:Q20 P22:Q27 N31:N43 P32:Q33 N46:N51 O46:O49 P50:Q51 N53:O55 N66:O68 N74:O77">
    <cfRule type="containsText" dxfId="2" priority="20067" operator="containsText" text="Yes">
      <formula>NOT(ISERROR(SEARCH(("Yes"),(O11))))</formula>
    </cfRule>
  </conditionalFormatting>
  <conditionalFormatting sqref="O11:O44 P13:Q14 P19:Q20 P22:Q27 N31:N43 P32:Q33 N46:N51 O46:O49 P50:Q51 N53:O55 N66:O68 N74:O77">
    <cfRule type="containsText" dxfId="2" priority="20068" operator="containsText" text="Yes">
      <formula>NOT(ISERROR(SEARCH(("Yes"),(O11))))</formula>
    </cfRule>
  </conditionalFormatting>
  <conditionalFormatting sqref="O11:O44 P13:Q14 P19:Q20 P22:Q27 N31:N43 P32:Q33 N46:N51 O46:O49 P50:Q51 N53:O55 N66:O68 N74:O77">
    <cfRule type="containsText" dxfId="2" priority="20069" operator="containsText" text="Yes">
      <formula>NOT(ISERROR(SEARCH(("Yes"),(O11))))</formula>
    </cfRule>
  </conditionalFormatting>
  <conditionalFormatting sqref="O11:O44 P13:Q14 P19:Q20 P22:Q27 N31:N43 P32:Q33 N46:N51 O46:O49 P50:Q51 N53:O55 N66:O68 N74:O77">
    <cfRule type="containsText" dxfId="2" priority="20070" operator="containsText" text="Yes">
      <formula>NOT(ISERROR(SEARCH(("Yes"),(O11))))</formula>
    </cfRule>
  </conditionalFormatting>
  <conditionalFormatting sqref="O11:O44 P13:Q14 P19:Q20 P22:Q27 N31:N43 P32:Q33 N46:N51 O46:O49 P50:Q51 N53:O55 N66:O68 N74:O77">
    <cfRule type="containsText" dxfId="2" priority="20071" operator="containsText" text="Yes">
      <formula>NOT(ISERROR(SEARCH(("Yes"),(O11))))</formula>
    </cfRule>
  </conditionalFormatting>
  <conditionalFormatting sqref="O11:O44 P13:Q14 P19:Q20 P22:Q27 N31:N43 P32:Q33 N46:N51 O46:O49 P50:Q51 N53:O55 N66:O68 N74:O77">
    <cfRule type="containsText" dxfId="2" priority="20072" operator="containsText" text="Yes">
      <formula>NOT(ISERROR(SEARCH(("Yes"),(O11))))</formula>
    </cfRule>
  </conditionalFormatting>
  <conditionalFormatting sqref="O11:O44 P13:Q14 P19:Q20 P22:Q27 N31:N43 P32:Q33 N46:N51 O46:O49 P50:Q51 N53:O55 N66:O68 N74:O77">
    <cfRule type="containsText" dxfId="2" priority="20073" operator="containsText" text="Yes">
      <formula>NOT(ISERROR(SEARCH(("Yes"),(O11))))</formula>
    </cfRule>
  </conditionalFormatting>
  <conditionalFormatting sqref="O11:O44 P13:Q14 P19:Q20 P22:Q27 N31:N43 P32:Q33 N46:N51 O46:O49 P50:Q51 N53:O55 N66:O68 N74:O77">
    <cfRule type="containsText" dxfId="2" priority="20074" operator="containsText" text="Yes">
      <formula>NOT(ISERROR(SEARCH(("Yes"),(O11))))</formula>
    </cfRule>
  </conditionalFormatting>
  <conditionalFormatting sqref="O11:O44 P13:Q14 P19:Q20 P22:Q27 N31:N43 P32:Q33 N46:N51 O46:O49 P50:Q51 N53:O55 N66:O68 N74:O77">
    <cfRule type="containsText" dxfId="2" priority="20075" operator="containsText" text="Yes">
      <formula>NOT(ISERROR(SEARCH(("Yes"),(O11))))</formula>
    </cfRule>
  </conditionalFormatting>
  <conditionalFormatting sqref="O11:O44 P13:Q14 P19:Q20 P22:Q27 N31:N43 P32:Q33 N46:N51 O46:O49 P50:Q51 N53:O55 N66:O68 N74:O77">
    <cfRule type="containsText" dxfId="2" priority="20076" operator="containsText" text="Yes">
      <formula>NOT(ISERROR(SEARCH(("Yes"),(O11))))</formula>
    </cfRule>
  </conditionalFormatting>
  <conditionalFormatting sqref="N13:N83 P27:Q28 N85:N87 N89:N91 N96:N99 N102:N109 N112:N113 N115:N118 N121:N133 N136:N139 N142:N143 N146:N152 N154 N159 N161">
    <cfRule type="containsText" dxfId="9" priority="20077" operator="containsText" text="No">
      <formula>NOT(ISERROR(SEARCH(("No"),(N13))))</formula>
    </cfRule>
  </conditionalFormatting>
  <conditionalFormatting sqref="N13:N83 P27:Q28 N85:N87 N89:N91 N96:N99 N102:N109 N112:N113 N115:N118 N121:N133 N136:N139 N142:N143 N146:N152 N154 N159 N161">
    <cfRule type="containsText" dxfId="9" priority="20078" operator="containsText" text="No">
      <formula>NOT(ISERROR(SEARCH(("No"),(N13))))</formula>
    </cfRule>
  </conditionalFormatting>
  <conditionalFormatting sqref="N13:N83 P27:Q28 N85:N87 N89:N91 N96:N99 N102:N109 N112:N113 N115:N118 N121:N133 N136:N139 N142:N143 N146:N152 N154 N159 N161">
    <cfRule type="containsText" dxfId="9" priority="20079" operator="containsText" text="No">
      <formula>NOT(ISERROR(SEARCH(("No"),(N13))))</formula>
    </cfRule>
  </conditionalFormatting>
  <conditionalFormatting sqref="N13:N83 P27:Q28 N85:N87 N89:N91 N96:N99 N102:N109 N112:N113 N115:N118 N121:N133 N136:N139 N142:N143 N146:N152 N154 N159 N161">
    <cfRule type="containsText" dxfId="2" priority="20080" operator="containsText" text="Yes">
      <formula>NOT(ISERROR(SEARCH(("Yes"),(N13))))</formula>
    </cfRule>
  </conditionalFormatting>
  <conditionalFormatting sqref="N13:N83 P27:Q28 N85:N87 N89:N91 N96:N99 N102:N109 N112:N113 N115:N118 N121:N133 N136:N139 N142:N143 N146:N152 N154 N159 N161">
    <cfRule type="containsText" dxfId="2" priority="20081" operator="containsText" text="Yes">
      <formula>NOT(ISERROR(SEARCH(("Yes"),(N13))))</formula>
    </cfRule>
  </conditionalFormatting>
  <conditionalFormatting sqref="N13:N83 P27:Q28 N85:N87 N89:N91 N96:N99 N102:N109 N112:N113 N115:N118 N121:N133 N136:N139 N142:N143 N146:N152 N154 N159 N161">
    <cfRule type="containsText" dxfId="2" priority="20082" operator="containsText" text="Yes">
      <formula>NOT(ISERROR(SEARCH(("Yes"),(N13))))</formula>
    </cfRule>
  </conditionalFormatting>
  <conditionalFormatting sqref="N13:N83 P27:Q28 N85:N87 N89:N91 N96:N99 N102:N109 N112:N113 N115:N118 N121:N133 N136:N139 N142:N143 N146:N152 N154 N159 N161">
    <cfRule type="containsText" dxfId="2" priority="20083" operator="containsText" text="Yes">
      <formula>NOT(ISERROR(SEARCH(("Yes"),(N13))))</formula>
    </cfRule>
  </conditionalFormatting>
  <conditionalFormatting sqref="N13:N83 P27:Q28 N85:N87 N89:N91 N96:N99 N102:N109 N112:N113 N115:N118 N121:N133 N136:N139 N142:N143 N146:N152 N154 N159 N161">
    <cfRule type="containsText" dxfId="2" priority="20084" operator="containsText" text="Yes">
      <formula>NOT(ISERROR(SEARCH(("Yes"),(N13))))</formula>
    </cfRule>
  </conditionalFormatting>
  <conditionalFormatting sqref="N13:N83 P27:Q28 N85:N87 N89:N91 N96:N99 N102:N109 N112:N113 N115:N118 N121:N133 N136:N139 N142:N143 N146:N152 N154 N159 N161">
    <cfRule type="containsText" dxfId="9" priority="20085" operator="containsText" text="No">
      <formula>NOT(ISERROR(SEARCH(("No"),(N13))))</formula>
    </cfRule>
  </conditionalFormatting>
  <conditionalFormatting sqref="N13:N83 P27:Q28 N85:N87 N89:N91 N96:N99 N102:N109 N112:N113 N115:N118 N121:N133 N136:N139 N142:N143 N146:N152 N154 N159 N161">
    <cfRule type="containsText" dxfId="9" priority="20086" operator="containsText" text="No">
      <formula>NOT(ISERROR(SEARCH(("No"),(N13))))</formula>
    </cfRule>
  </conditionalFormatting>
  <conditionalFormatting sqref="N13:N83 P27:Q28 N85:N87 N89:N91 N96:N99 N102:N109 N112:N113 N115:N118 N121:N133 N136:N139 N142:N143 N146:N152 N154 N159 N161">
    <cfRule type="containsText" dxfId="2" priority="20087" operator="containsText" text="Yes">
      <formula>NOT(ISERROR(SEARCH(("Yes"),(N13))))</formula>
    </cfRule>
  </conditionalFormatting>
  <conditionalFormatting sqref="O13:O83 N31:N43 P32:Q33 N46:N51 P50:Q51 N53:N55 N66:N68 N74:N77 O85:O91 O96:O99 O102:O109 O112:O113 O115:O118 O121:O133 O136:O139 N139 O142:O143 O146:O152 O154:O155 O159 O161:O162 N162 N164:O167 N170:O170 N172:O172 N174:O174 N176:O176 N180:O182 N184:O184">
    <cfRule type="containsText" dxfId="9" priority="20088" operator="containsText" text="No">
      <formula>NOT(ISERROR(SEARCH(("No"),(O13))))</formula>
    </cfRule>
  </conditionalFormatting>
  <conditionalFormatting sqref="O13:O83 N31:N43 P32:Q33 N46:N51 P50:Q51 N53:N55 N66:N68 N74:N77 O85:O91 O96:O99 O102:O109 O112:O113 O115:O118 O121:O133 O136:O139 N139 O142:O143 O146:O152 O154:O155 O159 O161:O162 N162 N164:O167 N170:O170 N172:O172 N174:O174 N176:O176 N180:O182 N184:O184">
    <cfRule type="containsText" dxfId="9" priority="20089" operator="containsText" text="No">
      <formula>NOT(ISERROR(SEARCH(("No"),(O13))))</formula>
    </cfRule>
  </conditionalFormatting>
  <conditionalFormatting sqref="O13:O83 N31:N43 P32:Q33 N46:N51 P50:Q51 N53:N55 N66:N68 N74:N77 O85:O91 O96:O99 O102:O109 O112:O113 O115:O118 O121:O133 O136:O139 N139 O142:O143 O146:O152 O154:O155 O159 O161:O162 N162 N164:O167 N170:O170 N172:O172 N174:O174 N176:O176 N180:O182 N184:O184">
    <cfRule type="containsText" dxfId="9" priority="20090" operator="containsText" text="No">
      <formula>NOT(ISERROR(SEARCH(("No"),(O13))))</formula>
    </cfRule>
  </conditionalFormatting>
  <conditionalFormatting sqref="O13:O83 N31:N43 P32:Q33 N46:N51 P50:Q51 N53:N55 N66:N68 N74:N77 O85:O91 O96:O99 O102:O109 O112:O113 O115:O118 O121:O133 O136:O139 N139 O142:O143 O146:O152 O154:O155 O159 O161:O162 N162 N164:O167 N170:O170 N172:O172 N174:O174 N176:O176 N180:O182 N184:O184">
    <cfRule type="containsText" dxfId="2" priority="20091" operator="containsText" text="Yes">
      <formula>NOT(ISERROR(SEARCH(("Yes"),(O13))))</formula>
    </cfRule>
  </conditionalFormatting>
  <conditionalFormatting sqref="O13:O83 N31:N43 P32:Q33 N46:N51 P50:Q51 N53:N55 N66:N68 N74:N77 O85:O91 O96:O99 O102:O109 O112:O113 O115:O118 O121:O133 O136:O139 N139 O142:O143 O146:O152 O154:O155 O159 O161:O162 N162 N164:O167 N170:O170 N172:O172 N174:O174 N176:O176 N180:O182 N184:O184">
    <cfRule type="containsText" dxfId="2" priority="20092" operator="containsText" text="Yes">
      <formula>NOT(ISERROR(SEARCH(("Yes"),(O13))))</formula>
    </cfRule>
  </conditionalFormatting>
  <conditionalFormatting sqref="O13:O83 N31:N43 P32:Q33 N46:N51 P50:Q51 N53:N55 N66:N68 N74:N77 O85:O91 O96:O99 O102:O109 O112:O113 O115:O118 O121:O133 O136:O139 N139 O142:O143 O146:O152 O154:O155 O159 O161:O162 N162 N164:O167 N170:O170 N172:O172 N174:O174 N176:O176 N180:O182 N184:O184">
    <cfRule type="containsText" dxfId="2" priority="20093" operator="containsText" text="Yes">
      <formula>NOT(ISERROR(SEARCH(("Yes"),(O13))))</formula>
    </cfRule>
  </conditionalFormatting>
  <conditionalFormatting sqref="O13:O83 N31:N43 P32:Q33 N46:N51 P50:Q51 N53:N55 N66:N68 N74:N77 O85:O91 O96:O99 O102:O109 O112:O113 O115:O118 O121:O133 O136:O139 N139 O142:O143 O146:O152 O154:O155 O159 O161:O162 N162 N164:O167 N170:O170 N172:O172 N174:O174 N176:O176 N180:O182 N184:O184">
    <cfRule type="containsText" dxfId="2" priority="20094" operator="containsText" text="Yes">
      <formula>NOT(ISERROR(SEARCH(("Yes"),(O13))))</formula>
    </cfRule>
  </conditionalFormatting>
  <conditionalFormatting sqref="O13:O83 N31:N43 P32:Q33 N46:N51 P50:Q51 N53:N55 N66:N68 N74:N77 O85:O91 O96:O99 O102:O109 O112:O113 O115:O118 O121:O133 O136:O139 N139 O142:O143 O146:O152 O154:O155 O159 O161:O162 N162 N164:O167 N170:O170 N172:O172 N174:O174 N176:O176 N180:O182 N184:O184">
    <cfRule type="containsText" dxfId="2" priority="20095" operator="containsText" text="Yes">
      <formula>NOT(ISERROR(SEARCH(("Yes"),(O13))))</formula>
    </cfRule>
  </conditionalFormatting>
  <conditionalFormatting sqref="O13:O83 N31:N43 P32:Q33 N46:N51 P50:Q51 N53:N55 N66:N68 N74:N77 O85:O91 O96:O99 O102:O109 O112:O113 O115:O118 O121:O133 O136:O139 N139 O142:O143 O146:O152 O154:O155 O159 O161:O162 N162 N164:O167 N170:O170 N172:O172 N174:O174 N176:O176 N180:O182 N184:O184">
    <cfRule type="containsText" dxfId="9" priority="20096" operator="containsText" text="No">
      <formula>NOT(ISERROR(SEARCH(("No"),(O13))))</formula>
    </cfRule>
  </conditionalFormatting>
  <conditionalFormatting sqref="O13:O83 N31:N43 P32:Q33 N46:N51 P50:Q51 N53:N55 N66:N68 N74:N77 O85:O91 O96:O99 O102:O109 O112:O113 O115:O118 O121:O133 O136:O139 N139 O142:O143 O146:O152 O154:O155 O159 O161:O162 N162 N164:O167 N170:O170 N172:O172 N174:O174 N176:O176 N180:O182 N184:O184">
    <cfRule type="containsText" dxfId="9" priority="20097" operator="containsText" text="No">
      <formula>NOT(ISERROR(SEARCH(("No"),(O13))))</formula>
    </cfRule>
  </conditionalFormatting>
  <conditionalFormatting sqref="O13:O83 N31:N43 P32:Q33 N46:N51 P50:Q51 N53:N55 N66:N68 N74:N77 O85:O91 O96:O99 O102:O109 O112:O113 O115:O118 O121:O133 O136:O139 N139 O142:O143 O146:O152 O154:O155 O159 O161:O162 N162 N164:O167 N170:O170 N172:O172 N174:O174 N176:O176 N180:O182 N184:O184">
    <cfRule type="containsText" dxfId="2" priority="20098" operator="containsText" text="Yes">
      <formula>NOT(ISERROR(SEARCH(("Yes"),(O13))))</formula>
    </cfRule>
  </conditionalFormatting>
  <conditionalFormatting sqref="P14:P27 O19:O20 O22:O56 P29:P38 N31:N43 Q32:Q33 N46:N51 P50:Q51 N53:N55 O58:O83 N66:N68 N74:N77 O85:O91 O96:O99 O102:O109 O112:O113 O115:O118 O121:O133 O136:O139 N139 O142:O143 O146:O152 O154:O155 O159 O161:O162 N162 N164:O167 N170:O170 N172:O172 N174:O174 N176:O176 N180:O182 N184:O184">
    <cfRule type="containsText" dxfId="9" priority="20099" operator="containsText" text="No">
      <formula>NOT(ISERROR(SEARCH(("No"),(P14))))</formula>
    </cfRule>
  </conditionalFormatting>
  <conditionalFormatting sqref="P14:P27 O19:O20 O22:O56 P29:P38 N31:N43 Q32:Q33 N46:N51 P50:Q51 N53:N55 O58:O83 N66:N68 N74:N77 O85:O91 O96:O99 O102:O109 O112:O113 O115:O118 O121:O133 O136:O139 N139 O142:O143 O146:O152 O154:O155 O159 O161:O162 N162 N164:O167 N170:O170 N172:O172 N174:O174 N176:O176 N180:O182 N184:O184">
    <cfRule type="containsText" dxfId="9" priority="20100" operator="containsText" text="No">
      <formula>NOT(ISERROR(SEARCH(("No"),(P14))))</formula>
    </cfRule>
  </conditionalFormatting>
  <conditionalFormatting sqref="P14:P27 O19:O20 O22:O56 P29:P38 N31:N43 Q32:Q33 N46:N51 P50:Q51 N53:N55 O58:O83 N66:N68 N74:N77 O85:O91 O96:O99 O102:O109 O112:O113 O115:O118 O121:O133 O136:O139 N139 O142:O143 O146:O152 O154:O155 O159 O161:O162 N162 N164:O167 N170:O170 N172:O172 N174:O174 N176:O176 N180:O182 N184:O184">
    <cfRule type="containsText" dxfId="9" priority="20101" operator="containsText" text="No">
      <formula>NOT(ISERROR(SEARCH(("No"),(P14))))</formula>
    </cfRule>
  </conditionalFormatting>
  <conditionalFormatting sqref="P14:P27 O19:O20 O22:O56 P29:P38 N31:N43 Q32:Q33 N46:N51 P50:Q51 N53:N55 O58:O83 N66:N68 N74:N77 O85:O91 O96:O99 O102:O109 O112:O113 O115:O118 O121:O133 O136:O139 N139 O142:O143 O146:O152 O154:O155 O159 O161:O162 N162 N164:O167 N170:O170 N172:O172 N174:O174 N176:O176 N180:O182 N184:O184">
    <cfRule type="containsText" dxfId="2" priority="20102" operator="containsText" text="Yes">
      <formula>NOT(ISERROR(SEARCH(("Yes"),(P14))))</formula>
    </cfRule>
  </conditionalFormatting>
  <conditionalFormatting sqref="P14:P27 O19:O20 O22:O56 P29:P38 N31:N43 Q32:Q33 N46:N51 P50:Q51 N53:N55 O58:O83 N66:N68 N74:N77 O85:O91 O96:O99 O102:O109 O112:O113 O115:O118 O121:O133 O136:O139 N139 O142:O143 O146:O152 O154:O155 O159 O161:O162 N162 N164:O167 N170:O170 N172:O172 N174:O174 N176:O176 N180:O182 N184:O184">
    <cfRule type="containsText" dxfId="2" priority="20103" operator="containsText" text="Yes">
      <formula>NOT(ISERROR(SEARCH(("Yes"),(P14))))</formula>
    </cfRule>
  </conditionalFormatting>
  <conditionalFormatting sqref="P14:P27 O19:O20 O22:O56 P29:P38 N31:N43 Q32:Q33 N46:N51 P50:Q51 N53:N55 O58:O83 N66:N68 N74:N77 O85:O91 O96:O99 O102:O109 O112:O113 O115:O118 O121:O133 O136:O139 N139 O142:O143 O146:O152 O154:O155 O159 O161:O162 N162 N164:O167 N170:O170 N172:O172 N174:O174 N176:O176 N180:O182 N184:O184">
    <cfRule type="containsText" dxfId="2" priority="20104" operator="containsText" text="Yes">
      <formula>NOT(ISERROR(SEARCH(("Yes"),(P14))))</formula>
    </cfRule>
  </conditionalFormatting>
  <conditionalFormatting sqref="P14:P27 O19:O20 O22:O56 P29:P38 N31:N43 Q32:Q33 N46:N51 P50:Q51 N53:N55 O58:O83 N66:N68 N74:N77 O85:O91 O96:O99 O102:O109 O112:O113 O115:O118 O121:O133 O136:O139 N139 O142:O143 O146:O152 O154:O155 O159 O161:O162 N162 N164:O167 N170:O170 N172:O172 N174:O174 N176:O176 N180:O182 N184:O184">
    <cfRule type="containsText" dxfId="2" priority="20105" operator="containsText" text="Yes">
      <formula>NOT(ISERROR(SEARCH(("Yes"),(P14))))</formula>
    </cfRule>
  </conditionalFormatting>
  <conditionalFormatting sqref="P14:P27 O19:O20 O22:O56 P29:P38 N31:N43 Q32:Q33 N46:N51 P50:Q51 N53:N55 O58:O83 N66:N68 N74:N77 O85:O91 O96:O99 O102:O109 O112:O113 O115:O118 O121:O133 O136:O139 N139 O142:O143 O146:O152 O154:O155 O159 O161:O162 N162 N164:O167 N170:O170 N172:O172 N174:O174 N176:O176 N180:O182 N184:O184">
    <cfRule type="containsText" dxfId="2" priority="20106" operator="containsText" text="Yes">
      <formula>NOT(ISERROR(SEARCH(("Yes"),(P14))))</formula>
    </cfRule>
  </conditionalFormatting>
  <conditionalFormatting sqref="P14:P27 O19:O20 O22:O56 P29:P38 N31:N43 Q32:Q33 N46:N51 P50:Q51 N53:N55 O58:O83 N66:N68 N74:N77 O85:O91 O96:O99 O102:O109 O112:O113 O115:O118 O121:O133 O136:O139 N139 O142:O143 O146:O152 O154:O155 O159 O161:O162 N162 N164:O167 N170:O170 N172:O172 N174:O174 N176:O176 N180:O182 N184:O184">
    <cfRule type="containsText" dxfId="9" priority="20107" operator="containsText" text="No">
      <formula>NOT(ISERROR(SEARCH(("No"),(P14))))</formula>
    </cfRule>
  </conditionalFormatting>
  <conditionalFormatting sqref="P14:P27 O19:O20 O22:O56 P29:P38 N31:N43 Q32:Q33 N46:N51 P50:Q51 N53:N55 O58:O83 N66:N68 N74:N77 O85:O91 O96:O99 O102:O109 O112:O113 O115:O118 O121:O133 O136:O139 N139 O142:O143 O146:O152 O154:O155 O159 O161:O162 N162 N164:O167 N170:O170 N172:O172 N174:O174 N176:O176 N180:O182 N184:O184">
    <cfRule type="containsText" dxfId="9" priority="20108" operator="containsText" text="No">
      <formula>NOT(ISERROR(SEARCH(("No"),(P14))))</formula>
    </cfRule>
  </conditionalFormatting>
  <conditionalFormatting sqref="P14:P27 O19:O20 O22:O56 P29:P38 N31:N43 Q32:Q33 N46:N51 P50:Q51 N53:N55 O58:O83 N66:N68 N74:N77 O85:O91 O96:O99 O102:O109 O112:O113 O115:O118 O121:O133 O136:O139 N139 O142:O143 O146:O152 O154:O155 O159 O161:O162 N162 N164:O167 N170:O170 N172:O172 N174:O174 N176:O176 N180:O182 N184:O184">
    <cfRule type="containsText" dxfId="2" priority="20109" operator="containsText" text="Yes">
      <formula>NOT(ISERROR(SEARCH(("Yes"),(P14))))</formula>
    </cfRule>
  </conditionalFormatting>
  <conditionalFormatting sqref="Q14:Q27 Q29:Q38">
    <cfRule type="containsText" dxfId="9" priority="20110" operator="containsText" text="No">
      <formula>NOT(ISERROR(SEARCH(("No"),(Q14))))</formula>
    </cfRule>
  </conditionalFormatting>
  <conditionalFormatting sqref="Q14:Q27 Q29:Q38">
    <cfRule type="containsText" dxfId="9" priority="20111" operator="containsText" text="No">
      <formula>NOT(ISERROR(SEARCH(("No"),(Q14))))</formula>
    </cfRule>
  </conditionalFormatting>
  <conditionalFormatting sqref="Q14:Q27 Q29:Q38">
    <cfRule type="containsText" dxfId="9" priority="20112" operator="containsText" text="No">
      <formula>NOT(ISERROR(SEARCH(("No"),(Q14))))</formula>
    </cfRule>
  </conditionalFormatting>
  <conditionalFormatting sqref="Q14:Q27 Q29:Q38">
    <cfRule type="containsText" dxfId="2" priority="20113" operator="containsText" text="Yes">
      <formula>NOT(ISERROR(SEARCH(("Yes"),(Q14))))</formula>
    </cfRule>
  </conditionalFormatting>
  <conditionalFormatting sqref="Q14:Q27 Q29:Q38">
    <cfRule type="containsText" dxfId="2" priority="20114" operator="containsText" text="Yes">
      <formula>NOT(ISERROR(SEARCH(("Yes"),(Q14))))</formula>
    </cfRule>
  </conditionalFormatting>
  <conditionalFormatting sqref="Q14:Q27 Q29:Q38">
    <cfRule type="containsText" dxfId="2" priority="20115" operator="containsText" text="Yes">
      <formula>NOT(ISERROR(SEARCH(("Yes"),(Q14))))</formula>
    </cfRule>
  </conditionalFormatting>
  <conditionalFormatting sqref="Q14:Q27 Q29:Q38">
    <cfRule type="containsText" dxfId="2" priority="20116" operator="containsText" text="Yes">
      <formula>NOT(ISERROR(SEARCH(("Yes"),(Q14))))</formula>
    </cfRule>
  </conditionalFormatting>
  <conditionalFormatting sqref="Q14:Q27 Q29:Q38">
    <cfRule type="containsText" dxfId="2" priority="20117" operator="containsText" text="Yes">
      <formula>NOT(ISERROR(SEARCH(("Yes"),(Q14))))</formula>
    </cfRule>
  </conditionalFormatting>
  <conditionalFormatting sqref="Q14:Q27 Q29:Q38">
    <cfRule type="containsText" dxfId="9" priority="20118" operator="containsText" text="No">
      <formula>NOT(ISERROR(SEARCH(("No"),(Q14))))</formula>
    </cfRule>
  </conditionalFormatting>
  <conditionalFormatting sqref="Q14:Q27 Q29:Q38">
    <cfRule type="containsText" dxfId="9" priority="20119" operator="containsText" text="No">
      <formula>NOT(ISERROR(SEARCH(("No"),(Q14))))</formula>
    </cfRule>
  </conditionalFormatting>
  <conditionalFormatting sqref="Q14:Q27 Q29:Q38">
    <cfRule type="containsText" dxfId="2" priority="20120" operator="containsText" text="Yes">
      <formula>NOT(ISERROR(SEARCH(("Yes"),(Q14))))</formula>
    </cfRule>
  </conditionalFormatting>
  <conditionalFormatting sqref="O14:O43 P19:Q20 P22:Q27 N31:N43 P32:Q33 N46:N51 O46:O49 P50:Q51 N53:O55 N66:O68 N74:O77">
    <cfRule type="containsText" dxfId="9" priority="20121" operator="containsText" text="No">
      <formula>NOT(ISERROR(SEARCH(("No"),(O14))))</formula>
    </cfRule>
  </conditionalFormatting>
  <conditionalFormatting sqref="O14:O43 P19:Q20 P22:Q27 N31:N43 P32:Q33 N46:N51 O46:O49 P50:Q51 N53:O55 N66:O68 N74:O77">
    <cfRule type="containsText" dxfId="9" priority="20122" operator="containsText" text="No">
      <formula>NOT(ISERROR(SEARCH(("No"),(O14))))</formula>
    </cfRule>
  </conditionalFormatting>
  <conditionalFormatting sqref="O14:O43 P19:Q20 P22:Q27 N31:N43 P32:Q33 N46:N51 O46:O49 P50:Q51 N53:O55 N66:O68 N74:O77">
    <cfRule type="containsText" dxfId="9" priority="20123" operator="containsText" text="No">
      <formula>NOT(ISERROR(SEARCH(("No"),(O14))))</formula>
    </cfRule>
  </conditionalFormatting>
  <conditionalFormatting sqref="O14:O43 P19:Q20 P22:Q27 N31:N43 P32:Q33 N46:N51 O46:O49 P50:Q51 N53:O55 N66:O68 N74:O77">
    <cfRule type="containsText" dxfId="9" priority="20124" operator="containsText" text="No">
      <formula>NOT(ISERROR(SEARCH(("No"),(O14))))</formula>
    </cfRule>
  </conditionalFormatting>
  <conditionalFormatting sqref="O14:O43 P19:Q20 P22:Q27 N31:N43 P32:Q33 N46:N51 O46:O49 P50:Q51 N53:O55 N66:O68 N74:O77">
    <cfRule type="containsText" dxfId="9" priority="20125" operator="containsText" text="No">
      <formula>NOT(ISERROR(SEARCH(("No"),(O14))))</formula>
    </cfRule>
  </conditionalFormatting>
  <conditionalFormatting sqref="O14:O43 P19:Q20 P22:Q27 N31:N43 P32:Q33 N46:N51 O46:O49 P50:Q51 N53:O55 N66:O68 N74:O77">
    <cfRule type="containsText" dxfId="9" priority="20126" operator="containsText" text="No">
      <formula>NOT(ISERROR(SEARCH(("No"),(O14))))</formula>
    </cfRule>
  </conditionalFormatting>
  <conditionalFormatting sqref="O14:O43 P19:Q20 P22:Q27 N31:N43 P32:Q33 N46:N51 O46:O49 P50:Q51 N53:O55 N66:O68 N74:O77">
    <cfRule type="containsText" dxfId="9" priority="20127" operator="containsText" text="No">
      <formula>NOT(ISERROR(SEARCH(("No"),(O14))))</formula>
    </cfRule>
  </conditionalFormatting>
  <conditionalFormatting sqref="O14:O43 P19:Q20 P22:Q27 N31:N43 P32:Q33 N46:N51 O46:O49 P50:Q51 N53:O55 N66:O68 N74:O77">
    <cfRule type="containsText" dxfId="9" priority="20128" operator="containsText" text="No">
      <formula>NOT(ISERROR(SEARCH(("No"),(O14))))</formula>
    </cfRule>
  </conditionalFormatting>
  <conditionalFormatting sqref="O14:O43 P19:Q20 P22:Q27 N31:N43 P32:Q33 N46:N51 O46:O49 P50:Q51 N53:O55 N66:O68 N74:O77">
    <cfRule type="containsText" dxfId="9" priority="20129" operator="containsText" text="No">
      <formula>NOT(ISERROR(SEARCH(("No"),(O14))))</formula>
    </cfRule>
  </conditionalFormatting>
  <conditionalFormatting sqref="O14:O43 P19:Q20 P22:Q27 N31:N43 P32:Q33 N46:N51 O46:O49 P50:Q51 N53:O55 N66:O68 N74:O77">
    <cfRule type="containsText" dxfId="9" priority="20130" operator="containsText" text="No">
      <formula>NOT(ISERROR(SEARCH(("No"),(O14))))</formula>
    </cfRule>
  </conditionalFormatting>
  <conditionalFormatting sqref="O14:O43 P19:Q20 P22:Q27 N31:N43 P32:Q33 N46:N51 O46:O49 P50:Q51 N53:O55 N66:O68 N74:O77">
    <cfRule type="containsText" dxfId="9" priority="20131" operator="containsText" text="No">
      <formula>NOT(ISERROR(SEARCH(("No"),(O14))))</formula>
    </cfRule>
  </conditionalFormatting>
  <conditionalFormatting sqref="O14:O43 P19:Q20 P22:Q27 N31:N43 P32:Q33 N46:N51 O46:O49 P50:Q51 N53:O55 N66:O68 N74:O77">
    <cfRule type="containsText" dxfId="9" priority="20132" operator="containsText" text="No">
      <formula>NOT(ISERROR(SEARCH(("No"),(O14))))</formula>
    </cfRule>
  </conditionalFormatting>
  <conditionalFormatting sqref="O14:O43 P19:Q20 P22:Q27 N31:N43 P32:Q33 N46:N51 O46:O49 P50:Q51 N53:O55 N66:O68 N74:O77">
    <cfRule type="containsText" dxfId="9" priority="20133" operator="containsText" text="No">
      <formula>NOT(ISERROR(SEARCH(("No"),(O14))))</formula>
    </cfRule>
  </conditionalFormatting>
  <conditionalFormatting sqref="O14:O43 P19:Q20 P22:Q27 N31:N43 P32:Q33 N46:N51 O46:O49 P50:Q51 N53:O55 N66:O68 N74:O77">
    <cfRule type="containsText" dxfId="9" priority="20134" operator="containsText" text="No">
      <formula>NOT(ISERROR(SEARCH(("No"),(O14))))</formula>
    </cfRule>
  </conditionalFormatting>
  <conditionalFormatting sqref="O14:O43 P19:Q20 P22:Q27 N31:N43 P32:Q33 N46:N51 O46:O49 P50:Q51 N53:O55 N66:O68 N74:O77">
    <cfRule type="containsText" dxfId="9" priority="20135" operator="containsText" text="No">
      <formula>NOT(ISERROR(SEARCH(("No"),(O14))))</formula>
    </cfRule>
  </conditionalFormatting>
  <conditionalFormatting sqref="O14:O43 P19:Q20 P22:Q27 N31:N43 P32:Q33 N46:N51 O46:O49 P50:Q51 N53:O55 N66:O68 N74:O77">
    <cfRule type="containsText" dxfId="9" priority="20136" operator="containsText" text="No">
      <formula>NOT(ISERROR(SEARCH(("No"),(O14))))</formula>
    </cfRule>
  </conditionalFormatting>
  <conditionalFormatting sqref="O14:O43 P19:Q20 P22:Q27 N31:N43 P32:Q33 N46:N51 O46:O49 P50:Q51 N53:O55 N66:O68 N74:O77">
    <cfRule type="containsText" dxfId="9" priority="20137" operator="containsText" text="No">
      <formula>NOT(ISERROR(SEARCH(("No"),(O14))))</formula>
    </cfRule>
  </conditionalFormatting>
  <conditionalFormatting sqref="O14:O43 P19:Q20 P22:Q27 N31:N43 P32:Q33 N46:N51 O46:O49 P50:Q51 N53:O55 N66:O68 N74:O77">
    <cfRule type="containsText" dxfId="9" priority="20138" operator="containsText" text="No">
      <formula>NOT(ISERROR(SEARCH(("No"),(O14))))</formula>
    </cfRule>
  </conditionalFormatting>
  <conditionalFormatting sqref="O14:O43 P19:Q20 P22:Q27 N31:N43 P32:Q33 N46:N51 O46:O49 P50:Q51 N53:O55 N66:O68 N74:O77">
    <cfRule type="containsText" dxfId="9" priority="20139" operator="containsText" text="No">
      <formula>NOT(ISERROR(SEARCH(("No"),(O14))))</formula>
    </cfRule>
  </conditionalFormatting>
  <conditionalFormatting sqref="O14:O43 P19:Q20 P22:Q27 N31:N43 P32:Q33 N46:N51 O46:O49 P50:Q51 N53:O55 N66:O68 N74:O77">
    <cfRule type="containsText" dxfId="9" priority="20140" operator="containsText" text="No">
      <formula>NOT(ISERROR(SEARCH(("No"),(O14))))</formula>
    </cfRule>
  </conditionalFormatting>
  <conditionalFormatting sqref="O14:O43 P19:Q20 P22:Q27 N31:N43 P32:Q33 N46:N51 O46:O49 P50:Q51 N53:O55 N66:O68 N74:O77">
    <cfRule type="containsText" dxfId="9" priority="20141" operator="containsText" text="No">
      <formula>NOT(ISERROR(SEARCH(("No"),(O14))))</formula>
    </cfRule>
  </conditionalFormatting>
  <conditionalFormatting sqref="O14:O43 P19:Q20 P22:Q27 N31:N43 P32:Q33 N46:N51 O46:O49 P50:Q51 N53:O55 N66:O68 N74:O77">
    <cfRule type="containsText" dxfId="9" priority="20142" operator="containsText" text="No">
      <formula>NOT(ISERROR(SEARCH(("No"),(O14))))</formula>
    </cfRule>
  </conditionalFormatting>
  <conditionalFormatting sqref="O14:O43 P19:Q20 P22:Q27 N31:N43 P32:Q33 N46:N51 O46:O49 P50:Q51 N53:O55 N66:O68 N74:O77">
    <cfRule type="containsText" dxfId="9" priority="20143" operator="containsText" text="No">
      <formula>NOT(ISERROR(SEARCH(("No"),(O14))))</formula>
    </cfRule>
  </conditionalFormatting>
  <conditionalFormatting sqref="O14:O43 P19:Q20 P22:Q27 N31:N43 P32:Q33 N46:N51 O46:O49 P50:Q51 N53:O55 N66:O68 N74:O77">
    <cfRule type="containsText" dxfId="9" priority="20144" operator="containsText" text="No">
      <formula>NOT(ISERROR(SEARCH(("No"),(O14))))</formula>
    </cfRule>
  </conditionalFormatting>
  <conditionalFormatting sqref="O14:O43 P19:Q20 P22:Q27 N31:N43 P32:Q33 N46:N51 O46:O49 P50:Q51 N53:O55 N66:O68 N74:O77">
    <cfRule type="containsText" dxfId="9" priority="20145" operator="containsText" text="No">
      <formula>NOT(ISERROR(SEARCH(("No"),(O14))))</formula>
    </cfRule>
  </conditionalFormatting>
  <conditionalFormatting sqref="O14:O43 P19:Q20 P22:Q27 N31:N43 P32:Q33 N46:N51 O46:O49 P50:Q51 N53:O55 N66:O68 N74:O77">
    <cfRule type="containsText" dxfId="9" priority="20146" operator="containsText" text="No">
      <formula>NOT(ISERROR(SEARCH(("No"),(O14))))</formula>
    </cfRule>
  </conditionalFormatting>
  <conditionalFormatting sqref="O14:O43 P19:Q20 P22:Q27 N31:N43 P32:Q33 N46:N51 O46:O49 P50:Q51 N53:O55 N66:O68 N74:O77">
    <cfRule type="containsText" dxfId="9" priority="20147" operator="containsText" text="No">
      <formula>NOT(ISERROR(SEARCH(("No"),(O14))))</formula>
    </cfRule>
  </conditionalFormatting>
  <conditionalFormatting sqref="O14:O43 P19:Q20 P22:Q27 N31:N43 P32:Q33 N46:N51 O46:O49 P50:Q51 N53:O55 N66:O68 N74:O77">
    <cfRule type="containsText" dxfId="9" priority="20148" operator="containsText" text="No">
      <formula>NOT(ISERROR(SEARCH(("No"),(O14))))</formula>
    </cfRule>
  </conditionalFormatting>
  <conditionalFormatting sqref="O14:O43 P19:Q20 P22:Q27 N31:N43 P32:Q33 N46:N51 O46:O49 P50:Q51 N53:O55 N66:O68 N74:O77">
    <cfRule type="containsText" dxfId="9" priority="20149" operator="containsText" text="No">
      <formula>NOT(ISERROR(SEARCH(("No"),(O14))))</formula>
    </cfRule>
  </conditionalFormatting>
  <conditionalFormatting sqref="O14:O43 P19:Q20 P22:Q27 N31:N43 P32:Q33 N46:N51 O46:O49 P50:Q51 N53:O55 N66:O68 N74:O77">
    <cfRule type="containsText" dxfId="9" priority="20150" operator="containsText" text="No">
      <formula>NOT(ISERROR(SEARCH(("No"),(O14))))</formula>
    </cfRule>
  </conditionalFormatting>
  <conditionalFormatting sqref="O14:O43 P19:Q20 P22:Q27 N31:N43 P32:Q33 N46:N51 O46:O49 P50:Q51 N53:O55 N66:O68 N74:O77">
    <cfRule type="containsText" dxfId="9" priority="20151" operator="containsText" text="No">
      <formula>NOT(ISERROR(SEARCH(("No"),(O14))))</formula>
    </cfRule>
  </conditionalFormatting>
  <conditionalFormatting sqref="O14:O43 P19:Q20 P22:Q27 N31:N43 P32:Q33 N46:N51 O46:O49 P50:Q51 N53:O55 N66:O68 N74:O77">
    <cfRule type="containsText" dxfId="9" priority="20152" operator="containsText" text="No">
      <formula>NOT(ISERROR(SEARCH(("No"),(O14))))</formula>
    </cfRule>
  </conditionalFormatting>
  <conditionalFormatting sqref="O14:O43 P19:Q20 P22:Q27 N31:N43 P32:Q33 N46:N51 O46:O49 P50:Q51 N53:O55 N66:O68 N74:O77">
    <cfRule type="containsText" dxfId="9" priority="20153" operator="containsText" text="No">
      <formula>NOT(ISERROR(SEARCH(("No"),(O14))))</formula>
    </cfRule>
  </conditionalFormatting>
  <conditionalFormatting sqref="O14:O43 P19:Q20 P22:Q27 N31:N43 P32:Q33 N46:N51 O46:O49 P50:Q51 N53:O55 N66:O68 N74:O77">
    <cfRule type="containsText" dxfId="9" priority="20154" operator="containsText" text="No">
      <formula>NOT(ISERROR(SEARCH(("No"),(O14))))</formula>
    </cfRule>
  </conditionalFormatting>
  <conditionalFormatting sqref="O14:O43 P19:Q20 P22:Q27 N31:N43 P32:Q33 N46:N51 O46:O49 P50:Q51 N53:O55 N66:O68 N74:O77">
    <cfRule type="containsText" dxfId="9" priority="20155" operator="containsText" text="No">
      <formula>NOT(ISERROR(SEARCH(("No"),(O14))))</formula>
    </cfRule>
  </conditionalFormatting>
  <conditionalFormatting sqref="O14:O43 P19:Q20 P22:Q27 N31:N43 P32:Q33 N46:N51 O46:O49 P50:Q51 N53:O55 N66:O68 N74:O77">
    <cfRule type="containsText" dxfId="9" priority="20156" operator="containsText" text="No">
      <formula>NOT(ISERROR(SEARCH(("No"),(O14))))</formula>
    </cfRule>
  </conditionalFormatting>
  <conditionalFormatting sqref="O14:O43 P19:Q20 P22:Q27 N31:N43 P32:Q33 N46:N51 O46:O49 P50:Q51 N53:O55 N66:O68 N74:O77">
    <cfRule type="containsText" dxfId="9" priority="20157" operator="containsText" text="No">
      <formula>NOT(ISERROR(SEARCH(("No"),(O14))))</formula>
    </cfRule>
  </conditionalFormatting>
  <conditionalFormatting sqref="O14:O43 P19:Q20 P22:Q27 N31:N43 P32:Q33 N46:N51 O46:O49 P50:Q51 N53:O55 N66:O68 N74:O77">
    <cfRule type="containsText" dxfId="9" priority="20158" operator="containsText" text="No">
      <formula>NOT(ISERROR(SEARCH(("No"),(O14))))</formula>
    </cfRule>
  </conditionalFormatting>
  <conditionalFormatting sqref="O14:O43 P19:Q20 P22:Q27 N31:N43 P32:Q33 N46:N51 O46:O49 P50:Q51 N53:O55 N66:O68 N74:O77">
    <cfRule type="containsText" dxfId="9" priority="20159" operator="containsText" text="No">
      <formula>NOT(ISERROR(SEARCH(("No"),(O14))))</formula>
    </cfRule>
  </conditionalFormatting>
  <conditionalFormatting sqref="O14:O43 P19:Q20 P22:Q27 N31:N43 P32:Q33 N46:N51 O46:O49 P50:Q51 N53:O55 N66:O68 N74:O77">
    <cfRule type="containsText" dxfId="9" priority="20160" operator="containsText" text="No">
      <formula>NOT(ISERROR(SEARCH(("No"),(O14))))</formula>
    </cfRule>
  </conditionalFormatting>
  <conditionalFormatting sqref="O14:O43 P19:Q20 P22:Q27 N31:N43 P32:Q33 N46:N51 O46:O49 P50:Q51 N53:O55 N66:O68 N74:O77">
    <cfRule type="containsText" dxfId="9" priority="20161" operator="containsText" text="No">
      <formula>NOT(ISERROR(SEARCH(("No"),(O14))))</formula>
    </cfRule>
  </conditionalFormatting>
  <conditionalFormatting sqref="O14:O43 P19:Q20 P22:Q27 N31:N43 P32:Q33 N46:N51 O46:O49 P50:Q51 N53:O55 N66:O68 N74:O77">
    <cfRule type="containsText" dxfId="9" priority="20162" operator="containsText" text="No">
      <formula>NOT(ISERROR(SEARCH(("No"),(O14))))</formula>
    </cfRule>
  </conditionalFormatting>
  <conditionalFormatting sqref="O14:O43 P19:Q20 P22:Q27 N31:N43 P32:Q33 N46:N51 O46:O49 P50:Q51 N53:O55 N66:O68 N74:O77">
    <cfRule type="containsText" dxfId="9" priority="20163" operator="containsText" text="No">
      <formula>NOT(ISERROR(SEARCH(("No"),(O14))))</formula>
    </cfRule>
  </conditionalFormatting>
  <conditionalFormatting sqref="O14:O43 P19:Q20 P22:Q27 N31:N43 P32:Q33 N46:N51 O46:O49 P50:Q51 N53:O55 N66:O68 N74:O77">
    <cfRule type="containsText" dxfId="9" priority="20164" operator="containsText" text="No">
      <formula>NOT(ISERROR(SEARCH(("No"),(O14))))</formula>
    </cfRule>
  </conditionalFormatting>
  <conditionalFormatting sqref="O14:O43 P19:Q20 P22:Q27 N31:N43 P32:Q33 N46:N51 O46:O49 P50:Q51 N53:O55 N66:O68 N74:O77">
    <cfRule type="containsText" dxfId="9" priority="20165" operator="containsText" text="No">
      <formula>NOT(ISERROR(SEARCH(("No"),(O14))))</formula>
    </cfRule>
  </conditionalFormatting>
  <conditionalFormatting sqref="O14:O43 P19:Q20 P22:Q27 N31:N43 P32:Q33 N46:N51 O46:O49 P50:Q51 N53:O55 N66:O68 N74:O77">
    <cfRule type="containsText" dxfId="2" priority="20166" operator="containsText" text="Yes">
      <formula>NOT(ISERROR(SEARCH(("Yes"),(O14))))</formula>
    </cfRule>
  </conditionalFormatting>
  <conditionalFormatting sqref="O14:O43 P19:Q20 P22:Q27 N31:N43 P32:Q33 N46:N51 O46:O49 P50:Q51 N53:O55 N66:O68 N74:O77">
    <cfRule type="containsText" dxfId="2" priority="20167" operator="containsText" text="Yes">
      <formula>NOT(ISERROR(SEARCH(("Yes"),(O14))))</formula>
    </cfRule>
  </conditionalFormatting>
  <conditionalFormatting sqref="O14:O43 P19:Q20 P22:Q27 N31:N43 P32:Q33 N46:N51 O46:O49 P50:Q51 N53:O55 N66:O68 N74:O77">
    <cfRule type="containsText" dxfId="2" priority="20168" operator="containsText" text="Yes">
      <formula>NOT(ISERROR(SEARCH(("Yes"),(O14))))</formula>
    </cfRule>
  </conditionalFormatting>
  <conditionalFormatting sqref="O14:O43 P19:Q20 P22:Q27 N31:N43 P32:Q33 N46:N51 O46:O49 P50:Q51 N53:O55 N66:O68 N74:O77">
    <cfRule type="containsText" dxfId="2" priority="20169" operator="containsText" text="Yes">
      <formula>NOT(ISERROR(SEARCH(("Yes"),(O14))))</formula>
    </cfRule>
  </conditionalFormatting>
  <conditionalFormatting sqref="O14:O43 P19:Q20 P22:Q27 N31:N43 P32:Q33 N46:N51 O46:O49 P50:Q51 N53:O55 N66:O68 N74:O77">
    <cfRule type="containsText" dxfId="2" priority="20170" operator="containsText" text="Yes">
      <formula>NOT(ISERROR(SEARCH(("Yes"),(O14))))</formula>
    </cfRule>
  </conditionalFormatting>
  <conditionalFormatting sqref="O14:O43 P19:Q20 P22:Q27 N31:N43 P32:Q33 N46:N51 O46:O49 P50:Q51 N53:O55 N66:O68 N74:O77">
    <cfRule type="containsText" dxfId="2" priority="20171" operator="containsText" text="Yes">
      <formula>NOT(ISERROR(SEARCH(("Yes"),(O14))))</formula>
    </cfRule>
  </conditionalFormatting>
  <conditionalFormatting sqref="O14:O43 P19:Q20 P22:Q27 N31:N43 P32:Q33 N46:N51 O46:O49 P50:Q51 N53:O55 N66:O68 N74:O77">
    <cfRule type="containsText" dxfId="2" priority="20172" operator="containsText" text="Yes">
      <formula>NOT(ISERROR(SEARCH(("Yes"),(O14))))</formula>
    </cfRule>
  </conditionalFormatting>
  <conditionalFormatting sqref="O14:O43 P19:Q20 P22:Q27 N31:N43 P32:Q33 N46:N51 O46:O49 P50:Q51 N53:O55 N66:O68 N74:O77">
    <cfRule type="containsText" dxfId="2" priority="20173" operator="containsText" text="Yes">
      <formula>NOT(ISERROR(SEARCH(("Yes"),(O14))))</formula>
    </cfRule>
  </conditionalFormatting>
  <conditionalFormatting sqref="O14:O43 P19:Q20 P22:Q27 N31:N43 P32:Q33 N46:N51 O46:O49 P50:Q51 N53:O55 N66:O68 N74:O77">
    <cfRule type="containsText" dxfId="2" priority="20174" operator="containsText" text="Yes">
      <formula>NOT(ISERROR(SEARCH(("Yes"),(O14))))</formula>
    </cfRule>
  </conditionalFormatting>
  <conditionalFormatting sqref="O14:O43 P19:Q20 P22:Q27 N31:N43 P32:Q33 N46:N51 O46:O49 P50:Q51 N53:O55 N66:O68 N74:O77">
    <cfRule type="containsText" dxfId="2" priority="20175" operator="containsText" text="Yes">
      <formula>NOT(ISERROR(SEARCH(("Yes"),(O14))))</formula>
    </cfRule>
  </conditionalFormatting>
  <conditionalFormatting sqref="O14:O43 P19:Q20 P22:Q27 N31:N43 P32:Q33 N46:N51 O46:O49 P50:Q51 N53:O55 N66:O68 N74:O77">
    <cfRule type="containsText" dxfId="2" priority="20176" operator="containsText" text="Yes">
      <formula>NOT(ISERROR(SEARCH(("Yes"),(O14))))</formula>
    </cfRule>
  </conditionalFormatting>
  <conditionalFormatting sqref="O14:O43 P19:Q20 P22:Q27 N31:N43 P32:Q33 N46:N51 O46:O49 P50:Q51 N53:O55 N66:O68 N74:O77">
    <cfRule type="containsText" dxfId="2" priority="20177" operator="containsText" text="Yes">
      <formula>NOT(ISERROR(SEARCH(("Yes"),(O14))))</formula>
    </cfRule>
  </conditionalFormatting>
  <conditionalFormatting sqref="O14:O43 P19:Q20 P22:Q27 N31:N43 P32:Q33 N46:N51 O46:O49 P50:Q51 N53:O55 N66:O68 N74:O77">
    <cfRule type="containsText" dxfId="2" priority="20178" operator="containsText" text="Yes">
      <formula>NOT(ISERROR(SEARCH(("Yes"),(O14))))</formula>
    </cfRule>
  </conditionalFormatting>
  <conditionalFormatting sqref="O14:O43 P19:Q20 P22:Q27 N31:N43 P32:Q33 N46:N51 O46:O49 P50:Q51 N53:O55 N66:O68 N74:O77">
    <cfRule type="containsText" dxfId="2" priority="20179" operator="containsText" text="Yes">
      <formula>NOT(ISERROR(SEARCH(("Yes"),(O14))))</formula>
    </cfRule>
  </conditionalFormatting>
  <conditionalFormatting sqref="O14:O43 P19:Q20 P22:Q27 N31:N43 P32:Q33 N46:N51 O46:O49 P50:Q51 N53:O55 N66:O68 N74:O77">
    <cfRule type="containsText" dxfId="2" priority="20180" operator="containsText" text="Yes">
      <formula>NOT(ISERROR(SEARCH(("Yes"),(O14))))</formula>
    </cfRule>
  </conditionalFormatting>
  <conditionalFormatting sqref="O14:O43 P19:Q20 P22:Q27 N31:N43 P32:Q33 N46:N51 O46:O49 P50:Q51 N53:O55 N66:O68 N74:O77">
    <cfRule type="containsText" dxfId="2" priority="20181" operator="containsText" text="Yes">
      <formula>NOT(ISERROR(SEARCH(("Yes"),(O14))))</formula>
    </cfRule>
  </conditionalFormatting>
  <conditionalFormatting sqref="O14:O43 P19:Q20 P22:Q27 N31:N43 P32:Q33 N46:N51 O46:O49 P50:Q51 N53:O55 N66:O68 N74:O77">
    <cfRule type="containsText" dxfId="2" priority="20182" operator="containsText" text="Yes">
      <formula>NOT(ISERROR(SEARCH(("Yes"),(O14))))</formula>
    </cfRule>
  </conditionalFormatting>
  <conditionalFormatting sqref="O14:O43 P19:Q20 P22:Q27 N31:N43 P32:Q33 N46:N51 O46:O49 P50:Q51 N53:O55 N66:O68 N74:O77">
    <cfRule type="containsText" dxfId="2" priority="20183" operator="containsText" text="Yes">
      <formula>NOT(ISERROR(SEARCH(("Yes"),(O14))))</formula>
    </cfRule>
  </conditionalFormatting>
  <conditionalFormatting sqref="O14:O43 P19:Q20 P22:Q27 N31:N43 P32:Q33 N46:N51 O46:O49 P50:Q51 N53:O55 N66:O68 N74:O77">
    <cfRule type="containsText" dxfId="2" priority="20184" operator="containsText" text="Yes">
      <formula>NOT(ISERROR(SEARCH(("Yes"),(O14))))</formula>
    </cfRule>
  </conditionalFormatting>
  <conditionalFormatting sqref="O14:O43 P19:Q20 P22:Q27 N31:N43 P32:Q33 N46:N51 O46:O49 P50:Q51 N53:O55 N66:O68 N74:O77">
    <cfRule type="containsText" dxfId="2" priority="20185" operator="containsText" text="Yes">
      <formula>NOT(ISERROR(SEARCH(("Yes"),(O14))))</formula>
    </cfRule>
  </conditionalFormatting>
  <conditionalFormatting sqref="O14:O43 P19:Q20 P22:Q27 N31:N43 P32:Q33 N46:N51 O46:O49 P50:Q51 N53:O55 N66:O68 N74:O77">
    <cfRule type="containsText" dxfId="2" priority="20186" operator="containsText" text="Yes">
      <formula>NOT(ISERROR(SEARCH(("Yes"),(O14))))</formula>
    </cfRule>
  </conditionalFormatting>
  <conditionalFormatting sqref="O14:O43 P19:Q20 P22:Q27 N31:N43 P32:Q33 N46:N51 O46:O49 P50:Q51 N53:O55 N66:O68 N74:O77">
    <cfRule type="containsText" dxfId="2" priority="20187" operator="containsText" text="Yes">
      <formula>NOT(ISERROR(SEARCH(("Yes"),(O14))))</formula>
    </cfRule>
  </conditionalFormatting>
  <conditionalFormatting sqref="O14:O43 P19:Q20 P22:Q27 N31:N43 P32:Q33 N46:N51 O46:O49 P50:Q51 N53:O55 N66:O68 N74:O77">
    <cfRule type="containsText" dxfId="2" priority="20188" operator="containsText" text="Yes">
      <formula>NOT(ISERROR(SEARCH(("Yes"),(O14))))</formula>
    </cfRule>
  </conditionalFormatting>
  <conditionalFormatting sqref="O14:O43 P19:Q20 P22:Q27 N31:N43 P32:Q33 N46:N51 O46:O49 P50:Q51 N53:O55 N66:O68 N74:O77">
    <cfRule type="containsText" dxfId="2" priority="20189" operator="containsText" text="Yes">
      <formula>NOT(ISERROR(SEARCH(("Yes"),(O14))))</formula>
    </cfRule>
  </conditionalFormatting>
  <conditionalFormatting sqref="O14:O43 P19:Q20 P22:Q27 N31:N43 P32:Q33 N46:N51 O46:O49 P50:Q51 N53:O55 N66:O68 N74:O77">
    <cfRule type="containsText" dxfId="2" priority="20190" operator="containsText" text="Yes">
      <formula>NOT(ISERROR(SEARCH(("Yes"),(O14))))</formula>
    </cfRule>
  </conditionalFormatting>
  <conditionalFormatting sqref="O14:O43 P19:Q20 P22:Q27 N31:N43 P32:Q33 N46:N51 O46:O49 P50:Q51 N53:O55 N66:O68 N74:O77">
    <cfRule type="containsText" dxfId="2" priority="20191" operator="containsText" text="Yes">
      <formula>NOT(ISERROR(SEARCH(("Yes"),(O14))))</formula>
    </cfRule>
  </conditionalFormatting>
  <conditionalFormatting sqref="O14:O43 P19:Q20 P22:Q27 N31:N43 P32:Q33 N46:N51 O46:O49 P50:Q51 N53:O55 N66:O68 N74:O77">
    <cfRule type="containsText" dxfId="2" priority="20192" operator="containsText" text="Yes">
      <formula>NOT(ISERROR(SEARCH(("Yes"),(O14))))</formula>
    </cfRule>
  </conditionalFormatting>
  <conditionalFormatting sqref="O14:O43 P19:Q20 P22:Q27 N31:N43 P32:Q33 N46:N51 O46:O49 P50:Q51 N53:O55 N66:O68 N74:O77">
    <cfRule type="containsText" dxfId="2" priority="20193" operator="containsText" text="Yes">
      <formula>NOT(ISERROR(SEARCH(("Yes"),(O14))))</formula>
    </cfRule>
  </conditionalFormatting>
  <conditionalFormatting sqref="O14:O43 P19:Q20 P22:Q27 N31:N43 P32:Q33 N46:N51 O46:O49 P50:Q51 N53:O55 N66:O68 N74:O77">
    <cfRule type="containsText" dxfId="2" priority="20194" operator="containsText" text="Yes">
      <formula>NOT(ISERROR(SEARCH(("Yes"),(O14))))</formula>
    </cfRule>
  </conditionalFormatting>
  <conditionalFormatting sqref="O14:O43 P19:Q20 P22:Q27 N31:N43 P32:Q33 N46:N51 O46:O49 P50:Q51 N53:O55 N66:O68 N74:O77">
    <cfRule type="containsText" dxfId="2" priority="20195" operator="containsText" text="Yes">
      <formula>NOT(ISERROR(SEARCH(("Yes"),(O14))))</formula>
    </cfRule>
  </conditionalFormatting>
  <conditionalFormatting sqref="O14:O43 P19:Q20 P22:Q27 N31:N43 P32:Q33 N46:N51 O46:O49 P50:Q51 N53:O55 N66:O68 N74:O77">
    <cfRule type="containsText" dxfId="2" priority="20196" operator="containsText" text="Yes">
      <formula>NOT(ISERROR(SEARCH(("Yes"),(O14))))</formula>
    </cfRule>
  </conditionalFormatting>
  <conditionalFormatting sqref="O14:O43 P19:Q20 P22:Q27 N31:N43 P32:Q33 N46:N51 O46:O49 P50:Q51 N53:O55 N66:O68 N74:O77">
    <cfRule type="containsText" dxfId="2" priority="20197" operator="containsText" text="Yes">
      <formula>NOT(ISERROR(SEARCH(("Yes"),(O14))))</formula>
    </cfRule>
  </conditionalFormatting>
  <conditionalFormatting sqref="O14:O43 P19:Q20 P22:Q27 N31:N43 P32:Q33 N46:N51 O46:O49 P50:Q51 N53:O55 N66:O68 N74:O77">
    <cfRule type="containsText" dxfId="2" priority="20198" operator="containsText" text="Yes">
      <formula>NOT(ISERROR(SEARCH(("Yes"),(O14))))</formula>
    </cfRule>
  </conditionalFormatting>
  <conditionalFormatting sqref="O14:O43 P19:Q20 P22:Q27 N31:N43 P32:Q33 N46:N51 O46:O49 P50:Q51 N53:O55 N66:O68 N74:O77">
    <cfRule type="containsText" dxfId="2" priority="20199" operator="containsText" text="Yes">
      <formula>NOT(ISERROR(SEARCH(("Yes"),(O14))))</formula>
    </cfRule>
  </conditionalFormatting>
  <conditionalFormatting sqref="O14:O43 P19:Q20 P22:Q27 N31:N43 P32:Q33 N46:N51 O46:O49 P50:Q51 N53:O55 N66:O68 N74:O77">
    <cfRule type="containsText" dxfId="2" priority="20200" operator="containsText" text="Yes">
      <formula>NOT(ISERROR(SEARCH(("Yes"),(O14))))</formula>
    </cfRule>
  </conditionalFormatting>
  <conditionalFormatting sqref="O14:O43 P19:Q20 P22:Q27 N31:N43 P32:Q33 N46:N51 O46:O49 P50:Q51 N53:O55 N66:O68 N74:O77">
    <cfRule type="containsText" dxfId="2" priority="20201" operator="containsText" text="Yes">
      <formula>NOT(ISERROR(SEARCH(("Yes"),(O14))))</formula>
    </cfRule>
  </conditionalFormatting>
  <conditionalFormatting sqref="O14:O43 P19:Q20 P22:Q27 N31:N43 P32:Q33 N46:N51 O46:O49 P50:Q51 N53:O55 N66:O68 N74:O77">
    <cfRule type="containsText" dxfId="2" priority="20202" operator="containsText" text="Yes">
      <formula>NOT(ISERROR(SEARCH(("Yes"),(O14))))</formula>
    </cfRule>
  </conditionalFormatting>
  <conditionalFormatting sqref="O14:O43 P19:Q20 P22:Q27 N31:N43 P32:Q33 N46:N51 O46:O49 P50:Q51 N53:O55 N66:O68 N74:O77">
    <cfRule type="containsText" dxfId="2" priority="20203" operator="containsText" text="Yes">
      <formula>NOT(ISERROR(SEARCH(("Yes"),(O14))))</formula>
    </cfRule>
  </conditionalFormatting>
  <conditionalFormatting sqref="O14:O43 P19:Q20 P22:Q27 N31:N43 P32:Q33 N46:N51 O46:O49 P50:Q51 N53:O55 N66:O68 N74:O77">
    <cfRule type="containsText" dxfId="2" priority="20204" operator="containsText" text="Yes">
      <formula>NOT(ISERROR(SEARCH(("Yes"),(O14))))</formula>
    </cfRule>
  </conditionalFormatting>
  <conditionalFormatting sqref="O14:O43 P19:Q20 P22:Q27 N31:N43 P32:Q33 N46:N51 O46:O49 P50:Q51 N53:O55 N66:O68 N74:O77">
    <cfRule type="containsText" dxfId="2" priority="20205" operator="containsText" text="Yes">
      <formula>NOT(ISERROR(SEARCH(("Yes"),(O14))))</formula>
    </cfRule>
  </conditionalFormatting>
  <conditionalFormatting sqref="O14:O43 P19:Q20 P22:Q27 N31:N43 P32:Q33 N46:N51 O46:O49 P50:Q51 N53:O55 N66:O68 N74:O77">
    <cfRule type="containsText" dxfId="2" priority="20206" operator="containsText" text="Yes">
      <formula>NOT(ISERROR(SEARCH(("Yes"),(O14))))</formula>
    </cfRule>
  </conditionalFormatting>
  <conditionalFormatting sqref="O14:O43 P19:Q20 P22:Q27 N31:N43 P32:Q33 N46:N51 O46:O49 P50:Q51 N53:O55 N66:O68 N74:O77">
    <cfRule type="containsText" dxfId="2" priority="20207" operator="containsText" text="Yes">
      <formula>NOT(ISERROR(SEARCH(("Yes"),(O14))))</formula>
    </cfRule>
  </conditionalFormatting>
  <conditionalFormatting sqref="O14:O43 P19:Q20 P22:Q27 N31:N43 P32:Q33 N46:N51 O46:O49 P50:Q51 N53:O55 N66:O68 N74:O77">
    <cfRule type="containsText" dxfId="2" priority="20208" operator="containsText" text="Yes">
      <formula>NOT(ISERROR(SEARCH(("Yes"),(O14))))</formula>
    </cfRule>
  </conditionalFormatting>
  <conditionalFormatting sqref="O14:O43 P19:Q20 P22:Q27 N31:N43 P32:Q33 N46:N51 O46:O49 P50:Q51 N53:O55 N66:O68 N74:O77">
    <cfRule type="containsText" dxfId="2" priority="20209" operator="containsText" text="Yes">
      <formula>NOT(ISERROR(SEARCH(("Yes"),(O14))))</formula>
    </cfRule>
  </conditionalFormatting>
  <conditionalFormatting sqref="O14:O43 P19:Q20 P22:Q27 N31:N43 P32:Q33 N46:N51 O46:O49 P50:Q51 N53:O55 N66:O68 N74:O77">
    <cfRule type="containsText" dxfId="2" priority="20210" operator="containsText" text="Yes">
      <formula>NOT(ISERROR(SEARCH(("Yes"),(O14))))</formula>
    </cfRule>
  </conditionalFormatting>
  <conditionalFormatting sqref="O14:O43 P19:Q20 P22:Q27 N31:N43 P32:Q33 N46:N51 O46:O49 P50:Q51 N53:O55 N66:O68 N74:O77">
    <cfRule type="containsText" dxfId="2" priority="20211" operator="containsText" text="Yes">
      <formula>NOT(ISERROR(SEARCH(("Yes"),(O14))))</formula>
    </cfRule>
  </conditionalFormatting>
  <conditionalFormatting sqref="O14:O43 P19:Q20 P22:Q27 N31:N43 P32:Q33 N46:N51 O46:O49 P50:Q51 N53:O55 N66:O68 N74:O77">
    <cfRule type="containsText" dxfId="2" priority="20212" operator="containsText" text="Yes">
      <formula>NOT(ISERROR(SEARCH(("Yes"),(O14))))</formula>
    </cfRule>
  </conditionalFormatting>
  <conditionalFormatting sqref="P15:P83 O27:O28 Q32:Q33 Q50:Q51 P85:P91 P96:P99 P102:P109 P112:P113 P115:P118 P121:P133 P136:P139 P142:P143 P146:P152 Q150 P154 P159 P161:P162 P164 P166:P167 P172 P174 P176 P180:P182 P184">
    <cfRule type="containsText" dxfId="9" priority="20213"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14"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15"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16"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17"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18"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19"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20"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21"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22"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23"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24"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25"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26"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27"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28"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29"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30"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31"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32"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33"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34"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35"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36"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37"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38"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39"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40"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41"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42"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43"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44"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45"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46"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47"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48"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49"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50"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51"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52"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53"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54"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55"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56"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9" priority="20257" operator="containsText" text="No">
      <formula>NOT(ISERROR(SEARCH(("No"),(P15))))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58"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59"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60"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61"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62"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63"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64"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65"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66"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67"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68"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69"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70"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71"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72"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73"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74"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75"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76"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77"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78"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79"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80"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81"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82"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83"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84"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85"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86"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87"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88"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89"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90"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91"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92"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93"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94"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95"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96"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97"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98"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299"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300"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301"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302"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303" operator="containsText" text="Yes">
      <formula>NOT(ISERROR(SEARCH(("Yes"),(P15))))</formula>
    </cfRule>
  </conditionalFormatting>
  <conditionalFormatting sqref="P15:P83 O27:O28 Q32:Q33 Q50:Q51 P85:P91 P96:P99 P102:P109 P112:P113 P115:P118 P121:P133 P136:P139 P142:P143 P146:P152 Q150 P154 P159 P161:P162 P164 P166:P167 P172 P174 P176 P180:P182 P184">
    <cfRule type="containsText" dxfId="2" priority="20304" operator="containsText" text="Yes">
      <formula>NOT(ISERROR(SEARCH(("Yes"),(P15))))</formula>
    </cfRule>
  </conditionalFormatting>
  <conditionalFormatting sqref="Q15:Q83 Q85:Q91 Q96:Q99 Q102:Q109 Q112:Q113 Q115:Q118 Q121:Q133 Q136:Q139 Q142:Q143 Q146:Q149 Q151:Q152 Q154 Q159 Q161:Q162 Q164 Q166:Q167 Q172 Q174 Q176 Q180:Q182 Q184">
    <cfRule type="containsText" dxfId="9" priority="20305"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06"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07"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08"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09"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10"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11"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12"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13"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14"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15"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16"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17"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18"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19"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20"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21"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22"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23"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24"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25"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26"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27"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28"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29"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30"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31"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32"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33"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34"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35"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36"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37"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38"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39"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40"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41"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42"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43"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44"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45"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46"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47"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48"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9" priority="20349" operator="containsText" text="No">
      <formula>NOT(ISERROR(SEARCH(("No"),(Q15))))</formula>
    </cfRule>
  </conditionalFormatting>
  <conditionalFormatting sqref="Q15:Q83 Q85:Q91 Q96:Q99 Q102:Q109 Q112:Q113 Q115:Q118 Q121:Q133 Q136:Q139 Q142:Q143 Q146:Q149 Q151:Q152 Q154 Q159 Q161:Q162 Q164 Q166:Q167 Q172 Q174 Q176 Q180:Q182 Q184">
    <cfRule type="containsText" dxfId="2" priority="20350"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51"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52"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53"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54"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55"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56"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57"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58"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59"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60"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61"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62"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63"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64"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65"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66"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67"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68"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69"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70"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71"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72"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73"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74"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75"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76"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77"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78"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79"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80"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81"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82"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83"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84"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85"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86"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87"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88"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89"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90"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91"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92"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93"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94"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95" operator="containsText" text="Yes">
      <formula>NOT(ISERROR(SEARCH(("Yes"),(Q15))))</formula>
    </cfRule>
  </conditionalFormatting>
  <conditionalFormatting sqref="Q15:Q83 Q85:Q91 Q96:Q99 Q102:Q109 Q112:Q113 Q115:Q118 Q121:Q133 Q136:Q139 Q142:Q143 Q146:Q149 Q151:Q152 Q154 Q159 Q161:Q162 Q164 Q166:Q167 Q172 Q174 Q176 Q180:Q182 Q184">
    <cfRule type="containsText" dxfId="2" priority="20396" operator="containsText" text="Yes">
      <formula>NOT(ISERROR(SEARCH(("Yes"),(Q15))))</formula>
    </cfRule>
  </conditionalFormatting>
  <conditionalFormatting sqref="N15:N83 P27:Q28 N85:N87 N89:N91 N96:N99 N102:N109 N112:N113 N115:N118 N121:N133 N136:N139 N142:N143 N146:N152 N154 N159 N161">
    <cfRule type="containsText" dxfId="9" priority="20397" operator="containsText" text="No">
      <formula>NOT(ISERROR(SEARCH(("No"),(N15))))</formula>
    </cfRule>
  </conditionalFormatting>
  <conditionalFormatting sqref="N15:N83 P27:Q28 N85:N87 N89:N91 N96:N99 N102:N109 N112:N113 N115:N118 N121:N133 N136:N139 N142:N143 N146:N152 N154 N159 N161">
    <cfRule type="containsText" dxfId="9" priority="20398" operator="containsText" text="No">
      <formula>NOT(ISERROR(SEARCH(("No"),(N15))))</formula>
    </cfRule>
  </conditionalFormatting>
  <conditionalFormatting sqref="N15:N83 P27:Q28 N85:N87 N89:N91 N96:N99 N102:N109 N112:N113 N115:N118 N121:N133 N136:N139 N142:N143 N146:N152 N154 N159 N161">
    <cfRule type="containsText" dxfId="9" priority="20399" operator="containsText" text="No">
      <formula>NOT(ISERROR(SEARCH(("No"),(N15))))</formula>
    </cfRule>
  </conditionalFormatting>
  <conditionalFormatting sqref="N15:N83 P27:Q28 N85:N87 N89:N91 N96:N99 N102:N109 N112:N113 N115:N118 N121:N133 N136:N139 N142:N143 N146:N152 N154 N159 N161">
    <cfRule type="containsText" dxfId="9" priority="20400" operator="containsText" text="No">
      <formula>NOT(ISERROR(SEARCH(("No"),(N15))))</formula>
    </cfRule>
  </conditionalFormatting>
  <conditionalFormatting sqref="N15:N83 P27:Q28 N85:N87 N89:N91 N96:N99 N102:N109 N112:N113 N115:N118 N121:N133 N136:N139 N142:N143 N146:N152 N154 N159 N161">
    <cfRule type="containsText" dxfId="9" priority="20401" operator="containsText" text="No">
      <formula>NOT(ISERROR(SEARCH(("No"),(N15))))</formula>
    </cfRule>
  </conditionalFormatting>
  <conditionalFormatting sqref="N15:N83 P27:Q28 N85:N87 N89:N91 N96:N99 N102:N109 N112:N113 N115:N118 N121:N133 N136:N139 N142:N143 N146:N152 N154 N159 N161">
    <cfRule type="containsText" dxfId="9" priority="20402" operator="containsText" text="No">
      <formula>NOT(ISERROR(SEARCH(("No"),(N15))))</formula>
    </cfRule>
  </conditionalFormatting>
  <conditionalFormatting sqref="N15:N83 P27:Q28 N85:N87 N89:N91 N96:N99 N102:N109 N112:N113 N115:N118 N121:N133 N136:N139 N142:N143 N146:N152 N154 N159 N161">
    <cfRule type="containsText" dxfId="9" priority="20403" operator="containsText" text="No">
      <formula>NOT(ISERROR(SEARCH(("No"),(N15))))</formula>
    </cfRule>
  </conditionalFormatting>
  <conditionalFormatting sqref="N15:N83 P27:Q28 N85:N87 N89:N91 N96:N99 N102:N109 N112:N113 N115:N118 N121:N133 N136:N139 N142:N143 N146:N152 N154 N159 N161">
    <cfRule type="containsText" dxfId="9" priority="20404" operator="containsText" text="No">
      <formula>NOT(ISERROR(SEARCH(("No"),(N15))))</formula>
    </cfRule>
  </conditionalFormatting>
  <conditionalFormatting sqref="N15:N83 P27:Q28 N85:N87 N89:N91 N96:N99 N102:N109 N112:N113 N115:N118 N121:N133 N136:N139 N142:N143 N146:N152 N154 N159 N161">
    <cfRule type="containsText" dxfId="9" priority="20405" operator="containsText" text="No">
      <formula>NOT(ISERROR(SEARCH(("No"),(N15))))</formula>
    </cfRule>
  </conditionalFormatting>
  <conditionalFormatting sqref="N15:N83 P27:Q28 N85:N87 N89:N91 N96:N99 N102:N109 N112:N113 N115:N118 N121:N133 N136:N139 N142:N143 N146:N152 N154 N159 N161">
    <cfRule type="containsText" dxfId="9" priority="20406" operator="containsText" text="No">
      <formula>NOT(ISERROR(SEARCH(("No"),(N15))))</formula>
    </cfRule>
  </conditionalFormatting>
  <conditionalFormatting sqref="N15:N83 P27:Q28 N85:N87 N89:N91 N96:N99 N102:N109 N112:N113 N115:N118 N121:N133 N136:N139 N142:N143 N146:N152 N154 N159 N161">
    <cfRule type="containsText" dxfId="9" priority="20407" operator="containsText" text="No">
      <formula>NOT(ISERROR(SEARCH(("No"),(N15))))</formula>
    </cfRule>
  </conditionalFormatting>
  <conditionalFormatting sqref="N15:N83 P27:Q28 N85:N87 N89:N91 N96:N99 N102:N109 N112:N113 N115:N118 N121:N133 N136:N139 N142:N143 N146:N152 N154 N159 N161">
    <cfRule type="containsText" dxfId="9" priority="20408" operator="containsText" text="No">
      <formula>NOT(ISERROR(SEARCH(("No"),(N15))))</formula>
    </cfRule>
  </conditionalFormatting>
  <conditionalFormatting sqref="N15:N83 P27:Q28 N85:N87 N89:N91 N96:N99 N102:N109 N112:N113 N115:N118 N121:N133 N136:N139 N142:N143 N146:N152 N154 N159 N161">
    <cfRule type="containsText" dxfId="9" priority="20409" operator="containsText" text="No">
      <formula>NOT(ISERROR(SEARCH(("No"),(N15))))</formula>
    </cfRule>
  </conditionalFormatting>
  <conditionalFormatting sqref="N15:N83 P27:Q28 N85:N87 N89:N91 N96:N99 N102:N109 N112:N113 N115:N118 N121:N133 N136:N139 N142:N143 N146:N152 N154 N159 N161">
    <cfRule type="containsText" dxfId="9" priority="20410" operator="containsText" text="No">
      <formula>NOT(ISERROR(SEARCH(("No"),(N15))))</formula>
    </cfRule>
  </conditionalFormatting>
  <conditionalFormatting sqref="N15:N83 P27:Q28 N85:N87 N89:N91 N96:N99 N102:N109 N112:N113 N115:N118 N121:N133 N136:N139 N142:N143 N146:N152 N154 N159 N161">
    <cfRule type="containsText" dxfId="9" priority="20411" operator="containsText" text="No">
      <formula>NOT(ISERROR(SEARCH(("No"),(N15))))</formula>
    </cfRule>
  </conditionalFormatting>
  <conditionalFormatting sqref="N15:N83 P27:Q28 N85:N87 N89:N91 N96:N99 N102:N109 N112:N113 N115:N118 N121:N133 N136:N139 N142:N143 N146:N152 N154 N159 N161">
    <cfRule type="containsText" dxfId="9" priority="20412" operator="containsText" text="No">
      <formula>NOT(ISERROR(SEARCH(("No"),(N15))))</formula>
    </cfRule>
  </conditionalFormatting>
  <conditionalFormatting sqref="N15:N83 P27:Q28 N85:N87 N89:N91 N96:N99 N102:N109 N112:N113 N115:N118 N121:N133 N136:N139 N142:N143 N146:N152 N154 N159 N161">
    <cfRule type="containsText" dxfId="9" priority="20413" operator="containsText" text="No">
      <formula>NOT(ISERROR(SEARCH(("No"),(N15))))</formula>
    </cfRule>
  </conditionalFormatting>
  <conditionalFormatting sqref="N15:N83 P27:Q28 N85:N87 N89:N91 N96:N99 N102:N109 N112:N113 N115:N118 N121:N133 N136:N139 N142:N143 N146:N152 N154 N159 N161">
    <cfRule type="containsText" dxfId="9" priority="20414" operator="containsText" text="No">
      <formula>NOT(ISERROR(SEARCH(("No"),(N15))))</formula>
    </cfRule>
  </conditionalFormatting>
  <conditionalFormatting sqref="N15:N83 P27:Q28 N85:N87 N89:N91 N96:N99 N102:N109 N112:N113 N115:N118 N121:N133 N136:N139 N142:N143 N146:N152 N154 N159 N161">
    <cfRule type="containsText" dxfId="9" priority="20415" operator="containsText" text="No">
      <formula>NOT(ISERROR(SEARCH(("No"),(N15))))</formula>
    </cfRule>
  </conditionalFormatting>
  <conditionalFormatting sqref="N15:N83 P27:Q28 N85:N87 N89:N91 N96:N99 N102:N109 N112:N113 N115:N118 N121:N133 N136:N139 N142:N143 N146:N152 N154 N159 N161">
    <cfRule type="containsText" dxfId="9" priority="20416" operator="containsText" text="No">
      <formula>NOT(ISERROR(SEARCH(("No"),(N15))))</formula>
    </cfRule>
  </conditionalFormatting>
  <conditionalFormatting sqref="N15:N83 P27:Q28 N85:N87 N89:N91 N96:N99 N102:N109 N112:N113 N115:N118 N121:N133 N136:N139 N142:N143 N146:N152 N154 N159 N161">
    <cfRule type="containsText" dxfId="9" priority="20417" operator="containsText" text="No">
      <formula>NOT(ISERROR(SEARCH(("No"),(N15))))</formula>
    </cfRule>
  </conditionalFormatting>
  <conditionalFormatting sqref="N15:N83 P27:Q28 N85:N87 N89:N91 N96:N99 N102:N109 N112:N113 N115:N118 N121:N133 N136:N139 N142:N143 N146:N152 N154 N159 N161">
    <cfRule type="containsText" dxfId="9" priority="20418" operator="containsText" text="No">
      <formula>NOT(ISERROR(SEARCH(("No"),(N15))))</formula>
    </cfRule>
  </conditionalFormatting>
  <conditionalFormatting sqref="N15:N83 P27:Q28 N85:N87 N89:N91 N96:N99 N102:N109 N112:N113 N115:N118 N121:N133 N136:N139 N142:N143 N146:N152 N154 N159 N161">
    <cfRule type="containsText" dxfId="9" priority="20419" operator="containsText" text="No">
      <formula>NOT(ISERROR(SEARCH(("No"),(N15))))</formula>
    </cfRule>
  </conditionalFormatting>
  <conditionalFormatting sqref="N15:N83 P27:Q28 N85:N87 N89:N91 N96:N99 N102:N109 N112:N113 N115:N118 N121:N133 N136:N139 N142:N143 N146:N152 N154 N159 N161">
    <cfRule type="containsText" dxfId="9" priority="20420" operator="containsText" text="No">
      <formula>NOT(ISERROR(SEARCH(("No"),(N15))))</formula>
    </cfRule>
  </conditionalFormatting>
  <conditionalFormatting sqref="N15:N83 P27:Q28 N85:N87 N89:N91 N96:N99 N102:N109 N112:N113 N115:N118 N121:N133 N136:N139 N142:N143 N146:N152 N154 N159 N161">
    <cfRule type="containsText" dxfId="9" priority="20421" operator="containsText" text="No">
      <formula>NOT(ISERROR(SEARCH(("No"),(N15))))</formula>
    </cfRule>
  </conditionalFormatting>
  <conditionalFormatting sqref="N15:N83 P27:Q28 N85:N87 N89:N91 N96:N99 N102:N109 N112:N113 N115:N118 N121:N133 N136:N139 N142:N143 N146:N152 N154 N159 N161">
    <cfRule type="containsText" dxfId="9" priority="20422" operator="containsText" text="No">
      <formula>NOT(ISERROR(SEARCH(("No"),(N15))))</formula>
    </cfRule>
  </conditionalFormatting>
  <conditionalFormatting sqref="N15:N83 P27:Q28 N85:N87 N89:N91 N96:N99 N102:N109 N112:N113 N115:N118 N121:N133 N136:N139 N142:N143 N146:N152 N154 N159 N161">
    <cfRule type="containsText" dxfId="9" priority="20423" operator="containsText" text="No">
      <formula>NOT(ISERROR(SEARCH(("No"),(N15))))</formula>
    </cfRule>
  </conditionalFormatting>
  <conditionalFormatting sqref="N15:N83 P27:Q28 N85:N87 N89:N91 N96:N99 N102:N109 N112:N113 N115:N118 N121:N133 N136:N139 N142:N143 N146:N152 N154 N159 N161">
    <cfRule type="containsText" dxfId="9" priority="20424" operator="containsText" text="No">
      <formula>NOT(ISERROR(SEARCH(("No"),(N15))))</formula>
    </cfRule>
  </conditionalFormatting>
  <conditionalFormatting sqref="N15:N83 P27:Q28 N85:N87 N89:N91 N96:N99 N102:N109 N112:N113 N115:N118 N121:N133 N136:N139 N142:N143 N146:N152 N154 N159 N161">
    <cfRule type="containsText" dxfId="9" priority="20425" operator="containsText" text="No">
      <formula>NOT(ISERROR(SEARCH(("No"),(N15))))</formula>
    </cfRule>
  </conditionalFormatting>
  <conditionalFormatting sqref="N15:N83 P27:Q28 N85:N87 N89:N91 N96:N99 N102:N109 N112:N113 N115:N118 N121:N133 N136:N139 N142:N143 N146:N152 N154 N159 N161">
    <cfRule type="containsText" dxfId="9" priority="20426" operator="containsText" text="No">
      <formula>NOT(ISERROR(SEARCH(("No"),(N15))))</formula>
    </cfRule>
  </conditionalFormatting>
  <conditionalFormatting sqref="N15:N83 P27:Q28 N85:N87 N89:N91 N96:N99 N102:N109 N112:N113 N115:N118 N121:N133 N136:N139 N142:N143 N146:N152 N154 N159 N161">
    <cfRule type="containsText" dxfId="9" priority="20427" operator="containsText" text="No">
      <formula>NOT(ISERROR(SEARCH(("No"),(N15))))</formula>
    </cfRule>
  </conditionalFormatting>
  <conditionalFormatting sqref="N15:N83 P27:Q28 N85:N87 N89:N91 N96:N99 N102:N109 N112:N113 N115:N118 N121:N133 N136:N139 N142:N143 N146:N152 N154 N159 N161">
    <cfRule type="containsText" dxfId="9" priority="20428" operator="containsText" text="No">
      <formula>NOT(ISERROR(SEARCH(("No"),(N15))))</formula>
    </cfRule>
  </conditionalFormatting>
  <conditionalFormatting sqref="N15:N83 P27:Q28 N85:N87 N89:N91 N96:N99 N102:N109 N112:N113 N115:N118 N121:N133 N136:N139 N142:N143 N146:N152 N154 N159 N161">
    <cfRule type="containsText" dxfId="9" priority="20429" operator="containsText" text="No">
      <formula>NOT(ISERROR(SEARCH(("No"),(N15))))</formula>
    </cfRule>
  </conditionalFormatting>
  <conditionalFormatting sqref="N15:N83 P27:Q28 N85:N87 N89:N91 N96:N99 N102:N109 N112:N113 N115:N118 N121:N133 N136:N139 N142:N143 N146:N152 N154 N159 N161">
    <cfRule type="containsText" dxfId="9" priority="20430" operator="containsText" text="No">
      <formula>NOT(ISERROR(SEARCH(("No"),(N15))))</formula>
    </cfRule>
  </conditionalFormatting>
  <conditionalFormatting sqref="N15:N83 P27:Q28 N85:N87 N89:N91 N96:N99 N102:N109 N112:N113 N115:N118 N121:N133 N136:N139 N142:N143 N146:N152 N154 N159 N161">
    <cfRule type="containsText" dxfId="9" priority="20431" operator="containsText" text="No">
      <formula>NOT(ISERROR(SEARCH(("No"),(N15))))</formula>
    </cfRule>
  </conditionalFormatting>
  <conditionalFormatting sqref="N15:N83 P27:Q28 N85:N87 N89:N91 N96:N99 N102:N109 N112:N113 N115:N118 N121:N133 N136:N139 N142:N143 N146:N152 N154 N159 N161">
    <cfRule type="containsText" dxfId="9" priority="20432" operator="containsText" text="No">
      <formula>NOT(ISERROR(SEARCH(("No"),(N15))))</formula>
    </cfRule>
  </conditionalFormatting>
  <conditionalFormatting sqref="N15:N83 P27:Q28 N85:N87 N89:N91 N96:N99 N102:N109 N112:N113 N115:N118 N121:N133 N136:N139 N142:N143 N146:N152 N154 N159 N161">
    <cfRule type="containsText" dxfId="9" priority="20433" operator="containsText" text="No">
      <formula>NOT(ISERROR(SEARCH(("No"),(N15))))</formula>
    </cfRule>
  </conditionalFormatting>
  <conditionalFormatting sqref="N15:N83 P27:Q28 N85:N87 N89:N91 N96:N99 N102:N109 N112:N113 N115:N118 N121:N133 N136:N139 N142:N143 N146:N152 N154 N159 N161">
    <cfRule type="containsText" dxfId="9" priority="20434" operator="containsText" text="No">
      <formula>NOT(ISERROR(SEARCH(("No"),(N15))))</formula>
    </cfRule>
  </conditionalFormatting>
  <conditionalFormatting sqref="N15:N83 P27:Q28 N85:N87 N89:N91 N96:N99 N102:N109 N112:N113 N115:N118 N121:N133 N136:N139 N142:N143 N146:N152 N154 N159 N161">
    <cfRule type="containsText" dxfId="9" priority="20435" operator="containsText" text="No">
      <formula>NOT(ISERROR(SEARCH(("No"),(N15))))</formula>
    </cfRule>
  </conditionalFormatting>
  <conditionalFormatting sqref="N15:N83 P27:Q28 N85:N87 N89:N91 N96:N99 N102:N109 N112:N113 N115:N118 N121:N133 N136:N139 N142:N143 N146:N152 N154 N159 N161">
    <cfRule type="containsText" dxfId="9" priority="20436" operator="containsText" text="No">
      <formula>NOT(ISERROR(SEARCH(("No"),(N15))))</formula>
    </cfRule>
  </conditionalFormatting>
  <conditionalFormatting sqref="N15:N83 P27:Q28 N85:N87 N89:N91 N96:N99 N102:N109 N112:N113 N115:N118 N121:N133 N136:N139 N142:N143 N146:N152 N154 N159 N161">
    <cfRule type="containsText" dxfId="9" priority="20437" operator="containsText" text="No">
      <formula>NOT(ISERROR(SEARCH(("No"),(N15))))</formula>
    </cfRule>
  </conditionalFormatting>
  <conditionalFormatting sqref="N15:N83 P27:Q28 N85:N87 N89:N91 N96:N99 N102:N109 N112:N113 N115:N118 N121:N133 N136:N139 N142:N143 N146:N152 N154 N159 N161">
    <cfRule type="containsText" dxfId="9" priority="20438" operator="containsText" text="No">
      <formula>NOT(ISERROR(SEARCH(("No"),(N15))))</formula>
    </cfRule>
  </conditionalFormatting>
  <conditionalFormatting sqref="N15:N83 P27:Q28 N85:N87 N89:N91 N96:N99 N102:N109 N112:N113 N115:N118 N121:N133 N136:N139 N142:N143 N146:N152 N154 N159 N161">
    <cfRule type="containsText" dxfId="9" priority="20439" operator="containsText" text="No">
      <formula>NOT(ISERROR(SEARCH(("No"),(N15))))</formula>
    </cfRule>
  </conditionalFormatting>
  <conditionalFormatting sqref="N15:N83 P27:Q28 N85:N87 N89:N91 N96:N99 N102:N109 N112:N113 N115:N118 N121:N133 N136:N139 N142:N143 N146:N152 N154 N159 N161">
    <cfRule type="containsText" dxfId="9" priority="20440" operator="containsText" text="No">
      <formula>NOT(ISERROR(SEARCH(("No"),(N15))))</formula>
    </cfRule>
  </conditionalFormatting>
  <conditionalFormatting sqref="N15:N83 P27:Q28 N85:N87 N89:N91 N96:N99 N102:N109 N112:N113 N115:N118 N121:N133 N136:N139 N142:N143 N146:N152 N154 N159 N161">
    <cfRule type="containsText" dxfId="9" priority="20441" operator="containsText" text="No">
      <formula>NOT(ISERROR(SEARCH(("No"),(N15))))</formula>
    </cfRule>
  </conditionalFormatting>
  <conditionalFormatting sqref="N15:N83 P27:Q28 N85:N87 N89:N91 N96:N99 N102:N109 N112:N113 N115:N118 N121:N133 N136:N139 N142:N143 N146:N152 N154 N159 N161">
    <cfRule type="containsText" dxfId="2" priority="20442" operator="containsText" text="Yes">
      <formula>NOT(ISERROR(SEARCH(("Yes"),(N15))))</formula>
    </cfRule>
  </conditionalFormatting>
  <conditionalFormatting sqref="N15:N83 P27:Q28 N85:N87 N89:N91 N96:N99 N102:N109 N112:N113 N115:N118 N121:N133 N136:N139 N142:N143 N146:N152 N154 N159 N161">
    <cfRule type="containsText" dxfId="2" priority="20443" operator="containsText" text="Yes">
      <formula>NOT(ISERROR(SEARCH(("Yes"),(N15))))</formula>
    </cfRule>
  </conditionalFormatting>
  <conditionalFormatting sqref="N15:N83 P27:Q28 N85:N87 N89:N91 N96:N99 N102:N109 N112:N113 N115:N118 N121:N133 N136:N139 N142:N143 N146:N152 N154 N159 N161">
    <cfRule type="containsText" dxfId="2" priority="20444" operator="containsText" text="Yes">
      <formula>NOT(ISERROR(SEARCH(("Yes"),(N15))))</formula>
    </cfRule>
  </conditionalFormatting>
  <conditionalFormatting sqref="N15:N83 P27:Q28 N85:N87 N89:N91 N96:N99 N102:N109 N112:N113 N115:N118 N121:N133 N136:N139 N142:N143 N146:N152 N154 N159 N161">
    <cfRule type="containsText" dxfId="2" priority="20445" operator="containsText" text="Yes">
      <formula>NOT(ISERROR(SEARCH(("Yes"),(N15))))</formula>
    </cfRule>
  </conditionalFormatting>
  <conditionalFormatting sqref="N15:N83 P27:Q28 N85:N87 N89:N91 N96:N99 N102:N109 N112:N113 N115:N118 N121:N133 N136:N139 N142:N143 N146:N152 N154 N159 N161">
    <cfRule type="containsText" dxfId="2" priority="20446" operator="containsText" text="Yes">
      <formula>NOT(ISERROR(SEARCH(("Yes"),(N15))))</formula>
    </cfRule>
  </conditionalFormatting>
  <conditionalFormatting sqref="N15:N83 P27:Q28 N85:N87 N89:N91 N96:N99 N102:N109 N112:N113 N115:N118 N121:N133 N136:N139 N142:N143 N146:N152 N154 N159 N161">
    <cfRule type="containsText" dxfId="2" priority="20447" operator="containsText" text="Yes">
      <formula>NOT(ISERROR(SEARCH(("Yes"),(N15))))</formula>
    </cfRule>
  </conditionalFormatting>
  <conditionalFormatting sqref="N15:N83 P27:Q28 N85:N87 N89:N91 N96:N99 N102:N109 N112:N113 N115:N118 N121:N133 N136:N139 N142:N143 N146:N152 N154 N159 N161">
    <cfRule type="containsText" dxfId="2" priority="20448" operator="containsText" text="Yes">
      <formula>NOT(ISERROR(SEARCH(("Yes"),(N15))))</formula>
    </cfRule>
  </conditionalFormatting>
  <conditionalFormatting sqref="N15:N83 P27:Q28 N85:N87 N89:N91 N96:N99 N102:N109 N112:N113 N115:N118 N121:N133 N136:N139 N142:N143 N146:N152 N154 N159 N161">
    <cfRule type="containsText" dxfId="2" priority="20449" operator="containsText" text="Yes">
      <formula>NOT(ISERROR(SEARCH(("Yes"),(N15))))</formula>
    </cfRule>
  </conditionalFormatting>
  <conditionalFormatting sqref="N15:N83 P27:Q28 N85:N87 N89:N91 N96:N99 N102:N109 N112:N113 N115:N118 N121:N133 N136:N139 N142:N143 N146:N152 N154 N159 N161">
    <cfRule type="containsText" dxfId="2" priority="20450" operator="containsText" text="Yes">
      <formula>NOT(ISERROR(SEARCH(("Yes"),(N15))))</formula>
    </cfRule>
  </conditionalFormatting>
  <conditionalFormatting sqref="N15:N83 P27:Q28 N85:N87 N89:N91 N96:N99 N102:N109 N112:N113 N115:N118 N121:N133 N136:N139 N142:N143 N146:N152 N154 N159 N161">
    <cfRule type="containsText" dxfId="2" priority="20451" operator="containsText" text="Yes">
      <formula>NOT(ISERROR(SEARCH(("Yes"),(N15))))</formula>
    </cfRule>
  </conditionalFormatting>
  <conditionalFormatting sqref="N15:N83 P27:Q28 N85:N87 N89:N91 N96:N99 N102:N109 N112:N113 N115:N118 N121:N133 N136:N139 N142:N143 N146:N152 N154 N159 N161">
    <cfRule type="containsText" dxfId="2" priority="20452" operator="containsText" text="Yes">
      <formula>NOT(ISERROR(SEARCH(("Yes"),(N15))))</formula>
    </cfRule>
  </conditionalFormatting>
  <conditionalFormatting sqref="N15:N83 P27:Q28 N85:N87 N89:N91 N96:N99 N102:N109 N112:N113 N115:N118 N121:N133 N136:N139 N142:N143 N146:N152 N154 N159 N161">
    <cfRule type="containsText" dxfId="2" priority="20453" operator="containsText" text="Yes">
      <formula>NOT(ISERROR(SEARCH(("Yes"),(N15))))</formula>
    </cfRule>
  </conditionalFormatting>
  <conditionalFormatting sqref="N15:N83 P27:Q28 N85:N87 N89:N91 N96:N99 N102:N109 N112:N113 N115:N118 N121:N133 N136:N139 N142:N143 N146:N152 N154 N159 N161">
    <cfRule type="containsText" dxfId="2" priority="20454" operator="containsText" text="Yes">
      <formula>NOT(ISERROR(SEARCH(("Yes"),(N15))))</formula>
    </cfRule>
  </conditionalFormatting>
  <conditionalFormatting sqref="N15:N83 P27:Q28 N85:N87 N89:N91 N96:N99 N102:N109 N112:N113 N115:N118 N121:N133 N136:N139 N142:N143 N146:N152 N154 N159 N161">
    <cfRule type="containsText" dxfId="2" priority="20455" operator="containsText" text="Yes">
      <formula>NOT(ISERROR(SEARCH(("Yes"),(N15))))</formula>
    </cfRule>
  </conditionalFormatting>
  <conditionalFormatting sqref="N15:N83 P27:Q28 N85:N87 N89:N91 N96:N99 N102:N109 N112:N113 N115:N118 N121:N133 N136:N139 N142:N143 N146:N152 N154 N159 N161">
    <cfRule type="containsText" dxfId="2" priority="20456" operator="containsText" text="Yes">
      <formula>NOT(ISERROR(SEARCH(("Yes"),(N15))))</formula>
    </cfRule>
  </conditionalFormatting>
  <conditionalFormatting sqref="N15:N83 P27:Q28 N85:N87 N89:N91 N96:N99 N102:N109 N112:N113 N115:N118 N121:N133 N136:N139 N142:N143 N146:N152 N154 N159 N161">
    <cfRule type="containsText" dxfId="2" priority="20457" operator="containsText" text="Yes">
      <formula>NOT(ISERROR(SEARCH(("Yes"),(N15))))</formula>
    </cfRule>
  </conditionalFormatting>
  <conditionalFormatting sqref="N15:N83 P27:Q28 N85:N87 N89:N91 N96:N99 N102:N109 N112:N113 N115:N118 N121:N133 N136:N139 N142:N143 N146:N152 N154 N159 N161">
    <cfRule type="containsText" dxfId="2" priority="20458" operator="containsText" text="Yes">
      <formula>NOT(ISERROR(SEARCH(("Yes"),(N15))))</formula>
    </cfRule>
  </conditionalFormatting>
  <conditionalFormatting sqref="N15:N83 P27:Q28 N85:N87 N89:N91 N96:N99 N102:N109 N112:N113 N115:N118 N121:N133 N136:N139 N142:N143 N146:N152 N154 N159 N161">
    <cfRule type="containsText" dxfId="2" priority="20459" operator="containsText" text="Yes">
      <formula>NOT(ISERROR(SEARCH(("Yes"),(N15))))</formula>
    </cfRule>
  </conditionalFormatting>
  <conditionalFormatting sqref="N15:N83 P27:Q28 N85:N87 N89:N91 N96:N99 N102:N109 N112:N113 N115:N118 N121:N133 N136:N139 N142:N143 N146:N152 N154 N159 N161">
    <cfRule type="containsText" dxfId="2" priority="20460" operator="containsText" text="Yes">
      <formula>NOT(ISERROR(SEARCH(("Yes"),(N15))))</formula>
    </cfRule>
  </conditionalFormatting>
  <conditionalFormatting sqref="N15:N83 P27:Q28 N85:N87 N89:N91 N96:N99 N102:N109 N112:N113 N115:N118 N121:N133 N136:N139 N142:N143 N146:N152 N154 N159 N161">
    <cfRule type="containsText" dxfId="2" priority="20461" operator="containsText" text="Yes">
      <formula>NOT(ISERROR(SEARCH(("Yes"),(N15))))</formula>
    </cfRule>
  </conditionalFormatting>
  <conditionalFormatting sqref="N15:N83 P27:Q28 N85:N87 N89:N91 N96:N99 N102:N109 N112:N113 N115:N118 N121:N133 N136:N139 N142:N143 N146:N152 N154 N159 N161">
    <cfRule type="containsText" dxfId="2" priority="20462" operator="containsText" text="Yes">
      <formula>NOT(ISERROR(SEARCH(("Yes"),(N15))))</formula>
    </cfRule>
  </conditionalFormatting>
  <conditionalFormatting sqref="N15:N83 P27:Q28 N85:N87 N89:N91 N96:N99 N102:N109 N112:N113 N115:N118 N121:N133 N136:N139 N142:N143 N146:N152 N154 N159 N161">
    <cfRule type="containsText" dxfId="2" priority="20463" operator="containsText" text="Yes">
      <formula>NOT(ISERROR(SEARCH(("Yes"),(N15))))</formula>
    </cfRule>
  </conditionalFormatting>
  <conditionalFormatting sqref="N15:N83 P27:Q28 N85:N87 N89:N91 N96:N99 N102:N109 N112:N113 N115:N118 N121:N133 N136:N139 N142:N143 N146:N152 N154 N159 N161">
    <cfRule type="containsText" dxfId="2" priority="20464" operator="containsText" text="Yes">
      <formula>NOT(ISERROR(SEARCH(("Yes"),(N15))))</formula>
    </cfRule>
  </conditionalFormatting>
  <conditionalFormatting sqref="N15:N83 P27:Q28 N85:N87 N89:N91 N96:N99 N102:N109 N112:N113 N115:N118 N121:N133 N136:N139 N142:N143 N146:N152 N154 N159 N161">
    <cfRule type="containsText" dxfId="2" priority="20465" operator="containsText" text="Yes">
      <formula>NOT(ISERROR(SEARCH(("Yes"),(N15))))</formula>
    </cfRule>
  </conditionalFormatting>
  <conditionalFormatting sqref="N15:N83 P27:Q28 N85:N87 N89:N91 N96:N99 N102:N109 N112:N113 N115:N118 N121:N133 N136:N139 N142:N143 N146:N152 N154 N159 N161">
    <cfRule type="containsText" dxfId="2" priority="20466" operator="containsText" text="Yes">
      <formula>NOT(ISERROR(SEARCH(("Yes"),(N15))))</formula>
    </cfRule>
  </conditionalFormatting>
  <conditionalFormatting sqref="N15:N83 P27:Q28 N85:N87 N89:N91 N96:N99 N102:N109 N112:N113 N115:N118 N121:N133 N136:N139 N142:N143 N146:N152 N154 N159 N161">
    <cfRule type="containsText" dxfId="2" priority="20467" operator="containsText" text="Yes">
      <formula>NOT(ISERROR(SEARCH(("Yes"),(N15))))</formula>
    </cfRule>
  </conditionalFormatting>
  <conditionalFormatting sqref="N15:N83 P27:Q28 N85:N87 N89:N91 N96:N99 N102:N109 N112:N113 N115:N118 N121:N133 N136:N139 N142:N143 N146:N152 N154 N159 N161">
    <cfRule type="containsText" dxfId="2" priority="20468" operator="containsText" text="Yes">
      <formula>NOT(ISERROR(SEARCH(("Yes"),(N15))))</formula>
    </cfRule>
  </conditionalFormatting>
  <conditionalFormatting sqref="N15:N83 P27:Q28 N85:N87 N89:N91 N96:N99 N102:N109 N112:N113 N115:N118 N121:N133 N136:N139 N142:N143 N146:N152 N154 N159 N161">
    <cfRule type="containsText" dxfId="2" priority="20469" operator="containsText" text="Yes">
      <formula>NOT(ISERROR(SEARCH(("Yes"),(N15))))</formula>
    </cfRule>
  </conditionalFormatting>
  <conditionalFormatting sqref="N15:N83 P27:Q28 N85:N87 N89:N91 N96:N99 N102:N109 N112:N113 N115:N118 N121:N133 N136:N139 N142:N143 N146:N152 N154 N159 N161">
    <cfRule type="containsText" dxfId="2" priority="20470" operator="containsText" text="Yes">
      <formula>NOT(ISERROR(SEARCH(("Yes"),(N15))))</formula>
    </cfRule>
  </conditionalFormatting>
  <conditionalFormatting sqref="N15:N83 P27:Q28 N85:N87 N89:N91 N96:N99 N102:N109 N112:N113 N115:N118 N121:N133 N136:N139 N142:N143 N146:N152 N154 N159 N161">
    <cfRule type="containsText" dxfId="2" priority="20471" operator="containsText" text="Yes">
      <formula>NOT(ISERROR(SEARCH(("Yes"),(N15))))</formula>
    </cfRule>
  </conditionalFormatting>
  <conditionalFormatting sqref="N15:N83 P27:Q28 N85:N87 N89:N91 N96:N99 N102:N109 N112:N113 N115:N118 N121:N133 N136:N139 N142:N143 N146:N152 N154 N159 N161">
    <cfRule type="containsText" dxfId="2" priority="20472" operator="containsText" text="Yes">
      <formula>NOT(ISERROR(SEARCH(("Yes"),(N15))))</formula>
    </cfRule>
  </conditionalFormatting>
  <conditionalFormatting sqref="N15:N83 P27:Q28 N85:N87 N89:N91 N96:N99 N102:N109 N112:N113 N115:N118 N121:N133 N136:N139 N142:N143 N146:N152 N154 N159 N161">
    <cfRule type="containsText" dxfId="2" priority="20473" operator="containsText" text="Yes">
      <formula>NOT(ISERROR(SEARCH(("Yes"),(N15))))</formula>
    </cfRule>
  </conditionalFormatting>
  <conditionalFormatting sqref="N15:N83 P27:Q28 N85:N87 N89:N91 N96:N99 N102:N109 N112:N113 N115:N118 N121:N133 N136:N139 N142:N143 N146:N152 N154 N159 N161">
    <cfRule type="containsText" dxfId="2" priority="20474" operator="containsText" text="Yes">
      <formula>NOT(ISERROR(SEARCH(("Yes"),(N15))))</formula>
    </cfRule>
  </conditionalFormatting>
  <conditionalFormatting sqref="N15:N83 P27:Q28 N85:N87 N89:N91 N96:N99 N102:N109 N112:N113 N115:N118 N121:N133 N136:N139 N142:N143 N146:N152 N154 N159 N161">
    <cfRule type="containsText" dxfId="2" priority="20475" operator="containsText" text="Yes">
      <formula>NOT(ISERROR(SEARCH(("Yes"),(N15))))</formula>
    </cfRule>
  </conditionalFormatting>
  <conditionalFormatting sqref="N15:N83 P27:Q28 N85:N87 N89:N91 N96:N99 N102:N109 N112:N113 N115:N118 N121:N133 N136:N139 N142:N143 N146:N152 N154 N159 N161">
    <cfRule type="containsText" dxfId="2" priority="20476" operator="containsText" text="Yes">
      <formula>NOT(ISERROR(SEARCH(("Yes"),(N15))))</formula>
    </cfRule>
  </conditionalFormatting>
  <conditionalFormatting sqref="N15:N83 P27:Q28 N85:N87 N89:N91 N96:N99 N102:N109 N112:N113 N115:N118 N121:N133 N136:N139 N142:N143 N146:N152 N154 N159 N161">
    <cfRule type="containsText" dxfId="2" priority="20477" operator="containsText" text="Yes">
      <formula>NOT(ISERROR(SEARCH(("Yes"),(N15))))</formula>
    </cfRule>
  </conditionalFormatting>
  <conditionalFormatting sqref="N15:N83 P27:Q28 N85:N87 N89:N91 N96:N99 N102:N109 N112:N113 N115:N118 N121:N133 N136:N139 N142:N143 N146:N152 N154 N159 N161">
    <cfRule type="containsText" dxfId="2" priority="20478" operator="containsText" text="Yes">
      <formula>NOT(ISERROR(SEARCH(("Yes"),(N15))))</formula>
    </cfRule>
  </conditionalFormatting>
  <conditionalFormatting sqref="N15:N83 P27:Q28 N85:N87 N89:N91 N96:N99 N102:N109 N112:N113 N115:N118 N121:N133 N136:N139 N142:N143 N146:N152 N154 N159 N161">
    <cfRule type="containsText" dxfId="2" priority="20479" operator="containsText" text="Yes">
      <formula>NOT(ISERROR(SEARCH(("Yes"),(N15))))</formula>
    </cfRule>
  </conditionalFormatting>
  <conditionalFormatting sqref="N15:N83 P27:Q28 N85:N87 N89:N91 N96:N99 N102:N109 N112:N113 N115:N118 N121:N133 N136:N139 N142:N143 N146:N152 N154 N159 N161">
    <cfRule type="containsText" dxfId="2" priority="20480" operator="containsText" text="Yes">
      <formula>NOT(ISERROR(SEARCH(("Yes"),(N15))))</formula>
    </cfRule>
  </conditionalFormatting>
  <conditionalFormatting sqref="N15:N83 P27:Q28 N85:N87 N89:N91 N96:N99 N102:N109 N112:N113 N115:N118 N121:N133 N136:N139 N142:N143 N146:N152 N154 N159 N161">
    <cfRule type="containsText" dxfId="2" priority="20481" operator="containsText" text="Yes">
      <formula>NOT(ISERROR(SEARCH(("Yes"),(N15))))</formula>
    </cfRule>
  </conditionalFormatting>
  <conditionalFormatting sqref="N15:N83 P27:Q28 N85:N87 N89:N91 N96:N99 N102:N109 N112:N113 N115:N118 N121:N133 N136:N139 N142:N143 N146:N152 N154 N159 N161">
    <cfRule type="containsText" dxfId="2" priority="20482" operator="containsText" text="Yes">
      <formula>NOT(ISERROR(SEARCH(("Yes"),(N15))))</formula>
    </cfRule>
  </conditionalFormatting>
  <conditionalFormatting sqref="N15:N83 P27:Q28 N85:N87 N89:N91 N96:N99 N102:N109 N112:N113 N115:N118 N121:N133 N136:N139 N142:N143 N146:N152 N154 N159 N161">
    <cfRule type="containsText" dxfId="2" priority="20483" operator="containsText" text="Yes">
      <formula>NOT(ISERROR(SEARCH(("Yes"),(N15))))</formula>
    </cfRule>
  </conditionalFormatting>
  <conditionalFormatting sqref="N15:N83 P27:Q28 N85:N87 N89:N91 N96:N99 N102:N109 N112:N113 N115:N118 N121:N133 N136:N139 N142:N143 N146:N152 N154 N159 N161">
    <cfRule type="containsText" dxfId="2" priority="20484" operator="containsText" text="Yes">
      <formula>NOT(ISERROR(SEARCH(("Yes"),(N15))))</formula>
    </cfRule>
  </conditionalFormatting>
  <conditionalFormatting sqref="N15:N83 P27:Q28 N85:N87 N89:N91 N96:N99 N102:N109 N112:N113 N115:N118 N121:N133 N136:N139 N142:N143 N146:N152 N154 N159 N161">
    <cfRule type="containsText" dxfId="2" priority="20485" operator="containsText" text="Yes">
      <formula>NOT(ISERROR(SEARCH(("Yes"),(N15))))</formula>
    </cfRule>
  </conditionalFormatting>
  <conditionalFormatting sqref="N15:N83 P27:Q28 N85:N87 N89:N91 N96:N99 N102:N109 N112:N113 N115:N118 N121:N133 N136:N139 N142:N143 N146:N152 N154 N159 N161">
    <cfRule type="containsText" dxfId="2" priority="20486" operator="containsText" text="Yes">
      <formula>NOT(ISERROR(SEARCH(("Yes"),(N15))))</formula>
    </cfRule>
  </conditionalFormatting>
  <conditionalFormatting sqref="N15:N83 P27:Q28 N85:N87 N89:N91 N96:N99 N102:N109 N112:N113 N115:N118 N121:N133 N136:N139 N142:N143 N146:N152 N154 N159 N161">
    <cfRule type="containsText" dxfId="2" priority="20487" operator="containsText" text="Yes">
      <formula>NOT(ISERROR(SEARCH(("Yes"),(N15))))</formula>
    </cfRule>
  </conditionalFormatting>
  <conditionalFormatting sqref="N15:N83 P27:Q28 N85:N87 N89:N91 N96:N99 N102:N109 N112:N113 N115:N118 N121:N133 N136:N139 N142:N143 N146:N152 N154 N159 N161">
    <cfRule type="containsText" dxfId="2" priority="20488" operator="containsText" text="Yes">
      <formula>NOT(ISERROR(SEARCH(("Yes"),(N15))))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489"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490"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491"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492"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493"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494"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495"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496"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497"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498"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499"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00"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01"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02"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03"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04"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05"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06"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07"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08"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09"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10"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11"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12"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13"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14"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15"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16"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17"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18"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19"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20"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21"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22"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23"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24"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25"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26"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27"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28"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29"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30"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31"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32"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9" priority="20533" operator="containsText" text="No">
      <formula>NOT(ISERROR(SEARCH(("No"),(O15))))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34"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35"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36"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37"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38"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39"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40"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41"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42"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43"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44"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45"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46"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47"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48"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49"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50"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51"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52"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53"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54"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55"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56"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57"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58"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59"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60"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61"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62"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63"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64"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65"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66"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67"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68"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69"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70"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71"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72"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73"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74"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75"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76"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77"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78"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79" operator="containsText" text="Yes">
      <formula>NOT(ISERROR(SEARCH(("Yes"),(O15))))</formula>
    </cfRule>
  </conditionalFormatting>
  <conditionalFormatting sqref="O15:O83 N31:N43 P32:Q33 N46:N51 P50:Q51 N53:N55 N66:N68 N74:N77 O85:O91 O96:O99 O102:O109 O112:O113 O115:O118 O121:O133 O136:O139 N139 O142:O143 O146:O152 O154:O155 O159 O161:O162 N162 N164:O167 N170:O170 N172:O172 N174:O174 N176:O176 N180:O182 N184:O184">
    <cfRule type="containsText" dxfId="2" priority="20580" operator="containsText" text="Yes">
      <formula>NOT(ISERROR(SEARCH(("Yes"),(O15))))</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81"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82"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83"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84"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85"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86"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87"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88"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89"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90"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91"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92"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93"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94"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95"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96"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97"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98"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599"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00"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01"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02"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03"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04"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05"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06"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07"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08"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09"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10"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11"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12"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13"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14"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15"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16"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17"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18"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19"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20"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21"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22"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23"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24"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9" priority="20625" operator="containsText" text="No">
      <formula>NOT(ISERROR(SEARCH(("No"),(P16))))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26"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27"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28"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29"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30"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31"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32"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33"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34"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35"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36"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37"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38"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39"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40"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41"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42"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43"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44"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45"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46"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47"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48"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49"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50"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51"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52"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53"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54"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55"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56"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57"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58"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59"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60"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61"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62"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63"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64"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65"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66"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67"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68"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69"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70"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71" operator="containsText" text="Yes">
      <formula>NOT(ISERROR(SEARCH(("Yes"),(P16))))</formula>
    </cfRule>
  </conditionalFormatting>
  <conditionalFormatting sqref="P16:P83 O19:O20 Q19:Q20 O22:O56 Q22:Q27 N31:N43 Q32:Q33 N46:N51 Q50:Q51 N53:N55 O58:O83 N66:N68 N74:N77 O85:P91 O96:P99 O102:P109 O112:P113 O115:P118 O121:P133 O136:P139 N139 O142:P143 O146:P152 Q150 O154:O155 P154 O159:P159 O161:P162 N162 N164:O167 P164 P166:P167 N170:O170 N172:P172 N174:P174 N176:P176 N180:P182 N184:P184">
    <cfRule type="containsText" dxfId="2" priority="20672" operator="containsText" text="Yes">
      <formula>NOT(ISERROR(SEARCH(("Yes"),(P16))))</formula>
    </cfRule>
  </conditionalFormatting>
  <conditionalFormatting sqref="Q16:Q83 Q85:Q91 Q96:Q99 Q102:Q109 Q112:Q113 Q115:Q118 Q121:Q133 Q136:Q139 Q142:Q143 Q146:Q149 Q151:Q152 Q154 Q159 Q161:Q162 Q164 Q166:Q167 Q172 Q174 Q176 Q180:Q182 Q184">
    <cfRule type="containsText" dxfId="9" priority="20673"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74"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75"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76"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77"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78"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79"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80"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81"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82"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83"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84"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85"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86"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87"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88"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89"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90"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91"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92"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93"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94"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95"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96"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97"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98"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699"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00"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01"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02"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03"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04"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05"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06"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07"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08"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09"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10"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11"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12"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13"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14"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15"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16"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9" priority="20717" operator="containsText" text="No">
      <formula>NOT(ISERROR(SEARCH(("No"),(Q16))))</formula>
    </cfRule>
  </conditionalFormatting>
  <conditionalFormatting sqref="Q16:Q83 Q85:Q91 Q96:Q99 Q102:Q109 Q112:Q113 Q115:Q118 Q121:Q133 Q136:Q139 Q142:Q143 Q146:Q149 Q151:Q152 Q154 Q159 Q161:Q162 Q164 Q166:Q167 Q172 Q174 Q176 Q180:Q182 Q184">
    <cfRule type="containsText" dxfId="2" priority="20718"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19"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20"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21"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22"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23"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24"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25"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26"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27"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28"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29"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30"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31"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32"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33"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34"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35"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36"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37"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38"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39"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40"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41"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42"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43"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44"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45"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46"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47"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48"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49"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50"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51"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52"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53"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54"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55"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56"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57"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58"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59"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60"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61"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62"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63" operator="containsText" text="Yes">
      <formula>NOT(ISERROR(SEARCH(("Yes"),(Q16))))</formula>
    </cfRule>
  </conditionalFormatting>
  <conditionalFormatting sqref="Q16:Q83 Q85:Q91 Q96:Q99 Q102:Q109 Q112:Q113 Q115:Q118 Q121:Q133 Q136:Q139 Q142:Q143 Q146:Q149 Q151:Q152 Q154 Q159 Q161:Q162 Q164 Q166:Q167 Q172 Q174 Q176 Q180:Q182 Q184">
    <cfRule type="containsText" dxfId="2" priority="20764" operator="containsText" text="Yes">
      <formula>NOT(ISERROR(SEARCH(("Yes"),(Q16))))</formula>
    </cfRule>
  </conditionalFormatting>
  <conditionalFormatting sqref="N16:N83 P27:Q28 N85:N87 N89:N91 N96:N99 N102:N109 N112:N113 N115:N118 N121:N133 N136:N139 N142:N143 N146:N152 N154 N159 N161">
    <cfRule type="containsText" dxfId="9" priority="20765" operator="containsText" text="No">
      <formula>NOT(ISERROR(SEARCH(("No"),(N16))))</formula>
    </cfRule>
  </conditionalFormatting>
  <conditionalFormatting sqref="N16:N83 P27:Q28 N85:N87 N89:N91 N96:N99 N102:N109 N112:N113 N115:N118 N121:N133 N136:N139 N142:N143 N146:N152 N154 N159 N161">
    <cfRule type="containsText" dxfId="9" priority="20766" operator="containsText" text="No">
      <formula>NOT(ISERROR(SEARCH(("No"),(N16))))</formula>
    </cfRule>
  </conditionalFormatting>
  <conditionalFormatting sqref="N16:N83 P27:Q28 N85:N87 N89:N91 N96:N99 N102:N109 N112:N113 N115:N118 N121:N133 N136:N139 N142:N143 N146:N152 N154 N159 N161">
    <cfRule type="containsText" dxfId="9" priority="20767" operator="containsText" text="No">
      <formula>NOT(ISERROR(SEARCH(("No"),(N16))))</formula>
    </cfRule>
  </conditionalFormatting>
  <conditionalFormatting sqref="N16:N83 P27:Q28 N85:N87 N89:N91 N96:N99 N102:N109 N112:N113 N115:N118 N121:N133 N136:N139 N142:N143 N146:N152 N154 N159 N161">
    <cfRule type="containsText" dxfId="2" priority="20768" operator="containsText" text="Yes">
      <formula>NOT(ISERROR(SEARCH(("Yes"),(N16))))</formula>
    </cfRule>
  </conditionalFormatting>
  <conditionalFormatting sqref="N16:N83 P27:Q28 N85:N87 N89:N91 N96:N99 N102:N109 N112:N113 N115:N118 N121:N133 N136:N139 N142:N143 N146:N152 N154 N159 N161">
    <cfRule type="containsText" dxfId="2" priority="20769" operator="containsText" text="Yes">
      <formula>NOT(ISERROR(SEARCH(("Yes"),(N16))))</formula>
    </cfRule>
  </conditionalFormatting>
  <conditionalFormatting sqref="N16:N83 P27:Q28 N85:N87 N89:N91 N96:N99 N102:N109 N112:N113 N115:N118 N121:N133 N136:N139 N142:N143 N146:N152 N154 N159 N161">
    <cfRule type="containsText" dxfId="2" priority="20770" operator="containsText" text="Yes">
      <formula>NOT(ISERROR(SEARCH(("Yes"),(N16))))</formula>
    </cfRule>
  </conditionalFormatting>
  <conditionalFormatting sqref="N16:N83 P27:Q28 N85:N87 N89:N91 N96:N99 N102:N109 N112:N113 N115:N118 N121:N133 N136:N139 N142:N143 N146:N152 N154 N159 N161">
    <cfRule type="containsText" dxfId="2" priority="20771" operator="containsText" text="Yes">
      <formula>NOT(ISERROR(SEARCH(("Yes"),(N16))))</formula>
    </cfRule>
  </conditionalFormatting>
  <conditionalFormatting sqref="N16:N83 P27:Q28 N85:N87 N89:N91 N96:N99 N102:N109 N112:N113 N115:N118 N121:N133 N136:N139 N142:N143 N146:N152 N154 N159 N161">
    <cfRule type="containsText" dxfId="2" priority="20772" operator="containsText" text="Yes">
      <formula>NOT(ISERROR(SEARCH(("Yes"),(N16))))</formula>
    </cfRule>
  </conditionalFormatting>
  <conditionalFormatting sqref="N16:N83 P27:Q28 N85:N87 N89:N91 N96:N99 N102:N109 N112:N113 N115:N118 N121:N133 N136:N139 N142:N143 N146:N152 N154 N159 N161">
    <cfRule type="containsText" dxfId="9" priority="20773" operator="containsText" text="No">
      <formula>NOT(ISERROR(SEARCH(("No"),(N16))))</formula>
    </cfRule>
  </conditionalFormatting>
  <conditionalFormatting sqref="N16:N83 P27:Q28 N85:N87 N89:N91 N96:N99 N102:N109 N112:N113 N115:N118 N121:N133 N136:N139 N142:N143 N146:N152 N154 N159 N161">
    <cfRule type="containsText" dxfId="9" priority="20774" operator="containsText" text="No">
      <formula>NOT(ISERROR(SEARCH(("No"),(N16))))</formula>
    </cfRule>
  </conditionalFormatting>
  <conditionalFormatting sqref="N16:N83 P27:Q28 N85:N87 N89:N91 N96:N99 N102:N109 N112:N113 N115:N118 N121:N133 N136:N139 N142:N143 N146:N152 N154 N159 N161">
    <cfRule type="containsText" dxfId="2" priority="20775" operator="containsText" text="Yes">
      <formula>NOT(ISERROR(SEARCH(("Yes"),(N16))))</formula>
    </cfRule>
  </conditionalFormatting>
  <conditionalFormatting sqref="O16:O83 P19:Q20 P22:Q27 N31:N43 P32:Q33 N46:N51 P50:Q51 N53:N55 N66:N68 N74:N77 O85:O91 O96:O99 O102:O109 O112:O113 O115:O118 O121:O133 O136:O139 N139 O142:O143 O146:O152 O154:O155 O159 O161:O162 N162 N164:O167 N170:O170 N172:O172 N174:O174 N176:O176 N180:O182 N184:O184">
    <cfRule type="containsText" dxfId="9" priority="20776" operator="containsText" text="No">
      <formula>NOT(ISERROR(SEARCH(("No"),(O16))))</formula>
    </cfRule>
  </conditionalFormatting>
  <conditionalFormatting sqref="O16:O83 P19:Q20 P22:Q27 N31:N43 P32:Q33 N46:N51 P50:Q51 N53:N55 N66:N68 N74:N77 O85:O91 O96:O99 O102:O109 O112:O113 O115:O118 O121:O133 O136:O139 N139 O142:O143 O146:O152 O154:O155 O159 O161:O162 N162 N164:O167 N170:O170 N172:O172 N174:O174 N176:O176 N180:O182 N184:O184">
    <cfRule type="containsText" dxfId="9" priority="20777" operator="containsText" text="No">
      <formula>NOT(ISERROR(SEARCH(("No"),(O16))))</formula>
    </cfRule>
  </conditionalFormatting>
  <conditionalFormatting sqref="O16:O83 P19:Q20 P22:Q27 N31:N43 P32:Q33 N46:N51 P50:Q51 N53:N55 N66:N68 N74:N77 O85:O91 O96:O99 O102:O109 O112:O113 O115:O118 O121:O133 O136:O139 N139 O142:O143 O146:O152 O154:O155 O159 O161:O162 N162 N164:O167 N170:O170 N172:O172 N174:O174 N176:O176 N180:O182 N184:O184">
    <cfRule type="containsText" dxfId="9" priority="20778" operator="containsText" text="No">
      <formula>NOT(ISERROR(SEARCH(("No"),(O16))))</formula>
    </cfRule>
  </conditionalFormatting>
  <conditionalFormatting sqref="O16:O83 P19:Q20 P22:Q27 N31:N43 P32:Q33 N46:N51 P50:Q51 N53:N55 N66:N68 N74:N77 O85:O91 O96:O99 O102:O109 O112:O113 O115:O118 O121:O133 O136:O139 N139 O142:O143 O146:O152 O154:O155 O159 O161:O162 N162 N164:O167 N170:O170 N172:O172 N174:O174 N176:O176 N180:O182 N184:O184">
    <cfRule type="containsText" dxfId="2" priority="20779" operator="containsText" text="Yes">
      <formula>NOT(ISERROR(SEARCH(("Yes"),(O16))))</formula>
    </cfRule>
  </conditionalFormatting>
  <conditionalFormatting sqref="O16:O83 P19:Q20 P22:Q27 N31:N43 P32:Q33 N46:N51 P50:Q51 N53:N55 N66:N68 N74:N77 O85:O91 O96:O99 O102:O109 O112:O113 O115:O118 O121:O133 O136:O139 N139 O142:O143 O146:O152 O154:O155 O159 O161:O162 N162 N164:O167 N170:O170 N172:O172 N174:O174 N176:O176 N180:O182 N184:O184">
    <cfRule type="containsText" dxfId="2" priority="20780" operator="containsText" text="Yes">
      <formula>NOT(ISERROR(SEARCH(("Yes"),(O16))))</formula>
    </cfRule>
  </conditionalFormatting>
  <conditionalFormatting sqref="O16:O83 P19:Q20 P22:Q27 N31:N43 P32:Q33 N46:N51 P50:Q51 N53:N55 N66:N68 N74:N77 O85:O91 O96:O99 O102:O109 O112:O113 O115:O118 O121:O133 O136:O139 N139 O142:O143 O146:O152 O154:O155 O159 O161:O162 N162 N164:O167 N170:O170 N172:O172 N174:O174 N176:O176 N180:O182 N184:O184">
    <cfRule type="containsText" dxfId="2" priority="20781" operator="containsText" text="Yes">
      <formula>NOT(ISERROR(SEARCH(("Yes"),(O16))))</formula>
    </cfRule>
  </conditionalFormatting>
  <conditionalFormatting sqref="O16:O83 P19:Q20 P22:Q27 N31:N43 P32:Q33 N46:N51 P50:Q51 N53:N55 N66:N68 N74:N77 O85:O91 O96:O99 O102:O109 O112:O113 O115:O118 O121:O133 O136:O139 N139 O142:O143 O146:O152 O154:O155 O159 O161:O162 N162 N164:O167 N170:O170 N172:O172 N174:O174 N176:O176 N180:O182 N184:O184">
    <cfRule type="containsText" dxfId="2" priority="20782" operator="containsText" text="Yes">
      <formula>NOT(ISERROR(SEARCH(("Yes"),(O16))))</formula>
    </cfRule>
  </conditionalFormatting>
  <conditionalFormatting sqref="O16:O83 P19:Q20 P22:Q27 N31:N43 P32:Q33 N46:N51 P50:Q51 N53:N55 N66:N68 N74:N77 O85:O91 O96:O99 O102:O109 O112:O113 O115:O118 O121:O133 O136:O139 N139 O142:O143 O146:O152 O154:O155 O159 O161:O162 N162 N164:O167 N170:O170 N172:O172 N174:O174 N176:O176 N180:O182 N184:O184">
    <cfRule type="containsText" dxfId="2" priority="20783" operator="containsText" text="Yes">
      <formula>NOT(ISERROR(SEARCH(("Yes"),(O16))))</formula>
    </cfRule>
  </conditionalFormatting>
  <conditionalFormatting sqref="O16:O83 P19:Q20 P22:Q27 N31:N43 P32:Q33 N46:N51 P50:Q51 N53:N55 N66:N68 N74:N77 O85:O91 O96:O99 O102:O109 O112:O113 O115:O118 O121:O133 O136:O139 N139 O142:O143 O146:O152 O154:O155 O159 O161:O162 N162 N164:O167 N170:O170 N172:O172 N174:O174 N176:O176 N180:O182 N184:O184">
    <cfRule type="containsText" dxfId="9" priority="20784" operator="containsText" text="No">
      <formula>NOT(ISERROR(SEARCH(("No"),(O16))))</formula>
    </cfRule>
  </conditionalFormatting>
  <conditionalFormatting sqref="O16:O83 P19:Q20 P22:Q27 N31:N43 P32:Q33 N46:N51 P50:Q51 N53:N55 N66:N68 N74:N77 O85:O91 O96:O99 O102:O109 O112:O113 O115:O118 O121:O133 O136:O139 N139 O142:O143 O146:O152 O154:O155 O159 O161:O162 N162 N164:O167 N170:O170 N172:O172 N174:O174 N176:O176 N180:O182 N184:O184">
    <cfRule type="containsText" dxfId="9" priority="20785" operator="containsText" text="No">
      <formula>NOT(ISERROR(SEARCH(("No"),(O16))))</formula>
    </cfRule>
  </conditionalFormatting>
  <conditionalFormatting sqref="O16:O83 P19:Q20 P22:Q27 N31:N43 P32:Q33 N46:N51 P50:Q51 N53:N55 N66:N68 N74:N77 O85:O91 O96:O99 O102:O109 O112:O113 O115:O118 O121:O133 O136:O139 N139 O142:O143 O146:O152 O154:O155 O159 O161:O162 N162 N164:O167 N170:O170 N172:O172 N174:O174 N176:O176 N180:O182 N184:O184">
    <cfRule type="containsText" dxfId="2" priority="20786" operator="containsText" text="Yes">
      <formula>NOT(ISERROR(SEARCH(("Yes"),(O16))))</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787"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788"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789"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790"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791"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792"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793"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794"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795"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796"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797"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798"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799"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00"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01"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02"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03"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04"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05"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06"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07"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08"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09"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10"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11"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12"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13"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14"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15"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16"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17"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18"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19"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20"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21"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22"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23"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24"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25"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26"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27"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28"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29"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30"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9" priority="20831" operator="containsText" text="No">
      <formula>NOT(ISERROR(SEARCH(("No"),(P19))))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32"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33"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34"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35"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36"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37"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38"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39"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40"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41"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42"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43"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44"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45"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46"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47"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48"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49"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50"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51"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52"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53"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54"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55"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56"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57"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58"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59"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60"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61"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62"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63"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64"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65"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66"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67"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68"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69"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70"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71"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72"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73"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74"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75"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76"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77" operator="containsText" text="Yes">
      <formula>NOT(ISERROR(SEARCH(("Yes"),(P19))))</formula>
    </cfRule>
  </conditionalFormatting>
  <conditionalFormatting sqref="P19:P38 O27:O28 Q32:Q33 P43:P46 P54:P82 P85:P91 P96:P99 P104:P109 P112:P113 P115:P118 P121:P133 P136:P139 P142:P143 P146:P152 Q150 P154 P159 P161:P162 P164 P166:P167 P172 P174 P176 P180:P182 P184">
    <cfRule type="containsText" dxfId="2" priority="20878" operator="containsText" text="Yes">
      <formula>NOT(ISERROR(SEARCH(("Yes"),(P19))))</formula>
    </cfRule>
  </conditionalFormatting>
  <conditionalFormatting sqref="Q19:Q38 Q43:Q46 Q54:Q82 Q85:Q91 Q96:Q99 Q104:Q109 Q112:Q113 Q115:Q118 Q121:Q133 Q136:Q139 Q142:Q143 Q146:Q149 Q151:Q152 Q154 Q159 Q161:Q162 Q164 Q166:Q167 Q172 Q174 Q176 Q180:Q182 Q184">
    <cfRule type="containsText" dxfId="9" priority="20879"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80"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81"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82"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83"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84"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85"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86"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87"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88"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89"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90"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91"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92"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93"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94"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95"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96"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97"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98"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899"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00"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01"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02"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03"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04"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05"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06"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07"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08"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09"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10"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11"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12"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13"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14"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15"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16"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17"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18"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19"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20"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21"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22"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9" priority="20923" operator="containsText" text="No">
      <formula>NOT(ISERROR(SEARCH(("No"),(Q19))))</formula>
    </cfRule>
  </conditionalFormatting>
  <conditionalFormatting sqref="Q19:Q38 Q43:Q46 Q54:Q82 Q85:Q91 Q96:Q99 Q104:Q109 Q112:Q113 Q115:Q118 Q121:Q133 Q136:Q139 Q142:Q143 Q146:Q149 Q151:Q152 Q154 Q159 Q161:Q162 Q164 Q166:Q167 Q172 Q174 Q176 Q180:Q182 Q184">
    <cfRule type="containsText" dxfId="2" priority="20924"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25"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26"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27"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28"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29"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30"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31"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32"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33"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34"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35"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36"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37"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38"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39"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40"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41"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42"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43"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44"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45"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46"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47"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48"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49"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50"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51"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52"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53"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54"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55"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56"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57"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58"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59"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60"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61"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62"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63"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64"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65"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66"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67"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68"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69" operator="containsText" text="Yes">
      <formula>NOT(ISERROR(SEARCH(("Yes"),(Q19))))</formula>
    </cfRule>
  </conditionalFormatting>
  <conditionalFormatting sqref="Q19:Q38 Q43:Q46 Q54:Q82 Q85:Q91 Q96:Q99 Q104:Q109 Q112:Q113 Q115:Q118 Q121:Q133 Q136:Q139 Q142:Q143 Q146:Q149 Q151:Q152 Q154 Q159 Q161:Q162 Q164 Q166:Q167 Q172 Q174 Q176 Q180:Q182 Q184">
    <cfRule type="containsText" dxfId="2" priority="20970" operator="containsText" text="Yes">
      <formula>NOT(ISERROR(SEARCH(("Yes"),(Q19))))</formula>
    </cfRule>
  </conditionalFormatting>
  <conditionalFormatting sqref="N19:N51 P27:Q28 N53:N82 N85:N87 N89:N91 N96:N99 N104:N109 N112:N113 N115:N118 N121:N133 N136:N139 N142:N143 N146:N152 N154 N159 N161">
    <cfRule type="containsText" dxfId="9" priority="20971"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72"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73"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74"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75"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76"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77"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78"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79"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80"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81"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82"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83"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84"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85"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86"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87"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88"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89"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90"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91"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92"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93"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94"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95"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96"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97"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98"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0999"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00"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01"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02"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03"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04"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05"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06"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07"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08"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09"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10"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11"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12"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13"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14" operator="containsText" text="No">
      <formula>NOT(ISERROR(SEARCH(("No"),(N19))))</formula>
    </cfRule>
  </conditionalFormatting>
  <conditionalFormatting sqref="N19:N51 P27:Q28 N53:N82 N85:N87 N89:N91 N96:N99 N104:N109 N112:N113 N115:N118 N121:N133 N136:N139 N142:N143 N146:N152 N154 N159 N161">
    <cfRule type="containsText" dxfId="9" priority="21015" operator="containsText" text="No">
      <formula>NOT(ISERROR(SEARCH(("No"),(N19))))</formula>
    </cfRule>
  </conditionalFormatting>
  <conditionalFormatting sqref="N19:N51 P27:Q28 N53:N82 N85:N87 N89:N91 N96:N99 N104:N109 N112:N113 N115:N118 N121:N133 N136:N139 N142:N143 N146:N152 N154 N159 N161">
    <cfRule type="containsText" dxfId="2" priority="21016"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17"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18"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19"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20"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21"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22"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23"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24"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25"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26"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27"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28"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29"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30"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31"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32"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33"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34"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35"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36"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37"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38"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39"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40"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41"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42"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43"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44"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45"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46"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47"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48"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49"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50"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51"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52"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53"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54"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55"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56"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57"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58"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59"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60"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61" operator="containsText" text="Yes">
      <formula>NOT(ISERROR(SEARCH(("Yes"),(N19))))</formula>
    </cfRule>
  </conditionalFormatting>
  <conditionalFormatting sqref="N19:N51 P27:Q28 N53:N82 N85:N87 N89:N91 N96:N99 N104:N109 N112:N113 N115:N118 N121:N133 N136:N139 N142:N143 N146:N152 N154 N159 N161">
    <cfRule type="containsText" dxfId="2" priority="21062" operator="containsText" text="Yes">
      <formula>NOT(ISERROR(SEARCH(("Yes"),(N19))))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63"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64"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65"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66"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67"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68"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69"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70"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71"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72"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73"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74"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75"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76"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77"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78"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79"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80"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81"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82"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83"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84"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85"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86"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87"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88"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89"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90"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91"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92"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93"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94"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95"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96"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97"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98"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099"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100"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101"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102"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103"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104"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105"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106"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9" priority="21107" operator="containsText" text="No">
      <formula>NOT(ISERROR(SEARCH(("No"),(O19))))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08"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09"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10"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11"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12"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13"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14"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15"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16"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17"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18"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19"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20"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21"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22"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23"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24"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25"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26"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27"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28"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29"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30"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31"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32"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33"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34"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35"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36"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37"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38"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39"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40"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41"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42"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43"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44"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45"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46"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47"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48"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49"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50"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51"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52"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53" operator="containsText" text="Yes">
      <formula>NOT(ISERROR(SEARCH(("Yes"),(O19))))</formula>
    </cfRule>
  </conditionalFormatting>
  <conditionalFormatting sqref="O19:O49 N31:N43 P32:Q33 N46:N51 P50:Q51 N53:N55 O53:O82 N66:N68 N74:N77 O85:O91 O96:O99 O104:O109 O112:O113 O115:O118 O121:O133 O136:O139 N139 O142:O143 O146:O152 O154:O155 O159 O161:O162 N162 N164:O167 N170:O170 N172:O172 N174:O174 N176:O176 N180:O182 N184:O184">
    <cfRule type="containsText" dxfId="2" priority="21154" operator="containsText" text="Yes">
      <formula>NOT(ISERROR(SEARCH(("Yes"),(O19))))</formula>
    </cfRule>
  </conditionalFormatting>
  <conditionalFormatting sqref="P22:P27 O27:O28">
    <cfRule type="containsText" dxfId="9" priority="21155" operator="containsText" text="No">
      <formula>NOT(ISERROR(SEARCH(("No"),(P22))))</formula>
    </cfRule>
  </conditionalFormatting>
  <conditionalFormatting sqref="P22:P27 O27:O28">
    <cfRule type="containsText" dxfId="9" priority="21156" operator="containsText" text="No">
      <formula>NOT(ISERROR(SEARCH(("No"),(P22))))</formula>
    </cfRule>
  </conditionalFormatting>
  <conditionalFormatting sqref="P22:P27 O27:O28">
    <cfRule type="containsText" dxfId="9" priority="21157" operator="containsText" text="No">
      <formula>NOT(ISERROR(SEARCH(("No"),(P22))))</formula>
    </cfRule>
  </conditionalFormatting>
  <conditionalFormatting sqref="P22:P27 O27:O28">
    <cfRule type="containsText" dxfId="9" priority="21158" operator="containsText" text="No">
      <formula>NOT(ISERROR(SEARCH(("No"),(P22))))</formula>
    </cfRule>
  </conditionalFormatting>
  <conditionalFormatting sqref="P22:P27 O27:O28">
    <cfRule type="containsText" dxfId="9" priority="21159" operator="containsText" text="No">
      <formula>NOT(ISERROR(SEARCH(("No"),(P22))))</formula>
    </cfRule>
  </conditionalFormatting>
  <conditionalFormatting sqref="P22:P27 O27:O28">
    <cfRule type="containsText" dxfId="9" priority="21160" operator="containsText" text="No">
      <formula>NOT(ISERROR(SEARCH(("No"),(P22))))</formula>
    </cfRule>
  </conditionalFormatting>
  <conditionalFormatting sqref="P22:P27 O27:O28">
    <cfRule type="containsText" dxfId="9" priority="21161" operator="containsText" text="No">
      <formula>NOT(ISERROR(SEARCH(("No"),(P22))))</formula>
    </cfRule>
  </conditionalFormatting>
  <conditionalFormatting sqref="P22:P27 O27:O28">
    <cfRule type="containsText" dxfId="9" priority="21162" operator="containsText" text="No">
      <formula>NOT(ISERROR(SEARCH(("No"),(P22))))</formula>
    </cfRule>
  </conditionalFormatting>
  <conditionalFormatting sqref="P22:P27 O27:O28">
    <cfRule type="containsText" dxfId="9" priority="21163" operator="containsText" text="No">
      <formula>NOT(ISERROR(SEARCH(("No"),(P22))))</formula>
    </cfRule>
  </conditionalFormatting>
  <conditionalFormatting sqref="P22:P27 O27:O28">
    <cfRule type="containsText" dxfId="9" priority="21164" operator="containsText" text="No">
      <formula>NOT(ISERROR(SEARCH(("No"),(P22))))</formula>
    </cfRule>
  </conditionalFormatting>
  <conditionalFormatting sqref="P22:P27 O27:O28">
    <cfRule type="containsText" dxfId="9" priority="21165" operator="containsText" text="No">
      <formula>NOT(ISERROR(SEARCH(("No"),(P22))))</formula>
    </cfRule>
  </conditionalFormatting>
  <conditionalFormatting sqref="P22:P27 O27:O28">
    <cfRule type="containsText" dxfId="9" priority="21166" operator="containsText" text="No">
      <formula>NOT(ISERROR(SEARCH(("No"),(P22))))</formula>
    </cfRule>
  </conditionalFormatting>
  <conditionalFormatting sqref="P22:P27 O27:O28">
    <cfRule type="containsText" dxfId="9" priority="21167" operator="containsText" text="No">
      <formula>NOT(ISERROR(SEARCH(("No"),(P22))))</formula>
    </cfRule>
  </conditionalFormatting>
  <conditionalFormatting sqref="P22:P27 O27:O28">
    <cfRule type="containsText" dxfId="9" priority="21168" operator="containsText" text="No">
      <formula>NOT(ISERROR(SEARCH(("No"),(P22))))</formula>
    </cfRule>
  </conditionalFormatting>
  <conditionalFormatting sqref="P22:P27 O27:O28">
    <cfRule type="containsText" dxfId="9" priority="21169" operator="containsText" text="No">
      <formula>NOT(ISERROR(SEARCH(("No"),(P22))))</formula>
    </cfRule>
  </conditionalFormatting>
  <conditionalFormatting sqref="P22:P27 O27:O28">
    <cfRule type="containsText" dxfId="9" priority="21170" operator="containsText" text="No">
      <formula>NOT(ISERROR(SEARCH(("No"),(P22))))</formula>
    </cfRule>
  </conditionalFormatting>
  <conditionalFormatting sqref="P22:P27 O27:O28">
    <cfRule type="containsText" dxfId="9" priority="21171" operator="containsText" text="No">
      <formula>NOT(ISERROR(SEARCH(("No"),(P22))))</formula>
    </cfRule>
  </conditionalFormatting>
  <conditionalFormatting sqref="P22:P27 O27:O28">
    <cfRule type="containsText" dxfId="9" priority="21172" operator="containsText" text="No">
      <formula>NOT(ISERROR(SEARCH(("No"),(P22))))</formula>
    </cfRule>
  </conditionalFormatting>
  <conditionalFormatting sqref="P22:P27 O27:O28">
    <cfRule type="containsText" dxfId="9" priority="21173" operator="containsText" text="No">
      <formula>NOT(ISERROR(SEARCH(("No"),(P22))))</formula>
    </cfRule>
  </conditionalFormatting>
  <conditionalFormatting sqref="P22:P27 O27:O28">
    <cfRule type="containsText" dxfId="9" priority="21174" operator="containsText" text="No">
      <formula>NOT(ISERROR(SEARCH(("No"),(P22))))</formula>
    </cfRule>
  </conditionalFormatting>
  <conditionalFormatting sqref="P22:P27 O27:O28">
    <cfRule type="containsText" dxfId="9" priority="21175" operator="containsText" text="No">
      <formula>NOT(ISERROR(SEARCH(("No"),(P22))))</formula>
    </cfRule>
  </conditionalFormatting>
  <conditionalFormatting sqref="P22:P27 O27:O28">
    <cfRule type="containsText" dxfId="9" priority="21176" operator="containsText" text="No">
      <formula>NOT(ISERROR(SEARCH(("No"),(P22))))</formula>
    </cfRule>
  </conditionalFormatting>
  <conditionalFormatting sqref="P22:P27 O27:O28">
    <cfRule type="containsText" dxfId="9" priority="21177" operator="containsText" text="No">
      <formula>NOT(ISERROR(SEARCH(("No"),(P22))))</formula>
    </cfRule>
  </conditionalFormatting>
  <conditionalFormatting sqref="P22:P27 O27:O28">
    <cfRule type="containsText" dxfId="9" priority="21178" operator="containsText" text="No">
      <formula>NOT(ISERROR(SEARCH(("No"),(P22))))</formula>
    </cfRule>
  </conditionalFormatting>
  <conditionalFormatting sqref="P22:P27 O27:O28">
    <cfRule type="containsText" dxfId="9" priority="21179" operator="containsText" text="No">
      <formula>NOT(ISERROR(SEARCH(("No"),(P22))))</formula>
    </cfRule>
  </conditionalFormatting>
  <conditionalFormatting sqref="P22:P27 O27:O28">
    <cfRule type="containsText" dxfId="9" priority="21180" operator="containsText" text="No">
      <formula>NOT(ISERROR(SEARCH(("No"),(P22))))</formula>
    </cfRule>
  </conditionalFormatting>
  <conditionalFormatting sqref="P22:P27 O27:O28">
    <cfRule type="containsText" dxfId="9" priority="21181" operator="containsText" text="No">
      <formula>NOT(ISERROR(SEARCH(("No"),(P22))))</formula>
    </cfRule>
  </conditionalFormatting>
  <conditionalFormatting sqref="P22:P27 O27:O28">
    <cfRule type="containsText" dxfId="9" priority="21182" operator="containsText" text="No">
      <formula>NOT(ISERROR(SEARCH(("No"),(P22))))</formula>
    </cfRule>
  </conditionalFormatting>
  <conditionalFormatting sqref="P22:P27 O27:O28">
    <cfRule type="containsText" dxfId="9" priority="21183" operator="containsText" text="No">
      <formula>NOT(ISERROR(SEARCH(("No"),(P22))))</formula>
    </cfRule>
  </conditionalFormatting>
  <conditionalFormatting sqref="P22:P27 O27:O28">
    <cfRule type="containsText" dxfId="9" priority="21184" operator="containsText" text="No">
      <formula>NOT(ISERROR(SEARCH(("No"),(P22))))</formula>
    </cfRule>
  </conditionalFormatting>
  <conditionalFormatting sqref="P22:P27 O27:O28">
    <cfRule type="containsText" dxfId="9" priority="21185" operator="containsText" text="No">
      <formula>NOT(ISERROR(SEARCH(("No"),(P22))))</formula>
    </cfRule>
  </conditionalFormatting>
  <conditionalFormatting sqref="P22:P27 O27:O28">
    <cfRule type="containsText" dxfId="9" priority="21186" operator="containsText" text="No">
      <formula>NOT(ISERROR(SEARCH(("No"),(P22))))</formula>
    </cfRule>
  </conditionalFormatting>
  <conditionalFormatting sqref="P22:P27 O27:O28">
    <cfRule type="containsText" dxfId="9" priority="21187" operator="containsText" text="No">
      <formula>NOT(ISERROR(SEARCH(("No"),(P22))))</formula>
    </cfRule>
  </conditionalFormatting>
  <conditionalFormatting sqref="P22:P27 O27:O28">
    <cfRule type="containsText" dxfId="9" priority="21188" operator="containsText" text="No">
      <formula>NOT(ISERROR(SEARCH(("No"),(P22))))</formula>
    </cfRule>
  </conditionalFormatting>
  <conditionalFormatting sqref="P22:P27 O27:O28">
    <cfRule type="containsText" dxfId="9" priority="21189" operator="containsText" text="No">
      <formula>NOT(ISERROR(SEARCH(("No"),(P22))))</formula>
    </cfRule>
  </conditionalFormatting>
  <conditionalFormatting sqref="P22:P27 O27:O28">
    <cfRule type="containsText" dxfId="9" priority="21190" operator="containsText" text="No">
      <formula>NOT(ISERROR(SEARCH(("No"),(P22))))</formula>
    </cfRule>
  </conditionalFormatting>
  <conditionalFormatting sqref="P22:P27 O27:O28">
    <cfRule type="containsText" dxfId="9" priority="21191" operator="containsText" text="No">
      <formula>NOT(ISERROR(SEARCH(("No"),(P22))))</formula>
    </cfRule>
  </conditionalFormatting>
  <conditionalFormatting sqref="P22:P27 O27:O28">
    <cfRule type="containsText" dxfId="9" priority="21192" operator="containsText" text="No">
      <formula>NOT(ISERROR(SEARCH(("No"),(P22))))</formula>
    </cfRule>
  </conditionalFormatting>
  <conditionalFormatting sqref="P22:P27 O27:O28">
    <cfRule type="containsText" dxfId="9" priority="21193" operator="containsText" text="No">
      <formula>NOT(ISERROR(SEARCH(("No"),(P22))))</formula>
    </cfRule>
  </conditionalFormatting>
  <conditionalFormatting sqref="P22:P27 O27:O28">
    <cfRule type="containsText" dxfId="9" priority="21194" operator="containsText" text="No">
      <formula>NOT(ISERROR(SEARCH(("No"),(P22))))</formula>
    </cfRule>
  </conditionalFormatting>
  <conditionalFormatting sqref="P22:P27 O27:O28">
    <cfRule type="containsText" dxfId="9" priority="21195" operator="containsText" text="No">
      <formula>NOT(ISERROR(SEARCH(("No"),(P22))))</formula>
    </cfRule>
  </conditionalFormatting>
  <conditionalFormatting sqref="P22:P27 O27:O28">
    <cfRule type="containsText" dxfId="9" priority="21196" operator="containsText" text="No">
      <formula>NOT(ISERROR(SEARCH(("No"),(P22))))</formula>
    </cfRule>
  </conditionalFormatting>
  <conditionalFormatting sqref="P22:P27 O27:O28">
    <cfRule type="containsText" dxfId="9" priority="21197" operator="containsText" text="No">
      <formula>NOT(ISERROR(SEARCH(("No"),(P22))))</formula>
    </cfRule>
  </conditionalFormatting>
  <conditionalFormatting sqref="P22:P27 O27:O28">
    <cfRule type="containsText" dxfId="9" priority="21198" operator="containsText" text="No">
      <formula>NOT(ISERROR(SEARCH(("No"),(P22))))</formula>
    </cfRule>
  </conditionalFormatting>
  <conditionalFormatting sqref="P22:P27 O27:O28">
    <cfRule type="containsText" dxfId="9" priority="21199" operator="containsText" text="No">
      <formula>NOT(ISERROR(SEARCH(("No"),(P22))))</formula>
    </cfRule>
  </conditionalFormatting>
  <conditionalFormatting sqref="P22:P27 O27:O28">
    <cfRule type="containsText" dxfId="2" priority="21200" operator="containsText" text="Yes">
      <formula>NOT(ISERROR(SEARCH(("Yes"),(P22))))</formula>
    </cfRule>
  </conditionalFormatting>
  <conditionalFormatting sqref="P22:P27 O27:O28">
    <cfRule type="containsText" dxfId="2" priority="21201" operator="containsText" text="Yes">
      <formula>NOT(ISERROR(SEARCH(("Yes"),(P22))))</formula>
    </cfRule>
  </conditionalFormatting>
  <conditionalFormatting sqref="P22:P27 O27:O28">
    <cfRule type="containsText" dxfId="2" priority="21202" operator="containsText" text="Yes">
      <formula>NOT(ISERROR(SEARCH(("Yes"),(P22))))</formula>
    </cfRule>
  </conditionalFormatting>
  <conditionalFormatting sqref="P22:P27 O27:O28">
    <cfRule type="containsText" dxfId="2" priority="21203" operator="containsText" text="Yes">
      <formula>NOT(ISERROR(SEARCH(("Yes"),(P22))))</formula>
    </cfRule>
  </conditionalFormatting>
  <conditionalFormatting sqref="P22:P27 O27:O28">
    <cfRule type="containsText" dxfId="2" priority="21204" operator="containsText" text="Yes">
      <formula>NOT(ISERROR(SEARCH(("Yes"),(P22))))</formula>
    </cfRule>
  </conditionalFormatting>
  <conditionalFormatting sqref="P22:P27 O27:O28">
    <cfRule type="containsText" dxfId="2" priority="21205" operator="containsText" text="Yes">
      <formula>NOT(ISERROR(SEARCH(("Yes"),(P22))))</formula>
    </cfRule>
  </conditionalFormatting>
  <conditionalFormatting sqref="P22:P27 O27:O28">
    <cfRule type="containsText" dxfId="2" priority="21206" operator="containsText" text="Yes">
      <formula>NOT(ISERROR(SEARCH(("Yes"),(P22))))</formula>
    </cfRule>
  </conditionalFormatting>
  <conditionalFormatting sqref="P22:P27 O27:O28">
    <cfRule type="containsText" dxfId="2" priority="21207" operator="containsText" text="Yes">
      <formula>NOT(ISERROR(SEARCH(("Yes"),(P22))))</formula>
    </cfRule>
  </conditionalFormatting>
  <conditionalFormatting sqref="P22:P27 O27:O28">
    <cfRule type="containsText" dxfId="2" priority="21208" operator="containsText" text="Yes">
      <formula>NOT(ISERROR(SEARCH(("Yes"),(P22))))</formula>
    </cfRule>
  </conditionalFormatting>
  <conditionalFormatting sqref="P22:P27 O27:O28">
    <cfRule type="containsText" dxfId="2" priority="21209" operator="containsText" text="Yes">
      <formula>NOT(ISERROR(SEARCH(("Yes"),(P22))))</formula>
    </cfRule>
  </conditionalFormatting>
  <conditionalFormatting sqref="P22:P27 O27:O28">
    <cfRule type="containsText" dxfId="2" priority="21210" operator="containsText" text="Yes">
      <formula>NOT(ISERROR(SEARCH(("Yes"),(P22))))</formula>
    </cfRule>
  </conditionalFormatting>
  <conditionalFormatting sqref="P22:P27 O27:O28">
    <cfRule type="containsText" dxfId="2" priority="21211" operator="containsText" text="Yes">
      <formula>NOT(ISERROR(SEARCH(("Yes"),(P22))))</formula>
    </cfRule>
  </conditionalFormatting>
  <conditionalFormatting sqref="P22:P27 O27:O28">
    <cfRule type="containsText" dxfId="2" priority="21212" operator="containsText" text="Yes">
      <formula>NOT(ISERROR(SEARCH(("Yes"),(P22))))</formula>
    </cfRule>
  </conditionalFormatting>
  <conditionalFormatting sqref="P22:P27 O27:O28">
    <cfRule type="containsText" dxfId="2" priority="21213" operator="containsText" text="Yes">
      <formula>NOT(ISERROR(SEARCH(("Yes"),(P22))))</formula>
    </cfRule>
  </conditionalFormatting>
  <conditionalFormatting sqref="P22:P27 O27:O28">
    <cfRule type="containsText" dxfId="2" priority="21214" operator="containsText" text="Yes">
      <formula>NOT(ISERROR(SEARCH(("Yes"),(P22))))</formula>
    </cfRule>
  </conditionalFormatting>
  <conditionalFormatting sqref="P22:P27 O27:O28">
    <cfRule type="containsText" dxfId="2" priority="21215" operator="containsText" text="Yes">
      <formula>NOT(ISERROR(SEARCH(("Yes"),(P22))))</formula>
    </cfRule>
  </conditionalFormatting>
  <conditionalFormatting sqref="P22:P27 O27:O28">
    <cfRule type="containsText" dxfId="2" priority="21216" operator="containsText" text="Yes">
      <formula>NOT(ISERROR(SEARCH(("Yes"),(P22))))</formula>
    </cfRule>
  </conditionalFormatting>
  <conditionalFormatting sqref="P22:P27 O27:O28">
    <cfRule type="containsText" dxfId="2" priority="21217" operator="containsText" text="Yes">
      <formula>NOT(ISERROR(SEARCH(("Yes"),(P22))))</formula>
    </cfRule>
  </conditionalFormatting>
  <conditionalFormatting sqref="P22:P27 O27:O28">
    <cfRule type="containsText" dxfId="2" priority="21218" operator="containsText" text="Yes">
      <formula>NOT(ISERROR(SEARCH(("Yes"),(P22))))</formula>
    </cfRule>
  </conditionalFormatting>
  <conditionalFormatting sqref="P22:P27 O27:O28">
    <cfRule type="containsText" dxfId="2" priority="21219" operator="containsText" text="Yes">
      <formula>NOT(ISERROR(SEARCH(("Yes"),(P22))))</formula>
    </cfRule>
  </conditionalFormatting>
  <conditionalFormatting sqref="P22:P27 O27:O28">
    <cfRule type="containsText" dxfId="2" priority="21220" operator="containsText" text="Yes">
      <formula>NOT(ISERROR(SEARCH(("Yes"),(P22))))</formula>
    </cfRule>
  </conditionalFormatting>
  <conditionalFormatting sqref="P22:P27 O27:O28">
    <cfRule type="containsText" dxfId="2" priority="21221" operator="containsText" text="Yes">
      <formula>NOT(ISERROR(SEARCH(("Yes"),(P22))))</formula>
    </cfRule>
  </conditionalFormatting>
  <conditionalFormatting sqref="P22:P27 O27:O28">
    <cfRule type="containsText" dxfId="2" priority="21222" operator="containsText" text="Yes">
      <formula>NOT(ISERROR(SEARCH(("Yes"),(P22))))</formula>
    </cfRule>
  </conditionalFormatting>
  <conditionalFormatting sqref="P22:P27 O27:O28">
    <cfRule type="containsText" dxfId="2" priority="21223" operator="containsText" text="Yes">
      <formula>NOT(ISERROR(SEARCH(("Yes"),(P22))))</formula>
    </cfRule>
  </conditionalFormatting>
  <conditionalFormatting sqref="P22:P27 O27:O28">
    <cfRule type="containsText" dxfId="2" priority="21224" operator="containsText" text="Yes">
      <formula>NOT(ISERROR(SEARCH(("Yes"),(P22))))</formula>
    </cfRule>
  </conditionalFormatting>
  <conditionalFormatting sqref="P22:P27 O27:O28">
    <cfRule type="containsText" dxfId="2" priority="21225" operator="containsText" text="Yes">
      <formula>NOT(ISERROR(SEARCH(("Yes"),(P22))))</formula>
    </cfRule>
  </conditionalFormatting>
  <conditionalFormatting sqref="P22:P27 O27:O28">
    <cfRule type="containsText" dxfId="2" priority="21226" operator="containsText" text="Yes">
      <formula>NOT(ISERROR(SEARCH(("Yes"),(P22))))</formula>
    </cfRule>
  </conditionalFormatting>
  <conditionalFormatting sqref="P22:P27 O27:O28">
    <cfRule type="containsText" dxfId="2" priority="21227" operator="containsText" text="Yes">
      <formula>NOT(ISERROR(SEARCH(("Yes"),(P22))))</formula>
    </cfRule>
  </conditionalFormatting>
  <conditionalFormatting sqref="P22:P27 O27:O28">
    <cfRule type="containsText" dxfId="2" priority="21228" operator="containsText" text="Yes">
      <formula>NOT(ISERROR(SEARCH(("Yes"),(P22))))</formula>
    </cfRule>
  </conditionalFormatting>
  <conditionalFormatting sqref="P22:P27 O27:O28">
    <cfRule type="containsText" dxfId="2" priority="21229" operator="containsText" text="Yes">
      <formula>NOT(ISERROR(SEARCH(("Yes"),(P22))))</formula>
    </cfRule>
  </conditionalFormatting>
  <conditionalFormatting sqref="P22:P27 O27:O28">
    <cfRule type="containsText" dxfId="2" priority="21230" operator="containsText" text="Yes">
      <formula>NOT(ISERROR(SEARCH(("Yes"),(P22))))</formula>
    </cfRule>
  </conditionalFormatting>
  <conditionalFormatting sqref="P22:P27 O27:O28">
    <cfRule type="containsText" dxfId="2" priority="21231" operator="containsText" text="Yes">
      <formula>NOT(ISERROR(SEARCH(("Yes"),(P22))))</formula>
    </cfRule>
  </conditionalFormatting>
  <conditionalFormatting sqref="P22:P27 O27:O28">
    <cfRule type="containsText" dxfId="2" priority="21232" operator="containsText" text="Yes">
      <formula>NOT(ISERROR(SEARCH(("Yes"),(P22))))</formula>
    </cfRule>
  </conditionalFormatting>
  <conditionalFormatting sqref="P22:P27 O27:O28">
    <cfRule type="containsText" dxfId="2" priority="21233" operator="containsText" text="Yes">
      <formula>NOT(ISERROR(SEARCH(("Yes"),(P22))))</formula>
    </cfRule>
  </conditionalFormatting>
  <conditionalFormatting sqref="P22:P27 O27:O28">
    <cfRule type="containsText" dxfId="2" priority="21234" operator="containsText" text="Yes">
      <formula>NOT(ISERROR(SEARCH(("Yes"),(P22))))</formula>
    </cfRule>
  </conditionalFormatting>
  <conditionalFormatting sqref="P22:P27 O27:O28">
    <cfRule type="containsText" dxfId="2" priority="21235" operator="containsText" text="Yes">
      <formula>NOT(ISERROR(SEARCH(("Yes"),(P22))))</formula>
    </cfRule>
  </conditionalFormatting>
  <conditionalFormatting sqref="P22:P27 O27:O28">
    <cfRule type="containsText" dxfId="2" priority="21236" operator="containsText" text="Yes">
      <formula>NOT(ISERROR(SEARCH(("Yes"),(P22))))</formula>
    </cfRule>
  </conditionalFormatting>
  <conditionalFormatting sqref="P22:P27 O27:O28">
    <cfRule type="containsText" dxfId="2" priority="21237" operator="containsText" text="Yes">
      <formula>NOT(ISERROR(SEARCH(("Yes"),(P22))))</formula>
    </cfRule>
  </conditionalFormatting>
  <conditionalFormatting sqref="P22:P27 O27:O28">
    <cfRule type="containsText" dxfId="2" priority="21238" operator="containsText" text="Yes">
      <formula>NOT(ISERROR(SEARCH(("Yes"),(P22))))</formula>
    </cfRule>
  </conditionalFormatting>
  <conditionalFormatting sqref="P22:P27 O27:O28">
    <cfRule type="containsText" dxfId="2" priority="21239" operator="containsText" text="Yes">
      <formula>NOT(ISERROR(SEARCH(("Yes"),(P22))))</formula>
    </cfRule>
  </conditionalFormatting>
  <conditionalFormatting sqref="P22:P27 O27:O28">
    <cfRule type="containsText" dxfId="2" priority="21240" operator="containsText" text="Yes">
      <formula>NOT(ISERROR(SEARCH(("Yes"),(P22))))</formula>
    </cfRule>
  </conditionalFormatting>
  <conditionalFormatting sqref="P22:P27 O27:O28">
    <cfRule type="containsText" dxfId="2" priority="21241" operator="containsText" text="Yes">
      <formula>NOT(ISERROR(SEARCH(("Yes"),(P22))))</formula>
    </cfRule>
  </conditionalFormatting>
  <conditionalFormatting sqref="P22:P27 O27:O28">
    <cfRule type="containsText" dxfId="2" priority="21242" operator="containsText" text="Yes">
      <formula>NOT(ISERROR(SEARCH(("Yes"),(P22))))</formula>
    </cfRule>
  </conditionalFormatting>
  <conditionalFormatting sqref="P22:P27 O27:O28">
    <cfRule type="containsText" dxfId="2" priority="21243" operator="containsText" text="Yes">
      <formula>NOT(ISERROR(SEARCH(("Yes"),(P22))))</formula>
    </cfRule>
  </conditionalFormatting>
  <conditionalFormatting sqref="P22:P27 O27:O28">
    <cfRule type="containsText" dxfId="2" priority="21244" operator="containsText" text="Yes">
      <formula>NOT(ISERROR(SEARCH(("Yes"),(P22))))</formula>
    </cfRule>
  </conditionalFormatting>
  <conditionalFormatting sqref="P22:P27 O27:O28">
    <cfRule type="containsText" dxfId="2" priority="21245" operator="containsText" text="Yes">
      <formula>NOT(ISERROR(SEARCH(("Yes"),(P22))))</formula>
    </cfRule>
  </conditionalFormatting>
  <conditionalFormatting sqref="P22:P27 O27:O28">
    <cfRule type="containsText" dxfId="2" priority="21246" operator="containsText" text="Yes">
      <formula>NOT(ISERROR(SEARCH(("Yes"),(P22))))</formula>
    </cfRule>
  </conditionalFormatting>
  <conditionalFormatting sqref="Q22:Q27">
    <cfRule type="containsText" dxfId="9" priority="21247" operator="containsText" text="No">
      <formula>NOT(ISERROR(SEARCH(("No"),(Q22))))</formula>
    </cfRule>
  </conditionalFormatting>
  <conditionalFormatting sqref="Q22:Q27">
    <cfRule type="containsText" dxfId="9" priority="21248" operator="containsText" text="No">
      <formula>NOT(ISERROR(SEARCH(("No"),(Q22))))</formula>
    </cfRule>
  </conditionalFormatting>
  <conditionalFormatting sqref="Q22:Q27">
    <cfRule type="containsText" dxfId="9" priority="21249" operator="containsText" text="No">
      <formula>NOT(ISERROR(SEARCH(("No"),(Q22))))</formula>
    </cfRule>
  </conditionalFormatting>
  <conditionalFormatting sqref="Q22:Q27">
    <cfRule type="containsText" dxfId="9" priority="21250" operator="containsText" text="No">
      <formula>NOT(ISERROR(SEARCH(("No"),(Q22))))</formula>
    </cfRule>
  </conditionalFormatting>
  <conditionalFormatting sqref="Q22:Q27">
    <cfRule type="containsText" dxfId="9" priority="21251" operator="containsText" text="No">
      <formula>NOT(ISERROR(SEARCH(("No"),(Q22))))</formula>
    </cfRule>
  </conditionalFormatting>
  <conditionalFormatting sqref="Q22:Q27">
    <cfRule type="containsText" dxfId="9" priority="21252" operator="containsText" text="No">
      <formula>NOT(ISERROR(SEARCH(("No"),(Q22))))</formula>
    </cfRule>
  </conditionalFormatting>
  <conditionalFormatting sqref="Q22:Q27">
    <cfRule type="containsText" dxfId="9" priority="21253" operator="containsText" text="No">
      <formula>NOT(ISERROR(SEARCH(("No"),(Q22))))</formula>
    </cfRule>
  </conditionalFormatting>
  <conditionalFormatting sqref="Q22:Q27">
    <cfRule type="containsText" dxfId="9" priority="21254" operator="containsText" text="No">
      <formula>NOT(ISERROR(SEARCH(("No"),(Q22))))</formula>
    </cfRule>
  </conditionalFormatting>
  <conditionalFormatting sqref="Q22:Q27">
    <cfRule type="containsText" dxfId="9" priority="21255" operator="containsText" text="No">
      <formula>NOT(ISERROR(SEARCH(("No"),(Q22))))</formula>
    </cfRule>
  </conditionalFormatting>
  <conditionalFormatting sqref="Q22:Q27">
    <cfRule type="containsText" dxfId="9" priority="21256" operator="containsText" text="No">
      <formula>NOT(ISERROR(SEARCH(("No"),(Q22))))</formula>
    </cfRule>
  </conditionalFormatting>
  <conditionalFormatting sqref="Q22:Q27">
    <cfRule type="containsText" dxfId="9" priority="21257" operator="containsText" text="No">
      <formula>NOT(ISERROR(SEARCH(("No"),(Q22))))</formula>
    </cfRule>
  </conditionalFormatting>
  <conditionalFormatting sqref="Q22:Q27">
    <cfRule type="containsText" dxfId="9" priority="21258" operator="containsText" text="No">
      <formula>NOT(ISERROR(SEARCH(("No"),(Q22))))</formula>
    </cfRule>
  </conditionalFormatting>
  <conditionalFormatting sqref="Q22:Q27">
    <cfRule type="containsText" dxfId="9" priority="21259" operator="containsText" text="No">
      <formula>NOT(ISERROR(SEARCH(("No"),(Q22))))</formula>
    </cfRule>
  </conditionalFormatting>
  <conditionalFormatting sqref="Q22:Q27">
    <cfRule type="containsText" dxfId="9" priority="21260" operator="containsText" text="No">
      <formula>NOT(ISERROR(SEARCH(("No"),(Q22))))</formula>
    </cfRule>
  </conditionalFormatting>
  <conditionalFormatting sqref="Q22:Q27">
    <cfRule type="containsText" dxfId="9" priority="21261" operator="containsText" text="No">
      <formula>NOT(ISERROR(SEARCH(("No"),(Q22))))</formula>
    </cfRule>
  </conditionalFormatting>
  <conditionalFormatting sqref="Q22:Q27">
    <cfRule type="containsText" dxfId="9" priority="21262" operator="containsText" text="No">
      <formula>NOT(ISERROR(SEARCH(("No"),(Q22))))</formula>
    </cfRule>
  </conditionalFormatting>
  <conditionalFormatting sqref="Q22:Q27">
    <cfRule type="containsText" dxfId="9" priority="21263" operator="containsText" text="No">
      <formula>NOT(ISERROR(SEARCH(("No"),(Q22))))</formula>
    </cfRule>
  </conditionalFormatting>
  <conditionalFormatting sqref="Q22:Q27">
    <cfRule type="containsText" dxfId="9" priority="21264" operator="containsText" text="No">
      <formula>NOT(ISERROR(SEARCH(("No"),(Q22))))</formula>
    </cfRule>
  </conditionalFormatting>
  <conditionalFormatting sqref="Q22:Q27">
    <cfRule type="containsText" dxfId="9" priority="21265" operator="containsText" text="No">
      <formula>NOT(ISERROR(SEARCH(("No"),(Q22))))</formula>
    </cfRule>
  </conditionalFormatting>
  <conditionalFormatting sqref="Q22:Q27">
    <cfRule type="containsText" dxfId="9" priority="21266" operator="containsText" text="No">
      <formula>NOT(ISERROR(SEARCH(("No"),(Q22))))</formula>
    </cfRule>
  </conditionalFormatting>
  <conditionalFormatting sqref="Q22:Q27">
    <cfRule type="containsText" dxfId="9" priority="21267" operator="containsText" text="No">
      <formula>NOT(ISERROR(SEARCH(("No"),(Q22))))</formula>
    </cfRule>
  </conditionalFormatting>
  <conditionalFormatting sqref="Q22:Q27">
    <cfRule type="containsText" dxfId="9" priority="21268" operator="containsText" text="No">
      <formula>NOT(ISERROR(SEARCH(("No"),(Q22))))</formula>
    </cfRule>
  </conditionalFormatting>
  <conditionalFormatting sqref="Q22:Q27">
    <cfRule type="containsText" dxfId="9" priority="21269" operator="containsText" text="No">
      <formula>NOT(ISERROR(SEARCH(("No"),(Q22))))</formula>
    </cfRule>
  </conditionalFormatting>
  <conditionalFormatting sqref="Q22:Q27">
    <cfRule type="containsText" dxfId="9" priority="21270" operator="containsText" text="No">
      <formula>NOT(ISERROR(SEARCH(("No"),(Q22))))</formula>
    </cfRule>
  </conditionalFormatting>
  <conditionalFormatting sqref="Q22:Q27">
    <cfRule type="containsText" dxfId="9" priority="21271" operator="containsText" text="No">
      <formula>NOT(ISERROR(SEARCH(("No"),(Q22))))</formula>
    </cfRule>
  </conditionalFormatting>
  <conditionalFormatting sqref="Q22:Q27">
    <cfRule type="containsText" dxfId="9" priority="21272" operator="containsText" text="No">
      <formula>NOT(ISERROR(SEARCH(("No"),(Q22))))</formula>
    </cfRule>
  </conditionalFormatting>
  <conditionalFormatting sqref="Q22:Q27">
    <cfRule type="containsText" dxfId="9" priority="21273" operator="containsText" text="No">
      <formula>NOT(ISERROR(SEARCH(("No"),(Q22))))</formula>
    </cfRule>
  </conditionalFormatting>
  <conditionalFormatting sqref="Q22:Q27">
    <cfRule type="containsText" dxfId="9" priority="21274" operator="containsText" text="No">
      <formula>NOT(ISERROR(SEARCH(("No"),(Q22))))</formula>
    </cfRule>
  </conditionalFormatting>
  <conditionalFormatting sqref="Q22:Q27">
    <cfRule type="containsText" dxfId="9" priority="21275" operator="containsText" text="No">
      <formula>NOT(ISERROR(SEARCH(("No"),(Q22))))</formula>
    </cfRule>
  </conditionalFormatting>
  <conditionalFormatting sqref="Q22:Q27">
    <cfRule type="containsText" dxfId="9" priority="21276" operator="containsText" text="No">
      <formula>NOT(ISERROR(SEARCH(("No"),(Q22))))</formula>
    </cfRule>
  </conditionalFormatting>
  <conditionalFormatting sqref="Q22:Q27">
    <cfRule type="containsText" dxfId="9" priority="21277" operator="containsText" text="No">
      <formula>NOT(ISERROR(SEARCH(("No"),(Q22))))</formula>
    </cfRule>
  </conditionalFormatting>
  <conditionalFormatting sqref="Q22:Q27">
    <cfRule type="containsText" dxfId="9" priority="21278" operator="containsText" text="No">
      <formula>NOT(ISERROR(SEARCH(("No"),(Q22))))</formula>
    </cfRule>
  </conditionalFormatting>
  <conditionalFormatting sqref="Q22:Q27">
    <cfRule type="containsText" dxfId="9" priority="21279" operator="containsText" text="No">
      <formula>NOT(ISERROR(SEARCH(("No"),(Q22))))</formula>
    </cfRule>
  </conditionalFormatting>
  <conditionalFormatting sqref="Q22:Q27">
    <cfRule type="containsText" dxfId="9" priority="21280" operator="containsText" text="No">
      <formula>NOT(ISERROR(SEARCH(("No"),(Q22))))</formula>
    </cfRule>
  </conditionalFormatting>
  <conditionalFormatting sqref="Q22:Q27">
    <cfRule type="containsText" dxfId="9" priority="21281" operator="containsText" text="No">
      <formula>NOT(ISERROR(SEARCH(("No"),(Q22))))</formula>
    </cfRule>
  </conditionalFormatting>
  <conditionalFormatting sqref="Q22:Q27">
    <cfRule type="containsText" dxfId="9" priority="21282" operator="containsText" text="No">
      <formula>NOT(ISERROR(SEARCH(("No"),(Q22))))</formula>
    </cfRule>
  </conditionalFormatting>
  <conditionalFormatting sqref="Q22:Q27">
    <cfRule type="containsText" dxfId="9" priority="21283" operator="containsText" text="No">
      <formula>NOT(ISERROR(SEARCH(("No"),(Q22))))</formula>
    </cfRule>
  </conditionalFormatting>
  <conditionalFormatting sqref="Q22:Q27">
    <cfRule type="containsText" dxfId="9" priority="21284" operator="containsText" text="No">
      <formula>NOT(ISERROR(SEARCH(("No"),(Q22))))</formula>
    </cfRule>
  </conditionalFormatting>
  <conditionalFormatting sqref="Q22:Q27">
    <cfRule type="containsText" dxfId="9" priority="21285" operator="containsText" text="No">
      <formula>NOT(ISERROR(SEARCH(("No"),(Q22))))</formula>
    </cfRule>
  </conditionalFormatting>
  <conditionalFormatting sqref="Q22:Q27">
    <cfRule type="containsText" dxfId="9" priority="21286" operator="containsText" text="No">
      <formula>NOT(ISERROR(SEARCH(("No"),(Q22))))</formula>
    </cfRule>
  </conditionalFormatting>
  <conditionalFormatting sqref="Q22:Q27">
    <cfRule type="containsText" dxfId="9" priority="21287" operator="containsText" text="No">
      <formula>NOT(ISERROR(SEARCH(("No"),(Q22))))</formula>
    </cfRule>
  </conditionalFormatting>
  <conditionalFormatting sqref="Q22:Q27">
    <cfRule type="containsText" dxfId="9" priority="21288" operator="containsText" text="No">
      <formula>NOT(ISERROR(SEARCH(("No"),(Q22))))</formula>
    </cfRule>
  </conditionalFormatting>
  <conditionalFormatting sqref="Q22:Q27">
    <cfRule type="containsText" dxfId="9" priority="21289" operator="containsText" text="No">
      <formula>NOT(ISERROR(SEARCH(("No"),(Q22))))</formula>
    </cfRule>
  </conditionalFormatting>
  <conditionalFormatting sqref="Q22:Q27">
    <cfRule type="containsText" dxfId="9" priority="21290" operator="containsText" text="No">
      <formula>NOT(ISERROR(SEARCH(("No"),(Q22))))</formula>
    </cfRule>
  </conditionalFormatting>
  <conditionalFormatting sqref="Q22:Q27">
    <cfRule type="containsText" dxfId="9" priority="21291" operator="containsText" text="No">
      <formula>NOT(ISERROR(SEARCH(("No"),(Q22))))</formula>
    </cfRule>
  </conditionalFormatting>
  <conditionalFormatting sqref="Q22:Q27">
    <cfRule type="containsText" dxfId="2" priority="21292" operator="containsText" text="Yes">
      <formula>NOT(ISERROR(SEARCH(("Yes"),(Q22))))</formula>
    </cfRule>
  </conditionalFormatting>
  <conditionalFormatting sqref="Q22:Q27">
    <cfRule type="containsText" dxfId="2" priority="21293" operator="containsText" text="Yes">
      <formula>NOT(ISERROR(SEARCH(("Yes"),(Q22))))</formula>
    </cfRule>
  </conditionalFormatting>
  <conditionalFormatting sqref="Q22:Q27">
    <cfRule type="containsText" dxfId="2" priority="21294" operator="containsText" text="Yes">
      <formula>NOT(ISERROR(SEARCH(("Yes"),(Q22))))</formula>
    </cfRule>
  </conditionalFormatting>
  <conditionalFormatting sqref="Q22:Q27">
    <cfRule type="containsText" dxfId="2" priority="21295" operator="containsText" text="Yes">
      <formula>NOT(ISERROR(SEARCH(("Yes"),(Q22))))</formula>
    </cfRule>
  </conditionalFormatting>
  <conditionalFormatting sqref="Q22:Q27">
    <cfRule type="containsText" dxfId="2" priority="21296" operator="containsText" text="Yes">
      <formula>NOT(ISERROR(SEARCH(("Yes"),(Q22))))</formula>
    </cfRule>
  </conditionalFormatting>
  <conditionalFormatting sqref="Q22:Q27">
    <cfRule type="containsText" dxfId="2" priority="21297" operator="containsText" text="Yes">
      <formula>NOT(ISERROR(SEARCH(("Yes"),(Q22))))</formula>
    </cfRule>
  </conditionalFormatting>
  <conditionalFormatting sqref="Q22:Q27">
    <cfRule type="containsText" dxfId="2" priority="21298" operator="containsText" text="Yes">
      <formula>NOT(ISERROR(SEARCH(("Yes"),(Q22))))</formula>
    </cfRule>
  </conditionalFormatting>
  <conditionalFormatting sqref="Q22:Q27">
    <cfRule type="containsText" dxfId="2" priority="21299" operator="containsText" text="Yes">
      <formula>NOT(ISERROR(SEARCH(("Yes"),(Q22))))</formula>
    </cfRule>
  </conditionalFormatting>
  <conditionalFormatting sqref="Q22:Q27">
    <cfRule type="containsText" dxfId="2" priority="21300" operator="containsText" text="Yes">
      <formula>NOT(ISERROR(SEARCH(("Yes"),(Q22))))</formula>
    </cfRule>
  </conditionalFormatting>
  <conditionalFormatting sqref="Q22:Q27">
    <cfRule type="containsText" dxfId="2" priority="21301" operator="containsText" text="Yes">
      <formula>NOT(ISERROR(SEARCH(("Yes"),(Q22))))</formula>
    </cfRule>
  </conditionalFormatting>
  <conditionalFormatting sqref="Q22:Q27">
    <cfRule type="containsText" dxfId="2" priority="21302" operator="containsText" text="Yes">
      <formula>NOT(ISERROR(SEARCH(("Yes"),(Q22))))</formula>
    </cfRule>
  </conditionalFormatting>
  <conditionalFormatting sqref="Q22:Q27">
    <cfRule type="containsText" dxfId="2" priority="21303" operator="containsText" text="Yes">
      <formula>NOT(ISERROR(SEARCH(("Yes"),(Q22))))</formula>
    </cfRule>
  </conditionalFormatting>
  <conditionalFormatting sqref="Q22:Q27">
    <cfRule type="containsText" dxfId="2" priority="21304" operator="containsText" text="Yes">
      <formula>NOT(ISERROR(SEARCH(("Yes"),(Q22))))</formula>
    </cfRule>
  </conditionalFormatting>
  <conditionalFormatting sqref="Q22:Q27">
    <cfRule type="containsText" dxfId="2" priority="21305" operator="containsText" text="Yes">
      <formula>NOT(ISERROR(SEARCH(("Yes"),(Q22))))</formula>
    </cfRule>
  </conditionalFormatting>
  <conditionalFormatting sqref="Q22:Q27">
    <cfRule type="containsText" dxfId="2" priority="21306" operator="containsText" text="Yes">
      <formula>NOT(ISERROR(SEARCH(("Yes"),(Q22))))</formula>
    </cfRule>
  </conditionalFormatting>
  <conditionalFormatting sqref="Q22:Q27">
    <cfRule type="containsText" dxfId="2" priority="21307" operator="containsText" text="Yes">
      <formula>NOT(ISERROR(SEARCH(("Yes"),(Q22))))</formula>
    </cfRule>
  </conditionalFormatting>
  <conditionalFormatting sqref="Q22:Q27">
    <cfRule type="containsText" dxfId="2" priority="21308" operator="containsText" text="Yes">
      <formula>NOT(ISERROR(SEARCH(("Yes"),(Q22))))</formula>
    </cfRule>
  </conditionalFormatting>
  <conditionalFormatting sqref="Q22:Q27">
    <cfRule type="containsText" dxfId="2" priority="21309" operator="containsText" text="Yes">
      <formula>NOT(ISERROR(SEARCH(("Yes"),(Q22))))</formula>
    </cfRule>
  </conditionalFormatting>
  <conditionalFormatting sqref="Q22:Q27">
    <cfRule type="containsText" dxfId="2" priority="21310" operator="containsText" text="Yes">
      <formula>NOT(ISERROR(SEARCH(("Yes"),(Q22))))</formula>
    </cfRule>
  </conditionalFormatting>
  <conditionalFormatting sqref="Q22:Q27">
    <cfRule type="containsText" dxfId="2" priority="21311" operator="containsText" text="Yes">
      <formula>NOT(ISERROR(SEARCH(("Yes"),(Q22))))</formula>
    </cfRule>
  </conditionalFormatting>
  <conditionalFormatting sqref="Q22:Q27">
    <cfRule type="containsText" dxfId="2" priority="21312" operator="containsText" text="Yes">
      <formula>NOT(ISERROR(SEARCH(("Yes"),(Q22))))</formula>
    </cfRule>
  </conditionalFormatting>
  <conditionalFormatting sqref="Q22:Q27">
    <cfRule type="containsText" dxfId="2" priority="21313" operator="containsText" text="Yes">
      <formula>NOT(ISERROR(SEARCH(("Yes"),(Q22))))</formula>
    </cfRule>
  </conditionalFormatting>
  <conditionalFormatting sqref="Q22:Q27">
    <cfRule type="containsText" dxfId="2" priority="21314" operator="containsText" text="Yes">
      <formula>NOT(ISERROR(SEARCH(("Yes"),(Q22))))</formula>
    </cfRule>
  </conditionalFormatting>
  <conditionalFormatting sqref="Q22:Q27">
    <cfRule type="containsText" dxfId="2" priority="21315" operator="containsText" text="Yes">
      <formula>NOT(ISERROR(SEARCH(("Yes"),(Q22))))</formula>
    </cfRule>
  </conditionalFormatting>
  <conditionalFormatting sqref="Q22:Q27">
    <cfRule type="containsText" dxfId="2" priority="21316" operator="containsText" text="Yes">
      <formula>NOT(ISERROR(SEARCH(("Yes"),(Q22))))</formula>
    </cfRule>
  </conditionalFormatting>
  <conditionalFormatting sqref="Q22:Q27">
    <cfRule type="containsText" dxfId="2" priority="21317" operator="containsText" text="Yes">
      <formula>NOT(ISERROR(SEARCH(("Yes"),(Q22))))</formula>
    </cfRule>
  </conditionalFormatting>
  <conditionalFormatting sqref="Q22:Q27">
    <cfRule type="containsText" dxfId="2" priority="21318" operator="containsText" text="Yes">
      <formula>NOT(ISERROR(SEARCH(("Yes"),(Q22))))</formula>
    </cfRule>
  </conditionalFormatting>
  <conditionalFormatting sqref="Q22:Q27">
    <cfRule type="containsText" dxfId="2" priority="21319" operator="containsText" text="Yes">
      <formula>NOT(ISERROR(SEARCH(("Yes"),(Q22))))</formula>
    </cfRule>
  </conditionalFormatting>
  <conditionalFormatting sqref="Q22:Q27">
    <cfRule type="containsText" dxfId="2" priority="21320" operator="containsText" text="Yes">
      <formula>NOT(ISERROR(SEARCH(("Yes"),(Q22))))</formula>
    </cfRule>
  </conditionalFormatting>
  <conditionalFormatting sqref="Q22:Q27">
    <cfRule type="containsText" dxfId="2" priority="21321" operator="containsText" text="Yes">
      <formula>NOT(ISERROR(SEARCH(("Yes"),(Q22))))</formula>
    </cfRule>
  </conditionalFormatting>
  <conditionalFormatting sqref="Q22:Q27">
    <cfRule type="containsText" dxfId="2" priority="21322" operator="containsText" text="Yes">
      <formula>NOT(ISERROR(SEARCH(("Yes"),(Q22))))</formula>
    </cfRule>
  </conditionalFormatting>
  <conditionalFormatting sqref="Q22:Q27">
    <cfRule type="containsText" dxfId="2" priority="21323" operator="containsText" text="Yes">
      <formula>NOT(ISERROR(SEARCH(("Yes"),(Q22))))</formula>
    </cfRule>
  </conditionalFormatting>
  <conditionalFormatting sqref="Q22:Q27">
    <cfRule type="containsText" dxfId="2" priority="21324" operator="containsText" text="Yes">
      <formula>NOT(ISERROR(SEARCH(("Yes"),(Q22))))</formula>
    </cfRule>
  </conditionalFormatting>
  <conditionalFormatting sqref="Q22:Q27">
    <cfRule type="containsText" dxfId="2" priority="21325" operator="containsText" text="Yes">
      <formula>NOT(ISERROR(SEARCH(("Yes"),(Q22))))</formula>
    </cfRule>
  </conditionalFormatting>
  <conditionalFormatting sqref="Q22:Q27">
    <cfRule type="containsText" dxfId="2" priority="21326" operator="containsText" text="Yes">
      <formula>NOT(ISERROR(SEARCH(("Yes"),(Q22))))</formula>
    </cfRule>
  </conditionalFormatting>
  <conditionalFormatting sqref="Q22:Q27">
    <cfRule type="containsText" dxfId="2" priority="21327" operator="containsText" text="Yes">
      <formula>NOT(ISERROR(SEARCH(("Yes"),(Q22))))</formula>
    </cfRule>
  </conditionalFormatting>
  <conditionalFormatting sqref="Q22:Q27">
    <cfRule type="containsText" dxfId="2" priority="21328" operator="containsText" text="Yes">
      <formula>NOT(ISERROR(SEARCH(("Yes"),(Q22))))</formula>
    </cfRule>
  </conditionalFormatting>
  <conditionalFormatting sqref="Q22:Q27">
    <cfRule type="containsText" dxfId="2" priority="21329" operator="containsText" text="Yes">
      <formula>NOT(ISERROR(SEARCH(("Yes"),(Q22))))</formula>
    </cfRule>
  </conditionalFormatting>
  <conditionalFormatting sqref="Q22:Q27">
    <cfRule type="containsText" dxfId="2" priority="21330" operator="containsText" text="Yes">
      <formula>NOT(ISERROR(SEARCH(("Yes"),(Q22))))</formula>
    </cfRule>
  </conditionalFormatting>
  <conditionalFormatting sqref="Q22:Q27">
    <cfRule type="containsText" dxfId="2" priority="21331" operator="containsText" text="Yes">
      <formula>NOT(ISERROR(SEARCH(("Yes"),(Q22))))</formula>
    </cfRule>
  </conditionalFormatting>
  <conditionalFormatting sqref="Q22:Q27">
    <cfRule type="containsText" dxfId="2" priority="21332" operator="containsText" text="Yes">
      <formula>NOT(ISERROR(SEARCH(("Yes"),(Q22))))</formula>
    </cfRule>
  </conditionalFormatting>
  <conditionalFormatting sqref="Q22:Q27">
    <cfRule type="containsText" dxfId="2" priority="21333" operator="containsText" text="Yes">
      <formula>NOT(ISERROR(SEARCH(("Yes"),(Q22))))</formula>
    </cfRule>
  </conditionalFormatting>
  <conditionalFormatting sqref="Q22:Q27">
    <cfRule type="containsText" dxfId="2" priority="21334" operator="containsText" text="Yes">
      <formula>NOT(ISERROR(SEARCH(("Yes"),(Q22))))</formula>
    </cfRule>
  </conditionalFormatting>
  <conditionalFormatting sqref="Q22:Q27">
    <cfRule type="containsText" dxfId="2" priority="21335" operator="containsText" text="Yes">
      <formula>NOT(ISERROR(SEARCH(("Yes"),(Q22))))</formula>
    </cfRule>
  </conditionalFormatting>
  <conditionalFormatting sqref="Q22:Q27">
    <cfRule type="containsText" dxfId="2" priority="21336" operator="containsText" text="Yes">
      <formula>NOT(ISERROR(SEARCH(("Yes"),(Q22))))</formula>
    </cfRule>
  </conditionalFormatting>
  <conditionalFormatting sqref="Q22:Q27">
    <cfRule type="containsText" dxfId="2" priority="21337" operator="containsText" text="Yes">
      <formula>NOT(ISERROR(SEARCH(("Yes"),(Q22))))</formula>
    </cfRule>
  </conditionalFormatting>
  <conditionalFormatting sqref="Q22:Q27">
    <cfRule type="containsText" dxfId="2" priority="21338" operator="containsText" text="Yes">
      <formula>NOT(ISERROR(SEARCH(("Yes"),(Q22))))</formula>
    </cfRule>
  </conditionalFormatting>
  <conditionalFormatting sqref="N22:N28 P27:Q28">
    <cfRule type="containsText" dxfId="9" priority="21339" operator="containsText" text="No">
      <formula>NOT(ISERROR(SEARCH(("No"),(N22))))</formula>
    </cfRule>
  </conditionalFormatting>
  <conditionalFormatting sqref="N22:N28 P27:Q28">
    <cfRule type="containsText" dxfId="9" priority="21340" operator="containsText" text="No">
      <formula>NOT(ISERROR(SEARCH(("No"),(N22))))</formula>
    </cfRule>
  </conditionalFormatting>
  <conditionalFormatting sqref="N22:N28 P27:Q28">
    <cfRule type="containsText" dxfId="9" priority="21341" operator="containsText" text="No">
      <formula>NOT(ISERROR(SEARCH(("No"),(N22))))</formula>
    </cfRule>
  </conditionalFormatting>
  <conditionalFormatting sqref="N22:N28 P27:Q28">
    <cfRule type="containsText" dxfId="2" priority="21342" operator="containsText" text="Yes">
      <formula>NOT(ISERROR(SEARCH(("Yes"),(N22))))</formula>
    </cfRule>
  </conditionalFormatting>
  <conditionalFormatting sqref="N22:N28 P27:Q28">
    <cfRule type="containsText" dxfId="2" priority="21343" operator="containsText" text="Yes">
      <formula>NOT(ISERROR(SEARCH(("Yes"),(N22))))</formula>
    </cfRule>
  </conditionalFormatting>
  <conditionalFormatting sqref="N22:N28 P27:Q28">
    <cfRule type="containsText" dxfId="2" priority="21344" operator="containsText" text="Yes">
      <formula>NOT(ISERROR(SEARCH(("Yes"),(N22))))</formula>
    </cfRule>
  </conditionalFormatting>
  <conditionalFormatting sqref="N22:N28 P27:Q28">
    <cfRule type="containsText" dxfId="2" priority="21345" operator="containsText" text="Yes">
      <formula>NOT(ISERROR(SEARCH(("Yes"),(N22))))</formula>
    </cfRule>
  </conditionalFormatting>
  <conditionalFormatting sqref="N22:N28 P27:Q28">
    <cfRule type="containsText" dxfId="2" priority="21346" operator="containsText" text="Yes">
      <formula>NOT(ISERROR(SEARCH(("Yes"),(N22))))</formula>
    </cfRule>
  </conditionalFormatting>
  <conditionalFormatting sqref="N22:N28 P27:Q28">
    <cfRule type="containsText" dxfId="9" priority="21347" operator="containsText" text="No">
      <formula>NOT(ISERROR(SEARCH(("No"),(N22))))</formula>
    </cfRule>
  </conditionalFormatting>
  <conditionalFormatting sqref="N22:N28 P27:Q28">
    <cfRule type="containsText" dxfId="9" priority="21348" operator="containsText" text="No">
      <formula>NOT(ISERROR(SEARCH(("No"),(N22))))</formula>
    </cfRule>
  </conditionalFormatting>
  <conditionalFormatting sqref="N22:N28 P27:Q28">
    <cfRule type="containsText" dxfId="2" priority="21349" operator="containsText" text="Yes">
      <formula>NOT(ISERROR(SEARCH(("Yes"),(N22))))</formula>
    </cfRule>
  </conditionalFormatting>
  <conditionalFormatting sqref="O22:O27">
    <cfRule type="containsText" dxfId="9" priority="21350" operator="containsText" text="No">
      <formula>NOT(ISERROR(SEARCH(("No"),(O22))))</formula>
    </cfRule>
  </conditionalFormatting>
  <conditionalFormatting sqref="O22:O27">
    <cfRule type="containsText" dxfId="9" priority="21351" operator="containsText" text="No">
      <formula>NOT(ISERROR(SEARCH(("No"),(O22))))</formula>
    </cfRule>
  </conditionalFormatting>
  <conditionalFormatting sqref="O22:O27">
    <cfRule type="containsText" dxfId="9" priority="21352" operator="containsText" text="No">
      <formula>NOT(ISERROR(SEARCH(("No"),(O22))))</formula>
    </cfRule>
  </conditionalFormatting>
  <conditionalFormatting sqref="O22:O27">
    <cfRule type="containsText" dxfId="2" priority="21353" operator="containsText" text="Yes">
      <formula>NOT(ISERROR(SEARCH(("Yes"),(O22))))</formula>
    </cfRule>
  </conditionalFormatting>
  <conditionalFormatting sqref="O22:O27">
    <cfRule type="containsText" dxfId="2" priority="21354" operator="containsText" text="Yes">
      <formula>NOT(ISERROR(SEARCH(("Yes"),(O22))))</formula>
    </cfRule>
  </conditionalFormatting>
  <conditionalFormatting sqref="O22:O27">
    <cfRule type="containsText" dxfId="2" priority="21355" operator="containsText" text="Yes">
      <formula>NOT(ISERROR(SEARCH(("Yes"),(O22))))</formula>
    </cfRule>
  </conditionalFormatting>
  <conditionalFormatting sqref="O22:O27">
    <cfRule type="containsText" dxfId="2" priority="21356" operator="containsText" text="Yes">
      <formula>NOT(ISERROR(SEARCH(("Yes"),(O22))))</formula>
    </cfRule>
  </conditionalFormatting>
  <conditionalFormatting sqref="O22:O27">
    <cfRule type="containsText" dxfId="2" priority="21357" operator="containsText" text="Yes">
      <formula>NOT(ISERROR(SEARCH(("Yes"),(O22))))</formula>
    </cfRule>
  </conditionalFormatting>
  <conditionalFormatting sqref="O22:O27">
    <cfRule type="containsText" dxfId="9" priority="21358" operator="containsText" text="No">
      <formula>NOT(ISERROR(SEARCH(("No"),(O22))))</formula>
    </cfRule>
  </conditionalFormatting>
  <conditionalFormatting sqref="O22:O27">
    <cfRule type="containsText" dxfId="9" priority="21359" operator="containsText" text="No">
      <formula>NOT(ISERROR(SEARCH(("No"),(O22))))</formula>
    </cfRule>
  </conditionalFormatting>
  <conditionalFormatting sqref="O22:O27">
    <cfRule type="containsText" dxfId="2" priority="21360" operator="containsText" text="Yes">
      <formula>NOT(ISERROR(SEARCH(("Yes"),(O22))))</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61"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62"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63"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64"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65"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66"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67"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68"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69"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70"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71"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72"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73"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74"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75"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76"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77"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78"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79"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80"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81"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82"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83"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84"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85"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86"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87"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88"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89"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90"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91"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92"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93"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94"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95"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96"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97"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98"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399"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400"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401"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402"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403"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404"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9" priority="21405" operator="containsText" text="No">
      <formula>NOT(ISERROR(SEARCH(("No"),(P25))))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06"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07"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08"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09"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10"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11"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12"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13"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14"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15"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16"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17"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18"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19"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20"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21"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22"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23"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24"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25"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26"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27"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28"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29"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30"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31"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32"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33"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34"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35"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36"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37"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38"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39"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40"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41"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42"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43"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44"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45"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46"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47"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48"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49"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50"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51" operator="containsText" text="Yes">
      <formula>NOT(ISERROR(SEARCH(("Yes"),(P25))))</formula>
    </cfRule>
  </conditionalFormatting>
  <conditionalFormatting sqref="P25:P27 O27:O28 P29:P56 Q50:Q51 P58:P83 P85:P91 P96:P99 P102:P109 P112:P113 P115:P118 P121:P126 P128:P133 P136:P139 P142:P143 P146:P152 Q150 P154 P159 P161:P162 P164 P166:P167 P172 P174 P176 P180:P182 P184">
    <cfRule type="containsText" dxfId="2" priority="21452" operator="containsText" text="Yes">
      <formula>NOT(ISERROR(SEARCH(("Yes"),(P25))))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53"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54"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55"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56"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57"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58"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59"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60"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61"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62"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63"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64"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65"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66"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67"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68"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69"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70"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71"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72"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73"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74"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75"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76"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77"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78"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79"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80"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81"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82"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83"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84"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85"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86"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87"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88"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89"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90"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91"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92"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93"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94"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95"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96"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9" priority="21497" operator="containsText" text="No">
      <formula>NOT(ISERROR(SEARCH(("No"),(Q25))))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498"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499"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00"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01"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02"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03"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04"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05"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06"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07"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08"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09"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10"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11"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12"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13"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14"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15"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16"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17"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18"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19"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20"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21"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22"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23"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24"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25"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26"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27"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28"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29"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30"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31"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32"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33"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34"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35"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36"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37"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38"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39"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40"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41"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42"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43" operator="containsText" text="Yes">
      <formula>NOT(ISERROR(SEARCH(("Yes"),(Q25))))</formula>
    </cfRule>
  </conditionalFormatting>
  <conditionalFormatting sqref="Q25:Q27 Q29:Q56 Q58:Q83 Q85:Q91 Q96:Q99 Q102:Q109 Q112:Q113 Q115:Q118 Q121:Q126 Q128:Q133 Q136:Q139 Q142:Q143 Q146:Q149 Q151:Q152 Q154 Q159 Q161:Q162 Q164 Q166:Q167 Q172 Q174 Q176 Q180:Q182 Q184">
    <cfRule type="containsText" dxfId="2" priority="21544" operator="containsText" text="Yes">
      <formula>NOT(ISERROR(SEARCH(("Yes"),(Q25))))</formula>
    </cfRule>
  </conditionalFormatting>
  <conditionalFormatting sqref="N25:N83 P27:Q28 N85:N87 N89:N91 N96:N99 N102:N109 N112:N113 N115:N118 N121:N133 N136:N139 N142:N143 N146:N152 N154 N159 N161">
    <cfRule type="containsText" dxfId="9" priority="21545" operator="containsText" text="No">
      <formula>NOT(ISERROR(SEARCH(("No"),(N25))))</formula>
    </cfRule>
  </conditionalFormatting>
  <conditionalFormatting sqref="N25:N83 P27:Q28 N85:N87 N89:N91 N96:N99 N102:N109 N112:N113 N115:N118 N121:N133 N136:N139 N142:N143 N146:N152 N154 N159 N161">
    <cfRule type="containsText" dxfId="9" priority="21546" operator="containsText" text="No">
      <formula>NOT(ISERROR(SEARCH(("No"),(N25))))</formula>
    </cfRule>
  </conditionalFormatting>
  <conditionalFormatting sqref="N25:N83 P27:Q28 N85:N87 N89:N91 N96:N99 N102:N109 N112:N113 N115:N118 N121:N133 N136:N139 N142:N143 N146:N152 N154 N159 N161">
    <cfRule type="containsText" dxfId="9" priority="21547" operator="containsText" text="No">
      <formula>NOT(ISERROR(SEARCH(("No"),(N25))))</formula>
    </cfRule>
  </conditionalFormatting>
  <conditionalFormatting sqref="N25:N83 P27:Q28 N85:N87 N89:N91 N96:N99 N102:N109 N112:N113 N115:N118 N121:N133 N136:N139 N142:N143 N146:N152 N154 N159 N161">
    <cfRule type="containsText" dxfId="9" priority="21548" operator="containsText" text="No">
      <formula>NOT(ISERROR(SEARCH(("No"),(N25))))</formula>
    </cfRule>
  </conditionalFormatting>
  <conditionalFormatting sqref="N25:N83 P27:Q28 N85:N87 N89:N91 N96:N99 N102:N109 N112:N113 N115:N118 N121:N133 N136:N139 N142:N143 N146:N152 N154 N159 N161">
    <cfRule type="containsText" dxfId="9" priority="21549" operator="containsText" text="No">
      <formula>NOT(ISERROR(SEARCH(("No"),(N25))))</formula>
    </cfRule>
  </conditionalFormatting>
  <conditionalFormatting sqref="N25:N83 P27:Q28 N85:N87 N89:N91 N96:N99 N102:N109 N112:N113 N115:N118 N121:N133 N136:N139 N142:N143 N146:N152 N154 N159 N161">
    <cfRule type="containsText" dxfId="9" priority="21550" operator="containsText" text="No">
      <formula>NOT(ISERROR(SEARCH(("No"),(N25))))</formula>
    </cfRule>
  </conditionalFormatting>
  <conditionalFormatting sqref="N25:N83 P27:Q28 N85:N87 N89:N91 N96:N99 N102:N109 N112:N113 N115:N118 N121:N133 N136:N139 N142:N143 N146:N152 N154 N159 N161">
    <cfRule type="containsText" dxfId="9" priority="21551" operator="containsText" text="No">
      <formula>NOT(ISERROR(SEARCH(("No"),(N25))))</formula>
    </cfRule>
  </conditionalFormatting>
  <conditionalFormatting sqref="N25:N83 P27:Q28 N85:N87 N89:N91 N96:N99 N102:N109 N112:N113 N115:N118 N121:N133 N136:N139 N142:N143 N146:N152 N154 N159 N161">
    <cfRule type="containsText" dxfId="9" priority="21552" operator="containsText" text="No">
      <formula>NOT(ISERROR(SEARCH(("No"),(N25))))</formula>
    </cfRule>
  </conditionalFormatting>
  <conditionalFormatting sqref="N25:N83 P27:Q28 N85:N87 N89:N91 N96:N99 N102:N109 N112:N113 N115:N118 N121:N133 N136:N139 N142:N143 N146:N152 N154 N159 N161">
    <cfRule type="containsText" dxfId="9" priority="21553" operator="containsText" text="No">
      <formula>NOT(ISERROR(SEARCH(("No"),(N25))))</formula>
    </cfRule>
  </conditionalFormatting>
  <conditionalFormatting sqref="N25:N83 P27:Q28 N85:N87 N89:N91 N96:N99 N102:N109 N112:N113 N115:N118 N121:N133 N136:N139 N142:N143 N146:N152 N154 N159 N161">
    <cfRule type="containsText" dxfId="9" priority="21554" operator="containsText" text="No">
      <formula>NOT(ISERROR(SEARCH(("No"),(N25))))</formula>
    </cfRule>
  </conditionalFormatting>
  <conditionalFormatting sqref="N25:N83 P27:Q28 N85:N87 N89:N91 N96:N99 N102:N109 N112:N113 N115:N118 N121:N133 N136:N139 N142:N143 N146:N152 N154 N159 N161">
    <cfRule type="containsText" dxfId="9" priority="21555" operator="containsText" text="No">
      <formula>NOT(ISERROR(SEARCH(("No"),(N25))))</formula>
    </cfRule>
  </conditionalFormatting>
  <conditionalFormatting sqref="N25:N83 P27:Q28 N85:N87 N89:N91 N96:N99 N102:N109 N112:N113 N115:N118 N121:N133 N136:N139 N142:N143 N146:N152 N154 N159 N161">
    <cfRule type="containsText" dxfId="9" priority="21556" operator="containsText" text="No">
      <formula>NOT(ISERROR(SEARCH(("No"),(N25))))</formula>
    </cfRule>
  </conditionalFormatting>
  <conditionalFormatting sqref="N25:N83 P27:Q28 N85:N87 N89:N91 N96:N99 N102:N109 N112:N113 N115:N118 N121:N133 N136:N139 N142:N143 N146:N152 N154 N159 N161">
    <cfRule type="containsText" dxfId="9" priority="21557" operator="containsText" text="No">
      <formula>NOT(ISERROR(SEARCH(("No"),(N25))))</formula>
    </cfRule>
  </conditionalFormatting>
  <conditionalFormatting sqref="N25:N83 P27:Q28 N85:N87 N89:N91 N96:N99 N102:N109 N112:N113 N115:N118 N121:N133 N136:N139 N142:N143 N146:N152 N154 N159 N161">
    <cfRule type="containsText" dxfId="9" priority="21558" operator="containsText" text="No">
      <formula>NOT(ISERROR(SEARCH(("No"),(N25))))</formula>
    </cfRule>
  </conditionalFormatting>
  <conditionalFormatting sqref="N25:N83 P27:Q28 N85:N87 N89:N91 N96:N99 N102:N109 N112:N113 N115:N118 N121:N133 N136:N139 N142:N143 N146:N152 N154 N159 N161">
    <cfRule type="containsText" dxfId="9" priority="21559" operator="containsText" text="No">
      <formula>NOT(ISERROR(SEARCH(("No"),(N25))))</formula>
    </cfRule>
  </conditionalFormatting>
  <conditionalFormatting sqref="N25:N83 P27:Q28 N85:N87 N89:N91 N96:N99 N102:N109 N112:N113 N115:N118 N121:N133 N136:N139 N142:N143 N146:N152 N154 N159 N161">
    <cfRule type="containsText" dxfId="9" priority="21560" operator="containsText" text="No">
      <formula>NOT(ISERROR(SEARCH(("No"),(N25))))</formula>
    </cfRule>
  </conditionalFormatting>
  <conditionalFormatting sqref="N25:N83 P27:Q28 N85:N87 N89:N91 N96:N99 N102:N109 N112:N113 N115:N118 N121:N133 N136:N139 N142:N143 N146:N152 N154 N159 N161">
    <cfRule type="containsText" dxfId="9" priority="21561" operator="containsText" text="No">
      <formula>NOT(ISERROR(SEARCH(("No"),(N25))))</formula>
    </cfRule>
  </conditionalFormatting>
  <conditionalFormatting sqref="N25:N83 P27:Q28 N85:N87 N89:N91 N96:N99 N102:N109 N112:N113 N115:N118 N121:N133 N136:N139 N142:N143 N146:N152 N154 N159 N161">
    <cfRule type="containsText" dxfId="9" priority="21562" operator="containsText" text="No">
      <formula>NOT(ISERROR(SEARCH(("No"),(N25))))</formula>
    </cfRule>
  </conditionalFormatting>
  <conditionalFormatting sqref="N25:N83 P27:Q28 N85:N87 N89:N91 N96:N99 N102:N109 N112:N113 N115:N118 N121:N133 N136:N139 N142:N143 N146:N152 N154 N159 N161">
    <cfRule type="containsText" dxfId="9" priority="21563" operator="containsText" text="No">
      <formula>NOT(ISERROR(SEARCH(("No"),(N25))))</formula>
    </cfRule>
  </conditionalFormatting>
  <conditionalFormatting sqref="N25:N83 P27:Q28 N85:N87 N89:N91 N96:N99 N102:N109 N112:N113 N115:N118 N121:N133 N136:N139 N142:N143 N146:N152 N154 N159 N161">
    <cfRule type="containsText" dxfId="9" priority="21564" operator="containsText" text="No">
      <formula>NOT(ISERROR(SEARCH(("No"),(N25))))</formula>
    </cfRule>
  </conditionalFormatting>
  <conditionalFormatting sqref="N25:N83 P27:Q28 N85:N87 N89:N91 N96:N99 N102:N109 N112:N113 N115:N118 N121:N133 N136:N139 N142:N143 N146:N152 N154 N159 N161">
    <cfRule type="containsText" dxfId="9" priority="21565" operator="containsText" text="No">
      <formula>NOT(ISERROR(SEARCH(("No"),(N25))))</formula>
    </cfRule>
  </conditionalFormatting>
  <conditionalFormatting sqref="N25:N83 P27:Q28 N85:N87 N89:N91 N96:N99 N102:N109 N112:N113 N115:N118 N121:N133 N136:N139 N142:N143 N146:N152 N154 N159 N161">
    <cfRule type="containsText" dxfId="9" priority="21566" operator="containsText" text="No">
      <formula>NOT(ISERROR(SEARCH(("No"),(N25))))</formula>
    </cfRule>
  </conditionalFormatting>
  <conditionalFormatting sqref="N25:N83 P27:Q28 N85:N87 N89:N91 N96:N99 N102:N109 N112:N113 N115:N118 N121:N133 N136:N139 N142:N143 N146:N152 N154 N159 N161">
    <cfRule type="containsText" dxfId="9" priority="21567" operator="containsText" text="No">
      <formula>NOT(ISERROR(SEARCH(("No"),(N25))))</formula>
    </cfRule>
  </conditionalFormatting>
  <conditionalFormatting sqref="N25:N83 P27:Q28 N85:N87 N89:N91 N96:N99 N102:N109 N112:N113 N115:N118 N121:N133 N136:N139 N142:N143 N146:N152 N154 N159 N161">
    <cfRule type="containsText" dxfId="9" priority="21568" operator="containsText" text="No">
      <formula>NOT(ISERROR(SEARCH(("No"),(N25))))</formula>
    </cfRule>
  </conditionalFormatting>
  <conditionalFormatting sqref="N25:N83 P27:Q28 N85:N87 N89:N91 N96:N99 N102:N109 N112:N113 N115:N118 N121:N133 N136:N139 N142:N143 N146:N152 N154 N159 N161">
    <cfRule type="containsText" dxfId="9" priority="21569" operator="containsText" text="No">
      <formula>NOT(ISERROR(SEARCH(("No"),(N25))))</formula>
    </cfRule>
  </conditionalFormatting>
  <conditionalFormatting sqref="N25:N83 P27:Q28 N85:N87 N89:N91 N96:N99 N102:N109 N112:N113 N115:N118 N121:N133 N136:N139 N142:N143 N146:N152 N154 N159 N161">
    <cfRule type="containsText" dxfId="9" priority="21570" operator="containsText" text="No">
      <formula>NOT(ISERROR(SEARCH(("No"),(N25))))</formula>
    </cfRule>
  </conditionalFormatting>
  <conditionalFormatting sqref="N25:N83 P27:Q28 N85:N87 N89:N91 N96:N99 N102:N109 N112:N113 N115:N118 N121:N133 N136:N139 N142:N143 N146:N152 N154 N159 N161">
    <cfRule type="containsText" dxfId="9" priority="21571" operator="containsText" text="No">
      <formula>NOT(ISERROR(SEARCH(("No"),(N25))))</formula>
    </cfRule>
  </conditionalFormatting>
  <conditionalFormatting sqref="N25:N83 P27:Q28 N85:N87 N89:N91 N96:N99 N102:N109 N112:N113 N115:N118 N121:N133 N136:N139 N142:N143 N146:N152 N154 N159 N161">
    <cfRule type="containsText" dxfId="9" priority="21572" operator="containsText" text="No">
      <formula>NOT(ISERROR(SEARCH(("No"),(N25))))</formula>
    </cfRule>
  </conditionalFormatting>
  <conditionalFormatting sqref="N25:N83 P27:Q28 N85:N87 N89:N91 N96:N99 N102:N109 N112:N113 N115:N118 N121:N133 N136:N139 N142:N143 N146:N152 N154 N159 N161">
    <cfRule type="containsText" dxfId="9" priority="21573" operator="containsText" text="No">
      <formula>NOT(ISERROR(SEARCH(("No"),(N25))))</formula>
    </cfRule>
  </conditionalFormatting>
  <conditionalFormatting sqref="N25:N83 P27:Q28 N85:N87 N89:N91 N96:N99 N102:N109 N112:N113 N115:N118 N121:N133 N136:N139 N142:N143 N146:N152 N154 N159 N161">
    <cfRule type="containsText" dxfId="9" priority="21574" operator="containsText" text="No">
      <formula>NOT(ISERROR(SEARCH(("No"),(N25))))</formula>
    </cfRule>
  </conditionalFormatting>
  <conditionalFormatting sqref="N25:N83 P27:Q28 N85:N87 N89:N91 N96:N99 N102:N109 N112:N113 N115:N118 N121:N133 N136:N139 N142:N143 N146:N152 N154 N159 N161">
    <cfRule type="containsText" dxfId="9" priority="21575" operator="containsText" text="No">
      <formula>NOT(ISERROR(SEARCH(("No"),(N25))))</formula>
    </cfRule>
  </conditionalFormatting>
  <conditionalFormatting sqref="N25:N83 P27:Q28 N85:N87 N89:N91 N96:N99 N102:N109 N112:N113 N115:N118 N121:N133 N136:N139 N142:N143 N146:N152 N154 N159 N161">
    <cfRule type="containsText" dxfId="9" priority="21576" operator="containsText" text="No">
      <formula>NOT(ISERROR(SEARCH(("No"),(N25))))</formula>
    </cfRule>
  </conditionalFormatting>
  <conditionalFormatting sqref="N25:N83 P27:Q28 N85:N87 N89:N91 N96:N99 N102:N109 N112:N113 N115:N118 N121:N133 N136:N139 N142:N143 N146:N152 N154 N159 N161">
    <cfRule type="containsText" dxfId="9" priority="21577" operator="containsText" text="No">
      <formula>NOT(ISERROR(SEARCH(("No"),(N25))))</formula>
    </cfRule>
  </conditionalFormatting>
  <conditionalFormatting sqref="N25:N83 P27:Q28 N85:N87 N89:N91 N96:N99 N102:N109 N112:N113 N115:N118 N121:N133 N136:N139 N142:N143 N146:N152 N154 N159 N161">
    <cfRule type="containsText" dxfId="9" priority="21578" operator="containsText" text="No">
      <formula>NOT(ISERROR(SEARCH(("No"),(N25))))</formula>
    </cfRule>
  </conditionalFormatting>
  <conditionalFormatting sqref="N25:N83 P27:Q28 N85:N87 N89:N91 N96:N99 N102:N109 N112:N113 N115:N118 N121:N133 N136:N139 N142:N143 N146:N152 N154 N159 N161">
    <cfRule type="containsText" dxfId="9" priority="21579" operator="containsText" text="No">
      <formula>NOT(ISERROR(SEARCH(("No"),(N25))))</formula>
    </cfRule>
  </conditionalFormatting>
  <conditionalFormatting sqref="N25:N83 P27:Q28 N85:N87 N89:N91 N96:N99 N102:N109 N112:N113 N115:N118 N121:N133 N136:N139 N142:N143 N146:N152 N154 N159 N161">
    <cfRule type="containsText" dxfId="9" priority="21580" operator="containsText" text="No">
      <formula>NOT(ISERROR(SEARCH(("No"),(N25))))</formula>
    </cfRule>
  </conditionalFormatting>
  <conditionalFormatting sqref="N25:N83 P27:Q28 N85:N87 N89:N91 N96:N99 N102:N109 N112:N113 N115:N118 N121:N133 N136:N139 N142:N143 N146:N152 N154 N159 N161">
    <cfRule type="containsText" dxfId="9" priority="21581" operator="containsText" text="No">
      <formula>NOT(ISERROR(SEARCH(("No"),(N25))))</formula>
    </cfRule>
  </conditionalFormatting>
  <conditionalFormatting sqref="N25:N83 P27:Q28 N85:N87 N89:N91 N96:N99 N102:N109 N112:N113 N115:N118 N121:N133 N136:N139 N142:N143 N146:N152 N154 N159 N161">
    <cfRule type="containsText" dxfId="9" priority="21582" operator="containsText" text="No">
      <formula>NOT(ISERROR(SEARCH(("No"),(N25))))</formula>
    </cfRule>
  </conditionalFormatting>
  <conditionalFormatting sqref="N25:N83 P27:Q28 N85:N87 N89:N91 N96:N99 N102:N109 N112:N113 N115:N118 N121:N133 N136:N139 N142:N143 N146:N152 N154 N159 N161">
    <cfRule type="containsText" dxfId="9" priority="21583" operator="containsText" text="No">
      <formula>NOT(ISERROR(SEARCH(("No"),(N25))))</formula>
    </cfRule>
  </conditionalFormatting>
  <conditionalFormatting sqref="N25:N83 P27:Q28 N85:N87 N89:N91 N96:N99 N102:N109 N112:N113 N115:N118 N121:N133 N136:N139 N142:N143 N146:N152 N154 N159 N161">
    <cfRule type="containsText" dxfId="9" priority="21584" operator="containsText" text="No">
      <formula>NOT(ISERROR(SEARCH(("No"),(N25))))</formula>
    </cfRule>
  </conditionalFormatting>
  <conditionalFormatting sqref="N25:N83 P27:Q28 N85:N87 N89:N91 N96:N99 N102:N109 N112:N113 N115:N118 N121:N133 N136:N139 N142:N143 N146:N152 N154 N159 N161">
    <cfRule type="containsText" dxfId="9" priority="21585" operator="containsText" text="No">
      <formula>NOT(ISERROR(SEARCH(("No"),(N25))))</formula>
    </cfRule>
  </conditionalFormatting>
  <conditionalFormatting sqref="N25:N83 P27:Q28 N85:N87 N89:N91 N96:N99 N102:N109 N112:N113 N115:N118 N121:N133 N136:N139 N142:N143 N146:N152 N154 N159 N161">
    <cfRule type="containsText" dxfId="9" priority="21586" operator="containsText" text="No">
      <formula>NOT(ISERROR(SEARCH(("No"),(N25))))</formula>
    </cfRule>
  </conditionalFormatting>
  <conditionalFormatting sqref="N25:N83 P27:Q28 N85:N87 N89:N91 N96:N99 N102:N109 N112:N113 N115:N118 N121:N133 N136:N139 N142:N143 N146:N152 N154 N159 N161">
    <cfRule type="containsText" dxfId="9" priority="21587" operator="containsText" text="No">
      <formula>NOT(ISERROR(SEARCH(("No"),(N25))))</formula>
    </cfRule>
  </conditionalFormatting>
  <conditionalFormatting sqref="N25:N83 P27:Q28 N85:N87 N89:N91 N96:N99 N102:N109 N112:N113 N115:N118 N121:N133 N136:N139 N142:N143 N146:N152 N154 N159 N161">
    <cfRule type="containsText" dxfId="9" priority="21588" operator="containsText" text="No">
      <formula>NOT(ISERROR(SEARCH(("No"),(N25))))</formula>
    </cfRule>
  </conditionalFormatting>
  <conditionalFormatting sqref="N25:N83 P27:Q28 N85:N87 N89:N91 N96:N99 N102:N109 N112:N113 N115:N118 N121:N133 N136:N139 N142:N143 N146:N152 N154 N159 N161">
    <cfRule type="containsText" dxfId="9" priority="21589" operator="containsText" text="No">
      <formula>NOT(ISERROR(SEARCH(("No"),(N25))))</formula>
    </cfRule>
  </conditionalFormatting>
  <conditionalFormatting sqref="N25:N83 P27:Q28 N85:N87 N89:N91 N96:N99 N102:N109 N112:N113 N115:N118 N121:N133 N136:N139 N142:N143 N146:N152 N154 N159 N161">
    <cfRule type="containsText" dxfId="2" priority="21590" operator="containsText" text="Yes">
      <formula>NOT(ISERROR(SEARCH(("Yes"),(N25))))</formula>
    </cfRule>
  </conditionalFormatting>
  <conditionalFormatting sqref="N25:N83 P27:Q28 N85:N87 N89:N91 N96:N99 N102:N109 N112:N113 N115:N118 N121:N133 N136:N139 N142:N143 N146:N152 N154 N159 N161">
    <cfRule type="containsText" dxfId="2" priority="21591" operator="containsText" text="Yes">
      <formula>NOT(ISERROR(SEARCH(("Yes"),(N25))))</formula>
    </cfRule>
  </conditionalFormatting>
  <conditionalFormatting sqref="N25:N83 P27:Q28 N85:N87 N89:N91 N96:N99 N102:N109 N112:N113 N115:N118 N121:N133 N136:N139 N142:N143 N146:N152 N154 N159 N161">
    <cfRule type="containsText" dxfId="2" priority="21592" operator="containsText" text="Yes">
      <formula>NOT(ISERROR(SEARCH(("Yes"),(N25))))</formula>
    </cfRule>
  </conditionalFormatting>
  <conditionalFormatting sqref="N25:N83 P27:Q28 N85:N87 N89:N91 N96:N99 N102:N109 N112:N113 N115:N118 N121:N133 N136:N139 N142:N143 N146:N152 N154 N159 N161">
    <cfRule type="containsText" dxfId="2" priority="21593" operator="containsText" text="Yes">
      <formula>NOT(ISERROR(SEARCH(("Yes"),(N25))))</formula>
    </cfRule>
  </conditionalFormatting>
  <conditionalFormatting sqref="N25:N83 P27:Q28 N85:N87 N89:N91 N96:N99 N102:N109 N112:N113 N115:N118 N121:N133 N136:N139 N142:N143 N146:N152 N154 N159 N161">
    <cfRule type="containsText" dxfId="2" priority="21594" operator="containsText" text="Yes">
      <formula>NOT(ISERROR(SEARCH(("Yes"),(N25))))</formula>
    </cfRule>
  </conditionalFormatting>
  <conditionalFormatting sqref="N25:N83 P27:Q28 N85:N87 N89:N91 N96:N99 N102:N109 N112:N113 N115:N118 N121:N133 N136:N139 N142:N143 N146:N152 N154 N159 N161">
    <cfRule type="containsText" dxfId="2" priority="21595" operator="containsText" text="Yes">
      <formula>NOT(ISERROR(SEARCH(("Yes"),(N25))))</formula>
    </cfRule>
  </conditionalFormatting>
  <conditionalFormatting sqref="N25:N83 P27:Q28 N85:N87 N89:N91 N96:N99 N102:N109 N112:N113 N115:N118 N121:N133 N136:N139 N142:N143 N146:N152 N154 N159 N161">
    <cfRule type="containsText" dxfId="2" priority="21596" operator="containsText" text="Yes">
      <formula>NOT(ISERROR(SEARCH(("Yes"),(N25))))</formula>
    </cfRule>
  </conditionalFormatting>
  <conditionalFormatting sqref="N25:N83 P27:Q28 N85:N87 N89:N91 N96:N99 N102:N109 N112:N113 N115:N118 N121:N133 N136:N139 N142:N143 N146:N152 N154 N159 N161">
    <cfRule type="containsText" dxfId="2" priority="21597" operator="containsText" text="Yes">
      <formula>NOT(ISERROR(SEARCH(("Yes"),(N25))))</formula>
    </cfRule>
  </conditionalFormatting>
  <conditionalFormatting sqref="N25:N83 P27:Q28 N85:N87 N89:N91 N96:N99 N102:N109 N112:N113 N115:N118 N121:N133 N136:N139 N142:N143 N146:N152 N154 N159 N161">
    <cfRule type="containsText" dxfId="2" priority="21598" operator="containsText" text="Yes">
      <formula>NOT(ISERROR(SEARCH(("Yes"),(N25))))</formula>
    </cfRule>
  </conditionalFormatting>
  <conditionalFormatting sqref="N25:N83 P27:Q28 N85:N87 N89:N91 N96:N99 N102:N109 N112:N113 N115:N118 N121:N133 N136:N139 N142:N143 N146:N152 N154 N159 N161">
    <cfRule type="containsText" dxfId="2" priority="21599" operator="containsText" text="Yes">
      <formula>NOT(ISERROR(SEARCH(("Yes"),(N25))))</formula>
    </cfRule>
  </conditionalFormatting>
  <conditionalFormatting sqref="N25:N83 P27:Q28 N85:N87 N89:N91 N96:N99 N102:N109 N112:N113 N115:N118 N121:N133 N136:N139 N142:N143 N146:N152 N154 N159 N161">
    <cfRule type="containsText" dxfId="2" priority="21600" operator="containsText" text="Yes">
      <formula>NOT(ISERROR(SEARCH(("Yes"),(N25))))</formula>
    </cfRule>
  </conditionalFormatting>
  <conditionalFormatting sqref="N25:N83 P27:Q28 N85:N87 N89:N91 N96:N99 N102:N109 N112:N113 N115:N118 N121:N133 N136:N139 N142:N143 N146:N152 N154 N159 N161">
    <cfRule type="containsText" dxfId="2" priority="21601" operator="containsText" text="Yes">
      <formula>NOT(ISERROR(SEARCH(("Yes"),(N25))))</formula>
    </cfRule>
  </conditionalFormatting>
  <conditionalFormatting sqref="N25:N83 P27:Q28 N85:N87 N89:N91 N96:N99 N102:N109 N112:N113 N115:N118 N121:N133 N136:N139 N142:N143 N146:N152 N154 N159 N161">
    <cfRule type="containsText" dxfId="2" priority="21602" operator="containsText" text="Yes">
      <formula>NOT(ISERROR(SEARCH(("Yes"),(N25))))</formula>
    </cfRule>
  </conditionalFormatting>
  <conditionalFormatting sqref="N25:N83 P27:Q28 N85:N87 N89:N91 N96:N99 N102:N109 N112:N113 N115:N118 N121:N133 N136:N139 N142:N143 N146:N152 N154 N159 N161">
    <cfRule type="containsText" dxfId="2" priority="21603" operator="containsText" text="Yes">
      <formula>NOT(ISERROR(SEARCH(("Yes"),(N25))))</formula>
    </cfRule>
  </conditionalFormatting>
  <conditionalFormatting sqref="N25:N83 P27:Q28 N85:N87 N89:N91 N96:N99 N102:N109 N112:N113 N115:N118 N121:N133 N136:N139 N142:N143 N146:N152 N154 N159 N161">
    <cfRule type="containsText" dxfId="2" priority="21604" operator="containsText" text="Yes">
      <formula>NOT(ISERROR(SEARCH(("Yes"),(N25))))</formula>
    </cfRule>
  </conditionalFormatting>
  <conditionalFormatting sqref="N25:N83 P27:Q28 N85:N87 N89:N91 N96:N99 N102:N109 N112:N113 N115:N118 N121:N133 N136:N139 N142:N143 N146:N152 N154 N159 N161">
    <cfRule type="containsText" dxfId="2" priority="21605" operator="containsText" text="Yes">
      <formula>NOT(ISERROR(SEARCH(("Yes"),(N25))))</formula>
    </cfRule>
  </conditionalFormatting>
  <conditionalFormatting sqref="N25:N83 P27:Q28 N85:N87 N89:N91 N96:N99 N102:N109 N112:N113 N115:N118 N121:N133 N136:N139 N142:N143 N146:N152 N154 N159 N161">
    <cfRule type="containsText" dxfId="2" priority="21606" operator="containsText" text="Yes">
      <formula>NOT(ISERROR(SEARCH(("Yes"),(N25))))</formula>
    </cfRule>
  </conditionalFormatting>
  <conditionalFormatting sqref="N25:N83 P27:Q28 N85:N87 N89:N91 N96:N99 N102:N109 N112:N113 N115:N118 N121:N133 N136:N139 N142:N143 N146:N152 N154 N159 N161">
    <cfRule type="containsText" dxfId="2" priority="21607" operator="containsText" text="Yes">
      <formula>NOT(ISERROR(SEARCH(("Yes"),(N25))))</formula>
    </cfRule>
  </conditionalFormatting>
  <conditionalFormatting sqref="N25:N83 P27:Q28 N85:N87 N89:N91 N96:N99 N102:N109 N112:N113 N115:N118 N121:N133 N136:N139 N142:N143 N146:N152 N154 N159 N161">
    <cfRule type="containsText" dxfId="2" priority="21608" operator="containsText" text="Yes">
      <formula>NOT(ISERROR(SEARCH(("Yes"),(N25))))</formula>
    </cfRule>
  </conditionalFormatting>
  <conditionalFormatting sqref="N25:N83 P27:Q28 N85:N87 N89:N91 N96:N99 N102:N109 N112:N113 N115:N118 N121:N133 N136:N139 N142:N143 N146:N152 N154 N159 N161">
    <cfRule type="containsText" dxfId="2" priority="21609" operator="containsText" text="Yes">
      <formula>NOT(ISERROR(SEARCH(("Yes"),(N25))))</formula>
    </cfRule>
  </conditionalFormatting>
  <conditionalFormatting sqref="N25:N83 P27:Q28 N85:N87 N89:N91 N96:N99 N102:N109 N112:N113 N115:N118 N121:N133 N136:N139 N142:N143 N146:N152 N154 N159 N161">
    <cfRule type="containsText" dxfId="2" priority="21610" operator="containsText" text="Yes">
      <formula>NOT(ISERROR(SEARCH(("Yes"),(N25))))</formula>
    </cfRule>
  </conditionalFormatting>
  <conditionalFormatting sqref="N25:N83 P27:Q28 N85:N87 N89:N91 N96:N99 N102:N109 N112:N113 N115:N118 N121:N133 N136:N139 N142:N143 N146:N152 N154 N159 N161">
    <cfRule type="containsText" dxfId="2" priority="21611" operator="containsText" text="Yes">
      <formula>NOT(ISERROR(SEARCH(("Yes"),(N25))))</formula>
    </cfRule>
  </conditionalFormatting>
  <conditionalFormatting sqref="N25:N83 P27:Q28 N85:N87 N89:N91 N96:N99 N102:N109 N112:N113 N115:N118 N121:N133 N136:N139 N142:N143 N146:N152 N154 N159 N161">
    <cfRule type="containsText" dxfId="2" priority="21612" operator="containsText" text="Yes">
      <formula>NOT(ISERROR(SEARCH(("Yes"),(N25))))</formula>
    </cfRule>
  </conditionalFormatting>
  <conditionalFormatting sqref="N25:N83 P27:Q28 N85:N87 N89:N91 N96:N99 N102:N109 N112:N113 N115:N118 N121:N133 N136:N139 N142:N143 N146:N152 N154 N159 N161">
    <cfRule type="containsText" dxfId="2" priority="21613" operator="containsText" text="Yes">
      <formula>NOT(ISERROR(SEARCH(("Yes"),(N25))))</formula>
    </cfRule>
  </conditionalFormatting>
  <conditionalFormatting sqref="N25:N83 P27:Q28 N85:N87 N89:N91 N96:N99 N102:N109 N112:N113 N115:N118 N121:N133 N136:N139 N142:N143 N146:N152 N154 N159 N161">
    <cfRule type="containsText" dxfId="2" priority="21614" operator="containsText" text="Yes">
      <formula>NOT(ISERROR(SEARCH(("Yes"),(N25))))</formula>
    </cfRule>
  </conditionalFormatting>
  <conditionalFormatting sqref="N25:N83 P27:Q28 N85:N87 N89:N91 N96:N99 N102:N109 N112:N113 N115:N118 N121:N133 N136:N139 N142:N143 N146:N152 N154 N159 N161">
    <cfRule type="containsText" dxfId="2" priority="21615" operator="containsText" text="Yes">
      <formula>NOT(ISERROR(SEARCH(("Yes"),(N25))))</formula>
    </cfRule>
  </conditionalFormatting>
  <conditionalFormatting sqref="N25:N83 P27:Q28 N85:N87 N89:N91 N96:N99 N102:N109 N112:N113 N115:N118 N121:N133 N136:N139 N142:N143 N146:N152 N154 N159 N161">
    <cfRule type="containsText" dxfId="2" priority="21616" operator="containsText" text="Yes">
      <formula>NOT(ISERROR(SEARCH(("Yes"),(N25))))</formula>
    </cfRule>
  </conditionalFormatting>
  <conditionalFormatting sqref="N25:N83 P27:Q28 N85:N87 N89:N91 N96:N99 N102:N109 N112:N113 N115:N118 N121:N133 N136:N139 N142:N143 N146:N152 N154 N159 N161">
    <cfRule type="containsText" dxfId="2" priority="21617" operator="containsText" text="Yes">
      <formula>NOT(ISERROR(SEARCH(("Yes"),(N25))))</formula>
    </cfRule>
  </conditionalFormatting>
  <conditionalFormatting sqref="N25:N83 P27:Q28 N85:N87 N89:N91 N96:N99 N102:N109 N112:N113 N115:N118 N121:N133 N136:N139 N142:N143 N146:N152 N154 N159 N161">
    <cfRule type="containsText" dxfId="2" priority="21618" operator="containsText" text="Yes">
      <formula>NOT(ISERROR(SEARCH(("Yes"),(N25))))</formula>
    </cfRule>
  </conditionalFormatting>
  <conditionalFormatting sqref="N25:N83 P27:Q28 N85:N87 N89:N91 N96:N99 N102:N109 N112:N113 N115:N118 N121:N133 N136:N139 N142:N143 N146:N152 N154 N159 N161">
    <cfRule type="containsText" dxfId="2" priority="21619" operator="containsText" text="Yes">
      <formula>NOT(ISERROR(SEARCH(("Yes"),(N25))))</formula>
    </cfRule>
  </conditionalFormatting>
  <conditionalFormatting sqref="N25:N83 P27:Q28 N85:N87 N89:N91 N96:N99 N102:N109 N112:N113 N115:N118 N121:N133 N136:N139 N142:N143 N146:N152 N154 N159 N161">
    <cfRule type="containsText" dxfId="2" priority="21620" operator="containsText" text="Yes">
      <formula>NOT(ISERROR(SEARCH(("Yes"),(N25))))</formula>
    </cfRule>
  </conditionalFormatting>
  <conditionalFormatting sqref="N25:N83 P27:Q28 N85:N87 N89:N91 N96:N99 N102:N109 N112:N113 N115:N118 N121:N133 N136:N139 N142:N143 N146:N152 N154 N159 N161">
    <cfRule type="containsText" dxfId="2" priority="21621" operator="containsText" text="Yes">
      <formula>NOT(ISERROR(SEARCH(("Yes"),(N25))))</formula>
    </cfRule>
  </conditionalFormatting>
  <conditionalFormatting sqref="N25:N83 P27:Q28 N85:N87 N89:N91 N96:N99 N102:N109 N112:N113 N115:N118 N121:N133 N136:N139 N142:N143 N146:N152 N154 N159 N161">
    <cfRule type="containsText" dxfId="2" priority="21622" operator="containsText" text="Yes">
      <formula>NOT(ISERROR(SEARCH(("Yes"),(N25))))</formula>
    </cfRule>
  </conditionalFormatting>
  <conditionalFormatting sqref="N25:N83 P27:Q28 N85:N87 N89:N91 N96:N99 N102:N109 N112:N113 N115:N118 N121:N133 N136:N139 N142:N143 N146:N152 N154 N159 N161">
    <cfRule type="containsText" dxfId="2" priority="21623" operator="containsText" text="Yes">
      <formula>NOT(ISERROR(SEARCH(("Yes"),(N25))))</formula>
    </cfRule>
  </conditionalFormatting>
  <conditionalFormatting sqref="N25:N83 P27:Q28 N85:N87 N89:N91 N96:N99 N102:N109 N112:N113 N115:N118 N121:N133 N136:N139 N142:N143 N146:N152 N154 N159 N161">
    <cfRule type="containsText" dxfId="2" priority="21624" operator="containsText" text="Yes">
      <formula>NOT(ISERROR(SEARCH(("Yes"),(N25))))</formula>
    </cfRule>
  </conditionalFormatting>
  <conditionalFormatting sqref="N25:N83 P27:Q28 N85:N87 N89:N91 N96:N99 N102:N109 N112:N113 N115:N118 N121:N133 N136:N139 N142:N143 N146:N152 N154 N159 N161">
    <cfRule type="containsText" dxfId="2" priority="21625" operator="containsText" text="Yes">
      <formula>NOT(ISERROR(SEARCH(("Yes"),(N25))))</formula>
    </cfRule>
  </conditionalFormatting>
  <conditionalFormatting sqref="N25:N83 P27:Q28 N85:N87 N89:N91 N96:N99 N102:N109 N112:N113 N115:N118 N121:N133 N136:N139 N142:N143 N146:N152 N154 N159 N161">
    <cfRule type="containsText" dxfId="2" priority="21626" operator="containsText" text="Yes">
      <formula>NOT(ISERROR(SEARCH(("Yes"),(N25))))</formula>
    </cfRule>
  </conditionalFormatting>
  <conditionalFormatting sqref="N25:N83 P27:Q28 N85:N87 N89:N91 N96:N99 N102:N109 N112:N113 N115:N118 N121:N133 N136:N139 N142:N143 N146:N152 N154 N159 N161">
    <cfRule type="containsText" dxfId="2" priority="21627" operator="containsText" text="Yes">
      <formula>NOT(ISERROR(SEARCH(("Yes"),(N25))))</formula>
    </cfRule>
  </conditionalFormatting>
  <conditionalFormatting sqref="N25:N83 P27:Q28 N85:N87 N89:N91 N96:N99 N102:N109 N112:N113 N115:N118 N121:N133 N136:N139 N142:N143 N146:N152 N154 N159 N161">
    <cfRule type="containsText" dxfId="2" priority="21628" operator="containsText" text="Yes">
      <formula>NOT(ISERROR(SEARCH(("Yes"),(N25))))</formula>
    </cfRule>
  </conditionalFormatting>
  <conditionalFormatting sqref="N25:N83 P27:Q28 N85:N87 N89:N91 N96:N99 N102:N109 N112:N113 N115:N118 N121:N133 N136:N139 N142:N143 N146:N152 N154 N159 N161">
    <cfRule type="containsText" dxfId="2" priority="21629" operator="containsText" text="Yes">
      <formula>NOT(ISERROR(SEARCH(("Yes"),(N25))))</formula>
    </cfRule>
  </conditionalFormatting>
  <conditionalFormatting sqref="N25:N83 P27:Q28 N85:N87 N89:N91 N96:N99 N102:N109 N112:N113 N115:N118 N121:N133 N136:N139 N142:N143 N146:N152 N154 N159 N161">
    <cfRule type="containsText" dxfId="2" priority="21630" operator="containsText" text="Yes">
      <formula>NOT(ISERROR(SEARCH(("Yes"),(N25))))</formula>
    </cfRule>
  </conditionalFormatting>
  <conditionalFormatting sqref="N25:N83 P27:Q28 N85:N87 N89:N91 N96:N99 N102:N109 N112:N113 N115:N118 N121:N133 N136:N139 N142:N143 N146:N152 N154 N159 N161">
    <cfRule type="containsText" dxfId="2" priority="21631" operator="containsText" text="Yes">
      <formula>NOT(ISERROR(SEARCH(("Yes"),(N25))))</formula>
    </cfRule>
  </conditionalFormatting>
  <conditionalFormatting sqref="N25:N83 P27:Q28 N85:N87 N89:N91 N96:N99 N102:N109 N112:N113 N115:N118 N121:N133 N136:N139 N142:N143 N146:N152 N154 N159 N161">
    <cfRule type="containsText" dxfId="2" priority="21632" operator="containsText" text="Yes">
      <formula>NOT(ISERROR(SEARCH(("Yes"),(N25))))</formula>
    </cfRule>
  </conditionalFormatting>
  <conditionalFormatting sqref="N25:N83 P27:Q28 N85:N87 N89:N91 N96:N99 N102:N109 N112:N113 N115:N118 N121:N133 N136:N139 N142:N143 N146:N152 N154 N159 N161">
    <cfRule type="containsText" dxfId="2" priority="21633" operator="containsText" text="Yes">
      <formula>NOT(ISERROR(SEARCH(("Yes"),(N25))))</formula>
    </cfRule>
  </conditionalFormatting>
  <conditionalFormatting sqref="N25:N83 P27:Q28 N85:N87 N89:N91 N96:N99 N102:N109 N112:N113 N115:N118 N121:N133 N136:N139 N142:N143 N146:N152 N154 N159 N161">
    <cfRule type="containsText" dxfId="2" priority="21634" operator="containsText" text="Yes">
      <formula>NOT(ISERROR(SEARCH(("Yes"),(N25))))</formula>
    </cfRule>
  </conditionalFormatting>
  <conditionalFormatting sqref="N25:N83 P27:Q28 N85:N87 N89:N91 N96:N99 N102:N109 N112:N113 N115:N118 N121:N133 N136:N139 N142:N143 N146:N152 N154 N159 N161">
    <cfRule type="containsText" dxfId="2" priority="21635" operator="containsText" text="Yes">
      <formula>NOT(ISERROR(SEARCH(("Yes"),(N25))))</formula>
    </cfRule>
  </conditionalFormatting>
  <conditionalFormatting sqref="N25:N83 P27:Q28 N85:N87 N89:N91 N96:N99 N102:N109 N112:N113 N115:N118 N121:N133 N136:N139 N142:N143 N146:N152 N154 N159 N161">
    <cfRule type="containsText" dxfId="2" priority="21636" operator="containsText" text="Yes">
      <formula>NOT(ISERROR(SEARCH(("Yes"),(N25))))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37"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38"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39"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40"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41"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42"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43"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44"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45"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46"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47"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48"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49"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50"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51"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52"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53"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54"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55"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56"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57"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58"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59"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60"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61"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62"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63"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64"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65"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66"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67"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68"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69"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70"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71"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72"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73"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74"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75"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76"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77"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78"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79"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80"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9" priority="21681" operator="containsText" text="No">
      <formula>NOT(ISERROR(SEARCH(("No"),(O25))))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82"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83"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84"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85"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86"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87"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88"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89"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90"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91"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92"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93"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94"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95"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96"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97"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98"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699"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00"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01"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02"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03"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04"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05"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06"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07"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08"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09"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10"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11"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12"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13"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14"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15"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16"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17"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18"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19"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20"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21"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22"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23"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24"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25"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26"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27" operator="containsText" text="Yes">
      <formula>NOT(ISERROR(SEARCH(("Yes"),(O25))))</formula>
    </cfRule>
  </conditionalFormatting>
  <conditionalFormatting sqref="O25:O27 O29:O56 N31:N43 P32:Q33 N46:N51 P50:Q51 N53:N55 O58:O83 N66:N68 N74:N77 O85:O91 O96:O99 O102:O109 O112:O113 O115:O118 O121:O133 O136:O139 N139 O142:O143 O146:O152 O154:O155 O159 O161:O162 N162 N164:O167 N170:O170 N172:O172 N174:O174 N176:O176 N180:O182 N184:O184">
    <cfRule type="containsText" dxfId="2" priority="21728" operator="containsText" text="Yes">
      <formula>NOT(ISERROR(SEARCH(("Yes"),(O25))))</formula>
    </cfRule>
  </conditionalFormatting>
  <conditionalFormatting sqref="P26:P83 O27:O28 Q32:Q33 Q50:Q51 P85:P91 P96:P99 P102:P109 P112:P113 P115:P118 P121:P133 P136:P139 P142:P143 P146:P152 Q150 P154 P159 P161:P162 P164 P166:P167 P172 P174 P176 P180:P182 P184">
    <cfRule type="containsText" dxfId="9" priority="21729"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30"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31"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32"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33"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34"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35"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36"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37"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38"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39"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40"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41"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42"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43"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44"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45"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46"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47"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48"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49"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50"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51"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52"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53"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54"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55"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56"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57"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58"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59"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60"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61"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62"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63"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64"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65"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66"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67"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68"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69"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70"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71"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72"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9" priority="21773" operator="containsText" text="No">
      <formula>NOT(ISERROR(SEARCH(("No"),(P26))))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74"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75"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76"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77"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78"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79"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80"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81"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82"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83"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84"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85"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86"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87"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88"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89"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90"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91"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92"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93"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94"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95"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96"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97"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98"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799"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00"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01"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02"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03"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04"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05"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06"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07"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08"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09"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10"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11"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12"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13"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14"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15"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16"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17"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18"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19" operator="containsText" text="Yes">
      <formula>NOT(ISERROR(SEARCH(("Yes"),(P26))))</formula>
    </cfRule>
  </conditionalFormatting>
  <conditionalFormatting sqref="P26:P83 O27:O28 Q32:Q33 Q50:Q51 P85:P91 P96:P99 P102:P109 P112:P113 P115:P118 P121:P133 P136:P139 P142:P143 P146:P152 Q150 P154 P159 P161:P162 P164 P166:P167 P172 P174 P176 P180:P182 P184">
    <cfRule type="containsText" dxfId="2" priority="21820" operator="containsText" text="Yes">
      <formula>NOT(ISERROR(SEARCH(("Yes"),(P26))))</formula>
    </cfRule>
  </conditionalFormatting>
  <conditionalFormatting sqref="Q26:Q83 Q85:Q91 Q96:Q99 Q102:Q109 Q112:Q113 Q115:Q118 Q121:Q133 Q136:Q139 Q142:Q143 Q146:Q149 Q151:Q152 Q154 Q159 Q161:Q162 Q164 Q166:Q167 Q172 Q174 Q176 Q180:Q182 Q184">
    <cfRule type="containsText" dxfId="9" priority="21821"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22"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23"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24"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25"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26"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27"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28"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29"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30"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31"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32"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33"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34"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35"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36"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37"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38"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39"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40"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41"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42"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43"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44"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45"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46"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47"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48"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49"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50"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51"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52"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53"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54"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55"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56"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57"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58"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59"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60"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61"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62"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63"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64"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9" priority="21865" operator="containsText" text="No">
      <formula>NOT(ISERROR(SEARCH(("No"),(Q26))))</formula>
    </cfRule>
  </conditionalFormatting>
  <conditionalFormatting sqref="Q26:Q83 Q85:Q91 Q96:Q99 Q102:Q109 Q112:Q113 Q115:Q118 Q121:Q133 Q136:Q139 Q142:Q143 Q146:Q149 Q151:Q152 Q154 Q159 Q161:Q162 Q164 Q166:Q167 Q172 Q174 Q176 Q180:Q182 Q184">
    <cfRule type="containsText" dxfId="2" priority="21866"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67"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68"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69"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70"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71"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72"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73"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74"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75"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76"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77"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78"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79"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80"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81"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82"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83"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84"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85"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86"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87"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88"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89"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90"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91"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92"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93"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94"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95"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96"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97"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98"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899"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900"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901"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902"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903"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904"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905"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906"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907"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908"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909"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910"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911" operator="containsText" text="Yes">
      <formula>NOT(ISERROR(SEARCH(("Yes"),(Q26))))</formula>
    </cfRule>
  </conditionalFormatting>
  <conditionalFormatting sqref="Q26:Q83 Q85:Q91 Q96:Q99 Q102:Q109 Q112:Q113 Q115:Q118 Q121:Q133 Q136:Q139 Q142:Q143 Q146:Q149 Q151:Q152 Q154 Q159 Q161:Q162 Q164 Q166:Q167 Q172 Q174 Q176 Q180:Q182 Q184">
    <cfRule type="containsText" dxfId="2" priority="21912" operator="containsText" text="Yes">
      <formula>NOT(ISERROR(SEARCH(("Yes"),(Q26))))</formula>
    </cfRule>
  </conditionalFormatting>
  <conditionalFormatting sqref="N26:N83 N85:N87 N89:N91 N96:N99 N102:N109 N112:N113 N115:N118 N121:N133 N136:N139 N142:N143 N146:N152 N154 N159 N161">
    <cfRule type="containsText" dxfId="9" priority="21913" operator="containsText" text="No">
      <formula>NOT(ISERROR(SEARCH(("No"),(N26))))</formula>
    </cfRule>
  </conditionalFormatting>
  <conditionalFormatting sqref="N26:N83 N85:N87 N89:N91 N96:N99 N102:N109 N112:N113 N115:N118 N121:N133 N136:N139 N142:N143 N146:N152 N154 N159 N161">
    <cfRule type="containsText" dxfId="9" priority="21914" operator="containsText" text="No">
      <formula>NOT(ISERROR(SEARCH(("No"),(N26))))</formula>
    </cfRule>
  </conditionalFormatting>
  <conditionalFormatting sqref="N26:N83 N85:N87 N89:N91 N96:N99 N102:N109 N112:N113 N115:N118 N121:N133 N136:N139 N142:N143 N146:N152 N154 N159 N161">
    <cfRule type="containsText" dxfId="9" priority="21915" operator="containsText" text="No">
      <formula>NOT(ISERROR(SEARCH(("No"),(N26))))</formula>
    </cfRule>
  </conditionalFormatting>
  <conditionalFormatting sqref="N26:N83 N85:N87 N89:N91 N96:N99 N102:N109 N112:N113 N115:N118 N121:N133 N136:N139 N142:N143 N146:N152 N154 N159 N161">
    <cfRule type="containsText" dxfId="2" priority="21916" operator="containsText" text="Yes">
      <formula>NOT(ISERROR(SEARCH(("Yes"),(N26))))</formula>
    </cfRule>
  </conditionalFormatting>
  <conditionalFormatting sqref="N26:N83 N85:N87 N89:N91 N96:N99 N102:N109 N112:N113 N115:N118 N121:N133 N136:N139 N142:N143 N146:N152 N154 N159 N161">
    <cfRule type="containsText" dxfId="2" priority="21917" operator="containsText" text="Yes">
      <formula>NOT(ISERROR(SEARCH(("Yes"),(N26))))</formula>
    </cfRule>
  </conditionalFormatting>
  <conditionalFormatting sqref="N26:N83 N85:N87 N89:N91 N96:N99 N102:N109 N112:N113 N115:N118 N121:N133 N136:N139 N142:N143 N146:N152 N154 N159 N161">
    <cfRule type="containsText" dxfId="2" priority="21918" operator="containsText" text="Yes">
      <formula>NOT(ISERROR(SEARCH(("Yes"),(N26))))</formula>
    </cfRule>
  </conditionalFormatting>
  <conditionalFormatting sqref="N26:N83 N85:N87 N89:N91 N96:N99 N102:N109 N112:N113 N115:N118 N121:N133 N136:N139 N142:N143 N146:N152 N154 N159 N161">
    <cfRule type="containsText" dxfId="2" priority="21919" operator="containsText" text="Yes">
      <formula>NOT(ISERROR(SEARCH(("Yes"),(N26))))</formula>
    </cfRule>
  </conditionalFormatting>
  <conditionalFormatting sqref="N26:N83 N85:N87 N89:N91 N96:N99 N102:N109 N112:N113 N115:N118 N121:N133 N136:N139 N142:N143 N146:N152 N154 N159 N161">
    <cfRule type="containsText" dxfId="2" priority="21920" operator="containsText" text="Yes">
      <formula>NOT(ISERROR(SEARCH(("Yes"),(N26))))</formula>
    </cfRule>
  </conditionalFormatting>
  <conditionalFormatting sqref="N26:N83 N85:N87 N89:N91 N96:N99 N102:N109 N112:N113 N115:N118 N121:N133 N136:N139 N142:N143 N146:N152 N154 N159 N161">
    <cfRule type="containsText" dxfId="9" priority="21921" operator="containsText" text="No">
      <formula>NOT(ISERROR(SEARCH(("No"),(N26))))</formula>
    </cfRule>
  </conditionalFormatting>
  <conditionalFormatting sqref="N26:N83 N85:N87 N89:N91 N96:N99 N102:N109 N112:N113 N115:N118 N121:N133 N136:N139 N142:N143 N146:N152 N154 N159 N161">
    <cfRule type="containsText" dxfId="9" priority="21922" operator="containsText" text="No">
      <formula>NOT(ISERROR(SEARCH(("No"),(N26))))</formula>
    </cfRule>
  </conditionalFormatting>
  <conditionalFormatting sqref="N26:N83 N85:N87 N89:N91 N96:N99 N102:N109 N112:N113 N115:N118 N121:N133 N136:N139 N142:N143 N146:N152 N154 N159 N161">
    <cfRule type="containsText" dxfId="2" priority="21923" operator="containsText" text="Yes">
      <formula>NOT(ISERROR(SEARCH(("Yes"),(N26))))</formula>
    </cfRule>
  </conditionalFormatting>
  <conditionalFormatting sqref="O26:O83 N31:N43 P32:Q33 N46:N51 P50:Q51 N53:N55 N66:N68 N74:N77 O85:O91 O96:O99 O102:O109 O112:O113 O115:O118 O121:O133 O136:O139 N139 O142:O143 O146:O152 O154:O155 O159 O161:O162 N162 N164:O167 N170:O170 N172:O172 N174:O174 N176:O176 N180:O182 N184:O184">
    <cfRule type="containsText" dxfId="9" priority="21924" operator="containsText" text="No">
      <formula>NOT(ISERROR(SEARCH(("No"),(O26))))</formula>
    </cfRule>
  </conditionalFormatting>
  <conditionalFormatting sqref="O26:O83 N31:N43 P32:Q33 N46:N51 P50:Q51 N53:N55 N66:N68 N74:N77 O85:O91 O96:O99 O102:O109 O112:O113 O115:O118 O121:O133 O136:O139 N139 O142:O143 O146:O152 O154:O155 O159 O161:O162 N162 N164:O167 N170:O170 N172:O172 N174:O174 N176:O176 N180:O182 N184:O184">
    <cfRule type="containsText" dxfId="9" priority="21925" operator="containsText" text="No">
      <formula>NOT(ISERROR(SEARCH(("No"),(O26))))</formula>
    </cfRule>
  </conditionalFormatting>
  <conditionalFormatting sqref="O26:O83 N31:N43 P32:Q33 N46:N51 P50:Q51 N53:N55 N66:N68 N74:N77 O85:O91 O96:O99 O102:O109 O112:O113 O115:O118 O121:O133 O136:O139 N139 O142:O143 O146:O152 O154:O155 O159 O161:O162 N162 N164:O167 N170:O170 N172:O172 N174:O174 N176:O176 N180:O182 N184:O184">
    <cfRule type="containsText" dxfId="9" priority="21926" operator="containsText" text="No">
      <formula>NOT(ISERROR(SEARCH(("No"),(O26))))</formula>
    </cfRule>
  </conditionalFormatting>
  <conditionalFormatting sqref="O26:O83 N31:N43 P32:Q33 N46:N51 P50:Q51 N53:N55 N66:N68 N74:N77 O85:O91 O96:O99 O102:O109 O112:O113 O115:O118 O121:O133 O136:O139 N139 O142:O143 O146:O152 O154:O155 O159 O161:O162 N162 N164:O167 N170:O170 N172:O172 N174:O174 N176:O176 N180:O182 N184:O184">
    <cfRule type="containsText" dxfId="2" priority="21927" operator="containsText" text="Yes">
      <formula>NOT(ISERROR(SEARCH(("Yes"),(O26))))</formula>
    </cfRule>
  </conditionalFormatting>
  <conditionalFormatting sqref="O26:O83 N31:N43 P32:Q33 N46:N51 P50:Q51 N53:N55 N66:N68 N74:N77 O85:O91 O96:O99 O102:O109 O112:O113 O115:O118 O121:O133 O136:O139 N139 O142:O143 O146:O152 O154:O155 O159 O161:O162 N162 N164:O167 N170:O170 N172:O172 N174:O174 N176:O176 N180:O182 N184:O184">
    <cfRule type="containsText" dxfId="2" priority="21928" operator="containsText" text="Yes">
      <formula>NOT(ISERROR(SEARCH(("Yes"),(O26))))</formula>
    </cfRule>
  </conditionalFormatting>
  <conditionalFormatting sqref="O26:O83 N31:N43 P32:Q33 N46:N51 P50:Q51 N53:N55 N66:N68 N74:N77 O85:O91 O96:O99 O102:O109 O112:O113 O115:O118 O121:O133 O136:O139 N139 O142:O143 O146:O152 O154:O155 O159 O161:O162 N162 N164:O167 N170:O170 N172:O172 N174:O174 N176:O176 N180:O182 N184:O184">
    <cfRule type="containsText" dxfId="2" priority="21929" operator="containsText" text="Yes">
      <formula>NOT(ISERROR(SEARCH(("Yes"),(O26))))</formula>
    </cfRule>
  </conditionalFormatting>
  <conditionalFormatting sqref="O26:O83 N31:N43 P32:Q33 N46:N51 P50:Q51 N53:N55 N66:N68 N74:N77 O85:O91 O96:O99 O102:O109 O112:O113 O115:O118 O121:O133 O136:O139 N139 O142:O143 O146:O152 O154:O155 O159 O161:O162 N162 N164:O167 N170:O170 N172:O172 N174:O174 N176:O176 N180:O182 N184:O184">
    <cfRule type="containsText" dxfId="2" priority="21930" operator="containsText" text="Yes">
      <formula>NOT(ISERROR(SEARCH(("Yes"),(O26))))</formula>
    </cfRule>
  </conditionalFormatting>
  <conditionalFormatting sqref="O26:O83 N31:N43 P32:Q33 N46:N51 P50:Q51 N53:N55 N66:N68 N74:N77 O85:O91 O96:O99 O102:O109 O112:O113 O115:O118 O121:O133 O136:O139 N139 O142:O143 O146:O152 O154:O155 O159 O161:O162 N162 N164:O167 N170:O170 N172:O172 N174:O174 N176:O176 N180:O182 N184:O184">
    <cfRule type="containsText" dxfId="2" priority="21931" operator="containsText" text="Yes">
      <formula>NOT(ISERROR(SEARCH(("Yes"),(O26))))</formula>
    </cfRule>
  </conditionalFormatting>
  <conditionalFormatting sqref="O26:O83 N31:N43 P32:Q33 N46:N51 P50:Q51 N53:N55 N66:N68 N74:N77 O85:O91 O96:O99 O102:O109 O112:O113 O115:O118 O121:O133 O136:O139 N139 O142:O143 O146:O152 O154:O155 O159 O161:O162 N162 N164:O167 N170:O170 N172:O172 N174:O174 N176:O176 N180:O182 N184:O184">
    <cfRule type="containsText" dxfId="9" priority="21932" operator="containsText" text="No">
      <formula>NOT(ISERROR(SEARCH(("No"),(O26))))</formula>
    </cfRule>
  </conditionalFormatting>
  <conditionalFormatting sqref="O26:O83 N31:N43 P32:Q33 N46:N51 P50:Q51 N53:N55 N66:N68 N74:N77 O85:O91 O96:O99 O102:O109 O112:O113 O115:O118 O121:O133 O136:O139 N139 O142:O143 O146:O152 O154:O155 O159 O161:O162 N162 N164:O167 N170:O170 N172:O172 N174:O174 N176:O176 N180:O182 N184:O184">
    <cfRule type="containsText" dxfId="9" priority="21933" operator="containsText" text="No">
      <formula>NOT(ISERROR(SEARCH(("No"),(O26))))</formula>
    </cfRule>
  </conditionalFormatting>
  <conditionalFormatting sqref="O26:O83 N31:N43 P32:Q33 N46:N51 P50:Q51 N53:N55 N66:N68 N74:N77 O85:O91 O96:O99 O102:O109 O112:O113 O115:O118 O121:O133 O136:O139 N139 O142:O143 O146:O152 O154:O155 O159 O161:O162 N162 N164:O167 N170:O170 N172:O172 N174:O174 N176:O176 N180:O182 N184:O184">
    <cfRule type="containsText" dxfId="2" priority="21934" operator="containsText" text="Yes">
      <formula>NOT(ISERROR(SEARCH(("Yes"),(O26))))</formula>
    </cfRule>
  </conditionalFormatting>
  <conditionalFormatting sqref="P28:P29 P32:P38 Q32:Q33 P54:P82 P85:P91 P96:P99 P104:P109 P112:P113 P115:P118 P121:P133 P136:P139 P142:P143 P146:P152 Q150 P154 P159 P161:P162 P164 P166:P167 P172 P174 P176 P180:P182 P184">
    <cfRule type="containsText" dxfId="9" priority="21935"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36"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37"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38"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39"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40"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41"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42"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43"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44"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45"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46"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47"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48"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49"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50"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51"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52"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53"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54"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55"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56"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57"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58"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59"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60"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61"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62"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63"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64"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65"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66"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67"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68"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69"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70"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71"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72"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73"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74"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75"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76"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77"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78"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9" priority="21979" operator="containsText" text="No">
      <formula>NOT(ISERROR(SEARCH(("No"),(P28))))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80"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81"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82"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83"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84"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85"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86"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87"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88"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89"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90"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91"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92"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93"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94"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95"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96"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97"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98"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1999"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00"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01"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02"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03"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04"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05"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06"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07"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08"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09"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10"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11"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12"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13"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14"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15"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16"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17"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18"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19"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20"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21"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22"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23"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24"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25" operator="containsText" text="Yes">
      <formula>NOT(ISERROR(SEARCH(("Yes"),(P28))))</formula>
    </cfRule>
  </conditionalFormatting>
  <conditionalFormatting sqref="P28:P29 P32:P38 Q32:Q33 P54:P82 P85:P91 P96:P99 P104:P109 P112:P113 P115:P118 P121:P133 P136:P139 P142:P143 P146:P152 Q150 P154 P159 P161:P162 P164 P166:P167 P172 P174 P176 P180:P182 P184">
    <cfRule type="containsText" dxfId="2" priority="22026" operator="containsText" text="Yes">
      <formula>NOT(ISERROR(SEARCH(("Yes"),(P28))))</formula>
    </cfRule>
  </conditionalFormatting>
  <conditionalFormatting sqref="Q28:Q29 Q32:Q38 Q54:Q82 Q85:Q91 Q96:Q99 Q104:Q109 Q112:Q113 Q115:Q118 Q121:Q133 Q136:Q139 Q142:Q143 Q146:Q149 Q151:Q152 Q154 Q159 Q161:Q162 Q164 Q166:Q167 Q172 Q174 Q176 Q180:Q182 Q184">
    <cfRule type="containsText" dxfId="9" priority="22027"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28"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29"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30"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31"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32"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33"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34"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35"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36"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37"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38"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39"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40"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41"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42"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43"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44"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45"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46"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47"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48"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49"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50"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51"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52"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53"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54"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55"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56"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57"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58"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59"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60"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61"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62"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63"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64"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65"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66"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67"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68"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69"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70"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9" priority="22071" operator="containsText" text="No">
      <formula>NOT(ISERROR(SEARCH(("No"),(Q28))))</formula>
    </cfRule>
  </conditionalFormatting>
  <conditionalFormatting sqref="Q28:Q29 Q32:Q38 Q54:Q82 Q85:Q91 Q96:Q99 Q104:Q109 Q112:Q113 Q115:Q118 Q121:Q133 Q136:Q139 Q142:Q143 Q146:Q149 Q151:Q152 Q154 Q159 Q161:Q162 Q164 Q166:Q167 Q172 Q174 Q176 Q180:Q182 Q184">
    <cfRule type="containsText" dxfId="2" priority="22072"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73"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74"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75"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76"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77"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78"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79"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80"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81"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82"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83"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84"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85"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86"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87"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88"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89"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90"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91"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92"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93"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94"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95"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96"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97"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98"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099"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00"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01"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02"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03"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04"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05"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06"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07"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08"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09"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10"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11"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12"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13"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14"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15"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16"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17" operator="containsText" text="Yes">
      <formula>NOT(ISERROR(SEARCH(("Yes"),(Q28))))</formula>
    </cfRule>
  </conditionalFormatting>
  <conditionalFormatting sqref="Q28:Q29 Q32:Q38 Q54:Q82 Q85:Q91 Q96:Q99 Q104:Q109 Q112:Q113 Q115:Q118 Q121:Q133 Q136:Q139 Q142:Q143 Q146:Q149 Q151:Q152 Q154 Q159 Q161:Q162 Q164 Q166:Q167 Q172 Q174 Q176 Q180:Q182 Q184">
    <cfRule type="containsText" dxfId="2" priority="22118" operator="containsText" text="Yes">
      <formula>NOT(ISERROR(SEARCH(("Yes"),(Q28))))</formula>
    </cfRule>
  </conditionalFormatting>
  <conditionalFormatting sqref="N28:N29 N32:N43 N46:N51 N53:N82 N85:N87 N89:N91 N96:N99 N104:N109 N112:N113 N115:N118 N121:N133 N136:N139 N142:N143 N146:N152 N154 N159 N161">
    <cfRule type="containsText" dxfId="9" priority="22119" operator="containsText" text="No">
      <formula>NOT(ISERROR(SEARCH(("No"),(N28))))</formula>
    </cfRule>
  </conditionalFormatting>
  <conditionalFormatting sqref="N28:N29 N32:N43 N46:N51 N53:N82 N85:N87 N89:N91 N96:N99 N104:N109 N112:N113 N115:N118 N121:N133 N136:N139 N142:N143 N146:N152 N154 N159 N161">
    <cfRule type="containsText" dxfId="9" priority="22120" operator="containsText" text="No">
      <formula>NOT(ISERROR(SEARCH(("No"),(N28))))</formula>
    </cfRule>
  </conditionalFormatting>
  <conditionalFormatting sqref="N28:N29 N32:N43 N46:N51 N53:N82 N85:N87 N89:N91 N96:N99 N104:N109 N112:N113 N115:N118 N121:N133 N136:N139 N142:N143 N146:N152 N154 N159 N161">
    <cfRule type="containsText" dxfId="9" priority="22121" operator="containsText" text="No">
      <formula>NOT(ISERROR(SEARCH(("No"),(N28))))</formula>
    </cfRule>
  </conditionalFormatting>
  <conditionalFormatting sqref="N28:N29 N32:N43 N46:N51 N53:N82 N85:N87 N89:N91 N96:N99 N104:N109 N112:N113 N115:N118 N121:N133 N136:N139 N142:N143 N146:N152 N154 N159 N161">
    <cfRule type="containsText" dxfId="2" priority="22122" operator="containsText" text="Yes">
      <formula>NOT(ISERROR(SEARCH(("Yes"),(N28))))</formula>
    </cfRule>
  </conditionalFormatting>
  <conditionalFormatting sqref="N28:N29 N32:N43 N46:N51 N53:N82 N85:N87 N89:N91 N96:N99 N104:N109 N112:N113 N115:N118 N121:N133 N136:N139 N142:N143 N146:N152 N154 N159 N161">
    <cfRule type="containsText" dxfId="2" priority="22123" operator="containsText" text="Yes">
      <formula>NOT(ISERROR(SEARCH(("Yes"),(N28))))</formula>
    </cfRule>
  </conditionalFormatting>
  <conditionalFormatting sqref="N28:N29 N32:N43 N46:N51 N53:N82 N85:N87 N89:N91 N96:N99 N104:N109 N112:N113 N115:N118 N121:N133 N136:N139 N142:N143 N146:N152 N154 N159 N161">
    <cfRule type="containsText" dxfId="2" priority="22124" operator="containsText" text="Yes">
      <formula>NOT(ISERROR(SEARCH(("Yes"),(N28))))</formula>
    </cfRule>
  </conditionalFormatting>
  <conditionalFormatting sqref="N28:N29 N32:N43 N46:N51 N53:N82 N85:N87 N89:N91 N96:N99 N104:N109 N112:N113 N115:N118 N121:N133 N136:N139 N142:N143 N146:N152 N154 N159 N161">
    <cfRule type="containsText" dxfId="2" priority="22125" operator="containsText" text="Yes">
      <formula>NOT(ISERROR(SEARCH(("Yes"),(N28))))</formula>
    </cfRule>
  </conditionalFormatting>
  <conditionalFormatting sqref="N28:N29 N32:N43 N46:N51 N53:N82 N85:N87 N89:N91 N96:N99 N104:N109 N112:N113 N115:N118 N121:N133 N136:N139 N142:N143 N146:N152 N154 N159 N161">
    <cfRule type="containsText" dxfId="2" priority="22126" operator="containsText" text="Yes">
      <formula>NOT(ISERROR(SEARCH(("Yes"),(N28))))</formula>
    </cfRule>
  </conditionalFormatting>
  <conditionalFormatting sqref="N28:N29 N32:N43 N46:N51 N53:N82 N85:N87 N89:N91 N96:N99 N104:N109 N112:N113 N115:N118 N121:N133 N136:N139 N142:N143 N146:N152 N154 N159 N161">
    <cfRule type="containsText" dxfId="9" priority="22127" operator="containsText" text="No">
      <formula>NOT(ISERROR(SEARCH(("No"),(N28))))</formula>
    </cfRule>
  </conditionalFormatting>
  <conditionalFormatting sqref="N28:N29 N32:N43 N46:N51 N53:N82 N85:N87 N89:N91 N96:N99 N104:N109 N112:N113 N115:N118 N121:N133 N136:N139 N142:N143 N146:N152 N154 N159 N161">
    <cfRule type="containsText" dxfId="9" priority="22128" operator="containsText" text="No">
      <formula>NOT(ISERROR(SEARCH(("No"),(N28))))</formula>
    </cfRule>
  </conditionalFormatting>
  <conditionalFormatting sqref="N28:N29 N32:N43 N46:N51 N53:N82 N85:N87 N89:N91 N96:N99 N104:N109 N112:N113 N115:N118 N121:N133 N136:N139 N142:N143 N146:N152 N154 N159 N161">
    <cfRule type="containsText" dxfId="2" priority="22129" operator="containsText" text="Yes">
      <formula>NOT(ISERROR(SEARCH(("Yes"),(N28))))</formula>
    </cfRule>
  </conditionalFormatting>
  <conditionalFormatting sqref="O28:O29 O32:O43 O46:O49 P50:Q51 O53:O82 O85:O91 O96:O99 O104:O109 O112:O113 O115:O118 O121:O133 O136:O139 N139 O142:O143 O146:O152 O154:O155 O159 O161:O162 N162 N164:O167 N170:O170 N172:O172 N174:O174 N176:O176 N180:O182 N184:O184">
    <cfRule type="containsText" dxfId="9" priority="22130" operator="containsText" text="No">
      <formula>NOT(ISERROR(SEARCH(("No"),(O28))))</formula>
    </cfRule>
  </conditionalFormatting>
  <conditionalFormatting sqref="O28:O29 O32:O43 O46:O49 P50:Q51 O53:O82 O85:O91 O96:O99 O104:O109 O112:O113 O115:O118 O121:O133 O136:O139 N139 O142:O143 O146:O152 O154:O155 O159 O161:O162 N162 N164:O167 N170:O170 N172:O172 N174:O174 N176:O176 N180:O182 N184:O184">
    <cfRule type="containsText" dxfId="9" priority="22131" operator="containsText" text="No">
      <formula>NOT(ISERROR(SEARCH(("No"),(O28))))</formula>
    </cfRule>
  </conditionalFormatting>
  <conditionalFormatting sqref="O28:O29 O32:O43 O46:O49 P50:Q51 O53:O82 O85:O91 O96:O99 O104:O109 O112:O113 O115:O118 O121:O133 O136:O139 N139 O142:O143 O146:O152 O154:O155 O159 O161:O162 N162 N164:O167 N170:O170 N172:O172 N174:O174 N176:O176 N180:O182 N184:O184">
    <cfRule type="containsText" dxfId="9" priority="22132" operator="containsText" text="No">
      <formula>NOT(ISERROR(SEARCH(("No"),(O28))))</formula>
    </cfRule>
  </conditionalFormatting>
  <conditionalFormatting sqref="O28:O29 O32:O43 O46:O49 P50:Q51 O53:O82 O85:O91 O96:O99 O104:O109 O112:O113 O115:O118 O121:O133 O136:O139 N139 O142:O143 O146:O152 O154:O155 O159 O161:O162 N162 N164:O167 N170:O170 N172:O172 N174:O174 N176:O176 N180:O182 N184:O184">
    <cfRule type="containsText" dxfId="2" priority="22133" operator="containsText" text="Yes">
      <formula>NOT(ISERROR(SEARCH(("Yes"),(O28))))</formula>
    </cfRule>
  </conditionalFormatting>
  <conditionalFormatting sqref="O28:O29 O32:O43 O46:O49 P50:Q51 O53:O82 O85:O91 O96:O99 O104:O109 O112:O113 O115:O118 O121:O133 O136:O139 N139 O142:O143 O146:O152 O154:O155 O159 O161:O162 N162 N164:O167 N170:O170 N172:O172 N174:O174 N176:O176 N180:O182 N184:O184">
    <cfRule type="containsText" dxfId="2" priority="22134" operator="containsText" text="Yes">
      <formula>NOT(ISERROR(SEARCH(("Yes"),(O28))))</formula>
    </cfRule>
  </conditionalFormatting>
  <conditionalFormatting sqref="O28:O29 O32:O43 O46:O49 P50:Q51 O53:O82 O85:O91 O96:O99 O104:O109 O112:O113 O115:O118 O121:O133 O136:O139 N139 O142:O143 O146:O152 O154:O155 O159 O161:O162 N162 N164:O167 N170:O170 N172:O172 N174:O174 N176:O176 N180:O182 N184:O184">
    <cfRule type="containsText" dxfId="2" priority="22135" operator="containsText" text="Yes">
      <formula>NOT(ISERROR(SEARCH(("Yes"),(O28))))</formula>
    </cfRule>
  </conditionalFormatting>
  <conditionalFormatting sqref="O28:O29 O32:O43 O46:O49 P50:Q51 O53:O82 O85:O91 O96:O99 O104:O109 O112:O113 O115:O118 O121:O133 O136:O139 N139 O142:O143 O146:O152 O154:O155 O159 O161:O162 N162 N164:O167 N170:O170 N172:O172 N174:O174 N176:O176 N180:O182 N184:O184">
    <cfRule type="containsText" dxfId="2" priority="22136" operator="containsText" text="Yes">
      <formula>NOT(ISERROR(SEARCH(("Yes"),(O28))))</formula>
    </cfRule>
  </conditionalFormatting>
  <conditionalFormatting sqref="O28:O29 O32:O43 O46:O49 P50:Q51 O53:O82 O85:O91 O96:O99 O104:O109 O112:O113 O115:O118 O121:O133 O136:O139 N139 O142:O143 O146:O152 O154:O155 O159 O161:O162 N162 N164:O167 N170:O170 N172:O172 N174:O174 N176:O176 N180:O182 N184:O184">
    <cfRule type="containsText" dxfId="2" priority="22137" operator="containsText" text="Yes">
      <formula>NOT(ISERROR(SEARCH(("Yes"),(O28))))</formula>
    </cfRule>
  </conditionalFormatting>
  <conditionalFormatting sqref="O28:O29 O32:O43 O46:O49 P50:Q51 O53:O82 O85:O91 O96:O99 O104:O109 O112:O113 O115:O118 O121:O133 O136:O139 N139 O142:O143 O146:O152 O154:O155 O159 O161:O162 N162 N164:O167 N170:O170 N172:O172 N174:O174 N176:O176 N180:O182 N184:O184">
    <cfRule type="containsText" dxfId="9" priority="22138" operator="containsText" text="No">
      <formula>NOT(ISERROR(SEARCH(("No"),(O28))))</formula>
    </cfRule>
  </conditionalFormatting>
  <conditionalFormatting sqref="O28:O29 O32:O43 O46:O49 P50:Q51 O53:O82 O85:O91 O96:O99 O104:O109 O112:O113 O115:O118 O121:O133 O136:O139 N139 O142:O143 O146:O152 O154:O155 O159 O161:O162 N162 N164:O167 N170:O170 N172:O172 N174:O174 N176:O176 N180:O182 N184:O184">
    <cfRule type="containsText" dxfId="9" priority="22139" operator="containsText" text="No">
      <formula>NOT(ISERROR(SEARCH(("No"),(O28))))</formula>
    </cfRule>
  </conditionalFormatting>
  <conditionalFormatting sqref="O28:O29 O32:O43 O46:O49 P50:Q51 O53:O82 O85:O91 O96:O99 O104:O109 O112:O113 O115:O118 O121:O133 O136:O139 N139 O142:O143 O146:O152 O154:O155 O159 O161:O162 N162 N164:O167 N170:O170 N172:O172 N174:O174 N176:O176 N180:O182 N184:O184">
    <cfRule type="containsText" dxfId="2" priority="22140" operator="containsText" text="Yes">
      <formula>NOT(ISERROR(SEARCH(("Yes"),(O28))))</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41"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42"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43"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44"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45"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46"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47"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48"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49"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50"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51"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52"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53"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54"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55"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56"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57"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58"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59"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60"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61"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62"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63"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64"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65"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66"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67"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68"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69"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70"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71"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72"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73"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74"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75"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76"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77"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78"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79"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80"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81"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82"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83"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84"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9" priority="22185" operator="containsText" text="No">
      <formula>NOT(ISERROR(SEARCH(("No"),(P29))))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186"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187"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188"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189"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190"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191"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192"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193"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194"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195"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196"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197"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198"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199"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00"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01"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02"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03"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04"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05"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06"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07"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08"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09"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10"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11"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12"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13"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14"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15"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16"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17"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18"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19"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20"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21"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22"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23"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24"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25"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26"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27"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28"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29"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30"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31" operator="containsText" text="Yes">
      <formula>NOT(ISERROR(SEARCH(("Yes"),(P29))))</formula>
    </cfRule>
  </conditionalFormatting>
  <conditionalFormatting sqref="P29:P56 Q50:Q51 P58:P83 P85:P91 P96:P99 P102:P109 P112:P113 P115:P118 P121:P126 P128:P133 P136:P139 P142:P143 P146:P152 Q150 P154 P159 P161:P162 P164 P166:P167 P172 P174 P176 P180:P182 P184">
    <cfRule type="containsText" dxfId="2" priority="22232" operator="containsText" text="Yes">
      <formula>NOT(ISERROR(SEARCH(("Yes"),(P29))))</formula>
    </cfRule>
  </conditionalFormatting>
  <conditionalFormatting sqref="Q29:Q56 Q58:Q83 Q85:Q91 Q96:Q99 Q102:Q109 Q112:Q113 Q115:Q118 Q121:Q126 Q128:Q133 Q136:Q139 Q142:Q143 Q146:Q149 Q151:Q152 Q154 Q159 Q161:Q162 Q164 Q166:Q167 Q172 Q174 Q176 Q180:Q182 Q184">
    <cfRule type="containsText" dxfId="9" priority="22233"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34"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35"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36"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37"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38"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39"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40"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41"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42"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43"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44"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45"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46"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47"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48"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49"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50"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51"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52"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53"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54"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55"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56"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57"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58"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59"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60"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61"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62"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63"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64"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65"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66"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67"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68"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69"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70"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71"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72"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73"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74"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75"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76"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9" priority="22277" operator="containsText" text="No">
      <formula>NOT(ISERROR(SEARCH(("No"),(Q29))))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78"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79"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80"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81"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82"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83"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84"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85"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86"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87"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88"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89"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90"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91"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92"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93"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94"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95"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96"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97"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98"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299"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00"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01"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02"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03"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04"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05"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06"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07"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08"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09"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10"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11"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12"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13"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14"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15"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16"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17"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18"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19"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20"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21"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22"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23" operator="containsText" text="Yes">
      <formula>NOT(ISERROR(SEARCH(("Yes"),(Q29))))</formula>
    </cfRule>
  </conditionalFormatting>
  <conditionalFormatting sqref="Q29:Q56 Q58:Q83 Q85:Q91 Q96:Q99 Q102:Q109 Q112:Q113 Q115:Q118 Q121:Q126 Q128:Q133 Q136:Q139 Q142:Q143 Q146:Q149 Q151:Q152 Q154 Q159 Q161:Q162 Q164 Q166:Q167 Q172 Q174 Q176 Q180:Q182 Q184">
    <cfRule type="containsText" dxfId="2" priority="22324" operator="containsText" text="Yes">
      <formula>NOT(ISERROR(SEARCH(("Yes"),(Q29))))</formula>
    </cfRule>
  </conditionalFormatting>
  <conditionalFormatting sqref="N29:N83 N85:N87 N89:N91 N96:N99 N102:N109 N112:N113 N115:N118 N121:N133 N136:N139 N142:N143 N146:N152 N154 N159 N161">
    <cfRule type="containsText" dxfId="9" priority="22325" operator="containsText" text="No">
      <formula>NOT(ISERROR(SEARCH(("No"),(N29))))</formula>
    </cfRule>
  </conditionalFormatting>
  <conditionalFormatting sqref="N29:N83 N85:N87 N89:N91 N96:N99 N102:N109 N112:N113 N115:N118 N121:N133 N136:N139 N142:N143 N146:N152 N154 N159 N161">
    <cfRule type="containsText" dxfId="9" priority="22326" operator="containsText" text="No">
      <formula>NOT(ISERROR(SEARCH(("No"),(N29))))</formula>
    </cfRule>
  </conditionalFormatting>
  <conditionalFormatting sqref="N29:N83 N85:N87 N89:N91 N96:N99 N102:N109 N112:N113 N115:N118 N121:N133 N136:N139 N142:N143 N146:N152 N154 N159 N161">
    <cfRule type="containsText" dxfId="9" priority="22327" operator="containsText" text="No">
      <formula>NOT(ISERROR(SEARCH(("No"),(N29))))</formula>
    </cfRule>
  </conditionalFormatting>
  <conditionalFormatting sqref="N29:N83 N85:N87 N89:N91 N96:N99 N102:N109 N112:N113 N115:N118 N121:N133 N136:N139 N142:N143 N146:N152 N154 N159 N161">
    <cfRule type="containsText" dxfId="2" priority="22328" operator="containsText" text="Yes">
      <formula>NOT(ISERROR(SEARCH(("Yes"),(N29))))</formula>
    </cfRule>
  </conditionalFormatting>
  <conditionalFormatting sqref="N29:N83 N85:N87 N89:N91 N96:N99 N102:N109 N112:N113 N115:N118 N121:N133 N136:N139 N142:N143 N146:N152 N154 N159 N161">
    <cfRule type="containsText" dxfId="2" priority="22329" operator="containsText" text="Yes">
      <formula>NOT(ISERROR(SEARCH(("Yes"),(N29))))</formula>
    </cfRule>
  </conditionalFormatting>
  <conditionalFormatting sqref="N29:N83 N85:N87 N89:N91 N96:N99 N102:N109 N112:N113 N115:N118 N121:N133 N136:N139 N142:N143 N146:N152 N154 N159 N161">
    <cfRule type="containsText" dxfId="2" priority="22330" operator="containsText" text="Yes">
      <formula>NOT(ISERROR(SEARCH(("Yes"),(N29))))</formula>
    </cfRule>
  </conditionalFormatting>
  <conditionalFormatting sqref="N29:N83 N85:N87 N89:N91 N96:N99 N102:N109 N112:N113 N115:N118 N121:N133 N136:N139 N142:N143 N146:N152 N154 N159 N161">
    <cfRule type="containsText" dxfId="2" priority="22331" operator="containsText" text="Yes">
      <formula>NOT(ISERROR(SEARCH(("Yes"),(N29))))</formula>
    </cfRule>
  </conditionalFormatting>
  <conditionalFormatting sqref="N29:N83 N85:N87 N89:N91 N96:N99 N102:N109 N112:N113 N115:N118 N121:N133 N136:N139 N142:N143 N146:N152 N154 N159 N161">
    <cfRule type="containsText" dxfId="2" priority="22332" operator="containsText" text="Yes">
      <formula>NOT(ISERROR(SEARCH(("Yes"),(N29))))</formula>
    </cfRule>
  </conditionalFormatting>
  <conditionalFormatting sqref="N29:N83 N85:N87 N89:N91 N96:N99 N102:N109 N112:N113 N115:N118 N121:N133 N136:N139 N142:N143 N146:N152 N154 N159 N161">
    <cfRule type="containsText" dxfId="9" priority="22333" operator="containsText" text="No">
      <formula>NOT(ISERROR(SEARCH(("No"),(N29))))</formula>
    </cfRule>
  </conditionalFormatting>
  <conditionalFormatting sqref="N29:N83 N85:N87 N89:N91 N96:N99 N102:N109 N112:N113 N115:N118 N121:N133 N136:N139 N142:N143 N146:N152 N154 N159 N161">
    <cfRule type="containsText" dxfId="9" priority="22334" operator="containsText" text="No">
      <formula>NOT(ISERROR(SEARCH(("No"),(N29))))</formula>
    </cfRule>
  </conditionalFormatting>
  <conditionalFormatting sqref="N29:N83 N85:N87 N89:N91 N96:N99 N102:N109 N112:N113 N115:N118 N121:N133 N136:N139 N142:N143 N146:N152 N154 N159 N161">
    <cfRule type="containsText" dxfId="2" priority="22335" operator="containsText" text="Yes">
      <formula>NOT(ISERROR(SEARCH(("Yes"),(N29))))</formula>
    </cfRule>
  </conditionalFormatting>
  <conditionalFormatting sqref="O29:O56 N31:N43 P32:Q33 N46:N51 P50:Q51 N53:N55 O58:O83 N66:N68 N74:N77 O85:O91 O96:O99 O102:O109 O112:O113 O115:O118 O121:O133 O136:O139 N139 O142:O143 O146:O152 O154:O155 O159 O161:O162 N162 N164:O167 N170:O170 N172:O172 N174:O174 N176:O176 N180:O182 N184:O184">
    <cfRule type="containsText" dxfId="9" priority="22336" operator="containsText" text="No">
      <formula>NOT(ISERROR(SEARCH(("No"),(O29))))</formula>
    </cfRule>
  </conditionalFormatting>
  <conditionalFormatting sqref="O29:O56 N31:N43 P32:Q33 N46:N51 P50:Q51 N53:N55 O58:O83 N66:N68 N74:N77 O85:O91 O96:O99 O102:O109 O112:O113 O115:O118 O121:O133 O136:O139 N139 O142:O143 O146:O152 O154:O155 O159 O161:O162 N162 N164:O167 N170:O170 N172:O172 N174:O174 N176:O176 N180:O182 N184:O184">
    <cfRule type="containsText" dxfId="9" priority="22337" operator="containsText" text="No">
      <formula>NOT(ISERROR(SEARCH(("No"),(O29))))</formula>
    </cfRule>
  </conditionalFormatting>
  <conditionalFormatting sqref="O29:O56 N31:N43 P32:Q33 N46:N51 P50:Q51 N53:N55 O58:O83 N66:N68 N74:N77 O85:O91 O96:O99 O102:O109 O112:O113 O115:O118 O121:O133 O136:O139 N139 O142:O143 O146:O152 O154:O155 O159 O161:O162 N162 N164:O167 N170:O170 N172:O172 N174:O174 N176:O176 N180:O182 N184:O184">
    <cfRule type="containsText" dxfId="9" priority="22338" operator="containsText" text="No">
      <formula>NOT(ISERROR(SEARCH(("No"),(O29))))</formula>
    </cfRule>
  </conditionalFormatting>
  <conditionalFormatting sqref="O29:O56 N31:N43 P32:Q33 N46:N51 P50:Q51 N53:N55 O58:O83 N66:N68 N74:N77 O85:O91 O96:O99 O102:O109 O112:O113 O115:O118 O121:O133 O136:O139 N139 O142:O143 O146:O152 O154:O155 O159 O161:O162 N162 N164:O167 N170:O170 N172:O172 N174:O174 N176:O176 N180:O182 N184:O184">
    <cfRule type="containsText" dxfId="2" priority="22339" operator="containsText" text="Yes">
      <formula>NOT(ISERROR(SEARCH(("Yes"),(O29))))</formula>
    </cfRule>
  </conditionalFormatting>
  <conditionalFormatting sqref="O29:O56 N31:N43 P32:Q33 N46:N51 P50:Q51 N53:N55 O58:O83 N66:N68 N74:N77 O85:O91 O96:O99 O102:O109 O112:O113 O115:O118 O121:O133 O136:O139 N139 O142:O143 O146:O152 O154:O155 O159 O161:O162 N162 N164:O167 N170:O170 N172:O172 N174:O174 N176:O176 N180:O182 N184:O184">
    <cfRule type="containsText" dxfId="2" priority="22340" operator="containsText" text="Yes">
      <formula>NOT(ISERROR(SEARCH(("Yes"),(O29))))</formula>
    </cfRule>
  </conditionalFormatting>
  <conditionalFormatting sqref="O29:O56 N31:N43 P32:Q33 N46:N51 P50:Q51 N53:N55 O58:O83 N66:N68 N74:N77 O85:O91 O96:O99 O102:O109 O112:O113 O115:O118 O121:O133 O136:O139 N139 O142:O143 O146:O152 O154:O155 O159 O161:O162 N162 N164:O167 N170:O170 N172:O172 N174:O174 N176:O176 N180:O182 N184:O184">
    <cfRule type="containsText" dxfId="2" priority="22341" operator="containsText" text="Yes">
      <formula>NOT(ISERROR(SEARCH(("Yes"),(O29))))</formula>
    </cfRule>
  </conditionalFormatting>
  <conditionalFormatting sqref="O29:O56 N31:N43 P32:Q33 N46:N51 P50:Q51 N53:N55 O58:O83 N66:N68 N74:N77 O85:O91 O96:O99 O102:O109 O112:O113 O115:O118 O121:O133 O136:O139 N139 O142:O143 O146:O152 O154:O155 O159 O161:O162 N162 N164:O167 N170:O170 N172:O172 N174:O174 N176:O176 N180:O182 N184:O184">
    <cfRule type="containsText" dxfId="2" priority="22342" operator="containsText" text="Yes">
      <formula>NOT(ISERROR(SEARCH(("Yes"),(O29))))</formula>
    </cfRule>
  </conditionalFormatting>
  <conditionalFormatting sqref="O29:O56 N31:N43 P32:Q33 N46:N51 P50:Q51 N53:N55 O58:O83 N66:N68 N74:N77 O85:O91 O96:O99 O102:O109 O112:O113 O115:O118 O121:O133 O136:O139 N139 O142:O143 O146:O152 O154:O155 O159 O161:O162 N162 N164:O167 N170:O170 N172:O172 N174:O174 N176:O176 N180:O182 N184:O184">
    <cfRule type="containsText" dxfId="2" priority="22343" operator="containsText" text="Yes">
      <formula>NOT(ISERROR(SEARCH(("Yes"),(O29))))</formula>
    </cfRule>
  </conditionalFormatting>
  <conditionalFormatting sqref="O29:O56 N31:N43 P32:Q33 N46:N51 P50:Q51 N53:N55 O58:O83 N66:N68 N74:N77 O85:O91 O96:O99 O102:O109 O112:O113 O115:O118 O121:O133 O136:O139 N139 O142:O143 O146:O152 O154:O155 O159 O161:O162 N162 N164:O167 N170:O170 N172:O172 N174:O174 N176:O176 N180:O182 N184:O184">
    <cfRule type="containsText" dxfId="9" priority="22344" operator="containsText" text="No">
      <formula>NOT(ISERROR(SEARCH(("No"),(O29))))</formula>
    </cfRule>
  </conditionalFormatting>
  <conditionalFormatting sqref="O29:O56 N31:N43 P32:Q33 N46:N51 P50:Q51 N53:N55 O58:O83 N66:N68 N74:N77 O85:O91 O96:O99 O102:O109 O112:O113 O115:O118 O121:O133 O136:O139 N139 O142:O143 O146:O152 O154:O155 O159 O161:O162 N162 N164:O167 N170:O170 N172:O172 N174:O174 N176:O176 N180:O182 N184:O184">
    <cfRule type="containsText" dxfId="9" priority="22345" operator="containsText" text="No">
      <formula>NOT(ISERROR(SEARCH(("No"),(O29))))</formula>
    </cfRule>
  </conditionalFormatting>
  <conditionalFormatting sqref="O29:O56 N31:N43 P32:Q33 N46:N51 P50:Q51 N53:N55 O58:O83 N66:N68 N74:N77 O85:O91 O96:O99 O102:O109 O112:O113 O115:O118 O121:O133 O136:O139 N139 O142:O143 O146:O152 O154:O155 O159 O161:O162 N162 N164:O167 N170:O170 N172:O172 N174:O174 N176:O176 N180:O182 N184:O184">
    <cfRule type="containsText" dxfId="2" priority="22346" operator="containsText" text="Yes">
      <formula>NOT(ISERROR(SEARCH(("Yes"),(O29))))</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47"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48"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49"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50"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51"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52"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53"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54"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55"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56"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57"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58"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59"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60"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61"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62"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63"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64"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65"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66"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67"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68"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69"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70"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71"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72"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73"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74"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75"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76"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77"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78"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79"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80"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81"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82"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83"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84"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85"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86"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87"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88"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89"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90"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9" priority="22391" operator="containsText" text="No">
      <formula>NOT(ISERROR(SEARCH(("No"),(P30))))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392"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393"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394"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395"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396"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397"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398"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399"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00"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01"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02"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03"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04"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05"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06"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07"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08"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09"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10"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11"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12"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13"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14"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15"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16"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17"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18"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19"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20"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21"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22"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23"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24"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25"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26"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27"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28"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29"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30"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31"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32"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33"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34"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35"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36"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37" operator="containsText" text="Yes">
      <formula>NOT(ISERROR(SEARCH(("Yes"),(P30))))</formula>
    </cfRule>
  </conditionalFormatting>
  <conditionalFormatting sqref="P30:P44 P46:P56 Q50:Q51 P58:P83 P85:P91 P96:P99 P102:P109 P112:P113 P115:P118 P121:P126 P128:P133 P136:P139 P142:P143 P146:P152 Q150 P154 P159 P161:P162 P164 P166:P167 P172 P174 P176 P180:P182 P184">
    <cfRule type="containsText" dxfId="2" priority="22438" operator="containsText" text="Yes">
      <formula>NOT(ISERROR(SEARCH(("Yes"),(P30))))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39"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40"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41"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42"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43"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44"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45"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46"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47"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48"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49"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50"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51"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52"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53"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54"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55"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56"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57"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58"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59"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60"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61"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62"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63"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64"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65"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66"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67"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68"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69"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70"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71"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72"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73"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74"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75"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76"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77"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78"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79"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80"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81"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82"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9" priority="22483" operator="containsText" text="No">
      <formula>NOT(ISERROR(SEARCH(("No"),(Q30))))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84"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85"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86"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87"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88"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89"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90"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91"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92"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93"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94"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95"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96"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97"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98"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499"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00"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01"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02"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03"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04"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05"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06"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07"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08"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09"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10"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11"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12"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13"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14"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15"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16"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17"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18"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19"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20"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21"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22"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23"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24"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25"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26"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27"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28"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29" operator="containsText" text="Yes">
      <formula>NOT(ISERROR(SEARCH(("Yes"),(Q30))))</formula>
    </cfRule>
  </conditionalFormatting>
  <conditionalFormatting sqref="Q30:Q44 Q46:Q56 Q58:Q83 Q85:Q91 Q96:Q99 Q102:Q109 Q112:Q113 Q115:Q118 Q121:Q126 Q128:Q133 Q136:Q139 Q142:Q143 Q146:Q149 Q151:Q152 Q154 Q159 Q161:Q162 Q164 Q166:Q167 Q172 Q174 Q176 Q180:Q182 Q184">
    <cfRule type="containsText" dxfId="2" priority="22530" operator="containsText" text="Yes">
      <formula>NOT(ISERROR(SEARCH(("Yes"),(Q30))))</formula>
    </cfRule>
  </conditionalFormatting>
  <conditionalFormatting sqref="N30:N44 N46:N83 N85:N87 N89:N91 N96:N99 N102:N109 N112:N113 N115:N118 N121:N133 N136:N139 N142:N143 N146:N152 N154 N159 N161">
    <cfRule type="containsText" dxfId="9" priority="22531" operator="containsText" text="No">
      <formula>NOT(ISERROR(SEARCH(("No"),(N30))))</formula>
    </cfRule>
  </conditionalFormatting>
  <conditionalFormatting sqref="N30:N44 N46:N83 N85:N87 N89:N91 N96:N99 N102:N109 N112:N113 N115:N118 N121:N133 N136:N139 N142:N143 N146:N152 N154 N159 N161">
    <cfRule type="containsText" dxfId="9" priority="22532" operator="containsText" text="No">
      <formula>NOT(ISERROR(SEARCH(("No"),(N30))))</formula>
    </cfRule>
  </conditionalFormatting>
  <conditionalFormatting sqref="N30:N44 N46:N83 N85:N87 N89:N91 N96:N99 N102:N109 N112:N113 N115:N118 N121:N133 N136:N139 N142:N143 N146:N152 N154 N159 N161">
    <cfRule type="containsText" dxfId="9" priority="22533" operator="containsText" text="No">
      <formula>NOT(ISERROR(SEARCH(("No"),(N30))))</formula>
    </cfRule>
  </conditionalFormatting>
  <conditionalFormatting sqref="N30:N44 N46:N83 N85:N87 N89:N91 N96:N99 N102:N109 N112:N113 N115:N118 N121:N133 N136:N139 N142:N143 N146:N152 N154 N159 N161">
    <cfRule type="containsText" dxfId="9" priority="22534" operator="containsText" text="No">
      <formula>NOT(ISERROR(SEARCH(("No"),(N30))))</formula>
    </cfRule>
  </conditionalFormatting>
  <conditionalFormatting sqref="N30:N44 N46:N83 N85:N87 N89:N91 N96:N99 N102:N109 N112:N113 N115:N118 N121:N133 N136:N139 N142:N143 N146:N152 N154 N159 N161">
    <cfRule type="containsText" dxfId="9" priority="22535" operator="containsText" text="No">
      <formula>NOT(ISERROR(SEARCH(("No"),(N30))))</formula>
    </cfRule>
  </conditionalFormatting>
  <conditionalFormatting sqref="N30:N44 N46:N83 N85:N87 N89:N91 N96:N99 N102:N109 N112:N113 N115:N118 N121:N133 N136:N139 N142:N143 N146:N152 N154 N159 N161">
    <cfRule type="containsText" dxfId="9" priority="22536" operator="containsText" text="No">
      <formula>NOT(ISERROR(SEARCH(("No"),(N30))))</formula>
    </cfRule>
  </conditionalFormatting>
  <conditionalFormatting sqref="N30:N44 N46:N83 N85:N87 N89:N91 N96:N99 N102:N109 N112:N113 N115:N118 N121:N133 N136:N139 N142:N143 N146:N152 N154 N159 N161">
    <cfRule type="containsText" dxfId="9" priority="22537" operator="containsText" text="No">
      <formula>NOT(ISERROR(SEARCH(("No"),(N30))))</formula>
    </cfRule>
  </conditionalFormatting>
  <conditionalFormatting sqref="N30:N44 N46:N83 N85:N87 N89:N91 N96:N99 N102:N109 N112:N113 N115:N118 N121:N133 N136:N139 N142:N143 N146:N152 N154 N159 N161">
    <cfRule type="containsText" dxfId="9" priority="22538" operator="containsText" text="No">
      <formula>NOT(ISERROR(SEARCH(("No"),(N30))))</formula>
    </cfRule>
  </conditionalFormatting>
  <conditionalFormatting sqref="N30:N44 N46:N83 N85:N87 N89:N91 N96:N99 N102:N109 N112:N113 N115:N118 N121:N133 N136:N139 N142:N143 N146:N152 N154 N159 N161">
    <cfRule type="containsText" dxfId="9" priority="22539" operator="containsText" text="No">
      <formula>NOT(ISERROR(SEARCH(("No"),(N30))))</formula>
    </cfRule>
  </conditionalFormatting>
  <conditionalFormatting sqref="N30:N44 N46:N83 N85:N87 N89:N91 N96:N99 N102:N109 N112:N113 N115:N118 N121:N133 N136:N139 N142:N143 N146:N152 N154 N159 N161">
    <cfRule type="containsText" dxfId="9" priority="22540" operator="containsText" text="No">
      <formula>NOT(ISERROR(SEARCH(("No"),(N30))))</formula>
    </cfRule>
  </conditionalFormatting>
  <conditionalFormatting sqref="N30:N44 N46:N83 N85:N87 N89:N91 N96:N99 N102:N109 N112:N113 N115:N118 N121:N133 N136:N139 N142:N143 N146:N152 N154 N159 N161">
    <cfRule type="containsText" dxfId="9" priority="22541" operator="containsText" text="No">
      <formula>NOT(ISERROR(SEARCH(("No"),(N30))))</formula>
    </cfRule>
  </conditionalFormatting>
  <conditionalFormatting sqref="N30:N44 N46:N83 N85:N87 N89:N91 N96:N99 N102:N109 N112:N113 N115:N118 N121:N133 N136:N139 N142:N143 N146:N152 N154 N159 N161">
    <cfRule type="containsText" dxfId="9" priority="22542" operator="containsText" text="No">
      <formula>NOT(ISERROR(SEARCH(("No"),(N30))))</formula>
    </cfRule>
  </conditionalFormatting>
  <conditionalFormatting sqref="N30:N44 N46:N83 N85:N87 N89:N91 N96:N99 N102:N109 N112:N113 N115:N118 N121:N133 N136:N139 N142:N143 N146:N152 N154 N159 N161">
    <cfRule type="containsText" dxfId="9" priority="22543" operator="containsText" text="No">
      <formula>NOT(ISERROR(SEARCH(("No"),(N30))))</formula>
    </cfRule>
  </conditionalFormatting>
  <conditionalFormatting sqref="N30:N44 N46:N83 N85:N87 N89:N91 N96:N99 N102:N109 N112:N113 N115:N118 N121:N133 N136:N139 N142:N143 N146:N152 N154 N159 N161">
    <cfRule type="containsText" dxfId="9" priority="22544" operator="containsText" text="No">
      <formula>NOT(ISERROR(SEARCH(("No"),(N30))))</formula>
    </cfRule>
  </conditionalFormatting>
  <conditionalFormatting sqref="N30:N44 N46:N83 N85:N87 N89:N91 N96:N99 N102:N109 N112:N113 N115:N118 N121:N133 N136:N139 N142:N143 N146:N152 N154 N159 N161">
    <cfRule type="containsText" dxfId="9" priority="22545" operator="containsText" text="No">
      <formula>NOT(ISERROR(SEARCH(("No"),(N30))))</formula>
    </cfRule>
  </conditionalFormatting>
  <conditionalFormatting sqref="N30:N44 N46:N83 N85:N87 N89:N91 N96:N99 N102:N109 N112:N113 N115:N118 N121:N133 N136:N139 N142:N143 N146:N152 N154 N159 N161">
    <cfRule type="containsText" dxfId="9" priority="22546" operator="containsText" text="No">
      <formula>NOT(ISERROR(SEARCH(("No"),(N30))))</formula>
    </cfRule>
  </conditionalFormatting>
  <conditionalFormatting sqref="N30:N44 N46:N83 N85:N87 N89:N91 N96:N99 N102:N109 N112:N113 N115:N118 N121:N133 N136:N139 N142:N143 N146:N152 N154 N159 N161">
    <cfRule type="containsText" dxfId="9" priority="22547" operator="containsText" text="No">
      <formula>NOT(ISERROR(SEARCH(("No"),(N30))))</formula>
    </cfRule>
  </conditionalFormatting>
  <conditionalFormatting sqref="N30:N44 N46:N83 N85:N87 N89:N91 N96:N99 N102:N109 N112:N113 N115:N118 N121:N133 N136:N139 N142:N143 N146:N152 N154 N159 N161">
    <cfRule type="containsText" dxfId="9" priority="22548" operator="containsText" text="No">
      <formula>NOT(ISERROR(SEARCH(("No"),(N30))))</formula>
    </cfRule>
  </conditionalFormatting>
  <conditionalFormatting sqref="N30:N44 N46:N83 N85:N87 N89:N91 N96:N99 N102:N109 N112:N113 N115:N118 N121:N133 N136:N139 N142:N143 N146:N152 N154 N159 N161">
    <cfRule type="containsText" dxfId="9" priority="22549" operator="containsText" text="No">
      <formula>NOT(ISERROR(SEARCH(("No"),(N30))))</formula>
    </cfRule>
  </conditionalFormatting>
  <conditionalFormatting sqref="N30:N44 N46:N83 N85:N87 N89:N91 N96:N99 N102:N109 N112:N113 N115:N118 N121:N133 N136:N139 N142:N143 N146:N152 N154 N159 N161">
    <cfRule type="containsText" dxfId="9" priority="22550" operator="containsText" text="No">
      <formula>NOT(ISERROR(SEARCH(("No"),(N30))))</formula>
    </cfRule>
  </conditionalFormatting>
  <conditionalFormatting sqref="N30:N44 N46:N83 N85:N87 N89:N91 N96:N99 N102:N109 N112:N113 N115:N118 N121:N133 N136:N139 N142:N143 N146:N152 N154 N159 N161">
    <cfRule type="containsText" dxfId="9" priority="22551" operator="containsText" text="No">
      <formula>NOT(ISERROR(SEARCH(("No"),(N30))))</formula>
    </cfRule>
  </conditionalFormatting>
  <conditionalFormatting sqref="N30:N44 N46:N83 N85:N87 N89:N91 N96:N99 N102:N109 N112:N113 N115:N118 N121:N133 N136:N139 N142:N143 N146:N152 N154 N159 N161">
    <cfRule type="containsText" dxfId="9" priority="22552" operator="containsText" text="No">
      <formula>NOT(ISERROR(SEARCH(("No"),(N30))))</formula>
    </cfRule>
  </conditionalFormatting>
  <conditionalFormatting sqref="N30:N44 N46:N83 N85:N87 N89:N91 N96:N99 N102:N109 N112:N113 N115:N118 N121:N133 N136:N139 N142:N143 N146:N152 N154 N159 N161">
    <cfRule type="containsText" dxfId="9" priority="22553" operator="containsText" text="No">
      <formula>NOT(ISERROR(SEARCH(("No"),(N30))))</formula>
    </cfRule>
  </conditionalFormatting>
  <conditionalFormatting sqref="N30:N44 N46:N83 N85:N87 N89:N91 N96:N99 N102:N109 N112:N113 N115:N118 N121:N133 N136:N139 N142:N143 N146:N152 N154 N159 N161">
    <cfRule type="containsText" dxfId="9" priority="22554" operator="containsText" text="No">
      <formula>NOT(ISERROR(SEARCH(("No"),(N30))))</formula>
    </cfRule>
  </conditionalFormatting>
  <conditionalFormatting sqref="N30:N44 N46:N83 N85:N87 N89:N91 N96:N99 N102:N109 N112:N113 N115:N118 N121:N133 N136:N139 N142:N143 N146:N152 N154 N159 N161">
    <cfRule type="containsText" dxfId="9" priority="22555" operator="containsText" text="No">
      <formula>NOT(ISERROR(SEARCH(("No"),(N30))))</formula>
    </cfRule>
  </conditionalFormatting>
  <conditionalFormatting sqref="N30:N44 N46:N83 N85:N87 N89:N91 N96:N99 N102:N109 N112:N113 N115:N118 N121:N133 N136:N139 N142:N143 N146:N152 N154 N159 N161">
    <cfRule type="containsText" dxfId="9" priority="22556" operator="containsText" text="No">
      <formula>NOT(ISERROR(SEARCH(("No"),(N30))))</formula>
    </cfRule>
  </conditionalFormatting>
  <conditionalFormatting sqref="N30:N44 N46:N83 N85:N87 N89:N91 N96:N99 N102:N109 N112:N113 N115:N118 N121:N133 N136:N139 N142:N143 N146:N152 N154 N159 N161">
    <cfRule type="containsText" dxfId="9" priority="22557" operator="containsText" text="No">
      <formula>NOT(ISERROR(SEARCH(("No"),(N30))))</formula>
    </cfRule>
  </conditionalFormatting>
  <conditionalFormatting sqref="N30:N44 N46:N83 N85:N87 N89:N91 N96:N99 N102:N109 N112:N113 N115:N118 N121:N133 N136:N139 N142:N143 N146:N152 N154 N159 N161">
    <cfRule type="containsText" dxfId="9" priority="22558" operator="containsText" text="No">
      <formula>NOT(ISERROR(SEARCH(("No"),(N30))))</formula>
    </cfRule>
  </conditionalFormatting>
  <conditionalFormatting sqref="N30:N44 N46:N83 N85:N87 N89:N91 N96:N99 N102:N109 N112:N113 N115:N118 N121:N133 N136:N139 N142:N143 N146:N152 N154 N159 N161">
    <cfRule type="containsText" dxfId="9" priority="22559" operator="containsText" text="No">
      <formula>NOT(ISERROR(SEARCH(("No"),(N30))))</formula>
    </cfRule>
  </conditionalFormatting>
  <conditionalFormatting sqref="N30:N44 N46:N83 N85:N87 N89:N91 N96:N99 N102:N109 N112:N113 N115:N118 N121:N133 N136:N139 N142:N143 N146:N152 N154 N159 N161">
    <cfRule type="containsText" dxfId="9" priority="22560" operator="containsText" text="No">
      <formula>NOT(ISERROR(SEARCH(("No"),(N30))))</formula>
    </cfRule>
  </conditionalFormatting>
  <conditionalFormatting sqref="N30:N44 N46:N83 N85:N87 N89:N91 N96:N99 N102:N109 N112:N113 N115:N118 N121:N133 N136:N139 N142:N143 N146:N152 N154 N159 N161">
    <cfRule type="containsText" dxfId="9" priority="22561" operator="containsText" text="No">
      <formula>NOT(ISERROR(SEARCH(("No"),(N30))))</formula>
    </cfRule>
  </conditionalFormatting>
  <conditionalFormatting sqref="N30:N44 N46:N83 N85:N87 N89:N91 N96:N99 N102:N109 N112:N113 N115:N118 N121:N133 N136:N139 N142:N143 N146:N152 N154 N159 N161">
    <cfRule type="containsText" dxfId="9" priority="22562" operator="containsText" text="No">
      <formula>NOT(ISERROR(SEARCH(("No"),(N30))))</formula>
    </cfRule>
  </conditionalFormatting>
  <conditionalFormatting sqref="N30:N44 N46:N83 N85:N87 N89:N91 N96:N99 N102:N109 N112:N113 N115:N118 N121:N133 N136:N139 N142:N143 N146:N152 N154 N159 N161">
    <cfRule type="containsText" dxfId="9" priority="22563" operator="containsText" text="No">
      <formula>NOT(ISERROR(SEARCH(("No"),(N30))))</formula>
    </cfRule>
  </conditionalFormatting>
  <conditionalFormatting sqref="N30:N44 N46:N83 N85:N87 N89:N91 N96:N99 N102:N109 N112:N113 N115:N118 N121:N133 N136:N139 N142:N143 N146:N152 N154 N159 N161">
    <cfRule type="containsText" dxfId="9" priority="22564" operator="containsText" text="No">
      <formula>NOT(ISERROR(SEARCH(("No"),(N30))))</formula>
    </cfRule>
  </conditionalFormatting>
  <conditionalFormatting sqref="N30:N44 N46:N83 N85:N87 N89:N91 N96:N99 N102:N109 N112:N113 N115:N118 N121:N133 N136:N139 N142:N143 N146:N152 N154 N159 N161">
    <cfRule type="containsText" dxfId="9" priority="22565" operator="containsText" text="No">
      <formula>NOT(ISERROR(SEARCH(("No"),(N30))))</formula>
    </cfRule>
  </conditionalFormatting>
  <conditionalFormatting sqref="N30:N44 N46:N83 N85:N87 N89:N91 N96:N99 N102:N109 N112:N113 N115:N118 N121:N133 N136:N139 N142:N143 N146:N152 N154 N159 N161">
    <cfRule type="containsText" dxfId="9" priority="22566" operator="containsText" text="No">
      <formula>NOT(ISERROR(SEARCH(("No"),(N30))))</formula>
    </cfRule>
  </conditionalFormatting>
  <conditionalFormatting sqref="N30:N44 N46:N83 N85:N87 N89:N91 N96:N99 N102:N109 N112:N113 N115:N118 N121:N133 N136:N139 N142:N143 N146:N152 N154 N159 N161">
    <cfRule type="containsText" dxfId="9" priority="22567" operator="containsText" text="No">
      <formula>NOT(ISERROR(SEARCH(("No"),(N30))))</formula>
    </cfRule>
  </conditionalFormatting>
  <conditionalFormatting sqref="N30:N44 N46:N83 N85:N87 N89:N91 N96:N99 N102:N109 N112:N113 N115:N118 N121:N133 N136:N139 N142:N143 N146:N152 N154 N159 N161">
    <cfRule type="containsText" dxfId="9" priority="22568" operator="containsText" text="No">
      <formula>NOT(ISERROR(SEARCH(("No"),(N30))))</formula>
    </cfRule>
  </conditionalFormatting>
  <conditionalFormatting sqref="N30:N44 N46:N83 N85:N87 N89:N91 N96:N99 N102:N109 N112:N113 N115:N118 N121:N133 N136:N139 N142:N143 N146:N152 N154 N159 N161">
    <cfRule type="containsText" dxfId="9" priority="22569" operator="containsText" text="No">
      <formula>NOT(ISERROR(SEARCH(("No"),(N30))))</formula>
    </cfRule>
  </conditionalFormatting>
  <conditionalFormatting sqref="N30:N44 N46:N83 N85:N87 N89:N91 N96:N99 N102:N109 N112:N113 N115:N118 N121:N133 N136:N139 N142:N143 N146:N152 N154 N159 N161">
    <cfRule type="containsText" dxfId="9" priority="22570" operator="containsText" text="No">
      <formula>NOT(ISERROR(SEARCH(("No"),(N30))))</formula>
    </cfRule>
  </conditionalFormatting>
  <conditionalFormatting sqref="N30:N44 N46:N83 N85:N87 N89:N91 N96:N99 N102:N109 N112:N113 N115:N118 N121:N133 N136:N139 N142:N143 N146:N152 N154 N159 N161">
    <cfRule type="containsText" dxfId="9" priority="22571" operator="containsText" text="No">
      <formula>NOT(ISERROR(SEARCH(("No"),(N30))))</formula>
    </cfRule>
  </conditionalFormatting>
  <conditionalFormatting sqref="N30:N44 N46:N83 N85:N87 N89:N91 N96:N99 N102:N109 N112:N113 N115:N118 N121:N133 N136:N139 N142:N143 N146:N152 N154 N159 N161">
    <cfRule type="containsText" dxfId="9" priority="22572" operator="containsText" text="No">
      <formula>NOT(ISERROR(SEARCH(("No"),(N30))))</formula>
    </cfRule>
  </conditionalFormatting>
  <conditionalFormatting sqref="N30:N44 N46:N83 N85:N87 N89:N91 N96:N99 N102:N109 N112:N113 N115:N118 N121:N133 N136:N139 N142:N143 N146:N152 N154 N159 N161">
    <cfRule type="containsText" dxfId="9" priority="22573" operator="containsText" text="No">
      <formula>NOT(ISERROR(SEARCH(("No"),(N30))))</formula>
    </cfRule>
  </conditionalFormatting>
  <conditionalFormatting sqref="N30:N44 N46:N83 N85:N87 N89:N91 N96:N99 N102:N109 N112:N113 N115:N118 N121:N133 N136:N139 N142:N143 N146:N152 N154 N159 N161">
    <cfRule type="containsText" dxfId="9" priority="22574" operator="containsText" text="No">
      <formula>NOT(ISERROR(SEARCH(("No"),(N30))))</formula>
    </cfRule>
  </conditionalFormatting>
  <conditionalFormatting sqref="N30:N44 N46:N83 N85:N87 N89:N91 N96:N99 N102:N109 N112:N113 N115:N118 N121:N133 N136:N139 N142:N143 N146:N152 N154 N159 N161">
    <cfRule type="containsText" dxfId="9" priority="22575" operator="containsText" text="No">
      <formula>NOT(ISERROR(SEARCH(("No"),(N30))))</formula>
    </cfRule>
  </conditionalFormatting>
  <conditionalFormatting sqref="N30:N44 N46:N83 N85:N87 N89:N91 N96:N99 N102:N109 N112:N113 N115:N118 N121:N133 N136:N139 N142:N143 N146:N152 N154 N159 N161">
    <cfRule type="containsText" dxfId="2" priority="22576" operator="containsText" text="Yes">
      <formula>NOT(ISERROR(SEARCH(("Yes"),(N30))))</formula>
    </cfRule>
  </conditionalFormatting>
  <conditionalFormatting sqref="N30:N44 N46:N83 N85:N87 N89:N91 N96:N99 N102:N109 N112:N113 N115:N118 N121:N133 N136:N139 N142:N143 N146:N152 N154 N159 N161">
    <cfRule type="containsText" dxfId="2" priority="22577" operator="containsText" text="Yes">
      <formula>NOT(ISERROR(SEARCH(("Yes"),(N30))))</formula>
    </cfRule>
  </conditionalFormatting>
  <conditionalFormatting sqref="N30:N44 N46:N83 N85:N87 N89:N91 N96:N99 N102:N109 N112:N113 N115:N118 N121:N133 N136:N139 N142:N143 N146:N152 N154 N159 N161">
    <cfRule type="containsText" dxfId="2" priority="22578" operator="containsText" text="Yes">
      <formula>NOT(ISERROR(SEARCH(("Yes"),(N30))))</formula>
    </cfRule>
  </conditionalFormatting>
  <conditionalFormatting sqref="N30:N44 N46:N83 N85:N87 N89:N91 N96:N99 N102:N109 N112:N113 N115:N118 N121:N133 N136:N139 N142:N143 N146:N152 N154 N159 N161">
    <cfRule type="containsText" dxfId="2" priority="22579" operator="containsText" text="Yes">
      <formula>NOT(ISERROR(SEARCH(("Yes"),(N30))))</formula>
    </cfRule>
  </conditionalFormatting>
  <conditionalFormatting sqref="N30:N44 N46:N83 N85:N87 N89:N91 N96:N99 N102:N109 N112:N113 N115:N118 N121:N133 N136:N139 N142:N143 N146:N152 N154 N159 N161">
    <cfRule type="containsText" dxfId="2" priority="22580" operator="containsText" text="Yes">
      <formula>NOT(ISERROR(SEARCH(("Yes"),(N30))))</formula>
    </cfRule>
  </conditionalFormatting>
  <conditionalFormatting sqref="N30:N44 N46:N83 N85:N87 N89:N91 N96:N99 N102:N109 N112:N113 N115:N118 N121:N133 N136:N139 N142:N143 N146:N152 N154 N159 N161">
    <cfRule type="containsText" dxfId="2" priority="22581" operator="containsText" text="Yes">
      <formula>NOT(ISERROR(SEARCH(("Yes"),(N30))))</formula>
    </cfRule>
  </conditionalFormatting>
  <conditionalFormatting sqref="N30:N44 N46:N83 N85:N87 N89:N91 N96:N99 N102:N109 N112:N113 N115:N118 N121:N133 N136:N139 N142:N143 N146:N152 N154 N159 N161">
    <cfRule type="containsText" dxfId="2" priority="22582" operator="containsText" text="Yes">
      <formula>NOT(ISERROR(SEARCH(("Yes"),(N30))))</formula>
    </cfRule>
  </conditionalFormatting>
  <conditionalFormatting sqref="N30:N44 N46:N83 N85:N87 N89:N91 N96:N99 N102:N109 N112:N113 N115:N118 N121:N133 N136:N139 N142:N143 N146:N152 N154 N159 N161">
    <cfRule type="containsText" dxfId="2" priority="22583" operator="containsText" text="Yes">
      <formula>NOT(ISERROR(SEARCH(("Yes"),(N30))))</formula>
    </cfRule>
  </conditionalFormatting>
  <conditionalFormatting sqref="N30:N44 N46:N83 N85:N87 N89:N91 N96:N99 N102:N109 N112:N113 N115:N118 N121:N133 N136:N139 N142:N143 N146:N152 N154 N159 N161">
    <cfRule type="containsText" dxfId="2" priority="22584" operator="containsText" text="Yes">
      <formula>NOT(ISERROR(SEARCH(("Yes"),(N30))))</formula>
    </cfRule>
  </conditionalFormatting>
  <conditionalFormatting sqref="N30:N44 N46:N83 N85:N87 N89:N91 N96:N99 N102:N109 N112:N113 N115:N118 N121:N133 N136:N139 N142:N143 N146:N152 N154 N159 N161">
    <cfRule type="containsText" dxfId="2" priority="22585" operator="containsText" text="Yes">
      <formula>NOT(ISERROR(SEARCH(("Yes"),(N30))))</formula>
    </cfRule>
  </conditionalFormatting>
  <conditionalFormatting sqref="N30:N44 N46:N83 N85:N87 N89:N91 N96:N99 N102:N109 N112:N113 N115:N118 N121:N133 N136:N139 N142:N143 N146:N152 N154 N159 N161">
    <cfRule type="containsText" dxfId="2" priority="22586" operator="containsText" text="Yes">
      <formula>NOT(ISERROR(SEARCH(("Yes"),(N30))))</formula>
    </cfRule>
  </conditionalFormatting>
  <conditionalFormatting sqref="N30:N44 N46:N83 N85:N87 N89:N91 N96:N99 N102:N109 N112:N113 N115:N118 N121:N133 N136:N139 N142:N143 N146:N152 N154 N159 N161">
    <cfRule type="containsText" dxfId="2" priority="22587" operator="containsText" text="Yes">
      <formula>NOT(ISERROR(SEARCH(("Yes"),(N30))))</formula>
    </cfRule>
  </conditionalFormatting>
  <conditionalFormatting sqref="N30:N44 N46:N83 N85:N87 N89:N91 N96:N99 N102:N109 N112:N113 N115:N118 N121:N133 N136:N139 N142:N143 N146:N152 N154 N159 N161">
    <cfRule type="containsText" dxfId="2" priority="22588" operator="containsText" text="Yes">
      <formula>NOT(ISERROR(SEARCH(("Yes"),(N30))))</formula>
    </cfRule>
  </conditionalFormatting>
  <conditionalFormatting sqref="N30:N44 N46:N83 N85:N87 N89:N91 N96:N99 N102:N109 N112:N113 N115:N118 N121:N133 N136:N139 N142:N143 N146:N152 N154 N159 N161">
    <cfRule type="containsText" dxfId="2" priority="22589" operator="containsText" text="Yes">
      <formula>NOT(ISERROR(SEARCH(("Yes"),(N30))))</formula>
    </cfRule>
  </conditionalFormatting>
  <conditionalFormatting sqref="N30:N44 N46:N83 N85:N87 N89:N91 N96:N99 N102:N109 N112:N113 N115:N118 N121:N133 N136:N139 N142:N143 N146:N152 N154 N159 N161">
    <cfRule type="containsText" dxfId="2" priority="22590" operator="containsText" text="Yes">
      <formula>NOT(ISERROR(SEARCH(("Yes"),(N30))))</formula>
    </cfRule>
  </conditionalFormatting>
  <conditionalFormatting sqref="N30:N44 N46:N83 N85:N87 N89:N91 N96:N99 N102:N109 N112:N113 N115:N118 N121:N133 N136:N139 N142:N143 N146:N152 N154 N159 N161">
    <cfRule type="containsText" dxfId="2" priority="22591" operator="containsText" text="Yes">
      <formula>NOT(ISERROR(SEARCH(("Yes"),(N30))))</formula>
    </cfRule>
  </conditionalFormatting>
  <conditionalFormatting sqref="N30:N44 N46:N83 N85:N87 N89:N91 N96:N99 N102:N109 N112:N113 N115:N118 N121:N133 N136:N139 N142:N143 N146:N152 N154 N159 N161">
    <cfRule type="containsText" dxfId="2" priority="22592" operator="containsText" text="Yes">
      <formula>NOT(ISERROR(SEARCH(("Yes"),(N30))))</formula>
    </cfRule>
  </conditionalFormatting>
  <conditionalFormatting sqref="N30:N44 N46:N83 N85:N87 N89:N91 N96:N99 N102:N109 N112:N113 N115:N118 N121:N133 N136:N139 N142:N143 N146:N152 N154 N159 N161">
    <cfRule type="containsText" dxfId="2" priority="22593" operator="containsText" text="Yes">
      <formula>NOT(ISERROR(SEARCH(("Yes"),(N30))))</formula>
    </cfRule>
  </conditionalFormatting>
  <conditionalFormatting sqref="N30:N44 N46:N83 N85:N87 N89:N91 N96:N99 N102:N109 N112:N113 N115:N118 N121:N133 N136:N139 N142:N143 N146:N152 N154 N159 N161">
    <cfRule type="containsText" dxfId="2" priority="22594" operator="containsText" text="Yes">
      <formula>NOT(ISERROR(SEARCH(("Yes"),(N30))))</formula>
    </cfRule>
  </conditionalFormatting>
  <conditionalFormatting sqref="N30:N44 N46:N83 N85:N87 N89:N91 N96:N99 N102:N109 N112:N113 N115:N118 N121:N133 N136:N139 N142:N143 N146:N152 N154 N159 N161">
    <cfRule type="containsText" dxfId="2" priority="22595" operator="containsText" text="Yes">
      <formula>NOT(ISERROR(SEARCH(("Yes"),(N30))))</formula>
    </cfRule>
  </conditionalFormatting>
  <conditionalFormatting sqref="N30:N44 N46:N83 N85:N87 N89:N91 N96:N99 N102:N109 N112:N113 N115:N118 N121:N133 N136:N139 N142:N143 N146:N152 N154 N159 N161">
    <cfRule type="containsText" dxfId="2" priority="22596" operator="containsText" text="Yes">
      <formula>NOT(ISERROR(SEARCH(("Yes"),(N30))))</formula>
    </cfRule>
  </conditionalFormatting>
  <conditionalFormatting sqref="N30:N44 N46:N83 N85:N87 N89:N91 N96:N99 N102:N109 N112:N113 N115:N118 N121:N133 N136:N139 N142:N143 N146:N152 N154 N159 N161">
    <cfRule type="containsText" dxfId="2" priority="22597" operator="containsText" text="Yes">
      <formula>NOT(ISERROR(SEARCH(("Yes"),(N30))))</formula>
    </cfRule>
  </conditionalFormatting>
  <conditionalFormatting sqref="N30:N44 N46:N83 N85:N87 N89:N91 N96:N99 N102:N109 N112:N113 N115:N118 N121:N133 N136:N139 N142:N143 N146:N152 N154 N159 N161">
    <cfRule type="containsText" dxfId="2" priority="22598" operator="containsText" text="Yes">
      <formula>NOT(ISERROR(SEARCH(("Yes"),(N30))))</formula>
    </cfRule>
  </conditionalFormatting>
  <conditionalFormatting sqref="N30:N44 N46:N83 N85:N87 N89:N91 N96:N99 N102:N109 N112:N113 N115:N118 N121:N133 N136:N139 N142:N143 N146:N152 N154 N159 N161">
    <cfRule type="containsText" dxfId="2" priority="22599" operator="containsText" text="Yes">
      <formula>NOT(ISERROR(SEARCH(("Yes"),(N30))))</formula>
    </cfRule>
  </conditionalFormatting>
  <conditionalFormatting sqref="N30:N44 N46:N83 N85:N87 N89:N91 N96:N99 N102:N109 N112:N113 N115:N118 N121:N133 N136:N139 N142:N143 N146:N152 N154 N159 N161">
    <cfRule type="containsText" dxfId="2" priority="22600" operator="containsText" text="Yes">
      <formula>NOT(ISERROR(SEARCH(("Yes"),(N30))))</formula>
    </cfRule>
  </conditionalFormatting>
  <conditionalFormatting sqref="N30:N44 N46:N83 N85:N87 N89:N91 N96:N99 N102:N109 N112:N113 N115:N118 N121:N133 N136:N139 N142:N143 N146:N152 N154 N159 N161">
    <cfRule type="containsText" dxfId="2" priority="22601" operator="containsText" text="Yes">
      <formula>NOT(ISERROR(SEARCH(("Yes"),(N30))))</formula>
    </cfRule>
  </conditionalFormatting>
  <conditionalFormatting sqref="N30:N44 N46:N83 N85:N87 N89:N91 N96:N99 N102:N109 N112:N113 N115:N118 N121:N133 N136:N139 N142:N143 N146:N152 N154 N159 N161">
    <cfRule type="containsText" dxfId="2" priority="22602" operator="containsText" text="Yes">
      <formula>NOT(ISERROR(SEARCH(("Yes"),(N30))))</formula>
    </cfRule>
  </conditionalFormatting>
  <conditionalFormatting sqref="N30:N44 N46:N83 N85:N87 N89:N91 N96:N99 N102:N109 N112:N113 N115:N118 N121:N133 N136:N139 N142:N143 N146:N152 N154 N159 N161">
    <cfRule type="containsText" dxfId="2" priority="22603" operator="containsText" text="Yes">
      <formula>NOT(ISERROR(SEARCH(("Yes"),(N30))))</formula>
    </cfRule>
  </conditionalFormatting>
  <conditionalFormatting sqref="N30:N44 N46:N83 N85:N87 N89:N91 N96:N99 N102:N109 N112:N113 N115:N118 N121:N133 N136:N139 N142:N143 N146:N152 N154 N159 N161">
    <cfRule type="containsText" dxfId="2" priority="22604" operator="containsText" text="Yes">
      <formula>NOT(ISERROR(SEARCH(("Yes"),(N30))))</formula>
    </cfRule>
  </conditionalFormatting>
  <conditionalFormatting sqref="N30:N44 N46:N83 N85:N87 N89:N91 N96:N99 N102:N109 N112:N113 N115:N118 N121:N133 N136:N139 N142:N143 N146:N152 N154 N159 N161">
    <cfRule type="containsText" dxfId="2" priority="22605" operator="containsText" text="Yes">
      <formula>NOT(ISERROR(SEARCH(("Yes"),(N30))))</formula>
    </cfRule>
  </conditionalFormatting>
  <conditionalFormatting sqref="N30:N44 N46:N83 N85:N87 N89:N91 N96:N99 N102:N109 N112:N113 N115:N118 N121:N133 N136:N139 N142:N143 N146:N152 N154 N159 N161">
    <cfRule type="containsText" dxfId="2" priority="22606" operator="containsText" text="Yes">
      <formula>NOT(ISERROR(SEARCH(("Yes"),(N30))))</formula>
    </cfRule>
  </conditionalFormatting>
  <conditionalFormatting sqref="N30:N44 N46:N83 N85:N87 N89:N91 N96:N99 N102:N109 N112:N113 N115:N118 N121:N133 N136:N139 N142:N143 N146:N152 N154 N159 N161">
    <cfRule type="containsText" dxfId="2" priority="22607" operator="containsText" text="Yes">
      <formula>NOT(ISERROR(SEARCH(("Yes"),(N30))))</formula>
    </cfRule>
  </conditionalFormatting>
  <conditionalFormatting sqref="N30:N44 N46:N83 N85:N87 N89:N91 N96:N99 N102:N109 N112:N113 N115:N118 N121:N133 N136:N139 N142:N143 N146:N152 N154 N159 N161">
    <cfRule type="containsText" dxfId="2" priority="22608" operator="containsText" text="Yes">
      <formula>NOT(ISERROR(SEARCH(("Yes"),(N30))))</formula>
    </cfRule>
  </conditionalFormatting>
  <conditionalFormatting sqref="N30:N44 N46:N83 N85:N87 N89:N91 N96:N99 N102:N109 N112:N113 N115:N118 N121:N133 N136:N139 N142:N143 N146:N152 N154 N159 N161">
    <cfRule type="containsText" dxfId="2" priority="22609" operator="containsText" text="Yes">
      <formula>NOT(ISERROR(SEARCH(("Yes"),(N30))))</formula>
    </cfRule>
  </conditionalFormatting>
  <conditionalFormatting sqref="N30:N44 N46:N83 N85:N87 N89:N91 N96:N99 N102:N109 N112:N113 N115:N118 N121:N133 N136:N139 N142:N143 N146:N152 N154 N159 N161">
    <cfRule type="containsText" dxfId="2" priority="22610" operator="containsText" text="Yes">
      <formula>NOT(ISERROR(SEARCH(("Yes"),(N30))))</formula>
    </cfRule>
  </conditionalFormatting>
  <conditionalFormatting sqref="N30:N44 N46:N83 N85:N87 N89:N91 N96:N99 N102:N109 N112:N113 N115:N118 N121:N133 N136:N139 N142:N143 N146:N152 N154 N159 N161">
    <cfRule type="containsText" dxfId="2" priority="22611" operator="containsText" text="Yes">
      <formula>NOT(ISERROR(SEARCH(("Yes"),(N30))))</formula>
    </cfRule>
  </conditionalFormatting>
  <conditionalFormatting sqref="N30:N44 N46:N83 N85:N87 N89:N91 N96:N99 N102:N109 N112:N113 N115:N118 N121:N133 N136:N139 N142:N143 N146:N152 N154 N159 N161">
    <cfRule type="containsText" dxfId="2" priority="22612" operator="containsText" text="Yes">
      <formula>NOT(ISERROR(SEARCH(("Yes"),(N30))))</formula>
    </cfRule>
  </conditionalFormatting>
  <conditionalFormatting sqref="N30:N44 N46:N83 N85:N87 N89:N91 N96:N99 N102:N109 N112:N113 N115:N118 N121:N133 N136:N139 N142:N143 N146:N152 N154 N159 N161">
    <cfRule type="containsText" dxfId="2" priority="22613" operator="containsText" text="Yes">
      <formula>NOT(ISERROR(SEARCH(("Yes"),(N30))))</formula>
    </cfRule>
  </conditionalFormatting>
  <conditionalFormatting sqref="N30:N44 N46:N83 N85:N87 N89:N91 N96:N99 N102:N109 N112:N113 N115:N118 N121:N133 N136:N139 N142:N143 N146:N152 N154 N159 N161">
    <cfRule type="containsText" dxfId="2" priority="22614" operator="containsText" text="Yes">
      <formula>NOT(ISERROR(SEARCH(("Yes"),(N30))))</formula>
    </cfRule>
  </conditionalFormatting>
  <conditionalFormatting sqref="N30:N44 N46:N83 N85:N87 N89:N91 N96:N99 N102:N109 N112:N113 N115:N118 N121:N133 N136:N139 N142:N143 N146:N152 N154 N159 N161">
    <cfRule type="containsText" dxfId="2" priority="22615" operator="containsText" text="Yes">
      <formula>NOT(ISERROR(SEARCH(("Yes"),(N30))))</formula>
    </cfRule>
  </conditionalFormatting>
  <conditionalFormatting sqref="N30:N44 N46:N83 N85:N87 N89:N91 N96:N99 N102:N109 N112:N113 N115:N118 N121:N133 N136:N139 N142:N143 N146:N152 N154 N159 N161">
    <cfRule type="containsText" dxfId="2" priority="22616" operator="containsText" text="Yes">
      <formula>NOT(ISERROR(SEARCH(("Yes"),(N30))))</formula>
    </cfRule>
  </conditionalFormatting>
  <conditionalFormatting sqref="N30:N44 N46:N83 N85:N87 N89:N91 N96:N99 N102:N109 N112:N113 N115:N118 N121:N133 N136:N139 N142:N143 N146:N152 N154 N159 N161">
    <cfRule type="containsText" dxfId="2" priority="22617" operator="containsText" text="Yes">
      <formula>NOT(ISERROR(SEARCH(("Yes"),(N30))))</formula>
    </cfRule>
  </conditionalFormatting>
  <conditionalFormatting sqref="N30:N44 N46:N83 N85:N87 N89:N91 N96:N99 N102:N109 N112:N113 N115:N118 N121:N133 N136:N139 N142:N143 N146:N152 N154 N159 N161">
    <cfRule type="containsText" dxfId="2" priority="22618" operator="containsText" text="Yes">
      <formula>NOT(ISERROR(SEARCH(("Yes"),(N30))))</formula>
    </cfRule>
  </conditionalFormatting>
  <conditionalFormatting sqref="N30:N44 N46:N83 N85:N87 N89:N91 N96:N99 N102:N109 N112:N113 N115:N118 N121:N133 N136:N139 N142:N143 N146:N152 N154 N159 N161">
    <cfRule type="containsText" dxfId="2" priority="22619" operator="containsText" text="Yes">
      <formula>NOT(ISERROR(SEARCH(("Yes"),(N30))))</formula>
    </cfRule>
  </conditionalFormatting>
  <conditionalFormatting sqref="N30:N44 N46:N83 N85:N87 N89:N91 N96:N99 N102:N109 N112:N113 N115:N118 N121:N133 N136:N139 N142:N143 N146:N152 N154 N159 N161">
    <cfRule type="containsText" dxfId="2" priority="22620" operator="containsText" text="Yes">
      <formula>NOT(ISERROR(SEARCH(("Yes"),(N30))))</formula>
    </cfRule>
  </conditionalFormatting>
  <conditionalFormatting sqref="N30:N44 N46:N83 N85:N87 N89:N91 N96:N99 N102:N109 N112:N113 N115:N118 N121:N133 N136:N139 N142:N143 N146:N152 N154 N159 N161">
    <cfRule type="containsText" dxfId="2" priority="22621" operator="containsText" text="Yes">
      <formula>NOT(ISERROR(SEARCH(("Yes"),(N30))))</formula>
    </cfRule>
  </conditionalFormatting>
  <conditionalFormatting sqref="N30:N44 N46:N83 N85:N87 N89:N91 N96:N99 N102:N109 N112:N113 N115:N118 N121:N133 N136:N139 N142:N143 N146:N152 N154 N159 N161">
    <cfRule type="containsText" dxfId="2" priority="22622" operator="containsText" text="Yes">
      <formula>NOT(ISERROR(SEARCH(("Yes"),(N30))))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23"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24"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25"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26"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27"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28"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29"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30"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31"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32"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33"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34"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35"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36"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37"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38"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39"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40"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41"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42"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43"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44"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45"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46"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47"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48"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49"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50"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51"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52"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53"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54"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55"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56"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57"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58"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59"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60"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61"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62"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63"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64"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65"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66"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9" priority="22667" operator="containsText" text="No">
      <formula>NOT(ISERROR(SEARCH(("No"),(O30))))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68"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69"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70"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71"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72"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73"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74"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75"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76"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77"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78"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79"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80"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81"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82"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83"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84"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85"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86"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87"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88"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89"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90"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91"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92"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93"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94"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95"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96"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97"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98"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699"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00"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01"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02"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03"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04"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05"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06"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07"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08"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09"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10"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11"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12"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13" operator="containsText" text="Yes">
      <formula>NOT(ISERROR(SEARCH(("Yes"),(O30))))</formula>
    </cfRule>
  </conditionalFormatting>
  <conditionalFormatting sqref="O30:O44 N31:N43 P32:Q33 N46:N51 O46:O56 P50:Q51 N53:N55 O58:O83 N66:N68 N74:N77 O85:O91 O96:O99 O102:O109 O112:O113 O115:O118 O121:O133 O136:O139 N139 O142:O143 O146:O152 O154:O155 O159 O161:O162 N162 N164:O167 N170:O170 N172:O172 N174:O174 N176:O176 N180:O182 N184:O184">
    <cfRule type="containsText" dxfId="2" priority="22714" operator="containsText" text="Yes">
      <formula>NOT(ISERROR(SEARCH(("Yes"),(O30))))</formula>
    </cfRule>
  </conditionalFormatting>
  <conditionalFormatting sqref="P31:P38 Q32:Q33 P54:P82 P85:P91 P96:P99 P104:P109 P112:P113 P115:P118 P121:P133 P136:P139 P142:P143 P146:P152 Q150 P154 P159 P161:P162 P164 P166:P167 P172 P174 P176 P180:P182 P184">
    <cfRule type="containsText" dxfId="9" priority="22715"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16"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17"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18"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19"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20"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21"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22"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23"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24"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25"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26"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27"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28"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29"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30"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31"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32"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33"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34"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35"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36"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37"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38"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39"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40"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41"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42"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43"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44"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45"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46"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47"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48"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49"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50"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51"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52"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53"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54"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55"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56"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57"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58"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9" priority="22759" operator="containsText" text="No">
      <formula>NOT(ISERROR(SEARCH(("No"),(P31))))</formula>
    </cfRule>
  </conditionalFormatting>
  <conditionalFormatting sqref="P31:P38 Q32:Q33 P54:P82 P85:P91 P96:P99 P104:P109 P112:P113 P115:P118 P121:P133 P136:P139 P142:P143 P146:P152 Q150 P154 P159 P161:P162 P164 P166:P167 P172 P174 P176 P180:P182 P184">
    <cfRule type="containsText" dxfId="2" priority="22760"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61"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62"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63"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64"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65"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66"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67"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68"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69"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70"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71"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72"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73"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74"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75"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76"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77"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78"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79"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80"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81"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82"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83"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84"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85"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86"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87"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88"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89"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90"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91"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92"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93"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94"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95"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96"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97"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98"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799"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800"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801"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802"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803"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804"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805" operator="containsText" text="Yes">
      <formula>NOT(ISERROR(SEARCH(("Yes"),(P31))))</formula>
    </cfRule>
  </conditionalFormatting>
  <conditionalFormatting sqref="P31:P38 Q32:Q33 P54:P82 P85:P91 P96:P99 P104:P109 P112:P113 P115:P118 P121:P133 P136:P139 P142:P143 P146:P152 Q150 P154 P159 P161:P162 P164 P166:P167 P172 P174 P176 P180:P182 P184">
    <cfRule type="containsText" dxfId="2" priority="22806" operator="containsText" text="Yes">
      <formula>NOT(ISERROR(SEARCH(("Yes"),(P31))))</formula>
    </cfRule>
  </conditionalFormatting>
  <conditionalFormatting sqref="Q31:Q38 Q54:Q82 Q85:Q91 Q96:Q99 Q104:Q109 Q112:Q113 Q115:Q118 Q121:Q133 Q136:Q139 Q142:Q143 Q146:Q149 Q151:Q152 Q154 Q159 Q161:Q162 Q164 Q166:Q167 Q172 Q174 Q176 Q180:Q182 Q184">
    <cfRule type="containsText" dxfId="9" priority="22807"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08"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09"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10"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11"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12"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13"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14"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15"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16"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17"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18"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19"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20"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21"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22"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23"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24"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25"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26"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27"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28"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29"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30"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31"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32"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33"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34"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35"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36"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37"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38"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39"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40"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41"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42"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43"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44"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45"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46"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47"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48"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49"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50"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9" priority="22851" operator="containsText" text="No">
      <formula>NOT(ISERROR(SEARCH(("No"),(Q31))))</formula>
    </cfRule>
  </conditionalFormatting>
  <conditionalFormatting sqref="Q31:Q38 Q54:Q82 Q85:Q91 Q96:Q99 Q104:Q109 Q112:Q113 Q115:Q118 Q121:Q133 Q136:Q139 Q142:Q143 Q146:Q149 Q151:Q152 Q154 Q159 Q161:Q162 Q164 Q166:Q167 Q172 Q174 Q176 Q180:Q182 Q184">
    <cfRule type="containsText" dxfId="2" priority="22852"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53"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54"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55"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56"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57"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58"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59"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60"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61"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62"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63"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64"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65"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66"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67"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68"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69"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70"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71"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72"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73"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74"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75"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76"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77"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78"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79"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80"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81"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82"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83"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84"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85"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86"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87"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88"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89"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90"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91"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92"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93"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94"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95"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96"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97" operator="containsText" text="Yes">
      <formula>NOT(ISERROR(SEARCH(("Yes"),(Q31))))</formula>
    </cfRule>
  </conditionalFormatting>
  <conditionalFormatting sqref="Q31:Q38 Q54:Q82 Q85:Q91 Q96:Q99 Q104:Q109 Q112:Q113 Q115:Q118 Q121:Q133 Q136:Q139 Q142:Q143 Q146:Q149 Q151:Q152 Q154 Q159 Q161:Q162 Q164 Q166:Q167 Q172 Q174 Q176 Q180:Q182 Q184">
    <cfRule type="containsText" dxfId="2" priority="22898" operator="containsText" text="Yes">
      <formula>NOT(ISERROR(SEARCH(("Yes"),(Q31))))</formula>
    </cfRule>
  </conditionalFormatting>
  <conditionalFormatting sqref="N31:N43 N46:N51 N53:N82 N85:N87 N89:N91 N96:N99 N104:N109 N112:N113 N115:N118 N121:N133 N136:N139 N142:N143 N146:N152 N154 N159 N161">
    <cfRule type="containsText" dxfId="9" priority="22899" operator="containsText" text="No">
      <formula>NOT(ISERROR(SEARCH(("No"),(N31))))</formula>
    </cfRule>
  </conditionalFormatting>
  <conditionalFormatting sqref="N31:N43 N46:N51 N53:N82 N85:N87 N89:N91 N96:N99 N104:N109 N112:N113 N115:N118 N121:N133 N136:N139 N142:N143 N146:N152 N154 N159 N161">
    <cfRule type="containsText" dxfId="9" priority="22900" operator="containsText" text="No">
      <formula>NOT(ISERROR(SEARCH(("No"),(N31))))</formula>
    </cfRule>
  </conditionalFormatting>
  <conditionalFormatting sqref="N31:N43 N46:N51 N53:N82 N85:N87 N89:N91 N96:N99 N104:N109 N112:N113 N115:N118 N121:N133 N136:N139 N142:N143 N146:N152 N154 N159 N161">
    <cfRule type="containsText" dxfId="9" priority="22901" operator="containsText" text="No">
      <formula>NOT(ISERROR(SEARCH(("No"),(N31))))</formula>
    </cfRule>
  </conditionalFormatting>
  <conditionalFormatting sqref="N31:N43 N46:N51 N53:N82 N85:N87 N89:N91 N96:N99 N104:N109 N112:N113 N115:N118 N121:N133 N136:N139 N142:N143 N146:N152 N154 N159 N161">
    <cfRule type="containsText" dxfId="2" priority="22902" operator="containsText" text="Yes">
      <formula>NOT(ISERROR(SEARCH(("Yes"),(N31))))</formula>
    </cfRule>
  </conditionalFormatting>
  <conditionalFormatting sqref="N31:N43 N46:N51 N53:N82 N85:N87 N89:N91 N96:N99 N104:N109 N112:N113 N115:N118 N121:N133 N136:N139 N142:N143 N146:N152 N154 N159 N161">
    <cfRule type="containsText" dxfId="2" priority="22903" operator="containsText" text="Yes">
      <formula>NOT(ISERROR(SEARCH(("Yes"),(N31))))</formula>
    </cfRule>
  </conditionalFormatting>
  <conditionalFormatting sqref="N31:N43 N46:N51 N53:N82 N85:N87 N89:N91 N96:N99 N104:N109 N112:N113 N115:N118 N121:N133 N136:N139 N142:N143 N146:N152 N154 N159 N161">
    <cfRule type="containsText" dxfId="2" priority="22904" operator="containsText" text="Yes">
      <formula>NOT(ISERROR(SEARCH(("Yes"),(N31))))</formula>
    </cfRule>
  </conditionalFormatting>
  <conditionalFormatting sqref="N31:N43 N46:N51 N53:N82 N85:N87 N89:N91 N96:N99 N104:N109 N112:N113 N115:N118 N121:N133 N136:N139 N142:N143 N146:N152 N154 N159 N161">
    <cfRule type="containsText" dxfId="2" priority="22905" operator="containsText" text="Yes">
      <formula>NOT(ISERROR(SEARCH(("Yes"),(N31))))</formula>
    </cfRule>
  </conditionalFormatting>
  <conditionalFormatting sqref="N31:N43 N46:N51 N53:N82 N85:N87 N89:N91 N96:N99 N104:N109 N112:N113 N115:N118 N121:N133 N136:N139 N142:N143 N146:N152 N154 N159 N161">
    <cfRule type="containsText" dxfId="2" priority="22906" operator="containsText" text="Yes">
      <formula>NOT(ISERROR(SEARCH(("Yes"),(N31))))</formula>
    </cfRule>
  </conditionalFormatting>
  <conditionalFormatting sqref="N31:N43 N46:N51 N53:N82 N85:N87 N89:N91 N96:N99 N104:N109 N112:N113 N115:N118 N121:N133 N136:N139 N142:N143 N146:N152 N154 N159 N161">
    <cfRule type="containsText" dxfId="9" priority="22907" operator="containsText" text="No">
      <formula>NOT(ISERROR(SEARCH(("No"),(N31))))</formula>
    </cfRule>
  </conditionalFormatting>
  <conditionalFormatting sqref="N31:N43 N46:N51 N53:N82 N85:N87 N89:N91 N96:N99 N104:N109 N112:N113 N115:N118 N121:N133 N136:N139 N142:N143 N146:N152 N154 N159 N161">
    <cfRule type="containsText" dxfId="9" priority="22908" operator="containsText" text="No">
      <formula>NOT(ISERROR(SEARCH(("No"),(N31))))</formula>
    </cfRule>
  </conditionalFormatting>
  <conditionalFormatting sqref="N31:N43 N46:N51 N53:N82 N85:N87 N89:N91 N96:N99 N104:N109 N112:N113 N115:N118 N121:N133 N136:N139 N142:N143 N146:N152 N154 N159 N161">
    <cfRule type="containsText" dxfId="2" priority="22909" operator="containsText" text="Yes">
      <formula>NOT(ISERROR(SEARCH(("Yes"),(N31))))</formula>
    </cfRule>
  </conditionalFormatting>
  <conditionalFormatting sqref="N31:O43 P32:Q33 N46:N51 O46:O49 P50:Q51 N53:N55 O53:O82 N66:N68 N74:N77 O85:O91 O96:O99 O104:O109 O112:O113 O115:O118 O121:O133 O136:O139 N139 O142:O143 O146:O152 O154:O155 O159 O161:O162 N162 N164:O167 N170:O170 N172:O172 N174:O174 N176:O176 N180:O182 N184:O184">
    <cfRule type="containsText" dxfId="9" priority="22910" operator="containsText" text="No">
      <formula>NOT(ISERROR(SEARCH(("No"),(N31))))</formula>
    </cfRule>
  </conditionalFormatting>
  <conditionalFormatting sqref="N31:O43 P32:Q33 N46:N51 O46:O49 P50:Q51 N53:N55 O53:O82 N66:N68 N74:N77 O85:O91 O96:O99 O104:O109 O112:O113 O115:O118 O121:O133 O136:O139 N139 O142:O143 O146:O152 O154:O155 O159 O161:O162 N162 N164:O167 N170:O170 N172:O172 N174:O174 N176:O176 N180:O182 N184:O184">
    <cfRule type="containsText" dxfId="9" priority="22911" operator="containsText" text="No">
      <formula>NOT(ISERROR(SEARCH(("No"),(N31))))</formula>
    </cfRule>
  </conditionalFormatting>
  <conditionalFormatting sqref="N31:O43 P32:Q33 N46:N51 O46:O49 P50:Q51 N53:N55 O53:O82 N66:N68 N74:N77 O85:O91 O96:O99 O104:O109 O112:O113 O115:O118 O121:O133 O136:O139 N139 O142:O143 O146:O152 O154:O155 O159 O161:O162 N162 N164:O167 N170:O170 N172:O172 N174:O174 N176:O176 N180:O182 N184:O184">
    <cfRule type="containsText" dxfId="9" priority="22912" operator="containsText" text="No">
      <formula>NOT(ISERROR(SEARCH(("No"),(N31))))</formula>
    </cfRule>
  </conditionalFormatting>
  <conditionalFormatting sqref="N31:O43 P32:Q33 N46:N51 O46:O49 P50:Q51 N53:N55 O53:O82 N66:N68 N74:N77 O85:O91 O96:O99 O104:O109 O112:O113 O115:O118 O121:O133 O136:O139 N139 O142:O143 O146:O152 O154:O155 O159 O161:O162 N162 N164:O167 N170:O170 N172:O172 N174:O174 N176:O176 N180:O182 N184:O184">
    <cfRule type="containsText" dxfId="2" priority="22913" operator="containsText" text="Yes">
      <formula>NOT(ISERROR(SEARCH(("Yes"),(N31))))</formula>
    </cfRule>
  </conditionalFormatting>
  <conditionalFormatting sqref="N31:O43 P32:Q33 N46:N51 O46:O49 P50:Q51 N53:N55 O53:O82 N66:N68 N74:N77 O85:O91 O96:O99 O104:O109 O112:O113 O115:O118 O121:O133 O136:O139 N139 O142:O143 O146:O152 O154:O155 O159 O161:O162 N162 N164:O167 N170:O170 N172:O172 N174:O174 N176:O176 N180:O182 N184:O184">
    <cfRule type="containsText" dxfId="2" priority="22914" operator="containsText" text="Yes">
      <formula>NOT(ISERROR(SEARCH(("Yes"),(N31))))</formula>
    </cfRule>
  </conditionalFormatting>
  <conditionalFormatting sqref="N31:O43 P32:Q33 N46:N51 O46:O49 P50:Q51 N53:N55 O53:O82 N66:N68 N74:N77 O85:O91 O96:O99 O104:O109 O112:O113 O115:O118 O121:O133 O136:O139 N139 O142:O143 O146:O152 O154:O155 O159 O161:O162 N162 N164:O167 N170:O170 N172:O172 N174:O174 N176:O176 N180:O182 N184:O184">
    <cfRule type="containsText" dxfId="2" priority="22915" operator="containsText" text="Yes">
      <formula>NOT(ISERROR(SEARCH(("Yes"),(N31))))</formula>
    </cfRule>
  </conditionalFormatting>
  <conditionalFormatting sqref="N31:O43 P32:Q33 N46:N51 O46:O49 P50:Q51 N53:N55 O53:O82 N66:N68 N74:N77 O85:O91 O96:O99 O104:O109 O112:O113 O115:O118 O121:O133 O136:O139 N139 O142:O143 O146:O152 O154:O155 O159 O161:O162 N162 N164:O167 N170:O170 N172:O172 N174:O174 N176:O176 N180:O182 N184:O184">
    <cfRule type="containsText" dxfId="2" priority="22916" operator="containsText" text="Yes">
      <formula>NOT(ISERROR(SEARCH(("Yes"),(N31))))</formula>
    </cfRule>
  </conditionalFormatting>
  <conditionalFormatting sqref="N31:O43 P32:Q33 N46:N51 O46:O49 P50:Q51 N53:N55 O53:O82 N66:N68 N74:N77 O85:O91 O96:O99 O104:O109 O112:O113 O115:O118 O121:O133 O136:O139 N139 O142:O143 O146:O152 O154:O155 O159 O161:O162 N162 N164:O167 N170:O170 N172:O172 N174:O174 N176:O176 N180:O182 N184:O184">
    <cfRule type="containsText" dxfId="2" priority="22917" operator="containsText" text="Yes">
      <formula>NOT(ISERROR(SEARCH(("Yes"),(N31))))</formula>
    </cfRule>
  </conditionalFormatting>
  <conditionalFormatting sqref="N31:O43 P32:Q33 N46:N51 O46:O49 P50:Q51 N53:N55 O53:O82 N66:N68 N74:N77 O85:O91 O96:O99 O104:O109 O112:O113 O115:O118 O121:O133 O136:O139 N139 O142:O143 O146:O152 O154:O155 O159 O161:O162 N162 N164:O167 N170:O170 N172:O172 N174:O174 N176:O176 N180:O182 N184:O184">
    <cfRule type="containsText" dxfId="9" priority="22918" operator="containsText" text="No">
      <formula>NOT(ISERROR(SEARCH(("No"),(N31))))</formula>
    </cfRule>
  </conditionalFormatting>
  <conditionalFormatting sqref="N31:O43 P32:Q33 N46:N51 O46:O49 P50:Q51 N53:N55 O53:O82 N66:N68 N74:N77 O85:O91 O96:O99 O104:O109 O112:O113 O115:O118 O121:O133 O136:O139 N139 O142:O143 O146:O152 O154:O155 O159 O161:O162 N162 N164:O167 N170:O170 N172:O172 N174:O174 N176:O176 N180:O182 N184:O184">
    <cfRule type="containsText" dxfId="9" priority="22919" operator="containsText" text="No">
      <formula>NOT(ISERROR(SEARCH(("No"),(N31))))</formula>
    </cfRule>
  </conditionalFormatting>
  <conditionalFormatting sqref="N31:O43 P32:Q33 N46:N51 O46:O49 P50:Q51 N53:N55 O53:O82 N66:N68 N74:N77 O85:O91 O96:O99 O104:O109 O112:O113 O115:O118 O121:O133 O136:O139 N139 O142:O143 O146:O152 O154:O155 O159 O161:O162 N162 N164:O167 N170:O170 N172:O172 N174:O174 N176:O176 N180:O182 N184:O184">
    <cfRule type="containsText" dxfId="2" priority="22920" operator="containsText" text="Yes">
      <formula>NOT(ISERROR(SEARCH(("Yes"),(N31))))</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21"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22"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23"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24"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25"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26"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27"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28"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29"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30"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31"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32"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33"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34"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35"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36"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37"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38"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39"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40"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41"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42"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43"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44"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45"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46"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47"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48"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49"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50"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51"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52"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53"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54"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55"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56"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57"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58"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59"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60"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61"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62"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63"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64"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9" priority="22965" operator="containsText" text="No">
      <formula>NOT(ISERROR(SEARCH(("No"),(P34))))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66"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67"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68"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69"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70"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71"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72"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73"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74"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75"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76"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77"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78"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79"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80"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81"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82"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83"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84"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85"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86"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87"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88"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89"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90"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91"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92"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93"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94"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95"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96"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97"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98"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2999"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3000"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3001"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3002"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3003"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3004"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3005"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3006"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3007"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3008"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3009"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3010"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3011" operator="containsText" text="Yes">
      <formula>NOT(ISERROR(SEARCH(("Yes"),(P34))))</formula>
    </cfRule>
  </conditionalFormatting>
  <conditionalFormatting sqref="P34:P44 P46:P56 Q50:Q51 P58:P83 P85:P91 P96:P99 P102:P109 P112:P113 P115:P118 P121:P126 P128:P133 P136:P139 P142:P143 P146:P152 Q150 P154 P159 P161:P162 P164 P166:P167 P172 P174 P176 P180:P182 P184">
    <cfRule type="containsText" dxfId="2" priority="23012" operator="containsText" text="Yes">
      <formula>NOT(ISERROR(SEARCH(("Yes"),(P34))))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13"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14"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15"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16"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17"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18"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19"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20"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21"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22"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23"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24"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25"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26"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27"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28"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29"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30"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31"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32"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33"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34"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35"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36"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37"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38"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39"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40"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41"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42"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43"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44"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45"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46"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47"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48"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49"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50"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51"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52"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53"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54"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55"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56"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9" priority="23057" operator="containsText" text="No">
      <formula>NOT(ISERROR(SEARCH(("No"),(Q34))))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58"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59"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60"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61"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62"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63"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64"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65"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66"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67"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68"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69"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70"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71"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72"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73"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74"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75"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76"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77"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78"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79"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80"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81"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82"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83"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84"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85"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86"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87"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88"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89"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90"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91"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92"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93"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94"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95"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96"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97"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98"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099"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100"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101"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102"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103" operator="containsText" text="Yes">
      <formula>NOT(ISERROR(SEARCH(("Yes"),(Q34))))</formula>
    </cfRule>
  </conditionalFormatting>
  <conditionalFormatting sqref="Q34:Q44 Q46:Q56 Q58:Q83 Q85:Q91 Q96:Q99 Q102:Q109 Q112:Q113 Q115:Q118 Q121:Q126 Q128:Q133 Q136:Q139 Q142:Q143 Q146:Q149 Q151:Q152 Q154 Q159 Q161:Q162 Q164 Q166:Q167 Q172 Q174 Q176 Q180:Q182 Q184">
    <cfRule type="containsText" dxfId="2" priority="23104" operator="containsText" text="Yes">
      <formula>NOT(ISERROR(SEARCH(("Yes"),(Q34))))</formula>
    </cfRule>
  </conditionalFormatting>
  <conditionalFormatting sqref="N34:N44 N46:N56 N58:N83 N85:N87 N89:N91 N96:N99 N102:N109 N112:N113 N115:N118 N121:N126 N128:N133 N136:N139 N142:N143 N146:N152 N154 N159 N161">
    <cfRule type="containsText" dxfId="9" priority="23105" operator="containsText" text="No">
      <formula>NOT(ISERROR(SEARCH(("No"),(N34))))</formula>
    </cfRule>
  </conditionalFormatting>
  <conditionalFormatting sqref="N34:N44 N46:N56 N58:N83 N85:N87 N89:N91 N96:N99 N102:N109 N112:N113 N115:N118 N121:N126 N128:N133 N136:N139 N142:N143 N146:N152 N154 N159 N161">
    <cfRule type="containsText" dxfId="9" priority="23106" operator="containsText" text="No">
      <formula>NOT(ISERROR(SEARCH(("No"),(N34))))</formula>
    </cfRule>
  </conditionalFormatting>
  <conditionalFormatting sqref="N34:N44 N46:N56 N58:N83 N85:N87 N89:N91 N96:N99 N102:N109 N112:N113 N115:N118 N121:N126 N128:N133 N136:N139 N142:N143 N146:N152 N154 N159 N161">
    <cfRule type="containsText" dxfId="9" priority="23107" operator="containsText" text="No">
      <formula>NOT(ISERROR(SEARCH(("No"),(N34))))</formula>
    </cfRule>
  </conditionalFormatting>
  <conditionalFormatting sqref="N34:N44 N46:N56 N58:N83 N85:N87 N89:N91 N96:N99 N102:N109 N112:N113 N115:N118 N121:N126 N128:N133 N136:N139 N142:N143 N146:N152 N154 N159 N161">
    <cfRule type="containsText" dxfId="2" priority="23108" operator="containsText" text="Yes">
      <formula>NOT(ISERROR(SEARCH(("Yes"),(N34))))</formula>
    </cfRule>
  </conditionalFormatting>
  <conditionalFormatting sqref="N34:N44 N46:N56 N58:N83 N85:N87 N89:N91 N96:N99 N102:N109 N112:N113 N115:N118 N121:N126 N128:N133 N136:N139 N142:N143 N146:N152 N154 N159 N161">
    <cfRule type="containsText" dxfId="2" priority="23109" operator="containsText" text="Yes">
      <formula>NOT(ISERROR(SEARCH(("Yes"),(N34))))</formula>
    </cfRule>
  </conditionalFormatting>
  <conditionalFormatting sqref="N34:N44 N46:N56 N58:N83 N85:N87 N89:N91 N96:N99 N102:N109 N112:N113 N115:N118 N121:N126 N128:N133 N136:N139 N142:N143 N146:N152 N154 N159 N161">
    <cfRule type="containsText" dxfId="2" priority="23110" operator="containsText" text="Yes">
      <formula>NOT(ISERROR(SEARCH(("Yes"),(N34))))</formula>
    </cfRule>
  </conditionalFormatting>
  <conditionalFormatting sqref="N34:N44 N46:N56 N58:N83 N85:N87 N89:N91 N96:N99 N102:N109 N112:N113 N115:N118 N121:N126 N128:N133 N136:N139 N142:N143 N146:N152 N154 N159 N161">
    <cfRule type="containsText" dxfId="2" priority="23111" operator="containsText" text="Yes">
      <formula>NOT(ISERROR(SEARCH(("Yes"),(N34))))</formula>
    </cfRule>
  </conditionalFormatting>
  <conditionalFormatting sqref="N34:N44 N46:N56 N58:N83 N85:N87 N89:N91 N96:N99 N102:N109 N112:N113 N115:N118 N121:N126 N128:N133 N136:N139 N142:N143 N146:N152 N154 N159 N161">
    <cfRule type="containsText" dxfId="2" priority="23112" operator="containsText" text="Yes">
      <formula>NOT(ISERROR(SEARCH(("Yes"),(N34))))</formula>
    </cfRule>
  </conditionalFormatting>
  <conditionalFormatting sqref="N34:N44 N46:N56 N58:N83 N85:N87 N89:N91 N96:N99 N102:N109 N112:N113 N115:N118 N121:N126 N128:N133 N136:N139 N142:N143 N146:N152 N154 N159 N161">
    <cfRule type="containsText" dxfId="9" priority="23113" operator="containsText" text="No">
      <formula>NOT(ISERROR(SEARCH(("No"),(N34))))</formula>
    </cfRule>
  </conditionalFormatting>
  <conditionalFormatting sqref="N34:N44 N46:N56 N58:N83 N85:N87 N89:N91 N96:N99 N102:N109 N112:N113 N115:N118 N121:N126 N128:N133 N136:N139 N142:N143 N146:N152 N154 N159 N161">
    <cfRule type="containsText" dxfId="9" priority="23114" operator="containsText" text="No">
      <formula>NOT(ISERROR(SEARCH(("No"),(N34))))</formula>
    </cfRule>
  </conditionalFormatting>
  <conditionalFormatting sqref="N34:N44 N46:N56 N58:N83 N85:N87 N89:N91 N96:N99 N102:N109 N112:N113 N115:N118 N121:N126 N128:N133 N136:N139 N142:N143 N146:N152 N154 N159 N161">
    <cfRule type="containsText" dxfId="2" priority="23115" operator="containsText" text="Yes">
      <formula>NOT(ISERROR(SEARCH(("Yes"),(N34))))</formula>
    </cfRule>
  </conditionalFormatting>
  <conditionalFormatting sqref="O34:O44 O46:O56 P50:Q51 O58:O83 O85:O91 O96:O99 O102:O109 O112:O113 O115:O118 O121:O133 O136:O139 N139 O142:O143 O146:O152 O154:O155 O159 O161:O162 N162 N164:O167 N170:O170 N172:O172 N174:O174 N176:O176 N180:O182 N184:O184">
    <cfRule type="containsText" dxfId="9" priority="23116" operator="containsText" text="No">
      <formula>NOT(ISERROR(SEARCH(("No"),(O34))))</formula>
    </cfRule>
  </conditionalFormatting>
  <conditionalFormatting sqref="O34:O44 O46:O56 P50:Q51 O58:O83 O85:O91 O96:O99 O102:O109 O112:O113 O115:O118 O121:O133 O136:O139 N139 O142:O143 O146:O152 O154:O155 O159 O161:O162 N162 N164:O167 N170:O170 N172:O172 N174:O174 N176:O176 N180:O182 N184:O184">
    <cfRule type="containsText" dxfId="9" priority="23117" operator="containsText" text="No">
      <formula>NOT(ISERROR(SEARCH(("No"),(O34))))</formula>
    </cfRule>
  </conditionalFormatting>
  <conditionalFormatting sqref="O34:O44 O46:O56 P50:Q51 O58:O83 O85:O91 O96:O99 O102:O109 O112:O113 O115:O118 O121:O133 O136:O139 N139 O142:O143 O146:O152 O154:O155 O159 O161:O162 N162 N164:O167 N170:O170 N172:O172 N174:O174 N176:O176 N180:O182 N184:O184">
    <cfRule type="containsText" dxfId="9" priority="23118" operator="containsText" text="No">
      <formula>NOT(ISERROR(SEARCH(("No"),(O34))))</formula>
    </cfRule>
  </conditionalFormatting>
  <conditionalFormatting sqref="O34:O44 O46:O56 P50:Q51 O58:O83 O85:O91 O96:O99 O102:O109 O112:O113 O115:O118 O121:O133 O136:O139 N139 O142:O143 O146:O152 O154:O155 O159 O161:O162 N162 N164:O167 N170:O170 N172:O172 N174:O174 N176:O176 N180:O182 N184:O184">
    <cfRule type="containsText" dxfId="2" priority="23119" operator="containsText" text="Yes">
      <formula>NOT(ISERROR(SEARCH(("Yes"),(O34))))</formula>
    </cfRule>
  </conditionalFormatting>
  <conditionalFormatting sqref="O34:O44 O46:O56 P50:Q51 O58:O83 O85:O91 O96:O99 O102:O109 O112:O113 O115:O118 O121:O133 O136:O139 N139 O142:O143 O146:O152 O154:O155 O159 O161:O162 N162 N164:O167 N170:O170 N172:O172 N174:O174 N176:O176 N180:O182 N184:O184">
    <cfRule type="containsText" dxfId="2" priority="23120" operator="containsText" text="Yes">
      <formula>NOT(ISERROR(SEARCH(("Yes"),(O34))))</formula>
    </cfRule>
  </conditionalFormatting>
  <conditionalFormatting sqref="O34:O44 O46:O56 P50:Q51 O58:O83 O85:O91 O96:O99 O102:O109 O112:O113 O115:O118 O121:O133 O136:O139 N139 O142:O143 O146:O152 O154:O155 O159 O161:O162 N162 N164:O167 N170:O170 N172:O172 N174:O174 N176:O176 N180:O182 N184:O184">
    <cfRule type="containsText" dxfId="2" priority="23121" operator="containsText" text="Yes">
      <formula>NOT(ISERROR(SEARCH(("Yes"),(O34))))</formula>
    </cfRule>
  </conditionalFormatting>
  <conditionalFormatting sqref="O34:O44 O46:O56 P50:Q51 O58:O83 O85:O91 O96:O99 O102:O109 O112:O113 O115:O118 O121:O133 O136:O139 N139 O142:O143 O146:O152 O154:O155 O159 O161:O162 N162 N164:O167 N170:O170 N172:O172 N174:O174 N176:O176 N180:O182 N184:O184">
    <cfRule type="containsText" dxfId="2" priority="23122" operator="containsText" text="Yes">
      <formula>NOT(ISERROR(SEARCH(("Yes"),(O34))))</formula>
    </cfRule>
  </conditionalFormatting>
  <conditionalFormatting sqref="O34:O44 O46:O56 P50:Q51 O58:O83 O85:O91 O96:O99 O102:O109 O112:O113 O115:O118 O121:O133 O136:O139 N139 O142:O143 O146:O152 O154:O155 O159 O161:O162 N162 N164:O167 N170:O170 N172:O172 N174:O174 N176:O176 N180:O182 N184:O184">
    <cfRule type="containsText" dxfId="2" priority="23123" operator="containsText" text="Yes">
      <formula>NOT(ISERROR(SEARCH(("Yes"),(O34))))</formula>
    </cfRule>
  </conditionalFormatting>
  <conditionalFormatting sqref="O34:O44 O46:O56 P50:Q51 O58:O83 O85:O91 O96:O99 O102:O109 O112:O113 O115:O118 O121:O133 O136:O139 N139 O142:O143 O146:O152 O154:O155 O159 O161:O162 N162 N164:O167 N170:O170 N172:O172 N174:O174 N176:O176 N180:O182 N184:O184">
    <cfRule type="containsText" dxfId="9" priority="23124" operator="containsText" text="No">
      <formula>NOT(ISERROR(SEARCH(("No"),(O34))))</formula>
    </cfRule>
  </conditionalFormatting>
  <conditionalFormatting sqref="O34:O44 O46:O56 P50:Q51 O58:O83 O85:O91 O96:O99 O102:O109 O112:O113 O115:O118 O121:O133 O136:O139 N139 O142:O143 O146:O152 O154:O155 O159 O161:O162 N162 N164:O167 N170:O170 N172:O172 N174:O174 N176:O176 N180:O182 N184:O184">
    <cfRule type="containsText" dxfId="9" priority="23125" operator="containsText" text="No">
      <formula>NOT(ISERROR(SEARCH(("No"),(O34))))</formula>
    </cfRule>
  </conditionalFormatting>
  <conditionalFormatting sqref="O34:O44 O46:O56 P50:Q51 O58:O83 O85:O91 O96:O99 O102:O109 O112:O113 O115:O118 O121:O133 O136:O139 N139 O142:O143 O146:O152 O154:O155 O159 O161:O162 N162 N164:O167 N170:O170 N172:O172 N174:O174 N176:O176 N180:O182 N184:O184">
    <cfRule type="containsText" dxfId="2" priority="23126" operator="containsText" text="Yes">
      <formula>NOT(ISERROR(SEARCH(("Yes"),(O34))))</formula>
    </cfRule>
  </conditionalFormatting>
  <conditionalFormatting sqref="P33:P38 P54:P82 P85:P91 P96:P99 P104:P109 P112:P113 P115:P118 P121:P133 P136:P139 P142:P143 P146:P152 Q150 P154 P159 P161:P162 P164 P166:P167 P172 P174 P176 P180:P182 P184">
    <cfRule type="containsText" dxfId="9" priority="23127"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28"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29"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30"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31"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32"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33"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34"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35"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36"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37"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38"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39"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40"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41"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42"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43"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44"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45"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46"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47"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48"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49"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50"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51"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52"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53"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54"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55"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56"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57"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58"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59"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60"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61"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62"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63"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64"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65"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66"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67"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68"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69"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70"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9" priority="23171" operator="containsText" text="No">
      <formula>NOT(ISERROR(SEARCH(("No"),(P33))))</formula>
    </cfRule>
  </conditionalFormatting>
  <conditionalFormatting sqref="P33:P38 P54:P82 P85:P91 P96:P99 P104:P109 P112:P113 P115:P118 P121:P133 P136:P139 P142:P143 P146:P152 Q150 P154 P159 P161:P162 P164 P166:P167 P172 P174 P176 P180:P182 P184">
    <cfRule type="containsText" dxfId="2" priority="23172"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73"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74"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75"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76"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77"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78"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79"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80"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81"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82"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83"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84"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85"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86"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87"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88"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89"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90"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91"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92"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93"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94"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95"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96"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97"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98"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199"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00"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01"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02"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03"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04"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05"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06"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07"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08"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09"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10"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11"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12"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13"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14"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15"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16"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17" operator="containsText" text="Yes">
      <formula>NOT(ISERROR(SEARCH(("Yes"),(P33))))</formula>
    </cfRule>
  </conditionalFormatting>
  <conditionalFormatting sqref="P33:P38 P54:P82 P85:P91 P96:P99 P104:P109 P112:P113 P115:P118 P121:P133 P136:P139 P142:P143 P146:P152 Q150 P154 P159 P161:P162 P164 P166:P167 P172 P174 P176 P180:P182 P184">
    <cfRule type="containsText" dxfId="2" priority="23218" operator="containsText" text="Yes">
      <formula>NOT(ISERROR(SEARCH(("Yes"),(P33))))</formula>
    </cfRule>
  </conditionalFormatting>
  <conditionalFormatting sqref="Q33:Q38 Q54:Q82 Q85:Q91 Q96:Q99 Q104:Q109 Q112:Q113 Q115:Q118 Q121:Q133 Q136:Q139 Q142:Q143 Q146:Q149 Q151:Q152 Q154 Q159 Q161:Q162 Q164 Q166:Q167 Q172 Q174 Q176 Q180:Q182 Q184">
    <cfRule type="containsText" dxfId="9" priority="23219"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20"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21"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22"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23"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24"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25"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26"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27"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28"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29"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30"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31"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32"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33"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34"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35"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36"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37"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38"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39"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40"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41"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42"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43"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44"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45"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46"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47"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48"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49"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50"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51"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52"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53"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54"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55"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56"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57"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58"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59"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60"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61"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62"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9" priority="23263" operator="containsText" text="No">
      <formula>NOT(ISERROR(SEARCH(("No"),(Q33))))</formula>
    </cfRule>
  </conditionalFormatting>
  <conditionalFormatting sqref="Q33:Q38 Q54:Q82 Q85:Q91 Q96:Q99 Q104:Q109 Q112:Q113 Q115:Q118 Q121:Q133 Q136:Q139 Q142:Q143 Q146:Q149 Q151:Q152 Q154 Q159 Q161:Q162 Q164 Q166:Q167 Q172 Q174 Q176 Q180:Q182 Q184">
    <cfRule type="containsText" dxfId="2" priority="23264"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65"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66"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67"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68"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69"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70"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71"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72"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73"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74"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75"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76"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77"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78"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79"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80"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81"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82"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83"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84"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85"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86"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87"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88"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89"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90"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91"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92"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93"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94"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95"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96"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97"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98"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299"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300"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301"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302"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303"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304"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305"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306"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307"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308"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309" operator="containsText" text="Yes">
      <formula>NOT(ISERROR(SEARCH(("Yes"),(Q33))))</formula>
    </cfRule>
  </conditionalFormatting>
  <conditionalFormatting sqref="Q33:Q38 Q54:Q82 Q85:Q91 Q96:Q99 Q104:Q109 Q112:Q113 Q115:Q118 Q121:Q133 Q136:Q139 Q142:Q143 Q146:Q149 Q151:Q152 Q154 Q159 Q161:Q162 Q164 Q166:Q167 Q172 Q174 Q176 Q180:Q182 Q184">
    <cfRule type="containsText" dxfId="2" priority="23310" operator="containsText" text="Yes">
      <formula>NOT(ISERROR(SEARCH(("Yes"),(Q33))))</formula>
    </cfRule>
  </conditionalFormatting>
  <conditionalFormatting sqref="N33:N43 N46:N51 N53:N82 N85:N87 N89:N91 N96:N99 N104:N109 N112:N113 N115:N118 N121:N133 N136:N139 N142:N143 N146:N152 N154 N159 N161">
    <cfRule type="containsText" dxfId="9" priority="23311"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12"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13"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14"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15"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16"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17"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18"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19"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20"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21"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22"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23"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24"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25"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26"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27"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28"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29"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30"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31"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32"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33"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34"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35"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36"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37"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38"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39"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40"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41"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42"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43"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44"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45"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46"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47"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48"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49"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50"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51"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52"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53"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54" operator="containsText" text="No">
      <formula>NOT(ISERROR(SEARCH(("No"),(N33))))</formula>
    </cfRule>
  </conditionalFormatting>
  <conditionalFormatting sqref="N33:N43 N46:N51 N53:N82 N85:N87 N89:N91 N96:N99 N104:N109 N112:N113 N115:N118 N121:N133 N136:N139 N142:N143 N146:N152 N154 N159 N161">
    <cfRule type="containsText" dxfId="9" priority="23355" operator="containsText" text="No">
      <formula>NOT(ISERROR(SEARCH(("No"),(N33))))</formula>
    </cfRule>
  </conditionalFormatting>
  <conditionalFormatting sqref="N33:N43 N46:N51 N53:N82 N85:N87 N89:N91 N96:N99 N104:N109 N112:N113 N115:N118 N121:N133 N136:N139 N142:N143 N146:N152 N154 N159 N161">
    <cfRule type="containsText" dxfId="2" priority="23356"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57"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58"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59"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60"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61"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62"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63"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64"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65"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66"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67"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68"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69"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70"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71"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72"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73"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74"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75"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76"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77"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78"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79"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80"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81"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82"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83"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84"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85"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86"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87"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88"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89"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90"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91"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92"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93"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94"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95"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96"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97"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98"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399"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400"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401" operator="containsText" text="Yes">
      <formula>NOT(ISERROR(SEARCH(("Yes"),(N33))))</formula>
    </cfRule>
  </conditionalFormatting>
  <conditionalFormatting sqref="N33:N43 N46:N51 N53:N82 N85:N87 N89:N91 N96:N99 N104:N109 N112:N113 N115:N118 N121:N133 N136:N139 N142:N143 N146:N152 N154 N159 N161">
    <cfRule type="containsText" dxfId="2" priority="23402" operator="containsText" text="Yes">
      <formula>NOT(ISERROR(SEARCH(("Yes"),(N33))))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03"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04"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05"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06"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07"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08"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09"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10"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11"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12"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13"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14"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15"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16"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17"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18"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19"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20"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21"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22"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23"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24"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25"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26"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27"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28"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29"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30"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31"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32"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33"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34"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35"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36"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37"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38"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39"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40"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41"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42"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43"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44"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45"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46"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9" priority="23447" operator="containsText" text="No">
      <formula>NOT(ISERROR(SEARCH(("No"),(O33))))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48"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49"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50"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51"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52"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53"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54"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55"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56"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57"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58"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59"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60"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61"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62"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63"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64"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65"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66"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67"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68"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69"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70"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71"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72"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73"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74"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75"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76"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77"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78"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79"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80"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81"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82"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83"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84"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85"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86"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87"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88"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89"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90"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91"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92"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93" operator="containsText" text="Yes">
      <formula>NOT(ISERROR(SEARCH(("Yes"),(O33))))</formula>
    </cfRule>
  </conditionalFormatting>
  <conditionalFormatting sqref="O33:O43 O46:O49 P50:Q51 O53:O82 O85:O91 O96:O99 O104:O109 O112:O113 O115:O118 O121:O133 O136:O139 N139 O142:O143 O146:O152 O154:O155 O159 O161:O162 N162 N164:O167 N170:O170 N172:O172 N174:O174 N176:O176 N180:O182 N184:O184">
    <cfRule type="containsText" dxfId="2" priority="23494" operator="containsText" text="Yes">
      <formula>NOT(ISERROR(SEARCH(("Yes"),(O33))))</formula>
    </cfRule>
  </conditionalFormatting>
  <conditionalFormatting sqref="P35:P56 Q50:Q51 P58:P83 P85:P91 P96:P99 P102:P109 P112:P113 P115:P118 P121:P126 P128:P133 P136:P139 P142:P143 P146:P152 Q150 P154 P159 P161:P162 P164 P166:P167 P172 P174 P176 P180:P182 P184">
    <cfRule type="containsText" dxfId="9" priority="23495"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496"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497"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498"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499"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00"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01"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02"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03"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04"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05"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06"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07"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08"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09"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10"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11"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12"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13"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14"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15"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16"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17"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18"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19"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20"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21"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22"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23"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24"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25"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26"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27"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28"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29"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30"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31"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32"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33"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34"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35"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36"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37"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38"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9" priority="23539" operator="containsText" text="No">
      <formula>NOT(ISERROR(SEARCH(("No"),(P35))))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40"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41"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42"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43"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44"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45"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46"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47"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48"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49"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50"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51"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52"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53"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54"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55"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56"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57"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58"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59"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60"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61"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62"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63"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64"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65"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66"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67"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68"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69"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70"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71"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72"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73"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74"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75"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76"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77"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78"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79"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80"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81"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82"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83"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84"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85" operator="containsText" text="Yes">
      <formula>NOT(ISERROR(SEARCH(("Yes"),(P35))))</formula>
    </cfRule>
  </conditionalFormatting>
  <conditionalFormatting sqref="P35:P56 Q50:Q51 P58:P83 P85:P91 P96:P99 P102:P109 P112:P113 P115:P118 P121:P126 P128:P133 P136:P139 P142:P143 P146:P152 Q150 P154 P159 P161:P162 P164 P166:P167 P172 P174 P176 P180:P182 P184">
    <cfRule type="containsText" dxfId="2" priority="23586" operator="containsText" text="Yes">
      <formula>NOT(ISERROR(SEARCH(("Yes"),(P35))))</formula>
    </cfRule>
  </conditionalFormatting>
  <conditionalFormatting sqref="Q35:Q56 Q58:Q83 Q85:Q91 Q96:Q99 Q102:Q109 Q112:Q113 Q115:Q118 Q121:Q126 Q128:Q133 Q136:Q139 Q142:Q143 Q146:Q149 Q151:Q152 Q154 Q159 Q161:Q162 Q164 Q166:Q167 Q172 Q174 Q176 Q180:Q182 Q184">
    <cfRule type="containsText" dxfId="9" priority="23587"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588"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589"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590"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591"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592"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593"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594"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595"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596"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597"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598"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599"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00"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01"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02"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03"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04"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05"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06"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07"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08"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09"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10"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11"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12"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13"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14"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15"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16"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17"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18"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19"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20"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21"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22"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23"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24"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25"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26"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27"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28"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29"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30"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9" priority="23631" operator="containsText" text="No">
      <formula>NOT(ISERROR(SEARCH(("No"),(Q35))))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32"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33"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34"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35"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36"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37"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38"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39"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40"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41"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42"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43"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44"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45"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46"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47"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48"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49"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50"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51"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52"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53"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54"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55"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56"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57"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58"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59"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60"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61"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62"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63"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64"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65"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66"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67"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68"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69"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70"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71"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72"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73"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74"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75"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76"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77" operator="containsText" text="Yes">
      <formula>NOT(ISERROR(SEARCH(("Yes"),(Q35))))</formula>
    </cfRule>
  </conditionalFormatting>
  <conditionalFormatting sqref="Q35:Q56 Q58:Q83 Q85:Q91 Q96:Q99 Q102:Q109 Q112:Q113 Q115:Q118 Q121:Q126 Q128:Q133 Q136:Q139 Q142:Q143 Q146:Q149 Q151:Q152 Q154 Q159 Q161:Q162 Q164 Q166:Q167 Q172 Q174 Q176 Q180:Q182 Q184">
    <cfRule type="containsText" dxfId="2" priority="23678" operator="containsText" text="Yes">
      <formula>NOT(ISERROR(SEARCH(("Yes"),(Q35))))</formula>
    </cfRule>
  </conditionalFormatting>
  <conditionalFormatting sqref="N35:N43 N46:N56 N58:N83 N85:N87 N89:N91 N96:N99 N102:N109 N112:N113 N115:N118 N121:N126 N128:N133 N136:N139 N142:N143 N146:N152 N154 N159 N161">
    <cfRule type="containsText" dxfId="9" priority="23679"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80"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81"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82"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83"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84"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85"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86"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87"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88"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89"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90"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91"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92"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93"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94"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95"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96"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97"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98"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699"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00"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01"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02"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03"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04"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05"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06"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07"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08"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09"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10"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11"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12"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13"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14"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15"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16"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17"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18"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19"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20"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21"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22" operator="containsText" text="No">
      <formula>NOT(ISERROR(SEARCH(("No"),(N35))))</formula>
    </cfRule>
  </conditionalFormatting>
  <conditionalFormatting sqref="N35:N43 N46:N56 N58:N83 N85:N87 N89:N91 N96:N99 N102:N109 N112:N113 N115:N118 N121:N126 N128:N133 N136:N139 N142:N143 N146:N152 N154 N159 N161">
    <cfRule type="containsText" dxfId="9" priority="23723" operator="containsText" text="No">
      <formula>NOT(ISERROR(SEARCH(("No"),(N35))))</formula>
    </cfRule>
  </conditionalFormatting>
  <conditionalFormatting sqref="N35:N43 N46:N56 N58:N83 N85:N87 N89:N91 N96:N99 N102:N109 N112:N113 N115:N118 N121:N126 N128:N133 N136:N139 N142:N143 N146:N152 N154 N159 N161">
    <cfRule type="containsText" dxfId="2" priority="23724"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25"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26"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27"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28"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29"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30"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31"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32"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33"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34"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35"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36"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37"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38"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39"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40"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41"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42"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43"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44"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45"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46"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47"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48"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49"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50"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51"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52"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53"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54"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55"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56"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57"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58"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59"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60"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61"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62"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63"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64"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65"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66"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67"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68"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69" operator="containsText" text="Yes">
      <formula>NOT(ISERROR(SEARCH(("Yes"),(N35))))</formula>
    </cfRule>
  </conditionalFormatting>
  <conditionalFormatting sqref="N35:N43 N46:N56 N58:N83 N85:N87 N89:N91 N96:N99 N102:N109 N112:N113 N115:N118 N121:N126 N128:N133 N136:N139 N142:N143 N146:N152 N154 N159 N161">
    <cfRule type="containsText" dxfId="2" priority="23770" operator="containsText" text="Yes">
      <formula>NOT(ISERROR(SEARCH(("Yes"),(N35))))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71"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72"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73"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74"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75"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76"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77"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78"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79"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80"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81"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82"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83"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84"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85"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86"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87"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88"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89"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90"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91"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92"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93"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94"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95"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96"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97"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98"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799"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00"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01"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02"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03"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04"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05"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06"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07"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08"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09"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10"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11"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12"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13"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14"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9" priority="23815" operator="containsText" text="No">
      <formula>NOT(ISERROR(SEARCH(("No"),(O35))))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16"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17"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18"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19"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20"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21"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22"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23"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24"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25"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26"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27"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28"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29"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30"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31"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32"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33"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34"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35"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36"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37"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38"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39"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40"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41"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42"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43"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44"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45"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46"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47"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48"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49"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50"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51"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52"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53"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54"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55"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56"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57"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58"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59"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60"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61" operator="containsText" text="Yes">
      <formula>NOT(ISERROR(SEARCH(("Yes"),(O35))))</formula>
    </cfRule>
  </conditionalFormatting>
  <conditionalFormatting sqref="O35:O43 O46:O56 P50:Q51 O58:O83 O85:O91 O96:O99 O102:O109 O112:O113 O115:O118 O121:O133 O136:O139 N139 O142:O143 O146:O152 O154:O155 O159 O161:O162 N162 N164:O167 N170:O170 N172:O172 N174:O174 N176:O176 N180:O182 N184:O184">
    <cfRule type="containsText" dxfId="2" priority="23862" operator="containsText" text="Yes">
      <formula>NOT(ISERROR(SEARCH(("Yes"),(O35))))</formula>
    </cfRule>
  </conditionalFormatting>
  <conditionalFormatting sqref="P41:Q53 P55:Q56 P58:Q66 P68:Q82 P85:Q91 P96:Q99 P104:Q109 P112:Q113 P115:Q118 P121:Q126 P128:Q133 P136:Q139 P142:Q143 P146:Q152 P154:Q154 P159:Q159 P161:Q162 P164:Q164 P166:Q167 P172:Q172 P174:Q174 P176:Q176 P180:Q182 P184:Q184">
    <cfRule type="containsText" dxfId="9" priority="23863" operator="containsText" text="No">
      <formula>NOT(ISERROR(SEARCH(("No"),(P41))))</formula>
    </cfRule>
  </conditionalFormatting>
  <conditionalFormatting sqref="P41:Q53 P55:Q56 P58:Q66 P68:Q82 P85:Q91 P96:Q99 P104:Q109 P112:Q113 P115:Q118 P121:Q126 P128:Q133 P136:Q139 P142:Q143 P146:Q152 P154:Q154 P159:Q159 P161:Q162 P164:Q164 P166:Q167 P172:Q172 P174:Q174 P176:Q176 P180:Q182 P184:Q184">
    <cfRule type="containsText" dxfId="9" priority="23864" operator="containsText" text="No">
      <formula>NOT(ISERROR(SEARCH(("No"),(P41))))</formula>
    </cfRule>
  </conditionalFormatting>
  <conditionalFormatting sqref="P41:Q53 P55:Q56 P58:Q66 P68:Q82 P85:Q91 P96:Q99 P104:Q109 P112:Q113 P115:Q118 P121:Q126 P128:Q133 P136:Q139 P142:Q143 P146:Q152 P154:Q154 P159:Q159 P161:Q162 P164:Q164 P166:Q167 P172:Q172 P174:Q174 P176:Q176 P180:Q182 P184:Q184">
    <cfRule type="containsText" dxfId="9" priority="23865" operator="containsText" text="No">
      <formula>NOT(ISERROR(SEARCH(("No"),(P41))))</formula>
    </cfRule>
  </conditionalFormatting>
  <conditionalFormatting sqref="P41:Q53 P55:Q56 P58:Q66 P68:Q82 P85:Q91 P96:Q99 P104:Q109 P112:Q113 P115:Q118 P121:Q126 P128:Q133 P136:Q139 P142:Q143 P146:Q152 P154:Q154 P159:Q159 P161:Q162 P164:Q164 P166:Q167 P172:Q172 P174:Q174 P176:Q176 P180:Q182 P184:Q184">
    <cfRule type="containsText" dxfId="2" priority="23866" operator="containsText" text="Yes">
      <formula>NOT(ISERROR(SEARCH(("Yes"),(P41))))</formula>
    </cfRule>
  </conditionalFormatting>
  <conditionalFormatting sqref="P41:Q53 P55:Q56 P58:Q66 P68:Q82 P85:Q91 P96:Q99 P104:Q109 P112:Q113 P115:Q118 P121:Q126 P128:Q133 P136:Q139 P142:Q143 P146:Q152 P154:Q154 P159:Q159 P161:Q162 P164:Q164 P166:Q167 P172:Q172 P174:Q174 P176:Q176 P180:Q182 P184:Q184">
    <cfRule type="containsText" dxfId="2" priority="23867" operator="containsText" text="Yes">
      <formula>NOT(ISERROR(SEARCH(("Yes"),(P41))))</formula>
    </cfRule>
  </conditionalFormatting>
  <conditionalFormatting sqref="P41:Q53 P55:Q56 P58:Q66 P68:Q82 P85:Q91 P96:Q99 P104:Q109 P112:Q113 P115:Q118 P121:Q126 P128:Q133 P136:Q139 P142:Q143 P146:Q152 P154:Q154 P159:Q159 P161:Q162 P164:Q164 P166:Q167 P172:Q172 P174:Q174 P176:Q176 P180:Q182 P184:Q184">
    <cfRule type="containsText" dxfId="2" priority="23868" operator="containsText" text="Yes">
      <formula>NOT(ISERROR(SEARCH(("Yes"),(P41))))</formula>
    </cfRule>
  </conditionalFormatting>
  <conditionalFormatting sqref="P41:Q53 P55:Q56 P58:Q66 P68:Q82 P85:Q91 P96:Q99 P104:Q109 P112:Q113 P115:Q118 P121:Q126 P128:Q133 P136:Q139 P142:Q143 P146:Q152 P154:Q154 P159:Q159 P161:Q162 P164:Q164 P166:Q167 P172:Q172 P174:Q174 P176:Q176 P180:Q182 P184:Q184">
    <cfRule type="containsText" dxfId="2" priority="23869" operator="containsText" text="Yes">
      <formula>NOT(ISERROR(SEARCH(("Yes"),(P41))))</formula>
    </cfRule>
  </conditionalFormatting>
  <conditionalFormatting sqref="P41:Q53 P55:Q56 P58:Q66 P68:Q82 P85:Q91 P96:Q99 P104:Q109 P112:Q113 P115:Q118 P121:Q126 P128:Q133 P136:Q139 P142:Q143 P146:Q152 P154:Q154 P159:Q159 P161:Q162 P164:Q164 P166:Q167 P172:Q172 P174:Q174 P176:Q176 P180:Q182 P184:Q184">
    <cfRule type="containsText" dxfId="2" priority="23870" operator="containsText" text="Yes">
      <formula>NOT(ISERROR(SEARCH(("Yes"),(P41))))</formula>
    </cfRule>
  </conditionalFormatting>
  <conditionalFormatting sqref="P41:Q53 P55:Q56 P58:Q66 P68:Q82 P85:Q91 P96:Q99 P104:Q109 P112:Q113 P115:Q118 P121:Q126 P128:Q133 P136:Q139 P142:Q143 P146:Q152 P154:Q154 P159:Q159 P161:Q162 P164:Q164 P166:Q167 P172:Q172 P174:Q174 P176:Q176 P180:Q182 P184:Q184">
    <cfRule type="containsText" dxfId="9" priority="23871" operator="containsText" text="No">
      <formula>NOT(ISERROR(SEARCH(("No"),(P41))))</formula>
    </cfRule>
  </conditionalFormatting>
  <conditionalFormatting sqref="P41:Q53 P55:Q56 P58:Q66 P68:Q82 P85:Q91 P96:Q99 P104:Q109 P112:Q113 P115:Q118 P121:Q126 P128:Q133 P136:Q139 P142:Q143 P146:Q152 P154:Q154 P159:Q159 P161:Q162 P164:Q164 P166:Q167 P172:Q172 P174:Q174 P176:Q176 P180:Q182 P184:Q184">
    <cfRule type="containsText" dxfId="2" priority="23872" operator="containsText" text="Yes">
      <formula>NOT(ISERROR(SEARCH(("Yes"),(P41))))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73"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74"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75"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76"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77"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78"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79"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80"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81"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82"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83"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84"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85"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86"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87"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88"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89"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90"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91"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92"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93"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94"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95"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96"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97"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98"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899"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00"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01"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02"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03"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04"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05"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06"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07"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08"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09"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10"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11"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12"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13"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14"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15"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16"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9" priority="23917" operator="containsText" text="No">
      <formula>NOT(ISERROR(SEARCH(("No"),(O41))))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18"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19"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20"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21"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22"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23"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24"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25"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26"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27"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28"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29"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30"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31"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32"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33"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34"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35"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36"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37"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38"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39"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40"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41"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42"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43"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44"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45"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46"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47"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48"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49"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50"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51"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52"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53"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54"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55"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56"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57"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58"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59"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60"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61"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62"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63" operator="containsText" text="Yes">
      <formula>NOT(ISERROR(SEARCH(("Yes"),(O41))))</formula>
    </cfRule>
  </conditionalFormatting>
  <conditionalFormatting sqref="O41:O53 O55:O56 O58:O66 O68:O82 O85:O91 O96:O99 O104:O109 O112:O113 O115:O118 O121:O133 O136:O139 N139 O142:O143 O146:O152 O154:O155 O159 O161:O162 N162 N164:O167 N170:O170 N172:O172 N174:O174 N176:O176 N180:O182 N184:O184">
    <cfRule type="containsText" dxfId="2" priority="23964" operator="containsText" text="Yes">
      <formula>NOT(ISERROR(SEARCH(("Yes"),(O41))))</formula>
    </cfRule>
  </conditionalFormatting>
  <conditionalFormatting sqref="P42:P56 P58:P82 P85:P91 P96:P99 P104:P109 P112:P113 P115:P118 P121:P126 P128:P133 P136:P139 P142:P143 P146:P152 Q150 P154 P159 P161:P162 P164 P166:P167 P172 P174 P176 P180:P182 P184">
    <cfRule type="containsText" dxfId="9" priority="23965"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66"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67"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68"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69"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70"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71"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72"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73"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74"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75"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76"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77"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78"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79"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80"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81"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82"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83"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84"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85"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86"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87"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88"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89"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90"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91"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92"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93"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94"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95"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96"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97"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98"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3999"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4000"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4001"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4002"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4003"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4004"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4005"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4006"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4007"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4008"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9" priority="24009" operator="containsText" text="No">
      <formula>NOT(ISERROR(SEARCH(("No"),(P42))))</formula>
    </cfRule>
  </conditionalFormatting>
  <conditionalFormatting sqref="P42:P56 P58:P82 P85:P91 P96:P99 P104:P109 P112:P113 P115:P118 P121:P126 P128:P133 P136:P139 P142:P143 P146:P152 Q150 P154 P159 P161:P162 P164 P166:P167 P172 P174 P176 P180:P182 P184">
    <cfRule type="containsText" dxfId="2" priority="24010"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11"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12"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13"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14"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15"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16"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17"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18"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19"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20"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21"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22"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23"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24"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25"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26"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27"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28"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29"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30"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31"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32"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33"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34"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35"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36"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37"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38"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39"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40"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41"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42"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43"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44"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45"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46"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47"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48"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49"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50"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51"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52"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53"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54"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55" operator="containsText" text="Yes">
      <formula>NOT(ISERROR(SEARCH(("Yes"),(P42))))</formula>
    </cfRule>
  </conditionalFormatting>
  <conditionalFormatting sqref="P42:P56 P58:P82 P85:P91 P96:P99 P104:P109 P112:P113 P115:P118 P121:P126 P128:P133 P136:P139 P142:P143 P146:P152 Q150 P154 P159 P161:P162 P164 P166:P167 P172 P174 P176 P180:P182 P184">
    <cfRule type="containsText" dxfId="2" priority="24056" operator="containsText" text="Yes">
      <formula>NOT(ISERROR(SEARCH(("Yes"),(P42))))</formula>
    </cfRule>
  </conditionalFormatting>
  <conditionalFormatting sqref="Q42:Q56 Q58:Q82 Q85:Q91 Q96:Q99 Q104:Q109 Q112:Q113 Q115:Q118 Q121:Q126 Q128:Q133 Q136:Q139 Q142:Q143 Q146:Q149 Q151:Q152 Q154 Q159 Q161:Q162 Q164 Q166:Q167 Q172 Q174 Q176 Q180:Q182 Q184">
    <cfRule type="containsText" dxfId="9" priority="24057"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58"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59"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60"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61"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62"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63"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64"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65"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66"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67"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68"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69"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70"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71"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72"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73"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74"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75"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76"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77"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78"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79"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80"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81"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82"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83"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84"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85"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86"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87"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88"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89"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90"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91"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92"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93"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94"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95"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96"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97"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98"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099"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100"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9" priority="24101" operator="containsText" text="No">
      <formula>NOT(ISERROR(SEARCH(("No"),(Q42))))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02"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03"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04"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05"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06"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07"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08"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09"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10"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11"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12"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13"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14"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15"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16"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17"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18"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19"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20"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21"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22"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23"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24"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25"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26"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27"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28"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29"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30"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31"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32"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33"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34"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35"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36"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37"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38"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39"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40"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41"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42"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43"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44"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45"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46"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47" operator="containsText" text="Yes">
      <formula>NOT(ISERROR(SEARCH(("Yes"),(Q42))))</formula>
    </cfRule>
  </conditionalFormatting>
  <conditionalFormatting sqref="Q42:Q56 Q58:Q82 Q85:Q91 Q96:Q99 Q104:Q109 Q112:Q113 Q115:Q118 Q121:Q126 Q128:Q133 Q136:Q139 Q142:Q143 Q146:Q149 Q151:Q152 Q154 Q159 Q161:Q162 Q164 Q166:Q167 Q172 Q174 Q176 Q180:Q182 Q184">
    <cfRule type="containsText" dxfId="2" priority="24148" operator="containsText" text="Yes">
      <formula>NOT(ISERROR(SEARCH(("Yes"),(Q42))))</formula>
    </cfRule>
  </conditionalFormatting>
  <conditionalFormatting sqref="P45:P46">
    <cfRule type="containsText" dxfId="9" priority="24149" operator="containsText" text="No">
      <formula>NOT(ISERROR(SEARCH(("No"),(P45))))</formula>
    </cfRule>
  </conditionalFormatting>
  <conditionalFormatting sqref="P45:P46">
    <cfRule type="containsText" dxfId="9" priority="24150" operator="containsText" text="No">
      <formula>NOT(ISERROR(SEARCH(("No"),(P45))))</formula>
    </cfRule>
  </conditionalFormatting>
  <conditionalFormatting sqref="P45:P46">
    <cfRule type="containsText" dxfId="9" priority="24151" operator="containsText" text="No">
      <formula>NOT(ISERROR(SEARCH(("No"),(P45))))</formula>
    </cfRule>
  </conditionalFormatting>
  <conditionalFormatting sqref="P45:P46">
    <cfRule type="containsText" dxfId="9" priority="24152" operator="containsText" text="No">
      <formula>NOT(ISERROR(SEARCH(("No"),(P45))))</formula>
    </cfRule>
  </conditionalFormatting>
  <conditionalFormatting sqref="P45:P46">
    <cfRule type="containsText" dxfId="9" priority="24153" operator="containsText" text="No">
      <formula>NOT(ISERROR(SEARCH(("No"),(P45))))</formula>
    </cfRule>
  </conditionalFormatting>
  <conditionalFormatting sqref="P45:P46">
    <cfRule type="containsText" dxfId="9" priority="24154" operator="containsText" text="No">
      <formula>NOT(ISERROR(SEARCH(("No"),(P45))))</formula>
    </cfRule>
  </conditionalFormatting>
  <conditionalFormatting sqref="P45:P46">
    <cfRule type="containsText" dxfId="9" priority="24155" operator="containsText" text="No">
      <formula>NOT(ISERROR(SEARCH(("No"),(P45))))</formula>
    </cfRule>
  </conditionalFormatting>
  <conditionalFormatting sqref="P45:P46">
    <cfRule type="containsText" dxfId="9" priority="24156" operator="containsText" text="No">
      <formula>NOT(ISERROR(SEARCH(("No"),(P45))))</formula>
    </cfRule>
  </conditionalFormatting>
  <conditionalFormatting sqref="P45:P46">
    <cfRule type="containsText" dxfId="9" priority="24157" operator="containsText" text="No">
      <formula>NOT(ISERROR(SEARCH(("No"),(P45))))</formula>
    </cfRule>
  </conditionalFormatting>
  <conditionalFormatting sqref="P45:P46">
    <cfRule type="containsText" dxfId="9" priority="24158" operator="containsText" text="No">
      <formula>NOT(ISERROR(SEARCH(("No"),(P45))))</formula>
    </cfRule>
  </conditionalFormatting>
  <conditionalFormatting sqref="P45:P46">
    <cfRule type="containsText" dxfId="9" priority="24159" operator="containsText" text="No">
      <formula>NOT(ISERROR(SEARCH(("No"),(P45))))</formula>
    </cfRule>
  </conditionalFormatting>
  <conditionalFormatting sqref="P45:P46">
    <cfRule type="containsText" dxfId="9" priority="24160" operator="containsText" text="No">
      <formula>NOT(ISERROR(SEARCH(("No"),(P45))))</formula>
    </cfRule>
  </conditionalFormatting>
  <conditionalFormatting sqref="P45:P46">
    <cfRule type="containsText" dxfId="9" priority="24161" operator="containsText" text="No">
      <formula>NOT(ISERROR(SEARCH(("No"),(P45))))</formula>
    </cfRule>
  </conditionalFormatting>
  <conditionalFormatting sqref="P45:P46">
    <cfRule type="containsText" dxfId="9" priority="24162" operator="containsText" text="No">
      <formula>NOT(ISERROR(SEARCH(("No"),(P45))))</formula>
    </cfRule>
  </conditionalFormatting>
  <conditionalFormatting sqref="P45:P46">
    <cfRule type="containsText" dxfId="9" priority="24163" operator="containsText" text="No">
      <formula>NOT(ISERROR(SEARCH(("No"),(P45))))</formula>
    </cfRule>
  </conditionalFormatting>
  <conditionalFormatting sqref="P45:P46">
    <cfRule type="containsText" dxfId="9" priority="24164" operator="containsText" text="No">
      <formula>NOT(ISERROR(SEARCH(("No"),(P45))))</formula>
    </cfRule>
  </conditionalFormatting>
  <conditionalFormatting sqref="P45:P46">
    <cfRule type="containsText" dxfId="9" priority="24165" operator="containsText" text="No">
      <formula>NOT(ISERROR(SEARCH(("No"),(P45))))</formula>
    </cfRule>
  </conditionalFormatting>
  <conditionalFormatting sqref="P45:P46">
    <cfRule type="containsText" dxfId="9" priority="24166" operator="containsText" text="No">
      <formula>NOT(ISERROR(SEARCH(("No"),(P45))))</formula>
    </cfRule>
  </conditionalFormatting>
  <conditionalFormatting sqref="P45:P46">
    <cfRule type="containsText" dxfId="9" priority="24167" operator="containsText" text="No">
      <formula>NOT(ISERROR(SEARCH(("No"),(P45))))</formula>
    </cfRule>
  </conditionalFormatting>
  <conditionalFormatting sqref="P45:P46">
    <cfRule type="containsText" dxfId="9" priority="24168" operator="containsText" text="No">
      <formula>NOT(ISERROR(SEARCH(("No"),(P45))))</formula>
    </cfRule>
  </conditionalFormatting>
  <conditionalFormatting sqref="P45:P46">
    <cfRule type="containsText" dxfId="9" priority="24169" operator="containsText" text="No">
      <formula>NOT(ISERROR(SEARCH(("No"),(P45))))</formula>
    </cfRule>
  </conditionalFormatting>
  <conditionalFormatting sqref="P45:P46">
    <cfRule type="containsText" dxfId="9" priority="24170" operator="containsText" text="No">
      <formula>NOT(ISERROR(SEARCH(("No"),(P45))))</formula>
    </cfRule>
  </conditionalFormatting>
  <conditionalFormatting sqref="P45:P46">
    <cfRule type="containsText" dxfId="9" priority="24171" operator="containsText" text="No">
      <formula>NOT(ISERROR(SEARCH(("No"),(P45))))</formula>
    </cfRule>
  </conditionalFormatting>
  <conditionalFormatting sqref="P45:P46">
    <cfRule type="containsText" dxfId="9" priority="24172" operator="containsText" text="No">
      <formula>NOT(ISERROR(SEARCH(("No"),(P45))))</formula>
    </cfRule>
  </conditionalFormatting>
  <conditionalFormatting sqref="P45:P46">
    <cfRule type="containsText" dxfId="9" priority="24173" operator="containsText" text="No">
      <formula>NOT(ISERROR(SEARCH(("No"),(P45))))</formula>
    </cfRule>
  </conditionalFormatting>
  <conditionalFormatting sqref="P45:P46">
    <cfRule type="containsText" dxfId="9" priority="24174" operator="containsText" text="No">
      <formula>NOT(ISERROR(SEARCH(("No"),(P45))))</formula>
    </cfRule>
  </conditionalFormatting>
  <conditionalFormatting sqref="P45:P46">
    <cfRule type="containsText" dxfId="9" priority="24175" operator="containsText" text="No">
      <formula>NOT(ISERROR(SEARCH(("No"),(P45))))</formula>
    </cfRule>
  </conditionalFormatting>
  <conditionalFormatting sqref="P45:P46">
    <cfRule type="containsText" dxfId="9" priority="24176" operator="containsText" text="No">
      <formula>NOT(ISERROR(SEARCH(("No"),(P45))))</formula>
    </cfRule>
  </conditionalFormatting>
  <conditionalFormatting sqref="P45:P46">
    <cfRule type="containsText" dxfId="9" priority="24177" operator="containsText" text="No">
      <formula>NOT(ISERROR(SEARCH(("No"),(P45))))</formula>
    </cfRule>
  </conditionalFormatting>
  <conditionalFormatting sqref="P45:P46">
    <cfRule type="containsText" dxfId="9" priority="24178" operator="containsText" text="No">
      <formula>NOT(ISERROR(SEARCH(("No"),(P45))))</formula>
    </cfRule>
  </conditionalFormatting>
  <conditionalFormatting sqref="P45:P46">
    <cfRule type="containsText" dxfId="9" priority="24179" operator="containsText" text="No">
      <formula>NOT(ISERROR(SEARCH(("No"),(P45))))</formula>
    </cfRule>
  </conditionalFormatting>
  <conditionalFormatting sqref="P45:P46">
    <cfRule type="containsText" dxfId="9" priority="24180" operator="containsText" text="No">
      <formula>NOT(ISERROR(SEARCH(("No"),(P45))))</formula>
    </cfRule>
  </conditionalFormatting>
  <conditionalFormatting sqref="P45:P46">
    <cfRule type="containsText" dxfId="9" priority="24181" operator="containsText" text="No">
      <formula>NOT(ISERROR(SEARCH(("No"),(P45))))</formula>
    </cfRule>
  </conditionalFormatting>
  <conditionalFormatting sqref="P45:P46">
    <cfRule type="containsText" dxfId="9" priority="24182" operator="containsText" text="No">
      <formula>NOT(ISERROR(SEARCH(("No"),(P45))))</formula>
    </cfRule>
  </conditionalFormatting>
  <conditionalFormatting sqref="P45:P46">
    <cfRule type="containsText" dxfId="9" priority="24183" operator="containsText" text="No">
      <formula>NOT(ISERROR(SEARCH(("No"),(P45))))</formula>
    </cfRule>
  </conditionalFormatting>
  <conditionalFormatting sqref="P45:P46">
    <cfRule type="containsText" dxfId="9" priority="24184" operator="containsText" text="No">
      <formula>NOT(ISERROR(SEARCH(("No"),(P45))))</formula>
    </cfRule>
  </conditionalFormatting>
  <conditionalFormatting sqref="P45:P46">
    <cfRule type="containsText" dxfId="9" priority="24185" operator="containsText" text="No">
      <formula>NOT(ISERROR(SEARCH(("No"),(P45))))</formula>
    </cfRule>
  </conditionalFormatting>
  <conditionalFormatting sqref="P45:P46">
    <cfRule type="containsText" dxfId="9" priority="24186" operator="containsText" text="No">
      <formula>NOT(ISERROR(SEARCH(("No"),(P45))))</formula>
    </cfRule>
  </conditionalFormatting>
  <conditionalFormatting sqref="P45:P46">
    <cfRule type="containsText" dxfId="9" priority="24187" operator="containsText" text="No">
      <formula>NOT(ISERROR(SEARCH(("No"),(P45))))</formula>
    </cfRule>
  </conditionalFormatting>
  <conditionalFormatting sqref="P45:P46">
    <cfRule type="containsText" dxfId="9" priority="24188" operator="containsText" text="No">
      <formula>NOT(ISERROR(SEARCH(("No"),(P45))))</formula>
    </cfRule>
  </conditionalFormatting>
  <conditionalFormatting sqref="P45:P46">
    <cfRule type="containsText" dxfId="9" priority="24189" operator="containsText" text="No">
      <formula>NOT(ISERROR(SEARCH(("No"),(P45))))</formula>
    </cfRule>
  </conditionalFormatting>
  <conditionalFormatting sqref="P45:P46">
    <cfRule type="containsText" dxfId="9" priority="24190" operator="containsText" text="No">
      <formula>NOT(ISERROR(SEARCH(("No"),(P45))))</formula>
    </cfRule>
  </conditionalFormatting>
  <conditionalFormatting sqref="P45:P46">
    <cfRule type="containsText" dxfId="9" priority="24191" operator="containsText" text="No">
      <formula>NOT(ISERROR(SEARCH(("No"),(P45))))</formula>
    </cfRule>
  </conditionalFormatting>
  <conditionalFormatting sqref="P45:P46">
    <cfRule type="containsText" dxfId="9" priority="24192" operator="containsText" text="No">
      <formula>NOT(ISERROR(SEARCH(("No"),(P45))))</formula>
    </cfRule>
  </conditionalFormatting>
  <conditionalFormatting sqref="P45:P46">
    <cfRule type="containsText" dxfId="9" priority="24193" operator="containsText" text="No">
      <formula>NOT(ISERROR(SEARCH(("No"),(P45))))</formula>
    </cfRule>
  </conditionalFormatting>
  <conditionalFormatting sqref="P45:P46">
    <cfRule type="containsText" dxfId="2" priority="24194" operator="containsText" text="Yes">
      <formula>NOT(ISERROR(SEARCH(("Yes"),(P45))))</formula>
    </cfRule>
  </conditionalFormatting>
  <conditionalFormatting sqref="P45:P46">
    <cfRule type="containsText" dxfId="2" priority="24195" operator="containsText" text="Yes">
      <formula>NOT(ISERROR(SEARCH(("Yes"),(P45))))</formula>
    </cfRule>
  </conditionalFormatting>
  <conditionalFormatting sqref="P45:P46">
    <cfRule type="containsText" dxfId="2" priority="24196" operator="containsText" text="Yes">
      <formula>NOT(ISERROR(SEARCH(("Yes"),(P45))))</formula>
    </cfRule>
  </conditionalFormatting>
  <conditionalFormatting sqref="P45:P46">
    <cfRule type="containsText" dxfId="2" priority="24197" operator="containsText" text="Yes">
      <formula>NOT(ISERROR(SEARCH(("Yes"),(P45))))</formula>
    </cfRule>
  </conditionalFormatting>
  <conditionalFormatting sqref="P45:P46">
    <cfRule type="containsText" dxfId="2" priority="24198" operator="containsText" text="Yes">
      <formula>NOT(ISERROR(SEARCH(("Yes"),(P45))))</formula>
    </cfRule>
  </conditionalFormatting>
  <conditionalFormatting sqref="P45:P46">
    <cfRule type="containsText" dxfId="2" priority="24199" operator="containsText" text="Yes">
      <formula>NOT(ISERROR(SEARCH(("Yes"),(P45))))</formula>
    </cfRule>
  </conditionalFormatting>
  <conditionalFormatting sqref="P45:P46">
    <cfRule type="containsText" dxfId="2" priority="24200" operator="containsText" text="Yes">
      <formula>NOT(ISERROR(SEARCH(("Yes"),(P45))))</formula>
    </cfRule>
  </conditionalFormatting>
  <conditionalFormatting sqref="P45:P46">
    <cfRule type="containsText" dxfId="2" priority="24201" operator="containsText" text="Yes">
      <formula>NOT(ISERROR(SEARCH(("Yes"),(P45))))</formula>
    </cfRule>
  </conditionalFormatting>
  <conditionalFormatting sqref="P45:P46">
    <cfRule type="containsText" dxfId="2" priority="24202" operator="containsText" text="Yes">
      <formula>NOT(ISERROR(SEARCH(("Yes"),(P45))))</formula>
    </cfRule>
  </conditionalFormatting>
  <conditionalFormatting sqref="P45:P46">
    <cfRule type="containsText" dxfId="2" priority="24203" operator="containsText" text="Yes">
      <formula>NOT(ISERROR(SEARCH(("Yes"),(P45))))</formula>
    </cfRule>
  </conditionalFormatting>
  <conditionalFormatting sqref="P45:P46">
    <cfRule type="containsText" dxfId="2" priority="24204" operator="containsText" text="Yes">
      <formula>NOT(ISERROR(SEARCH(("Yes"),(P45))))</formula>
    </cfRule>
  </conditionalFormatting>
  <conditionalFormatting sqref="P45:P46">
    <cfRule type="containsText" dxfId="2" priority="24205" operator="containsText" text="Yes">
      <formula>NOT(ISERROR(SEARCH(("Yes"),(P45))))</formula>
    </cfRule>
  </conditionalFormatting>
  <conditionalFormatting sqref="P45:P46">
    <cfRule type="containsText" dxfId="2" priority="24206" operator="containsText" text="Yes">
      <formula>NOT(ISERROR(SEARCH(("Yes"),(P45))))</formula>
    </cfRule>
  </conditionalFormatting>
  <conditionalFormatting sqref="P45:P46">
    <cfRule type="containsText" dxfId="2" priority="24207" operator="containsText" text="Yes">
      <formula>NOT(ISERROR(SEARCH(("Yes"),(P45))))</formula>
    </cfRule>
  </conditionalFormatting>
  <conditionalFormatting sqref="P45:P46">
    <cfRule type="containsText" dxfId="2" priority="24208" operator="containsText" text="Yes">
      <formula>NOT(ISERROR(SEARCH(("Yes"),(P45))))</formula>
    </cfRule>
  </conditionalFormatting>
  <conditionalFormatting sqref="P45:P46">
    <cfRule type="containsText" dxfId="2" priority="24209" operator="containsText" text="Yes">
      <formula>NOT(ISERROR(SEARCH(("Yes"),(P45))))</formula>
    </cfRule>
  </conditionalFormatting>
  <conditionalFormatting sqref="P45:P46">
    <cfRule type="containsText" dxfId="2" priority="24210" operator="containsText" text="Yes">
      <formula>NOT(ISERROR(SEARCH(("Yes"),(P45))))</formula>
    </cfRule>
  </conditionalFormatting>
  <conditionalFormatting sqref="P45:P46">
    <cfRule type="containsText" dxfId="2" priority="24211" operator="containsText" text="Yes">
      <formula>NOT(ISERROR(SEARCH(("Yes"),(P45))))</formula>
    </cfRule>
  </conditionalFormatting>
  <conditionalFormatting sqref="P45:P46">
    <cfRule type="containsText" dxfId="2" priority="24212" operator="containsText" text="Yes">
      <formula>NOT(ISERROR(SEARCH(("Yes"),(P45))))</formula>
    </cfRule>
  </conditionalFormatting>
  <conditionalFormatting sqref="P45:P46">
    <cfRule type="containsText" dxfId="2" priority="24213" operator="containsText" text="Yes">
      <formula>NOT(ISERROR(SEARCH(("Yes"),(P45))))</formula>
    </cfRule>
  </conditionalFormatting>
  <conditionalFormatting sqref="P45:P46">
    <cfRule type="containsText" dxfId="2" priority="24214" operator="containsText" text="Yes">
      <formula>NOT(ISERROR(SEARCH(("Yes"),(P45))))</formula>
    </cfRule>
  </conditionalFormatting>
  <conditionalFormatting sqref="P45:P46">
    <cfRule type="containsText" dxfId="2" priority="24215" operator="containsText" text="Yes">
      <formula>NOT(ISERROR(SEARCH(("Yes"),(P45))))</formula>
    </cfRule>
  </conditionalFormatting>
  <conditionalFormatting sqref="P45:P46">
    <cfRule type="containsText" dxfId="2" priority="24216" operator="containsText" text="Yes">
      <formula>NOT(ISERROR(SEARCH(("Yes"),(P45))))</formula>
    </cfRule>
  </conditionalFormatting>
  <conditionalFormatting sqref="P45:P46">
    <cfRule type="containsText" dxfId="2" priority="24217" operator="containsText" text="Yes">
      <formula>NOT(ISERROR(SEARCH(("Yes"),(P45))))</formula>
    </cfRule>
  </conditionalFormatting>
  <conditionalFormatting sqref="P45:P46">
    <cfRule type="containsText" dxfId="2" priority="24218" operator="containsText" text="Yes">
      <formula>NOT(ISERROR(SEARCH(("Yes"),(P45))))</formula>
    </cfRule>
  </conditionalFormatting>
  <conditionalFormatting sqref="P45:P46">
    <cfRule type="containsText" dxfId="2" priority="24219" operator="containsText" text="Yes">
      <formula>NOT(ISERROR(SEARCH(("Yes"),(P45))))</formula>
    </cfRule>
  </conditionalFormatting>
  <conditionalFormatting sqref="P45:P46">
    <cfRule type="containsText" dxfId="2" priority="24220" operator="containsText" text="Yes">
      <formula>NOT(ISERROR(SEARCH(("Yes"),(P45))))</formula>
    </cfRule>
  </conditionalFormatting>
  <conditionalFormatting sqref="P45:P46">
    <cfRule type="containsText" dxfId="2" priority="24221" operator="containsText" text="Yes">
      <formula>NOT(ISERROR(SEARCH(("Yes"),(P45))))</formula>
    </cfRule>
  </conditionalFormatting>
  <conditionalFormatting sqref="P45:P46">
    <cfRule type="containsText" dxfId="2" priority="24222" operator="containsText" text="Yes">
      <formula>NOT(ISERROR(SEARCH(("Yes"),(P45))))</formula>
    </cfRule>
  </conditionalFormatting>
  <conditionalFormatting sqref="P45:P46">
    <cfRule type="containsText" dxfId="2" priority="24223" operator="containsText" text="Yes">
      <formula>NOT(ISERROR(SEARCH(("Yes"),(P45))))</formula>
    </cfRule>
  </conditionalFormatting>
  <conditionalFormatting sqref="P45:P46">
    <cfRule type="containsText" dxfId="2" priority="24224" operator="containsText" text="Yes">
      <formula>NOT(ISERROR(SEARCH(("Yes"),(P45))))</formula>
    </cfRule>
  </conditionalFormatting>
  <conditionalFormatting sqref="P45:P46">
    <cfRule type="containsText" dxfId="2" priority="24225" operator="containsText" text="Yes">
      <formula>NOT(ISERROR(SEARCH(("Yes"),(P45))))</formula>
    </cfRule>
  </conditionalFormatting>
  <conditionalFormatting sqref="P45:P46">
    <cfRule type="containsText" dxfId="2" priority="24226" operator="containsText" text="Yes">
      <formula>NOT(ISERROR(SEARCH(("Yes"),(P45))))</formula>
    </cfRule>
  </conditionalFormatting>
  <conditionalFormatting sqref="P45:P46">
    <cfRule type="containsText" dxfId="2" priority="24227" operator="containsText" text="Yes">
      <formula>NOT(ISERROR(SEARCH(("Yes"),(P45))))</formula>
    </cfRule>
  </conditionalFormatting>
  <conditionalFormatting sqref="P45:P46">
    <cfRule type="containsText" dxfId="2" priority="24228" operator="containsText" text="Yes">
      <formula>NOT(ISERROR(SEARCH(("Yes"),(P45))))</formula>
    </cfRule>
  </conditionalFormatting>
  <conditionalFormatting sqref="P45:P46">
    <cfRule type="containsText" dxfId="2" priority="24229" operator="containsText" text="Yes">
      <formula>NOT(ISERROR(SEARCH(("Yes"),(P45))))</formula>
    </cfRule>
  </conditionalFormatting>
  <conditionalFormatting sqref="P45:P46">
    <cfRule type="containsText" dxfId="2" priority="24230" operator="containsText" text="Yes">
      <formula>NOT(ISERROR(SEARCH(("Yes"),(P45))))</formula>
    </cfRule>
  </conditionalFormatting>
  <conditionalFormatting sqref="P45:P46">
    <cfRule type="containsText" dxfId="2" priority="24231" operator="containsText" text="Yes">
      <formula>NOT(ISERROR(SEARCH(("Yes"),(P45))))</formula>
    </cfRule>
  </conditionalFormatting>
  <conditionalFormatting sqref="P45:P46">
    <cfRule type="containsText" dxfId="2" priority="24232" operator="containsText" text="Yes">
      <formula>NOT(ISERROR(SEARCH(("Yes"),(P45))))</formula>
    </cfRule>
  </conditionalFormatting>
  <conditionalFormatting sqref="P45:P46">
    <cfRule type="containsText" dxfId="2" priority="24233" operator="containsText" text="Yes">
      <formula>NOT(ISERROR(SEARCH(("Yes"),(P45))))</formula>
    </cfRule>
  </conditionalFormatting>
  <conditionalFormatting sqref="P45:P46">
    <cfRule type="containsText" dxfId="2" priority="24234" operator="containsText" text="Yes">
      <formula>NOT(ISERROR(SEARCH(("Yes"),(P45))))</formula>
    </cfRule>
  </conditionalFormatting>
  <conditionalFormatting sqref="P45:P46">
    <cfRule type="containsText" dxfId="2" priority="24235" operator="containsText" text="Yes">
      <formula>NOT(ISERROR(SEARCH(("Yes"),(P45))))</formula>
    </cfRule>
  </conditionalFormatting>
  <conditionalFormatting sqref="P45:P46">
    <cfRule type="containsText" dxfId="2" priority="24236" operator="containsText" text="Yes">
      <formula>NOT(ISERROR(SEARCH(("Yes"),(P45))))</formula>
    </cfRule>
  </conditionalFormatting>
  <conditionalFormatting sqref="P45:P46">
    <cfRule type="containsText" dxfId="2" priority="24237" operator="containsText" text="Yes">
      <formula>NOT(ISERROR(SEARCH(("Yes"),(P45))))</formula>
    </cfRule>
  </conditionalFormatting>
  <conditionalFormatting sqref="P45:P46">
    <cfRule type="containsText" dxfId="2" priority="24238" operator="containsText" text="Yes">
      <formula>NOT(ISERROR(SEARCH(("Yes"),(P45))))</formula>
    </cfRule>
  </conditionalFormatting>
  <conditionalFormatting sqref="P45:P46">
    <cfRule type="containsText" dxfId="2" priority="24239" operator="containsText" text="Yes">
      <formula>NOT(ISERROR(SEARCH(("Yes"),(P45))))</formula>
    </cfRule>
  </conditionalFormatting>
  <conditionalFormatting sqref="P45:P46">
    <cfRule type="containsText" dxfId="2" priority="24240" operator="containsText" text="Yes">
      <formula>NOT(ISERROR(SEARCH(("Yes"),(P45))))</formula>
    </cfRule>
  </conditionalFormatting>
  <conditionalFormatting sqref="Q45:Q46">
    <cfRule type="containsText" dxfId="9" priority="24241" operator="containsText" text="No">
      <formula>NOT(ISERROR(SEARCH(("No"),(Q45))))</formula>
    </cfRule>
  </conditionalFormatting>
  <conditionalFormatting sqref="Q45:Q46">
    <cfRule type="containsText" dxfId="9" priority="24242" operator="containsText" text="No">
      <formula>NOT(ISERROR(SEARCH(("No"),(Q45))))</formula>
    </cfRule>
  </conditionalFormatting>
  <conditionalFormatting sqref="Q45:Q46">
    <cfRule type="containsText" dxfId="9" priority="24243" operator="containsText" text="No">
      <formula>NOT(ISERROR(SEARCH(("No"),(Q45))))</formula>
    </cfRule>
  </conditionalFormatting>
  <conditionalFormatting sqref="Q45:Q46">
    <cfRule type="containsText" dxfId="9" priority="24244" operator="containsText" text="No">
      <formula>NOT(ISERROR(SEARCH(("No"),(Q45))))</formula>
    </cfRule>
  </conditionalFormatting>
  <conditionalFormatting sqref="Q45:Q46">
    <cfRule type="containsText" dxfId="9" priority="24245" operator="containsText" text="No">
      <formula>NOT(ISERROR(SEARCH(("No"),(Q45))))</formula>
    </cfRule>
  </conditionalFormatting>
  <conditionalFormatting sqref="Q45:Q46">
    <cfRule type="containsText" dxfId="9" priority="24246" operator="containsText" text="No">
      <formula>NOT(ISERROR(SEARCH(("No"),(Q45))))</formula>
    </cfRule>
  </conditionalFormatting>
  <conditionalFormatting sqref="Q45:Q46">
    <cfRule type="containsText" dxfId="9" priority="24247" operator="containsText" text="No">
      <formula>NOT(ISERROR(SEARCH(("No"),(Q45))))</formula>
    </cfRule>
  </conditionalFormatting>
  <conditionalFormatting sqref="Q45:Q46">
    <cfRule type="containsText" dxfId="9" priority="24248" operator="containsText" text="No">
      <formula>NOT(ISERROR(SEARCH(("No"),(Q45))))</formula>
    </cfRule>
  </conditionalFormatting>
  <conditionalFormatting sqref="Q45:Q46">
    <cfRule type="containsText" dxfId="9" priority="24249" operator="containsText" text="No">
      <formula>NOT(ISERROR(SEARCH(("No"),(Q45))))</formula>
    </cfRule>
  </conditionalFormatting>
  <conditionalFormatting sqref="Q45:Q46">
    <cfRule type="containsText" dxfId="9" priority="24250" operator="containsText" text="No">
      <formula>NOT(ISERROR(SEARCH(("No"),(Q45))))</formula>
    </cfRule>
  </conditionalFormatting>
  <conditionalFormatting sqref="Q45:Q46">
    <cfRule type="containsText" dxfId="9" priority="24251" operator="containsText" text="No">
      <formula>NOT(ISERROR(SEARCH(("No"),(Q45))))</formula>
    </cfRule>
  </conditionalFormatting>
  <conditionalFormatting sqref="Q45:Q46">
    <cfRule type="containsText" dxfId="9" priority="24252" operator="containsText" text="No">
      <formula>NOT(ISERROR(SEARCH(("No"),(Q45))))</formula>
    </cfRule>
  </conditionalFormatting>
  <conditionalFormatting sqref="Q45:Q46">
    <cfRule type="containsText" dxfId="9" priority="24253" operator="containsText" text="No">
      <formula>NOT(ISERROR(SEARCH(("No"),(Q45))))</formula>
    </cfRule>
  </conditionalFormatting>
  <conditionalFormatting sqref="Q45:Q46">
    <cfRule type="containsText" dxfId="9" priority="24254" operator="containsText" text="No">
      <formula>NOT(ISERROR(SEARCH(("No"),(Q45))))</formula>
    </cfRule>
  </conditionalFormatting>
  <conditionalFormatting sqref="Q45:Q46">
    <cfRule type="containsText" dxfId="9" priority="24255" operator="containsText" text="No">
      <formula>NOT(ISERROR(SEARCH(("No"),(Q45))))</formula>
    </cfRule>
  </conditionalFormatting>
  <conditionalFormatting sqref="Q45:Q46">
    <cfRule type="containsText" dxfId="9" priority="24256" operator="containsText" text="No">
      <formula>NOT(ISERROR(SEARCH(("No"),(Q45))))</formula>
    </cfRule>
  </conditionalFormatting>
  <conditionalFormatting sqref="Q45:Q46">
    <cfRule type="containsText" dxfId="9" priority="24257" operator="containsText" text="No">
      <formula>NOT(ISERROR(SEARCH(("No"),(Q45))))</formula>
    </cfRule>
  </conditionalFormatting>
  <conditionalFormatting sqref="Q45:Q46">
    <cfRule type="containsText" dxfId="9" priority="24258" operator="containsText" text="No">
      <formula>NOT(ISERROR(SEARCH(("No"),(Q45))))</formula>
    </cfRule>
  </conditionalFormatting>
  <conditionalFormatting sqref="Q45:Q46">
    <cfRule type="containsText" dxfId="9" priority="24259" operator="containsText" text="No">
      <formula>NOT(ISERROR(SEARCH(("No"),(Q45))))</formula>
    </cfRule>
  </conditionalFormatting>
  <conditionalFormatting sqref="Q45:Q46">
    <cfRule type="containsText" dxfId="9" priority="24260" operator="containsText" text="No">
      <formula>NOT(ISERROR(SEARCH(("No"),(Q45))))</formula>
    </cfRule>
  </conditionalFormatting>
  <conditionalFormatting sqref="Q45:Q46">
    <cfRule type="containsText" dxfId="9" priority="24261" operator="containsText" text="No">
      <formula>NOT(ISERROR(SEARCH(("No"),(Q45))))</formula>
    </cfRule>
  </conditionalFormatting>
  <conditionalFormatting sqref="Q45:Q46">
    <cfRule type="containsText" dxfId="9" priority="24262" operator="containsText" text="No">
      <formula>NOT(ISERROR(SEARCH(("No"),(Q45))))</formula>
    </cfRule>
  </conditionalFormatting>
  <conditionalFormatting sqref="Q45:Q46">
    <cfRule type="containsText" dxfId="9" priority="24263" operator="containsText" text="No">
      <formula>NOT(ISERROR(SEARCH(("No"),(Q45))))</formula>
    </cfRule>
  </conditionalFormatting>
  <conditionalFormatting sqref="Q45:Q46">
    <cfRule type="containsText" dxfId="9" priority="24264" operator="containsText" text="No">
      <formula>NOT(ISERROR(SEARCH(("No"),(Q45))))</formula>
    </cfRule>
  </conditionalFormatting>
  <conditionalFormatting sqref="Q45:Q46">
    <cfRule type="containsText" dxfId="9" priority="24265" operator="containsText" text="No">
      <formula>NOT(ISERROR(SEARCH(("No"),(Q45))))</formula>
    </cfRule>
  </conditionalFormatting>
  <conditionalFormatting sqref="Q45:Q46">
    <cfRule type="containsText" dxfId="9" priority="24266" operator="containsText" text="No">
      <formula>NOT(ISERROR(SEARCH(("No"),(Q45))))</formula>
    </cfRule>
  </conditionalFormatting>
  <conditionalFormatting sqref="Q45:Q46">
    <cfRule type="containsText" dxfId="9" priority="24267" operator="containsText" text="No">
      <formula>NOT(ISERROR(SEARCH(("No"),(Q45))))</formula>
    </cfRule>
  </conditionalFormatting>
  <conditionalFormatting sqref="Q45:Q46">
    <cfRule type="containsText" dxfId="9" priority="24268" operator="containsText" text="No">
      <formula>NOT(ISERROR(SEARCH(("No"),(Q45))))</formula>
    </cfRule>
  </conditionalFormatting>
  <conditionalFormatting sqref="Q45:Q46">
    <cfRule type="containsText" dxfId="9" priority="24269" operator="containsText" text="No">
      <formula>NOT(ISERROR(SEARCH(("No"),(Q45))))</formula>
    </cfRule>
  </conditionalFormatting>
  <conditionalFormatting sqref="Q45:Q46">
    <cfRule type="containsText" dxfId="9" priority="24270" operator="containsText" text="No">
      <formula>NOT(ISERROR(SEARCH(("No"),(Q45))))</formula>
    </cfRule>
  </conditionalFormatting>
  <conditionalFormatting sqref="Q45:Q46">
    <cfRule type="containsText" dxfId="9" priority="24271" operator="containsText" text="No">
      <formula>NOT(ISERROR(SEARCH(("No"),(Q45))))</formula>
    </cfRule>
  </conditionalFormatting>
  <conditionalFormatting sqref="Q45:Q46">
    <cfRule type="containsText" dxfId="9" priority="24272" operator="containsText" text="No">
      <formula>NOT(ISERROR(SEARCH(("No"),(Q45))))</formula>
    </cfRule>
  </conditionalFormatting>
  <conditionalFormatting sqref="Q45:Q46">
    <cfRule type="containsText" dxfId="9" priority="24273" operator="containsText" text="No">
      <formula>NOT(ISERROR(SEARCH(("No"),(Q45))))</formula>
    </cfRule>
  </conditionalFormatting>
  <conditionalFormatting sqref="Q45:Q46">
    <cfRule type="containsText" dxfId="9" priority="24274" operator="containsText" text="No">
      <formula>NOT(ISERROR(SEARCH(("No"),(Q45))))</formula>
    </cfRule>
  </conditionalFormatting>
  <conditionalFormatting sqref="Q45:Q46">
    <cfRule type="containsText" dxfId="9" priority="24275" operator="containsText" text="No">
      <formula>NOT(ISERROR(SEARCH(("No"),(Q45))))</formula>
    </cfRule>
  </conditionalFormatting>
  <conditionalFormatting sqref="Q45:Q46">
    <cfRule type="containsText" dxfId="9" priority="24276" operator="containsText" text="No">
      <formula>NOT(ISERROR(SEARCH(("No"),(Q45))))</formula>
    </cfRule>
  </conditionalFormatting>
  <conditionalFormatting sqref="Q45:Q46">
    <cfRule type="containsText" dxfId="9" priority="24277" operator="containsText" text="No">
      <formula>NOT(ISERROR(SEARCH(("No"),(Q45))))</formula>
    </cfRule>
  </conditionalFormatting>
  <conditionalFormatting sqref="Q45:Q46">
    <cfRule type="containsText" dxfId="9" priority="24278" operator="containsText" text="No">
      <formula>NOT(ISERROR(SEARCH(("No"),(Q45))))</formula>
    </cfRule>
  </conditionalFormatting>
  <conditionalFormatting sqref="Q45:Q46">
    <cfRule type="containsText" dxfId="9" priority="24279" operator="containsText" text="No">
      <formula>NOT(ISERROR(SEARCH(("No"),(Q45))))</formula>
    </cfRule>
  </conditionalFormatting>
  <conditionalFormatting sqref="Q45:Q46">
    <cfRule type="containsText" dxfId="9" priority="24280" operator="containsText" text="No">
      <formula>NOT(ISERROR(SEARCH(("No"),(Q45))))</formula>
    </cfRule>
  </conditionalFormatting>
  <conditionalFormatting sqref="Q45:Q46">
    <cfRule type="containsText" dxfId="9" priority="24281" operator="containsText" text="No">
      <formula>NOT(ISERROR(SEARCH(("No"),(Q45))))</formula>
    </cfRule>
  </conditionalFormatting>
  <conditionalFormatting sqref="Q45:Q46">
    <cfRule type="containsText" dxfId="9" priority="24282" operator="containsText" text="No">
      <formula>NOT(ISERROR(SEARCH(("No"),(Q45))))</formula>
    </cfRule>
  </conditionalFormatting>
  <conditionalFormatting sqref="Q45:Q46">
    <cfRule type="containsText" dxfId="9" priority="24283" operator="containsText" text="No">
      <formula>NOT(ISERROR(SEARCH(("No"),(Q45))))</formula>
    </cfRule>
  </conditionalFormatting>
  <conditionalFormatting sqref="Q45:Q46">
    <cfRule type="containsText" dxfId="9" priority="24284" operator="containsText" text="No">
      <formula>NOT(ISERROR(SEARCH(("No"),(Q45))))</formula>
    </cfRule>
  </conditionalFormatting>
  <conditionalFormatting sqref="Q45:Q46">
    <cfRule type="containsText" dxfId="9" priority="24285" operator="containsText" text="No">
      <formula>NOT(ISERROR(SEARCH(("No"),(Q45))))</formula>
    </cfRule>
  </conditionalFormatting>
  <conditionalFormatting sqref="Q45:Q46">
    <cfRule type="containsText" dxfId="2" priority="24286" operator="containsText" text="Yes">
      <formula>NOT(ISERROR(SEARCH(("Yes"),(Q45))))</formula>
    </cfRule>
  </conditionalFormatting>
  <conditionalFormatting sqref="Q45:Q46">
    <cfRule type="containsText" dxfId="2" priority="24287" operator="containsText" text="Yes">
      <formula>NOT(ISERROR(SEARCH(("Yes"),(Q45))))</formula>
    </cfRule>
  </conditionalFormatting>
  <conditionalFormatting sqref="Q45:Q46">
    <cfRule type="containsText" dxfId="2" priority="24288" operator="containsText" text="Yes">
      <formula>NOT(ISERROR(SEARCH(("Yes"),(Q45))))</formula>
    </cfRule>
  </conditionalFormatting>
  <conditionalFormatting sqref="Q45:Q46">
    <cfRule type="containsText" dxfId="2" priority="24289" operator="containsText" text="Yes">
      <formula>NOT(ISERROR(SEARCH(("Yes"),(Q45))))</formula>
    </cfRule>
  </conditionalFormatting>
  <conditionalFormatting sqref="Q45:Q46">
    <cfRule type="containsText" dxfId="2" priority="24290" operator="containsText" text="Yes">
      <formula>NOT(ISERROR(SEARCH(("Yes"),(Q45))))</formula>
    </cfRule>
  </conditionalFormatting>
  <conditionalFormatting sqref="Q45:Q46">
    <cfRule type="containsText" dxfId="2" priority="24291" operator="containsText" text="Yes">
      <formula>NOT(ISERROR(SEARCH(("Yes"),(Q45))))</formula>
    </cfRule>
  </conditionalFormatting>
  <conditionalFormatting sqref="Q45:Q46">
    <cfRule type="containsText" dxfId="2" priority="24292" operator="containsText" text="Yes">
      <formula>NOT(ISERROR(SEARCH(("Yes"),(Q45))))</formula>
    </cfRule>
  </conditionalFormatting>
  <conditionalFormatting sqref="Q45:Q46">
    <cfRule type="containsText" dxfId="2" priority="24293" operator="containsText" text="Yes">
      <formula>NOT(ISERROR(SEARCH(("Yes"),(Q45))))</formula>
    </cfRule>
  </conditionalFormatting>
  <conditionalFormatting sqref="Q45:Q46">
    <cfRule type="containsText" dxfId="2" priority="24294" operator="containsText" text="Yes">
      <formula>NOT(ISERROR(SEARCH(("Yes"),(Q45))))</formula>
    </cfRule>
  </conditionalFormatting>
  <conditionalFormatting sqref="Q45:Q46">
    <cfRule type="containsText" dxfId="2" priority="24295" operator="containsText" text="Yes">
      <formula>NOT(ISERROR(SEARCH(("Yes"),(Q45))))</formula>
    </cfRule>
  </conditionalFormatting>
  <conditionalFormatting sqref="Q45:Q46">
    <cfRule type="containsText" dxfId="2" priority="24296" operator="containsText" text="Yes">
      <formula>NOT(ISERROR(SEARCH(("Yes"),(Q45))))</formula>
    </cfRule>
  </conditionalFormatting>
  <conditionalFormatting sqref="Q45:Q46">
    <cfRule type="containsText" dxfId="2" priority="24297" operator="containsText" text="Yes">
      <formula>NOT(ISERROR(SEARCH(("Yes"),(Q45))))</formula>
    </cfRule>
  </conditionalFormatting>
  <conditionalFormatting sqref="Q45:Q46">
    <cfRule type="containsText" dxfId="2" priority="24298" operator="containsText" text="Yes">
      <formula>NOT(ISERROR(SEARCH(("Yes"),(Q45))))</formula>
    </cfRule>
  </conditionalFormatting>
  <conditionalFormatting sqref="Q45:Q46">
    <cfRule type="containsText" dxfId="2" priority="24299" operator="containsText" text="Yes">
      <formula>NOT(ISERROR(SEARCH(("Yes"),(Q45))))</formula>
    </cfRule>
  </conditionalFormatting>
  <conditionalFormatting sqref="Q45:Q46">
    <cfRule type="containsText" dxfId="2" priority="24300" operator="containsText" text="Yes">
      <formula>NOT(ISERROR(SEARCH(("Yes"),(Q45))))</formula>
    </cfRule>
  </conditionalFormatting>
  <conditionalFormatting sqref="Q45:Q46">
    <cfRule type="containsText" dxfId="2" priority="24301" operator="containsText" text="Yes">
      <formula>NOT(ISERROR(SEARCH(("Yes"),(Q45))))</formula>
    </cfRule>
  </conditionalFormatting>
  <conditionalFormatting sqref="Q45:Q46">
    <cfRule type="containsText" dxfId="2" priority="24302" operator="containsText" text="Yes">
      <formula>NOT(ISERROR(SEARCH(("Yes"),(Q45))))</formula>
    </cfRule>
  </conditionalFormatting>
  <conditionalFormatting sqref="Q45:Q46">
    <cfRule type="containsText" dxfId="2" priority="24303" operator="containsText" text="Yes">
      <formula>NOT(ISERROR(SEARCH(("Yes"),(Q45))))</formula>
    </cfRule>
  </conditionalFormatting>
  <conditionalFormatting sqref="Q45:Q46">
    <cfRule type="containsText" dxfId="2" priority="24304" operator="containsText" text="Yes">
      <formula>NOT(ISERROR(SEARCH(("Yes"),(Q45))))</formula>
    </cfRule>
  </conditionalFormatting>
  <conditionalFormatting sqref="Q45:Q46">
    <cfRule type="containsText" dxfId="2" priority="24305" operator="containsText" text="Yes">
      <formula>NOT(ISERROR(SEARCH(("Yes"),(Q45))))</formula>
    </cfRule>
  </conditionalFormatting>
  <conditionalFormatting sqref="Q45:Q46">
    <cfRule type="containsText" dxfId="2" priority="24306" operator="containsText" text="Yes">
      <formula>NOT(ISERROR(SEARCH(("Yes"),(Q45))))</formula>
    </cfRule>
  </conditionalFormatting>
  <conditionalFormatting sqref="Q45:Q46">
    <cfRule type="containsText" dxfId="2" priority="24307" operator="containsText" text="Yes">
      <formula>NOT(ISERROR(SEARCH(("Yes"),(Q45))))</formula>
    </cfRule>
  </conditionalFormatting>
  <conditionalFormatting sqref="Q45:Q46">
    <cfRule type="containsText" dxfId="2" priority="24308" operator="containsText" text="Yes">
      <formula>NOT(ISERROR(SEARCH(("Yes"),(Q45))))</formula>
    </cfRule>
  </conditionalFormatting>
  <conditionalFormatting sqref="Q45:Q46">
    <cfRule type="containsText" dxfId="2" priority="24309" operator="containsText" text="Yes">
      <formula>NOT(ISERROR(SEARCH(("Yes"),(Q45))))</formula>
    </cfRule>
  </conditionalFormatting>
  <conditionalFormatting sqref="Q45:Q46">
    <cfRule type="containsText" dxfId="2" priority="24310" operator="containsText" text="Yes">
      <formula>NOT(ISERROR(SEARCH(("Yes"),(Q45))))</formula>
    </cfRule>
  </conditionalFormatting>
  <conditionalFormatting sqref="Q45:Q46">
    <cfRule type="containsText" dxfId="2" priority="24311" operator="containsText" text="Yes">
      <formula>NOT(ISERROR(SEARCH(("Yes"),(Q45))))</formula>
    </cfRule>
  </conditionalFormatting>
  <conditionalFormatting sqref="Q45:Q46">
    <cfRule type="containsText" dxfId="2" priority="24312" operator="containsText" text="Yes">
      <formula>NOT(ISERROR(SEARCH(("Yes"),(Q45))))</formula>
    </cfRule>
  </conditionalFormatting>
  <conditionalFormatting sqref="Q45:Q46">
    <cfRule type="containsText" dxfId="2" priority="24313" operator="containsText" text="Yes">
      <formula>NOT(ISERROR(SEARCH(("Yes"),(Q45))))</formula>
    </cfRule>
  </conditionalFormatting>
  <conditionalFormatting sqref="Q45:Q46">
    <cfRule type="containsText" dxfId="2" priority="24314" operator="containsText" text="Yes">
      <formula>NOT(ISERROR(SEARCH(("Yes"),(Q45))))</formula>
    </cfRule>
  </conditionalFormatting>
  <conditionalFormatting sqref="Q45:Q46">
    <cfRule type="containsText" dxfId="2" priority="24315" operator="containsText" text="Yes">
      <formula>NOT(ISERROR(SEARCH(("Yes"),(Q45))))</formula>
    </cfRule>
  </conditionalFormatting>
  <conditionalFormatting sqref="Q45:Q46">
    <cfRule type="containsText" dxfId="2" priority="24316" operator="containsText" text="Yes">
      <formula>NOT(ISERROR(SEARCH(("Yes"),(Q45))))</formula>
    </cfRule>
  </conditionalFormatting>
  <conditionalFormatting sqref="Q45:Q46">
    <cfRule type="containsText" dxfId="2" priority="24317" operator="containsText" text="Yes">
      <formula>NOT(ISERROR(SEARCH(("Yes"),(Q45))))</formula>
    </cfRule>
  </conditionalFormatting>
  <conditionalFormatting sqref="Q45:Q46">
    <cfRule type="containsText" dxfId="2" priority="24318" operator="containsText" text="Yes">
      <formula>NOT(ISERROR(SEARCH(("Yes"),(Q45))))</formula>
    </cfRule>
  </conditionalFormatting>
  <conditionalFormatting sqref="Q45:Q46">
    <cfRule type="containsText" dxfId="2" priority="24319" operator="containsText" text="Yes">
      <formula>NOT(ISERROR(SEARCH(("Yes"),(Q45))))</formula>
    </cfRule>
  </conditionalFormatting>
  <conditionalFormatting sqref="Q45:Q46">
    <cfRule type="containsText" dxfId="2" priority="24320" operator="containsText" text="Yes">
      <formula>NOT(ISERROR(SEARCH(("Yes"),(Q45))))</formula>
    </cfRule>
  </conditionalFormatting>
  <conditionalFormatting sqref="Q45:Q46">
    <cfRule type="containsText" dxfId="2" priority="24321" operator="containsText" text="Yes">
      <formula>NOT(ISERROR(SEARCH(("Yes"),(Q45))))</formula>
    </cfRule>
  </conditionalFormatting>
  <conditionalFormatting sqref="Q45:Q46">
    <cfRule type="containsText" dxfId="2" priority="24322" operator="containsText" text="Yes">
      <formula>NOT(ISERROR(SEARCH(("Yes"),(Q45))))</formula>
    </cfRule>
  </conditionalFormatting>
  <conditionalFormatting sqref="Q45:Q46">
    <cfRule type="containsText" dxfId="2" priority="24323" operator="containsText" text="Yes">
      <formula>NOT(ISERROR(SEARCH(("Yes"),(Q45))))</formula>
    </cfRule>
  </conditionalFormatting>
  <conditionalFormatting sqref="Q45:Q46">
    <cfRule type="containsText" dxfId="2" priority="24324" operator="containsText" text="Yes">
      <formula>NOT(ISERROR(SEARCH(("Yes"),(Q45))))</formula>
    </cfRule>
  </conditionalFormatting>
  <conditionalFormatting sqref="Q45:Q46">
    <cfRule type="containsText" dxfId="2" priority="24325" operator="containsText" text="Yes">
      <formula>NOT(ISERROR(SEARCH(("Yes"),(Q45))))</formula>
    </cfRule>
  </conditionalFormatting>
  <conditionalFormatting sqref="Q45:Q46">
    <cfRule type="containsText" dxfId="2" priority="24326" operator="containsText" text="Yes">
      <formula>NOT(ISERROR(SEARCH(("Yes"),(Q45))))</formula>
    </cfRule>
  </conditionalFormatting>
  <conditionalFormatting sqref="Q45:Q46">
    <cfRule type="containsText" dxfId="2" priority="24327" operator="containsText" text="Yes">
      <formula>NOT(ISERROR(SEARCH(("Yes"),(Q45))))</formula>
    </cfRule>
  </conditionalFormatting>
  <conditionalFormatting sqref="Q45:Q46">
    <cfRule type="containsText" dxfId="2" priority="24328" operator="containsText" text="Yes">
      <formula>NOT(ISERROR(SEARCH(("Yes"),(Q45))))</formula>
    </cfRule>
  </conditionalFormatting>
  <conditionalFormatting sqref="Q45:Q46">
    <cfRule type="containsText" dxfId="2" priority="24329" operator="containsText" text="Yes">
      <formula>NOT(ISERROR(SEARCH(("Yes"),(Q45))))</formula>
    </cfRule>
  </conditionalFormatting>
  <conditionalFormatting sqref="Q45:Q46">
    <cfRule type="containsText" dxfId="2" priority="24330" operator="containsText" text="Yes">
      <formula>NOT(ISERROR(SEARCH(("Yes"),(Q45))))</formula>
    </cfRule>
  </conditionalFormatting>
  <conditionalFormatting sqref="Q45:Q46">
    <cfRule type="containsText" dxfId="2" priority="24331" operator="containsText" text="Yes">
      <formula>NOT(ISERROR(SEARCH(("Yes"),(Q45))))</formula>
    </cfRule>
  </conditionalFormatting>
  <conditionalFormatting sqref="Q45:Q46">
    <cfRule type="containsText" dxfId="2" priority="24332" operator="containsText" text="Yes">
      <formula>NOT(ISERROR(SEARCH(("Yes"),(Q45))))</formula>
    </cfRule>
  </conditionalFormatting>
  <conditionalFormatting sqref="N45:N46">
    <cfRule type="containsText" dxfId="9" priority="24333" operator="containsText" text="No">
      <formula>NOT(ISERROR(SEARCH(("No"),(N45))))</formula>
    </cfRule>
  </conditionalFormatting>
  <conditionalFormatting sqref="N45:N46">
    <cfRule type="containsText" dxfId="9" priority="24334" operator="containsText" text="No">
      <formula>NOT(ISERROR(SEARCH(("No"),(N45))))</formula>
    </cfRule>
  </conditionalFormatting>
  <conditionalFormatting sqref="N45:N46">
    <cfRule type="containsText" dxfId="9" priority="24335" operator="containsText" text="No">
      <formula>NOT(ISERROR(SEARCH(("No"),(N45))))</formula>
    </cfRule>
  </conditionalFormatting>
  <conditionalFormatting sqref="N45:N46">
    <cfRule type="containsText" dxfId="9" priority="24336" operator="containsText" text="No">
      <formula>NOT(ISERROR(SEARCH(("No"),(N45))))</formula>
    </cfRule>
  </conditionalFormatting>
  <conditionalFormatting sqref="N45:N46">
    <cfRule type="containsText" dxfId="9" priority="24337" operator="containsText" text="No">
      <formula>NOT(ISERROR(SEARCH(("No"),(N45))))</formula>
    </cfRule>
  </conditionalFormatting>
  <conditionalFormatting sqref="N45:N46">
    <cfRule type="containsText" dxfId="9" priority="24338" operator="containsText" text="No">
      <formula>NOT(ISERROR(SEARCH(("No"),(N45))))</formula>
    </cfRule>
  </conditionalFormatting>
  <conditionalFormatting sqref="N45:N46">
    <cfRule type="containsText" dxfId="9" priority="24339" operator="containsText" text="No">
      <formula>NOT(ISERROR(SEARCH(("No"),(N45))))</formula>
    </cfRule>
  </conditionalFormatting>
  <conditionalFormatting sqref="N45:N46">
    <cfRule type="containsText" dxfId="9" priority="24340" operator="containsText" text="No">
      <formula>NOT(ISERROR(SEARCH(("No"),(N45))))</formula>
    </cfRule>
  </conditionalFormatting>
  <conditionalFormatting sqref="N45:N46">
    <cfRule type="containsText" dxfId="9" priority="24341" operator="containsText" text="No">
      <formula>NOT(ISERROR(SEARCH(("No"),(N45))))</formula>
    </cfRule>
  </conditionalFormatting>
  <conditionalFormatting sqref="N45:N46">
    <cfRule type="containsText" dxfId="9" priority="24342" operator="containsText" text="No">
      <formula>NOT(ISERROR(SEARCH(("No"),(N45))))</formula>
    </cfRule>
  </conditionalFormatting>
  <conditionalFormatting sqref="N45:N46">
    <cfRule type="containsText" dxfId="9" priority="24343" operator="containsText" text="No">
      <formula>NOT(ISERROR(SEARCH(("No"),(N45))))</formula>
    </cfRule>
  </conditionalFormatting>
  <conditionalFormatting sqref="N45:N46">
    <cfRule type="containsText" dxfId="9" priority="24344" operator="containsText" text="No">
      <formula>NOT(ISERROR(SEARCH(("No"),(N45))))</formula>
    </cfRule>
  </conditionalFormatting>
  <conditionalFormatting sqref="N45:N46">
    <cfRule type="containsText" dxfId="9" priority="24345" operator="containsText" text="No">
      <formula>NOT(ISERROR(SEARCH(("No"),(N45))))</formula>
    </cfRule>
  </conditionalFormatting>
  <conditionalFormatting sqref="N45:N46">
    <cfRule type="containsText" dxfId="9" priority="24346" operator="containsText" text="No">
      <formula>NOT(ISERROR(SEARCH(("No"),(N45))))</formula>
    </cfRule>
  </conditionalFormatting>
  <conditionalFormatting sqref="N45:N46">
    <cfRule type="containsText" dxfId="9" priority="24347" operator="containsText" text="No">
      <formula>NOT(ISERROR(SEARCH(("No"),(N45))))</formula>
    </cfRule>
  </conditionalFormatting>
  <conditionalFormatting sqref="N45:N46">
    <cfRule type="containsText" dxfId="9" priority="24348" operator="containsText" text="No">
      <formula>NOT(ISERROR(SEARCH(("No"),(N45))))</formula>
    </cfRule>
  </conditionalFormatting>
  <conditionalFormatting sqref="N45:N46">
    <cfRule type="containsText" dxfId="9" priority="24349" operator="containsText" text="No">
      <formula>NOT(ISERROR(SEARCH(("No"),(N45))))</formula>
    </cfRule>
  </conditionalFormatting>
  <conditionalFormatting sqref="N45:N46">
    <cfRule type="containsText" dxfId="9" priority="24350" operator="containsText" text="No">
      <formula>NOT(ISERROR(SEARCH(("No"),(N45))))</formula>
    </cfRule>
  </conditionalFormatting>
  <conditionalFormatting sqref="N45:N46">
    <cfRule type="containsText" dxfId="9" priority="24351" operator="containsText" text="No">
      <formula>NOT(ISERROR(SEARCH(("No"),(N45))))</formula>
    </cfRule>
  </conditionalFormatting>
  <conditionalFormatting sqref="N45:N46">
    <cfRule type="containsText" dxfId="9" priority="24352" operator="containsText" text="No">
      <formula>NOT(ISERROR(SEARCH(("No"),(N45))))</formula>
    </cfRule>
  </conditionalFormatting>
  <conditionalFormatting sqref="N45:N46">
    <cfRule type="containsText" dxfId="9" priority="24353" operator="containsText" text="No">
      <formula>NOT(ISERROR(SEARCH(("No"),(N45))))</formula>
    </cfRule>
  </conditionalFormatting>
  <conditionalFormatting sqref="N45:N46">
    <cfRule type="containsText" dxfId="9" priority="24354" operator="containsText" text="No">
      <formula>NOT(ISERROR(SEARCH(("No"),(N45))))</formula>
    </cfRule>
  </conditionalFormatting>
  <conditionalFormatting sqref="N45:N46">
    <cfRule type="containsText" dxfId="9" priority="24355" operator="containsText" text="No">
      <formula>NOT(ISERROR(SEARCH(("No"),(N45))))</formula>
    </cfRule>
  </conditionalFormatting>
  <conditionalFormatting sqref="N45:N46">
    <cfRule type="containsText" dxfId="9" priority="24356" operator="containsText" text="No">
      <formula>NOT(ISERROR(SEARCH(("No"),(N45))))</formula>
    </cfRule>
  </conditionalFormatting>
  <conditionalFormatting sqref="N45:N46">
    <cfRule type="containsText" dxfId="9" priority="24357" operator="containsText" text="No">
      <formula>NOT(ISERROR(SEARCH(("No"),(N45))))</formula>
    </cfRule>
  </conditionalFormatting>
  <conditionalFormatting sqref="N45:N46">
    <cfRule type="containsText" dxfId="9" priority="24358" operator="containsText" text="No">
      <formula>NOT(ISERROR(SEARCH(("No"),(N45))))</formula>
    </cfRule>
  </conditionalFormatting>
  <conditionalFormatting sqref="N45:N46">
    <cfRule type="containsText" dxfId="9" priority="24359" operator="containsText" text="No">
      <formula>NOT(ISERROR(SEARCH(("No"),(N45))))</formula>
    </cfRule>
  </conditionalFormatting>
  <conditionalFormatting sqref="N45:N46">
    <cfRule type="containsText" dxfId="9" priority="24360" operator="containsText" text="No">
      <formula>NOT(ISERROR(SEARCH(("No"),(N45))))</formula>
    </cfRule>
  </conditionalFormatting>
  <conditionalFormatting sqref="N45:N46">
    <cfRule type="containsText" dxfId="9" priority="24361" operator="containsText" text="No">
      <formula>NOT(ISERROR(SEARCH(("No"),(N45))))</formula>
    </cfRule>
  </conditionalFormatting>
  <conditionalFormatting sqref="N45:N46">
    <cfRule type="containsText" dxfId="9" priority="24362" operator="containsText" text="No">
      <formula>NOT(ISERROR(SEARCH(("No"),(N45))))</formula>
    </cfRule>
  </conditionalFormatting>
  <conditionalFormatting sqref="N45:N46">
    <cfRule type="containsText" dxfId="9" priority="24363" operator="containsText" text="No">
      <formula>NOT(ISERROR(SEARCH(("No"),(N45))))</formula>
    </cfRule>
  </conditionalFormatting>
  <conditionalFormatting sqref="N45:N46">
    <cfRule type="containsText" dxfId="9" priority="24364" operator="containsText" text="No">
      <formula>NOT(ISERROR(SEARCH(("No"),(N45))))</formula>
    </cfRule>
  </conditionalFormatting>
  <conditionalFormatting sqref="N45:N46">
    <cfRule type="containsText" dxfId="9" priority="24365" operator="containsText" text="No">
      <formula>NOT(ISERROR(SEARCH(("No"),(N45))))</formula>
    </cfRule>
  </conditionalFormatting>
  <conditionalFormatting sqref="N45:N46">
    <cfRule type="containsText" dxfId="9" priority="24366" operator="containsText" text="No">
      <formula>NOT(ISERROR(SEARCH(("No"),(N45))))</formula>
    </cfRule>
  </conditionalFormatting>
  <conditionalFormatting sqref="N45:N46">
    <cfRule type="containsText" dxfId="9" priority="24367" operator="containsText" text="No">
      <formula>NOT(ISERROR(SEARCH(("No"),(N45))))</formula>
    </cfRule>
  </conditionalFormatting>
  <conditionalFormatting sqref="N45:N46">
    <cfRule type="containsText" dxfId="9" priority="24368" operator="containsText" text="No">
      <formula>NOT(ISERROR(SEARCH(("No"),(N45))))</formula>
    </cfRule>
  </conditionalFormatting>
  <conditionalFormatting sqref="N45:N46">
    <cfRule type="containsText" dxfId="9" priority="24369" operator="containsText" text="No">
      <formula>NOT(ISERROR(SEARCH(("No"),(N45))))</formula>
    </cfRule>
  </conditionalFormatting>
  <conditionalFormatting sqref="N45:N46">
    <cfRule type="containsText" dxfId="9" priority="24370" operator="containsText" text="No">
      <formula>NOT(ISERROR(SEARCH(("No"),(N45))))</formula>
    </cfRule>
  </conditionalFormatting>
  <conditionalFormatting sqref="N45:N46">
    <cfRule type="containsText" dxfId="9" priority="24371" operator="containsText" text="No">
      <formula>NOT(ISERROR(SEARCH(("No"),(N45))))</formula>
    </cfRule>
  </conditionalFormatting>
  <conditionalFormatting sqref="N45:N46">
    <cfRule type="containsText" dxfId="9" priority="24372" operator="containsText" text="No">
      <formula>NOT(ISERROR(SEARCH(("No"),(N45))))</formula>
    </cfRule>
  </conditionalFormatting>
  <conditionalFormatting sqref="N45:N46">
    <cfRule type="containsText" dxfId="9" priority="24373" operator="containsText" text="No">
      <formula>NOT(ISERROR(SEARCH(("No"),(N45))))</formula>
    </cfRule>
  </conditionalFormatting>
  <conditionalFormatting sqref="N45:N46">
    <cfRule type="containsText" dxfId="9" priority="24374" operator="containsText" text="No">
      <formula>NOT(ISERROR(SEARCH(("No"),(N45))))</formula>
    </cfRule>
  </conditionalFormatting>
  <conditionalFormatting sqref="N45:N46">
    <cfRule type="containsText" dxfId="9" priority="24375" operator="containsText" text="No">
      <formula>NOT(ISERROR(SEARCH(("No"),(N45))))</formula>
    </cfRule>
  </conditionalFormatting>
  <conditionalFormatting sqref="N45:N46">
    <cfRule type="containsText" dxfId="9" priority="24376" operator="containsText" text="No">
      <formula>NOT(ISERROR(SEARCH(("No"),(N45))))</formula>
    </cfRule>
  </conditionalFormatting>
  <conditionalFormatting sqref="N45:N46">
    <cfRule type="containsText" dxfId="9" priority="24377" operator="containsText" text="No">
      <formula>NOT(ISERROR(SEARCH(("No"),(N45))))</formula>
    </cfRule>
  </conditionalFormatting>
  <conditionalFormatting sqref="N45:N46">
    <cfRule type="containsText" dxfId="2" priority="24378" operator="containsText" text="Yes">
      <formula>NOT(ISERROR(SEARCH(("Yes"),(N45))))</formula>
    </cfRule>
  </conditionalFormatting>
  <conditionalFormatting sqref="N45:N46">
    <cfRule type="containsText" dxfId="2" priority="24379" operator="containsText" text="Yes">
      <formula>NOT(ISERROR(SEARCH(("Yes"),(N45))))</formula>
    </cfRule>
  </conditionalFormatting>
  <conditionalFormatting sqref="N45:N46">
    <cfRule type="containsText" dxfId="2" priority="24380" operator="containsText" text="Yes">
      <formula>NOT(ISERROR(SEARCH(("Yes"),(N45))))</formula>
    </cfRule>
  </conditionalFormatting>
  <conditionalFormatting sqref="N45:N46">
    <cfRule type="containsText" dxfId="2" priority="24381" operator="containsText" text="Yes">
      <formula>NOT(ISERROR(SEARCH(("Yes"),(N45))))</formula>
    </cfRule>
  </conditionalFormatting>
  <conditionalFormatting sqref="N45:N46">
    <cfRule type="containsText" dxfId="2" priority="24382" operator="containsText" text="Yes">
      <formula>NOT(ISERROR(SEARCH(("Yes"),(N45))))</formula>
    </cfRule>
  </conditionalFormatting>
  <conditionalFormatting sqref="N45:N46">
    <cfRule type="containsText" dxfId="2" priority="24383" operator="containsText" text="Yes">
      <formula>NOT(ISERROR(SEARCH(("Yes"),(N45))))</formula>
    </cfRule>
  </conditionalFormatting>
  <conditionalFormatting sqref="N45:N46">
    <cfRule type="containsText" dxfId="2" priority="24384" operator="containsText" text="Yes">
      <formula>NOT(ISERROR(SEARCH(("Yes"),(N45))))</formula>
    </cfRule>
  </conditionalFormatting>
  <conditionalFormatting sqref="N45:N46">
    <cfRule type="containsText" dxfId="2" priority="24385" operator="containsText" text="Yes">
      <formula>NOT(ISERROR(SEARCH(("Yes"),(N45))))</formula>
    </cfRule>
  </conditionalFormatting>
  <conditionalFormatting sqref="N45:N46">
    <cfRule type="containsText" dxfId="2" priority="24386" operator="containsText" text="Yes">
      <formula>NOT(ISERROR(SEARCH(("Yes"),(N45))))</formula>
    </cfRule>
  </conditionalFormatting>
  <conditionalFormatting sqref="N45:N46">
    <cfRule type="containsText" dxfId="2" priority="24387" operator="containsText" text="Yes">
      <formula>NOT(ISERROR(SEARCH(("Yes"),(N45))))</formula>
    </cfRule>
  </conditionalFormatting>
  <conditionalFormatting sqref="N45:N46">
    <cfRule type="containsText" dxfId="2" priority="24388" operator="containsText" text="Yes">
      <formula>NOT(ISERROR(SEARCH(("Yes"),(N45))))</formula>
    </cfRule>
  </conditionalFormatting>
  <conditionalFormatting sqref="N45:N46">
    <cfRule type="containsText" dxfId="2" priority="24389" operator="containsText" text="Yes">
      <formula>NOT(ISERROR(SEARCH(("Yes"),(N45))))</formula>
    </cfRule>
  </conditionalFormatting>
  <conditionalFormatting sqref="N45:N46">
    <cfRule type="containsText" dxfId="2" priority="24390" operator="containsText" text="Yes">
      <formula>NOT(ISERROR(SEARCH(("Yes"),(N45))))</formula>
    </cfRule>
  </conditionalFormatting>
  <conditionalFormatting sqref="N45:N46">
    <cfRule type="containsText" dxfId="2" priority="24391" operator="containsText" text="Yes">
      <formula>NOT(ISERROR(SEARCH(("Yes"),(N45))))</formula>
    </cfRule>
  </conditionalFormatting>
  <conditionalFormatting sqref="N45:N46">
    <cfRule type="containsText" dxfId="2" priority="24392" operator="containsText" text="Yes">
      <formula>NOT(ISERROR(SEARCH(("Yes"),(N45))))</formula>
    </cfRule>
  </conditionalFormatting>
  <conditionalFormatting sqref="N45:N46">
    <cfRule type="containsText" dxfId="2" priority="24393" operator="containsText" text="Yes">
      <formula>NOT(ISERROR(SEARCH(("Yes"),(N45))))</formula>
    </cfRule>
  </conditionalFormatting>
  <conditionalFormatting sqref="N45:N46">
    <cfRule type="containsText" dxfId="2" priority="24394" operator="containsText" text="Yes">
      <formula>NOT(ISERROR(SEARCH(("Yes"),(N45))))</formula>
    </cfRule>
  </conditionalFormatting>
  <conditionalFormatting sqref="N45:N46">
    <cfRule type="containsText" dxfId="2" priority="24395" operator="containsText" text="Yes">
      <formula>NOT(ISERROR(SEARCH(("Yes"),(N45))))</formula>
    </cfRule>
  </conditionalFormatting>
  <conditionalFormatting sqref="N45:N46">
    <cfRule type="containsText" dxfId="2" priority="24396" operator="containsText" text="Yes">
      <formula>NOT(ISERROR(SEARCH(("Yes"),(N45))))</formula>
    </cfRule>
  </conditionalFormatting>
  <conditionalFormatting sqref="N45:N46">
    <cfRule type="containsText" dxfId="2" priority="24397" operator="containsText" text="Yes">
      <formula>NOT(ISERROR(SEARCH(("Yes"),(N45))))</formula>
    </cfRule>
  </conditionalFormatting>
  <conditionalFormatting sqref="N45:N46">
    <cfRule type="containsText" dxfId="2" priority="24398" operator="containsText" text="Yes">
      <formula>NOT(ISERROR(SEARCH(("Yes"),(N45))))</formula>
    </cfRule>
  </conditionalFormatting>
  <conditionalFormatting sqref="N45:N46">
    <cfRule type="containsText" dxfId="2" priority="24399" operator="containsText" text="Yes">
      <formula>NOT(ISERROR(SEARCH(("Yes"),(N45))))</formula>
    </cfRule>
  </conditionalFormatting>
  <conditionalFormatting sqref="N45:N46">
    <cfRule type="containsText" dxfId="2" priority="24400" operator="containsText" text="Yes">
      <formula>NOT(ISERROR(SEARCH(("Yes"),(N45))))</formula>
    </cfRule>
  </conditionalFormatting>
  <conditionalFormatting sqref="N45:N46">
    <cfRule type="containsText" dxfId="2" priority="24401" operator="containsText" text="Yes">
      <formula>NOT(ISERROR(SEARCH(("Yes"),(N45))))</formula>
    </cfRule>
  </conditionalFormatting>
  <conditionalFormatting sqref="N45:N46">
    <cfRule type="containsText" dxfId="2" priority="24402" operator="containsText" text="Yes">
      <formula>NOT(ISERROR(SEARCH(("Yes"),(N45))))</formula>
    </cfRule>
  </conditionalFormatting>
  <conditionalFormatting sqref="N45:N46">
    <cfRule type="containsText" dxfId="2" priority="24403" operator="containsText" text="Yes">
      <formula>NOT(ISERROR(SEARCH(("Yes"),(N45))))</formula>
    </cfRule>
  </conditionalFormatting>
  <conditionalFormatting sqref="N45:N46">
    <cfRule type="containsText" dxfId="2" priority="24404" operator="containsText" text="Yes">
      <formula>NOT(ISERROR(SEARCH(("Yes"),(N45))))</formula>
    </cfRule>
  </conditionalFormatting>
  <conditionalFormatting sqref="N45:N46">
    <cfRule type="containsText" dxfId="2" priority="24405" operator="containsText" text="Yes">
      <formula>NOT(ISERROR(SEARCH(("Yes"),(N45))))</formula>
    </cfRule>
  </conditionalFormatting>
  <conditionalFormatting sqref="N45:N46">
    <cfRule type="containsText" dxfId="2" priority="24406" operator="containsText" text="Yes">
      <formula>NOT(ISERROR(SEARCH(("Yes"),(N45))))</formula>
    </cfRule>
  </conditionalFormatting>
  <conditionalFormatting sqref="N45:N46">
    <cfRule type="containsText" dxfId="2" priority="24407" operator="containsText" text="Yes">
      <formula>NOT(ISERROR(SEARCH(("Yes"),(N45))))</formula>
    </cfRule>
  </conditionalFormatting>
  <conditionalFormatting sqref="N45:N46">
    <cfRule type="containsText" dxfId="2" priority="24408" operator="containsText" text="Yes">
      <formula>NOT(ISERROR(SEARCH(("Yes"),(N45))))</formula>
    </cfRule>
  </conditionalFormatting>
  <conditionalFormatting sqref="N45:N46">
    <cfRule type="containsText" dxfId="2" priority="24409" operator="containsText" text="Yes">
      <formula>NOT(ISERROR(SEARCH(("Yes"),(N45))))</formula>
    </cfRule>
  </conditionalFormatting>
  <conditionalFormatting sqref="N45:N46">
    <cfRule type="containsText" dxfId="2" priority="24410" operator="containsText" text="Yes">
      <formula>NOT(ISERROR(SEARCH(("Yes"),(N45))))</formula>
    </cfRule>
  </conditionalFormatting>
  <conditionalFormatting sqref="N45:N46">
    <cfRule type="containsText" dxfId="2" priority="24411" operator="containsText" text="Yes">
      <formula>NOT(ISERROR(SEARCH(("Yes"),(N45))))</formula>
    </cfRule>
  </conditionalFormatting>
  <conditionalFormatting sqref="N45:N46">
    <cfRule type="containsText" dxfId="2" priority="24412" operator="containsText" text="Yes">
      <formula>NOT(ISERROR(SEARCH(("Yes"),(N45))))</formula>
    </cfRule>
  </conditionalFormatting>
  <conditionalFormatting sqref="N45:N46">
    <cfRule type="containsText" dxfId="2" priority="24413" operator="containsText" text="Yes">
      <formula>NOT(ISERROR(SEARCH(("Yes"),(N45))))</formula>
    </cfRule>
  </conditionalFormatting>
  <conditionalFormatting sqref="N45:N46">
    <cfRule type="containsText" dxfId="2" priority="24414" operator="containsText" text="Yes">
      <formula>NOT(ISERROR(SEARCH(("Yes"),(N45))))</formula>
    </cfRule>
  </conditionalFormatting>
  <conditionalFormatting sqref="N45:N46">
    <cfRule type="containsText" dxfId="2" priority="24415" operator="containsText" text="Yes">
      <formula>NOT(ISERROR(SEARCH(("Yes"),(N45))))</formula>
    </cfRule>
  </conditionalFormatting>
  <conditionalFormatting sqref="N45:N46">
    <cfRule type="containsText" dxfId="2" priority="24416" operator="containsText" text="Yes">
      <formula>NOT(ISERROR(SEARCH(("Yes"),(N45))))</formula>
    </cfRule>
  </conditionalFormatting>
  <conditionalFormatting sqref="N45:N46">
    <cfRule type="containsText" dxfId="2" priority="24417" operator="containsText" text="Yes">
      <formula>NOT(ISERROR(SEARCH(("Yes"),(N45))))</formula>
    </cfRule>
  </conditionalFormatting>
  <conditionalFormatting sqref="N45:N46">
    <cfRule type="containsText" dxfId="2" priority="24418" operator="containsText" text="Yes">
      <formula>NOT(ISERROR(SEARCH(("Yes"),(N45))))</formula>
    </cfRule>
  </conditionalFormatting>
  <conditionalFormatting sqref="N45:N46">
    <cfRule type="containsText" dxfId="2" priority="24419" operator="containsText" text="Yes">
      <formula>NOT(ISERROR(SEARCH(("Yes"),(N45))))</formula>
    </cfRule>
  </conditionalFormatting>
  <conditionalFormatting sqref="N45:N46">
    <cfRule type="containsText" dxfId="2" priority="24420" operator="containsText" text="Yes">
      <formula>NOT(ISERROR(SEARCH(("Yes"),(N45))))</formula>
    </cfRule>
  </conditionalFormatting>
  <conditionalFormatting sqref="N45:N46">
    <cfRule type="containsText" dxfId="2" priority="24421" operator="containsText" text="Yes">
      <formula>NOT(ISERROR(SEARCH(("Yes"),(N45))))</formula>
    </cfRule>
  </conditionalFormatting>
  <conditionalFormatting sqref="N45:N46">
    <cfRule type="containsText" dxfId="2" priority="24422" operator="containsText" text="Yes">
      <formula>NOT(ISERROR(SEARCH(("Yes"),(N45))))</formula>
    </cfRule>
  </conditionalFormatting>
  <conditionalFormatting sqref="N45:N46">
    <cfRule type="containsText" dxfId="2" priority="24423" operator="containsText" text="Yes">
      <formula>NOT(ISERROR(SEARCH(("Yes"),(N45))))</formula>
    </cfRule>
  </conditionalFormatting>
  <conditionalFormatting sqref="N45:N46">
    <cfRule type="containsText" dxfId="2" priority="24424" operator="containsText" text="Yes">
      <formula>NOT(ISERROR(SEARCH(("Yes"),(N45))))</formula>
    </cfRule>
  </conditionalFormatting>
  <conditionalFormatting sqref="O45:O46">
    <cfRule type="containsText" dxfId="9" priority="24425" operator="containsText" text="No">
      <formula>NOT(ISERROR(SEARCH(("No"),(O45))))</formula>
    </cfRule>
  </conditionalFormatting>
  <conditionalFormatting sqref="O45:O46">
    <cfRule type="containsText" dxfId="9" priority="24426" operator="containsText" text="No">
      <formula>NOT(ISERROR(SEARCH(("No"),(O45))))</formula>
    </cfRule>
  </conditionalFormatting>
  <conditionalFormatting sqref="O45:O46">
    <cfRule type="containsText" dxfId="9" priority="24427" operator="containsText" text="No">
      <formula>NOT(ISERROR(SEARCH(("No"),(O45))))</formula>
    </cfRule>
  </conditionalFormatting>
  <conditionalFormatting sqref="O45:O46">
    <cfRule type="containsText" dxfId="9" priority="24428" operator="containsText" text="No">
      <formula>NOT(ISERROR(SEARCH(("No"),(O45))))</formula>
    </cfRule>
  </conditionalFormatting>
  <conditionalFormatting sqref="O45:O46">
    <cfRule type="containsText" dxfId="9" priority="24429" operator="containsText" text="No">
      <formula>NOT(ISERROR(SEARCH(("No"),(O45))))</formula>
    </cfRule>
  </conditionalFormatting>
  <conditionalFormatting sqref="O45:O46">
    <cfRule type="containsText" dxfId="9" priority="24430" operator="containsText" text="No">
      <formula>NOT(ISERROR(SEARCH(("No"),(O45))))</formula>
    </cfRule>
  </conditionalFormatting>
  <conditionalFormatting sqref="O45:O46">
    <cfRule type="containsText" dxfId="9" priority="24431" operator="containsText" text="No">
      <formula>NOT(ISERROR(SEARCH(("No"),(O45))))</formula>
    </cfRule>
  </conditionalFormatting>
  <conditionalFormatting sqref="O45:O46">
    <cfRule type="containsText" dxfId="9" priority="24432" operator="containsText" text="No">
      <formula>NOT(ISERROR(SEARCH(("No"),(O45))))</formula>
    </cfRule>
  </conditionalFormatting>
  <conditionalFormatting sqref="O45:O46">
    <cfRule type="containsText" dxfId="9" priority="24433" operator="containsText" text="No">
      <formula>NOT(ISERROR(SEARCH(("No"),(O45))))</formula>
    </cfRule>
  </conditionalFormatting>
  <conditionalFormatting sqref="O45:O46">
    <cfRule type="containsText" dxfId="9" priority="24434" operator="containsText" text="No">
      <formula>NOT(ISERROR(SEARCH(("No"),(O45))))</formula>
    </cfRule>
  </conditionalFormatting>
  <conditionalFormatting sqref="O45:O46">
    <cfRule type="containsText" dxfId="9" priority="24435" operator="containsText" text="No">
      <formula>NOT(ISERROR(SEARCH(("No"),(O45))))</formula>
    </cfRule>
  </conditionalFormatting>
  <conditionalFormatting sqref="O45:O46">
    <cfRule type="containsText" dxfId="9" priority="24436" operator="containsText" text="No">
      <formula>NOT(ISERROR(SEARCH(("No"),(O45))))</formula>
    </cfRule>
  </conditionalFormatting>
  <conditionalFormatting sqref="O45:O46">
    <cfRule type="containsText" dxfId="9" priority="24437" operator="containsText" text="No">
      <formula>NOT(ISERROR(SEARCH(("No"),(O45))))</formula>
    </cfRule>
  </conditionalFormatting>
  <conditionalFormatting sqref="O45:O46">
    <cfRule type="containsText" dxfId="9" priority="24438" operator="containsText" text="No">
      <formula>NOT(ISERROR(SEARCH(("No"),(O45))))</formula>
    </cfRule>
  </conditionalFormatting>
  <conditionalFormatting sqref="O45:O46">
    <cfRule type="containsText" dxfId="9" priority="24439" operator="containsText" text="No">
      <formula>NOT(ISERROR(SEARCH(("No"),(O45))))</formula>
    </cfRule>
  </conditionalFormatting>
  <conditionalFormatting sqref="O45:O46">
    <cfRule type="containsText" dxfId="9" priority="24440" operator="containsText" text="No">
      <formula>NOT(ISERROR(SEARCH(("No"),(O45))))</formula>
    </cfRule>
  </conditionalFormatting>
  <conditionalFormatting sqref="O45:O46">
    <cfRule type="containsText" dxfId="9" priority="24441" operator="containsText" text="No">
      <formula>NOT(ISERROR(SEARCH(("No"),(O45))))</formula>
    </cfRule>
  </conditionalFormatting>
  <conditionalFormatting sqref="O45:O46">
    <cfRule type="containsText" dxfId="9" priority="24442" operator="containsText" text="No">
      <formula>NOT(ISERROR(SEARCH(("No"),(O45))))</formula>
    </cfRule>
  </conditionalFormatting>
  <conditionalFormatting sqref="O45:O46">
    <cfRule type="containsText" dxfId="9" priority="24443" operator="containsText" text="No">
      <formula>NOT(ISERROR(SEARCH(("No"),(O45))))</formula>
    </cfRule>
  </conditionalFormatting>
  <conditionalFormatting sqref="O45:O46">
    <cfRule type="containsText" dxfId="9" priority="24444" operator="containsText" text="No">
      <formula>NOT(ISERROR(SEARCH(("No"),(O45))))</formula>
    </cfRule>
  </conditionalFormatting>
  <conditionalFormatting sqref="O45:O46">
    <cfRule type="containsText" dxfId="9" priority="24445" operator="containsText" text="No">
      <formula>NOT(ISERROR(SEARCH(("No"),(O45))))</formula>
    </cfRule>
  </conditionalFormatting>
  <conditionalFormatting sqref="O45:O46">
    <cfRule type="containsText" dxfId="9" priority="24446" operator="containsText" text="No">
      <formula>NOT(ISERROR(SEARCH(("No"),(O45))))</formula>
    </cfRule>
  </conditionalFormatting>
  <conditionalFormatting sqref="O45:O46">
    <cfRule type="containsText" dxfId="9" priority="24447" operator="containsText" text="No">
      <formula>NOT(ISERROR(SEARCH(("No"),(O45))))</formula>
    </cfRule>
  </conditionalFormatting>
  <conditionalFormatting sqref="O45:O46">
    <cfRule type="containsText" dxfId="9" priority="24448" operator="containsText" text="No">
      <formula>NOT(ISERROR(SEARCH(("No"),(O45))))</formula>
    </cfRule>
  </conditionalFormatting>
  <conditionalFormatting sqref="O45:O46">
    <cfRule type="containsText" dxfId="9" priority="24449" operator="containsText" text="No">
      <formula>NOT(ISERROR(SEARCH(("No"),(O45))))</formula>
    </cfRule>
  </conditionalFormatting>
  <conditionalFormatting sqref="O45:O46">
    <cfRule type="containsText" dxfId="9" priority="24450" operator="containsText" text="No">
      <formula>NOT(ISERROR(SEARCH(("No"),(O45))))</formula>
    </cfRule>
  </conditionalFormatting>
  <conditionalFormatting sqref="O45:O46">
    <cfRule type="containsText" dxfId="9" priority="24451" operator="containsText" text="No">
      <formula>NOT(ISERROR(SEARCH(("No"),(O45))))</formula>
    </cfRule>
  </conditionalFormatting>
  <conditionalFormatting sqref="O45:O46">
    <cfRule type="containsText" dxfId="9" priority="24452" operator="containsText" text="No">
      <formula>NOT(ISERROR(SEARCH(("No"),(O45))))</formula>
    </cfRule>
  </conditionalFormatting>
  <conditionalFormatting sqref="O45:O46">
    <cfRule type="containsText" dxfId="9" priority="24453" operator="containsText" text="No">
      <formula>NOT(ISERROR(SEARCH(("No"),(O45))))</formula>
    </cfRule>
  </conditionalFormatting>
  <conditionalFormatting sqref="O45:O46">
    <cfRule type="containsText" dxfId="9" priority="24454" operator="containsText" text="No">
      <formula>NOT(ISERROR(SEARCH(("No"),(O45))))</formula>
    </cfRule>
  </conditionalFormatting>
  <conditionalFormatting sqref="O45:O46">
    <cfRule type="containsText" dxfId="9" priority="24455" operator="containsText" text="No">
      <formula>NOT(ISERROR(SEARCH(("No"),(O45))))</formula>
    </cfRule>
  </conditionalFormatting>
  <conditionalFormatting sqref="O45:O46">
    <cfRule type="containsText" dxfId="9" priority="24456" operator="containsText" text="No">
      <formula>NOT(ISERROR(SEARCH(("No"),(O45))))</formula>
    </cfRule>
  </conditionalFormatting>
  <conditionalFormatting sqref="O45:O46">
    <cfRule type="containsText" dxfId="9" priority="24457" operator="containsText" text="No">
      <formula>NOT(ISERROR(SEARCH(("No"),(O45))))</formula>
    </cfRule>
  </conditionalFormatting>
  <conditionalFormatting sqref="O45:O46">
    <cfRule type="containsText" dxfId="9" priority="24458" operator="containsText" text="No">
      <formula>NOT(ISERROR(SEARCH(("No"),(O45))))</formula>
    </cfRule>
  </conditionalFormatting>
  <conditionalFormatting sqref="O45:O46">
    <cfRule type="containsText" dxfId="9" priority="24459" operator="containsText" text="No">
      <formula>NOT(ISERROR(SEARCH(("No"),(O45))))</formula>
    </cfRule>
  </conditionalFormatting>
  <conditionalFormatting sqref="O45:O46">
    <cfRule type="containsText" dxfId="9" priority="24460" operator="containsText" text="No">
      <formula>NOT(ISERROR(SEARCH(("No"),(O45))))</formula>
    </cfRule>
  </conditionalFormatting>
  <conditionalFormatting sqref="O45:O46">
    <cfRule type="containsText" dxfId="9" priority="24461" operator="containsText" text="No">
      <formula>NOT(ISERROR(SEARCH(("No"),(O45))))</formula>
    </cfRule>
  </conditionalFormatting>
  <conditionalFormatting sqref="O45:O46">
    <cfRule type="containsText" dxfId="9" priority="24462" operator="containsText" text="No">
      <formula>NOT(ISERROR(SEARCH(("No"),(O45))))</formula>
    </cfRule>
  </conditionalFormatting>
  <conditionalFormatting sqref="O45:O46">
    <cfRule type="containsText" dxfId="9" priority="24463" operator="containsText" text="No">
      <formula>NOT(ISERROR(SEARCH(("No"),(O45))))</formula>
    </cfRule>
  </conditionalFormatting>
  <conditionalFormatting sqref="O45:O46">
    <cfRule type="containsText" dxfId="9" priority="24464" operator="containsText" text="No">
      <formula>NOT(ISERROR(SEARCH(("No"),(O45))))</formula>
    </cfRule>
  </conditionalFormatting>
  <conditionalFormatting sqref="O45:O46">
    <cfRule type="containsText" dxfId="9" priority="24465" operator="containsText" text="No">
      <formula>NOT(ISERROR(SEARCH(("No"),(O45))))</formula>
    </cfRule>
  </conditionalFormatting>
  <conditionalFormatting sqref="O45:O46">
    <cfRule type="containsText" dxfId="9" priority="24466" operator="containsText" text="No">
      <formula>NOT(ISERROR(SEARCH(("No"),(O45))))</formula>
    </cfRule>
  </conditionalFormatting>
  <conditionalFormatting sqref="O45:O46">
    <cfRule type="containsText" dxfId="9" priority="24467" operator="containsText" text="No">
      <formula>NOT(ISERROR(SEARCH(("No"),(O45))))</formula>
    </cfRule>
  </conditionalFormatting>
  <conditionalFormatting sqref="O45:O46">
    <cfRule type="containsText" dxfId="9" priority="24468" operator="containsText" text="No">
      <formula>NOT(ISERROR(SEARCH(("No"),(O45))))</formula>
    </cfRule>
  </conditionalFormatting>
  <conditionalFormatting sqref="O45:O46">
    <cfRule type="containsText" dxfId="9" priority="24469" operator="containsText" text="No">
      <formula>NOT(ISERROR(SEARCH(("No"),(O45))))</formula>
    </cfRule>
  </conditionalFormatting>
  <conditionalFormatting sqref="O45:O46">
    <cfRule type="containsText" dxfId="2" priority="24470" operator="containsText" text="Yes">
      <formula>NOT(ISERROR(SEARCH(("Yes"),(O45))))</formula>
    </cfRule>
  </conditionalFormatting>
  <conditionalFormatting sqref="O45:O46">
    <cfRule type="containsText" dxfId="2" priority="24471" operator="containsText" text="Yes">
      <formula>NOT(ISERROR(SEARCH(("Yes"),(O45))))</formula>
    </cfRule>
  </conditionalFormatting>
  <conditionalFormatting sqref="O45:O46">
    <cfRule type="containsText" dxfId="2" priority="24472" operator="containsText" text="Yes">
      <formula>NOT(ISERROR(SEARCH(("Yes"),(O45))))</formula>
    </cfRule>
  </conditionalFormatting>
  <conditionalFormatting sqref="O45:O46">
    <cfRule type="containsText" dxfId="2" priority="24473" operator="containsText" text="Yes">
      <formula>NOT(ISERROR(SEARCH(("Yes"),(O45))))</formula>
    </cfRule>
  </conditionalFormatting>
  <conditionalFormatting sqref="O45:O46">
    <cfRule type="containsText" dxfId="2" priority="24474" operator="containsText" text="Yes">
      <formula>NOT(ISERROR(SEARCH(("Yes"),(O45))))</formula>
    </cfRule>
  </conditionalFormatting>
  <conditionalFormatting sqref="O45:O46">
    <cfRule type="containsText" dxfId="2" priority="24475" operator="containsText" text="Yes">
      <formula>NOT(ISERROR(SEARCH(("Yes"),(O45))))</formula>
    </cfRule>
  </conditionalFormatting>
  <conditionalFormatting sqref="O45:O46">
    <cfRule type="containsText" dxfId="2" priority="24476" operator="containsText" text="Yes">
      <formula>NOT(ISERROR(SEARCH(("Yes"),(O45))))</formula>
    </cfRule>
  </conditionalFormatting>
  <conditionalFormatting sqref="O45:O46">
    <cfRule type="containsText" dxfId="2" priority="24477" operator="containsText" text="Yes">
      <formula>NOT(ISERROR(SEARCH(("Yes"),(O45))))</formula>
    </cfRule>
  </conditionalFormatting>
  <conditionalFormatting sqref="O45:O46">
    <cfRule type="containsText" dxfId="2" priority="24478" operator="containsText" text="Yes">
      <formula>NOT(ISERROR(SEARCH(("Yes"),(O45))))</formula>
    </cfRule>
  </conditionalFormatting>
  <conditionalFormatting sqref="O45:O46">
    <cfRule type="containsText" dxfId="2" priority="24479" operator="containsText" text="Yes">
      <formula>NOT(ISERROR(SEARCH(("Yes"),(O45))))</formula>
    </cfRule>
  </conditionalFormatting>
  <conditionalFormatting sqref="O45:O46">
    <cfRule type="containsText" dxfId="2" priority="24480" operator="containsText" text="Yes">
      <formula>NOT(ISERROR(SEARCH(("Yes"),(O45))))</formula>
    </cfRule>
  </conditionalFormatting>
  <conditionalFormatting sqref="O45:O46">
    <cfRule type="containsText" dxfId="2" priority="24481" operator="containsText" text="Yes">
      <formula>NOT(ISERROR(SEARCH(("Yes"),(O45))))</formula>
    </cfRule>
  </conditionalFormatting>
  <conditionalFormatting sqref="O45:O46">
    <cfRule type="containsText" dxfId="2" priority="24482" operator="containsText" text="Yes">
      <formula>NOT(ISERROR(SEARCH(("Yes"),(O45))))</formula>
    </cfRule>
  </conditionalFormatting>
  <conditionalFormatting sqref="O45:O46">
    <cfRule type="containsText" dxfId="2" priority="24483" operator="containsText" text="Yes">
      <formula>NOT(ISERROR(SEARCH(("Yes"),(O45))))</formula>
    </cfRule>
  </conditionalFormatting>
  <conditionalFormatting sqref="O45:O46">
    <cfRule type="containsText" dxfId="2" priority="24484" operator="containsText" text="Yes">
      <formula>NOT(ISERROR(SEARCH(("Yes"),(O45))))</formula>
    </cfRule>
  </conditionalFormatting>
  <conditionalFormatting sqref="O45:O46">
    <cfRule type="containsText" dxfId="2" priority="24485" operator="containsText" text="Yes">
      <formula>NOT(ISERROR(SEARCH(("Yes"),(O45))))</formula>
    </cfRule>
  </conditionalFormatting>
  <conditionalFormatting sqref="O45:O46">
    <cfRule type="containsText" dxfId="2" priority="24486" operator="containsText" text="Yes">
      <formula>NOT(ISERROR(SEARCH(("Yes"),(O45))))</formula>
    </cfRule>
  </conditionalFormatting>
  <conditionalFormatting sqref="O45:O46">
    <cfRule type="containsText" dxfId="2" priority="24487" operator="containsText" text="Yes">
      <formula>NOT(ISERROR(SEARCH(("Yes"),(O45))))</formula>
    </cfRule>
  </conditionalFormatting>
  <conditionalFormatting sqref="O45:O46">
    <cfRule type="containsText" dxfId="2" priority="24488" operator="containsText" text="Yes">
      <formula>NOT(ISERROR(SEARCH(("Yes"),(O45))))</formula>
    </cfRule>
  </conditionalFormatting>
  <conditionalFormatting sqref="O45:O46">
    <cfRule type="containsText" dxfId="2" priority="24489" operator="containsText" text="Yes">
      <formula>NOT(ISERROR(SEARCH(("Yes"),(O45))))</formula>
    </cfRule>
  </conditionalFormatting>
  <conditionalFormatting sqref="O45:O46">
    <cfRule type="containsText" dxfId="2" priority="24490" operator="containsText" text="Yes">
      <formula>NOT(ISERROR(SEARCH(("Yes"),(O45))))</formula>
    </cfRule>
  </conditionalFormatting>
  <conditionalFormatting sqref="O45:O46">
    <cfRule type="containsText" dxfId="2" priority="24491" operator="containsText" text="Yes">
      <formula>NOT(ISERROR(SEARCH(("Yes"),(O45))))</formula>
    </cfRule>
  </conditionalFormatting>
  <conditionalFormatting sqref="O45:O46">
    <cfRule type="containsText" dxfId="2" priority="24492" operator="containsText" text="Yes">
      <formula>NOT(ISERROR(SEARCH(("Yes"),(O45))))</formula>
    </cfRule>
  </conditionalFormatting>
  <conditionalFormatting sqref="O45:O46">
    <cfRule type="containsText" dxfId="2" priority="24493" operator="containsText" text="Yes">
      <formula>NOT(ISERROR(SEARCH(("Yes"),(O45))))</formula>
    </cfRule>
  </conditionalFormatting>
  <conditionalFormatting sqref="O45:O46">
    <cfRule type="containsText" dxfId="2" priority="24494" operator="containsText" text="Yes">
      <formula>NOT(ISERROR(SEARCH(("Yes"),(O45))))</formula>
    </cfRule>
  </conditionalFormatting>
  <conditionalFormatting sqref="O45:O46">
    <cfRule type="containsText" dxfId="2" priority="24495" operator="containsText" text="Yes">
      <formula>NOT(ISERROR(SEARCH(("Yes"),(O45))))</formula>
    </cfRule>
  </conditionalFormatting>
  <conditionalFormatting sqref="O45:O46">
    <cfRule type="containsText" dxfId="2" priority="24496" operator="containsText" text="Yes">
      <formula>NOT(ISERROR(SEARCH(("Yes"),(O45))))</formula>
    </cfRule>
  </conditionalFormatting>
  <conditionalFormatting sqref="O45:O46">
    <cfRule type="containsText" dxfId="2" priority="24497" operator="containsText" text="Yes">
      <formula>NOT(ISERROR(SEARCH(("Yes"),(O45))))</formula>
    </cfRule>
  </conditionalFormatting>
  <conditionalFormatting sqref="O45:O46">
    <cfRule type="containsText" dxfId="2" priority="24498" operator="containsText" text="Yes">
      <formula>NOT(ISERROR(SEARCH(("Yes"),(O45))))</formula>
    </cfRule>
  </conditionalFormatting>
  <conditionalFormatting sqref="O45:O46">
    <cfRule type="containsText" dxfId="2" priority="24499" operator="containsText" text="Yes">
      <formula>NOT(ISERROR(SEARCH(("Yes"),(O45))))</formula>
    </cfRule>
  </conditionalFormatting>
  <conditionalFormatting sqref="O45:O46">
    <cfRule type="containsText" dxfId="2" priority="24500" operator="containsText" text="Yes">
      <formula>NOT(ISERROR(SEARCH(("Yes"),(O45))))</formula>
    </cfRule>
  </conditionalFormatting>
  <conditionalFormatting sqref="O45:O46">
    <cfRule type="containsText" dxfId="2" priority="24501" operator="containsText" text="Yes">
      <formula>NOT(ISERROR(SEARCH(("Yes"),(O45))))</formula>
    </cfRule>
  </conditionalFormatting>
  <conditionalFormatting sqref="O45:O46">
    <cfRule type="containsText" dxfId="2" priority="24502" operator="containsText" text="Yes">
      <formula>NOT(ISERROR(SEARCH(("Yes"),(O45))))</formula>
    </cfRule>
  </conditionalFormatting>
  <conditionalFormatting sqref="O45:O46">
    <cfRule type="containsText" dxfId="2" priority="24503" operator="containsText" text="Yes">
      <formula>NOT(ISERROR(SEARCH(("Yes"),(O45))))</formula>
    </cfRule>
  </conditionalFormatting>
  <conditionalFormatting sqref="O45:O46">
    <cfRule type="containsText" dxfId="2" priority="24504" operator="containsText" text="Yes">
      <formula>NOT(ISERROR(SEARCH(("Yes"),(O45))))</formula>
    </cfRule>
  </conditionalFormatting>
  <conditionalFormatting sqref="O45:O46">
    <cfRule type="containsText" dxfId="2" priority="24505" operator="containsText" text="Yes">
      <formula>NOT(ISERROR(SEARCH(("Yes"),(O45))))</formula>
    </cfRule>
  </conditionalFormatting>
  <conditionalFormatting sqref="O45:O46">
    <cfRule type="containsText" dxfId="2" priority="24506" operator="containsText" text="Yes">
      <formula>NOT(ISERROR(SEARCH(("Yes"),(O45))))</formula>
    </cfRule>
  </conditionalFormatting>
  <conditionalFormatting sqref="O45:O46">
    <cfRule type="containsText" dxfId="2" priority="24507" operator="containsText" text="Yes">
      <formula>NOT(ISERROR(SEARCH(("Yes"),(O45))))</formula>
    </cfRule>
  </conditionalFormatting>
  <conditionalFormatting sqref="O45:O46">
    <cfRule type="containsText" dxfId="2" priority="24508" operator="containsText" text="Yes">
      <formula>NOT(ISERROR(SEARCH(("Yes"),(O45))))</formula>
    </cfRule>
  </conditionalFormatting>
  <conditionalFormatting sqref="O45:O46">
    <cfRule type="containsText" dxfId="2" priority="24509" operator="containsText" text="Yes">
      <formula>NOT(ISERROR(SEARCH(("Yes"),(O45))))</formula>
    </cfRule>
  </conditionalFormatting>
  <conditionalFormatting sqref="O45:O46">
    <cfRule type="containsText" dxfId="2" priority="24510" operator="containsText" text="Yes">
      <formula>NOT(ISERROR(SEARCH(("Yes"),(O45))))</formula>
    </cfRule>
  </conditionalFormatting>
  <conditionalFormatting sqref="O45:O46">
    <cfRule type="containsText" dxfId="2" priority="24511" operator="containsText" text="Yes">
      <formula>NOT(ISERROR(SEARCH(("Yes"),(O45))))</formula>
    </cfRule>
  </conditionalFormatting>
  <conditionalFormatting sqref="O45:O46">
    <cfRule type="containsText" dxfId="2" priority="24512" operator="containsText" text="Yes">
      <formula>NOT(ISERROR(SEARCH(("Yes"),(O45))))</formula>
    </cfRule>
  </conditionalFormatting>
  <conditionalFormatting sqref="O45:O46">
    <cfRule type="containsText" dxfId="2" priority="24513" operator="containsText" text="Yes">
      <formula>NOT(ISERROR(SEARCH(("Yes"),(O45))))</formula>
    </cfRule>
  </conditionalFormatting>
  <conditionalFormatting sqref="O45:O46">
    <cfRule type="containsText" dxfId="2" priority="24514" operator="containsText" text="Yes">
      <formula>NOT(ISERROR(SEARCH(("Yes"),(O45))))</formula>
    </cfRule>
  </conditionalFormatting>
  <conditionalFormatting sqref="O45:O46">
    <cfRule type="containsText" dxfId="2" priority="24515" operator="containsText" text="Yes">
      <formula>NOT(ISERROR(SEARCH(("Yes"),(O45))))</formula>
    </cfRule>
  </conditionalFormatting>
  <conditionalFormatting sqref="O45:O46">
    <cfRule type="containsText" dxfId="2" priority="24516" operator="containsText" text="Yes">
      <formula>NOT(ISERROR(SEARCH(("Yes"),(O45))))</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17"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18"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19"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20"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21"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22"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23"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24"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25"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26"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27"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28"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29"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30"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31"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32"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33"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34"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35"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36"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37"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38"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39"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40"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41"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42"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43"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44"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45"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46"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47"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48"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49"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50"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51"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52"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53"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54"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55"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56"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57"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58"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59"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60"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9" priority="24561" operator="containsText" text="No">
      <formula>NOT(ISERROR(SEARCH(("No"),(P46))))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62"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63"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64"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65"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66"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67"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68"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69"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70"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71"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72"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73"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74"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75"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76"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77"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78"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79"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80"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81"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82"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83"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84"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85"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86"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87"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88"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89"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90"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91"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92"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93"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94"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95"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96"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97"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98"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599"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600"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601"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602"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603"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604"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605"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606"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607" operator="containsText" text="Yes">
      <formula>NOT(ISERROR(SEARCH(("Yes"),(P46))))</formula>
    </cfRule>
  </conditionalFormatting>
  <conditionalFormatting sqref="P46:P56 Q50:Q51 P58:P83 P85:P91 P96:P99 P102:P109 P112:P113 P115:P118 P121:P126 P128:P133 P136:P139 P142:P143 P146:P152 Q150 P154 P159 P161:P162 P164 P166:P167 P172 P174 P176 P180:P182 P184">
    <cfRule type="containsText" dxfId="2" priority="24608" operator="containsText" text="Yes">
      <formula>NOT(ISERROR(SEARCH(("Yes"),(P46))))</formula>
    </cfRule>
  </conditionalFormatting>
  <conditionalFormatting sqref="Q46:Q56 Q58:Q82 Q85:Q91 Q96:Q99 Q104:Q109 Q112:Q113 Q115:Q118 Q121:Q126 Q128:Q133 Q136:Q139 Q142:Q143 Q146:Q149 Q151:Q152 Q154 Q159 Q161:Q162 Q164 Q166:Q167 Q172 Q174 Q176 Q180:Q182 Q184">
    <cfRule type="containsText" dxfId="9" priority="24609"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10"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11"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12"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13"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14"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15"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16"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17"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18"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19"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20"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21"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22"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23"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24"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25"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26"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27"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28"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29"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30"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31"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32"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33"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34"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35"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36"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37"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38"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39"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40"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41"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42"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43"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44"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45"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46"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47"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48"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49"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50"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51"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52"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9" priority="24653" operator="containsText" text="No">
      <formula>NOT(ISERROR(SEARCH(("No"),(Q46))))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54"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55"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56"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57"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58"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59"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60"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61"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62"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63"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64"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65"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66"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67"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68"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69"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70"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71"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72"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73"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74"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75"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76"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77"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78"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79"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80"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81"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82"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83"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84"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85"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86"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87"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88"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89"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90"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91"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92"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93"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94"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95"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96"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97"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98"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699" operator="containsText" text="Yes">
      <formula>NOT(ISERROR(SEARCH(("Yes"),(Q46))))</formula>
    </cfRule>
  </conditionalFormatting>
  <conditionalFormatting sqref="Q46:Q56 Q58:Q82 Q85:Q91 Q96:Q99 Q104:Q109 Q112:Q113 Q115:Q118 Q121:Q126 Q128:Q133 Q136:Q139 Q142:Q143 Q146:Q149 Q151:Q152 Q154 Q159 Q161:Q162 Q164 Q166:Q167 Q172 Q174 Q176 Q180:Q182 Q184">
    <cfRule type="containsText" dxfId="2" priority="24700" operator="containsText" text="Yes">
      <formula>NOT(ISERROR(SEARCH(("Yes"),(Q46))))</formula>
    </cfRule>
  </conditionalFormatting>
  <conditionalFormatting sqref="O49:O56 O58:O83 O85:O91 O96:O99 O102:O109 O112:O113 O115:O118 O121:O133 O136:O139 N139 O142:O143 O146:O152 O154:O155 O159 O161:O162 N162 N164:O167 N170:O170 N172:O172 N174:O174 N176:O176 N180:O182 N184:O184">
    <cfRule type="containsText" dxfId="9" priority="24701" operator="containsText" text="No">
      <formula>NOT(ISERROR(SEARCH(("No"),(O49))))</formula>
    </cfRule>
  </conditionalFormatting>
  <conditionalFormatting sqref="O49:O56 O58:O83 O85:O91 O96:O99 O102:O109 O112:O113 O115:O118 O121:O133 O136:O139 N139 O142:O143 O146:O152 O154:O155 O159 O161:O162 N162 N164:O167 N170:O170 N172:O172 N174:O174 N176:O176 N180:O182 N184:O184">
    <cfRule type="containsText" dxfId="9" priority="24702" operator="containsText" text="No">
      <formula>NOT(ISERROR(SEARCH(("No"),(O49))))</formula>
    </cfRule>
  </conditionalFormatting>
  <conditionalFormatting sqref="O49:O56 O58:O83 O85:O91 O96:O99 O102:O109 O112:O113 O115:O118 O121:O133 O136:O139 N139 O142:O143 O146:O152 O154:O155 O159 O161:O162 N162 N164:O167 N170:O170 N172:O172 N174:O174 N176:O176 N180:O182 N184:O184">
    <cfRule type="containsText" dxfId="9" priority="24703" operator="containsText" text="No">
      <formula>NOT(ISERROR(SEARCH(("No"),(O49))))</formula>
    </cfRule>
  </conditionalFormatting>
  <conditionalFormatting sqref="O49:O56 O58:O83 O85:O91 O96:O99 O102:O109 O112:O113 O115:O118 O121:O133 O136:O139 N139 O142:O143 O146:O152 O154:O155 O159 O161:O162 N162 N164:O167 N170:O170 N172:O172 N174:O174 N176:O176 N180:O182 N184:O184">
    <cfRule type="containsText" dxfId="2" priority="24704" operator="containsText" text="Yes">
      <formula>NOT(ISERROR(SEARCH(("Yes"),(O49))))</formula>
    </cfRule>
  </conditionalFormatting>
  <conditionalFormatting sqref="O49:O56 O58:O83 O85:O91 O96:O99 O102:O109 O112:O113 O115:O118 O121:O133 O136:O139 N139 O142:O143 O146:O152 O154:O155 O159 O161:O162 N162 N164:O167 N170:O170 N172:O172 N174:O174 N176:O176 N180:O182 N184:O184">
    <cfRule type="containsText" dxfId="2" priority="24705" operator="containsText" text="Yes">
      <formula>NOT(ISERROR(SEARCH(("Yes"),(O49))))</formula>
    </cfRule>
  </conditionalFormatting>
  <conditionalFormatting sqref="O49:O56 O58:O83 O85:O91 O96:O99 O102:O109 O112:O113 O115:O118 O121:O133 O136:O139 N139 O142:O143 O146:O152 O154:O155 O159 O161:O162 N162 N164:O167 N170:O170 N172:O172 N174:O174 N176:O176 N180:O182 N184:O184">
    <cfRule type="containsText" dxfId="2" priority="24706" operator="containsText" text="Yes">
      <formula>NOT(ISERROR(SEARCH(("Yes"),(O49))))</formula>
    </cfRule>
  </conditionalFormatting>
  <conditionalFormatting sqref="O49:O56 O58:O83 O85:O91 O96:O99 O102:O109 O112:O113 O115:O118 O121:O133 O136:O139 N139 O142:O143 O146:O152 O154:O155 O159 O161:O162 N162 N164:O167 N170:O170 N172:O172 N174:O174 N176:O176 N180:O182 N184:O184">
    <cfRule type="containsText" dxfId="2" priority="24707" operator="containsText" text="Yes">
      <formula>NOT(ISERROR(SEARCH(("Yes"),(O49))))</formula>
    </cfRule>
  </conditionalFormatting>
  <conditionalFormatting sqref="O49:O56 O58:O83 O85:O91 O96:O99 O102:O109 O112:O113 O115:O118 O121:O133 O136:O139 N139 O142:O143 O146:O152 O154:O155 O159 O161:O162 N162 N164:O167 N170:O170 N172:O172 N174:O174 N176:O176 N180:O182 N184:O184">
    <cfRule type="containsText" dxfId="2" priority="24708" operator="containsText" text="Yes">
      <formula>NOT(ISERROR(SEARCH(("Yes"),(O49))))</formula>
    </cfRule>
  </conditionalFormatting>
  <conditionalFormatting sqref="O49:O56 O58:O83 O85:O91 O96:O99 O102:O109 O112:O113 O115:O118 O121:O133 O136:O139 N139 O142:O143 O146:O152 O154:O155 O159 O161:O162 N162 N164:O167 N170:O170 N172:O172 N174:O174 N176:O176 N180:O182 N184:O184">
    <cfRule type="containsText" dxfId="9" priority="24709" operator="containsText" text="No">
      <formula>NOT(ISERROR(SEARCH(("No"),(O49))))</formula>
    </cfRule>
  </conditionalFormatting>
  <conditionalFormatting sqref="O49:O56 O58:O83 O85:O91 O96:O99 O102:O109 O112:O113 O115:O118 O121:O133 O136:O139 N139 O142:O143 O146:O152 O154:O155 O159 O161:O162 N162 N164:O167 N170:O170 N172:O172 N174:O174 N176:O176 N180:O182 N184:O184">
    <cfRule type="containsText" dxfId="9" priority="24710" operator="containsText" text="No">
      <formula>NOT(ISERROR(SEARCH(("No"),(O49))))</formula>
    </cfRule>
  </conditionalFormatting>
  <conditionalFormatting sqref="O49:O56 O58:O83 O85:O91 O96:O99 O102:O109 O112:O113 O115:O118 O121:O133 O136:O139 N139 O142:O143 O146:O152 O154:O155 O159 O161:O162 N162 N164:O167 N170:O170 N172:O172 N174:O174 N176:O176 N180:O182 N184:O184">
    <cfRule type="containsText" dxfId="2" priority="24711" operator="containsText" text="Yes">
      <formula>NOT(ISERROR(SEARCH(("Yes"),(O49))))</formula>
    </cfRule>
  </conditionalFormatting>
  <conditionalFormatting sqref="Q49:Q56 Q58:Q83 Q85:Q91 Q96:Q99 Q102:Q109 Q112:Q113 Q115:Q118 Q121:Q126 Q128:Q133 Q136:Q139 Q142:Q143 Q146:Q149 Q151:Q152 Q154 Q159 Q161:Q162 Q164 Q166:Q167 Q172 Q174 Q176 Q180:Q182 Q184">
    <cfRule type="containsText" dxfId="9" priority="24712"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13"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14"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15"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16"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17"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18"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19"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20"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21"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22"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23"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24"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25"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26"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27"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28"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29"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30"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31"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32"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33"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34"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35"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36"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37"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38"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39"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40"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41"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42"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43"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44"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45"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46"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47"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48"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49"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50"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51"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52"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53"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54"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55"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9" priority="24756" operator="containsText" text="No">
      <formula>NOT(ISERROR(SEARCH(("No"),(Q49))))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57"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58"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59"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60"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61"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62"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63"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64"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65"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66"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67"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68"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69"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70"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71"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72"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73"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74"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75"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76"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77"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78"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79"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80"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81"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82"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83"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84"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85"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86"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87"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88"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89"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90"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91"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92"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93"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94"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95"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96"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97"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98"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799"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800"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801"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802" operator="containsText" text="Yes">
      <formula>NOT(ISERROR(SEARCH(("Yes"),(Q49))))</formula>
    </cfRule>
  </conditionalFormatting>
  <conditionalFormatting sqref="Q49:Q56 Q58:Q83 Q85:Q91 Q96:Q99 Q102:Q109 Q112:Q113 Q115:Q118 Q121:Q126 Q128:Q133 Q136:Q139 Q142:Q143 Q146:Q149 Q151:Q152 Q154 Q159 Q161:Q162 Q164 Q166:Q167 Q172 Q174 Q176 Q180:Q182 Q184">
    <cfRule type="containsText" dxfId="2" priority="24803" operator="containsText" text="Yes">
      <formula>NOT(ISERROR(SEARCH(("Yes"),(Q49))))</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04"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05"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06"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07"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08"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09"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10"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11"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12"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13"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14"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15"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16"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17"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18"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19"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20"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21"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22"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23"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24"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25"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26"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27"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28"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29"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30"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31"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32"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33"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34"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35"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36"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37"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38"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39"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40"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41"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42"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43"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44"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45"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46"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47"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9" priority="24848" operator="containsText" text="No">
      <formula>NOT(ISERROR(SEARCH(("No"),(P50))))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49"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50"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51"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52"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53"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54"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55"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56"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57"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58"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59"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60"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61"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62"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63"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64"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65"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66"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67"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68"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69"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70"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71"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72"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73"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74"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75"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76"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77"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78"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79"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80"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81"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82"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83"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84"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85"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86"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87"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88"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89"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90"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91"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92"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93"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94" operator="containsText" text="Yes">
      <formula>NOT(ISERROR(SEARCH(("Yes"),(P50))))</formula>
    </cfRule>
  </conditionalFormatting>
  <conditionalFormatting sqref="P50:P56 Q50:Q51 P58:P83 P85:P91 P96:P99 P102:P109 P112:P113 P115:P118 P121:P126 P128:P133 P136:P139 P142:P143 P146:P152 Q150 P154 P159 P161:P162 P164 P166:P167 P172 P174 P176 P180:P182 P184">
    <cfRule type="containsText" dxfId="2" priority="24895" operator="containsText" text="Yes">
      <formula>NOT(ISERROR(SEARCH(("Yes"),(P50))))</formula>
    </cfRule>
  </conditionalFormatting>
  <conditionalFormatting sqref="Q50:Q56 Q58:Q83 Q85:Q91 Q96:Q99 Q102:Q109 Q112:Q113 Q115:Q118 Q121:Q126 Q128:Q133 Q136:Q139 Q142:Q143 Q146:Q149 Q151:Q152 Q154 Q159 Q161:Q162 Q164 Q166:Q167 Q172 Q174 Q176 Q180:Q182 Q184">
    <cfRule type="containsText" dxfId="9" priority="24896"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897"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898"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899"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00"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01"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02"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03"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04"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05"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06"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07"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08"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09"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10"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11"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12"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13"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14"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15"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16"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17"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18"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19"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20"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21"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22"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23"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24"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25"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26"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27"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28"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29"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30"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31"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32"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33"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34"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35"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36"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37"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38"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39"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9" priority="24940" operator="containsText" text="No">
      <formula>NOT(ISERROR(SEARCH(("No"),(Q50))))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41"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42"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43"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44"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45"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46"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47"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48"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49"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50"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51"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52"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53"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54"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55"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56"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57"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58"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59"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60"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61"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62"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63"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64"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65"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66"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67"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68"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69"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70"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71"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72"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73"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74"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75"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76"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77"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78"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79"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80"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81"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82"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83"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84"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85"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86" operator="containsText" text="Yes">
      <formula>NOT(ISERROR(SEARCH(("Yes"),(Q50))))</formula>
    </cfRule>
  </conditionalFormatting>
  <conditionalFormatting sqref="Q50:Q56 Q58:Q83 Q85:Q91 Q96:Q99 Q102:Q109 Q112:Q113 Q115:Q118 Q121:Q126 Q128:Q133 Q136:Q139 Q142:Q143 Q146:Q149 Q151:Q152 Q154 Q159 Q161:Q162 Q164 Q166:Q167 Q172 Q174 Q176 Q180:Q182 Q184">
    <cfRule type="containsText" dxfId="2" priority="24987" operator="containsText" text="Yes">
      <formula>NOT(ISERROR(SEARCH(("Yes"),(Q50))))</formula>
    </cfRule>
  </conditionalFormatting>
  <conditionalFormatting sqref="N50:N56 N58:N83 N85:N87 N89:N91 N96:N99 N102:N109 N112:N113 N115:N118 N121:N126 N128:N133 N136:N139 N142:N143 N146:N152 N154 N159 N161">
    <cfRule type="containsText" dxfId="9" priority="24988"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4989"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4990"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4991"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4992"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4993"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4994"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4995"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4996"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4997"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4998"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4999"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00"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01"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02"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03"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04"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05"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06"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07"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08"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09"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10"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11"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12"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13"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14"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15"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16"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17"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18"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19"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20"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21"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22"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23"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24"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25"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26"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27"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28"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29"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30"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31" operator="containsText" text="No">
      <formula>NOT(ISERROR(SEARCH(("No"),(N50))))</formula>
    </cfRule>
  </conditionalFormatting>
  <conditionalFormatting sqref="N50:N56 N58:N83 N85:N87 N89:N91 N96:N99 N102:N109 N112:N113 N115:N118 N121:N126 N128:N133 N136:N139 N142:N143 N146:N152 N154 N159 N161">
    <cfRule type="containsText" dxfId="9" priority="25032" operator="containsText" text="No">
      <formula>NOT(ISERROR(SEARCH(("No"),(N50))))</formula>
    </cfRule>
  </conditionalFormatting>
  <conditionalFormatting sqref="N50:N56 N58:N83 N85:N87 N89:N91 N96:N99 N102:N109 N112:N113 N115:N118 N121:N126 N128:N133 N136:N139 N142:N143 N146:N152 N154 N159 N161">
    <cfRule type="containsText" dxfId="2" priority="25033"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34"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35"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36"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37"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38"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39"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40"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41"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42"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43"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44"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45"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46"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47"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48"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49"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50"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51"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52"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53"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54"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55"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56"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57"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58"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59"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60"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61"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62"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63"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64"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65"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66"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67"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68"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69"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70"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71"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72"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73"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74"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75"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76"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77"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78" operator="containsText" text="Yes">
      <formula>NOT(ISERROR(SEARCH(("Yes"),(N50))))</formula>
    </cfRule>
  </conditionalFormatting>
  <conditionalFormatting sqref="N50:N56 N58:N83 N85:N87 N89:N91 N96:N99 N102:N109 N112:N113 N115:N118 N121:N126 N128:N133 N136:N139 N142:N143 N146:N152 N154 N159 N161">
    <cfRule type="containsText" dxfId="2" priority="25079" operator="containsText" text="Yes">
      <formula>NOT(ISERROR(SEARCH(("Yes"),(N50))))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80"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81"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82"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83"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84"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85"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86"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87"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88"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89"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90"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91"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92"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93"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94"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95"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96"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97"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98"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099"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00"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01"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02"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03"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04"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05"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06"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07"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08"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09"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10"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11"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12"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13"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14"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15"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16"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17"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18"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19"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20"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21"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22"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23"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9" priority="25124" operator="containsText" text="No">
      <formula>NOT(ISERROR(SEARCH(("No"),(O50))))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25"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26"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27"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28"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29"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30"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31"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32"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33"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34"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35"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36"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37"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38"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39"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40"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41"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42"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43"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44"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45"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46"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47"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48"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49"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50"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51"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52"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53"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54"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55"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56"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57"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58"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59"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60"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61"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62"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63"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64"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65"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66"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67"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68"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69"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70" operator="containsText" text="Yes">
      <formula>NOT(ISERROR(SEARCH(("Yes"),(O50))))</formula>
    </cfRule>
  </conditionalFormatting>
  <conditionalFormatting sqref="O50:O56 O58:O83 O85:O91 O96:O99 O102:O109 O112:O113 O115:O118 O121:O133 O136:O139 N139 O142:O143 O146:O152 O154:O155 O159 O161:O162 N162 N164:O167 N170:O170 N172:O172 N174:O174 N176:O176 N180:O182 N184:O184">
    <cfRule type="containsText" dxfId="2" priority="25171" operator="containsText" text="Yes">
      <formula>NOT(ISERROR(SEARCH(("Yes"),(O50))))</formula>
    </cfRule>
  </conditionalFormatting>
  <conditionalFormatting sqref="P51:P82 P85:P91 P96:P99 P104:P109 P112:P113 P115:P118 P121:P133 P136:P139 P142:P143 P146:P152 Q150 P154 P159 P161:P162 P164 P166:P167 P172 P174 P176 P180:P182 P184">
    <cfRule type="containsText" dxfId="9" priority="25172"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73"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74"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75"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76"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77"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78"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79"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80"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81"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82"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83"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84"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85"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86"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87"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88"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89"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90"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91"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92"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93"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94"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95"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96"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97"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98"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199"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00"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01"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02"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03"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04"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05"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06"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07"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08"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09"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10"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11"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12"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13"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14"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15"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9" priority="25216" operator="containsText" text="No">
      <formula>NOT(ISERROR(SEARCH(("No"),(P51))))</formula>
    </cfRule>
  </conditionalFormatting>
  <conditionalFormatting sqref="P51:P82 P85:P91 P96:P99 P104:P109 P112:P113 P115:P118 P121:P133 P136:P139 P142:P143 P146:P152 Q150 P154 P159 P161:P162 P164 P166:P167 P172 P174 P176 P180:P182 P184">
    <cfRule type="containsText" dxfId="2" priority="25217"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18"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19"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20"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21"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22"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23"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24"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25"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26"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27"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28"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29"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30"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31"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32"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33"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34"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35"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36"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37"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38"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39"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40"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41"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42"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43"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44"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45"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46"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47"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48"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49"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50"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51"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52"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53"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54"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55"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56"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57"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58"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59"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60"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61"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62" operator="containsText" text="Yes">
      <formula>NOT(ISERROR(SEARCH(("Yes"),(P51))))</formula>
    </cfRule>
  </conditionalFormatting>
  <conditionalFormatting sqref="P51:P82 P85:P91 P96:P99 P104:P109 P112:P113 P115:P118 P121:P133 P136:P139 P142:P143 P146:P152 Q150 P154 P159 P161:P162 P164 P166:P167 P172 P174 P176 P180:P182 P184">
    <cfRule type="containsText" dxfId="2" priority="25263" operator="containsText" text="Yes">
      <formula>NOT(ISERROR(SEARCH(("Yes"),(P51))))</formula>
    </cfRule>
  </conditionalFormatting>
  <conditionalFormatting sqref="O51:O82 O85:O91 O96:O99 O104:O109 O112:O113 O115:O118 O121:O133 O136:O139 N139 O142:O143 O146:O152 O154:O155 O159 O161:O162 N162 N164:O167 N170:O170 N172:O172 N174:O174 N176:O176 N180:O182 N184:O184">
    <cfRule type="containsText" dxfId="9" priority="25264" operator="containsText" text="No">
      <formula>NOT(ISERROR(SEARCH(("No"),(O51))))</formula>
    </cfRule>
  </conditionalFormatting>
  <conditionalFormatting sqref="O51:O82 O85:O91 O96:O99 O104:O109 O112:O113 O115:O118 O121:O133 O136:O139 N139 O142:O143 O146:O152 O154:O155 O159 O161:O162 N162 N164:O167 N170:O170 N172:O172 N174:O174 N176:O176 N180:O182 N184:O184">
    <cfRule type="containsText" dxfId="9" priority="25265" operator="containsText" text="No">
      <formula>NOT(ISERROR(SEARCH(("No"),(O51))))</formula>
    </cfRule>
  </conditionalFormatting>
  <conditionalFormatting sqref="O51:O82 O85:O91 O96:O99 O104:O109 O112:O113 O115:O118 O121:O133 O136:O139 N139 O142:O143 O146:O152 O154:O155 O159 O161:O162 N162 N164:O167 N170:O170 N172:O172 N174:O174 N176:O176 N180:O182 N184:O184">
    <cfRule type="containsText" dxfId="9" priority="25266" operator="containsText" text="No">
      <formula>NOT(ISERROR(SEARCH(("No"),(O51))))</formula>
    </cfRule>
  </conditionalFormatting>
  <conditionalFormatting sqref="O51:O82 O85:O91 O96:O99 O104:O109 O112:O113 O115:O118 O121:O133 O136:O139 N139 O142:O143 O146:O152 O154:O155 O159 O161:O162 N162 N164:O167 N170:O170 N172:O172 N174:O174 N176:O176 N180:O182 N184:O184">
    <cfRule type="containsText" dxfId="2" priority="25267" operator="containsText" text="Yes">
      <formula>NOT(ISERROR(SEARCH(("Yes"),(O51))))</formula>
    </cfRule>
  </conditionalFormatting>
  <conditionalFormatting sqref="O51:O82 O85:O91 O96:O99 O104:O109 O112:O113 O115:O118 O121:O133 O136:O139 N139 O142:O143 O146:O152 O154:O155 O159 O161:O162 N162 N164:O167 N170:O170 N172:O172 N174:O174 N176:O176 N180:O182 N184:O184">
    <cfRule type="containsText" dxfId="2" priority="25268" operator="containsText" text="Yes">
      <formula>NOT(ISERROR(SEARCH(("Yes"),(O51))))</formula>
    </cfRule>
  </conditionalFormatting>
  <conditionalFormatting sqref="O51:O82 O85:O91 O96:O99 O104:O109 O112:O113 O115:O118 O121:O133 O136:O139 N139 O142:O143 O146:O152 O154:O155 O159 O161:O162 N162 N164:O167 N170:O170 N172:O172 N174:O174 N176:O176 N180:O182 N184:O184">
    <cfRule type="containsText" dxfId="2" priority="25269" operator="containsText" text="Yes">
      <formula>NOT(ISERROR(SEARCH(("Yes"),(O51))))</formula>
    </cfRule>
  </conditionalFormatting>
  <conditionalFormatting sqref="O51:O82 O85:O91 O96:O99 O104:O109 O112:O113 O115:O118 O121:O133 O136:O139 N139 O142:O143 O146:O152 O154:O155 O159 O161:O162 N162 N164:O167 N170:O170 N172:O172 N174:O174 N176:O176 N180:O182 N184:O184">
    <cfRule type="containsText" dxfId="2" priority="25270" operator="containsText" text="Yes">
      <formula>NOT(ISERROR(SEARCH(("Yes"),(O51))))</formula>
    </cfRule>
  </conditionalFormatting>
  <conditionalFormatting sqref="O51:O82 O85:O91 O96:O99 O104:O109 O112:O113 O115:O118 O121:O133 O136:O139 N139 O142:O143 O146:O152 O154:O155 O159 O161:O162 N162 N164:O167 N170:O170 N172:O172 N174:O174 N176:O176 N180:O182 N184:O184">
    <cfRule type="containsText" dxfId="2" priority="25271" operator="containsText" text="Yes">
      <formula>NOT(ISERROR(SEARCH(("Yes"),(O51))))</formula>
    </cfRule>
  </conditionalFormatting>
  <conditionalFormatting sqref="O51:O82 O85:O91 O96:O99 O104:O109 O112:O113 O115:O118 O121:O133 O136:O139 N139 O142:O143 O146:O152 O154:O155 O159 O161:O162 N162 N164:O167 N170:O170 N172:O172 N174:O174 N176:O176 N180:O182 N184:O184">
    <cfRule type="containsText" dxfId="9" priority="25272" operator="containsText" text="No">
      <formula>NOT(ISERROR(SEARCH(("No"),(O51))))</formula>
    </cfRule>
  </conditionalFormatting>
  <conditionalFormatting sqref="O51:O82 O85:O91 O96:O99 O104:O109 O112:O113 O115:O118 O121:O133 O136:O139 N139 O142:O143 O146:O152 O154:O155 O159 O161:O162 N162 N164:O167 N170:O170 N172:O172 N174:O174 N176:O176 N180:O182 N184:O184">
    <cfRule type="containsText" dxfId="9" priority="25273" operator="containsText" text="No">
      <formula>NOT(ISERROR(SEARCH(("No"),(O51))))</formula>
    </cfRule>
  </conditionalFormatting>
  <conditionalFormatting sqref="O51:O82 O85:O91 O96:O99 O104:O109 O112:O113 O115:O118 O121:O133 O136:O139 N139 O142:O143 O146:O152 O154:O155 O159 O161:O162 N162 N164:O167 N170:O170 N172:O172 N174:O174 N176:O176 N180:O182 N184:O184">
    <cfRule type="containsText" dxfId="2" priority="25274" operator="containsText" text="Yes">
      <formula>NOT(ISERROR(SEARCH(("Yes"),(O51))))</formula>
    </cfRule>
  </conditionalFormatting>
  <conditionalFormatting sqref="Q51:Q82 Q85:Q91 Q96:Q99 Q104:Q109 Q112:Q113 Q115:Q118 Q121:Q133 Q136:Q139 Q142:Q143 Q146:Q149 Q151:Q152 Q154 Q159 Q161:Q162 Q164 Q166:Q167 Q172 Q174 Q176 Q180:Q182 Q184">
    <cfRule type="containsText" dxfId="9" priority="25275"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76"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77"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78"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79"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80"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81"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82"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83"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84"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85"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86"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87"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88"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89"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90"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91"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92"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93"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94"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95"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96"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97"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98"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299"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00"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01"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02"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03"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04"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05"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06"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07"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08"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09"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10"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11"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12"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13"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14"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15"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16"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17"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18"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9" priority="25319" operator="containsText" text="No">
      <formula>NOT(ISERROR(SEARCH(("No"),(Q51))))</formula>
    </cfRule>
  </conditionalFormatting>
  <conditionalFormatting sqref="Q51:Q82 Q85:Q91 Q96:Q99 Q104:Q109 Q112:Q113 Q115:Q118 Q121:Q133 Q136:Q139 Q142:Q143 Q146:Q149 Q151:Q152 Q154 Q159 Q161:Q162 Q164 Q166:Q167 Q172 Q174 Q176 Q180:Q182 Q184">
    <cfRule type="containsText" dxfId="2" priority="25320"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21"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22"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23"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24"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25"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26"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27"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28"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29"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30"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31"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32"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33"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34"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35"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36"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37"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38"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39"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40"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41"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42"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43"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44"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45"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46"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47"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48"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49"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50"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51"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52"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53"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54"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55"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56"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57"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58"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59"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60"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61"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62"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63"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64"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65" operator="containsText" text="Yes">
      <formula>NOT(ISERROR(SEARCH(("Yes"),(Q51))))</formula>
    </cfRule>
  </conditionalFormatting>
  <conditionalFormatting sqref="Q51:Q82 Q85:Q91 Q96:Q99 Q104:Q109 Q112:Q113 Q115:Q118 Q121:Q133 Q136:Q139 Q142:Q143 Q146:Q149 Q151:Q152 Q154 Q159 Q161:Q162 Q164 Q166:Q167 Q172 Q174 Q176 Q180:Q182 Q184">
    <cfRule type="containsText" dxfId="2" priority="25366" operator="containsText" text="Yes">
      <formula>NOT(ISERROR(SEARCH(("Yes"),(Q51))))</formula>
    </cfRule>
  </conditionalFormatting>
  <conditionalFormatting sqref="Q57:Q66 Q68:Q82 Q85:Q91 Q96:Q99 Q104:Q109 Q112:Q113 Q115:Q118 Q121:Q133 Q136:Q139 Q142:Q143 Q146:Q149 Q151:Q152 Q154 Q159 Q161:Q162 Q164 Q166:Q167 Q172 Q174 Q176 Q180:Q182 Q184">
    <cfRule type="containsText" dxfId="9" priority="25367"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68"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69"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70"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71"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72"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73"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74"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75"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76"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77"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78"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79"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80"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81"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82"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83"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84"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85"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86"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87"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88"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89"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90"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91"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92"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93"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94"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95"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96"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97"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98"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399"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400"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401"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402"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403"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404"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405"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406"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407"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408"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409"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410"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9" priority="25411" operator="containsText" text="No">
      <formula>NOT(ISERROR(SEARCH(("No"),(Q57))))</formula>
    </cfRule>
  </conditionalFormatting>
  <conditionalFormatting sqref="Q57:Q66 Q68:Q82 Q85:Q91 Q96:Q99 Q104:Q109 Q112:Q113 Q115:Q118 Q121:Q133 Q136:Q139 Q142:Q143 Q146:Q149 Q151:Q152 Q154 Q159 Q161:Q162 Q164 Q166:Q167 Q172 Q174 Q176 Q180:Q182 Q184">
    <cfRule type="containsText" dxfId="2" priority="25412"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13"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14"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15"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16"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17"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18"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19"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20"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21"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22"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23"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24"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25"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26"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27"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28"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29"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30"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31"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32"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33"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34"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35"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36"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37"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38"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39"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40"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41"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42"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43"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44"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45"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46"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47"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48"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49"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50"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51"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52"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53"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54"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55"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56"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57" operator="containsText" text="Yes">
      <formula>NOT(ISERROR(SEARCH(("Yes"),(Q57))))</formula>
    </cfRule>
  </conditionalFormatting>
  <conditionalFormatting sqref="Q57:Q66 Q68:Q82 Q85:Q91 Q96:Q99 Q104:Q109 Q112:Q113 Q115:Q118 Q121:Q133 Q136:Q139 Q142:Q143 Q146:Q149 Q151:Q152 Q154 Q159 Q161:Q162 Q164 Q166:Q167 Q172 Q174 Q176 Q180:Q182 Q184">
    <cfRule type="containsText" dxfId="2" priority="25458" operator="containsText" text="Yes">
      <formula>NOT(ISERROR(SEARCH(("Yes"),(Q57))))</formula>
    </cfRule>
  </conditionalFormatting>
  <conditionalFormatting sqref="P60:P61 P64:P65">
    <cfRule type="containsText" dxfId="9" priority="25459" operator="containsText" text="No">
      <formula>NOT(ISERROR(SEARCH(("No"),(P60))))</formula>
    </cfRule>
  </conditionalFormatting>
  <conditionalFormatting sqref="P60:P61 P64:P65">
    <cfRule type="containsText" dxfId="9" priority="25460" operator="containsText" text="No">
      <formula>NOT(ISERROR(SEARCH(("No"),(P60))))</formula>
    </cfRule>
  </conditionalFormatting>
  <conditionalFormatting sqref="P60:P61 P64:P65">
    <cfRule type="containsText" dxfId="9" priority="25461" operator="containsText" text="No">
      <formula>NOT(ISERROR(SEARCH(("No"),(P60))))</formula>
    </cfRule>
  </conditionalFormatting>
  <conditionalFormatting sqref="P60:P61 P64:P65">
    <cfRule type="containsText" dxfId="9" priority="25462" operator="containsText" text="No">
      <formula>NOT(ISERROR(SEARCH(("No"),(P60))))</formula>
    </cfRule>
  </conditionalFormatting>
  <conditionalFormatting sqref="P60:P61 P64:P65">
    <cfRule type="containsText" dxfId="9" priority="25463" operator="containsText" text="No">
      <formula>NOT(ISERROR(SEARCH(("No"),(P60))))</formula>
    </cfRule>
  </conditionalFormatting>
  <conditionalFormatting sqref="P60:P61 P64:P65">
    <cfRule type="containsText" dxfId="9" priority="25464" operator="containsText" text="No">
      <formula>NOT(ISERROR(SEARCH(("No"),(P60))))</formula>
    </cfRule>
  </conditionalFormatting>
  <conditionalFormatting sqref="P60:P61 P64:P65">
    <cfRule type="containsText" dxfId="9" priority="25465" operator="containsText" text="No">
      <formula>NOT(ISERROR(SEARCH(("No"),(P60))))</formula>
    </cfRule>
  </conditionalFormatting>
  <conditionalFormatting sqref="P60:P61 P64:P65">
    <cfRule type="containsText" dxfId="9" priority="25466" operator="containsText" text="No">
      <formula>NOT(ISERROR(SEARCH(("No"),(P60))))</formula>
    </cfRule>
  </conditionalFormatting>
  <conditionalFormatting sqref="P60:P61 P64:P65">
    <cfRule type="containsText" dxfId="9" priority="25467" operator="containsText" text="No">
      <formula>NOT(ISERROR(SEARCH(("No"),(P60))))</formula>
    </cfRule>
  </conditionalFormatting>
  <conditionalFormatting sqref="P60:P61 P64:P65">
    <cfRule type="containsText" dxfId="9" priority="25468" operator="containsText" text="No">
      <formula>NOT(ISERROR(SEARCH(("No"),(P60))))</formula>
    </cfRule>
  </conditionalFormatting>
  <conditionalFormatting sqref="P60:P61 P64:P65">
    <cfRule type="containsText" dxfId="9" priority="25469" operator="containsText" text="No">
      <formula>NOT(ISERROR(SEARCH(("No"),(P60))))</formula>
    </cfRule>
  </conditionalFormatting>
  <conditionalFormatting sqref="P60:P61 P64:P65">
    <cfRule type="containsText" dxfId="9" priority="25470" operator="containsText" text="No">
      <formula>NOT(ISERROR(SEARCH(("No"),(P60))))</formula>
    </cfRule>
  </conditionalFormatting>
  <conditionalFormatting sqref="P60:P61 P64:P65">
    <cfRule type="containsText" dxfId="9" priority="25471" operator="containsText" text="No">
      <formula>NOT(ISERROR(SEARCH(("No"),(P60))))</formula>
    </cfRule>
  </conditionalFormatting>
  <conditionalFormatting sqref="P60:P61 P64:P65">
    <cfRule type="containsText" dxfId="9" priority="25472" operator="containsText" text="No">
      <formula>NOT(ISERROR(SEARCH(("No"),(P60))))</formula>
    </cfRule>
  </conditionalFormatting>
  <conditionalFormatting sqref="P60:P61 P64:P65">
    <cfRule type="containsText" dxfId="9" priority="25473" operator="containsText" text="No">
      <formula>NOT(ISERROR(SEARCH(("No"),(P60))))</formula>
    </cfRule>
  </conditionalFormatting>
  <conditionalFormatting sqref="P60:P61 P64:P65">
    <cfRule type="containsText" dxfId="9" priority="25474" operator="containsText" text="No">
      <formula>NOT(ISERROR(SEARCH(("No"),(P60))))</formula>
    </cfRule>
  </conditionalFormatting>
  <conditionalFormatting sqref="P60:P61 P64:P65">
    <cfRule type="containsText" dxfId="9" priority="25475" operator="containsText" text="No">
      <formula>NOT(ISERROR(SEARCH(("No"),(P60))))</formula>
    </cfRule>
  </conditionalFormatting>
  <conditionalFormatting sqref="P60:P61 P64:P65">
    <cfRule type="containsText" dxfId="9" priority="25476" operator="containsText" text="No">
      <formula>NOT(ISERROR(SEARCH(("No"),(P60))))</formula>
    </cfRule>
  </conditionalFormatting>
  <conditionalFormatting sqref="P60:P61 P64:P65">
    <cfRule type="containsText" dxfId="9" priority="25477" operator="containsText" text="No">
      <formula>NOT(ISERROR(SEARCH(("No"),(P60))))</formula>
    </cfRule>
  </conditionalFormatting>
  <conditionalFormatting sqref="P60:P61 P64:P65">
    <cfRule type="containsText" dxfId="9" priority="25478" operator="containsText" text="No">
      <formula>NOT(ISERROR(SEARCH(("No"),(P60))))</formula>
    </cfRule>
  </conditionalFormatting>
  <conditionalFormatting sqref="P60:P61 P64:P65">
    <cfRule type="containsText" dxfId="9" priority="25479" operator="containsText" text="No">
      <formula>NOT(ISERROR(SEARCH(("No"),(P60))))</formula>
    </cfRule>
  </conditionalFormatting>
  <conditionalFormatting sqref="P60:P61 P64:P65">
    <cfRule type="containsText" dxfId="9" priority="25480" operator="containsText" text="No">
      <formula>NOT(ISERROR(SEARCH(("No"),(P60))))</formula>
    </cfRule>
  </conditionalFormatting>
  <conditionalFormatting sqref="P60:P61 P64:P65">
    <cfRule type="containsText" dxfId="9" priority="25481" operator="containsText" text="No">
      <formula>NOT(ISERROR(SEARCH(("No"),(P60))))</formula>
    </cfRule>
  </conditionalFormatting>
  <conditionalFormatting sqref="P60:P61 P64:P65">
    <cfRule type="containsText" dxfId="9" priority="25482" operator="containsText" text="No">
      <formula>NOT(ISERROR(SEARCH(("No"),(P60))))</formula>
    </cfRule>
  </conditionalFormatting>
  <conditionalFormatting sqref="P60:P61 P64:P65">
    <cfRule type="containsText" dxfId="9" priority="25483" operator="containsText" text="No">
      <formula>NOT(ISERROR(SEARCH(("No"),(P60))))</formula>
    </cfRule>
  </conditionalFormatting>
  <conditionalFormatting sqref="P60:P61 P64:P65">
    <cfRule type="containsText" dxfId="9" priority="25484" operator="containsText" text="No">
      <formula>NOT(ISERROR(SEARCH(("No"),(P60))))</formula>
    </cfRule>
  </conditionalFormatting>
  <conditionalFormatting sqref="P60:P61 P64:P65">
    <cfRule type="containsText" dxfId="9" priority="25485" operator="containsText" text="No">
      <formula>NOT(ISERROR(SEARCH(("No"),(P60))))</formula>
    </cfRule>
  </conditionalFormatting>
  <conditionalFormatting sqref="P60:P61 P64:P65">
    <cfRule type="containsText" dxfId="9" priority="25486" operator="containsText" text="No">
      <formula>NOT(ISERROR(SEARCH(("No"),(P60))))</formula>
    </cfRule>
  </conditionalFormatting>
  <conditionalFormatting sqref="P60:P61 P64:P65">
    <cfRule type="containsText" dxfId="9" priority="25487" operator="containsText" text="No">
      <formula>NOT(ISERROR(SEARCH(("No"),(P60))))</formula>
    </cfRule>
  </conditionalFormatting>
  <conditionalFormatting sqref="P60:P61 P64:P65">
    <cfRule type="containsText" dxfId="9" priority="25488" operator="containsText" text="No">
      <formula>NOT(ISERROR(SEARCH(("No"),(P60))))</formula>
    </cfRule>
  </conditionalFormatting>
  <conditionalFormatting sqref="P60:P61 P64:P65">
    <cfRule type="containsText" dxfId="9" priority="25489" operator="containsText" text="No">
      <formula>NOT(ISERROR(SEARCH(("No"),(P60))))</formula>
    </cfRule>
  </conditionalFormatting>
  <conditionalFormatting sqref="P60:P61 P64:P65">
    <cfRule type="containsText" dxfId="9" priority="25490" operator="containsText" text="No">
      <formula>NOT(ISERROR(SEARCH(("No"),(P60))))</formula>
    </cfRule>
  </conditionalFormatting>
  <conditionalFormatting sqref="P60:P61 P64:P65">
    <cfRule type="containsText" dxfId="9" priority="25491" operator="containsText" text="No">
      <formula>NOT(ISERROR(SEARCH(("No"),(P60))))</formula>
    </cfRule>
  </conditionalFormatting>
  <conditionalFormatting sqref="P60:P61 P64:P65">
    <cfRule type="containsText" dxfId="9" priority="25492" operator="containsText" text="No">
      <formula>NOT(ISERROR(SEARCH(("No"),(P60))))</formula>
    </cfRule>
  </conditionalFormatting>
  <conditionalFormatting sqref="P60:P61 P64:P65">
    <cfRule type="containsText" dxfId="9" priority="25493" operator="containsText" text="No">
      <formula>NOT(ISERROR(SEARCH(("No"),(P60))))</formula>
    </cfRule>
  </conditionalFormatting>
  <conditionalFormatting sqref="P60:P61 P64:P65">
    <cfRule type="containsText" dxfId="9" priority="25494" operator="containsText" text="No">
      <formula>NOT(ISERROR(SEARCH(("No"),(P60))))</formula>
    </cfRule>
  </conditionalFormatting>
  <conditionalFormatting sqref="P60:P61 P64:P65">
    <cfRule type="containsText" dxfId="9" priority="25495" operator="containsText" text="No">
      <formula>NOT(ISERROR(SEARCH(("No"),(P60))))</formula>
    </cfRule>
  </conditionalFormatting>
  <conditionalFormatting sqref="P60:P61 P64:P65">
    <cfRule type="containsText" dxfId="9" priority="25496" operator="containsText" text="No">
      <formula>NOT(ISERROR(SEARCH(("No"),(P60))))</formula>
    </cfRule>
  </conditionalFormatting>
  <conditionalFormatting sqref="P60:P61 P64:P65">
    <cfRule type="containsText" dxfId="9" priority="25497" operator="containsText" text="No">
      <formula>NOT(ISERROR(SEARCH(("No"),(P60))))</formula>
    </cfRule>
  </conditionalFormatting>
  <conditionalFormatting sqref="P60:P61 P64:P65">
    <cfRule type="containsText" dxfId="9" priority="25498" operator="containsText" text="No">
      <formula>NOT(ISERROR(SEARCH(("No"),(P60))))</formula>
    </cfRule>
  </conditionalFormatting>
  <conditionalFormatting sqref="P60:P61 P64:P65">
    <cfRule type="containsText" dxfId="9" priority="25499" operator="containsText" text="No">
      <formula>NOT(ISERROR(SEARCH(("No"),(P60))))</formula>
    </cfRule>
  </conditionalFormatting>
  <conditionalFormatting sqref="P60:P61 P64:P65">
    <cfRule type="containsText" dxfId="9" priority="25500" operator="containsText" text="No">
      <formula>NOT(ISERROR(SEARCH(("No"),(P60))))</formula>
    </cfRule>
  </conditionalFormatting>
  <conditionalFormatting sqref="P60:P61 P64:P65">
    <cfRule type="containsText" dxfId="9" priority="25501" operator="containsText" text="No">
      <formula>NOT(ISERROR(SEARCH(("No"),(P60))))</formula>
    </cfRule>
  </conditionalFormatting>
  <conditionalFormatting sqref="P60:P61 P64:P65">
    <cfRule type="containsText" dxfId="9" priority="25502" operator="containsText" text="No">
      <formula>NOT(ISERROR(SEARCH(("No"),(P60))))</formula>
    </cfRule>
  </conditionalFormatting>
  <conditionalFormatting sqref="P60:P61 P64:P65">
    <cfRule type="containsText" dxfId="9" priority="25503" operator="containsText" text="No">
      <formula>NOT(ISERROR(SEARCH(("No"),(P60))))</formula>
    </cfRule>
  </conditionalFormatting>
  <conditionalFormatting sqref="P60:P61 P64:P65">
    <cfRule type="containsText" dxfId="2" priority="25504" operator="containsText" text="Yes">
      <formula>NOT(ISERROR(SEARCH(("Yes"),(P60))))</formula>
    </cfRule>
  </conditionalFormatting>
  <conditionalFormatting sqref="P60:P61 P64:P65">
    <cfRule type="containsText" dxfId="2" priority="25505" operator="containsText" text="Yes">
      <formula>NOT(ISERROR(SEARCH(("Yes"),(P60))))</formula>
    </cfRule>
  </conditionalFormatting>
  <conditionalFormatting sqref="P60:P61 P64:P65">
    <cfRule type="containsText" dxfId="2" priority="25506" operator="containsText" text="Yes">
      <formula>NOT(ISERROR(SEARCH(("Yes"),(P60))))</formula>
    </cfRule>
  </conditionalFormatting>
  <conditionalFormatting sqref="P60:P61 P64:P65">
    <cfRule type="containsText" dxfId="2" priority="25507" operator="containsText" text="Yes">
      <formula>NOT(ISERROR(SEARCH(("Yes"),(P60))))</formula>
    </cfRule>
  </conditionalFormatting>
  <conditionalFormatting sqref="P60:P61 P64:P65">
    <cfRule type="containsText" dxfId="2" priority="25508" operator="containsText" text="Yes">
      <formula>NOT(ISERROR(SEARCH(("Yes"),(P60))))</formula>
    </cfRule>
  </conditionalFormatting>
  <conditionalFormatting sqref="P60:P61 P64:P65">
    <cfRule type="containsText" dxfId="2" priority="25509" operator="containsText" text="Yes">
      <formula>NOT(ISERROR(SEARCH(("Yes"),(P60))))</formula>
    </cfRule>
  </conditionalFormatting>
  <conditionalFormatting sqref="P60:P61 P64:P65">
    <cfRule type="containsText" dxfId="2" priority="25510" operator="containsText" text="Yes">
      <formula>NOT(ISERROR(SEARCH(("Yes"),(P60))))</formula>
    </cfRule>
  </conditionalFormatting>
  <conditionalFormatting sqref="P60:P61 P64:P65">
    <cfRule type="containsText" dxfId="2" priority="25511" operator="containsText" text="Yes">
      <formula>NOT(ISERROR(SEARCH(("Yes"),(P60))))</formula>
    </cfRule>
  </conditionalFormatting>
  <conditionalFormatting sqref="P60:P61 P64:P65">
    <cfRule type="containsText" dxfId="2" priority="25512" operator="containsText" text="Yes">
      <formula>NOT(ISERROR(SEARCH(("Yes"),(P60))))</formula>
    </cfRule>
  </conditionalFormatting>
  <conditionalFormatting sqref="P60:P61 P64:P65">
    <cfRule type="containsText" dxfId="2" priority="25513" operator="containsText" text="Yes">
      <formula>NOT(ISERROR(SEARCH(("Yes"),(P60))))</formula>
    </cfRule>
  </conditionalFormatting>
  <conditionalFormatting sqref="P60:P61 P64:P65">
    <cfRule type="containsText" dxfId="2" priority="25514" operator="containsText" text="Yes">
      <formula>NOT(ISERROR(SEARCH(("Yes"),(P60))))</formula>
    </cfRule>
  </conditionalFormatting>
  <conditionalFormatting sqref="P60:P61 P64:P65">
    <cfRule type="containsText" dxfId="2" priority="25515" operator="containsText" text="Yes">
      <formula>NOT(ISERROR(SEARCH(("Yes"),(P60))))</formula>
    </cfRule>
  </conditionalFormatting>
  <conditionalFormatting sqref="P60:P61 P64:P65">
    <cfRule type="containsText" dxfId="2" priority="25516" operator="containsText" text="Yes">
      <formula>NOT(ISERROR(SEARCH(("Yes"),(P60))))</formula>
    </cfRule>
  </conditionalFormatting>
  <conditionalFormatting sqref="P60:P61 P64:P65">
    <cfRule type="containsText" dxfId="2" priority="25517" operator="containsText" text="Yes">
      <formula>NOT(ISERROR(SEARCH(("Yes"),(P60))))</formula>
    </cfRule>
  </conditionalFormatting>
  <conditionalFormatting sqref="P60:P61 P64:P65">
    <cfRule type="containsText" dxfId="2" priority="25518" operator="containsText" text="Yes">
      <formula>NOT(ISERROR(SEARCH(("Yes"),(P60))))</formula>
    </cfRule>
  </conditionalFormatting>
  <conditionalFormatting sqref="P60:P61 P64:P65">
    <cfRule type="containsText" dxfId="2" priority="25519" operator="containsText" text="Yes">
      <formula>NOT(ISERROR(SEARCH(("Yes"),(P60))))</formula>
    </cfRule>
  </conditionalFormatting>
  <conditionalFormatting sqref="P60:P61 P64:P65">
    <cfRule type="containsText" dxfId="2" priority="25520" operator="containsText" text="Yes">
      <formula>NOT(ISERROR(SEARCH(("Yes"),(P60))))</formula>
    </cfRule>
  </conditionalFormatting>
  <conditionalFormatting sqref="P60:P61 P64:P65">
    <cfRule type="containsText" dxfId="2" priority="25521" operator="containsText" text="Yes">
      <formula>NOT(ISERROR(SEARCH(("Yes"),(P60))))</formula>
    </cfRule>
  </conditionalFormatting>
  <conditionalFormatting sqref="P60:P61 P64:P65">
    <cfRule type="containsText" dxfId="2" priority="25522" operator="containsText" text="Yes">
      <formula>NOT(ISERROR(SEARCH(("Yes"),(P60))))</formula>
    </cfRule>
  </conditionalFormatting>
  <conditionalFormatting sqref="P60:P61 P64:P65">
    <cfRule type="containsText" dxfId="2" priority="25523" operator="containsText" text="Yes">
      <formula>NOT(ISERROR(SEARCH(("Yes"),(P60))))</formula>
    </cfRule>
  </conditionalFormatting>
  <conditionalFormatting sqref="P60:P61 P64:P65">
    <cfRule type="containsText" dxfId="2" priority="25524" operator="containsText" text="Yes">
      <formula>NOT(ISERROR(SEARCH(("Yes"),(P60))))</formula>
    </cfRule>
  </conditionalFormatting>
  <conditionalFormatting sqref="P60:P61 P64:P65">
    <cfRule type="containsText" dxfId="2" priority="25525" operator="containsText" text="Yes">
      <formula>NOT(ISERROR(SEARCH(("Yes"),(P60))))</formula>
    </cfRule>
  </conditionalFormatting>
  <conditionalFormatting sqref="P60:P61 P64:P65">
    <cfRule type="containsText" dxfId="2" priority="25526" operator="containsText" text="Yes">
      <formula>NOT(ISERROR(SEARCH(("Yes"),(P60))))</formula>
    </cfRule>
  </conditionalFormatting>
  <conditionalFormatting sqref="P60:P61 P64:P65">
    <cfRule type="containsText" dxfId="2" priority="25527" operator="containsText" text="Yes">
      <formula>NOT(ISERROR(SEARCH(("Yes"),(P60))))</formula>
    </cfRule>
  </conditionalFormatting>
  <conditionalFormatting sqref="P60:P61 P64:P65">
    <cfRule type="containsText" dxfId="2" priority="25528" operator="containsText" text="Yes">
      <formula>NOT(ISERROR(SEARCH(("Yes"),(P60))))</formula>
    </cfRule>
  </conditionalFormatting>
  <conditionalFormatting sqref="P60:P61 P64:P65">
    <cfRule type="containsText" dxfId="2" priority="25529" operator="containsText" text="Yes">
      <formula>NOT(ISERROR(SEARCH(("Yes"),(P60))))</formula>
    </cfRule>
  </conditionalFormatting>
  <conditionalFormatting sqref="P60:P61 P64:P65">
    <cfRule type="containsText" dxfId="2" priority="25530" operator="containsText" text="Yes">
      <formula>NOT(ISERROR(SEARCH(("Yes"),(P60))))</formula>
    </cfRule>
  </conditionalFormatting>
  <conditionalFormatting sqref="P60:P61 P64:P65">
    <cfRule type="containsText" dxfId="2" priority="25531" operator="containsText" text="Yes">
      <formula>NOT(ISERROR(SEARCH(("Yes"),(P60))))</formula>
    </cfRule>
  </conditionalFormatting>
  <conditionalFormatting sqref="P60:P61 P64:P65">
    <cfRule type="containsText" dxfId="2" priority="25532" operator="containsText" text="Yes">
      <formula>NOT(ISERROR(SEARCH(("Yes"),(P60))))</formula>
    </cfRule>
  </conditionalFormatting>
  <conditionalFormatting sqref="P60:P61 P64:P65">
    <cfRule type="containsText" dxfId="2" priority="25533" operator="containsText" text="Yes">
      <formula>NOT(ISERROR(SEARCH(("Yes"),(P60))))</formula>
    </cfRule>
  </conditionalFormatting>
  <conditionalFormatting sqref="P60:P61 P64:P65">
    <cfRule type="containsText" dxfId="2" priority="25534" operator="containsText" text="Yes">
      <formula>NOT(ISERROR(SEARCH(("Yes"),(P60))))</formula>
    </cfRule>
  </conditionalFormatting>
  <conditionalFormatting sqref="P60:P61 P64:P65">
    <cfRule type="containsText" dxfId="2" priority="25535" operator="containsText" text="Yes">
      <formula>NOT(ISERROR(SEARCH(("Yes"),(P60))))</formula>
    </cfRule>
  </conditionalFormatting>
  <conditionalFormatting sqref="P60:P61 P64:P65">
    <cfRule type="containsText" dxfId="2" priority="25536" operator="containsText" text="Yes">
      <formula>NOT(ISERROR(SEARCH(("Yes"),(P60))))</formula>
    </cfRule>
  </conditionalFormatting>
  <conditionalFormatting sqref="P60:P61 P64:P65">
    <cfRule type="containsText" dxfId="2" priority="25537" operator="containsText" text="Yes">
      <formula>NOT(ISERROR(SEARCH(("Yes"),(P60))))</formula>
    </cfRule>
  </conditionalFormatting>
  <conditionalFormatting sqref="P60:P61 P64:P65">
    <cfRule type="containsText" dxfId="2" priority="25538" operator="containsText" text="Yes">
      <formula>NOT(ISERROR(SEARCH(("Yes"),(P60))))</formula>
    </cfRule>
  </conditionalFormatting>
  <conditionalFormatting sqref="P60:P61 P64:P65">
    <cfRule type="containsText" dxfId="2" priority="25539" operator="containsText" text="Yes">
      <formula>NOT(ISERROR(SEARCH(("Yes"),(P60))))</formula>
    </cfRule>
  </conditionalFormatting>
  <conditionalFormatting sqref="P60:P61 P64:P65">
    <cfRule type="containsText" dxfId="2" priority="25540" operator="containsText" text="Yes">
      <formula>NOT(ISERROR(SEARCH(("Yes"),(P60))))</formula>
    </cfRule>
  </conditionalFormatting>
  <conditionalFormatting sqref="P60:P61 P64:P65">
    <cfRule type="containsText" dxfId="2" priority="25541" operator="containsText" text="Yes">
      <formula>NOT(ISERROR(SEARCH(("Yes"),(P60))))</formula>
    </cfRule>
  </conditionalFormatting>
  <conditionalFormatting sqref="P60:P61 P64:P65">
    <cfRule type="containsText" dxfId="2" priority="25542" operator="containsText" text="Yes">
      <formula>NOT(ISERROR(SEARCH(("Yes"),(P60))))</formula>
    </cfRule>
  </conditionalFormatting>
  <conditionalFormatting sqref="P60:P61 P64:P65">
    <cfRule type="containsText" dxfId="2" priority="25543" operator="containsText" text="Yes">
      <formula>NOT(ISERROR(SEARCH(("Yes"),(P60))))</formula>
    </cfRule>
  </conditionalFormatting>
  <conditionalFormatting sqref="P60:P61 P64:P65">
    <cfRule type="containsText" dxfId="2" priority="25544" operator="containsText" text="Yes">
      <formula>NOT(ISERROR(SEARCH(("Yes"),(P60))))</formula>
    </cfRule>
  </conditionalFormatting>
  <conditionalFormatting sqref="P60:P61 P64:P65">
    <cfRule type="containsText" dxfId="2" priority="25545" operator="containsText" text="Yes">
      <formula>NOT(ISERROR(SEARCH(("Yes"),(P60))))</formula>
    </cfRule>
  </conditionalFormatting>
  <conditionalFormatting sqref="P60:P61 P64:P65">
    <cfRule type="containsText" dxfId="2" priority="25546" operator="containsText" text="Yes">
      <formula>NOT(ISERROR(SEARCH(("Yes"),(P60))))</formula>
    </cfRule>
  </conditionalFormatting>
  <conditionalFormatting sqref="P60:P61 P64:P65">
    <cfRule type="containsText" dxfId="2" priority="25547" operator="containsText" text="Yes">
      <formula>NOT(ISERROR(SEARCH(("Yes"),(P60))))</formula>
    </cfRule>
  </conditionalFormatting>
  <conditionalFormatting sqref="P60:P61 P64:P65">
    <cfRule type="containsText" dxfId="2" priority="25548" operator="containsText" text="Yes">
      <formula>NOT(ISERROR(SEARCH(("Yes"),(P60))))</formula>
    </cfRule>
  </conditionalFormatting>
  <conditionalFormatting sqref="P60:P61 P64:P65">
    <cfRule type="containsText" dxfId="2" priority="25549" operator="containsText" text="Yes">
      <formula>NOT(ISERROR(SEARCH(("Yes"),(P60))))</formula>
    </cfRule>
  </conditionalFormatting>
  <conditionalFormatting sqref="P60:P61 P64:P65">
    <cfRule type="containsText" dxfId="2" priority="25550" operator="containsText" text="Yes">
      <formula>NOT(ISERROR(SEARCH(("Yes"),(P60))))</formula>
    </cfRule>
  </conditionalFormatting>
  <conditionalFormatting sqref="Q60:Q61 Q64:Q65">
    <cfRule type="containsText" dxfId="9" priority="25551" operator="containsText" text="No">
      <formula>NOT(ISERROR(SEARCH(("No"),(Q60))))</formula>
    </cfRule>
  </conditionalFormatting>
  <conditionalFormatting sqref="Q60:Q61 Q64:Q65">
    <cfRule type="containsText" dxfId="9" priority="25552" operator="containsText" text="No">
      <formula>NOT(ISERROR(SEARCH(("No"),(Q60))))</formula>
    </cfRule>
  </conditionalFormatting>
  <conditionalFormatting sqref="Q60:Q61 Q64:Q65">
    <cfRule type="containsText" dxfId="9" priority="25553" operator="containsText" text="No">
      <formula>NOT(ISERROR(SEARCH(("No"),(Q60))))</formula>
    </cfRule>
  </conditionalFormatting>
  <conditionalFormatting sqref="Q60:Q61 Q64:Q65">
    <cfRule type="containsText" dxfId="9" priority="25554" operator="containsText" text="No">
      <formula>NOT(ISERROR(SEARCH(("No"),(Q60))))</formula>
    </cfRule>
  </conditionalFormatting>
  <conditionalFormatting sqref="Q60:Q61 Q64:Q65">
    <cfRule type="containsText" dxfId="9" priority="25555" operator="containsText" text="No">
      <formula>NOT(ISERROR(SEARCH(("No"),(Q60))))</formula>
    </cfRule>
  </conditionalFormatting>
  <conditionalFormatting sqref="Q60:Q61 Q64:Q65">
    <cfRule type="containsText" dxfId="9" priority="25556" operator="containsText" text="No">
      <formula>NOT(ISERROR(SEARCH(("No"),(Q60))))</formula>
    </cfRule>
  </conditionalFormatting>
  <conditionalFormatting sqref="Q60:Q61 Q64:Q65">
    <cfRule type="containsText" dxfId="9" priority="25557" operator="containsText" text="No">
      <formula>NOT(ISERROR(SEARCH(("No"),(Q60))))</formula>
    </cfRule>
  </conditionalFormatting>
  <conditionalFormatting sqref="Q60:Q61 Q64:Q65">
    <cfRule type="containsText" dxfId="9" priority="25558" operator="containsText" text="No">
      <formula>NOT(ISERROR(SEARCH(("No"),(Q60))))</formula>
    </cfRule>
  </conditionalFormatting>
  <conditionalFormatting sqref="Q60:Q61 Q64:Q65">
    <cfRule type="containsText" dxfId="9" priority="25559" operator="containsText" text="No">
      <formula>NOT(ISERROR(SEARCH(("No"),(Q60))))</formula>
    </cfRule>
  </conditionalFormatting>
  <conditionalFormatting sqref="Q60:Q61 Q64:Q65">
    <cfRule type="containsText" dxfId="9" priority="25560" operator="containsText" text="No">
      <formula>NOT(ISERROR(SEARCH(("No"),(Q60))))</formula>
    </cfRule>
  </conditionalFormatting>
  <conditionalFormatting sqref="Q60:Q61 Q64:Q65">
    <cfRule type="containsText" dxfId="9" priority="25561" operator="containsText" text="No">
      <formula>NOT(ISERROR(SEARCH(("No"),(Q60))))</formula>
    </cfRule>
  </conditionalFormatting>
  <conditionalFormatting sqref="Q60:Q61 Q64:Q65">
    <cfRule type="containsText" dxfId="9" priority="25562" operator="containsText" text="No">
      <formula>NOT(ISERROR(SEARCH(("No"),(Q60))))</formula>
    </cfRule>
  </conditionalFormatting>
  <conditionalFormatting sqref="Q60:Q61 Q64:Q65">
    <cfRule type="containsText" dxfId="9" priority="25563" operator="containsText" text="No">
      <formula>NOT(ISERROR(SEARCH(("No"),(Q60))))</formula>
    </cfRule>
  </conditionalFormatting>
  <conditionalFormatting sqref="Q60:Q61 Q64:Q65">
    <cfRule type="containsText" dxfId="9" priority="25564" operator="containsText" text="No">
      <formula>NOT(ISERROR(SEARCH(("No"),(Q60))))</formula>
    </cfRule>
  </conditionalFormatting>
  <conditionalFormatting sqref="Q60:Q61 Q64:Q65">
    <cfRule type="containsText" dxfId="9" priority="25565" operator="containsText" text="No">
      <formula>NOT(ISERROR(SEARCH(("No"),(Q60))))</formula>
    </cfRule>
  </conditionalFormatting>
  <conditionalFormatting sqref="Q60:Q61 Q64:Q65">
    <cfRule type="containsText" dxfId="9" priority="25566" operator="containsText" text="No">
      <formula>NOT(ISERROR(SEARCH(("No"),(Q60))))</formula>
    </cfRule>
  </conditionalFormatting>
  <conditionalFormatting sqref="Q60:Q61 Q64:Q65">
    <cfRule type="containsText" dxfId="9" priority="25567" operator="containsText" text="No">
      <formula>NOT(ISERROR(SEARCH(("No"),(Q60))))</formula>
    </cfRule>
  </conditionalFormatting>
  <conditionalFormatting sqref="Q60:Q61 Q64:Q65">
    <cfRule type="containsText" dxfId="9" priority="25568" operator="containsText" text="No">
      <formula>NOT(ISERROR(SEARCH(("No"),(Q60))))</formula>
    </cfRule>
  </conditionalFormatting>
  <conditionalFormatting sqref="Q60:Q61 Q64:Q65">
    <cfRule type="containsText" dxfId="9" priority="25569" operator="containsText" text="No">
      <formula>NOT(ISERROR(SEARCH(("No"),(Q60))))</formula>
    </cfRule>
  </conditionalFormatting>
  <conditionalFormatting sqref="Q60:Q61 Q64:Q65">
    <cfRule type="containsText" dxfId="9" priority="25570" operator="containsText" text="No">
      <formula>NOT(ISERROR(SEARCH(("No"),(Q60))))</formula>
    </cfRule>
  </conditionalFormatting>
  <conditionalFormatting sqref="Q60:Q61 Q64:Q65">
    <cfRule type="containsText" dxfId="9" priority="25571" operator="containsText" text="No">
      <formula>NOT(ISERROR(SEARCH(("No"),(Q60))))</formula>
    </cfRule>
  </conditionalFormatting>
  <conditionalFormatting sqref="Q60:Q61 Q64:Q65">
    <cfRule type="containsText" dxfId="9" priority="25572" operator="containsText" text="No">
      <formula>NOT(ISERROR(SEARCH(("No"),(Q60))))</formula>
    </cfRule>
  </conditionalFormatting>
  <conditionalFormatting sqref="Q60:Q61 Q64:Q65">
    <cfRule type="containsText" dxfId="9" priority="25573" operator="containsText" text="No">
      <formula>NOT(ISERROR(SEARCH(("No"),(Q60))))</formula>
    </cfRule>
  </conditionalFormatting>
  <conditionalFormatting sqref="Q60:Q61 Q64:Q65">
    <cfRule type="containsText" dxfId="9" priority="25574" operator="containsText" text="No">
      <formula>NOT(ISERROR(SEARCH(("No"),(Q60))))</formula>
    </cfRule>
  </conditionalFormatting>
  <conditionalFormatting sqref="Q60:Q61 Q64:Q65">
    <cfRule type="containsText" dxfId="9" priority="25575" operator="containsText" text="No">
      <formula>NOT(ISERROR(SEARCH(("No"),(Q60))))</formula>
    </cfRule>
  </conditionalFormatting>
  <conditionalFormatting sqref="Q60:Q61 Q64:Q65">
    <cfRule type="containsText" dxfId="9" priority="25576" operator="containsText" text="No">
      <formula>NOT(ISERROR(SEARCH(("No"),(Q60))))</formula>
    </cfRule>
  </conditionalFormatting>
  <conditionalFormatting sqref="Q60:Q61 Q64:Q65">
    <cfRule type="containsText" dxfId="9" priority="25577" operator="containsText" text="No">
      <formula>NOT(ISERROR(SEARCH(("No"),(Q60))))</formula>
    </cfRule>
  </conditionalFormatting>
  <conditionalFormatting sqref="Q60:Q61 Q64:Q65">
    <cfRule type="containsText" dxfId="9" priority="25578" operator="containsText" text="No">
      <formula>NOT(ISERROR(SEARCH(("No"),(Q60))))</formula>
    </cfRule>
  </conditionalFormatting>
  <conditionalFormatting sqref="Q60:Q61 Q64:Q65">
    <cfRule type="containsText" dxfId="9" priority="25579" operator="containsText" text="No">
      <formula>NOT(ISERROR(SEARCH(("No"),(Q60))))</formula>
    </cfRule>
  </conditionalFormatting>
  <conditionalFormatting sqref="Q60:Q61 Q64:Q65">
    <cfRule type="containsText" dxfId="9" priority="25580" operator="containsText" text="No">
      <formula>NOT(ISERROR(SEARCH(("No"),(Q60))))</formula>
    </cfRule>
  </conditionalFormatting>
  <conditionalFormatting sqref="Q60:Q61 Q64:Q65">
    <cfRule type="containsText" dxfId="9" priority="25581" operator="containsText" text="No">
      <formula>NOT(ISERROR(SEARCH(("No"),(Q60))))</formula>
    </cfRule>
  </conditionalFormatting>
  <conditionalFormatting sqref="Q60:Q61 Q64:Q65">
    <cfRule type="containsText" dxfId="9" priority="25582" operator="containsText" text="No">
      <formula>NOT(ISERROR(SEARCH(("No"),(Q60))))</formula>
    </cfRule>
  </conditionalFormatting>
  <conditionalFormatting sqref="Q60:Q61 Q64:Q65">
    <cfRule type="containsText" dxfId="9" priority="25583" operator="containsText" text="No">
      <formula>NOT(ISERROR(SEARCH(("No"),(Q60))))</formula>
    </cfRule>
  </conditionalFormatting>
  <conditionalFormatting sqref="Q60:Q61 Q64:Q65">
    <cfRule type="containsText" dxfId="9" priority="25584" operator="containsText" text="No">
      <formula>NOT(ISERROR(SEARCH(("No"),(Q60))))</formula>
    </cfRule>
  </conditionalFormatting>
  <conditionalFormatting sqref="Q60:Q61 Q64:Q65">
    <cfRule type="containsText" dxfId="9" priority="25585" operator="containsText" text="No">
      <formula>NOT(ISERROR(SEARCH(("No"),(Q60))))</formula>
    </cfRule>
  </conditionalFormatting>
  <conditionalFormatting sqref="Q60:Q61 Q64:Q65">
    <cfRule type="containsText" dxfId="9" priority="25586" operator="containsText" text="No">
      <formula>NOT(ISERROR(SEARCH(("No"),(Q60))))</formula>
    </cfRule>
  </conditionalFormatting>
  <conditionalFormatting sqref="Q60:Q61 Q64:Q65">
    <cfRule type="containsText" dxfId="9" priority="25587" operator="containsText" text="No">
      <formula>NOT(ISERROR(SEARCH(("No"),(Q60))))</formula>
    </cfRule>
  </conditionalFormatting>
  <conditionalFormatting sqref="Q60:Q61 Q64:Q65">
    <cfRule type="containsText" dxfId="9" priority="25588" operator="containsText" text="No">
      <formula>NOT(ISERROR(SEARCH(("No"),(Q60))))</formula>
    </cfRule>
  </conditionalFormatting>
  <conditionalFormatting sqref="Q60:Q61 Q64:Q65">
    <cfRule type="containsText" dxfId="9" priority="25589" operator="containsText" text="No">
      <formula>NOT(ISERROR(SEARCH(("No"),(Q60))))</formula>
    </cfRule>
  </conditionalFormatting>
  <conditionalFormatting sqref="Q60:Q61 Q64:Q65">
    <cfRule type="containsText" dxfId="9" priority="25590" operator="containsText" text="No">
      <formula>NOT(ISERROR(SEARCH(("No"),(Q60))))</formula>
    </cfRule>
  </conditionalFormatting>
  <conditionalFormatting sqref="Q60:Q61 Q64:Q65">
    <cfRule type="containsText" dxfId="9" priority="25591" operator="containsText" text="No">
      <formula>NOT(ISERROR(SEARCH(("No"),(Q60))))</formula>
    </cfRule>
  </conditionalFormatting>
  <conditionalFormatting sqref="Q60:Q61 Q64:Q65">
    <cfRule type="containsText" dxfId="9" priority="25592" operator="containsText" text="No">
      <formula>NOT(ISERROR(SEARCH(("No"),(Q60))))</formula>
    </cfRule>
  </conditionalFormatting>
  <conditionalFormatting sqref="Q60:Q61 Q64:Q65">
    <cfRule type="containsText" dxfId="9" priority="25593" operator="containsText" text="No">
      <formula>NOT(ISERROR(SEARCH(("No"),(Q60))))</formula>
    </cfRule>
  </conditionalFormatting>
  <conditionalFormatting sqref="Q60:Q61 Q64:Q65">
    <cfRule type="containsText" dxfId="9" priority="25594" operator="containsText" text="No">
      <formula>NOT(ISERROR(SEARCH(("No"),(Q60))))</formula>
    </cfRule>
  </conditionalFormatting>
  <conditionalFormatting sqref="Q60:Q61 Q64:Q65">
    <cfRule type="containsText" dxfId="9" priority="25595" operator="containsText" text="No">
      <formula>NOT(ISERROR(SEARCH(("No"),(Q60))))</formula>
    </cfRule>
  </conditionalFormatting>
  <conditionalFormatting sqref="Q60:Q61 Q64:Q65">
    <cfRule type="containsText" dxfId="2" priority="25596" operator="containsText" text="Yes">
      <formula>NOT(ISERROR(SEARCH(("Yes"),(Q60))))</formula>
    </cfRule>
  </conditionalFormatting>
  <conditionalFormatting sqref="Q60:Q61 Q64:Q65">
    <cfRule type="containsText" dxfId="2" priority="25597" operator="containsText" text="Yes">
      <formula>NOT(ISERROR(SEARCH(("Yes"),(Q60))))</formula>
    </cfRule>
  </conditionalFormatting>
  <conditionalFormatting sqref="Q60:Q61 Q64:Q65">
    <cfRule type="containsText" dxfId="2" priority="25598" operator="containsText" text="Yes">
      <formula>NOT(ISERROR(SEARCH(("Yes"),(Q60))))</formula>
    </cfRule>
  </conditionalFormatting>
  <conditionalFormatting sqref="Q60:Q61 Q64:Q65">
    <cfRule type="containsText" dxfId="2" priority="25599" operator="containsText" text="Yes">
      <formula>NOT(ISERROR(SEARCH(("Yes"),(Q60))))</formula>
    </cfRule>
  </conditionalFormatting>
  <conditionalFormatting sqref="Q60:Q61 Q64:Q65">
    <cfRule type="containsText" dxfId="2" priority="25600" operator="containsText" text="Yes">
      <formula>NOT(ISERROR(SEARCH(("Yes"),(Q60))))</formula>
    </cfRule>
  </conditionalFormatting>
  <conditionalFormatting sqref="Q60:Q61 Q64:Q65">
    <cfRule type="containsText" dxfId="2" priority="25601" operator="containsText" text="Yes">
      <formula>NOT(ISERROR(SEARCH(("Yes"),(Q60))))</formula>
    </cfRule>
  </conditionalFormatting>
  <conditionalFormatting sqref="Q60:Q61 Q64:Q65">
    <cfRule type="containsText" dxfId="2" priority="25602" operator="containsText" text="Yes">
      <formula>NOT(ISERROR(SEARCH(("Yes"),(Q60))))</formula>
    </cfRule>
  </conditionalFormatting>
  <conditionalFormatting sqref="Q60:Q61 Q64:Q65">
    <cfRule type="containsText" dxfId="2" priority="25603" operator="containsText" text="Yes">
      <formula>NOT(ISERROR(SEARCH(("Yes"),(Q60))))</formula>
    </cfRule>
  </conditionalFormatting>
  <conditionalFormatting sqref="Q60:Q61 Q64:Q65">
    <cfRule type="containsText" dxfId="2" priority="25604" operator="containsText" text="Yes">
      <formula>NOT(ISERROR(SEARCH(("Yes"),(Q60))))</formula>
    </cfRule>
  </conditionalFormatting>
  <conditionalFormatting sqref="Q60:Q61 Q64:Q65">
    <cfRule type="containsText" dxfId="2" priority="25605" operator="containsText" text="Yes">
      <formula>NOT(ISERROR(SEARCH(("Yes"),(Q60))))</formula>
    </cfRule>
  </conditionalFormatting>
  <conditionalFormatting sqref="Q60:Q61 Q64:Q65">
    <cfRule type="containsText" dxfId="2" priority="25606" operator="containsText" text="Yes">
      <formula>NOT(ISERROR(SEARCH(("Yes"),(Q60))))</formula>
    </cfRule>
  </conditionalFormatting>
  <conditionalFormatting sqref="Q60:Q61 Q64:Q65">
    <cfRule type="containsText" dxfId="2" priority="25607" operator="containsText" text="Yes">
      <formula>NOT(ISERROR(SEARCH(("Yes"),(Q60))))</formula>
    </cfRule>
  </conditionalFormatting>
  <conditionalFormatting sqref="Q60:Q61 Q64:Q65">
    <cfRule type="containsText" dxfId="2" priority="25608" operator="containsText" text="Yes">
      <formula>NOT(ISERROR(SEARCH(("Yes"),(Q60))))</formula>
    </cfRule>
  </conditionalFormatting>
  <conditionalFormatting sqref="Q60:Q61 Q64:Q65">
    <cfRule type="containsText" dxfId="2" priority="25609" operator="containsText" text="Yes">
      <formula>NOT(ISERROR(SEARCH(("Yes"),(Q60))))</formula>
    </cfRule>
  </conditionalFormatting>
  <conditionalFormatting sqref="Q60:Q61 Q64:Q65">
    <cfRule type="containsText" dxfId="2" priority="25610" operator="containsText" text="Yes">
      <formula>NOT(ISERROR(SEARCH(("Yes"),(Q60))))</formula>
    </cfRule>
  </conditionalFormatting>
  <conditionalFormatting sqref="Q60:Q61 Q64:Q65">
    <cfRule type="containsText" dxfId="2" priority="25611" operator="containsText" text="Yes">
      <formula>NOT(ISERROR(SEARCH(("Yes"),(Q60))))</formula>
    </cfRule>
  </conditionalFormatting>
  <conditionalFormatting sqref="Q60:Q61 Q64:Q65">
    <cfRule type="containsText" dxfId="2" priority="25612" operator="containsText" text="Yes">
      <formula>NOT(ISERROR(SEARCH(("Yes"),(Q60))))</formula>
    </cfRule>
  </conditionalFormatting>
  <conditionalFormatting sqref="Q60:Q61 Q64:Q65">
    <cfRule type="containsText" dxfId="2" priority="25613" operator="containsText" text="Yes">
      <formula>NOT(ISERROR(SEARCH(("Yes"),(Q60))))</formula>
    </cfRule>
  </conditionalFormatting>
  <conditionalFormatting sqref="Q60:Q61 Q64:Q65">
    <cfRule type="containsText" dxfId="2" priority="25614" operator="containsText" text="Yes">
      <formula>NOT(ISERROR(SEARCH(("Yes"),(Q60))))</formula>
    </cfRule>
  </conditionalFormatting>
  <conditionalFormatting sqref="Q60:Q61 Q64:Q65">
    <cfRule type="containsText" dxfId="2" priority="25615" operator="containsText" text="Yes">
      <formula>NOT(ISERROR(SEARCH(("Yes"),(Q60))))</formula>
    </cfRule>
  </conditionalFormatting>
  <conditionalFormatting sqref="Q60:Q61 Q64:Q65">
    <cfRule type="containsText" dxfId="2" priority="25616" operator="containsText" text="Yes">
      <formula>NOT(ISERROR(SEARCH(("Yes"),(Q60))))</formula>
    </cfRule>
  </conditionalFormatting>
  <conditionalFormatting sqref="Q60:Q61 Q64:Q65">
    <cfRule type="containsText" dxfId="2" priority="25617" operator="containsText" text="Yes">
      <formula>NOT(ISERROR(SEARCH(("Yes"),(Q60))))</formula>
    </cfRule>
  </conditionalFormatting>
  <conditionalFormatting sqref="Q60:Q61 Q64:Q65">
    <cfRule type="containsText" dxfId="2" priority="25618" operator="containsText" text="Yes">
      <formula>NOT(ISERROR(SEARCH(("Yes"),(Q60))))</formula>
    </cfRule>
  </conditionalFormatting>
  <conditionalFormatting sqref="Q60:Q61 Q64:Q65">
    <cfRule type="containsText" dxfId="2" priority="25619" operator="containsText" text="Yes">
      <formula>NOT(ISERROR(SEARCH(("Yes"),(Q60))))</formula>
    </cfRule>
  </conditionalFormatting>
  <conditionalFormatting sqref="Q60:Q61 Q64:Q65">
    <cfRule type="containsText" dxfId="2" priority="25620" operator="containsText" text="Yes">
      <formula>NOT(ISERROR(SEARCH(("Yes"),(Q60))))</formula>
    </cfRule>
  </conditionalFormatting>
  <conditionalFormatting sqref="Q60:Q61 Q64:Q65">
    <cfRule type="containsText" dxfId="2" priority="25621" operator="containsText" text="Yes">
      <formula>NOT(ISERROR(SEARCH(("Yes"),(Q60))))</formula>
    </cfRule>
  </conditionalFormatting>
  <conditionalFormatting sqref="Q60:Q61 Q64:Q65">
    <cfRule type="containsText" dxfId="2" priority="25622" operator="containsText" text="Yes">
      <formula>NOT(ISERROR(SEARCH(("Yes"),(Q60))))</formula>
    </cfRule>
  </conditionalFormatting>
  <conditionalFormatting sqref="Q60:Q61 Q64:Q65">
    <cfRule type="containsText" dxfId="2" priority="25623" operator="containsText" text="Yes">
      <formula>NOT(ISERROR(SEARCH(("Yes"),(Q60))))</formula>
    </cfRule>
  </conditionalFormatting>
  <conditionalFormatting sqref="Q60:Q61 Q64:Q65">
    <cfRule type="containsText" dxfId="2" priority="25624" operator="containsText" text="Yes">
      <formula>NOT(ISERROR(SEARCH(("Yes"),(Q60))))</formula>
    </cfRule>
  </conditionalFormatting>
  <conditionalFormatting sqref="Q60:Q61 Q64:Q65">
    <cfRule type="containsText" dxfId="2" priority="25625" operator="containsText" text="Yes">
      <formula>NOT(ISERROR(SEARCH(("Yes"),(Q60))))</formula>
    </cfRule>
  </conditionalFormatting>
  <conditionalFormatting sqref="Q60:Q61 Q64:Q65">
    <cfRule type="containsText" dxfId="2" priority="25626" operator="containsText" text="Yes">
      <formula>NOT(ISERROR(SEARCH(("Yes"),(Q60))))</formula>
    </cfRule>
  </conditionalFormatting>
  <conditionalFormatting sqref="Q60:Q61 Q64:Q65">
    <cfRule type="containsText" dxfId="2" priority="25627" operator="containsText" text="Yes">
      <formula>NOT(ISERROR(SEARCH(("Yes"),(Q60))))</formula>
    </cfRule>
  </conditionalFormatting>
  <conditionalFormatting sqref="Q60:Q61 Q64:Q65">
    <cfRule type="containsText" dxfId="2" priority="25628" operator="containsText" text="Yes">
      <formula>NOT(ISERROR(SEARCH(("Yes"),(Q60))))</formula>
    </cfRule>
  </conditionalFormatting>
  <conditionalFormatting sqref="Q60:Q61 Q64:Q65">
    <cfRule type="containsText" dxfId="2" priority="25629" operator="containsText" text="Yes">
      <formula>NOT(ISERROR(SEARCH(("Yes"),(Q60))))</formula>
    </cfRule>
  </conditionalFormatting>
  <conditionalFormatting sqref="Q60:Q61 Q64:Q65">
    <cfRule type="containsText" dxfId="2" priority="25630" operator="containsText" text="Yes">
      <formula>NOT(ISERROR(SEARCH(("Yes"),(Q60))))</formula>
    </cfRule>
  </conditionalFormatting>
  <conditionalFormatting sqref="Q60:Q61 Q64:Q65">
    <cfRule type="containsText" dxfId="2" priority="25631" operator="containsText" text="Yes">
      <formula>NOT(ISERROR(SEARCH(("Yes"),(Q60))))</formula>
    </cfRule>
  </conditionalFormatting>
  <conditionalFormatting sqref="Q60:Q61 Q64:Q65">
    <cfRule type="containsText" dxfId="2" priority="25632" operator="containsText" text="Yes">
      <formula>NOT(ISERROR(SEARCH(("Yes"),(Q60))))</formula>
    </cfRule>
  </conditionalFormatting>
  <conditionalFormatting sqref="Q60:Q61 Q64:Q65">
    <cfRule type="containsText" dxfId="2" priority="25633" operator="containsText" text="Yes">
      <formula>NOT(ISERROR(SEARCH(("Yes"),(Q60))))</formula>
    </cfRule>
  </conditionalFormatting>
  <conditionalFormatting sqref="Q60:Q61 Q64:Q65">
    <cfRule type="containsText" dxfId="2" priority="25634" operator="containsText" text="Yes">
      <formula>NOT(ISERROR(SEARCH(("Yes"),(Q60))))</formula>
    </cfRule>
  </conditionalFormatting>
  <conditionalFormatting sqref="Q60:Q61 Q64:Q65">
    <cfRule type="containsText" dxfId="2" priority="25635" operator="containsText" text="Yes">
      <formula>NOT(ISERROR(SEARCH(("Yes"),(Q60))))</formula>
    </cfRule>
  </conditionalFormatting>
  <conditionalFormatting sqref="Q60:Q61 Q64:Q65">
    <cfRule type="containsText" dxfId="2" priority="25636" operator="containsText" text="Yes">
      <formula>NOT(ISERROR(SEARCH(("Yes"),(Q60))))</formula>
    </cfRule>
  </conditionalFormatting>
  <conditionalFormatting sqref="Q60:Q61 Q64:Q65">
    <cfRule type="containsText" dxfId="2" priority="25637" operator="containsText" text="Yes">
      <formula>NOT(ISERROR(SEARCH(("Yes"),(Q60))))</formula>
    </cfRule>
  </conditionalFormatting>
  <conditionalFormatting sqref="Q60:Q61 Q64:Q65">
    <cfRule type="containsText" dxfId="2" priority="25638" operator="containsText" text="Yes">
      <formula>NOT(ISERROR(SEARCH(("Yes"),(Q60))))</formula>
    </cfRule>
  </conditionalFormatting>
  <conditionalFormatting sqref="Q60:Q61 Q64:Q65">
    <cfRule type="containsText" dxfId="2" priority="25639" operator="containsText" text="Yes">
      <formula>NOT(ISERROR(SEARCH(("Yes"),(Q60))))</formula>
    </cfRule>
  </conditionalFormatting>
  <conditionalFormatting sqref="Q60:Q61 Q64:Q65">
    <cfRule type="containsText" dxfId="2" priority="25640" operator="containsText" text="Yes">
      <formula>NOT(ISERROR(SEARCH(("Yes"),(Q60))))</formula>
    </cfRule>
  </conditionalFormatting>
  <conditionalFormatting sqref="Q60:Q61 Q64:Q65">
    <cfRule type="containsText" dxfId="2" priority="25641" operator="containsText" text="Yes">
      <formula>NOT(ISERROR(SEARCH(("Yes"),(Q60))))</formula>
    </cfRule>
  </conditionalFormatting>
  <conditionalFormatting sqref="Q60:Q61 Q64:Q65">
    <cfRule type="containsText" dxfId="2" priority="25642" operator="containsText" text="Yes">
      <formula>NOT(ISERROR(SEARCH(("Yes"),(Q60))))</formula>
    </cfRule>
  </conditionalFormatting>
  <conditionalFormatting sqref="N60:N61 N64:N65">
    <cfRule type="containsText" dxfId="9" priority="25643" operator="containsText" text="No">
      <formula>NOT(ISERROR(SEARCH(("No"),(N60))))</formula>
    </cfRule>
  </conditionalFormatting>
  <conditionalFormatting sqref="N60:N61 N64:N65">
    <cfRule type="containsText" dxfId="9" priority="25644" operator="containsText" text="No">
      <formula>NOT(ISERROR(SEARCH(("No"),(N60))))</formula>
    </cfRule>
  </conditionalFormatting>
  <conditionalFormatting sqref="N60:N61 N64:N65">
    <cfRule type="containsText" dxfId="9" priority="25645" operator="containsText" text="No">
      <formula>NOT(ISERROR(SEARCH(("No"),(N60))))</formula>
    </cfRule>
  </conditionalFormatting>
  <conditionalFormatting sqref="N60:N61 N64:N65">
    <cfRule type="containsText" dxfId="9" priority="25646" operator="containsText" text="No">
      <formula>NOT(ISERROR(SEARCH(("No"),(N60))))</formula>
    </cfRule>
  </conditionalFormatting>
  <conditionalFormatting sqref="N60:N61 N64:N65">
    <cfRule type="containsText" dxfId="9" priority="25647" operator="containsText" text="No">
      <formula>NOT(ISERROR(SEARCH(("No"),(N60))))</formula>
    </cfRule>
  </conditionalFormatting>
  <conditionalFormatting sqref="N60:N61 N64:N65">
    <cfRule type="containsText" dxfId="9" priority="25648" operator="containsText" text="No">
      <formula>NOT(ISERROR(SEARCH(("No"),(N60))))</formula>
    </cfRule>
  </conditionalFormatting>
  <conditionalFormatting sqref="N60:N61 N64:N65">
    <cfRule type="containsText" dxfId="9" priority="25649" operator="containsText" text="No">
      <formula>NOT(ISERROR(SEARCH(("No"),(N60))))</formula>
    </cfRule>
  </conditionalFormatting>
  <conditionalFormatting sqref="N60:N61 N64:N65">
    <cfRule type="containsText" dxfId="9" priority="25650" operator="containsText" text="No">
      <formula>NOT(ISERROR(SEARCH(("No"),(N60))))</formula>
    </cfRule>
  </conditionalFormatting>
  <conditionalFormatting sqref="N60:N61 N64:N65">
    <cfRule type="containsText" dxfId="9" priority="25651" operator="containsText" text="No">
      <formula>NOT(ISERROR(SEARCH(("No"),(N60))))</formula>
    </cfRule>
  </conditionalFormatting>
  <conditionalFormatting sqref="N60:N61 N64:N65">
    <cfRule type="containsText" dxfId="9" priority="25652" operator="containsText" text="No">
      <formula>NOT(ISERROR(SEARCH(("No"),(N60))))</formula>
    </cfRule>
  </conditionalFormatting>
  <conditionalFormatting sqref="N60:N61 N64:N65">
    <cfRule type="containsText" dxfId="9" priority="25653" operator="containsText" text="No">
      <formula>NOT(ISERROR(SEARCH(("No"),(N60))))</formula>
    </cfRule>
  </conditionalFormatting>
  <conditionalFormatting sqref="N60:N61 N64:N65">
    <cfRule type="containsText" dxfId="9" priority="25654" operator="containsText" text="No">
      <formula>NOT(ISERROR(SEARCH(("No"),(N60))))</formula>
    </cfRule>
  </conditionalFormatting>
  <conditionalFormatting sqref="N60:N61 N64:N65">
    <cfRule type="containsText" dxfId="9" priority="25655" operator="containsText" text="No">
      <formula>NOT(ISERROR(SEARCH(("No"),(N60))))</formula>
    </cfRule>
  </conditionalFormatting>
  <conditionalFormatting sqref="N60:N61 N64:N65">
    <cfRule type="containsText" dxfId="9" priority="25656" operator="containsText" text="No">
      <formula>NOT(ISERROR(SEARCH(("No"),(N60))))</formula>
    </cfRule>
  </conditionalFormatting>
  <conditionalFormatting sqref="N60:N61 N64:N65">
    <cfRule type="containsText" dxfId="9" priority="25657" operator="containsText" text="No">
      <formula>NOT(ISERROR(SEARCH(("No"),(N60))))</formula>
    </cfRule>
  </conditionalFormatting>
  <conditionalFormatting sqref="N60:N61 N64:N65">
    <cfRule type="containsText" dxfId="9" priority="25658" operator="containsText" text="No">
      <formula>NOT(ISERROR(SEARCH(("No"),(N60))))</formula>
    </cfRule>
  </conditionalFormatting>
  <conditionalFormatting sqref="N60:N61 N64:N65">
    <cfRule type="containsText" dxfId="9" priority="25659" operator="containsText" text="No">
      <formula>NOT(ISERROR(SEARCH(("No"),(N60))))</formula>
    </cfRule>
  </conditionalFormatting>
  <conditionalFormatting sqref="N60:N61 N64:N65">
    <cfRule type="containsText" dxfId="9" priority="25660" operator="containsText" text="No">
      <formula>NOT(ISERROR(SEARCH(("No"),(N60))))</formula>
    </cfRule>
  </conditionalFormatting>
  <conditionalFormatting sqref="N60:N61 N64:N65">
    <cfRule type="containsText" dxfId="9" priority="25661" operator="containsText" text="No">
      <formula>NOT(ISERROR(SEARCH(("No"),(N60))))</formula>
    </cfRule>
  </conditionalFormatting>
  <conditionalFormatting sqref="N60:N61 N64:N65">
    <cfRule type="containsText" dxfId="9" priority="25662" operator="containsText" text="No">
      <formula>NOT(ISERROR(SEARCH(("No"),(N60))))</formula>
    </cfRule>
  </conditionalFormatting>
  <conditionalFormatting sqref="N60:N61 N64:N65">
    <cfRule type="containsText" dxfId="9" priority="25663" operator="containsText" text="No">
      <formula>NOT(ISERROR(SEARCH(("No"),(N60))))</formula>
    </cfRule>
  </conditionalFormatting>
  <conditionalFormatting sqref="N60:N61 N64:N65">
    <cfRule type="containsText" dxfId="9" priority="25664" operator="containsText" text="No">
      <formula>NOT(ISERROR(SEARCH(("No"),(N60))))</formula>
    </cfRule>
  </conditionalFormatting>
  <conditionalFormatting sqref="N60:N61 N64:N65">
    <cfRule type="containsText" dxfId="9" priority="25665" operator="containsText" text="No">
      <formula>NOT(ISERROR(SEARCH(("No"),(N60))))</formula>
    </cfRule>
  </conditionalFormatting>
  <conditionalFormatting sqref="N60:N61 N64:N65">
    <cfRule type="containsText" dxfId="9" priority="25666" operator="containsText" text="No">
      <formula>NOT(ISERROR(SEARCH(("No"),(N60))))</formula>
    </cfRule>
  </conditionalFormatting>
  <conditionalFormatting sqref="N60:N61 N64:N65">
    <cfRule type="containsText" dxfId="9" priority="25667" operator="containsText" text="No">
      <formula>NOT(ISERROR(SEARCH(("No"),(N60))))</formula>
    </cfRule>
  </conditionalFormatting>
  <conditionalFormatting sqref="N60:N61 N64:N65">
    <cfRule type="containsText" dxfId="9" priority="25668" operator="containsText" text="No">
      <formula>NOT(ISERROR(SEARCH(("No"),(N60))))</formula>
    </cfRule>
  </conditionalFormatting>
  <conditionalFormatting sqref="N60:N61 N64:N65">
    <cfRule type="containsText" dxfId="9" priority="25669" operator="containsText" text="No">
      <formula>NOT(ISERROR(SEARCH(("No"),(N60))))</formula>
    </cfRule>
  </conditionalFormatting>
  <conditionalFormatting sqref="N60:N61 N64:N65">
    <cfRule type="containsText" dxfId="9" priority="25670" operator="containsText" text="No">
      <formula>NOT(ISERROR(SEARCH(("No"),(N60))))</formula>
    </cfRule>
  </conditionalFormatting>
  <conditionalFormatting sqref="N60:N61 N64:N65">
    <cfRule type="containsText" dxfId="9" priority="25671" operator="containsText" text="No">
      <formula>NOT(ISERROR(SEARCH(("No"),(N60))))</formula>
    </cfRule>
  </conditionalFormatting>
  <conditionalFormatting sqref="N60:N61 N64:N65">
    <cfRule type="containsText" dxfId="9" priority="25672" operator="containsText" text="No">
      <formula>NOT(ISERROR(SEARCH(("No"),(N60))))</formula>
    </cfRule>
  </conditionalFormatting>
  <conditionalFormatting sqref="N60:N61 N64:N65">
    <cfRule type="containsText" dxfId="9" priority="25673" operator="containsText" text="No">
      <formula>NOT(ISERROR(SEARCH(("No"),(N60))))</formula>
    </cfRule>
  </conditionalFormatting>
  <conditionalFormatting sqref="N60:N61 N64:N65">
    <cfRule type="containsText" dxfId="9" priority="25674" operator="containsText" text="No">
      <formula>NOT(ISERROR(SEARCH(("No"),(N60))))</formula>
    </cfRule>
  </conditionalFormatting>
  <conditionalFormatting sqref="N60:N61 N64:N65">
    <cfRule type="containsText" dxfId="9" priority="25675" operator="containsText" text="No">
      <formula>NOT(ISERROR(SEARCH(("No"),(N60))))</formula>
    </cfRule>
  </conditionalFormatting>
  <conditionalFormatting sqref="N60:N61 N64:N65">
    <cfRule type="containsText" dxfId="9" priority="25676" operator="containsText" text="No">
      <formula>NOT(ISERROR(SEARCH(("No"),(N60))))</formula>
    </cfRule>
  </conditionalFormatting>
  <conditionalFormatting sqref="N60:N61 N64:N65">
    <cfRule type="containsText" dxfId="9" priority="25677" operator="containsText" text="No">
      <formula>NOT(ISERROR(SEARCH(("No"),(N60))))</formula>
    </cfRule>
  </conditionalFormatting>
  <conditionalFormatting sqref="N60:N61 N64:N65">
    <cfRule type="containsText" dxfId="9" priority="25678" operator="containsText" text="No">
      <formula>NOT(ISERROR(SEARCH(("No"),(N60))))</formula>
    </cfRule>
  </conditionalFormatting>
  <conditionalFormatting sqref="N60:N61 N64:N65">
    <cfRule type="containsText" dxfId="9" priority="25679" operator="containsText" text="No">
      <formula>NOT(ISERROR(SEARCH(("No"),(N60))))</formula>
    </cfRule>
  </conditionalFormatting>
  <conditionalFormatting sqref="N60:N61 N64:N65">
    <cfRule type="containsText" dxfId="9" priority="25680" operator="containsText" text="No">
      <formula>NOT(ISERROR(SEARCH(("No"),(N60))))</formula>
    </cfRule>
  </conditionalFormatting>
  <conditionalFormatting sqref="N60:N61 N64:N65">
    <cfRule type="containsText" dxfId="9" priority="25681" operator="containsText" text="No">
      <formula>NOT(ISERROR(SEARCH(("No"),(N60))))</formula>
    </cfRule>
  </conditionalFormatting>
  <conditionalFormatting sqref="N60:N61 N64:N65">
    <cfRule type="containsText" dxfId="9" priority="25682" operator="containsText" text="No">
      <formula>NOT(ISERROR(SEARCH(("No"),(N60))))</formula>
    </cfRule>
  </conditionalFormatting>
  <conditionalFormatting sqref="N60:N61 N64:N65">
    <cfRule type="containsText" dxfId="9" priority="25683" operator="containsText" text="No">
      <formula>NOT(ISERROR(SEARCH(("No"),(N60))))</formula>
    </cfRule>
  </conditionalFormatting>
  <conditionalFormatting sqref="N60:N61 N64:N65">
    <cfRule type="containsText" dxfId="9" priority="25684" operator="containsText" text="No">
      <formula>NOT(ISERROR(SEARCH(("No"),(N60))))</formula>
    </cfRule>
  </conditionalFormatting>
  <conditionalFormatting sqref="N60:N61 N64:N65">
    <cfRule type="containsText" dxfId="9" priority="25685" operator="containsText" text="No">
      <formula>NOT(ISERROR(SEARCH(("No"),(N60))))</formula>
    </cfRule>
  </conditionalFormatting>
  <conditionalFormatting sqref="N60:N61 N64:N65">
    <cfRule type="containsText" dxfId="9" priority="25686" operator="containsText" text="No">
      <formula>NOT(ISERROR(SEARCH(("No"),(N60))))</formula>
    </cfRule>
  </conditionalFormatting>
  <conditionalFormatting sqref="N60:N61 N64:N65">
    <cfRule type="containsText" dxfId="9" priority="25687" operator="containsText" text="No">
      <formula>NOT(ISERROR(SEARCH(("No"),(N60))))</formula>
    </cfRule>
  </conditionalFormatting>
  <conditionalFormatting sqref="N60:N61 N64:N65">
    <cfRule type="containsText" dxfId="2" priority="25688" operator="containsText" text="Yes">
      <formula>NOT(ISERROR(SEARCH(("Yes"),(N60))))</formula>
    </cfRule>
  </conditionalFormatting>
  <conditionalFormatting sqref="N60:N61 N64:N65">
    <cfRule type="containsText" dxfId="2" priority="25689" operator="containsText" text="Yes">
      <formula>NOT(ISERROR(SEARCH(("Yes"),(N60))))</formula>
    </cfRule>
  </conditionalFormatting>
  <conditionalFormatting sqref="N60:N61 N64:N65">
    <cfRule type="containsText" dxfId="2" priority="25690" operator="containsText" text="Yes">
      <formula>NOT(ISERROR(SEARCH(("Yes"),(N60))))</formula>
    </cfRule>
  </conditionalFormatting>
  <conditionalFormatting sqref="N60:N61 N64:N65">
    <cfRule type="containsText" dxfId="2" priority="25691" operator="containsText" text="Yes">
      <formula>NOT(ISERROR(SEARCH(("Yes"),(N60))))</formula>
    </cfRule>
  </conditionalFormatting>
  <conditionalFormatting sqref="N60:N61 N64:N65">
    <cfRule type="containsText" dxfId="2" priority="25692" operator="containsText" text="Yes">
      <formula>NOT(ISERROR(SEARCH(("Yes"),(N60))))</formula>
    </cfRule>
  </conditionalFormatting>
  <conditionalFormatting sqref="N60:N61 N64:N65">
    <cfRule type="containsText" dxfId="2" priority="25693" operator="containsText" text="Yes">
      <formula>NOT(ISERROR(SEARCH(("Yes"),(N60))))</formula>
    </cfRule>
  </conditionalFormatting>
  <conditionalFormatting sqref="N60:N61 N64:N65">
    <cfRule type="containsText" dxfId="2" priority="25694" operator="containsText" text="Yes">
      <formula>NOT(ISERROR(SEARCH(("Yes"),(N60))))</formula>
    </cfRule>
  </conditionalFormatting>
  <conditionalFormatting sqref="N60:N61 N64:N65">
    <cfRule type="containsText" dxfId="2" priority="25695" operator="containsText" text="Yes">
      <formula>NOT(ISERROR(SEARCH(("Yes"),(N60))))</formula>
    </cfRule>
  </conditionalFormatting>
  <conditionalFormatting sqref="N60:N61 N64:N65">
    <cfRule type="containsText" dxfId="2" priority="25696" operator="containsText" text="Yes">
      <formula>NOT(ISERROR(SEARCH(("Yes"),(N60))))</formula>
    </cfRule>
  </conditionalFormatting>
  <conditionalFormatting sqref="N60:N61 N64:N65">
    <cfRule type="containsText" dxfId="2" priority="25697" operator="containsText" text="Yes">
      <formula>NOT(ISERROR(SEARCH(("Yes"),(N60))))</formula>
    </cfRule>
  </conditionalFormatting>
  <conditionalFormatting sqref="N60:N61 N64:N65">
    <cfRule type="containsText" dxfId="2" priority="25698" operator="containsText" text="Yes">
      <formula>NOT(ISERROR(SEARCH(("Yes"),(N60))))</formula>
    </cfRule>
  </conditionalFormatting>
  <conditionalFormatting sqref="N60:N61 N64:N65">
    <cfRule type="containsText" dxfId="2" priority="25699" operator="containsText" text="Yes">
      <formula>NOT(ISERROR(SEARCH(("Yes"),(N60))))</formula>
    </cfRule>
  </conditionalFormatting>
  <conditionalFormatting sqref="N60:N61 N64:N65">
    <cfRule type="containsText" dxfId="2" priority="25700" operator="containsText" text="Yes">
      <formula>NOT(ISERROR(SEARCH(("Yes"),(N60))))</formula>
    </cfRule>
  </conditionalFormatting>
  <conditionalFormatting sqref="N60:N61 N64:N65">
    <cfRule type="containsText" dxfId="2" priority="25701" operator="containsText" text="Yes">
      <formula>NOT(ISERROR(SEARCH(("Yes"),(N60))))</formula>
    </cfRule>
  </conditionalFormatting>
  <conditionalFormatting sqref="N60:N61 N64:N65">
    <cfRule type="containsText" dxfId="2" priority="25702" operator="containsText" text="Yes">
      <formula>NOT(ISERROR(SEARCH(("Yes"),(N60))))</formula>
    </cfRule>
  </conditionalFormatting>
  <conditionalFormatting sqref="N60:N61 N64:N65">
    <cfRule type="containsText" dxfId="2" priority="25703" operator="containsText" text="Yes">
      <formula>NOT(ISERROR(SEARCH(("Yes"),(N60))))</formula>
    </cfRule>
  </conditionalFormatting>
  <conditionalFormatting sqref="N60:N61 N64:N65">
    <cfRule type="containsText" dxfId="2" priority="25704" operator="containsText" text="Yes">
      <formula>NOT(ISERROR(SEARCH(("Yes"),(N60))))</formula>
    </cfRule>
  </conditionalFormatting>
  <conditionalFormatting sqref="N60:N61 N64:N65">
    <cfRule type="containsText" dxfId="2" priority="25705" operator="containsText" text="Yes">
      <formula>NOT(ISERROR(SEARCH(("Yes"),(N60))))</formula>
    </cfRule>
  </conditionalFormatting>
  <conditionalFormatting sqref="N60:N61 N64:N65">
    <cfRule type="containsText" dxfId="2" priority="25706" operator="containsText" text="Yes">
      <formula>NOT(ISERROR(SEARCH(("Yes"),(N60))))</formula>
    </cfRule>
  </conditionalFormatting>
  <conditionalFormatting sqref="N60:N61 N64:N65">
    <cfRule type="containsText" dxfId="2" priority="25707" operator="containsText" text="Yes">
      <formula>NOT(ISERROR(SEARCH(("Yes"),(N60))))</formula>
    </cfRule>
  </conditionalFormatting>
  <conditionalFormatting sqref="N60:N61 N64:N65">
    <cfRule type="containsText" dxfId="2" priority="25708" operator="containsText" text="Yes">
      <formula>NOT(ISERROR(SEARCH(("Yes"),(N60))))</formula>
    </cfRule>
  </conditionalFormatting>
  <conditionalFormatting sqref="N60:N61 N64:N65">
    <cfRule type="containsText" dxfId="2" priority="25709" operator="containsText" text="Yes">
      <formula>NOT(ISERROR(SEARCH(("Yes"),(N60))))</formula>
    </cfRule>
  </conditionalFormatting>
  <conditionalFormatting sqref="N60:N61 N64:N65">
    <cfRule type="containsText" dxfId="2" priority="25710" operator="containsText" text="Yes">
      <formula>NOT(ISERROR(SEARCH(("Yes"),(N60))))</formula>
    </cfRule>
  </conditionalFormatting>
  <conditionalFormatting sqref="N60:N61 N64:N65">
    <cfRule type="containsText" dxfId="2" priority="25711" operator="containsText" text="Yes">
      <formula>NOT(ISERROR(SEARCH(("Yes"),(N60))))</formula>
    </cfRule>
  </conditionalFormatting>
  <conditionalFormatting sqref="N60:N61 N64:N65">
    <cfRule type="containsText" dxfId="2" priority="25712" operator="containsText" text="Yes">
      <formula>NOT(ISERROR(SEARCH(("Yes"),(N60))))</formula>
    </cfRule>
  </conditionalFormatting>
  <conditionalFormatting sqref="N60:N61 N64:N65">
    <cfRule type="containsText" dxfId="2" priority="25713" operator="containsText" text="Yes">
      <formula>NOT(ISERROR(SEARCH(("Yes"),(N60))))</formula>
    </cfRule>
  </conditionalFormatting>
  <conditionalFormatting sqref="N60:N61 N64:N65">
    <cfRule type="containsText" dxfId="2" priority="25714" operator="containsText" text="Yes">
      <formula>NOT(ISERROR(SEARCH(("Yes"),(N60))))</formula>
    </cfRule>
  </conditionalFormatting>
  <conditionalFormatting sqref="N60:N61 N64:N65">
    <cfRule type="containsText" dxfId="2" priority="25715" operator="containsText" text="Yes">
      <formula>NOT(ISERROR(SEARCH(("Yes"),(N60))))</formula>
    </cfRule>
  </conditionalFormatting>
  <conditionalFormatting sqref="N60:N61 N64:N65">
    <cfRule type="containsText" dxfId="2" priority="25716" operator="containsText" text="Yes">
      <formula>NOT(ISERROR(SEARCH(("Yes"),(N60))))</formula>
    </cfRule>
  </conditionalFormatting>
  <conditionalFormatting sqref="N60:N61 N64:N65">
    <cfRule type="containsText" dxfId="2" priority="25717" operator="containsText" text="Yes">
      <formula>NOT(ISERROR(SEARCH(("Yes"),(N60))))</formula>
    </cfRule>
  </conditionalFormatting>
  <conditionalFormatting sqref="N60:N61 N64:N65">
    <cfRule type="containsText" dxfId="2" priority="25718" operator="containsText" text="Yes">
      <formula>NOT(ISERROR(SEARCH(("Yes"),(N60))))</formula>
    </cfRule>
  </conditionalFormatting>
  <conditionalFormatting sqref="N60:N61 N64:N65">
    <cfRule type="containsText" dxfId="2" priority="25719" operator="containsText" text="Yes">
      <formula>NOT(ISERROR(SEARCH(("Yes"),(N60))))</formula>
    </cfRule>
  </conditionalFormatting>
  <conditionalFormatting sqref="N60:N61 N64:N65">
    <cfRule type="containsText" dxfId="2" priority="25720" operator="containsText" text="Yes">
      <formula>NOT(ISERROR(SEARCH(("Yes"),(N60))))</formula>
    </cfRule>
  </conditionalFormatting>
  <conditionalFormatting sqref="N60:N61 N64:N65">
    <cfRule type="containsText" dxfId="2" priority="25721" operator="containsText" text="Yes">
      <formula>NOT(ISERROR(SEARCH(("Yes"),(N60))))</formula>
    </cfRule>
  </conditionalFormatting>
  <conditionalFormatting sqref="N60:N61 N64:N65">
    <cfRule type="containsText" dxfId="2" priority="25722" operator="containsText" text="Yes">
      <formula>NOT(ISERROR(SEARCH(("Yes"),(N60))))</formula>
    </cfRule>
  </conditionalFormatting>
  <conditionalFormatting sqref="N60:N61 N64:N65">
    <cfRule type="containsText" dxfId="2" priority="25723" operator="containsText" text="Yes">
      <formula>NOT(ISERROR(SEARCH(("Yes"),(N60))))</formula>
    </cfRule>
  </conditionalFormatting>
  <conditionalFormatting sqref="N60:N61 N64:N65">
    <cfRule type="containsText" dxfId="2" priority="25724" operator="containsText" text="Yes">
      <formula>NOT(ISERROR(SEARCH(("Yes"),(N60))))</formula>
    </cfRule>
  </conditionalFormatting>
  <conditionalFormatting sqref="N60:N61 N64:N65">
    <cfRule type="containsText" dxfId="2" priority="25725" operator="containsText" text="Yes">
      <formula>NOT(ISERROR(SEARCH(("Yes"),(N60))))</formula>
    </cfRule>
  </conditionalFormatting>
  <conditionalFormatting sqref="N60:N61 N64:N65">
    <cfRule type="containsText" dxfId="2" priority="25726" operator="containsText" text="Yes">
      <formula>NOT(ISERROR(SEARCH(("Yes"),(N60))))</formula>
    </cfRule>
  </conditionalFormatting>
  <conditionalFormatting sqref="N60:N61 N64:N65">
    <cfRule type="containsText" dxfId="2" priority="25727" operator="containsText" text="Yes">
      <formula>NOT(ISERROR(SEARCH(("Yes"),(N60))))</formula>
    </cfRule>
  </conditionalFormatting>
  <conditionalFormatting sqref="N60:N61 N64:N65">
    <cfRule type="containsText" dxfId="2" priority="25728" operator="containsText" text="Yes">
      <formula>NOT(ISERROR(SEARCH(("Yes"),(N60))))</formula>
    </cfRule>
  </conditionalFormatting>
  <conditionalFormatting sqref="N60:N61 N64:N65">
    <cfRule type="containsText" dxfId="2" priority="25729" operator="containsText" text="Yes">
      <formula>NOT(ISERROR(SEARCH(("Yes"),(N60))))</formula>
    </cfRule>
  </conditionalFormatting>
  <conditionalFormatting sqref="N60:N61 N64:N65">
    <cfRule type="containsText" dxfId="2" priority="25730" operator="containsText" text="Yes">
      <formula>NOT(ISERROR(SEARCH(("Yes"),(N60))))</formula>
    </cfRule>
  </conditionalFormatting>
  <conditionalFormatting sqref="N60:N61 N64:N65">
    <cfRule type="containsText" dxfId="2" priority="25731" operator="containsText" text="Yes">
      <formula>NOT(ISERROR(SEARCH(("Yes"),(N60))))</formula>
    </cfRule>
  </conditionalFormatting>
  <conditionalFormatting sqref="N60:N61 N64:N65">
    <cfRule type="containsText" dxfId="2" priority="25732" operator="containsText" text="Yes">
      <formula>NOT(ISERROR(SEARCH(("Yes"),(N60))))</formula>
    </cfRule>
  </conditionalFormatting>
  <conditionalFormatting sqref="N60:N61 N64:N65">
    <cfRule type="containsText" dxfId="2" priority="25733" operator="containsText" text="Yes">
      <formula>NOT(ISERROR(SEARCH(("Yes"),(N60))))</formula>
    </cfRule>
  </conditionalFormatting>
  <conditionalFormatting sqref="N60:N61 N64:N65">
    <cfRule type="containsText" dxfId="2" priority="25734" operator="containsText" text="Yes">
      <formula>NOT(ISERROR(SEARCH(("Yes"),(N60))))</formula>
    </cfRule>
  </conditionalFormatting>
  <conditionalFormatting sqref="O60:O61 O64:O65">
    <cfRule type="containsText" dxfId="9" priority="25735" operator="containsText" text="No">
      <formula>NOT(ISERROR(SEARCH(("No"),(O60))))</formula>
    </cfRule>
  </conditionalFormatting>
  <conditionalFormatting sqref="O60:O61 O64:O65">
    <cfRule type="containsText" dxfId="9" priority="25736" operator="containsText" text="No">
      <formula>NOT(ISERROR(SEARCH(("No"),(O60))))</formula>
    </cfRule>
  </conditionalFormatting>
  <conditionalFormatting sqref="O60:O61 O64:O65">
    <cfRule type="containsText" dxfId="9" priority="25737" operator="containsText" text="No">
      <formula>NOT(ISERROR(SEARCH(("No"),(O60))))</formula>
    </cfRule>
  </conditionalFormatting>
  <conditionalFormatting sqref="O60:O61 O64:O65">
    <cfRule type="containsText" dxfId="9" priority="25738" operator="containsText" text="No">
      <formula>NOT(ISERROR(SEARCH(("No"),(O60))))</formula>
    </cfRule>
  </conditionalFormatting>
  <conditionalFormatting sqref="O60:O61 O64:O65">
    <cfRule type="containsText" dxfId="9" priority="25739" operator="containsText" text="No">
      <formula>NOT(ISERROR(SEARCH(("No"),(O60))))</formula>
    </cfRule>
  </conditionalFormatting>
  <conditionalFormatting sqref="O60:O61 O64:O65">
    <cfRule type="containsText" dxfId="9" priority="25740" operator="containsText" text="No">
      <formula>NOT(ISERROR(SEARCH(("No"),(O60))))</formula>
    </cfRule>
  </conditionalFormatting>
  <conditionalFormatting sqref="O60:O61 O64:O65">
    <cfRule type="containsText" dxfId="9" priority="25741" operator="containsText" text="No">
      <formula>NOT(ISERROR(SEARCH(("No"),(O60))))</formula>
    </cfRule>
  </conditionalFormatting>
  <conditionalFormatting sqref="O60:O61 O64:O65">
    <cfRule type="containsText" dxfId="9" priority="25742" operator="containsText" text="No">
      <formula>NOT(ISERROR(SEARCH(("No"),(O60))))</formula>
    </cfRule>
  </conditionalFormatting>
  <conditionalFormatting sqref="O60:O61 O64:O65">
    <cfRule type="containsText" dxfId="9" priority="25743" operator="containsText" text="No">
      <formula>NOT(ISERROR(SEARCH(("No"),(O60))))</formula>
    </cfRule>
  </conditionalFormatting>
  <conditionalFormatting sqref="O60:O61 O64:O65">
    <cfRule type="containsText" dxfId="9" priority="25744" operator="containsText" text="No">
      <formula>NOT(ISERROR(SEARCH(("No"),(O60))))</formula>
    </cfRule>
  </conditionalFormatting>
  <conditionalFormatting sqref="O60:O61 O64:O65">
    <cfRule type="containsText" dxfId="9" priority="25745" operator="containsText" text="No">
      <formula>NOT(ISERROR(SEARCH(("No"),(O60))))</formula>
    </cfRule>
  </conditionalFormatting>
  <conditionalFormatting sqref="O60:O61 O64:O65">
    <cfRule type="containsText" dxfId="9" priority="25746" operator="containsText" text="No">
      <formula>NOT(ISERROR(SEARCH(("No"),(O60))))</formula>
    </cfRule>
  </conditionalFormatting>
  <conditionalFormatting sqref="O60:O61 O64:O65">
    <cfRule type="containsText" dxfId="9" priority="25747" operator="containsText" text="No">
      <formula>NOT(ISERROR(SEARCH(("No"),(O60))))</formula>
    </cfRule>
  </conditionalFormatting>
  <conditionalFormatting sqref="O60:O61 O64:O65">
    <cfRule type="containsText" dxfId="9" priority="25748" operator="containsText" text="No">
      <formula>NOT(ISERROR(SEARCH(("No"),(O60))))</formula>
    </cfRule>
  </conditionalFormatting>
  <conditionalFormatting sqref="O60:O61 O64:O65">
    <cfRule type="containsText" dxfId="9" priority="25749" operator="containsText" text="No">
      <formula>NOT(ISERROR(SEARCH(("No"),(O60))))</formula>
    </cfRule>
  </conditionalFormatting>
  <conditionalFormatting sqref="O60:O61 O64:O65">
    <cfRule type="containsText" dxfId="9" priority="25750" operator="containsText" text="No">
      <formula>NOT(ISERROR(SEARCH(("No"),(O60))))</formula>
    </cfRule>
  </conditionalFormatting>
  <conditionalFormatting sqref="O60:O61 O64:O65">
    <cfRule type="containsText" dxfId="9" priority="25751" operator="containsText" text="No">
      <formula>NOT(ISERROR(SEARCH(("No"),(O60))))</formula>
    </cfRule>
  </conditionalFormatting>
  <conditionalFormatting sqref="O60:O61 O64:O65">
    <cfRule type="containsText" dxfId="9" priority="25752" operator="containsText" text="No">
      <formula>NOT(ISERROR(SEARCH(("No"),(O60))))</formula>
    </cfRule>
  </conditionalFormatting>
  <conditionalFormatting sqref="O60:O61 O64:O65">
    <cfRule type="containsText" dxfId="9" priority="25753" operator="containsText" text="No">
      <formula>NOT(ISERROR(SEARCH(("No"),(O60))))</formula>
    </cfRule>
  </conditionalFormatting>
  <conditionalFormatting sqref="O60:O61 O64:O65">
    <cfRule type="containsText" dxfId="9" priority="25754" operator="containsText" text="No">
      <formula>NOT(ISERROR(SEARCH(("No"),(O60))))</formula>
    </cfRule>
  </conditionalFormatting>
  <conditionalFormatting sqref="O60:O61 O64:O65">
    <cfRule type="containsText" dxfId="9" priority="25755" operator="containsText" text="No">
      <formula>NOT(ISERROR(SEARCH(("No"),(O60))))</formula>
    </cfRule>
  </conditionalFormatting>
  <conditionalFormatting sqref="O60:O61 O64:O65">
    <cfRule type="containsText" dxfId="9" priority="25756" operator="containsText" text="No">
      <formula>NOT(ISERROR(SEARCH(("No"),(O60))))</formula>
    </cfRule>
  </conditionalFormatting>
  <conditionalFormatting sqref="O60:O61 O64:O65">
    <cfRule type="containsText" dxfId="9" priority="25757" operator="containsText" text="No">
      <formula>NOT(ISERROR(SEARCH(("No"),(O60))))</formula>
    </cfRule>
  </conditionalFormatting>
  <conditionalFormatting sqref="O60:O61 O64:O65">
    <cfRule type="containsText" dxfId="9" priority="25758" operator="containsText" text="No">
      <formula>NOT(ISERROR(SEARCH(("No"),(O60))))</formula>
    </cfRule>
  </conditionalFormatting>
  <conditionalFormatting sqref="O60:O61 O64:O65">
    <cfRule type="containsText" dxfId="9" priority="25759" operator="containsText" text="No">
      <formula>NOT(ISERROR(SEARCH(("No"),(O60))))</formula>
    </cfRule>
  </conditionalFormatting>
  <conditionalFormatting sqref="O60:O61 O64:O65">
    <cfRule type="containsText" dxfId="9" priority="25760" operator="containsText" text="No">
      <formula>NOT(ISERROR(SEARCH(("No"),(O60))))</formula>
    </cfRule>
  </conditionalFormatting>
  <conditionalFormatting sqref="O60:O61 O64:O65">
    <cfRule type="containsText" dxfId="9" priority="25761" operator="containsText" text="No">
      <formula>NOT(ISERROR(SEARCH(("No"),(O60))))</formula>
    </cfRule>
  </conditionalFormatting>
  <conditionalFormatting sqref="O60:O61 O64:O65">
    <cfRule type="containsText" dxfId="9" priority="25762" operator="containsText" text="No">
      <formula>NOT(ISERROR(SEARCH(("No"),(O60))))</formula>
    </cfRule>
  </conditionalFormatting>
  <conditionalFormatting sqref="O60:O61 O64:O65">
    <cfRule type="containsText" dxfId="9" priority="25763" operator="containsText" text="No">
      <formula>NOT(ISERROR(SEARCH(("No"),(O60))))</formula>
    </cfRule>
  </conditionalFormatting>
  <conditionalFormatting sqref="O60:O61 O64:O65">
    <cfRule type="containsText" dxfId="9" priority="25764" operator="containsText" text="No">
      <formula>NOT(ISERROR(SEARCH(("No"),(O60))))</formula>
    </cfRule>
  </conditionalFormatting>
  <conditionalFormatting sqref="O60:O61 O64:O65">
    <cfRule type="containsText" dxfId="9" priority="25765" operator="containsText" text="No">
      <formula>NOT(ISERROR(SEARCH(("No"),(O60))))</formula>
    </cfRule>
  </conditionalFormatting>
  <conditionalFormatting sqref="O60:O61 O64:O65">
    <cfRule type="containsText" dxfId="9" priority="25766" operator="containsText" text="No">
      <formula>NOT(ISERROR(SEARCH(("No"),(O60))))</formula>
    </cfRule>
  </conditionalFormatting>
  <conditionalFormatting sqref="O60:O61 O64:O65">
    <cfRule type="containsText" dxfId="9" priority="25767" operator="containsText" text="No">
      <formula>NOT(ISERROR(SEARCH(("No"),(O60))))</formula>
    </cfRule>
  </conditionalFormatting>
  <conditionalFormatting sqref="O60:O61 O64:O65">
    <cfRule type="containsText" dxfId="9" priority="25768" operator="containsText" text="No">
      <formula>NOT(ISERROR(SEARCH(("No"),(O60))))</formula>
    </cfRule>
  </conditionalFormatting>
  <conditionalFormatting sqref="O60:O61 O64:O65">
    <cfRule type="containsText" dxfId="9" priority="25769" operator="containsText" text="No">
      <formula>NOT(ISERROR(SEARCH(("No"),(O60))))</formula>
    </cfRule>
  </conditionalFormatting>
  <conditionalFormatting sqref="O60:O61 O64:O65">
    <cfRule type="containsText" dxfId="9" priority="25770" operator="containsText" text="No">
      <formula>NOT(ISERROR(SEARCH(("No"),(O60))))</formula>
    </cfRule>
  </conditionalFormatting>
  <conditionalFormatting sqref="O60:O61 O64:O65">
    <cfRule type="containsText" dxfId="9" priority="25771" operator="containsText" text="No">
      <formula>NOT(ISERROR(SEARCH(("No"),(O60))))</formula>
    </cfRule>
  </conditionalFormatting>
  <conditionalFormatting sqref="O60:O61 O64:O65">
    <cfRule type="containsText" dxfId="9" priority="25772" operator="containsText" text="No">
      <formula>NOT(ISERROR(SEARCH(("No"),(O60))))</formula>
    </cfRule>
  </conditionalFormatting>
  <conditionalFormatting sqref="O60:O61 O64:O65">
    <cfRule type="containsText" dxfId="9" priority="25773" operator="containsText" text="No">
      <formula>NOT(ISERROR(SEARCH(("No"),(O60))))</formula>
    </cfRule>
  </conditionalFormatting>
  <conditionalFormatting sqref="O60:O61 O64:O65">
    <cfRule type="containsText" dxfId="9" priority="25774" operator="containsText" text="No">
      <formula>NOT(ISERROR(SEARCH(("No"),(O60))))</formula>
    </cfRule>
  </conditionalFormatting>
  <conditionalFormatting sqref="O60:O61 O64:O65">
    <cfRule type="containsText" dxfId="9" priority="25775" operator="containsText" text="No">
      <formula>NOT(ISERROR(SEARCH(("No"),(O60))))</formula>
    </cfRule>
  </conditionalFormatting>
  <conditionalFormatting sqref="O60:O61 O64:O65">
    <cfRule type="containsText" dxfId="9" priority="25776" operator="containsText" text="No">
      <formula>NOT(ISERROR(SEARCH(("No"),(O60))))</formula>
    </cfRule>
  </conditionalFormatting>
  <conditionalFormatting sqref="O60:O61 O64:O65">
    <cfRule type="containsText" dxfId="9" priority="25777" operator="containsText" text="No">
      <formula>NOT(ISERROR(SEARCH(("No"),(O60))))</formula>
    </cfRule>
  </conditionalFormatting>
  <conditionalFormatting sqref="O60:O61 O64:O65">
    <cfRule type="containsText" dxfId="9" priority="25778" operator="containsText" text="No">
      <formula>NOT(ISERROR(SEARCH(("No"),(O60))))</formula>
    </cfRule>
  </conditionalFormatting>
  <conditionalFormatting sqref="O60:O61 O64:O65">
    <cfRule type="containsText" dxfId="9" priority="25779" operator="containsText" text="No">
      <formula>NOT(ISERROR(SEARCH(("No"),(O60))))</formula>
    </cfRule>
  </conditionalFormatting>
  <conditionalFormatting sqref="O60:O61 O64:O65">
    <cfRule type="containsText" dxfId="2" priority="25780" operator="containsText" text="Yes">
      <formula>NOT(ISERROR(SEARCH(("Yes"),(O60))))</formula>
    </cfRule>
  </conditionalFormatting>
  <conditionalFormatting sqref="O60:O61 O64:O65">
    <cfRule type="containsText" dxfId="2" priority="25781" operator="containsText" text="Yes">
      <formula>NOT(ISERROR(SEARCH(("Yes"),(O60))))</formula>
    </cfRule>
  </conditionalFormatting>
  <conditionalFormatting sqref="O60:O61 O64:O65">
    <cfRule type="containsText" dxfId="2" priority="25782" operator="containsText" text="Yes">
      <formula>NOT(ISERROR(SEARCH(("Yes"),(O60))))</formula>
    </cfRule>
  </conditionalFormatting>
  <conditionalFormatting sqref="O60:O61 O64:O65">
    <cfRule type="containsText" dxfId="2" priority="25783" operator="containsText" text="Yes">
      <formula>NOT(ISERROR(SEARCH(("Yes"),(O60))))</formula>
    </cfRule>
  </conditionalFormatting>
  <conditionalFormatting sqref="O60:O61 O64:O65">
    <cfRule type="containsText" dxfId="2" priority="25784" operator="containsText" text="Yes">
      <formula>NOT(ISERROR(SEARCH(("Yes"),(O60))))</formula>
    </cfRule>
  </conditionalFormatting>
  <conditionalFormatting sqref="O60:O61 O64:O65">
    <cfRule type="containsText" dxfId="2" priority="25785" operator="containsText" text="Yes">
      <formula>NOT(ISERROR(SEARCH(("Yes"),(O60))))</formula>
    </cfRule>
  </conditionalFormatting>
  <conditionalFormatting sqref="O60:O61 O64:O65">
    <cfRule type="containsText" dxfId="2" priority="25786" operator="containsText" text="Yes">
      <formula>NOT(ISERROR(SEARCH(("Yes"),(O60))))</formula>
    </cfRule>
  </conditionalFormatting>
  <conditionalFormatting sqref="O60:O61 O64:O65">
    <cfRule type="containsText" dxfId="2" priority="25787" operator="containsText" text="Yes">
      <formula>NOT(ISERROR(SEARCH(("Yes"),(O60))))</formula>
    </cfRule>
  </conditionalFormatting>
  <conditionalFormatting sqref="O60:O61 O64:O65">
    <cfRule type="containsText" dxfId="2" priority="25788" operator="containsText" text="Yes">
      <formula>NOT(ISERROR(SEARCH(("Yes"),(O60))))</formula>
    </cfRule>
  </conditionalFormatting>
  <conditionalFormatting sqref="O60:O61 O64:O65">
    <cfRule type="containsText" dxfId="2" priority="25789" operator="containsText" text="Yes">
      <formula>NOT(ISERROR(SEARCH(("Yes"),(O60))))</formula>
    </cfRule>
  </conditionalFormatting>
  <conditionalFormatting sqref="O60:O61 O64:O65">
    <cfRule type="containsText" dxfId="2" priority="25790" operator="containsText" text="Yes">
      <formula>NOT(ISERROR(SEARCH(("Yes"),(O60))))</formula>
    </cfRule>
  </conditionalFormatting>
  <conditionalFormatting sqref="O60:O61 O64:O65">
    <cfRule type="containsText" dxfId="2" priority="25791" operator="containsText" text="Yes">
      <formula>NOT(ISERROR(SEARCH(("Yes"),(O60))))</formula>
    </cfRule>
  </conditionalFormatting>
  <conditionalFormatting sqref="O60:O61 O64:O65">
    <cfRule type="containsText" dxfId="2" priority="25792" operator="containsText" text="Yes">
      <formula>NOT(ISERROR(SEARCH(("Yes"),(O60))))</formula>
    </cfRule>
  </conditionalFormatting>
  <conditionalFormatting sqref="O60:O61 O64:O65">
    <cfRule type="containsText" dxfId="2" priority="25793" operator="containsText" text="Yes">
      <formula>NOT(ISERROR(SEARCH(("Yes"),(O60))))</formula>
    </cfRule>
  </conditionalFormatting>
  <conditionalFormatting sqref="O60:O61 O64:O65">
    <cfRule type="containsText" dxfId="2" priority="25794" operator="containsText" text="Yes">
      <formula>NOT(ISERROR(SEARCH(("Yes"),(O60))))</formula>
    </cfRule>
  </conditionalFormatting>
  <conditionalFormatting sqref="O60:O61 O64:O65">
    <cfRule type="containsText" dxfId="2" priority="25795" operator="containsText" text="Yes">
      <formula>NOT(ISERROR(SEARCH(("Yes"),(O60))))</formula>
    </cfRule>
  </conditionalFormatting>
  <conditionalFormatting sqref="O60:O61 O64:O65">
    <cfRule type="containsText" dxfId="2" priority="25796" operator="containsText" text="Yes">
      <formula>NOT(ISERROR(SEARCH(("Yes"),(O60))))</formula>
    </cfRule>
  </conditionalFormatting>
  <conditionalFormatting sqref="O60:O61 O64:O65">
    <cfRule type="containsText" dxfId="2" priority="25797" operator="containsText" text="Yes">
      <formula>NOT(ISERROR(SEARCH(("Yes"),(O60))))</formula>
    </cfRule>
  </conditionalFormatting>
  <conditionalFormatting sqref="O60:O61 O64:O65">
    <cfRule type="containsText" dxfId="2" priority="25798" operator="containsText" text="Yes">
      <formula>NOT(ISERROR(SEARCH(("Yes"),(O60))))</formula>
    </cfRule>
  </conditionalFormatting>
  <conditionalFormatting sqref="O60:O61 O64:O65">
    <cfRule type="containsText" dxfId="2" priority="25799" operator="containsText" text="Yes">
      <formula>NOT(ISERROR(SEARCH(("Yes"),(O60))))</formula>
    </cfRule>
  </conditionalFormatting>
  <conditionalFormatting sqref="O60:O61 O64:O65">
    <cfRule type="containsText" dxfId="2" priority="25800" operator="containsText" text="Yes">
      <formula>NOT(ISERROR(SEARCH(("Yes"),(O60))))</formula>
    </cfRule>
  </conditionalFormatting>
  <conditionalFormatting sqref="O60:O61 O64:O65">
    <cfRule type="containsText" dxfId="2" priority="25801" operator="containsText" text="Yes">
      <formula>NOT(ISERROR(SEARCH(("Yes"),(O60))))</formula>
    </cfRule>
  </conditionalFormatting>
  <conditionalFormatting sqref="O60:O61 O64:O65">
    <cfRule type="containsText" dxfId="2" priority="25802" operator="containsText" text="Yes">
      <formula>NOT(ISERROR(SEARCH(("Yes"),(O60))))</formula>
    </cfRule>
  </conditionalFormatting>
  <conditionalFormatting sqref="O60:O61 O64:O65">
    <cfRule type="containsText" dxfId="2" priority="25803" operator="containsText" text="Yes">
      <formula>NOT(ISERROR(SEARCH(("Yes"),(O60))))</formula>
    </cfRule>
  </conditionalFormatting>
  <conditionalFormatting sqref="O60:O61 O64:O65">
    <cfRule type="containsText" dxfId="2" priority="25804" operator="containsText" text="Yes">
      <formula>NOT(ISERROR(SEARCH(("Yes"),(O60))))</formula>
    </cfRule>
  </conditionalFormatting>
  <conditionalFormatting sqref="O60:O61 O64:O65">
    <cfRule type="containsText" dxfId="2" priority="25805" operator="containsText" text="Yes">
      <formula>NOT(ISERROR(SEARCH(("Yes"),(O60))))</formula>
    </cfRule>
  </conditionalFormatting>
  <conditionalFormatting sqref="O60:O61 O64:O65">
    <cfRule type="containsText" dxfId="2" priority="25806" operator="containsText" text="Yes">
      <formula>NOT(ISERROR(SEARCH(("Yes"),(O60))))</formula>
    </cfRule>
  </conditionalFormatting>
  <conditionalFormatting sqref="O60:O61 O64:O65">
    <cfRule type="containsText" dxfId="2" priority="25807" operator="containsText" text="Yes">
      <formula>NOT(ISERROR(SEARCH(("Yes"),(O60))))</formula>
    </cfRule>
  </conditionalFormatting>
  <conditionalFormatting sqref="O60:O61 O64:O65">
    <cfRule type="containsText" dxfId="2" priority="25808" operator="containsText" text="Yes">
      <formula>NOT(ISERROR(SEARCH(("Yes"),(O60))))</formula>
    </cfRule>
  </conditionalFormatting>
  <conditionalFormatting sqref="O60:O61 O64:O65">
    <cfRule type="containsText" dxfId="2" priority="25809" operator="containsText" text="Yes">
      <formula>NOT(ISERROR(SEARCH(("Yes"),(O60))))</formula>
    </cfRule>
  </conditionalFormatting>
  <conditionalFormatting sqref="O60:O61 O64:O65">
    <cfRule type="containsText" dxfId="2" priority="25810" operator="containsText" text="Yes">
      <formula>NOT(ISERROR(SEARCH(("Yes"),(O60))))</formula>
    </cfRule>
  </conditionalFormatting>
  <conditionalFormatting sqref="O60:O61 O64:O65">
    <cfRule type="containsText" dxfId="2" priority="25811" operator="containsText" text="Yes">
      <formula>NOT(ISERROR(SEARCH(("Yes"),(O60))))</formula>
    </cfRule>
  </conditionalFormatting>
  <conditionalFormatting sqref="O60:O61 O64:O65">
    <cfRule type="containsText" dxfId="2" priority="25812" operator="containsText" text="Yes">
      <formula>NOT(ISERROR(SEARCH(("Yes"),(O60))))</formula>
    </cfRule>
  </conditionalFormatting>
  <conditionalFormatting sqref="O60:O61 O64:O65">
    <cfRule type="containsText" dxfId="2" priority="25813" operator="containsText" text="Yes">
      <formula>NOT(ISERROR(SEARCH(("Yes"),(O60))))</formula>
    </cfRule>
  </conditionalFormatting>
  <conditionalFormatting sqref="O60:O61 O64:O65">
    <cfRule type="containsText" dxfId="2" priority="25814" operator="containsText" text="Yes">
      <formula>NOT(ISERROR(SEARCH(("Yes"),(O60))))</formula>
    </cfRule>
  </conditionalFormatting>
  <conditionalFormatting sqref="O60:O61 O64:O65">
    <cfRule type="containsText" dxfId="2" priority="25815" operator="containsText" text="Yes">
      <formula>NOT(ISERROR(SEARCH(("Yes"),(O60))))</formula>
    </cfRule>
  </conditionalFormatting>
  <conditionalFormatting sqref="O60:O61 O64:O65">
    <cfRule type="containsText" dxfId="2" priority="25816" operator="containsText" text="Yes">
      <formula>NOT(ISERROR(SEARCH(("Yes"),(O60))))</formula>
    </cfRule>
  </conditionalFormatting>
  <conditionalFormatting sqref="O60:O61 O64:O65">
    <cfRule type="containsText" dxfId="2" priority="25817" operator="containsText" text="Yes">
      <formula>NOT(ISERROR(SEARCH(("Yes"),(O60))))</formula>
    </cfRule>
  </conditionalFormatting>
  <conditionalFormatting sqref="O60:O61 O64:O65">
    <cfRule type="containsText" dxfId="2" priority="25818" operator="containsText" text="Yes">
      <formula>NOT(ISERROR(SEARCH(("Yes"),(O60))))</formula>
    </cfRule>
  </conditionalFormatting>
  <conditionalFormatting sqref="O60:O61 O64:O65">
    <cfRule type="containsText" dxfId="2" priority="25819" operator="containsText" text="Yes">
      <formula>NOT(ISERROR(SEARCH(("Yes"),(O60))))</formula>
    </cfRule>
  </conditionalFormatting>
  <conditionalFormatting sqref="O60:O61 O64:O65">
    <cfRule type="containsText" dxfId="2" priority="25820" operator="containsText" text="Yes">
      <formula>NOT(ISERROR(SEARCH(("Yes"),(O60))))</formula>
    </cfRule>
  </conditionalFormatting>
  <conditionalFormatting sqref="O60:O61 O64:O65">
    <cfRule type="containsText" dxfId="2" priority="25821" operator="containsText" text="Yes">
      <formula>NOT(ISERROR(SEARCH(("Yes"),(O60))))</formula>
    </cfRule>
  </conditionalFormatting>
  <conditionalFormatting sqref="O60:O61 O64:O65">
    <cfRule type="containsText" dxfId="2" priority="25822" operator="containsText" text="Yes">
      <formula>NOT(ISERROR(SEARCH(("Yes"),(O60))))</formula>
    </cfRule>
  </conditionalFormatting>
  <conditionalFormatting sqref="O60:O61 O64:O65">
    <cfRule type="containsText" dxfId="2" priority="25823" operator="containsText" text="Yes">
      <formula>NOT(ISERROR(SEARCH(("Yes"),(O60))))</formula>
    </cfRule>
  </conditionalFormatting>
  <conditionalFormatting sqref="O60:O61 O64:O65">
    <cfRule type="containsText" dxfId="2" priority="25824" operator="containsText" text="Yes">
      <formula>NOT(ISERROR(SEARCH(("Yes"),(O60))))</formula>
    </cfRule>
  </conditionalFormatting>
  <conditionalFormatting sqref="O60:O61 O64:O65">
    <cfRule type="containsText" dxfId="2" priority="25825" operator="containsText" text="Yes">
      <formula>NOT(ISERROR(SEARCH(("Yes"),(O60))))</formula>
    </cfRule>
  </conditionalFormatting>
  <conditionalFormatting sqref="O60:O61 O64:O65">
    <cfRule type="containsText" dxfId="2" priority="25826" operator="containsText" text="Yes">
      <formula>NOT(ISERROR(SEARCH(("Yes"),(O60))))</formula>
    </cfRule>
  </conditionalFormatting>
  <conditionalFormatting sqref="N61:N83 N85:N87 N89:N91 N96:N99 N102:N109 N112:N113 N115:N118 N121:N126 N128:N133 N136:N139 N142:N143 N146:N152 N154 N159 N161">
    <cfRule type="containsText" dxfId="2" priority="25827" operator="containsText" text="Yes">
      <formula>NOT(ISERROR(SEARCH(("Yes"),(N61))))</formula>
    </cfRule>
  </conditionalFormatting>
  <conditionalFormatting sqref="P61:P83 P85:P91 P96:P99 P102:P109 P112:P113 P115:P118 P121:P126 P128:P133 P136:P139 P142:P143 P146:P152 Q150 P154 P159 P161:P162 P164 P166:P167 P172 P174 P176 P180:P182 P184">
    <cfRule type="containsText" dxfId="9" priority="25828"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29"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30"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31"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32"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33"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34"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35"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36"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37"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38"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39"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40"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41"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42"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43"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44"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45"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46"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47"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48"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49"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50"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51"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52"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53"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54"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55"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56"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57"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58"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59"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60"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61"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62"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63"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64"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65"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66"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67"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68"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69"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70"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71"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9" priority="25872" operator="containsText" text="No">
      <formula>NOT(ISERROR(SEARCH(("No"),(P61))))</formula>
    </cfRule>
  </conditionalFormatting>
  <conditionalFormatting sqref="P61:P83 P85:P91 P96:P99 P102:P109 P112:P113 P115:P118 P121:P126 P128:P133 P136:P139 P142:P143 P146:P152 Q150 P154 P159 P161:P162 P164 P166:P167 P172 P174 P176 P180:P182 P184">
    <cfRule type="containsText" dxfId="2" priority="25873"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74"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75"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76"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77"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78"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79"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80"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81"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82"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83"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84"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85"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86"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87"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88"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89"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90"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91"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92"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93"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94"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95"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96"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97"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98"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899"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00"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01"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02"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03"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04"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05"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06"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07"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08"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09"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10"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11"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12"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13"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14"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15"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16"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17"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18" operator="containsText" text="Yes">
      <formula>NOT(ISERROR(SEARCH(("Yes"),(P61))))</formula>
    </cfRule>
  </conditionalFormatting>
  <conditionalFormatting sqref="P61:P83 P85:P91 P96:P99 P102:P109 P112:P113 P115:P118 P121:P126 P128:P133 P136:P139 P142:P143 P146:P152 Q150 P154 P159 P161:P162 P164 P166:P167 P172 P174 P176 P180:P182 P184">
    <cfRule type="containsText" dxfId="2" priority="25919" operator="containsText" text="Yes">
      <formula>NOT(ISERROR(SEARCH(("Yes"),(P61))))</formula>
    </cfRule>
  </conditionalFormatting>
  <conditionalFormatting sqref="O61:O83 O85:O91 O96:O99 O102:O109 O112:O113 O115:O118 O121:O133 O136:O139 N139 O142:O143 O146:O152 O154:O155 O159 O161:O162 N162 N164:O167 N170:O170 N172:O172 N174:O174 N176:O176 N180:O182 N184:O184">
    <cfRule type="containsText" dxfId="9" priority="25920" operator="containsText" text="No">
      <formula>NOT(ISERROR(SEARCH(("No"),(O61))))</formula>
    </cfRule>
  </conditionalFormatting>
  <conditionalFormatting sqref="O61:O83 O85:O91 O96:O99 O102:O109 O112:O113 O115:O118 O121:O133 O136:O139 N139 O142:O143 O146:O152 O154:O155 O159 O161:O162 N162 N164:O167 N170:O170 N172:O172 N174:O174 N176:O176 N180:O182 N184:O184">
    <cfRule type="containsText" dxfId="9" priority="25921" operator="containsText" text="No">
      <formula>NOT(ISERROR(SEARCH(("No"),(O61))))</formula>
    </cfRule>
  </conditionalFormatting>
  <conditionalFormatting sqref="O61:O83 O85:O91 O96:O99 O102:O109 O112:O113 O115:O118 O121:O133 O136:O139 N139 O142:O143 O146:O152 O154:O155 O159 O161:O162 N162 N164:O167 N170:O170 N172:O172 N174:O174 N176:O176 N180:O182 N184:O184">
    <cfRule type="containsText" dxfId="9" priority="25922" operator="containsText" text="No">
      <formula>NOT(ISERROR(SEARCH(("No"),(O61))))</formula>
    </cfRule>
  </conditionalFormatting>
  <conditionalFormatting sqref="O61:O83 O85:O91 O96:O99 O102:O109 O112:O113 O115:O118 O121:O133 O136:O139 N139 O142:O143 O146:O152 O154:O155 O159 O161:O162 N162 N164:O167 N170:O170 N172:O172 N174:O174 N176:O176 N180:O182 N184:O184">
    <cfRule type="containsText" dxfId="2" priority="25923" operator="containsText" text="Yes">
      <formula>NOT(ISERROR(SEARCH(("Yes"),(O61))))</formula>
    </cfRule>
  </conditionalFormatting>
  <conditionalFormatting sqref="O61:O83 O85:O91 O96:O99 O102:O109 O112:O113 O115:O118 O121:O133 O136:O139 N139 O142:O143 O146:O152 O154:O155 O159 O161:O162 N162 N164:O167 N170:O170 N172:O172 N174:O174 N176:O176 N180:O182 N184:O184">
    <cfRule type="containsText" dxfId="2" priority="25924" operator="containsText" text="Yes">
      <formula>NOT(ISERROR(SEARCH(("Yes"),(O61))))</formula>
    </cfRule>
  </conditionalFormatting>
  <conditionalFormatting sqref="O61:O83 O85:O91 O96:O99 O102:O109 O112:O113 O115:O118 O121:O133 O136:O139 N139 O142:O143 O146:O152 O154:O155 O159 O161:O162 N162 N164:O167 N170:O170 N172:O172 N174:O174 N176:O176 N180:O182 N184:O184">
    <cfRule type="containsText" dxfId="2" priority="25925" operator="containsText" text="Yes">
      <formula>NOT(ISERROR(SEARCH(("Yes"),(O61))))</formula>
    </cfRule>
  </conditionalFormatting>
  <conditionalFormatting sqref="O61:O83 O85:O91 O96:O99 O102:O109 O112:O113 O115:O118 O121:O133 O136:O139 N139 O142:O143 O146:O152 O154:O155 O159 O161:O162 N162 N164:O167 N170:O170 N172:O172 N174:O174 N176:O176 N180:O182 N184:O184">
    <cfRule type="containsText" dxfId="2" priority="25926" operator="containsText" text="Yes">
      <formula>NOT(ISERROR(SEARCH(("Yes"),(O61))))</formula>
    </cfRule>
  </conditionalFormatting>
  <conditionalFormatting sqref="O61:O83 O85:O91 O96:O99 O102:O109 O112:O113 O115:O118 O121:O133 O136:O139 N139 O142:O143 O146:O152 O154:O155 O159 O161:O162 N162 N164:O167 N170:O170 N172:O172 N174:O174 N176:O176 N180:O182 N184:O184">
    <cfRule type="containsText" dxfId="2" priority="25927" operator="containsText" text="Yes">
      <formula>NOT(ISERROR(SEARCH(("Yes"),(O61))))</formula>
    </cfRule>
  </conditionalFormatting>
  <conditionalFormatting sqref="O61:O83 O85:O91 O96:O99 O102:O109 O112:O113 O115:O118 O121:O133 O136:O139 N139 O142:O143 O146:O152 O154:O155 O159 O161:O162 N162 N164:O167 N170:O170 N172:O172 N174:O174 N176:O176 N180:O182 N184:O184">
    <cfRule type="containsText" dxfId="9" priority="25928" operator="containsText" text="No">
      <formula>NOT(ISERROR(SEARCH(("No"),(O61))))</formula>
    </cfRule>
  </conditionalFormatting>
  <conditionalFormatting sqref="O61:O83 O85:O91 O96:O99 O102:O109 O112:O113 O115:O118 O121:O133 O136:O139 N139 O142:O143 O146:O152 O154:O155 O159 O161:O162 N162 N164:O167 N170:O170 N172:O172 N174:O174 N176:O176 N180:O182 N184:O184">
    <cfRule type="containsText" dxfId="9" priority="25929" operator="containsText" text="No">
      <formula>NOT(ISERROR(SEARCH(("No"),(O61))))</formula>
    </cfRule>
  </conditionalFormatting>
  <conditionalFormatting sqref="O61:O83 O85:O91 O96:O99 O102:O109 O112:O113 O115:O118 O121:O133 O136:O139 N139 O142:O143 O146:O152 O154:O155 O159 O161:O162 N162 N164:O167 N170:O170 N172:O172 N174:O174 N176:O176 N180:O182 N184:O184">
    <cfRule type="containsText" dxfId="2" priority="25930" operator="containsText" text="Yes">
      <formula>NOT(ISERROR(SEARCH(("Yes"),(O61))))</formula>
    </cfRule>
  </conditionalFormatting>
  <conditionalFormatting sqref="Q61:Q83 Q85:Q91 Q96:Q99 Q102:Q109 Q112:Q113 Q115:Q118 Q121:Q126 Q128:Q133 Q136:Q139 Q142:Q143 Q146:Q149 Q151:Q152 Q154 Q159 Q161:Q162 Q164 Q166:Q167 Q172 Q174 Q176 Q180:Q182 Q184">
    <cfRule type="containsText" dxfId="9" priority="25931"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32"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33"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34"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35"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36"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37"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38"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39"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40"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41"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42"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43"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44"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45"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46"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47"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48"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49"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50"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51"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52"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53"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54"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55"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56"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57"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58"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59"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60"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61"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62"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63"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64"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65"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66"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67"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68"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69"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70"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71"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72"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73"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74"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9" priority="25975" operator="containsText" text="No">
      <formula>NOT(ISERROR(SEARCH(("No"),(Q61))))</formula>
    </cfRule>
  </conditionalFormatting>
  <conditionalFormatting sqref="Q61:Q83 Q85:Q91 Q96:Q99 Q102:Q109 Q112:Q113 Q115:Q118 Q121:Q126 Q128:Q133 Q136:Q139 Q142:Q143 Q146:Q149 Q151:Q152 Q154 Q159 Q161:Q162 Q164 Q166:Q167 Q172 Q174 Q176 Q180:Q182 Q184">
    <cfRule type="containsText" dxfId="2" priority="25976"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77"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78"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79"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80"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81"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82"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83"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84"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85"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86"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87"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88"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89"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90"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91"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92"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93"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94"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95"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96"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97"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98"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5999"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00"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01"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02"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03"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04"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05"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06"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07"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08"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09"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10"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11"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12"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13"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14"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15"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16"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17"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18"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19"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20"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21" operator="containsText" text="Yes">
      <formula>NOT(ISERROR(SEARCH(("Yes"),(Q61))))</formula>
    </cfRule>
  </conditionalFormatting>
  <conditionalFormatting sqref="Q61:Q83 Q85:Q91 Q96:Q99 Q102:Q109 Q112:Q113 Q115:Q118 Q121:Q126 Q128:Q133 Q136:Q139 Q142:Q143 Q146:Q149 Q151:Q152 Q154 Q159 Q161:Q162 Q164 Q166:Q167 Q172 Q174 Q176 Q180:Q182 Q184">
    <cfRule type="containsText" dxfId="2" priority="26022" operator="containsText" text="Yes">
      <formula>NOT(ISERROR(SEARCH(("Yes"),(Q61))))</formula>
    </cfRule>
  </conditionalFormatting>
  <conditionalFormatting sqref="P62:P83 P85:P91 P96:P99 P102:P109 P112:P113 P115:P118 P121:P126 P128:P133 P136:P139 P142:P143 P146:P152 Q150 P154 P159 P161:P162 P164 P166:P167 P172 P174 P176 P180:P182 P184">
    <cfRule type="containsText" dxfId="9" priority="26023"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24"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25"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26"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27"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28"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29"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30"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31"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32"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33"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34"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35"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36"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37"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38"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39"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40"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41"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42"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43"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44"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45"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46"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47"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48"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49"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50"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51"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52"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53"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54"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55"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56"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57"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58"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59"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60"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61"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62"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63"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64"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65"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66"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9" priority="26067" operator="containsText" text="No">
      <formula>NOT(ISERROR(SEARCH(("No"),(P62))))</formula>
    </cfRule>
  </conditionalFormatting>
  <conditionalFormatting sqref="P62:P83 P85:P91 P96:P99 P102:P109 P112:P113 P115:P118 P121:P126 P128:P133 P136:P139 P142:P143 P146:P152 Q150 P154 P159 P161:P162 P164 P166:P167 P172 P174 P176 P180:P182 P184">
    <cfRule type="containsText" dxfId="2" priority="26068"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69"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70"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71"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72"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73"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74"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75"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76"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77"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78"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79"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80"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81"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82"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83"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84"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85"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86"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87"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88"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89"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90"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91"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92"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93"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94"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95"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96"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97"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98"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099"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00"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01"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02"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03"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04"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05"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06"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07"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08"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09"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10"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11"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12"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13" operator="containsText" text="Yes">
      <formula>NOT(ISERROR(SEARCH(("Yes"),(P62))))</formula>
    </cfRule>
  </conditionalFormatting>
  <conditionalFormatting sqref="P62:P83 P85:P91 P96:P99 P102:P109 P112:P113 P115:P118 P121:P126 P128:P133 P136:P139 P142:P143 P146:P152 Q150 P154 P159 P161:P162 P164 P166:P167 P172 P174 P176 P180:P182 P184">
    <cfRule type="containsText" dxfId="2" priority="26114" operator="containsText" text="Yes">
      <formula>NOT(ISERROR(SEARCH(("Yes"),(P62))))</formula>
    </cfRule>
  </conditionalFormatting>
  <conditionalFormatting sqref="Q62:Q83 Q85:Q91 Q96:Q99 Q102:Q109 Q112:Q113 Q115:Q118 Q121:Q126 Q128:Q133 Q136:Q139 Q142:Q143 Q146:Q149 Q151:Q152 Q154 Q159 Q161:Q162 Q164 Q166:Q167 Q172 Q174 Q176 Q180:Q182 Q184">
    <cfRule type="containsText" dxfId="9" priority="26115"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16"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17"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18"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19"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20"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21"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22"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23"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24"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25"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26"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27"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28"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29"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30"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31"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32"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33"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34"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35"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36"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37"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38"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39"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40"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41"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42"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43"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44"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45"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46"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47"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48"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49"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50"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51"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52"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53"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54"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55"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56"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57"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58"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9" priority="26159" operator="containsText" text="No">
      <formula>NOT(ISERROR(SEARCH(("No"),(Q62))))</formula>
    </cfRule>
  </conditionalFormatting>
  <conditionalFormatting sqref="Q62:Q83 Q85:Q91 Q96:Q99 Q102:Q109 Q112:Q113 Q115:Q118 Q121:Q126 Q128:Q133 Q136:Q139 Q142:Q143 Q146:Q149 Q151:Q152 Q154 Q159 Q161:Q162 Q164 Q166:Q167 Q172 Q174 Q176 Q180:Q182 Q184">
    <cfRule type="containsText" dxfId="2" priority="26160"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61"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62"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63"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64"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65"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66"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67"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68"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69"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70"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71"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72"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73"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74"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75"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76"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77"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78"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79"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80"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81"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82"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83"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84"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85"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86"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87"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88"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89"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90"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91"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92"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93"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94"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95"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96"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97"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98"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199"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200"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201"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202"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203"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204"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205" operator="containsText" text="Yes">
      <formula>NOT(ISERROR(SEARCH(("Yes"),(Q62))))</formula>
    </cfRule>
  </conditionalFormatting>
  <conditionalFormatting sqref="Q62:Q83 Q85:Q91 Q96:Q99 Q102:Q109 Q112:Q113 Q115:Q118 Q121:Q126 Q128:Q133 Q136:Q139 Q142:Q143 Q146:Q149 Q151:Q152 Q154 Q159 Q161:Q162 Q164 Q166:Q167 Q172 Q174 Q176 Q180:Q182 Q184">
    <cfRule type="containsText" dxfId="2" priority="26206" operator="containsText" text="Yes">
      <formula>NOT(ISERROR(SEARCH(("Yes"),(Q62))))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07"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08"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09"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10"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11"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12"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13"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14"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15"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16"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17"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18"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19"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20"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21"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22"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23"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24"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25"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26"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27"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28"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29"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30"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31"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32"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33"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34"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35"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36"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37"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38"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39"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40"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41"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42"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43"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44"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45"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46"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47"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48"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49"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50"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9" priority="26251" operator="containsText" text="No">
      <formula>NOT(ISERROR(SEARCH(("No"),(N62))))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52"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53"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54"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55"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56"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57"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58"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59"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60"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61"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62"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63"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64"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65"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66"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67"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68"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69"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70"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71"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72"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73"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74"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75"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76"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77"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78"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79"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80"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81"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82"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83"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84"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85"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86"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87"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88"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89"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90"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91"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92"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93"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94"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95"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96"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97" operator="containsText" text="Yes">
      <formula>NOT(ISERROR(SEARCH(("Yes"),(N62))))</formula>
    </cfRule>
  </conditionalFormatting>
  <conditionalFormatting sqref="N62:O83 N85:N87 O85:O91 N89:N91 N96:O99 N102:O109 N112:O113 N115:O118 N121:N126 O121:O133 N128:N133 N136:O139 N142:O143 N146:O152 N154 O154:O155 N159:O159 N161:O162 N164:O167 N170:O170 N172:O172 N174:O174 N176:O176 N180:O182 N184:O184">
    <cfRule type="containsText" dxfId="2" priority="26298" operator="containsText" text="Yes">
      <formula>NOT(ISERROR(SEARCH(("Yes"),(N62))))</formula>
    </cfRule>
  </conditionalFormatting>
  <conditionalFormatting sqref="N63:N83 N85:N87 N89:N91 N96:N99 N102:N109 N112:N113 N115:N118 N121:N126 N128:N133 N136:N139 N142:N143 N146:N152 N154 N159 N161">
    <cfRule type="containsText" dxfId="2" priority="26299" operator="containsText" text="Yes">
      <formula>NOT(ISERROR(SEARCH(("Yes"),(N63))))</formula>
    </cfRule>
  </conditionalFormatting>
  <conditionalFormatting sqref="P63:P83 P85:P91 P96:P99 P102:P109 P112:P113 P115:P118 P121:P126 P128:P133 P136:P139 P142:P143 P146:P152 Q150 P154 P159 P161:P162 P164 P166:P167 P172 P174 P176 P180:P182 P184">
    <cfRule type="containsText" dxfId="9" priority="26300"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01"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02"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03"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04"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05"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06"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07"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08"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09"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10"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11"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12"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13"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14"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15"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16"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17"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18"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19"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20"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21"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22"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23"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24"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25"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26"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27"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28"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29"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30"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31"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32"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33"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34"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35"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36"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37"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38"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39"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40"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41"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42"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43"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9" priority="26344" operator="containsText" text="No">
      <formula>NOT(ISERROR(SEARCH(("No"),(P63))))</formula>
    </cfRule>
  </conditionalFormatting>
  <conditionalFormatting sqref="P63:P83 P85:P91 P96:P99 P102:P109 P112:P113 P115:P118 P121:P126 P128:P133 P136:P139 P142:P143 P146:P152 Q150 P154 P159 P161:P162 P164 P166:P167 P172 P174 P176 P180:P182 P184">
    <cfRule type="containsText" dxfId="2" priority="26345"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46"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47"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48"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49"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50"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51"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52"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53"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54"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55"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56"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57"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58"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59"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60"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61"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62"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63"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64"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65"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66"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67"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68"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69"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70"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71"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72"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73"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74"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75"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76"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77"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78"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79"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80"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81"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82"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83"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84"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85"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86"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87"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88"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89"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90" operator="containsText" text="Yes">
      <formula>NOT(ISERROR(SEARCH(("Yes"),(P63))))</formula>
    </cfRule>
  </conditionalFormatting>
  <conditionalFormatting sqref="P63:P83 P85:P91 P96:P99 P102:P109 P112:P113 P115:P118 P121:P126 P128:P133 P136:P139 P142:P143 P146:P152 Q150 P154 P159 P161:P162 P164 P166:P167 P172 P174 P176 P180:P182 P184">
    <cfRule type="containsText" dxfId="2" priority="26391" operator="containsText" text="Yes">
      <formula>NOT(ISERROR(SEARCH(("Yes"),(P63))))</formula>
    </cfRule>
  </conditionalFormatting>
  <conditionalFormatting sqref="O63:O83 O85:O91 O96:O99 O102:O109 O112:O113 O115:O118 O121:O133 O136:O139 N139 O142:O143 O146:O152 O154:O155 O159 O161:O162 N162 N164:O167 N170:O170 N172:O172 N174:O174 N176:O176 N180:O182 N184:O184">
    <cfRule type="containsText" dxfId="9" priority="26392" operator="containsText" text="No">
      <formula>NOT(ISERROR(SEARCH(("No"),(O63))))</formula>
    </cfRule>
  </conditionalFormatting>
  <conditionalFormatting sqref="O63:O83 O85:O91 O96:O99 O102:O109 O112:O113 O115:O118 O121:O133 O136:O139 N139 O142:O143 O146:O152 O154:O155 O159 O161:O162 N162 N164:O167 N170:O170 N172:O172 N174:O174 N176:O176 N180:O182 N184:O184">
    <cfRule type="containsText" dxfId="9" priority="26393" operator="containsText" text="No">
      <formula>NOT(ISERROR(SEARCH(("No"),(O63))))</formula>
    </cfRule>
  </conditionalFormatting>
  <conditionalFormatting sqref="O63:O83 O85:O91 O96:O99 O102:O109 O112:O113 O115:O118 O121:O133 O136:O139 N139 O142:O143 O146:O152 O154:O155 O159 O161:O162 N162 N164:O167 N170:O170 N172:O172 N174:O174 N176:O176 N180:O182 N184:O184">
    <cfRule type="containsText" dxfId="9" priority="26394" operator="containsText" text="No">
      <formula>NOT(ISERROR(SEARCH(("No"),(O63))))</formula>
    </cfRule>
  </conditionalFormatting>
  <conditionalFormatting sqref="O63:O83 O85:O91 O96:O99 O102:O109 O112:O113 O115:O118 O121:O133 O136:O139 N139 O142:O143 O146:O152 O154:O155 O159 O161:O162 N162 N164:O167 N170:O170 N172:O172 N174:O174 N176:O176 N180:O182 N184:O184">
    <cfRule type="containsText" dxfId="2" priority="26395" operator="containsText" text="Yes">
      <formula>NOT(ISERROR(SEARCH(("Yes"),(O63))))</formula>
    </cfRule>
  </conditionalFormatting>
  <conditionalFormatting sqref="O63:O83 O85:O91 O96:O99 O102:O109 O112:O113 O115:O118 O121:O133 O136:O139 N139 O142:O143 O146:O152 O154:O155 O159 O161:O162 N162 N164:O167 N170:O170 N172:O172 N174:O174 N176:O176 N180:O182 N184:O184">
    <cfRule type="containsText" dxfId="2" priority="26396" operator="containsText" text="Yes">
      <formula>NOT(ISERROR(SEARCH(("Yes"),(O63))))</formula>
    </cfRule>
  </conditionalFormatting>
  <conditionalFormatting sqref="O63:O83 O85:O91 O96:O99 O102:O109 O112:O113 O115:O118 O121:O133 O136:O139 N139 O142:O143 O146:O152 O154:O155 O159 O161:O162 N162 N164:O167 N170:O170 N172:O172 N174:O174 N176:O176 N180:O182 N184:O184">
    <cfRule type="containsText" dxfId="2" priority="26397" operator="containsText" text="Yes">
      <formula>NOT(ISERROR(SEARCH(("Yes"),(O63))))</formula>
    </cfRule>
  </conditionalFormatting>
  <conditionalFormatting sqref="O63:O83 O85:O91 O96:O99 O102:O109 O112:O113 O115:O118 O121:O133 O136:O139 N139 O142:O143 O146:O152 O154:O155 O159 O161:O162 N162 N164:O167 N170:O170 N172:O172 N174:O174 N176:O176 N180:O182 N184:O184">
    <cfRule type="containsText" dxfId="2" priority="26398" operator="containsText" text="Yes">
      <formula>NOT(ISERROR(SEARCH(("Yes"),(O63))))</formula>
    </cfRule>
  </conditionalFormatting>
  <conditionalFormatting sqref="O63:O83 O85:O91 O96:O99 O102:O109 O112:O113 O115:O118 O121:O133 O136:O139 N139 O142:O143 O146:O152 O154:O155 O159 O161:O162 N162 N164:O167 N170:O170 N172:O172 N174:O174 N176:O176 N180:O182 N184:O184">
    <cfRule type="containsText" dxfId="2" priority="26399" operator="containsText" text="Yes">
      <formula>NOT(ISERROR(SEARCH(("Yes"),(O63))))</formula>
    </cfRule>
  </conditionalFormatting>
  <conditionalFormatting sqref="O63:O83 O85:O91 O96:O99 O102:O109 O112:O113 O115:O118 O121:O133 O136:O139 N139 O142:O143 O146:O152 O154:O155 O159 O161:O162 N162 N164:O167 N170:O170 N172:O172 N174:O174 N176:O176 N180:O182 N184:O184">
    <cfRule type="containsText" dxfId="9" priority="26400" operator="containsText" text="No">
      <formula>NOT(ISERROR(SEARCH(("No"),(O63))))</formula>
    </cfRule>
  </conditionalFormatting>
  <conditionalFormatting sqref="O63:O83 O85:O91 O96:O99 O102:O109 O112:O113 O115:O118 O121:O133 O136:O139 N139 O142:O143 O146:O152 O154:O155 O159 O161:O162 N162 N164:O167 N170:O170 N172:O172 N174:O174 N176:O176 N180:O182 N184:O184">
    <cfRule type="containsText" dxfId="9" priority="26401" operator="containsText" text="No">
      <formula>NOT(ISERROR(SEARCH(("No"),(O63))))</formula>
    </cfRule>
  </conditionalFormatting>
  <conditionalFormatting sqref="O63:O83 O85:O91 O96:O99 O102:O109 O112:O113 O115:O118 O121:O133 O136:O139 N139 O142:O143 O146:O152 O154:O155 O159 O161:O162 N162 N164:O167 N170:O170 N172:O172 N174:O174 N176:O176 N180:O182 N184:O184">
    <cfRule type="containsText" dxfId="2" priority="26402" operator="containsText" text="Yes">
      <formula>NOT(ISERROR(SEARCH(("Yes"),(O63))))</formula>
    </cfRule>
  </conditionalFormatting>
  <conditionalFormatting sqref="Q63:Q83 Q85:Q91 Q96:Q99 Q102:Q109 Q112:Q113 Q115:Q118 Q121:Q126 Q128:Q133 Q136:Q139 Q142:Q143 Q146:Q149 Q151:Q152 Q154 Q159 Q161:Q162 Q164 Q166:Q167 Q172 Q174 Q176 Q180:Q182 Q184">
    <cfRule type="containsText" dxfId="9" priority="26403"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04"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05"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06"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07"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08"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09"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10"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11"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12"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13"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14"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15"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16"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17"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18"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19"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20"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21"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22"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23"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24"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25"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26"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27"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28"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29"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30"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31"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32"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33"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34"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35"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36"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37"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38"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39"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40"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41"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42"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43"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44"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45"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46"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9" priority="26447" operator="containsText" text="No">
      <formula>NOT(ISERROR(SEARCH(("No"),(Q63))))</formula>
    </cfRule>
  </conditionalFormatting>
  <conditionalFormatting sqref="Q63:Q83 Q85:Q91 Q96:Q99 Q102:Q109 Q112:Q113 Q115:Q118 Q121:Q126 Q128:Q133 Q136:Q139 Q142:Q143 Q146:Q149 Q151:Q152 Q154 Q159 Q161:Q162 Q164 Q166:Q167 Q172 Q174 Q176 Q180:Q182 Q184">
    <cfRule type="containsText" dxfId="2" priority="26448"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49"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50"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51"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52"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53"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54"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55"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56"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57"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58"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59"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60"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61"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62"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63"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64"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65"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66"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67"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68"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69"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70"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71"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72"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73"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74"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75"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76"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77"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78"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79"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80"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81"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82"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83"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84"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85"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86"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87"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88"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89"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90"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91"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92"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93" operator="containsText" text="Yes">
      <formula>NOT(ISERROR(SEARCH(("Yes"),(Q63))))</formula>
    </cfRule>
  </conditionalFormatting>
  <conditionalFormatting sqref="Q63:Q83 Q85:Q91 Q96:Q99 Q102:Q109 Q112:Q113 Q115:Q118 Q121:Q126 Q128:Q133 Q136:Q139 Q142:Q143 Q146:Q149 Q151:Q152 Q154 Q159 Q161:Q162 Q164 Q166:Q167 Q172 Q174 Q176 Q180:Q182 Q184">
    <cfRule type="containsText" dxfId="2" priority="26494" operator="containsText" text="Yes">
      <formula>NOT(ISERROR(SEARCH(("Yes"),(Q63))))</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495"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496"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497"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498"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499"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00"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01"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02"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03"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04"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05"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06"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07"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08"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09"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10"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11"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12"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13"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14"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15"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16"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17"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18"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19"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20"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21"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22"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23"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24"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25"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26"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27"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28"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29"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30"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31"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32"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33"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34"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35"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36"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37"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38"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9" priority="26539" operator="containsText" text="No">
      <formula>NOT(ISERROR(SEARCH(("No"),(O59))))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40"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41"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42"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43"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44"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45"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46"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47"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48"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49"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50"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51"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52"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53"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54"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55"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56"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57"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58"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59"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60"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61"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62"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63"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64"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65"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66"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67"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68"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69"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70"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71"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72"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73"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74"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75"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76"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77"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78"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79"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80"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81"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82"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83"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84"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85" operator="containsText" text="Yes">
      <formula>NOT(ISERROR(SEARCH(("Yes"),(O59))))</formula>
    </cfRule>
  </conditionalFormatting>
  <conditionalFormatting sqref="O59:O66 O68:O82 O85:O91 O96:O99 O104:O109 O112:O113 O115:O118 O121:O133 O136:O139 N139 O142:O143 O146:O152 O154:O155 O159 O161:O162 N162 N164:O167 N170:O170 N172:O172 N174:O174 N176:O176 N180:O182 N184:O184">
    <cfRule type="containsText" dxfId="2" priority="26586" operator="containsText" text="Yes">
      <formula>NOT(ISERROR(SEARCH(("Yes"),(O59))))</formula>
    </cfRule>
  </conditionalFormatting>
  <conditionalFormatting sqref="P65:P83 P85:P91 P96:P99 P102:P109 P112:P113 P115:P118 P121:P126 P128:P133 P136:P139 P142:P143 P146:P152 Q150 P154 P159 P161:P162 P164 P166:P167 P172 P174 P176 P180:P182 P184">
    <cfRule type="containsText" dxfId="9" priority="26587"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588"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589"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590"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591"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592"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593"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594"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595"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596"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597"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598"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599"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00"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01"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02"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03"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04"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05"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06"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07"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08"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09"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10"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11"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12"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13"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14"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15"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16"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17"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18"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19"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20"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21"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22"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23"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24"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25"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26"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27"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28"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29"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30"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9" priority="26631" operator="containsText" text="No">
      <formula>NOT(ISERROR(SEARCH(("No"),(P65))))</formula>
    </cfRule>
  </conditionalFormatting>
  <conditionalFormatting sqref="P65:P83 P85:P91 P96:P99 P102:P109 P112:P113 P115:P118 P121:P126 P128:P133 P136:P139 P142:P143 P146:P152 Q150 P154 P159 P161:P162 P164 P166:P167 P172 P174 P176 P180:P182 P184">
    <cfRule type="containsText" dxfId="2" priority="26632"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33"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34"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35"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36"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37"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38"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39"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40"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41"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42"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43"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44"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45"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46"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47"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48"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49"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50"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51"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52"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53"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54"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55"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56"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57"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58"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59"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60"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61"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62"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63"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64"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65"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66"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67"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68"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69"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70"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71"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72"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73"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74"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75"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76"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77" operator="containsText" text="Yes">
      <formula>NOT(ISERROR(SEARCH(("Yes"),(P65))))</formula>
    </cfRule>
  </conditionalFormatting>
  <conditionalFormatting sqref="P65:P83 P85:P91 P96:P99 P102:P109 P112:P113 P115:P118 P121:P126 P128:P133 P136:P139 P142:P143 P146:P152 Q150 P154 P159 P161:P162 P164 P166:P167 P172 P174 P176 P180:P182 P184">
    <cfRule type="containsText" dxfId="2" priority="26678" operator="containsText" text="Yes">
      <formula>NOT(ISERROR(SEARCH(("Yes"),(P65))))</formula>
    </cfRule>
  </conditionalFormatting>
  <conditionalFormatting sqref="Q65:Q83 Q85:Q91 Q96:Q99 Q102:Q109 Q112:Q113 Q115:Q118 Q121:Q126 Q128:Q133 Q136:Q139 Q142:Q143 Q146:Q149 Q151:Q152 Q154 Q159 Q161:Q162 Q164 Q166:Q167 Q172 Q174 Q176 Q180:Q182 Q184">
    <cfRule type="containsText" dxfId="9" priority="26679"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80"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81"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82"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83"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84"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85"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86"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87"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88"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89"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90"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91"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92"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93"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94"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95"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96"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97"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98"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699"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00"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01"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02"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03"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04"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05"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06"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07"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08"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09"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10"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11"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12"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13"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14"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15"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16"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17"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18"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19"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20"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21"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22"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9" priority="26723" operator="containsText" text="No">
      <formula>NOT(ISERROR(SEARCH(("No"),(Q65))))</formula>
    </cfRule>
  </conditionalFormatting>
  <conditionalFormatting sqref="Q65:Q83 Q85:Q91 Q96:Q99 Q102:Q109 Q112:Q113 Q115:Q118 Q121:Q126 Q128:Q133 Q136:Q139 Q142:Q143 Q146:Q149 Q151:Q152 Q154 Q159 Q161:Q162 Q164 Q166:Q167 Q172 Q174 Q176 Q180:Q182 Q184">
    <cfRule type="containsText" dxfId="2" priority="26724"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25"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26"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27"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28"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29"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30"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31"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32"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33"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34"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35"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36"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37"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38"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39"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40"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41"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42"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43"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44"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45"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46"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47"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48"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49"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50"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51"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52"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53"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54"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55"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56"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57"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58"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59"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60"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61"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62"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63"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64"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65"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66"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67"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68"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69" operator="containsText" text="Yes">
      <formula>NOT(ISERROR(SEARCH(("Yes"),(Q65))))</formula>
    </cfRule>
  </conditionalFormatting>
  <conditionalFormatting sqref="Q65:Q83 Q85:Q91 Q96:Q99 Q102:Q109 Q112:Q113 Q115:Q118 Q121:Q126 Q128:Q133 Q136:Q139 Q142:Q143 Q146:Q149 Q151:Q152 Q154 Q159 Q161:Q162 Q164 Q166:Q167 Q172 Q174 Q176 Q180:Q182 Q184">
    <cfRule type="containsText" dxfId="2" priority="26770" operator="containsText" text="Yes">
      <formula>NOT(ISERROR(SEARCH(("Yes"),(Q65))))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71"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72"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73"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74"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75"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76"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77"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78"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79"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80"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81"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82"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83"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84"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85"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86"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87"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88"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89"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90"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91"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92"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93"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94"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95"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96"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97"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98"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799"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00"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01"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02"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03"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04"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05"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06"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07"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08"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09"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10"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11"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12"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13"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14"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9" priority="26815" operator="containsText" text="No">
      <formula>NOT(ISERROR(SEARCH(("No"),(N65))))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16"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17"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18"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19"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20"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21"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22"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23"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24"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25"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26"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27"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28"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29"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30"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31"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32"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33"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34"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35"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36"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37"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38"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39"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40"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41"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42"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43"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44"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45"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46"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47"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48"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49"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50"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51"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52"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53"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54"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55"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56"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57"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58"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59"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60"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61" operator="containsText" text="Yes">
      <formula>NOT(ISERROR(SEARCH(("Yes"),(N65))))</formula>
    </cfRule>
  </conditionalFormatting>
  <conditionalFormatting sqref="N65:O83 N85:N87 O85:O91 N89:N91 N96:O99 N102:O109 N112:O113 N115:O118 N121:N126 O121:O133 N128:N133 N136:O139 N142:O143 N146:O152 N154 O154:O155 N159:O159 N161:O162 N164:O167 N170:O170 N172:O172 N174:O174 N176:O176 N180:O182 N184:O184">
    <cfRule type="containsText" dxfId="2" priority="26862" operator="containsText" text="Yes">
      <formula>NOT(ISERROR(SEARCH(("Yes"),(N65))))</formula>
    </cfRule>
  </conditionalFormatting>
  <conditionalFormatting sqref="N66:N216 P110:Q110 O122:O133 P122:P139 Q122:Q126 Q128:Q139 O136:O139 O142:Q143 O146:Q152 O154:Q155 O159:Q159 O161:Q162 O164:Q167 O170:Q170 O172:Q172 O174:Q174 O176:Q176 O180:Q182 O184:Q184 O203 O205:O214 N222:N226 N228:N252 N254:N256 N258:N264 N267:N269 N272:N273 N275">
    <cfRule type="containsText" dxfId="2" priority="26863" operator="containsText" text="Yes">
      <formula>NOT(ISERROR(SEARCH(("Yes"),(N66))))</formula>
    </cfRule>
  </conditionalFormatting>
  <conditionalFormatting sqref="P66:P109 P111:P126 P128:P134 P136:P164 O145 Q150 Q155 P166:P169 P171:P216 Q203 U204:V204 Q205:Q215 P222:P226 P228:P252 P254:P256 P258:P264 O261:O264 O267:P269 P272:P275 Q274 O275">
    <cfRule type="containsText" dxfId="9" priority="26864"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65"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66"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67"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68"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69"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70"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71"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72"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73"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74"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75"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76"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77"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78"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79"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80"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81"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82"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83"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84"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85"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86"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87"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88"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89"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90"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91"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92"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93"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94"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95"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96"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97"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98"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899"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900"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901"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902"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903"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904"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905"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906"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907"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9" priority="26908" operator="containsText" text="No">
      <formula>NOT(ISERROR(SEARCH(("No"),(P66))))</formula>
    </cfRule>
  </conditionalFormatting>
  <conditionalFormatting sqref="P66:P109 P111:P126 P128:P134 P136:P164 O145 Q150 Q155 P166:P169 P171:P216 Q203 U204:V204 Q205:Q215 P222:P226 P228:P252 P254:P256 P258:P264 O261:O264 O267:P269 P272:P275 Q274 O275">
    <cfRule type="containsText" dxfId="2" priority="26909"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10"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11"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12"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13"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14"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15"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16"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17"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18"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19"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20"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21"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22"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23"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24"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25"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26"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27"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28"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29"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30"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31"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32"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33"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34"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35"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36"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37"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38"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39"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40"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41"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42"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43"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44"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45"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46"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47"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48"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49"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50"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51"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52"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53"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54" operator="containsText" text="Yes">
      <formula>NOT(ISERROR(SEARCH(("Yes"),(P66))))</formula>
    </cfRule>
  </conditionalFormatting>
  <conditionalFormatting sqref="P66:P109 P111:P126 P128:P134 P136:P164 O145 Q150 Q155 P166:P169 P171:P216 Q203 U204:V204 Q205:Q215 P222:P226 P228:P252 P254:P256 P258:P264 O261:O264 O267:P269 P272:P275 Q274 O275">
    <cfRule type="containsText" dxfId="2" priority="26955" operator="containsText" text="Yes">
      <formula>NOT(ISERROR(SEARCH(("Yes"),(P66))))</formula>
    </cfRule>
  </conditionalFormatting>
  <conditionalFormatting sqref="O66:O226 Q127 N139 P145 P150 N162 N164:N167 N170 N172 N174 N176 N180:N182 N184 N187:N216 N222:N226 N228:O252 N254:O256 N258:O264 N267:O269 N272:O273 N275:O275">
    <cfRule type="containsText" dxfId="9" priority="26956" operator="containsText" text="No">
      <formula>NOT(ISERROR(SEARCH(("No"),(O66))))</formula>
    </cfRule>
  </conditionalFormatting>
  <conditionalFormatting sqref="O66:O226 Q127 N139 P145 P150 N162 N164:N167 N170 N172 N174 N176 N180:N182 N184 N187:N216 N222:N226 N228:O252 N254:O256 N258:O264 N267:O269 N272:O273 N275:O275">
    <cfRule type="containsText" dxfId="9" priority="26957" operator="containsText" text="No">
      <formula>NOT(ISERROR(SEARCH(("No"),(O66))))</formula>
    </cfRule>
  </conditionalFormatting>
  <conditionalFormatting sqref="O66:O226 Q127 N139 P145 P150 N162 N164:N167 N170 N172 N174 N176 N180:N182 N184 N187:N216 N222:N226 N228:O252 N254:O256 N258:O264 N267:O269 N272:O273 N275:O275">
    <cfRule type="containsText" dxfId="9" priority="26958" operator="containsText" text="No">
      <formula>NOT(ISERROR(SEARCH(("No"),(O66))))</formula>
    </cfRule>
  </conditionalFormatting>
  <conditionalFormatting sqref="O66:O226 Q127 N139 P145 P150 N162 N164:N167 N170 N172 N174 N176 N180:N182 N184 N187:N216 N222:N226 N228:O252 N254:O256 N258:O264 N267:O269 N272:O273 N275:O275">
    <cfRule type="containsText" dxfId="2" priority="26959" operator="containsText" text="Yes">
      <formula>NOT(ISERROR(SEARCH(("Yes"),(O66))))</formula>
    </cfRule>
  </conditionalFormatting>
  <conditionalFormatting sqref="O66:O226 Q127 N139 P145 P150 N162 N164:N167 N170 N172 N174 N176 N180:N182 N184 N187:N216 N222:N226 N228:O252 N254:O256 N258:O264 N267:O269 N272:O273 N275:O275">
    <cfRule type="containsText" dxfId="2" priority="26960" operator="containsText" text="Yes">
      <formula>NOT(ISERROR(SEARCH(("Yes"),(O66))))</formula>
    </cfRule>
  </conditionalFormatting>
  <conditionalFormatting sqref="O66:O226 Q127 N139 P145 P150 N162 N164:N167 N170 N172 N174 N176 N180:N182 N184 N187:N216 N222:N226 N228:O252 N254:O256 N258:O264 N267:O269 N272:O273 N275:O275">
    <cfRule type="containsText" dxfId="2" priority="26961" operator="containsText" text="Yes">
      <formula>NOT(ISERROR(SEARCH(("Yes"),(O66))))</formula>
    </cfRule>
  </conditionalFormatting>
  <conditionalFormatting sqref="O66:O226 Q127 N139 P145 P150 N162 N164:N167 N170 N172 N174 N176 N180:N182 N184 N187:N216 N222:N226 N228:O252 N254:O256 N258:O264 N267:O269 N272:O273 N275:O275">
    <cfRule type="containsText" dxfId="2" priority="26962" operator="containsText" text="Yes">
      <formula>NOT(ISERROR(SEARCH(("Yes"),(O66))))</formula>
    </cfRule>
  </conditionalFormatting>
  <conditionalFormatting sqref="O66:O226 Q127 N139 P145 P150 N162 N164:N167 N170 N172 N174 N176 N180:N182 N184 N187:N216 N222:N226 N228:O252 N254:O256 N258:O264 N267:O269 N272:O273 N275:O275">
    <cfRule type="containsText" dxfId="2" priority="26963" operator="containsText" text="Yes">
      <formula>NOT(ISERROR(SEARCH(("Yes"),(O66))))</formula>
    </cfRule>
  </conditionalFormatting>
  <conditionalFormatting sqref="O66:O226 Q127 N139 P145 P150 N162 N164:N167 N170 N172 N174 N176 N180:N182 N184 N187:N216 N222:N226 N228:O252 N254:O256 N258:O264 N267:O269 N272:O273 N275:O275">
    <cfRule type="containsText" dxfId="9" priority="26964" operator="containsText" text="No">
      <formula>NOT(ISERROR(SEARCH(("No"),(O66))))</formula>
    </cfRule>
  </conditionalFormatting>
  <conditionalFormatting sqref="O66:O226 Q127 N139 P145 P150 N162 N164:N167 N170 N172 N174 N176 N180:N182 N184 N187:N216 N222:N226 N228:O252 N254:O256 N258:O264 N267:O269 N272:O273 N275:O275">
    <cfRule type="containsText" dxfId="9" priority="26965" operator="containsText" text="No">
      <formula>NOT(ISERROR(SEARCH(("No"),(O66))))</formula>
    </cfRule>
  </conditionalFormatting>
  <conditionalFormatting sqref="O66:O226 Q127 N139 P145 P150 N162 N164:N167 N170 N172 N174 N176 N180:N182 N184 N187:N216 N222:N226 N228:O252 N254:O256 N258:O264 N267:O269 N272:O273 N275:O275">
    <cfRule type="containsText" dxfId="2" priority="26966" operator="containsText" text="Yes">
      <formula>NOT(ISERROR(SEARCH(("Yes"),(O66))))</formula>
    </cfRule>
  </conditionalFormatting>
  <conditionalFormatting sqref="Q66:Q109 Q111:Q126 Q128:Q134 Q136:Q214 P174:P214 U204:V204 Q216 Q222:Q226 Q228:Q252 Q254:Q256 Q258:Q264 Q267:Q269 Q272:Q273 Q275">
    <cfRule type="containsText" dxfId="9" priority="26967"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68"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69"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70"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71"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72"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73"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74"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75"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76"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77"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78"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79"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80"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81"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82"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83"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84"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85"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86"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87"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88"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89"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90"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91"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92"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93"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94"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95"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96"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97"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98" operator="containsText" text="No">
      <formula>NOT(ISERROR(SEARCH(("No"),(Q66))))</formula>
    </cfRule>
  </conditionalFormatting>
  <conditionalFormatting sqref="Q66:Q109 Q111:Q126 Q128:Q134 Q136:Q214 P174:P214 U204:V204 Q216 Q222:Q226 Q228:Q252 Q254:Q256 Q258:Q264 Q267:Q269 Q272:Q273 Q275">
    <cfRule type="containsText" dxfId="9" priority="26999" operator="containsText" text="No">
      <formula>NOT(ISERROR(SEARCH(("No"),(Q66))))</formula>
    </cfRule>
  </conditionalFormatting>
  <conditionalFormatting sqref="Q66:Q109 Q111:Q126 Q128:Q134 Q136:Q214 P174:P214 U204:V204 Q216 Q222:Q226 Q228:Q252 Q254:Q256 Q258:Q264 Q267:Q269 Q272:Q273 Q275">
    <cfRule type="containsText" dxfId="9" priority="27000" operator="containsText" text="No">
      <formula>NOT(ISERROR(SEARCH(("No"),(Q66))))</formula>
    </cfRule>
  </conditionalFormatting>
  <conditionalFormatting sqref="Q66:Q109 Q111:Q126 Q128:Q134 Q136:Q214 P174:P214 U204:V204 Q216 Q222:Q226 Q228:Q252 Q254:Q256 Q258:Q264 Q267:Q269 Q272:Q273 Q275">
    <cfRule type="containsText" dxfId="9" priority="27001" operator="containsText" text="No">
      <formula>NOT(ISERROR(SEARCH(("No"),(Q66))))</formula>
    </cfRule>
  </conditionalFormatting>
  <conditionalFormatting sqref="Q66:Q109 Q111:Q126 Q128:Q134 Q136:Q214 P174:P214 U204:V204 Q216 Q222:Q226 Q228:Q252 Q254:Q256 Q258:Q264 Q267:Q269 Q272:Q273 Q275">
    <cfRule type="containsText" dxfId="9" priority="27002" operator="containsText" text="No">
      <formula>NOT(ISERROR(SEARCH(("No"),(Q66))))</formula>
    </cfRule>
  </conditionalFormatting>
  <conditionalFormatting sqref="Q66:Q109 Q111:Q126 Q128:Q134 Q136:Q214 P174:P214 U204:V204 Q216 Q222:Q226 Q228:Q252 Q254:Q256 Q258:Q264 Q267:Q269 Q272:Q273 Q275">
    <cfRule type="containsText" dxfId="9" priority="27003" operator="containsText" text="No">
      <formula>NOT(ISERROR(SEARCH(("No"),(Q66))))</formula>
    </cfRule>
  </conditionalFormatting>
  <conditionalFormatting sqref="Q66:Q109 Q111:Q126 Q128:Q134 Q136:Q214 P174:P214 U204:V204 Q216 Q222:Q226 Q228:Q252 Q254:Q256 Q258:Q264 Q267:Q269 Q272:Q273 Q275">
    <cfRule type="containsText" dxfId="9" priority="27004" operator="containsText" text="No">
      <formula>NOT(ISERROR(SEARCH(("No"),(Q66))))</formula>
    </cfRule>
  </conditionalFormatting>
  <conditionalFormatting sqref="Q66:Q109 Q111:Q126 Q128:Q134 Q136:Q214 P174:P214 U204:V204 Q216 Q222:Q226 Q228:Q252 Q254:Q256 Q258:Q264 Q267:Q269 Q272:Q273 Q275">
    <cfRule type="containsText" dxfId="9" priority="27005" operator="containsText" text="No">
      <formula>NOT(ISERROR(SEARCH(("No"),(Q66))))</formula>
    </cfRule>
  </conditionalFormatting>
  <conditionalFormatting sqref="Q66:Q109 Q111:Q126 Q128:Q134 Q136:Q214 P174:P214 U204:V204 Q216 Q222:Q226 Q228:Q252 Q254:Q256 Q258:Q264 Q267:Q269 Q272:Q273 Q275">
    <cfRule type="containsText" dxfId="9" priority="27006" operator="containsText" text="No">
      <formula>NOT(ISERROR(SEARCH(("No"),(Q66))))</formula>
    </cfRule>
  </conditionalFormatting>
  <conditionalFormatting sqref="Q66:Q109 Q111:Q126 Q128:Q134 Q136:Q214 P174:P214 U204:V204 Q216 Q222:Q226 Q228:Q252 Q254:Q256 Q258:Q264 Q267:Q269 Q272:Q273 Q275">
    <cfRule type="containsText" dxfId="9" priority="27007" operator="containsText" text="No">
      <formula>NOT(ISERROR(SEARCH(("No"),(Q66))))</formula>
    </cfRule>
  </conditionalFormatting>
  <conditionalFormatting sqref="Q66:Q109 Q111:Q126 Q128:Q134 Q136:Q214 P174:P214 U204:V204 Q216 Q222:Q226 Q228:Q252 Q254:Q256 Q258:Q264 Q267:Q269 Q272:Q273 Q275">
    <cfRule type="containsText" dxfId="9" priority="27008" operator="containsText" text="No">
      <formula>NOT(ISERROR(SEARCH(("No"),(Q66))))</formula>
    </cfRule>
  </conditionalFormatting>
  <conditionalFormatting sqref="Q66:Q109 Q111:Q126 Q128:Q134 Q136:Q214 P174:P214 U204:V204 Q216 Q222:Q226 Q228:Q252 Q254:Q256 Q258:Q264 Q267:Q269 Q272:Q273 Q275">
    <cfRule type="containsText" dxfId="9" priority="27009" operator="containsText" text="No">
      <formula>NOT(ISERROR(SEARCH(("No"),(Q66))))</formula>
    </cfRule>
  </conditionalFormatting>
  <conditionalFormatting sqref="Q66:Q109 Q111:Q126 Q128:Q134 Q136:Q214 P174:P214 U204:V204 Q216 Q222:Q226 Q228:Q252 Q254:Q256 Q258:Q264 Q267:Q269 Q272:Q273 Q275">
    <cfRule type="containsText" dxfId="9" priority="27010" operator="containsText" text="No">
      <formula>NOT(ISERROR(SEARCH(("No"),(Q66))))</formula>
    </cfRule>
  </conditionalFormatting>
  <conditionalFormatting sqref="Q66:Q109 Q111:Q126 Q128:Q134 Q136:Q214 P174:P214 U204:V204 Q216 Q222:Q226 Q228:Q252 Q254:Q256 Q258:Q264 Q267:Q269 Q272:Q273 Q275">
    <cfRule type="containsText" dxfId="9" priority="27011" operator="containsText" text="No">
      <formula>NOT(ISERROR(SEARCH(("No"),(Q66))))</formula>
    </cfRule>
  </conditionalFormatting>
  <conditionalFormatting sqref="Q66:Q109 Q111:Q126 Q128:Q134 Q136:Q214 P174:P214 U204:V204 Q216 Q222:Q226 Q228:Q252 Q254:Q256 Q258:Q264 Q267:Q269 Q272:Q273 Q275">
    <cfRule type="containsText" dxfId="2" priority="27012"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13"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14"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15"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16"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17"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18"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19"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20"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21"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22"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23"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24"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25"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26"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27"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28"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29"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30"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31"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32"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33"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34"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35"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36"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37"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38"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39"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40"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41"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42"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43"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44"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45"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46"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47"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48"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49"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50"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51"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52"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53"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54"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55"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56"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57" operator="containsText" text="Yes">
      <formula>NOT(ISERROR(SEARCH(("Yes"),(Q66))))</formula>
    </cfRule>
  </conditionalFormatting>
  <conditionalFormatting sqref="Q66:Q109 Q111:Q126 Q128:Q134 Q136:Q214 P174:P214 U204:V204 Q216 Q222:Q226 Q228:Q252 Q254:Q256 Q258:Q264 Q267:Q269 Q272:Q273 Q275">
    <cfRule type="containsText" dxfId="2" priority="27058" operator="containsText" text="Yes">
      <formula>NOT(ISERROR(SEARCH(("Yes"),(Q66))))</formula>
    </cfRule>
  </conditionalFormatting>
  <conditionalFormatting sqref="O73:O226 Q127 N139 P145 P150 N162 N164:N167 N170 N172 N174 N176 N180:N182 N184 N187:N216 N222:N226 N228:O252 N254:O256 N258:O264 N267:O269 N272:O273 N275:O275">
    <cfRule type="containsText" dxfId="9" priority="27059"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60"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61"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62"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63"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64"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65"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66"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67"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68"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69"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70"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71"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72"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73"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74"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75"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76"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77"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78"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79"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80"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81"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82"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83"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84"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85"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86"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87"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88"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89"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90"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91"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92"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93"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94"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95"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96"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97"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98"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099"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100"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101"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102"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9" priority="27103" operator="containsText" text="No">
      <formula>NOT(ISERROR(SEARCH(("No"),(O73))))</formula>
    </cfRule>
  </conditionalFormatting>
  <conditionalFormatting sqref="O73:O226 Q127 N139 P145 P150 N162 N164:N167 N170 N172 N174 N176 N180:N182 N184 N187:N216 N222:N226 N228:O252 N254:O256 N258:O264 N267:O269 N272:O273 N275:O275">
    <cfRule type="containsText" dxfId="2" priority="27104"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05"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06"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07"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08"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09"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10"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11"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12"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13"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14"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15"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16"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17"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18"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19"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20"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21"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22"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23"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24"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25"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26"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27"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28"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29"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30"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31"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32"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33"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34"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35"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36"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37"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38"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39"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40"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41"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42"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43"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44"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45"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46"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47"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48"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49" operator="containsText" text="Yes">
      <formula>NOT(ISERROR(SEARCH(("Yes"),(O73))))</formula>
    </cfRule>
  </conditionalFormatting>
  <conditionalFormatting sqref="O73:O226 Q127 N139 P145 P150 N162 N164:N167 N170 N172 N174 N176 N180:N182 N184 N187:N216 N222:N226 N228:O252 N254:O256 N258:O264 N267:O269 N272:O273 N275:O275">
    <cfRule type="containsText" dxfId="2" priority="27150" operator="containsText" text="Yes">
      <formula>NOT(ISERROR(SEARCH(("Yes"),(O73))))</formula>
    </cfRule>
  </conditionalFormatting>
  <conditionalFormatting sqref="P73:P109 P111:P126 P128:P134 P136:P164 O145 Q150 Q155 P166:P169 P171:P216 Q203 U204:V204 Q205:Q215 P222:P226 P228:P252 P254:P256 P258:P264 O261:O264 O267:P269 P272:P275 Q274 O275">
    <cfRule type="containsText" dxfId="9" priority="27151" operator="containsText" text="No">
      <formula>NOT(ISERROR(SEARCH(("No"),(P73))))</formula>
    </cfRule>
  </conditionalFormatting>
  <conditionalFormatting sqref="P73:P109 P111:P126 P128:P134 P136:P164 O145 Q150 Q155 P166:P169 P171:P216 Q203 U204:V204 Q205:Q215 P222:P226 P228:P252 P254:P256 P258:P264 O261:O264 O267:P269 P272:P275 Q274 O275">
    <cfRule type="containsText" dxfId="9" priority="27152" operator="containsText" text="No">
      <formula>NOT(ISERROR(SEARCH(("No"),(P73))))</formula>
    </cfRule>
  </conditionalFormatting>
  <conditionalFormatting sqref="P73:P109 P111:P126 P128:P134 P136:P164 O145 Q150 Q155 P166:P169 P171:P216 Q203 U204:V204 Q205:Q215 P222:P226 P228:P252 P254:P256 P258:P264 O261:O264 O267:P269 P272:P275 Q274 O275">
    <cfRule type="containsText" dxfId="9" priority="27153" operator="containsText" text="No">
      <formula>NOT(ISERROR(SEARCH(("No"),(P73))))</formula>
    </cfRule>
  </conditionalFormatting>
  <conditionalFormatting sqref="P73:P109 P111:P126 P128:P134 P136:P164 O145 Q150 Q155 P166:P169 P171:P216 Q203 U204:V204 Q205:Q215 P222:P226 P228:P252 P254:P256 P258:P264 O261:O264 O267:P269 P272:P275 Q274 O275">
    <cfRule type="containsText" dxfId="2" priority="27154" operator="containsText" text="Yes">
      <formula>NOT(ISERROR(SEARCH(("Yes"),(P73))))</formula>
    </cfRule>
  </conditionalFormatting>
  <conditionalFormatting sqref="P73:P109 P111:P126 P128:P134 P136:P164 O145 Q150 Q155 P166:P169 P171:P216 Q203 U204:V204 Q205:Q215 P222:P226 P228:P252 P254:P256 P258:P264 O261:O264 O267:P269 P272:P275 Q274 O275">
    <cfRule type="containsText" dxfId="2" priority="27155" operator="containsText" text="Yes">
      <formula>NOT(ISERROR(SEARCH(("Yes"),(P73))))</formula>
    </cfRule>
  </conditionalFormatting>
  <conditionalFormatting sqref="P73:P109 P111:P126 P128:P134 P136:P164 O145 Q150 Q155 P166:P169 P171:P216 Q203 U204:V204 Q205:Q215 P222:P226 P228:P252 P254:P256 P258:P264 O261:O264 O267:P269 P272:P275 Q274 O275">
    <cfRule type="containsText" dxfId="2" priority="27156" operator="containsText" text="Yes">
      <formula>NOT(ISERROR(SEARCH(("Yes"),(P73))))</formula>
    </cfRule>
  </conditionalFormatting>
  <conditionalFormatting sqref="P73:P109 P111:P126 P128:P134 P136:P164 O145 Q150 Q155 P166:P169 P171:P216 Q203 U204:V204 Q205:Q215 P222:P226 P228:P252 P254:P256 P258:P264 O261:O264 O267:P269 P272:P275 Q274 O275">
    <cfRule type="containsText" dxfId="2" priority="27157" operator="containsText" text="Yes">
      <formula>NOT(ISERROR(SEARCH(("Yes"),(P73))))</formula>
    </cfRule>
  </conditionalFormatting>
  <conditionalFormatting sqref="P73:P109 P111:P126 P128:P134 P136:P164 O145 Q150 Q155 P166:P169 P171:P216 Q203 U204:V204 Q205:Q215 P222:P226 P228:P252 P254:P256 P258:P264 O261:O264 O267:P269 P272:P275 Q274 O275">
    <cfRule type="containsText" dxfId="2" priority="27158" operator="containsText" text="Yes">
      <formula>NOT(ISERROR(SEARCH(("Yes"),(P73))))</formula>
    </cfRule>
  </conditionalFormatting>
  <conditionalFormatting sqref="P73:P109 P111:P126 P128:P134 P136:P164 O145 Q150 Q155 P166:P169 P171:P216 Q203 U204:V204 Q205:Q215 P222:P226 P228:P252 P254:P256 P258:P264 O261:O264 O267:P269 P272:P275 Q274 O275">
    <cfRule type="containsText" dxfId="9" priority="27159" operator="containsText" text="No">
      <formula>NOT(ISERROR(SEARCH(("No"),(P73))))</formula>
    </cfRule>
  </conditionalFormatting>
  <conditionalFormatting sqref="P73:P109 P111:P126 P128:P134 P136:P164 O145 Q150 Q155 P166:P169 P171:P216 Q203 U204:V204 Q205:Q215 P222:P226 P228:P252 P254:P256 P258:P264 O261:O264 O267:P269 P272:P275 Q274 O275">
    <cfRule type="containsText" dxfId="9" priority="27160" operator="containsText" text="No">
      <formula>NOT(ISERROR(SEARCH(("No"),(P73))))</formula>
    </cfRule>
  </conditionalFormatting>
  <conditionalFormatting sqref="P73:P109 P111:P126 P128:P134 P136:P164 O145 Q150 Q155 P166:P169 P171:P216 Q203 U204:V204 Q205:Q215 P222:P226 P228:P252 P254:P256 P258:P264 O261:O264 O267:P269 P272:P275 Q274 O275">
    <cfRule type="containsText" dxfId="2" priority="27161" operator="containsText" text="Yes">
      <formula>NOT(ISERROR(SEARCH(("Yes"),(P73))))</formula>
    </cfRule>
  </conditionalFormatting>
  <conditionalFormatting sqref="Q73:Q109 Q111:Q126 Q128:Q134 Q136:Q214 P174:P214 U204:V204 Q216 Q222:Q226 Q228:Q252 Q254:Q256 Q258:Q264 Q267:Q269 Q272:Q273 Q275">
    <cfRule type="containsText" dxfId="9" priority="27162" operator="containsText" text="No">
      <formula>NOT(ISERROR(SEARCH(("No"),(Q73))))</formula>
    </cfRule>
  </conditionalFormatting>
  <conditionalFormatting sqref="Q73:Q109 Q111:Q126 Q128:Q134 Q136:Q214 P174:P214 U204:V204 Q216 Q222:Q226 Q228:Q252 Q254:Q256 Q258:Q264 Q267:Q269 Q272:Q273 Q275">
    <cfRule type="containsText" dxfId="9" priority="27163" operator="containsText" text="No">
      <formula>NOT(ISERROR(SEARCH(("No"),(Q73))))</formula>
    </cfRule>
  </conditionalFormatting>
  <conditionalFormatting sqref="Q73:Q109 Q111:Q126 Q128:Q134 Q136:Q214 P174:P214 U204:V204 Q216 Q222:Q226 Q228:Q252 Q254:Q256 Q258:Q264 Q267:Q269 Q272:Q273 Q275">
    <cfRule type="containsText" dxfId="9" priority="27164" operator="containsText" text="No">
      <formula>NOT(ISERROR(SEARCH(("No"),(Q73))))</formula>
    </cfRule>
  </conditionalFormatting>
  <conditionalFormatting sqref="Q73:Q109 Q111:Q126 Q128:Q134 Q136:Q214 P174:P214 U204:V204 Q216 Q222:Q226 Q228:Q252 Q254:Q256 Q258:Q264 Q267:Q269 Q272:Q273 Q275">
    <cfRule type="containsText" dxfId="2" priority="27165" operator="containsText" text="Yes">
      <formula>NOT(ISERROR(SEARCH(("Yes"),(Q73))))</formula>
    </cfRule>
  </conditionalFormatting>
  <conditionalFormatting sqref="Q73:Q109 Q111:Q126 Q128:Q134 Q136:Q214 P174:P214 U204:V204 Q216 Q222:Q226 Q228:Q252 Q254:Q256 Q258:Q264 Q267:Q269 Q272:Q273 Q275">
    <cfRule type="containsText" dxfId="2" priority="27166" operator="containsText" text="Yes">
      <formula>NOT(ISERROR(SEARCH(("Yes"),(Q73))))</formula>
    </cfRule>
  </conditionalFormatting>
  <conditionalFormatting sqref="Q73:Q109 Q111:Q126 Q128:Q134 Q136:Q214 P174:P214 U204:V204 Q216 Q222:Q226 Q228:Q252 Q254:Q256 Q258:Q264 Q267:Q269 Q272:Q273 Q275">
    <cfRule type="containsText" dxfId="2" priority="27167" operator="containsText" text="Yes">
      <formula>NOT(ISERROR(SEARCH(("Yes"),(Q73))))</formula>
    </cfRule>
  </conditionalFormatting>
  <conditionalFormatting sqref="Q73:Q109 Q111:Q126 Q128:Q134 Q136:Q214 P174:P214 U204:V204 Q216 Q222:Q226 Q228:Q252 Q254:Q256 Q258:Q264 Q267:Q269 Q272:Q273 Q275">
    <cfRule type="containsText" dxfId="2" priority="27168" operator="containsText" text="Yes">
      <formula>NOT(ISERROR(SEARCH(("Yes"),(Q73))))</formula>
    </cfRule>
  </conditionalFormatting>
  <conditionalFormatting sqref="Q73:Q109 Q111:Q126 Q128:Q134 Q136:Q214 P174:P214 U204:V204 Q216 Q222:Q226 Q228:Q252 Q254:Q256 Q258:Q264 Q267:Q269 Q272:Q273 Q275">
    <cfRule type="containsText" dxfId="2" priority="27169" operator="containsText" text="Yes">
      <formula>NOT(ISERROR(SEARCH(("Yes"),(Q73))))</formula>
    </cfRule>
  </conditionalFormatting>
  <conditionalFormatting sqref="Q73:Q109 Q111:Q126 Q128:Q134 Q136:Q214 P174:P214 U204:V204 Q216 Q222:Q226 Q228:Q252 Q254:Q256 Q258:Q264 Q267:Q269 Q272:Q273 Q275">
    <cfRule type="containsText" dxfId="9" priority="27170" operator="containsText" text="No">
      <formula>NOT(ISERROR(SEARCH(("No"),(Q73))))</formula>
    </cfRule>
  </conditionalFormatting>
  <conditionalFormatting sqref="Q73:Q109 Q111:Q126 Q128:Q134 Q136:Q214 P174:P214 U204:V204 Q216 Q222:Q226 Q228:Q252 Q254:Q256 Q258:Q264 Q267:Q269 Q272:Q273 Q275">
    <cfRule type="containsText" dxfId="9" priority="27171" operator="containsText" text="No">
      <formula>NOT(ISERROR(SEARCH(("No"),(Q73))))</formula>
    </cfRule>
  </conditionalFormatting>
  <conditionalFormatting sqref="Q73:Q109 Q111:Q126 Q128:Q134 Q136:Q214 P174:P214 U204:V204 Q216 Q222:Q226 Q228:Q252 Q254:Q256 Q258:Q264 Q267:Q269 Q272:Q273 Q275">
    <cfRule type="containsText" dxfId="2" priority="27172" operator="containsText" text="Yes">
      <formula>NOT(ISERROR(SEARCH(("Yes"),(Q73))))</formula>
    </cfRule>
  </conditionalFormatting>
  <conditionalFormatting sqref="P74:P75">
    <cfRule type="containsText" dxfId="9" priority="27173" operator="containsText" text="No">
      <formula>NOT(ISERROR(SEARCH(("No"),(P74))))</formula>
    </cfRule>
  </conditionalFormatting>
  <conditionalFormatting sqref="P74:P75">
    <cfRule type="containsText" dxfId="9" priority="27174" operator="containsText" text="No">
      <formula>NOT(ISERROR(SEARCH(("No"),(P74))))</formula>
    </cfRule>
  </conditionalFormatting>
  <conditionalFormatting sqref="P74:P75">
    <cfRule type="containsText" dxfId="9" priority="27175" operator="containsText" text="No">
      <formula>NOT(ISERROR(SEARCH(("No"),(P74))))</formula>
    </cfRule>
  </conditionalFormatting>
  <conditionalFormatting sqref="P74:P75">
    <cfRule type="containsText" dxfId="9" priority="27176" operator="containsText" text="No">
      <formula>NOT(ISERROR(SEARCH(("No"),(P74))))</formula>
    </cfRule>
  </conditionalFormatting>
  <conditionalFormatting sqref="P74:P75">
    <cfRule type="containsText" dxfId="9" priority="27177" operator="containsText" text="No">
      <formula>NOT(ISERROR(SEARCH(("No"),(P74))))</formula>
    </cfRule>
  </conditionalFormatting>
  <conditionalFormatting sqref="P74:P75">
    <cfRule type="containsText" dxfId="9" priority="27178" operator="containsText" text="No">
      <formula>NOT(ISERROR(SEARCH(("No"),(P74))))</formula>
    </cfRule>
  </conditionalFormatting>
  <conditionalFormatting sqref="P74:P75">
    <cfRule type="containsText" dxfId="9" priority="27179" operator="containsText" text="No">
      <formula>NOT(ISERROR(SEARCH(("No"),(P74))))</formula>
    </cfRule>
  </conditionalFormatting>
  <conditionalFormatting sqref="P74:P75">
    <cfRule type="containsText" dxfId="9" priority="27180" operator="containsText" text="No">
      <formula>NOT(ISERROR(SEARCH(("No"),(P74))))</formula>
    </cfRule>
  </conditionalFormatting>
  <conditionalFormatting sqref="P74:P75">
    <cfRule type="containsText" dxfId="9" priority="27181" operator="containsText" text="No">
      <formula>NOT(ISERROR(SEARCH(("No"),(P74))))</formula>
    </cfRule>
  </conditionalFormatting>
  <conditionalFormatting sqref="P74:P75">
    <cfRule type="containsText" dxfId="9" priority="27182" operator="containsText" text="No">
      <formula>NOT(ISERROR(SEARCH(("No"),(P74))))</formula>
    </cfRule>
  </conditionalFormatting>
  <conditionalFormatting sqref="P74:P75">
    <cfRule type="containsText" dxfId="9" priority="27183" operator="containsText" text="No">
      <formula>NOT(ISERROR(SEARCH(("No"),(P74))))</formula>
    </cfRule>
  </conditionalFormatting>
  <conditionalFormatting sqref="P74:P75">
    <cfRule type="containsText" dxfId="9" priority="27184" operator="containsText" text="No">
      <formula>NOT(ISERROR(SEARCH(("No"),(P74))))</formula>
    </cfRule>
  </conditionalFormatting>
  <conditionalFormatting sqref="P74:P75">
    <cfRule type="containsText" dxfId="9" priority="27185" operator="containsText" text="No">
      <formula>NOT(ISERROR(SEARCH(("No"),(P74))))</formula>
    </cfRule>
  </conditionalFormatting>
  <conditionalFormatting sqref="P74:P75">
    <cfRule type="containsText" dxfId="9" priority="27186" operator="containsText" text="No">
      <formula>NOT(ISERROR(SEARCH(("No"),(P74))))</formula>
    </cfRule>
  </conditionalFormatting>
  <conditionalFormatting sqref="P74:P75">
    <cfRule type="containsText" dxfId="9" priority="27187" operator="containsText" text="No">
      <formula>NOT(ISERROR(SEARCH(("No"),(P74))))</formula>
    </cfRule>
  </conditionalFormatting>
  <conditionalFormatting sqref="P74:P75">
    <cfRule type="containsText" dxfId="9" priority="27188" operator="containsText" text="No">
      <formula>NOT(ISERROR(SEARCH(("No"),(P74))))</formula>
    </cfRule>
  </conditionalFormatting>
  <conditionalFormatting sqref="P74:P75">
    <cfRule type="containsText" dxfId="9" priority="27189" operator="containsText" text="No">
      <formula>NOT(ISERROR(SEARCH(("No"),(P74))))</formula>
    </cfRule>
  </conditionalFormatting>
  <conditionalFormatting sqref="P74:P75">
    <cfRule type="containsText" dxfId="9" priority="27190" operator="containsText" text="No">
      <formula>NOT(ISERROR(SEARCH(("No"),(P74))))</formula>
    </cfRule>
  </conditionalFormatting>
  <conditionalFormatting sqref="P74:P75">
    <cfRule type="containsText" dxfId="9" priority="27191" operator="containsText" text="No">
      <formula>NOT(ISERROR(SEARCH(("No"),(P74))))</formula>
    </cfRule>
  </conditionalFormatting>
  <conditionalFormatting sqref="P74:P75">
    <cfRule type="containsText" dxfId="9" priority="27192" operator="containsText" text="No">
      <formula>NOT(ISERROR(SEARCH(("No"),(P74))))</formula>
    </cfRule>
  </conditionalFormatting>
  <conditionalFormatting sqref="P74:P75">
    <cfRule type="containsText" dxfId="9" priority="27193" operator="containsText" text="No">
      <formula>NOT(ISERROR(SEARCH(("No"),(P74))))</formula>
    </cfRule>
  </conditionalFormatting>
  <conditionalFormatting sqref="P74:P75">
    <cfRule type="containsText" dxfId="9" priority="27194" operator="containsText" text="No">
      <formula>NOT(ISERROR(SEARCH(("No"),(P74))))</formula>
    </cfRule>
  </conditionalFormatting>
  <conditionalFormatting sqref="P74:P75">
    <cfRule type="containsText" dxfId="9" priority="27195" operator="containsText" text="No">
      <formula>NOT(ISERROR(SEARCH(("No"),(P74))))</formula>
    </cfRule>
  </conditionalFormatting>
  <conditionalFormatting sqref="P74:P75">
    <cfRule type="containsText" dxfId="9" priority="27196" operator="containsText" text="No">
      <formula>NOT(ISERROR(SEARCH(("No"),(P74))))</formula>
    </cfRule>
  </conditionalFormatting>
  <conditionalFormatting sqref="P74:P75">
    <cfRule type="containsText" dxfId="9" priority="27197" operator="containsText" text="No">
      <formula>NOT(ISERROR(SEARCH(("No"),(P74))))</formula>
    </cfRule>
  </conditionalFormatting>
  <conditionalFormatting sqref="P74:P75">
    <cfRule type="containsText" dxfId="9" priority="27198" operator="containsText" text="No">
      <formula>NOT(ISERROR(SEARCH(("No"),(P74))))</formula>
    </cfRule>
  </conditionalFormatting>
  <conditionalFormatting sqref="P74:P75">
    <cfRule type="containsText" dxfId="9" priority="27199" operator="containsText" text="No">
      <formula>NOT(ISERROR(SEARCH(("No"),(P74))))</formula>
    </cfRule>
  </conditionalFormatting>
  <conditionalFormatting sqref="P74:P75">
    <cfRule type="containsText" dxfId="9" priority="27200" operator="containsText" text="No">
      <formula>NOT(ISERROR(SEARCH(("No"),(P74))))</formula>
    </cfRule>
  </conditionalFormatting>
  <conditionalFormatting sqref="P74:P75">
    <cfRule type="containsText" dxfId="9" priority="27201" operator="containsText" text="No">
      <formula>NOT(ISERROR(SEARCH(("No"),(P74))))</formula>
    </cfRule>
  </conditionalFormatting>
  <conditionalFormatting sqref="P74:P75">
    <cfRule type="containsText" dxfId="9" priority="27202" operator="containsText" text="No">
      <formula>NOT(ISERROR(SEARCH(("No"),(P74))))</formula>
    </cfRule>
  </conditionalFormatting>
  <conditionalFormatting sqref="P74:P75">
    <cfRule type="containsText" dxfId="9" priority="27203" operator="containsText" text="No">
      <formula>NOT(ISERROR(SEARCH(("No"),(P74))))</formula>
    </cfRule>
  </conditionalFormatting>
  <conditionalFormatting sqref="P74:P75">
    <cfRule type="containsText" dxfId="9" priority="27204" operator="containsText" text="No">
      <formula>NOT(ISERROR(SEARCH(("No"),(P74))))</formula>
    </cfRule>
  </conditionalFormatting>
  <conditionalFormatting sqref="P74:P75">
    <cfRule type="containsText" dxfId="9" priority="27205" operator="containsText" text="No">
      <formula>NOT(ISERROR(SEARCH(("No"),(P74))))</formula>
    </cfRule>
  </conditionalFormatting>
  <conditionalFormatting sqref="P74:P75">
    <cfRule type="containsText" dxfId="9" priority="27206" operator="containsText" text="No">
      <formula>NOT(ISERROR(SEARCH(("No"),(P74))))</formula>
    </cfRule>
  </conditionalFormatting>
  <conditionalFormatting sqref="P74:P75">
    <cfRule type="containsText" dxfId="9" priority="27207" operator="containsText" text="No">
      <formula>NOT(ISERROR(SEARCH(("No"),(P74))))</formula>
    </cfRule>
  </conditionalFormatting>
  <conditionalFormatting sqref="P74:P75">
    <cfRule type="containsText" dxfId="9" priority="27208" operator="containsText" text="No">
      <formula>NOT(ISERROR(SEARCH(("No"),(P74))))</formula>
    </cfRule>
  </conditionalFormatting>
  <conditionalFormatting sqref="P74:P75">
    <cfRule type="containsText" dxfId="9" priority="27209" operator="containsText" text="No">
      <formula>NOT(ISERROR(SEARCH(("No"),(P74))))</formula>
    </cfRule>
  </conditionalFormatting>
  <conditionalFormatting sqref="P74:P75">
    <cfRule type="containsText" dxfId="9" priority="27210" operator="containsText" text="No">
      <formula>NOT(ISERROR(SEARCH(("No"),(P74))))</formula>
    </cfRule>
  </conditionalFormatting>
  <conditionalFormatting sqref="P74:P75">
    <cfRule type="containsText" dxfId="9" priority="27211" operator="containsText" text="No">
      <formula>NOT(ISERROR(SEARCH(("No"),(P74))))</formula>
    </cfRule>
  </conditionalFormatting>
  <conditionalFormatting sqref="P74:P75">
    <cfRule type="containsText" dxfId="9" priority="27212" operator="containsText" text="No">
      <formula>NOT(ISERROR(SEARCH(("No"),(P74))))</formula>
    </cfRule>
  </conditionalFormatting>
  <conditionalFormatting sqref="P74:P75">
    <cfRule type="containsText" dxfId="9" priority="27213" operator="containsText" text="No">
      <formula>NOT(ISERROR(SEARCH(("No"),(P74))))</formula>
    </cfRule>
  </conditionalFormatting>
  <conditionalFormatting sqref="P74:P75">
    <cfRule type="containsText" dxfId="9" priority="27214" operator="containsText" text="No">
      <formula>NOT(ISERROR(SEARCH(("No"),(P74))))</formula>
    </cfRule>
  </conditionalFormatting>
  <conditionalFormatting sqref="P74:P75">
    <cfRule type="containsText" dxfId="9" priority="27215" operator="containsText" text="No">
      <formula>NOT(ISERROR(SEARCH(("No"),(P74))))</formula>
    </cfRule>
  </conditionalFormatting>
  <conditionalFormatting sqref="P74:P75">
    <cfRule type="containsText" dxfId="9" priority="27216" operator="containsText" text="No">
      <formula>NOT(ISERROR(SEARCH(("No"),(P74))))</formula>
    </cfRule>
  </conditionalFormatting>
  <conditionalFormatting sqref="P74:P75">
    <cfRule type="containsText" dxfId="9" priority="27217" operator="containsText" text="No">
      <formula>NOT(ISERROR(SEARCH(("No"),(P74))))</formula>
    </cfRule>
  </conditionalFormatting>
  <conditionalFormatting sqref="P74:P75">
    <cfRule type="containsText" dxfId="2" priority="27218" operator="containsText" text="Yes">
      <formula>NOT(ISERROR(SEARCH(("Yes"),(P74))))</formula>
    </cfRule>
  </conditionalFormatting>
  <conditionalFormatting sqref="P74:P75">
    <cfRule type="containsText" dxfId="2" priority="27219" operator="containsText" text="Yes">
      <formula>NOT(ISERROR(SEARCH(("Yes"),(P74))))</formula>
    </cfRule>
  </conditionalFormatting>
  <conditionalFormatting sqref="P74:P75">
    <cfRule type="containsText" dxfId="2" priority="27220" operator="containsText" text="Yes">
      <formula>NOT(ISERROR(SEARCH(("Yes"),(P74))))</formula>
    </cfRule>
  </conditionalFormatting>
  <conditionalFormatting sqref="P74:P75">
    <cfRule type="containsText" dxfId="2" priority="27221" operator="containsText" text="Yes">
      <formula>NOT(ISERROR(SEARCH(("Yes"),(P74))))</formula>
    </cfRule>
  </conditionalFormatting>
  <conditionalFormatting sqref="P74:P75">
    <cfRule type="containsText" dxfId="2" priority="27222" operator="containsText" text="Yes">
      <formula>NOT(ISERROR(SEARCH(("Yes"),(P74))))</formula>
    </cfRule>
  </conditionalFormatting>
  <conditionalFormatting sqref="P74:P75">
    <cfRule type="containsText" dxfId="2" priority="27223" operator="containsText" text="Yes">
      <formula>NOT(ISERROR(SEARCH(("Yes"),(P74))))</formula>
    </cfRule>
  </conditionalFormatting>
  <conditionalFormatting sqref="P74:P75">
    <cfRule type="containsText" dxfId="2" priority="27224" operator="containsText" text="Yes">
      <formula>NOT(ISERROR(SEARCH(("Yes"),(P74))))</formula>
    </cfRule>
  </conditionalFormatting>
  <conditionalFormatting sqref="P74:P75">
    <cfRule type="containsText" dxfId="2" priority="27225" operator="containsText" text="Yes">
      <formula>NOT(ISERROR(SEARCH(("Yes"),(P74))))</formula>
    </cfRule>
  </conditionalFormatting>
  <conditionalFormatting sqref="P74:P75">
    <cfRule type="containsText" dxfId="2" priority="27226" operator="containsText" text="Yes">
      <formula>NOT(ISERROR(SEARCH(("Yes"),(P74))))</formula>
    </cfRule>
  </conditionalFormatting>
  <conditionalFormatting sqref="P74:P75">
    <cfRule type="containsText" dxfId="2" priority="27227" operator="containsText" text="Yes">
      <formula>NOT(ISERROR(SEARCH(("Yes"),(P74))))</formula>
    </cfRule>
  </conditionalFormatting>
  <conditionalFormatting sqref="P74:P75">
    <cfRule type="containsText" dxfId="2" priority="27228" operator="containsText" text="Yes">
      <formula>NOT(ISERROR(SEARCH(("Yes"),(P74))))</formula>
    </cfRule>
  </conditionalFormatting>
  <conditionalFormatting sqref="P74:P75">
    <cfRule type="containsText" dxfId="2" priority="27229" operator="containsText" text="Yes">
      <formula>NOT(ISERROR(SEARCH(("Yes"),(P74))))</formula>
    </cfRule>
  </conditionalFormatting>
  <conditionalFormatting sqref="P74:P75">
    <cfRule type="containsText" dxfId="2" priority="27230" operator="containsText" text="Yes">
      <formula>NOT(ISERROR(SEARCH(("Yes"),(P74))))</formula>
    </cfRule>
  </conditionalFormatting>
  <conditionalFormatting sqref="P74:P75">
    <cfRule type="containsText" dxfId="2" priority="27231" operator="containsText" text="Yes">
      <formula>NOT(ISERROR(SEARCH(("Yes"),(P74))))</formula>
    </cfRule>
  </conditionalFormatting>
  <conditionalFormatting sqref="P74:P75">
    <cfRule type="containsText" dxfId="2" priority="27232" operator="containsText" text="Yes">
      <formula>NOT(ISERROR(SEARCH(("Yes"),(P74))))</formula>
    </cfRule>
  </conditionalFormatting>
  <conditionalFormatting sqref="P74:P75">
    <cfRule type="containsText" dxfId="2" priority="27233" operator="containsText" text="Yes">
      <formula>NOT(ISERROR(SEARCH(("Yes"),(P74))))</formula>
    </cfRule>
  </conditionalFormatting>
  <conditionalFormatting sqref="P74:P75">
    <cfRule type="containsText" dxfId="2" priority="27234" operator="containsText" text="Yes">
      <formula>NOT(ISERROR(SEARCH(("Yes"),(P74))))</formula>
    </cfRule>
  </conditionalFormatting>
  <conditionalFormatting sqref="P74:P75">
    <cfRule type="containsText" dxfId="2" priority="27235" operator="containsText" text="Yes">
      <formula>NOT(ISERROR(SEARCH(("Yes"),(P74))))</formula>
    </cfRule>
  </conditionalFormatting>
  <conditionalFormatting sqref="P74:P75">
    <cfRule type="containsText" dxfId="2" priority="27236" operator="containsText" text="Yes">
      <formula>NOT(ISERROR(SEARCH(("Yes"),(P74))))</formula>
    </cfRule>
  </conditionalFormatting>
  <conditionalFormatting sqref="P74:P75">
    <cfRule type="containsText" dxfId="2" priority="27237" operator="containsText" text="Yes">
      <formula>NOT(ISERROR(SEARCH(("Yes"),(P74))))</formula>
    </cfRule>
  </conditionalFormatting>
  <conditionalFormatting sqref="P74:P75">
    <cfRule type="containsText" dxfId="2" priority="27238" operator="containsText" text="Yes">
      <formula>NOT(ISERROR(SEARCH(("Yes"),(P74))))</formula>
    </cfRule>
  </conditionalFormatting>
  <conditionalFormatting sqref="P74:P75">
    <cfRule type="containsText" dxfId="2" priority="27239" operator="containsText" text="Yes">
      <formula>NOT(ISERROR(SEARCH(("Yes"),(P74))))</formula>
    </cfRule>
  </conditionalFormatting>
  <conditionalFormatting sqref="P74:P75">
    <cfRule type="containsText" dxfId="2" priority="27240" operator="containsText" text="Yes">
      <formula>NOT(ISERROR(SEARCH(("Yes"),(P74))))</formula>
    </cfRule>
  </conditionalFormatting>
  <conditionalFormatting sqref="P74:P75">
    <cfRule type="containsText" dxfId="2" priority="27241" operator="containsText" text="Yes">
      <formula>NOT(ISERROR(SEARCH(("Yes"),(P74))))</formula>
    </cfRule>
  </conditionalFormatting>
  <conditionalFormatting sqref="P74:P75">
    <cfRule type="containsText" dxfId="2" priority="27242" operator="containsText" text="Yes">
      <formula>NOT(ISERROR(SEARCH(("Yes"),(P74))))</formula>
    </cfRule>
  </conditionalFormatting>
  <conditionalFormatting sqref="P74:P75">
    <cfRule type="containsText" dxfId="2" priority="27243" operator="containsText" text="Yes">
      <formula>NOT(ISERROR(SEARCH(("Yes"),(P74))))</formula>
    </cfRule>
  </conditionalFormatting>
  <conditionalFormatting sqref="P74:P75">
    <cfRule type="containsText" dxfId="2" priority="27244" operator="containsText" text="Yes">
      <formula>NOT(ISERROR(SEARCH(("Yes"),(P74))))</formula>
    </cfRule>
  </conditionalFormatting>
  <conditionalFormatting sqref="P74:P75">
    <cfRule type="containsText" dxfId="2" priority="27245" operator="containsText" text="Yes">
      <formula>NOT(ISERROR(SEARCH(("Yes"),(P74))))</formula>
    </cfRule>
  </conditionalFormatting>
  <conditionalFormatting sqref="P74:P75">
    <cfRule type="containsText" dxfId="2" priority="27246" operator="containsText" text="Yes">
      <formula>NOT(ISERROR(SEARCH(("Yes"),(P74))))</formula>
    </cfRule>
  </conditionalFormatting>
  <conditionalFormatting sqref="P74:P75">
    <cfRule type="containsText" dxfId="2" priority="27247" operator="containsText" text="Yes">
      <formula>NOT(ISERROR(SEARCH(("Yes"),(P74))))</formula>
    </cfRule>
  </conditionalFormatting>
  <conditionalFormatting sqref="P74:P75">
    <cfRule type="containsText" dxfId="2" priority="27248" operator="containsText" text="Yes">
      <formula>NOT(ISERROR(SEARCH(("Yes"),(P74))))</formula>
    </cfRule>
  </conditionalFormatting>
  <conditionalFormatting sqref="P74:P75">
    <cfRule type="containsText" dxfId="2" priority="27249" operator="containsText" text="Yes">
      <formula>NOT(ISERROR(SEARCH(("Yes"),(P74))))</formula>
    </cfRule>
  </conditionalFormatting>
  <conditionalFormatting sqref="P74:P75">
    <cfRule type="containsText" dxfId="2" priority="27250" operator="containsText" text="Yes">
      <formula>NOT(ISERROR(SEARCH(("Yes"),(P74))))</formula>
    </cfRule>
  </conditionalFormatting>
  <conditionalFormatting sqref="P74:P75">
    <cfRule type="containsText" dxfId="2" priority="27251" operator="containsText" text="Yes">
      <formula>NOT(ISERROR(SEARCH(("Yes"),(P74))))</formula>
    </cfRule>
  </conditionalFormatting>
  <conditionalFormatting sqref="P74:P75">
    <cfRule type="containsText" dxfId="2" priority="27252" operator="containsText" text="Yes">
      <formula>NOT(ISERROR(SEARCH(("Yes"),(P74))))</formula>
    </cfRule>
  </conditionalFormatting>
  <conditionalFormatting sqref="P74:P75">
    <cfRule type="containsText" dxfId="2" priority="27253" operator="containsText" text="Yes">
      <formula>NOT(ISERROR(SEARCH(("Yes"),(P74))))</formula>
    </cfRule>
  </conditionalFormatting>
  <conditionalFormatting sqref="P74:P75">
    <cfRule type="containsText" dxfId="2" priority="27254" operator="containsText" text="Yes">
      <formula>NOT(ISERROR(SEARCH(("Yes"),(P74))))</formula>
    </cfRule>
  </conditionalFormatting>
  <conditionalFormatting sqref="P74:P75">
    <cfRule type="containsText" dxfId="2" priority="27255" operator="containsText" text="Yes">
      <formula>NOT(ISERROR(SEARCH(("Yes"),(P74))))</formula>
    </cfRule>
  </conditionalFormatting>
  <conditionalFormatting sqref="P74:P75">
    <cfRule type="containsText" dxfId="2" priority="27256" operator="containsText" text="Yes">
      <formula>NOT(ISERROR(SEARCH(("Yes"),(P74))))</formula>
    </cfRule>
  </conditionalFormatting>
  <conditionalFormatting sqref="P74:P75">
    <cfRule type="containsText" dxfId="2" priority="27257" operator="containsText" text="Yes">
      <formula>NOT(ISERROR(SEARCH(("Yes"),(P74))))</formula>
    </cfRule>
  </conditionalFormatting>
  <conditionalFormatting sqref="P74:P75">
    <cfRule type="containsText" dxfId="2" priority="27258" operator="containsText" text="Yes">
      <formula>NOT(ISERROR(SEARCH(("Yes"),(P74))))</formula>
    </cfRule>
  </conditionalFormatting>
  <conditionalFormatting sqref="P74:P75">
    <cfRule type="containsText" dxfId="2" priority="27259" operator="containsText" text="Yes">
      <formula>NOT(ISERROR(SEARCH(("Yes"),(P74))))</formula>
    </cfRule>
  </conditionalFormatting>
  <conditionalFormatting sqref="P74:P75">
    <cfRule type="containsText" dxfId="2" priority="27260" operator="containsText" text="Yes">
      <formula>NOT(ISERROR(SEARCH(("Yes"),(P74))))</formula>
    </cfRule>
  </conditionalFormatting>
  <conditionalFormatting sqref="P74:P75">
    <cfRule type="containsText" dxfId="2" priority="27261" operator="containsText" text="Yes">
      <formula>NOT(ISERROR(SEARCH(("Yes"),(P74))))</formula>
    </cfRule>
  </conditionalFormatting>
  <conditionalFormatting sqref="P74:P75">
    <cfRule type="containsText" dxfId="2" priority="27262" operator="containsText" text="Yes">
      <formula>NOT(ISERROR(SEARCH(("Yes"),(P74))))</formula>
    </cfRule>
  </conditionalFormatting>
  <conditionalFormatting sqref="P74:P75">
    <cfRule type="containsText" dxfId="2" priority="27263" operator="containsText" text="Yes">
      <formula>NOT(ISERROR(SEARCH(("Yes"),(P74))))</formula>
    </cfRule>
  </conditionalFormatting>
  <conditionalFormatting sqref="P74:P75">
    <cfRule type="containsText" dxfId="2" priority="27264" operator="containsText" text="Yes">
      <formula>NOT(ISERROR(SEARCH(("Yes"),(P74))))</formula>
    </cfRule>
  </conditionalFormatting>
  <conditionalFormatting sqref="O74:O82 O85:O91 O96:O99 O104:O109 O112:O113 O115:O118 O121:O133 O136:O139 N139 O142:O143 O146:O152 O154:O155 O159 O161:O162 N162 N164:O167 N170:O170 N172:O172 N174:O174 N176:O176 N180:O182 N184:O184">
    <cfRule type="containsText" dxfId="9" priority="27265" operator="containsText" text="No">
      <formula>NOT(ISERROR(SEARCH(("No"),(O74))))</formula>
    </cfRule>
  </conditionalFormatting>
  <conditionalFormatting sqref="O74:O82 O85:O91 O96:O99 O104:O109 O112:O113 O115:O118 O121:O133 O136:O139 N139 O142:O143 O146:O152 O154:O155 O159 O161:O162 N162 N164:O167 N170:O170 N172:O172 N174:O174 N176:O176 N180:O182 N184:O184">
    <cfRule type="containsText" dxfId="9" priority="27266" operator="containsText" text="No">
      <formula>NOT(ISERROR(SEARCH(("No"),(O74))))</formula>
    </cfRule>
  </conditionalFormatting>
  <conditionalFormatting sqref="O74:O82 O85:O91 O96:O99 O104:O109 O112:O113 O115:O118 O121:O133 O136:O139 N139 O142:O143 O146:O152 O154:O155 O159 O161:O162 N162 N164:O167 N170:O170 N172:O172 N174:O174 N176:O176 N180:O182 N184:O184">
    <cfRule type="containsText" dxfId="9" priority="27267" operator="containsText" text="No">
      <formula>NOT(ISERROR(SEARCH(("No"),(O74))))</formula>
    </cfRule>
  </conditionalFormatting>
  <conditionalFormatting sqref="O74:O82 O85:O91 O96:O99 O104:O109 O112:O113 O115:O118 O121:O133 O136:O139 N139 O142:O143 O146:O152 O154:O155 O159 O161:O162 N162 N164:O167 N170:O170 N172:O172 N174:O174 N176:O176 N180:O182 N184:O184">
    <cfRule type="containsText" dxfId="2" priority="27268" operator="containsText" text="Yes">
      <formula>NOT(ISERROR(SEARCH(("Yes"),(O74))))</formula>
    </cfRule>
  </conditionalFormatting>
  <conditionalFormatting sqref="O74:O82 O85:O91 O96:O99 O104:O109 O112:O113 O115:O118 O121:O133 O136:O139 N139 O142:O143 O146:O152 O154:O155 O159 O161:O162 N162 N164:O167 N170:O170 N172:O172 N174:O174 N176:O176 N180:O182 N184:O184">
    <cfRule type="containsText" dxfId="2" priority="27269" operator="containsText" text="Yes">
      <formula>NOT(ISERROR(SEARCH(("Yes"),(O74))))</formula>
    </cfRule>
  </conditionalFormatting>
  <conditionalFormatting sqref="O74:O82 O85:O91 O96:O99 O104:O109 O112:O113 O115:O118 O121:O133 O136:O139 N139 O142:O143 O146:O152 O154:O155 O159 O161:O162 N162 N164:O167 N170:O170 N172:O172 N174:O174 N176:O176 N180:O182 N184:O184">
    <cfRule type="containsText" dxfId="2" priority="27270" operator="containsText" text="Yes">
      <formula>NOT(ISERROR(SEARCH(("Yes"),(O74))))</formula>
    </cfRule>
  </conditionalFormatting>
  <conditionalFormatting sqref="O74:O82 O85:O91 O96:O99 O104:O109 O112:O113 O115:O118 O121:O133 O136:O139 N139 O142:O143 O146:O152 O154:O155 O159 O161:O162 N162 N164:O167 N170:O170 N172:O172 N174:O174 N176:O176 N180:O182 N184:O184">
    <cfRule type="containsText" dxfId="2" priority="27271" operator="containsText" text="Yes">
      <formula>NOT(ISERROR(SEARCH(("Yes"),(O74))))</formula>
    </cfRule>
  </conditionalFormatting>
  <conditionalFormatting sqref="O74:O82 O85:O91 O96:O99 O104:O109 O112:O113 O115:O118 O121:O133 O136:O139 N139 O142:O143 O146:O152 O154:O155 O159 O161:O162 N162 N164:O167 N170:O170 N172:O172 N174:O174 N176:O176 N180:O182 N184:O184">
    <cfRule type="containsText" dxfId="2" priority="27272" operator="containsText" text="Yes">
      <formula>NOT(ISERROR(SEARCH(("Yes"),(O74))))</formula>
    </cfRule>
  </conditionalFormatting>
  <conditionalFormatting sqref="O74:O82 O85:O91 O96:O99 O104:O109 O112:O113 O115:O118 O121:O133 O136:O139 N139 O142:O143 O146:O152 O154:O155 O159 O161:O162 N162 N164:O167 N170:O170 N172:O172 N174:O174 N176:O176 N180:O182 N184:O184">
    <cfRule type="containsText" dxfId="9" priority="27273" operator="containsText" text="No">
      <formula>NOT(ISERROR(SEARCH(("No"),(O74))))</formula>
    </cfRule>
  </conditionalFormatting>
  <conditionalFormatting sqref="O74:O82 O85:O91 O96:O99 O104:O109 O112:O113 O115:O118 O121:O133 O136:O139 N139 O142:O143 O146:O152 O154:O155 O159 O161:O162 N162 N164:O167 N170:O170 N172:O172 N174:O174 N176:O176 N180:O182 N184:O184">
    <cfRule type="containsText" dxfId="9" priority="27274" operator="containsText" text="No">
      <formula>NOT(ISERROR(SEARCH(("No"),(O74))))</formula>
    </cfRule>
  </conditionalFormatting>
  <conditionalFormatting sqref="O74:O82 O85:O91 O96:O99 O104:O109 O112:O113 O115:O118 O121:O133 O136:O139 N139 O142:O143 O146:O152 O154:O155 O159 O161:O162 N162 N164:O167 N170:O170 N172:O172 N174:O174 N176:O176 N180:O182 N184:O184">
    <cfRule type="containsText" dxfId="2" priority="27275" operator="containsText" text="Yes">
      <formula>NOT(ISERROR(SEARCH(("Yes"),(O74))))</formula>
    </cfRule>
  </conditionalFormatting>
  <conditionalFormatting sqref="Q74:Q75">
    <cfRule type="containsText" dxfId="9" priority="27276" operator="containsText" text="No">
      <formula>NOT(ISERROR(SEARCH(("No"),(Q74))))</formula>
    </cfRule>
  </conditionalFormatting>
  <conditionalFormatting sqref="Q74:Q75">
    <cfRule type="containsText" dxfId="9" priority="27277" operator="containsText" text="No">
      <formula>NOT(ISERROR(SEARCH(("No"),(Q74))))</formula>
    </cfRule>
  </conditionalFormatting>
  <conditionalFormatting sqref="Q74:Q75">
    <cfRule type="containsText" dxfId="9" priority="27278" operator="containsText" text="No">
      <formula>NOT(ISERROR(SEARCH(("No"),(Q74))))</formula>
    </cfRule>
  </conditionalFormatting>
  <conditionalFormatting sqref="Q74:Q75">
    <cfRule type="containsText" dxfId="9" priority="27279" operator="containsText" text="No">
      <formula>NOT(ISERROR(SEARCH(("No"),(Q74))))</formula>
    </cfRule>
  </conditionalFormatting>
  <conditionalFormatting sqref="Q74:Q75">
    <cfRule type="containsText" dxfId="9" priority="27280" operator="containsText" text="No">
      <formula>NOT(ISERROR(SEARCH(("No"),(Q74))))</formula>
    </cfRule>
  </conditionalFormatting>
  <conditionalFormatting sqref="Q74:Q75">
    <cfRule type="containsText" dxfId="9" priority="27281" operator="containsText" text="No">
      <formula>NOT(ISERROR(SEARCH(("No"),(Q74))))</formula>
    </cfRule>
  </conditionalFormatting>
  <conditionalFormatting sqref="Q74:Q75">
    <cfRule type="containsText" dxfId="9" priority="27282" operator="containsText" text="No">
      <formula>NOT(ISERROR(SEARCH(("No"),(Q74))))</formula>
    </cfRule>
  </conditionalFormatting>
  <conditionalFormatting sqref="Q74:Q75">
    <cfRule type="containsText" dxfId="9" priority="27283" operator="containsText" text="No">
      <formula>NOT(ISERROR(SEARCH(("No"),(Q74))))</formula>
    </cfRule>
  </conditionalFormatting>
  <conditionalFormatting sqref="Q74:Q75">
    <cfRule type="containsText" dxfId="9" priority="27284" operator="containsText" text="No">
      <formula>NOT(ISERROR(SEARCH(("No"),(Q74))))</formula>
    </cfRule>
  </conditionalFormatting>
  <conditionalFormatting sqref="Q74:Q75">
    <cfRule type="containsText" dxfId="9" priority="27285" operator="containsText" text="No">
      <formula>NOT(ISERROR(SEARCH(("No"),(Q74))))</formula>
    </cfRule>
  </conditionalFormatting>
  <conditionalFormatting sqref="Q74:Q75">
    <cfRule type="containsText" dxfId="9" priority="27286" operator="containsText" text="No">
      <formula>NOT(ISERROR(SEARCH(("No"),(Q74))))</formula>
    </cfRule>
  </conditionalFormatting>
  <conditionalFormatting sqref="Q74:Q75">
    <cfRule type="containsText" dxfId="9" priority="27287" operator="containsText" text="No">
      <formula>NOT(ISERROR(SEARCH(("No"),(Q74))))</formula>
    </cfRule>
  </conditionalFormatting>
  <conditionalFormatting sqref="Q74:Q75">
    <cfRule type="containsText" dxfId="9" priority="27288" operator="containsText" text="No">
      <formula>NOT(ISERROR(SEARCH(("No"),(Q74))))</formula>
    </cfRule>
  </conditionalFormatting>
  <conditionalFormatting sqref="Q74:Q75">
    <cfRule type="containsText" dxfId="9" priority="27289" operator="containsText" text="No">
      <formula>NOT(ISERROR(SEARCH(("No"),(Q74))))</formula>
    </cfRule>
  </conditionalFormatting>
  <conditionalFormatting sqref="Q74:Q75">
    <cfRule type="containsText" dxfId="9" priority="27290" operator="containsText" text="No">
      <formula>NOT(ISERROR(SEARCH(("No"),(Q74))))</formula>
    </cfRule>
  </conditionalFormatting>
  <conditionalFormatting sqref="Q74:Q75">
    <cfRule type="containsText" dxfId="9" priority="27291" operator="containsText" text="No">
      <formula>NOT(ISERROR(SEARCH(("No"),(Q74))))</formula>
    </cfRule>
  </conditionalFormatting>
  <conditionalFormatting sqref="Q74:Q75">
    <cfRule type="containsText" dxfId="9" priority="27292" operator="containsText" text="No">
      <formula>NOT(ISERROR(SEARCH(("No"),(Q74))))</formula>
    </cfRule>
  </conditionalFormatting>
  <conditionalFormatting sqref="Q74:Q75">
    <cfRule type="containsText" dxfId="9" priority="27293" operator="containsText" text="No">
      <formula>NOT(ISERROR(SEARCH(("No"),(Q74))))</formula>
    </cfRule>
  </conditionalFormatting>
  <conditionalFormatting sqref="Q74:Q75">
    <cfRule type="containsText" dxfId="9" priority="27294" operator="containsText" text="No">
      <formula>NOT(ISERROR(SEARCH(("No"),(Q74))))</formula>
    </cfRule>
  </conditionalFormatting>
  <conditionalFormatting sqref="Q74:Q75">
    <cfRule type="containsText" dxfId="9" priority="27295" operator="containsText" text="No">
      <formula>NOT(ISERROR(SEARCH(("No"),(Q74))))</formula>
    </cfRule>
  </conditionalFormatting>
  <conditionalFormatting sqref="Q74:Q75">
    <cfRule type="containsText" dxfId="9" priority="27296" operator="containsText" text="No">
      <formula>NOT(ISERROR(SEARCH(("No"),(Q74))))</formula>
    </cfRule>
  </conditionalFormatting>
  <conditionalFormatting sqref="Q74:Q75">
    <cfRule type="containsText" dxfId="9" priority="27297" operator="containsText" text="No">
      <formula>NOT(ISERROR(SEARCH(("No"),(Q74))))</formula>
    </cfRule>
  </conditionalFormatting>
  <conditionalFormatting sqref="Q74:Q75">
    <cfRule type="containsText" dxfId="9" priority="27298" operator="containsText" text="No">
      <formula>NOT(ISERROR(SEARCH(("No"),(Q74))))</formula>
    </cfRule>
  </conditionalFormatting>
  <conditionalFormatting sqref="Q74:Q75">
    <cfRule type="containsText" dxfId="9" priority="27299" operator="containsText" text="No">
      <formula>NOT(ISERROR(SEARCH(("No"),(Q74))))</formula>
    </cfRule>
  </conditionalFormatting>
  <conditionalFormatting sqref="Q74:Q75">
    <cfRule type="containsText" dxfId="9" priority="27300" operator="containsText" text="No">
      <formula>NOT(ISERROR(SEARCH(("No"),(Q74))))</formula>
    </cfRule>
  </conditionalFormatting>
  <conditionalFormatting sqref="Q74:Q75">
    <cfRule type="containsText" dxfId="9" priority="27301" operator="containsText" text="No">
      <formula>NOT(ISERROR(SEARCH(("No"),(Q74))))</formula>
    </cfRule>
  </conditionalFormatting>
  <conditionalFormatting sqref="Q74:Q75">
    <cfRule type="containsText" dxfId="9" priority="27302" operator="containsText" text="No">
      <formula>NOT(ISERROR(SEARCH(("No"),(Q74))))</formula>
    </cfRule>
  </conditionalFormatting>
  <conditionalFormatting sqref="Q74:Q75">
    <cfRule type="containsText" dxfId="9" priority="27303" operator="containsText" text="No">
      <formula>NOT(ISERROR(SEARCH(("No"),(Q74))))</formula>
    </cfRule>
  </conditionalFormatting>
  <conditionalFormatting sqref="Q74:Q75">
    <cfRule type="containsText" dxfId="9" priority="27304" operator="containsText" text="No">
      <formula>NOT(ISERROR(SEARCH(("No"),(Q74))))</formula>
    </cfRule>
  </conditionalFormatting>
  <conditionalFormatting sqref="Q74:Q75">
    <cfRule type="containsText" dxfId="9" priority="27305" operator="containsText" text="No">
      <formula>NOT(ISERROR(SEARCH(("No"),(Q74))))</formula>
    </cfRule>
  </conditionalFormatting>
  <conditionalFormatting sqref="Q74:Q75">
    <cfRule type="containsText" dxfId="9" priority="27306" operator="containsText" text="No">
      <formula>NOT(ISERROR(SEARCH(("No"),(Q74))))</formula>
    </cfRule>
  </conditionalFormatting>
  <conditionalFormatting sqref="Q74:Q75">
    <cfRule type="containsText" dxfId="9" priority="27307" operator="containsText" text="No">
      <formula>NOT(ISERROR(SEARCH(("No"),(Q74))))</formula>
    </cfRule>
  </conditionalFormatting>
  <conditionalFormatting sqref="Q74:Q75">
    <cfRule type="containsText" dxfId="9" priority="27308" operator="containsText" text="No">
      <formula>NOT(ISERROR(SEARCH(("No"),(Q74))))</formula>
    </cfRule>
  </conditionalFormatting>
  <conditionalFormatting sqref="Q74:Q75">
    <cfRule type="containsText" dxfId="9" priority="27309" operator="containsText" text="No">
      <formula>NOT(ISERROR(SEARCH(("No"),(Q74))))</formula>
    </cfRule>
  </conditionalFormatting>
  <conditionalFormatting sqref="Q74:Q75">
    <cfRule type="containsText" dxfId="9" priority="27310" operator="containsText" text="No">
      <formula>NOT(ISERROR(SEARCH(("No"),(Q74))))</formula>
    </cfRule>
  </conditionalFormatting>
  <conditionalFormatting sqref="Q74:Q75">
    <cfRule type="containsText" dxfId="9" priority="27311" operator="containsText" text="No">
      <formula>NOT(ISERROR(SEARCH(("No"),(Q74))))</formula>
    </cfRule>
  </conditionalFormatting>
  <conditionalFormatting sqref="Q74:Q75">
    <cfRule type="containsText" dxfId="9" priority="27312" operator="containsText" text="No">
      <formula>NOT(ISERROR(SEARCH(("No"),(Q74))))</formula>
    </cfRule>
  </conditionalFormatting>
  <conditionalFormatting sqref="Q74:Q75">
    <cfRule type="containsText" dxfId="9" priority="27313" operator="containsText" text="No">
      <formula>NOT(ISERROR(SEARCH(("No"),(Q74))))</formula>
    </cfRule>
  </conditionalFormatting>
  <conditionalFormatting sqref="Q74:Q75">
    <cfRule type="containsText" dxfId="9" priority="27314" operator="containsText" text="No">
      <formula>NOT(ISERROR(SEARCH(("No"),(Q74))))</formula>
    </cfRule>
  </conditionalFormatting>
  <conditionalFormatting sqref="Q74:Q75">
    <cfRule type="containsText" dxfId="9" priority="27315" operator="containsText" text="No">
      <formula>NOT(ISERROR(SEARCH(("No"),(Q74))))</formula>
    </cfRule>
  </conditionalFormatting>
  <conditionalFormatting sqref="Q74:Q75">
    <cfRule type="containsText" dxfId="9" priority="27316" operator="containsText" text="No">
      <formula>NOT(ISERROR(SEARCH(("No"),(Q74))))</formula>
    </cfRule>
  </conditionalFormatting>
  <conditionalFormatting sqref="Q74:Q75">
    <cfRule type="containsText" dxfId="9" priority="27317" operator="containsText" text="No">
      <formula>NOT(ISERROR(SEARCH(("No"),(Q74))))</formula>
    </cfRule>
  </conditionalFormatting>
  <conditionalFormatting sqref="Q74:Q75">
    <cfRule type="containsText" dxfId="9" priority="27318" operator="containsText" text="No">
      <formula>NOT(ISERROR(SEARCH(("No"),(Q74))))</formula>
    </cfRule>
  </conditionalFormatting>
  <conditionalFormatting sqref="Q74:Q75">
    <cfRule type="containsText" dxfId="9" priority="27319" operator="containsText" text="No">
      <formula>NOT(ISERROR(SEARCH(("No"),(Q74))))</formula>
    </cfRule>
  </conditionalFormatting>
  <conditionalFormatting sqref="Q74:Q75">
    <cfRule type="containsText" dxfId="9" priority="27320" operator="containsText" text="No">
      <formula>NOT(ISERROR(SEARCH(("No"),(Q74))))</formula>
    </cfRule>
  </conditionalFormatting>
  <conditionalFormatting sqref="Q74:Q75">
    <cfRule type="containsText" dxfId="2" priority="27321" operator="containsText" text="Yes">
      <formula>NOT(ISERROR(SEARCH(("Yes"),(Q74))))</formula>
    </cfRule>
  </conditionalFormatting>
  <conditionalFormatting sqref="Q74:Q75">
    <cfRule type="containsText" dxfId="2" priority="27322" operator="containsText" text="Yes">
      <formula>NOT(ISERROR(SEARCH(("Yes"),(Q74))))</formula>
    </cfRule>
  </conditionalFormatting>
  <conditionalFormatting sqref="Q74:Q75">
    <cfRule type="containsText" dxfId="2" priority="27323" operator="containsText" text="Yes">
      <formula>NOT(ISERROR(SEARCH(("Yes"),(Q74))))</formula>
    </cfRule>
  </conditionalFormatting>
  <conditionalFormatting sqref="Q74:Q75">
    <cfRule type="containsText" dxfId="2" priority="27324" operator="containsText" text="Yes">
      <formula>NOT(ISERROR(SEARCH(("Yes"),(Q74))))</formula>
    </cfRule>
  </conditionalFormatting>
  <conditionalFormatting sqref="Q74:Q75">
    <cfRule type="containsText" dxfId="2" priority="27325" operator="containsText" text="Yes">
      <formula>NOT(ISERROR(SEARCH(("Yes"),(Q74))))</formula>
    </cfRule>
  </conditionalFormatting>
  <conditionalFormatting sqref="Q74:Q75">
    <cfRule type="containsText" dxfId="2" priority="27326" operator="containsText" text="Yes">
      <formula>NOT(ISERROR(SEARCH(("Yes"),(Q74))))</formula>
    </cfRule>
  </conditionalFormatting>
  <conditionalFormatting sqref="Q74:Q75">
    <cfRule type="containsText" dxfId="2" priority="27327" operator="containsText" text="Yes">
      <formula>NOT(ISERROR(SEARCH(("Yes"),(Q74))))</formula>
    </cfRule>
  </conditionalFormatting>
  <conditionalFormatting sqref="Q74:Q75">
    <cfRule type="containsText" dxfId="2" priority="27328" operator="containsText" text="Yes">
      <formula>NOT(ISERROR(SEARCH(("Yes"),(Q74))))</formula>
    </cfRule>
  </conditionalFormatting>
  <conditionalFormatting sqref="Q74:Q75">
    <cfRule type="containsText" dxfId="2" priority="27329" operator="containsText" text="Yes">
      <formula>NOT(ISERROR(SEARCH(("Yes"),(Q74))))</formula>
    </cfRule>
  </conditionalFormatting>
  <conditionalFormatting sqref="Q74:Q75">
    <cfRule type="containsText" dxfId="2" priority="27330" operator="containsText" text="Yes">
      <formula>NOT(ISERROR(SEARCH(("Yes"),(Q74))))</formula>
    </cfRule>
  </conditionalFormatting>
  <conditionalFormatting sqref="Q74:Q75">
    <cfRule type="containsText" dxfId="2" priority="27331" operator="containsText" text="Yes">
      <formula>NOT(ISERROR(SEARCH(("Yes"),(Q74))))</formula>
    </cfRule>
  </conditionalFormatting>
  <conditionalFormatting sqref="Q74:Q75">
    <cfRule type="containsText" dxfId="2" priority="27332" operator="containsText" text="Yes">
      <formula>NOT(ISERROR(SEARCH(("Yes"),(Q74))))</formula>
    </cfRule>
  </conditionalFormatting>
  <conditionalFormatting sqref="Q74:Q75">
    <cfRule type="containsText" dxfId="2" priority="27333" operator="containsText" text="Yes">
      <formula>NOT(ISERROR(SEARCH(("Yes"),(Q74))))</formula>
    </cfRule>
  </conditionalFormatting>
  <conditionalFormatting sqref="Q74:Q75">
    <cfRule type="containsText" dxfId="2" priority="27334" operator="containsText" text="Yes">
      <formula>NOT(ISERROR(SEARCH(("Yes"),(Q74))))</formula>
    </cfRule>
  </conditionalFormatting>
  <conditionalFormatting sqref="Q74:Q75">
    <cfRule type="containsText" dxfId="2" priority="27335" operator="containsText" text="Yes">
      <formula>NOT(ISERROR(SEARCH(("Yes"),(Q74))))</formula>
    </cfRule>
  </conditionalFormatting>
  <conditionalFormatting sqref="Q74:Q75">
    <cfRule type="containsText" dxfId="2" priority="27336" operator="containsText" text="Yes">
      <formula>NOT(ISERROR(SEARCH(("Yes"),(Q74))))</formula>
    </cfRule>
  </conditionalFormatting>
  <conditionalFormatting sqref="Q74:Q75">
    <cfRule type="containsText" dxfId="2" priority="27337" operator="containsText" text="Yes">
      <formula>NOT(ISERROR(SEARCH(("Yes"),(Q74))))</formula>
    </cfRule>
  </conditionalFormatting>
  <conditionalFormatting sqref="Q74:Q75">
    <cfRule type="containsText" dxfId="2" priority="27338" operator="containsText" text="Yes">
      <formula>NOT(ISERROR(SEARCH(("Yes"),(Q74))))</formula>
    </cfRule>
  </conditionalFormatting>
  <conditionalFormatting sqref="Q74:Q75">
    <cfRule type="containsText" dxfId="2" priority="27339" operator="containsText" text="Yes">
      <formula>NOT(ISERROR(SEARCH(("Yes"),(Q74))))</formula>
    </cfRule>
  </conditionalFormatting>
  <conditionalFormatting sqref="Q74:Q75">
    <cfRule type="containsText" dxfId="2" priority="27340" operator="containsText" text="Yes">
      <formula>NOT(ISERROR(SEARCH(("Yes"),(Q74))))</formula>
    </cfRule>
  </conditionalFormatting>
  <conditionalFormatting sqref="Q74:Q75">
    <cfRule type="containsText" dxfId="2" priority="27341" operator="containsText" text="Yes">
      <formula>NOT(ISERROR(SEARCH(("Yes"),(Q74))))</formula>
    </cfRule>
  </conditionalFormatting>
  <conditionalFormatting sqref="Q74:Q75">
    <cfRule type="containsText" dxfId="2" priority="27342" operator="containsText" text="Yes">
      <formula>NOT(ISERROR(SEARCH(("Yes"),(Q74))))</formula>
    </cfRule>
  </conditionalFormatting>
  <conditionalFormatting sqref="Q74:Q75">
    <cfRule type="containsText" dxfId="2" priority="27343" operator="containsText" text="Yes">
      <formula>NOT(ISERROR(SEARCH(("Yes"),(Q74))))</formula>
    </cfRule>
  </conditionalFormatting>
  <conditionalFormatting sqref="Q74:Q75">
    <cfRule type="containsText" dxfId="2" priority="27344" operator="containsText" text="Yes">
      <formula>NOT(ISERROR(SEARCH(("Yes"),(Q74))))</formula>
    </cfRule>
  </conditionalFormatting>
  <conditionalFormatting sqref="Q74:Q75">
    <cfRule type="containsText" dxfId="2" priority="27345" operator="containsText" text="Yes">
      <formula>NOT(ISERROR(SEARCH(("Yes"),(Q74))))</formula>
    </cfRule>
  </conditionalFormatting>
  <conditionalFormatting sqref="Q74:Q75">
    <cfRule type="containsText" dxfId="2" priority="27346" operator="containsText" text="Yes">
      <formula>NOT(ISERROR(SEARCH(("Yes"),(Q74))))</formula>
    </cfRule>
  </conditionalFormatting>
  <conditionalFormatting sqref="Q74:Q75">
    <cfRule type="containsText" dxfId="2" priority="27347" operator="containsText" text="Yes">
      <formula>NOT(ISERROR(SEARCH(("Yes"),(Q74))))</formula>
    </cfRule>
  </conditionalFormatting>
  <conditionalFormatting sqref="Q74:Q75">
    <cfRule type="containsText" dxfId="2" priority="27348" operator="containsText" text="Yes">
      <formula>NOT(ISERROR(SEARCH(("Yes"),(Q74))))</formula>
    </cfRule>
  </conditionalFormatting>
  <conditionalFormatting sqref="Q74:Q75">
    <cfRule type="containsText" dxfId="2" priority="27349" operator="containsText" text="Yes">
      <formula>NOT(ISERROR(SEARCH(("Yes"),(Q74))))</formula>
    </cfRule>
  </conditionalFormatting>
  <conditionalFormatting sqref="Q74:Q75">
    <cfRule type="containsText" dxfId="2" priority="27350" operator="containsText" text="Yes">
      <formula>NOT(ISERROR(SEARCH(("Yes"),(Q74))))</formula>
    </cfRule>
  </conditionalFormatting>
  <conditionalFormatting sqref="Q74:Q75">
    <cfRule type="containsText" dxfId="2" priority="27351" operator="containsText" text="Yes">
      <formula>NOT(ISERROR(SEARCH(("Yes"),(Q74))))</formula>
    </cfRule>
  </conditionalFormatting>
  <conditionalFormatting sqref="Q74:Q75">
    <cfRule type="containsText" dxfId="2" priority="27352" operator="containsText" text="Yes">
      <formula>NOT(ISERROR(SEARCH(("Yes"),(Q74))))</formula>
    </cfRule>
  </conditionalFormatting>
  <conditionalFormatting sqref="Q74:Q75">
    <cfRule type="containsText" dxfId="2" priority="27353" operator="containsText" text="Yes">
      <formula>NOT(ISERROR(SEARCH(("Yes"),(Q74))))</formula>
    </cfRule>
  </conditionalFormatting>
  <conditionalFormatting sqref="Q74:Q75">
    <cfRule type="containsText" dxfId="2" priority="27354" operator="containsText" text="Yes">
      <formula>NOT(ISERROR(SEARCH(("Yes"),(Q74))))</formula>
    </cfRule>
  </conditionalFormatting>
  <conditionalFormatting sqref="Q74:Q75">
    <cfRule type="containsText" dxfId="2" priority="27355" operator="containsText" text="Yes">
      <formula>NOT(ISERROR(SEARCH(("Yes"),(Q74))))</formula>
    </cfRule>
  </conditionalFormatting>
  <conditionalFormatting sqref="Q74:Q75">
    <cfRule type="containsText" dxfId="2" priority="27356" operator="containsText" text="Yes">
      <formula>NOT(ISERROR(SEARCH(("Yes"),(Q74))))</formula>
    </cfRule>
  </conditionalFormatting>
  <conditionalFormatting sqref="Q74:Q75">
    <cfRule type="containsText" dxfId="2" priority="27357" operator="containsText" text="Yes">
      <formula>NOT(ISERROR(SEARCH(("Yes"),(Q74))))</formula>
    </cfRule>
  </conditionalFormatting>
  <conditionalFormatting sqref="Q74:Q75">
    <cfRule type="containsText" dxfId="2" priority="27358" operator="containsText" text="Yes">
      <formula>NOT(ISERROR(SEARCH(("Yes"),(Q74))))</formula>
    </cfRule>
  </conditionalFormatting>
  <conditionalFormatting sqref="Q74:Q75">
    <cfRule type="containsText" dxfId="2" priority="27359" operator="containsText" text="Yes">
      <formula>NOT(ISERROR(SEARCH(("Yes"),(Q74))))</formula>
    </cfRule>
  </conditionalFormatting>
  <conditionalFormatting sqref="Q74:Q75">
    <cfRule type="containsText" dxfId="2" priority="27360" operator="containsText" text="Yes">
      <formula>NOT(ISERROR(SEARCH(("Yes"),(Q74))))</formula>
    </cfRule>
  </conditionalFormatting>
  <conditionalFormatting sqref="Q74:Q75">
    <cfRule type="containsText" dxfId="2" priority="27361" operator="containsText" text="Yes">
      <formula>NOT(ISERROR(SEARCH(("Yes"),(Q74))))</formula>
    </cfRule>
  </conditionalFormatting>
  <conditionalFormatting sqref="Q74:Q75">
    <cfRule type="containsText" dxfId="2" priority="27362" operator="containsText" text="Yes">
      <formula>NOT(ISERROR(SEARCH(("Yes"),(Q74))))</formula>
    </cfRule>
  </conditionalFormatting>
  <conditionalFormatting sqref="Q74:Q75">
    <cfRule type="containsText" dxfId="2" priority="27363" operator="containsText" text="Yes">
      <formula>NOT(ISERROR(SEARCH(("Yes"),(Q74))))</formula>
    </cfRule>
  </conditionalFormatting>
  <conditionalFormatting sqref="Q74:Q75">
    <cfRule type="containsText" dxfId="2" priority="27364" operator="containsText" text="Yes">
      <formula>NOT(ISERROR(SEARCH(("Yes"),(Q74))))</formula>
    </cfRule>
  </conditionalFormatting>
  <conditionalFormatting sqref="Q74:Q75">
    <cfRule type="containsText" dxfId="2" priority="27365" operator="containsText" text="Yes">
      <formula>NOT(ISERROR(SEARCH(("Yes"),(Q74))))</formula>
    </cfRule>
  </conditionalFormatting>
  <conditionalFormatting sqref="Q74:Q75">
    <cfRule type="containsText" dxfId="2" priority="27366" operator="containsText" text="Yes">
      <formula>NOT(ISERROR(SEARCH(("Yes"),(Q74))))</formula>
    </cfRule>
  </conditionalFormatting>
  <conditionalFormatting sqref="Q74:Q75">
    <cfRule type="containsText" dxfId="2" priority="27367" operator="containsText" text="Yes">
      <formula>NOT(ISERROR(SEARCH(("Yes"),(Q74))))</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68"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69"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70"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71"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72"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73"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74"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75"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76"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77"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78"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79"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80"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81"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82"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83"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84"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85"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86"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87"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88"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89"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90"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91"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92"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93"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94"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95"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96"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97"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98"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399"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400"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401"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402"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403"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404"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405"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406"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407"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408"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409"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410"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411"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9" priority="27412" operator="containsText" text="No">
      <formula>NOT(ISERROR(SEARCH(("No"),(P75))))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13"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14"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15"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16"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17"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18"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19"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20"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21"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22"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23"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24"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25"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26"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27"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28"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29"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30"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31"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32"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33"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34"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35"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36"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37"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38"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39"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40"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41"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42"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43"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44"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45"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46"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47"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48"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49"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50"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51"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52"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53"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54"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55"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56"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57"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58" operator="containsText" text="Yes">
      <formula>NOT(ISERROR(SEARCH(("Yes"),(P75))))</formula>
    </cfRule>
  </conditionalFormatting>
  <conditionalFormatting sqref="P75:Q82 P85:Q91 P96:Q99 P104:Q109 P112:Q113 P115:Q118 P121:Q126 P128:Q133 P136:Q139 P142:Q143 P146:Q152 P154:Q154 P159:Q159 P161:Q162 P164:Q164 P166:Q167 P172:Q172 P174:Q174 P176:Q176 P180:Q182 P184:Q184">
    <cfRule type="containsText" dxfId="2" priority="27459" operator="containsText" text="Yes">
      <formula>NOT(ISERROR(SEARCH(("Yes"),(P75))))</formula>
    </cfRule>
  </conditionalFormatting>
  <conditionalFormatting sqref="N78:Q82 N85:Q86 N89:Q91 N96:Q99">
    <cfRule type="containsText" dxfId="9" priority="27460" operator="containsText" text="No">
      <formula>NOT(ISERROR(SEARCH(("No"),(N78))))</formula>
    </cfRule>
  </conditionalFormatting>
  <conditionalFormatting sqref="N78:Q82 N85:Q86 N89:Q91 N96:Q99">
    <cfRule type="containsText" dxfId="9" priority="27461" operator="containsText" text="No">
      <formula>NOT(ISERROR(SEARCH(("No"),(N78))))</formula>
    </cfRule>
  </conditionalFormatting>
  <conditionalFormatting sqref="N78:Q82 N85:Q86 N89:Q91 N96:Q99">
    <cfRule type="containsText" dxfId="9" priority="27462" operator="containsText" text="No">
      <formula>NOT(ISERROR(SEARCH(("No"),(N78))))</formula>
    </cfRule>
  </conditionalFormatting>
  <conditionalFormatting sqref="N78:Q82 N85:Q86 N89:Q91 N96:Q99">
    <cfRule type="containsText" dxfId="9" priority="27463" operator="containsText" text="No">
      <formula>NOT(ISERROR(SEARCH(("No"),(N78))))</formula>
    </cfRule>
  </conditionalFormatting>
  <conditionalFormatting sqref="N78:Q82 N85:Q86 N89:Q91 N96:Q99">
    <cfRule type="containsText" dxfId="9" priority="27464" operator="containsText" text="No">
      <formula>NOT(ISERROR(SEARCH(("No"),(N78))))</formula>
    </cfRule>
  </conditionalFormatting>
  <conditionalFormatting sqref="N78:Q82 N85:Q86 N89:Q91 N96:Q99">
    <cfRule type="containsText" dxfId="9" priority="27465" operator="containsText" text="No">
      <formula>NOT(ISERROR(SEARCH(("No"),(N78))))</formula>
    </cfRule>
  </conditionalFormatting>
  <conditionalFormatting sqref="N78:Q82 N85:Q86 N89:Q91 N96:Q99">
    <cfRule type="containsText" dxfId="9" priority="27466" operator="containsText" text="No">
      <formula>NOT(ISERROR(SEARCH(("No"),(N78))))</formula>
    </cfRule>
  </conditionalFormatting>
  <conditionalFormatting sqref="N78:Q82 N85:Q86 N89:Q91 N96:Q99">
    <cfRule type="containsText" dxfId="9" priority="27467" operator="containsText" text="No">
      <formula>NOT(ISERROR(SEARCH(("No"),(N78))))</formula>
    </cfRule>
  </conditionalFormatting>
  <conditionalFormatting sqref="N78:Q82 N85:Q86 N89:Q91 N96:Q99">
    <cfRule type="containsText" dxfId="9" priority="27468" operator="containsText" text="No">
      <formula>NOT(ISERROR(SEARCH(("No"),(N78))))</formula>
    </cfRule>
  </conditionalFormatting>
  <conditionalFormatting sqref="N78:Q82 N85:Q86 N89:Q91 N96:Q99">
    <cfRule type="containsText" dxfId="9" priority="27469" operator="containsText" text="No">
      <formula>NOT(ISERROR(SEARCH(("No"),(N78))))</formula>
    </cfRule>
  </conditionalFormatting>
  <conditionalFormatting sqref="N78:Q82 N85:Q86 N89:Q91 N96:Q99">
    <cfRule type="containsText" dxfId="9" priority="27470" operator="containsText" text="No">
      <formula>NOT(ISERROR(SEARCH(("No"),(N78))))</formula>
    </cfRule>
  </conditionalFormatting>
  <conditionalFormatting sqref="N78:Q82 N85:Q86 N89:Q91 N96:Q99">
    <cfRule type="containsText" dxfId="9" priority="27471" operator="containsText" text="No">
      <formula>NOT(ISERROR(SEARCH(("No"),(N78))))</formula>
    </cfRule>
  </conditionalFormatting>
  <conditionalFormatting sqref="N78:Q82 N85:Q86 N89:Q91 N96:Q99">
    <cfRule type="containsText" dxfId="9" priority="27472" operator="containsText" text="No">
      <formula>NOT(ISERROR(SEARCH(("No"),(N78))))</formula>
    </cfRule>
  </conditionalFormatting>
  <conditionalFormatting sqref="N78:Q82 N85:Q86 N89:Q91 N96:Q99">
    <cfRule type="containsText" dxfId="9" priority="27473" operator="containsText" text="No">
      <formula>NOT(ISERROR(SEARCH(("No"),(N78))))</formula>
    </cfRule>
  </conditionalFormatting>
  <conditionalFormatting sqref="N78:Q82 N85:Q86 N89:Q91 N96:Q99">
    <cfRule type="containsText" dxfId="9" priority="27474" operator="containsText" text="No">
      <formula>NOT(ISERROR(SEARCH(("No"),(N78))))</formula>
    </cfRule>
  </conditionalFormatting>
  <conditionalFormatting sqref="N78:Q82 N85:Q86 N89:Q91 N96:Q99">
    <cfRule type="containsText" dxfId="9" priority="27475" operator="containsText" text="No">
      <formula>NOT(ISERROR(SEARCH(("No"),(N78))))</formula>
    </cfRule>
  </conditionalFormatting>
  <conditionalFormatting sqref="N78:Q82 N85:Q86 N89:Q91 N96:Q99">
    <cfRule type="containsText" dxfId="9" priority="27476" operator="containsText" text="No">
      <formula>NOT(ISERROR(SEARCH(("No"),(N78))))</formula>
    </cfRule>
  </conditionalFormatting>
  <conditionalFormatting sqref="N78:Q82 N85:Q86 N89:Q91 N96:Q99">
    <cfRule type="containsText" dxfId="9" priority="27477" operator="containsText" text="No">
      <formula>NOT(ISERROR(SEARCH(("No"),(N78))))</formula>
    </cfRule>
  </conditionalFormatting>
  <conditionalFormatting sqref="N78:Q82 N85:Q86 N89:Q91 N96:Q99">
    <cfRule type="containsText" dxfId="9" priority="27478" operator="containsText" text="No">
      <formula>NOT(ISERROR(SEARCH(("No"),(N78))))</formula>
    </cfRule>
  </conditionalFormatting>
  <conditionalFormatting sqref="N78:Q82 N85:Q86 N89:Q91 N96:Q99">
    <cfRule type="containsText" dxfId="9" priority="27479" operator="containsText" text="No">
      <formula>NOT(ISERROR(SEARCH(("No"),(N78))))</formula>
    </cfRule>
  </conditionalFormatting>
  <conditionalFormatting sqref="N78:Q82 N85:Q86 N89:Q91 N96:Q99">
    <cfRule type="containsText" dxfId="9" priority="27480" operator="containsText" text="No">
      <formula>NOT(ISERROR(SEARCH(("No"),(N78))))</formula>
    </cfRule>
  </conditionalFormatting>
  <conditionalFormatting sqref="N78:Q82 N85:Q86 N89:Q91 N96:Q99">
    <cfRule type="containsText" dxfId="9" priority="27481" operator="containsText" text="No">
      <formula>NOT(ISERROR(SEARCH(("No"),(N78))))</formula>
    </cfRule>
  </conditionalFormatting>
  <conditionalFormatting sqref="N78:Q82 N85:Q86 N89:Q91 N96:Q99">
    <cfRule type="containsText" dxfId="9" priority="27482" operator="containsText" text="No">
      <formula>NOT(ISERROR(SEARCH(("No"),(N78))))</formula>
    </cfRule>
  </conditionalFormatting>
  <conditionalFormatting sqref="N78:Q82 N85:Q86 N89:Q91 N96:Q99">
    <cfRule type="containsText" dxfId="9" priority="27483" operator="containsText" text="No">
      <formula>NOT(ISERROR(SEARCH(("No"),(N78))))</formula>
    </cfRule>
  </conditionalFormatting>
  <conditionalFormatting sqref="N78:Q82 N85:Q86 N89:Q91 N96:Q99">
    <cfRule type="containsText" dxfId="9" priority="27484" operator="containsText" text="No">
      <formula>NOT(ISERROR(SEARCH(("No"),(N78))))</formula>
    </cfRule>
  </conditionalFormatting>
  <conditionalFormatting sqref="N78:Q82 N85:Q86 N89:Q91 N96:Q99">
    <cfRule type="containsText" dxfId="9" priority="27485" operator="containsText" text="No">
      <formula>NOT(ISERROR(SEARCH(("No"),(N78))))</formula>
    </cfRule>
  </conditionalFormatting>
  <conditionalFormatting sqref="N78:Q82 N85:Q86 N89:Q91 N96:Q99">
    <cfRule type="containsText" dxfId="9" priority="27486" operator="containsText" text="No">
      <formula>NOT(ISERROR(SEARCH(("No"),(N78))))</formula>
    </cfRule>
  </conditionalFormatting>
  <conditionalFormatting sqref="N78:Q82 N85:Q86 N89:Q91 N96:Q99">
    <cfRule type="containsText" dxfId="9" priority="27487" operator="containsText" text="No">
      <formula>NOT(ISERROR(SEARCH(("No"),(N78))))</formula>
    </cfRule>
  </conditionalFormatting>
  <conditionalFormatting sqref="N78:Q82 N85:Q86 N89:Q91 N96:Q99">
    <cfRule type="containsText" dxfId="9" priority="27488" operator="containsText" text="No">
      <formula>NOT(ISERROR(SEARCH(("No"),(N78))))</formula>
    </cfRule>
  </conditionalFormatting>
  <conditionalFormatting sqref="N78:Q82 N85:Q86 N89:Q91 N96:Q99">
    <cfRule type="containsText" dxfId="9" priority="27489" operator="containsText" text="No">
      <formula>NOT(ISERROR(SEARCH(("No"),(N78))))</formula>
    </cfRule>
  </conditionalFormatting>
  <conditionalFormatting sqref="N78:Q82 N85:Q86 N89:Q91 N96:Q99">
    <cfRule type="containsText" dxfId="9" priority="27490" operator="containsText" text="No">
      <formula>NOT(ISERROR(SEARCH(("No"),(N78))))</formula>
    </cfRule>
  </conditionalFormatting>
  <conditionalFormatting sqref="N78:Q82 N85:Q86 N89:Q91 N96:Q99">
    <cfRule type="containsText" dxfId="9" priority="27491" operator="containsText" text="No">
      <formula>NOT(ISERROR(SEARCH(("No"),(N78))))</formula>
    </cfRule>
  </conditionalFormatting>
  <conditionalFormatting sqref="N78:Q82 N85:Q86 N89:Q91 N96:Q99">
    <cfRule type="containsText" dxfId="9" priority="27492" operator="containsText" text="No">
      <formula>NOT(ISERROR(SEARCH(("No"),(N78))))</formula>
    </cfRule>
  </conditionalFormatting>
  <conditionalFormatting sqref="N78:Q82 N85:Q86 N89:Q91 N96:Q99">
    <cfRule type="containsText" dxfId="9" priority="27493" operator="containsText" text="No">
      <formula>NOT(ISERROR(SEARCH(("No"),(N78))))</formula>
    </cfRule>
  </conditionalFormatting>
  <conditionalFormatting sqref="N78:Q82 N85:Q86 N89:Q91 N96:Q99">
    <cfRule type="containsText" dxfId="9" priority="27494" operator="containsText" text="No">
      <formula>NOT(ISERROR(SEARCH(("No"),(N78))))</formula>
    </cfRule>
  </conditionalFormatting>
  <conditionalFormatting sqref="N78:Q82 N85:Q86 N89:Q91 N96:Q99">
    <cfRule type="containsText" dxfId="9" priority="27495" operator="containsText" text="No">
      <formula>NOT(ISERROR(SEARCH(("No"),(N78))))</formula>
    </cfRule>
  </conditionalFormatting>
  <conditionalFormatting sqref="N78:Q82 N85:Q86 N89:Q91 N96:Q99">
    <cfRule type="containsText" dxfId="9" priority="27496" operator="containsText" text="No">
      <formula>NOT(ISERROR(SEARCH(("No"),(N78))))</formula>
    </cfRule>
  </conditionalFormatting>
  <conditionalFormatting sqref="N78:Q82 N85:Q86 N89:Q91 N96:Q99">
    <cfRule type="containsText" dxfId="9" priority="27497" operator="containsText" text="No">
      <formula>NOT(ISERROR(SEARCH(("No"),(N78))))</formula>
    </cfRule>
  </conditionalFormatting>
  <conditionalFormatting sqref="N78:Q82 N85:Q86 N89:Q91 N96:Q99">
    <cfRule type="containsText" dxfId="9" priority="27498" operator="containsText" text="No">
      <formula>NOT(ISERROR(SEARCH(("No"),(N78))))</formula>
    </cfRule>
  </conditionalFormatting>
  <conditionalFormatting sqref="N78:Q82 N85:Q86 N89:Q91 N96:Q99">
    <cfRule type="containsText" dxfId="9" priority="27499" operator="containsText" text="No">
      <formula>NOT(ISERROR(SEARCH(("No"),(N78))))</formula>
    </cfRule>
  </conditionalFormatting>
  <conditionalFormatting sqref="N78:Q82 N85:Q86 N89:Q91 N96:Q99">
    <cfRule type="containsText" dxfId="9" priority="27500" operator="containsText" text="No">
      <formula>NOT(ISERROR(SEARCH(("No"),(N78))))</formula>
    </cfRule>
  </conditionalFormatting>
  <conditionalFormatting sqref="N78:Q82 N85:Q86 N89:Q91 N96:Q99">
    <cfRule type="containsText" dxfId="9" priority="27501" operator="containsText" text="No">
      <formula>NOT(ISERROR(SEARCH(("No"),(N78))))</formula>
    </cfRule>
  </conditionalFormatting>
  <conditionalFormatting sqref="N78:Q82 N85:Q86 N89:Q91 N96:Q99">
    <cfRule type="containsText" dxfId="9" priority="27502" operator="containsText" text="No">
      <formula>NOT(ISERROR(SEARCH(("No"),(N78))))</formula>
    </cfRule>
  </conditionalFormatting>
  <conditionalFormatting sqref="N78:Q82 N85:Q86 N89:Q91 N96:Q99">
    <cfRule type="containsText" dxfId="9" priority="27503" operator="containsText" text="No">
      <formula>NOT(ISERROR(SEARCH(("No"),(N78))))</formula>
    </cfRule>
  </conditionalFormatting>
  <conditionalFormatting sqref="N78:Q82 N85:Q86 N89:Q91 N96:Q99">
    <cfRule type="containsText" dxfId="9" priority="27504" operator="containsText" text="No">
      <formula>NOT(ISERROR(SEARCH(("No"),(N78))))</formula>
    </cfRule>
  </conditionalFormatting>
  <conditionalFormatting sqref="N78:Q82 N85:Q86 N89:Q91 N96:Q99">
    <cfRule type="containsText" dxfId="2" priority="27505" operator="containsText" text="Yes">
      <formula>NOT(ISERROR(SEARCH(("Yes"),(N78))))</formula>
    </cfRule>
  </conditionalFormatting>
  <conditionalFormatting sqref="N78:Q82 N85:Q86 N89:Q91 N96:Q99">
    <cfRule type="containsText" dxfId="2" priority="27506" operator="containsText" text="Yes">
      <formula>NOT(ISERROR(SEARCH(("Yes"),(N78))))</formula>
    </cfRule>
  </conditionalFormatting>
  <conditionalFormatting sqref="N78:Q82 N85:Q86 N89:Q91 N96:Q99">
    <cfRule type="containsText" dxfId="2" priority="27507" operator="containsText" text="Yes">
      <formula>NOT(ISERROR(SEARCH(("Yes"),(N78))))</formula>
    </cfRule>
  </conditionalFormatting>
  <conditionalFormatting sqref="N78:Q82 N85:Q86 N89:Q91 N96:Q99">
    <cfRule type="containsText" dxfId="2" priority="27508" operator="containsText" text="Yes">
      <formula>NOT(ISERROR(SEARCH(("Yes"),(N78))))</formula>
    </cfRule>
  </conditionalFormatting>
  <conditionalFormatting sqref="N78:Q82 N85:Q86 N89:Q91 N96:Q99">
    <cfRule type="containsText" dxfId="2" priority="27509" operator="containsText" text="Yes">
      <formula>NOT(ISERROR(SEARCH(("Yes"),(N78))))</formula>
    </cfRule>
  </conditionalFormatting>
  <conditionalFormatting sqref="N78:Q82 N85:Q86 N89:Q91 N96:Q99">
    <cfRule type="containsText" dxfId="2" priority="27510" operator="containsText" text="Yes">
      <formula>NOT(ISERROR(SEARCH(("Yes"),(N78))))</formula>
    </cfRule>
  </conditionalFormatting>
  <conditionalFormatting sqref="N78:Q82 N85:Q86 N89:Q91 N96:Q99">
    <cfRule type="containsText" dxfId="2" priority="27511" operator="containsText" text="Yes">
      <formula>NOT(ISERROR(SEARCH(("Yes"),(N78))))</formula>
    </cfRule>
  </conditionalFormatting>
  <conditionalFormatting sqref="N78:Q82 N85:Q86 N89:Q91 N96:Q99">
    <cfRule type="containsText" dxfId="2" priority="27512" operator="containsText" text="Yes">
      <formula>NOT(ISERROR(SEARCH(("Yes"),(N78))))</formula>
    </cfRule>
  </conditionalFormatting>
  <conditionalFormatting sqref="N78:Q82 N85:Q86 N89:Q91 N96:Q99">
    <cfRule type="containsText" dxfId="2" priority="27513" operator="containsText" text="Yes">
      <formula>NOT(ISERROR(SEARCH(("Yes"),(N78))))</formula>
    </cfRule>
  </conditionalFormatting>
  <conditionalFormatting sqref="N78:Q82 N85:Q86 N89:Q91 N96:Q99">
    <cfRule type="containsText" dxfId="2" priority="27514" operator="containsText" text="Yes">
      <formula>NOT(ISERROR(SEARCH(("Yes"),(N78))))</formula>
    </cfRule>
  </conditionalFormatting>
  <conditionalFormatting sqref="N78:Q82 N85:Q86 N89:Q91 N96:Q99">
    <cfRule type="containsText" dxfId="2" priority="27515" operator="containsText" text="Yes">
      <formula>NOT(ISERROR(SEARCH(("Yes"),(N78))))</formula>
    </cfRule>
  </conditionalFormatting>
  <conditionalFormatting sqref="N78:Q82 N85:Q86 N89:Q91 N96:Q99">
    <cfRule type="containsText" dxfId="2" priority="27516" operator="containsText" text="Yes">
      <formula>NOT(ISERROR(SEARCH(("Yes"),(N78))))</formula>
    </cfRule>
  </conditionalFormatting>
  <conditionalFormatting sqref="N78:Q82 N85:Q86 N89:Q91 N96:Q99">
    <cfRule type="containsText" dxfId="2" priority="27517" operator="containsText" text="Yes">
      <formula>NOT(ISERROR(SEARCH(("Yes"),(N78))))</formula>
    </cfRule>
  </conditionalFormatting>
  <conditionalFormatting sqref="N78:Q82 N85:Q86 N89:Q91 N96:Q99">
    <cfRule type="containsText" dxfId="2" priority="27518" operator="containsText" text="Yes">
      <formula>NOT(ISERROR(SEARCH(("Yes"),(N78))))</formula>
    </cfRule>
  </conditionalFormatting>
  <conditionalFormatting sqref="N78:Q82 N85:Q86 N89:Q91 N96:Q99">
    <cfRule type="containsText" dxfId="2" priority="27519" operator="containsText" text="Yes">
      <formula>NOT(ISERROR(SEARCH(("Yes"),(N78))))</formula>
    </cfRule>
  </conditionalFormatting>
  <conditionalFormatting sqref="N78:Q82 N85:Q86 N89:Q91 N96:Q99">
    <cfRule type="containsText" dxfId="2" priority="27520" operator="containsText" text="Yes">
      <formula>NOT(ISERROR(SEARCH(("Yes"),(N78))))</formula>
    </cfRule>
  </conditionalFormatting>
  <conditionalFormatting sqref="N78:Q82 N85:Q86 N89:Q91 N96:Q99">
    <cfRule type="containsText" dxfId="2" priority="27521" operator="containsText" text="Yes">
      <formula>NOT(ISERROR(SEARCH(("Yes"),(N78))))</formula>
    </cfRule>
  </conditionalFormatting>
  <conditionalFormatting sqref="N78:Q82 N85:Q86 N89:Q91 N96:Q99">
    <cfRule type="containsText" dxfId="2" priority="27522" operator="containsText" text="Yes">
      <formula>NOT(ISERROR(SEARCH(("Yes"),(N78))))</formula>
    </cfRule>
  </conditionalFormatting>
  <conditionalFormatting sqref="N78:Q82 N85:Q86 N89:Q91 N96:Q99">
    <cfRule type="containsText" dxfId="2" priority="27523" operator="containsText" text="Yes">
      <formula>NOT(ISERROR(SEARCH(("Yes"),(N78))))</formula>
    </cfRule>
  </conditionalFormatting>
  <conditionalFormatting sqref="N78:Q82 N85:Q86 N89:Q91 N96:Q99">
    <cfRule type="containsText" dxfId="2" priority="27524" operator="containsText" text="Yes">
      <formula>NOT(ISERROR(SEARCH(("Yes"),(N78))))</formula>
    </cfRule>
  </conditionalFormatting>
  <conditionalFormatting sqref="N78:Q82 N85:Q86 N89:Q91 N96:Q99">
    <cfRule type="containsText" dxfId="2" priority="27525" operator="containsText" text="Yes">
      <formula>NOT(ISERROR(SEARCH(("Yes"),(N78))))</formula>
    </cfRule>
  </conditionalFormatting>
  <conditionalFormatting sqref="N78:Q82 N85:Q86 N89:Q91 N96:Q99">
    <cfRule type="containsText" dxfId="2" priority="27526" operator="containsText" text="Yes">
      <formula>NOT(ISERROR(SEARCH(("Yes"),(N78))))</formula>
    </cfRule>
  </conditionalFormatting>
  <conditionalFormatting sqref="N78:Q82 N85:Q86 N89:Q91 N96:Q99">
    <cfRule type="containsText" dxfId="2" priority="27527" operator="containsText" text="Yes">
      <formula>NOT(ISERROR(SEARCH(("Yes"),(N78))))</formula>
    </cfRule>
  </conditionalFormatting>
  <conditionalFormatting sqref="N78:Q82 N85:Q86 N89:Q91 N96:Q99">
    <cfRule type="containsText" dxfId="2" priority="27528" operator="containsText" text="Yes">
      <formula>NOT(ISERROR(SEARCH(("Yes"),(N78))))</formula>
    </cfRule>
  </conditionalFormatting>
  <conditionalFormatting sqref="N78:Q82 N85:Q86 N89:Q91 N96:Q99">
    <cfRule type="containsText" dxfId="2" priority="27529" operator="containsText" text="Yes">
      <formula>NOT(ISERROR(SEARCH(("Yes"),(N78))))</formula>
    </cfRule>
  </conditionalFormatting>
  <conditionalFormatting sqref="N78:Q82 N85:Q86 N89:Q91 N96:Q99">
    <cfRule type="containsText" dxfId="2" priority="27530" operator="containsText" text="Yes">
      <formula>NOT(ISERROR(SEARCH(("Yes"),(N78))))</formula>
    </cfRule>
  </conditionalFormatting>
  <conditionalFormatting sqref="N78:Q82 N85:Q86 N89:Q91 N96:Q99">
    <cfRule type="containsText" dxfId="2" priority="27531" operator="containsText" text="Yes">
      <formula>NOT(ISERROR(SEARCH(("Yes"),(N78))))</formula>
    </cfRule>
  </conditionalFormatting>
  <conditionalFormatting sqref="N78:Q82 N85:Q86 N89:Q91 N96:Q99">
    <cfRule type="containsText" dxfId="2" priority="27532" operator="containsText" text="Yes">
      <formula>NOT(ISERROR(SEARCH(("Yes"),(N78))))</formula>
    </cfRule>
  </conditionalFormatting>
  <conditionalFormatting sqref="N78:Q82 N85:Q86 N89:Q91 N96:Q99">
    <cfRule type="containsText" dxfId="2" priority="27533" operator="containsText" text="Yes">
      <formula>NOT(ISERROR(SEARCH(("Yes"),(N78))))</formula>
    </cfRule>
  </conditionalFormatting>
  <conditionalFormatting sqref="N78:Q82 N85:Q86 N89:Q91 N96:Q99">
    <cfRule type="containsText" dxfId="2" priority="27534" operator="containsText" text="Yes">
      <formula>NOT(ISERROR(SEARCH(("Yes"),(N78))))</formula>
    </cfRule>
  </conditionalFormatting>
  <conditionalFormatting sqref="N78:Q82 N85:Q86 N89:Q91 N96:Q99">
    <cfRule type="containsText" dxfId="2" priority="27535" operator="containsText" text="Yes">
      <formula>NOT(ISERROR(SEARCH(("Yes"),(N78))))</formula>
    </cfRule>
  </conditionalFormatting>
  <conditionalFormatting sqref="N78:Q82 N85:Q86 N89:Q91 N96:Q99">
    <cfRule type="containsText" dxfId="2" priority="27536" operator="containsText" text="Yes">
      <formula>NOT(ISERROR(SEARCH(("Yes"),(N78))))</formula>
    </cfRule>
  </conditionalFormatting>
  <conditionalFormatting sqref="N78:Q82 N85:Q86 N89:Q91 N96:Q99">
    <cfRule type="containsText" dxfId="2" priority="27537" operator="containsText" text="Yes">
      <formula>NOT(ISERROR(SEARCH(("Yes"),(N78))))</formula>
    </cfRule>
  </conditionalFormatting>
  <conditionalFormatting sqref="N78:Q82 N85:Q86 N89:Q91 N96:Q99">
    <cfRule type="containsText" dxfId="2" priority="27538" operator="containsText" text="Yes">
      <formula>NOT(ISERROR(SEARCH(("Yes"),(N78))))</formula>
    </cfRule>
  </conditionalFormatting>
  <conditionalFormatting sqref="N78:Q82 N85:Q86 N89:Q91 N96:Q99">
    <cfRule type="containsText" dxfId="2" priority="27539" operator="containsText" text="Yes">
      <formula>NOT(ISERROR(SEARCH(("Yes"),(N78))))</formula>
    </cfRule>
  </conditionalFormatting>
  <conditionalFormatting sqref="N78:Q82 N85:Q86 N89:Q91 N96:Q99">
    <cfRule type="containsText" dxfId="2" priority="27540" operator="containsText" text="Yes">
      <formula>NOT(ISERROR(SEARCH(("Yes"),(N78))))</formula>
    </cfRule>
  </conditionalFormatting>
  <conditionalFormatting sqref="N78:Q82 N85:Q86 N89:Q91 N96:Q99">
    <cfRule type="containsText" dxfId="2" priority="27541" operator="containsText" text="Yes">
      <formula>NOT(ISERROR(SEARCH(("Yes"),(N78))))</formula>
    </cfRule>
  </conditionalFormatting>
  <conditionalFormatting sqref="N78:Q82 N85:Q86 N89:Q91 N96:Q99">
    <cfRule type="containsText" dxfId="2" priority="27542" operator="containsText" text="Yes">
      <formula>NOT(ISERROR(SEARCH(("Yes"),(N78))))</formula>
    </cfRule>
  </conditionalFormatting>
  <conditionalFormatting sqref="N78:Q82 N85:Q86 N89:Q91 N96:Q99">
    <cfRule type="containsText" dxfId="2" priority="27543" operator="containsText" text="Yes">
      <formula>NOT(ISERROR(SEARCH(("Yes"),(N78))))</formula>
    </cfRule>
  </conditionalFormatting>
  <conditionalFormatting sqref="N78:Q82 N85:Q86 N89:Q91 N96:Q99">
    <cfRule type="containsText" dxfId="2" priority="27544" operator="containsText" text="Yes">
      <formula>NOT(ISERROR(SEARCH(("Yes"),(N78))))</formula>
    </cfRule>
  </conditionalFormatting>
  <conditionalFormatting sqref="N78:Q82 N85:Q86 N89:Q91 N96:Q99">
    <cfRule type="containsText" dxfId="2" priority="27545" operator="containsText" text="Yes">
      <formula>NOT(ISERROR(SEARCH(("Yes"),(N78))))</formula>
    </cfRule>
  </conditionalFormatting>
  <conditionalFormatting sqref="N78:Q82 N85:Q86 N89:Q91 N96:Q99">
    <cfRule type="containsText" dxfId="2" priority="27546" operator="containsText" text="Yes">
      <formula>NOT(ISERROR(SEARCH(("Yes"),(N78))))</formula>
    </cfRule>
  </conditionalFormatting>
  <conditionalFormatting sqref="N78:Q82 N85:Q86 N89:Q91 N96:Q99">
    <cfRule type="containsText" dxfId="2" priority="27547" operator="containsText" text="Yes">
      <formula>NOT(ISERROR(SEARCH(("Yes"),(N78))))</formula>
    </cfRule>
  </conditionalFormatting>
  <conditionalFormatting sqref="N78:Q82 N85:Q86 N89:Q91 N96:Q99">
    <cfRule type="containsText" dxfId="2" priority="27548" operator="containsText" text="Yes">
      <formula>NOT(ISERROR(SEARCH(("Yes"),(N78))))</formula>
    </cfRule>
  </conditionalFormatting>
  <conditionalFormatting sqref="N78:Q82 N85:Q86 N89:Q91 N96:Q99">
    <cfRule type="containsText" dxfId="2" priority="27549" operator="containsText" text="Yes">
      <formula>NOT(ISERROR(SEARCH(("Yes"),(N78))))</formula>
    </cfRule>
  </conditionalFormatting>
  <conditionalFormatting sqref="N78:Q82 N85:Q86 N89:Q91 N96:Q99">
    <cfRule type="containsText" dxfId="2" priority="27550" operator="containsText" text="Yes">
      <formula>NOT(ISERROR(SEARCH(("Yes"),(N78))))</formula>
    </cfRule>
  </conditionalFormatting>
  <conditionalFormatting sqref="N78:Q82 N85:Q86 N89:Q91 N96:Q99">
    <cfRule type="containsText" dxfId="2" priority="27551" operator="containsText" text="Yes">
      <formula>NOT(ISERROR(SEARCH(("Yes"),(N78))))</formula>
    </cfRule>
  </conditionalFormatting>
  <conditionalFormatting sqref="N79:N82 N85:N86 N89:N91 N96:N99">
    <cfRule type="containsText" dxfId="9" priority="27552" operator="containsText" text="No">
      <formula>NOT(ISERROR(SEARCH(("No"),(N79))))</formula>
    </cfRule>
  </conditionalFormatting>
  <conditionalFormatting sqref="N79:N82 N85:N86 N89:N91 N96:N99">
    <cfRule type="containsText" dxfId="2" priority="27553" operator="containsText" text="Yes">
      <formula>NOT(ISERROR(SEARCH(("Yes"),(N79))))</formula>
    </cfRule>
  </conditionalFormatting>
  <conditionalFormatting sqref="O79:O82 O85:O86 O89:O91 O96:O99">
    <cfRule type="containsText" dxfId="9" priority="27554" operator="containsText" text="No">
      <formula>NOT(ISERROR(SEARCH(("No"),(O79))))</formula>
    </cfRule>
  </conditionalFormatting>
  <conditionalFormatting sqref="O79:O82 O85:O86 O89:O91 O96:O99">
    <cfRule type="containsText" dxfId="9" priority="27555" operator="containsText" text="No">
      <formula>NOT(ISERROR(SEARCH(("No"),(O79))))</formula>
    </cfRule>
  </conditionalFormatting>
  <conditionalFormatting sqref="O79:O82 O85:O86 O89:O91 O96:O99">
    <cfRule type="containsText" dxfId="9" priority="27556" operator="containsText" text="No">
      <formula>NOT(ISERROR(SEARCH(("No"),(O79))))</formula>
    </cfRule>
  </conditionalFormatting>
  <conditionalFormatting sqref="O79:O82 O85:O86 O89:O91 O96:O99">
    <cfRule type="containsText" dxfId="2" priority="27557" operator="containsText" text="Yes">
      <formula>NOT(ISERROR(SEARCH(("Yes"),(O79))))</formula>
    </cfRule>
  </conditionalFormatting>
  <conditionalFormatting sqref="O79:O82 O85:O86 O89:O91 O96:O99">
    <cfRule type="containsText" dxfId="2" priority="27558" operator="containsText" text="Yes">
      <formula>NOT(ISERROR(SEARCH(("Yes"),(O79))))</formula>
    </cfRule>
  </conditionalFormatting>
  <conditionalFormatting sqref="O79:O82 O85:O86 O89:O91 O96:O99">
    <cfRule type="containsText" dxfId="2" priority="27559" operator="containsText" text="Yes">
      <formula>NOT(ISERROR(SEARCH(("Yes"),(O79))))</formula>
    </cfRule>
  </conditionalFormatting>
  <conditionalFormatting sqref="O79:O82 O85:O86 O89:O91 O96:O99">
    <cfRule type="containsText" dxfId="2" priority="27560" operator="containsText" text="Yes">
      <formula>NOT(ISERROR(SEARCH(("Yes"),(O79))))</formula>
    </cfRule>
  </conditionalFormatting>
  <conditionalFormatting sqref="O79:O82 O85:O86 O89:O91 O96:O99">
    <cfRule type="containsText" dxfId="2" priority="27561" operator="containsText" text="Yes">
      <formula>NOT(ISERROR(SEARCH(("Yes"),(O79))))</formula>
    </cfRule>
  </conditionalFormatting>
  <conditionalFormatting sqref="O79:O82 O85:O86 O89:O91 O96:O99">
    <cfRule type="containsText" dxfId="9" priority="27562" operator="containsText" text="No">
      <formula>NOT(ISERROR(SEARCH(("No"),(O79))))</formula>
    </cfRule>
  </conditionalFormatting>
  <conditionalFormatting sqref="O79:O82 O85:O86 O89:O91 O96:O99">
    <cfRule type="containsText" dxfId="9" priority="27563" operator="containsText" text="No">
      <formula>NOT(ISERROR(SEARCH(("No"),(O79))))</formula>
    </cfRule>
  </conditionalFormatting>
  <conditionalFormatting sqref="O79:O82 O85:O86 O89:O91 O96:O99">
    <cfRule type="containsText" dxfId="2" priority="27564" operator="containsText" text="Yes">
      <formula>NOT(ISERROR(SEARCH(("Yes"),(O79))))</formula>
    </cfRule>
  </conditionalFormatting>
  <conditionalFormatting sqref="P79:Q82 P85:Q86 P89:Q91 P96:Q99">
    <cfRule type="containsText" dxfId="9" priority="27565" operator="containsText" text="No">
      <formula>NOT(ISERROR(SEARCH(("No"),(P79))))</formula>
    </cfRule>
  </conditionalFormatting>
  <conditionalFormatting sqref="P79:Q82 P85:Q86 P89:Q91 P96:Q99">
    <cfRule type="containsText" dxfId="9" priority="27566" operator="containsText" text="No">
      <formula>NOT(ISERROR(SEARCH(("No"),(P79))))</formula>
    </cfRule>
  </conditionalFormatting>
  <conditionalFormatting sqref="P79:Q82 P85:Q86 P89:Q91 P96:Q99">
    <cfRule type="containsText" dxfId="9" priority="27567" operator="containsText" text="No">
      <formula>NOT(ISERROR(SEARCH(("No"),(P79))))</formula>
    </cfRule>
  </conditionalFormatting>
  <conditionalFormatting sqref="P79:Q82 P85:Q86 P89:Q91 P96:Q99">
    <cfRule type="containsText" dxfId="9" priority="27568" operator="containsText" text="No">
      <formula>NOT(ISERROR(SEARCH(("No"),(P79))))</formula>
    </cfRule>
  </conditionalFormatting>
  <conditionalFormatting sqref="P79:Q82 P85:Q86 P89:Q91 P96:Q99">
    <cfRule type="containsText" dxfId="9" priority="27569" operator="containsText" text="No">
      <formula>NOT(ISERROR(SEARCH(("No"),(P79))))</formula>
    </cfRule>
  </conditionalFormatting>
  <conditionalFormatting sqref="P79:Q82 P85:Q86 P89:Q91 P96:Q99">
    <cfRule type="containsText" dxfId="9" priority="27570" operator="containsText" text="No">
      <formula>NOT(ISERROR(SEARCH(("No"),(P79))))</formula>
    </cfRule>
  </conditionalFormatting>
  <conditionalFormatting sqref="P79:Q82 P85:Q86 P89:Q91 P96:Q99">
    <cfRule type="containsText" dxfId="9" priority="27571" operator="containsText" text="No">
      <formula>NOT(ISERROR(SEARCH(("No"),(P79))))</formula>
    </cfRule>
  </conditionalFormatting>
  <conditionalFormatting sqref="P79:Q82 P85:Q86 P89:Q91 P96:Q99">
    <cfRule type="containsText" dxfId="9" priority="27572" operator="containsText" text="No">
      <formula>NOT(ISERROR(SEARCH(("No"),(P79))))</formula>
    </cfRule>
  </conditionalFormatting>
  <conditionalFormatting sqref="P79:Q82 P85:Q86 P89:Q91 P96:Q99">
    <cfRule type="containsText" dxfId="9" priority="27573" operator="containsText" text="No">
      <formula>NOT(ISERROR(SEARCH(("No"),(P79))))</formula>
    </cfRule>
  </conditionalFormatting>
  <conditionalFormatting sqref="P79:Q82 P85:Q86 P89:Q91 P96:Q99">
    <cfRule type="containsText" dxfId="9" priority="27574" operator="containsText" text="No">
      <formula>NOT(ISERROR(SEARCH(("No"),(P79))))</formula>
    </cfRule>
  </conditionalFormatting>
  <conditionalFormatting sqref="P79:Q82 P85:Q86 P89:Q91 P96:Q99">
    <cfRule type="containsText" dxfId="9" priority="27575" operator="containsText" text="No">
      <formula>NOT(ISERROR(SEARCH(("No"),(P79))))</formula>
    </cfRule>
  </conditionalFormatting>
  <conditionalFormatting sqref="P79:Q82 P85:Q86 P89:Q91 P96:Q99">
    <cfRule type="containsText" dxfId="9" priority="27576" operator="containsText" text="No">
      <formula>NOT(ISERROR(SEARCH(("No"),(P79))))</formula>
    </cfRule>
  </conditionalFormatting>
  <conditionalFormatting sqref="P79:Q82 P85:Q86 P89:Q91 P96:Q99">
    <cfRule type="containsText" dxfId="9" priority="27577" operator="containsText" text="No">
      <formula>NOT(ISERROR(SEARCH(("No"),(P79))))</formula>
    </cfRule>
  </conditionalFormatting>
  <conditionalFormatting sqref="P79:Q82 P85:Q86 P89:Q91 P96:Q99">
    <cfRule type="containsText" dxfId="9" priority="27578" operator="containsText" text="No">
      <formula>NOT(ISERROR(SEARCH(("No"),(P79))))</formula>
    </cfRule>
  </conditionalFormatting>
  <conditionalFormatting sqref="P79:Q82 P85:Q86 P89:Q91 P96:Q99">
    <cfRule type="containsText" dxfId="9" priority="27579" operator="containsText" text="No">
      <formula>NOT(ISERROR(SEARCH(("No"),(P79))))</formula>
    </cfRule>
  </conditionalFormatting>
  <conditionalFormatting sqref="P79:Q82 P85:Q86 P89:Q91 P96:Q99">
    <cfRule type="containsText" dxfId="9" priority="27580" operator="containsText" text="No">
      <formula>NOT(ISERROR(SEARCH(("No"),(P79))))</formula>
    </cfRule>
  </conditionalFormatting>
  <conditionalFormatting sqref="P79:Q82 P85:Q86 P89:Q91 P96:Q99">
    <cfRule type="containsText" dxfId="9" priority="27581" operator="containsText" text="No">
      <formula>NOT(ISERROR(SEARCH(("No"),(P79))))</formula>
    </cfRule>
  </conditionalFormatting>
  <conditionalFormatting sqref="P79:Q82 P85:Q86 P89:Q91 P96:Q99">
    <cfRule type="containsText" dxfId="9" priority="27582" operator="containsText" text="No">
      <formula>NOT(ISERROR(SEARCH(("No"),(P79))))</formula>
    </cfRule>
  </conditionalFormatting>
  <conditionalFormatting sqref="P79:Q82 P85:Q86 P89:Q91 P96:Q99">
    <cfRule type="containsText" dxfId="9" priority="27583" operator="containsText" text="No">
      <formula>NOT(ISERROR(SEARCH(("No"),(P79))))</formula>
    </cfRule>
  </conditionalFormatting>
  <conditionalFormatting sqref="P79:Q82 P85:Q86 P89:Q91 P96:Q99">
    <cfRule type="containsText" dxfId="9" priority="27584" operator="containsText" text="No">
      <formula>NOT(ISERROR(SEARCH(("No"),(P79))))</formula>
    </cfRule>
  </conditionalFormatting>
  <conditionalFormatting sqref="P79:Q82 P85:Q86 P89:Q91 P96:Q99">
    <cfRule type="containsText" dxfId="9" priority="27585" operator="containsText" text="No">
      <formula>NOT(ISERROR(SEARCH(("No"),(P79))))</formula>
    </cfRule>
  </conditionalFormatting>
  <conditionalFormatting sqref="P79:Q82 P85:Q86 P89:Q91 P96:Q99">
    <cfRule type="containsText" dxfId="9" priority="27586" operator="containsText" text="No">
      <formula>NOT(ISERROR(SEARCH(("No"),(P79))))</formula>
    </cfRule>
  </conditionalFormatting>
  <conditionalFormatting sqref="P79:Q82 P85:Q86 P89:Q91 P96:Q99">
    <cfRule type="containsText" dxfId="9" priority="27587" operator="containsText" text="No">
      <formula>NOT(ISERROR(SEARCH(("No"),(P79))))</formula>
    </cfRule>
  </conditionalFormatting>
  <conditionalFormatting sqref="P79:Q82 P85:Q86 P89:Q91 P96:Q99">
    <cfRule type="containsText" dxfId="9" priority="27588" operator="containsText" text="No">
      <formula>NOT(ISERROR(SEARCH(("No"),(P79))))</formula>
    </cfRule>
  </conditionalFormatting>
  <conditionalFormatting sqref="P79:Q82 P85:Q86 P89:Q91 P96:Q99">
    <cfRule type="containsText" dxfId="9" priority="27589" operator="containsText" text="No">
      <formula>NOT(ISERROR(SEARCH(("No"),(P79))))</formula>
    </cfRule>
  </conditionalFormatting>
  <conditionalFormatting sqref="P79:Q82 P85:Q86 P89:Q91 P96:Q99">
    <cfRule type="containsText" dxfId="9" priority="27590" operator="containsText" text="No">
      <formula>NOT(ISERROR(SEARCH(("No"),(P79))))</formula>
    </cfRule>
  </conditionalFormatting>
  <conditionalFormatting sqref="P79:Q82 P85:Q86 P89:Q91 P96:Q99">
    <cfRule type="containsText" dxfId="9" priority="27591" operator="containsText" text="No">
      <formula>NOT(ISERROR(SEARCH(("No"),(P79))))</formula>
    </cfRule>
  </conditionalFormatting>
  <conditionalFormatting sqref="P79:Q82 P85:Q86 P89:Q91 P96:Q99">
    <cfRule type="containsText" dxfId="9" priority="27592" operator="containsText" text="No">
      <formula>NOT(ISERROR(SEARCH(("No"),(P79))))</formula>
    </cfRule>
  </conditionalFormatting>
  <conditionalFormatting sqref="P79:Q82 P85:Q86 P89:Q91 P96:Q99">
    <cfRule type="containsText" dxfId="9" priority="27593" operator="containsText" text="No">
      <formula>NOT(ISERROR(SEARCH(("No"),(P79))))</formula>
    </cfRule>
  </conditionalFormatting>
  <conditionalFormatting sqref="P79:Q82 P85:Q86 P89:Q91 P96:Q99">
    <cfRule type="containsText" dxfId="9" priority="27594" operator="containsText" text="No">
      <formula>NOT(ISERROR(SEARCH(("No"),(P79))))</formula>
    </cfRule>
  </conditionalFormatting>
  <conditionalFormatting sqref="P79:Q82 P85:Q86 P89:Q91 P96:Q99">
    <cfRule type="containsText" dxfId="9" priority="27595" operator="containsText" text="No">
      <formula>NOT(ISERROR(SEARCH(("No"),(P79))))</formula>
    </cfRule>
  </conditionalFormatting>
  <conditionalFormatting sqref="P79:Q82 P85:Q86 P89:Q91 P96:Q99">
    <cfRule type="containsText" dxfId="9" priority="27596" operator="containsText" text="No">
      <formula>NOT(ISERROR(SEARCH(("No"),(P79))))</formula>
    </cfRule>
  </conditionalFormatting>
  <conditionalFormatting sqref="P79:Q82 P85:Q86 P89:Q91 P96:Q99">
    <cfRule type="containsText" dxfId="9" priority="27597" operator="containsText" text="No">
      <formula>NOT(ISERROR(SEARCH(("No"),(P79))))</formula>
    </cfRule>
  </conditionalFormatting>
  <conditionalFormatting sqref="P79:Q82 P85:Q86 P89:Q91 P96:Q99">
    <cfRule type="containsText" dxfId="9" priority="27598" operator="containsText" text="No">
      <formula>NOT(ISERROR(SEARCH(("No"),(P79))))</formula>
    </cfRule>
  </conditionalFormatting>
  <conditionalFormatting sqref="P79:Q82 P85:Q86 P89:Q91 P96:Q99">
    <cfRule type="containsText" dxfId="9" priority="27599" operator="containsText" text="No">
      <formula>NOT(ISERROR(SEARCH(("No"),(P79))))</formula>
    </cfRule>
  </conditionalFormatting>
  <conditionalFormatting sqref="P79:Q82 P85:Q86 P89:Q91 P96:Q99">
    <cfRule type="containsText" dxfId="9" priority="27600" operator="containsText" text="No">
      <formula>NOT(ISERROR(SEARCH(("No"),(P79))))</formula>
    </cfRule>
  </conditionalFormatting>
  <conditionalFormatting sqref="P79:Q82 P85:Q86 P89:Q91 P96:Q99">
    <cfRule type="containsText" dxfId="9" priority="27601" operator="containsText" text="No">
      <formula>NOT(ISERROR(SEARCH(("No"),(P79))))</formula>
    </cfRule>
  </conditionalFormatting>
  <conditionalFormatting sqref="P79:Q82 P85:Q86 P89:Q91 P96:Q99">
    <cfRule type="containsText" dxfId="9" priority="27602" operator="containsText" text="No">
      <formula>NOT(ISERROR(SEARCH(("No"),(P79))))</formula>
    </cfRule>
  </conditionalFormatting>
  <conditionalFormatting sqref="P79:Q82 P85:Q86 P89:Q91 P96:Q99">
    <cfRule type="containsText" dxfId="9" priority="27603" operator="containsText" text="No">
      <formula>NOT(ISERROR(SEARCH(("No"),(P79))))</formula>
    </cfRule>
  </conditionalFormatting>
  <conditionalFormatting sqref="P79:Q82 P85:Q86 P89:Q91 P96:Q99">
    <cfRule type="containsText" dxfId="9" priority="27604" operator="containsText" text="No">
      <formula>NOT(ISERROR(SEARCH(("No"),(P79))))</formula>
    </cfRule>
  </conditionalFormatting>
  <conditionalFormatting sqref="P79:Q82 P85:Q86 P89:Q91 P96:Q99">
    <cfRule type="containsText" dxfId="9" priority="27605" operator="containsText" text="No">
      <formula>NOT(ISERROR(SEARCH(("No"),(P79))))</formula>
    </cfRule>
  </conditionalFormatting>
  <conditionalFormatting sqref="P79:Q82 P85:Q86 P89:Q91 P96:Q99">
    <cfRule type="containsText" dxfId="9" priority="27606" operator="containsText" text="No">
      <formula>NOT(ISERROR(SEARCH(("No"),(P79))))</formula>
    </cfRule>
  </conditionalFormatting>
  <conditionalFormatting sqref="P79:Q82 P85:Q86 P89:Q91 P96:Q99">
    <cfRule type="containsText" dxfId="9" priority="27607" operator="containsText" text="No">
      <formula>NOT(ISERROR(SEARCH(("No"),(P79))))</formula>
    </cfRule>
  </conditionalFormatting>
  <conditionalFormatting sqref="P79:Q82 P85:Q86 P89:Q91 P96:Q99">
    <cfRule type="containsText" dxfId="9" priority="27608" operator="containsText" text="No">
      <formula>NOT(ISERROR(SEARCH(("No"),(P79))))</formula>
    </cfRule>
  </conditionalFormatting>
  <conditionalFormatting sqref="P79:Q82 P85:Q86 P89:Q91 P96:Q99">
    <cfRule type="containsText" dxfId="9" priority="27609" operator="containsText" text="No">
      <formula>NOT(ISERROR(SEARCH(("No"),(P79))))</formula>
    </cfRule>
  </conditionalFormatting>
  <conditionalFormatting sqref="P79:Q82 P85:Q86 P89:Q91 P96:Q99">
    <cfRule type="containsText" dxfId="2" priority="27610" operator="containsText" text="Yes">
      <formula>NOT(ISERROR(SEARCH(("Yes"),(P79))))</formula>
    </cfRule>
  </conditionalFormatting>
  <conditionalFormatting sqref="P79:Q82 P85:Q86 P89:Q91 P96:Q99">
    <cfRule type="containsText" dxfId="2" priority="27611" operator="containsText" text="Yes">
      <formula>NOT(ISERROR(SEARCH(("Yes"),(P79))))</formula>
    </cfRule>
  </conditionalFormatting>
  <conditionalFormatting sqref="P79:Q82 P85:Q86 P89:Q91 P96:Q99">
    <cfRule type="containsText" dxfId="2" priority="27612" operator="containsText" text="Yes">
      <formula>NOT(ISERROR(SEARCH(("Yes"),(P79))))</formula>
    </cfRule>
  </conditionalFormatting>
  <conditionalFormatting sqref="P79:Q82 P85:Q86 P89:Q91 P96:Q99">
    <cfRule type="containsText" dxfId="2" priority="27613" operator="containsText" text="Yes">
      <formula>NOT(ISERROR(SEARCH(("Yes"),(P79))))</formula>
    </cfRule>
  </conditionalFormatting>
  <conditionalFormatting sqref="P79:Q82 P85:Q86 P89:Q91 P96:Q99">
    <cfRule type="containsText" dxfId="2" priority="27614" operator="containsText" text="Yes">
      <formula>NOT(ISERROR(SEARCH(("Yes"),(P79))))</formula>
    </cfRule>
  </conditionalFormatting>
  <conditionalFormatting sqref="P79:Q82 P85:Q86 P89:Q91 P96:Q99">
    <cfRule type="containsText" dxfId="2" priority="27615" operator="containsText" text="Yes">
      <formula>NOT(ISERROR(SEARCH(("Yes"),(P79))))</formula>
    </cfRule>
  </conditionalFormatting>
  <conditionalFormatting sqref="P79:Q82 P85:Q86 P89:Q91 P96:Q99">
    <cfRule type="containsText" dxfId="2" priority="27616" operator="containsText" text="Yes">
      <formula>NOT(ISERROR(SEARCH(("Yes"),(P79))))</formula>
    </cfRule>
  </conditionalFormatting>
  <conditionalFormatting sqref="P79:Q82 P85:Q86 P89:Q91 P96:Q99">
    <cfRule type="containsText" dxfId="2" priority="27617" operator="containsText" text="Yes">
      <formula>NOT(ISERROR(SEARCH(("Yes"),(P79))))</formula>
    </cfRule>
  </conditionalFormatting>
  <conditionalFormatting sqref="P79:Q82 P85:Q86 P89:Q91 P96:Q99">
    <cfRule type="containsText" dxfId="2" priority="27618" operator="containsText" text="Yes">
      <formula>NOT(ISERROR(SEARCH(("Yes"),(P79))))</formula>
    </cfRule>
  </conditionalFormatting>
  <conditionalFormatting sqref="P79:Q82 P85:Q86 P89:Q91 P96:Q99">
    <cfRule type="containsText" dxfId="2" priority="27619" operator="containsText" text="Yes">
      <formula>NOT(ISERROR(SEARCH(("Yes"),(P79))))</formula>
    </cfRule>
  </conditionalFormatting>
  <conditionalFormatting sqref="P79:Q82 P85:Q86 P89:Q91 P96:Q99">
    <cfRule type="containsText" dxfId="2" priority="27620" operator="containsText" text="Yes">
      <formula>NOT(ISERROR(SEARCH(("Yes"),(P79))))</formula>
    </cfRule>
  </conditionalFormatting>
  <conditionalFormatting sqref="P79:Q82 P85:Q86 P89:Q91 P96:Q99">
    <cfRule type="containsText" dxfId="2" priority="27621" operator="containsText" text="Yes">
      <formula>NOT(ISERROR(SEARCH(("Yes"),(P79))))</formula>
    </cfRule>
  </conditionalFormatting>
  <conditionalFormatting sqref="P79:Q82 P85:Q86 P89:Q91 P96:Q99">
    <cfRule type="containsText" dxfId="2" priority="27622" operator="containsText" text="Yes">
      <formula>NOT(ISERROR(SEARCH(("Yes"),(P79))))</formula>
    </cfRule>
  </conditionalFormatting>
  <conditionalFormatting sqref="P79:Q82 P85:Q86 P89:Q91 P96:Q99">
    <cfRule type="containsText" dxfId="2" priority="27623" operator="containsText" text="Yes">
      <formula>NOT(ISERROR(SEARCH(("Yes"),(P79))))</formula>
    </cfRule>
  </conditionalFormatting>
  <conditionalFormatting sqref="P79:Q82 P85:Q86 P89:Q91 P96:Q99">
    <cfRule type="containsText" dxfId="2" priority="27624" operator="containsText" text="Yes">
      <formula>NOT(ISERROR(SEARCH(("Yes"),(P79))))</formula>
    </cfRule>
  </conditionalFormatting>
  <conditionalFormatting sqref="P79:Q82 P85:Q86 P89:Q91 P96:Q99">
    <cfRule type="containsText" dxfId="2" priority="27625" operator="containsText" text="Yes">
      <formula>NOT(ISERROR(SEARCH(("Yes"),(P79))))</formula>
    </cfRule>
  </conditionalFormatting>
  <conditionalFormatting sqref="P79:Q82 P85:Q86 P89:Q91 P96:Q99">
    <cfRule type="containsText" dxfId="2" priority="27626" operator="containsText" text="Yes">
      <formula>NOT(ISERROR(SEARCH(("Yes"),(P79))))</formula>
    </cfRule>
  </conditionalFormatting>
  <conditionalFormatting sqref="P79:Q82 P85:Q86 P89:Q91 P96:Q99">
    <cfRule type="containsText" dxfId="2" priority="27627" operator="containsText" text="Yes">
      <formula>NOT(ISERROR(SEARCH(("Yes"),(P79))))</formula>
    </cfRule>
  </conditionalFormatting>
  <conditionalFormatting sqref="P79:Q82 P85:Q86 P89:Q91 P96:Q99">
    <cfRule type="containsText" dxfId="2" priority="27628" operator="containsText" text="Yes">
      <formula>NOT(ISERROR(SEARCH(("Yes"),(P79))))</formula>
    </cfRule>
  </conditionalFormatting>
  <conditionalFormatting sqref="P79:Q82 P85:Q86 P89:Q91 P96:Q99">
    <cfRule type="containsText" dxfId="2" priority="27629" operator="containsText" text="Yes">
      <formula>NOT(ISERROR(SEARCH(("Yes"),(P79))))</formula>
    </cfRule>
  </conditionalFormatting>
  <conditionalFormatting sqref="P79:Q82 P85:Q86 P89:Q91 P96:Q99">
    <cfRule type="containsText" dxfId="2" priority="27630" operator="containsText" text="Yes">
      <formula>NOT(ISERROR(SEARCH(("Yes"),(P79))))</formula>
    </cfRule>
  </conditionalFormatting>
  <conditionalFormatting sqref="P79:Q82 P85:Q86 P89:Q91 P96:Q99">
    <cfRule type="containsText" dxfId="2" priority="27631" operator="containsText" text="Yes">
      <formula>NOT(ISERROR(SEARCH(("Yes"),(P79))))</formula>
    </cfRule>
  </conditionalFormatting>
  <conditionalFormatting sqref="P79:Q82 P85:Q86 P89:Q91 P96:Q99">
    <cfRule type="containsText" dxfId="2" priority="27632" operator="containsText" text="Yes">
      <formula>NOT(ISERROR(SEARCH(("Yes"),(P79))))</formula>
    </cfRule>
  </conditionalFormatting>
  <conditionalFormatting sqref="P79:Q82 P85:Q86 P89:Q91 P96:Q99">
    <cfRule type="containsText" dxfId="2" priority="27633" operator="containsText" text="Yes">
      <formula>NOT(ISERROR(SEARCH(("Yes"),(P79))))</formula>
    </cfRule>
  </conditionalFormatting>
  <conditionalFormatting sqref="P79:Q82 P85:Q86 P89:Q91 P96:Q99">
    <cfRule type="containsText" dxfId="2" priority="27634" operator="containsText" text="Yes">
      <formula>NOT(ISERROR(SEARCH(("Yes"),(P79))))</formula>
    </cfRule>
  </conditionalFormatting>
  <conditionalFormatting sqref="P79:Q82 P85:Q86 P89:Q91 P96:Q99">
    <cfRule type="containsText" dxfId="2" priority="27635" operator="containsText" text="Yes">
      <formula>NOT(ISERROR(SEARCH(("Yes"),(P79))))</formula>
    </cfRule>
  </conditionalFormatting>
  <conditionalFormatting sqref="P79:Q82 P85:Q86 P89:Q91 P96:Q99">
    <cfRule type="containsText" dxfId="2" priority="27636" operator="containsText" text="Yes">
      <formula>NOT(ISERROR(SEARCH(("Yes"),(P79))))</formula>
    </cfRule>
  </conditionalFormatting>
  <conditionalFormatting sqref="P79:Q82 P85:Q86 P89:Q91 P96:Q99">
    <cfRule type="containsText" dxfId="2" priority="27637" operator="containsText" text="Yes">
      <formula>NOT(ISERROR(SEARCH(("Yes"),(P79))))</formula>
    </cfRule>
  </conditionalFormatting>
  <conditionalFormatting sqref="P79:Q82 P85:Q86 P89:Q91 P96:Q99">
    <cfRule type="containsText" dxfId="2" priority="27638" operator="containsText" text="Yes">
      <formula>NOT(ISERROR(SEARCH(("Yes"),(P79))))</formula>
    </cfRule>
  </conditionalFormatting>
  <conditionalFormatting sqref="P79:Q82 P85:Q86 P89:Q91 P96:Q99">
    <cfRule type="containsText" dxfId="2" priority="27639" operator="containsText" text="Yes">
      <formula>NOT(ISERROR(SEARCH(("Yes"),(P79))))</formula>
    </cfRule>
  </conditionalFormatting>
  <conditionalFormatting sqref="P79:Q82 P85:Q86 P89:Q91 P96:Q99">
    <cfRule type="containsText" dxfId="2" priority="27640" operator="containsText" text="Yes">
      <formula>NOT(ISERROR(SEARCH(("Yes"),(P79))))</formula>
    </cfRule>
  </conditionalFormatting>
  <conditionalFormatting sqref="P79:Q82 P85:Q86 P89:Q91 P96:Q99">
    <cfRule type="containsText" dxfId="2" priority="27641" operator="containsText" text="Yes">
      <formula>NOT(ISERROR(SEARCH(("Yes"),(P79))))</formula>
    </cfRule>
  </conditionalFormatting>
  <conditionalFormatting sqref="P79:Q82 P85:Q86 P89:Q91 P96:Q99">
    <cfRule type="containsText" dxfId="2" priority="27642" operator="containsText" text="Yes">
      <formula>NOT(ISERROR(SEARCH(("Yes"),(P79))))</formula>
    </cfRule>
  </conditionalFormatting>
  <conditionalFormatting sqref="P79:Q82 P85:Q86 P89:Q91 P96:Q99">
    <cfRule type="containsText" dxfId="2" priority="27643" operator="containsText" text="Yes">
      <formula>NOT(ISERROR(SEARCH(("Yes"),(P79))))</formula>
    </cfRule>
  </conditionalFormatting>
  <conditionalFormatting sqref="P79:Q82 P85:Q86 P89:Q91 P96:Q99">
    <cfRule type="containsText" dxfId="2" priority="27644" operator="containsText" text="Yes">
      <formula>NOT(ISERROR(SEARCH(("Yes"),(P79))))</formula>
    </cfRule>
  </conditionalFormatting>
  <conditionalFormatting sqref="P79:Q82 P85:Q86 P89:Q91 P96:Q99">
    <cfRule type="containsText" dxfId="2" priority="27645" operator="containsText" text="Yes">
      <formula>NOT(ISERROR(SEARCH(("Yes"),(P79))))</formula>
    </cfRule>
  </conditionalFormatting>
  <conditionalFormatting sqref="P79:Q82 P85:Q86 P89:Q91 P96:Q99">
    <cfRule type="containsText" dxfId="2" priority="27646" operator="containsText" text="Yes">
      <formula>NOT(ISERROR(SEARCH(("Yes"),(P79))))</formula>
    </cfRule>
  </conditionalFormatting>
  <conditionalFormatting sqref="P79:Q82 P85:Q86 P89:Q91 P96:Q99">
    <cfRule type="containsText" dxfId="2" priority="27647" operator="containsText" text="Yes">
      <formula>NOT(ISERROR(SEARCH(("Yes"),(P79))))</formula>
    </cfRule>
  </conditionalFormatting>
  <conditionalFormatting sqref="P79:Q82 P85:Q86 P89:Q91 P96:Q99">
    <cfRule type="containsText" dxfId="2" priority="27648" operator="containsText" text="Yes">
      <formula>NOT(ISERROR(SEARCH(("Yes"),(P79))))</formula>
    </cfRule>
  </conditionalFormatting>
  <conditionalFormatting sqref="P79:Q82 P85:Q86 P89:Q91 P96:Q99">
    <cfRule type="containsText" dxfId="2" priority="27649" operator="containsText" text="Yes">
      <formula>NOT(ISERROR(SEARCH(("Yes"),(P79))))</formula>
    </cfRule>
  </conditionalFormatting>
  <conditionalFormatting sqref="P79:Q82 P85:Q86 P89:Q91 P96:Q99">
    <cfRule type="containsText" dxfId="2" priority="27650" operator="containsText" text="Yes">
      <formula>NOT(ISERROR(SEARCH(("Yes"),(P79))))</formula>
    </cfRule>
  </conditionalFormatting>
  <conditionalFormatting sqref="P79:Q82 P85:Q86 P89:Q91 P96:Q99">
    <cfRule type="containsText" dxfId="2" priority="27651" operator="containsText" text="Yes">
      <formula>NOT(ISERROR(SEARCH(("Yes"),(P79))))</formula>
    </cfRule>
  </conditionalFormatting>
  <conditionalFormatting sqref="P79:Q82 P85:Q86 P89:Q91 P96:Q99">
    <cfRule type="containsText" dxfId="2" priority="27652" operator="containsText" text="Yes">
      <formula>NOT(ISERROR(SEARCH(("Yes"),(P79))))</formula>
    </cfRule>
  </conditionalFormatting>
  <conditionalFormatting sqref="P79:Q82 P85:Q86 P89:Q91 P96:Q99">
    <cfRule type="containsText" dxfId="2" priority="27653" operator="containsText" text="Yes">
      <formula>NOT(ISERROR(SEARCH(("Yes"),(P79))))</formula>
    </cfRule>
  </conditionalFormatting>
  <conditionalFormatting sqref="P79:Q82 P85:Q86 P89:Q91 P96:Q99">
    <cfRule type="containsText" dxfId="2" priority="27654" operator="containsText" text="Yes">
      <formula>NOT(ISERROR(SEARCH(("Yes"),(P79))))</formula>
    </cfRule>
  </conditionalFormatting>
  <conditionalFormatting sqref="P79:Q82 P85:Q86 P89:Q91 P96:Q99">
    <cfRule type="containsText" dxfId="2" priority="27655" operator="containsText" text="Yes">
      <formula>NOT(ISERROR(SEARCH(("Yes"),(P79))))</formula>
    </cfRule>
  </conditionalFormatting>
  <conditionalFormatting sqref="P79:Q82 P85:Q86 P89:Q91 P96:Q99">
    <cfRule type="containsText" dxfId="2" priority="27656" operator="containsText" text="Yes">
      <formula>NOT(ISERROR(SEARCH(("Yes"),(P79))))</formula>
    </cfRule>
  </conditionalFormatting>
  <conditionalFormatting sqref="P80:Q82 P85:Q86 P89:Q91 P96:Q99">
    <cfRule type="containsText" dxfId="9" priority="27657" operator="containsText" text="No">
      <formula>NOT(ISERROR(SEARCH(("No"),(P80))))</formula>
    </cfRule>
  </conditionalFormatting>
  <conditionalFormatting sqref="P80:Q82 P85:Q86 P89:Q91 P96:Q99">
    <cfRule type="containsText" dxfId="9" priority="27658" operator="containsText" text="No">
      <formula>NOT(ISERROR(SEARCH(("No"),(P80))))</formula>
    </cfRule>
  </conditionalFormatting>
  <conditionalFormatting sqref="P80:Q82 P85:Q86 P89:Q91 P96:Q99">
    <cfRule type="containsText" dxfId="9" priority="27659" operator="containsText" text="No">
      <formula>NOT(ISERROR(SEARCH(("No"),(P80))))</formula>
    </cfRule>
  </conditionalFormatting>
  <conditionalFormatting sqref="P80:Q82 P85:Q86 P89:Q91 P96:Q99">
    <cfRule type="containsText" dxfId="9" priority="27660" operator="containsText" text="No">
      <formula>NOT(ISERROR(SEARCH(("No"),(P80))))</formula>
    </cfRule>
  </conditionalFormatting>
  <conditionalFormatting sqref="P80:Q82 P85:Q86 P89:Q91 P96:Q99">
    <cfRule type="containsText" dxfId="9" priority="27661" operator="containsText" text="No">
      <formula>NOT(ISERROR(SEARCH(("No"),(P80))))</formula>
    </cfRule>
  </conditionalFormatting>
  <conditionalFormatting sqref="P80:Q82 P85:Q86 P89:Q91 P96:Q99">
    <cfRule type="containsText" dxfId="9" priority="27662" operator="containsText" text="No">
      <formula>NOT(ISERROR(SEARCH(("No"),(P80))))</formula>
    </cfRule>
  </conditionalFormatting>
  <conditionalFormatting sqref="P80:Q82 P85:Q86 P89:Q91 P96:Q99">
    <cfRule type="containsText" dxfId="9" priority="27663" operator="containsText" text="No">
      <formula>NOT(ISERROR(SEARCH(("No"),(P80))))</formula>
    </cfRule>
  </conditionalFormatting>
  <conditionalFormatting sqref="P80:Q82 P85:Q86 P89:Q91 P96:Q99">
    <cfRule type="containsText" dxfId="9" priority="27664" operator="containsText" text="No">
      <formula>NOT(ISERROR(SEARCH(("No"),(P80))))</formula>
    </cfRule>
  </conditionalFormatting>
  <conditionalFormatting sqref="P80:Q82 P85:Q86 P89:Q91 P96:Q99">
    <cfRule type="containsText" dxfId="9" priority="27665" operator="containsText" text="No">
      <formula>NOT(ISERROR(SEARCH(("No"),(P80))))</formula>
    </cfRule>
  </conditionalFormatting>
  <conditionalFormatting sqref="P80:Q82 P85:Q86 P89:Q91 P96:Q99">
    <cfRule type="containsText" dxfId="9" priority="27666" operator="containsText" text="No">
      <formula>NOT(ISERROR(SEARCH(("No"),(P80))))</formula>
    </cfRule>
  </conditionalFormatting>
  <conditionalFormatting sqref="P80:Q82 P85:Q86 P89:Q91 P96:Q99">
    <cfRule type="containsText" dxfId="9" priority="27667" operator="containsText" text="No">
      <formula>NOT(ISERROR(SEARCH(("No"),(P80))))</formula>
    </cfRule>
  </conditionalFormatting>
  <conditionalFormatting sqref="P80:Q82 P85:Q86 P89:Q91 P96:Q99">
    <cfRule type="containsText" dxfId="9" priority="27668" operator="containsText" text="No">
      <formula>NOT(ISERROR(SEARCH(("No"),(P80))))</formula>
    </cfRule>
  </conditionalFormatting>
  <conditionalFormatting sqref="P80:Q82 P85:Q86 P89:Q91 P96:Q99">
    <cfRule type="containsText" dxfId="9" priority="27669" operator="containsText" text="No">
      <formula>NOT(ISERROR(SEARCH(("No"),(P80))))</formula>
    </cfRule>
  </conditionalFormatting>
  <conditionalFormatting sqref="P80:Q82 P85:Q86 P89:Q91 P96:Q99">
    <cfRule type="containsText" dxfId="9" priority="27670" operator="containsText" text="No">
      <formula>NOT(ISERROR(SEARCH(("No"),(P80))))</formula>
    </cfRule>
  </conditionalFormatting>
  <conditionalFormatting sqref="P80:Q82 P85:Q86 P89:Q91 P96:Q99">
    <cfRule type="containsText" dxfId="9" priority="27671" operator="containsText" text="No">
      <formula>NOT(ISERROR(SEARCH(("No"),(P80))))</formula>
    </cfRule>
  </conditionalFormatting>
  <conditionalFormatting sqref="P80:Q82 P85:Q86 P89:Q91 P96:Q99">
    <cfRule type="containsText" dxfId="9" priority="27672" operator="containsText" text="No">
      <formula>NOT(ISERROR(SEARCH(("No"),(P80))))</formula>
    </cfRule>
  </conditionalFormatting>
  <conditionalFormatting sqref="P80:Q82 P85:Q86 P89:Q91 P96:Q99">
    <cfRule type="containsText" dxfId="9" priority="27673" operator="containsText" text="No">
      <formula>NOT(ISERROR(SEARCH(("No"),(P80))))</formula>
    </cfRule>
  </conditionalFormatting>
  <conditionalFormatting sqref="P80:Q82 P85:Q86 P89:Q91 P96:Q99">
    <cfRule type="containsText" dxfId="9" priority="27674" operator="containsText" text="No">
      <formula>NOT(ISERROR(SEARCH(("No"),(P80))))</formula>
    </cfRule>
  </conditionalFormatting>
  <conditionalFormatting sqref="P80:Q82 P85:Q86 P89:Q91 P96:Q99">
    <cfRule type="containsText" dxfId="9" priority="27675" operator="containsText" text="No">
      <formula>NOT(ISERROR(SEARCH(("No"),(P80))))</formula>
    </cfRule>
  </conditionalFormatting>
  <conditionalFormatting sqref="P80:Q82 P85:Q86 P89:Q91 P96:Q99">
    <cfRule type="containsText" dxfId="9" priority="27676" operator="containsText" text="No">
      <formula>NOT(ISERROR(SEARCH(("No"),(P80))))</formula>
    </cfRule>
  </conditionalFormatting>
  <conditionalFormatting sqref="P80:Q82 P85:Q86 P89:Q91 P96:Q99">
    <cfRule type="containsText" dxfId="9" priority="27677" operator="containsText" text="No">
      <formula>NOT(ISERROR(SEARCH(("No"),(P80))))</formula>
    </cfRule>
  </conditionalFormatting>
  <conditionalFormatting sqref="P80:Q82 P85:Q86 P89:Q91 P96:Q99">
    <cfRule type="containsText" dxfId="9" priority="27678" operator="containsText" text="No">
      <formula>NOT(ISERROR(SEARCH(("No"),(P80))))</formula>
    </cfRule>
  </conditionalFormatting>
  <conditionalFormatting sqref="P80:Q82 P85:Q86 P89:Q91 P96:Q99">
    <cfRule type="containsText" dxfId="9" priority="27679" operator="containsText" text="No">
      <formula>NOT(ISERROR(SEARCH(("No"),(P80))))</formula>
    </cfRule>
  </conditionalFormatting>
  <conditionalFormatting sqref="P80:Q82 P85:Q86 P89:Q91 P96:Q99">
    <cfRule type="containsText" dxfId="9" priority="27680" operator="containsText" text="No">
      <formula>NOT(ISERROR(SEARCH(("No"),(P80))))</formula>
    </cfRule>
  </conditionalFormatting>
  <conditionalFormatting sqref="P80:Q82 P85:Q86 P89:Q91 P96:Q99">
    <cfRule type="containsText" dxfId="9" priority="27681" operator="containsText" text="No">
      <formula>NOT(ISERROR(SEARCH(("No"),(P80))))</formula>
    </cfRule>
  </conditionalFormatting>
  <conditionalFormatting sqref="P80:Q82 P85:Q86 P89:Q91 P96:Q99">
    <cfRule type="containsText" dxfId="9" priority="27682" operator="containsText" text="No">
      <formula>NOT(ISERROR(SEARCH(("No"),(P80))))</formula>
    </cfRule>
  </conditionalFormatting>
  <conditionalFormatting sqref="P80:Q82 P85:Q86 P89:Q91 P96:Q99">
    <cfRule type="containsText" dxfId="9" priority="27683" operator="containsText" text="No">
      <formula>NOT(ISERROR(SEARCH(("No"),(P80))))</formula>
    </cfRule>
  </conditionalFormatting>
  <conditionalFormatting sqref="P80:Q82 P85:Q86 P89:Q91 P96:Q99">
    <cfRule type="containsText" dxfId="9" priority="27684" operator="containsText" text="No">
      <formula>NOT(ISERROR(SEARCH(("No"),(P80))))</formula>
    </cfRule>
  </conditionalFormatting>
  <conditionalFormatting sqref="P80:Q82 P85:Q86 P89:Q91 P96:Q99">
    <cfRule type="containsText" dxfId="9" priority="27685" operator="containsText" text="No">
      <formula>NOT(ISERROR(SEARCH(("No"),(P80))))</formula>
    </cfRule>
  </conditionalFormatting>
  <conditionalFormatting sqref="P80:Q82 P85:Q86 P89:Q91 P96:Q99">
    <cfRule type="containsText" dxfId="9" priority="27686" operator="containsText" text="No">
      <formula>NOT(ISERROR(SEARCH(("No"),(P80))))</formula>
    </cfRule>
  </conditionalFormatting>
  <conditionalFormatting sqref="P80:Q82 P85:Q86 P89:Q91 P96:Q99">
    <cfRule type="containsText" dxfId="9" priority="27687" operator="containsText" text="No">
      <formula>NOT(ISERROR(SEARCH(("No"),(P80))))</formula>
    </cfRule>
  </conditionalFormatting>
  <conditionalFormatting sqref="P80:Q82 P85:Q86 P89:Q91 P96:Q99">
    <cfRule type="containsText" dxfId="9" priority="27688" operator="containsText" text="No">
      <formula>NOT(ISERROR(SEARCH(("No"),(P80))))</formula>
    </cfRule>
  </conditionalFormatting>
  <conditionalFormatting sqref="P80:Q82 P85:Q86 P89:Q91 P96:Q99">
    <cfRule type="containsText" dxfId="9" priority="27689" operator="containsText" text="No">
      <formula>NOT(ISERROR(SEARCH(("No"),(P80))))</formula>
    </cfRule>
  </conditionalFormatting>
  <conditionalFormatting sqref="P80:Q82 P85:Q86 P89:Q91 P96:Q99">
    <cfRule type="containsText" dxfId="9" priority="27690" operator="containsText" text="No">
      <formula>NOT(ISERROR(SEARCH(("No"),(P80))))</formula>
    </cfRule>
  </conditionalFormatting>
  <conditionalFormatting sqref="P80:Q82 P85:Q86 P89:Q91 P96:Q99">
    <cfRule type="containsText" dxfId="9" priority="27691" operator="containsText" text="No">
      <formula>NOT(ISERROR(SEARCH(("No"),(P80))))</formula>
    </cfRule>
  </conditionalFormatting>
  <conditionalFormatting sqref="P80:Q82 P85:Q86 P89:Q91 P96:Q99">
    <cfRule type="containsText" dxfId="9" priority="27692" operator="containsText" text="No">
      <formula>NOT(ISERROR(SEARCH(("No"),(P80))))</formula>
    </cfRule>
  </conditionalFormatting>
  <conditionalFormatting sqref="P80:Q82 P85:Q86 P89:Q91 P96:Q99">
    <cfRule type="containsText" dxfId="9" priority="27693" operator="containsText" text="No">
      <formula>NOT(ISERROR(SEARCH(("No"),(P80))))</formula>
    </cfRule>
  </conditionalFormatting>
  <conditionalFormatting sqref="P80:Q82 P85:Q86 P89:Q91 P96:Q99">
    <cfRule type="containsText" dxfId="9" priority="27694" operator="containsText" text="No">
      <formula>NOT(ISERROR(SEARCH(("No"),(P80))))</formula>
    </cfRule>
  </conditionalFormatting>
  <conditionalFormatting sqref="P80:Q82 P85:Q86 P89:Q91 P96:Q99">
    <cfRule type="containsText" dxfId="9" priority="27695" operator="containsText" text="No">
      <formula>NOT(ISERROR(SEARCH(("No"),(P80))))</formula>
    </cfRule>
  </conditionalFormatting>
  <conditionalFormatting sqref="P80:Q82 P85:Q86 P89:Q91 P96:Q99">
    <cfRule type="containsText" dxfId="9" priority="27696" operator="containsText" text="No">
      <formula>NOT(ISERROR(SEARCH(("No"),(P80))))</formula>
    </cfRule>
  </conditionalFormatting>
  <conditionalFormatting sqref="P80:Q82 P85:Q86 P89:Q91 P96:Q99">
    <cfRule type="containsText" dxfId="9" priority="27697" operator="containsText" text="No">
      <formula>NOT(ISERROR(SEARCH(("No"),(P80))))</formula>
    </cfRule>
  </conditionalFormatting>
  <conditionalFormatting sqref="P80:Q82 P85:Q86 P89:Q91 P96:Q99">
    <cfRule type="containsText" dxfId="9" priority="27698" operator="containsText" text="No">
      <formula>NOT(ISERROR(SEARCH(("No"),(P80))))</formula>
    </cfRule>
  </conditionalFormatting>
  <conditionalFormatting sqref="P80:Q82 P85:Q86 P89:Q91 P96:Q99">
    <cfRule type="containsText" dxfId="9" priority="27699" operator="containsText" text="No">
      <formula>NOT(ISERROR(SEARCH(("No"),(P80))))</formula>
    </cfRule>
  </conditionalFormatting>
  <conditionalFormatting sqref="P80:Q82 P85:Q86 P89:Q91 P96:Q99">
    <cfRule type="containsText" dxfId="9" priority="27700" operator="containsText" text="No">
      <formula>NOT(ISERROR(SEARCH(("No"),(P80))))</formula>
    </cfRule>
  </conditionalFormatting>
  <conditionalFormatting sqref="P80:Q82 P85:Q86 P89:Q91 P96:Q99">
    <cfRule type="containsText" dxfId="9" priority="27701" operator="containsText" text="No">
      <formula>NOT(ISERROR(SEARCH(("No"),(P80))))</formula>
    </cfRule>
  </conditionalFormatting>
  <conditionalFormatting sqref="P80:Q82 P85:Q86 P89:Q91 P96:Q99">
    <cfRule type="containsText" dxfId="2" priority="27702" operator="containsText" text="Yes">
      <formula>NOT(ISERROR(SEARCH(("Yes"),(P80))))</formula>
    </cfRule>
  </conditionalFormatting>
  <conditionalFormatting sqref="P80:Q82 P85:Q86 P89:Q91 P96:Q99">
    <cfRule type="containsText" dxfId="2" priority="27703" operator="containsText" text="Yes">
      <formula>NOT(ISERROR(SEARCH(("Yes"),(P80))))</formula>
    </cfRule>
  </conditionalFormatting>
  <conditionalFormatting sqref="P80:Q82 P85:Q86 P89:Q91 P96:Q99">
    <cfRule type="containsText" dxfId="2" priority="27704" operator="containsText" text="Yes">
      <formula>NOT(ISERROR(SEARCH(("Yes"),(P80))))</formula>
    </cfRule>
  </conditionalFormatting>
  <conditionalFormatting sqref="P80:Q82 P85:Q86 P89:Q91 P96:Q99">
    <cfRule type="containsText" dxfId="2" priority="27705" operator="containsText" text="Yes">
      <formula>NOT(ISERROR(SEARCH(("Yes"),(P80))))</formula>
    </cfRule>
  </conditionalFormatting>
  <conditionalFormatting sqref="P80:Q82 P85:Q86 P89:Q91 P96:Q99">
    <cfRule type="containsText" dxfId="2" priority="27706" operator="containsText" text="Yes">
      <formula>NOT(ISERROR(SEARCH(("Yes"),(P80))))</formula>
    </cfRule>
  </conditionalFormatting>
  <conditionalFormatting sqref="P80:Q82 P85:Q86 P89:Q91 P96:Q99">
    <cfRule type="containsText" dxfId="2" priority="27707" operator="containsText" text="Yes">
      <formula>NOT(ISERROR(SEARCH(("Yes"),(P80))))</formula>
    </cfRule>
  </conditionalFormatting>
  <conditionalFormatting sqref="P80:Q82 P85:Q86 P89:Q91 P96:Q99">
    <cfRule type="containsText" dxfId="2" priority="27708" operator="containsText" text="Yes">
      <formula>NOT(ISERROR(SEARCH(("Yes"),(P80))))</formula>
    </cfRule>
  </conditionalFormatting>
  <conditionalFormatting sqref="P80:Q82 P85:Q86 P89:Q91 P96:Q99">
    <cfRule type="containsText" dxfId="2" priority="27709" operator="containsText" text="Yes">
      <formula>NOT(ISERROR(SEARCH(("Yes"),(P80))))</formula>
    </cfRule>
  </conditionalFormatting>
  <conditionalFormatting sqref="P80:Q82 P85:Q86 P89:Q91 P96:Q99">
    <cfRule type="containsText" dxfId="2" priority="27710" operator="containsText" text="Yes">
      <formula>NOT(ISERROR(SEARCH(("Yes"),(P80))))</formula>
    </cfRule>
  </conditionalFormatting>
  <conditionalFormatting sqref="P80:Q82 P85:Q86 P89:Q91 P96:Q99">
    <cfRule type="containsText" dxfId="2" priority="27711" operator="containsText" text="Yes">
      <formula>NOT(ISERROR(SEARCH(("Yes"),(P80))))</formula>
    </cfRule>
  </conditionalFormatting>
  <conditionalFormatting sqref="P80:Q82 P85:Q86 P89:Q91 P96:Q99">
    <cfRule type="containsText" dxfId="2" priority="27712" operator="containsText" text="Yes">
      <formula>NOT(ISERROR(SEARCH(("Yes"),(P80))))</formula>
    </cfRule>
  </conditionalFormatting>
  <conditionalFormatting sqref="P80:Q82 P85:Q86 P89:Q91 P96:Q99">
    <cfRule type="containsText" dxfId="2" priority="27713" operator="containsText" text="Yes">
      <formula>NOT(ISERROR(SEARCH(("Yes"),(P80))))</formula>
    </cfRule>
  </conditionalFormatting>
  <conditionalFormatting sqref="P80:Q82 P85:Q86 P89:Q91 P96:Q99">
    <cfRule type="containsText" dxfId="2" priority="27714" operator="containsText" text="Yes">
      <formula>NOT(ISERROR(SEARCH(("Yes"),(P80))))</formula>
    </cfRule>
  </conditionalFormatting>
  <conditionalFormatting sqref="P80:Q82 P85:Q86 P89:Q91 P96:Q99">
    <cfRule type="containsText" dxfId="2" priority="27715" operator="containsText" text="Yes">
      <formula>NOT(ISERROR(SEARCH(("Yes"),(P80))))</formula>
    </cfRule>
  </conditionalFormatting>
  <conditionalFormatting sqref="P80:Q82 P85:Q86 P89:Q91 P96:Q99">
    <cfRule type="containsText" dxfId="2" priority="27716" operator="containsText" text="Yes">
      <formula>NOT(ISERROR(SEARCH(("Yes"),(P80))))</formula>
    </cfRule>
  </conditionalFormatting>
  <conditionalFormatting sqref="P80:Q82 P85:Q86 P89:Q91 P96:Q99">
    <cfRule type="containsText" dxfId="2" priority="27717" operator="containsText" text="Yes">
      <formula>NOT(ISERROR(SEARCH(("Yes"),(P80))))</formula>
    </cfRule>
  </conditionalFormatting>
  <conditionalFormatting sqref="P80:Q82 P85:Q86 P89:Q91 P96:Q99">
    <cfRule type="containsText" dxfId="2" priority="27718" operator="containsText" text="Yes">
      <formula>NOT(ISERROR(SEARCH(("Yes"),(P80))))</formula>
    </cfRule>
  </conditionalFormatting>
  <conditionalFormatting sqref="P80:Q82 P85:Q86 P89:Q91 P96:Q99">
    <cfRule type="containsText" dxfId="2" priority="27719" operator="containsText" text="Yes">
      <formula>NOT(ISERROR(SEARCH(("Yes"),(P80))))</formula>
    </cfRule>
  </conditionalFormatting>
  <conditionalFormatting sqref="P80:Q82 P85:Q86 P89:Q91 P96:Q99">
    <cfRule type="containsText" dxfId="2" priority="27720" operator="containsText" text="Yes">
      <formula>NOT(ISERROR(SEARCH(("Yes"),(P80))))</formula>
    </cfRule>
  </conditionalFormatting>
  <conditionalFormatting sqref="P80:Q82 P85:Q86 P89:Q91 P96:Q99">
    <cfRule type="containsText" dxfId="2" priority="27721" operator="containsText" text="Yes">
      <formula>NOT(ISERROR(SEARCH(("Yes"),(P80))))</formula>
    </cfRule>
  </conditionalFormatting>
  <conditionalFormatting sqref="P80:Q82 P85:Q86 P89:Q91 P96:Q99">
    <cfRule type="containsText" dxfId="2" priority="27722" operator="containsText" text="Yes">
      <formula>NOT(ISERROR(SEARCH(("Yes"),(P80))))</formula>
    </cfRule>
  </conditionalFormatting>
  <conditionalFormatting sqref="P80:Q82 P85:Q86 P89:Q91 P96:Q99">
    <cfRule type="containsText" dxfId="2" priority="27723" operator="containsText" text="Yes">
      <formula>NOT(ISERROR(SEARCH(("Yes"),(P80))))</formula>
    </cfRule>
  </conditionalFormatting>
  <conditionalFormatting sqref="P80:Q82 P85:Q86 P89:Q91 P96:Q99">
    <cfRule type="containsText" dxfId="2" priority="27724" operator="containsText" text="Yes">
      <formula>NOT(ISERROR(SEARCH(("Yes"),(P80))))</formula>
    </cfRule>
  </conditionalFormatting>
  <conditionalFormatting sqref="P80:Q82 P85:Q86 P89:Q91 P96:Q99">
    <cfRule type="containsText" dxfId="2" priority="27725" operator="containsText" text="Yes">
      <formula>NOT(ISERROR(SEARCH(("Yes"),(P80))))</formula>
    </cfRule>
  </conditionalFormatting>
  <conditionalFormatting sqref="P80:Q82 P85:Q86 P89:Q91 P96:Q99">
    <cfRule type="containsText" dxfId="2" priority="27726" operator="containsText" text="Yes">
      <formula>NOT(ISERROR(SEARCH(("Yes"),(P80))))</formula>
    </cfRule>
  </conditionalFormatting>
  <conditionalFormatting sqref="P80:Q82 P85:Q86 P89:Q91 P96:Q99">
    <cfRule type="containsText" dxfId="2" priority="27727" operator="containsText" text="Yes">
      <formula>NOT(ISERROR(SEARCH(("Yes"),(P80))))</formula>
    </cfRule>
  </conditionalFormatting>
  <conditionalFormatting sqref="P80:Q82 P85:Q86 P89:Q91 P96:Q99">
    <cfRule type="containsText" dxfId="2" priority="27728" operator="containsText" text="Yes">
      <formula>NOT(ISERROR(SEARCH(("Yes"),(P80))))</formula>
    </cfRule>
  </conditionalFormatting>
  <conditionalFormatting sqref="P80:Q82 P85:Q86 P89:Q91 P96:Q99">
    <cfRule type="containsText" dxfId="2" priority="27729" operator="containsText" text="Yes">
      <formula>NOT(ISERROR(SEARCH(("Yes"),(P80))))</formula>
    </cfRule>
  </conditionalFormatting>
  <conditionalFormatting sqref="P80:Q82 P85:Q86 P89:Q91 P96:Q99">
    <cfRule type="containsText" dxfId="2" priority="27730" operator="containsText" text="Yes">
      <formula>NOT(ISERROR(SEARCH(("Yes"),(P80))))</formula>
    </cfRule>
  </conditionalFormatting>
  <conditionalFormatting sqref="P80:Q82 P85:Q86 P89:Q91 P96:Q99">
    <cfRule type="containsText" dxfId="2" priority="27731" operator="containsText" text="Yes">
      <formula>NOT(ISERROR(SEARCH(("Yes"),(P80))))</formula>
    </cfRule>
  </conditionalFormatting>
  <conditionalFormatting sqref="P80:Q82 P85:Q86 P89:Q91 P96:Q99">
    <cfRule type="containsText" dxfId="2" priority="27732" operator="containsText" text="Yes">
      <formula>NOT(ISERROR(SEARCH(("Yes"),(P80))))</formula>
    </cfRule>
  </conditionalFormatting>
  <conditionalFormatting sqref="P80:Q82 P85:Q86 P89:Q91 P96:Q99">
    <cfRule type="containsText" dxfId="2" priority="27733" operator="containsText" text="Yes">
      <formula>NOT(ISERROR(SEARCH(("Yes"),(P80))))</formula>
    </cfRule>
  </conditionalFormatting>
  <conditionalFormatting sqref="P80:Q82 P85:Q86 P89:Q91 P96:Q99">
    <cfRule type="containsText" dxfId="2" priority="27734" operator="containsText" text="Yes">
      <formula>NOT(ISERROR(SEARCH(("Yes"),(P80))))</formula>
    </cfRule>
  </conditionalFormatting>
  <conditionalFormatting sqref="P80:Q82 P85:Q86 P89:Q91 P96:Q99">
    <cfRule type="containsText" dxfId="2" priority="27735" operator="containsText" text="Yes">
      <formula>NOT(ISERROR(SEARCH(("Yes"),(P80))))</formula>
    </cfRule>
  </conditionalFormatting>
  <conditionalFormatting sqref="P80:Q82 P85:Q86 P89:Q91 P96:Q99">
    <cfRule type="containsText" dxfId="2" priority="27736" operator="containsText" text="Yes">
      <formula>NOT(ISERROR(SEARCH(("Yes"),(P80))))</formula>
    </cfRule>
  </conditionalFormatting>
  <conditionalFormatting sqref="P80:Q82 P85:Q86 P89:Q91 P96:Q99">
    <cfRule type="containsText" dxfId="2" priority="27737" operator="containsText" text="Yes">
      <formula>NOT(ISERROR(SEARCH(("Yes"),(P80))))</formula>
    </cfRule>
  </conditionalFormatting>
  <conditionalFormatting sqref="P80:Q82 P85:Q86 P89:Q91 P96:Q99">
    <cfRule type="containsText" dxfId="2" priority="27738" operator="containsText" text="Yes">
      <formula>NOT(ISERROR(SEARCH(("Yes"),(P80))))</formula>
    </cfRule>
  </conditionalFormatting>
  <conditionalFormatting sqref="P80:Q82 P85:Q86 P89:Q91 P96:Q99">
    <cfRule type="containsText" dxfId="2" priority="27739" operator="containsText" text="Yes">
      <formula>NOT(ISERROR(SEARCH(("Yes"),(P80))))</formula>
    </cfRule>
  </conditionalFormatting>
  <conditionalFormatting sqref="P80:Q82 P85:Q86 P89:Q91 P96:Q99">
    <cfRule type="containsText" dxfId="2" priority="27740" operator="containsText" text="Yes">
      <formula>NOT(ISERROR(SEARCH(("Yes"),(P80))))</formula>
    </cfRule>
  </conditionalFormatting>
  <conditionalFormatting sqref="P80:Q82 P85:Q86 P89:Q91 P96:Q99">
    <cfRule type="containsText" dxfId="2" priority="27741" operator="containsText" text="Yes">
      <formula>NOT(ISERROR(SEARCH(("Yes"),(P80))))</formula>
    </cfRule>
  </conditionalFormatting>
  <conditionalFormatting sqref="P80:Q82 P85:Q86 P89:Q91 P96:Q99">
    <cfRule type="containsText" dxfId="2" priority="27742" operator="containsText" text="Yes">
      <formula>NOT(ISERROR(SEARCH(("Yes"),(P80))))</formula>
    </cfRule>
  </conditionalFormatting>
  <conditionalFormatting sqref="P80:Q82 P85:Q86 P89:Q91 P96:Q99">
    <cfRule type="containsText" dxfId="2" priority="27743" operator="containsText" text="Yes">
      <formula>NOT(ISERROR(SEARCH(("Yes"),(P80))))</formula>
    </cfRule>
  </conditionalFormatting>
  <conditionalFormatting sqref="P80:Q82 P85:Q86 P89:Q91 P96:Q99">
    <cfRule type="containsText" dxfId="2" priority="27744" operator="containsText" text="Yes">
      <formula>NOT(ISERROR(SEARCH(("Yes"),(P80))))</formula>
    </cfRule>
  </conditionalFormatting>
  <conditionalFormatting sqref="P80:Q82 P85:Q86 P89:Q91 P96:Q99">
    <cfRule type="containsText" dxfId="2" priority="27745" operator="containsText" text="Yes">
      <formula>NOT(ISERROR(SEARCH(("Yes"),(P80))))</formula>
    </cfRule>
  </conditionalFormatting>
  <conditionalFormatting sqref="P80:Q82 P85:Q86 P89:Q91 P96:Q99">
    <cfRule type="containsText" dxfId="2" priority="27746" operator="containsText" text="Yes">
      <formula>NOT(ISERROR(SEARCH(("Yes"),(P80))))</formula>
    </cfRule>
  </conditionalFormatting>
  <conditionalFormatting sqref="P80:Q82 P85:Q86 P89:Q91 P96:Q99">
    <cfRule type="containsText" dxfId="2" priority="27747" operator="containsText" text="Yes">
      <formula>NOT(ISERROR(SEARCH(("Yes"),(P80))))</formula>
    </cfRule>
  </conditionalFormatting>
  <conditionalFormatting sqref="P80:Q82 P85:Q86 P89:Q91 P96:Q99">
    <cfRule type="containsText" dxfId="2" priority="27748" operator="containsText" text="Yes">
      <formula>NOT(ISERROR(SEARCH(("Yes"),(P80))))</formula>
    </cfRule>
  </conditionalFormatting>
  <conditionalFormatting sqref="N81:Q83 N85:Q86 N89:Q91 N96:Q99 N102:Q103">
    <cfRule type="containsText" dxfId="9" priority="27749" operator="containsText" text="No">
      <formula>NOT(ISERROR(SEARCH(("No"),(N81))))</formula>
    </cfRule>
  </conditionalFormatting>
  <conditionalFormatting sqref="N81:Q83 N85:Q86 N89:Q91 N96:Q99 N102:Q103">
    <cfRule type="containsText" dxfId="9" priority="27750" operator="containsText" text="No">
      <formula>NOT(ISERROR(SEARCH(("No"),(N81))))</formula>
    </cfRule>
  </conditionalFormatting>
  <conditionalFormatting sqref="N81:Q83 N85:Q86 N89:Q91 N96:Q99 N102:Q103">
    <cfRule type="containsText" dxfId="9" priority="27751" operator="containsText" text="No">
      <formula>NOT(ISERROR(SEARCH(("No"),(N81))))</formula>
    </cfRule>
  </conditionalFormatting>
  <conditionalFormatting sqref="N81:Q83 N85:Q86 N89:Q91 N96:Q99 N102:Q103">
    <cfRule type="containsText" dxfId="9" priority="27752" operator="containsText" text="No">
      <formula>NOT(ISERROR(SEARCH(("No"),(N81))))</formula>
    </cfRule>
  </conditionalFormatting>
  <conditionalFormatting sqref="N81:Q83 N85:Q86 N89:Q91 N96:Q99 N102:Q103">
    <cfRule type="containsText" dxfId="9" priority="27753" operator="containsText" text="No">
      <formula>NOT(ISERROR(SEARCH(("No"),(N81))))</formula>
    </cfRule>
  </conditionalFormatting>
  <conditionalFormatting sqref="N81:Q83 N85:Q86 N89:Q91 N96:Q99 N102:Q103">
    <cfRule type="containsText" dxfId="9" priority="27754" operator="containsText" text="No">
      <formula>NOT(ISERROR(SEARCH(("No"),(N81))))</formula>
    </cfRule>
  </conditionalFormatting>
  <conditionalFormatting sqref="N81:Q83 N85:Q86 N89:Q91 N96:Q99 N102:Q103">
    <cfRule type="containsText" dxfId="9" priority="27755" operator="containsText" text="No">
      <formula>NOT(ISERROR(SEARCH(("No"),(N81))))</formula>
    </cfRule>
  </conditionalFormatting>
  <conditionalFormatting sqref="N81:Q83 N85:Q86 N89:Q91 N96:Q99 N102:Q103">
    <cfRule type="containsText" dxfId="9" priority="27756" operator="containsText" text="No">
      <formula>NOT(ISERROR(SEARCH(("No"),(N81))))</formula>
    </cfRule>
  </conditionalFormatting>
  <conditionalFormatting sqref="N81:Q83 N85:Q86 N89:Q91 N96:Q99 N102:Q103">
    <cfRule type="containsText" dxfId="9" priority="27757" operator="containsText" text="No">
      <formula>NOT(ISERROR(SEARCH(("No"),(N81))))</formula>
    </cfRule>
  </conditionalFormatting>
  <conditionalFormatting sqref="N81:Q83 N85:Q86 N89:Q91 N96:Q99 N102:Q103">
    <cfRule type="containsText" dxfId="9" priority="27758" operator="containsText" text="No">
      <formula>NOT(ISERROR(SEARCH(("No"),(N81))))</formula>
    </cfRule>
  </conditionalFormatting>
  <conditionalFormatting sqref="N81:Q83 N85:Q86 N89:Q91 N96:Q99 N102:Q103">
    <cfRule type="containsText" dxfId="9" priority="27759" operator="containsText" text="No">
      <formula>NOT(ISERROR(SEARCH(("No"),(N81))))</formula>
    </cfRule>
  </conditionalFormatting>
  <conditionalFormatting sqref="N81:Q83 N85:Q86 N89:Q91 N96:Q99 N102:Q103">
    <cfRule type="containsText" dxfId="9" priority="27760" operator="containsText" text="No">
      <formula>NOT(ISERROR(SEARCH(("No"),(N81))))</formula>
    </cfRule>
  </conditionalFormatting>
  <conditionalFormatting sqref="N81:Q83 N85:Q86 N89:Q91 N96:Q99 N102:Q103">
    <cfRule type="containsText" dxfId="9" priority="27761" operator="containsText" text="No">
      <formula>NOT(ISERROR(SEARCH(("No"),(N81))))</formula>
    </cfRule>
  </conditionalFormatting>
  <conditionalFormatting sqref="N81:Q83 N85:Q86 N89:Q91 N96:Q99 N102:Q103">
    <cfRule type="containsText" dxfId="9" priority="27762" operator="containsText" text="No">
      <formula>NOT(ISERROR(SEARCH(("No"),(N81))))</formula>
    </cfRule>
  </conditionalFormatting>
  <conditionalFormatting sqref="N81:Q83 N85:Q86 N89:Q91 N96:Q99 N102:Q103">
    <cfRule type="containsText" dxfId="9" priority="27763" operator="containsText" text="No">
      <formula>NOT(ISERROR(SEARCH(("No"),(N81))))</formula>
    </cfRule>
  </conditionalFormatting>
  <conditionalFormatting sqref="N81:Q83 N85:Q86 N89:Q91 N96:Q99 N102:Q103">
    <cfRule type="containsText" dxfId="9" priority="27764" operator="containsText" text="No">
      <formula>NOT(ISERROR(SEARCH(("No"),(N81))))</formula>
    </cfRule>
  </conditionalFormatting>
  <conditionalFormatting sqref="N81:Q83 N85:Q86 N89:Q91 N96:Q99 N102:Q103">
    <cfRule type="containsText" dxfId="9" priority="27765" operator="containsText" text="No">
      <formula>NOT(ISERROR(SEARCH(("No"),(N81))))</formula>
    </cfRule>
  </conditionalFormatting>
  <conditionalFormatting sqref="N81:Q83 N85:Q86 N89:Q91 N96:Q99 N102:Q103">
    <cfRule type="containsText" dxfId="9" priority="27766" operator="containsText" text="No">
      <formula>NOT(ISERROR(SEARCH(("No"),(N81))))</formula>
    </cfRule>
  </conditionalFormatting>
  <conditionalFormatting sqref="N81:Q83 N85:Q86 N89:Q91 N96:Q99 N102:Q103">
    <cfRule type="containsText" dxfId="9" priority="27767" operator="containsText" text="No">
      <formula>NOT(ISERROR(SEARCH(("No"),(N81))))</formula>
    </cfRule>
  </conditionalFormatting>
  <conditionalFormatting sqref="N81:Q83 N85:Q86 N89:Q91 N96:Q99 N102:Q103">
    <cfRule type="containsText" dxfId="9" priority="27768" operator="containsText" text="No">
      <formula>NOT(ISERROR(SEARCH(("No"),(N81))))</formula>
    </cfRule>
  </conditionalFormatting>
  <conditionalFormatting sqref="N81:Q83 N85:Q86 N89:Q91 N96:Q99 N102:Q103">
    <cfRule type="containsText" dxfId="9" priority="27769" operator="containsText" text="No">
      <formula>NOT(ISERROR(SEARCH(("No"),(N81))))</formula>
    </cfRule>
  </conditionalFormatting>
  <conditionalFormatting sqref="N81:Q83 N85:Q86 N89:Q91 N96:Q99 N102:Q103">
    <cfRule type="containsText" dxfId="9" priority="27770" operator="containsText" text="No">
      <formula>NOT(ISERROR(SEARCH(("No"),(N81))))</formula>
    </cfRule>
  </conditionalFormatting>
  <conditionalFormatting sqref="N81:Q83 N85:Q86 N89:Q91 N96:Q99 N102:Q103">
    <cfRule type="containsText" dxfId="9" priority="27771" operator="containsText" text="No">
      <formula>NOT(ISERROR(SEARCH(("No"),(N81))))</formula>
    </cfRule>
  </conditionalFormatting>
  <conditionalFormatting sqref="N81:Q83 N85:Q86 N89:Q91 N96:Q99 N102:Q103">
    <cfRule type="containsText" dxfId="9" priority="27772" operator="containsText" text="No">
      <formula>NOT(ISERROR(SEARCH(("No"),(N81))))</formula>
    </cfRule>
  </conditionalFormatting>
  <conditionalFormatting sqref="N81:Q83 N85:Q86 N89:Q91 N96:Q99 N102:Q103">
    <cfRule type="containsText" dxfId="9" priority="27773" operator="containsText" text="No">
      <formula>NOT(ISERROR(SEARCH(("No"),(N81))))</formula>
    </cfRule>
  </conditionalFormatting>
  <conditionalFormatting sqref="N81:Q83 N85:Q86 N89:Q91 N96:Q99 N102:Q103">
    <cfRule type="containsText" dxfId="9" priority="27774" operator="containsText" text="No">
      <formula>NOT(ISERROR(SEARCH(("No"),(N81))))</formula>
    </cfRule>
  </conditionalFormatting>
  <conditionalFormatting sqref="N81:Q83 N85:Q86 N89:Q91 N96:Q99 N102:Q103">
    <cfRule type="containsText" dxfId="9" priority="27775" operator="containsText" text="No">
      <formula>NOT(ISERROR(SEARCH(("No"),(N81))))</formula>
    </cfRule>
  </conditionalFormatting>
  <conditionalFormatting sqref="N81:Q83 N85:Q86 N89:Q91 N96:Q99 N102:Q103">
    <cfRule type="containsText" dxfId="9" priority="27776" operator="containsText" text="No">
      <formula>NOT(ISERROR(SEARCH(("No"),(N81))))</formula>
    </cfRule>
  </conditionalFormatting>
  <conditionalFormatting sqref="N81:Q83 N85:Q86 N89:Q91 N96:Q99 N102:Q103">
    <cfRule type="containsText" dxfId="9" priority="27777" operator="containsText" text="No">
      <formula>NOT(ISERROR(SEARCH(("No"),(N81))))</formula>
    </cfRule>
  </conditionalFormatting>
  <conditionalFormatting sqref="N81:Q83 N85:Q86 N89:Q91 N96:Q99 N102:Q103">
    <cfRule type="containsText" dxfId="9" priority="27778" operator="containsText" text="No">
      <formula>NOT(ISERROR(SEARCH(("No"),(N81))))</formula>
    </cfRule>
  </conditionalFormatting>
  <conditionalFormatting sqref="N81:Q83 N85:Q86 N89:Q91 N96:Q99 N102:Q103">
    <cfRule type="containsText" dxfId="9" priority="27779" operator="containsText" text="No">
      <formula>NOT(ISERROR(SEARCH(("No"),(N81))))</formula>
    </cfRule>
  </conditionalFormatting>
  <conditionalFormatting sqref="N81:Q83 N85:Q86 N89:Q91 N96:Q99 N102:Q103">
    <cfRule type="containsText" dxfId="9" priority="27780" operator="containsText" text="No">
      <formula>NOT(ISERROR(SEARCH(("No"),(N81))))</formula>
    </cfRule>
  </conditionalFormatting>
  <conditionalFormatting sqref="N81:Q83 N85:Q86 N89:Q91 N96:Q99 N102:Q103">
    <cfRule type="containsText" dxfId="9" priority="27781" operator="containsText" text="No">
      <formula>NOT(ISERROR(SEARCH(("No"),(N81))))</formula>
    </cfRule>
  </conditionalFormatting>
  <conditionalFormatting sqref="N81:Q83 N85:Q86 N89:Q91 N96:Q99 N102:Q103">
    <cfRule type="containsText" dxfId="9" priority="27782" operator="containsText" text="No">
      <formula>NOT(ISERROR(SEARCH(("No"),(N81))))</formula>
    </cfRule>
  </conditionalFormatting>
  <conditionalFormatting sqref="N81:Q83 N85:Q86 N89:Q91 N96:Q99 N102:Q103">
    <cfRule type="containsText" dxfId="9" priority="27783" operator="containsText" text="No">
      <formula>NOT(ISERROR(SEARCH(("No"),(N81))))</formula>
    </cfRule>
  </conditionalFormatting>
  <conditionalFormatting sqref="N81:Q83 N85:Q86 N89:Q91 N96:Q99 N102:Q103">
    <cfRule type="containsText" dxfId="9" priority="27784" operator="containsText" text="No">
      <formula>NOT(ISERROR(SEARCH(("No"),(N81))))</formula>
    </cfRule>
  </conditionalFormatting>
  <conditionalFormatting sqref="N81:Q83 N85:Q86 N89:Q91 N96:Q99 N102:Q103">
    <cfRule type="containsText" dxfId="9" priority="27785" operator="containsText" text="No">
      <formula>NOT(ISERROR(SEARCH(("No"),(N81))))</formula>
    </cfRule>
  </conditionalFormatting>
  <conditionalFormatting sqref="N81:Q83 N85:Q86 N89:Q91 N96:Q99 N102:Q103">
    <cfRule type="containsText" dxfId="9" priority="27786" operator="containsText" text="No">
      <formula>NOT(ISERROR(SEARCH(("No"),(N81))))</formula>
    </cfRule>
  </conditionalFormatting>
  <conditionalFormatting sqref="N81:Q83 N85:Q86 N89:Q91 N96:Q99 N102:Q103">
    <cfRule type="containsText" dxfId="9" priority="27787" operator="containsText" text="No">
      <formula>NOT(ISERROR(SEARCH(("No"),(N81))))</formula>
    </cfRule>
  </conditionalFormatting>
  <conditionalFormatting sqref="N81:Q83 N85:Q86 N89:Q91 N96:Q99 N102:Q103">
    <cfRule type="containsText" dxfId="9" priority="27788" operator="containsText" text="No">
      <formula>NOT(ISERROR(SEARCH(("No"),(N81))))</formula>
    </cfRule>
  </conditionalFormatting>
  <conditionalFormatting sqref="N81:Q83 N85:Q86 N89:Q91 N96:Q99 N102:Q103">
    <cfRule type="containsText" dxfId="9" priority="27789" operator="containsText" text="No">
      <formula>NOT(ISERROR(SEARCH(("No"),(N81))))</formula>
    </cfRule>
  </conditionalFormatting>
  <conditionalFormatting sqref="N81:Q83 N85:Q86 N89:Q91 N96:Q99 N102:Q103">
    <cfRule type="containsText" dxfId="9" priority="27790" operator="containsText" text="No">
      <formula>NOT(ISERROR(SEARCH(("No"),(N81))))</formula>
    </cfRule>
  </conditionalFormatting>
  <conditionalFormatting sqref="N81:Q83 N85:Q86 N89:Q91 N96:Q99 N102:Q103">
    <cfRule type="containsText" dxfId="9" priority="27791" operator="containsText" text="No">
      <formula>NOT(ISERROR(SEARCH(("No"),(N81))))</formula>
    </cfRule>
  </conditionalFormatting>
  <conditionalFormatting sqref="N81:Q83 N85:Q86 N89:Q91 N96:Q99 N102:Q103">
    <cfRule type="containsText" dxfId="9" priority="27792" operator="containsText" text="No">
      <formula>NOT(ISERROR(SEARCH(("No"),(N81))))</formula>
    </cfRule>
  </conditionalFormatting>
  <conditionalFormatting sqref="N81:Q83 N85:Q86 N89:Q91 N96:Q99 N102:Q103">
    <cfRule type="containsText" dxfId="9" priority="27793" operator="containsText" text="No">
      <formula>NOT(ISERROR(SEARCH(("No"),(N81))))</formula>
    </cfRule>
  </conditionalFormatting>
  <conditionalFormatting sqref="N81:Q83 N85:Q86 N89:Q91 N96:Q99 N102:Q103">
    <cfRule type="containsText" dxfId="2" priority="27794" operator="containsText" text="Yes">
      <formula>NOT(ISERROR(SEARCH(("Yes"),(N81))))</formula>
    </cfRule>
  </conditionalFormatting>
  <conditionalFormatting sqref="N81:Q83 N85:Q86 N89:Q91 N96:Q99 N102:Q103">
    <cfRule type="containsText" dxfId="2" priority="27795" operator="containsText" text="Yes">
      <formula>NOT(ISERROR(SEARCH(("Yes"),(N81))))</formula>
    </cfRule>
  </conditionalFormatting>
  <conditionalFormatting sqref="N81:Q83 N85:Q86 N89:Q91 N96:Q99 N102:Q103">
    <cfRule type="containsText" dxfId="2" priority="27796" operator="containsText" text="Yes">
      <formula>NOT(ISERROR(SEARCH(("Yes"),(N81))))</formula>
    </cfRule>
  </conditionalFormatting>
  <conditionalFormatting sqref="N81:Q83 N85:Q86 N89:Q91 N96:Q99 N102:Q103">
    <cfRule type="containsText" dxfId="2" priority="27797" operator="containsText" text="Yes">
      <formula>NOT(ISERROR(SEARCH(("Yes"),(N81))))</formula>
    </cfRule>
  </conditionalFormatting>
  <conditionalFormatting sqref="N81:Q83 N85:Q86 N89:Q91 N96:Q99 N102:Q103">
    <cfRule type="containsText" dxfId="2" priority="27798" operator="containsText" text="Yes">
      <formula>NOT(ISERROR(SEARCH(("Yes"),(N81))))</formula>
    </cfRule>
  </conditionalFormatting>
  <conditionalFormatting sqref="N81:Q83 N85:Q86 N89:Q91 N96:Q99 N102:Q103">
    <cfRule type="containsText" dxfId="2" priority="27799" operator="containsText" text="Yes">
      <formula>NOT(ISERROR(SEARCH(("Yes"),(N81))))</formula>
    </cfRule>
  </conditionalFormatting>
  <conditionalFormatting sqref="N81:Q83 N85:Q86 N89:Q91 N96:Q99 N102:Q103">
    <cfRule type="containsText" dxfId="2" priority="27800" operator="containsText" text="Yes">
      <formula>NOT(ISERROR(SEARCH(("Yes"),(N81))))</formula>
    </cfRule>
  </conditionalFormatting>
  <conditionalFormatting sqref="N81:Q83 N85:Q86 N89:Q91 N96:Q99 N102:Q103">
    <cfRule type="containsText" dxfId="2" priority="27801" operator="containsText" text="Yes">
      <formula>NOT(ISERROR(SEARCH(("Yes"),(N81))))</formula>
    </cfRule>
  </conditionalFormatting>
  <conditionalFormatting sqref="N81:Q83 N85:Q86 N89:Q91 N96:Q99 N102:Q103">
    <cfRule type="containsText" dxfId="2" priority="27802" operator="containsText" text="Yes">
      <formula>NOT(ISERROR(SEARCH(("Yes"),(N81))))</formula>
    </cfRule>
  </conditionalFormatting>
  <conditionalFormatting sqref="N81:Q83 N85:Q86 N89:Q91 N96:Q99 N102:Q103">
    <cfRule type="containsText" dxfId="2" priority="27803" operator="containsText" text="Yes">
      <formula>NOT(ISERROR(SEARCH(("Yes"),(N81))))</formula>
    </cfRule>
  </conditionalFormatting>
  <conditionalFormatting sqref="N81:Q83 N85:Q86 N89:Q91 N96:Q99 N102:Q103">
    <cfRule type="containsText" dxfId="2" priority="27804" operator="containsText" text="Yes">
      <formula>NOT(ISERROR(SEARCH(("Yes"),(N81))))</formula>
    </cfRule>
  </conditionalFormatting>
  <conditionalFormatting sqref="N81:Q83 N85:Q86 N89:Q91 N96:Q99 N102:Q103">
    <cfRule type="containsText" dxfId="2" priority="27805" operator="containsText" text="Yes">
      <formula>NOT(ISERROR(SEARCH(("Yes"),(N81))))</formula>
    </cfRule>
  </conditionalFormatting>
  <conditionalFormatting sqref="N81:Q83 N85:Q86 N89:Q91 N96:Q99 N102:Q103">
    <cfRule type="containsText" dxfId="2" priority="27806" operator="containsText" text="Yes">
      <formula>NOT(ISERROR(SEARCH(("Yes"),(N81))))</formula>
    </cfRule>
  </conditionalFormatting>
  <conditionalFormatting sqref="N81:Q83 N85:Q86 N89:Q91 N96:Q99 N102:Q103">
    <cfRule type="containsText" dxfId="2" priority="27807" operator="containsText" text="Yes">
      <formula>NOT(ISERROR(SEARCH(("Yes"),(N81))))</formula>
    </cfRule>
  </conditionalFormatting>
  <conditionalFormatting sqref="N81:Q83 N85:Q86 N89:Q91 N96:Q99 N102:Q103">
    <cfRule type="containsText" dxfId="2" priority="27808" operator="containsText" text="Yes">
      <formula>NOT(ISERROR(SEARCH(("Yes"),(N81))))</formula>
    </cfRule>
  </conditionalFormatting>
  <conditionalFormatting sqref="N81:Q83 N85:Q86 N89:Q91 N96:Q99 N102:Q103">
    <cfRule type="containsText" dxfId="2" priority="27809" operator="containsText" text="Yes">
      <formula>NOT(ISERROR(SEARCH(("Yes"),(N81))))</formula>
    </cfRule>
  </conditionalFormatting>
  <conditionalFormatting sqref="N81:Q83 N85:Q86 N89:Q91 N96:Q99 N102:Q103">
    <cfRule type="containsText" dxfId="2" priority="27810" operator="containsText" text="Yes">
      <formula>NOT(ISERROR(SEARCH(("Yes"),(N81))))</formula>
    </cfRule>
  </conditionalFormatting>
  <conditionalFormatting sqref="N81:Q83 N85:Q86 N89:Q91 N96:Q99 N102:Q103">
    <cfRule type="containsText" dxfId="2" priority="27811" operator="containsText" text="Yes">
      <formula>NOT(ISERROR(SEARCH(("Yes"),(N81))))</formula>
    </cfRule>
  </conditionalFormatting>
  <conditionalFormatting sqref="N81:Q83 N85:Q86 N89:Q91 N96:Q99 N102:Q103">
    <cfRule type="containsText" dxfId="2" priority="27812" operator="containsText" text="Yes">
      <formula>NOT(ISERROR(SEARCH(("Yes"),(N81))))</formula>
    </cfRule>
  </conditionalFormatting>
  <conditionalFormatting sqref="N81:Q83 N85:Q86 N89:Q91 N96:Q99 N102:Q103">
    <cfRule type="containsText" dxfId="2" priority="27813" operator="containsText" text="Yes">
      <formula>NOT(ISERROR(SEARCH(("Yes"),(N81))))</formula>
    </cfRule>
  </conditionalFormatting>
  <conditionalFormatting sqref="N81:Q83 N85:Q86 N89:Q91 N96:Q99 N102:Q103">
    <cfRule type="containsText" dxfId="2" priority="27814" operator="containsText" text="Yes">
      <formula>NOT(ISERROR(SEARCH(("Yes"),(N81))))</formula>
    </cfRule>
  </conditionalFormatting>
  <conditionalFormatting sqref="N81:Q83 N85:Q86 N89:Q91 N96:Q99 N102:Q103">
    <cfRule type="containsText" dxfId="2" priority="27815" operator="containsText" text="Yes">
      <formula>NOT(ISERROR(SEARCH(("Yes"),(N81))))</formula>
    </cfRule>
  </conditionalFormatting>
  <conditionalFormatting sqref="N81:Q83 N85:Q86 N89:Q91 N96:Q99 N102:Q103">
    <cfRule type="containsText" dxfId="2" priority="27816" operator="containsText" text="Yes">
      <formula>NOT(ISERROR(SEARCH(("Yes"),(N81))))</formula>
    </cfRule>
  </conditionalFormatting>
  <conditionalFormatting sqref="N81:Q83 N85:Q86 N89:Q91 N96:Q99 N102:Q103">
    <cfRule type="containsText" dxfId="2" priority="27817" operator="containsText" text="Yes">
      <formula>NOT(ISERROR(SEARCH(("Yes"),(N81))))</formula>
    </cfRule>
  </conditionalFormatting>
  <conditionalFormatting sqref="N81:Q83 N85:Q86 N89:Q91 N96:Q99 N102:Q103">
    <cfRule type="containsText" dxfId="2" priority="27818" operator="containsText" text="Yes">
      <formula>NOT(ISERROR(SEARCH(("Yes"),(N81))))</formula>
    </cfRule>
  </conditionalFormatting>
  <conditionalFormatting sqref="N81:Q83 N85:Q86 N89:Q91 N96:Q99 N102:Q103">
    <cfRule type="containsText" dxfId="2" priority="27819" operator="containsText" text="Yes">
      <formula>NOT(ISERROR(SEARCH(("Yes"),(N81))))</formula>
    </cfRule>
  </conditionalFormatting>
  <conditionalFormatting sqref="N81:Q83 N85:Q86 N89:Q91 N96:Q99 N102:Q103">
    <cfRule type="containsText" dxfId="2" priority="27820" operator="containsText" text="Yes">
      <formula>NOT(ISERROR(SEARCH(("Yes"),(N81))))</formula>
    </cfRule>
  </conditionalFormatting>
  <conditionalFormatting sqref="N81:Q83 N85:Q86 N89:Q91 N96:Q99 N102:Q103">
    <cfRule type="containsText" dxfId="2" priority="27821" operator="containsText" text="Yes">
      <formula>NOT(ISERROR(SEARCH(("Yes"),(N81))))</formula>
    </cfRule>
  </conditionalFormatting>
  <conditionalFormatting sqref="N81:Q83 N85:Q86 N89:Q91 N96:Q99 N102:Q103">
    <cfRule type="containsText" dxfId="2" priority="27822" operator="containsText" text="Yes">
      <formula>NOT(ISERROR(SEARCH(("Yes"),(N81))))</formula>
    </cfRule>
  </conditionalFormatting>
  <conditionalFormatting sqref="N81:Q83 N85:Q86 N89:Q91 N96:Q99 N102:Q103">
    <cfRule type="containsText" dxfId="2" priority="27823" operator="containsText" text="Yes">
      <formula>NOT(ISERROR(SEARCH(("Yes"),(N81))))</formula>
    </cfRule>
  </conditionalFormatting>
  <conditionalFormatting sqref="N81:Q83 N85:Q86 N89:Q91 N96:Q99 N102:Q103">
    <cfRule type="containsText" dxfId="2" priority="27824" operator="containsText" text="Yes">
      <formula>NOT(ISERROR(SEARCH(("Yes"),(N81))))</formula>
    </cfRule>
  </conditionalFormatting>
  <conditionalFormatting sqref="N81:Q83 N85:Q86 N89:Q91 N96:Q99 N102:Q103">
    <cfRule type="containsText" dxfId="2" priority="27825" operator="containsText" text="Yes">
      <formula>NOT(ISERROR(SEARCH(("Yes"),(N81))))</formula>
    </cfRule>
  </conditionalFormatting>
  <conditionalFormatting sqref="N81:Q83 N85:Q86 N89:Q91 N96:Q99 N102:Q103">
    <cfRule type="containsText" dxfId="2" priority="27826" operator="containsText" text="Yes">
      <formula>NOT(ISERROR(SEARCH(("Yes"),(N81))))</formula>
    </cfRule>
  </conditionalFormatting>
  <conditionalFormatting sqref="N81:Q83 N85:Q86 N89:Q91 N96:Q99 N102:Q103">
    <cfRule type="containsText" dxfId="2" priority="27827" operator="containsText" text="Yes">
      <formula>NOT(ISERROR(SEARCH(("Yes"),(N81))))</formula>
    </cfRule>
  </conditionalFormatting>
  <conditionalFormatting sqref="N81:Q83 N85:Q86 N89:Q91 N96:Q99 N102:Q103">
    <cfRule type="containsText" dxfId="2" priority="27828" operator="containsText" text="Yes">
      <formula>NOT(ISERROR(SEARCH(("Yes"),(N81))))</formula>
    </cfRule>
  </conditionalFormatting>
  <conditionalFormatting sqref="N81:Q83 N85:Q86 N89:Q91 N96:Q99 N102:Q103">
    <cfRule type="containsText" dxfId="2" priority="27829" operator="containsText" text="Yes">
      <formula>NOT(ISERROR(SEARCH(("Yes"),(N81))))</formula>
    </cfRule>
  </conditionalFormatting>
  <conditionalFormatting sqref="N81:Q83 N85:Q86 N89:Q91 N96:Q99 N102:Q103">
    <cfRule type="containsText" dxfId="2" priority="27830" operator="containsText" text="Yes">
      <formula>NOT(ISERROR(SEARCH(("Yes"),(N81))))</formula>
    </cfRule>
  </conditionalFormatting>
  <conditionalFormatting sqref="N81:Q83 N85:Q86 N89:Q91 N96:Q99 N102:Q103">
    <cfRule type="containsText" dxfId="2" priority="27831" operator="containsText" text="Yes">
      <formula>NOT(ISERROR(SEARCH(("Yes"),(N81))))</formula>
    </cfRule>
  </conditionalFormatting>
  <conditionalFormatting sqref="N81:Q83 N85:Q86 N89:Q91 N96:Q99 N102:Q103">
    <cfRule type="containsText" dxfId="2" priority="27832" operator="containsText" text="Yes">
      <formula>NOT(ISERROR(SEARCH(("Yes"),(N81))))</formula>
    </cfRule>
  </conditionalFormatting>
  <conditionalFormatting sqref="N81:Q83 N85:Q86 N89:Q91 N96:Q99 N102:Q103">
    <cfRule type="containsText" dxfId="2" priority="27833" operator="containsText" text="Yes">
      <formula>NOT(ISERROR(SEARCH(("Yes"),(N81))))</formula>
    </cfRule>
  </conditionalFormatting>
  <conditionalFormatting sqref="N81:Q83 N85:Q86 N89:Q91 N96:Q99 N102:Q103">
    <cfRule type="containsText" dxfId="2" priority="27834" operator="containsText" text="Yes">
      <formula>NOT(ISERROR(SEARCH(("Yes"),(N81))))</formula>
    </cfRule>
  </conditionalFormatting>
  <conditionalFormatting sqref="N81:Q83 N85:Q86 N89:Q91 N96:Q99 N102:Q103">
    <cfRule type="containsText" dxfId="2" priority="27835" operator="containsText" text="Yes">
      <formula>NOT(ISERROR(SEARCH(("Yes"),(N81))))</formula>
    </cfRule>
  </conditionalFormatting>
  <conditionalFormatting sqref="N81:Q83 N85:Q86 N89:Q91 N96:Q99 N102:Q103">
    <cfRule type="containsText" dxfId="2" priority="27836" operator="containsText" text="Yes">
      <formula>NOT(ISERROR(SEARCH(("Yes"),(N81))))</formula>
    </cfRule>
  </conditionalFormatting>
  <conditionalFormatting sqref="N81:Q83 N85:Q86 N89:Q91 N96:Q99 N102:Q103">
    <cfRule type="containsText" dxfId="2" priority="27837" operator="containsText" text="Yes">
      <formula>NOT(ISERROR(SEARCH(("Yes"),(N81))))</formula>
    </cfRule>
  </conditionalFormatting>
  <conditionalFormatting sqref="N81:Q83 N85:Q86 N89:Q91 N96:Q99 N102:Q103">
    <cfRule type="containsText" dxfId="2" priority="27838" operator="containsText" text="Yes">
      <formula>NOT(ISERROR(SEARCH(("Yes"),(N81))))</formula>
    </cfRule>
  </conditionalFormatting>
  <conditionalFormatting sqref="N81:Q83 N85:Q86 N89:Q91 N96:Q99 N102:Q103">
    <cfRule type="containsText" dxfId="2" priority="27839" operator="containsText" text="Yes">
      <formula>NOT(ISERROR(SEARCH(("Yes"),(N81))))</formula>
    </cfRule>
  </conditionalFormatting>
  <conditionalFormatting sqref="N81:Q83 N85:Q86 N89:Q91 N96:Q99 N102:Q103">
    <cfRule type="containsText" dxfId="2" priority="27840" operator="containsText" text="Yes">
      <formula>NOT(ISERROR(SEARCH(("Yes"),(N81))))</formula>
    </cfRule>
  </conditionalFormatting>
  <conditionalFormatting sqref="N82:N86 N88:N103 N106:N109 N111:N134 O122:P133 Q122:Q126 Q128:Q133 N136:N216 O136:Q139 O142:Q143 O146:Q152 O154:Q155 O159:Q159 O161:Q162 O164:Q167 O170:Q170 O172:Q172 O174:Q174 O176:Q176 O180:Q182 O184:Q184 O203 O205:O214 N222:N226 N228:N252 N254:N256 N258:N264 N267:N269 N272:N273 N275">
    <cfRule type="containsText" dxfId="9" priority="27841" operator="containsText" text="No">
      <formula>NOT(ISERROR(SEARCH(("No"),(N82))))</formula>
    </cfRule>
  </conditionalFormatting>
  <conditionalFormatting sqref="N82:N86 N88:N103 N106:N109 N111:N134 O122:P133 Q122:Q126 Q128:Q133 N136:N216 O136:Q139 O142:Q143 O146:Q152 O154:Q155 O159:Q159 O161:Q162 O164:Q167 O170:Q170 O172:Q172 O174:Q174 O176:Q176 O180:Q182 O184:Q184 O203 O205:O214 N222:N226 N228:N252 N254:N256 N258:N264 N267:N269 N272:N273 N275">
    <cfRule type="containsText" dxfId="2" priority="27842" operator="containsText" text="Yes">
      <formula>NOT(ISERROR(SEARCH(("Yes"),(N82))))</formula>
    </cfRule>
  </conditionalFormatting>
  <conditionalFormatting sqref="O82:O86 O88:O103 O106:O226 Q127 N139 P145 P150 N162 N164:N167 N170 N172 N174 N176 N180:N182 N184 N187:N216 N222:N226 N228:O252 N254:O256 N258:O264 N267:O269 N272:O273 N275:O275">
    <cfRule type="containsText" dxfId="9" priority="27843" operator="containsText" text="No">
      <formula>NOT(ISERROR(SEARCH(("No"),(O82))))</formula>
    </cfRule>
  </conditionalFormatting>
  <conditionalFormatting sqref="O82:O86 O88:O103 O106:O226 Q127 N139 P145 P150 N162 N164:N167 N170 N172 N174 N176 N180:N182 N184 N187:N216 N222:N226 N228:O252 N254:O256 N258:O264 N267:O269 N272:O273 N275:O275">
    <cfRule type="containsText" dxfId="9" priority="27844" operator="containsText" text="No">
      <formula>NOT(ISERROR(SEARCH(("No"),(O82))))</formula>
    </cfRule>
  </conditionalFormatting>
  <conditionalFormatting sqref="O82:O86 O88:O103 O106:O226 Q127 N139 P145 P150 N162 N164:N167 N170 N172 N174 N176 N180:N182 N184 N187:N216 N222:N226 N228:O252 N254:O256 N258:O264 N267:O269 N272:O273 N275:O275">
    <cfRule type="containsText" dxfId="9" priority="27845" operator="containsText" text="No">
      <formula>NOT(ISERROR(SEARCH(("No"),(O82))))</formula>
    </cfRule>
  </conditionalFormatting>
  <conditionalFormatting sqref="O82:O86 O88:O103 O106:O226 Q127 N139 P145 P150 N162 N164:N167 N170 N172 N174 N176 N180:N182 N184 N187:N216 N222:N226 N228:O252 N254:O256 N258:O264 N267:O269 N272:O273 N275:O275">
    <cfRule type="containsText" dxfId="2" priority="27846" operator="containsText" text="Yes">
      <formula>NOT(ISERROR(SEARCH(("Yes"),(O82))))</formula>
    </cfRule>
  </conditionalFormatting>
  <conditionalFormatting sqref="O82:O86 O88:O103 O106:O226 Q127 N139 P145 P150 N162 N164:N167 N170 N172 N174 N176 N180:N182 N184 N187:N216 N222:N226 N228:O252 N254:O256 N258:O264 N267:O269 N272:O273 N275:O275">
    <cfRule type="containsText" dxfId="2" priority="27847" operator="containsText" text="Yes">
      <formula>NOT(ISERROR(SEARCH(("Yes"),(O82))))</formula>
    </cfRule>
  </conditionalFormatting>
  <conditionalFormatting sqref="O82:O86 O88:O103 O106:O226 Q127 N139 P145 P150 N162 N164:N167 N170 N172 N174 N176 N180:N182 N184 N187:N216 N222:N226 N228:O252 N254:O256 N258:O264 N267:O269 N272:O273 N275:O275">
    <cfRule type="containsText" dxfId="2" priority="27848" operator="containsText" text="Yes">
      <formula>NOT(ISERROR(SEARCH(("Yes"),(O82))))</formula>
    </cfRule>
  </conditionalFormatting>
  <conditionalFormatting sqref="O82:O86 O88:O103 O106:O226 Q127 N139 P145 P150 N162 N164:N167 N170 N172 N174 N176 N180:N182 N184 N187:N216 N222:N226 N228:O252 N254:O256 N258:O264 N267:O269 N272:O273 N275:O275">
    <cfRule type="containsText" dxfId="2" priority="27849" operator="containsText" text="Yes">
      <formula>NOT(ISERROR(SEARCH(("Yes"),(O82))))</formula>
    </cfRule>
  </conditionalFormatting>
  <conditionalFormatting sqref="O82:O86 O88:O103 O106:O226 Q127 N139 P145 P150 N162 N164:N167 N170 N172 N174 N176 N180:N182 N184 N187:N216 N222:N226 N228:O252 N254:O256 N258:O264 N267:O269 N272:O273 N275:O275">
    <cfRule type="containsText" dxfId="2" priority="27850" operator="containsText" text="Yes">
      <formula>NOT(ISERROR(SEARCH(("Yes"),(O82))))</formula>
    </cfRule>
  </conditionalFormatting>
  <conditionalFormatting sqref="O82:O86 O88:O103 O106:O226 Q127 N139 P145 P150 N162 N164:N167 N170 N172 N174 N176 N180:N182 N184 N187:N216 N222:N226 N228:O252 N254:O256 N258:O264 N267:O269 N272:O273 N275:O275">
    <cfRule type="containsText" dxfId="9" priority="27851" operator="containsText" text="No">
      <formula>NOT(ISERROR(SEARCH(("No"),(O82))))</formula>
    </cfRule>
  </conditionalFormatting>
  <conditionalFormatting sqref="O82:O86 O88:O103 O106:O226 Q127 N139 P145 P150 N162 N164:N167 N170 N172 N174 N176 N180:N182 N184 N187:N216 N222:N226 N228:O252 N254:O256 N258:O264 N267:O269 N272:O273 N275:O275">
    <cfRule type="containsText" dxfId="9" priority="27852" operator="containsText" text="No">
      <formula>NOT(ISERROR(SEARCH(("No"),(O82))))</formula>
    </cfRule>
  </conditionalFormatting>
  <conditionalFormatting sqref="O82:O86 O88:O103 O106:O226 Q127 N139 P145 P150 N162 N164:N167 N170 N172 N174 N176 N180:N182 N184 N187:N216 N222:N226 N228:O252 N254:O256 N258:O264 N267:O269 N272:O273 N275:O275">
    <cfRule type="containsText" dxfId="2" priority="27853" operator="containsText" text="Yes">
      <formula>NOT(ISERROR(SEARCH(("Yes"),(O82))))</formula>
    </cfRule>
  </conditionalFormatting>
  <conditionalFormatting sqref="P82:Q83 P85:Q86 P89:Q91 P96:Q99 P102:Q103">
    <cfRule type="containsText" dxfId="9" priority="27854" operator="containsText" text="No">
      <formula>NOT(ISERROR(SEARCH(("No"),(P82))))</formula>
    </cfRule>
  </conditionalFormatting>
  <conditionalFormatting sqref="P82:Q83 P85:Q86 P89:Q91 P96:Q99 P102:Q103">
    <cfRule type="containsText" dxfId="9" priority="27855" operator="containsText" text="No">
      <formula>NOT(ISERROR(SEARCH(("No"),(P82))))</formula>
    </cfRule>
  </conditionalFormatting>
  <conditionalFormatting sqref="P82:Q83 P85:Q86 P89:Q91 P96:Q99 P102:Q103">
    <cfRule type="containsText" dxfId="9" priority="27856" operator="containsText" text="No">
      <formula>NOT(ISERROR(SEARCH(("No"),(P82))))</formula>
    </cfRule>
  </conditionalFormatting>
  <conditionalFormatting sqref="P82:Q83 P85:Q86 P89:Q91 P96:Q99 P102:Q103">
    <cfRule type="containsText" dxfId="9" priority="27857" operator="containsText" text="No">
      <formula>NOT(ISERROR(SEARCH(("No"),(P82))))</formula>
    </cfRule>
  </conditionalFormatting>
  <conditionalFormatting sqref="P82:Q83 P85:Q86 P89:Q91 P96:Q99 P102:Q103">
    <cfRule type="containsText" dxfId="9" priority="27858" operator="containsText" text="No">
      <formula>NOT(ISERROR(SEARCH(("No"),(P82))))</formula>
    </cfRule>
  </conditionalFormatting>
  <conditionalFormatting sqref="P82:Q83 P85:Q86 P89:Q91 P96:Q99 P102:Q103">
    <cfRule type="containsText" dxfId="9" priority="27859" operator="containsText" text="No">
      <formula>NOT(ISERROR(SEARCH(("No"),(P82))))</formula>
    </cfRule>
  </conditionalFormatting>
  <conditionalFormatting sqref="P82:Q83 P85:Q86 P89:Q91 P96:Q99 P102:Q103">
    <cfRule type="containsText" dxfId="9" priority="27860" operator="containsText" text="No">
      <formula>NOT(ISERROR(SEARCH(("No"),(P82))))</formula>
    </cfRule>
  </conditionalFormatting>
  <conditionalFormatting sqref="P82:Q83 P85:Q86 P89:Q91 P96:Q99 P102:Q103">
    <cfRule type="containsText" dxfId="9" priority="27861" operator="containsText" text="No">
      <formula>NOT(ISERROR(SEARCH(("No"),(P82))))</formula>
    </cfRule>
  </conditionalFormatting>
  <conditionalFormatting sqref="P82:Q83 P85:Q86 P89:Q91 P96:Q99 P102:Q103">
    <cfRule type="containsText" dxfId="9" priority="27862" operator="containsText" text="No">
      <formula>NOT(ISERROR(SEARCH(("No"),(P82))))</formula>
    </cfRule>
  </conditionalFormatting>
  <conditionalFormatting sqref="P82:Q83 P85:Q86 P89:Q91 P96:Q99 P102:Q103">
    <cfRule type="containsText" dxfId="9" priority="27863" operator="containsText" text="No">
      <formula>NOT(ISERROR(SEARCH(("No"),(P82))))</formula>
    </cfRule>
  </conditionalFormatting>
  <conditionalFormatting sqref="P82:Q83 P85:Q86 P89:Q91 P96:Q99 P102:Q103">
    <cfRule type="containsText" dxfId="9" priority="27864" operator="containsText" text="No">
      <formula>NOT(ISERROR(SEARCH(("No"),(P82))))</formula>
    </cfRule>
  </conditionalFormatting>
  <conditionalFormatting sqref="P82:Q83 P85:Q86 P89:Q91 P96:Q99 P102:Q103">
    <cfRule type="containsText" dxfId="9" priority="27865" operator="containsText" text="No">
      <formula>NOT(ISERROR(SEARCH(("No"),(P82))))</formula>
    </cfRule>
  </conditionalFormatting>
  <conditionalFormatting sqref="P82:Q83 P85:Q86 P89:Q91 P96:Q99 P102:Q103">
    <cfRule type="containsText" dxfId="9" priority="27866" operator="containsText" text="No">
      <formula>NOT(ISERROR(SEARCH(("No"),(P82))))</formula>
    </cfRule>
  </conditionalFormatting>
  <conditionalFormatting sqref="P82:Q83 P85:Q86 P89:Q91 P96:Q99 P102:Q103">
    <cfRule type="containsText" dxfId="9" priority="27867" operator="containsText" text="No">
      <formula>NOT(ISERROR(SEARCH(("No"),(P82))))</formula>
    </cfRule>
  </conditionalFormatting>
  <conditionalFormatting sqref="P82:Q83 P85:Q86 P89:Q91 P96:Q99 P102:Q103">
    <cfRule type="containsText" dxfId="9" priority="27868" operator="containsText" text="No">
      <formula>NOT(ISERROR(SEARCH(("No"),(P82))))</formula>
    </cfRule>
  </conditionalFormatting>
  <conditionalFormatting sqref="P82:Q83 P85:Q86 P89:Q91 P96:Q99 P102:Q103">
    <cfRule type="containsText" dxfId="9" priority="27869" operator="containsText" text="No">
      <formula>NOT(ISERROR(SEARCH(("No"),(P82))))</formula>
    </cfRule>
  </conditionalFormatting>
  <conditionalFormatting sqref="P82:Q83 P85:Q86 P89:Q91 P96:Q99 P102:Q103">
    <cfRule type="containsText" dxfId="9" priority="27870" operator="containsText" text="No">
      <formula>NOT(ISERROR(SEARCH(("No"),(P82))))</formula>
    </cfRule>
  </conditionalFormatting>
  <conditionalFormatting sqref="P82:Q83 P85:Q86 P89:Q91 P96:Q99 P102:Q103">
    <cfRule type="containsText" dxfId="9" priority="27871" operator="containsText" text="No">
      <formula>NOT(ISERROR(SEARCH(("No"),(P82))))</formula>
    </cfRule>
  </conditionalFormatting>
  <conditionalFormatting sqref="P82:Q83 P85:Q86 P89:Q91 P96:Q99 P102:Q103">
    <cfRule type="containsText" dxfId="9" priority="27872" operator="containsText" text="No">
      <formula>NOT(ISERROR(SEARCH(("No"),(P82))))</formula>
    </cfRule>
  </conditionalFormatting>
  <conditionalFormatting sqref="P82:Q83 P85:Q86 P89:Q91 P96:Q99 P102:Q103">
    <cfRule type="containsText" dxfId="9" priority="27873" operator="containsText" text="No">
      <formula>NOT(ISERROR(SEARCH(("No"),(P82))))</formula>
    </cfRule>
  </conditionalFormatting>
  <conditionalFormatting sqref="P82:Q83 P85:Q86 P89:Q91 P96:Q99 P102:Q103">
    <cfRule type="containsText" dxfId="9" priority="27874" operator="containsText" text="No">
      <formula>NOT(ISERROR(SEARCH(("No"),(P82))))</formula>
    </cfRule>
  </conditionalFormatting>
  <conditionalFormatting sqref="P82:Q83 P85:Q86 P89:Q91 P96:Q99 P102:Q103">
    <cfRule type="containsText" dxfId="9" priority="27875" operator="containsText" text="No">
      <formula>NOT(ISERROR(SEARCH(("No"),(P82))))</formula>
    </cfRule>
  </conditionalFormatting>
  <conditionalFormatting sqref="P82:Q83 P85:Q86 P89:Q91 P96:Q99 P102:Q103">
    <cfRule type="containsText" dxfId="9" priority="27876" operator="containsText" text="No">
      <formula>NOT(ISERROR(SEARCH(("No"),(P82))))</formula>
    </cfRule>
  </conditionalFormatting>
  <conditionalFormatting sqref="P82:Q83 P85:Q86 P89:Q91 P96:Q99 P102:Q103">
    <cfRule type="containsText" dxfId="9" priority="27877" operator="containsText" text="No">
      <formula>NOT(ISERROR(SEARCH(("No"),(P82))))</formula>
    </cfRule>
  </conditionalFormatting>
  <conditionalFormatting sqref="P82:Q83 P85:Q86 P89:Q91 P96:Q99 P102:Q103">
    <cfRule type="containsText" dxfId="9" priority="27878" operator="containsText" text="No">
      <formula>NOT(ISERROR(SEARCH(("No"),(P82))))</formula>
    </cfRule>
  </conditionalFormatting>
  <conditionalFormatting sqref="P82:Q83 P85:Q86 P89:Q91 P96:Q99 P102:Q103">
    <cfRule type="containsText" dxfId="9" priority="27879" operator="containsText" text="No">
      <formula>NOT(ISERROR(SEARCH(("No"),(P82))))</formula>
    </cfRule>
  </conditionalFormatting>
  <conditionalFormatting sqref="P82:Q83 P85:Q86 P89:Q91 P96:Q99 P102:Q103">
    <cfRule type="containsText" dxfId="9" priority="27880" operator="containsText" text="No">
      <formula>NOT(ISERROR(SEARCH(("No"),(P82))))</formula>
    </cfRule>
  </conditionalFormatting>
  <conditionalFormatting sqref="P82:Q83 P85:Q86 P89:Q91 P96:Q99 P102:Q103">
    <cfRule type="containsText" dxfId="9" priority="27881" operator="containsText" text="No">
      <formula>NOT(ISERROR(SEARCH(("No"),(P82))))</formula>
    </cfRule>
  </conditionalFormatting>
  <conditionalFormatting sqref="P82:Q83 P85:Q86 P89:Q91 P96:Q99 P102:Q103">
    <cfRule type="containsText" dxfId="9" priority="27882" operator="containsText" text="No">
      <formula>NOT(ISERROR(SEARCH(("No"),(P82))))</formula>
    </cfRule>
  </conditionalFormatting>
  <conditionalFormatting sqref="P82:Q83 P85:Q86 P89:Q91 P96:Q99 P102:Q103">
    <cfRule type="containsText" dxfId="9" priority="27883" operator="containsText" text="No">
      <formula>NOT(ISERROR(SEARCH(("No"),(P82))))</formula>
    </cfRule>
  </conditionalFormatting>
  <conditionalFormatting sqref="P82:Q83 P85:Q86 P89:Q91 P96:Q99 P102:Q103">
    <cfRule type="containsText" dxfId="9" priority="27884" operator="containsText" text="No">
      <formula>NOT(ISERROR(SEARCH(("No"),(P82))))</formula>
    </cfRule>
  </conditionalFormatting>
  <conditionalFormatting sqref="P82:Q83 P85:Q86 P89:Q91 P96:Q99 P102:Q103">
    <cfRule type="containsText" dxfId="9" priority="27885" operator="containsText" text="No">
      <formula>NOT(ISERROR(SEARCH(("No"),(P82))))</formula>
    </cfRule>
  </conditionalFormatting>
  <conditionalFormatting sqref="P82:Q83 P85:Q86 P89:Q91 P96:Q99 P102:Q103">
    <cfRule type="containsText" dxfId="9" priority="27886" operator="containsText" text="No">
      <formula>NOT(ISERROR(SEARCH(("No"),(P82))))</formula>
    </cfRule>
  </conditionalFormatting>
  <conditionalFormatting sqref="P82:Q83 P85:Q86 P89:Q91 P96:Q99 P102:Q103">
    <cfRule type="containsText" dxfId="9" priority="27887" operator="containsText" text="No">
      <formula>NOT(ISERROR(SEARCH(("No"),(P82))))</formula>
    </cfRule>
  </conditionalFormatting>
  <conditionalFormatting sqref="P82:Q83 P85:Q86 P89:Q91 P96:Q99 P102:Q103">
    <cfRule type="containsText" dxfId="9" priority="27888" operator="containsText" text="No">
      <formula>NOT(ISERROR(SEARCH(("No"),(P82))))</formula>
    </cfRule>
  </conditionalFormatting>
  <conditionalFormatting sqref="P82:Q83 P85:Q86 P89:Q91 P96:Q99 P102:Q103">
    <cfRule type="containsText" dxfId="9" priority="27889" operator="containsText" text="No">
      <formula>NOT(ISERROR(SEARCH(("No"),(P82))))</formula>
    </cfRule>
  </conditionalFormatting>
  <conditionalFormatting sqref="P82:Q83 P85:Q86 P89:Q91 P96:Q99 P102:Q103">
    <cfRule type="containsText" dxfId="9" priority="27890" operator="containsText" text="No">
      <formula>NOT(ISERROR(SEARCH(("No"),(P82))))</formula>
    </cfRule>
  </conditionalFormatting>
  <conditionalFormatting sqref="P82:Q83 P85:Q86 P89:Q91 P96:Q99 P102:Q103">
    <cfRule type="containsText" dxfId="9" priority="27891" operator="containsText" text="No">
      <formula>NOT(ISERROR(SEARCH(("No"),(P82))))</formula>
    </cfRule>
  </conditionalFormatting>
  <conditionalFormatting sqref="P82:Q83 P85:Q86 P89:Q91 P96:Q99 P102:Q103">
    <cfRule type="containsText" dxfId="9" priority="27892" operator="containsText" text="No">
      <formula>NOT(ISERROR(SEARCH(("No"),(P82))))</formula>
    </cfRule>
  </conditionalFormatting>
  <conditionalFormatting sqref="P82:Q83 P85:Q86 P89:Q91 P96:Q99 P102:Q103">
    <cfRule type="containsText" dxfId="9" priority="27893" operator="containsText" text="No">
      <formula>NOT(ISERROR(SEARCH(("No"),(P82))))</formula>
    </cfRule>
  </conditionalFormatting>
  <conditionalFormatting sqref="P82:Q83 P85:Q86 P89:Q91 P96:Q99 P102:Q103">
    <cfRule type="containsText" dxfId="9" priority="27894" operator="containsText" text="No">
      <formula>NOT(ISERROR(SEARCH(("No"),(P82))))</formula>
    </cfRule>
  </conditionalFormatting>
  <conditionalFormatting sqref="P82:Q83 P85:Q86 P89:Q91 P96:Q99 P102:Q103">
    <cfRule type="containsText" dxfId="9" priority="27895" operator="containsText" text="No">
      <formula>NOT(ISERROR(SEARCH(("No"),(P82))))</formula>
    </cfRule>
  </conditionalFormatting>
  <conditionalFormatting sqref="P82:Q83 P85:Q86 P89:Q91 P96:Q99 P102:Q103">
    <cfRule type="containsText" dxfId="9" priority="27896" operator="containsText" text="No">
      <formula>NOT(ISERROR(SEARCH(("No"),(P82))))</formula>
    </cfRule>
  </conditionalFormatting>
  <conditionalFormatting sqref="P82:Q83 P85:Q86 P89:Q91 P96:Q99 P102:Q103">
    <cfRule type="containsText" dxfId="9" priority="27897" operator="containsText" text="No">
      <formula>NOT(ISERROR(SEARCH(("No"),(P82))))</formula>
    </cfRule>
  </conditionalFormatting>
  <conditionalFormatting sqref="P82:Q83 P85:Q86 P89:Q91 P96:Q99 P102:Q103">
    <cfRule type="containsText" dxfId="9" priority="27898" operator="containsText" text="No">
      <formula>NOT(ISERROR(SEARCH(("No"),(P82))))</formula>
    </cfRule>
  </conditionalFormatting>
  <conditionalFormatting sqref="P82:Q83 P85:Q86 P89:Q91 P96:Q99 P102:Q103">
    <cfRule type="containsText" dxfId="2" priority="27899" operator="containsText" text="Yes">
      <formula>NOT(ISERROR(SEARCH(("Yes"),(P82))))</formula>
    </cfRule>
  </conditionalFormatting>
  <conditionalFormatting sqref="P82:Q83 P85:Q86 P89:Q91 P96:Q99 P102:Q103">
    <cfRule type="containsText" dxfId="2" priority="27900" operator="containsText" text="Yes">
      <formula>NOT(ISERROR(SEARCH(("Yes"),(P82))))</formula>
    </cfRule>
  </conditionalFormatting>
  <conditionalFormatting sqref="P82:Q83 P85:Q86 P89:Q91 P96:Q99 P102:Q103">
    <cfRule type="containsText" dxfId="2" priority="27901" operator="containsText" text="Yes">
      <formula>NOT(ISERROR(SEARCH(("Yes"),(P82))))</formula>
    </cfRule>
  </conditionalFormatting>
  <conditionalFormatting sqref="P82:Q83 P85:Q86 P89:Q91 P96:Q99 P102:Q103">
    <cfRule type="containsText" dxfId="2" priority="27902" operator="containsText" text="Yes">
      <formula>NOT(ISERROR(SEARCH(("Yes"),(P82))))</formula>
    </cfRule>
  </conditionalFormatting>
  <conditionalFormatting sqref="P82:Q83 P85:Q86 P89:Q91 P96:Q99 P102:Q103">
    <cfRule type="containsText" dxfId="2" priority="27903" operator="containsText" text="Yes">
      <formula>NOT(ISERROR(SEARCH(("Yes"),(P82))))</formula>
    </cfRule>
  </conditionalFormatting>
  <conditionalFormatting sqref="P82:Q83 P85:Q86 P89:Q91 P96:Q99 P102:Q103">
    <cfRule type="containsText" dxfId="2" priority="27904" operator="containsText" text="Yes">
      <formula>NOT(ISERROR(SEARCH(("Yes"),(P82))))</formula>
    </cfRule>
  </conditionalFormatting>
  <conditionalFormatting sqref="P82:Q83 P85:Q86 P89:Q91 P96:Q99 P102:Q103">
    <cfRule type="containsText" dxfId="2" priority="27905" operator="containsText" text="Yes">
      <formula>NOT(ISERROR(SEARCH(("Yes"),(P82))))</formula>
    </cfRule>
  </conditionalFormatting>
  <conditionalFormatting sqref="P82:Q83 P85:Q86 P89:Q91 P96:Q99 P102:Q103">
    <cfRule type="containsText" dxfId="2" priority="27906" operator="containsText" text="Yes">
      <formula>NOT(ISERROR(SEARCH(("Yes"),(P82))))</formula>
    </cfRule>
  </conditionalFormatting>
  <conditionalFormatting sqref="P82:Q83 P85:Q86 P89:Q91 P96:Q99 P102:Q103">
    <cfRule type="containsText" dxfId="2" priority="27907" operator="containsText" text="Yes">
      <formula>NOT(ISERROR(SEARCH(("Yes"),(P82))))</formula>
    </cfRule>
  </conditionalFormatting>
  <conditionalFormatting sqref="P82:Q83 P85:Q86 P89:Q91 P96:Q99 P102:Q103">
    <cfRule type="containsText" dxfId="2" priority="27908" operator="containsText" text="Yes">
      <formula>NOT(ISERROR(SEARCH(("Yes"),(P82))))</formula>
    </cfRule>
  </conditionalFormatting>
  <conditionalFormatting sqref="P82:Q83 P85:Q86 P89:Q91 P96:Q99 P102:Q103">
    <cfRule type="containsText" dxfId="2" priority="27909" operator="containsText" text="Yes">
      <formula>NOT(ISERROR(SEARCH(("Yes"),(P82))))</formula>
    </cfRule>
  </conditionalFormatting>
  <conditionalFormatting sqref="P82:Q83 P85:Q86 P89:Q91 P96:Q99 P102:Q103">
    <cfRule type="containsText" dxfId="2" priority="27910" operator="containsText" text="Yes">
      <formula>NOT(ISERROR(SEARCH(("Yes"),(P82))))</formula>
    </cfRule>
  </conditionalFormatting>
  <conditionalFormatting sqref="P82:Q83 P85:Q86 P89:Q91 P96:Q99 P102:Q103">
    <cfRule type="containsText" dxfId="2" priority="27911" operator="containsText" text="Yes">
      <formula>NOT(ISERROR(SEARCH(("Yes"),(P82))))</formula>
    </cfRule>
  </conditionalFormatting>
  <conditionalFormatting sqref="P82:Q83 P85:Q86 P89:Q91 P96:Q99 P102:Q103">
    <cfRule type="containsText" dxfId="2" priority="27912" operator="containsText" text="Yes">
      <formula>NOT(ISERROR(SEARCH(("Yes"),(P82))))</formula>
    </cfRule>
  </conditionalFormatting>
  <conditionalFormatting sqref="P82:Q83 P85:Q86 P89:Q91 P96:Q99 P102:Q103">
    <cfRule type="containsText" dxfId="2" priority="27913" operator="containsText" text="Yes">
      <formula>NOT(ISERROR(SEARCH(("Yes"),(P82))))</formula>
    </cfRule>
  </conditionalFormatting>
  <conditionalFormatting sqref="P82:Q83 P85:Q86 P89:Q91 P96:Q99 P102:Q103">
    <cfRule type="containsText" dxfId="2" priority="27914" operator="containsText" text="Yes">
      <formula>NOT(ISERROR(SEARCH(("Yes"),(P82))))</formula>
    </cfRule>
  </conditionalFormatting>
  <conditionalFormatting sqref="P82:Q83 P85:Q86 P89:Q91 P96:Q99 P102:Q103">
    <cfRule type="containsText" dxfId="2" priority="27915" operator="containsText" text="Yes">
      <formula>NOT(ISERROR(SEARCH(("Yes"),(P82))))</formula>
    </cfRule>
  </conditionalFormatting>
  <conditionalFormatting sqref="P82:Q83 P85:Q86 P89:Q91 P96:Q99 P102:Q103">
    <cfRule type="containsText" dxfId="2" priority="27916" operator="containsText" text="Yes">
      <formula>NOT(ISERROR(SEARCH(("Yes"),(P82))))</formula>
    </cfRule>
  </conditionalFormatting>
  <conditionalFormatting sqref="P82:Q83 P85:Q86 P89:Q91 P96:Q99 P102:Q103">
    <cfRule type="containsText" dxfId="2" priority="27917" operator="containsText" text="Yes">
      <formula>NOT(ISERROR(SEARCH(("Yes"),(P82))))</formula>
    </cfRule>
  </conditionalFormatting>
  <conditionalFormatting sqref="P82:Q83 P85:Q86 P89:Q91 P96:Q99 P102:Q103">
    <cfRule type="containsText" dxfId="2" priority="27918" operator="containsText" text="Yes">
      <formula>NOT(ISERROR(SEARCH(("Yes"),(P82))))</formula>
    </cfRule>
  </conditionalFormatting>
  <conditionalFormatting sqref="P82:Q83 P85:Q86 P89:Q91 P96:Q99 P102:Q103">
    <cfRule type="containsText" dxfId="2" priority="27919" operator="containsText" text="Yes">
      <formula>NOT(ISERROR(SEARCH(("Yes"),(P82))))</formula>
    </cfRule>
  </conditionalFormatting>
  <conditionalFormatting sqref="P82:Q83 P85:Q86 P89:Q91 P96:Q99 P102:Q103">
    <cfRule type="containsText" dxfId="2" priority="27920" operator="containsText" text="Yes">
      <formula>NOT(ISERROR(SEARCH(("Yes"),(P82))))</formula>
    </cfRule>
  </conditionalFormatting>
  <conditionalFormatting sqref="P82:Q83 P85:Q86 P89:Q91 P96:Q99 P102:Q103">
    <cfRule type="containsText" dxfId="2" priority="27921" operator="containsText" text="Yes">
      <formula>NOT(ISERROR(SEARCH(("Yes"),(P82))))</formula>
    </cfRule>
  </conditionalFormatting>
  <conditionalFormatting sqref="P82:Q83 P85:Q86 P89:Q91 P96:Q99 P102:Q103">
    <cfRule type="containsText" dxfId="2" priority="27922" operator="containsText" text="Yes">
      <formula>NOT(ISERROR(SEARCH(("Yes"),(P82))))</formula>
    </cfRule>
  </conditionalFormatting>
  <conditionalFormatting sqref="P82:Q83 P85:Q86 P89:Q91 P96:Q99 P102:Q103">
    <cfRule type="containsText" dxfId="2" priority="27923" operator="containsText" text="Yes">
      <formula>NOT(ISERROR(SEARCH(("Yes"),(P82))))</formula>
    </cfRule>
  </conditionalFormatting>
  <conditionalFormatting sqref="P82:Q83 P85:Q86 P89:Q91 P96:Q99 P102:Q103">
    <cfRule type="containsText" dxfId="2" priority="27924" operator="containsText" text="Yes">
      <formula>NOT(ISERROR(SEARCH(("Yes"),(P82))))</formula>
    </cfRule>
  </conditionalFormatting>
  <conditionalFormatting sqref="P82:Q83 P85:Q86 P89:Q91 P96:Q99 P102:Q103">
    <cfRule type="containsText" dxfId="2" priority="27925" operator="containsText" text="Yes">
      <formula>NOT(ISERROR(SEARCH(("Yes"),(P82))))</formula>
    </cfRule>
  </conditionalFormatting>
  <conditionalFormatting sqref="P82:Q83 P85:Q86 P89:Q91 P96:Q99 P102:Q103">
    <cfRule type="containsText" dxfId="2" priority="27926" operator="containsText" text="Yes">
      <formula>NOT(ISERROR(SEARCH(("Yes"),(P82))))</formula>
    </cfRule>
  </conditionalFormatting>
  <conditionalFormatting sqref="P82:Q83 P85:Q86 P89:Q91 P96:Q99 P102:Q103">
    <cfRule type="containsText" dxfId="2" priority="27927" operator="containsText" text="Yes">
      <formula>NOT(ISERROR(SEARCH(("Yes"),(P82))))</formula>
    </cfRule>
  </conditionalFormatting>
  <conditionalFormatting sqref="P82:Q83 P85:Q86 P89:Q91 P96:Q99 P102:Q103">
    <cfRule type="containsText" dxfId="2" priority="27928" operator="containsText" text="Yes">
      <formula>NOT(ISERROR(SEARCH(("Yes"),(P82))))</formula>
    </cfRule>
  </conditionalFormatting>
  <conditionalFormatting sqref="P82:Q83 P85:Q86 P89:Q91 P96:Q99 P102:Q103">
    <cfRule type="containsText" dxfId="2" priority="27929" operator="containsText" text="Yes">
      <formula>NOT(ISERROR(SEARCH(("Yes"),(P82))))</formula>
    </cfRule>
  </conditionalFormatting>
  <conditionalFormatting sqref="P82:Q83 P85:Q86 P89:Q91 P96:Q99 P102:Q103">
    <cfRule type="containsText" dxfId="2" priority="27930" operator="containsText" text="Yes">
      <formula>NOT(ISERROR(SEARCH(("Yes"),(P82))))</formula>
    </cfRule>
  </conditionalFormatting>
  <conditionalFormatting sqref="P82:Q83 P85:Q86 P89:Q91 P96:Q99 P102:Q103">
    <cfRule type="containsText" dxfId="2" priority="27931" operator="containsText" text="Yes">
      <formula>NOT(ISERROR(SEARCH(("Yes"),(P82))))</formula>
    </cfRule>
  </conditionalFormatting>
  <conditionalFormatting sqref="P82:Q83 P85:Q86 P89:Q91 P96:Q99 P102:Q103">
    <cfRule type="containsText" dxfId="2" priority="27932" operator="containsText" text="Yes">
      <formula>NOT(ISERROR(SEARCH(("Yes"),(P82))))</formula>
    </cfRule>
  </conditionalFormatting>
  <conditionalFormatting sqref="P82:Q83 P85:Q86 P89:Q91 P96:Q99 P102:Q103">
    <cfRule type="containsText" dxfId="2" priority="27933" operator="containsText" text="Yes">
      <formula>NOT(ISERROR(SEARCH(("Yes"),(P82))))</formula>
    </cfRule>
  </conditionalFormatting>
  <conditionalFormatting sqref="P82:Q83 P85:Q86 P89:Q91 P96:Q99 P102:Q103">
    <cfRule type="containsText" dxfId="2" priority="27934" operator="containsText" text="Yes">
      <formula>NOT(ISERROR(SEARCH(("Yes"),(P82))))</formula>
    </cfRule>
  </conditionalFormatting>
  <conditionalFormatting sqref="P82:Q83 P85:Q86 P89:Q91 P96:Q99 P102:Q103">
    <cfRule type="containsText" dxfId="2" priority="27935" operator="containsText" text="Yes">
      <formula>NOT(ISERROR(SEARCH(("Yes"),(P82))))</formula>
    </cfRule>
  </conditionalFormatting>
  <conditionalFormatting sqref="P82:Q83 P85:Q86 P89:Q91 P96:Q99 P102:Q103">
    <cfRule type="containsText" dxfId="2" priority="27936" operator="containsText" text="Yes">
      <formula>NOT(ISERROR(SEARCH(("Yes"),(P82))))</formula>
    </cfRule>
  </conditionalFormatting>
  <conditionalFormatting sqref="P82:Q83 P85:Q86 P89:Q91 P96:Q99 P102:Q103">
    <cfRule type="containsText" dxfId="2" priority="27937" operator="containsText" text="Yes">
      <formula>NOT(ISERROR(SEARCH(("Yes"),(P82))))</formula>
    </cfRule>
  </conditionalFormatting>
  <conditionalFormatting sqref="P82:Q83 P85:Q86 P89:Q91 P96:Q99 P102:Q103">
    <cfRule type="containsText" dxfId="2" priority="27938" operator="containsText" text="Yes">
      <formula>NOT(ISERROR(SEARCH(("Yes"),(P82))))</formula>
    </cfRule>
  </conditionalFormatting>
  <conditionalFormatting sqref="P82:Q83 P85:Q86 P89:Q91 P96:Q99 P102:Q103">
    <cfRule type="containsText" dxfId="2" priority="27939" operator="containsText" text="Yes">
      <formula>NOT(ISERROR(SEARCH(("Yes"),(P82))))</formula>
    </cfRule>
  </conditionalFormatting>
  <conditionalFormatting sqref="P82:Q83 P85:Q86 P89:Q91 P96:Q99 P102:Q103">
    <cfRule type="containsText" dxfId="2" priority="27940" operator="containsText" text="Yes">
      <formula>NOT(ISERROR(SEARCH(("Yes"),(P82))))</formula>
    </cfRule>
  </conditionalFormatting>
  <conditionalFormatting sqref="P82:Q83 P85:Q86 P89:Q91 P96:Q99 P102:Q103">
    <cfRule type="containsText" dxfId="2" priority="27941" operator="containsText" text="Yes">
      <formula>NOT(ISERROR(SEARCH(("Yes"),(P82))))</formula>
    </cfRule>
  </conditionalFormatting>
  <conditionalFormatting sqref="P82:Q83 P85:Q86 P89:Q91 P96:Q99 P102:Q103">
    <cfRule type="containsText" dxfId="2" priority="27942" operator="containsText" text="Yes">
      <formula>NOT(ISERROR(SEARCH(("Yes"),(P82))))</formula>
    </cfRule>
  </conditionalFormatting>
  <conditionalFormatting sqref="P82:Q83 P85:Q86 P89:Q91 P96:Q99 P102:Q103">
    <cfRule type="containsText" dxfId="2" priority="27943" operator="containsText" text="Yes">
      <formula>NOT(ISERROR(SEARCH(("Yes"),(P82))))</formula>
    </cfRule>
  </conditionalFormatting>
  <conditionalFormatting sqref="P82:Q83 P85:Q86 P89:Q91 P96:Q99 P102:Q103">
    <cfRule type="containsText" dxfId="2" priority="27944" operator="containsText" text="Yes">
      <formula>NOT(ISERROR(SEARCH(("Yes"),(P82))))</formula>
    </cfRule>
  </conditionalFormatting>
  <conditionalFormatting sqref="P82:Q83 P85:Q86 P89:Q91 P96:Q99 P102:Q103">
    <cfRule type="containsText" dxfId="2" priority="27945" operator="containsText" text="Yes">
      <formula>NOT(ISERROR(SEARCH(("Yes"),(P82))))</formula>
    </cfRule>
  </conditionalFormatting>
  <conditionalFormatting sqref="P83:Q85 P88:Q103 P106:Q109 P111:Q126 P128:Q134 P136:P164 Q136:Q216 O145 P166:P169 P171:P216 U204:V204 P222:Q226 P228:Q252 P254:Q256 P258:Q264 O261:O264 O267:Q269 P272:Q275 O275">
    <cfRule type="containsText" dxfId="9" priority="27946"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47"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48"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49"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50"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51"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52"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53"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54"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55"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56"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57"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58"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59"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60"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61"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62"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63"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64"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65"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66"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67"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68"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69"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70"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71"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72"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73"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74"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75"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76"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77"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78"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79"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80"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81"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82"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83"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84"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85"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86"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87"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88"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89"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9" priority="27990" operator="containsText" text="No">
      <formula>NOT(ISERROR(SEARCH(("No"),(P83))))</formula>
    </cfRule>
  </conditionalFormatting>
  <conditionalFormatting sqref="P83:Q85 P88:Q103 P106:Q109 P111:Q126 P128:Q134 P136:P164 Q136:Q216 O145 P166:P169 P171:P216 U204:V204 P222:Q226 P228:Q252 P254:Q256 P258:Q264 O261:O264 O267:Q269 P272:Q275 O275">
    <cfRule type="containsText" dxfId="2" priority="27991"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7992"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7993"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7994"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7995"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7996"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7997"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7998"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7999"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00"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01"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02"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03"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04"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05"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06"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07"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08"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09"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10"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11"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12"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13"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14"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15"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16"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17"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18"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19"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20"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21"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22"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23"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24"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25"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26"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27"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28"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29"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30"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31"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32"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33"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34"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35"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36" operator="containsText" text="Yes">
      <formula>NOT(ISERROR(SEARCH(("Yes"),(P83))))</formula>
    </cfRule>
  </conditionalFormatting>
  <conditionalFormatting sqref="P83:Q85 P88:Q103 P106:Q109 P111:Q126 P128:Q134 P136:P164 Q136:Q216 O145 P166:P169 P171:P216 U204:V204 P222:Q226 P228:Q252 P254:Q256 P258:Q264 O261:O264 O267:Q269 P272:Q275 O275">
    <cfRule type="containsText" dxfId="2" priority="28037" operator="containsText" text="Yes">
      <formula>NOT(ISERROR(SEARCH(("Yes"),(P83))))</formula>
    </cfRule>
  </conditionalFormatting>
  <conditionalFormatting sqref="N84:Q85 N88:Q103 N106:N109 O106:O226 P106:Q109 N111:N134 P111:Q134 N136:N216 P136:Q216 U204:V204 N222:N226 P222:Q226 N228:Q252 N254:Q256 N258:Q264 N267:Q269 N272:O273 P272:Q275 N275:O275">
    <cfRule type="containsText" dxfId="9" priority="28038"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39"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40"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41"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42"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43"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44"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45"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46"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47"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48"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49"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50"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51"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52"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53"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54"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55"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56"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57"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58"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59"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60"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61"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62"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63"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64"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65"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66"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67"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68"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69"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70"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71"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72"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73"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74"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75"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76"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77"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78"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79"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80"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81"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9" priority="28082" operator="containsText" text="No">
      <formula>NOT(ISERROR(SEARCH(("No"),(N84))))</formula>
    </cfRule>
  </conditionalFormatting>
  <conditionalFormatting sqref="N84:Q85 N88:Q103 N106:N109 O106:O226 P106:Q109 N111:N134 P111:Q134 N136:N216 P136:Q216 U204:V204 N222:N226 P222:Q226 N228:Q252 N254:Q256 N258:Q264 N267:Q269 N272:O273 P272:Q275 N275:O275">
    <cfRule type="containsText" dxfId="2" priority="28083"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84"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85"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86"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87"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88"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89"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90"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91"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92"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93"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94"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95"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96"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97"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98"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099"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00"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01"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02"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03"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04"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05"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06"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07"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08"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09"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10"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11"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12"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13"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14"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15"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16"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17"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18"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19"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20"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21"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22"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23"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24"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25"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26"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27"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28" operator="containsText" text="Yes">
      <formula>NOT(ISERROR(SEARCH(("Yes"),(N84))))</formula>
    </cfRule>
  </conditionalFormatting>
  <conditionalFormatting sqref="N84:Q85 N88:Q103 N106:N109 O106:O226 P106:Q109 N111:N134 P111:Q134 N136:N216 P136:Q216 U204:V204 N222:N226 P222:Q226 N228:Q252 N254:Q256 N258:Q264 N267:Q269 N272:O273 P272:Q275 N275:O275">
    <cfRule type="containsText" dxfId="2" priority="28129" operator="containsText" text="Yes">
      <formula>NOT(ISERROR(SEARCH(("Yes"),(N84))))</formula>
    </cfRule>
  </conditionalFormatting>
  <conditionalFormatting sqref="N85:N86 N89:N91 N96:N99">
    <cfRule type="containsText" dxfId="9" priority="28130" operator="containsText" text="No">
      <formula>NOT(ISERROR(SEARCH(("No"),(N85))))</formula>
    </cfRule>
  </conditionalFormatting>
  <conditionalFormatting sqref="N85:N86 N89:N91 N96:N99">
    <cfRule type="containsText" dxfId="2" priority="28131" operator="containsText" text="Yes">
      <formula>NOT(ISERROR(SEARCH(("Yes"),(N85))))</formula>
    </cfRule>
  </conditionalFormatting>
  <conditionalFormatting sqref="O85:O86 O89:O91 O96:O99">
    <cfRule type="containsText" dxfId="9" priority="28132" operator="containsText" text="No">
      <formula>NOT(ISERROR(SEARCH(("No"),(O85))))</formula>
    </cfRule>
  </conditionalFormatting>
  <conditionalFormatting sqref="O85:O86 O89:O91 O96:O99">
    <cfRule type="containsText" dxfId="9" priority="28133" operator="containsText" text="No">
      <formula>NOT(ISERROR(SEARCH(("No"),(O85))))</formula>
    </cfRule>
  </conditionalFormatting>
  <conditionalFormatting sqref="O85:O86 O89:O91 O96:O99">
    <cfRule type="containsText" dxfId="9" priority="28134" operator="containsText" text="No">
      <formula>NOT(ISERROR(SEARCH(("No"),(O85))))</formula>
    </cfRule>
  </conditionalFormatting>
  <conditionalFormatting sqref="O85:O86 O89:O91 O96:O99">
    <cfRule type="containsText" dxfId="2" priority="28135" operator="containsText" text="Yes">
      <formula>NOT(ISERROR(SEARCH(("Yes"),(O85))))</formula>
    </cfRule>
  </conditionalFormatting>
  <conditionalFormatting sqref="O85:O86 O89:O91 O96:O99">
    <cfRule type="containsText" dxfId="2" priority="28136" operator="containsText" text="Yes">
      <formula>NOT(ISERROR(SEARCH(("Yes"),(O85))))</formula>
    </cfRule>
  </conditionalFormatting>
  <conditionalFormatting sqref="O85:O86 O89:O91 O96:O99">
    <cfRule type="containsText" dxfId="2" priority="28137" operator="containsText" text="Yes">
      <formula>NOT(ISERROR(SEARCH(("Yes"),(O85))))</formula>
    </cfRule>
  </conditionalFormatting>
  <conditionalFormatting sqref="O85:O86 O89:O91 O96:O99">
    <cfRule type="containsText" dxfId="2" priority="28138" operator="containsText" text="Yes">
      <formula>NOT(ISERROR(SEARCH(("Yes"),(O85))))</formula>
    </cfRule>
  </conditionalFormatting>
  <conditionalFormatting sqref="O85:O86 O89:O91 O96:O99">
    <cfRule type="containsText" dxfId="2" priority="28139" operator="containsText" text="Yes">
      <formula>NOT(ISERROR(SEARCH(("Yes"),(O85))))</formula>
    </cfRule>
  </conditionalFormatting>
  <conditionalFormatting sqref="O85:O86 O89:O91 O96:O99">
    <cfRule type="containsText" dxfId="9" priority="28140" operator="containsText" text="No">
      <formula>NOT(ISERROR(SEARCH(("No"),(O85))))</formula>
    </cfRule>
  </conditionalFormatting>
  <conditionalFormatting sqref="O85:O86 O89:O91 O96:O99">
    <cfRule type="containsText" dxfId="9" priority="28141" operator="containsText" text="No">
      <formula>NOT(ISERROR(SEARCH(("No"),(O85))))</formula>
    </cfRule>
  </conditionalFormatting>
  <conditionalFormatting sqref="O85:O86 O89:O91 O96:O99">
    <cfRule type="containsText" dxfId="2" priority="28142" operator="containsText" text="Yes">
      <formula>NOT(ISERROR(SEARCH(("Yes"),(O85))))</formula>
    </cfRule>
  </conditionalFormatting>
  <conditionalFormatting sqref="P85:Q86 P89:Q91 P96:Q99">
    <cfRule type="containsText" dxfId="9" priority="28143" operator="containsText" text="No">
      <formula>NOT(ISERROR(SEARCH(("No"),(P85))))</formula>
    </cfRule>
  </conditionalFormatting>
  <conditionalFormatting sqref="P85:Q86 P89:Q91 P96:Q99">
    <cfRule type="containsText" dxfId="9" priority="28144" operator="containsText" text="No">
      <formula>NOT(ISERROR(SEARCH(("No"),(P85))))</formula>
    </cfRule>
  </conditionalFormatting>
  <conditionalFormatting sqref="P85:Q86 P89:Q91 P96:Q99">
    <cfRule type="containsText" dxfId="9" priority="28145" operator="containsText" text="No">
      <formula>NOT(ISERROR(SEARCH(("No"),(P85))))</formula>
    </cfRule>
  </conditionalFormatting>
  <conditionalFormatting sqref="P85:Q86 P89:Q91 P96:Q99">
    <cfRule type="containsText" dxfId="9" priority="28146" operator="containsText" text="No">
      <formula>NOT(ISERROR(SEARCH(("No"),(P85))))</formula>
    </cfRule>
  </conditionalFormatting>
  <conditionalFormatting sqref="P85:Q86 P89:Q91 P96:Q99">
    <cfRule type="containsText" dxfId="9" priority="28147" operator="containsText" text="No">
      <formula>NOT(ISERROR(SEARCH(("No"),(P85))))</formula>
    </cfRule>
  </conditionalFormatting>
  <conditionalFormatting sqref="P85:Q86 P89:Q91 P96:Q99">
    <cfRule type="containsText" dxfId="9" priority="28148" operator="containsText" text="No">
      <formula>NOT(ISERROR(SEARCH(("No"),(P85))))</formula>
    </cfRule>
  </conditionalFormatting>
  <conditionalFormatting sqref="P85:Q86 P89:Q91 P96:Q99">
    <cfRule type="containsText" dxfId="9" priority="28149" operator="containsText" text="No">
      <formula>NOT(ISERROR(SEARCH(("No"),(P85))))</formula>
    </cfRule>
  </conditionalFormatting>
  <conditionalFormatting sqref="P85:Q86 P89:Q91 P96:Q99">
    <cfRule type="containsText" dxfId="9" priority="28150" operator="containsText" text="No">
      <formula>NOT(ISERROR(SEARCH(("No"),(P85))))</formula>
    </cfRule>
  </conditionalFormatting>
  <conditionalFormatting sqref="P85:Q86 P89:Q91 P96:Q99">
    <cfRule type="containsText" dxfId="9" priority="28151" operator="containsText" text="No">
      <formula>NOT(ISERROR(SEARCH(("No"),(P85))))</formula>
    </cfRule>
  </conditionalFormatting>
  <conditionalFormatting sqref="P85:Q86 P89:Q91 P96:Q99">
    <cfRule type="containsText" dxfId="9" priority="28152" operator="containsText" text="No">
      <formula>NOT(ISERROR(SEARCH(("No"),(P85))))</formula>
    </cfRule>
  </conditionalFormatting>
  <conditionalFormatting sqref="P85:Q86 P89:Q91 P96:Q99">
    <cfRule type="containsText" dxfId="9" priority="28153" operator="containsText" text="No">
      <formula>NOT(ISERROR(SEARCH(("No"),(P85))))</formula>
    </cfRule>
  </conditionalFormatting>
  <conditionalFormatting sqref="P85:Q86 P89:Q91 P96:Q99">
    <cfRule type="containsText" dxfId="9" priority="28154" operator="containsText" text="No">
      <formula>NOT(ISERROR(SEARCH(("No"),(P85))))</formula>
    </cfRule>
  </conditionalFormatting>
  <conditionalFormatting sqref="P85:Q86 P89:Q91 P96:Q99">
    <cfRule type="containsText" dxfId="9" priority="28155" operator="containsText" text="No">
      <formula>NOT(ISERROR(SEARCH(("No"),(P85))))</formula>
    </cfRule>
  </conditionalFormatting>
  <conditionalFormatting sqref="P85:Q86 P89:Q91 P96:Q99">
    <cfRule type="containsText" dxfId="9" priority="28156" operator="containsText" text="No">
      <formula>NOT(ISERROR(SEARCH(("No"),(P85))))</formula>
    </cfRule>
  </conditionalFormatting>
  <conditionalFormatting sqref="P85:Q86 P89:Q91 P96:Q99">
    <cfRule type="containsText" dxfId="9" priority="28157" operator="containsText" text="No">
      <formula>NOT(ISERROR(SEARCH(("No"),(P85))))</formula>
    </cfRule>
  </conditionalFormatting>
  <conditionalFormatting sqref="P85:Q86 P89:Q91 P96:Q99">
    <cfRule type="containsText" dxfId="9" priority="28158" operator="containsText" text="No">
      <formula>NOT(ISERROR(SEARCH(("No"),(P85))))</formula>
    </cfRule>
  </conditionalFormatting>
  <conditionalFormatting sqref="P85:Q86 P89:Q91 P96:Q99">
    <cfRule type="containsText" dxfId="9" priority="28159" operator="containsText" text="No">
      <formula>NOT(ISERROR(SEARCH(("No"),(P85))))</formula>
    </cfRule>
  </conditionalFormatting>
  <conditionalFormatting sqref="P85:Q86 P89:Q91 P96:Q99">
    <cfRule type="containsText" dxfId="9" priority="28160" operator="containsText" text="No">
      <formula>NOT(ISERROR(SEARCH(("No"),(P85))))</formula>
    </cfRule>
  </conditionalFormatting>
  <conditionalFormatting sqref="P85:Q86 P89:Q91 P96:Q99">
    <cfRule type="containsText" dxfId="9" priority="28161" operator="containsText" text="No">
      <formula>NOT(ISERROR(SEARCH(("No"),(P85))))</formula>
    </cfRule>
  </conditionalFormatting>
  <conditionalFormatting sqref="P85:Q86 P89:Q91 P96:Q99">
    <cfRule type="containsText" dxfId="9" priority="28162" operator="containsText" text="No">
      <formula>NOT(ISERROR(SEARCH(("No"),(P85))))</formula>
    </cfRule>
  </conditionalFormatting>
  <conditionalFormatting sqref="P85:Q86 P89:Q91 P96:Q99">
    <cfRule type="containsText" dxfId="9" priority="28163" operator="containsText" text="No">
      <formula>NOT(ISERROR(SEARCH(("No"),(P85))))</formula>
    </cfRule>
  </conditionalFormatting>
  <conditionalFormatting sqref="P85:Q86 P89:Q91 P96:Q99">
    <cfRule type="containsText" dxfId="9" priority="28164" operator="containsText" text="No">
      <formula>NOT(ISERROR(SEARCH(("No"),(P85))))</formula>
    </cfRule>
  </conditionalFormatting>
  <conditionalFormatting sqref="P85:Q86 P89:Q91 P96:Q99">
    <cfRule type="containsText" dxfId="9" priority="28165" operator="containsText" text="No">
      <formula>NOT(ISERROR(SEARCH(("No"),(P85))))</formula>
    </cfRule>
  </conditionalFormatting>
  <conditionalFormatting sqref="P85:Q86 P89:Q91 P96:Q99">
    <cfRule type="containsText" dxfId="9" priority="28166" operator="containsText" text="No">
      <formula>NOT(ISERROR(SEARCH(("No"),(P85))))</formula>
    </cfRule>
  </conditionalFormatting>
  <conditionalFormatting sqref="P85:Q86 P89:Q91 P96:Q99">
    <cfRule type="containsText" dxfId="9" priority="28167" operator="containsText" text="No">
      <formula>NOT(ISERROR(SEARCH(("No"),(P85))))</formula>
    </cfRule>
  </conditionalFormatting>
  <conditionalFormatting sqref="P85:Q86 P89:Q91 P96:Q99">
    <cfRule type="containsText" dxfId="9" priority="28168" operator="containsText" text="No">
      <formula>NOT(ISERROR(SEARCH(("No"),(P85))))</formula>
    </cfRule>
  </conditionalFormatting>
  <conditionalFormatting sqref="P85:Q86 P89:Q91 P96:Q99">
    <cfRule type="containsText" dxfId="9" priority="28169" operator="containsText" text="No">
      <formula>NOT(ISERROR(SEARCH(("No"),(P85))))</formula>
    </cfRule>
  </conditionalFormatting>
  <conditionalFormatting sqref="P85:Q86 P89:Q91 P96:Q99">
    <cfRule type="containsText" dxfId="9" priority="28170" operator="containsText" text="No">
      <formula>NOT(ISERROR(SEARCH(("No"),(P85))))</formula>
    </cfRule>
  </conditionalFormatting>
  <conditionalFormatting sqref="P85:Q86 P89:Q91 P96:Q99">
    <cfRule type="containsText" dxfId="9" priority="28171" operator="containsText" text="No">
      <formula>NOT(ISERROR(SEARCH(("No"),(P85))))</formula>
    </cfRule>
  </conditionalFormatting>
  <conditionalFormatting sqref="P85:Q86 P89:Q91 P96:Q99">
    <cfRule type="containsText" dxfId="9" priority="28172" operator="containsText" text="No">
      <formula>NOT(ISERROR(SEARCH(("No"),(P85))))</formula>
    </cfRule>
  </conditionalFormatting>
  <conditionalFormatting sqref="P85:Q86 P89:Q91 P96:Q99">
    <cfRule type="containsText" dxfId="9" priority="28173" operator="containsText" text="No">
      <formula>NOT(ISERROR(SEARCH(("No"),(P85))))</formula>
    </cfRule>
  </conditionalFormatting>
  <conditionalFormatting sqref="P85:Q86 P89:Q91 P96:Q99">
    <cfRule type="containsText" dxfId="9" priority="28174" operator="containsText" text="No">
      <formula>NOT(ISERROR(SEARCH(("No"),(P85))))</formula>
    </cfRule>
  </conditionalFormatting>
  <conditionalFormatting sqref="P85:Q86 P89:Q91 P96:Q99">
    <cfRule type="containsText" dxfId="9" priority="28175" operator="containsText" text="No">
      <formula>NOT(ISERROR(SEARCH(("No"),(P85))))</formula>
    </cfRule>
  </conditionalFormatting>
  <conditionalFormatting sqref="P85:Q86 P89:Q91 P96:Q99">
    <cfRule type="containsText" dxfId="9" priority="28176" operator="containsText" text="No">
      <formula>NOT(ISERROR(SEARCH(("No"),(P85))))</formula>
    </cfRule>
  </conditionalFormatting>
  <conditionalFormatting sqref="P85:Q86 P89:Q91 P96:Q99">
    <cfRule type="containsText" dxfId="9" priority="28177" operator="containsText" text="No">
      <formula>NOT(ISERROR(SEARCH(("No"),(P85))))</formula>
    </cfRule>
  </conditionalFormatting>
  <conditionalFormatting sqref="P85:Q86 P89:Q91 P96:Q99">
    <cfRule type="containsText" dxfId="9" priority="28178" operator="containsText" text="No">
      <formula>NOT(ISERROR(SEARCH(("No"),(P85))))</formula>
    </cfRule>
  </conditionalFormatting>
  <conditionalFormatting sqref="P85:Q86 P89:Q91 P96:Q99">
    <cfRule type="containsText" dxfId="9" priority="28179" operator="containsText" text="No">
      <formula>NOT(ISERROR(SEARCH(("No"),(P85))))</formula>
    </cfRule>
  </conditionalFormatting>
  <conditionalFormatting sqref="P85:Q86 P89:Q91 P96:Q99">
    <cfRule type="containsText" dxfId="9" priority="28180" operator="containsText" text="No">
      <formula>NOT(ISERROR(SEARCH(("No"),(P85))))</formula>
    </cfRule>
  </conditionalFormatting>
  <conditionalFormatting sqref="P85:Q86 P89:Q91 P96:Q99">
    <cfRule type="containsText" dxfId="9" priority="28181" operator="containsText" text="No">
      <formula>NOT(ISERROR(SEARCH(("No"),(P85))))</formula>
    </cfRule>
  </conditionalFormatting>
  <conditionalFormatting sqref="P85:Q86 P89:Q91 P96:Q99">
    <cfRule type="containsText" dxfId="9" priority="28182" operator="containsText" text="No">
      <formula>NOT(ISERROR(SEARCH(("No"),(P85))))</formula>
    </cfRule>
  </conditionalFormatting>
  <conditionalFormatting sqref="P85:Q86 P89:Q91 P96:Q99">
    <cfRule type="containsText" dxfId="9" priority="28183" operator="containsText" text="No">
      <formula>NOT(ISERROR(SEARCH(("No"),(P85))))</formula>
    </cfRule>
  </conditionalFormatting>
  <conditionalFormatting sqref="P85:Q86 P89:Q91 P96:Q99">
    <cfRule type="containsText" dxfId="9" priority="28184" operator="containsText" text="No">
      <formula>NOT(ISERROR(SEARCH(("No"),(P85))))</formula>
    </cfRule>
  </conditionalFormatting>
  <conditionalFormatting sqref="P85:Q86 P89:Q91 P96:Q99">
    <cfRule type="containsText" dxfId="9" priority="28185" operator="containsText" text="No">
      <formula>NOT(ISERROR(SEARCH(("No"),(P85))))</formula>
    </cfRule>
  </conditionalFormatting>
  <conditionalFormatting sqref="P85:Q86 P89:Q91 P96:Q99">
    <cfRule type="containsText" dxfId="9" priority="28186" operator="containsText" text="No">
      <formula>NOT(ISERROR(SEARCH(("No"),(P85))))</formula>
    </cfRule>
  </conditionalFormatting>
  <conditionalFormatting sqref="P85:Q86 P89:Q91 P96:Q99">
    <cfRule type="containsText" dxfId="9" priority="28187" operator="containsText" text="No">
      <formula>NOT(ISERROR(SEARCH(("No"),(P85))))</formula>
    </cfRule>
  </conditionalFormatting>
  <conditionalFormatting sqref="P85:Q86 P89:Q91 P96:Q99">
    <cfRule type="containsText" dxfId="2" priority="28188" operator="containsText" text="Yes">
      <formula>NOT(ISERROR(SEARCH(("Yes"),(P85))))</formula>
    </cfRule>
  </conditionalFormatting>
  <conditionalFormatting sqref="P85:Q86 P89:Q91 P96:Q99">
    <cfRule type="containsText" dxfId="2" priority="28189" operator="containsText" text="Yes">
      <formula>NOT(ISERROR(SEARCH(("Yes"),(P85))))</formula>
    </cfRule>
  </conditionalFormatting>
  <conditionalFormatting sqref="P85:Q86 P89:Q91 P96:Q99">
    <cfRule type="containsText" dxfId="2" priority="28190" operator="containsText" text="Yes">
      <formula>NOT(ISERROR(SEARCH(("Yes"),(P85))))</formula>
    </cfRule>
  </conditionalFormatting>
  <conditionalFormatting sqref="P85:Q86 P89:Q91 P96:Q99">
    <cfRule type="containsText" dxfId="2" priority="28191" operator="containsText" text="Yes">
      <formula>NOT(ISERROR(SEARCH(("Yes"),(P85))))</formula>
    </cfRule>
  </conditionalFormatting>
  <conditionalFormatting sqref="P85:Q86 P89:Q91 P96:Q99">
    <cfRule type="containsText" dxfId="2" priority="28192" operator="containsText" text="Yes">
      <formula>NOT(ISERROR(SEARCH(("Yes"),(P85))))</formula>
    </cfRule>
  </conditionalFormatting>
  <conditionalFormatting sqref="P85:Q86 P89:Q91 P96:Q99">
    <cfRule type="containsText" dxfId="2" priority="28193" operator="containsText" text="Yes">
      <formula>NOT(ISERROR(SEARCH(("Yes"),(P85))))</formula>
    </cfRule>
  </conditionalFormatting>
  <conditionalFormatting sqref="P85:Q86 P89:Q91 P96:Q99">
    <cfRule type="containsText" dxfId="2" priority="28194" operator="containsText" text="Yes">
      <formula>NOT(ISERROR(SEARCH(("Yes"),(P85))))</formula>
    </cfRule>
  </conditionalFormatting>
  <conditionalFormatting sqref="P85:Q86 P89:Q91 P96:Q99">
    <cfRule type="containsText" dxfId="2" priority="28195" operator="containsText" text="Yes">
      <formula>NOT(ISERROR(SEARCH(("Yes"),(P85))))</formula>
    </cfRule>
  </conditionalFormatting>
  <conditionalFormatting sqref="P85:Q86 P89:Q91 P96:Q99">
    <cfRule type="containsText" dxfId="2" priority="28196" operator="containsText" text="Yes">
      <formula>NOT(ISERROR(SEARCH(("Yes"),(P85))))</formula>
    </cfRule>
  </conditionalFormatting>
  <conditionalFormatting sqref="P85:Q86 P89:Q91 P96:Q99">
    <cfRule type="containsText" dxfId="2" priority="28197" operator="containsText" text="Yes">
      <formula>NOT(ISERROR(SEARCH(("Yes"),(P85))))</formula>
    </cfRule>
  </conditionalFormatting>
  <conditionalFormatting sqref="P85:Q86 P89:Q91 P96:Q99">
    <cfRule type="containsText" dxfId="2" priority="28198" operator="containsText" text="Yes">
      <formula>NOT(ISERROR(SEARCH(("Yes"),(P85))))</formula>
    </cfRule>
  </conditionalFormatting>
  <conditionalFormatting sqref="P85:Q86 P89:Q91 P96:Q99">
    <cfRule type="containsText" dxfId="2" priority="28199" operator="containsText" text="Yes">
      <formula>NOT(ISERROR(SEARCH(("Yes"),(P85))))</formula>
    </cfRule>
  </conditionalFormatting>
  <conditionalFormatting sqref="P85:Q86 P89:Q91 P96:Q99">
    <cfRule type="containsText" dxfId="2" priority="28200" operator="containsText" text="Yes">
      <formula>NOT(ISERROR(SEARCH(("Yes"),(P85))))</formula>
    </cfRule>
  </conditionalFormatting>
  <conditionalFormatting sqref="P85:Q86 P89:Q91 P96:Q99">
    <cfRule type="containsText" dxfId="2" priority="28201" operator="containsText" text="Yes">
      <formula>NOT(ISERROR(SEARCH(("Yes"),(P85))))</formula>
    </cfRule>
  </conditionalFormatting>
  <conditionalFormatting sqref="P85:Q86 P89:Q91 P96:Q99">
    <cfRule type="containsText" dxfId="2" priority="28202" operator="containsText" text="Yes">
      <formula>NOT(ISERROR(SEARCH(("Yes"),(P85))))</formula>
    </cfRule>
  </conditionalFormatting>
  <conditionalFormatting sqref="P85:Q86 P89:Q91 P96:Q99">
    <cfRule type="containsText" dxfId="2" priority="28203" operator="containsText" text="Yes">
      <formula>NOT(ISERROR(SEARCH(("Yes"),(P85))))</formula>
    </cfRule>
  </conditionalFormatting>
  <conditionalFormatting sqref="P85:Q86 P89:Q91 P96:Q99">
    <cfRule type="containsText" dxfId="2" priority="28204" operator="containsText" text="Yes">
      <formula>NOT(ISERROR(SEARCH(("Yes"),(P85))))</formula>
    </cfRule>
  </conditionalFormatting>
  <conditionalFormatting sqref="P85:Q86 P89:Q91 P96:Q99">
    <cfRule type="containsText" dxfId="2" priority="28205" operator="containsText" text="Yes">
      <formula>NOT(ISERROR(SEARCH(("Yes"),(P85))))</formula>
    </cfRule>
  </conditionalFormatting>
  <conditionalFormatting sqref="P85:Q86 P89:Q91 P96:Q99">
    <cfRule type="containsText" dxfId="2" priority="28206" operator="containsText" text="Yes">
      <formula>NOT(ISERROR(SEARCH(("Yes"),(P85))))</formula>
    </cfRule>
  </conditionalFormatting>
  <conditionalFormatting sqref="P85:Q86 P89:Q91 P96:Q99">
    <cfRule type="containsText" dxfId="2" priority="28207" operator="containsText" text="Yes">
      <formula>NOT(ISERROR(SEARCH(("Yes"),(P85))))</formula>
    </cfRule>
  </conditionalFormatting>
  <conditionalFormatting sqref="P85:Q86 P89:Q91 P96:Q99">
    <cfRule type="containsText" dxfId="2" priority="28208" operator="containsText" text="Yes">
      <formula>NOT(ISERROR(SEARCH(("Yes"),(P85))))</formula>
    </cfRule>
  </conditionalFormatting>
  <conditionalFormatting sqref="P85:Q86 P89:Q91 P96:Q99">
    <cfRule type="containsText" dxfId="2" priority="28209" operator="containsText" text="Yes">
      <formula>NOT(ISERROR(SEARCH(("Yes"),(P85))))</formula>
    </cfRule>
  </conditionalFormatting>
  <conditionalFormatting sqref="P85:Q86 P89:Q91 P96:Q99">
    <cfRule type="containsText" dxfId="2" priority="28210" operator="containsText" text="Yes">
      <formula>NOT(ISERROR(SEARCH(("Yes"),(P85))))</formula>
    </cfRule>
  </conditionalFormatting>
  <conditionalFormatting sqref="P85:Q86 P89:Q91 P96:Q99">
    <cfRule type="containsText" dxfId="2" priority="28211" operator="containsText" text="Yes">
      <formula>NOT(ISERROR(SEARCH(("Yes"),(P85))))</formula>
    </cfRule>
  </conditionalFormatting>
  <conditionalFormatting sqref="P85:Q86 P89:Q91 P96:Q99">
    <cfRule type="containsText" dxfId="2" priority="28212" operator="containsText" text="Yes">
      <formula>NOT(ISERROR(SEARCH(("Yes"),(P85))))</formula>
    </cfRule>
  </conditionalFormatting>
  <conditionalFormatting sqref="P85:Q86 P89:Q91 P96:Q99">
    <cfRule type="containsText" dxfId="2" priority="28213" operator="containsText" text="Yes">
      <formula>NOT(ISERROR(SEARCH(("Yes"),(P85))))</formula>
    </cfRule>
  </conditionalFormatting>
  <conditionalFormatting sqref="P85:Q86 P89:Q91 P96:Q99">
    <cfRule type="containsText" dxfId="2" priority="28214" operator="containsText" text="Yes">
      <formula>NOT(ISERROR(SEARCH(("Yes"),(P85))))</formula>
    </cfRule>
  </conditionalFormatting>
  <conditionalFormatting sqref="P85:Q86 P89:Q91 P96:Q99">
    <cfRule type="containsText" dxfId="2" priority="28215" operator="containsText" text="Yes">
      <formula>NOT(ISERROR(SEARCH(("Yes"),(P85))))</formula>
    </cfRule>
  </conditionalFormatting>
  <conditionalFormatting sqref="P85:Q86 P89:Q91 P96:Q99">
    <cfRule type="containsText" dxfId="2" priority="28216" operator="containsText" text="Yes">
      <formula>NOT(ISERROR(SEARCH(("Yes"),(P85))))</formula>
    </cfRule>
  </conditionalFormatting>
  <conditionalFormatting sqref="P85:Q86 P89:Q91 P96:Q99">
    <cfRule type="containsText" dxfId="2" priority="28217" operator="containsText" text="Yes">
      <formula>NOT(ISERROR(SEARCH(("Yes"),(P85))))</formula>
    </cfRule>
  </conditionalFormatting>
  <conditionalFormatting sqref="P85:Q86 P89:Q91 P96:Q99">
    <cfRule type="containsText" dxfId="2" priority="28218" operator="containsText" text="Yes">
      <formula>NOT(ISERROR(SEARCH(("Yes"),(P85))))</formula>
    </cfRule>
  </conditionalFormatting>
  <conditionalFormatting sqref="P85:Q86 P89:Q91 P96:Q99">
    <cfRule type="containsText" dxfId="2" priority="28219" operator="containsText" text="Yes">
      <formula>NOT(ISERROR(SEARCH(("Yes"),(P85))))</formula>
    </cfRule>
  </conditionalFormatting>
  <conditionalFormatting sqref="P85:Q86 P89:Q91 P96:Q99">
    <cfRule type="containsText" dxfId="2" priority="28220" operator="containsText" text="Yes">
      <formula>NOT(ISERROR(SEARCH(("Yes"),(P85))))</formula>
    </cfRule>
  </conditionalFormatting>
  <conditionalFormatting sqref="P85:Q86 P89:Q91 P96:Q99">
    <cfRule type="containsText" dxfId="2" priority="28221" operator="containsText" text="Yes">
      <formula>NOT(ISERROR(SEARCH(("Yes"),(P85))))</formula>
    </cfRule>
  </conditionalFormatting>
  <conditionalFormatting sqref="P85:Q86 P89:Q91 P96:Q99">
    <cfRule type="containsText" dxfId="2" priority="28222" operator="containsText" text="Yes">
      <formula>NOT(ISERROR(SEARCH(("Yes"),(P85))))</formula>
    </cfRule>
  </conditionalFormatting>
  <conditionalFormatting sqref="P85:Q86 P89:Q91 P96:Q99">
    <cfRule type="containsText" dxfId="2" priority="28223" operator="containsText" text="Yes">
      <formula>NOT(ISERROR(SEARCH(("Yes"),(P85))))</formula>
    </cfRule>
  </conditionalFormatting>
  <conditionalFormatting sqref="P85:Q86 P89:Q91 P96:Q99">
    <cfRule type="containsText" dxfId="2" priority="28224" operator="containsText" text="Yes">
      <formula>NOT(ISERROR(SEARCH(("Yes"),(P85))))</formula>
    </cfRule>
  </conditionalFormatting>
  <conditionalFormatting sqref="P85:Q86 P89:Q91 P96:Q99">
    <cfRule type="containsText" dxfId="2" priority="28225" operator="containsText" text="Yes">
      <formula>NOT(ISERROR(SEARCH(("Yes"),(P85))))</formula>
    </cfRule>
  </conditionalFormatting>
  <conditionalFormatting sqref="P85:Q86 P89:Q91 P96:Q99">
    <cfRule type="containsText" dxfId="2" priority="28226" operator="containsText" text="Yes">
      <formula>NOT(ISERROR(SEARCH(("Yes"),(P85))))</formula>
    </cfRule>
  </conditionalFormatting>
  <conditionalFormatting sqref="P85:Q86 P89:Q91 P96:Q99">
    <cfRule type="containsText" dxfId="2" priority="28227" operator="containsText" text="Yes">
      <formula>NOT(ISERROR(SEARCH(("Yes"),(P85))))</formula>
    </cfRule>
  </conditionalFormatting>
  <conditionalFormatting sqref="P85:Q86 P89:Q91 P96:Q99">
    <cfRule type="containsText" dxfId="2" priority="28228" operator="containsText" text="Yes">
      <formula>NOT(ISERROR(SEARCH(("Yes"),(P85))))</formula>
    </cfRule>
  </conditionalFormatting>
  <conditionalFormatting sqref="P85:Q86 P89:Q91 P96:Q99">
    <cfRule type="containsText" dxfId="2" priority="28229" operator="containsText" text="Yes">
      <formula>NOT(ISERROR(SEARCH(("Yes"),(P85))))</formula>
    </cfRule>
  </conditionalFormatting>
  <conditionalFormatting sqref="P85:Q86 P89:Q91 P96:Q99">
    <cfRule type="containsText" dxfId="2" priority="28230" operator="containsText" text="Yes">
      <formula>NOT(ISERROR(SEARCH(("Yes"),(P85))))</formula>
    </cfRule>
  </conditionalFormatting>
  <conditionalFormatting sqref="P85:Q86 P89:Q91 P96:Q99">
    <cfRule type="containsText" dxfId="2" priority="28231" operator="containsText" text="Yes">
      <formula>NOT(ISERROR(SEARCH(("Yes"),(P85))))</formula>
    </cfRule>
  </conditionalFormatting>
  <conditionalFormatting sqref="P85:Q86 P89:Q91 P96:Q99">
    <cfRule type="containsText" dxfId="2" priority="28232" operator="containsText" text="Yes">
      <formula>NOT(ISERROR(SEARCH(("Yes"),(P85))))</formula>
    </cfRule>
  </conditionalFormatting>
  <conditionalFormatting sqref="P85:Q86 P89:Q91 P96:Q99">
    <cfRule type="containsText" dxfId="2" priority="28233" operator="containsText" text="Yes">
      <formula>NOT(ISERROR(SEARCH(("Yes"),(P85))))</formula>
    </cfRule>
  </conditionalFormatting>
  <conditionalFormatting sqref="P85:Q86 P89:Q91 P96:Q99">
    <cfRule type="containsText" dxfId="2" priority="28234" operator="containsText" text="Yes">
      <formula>NOT(ISERROR(SEARCH(("Yes"),(P85))))</formula>
    </cfRule>
  </conditionalFormatting>
  <conditionalFormatting sqref="N86:N101 N104:N214 P110:Q110 P127 P134:Q135 O150 P155:Q155 O165:Q165 O170:Q170 O203 O205:O214">
    <cfRule type="containsText" dxfId="9" priority="28235" operator="containsText" text="No">
      <formula>NOT(ISERROR(SEARCH(("No"),(N86))))</formula>
    </cfRule>
  </conditionalFormatting>
  <conditionalFormatting sqref="N86:N101 N104:N214 P110:Q110 P127 P134:Q135 O150 P155:Q155 O165:Q165 O170:Q170 O203 O205:O214">
    <cfRule type="containsText" dxfId="2" priority="28236" operator="containsText" text="Yes">
      <formula>NOT(ISERROR(SEARCH(("Yes"),(N86))))</formula>
    </cfRule>
  </conditionalFormatting>
  <conditionalFormatting sqref="O86:O101 O104:O109 O111:O133 Q127 O136:O202 N139 P145 P150 N162 N164:N167 N170 N172 N174 N176 N180:N182 N184 N195 N197:N198 N201:N202 N204:O204">
    <cfRule type="containsText" dxfId="9" priority="28237" operator="containsText" text="No">
      <formula>NOT(ISERROR(SEARCH(("No"),(O86))))</formula>
    </cfRule>
  </conditionalFormatting>
  <conditionalFormatting sqref="O86:O101 O104:O109 O111:O133 Q127 O136:O202 N139 P145 P150 N162 N164:N167 N170 N172 N174 N176 N180:N182 N184 N195 N197:N198 N201:N202 N204:O204">
    <cfRule type="containsText" dxfId="9" priority="28238" operator="containsText" text="No">
      <formula>NOT(ISERROR(SEARCH(("No"),(O86))))</formula>
    </cfRule>
  </conditionalFormatting>
  <conditionalFormatting sqref="O86:O101 O104:O109 O111:O133 Q127 O136:O202 N139 P145 P150 N162 N164:N167 N170 N172 N174 N176 N180:N182 N184 N195 N197:N198 N201:N202 N204:O204">
    <cfRule type="containsText" dxfId="9" priority="28239" operator="containsText" text="No">
      <formula>NOT(ISERROR(SEARCH(("No"),(O86))))</formula>
    </cfRule>
  </conditionalFormatting>
  <conditionalFormatting sqref="O86:O101 O104:O109 O111:O133 Q127 O136:O202 N139 P145 P150 N162 N164:N167 N170 N172 N174 N176 N180:N182 N184 N195 N197:N198 N201:N202 N204:O204">
    <cfRule type="containsText" dxfId="2" priority="28240" operator="containsText" text="Yes">
      <formula>NOT(ISERROR(SEARCH(("Yes"),(O86))))</formula>
    </cfRule>
  </conditionalFormatting>
  <conditionalFormatting sqref="O86:O101 O104:O109 O111:O133 Q127 O136:O202 N139 P145 P150 N162 N164:N167 N170 N172 N174 N176 N180:N182 N184 N195 N197:N198 N201:N202 N204:O204">
    <cfRule type="containsText" dxfId="2" priority="28241" operator="containsText" text="Yes">
      <formula>NOT(ISERROR(SEARCH(("Yes"),(O86))))</formula>
    </cfRule>
  </conditionalFormatting>
  <conditionalFormatting sqref="O86:O101 O104:O109 O111:O133 Q127 O136:O202 N139 P145 P150 N162 N164:N167 N170 N172 N174 N176 N180:N182 N184 N195 N197:N198 N201:N202 N204:O204">
    <cfRule type="containsText" dxfId="2" priority="28242" operator="containsText" text="Yes">
      <formula>NOT(ISERROR(SEARCH(("Yes"),(O86))))</formula>
    </cfRule>
  </conditionalFormatting>
  <conditionalFormatting sqref="O86:O101 O104:O109 O111:O133 Q127 O136:O202 N139 P145 P150 N162 N164:N167 N170 N172 N174 N176 N180:N182 N184 N195 N197:N198 N201:N202 N204:O204">
    <cfRule type="containsText" dxfId="2" priority="28243" operator="containsText" text="Yes">
      <formula>NOT(ISERROR(SEARCH(("Yes"),(O86))))</formula>
    </cfRule>
  </conditionalFormatting>
  <conditionalFormatting sqref="O86:O101 O104:O109 O111:O133 Q127 O136:O202 N139 P145 P150 N162 N164:N167 N170 N172 N174 N176 N180:N182 N184 N195 N197:N198 N201:N202 N204:O204">
    <cfRule type="containsText" dxfId="2" priority="28244" operator="containsText" text="Yes">
      <formula>NOT(ISERROR(SEARCH(("Yes"),(O86))))</formula>
    </cfRule>
  </conditionalFormatting>
  <conditionalFormatting sqref="O86:O101 O104:O109 O111:O133 Q127 O136:O202 N139 P145 P150 N162 N164:N167 N170 N172 N174 N176 N180:N182 N184 N195 N197:N198 N201:N202 N204:O204">
    <cfRule type="containsText" dxfId="9" priority="28245" operator="containsText" text="No">
      <formula>NOT(ISERROR(SEARCH(("No"),(O86))))</formula>
    </cfRule>
  </conditionalFormatting>
  <conditionalFormatting sqref="O86:O101 O104:O109 O111:O133 Q127 O136:O202 N139 P145 P150 N162 N164:N167 N170 N172 N174 N176 N180:N182 N184 N195 N197:N198 N201:N202 N204:O204">
    <cfRule type="containsText" dxfId="9" priority="28246" operator="containsText" text="No">
      <formula>NOT(ISERROR(SEARCH(("No"),(O86))))</formula>
    </cfRule>
  </conditionalFormatting>
  <conditionalFormatting sqref="O86:O101 O104:O109 O111:O133 Q127 O136:O202 N139 P145 P150 N162 N164:N167 N170 N172 N174 N176 N180:N182 N184 N195 N197:N198 N201:N202 N204:O204">
    <cfRule type="containsText" dxfId="2" priority="28247" operator="containsText" text="Yes">
      <formula>NOT(ISERROR(SEARCH(("Yes"),(O86))))</formula>
    </cfRule>
  </conditionalFormatting>
  <conditionalFormatting sqref="P86:Q101 P104:Q109 P111:Q126 P128:Q133 P136:Q164 O145 P166:Q169 P171:Q214 U204:V204">
    <cfRule type="containsText" dxfId="9" priority="28248" operator="containsText" text="No">
      <formula>NOT(ISERROR(SEARCH(("No"),(P86))))</formula>
    </cfRule>
  </conditionalFormatting>
  <conditionalFormatting sqref="P86:Q101 P104:Q109 P111:Q126 P128:Q133 P136:Q164 O145 P166:Q169 P171:Q214 U204:V204">
    <cfRule type="containsText" dxfId="9" priority="28249" operator="containsText" text="No">
      <formula>NOT(ISERROR(SEARCH(("No"),(P86))))</formula>
    </cfRule>
  </conditionalFormatting>
  <conditionalFormatting sqref="P86:Q101 P104:Q109 P111:Q126 P128:Q133 P136:Q164 O145 P166:Q169 P171:Q214 U204:V204">
    <cfRule type="containsText" dxfId="9" priority="28250" operator="containsText" text="No">
      <formula>NOT(ISERROR(SEARCH(("No"),(P86))))</formula>
    </cfRule>
  </conditionalFormatting>
  <conditionalFormatting sqref="P86:Q101 P104:Q109 P111:Q126 P128:Q133 P136:Q164 O145 P166:Q169 P171:Q214 U204:V204">
    <cfRule type="containsText" dxfId="9" priority="28251" operator="containsText" text="No">
      <formula>NOT(ISERROR(SEARCH(("No"),(P86))))</formula>
    </cfRule>
  </conditionalFormatting>
  <conditionalFormatting sqref="P86:Q101 P104:Q109 P111:Q126 P128:Q133 P136:Q164 O145 P166:Q169 P171:Q214 U204:V204">
    <cfRule type="containsText" dxfId="9" priority="28252" operator="containsText" text="No">
      <formula>NOT(ISERROR(SEARCH(("No"),(P86))))</formula>
    </cfRule>
  </conditionalFormatting>
  <conditionalFormatting sqref="P86:Q101 P104:Q109 P111:Q126 P128:Q133 P136:Q164 O145 P166:Q169 P171:Q214 U204:V204">
    <cfRule type="containsText" dxfId="9" priority="28253" operator="containsText" text="No">
      <formula>NOT(ISERROR(SEARCH(("No"),(P86))))</formula>
    </cfRule>
  </conditionalFormatting>
  <conditionalFormatting sqref="P86:Q101 P104:Q109 P111:Q126 P128:Q133 P136:Q164 O145 P166:Q169 P171:Q214 U204:V204">
    <cfRule type="containsText" dxfId="9" priority="28254" operator="containsText" text="No">
      <formula>NOT(ISERROR(SEARCH(("No"),(P86))))</formula>
    </cfRule>
  </conditionalFormatting>
  <conditionalFormatting sqref="P86:Q101 P104:Q109 P111:Q126 P128:Q133 P136:Q164 O145 P166:Q169 P171:Q214 U204:V204">
    <cfRule type="containsText" dxfId="9" priority="28255" operator="containsText" text="No">
      <formula>NOT(ISERROR(SEARCH(("No"),(P86))))</formula>
    </cfRule>
  </conditionalFormatting>
  <conditionalFormatting sqref="P86:Q101 P104:Q109 P111:Q126 P128:Q133 P136:Q164 O145 P166:Q169 P171:Q214 U204:V204">
    <cfRule type="containsText" dxfId="9" priority="28256" operator="containsText" text="No">
      <formula>NOT(ISERROR(SEARCH(("No"),(P86))))</formula>
    </cfRule>
  </conditionalFormatting>
  <conditionalFormatting sqref="P86:Q101 P104:Q109 P111:Q126 P128:Q133 P136:Q164 O145 P166:Q169 P171:Q214 U204:V204">
    <cfRule type="containsText" dxfId="9" priority="28257" operator="containsText" text="No">
      <formula>NOT(ISERROR(SEARCH(("No"),(P86))))</formula>
    </cfRule>
  </conditionalFormatting>
  <conditionalFormatting sqref="P86:Q101 P104:Q109 P111:Q126 P128:Q133 P136:Q164 O145 P166:Q169 P171:Q214 U204:V204">
    <cfRule type="containsText" dxfId="9" priority="28258" operator="containsText" text="No">
      <formula>NOT(ISERROR(SEARCH(("No"),(P86))))</formula>
    </cfRule>
  </conditionalFormatting>
  <conditionalFormatting sqref="P86:Q101 P104:Q109 P111:Q126 P128:Q133 P136:Q164 O145 P166:Q169 P171:Q214 U204:V204">
    <cfRule type="containsText" dxfId="9" priority="28259" operator="containsText" text="No">
      <formula>NOT(ISERROR(SEARCH(("No"),(P86))))</formula>
    </cfRule>
  </conditionalFormatting>
  <conditionalFormatting sqref="P86:Q101 P104:Q109 P111:Q126 P128:Q133 P136:Q164 O145 P166:Q169 P171:Q214 U204:V204">
    <cfRule type="containsText" dxfId="9" priority="28260" operator="containsText" text="No">
      <formula>NOT(ISERROR(SEARCH(("No"),(P86))))</formula>
    </cfRule>
  </conditionalFormatting>
  <conditionalFormatting sqref="P86:Q101 P104:Q109 P111:Q126 P128:Q133 P136:Q164 O145 P166:Q169 P171:Q214 U204:V204">
    <cfRule type="containsText" dxfId="9" priority="28261" operator="containsText" text="No">
      <formula>NOT(ISERROR(SEARCH(("No"),(P86))))</formula>
    </cfRule>
  </conditionalFormatting>
  <conditionalFormatting sqref="P86:Q101 P104:Q109 P111:Q126 P128:Q133 P136:Q164 O145 P166:Q169 P171:Q214 U204:V204">
    <cfRule type="containsText" dxfId="9" priority="28262" operator="containsText" text="No">
      <formula>NOT(ISERROR(SEARCH(("No"),(P86))))</formula>
    </cfRule>
  </conditionalFormatting>
  <conditionalFormatting sqref="P86:Q101 P104:Q109 P111:Q126 P128:Q133 P136:Q164 O145 P166:Q169 P171:Q214 U204:V204">
    <cfRule type="containsText" dxfId="9" priority="28263" operator="containsText" text="No">
      <formula>NOT(ISERROR(SEARCH(("No"),(P86))))</formula>
    </cfRule>
  </conditionalFormatting>
  <conditionalFormatting sqref="P86:Q101 P104:Q109 P111:Q126 P128:Q133 P136:Q164 O145 P166:Q169 P171:Q214 U204:V204">
    <cfRule type="containsText" dxfId="9" priority="28264" operator="containsText" text="No">
      <formula>NOT(ISERROR(SEARCH(("No"),(P86))))</formula>
    </cfRule>
  </conditionalFormatting>
  <conditionalFormatting sqref="P86:Q101 P104:Q109 P111:Q126 P128:Q133 P136:Q164 O145 P166:Q169 P171:Q214 U204:V204">
    <cfRule type="containsText" dxfId="9" priority="28265" operator="containsText" text="No">
      <formula>NOT(ISERROR(SEARCH(("No"),(P86))))</formula>
    </cfRule>
  </conditionalFormatting>
  <conditionalFormatting sqref="P86:Q101 P104:Q109 P111:Q126 P128:Q133 P136:Q164 O145 P166:Q169 P171:Q214 U204:V204">
    <cfRule type="containsText" dxfId="9" priority="28266" operator="containsText" text="No">
      <formula>NOT(ISERROR(SEARCH(("No"),(P86))))</formula>
    </cfRule>
  </conditionalFormatting>
  <conditionalFormatting sqref="P86:Q101 P104:Q109 P111:Q126 P128:Q133 P136:Q164 O145 P166:Q169 P171:Q214 U204:V204">
    <cfRule type="containsText" dxfId="9" priority="28267" operator="containsText" text="No">
      <formula>NOT(ISERROR(SEARCH(("No"),(P86))))</formula>
    </cfRule>
  </conditionalFormatting>
  <conditionalFormatting sqref="P86:Q101 P104:Q109 P111:Q126 P128:Q133 P136:Q164 O145 P166:Q169 P171:Q214 U204:V204">
    <cfRule type="containsText" dxfId="9" priority="28268" operator="containsText" text="No">
      <formula>NOT(ISERROR(SEARCH(("No"),(P86))))</formula>
    </cfRule>
  </conditionalFormatting>
  <conditionalFormatting sqref="P86:Q101 P104:Q109 P111:Q126 P128:Q133 P136:Q164 O145 P166:Q169 P171:Q214 U204:V204">
    <cfRule type="containsText" dxfId="9" priority="28269" operator="containsText" text="No">
      <formula>NOT(ISERROR(SEARCH(("No"),(P86))))</formula>
    </cfRule>
  </conditionalFormatting>
  <conditionalFormatting sqref="P86:Q101 P104:Q109 P111:Q126 P128:Q133 P136:Q164 O145 P166:Q169 P171:Q214 U204:V204">
    <cfRule type="containsText" dxfId="9" priority="28270" operator="containsText" text="No">
      <formula>NOT(ISERROR(SEARCH(("No"),(P86))))</formula>
    </cfRule>
  </conditionalFormatting>
  <conditionalFormatting sqref="P86:Q101 P104:Q109 P111:Q126 P128:Q133 P136:Q164 O145 P166:Q169 P171:Q214 U204:V204">
    <cfRule type="containsText" dxfId="9" priority="28271" operator="containsText" text="No">
      <formula>NOT(ISERROR(SEARCH(("No"),(P86))))</formula>
    </cfRule>
  </conditionalFormatting>
  <conditionalFormatting sqref="P86:Q101 P104:Q109 P111:Q126 P128:Q133 P136:Q164 O145 P166:Q169 P171:Q214 U204:V204">
    <cfRule type="containsText" dxfId="9" priority="28272" operator="containsText" text="No">
      <formula>NOT(ISERROR(SEARCH(("No"),(P86))))</formula>
    </cfRule>
  </conditionalFormatting>
  <conditionalFormatting sqref="P86:Q101 P104:Q109 P111:Q126 P128:Q133 P136:Q164 O145 P166:Q169 P171:Q214 U204:V204">
    <cfRule type="containsText" dxfId="9" priority="28273" operator="containsText" text="No">
      <formula>NOT(ISERROR(SEARCH(("No"),(P86))))</formula>
    </cfRule>
  </conditionalFormatting>
  <conditionalFormatting sqref="P86:Q101 P104:Q109 P111:Q126 P128:Q133 P136:Q164 O145 P166:Q169 P171:Q214 U204:V204">
    <cfRule type="containsText" dxfId="9" priority="28274" operator="containsText" text="No">
      <formula>NOT(ISERROR(SEARCH(("No"),(P86))))</formula>
    </cfRule>
  </conditionalFormatting>
  <conditionalFormatting sqref="P86:Q101 P104:Q109 P111:Q126 P128:Q133 P136:Q164 O145 P166:Q169 P171:Q214 U204:V204">
    <cfRule type="containsText" dxfId="9" priority="28275" operator="containsText" text="No">
      <formula>NOT(ISERROR(SEARCH(("No"),(P86))))</formula>
    </cfRule>
  </conditionalFormatting>
  <conditionalFormatting sqref="P86:Q101 P104:Q109 P111:Q126 P128:Q133 P136:Q164 O145 P166:Q169 P171:Q214 U204:V204">
    <cfRule type="containsText" dxfId="9" priority="28276" operator="containsText" text="No">
      <formula>NOT(ISERROR(SEARCH(("No"),(P86))))</formula>
    </cfRule>
  </conditionalFormatting>
  <conditionalFormatting sqref="P86:Q101 P104:Q109 P111:Q126 P128:Q133 P136:Q164 O145 P166:Q169 P171:Q214 U204:V204">
    <cfRule type="containsText" dxfId="9" priority="28277" operator="containsText" text="No">
      <formula>NOT(ISERROR(SEARCH(("No"),(P86))))</formula>
    </cfRule>
  </conditionalFormatting>
  <conditionalFormatting sqref="P86:Q101 P104:Q109 P111:Q126 P128:Q133 P136:Q164 O145 P166:Q169 P171:Q214 U204:V204">
    <cfRule type="containsText" dxfId="9" priority="28278" operator="containsText" text="No">
      <formula>NOT(ISERROR(SEARCH(("No"),(P86))))</formula>
    </cfRule>
  </conditionalFormatting>
  <conditionalFormatting sqref="P86:Q101 P104:Q109 P111:Q126 P128:Q133 P136:Q164 O145 P166:Q169 P171:Q214 U204:V204">
    <cfRule type="containsText" dxfId="9" priority="28279" operator="containsText" text="No">
      <formula>NOT(ISERROR(SEARCH(("No"),(P86))))</formula>
    </cfRule>
  </conditionalFormatting>
  <conditionalFormatting sqref="P86:Q101 P104:Q109 P111:Q126 P128:Q133 P136:Q164 O145 P166:Q169 P171:Q214 U204:V204">
    <cfRule type="containsText" dxfId="9" priority="28280" operator="containsText" text="No">
      <formula>NOT(ISERROR(SEARCH(("No"),(P86))))</formula>
    </cfRule>
  </conditionalFormatting>
  <conditionalFormatting sqref="P86:Q101 P104:Q109 P111:Q126 P128:Q133 P136:Q164 O145 P166:Q169 P171:Q214 U204:V204">
    <cfRule type="containsText" dxfId="9" priority="28281" operator="containsText" text="No">
      <formula>NOT(ISERROR(SEARCH(("No"),(P86))))</formula>
    </cfRule>
  </conditionalFormatting>
  <conditionalFormatting sqref="P86:Q101 P104:Q109 P111:Q126 P128:Q133 P136:Q164 O145 P166:Q169 P171:Q214 U204:V204">
    <cfRule type="containsText" dxfId="9" priority="28282" operator="containsText" text="No">
      <formula>NOT(ISERROR(SEARCH(("No"),(P86))))</formula>
    </cfRule>
  </conditionalFormatting>
  <conditionalFormatting sqref="P86:Q101 P104:Q109 P111:Q126 P128:Q133 P136:Q164 O145 P166:Q169 P171:Q214 U204:V204">
    <cfRule type="containsText" dxfId="9" priority="28283" operator="containsText" text="No">
      <formula>NOT(ISERROR(SEARCH(("No"),(P86))))</formula>
    </cfRule>
  </conditionalFormatting>
  <conditionalFormatting sqref="P86:Q101 P104:Q109 P111:Q126 P128:Q133 P136:Q164 O145 P166:Q169 P171:Q214 U204:V204">
    <cfRule type="containsText" dxfId="9" priority="28284" operator="containsText" text="No">
      <formula>NOT(ISERROR(SEARCH(("No"),(P86))))</formula>
    </cfRule>
  </conditionalFormatting>
  <conditionalFormatting sqref="P86:Q101 P104:Q109 P111:Q126 P128:Q133 P136:Q164 O145 P166:Q169 P171:Q214 U204:V204">
    <cfRule type="containsText" dxfId="9" priority="28285" operator="containsText" text="No">
      <formula>NOT(ISERROR(SEARCH(("No"),(P86))))</formula>
    </cfRule>
  </conditionalFormatting>
  <conditionalFormatting sqref="P86:Q101 P104:Q109 P111:Q126 P128:Q133 P136:Q164 O145 P166:Q169 P171:Q214 U204:V204">
    <cfRule type="containsText" dxfId="9" priority="28286" operator="containsText" text="No">
      <formula>NOT(ISERROR(SEARCH(("No"),(P86))))</formula>
    </cfRule>
  </conditionalFormatting>
  <conditionalFormatting sqref="P86:Q101 P104:Q109 P111:Q126 P128:Q133 P136:Q164 O145 P166:Q169 P171:Q214 U204:V204">
    <cfRule type="containsText" dxfId="9" priority="28287" operator="containsText" text="No">
      <formula>NOT(ISERROR(SEARCH(("No"),(P86))))</formula>
    </cfRule>
  </conditionalFormatting>
  <conditionalFormatting sqref="P86:Q101 P104:Q109 P111:Q126 P128:Q133 P136:Q164 O145 P166:Q169 P171:Q214 U204:V204">
    <cfRule type="containsText" dxfId="9" priority="28288" operator="containsText" text="No">
      <formula>NOT(ISERROR(SEARCH(("No"),(P86))))</formula>
    </cfRule>
  </conditionalFormatting>
  <conditionalFormatting sqref="P86:Q101 P104:Q109 P111:Q126 P128:Q133 P136:Q164 O145 P166:Q169 P171:Q214 U204:V204">
    <cfRule type="containsText" dxfId="9" priority="28289" operator="containsText" text="No">
      <formula>NOT(ISERROR(SEARCH(("No"),(P86))))</formula>
    </cfRule>
  </conditionalFormatting>
  <conditionalFormatting sqref="P86:Q101 P104:Q109 P111:Q126 P128:Q133 P136:Q164 O145 P166:Q169 P171:Q214 U204:V204">
    <cfRule type="containsText" dxfId="9" priority="28290" operator="containsText" text="No">
      <formula>NOT(ISERROR(SEARCH(("No"),(P86))))</formula>
    </cfRule>
  </conditionalFormatting>
  <conditionalFormatting sqref="P86:Q101 P104:Q109 P111:Q126 P128:Q133 P136:Q164 O145 P166:Q169 P171:Q214 U204:V204">
    <cfRule type="containsText" dxfId="9" priority="28291" operator="containsText" text="No">
      <formula>NOT(ISERROR(SEARCH(("No"),(P86))))</formula>
    </cfRule>
  </conditionalFormatting>
  <conditionalFormatting sqref="P86:Q101 P104:Q109 P111:Q126 P128:Q133 P136:Q164 O145 P166:Q169 P171:Q214 U204:V204">
    <cfRule type="containsText" dxfId="9" priority="28292" operator="containsText" text="No">
      <formula>NOT(ISERROR(SEARCH(("No"),(P86))))</formula>
    </cfRule>
  </conditionalFormatting>
  <conditionalFormatting sqref="P86:Q101 P104:Q109 P111:Q126 P128:Q133 P136:Q164 O145 P166:Q169 P171:Q214 U204:V204">
    <cfRule type="containsText" dxfId="2" priority="28293" operator="containsText" text="Yes">
      <formula>NOT(ISERROR(SEARCH(("Yes"),(P86))))</formula>
    </cfRule>
  </conditionalFormatting>
  <conditionalFormatting sqref="P86:Q101 P104:Q109 P111:Q126 P128:Q133 P136:Q164 O145 P166:Q169 P171:Q214 U204:V204">
    <cfRule type="containsText" dxfId="2" priority="28294" operator="containsText" text="Yes">
      <formula>NOT(ISERROR(SEARCH(("Yes"),(P86))))</formula>
    </cfRule>
  </conditionalFormatting>
  <conditionalFormatting sqref="P86:Q101 P104:Q109 P111:Q126 P128:Q133 P136:Q164 O145 P166:Q169 P171:Q214 U204:V204">
    <cfRule type="containsText" dxfId="2" priority="28295" operator="containsText" text="Yes">
      <formula>NOT(ISERROR(SEARCH(("Yes"),(P86))))</formula>
    </cfRule>
  </conditionalFormatting>
  <conditionalFormatting sqref="P86:Q101 P104:Q109 P111:Q126 P128:Q133 P136:Q164 O145 P166:Q169 P171:Q214 U204:V204">
    <cfRule type="containsText" dxfId="2" priority="28296" operator="containsText" text="Yes">
      <formula>NOT(ISERROR(SEARCH(("Yes"),(P86))))</formula>
    </cfRule>
  </conditionalFormatting>
  <conditionalFormatting sqref="P86:Q101 P104:Q109 P111:Q126 P128:Q133 P136:Q164 O145 P166:Q169 P171:Q214 U204:V204">
    <cfRule type="containsText" dxfId="2" priority="28297" operator="containsText" text="Yes">
      <formula>NOT(ISERROR(SEARCH(("Yes"),(P86))))</formula>
    </cfRule>
  </conditionalFormatting>
  <conditionalFormatting sqref="P86:Q101 P104:Q109 P111:Q126 P128:Q133 P136:Q164 O145 P166:Q169 P171:Q214 U204:V204">
    <cfRule type="containsText" dxfId="2" priority="28298" operator="containsText" text="Yes">
      <formula>NOT(ISERROR(SEARCH(("Yes"),(P86))))</formula>
    </cfRule>
  </conditionalFormatting>
  <conditionalFormatting sqref="P86:Q101 P104:Q109 P111:Q126 P128:Q133 P136:Q164 O145 P166:Q169 P171:Q214 U204:V204">
    <cfRule type="containsText" dxfId="2" priority="28299" operator="containsText" text="Yes">
      <formula>NOT(ISERROR(SEARCH(("Yes"),(P86))))</formula>
    </cfRule>
  </conditionalFormatting>
  <conditionalFormatting sqref="P86:Q101 P104:Q109 P111:Q126 P128:Q133 P136:Q164 O145 P166:Q169 P171:Q214 U204:V204">
    <cfRule type="containsText" dxfId="2" priority="28300" operator="containsText" text="Yes">
      <formula>NOT(ISERROR(SEARCH(("Yes"),(P86))))</formula>
    </cfRule>
  </conditionalFormatting>
  <conditionalFormatting sqref="P86:Q101 P104:Q109 P111:Q126 P128:Q133 P136:Q164 O145 P166:Q169 P171:Q214 U204:V204">
    <cfRule type="containsText" dxfId="2" priority="28301" operator="containsText" text="Yes">
      <formula>NOT(ISERROR(SEARCH(("Yes"),(P86))))</formula>
    </cfRule>
  </conditionalFormatting>
  <conditionalFormatting sqref="P86:Q101 P104:Q109 P111:Q126 P128:Q133 P136:Q164 O145 P166:Q169 P171:Q214 U204:V204">
    <cfRule type="containsText" dxfId="2" priority="28302" operator="containsText" text="Yes">
      <formula>NOT(ISERROR(SEARCH(("Yes"),(P86))))</formula>
    </cfRule>
  </conditionalFormatting>
  <conditionalFormatting sqref="P86:Q101 P104:Q109 P111:Q126 P128:Q133 P136:Q164 O145 P166:Q169 P171:Q214 U204:V204">
    <cfRule type="containsText" dxfId="2" priority="28303" operator="containsText" text="Yes">
      <formula>NOT(ISERROR(SEARCH(("Yes"),(P86))))</formula>
    </cfRule>
  </conditionalFormatting>
  <conditionalFormatting sqref="P86:Q101 P104:Q109 P111:Q126 P128:Q133 P136:Q164 O145 P166:Q169 P171:Q214 U204:V204">
    <cfRule type="containsText" dxfId="2" priority="28304" operator="containsText" text="Yes">
      <formula>NOT(ISERROR(SEARCH(("Yes"),(P86))))</formula>
    </cfRule>
  </conditionalFormatting>
  <conditionalFormatting sqref="P86:Q101 P104:Q109 P111:Q126 P128:Q133 P136:Q164 O145 P166:Q169 P171:Q214 U204:V204">
    <cfRule type="containsText" dxfId="2" priority="28305" operator="containsText" text="Yes">
      <formula>NOT(ISERROR(SEARCH(("Yes"),(P86))))</formula>
    </cfRule>
  </conditionalFormatting>
  <conditionalFormatting sqref="P86:Q101 P104:Q109 P111:Q126 P128:Q133 P136:Q164 O145 P166:Q169 P171:Q214 U204:V204">
    <cfRule type="containsText" dxfId="2" priority="28306" operator="containsText" text="Yes">
      <formula>NOT(ISERROR(SEARCH(("Yes"),(P86))))</formula>
    </cfRule>
  </conditionalFormatting>
  <conditionalFormatting sqref="P86:Q101 P104:Q109 P111:Q126 P128:Q133 P136:Q164 O145 P166:Q169 P171:Q214 U204:V204">
    <cfRule type="containsText" dxfId="2" priority="28307" operator="containsText" text="Yes">
      <formula>NOT(ISERROR(SEARCH(("Yes"),(P86))))</formula>
    </cfRule>
  </conditionalFormatting>
  <conditionalFormatting sqref="P86:Q101 P104:Q109 P111:Q126 P128:Q133 P136:Q164 O145 P166:Q169 P171:Q214 U204:V204">
    <cfRule type="containsText" dxfId="2" priority="28308" operator="containsText" text="Yes">
      <formula>NOT(ISERROR(SEARCH(("Yes"),(P86))))</formula>
    </cfRule>
  </conditionalFormatting>
  <conditionalFormatting sqref="P86:Q101 P104:Q109 P111:Q126 P128:Q133 P136:Q164 O145 P166:Q169 P171:Q214 U204:V204">
    <cfRule type="containsText" dxfId="2" priority="28309" operator="containsText" text="Yes">
      <formula>NOT(ISERROR(SEARCH(("Yes"),(P86))))</formula>
    </cfRule>
  </conditionalFormatting>
  <conditionalFormatting sqref="P86:Q101 P104:Q109 P111:Q126 P128:Q133 P136:Q164 O145 P166:Q169 P171:Q214 U204:V204">
    <cfRule type="containsText" dxfId="2" priority="28310" operator="containsText" text="Yes">
      <formula>NOT(ISERROR(SEARCH(("Yes"),(P86))))</formula>
    </cfRule>
  </conditionalFormatting>
  <conditionalFormatting sqref="P86:Q101 P104:Q109 P111:Q126 P128:Q133 P136:Q164 O145 P166:Q169 P171:Q214 U204:V204">
    <cfRule type="containsText" dxfId="2" priority="28311" operator="containsText" text="Yes">
      <formula>NOT(ISERROR(SEARCH(("Yes"),(P86))))</formula>
    </cfRule>
  </conditionalFormatting>
  <conditionalFormatting sqref="P86:Q101 P104:Q109 P111:Q126 P128:Q133 P136:Q164 O145 P166:Q169 P171:Q214 U204:V204">
    <cfRule type="containsText" dxfId="2" priority="28312" operator="containsText" text="Yes">
      <formula>NOT(ISERROR(SEARCH(("Yes"),(P86))))</formula>
    </cfRule>
  </conditionalFormatting>
  <conditionalFormatting sqref="P86:Q101 P104:Q109 P111:Q126 P128:Q133 P136:Q164 O145 P166:Q169 P171:Q214 U204:V204">
    <cfRule type="containsText" dxfId="2" priority="28313" operator="containsText" text="Yes">
      <formula>NOT(ISERROR(SEARCH(("Yes"),(P86))))</formula>
    </cfRule>
  </conditionalFormatting>
  <conditionalFormatting sqref="P86:Q101 P104:Q109 P111:Q126 P128:Q133 P136:Q164 O145 P166:Q169 P171:Q214 U204:V204">
    <cfRule type="containsText" dxfId="2" priority="28314" operator="containsText" text="Yes">
      <formula>NOT(ISERROR(SEARCH(("Yes"),(P86))))</formula>
    </cfRule>
  </conditionalFormatting>
  <conditionalFormatting sqref="P86:Q101 P104:Q109 P111:Q126 P128:Q133 P136:Q164 O145 P166:Q169 P171:Q214 U204:V204">
    <cfRule type="containsText" dxfId="2" priority="28315" operator="containsText" text="Yes">
      <formula>NOT(ISERROR(SEARCH(("Yes"),(P86))))</formula>
    </cfRule>
  </conditionalFormatting>
  <conditionalFormatting sqref="P86:Q101 P104:Q109 P111:Q126 P128:Q133 P136:Q164 O145 P166:Q169 P171:Q214 U204:V204">
    <cfRule type="containsText" dxfId="2" priority="28316" operator="containsText" text="Yes">
      <formula>NOT(ISERROR(SEARCH(("Yes"),(P86))))</formula>
    </cfRule>
  </conditionalFormatting>
  <conditionalFormatting sqref="P86:Q101 P104:Q109 P111:Q126 P128:Q133 P136:Q164 O145 P166:Q169 P171:Q214 U204:V204">
    <cfRule type="containsText" dxfId="2" priority="28317" operator="containsText" text="Yes">
      <formula>NOT(ISERROR(SEARCH(("Yes"),(P86))))</formula>
    </cfRule>
  </conditionalFormatting>
  <conditionalFormatting sqref="P86:Q101 P104:Q109 P111:Q126 P128:Q133 P136:Q164 O145 P166:Q169 P171:Q214 U204:V204">
    <cfRule type="containsText" dxfId="2" priority="28318" operator="containsText" text="Yes">
      <formula>NOT(ISERROR(SEARCH(("Yes"),(P86))))</formula>
    </cfRule>
  </conditionalFormatting>
  <conditionalFormatting sqref="P86:Q101 P104:Q109 P111:Q126 P128:Q133 P136:Q164 O145 P166:Q169 P171:Q214 U204:V204">
    <cfRule type="containsText" dxfId="2" priority="28319" operator="containsText" text="Yes">
      <formula>NOT(ISERROR(SEARCH(("Yes"),(P86))))</formula>
    </cfRule>
  </conditionalFormatting>
  <conditionalFormatting sqref="P86:Q101 P104:Q109 P111:Q126 P128:Q133 P136:Q164 O145 P166:Q169 P171:Q214 U204:V204">
    <cfRule type="containsText" dxfId="2" priority="28320" operator="containsText" text="Yes">
      <formula>NOT(ISERROR(SEARCH(("Yes"),(P86))))</formula>
    </cfRule>
  </conditionalFormatting>
  <conditionalFormatting sqref="P86:Q101 P104:Q109 P111:Q126 P128:Q133 P136:Q164 O145 P166:Q169 P171:Q214 U204:V204">
    <cfRule type="containsText" dxfId="2" priority="28321" operator="containsText" text="Yes">
      <formula>NOT(ISERROR(SEARCH(("Yes"),(P86))))</formula>
    </cfRule>
  </conditionalFormatting>
  <conditionalFormatting sqref="P86:Q101 P104:Q109 P111:Q126 P128:Q133 P136:Q164 O145 P166:Q169 P171:Q214 U204:V204">
    <cfRule type="containsText" dxfId="2" priority="28322" operator="containsText" text="Yes">
      <formula>NOT(ISERROR(SEARCH(("Yes"),(P86))))</formula>
    </cfRule>
  </conditionalFormatting>
  <conditionalFormatting sqref="P86:Q101 P104:Q109 P111:Q126 P128:Q133 P136:Q164 O145 P166:Q169 P171:Q214 U204:V204">
    <cfRule type="containsText" dxfId="2" priority="28323" operator="containsText" text="Yes">
      <formula>NOT(ISERROR(SEARCH(("Yes"),(P86))))</formula>
    </cfRule>
  </conditionalFormatting>
  <conditionalFormatting sqref="P86:Q101 P104:Q109 P111:Q126 P128:Q133 P136:Q164 O145 P166:Q169 P171:Q214 U204:V204">
    <cfRule type="containsText" dxfId="2" priority="28324" operator="containsText" text="Yes">
      <formula>NOT(ISERROR(SEARCH(("Yes"),(P86))))</formula>
    </cfRule>
  </conditionalFormatting>
  <conditionalFormatting sqref="P86:Q101 P104:Q109 P111:Q126 P128:Q133 P136:Q164 O145 P166:Q169 P171:Q214 U204:V204">
    <cfRule type="containsText" dxfId="2" priority="28325" operator="containsText" text="Yes">
      <formula>NOT(ISERROR(SEARCH(("Yes"),(P86))))</formula>
    </cfRule>
  </conditionalFormatting>
  <conditionalFormatting sqref="P86:Q101 P104:Q109 P111:Q126 P128:Q133 P136:Q164 O145 P166:Q169 P171:Q214 U204:V204">
    <cfRule type="containsText" dxfId="2" priority="28326" operator="containsText" text="Yes">
      <formula>NOT(ISERROR(SEARCH(("Yes"),(P86))))</formula>
    </cfRule>
  </conditionalFormatting>
  <conditionalFormatting sqref="P86:Q101 P104:Q109 P111:Q126 P128:Q133 P136:Q164 O145 P166:Q169 P171:Q214 U204:V204">
    <cfRule type="containsText" dxfId="2" priority="28327" operator="containsText" text="Yes">
      <formula>NOT(ISERROR(SEARCH(("Yes"),(P86))))</formula>
    </cfRule>
  </conditionalFormatting>
  <conditionalFormatting sqref="P86:Q101 P104:Q109 P111:Q126 P128:Q133 P136:Q164 O145 P166:Q169 P171:Q214 U204:V204">
    <cfRule type="containsText" dxfId="2" priority="28328" operator="containsText" text="Yes">
      <formula>NOT(ISERROR(SEARCH(("Yes"),(P86))))</formula>
    </cfRule>
  </conditionalFormatting>
  <conditionalFormatting sqref="P86:Q101 P104:Q109 P111:Q126 P128:Q133 P136:Q164 O145 P166:Q169 P171:Q214 U204:V204">
    <cfRule type="containsText" dxfId="2" priority="28329" operator="containsText" text="Yes">
      <formula>NOT(ISERROR(SEARCH(("Yes"),(P86))))</formula>
    </cfRule>
  </conditionalFormatting>
  <conditionalFormatting sqref="P86:Q101 P104:Q109 P111:Q126 P128:Q133 P136:Q164 O145 P166:Q169 P171:Q214 U204:V204">
    <cfRule type="containsText" dxfId="2" priority="28330" operator="containsText" text="Yes">
      <formula>NOT(ISERROR(SEARCH(("Yes"),(P86))))</formula>
    </cfRule>
  </conditionalFormatting>
  <conditionalFormatting sqref="P86:Q101 P104:Q109 P111:Q126 P128:Q133 P136:Q164 O145 P166:Q169 P171:Q214 U204:V204">
    <cfRule type="containsText" dxfId="2" priority="28331" operator="containsText" text="Yes">
      <formula>NOT(ISERROR(SEARCH(("Yes"),(P86))))</formula>
    </cfRule>
  </conditionalFormatting>
  <conditionalFormatting sqref="P86:Q101 P104:Q109 P111:Q126 P128:Q133 P136:Q164 O145 P166:Q169 P171:Q214 U204:V204">
    <cfRule type="containsText" dxfId="2" priority="28332" operator="containsText" text="Yes">
      <formula>NOT(ISERROR(SEARCH(("Yes"),(P86))))</formula>
    </cfRule>
  </conditionalFormatting>
  <conditionalFormatting sqref="P86:Q101 P104:Q109 P111:Q126 P128:Q133 P136:Q164 O145 P166:Q169 P171:Q214 U204:V204">
    <cfRule type="containsText" dxfId="2" priority="28333" operator="containsText" text="Yes">
      <formula>NOT(ISERROR(SEARCH(("Yes"),(P86))))</formula>
    </cfRule>
  </conditionalFormatting>
  <conditionalFormatting sqref="P86:Q101 P104:Q109 P111:Q126 P128:Q133 P136:Q164 O145 P166:Q169 P171:Q214 U204:V204">
    <cfRule type="containsText" dxfId="2" priority="28334" operator="containsText" text="Yes">
      <formula>NOT(ISERROR(SEARCH(("Yes"),(P86))))</formula>
    </cfRule>
  </conditionalFormatting>
  <conditionalFormatting sqref="P86:Q101 P104:Q109 P111:Q126 P128:Q133 P136:Q164 O145 P166:Q169 P171:Q214 U204:V204">
    <cfRule type="containsText" dxfId="2" priority="28335" operator="containsText" text="Yes">
      <formula>NOT(ISERROR(SEARCH(("Yes"),(P86))))</formula>
    </cfRule>
  </conditionalFormatting>
  <conditionalFormatting sqref="P86:Q101 P104:Q109 P111:Q126 P128:Q133 P136:Q164 O145 P166:Q169 P171:Q214 U204:V204">
    <cfRule type="containsText" dxfId="2" priority="28336" operator="containsText" text="Yes">
      <formula>NOT(ISERROR(SEARCH(("Yes"),(P86))))</formula>
    </cfRule>
  </conditionalFormatting>
  <conditionalFormatting sqref="P86:Q101 P104:Q109 P111:Q126 P128:Q133 P136:Q164 O145 P166:Q169 P171:Q214 U204:V204">
    <cfRule type="containsText" dxfId="2" priority="28337" operator="containsText" text="Yes">
      <formula>NOT(ISERROR(SEARCH(("Yes"),(P86))))</formula>
    </cfRule>
  </conditionalFormatting>
  <conditionalFormatting sqref="P86:Q101 P104:Q109 P111:Q126 P128:Q133 P136:Q164 O145 P166:Q169 P171:Q214 U204:V204">
    <cfRule type="containsText" dxfId="2" priority="28338" operator="containsText" text="Yes">
      <formula>NOT(ISERROR(SEARCH(("Yes"),(P86))))</formula>
    </cfRule>
  </conditionalFormatting>
  <conditionalFormatting sqref="P86:Q101 P104:Q109 P111:Q126 P128:Q133 P136:Q164 O145 P166:Q169 P171:Q214 U204:V204">
    <cfRule type="containsText" dxfId="2" priority="28339" operator="containsText" text="Yes">
      <formula>NOT(ISERROR(SEARCH(("Yes"),(P86))))</formula>
    </cfRule>
  </conditionalFormatting>
  <conditionalFormatting sqref="P87:Q101 P104:Q109 P111:Q126 P128:Q133 P136:Q164 O145 P166:Q169 P171:Q214 U204:V204">
    <cfRule type="containsText" dxfId="9" priority="28340" operator="containsText" text="No">
      <formula>NOT(ISERROR(SEARCH(("No"),(P87))))</formula>
    </cfRule>
  </conditionalFormatting>
  <conditionalFormatting sqref="P87:Q101 P104:Q109 P111:Q126 P128:Q133 P136:Q164 O145 P166:Q169 P171:Q214 U204:V204">
    <cfRule type="containsText" dxfId="9" priority="28341" operator="containsText" text="No">
      <formula>NOT(ISERROR(SEARCH(("No"),(P87))))</formula>
    </cfRule>
  </conditionalFormatting>
  <conditionalFormatting sqref="P87:Q101 P104:Q109 P111:Q126 P128:Q133 P136:Q164 O145 P166:Q169 P171:Q214 U204:V204">
    <cfRule type="containsText" dxfId="9" priority="28342" operator="containsText" text="No">
      <formula>NOT(ISERROR(SEARCH(("No"),(P87))))</formula>
    </cfRule>
  </conditionalFormatting>
  <conditionalFormatting sqref="P87:Q101 P104:Q109 P111:Q126 P128:Q133 P136:Q164 O145 P166:Q169 P171:Q214 U204:V204">
    <cfRule type="containsText" dxfId="9" priority="28343" operator="containsText" text="No">
      <formula>NOT(ISERROR(SEARCH(("No"),(P87))))</formula>
    </cfRule>
  </conditionalFormatting>
  <conditionalFormatting sqref="P87:Q101 P104:Q109 P111:Q126 P128:Q133 P136:Q164 O145 P166:Q169 P171:Q214 U204:V204">
    <cfRule type="containsText" dxfId="9" priority="28344" operator="containsText" text="No">
      <formula>NOT(ISERROR(SEARCH(("No"),(P87))))</formula>
    </cfRule>
  </conditionalFormatting>
  <conditionalFormatting sqref="P87:Q101 P104:Q109 P111:Q126 P128:Q133 P136:Q164 O145 P166:Q169 P171:Q214 U204:V204">
    <cfRule type="containsText" dxfId="9" priority="28345" operator="containsText" text="No">
      <formula>NOT(ISERROR(SEARCH(("No"),(P87))))</formula>
    </cfRule>
  </conditionalFormatting>
  <conditionalFormatting sqref="P87:Q101 P104:Q109 P111:Q126 P128:Q133 P136:Q164 O145 P166:Q169 P171:Q214 U204:V204">
    <cfRule type="containsText" dxfId="9" priority="28346" operator="containsText" text="No">
      <formula>NOT(ISERROR(SEARCH(("No"),(P87))))</formula>
    </cfRule>
  </conditionalFormatting>
  <conditionalFormatting sqref="P87:Q101 P104:Q109 P111:Q126 P128:Q133 P136:Q164 O145 P166:Q169 P171:Q214 U204:V204">
    <cfRule type="containsText" dxfId="9" priority="28347" operator="containsText" text="No">
      <formula>NOT(ISERROR(SEARCH(("No"),(P87))))</formula>
    </cfRule>
  </conditionalFormatting>
  <conditionalFormatting sqref="P87:Q101 P104:Q109 P111:Q126 P128:Q133 P136:Q164 O145 P166:Q169 P171:Q214 U204:V204">
    <cfRule type="containsText" dxfId="9" priority="28348" operator="containsText" text="No">
      <formula>NOT(ISERROR(SEARCH(("No"),(P87))))</formula>
    </cfRule>
  </conditionalFormatting>
  <conditionalFormatting sqref="P87:Q101 P104:Q109 P111:Q126 P128:Q133 P136:Q164 O145 P166:Q169 P171:Q214 U204:V204">
    <cfRule type="containsText" dxfId="9" priority="28349" operator="containsText" text="No">
      <formula>NOT(ISERROR(SEARCH(("No"),(P87))))</formula>
    </cfRule>
  </conditionalFormatting>
  <conditionalFormatting sqref="P87:Q101 P104:Q109 P111:Q126 P128:Q133 P136:Q164 O145 P166:Q169 P171:Q214 U204:V204">
    <cfRule type="containsText" dxfId="9" priority="28350" operator="containsText" text="No">
      <formula>NOT(ISERROR(SEARCH(("No"),(P87))))</formula>
    </cfRule>
  </conditionalFormatting>
  <conditionalFormatting sqref="P87:Q101 P104:Q109 P111:Q126 P128:Q133 P136:Q164 O145 P166:Q169 P171:Q214 U204:V204">
    <cfRule type="containsText" dxfId="9" priority="28351" operator="containsText" text="No">
      <formula>NOT(ISERROR(SEARCH(("No"),(P87))))</formula>
    </cfRule>
  </conditionalFormatting>
  <conditionalFormatting sqref="P87:Q101 P104:Q109 P111:Q126 P128:Q133 P136:Q164 O145 P166:Q169 P171:Q214 U204:V204">
    <cfRule type="containsText" dxfId="9" priority="28352" operator="containsText" text="No">
      <formula>NOT(ISERROR(SEARCH(("No"),(P87))))</formula>
    </cfRule>
  </conditionalFormatting>
  <conditionalFormatting sqref="P87:Q101 P104:Q109 P111:Q126 P128:Q133 P136:Q164 O145 P166:Q169 P171:Q214 U204:V204">
    <cfRule type="containsText" dxfId="9" priority="28353" operator="containsText" text="No">
      <formula>NOT(ISERROR(SEARCH(("No"),(P87))))</formula>
    </cfRule>
  </conditionalFormatting>
  <conditionalFormatting sqref="P87:Q101 P104:Q109 P111:Q126 P128:Q133 P136:Q164 O145 P166:Q169 P171:Q214 U204:V204">
    <cfRule type="containsText" dxfId="9" priority="28354" operator="containsText" text="No">
      <formula>NOT(ISERROR(SEARCH(("No"),(P87))))</formula>
    </cfRule>
  </conditionalFormatting>
  <conditionalFormatting sqref="P87:Q101 P104:Q109 P111:Q126 P128:Q133 P136:Q164 O145 P166:Q169 P171:Q214 U204:V204">
    <cfRule type="containsText" dxfId="9" priority="28355" operator="containsText" text="No">
      <formula>NOT(ISERROR(SEARCH(("No"),(P87))))</formula>
    </cfRule>
  </conditionalFormatting>
  <conditionalFormatting sqref="P87:Q101 P104:Q109 P111:Q126 P128:Q133 P136:Q164 O145 P166:Q169 P171:Q214 U204:V204">
    <cfRule type="containsText" dxfId="9" priority="28356" operator="containsText" text="No">
      <formula>NOT(ISERROR(SEARCH(("No"),(P87))))</formula>
    </cfRule>
  </conditionalFormatting>
  <conditionalFormatting sqref="P87:Q101 P104:Q109 P111:Q126 P128:Q133 P136:Q164 O145 P166:Q169 P171:Q214 U204:V204">
    <cfRule type="containsText" dxfId="9" priority="28357" operator="containsText" text="No">
      <formula>NOT(ISERROR(SEARCH(("No"),(P87))))</formula>
    </cfRule>
  </conditionalFormatting>
  <conditionalFormatting sqref="P87:Q101 P104:Q109 P111:Q126 P128:Q133 P136:Q164 O145 P166:Q169 P171:Q214 U204:V204">
    <cfRule type="containsText" dxfId="9" priority="28358" operator="containsText" text="No">
      <formula>NOT(ISERROR(SEARCH(("No"),(P87))))</formula>
    </cfRule>
  </conditionalFormatting>
  <conditionalFormatting sqref="P87:Q101 P104:Q109 P111:Q126 P128:Q133 P136:Q164 O145 P166:Q169 P171:Q214 U204:V204">
    <cfRule type="containsText" dxfId="9" priority="28359" operator="containsText" text="No">
      <formula>NOT(ISERROR(SEARCH(("No"),(P87))))</formula>
    </cfRule>
  </conditionalFormatting>
  <conditionalFormatting sqref="P87:Q101 P104:Q109 P111:Q126 P128:Q133 P136:Q164 O145 P166:Q169 P171:Q214 U204:V204">
    <cfRule type="containsText" dxfId="9" priority="28360" operator="containsText" text="No">
      <formula>NOT(ISERROR(SEARCH(("No"),(P87))))</formula>
    </cfRule>
  </conditionalFormatting>
  <conditionalFormatting sqref="P87:Q101 P104:Q109 P111:Q126 P128:Q133 P136:Q164 O145 P166:Q169 P171:Q214 U204:V204">
    <cfRule type="containsText" dxfId="9" priority="28361" operator="containsText" text="No">
      <formula>NOT(ISERROR(SEARCH(("No"),(P87))))</formula>
    </cfRule>
  </conditionalFormatting>
  <conditionalFormatting sqref="P87:Q101 P104:Q109 P111:Q126 P128:Q133 P136:Q164 O145 P166:Q169 P171:Q214 U204:V204">
    <cfRule type="containsText" dxfId="9" priority="28362" operator="containsText" text="No">
      <formula>NOT(ISERROR(SEARCH(("No"),(P87))))</formula>
    </cfRule>
  </conditionalFormatting>
  <conditionalFormatting sqref="P87:Q101 P104:Q109 P111:Q126 P128:Q133 P136:Q164 O145 P166:Q169 P171:Q214 U204:V204">
    <cfRule type="containsText" dxfId="9" priority="28363" operator="containsText" text="No">
      <formula>NOT(ISERROR(SEARCH(("No"),(P87))))</formula>
    </cfRule>
  </conditionalFormatting>
  <conditionalFormatting sqref="P87:Q101 P104:Q109 P111:Q126 P128:Q133 P136:Q164 O145 P166:Q169 P171:Q214 U204:V204">
    <cfRule type="containsText" dxfId="9" priority="28364" operator="containsText" text="No">
      <formula>NOT(ISERROR(SEARCH(("No"),(P87))))</formula>
    </cfRule>
  </conditionalFormatting>
  <conditionalFormatting sqref="P87:Q101 P104:Q109 P111:Q126 P128:Q133 P136:Q164 O145 P166:Q169 P171:Q214 U204:V204">
    <cfRule type="containsText" dxfId="9" priority="28365" operator="containsText" text="No">
      <formula>NOT(ISERROR(SEARCH(("No"),(P87))))</formula>
    </cfRule>
  </conditionalFormatting>
  <conditionalFormatting sqref="P87:Q101 P104:Q109 P111:Q126 P128:Q133 P136:Q164 O145 P166:Q169 P171:Q214 U204:V204">
    <cfRule type="containsText" dxfId="9" priority="28366" operator="containsText" text="No">
      <formula>NOT(ISERROR(SEARCH(("No"),(P87))))</formula>
    </cfRule>
  </conditionalFormatting>
  <conditionalFormatting sqref="P87:Q101 P104:Q109 P111:Q126 P128:Q133 P136:Q164 O145 P166:Q169 P171:Q214 U204:V204">
    <cfRule type="containsText" dxfId="9" priority="28367" operator="containsText" text="No">
      <formula>NOT(ISERROR(SEARCH(("No"),(P87))))</formula>
    </cfRule>
  </conditionalFormatting>
  <conditionalFormatting sqref="P87:Q101 P104:Q109 P111:Q126 P128:Q133 P136:Q164 O145 P166:Q169 P171:Q214 U204:V204">
    <cfRule type="containsText" dxfId="9" priority="28368" operator="containsText" text="No">
      <formula>NOT(ISERROR(SEARCH(("No"),(P87))))</formula>
    </cfRule>
  </conditionalFormatting>
  <conditionalFormatting sqref="P87:Q101 P104:Q109 P111:Q126 P128:Q133 P136:Q164 O145 P166:Q169 P171:Q214 U204:V204">
    <cfRule type="containsText" dxfId="9" priority="28369" operator="containsText" text="No">
      <formula>NOT(ISERROR(SEARCH(("No"),(P87))))</formula>
    </cfRule>
  </conditionalFormatting>
  <conditionalFormatting sqref="P87:Q101 P104:Q109 P111:Q126 P128:Q133 P136:Q164 O145 P166:Q169 P171:Q214 U204:V204">
    <cfRule type="containsText" dxfId="9" priority="28370" operator="containsText" text="No">
      <formula>NOT(ISERROR(SEARCH(("No"),(P87))))</formula>
    </cfRule>
  </conditionalFormatting>
  <conditionalFormatting sqref="P87:Q101 P104:Q109 P111:Q126 P128:Q133 P136:Q164 O145 P166:Q169 P171:Q214 U204:V204">
    <cfRule type="containsText" dxfId="9" priority="28371" operator="containsText" text="No">
      <formula>NOT(ISERROR(SEARCH(("No"),(P87))))</formula>
    </cfRule>
  </conditionalFormatting>
  <conditionalFormatting sqref="P87:Q101 P104:Q109 P111:Q126 P128:Q133 P136:Q164 O145 P166:Q169 P171:Q214 U204:V204">
    <cfRule type="containsText" dxfId="9" priority="28372" operator="containsText" text="No">
      <formula>NOT(ISERROR(SEARCH(("No"),(P87))))</formula>
    </cfRule>
  </conditionalFormatting>
  <conditionalFormatting sqref="P87:Q101 P104:Q109 P111:Q126 P128:Q133 P136:Q164 O145 P166:Q169 P171:Q214 U204:V204">
    <cfRule type="containsText" dxfId="9" priority="28373" operator="containsText" text="No">
      <formula>NOT(ISERROR(SEARCH(("No"),(P87))))</formula>
    </cfRule>
  </conditionalFormatting>
  <conditionalFormatting sqref="P87:Q101 P104:Q109 P111:Q126 P128:Q133 P136:Q164 O145 P166:Q169 P171:Q214 U204:V204">
    <cfRule type="containsText" dxfId="9" priority="28374" operator="containsText" text="No">
      <formula>NOT(ISERROR(SEARCH(("No"),(P87))))</formula>
    </cfRule>
  </conditionalFormatting>
  <conditionalFormatting sqref="P87:Q101 P104:Q109 P111:Q126 P128:Q133 P136:Q164 O145 P166:Q169 P171:Q214 U204:V204">
    <cfRule type="containsText" dxfId="9" priority="28375" operator="containsText" text="No">
      <formula>NOT(ISERROR(SEARCH(("No"),(P87))))</formula>
    </cfRule>
  </conditionalFormatting>
  <conditionalFormatting sqref="P87:Q101 P104:Q109 P111:Q126 P128:Q133 P136:Q164 O145 P166:Q169 P171:Q214 U204:V204">
    <cfRule type="containsText" dxfId="9" priority="28376" operator="containsText" text="No">
      <formula>NOT(ISERROR(SEARCH(("No"),(P87))))</formula>
    </cfRule>
  </conditionalFormatting>
  <conditionalFormatting sqref="P87:Q101 P104:Q109 P111:Q126 P128:Q133 P136:Q164 O145 P166:Q169 P171:Q214 U204:V204">
    <cfRule type="containsText" dxfId="9" priority="28377" operator="containsText" text="No">
      <formula>NOT(ISERROR(SEARCH(("No"),(P87))))</formula>
    </cfRule>
  </conditionalFormatting>
  <conditionalFormatting sqref="P87:Q101 P104:Q109 P111:Q126 P128:Q133 P136:Q164 O145 P166:Q169 P171:Q214 U204:V204">
    <cfRule type="containsText" dxfId="9" priority="28378" operator="containsText" text="No">
      <formula>NOT(ISERROR(SEARCH(("No"),(P87))))</formula>
    </cfRule>
  </conditionalFormatting>
  <conditionalFormatting sqref="P87:Q101 P104:Q109 P111:Q126 P128:Q133 P136:Q164 O145 P166:Q169 P171:Q214 U204:V204">
    <cfRule type="containsText" dxfId="9" priority="28379" operator="containsText" text="No">
      <formula>NOT(ISERROR(SEARCH(("No"),(P87))))</formula>
    </cfRule>
  </conditionalFormatting>
  <conditionalFormatting sqref="P87:Q101 P104:Q109 P111:Q126 P128:Q133 P136:Q164 O145 P166:Q169 P171:Q214 U204:V204">
    <cfRule type="containsText" dxfId="9" priority="28380" operator="containsText" text="No">
      <formula>NOT(ISERROR(SEARCH(("No"),(P87))))</formula>
    </cfRule>
  </conditionalFormatting>
  <conditionalFormatting sqref="P87:Q101 P104:Q109 P111:Q126 P128:Q133 P136:Q164 O145 P166:Q169 P171:Q214 U204:V204">
    <cfRule type="containsText" dxfId="9" priority="28381" operator="containsText" text="No">
      <formula>NOT(ISERROR(SEARCH(("No"),(P87))))</formula>
    </cfRule>
  </conditionalFormatting>
  <conditionalFormatting sqref="P87:Q101 P104:Q109 P111:Q126 P128:Q133 P136:Q164 O145 P166:Q169 P171:Q214 U204:V204">
    <cfRule type="containsText" dxfId="9" priority="28382" operator="containsText" text="No">
      <formula>NOT(ISERROR(SEARCH(("No"),(P87))))</formula>
    </cfRule>
  </conditionalFormatting>
  <conditionalFormatting sqref="P87:Q101 P104:Q109 P111:Q126 P128:Q133 P136:Q164 O145 P166:Q169 P171:Q214 U204:V204">
    <cfRule type="containsText" dxfId="9" priority="28383" operator="containsText" text="No">
      <formula>NOT(ISERROR(SEARCH(("No"),(P87))))</formula>
    </cfRule>
  </conditionalFormatting>
  <conditionalFormatting sqref="P87:Q101 P104:Q109 P111:Q126 P128:Q133 P136:Q164 O145 P166:Q169 P171:Q214 U204:V204">
    <cfRule type="containsText" dxfId="9" priority="28384" operator="containsText" text="No">
      <formula>NOT(ISERROR(SEARCH(("No"),(P87))))</formula>
    </cfRule>
  </conditionalFormatting>
  <conditionalFormatting sqref="P87:Q101 P104:Q109 P111:Q126 P128:Q133 P136:Q164 O145 P166:Q169 P171:Q214 U204:V204">
    <cfRule type="containsText" dxfId="2" priority="28385" operator="containsText" text="Yes">
      <formula>NOT(ISERROR(SEARCH(("Yes"),(P87))))</formula>
    </cfRule>
  </conditionalFormatting>
  <conditionalFormatting sqref="P87:Q101 P104:Q109 P111:Q126 P128:Q133 P136:Q164 O145 P166:Q169 P171:Q214 U204:V204">
    <cfRule type="containsText" dxfId="2" priority="28386" operator="containsText" text="Yes">
      <formula>NOT(ISERROR(SEARCH(("Yes"),(P87))))</formula>
    </cfRule>
  </conditionalFormatting>
  <conditionalFormatting sqref="P87:Q101 P104:Q109 P111:Q126 P128:Q133 P136:Q164 O145 P166:Q169 P171:Q214 U204:V204">
    <cfRule type="containsText" dxfId="2" priority="28387" operator="containsText" text="Yes">
      <formula>NOT(ISERROR(SEARCH(("Yes"),(P87))))</formula>
    </cfRule>
  </conditionalFormatting>
  <conditionalFormatting sqref="P87:Q101 P104:Q109 P111:Q126 P128:Q133 P136:Q164 O145 P166:Q169 P171:Q214 U204:V204">
    <cfRule type="containsText" dxfId="2" priority="28388" operator="containsText" text="Yes">
      <formula>NOT(ISERROR(SEARCH(("Yes"),(P87))))</formula>
    </cfRule>
  </conditionalFormatting>
  <conditionalFormatting sqref="P87:Q101 P104:Q109 P111:Q126 P128:Q133 P136:Q164 O145 P166:Q169 P171:Q214 U204:V204">
    <cfRule type="containsText" dxfId="2" priority="28389" operator="containsText" text="Yes">
      <formula>NOT(ISERROR(SEARCH(("Yes"),(P87))))</formula>
    </cfRule>
  </conditionalFormatting>
  <conditionalFormatting sqref="P87:Q101 P104:Q109 P111:Q126 P128:Q133 P136:Q164 O145 P166:Q169 P171:Q214 U204:V204">
    <cfRule type="containsText" dxfId="2" priority="28390" operator="containsText" text="Yes">
      <formula>NOT(ISERROR(SEARCH(("Yes"),(P87))))</formula>
    </cfRule>
  </conditionalFormatting>
  <conditionalFormatting sqref="P87:Q101 P104:Q109 P111:Q126 P128:Q133 P136:Q164 O145 P166:Q169 P171:Q214 U204:V204">
    <cfRule type="containsText" dxfId="2" priority="28391" operator="containsText" text="Yes">
      <formula>NOT(ISERROR(SEARCH(("Yes"),(P87))))</formula>
    </cfRule>
  </conditionalFormatting>
  <conditionalFormatting sqref="P87:Q101 P104:Q109 P111:Q126 P128:Q133 P136:Q164 O145 P166:Q169 P171:Q214 U204:V204">
    <cfRule type="containsText" dxfId="2" priority="28392" operator="containsText" text="Yes">
      <formula>NOT(ISERROR(SEARCH(("Yes"),(P87))))</formula>
    </cfRule>
  </conditionalFormatting>
  <conditionalFormatting sqref="P87:Q101 P104:Q109 P111:Q126 P128:Q133 P136:Q164 O145 P166:Q169 P171:Q214 U204:V204">
    <cfRule type="containsText" dxfId="2" priority="28393" operator="containsText" text="Yes">
      <formula>NOT(ISERROR(SEARCH(("Yes"),(P87))))</formula>
    </cfRule>
  </conditionalFormatting>
  <conditionalFormatting sqref="P87:Q101 P104:Q109 P111:Q126 P128:Q133 P136:Q164 O145 P166:Q169 P171:Q214 U204:V204">
    <cfRule type="containsText" dxfId="2" priority="28394" operator="containsText" text="Yes">
      <formula>NOT(ISERROR(SEARCH(("Yes"),(P87))))</formula>
    </cfRule>
  </conditionalFormatting>
  <conditionalFormatting sqref="P87:Q101 P104:Q109 P111:Q126 P128:Q133 P136:Q164 O145 P166:Q169 P171:Q214 U204:V204">
    <cfRule type="containsText" dxfId="2" priority="28395" operator="containsText" text="Yes">
      <formula>NOT(ISERROR(SEARCH(("Yes"),(P87))))</formula>
    </cfRule>
  </conditionalFormatting>
  <conditionalFormatting sqref="P87:Q101 P104:Q109 P111:Q126 P128:Q133 P136:Q164 O145 P166:Q169 P171:Q214 U204:V204">
    <cfRule type="containsText" dxfId="2" priority="28396" operator="containsText" text="Yes">
      <formula>NOT(ISERROR(SEARCH(("Yes"),(P87))))</formula>
    </cfRule>
  </conditionalFormatting>
  <conditionalFormatting sqref="P87:Q101 P104:Q109 P111:Q126 P128:Q133 P136:Q164 O145 P166:Q169 P171:Q214 U204:V204">
    <cfRule type="containsText" dxfId="2" priority="28397" operator="containsText" text="Yes">
      <formula>NOT(ISERROR(SEARCH(("Yes"),(P87))))</formula>
    </cfRule>
  </conditionalFormatting>
  <conditionalFormatting sqref="P87:Q101 P104:Q109 P111:Q126 P128:Q133 P136:Q164 O145 P166:Q169 P171:Q214 U204:V204">
    <cfRule type="containsText" dxfId="2" priority="28398" operator="containsText" text="Yes">
      <formula>NOT(ISERROR(SEARCH(("Yes"),(P87))))</formula>
    </cfRule>
  </conditionalFormatting>
  <conditionalFormatting sqref="P87:Q101 P104:Q109 P111:Q126 P128:Q133 P136:Q164 O145 P166:Q169 P171:Q214 U204:V204">
    <cfRule type="containsText" dxfId="2" priority="28399" operator="containsText" text="Yes">
      <formula>NOT(ISERROR(SEARCH(("Yes"),(P87))))</formula>
    </cfRule>
  </conditionalFormatting>
  <conditionalFormatting sqref="P87:Q101 P104:Q109 P111:Q126 P128:Q133 P136:Q164 O145 P166:Q169 P171:Q214 U204:V204">
    <cfRule type="containsText" dxfId="2" priority="28400" operator="containsText" text="Yes">
      <formula>NOT(ISERROR(SEARCH(("Yes"),(P87))))</formula>
    </cfRule>
  </conditionalFormatting>
  <conditionalFormatting sqref="P87:Q101 P104:Q109 P111:Q126 P128:Q133 P136:Q164 O145 P166:Q169 P171:Q214 U204:V204">
    <cfRule type="containsText" dxfId="2" priority="28401" operator="containsText" text="Yes">
      <formula>NOT(ISERROR(SEARCH(("Yes"),(P87))))</formula>
    </cfRule>
  </conditionalFormatting>
  <conditionalFormatting sqref="P87:Q101 P104:Q109 P111:Q126 P128:Q133 P136:Q164 O145 P166:Q169 P171:Q214 U204:V204">
    <cfRule type="containsText" dxfId="2" priority="28402" operator="containsText" text="Yes">
      <formula>NOT(ISERROR(SEARCH(("Yes"),(P87))))</formula>
    </cfRule>
  </conditionalFormatting>
  <conditionalFormatting sqref="P87:Q101 P104:Q109 P111:Q126 P128:Q133 P136:Q164 O145 P166:Q169 P171:Q214 U204:V204">
    <cfRule type="containsText" dxfId="2" priority="28403" operator="containsText" text="Yes">
      <formula>NOT(ISERROR(SEARCH(("Yes"),(P87))))</formula>
    </cfRule>
  </conditionalFormatting>
  <conditionalFormatting sqref="P87:Q101 P104:Q109 P111:Q126 P128:Q133 P136:Q164 O145 P166:Q169 P171:Q214 U204:V204">
    <cfRule type="containsText" dxfId="2" priority="28404" operator="containsText" text="Yes">
      <formula>NOT(ISERROR(SEARCH(("Yes"),(P87))))</formula>
    </cfRule>
  </conditionalFormatting>
  <conditionalFormatting sqref="P87:Q101 P104:Q109 P111:Q126 P128:Q133 P136:Q164 O145 P166:Q169 P171:Q214 U204:V204">
    <cfRule type="containsText" dxfId="2" priority="28405" operator="containsText" text="Yes">
      <formula>NOT(ISERROR(SEARCH(("Yes"),(P87))))</formula>
    </cfRule>
  </conditionalFormatting>
  <conditionalFormatting sqref="P87:Q101 P104:Q109 P111:Q126 P128:Q133 P136:Q164 O145 P166:Q169 P171:Q214 U204:V204">
    <cfRule type="containsText" dxfId="2" priority="28406" operator="containsText" text="Yes">
      <formula>NOT(ISERROR(SEARCH(("Yes"),(P87))))</formula>
    </cfRule>
  </conditionalFormatting>
  <conditionalFormatting sqref="P87:Q101 P104:Q109 P111:Q126 P128:Q133 P136:Q164 O145 P166:Q169 P171:Q214 U204:V204">
    <cfRule type="containsText" dxfId="2" priority="28407" operator="containsText" text="Yes">
      <formula>NOT(ISERROR(SEARCH(("Yes"),(P87))))</formula>
    </cfRule>
  </conditionalFormatting>
  <conditionalFormatting sqref="P87:Q101 P104:Q109 P111:Q126 P128:Q133 P136:Q164 O145 P166:Q169 P171:Q214 U204:V204">
    <cfRule type="containsText" dxfId="2" priority="28408" operator="containsText" text="Yes">
      <formula>NOT(ISERROR(SEARCH(("Yes"),(P87))))</formula>
    </cfRule>
  </conditionalFormatting>
  <conditionalFormatting sqref="P87:Q101 P104:Q109 P111:Q126 P128:Q133 P136:Q164 O145 P166:Q169 P171:Q214 U204:V204">
    <cfRule type="containsText" dxfId="2" priority="28409" operator="containsText" text="Yes">
      <formula>NOT(ISERROR(SEARCH(("Yes"),(P87))))</formula>
    </cfRule>
  </conditionalFormatting>
  <conditionalFormatting sqref="P87:Q101 P104:Q109 P111:Q126 P128:Q133 P136:Q164 O145 P166:Q169 P171:Q214 U204:V204">
    <cfRule type="containsText" dxfId="2" priority="28410" operator="containsText" text="Yes">
      <formula>NOT(ISERROR(SEARCH(("Yes"),(P87))))</formula>
    </cfRule>
  </conditionalFormatting>
  <conditionalFormatting sqref="P87:Q101 P104:Q109 P111:Q126 P128:Q133 P136:Q164 O145 P166:Q169 P171:Q214 U204:V204">
    <cfRule type="containsText" dxfId="2" priority="28411" operator="containsText" text="Yes">
      <formula>NOT(ISERROR(SEARCH(("Yes"),(P87))))</formula>
    </cfRule>
  </conditionalFormatting>
  <conditionalFormatting sqref="P87:Q101 P104:Q109 P111:Q126 P128:Q133 P136:Q164 O145 P166:Q169 P171:Q214 U204:V204">
    <cfRule type="containsText" dxfId="2" priority="28412" operator="containsText" text="Yes">
      <formula>NOT(ISERROR(SEARCH(("Yes"),(P87))))</formula>
    </cfRule>
  </conditionalFormatting>
  <conditionalFormatting sqref="P87:Q101 P104:Q109 P111:Q126 P128:Q133 P136:Q164 O145 P166:Q169 P171:Q214 U204:V204">
    <cfRule type="containsText" dxfId="2" priority="28413" operator="containsText" text="Yes">
      <formula>NOT(ISERROR(SEARCH(("Yes"),(P87))))</formula>
    </cfRule>
  </conditionalFormatting>
  <conditionalFormatting sqref="P87:Q101 P104:Q109 P111:Q126 P128:Q133 P136:Q164 O145 P166:Q169 P171:Q214 U204:V204">
    <cfRule type="containsText" dxfId="2" priority="28414" operator="containsText" text="Yes">
      <formula>NOT(ISERROR(SEARCH(("Yes"),(P87))))</formula>
    </cfRule>
  </conditionalFormatting>
  <conditionalFormatting sqref="P87:Q101 P104:Q109 P111:Q126 P128:Q133 P136:Q164 O145 P166:Q169 P171:Q214 U204:V204">
    <cfRule type="containsText" dxfId="2" priority="28415" operator="containsText" text="Yes">
      <formula>NOT(ISERROR(SEARCH(("Yes"),(P87))))</formula>
    </cfRule>
  </conditionalFormatting>
  <conditionalFormatting sqref="P87:Q101 P104:Q109 P111:Q126 P128:Q133 P136:Q164 O145 P166:Q169 P171:Q214 U204:V204">
    <cfRule type="containsText" dxfId="2" priority="28416" operator="containsText" text="Yes">
      <formula>NOT(ISERROR(SEARCH(("Yes"),(P87))))</formula>
    </cfRule>
  </conditionalFormatting>
  <conditionalFormatting sqref="P87:Q101 P104:Q109 P111:Q126 P128:Q133 P136:Q164 O145 P166:Q169 P171:Q214 U204:V204">
    <cfRule type="containsText" dxfId="2" priority="28417" operator="containsText" text="Yes">
      <formula>NOT(ISERROR(SEARCH(("Yes"),(P87))))</formula>
    </cfRule>
  </conditionalFormatting>
  <conditionalFormatting sqref="P87:Q101 P104:Q109 P111:Q126 P128:Q133 P136:Q164 O145 P166:Q169 P171:Q214 U204:V204">
    <cfRule type="containsText" dxfId="2" priority="28418" operator="containsText" text="Yes">
      <formula>NOT(ISERROR(SEARCH(("Yes"),(P87))))</formula>
    </cfRule>
  </conditionalFormatting>
  <conditionalFormatting sqref="P87:Q101 P104:Q109 P111:Q126 P128:Q133 P136:Q164 O145 P166:Q169 P171:Q214 U204:V204">
    <cfRule type="containsText" dxfId="2" priority="28419" operator="containsText" text="Yes">
      <formula>NOT(ISERROR(SEARCH(("Yes"),(P87))))</formula>
    </cfRule>
  </conditionalFormatting>
  <conditionalFormatting sqref="P87:Q101 P104:Q109 P111:Q126 P128:Q133 P136:Q164 O145 P166:Q169 P171:Q214 U204:V204">
    <cfRule type="containsText" dxfId="2" priority="28420" operator="containsText" text="Yes">
      <formula>NOT(ISERROR(SEARCH(("Yes"),(P87))))</formula>
    </cfRule>
  </conditionalFormatting>
  <conditionalFormatting sqref="P87:Q101 P104:Q109 P111:Q126 P128:Q133 P136:Q164 O145 P166:Q169 P171:Q214 U204:V204">
    <cfRule type="containsText" dxfId="2" priority="28421" operator="containsText" text="Yes">
      <formula>NOT(ISERROR(SEARCH(("Yes"),(P87))))</formula>
    </cfRule>
  </conditionalFormatting>
  <conditionalFormatting sqref="P87:Q101 P104:Q109 P111:Q126 P128:Q133 P136:Q164 O145 P166:Q169 P171:Q214 U204:V204">
    <cfRule type="containsText" dxfId="2" priority="28422" operator="containsText" text="Yes">
      <formula>NOT(ISERROR(SEARCH(("Yes"),(P87))))</formula>
    </cfRule>
  </conditionalFormatting>
  <conditionalFormatting sqref="P87:Q101 P104:Q109 P111:Q126 P128:Q133 P136:Q164 O145 P166:Q169 P171:Q214 U204:V204">
    <cfRule type="containsText" dxfId="2" priority="28423" operator="containsText" text="Yes">
      <formula>NOT(ISERROR(SEARCH(("Yes"),(P87))))</formula>
    </cfRule>
  </conditionalFormatting>
  <conditionalFormatting sqref="P87:Q101 P104:Q109 P111:Q126 P128:Q133 P136:Q164 O145 P166:Q169 P171:Q214 U204:V204">
    <cfRule type="containsText" dxfId="2" priority="28424" operator="containsText" text="Yes">
      <formula>NOT(ISERROR(SEARCH(("Yes"),(P87))))</formula>
    </cfRule>
  </conditionalFormatting>
  <conditionalFormatting sqref="P87:Q101 P104:Q109 P111:Q126 P128:Q133 P136:Q164 O145 P166:Q169 P171:Q214 U204:V204">
    <cfRule type="containsText" dxfId="2" priority="28425" operator="containsText" text="Yes">
      <formula>NOT(ISERROR(SEARCH(("Yes"),(P87))))</formula>
    </cfRule>
  </conditionalFormatting>
  <conditionalFormatting sqref="P87:Q101 P104:Q109 P111:Q126 P128:Q133 P136:Q164 O145 P166:Q169 P171:Q214 U204:V204">
    <cfRule type="containsText" dxfId="2" priority="28426" operator="containsText" text="Yes">
      <formula>NOT(ISERROR(SEARCH(("Yes"),(P87))))</formula>
    </cfRule>
  </conditionalFormatting>
  <conditionalFormatting sqref="P87:Q101 P104:Q109 P111:Q126 P128:Q133 P136:Q164 O145 P166:Q169 P171:Q214 U204:V204">
    <cfRule type="containsText" dxfId="2" priority="28427" operator="containsText" text="Yes">
      <formula>NOT(ISERROR(SEARCH(("Yes"),(P87))))</formula>
    </cfRule>
  </conditionalFormatting>
  <conditionalFormatting sqref="P87:Q101 P104:Q109 P111:Q126 P128:Q133 P136:Q164 O145 P166:Q169 P171:Q214 U204:V204">
    <cfRule type="containsText" dxfId="2" priority="28428" operator="containsText" text="Yes">
      <formula>NOT(ISERROR(SEARCH(("Yes"),(P87))))</formula>
    </cfRule>
  </conditionalFormatting>
  <conditionalFormatting sqref="P87:Q101 P104:Q109 P111:Q126 P128:Q133 P136:Q164 O145 P166:Q169 P171:Q214 U204:V204">
    <cfRule type="containsText" dxfId="2" priority="28429" operator="containsText" text="Yes">
      <formula>NOT(ISERROR(SEARCH(("Yes"),(P87))))</formula>
    </cfRule>
  </conditionalFormatting>
  <conditionalFormatting sqref="P87:Q101 P104:Q109 P111:Q126 P128:Q133 P136:Q164 O145 P166:Q169 P171:Q214 U204:V204">
    <cfRule type="containsText" dxfId="2" priority="28430" operator="containsText" text="Yes">
      <formula>NOT(ISERROR(SEARCH(("Yes"),(P87))))</formula>
    </cfRule>
  </conditionalFormatting>
  <conditionalFormatting sqref="P87:Q101 P104:Q109 P111:Q126 P128:Q133 P136:Q164 O145 P166:Q169 P171:Q214 U204:V204">
    <cfRule type="containsText" dxfId="2" priority="28431" operator="containsText" text="Yes">
      <formula>NOT(ISERROR(SEARCH(("Yes"),(P87))))</formula>
    </cfRule>
  </conditionalFormatting>
  <conditionalFormatting sqref="O88:Q89 O91:Q96 O100:Q101 O153:Q153 O155:Q158 O160:Q160 O163:Q163 O168:Q169 O171:Q171 O173:Q173 O175:Q175 O177:Q179 O183:Q183 O185:O202 P185:Q214 N195 N197:N198 N201:N202 N204:O204 U204:V204">
    <cfRule type="containsText" dxfId="9" priority="28432"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33"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34"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35"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36"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37"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38"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39"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40"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41"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42"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43"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44"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45"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46"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47"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48"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49"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50"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51"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52"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53"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54"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55"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56"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57"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58"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59"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60"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61"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62"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63"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64"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65"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66"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67"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68"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69"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70"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71"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72"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73"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74"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75"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9" priority="28476" operator="containsText" text="No">
      <formula>NOT(ISERROR(SEARCH(("No"),(O88))))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77"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78"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79"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80"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81"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82"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83"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84"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85"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86"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87"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88"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89"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90"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91"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92"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93"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94"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95"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96"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97"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98"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499"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00"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01"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02"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03"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04"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05"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06"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07"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08"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09"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10"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11"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12"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13"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14"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15"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16"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17"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18"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19"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20"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21"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22" operator="containsText" text="Yes">
      <formula>NOT(ISERROR(SEARCH(("Yes"),(O88))))</formula>
    </cfRule>
  </conditionalFormatting>
  <conditionalFormatting sqref="O88:Q89 O91:Q96 O100:Q101 O153:Q153 O155:Q158 O160:Q160 O163:Q163 O168:Q169 O171:Q171 O173:Q173 O175:Q175 O177:Q179 O183:Q183 O185:O202 P185:Q214 N195 N197:N198 N201:N202 N204:O204 U204:V204">
    <cfRule type="containsText" dxfId="2" priority="28523" operator="containsText" text="Yes">
      <formula>NOT(ISERROR(SEARCH(("Yes"),(O88))))</formula>
    </cfRule>
  </conditionalFormatting>
  <conditionalFormatting sqref="N89:Q91 N96:Q99">
    <cfRule type="containsText" dxfId="9" priority="28524" operator="containsText" text="No">
      <formula>NOT(ISERROR(SEARCH(("No"),(N89))))</formula>
    </cfRule>
  </conditionalFormatting>
  <conditionalFormatting sqref="N89:Q91 N96:Q99">
    <cfRule type="containsText" dxfId="9" priority="28525" operator="containsText" text="No">
      <formula>NOT(ISERROR(SEARCH(("No"),(N89))))</formula>
    </cfRule>
  </conditionalFormatting>
  <conditionalFormatting sqref="N89:Q91 N96:Q99">
    <cfRule type="containsText" dxfId="9" priority="28526" operator="containsText" text="No">
      <formula>NOT(ISERROR(SEARCH(("No"),(N89))))</formula>
    </cfRule>
  </conditionalFormatting>
  <conditionalFormatting sqref="N89:Q91 N96:Q99">
    <cfRule type="containsText" dxfId="9" priority="28527" operator="containsText" text="No">
      <formula>NOT(ISERROR(SEARCH(("No"),(N89))))</formula>
    </cfRule>
  </conditionalFormatting>
  <conditionalFormatting sqref="N89:Q91 N96:Q99">
    <cfRule type="containsText" dxfId="9" priority="28528" operator="containsText" text="No">
      <formula>NOT(ISERROR(SEARCH(("No"),(N89))))</formula>
    </cfRule>
  </conditionalFormatting>
  <conditionalFormatting sqref="N89:Q91 N96:Q99">
    <cfRule type="containsText" dxfId="9" priority="28529" operator="containsText" text="No">
      <formula>NOT(ISERROR(SEARCH(("No"),(N89))))</formula>
    </cfRule>
  </conditionalFormatting>
  <conditionalFormatting sqref="N89:Q91 N96:Q99">
    <cfRule type="containsText" dxfId="9" priority="28530" operator="containsText" text="No">
      <formula>NOT(ISERROR(SEARCH(("No"),(N89))))</formula>
    </cfRule>
  </conditionalFormatting>
  <conditionalFormatting sqref="N89:Q91 N96:Q99">
    <cfRule type="containsText" dxfId="9" priority="28531" operator="containsText" text="No">
      <formula>NOT(ISERROR(SEARCH(("No"),(N89))))</formula>
    </cfRule>
  </conditionalFormatting>
  <conditionalFormatting sqref="N89:Q91 N96:Q99">
    <cfRule type="containsText" dxfId="9" priority="28532" operator="containsText" text="No">
      <formula>NOT(ISERROR(SEARCH(("No"),(N89))))</formula>
    </cfRule>
  </conditionalFormatting>
  <conditionalFormatting sqref="N89:Q91 N96:Q99">
    <cfRule type="containsText" dxfId="9" priority="28533" operator="containsText" text="No">
      <formula>NOT(ISERROR(SEARCH(("No"),(N89))))</formula>
    </cfRule>
  </conditionalFormatting>
  <conditionalFormatting sqref="N89:Q91 N96:Q99">
    <cfRule type="containsText" dxfId="9" priority="28534" operator="containsText" text="No">
      <formula>NOT(ISERROR(SEARCH(("No"),(N89))))</formula>
    </cfRule>
  </conditionalFormatting>
  <conditionalFormatting sqref="N89:Q91 N96:Q99">
    <cfRule type="containsText" dxfId="9" priority="28535" operator="containsText" text="No">
      <formula>NOT(ISERROR(SEARCH(("No"),(N89))))</formula>
    </cfRule>
  </conditionalFormatting>
  <conditionalFormatting sqref="N89:Q91 N96:Q99">
    <cfRule type="containsText" dxfId="9" priority="28536" operator="containsText" text="No">
      <formula>NOT(ISERROR(SEARCH(("No"),(N89))))</formula>
    </cfRule>
  </conditionalFormatting>
  <conditionalFormatting sqref="N89:Q91 N96:Q99">
    <cfRule type="containsText" dxfId="9" priority="28537" operator="containsText" text="No">
      <formula>NOT(ISERROR(SEARCH(("No"),(N89))))</formula>
    </cfRule>
  </conditionalFormatting>
  <conditionalFormatting sqref="N89:Q91 N96:Q99">
    <cfRule type="containsText" dxfId="9" priority="28538" operator="containsText" text="No">
      <formula>NOT(ISERROR(SEARCH(("No"),(N89))))</formula>
    </cfRule>
  </conditionalFormatting>
  <conditionalFormatting sqref="N89:Q91 N96:Q99">
    <cfRule type="containsText" dxfId="9" priority="28539" operator="containsText" text="No">
      <formula>NOT(ISERROR(SEARCH(("No"),(N89))))</formula>
    </cfRule>
  </conditionalFormatting>
  <conditionalFormatting sqref="N89:Q91 N96:Q99">
    <cfRule type="containsText" dxfId="9" priority="28540" operator="containsText" text="No">
      <formula>NOT(ISERROR(SEARCH(("No"),(N89))))</formula>
    </cfRule>
  </conditionalFormatting>
  <conditionalFormatting sqref="N89:Q91 N96:Q99">
    <cfRule type="containsText" dxfId="9" priority="28541" operator="containsText" text="No">
      <formula>NOT(ISERROR(SEARCH(("No"),(N89))))</formula>
    </cfRule>
  </conditionalFormatting>
  <conditionalFormatting sqref="N89:Q91 N96:Q99">
    <cfRule type="containsText" dxfId="9" priority="28542" operator="containsText" text="No">
      <formula>NOT(ISERROR(SEARCH(("No"),(N89))))</formula>
    </cfRule>
  </conditionalFormatting>
  <conditionalFormatting sqref="N89:Q91 N96:Q99">
    <cfRule type="containsText" dxfId="9" priority="28543" operator="containsText" text="No">
      <formula>NOT(ISERROR(SEARCH(("No"),(N89))))</formula>
    </cfRule>
  </conditionalFormatting>
  <conditionalFormatting sqref="N89:Q91 N96:Q99">
    <cfRule type="containsText" dxfId="9" priority="28544" operator="containsText" text="No">
      <formula>NOT(ISERROR(SEARCH(("No"),(N89))))</formula>
    </cfRule>
  </conditionalFormatting>
  <conditionalFormatting sqref="N89:Q91 N96:Q99">
    <cfRule type="containsText" dxfId="9" priority="28545" operator="containsText" text="No">
      <formula>NOT(ISERROR(SEARCH(("No"),(N89))))</formula>
    </cfRule>
  </conditionalFormatting>
  <conditionalFormatting sqref="N89:Q91 N96:Q99">
    <cfRule type="containsText" dxfId="9" priority="28546" operator="containsText" text="No">
      <formula>NOT(ISERROR(SEARCH(("No"),(N89))))</formula>
    </cfRule>
  </conditionalFormatting>
  <conditionalFormatting sqref="N89:Q91 N96:Q99">
    <cfRule type="containsText" dxfId="9" priority="28547" operator="containsText" text="No">
      <formula>NOT(ISERROR(SEARCH(("No"),(N89))))</formula>
    </cfRule>
  </conditionalFormatting>
  <conditionalFormatting sqref="N89:Q91 N96:Q99">
    <cfRule type="containsText" dxfId="9" priority="28548" operator="containsText" text="No">
      <formula>NOT(ISERROR(SEARCH(("No"),(N89))))</formula>
    </cfRule>
  </conditionalFormatting>
  <conditionalFormatting sqref="N89:Q91 N96:Q99">
    <cfRule type="containsText" dxfId="9" priority="28549" operator="containsText" text="No">
      <formula>NOT(ISERROR(SEARCH(("No"),(N89))))</formula>
    </cfRule>
  </conditionalFormatting>
  <conditionalFormatting sqref="N89:Q91 N96:Q99">
    <cfRule type="containsText" dxfId="9" priority="28550" operator="containsText" text="No">
      <formula>NOT(ISERROR(SEARCH(("No"),(N89))))</formula>
    </cfRule>
  </conditionalFormatting>
  <conditionalFormatting sqref="N89:Q91 N96:Q99">
    <cfRule type="containsText" dxfId="9" priority="28551" operator="containsText" text="No">
      <formula>NOT(ISERROR(SEARCH(("No"),(N89))))</formula>
    </cfRule>
  </conditionalFormatting>
  <conditionalFormatting sqref="N89:Q91 N96:Q99">
    <cfRule type="containsText" dxfId="9" priority="28552" operator="containsText" text="No">
      <formula>NOT(ISERROR(SEARCH(("No"),(N89))))</formula>
    </cfRule>
  </conditionalFormatting>
  <conditionalFormatting sqref="N89:Q91 N96:Q99">
    <cfRule type="containsText" dxfId="9" priority="28553" operator="containsText" text="No">
      <formula>NOT(ISERROR(SEARCH(("No"),(N89))))</formula>
    </cfRule>
  </conditionalFormatting>
  <conditionalFormatting sqref="N89:Q91 N96:Q99">
    <cfRule type="containsText" dxfId="9" priority="28554" operator="containsText" text="No">
      <formula>NOT(ISERROR(SEARCH(("No"),(N89))))</formula>
    </cfRule>
  </conditionalFormatting>
  <conditionalFormatting sqref="N89:Q91 N96:Q99">
    <cfRule type="containsText" dxfId="9" priority="28555" operator="containsText" text="No">
      <formula>NOT(ISERROR(SEARCH(("No"),(N89))))</formula>
    </cfRule>
  </conditionalFormatting>
  <conditionalFormatting sqref="N89:Q91 N96:Q99">
    <cfRule type="containsText" dxfId="9" priority="28556" operator="containsText" text="No">
      <formula>NOT(ISERROR(SEARCH(("No"),(N89))))</formula>
    </cfRule>
  </conditionalFormatting>
  <conditionalFormatting sqref="N89:Q91 N96:Q99">
    <cfRule type="containsText" dxfId="9" priority="28557" operator="containsText" text="No">
      <formula>NOT(ISERROR(SEARCH(("No"),(N89))))</formula>
    </cfRule>
  </conditionalFormatting>
  <conditionalFormatting sqref="N89:Q91 N96:Q99">
    <cfRule type="containsText" dxfId="9" priority="28558" operator="containsText" text="No">
      <formula>NOT(ISERROR(SEARCH(("No"),(N89))))</formula>
    </cfRule>
  </conditionalFormatting>
  <conditionalFormatting sqref="N89:Q91 N96:Q99">
    <cfRule type="containsText" dxfId="9" priority="28559" operator="containsText" text="No">
      <formula>NOT(ISERROR(SEARCH(("No"),(N89))))</formula>
    </cfRule>
  </conditionalFormatting>
  <conditionalFormatting sqref="N89:Q91 N96:Q99">
    <cfRule type="containsText" dxfId="9" priority="28560" operator="containsText" text="No">
      <formula>NOT(ISERROR(SEARCH(("No"),(N89))))</formula>
    </cfRule>
  </conditionalFormatting>
  <conditionalFormatting sqref="N89:Q91 N96:Q99">
    <cfRule type="containsText" dxfId="9" priority="28561" operator="containsText" text="No">
      <formula>NOT(ISERROR(SEARCH(("No"),(N89))))</formula>
    </cfRule>
  </conditionalFormatting>
  <conditionalFormatting sqref="N89:Q91 N96:Q99">
    <cfRule type="containsText" dxfId="9" priority="28562" operator="containsText" text="No">
      <formula>NOT(ISERROR(SEARCH(("No"),(N89))))</formula>
    </cfRule>
  </conditionalFormatting>
  <conditionalFormatting sqref="N89:Q91 N96:Q99">
    <cfRule type="containsText" dxfId="9" priority="28563" operator="containsText" text="No">
      <formula>NOT(ISERROR(SEARCH(("No"),(N89))))</formula>
    </cfRule>
  </conditionalFormatting>
  <conditionalFormatting sqref="N89:Q91 N96:Q99">
    <cfRule type="containsText" dxfId="9" priority="28564" operator="containsText" text="No">
      <formula>NOT(ISERROR(SEARCH(("No"),(N89))))</formula>
    </cfRule>
  </conditionalFormatting>
  <conditionalFormatting sqref="N89:Q91 N96:Q99">
    <cfRule type="containsText" dxfId="9" priority="28565" operator="containsText" text="No">
      <formula>NOT(ISERROR(SEARCH(("No"),(N89))))</formula>
    </cfRule>
  </conditionalFormatting>
  <conditionalFormatting sqref="N89:Q91 N96:Q99">
    <cfRule type="containsText" dxfId="9" priority="28566" operator="containsText" text="No">
      <formula>NOT(ISERROR(SEARCH(("No"),(N89))))</formula>
    </cfRule>
  </conditionalFormatting>
  <conditionalFormatting sqref="N89:Q91 N96:Q99">
    <cfRule type="containsText" dxfId="9" priority="28567" operator="containsText" text="No">
      <formula>NOT(ISERROR(SEARCH(("No"),(N89))))</formula>
    </cfRule>
  </conditionalFormatting>
  <conditionalFormatting sqref="N89:Q91 N96:Q99">
    <cfRule type="containsText" dxfId="9" priority="28568" operator="containsText" text="No">
      <formula>NOT(ISERROR(SEARCH(("No"),(N89))))</formula>
    </cfRule>
  </conditionalFormatting>
  <conditionalFormatting sqref="N89:Q91 N96:Q99">
    <cfRule type="containsText" dxfId="2" priority="28569" operator="containsText" text="Yes">
      <formula>NOT(ISERROR(SEARCH(("Yes"),(N89))))</formula>
    </cfRule>
  </conditionalFormatting>
  <conditionalFormatting sqref="N89:Q91 N96:Q99">
    <cfRule type="containsText" dxfId="2" priority="28570" operator="containsText" text="Yes">
      <formula>NOT(ISERROR(SEARCH(("Yes"),(N89))))</formula>
    </cfRule>
  </conditionalFormatting>
  <conditionalFormatting sqref="N89:Q91 N96:Q99">
    <cfRule type="containsText" dxfId="2" priority="28571" operator="containsText" text="Yes">
      <formula>NOT(ISERROR(SEARCH(("Yes"),(N89))))</formula>
    </cfRule>
  </conditionalFormatting>
  <conditionalFormatting sqref="N89:Q91 N96:Q99">
    <cfRule type="containsText" dxfId="2" priority="28572" operator="containsText" text="Yes">
      <formula>NOT(ISERROR(SEARCH(("Yes"),(N89))))</formula>
    </cfRule>
  </conditionalFormatting>
  <conditionalFormatting sqref="N89:Q91 N96:Q99">
    <cfRule type="containsText" dxfId="2" priority="28573" operator="containsText" text="Yes">
      <formula>NOT(ISERROR(SEARCH(("Yes"),(N89))))</formula>
    </cfRule>
  </conditionalFormatting>
  <conditionalFormatting sqref="N89:Q91 N96:Q99">
    <cfRule type="containsText" dxfId="2" priority="28574" operator="containsText" text="Yes">
      <formula>NOT(ISERROR(SEARCH(("Yes"),(N89))))</formula>
    </cfRule>
  </conditionalFormatting>
  <conditionalFormatting sqref="N89:Q91 N96:Q99">
    <cfRule type="containsText" dxfId="2" priority="28575" operator="containsText" text="Yes">
      <formula>NOT(ISERROR(SEARCH(("Yes"),(N89))))</formula>
    </cfRule>
  </conditionalFormatting>
  <conditionalFormatting sqref="N89:Q91 N96:Q99">
    <cfRule type="containsText" dxfId="2" priority="28576" operator="containsText" text="Yes">
      <formula>NOT(ISERROR(SEARCH(("Yes"),(N89))))</formula>
    </cfRule>
  </conditionalFormatting>
  <conditionalFormatting sqref="N89:Q91 N96:Q99">
    <cfRule type="containsText" dxfId="2" priority="28577" operator="containsText" text="Yes">
      <formula>NOT(ISERROR(SEARCH(("Yes"),(N89))))</formula>
    </cfRule>
  </conditionalFormatting>
  <conditionalFormatting sqref="N89:Q91 N96:Q99">
    <cfRule type="containsText" dxfId="2" priority="28578" operator="containsText" text="Yes">
      <formula>NOT(ISERROR(SEARCH(("Yes"),(N89))))</formula>
    </cfRule>
  </conditionalFormatting>
  <conditionalFormatting sqref="N89:Q91 N96:Q99">
    <cfRule type="containsText" dxfId="2" priority="28579" operator="containsText" text="Yes">
      <formula>NOT(ISERROR(SEARCH(("Yes"),(N89))))</formula>
    </cfRule>
  </conditionalFormatting>
  <conditionalFormatting sqref="N89:Q91 N96:Q99">
    <cfRule type="containsText" dxfId="2" priority="28580" operator="containsText" text="Yes">
      <formula>NOT(ISERROR(SEARCH(("Yes"),(N89))))</formula>
    </cfRule>
  </conditionalFormatting>
  <conditionalFormatting sqref="N89:Q91 N96:Q99">
    <cfRule type="containsText" dxfId="2" priority="28581" operator="containsText" text="Yes">
      <formula>NOT(ISERROR(SEARCH(("Yes"),(N89))))</formula>
    </cfRule>
  </conditionalFormatting>
  <conditionalFormatting sqref="N89:Q91 N96:Q99">
    <cfRule type="containsText" dxfId="2" priority="28582" operator="containsText" text="Yes">
      <formula>NOT(ISERROR(SEARCH(("Yes"),(N89))))</formula>
    </cfRule>
  </conditionalFormatting>
  <conditionalFormatting sqref="N89:Q91 N96:Q99">
    <cfRule type="containsText" dxfId="2" priority="28583" operator="containsText" text="Yes">
      <formula>NOT(ISERROR(SEARCH(("Yes"),(N89))))</formula>
    </cfRule>
  </conditionalFormatting>
  <conditionalFormatting sqref="N89:Q91 N96:Q99">
    <cfRule type="containsText" dxfId="2" priority="28584" operator="containsText" text="Yes">
      <formula>NOT(ISERROR(SEARCH(("Yes"),(N89))))</formula>
    </cfRule>
  </conditionalFormatting>
  <conditionalFormatting sqref="N89:Q91 N96:Q99">
    <cfRule type="containsText" dxfId="2" priority="28585" operator="containsText" text="Yes">
      <formula>NOT(ISERROR(SEARCH(("Yes"),(N89))))</formula>
    </cfRule>
  </conditionalFormatting>
  <conditionalFormatting sqref="N89:Q91 N96:Q99">
    <cfRule type="containsText" dxfId="2" priority="28586" operator="containsText" text="Yes">
      <formula>NOT(ISERROR(SEARCH(("Yes"),(N89))))</formula>
    </cfRule>
  </conditionalFormatting>
  <conditionalFormatting sqref="N89:Q91 N96:Q99">
    <cfRule type="containsText" dxfId="2" priority="28587" operator="containsText" text="Yes">
      <formula>NOT(ISERROR(SEARCH(("Yes"),(N89))))</formula>
    </cfRule>
  </conditionalFormatting>
  <conditionalFormatting sqref="N89:Q91 N96:Q99">
    <cfRule type="containsText" dxfId="2" priority="28588" operator="containsText" text="Yes">
      <formula>NOT(ISERROR(SEARCH(("Yes"),(N89))))</formula>
    </cfRule>
  </conditionalFormatting>
  <conditionalFormatting sqref="N89:Q91 N96:Q99">
    <cfRule type="containsText" dxfId="2" priority="28589" operator="containsText" text="Yes">
      <formula>NOT(ISERROR(SEARCH(("Yes"),(N89))))</formula>
    </cfRule>
  </conditionalFormatting>
  <conditionalFormatting sqref="N89:Q91 N96:Q99">
    <cfRule type="containsText" dxfId="2" priority="28590" operator="containsText" text="Yes">
      <formula>NOT(ISERROR(SEARCH(("Yes"),(N89))))</formula>
    </cfRule>
  </conditionalFormatting>
  <conditionalFormatting sqref="N89:Q91 N96:Q99">
    <cfRule type="containsText" dxfId="2" priority="28591" operator="containsText" text="Yes">
      <formula>NOT(ISERROR(SEARCH(("Yes"),(N89))))</formula>
    </cfRule>
  </conditionalFormatting>
  <conditionalFormatting sqref="N89:Q91 N96:Q99">
    <cfRule type="containsText" dxfId="2" priority="28592" operator="containsText" text="Yes">
      <formula>NOT(ISERROR(SEARCH(("Yes"),(N89))))</formula>
    </cfRule>
  </conditionalFormatting>
  <conditionalFormatting sqref="N89:Q91 N96:Q99">
    <cfRule type="containsText" dxfId="2" priority="28593" operator="containsText" text="Yes">
      <formula>NOT(ISERROR(SEARCH(("Yes"),(N89))))</formula>
    </cfRule>
  </conditionalFormatting>
  <conditionalFormatting sqref="N89:Q91 N96:Q99">
    <cfRule type="containsText" dxfId="2" priority="28594" operator="containsText" text="Yes">
      <formula>NOT(ISERROR(SEARCH(("Yes"),(N89))))</formula>
    </cfRule>
  </conditionalFormatting>
  <conditionalFormatting sqref="N89:Q91 N96:Q99">
    <cfRule type="containsText" dxfId="2" priority="28595" operator="containsText" text="Yes">
      <formula>NOT(ISERROR(SEARCH(("Yes"),(N89))))</formula>
    </cfRule>
  </conditionalFormatting>
  <conditionalFormatting sqref="N89:Q91 N96:Q99">
    <cfRule type="containsText" dxfId="2" priority="28596" operator="containsText" text="Yes">
      <formula>NOT(ISERROR(SEARCH(("Yes"),(N89))))</formula>
    </cfRule>
  </conditionalFormatting>
  <conditionalFormatting sqref="N89:Q91 N96:Q99">
    <cfRule type="containsText" dxfId="2" priority="28597" operator="containsText" text="Yes">
      <formula>NOT(ISERROR(SEARCH(("Yes"),(N89))))</formula>
    </cfRule>
  </conditionalFormatting>
  <conditionalFormatting sqref="N89:Q91 N96:Q99">
    <cfRule type="containsText" dxfId="2" priority="28598" operator="containsText" text="Yes">
      <formula>NOT(ISERROR(SEARCH(("Yes"),(N89))))</formula>
    </cfRule>
  </conditionalFormatting>
  <conditionalFormatting sqref="N89:Q91 N96:Q99">
    <cfRule type="containsText" dxfId="2" priority="28599" operator="containsText" text="Yes">
      <formula>NOT(ISERROR(SEARCH(("Yes"),(N89))))</formula>
    </cfRule>
  </conditionalFormatting>
  <conditionalFormatting sqref="N89:Q91 N96:Q99">
    <cfRule type="containsText" dxfId="2" priority="28600" operator="containsText" text="Yes">
      <formula>NOT(ISERROR(SEARCH(("Yes"),(N89))))</formula>
    </cfRule>
  </conditionalFormatting>
  <conditionalFormatting sqref="N89:Q91 N96:Q99">
    <cfRule type="containsText" dxfId="2" priority="28601" operator="containsText" text="Yes">
      <formula>NOT(ISERROR(SEARCH(("Yes"),(N89))))</formula>
    </cfRule>
  </conditionalFormatting>
  <conditionalFormatting sqref="N89:Q91 N96:Q99">
    <cfRule type="containsText" dxfId="2" priority="28602" operator="containsText" text="Yes">
      <formula>NOT(ISERROR(SEARCH(("Yes"),(N89))))</formula>
    </cfRule>
  </conditionalFormatting>
  <conditionalFormatting sqref="N89:Q91 N96:Q99">
    <cfRule type="containsText" dxfId="2" priority="28603" operator="containsText" text="Yes">
      <formula>NOT(ISERROR(SEARCH(("Yes"),(N89))))</formula>
    </cfRule>
  </conditionalFormatting>
  <conditionalFormatting sqref="N89:Q91 N96:Q99">
    <cfRule type="containsText" dxfId="2" priority="28604" operator="containsText" text="Yes">
      <formula>NOT(ISERROR(SEARCH(("Yes"),(N89))))</formula>
    </cfRule>
  </conditionalFormatting>
  <conditionalFormatting sqref="N89:Q91 N96:Q99">
    <cfRule type="containsText" dxfId="2" priority="28605" operator="containsText" text="Yes">
      <formula>NOT(ISERROR(SEARCH(("Yes"),(N89))))</formula>
    </cfRule>
  </conditionalFormatting>
  <conditionalFormatting sqref="N89:Q91 N96:Q99">
    <cfRule type="containsText" dxfId="2" priority="28606" operator="containsText" text="Yes">
      <formula>NOT(ISERROR(SEARCH(("Yes"),(N89))))</formula>
    </cfRule>
  </conditionalFormatting>
  <conditionalFormatting sqref="N89:Q91 N96:Q99">
    <cfRule type="containsText" dxfId="2" priority="28607" operator="containsText" text="Yes">
      <formula>NOT(ISERROR(SEARCH(("Yes"),(N89))))</formula>
    </cfRule>
  </conditionalFormatting>
  <conditionalFormatting sqref="N89:Q91 N96:Q99">
    <cfRule type="containsText" dxfId="2" priority="28608" operator="containsText" text="Yes">
      <formula>NOT(ISERROR(SEARCH(("Yes"),(N89))))</formula>
    </cfRule>
  </conditionalFormatting>
  <conditionalFormatting sqref="N89:Q91 N96:Q99">
    <cfRule type="containsText" dxfId="2" priority="28609" operator="containsText" text="Yes">
      <formula>NOT(ISERROR(SEARCH(("Yes"),(N89))))</formula>
    </cfRule>
  </conditionalFormatting>
  <conditionalFormatting sqref="N89:Q91 N96:Q99">
    <cfRule type="containsText" dxfId="2" priority="28610" operator="containsText" text="Yes">
      <formula>NOT(ISERROR(SEARCH(("Yes"),(N89))))</formula>
    </cfRule>
  </conditionalFormatting>
  <conditionalFormatting sqref="N89:Q91 N96:Q99">
    <cfRule type="containsText" dxfId="2" priority="28611" operator="containsText" text="Yes">
      <formula>NOT(ISERROR(SEARCH(("Yes"),(N89))))</formula>
    </cfRule>
  </conditionalFormatting>
  <conditionalFormatting sqref="N89:Q91 N96:Q99">
    <cfRule type="containsText" dxfId="2" priority="28612" operator="containsText" text="Yes">
      <formula>NOT(ISERROR(SEARCH(("Yes"),(N89))))</formula>
    </cfRule>
  </conditionalFormatting>
  <conditionalFormatting sqref="N89:Q91 N96:Q99">
    <cfRule type="containsText" dxfId="2" priority="28613" operator="containsText" text="Yes">
      <formula>NOT(ISERROR(SEARCH(("Yes"),(N89))))</formula>
    </cfRule>
  </conditionalFormatting>
  <conditionalFormatting sqref="N89:Q91 N96:Q99">
    <cfRule type="containsText" dxfId="2" priority="28614" operator="containsText" text="Yes">
      <formula>NOT(ISERROR(SEARCH(("Yes"),(N89))))</formula>
    </cfRule>
  </conditionalFormatting>
  <conditionalFormatting sqref="N89:Q91 N96:Q99">
    <cfRule type="containsText" dxfId="2" priority="28615" operator="containsText" text="Yes">
      <formula>NOT(ISERROR(SEARCH(("Yes"),(N89))))</formula>
    </cfRule>
  </conditionalFormatting>
  <conditionalFormatting sqref="N90:N101 N107:N214 P110:Q110 P127 P134:Q135 O150 P155:Q155 O165:Q165 O170:Q170 O203 O205:O214">
    <cfRule type="containsText" dxfId="9" priority="28616" operator="containsText" text="No">
      <formula>NOT(ISERROR(SEARCH(("No"),(N90))))</formula>
    </cfRule>
  </conditionalFormatting>
  <conditionalFormatting sqref="N90:N101 N107:N214 P110:Q110 P127 P134:Q135 O150 P155:Q155 O165:Q165 O170:Q170 O203 O205:O214">
    <cfRule type="containsText" dxfId="2" priority="28617" operator="containsText" text="Yes">
      <formula>NOT(ISERROR(SEARCH(("Yes"),(N90))))</formula>
    </cfRule>
  </conditionalFormatting>
  <conditionalFormatting sqref="O90:O101 O107:O109 O111:O133 Q127 O136:O202 N139 P145 P150 N162 N164:N167 N170 N172 N174 N176 N180:N182 N184 N195 N197:N198 N201:N202 N204:O204">
    <cfRule type="containsText" dxfId="9" priority="28618" operator="containsText" text="No">
      <formula>NOT(ISERROR(SEARCH(("No"),(O90))))</formula>
    </cfRule>
  </conditionalFormatting>
  <conditionalFormatting sqref="O90:O101 O107:O109 O111:O133 Q127 O136:O202 N139 P145 P150 N162 N164:N167 N170 N172 N174 N176 N180:N182 N184 N195 N197:N198 N201:N202 N204:O204">
    <cfRule type="containsText" dxfId="9" priority="28619" operator="containsText" text="No">
      <formula>NOT(ISERROR(SEARCH(("No"),(O90))))</formula>
    </cfRule>
  </conditionalFormatting>
  <conditionalFormatting sqref="O90:O101 O107:O109 O111:O133 Q127 O136:O202 N139 P145 P150 N162 N164:N167 N170 N172 N174 N176 N180:N182 N184 N195 N197:N198 N201:N202 N204:O204">
    <cfRule type="containsText" dxfId="9" priority="28620" operator="containsText" text="No">
      <formula>NOT(ISERROR(SEARCH(("No"),(O90))))</formula>
    </cfRule>
  </conditionalFormatting>
  <conditionalFormatting sqref="O90:O101 O107:O109 O111:O133 Q127 O136:O202 N139 P145 P150 N162 N164:N167 N170 N172 N174 N176 N180:N182 N184 N195 N197:N198 N201:N202 N204:O204">
    <cfRule type="containsText" dxfId="2" priority="28621" operator="containsText" text="Yes">
      <formula>NOT(ISERROR(SEARCH(("Yes"),(O90))))</formula>
    </cfRule>
  </conditionalFormatting>
  <conditionalFormatting sqref="O90:O101 O107:O109 O111:O133 Q127 O136:O202 N139 P145 P150 N162 N164:N167 N170 N172 N174 N176 N180:N182 N184 N195 N197:N198 N201:N202 N204:O204">
    <cfRule type="containsText" dxfId="2" priority="28622" operator="containsText" text="Yes">
      <formula>NOT(ISERROR(SEARCH(("Yes"),(O90))))</formula>
    </cfRule>
  </conditionalFormatting>
  <conditionalFormatting sqref="O90:O101 O107:O109 O111:O133 Q127 O136:O202 N139 P145 P150 N162 N164:N167 N170 N172 N174 N176 N180:N182 N184 N195 N197:N198 N201:N202 N204:O204">
    <cfRule type="containsText" dxfId="2" priority="28623" operator="containsText" text="Yes">
      <formula>NOT(ISERROR(SEARCH(("Yes"),(O90))))</formula>
    </cfRule>
  </conditionalFormatting>
  <conditionalFormatting sqref="O90:O101 O107:O109 O111:O133 Q127 O136:O202 N139 P145 P150 N162 N164:N167 N170 N172 N174 N176 N180:N182 N184 N195 N197:N198 N201:N202 N204:O204">
    <cfRule type="containsText" dxfId="2" priority="28624" operator="containsText" text="Yes">
      <formula>NOT(ISERROR(SEARCH(("Yes"),(O90))))</formula>
    </cfRule>
  </conditionalFormatting>
  <conditionalFormatting sqref="O90:O101 O107:O109 O111:O133 Q127 O136:O202 N139 P145 P150 N162 N164:N167 N170 N172 N174 N176 N180:N182 N184 N195 N197:N198 N201:N202 N204:O204">
    <cfRule type="containsText" dxfId="2" priority="28625" operator="containsText" text="Yes">
      <formula>NOT(ISERROR(SEARCH(("Yes"),(O90))))</formula>
    </cfRule>
  </conditionalFormatting>
  <conditionalFormatting sqref="O90:O101 O107:O109 O111:O133 Q127 O136:O202 N139 P145 P150 N162 N164:N167 N170 N172 N174 N176 N180:N182 N184 N195 N197:N198 N201:N202 N204:O204">
    <cfRule type="containsText" dxfId="9" priority="28626" operator="containsText" text="No">
      <formula>NOT(ISERROR(SEARCH(("No"),(O90))))</formula>
    </cfRule>
  </conditionalFormatting>
  <conditionalFormatting sqref="O90:O101 O107:O109 O111:O133 Q127 O136:O202 N139 P145 P150 N162 N164:N167 N170 N172 N174 N176 N180:N182 N184 N195 N197:N198 N201:N202 N204:O204">
    <cfRule type="containsText" dxfId="9" priority="28627" operator="containsText" text="No">
      <formula>NOT(ISERROR(SEARCH(("No"),(O90))))</formula>
    </cfRule>
  </conditionalFormatting>
  <conditionalFormatting sqref="O90:O101 O107:O109 O111:O133 Q127 O136:O202 N139 P145 P150 N162 N164:N167 N170 N172 N174 N176 N180:N182 N184 N195 N197:N198 N201:N202 N204:O204">
    <cfRule type="containsText" dxfId="2" priority="28628" operator="containsText" text="Yes">
      <formula>NOT(ISERROR(SEARCH(("Yes"),(O90))))</formula>
    </cfRule>
  </conditionalFormatting>
  <conditionalFormatting sqref="P90:Q91 P93:Q101 P107:Q109 P111:Q126 P128:Q133 P136:Q164 O145 P166:Q169 P171:Q214 U204:V204">
    <cfRule type="containsText" dxfId="9" priority="28629" operator="containsText" text="No">
      <formula>NOT(ISERROR(SEARCH(("No"),(P90))))</formula>
    </cfRule>
  </conditionalFormatting>
  <conditionalFormatting sqref="P90:Q91 P93:Q101 P107:Q109 P111:Q126 P128:Q133 P136:Q164 O145 P166:Q169 P171:Q214 U204:V204">
    <cfRule type="containsText" dxfId="9" priority="28630" operator="containsText" text="No">
      <formula>NOT(ISERROR(SEARCH(("No"),(P90))))</formula>
    </cfRule>
  </conditionalFormatting>
  <conditionalFormatting sqref="P90:Q91 P93:Q101 P107:Q109 P111:Q126 P128:Q133 P136:Q164 O145 P166:Q169 P171:Q214 U204:V204">
    <cfRule type="containsText" dxfId="9" priority="28631" operator="containsText" text="No">
      <formula>NOT(ISERROR(SEARCH(("No"),(P90))))</formula>
    </cfRule>
  </conditionalFormatting>
  <conditionalFormatting sqref="P90:Q91 P93:Q101 P107:Q109 P111:Q126 P128:Q133 P136:Q164 O145 P166:Q169 P171:Q214 U204:V204">
    <cfRule type="containsText" dxfId="9" priority="28632" operator="containsText" text="No">
      <formula>NOT(ISERROR(SEARCH(("No"),(P90))))</formula>
    </cfRule>
  </conditionalFormatting>
  <conditionalFormatting sqref="P90:Q91 P93:Q101 P107:Q109 P111:Q126 P128:Q133 P136:Q164 O145 P166:Q169 P171:Q214 U204:V204">
    <cfRule type="containsText" dxfId="9" priority="28633" operator="containsText" text="No">
      <formula>NOT(ISERROR(SEARCH(("No"),(P90))))</formula>
    </cfRule>
  </conditionalFormatting>
  <conditionalFormatting sqref="P90:Q91 P93:Q101 P107:Q109 P111:Q126 P128:Q133 P136:Q164 O145 P166:Q169 P171:Q214 U204:V204">
    <cfRule type="containsText" dxfId="9" priority="28634" operator="containsText" text="No">
      <formula>NOT(ISERROR(SEARCH(("No"),(P90))))</formula>
    </cfRule>
  </conditionalFormatting>
  <conditionalFormatting sqref="P90:Q91 P93:Q101 P107:Q109 P111:Q126 P128:Q133 P136:Q164 O145 P166:Q169 P171:Q214 U204:V204">
    <cfRule type="containsText" dxfId="9" priority="28635" operator="containsText" text="No">
      <formula>NOT(ISERROR(SEARCH(("No"),(P90))))</formula>
    </cfRule>
  </conditionalFormatting>
  <conditionalFormatting sqref="P90:Q91 P93:Q101 P107:Q109 P111:Q126 P128:Q133 P136:Q164 O145 P166:Q169 P171:Q214 U204:V204">
    <cfRule type="containsText" dxfId="9" priority="28636" operator="containsText" text="No">
      <formula>NOT(ISERROR(SEARCH(("No"),(P90))))</formula>
    </cfRule>
  </conditionalFormatting>
  <conditionalFormatting sqref="P90:Q91 P93:Q101 P107:Q109 P111:Q126 P128:Q133 P136:Q164 O145 P166:Q169 P171:Q214 U204:V204">
    <cfRule type="containsText" dxfId="9" priority="28637" operator="containsText" text="No">
      <formula>NOT(ISERROR(SEARCH(("No"),(P90))))</formula>
    </cfRule>
  </conditionalFormatting>
  <conditionalFormatting sqref="P90:Q91 P93:Q101 P107:Q109 P111:Q126 P128:Q133 P136:Q164 O145 P166:Q169 P171:Q214 U204:V204">
    <cfRule type="containsText" dxfId="9" priority="28638" operator="containsText" text="No">
      <formula>NOT(ISERROR(SEARCH(("No"),(P90))))</formula>
    </cfRule>
  </conditionalFormatting>
  <conditionalFormatting sqref="P90:Q91 P93:Q101 P107:Q109 P111:Q126 P128:Q133 P136:Q164 O145 P166:Q169 P171:Q214 U204:V204">
    <cfRule type="containsText" dxfId="9" priority="28639" operator="containsText" text="No">
      <formula>NOT(ISERROR(SEARCH(("No"),(P90))))</formula>
    </cfRule>
  </conditionalFormatting>
  <conditionalFormatting sqref="P90:Q91 P93:Q101 P107:Q109 P111:Q126 P128:Q133 P136:Q164 O145 P166:Q169 P171:Q214 U204:V204">
    <cfRule type="containsText" dxfId="9" priority="28640" operator="containsText" text="No">
      <formula>NOT(ISERROR(SEARCH(("No"),(P90))))</formula>
    </cfRule>
  </conditionalFormatting>
  <conditionalFormatting sqref="P90:Q91 P93:Q101 P107:Q109 P111:Q126 P128:Q133 P136:Q164 O145 P166:Q169 P171:Q214 U204:V204">
    <cfRule type="containsText" dxfId="9" priority="28641" operator="containsText" text="No">
      <formula>NOT(ISERROR(SEARCH(("No"),(P90))))</formula>
    </cfRule>
  </conditionalFormatting>
  <conditionalFormatting sqref="P90:Q91 P93:Q101 P107:Q109 P111:Q126 P128:Q133 P136:Q164 O145 P166:Q169 P171:Q214 U204:V204">
    <cfRule type="containsText" dxfId="9" priority="28642" operator="containsText" text="No">
      <formula>NOT(ISERROR(SEARCH(("No"),(P90))))</formula>
    </cfRule>
  </conditionalFormatting>
  <conditionalFormatting sqref="P90:Q91 P93:Q101 P107:Q109 P111:Q126 P128:Q133 P136:Q164 O145 P166:Q169 P171:Q214 U204:V204">
    <cfRule type="containsText" dxfId="9" priority="28643" operator="containsText" text="No">
      <formula>NOT(ISERROR(SEARCH(("No"),(P90))))</formula>
    </cfRule>
  </conditionalFormatting>
  <conditionalFormatting sqref="P90:Q91 P93:Q101 P107:Q109 P111:Q126 P128:Q133 P136:Q164 O145 P166:Q169 P171:Q214 U204:V204">
    <cfRule type="containsText" dxfId="9" priority="28644" operator="containsText" text="No">
      <formula>NOT(ISERROR(SEARCH(("No"),(P90))))</formula>
    </cfRule>
  </conditionalFormatting>
  <conditionalFormatting sqref="P90:Q91 P93:Q101 P107:Q109 P111:Q126 P128:Q133 P136:Q164 O145 P166:Q169 P171:Q214 U204:V204">
    <cfRule type="containsText" dxfId="9" priority="28645" operator="containsText" text="No">
      <formula>NOT(ISERROR(SEARCH(("No"),(P90))))</formula>
    </cfRule>
  </conditionalFormatting>
  <conditionalFormatting sqref="P90:Q91 P93:Q101 P107:Q109 P111:Q126 P128:Q133 P136:Q164 O145 P166:Q169 P171:Q214 U204:V204">
    <cfRule type="containsText" dxfId="9" priority="28646" operator="containsText" text="No">
      <formula>NOT(ISERROR(SEARCH(("No"),(P90))))</formula>
    </cfRule>
  </conditionalFormatting>
  <conditionalFormatting sqref="P90:Q91 P93:Q101 P107:Q109 P111:Q126 P128:Q133 P136:Q164 O145 P166:Q169 P171:Q214 U204:V204">
    <cfRule type="containsText" dxfId="9" priority="28647" operator="containsText" text="No">
      <formula>NOT(ISERROR(SEARCH(("No"),(P90))))</formula>
    </cfRule>
  </conditionalFormatting>
  <conditionalFormatting sqref="P90:Q91 P93:Q101 P107:Q109 P111:Q126 P128:Q133 P136:Q164 O145 P166:Q169 P171:Q214 U204:V204">
    <cfRule type="containsText" dxfId="9" priority="28648" operator="containsText" text="No">
      <formula>NOT(ISERROR(SEARCH(("No"),(P90))))</formula>
    </cfRule>
  </conditionalFormatting>
  <conditionalFormatting sqref="P90:Q91 P93:Q101 P107:Q109 P111:Q126 P128:Q133 P136:Q164 O145 P166:Q169 P171:Q214 U204:V204">
    <cfRule type="containsText" dxfId="9" priority="28649" operator="containsText" text="No">
      <formula>NOT(ISERROR(SEARCH(("No"),(P90))))</formula>
    </cfRule>
  </conditionalFormatting>
  <conditionalFormatting sqref="P90:Q91 P93:Q101 P107:Q109 P111:Q126 P128:Q133 P136:Q164 O145 P166:Q169 P171:Q214 U204:V204">
    <cfRule type="containsText" dxfId="9" priority="28650" operator="containsText" text="No">
      <formula>NOT(ISERROR(SEARCH(("No"),(P90))))</formula>
    </cfRule>
  </conditionalFormatting>
  <conditionalFormatting sqref="P90:Q91 P93:Q101 P107:Q109 P111:Q126 P128:Q133 P136:Q164 O145 P166:Q169 P171:Q214 U204:V204">
    <cfRule type="containsText" dxfId="9" priority="28651" operator="containsText" text="No">
      <formula>NOT(ISERROR(SEARCH(("No"),(P90))))</formula>
    </cfRule>
  </conditionalFormatting>
  <conditionalFormatting sqref="P90:Q91 P93:Q101 P107:Q109 P111:Q126 P128:Q133 P136:Q164 O145 P166:Q169 P171:Q214 U204:V204">
    <cfRule type="containsText" dxfId="9" priority="28652" operator="containsText" text="No">
      <formula>NOT(ISERROR(SEARCH(("No"),(P90))))</formula>
    </cfRule>
  </conditionalFormatting>
  <conditionalFormatting sqref="P90:Q91 P93:Q101 P107:Q109 P111:Q126 P128:Q133 P136:Q164 O145 P166:Q169 P171:Q214 U204:V204">
    <cfRule type="containsText" dxfId="9" priority="28653" operator="containsText" text="No">
      <formula>NOT(ISERROR(SEARCH(("No"),(P90))))</formula>
    </cfRule>
  </conditionalFormatting>
  <conditionalFormatting sqref="P90:Q91 P93:Q101 P107:Q109 P111:Q126 P128:Q133 P136:Q164 O145 P166:Q169 P171:Q214 U204:V204">
    <cfRule type="containsText" dxfId="9" priority="28654" operator="containsText" text="No">
      <formula>NOT(ISERROR(SEARCH(("No"),(P90))))</formula>
    </cfRule>
  </conditionalFormatting>
  <conditionalFormatting sqref="P90:Q91 P93:Q101 P107:Q109 P111:Q126 P128:Q133 P136:Q164 O145 P166:Q169 P171:Q214 U204:V204">
    <cfRule type="containsText" dxfId="9" priority="28655" operator="containsText" text="No">
      <formula>NOT(ISERROR(SEARCH(("No"),(P90))))</formula>
    </cfRule>
  </conditionalFormatting>
  <conditionalFormatting sqref="P90:Q91 P93:Q101 P107:Q109 P111:Q126 P128:Q133 P136:Q164 O145 P166:Q169 P171:Q214 U204:V204">
    <cfRule type="containsText" dxfId="9" priority="28656" operator="containsText" text="No">
      <formula>NOT(ISERROR(SEARCH(("No"),(P90))))</formula>
    </cfRule>
  </conditionalFormatting>
  <conditionalFormatting sqref="P90:Q91 P93:Q101 P107:Q109 P111:Q126 P128:Q133 P136:Q164 O145 P166:Q169 P171:Q214 U204:V204">
    <cfRule type="containsText" dxfId="9" priority="28657" operator="containsText" text="No">
      <formula>NOT(ISERROR(SEARCH(("No"),(P90))))</formula>
    </cfRule>
  </conditionalFormatting>
  <conditionalFormatting sqref="P90:Q91 P93:Q101 P107:Q109 P111:Q126 P128:Q133 P136:Q164 O145 P166:Q169 P171:Q214 U204:V204">
    <cfRule type="containsText" dxfId="9" priority="28658" operator="containsText" text="No">
      <formula>NOT(ISERROR(SEARCH(("No"),(P90))))</formula>
    </cfRule>
  </conditionalFormatting>
  <conditionalFormatting sqref="P90:Q91 P93:Q101 P107:Q109 P111:Q126 P128:Q133 P136:Q164 O145 P166:Q169 P171:Q214 U204:V204">
    <cfRule type="containsText" dxfId="9" priority="28659" operator="containsText" text="No">
      <formula>NOT(ISERROR(SEARCH(("No"),(P90))))</formula>
    </cfRule>
  </conditionalFormatting>
  <conditionalFormatting sqref="P90:Q91 P93:Q101 P107:Q109 P111:Q126 P128:Q133 P136:Q164 O145 P166:Q169 P171:Q214 U204:V204">
    <cfRule type="containsText" dxfId="9" priority="28660" operator="containsText" text="No">
      <formula>NOT(ISERROR(SEARCH(("No"),(P90))))</formula>
    </cfRule>
  </conditionalFormatting>
  <conditionalFormatting sqref="P90:Q91 P93:Q101 P107:Q109 P111:Q126 P128:Q133 P136:Q164 O145 P166:Q169 P171:Q214 U204:V204">
    <cfRule type="containsText" dxfId="9" priority="28661" operator="containsText" text="No">
      <formula>NOT(ISERROR(SEARCH(("No"),(P90))))</formula>
    </cfRule>
  </conditionalFormatting>
  <conditionalFormatting sqref="P90:Q91 P93:Q101 P107:Q109 P111:Q126 P128:Q133 P136:Q164 O145 P166:Q169 P171:Q214 U204:V204">
    <cfRule type="containsText" dxfId="9" priority="28662" operator="containsText" text="No">
      <formula>NOT(ISERROR(SEARCH(("No"),(P90))))</formula>
    </cfRule>
  </conditionalFormatting>
  <conditionalFormatting sqref="P90:Q91 P93:Q101 P107:Q109 P111:Q126 P128:Q133 P136:Q164 O145 P166:Q169 P171:Q214 U204:V204">
    <cfRule type="containsText" dxfId="9" priority="28663" operator="containsText" text="No">
      <formula>NOT(ISERROR(SEARCH(("No"),(P90))))</formula>
    </cfRule>
  </conditionalFormatting>
  <conditionalFormatting sqref="P90:Q91 P93:Q101 P107:Q109 P111:Q126 P128:Q133 P136:Q164 O145 P166:Q169 P171:Q214 U204:V204">
    <cfRule type="containsText" dxfId="9" priority="28664" operator="containsText" text="No">
      <formula>NOT(ISERROR(SEARCH(("No"),(P90))))</formula>
    </cfRule>
  </conditionalFormatting>
  <conditionalFormatting sqref="P90:Q91 P93:Q101 P107:Q109 P111:Q126 P128:Q133 P136:Q164 O145 P166:Q169 P171:Q214 U204:V204">
    <cfRule type="containsText" dxfId="9" priority="28665" operator="containsText" text="No">
      <formula>NOT(ISERROR(SEARCH(("No"),(P90))))</formula>
    </cfRule>
  </conditionalFormatting>
  <conditionalFormatting sqref="P90:Q91 P93:Q101 P107:Q109 P111:Q126 P128:Q133 P136:Q164 O145 P166:Q169 P171:Q214 U204:V204">
    <cfRule type="containsText" dxfId="9" priority="28666" operator="containsText" text="No">
      <formula>NOT(ISERROR(SEARCH(("No"),(P90))))</formula>
    </cfRule>
  </conditionalFormatting>
  <conditionalFormatting sqref="P90:Q91 P93:Q101 P107:Q109 P111:Q126 P128:Q133 P136:Q164 O145 P166:Q169 P171:Q214 U204:V204">
    <cfRule type="containsText" dxfId="9" priority="28667" operator="containsText" text="No">
      <formula>NOT(ISERROR(SEARCH(("No"),(P90))))</formula>
    </cfRule>
  </conditionalFormatting>
  <conditionalFormatting sqref="P90:Q91 P93:Q101 P107:Q109 P111:Q126 P128:Q133 P136:Q164 O145 P166:Q169 P171:Q214 U204:V204">
    <cfRule type="containsText" dxfId="9" priority="28668" operator="containsText" text="No">
      <formula>NOT(ISERROR(SEARCH(("No"),(P90))))</formula>
    </cfRule>
  </conditionalFormatting>
  <conditionalFormatting sqref="P90:Q91 P93:Q101 P107:Q109 P111:Q126 P128:Q133 P136:Q164 O145 P166:Q169 P171:Q214 U204:V204">
    <cfRule type="containsText" dxfId="9" priority="28669" operator="containsText" text="No">
      <formula>NOT(ISERROR(SEARCH(("No"),(P90))))</formula>
    </cfRule>
  </conditionalFormatting>
  <conditionalFormatting sqref="P90:Q91 P93:Q101 P107:Q109 P111:Q126 P128:Q133 P136:Q164 O145 P166:Q169 P171:Q214 U204:V204">
    <cfRule type="containsText" dxfId="9" priority="28670" operator="containsText" text="No">
      <formula>NOT(ISERROR(SEARCH(("No"),(P90))))</formula>
    </cfRule>
  </conditionalFormatting>
  <conditionalFormatting sqref="P90:Q91 P93:Q101 P107:Q109 P111:Q126 P128:Q133 P136:Q164 O145 P166:Q169 P171:Q214 U204:V204">
    <cfRule type="containsText" dxfId="9" priority="28671" operator="containsText" text="No">
      <formula>NOT(ISERROR(SEARCH(("No"),(P90))))</formula>
    </cfRule>
  </conditionalFormatting>
  <conditionalFormatting sqref="P90:Q91 P93:Q101 P107:Q109 P111:Q126 P128:Q133 P136:Q164 O145 P166:Q169 P171:Q214 U204:V204">
    <cfRule type="containsText" dxfId="9" priority="28672" operator="containsText" text="No">
      <formula>NOT(ISERROR(SEARCH(("No"),(P90))))</formula>
    </cfRule>
  </conditionalFormatting>
  <conditionalFormatting sqref="P90:Q91 P93:Q101 P107:Q109 P111:Q126 P128:Q133 P136:Q164 O145 P166:Q169 P171:Q214 U204:V204">
    <cfRule type="containsText" dxfId="9" priority="28673" operator="containsText" text="No">
      <formula>NOT(ISERROR(SEARCH(("No"),(P90))))</formula>
    </cfRule>
  </conditionalFormatting>
  <conditionalFormatting sqref="P90:Q91 P93:Q101 P107:Q109 P111:Q126 P128:Q133 P136:Q164 O145 P166:Q169 P171:Q214 U204:V204">
    <cfRule type="containsText" dxfId="2" priority="28674" operator="containsText" text="Yes">
      <formula>NOT(ISERROR(SEARCH(("Yes"),(P90))))</formula>
    </cfRule>
  </conditionalFormatting>
  <conditionalFormatting sqref="P90:Q91 P93:Q101 P107:Q109 P111:Q126 P128:Q133 P136:Q164 O145 P166:Q169 P171:Q214 U204:V204">
    <cfRule type="containsText" dxfId="2" priority="28675" operator="containsText" text="Yes">
      <formula>NOT(ISERROR(SEARCH(("Yes"),(P90))))</formula>
    </cfRule>
  </conditionalFormatting>
  <conditionalFormatting sqref="P90:Q91 P93:Q101 P107:Q109 P111:Q126 P128:Q133 P136:Q164 O145 P166:Q169 P171:Q214 U204:V204">
    <cfRule type="containsText" dxfId="2" priority="28676" operator="containsText" text="Yes">
      <formula>NOT(ISERROR(SEARCH(("Yes"),(P90))))</formula>
    </cfRule>
  </conditionalFormatting>
  <conditionalFormatting sqref="P90:Q91 P93:Q101 P107:Q109 P111:Q126 P128:Q133 P136:Q164 O145 P166:Q169 P171:Q214 U204:V204">
    <cfRule type="containsText" dxfId="2" priority="28677" operator="containsText" text="Yes">
      <formula>NOT(ISERROR(SEARCH(("Yes"),(P90))))</formula>
    </cfRule>
  </conditionalFormatting>
  <conditionalFormatting sqref="P90:Q91 P93:Q101 P107:Q109 P111:Q126 P128:Q133 P136:Q164 O145 P166:Q169 P171:Q214 U204:V204">
    <cfRule type="containsText" dxfId="2" priority="28678" operator="containsText" text="Yes">
      <formula>NOT(ISERROR(SEARCH(("Yes"),(P90))))</formula>
    </cfRule>
  </conditionalFormatting>
  <conditionalFormatting sqref="P90:Q91 P93:Q101 P107:Q109 P111:Q126 P128:Q133 P136:Q164 O145 P166:Q169 P171:Q214 U204:V204">
    <cfRule type="containsText" dxfId="2" priority="28679" operator="containsText" text="Yes">
      <formula>NOT(ISERROR(SEARCH(("Yes"),(P90))))</formula>
    </cfRule>
  </conditionalFormatting>
  <conditionalFormatting sqref="P90:Q91 P93:Q101 P107:Q109 P111:Q126 P128:Q133 P136:Q164 O145 P166:Q169 P171:Q214 U204:V204">
    <cfRule type="containsText" dxfId="2" priority="28680" operator="containsText" text="Yes">
      <formula>NOT(ISERROR(SEARCH(("Yes"),(P90))))</formula>
    </cfRule>
  </conditionalFormatting>
  <conditionalFormatting sqref="P90:Q91 P93:Q101 P107:Q109 P111:Q126 P128:Q133 P136:Q164 O145 P166:Q169 P171:Q214 U204:V204">
    <cfRule type="containsText" dxfId="2" priority="28681" operator="containsText" text="Yes">
      <formula>NOT(ISERROR(SEARCH(("Yes"),(P90))))</formula>
    </cfRule>
  </conditionalFormatting>
  <conditionalFormatting sqref="P90:Q91 P93:Q101 P107:Q109 P111:Q126 P128:Q133 P136:Q164 O145 P166:Q169 P171:Q214 U204:V204">
    <cfRule type="containsText" dxfId="2" priority="28682" operator="containsText" text="Yes">
      <formula>NOT(ISERROR(SEARCH(("Yes"),(P90))))</formula>
    </cfRule>
  </conditionalFormatting>
  <conditionalFormatting sqref="P90:Q91 P93:Q101 P107:Q109 P111:Q126 P128:Q133 P136:Q164 O145 P166:Q169 P171:Q214 U204:V204">
    <cfRule type="containsText" dxfId="2" priority="28683" operator="containsText" text="Yes">
      <formula>NOT(ISERROR(SEARCH(("Yes"),(P90))))</formula>
    </cfRule>
  </conditionalFormatting>
  <conditionalFormatting sqref="P90:Q91 P93:Q101 P107:Q109 P111:Q126 P128:Q133 P136:Q164 O145 P166:Q169 P171:Q214 U204:V204">
    <cfRule type="containsText" dxfId="2" priority="28684" operator="containsText" text="Yes">
      <formula>NOT(ISERROR(SEARCH(("Yes"),(P90))))</formula>
    </cfRule>
  </conditionalFormatting>
  <conditionalFormatting sqref="P90:Q91 P93:Q101 P107:Q109 P111:Q126 P128:Q133 P136:Q164 O145 P166:Q169 P171:Q214 U204:V204">
    <cfRule type="containsText" dxfId="2" priority="28685" operator="containsText" text="Yes">
      <formula>NOT(ISERROR(SEARCH(("Yes"),(P90))))</formula>
    </cfRule>
  </conditionalFormatting>
  <conditionalFormatting sqref="P90:Q91 P93:Q101 P107:Q109 P111:Q126 P128:Q133 P136:Q164 O145 P166:Q169 P171:Q214 U204:V204">
    <cfRule type="containsText" dxfId="2" priority="28686" operator="containsText" text="Yes">
      <formula>NOT(ISERROR(SEARCH(("Yes"),(P90))))</formula>
    </cfRule>
  </conditionalFormatting>
  <conditionalFormatting sqref="P90:Q91 P93:Q101 P107:Q109 P111:Q126 P128:Q133 P136:Q164 O145 P166:Q169 P171:Q214 U204:V204">
    <cfRule type="containsText" dxfId="2" priority="28687" operator="containsText" text="Yes">
      <formula>NOT(ISERROR(SEARCH(("Yes"),(P90))))</formula>
    </cfRule>
  </conditionalFormatting>
  <conditionalFormatting sqref="P90:Q91 P93:Q101 P107:Q109 P111:Q126 P128:Q133 P136:Q164 O145 P166:Q169 P171:Q214 U204:V204">
    <cfRule type="containsText" dxfId="2" priority="28688" operator="containsText" text="Yes">
      <formula>NOT(ISERROR(SEARCH(("Yes"),(P90))))</formula>
    </cfRule>
  </conditionalFormatting>
  <conditionalFormatting sqref="P90:Q91 P93:Q101 P107:Q109 P111:Q126 P128:Q133 P136:Q164 O145 P166:Q169 P171:Q214 U204:V204">
    <cfRule type="containsText" dxfId="2" priority="28689" operator="containsText" text="Yes">
      <formula>NOT(ISERROR(SEARCH(("Yes"),(P90))))</formula>
    </cfRule>
  </conditionalFormatting>
  <conditionalFormatting sqref="P90:Q91 P93:Q101 P107:Q109 P111:Q126 P128:Q133 P136:Q164 O145 P166:Q169 P171:Q214 U204:V204">
    <cfRule type="containsText" dxfId="2" priority="28690" operator="containsText" text="Yes">
      <formula>NOT(ISERROR(SEARCH(("Yes"),(P90))))</formula>
    </cfRule>
  </conditionalFormatting>
  <conditionalFormatting sqref="P90:Q91 P93:Q101 P107:Q109 P111:Q126 P128:Q133 P136:Q164 O145 P166:Q169 P171:Q214 U204:V204">
    <cfRule type="containsText" dxfId="2" priority="28691" operator="containsText" text="Yes">
      <formula>NOT(ISERROR(SEARCH(("Yes"),(P90))))</formula>
    </cfRule>
  </conditionalFormatting>
  <conditionalFormatting sqref="P90:Q91 P93:Q101 P107:Q109 P111:Q126 P128:Q133 P136:Q164 O145 P166:Q169 P171:Q214 U204:V204">
    <cfRule type="containsText" dxfId="2" priority="28692" operator="containsText" text="Yes">
      <formula>NOT(ISERROR(SEARCH(("Yes"),(P90))))</formula>
    </cfRule>
  </conditionalFormatting>
  <conditionalFormatting sqref="P90:Q91 P93:Q101 P107:Q109 P111:Q126 P128:Q133 P136:Q164 O145 P166:Q169 P171:Q214 U204:V204">
    <cfRule type="containsText" dxfId="2" priority="28693" operator="containsText" text="Yes">
      <formula>NOT(ISERROR(SEARCH(("Yes"),(P90))))</formula>
    </cfRule>
  </conditionalFormatting>
  <conditionalFormatting sqref="P90:Q91 P93:Q101 P107:Q109 P111:Q126 P128:Q133 P136:Q164 O145 P166:Q169 P171:Q214 U204:V204">
    <cfRule type="containsText" dxfId="2" priority="28694" operator="containsText" text="Yes">
      <formula>NOT(ISERROR(SEARCH(("Yes"),(P90))))</formula>
    </cfRule>
  </conditionalFormatting>
  <conditionalFormatting sqref="P90:Q91 P93:Q101 P107:Q109 P111:Q126 P128:Q133 P136:Q164 O145 P166:Q169 P171:Q214 U204:V204">
    <cfRule type="containsText" dxfId="2" priority="28695" operator="containsText" text="Yes">
      <formula>NOT(ISERROR(SEARCH(("Yes"),(P90))))</formula>
    </cfRule>
  </conditionalFormatting>
  <conditionalFormatting sqref="P90:Q91 P93:Q101 P107:Q109 P111:Q126 P128:Q133 P136:Q164 O145 P166:Q169 P171:Q214 U204:V204">
    <cfRule type="containsText" dxfId="2" priority="28696" operator="containsText" text="Yes">
      <formula>NOT(ISERROR(SEARCH(("Yes"),(P90))))</formula>
    </cfRule>
  </conditionalFormatting>
  <conditionalFormatting sqref="P90:Q91 P93:Q101 P107:Q109 P111:Q126 P128:Q133 P136:Q164 O145 P166:Q169 P171:Q214 U204:V204">
    <cfRule type="containsText" dxfId="2" priority="28697" operator="containsText" text="Yes">
      <formula>NOT(ISERROR(SEARCH(("Yes"),(P90))))</formula>
    </cfRule>
  </conditionalFormatting>
  <conditionalFormatting sqref="P90:Q91 P93:Q101 P107:Q109 P111:Q126 P128:Q133 P136:Q164 O145 P166:Q169 P171:Q214 U204:V204">
    <cfRule type="containsText" dxfId="2" priority="28698" operator="containsText" text="Yes">
      <formula>NOT(ISERROR(SEARCH(("Yes"),(P90))))</formula>
    </cfRule>
  </conditionalFormatting>
  <conditionalFormatting sqref="P90:Q91 P93:Q101 P107:Q109 P111:Q126 P128:Q133 P136:Q164 O145 P166:Q169 P171:Q214 U204:V204">
    <cfRule type="containsText" dxfId="2" priority="28699" operator="containsText" text="Yes">
      <formula>NOT(ISERROR(SEARCH(("Yes"),(P90))))</formula>
    </cfRule>
  </conditionalFormatting>
  <conditionalFormatting sqref="P90:Q91 P93:Q101 P107:Q109 P111:Q126 P128:Q133 P136:Q164 O145 P166:Q169 P171:Q214 U204:V204">
    <cfRule type="containsText" dxfId="2" priority="28700" operator="containsText" text="Yes">
      <formula>NOT(ISERROR(SEARCH(("Yes"),(P90))))</formula>
    </cfRule>
  </conditionalFormatting>
  <conditionalFormatting sqref="P90:Q91 P93:Q101 P107:Q109 P111:Q126 P128:Q133 P136:Q164 O145 P166:Q169 P171:Q214 U204:V204">
    <cfRule type="containsText" dxfId="2" priority="28701" operator="containsText" text="Yes">
      <formula>NOT(ISERROR(SEARCH(("Yes"),(P90))))</formula>
    </cfRule>
  </conditionalFormatting>
  <conditionalFormatting sqref="P90:Q91 P93:Q101 P107:Q109 P111:Q126 P128:Q133 P136:Q164 O145 P166:Q169 P171:Q214 U204:V204">
    <cfRule type="containsText" dxfId="2" priority="28702" operator="containsText" text="Yes">
      <formula>NOT(ISERROR(SEARCH(("Yes"),(P90))))</formula>
    </cfRule>
  </conditionalFormatting>
  <conditionalFormatting sqref="P90:Q91 P93:Q101 P107:Q109 P111:Q126 P128:Q133 P136:Q164 O145 P166:Q169 P171:Q214 U204:V204">
    <cfRule type="containsText" dxfId="2" priority="28703" operator="containsText" text="Yes">
      <formula>NOT(ISERROR(SEARCH(("Yes"),(P90))))</formula>
    </cfRule>
  </conditionalFormatting>
  <conditionalFormatting sqref="P90:Q91 P93:Q101 P107:Q109 P111:Q126 P128:Q133 P136:Q164 O145 P166:Q169 P171:Q214 U204:V204">
    <cfRule type="containsText" dxfId="2" priority="28704" operator="containsText" text="Yes">
      <formula>NOT(ISERROR(SEARCH(("Yes"),(P90))))</formula>
    </cfRule>
  </conditionalFormatting>
  <conditionalFormatting sqref="P90:Q91 P93:Q101 P107:Q109 P111:Q126 P128:Q133 P136:Q164 O145 P166:Q169 P171:Q214 U204:V204">
    <cfRule type="containsText" dxfId="2" priority="28705" operator="containsText" text="Yes">
      <formula>NOT(ISERROR(SEARCH(("Yes"),(P90))))</formula>
    </cfRule>
  </conditionalFormatting>
  <conditionalFormatting sqref="P90:Q91 P93:Q101 P107:Q109 P111:Q126 P128:Q133 P136:Q164 O145 P166:Q169 P171:Q214 U204:V204">
    <cfRule type="containsText" dxfId="2" priority="28706" operator="containsText" text="Yes">
      <formula>NOT(ISERROR(SEARCH(("Yes"),(P90))))</formula>
    </cfRule>
  </conditionalFormatting>
  <conditionalFormatting sqref="P90:Q91 P93:Q101 P107:Q109 P111:Q126 P128:Q133 P136:Q164 O145 P166:Q169 P171:Q214 U204:V204">
    <cfRule type="containsText" dxfId="2" priority="28707" operator="containsText" text="Yes">
      <formula>NOT(ISERROR(SEARCH(("Yes"),(P90))))</formula>
    </cfRule>
  </conditionalFormatting>
  <conditionalFormatting sqref="P90:Q91 P93:Q101 P107:Q109 P111:Q126 P128:Q133 P136:Q164 O145 P166:Q169 P171:Q214 U204:V204">
    <cfRule type="containsText" dxfId="2" priority="28708" operator="containsText" text="Yes">
      <formula>NOT(ISERROR(SEARCH(("Yes"),(P90))))</formula>
    </cfRule>
  </conditionalFormatting>
  <conditionalFormatting sqref="P90:Q91 P93:Q101 P107:Q109 P111:Q126 P128:Q133 P136:Q164 O145 P166:Q169 P171:Q214 U204:V204">
    <cfRule type="containsText" dxfId="2" priority="28709" operator="containsText" text="Yes">
      <formula>NOT(ISERROR(SEARCH(("Yes"),(P90))))</formula>
    </cfRule>
  </conditionalFormatting>
  <conditionalFormatting sqref="P90:Q91 P93:Q101 P107:Q109 P111:Q126 P128:Q133 P136:Q164 O145 P166:Q169 P171:Q214 U204:V204">
    <cfRule type="containsText" dxfId="2" priority="28710" operator="containsText" text="Yes">
      <formula>NOT(ISERROR(SEARCH(("Yes"),(P90))))</formula>
    </cfRule>
  </conditionalFormatting>
  <conditionalFormatting sqref="P90:Q91 P93:Q101 P107:Q109 P111:Q126 P128:Q133 P136:Q164 O145 P166:Q169 P171:Q214 U204:V204">
    <cfRule type="containsText" dxfId="2" priority="28711" operator="containsText" text="Yes">
      <formula>NOT(ISERROR(SEARCH(("Yes"),(P90))))</formula>
    </cfRule>
  </conditionalFormatting>
  <conditionalFormatting sqref="P90:Q91 P93:Q101 P107:Q109 P111:Q126 P128:Q133 P136:Q164 O145 P166:Q169 P171:Q214 U204:V204">
    <cfRule type="containsText" dxfId="2" priority="28712" operator="containsText" text="Yes">
      <formula>NOT(ISERROR(SEARCH(("Yes"),(P90))))</formula>
    </cfRule>
  </conditionalFormatting>
  <conditionalFormatting sqref="P90:Q91 P93:Q101 P107:Q109 P111:Q126 P128:Q133 P136:Q164 O145 P166:Q169 P171:Q214 U204:V204">
    <cfRule type="containsText" dxfId="2" priority="28713" operator="containsText" text="Yes">
      <formula>NOT(ISERROR(SEARCH(("Yes"),(P90))))</formula>
    </cfRule>
  </conditionalFormatting>
  <conditionalFormatting sqref="P90:Q91 P93:Q101 P107:Q109 P111:Q126 P128:Q133 P136:Q164 O145 P166:Q169 P171:Q214 U204:V204">
    <cfRule type="containsText" dxfId="2" priority="28714" operator="containsText" text="Yes">
      <formula>NOT(ISERROR(SEARCH(("Yes"),(P90))))</formula>
    </cfRule>
  </conditionalFormatting>
  <conditionalFormatting sqref="P90:Q91 P93:Q101 P107:Q109 P111:Q126 P128:Q133 P136:Q164 O145 P166:Q169 P171:Q214 U204:V204">
    <cfRule type="containsText" dxfId="2" priority="28715" operator="containsText" text="Yes">
      <formula>NOT(ISERROR(SEARCH(("Yes"),(P90))))</formula>
    </cfRule>
  </conditionalFormatting>
  <conditionalFormatting sqref="P90:Q91 P93:Q101 P107:Q109 P111:Q126 P128:Q133 P136:Q164 O145 P166:Q169 P171:Q214 U204:V204">
    <cfRule type="containsText" dxfId="2" priority="28716" operator="containsText" text="Yes">
      <formula>NOT(ISERROR(SEARCH(("Yes"),(P90))))</formula>
    </cfRule>
  </conditionalFormatting>
  <conditionalFormatting sqref="P90:Q91 P93:Q101 P107:Q109 P111:Q126 P128:Q133 P136:Q164 O145 P166:Q169 P171:Q214 U204:V204">
    <cfRule type="containsText" dxfId="2" priority="28717" operator="containsText" text="Yes">
      <formula>NOT(ISERROR(SEARCH(("Yes"),(P90))))</formula>
    </cfRule>
  </conditionalFormatting>
  <conditionalFormatting sqref="P90:Q91 P93:Q101 P107:Q109 P111:Q126 P128:Q133 P136:Q164 O145 P166:Q169 P171:Q214 U204:V204">
    <cfRule type="containsText" dxfId="2" priority="28718" operator="containsText" text="Yes">
      <formula>NOT(ISERROR(SEARCH(("Yes"),(P90))))</formula>
    </cfRule>
  </conditionalFormatting>
  <conditionalFormatting sqref="P90:Q91 P93:Q101 P107:Q109 P111:Q126 P128:Q133 P136:Q164 O145 P166:Q169 P171:Q214 U204:V204">
    <cfRule type="containsText" dxfId="2" priority="28719" operator="containsText" text="Yes">
      <formula>NOT(ISERROR(SEARCH(("Yes"),(P90))))</formula>
    </cfRule>
  </conditionalFormatting>
  <conditionalFormatting sqref="P90:Q91 P93:Q101 P107:Q109 P111:Q126 P128:Q133 P136:Q164 O145 P166:Q169 P171:Q214 U204:V204">
    <cfRule type="containsText" dxfId="2" priority="28720" operator="containsText" text="Yes">
      <formula>NOT(ISERROR(SEARCH(("Yes"),(P90))))</formula>
    </cfRule>
  </conditionalFormatting>
  <conditionalFormatting sqref="P91:Q96 P100:Q101 P153:Q153 P155:Q158 P160:Q160 P163:Q163 P168:Q169 P171:Q171 P173:Q173 P175:Q175 P177:Q179 P183:Q183 P185:Q214 U204:V204">
    <cfRule type="containsText" dxfId="9" priority="28721"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22"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23"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24"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25"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26"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27"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28"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29"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30"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31"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32"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33"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34"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35"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36"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37"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38"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39"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40"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41"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42"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43"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44"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45"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46"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47"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48"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49"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50"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51"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52"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53"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54"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55"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56"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57"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58"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59"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60"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61"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62"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63"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64" operator="containsText" text="No">
      <formula>NOT(ISERROR(SEARCH(("No"),(P91))))</formula>
    </cfRule>
  </conditionalFormatting>
  <conditionalFormatting sqref="P91:Q96 P100:Q101 P153:Q153 P155:Q158 P160:Q160 P163:Q163 P168:Q169 P171:Q171 P173:Q173 P175:Q175 P177:Q179 P183:Q183 P185:Q214 U204:V204">
    <cfRule type="containsText" dxfId="9" priority="28765" operator="containsText" text="No">
      <formula>NOT(ISERROR(SEARCH(("No"),(P91))))</formula>
    </cfRule>
  </conditionalFormatting>
  <conditionalFormatting sqref="P91:Q96 P100:Q101 P153:Q153 P155:Q158 P160:Q160 P163:Q163 P168:Q169 P171:Q171 P173:Q173 P175:Q175 P177:Q179 P183:Q183 P185:Q214 U204:V204">
    <cfRule type="containsText" dxfId="2" priority="28766"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67"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68"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69"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70"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71"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72"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73"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74"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75"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76"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77"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78"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79"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80"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81"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82"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83"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84"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85"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86"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87"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88"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89"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90"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91"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92"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93"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94"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95"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96"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97"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98"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799"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800"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801"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802"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803"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804"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805"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806"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807"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808"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809"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810"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811" operator="containsText" text="Yes">
      <formula>NOT(ISERROR(SEARCH(("Yes"),(P91))))</formula>
    </cfRule>
  </conditionalFormatting>
  <conditionalFormatting sqref="P91:Q96 P100:Q101 P153:Q153 P155:Q158 P160:Q160 P163:Q163 P168:Q169 P171:Q171 P173:Q173 P175:Q175 P177:Q179 P183:Q183 P185:Q214 U204:V204">
    <cfRule type="containsText" dxfId="2" priority="28812" operator="containsText" text="Yes">
      <formula>NOT(ISERROR(SEARCH(("Yes"),(P91))))</formula>
    </cfRule>
  </conditionalFormatting>
  <conditionalFormatting sqref="P92:Q96 P100:Q101 P153:Q153 P155:Q158 P160:Q160 P163:Q163 P168:Q169 P171:Q171 P173:Q173 P175:Q175 P177:Q179 P183:Q183 P185:Q214 U204:V204">
    <cfRule type="containsText" dxfId="9" priority="28813"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14"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15"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16"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17"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18"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19"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20"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21"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22"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23"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24"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25"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26"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27"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28"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29"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30"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31"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32"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33"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34"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35"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36"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37"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38"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39"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40"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41"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42"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43"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44"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45"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46"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47"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48"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49"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50"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51"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52"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53"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54"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55"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56" operator="containsText" text="No">
      <formula>NOT(ISERROR(SEARCH(("No"),(P92))))</formula>
    </cfRule>
  </conditionalFormatting>
  <conditionalFormatting sqref="P92:Q96 P100:Q101 P153:Q153 P155:Q158 P160:Q160 P163:Q163 P168:Q169 P171:Q171 P173:Q173 P175:Q175 P177:Q179 P183:Q183 P185:Q214 U204:V204">
    <cfRule type="containsText" dxfId="9" priority="28857" operator="containsText" text="No">
      <formula>NOT(ISERROR(SEARCH(("No"),(P92))))</formula>
    </cfRule>
  </conditionalFormatting>
  <conditionalFormatting sqref="P92:Q96 P100:Q101 P153:Q153 P155:Q158 P160:Q160 P163:Q163 P168:Q169 P171:Q171 P173:Q173 P175:Q175 P177:Q179 P183:Q183 P185:Q214 U204:V204">
    <cfRule type="containsText" dxfId="2" priority="28858"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59"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60"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61"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62"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63"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64"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65"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66"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67"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68"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69"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70"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71"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72"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73"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74"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75"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76"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77"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78"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79"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80"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81"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82"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83"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84"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85"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86"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87"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88"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89"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90"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91"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92"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93"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94"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95"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96"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97"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98"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899"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900"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901"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902"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903" operator="containsText" text="Yes">
      <formula>NOT(ISERROR(SEARCH(("Yes"),(P92))))</formula>
    </cfRule>
  </conditionalFormatting>
  <conditionalFormatting sqref="P92:Q96 P100:Q101 P153:Q153 P155:Q158 P160:Q160 P163:Q163 P168:Q169 P171:Q171 P173:Q173 P175:Q175 P177:Q179 P183:Q183 P185:Q214 U204:V204">
    <cfRule type="containsText" dxfId="2" priority="28904" operator="containsText" text="Yes">
      <formula>NOT(ISERROR(SEARCH(("Yes"),(P92))))</formula>
    </cfRule>
  </conditionalFormatting>
  <conditionalFormatting sqref="P93:Q96 P100:Q101 P153:Q153 P155:Q158 P160:Q160 P163:Q163 P168:Q169 P171:Q171 P173:Q173 P175:Q175 P177:Q179 P183:Q183 P185:Q214 U204:V204">
    <cfRule type="containsText" dxfId="9" priority="28905"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06"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07"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08"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09"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10"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11"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12"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13"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14"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15"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16"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17"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18"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19"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20"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21"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22"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23"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24"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25"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26"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27"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28"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29"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30"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31"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32"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33"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34"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35"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36"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37"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38"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39"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40"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41"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42"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43"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44"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45"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46"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47"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48" operator="containsText" text="No">
      <formula>NOT(ISERROR(SEARCH(("No"),(P93))))</formula>
    </cfRule>
  </conditionalFormatting>
  <conditionalFormatting sqref="P93:Q96 P100:Q101 P153:Q153 P155:Q158 P160:Q160 P163:Q163 P168:Q169 P171:Q171 P173:Q173 P175:Q175 P177:Q179 P183:Q183 P185:Q214 U204:V204">
    <cfRule type="containsText" dxfId="9" priority="28949" operator="containsText" text="No">
      <formula>NOT(ISERROR(SEARCH(("No"),(P93))))</formula>
    </cfRule>
  </conditionalFormatting>
  <conditionalFormatting sqref="P93:Q96 P100:Q101 P153:Q153 P155:Q158 P160:Q160 P163:Q163 P168:Q169 P171:Q171 P173:Q173 P175:Q175 P177:Q179 P183:Q183 P185:Q214 U204:V204">
    <cfRule type="containsText" dxfId="2" priority="28950"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51"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52"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53"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54"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55"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56"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57"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58"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59"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60"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61"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62"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63"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64"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65"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66"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67"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68"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69"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70"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71"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72"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73"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74"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75"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76"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77"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78"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79"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80"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81"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82"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83"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84"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85"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86"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87"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88"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89"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90"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91"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92"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93"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94"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95" operator="containsText" text="Yes">
      <formula>NOT(ISERROR(SEARCH(("Yes"),(P93))))</formula>
    </cfRule>
  </conditionalFormatting>
  <conditionalFormatting sqref="P93:Q96 P100:Q101 P153:Q153 P155:Q158 P160:Q160 P163:Q163 P168:Q169 P171:Q171 P173:Q173 P175:Q175 P177:Q179 P183:Q183 P185:Q214 U204:V204">
    <cfRule type="containsText" dxfId="2" priority="28996" operator="containsText" text="Yes">
      <formula>NOT(ISERROR(SEARCH(("Yes"),(P93))))</formula>
    </cfRule>
  </conditionalFormatting>
  <conditionalFormatting sqref="P94:Q96 P100:Q101 P153:Q153 P155:Q158 P160:Q160 P163:Q163 P168:Q169 P171:Q171 P173:Q173 P175:Q175 P177:Q179 P183:Q183 P185:Q214 U204:V204">
    <cfRule type="containsText" dxfId="9" priority="28997"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8998"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8999"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00"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01"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02"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03"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04"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05"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06"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07"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08"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09"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10"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11"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12"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13"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14"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15"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16"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17"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18"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19"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20"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21"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22"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23"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24"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25"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26"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27"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28"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29"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30"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31"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32"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33"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34"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35"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36"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37"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38"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39"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40" operator="containsText" text="No">
      <formula>NOT(ISERROR(SEARCH(("No"),(P94))))</formula>
    </cfRule>
  </conditionalFormatting>
  <conditionalFormatting sqref="P94:Q96 P100:Q101 P153:Q153 P155:Q158 P160:Q160 P163:Q163 P168:Q169 P171:Q171 P173:Q173 P175:Q175 P177:Q179 P183:Q183 P185:Q214 U204:V204">
    <cfRule type="containsText" dxfId="9" priority="29041" operator="containsText" text="No">
      <formula>NOT(ISERROR(SEARCH(("No"),(P94))))</formula>
    </cfRule>
  </conditionalFormatting>
  <conditionalFormatting sqref="P94:Q96 P100:Q101 P153:Q153 P155:Q158 P160:Q160 P163:Q163 P168:Q169 P171:Q171 P173:Q173 P175:Q175 P177:Q179 P183:Q183 P185:Q214 U204:V204">
    <cfRule type="containsText" dxfId="2" priority="29042"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43"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44"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45"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46"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47"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48"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49"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50"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51"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52"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53"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54"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55"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56"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57"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58"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59"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60"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61"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62"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63"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64"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65"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66"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67"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68"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69"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70"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71"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72"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73"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74"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75"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76"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77"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78"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79"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80"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81"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82"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83"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84"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85"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86"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87" operator="containsText" text="Yes">
      <formula>NOT(ISERROR(SEARCH(("Yes"),(P94))))</formula>
    </cfRule>
  </conditionalFormatting>
  <conditionalFormatting sqref="P94:Q96 P100:Q101 P153:Q153 P155:Q158 P160:Q160 P163:Q163 P168:Q169 P171:Q171 P173:Q173 P175:Q175 P177:Q179 P183:Q183 P185:Q214 U204:V204">
    <cfRule type="containsText" dxfId="2" priority="29088" operator="containsText" text="Yes">
      <formula>NOT(ISERROR(SEARCH(("Yes"),(P94))))</formula>
    </cfRule>
  </conditionalFormatting>
  <conditionalFormatting sqref="N95:Q96 N100:Q101">
    <cfRule type="containsText" dxfId="9" priority="29089" operator="containsText" text="No">
      <formula>NOT(ISERROR(SEARCH(("No"),(N95))))</formula>
    </cfRule>
  </conditionalFormatting>
  <conditionalFormatting sqref="N95:Q96 N100:Q101">
    <cfRule type="containsText" dxfId="9" priority="29090" operator="containsText" text="No">
      <formula>NOT(ISERROR(SEARCH(("No"),(N95))))</formula>
    </cfRule>
  </conditionalFormatting>
  <conditionalFormatting sqref="N95:Q96 N100:Q101">
    <cfRule type="containsText" dxfId="9" priority="29091" operator="containsText" text="No">
      <formula>NOT(ISERROR(SEARCH(("No"),(N95))))</formula>
    </cfRule>
  </conditionalFormatting>
  <conditionalFormatting sqref="N95:Q96 N100:Q101">
    <cfRule type="containsText" dxfId="9" priority="29092" operator="containsText" text="No">
      <formula>NOT(ISERROR(SEARCH(("No"),(N95))))</formula>
    </cfRule>
  </conditionalFormatting>
  <conditionalFormatting sqref="N95:Q96 N100:Q101">
    <cfRule type="containsText" dxfId="9" priority="29093" operator="containsText" text="No">
      <formula>NOT(ISERROR(SEARCH(("No"),(N95))))</formula>
    </cfRule>
  </conditionalFormatting>
  <conditionalFormatting sqref="N95:Q96 N100:Q101">
    <cfRule type="containsText" dxfId="9" priority="29094" operator="containsText" text="No">
      <formula>NOT(ISERROR(SEARCH(("No"),(N95))))</formula>
    </cfRule>
  </conditionalFormatting>
  <conditionalFormatting sqref="N95:Q96 N100:Q101">
    <cfRule type="containsText" dxfId="9" priority="29095" operator="containsText" text="No">
      <formula>NOT(ISERROR(SEARCH(("No"),(N95))))</formula>
    </cfRule>
  </conditionalFormatting>
  <conditionalFormatting sqref="N95:Q96 N100:Q101">
    <cfRule type="containsText" dxfId="9" priority="29096" operator="containsText" text="No">
      <formula>NOT(ISERROR(SEARCH(("No"),(N95))))</formula>
    </cfRule>
  </conditionalFormatting>
  <conditionalFormatting sqref="N95:Q96 N100:Q101">
    <cfRule type="containsText" dxfId="9" priority="29097" operator="containsText" text="No">
      <formula>NOT(ISERROR(SEARCH(("No"),(N95))))</formula>
    </cfRule>
  </conditionalFormatting>
  <conditionalFormatting sqref="N95:Q96 N100:Q101">
    <cfRule type="containsText" dxfId="9" priority="29098" operator="containsText" text="No">
      <formula>NOT(ISERROR(SEARCH(("No"),(N95))))</formula>
    </cfRule>
  </conditionalFormatting>
  <conditionalFormatting sqref="N95:Q96 N100:Q101">
    <cfRule type="containsText" dxfId="9" priority="29099" operator="containsText" text="No">
      <formula>NOT(ISERROR(SEARCH(("No"),(N95))))</formula>
    </cfRule>
  </conditionalFormatting>
  <conditionalFormatting sqref="N95:Q96 N100:Q101">
    <cfRule type="containsText" dxfId="9" priority="29100" operator="containsText" text="No">
      <formula>NOT(ISERROR(SEARCH(("No"),(N95))))</formula>
    </cfRule>
  </conditionalFormatting>
  <conditionalFormatting sqref="N95:Q96 N100:Q101">
    <cfRule type="containsText" dxfId="9" priority="29101" operator="containsText" text="No">
      <formula>NOT(ISERROR(SEARCH(("No"),(N95))))</formula>
    </cfRule>
  </conditionalFormatting>
  <conditionalFormatting sqref="N95:Q96 N100:Q101">
    <cfRule type="containsText" dxfId="9" priority="29102" operator="containsText" text="No">
      <formula>NOT(ISERROR(SEARCH(("No"),(N95))))</formula>
    </cfRule>
  </conditionalFormatting>
  <conditionalFormatting sqref="N95:Q96 N100:Q101">
    <cfRule type="containsText" dxfId="9" priority="29103" operator="containsText" text="No">
      <formula>NOT(ISERROR(SEARCH(("No"),(N95))))</formula>
    </cfRule>
  </conditionalFormatting>
  <conditionalFormatting sqref="N95:Q96 N100:Q101">
    <cfRule type="containsText" dxfId="9" priority="29104" operator="containsText" text="No">
      <formula>NOT(ISERROR(SEARCH(("No"),(N95))))</formula>
    </cfRule>
  </conditionalFormatting>
  <conditionalFormatting sqref="N95:Q96 N100:Q101">
    <cfRule type="containsText" dxfId="9" priority="29105" operator="containsText" text="No">
      <formula>NOT(ISERROR(SEARCH(("No"),(N95))))</formula>
    </cfRule>
  </conditionalFormatting>
  <conditionalFormatting sqref="N95:Q96 N100:Q101">
    <cfRule type="containsText" dxfId="9" priority="29106" operator="containsText" text="No">
      <formula>NOT(ISERROR(SEARCH(("No"),(N95))))</formula>
    </cfRule>
  </conditionalFormatting>
  <conditionalFormatting sqref="N95:Q96 N100:Q101">
    <cfRule type="containsText" dxfId="9" priority="29107" operator="containsText" text="No">
      <formula>NOT(ISERROR(SEARCH(("No"),(N95))))</formula>
    </cfRule>
  </conditionalFormatting>
  <conditionalFormatting sqref="N95:Q96 N100:Q101">
    <cfRule type="containsText" dxfId="9" priority="29108" operator="containsText" text="No">
      <formula>NOT(ISERROR(SEARCH(("No"),(N95))))</formula>
    </cfRule>
  </conditionalFormatting>
  <conditionalFormatting sqref="N95:Q96 N100:Q101">
    <cfRule type="containsText" dxfId="9" priority="29109" operator="containsText" text="No">
      <formula>NOT(ISERROR(SEARCH(("No"),(N95))))</formula>
    </cfRule>
  </conditionalFormatting>
  <conditionalFormatting sqref="N95:Q96 N100:Q101">
    <cfRule type="containsText" dxfId="9" priority="29110" operator="containsText" text="No">
      <formula>NOT(ISERROR(SEARCH(("No"),(N95))))</formula>
    </cfRule>
  </conditionalFormatting>
  <conditionalFormatting sqref="N95:Q96 N100:Q101">
    <cfRule type="containsText" dxfId="9" priority="29111" operator="containsText" text="No">
      <formula>NOT(ISERROR(SEARCH(("No"),(N95))))</formula>
    </cfRule>
  </conditionalFormatting>
  <conditionalFormatting sqref="N95:Q96 N100:Q101">
    <cfRule type="containsText" dxfId="9" priority="29112" operator="containsText" text="No">
      <formula>NOT(ISERROR(SEARCH(("No"),(N95))))</formula>
    </cfRule>
  </conditionalFormatting>
  <conditionalFormatting sqref="N95:Q96 N100:Q101">
    <cfRule type="containsText" dxfId="9" priority="29113" operator="containsText" text="No">
      <formula>NOT(ISERROR(SEARCH(("No"),(N95))))</formula>
    </cfRule>
  </conditionalFormatting>
  <conditionalFormatting sqref="N95:Q96 N100:Q101">
    <cfRule type="containsText" dxfId="9" priority="29114" operator="containsText" text="No">
      <formula>NOT(ISERROR(SEARCH(("No"),(N95))))</formula>
    </cfRule>
  </conditionalFormatting>
  <conditionalFormatting sqref="N95:Q96 N100:Q101">
    <cfRule type="containsText" dxfId="9" priority="29115" operator="containsText" text="No">
      <formula>NOT(ISERROR(SEARCH(("No"),(N95))))</formula>
    </cfRule>
  </conditionalFormatting>
  <conditionalFormatting sqref="N95:Q96 N100:Q101">
    <cfRule type="containsText" dxfId="9" priority="29116" operator="containsText" text="No">
      <formula>NOT(ISERROR(SEARCH(("No"),(N95))))</formula>
    </cfRule>
  </conditionalFormatting>
  <conditionalFormatting sqref="N95:Q96 N100:Q101">
    <cfRule type="containsText" dxfId="9" priority="29117" operator="containsText" text="No">
      <formula>NOT(ISERROR(SEARCH(("No"),(N95))))</formula>
    </cfRule>
  </conditionalFormatting>
  <conditionalFormatting sqref="N95:Q96 N100:Q101">
    <cfRule type="containsText" dxfId="9" priority="29118" operator="containsText" text="No">
      <formula>NOT(ISERROR(SEARCH(("No"),(N95))))</formula>
    </cfRule>
  </conditionalFormatting>
  <conditionalFormatting sqref="N95:Q96 N100:Q101">
    <cfRule type="containsText" dxfId="9" priority="29119" operator="containsText" text="No">
      <formula>NOT(ISERROR(SEARCH(("No"),(N95))))</formula>
    </cfRule>
  </conditionalFormatting>
  <conditionalFormatting sqref="N95:Q96 N100:Q101">
    <cfRule type="containsText" dxfId="9" priority="29120" operator="containsText" text="No">
      <formula>NOT(ISERROR(SEARCH(("No"),(N95))))</formula>
    </cfRule>
  </conditionalFormatting>
  <conditionalFormatting sqref="N95:Q96 N100:Q101">
    <cfRule type="containsText" dxfId="9" priority="29121" operator="containsText" text="No">
      <formula>NOT(ISERROR(SEARCH(("No"),(N95))))</formula>
    </cfRule>
  </conditionalFormatting>
  <conditionalFormatting sqref="N95:Q96 N100:Q101">
    <cfRule type="containsText" dxfId="9" priority="29122" operator="containsText" text="No">
      <formula>NOT(ISERROR(SEARCH(("No"),(N95))))</formula>
    </cfRule>
  </conditionalFormatting>
  <conditionalFormatting sqref="N95:Q96 N100:Q101">
    <cfRule type="containsText" dxfId="9" priority="29123" operator="containsText" text="No">
      <formula>NOT(ISERROR(SEARCH(("No"),(N95))))</formula>
    </cfRule>
  </conditionalFormatting>
  <conditionalFormatting sqref="N95:Q96 N100:Q101">
    <cfRule type="containsText" dxfId="9" priority="29124" operator="containsText" text="No">
      <formula>NOT(ISERROR(SEARCH(("No"),(N95))))</formula>
    </cfRule>
  </conditionalFormatting>
  <conditionalFormatting sqref="N95:Q96 N100:Q101">
    <cfRule type="containsText" dxfId="9" priority="29125" operator="containsText" text="No">
      <formula>NOT(ISERROR(SEARCH(("No"),(N95))))</formula>
    </cfRule>
  </conditionalFormatting>
  <conditionalFormatting sqref="N95:Q96 N100:Q101">
    <cfRule type="containsText" dxfId="9" priority="29126" operator="containsText" text="No">
      <formula>NOT(ISERROR(SEARCH(("No"),(N95))))</formula>
    </cfRule>
  </conditionalFormatting>
  <conditionalFormatting sqref="N95:Q96 N100:Q101">
    <cfRule type="containsText" dxfId="9" priority="29127" operator="containsText" text="No">
      <formula>NOT(ISERROR(SEARCH(("No"),(N95))))</formula>
    </cfRule>
  </conditionalFormatting>
  <conditionalFormatting sqref="N95:Q96 N100:Q101">
    <cfRule type="containsText" dxfId="9" priority="29128" operator="containsText" text="No">
      <formula>NOT(ISERROR(SEARCH(("No"),(N95))))</formula>
    </cfRule>
  </conditionalFormatting>
  <conditionalFormatting sqref="N95:Q96 N100:Q101">
    <cfRule type="containsText" dxfId="9" priority="29129" operator="containsText" text="No">
      <formula>NOT(ISERROR(SEARCH(("No"),(N95))))</formula>
    </cfRule>
  </conditionalFormatting>
  <conditionalFormatting sqref="N95:Q96 N100:Q101">
    <cfRule type="containsText" dxfId="9" priority="29130" operator="containsText" text="No">
      <formula>NOT(ISERROR(SEARCH(("No"),(N95))))</formula>
    </cfRule>
  </conditionalFormatting>
  <conditionalFormatting sqref="N95:Q96 N100:Q101">
    <cfRule type="containsText" dxfId="9" priority="29131" operator="containsText" text="No">
      <formula>NOT(ISERROR(SEARCH(("No"),(N95))))</formula>
    </cfRule>
  </conditionalFormatting>
  <conditionalFormatting sqref="N95:Q96 N100:Q101">
    <cfRule type="containsText" dxfId="9" priority="29132" operator="containsText" text="No">
      <formula>NOT(ISERROR(SEARCH(("No"),(N95))))</formula>
    </cfRule>
  </conditionalFormatting>
  <conditionalFormatting sqref="N95:Q96 N100:Q101">
    <cfRule type="containsText" dxfId="9" priority="29133" operator="containsText" text="No">
      <formula>NOT(ISERROR(SEARCH(("No"),(N95))))</formula>
    </cfRule>
  </conditionalFormatting>
  <conditionalFormatting sqref="N95:Q96 N100:Q101">
    <cfRule type="containsText" dxfId="2" priority="29134" operator="containsText" text="Yes">
      <formula>NOT(ISERROR(SEARCH(("Yes"),(N95))))</formula>
    </cfRule>
  </conditionalFormatting>
  <conditionalFormatting sqref="N95:Q96 N100:Q101">
    <cfRule type="containsText" dxfId="2" priority="29135" operator="containsText" text="Yes">
      <formula>NOT(ISERROR(SEARCH(("Yes"),(N95))))</formula>
    </cfRule>
  </conditionalFormatting>
  <conditionalFormatting sqref="N95:Q96 N100:Q101">
    <cfRule type="containsText" dxfId="2" priority="29136" operator="containsText" text="Yes">
      <formula>NOT(ISERROR(SEARCH(("Yes"),(N95))))</formula>
    </cfRule>
  </conditionalFormatting>
  <conditionalFormatting sqref="N95:Q96 N100:Q101">
    <cfRule type="containsText" dxfId="2" priority="29137" operator="containsText" text="Yes">
      <formula>NOT(ISERROR(SEARCH(("Yes"),(N95))))</formula>
    </cfRule>
  </conditionalFormatting>
  <conditionalFormatting sqref="N95:Q96 N100:Q101">
    <cfRule type="containsText" dxfId="2" priority="29138" operator="containsText" text="Yes">
      <formula>NOT(ISERROR(SEARCH(("Yes"),(N95))))</formula>
    </cfRule>
  </conditionalFormatting>
  <conditionalFormatting sqref="N95:Q96 N100:Q101">
    <cfRule type="containsText" dxfId="2" priority="29139" operator="containsText" text="Yes">
      <formula>NOT(ISERROR(SEARCH(("Yes"),(N95))))</formula>
    </cfRule>
  </conditionalFormatting>
  <conditionalFormatting sqref="N95:Q96 N100:Q101">
    <cfRule type="containsText" dxfId="2" priority="29140" operator="containsText" text="Yes">
      <formula>NOT(ISERROR(SEARCH(("Yes"),(N95))))</formula>
    </cfRule>
  </conditionalFormatting>
  <conditionalFormatting sqref="N95:Q96 N100:Q101">
    <cfRule type="containsText" dxfId="2" priority="29141" operator="containsText" text="Yes">
      <formula>NOT(ISERROR(SEARCH(("Yes"),(N95))))</formula>
    </cfRule>
  </conditionalFormatting>
  <conditionalFormatting sqref="N95:Q96 N100:Q101">
    <cfRule type="containsText" dxfId="2" priority="29142" operator="containsText" text="Yes">
      <formula>NOT(ISERROR(SEARCH(("Yes"),(N95))))</formula>
    </cfRule>
  </conditionalFormatting>
  <conditionalFormatting sqref="N95:Q96 N100:Q101">
    <cfRule type="containsText" dxfId="2" priority="29143" operator="containsText" text="Yes">
      <formula>NOT(ISERROR(SEARCH(("Yes"),(N95))))</formula>
    </cfRule>
  </conditionalFormatting>
  <conditionalFormatting sqref="N95:Q96 N100:Q101">
    <cfRule type="containsText" dxfId="2" priority="29144" operator="containsText" text="Yes">
      <formula>NOT(ISERROR(SEARCH(("Yes"),(N95))))</formula>
    </cfRule>
  </conditionalFormatting>
  <conditionalFormatting sqref="N95:Q96 N100:Q101">
    <cfRule type="containsText" dxfId="2" priority="29145" operator="containsText" text="Yes">
      <formula>NOT(ISERROR(SEARCH(("Yes"),(N95))))</formula>
    </cfRule>
  </conditionalFormatting>
  <conditionalFormatting sqref="N95:Q96 N100:Q101">
    <cfRule type="containsText" dxfId="2" priority="29146" operator="containsText" text="Yes">
      <formula>NOT(ISERROR(SEARCH(("Yes"),(N95))))</formula>
    </cfRule>
  </conditionalFormatting>
  <conditionalFormatting sqref="N95:Q96 N100:Q101">
    <cfRule type="containsText" dxfId="2" priority="29147" operator="containsText" text="Yes">
      <formula>NOT(ISERROR(SEARCH(("Yes"),(N95))))</formula>
    </cfRule>
  </conditionalFormatting>
  <conditionalFormatting sqref="N95:Q96 N100:Q101">
    <cfRule type="containsText" dxfId="2" priority="29148" operator="containsText" text="Yes">
      <formula>NOT(ISERROR(SEARCH(("Yes"),(N95))))</formula>
    </cfRule>
  </conditionalFormatting>
  <conditionalFormatting sqref="N95:Q96 N100:Q101">
    <cfRule type="containsText" dxfId="2" priority="29149" operator="containsText" text="Yes">
      <formula>NOT(ISERROR(SEARCH(("Yes"),(N95))))</formula>
    </cfRule>
  </conditionalFormatting>
  <conditionalFormatting sqref="N95:Q96 N100:Q101">
    <cfRule type="containsText" dxfId="2" priority="29150" operator="containsText" text="Yes">
      <formula>NOT(ISERROR(SEARCH(("Yes"),(N95))))</formula>
    </cfRule>
  </conditionalFormatting>
  <conditionalFormatting sqref="N95:Q96 N100:Q101">
    <cfRule type="containsText" dxfId="2" priority="29151" operator="containsText" text="Yes">
      <formula>NOT(ISERROR(SEARCH(("Yes"),(N95))))</formula>
    </cfRule>
  </conditionalFormatting>
  <conditionalFormatting sqref="N95:Q96 N100:Q101">
    <cfRule type="containsText" dxfId="2" priority="29152" operator="containsText" text="Yes">
      <formula>NOT(ISERROR(SEARCH(("Yes"),(N95))))</formula>
    </cfRule>
  </conditionalFormatting>
  <conditionalFormatting sqref="N95:Q96 N100:Q101">
    <cfRule type="containsText" dxfId="2" priority="29153" operator="containsText" text="Yes">
      <formula>NOT(ISERROR(SEARCH(("Yes"),(N95))))</formula>
    </cfRule>
  </conditionalFormatting>
  <conditionalFormatting sqref="N95:Q96 N100:Q101">
    <cfRule type="containsText" dxfId="2" priority="29154" operator="containsText" text="Yes">
      <formula>NOT(ISERROR(SEARCH(("Yes"),(N95))))</formula>
    </cfRule>
  </conditionalFormatting>
  <conditionalFormatting sqref="N95:Q96 N100:Q101">
    <cfRule type="containsText" dxfId="2" priority="29155" operator="containsText" text="Yes">
      <formula>NOT(ISERROR(SEARCH(("Yes"),(N95))))</formula>
    </cfRule>
  </conditionalFormatting>
  <conditionalFormatting sqref="N95:Q96 N100:Q101">
    <cfRule type="containsText" dxfId="2" priority="29156" operator="containsText" text="Yes">
      <formula>NOT(ISERROR(SEARCH(("Yes"),(N95))))</formula>
    </cfRule>
  </conditionalFormatting>
  <conditionalFormatting sqref="N95:Q96 N100:Q101">
    <cfRule type="containsText" dxfId="2" priority="29157" operator="containsText" text="Yes">
      <formula>NOT(ISERROR(SEARCH(("Yes"),(N95))))</formula>
    </cfRule>
  </conditionalFormatting>
  <conditionalFormatting sqref="N95:Q96 N100:Q101">
    <cfRule type="containsText" dxfId="2" priority="29158" operator="containsText" text="Yes">
      <formula>NOT(ISERROR(SEARCH(("Yes"),(N95))))</formula>
    </cfRule>
  </conditionalFormatting>
  <conditionalFormatting sqref="N95:Q96 N100:Q101">
    <cfRule type="containsText" dxfId="2" priority="29159" operator="containsText" text="Yes">
      <formula>NOT(ISERROR(SEARCH(("Yes"),(N95))))</formula>
    </cfRule>
  </conditionalFormatting>
  <conditionalFormatting sqref="N95:Q96 N100:Q101">
    <cfRule type="containsText" dxfId="2" priority="29160" operator="containsText" text="Yes">
      <formula>NOT(ISERROR(SEARCH(("Yes"),(N95))))</formula>
    </cfRule>
  </conditionalFormatting>
  <conditionalFormatting sqref="N95:Q96 N100:Q101">
    <cfRule type="containsText" dxfId="2" priority="29161" operator="containsText" text="Yes">
      <formula>NOT(ISERROR(SEARCH(("Yes"),(N95))))</formula>
    </cfRule>
  </conditionalFormatting>
  <conditionalFormatting sqref="N95:Q96 N100:Q101">
    <cfRule type="containsText" dxfId="2" priority="29162" operator="containsText" text="Yes">
      <formula>NOT(ISERROR(SEARCH(("Yes"),(N95))))</formula>
    </cfRule>
  </conditionalFormatting>
  <conditionalFormatting sqref="N95:Q96 N100:Q101">
    <cfRule type="containsText" dxfId="2" priority="29163" operator="containsText" text="Yes">
      <formula>NOT(ISERROR(SEARCH(("Yes"),(N95))))</formula>
    </cfRule>
  </conditionalFormatting>
  <conditionalFormatting sqref="N95:Q96 N100:Q101">
    <cfRule type="containsText" dxfId="2" priority="29164" operator="containsText" text="Yes">
      <formula>NOT(ISERROR(SEARCH(("Yes"),(N95))))</formula>
    </cfRule>
  </conditionalFormatting>
  <conditionalFormatting sqref="N95:Q96 N100:Q101">
    <cfRule type="containsText" dxfId="2" priority="29165" operator="containsText" text="Yes">
      <formula>NOT(ISERROR(SEARCH(("Yes"),(N95))))</formula>
    </cfRule>
  </conditionalFormatting>
  <conditionalFormatting sqref="N95:Q96 N100:Q101">
    <cfRule type="containsText" dxfId="2" priority="29166" operator="containsText" text="Yes">
      <formula>NOT(ISERROR(SEARCH(("Yes"),(N95))))</formula>
    </cfRule>
  </conditionalFormatting>
  <conditionalFormatting sqref="N95:Q96 N100:Q101">
    <cfRule type="containsText" dxfId="2" priority="29167" operator="containsText" text="Yes">
      <formula>NOT(ISERROR(SEARCH(("Yes"),(N95))))</formula>
    </cfRule>
  </conditionalFormatting>
  <conditionalFormatting sqref="N95:Q96 N100:Q101">
    <cfRule type="containsText" dxfId="2" priority="29168" operator="containsText" text="Yes">
      <formula>NOT(ISERROR(SEARCH(("Yes"),(N95))))</formula>
    </cfRule>
  </conditionalFormatting>
  <conditionalFormatting sqref="N95:Q96 N100:Q101">
    <cfRule type="containsText" dxfId="2" priority="29169" operator="containsText" text="Yes">
      <formula>NOT(ISERROR(SEARCH(("Yes"),(N95))))</formula>
    </cfRule>
  </conditionalFormatting>
  <conditionalFormatting sqref="N95:Q96 N100:Q101">
    <cfRule type="containsText" dxfId="2" priority="29170" operator="containsText" text="Yes">
      <formula>NOT(ISERROR(SEARCH(("Yes"),(N95))))</formula>
    </cfRule>
  </conditionalFormatting>
  <conditionalFormatting sqref="N95:Q96 N100:Q101">
    <cfRule type="containsText" dxfId="2" priority="29171" operator="containsText" text="Yes">
      <formula>NOT(ISERROR(SEARCH(("Yes"),(N95))))</formula>
    </cfRule>
  </conditionalFormatting>
  <conditionalFormatting sqref="N95:Q96 N100:Q101">
    <cfRule type="containsText" dxfId="2" priority="29172" operator="containsText" text="Yes">
      <formula>NOT(ISERROR(SEARCH(("Yes"),(N95))))</formula>
    </cfRule>
  </conditionalFormatting>
  <conditionalFormatting sqref="N95:Q96 N100:Q101">
    <cfRule type="containsText" dxfId="2" priority="29173" operator="containsText" text="Yes">
      <formula>NOT(ISERROR(SEARCH(("Yes"),(N95))))</formula>
    </cfRule>
  </conditionalFormatting>
  <conditionalFormatting sqref="N95:Q96 N100:Q101">
    <cfRule type="containsText" dxfId="2" priority="29174" operator="containsText" text="Yes">
      <formula>NOT(ISERROR(SEARCH(("Yes"),(N95))))</formula>
    </cfRule>
  </conditionalFormatting>
  <conditionalFormatting sqref="N95:Q96 N100:Q101">
    <cfRule type="containsText" dxfId="2" priority="29175" operator="containsText" text="Yes">
      <formula>NOT(ISERROR(SEARCH(("Yes"),(N95))))</formula>
    </cfRule>
  </conditionalFormatting>
  <conditionalFormatting sqref="N95:Q96 N100:Q101">
    <cfRule type="containsText" dxfId="2" priority="29176" operator="containsText" text="Yes">
      <formula>NOT(ISERROR(SEARCH(("Yes"),(N95))))</formula>
    </cfRule>
  </conditionalFormatting>
  <conditionalFormatting sqref="N95:Q96 N100:Q101">
    <cfRule type="containsText" dxfId="2" priority="29177" operator="containsText" text="Yes">
      <formula>NOT(ISERROR(SEARCH(("Yes"),(N95))))</formula>
    </cfRule>
  </conditionalFormatting>
  <conditionalFormatting sqref="N95:Q96 N100:Q101">
    <cfRule type="containsText" dxfId="2" priority="29178" operator="containsText" text="Yes">
      <formula>NOT(ISERROR(SEARCH(("Yes"),(N95))))</formula>
    </cfRule>
  </conditionalFormatting>
  <conditionalFormatting sqref="N95:Q96 N100:Q101">
    <cfRule type="containsText" dxfId="2" priority="29179" operator="containsText" text="Yes">
      <formula>NOT(ISERROR(SEARCH(("Yes"),(N95))))</formula>
    </cfRule>
  </conditionalFormatting>
  <conditionalFormatting sqref="N95:Q96 N100:Q101">
    <cfRule type="containsText" dxfId="2" priority="29180" operator="containsText" text="Yes">
      <formula>NOT(ISERROR(SEARCH(("Yes"),(N95))))</formula>
    </cfRule>
  </conditionalFormatting>
  <conditionalFormatting sqref="N96:N99 N102:N103 N106:N109 N112:N134 O122:P133 Q122:Q126 Q128:Q133 N136:N152 O136:Q139 O142:Q143 O146:Q152 N154 O154:O155 P154:Q154 N159:Q159 N161:Q162 N164:O167 P164:Q164 P166:Q167 N170:O170 N172:Q172 N174:Q174 N176:Q176 N180:Q182 N184:Q184 N187:N216 O203 O205:O214 N222:N226 N228:N252 N254:N256 N258:N264 N267:N269 N272:N273 N275">
    <cfRule type="containsText" dxfId="9" priority="29181" operator="containsText" text="No">
      <formula>NOT(ISERROR(SEARCH(("No"),(N96))))</formula>
    </cfRule>
  </conditionalFormatting>
  <conditionalFormatting sqref="N96:N99 N102:N103 N106:N109 N112:N134 O122:P133 Q122:Q126 Q128:Q133 N136:N152 O136:Q139 O142:Q143 O146:Q152 N154 O154:O155 P154:Q154 N159:Q159 N161:Q162 N164:O167 P164:Q164 P166:Q167 N170:O170 N172:Q172 N174:Q174 N176:Q176 N180:Q182 N184:Q184 N187:N216 O203 O205:O214 N222:N226 N228:N252 N254:N256 N258:N264 N267:N269 N272:N273 N275">
    <cfRule type="containsText" dxfId="2" priority="29182" operator="containsText" text="Yes">
      <formula>NOT(ISERROR(SEARCH(("Yes"),(N96))))</formula>
    </cfRule>
  </conditionalFormatting>
  <conditionalFormatting sqref="O96:O99 O102:O103 O106:O110 O112:O226 Q127 N139 P145 P150 N162 N164:N167 N170 N172 N174 N176 N180:N182 N184 N187:N216 N222:N226 N228:O252 N254:O256 N258:O264 N267:O269 N272:O273 N275:O275">
    <cfRule type="containsText" dxfId="9" priority="29183" operator="containsText" text="No">
      <formula>NOT(ISERROR(SEARCH(("No"),(O96))))</formula>
    </cfRule>
  </conditionalFormatting>
  <conditionalFormatting sqref="O96:O99 O102:O103 O106:O110 O112:O226 Q127 N139 P145 P150 N162 N164:N167 N170 N172 N174 N176 N180:N182 N184 N187:N216 N222:N226 N228:O252 N254:O256 N258:O264 N267:O269 N272:O273 N275:O275">
    <cfRule type="containsText" dxfId="9" priority="29184" operator="containsText" text="No">
      <formula>NOT(ISERROR(SEARCH(("No"),(O96))))</formula>
    </cfRule>
  </conditionalFormatting>
  <conditionalFormatting sqref="O96:O99 O102:O103 O106:O110 O112:O226 Q127 N139 P145 P150 N162 N164:N167 N170 N172 N174 N176 N180:N182 N184 N187:N216 N222:N226 N228:O252 N254:O256 N258:O264 N267:O269 N272:O273 N275:O275">
    <cfRule type="containsText" dxfId="9" priority="29185" operator="containsText" text="No">
      <formula>NOT(ISERROR(SEARCH(("No"),(O96))))</formula>
    </cfRule>
  </conditionalFormatting>
  <conditionalFormatting sqref="O96:O99 O102:O103 O106:O110 O112:O226 Q127 N139 P145 P150 N162 N164:N167 N170 N172 N174 N176 N180:N182 N184 N187:N216 N222:N226 N228:O252 N254:O256 N258:O264 N267:O269 N272:O273 N275:O275">
    <cfRule type="containsText" dxfId="2" priority="29186" operator="containsText" text="Yes">
      <formula>NOT(ISERROR(SEARCH(("Yes"),(O96))))</formula>
    </cfRule>
  </conditionalFormatting>
  <conditionalFormatting sqref="O96:O99 O102:O103 O106:O110 O112:O226 Q127 N139 P145 P150 N162 N164:N167 N170 N172 N174 N176 N180:N182 N184 N187:N216 N222:N226 N228:O252 N254:O256 N258:O264 N267:O269 N272:O273 N275:O275">
    <cfRule type="containsText" dxfId="2" priority="29187" operator="containsText" text="Yes">
      <formula>NOT(ISERROR(SEARCH(("Yes"),(O96))))</formula>
    </cfRule>
  </conditionalFormatting>
  <conditionalFormatting sqref="O96:O99 O102:O103 O106:O110 O112:O226 Q127 N139 P145 P150 N162 N164:N167 N170 N172 N174 N176 N180:N182 N184 N187:N216 N222:N226 N228:O252 N254:O256 N258:O264 N267:O269 N272:O273 N275:O275">
    <cfRule type="containsText" dxfId="2" priority="29188" operator="containsText" text="Yes">
      <formula>NOT(ISERROR(SEARCH(("Yes"),(O96))))</formula>
    </cfRule>
  </conditionalFormatting>
  <conditionalFormatting sqref="O96:O99 O102:O103 O106:O110 O112:O226 Q127 N139 P145 P150 N162 N164:N167 N170 N172 N174 N176 N180:N182 N184 N187:N216 N222:N226 N228:O252 N254:O256 N258:O264 N267:O269 N272:O273 N275:O275">
    <cfRule type="containsText" dxfId="2" priority="29189" operator="containsText" text="Yes">
      <formula>NOT(ISERROR(SEARCH(("Yes"),(O96))))</formula>
    </cfRule>
  </conditionalFormatting>
  <conditionalFormatting sqref="O96:O99 O102:O103 O106:O110 O112:O226 Q127 N139 P145 P150 N162 N164:N167 N170 N172 N174 N176 N180:N182 N184 N187:N216 N222:N226 N228:O252 N254:O256 N258:O264 N267:O269 N272:O273 N275:O275">
    <cfRule type="containsText" dxfId="2" priority="29190" operator="containsText" text="Yes">
      <formula>NOT(ISERROR(SEARCH(("Yes"),(O96))))</formula>
    </cfRule>
  </conditionalFormatting>
  <conditionalFormatting sqref="O96:O99 O102:O103 O106:O110 O112:O226 Q127 N139 P145 P150 N162 N164:N167 N170 N172 N174 N176 N180:N182 N184 N187:N216 N222:N226 N228:O252 N254:O256 N258:O264 N267:O269 N272:O273 N275:O275">
    <cfRule type="containsText" dxfId="9" priority="29191" operator="containsText" text="No">
      <formula>NOT(ISERROR(SEARCH(("No"),(O96))))</formula>
    </cfRule>
  </conditionalFormatting>
  <conditionalFormatting sqref="O96:O99 O102:O103 O106:O110 O112:O226 Q127 N139 P145 P150 N162 N164:N167 N170 N172 N174 N176 N180:N182 N184 N187:N216 N222:N226 N228:O252 N254:O256 N258:O264 N267:O269 N272:O273 N275:O275">
    <cfRule type="containsText" dxfId="9" priority="29192" operator="containsText" text="No">
      <formula>NOT(ISERROR(SEARCH(("No"),(O96))))</formula>
    </cfRule>
  </conditionalFormatting>
  <conditionalFormatting sqref="O96:O99 O102:O103 O106:O110 O112:O226 Q127 N139 P145 P150 N162 N164:N167 N170 N172 N174 N176 N180:N182 N184 N187:N216 N222:N226 N228:O252 N254:O256 N258:O264 N267:O269 N272:O273 N275:O275">
    <cfRule type="containsText" dxfId="2" priority="29193" operator="containsText" text="Yes">
      <formula>NOT(ISERROR(SEARCH(("Yes"),(O96))))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194"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195"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196"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197"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198"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199"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00"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01"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02"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03"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04"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05"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06"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07"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08"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09"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10"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11"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12"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13"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14"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15"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16"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17"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18"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19"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20"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21"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22"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23"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24"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25"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26"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27"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28"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29"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30"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31"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32"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33"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34"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35"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36"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37"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9" priority="29238" operator="containsText" text="No">
      <formula>NOT(ISERROR(SEARCH(("No"),(P96))))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39"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40"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41"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42"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43"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44"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45"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46"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47"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48"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49"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50"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51"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52"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53"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54"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55"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56"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57"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58"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59"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60"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61"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62"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63"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64"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65"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66"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67"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68"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69"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70"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71"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72"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73"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74"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75"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76"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77"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78"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79"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80"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81"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82"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83"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84" operator="containsText" text="Yes">
      <formula>NOT(ISERROR(SEARCH(("Yes"),(P96))))</formula>
    </cfRule>
  </conditionalFormatting>
  <conditionalFormatting sqref="P96:Q99 P102:Q103 P106:Q109 P112:Q126 P128:Q134 P136:P152 Q136:Q216 O145 P154 P159 P161:P162 P164 P166:P167 P172 P174:P216 U204:V204 P222:Q226 P228:Q252 P254:Q256 P258:Q264 O261:O264 O267:Q269 P272:Q275 O275">
    <cfRule type="containsText" dxfId="2" priority="29285" operator="containsText" text="Yes">
      <formula>NOT(ISERROR(SEARCH(("Yes"),(P96))))</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286"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287"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288"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289"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290"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291"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292"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293"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294"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295"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296"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297"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298"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299"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00"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01"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02"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03"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04"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05"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06"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07"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08"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09"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10"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11"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12"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13"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14"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15"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16"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17"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18"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19"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20"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21"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22"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23"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24"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25"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26"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27"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28"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29"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9" priority="29330" operator="containsText" text="No">
      <formula>NOT(ISERROR(SEARCH(("No"),(N97))))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31"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32"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33"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34"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35"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36"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37"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38"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39"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40"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41"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42"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43"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44"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45"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46"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47"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48"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49"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50"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51"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52"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53"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54"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55"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56"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57"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58"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59"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60"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61"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62"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63"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64"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65"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66"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67"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68"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69"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70"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71"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72"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73"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74"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75"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76" operator="containsText" text="Yes">
      <formula>NOT(ISERROR(SEARCH(("Yes"),(N97))))</formula>
    </cfRule>
  </conditionalFormatting>
  <conditionalFormatting sqref="N97:Q101 N112:Q113 N115:Q118 N121:N126 O121:O133 P121:Q126 N128:N133 P128:Q133 N136:Q139 N142:Q143 N146:Q152 N154 O154:O155 P154:Q154 N159:Q159 N161:Q162 N164:O167 P164:Q164 P166:Q167 N170:O170 N172:Q172 N174:Q174 N176:Q176 N180:Q182 N184:Q184">
    <cfRule type="containsText" dxfId="2" priority="29377" operator="containsText" text="Yes">
      <formula>NOT(ISERROR(SEARCH(("Yes"),(N97))))</formula>
    </cfRule>
  </conditionalFormatting>
  <conditionalFormatting sqref="N98:Q99">
    <cfRule type="containsText" dxfId="9" priority="29378" operator="containsText" text="No">
      <formula>NOT(ISERROR(SEARCH(("No"),(N98))))</formula>
    </cfRule>
  </conditionalFormatting>
  <conditionalFormatting sqref="N98:Q99">
    <cfRule type="containsText" dxfId="9" priority="29379" operator="containsText" text="No">
      <formula>NOT(ISERROR(SEARCH(("No"),(N98))))</formula>
    </cfRule>
  </conditionalFormatting>
  <conditionalFormatting sqref="N98:Q99">
    <cfRule type="containsText" dxfId="9" priority="29380" operator="containsText" text="No">
      <formula>NOT(ISERROR(SEARCH(("No"),(N98))))</formula>
    </cfRule>
  </conditionalFormatting>
  <conditionalFormatting sqref="N98:Q99">
    <cfRule type="containsText" dxfId="9" priority="29381" operator="containsText" text="No">
      <formula>NOT(ISERROR(SEARCH(("No"),(N98))))</formula>
    </cfRule>
  </conditionalFormatting>
  <conditionalFormatting sqref="N98:Q99">
    <cfRule type="containsText" dxfId="9" priority="29382" operator="containsText" text="No">
      <formula>NOT(ISERROR(SEARCH(("No"),(N98))))</formula>
    </cfRule>
  </conditionalFormatting>
  <conditionalFormatting sqref="N98:Q99">
    <cfRule type="containsText" dxfId="9" priority="29383" operator="containsText" text="No">
      <formula>NOT(ISERROR(SEARCH(("No"),(N98))))</formula>
    </cfRule>
  </conditionalFormatting>
  <conditionalFormatting sqref="N98:Q99">
    <cfRule type="containsText" dxfId="9" priority="29384" operator="containsText" text="No">
      <formula>NOT(ISERROR(SEARCH(("No"),(N98))))</formula>
    </cfRule>
  </conditionalFormatting>
  <conditionalFormatting sqref="N98:Q99">
    <cfRule type="containsText" dxfId="9" priority="29385" operator="containsText" text="No">
      <formula>NOT(ISERROR(SEARCH(("No"),(N98))))</formula>
    </cfRule>
  </conditionalFormatting>
  <conditionalFormatting sqref="N98:Q99">
    <cfRule type="containsText" dxfId="9" priority="29386" operator="containsText" text="No">
      <formula>NOT(ISERROR(SEARCH(("No"),(N98))))</formula>
    </cfRule>
  </conditionalFormatting>
  <conditionalFormatting sqref="N98:Q99">
    <cfRule type="containsText" dxfId="9" priority="29387" operator="containsText" text="No">
      <formula>NOT(ISERROR(SEARCH(("No"),(N98))))</formula>
    </cfRule>
  </conditionalFormatting>
  <conditionalFormatting sqref="N98:Q99">
    <cfRule type="containsText" dxfId="9" priority="29388" operator="containsText" text="No">
      <formula>NOT(ISERROR(SEARCH(("No"),(N98))))</formula>
    </cfRule>
  </conditionalFormatting>
  <conditionalFormatting sqref="N98:Q99">
    <cfRule type="containsText" dxfId="9" priority="29389" operator="containsText" text="No">
      <formula>NOT(ISERROR(SEARCH(("No"),(N98))))</formula>
    </cfRule>
  </conditionalFormatting>
  <conditionalFormatting sqref="N98:Q99">
    <cfRule type="containsText" dxfId="9" priority="29390" operator="containsText" text="No">
      <formula>NOT(ISERROR(SEARCH(("No"),(N98))))</formula>
    </cfRule>
  </conditionalFormatting>
  <conditionalFormatting sqref="N98:Q99">
    <cfRule type="containsText" dxfId="9" priority="29391" operator="containsText" text="No">
      <formula>NOT(ISERROR(SEARCH(("No"),(N98))))</formula>
    </cfRule>
  </conditionalFormatting>
  <conditionalFormatting sqref="N98:Q99">
    <cfRule type="containsText" dxfId="9" priority="29392" operator="containsText" text="No">
      <formula>NOT(ISERROR(SEARCH(("No"),(N98))))</formula>
    </cfRule>
  </conditionalFormatting>
  <conditionalFormatting sqref="N98:Q99">
    <cfRule type="containsText" dxfId="9" priority="29393" operator="containsText" text="No">
      <formula>NOT(ISERROR(SEARCH(("No"),(N98))))</formula>
    </cfRule>
  </conditionalFormatting>
  <conditionalFormatting sqref="N98:Q99">
    <cfRule type="containsText" dxfId="9" priority="29394" operator="containsText" text="No">
      <formula>NOT(ISERROR(SEARCH(("No"),(N98))))</formula>
    </cfRule>
  </conditionalFormatting>
  <conditionalFormatting sqref="N98:Q99">
    <cfRule type="containsText" dxfId="9" priority="29395" operator="containsText" text="No">
      <formula>NOT(ISERROR(SEARCH(("No"),(N98))))</formula>
    </cfRule>
  </conditionalFormatting>
  <conditionalFormatting sqref="N98:Q99">
    <cfRule type="containsText" dxfId="9" priority="29396" operator="containsText" text="No">
      <formula>NOT(ISERROR(SEARCH(("No"),(N98))))</formula>
    </cfRule>
  </conditionalFormatting>
  <conditionalFormatting sqref="N98:Q99">
    <cfRule type="containsText" dxfId="9" priority="29397" operator="containsText" text="No">
      <formula>NOT(ISERROR(SEARCH(("No"),(N98))))</formula>
    </cfRule>
  </conditionalFormatting>
  <conditionalFormatting sqref="N98:Q99">
    <cfRule type="containsText" dxfId="9" priority="29398" operator="containsText" text="No">
      <formula>NOT(ISERROR(SEARCH(("No"),(N98))))</formula>
    </cfRule>
  </conditionalFormatting>
  <conditionalFormatting sqref="N98:Q99">
    <cfRule type="containsText" dxfId="9" priority="29399" operator="containsText" text="No">
      <formula>NOT(ISERROR(SEARCH(("No"),(N98))))</formula>
    </cfRule>
  </conditionalFormatting>
  <conditionalFormatting sqref="N98:Q99">
    <cfRule type="containsText" dxfId="9" priority="29400" operator="containsText" text="No">
      <formula>NOT(ISERROR(SEARCH(("No"),(N98))))</formula>
    </cfRule>
  </conditionalFormatting>
  <conditionalFormatting sqref="N98:Q99">
    <cfRule type="containsText" dxfId="9" priority="29401" operator="containsText" text="No">
      <formula>NOT(ISERROR(SEARCH(("No"),(N98))))</formula>
    </cfRule>
  </conditionalFormatting>
  <conditionalFormatting sqref="N98:Q99">
    <cfRule type="containsText" dxfId="9" priority="29402" operator="containsText" text="No">
      <formula>NOT(ISERROR(SEARCH(("No"),(N98))))</formula>
    </cfRule>
  </conditionalFormatting>
  <conditionalFormatting sqref="N98:Q99">
    <cfRule type="containsText" dxfId="9" priority="29403" operator="containsText" text="No">
      <formula>NOT(ISERROR(SEARCH(("No"),(N98))))</formula>
    </cfRule>
  </conditionalFormatting>
  <conditionalFormatting sqref="N98:Q99">
    <cfRule type="containsText" dxfId="9" priority="29404" operator="containsText" text="No">
      <formula>NOT(ISERROR(SEARCH(("No"),(N98))))</formula>
    </cfRule>
  </conditionalFormatting>
  <conditionalFormatting sqref="N98:Q99">
    <cfRule type="containsText" dxfId="9" priority="29405" operator="containsText" text="No">
      <formula>NOT(ISERROR(SEARCH(("No"),(N98))))</formula>
    </cfRule>
  </conditionalFormatting>
  <conditionalFormatting sqref="N98:Q99">
    <cfRule type="containsText" dxfId="9" priority="29406" operator="containsText" text="No">
      <formula>NOT(ISERROR(SEARCH(("No"),(N98))))</formula>
    </cfRule>
  </conditionalFormatting>
  <conditionalFormatting sqref="N98:Q99">
    <cfRule type="containsText" dxfId="9" priority="29407" operator="containsText" text="No">
      <formula>NOT(ISERROR(SEARCH(("No"),(N98))))</formula>
    </cfRule>
  </conditionalFormatting>
  <conditionalFormatting sqref="N98:Q99">
    <cfRule type="containsText" dxfId="9" priority="29408" operator="containsText" text="No">
      <formula>NOT(ISERROR(SEARCH(("No"),(N98))))</formula>
    </cfRule>
  </conditionalFormatting>
  <conditionalFormatting sqref="N98:Q99">
    <cfRule type="containsText" dxfId="9" priority="29409" operator="containsText" text="No">
      <formula>NOT(ISERROR(SEARCH(("No"),(N98))))</formula>
    </cfRule>
  </conditionalFormatting>
  <conditionalFormatting sqref="N98:Q99">
    <cfRule type="containsText" dxfId="9" priority="29410" operator="containsText" text="No">
      <formula>NOT(ISERROR(SEARCH(("No"),(N98))))</formula>
    </cfRule>
  </conditionalFormatting>
  <conditionalFormatting sqref="N98:Q99">
    <cfRule type="containsText" dxfId="9" priority="29411" operator="containsText" text="No">
      <formula>NOT(ISERROR(SEARCH(("No"),(N98))))</formula>
    </cfRule>
  </conditionalFormatting>
  <conditionalFormatting sqref="N98:Q99">
    <cfRule type="containsText" dxfId="9" priority="29412" operator="containsText" text="No">
      <formula>NOT(ISERROR(SEARCH(("No"),(N98))))</formula>
    </cfRule>
  </conditionalFormatting>
  <conditionalFormatting sqref="N98:Q99">
    <cfRule type="containsText" dxfId="9" priority="29413" operator="containsText" text="No">
      <formula>NOT(ISERROR(SEARCH(("No"),(N98))))</formula>
    </cfRule>
  </conditionalFormatting>
  <conditionalFormatting sqref="N98:Q99">
    <cfRule type="containsText" dxfId="9" priority="29414" operator="containsText" text="No">
      <formula>NOT(ISERROR(SEARCH(("No"),(N98))))</formula>
    </cfRule>
  </conditionalFormatting>
  <conditionalFormatting sqref="N98:Q99">
    <cfRule type="containsText" dxfId="9" priority="29415" operator="containsText" text="No">
      <formula>NOT(ISERROR(SEARCH(("No"),(N98))))</formula>
    </cfRule>
  </conditionalFormatting>
  <conditionalFormatting sqref="N98:Q99">
    <cfRule type="containsText" dxfId="9" priority="29416" operator="containsText" text="No">
      <formula>NOT(ISERROR(SEARCH(("No"),(N98))))</formula>
    </cfRule>
  </conditionalFormatting>
  <conditionalFormatting sqref="N98:Q99">
    <cfRule type="containsText" dxfId="9" priority="29417" operator="containsText" text="No">
      <formula>NOT(ISERROR(SEARCH(("No"),(N98))))</formula>
    </cfRule>
  </conditionalFormatting>
  <conditionalFormatting sqref="N98:Q99">
    <cfRule type="containsText" dxfId="9" priority="29418" operator="containsText" text="No">
      <formula>NOT(ISERROR(SEARCH(("No"),(N98))))</formula>
    </cfRule>
  </conditionalFormatting>
  <conditionalFormatting sqref="N98:Q99">
    <cfRule type="containsText" dxfId="9" priority="29419" operator="containsText" text="No">
      <formula>NOT(ISERROR(SEARCH(("No"),(N98))))</formula>
    </cfRule>
  </conditionalFormatting>
  <conditionalFormatting sqref="N98:Q99">
    <cfRule type="containsText" dxfId="9" priority="29420" operator="containsText" text="No">
      <formula>NOT(ISERROR(SEARCH(("No"),(N98))))</formula>
    </cfRule>
  </conditionalFormatting>
  <conditionalFormatting sqref="N98:Q99">
    <cfRule type="containsText" dxfId="9" priority="29421" operator="containsText" text="No">
      <formula>NOT(ISERROR(SEARCH(("No"),(N98))))</formula>
    </cfRule>
  </conditionalFormatting>
  <conditionalFormatting sqref="N98:Q99">
    <cfRule type="containsText" dxfId="9" priority="29422" operator="containsText" text="No">
      <formula>NOT(ISERROR(SEARCH(("No"),(N98))))</formula>
    </cfRule>
  </conditionalFormatting>
  <conditionalFormatting sqref="N98:Q99">
    <cfRule type="containsText" dxfId="2" priority="29423" operator="containsText" text="Yes">
      <formula>NOT(ISERROR(SEARCH(("Yes"),(N98))))</formula>
    </cfRule>
  </conditionalFormatting>
  <conditionalFormatting sqref="N98:Q99">
    <cfRule type="containsText" dxfId="2" priority="29424" operator="containsText" text="Yes">
      <formula>NOT(ISERROR(SEARCH(("Yes"),(N98))))</formula>
    </cfRule>
  </conditionalFormatting>
  <conditionalFormatting sqref="N98:Q99">
    <cfRule type="containsText" dxfId="2" priority="29425" operator="containsText" text="Yes">
      <formula>NOT(ISERROR(SEARCH(("Yes"),(N98))))</formula>
    </cfRule>
  </conditionalFormatting>
  <conditionalFormatting sqref="N98:Q99">
    <cfRule type="containsText" dxfId="2" priority="29426" operator="containsText" text="Yes">
      <formula>NOT(ISERROR(SEARCH(("Yes"),(N98))))</formula>
    </cfRule>
  </conditionalFormatting>
  <conditionalFormatting sqref="N98:Q99">
    <cfRule type="containsText" dxfId="2" priority="29427" operator="containsText" text="Yes">
      <formula>NOT(ISERROR(SEARCH(("Yes"),(N98))))</formula>
    </cfRule>
  </conditionalFormatting>
  <conditionalFormatting sqref="N98:Q99">
    <cfRule type="containsText" dxfId="2" priority="29428" operator="containsText" text="Yes">
      <formula>NOT(ISERROR(SEARCH(("Yes"),(N98))))</formula>
    </cfRule>
  </conditionalFormatting>
  <conditionalFormatting sqref="N98:Q99">
    <cfRule type="containsText" dxfId="2" priority="29429" operator="containsText" text="Yes">
      <formula>NOT(ISERROR(SEARCH(("Yes"),(N98))))</formula>
    </cfRule>
  </conditionalFormatting>
  <conditionalFormatting sqref="N98:Q99">
    <cfRule type="containsText" dxfId="2" priority="29430" operator="containsText" text="Yes">
      <formula>NOT(ISERROR(SEARCH(("Yes"),(N98))))</formula>
    </cfRule>
  </conditionalFormatting>
  <conditionalFormatting sqref="N98:Q99">
    <cfRule type="containsText" dxfId="2" priority="29431" operator="containsText" text="Yes">
      <formula>NOT(ISERROR(SEARCH(("Yes"),(N98))))</formula>
    </cfRule>
  </conditionalFormatting>
  <conditionalFormatting sqref="N98:Q99">
    <cfRule type="containsText" dxfId="2" priority="29432" operator="containsText" text="Yes">
      <formula>NOT(ISERROR(SEARCH(("Yes"),(N98))))</formula>
    </cfRule>
  </conditionalFormatting>
  <conditionalFormatting sqref="N98:Q99">
    <cfRule type="containsText" dxfId="2" priority="29433" operator="containsText" text="Yes">
      <formula>NOT(ISERROR(SEARCH(("Yes"),(N98))))</formula>
    </cfRule>
  </conditionalFormatting>
  <conditionalFormatting sqref="N98:Q99">
    <cfRule type="containsText" dxfId="2" priority="29434" operator="containsText" text="Yes">
      <formula>NOT(ISERROR(SEARCH(("Yes"),(N98))))</formula>
    </cfRule>
  </conditionalFormatting>
  <conditionalFormatting sqref="N98:Q99">
    <cfRule type="containsText" dxfId="2" priority="29435" operator="containsText" text="Yes">
      <formula>NOT(ISERROR(SEARCH(("Yes"),(N98))))</formula>
    </cfRule>
  </conditionalFormatting>
  <conditionalFormatting sqref="N98:Q99">
    <cfRule type="containsText" dxfId="2" priority="29436" operator="containsText" text="Yes">
      <formula>NOT(ISERROR(SEARCH(("Yes"),(N98))))</formula>
    </cfRule>
  </conditionalFormatting>
  <conditionalFormatting sqref="N98:Q99">
    <cfRule type="containsText" dxfId="2" priority="29437" operator="containsText" text="Yes">
      <formula>NOT(ISERROR(SEARCH(("Yes"),(N98))))</formula>
    </cfRule>
  </conditionalFormatting>
  <conditionalFormatting sqref="N98:Q99">
    <cfRule type="containsText" dxfId="2" priority="29438" operator="containsText" text="Yes">
      <formula>NOT(ISERROR(SEARCH(("Yes"),(N98))))</formula>
    </cfRule>
  </conditionalFormatting>
  <conditionalFormatting sqref="N98:Q99">
    <cfRule type="containsText" dxfId="2" priority="29439" operator="containsText" text="Yes">
      <formula>NOT(ISERROR(SEARCH(("Yes"),(N98))))</formula>
    </cfRule>
  </conditionalFormatting>
  <conditionalFormatting sqref="N98:Q99">
    <cfRule type="containsText" dxfId="2" priority="29440" operator="containsText" text="Yes">
      <formula>NOT(ISERROR(SEARCH(("Yes"),(N98))))</formula>
    </cfRule>
  </conditionalFormatting>
  <conditionalFormatting sqref="N98:Q99">
    <cfRule type="containsText" dxfId="2" priority="29441" operator="containsText" text="Yes">
      <formula>NOT(ISERROR(SEARCH(("Yes"),(N98))))</formula>
    </cfRule>
  </conditionalFormatting>
  <conditionalFormatting sqref="N98:Q99">
    <cfRule type="containsText" dxfId="2" priority="29442" operator="containsText" text="Yes">
      <formula>NOT(ISERROR(SEARCH(("Yes"),(N98))))</formula>
    </cfRule>
  </conditionalFormatting>
  <conditionalFormatting sqref="N98:Q99">
    <cfRule type="containsText" dxfId="2" priority="29443" operator="containsText" text="Yes">
      <formula>NOT(ISERROR(SEARCH(("Yes"),(N98))))</formula>
    </cfRule>
  </conditionalFormatting>
  <conditionalFormatting sqref="N98:Q99">
    <cfRule type="containsText" dxfId="2" priority="29444" operator="containsText" text="Yes">
      <formula>NOT(ISERROR(SEARCH(("Yes"),(N98))))</formula>
    </cfRule>
  </conditionalFormatting>
  <conditionalFormatting sqref="N98:Q99">
    <cfRule type="containsText" dxfId="2" priority="29445" operator="containsText" text="Yes">
      <formula>NOT(ISERROR(SEARCH(("Yes"),(N98))))</formula>
    </cfRule>
  </conditionalFormatting>
  <conditionalFormatting sqref="N98:Q99">
    <cfRule type="containsText" dxfId="2" priority="29446" operator="containsText" text="Yes">
      <formula>NOT(ISERROR(SEARCH(("Yes"),(N98))))</formula>
    </cfRule>
  </conditionalFormatting>
  <conditionalFormatting sqref="N98:Q99">
    <cfRule type="containsText" dxfId="2" priority="29447" operator="containsText" text="Yes">
      <formula>NOT(ISERROR(SEARCH(("Yes"),(N98))))</formula>
    </cfRule>
  </conditionalFormatting>
  <conditionalFormatting sqref="N98:Q99">
    <cfRule type="containsText" dxfId="2" priority="29448" operator="containsText" text="Yes">
      <formula>NOT(ISERROR(SEARCH(("Yes"),(N98))))</formula>
    </cfRule>
  </conditionalFormatting>
  <conditionalFormatting sqref="N98:Q99">
    <cfRule type="containsText" dxfId="2" priority="29449" operator="containsText" text="Yes">
      <formula>NOT(ISERROR(SEARCH(("Yes"),(N98))))</formula>
    </cfRule>
  </conditionalFormatting>
  <conditionalFormatting sqref="N98:Q99">
    <cfRule type="containsText" dxfId="2" priority="29450" operator="containsText" text="Yes">
      <formula>NOT(ISERROR(SEARCH(("Yes"),(N98))))</formula>
    </cfRule>
  </conditionalFormatting>
  <conditionalFormatting sqref="N98:Q99">
    <cfRule type="containsText" dxfId="2" priority="29451" operator="containsText" text="Yes">
      <formula>NOT(ISERROR(SEARCH(("Yes"),(N98))))</formula>
    </cfRule>
  </conditionalFormatting>
  <conditionalFormatting sqref="N98:Q99">
    <cfRule type="containsText" dxfId="2" priority="29452" operator="containsText" text="Yes">
      <formula>NOT(ISERROR(SEARCH(("Yes"),(N98))))</formula>
    </cfRule>
  </conditionalFormatting>
  <conditionalFormatting sqref="N98:Q99">
    <cfRule type="containsText" dxfId="2" priority="29453" operator="containsText" text="Yes">
      <formula>NOT(ISERROR(SEARCH(("Yes"),(N98))))</formula>
    </cfRule>
  </conditionalFormatting>
  <conditionalFormatting sqref="N98:Q99">
    <cfRule type="containsText" dxfId="2" priority="29454" operator="containsText" text="Yes">
      <formula>NOT(ISERROR(SEARCH(("Yes"),(N98))))</formula>
    </cfRule>
  </conditionalFormatting>
  <conditionalFormatting sqref="N98:Q99">
    <cfRule type="containsText" dxfId="2" priority="29455" operator="containsText" text="Yes">
      <formula>NOT(ISERROR(SEARCH(("Yes"),(N98))))</formula>
    </cfRule>
  </conditionalFormatting>
  <conditionalFormatting sqref="N98:Q99">
    <cfRule type="containsText" dxfId="2" priority="29456" operator="containsText" text="Yes">
      <formula>NOT(ISERROR(SEARCH(("Yes"),(N98))))</formula>
    </cfRule>
  </conditionalFormatting>
  <conditionalFormatting sqref="N98:Q99">
    <cfRule type="containsText" dxfId="2" priority="29457" operator="containsText" text="Yes">
      <formula>NOT(ISERROR(SEARCH(("Yes"),(N98))))</formula>
    </cfRule>
  </conditionalFormatting>
  <conditionalFormatting sqref="N98:Q99">
    <cfRule type="containsText" dxfId="2" priority="29458" operator="containsText" text="Yes">
      <formula>NOT(ISERROR(SEARCH(("Yes"),(N98))))</formula>
    </cfRule>
  </conditionalFormatting>
  <conditionalFormatting sqref="N98:Q99">
    <cfRule type="containsText" dxfId="2" priority="29459" operator="containsText" text="Yes">
      <formula>NOT(ISERROR(SEARCH(("Yes"),(N98))))</formula>
    </cfRule>
  </conditionalFormatting>
  <conditionalFormatting sqref="N98:Q99">
    <cfRule type="containsText" dxfId="2" priority="29460" operator="containsText" text="Yes">
      <formula>NOT(ISERROR(SEARCH(("Yes"),(N98))))</formula>
    </cfRule>
  </conditionalFormatting>
  <conditionalFormatting sqref="N98:Q99">
    <cfRule type="containsText" dxfId="2" priority="29461" operator="containsText" text="Yes">
      <formula>NOT(ISERROR(SEARCH(("Yes"),(N98))))</formula>
    </cfRule>
  </conditionalFormatting>
  <conditionalFormatting sqref="N98:Q99">
    <cfRule type="containsText" dxfId="2" priority="29462" operator="containsText" text="Yes">
      <formula>NOT(ISERROR(SEARCH(("Yes"),(N98))))</formula>
    </cfRule>
  </conditionalFormatting>
  <conditionalFormatting sqref="N98:Q99">
    <cfRule type="containsText" dxfId="2" priority="29463" operator="containsText" text="Yes">
      <formula>NOT(ISERROR(SEARCH(("Yes"),(N98))))</formula>
    </cfRule>
  </conditionalFormatting>
  <conditionalFormatting sqref="N98:Q99">
    <cfRule type="containsText" dxfId="2" priority="29464" operator="containsText" text="Yes">
      <formula>NOT(ISERROR(SEARCH(("Yes"),(N98))))</formula>
    </cfRule>
  </conditionalFormatting>
  <conditionalFormatting sqref="N98:Q99">
    <cfRule type="containsText" dxfId="2" priority="29465" operator="containsText" text="Yes">
      <formula>NOT(ISERROR(SEARCH(("Yes"),(N98))))</formula>
    </cfRule>
  </conditionalFormatting>
  <conditionalFormatting sqref="N98:Q99">
    <cfRule type="containsText" dxfId="2" priority="29466" operator="containsText" text="Yes">
      <formula>NOT(ISERROR(SEARCH(("Yes"),(N98))))</formula>
    </cfRule>
  </conditionalFormatting>
  <conditionalFormatting sqref="N98:Q99">
    <cfRule type="containsText" dxfId="2" priority="29467" operator="containsText" text="Yes">
      <formula>NOT(ISERROR(SEARCH(("Yes"),(N98))))</formula>
    </cfRule>
  </conditionalFormatting>
  <conditionalFormatting sqref="N98:Q99">
    <cfRule type="containsText" dxfId="2" priority="29468" operator="containsText" text="Yes">
      <formula>NOT(ISERROR(SEARCH(("Yes"),(N98))))</formula>
    </cfRule>
  </conditionalFormatting>
  <conditionalFormatting sqref="N98:Q99">
    <cfRule type="containsText" dxfId="2" priority="29469" operator="containsText" text="Yes">
      <formula>NOT(ISERROR(SEARCH(("Yes"),(N98))))</formula>
    </cfRule>
  </conditionalFormatting>
  <conditionalFormatting sqref="N99">
    <cfRule type="containsText" dxfId="9" priority="29470" operator="containsText" text="No">
      <formula>NOT(ISERROR(SEARCH(("No"),(N99))))</formula>
    </cfRule>
  </conditionalFormatting>
  <conditionalFormatting sqref="N99">
    <cfRule type="containsText" dxfId="2" priority="29471" operator="containsText" text="Yes">
      <formula>NOT(ISERROR(SEARCH(("Yes"),(N99))))</formula>
    </cfRule>
  </conditionalFormatting>
  <conditionalFormatting sqref="O99">
    <cfRule type="containsText" dxfId="9" priority="29472" operator="containsText" text="No">
      <formula>NOT(ISERROR(SEARCH(("No"),(O99))))</formula>
    </cfRule>
  </conditionalFormatting>
  <conditionalFormatting sqref="O99">
    <cfRule type="containsText" dxfId="9" priority="29473" operator="containsText" text="No">
      <formula>NOT(ISERROR(SEARCH(("No"),(O99))))</formula>
    </cfRule>
  </conditionalFormatting>
  <conditionalFormatting sqref="O99">
    <cfRule type="containsText" dxfId="9" priority="29474" operator="containsText" text="No">
      <formula>NOT(ISERROR(SEARCH(("No"),(O99))))</formula>
    </cfRule>
  </conditionalFormatting>
  <conditionalFormatting sqref="O99">
    <cfRule type="containsText" dxfId="2" priority="29475" operator="containsText" text="Yes">
      <formula>NOT(ISERROR(SEARCH(("Yes"),(O99))))</formula>
    </cfRule>
  </conditionalFormatting>
  <conditionalFormatting sqref="O99">
    <cfRule type="containsText" dxfId="2" priority="29476" operator="containsText" text="Yes">
      <formula>NOT(ISERROR(SEARCH(("Yes"),(O99))))</formula>
    </cfRule>
  </conditionalFormatting>
  <conditionalFormatting sqref="O99">
    <cfRule type="containsText" dxfId="2" priority="29477" operator="containsText" text="Yes">
      <formula>NOT(ISERROR(SEARCH(("Yes"),(O99))))</formula>
    </cfRule>
  </conditionalFormatting>
  <conditionalFormatting sqref="O99">
    <cfRule type="containsText" dxfId="2" priority="29478" operator="containsText" text="Yes">
      <formula>NOT(ISERROR(SEARCH(("Yes"),(O99))))</formula>
    </cfRule>
  </conditionalFormatting>
  <conditionalFormatting sqref="O99">
    <cfRule type="containsText" dxfId="2" priority="29479" operator="containsText" text="Yes">
      <formula>NOT(ISERROR(SEARCH(("Yes"),(O99))))</formula>
    </cfRule>
  </conditionalFormatting>
  <conditionalFormatting sqref="O99">
    <cfRule type="containsText" dxfId="9" priority="29480" operator="containsText" text="No">
      <formula>NOT(ISERROR(SEARCH(("No"),(O99))))</formula>
    </cfRule>
  </conditionalFormatting>
  <conditionalFormatting sqref="O99">
    <cfRule type="containsText" dxfId="9" priority="29481" operator="containsText" text="No">
      <formula>NOT(ISERROR(SEARCH(("No"),(O99))))</formula>
    </cfRule>
  </conditionalFormatting>
  <conditionalFormatting sqref="O99">
    <cfRule type="containsText" dxfId="2" priority="29482" operator="containsText" text="Yes">
      <formula>NOT(ISERROR(SEARCH(("Yes"),(O99))))</formula>
    </cfRule>
  </conditionalFormatting>
  <conditionalFormatting sqref="P99:Q99">
    <cfRule type="containsText" dxfId="9" priority="29483" operator="containsText" text="No">
      <formula>NOT(ISERROR(SEARCH(("No"),(P99))))</formula>
    </cfRule>
  </conditionalFormatting>
  <conditionalFormatting sqref="P99:Q99">
    <cfRule type="containsText" dxfId="9" priority="29484" operator="containsText" text="No">
      <formula>NOT(ISERROR(SEARCH(("No"),(P99))))</formula>
    </cfRule>
  </conditionalFormatting>
  <conditionalFormatting sqref="P99:Q99">
    <cfRule type="containsText" dxfId="9" priority="29485" operator="containsText" text="No">
      <formula>NOT(ISERROR(SEARCH(("No"),(P99))))</formula>
    </cfRule>
  </conditionalFormatting>
  <conditionalFormatting sqref="P99:Q99">
    <cfRule type="containsText" dxfId="9" priority="29486" operator="containsText" text="No">
      <formula>NOT(ISERROR(SEARCH(("No"),(P99))))</formula>
    </cfRule>
  </conditionalFormatting>
  <conditionalFormatting sqref="P99:Q99">
    <cfRule type="containsText" dxfId="9" priority="29487" operator="containsText" text="No">
      <formula>NOT(ISERROR(SEARCH(("No"),(P99))))</formula>
    </cfRule>
  </conditionalFormatting>
  <conditionalFormatting sqref="P99:Q99">
    <cfRule type="containsText" dxfId="9" priority="29488" operator="containsText" text="No">
      <formula>NOT(ISERROR(SEARCH(("No"),(P99))))</formula>
    </cfRule>
  </conditionalFormatting>
  <conditionalFormatting sqref="P99:Q99">
    <cfRule type="containsText" dxfId="9" priority="29489" operator="containsText" text="No">
      <formula>NOT(ISERROR(SEARCH(("No"),(P99))))</formula>
    </cfRule>
  </conditionalFormatting>
  <conditionalFormatting sqref="P99:Q99">
    <cfRule type="containsText" dxfId="9" priority="29490" operator="containsText" text="No">
      <formula>NOT(ISERROR(SEARCH(("No"),(P99))))</formula>
    </cfRule>
  </conditionalFormatting>
  <conditionalFormatting sqref="P99:Q99">
    <cfRule type="containsText" dxfId="9" priority="29491" operator="containsText" text="No">
      <formula>NOT(ISERROR(SEARCH(("No"),(P99))))</formula>
    </cfRule>
  </conditionalFormatting>
  <conditionalFormatting sqref="P99:Q99">
    <cfRule type="containsText" dxfId="9" priority="29492" operator="containsText" text="No">
      <formula>NOT(ISERROR(SEARCH(("No"),(P99))))</formula>
    </cfRule>
  </conditionalFormatting>
  <conditionalFormatting sqref="P99:Q99">
    <cfRule type="containsText" dxfId="9" priority="29493" operator="containsText" text="No">
      <formula>NOT(ISERROR(SEARCH(("No"),(P99))))</formula>
    </cfRule>
  </conditionalFormatting>
  <conditionalFormatting sqref="P99:Q99">
    <cfRule type="containsText" dxfId="9" priority="29494" operator="containsText" text="No">
      <formula>NOT(ISERROR(SEARCH(("No"),(P99))))</formula>
    </cfRule>
  </conditionalFormatting>
  <conditionalFormatting sqref="P99:Q99">
    <cfRule type="containsText" dxfId="9" priority="29495" operator="containsText" text="No">
      <formula>NOT(ISERROR(SEARCH(("No"),(P99))))</formula>
    </cfRule>
  </conditionalFormatting>
  <conditionalFormatting sqref="P99:Q99">
    <cfRule type="containsText" dxfId="9" priority="29496" operator="containsText" text="No">
      <formula>NOT(ISERROR(SEARCH(("No"),(P99))))</formula>
    </cfRule>
  </conditionalFormatting>
  <conditionalFormatting sqref="P99:Q99">
    <cfRule type="containsText" dxfId="9" priority="29497" operator="containsText" text="No">
      <formula>NOT(ISERROR(SEARCH(("No"),(P99))))</formula>
    </cfRule>
  </conditionalFormatting>
  <conditionalFormatting sqref="P99:Q99">
    <cfRule type="containsText" dxfId="9" priority="29498" operator="containsText" text="No">
      <formula>NOT(ISERROR(SEARCH(("No"),(P99))))</formula>
    </cfRule>
  </conditionalFormatting>
  <conditionalFormatting sqref="P99:Q99">
    <cfRule type="containsText" dxfId="9" priority="29499" operator="containsText" text="No">
      <formula>NOT(ISERROR(SEARCH(("No"),(P99))))</formula>
    </cfRule>
  </conditionalFormatting>
  <conditionalFormatting sqref="P99:Q99">
    <cfRule type="containsText" dxfId="9" priority="29500" operator="containsText" text="No">
      <formula>NOT(ISERROR(SEARCH(("No"),(P99))))</formula>
    </cfRule>
  </conditionalFormatting>
  <conditionalFormatting sqref="P99:Q99">
    <cfRule type="containsText" dxfId="9" priority="29501" operator="containsText" text="No">
      <formula>NOT(ISERROR(SEARCH(("No"),(P99))))</formula>
    </cfRule>
  </conditionalFormatting>
  <conditionalFormatting sqref="P99:Q99">
    <cfRule type="containsText" dxfId="9" priority="29502" operator="containsText" text="No">
      <formula>NOT(ISERROR(SEARCH(("No"),(P99))))</formula>
    </cfRule>
  </conditionalFormatting>
  <conditionalFormatting sqref="P99:Q99">
    <cfRule type="containsText" dxfId="9" priority="29503" operator="containsText" text="No">
      <formula>NOT(ISERROR(SEARCH(("No"),(P99))))</formula>
    </cfRule>
  </conditionalFormatting>
  <conditionalFormatting sqref="P99:Q99">
    <cfRule type="containsText" dxfId="9" priority="29504" operator="containsText" text="No">
      <formula>NOT(ISERROR(SEARCH(("No"),(P99))))</formula>
    </cfRule>
  </conditionalFormatting>
  <conditionalFormatting sqref="P99:Q99">
    <cfRule type="containsText" dxfId="9" priority="29505" operator="containsText" text="No">
      <formula>NOT(ISERROR(SEARCH(("No"),(P99))))</formula>
    </cfRule>
  </conditionalFormatting>
  <conditionalFormatting sqref="P99:Q99">
    <cfRule type="containsText" dxfId="9" priority="29506" operator="containsText" text="No">
      <formula>NOT(ISERROR(SEARCH(("No"),(P99))))</formula>
    </cfRule>
  </conditionalFormatting>
  <conditionalFormatting sqref="P99:Q99">
    <cfRule type="containsText" dxfId="9" priority="29507" operator="containsText" text="No">
      <formula>NOT(ISERROR(SEARCH(("No"),(P99))))</formula>
    </cfRule>
  </conditionalFormatting>
  <conditionalFormatting sqref="P99:Q99">
    <cfRule type="containsText" dxfId="9" priority="29508" operator="containsText" text="No">
      <formula>NOT(ISERROR(SEARCH(("No"),(P99))))</formula>
    </cfRule>
  </conditionalFormatting>
  <conditionalFormatting sqref="P99:Q99">
    <cfRule type="containsText" dxfId="9" priority="29509" operator="containsText" text="No">
      <formula>NOT(ISERROR(SEARCH(("No"),(P99))))</formula>
    </cfRule>
  </conditionalFormatting>
  <conditionalFormatting sqref="P99:Q99">
    <cfRule type="containsText" dxfId="9" priority="29510" operator="containsText" text="No">
      <formula>NOT(ISERROR(SEARCH(("No"),(P99))))</formula>
    </cfRule>
  </conditionalFormatting>
  <conditionalFormatting sqref="P99:Q99">
    <cfRule type="containsText" dxfId="9" priority="29511" operator="containsText" text="No">
      <formula>NOT(ISERROR(SEARCH(("No"),(P99))))</formula>
    </cfRule>
  </conditionalFormatting>
  <conditionalFormatting sqref="P99:Q99">
    <cfRule type="containsText" dxfId="9" priority="29512" operator="containsText" text="No">
      <formula>NOT(ISERROR(SEARCH(("No"),(P99))))</formula>
    </cfRule>
  </conditionalFormatting>
  <conditionalFormatting sqref="P99:Q99">
    <cfRule type="containsText" dxfId="9" priority="29513" operator="containsText" text="No">
      <formula>NOT(ISERROR(SEARCH(("No"),(P99))))</formula>
    </cfRule>
  </conditionalFormatting>
  <conditionalFormatting sqref="P99:Q99">
    <cfRule type="containsText" dxfId="9" priority="29514" operator="containsText" text="No">
      <formula>NOT(ISERROR(SEARCH(("No"),(P99))))</formula>
    </cfRule>
  </conditionalFormatting>
  <conditionalFormatting sqref="P99:Q99">
    <cfRule type="containsText" dxfId="9" priority="29515" operator="containsText" text="No">
      <formula>NOT(ISERROR(SEARCH(("No"),(P99))))</formula>
    </cfRule>
  </conditionalFormatting>
  <conditionalFormatting sqref="P99:Q99">
    <cfRule type="containsText" dxfId="9" priority="29516" operator="containsText" text="No">
      <formula>NOT(ISERROR(SEARCH(("No"),(P99))))</formula>
    </cfRule>
  </conditionalFormatting>
  <conditionalFormatting sqref="P99:Q99">
    <cfRule type="containsText" dxfId="9" priority="29517" operator="containsText" text="No">
      <formula>NOT(ISERROR(SEARCH(("No"),(P99))))</formula>
    </cfRule>
  </conditionalFormatting>
  <conditionalFormatting sqref="P99:Q99">
    <cfRule type="containsText" dxfId="9" priority="29518" operator="containsText" text="No">
      <formula>NOT(ISERROR(SEARCH(("No"),(P99))))</formula>
    </cfRule>
  </conditionalFormatting>
  <conditionalFormatting sqref="P99:Q99">
    <cfRule type="containsText" dxfId="9" priority="29519" operator="containsText" text="No">
      <formula>NOT(ISERROR(SEARCH(("No"),(P99))))</formula>
    </cfRule>
  </conditionalFormatting>
  <conditionalFormatting sqref="P99:Q99">
    <cfRule type="containsText" dxfId="9" priority="29520" operator="containsText" text="No">
      <formula>NOT(ISERROR(SEARCH(("No"),(P99))))</formula>
    </cfRule>
  </conditionalFormatting>
  <conditionalFormatting sqref="P99:Q99">
    <cfRule type="containsText" dxfId="9" priority="29521" operator="containsText" text="No">
      <formula>NOT(ISERROR(SEARCH(("No"),(P99))))</formula>
    </cfRule>
  </conditionalFormatting>
  <conditionalFormatting sqref="P99:Q99">
    <cfRule type="containsText" dxfId="9" priority="29522" operator="containsText" text="No">
      <formula>NOT(ISERROR(SEARCH(("No"),(P99))))</formula>
    </cfRule>
  </conditionalFormatting>
  <conditionalFormatting sqref="P99:Q99">
    <cfRule type="containsText" dxfId="9" priority="29523" operator="containsText" text="No">
      <formula>NOT(ISERROR(SEARCH(("No"),(P99))))</formula>
    </cfRule>
  </conditionalFormatting>
  <conditionalFormatting sqref="P99:Q99">
    <cfRule type="containsText" dxfId="9" priority="29524" operator="containsText" text="No">
      <formula>NOT(ISERROR(SEARCH(("No"),(P99))))</formula>
    </cfRule>
  </conditionalFormatting>
  <conditionalFormatting sqref="P99:Q99">
    <cfRule type="containsText" dxfId="9" priority="29525" operator="containsText" text="No">
      <formula>NOT(ISERROR(SEARCH(("No"),(P99))))</formula>
    </cfRule>
  </conditionalFormatting>
  <conditionalFormatting sqref="P99:Q99">
    <cfRule type="containsText" dxfId="9" priority="29526" operator="containsText" text="No">
      <formula>NOT(ISERROR(SEARCH(("No"),(P99))))</formula>
    </cfRule>
  </conditionalFormatting>
  <conditionalFormatting sqref="P99:Q99">
    <cfRule type="containsText" dxfId="9" priority="29527" operator="containsText" text="No">
      <formula>NOT(ISERROR(SEARCH(("No"),(P99))))</formula>
    </cfRule>
  </conditionalFormatting>
  <conditionalFormatting sqref="P99:Q99">
    <cfRule type="containsText" dxfId="2" priority="29528" operator="containsText" text="Yes">
      <formula>NOT(ISERROR(SEARCH(("Yes"),(P99))))</formula>
    </cfRule>
  </conditionalFormatting>
  <conditionalFormatting sqref="P99:Q99">
    <cfRule type="containsText" dxfId="2" priority="29529" operator="containsText" text="Yes">
      <formula>NOT(ISERROR(SEARCH(("Yes"),(P99))))</formula>
    </cfRule>
  </conditionalFormatting>
  <conditionalFormatting sqref="P99:Q99">
    <cfRule type="containsText" dxfId="2" priority="29530" operator="containsText" text="Yes">
      <formula>NOT(ISERROR(SEARCH(("Yes"),(P99))))</formula>
    </cfRule>
  </conditionalFormatting>
  <conditionalFormatting sqref="P99:Q99">
    <cfRule type="containsText" dxfId="2" priority="29531" operator="containsText" text="Yes">
      <formula>NOT(ISERROR(SEARCH(("Yes"),(P99))))</formula>
    </cfRule>
  </conditionalFormatting>
  <conditionalFormatting sqref="P99:Q99">
    <cfRule type="containsText" dxfId="2" priority="29532" operator="containsText" text="Yes">
      <formula>NOT(ISERROR(SEARCH(("Yes"),(P99))))</formula>
    </cfRule>
  </conditionalFormatting>
  <conditionalFormatting sqref="P99:Q99">
    <cfRule type="containsText" dxfId="2" priority="29533" operator="containsText" text="Yes">
      <formula>NOT(ISERROR(SEARCH(("Yes"),(P99))))</formula>
    </cfRule>
  </conditionalFormatting>
  <conditionalFormatting sqref="P99:Q99">
    <cfRule type="containsText" dxfId="2" priority="29534" operator="containsText" text="Yes">
      <formula>NOT(ISERROR(SEARCH(("Yes"),(P99))))</formula>
    </cfRule>
  </conditionalFormatting>
  <conditionalFormatting sqref="P99:Q99">
    <cfRule type="containsText" dxfId="2" priority="29535" operator="containsText" text="Yes">
      <formula>NOT(ISERROR(SEARCH(("Yes"),(P99))))</formula>
    </cfRule>
  </conditionalFormatting>
  <conditionalFormatting sqref="P99:Q99">
    <cfRule type="containsText" dxfId="2" priority="29536" operator="containsText" text="Yes">
      <formula>NOT(ISERROR(SEARCH(("Yes"),(P99))))</formula>
    </cfRule>
  </conditionalFormatting>
  <conditionalFormatting sqref="P99:Q99">
    <cfRule type="containsText" dxfId="2" priority="29537" operator="containsText" text="Yes">
      <formula>NOT(ISERROR(SEARCH(("Yes"),(P99))))</formula>
    </cfRule>
  </conditionalFormatting>
  <conditionalFormatting sqref="P99:Q99">
    <cfRule type="containsText" dxfId="2" priority="29538" operator="containsText" text="Yes">
      <formula>NOT(ISERROR(SEARCH(("Yes"),(P99))))</formula>
    </cfRule>
  </conditionalFormatting>
  <conditionalFormatting sqref="P99:Q99">
    <cfRule type="containsText" dxfId="2" priority="29539" operator="containsText" text="Yes">
      <formula>NOT(ISERROR(SEARCH(("Yes"),(P99))))</formula>
    </cfRule>
  </conditionalFormatting>
  <conditionalFormatting sqref="P99:Q99">
    <cfRule type="containsText" dxfId="2" priority="29540" operator="containsText" text="Yes">
      <formula>NOT(ISERROR(SEARCH(("Yes"),(P99))))</formula>
    </cfRule>
  </conditionalFormatting>
  <conditionalFormatting sqref="P99:Q99">
    <cfRule type="containsText" dxfId="2" priority="29541" operator="containsText" text="Yes">
      <formula>NOT(ISERROR(SEARCH(("Yes"),(P99))))</formula>
    </cfRule>
  </conditionalFormatting>
  <conditionalFormatting sqref="P99:Q99">
    <cfRule type="containsText" dxfId="2" priority="29542" operator="containsText" text="Yes">
      <formula>NOT(ISERROR(SEARCH(("Yes"),(P99))))</formula>
    </cfRule>
  </conditionalFormatting>
  <conditionalFormatting sqref="P99:Q99">
    <cfRule type="containsText" dxfId="2" priority="29543" operator="containsText" text="Yes">
      <formula>NOT(ISERROR(SEARCH(("Yes"),(P99))))</formula>
    </cfRule>
  </conditionalFormatting>
  <conditionalFormatting sqref="P99:Q99">
    <cfRule type="containsText" dxfId="2" priority="29544" operator="containsText" text="Yes">
      <formula>NOT(ISERROR(SEARCH(("Yes"),(P99))))</formula>
    </cfRule>
  </conditionalFormatting>
  <conditionalFormatting sqref="P99:Q99">
    <cfRule type="containsText" dxfId="2" priority="29545" operator="containsText" text="Yes">
      <formula>NOT(ISERROR(SEARCH(("Yes"),(P99))))</formula>
    </cfRule>
  </conditionalFormatting>
  <conditionalFormatting sqref="P99:Q99">
    <cfRule type="containsText" dxfId="2" priority="29546" operator="containsText" text="Yes">
      <formula>NOT(ISERROR(SEARCH(("Yes"),(P99))))</formula>
    </cfRule>
  </conditionalFormatting>
  <conditionalFormatting sqref="P99:Q99">
    <cfRule type="containsText" dxfId="2" priority="29547" operator="containsText" text="Yes">
      <formula>NOT(ISERROR(SEARCH(("Yes"),(P99))))</formula>
    </cfRule>
  </conditionalFormatting>
  <conditionalFormatting sqref="P99:Q99">
    <cfRule type="containsText" dxfId="2" priority="29548" operator="containsText" text="Yes">
      <formula>NOT(ISERROR(SEARCH(("Yes"),(P99))))</formula>
    </cfRule>
  </conditionalFormatting>
  <conditionalFormatting sqref="P99:Q99">
    <cfRule type="containsText" dxfId="2" priority="29549" operator="containsText" text="Yes">
      <formula>NOT(ISERROR(SEARCH(("Yes"),(P99))))</formula>
    </cfRule>
  </conditionalFormatting>
  <conditionalFormatting sqref="P99:Q99">
    <cfRule type="containsText" dxfId="2" priority="29550" operator="containsText" text="Yes">
      <formula>NOT(ISERROR(SEARCH(("Yes"),(P99))))</formula>
    </cfRule>
  </conditionalFormatting>
  <conditionalFormatting sqref="P99:Q99">
    <cfRule type="containsText" dxfId="2" priority="29551" operator="containsText" text="Yes">
      <formula>NOT(ISERROR(SEARCH(("Yes"),(P99))))</formula>
    </cfRule>
  </conditionalFormatting>
  <conditionalFormatting sqref="P99:Q99">
    <cfRule type="containsText" dxfId="2" priority="29552" operator="containsText" text="Yes">
      <formula>NOT(ISERROR(SEARCH(("Yes"),(P99))))</formula>
    </cfRule>
  </conditionalFormatting>
  <conditionalFormatting sqref="P99:Q99">
    <cfRule type="containsText" dxfId="2" priority="29553" operator="containsText" text="Yes">
      <formula>NOT(ISERROR(SEARCH(("Yes"),(P99))))</formula>
    </cfRule>
  </conditionalFormatting>
  <conditionalFormatting sqref="P99:Q99">
    <cfRule type="containsText" dxfId="2" priority="29554" operator="containsText" text="Yes">
      <formula>NOT(ISERROR(SEARCH(("Yes"),(P99))))</formula>
    </cfRule>
  </conditionalFormatting>
  <conditionalFormatting sqref="P99:Q99">
    <cfRule type="containsText" dxfId="2" priority="29555" operator="containsText" text="Yes">
      <formula>NOT(ISERROR(SEARCH(("Yes"),(P99))))</formula>
    </cfRule>
  </conditionalFormatting>
  <conditionalFormatting sqref="P99:Q99">
    <cfRule type="containsText" dxfId="2" priority="29556" operator="containsText" text="Yes">
      <formula>NOT(ISERROR(SEARCH(("Yes"),(P99))))</formula>
    </cfRule>
  </conditionalFormatting>
  <conditionalFormatting sqref="P99:Q99">
    <cfRule type="containsText" dxfId="2" priority="29557" operator="containsText" text="Yes">
      <formula>NOT(ISERROR(SEARCH(("Yes"),(P99))))</formula>
    </cfRule>
  </conditionalFormatting>
  <conditionalFormatting sqref="P99:Q99">
    <cfRule type="containsText" dxfId="2" priority="29558" operator="containsText" text="Yes">
      <formula>NOT(ISERROR(SEARCH(("Yes"),(P99))))</formula>
    </cfRule>
  </conditionalFormatting>
  <conditionalFormatting sqref="P99:Q99">
    <cfRule type="containsText" dxfId="2" priority="29559" operator="containsText" text="Yes">
      <formula>NOT(ISERROR(SEARCH(("Yes"),(P99))))</formula>
    </cfRule>
  </conditionalFormatting>
  <conditionalFormatting sqref="P99:Q99">
    <cfRule type="containsText" dxfId="2" priority="29560" operator="containsText" text="Yes">
      <formula>NOT(ISERROR(SEARCH(("Yes"),(P99))))</formula>
    </cfRule>
  </conditionalFormatting>
  <conditionalFormatting sqref="P99:Q99">
    <cfRule type="containsText" dxfId="2" priority="29561" operator="containsText" text="Yes">
      <formula>NOT(ISERROR(SEARCH(("Yes"),(P99))))</formula>
    </cfRule>
  </conditionalFormatting>
  <conditionalFormatting sqref="P99:Q99">
    <cfRule type="containsText" dxfId="2" priority="29562" operator="containsText" text="Yes">
      <formula>NOT(ISERROR(SEARCH(("Yes"),(P99))))</formula>
    </cfRule>
  </conditionalFormatting>
  <conditionalFormatting sqref="P99:Q99">
    <cfRule type="containsText" dxfId="2" priority="29563" operator="containsText" text="Yes">
      <formula>NOT(ISERROR(SEARCH(("Yes"),(P99))))</formula>
    </cfRule>
  </conditionalFormatting>
  <conditionalFormatting sqref="P99:Q99">
    <cfRule type="containsText" dxfId="2" priority="29564" operator="containsText" text="Yes">
      <formula>NOT(ISERROR(SEARCH(("Yes"),(P99))))</formula>
    </cfRule>
  </conditionalFormatting>
  <conditionalFormatting sqref="P99:Q99">
    <cfRule type="containsText" dxfId="2" priority="29565" operator="containsText" text="Yes">
      <formula>NOT(ISERROR(SEARCH(("Yes"),(P99))))</formula>
    </cfRule>
  </conditionalFormatting>
  <conditionalFormatting sqref="P99:Q99">
    <cfRule type="containsText" dxfId="2" priority="29566" operator="containsText" text="Yes">
      <formula>NOT(ISERROR(SEARCH(("Yes"),(P99))))</formula>
    </cfRule>
  </conditionalFormatting>
  <conditionalFormatting sqref="P99:Q99">
    <cfRule type="containsText" dxfId="2" priority="29567" operator="containsText" text="Yes">
      <formula>NOT(ISERROR(SEARCH(("Yes"),(P99))))</formula>
    </cfRule>
  </conditionalFormatting>
  <conditionalFormatting sqref="P99:Q99">
    <cfRule type="containsText" dxfId="2" priority="29568" operator="containsText" text="Yes">
      <formula>NOT(ISERROR(SEARCH(("Yes"),(P99))))</formula>
    </cfRule>
  </conditionalFormatting>
  <conditionalFormatting sqref="P99:Q99">
    <cfRule type="containsText" dxfId="2" priority="29569" operator="containsText" text="Yes">
      <formula>NOT(ISERROR(SEARCH(("Yes"),(P99))))</formula>
    </cfRule>
  </conditionalFormatting>
  <conditionalFormatting sqref="P99:Q99">
    <cfRule type="containsText" dxfId="2" priority="29570" operator="containsText" text="Yes">
      <formula>NOT(ISERROR(SEARCH(("Yes"),(P99))))</formula>
    </cfRule>
  </conditionalFormatting>
  <conditionalFormatting sqref="P99:Q99">
    <cfRule type="containsText" dxfId="2" priority="29571" operator="containsText" text="Yes">
      <formula>NOT(ISERROR(SEARCH(("Yes"),(P99))))</formula>
    </cfRule>
  </conditionalFormatting>
  <conditionalFormatting sqref="P99:Q99">
    <cfRule type="containsText" dxfId="2" priority="29572" operator="containsText" text="Yes">
      <formula>NOT(ISERROR(SEARCH(("Yes"),(P99))))</formula>
    </cfRule>
  </conditionalFormatting>
  <conditionalFormatting sqref="P99:Q99">
    <cfRule type="containsText" dxfId="2" priority="29573" operator="containsText" text="Yes">
      <formula>NOT(ISERROR(SEARCH(("Yes"),(P99))))</formula>
    </cfRule>
  </conditionalFormatting>
  <conditionalFormatting sqref="P99:Q99">
    <cfRule type="containsText" dxfId="2" priority="29574" operator="containsText" text="Yes">
      <formula>NOT(ISERROR(SEARCH(("Yes"),(P99))))</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75"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76"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77"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78"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79"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80"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81"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82"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83"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84"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85"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86"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87"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88"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89"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90"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91"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92"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93"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94"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95"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96"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97"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98"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599"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00"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01"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02"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03"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04"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05"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06"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07"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08"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09"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10"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11"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12"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13"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14"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15"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16"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17"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18"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9" priority="29619" operator="containsText" text="No">
      <formula>NOT(ISERROR(SEARCH(("No"),(N100))))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20"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21"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22"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23"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24"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25"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26"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27"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28"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29"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30"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31"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32"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33"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34"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35"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36"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37"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38"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39"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40"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41"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42"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43"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44"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45"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46"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47"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48"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49"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50"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51"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52"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53"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54"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55"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56"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57"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58"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59"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60"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61"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62"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63"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64"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65" operator="containsText" text="Yes">
      <formula>NOT(ISERROR(SEARCH(("Yes"),(N100))))</formula>
    </cfRule>
  </conditionalFormatting>
  <conditionalFormatting sqref="N100:Q101 N112:Q113 N115:Q118 N121:N126 O121:O133 P121:Q126 N128:N133 P128:Q133 N136:Q139 N142:Q143 N146:Q152 N154 O154:O155 P154:Q154 N159:Q159 N161:Q162 N164:O167 P164:Q164 P166:Q167 N170:O170 N172:Q172 N174:Q174 N176:Q176 N180:Q182 N184:Q184">
    <cfRule type="containsText" dxfId="2" priority="29666" operator="containsText" text="Yes">
      <formula>NOT(ISERROR(SEARCH(("Yes"),(N100))))</formula>
    </cfRule>
  </conditionalFormatting>
  <conditionalFormatting sqref="N101:N103 N106:N109 N112:N134 O122:P133 Q122:Q126 Q128:Q133 N136:N152 O136:Q139 O142:Q143 O146:Q152 N154 O154:O155 P154:Q154 N159:Q159 N161:Q162 N164:O167 P164:Q164 P166:Q167 N170:O170 N172:Q172 N174:Q174 N176:Q176 N180:Q182 N184:Q184 N187:N216 O203 O205:O214 N222:N226 N228:N252 N254:N256 N258:N264 N267:N269 N272:N273 N275">
    <cfRule type="containsText" dxfId="9" priority="29667" operator="containsText" text="No">
      <formula>NOT(ISERROR(SEARCH(("No"),(N101))))</formula>
    </cfRule>
  </conditionalFormatting>
  <conditionalFormatting sqref="N101:N103 N106:N109 N112:N134 O122:P133 Q122:Q126 Q128:Q133 N136:N152 O136:Q139 O142:Q143 O146:Q152 N154 O154:O155 P154:Q154 N159:Q159 N161:Q162 N164:O167 P164:Q164 P166:Q167 N170:O170 N172:Q172 N174:Q174 N176:Q176 N180:Q182 N184:Q184 N187:N216 O203 O205:O214 N222:N226 N228:N252 N254:N256 N258:N264 N267:N269 N272:N273 N275">
    <cfRule type="containsText" dxfId="2" priority="29668" operator="containsText" text="Yes">
      <formula>NOT(ISERROR(SEARCH(("Yes"),(N101))))</formula>
    </cfRule>
  </conditionalFormatting>
  <conditionalFormatting sqref="O101:O103 O106:O110 O112:O226 Q127 N139 P145 P150 N162 N164:N167 N170 N172 N174 N176 N180:N182 N184 N187:N216 N222:N226 N228:O252 N254:O256 N258:O264 N267:O269 N272:O273 N275:O275">
    <cfRule type="containsText" dxfId="9" priority="29669" operator="containsText" text="No">
      <formula>NOT(ISERROR(SEARCH(("No"),(O101))))</formula>
    </cfRule>
  </conditionalFormatting>
  <conditionalFormatting sqref="O101:O103 O106:O110 O112:O226 Q127 N139 P145 P150 N162 N164:N167 N170 N172 N174 N176 N180:N182 N184 N187:N216 N222:N226 N228:O252 N254:O256 N258:O264 N267:O269 N272:O273 N275:O275">
    <cfRule type="containsText" dxfId="9" priority="29670" operator="containsText" text="No">
      <formula>NOT(ISERROR(SEARCH(("No"),(O101))))</formula>
    </cfRule>
  </conditionalFormatting>
  <conditionalFormatting sqref="O101:O103 O106:O110 O112:O226 Q127 N139 P145 P150 N162 N164:N167 N170 N172 N174 N176 N180:N182 N184 N187:N216 N222:N226 N228:O252 N254:O256 N258:O264 N267:O269 N272:O273 N275:O275">
    <cfRule type="containsText" dxfId="9" priority="29671" operator="containsText" text="No">
      <formula>NOT(ISERROR(SEARCH(("No"),(O101))))</formula>
    </cfRule>
  </conditionalFormatting>
  <conditionalFormatting sqref="O101:O103 O106:O110 O112:O226 Q127 N139 P145 P150 N162 N164:N167 N170 N172 N174 N176 N180:N182 N184 N187:N216 N222:N226 N228:O252 N254:O256 N258:O264 N267:O269 N272:O273 N275:O275">
    <cfRule type="containsText" dxfId="2" priority="29672" operator="containsText" text="Yes">
      <formula>NOT(ISERROR(SEARCH(("Yes"),(O101))))</formula>
    </cfRule>
  </conditionalFormatting>
  <conditionalFormatting sqref="O101:O103 O106:O110 O112:O226 Q127 N139 P145 P150 N162 N164:N167 N170 N172 N174 N176 N180:N182 N184 N187:N216 N222:N226 N228:O252 N254:O256 N258:O264 N267:O269 N272:O273 N275:O275">
    <cfRule type="containsText" dxfId="2" priority="29673" operator="containsText" text="Yes">
      <formula>NOT(ISERROR(SEARCH(("Yes"),(O101))))</formula>
    </cfRule>
  </conditionalFormatting>
  <conditionalFormatting sqref="O101:O103 O106:O110 O112:O226 Q127 N139 P145 P150 N162 N164:N167 N170 N172 N174 N176 N180:N182 N184 N187:N216 N222:N226 N228:O252 N254:O256 N258:O264 N267:O269 N272:O273 N275:O275">
    <cfRule type="containsText" dxfId="2" priority="29674" operator="containsText" text="Yes">
      <formula>NOT(ISERROR(SEARCH(("Yes"),(O101))))</formula>
    </cfRule>
  </conditionalFormatting>
  <conditionalFormatting sqref="O101:O103 O106:O110 O112:O226 Q127 N139 P145 P150 N162 N164:N167 N170 N172 N174 N176 N180:N182 N184 N187:N216 N222:N226 N228:O252 N254:O256 N258:O264 N267:O269 N272:O273 N275:O275">
    <cfRule type="containsText" dxfId="2" priority="29675" operator="containsText" text="Yes">
      <formula>NOT(ISERROR(SEARCH(("Yes"),(O101))))</formula>
    </cfRule>
  </conditionalFormatting>
  <conditionalFormatting sqref="O101:O103 O106:O110 O112:O226 Q127 N139 P145 P150 N162 N164:N167 N170 N172 N174 N176 N180:N182 N184 N187:N216 N222:N226 N228:O252 N254:O256 N258:O264 N267:O269 N272:O273 N275:O275">
    <cfRule type="containsText" dxfId="2" priority="29676" operator="containsText" text="Yes">
      <formula>NOT(ISERROR(SEARCH(("Yes"),(O101))))</formula>
    </cfRule>
  </conditionalFormatting>
  <conditionalFormatting sqref="O101:O103 O106:O110 O112:O226 Q127 N139 P145 P150 N162 N164:N167 N170 N172 N174 N176 N180:N182 N184 N187:N216 N222:N226 N228:O252 N254:O256 N258:O264 N267:O269 N272:O273 N275:O275">
    <cfRule type="containsText" dxfId="9" priority="29677" operator="containsText" text="No">
      <formula>NOT(ISERROR(SEARCH(("No"),(O101))))</formula>
    </cfRule>
  </conditionalFormatting>
  <conditionalFormatting sqref="O101:O103 O106:O110 O112:O226 Q127 N139 P145 P150 N162 N164:N167 N170 N172 N174 N176 N180:N182 N184 N187:N216 N222:N226 N228:O252 N254:O256 N258:O264 N267:O269 N272:O273 N275:O275">
    <cfRule type="containsText" dxfId="9" priority="29678" operator="containsText" text="No">
      <formula>NOT(ISERROR(SEARCH(("No"),(O101))))</formula>
    </cfRule>
  </conditionalFormatting>
  <conditionalFormatting sqref="O101:O103 O106:O110 O112:O226 Q127 N139 P145 P150 N162 N164:N167 N170 N172 N174 N176 N180:N182 N184 N187:N216 N222:N226 N228:O252 N254:O256 N258:O264 N267:O269 N272:O273 N275:O275">
    <cfRule type="containsText" dxfId="2" priority="29679" operator="containsText" text="Yes">
      <formula>NOT(ISERROR(SEARCH(("Yes"),(O101))))</formula>
    </cfRule>
  </conditionalFormatting>
  <conditionalFormatting sqref="P101:Q101 P112:Q113 P115:Q118 P121:Q126 P128:Q133 P136:Q139 P142:Q143 P146:Q152 P154:Q154 P159:Q159 P161:Q162 P164:Q164 P166:Q167 P172:Q172 P174:Q174 P176:Q176 P180:Q182 P184:Q184">
    <cfRule type="containsText" dxfId="9" priority="29680"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81"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82"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83"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84"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85"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86"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87"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88"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89"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90"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91"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92"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93"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94"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95"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96"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97"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98"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699"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00"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01"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02"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03"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04"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05"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06"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07"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08"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09"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10"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11"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12"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13"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14"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15"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16"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17"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18"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19"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20"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21"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22"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23"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9" priority="29724" operator="containsText" text="No">
      <formula>NOT(ISERROR(SEARCH(("No"),(P101))))</formula>
    </cfRule>
  </conditionalFormatting>
  <conditionalFormatting sqref="P101:Q101 P112:Q113 P115:Q118 P121:Q126 P128:Q133 P136:Q139 P142:Q143 P146:Q152 P154:Q154 P159:Q159 P161:Q162 P164:Q164 P166:Q167 P172:Q172 P174:Q174 P176:Q176 P180:Q182 P184:Q184">
    <cfRule type="containsText" dxfId="2" priority="29725"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26"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27"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28"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29"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30"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31"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32"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33"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34"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35"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36"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37"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38"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39"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40"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41"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42"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43"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44"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45"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46"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47"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48"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49"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50"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51"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52"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53"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54"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55"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56"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57"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58"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59"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60"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61"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62"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63"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64"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65"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66"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67"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68"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69"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70" operator="containsText" text="Yes">
      <formula>NOT(ISERROR(SEARCH(("Yes"),(P101))))</formula>
    </cfRule>
  </conditionalFormatting>
  <conditionalFormatting sqref="P101:Q101 P112:Q113 P115:Q118 P121:Q126 P128:Q133 P136:Q139 P142:Q143 P146:Q152 P154:Q154 P159:Q159 P161:Q162 P164:Q164 P166:Q167 P172:Q172 P174:Q174 P176:Q176 P180:Q182 P184:Q184">
    <cfRule type="containsText" dxfId="2" priority="29771" operator="containsText" text="Yes">
      <formula>NOT(ISERROR(SEARCH(("Yes"),(P101))))</formula>
    </cfRule>
  </conditionalFormatting>
  <conditionalFormatting sqref="P102:Q103">
    <cfRule type="containsText" dxfId="9" priority="29772" operator="containsText" text="No">
      <formula>NOT(ISERROR(SEARCH(("No"),(P102))))</formula>
    </cfRule>
  </conditionalFormatting>
  <conditionalFormatting sqref="P102:Q103">
    <cfRule type="containsText" dxfId="9" priority="29773" operator="containsText" text="No">
      <formula>NOT(ISERROR(SEARCH(("No"),(P102))))</formula>
    </cfRule>
  </conditionalFormatting>
  <conditionalFormatting sqref="P102:Q103">
    <cfRule type="containsText" dxfId="9" priority="29774" operator="containsText" text="No">
      <formula>NOT(ISERROR(SEARCH(("No"),(P102))))</formula>
    </cfRule>
  </conditionalFormatting>
  <conditionalFormatting sqref="P102:Q103">
    <cfRule type="containsText" dxfId="9" priority="29775" operator="containsText" text="No">
      <formula>NOT(ISERROR(SEARCH(("No"),(P102))))</formula>
    </cfRule>
  </conditionalFormatting>
  <conditionalFormatting sqref="P102:Q103">
    <cfRule type="containsText" dxfId="9" priority="29776" operator="containsText" text="No">
      <formula>NOT(ISERROR(SEARCH(("No"),(P102))))</formula>
    </cfRule>
  </conditionalFormatting>
  <conditionalFormatting sqref="P102:Q103">
    <cfRule type="containsText" dxfId="9" priority="29777" operator="containsText" text="No">
      <formula>NOT(ISERROR(SEARCH(("No"),(P102))))</formula>
    </cfRule>
  </conditionalFormatting>
  <conditionalFormatting sqref="P102:Q103">
    <cfRule type="containsText" dxfId="9" priority="29778" operator="containsText" text="No">
      <formula>NOT(ISERROR(SEARCH(("No"),(P102))))</formula>
    </cfRule>
  </conditionalFormatting>
  <conditionalFormatting sqref="P102:Q103">
    <cfRule type="containsText" dxfId="9" priority="29779" operator="containsText" text="No">
      <formula>NOT(ISERROR(SEARCH(("No"),(P102))))</formula>
    </cfRule>
  </conditionalFormatting>
  <conditionalFormatting sqref="P102:Q103">
    <cfRule type="containsText" dxfId="9" priority="29780" operator="containsText" text="No">
      <formula>NOT(ISERROR(SEARCH(("No"),(P102))))</formula>
    </cfRule>
  </conditionalFormatting>
  <conditionalFormatting sqref="P102:Q103">
    <cfRule type="containsText" dxfId="9" priority="29781" operator="containsText" text="No">
      <formula>NOT(ISERROR(SEARCH(("No"),(P102))))</formula>
    </cfRule>
  </conditionalFormatting>
  <conditionalFormatting sqref="P102:Q103">
    <cfRule type="containsText" dxfId="9" priority="29782" operator="containsText" text="No">
      <formula>NOT(ISERROR(SEARCH(("No"),(P102))))</formula>
    </cfRule>
  </conditionalFormatting>
  <conditionalFormatting sqref="P102:Q103">
    <cfRule type="containsText" dxfId="9" priority="29783" operator="containsText" text="No">
      <formula>NOT(ISERROR(SEARCH(("No"),(P102))))</formula>
    </cfRule>
  </conditionalFormatting>
  <conditionalFormatting sqref="P102:Q103">
    <cfRule type="containsText" dxfId="9" priority="29784" operator="containsText" text="No">
      <formula>NOT(ISERROR(SEARCH(("No"),(P102))))</formula>
    </cfRule>
  </conditionalFormatting>
  <conditionalFormatting sqref="P102:Q103">
    <cfRule type="containsText" dxfId="9" priority="29785" operator="containsText" text="No">
      <formula>NOT(ISERROR(SEARCH(("No"),(P102))))</formula>
    </cfRule>
  </conditionalFormatting>
  <conditionalFormatting sqref="P102:Q103">
    <cfRule type="containsText" dxfId="9" priority="29786" operator="containsText" text="No">
      <formula>NOT(ISERROR(SEARCH(("No"),(P102))))</formula>
    </cfRule>
  </conditionalFormatting>
  <conditionalFormatting sqref="P102:Q103">
    <cfRule type="containsText" dxfId="9" priority="29787" operator="containsText" text="No">
      <formula>NOT(ISERROR(SEARCH(("No"),(P102))))</formula>
    </cfRule>
  </conditionalFormatting>
  <conditionalFormatting sqref="P102:Q103">
    <cfRule type="containsText" dxfId="9" priority="29788" operator="containsText" text="No">
      <formula>NOT(ISERROR(SEARCH(("No"),(P102))))</formula>
    </cfRule>
  </conditionalFormatting>
  <conditionalFormatting sqref="P102:Q103">
    <cfRule type="containsText" dxfId="9" priority="29789" operator="containsText" text="No">
      <formula>NOT(ISERROR(SEARCH(("No"),(P102))))</formula>
    </cfRule>
  </conditionalFormatting>
  <conditionalFormatting sqref="P102:Q103">
    <cfRule type="containsText" dxfId="9" priority="29790" operator="containsText" text="No">
      <formula>NOT(ISERROR(SEARCH(("No"),(P102))))</formula>
    </cfRule>
  </conditionalFormatting>
  <conditionalFormatting sqref="P102:Q103">
    <cfRule type="containsText" dxfId="9" priority="29791" operator="containsText" text="No">
      <formula>NOT(ISERROR(SEARCH(("No"),(P102))))</formula>
    </cfRule>
  </conditionalFormatting>
  <conditionalFormatting sqref="P102:Q103">
    <cfRule type="containsText" dxfId="9" priority="29792" operator="containsText" text="No">
      <formula>NOT(ISERROR(SEARCH(("No"),(P102))))</formula>
    </cfRule>
  </conditionalFormatting>
  <conditionalFormatting sqref="P102:Q103">
    <cfRule type="containsText" dxfId="9" priority="29793" operator="containsText" text="No">
      <formula>NOT(ISERROR(SEARCH(("No"),(P102))))</formula>
    </cfRule>
  </conditionalFormatting>
  <conditionalFormatting sqref="P102:Q103">
    <cfRule type="containsText" dxfId="9" priority="29794" operator="containsText" text="No">
      <formula>NOT(ISERROR(SEARCH(("No"),(P102))))</formula>
    </cfRule>
  </conditionalFormatting>
  <conditionalFormatting sqref="P102:Q103">
    <cfRule type="containsText" dxfId="9" priority="29795" operator="containsText" text="No">
      <formula>NOT(ISERROR(SEARCH(("No"),(P102))))</formula>
    </cfRule>
  </conditionalFormatting>
  <conditionalFormatting sqref="P102:Q103">
    <cfRule type="containsText" dxfId="9" priority="29796" operator="containsText" text="No">
      <formula>NOT(ISERROR(SEARCH(("No"),(P102))))</formula>
    </cfRule>
  </conditionalFormatting>
  <conditionalFormatting sqref="P102:Q103">
    <cfRule type="containsText" dxfId="9" priority="29797" operator="containsText" text="No">
      <formula>NOT(ISERROR(SEARCH(("No"),(P102))))</formula>
    </cfRule>
  </conditionalFormatting>
  <conditionalFormatting sqref="P102:Q103">
    <cfRule type="containsText" dxfId="9" priority="29798" operator="containsText" text="No">
      <formula>NOT(ISERROR(SEARCH(("No"),(P102))))</formula>
    </cfRule>
  </conditionalFormatting>
  <conditionalFormatting sqref="P102:Q103">
    <cfRule type="containsText" dxfId="9" priority="29799" operator="containsText" text="No">
      <formula>NOT(ISERROR(SEARCH(("No"),(P102))))</formula>
    </cfRule>
  </conditionalFormatting>
  <conditionalFormatting sqref="P102:Q103">
    <cfRule type="containsText" dxfId="9" priority="29800" operator="containsText" text="No">
      <formula>NOT(ISERROR(SEARCH(("No"),(P102))))</formula>
    </cfRule>
  </conditionalFormatting>
  <conditionalFormatting sqref="P102:Q103">
    <cfRule type="containsText" dxfId="9" priority="29801" operator="containsText" text="No">
      <formula>NOT(ISERROR(SEARCH(("No"),(P102))))</formula>
    </cfRule>
  </conditionalFormatting>
  <conditionalFormatting sqref="P102:Q103">
    <cfRule type="containsText" dxfId="9" priority="29802" operator="containsText" text="No">
      <formula>NOT(ISERROR(SEARCH(("No"),(P102))))</formula>
    </cfRule>
  </conditionalFormatting>
  <conditionalFormatting sqref="P102:Q103">
    <cfRule type="containsText" dxfId="9" priority="29803" operator="containsText" text="No">
      <formula>NOT(ISERROR(SEARCH(("No"),(P102))))</formula>
    </cfRule>
  </conditionalFormatting>
  <conditionalFormatting sqref="P102:Q103">
    <cfRule type="containsText" dxfId="9" priority="29804" operator="containsText" text="No">
      <formula>NOT(ISERROR(SEARCH(("No"),(P102))))</formula>
    </cfRule>
  </conditionalFormatting>
  <conditionalFormatting sqref="P102:Q103">
    <cfRule type="containsText" dxfId="9" priority="29805" operator="containsText" text="No">
      <formula>NOT(ISERROR(SEARCH(("No"),(P102))))</formula>
    </cfRule>
  </conditionalFormatting>
  <conditionalFormatting sqref="P102:Q103">
    <cfRule type="containsText" dxfId="9" priority="29806" operator="containsText" text="No">
      <formula>NOT(ISERROR(SEARCH(("No"),(P102))))</formula>
    </cfRule>
  </conditionalFormatting>
  <conditionalFormatting sqref="P102:Q103">
    <cfRule type="containsText" dxfId="9" priority="29807" operator="containsText" text="No">
      <formula>NOT(ISERROR(SEARCH(("No"),(P102))))</formula>
    </cfRule>
  </conditionalFormatting>
  <conditionalFormatting sqref="P102:Q103">
    <cfRule type="containsText" dxfId="9" priority="29808" operator="containsText" text="No">
      <formula>NOT(ISERROR(SEARCH(("No"),(P102))))</formula>
    </cfRule>
  </conditionalFormatting>
  <conditionalFormatting sqref="P102:Q103">
    <cfRule type="containsText" dxfId="9" priority="29809" operator="containsText" text="No">
      <formula>NOT(ISERROR(SEARCH(("No"),(P102))))</formula>
    </cfRule>
  </conditionalFormatting>
  <conditionalFormatting sqref="P102:Q103">
    <cfRule type="containsText" dxfId="9" priority="29810" operator="containsText" text="No">
      <formula>NOT(ISERROR(SEARCH(("No"),(P102))))</formula>
    </cfRule>
  </conditionalFormatting>
  <conditionalFormatting sqref="P102:Q103">
    <cfRule type="containsText" dxfId="9" priority="29811" operator="containsText" text="No">
      <formula>NOT(ISERROR(SEARCH(("No"),(P102))))</formula>
    </cfRule>
  </conditionalFormatting>
  <conditionalFormatting sqref="P102:Q103">
    <cfRule type="containsText" dxfId="9" priority="29812" operator="containsText" text="No">
      <formula>NOT(ISERROR(SEARCH(("No"),(P102))))</formula>
    </cfRule>
  </conditionalFormatting>
  <conditionalFormatting sqref="P102:Q103">
    <cfRule type="containsText" dxfId="9" priority="29813" operator="containsText" text="No">
      <formula>NOT(ISERROR(SEARCH(("No"),(P102))))</formula>
    </cfRule>
  </conditionalFormatting>
  <conditionalFormatting sqref="P102:Q103">
    <cfRule type="containsText" dxfId="9" priority="29814" operator="containsText" text="No">
      <formula>NOT(ISERROR(SEARCH(("No"),(P102))))</formula>
    </cfRule>
  </conditionalFormatting>
  <conditionalFormatting sqref="P102:Q103">
    <cfRule type="containsText" dxfId="9" priority="29815" operator="containsText" text="No">
      <formula>NOT(ISERROR(SEARCH(("No"),(P102))))</formula>
    </cfRule>
  </conditionalFormatting>
  <conditionalFormatting sqref="P102:Q103">
    <cfRule type="containsText" dxfId="9" priority="29816" operator="containsText" text="No">
      <formula>NOT(ISERROR(SEARCH(("No"),(P102))))</formula>
    </cfRule>
  </conditionalFormatting>
  <conditionalFormatting sqref="P102:Q103">
    <cfRule type="containsText" dxfId="2" priority="29817" operator="containsText" text="Yes">
      <formula>NOT(ISERROR(SEARCH(("Yes"),(P102))))</formula>
    </cfRule>
  </conditionalFormatting>
  <conditionalFormatting sqref="P102:Q103">
    <cfRule type="containsText" dxfId="2" priority="29818" operator="containsText" text="Yes">
      <formula>NOT(ISERROR(SEARCH(("Yes"),(P102))))</formula>
    </cfRule>
  </conditionalFormatting>
  <conditionalFormatting sqref="P102:Q103">
    <cfRule type="containsText" dxfId="2" priority="29819" operator="containsText" text="Yes">
      <formula>NOT(ISERROR(SEARCH(("Yes"),(P102))))</formula>
    </cfRule>
  </conditionalFormatting>
  <conditionalFormatting sqref="P102:Q103">
    <cfRule type="containsText" dxfId="2" priority="29820" operator="containsText" text="Yes">
      <formula>NOT(ISERROR(SEARCH(("Yes"),(P102))))</formula>
    </cfRule>
  </conditionalFormatting>
  <conditionalFormatting sqref="P102:Q103">
    <cfRule type="containsText" dxfId="2" priority="29821" operator="containsText" text="Yes">
      <formula>NOT(ISERROR(SEARCH(("Yes"),(P102))))</formula>
    </cfRule>
  </conditionalFormatting>
  <conditionalFormatting sqref="P102:Q103">
    <cfRule type="containsText" dxfId="2" priority="29822" operator="containsText" text="Yes">
      <formula>NOT(ISERROR(SEARCH(("Yes"),(P102))))</formula>
    </cfRule>
  </conditionalFormatting>
  <conditionalFormatting sqref="P102:Q103">
    <cfRule type="containsText" dxfId="2" priority="29823" operator="containsText" text="Yes">
      <formula>NOT(ISERROR(SEARCH(("Yes"),(P102))))</formula>
    </cfRule>
  </conditionalFormatting>
  <conditionalFormatting sqref="P102:Q103">
    <cfRule type="containsText" dxfId="2" priority="29824" operator="containsText" text="Yes">
      <formula>NOT(ISERROR(SEARCH(("Yes"),(P102))))</formula>
    </cfRule>
  </conditionalFormatting>
  <conditionalFormatting sqref="P102:Q103">
    <cfRule type="containsText" dxfId="2" priority="29825" operator="containsText" text="Yes">
      <formula>NOT(ISERROR(SEARCH(("Yes"),(P102))))</formula>
    </cfRule>
  </conditionalFormatting>
  <conditionalFormatting sqref="P102:Q103">
    <cfRule type="containsText" dxfId="2" priority="29826" operator="containsText" text="Yes">
      <formula>NOT(ISERROR(SEARCH(("Yes"),(P102))))</formula>
    </cfRule>
  </conditionalFormatting>
  <conditionalFormatting sqref="P102:Q103">
    <cfRule type="containsText" dxfId="2" priority="29827" operator="containsText" text="Yes">
      <formula>NOT(ISERROR(SEARCH(("Yes"),(P102))))</formula>
    </cfRule>
  </conditionalFormatting>
  <conditionalFormatting sqref="P102:Q103">
    <cfRule type="containsText" dxfId="2" priority="29828" operator="containsText" text="Yes">
      <formula>NOT(ISERROR(SEARCH(("Yes"),(P102))))</formula>
    </cfRule>
  </conditionalFormatting>
  <conditionalFormatting sqref="P102:Q103">
    <cfRule type="containsText" dxfId="2" priority="29829" operator="containsText" text="Yes">
      <formula>NOT(ISERROR(SEARCH(("Yes"),(P102))))</formula>
    </cfRule>
  </conditionalFormatting>
  <conditionalFormatting sqref="P102:Q103">
    <cfRule type="containsText" dxfId="2" priority="29830" operator="containsText" text="Yes">
      <formula>NOT(ISERROR(SEARCH(("Yes"),(P102))))</formula>
    </cfRule>
  </conditionalFormatting>
  <conditionalFormatting sqref="P102:Q103">
    <cfRule type="containsText" dxfId="2" priority="29831" operator="containsText" text="Yes">
      <formula>NOT(ISERROR(SEARCH(("Yes"),(P102))))</formula>
    </cfRule>
  </conditionalFormatting>
  <conditionalFormatting sqref="P102:Q103">
    <cfRule type="containsText" dxfId="2" priority="29832" operator="containsText" text="Yes">
      <formula>NOT(ISERROR(SEARCH(("Yes"),(P102))))</formula>
    </cfRule>
  </conditionalFormatting>
  <conditionalFormatting sqref="P102:Q103">
    <cfRule type="containsText" dxfId="2" priority="29833" operator="containsText" text="Yes">
      <formula>NOT(ISERROR(SEARCH(("Yes"),(P102))))</formula>
    </cfRule>
  </conditionalFormatting>
  <conditionalFormatting sqref="P102:Q103">
    <cfRule type="containsText" dxfId="2" priority="29834" operator="containsText" text="Yes">
      <formula>NOT(ISERROR(SEARCH(("Yes"),(P102))))</formula>
    </cfRule>
  </conditionalFormatting>
  <conditionalFormatting sqref="P102:Q103">
    <cfRule type="containsText" dxfId="2" priority="29835" operator="containsText" text="Yes">
      <formula>NOT(ISERROR(SEARCH(("Yes"),(P102))))</formula>
    </cfRule>
  </conditionalFormatting>
  <conditionalFormatting sqref="P102:Q103">
    <cfRule type="containsText" dxfId="2" priority="29836" operator="containsText" text="Yes">
      <formula>NOT(ISERROR(SEARCH(("Yes"),(P102))))</formula>
    </cfRule>
  </conditionalFormatting>
  <conditionalFormatting sqref="P102:Q103">
    <cfRule type="containsText" dxfId="2" priority="29837" operator="containsText" text="Yes">
      <formula>NOT(ISERROR(SEARCH(("Yes"),(P102))))</formula>
    </cfRule>
  </conditionalFormatting>
  <conditionalFormatting sqref="P102:Q103">
    <cfRule type="containsText" dxfId="2" priority="29838" operator="containsText" text="Yes">
      <formula>NOT(ISERROR(SEARCH(("Yes"),(P102))))</formula>
    </cfRule>
  </conditionalFormatting>
  <conditionalFormatting sqref="P102:Q103">
    <cfRule type="containsText" dxfId="2" priority="29839" operator="containsText" text="Yes">
      <formula>NOT(ISERROR(SEARCH(("Yes"),(P102))))</formula>
    </cfRule>
  </conditionalFormatting>
  <conditionalFormatting sqref="P102:Q103">
    <cfRule type="containsText" dxfId="2" priority="29840" operator="containsText" text="Yes">
      <formula>NOT(ISERROR(SEARCH(("Yes"),(P102))))</formula>
    </cfRule>
  </conditionalFormatting>
  <conditionalFormatting sqref="P102:Q103">
    <cfRule type="containsText" dxfId="2" priority="29841" operator="containsText" text="Yes">
      <formula>NOT(ISERROR(SEARCH(("Yes"),(P102))))</formula>
    </cfRule>
  </conditionalFormatting>
  <conditionalFormatting sqref="P102:Q103">
    <cfRule type="containsText" dxfId="2" priority="29842" operator="containsText" text="Yes">
      <formula>NOT(ISERROR(SEARCH(("Yes"),(P102))))</formula>
    </cfRule>
  </conditionalFormatting>
  <conditionalFormatting sqref="P102:Q103">
    <cfRule type="containsText" dxfId="2" priority="29843" operator="containsText" text="Yes">
      <formula>NOT(ISERROR(SEARCH(("Yes"),(P102))))</formula>
    </cfRule>
  </conditionalFormatting>
  <conditionalFormatting sqref="P102:Q103">
    <cfRule type="containsText" dxfId="2" priority="29844" operator="containsText" text="Yes">
      <formula>NOT(ISERROR(SEARCH(("Yes"),(P102))))</formula>
    </cfRule>
  </conditionalFormatting>
  <conditionalFormatting sqref="P102:Q103">
    <cfRule type="containsText" dxfId="2" priority="29845" operator="containsText" text="Yes">
      <formula>NOT(ISERROR(SEARCH(("Yes"),(P102))))</formula>
    </cfRule>
  </conditionalFormatting>
  <conditionalFormatting sqref="P102:Q103">
    <cfRule type="containsText" dxfId="2" priority="29846" operator="containsText" text="Yes">
      <formula>NOT(ISERROR(SEARCH(("Yes"),(P102))))</formula>
    </cfRule>
  </conditionalFormatting>
  <conditionalFormatting sqref="P102:Q103">
    <cfRule type="containsText" dxfId="2" priority="29847" operator="containsText" text="Yes">
      <formula>NOT(ISERROR(SEARCH(("Yes"),(P102))))</formula>
    </cfRule>
  </conditionalFormatting>
  <conditionalFormatting sqref="P102:Q103">
    <cfRule type="containsText" dxfId="2" priority="29848" operator="containsText" text="Yes">
      <formula>NOT(ISERROR(SEARCH(("Yes"),(P102))))</formula>
    </cfRule>
  </conditionalFormatting>
  <conditionalFormatting sqref="P102:Q103">
    <cfRule type="containsText" dxfId="2" priority="29849" operator="containsText" text="Yes">
      <formula>NOT(ISERROR(SEARCH(("Yes"),(P102))))</formula>
    </cfRule>
  </conditionalFormatting>
  <conditionalFormatting sqref="P102:Q103">
    <cfRule type="containsText" dxfId="2" priority="29850" operator="containsText" text="Yes">
      <formula>NOT(ISERROR(SEARCH(("Yes"),(P102))))</formula>
    </cfRule>
  </conditionalFormatting>
  <conditionalFormatting sqref="P102:Q103">
    <cfRule type="containsText" dxfId="2" priority="29851" operator="containsText" text="Yes">
      <formula>NOT(ISERROR(SEARCH(("Yes"),(P102))))</formula>
    </cfRule>
  </conditionalFormatting>
  <conditionalFormatting sqref="P102:Q103">
    <cfRule type="containsText" dxfId="2" priority="29852" operator="containsText" text="Yes">
      <formula>NOT(ISERROR(SEARCH(("Yes"),(P102))))</formula>
    </cfRule>
  </conditionalFormatting>
  <conditionalFormatting sqref="P102:Q103">
    <cfRule type="containsText" dxfId="2" priority="29853" operator="containsText" text="Yes">
      <formula>NOT(ISERROR(SEARCH(("Yes"),(P102))))</formula>
    </cfRule>
  </conditionalFormatting>
  <conditionalFormatting sqref="P102:Q103">
    <cfRule type="containsText" dxfId="2" priority="29854" operator="containsText" text="Yes">
      <formula>NOT(ISERROR(SEARCH(("Yes"),(P102))))</formula>
    </cfRule>
  </conditionalFormatting>
  <conditionalFormatting sqref="P102:Q103">
    <cfRule type="containsText" dxfId="2" priority="29855" operator="containsText" text="Yes">
      <formula>NOT(ISERROR(SEARCH(("Yes"),(P102))))</formula>
    </cfRule>
  </conditionalFormatting>
  <conditionalFormatting sqref="P102:Q103">
    <cfRule type="containsText" dxfId="2" priority="29856" operator="containsText" text="Yes">
      <formula>NOT(ISERROR(SEARCH(("Yes"),(P102))))</formula>
    </cfRule>
  </conditionalFormatting>
  <conditionalFormatting sqref="P102:Q103">
    <cfRule type="containsText" dxfId="2" priority="29857" operator="containsText" text="Yes">
      <formula>NOT(ISERROR(SEARCH(("Yes"),(P102))))</formula>
    </cfRule>
  </conditionalFormatting>
  <conditionalFormatting sqref="P102:Q103">
    <cfRule type="containsText" dxfId="2" priority="29858" operator="containsText" text="Yes">
      <formula>NOT(ISERROR(SEARCH(("Yes"),(P102))))</formula>
    </cfRule>
  </conditionalFormatting>
  <conditionalFormatting sqref="P102:Q103">
    <cfRule type="containsText" dxfId="2" priority="29859" operator="containsText" text="Yes">
      <formula>NOT(ISERROR(SEARCH(("Yes"),(P102))))</formula>
    </cfRule>
  </conditionalFormatting>
  <conditionalFormatting sqref="P102:Q103">
    <cfRule type="containsText" dxfId="2" priority="29860" operator="containsText" text="Yes">
      <formula>NOT(ISERROR(SEARCH(("Yes"),(P102))))</formula>
    </cfRule>
  </conditionalFormatting>
  <conditionalFormatting sqref="P102:Q103">
    <cfRule type="containsText" dxfId="2" priority="29861" operator="containsText" text="Yes">
      <formula>NOT(ISERROR(SEARCH(("Yes"),(P102))))</formula>
    </cfRule>
  </conditionalFormatting>
  <conditionalFormatting sqref="P102:Q103">
    <cfRule type="containsText" dxfId="2" priority="29862" operator="containsText" text="Yes">
      <formula>NOT(ISERROR(SEARCH(("Yes"),(P102))))</formula>
    </cfRule>
  </conditionalFormatting>
  <conditionalFormatting sqref="P102:Q103">
    <cfRule type="containsText" dxfId="2" priority="29863" operator="containsText" text="Yes">
      <formula>NOT(ISERROR(SEARCH(("Yes"),(P102))))</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64"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65"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66"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67"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68"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69"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70"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71"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72"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73"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74"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75"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76"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77"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78"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79"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80"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81"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82"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83"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84"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85"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86"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87"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88"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89"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90"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91"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92"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93"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94"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95"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96"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97"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98"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899"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900"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901"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902"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903"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904"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905"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906"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907"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9" priority="29908" operator="containsText" text="No">
      <formula>NOT(ISERROR(SEARCH(("No"),(P103))))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09"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10"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11"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12"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13"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14"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15"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16"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17"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18"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19"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20"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21"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22"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23"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24"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25"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26"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27"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28"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29"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30"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31"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32"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33"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34"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35"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36"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37"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38"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39"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40"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41"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42"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43"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44"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45"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46"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47"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48"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49"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50"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51"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52"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53"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54" operator="containsText" text="Yes">
      <formula>NOT(ISERROR(SEARCH(("Yes"),(P103))))</formula>
    </cfRule>
  </conditionalFormatting>
  <conditionalFormatting sqref="P103:Q103 P106:Q109 P112:Q126 P128:Q134 P136:P152 Q136:Q216 O145 P154 P159 P161:P162 P164 P166:P167 P172 P174:P216 U204:V204 P222:Q226 P228:Q252 P254:Q256 P258:Q264 O261:O264 O267:Q269 P272:Q275 O275">
    <cfRule type="containsText" dxfId="2" priority="29955" operator="containsText" text="Yes">
      <formula>NOT(ISERROR(SEARCH(("Yes"),(P103))))</formula>
    </cfRule>
  </conditionalFormatting>
  <conditionalFormatting sqref="N104:Q109 N112:Q113 N115:Q133 N136:Q152 N154 O154:O155 P154:Q154 N159:Q159 N161:Q162 N164:O167 P164:Q164 P166:Q167 N170:O170 N172:Q172 N174:Q174 N176:Q176 N180:Q182 N184:Q184">
    <cfRule type="containsText" dxfId="9" priority="29956"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57"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58"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59"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60"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61"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62"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63"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64"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65"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66"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67"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68"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69"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70"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71"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72"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73"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74"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75"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76"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77"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78"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79"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80"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81"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82"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83"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84"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85"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86"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87"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88"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89"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90"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91"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92"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93"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94"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95"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96"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97"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98"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29999"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9" priority="30000" operator="containsText" text="No">
      <formula>NOT(ISERROR(SEARCH(("No"),(N104))))</formula>
    </cfRule>
  </conditionalFormatting>
  <conditionalFormatting sqref="N104:Q109 N112:Q113 N115:Q133 N136:Q152 N154 O154:O155 P154:Q154 N159:Q159 N161:Q162 N164:O167 P164:Q164 P166:Q167 N170:O170 N172:Q172 N174:Q174 N176:Q176 N180:Q182 N184:Q184">
    <cfRule type="containsText" dxfId="2" priority="30001"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02"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03"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04"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05"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06"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07"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08"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09"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10"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11"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12"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13"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14"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15"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16"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17"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18"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19"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20"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21"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22"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23"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24"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25"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26"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27"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28"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29"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30"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31"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32"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33"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34"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35"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36"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37"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38"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39"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40"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41"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42"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43"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44"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45"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46" operator="containsText" text="Yes">
      <formula>NOT(ISERROR(SEARCH(("Yes"),(N104))))</formula>
    </cfRule>
  </conditionalFormatting>
  <conditionalFormatting sqref="N104:Q109 N112:Q113 N115:Q133 N136:Q152 N154 O154:O155 P154:Q154 N159:Q159 N161:Q162 N164:O167 P164:Q164 P166:Q167 N170:O170 N172:Q172 N174:Q174 N176:Q176 N180:Q182 N184:Q184">
    <cfRule type="containsText" dxfId="2" priority="30047" operator="containsText" text="Yes">
      <formula>NOT(ISERROR(SEARCH(("Yes"),(N104))))</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48"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49"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50"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51"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52"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53"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54"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55"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56"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57"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58"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59"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60"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61"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62"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63"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64"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65"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66"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67"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68"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69"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70"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71"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72"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73"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74"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75"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76"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77"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78"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79"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80"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81"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82"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83"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84"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85"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86"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87"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88"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89"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90"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91"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9" priority="30092" operator="containsText" text="No">
      <formula>NOT(ISERROR(SEARCH(("No"),(N105))))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093"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094"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095"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096"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097"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098"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099"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00"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01"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02"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03"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04"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05"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06"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07"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08"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09"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10"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11"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12"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13"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14"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15"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16"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17"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18"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19"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20"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21"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22"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23"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24"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25"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26"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27"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28"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29"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30"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31"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32"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33"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34"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35"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36"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37"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38" operator="containsText" text="Yes">
      <formula>NOT(ISERROR(SEARCH(("Yes"),(N105))))</formula>
    </cfRule>
  </conditionalFormatting>
  <conditionalFormatting sqref="N105:Q109 N112:Q113 N115:Q118 N121:N126 O121:O133 P121:Q126 N128:N133 P128:Q133 N136:Q139 N142:Q143 N146:Q152 N154 O154:O155 P154:Q154 N159:Q159 N161:Q162 N164:O167 P164:Q164 P166:Q167 N170:O170 N172:Q172 N174:Q174 N176:Q176 N180:Q182 N184:Q184">
    <cfRule type="containsText" dxfId="2" priority="30139" operator="containsText" text="Yes">
      <formula>NOT(ISERROR(SEARCH(("Yes"),(N105))))</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40"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41"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42"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43"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44"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45"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46"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47"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48"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49"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50"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51"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52"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53"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54"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55"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56"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57"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58"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59"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60"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61"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62"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63"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64"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65"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66"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67"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68"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69"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70"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71"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72"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73"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74"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75"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76"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77"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78"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79"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80"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81"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82"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83"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9" priority="30184" operator="containsText" text="No">
      <formula>NOT(ISERROR(SEARCH(("No"),(N106))))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85"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86"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87"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88"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89"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90"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91"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92"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93"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94"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95"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96"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97"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98"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199"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00"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01"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02"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03"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04"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05"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06"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07"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08"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09"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10"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11"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12"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13"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14"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15"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16"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17"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18"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19"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20"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21"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22"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23"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24"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25"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26"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27"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28"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29"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30" operator="containsText" text="Yes">
      <formula>NOT(ISERROR(SEARCH(("Yes"),(N106))))</formula>
    </cfRule>
  </conditionalFormatting>
  <conditionalFormatting sqref="N106:N109 O106:O110 P106:Q109 N112:N134 O112:O226 P112:Q134 N136:N152 P136:P152 Q136:Q216 N154 P154 N159 P159 N161:N162 P161:P162 N164:N167 P164 P166:P167 N170 N172 P172 N174 P174:P216 N176 N180:N182 N184 N187:N216 U204:V204 N222:N226 P222:Q226 N228:Q252 N254:Q256 N258:Q264 N267:Q269 N272:O273 P272:Q275 N275:O275">
    <cfRule type="containsText" dxfId="2" priority="30231" operator="containsText" text="Yes">
      <formula>NOT(ISERROR(SEARCH(("Yes"),(N106))))</formula>
    </cfRule>
  </conditionalFormatting>
  <conditionalFormatting sqref="N107:N152 O107:O109 P107:Q152 O111:O133 O136:O152 N154 O154:O155 P154:Q154 N159:Q159 N161:Q162 N164:O167 P164:Q164 P166:Q167 N170:O170 N172:Q172 N174:Q174 N176:Q176 N180:Q182 N184:Q184">
    <cfRule type="containsText" dxfId="9" priority="30232"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33"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34"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35"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36"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37"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38"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39"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40"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41"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42"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43"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44"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45"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46"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47"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48"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49"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50"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51"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52"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53"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54"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55"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56"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57"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58"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59"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60"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61"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62"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63"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64"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65"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66"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67"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68"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69"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70"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71"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72"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73"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74"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75"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9" priority="30276" operator="containsText" text="No">
      <formula>NOT(ISERROR(SEARCH(("No"),(N107))))</formula>
    </cfRule>
  </conditionalFormatting>
  <conditionalFormatting sqref="N107:N152 O107:O109 P107:Q152 O111:O133 O136:O152 N154 O154:O155 P154:Q154 N159:Q159 N161:Q162 N164:O167 P164:Q164 P166:Q167 N170:O170 N172:Q172 N174:Q174 N176:Q176 N180:Q182 N184:Q184">
    <cfRule type="containsText" dxfId="2" priority="30277"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78"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79"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80"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81"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82"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83"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84"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85"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86"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87"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88"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89"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90"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91"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92"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93"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94"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95"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96"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97"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98"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299"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00"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01"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02"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03"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04"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05"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06"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07"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08"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09"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10"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11"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12"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13"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14"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15"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16"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17"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18"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19"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20"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21"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22" operator="containsText" text="Yes">
      <formula>NOT(ISERROR(SEARCH(("Yes"),(N107))))</formula>
    </cfRule>
  </conditionalFormatting>
  <conditionalFormatting sqref="N107:N152 O107:O109 P107:Q152 O111:O133 O136:O152 N154 O154:O155 P154:Q154 N159:Q159 N161:Q162 N164:O167 P164:Q164 P166:Q167 N170:O170 N172:Q172 N174:Q174 N176:Q176 N180:Q182 N184:Q184">
    <cfRule type="containsText" dxfId="2" priority="30323" operator="containsText" text="Yes">
      <formula>NOT(ISERROR(SEARCH(("Yes"),(N107))))</formula>
    </cfRule>
  </conditionalFormatting>
  <conditionalFormatting sqref="N108:N109 N112:N134 O122:P133 Q122:Q126 Q128:Q133 N136:N152 O136:Q139 O142:Q143 O146:Q152 N154 O154:O155 P154:Q154 N159:Q159 N161:Q162 N164:O167 P164:Q164 P166:Q167 N170:O170 N172:Q172 N174:Q174 N176:Q176 N180:Q182 N184:Q184 N187:N216 O203 O205:O214 N222:N226 N228:N252 N254:N256 N258:N264 N267:N269 N272:N273 N275">
    <cfRule type="containsText" dxfId="9" priority="30324" operator="containsText" text="No">
      <formula>NOT(ISERROR(SEARCH(("No"),(N108))))</formula>
    </cfRule>
  </conditionalFormatting>
  <conditionalFormatting sqref="N108:N109 N112:N134 O122:P133 Q122:Q126 Q128:Q133 N136:N152 O136:Q139 O142:Q143 O146:Q152 N154 O154:O155 P154:Q154 N159:Q159 N161:Q162 N164:O167 P164:Q164 P166:Q167 N170:O170 N172:Q172 N174:Q174 N176:Q176 N180:Q182 N184:Q184 N187:N216 O203 O205:O214 N222:N226 N228:N252 N254:N256 N258:N264 N267:N269 N272:N273 N275">
    <cfRule type="containsText" dxfId="2" priority="30325" operator="containsText" text="Yes">
      <formula>NOT(ISERROR(SEARCH(("Yes"),(N108))))</formula>
    </cfRule>
  </conditionalFormatting>
  <conditionalFormatting sqref="O108:O110 O112:O226 Q127 N139 P145 P150 N162 N164:N167 N170 N172 N174 N176 N180:N182 N184 N187:N216 N222:N226 N228:O252 N254:O256 N258:O264 N267:O269 N272:O273 N275:O275">
    <cfRule type="containsText" dxfId="9" priority="30326" operator="containsText" text="No">
      <formula>NOT(ISERROR(SEARCH(("No"),(O108))))</formula>
    </cfRule>
  </conditionalFormatting>
  <conditionalFormatting sqref="O108:O110 O112:O226 Q127 N139 P145 P150 N162 N164:N167 N170 N172 N174 N176 N180:N182 N184 N187:N216 N222:N226 N228:O252 N254:O256 N258:O264 N267:O269 N272:O273 N275:O275">
    <cfRule type="containsText" dxfId="9" priority="30327" operator="containsText" text="No">
      <formula>NOT(ISERROR(SEARCH(("No"),(O108))))</formula>
    </cfRule>
  </conditionalFormatting>
  <conditionalFormatting sqref="O108:O110 O112:O226 Q127 N139 P145 P150 N162 N164:N167 N170 N172 N174 N176 N180:N182 N184 N187:N216 N222:N226 N228:O252 N254:O256 N258:O264 N267:O269 N272:O273 N275:O275">
    <cfRule type="containsText" dxfId="9" priority="30328" operator="containsText" text="No">
      <formula>NOT(ISERROR(SEARCH(("No"),(O108))))</formula>
    </cfRule>
  </conditionalFormatting>
  <conditionalFormatting sqref="O108:O110 O112:O226 Q127 N139 P145 P150 N162 N164:N167 N170 N172 N174 N176 N180:N182 N184 N187:N216 N222:N226 N228:O252 N254:O256 N258:O264 N267:O269 N272:O273 N275:O275">
    <cfRule type="containsText" dxfId="2" priority="30329" operator="containsText" text="Yes">
      <formula>NOT(ISERROR(SEARCH(("Yes"),(O108))))</formula>
    </cfRule>
  </conditionalFormatting>
  <conditionalFormatting sqref="O108:O110 O112:O226 Q127 N139 P145 P150 N162 N164:N167 N170 N172 N174 N176 N180:N182 N184 N187:N216 N222:N226 N228:O252 N254:O256 N258:O264 N267:O269 N272:O273 N275:O275">
    <cfRule type="containsText" dxfId="2" priority="30330" operator="containsText" text="Yes">
      <formula>NOT(ISERROR(SEARCH(("Yes"),(O108))))</formula>
    </cfRule>
  </conditionalFormatting>
  <conditionalFormatting sqref="O108:O110 O112:O226 Q127 N139 P145 P150 N162 N164:N167 N170 N172 N174 N176 N180:N182 N184 N187:N216 N222:N226 N228:O252 N254:O256 N258:O264 N267:O269 N272:O273 N275:O275">
    <cfRule type="containsText" dxfId="2" priority="30331" operator="containsText" text="Yes">
      <formula>NOT(ISERROR(SEARCH(("Yes"),(O108))))</formula>
    </cfRule>
  </conditionalFormatting>
  <conditionalFormatting sqref="O108:O110 O112:O226 Q127 N139 P145 P150 N162 N164:N167 N170 N172 N174 N176 N180:N182 N184 N187:N216 N222:N226 N228:O252 N254:O256 N258:O264 N267:O269 N272:O273 N275:O275">
    <cfRule type="containsText" dxfId="2" priority="30332" operator="containsText" text="Yes">
      <formula>NOT(ISERROR(SEARCH(("Yes"),(O108))))</formula>
    </cfRule>
  </conditionalFormatting>
  <conditionalFormatting sqref="O108:O110 O112:O226 Q127 N139 P145 P150 N162 N164:N167 N170 N172 N174 N176 N180:N182 N184 N187:N216 N222:N226 N228:O252 N254:O256 N258:O264 N267:O269 N272:O273 N275:O275">
    <cfRule type="containsText" dxfId="2" priority="30333" operator="containsText" text="Yes">
      <formula>NOT(ISERROR(SEARCH(("Yes"),(O108))))</formula>
    </cfRule>
  </conditionalFormatting>
  <conditionalFormatting sqref="O108:O110 O112:O226 Q127 N139 P145 P150 N162 N164:N167 N170 N172 N174 N176 N180:N182 N184 N187:N216 N222:N226 N228:O252 N254:O256 N258:O264 N267:O269 N272:O273 N275:O275">
    <cfRule type="containsText" dxfId="9" priority="30334" operator="containsText" text="No">
      <formula>NOT(ISERROR(SEARCH(("No"),(O108))))</formula>
    </cfRule>
  </conditionalFormatting>
  <conditionalFormatting sqref="O108:O110 O112:O226 Q127 N139 P145 P150 N162 N164:N167 N170 N172 N174 N176 N180:N182 N184 N187:N216 N222:N226 N228:O252 N254:O256 N258:O264 N267:O269 N272:O273 N275:O275">
    <cfRule type="containsText" dxfId="9" priority="30335" operator="containsText" text="No">
      <formula>NOT(ISERROR(SEARCH(("No"),(O108))))</formula>
    </cfRule>
  </conditionalFormatting>
  <conditionalFormatting sqref="O108:O110 O112:O226 Q127 N139 P145 P150 N162 N164:N167 N170 N172 N174 N176 N180:N182 N184 N187:N216 N222:N226 N228:O252 N254:O256 N258:O264 N267:O269 N272:O273 N275:O275">
    <cfRule type="containsText" dxfId="2" priority="30336" operator="containsText" text="Yes">
      <formula>NOT(ISERROR(SEARCH(("Yes"),(O108))))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37"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38"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39"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40"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41"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42"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43"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44"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45"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46"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47"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48"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49"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50"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51"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52"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53"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54"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55"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56"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57"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58"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59"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60"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61"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62"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63"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64"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65"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66"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67"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68"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69"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70"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71"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72"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73"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74"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75"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76"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77"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78"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79"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80"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9" priority="30381" operator="containsText" text="No">
      <formula>NOT(ISERROR(SEARCH(("No"),(P108))))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82"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83"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84"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85"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86"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87"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88"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89"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90"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91"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92"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93"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94"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95"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96"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97"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98"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399"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00"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01"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02"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03"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04"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05"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06"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07"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08"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09"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10"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11"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12"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13"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14"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15"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16"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17"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18"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19"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20"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21"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22"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23"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24"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25"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26"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27" operator="containsText" text="Yes">
      <formula>NOT(ISERROR(SEARCH(("Yes"),(P108))))</formula>
    </cfRule>
  </conditionalFormatting>
  <conditionalFormatting sqref="P108:Q109 P112:Q126 P128:Q134 P136:P152 Q136:Q216 O145 P154 P159 P161:P162 P164 P166:P167 P172 P174:P216 U204:V204 P222:Q226 P228:Q252 P254:Q256 P258:Q264 O261:O264 O267:Q269 P272:Q275 O275">
    <cfRule type="containsText" dxfId="2" priority="30428" operator="containsText" text="Yes">
      <formula>NOT(ISERROR(SEARCH(("Yes"),(P108))))</formula>
    </cfRule>
  </conditionalFormatting>
  <conditionalFormatting sqref="P109:Q109">
    <cfRule type="containsText" dxfId="9" priority="30429" operator="containsText" text="No">
      <formula>NOT(ISERROR(SEARCH(("No"),(P109))))</formula>
    </cfRule>
  </conditionalFormatting>
  <conditionalFormatting sqref="P109:Q109">
    <cfRule type="containsText" dxfId="9" priority="30430" operator="containsText" text="No">
      <formula>NOT(ISERROR(SEARCH(("No"),(P109))))</formula>
    </cfRule>
  </conditionalFormatting>
  <conditionalFormatting sqref="P109:Q109">
    <cfRule type="containsText" dxfId="9" priority="30431" operator="containsText" text="No">
      <formula>NOT(ISERROR(SEARCH(("No"),(P109))))</formula>
    </cfRule>
  </conditionalFormatting>
  <conditionalFormatting sqref="P109:Q109">
    <cfRule type="containsText" dxfId="9" priority="30432" operator="containsText" text="No">
      <formula>NOT(ISERROR(SEARCH(("No"),(P109))))</formula>
    </cfRule>
  </conditionalFormatting>
  <conditionalFormatting sqref="P109:Q109">
    <cfRule type="containsText" dxfId="9" priority="30433" operator="containsText" text="No">
      <formula>NOT(ISERROR(SEARCH(("No"),(P109))))</formula>
    </cfRule>
  </conditionalFormatting>
  <conditionalFormatting sqref="P109:Q109">
    <cfRule type="containsText" dxfId="9" priority="30434" operator="containsText" text="No">
      <formula>NOT(ISERROR(SEARCH(("No"),(P109))))</formula>
    </cfRule>
  </conditionalFormatting>
  <conditionalFormatting sqref="P109:Q109">
    <cfRule type="containsText" dxfId="9" priority="30435" operator="containsText" text="No">
      <formula>NOT(ISERROR(SEARCH(("No"),(P109))))</formula>
    </cfRule>
  </conditionalFormatting>
  <conditionalFormatting sqref="P109:Q109">
    <cfRule type="containsText" dxfId="9" priority="30436" operator="containsText" text="No">
      <formula>NOT(ISERROR(SEARCH(("No"),(P109))))</formula>
    </cfRule>
  </conditionalFormatting>
  <conditionalFormatting sqref="P109:Q109">
    <cfRule type="containsText" dxfId="9" priority="30437" operator="containsText" text="No">
      <formula>NOT(ISERROR(SEARCH(("No"),(P109))))</formula>
    </cfRule>
  </conditionalFormatting>
  <conditionalFormatting sqref="P109:Q109">
    <cfRule type="containsText" dxfId="9" priority="30438" operator="containsText" text="No">
      <formula>NOT(ISERROR(SEARCH(("No"),(P109))))</formula>
    </cfRule>
  </conditionalFormatting>
  <conditionalFormatting sqref="P109:Q109">
    <cfRule type="containsText" dxfId="9" priority="30439" operator="containsText" text="No">
      <formula>NOT(ISERROR(SEARCH(("No"),(P109))))</formula>
    </cfRule>
  </conditionalFormatting>
  <conditionalFormatting sqref="P109:Q109">
    <cfRule type="containsText" dxfId="9" priority="30440" operator="containsText" text="No">
      <formula>NOT(ISERROR(SEARCH(("No"),(P109))))</formula>
    </cfRule>
  </conditionalFormatting>
  <conditionalFormatting sqref="P109:Q109">
    <cfRule type="containsText" dxfId="9" priority="30441" operator="containsText" text="No">
      <formula>NOT(ISERROR(SEARCH(("No"),(P109))))</formula>
    </cfRule>
  </conditionalFormatting>
  <conditionalFormatting sqref="P109:Q109">
    <cfRule type="containsText" dxfId="9" priority="30442" operator="containsText" text="No">
      <formula>NOT(ISERROR(SEARCH(("No"),(P109))))</formula>
    </cfRule>
  </conditionalFormatting>
  <conditionalFormatting sqref="P109:Q109">
    <cfRule type="containsText" dxfId="9" priority="30443" operator="containsText" text="No">
      <formula>NOT(ISERROR(SEARCH(("No"),(P109))))</formula>
    </cfRule>
  </conditionalFormatting>
  <conditionalFormatting sqref="P109:Q109">
    <cfRule type="containsText" dxfId="9" priority="30444" operator="containsText" text="No">
      <formula>NOT(ISERROR(SEARCH(("No"),(P109))))</formula>
    </cfRule>
  </conditionalFormatting>
  <conditionalFormatting sqref="P109:Q109">
    <cfRule type="containsText" dxfId="9" priority="30445" operator="containsText" text="No">
      <formula>NOT(ISERROR(SEARCH(("No"),(P109))))</formula>
    </cfRule>
  </conditionalFormatting>
  <conditionalFormatting sqref="P109:Q109">
    <cfRule type="containsText" dxfId="9" priority="30446" operator="containsText" text="No">
      <formula>NOT(ISERROR(SEARCH(("No"),(P109))))</formula>
    </cfRule>
  </conditionalFormatting>
  <conditionalFormatting sqref="P109:Q109">
    <cfRule type="containsText" dxfId="9" priority="30447" operator="containsText" text="No">
      <formula>NOT(ISERROR(SEARCH(("No"),(P109))))</formula>
    </cfRule>
  </conditionalFormatting>
  <conditionalFormatting sqref="P109:Q109">
    <cfRule type="containsText" dxfId="9" priority="30448" operator="containsText" text="No">
      <formula>NOT(ISERROR(SEARCH(("No"),(P109))))</formula>
    </cfRule>
  </conditionalFormatting>
  <conditionalFormatting sqref="P109:Q109">
    <cfRule type="containsText" dxfId="9" priority="30449" operator="containsText" text="No">
      <formula>NOT(ISERROR(SEARCH(("No"),(P109))))</formula>
    </cfRule>
  </conditionalFormatting>
  <conditionalFormatting sqref="P109:Q109">
    <cfRule type="containsText" dxfId="9" priority="30450" operator="containsText" text="No">
      <formula>NOT(ISERROR(SEARCH(("No"),(P109))))</formula>
    </cfRule>
  </conditionalFormatting>
  <conditionalFormatting sqref="P109:Q109">
    <cfRule type="containsText" dxfId="9" priority="30451" operator="containsText" text="No">
      <formula>NOT(ISERROR(SEARCH(("No"),(P109))))</formula>
    </cfRule>
  </conditionalFormatting>
  <conditionalFormatting sqref="P109:Q109">
    <cfRule type="containsText" dxfId="9" priority="30452" operator="containsText" text="No">
      <formula>NOT(ISERROR(SEARCH(("No"),(P109))))</formula>
    </cfRule>
  </conditionalFormatting>
  <conditionalFormatting sqref="P109:Q109">
    <cfRule type="containsText" dxfId="9" priority="30453" operator="containsText" text="No">
      <formula>NOT(ISERROR(SEARCH(("No"),(P109))))</formula>
    </cfRule>
  </conditionalFormatting>
  <conditionalFormatting sqref="P109:Q109">
    <cfRule type="containsText" dxfId="9" priority="30454" operator="containsText" text="No">
      <formula>NOT(ISERROR(SEARCH(("No"),(P109))))</formula>
    </cfRule>
  </conditionalFormatting>
  <conditionalFormatting sqref="P109:Q109">
    <cfRule type="containsText" dxfId="9" priority="30455" operator="containsText" text="No">
      <formula>NOT(ISERROR(SEARCH(("No"),(P109))))</formula>
    </cfRule>
  </conditionalFormatting>
  <conditionalFormatting sqref="P109:Q109">
    <cfRule type="containsText" dxfId="9" priority="30456" operator="containsText" text="No">
      <formula>NOT(ISERROR(SEARCH(("No"),(P109))))</formula>
    </cfRule>
  </conditionalFormatting>
  <conditionalFormatting sqref="P109:Q109">
    <cfRule type="containsText" dxfId="9" priority="30457" operator="containsText" text="No">
      <formula>NOT(ISERROR(SEARCH(("No"),(P109))))</formula>
    </cfRule>
  </conditionalFormatting>
  <conditionalFormatting sqref="P109:Q109">
    <cfRule type="containsText" dxfId="9" priority="30458" operator="containsText" text="No">
      <formula>NOT(ISERROR(SEARCH(("No"),(P109))))</formula>
    </cfRule>
  </conditionalFormatting>
  <conditionalFormatting sqref="P109:Q109">
    <cfRule type="containsText" dxfId="9" priority="30459" operator="containsText" text="No">
      <formula>NOT(ISERROR(SEARCH(("No"),(P109))))</formula>
    </cfRule>
  </conditionalFormatting>
  <conditionalFormatting sqref="P109:Q109">
    <cfRule type="containsText" dxfId="9" priority="30460" operator="containsText" text="No">
      <formula>NOT(ISERROR(SEARCH(("No"),(P109))))</formula>
    </cfRule>
  </conditionalFormatting>
  <conditionalFormatting sqref="P109:Q109">
    <cfRule type="containsText" dxfId="9" priority="30461" operator="containsText" text="No">
      <formula>NOT(ISERROR(SEARCH(("No"),(P109))))</formula>
    </cfRule>
  </conditionalFormatting>
  <conditionalFormatting sqref="P109:Q109">
    <cfRule type="containsText" dxfId="9" priority="30462" operator="containsText" text="No">
      <formula>NOT(ISERROR(SEARCH(("No"),(P109))))</formula>
    </cfRule>
  </conditionalFormatting>
  <conditionalFormatting sqref="P109:Q109">
    <cfRule type="containsText" dxfId="9" priority="30463" operator="containsText" text="No">
      <formula>NOT(ISERROR(SEARCH(("No"),(P109))))</formula>
    </cfRule>
  </conditionalFormatting>
  <conditionalFormatting sqref="P109:Q109">
    <cfRule type="containsText" dxfId="9" priority="30464" operator="containsText" text="No">
      <formula>NOT(ISERROR(SEARCH(("No"),(P109))))</formula>
    </cfRule>
  </conditionalFormatting>
  <conditionalFormatting sqref="P109:Q109">
    <cfRule type="containsText" dxfId="9" priority="30465" operator="containsText" text="No">
      <formula>NOT(ISERROR(SEARCH(("No"),(P109))))</formula>
    </cfRule>
  </conditionalFormatting>
  <conditionalFormatting sqref="P109:Q109">
    <cfRule type="containsText" dxfId="9" priority="30466" operator="containsText" text="No">
      <formula>NOT(ISERROR(SEARCH(("No"),(P109))))</formula>
    </cfRule>
  </conditionalFormatting>
  <conditionalFormatting sqref="P109:Q109">
    <cfRule type="containsText" dxfId="9" priority="30467" operator="containsText" text="No">
      <formula>NOT(ISERROR(SEARCH(("No"),(P109))))</formula>
    </cfRule>
  </conditionalFormatting>
  <conditionalFormatting sqref="P109:Q109">
    <cfRule type="containsText" dxfId="9" priority="30468" operator="containsText" text="No">
      <formula>NOT(ISERROR(SEARCH(("No"),(P109))))</formula>
    </cfRule>
  </conditionalFormatting>
  <conditionalFormatting sqref="P109:Q109">
    <cfRule type="containsText" dxfId="9" priority="30469" operator="containsText" text="No">
      <formula>NOT(ISERROR(SEARCH(("No"),(P109))))</formula>
    </cfRule>
  </conditionalFormatting>
  <conditionalFormatting sqref="P109:Q109">
    <cfRule type="containsText" dxfId="9" priority="30470" operator="containsText" text="No">
      <formula>NOT(ISERROR(SEARCH(("No"),(P109))))</formula>
    </cfRule>
  </conditionalFormatting>
  <conditionalFormatting sqref="P109:Q109">
    <cfRule type="containsText" dxfId="9" priority="30471" operator="containsText" text="No">
      <formula>NOT(ISERROR(SEARCH(("No"),(P109))))</formula>
    </cfRule>
  </conditionalFormatting>
  <conditionalFormatting sqref="P109:Q109">
    <cfRule type="containsText" dxfId="9" priority="30472" operator="containsText" text="No">
      <formula>NOT(ISERROR(SEARCH(("No"),(P109))))</formula>
    </cfRule>
  </conditionalFormatting>
  <conditionalFormatting sqref="P109:Q109">
    <cfRule type="containsText" dxfId="9" priority="30473" operator="containsText" text="No">
      <formula>NOT(ISERROR(SEARCH(("No"),(P109))))</formula>
    </cfRule>
  </conditionalFormatting>
  <conditionalFormatting sqref="P109:Q109">
    <cfRule type="containsText" dxfId="2" priority="30474" operator="containsText" text="Yes">
      <formula>NOT(ISERROR(SEARCH(("Yes"),(P109))))</formula>
    </cfRule>
  </conditionalFormatting>
  <conditionalFormatting sqref="P109:Q109">
    <cfRule type="containsText" dxfId="2" priority="30475" operator="containsText" text="Yes">
      <formula>NOT(ISERROR(SEARCH(("Yes"),(P109))))</formula>
    </cfRule>
  </conditionalFormatting>
  <conditionalFormatting sqref="P109:Q109">
    <cfRule type="containsText" dxfId="2" priority="30476" operator="containsText" text="Yes">
      <formula>NOT(ISERROR(SEARCH(("Yes"),(P109))))</formula>
    </cfRule>
  </conditionalFormatting>
  <conditionalFormatting sqref="P109:Q109">
    <cfRule type="containsText" dxfId="2" priority="30477" operator="containsText" text="Yes">
      <formula>NOT(ISERROR(SEARCH(("Yes"),(P109))))</formula>
    </cfRule>
  </conditionalFormatting>
  <conditionalFormatting sqref="P109:Q109">
    <cfRule type="containsText" dxfId="2" priority="30478" operator="containsText" text="Yes">
      <formula>NOT(ISERROR(SEARCH(("Yes"),(P109))))</formula>
    </cfRule>
  </conditionalFormatting>
  <conditionalFormatting sqref="P109:Q109">
    <cfRule type="containsText" dxfId="2" priority="30479" operator="containsText" text="Yes">
      <formula>NOT(ISERROR(SEARCH(("Yes"),(P109))))</formula>
    </cfRule>
  </conditionalFormatting>
  <conditionalFormatting sqref="P109:Q109">
    <cfRule type="containsText" dxfId="2" priority="30480" operator="containsText" text="Yes">
      <formula>NOT(ISERROR(SEARCH(("Yes"),(P109))))</formula>
    </cfRule>
  </conditionalFormatting>
  <conditionalFormatting sqref="P109:Q109">
    <cfRule type="containsText" dxfId="2" priority="30481" operator="containsText" text="Yes">
      <formula>NOT(ISERROR(SEARCH(("Yes"),(P109))))</formula>
    </cfRule>
  </conditionalFormatting>
  <conditionalFormatting sqref="P109:Q109">
    <cfRule type="containsText" dxfId="2" priority="30482" operator="containsText" text="Yes">
      <formula>NOT(ISERROR(SEARCH(("Yes"),(P109))))</formula>
    </cfRule>
  </conditionalFormatting>
  <conditionalFormatting sqref="P109:Q109">
    <cfRule type="containsText" dxfId="2" priority="30483" operator="containsText" text="Yes">
      <formula>NOT(ISERROR(SEARCH(("Yes"),(P109))))</formula>
    </cfRule>
  </conditionalFormatting>
  <conditionalFormatting sqref="P109:Q109">
    <cfRule type="containsText" dxfId="2" priority="30484" operator="containsText" text="Yes">
      <formula>NOT(ISERROR(SEARCH(("Yes"),(P109))))</formula>
    </cfRule>
  </conditionalFormatting>
  <conditionalFormatting sqref="P109:Q109">
    <cfRule type="containsText" dxfId="2" priority="30485" operator="containsText" text="Yes">
      <formula>NOT(ISERROR(SEARCH(("Yes"),(P109))))</formula>
    </cfRule>
  </conditionalFormatting>
  <conditionalFormatting sqref="P109:Q109">
    <cfRule type="containsText" dxfId="2" priority="30486" operator="containsText" text="Yes">
      <formula>NOT(ISERROR(SEARCH(("Yes"),(P109))))</formula>
    </cfRule>
  </conditionalFormatting>
  <conditionalFormatting sqref="P109:Q109">
    <cfRule type="containsText" dxfId="2" priority="30487" operator="containsText" text="Yes">
      <formula>NOT(ISERROR(SEARCH(("Yes"),(P109))))</formula>
    </cfRule>
  </conditionalFormatting>
  <conditionalFormatting sqref="P109:Q109">
    <cfRule type="containsText" dxfId="2" priority="30488" operator="containsText" text="Yes">
      <formula>NOT(ISERROR(SEARCH(("Yes"),(P109))))</formula>
    </cfRule>
  </conditionalFormatting>
  <conditionalFormatting sqref="P109:Q109">
    <cfRule type="containsText" dxfId="2" priority="30489" operator="containsText" text="Yes">
      <formula>NOT(ISERROR(SEARCH(("Yes"),(P109))))</formula>
    </cfRule>
  </conditionalFormatting>
  <conditionalFormatting sqref="P109:Q109">
    <cfRule type="containsText" dxfId="2" priority="30490" operator="containsText" text="Yes">
      <formula>NOT(ISERROR(SEARCH(("Yes"),(P109))))</formula>
    </cfRule>
  </conditionalFormatting>
  <conditionalFormatting sqref="P109:Q109">
    <cfRule type="containsText" dxfId="2" priority="30491" operator="containsText" text="Yes">
      <formula>NOT(ISERROR(SEARCH(("Yes"),(P109))))</formula>
    </cfRule>
  </conditionalFormatting>
  <conditionalFormatting sqref="P109:Q109">
    <cfRule type="containsText" dxfId="2" priority="30492" operator="containsText" text="Yes">
      <formula>NOT(ISERROR(SEARCH(("Yes"),(P109))))</formula>
    </cfRule>
  </conditionalFormatting>
  <conditionalFormatting sqref="P109:Q109">
    <cfRule type="containsText" dxfId="2" priority="30493" operator="containsText" text="Yes">
      <formula>NOT(ISERROR(SEARCH(("Yes"),(P109))))</formula>
    </cfRule>
  </conditionalFormatting>
  <conditionalFormatting sqref="P109:Q109">
    <cfRule type="containsText" dxfId="2" priority="30494" operator="containsText" text="Yes">
      <formula>NOT(ISERROR(SEARCH(("Yes"),(P109))))</formula>
    </cfRule>
  </conditionalFormatting>
  <conditionalFormatting sqref="P109:Q109">
    <cfRule type="containsText" dxfId="2" priority="30495" operator="containsText" text="Yes">
      <formula>NOT(ISERROR(SEARCH(("Yes"),(P109))))</formula>
    </cfRule>
  </conditionalFormatting>
  <conditionalFormatting sqref="P109:Q109">
    <cfRule type="containsText" dxfId="2" priority="30496" operator="containsText" text="Yes">
      <formula>NOT(ISERROR(SEARCH(("Yes"),(P109))))</formula>
    </cfRule>
  </conditionalFormatting>
  <conditionalFormatting sqref="P109:Q109">
    <cfRule type="containsText" dxfId="2" priority="30497" operator="containsText" text="Yes">
      <formula>NOT(ISERROR(SEARCH(("Yes"),(P109))))</formula>
    </cfRule>
  </conditionalFormatting>
  <conditionalFormatting sqref="P109:Q109">
    <cfRule type="containsText" dxfId="2" priority="30498" operator="containsText" text="Yes">
      <formula>NOT(ISERROR(SEARCH(("Yes"),(P109))))</formula>
    </cfRule>
  </conditionalFormatting>
  <conditionalFormatting sqref="P109:Q109">
    <cfRule type="containsText" dxfId="2" priority="30499" operator="containsText" text="Yes">
      <formula>NOT(ISERROR(SEARCH(("Yes"),(P109))))</formula>
    </cfRule>
  </conditionalFormatting>
  <conditionalFormatting sqref="P109:Q109">
    <cfRule type="containsText" dxfId="2" priority="30500" operator="containsText" text="Yes">
      <formula>NOT(ISERROR(SEARCH(("Yes"),(P109))))</formula>
    </cfRule>
  </conditionalFormatting>
  <conditionalFormatting sqref="P109:Q109">
    <cfRule type="containsText" dxfId="2" priority="30501" operator="containsText" text="Yes">
      <formula>NOT(ISERROR(SEARCH(("Yes"),(P109))))</formula>
    </cfRule>
  </conditionalFormatting>
  <conditionalFormatting sqref="P109:Q109">
    <cfRule type="containsText" dxfId="2" priority="30502" operator="containsText" text="Yes">
      <formula>NOT(ISERROR(SEARCH(("Yes"),(P109))))</formula>
    </cfRule>
  </conditionalFormatting>
  <conditionalFormatting sqref="P109:Q109">
    <cfRule type="containsText" dxfId="2" priority="30503" operator="containsText" text="Yes">
      <formula>NOT(ISERROR(SEARCH(("Yes"),(P109))))</formula>
    </cfRule>
  </conditionalFormatting>
  <conditionalFormatting sqref="P109:Q109">
    <cfRule type="containsText" dxfId="2" priority="30504" operator="containsText" text="Yes">
      <formula>NOT(ISERROR(SEARCH(("Yes"),(P109))))</formula>
    </cfRule>
  </conditionalFormatting>
  <conditionalFormatting sqref="P109:Q109">
    <cfRule type="containsText" dxfId="2" priority="30505" operator="containsText" text="Yes">
      <formula>NOT(ISERROR(SEARCH(("Yes"),(P109))))</formula>
    </cfRule>
  </conditionalFormatting>
  <conditionalFormatting sqref="P109:Q109">
    <cfRule type="containsText" dxfId="2" priority="30506" operator="containsText" text="Yes">
      <formula>NOT(ISERROR(SEARCH(("Yes"),(P109))))</formula>
    </cfRule>
  </conditionalFormatting>
  <conditionalFormatting sqref="P109:Q109">
    <cfRule type="containsText" dxfId="2" priority="30507" operator="containsText" text="Yes">
      <formula>NOT(ISERROR(SEARCH(("Yes"),(P109))))</formula>
    </cfRule>
  </conditionalFormatting>
  <conditionalFormatting sqref="P109:Q109">
    <cfRule type="containsText" dxfId="2" priority="30508" operator="containsText" text="Yes">
      <formula>NOT(ISERROR(SEARCH(("Yes"),(P109))))</formula>
    </cfRule>
  </conditionalFormatting>
  <conditionalFormatting sqref="P109:Q109">
    <cfRule type="containsText" dxfId="2" priority="30509" operator="containsText" text="Yes">
      <formula>NOT(ISERROR(SEARCH(("Yes"),(P109))))</formula>
    </cfRule>
  </conditionalFormatting>
  <conditionalFormatting sqref="P109:Q109">
    <cfRule type="containsText" dxfId="2" priority="30510" operator="containsText" text="Yes">
      <formula>NOT(ISERROR(SEARCH(("Yes"),(P109))))</formula>
    </cfRule>
  </conditionalFormatting>
  <conditionalFormatting sqref="P109:Q109">
    <cfRule type="containsText" dxfId="2" priority="30511" operator="containsText" text="Yes">
      <formula>NOT(ISERROR(SEARCH(("Yes"),(P109))))</formula>
    </cfRule>
  </conditionalFormatting>
  <conditionalFormatting sqref="P109:Q109">
    <cfRule type="containsText" dxfId="2" priority="30512" operator="containsText" text="Yes">
      <formula>NOT(ISERROR(SEARCH(("Yes"),(P109))))</formula>
    </cfRule>
  </conditionalFormatting>
  <conditionalFormatting sqref="P109:Q109">
    <cfRule type="containsText" dxfId="2" priority="30513" operator="containsText" text="Yes">
      <formula>NOT(ISERROR(SEARCH(("Yes"),(P109))))</formula>
    </cfRule>
  </conditionalFormatting>
  <conditionalFormatting sqref="P109:Q109">
    <cfRule type="containsText" dxfId="2" priority="30514" operator="containsText" text="Yes">
      <formula>NOT(ISERROR(SEARCH(("Yes"),(P109))))</formula>
    </cfRule>
  </conditionalFormatting>
  <conditionalFormatting sqref="P109:Q109">
    <cfRule type="containsText" dxfId="2" priority="30515" operator="containsText" text="Yes">
      <formula>NOT(ISERROR(SEARCH(("Yes"),(P109))))</formula>
    </cfRule>
  </conditionalFormatting>
  <conditionalFormatting sqref="P109:Q109">
    <cfRule type="containsText" dxfId="2" priority="30516" operator="containsText" text="Yes">
      <formula>NOT(ISERROR(SEARCH(("Yes"),(P109))))</formula>
    </cfRule>
  </conditionalFormatting>
  <conditionalFormatting sqref="P109:Q109">
    <cfRule type="containsText" dxfId="2" priority="30517" operator="containsText" text="Yes">
      <formula>NOT(ISERROR(SEARCH(("Yes"),(P109))))</formula>
    </cfRule>
  </conditionalFormatting>
  <conditionalFormatting sqref="P109:Q109">
    <cfRule type="containsText" dxfId="2" priority="30518" operator="containsText" text="Yes">
      <formula>NOT(ISERROR(SEARCH(("Yes"),(P109))))</formula>
    </cfRule>
  </conditionalFormatting>
  <conditionalFormatting sqref="P109:Q109">
    <cfRule type="containsText" dxfId="2" priority="30519" operator="containsText" text="Yes">
      <formula>NOT(ISERROR(SEARCH(("Yes"),(P109))))</formula>
    </cfRule>
  </conditionalFormatting>
  <conditionalFormatting sqref="P109:Q109">
    <cfRule type="containsText" dxfId="2" priority="30520" operator="containsText" text="Yes">
      <formula>NOT(ISERROR(SEARCH(("Yes"),(P109))))</formula>
    </cfRule>
  </conditionalFormatting>
  <conditionalFormatting sqref="N110:Q110 N134:Q135 N138:N139 N148:N152 N154 N159">
    <cfRule type="containsText" dxfId="9" priority="30521" operator="containsText" text="No">
      <formula>NOT(ISERROR(SEARCH(("No"),(N110))))</formula>
    </cfRule>
  </conditionalFormatting>
  <conditionalFormatting sqref="N110:Q110 N134:Q135 N138:N139 N148:N152 N154 N159">
    <cfRule type="containsText" dxfId="9" priority="30522" operator="containsText" text="No">
      <formula>NOT(ISERROR(SEARCH(("No"),(N110))))</formula>
    </cfRule>
  </conditionalFormatting>
  <conditionalFormatting sqref="N110:Q110 N134:Q135 N138:N139 N148:N152 N154 N159">
    <cfRule type="containsText" dxfId="9" priority="30523" operator="containsText" text="No">
      <formula>NOT(ISERROR(SEARCH(("No"),(N110))))</formula>
    </cfRule>
  </conditionalFormatting>
  <conditionalFormatting sqref="N110:Q110 N134:Q135 N138:N139 N148:N152 N154 N159">
    <cfRule type="containsText" dxfId="9" priority="30524" operator="containsText" text="No">
      <formula>NOT(ISERROR(SEARCH(("No"),(N110))))</formula>
    </cfRule>
  </conditionalFormatting>
  <conditionalFormatting sqref="N110:Q110 N134:Q135 N138:N139 N148:N152 N154 N159">
    <cfRule type="containsText" dxfId="9" priority="30525" operator="containsText" text="No">
      <formula>NOT(ISERROR(SEARCH(("No"),(N110))))</formula>
    </cfRule>
  </conditionalFormatting>
  <conditionalFormatting sqref="N110:Q110 N134:Q135 N138:N139 N148:N152 N154 N159">
    <cfRule type="containsText" dxfId="9" priority="30526" operator="containsText" text="No">
      <formula>NOT(ISERROR(SEARCH(("No"),(N110))))</formula>
    </cfRule>
  </conditionalFormatting>
  <conditionalFormatting sqref="N110:Q110 N134:Q135 N138:N139 N148:N152 N154 N159">
    <cfRule type="containsText" dxfId="9" priority="30527" operator="containsText" text="No">
      <formula>NOT(ISERROR(SEARCH(("No"),(N110))))</formula>
    </cfRule>
  </conditionalFormatting>
  <conditionalFormatting sqref="N110:Q110 N134:Q135 N138:N139 N148:N152 N154 N159">
    <cfRule type="containsText" dxfId="9" priority="30528" operator="containsText" text="No">
      <formula>NOT(ISERROR(SEARCH(("No"),(N110))))</formula>
    </cfRule>
  </conditionalFormatting>
  <conditionalFormatting sqref="N110:Q110 N134:Q135 N138:N139 N148:N152 N154 N159">
    <cfRule type="containsText" dxfId="9" priority="30529" operator="containsText" text="No">
      <formula>NOT(ISERROR(SEARCH(("No"),(N110))))</formula>
    </cfRule>
  </conditionalFormatting>
  <conditionalFormatting sqref="N110:Q110 N134:Q135 N138:N139 N148:N152 N154 N159">
    <cfRule type="containsText" dxfId="9" priority="30530" operator="containsText" text="No">
      <formula>NOT(ISERROR(SEARCH(("No"),(N110))))</formula>
    </cfRule>
  </conditionalFormatting>
  <conditionalFormatting sqref="N110:Q110 N134:Q135 N138:N139 N148:N152 N154 N159">
    <cfRule type="containsText" dxfId="9" priority="30531" operator="containsText" text="No">
      <formula>NOT(ISERROR(SEARCH(("No"),(N110))))</formula>
    </cfRule>
  </conditionalFormatting>
  <conditionalFormatting sqref="N110:Q110 N134:Q135 N138:N139 N148:N152 N154 N159">
    <cfRule type="containsText" dxfId="9" priority="30532" operator="containsText" text="No">
      <formula>NOT(ISERROR(SEARCH(("No"),(N110))))</formula>
    </cfRule>
  </conditionalFormatting>
  <conditionalFormatting sqref="N110:Q110 N134:Q135 N138:N139 N148:N152 N154 N159">
    <cfRule type="containsText" dxfId="9" priority="30533" operator="containsText" text="No">
      <formula>NOT(ISERROR(SEARCH(("No"),(N110))))</formula>
    </cfRule>
  </conditionalFormatting>
  <conditionalFormatting sqref="N110:Q110 N134:Q135 N138:N139 N148:N152 N154 N159">
    <cfRule type="containsText" dxfId="9" priority="30534" operator="containsText" text="No">
      <formula>NOT(ISERROR(SEARCH(("No"),(N110))))</formula>
    </cfRule>
  </conditionalFormatting>
  <conditionalFormatting sqref="N110:Q110 N134:Q135 N138:N139 N148:N152 N154 N159">
    <cfRule type="containsText" dxfId="9" priority="30535" operator="containsText" text="No">
      <formula>NOT(ISERROR(SEARCH(("No"),(N110))))</formula>
    </cfRule>
  </conditionalFormatting>
  <conditionalFormatting sqref="N110:Q110 N134:Q135 N138:N139 N148:N152 N154 N159">
    <cfRule type="containsText" dxfId="9" priority="30536" operator="containsText" text="No">
      <formula>NOT(ISERROR(SEARCH(("No"),(N110))))</formula>
    </cfRule>
  </conditionalFormatting>
  <conditionalFormatting sqref="N110:Q110 N134:Q135 N138:N139 N148:N152 N154 N159">
    <cfRule type="containsText" dxfId="9" priority="30537" operator="containsText" text="No">
      <formula>NOT(ISERROR(SEARCH(("No"),(N110))))</formula>
    </cfRule>
  </conditionalFormatting>
  <conditionalFormatting sqref="N110:Q110 N134:Q135 N138:N139 N148:N152 N154 N159">
    <cfRule type="containsText" dxfId="9" priority="30538" operator="containsText" text="No">
      <formula>NOT(ISERROR(SEARCH(("No"),(N110))))</formula>
    </cfRule>
  </conditionalFormatting>
  <conditionalFormatting sqref="N110:Q110 N134:Q135 N138:N139 N148:N152 N154 N159">
    <cfRule type="containsText" dxfId="9" priority="30539" operator="containsText" text="No">
      <formula>NOT(ISERROR(SEARCH(("No"),(N110))))</formula>
    </cfRule>
  </conditionalFormatting>
  <conditionalFormatting sqref="N110:Q110 N134:Q135 N138:N139 N148:N152 N154 N159">
    <cfRule type="containsText" dxfId="9" priority="30540" operator="containsText" text="No">
      <formula>NOT(ISERROR(SEARCH(("No"),(N110))))</formula>
    </cfRule>
  </conditionalFormatting>
  <conditionalFormatting sqref="N110:Q110 N134:Q135 N138:N139 N148:N152 N154 N159">
    <cfRule type="containsText" dxfId="9" priority="30541" operator="containsText" text="No">
      <formula>NOT(ISERROR(SEARCH(("No"),(N110))))</formula>
    </cfRule>
  </conditionalFormatting>
  <conditionalFormatting sqref="N110:Q110 N134:Q135 N138:N139 N148:N152 N154 N159">
    <cfRule type="containsText" dxfId="9" priority="30542" operator="containsText" text="No">
      <formula>NOT(ISERROR(SEARCH(("No"),(N110))))</formula>
    </cfRule>
  </conditionalFormatting>
  <conditionalFormatting sqref="N110:Q110 N134:Q135 N138:N139 N148:N152 N154 N159">
    <cfRule type="containsText" dxfId="9" priority="30543" operator="containsText" text="No">
      <formula>NOT(ISERROR(SEARCH(("No"),(N110))))</formula>
    </cfRule>
  </conditionalFormatting>
  <conditionalFormatting sqref="N110:Q110 N134:Q135 N138:N139 N148:N152 N154 N159">
    <cfRule type="containsText" dxfId="9" priority="30544" operator="containsText" text="No">
      <formula>NOT(ISERROR(SEARCH(("No"),(N110))))</formula>
    </cfRule>
  </conditionalFormatting>
  <conditionalFormatting sqref="N110:Q110 N134:Q135 N138:N139 N148:N152 N154 N159">
    <cfRule type="containsText" dxfId="9" priority="30545" operator="containsText" text="No">
      <formula>NOT(ISERROR(SEARCH(("No"),(N110))))</formula>
    </cfRule>
  </conditionalFormatting>
  <conditionalFormatting sqref="N110:Q110 N134:Q135 N138:N139 N148:N152 N154 N159">
    <cfRule type="containsText" dxfId="9" priority="30546" operator="containsText" text="No">
      <formula>NOT(ISERROR(SEARCH(("No"),(N110))))</formula>
    </cfRule>
  </conditionalFormatting>
  <conditionalFormatting sqref="N110:Q110 N134:Q135 N138:N139 N148:N152 N154 N159">
    <cfRule type="containsText" dxfId="9" priority="30547" operator="containsText" text="No">
      <formula>NOT(ISERROR(SEARCH(("No"),(N110))))</formula>
    </cfRule>
  </conditionalFormatting>
  <conditionalFormatting sqref="N110:Q110 N134:Q135 N138:N139 N148:N152 N154 N159">
    <cfRule type="containsText" dxfId="9" priority="30548" operator="containsText" text="No">
      <formula>NOT(ISERROR(SEARCH(("No"),(N110))))</formula>
    </cfRule>
  </conditionalFormatting>
  <conditionalFormatting sqref="N110:Q110 N134:Q135 N138:N139 N148:N152 N154 N159">
    <cfRule type="containsText" dxfId="9" priority="30549" operator="containsText" text="No">
      <formula>NOT(ISERROR(SEARCH(("No"),(N110))))</formula>
    </cfRule>
  </conditionalFormatting>
  <conditionalFormatting sqref="N110:Q110 N134:Q135 N138:N139 N148:N152 N154 N159">
    <cfRule type="containsText" dxfId="9" priority="30550" operator="containsText" text="No">
      <formula>NOT(ISERROR(SEARCH(("No"),(N110))))</formula>
    </cfRule>
  </conditionalFormatting>
  <conditionalFormatting sqref="N110:Q110 N134:Q135 N138:N139 N148:N152 N154 N159">
    <cfRule type="containsText" dxfId="9" priority="30551" operator="containsText" text="No">
      <formula>NOT(ISERROR(SEARCH(("No"),(N110))))</formula>
    </cfRule>
  </conditionalFormatting>
  <conditionalFormatting sqref="N110:Q110 N134:Q135 N138:N139 N148:N152 N154 N159">
    <cfRule type="containsText" dxfId="9" priority="30552" operator="containsText" text="No">
      <formula>NOT(ISERROR(SEARCH(("No"),(N110))))</formula>
    </cfRule>
  </conditionalFormatting>
  <conditionalFormatting sqref="N110:Q110 N134:Q135 N138:N139 N148:N152 N154 N159">
    <cfRule type="containsText" dxfId="9" priority="30553" operator="containsText" text="No">
      <formula>NOT(ISERROR(SEARCH(("No"),(N110))))</formula>
    </cfRule>
  </conditionalFormatting>
  <conditionalFormatting sqref="N110:Q110 N134:Q135 N138:N139 N148:N152 N154 N159">
    <cfRule type="containsText" dxfId="9" priority="30554" operator="containsText" text="No">
      <formula>NOT(ISERROR(SEARCH(("No"),(N110))))</formula>
    </cfRule>
  </conditionalFormatting>
  <conditionalFormatting sqref="N110:Q110 N134:Q135 N138:N139 N148:N152 N154 N159">
    <cfRule type="containsText" dxfId="9" priority="30555" operator="containsText" text="No">
      <formula>NOT(ISERROR(SEARCH(("No"),(N110))))</formula>
    </cfRule>
  </conditionalFormatting>
  <conditionalFormatting sqref="N110:Q110 N134:Q135 N138:N139 N148:N152 N154 N159">
    <cfRule type="containsText" dxfId="9" priority="30556" operator="containsText" text="No">
      <formula>NOT(ISERROR(SEARCH(("No"),(N110))))</formula>
    </cfRule>
  </conditionalFormatting>
  <conditionalFormatting sqref="N110:Q110 N134:Q135 N138:N139 N148:N152 N154 N159">
    <cfRule type="containsText" dxfId="9" priority="30557" operator="containsText" text="No">
      <formula>NOT(ISERROR(SEARCH(("No"),(N110))))</formula>
    </cfRule>
  </conditionalFormatting>
  <conditionalFormatting sqref="N110:Q110 N134:Q135 N138:N139 N148:N152 N154 N159">
    <cfRule type="containsText" dxfId="9" priority="30558" operator="containsText" text="No">
      <formula>NOT(ISERROR(SEARCH(("No"),(N110))))</formula>
    </cfRule>
  </conditionalFormatting>
  <conditionalFormatting sqref="N110:Q110 N134:Q135 N138:N139 N148:N152 N154 N159">
    <cfRule type="containsText" dxfId="9" priority="30559" operator="containsText" text="No">
      <formula>NOT(ISERROR(SEARCH(("No"),(N110))))</formula>
    </cfRule>
  </conditionalFormatting>
  <conditionalFormatting sqref="N110:Q110 N134:Q135 N138:N139 N148:N152 N154 N159">
    <cfRule type="containsText" dxfId="9" priority="30560" operator="containsText" text="No">
      <formula>NOT(ISERROR(SEARCH(("No"),(N110))))</formula>
    </cfRule>
  </conditionalFormatting>
  <conditionalFormatting sqref="N110:Q110 N134:Q135 N138:N139 N148:N152 N154 N159">
    <cfRule type="containsText" dxfId="9" priority="30561" operator="containsText" text="No">
      <formula>NOT(ISERROR(SEARCH(("No"),(N110))))</formula>
    </cfRule>
  </conditionalFormatting>
  <conditionalFormatting sqref="N110:Q110 N134:Q135 N138:N139 N148:N152 N154 N159">
    <cfRule type="containsText" dxfId="9" priority="30562" operator="containsText" text="No">
      <formula>NOT(ISERROR(SEARCH(("No"),(N110))))</formula>
    </cfRule>
  </conditionalFormatting>
  <conditionalFormatting sqref="N110:Q110 N134:Q135 N138:N139 N148:N152 N154 N159">
    <cfRule type="containsText" dxfId="9" priority="30563" operator="containsText" text="No">
      <formula>NOT(ISERROR(SEARCH(("No"),(N110))))</formula>
    </cfRule>
  </conditionalFormatting>
  <conditionalFormatting sqref="N110:Q110 N134:Q135 N138:N139 N148:N152 N154 N159">
    <cfRule type="containsText" dxfId="9" priority="30564" operator="containsText" text="No">
      <formula>NOT(ISERROR(SEARCH(("No"),(N110))))</formula>
    </cfRule>
  </conditionalFormatting>
  <conditionalFormatting sqref="N110:Q110 N134:Q135 N138:N139 N148:N152 N154 N159">
    <cfRule type="containsText" dxfId="9" priority="30565" operator="containsText" text="No">
      <formula>NOT(ISERROR(SEARCH(("No"),(N110))))</formula>
    </cfRule>
  </conditionalFormatting>
  <conditionalFormatting sqref="N110:Q110 N134:Q135 N138:N139 N148:N152 N154 N159">
    <cfRule type="containsText" dxfId="2" priority="30566" operator="containsText" text="Yes">
      <formula>NOT(ISERROR(SEARCH(("Yes"),(N110))))</formula>
    </cfRule>
  </conditionalFormatting>
  <conditionalFormatting sqref="N110:Q110 N134:Q135 N138:N139 N148:N152 N154 N159">
    <cfRule type="containsText" dxfId="2" priority="30567" operator="containsText" text="Yes">
      <formula>NOT(ISERROR(SEARCH(("Yes"),(N110))))</formula>
    </cfRule>
  </conditionalFormatting>
  <conditionalFormatting sqref="N110:Q110 N134:Q135 N138:N139 N148:N152 N154 N159">
    <cfRule type="containsText" dxfId="2" priority="30568" operator="containsText" text="Yes">
      <formula>NOT(ISERROR(SEARCH(("Yes"),(N110))))</formula>
    </cfRule>
  </conditionalFormatting>
  <conditionalFormatting sqref="N110:Q110 N134:Q135 N138:N139 N148:N152 N154 N159">
    <cfRule type="containsText" dxfId="2" priority="30569" operator="containsText" text="Yes">
      <formula>NOT(ISERROR(SEARCH(("Yes"),(N110))))</formula>
    </cfRule>
  </conditionalFormatting>
  <conditionalFormatting sqref="N110:Q110 N134:Q135 N138:N139 N148:N152 N154 N159">
    <cfRule type="containsText" dxfId="2" priority="30570" operator="containsText" text="Yes">
      <formula>NOT(ISERROR(SEARCH(("Yes"),(N110))))</formula>
    </cfRule>
  </conditionalFormatting>
  <conditionalFormatting sqref="N110:Q110 N134:Q135 N138:N139 N148:N152 N154 N159">
    <cfRule type="containsText" dxfId="2" priority="30571" operator="containsText" text="Yes">
      <formula>NOT(ISERROR(SEARCH(("Yes"),(N110))))</formula>
    </cfRule>
  </conditionalFormatting>
  <conditionalFormatting sqref="N110:Q110 N134:Q135 N138:N139 N148:N152 N154 N159">
    <cfRule type="containsText" dxfId="2" priority="30572" operator="containsText" text="Yes">
      <formula>NOT(ISERROR(SEARCH(("Yes"),(N110))))</formula>
    </cfRule>
  </conditionalFormatting>
  <conditionalFormatting sqref="N110:Q110 N134:Q135 N138:N139 N148:N152 N154 N159">
    <cfRule type="containsText" dxfId="2" priority="30573" operator="containsText" text="Yes">
      <formula>NOT(ISERROR(SEARCH(("Yes"),(N110))))</formula>
    </cfRule>
  </conditionalFormatting>
  <conditionalFormatting sqref="N110:Q110 N134:Q135 N138:N139 N148:N152 N154 N159">
    <cfRule type="containsText" dxfId="2" priority="30574" operator="containsText" text="Yes">
      <formula>NOT(ISERROR(SEARCH(("Yes"),(N110))))</formula>
    </cfRule>
  </conditionalFormatting>
  <conditionalFormatting sqref="N110:Q110 N134:Q135 N138:N139 N148:N152 N154 N159">
    <cfRule type="containsText" dxfId="2" priority="30575" operator="containsText" text="Yes">
      <formula>NOT(ISERROR(SEARCH(("Yes"),(N110))))</formula>
    </cfRule>
  </conditionalFormatting>
  <conditionalFormatting sqref="N110:Q110 N134:Q135 N138:N139 N148:N152 N154 N159">
    <cfRule type="containsText" dxfId="2" priority="30576" operator="containsText" text="Yes">
      <formula>NOT(ISERROR(SEARCH(("Yes"),(N110))))</formula>
    </cfRule>
  </conditionalFormatting>
  <conditionalFormatting sqref="N110:Q110 N134:Q135 N138:N139 N148:N152 N154 N159">
    <cfRule type="containsText" dxfId="2" priority="30577" operator="containsText" text="Yes">
      <formula>NOT(ISERROR(SEARCH(("Yes"),(N110))))</formula>
    </cfRule>
  </conditionalFormatting>
  <conditionalFormatting sqref="N110:Q110 N134:Q135 N138:N139 N148:N152 N154 N159">
    <cfRule type="containsText" dxfId="2" priority="30578" operator="containsText" text="Yes">
      <formula>NOT(ISERROR(SEARCH(("Yes"),(N110))))</formula>
    </cfRule>
  </conditionalFormatting>
  <conditionalFormatting sqref="N110:Q110 N134:Q135 N138:N139 N148:N152 N154 N159">
    <cfRule type="containsText" dxfId="2" priority="30579" operator="containsText" text="Yes">
      <formula>NOT(ISERROR(SEARCH(("Yes"),(N110))))</formula>
    </cfRule>
  </conditionalFormatting>
  <conditionalFormatting sqref="N110:Q110 N134:Q135 N138:N139 N148:N152 N154 N159">
    <cfRule type="containsText" dxfId="2" priority="30580" operator="containsText" text="Yes">
      <formula>NOT(ISERROR(SEARCH(("Yes"),(N110))))</formula>
    </cfRule>
  </conditionalFormatting>
  <conditionalFormatting sqref="N110:Q110 N134:Q135 N138:N139 N148:N152 N154 N159">
    <cfRule type="containsText" dxfId="2" priority="30581" operator="containsText" text="Yes">
      <formula>NOT(ISERROR(SEARCH(("Yes"),(N110))))</formula>
    </cfRule>
  </conditionalFormatting>
  <conditionalFormatting sqref="N110:Q110 N134:Q135 N138:N139 N148:N152 N154 N159">
    <cfRule type="containsText" dxfId="2" priority="30582" operator="containsText" text="Yes">
      <formula>NOT(ISERROR(SEARCH(("Yes"),(N110))))</formula>
    </cfRule>
  </conditionalFormatting>
  <conditionalFormatting sqref="N110:Q110 N134:Q135 N138:N139 N148:N152 N154 N159">
    <cfRule type="containsText" dxfId="2" priority="30583" operator="containsText" text="Yes">
      <formula>NOT(ISERROR(SEARCH(("Yes"),(N110))))</formula>
    </cfRule>
  </conditionalFormatting>
  <conditionalFormatting sqref="N110:Q110 N134:Q135 N138:N139 N148:N152 N154 N159">
    <cfRule type="containsText" dxfId="2" priority="30584" operator="containsText" text="Yes">
      <formula>NOT(ISERROR(SEARCH(("Yes"),(N110))))</formula>
    </cfRule>
  </conditionalFormatting>
  <conditionalFormatting sqref="N110:Q110 N134:Q135 N138:N139 N148:N152 N154 N159">
    <cfRule type="containsText" dxfId="2" priority="30585" operator="containsText" text="Yes">
      <formula>NOT(ISERROR(SEARCH(("Yes"),(N110))))</formula>
    </cfRule>
  </conditionalFormatting>
  <conditionalFormatting sqref="N110:Q110 N134:Q135 N138:N139 N148:N152 N154 N159">
    <cfRule type="containsText" dxfId="2" priority="30586" operator="containsText" text="Yes">
      <formula>NOT(ISERROR(SEARCH(("Yes"),(N110))))</formula>
    </cfRule>
  </conditionalFormatting>
  <conditionalFormatting sqref="N110:Q110 N134:Q135 N138:N139 N148:N152 N154 N159">
    <cfRule type="containsText" dxfId="2" priority="30587" operator="containsText" text="Yes">
      <formula>NOT(ISERROR(SEARCH(("Yes"),(N110))))</formula>
    </cfRule>
  </conditionalFormatting>
  <conditionalFormatting sqref="N110:Q110 N134:Q135 N138:N139 N148:N152 N154 N159">
    <cfRule type="containsText" dxfId="2" priority="30588" operator="containsText" text="Yes">
      <formula>NOT(ISERROR(SEARCH(("Yes"),(N110))))</formula>
    </cfRule>
  </conditionalFormatting>
  <conditionalFormatting sqref="N110:Q110 N134:Q135 N138:N139 N148:N152 N154 N159">
    <cfRule type="containsText" dxfId="2" priority="30589" operator="containsText" text="Yes">
      <formula>NOT(ISERROR(SEARCH(("Yes"),(N110))))</formula>
    </cfRule>
  </conditionalFormatting>
  <conditionalFormatting sqref="N110:Q110 N134:Q135 N138:N139 N148:N152 N154 N159">
    <cfRule type="containsText" dxfId="2" priority="30590" operator="containsText" text="Yes">
      <formula>NOT(ISERROR(SEARCH(("Yes"),(N110))))</formula>
    </cfRule>
  </conditionalFormatting>
  <conditionalFormatting sqref="N110:Q110 N134:Q135 N138:N139 N148:N152 N154 N159">
    <cfRule type="containsText" dxfId="2" priority="30591" operator="containsText" text="Yes">
      <formula>NOT(ISERROR(SEARCH(("Yes"),(N110))))</formula>
    </cfRule>
  </conditionalFormatting>
  <conditionalFormatting sqref="N110:Q110 N134:Q135 N138:N139 N148:N152 N154 N159">
    <cfRule type="containsText" dxfId="2" priority="30592" operator="containsText" text="Yes">
      <formula>NOT(ISERROR(SEARCH(("Yes"),(N110))))</formula>
    </cfRule>
  </conditionalFormatting>
  <conditionalFormatting sqref="N110:Q110 N134:Q135 N138:N139 N148:N152 N154 N159">
    <cfRule type="containsText" dxfId="2" priority="30593" operator="containsText" text="Yes">
      <formula>NOT(ISERROR(SEARCH(("Yes"),(N110))))</formula>
    </cfRule>
  </conditionalFormatting>
  <conditionalFormatting sqref="N110:Q110 N134:Q135 N138:N139 N148:N152 N154 N159">
    <cfRule type="containsText" dxfId="2" priority="30594" operator="containsText" text="Yes">
      <formula>NOT(ISERROR(SEARCH(("Yes"),(N110))))</formula>
    </cfRule>
  </conditionalFormatting>
  <conditionalFormatting sqref="N110:Q110 N134:Q135 N138:N139 N148:N152 N154 N159">
    <cfRule type="containsText" dxfId="2" priority="30595" operator="containsText" text="Yes">
      <formula>NOT(ISERROR(SEARCH(("Yes"),(N110))))</formula>
    </cfRule>
  </conditionalFormatting>
  <conditionalFormatting sqref="N110:Q110 N134:Q135 N138:N139 N148:N152 N154 N159">
    <cfRule type="containsText" dxfId="2" priority="30596" operator="containsText" text="Yes">
      <formula>NOT(ISERROR(SEARCH(("Yes"),(N110))))</formula>
    </cfRule>
  </conditionalFormatting>
  <conditionalFormatting sqref="N110:Q110 N134:Q135 N138:N139 N148:N152 N154 N159">
    <cfRule type="containsText" dxfId="2" priority="30597" operator="containsText" text="Yes">
      <formula>NOT(ISERROR(SEARCH(("Yes"),(N110))))</formula>
    </cfRule>
  </conditionalFormatting>
  <conditionalFormatting sqref="N110:Q110 N134:Q135 N138:N139 N148:N152 N154 N159">
    <cfRule type="containsText" dxfId="2" priority="30598" operator="containsText" text="Yes">
      <formula>NOT(ISERROR(SEARCH(("Yes"),(N110))))</formula>
    </cfRule>
  </conditionalFormatting>
  <conditionalFormatting sqref="N110:Q110 N134:Q135 N138:N139 N148:N152 N154 N159">
    <cfRule type="containsText" dxfId="2" priority="30599" operator="containsText" text="Yes">
      <formula>NOT(ISERROR(SEARCH(("Yes"),(N110))))</formula>
    </cfRule>
  </conditionalFormatting>
  <conditionalFormatting sqref="N110:Q110 N134:Q135 N138:N139 N148:N152 N154 N159">
    <cfRule type="containsText" dxfId="2" priority="30600" operator="containsText" text="Yes">
      <formula>NOT(ISERROR(SEARCH(("Yes"),(N110))))</formula>
    </cfRule>
  </conditionalFormatting>
  <conditionalFormatting sqref="N110:Q110 N134:Q135 N138:N139 N148:N152 N154 N159">
    <cfRule type="containsText" dxfId="2" priority="30601" operator="containsText" text="Yes">
      <formula>NOT(ISERROR(SEARCH(("Yes"),(N110))))</formula>
    </cfRule>
  </conditionalFormatting>
  <conditionalFormatting sqref="N110:Q110 N134:Q135 N138:N139 N148:N152 N154 N159">
    <cfRule type="containsText" dxfId="2" priority="30602" operator="containsText" text="Yes">
      <formula>NOT(ISERROR(SEARCH(("Yes"),(N110))))</formula>
    </cfRule>
  </conditionalFormatting>
  <conditionalFormatting sqref="N110:Q110 N134:Q135 N138:N139 N148:N152 N154 N159">
    <cfRule type="containsText" dxfId="2" priority="30603" operator="containsText" text="Yes">
      <formula>NOT(ISERROR(SEARCH(("Yes"),(N110))))</formula>
    </cfRule>
  </conditionalFormatting>
  <conditionalFormatting sqref="N110:Q110 N134:Q135 N138:N139 N148:N152 N154 N159">
    <cfRule type="containsText" dxfId="2" priority="30604" operator="containsText" text="Yes">
      <formula>NOT(ISERROR(SEARCH(("Yes"),(N110))))</formula>
    </cfRule>
  </conditionalFormatting>
  <conditionalFormatting sqref="N110:Q110 N134:Q135 N138:N139 N148:N152 N154 N159">
    <cfRule type="containsText" dxfId="2" priority="30605" operator="containsText" text="Yes">
      <formula>NOT(ISERROR(SEARCH(("Yes"),(N110))))</formula>
    </cfRule>
  </conditionalFormatting>
  <conditionalFormatting sqref="N110:Q110 N134:Q135 N138:N139 N148:N152 N154 N159">
    <cfRule type="containsText" dxfId="2" priority="30606" operator="containsText" text="Yes">
      <formula>NOT(ISERROR(SEARCH(("Yes"),(N110))))</formula>
    </cfRule>
  </conditionalFormatting>
  <conditionalFormatting sqref="N110:Q110 N134:Q135 N138:N139 N148:N152 N154 N159">
    <cfRule type="containsText" dxfId="2" priority="30607" operator="containsText" text="Yes">
      <formula>NOT(ISERROR(SEARCH(("Yes"),(N110))))</formula>
    </cfRule>
  </conditionalFormatting>
  <conditionalFormatting sqref="N110:Q110 N134:Q135 N138:N139 N148:N152 N154 N159">
    <cfRule type="containsText" dxfId="2" priority="30608" operator="containsText" text="Yes">
      <formula>NOT(ISERROR(SEARCH(("Yes"),(N110))))</formula>
    </cfRule>
  </conditionalFormatting>
  <conditionalFormatting sqref="N110:Q110 N134:Q135 N138:N139 N148:N152 N154 N159">
    <cfRule type="containsText" dxfId="2" priority="30609" operator="containsText" text="Yes">
      <formula>NOT(ISERROR(SEARCH(("Yes"),(N110))))</formula>
    </cfRule>
  </conditionalFormatting>
  <conditionalFormatting sqref="N110:Q110 N134:Q135 N138:N139 N148:N152 N154 N159">
    <cfRule type="containsText" dxfId="2" priority="30610" operator="containsText" text="Yes">
      <formula>NOT(ISERROR(SEARCH(("Yes"),(N110))))</formula>
    </cfRule>
  </conditionalFormatting>
  <conditionalFormatting sqref="N110:Q110 N134:Q135 N138:N139 N148:N152 N154 N159">
    <cfRule type="containsText" dxfId="2" priority="30611" operator="containsText" text="Yes">
      <formula>NOT(ISERROR(SEARCH(("Yes"),(N110))))</formula>
    </cfRule>
  </conditionalFormatting>
  <conditionalFormatting sqref="N110:Q110 N134:Q135 N138:N139 N148:N152 N154 N159">
    <cfRule type="containsText" dxfId="2" priority="30612" operator="containsText" text="Yes">
      <formula>NOT(ISERROR(SEARCH(("Yes"),(N110))))</formula>
    </cfRule>
  </conditionalFormatting>
  <conditionalFormatting sqref="N111:N133 P127 N136:N152 O150 N154 N159 N161">
    <cfRule type="containsText" dxfId="9" priority="30613" operator="containsText" text="No">
      <formula>NOT(ISERROR(SEARCH(("No"),(N111))))</formula>
    </cfRule>
  </conditionalFormatting>
  <conditionalFormatting sqref="N111:N133 P127 N136:N152 O150 N154 N159 N161">
    <cfRule type="containsText" dxfId="9" priority="30614" operator="containsText" text="No">
      <formula>NOT(ISERROR(SEARCH(("No"),(N111))))</formula>
    </cfRule>
  </conditionalFormatting>
  <conditionalFormatting sqref="N111:N133 P127 N136:N152 O150 N154 N159 N161">
    <cfRule type="containsText" dxfId="9" priority="30615" operator="containsText" text="No">
      <formula>NOT(ISERROR(SEARCH(("No"),(N111))))</formula>
    </cfRule>
  </conditionalFormatting>
  <conditionalFormatting sqref="N111:N133 P127 N136:N152 O150 N154 N159 N161">
    <cfRule type="containsText" dxfId="2" priority="30616" operator="containsText" text="Yes">
      <formula>NOT(ISERROR(SEARCH(("Yes"),(N111))))</formula>
    </cfRule>
  </conditionalFormatting>
  <conditionalFormatting sqref="N111:N133 P127 N136:N152 O150 N154 N159 N161">
    <cfRule type="containsText" dxfId="2" priority="30617" operator="containsText" text="Yes">
      <formula>NOT(ISERROR(SEARCH(("Yes"),(N111))))</formula>
    </cfRule>
  </conditionalFormatting>
  <conditionalFormatting sqref="N111:N133 P127 N136:N152 O150 N154 N159 N161">
    <cfRule type="containsText" dxfId="2" priority="30618" operator="containsText" text="Yes">
      <formula>NOT(ISERROR(SEARCH(("Yes"),(N111))))</formula>
    </cfRule>
  </conditionalFormatting>
  <conditionalFormatting sqref="N111:N133 P127 N136:N152 O150 N154 N159 N161">
    <cfRule type="containsText" dxfId="2" priority="30619" operator="containsText" text="Yes">
      <formula>NOT(ISERROR(SEARCH(("Yes"),(N111))))</formula>
    </cfRule>
  </conditionalFormatting>
  <conditionalFormatting sqref="N111:N133 P127 N136:N152 O150 N154 N159 N161">
    <cfRule type="containsText" dxfId="2" priority="30620" operator="containsText" text="Yes">
      <formula>NOT(ISERROR(SEARCH(("Yes"),(N111))))</formula>
    </cfRule>
  </conditionalFormatting>
  <conditionalFormatting sqref="N111:N133 P127 N136:N152 O150 N154 N159 N161">
    <cfRule type="containsText" dxfId="9" priority="30621" operator="containsText" text="No">
      <formula>NOT(ISERROR(SEARCH(("No"),(N111))))</formula>
    </cfRule>
  </conditionalFormatting>
  <conditionalFormatting sqref="N111:N133 P127 N136:N152 O150 N154 N159 N161">
    <cfRule type="containsText" dxfId="2" priority="30622" operator="containsText" text="Yes">
      <formula>NOT(ISERROR(SEARCH(("Yes"),(N111))))</formula>
    </cfRule>
  </conditionalFormatting>
  <conditionalFormatting sqref="O111:O133 Q127 O136:O152 N139 P145 P150 O154:O155 O159 O161:O162 N162 N164:O167 N170:O170 N172:O172 N174:O174 N176:O176 N180:O182 N184:O184">
    <cfRule type="containsText" dxfId="9" priority="30623" operator="containsText" text="No">
      <formula>NOT(ISERROR(SEARCH(("No"),(O111))))</formula>
    </cfRule>
  </conditionalFormatting>
  <conditionalFormatting sqref="O111:O133 Q127 O136:O152 N139 P145 P150 O154:O155 O159 O161:O162 N162 N164:O167 N170:O170 N172:O172 N174:O174 N176:O176 N180:O182 N184:O184">
    <cfRule type="containsText" dxfId="9" priority="30624" operator="containsText" text="No">
      <formula>NOT(ISERROR(SEARCH(("No"),(O111))))</formula>
    </cfRule>
  </conditionalFormatting>
  <conditionalFormatting sqref="O111:O133 Q127 O136:O152 N139 P145 P150 O154:O155 O159 O161:O162 N162 N164:O167 N170:O170 N172:O172 N174:O174 N176:O176 N180:O182 N184:O184">
    <cfRule type="containsText" dxfId="9" priority="30625" operator="containsText" text="No">
      <formula>NOT(ISERROR(SEARCH(("No"),(O111))))</formula>
    </cfRule>
  </conditionalFormatting>
  <conditionalFormatting sqref="O111:O133 Q127 O136:O152 N139 P145 P150 O154:O155 O159 O161:O162 N162 N164:O167 N170:O170 N172:O172 N174:O174 N176:O176 N180:O182 N184:O184">
    <cfRule type="containsText" dxfId="2" priority="30626" operator="containsText" text="Yes">
      <formula>NOT(ISERROR(SEARCH(("Yes"),(O111))))</formula>
    </cfRule>
  </conditionalFormatting>
  <conditionalFormatting sqref="O111:O133 Q127 O136:O152 N139 P145 P150 O154:O155 O159 O161:O162 N162 N164:O167 N170:O170 N172:O172 N174:O174 N176:O176 N180:O182 N184:O184">
    <cfRule type="containsText" dxfId="2" priority="30627" operator="containsText" text="Yes">
      <formula>NOT(ISERROR(SEARCH(("Yes"),(O111))))</formula>
    </cfRule>
  </conditionalFormatting>
  <conditionalFormatting sqref="O111:O133 Q127 O136:O152 N139 P145 P150 O154:O155 O159 O161:O162 N162 N164:O167 N170:O170 N172:O172 N174:O174 N176:O176 N180:O182 N184:O184">
    <cfRule type="containsText" dxfId="2" priority="30628" operator="containsText" text="Yes">
      <formula>NOT(ISERROR(SEARCH(("Yes"),(O111))))</formula>
    </cfRule>
  </conditionalFormatting>
  <conditionalFormatting sqref="O111:O133 Q127 O136:O152 N139 P145 P150 O154:O155 O159 O161:O162 N162 N164:O167 N170:O170 N172:O172 N174:O174 N176:O176 N180:O182 N184:O184">
    <cfRule type="containsText" dxfId="2" priority="30629" operator="containsText" text="Yes">
      <formula>NOT(ISERROR(SEARCH(("Yes"),(O111))))</formula>
    </cfRule>
  </conditionalFormatting>
  <conditionalFormatting sqref="O111:O133 Q127 O136:O152 N139 P145 P150 O154:O155 O159 O161:O162 N162 N164:O167 N170:O170 N172:O172 N174:O174 N176:O176 N180:O182 N184:O184">
    <cfRule type="containsText" dxfId="2" priority="30630" operator="containsText" text="Yes">
      <formula>NOT(ISERROR(SEARCH(("Yes"),(O111))))</formula>
    </cfRule>
  </conditionalFormatting>
  <conditionalFormatting sqref="O111:O133 Q127 O136:O152 N139 P145 P150 O154:O155 O159 O161:O162 N162 N164:O167 N170:O170 N172:O172 N174:O174 N176:O176 N180:O182 N184:O184">
    <cfRule type="containsText" dxfId="9" priority="30631" operator="containsText" text="No">
      <formula>NOT(ISERROR(SEARCH(("No"),(O111))))</formula>
    </cfRule>
  </conditionalFormatting>
  <conditionalFormatting sqref="O111:O133 Q127 O136:O152 N139 P145 P150 O154:O155 O159 O161:O162 N162 N164:O167 N170:O170 N172:O172 N174:O174 N176:O176 N180:O182 N184:O184">
    <cfRule type="containsText" dxfId="9" priority="30632" operator="containsText" text="No">
      <formula>NOT(ISERROR(SEARCH(("No"),(O111))))</formula>
    </cfRule>
  </conditionalFormatting>
  <conditionalFormatting sqref="O111:O133 Q127 O136:O152 N139 P145 P150 O154:O155 O159 O161:O162 N162 N164:O167 N170:O170 N172:O172 N174:O174 N176:O176 N180:O182 N184:O184">
    <cfRule type="containsText" dxfId="2" priority="30633" operator="containsText" text="Yes">
      <formula>NOT(ISERROR(SEARCH(("Yes"),(O111))))</formula>
    </cfRule>
  </conditionalFormatting>
  <conditionalFormatting sqref="P111:Q111 P114:Q114 P119:Q120 P140:Q141 P144:Q145 O145 P150:Q150">
    <cfRule type="containsText" dxfId="9" priority="30634" operator="containsText" text="No">
      <formula>NOT(ISERROR(SEARCH(("No"),(P111))))</formula>
    </cfRule>
  </conditionalFormatting>
  <conditionalFormatting sqref="P111:Q111 P114:Q114 P119:Q120 P140:Q141 P144:Q145 O145 P150:Q150">
    <cfRule type="containsText" dxfId="9" priority="30635" operator="containsText" text="No">
      <formula>NOT(ISERROR(SEARCH(("No"),(P111))))</formula>
    </cfRule>
  </conditionalFormatting>
  <conditionalFormatting sqref="P111:Q111 P114:Q114 P119:Q120 P140:Q141 P144:Q145 O145 P150:Q150">
    <cfRule type="containsText" dxfId="9" priority="30636" operator="containsText" text="No">
      <formula>NOT(ISERROR(SEARCH(("No"),(P111))))</formula>
    </cfRule>
  </conditionalFormatting>
  <conditionalFormatting sqref="P111:Q111 P114:Q114 P119:Q120 P140:Q141 P144:Q145 O145 P150:Q150">
    <cfRule type="containsText" dxfId="9" priority="30637" operator="containsText" text="No">
      <formula>NOT(ISERROR(SEARCH(("No"),(P111))))</formula>
    </cfRule>
  </conditionalFormatting>
  <conditionalFormatting sqref="P111:Q111 P114:Q114 P119:Q120 P140:Q141 P144:Q145 O145 P150:Q150">
    <cfRule type="containsText" dxfId="9" priority="30638" operator="containsText" text="No">
      <formula>NOT(ISERROR(SEARCH(("No"),(P111))))</formula>
    </cfRule>
  </conditionalFormatting>
  <conditionalFormatting sqref="P111:Q111 P114:Q114 P119:Q120 P140:Q141 P144:Q145 O145 P150:Q150">
    <cfRule type="containsText" dxfId="9" priority="30639" operator="containsText" text="No">
      <formula>NOT(ISERROR(SEARCH(("No"),(P111))))</formula>
    </cfRule>
  </conditionalFormatting>
  <conditionalFormatting sqref="P111:Q111 P114:Q114 P119:Q120 P140:Q141 P144:Q145 O145 P150:Q150">
    <cfRule type="containsText" dxfId="9" priority="30640" operator="containsText" text="No">
      <formula>NOT(ISERROR(SEARCH(("No"),(P111))))</formula>
    </cfRule>
  </conditionalFormatting>
  <conditionalFormatting sqref="P111:Q111 P114:Q114 P119:Q120 P140:Q141 P144:Q145 O145 P150:Q150">
    <cfRule type="containsText" dxfId="9" priority="30641" operator="containsText" text="No">
      <formula>NOT(ISERROR(SEARCH(("No"),(P111))))</formula>
    </cfRule>
  </conditionalFormatting>
  <conditionalFormatting sqref="P111:Q111 P114:Q114 P119:Q120 P140:Q141 P144:Q145 O145 P150:Q150">
    <cfRule type="containsText" dxfId="9" priority="30642" operator="containsText" text="No">
      <formula>NOT(ISERROR(SEARCH(("No"),(P111))))</formula>
    </cfRule>
  </conditionalFormatting>
  <conditionalFormatting sqref="P111:Q111 P114:Q114 P119:Q120 P140:Q141 P144:Q145 O145 P150:Q150">
    <cfRule type="containsText" dxfId="9" priority="30643" operator="containsText" text="No">
      <formula>NOT(ISERROR(SEARCH(("No"),(P111))))</formula>
    </cfRule>
  </conditionalFormatting>
  <conditionalFormatting sqref="P111:Q111 P114:Q114 P119:Q120 P140:Q141 P144:Q145 O145 P150:Q150">
    <cfRule type="containsText" dxfId="9" priority="30644" operator="containsText" text="No">
      <formula>NOT(ISERROR(SEARCH(("No"),(P111))))</formula>
    </cfRule>
  </conditionalFormatting>
  <conditionalFormatting sqref="P111:Q111 P114:Q114 P119:Q120 P140:Q141 P144:Q145 O145 P150:Q150">
    <cfRule type="containsText" dxfId="9" priority="30645" operator="containsText" text="No">
      <formula>NOT(ISERROR(SEARCH(("No"),(P111))))</formula>
    </cfRule>
  </conditionalFormatting>
  <conditionalFormatting sqref="P111:Q111 P114:Q114 P119:Q120 P140:Q141 P144:Q145 O145 P150:Q150">
    <cfRule type="containsText" dxfId="9" priority="30646" operator="containsText" text="No">
      <formula>NOT(ISERROR(SEARCH(("No"),(P111))))</formula>
    </cfRule>
  </conditionalFormatting>
  <conditionalFormatting sqref="P111:Q111 P114:Q114 P119:Q120 P140:Q141 P144:Q145 O145 P150:Q150">
    <cfRule type="containsText" dxfId="9" priority="30647" operator="containsText" text="No">
      <formula>NOT(ISERROR(SEARCH(("No"),(P111))))</formula>
    </cfRule>
  </conditionalFormatting>
  <conditionalFormatting sqref="P111:Q111 P114:Q114 P119:Q120 P140:Q141 P144:Q145 O145 P150:Q150">
    <cfRule type="containsText" dxfId="9" priority="30648" operator="containsText" text="No">
      <formula>NOT(ISERROR(SEARCH(("No"),(P111))))</formula>
    </cfRule>
  </conditionalFormatting>
  <conditionalFormatting sqref="P111:Q111 P114:Q114 P119:Q120 P140:Q141 P144:Q145 O145 P150:Q150">
    <cfRule type="containsText" dxfId="9" priority="30649" operator="containsText" text="No">
      <formula>NOT(ISERROR(SEARCH(("No"),(P111))))</formula>
    </cfRule>
  </conditionalFormatting>
  <conditionalFormatting sqref="P111:Q111 P114:Q114 P119:Q120 P140:Q141 P144:Q145 O145 P150:Q150">
    <cfRule type="containsText" dxfId="9" priority="30650" operator="containsText" text="No">
      <formula>NOT(ISERROR(SEARCH(("No"),(P111))))</formula>
    </cfRule>
  </conditionalFormatting>
  <conditionalFormatting sqref="P111:Q111 P114:Q114 P119:Q120 P140:Q141 P144:Q145 O145 P150:Q150">
    <cfRule type="containsText" dxfId="9" priority="30651" operator="containsText" text="No">
      <formula>NOT(ISERROR(SEARCH(("No"),(P111))))</formula>
    </cfRule>
  </conditionalFormatting>
  <conditionalFormatting sqref="P111:Q111 P114:Q114 P119:Q120 P140:Q141 P144:Q145 O145 P150:Q150">
    <cfRule type="containsText" dxfId="9" priority="30652" operator="containsText" text="No">
      <formula>NOT(ISERROR(SEARCH(("No"),(P111))))</formula>
    </cfRule>
  </conditionalFormatting>
  <conditionalFormatting sqref="P111:Q111 P114:Q114 P119:Q120 P140:Q141 P144:Q145 O145 P150:Q150">
    <cfRule type="containsText" dxfId="9" priority="30653" operator="containsText" text="No">
      <formula>NOT(ISERROR(SEARCH(("No"),(P111))))</formula>
    </cfRule>
  </conditionalFormatting>
  <conditionalFormatting sqref="P111:Q111 P114:Q114 P119:Q120 P140:Q141 P144:Q145 O145 P150:Q150">
    <cfRule type="containsText" dxfId="9" priority="30654" operator="containsText" text="No">
      <formula>NOT(ISERROR(SEARCH(("No"),(P111))))</formula>
    </cfRule>
  </conditionalFormatting>
  <conditionalFormatting sqref="P111:Q111 P114:Q114 P119:Q120 P140:Q141 P144:Q145 O145 P150:Q150">
    <cfRule type="containsText" dxfId="9" priority="30655" operator="containsText" text="No">
      <formula>NOT(ISERROR(SEARCH(("No"),(P111))))</formula>
    </cfRule>
  </conditionalFormatting>
  <conditionalFormatting sqref="P111:Q111 P114:Q114 P119:Q120 P140:Q141 P144:Q145 O145 P150:Q150">
    <cfRule type="containsText" dxfId="9" priority="30656" operator="containsText" text="No">
      <formula>NOT(ISERROR(SEARCH(("No"),(P111))))</formula>
    </cfRule>
  </conditionalFormatting>
  <conditionalFormatting sqref="P111:Q111 P114:Q114 P119:Q120 P140:Q141 P144:Q145 O145 P150:Q150">
    <cfRule type="containsText" dxfId="9" priority="30657" operator="containsText" text="No">
      <formula>NOT(ISERROR(SEARCH(("No"),(P111))))</formula>
    </cfRule>
  </conditionalFormatting>
  <conditionalFormatting sqref="P111:Q111 P114:Q114 P119:Q120 P140:Q141 P144:Q145 O145 P150:Q150">
    <cfRule type="containsText" dxfId="9" priority="30658" operator="containsText" text="No">
      <formula>NOT(ISERROR(SEARCH(("No"),(P111))))</formula>
    </cfRule>
  </conditionalFormatting>
  <conditionalFormatting sqref="P111:Q111 P114:Q114 P119:Q120 P140:Q141 P144:Q145 O145 P150:Q150">
    <cfRule type="containsText" dxfId="9" priority="30659" operator="containsText" text="No">
      <formula>NOT(ISERROR(SEARCH(("No"),(P111))))</formula>
    </cfRule>
  </conditionalFormatting>
  <conditionalFormatting sqref="P111:Q111 P114:Q114 P119:Q120 P140:Q141 P144:Q145 O145 P150:Q150">
    <cfRule type="containsText" dxfId="9" priority="30660" operator="containsText" text="No">
      <formula>NOT(ISERROR(SEARCH(("No"),(P111))))</formula>
    </cfRule>
  </conditionalFormatting>
  <conditionalFormatting sqref="P111:Q111 P114:Q114 P119:Q120 P140:Q141 P144:Q145 O145 P150:Q150">
    <cfRule type="containsText" dxfId="9" priority="30661" operator="containsText" text="No">
      <formula>NOT(ISERROR(SEARCH(("No"),(P111))))</formula>
    </cfRule>
  </conditionalFormatting>
  <conditionalFormatting sqref="P111:Q111 P114:Q114 P119:Q120 P140:Q141 P144:Q145 O145 P150:Q150">
    <cfRule type="containsText" dxfId="9" priority="30662" operator="containsText" text="No">
      <formula>NOT(ISERROR(SEARCH(("No"),(P111))))</formula>
    </cfRule>
  </conditionalFormatting>
  <conditionalFormatting sqref="P111:Q111 P114:Q114 P119:Q120 P140:Q141 P144:Q145 O145 P150:Q150">
    <cfRule type="containsText" dxfId="9" priority="30663" operator="containsText" text="No">
      <formula>NOT(ISERROR(SEARCH(("No"),(P111))))</formula>
    </cfRule>
  </conditionalFormatting>
  <conditionalFormatting sqref="P111:Q111 P114:Q114 P119:Q120 P140:Q141 P144:Q145 O145 P150:Q150">
    <cfRule type="containsText" dxfId="9" priority="30664" operator="containsText" text="No">
      <formula>NOT(ISERROR(SEARCH(("No"),(P111))))</formula>
    </cfRule>
  </conditionalFormatting>
  <conditionalFormatting sqref="P111:Q111 P114:Q114 P119:Q120 P140:Q141 P144:Q145 O145 P150:Q150">
    <cfRule type="containsText" dxfId="9" priority="30665" operator="containsText" text="No">
      <formula>NOT(ISERROR(SEARCH(("No"),(P111))))</formula>
    </cfRule>
  </conditionalFormatting>
  <conditionalFormatting sqref="P111:Q111 P114:Q114 P119:Q120 P140:Q141 P144:Q145 O145 P150:Q150">
    <cfRule type="containsText" dxfId="9" priority="30666" operator="containsText" text="No">
      <formula>NOT(ISERROR(SEARCH(("No"),(P111))))</formula>
    </cfRule>
  </conditionalFormatting>
  <conditionalFormatting sqref="P111:Q111 P114:Q114 P119:Q120 P140:Q141 P144:Q145 O145 P150:Q150">
    <cfRule type="containsText" dxfId="9" priority="30667" operator="containsText" text="No">
      <formula>NOT(ISERROR(SEARCH(("No"),(P111))))</formula>
    </cfRule>
  </conditionalFormatting>
  <conditionalFormatting sqref="P111:Q111 P114:Q114 P119:Q120 P140:Q141 P144:Q145 O145 P150:Q150">
    <cfRule type="containsText" dxfId="9" priority="30668" operator="containsText" text="No">
      <formula>NOT(ISERROR(SEARCH(("No"),(P111))))</formula>
    </cfRule>
  </conditionalFormatting>
  <conditionalFormatting sqref="P111:Q111 P114:Q114 P119:Q120 P140:Q141 P144:Q145 O145 P150:Q150">
    <cfRule type="containsText" dxfId="9" priority="30669" operator="containsText" text="No">
      <formula>NOT(ISERROR(SEARCH(("No"),(P111))))</formula>
    </cfRule>
  </conditionalFormatting>
  <conditionalFormatting sqref="P111:Q111 P114:Q114 P119:Q120 P140:Q141 P144:Q145 O145 P150:Q150">
    <cfRule type="containsText" dxfId="9" priority="30670" operator="containsText" text="No">
      <formula>NOT(ISERROR(SEARCH(("No"),(P111))))</formula>
    </cfRule>
  </conditionalFormatting>
  <conditionalFormatting sqref="P111:Q111 P114:Q114 P119:Q120 P140:Q141 P144:Q145 O145 P150:Q150">
    <cfRule type="containsText" dxfId="9" priority="30671" operator="containsText" text="No">
      <formula>NOT(ISERROR(SEARCH(("No"),(P111))))</formula>
    </cfRule>
  </conditionalFormatting>
  <conditionalFormatting sqref="P111:Q111 P114:Q114 P119:Q120 P140:Q141 P144:Q145 O145 P150:Q150">
    <cfRule type="containsText" dxfId="9" priority="30672" operator="containsText" text="No">
      <formula>NOT(ISERROR(SEARCH(("No"),(P111))))</formula>
    </cfRule>
  </conditionalFormatting>
  <conditionalFormatting sqref="P111:Q111 P114:Q114 P119:Q120 P140:Q141 P144:Q145 O145 P150:Q150">
    <cfRule type="containsText" dxfId="9" priority="30673" operator="containsText" text="No">
      <formula>NOT(ISERROR(SEARCH(("No"),(P111))))</formula>
    </cfRule>
  </conditionalFormatting>
  <conditionalFormatting sqref="P111:Q111 P114:Q114 P119:Q120 P140:Q141 P144:Q145 O145 P150:Q150">
    <cfRule type="containsText" dxfId="9" priority="30674" operator="containsText" text="No">
      <formula>NOT(ISERROR(SEARCH(("No"),(P111))))</formula>
    </cfRule>
  </conditionalFormatting>
  <conditionalFormatting sqref="P111:Q111 P114:Q114 P119:Q120 P140:Q141 P144:Q145 O145 P150:Q150">
    <cfRule type="containsText" dxfId="9" priority="30675" operator="containsText" text="No">
      <formula>NOT(ISERROR(SEARCH(("No"),(P111))))</formula>
    </cfRule>
  </conditionalFormatting>
  <conditionalFormatting sqref="P111:Q111 P114:Q114 P119:Q120 P140:Q141 P144:Q145 O145 P150:Q150">
    <cfRule type="containsText" dxfId="9" priority="30676" operator="containsText" text="No">
      <formula>NOT(ISERROR(SEARCH(("No"),(P111))))</formula>
    </cfRule>
  </conditionalFormatting>
  <conditionalFormatting sqref="P111:Q111 P114:Q114 P119:Q120 P140:Q141 P144:Q145 O145 P150:Q150">
    <cfRule type="containsText" dxfId="9" priority="30677" operator="containsText" text="No">
      <formula>NOT(ISERROR(SEARCH(("No"),(P111))))</formula>
    </cfRule>
  </conditionalFormatting>
  <conditionalFormatting sqref="P111:Q111 P114:Q114 P119:Q120 P140:Q141 P144:Q145 O145 P150:Q150">
    <cfRule type="containsText" dxfId="9" priority="30678" operator="containsText" text="No">
      <formula>NOT(ISERROR(SEARCH(("No"),(P111))))</formula>
    </cfRule>
  </conditionalFormatting>
  <conditionalFormatting sqref="P111:Q111 P114:Q114 P119:Q120 P140:Q141 P144:Q145 O145 P150:Q150">
    <cfRule type="containsText" dxfId="2" priority="30679" operator="containsText" text="Yes">
      <formula>NOT(ISERROR(SEARCH(("Yes"),(P111))))</formula>
    </cfRule>
  </conditionalFormatting>
  <conditionalFormatting sqref="P111:Q111 P114:Q114 P119:Q120 P140:Q141 P144:Q145 O145 P150:Q150">
    <cfRule type="containsText" dxfId="2" priority="30680" operator="containsText" text="Yes">
      <formula>NOT(ISERROR(SEARCH(("Yes"),(P111))))</formula>
    </cfRule>
  </conditionalFormatting>
  <conditionalFormatting sqref="P111:Q111 P114:Q114 P119:Q120 P140:Q141 P144:Q145 O145 P150:Q150">
    <cfRule type="containsText" dxfId="2" priority="30681" operator="containsText" text="Yes">
      <formula>NOT(ISERROR(SEARCH(("Yes"),(P111))))</formula>
    </cfRule>
  </conditionalFormatting>
  <conditionalFormatting sqref="P111:Q111 P114:Q114 P119:Q120 P140:Q141 P144:Q145 O145 P150:Q150">
    <cfRule type="containsText" dxfId="2" priority="30682" operator="containsText" text="Yes">
      <formula>NOT(ISERROR(SEARCH(("Yes"),(P111))))</formula>
    </cfRule>
  </conditionalFormatting>
  <conditionalFormatting sqref="P111:Q111 P114:Q114 P119:Q120 P140:Q141 P144:Q145 O145 P150:Q150">
    <cfRule type="containsText" dxfId="2" priority="30683" operator="containsText" text="Yes">
      <formula>NOT(ISERROR(SEARCH(("Yes"),(P111))))</formula>
    </cfRule>
  </conditionalFormatting>
  <conditionalFormatting sqref="P111:Q111 P114:Q114 P119:Q120 P140:Q141 P144:Q145 O145 P150:Q150">
    <cfRule type="containsText" dxfId="2" priority="30684" operator="containsText" text="Yes">
      <formula>NOT(ISERROR(SEARCH(("Yes"),(P111))))</formula>
    </cfRule>
  </conditionalFormatting>
  <conditionalFormatting sqref="P111:Q111 P114:Q114 P119:Q120 P140:Q141 P144:Q145 O145 P150:Q150">
    <cfRule type="containsText" dxfId="2" priority="30685" operator="containsText" text="Yes">
      <formula>NOT(ISERROR(SEARCH(("Yes"),(P111))))</formula>
    </cfRule>
  </conditionalFormatting>
  <conditionalFormatting sqref="P111:Q111 P114:Q114 P119:Q120 P140:Q141 P144:Q145 O145 P150:Q150">
    <cfRule type="containsText" dxfId="2" priority="30686" operator="containsText" text="Yes">
      <formula>NOT(ISERROR(SEARCH(("Yes"),(P111))))</formula>
    </cfRule>
  </conditionalFormatting>
  <conditionalFormatting sqref="P111:Q111 P114:Q114 P119:Q120 P140:Q141 P144:Q145 O145 P150:Q150">
    <cfRule type="containsText" dxfId="2" priority="30687" operator="containsText" text="Yes">
      <formula>NOT(ISERROR(SEARCH(("Yes"),(P111))))</formula>
    </cfRule>
  </conditionalFormatting>
  <conditionalFormatting sqref="P111:Q111 P114:Q114 P119:Q120 P140:Q141 P144:Q145 O145 P150:Q150">
    <cfRule type="containsText" dxfId="2" priority="30688" operator="containsText" text="Yes">
      <formula>NOT(ISERROR(SEARCH(("Yes"),(P111))))</formula>
    </cfRule>
  </conditionalFormatting>
  <conditionalFormatting sqref="P111:Q111 P114:Q114 P119:Q120 P140:Q141 P144:Q145 O145 P150:Q150">
    <cfRule type="containsText" dxfId="2" priority="30689" operator="containsText" text="Yes">
      <formula>NOT(ISERROR(SEARCH(("Yes"),(P111))))</formula>
    </cfRule>
  </conditionalFormatting>
  <conditionalFormatting sqref="P111:Q111 P114:Q114 P119:Q120 P140:Q141 P144:Q145 O145 P150:Q150">
    <cfRule type="containsText" dxfId="2" priority="30690" operator="containsText" text="Yes">
      <formula>NOT(ISERROR(SEARCH(("Yes"),(P111))))</formula>
    </cfRule>
  </conditionalFormatting>
  <conditionalFormatting sqref="P111:Q111 P114:Q114 P119:Q120 P140:Q141 P144:Q145 O145 P150:Q150">
    <cfRule type="containsText" dxfId="2" priority="30691" operator="containsText" text="Yes">
      <formula>NOT(ISERROR(SEARCH(("Yes"),(P111))))</formula>
    </cfRule>
  </conditionalFormatting>
  <conditionalFormatting sqref="P111:Q111 P114:Q114 P119:Q120 P140:Q141 P144:Q145 O145 P150:Q150">
    <cfRule type="containsText" dxfId="2" priority="30692" operator="containsText" text="Yes">
      <formula>NOT(ISERROR(SEARCH(("Yes"),(P111))))</formula>
    </cfRule>
  </conditionalFormatting>
  <conditionalFormatting sqref="P111:Q111 P114:Q114 P119:Q120 P140:Q141 P144:Q145 O145 P150:Q150">
    <cfRule type="containsText" dxfId="2" priority="30693" operator="containsText" text="Yes">
      <formula>NOT(ISERROR(SEARCH(("Yes"),(P111))))</formula>
    </cfRule>
  </conditionalFormatting>
  <conditionalFormatting sqref="P111:Q111 P114:Q114 P119:Q120 P140:Q141 P144:Q145 O145 P150:Q150">
    <cfRule type="containsText" dxfId="2" priority="30694" operator="containsText" text="Yes">
      <formula>NOT(ISERROR(SEARCH(("Yes"),(P111))))</formula>
    </cfRule>
  </conditionalFormatting>
  <conditionalFormatting sqref="P111:Q111 P114:Q114 P119:Q120 P140:Q141 P144:Q145 O145 P150:Q150">
    <cfRule type="containsText" dxfId="2" priority="30695" operator="containsText" text="Yes">
      <formula>NOT(ISERROR(SEARCH(("Yes"),(P111))))</formula>
    </cfRule>
  </conditionalFormatting>
  <conditionalFormatting sqref="P111:Q111 P114:Q114 P119:Q120 P140:Q141 P144:Q145 O145 P150:Q150">
    <cfRule type="containsText" dxfId="2" priority="30696" operator="containsText" text="Yes">
      <formula>NOT(ISERROR(SEARCH(("Yes"),(P111))))</formula>
    </cfRule>
  </conditionalFormatting>
  <conditionalFormatting sqref="P111:Q111 P114:Q114 P119:Q120 P140:Q141 P144:Q145 O145 P150:Q150">
    <cfRule type="containsText" dxfId="2" priority="30697" operator="containsText" text="Yes">
      <formula>NOT(ISERROR(SEARCH(("Yes"),(P111))))</formula>
    </cfRule>
  </conditionalFormatting>
  <conditionalFormatting sqref="P111:Q111 P114:Q114 P119:Q120 P140:Q141 P144:Q145 O145 P150:Q150">
    <cfRule type="containsText" dxfId="2" priority="30698" operator="containsText" text="Yes">
      <formula>NOT(ISERROR(SEARCH(("Yes"),(P111))))</formula>
    </cfRule>
  </conditionalFormatting>
  <conditionalFormatting sqref="P111:Q111 P114:Q114 P119:Q120 P140:Q141 P144:Q145 O145 P150:Q150">
    <cfRule type="containsText" dxfId="2" priority="30699" operator="containsText" text="Yes">
      <formula>NOT(ISERROR(SEARCH(("Yes"),(P111))))</formula>
    </cfRule>
  </conditionalFormatting>
  <conditionalFormatting sqref="P111:Q111 P114:Q114 P119:Q120 P140:Q141 P144:Q145 O145 P150:Q150">
    <cfRule type="containsText" dxfId="2" priority="30700" operator="containsText" text="Yes">
      <formula>NOT(ISERROR(SEARCH(("Yes"),(P111))))</formula>
    </cfRule>
  </conditionalFormatting>
  <conditionalFormatting sqref="P111:Q111 P114:Q114 P119:Q120 P140:Q141 P144:Q145 O145 P150:Q150">
    <cfRule type="containsText" dxfId="2" priority="30701" operator="containsText" text="Yes">
      <formula>NOT(ISERROR(SEARCH(("Yes"),(P111))))</formula>
    </cfRule>
  </conditionalFormatting>
  <conditionalFormatting sqref="P111:Q111 P114:Q114 P119:Q120 P140:Q141 P144:Q145 O145 P150:Q150">
    <cfRule type="containsText" dxfId="2" priority="30702" operator="containsText" text="Yes">
      <formula>NOT(ISERROR(SEARCH(("Yes"),(P111))))</formula>
    </cfRule>
  </conditionalFormatting>
  <conditionalFormatting sqref="P111:Q111 P114:Q114 P119:Q120 P140:Q141 P144:Q145 O145 P150:Q150">
    <cfRule type="containsText" dxfId="2" priority="30703" operator="containsText" text="Yes">
      <formula>NOT(ISERROR(SEARCH(("Yes"),(P111))))</formula>
    </cfRule>
  </conditionalFormatting>
  <conditionalFormatting sqref="P111:Q111 P114:Q114 P119:Q120 P140:Q141 P144:Q145 O145 P150:Q150">
    <cfRule type="containsText" dxfId="2" priority="30704" operator="containsText" text="Yes">
      <formula>NOT(ISERROR(SEARCH(("Yes"),(P111))))</formula>
    </cfRule>
  </conditionalFormatting>
  <conditionalFormatting sqref="P111:Q111 P114:Q114 P119:Q120 P140:Q141 P144:Q145 O145 P150:Q150">
    <cfRule type="containsText" dxfId="2" priority="30705" operator="containsText" text="Yes">
      <formula>NOT(ISERROR(SEARCH(("Yes"),(P111))))</formula>
    </cfRule>
  </conditionalFormatting>
  <conditionalFormatting sqref="P111:Q111 P114:Q114 P119:Q120 P140:Q141 P144:Q145 O145 P150:Q150">
    <cfRule type="containsText" dxfId="2" priority="30706" operator="containsText" text="Yes">
      <formula>NOT(ISERROR(SEARCH(("Yes"),(P111))))</formula>
    </cfRule>
  </conditionalFormatting>
  <conditionalFormatting sqref="P111:Q111 P114:Q114 P119:Q120 P140:Q141 P144:Q145 O145 P150:Q150">
    <cfRule type="containsText" dxfId="2" priority="30707" operator="containsText" text="Yes">
      <formula>NOT(ISERROR(SEARCH(("Yes"),(P111))))</formula>
    </cfRule>
  </conditionalFormatting>
  <conditionalFormatting sqref="P111:Q111 P114:Q114 P119:Q120 P140:Q141 P144:Q145 O145 P150:Q150">
    <cfRule type="containsText" dxfId="2" priority="30708" operator="containsText" text="Yes">
      <formula>NOT(ISERROR(SEARCH(("Yes"),(P111))))</formula>
    </cfRule>
  </conditionalFormatting>
  <conditionalFormatting sqref="P111:Q111 P114:Q114 P119:Q120 P140:Q141 P144:Q145 O145 P150:Q150">
    <cfRule type="containsText" dxfId="2" priority="30709" operator="containsText" text="Yes">
      <formula>NOT(ISERROR(SEARCH(("Yes"),(P111))))</formula>
    </cfRule>
  </conditionalFormatting>
  <conditionalFormatting sqref="P111:Q111 P114:Q114 P119:Q120 P140:Q141 P144:Q145 O145 P150:Q150">
    <cfRule type="containsText" dxfId="2" priority="30710" operator="containsText" text="Yes">
      <formula>NOT(ISERROR(SEARCH(("Yes"),(P111))))</formula>
    </cfRule>
  </conditionalFormatting>
  <conditionalFormatting sqref="P111:Q111 P114:Q114 P119:Q120 P140:Q141 P144:Q145 O145 P150:Q150">
    <cfRule type="containsText" dxfId="2" priority="30711" operator="containsText" text="Yes">
      <formula>NOT(ISERROR(SEARCH(("Yes"),(P111))))</formula>
    </cfRule>
  </conditionalFormatting>
  <conditionalFormatting sqref="P111:Q111 P114:Q114 P119:Q120 P140:Q141 P144:Q145 O145 P150:Q150">
    <cfRule type="containsText" dxfId="2" priority="30712" operator="containsText" text="Yes">
      <formula>NOT(ISERROR(SEARCH(("Yes"),(P111))))</formula>
    </cfRule>
  </conditionalFormatting>
  <conditionalFormatting sqref="P111:Q111 P114:Q114 P119:Q120 P140:Q141 P144:Q145 O145 P150:Q150">
    <cfRule type="containsText" dxfId="2" priority="30713" operator="containsText" text="Yes">
      <formula>NOT(ISERROR(SEARCH(("Yes"),(P111))))</formula>
    </cfRule>
  </conditionalFormatting>
  <conditionalFormatting sqref="P111:Q111 P114:Q114 P119:Q120 P140:Q141 P144:Q145 O145 P150:Q150">
    <cfRule type="containsText" dxfId="2" priority="30714" operator="containsText" text="Yes">
      <formula>NOT(ISERROR(SEARCH(("Yes"),(P111))))</formula>
    </cfRule>
  </conditionalFormatting>
  <conditionalFormatting sqref="P111:Q111 P114:Q114 P119:Q120 P140:Q141 P144:Q145 O145 P150:Q150">
    <cfRule type="containsText" dxfId="2" priority="30715" operator="containsText" text="Yes">
      <formula>NOT(ISERROR(SEARCH(("Yes"),(P111))))</formula>
    </cfRule>
  </conditionalFormatting>
  <conditionalFormatting sqref="P111:Q111 P114:Q114 P119:Q120 P140:Q141 P144:Q145 O145 P150:Q150">
    <cfRule type="containsText" dxfId="2" priority="30716" operator="containsText" text="Yes">
      <formula>NOT(ISERROR(SEARCH(("Yes"),(P111))))</formula>
    </cfRule>
  </conditionalFormatting>
  <conditionalFormatting sqref="P111:Q111 P114:Q114 P119:Q120 P140:Q141 P144:Q145 O145 P150:Q150">
    <cfRule type="containsText" dxfId="2" priority="30717" operator="containsText" text="Yes">
      <formula>NOT(ISERROR(SEARCH(("Yes"),(P111))))</formula>
    </cfRule>
  </conditionalFormatting>
  <conditionalFormatting sqref="P111:Q111 P114:Q114 P119:Q120 P140:Q141 P144:Q145 O145 P150:Q150">
    <cfRule type="containsText" dxfId="2" priority="30718" operator="containsText" text="Yes">
      <formula>NOT(ISERROR(SEARCH(("Yes"),(P111))))</formula>
    </cfRule>
  </conditionalFormatting>
  <conditionalFormatting sqref="P111:Q111 P114:Q114 P119:Q120 P140:Q141 P144:Q145 O145 P150:Q150">
    <cfRule type="containsText" dxfId="2" priority="30719" operator="containsText" text="Yes">
      <formula>NOT(ISERROR(SEARCH(("Yes"),(P111))))</formula>
    </cfRule>
  </conditionalFormatting>
  <conditionalFormatting sqref="P111:Q111 P114:Q114 P119:Q120 P140:Q141 P144:Q145 O145 P150:Q150">
    <cfRule type="containsText" dxfId="2" priority="30720" operator="containsText" text="Yes">
      <formula>NOT(ISERROR(SEARCH(("Yes"),(P111))))</formula>
    </cfRule>
  </conditionalFormatting>
  <conditionalFormatting sqref="P111:Q111 P114:Q114 P119:Q120 P140:Q141 P144:Q145 O145 P150:Q150">
    <cfRule type="containsText" dxfId="2" priority="30721" operator="containsText" text="Yes">
      <formula>NOT(ISERROR(SEARCH(("Yes"),(P111))))</formula>
    </cfRule>
  </conditionalFormatting>
  <conditionalFormatting sqref="P111:Q111 P114:Q114 P119:Q120 P140:Q141 P144:Q145 O145 P150:Q150">
    <cfRule type="containsText" dxfId="2" priority="30722" operator="containsText" text="Yes">
      <formula>NOT(ISERROR(SEARCH(("Yes"),(P111))))</formula>
    </cfRule>
  </conditionalFormatting>
  <conditionalFormatting sqref="P111:Q111 P114:Q114 P119:Q120 P140:Q141 P144:Q145 O145 P150:Q150">
    <cfRule type="containsText" dxfId="2" priority="30723" operator="containsText" text="Yes">
      <formula>NOT(ISERROR(SEARCH(("Yes"),(P111))))</formula>
    </cfRule>
  </conditionalFormatting>
  <conditionalFormatting sqref="P111:Q111 P114:Q114 P119:Q120 P140:Q141 P144:Q145 O145 P150:Q150">
    <cfRule type="containsText" dxfId="2" priority="30724" operator="containsText" text="Yes">
      <formula>NOT(ISERROR(SEARCH(("Yes"),(P111))))</formula>
    </cfRule>
  </conditionalFormatting>
  <conditionalFormatting sqref="P111:Q111 P114:Q114 P119:Q120 P140:Q141 P144:Q145 O145 P150:Q150">
    <cfRule type="containsText" dxfId="2" priority="30725" operator="containsText" text="Yes">
      <formula>NOT(ISERROR(SEARCH(("Yes"),(P111))))</formula>
    </cfRule>
  </conditionalFormatting>
  <conditionalFormatting sqref="P112:Q113 P115:Q118 P121:Q126 P128:Q133 P136:Q139 P142:Q143 P146:Q152 P154:Q154 P159:Q159 P161:Q162 P164:Q164 P166:Q167 P172:Q172 P174:Q174 P176:Q176 P180:Q182 P184:Q184">
    <cfRule type="containsText" dxfId="9" priority="30726"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27"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28"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29"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30"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31"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32"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33"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34"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35"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36"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37"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38"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39"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40"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41"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42"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43"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44"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45"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46"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47"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48"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49"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50"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51"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52"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53"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54"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55"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56"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57"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58"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59"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60"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61"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62"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63"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64"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65"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66"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67"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68"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69"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9" priority="30770" operator="containsText" text="No">
      <formula>NOT(ISERROR(SEARCH(("No"),(P112))))</formula>
    </cfRule>
  </conditionalFormatting>
  <conditionalFormatting sqref="P112:Q113 P115:Q118 P121:Q126 P128:Q133 P136:Q139 P142:Q143 P146:Q152 P154:Q154 P159:Q159 P161:Q162 P164:Q164 P166:Q167 P172:Q172 P174:Q174 P176:Q176 P180:Q182 P184:Q184">
    <cfRule type="containsText" dxfId="2" priority="30771"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72"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73"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74"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75"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76"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77"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78"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79"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80"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81"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82"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83"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84"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85"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86"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87"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88"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89"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90"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91"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92"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93"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94"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95"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96"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97"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98"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799"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00"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01"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02"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03"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04"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05"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06"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07"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08"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09"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10"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11"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12"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13"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14"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15"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16" operator="containsText" text="Yes">
      <formula>NOT(ISERROR(SEARCH(("Yes"),(P112))))</formula>
    </cfRule>
  </conditionalFormatting>
  <conditionalFormatting sqref="P112:Q113 P115:Q118 P121:Q126 P128:Q133 P136:Q139 P142:Q143 P146:Q152 P154:Q154 P159:Q159 P161:Q162 P164:Q164 P166:Q167 P172:Q172 P174:Q174 P176:Q176 P180:Q182 P184:Q184">
    <cfRule type="containsText" dxfId="2" priority="30817" operator="containsText" text="Yes">
      <formula>NOT(ISERROR(SEARCH(("Yes"),(P112))))</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18"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19"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20"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21"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22"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23"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24"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25"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26"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27"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28"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29"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30"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31"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32"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33"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34"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35"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36"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37"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38"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39"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40"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41"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42"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43"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44"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45"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46"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47"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48"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49"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50"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51"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52"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53"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54"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55"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56"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57"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58"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59"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60"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61"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9" priority="30862" operator="containsText" text="No">
      <formula>NOT(ISERROR(SEARCH(("No"),(N113))))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63"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64"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65"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66"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67"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68"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69"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70"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71"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72"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73"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74"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75"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76"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77"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78"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79"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80"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81"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82"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83"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84"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85"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86"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87"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88"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89"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90"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91"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92"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93"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94"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95"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96"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97"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98"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899"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900"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901"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902"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903"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904"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905"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906"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907"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908" operator="containsText" text="Yes">
      <formula>NOT(ISERROR(SEARCH(("Yes"),(N113))))</formula>
    </cfRule>
  </conditionalFormatting>
  <conditionalFormatting sqref="N113:Q113 N115:Q118 N121:N126 O121:O133 P121:Q126 N128:N133 P128:Q133 N136:Q139 N142:Q143 N146:Q152 N154 O154:O155 P154:Q154 N159:Q159 N161:Q162 N164:O167 P164:Q164 P166:Q167 N170:O170 N172:Q172 N174:Q174 N176:Q176 N180:Q182 N184:Q184">
    <cfRule type="containsText" dxfId="2" priority="30909" operator="containsText" text="Yes">
      <formula>NOT(ISERROR(SEARCH(("Yes"),(N113))))</formula>
    </cfRule>
  </conditionalFormatting>
  <conditionalFormatting sqref="N114 N118:N120 N127 P127 N140:N141 N144:N145 N150:O150">
    <cfRule type="containsText" dxfId="9" priority="30910" operator="containsText" text="No">
      <formula>NOT(ISERROR(SEARCH(("No"),(N114))))</formula>
    </cfRule>
  </conditionalFormatting>
  <conditionalFormatting sqref="N114 N118:N120 N127 P127 N140:N141 N144:N145 N150:O150">
    <cfRule type="containsText" dxfId="9" priority="30911" operator="containsText" text="No">
      <formula>NOT(ISERROR(SEARCH(("No"),(N114))))</formula>
    </cfRule>
  </conditionalFormatting>
  <conditionalFormatting sqref="N114 N118:N120 N127 P127 N140:N141 N144:N145 N150:O150">
    <cfRule type="containsText" dxfId="9" priority="30912" operator="containsText" text="No">
      <formula>NOT(ISERROR(SEARCH(("No"),(N114))))</formula>
    </cfRule>
  </conditionalFormatting>
  <conditionalFormatting sqref="N114 N118:N120 N127 P127 N140:N141 N144:N145 N150:O150">
    <cfRule type="containsText" dxfId="2" priority="30913" operator="containsText" text="Yes">
      <formula>NOT(ISERROR(SEARCH(("Yes"),(N114))))</formula>
    </cfRule>
  </conditionalFormatting>
  <conditionalFormatting sqref="N114 N118:N120 N127 P127 N140:N141 N144:N145 N150:O150">
    <cfRule type="containsText" dxfId="2" priority="30914" operator="containsText" text="Yes">
      <formula>NOT(ISERROR(SEARCH(("Yes"),(N114))))</formula>
    </cfRule>
  </conditionalFormatting>
  <conditionalFormatting sqref="N114 N118:N120 N127 P127 N140:N141 N144:N145 N150:O150">
    <cfRule type="containsText" dxfId="2" priority="30915" operator="containsText" text="Yes">
      <formula>NOT(ISERROR(SEARCH(("Yes"),(N114))))</formula>
    </cfRule>
  </conditionalFormatting>
  <conditionalFormatting sqref="N114 N118:N120 N127 P127 N140:N141 N144:N145 N150:O150">
    <cfRule type="containsText" dxfId="2" priority="30916" operator="containsText" text="Yes">
      <formula>NOT(ISERROR(SEARCH(("Yes"),(N114))))</formula>
    </cfRule>
  </conditionalFormatting>
  <conditionalFormatting sqref="N114 N118:N120 N127 P127 N140:N141 N144:N145 N150:O150">
    <cfRule type="containsText" dxfId="2" priority="30917" operator="containsText" text="Yes">
      <formula>NOT(ISERROR(SEARCH(("Yes"),(N114))))</formula>
    </cfRule>
  </conditionalFormatting>
  <conditionalFormatting sqref="N114 N118:N120 N127 P127 N140:N141 N144:N145 N150:O150">
    <cfRule type="containsText" dxfId="9" priority="30918" operator="containsText" text="No">
      <formula>NOT(ISERROR(SEARCH(("No"),(N114))))</formula>
    </cfRule>
  </conditionalFormatting>
  <conditionalFormatting sqref="N114 N118:N120 N127 P127 N140:N141 N144:N145 N150:O150">
    <cfRule type="containsText" dxfId="2" priority="30919" operator="containsText" text="Yes">
      <formula>NOT(ISERROR(SEARCH(("Yes"),(N114))))</formula>
    </cfRule>
  </conditionalFormatting>
  <conditionalFormatting sqref="O114 O119:O120 Q127 O140:O141 O144:O145 P145 P150">
    <cfRule type="containsText" dxfId="9" priority="30920" operator="containsText" text="No">
      <formula>NOT(ISERROR(SEARCH(("No"),(O114))))</formula>
    </cfRule>
  </conditionalFormatting>
  <conditionalFormatting sqref="O114 O119:O120 Q127 O140:O141 O144:O145 P145 P150">
    <cfRule type="containsText" dxfId="9" priority="30921" operator="containsText" text="No">
      <formula>NOT(ISERROR(SEARCH(("No"),(O114))))</formula>
    </cfRule>
  </conditionalFormatting>
  <conditionalFormatting sqref="O114 O119:O120 Q127 O140:O141 O144:O145 P145 P150">
    <cfRule type="containsText" dxfId="9" priority="30922" operator="containsText" text="No">
      <formula>NOT(ISERROR(SEARCH(("No"),(O114))))</formula>
    </cfRule>
  </conditionalFormatting>
  <conditionalFormatting sqref="O114 O119:O120 Q127 O140:O141 O144:O145 P145 P150">
    <cfRule type="containsText" dxfId="2" priority="30923" operator="containsText" text="Yes">
      <formula>NOT(ISERROR(SEARCH(("Yes"),(O114))))</formula>
    </cfRule>
  </conditionalFormatting>
  <conditionalFormatting sqref="O114 O119:O120 Q127 O140:O141 O144:O145 P145 P150">
    <cfRule type="containsText" dxfId="2" priority="30924" operator="containsText" text="Yes">
      <formula>NOT(ISERROR(SEARCH(("Yes"),(O114))))</formula>
    </cfRule>
  </conditionalFormatting>
  <conditionalFormatting sqref="O114 O119:O120 Q127 O140:O141 O144:O145 P145 P150">
    <cfRule type="containsText" dxfId="2" priority="30925" operator="containsText" text="Yes">
      <formula>NOT(ISERROR(SEARCH(("Yes"),(O114))))</formula>
    </cfRule>
  </conditionalFormatting>
  <conditionalFormatting sqref="O114 O119:O120 Q127 O140:O141 O144:O145 P145 P150">
    <cfRule type="containsText" dxfId="2" priority="30926" operator="containsText" text="Yes">
      <formula>NOT(ISERROR(SEARCH(("Yes"),(O114))))</formula>
    </cfRule>
  </conditionalFormatting>
  <conditionalFormatting sqref="O114 O119:O120 Q127 O140:O141 O144:O145 P145 P150">
    <cfRule type="containsText" dxfId="2" priority="30927" operator="containsText" text="Yes">
      <formula>NOT(ISERROR(SEARCH(("Yes"),(O114))))</formula>
    </cfRule>
  </conditionalFormatting>
  <conditionalFormatting sqref="O114 O119:O120 Q127 O140:O141 O144:O145 P145 P150">
    <cfRule type="containsText" dxfId="9" priority="30928" operator="containsText" text="No">
      <formula>NOT(ISERROR(SEARCH(("No"),(O114))))</formula>
    </cfRule>
  </conditionalFormatting>
  <conditionalFormatting sqref="O114 O119:O120 Q127 O140:O141 O144:O145 P145 P150">
    <cfRule type="containsText" dxfId="9" priority="30929" operator="containsText" text="No">
      <formula>NOT(ISERROR(SEARCH(("No"),(O114))))</formula>
    </cfRule>
  </conditionalFormatting>
  <conditionalFormatting sqref="O114 O119:O120 Q127 O140:O141 O144:O145 P145 P150">
    <cfRule type="containsText" dxfId="2" priority="30930" operator="containsText" text="Yes">
      <formula>NOT(ISERROR(SEARCH(("Yes"),(O114))))</formula>
    </cfRule>
  </conditionalFormatting>
  <conditionalFormatting sqref="P114:Q114 P119:Q120 P140:Q141 P144:Q145 O145 P150:Q150">
    <cfRule type="containsText" dxfId="9" priority="30931" operator="containsText" text="No">
      <formula>NOT(ISERROR(SEARCH(("No"),(P114))))</formula>
    </cfRule>
  </conditionalFormatting>
  <conditionalFormatting sqref="P114:Q114 P119:Q120 P140:Q141 P144:Q145 O145 P150:Q150">
    <cfRule type="containsText" dxfId="9" priority="30932" operator="containsText" text="No">
      <formula>NOT(ISERROR(SEARCH(("No"),(P114))))</formula>
    </cfRule>
  </conditionalFormatting>
  <conditionalFormatting sqref="P114:Q114 P119:Q120 P140:Q141 P144:Q145 O145 P150:Q150">
    <cfRule type="containsText" dxfId="9" priority="30933" operator="containsText" text="No">
      <formula>NOT(ISERROR(SEARCH(("No"),(P114))))</formula>
    </cfRule>
  </conditionalFormatting>
  <conditionalFormatting sqref="P114:Q114 P119:Q120 P140:Q141 P144:Q145 O145 P150:Q150">
    <cfRule type="containsText" dxfId="9" priority="30934" operator="containsText" text="No">
      <formula>NOT(ISERROR(SEARCH(("No"),(P114))))</formula>
    </cfRule>
  </conditionalFormatting>
  <conditionalFormatting sqref="P114:Q114 P119:Q120 P140:Q141 P144:Q145 O145 P150:Q150">
    <cfRule type="containsText" dxfId="9" priority="30935" operator="containsText" text="No">
      <formula>NOT(ISERROR(SEARCH(("No"),(P114))))</formula>
    </cfRule>
  </conditionalFormatting>
  <conditionalFormatting sqref="P114:Q114 P119:Q120 P140:Q141 P144:Q145 O145 P150:Q150">
    <cfRule type="containsText" dxfId="9" priority="30936" operator="containsText" text="No">
      <formula>NOT(ISERROR(SEARCH(("No"),(P114))))</formula>
    </cfRule>
  </conditionalFormatting>
  <conditionalFormatting sqref="P114:Q114 P119:Q120 P140:Q141 P144:Q145 O145 P150:Q150">
    <cfRule type="containsText" dxfId="9" priority="30937" operator="containsText" text="No">
      <formula>NOT(ISERROR(SEARCH(("No"),(P114))))</formula>
    </cfRule>
  </conditionalFormatting>
  <conditionalFormatting sqref="P114:Q114 P119:Q120 P140:Q141 P144:Q145 O145 P150:Q150">
    <cfRule type="containsText" dxfId="9" priority="30938" operator="containsText" text="No">
      <formula>NOT(ISERROR(SEARCH(("No"),(P114))))</formula>
    </cfRule>
  </conditionalFormatting>
  <conditionalFormatting sqref="P114:Q114 P119:Q120 P140:Q141 P144:Q145 O145 P150:Q150">
    <cfRule type="containsText" dxfId="9" priority="30939" operator="containsText" text="No">
      <formula>NOT(ISERROR(SEARCH(("No"),(P114))))</formula>
    </cfRule>
  </conditionalFormatting>
  <conditionalFormatting sqref="P114:Q114 P119:Q120 P140:Q141 P144:Q145 O145 P150:Q150">
    <cfRule type="containsText" dxfId="9" priority="30940" operator="containsText" text="No">
      <formula>NOT(ISERROR(SEARCH(("No"),(P114))))</formula>
    </cfRule>
  </conditionalFormatting>
  <conditionalFormatting sqref="P114:Q114 P119:Q120 P140:Q141 P144:Q145 O145 P150:Q150">
    <cfRule type="containsText" dxfId="9" priority="30941" operator="containsText" text="No">
      <formula>NOT(ISERROR(SEARCH(("No"),(P114))))</formula>
    </cfRule>
  </conditionalFormatting>
  <conditionalFormatting sqref="P114:Q114 P119:Q120 P140:Q141 P144:Q145 O145 P150:Q150">
    <cfRule type="containsText" dxfId="9" priority="30942" operator="containsText" text="No">
      <formula>NOT(ISERROR(SEARCH(("No"),(P114))))</formula>
    </cfRule>
  </conditionalFormatting>
  <conditionalFormatting sqref="P114:Q114 P119:Q120 P140:Q141 P144:Q145 O145 P150:Q150">
    <cfRule type="containsText" dxfId="9" priority="30943" operator="containsText" text="No">
      <formula>NOT(ISERROR(SEARCH(("No"),(P114))))</formula>
    </cfRule>
  </conditionalFormatting>
  <conditionalFormatting sqref="P114:Q114 P119:Q120 P140:Q141 P144:Q145 O145 P150:Q150">
    <cfRule type="containsText" dxfId="9" priority="30944" operator="containsText" text="No">
      <formula>NOT(ISERROR(SEARCH(("No"),(P114))))</formula>
    </cfRule>
  </conditionalFormatting>
  <conditionalFormatting sqref="P114:Q114 P119:Q120 P140:Q141 P144:Q145 O145 P150:Q150">
    <cfRule type="containsText" dxfId="9" priority="30945" operator="containsText" text="No">
      <formula>NOT(ISERROR(SEARCH(("No"),(P114))))</formula>
    </cfRule>
  </conditionalFormatting>
  <conditionalFormatting sqref="P114:Q114 P119:Q120 P140:Q141 P144:Q145 O145 P150:Q150">
    <cfRule type="containsText" dxfId="9" priority="30946" operator="containsText" text="No">
      <formula>NOT(ISERROR(SEARCH(("No"),(P114))))</formula>
    </cfRule>
  </conditionalFormatting>
  <conditionalFormatting sqref="P114:Q114 P119:Q120 P140:Q141 P144:Q145 O145 P150:Q150">
    <cfRule type="containsText" dxfId="9" priority="30947" operator="containsText" text="No">
      <formula>NOT(ISERROR(SEARCH(("No"),(P114))))</formula>
    </cfRule>
  </conditionalFormatting>
  <conditionalFormatting sqref="P114:Q114 P119:Q120 P140:Q141 P144:Q145 O145 P150:Q150">
    <cfRule type="containsText" dxfId="9" priority="30948" operator="containsText" text="No">
      <formula>NOT(ISERROR(SEARCH(("No"),(P114))))</formula>
    </cfRule>
  </conditionalFormatting>
  <conditionalFormatting sqref="P114:Q114 P119:Q120 P140:Q141 P144:Q145 O145 P150:Q150">
    <cfRule type="containsText" dxfId="9" priority="30949" operator="containsText" text="No">
      <formula>NOT(ISERROR(SEARCH(("No"),(P114))))</formula>
    </cfRule>
  </conditionalFormatting>
  <conditionalFormatting sqref="P114:Q114 P119:Q120 P140:Q141 P144:Q145 O145 P150:Q150">
    <cfRule type="containsText" dxfId="9" priority="30950" operator="containsText" text="No">
      <formula>NOT(ISERROR(SEARCH(("No"),(P114))))</formula>
    </cfRule>
  </conditionalFormatting>
  <conditionalFormatting sqref="P114:Q114 P119:Q120 P140:Q141 P144:Q145 O145 P150:Q150">
    <cfRule type="containsText" dxfId="9" priority="30951" operator="containsText" text="No">
      <formula>NOT(ISERROR(SEARCH(("No"),(P114))))</formula>
    </cfRule>
  </conditionalFormatting>
  <conditionalFormatting sqref="P114:Q114 P119:Q120 P140:Q141 P144:Q145 O145 P150:Q150">
    <cfRule type="containsText" dxfId="9" priority="30952" operator="containsText" text="No">
      <formula>NOT(ISERROR(SEARCH(("No"),(P114))))</formula>
    </cfRule>
  </conditionalFormatting>
  <conditionalFormatting sqref="P114:Q114 P119:Q120 P140:Q141 P144:Q145 O145 P150:Q150">
    <cfRule type="containsText" dxfId="9" priority="30953" operator="containsText" text="No">
      <formula>NOT(ISERROR(SEARCH(("No"),(P114))))</formula>
    </cfRule>
  </conditionalFormatting>
  <conditionalFormatting sqref="P114:Q114 P119:Q120 P140:Q141 P144:Q145 O145 P150:Q150">
    <cfRule type="containsText" dxfId="9" priority="30954" operator="containsText" text="No">
      <formula>NOT(ISERROR(SEARCH(("No"),(P114))))</formula>
    </cfRule>
  </conditionalFormatting>
  <conditionalFormatting sqref="P114:Q114 P119:Q120 P140:Q141 P144:Q145 O145 P150:Q150">
    <cfRule type="containsText" dxfId="9" priority="30955" operator="containsText" text="No">
      <formula>NOT(ISERROR(SEARCH(("No"),(P114))))</formula>
    </cfRule>
  </conditionalFormatting>
  <conditionalFormatting sqref="P114:Q114 P119:Q120 P140:Q141 P144:Q145 O145 P150:Q150">
    <cfRule type="containsText" dxfId="9" priority="30956" operator="containsText" text="No">
      <formula>NOT(ISERROR(SEARCH(("No"),(P114))))</formula>
    </cfRule>
  </conditionalFormatting>
  <conditionalFormatting sqref="P114:Q114 P119:Q120 P140:Q141 P144:Q145 O145 P150:Q150">
    <cfRule type="containsText" dxfId="9" priority="30957" operator="containsText" text="No">
      <formula>NOT(ISERROR(SEARCH(("No"),(P114))))</formula>
    </cfRule>
  </conditionalFormatting>
  <conditionalFormatting sqref="P114:Q114 P119:Q120 P140:Q141 P144:Q145 O145 P150:Q150">
    <cfRule type="containsText" dxfId="9" priority="30958" operator="containsText" text="No">
      <formula>NOT(ISERROR(SEARCH(("No"),(P114))))</formula>
    </cfRule>
  </conditionalFormatting>
  <conditionalFormatting sqref="P114:Q114 P119:Q120 P140:Q141 P144:Q145 O145 P150:Q150">
    <cfRule type="containsText" dxfId="9" priority="30959" operator="containsText" text="No">
      <formula>NOT(ISERROR(SEARCH(("No"),(P114))))</formula>
    </cfRule>
  </conditionalFormatting>
  <conditionalFormatting sqref="P114:Q114 P119:Q120 P140:Q141 P144:Q145 O145 P150:Q150">
    <cfRule type="containsText" dxfId="9" priority="30960" operator="containsText" text="No">
      <formula>NOT(ISERROR(SEARCH(("No"),(P114))))</formula>
    </cfRule>
  </conditionalFormatting>
  <conditionalFormatting sqref="P114:Q114 P119:Q120 P140:Q141 P144:Q145 O145 P150:Q150">
    <cfRule type="containsText" dxfId="9" priority="30961" operator="containsText" text="No">
      <formula>NOT(ISERROR(SEARCH(("No"),(P114))))</formula>
    </cfRule>
  </conditionalFormatting>
  <conditionalFormatting sqref="P114:Q114 P119:Q120 P140:Q141 P144:Q145 O145 P150:Q150">
    <cfRule type="containsText" dxfId="9" priority="30962" operator="containsText" text="No">
      <formula>NOT(ISERROR(SEARCH(("No"),(P114))))</formula>
    </cfRule>
  </conditionalFormatting>
  <conditionalFormatting sqref="P114:Q114 P119:Q120 P140:Q141 P144:Q145 O145 P150:Q150">
    <cfRule type="containsText" dxfId="9" priority="30963" operator="containsText" text="No">
      <formula>NOT(ISERROR(SEARCH(("No"),(P114))))</formula>
    </cfRule>
  </conditionalFormatting>
  <conditionalFormatting sqref="P114:Q114 P119:Q120 P140:Q141 P144:Q145 O145 P150:Q150">
    <cfRule type="containsText" dxfId="9" priority="30964" operator="containsText" text="No">
      <formula>NOT(ISERROR(SEARCH(("No"),(P114))))</formula>
    </cfRule>
  </conditionalFormatting>
  <conditionalFormatting sqref="P114:Q114 P119:Q120 P140:Q141 P144:Q145 O145 P150:Q150">
    <cfRule type="containsText" dxfId="9" priority="30965" operator="containsText" text="No">
      <formula>NOT(ISERROR(SEARCH(("No"),(P114))))</formula>
    </cfRule>
  </conditionalFormatting>
  <conditionalFormatting sqref="P114:Q114 P119:Q120 P140:Q141 P144:Q145 O145 P150:Q150">
    <cfRule type="containsText" dxfId="9" priority="30966" operator="containsText" text="No">
      <formula>NOT(ISERROR(SEARCH(("No"),(P114))))</formula>
    </cfRule>
  </conditionalFormatting>
  <conditionalFormatting sqref="P114:Q114 P119:Q120 P140:Q141 P144:Q145 O145 P150:Q150">
    <cfRule type="containsText" dxfId="9" priority="30967" operator="containsText" text="No">
      <formula>NOT(ISERROR(SEARCH(("No"),(P114))))</formula>
    </cfRule>
  </conditionalFormatting>
  <conditionalFormatting sqref="P114:Q114 P119:Q120 P140:Q141 P144:Q145 O145 P150:Q150">
    <cfRule type="containsText" dxfId="9" priority="30968" operator="containsText" text="No">
      <formula>NOT(ISERROR(SEARCH(("No"),(P114))))</formula>
    </cfRule>
  </conditionalFormatting>
  <conditionalFormatting sqref="P114:Q114 P119:Q120 P140:Q141 P144:Q145 O145 P150:Q150">
    <cfRule type="containsText" dxfId="9" priority="30969" operator="containsText" text="No">
      <formula>NOT(ISERROR(SEARCH(("No"),(P114))))</formula>
    </cfRule>
  </conditionalFormatting>
  <conditionalFormatting sqref="P114:Q114 P119:Q120 P140:Q141 P144:Q145 O145 P150:Q150">
    <cfRule type="containsText" dxfId="9" priority="30970" operator="containsText" text="No">
      <formula>NOT(ISERROR(SEARCH(("No"),(P114))))</formula>
    </cfRule>
  </conditionalFormatting>
  <conditionalFormatting sqref="P114:Q114 P119:Q120 P140:Q141 P144:Q145 O145 P150:Q150">
    <cfRule type="containsText" dxfId="9" priority="30971" operator="containsText" text="No">
      <formula>NOT(ISERROR(SEARCH(("No"),(P114))))</formula>
    </cfRule>
  </conditionalFormatting>
  <conditionalFormatting sqref="P114:Q114 P119:Q120 P140:Q141 P144:Q145 O145 P150:Q150">
    <cfRule type="containsText" dxfId="9" priority="30972" operator="containsText" text="No">
      <formula>NOT(ISERROR(SEARCH(("No"),(P114))))</formula>
    </cfRule>
  </conditionalFormatting>
  <conditionalFormatting sqref="P114:Q114 P119:Q120 P140:Q141 P144:Q145 O145 P150:Q150">
    <cfRule type="containsText" dxfId="9" priority="30973" operator="containsText" text="No">
      <formula>NOT(ISERROR(SEARCH(("No"),(P114))))</formula>
    </cfRule>
  </conditionalFormatting>
  <conditionalFormatting sqref="P114:Q114 P119:Q120 P140:Q141 P144:Q145 O145 P150:Q150">
    <cfRule type="containsText" dxfId="9" priority="30974" operator="containsText" text="No">
      <formula>NOT(ISERROR(SEARCH(("No"),(P114))))</formula>
    </cfRule>
  </conditionalFormatting>
  <conditionalFormatting sqref="P114:Q114 P119:Q120 P140:Q141 P144:Q145 O145 P150:Q150">
    <cfRule type="containsText" dxfId="9" priority="30975" operator="containsText" text="No">
      <formula>NOT(ISERROR(SEARCH(("No"),(P114))))</formula>
    </cfRule>
  </conditionalFormatting>
  <conditionalFormatting sqref="P114:Q114 P119:Q120 P140:Q141 P144:Q145 O145 P150:Q150">
    <cfRule type="containsText" dxfId="2" priority="30976" operator="containsText" text="Yes">
      <formula>NOT(ISERROR(SEARCH(("Yes"),(P114))))</formula>
    </cfRule>
  </conditionalFormatting>
  <conditionalFormatting sqref="P114:Q114 P119:Q120 P140:Q141 P144:Q145 O145 P150:Q150">
    <cfRule type="containsText" dxfId="2" priority="30977" operator="containsText" text="Yes">
      <formula>NOT(ISERROR(SEARCH(("Yes"),(P114))))</formula>
    </cfRule>
  </conditionalFormatting>
  <conditionalFormatting sqref="P114:Q114 P119:Q120 P140:Q141 P144:Q145 O145 P150:Q150">
    <cfRule type="containsText" dxfId="2" priority="30978" operator="containsText" text="Yes">
      <formula>NOT(ISERROR(SEARCH(("Yes"),(P114))))</formula>
    </cfRule>
  </conditionalFormatting>
  <conditionalFormatting sqref="P114:Q114 P119:Q120 P140:Q141 P144:Q145 O145 P150:Q150">
    <cfRule type="containsText" dxfId="2" priority="30979" operator="containsText" text="Yes">
      <formula>NOT(ISERROR(SEARCH(("Yes"),(P114))))</formula>
    </cfRule>
  </conditionalFormatting>
  <conditionalFormatting sqref="P114:Q114 P119:Q120 P140:Q141 P144:Q145 O145 P150:Q150">
    <cfRule type="containsText" dxfId="2" priority="30980" operator="containsText" text="Yes">
      <formula>NOT(ISERROR(SEARCH(("Yes"),(P114))))</formula>
    </cfRule>
  </conditionalFormatting>
  <conditionalFormatting sqref="P114:Q114 P119:Q120 P140:Q141 P144:Q145 O145 P150:Q150">
    <cfRule type="containsText" dxfId="2" priority="30981" operator="containsText" text="Yes">
      <formula>NOT(ISERROR(SEARCH(("Yes"),(P114))))</formula>
    </cfRule>
  </conditionalFormatting>
  <conditionalFormatting sqref="P114:Q114 P119:Q120 P140:Q141 P144:Q145 O145 P150:Q150">
    <cfRule type="containsText" dxfId="2" priority="30982" operator="containsText" text="Yes">
      <formula>NOT(ISERROR(SEARCH(("Yes"),(P114))))</formula>
    </cfRule>
  </conditionalFormatting>
  <conditionalFormatting sqref="P114:Q114 P119:Q120 P140:Q141 P144:Q145 O145 P150:Q150">
    <cfRule type="containsText" dxfId="2" priority="30983" operator="containsText" text="Yes">
      <formula>NOT(ISERROR(SEARCH(("Yes"),(P114))))</formula>
    </cfRule>
  </conditionalFormatting>
  <conditionalFormatting sqref="P114:Q114 P119:Q120 P140:Q141 P144:Q145 O145 P150:Q150">
    <cfRule type="containsText" dxfId="2" priority="30984" operator="containsText" text="Yes">
      <formula>NOT(ISERROR(SEARCH(("Yes"),(P114))))</formula>
    </cfRule>
  </conditionalFormatting>
  <conditionalFormatting sqref="P114:Q114 P119:Q120 P140:Q141 P144:Q145 O145 P150:Q150">
    <cfRule type="containsText" dxfId="2" priority="30985" operator="containsText" text="Yes">
      <formula>NOT(ISERROR(SEARCH(("Yes"),(P114))))</formula>
    </cfRule>
  </conditionalFormatting>
  <conditionalFormatting sqref="P114:Q114 P119:Q120 P140:Q141 P144:Q145 O145 P150:Q150">
    <cfRule type="containsText" dxfId="2" priority="30986" operator="containsText" text="Yes">
      <formula>NOT(ISERROR(SEARCH(("Yes"),(P114))))</formula>
    </cfRule>
  </conditionalFormatting>
  <conditionalFormatting sqref="P114:Q114 P119:Q120 P140:Q141 P144:Q145 O145 P150:Q150">
    <cfRule type="containsText" dxfId="2" priority="30987" operator="containsText" text="Yes">
      <formula>NOT(ISERROR(SEARCH(("Yes"),(P114))))</formula>
    </cfRule>
  </conditionalFormatting>
  <conditionalFormatting sqref="P114:Q114 P119:Q120 P140:Q141 P144:Q145 O145 P150:Q150">
    <cfRule type="containsText" dxfId="2" priority="30988" operator="containsText" text="Yes">
      <formula>NOT(ISERROR(SEARCH(("Yes"),(P114))))</formula>
    </cfRule>
  </conditionalFormatting>
  <conditionalFormatting sqref="P114:Q114 P119:Q120 P140:Q141 P144:Q145 O145 P150:Q150">
    <cfRule type="containsText" dxfId="2" priority="30989" operator="containsText" text="Yes">
      <formula>NOT(ISERROR(SEARCH(("Yes"),(P114))))</formula>
    </cfRule>
  </conditionalFormatting>
  <conditionalFormatting sqref="P114:Q114 P119:Q120 P140:Q141 P144:Q145 O145 P150:Q150">
    <cfRule type="containsText" dxfId="2" priority="30990" operator="containsText" text="Yes">
      <formula>NOT(ISERROR(SEARCH(("Yes"),(P114))))</formula>
    </cfRule>
  </conditionalFormatting>
  <conditionalFormatting sqref="P114:Q114 P119:Q120 P140:Q141 P144:Q145 O145 P150:Q150">
    <cfRule type="containsText" dxfId="2" priority="30991" operator="containsText" text="Yes">
      <formula>NOT(ISERROR(SEARCH(("Yes"),(P114))))</formula>
    </cfRule>
  </conditionalFormatting>
  <conditionalFormatting sqref="P114:Q114 P119:Q120 P140:Q141 P144:Q145 O145 P150:Q150">
    <cfRule type="containsText" dxfId="2" priority="30992" operator="containsText" text="Yes">
      <formula>NOT(ISERROR(SEARCH(("Yes"),(P114))))</formula>
    </cfRule>
  </conditionalFormatting>
  <conditionalFormatting sqref="P114:Q114 P119:Q120 P140:Q141 P144:Q145 O145 P150:Q150">
    <cfRule type="containsText" dxfId="2" priority="30993" operator="containsText" text="Yes">
      <formula>NOT(ISERROR(SEARCH(("Yes"),(P114))))</formula>
    </cfRule>
  </conditionalFormatting>
  <conditionalFormatting sqref="P114:Q114 P119:Q120 P140:Q141 P144:Q145 O145 P150:Q150">
    <cfRule type="containsText" dxfId="2" priority="30994" operator="containsText" text="Yes">
      <formula>NOT(ISERROR(SEARCH(("Yes"),(P114))))</formula>
    </cfRule>
  </conditionalFormatting>
  <conditionalFormatting sqref="P114:Q114 P119:Q120 P140:Q141 P144:Q145 O145 P150:Q150">
    <cfRule type="containsText" dxfId="2" priority="30995" operator="containsText" text="Yes">
      <formula>NOT(ISERROR(SEARCH(("Yes"),(P114))))</formula>
    </cfRule>
  </conditionalFormatting>
  <conditionalFormatting sqref="P114:Q114 P119:Q120 P140:Q141 P144:Q145 O145 P150:Q150">
    <cfRule type="containsText" dxfId="2" priority="30996" operator="containsText" text="Yes">
      <formula>NOT(ISERROR(SEARCH(("Yes"),(P114))))</formula>
    </cfRule>
  </conditionalFormatting>
  <conditionalFormatting sqref="P114:Q114 P119:Q120 P140:Q141 P144:Q145 O145 P150:Q150">
    <cfRule type="containsText" dxfId="2" priority="30997" operator="containsText" text="Yes">
      <formula>NOT(ISERROR(SEARCH(("Yes"),(P114))))</formula>
    </cfRule>
  </conditionalFormatting>
  <conditionalFormatting sqref="P114:Q114 P119:Q120 P140:Q141 P144:Q145 O145 P150:Q150">
    <cfRule type="containsText" dxfId="2" priority="30998" operator="containsText" text="Yes">
      <formula>NOT(ISERROR(SEARCH(("Yes"),(P114))))</formula>
    </cfRule>
  </conditionalFormatting>
  <conditionalFormatting sqref="P114:Q114 P119:Q120 P140:Q141 P144:Q145 O145 P150:Q150">
    <cfRule type="containsText" dxfId="2" priority="30999" operator="containsText" text="Yes">
      <formula>NOT(ISERROR(SEARCH(("Yes"),(P114))))</formula>
    </cfRule>
  </conditionalFormatting>
  <conditionalFormatting sqref="P114:Q114 P119:Q120 P140:Q141 P144:Q145 O145 P150:Q150">
    <cfRule type="containsText" dxfId="2" priority="31000" operator="containsText" text="Yes">
      <formula>NOT(ISERROR(SEARCH(("Yes"),(P114))))</formula>
    </cfRule>
  </conditionalFormatting>
  <conditionalFormatting sqref="P114:Q114 P119:Q120 P140:Q141 P144:Q145 O145 P150:Q150">
    <cfRule type="containsText" dxfId="2" priority="31001" operator="containsText" text="Yes">
      <formula>NOT(ISERROR(SEARCH(("Yes"),(P114))))</formula>
    </cfRule>
  </conditionalFormatting>
  <conditionalFormatting sqref="P114:Q114 P119:Q120 P140:Q141 P144:Q145 O145 P150:Q150">
    <cfRule type="containsText" dxfId="2" priority="31002" operator="containsText" text="Yes">
      <formula>NOT(ISERROR(SEARCH(("Yes"),(P114))))</formula>
    </cfRule>
  </conditionalFormatting>
  <conditionalFormatting sqref="P114:Q114 P119:Q120 P140:Q141 P144:Q145 O145 P150:Q150">
    <cfRule type="containsText" dxfId="2" priority="31003" operator="containsText" text="Yes">
      <formula>NOT(ISERROR(SEARCH(("Yes"),(P114))))</formula>
    </cfRule>
  </conditionalFormatting>
  <conditionalFormatting sqref="P114:Q114 P119:Q120 P140:Q141 P144:Q145 O145 P150:Q150">
    <cfRule type="containsText" dxfId="2" priority="31004" operator="containsText" text="Yes">
      <formula>NOT(ISERROR(SEARCH(("Yes"),(P114))))</formula>
    </cfRule>
  </conditionalFormatting>
  <conditionalFormatting sqref="P114:Q114 P119:Q120 P140:Q141 P144:Q145 O145 P150:Q150">
    <cfRule type="containsText" dxfId="2" priority="31005" operator="containsText" text="Yes">
      <formula>NOT(ISERROR(SEARCH(("Yes"),(P114))))</formula>
    </cfRule>
  </conditionalFormatting>
  <conditionalFormatting sqref="P114:Q114 P119:Q120 P140:Q141 P144:Q145 O145 P150:Q150">
    <cfRule type="containsText" dxfId="2" priority="31006" operator="containsText" text="Yes">
      <formula>NOT(ISERROR(SEARCH(("Yes"),(P114))))</formula>
    </cfRule>
  </conditionalFormatting>
  <conditionalFormatting sqref="P114:Q114 P119:Q120 P140:Q141 P144:Q145 O145 P150:Q150">
    <cfRule type="containsText" dxfId="2" priority="31007" operator="containsText" text="Yes">
      <formula>NOT(ISERROR(SEARCH(("Yes"),(P114))))</formula>
    </cfRule>
  </conditionalFormatting>
  <conditionalFormatting sqref="P114:Q114 P119:Q120 P140:Q141 P144:Q145 O145 P150:Q150">
    <cfRule type="containsText" dxfId="2" priority="31008" operator="containsText" text="Yes">
      <formula>NOT(ISERROR(SEARCH(("Yes"),(P114))))</formula>
    </cfRule>
  </conditionalFormatting>
  <conditionalFormatting sqref="P114:Q114 P119:Q120 P140:Q141 P144:Q145 O145 P150:Q150">
    <cfRule type="containsText" dxfId="2" priority="31009" operator="containsText" text="Yes">
      <formula>NOT(ISERROR(SEARCH(("Yes"),(P114))))</formula>
    </cfRule>
  </conditionalFormatting>
  <conditionalFormatting sqref="P114:Q114 P119:Q120 P140:Q141 P144:Q145 O145 P150:Q150">
    <cfRule type="containsText" dxfId="2" priority="31010" operator="containsText" text="Yes">
      <formula>NOT(ISERROR(SEARCH(("Yes"),(P114))))</formula>
    </cfRule>
  </conditionalFormatting>
  <conditionalFormatting sqref="P114:Q114 P119:Q120 P140:Q141 P144:Q145 O145 P150:Q150">
    <cfRule type="containsText" dxfId="2" priority="31011" operator="containsText" text="Yes">
      <formula>NOT(ISERROR(SEARCH(("Yes"),(P114))))</formula>
    </cfRule>
  </conditionalFormatting>
  <conditionalFormatting sqref="P114:Q114 P119:Q120 P140:Q141 P144:Q145 O145 P150:Q150">
    <cfRule type="containsText" dxfId="2" priority="31012" operator="containsText" text="Yes">
      <formula>NOT(ISERROR(SEARCH(("Yes"),(P114))))</formula>
    </cfRule>
  </conditionalFormatting>
  <conditionalFormatting sqref="P114:Q114 P119:Q120 P140:Q141 P144:Q145 O145 P150:Q150">
    <cfRule type="containsText" dxfId="2" priority="31013" operator="containsText" text="Yes">
      <formula>NOT(ISERROR(SEARCH(("Yes"),(P114))))</formula>
    </cfRule>
  </conditionalFormatting>
  <conditionalFormatting sqref="P114:Q114 P119:Q120 P140:Q141 P144:Q145 O145 P150:Q150">
    <cfRule type="containsText" dxfId="2" priority="31014" operator="containsText" text="Yes">
      <formula>NOT(ISERROR(SEARCH(("Yes"),(P114))))</formula>
    </cfRule>
  </conditionalFormatting>
  <conditionalFormatting sqref="P114:Q114 P119:Q120 P140:Q141 P144:Q145 O145 P150:Q150">
    <cfRule type="containsText" dxfId="2" priority="31015" operator="containsText" text="Yes">
      <formula>NOT(ISERROR(SEARCH(("Yes"),(P114))))</formula>
    </cfRule>
  </conditionalFormatting>
  <conditionalFormatting sqref="P114:Q114 P119:Q120 P140:Q141 P144:Q145 O145 P150:Q150">
    <cfRule type="containsText" dxfId="2" priority="31016" operator="containsText" text="Yes">
      <formula>NOT(ISERROR(SEARCH(("Yes"),(P114))))</formula>
    </cfRule>
  </conditionalFormatting>
  <conditionalFormatting sqref="P114:Q114 P119:Q120 P140:Q141 P144:Q145 O145 P150:Q150">
    <cfRule type="containsText" dxfId="2" priority="31017" operator="containsText" text="Yes">
      <formula>NOT(ISERROR(SEARCH(("Yes"),(P114))))</formula>
    </cfRule>
  </conditionalFormatting>
  <conditionalFormatting sqref="P114:Q114 P119:Q120 P140:Q141 P144:Q145 O145 P150:Q150">
    <cfRule type="containsText" dxfId="2" priority="31018" operator="containsText" text="Yes">
      <formula>NOT(ISERROR(SEARCH(("Yes"),(P114))))</formula>
    </cfRule>
  </conditionalFormatting>
  <conditionalFormatting sqref="P114:Q114 P119:Q120 P140:Q141 P144:Q145 O145 P150:Q150">
    <cfRule type="containsText" dxfId="2" priority="31019" operator="containsText" text="Yes">
      <formula>NOT(ISERROR(SEARCH(("Yes"),(P114))))</formula>
    </cfRule>
  </conditionalFormatting>
  <conditionalFormatting sqref="P114:Q114 P119:Q120 P140:Q141 P144:Q145 O145 P150:Q150">
    <cfRule type="containsText" dxfId="2" priority="31020" operator="containsText" text="Yes">
      <formula>NOT(ISERROR(SEARCH(("Yes"),(P114))))</formula>
    </cfRule>
  </conditionalFormatting>
  <conditionalFormatting sqref="P114:Q114 P119:Q120 P140:Q141 P144:Q145 O145 P150:Q150">
    <cfRule type="containsText" dxfId="2" priority="31021" operator="containsText" text="Yes">
      <formula>NOT(ISERROR(SEARCH(("Yes"),(P114))))</formula>
    </cfRule>
  </conditionalFormatting>
  <conditionalFormatting sqref="P114:Q114 P119:Q120 P140:Q141 P144:Q145 O145 P150:Q150">
    <cfRule type="containsText" dxfId="2" priority="31022" operator="containsText" text="Yes">
      <formula>NOT(ISERROR(SEARCH(("Yes"),(P114))))</formula>
    </cfRule>
  </conditionalFormatting>
  <conditionalFormatting sqref="N115:Q118 N121:Q133 N136:Q139 N142:Q143 N146:Q152 N154 O154:O155 P154:Q154 N159:Q159 N161:Q162 N164:O167 P164:Q164 P166:Q167 N170:O170 N172:Q172 N174:Q174 N176:Q176 N180:Q182 N184:Q184">
    <cfRule type="containsText" dxfId="9" priority="31023"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24"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25"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26"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27"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28"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29"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30"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31"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32"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33"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34"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35"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36"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37"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38"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39"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40"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41"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42"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43"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44"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45"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46"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47"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48"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49"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50"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51"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52"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53"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54"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55"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56"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57"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58"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59"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60"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61"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62"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63"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64"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65"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66"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9" priority="31067" operator="containsText" text="No">
      <formula>NOT(ISERROR(SEARCH(("No"),(N115))))</formula>
    </cfRule>
  </conditionalFormatting>
  <conditionalFormatting sqref="N115:Q118 N121:Q133 N136:Q139 N142:Q143 N146:Q152 N154 O154:O155 P154:Q154 N159:Q159 N161:Q162 N164:O167 P164:Q164 P166:Q167 N170:O170 N172:Q172 N174:Q174 N176:Q176 N180:Q182 N184:Q184">
    <cfRule type="containsText" dxfId="2" priority="31068"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69"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70"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71"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72"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73"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74"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75"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76"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77"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78"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79"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80"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81"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82"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83"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84"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85"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86"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87"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88"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89"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90"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91"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92"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93"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94"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95"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96"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97"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98"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099"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00"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01"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02"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03"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04"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05"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06"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07"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08"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09"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10"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11"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12"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13" operator="containsText" text="Yes">
      <formula>NOT(ISERROR(SEARCH(("Yes"),(N115))))</formula>
    </cfRule>
  </conditionalFormatting>
  <conditionalFormatting sqref="N115:Q118 N121:Q133 N136:Q139 N142:Q143 N146:Q152 N154 O154:O155 P154:Q154 N159:Q159 N161:Q162 N164:O167 P164:Q164 P166:Q167 N170:O170 N172:Q172 N174:Q174 N176:Q176 N180:Q182 N184:Q184">
    <cfRule type="containsText" dxfId="2" priority="31114" operator="containsText" text="Yes">
      <formula>NOT(ISERROR(SEARCH(("Yes"),(N115))))</formula>
    </cfRule>
  </conditionalFormatting>
  <conditionalFormatting sqref="N116:N133 P127 N136:N152 O150 N154 N159 N161">
    <cfRule type="containsText" dxfId="9" priority="31115" operator="containsText" text="No">
      <formula>NOT(ISERROR(SEARCH(("No"),(N116))))</formula>
    </cfRule>
  </conditionalFormatting>
  <conditionalFormatting sqref="N116:N133 P127 N136:N152 O150 N154 N159 N161">
    <cfRule type="containsText" dxfId="9" priority="31116" operator="containsText" text="No">
      <formula>NOT(ISERROR(SEARCH(("No"),(N116))))</formula>
    </cfRule>
  </conditionalFormatting>
  <conditionalFormatting sqref="N116:N133 P127 N136:N152 O150 N154 N159 N161">
    <cfRule type="containsText" dxfId="9" priority="31117" operator="containsText" text="No">
      <formula>NOT(ISERROR(SEARCH(("No"),(N116))))</formula>
    </cfRule>
  </conditionalFormatting>
  <conditionalFormatting sqref="N116:N133 P127 N136:N152 O150 N154 N159 N161">
    <cfRule type="containsText" dxfId="2" priority="31118" operator="containsText" text="Yes">
      <formula>NOT(ISERROR(SEARCH(("Yes"),(N116))))</formula>
    </cfRule>
  </conditionalFormatting>
  <conditionalFormatting sqref="N116:N133 P127 N136:N152 O150 N154 N159 N161">
    <cfRule type="containsText" dxfId="2" priority="31119" operator="containsText" text="Yes">
      <formula>NOT(ISERROR(SEARCH(("Yes"),(N116))))</formula>
    </cfRule>
  </conditionalFormatting>
  <conditionalFormatting sqref="N116:N133 P127 N136:N152 O150 N154 N159 N161">
    <cfRule type="containsText" dxfId="2" priority="31120" operator="containsText" text="Yes">
      <formula>NOT(ISERROR(SEARCH(("Yes"),(N116))))</formula>
    </cfRule>
  </conditionalFormatting>
  <conditionalFormatting sqref="N116:N133 P127 N136:N152 O150 N154 N159 N161">
    <cfRule type="containsText" dxfId="2" priority="31121" operator="containsText" text="Yes">
      <formula>NOT(ISERROR(SEARCH(("Yes"),(N116))))</formula>
    </cfRule>
  </conditionalFormatting>
  <conditionalFormatting sqref="N116:N133 P127 N136:N152 O150 N154 N159 N161">
    <cfRule type="containsText" dxfId="2" priority="31122" operator="containsText" text="Yes">
      <formula>NOT(ISERROR(SEARCH(("Yes"),(N116))))</formula>
    </cfRule>
  </conditionalFormatting>
  <conditionalFormatting sqref="N116:N133 P127 N136:N152 O150 N154 N159 N161">
    <cfRule type="containsText" dxfId="9" priority="31123" operator="containsText" text="No">
      <formula>NOT(ISERROR(SEARCH(("No"),(N116))))</formula>
    </cfRule>
  </conditionalFormatting>
  <conditionalFormatting sqref="N116:N133 P127 N136:N152 O150 N154 N159 N161">
    <cfRule type="containsText" dxfId="2" priority="31124" operator="containsText" text="Yes">
      <formula>NOT(ISERROR(SEARCH(("Yes"),(N116))))</formula>
    </cfRule>
  </conditionalFormatting>
  <conditionalFormatting sqref="O116:O133 Q127 O136:O152 N139 P145 P150 O154:O155 O159 O161:O162 N162 N164:O167 N170:O170 N172:O172 N174:O174 N176:O176 N180:O182 N184:O184">
    <cfRule type="containsText" dxfId="9" priority="31125" operator="containsText" text="No">
      <formula>NOT(ISERROR(SEARCH(("No"),(O116))))</formula>
    </cfRule>
  </conditionalFormatting>
  <conditionalFormatting sqref="O116:O133 Q127 O136:O152 N139 P145 P150 O154:O155 O159 O161:O162 N162 N164:O167 N170:O170 N172:O172 N174:O174 N176:O176 N180:O182 N184:O184">
    <cfRule type="containsText" dxfId="9" priority="31126" operator="containsText" text="No">
      <formula>NOT(ISERROR(SEARCH(("No"),(O116))))</formula>
    </cfRule>
  </conditionalFormatting>
  <conditionalFormatting sqref="O116:O133 Q127 O136:O152 N139 P145 P150 O154:O155 O159 O161:O162 N162 N164:O167 N170:O170 N172:O172 N174:O174 N176:O176 N180:O182 N184:O184">
    <cfRule type="containsText" dxfId="9" priority="31127" operator="containsText" text="No">
      <formula>NOT(ISERROR(SEARCH(("No"),(O116))))</formula>
    </cfRule>
  </conditionalFormatting>
  <conditionalFormatting sqref="O116:O133 Q127 O136:O152 N139 P145 P150 O154:O155 O159 O161:O162 N162 N164:O167 N170:O170 N172:O172 N174:O174 N176:O176 N180:O182 N184:O184">
    <cfRule type="containsText" dxfId="2" priority="31128" operator="containsText" text="Yes">
      <formula>NOT(ISERROR(SEARCH(("Yes"),(O116))))</formula>
    </cfRule>
  </conditionalFormatting>
  <conditionalFormatting sqref="O116:O133 Q127 O136:O152 N139 P145 P150 O154:O155 O159 O161:O162 N162 N164:O167 N170:O170 N172:O172 N174:O174 N176:O176 N180:O182 N184:O184">
    <cfRule type="containsText" dxfId="2" priority="31129" operator="containsText" text="Yes">
      <formula>NOT(ISERROR(SEARCH(("Yes"),(O116))))</formula>
    </cfRule>
  </conditionalFormatting>
  <conditionalFormatting sqref="O116:O133 Q127 O136:O152 N139 P145 P150 O154:O155 O159 O161:O162 N162 N164:O167 N170:O170 N172:O172 N174:O174 N176:O176 N180:O182 N184:O184">
    <cfRule type="containsText" dxfId="2" priority="31130" operator="containsText" text="Yes">
      <formula>NOT(ISERROR(SEARCH(("Yes"),(O116))))</formula>
    </cfRule>
  </conditionalFormatting>
  <conditionalFormatting sqref="O116:O133 Q127 O136:O152 N139 P145 P150 O154:O155 O159 O161:O162 N162 N164:O167 N170:O170 N172:O172 N174:O174 N176:O176 N180:O182 N184:O184">
    <cfRule type="containsText" dxfId="2" priority="31131" operator="containsText" text="Yes">
      <formula>NOT(ISERROR(SEARCH(("Yes"),(O116))))</formula>
    </cfRule>
  </conditionalFormatting>
  <conditionalFormatting sqref="O116:O133 Q127 O136:O152 N139 P145 P150 O154:O155 O159 O161:O162 N162 N164:O167 N170:O170 N172:O172 N174:O174 N176:O176 N180:O182 N184:O184">
    <cfRule type="containsText" dxfId="2" priority="31132" operator="containsText" text="Yes">
      <formula>NOT(ISERROR(SEARCH(("Yes"),(O116))))</formula>
    </cfRule>
  </conditionalFormatting>
  <conditionalFormatting sqref="O116:O133 Q127 O136:O152 N139 P145 P150 O154:O155 O159 O161:O162 N162 N164:O167 N170:O170 N172:O172 N174:O174 N176:O176 N180:O182 N184:O184">
    <cfRule type="containsText" dxfId="9" priority="31133" operator="containsText" text="No">
      <formula>NOT(ISERROR(SEARCH(("No"),(O116))))</formula>
    </cfRule>
  </conditionalFormatting>
  <conditionalFormatting sqref="O116:O133 Q127 O136:O152 N139 P145 P150 O154:O155 O159 O161:O162 N162 N164:O167 N170:O170 N172:O172 N174:O174 N176:O176 N180:O182 N184:O184">
    <cfRule type="containsText" dxfId="9" priority="31134" operator="containsText" text="No">
      <formula>NOT(ISERROR(SEARCH(("No"),(O116))))</formula>
    </cfRule>
  </conditionalFormatting>
  <conditionalFormatting sqref="O116:O133 Q127 O136:O152 N139 P145 P150 O154:O155 O159 O161:O162 N162 N164:O167 N170:O170 N172:O172 N174:O174 N176:O176 N180:O182 N184:O184">
    <cfRule type="containsText" dxfId="2" priority="31135" operator="containsText" text="Yes">
      <formula>NOT(ISERROR(SEARCH(("Yes"),(O116))))</formula>
    </cfRule>
  </conditionalFormatting>
  <conditionalFormatting sqref="P116:Q126 P128:Q133 P136:Q152 O145 P154:Q154 P159:Q159 P161:Q162 P164:Q164 P166:Q167 P172:Q172 P174:Q174 P176:Q176 P180:Q182 P184:Q184">
    <cfRule type="containsText" dxfId="9" priority="31136"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37"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38"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39"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40"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41"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42"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43"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44"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45"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46"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47"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48"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49"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50"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51"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52"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53"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54"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55"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56"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57"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58"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59"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60"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61"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62"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63"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64"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65"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66"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67"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68"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69"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70"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71"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72"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73"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74"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75"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76"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77"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78"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79" operator="containsText" text="No">
      <formula>NOT(ISERROR(SEARCH(("No"),(P116))))</formula>
    </cfRule>
  </conditionalFormatting>
  <conditionalFormatting sqref="P116:Q126 P128:Q133 P136:Q152 O145 P154:Q154 P159:Q159 P161:Q162 P164:Q164 P166:Q167 P172:Q172 P174:Q174 P176:Q176 P180:Q182 P184:Q184">
    <cfRule type="containsText" dxfId="9" priority="31180" operator="containsText" text="No">
      <formula>NOT(ISERROR(SEARCH(("No"),(P116))))</formula>
    </cfRule>
  </conditionalFormatting>
  <conditionalFormatting sqref="P116:Q126 P128:Q133 P136:Q152 O145 P154:Q154 P159:Q159 P161:Q162 P164:Q164 P166:Q167 P172:Q172 P174:Q174 P176:Q176 P180:Q182 P184:Q184">
    <cfRule type="containsText" dxfId="2" priority="31181"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82"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83"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84"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85"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86"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87"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88"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89"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90"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91"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92"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93"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94"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95"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96"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97"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98"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199"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00"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01"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02"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03"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04"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05"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06"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07"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08"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09"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10"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11"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12"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13"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14"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15"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16"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17"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18"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19"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20"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21"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22"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23"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24"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25"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26" operator="containsText" text="Yes">
      <formula>NOT(ISERROR(SEARCH(("Yes"),(P116))))</formula>
    </cfRule>
  </conditionalFormatting>
  <conditionalFormatting sqref="P116:Q126 P128:Q133 P136:Q152 O145 P154:Q154 P159:Q159 P161:Q162 P164:Q164 P166:Q167 P172:Q172 P174:Q174 P176:Q176 P180:Q182 P184:Q184">
    <cfRule type="containsText" dxfId="2" priority="31227" operator="containsText" text="Yes">
      <formula>NOT(ISERROR(SEARCH(("Yes"),(P116))))</formula>
    </cfRule>
  </conditionalFormatting>
  <conditionalFormatting sqref="O117:O120 O122:O133 Q127 O136:O152 N139 P145 P150 O154:O155 O159 O161:O162 N162 N164:O167 N170:O170 N172:O172 N174:O174 N176:O176 N180:O182 N184:O184">
    <cfRule type="containsText" dxfId="9" priority="31228" operator="containsText" text="No">
      <formula>NOT(ISERROR(SEARCH(("No"),(O117))))</formula>
    </cfRule>
  </conditionalFormatting>
  <conditionalFormatting sqref="O117:O120 O122:O133 Q127 O136:O152 N139 P145 P150 O154:O155 O159 O161:O162 N162 N164:O167 N170:O170 N172:O172 N174:O174 N176:O176 N180:O182 N184:O184">
    <cfRule type="containsText" dxfId="9" priority="31229" operator="containsText" text="No">
      <formula>NOT(ISERROR(SEARCH(("No"),(O117))))</formula>
    </cfRule>
  </conditionalFormatting>
  <conditionalFormatting sqref="O117:O120 O122:O133 Q127 O136:O152 N139 P145 P150 O154:O155 O159 O161:O162 N162 N164:O167 N170:O170 N172:O172 N174:O174 N176:O176 N180:O182 N184:O184">
    <cfRule type="containsText" dxfId="9" priority="31230" operator="containsText" text="No">
      <formula>NOT(ISERROR(SEARCH(("No"),(O117))))</formula>
    </cfRule>
  </conditionalFormatting>
  <conditionalFormatting sqref="O117:O120 O122:O133 Q127 O136:O152 N139 P145 P150 O154:O155 O159 O161:O162 N162 N164:O167 N170:O170 N172:O172 N174:O174 N176:O176 N180:O182 N184:O184">
    <cfRule type="containsText" dxfId="2" priority="31231" operator="containsText" text="Yes">
      <formula>NOT(ISERROR(SEARCH(("Yes"),(O117))))</formula>
    </cfRule>
  </conditionalFormatting>
  <conditionalFormatting sqref="O117:O120 O122:O133 Q127 O136:O152 N139 P145 P150 O154:O155 O159 O161:O162 N162 N164:O167 N170:O170 N172:O172 N174:O174 N176:O176 N180:O182 N184:O184">
    <cfRule type="containsText" dxfId="2" priority="31232" operator="containsText" text="Yes">
      <formula>NOT(ISERROR(SEARCH(("Yes"),(O117))))</formula>
    </cfRule>
  </conditionalFormatting>
  <conditionalFormatting sqref="O117:O120 O122:O133 Q127 O136:O152 N139 P145 P150 O154:O155 O159 O161:O162 N162 N164:O167 N170:O170 N172:O172 N174:O174 N176:O176 N180:O182 N184:O184">
    <cfRule type="containsText" dxfId="2" priority="31233" operator="containsText" text="Yes">
      <formula>NOT(ISERROR(SEARCH(("Yes"),(O117))))</formula>
    </cfRule>
  </conditionalFormatting>
  <conditionalFormatting sqref="O117:O120 O122:O133 Q127 O136:O152 N139 P145 P150 O154:O155 O159 O161:O162 N162 N164:O167 N170:O170 N172:O172 N174:O174 N176:O176 N180:O182 N184:O184">
    <cfRule type="containsText" dxfId="2" priority="31234" operator="containsText" text="Yes">
      <formula>NOT(ISERROR(SEARCH(("Yes"),(O117))))</formula>
    </cfRule>
  </conditionalFormatting>
  <conditionalFormatting sqref="O117:O120 O122:O133 Q127 O136:O152 N139 P145 P150 O154:O155 O159 O161:O162 N162 N164:O167 N170:O170 N172:O172 N174:O174 N176:O176 N180:O182 N184:O184">
    <cfRule type="containsText" dxfId="2" priority="31235" operator="containsText" text="Yes">
      <formula>NOT(ISERROR(SEARCH(("Yes"),(O117))))</formula>
    </cfRule>
  </conditionalFormatting>
  <conditionalFormatting sqref="O117:O120 O122:O133 Q127 O136:O152 N139 P145 P150 O154:O155 O159 O161:O162 N162 N164:O167 N170:O170 N172:O172 N174:O174 N176:O176 N180:O182 N184:O184">
    <cfRule type="containsText" dxfId="9" priority="31236" operator="containsText" text="No">
      <formula>NOT(ISERROR(SEARCH(("No"),(O117))))</formula>
    </cfRule>
  </conditionalFormatting>
  <conditionalFormatting sqref="O117:O120 O122:O133 Q127 O136:O152 N139 P145 P150 O154:O155 O159 O161:O162 N162 N164:O167 N170:O170 N172:O172 N174:O174 N176:O176 N180:O182 N184:O184">
    <cfRule type="containsText" dxfId="9" priority="31237" operator="containsText" text="No">
      <formula>NOT(ISERROR(SEARCH(("No"),(O117))))</formula>
    </cfRule>
  </conditionalFormatting>
  <conditionalFormatting sqref="O117:O120 O122:O133 Q127 O136:O152 N139 P145 P150 O154:O155 O159 O161:O162 N162 N164:O167 N170:O170 N172:O172 N174:O174 N176:O176 N180:O182 N184:O184">
    <cfRule type="containsText" dxfId="2" priority="31238" operator="containsText" text="Yes">
      <formula>NOT(ISERROR(SEARCH(("Yes"),(O117))))</formula>
    </cfRule>
  </conditionalFormatting>
  <conditionalFormatting sqref="N118:Q120 N127 P127:Q127 N140:Q141 N144:Q145 N150:Q150">
    <cfRule type="containsText" dxfId="9" priority="31239" operator="containsText" text="No">
      <formula>NOT(ISERROR(SEARCH(("No"),(N118))))</formula>
    </cfRule>
  </conditionalFormatting>
  <conditionalFormatting sqref="N118:Q120 N127 P127:Q127 N140:Q141 N144:Q145 N150:Q150">
    <cfRule type="containsText" dxfId="9" priority="31240" operator="containsText" text="No">
      <formula>NOT(ISERROR(SEARCH(("No"),(N118))))</formula>
    </cfRule>
  </conditionalFormatting>
  <conditionalFormatting sqref="N118:Q120 N127 P127:Q127 N140:Q141 N144:Q145 N150:Q150">
    <cfRule type="containsText" dxfId="9" priority="31241" operator="containsText" text="No">
      <formula>NOT(ISERROR(SEARCH(("No"),(N118))))</formula>
    </cfRule>
  </conditionalFormatting>
  <conditionalFormatting sqref="N118:Q120 N127 P127:Q127 N140:Q141 N144:Q145 N150:Q150">
    <cfRule type="containsText" dxfId="9" priority="31242" operator="containsText" text="No">
      <formula>NOT(ISERROR(SEARCH(("No"),(N118))))</formula>
    </cfRule>
  </conditionalFormatting>
  <conditionalFormatting sqref="N118:Q120 N127 P127:Q127 N140:Q141 N144:Q145 N150:Q150">
    <cfRule type="containsText" dxfId="9" priority="31243" operator="containsText" text="No">
      <formula>NOT(ISERROR(SEARCH(("No"),(N118))))</formula>
    </cfRule>
  </conditionalFormatting>
  <conditionalFormatting sqref="N118:Q120 N127 P127:Q127 N140:Q141 N144:Q145 N150:Q150">
    <cfRule type="containsText" dxfId="9" priority="31244" operator="containsText" text="No">
      <formula>NOT(ISERROR(SEARCH(("No"),(N118))))</formula>
    </cfRule>
  </conditionalFormatting>
  <conditionalFormatting sqref="N118:Q120 N127 P127:Q127 N140:Q141 N144:Q145 N150:Q150">
    <cfRule type="containsText" dxfId="9" priority="31245" operator="containsText" text="No">
      <formula>NOT(ISERROR(SEARCH(("No"),(N118))))</formula>
    </cfRule>
  </conditionalFormatting>
  <conditionalFormatting sqref="N118:Q120 N127 P127:Q127 N140:Q141 N144:Q145 N150:Q150">
    <cfRule type="containsText" dxfId="9" priority="31246" operator="containsText" text="No">
      <formula>NOT(ISERROR(SEARCH(("No"),(N118))))</formula>
    </cfRule>
  </conditionalFormatting>
  <conditionalFormatting sqref="N118:Q120 N127 P127:Q127 N140:Q141 N144:Q145 N150:Q150">
    <cfRule type="containsText" dxfId="9" priority="31247" operator="containsText" text="No">
      <formula>NOT(ISERROR(SEARCH(("No"),(N118))))</formula>
    </cfRule>
  </conditionalFormatting>
  <conditionalFormatting sqref="N118:Q120 N127 P127:Q127 N140:Q141 N144:Q145 N150:Q150">
    <cfRule type="containsText" dxfId="9" priority="31248" operator="containsText" text="No">
      <formula>NOT(ISERROR(SEARCH(("No"),(N118))))</formula>
    </cfRule>
  </conditionalFormatting>
  <conditionalFormatting sqref="N118:Q120 N127 P127:Q127 N140:Q141 N144:Q145 N150:Q150">
    <cfRule type="containsText" dxfId="9" priority="31249" operator="containsText" text="No">
      <formula>NOT(ISERROR(SEARCH(("No"),(N118))))</formula>
    </cfRule>
  </conditionalFormatting>
  <conditionalFormatting sqref="N118:Q120 N127 P127:Q127 N140:Q141 N144:Q145 N150:Q150">
    <cfRule type="containsText" dxfId="9" priority="31250" operator="containsText" text="No">
      <formula>NOT(ISERROR(SEARCH(("No"),(N118))))</formula>
    </cfRule>
  </conditionalFormatting>
  <conditionalFormatting sqref="N118:Q120 N127 P127:Q127 N140:Q141 N144:Q145 N150:Q150">
    <cfRule type="containsText" dxfId="9" priority="31251" operator="containsText" text="No">
      <formula>NOT(ISERROR(SEARCH(("No"),(N118))))</formula>
    </cfRule>
  </conditionalFormatting>
  <conditionalFormatting sqref="N118:Q120 N127 P127:Q127 N140:Q141 N144:Q145 N150:Q150">
    <cfRule type="containsText" dxfId="9" priority="31252" operator="containsText" text="No">
      <formula>NOT(ISERROR(SEARCH(("No"),(N118))))</formula>
    </cfRule>
  </conditionalFormatting>
  <conditionalFormatting sqref="N118:Q120 N127 P127:Q127 N140:Q141 N144:Q145 N150:Q150">
    <cfRule type="containsText" dxfId="9" priority="31253" operator="containsText" text="No">
      <formula>NOT(ISERROR(SEARCH(("No"),(N118))))</formula>
    </cfRule>
  </conditionalFormatting>
  <conditionalFormatting sqref="N118:Q120 N127 P127:Q127 N140:Q141 N144:Q145 N150:Q150">
    <cfRule type="containsText" dxfId="9" priority="31254" operator="containsText" text="No">
      <formula>NOT(ISERROR(SEARCH(("No"),(N118))))</formula>
    </cfRule>
  </conditionalFormatting>
  <conditionalFormatting sqref="N118:Q120 N127 P127:Q127 N140:Q141 N144:Q145 N150:Q150">
    <cfRule type="containsText" dxfId="9" priority="31255" operator="containsText" text="No">
      <formula>NOT(ISERROR(SEARCH(("No"),(N118))))</formula>
    </cfRule>
  </conditionalFormatting>
  <conditionalFormatting sqref="N118:Q120 N127 P127:Q127 N140:Q141 N144:Q145 N150:Q150">
    <cfRule type="containsText" dxfId="9" priority="31256" operator="containsText" text="No">
      <formula>NOT(ISERROR(SEARCH(("No"),(N118))))</formula>
    </cfRule>
  </conditionalFormatting>
  <conditionalFormatting sqref="N118:Q120 N127 P127:Q127 N140:Q141 N144:Q145 N150:Q150">
    <cfRule type="containsText" dxfId="9" priority="31257" operator="containsText" text="No">
      <formula>NOT(ISERROR(SEARCH(("No"),(N118))))</formula>
    </cfRule>
  </conditionalFormatting>
  <conditionalFormatting sqref="N118:Q120 N127 P127:Q127 N140:Q141 N144:Q145 N150:Q150">
    <cfRule type="containsText" dxfId="9" priority="31258" operator="containsText" text="No">
      <formula>NOT(ISERROR(SEARCH(("No"),(N118))))</formula>
    </cfRule>
  </conditionalFormatting>
  <conditionalFormatting sqref="N118:Q120 N127 P127:Q127 N140:Q141 N144:Q145 N150:Q150">
    <cfRule type="containsText" dxfId="9" priority="31259" operator="containsText" text="No">
      <formula>NOT(ISERROR(SEARCH(("No"),(N118))))</formula>
    </cfRule>
  </conditionalFormatting>
  <conditionalFormatting sqref="N118:Q120 N127 P127:Q127 N140:Q141 N144:Q145 N150:Q150">
    <cfRule type="containsText" dxfId="9" priority="31260" operator="containsText" text="No">
      <formula>NOT(ISERROR(SEARCH(("No"),(N118))))</formula>
    </cfRule>
  </conditionalFormatting>
  <conditionalFormatting sqref="N118:Q120 N127 P127:Q127 N140:Q141 N144:Q145 N150:Q150">
    <cfRule type="containsText" dxfId="9" priority="31261" operator="containsText" text="No">
      <formula>NOT(ISERROR(SEARCH(("No"),(N118))))</formula>
    </cfRule>
  </conditionalFormatting>
  <conditionalFormatting sqref="N118:Q120 N127 P127:Q127 N140:Q141 N144:Q145 N150:Q150">
    <cfRule type="containsText" dxfId="9" priority="31262" operator="containsText" text="No">
      <formula>NOT(ISERROR(SEARCH(("No"),(N118))))</formula>
    </cfRule>
  </conditionalFormatting>
  <conditionalFormatting sqref="N118:Q120 N127 P127:Q127 N140:Q141 N144:Q145 N150:Q150">
    <cfRule type="containsText" dxfId="9" priority="31263" operator="containsText" text="No">
      <formula>NOT(ISERROR(SEARCH(("No"),(N118))))</formula>
    </cfRule>
  </conditionalFormatting>
  <conditionalFormatting sqref="N118:Q120 N127 P127:Q127 N140:Q141 N144:Q145 N150:Q150">
    <cfRule type="containsText" dxfId="9" priority="31264" operator="containsText" text="No">
      <formula>NOT(ISERROR(SEARCH(("No"),(N118))))</formula>
    </cfRule>
  </conditionalFormatting>
  <conditionalFormatting sqref="N118:Q120 N127 P127:Q127 N140:Q141 N144:Q145 N150:Q150">
    <cfRule type="containsText" dxfId="9" priority="31265" operator="containsText" text="No">
      <formula>NOT(ISERROR(SEARCH(("No"),(N118))))</formula>
    </cfRule>
  </conditionalFormatting>
  <conditionalFormatting sqref="N118:Q120 N127 P127:Q127 N140:Q141 N144:Q145 N150:Q150">
    <cfRule type="containsText" dxfId="9" priority="31266" operator="containsText" text="No">
      <formula>NOT(ISERROR(SEARCH(("No"),(N118))))</formula>
    </cfRule>
  </conditionalFormatting>
  <conditionalFormatting sqref="N118:Q120 N127 P127:Q127 N140:Q141 N144:Q145 N150:Q150">
    <cfRule type="containsText" dxfId="9" priority="31267" operator="containsText" text="No">
      <formula>NOT(ISERROR(SEARCH(("No"),(N118))))</formula>
    </cfRule>
  </conditionalFormatting>
  <conditionalFormatting sqref="N118:Q120 N127 P127:Q127 N140:Q141 N144:Q145 N150:Q150">
    <cfRule type="containsText" dxfId="9" priority="31268" operator="containsText" text="No">
      <formula>NOT(ISERROR(SEARCH(("No"),(N118))))</formula>
    </cfRule>
  </conditionalFormatting>
  <conditionalFormatting sqref="N118:Q120 N127 P127:Q127 N140:Q141 N144:Q145 N150:Q150">
    <cfRule type="containsText" dxfId="9" priority="31269" operator="containsText" text="No">
      <formula>NOT(ISERROR(SEARCH(("No"),(N118))))</formula>
    </cfRule>
  </conditionalFormatting>
  <conditionalFormatting sqref="N118:Q120 N127 P127:Q127 N140:Q141 N144:Q145 N150:Q150">
    <cfRule type="containsText" dxfId="9" priority="31270" operator="containsText" text="No">
      <formula>NOT(ISERROR(SEARCH(("No"),(N118))))</formula>
    </cfRule>
  </conditionalFormatting>
  <conditionalFormatting sqref="N118:Q120 N127 P127:Q127 N140:Q141 N144:Q145 N150:Q150">
    <cfRule type="containsText" dxfId="9" priority="31271" operator="containsText" text="No">
      <formula>NOT(ISERROR(SEARCH(("No"),(N118))))</formula>
    </cfRule>
  </conditionalFormatting>
  <conditionalFormatting sqref="N118:Q120 N127 P127:Q127 N140:Q141 N144:Q145 N150:Q150">
    <cfRule type="containsText" dxfId="9" priority="31272" operator="containsText" text="No">
      <formula>NOT(ISERROR(SEARCH(("No"),(N118))))</formula>
    </cfRule>
  </conditionalFormatting>
  <conditionalFormatting sqref="N118:Q120 N127 P127:Q127 N140:Q141 N144:Q145 N150:Q150">
    <cfRule type="containsText" dxfId="9" priority="31273" operator="containsText" text="No">
      <formula>NOT(ISERROR(SEARCH(("No"),(N118))))</formula>
    </cfRule>
  </conditionalFormatting>
  <conditionalFormatting sqref="N118:Q120 N127 P127:Q127 N140:Q141 N144:Q145 N150:Q150">
    <cfRule type="containsText" dxfId="9" priority="31274" operator="containsText" text="No">
      <formula>NOT(ISERROR(SEARCH(("No"),(N118))))</formula>
    </cfRule>
  </conditionalFormatting>
  <conditionalFormatting sqref="N118:Q120 N127 P127:Q127 N140:Q141 N144:Q145 N150:Q150">
    <cfRule type="containsText" dxfId="9" priority="31275" operator="containsText" text="No">
      <formula>NOT(ISERROR(SEARCH(("No"),(N118))))</formula>
    </cfRule>
  </conditionalFormatting>
  <conditionalFormatting sqref="N118:Q120 N127 P127:Q127 N140:Q141 N144:Q145 N150:Q150">
    <cfRule type="containsText" dxfId="9" priority="31276" operator="containsText" text="No">
      <formula>NOT(ISERROR(SEARCH(("No"),(N118))))</formula>
    </cfRule>
  </conditionalFormatting>
  <conditionalFormatting sqref="N118:Q120 N127 P127:Q127 N140:Q141 N144:Q145 N150:Q150">
    <cfRule type="containsText" dxfId="9" priority="31277" operator="containsText" text="No">
      <formula>NOT(ISERROR(SEARCH(("No"),(N118))))</formula>
    </cfRule>
  </conditionalFormatting>
  <conditionalFormatting sqref="N118:Q120 N127 P127:Q127 N140:Q141 N144:Q145 N150:Q150">
    <cfRule type="containsText" dxfId="9" priority="31278" operator="containsText" text="No">
      <formula>NOT(ISERROR(SEARCH(("No"),(N118))))</formula>
    </cfRule>
  </conditionalFormatting>
  <conditionalFormatting sqref="N118:Q120 N127 P127:Q127 N140:Q141 N144:Q145 N150:Q150">
    <cfRule type="containsText" dxfId="9" priority="31279" operator="containsText" text="No">
      <formula>NOT(ISERROR(SEARCH(("No"),(N118))))</formula>
    </cfRule>
  </conditionalFormatting>
  <conditionalFormatting sqref="N118:Q120 N127 P127:Q127 N140:Q141 N144:Q145 N150:Q150">
    <cfRule type="containsText" dxfId="9" priority="31280" operator="containsText" text="No">
      <formula>NOT(ISERROR(SEARCH(("No"),(N118))))</formula>
    </cfRule>
  </conditionalFormatting>
  <conditionalFormatting sqref="N118:Q120 N127 P127:Q127 N140:Q141 N144:Q145 N150:Q150">
    <cfRule type="containsText" dxfId="9" priority="31281" operator="containsText" text="No">
      <formula>NOT(ISERROR(SEARCH(("No"),(N118))))</formula>
    </cfRule>
  </conditionalFormatting>
  <conditionalFormatting sqref="N118:Q120 N127 P127:Q127 N140:Q141 N144:Q145 N150:Q150">
    <cfRule type="containsText" dxfId="9" priority="31282" operator="containsText" text="No">
      <formula>NOT(ISERROR(SEARCH(("No"),(N118))))</formula>
    </cfRule>
  </conditionalFormatting>
  <conditionalFormatting sqref="N118:Q120 N127 P127:Q127 N140:Q141 N144:Q145 N150:Q150">
    <cfRule type="containsText" dxfId="9" priority="31283" operator="containsText" text="No">
      <formula>NOT(ISERROR(SEARCH(("No"),(N118))))</formula>
    </cfRule>
  </conditionalFormatting>
  <conditionalFormatting sqref="N118:Q120 N127 P127:Q127 N140:Q141 N144:Q145 N150:Q150">
    <cfRule type="containsText" dxfId="2" priority="31284" operator="containsText" text="Yes">
      <formula>NOT(ISERROR(SEARCH(("Yes"),(N118))))</formula>
    </cfRule>
  </conditionalFormatting>
  <conditionalFormatting sqref="N118:Q120 N127 P127:Q127 N140:Q141 N144:Q145 N150:Q150">
    <cfRule type="containsText" dxfId="2" priority="31285" operator="containsText" text="Yes">
      <formula>NOT(ISERROR(SEARCH(("Yes"),(N118))))</formula>
    </cfRule>
  </conditionalFormatting>
  <conditionalFormatting sqref="N118:Q120 N127 P127:Q127 N140:Q141 N144:Q145 N150:Q150">
    <cfRule type="containsText" dxfId="2" priority="31286" operator="containsText" text="Yes">
      <formula>NOT(ISERROR(SEARCH(("Yes"),(N118))))</formula>
    </cfRule>
  </conditionalFormatting>
  <conditionalFormatting sqref="N118:Q120 N127 P127:Q127 N140:Q141 N144:Q145 N150:Q150">
    <cfRule type="containsText" dxfId="2" priority="31287" operator="containsText" text="Yes">
      <formula>NOT(ISERROR(SEARCH(("Yes"),(N118))))</formula>
    </cfRule>
  </conditionalFormatting>
  <conditionalFormatting sqref="N118:Q120 N127 P127:Q127 N140:Q141 N144:Q145 N150:Q150">
    <cfRule type="containsText" dxfId="2" priority="31288" operator="containsText" text="Yes">
      <formula>NOT(ISERROR(SEARCH(("Yes"),(N118))))</formula>
    </cfRule>
  </conditionalFormatting>
  <conditionalFormatting sqref="N118:Q120 N127 P127:Q127 N140:Q141 N144:Q145 N150:Q150">
    <cfRule type="containsText" dxfId="2" priority="31289" operator="containsText" text="Yes">
      <formula>NOT(ISERROR(SEARCH(("Yes"),(N118))))</formula>
    </cfRule>
  </conditionalFormatting>
  <conditionalFormatting sqref="N118:Q120 N127 P127:Q127 N140:Q141 N144:Q145 N150:Q150">
    <cfRule type="containsText" dxfId="2" priority="31290" operator="containsText" text="Yes">
      <formula>NOT(ISERROR(SEARCH(("Yes"),(N118))))</formula>
    </cfRule>
  </conditionalFormatting>
  <conditionalFormatting sqref="N118:Q120 N127 P127:Q127 N140:Q141 N144:Q145 N150:Q150">
    <cfRule type="containsText" dxfId="2" priority="31291" operator="containsText" text="Yes">
      <formula>NOT(ISERROR(SEARCH(("Yes"),(N118))))</formula>
    </cfRule>
  </conditionalFormatting>
  <conditionalFormatting sqref="N118:Q120 N127 P127:Q127 N140:Q141 N144:Q145 N150:Q150">
    <cfRule type="containsText" dxfId="2" priority="31292" operator="containsText" text="Yes">
      <formula>NOT(ISERROR(SEARCH(("Yes"),(N118))))</formula>
    </cfRule>
  </conditionalFormatting>
  <conditionalFormatting sqref="N118:Q120 N127 P127:Q127 N140:Q141 N144:Q145 N150:Q150">
    <cfRule type="containsText" dxfId="2" priority="31293" operator="containsText" text="Yes">
      <formula>NOT(ISERROR(SEARCH(("Yes"),(N118))))</formula>
    </cfRule>
  </conditionalFormatting>
  <conditionalFormatting sqref="N118:Q120 N127 P127:Q127 N140:Q141 N144:Q145 N150:Q150">
    <cfRule type="containsText" dxfId="2" priority="31294" operator="containsText" text="Yes">
      <formula>NOT(ISERROR(SEARCH(("Yes"),(N118))))</formula>
    </cfRule>
  </conditionalFormatting>
  <conditionalFormatting sqref="N118:Q120 N127 P127:Q127 N140:Q141 N144:Q145 N150:Q150">
    <cfRule type="containsText" dxfId="2" priority="31295" operator="containsText" text="Yes">
      <formula>NOT(ISERROR(SEARCH(("Yes"),(N118))))</formula>
    </cfRule>
  </conditionalFormatting>
  <conditionalFormatting sqref="N118:Q120 N127 P127:Q127 N140:Q141 N144:Q145 N150:Q150">
    <cfRule type="containsText" dxfId="2" priority="31296" operator="containsText" text="Yes">
      <formula>NOT(ISERROR(SEARCH(("Yes"),(N118))))</formula>
    </cfRule>
  </conditionalFormatting>
  <conditionalFormatting sqref="N118:Q120 N127 P127:Q127 N140:Q141 N144:Q145 N150:Q150">
    <cfRule type="containsText" dxfId="2" priority="31297" operator="containsText" text="Yes">
      <formula>NOT(ISERROR(SEARCH(("Yes"),(N118))))</formula>
    </cfRule>
  </conditionalFormatting>
  <conditionalFormatting sqref="N118:Q120 N127 P127:Q127 N140:Q141 N144:Q145 N150:Q150">
    <cfRule type="containsText" dxfId="2" priority="31298" operator="containsText" text="Yes">
      <formula>NOT(ISERROR(SEARCH(("Yes"),(N118))))</formula>
    </cfRule>
  </conditionalFormatting>
  <conditionalFormatting sqref="N118:Q120 N127 P127:Q127 N140:Q141 N144:Q145 N150:Q150">
    <cfRule type="containsText" dxfId="2" priority="31299" operator="containsText" text="Yes">
      <formula>NOT(ISERROR(SEARCH(("Yes"),(N118))))</formula>
    </cfRule>
  </conditionalFormatting>
  <conditionalFormatting sqref="N118:Q120 N127 P127:Q127 N140:Q141 N144:Q145 N150:Q150">
    <cfRule type="containsText" dxfId="2" priority="31300" operator="containsText" text="Yes">
      <formula>NOT(ISERROR(SEARCH(("Yes"),(N118))))</formula>
    </cfRule>
  </conditionalFormatting>
  <conditionalFormatting sqref="N118:Q120 N127 P127:Q127 N140:Q141 N144:Q145 N150:Q150">
    <cfRule type="containsText" dxfId="2" priority="31301" operator="containsText" text="Yes">
      <formula>NOT(ISERROR(SEARCH(("Yes"),(N118))))</formula>
    </cfRule>
  </conditionalFormatting>
  <conditionalFormatting sqref="N118:Q120 N127 P127:Q127 N140:Q141 N144:Q145 N150:Q150">
    <cfRule type="containsText" dxfId="2" priority="31302" operator="containsText" text="Yes">
      <formula>NOT(ISERROR(SEARCH(("Yes"),(N118))))</formula>
    </cfRule>
  </conditionalFormatting>
  <conditionalFormatting sqref="N118:Q120 N127 P127:Q127 N140:Q141 N144:Q145 N150:Q150">
    <cfRule type="containsText" dxfId="2" priority="31303" operator="containsText" text="Yes">
      <formula>NOT(ISERROR(SEARCH(("Yes"),(N118))))</formula>
    </cfRule>
  </conditionalFormatting>
  <conditionalFormatting sqref="N118:Q120 N127 P127:Q127 N140:Q141 N144:Q145 N150:Q150">
    <cfRule type="containsText" dxfId="2" priority="31304" operator="containsText" text="Yes">
      <formula>NOT(ISERROR(SEARCH(("Yes"),(N118))))</formula>
    </cfRule>
  </conditionalFormatting>
  <conditionalFormatting sqref="N118:Q120 N127 P127:Q127 N140:Q141 N144:Q145 N150:Q150">
    <cfRule type="containsText" dxfId="2" priority="31305" operator="containsText" text="Yes">
      <formula>NOT(ISERROR(SEARCH(("Yes"),(N118))))</formula>
    </cfRule>
  </conditionalFormatting>
  <conditionalFormatting sqref="N118:Q120 N127 P127:Q127 N140:Q141 N144:Q145 N150:Q150">
    <cfRule type="containsText" dxfId="2" priority="31306" operator="containsText" text="Yes">
      <formula>NOT(ISERROR(SEARCH(("Yes"),(N118))))</formula>
    </cfRule>
  </conditionalFormatting>
  <conditionalFormatting sqref="N118:Q120 N127 P127:Q127 N140:Q141 N144:Q145 N150:Q150">
    <cfRule type="containsText" dxfId="2" priority="31307" operator="containsText" text="Yes">
      <formula>NOT(ISERROR(SEARCH(("Yes"),(N118))))</formula>
    </cfRule>
  </conditionalFormatting>
  <conditionalFormatting sqref="N118:Q120 N127 P127:Q127 N140:Q141 N144:Q145 N150:Q150">
    <cfRule type="containsText" dxfId="2" priority="31308" operator="containsText" text="Yes">
      <formula>NOT(ISERROR(SEARCH(("Yes"),(N118))))</formula>
    </cfRule>
  </conditionalFormatting>
  <conditionalFormatting sqref="N118:Q120 N127 P127:Q127 N140:Q141 N144:Q145 N150:Q150">
    <cfRule type="containsText" dxfId="2" priority="31309" operator="containsText" text="Yes">
      <formula>NOT(ISERROR(SEARCH(("Yes"),(N118))))</formula>
    </cfRule>
  </conditionalFormatting>
  <conditionalFormatting sqref="N118:Q120 N127 P127:Q127 N140:Q141 N144:Q145 N150:Q150">
    <cfRule type="containsText" dxfId="2" priority="31310" operator="containsText" text="Yes">
      <formula>NOT(ISERROR(SEARCH(("Yes"),(N118))))</formula>
    </cfRule>
  </conditionalFormatting>
  <conditionalFormatting sqref="N118:Q120 N127 P127:Q127 N140:Q141 N144:Q145 N150:Q150">
    <cfRule type="containsText" dxfId="2" priority="31311" operator="containsText" text="Yes">
      <formula>NOT(ISERROR(SEARCH(("Yes"),(N118))))</formula>
    </cfRule>
  </conditionalFormatting>
  <conditionalFormatting sqref="N118:Q120 N127 P127:Q127 N140:Q141 N144:Q145 N150:Q150">
    <cfRule type="containsText" dxfId="2" priority="31312" operator="containsText" text="Yes">
      <formula>NOT(ISERROR(SEARCH(("Yes"),(N118))))</formula>
    </cfRule>
  </conditionalFormatting>
  <conditionalFormatting sqref="N118:Q120 N127 P127:Q127 N140:Q141 N144:Q145 N150:Q150">
    <cfRule type="containsText" dxfId="2" priority="31313" operator="containsText" text="Yes">
      <formula>NOT(ISERROR(SEARCH(("Yes"),(N118))))</formula>
    </cfRule>
  </conditionalFormatting>
  <conditionalFormatting sqref="N118:Q120 N127 P127:Q127 N140:Q141 N144:Q145 N150:Q150">
    <cfRule type="containsText" dxfId="2" priority="31314" operator="containsText" text="Yes">
      <formula>NOT(ISERROR(SEARCH(("Yes"),(N118))))</formula>
    </cfRule>
  </conditionalFormatting>
  <conditionalFormatting sqref="N118:Q120 N127 P127:Q127 N140:Q141 N144:Q145 N150:Q150">
    <cfRule type="containsText" dxfId="2" priority="31315" operator="containsText" text="Yes">
      <formula>NOT(ISERROR(SEARCH(("Yes"),(N118))))</formula>
    </cfRule>
  </conditionalFormatting>
  <conditionalFormatting sqref="N118:Q120 N127 P127:Q127 N140:Q141 N144:Q145 N150:Q150">
    <cfRule type="containsText" dxfId="2" priority="31316" operator="containsText" text="Yes">
      <formula>NOT(ISERROR(SEARCH(("Yes"),(N118))))</formula>
    </cfRule>
  </conditionalFormatting>
  <conditionalFormatting sqref="N118:Q120 N127 P127:Q127 N140:Q141 N144:Q145 N150:Q150">
    <cfRule type="containsText" dxfId="2" priority="31317" operator="containsText" text="Yes">
      <formula>NOT(ISERROR(SEARCH(("Yes"),(N118))))</formula>
    </cfRule>
  </conditionalFormatting>
  <conditionalFormatting sqref="N118:Q120 N127 P127:Q127 N140:Q141 N144:Q145 N150:Q150">
    <cfRule type="containsText" dxfId="2" priority="31318" operator="containsText" text="Yes">
      <formula>NOT(ISERROR(SEARCH(("Yes"),(N118))))</formula>
    </cfRule>
  </conditionalFormatting>
  <conditionalFormatting sqref="N118:Q120 N127 P127:Q127 N140:Q141 N144:Q145 N150:Q150">
    <cfRule type="containsText" dxfId="2" priority="31319" operator="containsText" text="Yes">
      <formula>NOT(ISERROR(SEARCH(("Yes"),(N118))))</formula>
    </cfRule>
  </conditionalFormatting>
  <conditionalFormatting sqref="N118:Q120 N127 P127:Q127 N140:Q141 N144:Q145 N150:Q150">
    <cfRule type="containsText" dxfId="2" priority="31320" operator="containsText" text="Yes">
      <formula>NOT(ISERROR(SEARCH(("Yes"),(N118))))</formula>
    </cfRule>
  </conditionalFormatting>
  <conditionalFormatting sqref="N118:Q120 N127 P127:Q127 N140:Q141 N144:Q145 N150:Q150">
    <cfRule type="containsText" dxfId="2" priority="31321" operator="containsText" text="Yes">
      <formula>NOT(ISERROR(SEARCH(("Yes"),(N118))))</formula>
    </cfRule>
  </conditionalFormatting>
  <conditionalFormatting sqref="N118:Q120 N127 P127:Q127 N140:Q141 N144:Q145 N150:Q150">
    <cfRule type="containsText" dxfId="2" priority="31322" operator="containsText" text="Yes">
      <formula>NOT(ISERROR(SEARCH(("Yes"),(N118))))</formula>
    </cfRule>
  </conditionalFormatting>
  <conditionalFormatting sqref="N118:Q120 N127 P127:Q127 N140:Q141 N144:Q145 N150:Q150">
    <cfRule type="containsText" dxfId="2" priority="31323" operator="containsText" text="Yes">
      <formula>NOT(ISERROR(SEARCH(("Yes"),(N118))))</formula>
    </cfRule>
  </conditionalFormatting>
  <conditionalFormatting sqref="N118:Q120 N127 P127:Q127 N140:Q141 N144:Q145 N150:Q150">
    <cfRule type="containsText" dxfId="2" priority="31324" operator="containsText" text="Yes">
      <formula>NOT(ISERROR(SEARCH(("Yes"),(N118))))</formula>
    </cfRule>
  </conditionalFormatting>
  <conditionalFormatting sqref="N118:Q120 N127 P127:Q127 N140:Q141 N144:Q145 N150:Q150">
    <cfRule type="containsText" dxfId="2" priority="31325" operator="containsText" text="Yes">
      <formula>NOT(ISERROR(SEARCH(("Yes"),(N118))))</formula>
    </cfRule>
  </conditionalFormatting>
  <conditionalFormatting sqref="N118:Q120 N127 P127:Q127 N140:Q141 N144:Q145 N150:Q150">
    <cfRule type="containsText" dxfId="2" priority="31326" operator="containsText" text="Yes">
      <formula>NOT(ISERROR(SEARCH(("Yes"),(N118))))</formula>
    </cfRule>
  </conditionalFormatting>
  <conditionalFormatting sqref="N118:Q120 N127 P127:Q127 N140:Q141 N144:Q145 N150:Q150">
    <cfRule type="containsText" dxfId="2" priority="31327" operator="containsText" text="Yes">
      <formula>NOT(ISERROR(SEARCH(("Yes"),(N118))))</formula>
    </cfRule>
  </conditionalFormatting>
  <conditionalFormatting sqref="N118:Q120 N127 P127:Q127 N140:Q141 N144:Q145 N150:Q150">
    <cfRule type="containsText" dxfId="2" priority="31328" operator="containsText" text="Yes">
      <formula>NOT(ISERROR(SEARCH(("Yes"),(N118))))</formula>
    </cfRule>
  </conditionalFormatting>
  <conditionalFormatting sqref="N118:Q120 N127 P127:Q127 N140:Q141 N144:Q145 N150:Q150">
    <cfRule type="containsText" dxfId="2" priority="31329" operator="containsText" text="Yes">
      <formula>NOT(ISERROR(SEARCH(("Yes"),(N118))))</formula>
    </cfRule>
  </conditionalFormatting>
  <conditionalFormatting sqref="N118:Q120 N127 P127:Q127 N140:Q141 N144:Q145 N150:Q150">
    <cfRule type="containsText" dxfId="2" priority="31330" operator="containsText" text="Yes">
      <formula>NOT(ISERROR(SEARCH(("Yes"),(N118))))</formula>
    </cfRule>
  </conditionalFormatting>
  <conditionalFormatting sqref="N119:N120 N127 P127 N140:N141 N144:N145 N150:O150">
    <cfRule type="containsText" dxfId="9" priority="31331" operator="containsText" text="No">
      <formula>NOT(ISERROR(SEARCH(("No"),(N119))))</formula>
    </cfRule>
  </conditionalFormatting>
  <conditionalFormatting sqref="N119:N120 N127 P127 N140:N141 N144:N145 N150:O150">
    <cfRule type="containsText" dxfId="9" priority="31332" operator="containsText" text="No">
      <formula>NOT(ISERROR(SEARCH(("No"),(N119))))</formula>
    </cfRule>
  </conditionalFormatting>
  <conditionalFormatting sqref="N119:N120 N127 P127 N140:N141 N144:N145 N150:O150">
    <cfRule type="containsText" dxfId="9" priority="31333" operator="containsText" text="No">
      <formula>NOT(ISERROR(SEARCH(("No"),(N119))))</formula>
    </cfRule>
  </conditionalFormatting>
  <conditionalFormatting sqref="N119:N120 N127 P127 N140:N141 N144:N145 N150:O150">
    <cfRule type="containsText" dxfId="2" priority="31334" operator="containsText" text="Yes">
      <formula>NOT(ISERROR(SEARCH(("Yes"),(N119))))</formula>
    </cfRule>
  </conditionalFormatting>
  <conditionalFormatting sqref="N119:N120 N127 P127 N140:N141 N144:N145 N150:O150">
    <cfRule type="containsText" dxfId="2" priority="31335" operator="containsText" text="Yes">
      <formula>NOT(ISERROR(SEARCH(("Yes"),(N119))))</formula>
    </cfRule>
  </conditionalFormatting>
  <conditionalFormatting sqref="N119:N120 N127 P127 N140:N141 N144:N145 N150:O150">
    <cfRule type="containsText" dxfId="2" priority="31336" operator="containsText" text="Yes">
      <formula>NOT(ISERROR(SEARCH(("Yes"),(N119))))</formula>
    </cfRule>
  </conditionalFormatting>
  <conditionalFormatting sqref="N119:N120 N127 P127 N140:N141 N144:N145 N150:O150">
    <cfRule type="containsText" dxfId="2" priority="31337" operator="containsText" text="Yes">
      <formula>NOT(ISERROR(SEARCH(("Yes"),(N119))))</formula>
    </cfRule>
  </conditionalFormatting>
  <conditionalFormatting sqref="N119:N120 N127 P127 N140:N141 N144:N145 N150:O150">
    <cfRule type="containsText" dxfId="2" priority="31338" operator="containsText" text="Yes">
      <formula>NOT(ISERROR(SEARCH(("Yes"),(N119))))</formula>
    </cfRule>
  </conditionalFormatting>
  <conditionalFormatting sqref="N119:N120 N127 P127 N140:N141 N144:N145 N150:O150">
    <cfRule type="containsText" dxfId="9" priority="31339" operator="containsText" text="No">
      <formula>NOT(ISERROR(SEARCH(("No"),(N119))))</formula>
    </cfRule>
  </conditionalFormatting>
  <conditionalFormatting sqref="N119:N120 N127 P127 N140:N141 N144:N145 N150:O150">
    <cfRule type="containsText" dxfId="2" priority="31340" operator="containsText" text="Yes">
      <formula>NOT(ISERROR(SEARCH(("Yes"),(N119))))</formula>
    </cfRule>
  </conditionalFormatting>
  <conditionalFormatting sqref="O119:O120 Q127 O140:O141 O144:O145 P145 P150">
    <cfRule type="containsText" dxfId="9" priority="31341" operator="containsText" text="No">
      <formula>NOT(ISERROR(SEARCH(("No"),(O119))))</formula>
    </cfRule>
  </conditionalFormatting>
  <conditionalFormatting sqref="O119:O120 Q127 O140:O141 O144:O145 P145 P150">
    <cfRule type="containsText" dxfId="9" priority="31342" operator="containsText" text="No">
      <formula>NOT(ISERROR(SEARCH(("No"),(O119))))</formula>
    </cfRule>
  </conditionalFormatting>
  <conditionalFormatting sqref="O119:O120 Q127 O140:O141 O144:O145 P145 P150">
    <cfRule type="containsText" dxfId="9" priority="31343" operator="containsText" text="No">
      <formula>NOT(ISERROR(SEARCH(("No"),(O119))))</formula>
    </cfRule>
  </conditionalFormatting>
  <conditionalFormatting sqref="O119:O120 Q127 O140:O141 O144:O145 P145 P150">
    <cfRule type="containsText" dxfId="2" priority="31344" operator="containsText" text="Yes">
      <formula>NOT(ISERROR(SEARCH(("Yes"),(O119))))</formula>
    </cfRule>
  </conditionalFormatting>
  <conditionalFormatting sqref="O119:O120 Q127 O140:O141 O144:O145 P145 P150">
    <cfRule type="containsText" dxfId="2" priority="31345" operator="containsText" text="Yes">
      <formula>NOT(ISERROR(SEARCH(("Yes"),(O119))))</formula>
    </cfRule>
  </conditionalFormatting>
  <conditionalFormatting sqref="O119:O120 Q127 O140:O141 O144:O145 P145 P150">
    <cfRule type="containsText" dxfId="2" priority="31346" operator="containsText" text="Yes">
      <formula>NOT(ISERROR(SEARCH(("Yes"),(O119))))</formula>
    </cfRule>
  </conditionalFormatting>
  <conditionalFormatting sqref="O119:O120 Q127 O140:O141 O144:O145 P145 P150">
    <cfRule type="containsText" dxfId="2" priority="31347" operator="containsText" text="Yes">
      <formula>NOT(ISERROR(SEARCH(("Yes"),(O119))))</formula>
    </cfRule>
  </conditionalFormatting>
  <conditionalFormatting sqref="O119:O120 Q127 O140:O141 O144:O145 P145 P150">
    <cfRule type="containsText" dxfId="2" priority="31348" operator="containsText" text="Yes">
      <formula>NOT(ISERROR(SEARCH(("Yes"),(O119))))</formula>
    </cfRule>
  </conditionalFormatting>
  <conditionalFormatting sqref="O119:O120 Q127 O140:O141 O144:O145 P145 P150">
    <cfRule type="containsText" dxfId="9" priority="31349" operator="containsText" text="No">
      <formula>NOT(ISERROR(SEARCH(("No"),(O119))))</formula>
    </cfRule>
  </conditionalFormatting>
  <conditionalFormatting sqref="O119:O120 Q127 O140:O141 O144:O145 P145 P150">
    <cfRule type="containsText" dxfId="9" priority="31350" operator="containsText" text="No">
      <formula>NOT(ISERROR(SEARCH(("No"),(O119))))</formula>
    </cfRule>
  </conditionalFormatting>
  <conditionalFormatting sqref="O119:O120 Q127 O140:O141 O144:O145 P145 P150">
    <cfRule type="containsText" dxfId="2" priority="31351" operator="containsText" text="Yes">
      <formula>NOT(ISERROR(SEARCH(("Yes"),(O119))))</formula>
    </cfRule>
  </conditionalFormatting>
  <conditionalFormatting sqref="P119:Q120 P140:Q141 P144:Q145 O145 P150:Q150">
    <cfRule type="containsText" dxfId="9" priority="31352" operator="containsText" text="No">
      <formula>NOT(ISERROR(SEARCH(("No"),(P119))))</formula>
    </cfRule>
  </conditionalFormatting>
  <conditionalFormatting sqref="P119:Q120 P140:Q141 P144:Q145 O145 P150:Q150">
    <cfRule type="containsText" dxfId="9" priority="31353" operator="containsText" text="No">
      <formula>NOT(ISERROR(SEARCH(("No"),(P119))))</formula>
    </cfRule>
  </conditionalFormatting>
  <conditionalFormatting sqref="P119:Q120 P140:Q141 P144:Q145 O145 P150:Q150">
    <cfRule type="containsText" dxfId="9" priority="31354" operator="containsText" text="No">
      <formula>NOT(ISERROR(SEARCH(("No"),(P119))))</formula>
    </cfRule>
  </conditionalFormatting>
  <conditionalFormatting sqref="P119:Q120 P140:Q141 P144:Q145 O145 P150:Q150">
    <cfRule type="containsText" dxfId="9" priority="31355" operator="containsText" text="No">
      <formula>NOT(ISERROR(SEARCH(("No"),(P119))))</formula>
    </cfRule>
  </conditionalFormatting>
  <conditionalFormatting sqref="P119:Q120 P140:Q141 P144:Q145 O145 P150:Q150">
    <cfRule type="containsText" dxfId="9" priority="31356" operator="containsText" text="No">
      <formula>NOT(ISERROR(SEARCH(("No"),(P119))))</formula>
    </cfRule>
  </conditionalFormatting>
  <conditionalFormatting sqref="P119:Q120 P140:Q141 P144:Q145 O145 P150:Q150">
    <cfRule type="containsText" dxfId="9" priority="31357" operator="containsText" text="No">
      <formula>NOT(ISERROR(SEARCH(("No"),(P119))))</formula>
    </cfRule>
  </conditionalFormatting>
  <conditionalFormatting sqref="P119:Q120 P140:Q141 P144:Q145 O145 P150:Q150">
    <cfRule type="containsText" dxfId="9" priority="31358" operator="containsText" text="No">
      <formula>NOT(ISERROR(SEARCH(("No"),(P119))))</formula>
    </cfRule>
  </conditionalFormatting>
  <conditionalFormatting sqref="P119:Q120 P140:Q141 P144:Q145 O145 P150:Q150">
    <cfRule type="containsText" dxfId="9" priority="31359" operator="containsText" text="No">
      <formula>NOT(ISERROR(SEARCH(("No"),(P119))))</formula>
    </cfRule>
  </conditionalFormatting>
  <conditionalFormatting sqref="P119:Q120 P140:Q141 P144:Q145 O145 P150:Q150">
    <cfRule type="containsText" dxfId="9" priority="31360" operator="containsText" text="No">
      <formula>NOT(ISERROR(SEARCH(("No"),(P119))))</formula>
    </cfRule>
  </conditionalFormatting>
  <conditionalFormatting sqref="P119:Q120 P140:Q141 P144:Q145 O145 P150:Q150">
    <cfRule type="containsText" dxfId="9" priority="31361" operator="containsText" text="No">
      <formula>NOT(ISERROR(SEARCH(("No"),(P119))))</formula>
    </cfRule>
  </conditionalFormatting>
  <conditionalFormatting sqref="P119:Q120 P140:Q141 P144:Q145 O145 P150:Q150">
    <cfRule type="containsText" dxfId="9" priority="31362" operator="containsText" text="No">
      <formula>NOT(ISERROR(SEARCH(("No"),(P119))))</formula>
    </cfRule>
  </conditionalFormatting>
  <conditionalFormatting sqref="P119:Q120 P140:Q141 P144:Q145 O145 P150:Q150">
    <cfRule type="containsText" dxfId="9" priority="31363" operator="containsText" text="No">
      <formula>NOT(ISERROR(SEARCH(("No"),(P119))))</formula>
    </cfRule>
  </conditionalFormatting>
  <conditionalFormatting sqref="P119:Q120 P140:Q141 P144:Q145 O145 P150:Q150">
    <cfRule type="containsText" dxfId="9" priority="31364" operator="containsText" text="No">
      <formula>NOT(ISERROR(SEARCH(("No"),(P119))))</formula>
    </cfRule>
  </conditionalFormatting>
  <conditionalFormatting sqref="P119:Q120 P140:Q141 P144:Q145 O145 P150:Q150">
    <cfRule type="containsText" dxfId="9" priority="31365" operator="containsText" text="No">
      <formula>NOT(ISERROR(SEARCH(("No"),(P119))))</formula>
    </cfRule>
  </conditionalFormatting>
  <conditionalFormatting sqref="P119:Q120 P140:Q141 P144:Q145 O145 P150:Q150">
    <cfRule type="containsText" dxfId="9" priority="31366" operator="containsText" text="No">
      <formula>NOT(ISERROR(SEARCH(("No"),(P119))))</formula>
    </cfRule>
  </conditionalFormatting>
  <conditionalFormatting sqref="P119:Q120 P140:Q141 P144:Q145 O145 P150:Q150">
    <cfRule type="containsText" dxfId="9" priority="31367" operator="containsText" text="No">
      <formula>NOT(ISERROR(SEARCH(("No"),(P119))))</formula>
    </cfRule>
  </conditionalFormatting>
  <conditionalFormatting sqref="P119:Q120 P140:Q141 P144:Q145 O145 P150:Q150">
    <cfRule type="containsText" dxfId="9" priority="31368" operator="containsText" text="No">
      <formula>NOT(ISERROR(SEARCH(("No"),(P119))))</formula>
    </cfRule>
  </conditionalFormatting>
  <conditionalFormatting sqref="P119:Q120 P140:Q141 P144:Q145 O145 P150:Q150">
    <cfRule type="containsText" dxfId="9" priority="31369" operator="containsText" text="No">
      <formula>NOT(ISERROR(SEARCH(("No"),(P119))))</formula>
    </cfRule>
  </conditionalFormatting>
  <conditionalFormatting sqref="P119:Q120 P140:Q141 P144:Q145 O145 P150:Q150">
    <cfRule type="containsText" dxfId="9" priority="31370" operator="containsText" text="No">
      <formula>NOT(ISERROR(SEARCH(("No"),(P119))))</formula>
    </cfRule>
  </conditionalFormatting>
  <conditionalFormatting sqref="P119:Q120 P140:Q141 P144:Q145 O145 P150:Q150">
    <cfRule type="containsText" dxfId="9" priority="31371" operator="containsText" text="No">
      <formula>NOT(ISERROR(SEARCH(("No"),(P119))))</formula>
    </cfRule>
  </conditionalFormatting>
  <conditionalFormatting sqref="P119:Q120 P140:Q141 P144:Q145 O145 P150:Q150">
    <cfRule type="containsText" dxfId="9" priority="31372" operator="containsText" text="No">
      <formula>NOT(ISERROR(SEARCH(("No"),(P119))))</formula>
    </cfRule>
  </conditionalFormatting>
  <conditionalFormatting sqref="P119:Q120 P140:Q141 P144:Q145 O145 P150:Q150">
    <cfRule type="containsText" dxfId="9" priority="31373" operator="containsText" text="No">
      <formula>NOT(ISERROR(SEARCH(("No"),(P119))))</formula>
    </cfRule>
  </conditionalFormatting>
  <conditionalFormatting sqref="P119:Q120 P140:Q141 P144:Q145 O145 P150:Q150">
    <cfRule type="containsText" dxfId="9" priority="31374" operator="containsText" text="No">
      <formula>NOT(ISERROR(SEARCH(("No"),(P119))))</formula>
    </cfRule>
  </conditionalFormatting>
  <conditionalFormatting sqref="P119:Q120 P140:Q141 P144:Q145 O145 P150:Q150">
    <cfRule type="containsText" dxfId="9" priority="31375" operator="containsText" text="No">
      <formula>NOT(ISERROR(SEARCH(("No"),(P119))))</formula>
    </cfRule>
  </conditionalFormatting>
  <conditionalFormatting sqref="P119:Q120 P140:Q141 P144:Q145 O145 P150:Q150">
    <cfRule type="containsText" dxfId="9" priority="31376" operator="containsText" text="No">
      <formula>NOT(ISERROR(SEARCH(("No"),(P119))))</formula>
    </cfRule>
  </conditionalFormatting>
  <conditionalFormatting sqref="P119:Q120 P140:Q141 P144:Q145 O145 P150:Q150">
    <cfRule type="containsText" dxfId="9" priority="31377" operator="containsText" text="No">
      <formula>NOT(ISERROR(SEARCH(("No"),(P119))))</formula>
    </cfRule>
  </conditionalFormatting>
  <conditionalFormatting sqref="P119:Q120 P140:Q141 P144:Q145 O145 P150:Q150">
    <cfRule type="containsText" dxfId="9" priority="31378" operator="containsText" text="No">
      <formula>NOT(ISERROR(SEARCH(("No"),(P119))))</formula>
    </cfRule>
  </conditionalFormatting>
  <conditionalFormatting sqref="P119:Q120 P140:Q141 P144:Q145 O145 P150:Q150">
    <cfRule type="containsText" dxfId="9" priority="31379" operator="containsText" text="No">
      <formula>NOT(ISERROR(SEARCH(("No"),(P119))))</formula>
    </cfRule>
  </conditionalFormatting>
  <conditionalFormatting sqref="P119:Q120 P140:Q141 P144:Q145 O145 P150:Q150">
    <cfRule type="containsText" dxfId="9" priority="31380" operator="containsText" text="No">
      <formula>NOT(ISERROR(SEARCH(("No"),(P119))))</formula>
    </cfRule>
  </conditionalFormatting>
  <conditionalFormatting sqref="P119:Q120 P140:Q141 P144:Q145 O145 P150:Q150">
    <cfRule type="containsText" dxfId="9" priority="31381" operator="containsText" text="No">
      <formula>NOT(ISERROR(SEARCH(("No"),(P119))))</formula>
    </cfRule>
  </conditionalFormatting>
  <conditionalFormatting sqref="P119:Q120 P140:Q141 P144:Q145 O145 P150:Q150">
    <cfRule type="containsText" dxfId="9" priority="31382" operator="containsText" text="No">
      <formula>NOT(ISERROR(SEARCH(("No"),(P119))))</formula>
    </cfRule>
  </conditionalFormatting>
  <conditionalFormatting sqref="P119:Q120 P140:Q141 P144:Q145 O145 P150:Q150">
    <cfRule type="containsText" dxfId="9" priority="31383" operator="containsText" text="No">
      <formula>NOT(ISERROR(SEARCH(("No"),(P119))))</formula>
    </cfRule>
  </conditionalFormatting>
  <conditionalFormatting sqref="P119:Q120 P140:Q141 P144:Q145 O145 P150:Q150">
    <cfRule type="containsText" dxfId="9" priority="31384" operator="containsText" text="No">
      <formula>NOT(ISERROR(SEARCH(("No"),(P119))))</formula>
    </cfRule>
  </conditionalFormatting>
  <conditionalFormatting sqref="P119:Q120 P140:Q141 P144:Q145 O145 P150:Q150">
    <cfRule type="containsText" dxfId="9" priority="31385" operator="containsText" text="No">
      <formula>NOT(ISERROR(SEARCH(("No"),(P119))))</formula>
    </cfRule>
  </conditionalFormatting>
  <conditionalFormatting sqref="P119:Q120 P140:Q141 P144:Q145 O145 P150:Q150">
    <cfRule type="containsText" dxfId="9" priority="31386" operator="containsText" text="No">
      <formula>NOT(ISERROR(SEARCH(("No"),(P119))))</formula>
    </cfRule>
  </conditionalFormatting>
  <conditionalFormatting sqref="P119:Q120 P140:Q141 P144:Q145 O145 P150:Q150">
    <cfRule type="containsText" dxfId="9" priority="31387" operator="containsText" text="No">
      <formula>NOT(ISERROR(SEARCH(("No"),(P119))))</formula>
    </cfRule>
  </conditionalFormatting>
  <conditionalFormatting sqref="P119:Q120 P140:Q141 P144:Q145 O145 P150:Q150">
    <cfRule type="containsText" dxfId="9" priority="31388" operator="containsText" text="No">
      <formula>NOT(ISERROR(SEARCH(("No"),(P119))))</formula>
    </cfRule>
  </conditionalFormatting>
  <conditionalFormatting sqref="P119:Q120 P140:Q141 P144:Q145 O145 P150:Q150">
    <cfRule type="containsText" dxfId="9" priority="31389" operator="containsText" text="No">
      <formula>NOT(ISERROR(SEARCH(("No"),(P119))))</formula>
    </cfRule>
  </conditionalFormatting>
  <conditionalFormatting sqref="P119:Q120 P140:Q141 P144:Q145 O145 P150:Q150">
    <cfRule type="containsText" dxfId="9" priority="31390" operator="containsText" text="No">
      <formula>NOT(ISERROR(SEARCH(("No"),(P119))))</formula>
    </cfRule>
  </conditionalFormatting>
  <conditionalFormatting sqref="P119:Q120 P140:Q141 P144:Q145 O145 P150:Q150">
    <cfRule type="containsText" dxfId="9" priority="31391" operator="containsText" text="No">
      <formula>NOT(ISERROR(SEARCH(("No"),(P119))))</formula>
    </cfRule>
  </conditionalFormatting>
  <conditionalFormatting sqref="P119:Q120 P140:Q141 P144:Q145 O145 P150:Q150">
    <cfRule type="containsText" dxfId="9" priority="31392" operator="containsText" text="No">
      <formula>NOT(ISERROR(SEARCH(("No"),(P119))))</formula>
    </cfRule>
  </conditionalFormatting>
  <conditionalFormatting sqref="P119:Q120 P140:Q141 P144:Q145 O145 P150:Q150">
    <cfRule type="containsText" dxfId="9" priority="31393" operator="containsText" text="No">
      <formula>NOT(ISERROR(SEARCH(("No"),(P119))))</formula>
    </cfRule>
  </conditionalFormatting>
  <conditionalFormatting sqref="P119:Q120 P140:Q141 P144:Q145 O145 P150:Q150">
    <cfRule type="containsText" dxfId="9" priority="31394" operator="containsText" text="No">
      <formula>NOT(ISERROR(SEARCH(("No"),(P119))))</formula>
    </cfRule>
  </conditionalFormatting>
  <conditionalFormatting sqref="P119:Q120 P140:Q141 P144:Q145 O145 P150:Q150">
    <cfRule type="containsText" dxfId="9" priority="31395" operator="containsText" text="No">
      <formula>NOT(ISERROR(SEARCH(("No"),(P119))))</formula>
    </cfRule>
  </conditionalFormatting>
  <conditionalFormatting sqref="P119:Q120 P140:Q141 P144:Q145 O145 P150:Q150">
    <cfRule type="containsText" dxfId="9" priority="31396" operator="containsText" text="No">
      <formula>NOT(ISERROR(SEARCH(("No"),(P119))))</formula>
    </cfRule>
  </conditionalFormatting>
  <conditionalFormatting sqref="P119:Q120 P140:Q141 P144:Q145 O145 P150:Q150">
    <cfRule type="containsText" dxfId="2" priority="31397" operator="containsText" text="Yes">
      <formula>NOT(ISERROR(SEARCH(("Yes"),(P119))))</formula>
    </cfRule>
  </conditionalFormatting>
  <conditionalFormatting sqref="P119:Q120 P140:Q141 P144:Q145 O145 P150:Q150">
    <cfRule type="containsText" dxfId="2" priority="31398" operator="containsText" text="Yes">
      <formula>NOT(ISERROR(SEARCH(("Yes"),(P119))))</formula>
    </cfRule>
  </conditionalFormatting>
  <conditionalFormatting sqref="P119:Q120 P140:Q141 P144:Q145 O145 P150:Q150">
    <cfRule type="containsText" dxfId="2" priority="31399" operator="containsText" text="Yes">
      <formula>NOT(ISERROR(SEARCH(("Yes"),(P119))))</formula>
    </cfRule>
  </conditionalFormatting>
  <conditionalFormatting sqref="P119:Q120 P140:Q141 P144:Q145 O145 P150:Q150">
    <cfRule type="containsText" dxfId="2" priority="31400" operator="containsText" text="Yes">
      <formula>NOT(ISERROR(SEARCH(("Yes"),(P119))))</formula>
    </cfRule>
  </conditionalFormatting>
  <conditionalFormatting sqref="P119:Q120 P140:Q141 P144:Q145 O145 P150:Q150">
    <cfRule type="containsText" dxfId="2" priority="31401" operator="containsText" text="Yes">
      <formula>NOT(ISERROR(SEARCH(("Yes"),(P119))))</formula>
    </cfRule>
  </conditionalFormatting>
  <conditionalFormatting sqref="P119:Q120 P140:Q141 P144:Q145 O145 P150:Q150">
    <cfRule type="containsText" dxfId="2" priority="31402" operator="containsText" text="Yes">
      <formula>NOT(ISERROR(SEARCH(("Yes"),(P119))))</formula>
    </cfRule>
  </conditionalFormatting>
  <conditionalFormatting sqref="P119:Q120 P140:Q141 P144:Q145 O145 P150:Q150">
    <cfRule type="containsText" dxfId="2" priority="31403" operator="containsText" text="Yes">
      <formula>NOT(ISERROR(SEARCH(("Yes"),(P119))))</formula>
    </cfRule>
  </conditionalFormatting>
  <conditionalFormatting sqref="P119:Q120 P140:Q141 P144:Q145 O145 P150:Q150">
    <cfRule type="containsText" dxfId="2" priority="31404" operator="containsText" text="Yes">
      <formula>NOT(ISERROR(SEARCH(("Yes"),(P119))))</formula>
    </cfRule>
  </conditionalFormatting>
  <conditionalFormatting sqref="P119:Q120 P140:Q141 P144:Q145 O145 P150:Q150">
    <cfRule type="containsText" dxfId="2" priority="31405" operator="containsText" text="Yes">
      <formula>NOT(ISERROR(SEARCH(("Yes"),(P119))))</formula>
    </cfRule>
  </conditionalFormatting>
  <conditionalFormatting sqref="P119:Q120 P140:Q141 P144:Q145 O145 P150:Q150">
    <cfRule type="containsText" dxfId="2" priority="31406" operator="containsText" text="Yes">
      <formula>NOT(ISERROR(SEARCH(("Yes"),(P119))))</formula>
    </cfRule>
  </conditionalFormatting>
  <conditionalFormatting sqref="P119:Q120 P140:Q141 P144:Q145 O145 P150:Q150">
    <cfRule type="containsText" dxfId="2" priority="31407" operator="containsText" text="Yes">
      <formula>NOT(ISERROR(SEARCH(("Yes"),(P119))))</formula>
    </cfRule>
  </conditionalFormatting>
  <conditionalFormatting sqref="P119:Q120 P140:Q141 P144:Q145 O145 P150:Q150">
    <cfRule type="containsText" dxfId="2" priority="31408" operator="containsText" text="Yes">
      <formula>NOT(ISERROR(SEARCH(("Yes"),(P119))))</formula>
    </cfRule>
  </conditionalFormatting>
  <conditionalFormatting sqref="P119:Q120 P140:Q141 P144:Q145 O145 P150:Q150">
    <cfRule type="containsText" dxfId="2" priority="31409" operator="containsText" text="Yes">
      <formula>NOT(ISERROR(SEARCH(("Yes"),(P119))))</formula>
    </cfRule>
  </conditionalFormatting>
  <conditionalFormatting sqref="P119:Q120 P140:Q141 P144:Q145 O145 P150:Q150">
    <cfRule type="containsText" dxfId="2" priority="31410" operator="containsText" text="Yes">
      <formula>NOT(ISERROR(SEARCH(("Yes"),(P119))))</formula>
    </cfRule>
  </conditionalFormatting>
  <conditionalFormatting sqref="P119:Q120 P140:Q141 P144:Q145 O145 P150:Q150">
    <cfRule type="containsText" dxfId="2" priority="31411" operator="containsText" text="Yes">
      <formula>NOT(ISERROR(SEARCH(("Yes"),(P119))))</formula>
    </cfRule>
  </conditionalFormatting>
  <conditionalFormatting sqref="P119:Q120 P140:Q141 P144:Q145 O145 P150:Q150">
    <cfRule type="containsText" dxfId="2" priority="31412" operator="containsText" text="Yes">
      <formula>NOT(ISERROR(SEARCH(("Yes"),(P119))))</formula>
    </cfRule>
  </conditionalFormatting>
  <conditionalFormatting sqref="P119:Q120 P140:Q141 P144:Q145 O145 P150:Q150">
    <cfRule type="containsText" dxfId="2" priority="31413" operator="containsText" text="Yes">
      <formula>NOT(ISERROR(SEARCH(("Yes"),(P119))))</formula>
    </cfRule>
  </conditionalFormatting>
  <conditionalFormatting sqref="P119:Q120 P140:Q141 P144:Q145 O145 P150:Q150">
    <cfRule type="containsText" dxfId="2" priority="31414" operator="containsText" text="Yes">
      <formula>NOT(ISERROR(SEARCH(("Yes"),(P119))))</formula>
    </cfRule>
  </conditionalFormatting>
  <conditionalFormatting sqref="P119:Q120 P140:Q141 P144:Q145 O145 P150:Q150">
    <cfRule type="containsText" dxfId="2" priority="31415" operator="containsText" text="Yes">
      <formula>NOT(ISERROR(SEARCH(("Yes"),(P119))))</formula>
    </cfRule>
  </conditionalFormatting>
  <conditionalFormatting sqref="P119:Q120 P140:Q141 P144:Q145 O145 P150:Q150">
    <cfRule type="containsText" dxfId="2" priority="31416" operator="containsText" text="Yes">
      <formula>NOT(ISERROR(SEARCH(("Yes"),(P119))))</formula>
    </cfRule>
  </conditionalFormatting>
  <conditionalFormatting sqref="P119:Q120 P140:Q141 P144:Q145 O145 P150:Q150">
    <cfRule type="containsText" dxfId="2" priority="31417" operator="containsText" text="Yes">
      <formula>NOT(ISERROR(SEARCH(("Yes"),(P119))))</formula>
    </cfRule>
  </conditionalFormatting>
  <conditionalFormatting sqref="P119:Q120 P140:Q141 P144:Q145 O145 P150:Q150">
    <cfRule type="containsText" dxfId="2" priority="31418" operator="containsText" text="Yes">
      <formula>NOT(ISERROR(SEARCH(("Yes"),(P119))))</formula>
    </cfRule>
  </conditionalFormatting>
  <conditionalFormatting sqref="P119:Q120 P140:Q141 P144:Q145 O145 P150:Q150">
    <cfRule type="containsText" dxfId="2" priority="31419" operator="containsText" text="Yes">
      <formula>NOT(ISERROR(SEARCH(("Yes"),(P119))))</formula>
    </cfRule>
  </conditionalFormatting>
  <conditionalFormatting sqref="P119:Q120 P140:Q141 P144:Q145 O145 P150:Q150">
    <cfRule type="containsText" dxfId="2" priority="31420" operator="containsText" text="Yes">
      <formula>NOT(ISERROR(SEARCH(("Yes"),(P119))))</formula>
    </cfRule>
  </conditionalFormatting>
  <conditionalFormatting sqref="P119:Q120 P140:Q141 P144:Q145 O145 P150:Q150">
    <cfRule type="containsText" dxfId="2" priority="31421" operator="containsText" text="Yes">
      <formula>NOT(ISERROR(SEARCH(("Yes"),(P119))))</formula>
    </cfRule>
  </conditionalFormatting>
  <conditionalFormatting sqref="P119:Q120 P140:Q141 P144:Q145 O145 P150:Q150">
    <cfRule type="containsText" dxfId="2" priority="31422" operator="containsText" text="Yes">
      <formula>NOT(ISERROR(SEARCH(("Yes"),(P119))))</formula>
    </cfRule>
  </conditionalFormatting>
  <conditionalFormatting sqref="P119:Q120 P140:Q141 P144:Q145 O145 P150:Q150">
    <cfRule type="containsText" dxfId="2" priority="31423" operator="containsText" text="Yes">
      <formula>NOT(ISERROR(SEARCH(("Yes"),(P119))))</formula>
    </cfRule>
  </conditionalFormatting>
  <conditionalFormatting sqref="P119:Q120 P140:Q141 P144:Q145 O145 P150:Q150">
    <cfRule type="containsText" dxfId="2" priority="31424" operator="containsText" text="Yes">
      <formula>NOT(ISERROR(SEARCH(("Yes"),(P119))))</formula>
    </cfRule>
  </conditionalFormatting>
  <conditionalFormatting sqref="P119:Q120 P140:Q141 P144:Q145 O145 P150:Q150">
    <cfRule type="containsText" dxfId="2" priority="31425" operator="containsText" text="Yes">
      <formula>NOT(ISERROR(SEARCH(("Yes"),(P119))))</formula>
    </cfRule>
  </conditionalFormatting>
  <conditionalFormatting sqref="P119:Q120 P140:Q141 P144:Q145 O145 P150:Q150">
    <cfRule type="containsText" dxfId="2" priority="31426" operator="containsText" text="Yes">
      <formula>NOT(ISERROR(SEARCH(("Yes"),(P119))))</formula>
    </cfRule>
  </conditionalFormatting>
  <conditionalFormatting sqref="P119:Q120 P140:Q141 P144:Q145 O145 P150:Q150">
    <cfRule type="containsText" dxfId="2" priority="31427" operator="containsText" text="Yes">
      <formula>NOT(ISERROR(SEARCH(("Yes"),(P119))))</formula>
    </cfRule>
  </conditionalFormatting>
  <conditionalFormatting sqref="P119:Q120 P140:Q141 P144:Q145 O145 P150:Q150">
    <cfRule type="containsText" dxfId="2" priority="31428" operator="containsText" text="Yes">
      <formula>NOT(ISERROR(SEARCH(("Yes"),(P119))))</formula>
    </cfRule>
  </conditionalFormatting>
  <conditionalFormatting sqref="P119:Q120 P140:Q141 P144:Q145 O145 P150:Q150">
    <cfRule type="containsText" dxfId="2" priority="31429" operator="containsText" text="Yes">
      <formula>NOT(ISERROR(SEARCH(("Yes"),(P119))))</formula>
    </cfRule>
  </conditionalFormatting>
  <conditionalFormatting sqref="P119:Q120 P140:Q141 P144:Q145 O145 P150:Q150">
    <cfRule type="containsText" dxfId="2" priority="31430" operator="containsText" text="Yes">
      <formula>NOT(ISERROR(SEARCH(("Yes"),(P119))))</formula>
    </cfRule>
  </conditionalFormatting>
  <conditionalFormatting sqref="P119:Q120 P140:Q141 P144:Q145 O145 P150:Q150">
    <cfRule type="containsText" dxfId="2" priority="31431" operator="containsText" text="Yes">
      <formula>NOT(ISERROR(SEARCH(("Yes"),(P119))))</formula>
    </cfRule>
  </conditionalFormatting>
  <conditionalFormatting sqref="P119:Q120 P140:Q141 P144:Q145 O145 P150:Q150">
    <cfRule type="containsText" dxfId="2" priority="31432" operator="containsText" text="Yes">
      <formula>NOT(ISERROR(SEARCH(("Yes"),(P119))))</formula>
    </cfRule>
  </conditionalFormatting>
  <conditionalFormatting sqref="P119:Q120 P140:Q141 P144:Q145 O145 P150:Q150">
    <cfRule type="containsText" dxfId="2" priority="31433" operator="containsText" text="Yes">
      <formula>NOT(ISERROR(SEARCH(("Yes"),(P119))))</formula>
    </cfRule>
  </conditionalFormatting>
  <conditionalFormatting sqref="P119:Q120 P140:Q141 P144:Q145 O145 P150:Q150">
    <cfRule type="containsText" dxfId="2" priority="31434" operator="containsText" text="Yes">
      <formula>NOT(ISERROR(SEARCH(("Yes"),(P119))))</formula>
    </cfRule>
  </conditionalFormatting>
  <conditionalFormatting sqref="P119:Q120 P140:Q141 P144:Q145 O145 P150:Q150">
    <cfRule type="containsText" dxfId="2" priority="31435" operator="containsText" text="Yes">
      <formula>NOT(ISERROR(SEARCH(("Yes"),(P119))))</formula>
    </cfRule>
  </conditionalFormatting>
  <conditionalFormatting sqref="P119:Q120 P140:Q141 P144:Q145 O145 P150:Q150">
    <cfRule type="containsText" dxfId="2" priority="31436" operator="containsText" text="Yes">
      <formula>NOT(ISERROR(SEARCH(("Yes"),(P119))))</formula>
    </cfRule>
  </conditionalFormatting>
  <conditionalFormatting sqref="P119:Q120 P140:Q141 P144:Q145 O145 P150:Q150">
    <cfRule type="containsText" dxfId="2" priority="31437" operator="containsText" text="Yes">
      <formula>NOT(ISERROR(SEARCH(("Yes"),(P119))))</formula>
    </cfRule>
  </conditionalFormatting>
  <conditionalFormatting sqref="P119:Q120 P140:Q141 P144:Q145 O145 P150:Q150">
    <cfRule type="containsText" dxfId="2" priority="31438" operator="containsText" text="Yes">
      <formula>NOT(ISERROR(SEARCH(("Yes"),(P119))))</formula>
    </cfRule>
  </conditionalFormatting>
  <conditionalFormatting sqref="P119:Q120 P140:Q141 P144:Q145 O145 P150:Q150">
    <cfRule type="containsText" dxfId="2" priority="31439" operator="containsText" text="Yes">
      <formula>NOT(ISERROR(SEARCH(("Yes"),(P119))))</formula>
    </cfRule>
  </conditionalFormatting>
  <conditionalFormatting sqref="P119:Q120 P140:Q141 P144:Q145 O145 P150:Q150">
    <cfRule type="containsText" dxfId="2" priority="31440" operator="containsText" text="Yes">
      <formula>NOT(ISERROR(SEARCH(("Yes"),(P119))))</formula>
    </cfRule>
  </conditionalFormatting>
  <conditionalFormatting sqref="P119:Q120 P140:Q141 P144:Q145 O145 P150:Q150">
    <cfRule type="containsText" dxfId="2" priority="31441" operator="containsText" text="Yes">
      <formula>NOT(ISERROR(SEARCH(("Yes"),(P119))))</formula>
    </cfRule>
  </conditionalFormatting>
  <conditionalFormatting sqref="P119:Q120 P140:Q141 P144:Q145 O145 P150:Q150">
    <cfRule type="containsText" dxfId="2" priority="31442" operator="containsText" text="Yes">
      <formula>NOT(ISERROR(SEARCH(("Yes"),(P119))))</formula>
    </cfRule>
  </conditionalFormatting>
  <conditionalFormatting sqref="P119:Q120 P140:Q141 P144:Q145 O145 P150:Q150">
    <cfRule type="containsText" dxfId="2" priority="31443" operator="containsText" text="Yes">
      <formula>NOT(ISERROR(SEARCH(("Yes"),(P119))))</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44"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45"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46"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47"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48"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49"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50"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51"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52"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53"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54"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55"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56"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57"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58"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59"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60"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61"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62"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63"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64"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65"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66"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67"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68"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69"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70"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71"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72"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73"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74"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75"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76"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77"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78"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79"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80"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81"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82"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83"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84"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85"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86"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87"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9" priority="31488" operator="containsText" text="No">
      <formula>NOT(ISERROR(SEARCH(("No"),(N120))))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489"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490"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491"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492"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493"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494"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495"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496"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497"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498"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499"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00"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01"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02"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03"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04"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05"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06"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07"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08"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09"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10"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11"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12"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13"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14"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15"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16"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17"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18"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19"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20"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21"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22"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23"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24"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25"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26"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27"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28"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29"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30"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31"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32"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33"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34" operator="containsText" text="Yes">
      <formula>NOT(ISERROR(SEARCH(("Yes"),(N120))))</formula>
    </cfRule>
  </conditionalFormatting>
  <conditionalFormatting sqref="N120:Q120 N122:Q133 N135:N216 O135:O152 P135:P214 Q135:Q152 O154:O155 Q154:Q155 O159 Q159 O161:O162 Q161:Q162 O164:O167 Q164:Q167 O170 Q170 O172 Q172 O174:O226 Q174 Q176 Q180:Q182 Q184 Q203 U204:V204 Q205:Q214 N222:N226 N228:O252 N254:O256 N258:O264 N267:O269 N272:O273 N275:O275">
    <cfRule type="containsText" dxfId="2" priority="31535" operator="containsText" text="Yes">
      <formula>NOT(ISERROR(SEARCH(("Yes"),(N120))))</formula>
    </cfRule>
  </conditionalFormatting>
  <conditionalFormatting sqref="P117:Q120 P122:Q126 P128:Q133 P136:Q152 O145 P154:Q154 P159:Q159 P161:Q162 P164:Q164 P166:Q167 P172:Q172 P174:Q174 P176:Q176 P180:Q182 P184:Q184">
    <cfRule type="containsText" dxfId="9" priority="31536"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37"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38"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39"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40"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41"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42"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43"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44"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45"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46"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47"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48"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49"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50"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51"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52"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53"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54"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55"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56"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57"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58"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59"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60"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61"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62"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63"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64"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65"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66"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67"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68"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69"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70"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71"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72"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73"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74"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75"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76"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77"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78"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79"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9" priority="31580" operator="containsText" text="No">
      <formula>NOT(ISERROR(SEARCH(("No"),(P117))))</formula>
    </cfRule>
  </conditionalFormatting>
  <conditionalFormatting sqref="P117:Q120 P122:Q126 P128:Q133 P136:Q152 O145 P154:Q154 P159:Q159 P161:Q162 P164:Q164 P166:Q167 P172:Q172 P174:Q174 P176:Q176 P180:Q182 P184:Q184">
    <cfRule type="containsText" dxfId="2" priority="31581"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82"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83"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84"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85"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86"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87"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88"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89"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90"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91"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92"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93"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94"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95"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96"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97"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98"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599"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00"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01"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02"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03"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04"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05"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06"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07"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08"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09"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10"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11"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12"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13"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14"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15"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16"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17"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18"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19"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20"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21"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22"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23"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24"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25"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26" operator="containsText" text="Yes">
      <formula>NOT(ISERROR(SEARCH(("Yes"),(P117))))</formula>
    </cfRule>
  </conditionalFormatting>
  <conditionalFormatting sqref="P117:Q120 P122:Q126 P128:Q133 P136:Q152 O145 P154:Q154 P159:Q159 P161:Q162 P164:Q164 P166:Q167 P172:Q172 P174:Q174 P176:Q176 P180:Q182 P184:Q184">
    <cfRule type="containsText" dxfId="2" priority="31627" operator="containsText" text="Yes">
      <formula>NOT(ISERROR(SEARCH(("Yes"),(P117))))</formula>
    </cfRule>
  </conditionalFormatting>
  <conditionalFormatting sqref="N121:N133 N136:N139 N142:N143 N146:N152 N154 N159 N161">
    <cfRule type="containsText" dxfId="9" priority="31628" operator="containsText" text="No">
      <formula>NOT(ISERROR(SEARCH(("No"),(N121))))</formula>
    </cfRule>
  </conditionalFormatting>
  <conditionalFormatting sqref="N121:N133 N136:N139 N142:N143 N146:N152 N154 N159 N161">
    <cfRule type="containsText" dxfId="9" priority="31629" operator="containsText" text="No">
      <formula>NOT(ISERROR(SEARCH(("No"),(N121))))</formula>
    </cfRule>
  </conditionalFormatting>
  <conditionalFormatting sqref="N121:N133 N136:N139 N142:N143 N146:N152 N154 N159 N161">
    <cfRule type="containsText" dxfId="9" priority="31630" operator="containsText" text="No">
      <formula>NOT(ISERROR(SEARCH(("No"),(N121))))</formula>
    </cfRule>
  </conditionalFormatting>
  <conditionalFormatting sqref="N121:N133 N136:N139 N142:N143 N146:N152 N154 N159 N161">
    <cfRule type="containsText" dxfId="2" priority="31631" operator="containsText" text="Yes">
      <formula>NOT(ISERROR(SEARCH(("Yes"),(N121))))</formula>
    </cfRule>
  </conditionalFormatting>
  <conditionalFormatting sqref="N121:N133 N136:N139 N142:N143 N146:N152 N154 N159 N161">
    <cfRule type="containsText" dxfId="2" priority="31632" operator="containsText" text="Yes">
      <formula>NOT(ISERROR(SEARCH(("Yes"),(N121))))</formula>
    </cfRule>
  </conditionalFormatting>
  <conditionalFormatting sqref="N121:N133 N136:N139 N142:N143 N146:N152 N154 N159 N161">
    <cfRule type="containsText" dxfId="2" priority="31633" operator="containsText" text="Yes">
      <formula>NOT(ISERROR(SEARCH(("Yes"),(N121))))</formula>
    </cfRule>
  </conditionalFormatting>
  <conditionalFormatting sqref="N121:N133 N136:N139 N142:N143 N146:N152 N154 N159 N161">
    <cfRule type="containsText" dxfId="2" priority="31634" operator="containsText" text="Yes">
      <formula>NOT(ISERROR(SEARCH(("Yes"),(N121))))</formula>
    </cfRule>
  </conditionalFormatting>
  <conditionalFormatting sqref="N121:N133 N136:N139 N142:N143 N146:N152 N154 N159 N161">
    <cfRule type="containsText" dxfId="2" priority="31635" operator="containsText" text="Yes">
      <formula>NOT(ISERROR(SEARCH(("Yes"),(N121))))</formula>
    </cfRule>
  </conditionalFormatting>
  <conditionalFormatting sqref="N121:N133 N136:N139 N142:N143 N146:N152 N154 N159 N161">
    <cfRule type="containsText" dxfId="9" priority="31636" operator="containsText" text="No">
      <formula>NOT(ISERROR(SEARCH(("No"),(N121))))</formula>
    </cfRule>
  </conditionalFormatting>
  <conditionalFormatting sqref="N121:N133 N136:N139 N142:N143 N146:N152 N154 N159 N161">
    <cfRule type="containsText" dxfId="2" priority="31637" operator="containsText" text="Yes">
      <formula>NOT(ISERROR(SEARCH(("Yes"),(N121))))</formula>
    </cfRule>
  </conditionalFormatting>
  <conditionalFormatting sqref="O121:O133 O136:O139 N139 O142:O143 O146:O152 O154:O155 O159 O161:O162 N162 N164:O167 N170:O170 N172:O172 N174:O174 N176:O176 N180:O182 N184:O184">
    <cfRule type="containsText" dxfId="9" priority="31638" operator="containsText" text="No">
      <formula>NOT(ISERROR(SEARCH(("No"),(O121))))</formula>
    </cfRule>
  </conditionalFormatting>
  <conditionalFormatting sqref="O121:O133 O136:O139 N139 O142:O143 O146:O152 O154:O155 O159 O161:O162 N162 N164:O167 N170:O170 N172:O172 N174:O174 N176:O176 N180:O182 N184:O184">
    <cfRule type="containsText" dxfId="9" priority="31639" operator="containsText" text="No">
      <formula>NOT(ISERROR(SEARCH(("No"),(O121))))</formula>
    </cfRule>
  </conditionalFormatting>
  <conditionalFormatting sqref="O121:O133 O136:O139 N139 O142:O143 O146:O152 O154:O155 O159 O161:O162 N162 N164:O167 N170:O170 N172:O172 N174:O174 N176:O176 N180:O182 N184:O184">
    <cfRule type="containsText" dxfId="9" priority="31640" operator="containsText" text="No">
      <formula>NOT(ISERROR(SEARCH(("No"),(O121))))</formula>
    </cfRule>
  </conditionalFormatting>
  <conditionalFormatting sqref="O121:O133 O136:O139 N139 O142:O143 O146:O152 O154:O155 O159 O161:O162 N162 N164:O167 N170:O170 N172:O172 N174:O174 N176:O176 N180:O182 N184:O184">
    <cfRule type="containsText" dxfId="2" priority="31641" operator="containsText" text="Yes">
      <formula>NOT(ISERROR(SEARCH(("Yes"),(O121))))</formula>
    </cfRule>
  </conditionalFormatting>
  <conditionalFormatting sqref="O121:O133 O136:O139 N139 O142:O143 O146:O152 O154:O155 O159 O161:O162 N162 N164:O167 N170:O170 N172:O172 N174:O174 N176:O176 N180:O182 N184:O184">
    <cfRule type="containsText" dxfId="2" priority="31642" operator="containsText" text="Yes">
      <formula>NOT(ISERROR(SEARCH(("Yes"),(O121))))</formula>
    </cfRule>
  </conditionalFormatting>
  <conditionalFormatting sqref="O121:O133 O136:O139 N139 O142:O143 O146:O152 O154:O155 O159 O161:O162 N162 N164:O167 N170:O170 N172:O172 N174:O174 N176:O176 N180:O182 N184:O184">
    <cfRule type="containsText" dxfId="2" priority="31643" operator="containsText" text="Yes">
      <formula>NOT(ISERROR(SEARCH(("Yes"),(O121))))</formula>
    </cfRule>
  </conditionalFormatting>
  <conditionalFormatting sqref="O121:O133 O136:O139 N139 O142:O143 O146:O152 O154:O155 O159 O161:O162 N162 N164:O167 N170:O170 N172:O172 N174:O174 N176:O176 N180:O182 N184:O184">
    <cfRule type="containsText" dxfId="2" priority="31644" operator="containsText" text="Yes">
      <formula>NOT(ISERROR(SEARCH(("Yes"),(O121))))</formula>
    </cfRule>
  </conditionalFormatting>
  <conditionalFormatting sqref="O121:O133 O136:O139 N139 O142:O143 O146:O152 O154:O155 O159 O161:O162 N162 N164:O167 N170:O170 N172:O172 N174:O174 N176:O176 N180:O182 N184:O184">
    <cfRule type="containsText" dxfId="2" priority="31645" operator="containsText" text="Yes">
      <formula>NOT(ISERROR(SEARCH(("Yes"),(O121))))</formula>
    </cfRule>
  </conditionalFormatting>
  <conditionalFormatting sqref="O121:O133 O136:O139 N139 O142:O143 O146:O152 O154:O155 O159 O161:O162 N162 N164:O167 N170:O170 N172:O172 N174:O174 N176:O176 N180:O182 N184:O184">
    <cfRule type="containsText" dxfId="9" priority="31646" operator="containsText" text="No">
      <formula>NOT(ISERROR(SEARCH(("No"),(O121))))</formula>
    </cfRule>
  </conditionalFormatting>
  <conditionalFormatting sqref="O121:O133 O136:O139 N139 O142:O143 O146:O152 O154:O155 O159 O161:O162 N162 N164:O167 N170:O170 N172:O172 N174:O174 N176:O176 N180:O182 N184:O184">
    <cfRule type="containsText" dxfId="9" priority="31647" operator="containsText" text="No">
      <formula>NOT(ISERROR(SEARCH(("No"),(O121))))</formula>
    </cfRule>
  </conditionalFormatting>
  <conditionalFormatting sqref="O121:O133 O136:O139 N139 O142:O143 O146:O152 O154:O155 O159 O161:O162 N162 N164:O167 N170:O170 N172:O172 N174:O174 N176:O176 N180:O182 N184:O184">
    <cfRule type="containsText" dxfId="2" priority="31648" operator="containsText" text="Yes">
      <formula>NOT(ISERROR(SEARCH(("Yes"),(O121))))</formula>
    </cfRule>
  </conditionalFormatting>
  <conditionalFormatting sqref="P121:Q133 P136:Q139 P142:Q143 P146:Q152 P154:Q154 P159:Q159 P161:Q162 P164:Q164 P166:Q167 P172:Q172 P174:Q174 P176:Q176 P180:Q182 P184:Q184">
    <cfRule type="containsText" dxfId="9" priority="31649"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50"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51"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52"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53"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54"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55"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56"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57"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58"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59"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60"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61"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62"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63"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64"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65"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66"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67"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68"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69"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70"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71"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72"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73"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74"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75"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76"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77"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78"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79"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80"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81"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82"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83"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84"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85"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86"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87"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88"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89"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90"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91"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92" operator="containsText" text="No">
      <formula>NOT(ISERROR(SEARCH(("No"),(P121))))</formula>
    </cfRule>
  </conditionalFormatting>
  <conditionalFormatting sqref="P121:Q133 P136:Q139 P142:Q143 P146:Q152 P154:Q154 P159:Q159 P161:Q162 P164:Q164 P166:Q167 P172:Q172 P174:Q174 P176:Q176 P180:Q182 P184:Q184">
    <cfRule type="containsText" dxfId="9" priority="31693" operator="containsText" text="No">
      <formula>NOT(ISERROR(SEARCH(("No"),(P121))))</formula>
    </cfRule>
  </conditionalFormatting>
  <conditionalFormatting sqref="P121:Q133 P136:Q139 P142:Q143 P146:Q152 P154:Q154 P159:Q159 P161:Q162 P164:Q164 P166:Q167 P172:Q172 P174:Q174 P176:Q176 P180:Q182 P184:Q184">
    <cfRule type="containsText" dxfId="2" priority="31694"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695"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696"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697"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698"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699"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00"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01"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02"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03"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04"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05"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06"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07"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08"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09"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10"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11"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12"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13"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14"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15"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16"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17"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18"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19"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20"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21"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22"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23"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24"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25"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26"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27"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28"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29"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30"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31"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32"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33"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34"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35"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36"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37"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38"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39" operator="containsText" text="Yes">
      <formula>NOT(ISERROR(SEARCH(("Yes"),(P121))))</formula>
    </cfRule>
  </conditionalFormatting>
  <conditionalFormatting sqref="P121:Q133 P136:Q139 P142:Q143 P146:Q152 P154:Q154 P159:Q159 P161:Q162 P164:Q164 P166:Q167 P172:Q172 P174:Q174 P176:Q176 P180:Q182 P184:Q184">
    <cfRule type="containsText" dxfId="2" priority="31740" operator="containsText" text="Yes">
      <formula>NOT(ISERROR(SEARCH(("Yes"),(P121))))</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41"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42"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43"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44"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45"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46"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47"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48"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49"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50"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51"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52"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53"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54"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55"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56"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57"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58"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59"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60"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61"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62"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63"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64"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65"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66"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67"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68"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69"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70"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71"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72"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73"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74"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75"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76"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77"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78"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79"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80"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81"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82"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83"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84"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9" priority="31785" operator="containsText" text="No">
      <formula>NOT(ISERROR(SEARCH(("No"),(N124))))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786"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787"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788"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789"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790"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791"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792"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793"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794"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795"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796"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797"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798"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799"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00"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01"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02"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03"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04"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05"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06"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07"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08"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09"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10"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11"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12"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13"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14"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15"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16"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17"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18"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19"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20"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21"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22"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23"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24"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25"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26"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27"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28"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29"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30"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31" operator="containsText" text="Yes">
      <formula>NOT(ISERROR(SEARCH(("Yes"),(N124))))</formula>
    </cfRule>
  </conditionalFormatting>
  <conditionalFormatting sqref="N124:O133 P124:Q126 P128:Q133 N136:Q139 N142:Q143 N146:Q152 N154 O154:O155 P154:Q154 N159:Q159 N161:Q162 N164:O167 P164:Q164 P166:Q167 N170:O170 N172:Q172 N174:Q174 N176:Q176 N180:Q182 N184:Q184">
    <cfRule type="containsText" dxfId="2" priority="31832" operator="containsText" text="Yes">
      <formula>NOT(ISERROR(SEARCH(("Yes"),(N124))))</formula>
    </cfRule>
  </conditionalFormatting>
  <conditionalFormatting sqref="N122:N216 O122:O133 P122:Q126 P128:Q133 O136:Q139 O142:Q143 O146:Q152 O154:Q155 O159:Q159 O161:Q162 O164:Q167 O170:Q170 O172:Q172 O174:O226 P174:Q174 P176:Q176 P180:Q182 P184:Q184 N222:N226 N228:O252 N254:O256 N258:O264 N267:O269 N272:O273 N275:O275">
    <cfRule type="containsText" dxfId="9" priority="31833" operator="containsText" text="No">
      <formula>NOT(ISERROR(SEARCH(("No"),(N122))))</formula>
    </cfRule>
  </conditionalFormatting>
  <conditionalFormatting sqref="N122:N216 O122:O133 P122:Q126 P128:Q133 O136:Q139 O142:Q143 O146:Q152 O154:Q155 O159:Q159 O161:Q162 O164:Q167 O170:Q170 O172:Q172 O174:O226 P174:Q174 P176:Q176 P180:Q182 P184:Q184 N222:N226 N228:O252 N254:O256 N258:O264 N267:O269 N272:O273 N275:O275">
    <cfRule type="containsText" dxfId="9" priority="31834" operator="containsText" text="No">
      <formula>NOT(ISERROR(SEARCH(("No"),(N122))))</formula>
    </cfRule>
  </conditionalFormatting>
  <conditionalFormatting sqref="N122:N216 O122:O133 P122:Q126 P128:Q133 O136:Q139 O142:Q143 O146:Q152 O154:Q155 O159:Q159 O161:Q162 O164:Q167 O170:Q170 O172:Q172 O174:O226 P174:Q174 P176:Q176 P180:Q182 P184:Q184 N222:N226 N228:O252 N254:O256 N258:O264 N267:O269 N272:O273 N275:O275">
    <cfRule type="containsText" dxfId="9" priority="31835" operator="containsText" text="No">
      <formula>NOT(ISERROR(SEARCH(("No"),(N122))))</formula>
    </cfRule>
  </conditionalFormatting>
  <conditionalFormatting sqref="N122:N216 O122:O133 P122:Q126 P128:Q133 O136:Q139 O142:Q143 O146:Q152 O154:Q155 O159:Q159 O161:Q162 O164:Q167 O170:Q170 O172:Q172 O174:O226 P174:Q174 P176:Q176 P180:Q182 P184:Q184 N222:N226 N228:O252 N254:O256 N258:O264 N267:O269 N272:O273 N275:O275">
    <cfRule type="containsText" dxfId="2" priority="31836" operator="containsText" text="Yes">
      <formula>NOT(ISERROR(SEARCH(("Yes"),(N122))))</formula>
    </cfRule>
  </conditionalFormatting>
  <conditionalFormatting sqref="N122:N216 O122:O133 P122:Q126 P128:Q133 O136:Q139 O142:Q143 O146:Q152 O154:Q155 O159:Q159 O161:Q162 O164:Q167 O170:Q170 O172:Q172 O174:O226 P174:Q174 P176:Q176 P180:Q182 P184:Q184 N222:N226 N228:O252 N254:O256 N258:O264 N267:O269 N272:O273 N275:O275">
    <cfRule type="containsText" dxfId="2" priority="31837" operator="containsText" text="Yes">
      <formula>NOT(ISERROR(SEARCH(("Yes"),(N122))))</formula>
    </cfRule>
  </conditionalFormatting>
  <conditionalFormatting sqref="N122:N216 O122:O133 P122:Q126 P128:Q133 O136:Q139 O142:Q143 O146:Q152 O154:Q155 O159:Q159 O161:Q162 O164:Q167 O170:Q170 O172:Q172 O174:O226 P174:Q174 P176:Q176 P180:Q182 P184:Q184 N222:N226 N228:O252 N254:O256 N258:O264 N267:O269 N272:O273 N275:O275">
    <cfRule type="containsText" dxfId="2" priority="31838" operator="containsText" text="Yes">
      <formula>NOT(ISERROR(SEARCH(("Yes"),(N122))))</formula>
    </cfRule>
  </conditionalFormatting>
  <conditionalFormatting sqref="N122:N216 O122:O133 P122:Q126 P128:Q133 O136:Q139 O142:Q143 O146:Q152 O154:Q155 O159:Q159 O161:Q162 O164:Q167 O170:Q170 O172:Q172 O174:O226 P174:Q174 P176:Q176 P180:Q182 P184:Q184 N222:N226 N228:O252 N254:O256 N258:O264 N267:O269 N272:O273 N275:O275">
    <cfRule type="containsText" dxfId="2" priority="31839" operator="containsText" text="Yes">
      <formula>NOT(ISERROR(SEARCH(("Yes"),(N122))))</formula>
    </cfRule>
  </conditionalFormatting>
  <conditionalFormatting sqref="N122:N216 O122:O133 P122:Q126 P128:Q133 O136:Q139 O142:Q143 O146:Q152 O154:Q155 O159:Q159 O161:Q162 O164:Q167 O170:Q170 O172:Q172 O174:O226 P174:Q174 P176:Q176 P180:Q182 P184:Q184 N222:N226 N228:O252 N254:O256 N258:O264 N267:O269 N272:O273 N275:O275">
    <cfRule type="containsText" dxfId="2" priority="31840" operator="containsText" text="Yes">
      <formula>NOT(ISERROR(SEARCH(("Yes"),(N122))))</formula>
    </cfRule>
  </conditionalFormatting>
  <conditionalFormatting sqref="N122:N216 O122:O133 P122:Q126 P128:Q133 O136:Q139 O142:Q143 O146:Q152 O154:Q155 O159:Q159 O161:Q162 O164:Q167 O170:Q170 O172:Q172 O174:O226 P174:Q174 P176:Q176 P180:Q182 P184:Q184 N222:N226 N228:O252 N254:O256 N258:O264 N267:O269 N272:O273 N275:O275">
    <cfRule type="containsText" dxfId="9" priority="31841" operator="containsText" text="No">
      <formula>NOT(ISERROR(SEARCH(("No"),(N122))))</formula>
    </cfRule>
  </conditionalFormatting>
  <conditionalFormatting sqref="N122:N216 O122:O133 P122:Q126 P128:Q133 O136:Q139 O142:Q143 O146:Q152 O154:Q155 O159:Q159 O161:Q162 O164:Q167 O170:Q170 O172:Q172 O174:O226 P174:Q174 P176:Q176 P180:Q182 P184:Q184 N222:N226 N228:O252 N254:O256 N258:O264 N267:O269 N272:O273 N275:O275">
    <cfRule type="containsText" dxfId="2" priority="31842" operator="containsText" text="Yes">
      <formula>NOT(ISERROR(SEARCH(("Yes"),(N122))))</formula>
    </cfRule>
  </conditionalFormatting>
  <conditionalFormatting sqref="O124:O125 O127:O226 N139 P145 P150 P153:P214 Q155 N162 N164:N167 N170 N172 N174 N176 N180:N182 N184 N187:N216 Q203 U204:V204 Q205:Q214 N222:N226 N228:O252 N254:O256 N258:O264 N267:O269 N272:O273 N275:O275">
    <cfRule type="containsText" dxfId="9" priority="31843" operator="containsText" text="No">
      <formula>NOT(ISERROR(SEARCH(("No"),(O124))))</formula>
    </cfRule>
  </conditionalFormatting>
  <conditionalFormatting sqref="O124:O125 O127:O226 N139 P145 P150 P153:P214 Q155 N162 N164:N167 N170 N172 N174 N176 N180:N182 N184 N187:N216 Q203 U204:V204 Q205:Q214 N222:N226 N228:O252 N254:O256 N258:O264 N267:O269 N272:O273 N275:O275">
    <cfRule type="containsText" dxfId="9" priority="31844" operator="containsText" text="No">
      <formula>NOT(ISERROR(SEARCH(("No"),(O124))))</formula>
    </cfRule>
  </conditionalFormatting>
  <conditionalFormatting sqref="O124:O125 O127:O226 N139 P145 P150 P153:P214 Q155 N162 N164:N167 N170 N172 N174 N176 N180:N182 N184 N187:N216 Q203 U204:V204 Q205:Q214 N222:N226 N228:O252 N254:O256 N258:O264 N267:O269 N272:O273 N275:O275">
    <cfRule type="containsText" dxfId="9" priority="31845" operator="containsText" text="No">
      <formula>NOT(ISERROR(SEARCH(("No"),(O124))))</formula>
    </cfRule>
  </conditionalFormatting>
  <conditionalFormatting sqref="O124:O125 O127:O226 N139 P145 P150 P153:P214 Q155 N162 N164:N167 N170 N172 N174 N176 N180:N182 N184 N187:N216 Q203 U204:V204 Q205:Q214 N222:N226 N228:O252 N254:O256 N258:O264 N267:O269 N272:O273 N275:O275">
    <cfRule type="containsText" dxfId="2" priority="31846" operator="containsText" text="Yes">
      <formula>NOT(ISERROR(SEARCH(("Yes"),(O124))))</formula>
    </cfRule>
  </conditionalFormatting>
  <conditionalFormatting sqref="O124:O125 O127:O226 N139 P145 P150 P153:P214 Q155 N162 N164:N167 N170 N172 N174 N176 N180:N182 N184 N187:N216 Q203 U204:V204 Q205:Q214 N222:N226 N228:O252 N254:O256 N258:O264 N267:O269 N272:O273 N275:O275">
    <cfRule type="containsText" dxfId="2" priority="31847" operator="containsText" text="Yes">
      <formula>NOT(ISERROR(SEARCH(("Yes"),(O124))))</formula>
    </cfRule>
  </conditionalFormatting>
  <conditionalFormatting sqref="O124:O125 O127:O226 N139 P145 P150 P153:P214 Q155 N162 N164:N167 N170 N172 N174 N176 N180:N182 N184 N187:N216 Q203 U204:V204 Q205:Q214 N222:N226 N228:O252 N254:O256 N258:O264 N267:O269 N272:O273 N275:O275">
    <cfRule type="containsText" dxfId="2" priority="31848" operator="containsText" text="Yes">
      <formula>NOT(ISERROR(SEARCH(("Yes"),(O124))))</formula>
    </cfRule>
  </conditionalFormatting>
  <conditionalFormatting sqref="O124:O125 O127:O226 N139 P145 P150 P153:P214 Q155 N162 N164:N167 N170 N172 N174 N176 N180:N182 N184 N187:N216 Q203 U204:V204 Q205:Q214 N222:N226 N228:O252 N254:O256 N258:O264 N267:O269 N272:O273 N275:O275">
    <cfRule type="containsText" dxfId="2" priority="31849" operator="containsText" text="Yes">
      <formula>NOT(ISERROR(SEARCH(("Yes"),(O124))))</formula>
    </cfRule>
  </conditionalFormatting>
  <conditionalFormatting sqref="O124:O125 O127:O226 N139 P145 P150 P153:P214 Q155 N162 N164:N167 N170 N172 N174 N176 N180:N182 N184 N187:N216 Q203 U204:V204 Q205:Q214 N222:N226 N228:O252 N254:O256 N258:O264 N267:O269 N272:O273 N275:O275">
    <cfRule type="containsText" dxfId="2" priority="31850" operator="containsText" text="Yes">
      <formula>NOT(ISERROR(SEARCH(("Yes"),(O124))))</formula>
    </cfRule>
  </conditionalFormatting>
  <conditionalFormatting sqref="O124:O125 O127:O226 N139 P145 P150 P153:P214 Q155 N162 N164:N167 N170 N172 N174 N176 N180:N182 N184 N187:N216 Q203 U204:V204 Q205:Q214 N222:N226 N228:O252 N254:O256 N258:O264 N267:O269 N272:O273 N275:O275">
    <cfRule type="containsText" dxfId="9" priority="31851" operator="containsText" text="No">
      <formula>NOT(ISERROR(SEARCH(("No"),(O124))))</formula>
    </cfRule>
  </conditionalFormatting>
  <conditionalFormatting sqref="O124:O125 O127:O226 N139 P145 P150 P153:P214 Q155 N162 N164:N167 N170 N172 N174 N176 N180:N182 N184 N187:N216 Q203 U204:V204 Q205:Q214 N222:N226 N228:O252 N254:O256 N258:O264 N267:O269 N272:O273 N275:O275">
    <cfRule type="containsText" dxfId="9" priority="31852" operator="containsText" text="No">
      <formula>NOT(ISERROR(SEARCH(("No"),(O124))))</formula>
    </cfRule>
  </conditionalFormatting>
  <conditionalFormatting sqref="O124:O125 O127:O226 N139 P145 P150 P153:P214 Q155 N162 N164:N167 N170 N172 N174 N176 N180:N182 N184 N187:N216 Q203 U204:V204 Q205:Q214 N222:N226 N228:O252 N254:O256 N258:O264 N267:O269 N272:O273 N275:O275">
    <cfRule type="containsText" dxfId="2" priority="31853" operator="containsText" text="Yes">
      <formula>NOT(ISERROR(SEARCH(("Yes"),(O124))))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54"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55"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56"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57"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58"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59"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60"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61"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62"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63"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64"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65"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66"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67"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68"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69"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70"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71"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72"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73"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74"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75"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76"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77"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78"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79"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80"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81"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82"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83"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84"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85"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86"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87"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88"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89"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90"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91"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92"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93"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94"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95"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96"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97"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9" priority="31898" operator="containsText" text="No">
      <formula>NOT(ISERROR(SEARCH(("No"),(P124))))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899"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00"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01"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02"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03"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04"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05"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06"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07"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08"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09"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10"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11"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12"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13"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14"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15"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16"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17"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18"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19"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20"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21"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22"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23"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24"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25"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26"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27"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28"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29"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30"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31"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32"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33"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34"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35"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36"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37"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38"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39"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40"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41"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42"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43"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44" operator="containsText" text="Yes">
      <formula>NOT(ISERROR(SEARCH(("Yes"),(P124))))</formula>
    </cfRule>
  </conditionalFormatting>
  <conditionalFormatting sqref="P124:Q125 P128:Q134 P136:Q139 P142:P152 Q142:Q216 O145 P154 P159 P161:P162 P164 P166:P167 P172 P174:P216 U204:V204 P222:Q226 P228:Q252 P254:Q256 P258:Q264 O261:O264 O267:Q269 P272:Q275 O275">
    <cfRule type="containsText" dxfId="2" priority="31945" operator="containsText" text="Yes">
      <formula>NOT(ISERROR(SEARCH(("Yes"),(P124))))</formula>
    </cfRule>
  </conditionalFormatting>
  <conditionalFormatting sqref="P127:Q127">
    <cfRule type="containsText" dxfId="9" priority="31946" operator="containsText" text="No">
      <formula>NOT(ISERROR(SEARCH(("No"),(P127))))</formula>
    </cfRule>
  </conditionalFormatting>
  <conditionalFormatting sqref="P127:Q127">
    <cfRule type="containsText" dxfId="9" priority="31947" operator="containsText" text="No">
      <formula>NOT(ISERROR(SEARCH(("No"),(P127))))</formula>
    </cfRule>
  </conditionalFormatting>
  <conditionalFormatting sqref="P127:Q127">
    <cfRule type="containsText" dxfId="9" priority="31948" operator="containsText" text="No">
      <formula>NOT(ISERROR(SEARCH(("No"),(P127))))</formula>
    </cfRule>
  </conditionalFormatting>
  <conditionalFormatting sqref="P127:Q127">
    <cfRule type="containsText" dxfId="9" priority="31949" operator="containsText" text="No">
      <formula>NOT(ISERROR(SEARCH(("No"),(P127))))</formula>
    </cfRule>
  </conditionalFormatting>
  <conditionalFormatting sqref="P127:Q127">
    <cfRule type="containsText" dxfId="9" priority="31950" operator="containsText" text="No">
      <formula>NOT(ISERROR(SEARCH(("No"),(P127))))</formula>
    </cfRule>
  </conditionalFormatting>
  <conditionalFormatting sqref="P127:Q127">
    <cfRule type="containsText" dxfId="9" priority="31951" operator="containsText" text="No">
      <formula>NOT(ISERROR(SEARCH(("No"),(P127))))</formula>
    </cfRule>
  </conditionalFormatting>
  <conditionalFormatting sqref="P127:Q127">
    <cfRule type="containsText" dxfId="9" priority="31952" operator="containsText" text="No">
      <formula>NOT(ISERROR(SEARCH(("No"),(P127))))</formula>
    </cfRule>
  </conditionalFormatting>
  <conditionalFormatting sqref="P127:Q127">
    <cfRule type="containsText" dxfId="9" priority="31953" operator="containsText" text="No">
      <formula>NOT(ISERROR(SEARCH(("No"),(P127))))</formula>
    </cfRule>
  </conditionalFormatting>
  <conditionalFormatting sqref="P127:Q127">
    <cfRule type="containsText" dxfId="9" priority="31954" operator="containsText" text="No">
      <formula>NOT(ISERROR(SEARCH(("No"),(P127))))</formula>
    </cfRule>
  </conditionalFormatting>
  <conditionalFormatting sqref="P127:Q127">
    <cfRule type="containsText" dxfId="9" priority="31955" operator="containsText" text="No">
      <formula>NOT(ISERROR(SEARCH(("No"),(P127))))</formula>
    </cfRule>
  </conditionalFormatting>
  <conditionalFormatting sqref="P127:Q127">
    <cfRule type="containsText" dxfId="9" priority="31956" operator="containsText" text="No">
      <formula>NOT(ISERROR(SEARCH(("No"),(P127))))</formula>
    </cfRule>
  </conditionalFormatting>
  <conditionalFormatting sqref="P127:Q127">
    <cfRule type="containsText" dxfId="9" priority="31957" operator="containsText" text="No">
      <formula>NOT(ISERROR(SEARCH(("No"),(P127))))</formula>
    </cfRule>
  </conditionalFormatting>
  <conditionalFormatting sqref="P127:Q127">
    <cfRule type="containsText" dxfId="9" priority="31958" operator="containsText" text="No">
      <formula>NOT(ISERROR(SEARCH(("No"),(P127))))</formula>
    </cfRule>
  </conditionalFormatting>
  <conditionalFormatting sqref="P127:Q127">
    <cfRule type="containsText" dxfId="9" priority="31959" operator="containsText" text="No">
      <formula>NOT(ISERROR(SEARCH(("No"),(P127))))</formula>
    </cfRule>
  </conditionalFormatting>
  <conditionalFormatting sqref="P127:Q127">
    <cfRule type="containsText" dxfId="9" priority="31960" operator="containsText" text="No">
      <formula>NOT(ISERROR(SEARCH(("No"),(P127))))</formula>
    </cfRule>
  </conditionalFormatting>
  <conditionalFormatting sqref="P127:Q127">
    <cfRule type="containsText" dxfId="9" priority="31961" operator="containsText" text="No">
      <formula>NOT(ISERROR(SEARCH(("No"),(P127))))</formula>
    </cfRule>
  </conditionalFormatting>
  <conditionalFormatting sqref="P127:Q127">
    <cfRule type="containsText" dxfId="9" priority="31962" operator="containsText" text="No">
      <formula>NOT(ISERROR(SEARCH(("No"),(P127))))</formula>
    </cfRule>
  </conditionalFormatting>
  <conditionalFormatting sqref="P127:Q127">
    <cfRule type="containsText" dxfId="9" priority="31963" operator="containsText" text="No">
      <formula>NOT(ISERROR(SEARCH(("No"),(P127))))</formula>
    </cfRule>
  </conditionalFormatting>
  <conditionalFormatting sqref="P127:Q127">
    <cfRule type="containsText" dxfId="9" priority="31964" operator="containsText" text="No">
      <formula>NOT(ISERROR(SEARCH(("No"),(P127))))</formula>
    </cfRule>
  </conditionalFormatting>
  <conditionalFormatting sqref="P127:Q127">
    <cfRule type="containsText" dxfId="9" priority="31965" operator="containsText" text="No">
      <formula>NOT(ISERROR(SEARCH(("No"),(P127))))</formula>
    </cfRule>
  </conditionalFormatting>
  <conditionalFormatting sqref="P127:Q127">
    <cfRule type="containsText" dxfId="9" priority="31966" operator="containsText" text="No">
      <formula>NOT(ISERROR(SEARCH(("No"),(P127))))</formula>
    </cfRule>
  </conditionalFormatting>
  <conditionalFormatting sqref="P127:Q127">
    <cfRule type="containsText" dxfId="9" priority="31967" operator="containsText" text="No">
      <formula>NOT(ISERROR(SEARCH(("No"),(P127))))</formula>
    </cfRule>
  </conditionalFormatting>
  <conditionalFormatting sqref="P127:Q127">
    <cfRule type="containsText" dxfId="9" priority="31968" operator="containsText" text="No">
      <formula>NOT(ISERROR(SEARCH(("No"),(P127))))</formula>
    </cfRule>
  </conditionalFormatting>
  <conditionalFormatting sqref="P127:Q127">
    <cfRule type="containsText" dxfId="9" priority="31969" operator="containsText" text="No">
      <formula>NOT(ISERROR(SEARCH(("No"),(P127))))</formula>
    </cfRule>
  </conditionalFormatting>
  <conditionalFormatting sqref="P127:Q127">
    <cfRule type="containsText" dxfId="9" priority="31970" operator="containsText" text="No">
      <formula>NOT(ISERROR(SEARCH(("No"),(P127))))</formula>
    </cfRule>
  </conditionalFormatting>
  <conditionalFormatting sqref="P127:Q127">
    <cfRule type="containsText" dxfId="9" priority="31971" operator="containsText" text="No">
      <formula>NOT(ISERROR(SEARCH(("No"),(P127))))</formula>
    </cfRule>
  </conditionalFormatting>
  <conditionalFormatting sqref="P127:Q127">
    <cfRule type="containsText" dxfId="9" priority="31972" operator="containsText" text="No">
      <formula>NOT(ISERROR(SEARCH(("No"),(P127))))</formula>
    </cfRule>
  </conditionalFormatting>
  <conditionalFormatting sqref="P127:Q127">
    <cfRule type="containsText" dxfId="9" priority="31973" operator="containsText" text="No">
      <formula>NOT(ISERROR(SEARCH(("No"),(P127))))</formula>
    </cfRule>
  </conditionalFormatting>
  <conditionalFormatting sqref="P127:Q127">
    <cfRule type="containsText" dxfId="9" priority="31974" operator="containsText" text="No">
      <formula>NOT(ISERROR(SEARCH(("No"),(P127))))</formula>
    </cfRule>
  </conditionalFormatting>
  <conditionalFormatting sqref="P127:Q127">
    <cfRule type="containsText" dxfId="9" priority="31975" operator="containsText" text="No">
      <formula>NOT(ISERROR(SEARCH(("No"),(P127))))</formula>
    </cfRule>
  </conditionalFormatting>
  <conditionalFormatting sqref="P127:Q127">
    <cfRule type="containsText" dxfId="9" priority="31976" operator="containsText" text="No">
      <formula>NOT(ISERROR(SEARCH(("No"),(P127))))</formula>
    </cfRule>
  </conditionalFormatting>
  <conditionalFormatting sqref="P127:Q127">
    <cfRule type="containsText" dxfId="9" priority="31977" operator="containsText" text="No">
      <formula>NOT(ISERROR(SEARCH(("No"),(P127))))</formula>
    </cfRule>
  </conditionalFormatting>
  <conditionalFormatting sqref="P127:Q127">
    <cfRule type="containsText" dxfId="9" priority="31978" operator="containsText" text="No">
      <formula>NOT(ISERROR(SEARCH(("No"),(P127))))</formula>
    </cfRule>
  </conditionalFormatting>
  <conditionalFormatting sqref="P127:Q127">
    <cfRule type="containsText" dxfId="9" priority="31979" operator="containsText" text="No">
      <formula>NOT(ISERROR(SEARCH(("No"),(P127))))</formula>
    </cfRule>
  </conditionalFormatting>
  <conditionalFormatting sqref="P127:Q127">
    <cfRule type="containsText" dxfId="9" priority="31980" operator="containsText" text="No">
      <formula>NOT(ISERROR(SEARCH(("No"),(P127))))</formula>
    </cfRule>
  </conditionalFormatting>
  <conditionalFormatting sqref="P127:Q127">
    <cfRule type="containsText" dxfId="9" priority="31981" operator="containsText" text="No">
      <formula>NOT(ISERROR(SEARCH(("No"),(P127))))</formula>
    </cfRule>
  </conditionalFormatting>
  <conditionalFormatting sqref="P127:Q127">
    <cfRule type="containsText" dxfId="9" priority="31982" operator="containsText" text="No">
      <formula>NOT(ISERROR(SEARCH(("No"),(P127))))</formula>
    </cfRule>
  </conditionalFormatting>
  <conditionalFormatting sqref="P127:Q127">
    <cfRule type="containsText" dxfId="9" priority="31983" operator="containsText" text="No">
      <formula>NOT(ISERROR(SEARCH(("No"),(P127))))</formula>
    </cfRule>
  </conditionalFormatting>
  <conditionalFormatting sqref="P127:Q127">
    <cfRule type="containsText" dxfId="9" priority="31984" operator="containsText" text="No">
      <formula>NOT(ISERROR(SEARCH(("No"),(P127))))</formula>
    </cfRule>
  </conditionalFormatting>
  <conditionalFormatting sqref="P127:Q127">
    <cfRule type="containsText" dxfId="9" priority="31985" operator="containsText" text="No">
      <formula>NOT(ISERROR(SEARCH(("No"),(P127))))</formula>
    </cfRule>
  </conditionalFormatting>
  <conditionalFormatting sqref="P127:Q127">
    <cfRule type="containsText" dxfId="9" priority="31986" operator="containsText" text="No">
      <formula>NOT(ISERROR(SEARCH(("No"),(P127))))</formula>
    </cfRule>
  </conditionalFormatting>
  <conditionalFormatting sqref="P127:Q127">
    <cfRule type="containsText" dxfId="9" priority="31987" operator="containsText" text="No">
      <formula>NOT(ISERROR(SEARCH(("No"),(P127))))</formula>
    </cfRule>
  </conditionalFormatting>
  <conditionalFormatting sqref="P127:Q127">
    <cfRule type="containsText" dxfId="9" priority="31988" operator="containsText" text="No">
      <formula>NOT(ISERROR(SEARCH(("No"),(P127))))</formula>
    </cfRule>
  </conditionalFormatting>
  <conditionalFormatting sqref="P127:Q127">
    <cfRule type="containsText" dxfId="9" priority="31989" operator="containsText" text="No">
      <formula>NOT(ISERROR(SEARCH(("No"),(P127))))</formula>
    </cfRule>
  </conditionalFormatting>
  <conditionalFormatting sqref="P127:Q127">
    <cfRule type="containsText" dxfId="9" priority="31990" operator="containsText" text="No">
      <formula>NOT(ISERROR(SEARCH(("No"),(P127))))</formula>
    </cfRule>
  </conditionalFormatting>
  <conditionalFormatting sqref="P127:Q127">
    <cfRule type="containsText" dxfId="2" priority="31991" operator="containsText" text="Yes">
      <formula>NOT(ISERROR(SEARCH(("Yes"),(P127))))</formula>
    </cfRule>
  </conditionalFormatting>
  <conditionalFormatting sqref="P127:Q127">
    <cfRule type="containsText" dxfId="2" priority="31992" operator="containsText" text="Yes">
      <formula>NOT(ISERROR(SEARCH(("Yes"),(P127))))</formula>
    </cfRule>
  </conditionalFormatting>
  <conditionalFormatting sqref="P127:Q127">
    <cfRule type="containsText" dxfId="2" priority="31993" operator="containsText" text="Yes">
      <formula>NOT(ISERROR(SEARCH(("Yes"),(P127))))</formula>
    </cfRule>
  </conditionalFormatting>
  <conditionalFormatting sqref="P127:Q127">
    <cfRule type="containsText" dxfId="2" priority="31994" operator="containsText" text="Yes">
      <formula>NOT(ISERROR(SEARCH(("Yes"),(P127))))</formula>
    </cfRule>
  </conditionalFormatting>
  <conditionalFormatting sqref="P127:Q127">
    <cfRule type="containsText" dxfId="2" priority="31995" operator="containsText" text="Yes">
      <formula>NOT(ISERROR(SEARCH(("Yes"),(P127))))</formula>
    </cfRule>
  </conditionalFormatting>
  <conditionalFormatting sqref="P127:Q127">
    <cfRule type="containsText" dxfId="2" priority="31996" operator="containsText" text="Yes">
      <formula>NOT(ISERROR(SEARCH(("Yes"),(P127))))</formula>
    </cfRule>
  </conditionalFormatting>
  <conditionalFormatting sqref="P127:Q127">
    <cfRule type="containsText" dxfId="2" priority="31997" operator="containsText" text="Yes">
      <formula>NOT(ISERROR(SEARCH(("Yes"),(P127))))</formula>
    </cfRule>
  </conditionalFormatting>
  <conditionalFormatting sqref="P127:Q127">
    <cfRule type="containsText" dxfId="2" priority="31998" operator="containsText" text="Yes">
      <formula>NOT(ISERROR(SEARCH(("Yes"),(P127))))</formula>
    </cfRule>
  </conditionalFormatting>
  <conditionalFormatting sqref="P127:Q127">
    <cfRule type="containsText" dxfId="2" priority="31999" operator="containsText" text="Yes">
      <formula>NOT(ISERROR(SEARCH(("Yes"),(P127))))</formula>
    </cfRule>
  </conditionalFormatting>
  <conditionalFormatting sqref="P127:Q127">
    <cfRule type="containsText" dxfId="2" priority="32000" operator="containsText" text="Yes">
      <formula>NOT(ISERROR(SEARCH(("Yes"),(P127))))</formula>
    </cfRule>
  </conditionalFormatting>
  <conditionalFormatting sqref="P127:Q127">
    <cfRule type="containsText" dxfId="2" priority="32001" operator="containsText" text="Yes">
      <formula>NOT(ISERROR(SEARCH(("Yes"),(P127))))</formula>
    </cfRule>
  </conditionalFormatting>
  <conditionalFormatting sqref="P127:Q127">
    <cfRule type="containsText" dxfId="2" priority="32002" operator="containsText" text="Yes">
      <formula>NOT(ISERROR(SEARCH(("Yes"),(P127))))</formula>
    </cfRule>
  </conditionalFormatting>
  <conditionalFormatting sqref="P127:Q127">
    <cfRule type="containsText" dxfId="2" priority="32003" operator="containsText" text="Yes">
      <formula>NOT(ISERROR(SEARCH(("Yes"),(P127))))</formula>
    </cfRule>
  </conditionalFormatting>
  <conditionalFormatting sqref="P127:Q127">
    <cfRule type="containsText" dxfId="2" priority="32004" operator="containsText" text="Yes">
      <formula>NOT(ISERROR(SEARCH(("Yes"),(P127))))</formula>
    </cfRule>
  </conditionalFormatting>
  <conditionalFormatting sqref="P127:Q127">
    <cfRule type="containsText" dxfId="2" priority="32005" operator="containsText" text="Yes">
      <formula>NOT(ISERROR(SEARCH(("Yes"),(P127))))</formula>
    </cfRule>
  </conditionalFormatting>
  <conditionalFormatting sqref="P127:Q127">
    <cfRule type="containsText" dxfId="2" priority="32006" operator="containsText" text="Yes">
      <formula>NOT(ISERROR(SEARCH(("Yes"),(P127))))</formula>
    </cfRule>
  </conditionalFormatting>
  <conditionalFormatting sqref="P127:Q127">
    <cfRule type="containsText" dxfId="2" priority="32007" operator="containsText" text="Yes">
      <formula>NOT(ISERROR(SEARCH(("Yes"),(P127))))</formula>
    </cfRule>
  </conditionalFormatting>
  <conditionalFormatting sqref="P127:Q127">
    <cfRule type="containsText" dxfId="2" priority="32008" operator="containsText" text="Yes">
      <formula>NOT(ISERROR(SEARCH(("Yes"),(P127))))</formula>
    </cfRule>
  </conditionalFormatting>
  <conditionalFormatting sqref="P127:Q127">
    <cfRule type="containsText" dxfId="2" priority="32009" operator="containsText" text="Yes">
      <formula>NOT(ISERROR(SEARCH(("Yes"),(P127))))</formula>
    </cfRule>
  </conditionalFormatting>
  <conditionalFormatting sqref="P127:Q127">
    <cfRule type="containsText" dxfId="2" priority="32010" operator="containsText" text="Yes">
      <formula>NOT(ISERROR(SEARCH(("Yes"),(P127))))</formula>
    </cfRule>
  </conditionalFormatting>
  <conditionalFormatting sqref="P127:Q127">
    <cfRule type="containsText" dxfId="2" priority="32011" operator="containsText" text="Yes">
      <formula>NOT(ISERROR(SEARCH(("Yes"),(P127))))</formula>
    </cfRule>
  </conditionalFormatting>
  <conditionalFormatting sqref="P127:Q127">
    <cfRule type="containsText" dxfId="2" priority="32012" operator="containsText" text="Yes">
      <formula>NOT(ISERROR(SEARCH(("Yes"),(P127))))</formula>
    </cfRule>
  </conditionalFormatting>
  <conditionalFormatting sqref="P127:Q127">
    <cfRule type="containsText" dxfId="2" priority="32013" operator="containsText" text="Yes">
      <formula>NOT(ISERROR(SEARCH(("Yes"),(P127))))</formula>
    </cfRule>
  </conditionalFormatting>
  <conditionalFormatting sqref="P127:Q127">
    <cfRule type="containsText" dxfId="2" priority="32014" operator="containsText" text="Yes">
      <formula>NOT(ISERROR(SEARCH(("Yes"),(P127))))</formula>
    </cfRule>
  </conditionalFormatting>
  <conditionalFormatting sqref="P127:Q127">
    <cfRule type="containsText" dxfId="2" priority="32015" operator="containsText" text="Yes">
      <formula>NOT(ISERROR(SEARCH(("Yes"),(P127))))</formula>
    </cfRule>
  </conditionalFormatting>
  <conditionalFormatting sqref="P127:Q127">
    <cfRule type="containsText" dxfId="2" priority="32016" operator="containsText" text="Yes">
      <formula>NOT(ISERROR(SEARCH(("Yes"),(P127))))</formula>
    </cfRule>
  </conditionalFormatting>
  <conditionalFormatting sqref="P127:Q127">
    <cfRule type="containsText" dxfId="2" priority="32017" operator="containsText" text="Yes">
      <formula>NOT(ISERROR(SEARCH(("Yes"),(P127))))</formula>
    </cfRule>
  </conditionalFormatting>
  <conditionalFormatting sqref="P127:Q127">
    <cfRule type="containsText" dxfId="2" priority="32018" operator="containsText" text="Yes">
      <formula>NOT(ISERROR(SEARCH(("Yes"),(P127))))</formula>
    </cfRule>
  </conditionalFormatting>
  <conditionalFormatting sqref="P127:Q127">
    <cfRule type="containsText" dxfId="2" priority="32019" operator="containsText" text="Yes">
      <formula>NOT(ISERROR(SEARCH(("Yes"),(P127))))</formula>
    </cfRule>
  </conditionalFormatting>
  <conditionalFormatting sqref="P127:Q127">
    <cfRule type="containsText" dxfId="2" priority="32020" operator="containsText" text="Yes">
      <formula>NOT(ISERROR(SEARCH(("Yes"),(P127))))</formula>
    </cfRule>
  </conditionalFormatting>
  <conditionalFormatting sqref="P127:Q127">
    <cfRule type="containsText" dxfId="2" priority="32021" operator="containsText" text="Yes">
      <formula>NOT(ISERROR(SEARCH(("Yes"),(P127))))</formula>
    </cfRule>
  </conditionalFormatting>
  <conditionalFormatting sqref="P127:Q127">
    <cfRule type="containsText" dxfId="2" priority="32022" operator="containsText" text="Yes">
      <formula>NOT(ISERROR(SEARCH(("Yes"),(P127))))</formula>
    </cfRule>
  </conditionalFormatting>
  <conditionalFormatting sqref="P127:Q127">
    <cfRule type="containsText" dxfId="2" priority="32023" operator="containsText" text="Yes">
      <formula>NOT(ISERROR(SEARCH(("Yes"),(P127))))</formula>
    </cfRule>
  </conditionalFormatting>
  <conditionalFormatting sqref="P127:Q127">
    <cfRule type="containsText" dxfId="2" priority="32024" operator="containsText" text="Yes">
      <formula>NOT(ISERROR(SEARCH(("Yes"),(P127))))</formula>
    </cfRule>
  </conditionalFormatting>
  <conditionalFormatting sqref="P127:Q127">
    <cfRule type="containsText" dxfId="2" priority="32025" operator="containsText" text="Yes">
      <formula>NOT(ISERROR(SEARCH(("Yes"),(P127))))</formula>
    </cfRule>
  </conditionalFormatting>
  <conditionalFormatting sqref="P127:Q127">
    <cfRule type="containsText" dxfId="2" priority="32026" operator="containsText" text="Yes">
      <formula>NOT(ISERROR(SEARCH(("Yes"),(P127))))</formula>
    </cfRule>
  </conditionalFormatting>
  <conditionalFormatting sqref="P127:Q127">
    <cfRule type="containsText" dxfId="2" priority="32027" operator="containsText" text="Yes">
      <formula>NOT(ISERROR(SEARCH(("Yes"),(P127))))</formula>
    </cfRule>
  </conditionalFormatting>
  <conditionalFormatting sqref="P127:Q127">
    <cfRule type="containsText" dxfId="2" priority="32028" operator="containsText" text="Yes">
      <formula>NOT(ISERROR(SEARCH(("Yes"),(P127))))</formula>
    </cfRule>
  </conditionalFormatting>
  <conditionalFormatting sqref="P127:Q127">
    <cfRule type="containsText" dxfId="2" priority="32029" operator="containsText" text="Yes">
      <formula>NOT(ISERROR(SEARCH(("Yes"),(P127))))</formula>
    </cfRule>
  </conditionalFormatting>
  <conditionalFormatting sqref="P127:Q127">
    <cfRule type="containsText" dxfId="2" priority="32030" operator="containsText" text="Yes">
      <formula>NOT(ISERROR(SEARCH(("Yes"),(P127))))</formula>
    </cfRule>
  </conditionalFormatting>
  <conditionalFormatting sqref="P127:Q127">
    <cfRule type="containsText" dxfId="2" priority="32031" operator="containsText" text="Yes">
      <formula>NOT(ISERROR(SEARCH(("Yes"),(P127))))</formula>
    </cfRule>
  </conditionalFormatting>
  <conditionalFormatting sqref="P127:Q127">
    <cfRule type="containsText" dxfId="2" priority="32032" operator="containsText" text="Yes">
      <formula>NOT(ISERROR(SEARCH(("Yes"),(P127))))</formula>
    </cfRule>
  </conditionalFormatting>
  <conditionalFormatting sqref="P127:Q127">
    <cfRule type="containsText" dxfId="2" priority="32033" operator="containsText" text="Yes">
      <formula>NOT(ISERROR(SEARCH(("Yes"),(P127))))</formula>
    </cfRule>
  </conditionalFormatting>
  <conditionalFormatting sqref="P127:Q127">
    <cfRule type="containsText" dxfId="2" priority="32034" operator="containsText" text="Yes">
      <formula>NOT(ISERROR(SEARCH(("Yes"),(P127))))</formula>
    </cfRule>
  </conditionalFormatting>
  <conditionalFormatting sqref="P127:Q127">
    <cfRule type="containsText" dxfId="2" priority="32035" operator="containsText" text="Yes">
      <formula>NOT(ISERROR(SEARCH(("Yes"),(P127))))</formula>
    </cfRule>
  </conditionalFormatting>
  <conditionalFormatting sqref="P127:Q127">
    <cfRule type="containsText" dxfId="2" priority="32036" operator="containsText" text="Yes">
      <formula>NOT(ISERROR(SEARCH(("Yes"),(P127))))</formula>
    </cfRule>
  </conditionalFormatting>
  <conditionalFormatting sqref="P127:Q127">
    <cfRule type="containsText" dxfId="2" priority="32037" operator="containsText" text="Yes">
      <formula>NOT(ISERROR(SEARCH(("Yes"),(P127))))</formula>
    </cfRule>
  </conditionalFormatting>
  <conditionalFormatting sqref="P127:Q127">
    <cfRule type="containsText" dxfId="9" priority="32038" operator="containsText" text="No">
      <formula>NOT(ISERROR(SEARCH(("No"),(P127))))</formula>
    </cfRule>
  </conditionalFormatting>
  <conditionalFormatting sqref="P127:Q127">
    <cfRule type="containsText" dxfId="9" priority="32039" operator="containsText" text="No">
      <formula>NOT(ISERROR(SEARCH(("No"),(P127))))</formula>
    </cfRule>
  </conditionalFormatting>
  <conditionalFormatting sqref="P127:Q127">
    <cfRule type="containsText" dxfId="9" priority="32040" operator="containsText" text="No">
      <formula>NOT(ISERROR(SEARCH(("No"),(P127))))</formula>
    </cfRule>
  </conditionalFormatting>
  <conditionalFormatting sqref="P127:Q127">
    <cfRule type="containsText" dxfId="9" priority="32041" operator="containsText" text="No">
      <formula>NOT(ISERROR(SEARCH(("No"),(P127))))</formula>
    </cfRule>
  </conditionalFormatting>
  <conditionalFormatting sqref="P127:Q127">
    <cfRule type="containsText" dxfId="9" priority="32042" operator="containsText" text="No">
      <formula>NOT(ISERROR(SEARCH(("No"),(P127))))</formula>
    </cfRule>
  </conditionalFormatting>
  <conditionalFormatting sqref="P127:Q127">
    <cfRule type="containsText" dxfId="9" priority="32043" operator="containsText" text="No">
      <formula>NOT(ISERROR(SEARCH(("No"),(P127))))</formula>
    </cfRule>
  </conditionalFormatting>
  <conditionalFormatting sqref="P127:Q127">
    <cfRule type="containsText" dxfId="9" priority="32044" operator="containsText" text="No">
      <formula>NOT(ISERROR(SEARCH(("No"),(P127))))</formula>
    </cfRule>
  </conditionalFormatting>
  <conditionalFormatting sqref="P127:Q127">
    <cfRule type="containsText" dxfId="9" priority="32045" operator="containsText" text="No">
      <formula>NOT(ISERROR(SEARCH(("No"),(P127))))</formula>
    </cfRule>
  </conditionalFormatting>
  <conditionalFormatting sqref="P127:Q127">
    <cfRule type="containsText" dxfId="9" priority="32046" operator="containsText" text="No">
      <formula>NOT(ISERROR(SEARCH(("No"),(P127))))</formula>
    </cfRule>
  </conditionalFormatting>
  <conditionalFormatting sqref="P127:Q127">
    <cfRule type="containsText" dxfId="9" priority="32047" operator="containsText" text="No">
      <formula>NOT(ISERROR(SEARCH(("No"),(P127))))</formula>
    </cfRule>
  </conditionalFormatting>
  <conditionalFormatting sqref="P127:Q127">
    <cfRule type="containsText" dxfId="9" priority="32048" operator="containsText" text="No">
      <formula>NOT(ISERROR(SEARCH(("No"),(P127))))</formula>
    </cfRule>
  </conditionalFormatting>
  <conditionalFormatting sqref="P127:Q127">
    <cfRule type="containsText" dxfId="9" priority="32049" operator="containsText" text="No">
      <formula>NOT(ISERROR(SEARCH(("No"),(P127))))</formula>
    </cfRule>
  </conditionalFormatting>
  <conditionalFormatting sqref="P127:Q127">
    <cfRule type="containsText" dxfId="9" priority="32050" operator="containsText" text="No">
      <formula>NOT(ISERROR(SEARCH(("No"),(P127))))</formula>
    </cfRule>
  </conditionalFormatting>
  <conditionalFormatting sqref="P127:Q127">
    <cfRule type="containsText" dxfId="9" priority="32051" operator="containsText" text="No">
      <formula>NOT(ISERROR(SEARCH(("No"),(P127))))</formula>
    </cfRule>
  </conditionalFormatting>
  <conditionalFormatting sqref="P127:Q127">
    <cfRule type="containsText" dxfId="9" priority="32052" operator="containsText" text="No">
      <formula>NOT(ISERROR(SEARCH(("No"),(P127))))</formula>
    </cfRule>
  </conditionalFormatting>
  <conditionalFormatting sqref="P127:Q127">
    <cfRule type="containsText" dxfId="9" priority="32053" operator="containsText" text="No">
      <formula>NOT(ISERROR(SEARCH(("No"),(P127))))</formula>
    </cfRule>
  </conditionalFormatting>
  <conditionalFormatting sqref="P127:Q127">
    <cfRule type="containsText" dxfId="9" priority="32054" operator="containsText" text="No">
      <formula>NOT(ISERROR(SEARCH(("No"),(P127))))</formula>
    </cfRule>
  </conditionalFormatting>
  <conditionalFormatting sqref="P127:Q127">
    <cfRule type="containsText" dxfId="9" priority="32055" operator="containsText" text="No">
      <formula>NOT(ISERROR(SEARCH(("No"),(P127))))</formula>
    </cfRule>
  </conditionalFormatting>
  <conditionalFormatting sqref="P127:Q127">
    <cfRule type="containsText" dxfId="9" priority="32056" operator="containsText" text="No">
      <formula>NOT(ISERROR(SEARCH(("No"),(P127))))</formula>
    </cfRule>
  </conditionalFormatting>
  <conditionalFormatting sqref="P127:Q127">
    <cfRule type="containsText" dxfId="9" priority="32057" operator="containsText" text="No">
      <formula>NOT(ISERROR(SEARCH(("No"),(P127))))</formula>
    </cfRule>
  </conditionalFormatting>
  <conditionalFormatting sqref="P127:Q127">
    <cfRule type="containsText" dxfId="9" priority="32058" operator="containsText" text="No">
      <formula>NOT(ISERROR(SEARCH(("No"),(P127))))</formula>
    </cfRule>
  </conditionalFormatting>
  <conditionalFormatting sqref="P127:Q127">
    <cfRule type="containsText" dxfId="9" priority="32059" operator="containsText" text="No">
      <formula>NOT(ISERROR(SEARCH(("No"),(P127))))</formula>
    </cfRule>
  </conditionalFormatting>
  <conditionalFormatting sqref="P127:Q127">
    <cfRule type="containsText" dxfId="9" priority="32060" operator="containsText" text="No">
      <formula>NOT(ISERROR(SEARCH(("No"),(P127))))</formula>
    </cfRule>
  </conditionalFormatting>
  <conditionalFormatting sqref="P127:Q127">
    <cfRule type="containsText" dxfId="9" priority="32061" operator="containsText" text="No">
      <formula>NOT(ISERROR(SEARCH(("No"),(P127))))</formula>
    </cfRule>
  </conditionalFormatting>
  <conditionalFormatting sqref="P127:Q127">
    <cfRule type="containsText" dxfId="9" priority="32062" operator="containsText" text="No">
      <formula>NOT(ISERROR(SEARCH(("No"),(P127))))</formula>
    </cfRule>
  </conditionalFormatting>
  <conditionalFormatting sqref="P127:Q127">
    <cfRule type="containsText" dxfId="9" priority="32063" operator="containsText" text="No">
      <formula>NOT(ISERROR(SEARCH(("No"),(P127))))</formula>
    </cfRule>
  </conditionalFormatting>
  <conditionalFormatting sqref="P127:Q127">
    <cfRule type="containsText" dxfId="9" priority="32064" operator="containsText" text="No">
      <formula>NOT(ISERROR(SEARCH(("No"),(P127))))</formula>
    </cfRule>
  </conditionalFormatting>
  <conditionalFormatting sqref="P127:Q127">
    <cfRule type="containsText" dxfId="9" priority="32065" operator="containsText" text="No">
      <formula>NOT(ISERROR(SEARCH(("No"),(P127))))</formula>
    </cfRule>
  </conditionalFormatting>
  <conditionalFormatting sqref="P127:Q127">
    <cfRule type="containsText" dxfId="9" priority="32066" operator="containsText" text="No">
      <formula>NOT(ISERROR(SEARCH(("No"),(P127))))</formula>
    </cfRule>
  </conditionalFormatting>
  <conditionalFormatting sqref="P127:Q127">
    <cfRule type="containsText" dxfId="9" priority="32067" operator="containsText" text="No">
      <formula>NOT(ISERROR(SEARCH(("No"),(P127))))</formula>
    </cfRule>
  </conditionalFormatting>
  <conditionalFormatting sqref="P127:Q127">
    <cfRule type="containsText" dxfId="9" priority="32068" operator="containsText" text="No">
      <formula>NOT(ISERROR(SEARCH(("No"),(P127))))</formula>
    </cfRule>
  </conditionalFormatting>
  <conditionalFormatting sqref="P127:Q127">
    <cfRule type="containsText" dxfId="9" priority="32069" operator="containsText" text="No">
      <formula>NOT(ISERROR(SEARCH(("No"),(P127))))</formula>
    </cfRule>
  </conditionalFormatting>
  <conditionalFormatting sqref="P127:Q127">
    <cfRule type="containsText" dxfId="9" priority="32070" operator="containsText" text="No">
      <formula>NOT(ISERROR(SEARCH(("No"),(P127))))</formula>
    </cfRule>
  </conditionalFormatting>
  <conditionalFormatting sqref="P127:Q127">
    <cfRule type="containsText" dxfId="9" priority="32071" operator="containsText" text="No">
      <formula>NOT(ISERROR(SEARCH(("No"),(P127))))</formula>
    </cfRule>
  </conditionalFormatting>
  <conditionalFormatting sqref="P127:Q127">
    <cfRule type="containsText" dxfId="9" priority="32072" operator="containsText" text="No">
      <formula>NOT(ISERROR(SEARCH(("No"),(P127))))</formula>
    </cfRule>
  </conditionalFormatting>
  <conditionalFormatting sqref="P127:Q127">
    <cfRule type="containsText" dxfId="9" priority="32073" operator="containsText" text="No">
      <formula>NOT(ISERROR(SEARCH(("No"),(P127))))</formula>
    </cfRule>
  </conditionalFormatting>
  <conditionalFormatting sqref="P127:Q127">
    <cfRule type="containsText" dxfId="9" priority="32074" operator="containsText" text="No">
      <formula>NOT(ISERROR(SEARCH(("No"),(P127))))</formula>
    </cfRule>
  </conditionalFormatting>
  <conditionalFormatting sqref="P127:Q127">
    <cfRule type="containsText" dxfId="9" priority="32075" operator="containsText" text="No">
      <formula>NOT(ISERROR(SEARCH(("No"),(P127))))</formula>
    </cfRule>
  </conditionalFormatting>
  <conditionalFormatting sqref="P127:Q127">
    <cfRule type="containsText" dxfId="9" priority="32076" operator="containsText" text="No">
      <formula>NOT(ISERROR(SEARCH(("No"),(P127))))</formula>
    </cfRule>
  </conditionalFormatting>
  <conditionalFormatting sqref="P127:Q127">
    <cfRule type="containsText" dxfId="9" priority="32077" operator="containsText" text="No">
      <formula>NOT(ISERROR(SEARCH(("No"),(P127))))</formula>
    </cfRule>
  </conditionalFormatting>
  <conditionalFormatting sqref="P127:Q127">
    <cfRule type="containsText" dxfId="9" priority="32078" operator="containsText" text="No">
      <formula>NOT(ISERROR(SEARCH(("No"),(P127))))</formula>
    </cfRule>
  </conditionalFormatting>
  <conditionalFormatting sqref="P127:Q127">
    <cfRule type="containsText" dxfId="9" priority="32079" operator="containsText" text="No">
      <formula>NOT(ISERROR(SEARCH(("No"),(P127))))</formula>
    </cfRule>
  </conditionalFormatting>
  <conditionalFormatting sqref="P127:Q127">
    <cfRule type="containsText" dxfId="9" priority="32080" operator="containsText" text="No">
      <formula>NOT(ISERROR(SEARCH(("No"),(P127))))</formula>
    </cfRule>
  </conditionalFormatting>
  <conditionalFormatting sqref="P127:Q127">
    <cfRule type="containsText" dxfId="9" priority="32081" operator="containsText" text="No">
      <formula>NOT(ISERROR(SEARCH(("No"),(P127))))</formula>
    </cfRule>
  </conditionalFormatting>
  <conditionalFormatting sqref="P127:Q127">
    <cfRule type="containsText" dxfId="9" priority="32082" operator="containsText" text="No">
      <formula>NOT(ISERROR(SEARCH(("No"),(P127))))</formula>
    </cfRule>
  </conditionalFormatting>
  <conditionalFormatting sqref="P127:Q127">
    <cfRule type="containsText" dxfId="2" priority="32083" operator="containsText" text="Yes">
      <formula>NOT(ISERROR(SEARCH(("Yes"),(P127))))</formula>
    </cfRule>
  </conditionalFormatting>
  <conditionalFormatting sqref="P127:Q127">
    <cfRule type="containsText" dxfId="2" priority="32084" operator="containsText" text="Yes">
      <formula>NOT(ISERROR(SEARCH(("Yes"),(P127))))</formula>
    </cfRule>
  </conditionalFormatting>
  <conditionalFormatting sqref="P127:Q127">
    <cfRule type="containsText" dxfId="2" priority="32085" operator="containsText" text="Yes">
      <formula>NOT(ISERROR(SEARCH(("Yes"),(P127))))</formula>
    </cfRule>
  </conditionalFormatting>
  <conditionalFormatting sqref="P127:Q127">
    <cfRule type="containsText" dxfId="2" priority="32086" operator="containsText" text="Yes">
      <formula>NOT(ISERROR(SEARCH(("Yes"),(P127))))</formula>
    </cfRule>
  </conditionalFormatting>
  <conditionalFormatting sqref="P127:Q127">
    <cfRule type="containsText" dxfId="2" priority="32087" operator="containsText" text="Yes">
      <formula>NOT(ISERROR(SEARCH(("Yes"),(P127))))</formula>
    </cfRule>
  </conditionalFormatting>
  <conditionalFormatting sqref="P127:Q127">
    <cfRule type="containsText" dxfId="2" priority="32088" operator="containsText" text="Yes">
      <formula>NOT(ISERROR(SEARCH(("Yes"),(P127))))</formula>
    </cfRule>
  </conditionalFormatting>
  <conditionalFormatting sqref="P127:Q127">
    <cfRule type="containsText" dxfId="2" priority="32089" operator="containsText" text="Yes">
      <formula>NOT(ISERROR(SEARCH(("Yes"),(P127))))</formula>
    </cfRule>
  </conditionalFormatting>
  <conditionalFormatting sqref="P127:Q127">
    <cfRule type="containsText" dxfId="2" priority="32090" operator="containsText" text="Yes">
      <formula>NOT(ISERROR(SEARCH(("Yes"),(P127))))</formula>
    </cfRule>
  </conditionalFormatting>
  <conditionalFormatting sqref="P127:Q127">
    <cfRule type="containsText" dxfId="2" priority="32091" operator="containsText" text="Yes">
      <formula>NOT(ISERROR(SEARCH(("Yes"),(P127))))</formula>
    </cfRule>
  </conditionalFormatting>
  <conditionalFormatting sqref="P127:Q127">
    <cfRule type="containsText" dxfId="2" priority="32092" operator="containsText" text="Yes">
      <formula>NOT(ISERROR(SEARCH(("Yes"),(P127))))</formula>
    </cfRule>
  </conditionalFormatting>
  <conditionalFormatting sqref="P127:Q127">
    <cfRule type="containsText" dxfId="2" priority="32093" operator="containsText" text="Yes">
      <formula>NOT(ISERROR(SEARCH(("Yes"),(P127))))</formula>
    </cfRule>
  </conditionalFormatting>
  <conditionalFormatting sqref="P127:Q127">
    <cfRule type="containsText" dxfId="2" priority="32094" operator="containsText" text="Yes">
      <formula>NOT(ISERROR(SEARCH(("Yes"),(P127))))</formula>
    </cfRule>
  </conditionalFormatting>
  <conditionalFormatting sqref="P127:Q127">
    <cfRule type="containsText" dxfId="2" priority="32095" operator="containsText" text="Yes">
      <formula>NOT(ISERROR(SEARCH(("Yes"),(P127))))</formula>
    </cfRule>
  </conditionalFormatting>
  <conditionalFormatting sqref="P127:Q127">
    <cfRule type="containsText" dxfId="2" priority="32096" operator="containsText" text="Yes">
      <formula>NOT(ISERROR(SEARCH(("Yes"),(P127))))</formula>
    </cfRule>
  </conditionalFormatting>
  <conditionalFormatting sqref="P127:Q127">
    <cfRule type="containsText" dxfId="2" priority="32097" operator="containsText" text="Yes">
      <formula>NOT(ISERROR(SEARCH(("Yes"),(P127))))</formula>
    </cfRule>
  </conditionalFormatting>
  <conditionalFormatting sqref="P127:Q127">
    <cfRule type="containsText" dxfId="2" priority="32098" operator="containsText" text="Yes">
      <formula>NOT(ISERROR(SEARCH(("Yes"),(P127))))</formula>
    </cfRule>
  </conditionalFormatting>
  <conditionalFormatting sqref="P127:Q127">
    <cfRule type="containsText" dxfId="2" priority="32099" operator="containsText" text="Yes">
      <formula>NOT(ISERROR(SEARCH(("Yes"),(P127))))</formula>
    </cfRule>
  </conditionalFormatting>
  <conditionalFormatting sqref="P127:Q127">
    <cfRule type="containsText" dxfId="2" priority="32100" operator="containsText" text="Yes">
      <formula>NOT(ISERROR(SEARCH(("Yes"),(P127))))</formula>
    </cfRule>
  </conditionalFormatting>
  <conditionalFormatting sqref="P127:Q127">
    <cfRule type="containsText" dxfId="2" priority="32101" operator="containsText" text="Yes">
      <formula>NOT(ISERROR(SEARCH(("Yes"),(P127))))</formula>
    </cfRule>
  </conditionalFormatting>
  <conditionalFormatting sqref="P127:Q127">
    <cfRule type="containsText" dxfId="2" priority="32102" operator="containsText" text="Yes">
      <formula>NOT(ISERROR(SEARCH(("Yes"),(P127))))</formula>
    </cfRule>
  </conditionalFormatting>
  <conditionalFormatting sqref="P127:Q127">
    <cfRule type="containsText" dxfId="2" priority="32103" operator="containsText" text="Yes">
      <formula>NOT(ISERROR(SEARCH(("Yes"),(P127))))</formula>
    </cfRule>
  </conditionalFormatting>
  <conditionalFormatting sqref="P127:Q127">
    <cfRule type="containsText" dxfId="2" priority="32104" operator="containsText" text="Yes">
      <formula>NOT(ISERROR(SEARCH(("Yes"),(P127))))</formula>
    </cfRule>
  </conditionalFormatting>
  <conditionalFormatting sqref="P127:Q127">
    <cfRule type="containsText" dxfId="2" priority="32105" operator="containsText" text="Yes">
      <formula>NOT(ISERROR(SEARCH(("Yes"),(P127))))</formula>
    </cfRule>
  </conditionalFormatting>
  <conditionalFormatting sqref="P127:Q127">
    <cfRule type="containsText" dxfId="2" priority="32106" operator="containsText" text="Yes">
      <formula>NOT(ISERROR(SEARCH(("Yes"),(P127))))</formula>
    </cfRule>
  </conditionalFormatting>
  <conditionalFormatting sqref="P127:Q127">
    <cfRule type="containsText" dxfId="2" priority="32107" operator="containsText" text="Yes">
      <formula>NOT(ISERROR(SEARCH(("Yes"),(P127))))</formula>
    </cfRule>
  </conditionalFormatting>
  <conditionalFormatting sqref="P127:Q127">
    <cfRule type="containsText" dxfId="2" priority="32108" operator="containsText" text="Yes">
      <formula>NOT(ISERROR(SEARCH(("Yes"),(P127))))</formula>
    </cfRule>
  </conditionalFormatting>
  <conditionalFormatting sqref="P127:Q127">
    <cfRule type="containsText" dxfId="2" priority="32109" operator="containsText" text="Yes">
      <formula>NOT(ISERROR(SEARCH(("Yes"),(P127))))</formula>
    </cfRule>
  </conditionalFormatting>
  <conditionalFormatting sqref="P127:Q127">
    <cfRule type="containsText" dxfId="2" priority="32110" operator="containsText" text="Yes">
      <formula>NOT(ISERROR(SEARCH(("Yes"),(P127))))</formula>
    </cfRule>
  </conditionalFormatting>
  <conditionalFormatting sqref="P127:Q127">
    <cfRule type="containsText" dxfId="2" priority="32111" operator="containsText" text="Yes">
      <formula>NOT(ISERROR(SEARCH(("Yes"),(P127))))</formula>
    </cfRule>
  </conditionalFormatting>
  <conditionalFormatting sqref="P127:Q127">
    <cfRule type="containsText" dxfId="2" priority="32112" operator="containsText" text="Yes">
      <formula>NOT(ISERROR(SEARCH(("Yes"),(P127))))</formula>
    </cfRule>
  </conditionalFormatting>
  <conditionalFormatting sqref="P127:Q127">
    <cfRule type="containsText" dxfId="2" priority="32113" operator="containsText" text="Yes">
      <formula>NOT(ISERROR(SEARCH(("Yes"),(P127))))</formula>
    </cfRule>
  </conditionalFormatting>
  <conditionalFormatting sqref="P127:Q127">
    <cfRule type="containsText" dxfId="2" priority="32114" operator="containsText" text="Yes">
      <formula>NOT(ISERROR(SEARCH(("Yes"),(P127))))</formula>
    </cfRule>
  </conditionalFormatting>
  <conditionalFormatting sqref="P127:Q127">
    <cfRule type="containsText" dxfId="2" priority="32115" operator="containsText" text="Yes">
      <formula>NOT(ISERROR(SEARCH(("Yes"),(P127))))</formula>
    </cfRule>
  </conditionalFormatting>
  <conditionalFormatting sqref="P127:Q127">
    <cfRule type="containsText" dxfId="2" priority="32116" operator="containsText" text="Yes">
      <formula>NOT(ISERROR(SEARCH(("Yes"),(P127))))</formula>
    </cfRule>
  </conditionalFormatting>
  <conditionalFormatting sqref="P127:Q127">
    <cfRule type="containsText" dxfId="2" priority="32117" operator="containsText" text="Yes">
      <formula>NOT(ISERROR(SEARCH(("Yes"),(P127))))</formula>
    </cfRule>
  </conditionalFormatting>
  <conditionalFormatting sqref="P127:Q127">
    <cfRule type="containsText" dxfId="2" priority="32118" operator="containsText" text="Yes">
      <formula>NOT(ISERROR(SEARCH(("Yes"),(P127))))</formula>
    </cfRule>
  </conditionalFormatting>
  <conditionalFormatting sqref="P127:Q127">
    <cfRule type="containsText" dxfId="2" priority="32119" operator="containsText" text="Yes">
      <formula>NOT(ISERROR(SEARCH(("Yes"),(P127))))</formula>
    </cfRule>
  </conditionalFormatting>
  <conditionalFormatting sqref="P127:Q127">
    <cfRule type="containsText" dxfId="2" priority="32120" operator="containsText" text="Yes">
      <formula>NOT(ISERROR(SEARCH(("Yes"),(P127))))</formula>
    </cfRule>
  </conditionalFormatting>
  <conditionalFormatting sqref="P127:Q127">
    <cfRule type="containsText" dxfId="2" priority="32121" operator="containsText" text="Yes">
      <formula>NOT(ISERROR(SEARCH(("Yes"),(P127))))</formula>
    </cfRule>
  </conditionalFormatting>
  <conditionalFormatting sqref="P127:Q127">
    <cfRule type="containsText" dxfId="2" priority="32122" operator="containsText" text="Yes">
      <formula>NOT(ISERROR(SEARCH(("Yes"),(P127))))</formula>
    </cfRule>
  </conditionalFormatting>
  <conditionalFormatting sqref="P127:Q127">
    <cfRule type="containsText" dxfId="2" priority="32123" operator="containsText" text="Yes">
      <formula>NOT(ISERROR(SEARCH(("Yes"),(P127))))</formula>
    </cfRule>
  </conditionalFormatting>
  <conditionalFormatting sqref="P127:Q127">
    <cfRule type="containsText" dxfId="2" priority="32124" operator="containsText" text="Yes">
      <formula>NOT(ISERROR(SEARCH(("Yes"),(P127))))</formula>
    </cfRule>
  </conditionalFormatting>
  <conditionalFormatting sqref="P127:Q127">
    <cfRule type="containsText" dxfId="2" priority="32125" operator="containsText" text="Yes">
      <formula>NOT(ISERROR(SEARCH(("Yes"),(P127))))</formula>
    </cfRule>
  </conditionalFormatting>
  <conditionalFormatting sqref="P127:Q127">
    <cfRule type="containsText" dxfId="2" priority="32126" operator="containsText" text="Yes">
      <formula>NOT(ISERROR(SEARCH(("Yes"),(P127))))</formula>
    </cfRule>
  </conditionalFormatting>
  <conditionalFormatting sqref="P127:Q127">
    <cfRule type="containsText" dxfId="2" priority="32127" operator="containsText" text="Yes">
      <formula>NOT(ISERROR(SEARCH(("Yes"),(P127))))</formula>
    </cfRule>
  </conditionalFormatting>
  <conditionalFormatting sqref="P127:Q127">
    <cfRule type="containsText" dxfId="2" priority="32128" operator="containsText" text="Yes">
      <formula>NOT(ISERROR(SEARCH(("Yes"),(P127))))</formula>
    </cfRule>
  </conditionalFormatting>
  <conditionalFormatting sqref="P127:Q127">
    <cfRule type="containsText" dxfId="2" priority="32129" operator="containsText" text="Yes">
      <formula>NOT(ISERROR(SEARCH(("Yes"),(P127))))</formula>
    </cfRule>
  </conditionalFormatting>
  <conditionalFormatting sqref="P128:Q134 P136:Q139 P142:P152 Q142:Q216 O145 P154 P159 P161:P162 P164 P166:P167 P172 P174:P216 U204:V204 P222:Q226 P228:Q252 P254:Q256 P258:Q264 O261:O264 O267:Q269 P272:Q275 O275">
    <cfRule type="containsText" dxfId="9" priority="32130"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31"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32"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33"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34"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35"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36"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37"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38"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39"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40"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41"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42"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43"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44"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45"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46"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47"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48"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49"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50"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51"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52"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53"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54"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55"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56"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57"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58"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59"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60"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61"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62"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63"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64"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65"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66"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67"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68"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69"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70"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71"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72"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73"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9" priority="32174" operator="containsText" text="No">
      <formula>NOT(ISERROR(SEARCH(("No"),(P128))))</formula>
    </cfRule>
  </conditionalFormatting>
  <conditionalFormatting sqref="P128:Q134 P136:Q139 P142:P152 Q142:Q216 O145 P154 P159 P161:P162 P164 P166:P167 P172 P174:P216 U204:V204 P222:Q226 P228:Q252 P254:Q256 P258:Q264 O261:O264 O267:Q269 P272:Q275 O275">
    <cfRule type="containsText" dxfId="2" priority="32175"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76"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77"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78"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79"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80"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81"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82"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83"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84"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85"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86"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87"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88"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89"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90"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91"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92"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93"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94"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95"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96"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97"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98"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199"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00"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01"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02"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03"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04"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05"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06"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07"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08"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09"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10"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11"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12"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13"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14"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15"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16"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17"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18"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19"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20" operator="containsText" text="Yes">
      <formula>NOT(ISERROR(SEARCH(("Yes"),(P128))))</formula>
    </cfRule>
  </conditionalFormatting>
  <conditionalFormatting sqref="P128:Q134 P136:Q139 P142:P152 Q142:Q216 O145 P154 P159 P161:P162 P164 P166:P167 P172 P174:P216 U204:V204 P222:Q226 P228:Q252 P254:Q256 P258:Q264 O261:O264 O267:Q269 P272:Q275 O275">
    <cfRule type="containsText" dxfId="2" priority="32221" operator="containsText" text="Yes">
      <formula>NOT(ISERROR(SEARCH(("Yes"),(P128))))</formula>
    </cfRule>
  </conditionalFormatting>
  <conditionalFormatting sqref="P129:Q134 P136:Q139 P142:P152 Q142:Q216 O145 P154 P159 P161:P162 P164 P166:P167 P172 P174:P216 U204:V204 P222:Q226 P228:Q252 P254:Q256 P258:Q264 O261:O264 O267:Q269 P272:Q275 O275">
    <cfRule type="containsText" dxfId="9" priority="32222"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23"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24"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25"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26"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27"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28"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29"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30"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31"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32"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33"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34"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35"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36"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37"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38"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39"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40"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41"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42"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43"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44"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45"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46"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47"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48"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49"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50"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51"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52"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53"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54"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55"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56"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57"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58"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59"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60"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61"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62"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63"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64"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65"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9" priority="32266" operator="containsText" text="No">
      <formula>NOT(ISERROR(SEARCH(("No"),(P129))))</formula>
    </cfRule>
  </conditionalFormatting>
  <conditionalFormatting sqref="P129:Q134 P136:Q139 P142:P152 Q142:Q216 O145 P154 P159 P161:P162 P164 P166:P167 P172 P174:P216 U204:V204 P222:Q226 P228:Q252 P254:Q256 P258:Q264 O261:O264 O267:Q269 P272:Q275 O275">
    <cfRule type="containsText" dxfId="2" priority="32267"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68"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69"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70"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71"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72"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73"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74"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75"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76"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77"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78"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79"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80"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81"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82"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83"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84"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85"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86"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87"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88"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89"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90"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91"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92"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93"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94"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95"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96"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97"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98"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299"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300"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301"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302"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303"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304"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305"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306"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307"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308"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309"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310"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311"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312" operator="containsText" text="Yes">
      <formula>NOT(ISERROR(SEARCH(("Yes"),(P129))))</formula>
    </cfRule>
  </conditionalFormatting>
  <conditionalFormatting sqref="P129:Q134 P136:Q139 P142:P152 Q142:Q216 O145 P154 P159 P161:P162 P164 P166:P167 P172 P174:P216 U204:V204 P222:Q226 P228:Q252 P254:Q256 P258:Q264 O261:O264 O267:Q269 P272:Q275 O275">
    <cfRule type="containsText" dxfId="2" priority="32313" operator="containsText" text="Yes">
      <formula>NOT(ISERROR(SEARCH(("Yes"),(P129))))</formula>
    </cfRule>
  </conditionalFormatting>
  <conditionalFormatting sqref="P130:Q133 P135:Q152 O145 P154:Q154 P159:Q159 P161:Q162 P164:Q164 P166:Q167 P172:Q172 P174:Q174 P176:Q176 P180:Q182 P184:Q184">
    <cfRule type="containsText" dxfId="9" priority="32314" operator="containsText" text="No">
      <formula>NOT(ISERROR(SEARCH(("No"),(P130))))</formula>
    </cfRule>
  </conditionalFormatting>
  <conditionalFormatting sqref="P130:Q133 P135:Q152 O145 P154:Q154 P159:Q159 P161:Q162 P164:Q164 P166:Q167 P172:Q172 P174:Q174 P176:Q176 P180:Q182 P184:Q184">
    <cfRule type="containsText" dxfId="9" priority="32315" operator="containsText" text="No">
      <formula>NOT(ISERROR(SEARCH(("No"),(P130))))</formula>
    </cfRule>
  </conditionalFormatting>
  <conditionalFormatting sqref="P130:Q133 P135:Q152 O145 P154:Q154 P159:Q159 P161:Q162 P164:Q164 P166:Q167 P172:Q172 P174:Q174 P176:Q176 P180:Q182 P184:Q184">
    <cfRule type="containsText" dxfId="9" priority="32316" operator="containsText" text="No">
      <formula>NOT(ISERROR(SEARCH(("No"),(P130))))</formula>
    </cfRule>
  </conditionalFormatting>
  <conditionalFormatting sqref="P130:Q133 P135:Q152 O145 P154:Q154 P159:Q159 P161:Q162 P164:Q164 P166:Q167 P172:Q172 P174:Q174 P176:Q176 P180:Q182 P184:Q184">
    <cfRule type="containsText" dxfId="9" priority="32317" operator="containsText" text="No">
      <formula>NOT(ISERROR(SEARCH(("No"),(P130))))</formula>
    </cfRule>
  </conditionalFormatting>
  <conditionalFormatting sqref="P130:Q133 P135:Q152 O145 P154:Q154 P159:Q159 P161:Q162 P164:Q164 P166:Q167 P172:Q172 P174:Q174 P176:Q176 P180:Q182 P184:Q184">
    <cfRule type="containsText" dxfId="9" priority="32318" operator="containsText" text="No">
      <formula>NOT(ISERROR(SEARCH(("No"),(P130))))</formula>
    </cfRule>
  </conditionalFormatting>
  <conditionalFormatting sqref="P130:Q133 P135:Q152 O145 P154:Q154 P159:Q159 P161:Q162 P164:Q164 P166:Q167 P172:Q172 P174:Q174 P176:Q176 P180:Q182 P184:Q184">
    <cfRule type="containsText" dxfId="9" priority="32319" operator="containsText" text="No">
      <formula>NOT(ISERROR(SEARCH(("No"),(P130))))</formula>
    </cfRule>
  </conditionalFormatting>
  <conditionalFormatting sqref="P130:Q133 P135:Q152 O145 P154:Q154 P159:Q159 P161:Q162 P164:Q164 P166:Q167 P172:Q172 P174:Q174 P176:Q176 P180:Q182 P184:Q184">
    <cfRule type="containsText" dxfId="9" priority="32320" operator="containsText" text="No">
      <formula>NOT(ISERROR(SEARCH(("No"),(P130))))</formula>
    </cfRule>
  </conditionalFormatting>
  <conditionalFormatting sqref="P130:Q133 P135:Q152 O145 P154:Q154 P159:Q159 P161:Q162 P164:Q164 P166:Q167 P172:Q172 P174:Q174 P176:Q176 P180:Q182 P184:Q184">
    <cfRule type="containsText" dxfId="9" priority="32321" operator="containsText" text="No">
      <formula>NOT(ISERROR(SEARCH(("No"),(P130))))</formula>
    </cfRule>
  </conditionalFormatting>
  <conditionalFormatting sqref="P130:Q133 P135:Q152 O145 P154:Q154 P159:Q159 P161:Q162 P164:Q164 P166:Q167 P172:Q172 P174:Q174 P176:Q176 P180:Q182 P184:Q184">
    <cfRule type="containsText" dxfId="9" priority="32322" operator="containsText" text="No">
      <formula>NOT(ISERROR(SEARCH(("No"),(P130))))</formula>
    </cfRule>
  </conditionalFormatting>
  <conditionalFormatting sqref="P130:Q133 P135:Q152 O145 P154:Q154 P159:Q159 P161:Q162 P164:Q164 P166:Q167 P172:Q172 P174:Q174 P176:Q176 P180:Q182 P184:Q184">
    <cfRule type="containsText" dxfId="9" priority="32323" operator="containsText" text="No">
      <formula>NOT(ISERROR(SEARCH(("No"),(P130))))</formula>
    </cfRule>
  </conditionalFormatting>
  <conditionalFormatting sqref="P130:Q133 P135:Q152 O145 P154:Q154 P159:Q159 P161:Q162 P164:Q164 P166:Q167 P172:Q172 P174:Q174 P176:Q176 P180:Q182 P184:Q184">
    <cfRule type="containsText" dxfId="9" priority="32324" operator="containsText" text="No">
      <formula>NOT(ISERROR(SEARCH(("No"),(P130))))</formula>
    </cfRule>
  </conditionalFormatting>
  <conditionalFormatting sqref="P130:Q133 P135:Q152 O145 P154:Q154 P159:Q159 P161:Q162 P164:Q164 P166:Q167 P172:Q172 P174:Q174 P176:Q176 P180:Q182 P184:Q184">
    <cfRule type="containsText" dxfId="9" priority="32325" operator="containsText" text="No">
      <formula>NOT(ISERROR(SEARCH(("No"),(P130))))</formula>
    </cfRule>
  </conditionalFormatting>
  <conditionalFormatting sqref="P130:Q133 P135:Q152 O145 P154:Q154 P159:Q159 P161:Q162 P164:Q164 P166:Q167 P172:Q172 P174:Q174 P176:Q176 P180:Q182 P184:Q184">
    <cfRule type="containsText" dxfId="9" priority="32326" operator="containsText" text="No">
      <formula>NOT(ISERROR(SEARCH(("No"),(P130))))</formula>
    </cfRule>
  </conditionalFormatting>
  <conditionalFormatting sqref="P130:Q133 P135:Q152 O145 P154:Q154 P159:Q159 P161:Q162 P164:Q164 P166:Q167 P172:Q172 P174:Q174 P176:Q176 P180:Q182 P184:Q184">
    <cfRule type="containsText" dxfId="9" priority="32327" operator="containsText" text="No">
      <formula>NOT(ISERROR(SEARCH(("No"),(P130))))</formula>
    </cfRule>
  </conditionalFormatting>
  <conditionalFormatting sqref="P130:Q133 P135:Q152 O145 P154:Q154 P159:Q159 P161:Q162 P164:Q164 P166:Q167 P172:Q172 P174:Q174 P176:Q176 P180:Q182 P184:Q184">
    <cfRule type="containsText" dxfId="9" priority="32328" operator="containsText" text="No">
      <formula>NOT(ISERROR(SEARCH(("No"),(P130))))</formula>
    </cfRule>
  </conditionalFormatting>
  <conditionalFormatting sqref="P130:Q133 P135:Q152 O145 P154:Q154 P159:Q159 P161:Q162 P164:Q164 P166:Q167 P172:Q172 P174:Q174 P176:Q176 P180:Q182 P184:Q184">
    <cfRule type="containsText" dxfId="9" priority="32329" operator="containsText" text="No">
      <formula>NOT(ISERROR(SEARCH(("No"),(P130))))</formula>
    </cfRule>
  </conditionalFormatting>
  <conditionalFormatting sqref="P130:Q133 P135:Q152 O145 P154:Q154 P159:Q159 P161:Q162 P164:Q164 P166:Q167 P172:Q172 P174:Q174 P176:Q176 P180:Q182 P184:Q184">
    <cfRule type="containsText" dxfId="9" priority="32330" operator="containsText" text="No">
      <formula>NOT(ISERROR(SEARCH(("No"),(P130))))</formula>
    </cfRule>
  </conditionalFormatting>
  <conditionalFormatting sqref="P130:Q133 P135:Q152 O145 P154:Q154 P159:Q159 P161:Q162 P164:Q164 P166:Q167 P172:Q172 P174:Q174 P176:Q176 P180:Q182 P184:Q184">
    <cfRule type="containsText" dxfId="9" priority="32331" operator="containsText" text="No">
      <formula>NOT(ISERROR(SEARCH(("No"),(P130))))</formula>
    </cfRule>
  </conditionalFormatting>
  <conditionalFormatting sqref="P130:Q133 P135:Q152 O145 P154:Q154 P159:Q159 P161:Q162 P164:Q164 P166:Q167 P172:Q172 P174:Q174 P176:Q176 P180:Q182 P184:Q184">
    <cfRule type="containsText" dxfId="9" priority="32332" operator="containsText" text="No">
      <formula>NOT(ISERROR(SEARCH(("No"),(P130))))</formula>
    </cfRule>
  </conditionalFormatting>
  <conditionalFormatting sqref="P130:Q133 P135:Q152 O145 P154:Q154 P159:Q159 P161:Q162 P164:Q164 P166:Q167 P172:Q172 P174:Q174 P176:Q176 P180:Q182 P184:Q184">
    <cfRule type="containsText" dxfId="9" priority="32333" operator="containsText" text="No">
      <formula>NOT(ISERROR(SEARCH(("No"),(P130))))</formula>
    </cfRule>
  </conditionalFormatting>
  <conditionalFormatting sqref="P130:Q133 P135:Q152 O145 P154:Q154 P159:Q159 P161:Q162 P164:Q164 P166:Q167 P172:Q172 P174:Q174 P176:Q176 P180:Q182 P184:Q184">
    <cfRule type="containsText" dxfId="9" priority="32334" operator="containsText" text="No">
      <formula>NOT(ISERROR(SEARCH(("No"),(P130))))</formula>
    </cfRule>
  </conditionalFormatting>
  <conditionalFormatting sqref="P130:Q133 P135:Q152 O145 P154:Q154 P159:Q159 P161:Q162 P164:Q164 P166:Q167 P172:Q172 P174:Q174 P176:Q176 P180:Q182 P184:Q184">
    <cfRule type="containsText" dxfId="9" priority="32335" operator="containsText" text="No">
      <formula>NOT(ISERROR(SEARCH(("No"),(P130))))</formula>
    </cfRule>
  </conditionalFormatting>
  <conditionalFormatting sqref="P130:Q133 P135:Q152 O145 P154:Q154 P159:Q159 P161:Q162 P164:Q164 P166:Q167 P172:Q172 P174:Q174 P176:Q176 P180:Q182 P184:Q184">
    <cfRule type="containsText" dxfId="9" priority="32336" operator="containsText" text="No">
      <formula>NOT(ISERROR(SEARCH(("No"),(P130))))</formula>
    </cfRule>
  </conditionalFormatting>
  <conditionalFormatting sqref="P130:Q133 P135:Q152 O145 P154:Q154 P159:Q159 P161:Q162 P164:Q164 P166:Q167 P172:Q172 P174:Q174 P176:Q176 P180:Q182 P184:Q184">
    <cfRule type="containsText" dxfId="9" priority="32337" operator="containsText" text="No">
      <formula>NOT(ISERROR(SEARCH(("No"),(P130))))</formula>
    </cfRule>
  </conditionalFormatting>
  <conditionalFormatting sqref="P130:Q133 P135:Q152 O145 P154:Q154 P159:Q159 P161:Q162 P164:Q164 P166:Q167 P172:Q172 P174:Q174 P176:Q176 P180:Q182 P184:Q184">
    <cfRule type="containsText" dxfId="9" priority="32338" operator="containsText" text="No">
      <formula>NOT(ISERROR(SEARCH(("No"),(P130))))</formula>
    </cfRule>
  </conditionalFormatting>
  <conditionalFormatting sqref="P130:Q133 P135:Q152 O145 P154:Q154 P159:Q159 P161:Q162 P164:Q164 P166:Q167 P172:Q172 P174:Q174 P176:Q176 P180:Q182 P184:Q184">
    <cfRule type="containsText" dxfId="9" priority="32339" operator="containsText" text="No">
      <formula>NOT(ISERROR(SEARCH(("No"),(P130))))</formula>
    </cfRule>
  </conditionalFormatting>
  <conditionalFormatting sqref="P130:Q133 P135:Q152 O145 P154:Q154 P159:Q159 P161:Q162 P164:Q164 P166:Q167 P172:Q172 P174:Q174 P176:Q176 P180:Q182 P184:Q184">
    <cfRule type="containsText" dxfId="9" priority="32340" operator="containsText" text="No">
      <formula>NOT(ISERROR(SEARCH(("No"),(P130))))</formula>
    </cfRule>
  </conditionalFormatting>
  <conditionalFormatting sqref="P130:Q133 P135:Q152 O145 P154:Q154 P159:Q159 P161:Q162 P164:Q164 P166:Q167 P172:Q172 P174:Q174 P176:Q176 P180:Q182 P184:Q184">
    <cfRule type="containsText" dxfId="9" priority="32341" operator="containsText" text="No">
      <formula>NOT(ISERROR(SEARCH(("No"),(P130))))</formula>
    </cfRule>
  </conditionalFormatting>
  <conditionalFormatting sqref="P130:Q133 P135:Q152 O145 P154:Q154 P159:Q159 P161:Q162 P164:Q164 P166:Q167 P172:Q172 P174:Q174 P176:Q176 P180:Q182 P184:Q184">
    <cfRule type="containsText" dxfId="9" priority="32342" operator="containsText" text="No">
      <formula>NOT(ISERROR(SEARCH(("No"),(P130))))</formula>
    </cfRule>
  </conditionalFormatting>
  <conditionalFormatting sqref="P130:Q133 P135:Q152 O145 P154:Q154 P159:Q159 P161:Q162 P164:Q164 P166:Q167 P172:Q172 P174:Q174 P176:Q176 P180:Q182 P184:Q184">
    <cfRule type="containsText" dxfId="9" priority="32343" operator="containsText" text="No">
      <formula>NOT(ISERROR(SEARCH(("No"),(P130))))</formula>
    </cfRule>
  </conditionalFormatting>
  <conditionalFormatting sqref="P130:Q133 P135:Q152 O145 P154:Q154 P159:Q159 P161:Q162 P164:Q164 P166:Q167 P172:Q172 P174:Q174 P176:Q176 P180:Q182 P184:Q184">
    <cfRule type="containsText" dxfId="9" priority="32344" operator="containsText" text="No">
      <formula>NOT(ISERROR(SEARCH(("No"),(P130))))</formula>
    </cfRule>
  </conditionalFormatting>
  <conditionalFormatting sqref="P130:Q133 P135:Q152 O145 P154:Q154 P159:Q159 P161:Q162 P164:Q164 P166:Q167 P172:Q172 P174:Q174 P176:Q176 P180:Q182 P184:Q184">
    <cfRule type="containsText" dxfId="9" priority="32345" operator="containsText" text="No">
      <formula>NOT(ISERROR(SEARCH(("No"),(P130))))</formula>
    </cfRule>
  </conditionalFormatting>
  <conditionalFormatting sqref="P130:Q133 P135:Q152 O145 P154:Q154 P159:Q159 P161:Q162 P164:Q164 P166:Q167 P172:Q172 P174:Q174 P176:Q176 P180:Q182 P184:Q184">
    <cfRule type="containsText" dxfId="9" priority="32346" operator="containsText" text="No">
      <formula>NOT(ISERROR(SEARCH(("No"),(P130))))</formula>
    </cfRule>
  </conditionalFormatting>
  <conditionalFormatting sqref="P130:Q133 P135:Q152 O145 P154:Q154 P159:Q159 P161:Q162 P164:Q164 P166:Q167 P172:Q172 P174:Q174 P176:Q176 P180:Q182 P184:Q184">
    <cfRule type="containsText" dxfId="9" priority="32347" operator="containsText" text="No">
      <formula>NOT(ISERROR(SEARCH(("No"),(P130))))</formula>
    </cfRule>
  </conditionalFormatting>
  <conditionalFormatting sqref="P130:Q133 P135:Q152 O145 P154:Q154 P159:Q159 P161:Q162 P164:Q164 P166:Q167 P172:Q172 P174:Q174 P176:Q176 P180:Q182 P184:Q184">
    <cfRule type="containsText" dxfId="9" priority="32348" operator="containsText" text="No">
      <formula>NOT(ISERROR(SEARCH(("No"),(P130))))</formula>
    </cfRule>
  </conditionalFormatting>
  <conditionalFormatting sqref="P130:Q133 P135:Q152 O145 P154:Q154 P159:Q159 P161:Q162 P164:Q164 P166:Q167 P172:Q172 P174:Q174 P176:Q176 P180:Q182 P184:Q184">
    <cfRule type="containsText" dxfId="9" priority="32349" operator="containsText" text="No">
      <formula>NOT(ISERROR(SEARCH(("No"),(P130))))</formula>
    </cfRule>
  </conditionalFormatting>
  <conditionalFormatting sqref="P130:Q133 P135:Q152 O145 P154:Q154 P159:Q159 P161:Q162 P164:Q164 P166:Q167 P172:Q172 P174:Q174 P176:Q176 P180:Q182 P184:Q184">
    <cfRule type="containsText" dxfId="9" priority="32350" operator="containsText" text="No">
      <formula>NOT(ISERROR(SEARCH(("No"),(P130))))</formula>
    </cfRule>
  </conditionalFormatting>
  <conditionalFormatting sqref="P130:Q133 P135:Q152 O145 P154:Q154 P159:Q159 P161:Q162 P164:Q164 P166:Q167 P172:Q172 P174:Q174 P176:Q176 P180:Q182 P184:Q184">
    <cfRule type="containsText" dxfId="9" priority="32351" operator="containsText" text="No">
      <formula>NOT(ISERROR(SEARCH(("No"),(P130))))</formula>
    </cfRule>
  </conditionalFormatting>
  <conditionalFormatting sqref="P130:Q133 P135:Q152 O145 P154:Q154 P159:Q159 P161:Q162 P164:Q164 P166:Q167 P172:Q172 P174:Q174 P176:Q176 P180:Q182 P184:Q184">
    <cfRule type="containsText" dxfId="9" priority="32352" operator="containsText" text="No">
      <formula>NOT(ISERROR(SEARCH(("No"),(P130))))</formula>
    </cfRule>
  </conditionalFormatting>
  <conditionalFormatting sqref="P130:Q133 P135:Q152 O145 P154:Q154 P159:Q159 P161:Q162 P164:Q164 P166:Q167 P172:Q172 P174:Q174 P176:Q176 P180:Q182 P184:Q184">
    <cfRule type="containsText" dxfId="9" priority="32353" operator="containsText" text="No">
      <formula>NOT(ISERROR(SEARCH(("No"),(P130))))</formula>
    </cfRule>
  </conditionalFormatting>
  <conditionalFormatting sqref="P130:Q133 P135:Q152 O145 P154:Q154 P159:Q159 P161:Q162 P164:Q164 P166:Q167 P172:Q172 P174:Q174 P176:Q176 P180:Q182 P184:Q184">
    <cfRule type="containsText" dxfId="9" priority="32354" operator="containsText" text="No">
      <formula>NOT(ISERROR(SEARCH(("No"),(P130))))</formula>
    </cfRule>
  </conditionalFormatting>
  <conditionalFormatting sqref="P130:Q133 P135:Q152 O145 P154:Q154 P159:Q159 P161:Q162 P164:Q164 P166:Q167 P172:Q172 P174:Q174 P176:Q176 P180:Q182 P184:Q184">
    <cfRule type="containsText" dxfId="9" priority="32355" operator="containsText" text="No">
      <formula>NOT(ISERROR(SEARCH(("No"),(P130))))</formula>
    </cfRule>
  </conditionalFormatting>
  <conditionalFormatting sqref="P130:Q133 P135:Q152 O145 P154:Q154 P159:Q159 P161:Q162 P164:Q164 P166:Q167 P172:Q172 P174:Q174 P176:Q176 P180:Q182 P184:Q184">
    <cfRule type="containsText" dxfId="9" priority="32356" operator="containsText" text="No">
      <formula>NOT(ISERROR(SEARCH(("No"),(P130))))</formula>
    </cfRule>
  </conditionalFormatting>
  <conditionalFormatting sqref="P130:Q133 P135:Q152 O145 P154:Q154 P159:Q159 P161:Q162 P164:Q164 P166:Q167 P172:Q172 P174:Q174 P176:Q176 P180:Q182 P184:Q184">
    <cfRule type="containsText" dxfId="9" priority="32357" operator="containsText" text="No">
      <formula>NOT(ISERROR(SEARCH(("No"),(P130))))</formula>
    </cfRule>
  </conditionalFormatting>
  <conditionalFormatting sqref="P130:Q133 P135:Q152 O145 P154:Q154 P159:Q159 P161:Q162 P164:Q164 P166:Q167 P172:Q172 P174:Q174 P176:Q176 P180:Q182 P184:Q184">
    <cfRule type="containsText" dxfId="9" priority="32358" operator="containsText" text="No">
      <formula>NOT(ISERROR(SEARCH(("No"),(P130))))</formula>
    </cfRule>
  </conditionalFormatting>
  <conditionalFormatting sqref="P130:Q133 P135:Q152 O145 P154:Q154 P159:Q159 P161:Q162 P164:Q164 P166:Q167 P172:Q172 P174:Q174 P176:Q176 P180:Q182 P184:Q184">
    <cfRule type="containsText" dxfId="2" priority="32359" operator="containsText" text="Yes">
      <formula>NOT(ISERROR(SEARCH(("Yes"),(P130))))</formula>
    </cfRule>
  </conditionalFormatting>
  <conditionalFormatting sqref="P130:Q133 P135:Q152 O145 P154:Q154 P159:Q159 P161:Q162 P164:Q164 P166:Q167 P172:Q172 P174:Q174 P176:Q176 P180:Q182 P184:Q184">
    <cfRule type="containsText" dxfId="2" priority="32360" operator="containsText" text="Yes">
      <formula>NOT(ISERROR(SEARCH(("Yes"),(P130))))</formula>
    </cfRule>
  </conditionalFormatting>
  <conditionalFormatting sqref="P130:Q133 P135:Q152 O145 P154:Q154 P159:Q159 P161:Q162 P164:Q164 P166:Q167 P172:Q172 P174:Q174 P176:Q176 P180:Q182 P184:Q184">
    <cfRule type="containsText" dxfId="2" priority="32361" operator="containsText" text="Yes">
      <formula>NOT(ISERROR(SEARCH(("Yes"),(P130))))</formula>
    </cfRule>
  </conditionalFormatting>
  <conditionalFormatting sqref="P130:Q133 P135:Q152 O145 P154:Q154 P159:Q159 P161:Q162 P164:Q164 P166:Q167 P172:Q172 P174:Q174 P176:Q176 P180:Q182 P184:Q184">
    <cfRule type="containsText" dxfId="2" priority="32362" operator="containsText" text="Yes">
      <formula>NOT(ISERROR(SEARCH(("Yes"),(P130))))</formula>
    </cfRule>
  </conditionalFormatting>
  <conditionalFormatting sqref="P130:Q133 P135:Q152 O145 P154:Q154 P159:Q159 P161:Q162 P164:Q164 P166:Q167 P172:Q172 P174:Q174 P176:Q176 P180:Q182 P184:Q184">
    <cfRule type="containsText" dxfId="2" priority="32363" operator="containsText" text="Yes">
      <formula>NOT(ISERROR(SEARCH(("Yes"),(P130))))</formula>
    </cfRule>
  </conditionalFormatting>
  <conditionalFormatting sqref="P130:Q133 P135:Q152 O145 P154:Q154 P159:Q159 P161:Q162 P164:Q164 P166:Q167 P172:Q172 P174:Q174 P176:Q176 P180:Q182 P184:Q184">
    <cfRule type="containsText" dxfId="2" priority="32364" operator="containsText" text="Yes">
      <formula>NOT(ISERROR(SEARCH(("Yes"),(P130))))</formula>
    </cfRule>
  </conditionalFormatting>
  <conditionalFormatting sqref="P130:Q133 P135:Q152 O145 P154:Q154 P159:Q159 P161:Q162 P164:Q164 P166:Q167 P172:Q172 P174:Q174 P176:Q176 P180:Q182 P184:Q184">
    <cfRule type="containsText" dxfId="2" priority="32365" operator="containsText" text="Yes">
      <formula>NOT(ISERROR(SEARCH(("Yes"),(P130))))</formula>
    </cfRule>
  </conditionalFormatting>
  <conditionalFormatting sqref="P130:Q133 P135:Q152 O145 P154:Q154 P159:Q159 P161:Q162 P164:Q164 P166:Q167 P172:Q172 P174:Q174 P176:Q176 P180:Q182 P184:Q184">
    <cfRule type="containsText" dxfId="2" priority="32366" operator="containsText" text="Yes">
      <formula>NOT(ISERROR(SEARCH(("Yes"),(P130))))</formula>
    </cfRule>
  </conditionalFormatting>
  <conditionalFormatting sqref="P130:Q133 P135:Q152 O145 P154:Q154 P159:Q159 P161:Q162 P164:Q164 P166:Q167 P172:Q172 P174:Q174 P176:Q176 P180:Q182 P184:Q184">
    <cfRule type="containsText" dxfId="2" priority="32367" operator="containsText" text="Yes">
      <formula>NOT(ISERROR(SEARCH(("Yes"),(P130))))</formula>
    </cfRule>
  </conditionalFormatting>
  <conditionalFormatting sqref="P130:Q133 P135:Q152 O145 P154:Q154 P159:Q159 P161:Q162 P164:Q164 P166:Q167 P172:Q172 P174:Q174 P176:Q176 P180:Q182 P184:Q184">
    <cfRule type="containsText" dxfId="2" priority="32368" operator="containsText" text="Yes">
      <formula>NOT(ISERROR(SEARCH(("Yes"),(P130))))</formula>
    </cfRule>
  </conditionalFormatting>
  <conditionalFormatting sqref="P130:Q133 P135:Q152 O145 P154:Q154 P159:Q159 P161:Q162 P164:Q164 P166:Q167 P172:Q172 P174:Q174 P176:Q176 P180:Q182 P184:Q184">
    <cfRule type="containsText" dxfId="2" priority="32369" operator="containsText" text="Yes">
      <formula>NOT(ISERROR(SEARCH(("Yes"),(P130))))</formula>
    </cfRule>
  </conditionalFormatting>
  <conditionalFormatting sqref="P130:Q133 P135:Q152 O145 P154:Q154 P159:Q159 P161:Q162 P164:Q164 P166:Q167 P172:Q172 P174:Q174 P176:Q176 P180:Q182 P184:Q184">
    <cfRule type="containsText" dxfId="2" priority="32370" operator="containsText" text="Yes">
      <formula>NOT(ISERROR(SEARCH(("Yes"),(P130))))</formula>
    </cfRule>
  </conditionalFormatting>
  <conditionalFormatting sqref="P130:Q133 P135:Q152 O145 P154:Q154 P159:Q159 P161:Q162 P164:Q164 P166:Q167 P172:Q172 P174:Q174 P176:Q176 P180:Q182 P184:Q184">
    <cfRule type="containsText" dxfId="2" priority="32371" operator="containsText" text="Yes">
      <formula>NOT(ISERROR(SEARCH(("Yes"),(P130))))</formula>
    </cfRule>
  </conditionalFormatting>
  <conditionalFormatting sqref="P130:Q133 P135:Q152 O145 P154:Q154 P159:Q159 P161:Q162 P164:Q164 P166:Q167 P172:Q172 P174:Q174 P176:Q176 P180:Q182 P184:Q184">
    <cfRule type="containsText" dxfId="2" priority="32372" operator="containsText" text="Yes">
      <formula>NOT(ISERROR(SEARCH(("Yes"),(P130))))</formula>
    </cfRule>
  </conditionalFormatting>
  <conditionalFormatting sqref="P130:Q133 P135:Q152 O145 P154:Q154 P159:Q159 P161:Q162 P164:Q164 P166:Q167 P172:Q172 P174:Q174 P176:Q176 P180:Q182 P184:Q184">
    <cfRule type="containsText" dxfId="2" priority="32373" operator="containsText" text="Yes">
      <formula>NOT(ISERROR(SEARCH(("Yes"),(P130))))</formula>
    </cfRule>
  </conditionalFormatting>
  <conditionalFormatting sqref="P130:Q133 P135:Q152 O145 P154:Q154 P159:Q159 P161:Q162 P164:Q164 P166:Q167 P172:Q172 P174:Q174 P176:Q176 P180:Q182 P184:Q184">
    <cfRule type="containsText" dxfId="2" priority="32374" operator="containsText" text="Yes">
      <formula>NOT(ISERROR(SEARCH(("Yes"),(P130))))</formula>
    </cfRule>
  </conditionalFormatting>
  <conditionalFormatting sqref="P130:Q133 P135:Q152 O145 P154:Q154 P159:Q159 P161:Q162 P164:Q164 P166:Q167 P172:Q172 P174:Q174 P176:Q176 P180:Q182 P184:Q184">
    <cfRule type="containsText" dxfId="2" priority="32375" operator="containsText" text="Yes">
      <formula>NOT(ISERROR(SEARCH(("Yes"),(P130))))</formula>
    </cfRule>
  </conditionalFormatting>
  <conditionalFormatting sqref="P130:Q133 P135:Q152 O145 P154:Q154 P159:Q159 P161:Q162 P164:Q164 P166:Q167 P172:Q172 P174:Q174 P176:Q176 P180:Q182 P184:Q184">
    <cfRule type="containsText" dxfId="2" priority="32376" operator="containsText" text="Yes">
      <formula>NOT(ISERROR(SEARCH(("Yes"),(P130))))</formula>
    </cfRule>
  </conditionalFormatting>
  <conditionalFormatting sqref="P130:Q133 P135:Q152 O145 P154:Q154 P159:Q159 P161:Q162 P164:Q164 P166:Q167 P172:Q172 P174:Q174 P176:Q176 P180:Q182 P184:Q184">
    <cfRule type="containsText" dxfId="2" priority="32377" operator="containsText" text="Yes">
      <formula>NOT(ISERROR(SEARCH(("Yes"),(P130))))</formula>
    </cfRule>
  </conditionalFormatting>
  <conditionalFormatting sqref="P130:Q133 P135:Q152 O145 P154:Q154 P159:Q159 P161:Q162 P164:Q164 P166:Q167 P172:Q172 P174:Q174 P176:Q176 P180:Q182 P184:Q184">
    <cfRule type="containsText" dxfId="2" priority="32378" operator="containsText" text="Yes">
      <formula>NOT(ISERROR(SEARCH(("Yes"),(P130))))</formula>
    </cfRule>
  </conditionalFormatting>
  <conditionalFormatting sqref="P130:Q133 P135:Q152 O145 P154:Q154 P159:Q159 P161:Q162 P164:Q164 P166:Q167 P172:Q172 P174:Q174 P176:Q176 P180:Q182 P184:Q184">
    <cfRule type="containsText" dxfId="2" priority="32379" operator="containsText" text="Yes">
      <formula>NOT(ISERROR(SEARCH(("Yes"),(P130))))</formula>
    </cfRule>
  </conditionalFormatting>
  <conditionalFormatting sqref="P130:Q133 P135:Q152 O145 P154:Q154 P159:Q159 P161:Q162 P164:Q164 P166:Q167 P172:Q172 P174:Q174 P176:Q176 P180:Q182 P184:Q184">
    <cfRule type="containsText" dxfId="2" priority="32380" operator="containsText" text="Yes">
      <formula>NOT(ISERROR(SEARCH(("Yes"),(P130))))</formula>
    </cfRule>
  </conditionalFormatting>
  <conditionalFormatting sqref="P130:Q133 P135:Q152 O145 P154:Q154 P159:Q159 P161:Q162 P164:Q164 P166:Q167 P172:Q172 P174:Q174 P176:Q176 P180:Q182 P184:Q184">
    <cfRule type="containsText" dxfId="2" priority="32381" operator="containsText" text="Yes">
      <formula>NOT(ISERROR(SEARCH(("Yes"),(P130))))</formula>
    </cfRule>
  </conditionalFormatting>
  <conditionalFormatting sqref="P130:Q133 P135:Q152 O145 P154:Q154 P159:Q159 P161:Q162 P164:Q164 P166:Q167 P172:Q172 P174:Q174 P176:Q176 P180:Q182 P184:Q184">
    <cfRule type="containsText" dxfId="2" priority="32382" operator="containsText" text="Yes">
      <formula>NOT(ISERROR(SEARCH(("Yes"),(P130))))</formula>
    </cfRule>
  </conditionalFormatting>
  <conditionalFormatting sqref="P130:Q133 P135:Q152 O145 P154:Q154 P159:Q159 P161:Q162 P164:Q164 P166:Q167 P172:Q172 P174:Q174 P176:Q176 P180:Q182 P184:Q184">
    <cfRule type="containsText" dxfId="2" priority="32383" operator="containsText" text="Yes">
      <formula>NOT(ISERROR(SEARCH(("Yes"),(P130))))</formula>
    </cfRule>
  </conditionalFormatting>
  <conditionalFormatting sqref="P130:Q133 P135:Q152 O145 P154:Q154 P159:Q159 P161:Q162 P164:Q164 P166:Q167 P172:Q172 P174:Q174 P176:Q176 P180:Q182 P184:Q184">
    <cfRule type="containsText" dxfId="2" priority="32384" operator="containsText" text="Yes">
      <formula>NOT(ISERROR(SEARCH(("Yes"),(P130))))</formula>
    </cfRule>
  </conditionalFormatting>
  <conditionalFormatting sqref="P130:Q133 P135:Q152 O145 P154:Q154 P159:Q159 P161:Q162 P164:Q164 P166:Q167 P172:Q172 P174:Q174 P176:Q176 P180:Q182 P184:Q184">
    <cfRule type="containsText" dxfId="2" priority="32385" operator="containsText" text="Yes">
      <formula>NOT(ISERROR(SEARCH(("Yes"),(P130))))</formula>
    </cfRule>
  </conditionalFormatting>
  <conditionalFormatting sqref="P130:Q133 P135:Q152 O145 P154:Q154 P159:Q159 P161:Q162 P164:Q164 P166:Q167 P172:Q172 P174:Q174 P176:Q176 P180:Q182 P184:Q184">
    <cfRule type="containsText" dxfId="2" priority="32386" operator="containsText" text="Yes">
      <formula>NOT(ISERROR(SEARCH(("Yes"),(P130))))</formula>
    </cfRule>
  </conditionalFormatting>
  <conditionalFormatting sqref="P130:Q133 P135:Q152 O145 P154:Q154 P159:Q159 P161:Q162 P164:Q164 P166:Q167 P172:Q172 P174:Q174 P176:Q176 P180:Q182 P184:Q184">
    <cfRule type="containsText" dxfId="2" priority="32387" operator="containsText" text="Yes">
      <formula>NOT(ISERROR(SEARCH(("Yes"),(P130))))</formula>
    </cfRule>
  </conditionalFormatting>
  <conditionalFormatting sqref="P130:Q133 P135:Q152 O145 P154:Q154 P159:Q159 P161:Q162 P164:Q164 P166:Q167 P172:Q172 P174:Q174 P176:Q176 P180:Q182 P184:Q184">
    <cfRule type="containsText" dxfId="2" priority="32388" operator="containsText" text="Yes">
      <formula>NOT(ISERROR(SEARCH(("Yes"),(P130))))</formula>
    </cfRule>
  </conditionalFormatting>
  <conditionalFormatting sqref="P130:Q133 P135:Q152 O145 P154:Q154 P159:Q159 P161:Q162 P164:Q164 P166:Q167 P172:Q172 P174:Q174 P176:Q176 P180:Q182 P184:Q184">
    <cfRule type="containsText" dxfId="2" priority="32389" operator="containsText" text="Yes">
      <formula>NOT(ISERROR(SEARCH(("Yes"),(P130))))</formula>
    </cfRule>
  </conditionalFormatting>
  <conditionalFormatting sqref="P130:Q133 P135:Q152 O145 P154:Q154 P159:Q159 P161:Q162 P164:Q164 P166:Q167 P172:Q172 P174:Q174 P176:Q176 P180:Q182 P184:Q184">
    <cfRule type="containsText" dxfId="2" priority="32390" operator="containsText" text="Yes">
      <formula>NOT(ISERROR(SEARCH(("Yes"),(P130))))</formula>
    </cfRule>
  </conditionalFormatting>
  <conditionalFormatting sqref="P130:Q133 P135:Q152 O145 P154:Q154 P159:Q159 P161:Q162 P164:Q164 P166:Q167 P172:Q172 P174:Q174 P176:Q176 P180:Q182 P184:Q184">
    <cfRule type="containsText" dxfId="2" priority="32391" operator="containsText" text="Yes">
      <formula>NOT(ISERROR(SEARCH(("Yes"),(P130))))</formula>
    </cfRule>
  </conditionalFormatting>
  <conditionalFormatting sqref="P130:Q133 P135:Q152 O145 P154:Q154 P159:Q159 P161:Q162 P164:Q164 P166:Q167 P172:Q172 P174:Q174 P176:Q176 P180:Q182 P184:Q184">
    <cfRule type="containsText" dxfId="2" priority="32392" operator="containsText" text="Yes">
      <formula>NOT(ISERROR(SEARCH(("Yes"),(P130))))</formula>
    </cfRule>
  </conditionalFormatting>
  <conditionalFormatting sqref="P130:Q133 P135:Q152 O145 P154:Q154 P159:Q159 P161:Q162 P164:Q164 P166:Q167 P172:Q172 P174:Q174 P176:Q176 P180:Q182 P184:Q184">
    <cfRule type="containsText" dxfId="2" priority="32393" operator="containsText" text="Yes">
      <formula>NOT(ISERROR(SEARCH(("Yes"),(P130))))</formula>
    </cfRule>
  </conditionalFormatting>
  <conditionalFormatting sqref="P130:Q133 P135:Q152 O145 P154:Q154 P159:Q159 P161:Q162 P164:Q164 P166:Q167 P172:Q172 P174:Q174 P176:Q176 P180:Q182 P184:Q184">
    <cfRule type="containsText" dxfId="2" priority="32394" operator="containsText" text="Yes">
      <formula>NOT(ISERROR(SEARCH(("Yes"),(P130))))</formula>
    </cfRule>
  </conditionalFormatting>
  <conditionalFormatting sqref="P130:Q133 P135:Q152 O145 P154:Q154 P159:Q159 P161:Q162 P164:Q164 P166:Q167 P172:Q172 P174:Q174 P176:Q176 P180:Q182 P184:Q184">
    <cfRule type="containsText" dxfId="2" priority="32395" operator="containsText" text="Yes">
      <formula>NOT(ISERROR(SEARCH(("Yes"),(P130))))</formula>
    </cfRule>
  </conditionalFormatting>
  <conditionalFormatting sqref="P130:Q133 P135:Q152 O145 P154:Q154 P159:Q159 P161:Q162 P164:Q164 P166:Q167 P172:Q172 P174:Q174 P176:Q176 P180:Q182 P184:Q184">
    <cfRule type="containsText" dxfId="2" priority="32396" operator="containsText" text="Yes">
      <formula>NOT(ISERROR(SEARCH(("Yes"),(P130))))</formula>
    </cfRule>
  </conditionalFormatting>
  <conditionalFormatting sqref="P130:Q133 P135:Q152 O145 P154:Q154 P159:Q159 P161:Q162 P164:Q164 P166:Q167 P172:Q172 P174:Q174 P176:Q176 P180:Q182 P184:Q184">
    <cfRule type="containsText" dxfId="2" priority="32397" operator="containsText" text="Yes">
      <formula>NOT(ISERROR(SEARCH(("Yes"),(P130))))</formula>
    </cfRule>
  </conditionalFormatting>
  <conditionalFormatting sqref="P130:Q133 P135:Q152 O145 P154:Q154 P159:Q159 P161:Q162 P164:Q164 P166:Q167 P172:Q172 P174:Q174 P176:Q176 P180:Q182 P184:Q184">
    <cfRule type="containsText" dxfId="2" priority="32398" operator="containsText" text="Yes">
      <formula>NOT(ISERROR(SEARCH(("Yes"),(P130))))</formula>
    </cfRule>
  </conditionalFormatting>
  <conditionalFormatting sqref="P130:Q133 P135:Q152 O145 P154:Q154 P159:Q159 P161:Q162 P164:Q164 P166:Q167 P172:Q172 P174:Q174 P176:Q176 P180:Q182 P184:Q184">
    <cfRule type="containsText" dxfId="2" priority="32399" operator="containsText" text="Yes">
      <formula>NOT(ISERROR(SEARCH(("Yes"),(P130))))</formula>
    </cfRule>
  </conditionalFormatting>
  <conditionalFormatting sqref="P130:Q133 P135:Q152 O145 P154:Q154 P159:Q159 P161:Q162 P164:Q164 P166:Q167 P172:Q172 P174:Q174 P176:Q176 P180:Q182 P184:Q184">
    <cfRule type="containsText" dxfId="2" priority="32400" operator="containsText" text="Yes">
      <formula>NOT(ISERROR(SEARCH(("Yes"),(P130))))</formula>
    </cfRule>
  </conditionalFormatting>
  <conditionalFormatting sqref="P130:Q133 P135:Q152 O145 P154:Q154 P159:Q159 P161:Q162 P164:Q164 P166:Q167 P172:Q172 P174:Q174 P176:Q176 P180:Q182 P184:Q184">
    <cfRule type="containsText" dxfId="2" priority="32401" operator="containsText" text="Yes">
      <formula>NOT(ISERROR(SEARCH(("Yes"),(P130))))</formula>
    </cfRule>
  </conditionalFormatting>
  <conditionalFormatting sqref="P130:Q133 P135:Q152 O145 P154:Q154 P159:Q159 P161:Q162 P164:Q164 P166:Q167 P172:Q172 P174:Q174 P176:Q176 P180:Q182 P184:Q184">
    <cfRule type="containsText" dxfId="2" priority="32402" operator="containsText" text="Yes">
      <formula>NOT(ISERROR(SEARCH(("Yes"),(P130))))</formula>
    </cfRule>
  </conditionalFormatting>
  <conditionalFormatting sqref="P130:Q133 P135:Q152 O145 P154:Q154 P159:Q159 P161:Q162 P164:Q164 P166:Q167 P172:Q172 P174:Q174 P176:Q176 P180:Q182 P184:Q184">
    <cfRule type="containsText" dxfId="2" priority="32403" operator="containsText" text="Yes">
      <formula>NOT(ISERROR(SEARCH(("Yes"),(P130))))</formula>
    </cfRule>
  </conditionalFormatting>
  <conditionalFormatting sqref="P130:Q133 P135:Q152 O145 P154:Q154 P159:Q159 P161:Q162 P164:Q164 P166:Q167 P172:Q172 P174:Q174 P176:Q176 P180:Q182 P184:Q184">
    <cfRule type="containsText" dxfId="2" priority="32404" operator="containsText" text="Yes">
      <formula>NOT(ISERROR(SEARCH(("Yes"),(P130))))</formula>
    </cfRule>
  </conditionalFormatting>
  <conditionalFormatting sqref="P130:Q133 P135:Q152 O145 P154:Q154 P159:Q159 P161:Q162 P164:Q164 P166:Q167 P172:Q172 P174:Q174 P176:Q176 P180:Q182 P184:Q184">
    <cfRule type="containsText" dxfId="2" priority="32405" operator="containsText" text="Yes">
      <formula>NOT(ISERROR(SEARCH(("Yes"),(P130))))</formula>
    </cfRule>
  </conditionalFormatting>
  <conditionalFormatting sqref="P131:Q133 P135:Q152 O145 P154:Q154 P159:Q159 P161:Q162 P164:Q164 P166:Q167 P172:Q172 P174:Q174 P176:Q176 P180:Q182 P184:Q184">
    <cfRule type="containsText" dxfId="9" priority="32406" operator="containsText" text="No">
      <formula>NOT(ISERROR(SEARCH(("No"),(P131))))</formula>
    </cfRule>
  </conditionalFormatting>
  <conditionalFormatting sqref="P131:Q133 P135:Q152 O145 P154:Q154 P159:Q159 P161:Q162 P164:Q164 P166:Q167 P172:Q172 P174:Q174 P176:Q176 P180:Q182 P184:Q184">
    <cfRule type="containsText" dxfId="9" priority="32407" operator="containsText" text="No">
      <formula>NOT(ISERROR(SEARCH(("No"),(P131))))</formula>
    </cfRule>
  </conditionalFormatting>
  <conditionalFormatting sqref="P131:Q133 P135:Q152 O145 P154:Q154 P159:Q159 P161:Q162 P164:Q164 P166:Q167 P172:Q172 P174:Q174 P176:Q176 P180:Q182 P184:Q184">
    <cfRule type="containsText" dxfId="9" priority="32408" operator="containsText" text="No">
      <formula>NOT(ISERROR(SEARCH(("No"),(P131))))</formula>
    </cfRule>
  </conditionalFormatting>
  <conditionalFormatting sqref="P131:Q133 P135:Q152 O145 P154:Q154 P159:Q159 P161:Q162 P164:Q164 P166:Q167 P172:Q172 P174:Q174 P176:Q176 P180:Q182 P184:Q184">
    <cfRule type="containsText" dxfId="9" priority="32409" operator="containsText" text="No">
      <formula>NOT(ISERROR(SEARCH(("No"),(P131))))</formula>
    </cfRule>
  </conditionalFormatting>
  <conditionalFormatting sqref="P131:Q133 P135:Q152 O145 P154:Q154 P159:Q159 P161:Q162 P164:Q164 P166:Q167 P172:Q172 P174:Q174 P176:Q176 P180:Q182 P184:Q184">
    <cfRule type="containsText" dxfId="9" priority="32410" operator="containsText" text="No">
      <formula>NOT(ISERROR(SEARCH(("No"),(P131))))</formula>
    </cfRule>
  </conditionalFormatting>
  <conditionalFormatting sqref="P131:Q133 P135:Q152 O145 P154:Q154 P159:Q159 P161:Q162 P164:Q164 P166:Q167 P172:Q172 P174:Q174 P176:Q176 P180:Q182 P184:Q184">
    <cfRule type="containsText" dxfId="9" priority="32411" operator="containsText" text="No">
      <formula>NOT(ISERROR(SEARCH(("No"),(P131))))</formula>
    </cfRule>
  </conditionalFormatting>
  <conditionalFormatting sqref="P131:Q133 P135:Q152 O145 P154:Q154 P159:Q159 P161:Q162 P164:Q164 P166:Q167 P172:Q172 P174:Q174 P176:Q176 P180:Q182 P184:Q184">
    <cfRule type="containsText" dxfId="9" priority="32412" operator="containsText" text="No">
      <formula>NOT(ISERROR(SEARCH(("No"),(P131))))</formula>
    </cfRule>
  </conditionalFormatting>
  <conditionalFormatting sqref="P131:Q133 P135:Q152 O145 P154:Q154 P159:Q159 P161:Q162 P164:Q164 P166:Q167 P172:Q172 P174:Q174 P176:Q176 P180:Q182 P184:Q184">
    <cfRule type="containsText" dxfId="9" priority="32413" operator="containsText" text="No">
      <formula>NOT(ISERROR(SEARCH(("No"),(P131))))</formula>
    </cfRule>
  </conditionalFormatting>
  <conditionalFormatting sqref="P131:Q133 P135:Q152 O145 P154:Q154 P159:Q159 P161:Q162 P164:Q164 P166:Q167 P172:Q172 P174:Q174 P176:Q176 P180:Q182 P184:Q184">
    <cfRule type="containsText" dxfId="9" priority="32414" operator="containsText" text="No">
      <formula>NOT(ISERROR(SEARCH(("No"),(P131))))</formula>
    </cfRule>
  </conditionalFormatting>
  <conditionalFormatting sqref="P131:Q133 P135:Q152 O145 P154:Q154 P159:Q159 P161:Q162 P164:Q164 P166:Q167 P172:Q172 P174:Q174 P176:Q176 P180:Q182 P184:Q184">
    <cfRule type="containsText" dxfId="9" priority="32415" operator="containsText" text="No">
      <formula>NOT(ISERROR(SEARCH(("No"),(P131))))</formula>
    </cfRule>
  </conditionalFormatting>
  <conditionalFormatting sqref="P131:Q133 P135:Q152 O145 P154:Q154 P159:Q159 P161:Q162 P164:Q164 P166:Q167 P172:Q172 P174:Q174 P176:Q176 P180:Q182 P184:Q184">
    <cfRule type="containsText" dxfId="9" priority="32416" operator="containsText" text="No">
      <formula>NOT(ISERROR(SEARCH(("No"),(P131))))</formula>
    </cfRule>
  </conditionalFormatting>
  <conditionalFormatting sqref="P131:Q133 P135:Q152 O145 P154:Q154 P159:Q159 P161:Q162 P164:Q164 P166:Q167 P172:Q172 P174:Q174 P176:Q176 P180:Q182 P184:Q184">
    <cfRule type="containsText" dxfId="9" priority="32417" operator="containsText" text="No">
      <formula>NOT(ISERROR(SEARCH(("No"),(P131))))</formula>
    </cfRule>
  </conditionalFormatting>
  <conditionalFormatting sqref="P131:Q133 P135:Q152 O145 P154:Q154 P159:Q159 P161:Q162 P164:Q164 P166:Q167 P172:Q172 P174:Q174 P176:Q176 P180:Q182 P184:Q184">
    <cfRule type="containsText" dxfId="9" priority="32418" operator="containsText" text="No">
      <formula>NOT(ISERROR(SEARCH(("No"),(P131))))</formula>
    </cfRule>
  </conditionalFormatting>
  <conditionalFormatting sqref="P131:Q133 P135:Q152 O145 P154:Q154 P159:Q159 P161:Q162 P164:Q164 P166:Q167 P172:Q172 P174:Q174 P176:Q176 P180:Q182 P184:Q184">
    <cfRule type="containsText" dxfId="9" priority="32419" operator="containsText" text="No">
      <formula>NOT(ISERROR(SEARCH(("No"),(P131))))</formula>
    </cfRule>
  </conditionalFormatting>
  <conditionalFormatting sqref="P131:Q133 P135:Q152 O145 P154:Q154 P159:Q159 P161:Q162 P164:Q164 P166:Q167 P172:Q172 P174:Q174 P176:Q176 P180:Q182 P184:Q184">
    <cfRule type="containsText" dxfId="9" priority="32420" operator="containsText" text="No">
      <formula>NOT(ISERROR(SEARCH(("No"),(P131))))</formula>
    </cfRule>
  </conditionalFormatting>
  <conditionalFormatting sqref="P131:Q133 P135:Q152 O145 P154:Q154 P159:Q159 P161:Q162 P164:Q164 P166:Q167 P172:Q172 P174:Q174 P176:Q176 P180:Q182 P184:Q184">
    <cfRule type="containsText" dxfId="9" priority="32421" operator="containsText" text="No">
      <formula>NOT(ISERROR(SEARCH(("No"),(P131))))</formula>
    </cfRule>
  </conditionalFormatting>
  <conditionalFormatting sqref="P131:Q133 P135:Q152 O145 P154:Q154 P159:Q159 P161:Q162 P164:Q164 P166:Q167 P172:Q172 P174:Q174 P176:Q176 P180:Q182 P184:Q184">
    <cfRule type="containsText" dxfId="9" priority="32422" operator="containsText" text="No">
      <formula>NOT(ISERROR(SEARCH(("No"),(P131))))</formula>
    </cfRule>
  </conditionalFormatting>
  <conditionalFormatting sqref="P131:Q133 P135:Q152 O145 P154:Q154 P159:Q159 P161:Q162 P164:Q164 P166:Q167 P172:Q172 P174:Q174 P176:Q176 P180:Q182 P184:Q184">
    <cfRule type="containsText" dxfId="9" priority="32423" operator="containsText" text="No">
      <formula>NOT(ISERROR(SEARCH(("No"),(P131))))</formula>
    </cfRule>
  </conditionalFormatting>
  <conditionalFormatting sqref="P131:Q133 P135:Q152 O145 P154:Q154 P159:Q159 P161:Q162 P164:Q164 P166:Q167 P172:Q172 P174:Q174 P176:Q176 P180:Q182 P184:Q184">
    <cfRule type="containsText" dxfId="9" priority="32424" operator="containsText" text="No">
      <formula>NOT(ISERROR(SEARCH(("No"),(P131))))</formula>
    </cfRule>
  </conditionalFormatting>
  <conditionalFormatting sqref="P131:Q133 P135:Q152 O145 P154:Q154 P159:Q159 P161:Q162 P164:Q164 P166:Q167 P172:Q172 P174:Q174 P176:Q176 P180:Q182 P184:Q184">
    <cfRule type="containsText" dxfId="9" priority="32425" operator="containsText" text="No">
      <formula>NOT(ISERROR(SEARCH(("No"),(P131))))</formula>
    </cfRule>
  </conditionalFormatting>
  <conditionalFormatting sqref="P131:Q133 P135:Q152 O145 P154:Q154 P159:Q159 P161:Q162 P164:Q164 P166:Q167 P172:Q172 P174:Q174 P176:Q176 P180:Q182 P184:Q184">
    <cfRule type="containsText" dxfId="9" priority="32426" operator="containsText" text="No">
      <formula>NOT(ISERROR(SEARCH(("No"),(P131))))</formula>
    </cfRule>
  </conditionalFormatting>
  <conditionalFormatting sqref="P131:Q133 P135:Q152 O145 P154:Q154 P159:Q159 P161:Q162 P164:Q164 P166:Q167 P172:Q172 P174:Q174 P176:Q176 P180:Q182 P184:Q184">
    <cfRule type="containsText" dxfId="9" priority="32427" operator="containsText" text="No">
      <formula>NOT(ISERROR(SEARCH(("No"),(P131))))</formula>
    </cfRule>
  </conditionalFormatting>
  <conditionalFormatting sqref="P131:Q133 P135:Q152 O145 P154:Q154 P159:Q159 P161:Q162 P164:Q164 P166:Q167 P172:Q172 P174:Q174 P176:Q176 P180:Q182 P184:Q184">
    <cfRule type="containsText" dxfId="9" priority="32428" operator="containsText" text="No">
      <formula>NOT(ISERROR(SEARCH(("No"),(P131))))</formula>
    </cfRule>
  </conditionalFormatting>
  <conditionalFormatting sqref="P131:Q133 P135:Q152 O145 P154:Q154 P159:Q159 P161:Q162 P164:Q164 P166:Q167 P172:Q172 P174:Q174 P176:Q176 P180:Q182 P184:Q184">
    <cfRule type="containsText" dxfId="9" priority="32429" operator="containsText" text="No">
      <formula>NOT(ISERROR(SEARCH(("No"),(P131))))</formula>
    </cfRule>
  </conditionalFormatting>
  <conditionalFormatting sqref="P131:Q133 P135:Q152 O145 P154:Q154 P159:Q159 P161:Q162 P164:Q164 P166:Q167 P172:Q172 P174:Q174 P176:Q176 P180:Q182 P184:Q184">
    <cfRule type="containsText" dxfId="9" priority="32430" operator="containsText" text="No">
      <formula>NOT(ISERROR(SEARCH(("No"),(P131))))</formula>
    </cfRule>
  </conditionalFormatting>
  <conditionalFormatting sqref="P131:Q133 P135:Q152 O145 P154:Q154 P159:Q159 P161:Q162 P164:Q164 P166:Q167 P172:Q172 P174:Q174 P176:Q176 P180:Q182 P184:Q184">
    <cfRule type="containsText" dxfId="9" priority="32431" operator="containsText" text="No">
      <formula>NOT(ISERROR(SEARCH(("No"),(P131))))</formula>
    </cfRule>
  </conditionalFormatting>
  <conditionalFormatting sqref="P131:Q133 P135:Q152 O145 P154:Q154 P159:Q159 P161:Q162 P164:Q164 P166:Q167 P172:Q172 P174:Q174 P176:Q176 P180:Q182 P184:Q184">
    <cfRule type="containsText" dxfId="9" priority="32432" operator="containsText" text="No">
      <formula>NOT(ISERROR(SEARCH(("No"),(P131))))</formula>
    </cfRule>
  </conditionalFormatting>
  <conditionalFormatting sqref="P131:Q133 P135:Q152 O145 P154:Q154 P159:Q159 P161:Q162 P164:Q164 P166:Q167 P172:Q172 P174:Q174 P176:Q176 P180:Q182 P184:Q184">
    <cfRule type="containsText" dxfId="9" priority="32433" operator="containsText" text="No">
      <formula>NOT(ISERROR(SEARCH(("No"),(P131))))</formula>
    </cfRule>
  </conditionalFormatting>
  <conditionalFormatting sqref="P131:Q133 P135:Q152 O145 P154:Q154 P159:Q159 P161:Q162 P164:Q164 P166:Q167 P172:Q172 P174:Q174 P176:Q176 P180:Q182 P184:Q184">
    <cfRule type="containsText" dxfId="9" priority="32434" operator="containsText" text="No">
      <formula>NOT(ISERROR(SEARCH(("No"),(P131))))</formula>
    </cfRule>
  </conditionalFormatting>
  <conditionalFormatting sqref="P131:Q133 P135:Q152 O145 P154:Q154 P159:Q159 P161:Q162 P164:Q164 P166:Q167 P172:Q172 P174:Q174 P176:Q176 P180:Q182 P184:Q184">
    <cfRule type="containsText" dxfId="9" priority="32435" operator="containsText" text="No">
      <formula>NOT(ISERROR(SEARCH(("No"),(P131))))</formula>
    </cfRule>
  </conditionalFormatting>
  <conditionalFormatting sqref="P131:Q133 P135:Q152 O145 P154:Q154 P159:Q159 P161:Q162 P164:Q164 P166:Q167 P172:Q172 P174:Q174 P176:Q176 P180:Q182 P184:Q184">
    <cfRule type="containsText" dxfId="9" priority="32436" operator="containsText" text="No">
      <formula>NOT(ISERROR(SEARCH(("No"),(P131))))</formula>
    </cfRule>
  </conditionalFormatting>
  <conditionalFormatting sqref="P131:Q133 P135:Q152 O145 P154:Q154 P159:Q159 P161:Q162 P164:Q164 P166:Q167 P172:Q172 P174:Q174 P176:Q176 P180:Q182 P184:Q184">
    <cfRule type="containsText" dxfId="9" priority="32437" operator="containsText" text="No">
      <formula>NOT(ISERROR(SEARCH(("No"),(P131))))</formula>
    </cfRule>
  </conditionalFormatting>
  <conditionalFormatting sqref="P131:Q133 P135:Q152 O145 P154:Q154 P159:Q159 P161:Q162 P164:Q164 P166:Q167 P172:Q172 P174:Q174 P176:Q176 P180:Q182 P184:Q184">
    <cfRule type="containsText" dxfId="9" priority="32438" operator="containsText" text="No">
      <formula>NOT(ISERROR(SEARCH(("No"),(P131))))</formula>
    </cfRule>
  </conditionalFormatting>
  <conditionalFormatting sqref="P131:Q133 P135:Q152 O145 P154:Q154 P159:Q159 P161:Q162 P164:Q164 P166:Q167 P172:Q172 P174:Q174 P176:Q176 P180:Q182 P184:Q184">
    <cfRule type="containsText" dxfId="9" priority="32439" operator="containsText" text="No">
      <formula>NOT(ISERROR(SEARCH(("No"),(P131))))</formula>
    </cfRule>
  </conditionalFormatting>
  <conditionalFormatting sqref="P131:Q133 P135:Q152 O145 P154:Q154 P159:Q159 P161:Q162 P164:Q164 P166:Q167 P172:Q172 P174:Q174 P176:Q176 P180:Q182 P184:Q184">
    <cfRule type="containsText" dxfId="9" priority="32440" operator="containsText" text="No">
      <formula>NOT(ISERROR(SEARCH(("No"),(P131))))</formula>
    </cfRule>
  </conditionalFormatting>
  <conditionalFormatting sqref="P131:Q133 P135:Q152 O145 P154:Q154 P159:Q159 P161:Q162 P164:Q164 P166:Q167 P172:Q172 P174:Q174 P176:Q176 P180:Q182 P184:Q184">
    <cfRule type="containsText" dxfId="9" priority="32441" operator="containsText" text="No">
      <formula>NOT(ISERROR(SEARCH(("No"),(P131))))</formula>
    </cfRule>
  </conditionalFormatting>
  <conditionalFormatting sqref="P131:Q133 P135:Q152 O145 P154:Q154 P159:Q159 P161:Q162 P164:Q164 P166:Q167 P172:Q172 P174:Q174 P176:Q176 P180:Q182 P184:Q184">
    <cfRule type="containsText" dxfId="9" priority="32442" operator="containsText" text="No">
      <formula>NOT(ISERROR(SEARCH(("No"),(P131))))</formula>
    </cfRule>
  </conditionalFormatting>
  <conditionalFormatting sqref="P131:Q133 P135:Q152 O145 P154:Q154 P159:Q159 P161:Q162 P164:Q164 P166:Q167 P172:Q172 P174:Q174 P176:Q176 P180:Q182 P184:Q184">
    <cfRule type="containsText" dxfId="9" priority="32443" operator="containsText" text="No">
      <formula>NOT(ISERROR(SEARCH(("No"),(P131))))</formula>
    </cfRule>
  </conditionalFormatting>
  <conditionalFormatting sqref="P131:Q133 P135:Q152 O145 P154:Q154 P159:Q159 P161:Q162 P164:Q164 P166:Q167 P172:Q172 P174:Q174 P176:Q176 P180:Q182 P184:Q184">
    <cfRule type="containsText" dxfId="9" priority="32444" operator="containsText" text="No">
      <formula>NOT(ISERROR(SEARCH(("No"),(P131))))</formula>
    </cfRule>
  </conditionalFormatting>
  <conditionalFormatting sqref="P131:Q133 P135:Q152 O145 P154:Q154 P159:Q159 P161:Q162 P164:Q164 P166:Q167 P172:Q172 P174:Q174 P176:Q176 P180:Q182 P184:Q184">
    <cfRule type="containsText" dxfId="9" priority="32445" operator="containsText" text="No">
      <formula>NOT(ISERROR(SEARCH(("No"),(P131))))</formula>
    </cfRule>
  </conditionalFormatting>
  <conditionalFormatting sqref="P131:Q133 P135:Q152 O145 P154:Q154 P159:Q159 P161:Q162 P164:Q164 P166:Q167 P172:Q172 P174:Q174 P176:Q176 P180:Q182 P184:Q184">
    <cfRule type="containsText" dxfId="9" priority="32446" operator="containsText" text="No">
      <formula>NOT(ISERROR(SEARCH(("No"),(P131))))</formula>
    </cfRule>
  </conditionalFormatting>
  <conditionalFormatting sqref="P131:Q133 P135:Q152 O145 P154:Q154 P159:Q159 P161:Q162 P164:Q164 P166:Q167 P172:Q172 P174:Q174 P176:Q176 P180:Q182 P184:Q184">
    <cfRule type="containsText" dxfId="9" priority="32447" operator="containsText" text="No">
      <formula>NOT(ISERROR(SEARCH(("No"),(P131))))</formula>
    </cfRule>
  </conditionalFormatting>
  <conditionalFormatting sqref="P131:Q133 P135:Q152 O145 P154:Q154 P159:Q159 P161:Q162 P164:Q164 P166:Q167 P172:Q172 P174:Q174 P176:Q176 P180:Q182 P184:Q184">
    <cfRule type="containsText" dxfId="9" priority="32448" operator="containsText" text="No">
      <formula>NOT(ISERROR(SEARCH(("No"),(P131))))</formula>
    </cfRule>
  </conditionalFormatting>
  <conditionalFormatting sqref="P131:Q133 P135:Q152 O145 P154:Q154 P159:Q159 P161:Q162 P164:Q164 P166:Q167 P172:Q172 P174:Q174 P176:Q176 P180:Q182 P184:Q184">
    <cfRule type="containsText" dxfId="9" priority="32449" operator="containsText" text="No">
      <formula>NOT(ISERROR(SEARCH(("No"),(P131))))</formula>
    </cfRule>
  </conditionalFormatting>
  <conditionalFormatting sqref="P131:Q133 P135:Q152 O145 P154:Q154 P159:Q159 P161:Q162 P164:Q164 P166:Q167 P172:Q172 P174:Q174 P176:Q176 P180:Q182 P184:Q184">
    <cfRule type="containsText" dxfId="9" priority="32450" operator="containsText" text="No">
      <formula>NOT(ISERROR(SEARCH(("No"),(P131))))</formula>
    </cfRule>
  </conditionalFormatting>
  <conditionalFormatting sqref="P131:Q133 P135:Q152 O145 P154:Q154 P159:Q159 P161:Q162 P164:Q164 P166:Q167 P172:Q172 P174:Q174 P176:Q176 P180:Q182 P184:Q184">
    <cfRule type="containsText" dxfId="2" priority="32451" operator="containsText" text="Yes">
      <formula>NOT(ISERROR(SEARCH(("Yes"),(P131))))</formula>
    </cfRule>
  </conditionalFormatting>
  <conditionalFormatting sqref="P131:Q133 P135:Q152 O145 P154:Q154 P159:Q159 P161:Q162 P164:Q164 P166:Q167 P172:Q172 P174:Q174 P176:Q176 P180:Q182 P184:Q184">
    <cfRule type="containsText" dxfId="2" priority="32452" operator="containsText" text="Yes">
      <formula>NOT(ISERROR(SEARCH(("Yes"),(P131))))</formula>
    </cfRule>
  </conditionalFormatting>
  <conditionalFormatting sqref="P131:Q133 P135:Q152 O145 P154:Q154 P159:Q159 P161:Q162 P164:Q164 P166:Q167 P172:Q172 P174:Q174 P176:Q176 P180:Q182 P184:Q184">
    <cfRule type="containsText" dxfId="2" priority="32453" operator="containsText" text="Yes">
      <formula>NOT(ISERROR(SEARCH(("Yes"),(P131))))</formula>
    </cfRule>
  </conditionalFormatting>
  <conditionalFormatting sqref="P131:Q133 P135:Q152 O145 P154:Q154 P159:Q159 P161:Q162 P164:Q164 P166:Q167 P172:Q172 P174:Q174 P176:Q176 P180:Q182 P184:Q184">
    <cfRule type="containsText" dxfId="2" priority="32454" operator="containsText" text="Yes">
      <formula>NOT(ISERROR(SEARCH(("Yes"),(P131))))</formula>
    </cfRule>
  </conditionalFormatting>
  <conditionalFormatting sqref="P131:Q133 P135:Q152 O145 P154:Q154 P159:Q159 P161:Q162 P164:Q164 P166:Q167 P172:Q172 P174:Q174 P176:Q176 P180:Q182 P184:Q184">
    <cfRule type="containsText" dxfId="2" priority="32455" operator="containsText" text="Yes">
      <formula>NOT(ISERROR(SEARCH(("Yes"),(P131))))</formula>
    </cfRule>
  </conditionalFormatting>
  <conditionalFormatting sqref="P131:Q133 P135:Q152 O145 P154:Q154 P159:Q159 P161:Q162 P164:Q164 P166:Q167 P172:Q172 P174:Q174 P176:Q176 P180:Q182 P184:Q184">
    <cfRule type="containsText" dxfId="2" priority="32456" operator="containsText" text="Yes">
      <formula>NOT(ISERROR(SEARCH(("Yes"),(P131))))</formula>
    </cfRule>
  </conditionalFormatting>
  <conditionalFormatting sqref="P131:Q133 P135:Q152 O145 P154:Q154 P159:Q159 P161:Q162 P164:Q164 P166:Q167 P172:Q172 P174:Q174 P176:Q176 P180:Q182 P184:Q184">
    <cfRule type="containsText" dxfId="2" priority="32457" operator="containsText" text="Yes">
      <formula>NOT(ISERROR(SEARCH(("Yes"),(P131))))</formula>
    </cfRule>
  </conditionalFormatting>
  <conditionalFormatting sqref="P131:Q133 P135:Q152 O145 P154:Q154 P159:Q159 P161:Q162 P164:Q164 P166:Q167 P172:Q172 P174:Q174 P176:Q176 P180:Q182 P184:Q184">
    <cfRule type="containsText" dxfId="2" priority="32458" operator="containsText" text="Yes">
      <formula>NOT(ISERROR(SEARCH(("Yes"),(P131))))</formula>
    </cfRule>
  </conditionalFormatting>
  <conditionalFormatting sqref="P131:Q133 P135:Q152 O145 P154:Q154 P159:Q159 P161:Q162 P164:Q164 P166:Q167 P172:Q172 P174:Q174 P176:Q176 P180:Q182 P184:Q184">
    <cfRule type="containsText" dxfId="2" priority="32459" operator="containsText" text="Yes">
      <formula>NOT(ISERROR(SEARCH(("Yes"),(P131))))</formula>
    </cfRule>
  </conditionalFormatting>
  <conditionalFormatting sqref="P131:Q133 P135:Q152 O145 P154:Q154 P159:Q159 P161:Q162 P164:Q164 P166:Q167 P172:Q172 P174:Q174 P176:Q176 P180:Q182 P184:Q184">
    <cfRule type="containsText" dxfId="2" priority="32460" operator="containsText" text="Yes">
      <formula>NOT(ISERROR(SEARCH(("Yes"),(P131))))</formula>
    </cfRule>
  </conditionalFormatting>
  <conditionalFormatting sqref="P131:Q133 P135:Q152 O145 P154:Q154 P159:Q159 P161:Q162 P164:Q164 P166:Q167 P172:Q172 P174:Q174 P176:Q176 P180:Q182 P184:Q184">
    <cfRule type="containsText" dxfId="2" priority="32461" operator="containsText" text="Yes">
      <formula>NOT(ISERROR(SEARCH(("Yes"),(P131))))</formula>
    </cfRule>
  </conditionalFormatting>
  <conditionalFormatting sqref="P131:Q133 P135:Q152 O145 P154:Q154 P159:Q159 P161:Q162 P164:Q164 P166:Q167 P172:Q172 P174:Q174 P176:Q176 P180:Q182 P184:Q184">
    <cfRule type="containsText" dxfId="2" priority="32462" operator="containsText" text="Yes">
      <formula>NOT(ISERROR(SEARCH(("Yes"),(P131))))</formula>
    </cfRule>
  </conditionalFormatting>
  <conditionalFormatting sqref="P131:Q133 P135:Q152 O145 P154:Q154 P159:Q159 P161:Q162 P164:Q164 P166:Q167 P172:Q172 P174:Q174 P176:Q176 P180:Q182 P184:Q184">
    <cfRule type="containsText" dxfId="2" priority="32463" operator="containsText" text="Yes">
      <formula>NOT(ISERROR(SEARCH(("Yes"),(P131))))</formula>
    </cfRule>
  </conditionalFormatting>
  <conditionalFormatting sqref="P131:Q133 P135:Q152 O145 P154:Q154 P159:Q159 P161:Q162 P164:Q164 P166:Q167 P172:Q172 P174:Q174 P176:Q176 P180:Q182 P184:Q184">
    <cfRule type="containsText" dxfId="2" priority="32464" operator="containsText" text="Yes">
      <formula>NOT(ISERROR(SEARCH(("Yes"),(P131))))</formula>
    </cfRule>
  </conditionalFormatting>
  <conditionalFormatting sqref="P131:Q133 P135:Q152 O145 P154:Q154 P159:Q159 P161:Q162 P164:Q164 P166:Q167 P172:Q172 P174:Q174 P176:Q176 P180:Q182 P184:Q184">
    <cfRule type="containsText" dxfId="2" priority="32465" operator="containsText" text="Yes">
      <formula>NOT(ISERROR(SEARCH(("Yes"),(P131))))</formula>
    </cfRule>
  </conditionalFormatting>
  <conditionalFormatting sqref="P131:Q133 P135:Q152 O145 P154:Q154 P159:Q159 P161:Q162 P164:Q164 P166:Q167 P172:Q172 P174:Q174 P176:Q176 P180:Q182 P184:Q184">
    <cfRule type="containsText" dxfId="2" priority="32466" operator="containsText" text="Yes">
      <formula>NOT(ISERROR(SEARCH(("Yes"),(P131))))</formula>
    </cfRule>
  </conditionalFormatting>
  <conditionalFormatting sqref="P131:Q133 P135:Q152 O145 P154:Q154 P159:Q159 P161:Q162 P164:Q164 P166:Q167 P172:Q172 P174:Q174 P176:Q176 P180:Q182 P184:Q184">
    <cfRule type="containsText" dxfId="2" priority="32467" operator="containsText" text="Yes">
      <formula>NOT(ISERROR(SEARCH(("Yes"),(P131))))</formula>
    </cfRule>
  </conditionalFormatting>
  <conditionalFormatting sqref="P131:Q133 P135:Q152 O145 P154:Q154 P159:Q159 P161:Q162 P164:Q164 P166:Q167 P172:Q172 P174:Q174 P176:Q176 P180:Q182 P184:Q184">
    <cfRule type="containsText" dxfId="2" priority="32468" operator="containsText" text="Yes">
      <formula>NOT(ISERROR(SEARCH(("Yes"),(P131))))</formula>
    </cfRule>
  </conditionalFormatting>
  <conditionalFormatting sqref="P131:Q133 P135:Q152 O145 P154:Q154 P159:Q159 P161:Q162 P164:Q164 P166:Q167 P172:Q172 P174:Q174 P176:Q176 P180:Q182 P184:Q184">
    <cfRule type="containsText" dxfId="2" priority="32469" operator="containsText" text="Yes">
      <formula>NOT(ISERROR(SEARCH(("Yes"),(P131))))</formula>
    </cfRule>
  </conditionalFormatting>
  <conditionalFormatting sqref="P131:Q133 P135:Q152 O145 P154:Q154 P159:Q159 P161:Q162 P164:Q164 P166:Q167 P172:Q172 P174:Q174 P176:Q176 P180:Q182 P184:Q184">
    <cfRule type="containsText" dxfId="2" priority="32470" operator="containsText" text="Yes">
      <formula>NOT(ISERROR(SEARCH(("Yes"),(P131))))</formula>
    </cfRule>
  </conditionalFormatting>
  <conditionalFormatting sqref="P131:Q133 P135:Q152 O145 P154:Q154 P159:Q159 P161:Q162 P164:Q164 P166:Q167 P172:Q172 P174:Q174 P176:Q176 P180:Q182 P184:Q184">
    <cfRule type="containsText" dxfId="2" priority="32471" operator="containsText" text="Yes">
      <formula>NOT(ISERROR(SEARCH(("Yes"),(P131))))</formula>
    </cfRule>
  </conditionalFormatting>
  <conditionalFormatting sqref="P131:Q133 P135:Q152 O145 P154:Q154 P159:Q159 P161:Q162 P164:Q164 P166:Q167 P172:Q172 P174:Q174 P176:Q176 P180:Q182 P184:Q184">
    <cfRule type="containsText" dxfId="2" priority="32472" operator="containsText" text="Yes">
      <formula>NOT(ISERROR(SEARCH(("Yes"),(P131))))</formula>
    </cfRule>
  </conditionalFormatting>
  <conditionalFormatting sqref="P131:Q133 P135:Q152 O145 P154:Q154 P159:Q159 P161:Q162 P164:Q164 P166:Q167 P172:Q172 P174:Q174 P176:Q176 P180:Q182 P184:Q184">
    <cfRule type="containsText" dxfId="2" priority="32473" operator="containsText" text="Yes">
      <formula>NOT(ISERROR(SEARCH(("Yes"),(P131))))</formula>
    </cfRule>
  </conditionalFormatting>
  <conditionalFormatting sqref="P131:Q133 P135:Q152 O145 P154:Q154 P159:Q159 P161:Q162 P164:Q164 P166:Q167 P172:Q172 P174:Q174 P176:Q176 P180:Q182 P184:Q184">
    <cfRule type="containsText" dxfId="2" priority="32474" operator="containsText" text="Yes">
      <formula>NOT(ISERROR(SEARCH(("Yes"),(P131))))</formula>
    </cfRule>
  </conditionalFormatting>
  <conditionalFormatting sqref="P131:Q133 P135:Q152 O145 P154:Q154 P159:Q159 P161:Q162 P164:Q164 P166:Q167 P172:Q172 P174:Q174 P176:Q176 P180:Q182 P184:Q184">
    <cfRule type="containsText" dxfId="2" priority="32475" operator="containsText" text="Yes">
      <formula>NOT(ISERROR(SEARCH(("Yes"),(P131))))</formula>
    </cfRule>
  </conditionalFormatting>
  <conditionalFormatting sqref="P131:Q133 P135:Q152 O145 P154:Q154 P159:Q159 P161:Q162 P164:Q164 P166:Q167 P172:Q172 P174:Q174 P176:Q176 P180:Q182 P184:Q184">
    <cfRule type="containsText" dxfId="2" priority="32476" operator="containsText" text="Yes">
      <formula>NOT(ISERROR(SEARCH(("Yes"),(P131))))</formula>
    </cfRule>
  </conditionalFormatting>
  <conditionalFormatting sqref="P131:Q133 P135:Q152 O145 P154:Q154 P159:Q159 P161:Q162 P164:Q164 P166:Q167 P172:Q172 P174:Q174 P176:Q176 P180:Q182 P184:Q184">
    <cfRule type="containsText" dxfId="2" priority="32477" operator="containsText" text="Yes">
      <formula>NOT(ISERROR(SEARCH(("Yes"),(P131))))</formula>
    </cfRule>
  </conditionalFormatting>
  <conditionalFormatting sqref="P131:Q133 P135:Q152 O145 P154:Q154 P159:Q159 P161:Q162 P164:Q164 P166:Q167 P172:Q172 P174:Q174 P176:Q176 P180:Q182 P184:Q184">
    <cfRule type="containsText" dxfId="2" priority="32478" operator="containsText" text="Yes">
      <formula>NOT(ISERROR(SEARCH(("Yes"),(P131))))</formula>
    </cfRule>
  </conditionalFormatting>
  <conditionalFormatting sqref="P131:Q133 P135:Q152 O145 P154:Q154 P159:Q159 P161:Q162 P164:Q164 P166:Q167 P172:Q172 P174:Q174 P176:Q176 P180:Q182 P184:Q184">
    <cfRule type="containsText" dxfId="2" priority="32479" operator="containsText" text="Yes">
      <formula>NOT(ISERROR(SEARCH(("Yes"),(P131))))</formula>
    </cfRule>
  </conditionalFormatting>
  <conditionalFormatting sqref="P131:Q133 P135:Q152 O145 P154:Q154 P159:Q159 P161:Q162 P164:Q164 P166:Q167 P172:Q172 P174:Q174 P176:Q176 P180:Q182 P184:Q184">
    <cfRule type="containsText" dxfId="2" priority="32480" operator="containsText" text="Yes">
      <formula>NOT(ISERROR(SEARCH(("Yes"),(P131))))</formula>
    </cfRule>
  </conditionalFormatting>
  <conditionalFormatting sqref="P131:Q133 P135:Q152 O145 P154:Q154 P159:Q159 P161:Q162 P164:Q164 P166:Q167 P172:Q172 P174:Q174 P176:Q176 P180:Q182 P184:Q184">
    <cfRule type="containsText" dxfId="2" priority="32481" operator="containsText" text="Yes">
      <formula>NOT(ISERROR(SEARCH(("Yes"),(P131))))</formula>
    </cfRule>
  </conditionalFormatting>
  <conditionalFormatting sqref="P131:Q133 P135:Q152 O145 P154:Q154 P159:Q159 P161:Q162 P164:Q164 P166:Q167 P172:Q172 P174:Q174 P176:Q176 P180:Q182 P184:Q184">
    <cfRule type="containsText" dxfId="2" priority="32482" operator="containsText" text="Yes">
      <formula>NOT(ISERROR(SEARCH(("Yes"),(P131))))</formula>
    </cfRule>
  </conditionalFormatting>
  <conditionalFormatting sqref="P131:Q133 P135:Q152 O145 P154:Q154 P159:Q159 P161:Q162 P164:Q164 P166:Q167 P172:Q172 P174:Q174 P176:Q176 P180:Q182 P184:Q184">
    <cfRule type="containsText" dxfId="2" priority="32483" operator="containsText" text="Yes">
      <formula>NOT(ISERROR(SEARCH(("Yes"),(P131))))</formula>
    </cfRule>
  </conditionalFormatting>
  <conditionalFormatting sqref="P131:Q133 P135:Q152 O145 P154:Q154 P159:Q159 P161:Q162 P164:Q164 P166:Q167 P172:Q172 P174:Q174 P176:Q176 P180:Q182 P184:Q184">
    <cfRule type="containsText" dxfId="2" priority="32484" operator="containsText" text="Yes">
      <formula>NOT(ISERROR(SEARCH(("Yes"),(P131))))</formula>
    </cfRule>
  </conditionalFormatting>
  <conditionalFormatting sqref="P131:Q133 P135:Q152 O145 P154:Q154 P159:Q159 P161:Q162 P164:Q164 P166:Q167 P172:Q172 P174:Q174 P176:Q176 P180:Q182 P184:Q184">
    <cfRule type="containsText" dxfId="2" priority="32485" operator="containsText" text="Yes">
      <formula>NOT(ISERROR(SEARCH(("Yes"),(P131))))</formula>
    </cfRule>
  </conditionalFormatting>
  <conditionalFormatting sqref="P131:Q133 P135:Q152 O145 P154:Q154 P159:Q159 P161:Q162 P164:Q164 P166:Q167 P172:Q172 P174:Q174 P176:Q176 P180:Q182 P184:Q184">
    <cfRule type="containsText" dxfId="2" priority="32486" operator="containsText" text="Yes">
      <formula>NOT(ISERROR(SEARCH(("Yes"),(P131))))</formula>
    </cfRule>
  </conditionalFormatting>
  <conditionalFormatting sqref="P131:Q133 P135:Q152 O145 P154:Q154 P159:Q159 P161:Q162 P164:Q164 P166:Q167 P172:Q172 P174:Q174 P176:Q176 P180:Q182 P184:Q184">
    <cfRule type="containsText" dxfId="2" priority="32487" operator="containsText" text="Yes">
      <formula>NOT(ISERROR(SEARCH(("Yes"),(P131))))</formula>
    </cfRule>
  </conditionalFormatting>
  <conditionalFormatting sqref="P131:Q133 P135:Q152 O145 P154:Q154 P159:Q159 P161:Q162 P164:Q164 P166:Q167 P172:Q172 P174:Q174 P176:Q176 P180:Q182 P184:Q184">
    <cfRule type="containsText" dxfId="2" priority="32488" operator="containsText" text="Yes">
      <formula>NOT(ISERROR(SEARCH(("Yes"),(P131))))</formula>
    </cfRule>
  </conditionalFormatting>
  <conditionalFormatting sqref="P131:Q133 P135:Q152 O145 P154:Q154 P159:Q159 P161:Q162 P164:Q164 P166:Q167 P172:Q172 P174:Q174 P176:Q176 P180:Q182 P184:Q184">
    <cfRule type="containsText" dxfId="2" priority="32489" operator="containsText" text="Yes">
      <formula>NOT(ISERROR(SEARCH(("Yes"),(P131))))</formula>
    </cfRule>
  </conditionalFormatting>
  <conditionalFormatting sqref="P131:Q133 P135:Q152 O145 P154:Q154 P159:Q159 P161:Q162 P164:Q164 P166:Q167 P172:Q172 P174:Q174 P176:Q176 P180:Q182 P184:Q184">
    <cfRule type="containsText" dxfId="2" priority="32490" operator="containsText" text="Yes">
      <formula>NOT(ISERROR(SEARCH(("Yes"),(P131))))</formula>
    </cfRule>
  </conditionalFormatting>
  <conditionalFormatting sqref="P131:Q133 P135:Q152 O145 P154:Q154 P159:Q159 P161:Q162 P164:Q164 P166:Q167 P172:Q172 P174:Q174 P176:Q176 P180:Q182 P184:Q184">
    <cfRule type="containsText" dxfId="2" priority="32491" operator="containsText" text="Yes">
      <formula>NOT(ISERROR(SEARCH(("Yes"),(P131))))</formula>
    </cfRule>
  </conditionalFormatting>
  <conditionalFormatting sqref="P131:Q133 P135:Q152 O145 P154:Q154 P159:Q159 P161:Q162 P164:Q164 P166:Q167 P172:Q172 P174:Q174 P176:Q176 P180:Q182 P184:Q184">
    <cfRule type="containsText" dxfId="2" priority="32492" operator="containsText" text="Yes">
      <formula>NOT(ISERROR(SEARCH(("Yes"),(P131))))</formula>
    </cfRule>
  </conditionalFormatting>
  <conditionalFormatting sqref="P131:Q133 P135:Q152 O145 P154:Q154 P159:Q159 P161:Q162 P164:Q164 P166:Q167 P172:Q172 P174:Q174 P176:Q176 P180:Q182 P184:Q184">
    <cfRule type="containsText" dxfId="2" priority="32493" operator="containsText" text="Yes">
      <formula>NOT(ISERROR(SEARCH(("Yes"),(P131))))</formula>
    </cfRule>
  </conditionalFormatting>
  <conditionalFormatting sqref="P131:Q133 P135:Q152 O145 P154:Q154 P159:Q159 P161:Q162 P164:Q164 P166:Q167 P172:Q172 P174:Q174 P176:Q176 P180:Q182 P184:Q184">
    <cfRule type="containsText" dxfId="2" priority="32494" operator="containsText" text="Yes">
      <formula>NOT(ISERROR(SEARCH(("Yes"),(P131))))</formula>
    </cfRule>
  </conditionalFormatting>
  <conditionalFormatting sqref="P131:Q133 P135:Q152 O145 P154:Q154 P159:Q159 P161:Q162 P164:Q164 P166:Q167 P172:Q172 P174:Q174 P176:Q176 P180:Q182 P184:Q184">
    <cfRule type="containsText" dxfId="2" priority="32495" operator="containsText" text="Yes">
      <formula>NOT(ISERROR(SEARCH(("Yes"),(P131))))</formula>
    </cfRule>
  </conditionalFormatting>
  <conditionalFormatting sqref="P131:Q133 P135:Q152 O145 P154:Q154 P159:Q159 P161:Q162 P164:Q164 P166:Q167 P172:Q172 P174:Q174 P176:Q176 P180:Q182 P184:Q184">
    <cfRule type="containsText" dxfId="2" priority="32496" operator="containsText" text="Yes">
      <formula>NOT(ISERROR(SEARCH(("Yes"),(P131))))</formula>
    </cfRule>
  </conditionalFormatting>
  <conditionalFormatting sqref="P131:Q133 P135:Q152 O145 P154:Q154 P159:Q159 P161:Q162 P164:Q164 P166:Q167 P172:Q172 P174:Q174 P176:Q176 P180:Q182 P184:Q184">
    <cfRule type="containsText" dxfId="2" priority="32497" operator="containsText" text="Yes">
      <formula>NOT(ISERROR(SEARCH(("Yes"),(P131))))</formula>
    </cfRule>
  </conditionalFormatting>
  <conditionalFormatting sqref="P132:Q134 P136:Q139 P142:P152 Q142:Q216 O145 P154 P159 P161:P162 P164 P166:P167 P172 P174:P216 U204:V204 P222:Q226 P228:Q252 P254:Q256 P258:Q264 O261:O264 O267:Q269 P272:Q275 O275">
    <cfRule type="containsText" dxfId="9" priority="32498"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499"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00"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01"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02"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03"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04"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05"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06"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07"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08"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09"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10"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11"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12"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13"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14"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15"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16"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17"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18"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19"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20"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21"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22"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23"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24"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25"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26"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27"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28"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29"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30"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31"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32"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33"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34"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35"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36"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37"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38"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39"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40"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41"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9" priority="32542" operator="containsText" text="No">
      <formula>NOT(ISERROR(SEARCH(("No"),(P132))))</formula>
    </cfRule>
  </conditionalFormatting>
  <conditionalFormatting sqref="P132:Q134 P136:Q139 P142:P152 Q142:Q216 O145 P154 P159 P161:P162 P164 P166:P167 P172 P174:P216 U204:V204 P222:Q226 P228:Q252 P254:Q256 P258:Q264 O261:O264 O267:Q269 P272:Q275 O275">
    <cfRule type="containsText" dxfId="2" priority="32543"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44"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45"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46"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47"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48"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49"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50"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51"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52"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53"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54"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55"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56"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57"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58"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59"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60"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61"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62"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63"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64"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65"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66"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67"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68"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69"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70"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71"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72"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73"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74"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75"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76"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77"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78"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79"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80"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81"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82"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83"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84"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85"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86"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87"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88" operator="containsText" text="Yes">
      <formula>NOT(ISERROR(SEARCH(("Yes"),(P132))))</formula>
    </cfRule>
  </conditionalFormatting>
  <conditionalFormatting sqref="P132:Q134 P136:Q139 P142:P152 Q142:Q216 O145 P154 P159 P161:P162 P164 P166:P167 P172 P174:P216 U204:V204 P222:Q226 P228:Q252 P254:Q256 P258:Q264 O261:O264 O267:Q269 P272:Q275 O275">
    <cfRule type="containsText" dxfId="2" priority="32589" operator="containsText" text="Yes">
      <formula>NOT(ISERROR(SEARCH(("Yes"),(P132))))</formula>
    </cfRule>
  </conditionalFormatting>
  <conditionalFormatting sqref="P133:Q133 P135:Q152 O145 P154:Q154 P159:Q159 P161:Q162 P164:Q164 P166:Q167 P172:Q172 P174:Q174 P176:Q176 P180:Q182 P184:Q184">
    <cfRule type="containsText" dxfId="9" priority="32590" operator="containsText" text="No">
      <formula>NOT(ISERROR(SEARCH(("No"),(P133))))</formula>
    </cfRule>
  </conditionalFormatting>
  <conditionalFormatting sqref="P133:Q133 P135:Q152 O145 P154:Q154 P159:Q159 P161:Q162 P164:Q164 P166:Q167 P172:Q172 P174:Q174 P176:Q176 P180:Q182 P184:Q184">
    <cfRule type="containsText" dxfId="9" priority="32591" operator="containsText" text="No">
      <formula>NOT(ISERROR(SEARCH(("No"),(P133))))</formula>
    </cfRule>
  </conditionalFormatting>
  <conditionalFormatting sqref="P133:Q133 P135:Q152 O145 P154:Q154 P159:Q159 P161:Q162 P164:Q164 P166:Q167 P172:Q172 P174:Q174 P176:Q176 P180:Q182 P184:Q184">
    <cfRule type="containsText" dxfId="9" priority="32592" operator="containsText" text="No">
      <formula>NOT(ISERROR(SEARCH(("No"),(P133))))</formula>
    </cfRule>
  </conditionalFormatting>
  <conditionalFormatting sqref="P133:Q133 P135:Q152 O145 P154:Q154 P159:Q159 P161:Q162 P164:Q164 P166:Q167 P172:Q172 P174:Q174 P176:Q176 P180:Q182 P184:Q184">
    <cfRule type="containsText" dxfId="9" priority="32593" operator="containsText" text="No">
      <formula>NOT(ISERROR(SEARCH(("No"),(P133))))</formula>
    </cfRule>
  </conditionalFormatting>
  <conditionalFormatting sqref="P133:Q133 P135:Q152 O145 P154:Q154 P159:Q159 P161:Q162 P164:Q164 P166:Q167 P172:Q172 P174:Q174 P176:Q176 P180:Q182 P184:Q184">
    <cfRule type="containsText" dxfId="9" priority="32594" operator="containsText" text="No">
      <formula>NOT(ISERROR(SEARCH(("No"),(P133))))</formula>
    </cfRule>
  </conditionalFormatting>
  <conditionalFormatting sqref="P133:Q133 P135:Q152 O145 P154:Q154 P159:Q159 P161:Q162 P164:Q164 P166:Q167 P172:Q172 P174:Q174 P176:Q176 P180:Q182 P184:Q184">
    <cfRule type="containsText" dxfId="9" priority="32595" operator="containsText" text="No">
      <formula>NOT(ISERROR(SEARCH(("No"),(P133))))</formula>
    </cfRule>
  </conditionalFormatting>
  <conditionalFormatting sqref="P133:Q133 P135:Q152 O145 P154:Q154 P159:Q159 P161:Q162 P164:Q164 P166:Q167 P172:Q172 P174:Q174 P176:Q176 P180:Q182 P184:Q184">
    <cfRule type="containsText" dxfId="9" priority="32596" operator="containsText" text="No">
      <formula>NOT(ISERROR(SEARCH(("No"),(P133))))</formula>
    </cfRule>
  </conditionalFormatting>
  <conditionalFormatting sqref="P133:Q133 P135:Q152 O145 P154:Q154 P159:Q159 P161:Q162 P164:Q164 P166:Q167 P172:Q172 P174:Q174 P176:Q176 P180:Q182 P184:Q184">
    <cfRule type="containsText" dxfId="9" priority="32597" operator="containsText" text="No">
      <formula>NOT(ISERROR(SEARCH(("No"),(P133))))</formula>
    </cfRule>
  </conditionalFormatting>
  <conditionalFormatting sqref="P133:Q133 P135:Q152 O145 P154:Q154 P159:Q159 P161:Q162 P164:Q164 P166:Q167 P172:Q172 P174:Q174 P176:Q176 P180:Q182 P184:Q184">
    <cfRule type="containsText" dxfId="9" priority="32598" operator="containsText" text="No">
      <formula>NOT(ISERROR(SEARCH(("No"),(P133))))</formula>
    </cfRule>
  </conditionalFormatting>
  <conditionalFormatting sqref="P133:Q133 P135:Q152 O145 P154:Q154 P159:Q159 P161:Q162 P164:Q164 P166:Q167 P172:Q172 P174:Q174 P176:Q176 P180:Q182 P184:Q184">
    <cfRule type="containsText" dxfId="9" priority="32599" operator="containsText" text="No">
      <formula>NOT(ISERROR(SEARCH(("No"),(P133))))</formula>
    </cfRule>
  </conditionalFormatting>
  <conditionalFormatting sqref="P133:Q133 P135:Q152 O145 P154:Q154 P159:Q159 P161:Q162 P164:Q164 P166:Q167 P172:Q172 P174:Q174 P176:Q176 P180:Q182 P184:Q184">
    <cfRule type="containsText" dxfId="9" priority="32600" operator="containsText" text="No">
      <formula>NOT(ISERROR(SEARCH(("No"),(P133))))</formula>
    </cfRule>
  </conditionalFormatting>
  <conditionalFormatting sqref="P133:Q133 P135:Q152 O145 P154:Q154 P159:Q159 P161:Q162 P164:Q164 P166:Q167 P172:Q172 P174:Q174 P176:Q176 P180:Q182 P184:Q184">
    <cfRule type="containsText" dxfId="9" priority="32601" operator="containsText" text="No">
      <formula>NOT(ISERROR(SEARCH(("No"),(P133))))</formula>
    </cfRule>
  </conditionalFormatting>
  <conditionalFormatting sqref="P133:Q133 P135:Q152 O145 P154:Q154 P159:Q159 P161:Q162 P164:Q164 P166:Q167 P172:Q172 P174:Q174 P176:Q176 P180:Q182 P184:Q184">
    <cfRule type="containsText" dxfId="9" priority="32602" operator="containsText" text="No">
      <formula>NOT(ISERROR(SEARCH(("No"),(P133))))</formula>
    </cfRule>
  </conditionalFormatting>
  <conditionalFormatting sqref="P133:Q133 P135:Q152 O145 P154:Q154 P159:Q159 P161:Q162 P164:Q164 P166:Q167 P172:Q172 P174:Q174 P176:Q176 P180:Q182 P184:Q184">
    <cfRule type="containsText" dxfId="9" priority="32603" operator="containsText" text="No">
      <formula>NOT(ISERROR(SEARCH(("No"),(P133))))</formula>
    </cfRule>
  </conditionalFormatting>
  <conditionalFormatting sqref="P133:Q133 P135:Q152 O145 P154:Q154 P159:Q159 P161:Q162 P164:Q164 P166:Q167 P172:Q172 P174:Q174 P176:Q176 P180:Q182 P184:Q184">
    <cfRule type="containsText" dxfId="9" priority="32604" operator="containsText" text="No">
      <formula>NOT(ISERROR(SEARCH(("No"),(P133))))</formula>
    </cfRule>
  </conditionalFormatting>
  <conditionalFormatting sqref="P133:Q133 P135:Q152 O145 P154:Q154 P159:Q159 P161:Q162 P164:Q164 P166:Q167 P172:Q172 P174:Q174 P176:Q176 P180:Q182 P184:Q184">
    <cfRule type="containsText" dxfId="9" priority="32605" operator="containsText" text="No">
      <formula>NOT(ISERROR(SEARCH(("No"),(P133))))</formula>
    </cfRule>
  </conditionalFormatting>
  <conditionalFormatting sqref="P133:Q133 P135:Q152 O145 P154:Q154 P159:Q159 P161:Q162 P164:Q164 P166:Q167 P172:Q172 P174:Q174 P176:Q176 P180:Q182 P184:Q184">
    <cfRule type="containsText" dxfId="9" priority="32606" operator="containsText" text="No">
      <formula>NOT(ISERROR(SEARCH(("No"),(P133))))</formula>
    </cfRule>
  </conditionalFormatting>
  <conditionalFormatting sqref="P133:Q133 P135:Q152 O145 P154:Q154 P159:Q159 P161:Q162 P164:Q164 P166:Q167 P172:Q172 P174:Q174 P176:Q176 P180:Q182 P184:Q184">
    <cfRule type="containsText" dxfId="9" priority="32607" operator="containsText" text="No">
      <formula>NOT(ISERROR(SEARCH(("No"),(P133))))</formula>
    </cfRule>
  </conditionalFormatting>
  <conditionalFormatting sqref="P133:Q133 P135:Q152 O145 P154:Q154 P159:Q159 P161:Q162 P164:Q164 P166:Q167 P172:Q172 P174:Q174 P176:Q176 P180:Q182 P184:Q184">
    <cfRule type="containsText" dxfId="9" priority="32608" operator="containsText" text="No">
      <formula>NOT(ISERROR(SEARCH(("No"),(P133))))</formula>
    </cfRule>
  </conditionalFormatting>
  <conditionalFormatting sqref="P133:Q133 P135:Q152 O145 P154:Q154 P159:Q159 P161:Q162 P164:Q164 P166:Q167 P172:Q172 P174:Q174 P176:Q176 P180:Q182 P184:Q184">
    <cfRule type="containsText" dxfId="9" priority="32609" operator="containsText" text="No">
      <formula>NOT(ISERROR(SEARCH(("No"),(P133))))</formula>
    </cfRule>
  </conditionalFormatting>
  <conditionalFormatting sqref="P133:Q133 P135:Q152 O145 P154:Q154 P159:Q159 P161:Q162 P164:Q164 P166:Q167 P172:Q172 P174:Q174 P176:Q176 P180:Q182 P184:Q184">
    <cfRule type="containsText" dxfId="9" priority="32610" operator="containsText" text="No">
      <formula>NOT(ISERROR(SEARCH(("No"),(P133))))</formula>
    </cfRule>
  </conditionalFormatting>
  <conditionalFormatting sqref="P133:Q133 P135:Q152 O145 P154:Q154 P159:Q159 P161:Q162 P164:Q164 P166:Q167 P172:Q172 P174:Q174 P176:Q176 P180:Q182 P184:Q184">
    <cfRule type="containsText" dxfId="9" priority="32611" operator="containsText" text="No">
      <formula>NOT(ISERROR(SEARCH(("No"),(P133))))</formula>
    </cfRule>
  </conditionalFormatting>
  <conditionalFormatting sqref="P133:Q133 P135:Q152 O145 P154:Q154 P159:Q159 P161:Q162 P164:Q164 P166:Q167 P172:Q172 P174:Q174 P176:Q176 P180:Q182 P184:Q184">
    <cfRule type="containsText" dxfId="9" priority="32612" operator="containsText" text="No">
      <formula>NOT(ISERROR(SEARCH(("No"),(P133))))</formula>
    </cfRule>
  </conditionalFormatting>
  <conditionalFormatting sqref="P133:Q133 P135:Q152 O145 P154:Q154 P159:Q159 P161:Q162 P164:Q164 P166:Q167 P172:Q172 P174:Q174 P176:Q176 P180:Q182 P184:Q184">
    <cfRule type="containsText" dxfId="9" priority="32613" operator="containsText" text="No">
      <formula>NOT(ISERROR(SEARCH(("No"),(P133))))</formula>
    </cfRule>
  </conditionalFormatting>
  <conditionalFormatting sqref="P133:Q133 P135:Q152 O145 P154:Q154 P159:Q159 P161:Q162 P164:Q164 P166:Q167 P172:Q172 P174:Q174 P176:Q176 P180:Q182 P184:Q184">
    <cfRule type="containsText" dxfId="9" priority="32614" operator="containsText" text="No">
      <formula>NOT(ISERROR(SEARCH(("No"),(P133))))</formula>
    </cfRule>
  </conditionalFormatting>
  <conditionalFormatting sqref="P133:Q133 P135:Q152 O145 P154:Q154 P159:Q159 P161:Q162 P164:Q164 P166:Q167 P172:Q172 P174:Q174 P176:Q176 P180:Q182 P184:Q184">
    <cfRule type="containsText" dxfId="9" priority="32615" operator="containsText" text="No">
      <formula>NOT(ISERROR(SEARCH(("No"),(P133))))</formula>
    </cfRule>
  </conditionalFormatting>
  <conditionalFormatting sqref="P133:Q133 P135:Q152 O145 P154:Q154 P159:Q159 P161:Q162 P164:Q164 P166:Q167 P172:Q172 P174:Q174 P176:Q176 P180:Q182 P184:Q184">
    <cfRule type="containsText" dxfId="9" priority="32616" operator="containsText" text="No">
      <formula>NOT(ISERROR(SEARCH(("No"),(P133))))</formula>
    </cfRule>
  </conditionalFormatting>
  <conditionalFormatting sqref="P133:Q133 P135:Q152 O145 P154:Q154 P159:Q159 P161:Q162 P164:Q164 P166:Q167 P172:Q172 P174:Q174 P176:Q176 P180:Q182 P184:Q184">
    <cfRule type="containsText" dxfId="9" priority="32617" operator="containsText" text="No">
      <formula>NOT(ISERROR(SEARCH(("No"),(P133))))</formula>
    </cfRule>
  </conditionalFormatting>
  <conditionalFormatting sqref="P133:Q133 P135:Q152 O145 P154:Q154 P159:Q159 P161:Q162 P164:Q164 P166:Q167 P172:Q172 P174:Q174 P176:Q176 P180:Q182 P184:Q184">
    <cfRule type="containsText" dxfId="9" priority="32618" operator="containsText" text="No">
      <formula>NOT(ISERROR(SEARCH(("No"),(P133))))</formula>
    </cfRule>
  </conditionalFormatting>
  <conditionalFormatting sqref="P133:Q133 P135:Q152 O145 P154:Q154 P159:Q159 P161:Q162 P164:Q164 P166:Q167 P172:Q172 P174:Q174 P176:Q176 P180:Q182 P184:Q184">
    <cfRule type="containsText" dxfId="9" priority="32619" operator="containsText" text="No">
      <formula>NOT(ISERROR(SEARCH(("No"),(P133))))</formula>
    </cfRule>
  </conditionalFormatting>
  <conditionalFormatting sqref="P133:Q133 P135:Q152 O145 P154:Q154 P159:Q159 P161:Q162 P164:Q164 P166:Q167 P172:Q172 P174:Q174 P176:Q176 P180:Q182 P184:Q184">
    <cfRule type="containsText" dxfId="9" priority="32620" operator="containsText" text="No">
      <formula>NOT(ISERROR(SEARCH(("No"),(P133))))</formula>
    </cfRule>
  </conditionalFormatting>
  <conditionalFormatting sqref="P133:Q133 P135:Q152 O145 P154:Q154 P159:Q159 P161:Q162 P164:Q164 P166:Q167 P172:Q172 P174:Q174 P176:Q176 P180:Q182 P184:Q184">
    <cfRule type="containsText" dxfId="9" priority="32621" operator="containsText" text="No">
      <formula>NOT(ISERROR(SEARCH(("No"),(P133))))</formula>
    </cfRule>
  </conditionalFormatting>
  <conditionalFormatting sqref="P133:Q133 P135:Q152 O145 P154:Q154 P159:Q159 P161:Q162 P164:Q164 P166:Q167 P172:Q172 P174:Q174 P176:Q176 P180:Q182 P184:Q184">
    <cfRule type="containsText" dxfId="9" priority="32622" operator="containsText" text="No">
      <formula>NOT(ISERROR(SEARCH(("No"),(P133))))</formula>
    </cfRule>
  </conditionalFormatting>
  <conditionalFormatting sqref="P133:Q133 P135:Q152 O145 P154:Q154 P159:Q159 P161:Q162 P164:Q164 P166:Q167 P172:Q172 P174:Q174 P176:Q176 P180:Q182 P184:Q184">
    <cfRule type="containsText" dxfId="9" priority="32623" operator="containsText" text="No">
      <formula>NOT(ISERROR(SEARCH(("No"),(P133))))</formula>
    </cfRule>
  </conditionalFormatting>
  <conditionalFormatting sqref="P133:Q133 P135:Q152 O145 P154:Q154 P159:Q159 P161:Q162 P164:Q164 P166:Q167 P172:Q172 P174:Q174 P176:Q176 P180:Q182 P184:Q184">
    <cfRule type="containsText" dxfId="9" priority="32624" operator="containsText" text="No">
      <formula>NOT(ISERROR(SEARCH(("No"),(P133))))</formula>
    </cfRule>
  </conditionalFormatting>
  <conditionalFormatting sqref="P133:Q133 P135:Q152 O145 P154:Q154 P159:Q159 P161:Q162 P164:Q164 P166:Q167 P172:Q172 P174:Q174 P176:Q176 P180:Q182 P184:Q184">
    <cfRule type="containsText" dxfId="9" priority="32625" operator="containsText" text="No">
      <formula>NOT(ISERROR(SEARCH(("No"),(P133))))</formula>
    </cfRule>
  </conditionalFormatting>
  <conditionalFormatting sqref="P133:Q133 P135:Q152 O145 P154:Q154 P159:Q159 P161:Q162 P164:Q164 P166:Q167 P172:Q172 P174:Q174 P176:Q176 P180:Q182 P184:Q184">
    <cfRule type="containsText" dxfId="9" priority="32626" operator="containsText" text="No">
      <formula>NOT(ISERROR(SEARCH(("No"),(P133))))</formula>
    </cfRule>
  </conditionalFormatting>
  <conditionalFormatting sqref="P133:Q133 P135:Q152 O145 P154:Q154 P159:Q159 P161:Q162 P164:Q164 P166:Q167 P172:Q172 P174:Q174 P176:Q176 P180:Q182 P184:Q184">
    <cfRule type="containsText" dxfId="9" priority="32627" operator="containsText" text="No">
      <formula>NOT(ISERROR(SEARCH(("No"),(P133))))</formula>
    </cfRule>
  </conditionalFormatting>
  <conditionalFormatting sqref="P133:Q133 P135:Q152 O145 P154:Q154 P159:Q159 P161:Q162 P164:Q164 P166:Q167 P172:Q172 P174:Q174 P176:Q176 P180:Q182 P184:Q184">
    <cfRule type="containsText" dxfId="9" priority="32628" operator="containsText" text="No">
      <formula>NOT(ISERROR(SEARCH(("No"),(P133))))</formula>
    </cfRule>
  </conditionalFormatting>
  <conditionalFormatting sqref="P133:Q133 P135:Q152 O145 P154:Q154 P159:Q159 P161:Q162 P164:Q164 P166:Q167 P172:Q172 P174:Q174 P176:Q176 P180:Q182 P184:Q184">
    <cfRule type="containsText" dxfId="9" priority="32629" operator="containsText" text="No">
      <formula>NOT(ISERROR(SEARCH(("No"),(P133))))</formula>
    </cfRule>
  </conditionalFormatting>
  <conditionalFormatting sqref="P133:Q133 P135:Q152 O145 P154:Q154 P159:Q159 P161:Q162 P164:Q164 P166:Q167 P172:Q172 P174:Q174 P176:Q176 P180:Q182 P184:Q184">
    <cfRule type="containsText" dxfId="9" priority="32630" operator="containsText" text="No">
      <formula>NOT(ISERROR(SEARCH(("No"),(P133))))</formula>
    </cfRule>
  </conditionalFormatting>
  <conditionalFormatting sqref="P133:Q133 P135:Q152 O145 P154:Q154 P159:Q159 P161:Q162 P164:Q164 P166:Q167 P172:Q172 P174:Q174 P176:Q176 P180:Q182 P184:Q184">
    <cfRule type="containsText" dxfId="9" priority="32631" operator="containsText" text="No">
      <formula>NOT(ISERROR(SEARCH(("No"),(P133))))</formula>
    </cfRule>
  </conditionalFormatting>
  <conditionalFormatting sqref="P133:Q133 P135:Q152 O145 P154:Q154 P159:Q159 P161:Q162 P164:Q164 P166:Q167 P172:Q172 P174:Q174 P176:Q176 P180:Q182 P184:Q184">
    <cfRule type="containsText" dxfId="9" priority="32632" operator="containsText" text="No">
      <formula>NOT(ISERROR(SEARCH(("No"),(P133))))</formula>
    </cfRule>
  </conditionalFormatting>
  <conditionalFormatting sqref="P133:Q133 P135:Q152 O145 P154:Q154 P159:Q159 P161:Q162 P164:Q164 P166:Q167 P172:Q172 P174:Q174 P176:Q176 P180:Q182 P184:Q184">
    <cfRule type="containsText" dxfId="9" priority="32633" operator="containsText" text="No">
      <formula>NOT(ISERROR(SEARCH(("No"),(P133))))</formula>
    </cfRule>
  </conditionalFormatting>
  <conditionalFormatting sqref="P133:Q133 P135:Q152 O145 P154:Q154 P159:Q159 P161:Q162 P164:Q164 P166:Q167 P172:Q172 P174:Q174 P176:Q176 P180:Q182 P184:Q184">
    <cfRule type="containsText" dxfId="9" priority="32634" operator="containsText" text="No">
      <formula>NOT(ISERROR(SEARCH(("No"),(P133))))</formula>
    </cfRule>
  </conditionalFormatting>
  <conditionalFormatting sqref="P133:Q133 P135:Q152 O145 P154:Q154 P159:Q159 P161:Q162 P164:Q164 P166:Q167 P172:Q172 P174:Q174 P176:Q176 P180:Q182 P184:Q184">
    <cfRule type="containsText" dxfId="2" priority="32635" operator="containsText" text="Yes">
      <formula>NOT(ISERROR(SEARCH(("Yes"),(P133))))</formula>
    </cfRule>
  </conditionalFormatting>
  <conditionalFormatting sqref="P133:Q133 P135:Q152 O145 P154:Q154 P159:Q159 P161:Q162 P164:Q164 P166:Q167 P172:Q172 P174:Q174 P176:Q176 P180:Q182 P184:Q184">
    <cfRule type="containsText" dxfId="2" priority="32636" operator="containsText" text="Yes">
      <formula>NOT(ISERROR(SEARCH(("Yes"),(P133))))</formula>
    </cfRule>
  </conditionalFormatting>
  <conditionalFormatting sqref="P133:Q133 P135:Q152 O145 P154:Q154 P159:Q159 P161:Q162 P164:Q164 P166:Q167 P172:Q172 P174:Q174 P176:Q176 P180:Q182 P184:Q184">
    <cfRule type="containsText" dxfId="2" priority="32637" operator="containsText" text="Yes">
      <formula>NOT(ISERROR(SEARCH(("Yes"),(P133))))</formula>
    </cfRule>
  </conditionalFormatting>
  <conditionalFormatting sqref="P133:Q133 P135:Q152 O145 P154:Q154 P159:Q159 P161:Q162 P164:Q164 P166:Q167 P172:Q172 P174:Q174 P176:Q176 P180:Q182 P184:Q184">
    <cfRule type="containsText" dxfId="2" priority="32638" operator="containsText" text="Yes">
      <formula>NOT(ISERROR(SEARCH(("Yes"),(P133))))</formula>
    </cfRule>
  </conditionalFormatting>
  <conditionalFormatting sqref="P133:Q133 P135:Q152 O145 P154:Q154 P159:Q159 P161:Q162 P164:Q164 P166:Q167 P172:Q172 P174:Q174 P176:Q176 P180:Q182 P184:Q184">
    <cfRule type="containsText" dxfId="2" priority="32639" operator="containsText" text="Yes">
      <formula>NOT(ISERROR(SEARCH(("Yes"),(P133))))</formula>
    </cfRule>
  </conditionalFormatting>
  <conditionalFormatting sqref="P133:Q133 P135:Q152 O145 P154:Q154 P159:Q159 P161:Q162 P164:Q164 P166:Q167 P172:Q172 P174:Q174 P176:Q176 P180:Q182 P184:Q184">
    <cfRule type="containsText" dxfId="2" priority="32640" operator="containsText" text="Yes">
      <formula>NOT(ISERROR(SEARCH(("Yes"),(P133))))</formula>
    </cfRule>
  </conditionalFormatting>
  <conditionalFormatting sqref="P133:Q133 P135:Q152 O145 P154:Q154 P159:Q159 P161:Q162 P164:Q164 P166:Q167 P172:Q172 P174:Q174 P176:Q176 P180:Q182 P184:Q184">
    <cfRule type="containsText" dxfId="2" priority="32641" operator="containsText" text="Yes">
      <formula>NOT(ISERROR(SEARCH(("Yes"),(P133))))</formula>
    </cfRule>
  </conditionalFormatting>
  <conditionalFormatting sqref="P133:Q133 P135:Q152 O145 P154:Q154 P159:Q159 P161:Q162 P164:Q164 P166:Q167 P172:Q172 P174:Q174 P176:Q176 P180:Q182 P184:Q184">
    <cfRule type="containsText" dxfId="2" priority="32642" operator="containsText" text="Yes">
      <formula>NOT(ISERROR(SEARCH(("Yes"),(P133))))</formula>
    </cfRule>
  </conditionalFormatting>
  <conditionalFormatting sqref="P133:Q133 P135:Q152 O145 P154:Q154 P159:Q159 P161:Q162 P164:Q164 P166:Q167 P172:Q172 P174:Q174 P176:Q176 P180:Q182 P184:Q184">
    <cfRule type="containsText" dxfId="2" priority="32643" operator="containsText" text="Yes">
      <formula>NOT(ISERROR(SEARCH(("Yes"),(P133))))</formula>
    </cfRule>
  </conditionalFormatting>
  <conditionalFormatting sqref="P133:Q133 P135:Q152 O145 P154:Q154 P159:Q159 P161:Q162 P164:Q164 P166:Q167 P172:Q172 P174:Q174 P176:Q176 P180:Q182 P184:Q184">
    <cfRule type="containsText" dxfId="2" priority="32644" operator="containsText" text="Yes">
      <formula>NOT(ISERROR(SEARCH(("Yes"),(P133))))</formula>
    </cfRule>
  </conditionalFormatting>
  <conditionalFormatting sqref="P133:Q133 P135:Q152 O145 P154:Q154 P159:Q159 P161:Q162 P164:Q164 P166:Q167 P172:Q172 P174:Q174 P176:Q176 P180:Q182 P184:Q184">
    <cfRule type="containsText" dxfId="2" priority="32645" operator="containsText" text="Yes">
      <formula>NOT(ISERROR(SEARCH(("Yes"),(P133))))</formula>
    </cfRule>
  </conditionalFormatting>
  <conditionalFormatting sqref="P133:Q133 P135:Q152 O145 P154:Q154 P159:Q159 P161:Q162 P164:Q164 P166:Q167 P172:Q172 P174:Q174 P176:Q176 P180:Q182 P184:Q184">
    <cfRule type="containsText" dxfId="2" priority="32646" operator="containsText" text="Yes">
      <formula>NOT(ISERROR(SEARCH(("Yes"),(P133))))</formula>
    </cfRule>
  </conditionalFormatting>
  <conditionalFormatting sqref="P133:Q133 P135:Q152 O145 P154:Q154 P159:Q159 P161:Q162 P164:Q164 P166:Q167 P172:Q172 P174:Q174 P176:Q176 P180:Q182 P184:Q184">
    <cfRule type="containsText" dxfId="2" priority="32647" operator="containsText" text="Yes">
      <formula>NOT(ISERROR(SEARCH(("Yes"),(P133))))</formula>
    </cfRule>
  </conditionalFormatting>
  <conditionalFormatting sqref="P133:Q133 P135:Q152 O145 P154:Q154 P159:Q159 P161:Q162 P164:Q164 P166:Q167 P172:Q172 P174:Q174 P176:Q176 P180:Q182 P184:Q184">
    <cfRule type="containsText" dxfId="2" priority="32648" operator="containsText" text="Yes">
      <formula>NOT(ISERROR(SEARCH(("Yes"),(P133))))</formula>
    </cfRule>
  </conditionalFormatting>
  <conditionalFormatting sqref="P133:Q133 P135:Q152 O145 P154:Q154 P159:Q159 P161:Q162 P164:Q164 P166:Q167 P172:Q172 P174:Q174 P176:Q176 P180:Q182 P184:Q184">
    <cfRule type="containsText" dxfId="2" priority="32649" operator="containsText" text="Yes">
      <formula>NOT(ISERROR(SEARCH(("Yes"),(P133))))</formula>
    </cfRule>
  </conditionalFormatting>
  <conditionalFormatting sqref="P133:Q133 P135:Q152 O145 P154:Q154 P159:Q159 P161:Q162 P164:Q164 P166:Q167 P172:Q172 P174:Q174 P176:Q176 P180:Q182 P184:Q184">
    <cfRule type="containsText" dxfId="2" priority="32650" operator="containsText" text="Yes">
      <formula>NOT(ISERROR(SEARCH(("Yes"),(P133))))</formula>
    </cfRule>
  </conditionalFormatting>
  <conditionalFormatting sqref="P133:Q133 P135:Q152 O145 P154:Q154 P159:Q159 P161:Q162 P164:Q164 P166:Q167 P172:Q172 P174:Q174 P176:Q176 P180:Q182 P184:Q184">
    <cfRule type="containsText" dxfId="2" priority="32651" operator="containsText" text="Yes">
      <formula>NOT(ISERROR(SEARCH(("Yes"),(P133))))</formula>
    </cfRule>
  </conditionalFormatting>
  <conditionalFormatting sqref="P133:Q133 P135:Q152 O145 P154:Q154 P159:Q159 P161:Q162 P164:Q164 P166:Q167 P172:Q172 P174:Q174 P176:Q176 P180:Q182 P184:Q184">
    <cfRule type="containsText" dxfId="2" priority="32652" operator="containsText" text="Yes">
      <formula>NOT(ISERROR(SEARCH(("Yes"),(P133))))</formula>
    </cfRule>
  </conditionalFormatting>
  <conditionalFormatting sqref="P133:Q133 P135:Q152 O145 P154:Q154 P159:Q159 P161:Q162 P164:Q164 P166:Q167 P172:Q172 P174:Q174 P176:Q176 P180:Q182 P184:Q184">
    <cfRule type="containsText" dxfId="2" priority="32653" operator="containsText" text="Yes">
      <formula>NOT(ISERROR(SEARCH(("Yes"),(P133))))</formula>
    </cfRule>
  </conditionalFormatting>
  <conditionalFormatting sqref="P133:Q133 P135:Q152 O145 P154:Q154 P159:Q159 P161:Q162 P164:Q164 P166:Q167 P172:Q172 P174:Q174 P176:Q176 P180:Q182 P184:Q184">
    <cfRule type="containsText" dxfId="2" priority="32654" operator="containsText" text="Yes">
      <formula>NOT(ISERROR(SEARCH(("Yes"),(P133))))</formula>
    </cfRule>
  </conditionalFormatting>
  <conditionalFormatting sqref="P133:Q133 P135:Q152 O145 P154:Q154 P159:Q159 P161:Q162 P164:Q164 P166:Q167 P172:Q172 P174:Q174 P176:Q176 P180:Q182 P184:Q184">
    <cfRule type="containsText" dxfId="2" priority="32655" operator="containsText" text="Yes">
      <formula>NOT(ISERROR(SEARCH(("Yes"),(P133))))</formula>
    </cfRule>
  </conditionalFormatting>
  <conditionalFormatting sqref="P133:Q133 P135:Q152 O145 P154:Q154 P159:Q159 P161:Q162 P164:Q164 P166:Q167 P172:Q172 P174:Q174 P176:Q176 P180:Q182 P184:Q184">
    <cfRule type="containsText" dxfId="2" priority="32656" operator="containsText" text="Yes">
      <formula>NOT(ISERROR(SEARCH(("Yes"),(P133))))</formula>
    </cfRule>
  </conditionalFormatting>
  <conditionalFormatting sqref="P133:Q133 P135:Q152 O145 P154:Q154 P159:Q159 P161:Q162 P164:Q164 P166:Q167 P172:Q172 P174:Q174 P176:Q176 P180:Q182 P184:Q184">
    <cfRule type="containsText" dxfId="2" priority="32657" operator="containsText" text="Yes">
      <formula>NOT(ISERROR(SEARCH(("Yes"),(P133))))</formula>
    </cfRule>
  </conditionalFormatting>
  <conditionalFormatting sqref="P133:Q133 P135:Q152 O145 P154:Q154 P159:Q159 P161:Q162 P164:Q164 P166:Q167 P172:Q172 P174:Q174 P176:Q176 P180:Q182 P184:Q184">
    <cfRule type="containsText" dxfId="2" priority="32658" operator="containsText" text="Yes">
      <formula>NOT(ISERROR(SEARCH(("Yes"),(P133))))</formula>
    </cfRule>
  </conditionalFormatting>
  <conditionalFormatting sqref="P133:Q133 P135:Q152 O145 P154:Q154 P159:Q159 P161:Q162 P164:Q164 P166:Q167 P172:Q172 P174:Q174 P176:Q176 P180:Q182 P184:Q184">
    <cfRule type="containsText" dxfId="2" priority="32659" operator="containsText" text="Yes">
      <formula>NOT(ISERROR(SEARCH(("Yes"),(P133))))</formula>
    </cfRule>
  </conditionalFormatting>
  <conditionalFormatting sqref="P133:Q133 P135:Q152 O145 P154:Q154 P159:Q159 P161:Q162 P164:Q164 P166:Q167 P172:Q172 P174:Q174 P176:Q176 P180:Q182 P184:Q184">
    <cfRule type="containsText" dxfId="2" priority="32660" operator="containsText" text="Yes">
      <formula>NOT(ISERROR(SEARCH(("Yes"),(P133))))</formula>
    </cfRule>
  </conditionalFormatting>
  <conditionalFormatting sqref="P133:Q133 P135:Q152 O145 P154:Q154 P159:Q159 P161:Q162 P164:Q164 P166:Q167 P172:Q172 P174:Q174 P176:Q176 P180:Q182 P184:Q184">
    <cfRule type="containsText" dxfId="2" priority="32661" operator="containsText" text="Yes">
      <formula>NOT(ISERROR(SEARCH(("Yes"),(P133))))</formula>
    </cfRule>
  </conditionalFormatting>
  <conditionalFormatting sqref="P133:Q133 P135:Q152 O145 P154:Q154 P159:Q159 P161:Q162 P164:Q164 P166:Q167 P172:Q172 P174:Q174 P176:Q176 P180:Q182 P184:Q184">
    <cfRule type="containsText" dxfId="2" priority="32662" operator="containsText" text="Yes">
      <formula>NOT(ISERROR(SEARCH(("Yes"),(P133))))</formula>
    </cfRule>
  </conditionalFormatting>
  <conditionalFormatting sqref="P133:Q133 P135:Q152 O145 P154:Q154 P159:Q159 P161:Q162 P164:Q164 P166:Q167 P172:Q172 P174:Q174 P176:Q176 P180:Q182 P184:Q184">
    <cfRule type="containsText" dxfId="2" priority="32663" operator="containsText" text="Yes">
      <formula>NOT(ISERROR(SEARCH(("Yes"),(P133))))</formula>
    </cfRule>
  </conditionalFormatting>
  <conditionalFormatting sqref="P133:Q133 P135:Q152 O145 P154:Q154 P159:Q159 P161:Q162 P164:Q164 P166:Q167 P172:Q172 P174:Q174 P176:Q176 P180:Q182 P184:Q184">
    <cfRule type="containsText" dxfId="2" priority="32664" operator="containsText" text="Yes">
      <formula>NOT(ISERROR(SEARCH(("Yes"),(P133))))</formula>
    </cfRule>
  </conditionalFormatting>
  <conditionalFormatting sqref="P133:Q133 P135:Q152 O145 P154:Q154 P159:Q159 P161:Q162 P164:Q164 P166:Q167 P172:Q172 P174:Q174 P176:Q176 P180:Q182 P184:Q184">
    <cfRule type="containsText" dxfId="2" priority="32665" operator="containsText" text="Yes">
      <formula>NOT(ISERROR(SEARCH(("Yes"),(P133))))</formula>
    </cfRule>
  </conditionalFormatting>
  <conditionalFormatting sqref="P133:Q133 P135:Q152 O145 P154:Q154 P159:Q159 P161:Q162 P164:Q164 P166:Q167 P172:Q172 P174:Q174 P176:Q176 P180:Q182 P184:Q184">
    <cfRule type="containsText" dxfId="2" priority="32666" operator="containsText" text="Yes">
      <formula>NOT(ISERROR(SEARCH(("Yes"),(P133))))</formula>
    </cfRule>
  </conditionalFormatting>
  <conditionalFormatting sqref="P133:Q133 P135:Q152 O145 P154:Q154 P159:Q159 P161:Q162 P164:Q164 P166:Q167 P172:Q172 P174:Q174 P176:Q176 P180:Q182 P184:Q184">
    <cfRule type="containsText" dxfId="2" priority="32667" operator="containsText" text="Yes">
      <formula>NOT(ISERROR(SEARCH(("Yes"),(P133))))</formula>
    </cfRule>
  </conditionalFormatting>
  <conditionalFormatting sqref="P133:Q133 P135:Q152 O145 P154:Q154 P159:Q159 P161:Q162 P164:Q164 P166:Q167 P172:Q172 P174:Q174 P176:Q176 P180:Q182 P184:Q184">
    <cfRule type="containsText" dxfId="2" priority="32668" operator="containsText" text="Yes">
      <formula>NOT(ISERROR(SEARCH(("Yes"),(P133))))</formula>
    </cfRule>
  </conditionalFormatting>
  <conditionalFormatting sqref="P133:Q133 P135:Q152 O145 P154:Q154 P159:Q159 P161:Q162 P164:Q164 P166:Q167 P172:Q172 P174:Q174 P176:Q176 P180:Q182 P184:Q184">
    <cfRule type="containsText" dxfId="2" priority="32669" operator="containsText" text="Yes">
      <formula>NOT(ISERROR(SEARCH(("Yes"),(P133))))</formula>
    </cfRule>
  </conditionalFormatting>
  <conditionalFormatting sqref="P133:Q133 P135:Q152 O145 P154:Q154 P159:Q159 P161:Q162 P164:Q164 P166:Q167 P172:Q172 P174:Q174 P176:Q176 P180:Q182 P184:Q184">
    <cfRule type="containsText" dxfId="2" priority="32670" operator="containsText" text="Yes">
      <formula>NOT(ISERROR(SEARCH(("Yes"),(P133))))</formula>
    </cfRule>
  </conditionalFormatting>
  <conditionalFormatting sqref="P133:Q133 P135:Q152 O145 P154:Q154 P159:Q159 P161:Q162 P164:Q164 P166:Q167 P172:Q172 P174:Q174 P176:Q176 P180:Q182 P184:Q184">
    <cfRule type="containsText" dxfId="2" priority="32671" operator="containsText" text="Yes">
      <formula>NOT(ISERROR(SEARCH(("Yes"),(P133))))</formula>
    </cfRule>
  </conditionalFormatting>
  <conditionalFormatting sqref="P133:Q133 P135:Q152 O145 P154:Q154 P159:Q159 P161:Q162 P164:Q164 P166:Q167 P172:Q172 P174:Q174 P176:Q176 P180:Q182 P184:Q184">
    <cfRule type="containsText" dxfId="2" priority="32672" operator="containsText" text="Yes">
      <formula>NOT(ISERROR(SEARCH(("Yes"),(P133))))</formula>
    </cfRule>
  </conditionalFormatting>
  <conditionalFormatting sqref="P133:Q133 P135:Q152 O145 P154:Q154 P159:Q159 P161:Q162 P164:Q164 P166:Q167 P172:Q172 P174:Q174 P176:Q176 P180:Q182 P184:Q184">
    <cfRule type="containsText" dxfId="2" priority="32673" operator="containsText" text="Yes">
      <formula>NOT(ISERROR(SEARCH(("Yes"),(P133))))</formula>
    </cfRule>
  </conditionalFormatting>
  <conditionalFormatting sqref="P133:Q133 P135:Q152 O145 P154:Q154 P159:Q159 P161:Q162 P164:Q164 P166:Q167 P172:Q172 P174:Q174 P176:Q176 P180:Q182 P184:Q184">
    <cfRule type="containsText" dxfId="2" priority="32674" operator="containsText" text="Yes">
      <formula>NOT(ISERROR(SEARCH(("Yes"),(P133))))</formula>
    </cfRule>
  </conditionalFormatting>
  <conditionalFormatting sqref="P133:Q133 P135:Q152 O145 P154:Q154 P159:Q159 P161:Q162 P164:Q164 P166:Q167 P172:Q172 P174:Q174 P176:Q176 P180:Q182 P184:Q184">
    <cfRule type="containsText" dxfId="2" priority="32675" operator="containsText" text="Yes">
      <formula>NOT(ISERROR(SEARCH(("Yes"),(P133))))</formula>
    </cfRule>
  </conditionalFormatting>
  <conditionalFormatting sqref="P133:Q133 P135:Q152 O145 P154:Q154 P159:Q159 P161:Q162 P164:Q164 P166:Q167 P172:Q172 P174:Q174 P176:Q176 P180:Q182 P184:Q184">
    <cfRule type="containsText" dxfId="2" priority="32676" operator="containsText" text="Yes">
      <formula>NOT(ISERROR(SEARCH(("Yes"),(P133))))</formula>
    </cfRule>
  </conditionalFormatting>
  <conditionalFormatting sqref="P133:Q133 P135:Q152 O145 P154:Q154 P159:Q159 P161:Q162 P164:Q164 P166:Q167 P172:Q172 P174:Q174 P176:Q176 P180:Q182 P184:Q184">
    <cfRule type="containsText" dxfId="2" priority="32677" operator="containsText" text="Yes">
      <formula>NOT(ISERROR(SEARCH(("Yes"),(P133))))</formula>
    </cfRule>
  </conditionalFormatting>
  <conditionalFormatting sqref="P133:Q133 P135:Q152 O145 P154:Q154 P159:Q159 P161:Q162 P164:Q164 P166:Q167 P172:Q172 P174:Q174 P176:Q176 P180:Q182 P184:Q184">
    <cfRule type="containsText" dxfId="2" priority="32678" operator="containsText" text="Yes">
      <formula>NOT(ISERROR(SEARCH(("Yes"),(P133))))</formula>
    </cfRule>
  </conditionalFormatting>
  <conditionalFormatting sqref="P133:Q133 P135:Q152 O145 P154:Q154 P159:Q159 P161:Q162 P164:Q164 P166:Q167 P172:Q172 P174:Q174 P176:Q176 P180:Q182 P184:Q184">
    <cfRule type="containsText" dxfId="2" priority="32679" operator="containsText" text="Yes">
      <formula>NOT(ISERROR(SEARCH(("Yes"),(P133))))</formula>
    </cfRule>
  </conditionalFormatting>
  <conditionalFormatting sqref="P133:Q133 P135:Q152 O145 P154:Q154 P159:Q159 P161:Q162 P164:Q164 P166:Q167 P172:Q172 P174:Q174 P176:Q176 P180:Q182 P184:Q184">
    <cfRule type="containsText" dxfId="2" priority="32680" operator="containsText" text="Yes">
      <formula>NOT(ISERROR(SEARCH(("Yes"),(P133))))</formula>
    </cfRule>
  </conditionalFormatting>
  <conditionalFormatting sqref="P133:Q133 P135:Q152 O145 P154:Q154 P159:Q159 P161:Q162 P164:Q164 P166:Q167 P172:Q172 P174:Q174 P176:Q176 P180:Q182 P184:Q184">
    <cfRule type="containsText" dxfId="2" priority="32681" operator="containsText" text="Yes">
      <formula>NOT(ISERROR(SEARCH(("Yes"),(P133))))</formula>
    </cfRule>
  </conditionalFormatting>
  <conditionalFormatting sqref="P134:Q134 P136:Q139 P142:P152 Q142:Q216 O145 P154 P159 P161:P162 P164 P166:P167 P172 P174:P216 U204:V204 P222:Q226 P228:Q252 P254:Q256 P258:Q264 O261:O264 O267:Q269 P272:Q275 O275">
    <cfRule type="containsText" dxfId="9" priority="32682"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83"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84"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85"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86"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87"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88"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89"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90"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91"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92"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93"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94"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95"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96"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97"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98"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699"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00"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01"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02"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03"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04"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05"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06"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07"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08"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09"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10"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11"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12"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13"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14"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15"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16"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17"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18"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19"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20"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21"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22"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23"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24"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25"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9" priority="32726" operator="containsText" text="No">
      <formula>NOT(ISERROR(SEARCH(("No"),(P134))))</formula>
    </cfRule>
  </conditionalFormatting>
  <conditionalFormatting sqref="P134:Q134 P136:Q139 P142:P152 Q142:Q216 O145 P154 P159 P161:P162 P164 P166:P167 P172 P174:P216 U204:V204 P222:Q226 P228:Q252 P254:Q256 P258:Q264 O261:O264 O267:Q269 P272:Q275 O275">
    <cfRule type="containsText" dxfId="2" priority="32727"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28"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29"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30"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31"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32"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33"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34"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35"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36"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37"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38"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39"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40"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41"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42"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43"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44"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45"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46"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47"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48"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49"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50"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51"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52"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53"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54"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55"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56"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57"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58"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59"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60"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61"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62"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63"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64"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65"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66"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67"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68"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69"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70"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71"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72" operator="containsText" text="Yes">
      <formula>NOT(ISERROR(SEARCH(("Yes"),(P134))))</formula>
    </cfRule>
  </conditionalFormatting>
  <conditionalFormatting sqref="P134:Q134 P136:Q139 P142:P152 Q142:Q216 O145 P154 P159 P161:P162 P164 P166:P167 P172 P174:P216 U204:V204 P222:Q226 P228:Q252 P254:Q256 P258:Q264 O261:O264 O267:Q269 P272:Q275 O275">
    <cfRule type="containsText" dxfId="2" priority="32773" operator="containsText" text="Yes">
      <formula>NOT(ISERROR(SEARCH(("Yes"),(P134))))</formula>
    </cfRule>
  </conditionalFormatting>
  <conditionalFormatting sqref="P135:Q135 P137:Q152 O145 P154:Q154 P159:Q159 P161:Q162 P164:Q164 P166:Q167 P172:Q172 P174:Q174 P176:Q176 P180:Q182 P184:Q184">
    <cfRule type="containsText" dxfId="9" priority="32774" operator="containsText" text="No">
      <formula>NOT(ISERROR(SEARCH(("No"),(P135))))</formula>
    </cfRule>
  </conditionalFormatting>
  <conditionalFormatting sqref="P135:Q135 P137:Q152 O145 P154:Q154 P159:Q159 P161:Q162 P164:Q164 P166:Q167 P172:Q172 P174:Q174 P176:Q176 P180:Q182 P184:Q184">
    <cfRule type="containsText" dxfId="9" priority="32775" operator="containsText" text="No">
      <formula>NOT(ISERROR(SEARCH(("No"),(P135))))</formula>
    </cfRule>
  </conditionalFormatting>
  <conditionalFormatting sqref="P135:Q135 P137:Q152 O145 P154:Q154 P159:Q159 P161:Q162 P164:Q164 P166:Q167 P172:Q172 P174:Q174 P176:Q176 P180:Q182 P184:Q184">
    <cfRule type="containsText" dxfId="9" priority="32776" operator="containsText" text="No">
      <formula>NOT(ISERROR(SEARCH(("No"),(P135))))</formula>
    </cfRule>
  </conditionalFormatting>
  <conditionalFormatting sqref="P135:Q135 P137:Q152 O145 P154:Q154 P159:Q159 P161:Q162 P164:Q164 P166:Q167 P172:Q172 P174:Q174 P176:Q176 P180:Q182 P184:Q184">
    <cfRule type="containsText" dxfId="9" priority="32777" operator="containsText" text="No">
      <formula>NOT(ISERROR(SEARCH(("No"),(P135))))</formula>
    </cfRule>
  </conditionalFormatting>
  <conditionalFormatting sqref="P135:Q135 P137:Q152 O145 P154:Q154 P159:Q159 P161:Q162 P164:Q164 P166:Q167 P172:Q172 P174:Q174 P176:Q176 P180:Q182 P184:Q184">
    <cfRule type="containsText" dxfId="9" priority="32778" operator="containsText" text="No">
      <formula>NOT(ISERROR(SEARCH(("No"),(P135))))</formula>
    </cfRule>
  </conditionalFormatting>
  <conditionalFormatting sqref="P135:Q135 P137:Q152 O145 P154:Q154 P159:Q159 P161:Q162 P164:Q164 P166:Q167 P172:Q172 P174:Q174 P176:Q176 P180:Q182 P184:Q184">
    <cfRule type="containsText" dxfId="9" priority="32779" operator="containsText" text="No">
      <formula>NOT(ISERROR(SEARCH(("No"),(P135))))</formula>
    </cfRule>
  </conditionalFormatting>
  <conditionalFormatting sqref="P135:Q135 P137:Q152 O145 P154:Q154 P159:Q159 P161:Q162 P164:Q164 P166:Q167 P172:Q172 P174:Q174 P176:Q176 P180:Q182 P184:Q184">
    <cfRule type="containsText" dxfId="9" priority="32780" operator="containsText" text="No">
      <formula>NOT(ISERROR(SEARCH(("No"),(P135))))</formula>
    </cfRule>
  </conditionalFormatting>
  <conditionalFormatting sqref="P135:Q135 P137:Q152 O145 P154:Q154 P159:Q159 P161:Q162 P164:Q164 P166:Q167 P172:Q172 P174:Q174 P176:Q176 P180:Q182 P184:Q184">
    <cfRule type="containsText" dxfId="9" priority="32781" operator="containsText" text="No">
      <formula>NOT(ISERROR(SEARCH(("No"),(P135))))</formula>
    </cfRule>
  </conditionalFormatting>
  <conditionalFormatting sqref="P135:Q135 P137:Q152 O145 P154:Q154 P159:Q159 P161:Q162 P164:Q164 P166:Q167 P172:Q172 P174:Q174 P176:Q176 P180:Q182 P184:Q184">
    <cfRule type="containsText" dxfId="9" priority="32782" operator="containsText" text="No">
      <formula>NOT(ISERROR(SEARCH(("No"),(P135))))</formula>
    </cfRule>
  </conditionalFormatting>
  <conditionalFormatting sqref="P135:Q135 P137:Q152 O145 P154:Q154 P159:Q159 P161:Q162 P164:Q164 P166:Q167 P172:Q172 P174:Q174 P176:Q176 P180:Q182 P184:Q184">
    <cfRule type="containsText" dxfId="9" priority="32783" operator="containsText" text="No">
      <formula>NOT(ISERROR(SEARCH(("No"),(P135))))</formula>
    </cfRule>
  </conditionalFormatting>
  <conditionalFormatting sqref="P135:Q135 P137:Q152 O145 P154:Q154 P159:Q159 P161:Q162 P164:Q164 P166:Q167 P172:Q172 P174:Q174 P176:Q176 P180:Q182 P184:Q184">
    <cfRule type="containsText" dxfId="9" priority="32784" operator="containsText" text="No">
      <formula>NOT(ISERROR(SEARCH(("No"),(P135))))</formula>
    </cfRule>
  </conditionalFormatting>
  <conditionalFormatting sqref="P135:Q135 P137:Q152 O145 P154:Q154 P159:Q159 P161:Q162 P164:Q164 P166:Q167 P172:Q172 P174:Q174 P176:Q176 P180:Q182 P184:Q184">
    <cfRule type="containsText" dxfId="9" priority="32785" operator="containsText" text="No">
      <formula>NOT(ISERROR(SEARCH(("No"),(P135))))</formula>
    </cfRule>
  </conditionalFormatting>
  <conditionalFormatting sqref="P135:Q135 P137:Q152 O145 P154:Q154 P159:Q159 P161:Q162 P164:Q164 P166:Q167 P172:Q172 P174:Q174 P176:Q176 P180:Q182 P184:Q184">
    <cfRule type="containsText" dxfId="9" priority="32786" operator="containsText" text="No">
      <formula>NOT(ISERROR(SEARCH(("No"),(P135))))</formula>
    </cfRule>
  </conditionalFormatting>
  <conditionalFormatting sqref="P135:Q135 P137:Q152 O145 P154:Q154 P159:Q159 P161:Q162 P164:Q164 P166:Q167 P172:Q172 P174:Q174 P176:Q176 P180:Q182 P184:Q184">
    <cfRule type="containsText" dxfId="9" priority="32787" operator="containsText" text="No">
      <formula>NOT(ISERROR(SEARCH(("No"),(P135))))</formula>
    </cfRule>
  </conditionalFormatting>
  <conditionalFormatting sqref="P135:Q135 P137:Q152 O145 P154:Q154 P159:Q159 P161:Q162 P164:Q164 P166:Q167 P172:Q172 P174:Q174 P176:Q176 P180:Q182 P184:Q184">
    <cfRule type="containsText" dxfId="9" priority="32788" operator="containsText" text="No">
      <formula>NOT(ISERROR(SEARCH(("No"),(P135))))</formula>
    </cfRule>
  </conditionalFormatting>
  <conditionalFormatting sqref="P135:Q135 P137:Q152 O145 P154:Q154 P159:Q159 P161:Q162 P164:Q164 P166:Q167 P172:Q172 P174:Q174 P176:Q176 P180:Q182 P184:Q184">
    <cfRule type="containsText" dxfId="9" priority="32789" operator="containsText" text="No">
      <formula>NOT(ISERROR(SEARCH(("No"),(P135))))</formula>
    </cfRule>
  </conditionalFormatting>
  <conditionalFormatting sqref="P135:Q135 P137:Q152 O145 P154:Q154 P159:Q159 P161:Q162 P164:Q164 P166:Q167 P172:Q172 P174:Q174 P176:Q176 P180:Q182 P184:Q184">
    <cfRule type="containsText" dxfId="9" priority="32790" operator="containsText" text="No">
      <formula>NOT(ISERROR(SEARCH(("No"),(P135))))</formula>
    </cfRule>
  </conditionalFormatting>
  <conditionalFormatting sqref="P135:Q135 P137:Q152 O145 P154:Q154 P159:Q159 P161:Q162 P164:Q164 P166:Q167 P172:Q172 P174:Q174 P176:Q176 P180:Q182 P184:Q184">
    <cfRule type="containsText" dxfId="9" priority="32791" operator="containsText" text="No">
      <formula>NOT(ISERROR(SEARCH(("No"),(P135))))</formula>
    </cfRule>
  </conditionalFormatting>
  <conditionalFormatting sqref="P135:Q135 P137:Q152 O145 P154:Q154 P159:Q159 P161:Q162 P164:Q164 P166:Q167 P172:Q172 P174:Q174 P176:Q176 P180:Q182 P184:Q184">
    <cfRule type="containsText" dxfId="9" priority="32792" operator="containsText" text="No">
      <formula>NOT(ISERROR(SEARCH(("No"),(P135))))</formula>
    </cfRule>
  </conditionalFormatting>
  <conditionalFormatting sqref="P135:Q135 P137:Q152 O145 P154:Q154 P159:Q159 P161:Q162 P164:Q164 P166:Q167 P172:Q172 P174:Q174 P176:Q176 P180:Q182 P184:Q184">
    <cfRule type="containsText" dxfId="9" priority="32793" operator="containsText" text="No">
      <formula>NOT(ISERROR(SEARCH(("No"),(P135))))</formula>
    </cfRule>
  </conditionalFormatting>
  <conditionalFormatting sqref="P135:Q135 P137:Q152 O145 P154:Q154 P159:Q159 P161:Q162 P164:Q164 P166:Q167 P172:Q172 P174:Q174 P176:Q176 P180:Q182 P184:Q184">
    <cfRule type="containsText" dxfId="9" priority="32794" operator="containsText" text="No">
      <formula>NOT(ISERROR(SEARCH(("No"),(P135))))</formula>
    </cfRule>
  </conditionalFormatting>
  <conditionalFormatting sqref="P135:Q135 P137:Q152 O145 P154:Q154 P159:Q159 P161:Q162 P164:Q164 P166:Q167 P172:Q172 P174:Q174 P176:Q176 P180:Q182 P184:Q184">
    <cfRule type="containsText" dxfId="9" priority="32795" operator="containsText" text="No">
      <formula>NOT(ISERROR(SEARCH(("No"),(P135))))</formula>
    </cfRule>
  </conditionalFormatting>
  <conditionalFormatting sqref="P135:Q135 P137:Q152 O145 P154:Q154 P159:Q159 P161:Q162 P164:Q164 P166:Q167 P172:Q172 P174:Q174 P176:Q176 P180:Q182 P184:Q184">
    <cfRule type="containsText" dxfId="9" priority="32796" operator="containsText" text="No">
      <formula>NOT(ISERROR(SEARCH(("No"),(P135))))</formula>
    </cfRule>
  </conditionalFormatting>
  <conditionalFormatting sqref="P135:Q135 P137:Q152 O145 P154:Q154 P159:Q159 P161:Q162 P164:Q164 P166:Q167 P172:Q172 P174:Q174 P176:Q176 P180:Q182 P184:Q184">
    <cfRule type="containsText" dxfId="9" priority="32797" operator="containsText" text="No">
      <formula>NOT(ISERROR(SEARCH(("No"),(P135))))</formula>
    </cfRule>
  </conditionalFormatting>
  <conditionalFormatting sqref="P135:Q135 P137:Q152 O145 P154:Q154 P159:Q159 P161:Q162 P164:Q164 P166:Q167 P172:Q172 P174:Q174 P176:Q176 P180:Q182 P184:Q184">
    <cfRule type="containsText" dxfId="9" priority="32798" operator="containsText" text="No">
      <formula>NOT(ISERROR(SEARCH(("No"),(P135))))</formula>
    </cfRule>
  </conditionalFormatting>
  <conditionalFormatting sqref="P135:Q135 P137:Q152 O145 P154:Q154 P159:Q159 P161:Q162 P164:Q164 P166:Q167 P172:Q172 P174:Q174 P176:Q176 P180:Q182 P184:Q184">
    <cfRule type="containsText" dxfId="9" priority="32799" operator="containsText" text="No">
      <formula>NOT(ISERROR(SEARCH(("No"),(P135))))</formula>
    </cfRule>
  </conditionalFormatting>
  <conditionalFormatting sqref="P135:Q135 P137:Q152 O145 P154:Q154 P159:Q159 P161:Q162 P164:Q164 P166:Q167 P172:Q172 P174:Q174 P176:Q176 P180:Q182 P184:Q184">
    <cfRule type="containsText" dxfId="9" priority="32800" operator="containsText" text="No">
      <formula>NOT(ISERROR(SEARCH(("No"),(P135))))</formula>
    </cfRule>
  </conditionalFormatting>
  <conditionalFormatting sqref="P135:Q135 P137:Q152 O145 P154:Q154 P159:Q159 P161:Q162 P164:Q164 P166:Q167 P172:Q172 P174:Q174 P176:Q176 P180:Q182 P184:Q184">
    <cfRule type="containsText" dxfId="9" priority="32801" operator="containsText" text="No">
      <formula>NOT(ISERROR(SEARCH(("No"),(P135))))</formula>
    </cfRule>
  </conditionalFormatting>
  <conditionalFormatting sqref="P135:Q135 P137:Q152 O145 P154:Q154 P159:Q159 P161:Q162 P164:Q164 P166:Q167 P172:Q172 P174:Q174 P176:Q176 P180:Q182 P184:Q184">
    <cfRule type="containsText" dxfId="9" priority="32802" operator="containsText" text="No">
      <formula>NOT(ISERROR(SEARCH(("No"),(P135))))</formula>
    </cfRule>
  </conditionalFormatting>
  <conditionalFormatting sqref="P135:Q135 P137:Q152 O145 P154:Q154 P159:Q159 P161:Q162 P164:Q164 P166:Q167 P172:Q172 P174:Q174 P176:Q176 P180:Q182 P184:Q184">
    <cfRule type="containsText" dxfId="9" priority="32803" operator="containsText" text="No">
      <formula>NOT(ISERROR(SEARCH(("No"),(P135))))</formula>
    </cfRule>
  </conditionalFormatting>
  <conditionalFormatting sqref="P135:Q135 P137:Q152 O145 P154:Q154 P159:Q159 P161:Q162 P164:Q164 P166:Q167 P172:Q172 P174:Q174 P176:Q176 P180:Q182 P184:Q184">
    <cfRule type="containsText" dxfId="9" priority="32804" operator="containsText" text="No">
      <formula>NOT(ISERROR(SEARCH(("No"),(P135))))</formula>
    </cfRule>
  </conditionalFormatting>
  <conditionalFormatting sqref="P135:Q135 P137:Q152 O145 P154:Q154 P159:Q159 P161:Q162 P164:Q164 P166:Q167 P172:Q172 P174:Q174 P176:Q176 P180:Q182 P184:Q184">
    <cfRule type="containsText" dxfId="9" priority="32805" operator="containsText" text="No">
      <formula>NOT(ISERROR(SEARCH(("No"),(P135))))</formula>
    </cfRule>
  </conditionalFormatting>
  <conditionalFormatting sqref="P135:Q135 P137:Q152 O145 P154:Q154 P159:Q159 P161:Q162 P164:Q164 P166:Q167 P172:Q172 P174:Q174 P176:Q176 P180:Q182 P184:Q184">
    <cfRule type="containsText" dxfId="9" priority="32806" operator="containsText" text="No">
      <formula>NOT(ISERROR(SEARCH(("No"),(P135))))</formula>
    </cfRule>
  </conditionalFormatting>
  <conditionalFormatting sqref="P135:Q135 P137:Q152 O145 P154:Q154 P159:Q159 P161:Q162 P164:Q164 P166:Q167 P172:Q172 P174:Q174 P176:Q176 P180:Q182 P184:Q184">
    <cfRule type="containsText" dxfId="9" priority="32807" operator="containsText" text="No">
      <formula>NOT(ISERROR(SEARCH(("No"),(P135))))</formula>
    </cfRule>
  </conditionalFormatting>
  <conditionalFormatting sqref="P135:Q135 P137:Q152 O145 P154:Q154 P159:Q159 P161:Q162 P164:Q164 P166:Q167 P172:Q172 P174:Q174 P176:Q176 P180:Q182 P184:Q184">
    <cfRule type="containsText" dxfId="9" priority="32808" operator="containsText" text="No">
      <formula>NOT(ISERROR(SEARCH(("No"),(P135))))</formula>
    </cfRule>
  </conditionalFormatting>
  <conditionalFormatting sqref="P135:Q135 P137:Q152 O145 P154:Q154 P159:Q159 P161:Q162 P164:Q164 P166:Q167 P172:Q172 P174:Q174 P176:Q176 P180:Q182 P184:Q184">
    <cfRule type="containsText" dxfId="9" priority="32809" operator="containsText" text="No">
      <formula>NOT(ISERROR(SEARCH(("No"),(P135))))</formula>
    </cfRule>
  </conditionalFormatting>
  <conditionalFormatting sqref="P135:Q135 P137:Q152 O145 P154:Q154 P159:Q159 P161:Q162 P164:Q164 P166:Q167 P172:Q172 P174:Q174 P176:Q176 P180:Q182 P184:Q184">
    <cfRule type="containsText" dxfId="9" priority="32810" operator="containsText" text="No">
      <formula>NOT(ISERROR(SEARCH(("No"),(P135))))</formula>
    </cfRule>
  </conditionalFormatting>
  <conditionalFormatting sqref="P135:Q135 P137:Q152 O145 P154:Q154 P159:Q159 P161:Q162 P164:Q164 P166:Q167 P172:Q172 P174:Q174 P176:Q176 P180:Q182 P184:Q184">
    <cfRule type="containsText" dxfId="9" priority="32811" operator="containsText" text="No">
      <formula>NOT(ISERROR(SEARCH(("No"),(P135))))</formula>
    </cfRule>
  </conditionalFormatting>
  <conditionalFormatting sqref="P135:Q135 P137:Q152 O145 P154:Q154 P159:Q159 P161:Q162 P164:Q164 P166:Q167 P172:Q172 P174:Q174 P176:Q176 P180:Q182 P184:Q184">
    <cfRule type="containsText" dxfId="9" priority="32812" operator="containsText" text="No">
      <formula>NOT(ISERROR(SEARCH(("No"),(P135))))</formula>
    </cfRule>
  </conditionalFormatting>
  <conditionalFormatting sqref="P135:Q135 P137:Q152 O145 P154:Q154 P159:Q159 P161:Q162 P164:Q164 P166:Q167 P172:Q172 P174:Q174 P176:Q176 P180:Q182 P184:Q184">
    <cfRule type="containsText" dxfId="9" priority="32813" operator="containsText" text="No">
      <formula>NOT(ISERROR(SEARCH(("No"),(P135))))</formula>
    </cfRule>
  </conditionalFormatting>
  <conditionalFormatting sqref="P135:Q135 P137:Q152 O145 P154:Q154 P159:Q159 P161:Q162 P164:Q164 P166:Q167 P172:Q172 P174:Q174 P176:Q176 P180:Q182 P184:Q184">
    <cfRule type="containsText" dxfId="9" priority="32814" operator="containsText" text="No">
      <formula>NOT(ISERROR(SEARCH(("No"),(P135))))</formula>
    </cfRule>
  </conditionalFormatting>
  <conditionalFormatting sqref="P135:Q135 P137:Q152 O145 P154:Q154 P159:Q159 P161:Q162 P164:Q164 P166:Q167 P172:Q172 P174:Q174 P176:Q176 P180:Q182 P184:Q184">
    <cfRule type="containsText" dxfId="9" priority="32815" operator="containsText" text="No">
      <formula>NOT(ISERROR(SEARCH(("No"),(P135))))</formula>
    </cfRule>
  </conditionalFormatting>
  <conditionalFormatting sqref="P135:Q135 P137:Q152 O145 P154:Q154 P159:Q159 P161:Q162 P164:Q164 P166:Q167 P172:Q172 P174:Q174 P176:Q176 P180:Q182 P184:Q184">
    <cfRule type="containsText" dxfId="9" priority="32816" operator="containsText" text="No">
      <formula>NOT(ISERROR(SEARCH(("No"),(P135))))</formula>
    </cfRule>
  </conditionalFormatting>
  <conditionalFormatting sqref="P135:Q135 P137:Q152 O145 P154:Q154 P159:Q159 P161:Q162 P164:Q164 P166:Q167 P172:Q172 P174:Q174 P176:Q176 P180:Q182 P184:Q184">
    <cfRule type="containsText" dxfId="9" priority="32817" operator="containsText" text="No">
      <formula>NOT(ISERROR(SEARCH(("No"),(P135))))</formula>
    </cfRule>
  </conditionalFormatting>
  <conditionalFormatting sqref="P135:Q135 P137:Q152 O145 P154:Q154 P159:Q159 P161:Q162 P164:Q164 P166:Q167 P172:Q172 P174:Q174 P176:Q176 P180:Q182 P184:Q184">
    <cfRule type="containsText" dxfId="9" priority="32818" operator="containsText" text="No">
      <formula>NOT(ISERROR(SEARCH(("No"),(P135))))</formula>
    </cfRule>
  </conditionalFormatting>
  <conditionalFormatting sqref="P135:Q135 P137:Q152 O145 P154:Q154 P159:Q159 P161:Q162 P164:Q164 P166:Q167 P172:Q172 P174:Q174 P176:Q176 P180:Q182 P184:Q184">
    <cfRule type="containsText" dxfId="2" priority="32819" operator="containsText" text="Yes">
      <formula>NOT(ISERROR(SEARCH(("Yes"),(P135))))</formula>
    </cfRule>
  </conditionalFormatting>
  <conditionalFormatting sqref="P135:Q135 P137:Q152 O145 P154:Q154 P159:Q159 P161:Q162 P164:Q164 P166:Q167 P172:Q172 P174:Q174 P176:Q176 P180:Q182 P184:Q184">
    <cfRule type="containsText" dxfId="2" priority="32820" operator="containsText" text="Yes">
      <formula>NOT(ISERROR(SEARCH(("Yes"),(P135))))</formula>
    </cfRule>
  </conditionalFormatting>
  <conditionalFormatting sqref="P135:Q135 P137:Q152 O145 P154:Q154 P159:Q159 P161:Q162 P164:Q164 P166:Q167 P172:Q172 P174:Q174 P176:Q176 P180:Q182 P184:Q184">
    <cfRule type="containsText" dxfId="2" priority="32821" operator="containsText" text="Yes">
      <formula>NOT(ISERROR(SEARCH(("Yes"),(P135))))</formula>
    </cfRule>
  </conditionalFormatting>
  <conditionalFormatting sqref="P135:Q135 P137:Q152 O145 P154:Q154 P159:Q159 P161:Q162 P164:Q164 P166:Q167 P172:Q172 P174:Q174 P176:Q176 P180:Q182 P184:Q184">
    <cfRule type="containsText" dxfId="2" priority="32822" operator="containsText" text="Yes">
      <formula>NOT(ISERROR(SEARCH(("Yes"),(P135))))</formula>
    </cfRule>
  </conditionalFormatting>
  <conditionalFormatting sqref="P135:Q135 P137:Q152 O145 P154:Q154 P159:Q159 P161:Q162 P164:Q164 P166:Q167 P172:Q172 P174:Q174 P176:Q176 P180:Q182 P184:Q184">
    <cfRule type="containsText" dxfId="2" priority="32823" operator="containsText" text="Yes">
      <formula>NOT(ISERROR(SEARCH(("Yes"),(P135))))</formula>
    </cfRule>
  </conditionalFormatting>
  <conditionalFormatting sqref="P135:Q135 P137:Q152 O145 P154:Q154 P159:Q159 P161:Q162 P164:Q164 P166:Q167 P172:Q172 P174:Q174 P176:Q176 P180:Q182 P184:Q184">
    <cfRule type="containsText" dxfId="2" priority="32824" operator="containsText" text="Yes">
      <formula>NOT(ISERROR(SEARCH(("Yes"),(P135))))</formula>
    </cfRule>
  </conditionalFormatting>
  <conditionalFormatting sqref="P135:Q135 P137:Q152 O145 P154:Q154 P159:Q159 P161:Q162 P164:Q164 P166:Q167 P172:Q172 P174:Q174 P176:Q176 P180:Q182 P184:Q184">
    <cfRule type="containsText" dxfId="2" priority="32825" operator="containsText" text="Yes">
      <formula>NOT(ISERROR(SEARCH(("Yes"),(P135))))</formula>
    </cfRule>
  </conditionalFormatting>
  <conditionalFormatting sqref="P135:Q135 P137:Q152 O145 P154:Q154 P159:Q159 P161:Q162 P164:Q164 P166:Q167 P172:Q172 P174:Q174 P176:Q176 P180:Q182 P184:Q184">
    <cfRule type="containsText" dxfId="2" priority="32826" operator="containsText" text="Yes">
      <formula>NOT(ISERROR(SEARCH(("Yes"),(P135))))</formula>
    </cfRule>
  </conditionalFormatting>
  <conditionalFormatting sqref="P135:Q135 P137:Q152 O145 P154:Q154 P159:Q159 P161:Q162 P164:Q164 P166:Q167 P172:Q172 P174:Q174 P176:Q176 P180:Q182 P184:Q184">
    <cfRule type="containsText" dxfId="2" priority="32827" operator="containsText" text="Yes">
      <formula>NOT(ISERROR(SEARCH(("Yes"),(P135))))</formula>
    </cfRule>
  </conditionalFormatting>
  <conditionalFormatting sqref="P135:Q135 P137:Q152 O145 P154:Q154 P159:Q159 P161:Q162 P164:Q164 P166:Q167 P172:Q172 P174:Q174 P176:Q176 P180:Q182 P184:Q184">
    <cfRule type="containsText" dxfId="2" priority="32828" operator="containsText" text="Yes">
      <formula>NOT(ISERROR(SEARCH(("Yes"),(P135))))</formula>
    </cfRule>
  </conditionalFormatting>
  <conditionalFormatting sqref="P135:Q135 P137:Q152 O145 P154:Q154 P159:Q159 P161:Q162 P164:Q164 P166:Q167 P172:Q172 P174:Q174 P176:Q176 P180:Q182 P184:Q184">
    <cfRule type="containsText" dxfId="2" priority="32829" operator="containsText" text="Yes">
      <formula>NOT(ISERROR(SEARCH(("Yes"),(P135))))</formula>
    </cfRule>
  </conditionalFormatting>
  <conditionalFormatting sqref="P135:Q135 P137:Q152 O145 P154:Q154 P159:Q159 P161:Q162 P164:Q164 P166:Q167 P172:Q172 P174:Q174 P176:Q176 P180:Q182 P184:Q184">
    <cfRule type="containsText" dxfId="2" priority="32830" operator="containsText" text="Yes">
      <formula>NOT(ISERROR(SEARCH(("Yes"),(P135))))</formula>
    </cfRule>
  </conditionalFormatting>
  <conditionalFormatting sqref="P135:Q135 P137:Q152 O145 P154:Q154 P159:Q159 P161:Q162 P164:Q164 P166:Q167 P172:Q172 P174:Q174 P176:Q176 P180:Q182 P184:Q184">
    <cfRule type="containsText" dxfId="2" priority="32831" operator="containsText" text="Yes">
      <formula>NOT(ISERROR(SEARCH(("Yes"),(P135))))</formula>
    </cfRule>
  </conditionalFormatting>
  <conditionalFormatting sqref="P135:Q135 P137:Q152 O145 P154:Q154 P159:Q159 P161:Q162 P164:Q164 P166:Q167 P172:Q172 P174:Q174 P176:Q176 P180:Q182 P184:Q184">
    <cfRule type="containsText" dxfId="2" priority="32832" operator="containsText" text="Yes">
      <formula>NOT(ISERROR(SEARCH(("Yes"),(P135))))</formula>
    </cfRule>
  </conditionalFormatting>
  <conditionalFormatting sqref="P135:Q135 P137:Q152 O145 P154:Q154 P159:Q159 P161:Q162 P164:Q164 P166:Q167 P172:Q172 P174:Q174 P176:Q176 P180:Q182 P184:Q184">
    <cfRule type="containsText" dxfId="2" priority="32833" operator="containsText" text="Yes">
      <formula>NOT(ISERROR(SEARCH(("Yes"),(P135))))</formula>
    </cfRule>
  </conditionalFormatting>
  <conditionalFormatting sqref="P135:Q135 P137:Q152 O145 P154:Q154 P159:Q159 P161:Q162 P164:Q164 P166:Q167 P172:Q172 P174:Q174 P176:Q176 P180:Q182 P184:Q184">
    <cfRule type="containsText" dxfId="2" priority="32834" operator="containsText" text="Yes">
      <formula>NOT(ISERROR(SEARCH(("Yes"),(P135))))</formula>
    </cfRule>
  </conditionalFormatting>
  <conditionalFormatting sqref="P135:Q135 P137:Q152 O145 P154:Q154 P159:Q159 P161:Q162 P164:Q164 P166:Q167 P172:Q172 P174:Q174 P176:Q176 P180:Q182 P184:Q184">
    <cfRule type="containsText" dxfId="2" priority="32835" operator="containsText" text="Yes">
      <formula>NOT(ISERROR(SEARCH(("Yes"),(P135))))</formula>
    </cfRule>
  </conditionalFormatting>
  <conditionalFormatting sqref="P135:Q135 P137:Q152 O145 P154:Q154 P159:Q159 P161:Q162 P164:Q164 P166:Q167 P172:Q172 P174:Q174 P176:Q176 P180:Q182 P184:Q184">
    <cfRule type="containsText" dxfId="2" priority="32836" operator="containsText" text="Yes">
      <formula>NOT(ISERROR(SEARCH(("Yes"),(P135))))</formula>
    </cfRule>
  </conditionalFormatting>
  <conditionalFormatting sqref="P135:Q135 P137:Q152 O145 P154:Q154 P159:Q159 P161:Q162 P164:Q164 P166:Q167 P172:Q172 P174:Q174 P176:Q176 P180:Q182 P184:Q184">
    <cfRule type="containsText" dxfId="2" priority="32837" operator="containsText" text="Yes">
      <formula>NOT(ISERROR(SEARCH(("Yes"),(P135))))</formula>
    </cfRule>
  </conditionalFormatting>
  <conditionalFormatting sqref="P135:Q135 P137:Q152 O145 P154:Q154 P159:Q159 P161:Q162 P164:Q164 P166:Q167 P172:Q172 P174:Q174 P176:Q176 P180:Q182 P184:Q184">
    <cfRule type="containsText" dxfId="2" priority="32838" operator="containsText" text="Yes">
      <formula>NOT(ISERROR(SEARCH(("Yes"),(P135))))</formula>
    </cfRule>
  </conditionalFormatting>
  <conditionalFormatting sqref="P135:Q135 P137:Q152 O145 P154:Q154 P159:Q159 P161:Q162 P164:Q164 P166:Q167 P172:Q172 P174:Q174 P176:Q176 P180:Q182 P184:Q184">
    <cfRule type="containsText" dxfId="2" priority="32839" operator="containsText" text="Yes">
      <formula>NOT(ISERROR(SEARCH(("Yes"),(P135))))</formula>
    </cfRule>
  </conditionalFormatting>
  <conditionalFormatting sqref="P135:Q135 P137:Q152 O145 P154:Q154 P159:Q159 P161:Q162 P164:Q164 P166:Q167 P172:Q172 P174:Q174 P176:Q176 P180:Q182 P184:Q184">
    <cfRule type="containsText" dxfId="2" priority="32840" operator="containsText" text="Yes">
      <formula>NOT(ISERROR(SEARCH(("Yes"),(P135))))</formula>
    </cfRule>
  </conditionalFormatting>
  <conditionalFormatting sqref="P135:Q135 P137:Q152 O145 P154:Q154 P159:Q159 P161:Q162 P164:Q164 P166:Q167 P172:Q172 P174:Q174 P176:Q176 P180:Q182 P184:Q184">
    <cfRule type="containsText" dxfId="2" priority="32841" operator="containsText" text="Yes">
      <formula>NOT(ISERROR(SEARCH(("Yes"),(P135))))</formula>
    </cfRule>
  </conditionalFormatting>
  <conditionalFormatting sqref="P135:Q135 P137:Q152 O145 P154:Q154 P159:Q159 P161:Q162 P164:Q164 P166:Q167 P172:Q172 P174:Q174 P176:Q176 P180:Q182 P184:Q184">
    <cfRule type="containsText" dxfId="2" priority="32842" operator="containsText" text="Yes">
      <formula>NOT(ISERROR(SEARCH(("Yes"),(P135))))</formula>
    </cfRule>
  </conditionalFormatting>
  <conditionalFormatting sqref="P135:Q135 P137:Q152 O145 P154:Q154 P159:Q159 P161:Q162 P164:Q164 P166:Q167 P172:Q172 P174:Q174 P176:Q176 P180:Q182 P184:Q184">
    <cfRule type="containsText" dxfId="2" priority="32843" operator="containsText" text="Yes">
      <formula>NOT(ISERROR(SEARCH(("Yes"),(P135))))</formula>
    </cfRule>
  </conditionalFormatting>
  <conditionalFormatting sqref="P135:Q135 P137:Q152 O145 P154:Q154 P159:Q159 P161:Q162 P164:Q164 P166:Q167 P172:Q172 P174:Q174 P176:Q176 P180:Q182 P184:Q184">
    <cfRule type="containsText" dxfId="2" priority="32844" operator="containsText" text="Yes">
      <formula>NOT(ISERROR(SEARCH(("Yes"),(P135))))</formula>
    </cfRule>
  </conditionalFormatting>
  <conditionalFormatting sqref="P135:Q135 P137:Q152 O145 P154:Q154 P159:Q159 P161:Q162 P164:Q164 P166:Q167 P172:Q172 P174:Q174 P176:Q176 P180:Q182 P184:Q184">
    <cfRule type="containsText" dxfId="2" priority="32845" operator="containsText" text="Yes">
      <formula>NOT(ISERROR(SEARCH(("Yes"),(P135))))</formula>
    </cfRule>
  </conditionalFormatting>
  <conditionalFormatting sqref="P135:Q135 P137:Q152 O145 P154:Q154 P159:Q159 P161:Q162 P164:Q164 P166:Q167 P172:Q172 P174:Q174 P176:Q176 P180:Q182 P184:Q184">
    <cfRule type="containsText" dxfId="2" priority="32846" operator="containsText" text="Yes">
      <formula>NOT(ISERROR(SEARCH(("Yes"),(P135))))</formula>
    </cfRule>
  </conditionalFormatting>
  <conditionalFormatting sqref="P135:Q135 P137:Q152 O145 P154:Q154 P159:Q159 P161:Q162 P164:Q164 P166:Q167 P172:Q172 P174:Q174 P176:Q176 P180:Q182 P184:Q184">
    <cfRule type="containsText" dxfId="2" priority="32847" operator="containsText" text="Yes">
      <formula>NOT(ISERROR(SEARCH(("Yes"),(P135))))</formula>
    </cfRule>
  </conditionalFormatting>
  <conditionalFormatting sqref="P135:Q135 P137:Q152 O145 P154:Q154 P159:Q159 P161:Q162 P164:Q164 P166:Q167 P172:Q172 P174:Q174 P176:Q176 P180:Q182 P184:Q184">
    <cfRule type="containsText" dxfId="2" priority="32848" operator="containsText" text="Yes">
      <formula>NOT(ISERROR(SEARCH(("Yes"),(P135))))</formula>
    </cfRule>
  </conditionalFormatting>
  <conditionalFormatting sqref="P135:Q135 P137:Q152 O145 P154:Q154 P159:Q159 P161:Q162 P164:Q164 P166:Q167 P172:Q172 P174:Q174 P176:Q176 P180:Q182 P184:Q184">
    <cfRule type="containsText" dxfId="2" priority="32849" operator="containsText" text="Yes">
      <formula>NOT(ISERROR(SEARCH(("Yes"),(P135))))</formula>
    </cfRule>
  </conditionalFormatting>
  <conditionalFormatting sqref="P135:Q135 P137:Q152 O145 P154:Q154 P159:Q159 P161:Q162 P164:Q164 P166:Q167 P172:Q172 P174:Q174 P176:Q176 P180:Q182 P184:Q184">
    <cfRule type="containsText" dxfId="2" priority="32850" operator="containsText" text="Yes">
      <formula>NOT(ISERROR(SEARCH(("Yes"),(P135))))</formula>
    </cfRule>
  </conditionalFormatting>
  <conditionalFormatting sqref="P135:Q135 P137:Q152 O145 P154:Q154 P159:Q159 P161:Q162 P164:Q164 P166:Q167 P172:Q172 P174:Q174 P176:Q176 P180:Q182 P184:Q184">
    <cfRule type="containsText" dxfId="2" priority="32851" operator="containsText" text="Yes">
      <formula>NOT(ISERROR(SEARCH(("Yes"),(P135))))</formula>
    </cfRule>
  </conditionalFormatting>
  <conditionalFormatting sqref="P135:Q135 P137:Q152 O145 P154:Q154 P159:Q159 P161:Q162 P164:Q164 P166:Q167 P172:Q172 P174:Q174 P176:Q176 P180:Q182 P184:Q184">
    <cfRule type="containsText" dxfId="2" priority="32852" operator="containsText" text="Yes">
      <formula>NOT(ISERROR(SEARCH(("Yes"),(P135))))</formula>
    </cfRule>
  </conditionalFormatting>
  <conditionalFormatting sqref="P135:Q135 P137:Q152 O145 P154:Q154 P159:Q159 P161:Q162 P164:Q164 P166:Q167 P172:Q172 P174:Q174 P176:Q176 P180:Q182 P184:Q184">
    <cfRule type="containsText" dxfId="2" priority="32853" operator="containsText" text="Yes">
      <formula>NOT(ISERROR(SEARCH(("Yes"),(P135))))</formula>
    </cfRule>
  </conditionalFormatting>
  <conditionalFormatting sqref="P135:Q135 P137:Q152 O145 P154:Q154 P159:Q159 P161:Q162 P164:Q164 P166:Q167 P172:Q172 P174:Q174 P176:Q176 P180:Q182 P184:Q184">
    <cfRule type="containsText" dxfId="2" priority="32854" operator="containsText" text="Yes">
      <formula>NOT(ISERROR(SEARCH(("Yes"),(P135))))</formula>
    </cfRule>
  </conditionalFormatting>
  <conditionalFormatting sqref="P135:Q135 P137:Q152 O145 P154:Q154 P159:Q159 P161:Q162 P164:Q164 P166:Q167 P172:Q172 P174:Q174 P176:Q176 P180:Q182 P184:Q184">
    <cfRule type="containsText" dxfId="2" priority="32855" operator="containsText" text="Yes">
      <formula>NOT(ISERROR(SEARCH(("Yes"),(P135))))</formula>
    </cfRule>
  </conditionalFormatting>
  <conditionalFormatting sqref="P135:Q135 P137:Q152 O145 P154:Q154 P159:Q159 P161:Q162 P164:Q164 P166:Q167 P172:Q172 P174:Q174 P176:Q176 P180:Q182 P184:Q184">
    <cfRule type="containsText" dxfId="2" priority="32856" operator="containsText" text="Yes">
      <formula>NOT(ISERROR(SEARCH(("Yes"),(P135))))</formula>
    </cfRule>
  </conditionalFormatting>
  <conditionalFormatting sqref="P135:Q135 P137:Q152 O145 P154:Q154 P159:Q159 P161:Q162 P164:Q164 P166:Q167 P172:Q172 P174:Q174 P176:Q176 P180:Q182 P184:Q184">
    <cfRule type="containsText" dxfId="2" priority="32857" operator="containsText" text="Yes">
      <formula>NOT(ISERROR(SEARCH(("Yes"),(P135))))</formula>
    </cfRule>
  </conditionalFormatting>
  <conditionalFormatting sqref="P135:Q135 P137:Q152 O145 P154:Q154 P159:Q159 P161:Q162 P164:Q164 P166:Q167 P172:Q172 P174:Q174 P176:Q176 P180:Q182 P184:Q184">
    <cfRule type="containsText" dxfId="2" priority="32858" operator="containsText" text="Yes">
      <formula>NOT(ISERROR(SEARCH(("Yes"),(P135))))</formula>
    </cfRule>
  </conditionalFormatting>
  <conditionalFormatting sqref="P135:Q135 P137:Q152 O145 P154:Q154 P159:Q159 P161:Q162 P164:Q164 P166:Q167 P172:Q172 P174:Q174 P176:Q176 P180:Q182 P184:Q184">
    <cfRule type="containsText" dxfId="2" priority="32859" operator="containsText" text="Yes">
      <formula>NOT(ISERROR(SEARCH(("Yes"),(P135))))</formula>
    </cfRule>
  </conditionalFormatting>
  <conditionalFormatting sqref="P135:Q135 P137:Q152 O145 P154:Q154 P159:Q159 P161:Q162 P164:Q164 P166:Q167 P172:Q172 P174:Q174 P176:Q176 P180:Q182 P184:Q184">
    <cfRule type="containsText" dxfId="2" priority="32860" operator="containsText" text="Yes">
      <formula>NOT(ISERROR(SEARCH(("Yes"),(P135))))</formula>
    </cfRule>
  </conditionalFormatting>
  <conditionalFormatting sqref="P135:Q135 P137:Q152 O145 P154:Q154 P159:Q159 P161:Q162 P164:Q164 P166:Q167 P172:Q172 P174:Q174 P176:Q176 P180:Q182 P184:Q184">
    <cfRule type="containsText" dxfId="2" priority="32861" operator="containsText" text="Yes">
      <formula>NOT(ISERROR(SEARCH(("Yes"),(P135))))</formula>
    </cfRule>
  </conditionalFormatting>
  <conditionalFormatting sqref="P135:Q135 P137:Q152 O145 P154:Q154 P159:Q159 P161:Q162 P164:Q164 P166:Q167 P172:Q172 P174:Q174 P176:Q176 P180:Q182 P184:Q184">
    <cfRule type="containsText" dxfId="2" priority="32862" operator="containsText" text="Yes">
      <formula>NOT(ISERROR(SEARCH(("Yes"),(P135))))</formula>
    </cfRule>
  </conditionalFormatting>
  <conditionalFormatting sqref="P135:Q135 P137:Q152 O145 P154:Q154 P159:Q159 P161:Q162 P164:Q164 P166:Q167 P172:Q172 P174:Q174 P176:Q176 P180:Q182 P184:Q184">
    <cfRule type="containsText" dxfId="2" priority="32863" operator="containsText" text="Yes">
      <formula>NOT(ISERROR(SEARCH(("Yes"),(P135))))</formula>
    </cfRule>
  </conditionalFormatting>
  <conditionalFormatting sqref="P135:Q135 P137:Q152 O145 P154:Q154 P159:Q159 P161:Q162 P164:Q164 P166:Q167 P172:Q172 P174:Q174 P176:Q176 P180:Q182 P184:Q184">
    <cfRule type="containsText" dxfId="2" priority="32864" operator="containsText" text="Yes">
      <formula>NOT(ISERROR(SEARCH(("Yes"),(P135))))</formula>
    </cfRule>
  </conditionalFormatting>
  <conditionalFormatting sqref="P135:Q135 P137:Q152 O145 P154:Q154 P159:Q159 P161:Q162 P164:Q164 P166:Q167 P172:Q172 P174:Q174 P176:Q176 P180:Q182 P184:Q184">
    <cfRule type="containsText" dxfId="2" priority="32865" operator="containsText" text="Yes">
      <formula>NOT(ISERROR(SEARCH(("Yes"),(P135))))</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66"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67"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68"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69"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70"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71"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72"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73"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74"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75"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76"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77"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78"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79"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80"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81"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82"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83"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84"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85"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86"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87"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88"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89"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90"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91"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92"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93"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94"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95"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96"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97"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98"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899"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900"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901"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902"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903"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904"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905"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906"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907"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908"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909"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9" priority="32910" operator="containsText" text="No">
      <formula>NOT(ISERROR(SEARCH(("No"),(N136))))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11"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12"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13"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14"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15"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16"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17"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18"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19"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20"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21"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22"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23"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24"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25"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26"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27"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28"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29"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30"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31"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32"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33"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34"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35"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36"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37"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38"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39"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40"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41"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42"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43"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44"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45"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46"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47"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48"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49"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50"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51"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52"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53"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54"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55"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56" operator="containsText" text="Yes">
      <formula>NOT(ISERROR(SEARCH(("Yes"),(N136))))</formula>
    </cfRule>
  </conditionalFormatting>
  <conditionalFormatting sqref="N136:Q139 N142:N152 O142:O202 P142:P152 Q142:Q214 N154 P154 N159 P159 N161:N162 P161:P162 N164:N167 P164 P166:P167 N170 N172 P172 N174 P174:P214 N176 N180:N182 N184 N195 N197:N198 N201:N202 N204:O204 U204:V204">
    <cfRule type="containsText" dxfId="2" priority="32957" operator="containsText" text="Yes">
      <formula>NOT(ISERROR(SEARCH(("Yes"),(N136))))</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58"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59"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60"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61"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62"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63"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64"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65"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66"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67"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68"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69"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70"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71"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72"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73"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74"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75"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76"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77"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78"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79"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80"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81"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82"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83"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84"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85"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86"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87"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88"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89"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90"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91"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92"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93"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94"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95"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96"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97"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98"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2999"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3000"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3001"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9" priority="33002" operator="containsText" text="No">
      <formula>NOT(ISERROR(SEARCH(("No"),(N137))))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03"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04"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05"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06"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07"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08"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09"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10"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11"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12"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13"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14"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15"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16"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17"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18"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19"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20"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21"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22"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23"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24"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25"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26"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27"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28"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29"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30"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31"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32"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33"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34"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35"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36"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37"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38"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39"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40"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41"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42"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43"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44"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45"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46"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47"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48" operator="containsText" text="Yes">
      <formula>NOT(ISERROR(SEARCH(("Yes"),(N137))))</formula>
    </cfRule>
  </conditionalFormatting>
  <conditionalFormatting sqref="N137:O152 P137:P214 Q137:Q152 N154 O154:O155 Q154:Q155 N159:O159 Q159 N161:O162 Q161:Q162 N164:O167 Q164 Q166:Q167 N170:O170 N172:O172 Q172 N174 O174:O226 Q174 N176 Q176 N180:N182 Q180:Q182 N184 Q184 N187:N216 Q203 U204:V204 Q205:Q214 N222:N226 N228:O252 N254:O256 N258:O264 N267:O269 N272:O273 N275:O275">
    <cfRule type="containsText" dxfId="2" priority="33049" operator="containsText" text="Yes">
      <formula>NOT(ISERROR(SEARCH(("Yes"),(N137))))</formula>
    </cfRule>
  </conditionalFormatting>
  <conditionalFormatting sqref="N138:N152 O150 N154 N159 N161 O174:O226 N184 N187:N216 N222:N226 N228:O252 N254:O256 N258:O264 N267:O269 N272:O273 N275:O275">
    <cfRule type="containsText" dxfId="9" priority="33050" operator="containsText" text="No">
      <formula>NOT(ISERROR(SEARCH(("No"),(N138))))</formula>
    </cfRule>
  </conditionalFormatting>
  <conditionalFormatting sqref="N138:N152 O150 N154 N159 N161 O174:O226 N184 N187:N216 N222:N226 N228:O252 N254:O256 N258:O264 N267:O269 N272:O273 N275:O275">
    <cfRule type="containsText" dxfId="9" priority="33051" operator="containsText" text="No">
      <formula>NOT(ISERROR(SEARCH(("No"),(N138))))</formula>
    </cfRule>
  </conditionalFormatting>
  <conditionalFormatting sqref="N138:N152 O150 N154 N159 N161 O174:O226 N184 N187:N216 N222:N226 N228:O252 N254:O256 N258:O264 N267:O269 N272:O273 N275:O275">
    <cfRule type="containsText" dxfId="9" priority="33052" operator="containsText" text="No">
      <formula>NOT(ISERROR(SEARCH(("No"),(N138))))</formula>
    </cfRule>
  </conditionalFormatting>
  <conditionalFormatting sqref="N138:N152 O150 N154 N159 N161 O174:O226 N184 N187:N216 N222:N226 N228:O252 N254:O256 N258:O264 N267:O269 N272:O273 N275:O275">
    <cfRule type="containsText" dxfId="2" priority="33053" operator="containsText" text="Yes">
      <formula>NOT(ISERROR(SEARCH(("Yes"),(N138))))</formula>
    </cfRule>
  </conditionalFormatting>
  <conditionalFormatting sqref="N138:N152 O150 N154 N159 N161 O174:O226 N184 N187:N216 N222:N226 N228:O252 N254:O256 N258:O264 N267:O269 N272:O273 N275:O275">
    <cfRule type="containsText" dxfId="2" priority="33054" operator="containsText" text="Yes">
      <formula>NOT(ISERROR(SEARCH(("Yes"),(N138))))</formula>
    </cfRule>
  </conditionalFormatting>
  <conditionalFormatting sqref="N138:N152 O150 N154 N159 N161 O174:O226 N184 N187:N216 N222:N226 N228:O252 N254:O256 N258:O264 N267:O269 N272:O273 N275:O275">
    <cfRule type="containsText" dxfId="2" priority="33055" operator="containsText" text="Yes">
      <formula>NOT(ISERROR(SEARCH(("Yes"),(N138))))</formula>
    </cfRule>
  </conditionalFormatting>
  <conditionalFormatting sqref="N138:N152 O150 N154 N159 N161 O174:O226 N184 N187:N216 N222:N226 N228:O252 N254:O256 N258:O264 N267:O269 N272:O273 N275:O275">
    <cfRule type="containsText" dxfId="2" priority="33056" operator="containsText" text="Yes">
      <formula>NOT(ISERROR(SEARCH(("Yes"),(N138))))</formula>
    </cfRule>
  </conditionalFormatting>
  <conditionalFormatting sqref="N138:N152 O150 N154 N159 N161 O174:O226 N184 N187:N216 N222:N226 N228:O252 N254:O256 N258:O264 N267:O269 N272:O273 N275:O275">
    <cfRule type="containsText" dxfId="2" priority="33057" operator="containsText" text="Yes">
      <formula>NOT(ISERROR(SEARCH(("Yes"),(N138))))</formula>
    </cfRule>
  </conditionalFormatting>
  <conditionalFormatting sqref="N138:N152 O150 N154 N159 N161 O174:O226 N184 N187:N216 N222:N226 N228:O252 N254:O256 N258:O264 N267:O269 N272:O273 N275:O275">
    <cfRule type="containsText" dxfId="9" priority="33058" operator="containsText" text="No">
      <formula>NOT(ISERROR(SEARCH(("No"),(N138))))</formula>
    </cfRule>
  </conditionalFormatting>
  <conditionalFormatting sqref="N138:N152 O150 N154 N159 N161 O174:O226 N184 N187:N216 N222:N226 N228:O252 N254:O256 N258:O264 N267:O269 N272:O273 N275:O275">
    <cfRule type="containsText" dxfId="2" priority="33059" operator="containsText" text="Yes">
      <formula>NOT(ISERROR(SEARCH(("Yes"),(N138))))</formula>
    </cfRule>
  </conditionalFormatting>
  <conditionalFormatting sqref="O138:O152 N139 P145 P150 P153:P214 O154:O155 Q155 O159 O161:O162 N162 N164:O167 N170:O170 N172:O172 N174:O174 N176:O176 N180:O182 N184:O184 Q203 U204:V204 Q205:Q214">
    <cfRule type="containsText" dxfId="9" priority="33060" operator="containsText" text="No">
      <formula>NOT(ISERROR(SEARCH(("No"),(O138))))</formula>
    </cfRule>
  </conditionalFormatting>
  <conditionalFormatting sqref="O138:O152 N139 P145 P150 P153:P214 O154:O155 Q155 O159 O161:O162 N162 N164:O167 N170:O170 N172:O172 N174:O174 N176:O176 N180:O182 N184:O184 Q203 U204:V204 Q205:Q214">
    <cfRule type="containsText" dxfId="9" priority="33061" operator="containsText" text="No">
      <formula>NOT(ISERROR(SEARCH(("No"),(O138))))</formula>
    </cfRule>
  </conditionalFormatting>
  <conditionalFormatting sqref="O138:O152 N139 P145 P150 P153:P214 O154:O155 Q155 O159 O161:O162 N162 N164:O167 N170:O170 N172:O172 N174:O174 N176:O176 N180:O182 N184:O184 Q203 U204:V204 Q205:Q214">
    <cfRule type="containsText" dxfId="9" priority="33062" operator="containsText" text="No">
      <formula>NOT(ISERROR(SEARCH(("No"),(O138))))</formula>
    </cfRule>
  </conditionalFormatting>
  <conditionalFormatting sqref="O138:O152 N139 P145 P150 P153:P214 O154:O155 Q155 O159 O161:O162 N162 N164:O167 N170:O170 N172:O172 N174:O174 N176:O176 N180:O182 N184:O184 Q203 U204:V204 Q205:Q214">
    <cfRule type="containsText" dxfId="2" priority="33063" operator="containsText" text="Yes">
      <formula>NOT(ISERROR(SEARCH(("Yes"),(O138))))</formula>
    </cfRule>
  </conditionalFormatting>
  <conditionalFormatting sqref="O138:O152 N139 P145 P150 P153:P214 O154:O155 Q155 O159 O161:O162 N162 N164:O167 N170:O170 N172:O172 N174:O174 N176:O176 N180:O182 N184:O184 Q203 U204:V204 Q205:Q214">
    <cfRule type="containsText" dxfId="2" priority="33064" operator="containsText" text="Yes">
      <formula>NOT(ISERROR(SEARCH(("Yes"),(O138))))</formula>
    </cfRule>
  </conditionalFormatting>
  <conditionalFormatting sqref="O138:O152 N139 P145 P150 P153:P214 O154:O155 Q155 O159 O161:O162 N162 N164:O167 N170:O170 N172:O172 N174:O174 N176:O176 N180:O182 N184:O184 Q203 U204:V204 Q205:Q214">
    <cfRule type="containsText" dxfId="2" priority="33065" operator="containsText" text="Yes">
      <formula>NOT(ISERROR(SEARCH(("Yes"),(O138))))</formula>
    </cfRule>
  </conditionalFormatting>
  <conditionalFormatting sqref="O138:O152 N139 P145 P150 P153:P214 O154:O155 Q155 O159 O161:O162 N162 N164:O167 N170:O170 N172:O172 N174:O174 N176:O176 N180:O182 N184:O184 Q203 U204:V204 Q205:Q214">
    <cfRule type="containsText" dxfId="2" priority="33066" operator="containsText" text="Yes">
      <formula>NOT(ISERROR(SEARCH(("Yes"),(O138))))</formula>
    </cfRule>
  </conditionalFormatting>
  <conditionalFormatting sqref="O138:O152 N139 P145 P150 P153:P214 O154:O155 Q155 O159 O161:O162 N162 N164:O167 N170:O170 N172:O172 N174:O174 N176:O176 N180:O182 N184:O184 Q203 U204:V204 Q205:Q214">
    <cfRule type="containsText" dxfId="2" priority="33067" operator="containsText" text="Yes">
      <formula>NOT(ISERROR(SEARCH(("Yes"),(O138))))</formula>
    </cfRule>
  </conditionalFormatting>
  <conditionalFormatting sqref="O138:O152 N139 P145 P150 P153:P214 O154:O155 Q155 O159 O161:O162 N162 N164:O167 N170:O170 N172:O172 N174:O174 N176:O176 N180:O182 N184:O184 Q203 U204:V204 Q205:Q214">
    <cfRule type="containsText" dxfId="9" priority="33068" operator="containsText" text="No">
      <formula>NOT(ISERROR(SEARCH(("No"),(O138))))</formula>
    </cfRule>
  </conditionalFormatting>
  <conditionalFormatting sqref="O138:O152 N139 P145 P150 P153:P214 O154:O155 Q155 O159 O161:O162 N162 N164:O167 N170:O170 N172:O172 N174:O174 N176:O176 N180:O182 N184:O184 Q203 U204:V204 Q205:Q214">
    <cfRule type="containsText" dxfId="9" priority="33069" operator="containsText" text="No">
      <formula>NOT(ISERROR(SEARCH(("No"),(O138))))</formula>
    </cfRule>
  </conditionalFormatting>
  <conditionalFormatting sqref="O138:O152 N139 P145 P150 P153:P214 O154:O155 Q155 O159 O161:O162 N162 N164:O167 N170:O170 N172:O172 N174:O174 N176:O176 N180:O182 N184:O184 Q203 U204:V204 Q205:Q214">
    <cfRule type="containsText" dxfId="2" priority="33070" operator="containsText" text="Yes">
      <formula>NOT(ISERROR(SEARCH(("Yes"),(O138))))</formula>
    </cfRule>
  </conditionalFormatting>
  <conditionalFormatting sqref="P138:Q152 O145 P154:Q154 P159:Q159 P161:Q162 P164:Q164 P166:Q167 P172:Q172 P174:Q174 P176:Q176 P180:Q182 P184:Q184">
    <cfRule type="containsText" dxfId="9" priority="33071" operator="containsText" text="No">
      <formula>NOT(ISERROR(SEARCH(("No"),(P138))))</formula>
    </cfRule>
  </conditionalFormatting>
  <conditionalFormatting sqref="P138:Q152 O145 P154:Q154 P159:Q159 P161:Q162 P164:Q164 P166:Q167 P172:Q172 P174:Q174 P176:Q176 P180:Q182 P184:Q184">
    <cfRule type="containsText" dxfId="9" priority="33072" operator="containsText" text="No">
      <formula>NOT(ISERROR(SEARCH(("No"),(P138))))</formula>
    </cfRule>
  </conditionalFormatting>
  <conditionalFormatting sqref="P138:Q152 O145 P154:Q154 P159:Q159 P161:Q162 P164:Q164 P166:Q167 P172:Q172 P174:Q174 P176:Q176 P180:Q182 P184:Q184">
    <cfRule type="containsText" dxfId="9" priority="33073" operator="containsText" text="No">
      <formula>NOT(ISERROR(SEARCH(("No"),(P138))))</formula>
    </cfRule>
  </conditionalFormatting>
  <conditionalFormatting sqref="P138:Q152 O145 P154:Q154 P159:Q159 P161:Q162 P164:Q164 P166:Q167 P172:Q172 P174:Q174 P176:Q176 P180:Q182 P184:Q184">
    <cfRule type="containsText" dxfId="9" priority="33074" operator="containsText" text="No">
      <formula>NOT(ISERROR(SEARCH(("No"),(P138))))</formula>
    </cfRule>
  </conditionalFormatting>
  <conditionalFormatting sqref="P138:Q152 O145 P154:Q154 P159:Q159 P161:Q162 P164:Q164 P166:Q167 P172:Q172 P174:Q174 P176:Q176 P180:Q182 P184:Q184">
    <cfRule type="containsText" dxfId="9" priority="33075" operator="containsText" text="No">
      <formula>NOT(ISERROR(SEARCH(("No"),(P138))))</formula>
    </cfRule>
  </conditionalFormatting>
  <conditionalFormatting sqref="P138:Q152 O145 P154:Q154 P159:Q159 P161:Q162 P164:Q164 P166:Q167 P172:Q172 P174:Q174 P176:Q176 P180:Q182 P184:Q184">
    <cfRule type="containsText" dxfId="9" priority="33076" operator="containsText" text="No">
      <formula>NOT(ISERROR(SEARCH(("No"),(P138))))</formula>
    </cfRule>
  </conditionalFormatting>
  <conditionalFormatting sqref="P138:Q152 O145 P154:Q154 P159:Q159 P161:Q162 P164:Q164 P166:Q167 P172:Q172 P174:Q174 P176:Q176 P180:Q182 P184:Q184">
    <cfRule type="containsText" dxfId="9" priority="33077" operator="containsText" text="No">
      <formula>NOT(ISERROR(SEARCH(("No"),(P138))))</formula>
    </cfRule>
  </conditionalFormatting>
  <conditionalFormatting sqref="P138:Q152 O145 P154:Q154 P159:Q159 P161:Q162 P164:Q164 P166:Q167 P172:Q172 P174:Q174 P176:Q176 P180:Q182 P184:Q184">
    <cfRule type="containsText" dxfId="9" priority="33078" operator="containsText" text="No">
      <formula>NOT(ISERROR(SEARCH(("No"),(P138))))</formula>
    </cfRule>
  </conditionalFormatting>
  <conditionalFormatting sqref="P138:Q152 O145 P154:Q154 P159:Q159 P161:Q162 P164:Q164 P166:Q167 P172:Q172 P174:Q174 P176:Q176 P180:Q182 P184:Q184">
    <cfRule type="containsText" dxfId="9" priority="33079" operator="containsText" text="No">
      <formula>NOT(ISERROR(SEARCH(("No"),(P138))))</formula>
    </cfRule>
  </conditionalFormatting>
  <conditionalFormatting sqref="P138:Q152 O145 P154:Q154 P159:Q159 P161:Q162 P164:Q164 P166:Q167 P172:Q172 P174:Q174 P176:Q176 P180:Q182 P184:Q184">
    <cfRule type="containsText" dxfId="9" priority="33080" operator="containsText" text="No">
      <formula>NOT(ISERROR(SEARCH(("No"),(P138))))</formula>
    </cfRule>
  </conditionalFormatting>
  <conditionalFormatting sqref="P138:Q152 O145 P154:Q154 P159:Q159 P161:Q162 P164:Q164 P166:Q167 P172:Q172 P174:Q174 P176:Q176 P180:Q182 P184:Q184">
    <cfRule type="containsText" dxfId="9" priority="33081" operator="containsText" text="No">
      <formula>NOT(ISERROR(SEARCH(("No"),(P138))))</formula>
    </cfRule>
  </conditionalFormatting>
  <conditionalFormatting sqref="P138:Q152 O145 P154:Q154 P159:Q159 P161:Q162 P164:Q164 P166:Q167 P172:Q172 P174:Q174 P176:Q176 P180:Q182 P184:Q184">
    <cfRule type="containsText" dxfId="9" priority="33082" operator="containsText" text="No">
      <formula>NOT(ISERROR(SEARCH(("No"),(P138))))</formula>
    </cfRule>
  </conditionalFormatting>
  <conditionalFormatting sqref="P138:Q152 O145 P154:Q154 P159:Q159 P161:Q162 P164:Q164 P166:Q167 P172:Q172 P174:Q174 P176:Q176 P180:Q182 P184:Q184">
    <cfRule type="containsText" dxfId="9" priority="33083" operator="containsText" text="No">
      <formula>NOT(ISERROR(SEARCH(("No"),(P138))))</formula>
    </cfRule>
  </conditionalFormatting>
  <conditionalFormatting sqref="P138:Q152 O145 P154:Q154 P159:Q159 P161:Q162 P164:Q164 P166:Q167 P172:Q172 P174:Q174 P176:Q176 P180:Q182 P184:Q184">
    <cfRule type="containsText" dxfId="9" priority="33084" operator="containsText" text="No">
      <formula>NOT(ISERROR(SEARCH(("No"),(P138))))</formula>
    </cfRule>
  </conditionalFormatting>
  <conditionalFormatting sqref="P138:Q152 O145 P154:Q154 P159:Q159 P161:Q162 P164:Q164 P166:Q167 P172:Q172 P174:Q174 P176:Q176 P180:Q182 P184:Q184">
    <cfRule type="containsText" dxfId="9" priority="33085" operator="containsText" text="No">
      <formula>NOT(ISERROR(SEARCH(("No"),(P138))))</formula>
    </cfRule>
  </conditionalFormatting>
  <conditionalFormatting sqref="P138:Q152 O145 P154:Q154 P159:Q159 P161:Q162 P164:Q164 P166:Q167 P172:Q172 P174:Q174 P176:Q176 P180:Q182 P184:Q184">
    <cfRule type="containsText" dxfId="9" priority="33086" operator="containsText" text="No">
      <formula>NOT(ISERROR(SEARCH(("No"),(P138))))</formula>
    </cfRule>
  </conditionalFormatting>
  <conditionalFormatting sqref="P138:Q152 O145 P154:Q154 P159:Q159 P161:Q162 P164:Q164 P166:Q167 P172:Q172 P174:Q174 P176:Q176 P180:Q182 P184:Q184">
    <cfRule type="containsText" dxfId="9" priority="33087" operator="containsText" text="No">
      <formula>NOT(ISERROR(SEARCH(("No"),(P138))))</formula>
    </cfRule>
  </conditionalFormatting>
  <conditionalFormatting sqref="P138:Q152 O145 P154:Q154 P159:Q159 P161:Q162 P164:Q164 P166:Q167 P172:Q172 P174:Q174 P176:Q176 P180:Q182 P184:Q184">
    <cfRule type="containsText" dxfId="9" priority="33088" operator="containsText" text="No">
      <formula>NOT(ISERROR(SEARCH(("No"),(P138))))</formula>
    </cfRule>
  </conditionalFormatting>
  <conditionalFormatting sqref="P138:Q152 O145 P154:Q154 P159:Q159 P161:Q162 P164:Q164 P166:Q167 P172:Q172 P174:Q174 P176:Q176 P180:Q182 P184:Q184">
    <cfRule type="containsText" dxfId="9" priority="33089" operator="containsText" text="No">
      <formula>NOT(ISERROR(SEARCH(("No"),(P138))))</formula>
    </cfRule>
  </conditionalFormatting>
  <conditionalFormatting sqref="P138:Q152 O145 P154:Q154 P159:Q159 P161:Q162 P164:Q164 P166:Q167 P172:Q172 P174:Q174 P176:Q176 P180:Q182 P184:Q184">
    <cfRule type="containsText" dxfId="9" priority="33090" operator="containsText" text="No">
      <formula>NOT(ISERROR(SEARCH(("No"),(P138))))</formula>
    </cfRule>
  </conditionalFormatting>
  <conditionalFormatting sqref="P138:Q152 O145 P154:Q154 P159:Q159 P161:Q162 P164:Q164 P166:Q167 P172:Q172 P174:Q174 P176:Q176 P180:Q182 P184:Q184">
    <cfRule type="containsText" dxfId="9" priority="33091" operator="containsText" text="No">
      <formula>NOT(ISERROR(SEARCH(("No"),(P138))))</formula>
    </cfRule>
  </conditionalFormatting>
  <conditionalFormatting sqref="P138:Q152 O145 P154:Q154 P159:Q159 P161:Q162 P164:Q164 P166:Q167 P172:Q172 P174:Q174 P176:Q176 P180:Q182 P184:Q184">
    <cfRule type="containsText" dxfId="9" priority="33092" operator="containsText" text="No">
      <formula>NOT(ISERROR(SEARCH(("No"),(P138))))</formula>
    </cfRule>
  </conditionalFormatting>
  <conditionalFormatting sqref="P138:Q152 O145 P154:Q154 P159:Q159 P161:Q162 P164:Q164 P166:Q167 P172:Q172 P174:Q174 P176:Q176 P180:Q182 P184:Q184">
    <cfRule type="containsText" dxfId="9" priority="33093" operator="containsText" text="No">
      <formula>NOT(ISERROR(SEARCH(("No"),(P138))))</formula>
    </cfRule>
  </conditionalFormatting>
  <conditionalFormatting sqref="P138:Q152 O145 P154:Q154 P159:Q159 P161:Q162 P164:Q164 P166:Q167 P172:Q172 P174:Q174 P176:Q176 P180:Q182 P184:Q184">
    <cfRule type="containsText" dxfId="9" priority="33094" operator="containsText" text="No">
      <formula>NOT(ISERROR(SEARCH(("No"),(P138))))</formula>
    </cfRule>
  </conditionalFormatting>
  <conditionalFormatting sqref="P138:Q152 O145 P154:Q154 P159:Q159 P161:Q162 P164:Q164 P166:Q167 P172:Q172 P174:Q174 P176:Q176 P180:Q182 P184:Q184">
    <cfRule type="containsText" dxfId="9" priority="33095" operator="containsText" text="No">
      <formula>NOT(ISERROR(SEARCH(("No"),(P138))))</formula>
    </cfRule>
  </conditionalFormatting>
  <conditionalFormatting sqref="P138:Q152 O145 P154:Q154 P159:Q159 P161:Q162 P164:Q164 P166:Q167 P172:Q172 P174:Q174 P176:Q176 P180:Q182 P184:Q184">
    <cfRule type="containsText" dxfId="9" priority="33096" operator="containsText" text="No">
      <formula>NOT(ISERROR(SEARCH(("No"),(P138))))</formula>
    </cfRule>
  </conditionalFormatting>
  <conditionalFormatting sqref="P138:Q152 O145 P154:Q154 P159:Q159 P161:Q162 P164:Q164 P166:Q167 P172:Q172 P174:Q174 P176:Q176 P180:Q182 P184:Q184">
    <cfRule type="containsText" dxfId="9" priority="33097" operator="containsText" text="No">
      <formula>NOT(ISERROR(SEARCH(("No"),(P138))))</formula>
    </cfRule>
  </conditionalFormatting>
  <conditionalFormatting sqref="P138:Q152 O145 P154:Q154 P159:Q159 P161:Q162 P164:Q164 P166:Q167 P172:Q172 P174:Q174 P176:Q176 P180:Q182 P184:Q184">
    <cfRule type="containsText" dxfId="9" priority="33098" operator="containsText" text="No">
      <formula>NOT(ISERROR(SEARCH(("No"),(P138))))</formula>
    </cfRule>
  </conditionalFormatting>
  <conditionalFormatting sqref="P138:Q152 O145 P154:Q154 P159:Q159 P161:Q162 P164:Q164 P166:Q167 P172:Q172 P174:Q174 P176:Q176 P180:Q182 P184:Q184">
    <cfRule type="containsText" dxfId="9" priority="33099" operator="containsText" text="No">
      <formula>NOT(ISERROR(SEARCH(("No"),(P138))))</formula>
    </cfRule>
  </conditionalFormatting>
  <conditionalFormatting sqref="P138:Q152 O145 P154:Q154 P159:Q159 P161:Q162 P164:Q164 P166:Q167 P172:Q172 P174:Q174 P176:Q176 P180:Q182 P184:Q184">
    <cfRule type="containsText" dxfId="9" priority="33100" operator="containsText" text="No">
      <formula>NOT(ISERROR(SEARCH(("No"),(P138))))</formula>
    </cfRule>
  </conditionalFormatting>
  <conditionalFormatting sqref="P138:Q152 O145 P154:Q154 P159:Q159 P161:Q162 P164:Q164 P166:Q167 P172:Q172 P174:Q174 P176:Q176 P180:Q182 P184:Q184">
    <cfRule type="containsText" dxfId="9" priority="33101" operator="containsText" text="No">
      <formula>NOT(ISERROR(SEARCH(("No"),(P138))))</formula>
    </cfRule>
  </conditionalFormatting>
  <conditionalFormatting sqref="P138:Q152 O145 P154:Q154 P159:Q159 P161:Q162 P164:Q164 P166:Q167 P172:Q172 P174:Q174 P176:Q176 P180:Q182 P184:Q184">
    <cfRule type="containsText" dxfId="9" priority="33102" operator="containsText" text="No">
      <formula>NOT(ISERROR(SEARCH(("No"),(P138))))</formula>
    </cfRule>
  </conditionalFormatting>
  <conditionalFormatting sqref="P138:Q152 O145 P154:Q154 P159:Q159 P161:Q162 P164:Q164 P166:Q167 P172:Q172 P174:Q174 P176:Q176 P180:Q182 P184:Q184">
    <cfRule type="containsText" dxfId="9" priority="33103" operator="containsText" text="No">
      <formula>NOT(ISERROR(SEARCH(("No"),(P138))))</formula>
    </cfRule>
  </conditionalFormatting>
  <conditionalFormatting sqref="P138:Q152 O145 P154:Q154 P159:Q159 P161:Q162 P164:Q164 P166:Q167 P172:Q172 P174:Q174 P176:Q176 P180:Q182 P184:Q184">
    <cfRule type="containsText" dxfId="9" priority="33104" operator="containsText" text="No">
      <formula>NOT(ISERROR(SEARCH(("No"),(P138))))</formula>
    </cfRule>
  </conditionalFormatting>
  <conditionalFormatting sqref="P138:Q152 O145 P154:Q154 P159:Q159 P161:Q162 P164:Q164 P166:Q167 P172:Q172 P174:Q174 P176:Q176 P180:Q182 P184:Q184">
    <cfRule type="containsText" dxfId="9" priority="33105" operator="containsText" text="No">
      <formula>NOT(ISERROR(SEARCH(("No"),(P138))))</formula>
    </cfRule>
  </conditionalFormatting>
  <conditionalFormatting sqref="P138:Q152 O145 P154:Q154 P159:Q159 P161:Q162 P164:Q164 P166:Q167 P172:Q172 P174:Q174 P176:Q176 P180:Q182 P184:Q184">
    <cfRule type="containsText" dxfId="9" priority="33106" operator="containsText" text="No">
      <formula>NOT(ISERROR(SEARCH(("No"),(P138))))</formula>
    </cfRule>
  </conditionalFormatting>
  <conditionalFormatting sqref="P138:Q152 O145 P154:Q154 P159:Q159 P161:Q162 P164:Q164 P166:Q167 P172:Q172 P174:Q174 P176:Q176 P180:Q182 P184:Q184">
    <cfRule type="containsText" dxfId="9" priority="33107" operator="containsText" text="No">
      <formula>NOT(ISERROR(SEARCH(("No"),(P138))))</formula>
    </cfRule>
  </conditionalFormatting>
  <conditionalFormatting sqref="P138:Q152 O145 P154:Q154 P159:Q159 P161:Q162 P164:Q164 P166:Q167 P172:Q172 P174:Q174 P176:Q176 P180:Q182 P184:Q184">
    <cfRule type="containsText" dxfId="9" priority="33108" operator="containsText" text="No">
      <formula>NOT(ISERROR(SEARCH(("No"),(P138))))</formula>
    </cfRule>
  </conditionalFormatting>
  <conditionalFormatting sqref="P138:Q152 O145 P154:Q154 P159:Q159 P161:Q162 P164:Q164 P166:Q167 P172:Q172 P174:Q174 P176:Q176 P180:Q182 P184:Q184">
    <cfRule type="containsText" dxfId="9" priority="33109" operator="containsText" text="No">
      <formula>NOT(ISERROR(SEARCH(("No"),(P138))))</formula>
    </cfRule>
  </conditionalFormatting>
  <conditionalFormatting sqref="P138:Q152 O145 P154:Q154 P159:Q159 P161:Q162 P164:Q164 P166:Q167 P172:Q172 P174:Q174 P176:Q176 P180:Q182 P184:Q184">
    <cfRule type="containsText" dxfId="9" priority="33110" operator="containsText" text="No">
      <formula>NOT(ISERROR(SEARCH(("No"),(P138))))</formula>
    </cfRule>
  </conditionalFormatting>
  <conditionalFormatting sqref="P138:Q152 O145 P154:Q154 P159:Q159 P161:Q162 P164:Q164 P166:Q167 P172:Q172 P174:Q174 P176:Q176 P180:Q182 P184:Q184">
    <cfRule type="containsText" dxfId="9" priority="33111" operator="containsText" text="No">
      <formula>NOT(ISERROR(SEARCH(("No"),(P138))))</formula>
    </cfRule>
  </conditionalFormatting>
  <conditionalFormatting sqref="P138:Q152 O145 P154:Q154 P159:Q159 P161:Q162 P164:Q164 P166:Q167 P172:Q172 P174:Q174 P176:Q176 P180:Q182 P184:Q184">
    <cfRule type="containsText" dxfId="9" priority="33112" operator="containsText" text="No">
      <formula>NOT(ISERROR(SEARCH(("No"),(P138))))</formula>
    </cfRule>
  </conditionalFormatting>
  <conditionalFormatting sqref="P138:Q152 O145 P154:Q154 P159:Q159 P161:Q162 P164:Q164 P166:Q167 P172:Q172 P174:Q174 P176:Q176 P180:Q182 P184:Q184">
    <cfRule type="containsText" dxfId="9" priority="33113" operator="containsText" text="No">
      <formula>NOT(ISERROR(SEARCH(("No"),(P138))))</formula>
    </cfRule>
  </conditionalFormatting>
  <conditionalFormatting sqref="P138:Q152 O145 P154:Q154 P159:Q159 P161:Q162 P164:Q164 P166:Q167 P172:Q172 P174:Q174 P176:Q176 P180:Q182 P184:Q184">
    <cfRule type="containsText" dxfId="9" priority="33114" operator="containsText" text="No">
      <formula>NOT(ISERROR(SEARCH(("No"),(P138))))</formula>
    </cfRule>
  </conditionalFormatting>
  <conditionalFormatting sqref="P138:Q152 O145 P154:Q154 P159:Q159 P161:Q162 P164:Q164 P166:Q167 P172:Q172 P174:Q174 P176:Q176 P180:Q182 P184:Q184">
    <cfRule type="containsText" dxfId="9" priority="33115" operator="containsText" text="No">
      <formula>NOT(ISERROR(SEARCH(("No"),(P138))))</formula>
    </cfRule>
  </conditionalFormatting>
  <conditionalFormatting sqref="P138:Q152 O145 P154:Q154 P159:Q159 P161:Q162 P164:Q164 P166:Q167 P172:Q172 P174:Q174 P176:Q176 P180:Q182 P184:Q184">
    <cfRule type="containsText" dxfId="2" priority="33116" operator="containsText" text="Yes">
      <formula>NOT(ISERROR(SEARCH(("Yes"),(P138))))</formula>
    </cfRule>
  </conditionalFormatting>
  <conditionalFormatting sqref="P138:Q152 O145 P154:Q154 P159:Q159 P161:Q162 P164:Q164 P166:Q167 P172:Q172 P174:Q174 P176:Q176 P180:Q182 P184:Q184">
    <cfRule type="containsText" dxfId="2" priority="33117" operator="containsText" text="Yes">
      <formula>NOT(ISERROR(SEARCH(("Yes"),(P138))))</formula>
    </cfRule>
  </conditionalFormatting>
  <conditionalFormatting sqref="P138:Q152 O145 P154:Q154 P159:Q159 P161:Q162 P164:Q164 P166:Q167 P172:Q172 P174:Q174 P176:Q176 P180:Q182 P184:Q184">
    <cfRule type="containsText" dxfId="2" priority="33118" operator="containsText" text="Yes">
      <formula>NOT(ISERROR(SEARCH(("Yes"),(P138))))</formula>
    </cfRule>
  </conditionalFormatting>
  <conditionalFormatting sqref="P138:Q152 O145 P154:Q154 P159:Q159 P161:Q162 P164:Q164 P166:Q167 P172:Q172 P174:Q174 P176:Q176 P180:Q182 P184:Q184">
    <cfRule type="containsText" dxfId="2" priority="33119" operator="containsText" text="Yes">
      <formula>NOT(ISERROR(SEARCH(("Yes"),(P138))))</formula>
    </cfRule>
  </conditionalFormatting>
  <conditionalFormatting sqref="P138:Q152 O145 P154:Q154 P159:Q159 P161:Q162 P164:Q164 P166:Q167 P172:Q172 P174:Q174 P176:Q176 P180:Q182 P184:Q184">
    <cfRule type="containsText" dxfId="2" priority="33120" operator="containsText" text="Yes">
      <formula>NOT(ISERROR(SEARCH(("Yes"),(P138))))</formula>
    </cfRule>
  </conditionalFormatting>
  <conditionalFormatting sqref="P138:Q152 O145 P154:Q154 P159:Q159 P161:Q162 P164:Q164 P166:Q167 P172:Q172 P174:Q174 P176:Q176 P180:Q182 P184:Q184">
    <cfRule type="containsText" dxfId="2" priority="33121" operator="containsText" text="Yes">
      <formula>NOT(ISERROR(SEARCH(("Yes"),(P138))))</formula>
    </cfRule>
  </conditionalFormatting>
  <conditionalFormatting sqref="P138:Q152 O145 P154:Q154 P159:Q159 P161:Q162 P164:Q164 P166:Q167 P172:Q172 P174:Q174 P176:Q176 P180:Q182 P184:Q184">
    <cfRule type="containsText" dxfId="2" priority="33122" operator="containsText" text="Yes">
      <formula>NOT(ISERROR(SEARCH(("Yes"),(P138))))</formula>
    </cfRule>
  </conditionalFormatting>
  <conditionalFormatting sqref="P138:Q152 O145 P154:Q154 P159:Q159 P161:Q162 P164:Q164 P166:Q167 P172:Q172 P174:Q174 P176:Q176 P180:Q182 P184:Q184">
    <cfRule type="containsText" dxfId="2" priority="33123" operator="containsText" text="Yes">
      <formula>NOT(ISERROR(SEARCH(("Yes"),(P138))))</formula>
    </cfRule>
  </conditionalFormatting>
  <conditionalFormatting sqref="P138:Q152 O145 P154:Q154 P159:Q159 P161:Q162 P164:Q164 P166:Q167 P172:Q172 P174:Q174 P176:Q176 P180:Q182 P184:Q184">
    <cfRule type="containsText" dxfId="2" priority="33124" operator="containsText" text="Yes">
      <formula>NOT(ISERROR(SEARCH(("Yes"),(P138))))</formula>
    </cfRule>
  </conditionalFormatting>
  <conditionalFormatting sqref="P138:Q152 O145 P154:Q154 P159:Q159 P161:Q162 P164:Q164 P166:Q167 P172:Q172 P174:Q174 P176:Q176 P180:Q182 P184:Q184">
    <cfRule type="containsText" dxfId="2" priority="33125" operator="containsText" text="Yes">
      <formula>NOT(ISERROR(SEARCH(("Yes"),(P138))))</formula>
    </cfRule>
  </conditionalFormatting>
  <conditionalFormatting sqref="P138:Q152 O145 P154:Q154 P159:Q159 P161:Q162 P164:Q164 P166:Q167 P172:Q172 P174:Q174 P176:Q176 P180:Q182 P184:Q184">
    <cfRule type="containsText" dxfId="2" priority="33126" operator="containsText" text="Yes">
      <formula>NOT(ISERROR(SEARCH(("Yes"),(P138))))</formula>
    </cfRule>
  </conditionalFormatting>
  <conditionalFormatting sqref="P138:Q152 O145 P154:Q154 P159:Q159 P161:Q162 P164:Q164 P166:Q167 P172:Q172 P174:Q174 P176:Q176 P180:Q182 P184:Q184">
    <cfRule type="containsText" dxfId="2" priority="33127" operator="containsText" text="Yes">
      <formula>NOT(ISERROR(SEARCH(("Yes"),(P138))))</formula>
    </cfRule>
  </conditionalFormatting>
  <conditionalFormatting sqref="P138:Q152 O145 P154:Q154 P159:Q159 P161:Q162 P164:Q164 P166:Q167 P172:Q172 P174:Q174 P176:Q176 P180:Q182 P184:Q184">
    <cfRule type="containsText" dxfId="2" priority="33128" operator="containsText" text="Yes">
      <formula>NOT(ISERROR(SEARCH(("Yes"),(P138))))</formula>
    </cfRule>
  </conditionalFormatting>
  <conditionalFormatting sqref="P138:Q152 O145 P154:Q154 P159:Q159 P161:Q162 P164:Q164 P166:Q167 P172:Q172 P174:Q174 P176:Q176 P180:Q182 P184:Q184">
    <cfRule type="containsText" dxfId="2" priority="33129" operator="containsText" text="Yes">
      <formula>NOT(ISERROR(SEARCH(("Yes"),(P138))))</formula>
    </cfRule>
  </conditionalFormatting>
  <conditionalFormatting sqref="P138:Q152 O145 P154:Q154 P159:Q159 P161:Q162 P164:Q164 P166:Q167 P172:Q172 P174:Q174 P176:Q176 P180:Q182 P184:Q184">
    <cfRule type="containsText" dxfId="2" priority="33130" operator="containsText" text="Yes">
      <formula>NOT(ISERROR(SEARCH(("Yes"),(P138))))</formula>
    </cfRule>
  </conditionalFormatting>
  <conditionalFormatting sqref="P138:Q152 O145 P154:Q154 P159:Q159 P161:Q162 P164:Q164 P166:Q167 P172:Q172 P174:Q174 P176:Q176 P180:Q182 P184:Q184">
    <cfRule type="containsText" dxfId="2" priority="33131" operator="containsText" text="Yes">
      <formula>NOT(ISERROR(SEARCH(("Yes"),(P138))))</formula>
    </cfRule>
  </conditionalFormatting>
  <conditionalFormatting sqref="P138:Q152 O145 P154:Q154 P159:Q159 P161:Q162 P164:Q164 P166:Q167 P172:Q172 P174:Q174 P176:Q176 P180:Q182 P184:Q184">
    <cfRule type="containsText" dxfId="2" priority="33132" operator="containsText" text="Yes">
      <formula>NOT(ISERROR(SEARCH(("Yes"),(P138))))</formula>
    </cfRule>
  </conditionalFormatting>
  <conditionalFormatting sqref="P138:Q152 O145 P154:Q154 P159:Q159 P161:Q162 P164:Q164 P166:Q167 P172:Q172 P174:Q174 P176:Q176 P180:Q182 P184:Q184">
    <cfRule type="containsText" dxfId="2" priority="33133" operator="containsText" text="Yes">
      <formula>NOT(ISERROR(SEARCH(("Yes"),(P138))))</formula>
    </cfRule>
  </conditionalFormatting>
  <conditionalFormatting sqref="P138:Q152 O145 P154:Q154 P159:Q159 P161:Q162 P164:Q164 P166:Q167 P172:Q172 P174:Q174 P176:Q176 P180:Q182 P184:Q184">
    <cfRule type="containsText" dxfId="2" priority="33134" operator="containsText" text="Yes">
      <formula>NOT(ISERROR(SEARCH(("Yes"),(P138))))</formula>
    </cfRule>
  </conditionalFormatting>
  <conditionalFormatting sqref="P138:Q152 O145 P154:Q154 P159:Q159 P161:Q162 P164:Q164 P166:Q167 P172:Q172 P174:Q174 P176:Q176 P180:Q182 P184:Q184">
    <cfRule type="containsText" dxfId="2" priority="33135" operator="containsText" text="Yes">
      <formula>NOT(ISERROR(SEARCH(("Yes"),(P138))))</formula>
    </cfRule>
  </conditionalFormatting>
  <conditionalFormatting sqref="P138:Q152 O145 P154:Q154 P159:Q159 P161:Q162 P164:Q164 P166:Q167 P172:Q172 P174:Q174 P176:Q176 P180:Q182 P184:Q184">
    <cfRule type="containsText" dxfId="2" priority="33136" operator="containsText" text="Yes">
      <formula>NOT(ISERROR(SEARCH(("Yes"),(P138))))</formula>
    </cfRule>
  </conditionalFormatting>
  <conditionalFormatting sqref="P138:Q152 O145 P154:Q154 P159:Q159 P161:Q162 P164:Q164 P166:Q167 P172:Q172 P174:Q174 P176:Q176 P180:Q182 P184:Q184">
    <cfRule type="containsText" dxfId="2" priority="33137" operator="containsText" text="Yes">
      <formula>NOT(ISERROR(SEARCH(("Yes"),(P138))))</formula>
    </cfRule>
  </conditionalFormatting>
  <conditionalFormatting sqref="P138:Q152 O145 P154:Q154 P159:Q159 P161:Q162 P164:Q164 P166:Q167 P172:Q172 P174:Q174 P176:Q176 P180:Q182 P184:Q184">
    <cfRule type="containsText" dxfId="2" priority="33138" operator="containsText" text="Yes">
      <formula>NOT(ISERROR(SEARCH(("Yes"),(P138))))</formula>
    </cfRule>
  </conditionalFormatting>
  <conditionalFormatting sqref="P138:Q152 O145 P154:Q154 P159:Q159 P161:Q162 P164:Q164 P166:Q167 P172:Q172 P174:Q174 P176:Q176 P180:Q182 P184:Q184">
    <cfRule type="containsText" dxfId="2" priority="33139" operator="containsText" text="Yes">
      <formula>NOT(ISERROR(SEARCH(("Yes"),(P138))))</formula>
    </cfRule>
  </conditionalFormatting>
  <conditionalFormatting sqref="P138:Q152 O145 P154:Q154 P159:Q159 P161:Q162 P164:Q164 P166:Q167 P172:Q172 P174:Q174 P176:Q176 P180:Q182 P184:Q184">
    <cfRule type="containsText" dxfId="2" priority="33140" operator="containsText" text="Yes">
      <formula>NOT(ISERROR(SEARCH(("Yes"),(P138))))</formula>
    </cfRule>
  </conditionalFormatting>
  <conditionalFormatting sqref="P138:Q152 O145 P154:Q154 P159:Q159 P161:Q162 P164:Q164 P166:Q167 P172:Q172 P174:Q174 P176:Q176 P180:Q182 P184:Q184">
    <cfRule type="containsText" dxfId="2" priority="33141" operator="containsText" text="Yes">
      <formula>NOT(ISERROR(SEARCH(("Yes"),(P138))))</formula>
    </cfRule>
  </conditionalFormatting>
  <conditionalFormatting sqref="P138:Q152 O145 P154:Q154 P159:Q159 P161:Q162 P164:Q164 P166:Q167 P172:Q172 P174:Q174 P176:Q176 P180:Q182 P184:Q184">
    <cfRule type="containsText" dxfId="2" priority="33142" operator="containsText" text="Yes">
      <formula>NOT(ISERROR(SEARCH(("Yes"),(P138))))</formula>
    </cfRule>
  </conditionalFormatting>
  <conditionalFormatting sqref="P138:Q152 O145 P154:Q154 P159:Q159 P161:Q162 P164:Q164 P166:Q167 P172:Q172 P174:Q174 P176:Q176 P180:Q182 P184:Q184">
    <cfRule type="containsText" dxfId="2" priority="33143" operator="containsText" text="Yes">
      <formula>NOT(ISERROR(SEARCH(("Yes"),(P138))))</formula>
    </cfRule>
  </conditionalFormatting>
  <conditionalFormatting sqref="P138:Q152 O145 P154:Q154 P159:Q159 P161:Q162 P164:Q164 P166:Q167 P172:Q172 P174:Q174 P176:Q176 P180:Q182 P184:Q184">
    <cfRule type="containsText" dxfId="2" priority="33144" operator="containsText" text="Yes">
      <formula>NOT(ISERROR(SEARCH(("Yes"),(P138))))</formula>
    </cfRule>
  </conditionalFormatting>
  <conditionalFormatting sqref="P138:Q152 O145 P154:Q154 P159:Q159 P161:Q162 P164:Q164 P166:Q167 P172:Q172 P174:Q174 P176:Q176 P180:Q182 P184:Q184">
    <cfRule type="containsText" dxfId="2" priority="33145" operator="containsText" text="Yes">
      <formula>NOT(ISERROR(SEARCH(("Yes"),(P138))))</formula>
    </cfRule>
  </conditionalFormatting>
  <conditionalFormatting sqref="P138:Q152 O145 P154:Q154 P159:Q159 P161:Q162 P164:Q164 P166:Q167 P172:Q172 P174:Q174 P176:Q176 P180:Q182 P184:Q184">
    <cfRule type="containsText" dxfId="2" priority="33146" operator="containsText" text="Yes">
      <formula>NOT(ISERROR(SEARCH(("Yes"),(P138))))</formula>
    </cfRule>
  </conditionalFormatting>
  <conditionalFormatting sqref="P138:Q152 O145 P154:Q154 P159:Q159 P161:Q162 P164:Q164 P166:Q167 P172:Q172 P174:Q174 P176:Q176 P180:Q182 P184:Q184">
    <cfRule type="containsText" dxfId="2" priority="33147" operator="containsText" text="Yes">
      <formula>NOT(ISERROR(SEARCH(("Yes"),(P138))))</formula>
    </cfRule>
  </conditionalFormatting>
  <conditionalFormatting sqref="P138:Q152 O145 P154:Q154 P159:Q159 P161:Q162 P164:Q164 P166:Q167 P172:Q172 P174:Q174 P176:Q176 P180:Q182 P184:Q184">
    <cfRule type="containsText" dxfId="2" priority="33148" operator="containsText" text="Yes">
      <formula>NOT(ISERROR(SEARCH(("Yes"),(P138))))</formula>
    </cfRule>
  </conditionalFormatting>
  <conditionalFormatting sqref="P138:Q152 O145 P154:Q154 P159:Q159 P161:Q162 P164:Q164 P166:Q167 P172:Q172 P174:Q174 P176:Q176 P180:Q182 P184:Q184">
    <cfRule type="containsText" dxfId="2" priority="33149" operator="containsText" text="Yes">
      <formula>NOT(ISERROR(SEARCH(("Yes"),(P138))))</formula>
    </cfRule>
  </conditionalFormatting>
  <conditionalFormatting sqref="P138:Q152 O145 P154:Q154 P159:Q159 P161:Q162 P164:Q164 P166:Q167 P172:Q172 P174:Q174 P176:Q176 P180:Q182 P184:Q184">
    <cfRule type="containsText" dxfId="2" priority="33150" operator="containsText" text="Yes">
      <formula>NOT(ISERROR(SEARCH(("Yes"),(P138))))</formula>
    </cfRule>
  </conditionalFormatting>
  <conditionalFormatting sqref="P138:Q152 O145 P154:Q154 P159:Q159 P161:Q162 P164:Q164 P166:Q167 P172:Q172 P174:Q174 P176:Q176 P180:Q182 P184:Q184">
    <cfRule type="containsText" dxfId="2" priority="33151" operator="containsText" text="Yes">
      <formula>NOT(ISERROR(SEARCH(("Yes"),(P138))))</formula>
    </cfRule>
  </conditionalFormatting>
  <conditionalFormatting sqref="P138:Q152 O145 P154:Q154 P159:Q159 P161:Q162 P164:Q164 P166:Q167 P172:Q172 P174:Q174 P176:Q176 P180:Q182 P184:Q184">
    <cfRule type="containsText" dxfId="2" priority="33152" operator="containsText" text="Yes">
      <formula>NOT(ISERROR(SEARCH(("Yes"),(P138))))</formula>
    </cfRule>
  </conditionalFormatting>
  <conditionalFormatting sqref="P138:Q152 O145 P154:Q154 P159:Q159 P161:Q162 P164:Q164 P166:Q167 P172:Q172 P174:Q174 P176:Q176 P180:Q182 P184:Q184">
    <cfRule type="containsText" dxfId="2" priority="33153" operator="containsText" text="Yes">
      <formula>NOT(ISERROR(SEARCH(("Yes"),(P138))))</formula>
    </cfRule>
  </conditionalFormatting>
  <conditionalFormatting sqref="P138:Q152 O145 P154:Q154 P159:Q159 P161:Q162 P164:Q164 P166:Q167 P172:Q172 P174:Q174 P176:Q176 P180:Q182 P184:Q184">
    <cfRule type="containsText" dxfId="2" priority="33154" operator="containsText" text="Yes">
      <formula>NOT(ISERROR(SEARCH(("Yes"),(P138))))</formula>
    </cfRule>
  </conditionalFormatting>
  <conditionalFormatting sqref="P138:Q152 O145 P154:Q154 P159:Q159 P161:Q162 P164:Q164 P166:Q167 P172:Q172 P174:Q174 P176:Q176 P180:Q182 P184:Q184">
    <cfRule type="containsText" dxfId="2" priority="33155" operator="containsText" text="Yes">
      <formula>NOT(ISERROR(SEARCH(("Yes"),(P138))))</formula>
    </cfRule>
  </conditionalFormatting>
  <conditionalFormatting sqref="P138:Q152 O145 P154:Q154 P159:Q159 P161:Q162 P164:Q164 P166:Q167 P172:Q172 P174:Q174 P176:Q176 P180:Q182 P184:Q184">
    <cfRule type="containsText" dxfId="2" priority="33156" operator="containsText" text="Yes">
      <formula>NOT(ISERROR(SEARCH(("Yes"),(P138))))</formula>
    </cfRule>
  </conditionalFormatting>
  <conditionalFormatting sqref="P138:Q152 O145 P154:Q154 P159:Q159 P161:Q162 P164:Q164 P166:Q167 P172:Q172 P174:Q174 P176:Q176 P180:Q182 P184:Q184">
    <cfRule type="containsText" dxfId="2" priority="33157" operator="containsText" text="Yes">
      <formula>NOT(ISERROR(SEARCH(("Yes"),(P138))))</formula>
    </cfRule>
  </conditionalFormatting>
  <conditionalFormatting sqref="P138:Q152 O145 P154:Q154 P159:Q159 P161:Q162 P164:Q164 P166:Q167 P172:Q172 P174:Q174 P176:Q176 P180:Q182 P184:Q184">
    <cfRule type="containsText" dxfId="2" priority="33158" operator="containsText" text="Yes">
      <formula>NOT(ISERROR(SEARCH(("Yes"),(P138))))</formula>
    </cfRule>
  </conditionalFormatting>
  <conditionalFormatting sqref="P138:Q152 O145 P154:Q154 P159:Q159 P161:Q162 P164:Q164 P166:Q167 P172:Q172 P174:Q174 P176:Q176 P180:Q182 P184:Q184">
    <cfRule type="containsText" dxfId="2" priority="33159" operator="containsText" text="Yes">
      <formula>NOT(ISERROR(SEARCH(("Yes"),(P138))))</formula>
    </cfRule>
  </conditionalFormatting>
  <conditionalFormatting sqref="P138:Q152 O145 P154:Q154 P159:Q159 P161:Q162 P164:Q164 P166:Q167 P172:Q172 P174:Q174 P176:Q176 P180:Q182 P184:Q184">
    <cfRule type="containsText" dxfId="2" priority="33160" operator="containsText" text="Yes">
      <formula>NOT(ISERROR(SEARCH(("Yes"),(P138))))</formula>
    </cfRule>
  </conditionalFormatting>
  <conditionalFormatting sqref="P138:Q152 O145 P154:Q154 P159:Q159 P161:Q162 P164:Q164 P166:Q167 P172:Q172 P174:Q174 P176:Q176 P180:Q182 P184:Q184">
    <cfRule type="containsText" dxfId="2" priority="33161" operator="containsText" text="Yes">
      <formula>NOT(ISERROR(SEARCH(("Yes"),(P138))))</formula>
    </cfRule>
  </conditionalFormatting>
  <conditionalFormatting sqref="P138:Q152 O145 P154:Q154 P159:Q159 P161:Q162 P164:Q164 P166:Q167 P172:Q172 P174:Q174 P176:Q176 P180:Q182 P184:Q184">
    <cfRule type="containsText" dxfId="2" priority="33162" operator="containsText" text="Yes">
      <formula>NOT(ISERROR(SEARCH(("Yes"),(P138))))</formula>
    </cfRule>
  </conditionalFormatting>
  <conditionalFormatting sqref="P139:Q152 O145 P154:Q154 P159:Q159 P161:Q162 P164:Q164 P166:Q167 P172:Q172 P174:Q174 P176:Q176 P180:Q182 P184:Q184">
    <cfRule type="containsText" dxfId="9" priority="33163" operator="containsText" text="No">
      <formula>NOT(ISERROR(SEARCH(("No"),(P139))))</formula>
    </cfRule>
  </conditionalFormatting>
  <conditionalFormatting sqref="P139:Q152 O145 P154:Q154 P159:Q159 P161:Q162 P164:Q164 P166:Q167 P172:Q172 P174:Q174 P176:Q176 P180:Q182 P184:Q184">
    <cfRule type="containsText" dxfId="9" priority="33164" operator="containsText" text="No">
      <formula>NOT(ISERROR(SEARCH(("No"),(P139))))</formula>
    </cfRule>
  </conditionalFormatting>
  <conditionalFormatting sqref="P139:Q152 O145 P154:Q154 P159:Q159 P161:Q162 P164:Q164 P166:Q167 P172:Q172 P174:Q174 P176:Q176 P180:Q182 P184:Q184">
    <cfRule type="containsText" dxfId="9" priority="33165" operator="containsText" text="No">
      <formula>NOT(ISERROR(SEARCH(("No"),(P139))))</formula>
    </cfRule>
  </conditionalFormatting>
  <conditionalFormatting sqref="P139:Q152 O145 P154:Q154 P159:Q159 P161:Q162 P164:Q164 P166:Q167 P172:Q172 P174:Q174 P176:Q176 P180:Q182 P184:Q184">
    <cfRule type="containsText" dxfId="9" priority="33166" operator="containsText" text="No">
      <formula>NOT(ISERROR(SEARCH(("No"),(P139))))</formula>
    </cfRule>
  </conditionalFormatting>
  <conditionalFormatting sqref="P139:Q152 O145 P154:Q154 P159:Q159 P161:Q162 P164:Q164 P166:Q167 P172:Q172 P174:Q174 P176:Q176 P180:Q182 P184:Q184">
    <cfRule type="containsText" dxfId="9" priority="33167" operator="containsText" text="No">
      <formula>NOT(ISERROR(SEARCH(("No"),(P139))))</formula>
    </cfRule>
  </conditionalFormatting>
  <conditionalFormatting sqref="P139:Q152 O145 P154:Q154 P159:Q159 P161:Q162 P164:Q164 P166:Q167 P172:Q172 P174:Q174 P176:Q176 P180:Q182 P184:Q184">
    <cfRule type="containsText" dxfId="9" priority="33168" operator="containsText" text="No">
      <formula>NOT(ISERROR(SEARCH(("No"),(P139))))</formula>
    </cfRule>
  </conditionalFormatting>
  <conditionalFormatting sqref="P139:Q152 O145 P154:Q154 P159:Q159 P161:Q162 P164:Q164 P166:Q167 P172:Q172 P174:Q174 P176:Q176 P180:Q182 P184:Q184">
    <cfRule type="containsText" dxfId="9" priority="33169" operator="containsText" text="No">
      <formula>NOT(ISERROR(SEARCH(("No"),(P139))))</formula>
    </cfRule>
  </conditionalFormatting>
  <conditionalFormatting sqref="P139:Q152 O145 P154:Q154 P159:Q159 P161:Q162 P164:Q164 P166:Q167 P172:Q172 P174:Q174 P176:Q176 P180:Q182 P184:Q184">
    <cfRule type="containsText" dxfId="9" priority="33170" operator="containsText" text="No">
      <formula>NOT(ISERROR(SEARCH(("No"),(P139))))</formula>
    </cfRule>
  </conditionalFormatting>
  <conditionalFormatting sqref="P139:Q152 O145 P154:Q154 P159:Q159 P161:Q162 P164:Q164 P166:Q167 P172:Q172 P174:Q174 P176:Q176 P180:Q182 P184:Q184">
    <cfRule type="containsText" dxfId="9" priority="33171" operator="containsText" text="No">
      <formula>NOT(ISERROR(SEARCH(("No"),(P139))))</formula>
    </cfRule>
  </conditionalFormatting>
  <conditionalFormatting sqref="P139:Q152 O145 P154:Q154 P159:Q159 P161:Q162 P164:Q164 P166:Q167 P172:Q172 P174:Q174 P176:Q176 P180:Q182 P184:Q184">
    <cfRule type="containsText" dxfId="9" priority="33172" operator="containsText" text="No">
      <formula>NOT(ISERROR(SEARCH(("No"),(P139))))</formula>
    </cfRule>
  </conditionalFormatting>
  <conditionalFormatting sqref="P139:Q152 O145 P154:Q154 P159:Q159 P161:Q162 P164:Q164 P166:Q167 P172:Q172 P174:Q174 P176:Q176 P180:Q182 P184:Q184">
    <cfRule type="containsText" dxfId="9" priority="33173" operator="containsText" text="No">
      <formula>NOT(ISERROR(SEARCH(("No"),(P139))))</formula>
    </cfRule>
  </conditionalFormatting>
  <conditionalFormatting sqref="P139:Q152 O145 P154:Q154 P159:Q159 P161:Q162 P164:Q164 P166:Q167 P172:Q172 P174:Q174 P176:Q176 P180:Q182 P184:Q184">
    <cfRule type="containsText" dxfId="9" priority="33174" operator="containsText" text="No">
      <formula>NOT(ISERROR(SEARCH(("No"),(P139))))</formula>
    </cfRule>
  </conditionalFormatting>
  <conditionalFormatting sqref="P139:Q152 O145 P154:Q154 P159:Q159 P161:Q162 P164:Q164 P166:Q167 P172:Q172 P174:Q174 P176:Q176 P180:Q182 P184:Q184">
    <cfRule type="containsText" dxfId="9" priority="33175" operator="containsText" text="No">
      <formula>NOT(ISERROR(SEARCH(("No"),(P139))))</formula>
    </cfRule>
  </conditionalFormatting>
  <conditionalFormatting sqref="P139:Q152 O145 P154:Q154 P159:Q159 P161:Q162 P164:Q164 P166:Q167 P172:Q172 P174:Q174 P176:Q176 P180:Q182 P184:Q184">
    <cfRule type="containsText" dxfId="9" priority="33176" operator="containsText" text="No">
      <formula>NOT(ISERROR(SEARCH(("No"),(P139))))</formula>
    </cfRule>
  </conditionalFormatting>
  <conditionalFormatting sqref="P139:Q152 O145 P154:Q154 P159:Q159 P161:Q162 P164:Q164 P166:Q167 P172:Q172 P174:Q174 P176:Q176 P180:Q182 P184:Q184">
    <cfRule type="containsText" dxfId="9" priority="33177" operator="containsText" text="No">
      <formula>NOT(ISERROR(SEARCH(("No"),(P139))))</formula>
    </cfRule>
  </conditionalFormatting>
  <conditionalFormatting sqref="P139:Q152 O145 P154:Q154 P159:Q159 P161:Q162 P164:Q164 P166:Q167 P172:Q172 P174:Q174 P176:Q176 P180:Q182 P184:Q184">
    <cfRule type="containsText" dxfId="9" priority="33178" operator="containsText" text="No">
      <formula>NOT(ISERROR(SEARCH(("No"),(P139))))</formula>
    </cfRule>
  </conditionalFormatting>
  <conditionalFormatting sqref="P139:Q152 O145 P154:Q154 P159:Q159 P161:Q162 P164:Q164 P166:Q167 P172:Q172 P174:Q174 P176:Q176 P180:Q182 P184:Q184">
    <cfRule type="containsText" dxfId="9" priority="33179" operator="containsText" text="No">
      <formula>NOT(ISERROR(SEARCH(("No"),(P139))))</formula>
    </cfRule>
  </conditionalFormatting>
  <conditionalFormatting sqref="P139:Q152 O145 P154:Q154 P159:Q159 P161:Q162 P164:Q164 P166:Q167 P172:Q172 P174:Q174 P176:Q176 P180:Q182 P184:Q184">
    <cfRule type="containsText" dxfId="9" priority="33180" operator="containsText" text="No">
      <formula>NOT(ISERROR(SEARCH(("No"),(P139))))</formula>
    </cfRule>
  </conditionalFormatting>
  <conditionalFormatting sqref="P139:Q152 O145 P154:Q154 P159:Q159 P161:Q162 P164:Q164 P166:Q167 P172:Q172 P174:Q174 P176:Q176 P180:Q182 P184:Q184">
    <cfRule type="containsText" dxfId="9" priority="33181" operator="containsText" text="No">
      <formula>NOT(ISERROR(SEARCH(("No"),(P139))))</formula>
    </cfRule>
  </conditionalFormatting>
  <conditionalFormatting sqref="P139:Q152 O145 P154:Q154 P159:Q159 P161:Q162 P164:Q164 P166:Q167 P172:Q172 P174:Q174 P176:Q176 P180:Q182 P184:Q184">
    <cfRule type="containsText" dxfId="9" priority="33182" operator="containsText" text="No">
      <formula>NOT(ISERROR(SEARCH(("No"),(P139))))</formula>
    </cfRule>
  </conditionalFormatting>
  <conditionalFormatting sqref="P139:Q152 O145 P154:Q154 P159:Q159 P161:Q162 P164:Q164 P166:Q167 P172:Q172 P174:Q174 P176:Q176 P180:Q182 P184:Q184">
    <cfRule type="containsText" dxfId="9" priority="33183" operator="containsText" text="No">
      <formula>NOT(ISERROR(SEARCH(("No"),(P139))))</formula>
    </cfRule>
  </conditionalFormatting>
  <conditionalFormatting sqref="P139:Q152 O145 P154:Q154 P159:Q159 P161:Q162 P164:Q164 P166:Q167 P172:Q172 P174:Q174 P176:Q176 P180:Q182 P184:Q184">
    <cfRule type="containsText" dxfId="9" priority="33184" operator="containsText" text="No">
      <formula>NOT(ISERROR(SEARCH(("No"),(P139))))</formula>
    </cfRule>
  </conditionalFormatting>
  <conditionalFormatting sqref="P139:Q152 O145 P154:Q154 P159:Q159 P161:Q162 P164:Q164 P166:Q167 P172:Q172 P174:Q174 P176:Q176 P180:Q182 P184:Q184">
    <cfRule type="containsText" dxfId="9" priority="33185" operator="containsText" text="No">
      <formula>NOT(ISERROR(SEARCH(("No"),(P139))))</formula>
    </cfRule>
  </conditionalFormatting>
  <conditionalFormatting sqref="P139:Q152 O145 P154:Q154 P159:Q159 P161:Q162 P164:Q164 P166:Q167 P172:Q172 P174:Q174 P176:Q176 P180:Q182 P184:Q184">
    <cfRule type="containsText" dxfId="9" priority="33186" operator="containsText" text="No">
      <formula>NOT(ISERROR(SEARCH(("No"),(P139))))</formula>
    </cfRule>
  </conditionalFormatting>
  <conditionalFormatting sqref="P139:Q152 O145 P154:Q154 P159:Q159 P161:Q162 P164:Q164 P166:Q167 P172:Q172 P174:Q174 P176:Q176 P180:Q182 P184:Q184">
    <cfRule type="containsText" dxfId="9" priority="33187" operator="containsText" text="No">
      <formula>NOT(ISERROR(SEARCH(("No"),(P139))))</formula>
    </cfRule>
  </conditionalFormatting>
  <conditionalFormatting sqref="P139:Q152 O145 P154:Q154 P159:Q159 P161:Q162 P164:Q164 P166:Q167 P172:Q172 P174:Q174 P176:Q176 P180:Q182 P184:Q184">
    <cfRule type="containsText" dxfId="9" priority="33188" operator="containsText" text="No">
      <formula>NOT(ISERROR(SEARCH(("No"),(P139))))</formula>
    </cfRule>
  </conditionalFormatting>
  <conditionalFormatting sqref="P139:Q152 O145 P154:Q154 P159:Q159 P161:Q162 P164:Q164 P166:Q167 P172:Q172 P174:Q174 P176:Q176 P180:Q182 P184:Q184">
    <cfRule type="containsText" dxfId="9" priority="33189" operator="containsText" text="No">
      <formula>NOT(ISERROR(SEARCH(("No"),(P139))))</formula>
    </cfRule>
  </conditionalFormatting>
  <conditionalFormatting sqref="P139:Q152 O145 P154:Q154 P159:Q159 P161:Q162 P164:Q164 P166:Q167 P172:Q172 P174:Q174 P176:Q176 P180:Q182 P184:Q184">
    <cfRule type="containsText" dxfId="9" priority="33190" operator="containsText" text="No">
      <formula>NOT(ISERROR(SEARCH(("No"),(P139))))</formula>
    </cfRule>
  </conditionalFormatting>
  <conditionalFormatting sqref="P139:Q152 O145 P154:Q154 P159:Q159 P161:Q162 P164:Q164 P166:Q167 P172:Q172 P174:Q174 P176:Q176 P180:Q182 P184:Q184">
    <cfRule type="containsText" dxfId="9" priority="33191" operator="containsText" text="No">
      <formula>NOT(ISERROR(SEARCH(("No"),(P139))))</formula>
    </cfRule>
  </conditionalFormatting>
  <conditionalFormatting sqref="P139:Q152 O145 P154:Q154 P159:Q159 P161:Q162 P164:Q164 P166:Q167 P172:Q172 P174:Q174 P176:Q176 P180:Q182 P184:Q184">
    <cfRule type="containsText" dxfId="9" priority="33192" operator="containsText" text="No">
      <formula>NOT(ISERROR(SEARCH(("No"),(P139))))</formula>
    </cfRule>
  </conditionalFormatting>
  <conditionalFormatting sqref="P139:Q152 O145 P154:Q154 P159:Q159 P161:Q162 P164:Q164 P166:Q167 P172:Q172 P174:Q174 P176:Q176 P180:Q182 P184:Q184">
    <cfRule type="containsText" dxfId="9" priority="33193" operator="containsText" text="No">
      <formula>NOT(ISERROR(SEARCH(("No"),(P139))))</formula>
    </cfRule>
  </conditionalFormatting>
  <conditionalFormatting sqref="P139:Q152 O145 P154:Q154 P159:Q159 P161:Q162 P164:Q164 P166:Q167 P172:Q172 P174:Q174 P176:Q176 P180:Q182 P184:Q184">
    <cfRule type="containsText" dxfId="9" priority="33194" operator="containsText" text="No">
      <formula>NOT(ISERROR(SEARCH(("No"),(P139))))</formula>
    </cfRule>
  </conditionalFormatting>
  <conditionalFormatting sqref="P139:Q152 O145 P154:Q154 P159:Q159 P161:Q162 P164:Q164 P166:Q167 P172:Q172 P174:Q174 P176:Q176 P180:Q182 P184:Q184">
    <cfRule type="containsText" dxfId="9" priority="33195" operator="containsText" text="No">
      <formula>NOT(ISERROR(SEARCH(("No"),(P139))))</formula>
    </cfRule>
  </conditionalFormatting>
  <conditionalFormatting sqref="P139:Q152 O145 P154:Q154 P159:Q159 P161:Q162 P164:Q164 P166:Q167 P172:Q172 P174:Q174 P176:Q176 P180:Q182 P184:Q184">
    <cfRule type="containsText" dxfId="9" priority="33196" operator="containsText" text="No">
      <formula>NOT(ISERROR(SEARCH(("No"),(P139))))</formula>
    </cfRule>
  </conditionalFormatting>
  <conditionalFormatting sqref="P139:Q152 O145 P154:Q154 P159:Q159 P161:Q162 P164:Q164 P166:Q167 P172:Q172 P174:Q174 P176:Q176 P180:Q182 P184:Q184">
    <cfRule type="containsText" dxfId="9" priority="33197" operator="containsText" text="No">
      <formula>NOT(ISERROR(SEARCH(("No"),(P139))))</formula>
    </cfRule>
  </conditionalFormatting>
  <conditionalFormatting sqref="P139:Q152 O145 P154:Q154 P159:Q159 P161:Q162 P164:Q164 P166:Q167 P172:Q172 P174:Q174 P176:Q176 P180:Q182 P184:Q184">
    <cfRule type="containsText" dxfId="9" priority="33198" operator="containsText" text="No">
      <formula>NOT(ISERROR(SEARCH(("No"),(P139))))</formula>
    </cfRule>
  </conditionalFormatting>
  <conditionalFormatting sqref="P139:Q152 O145 P154:Q154 P159:Q159 P161:Q162 P164:Q164 P166:Q167 P172:Q172 P174:Q174 P176:Q176 P180:Q182 P184:Q184">
    <cfRule type="containsText" dxfId="9" priority="33199" operator="containsText" text="No">
      <formula>NOT(ISERROR(SEARCH(("No"),(P139))))</formula>
    </cfRule>
  </conditionalFormatting>
  <conditionalFormatting sqref="P139:Q152 O145 P154:Q154 P159:Q159 P161:Q162 P164:Q164 P166:Q167 P172:Q172 P174:Q174 P176:Q176 P180:Q182 P184:Q184">
    <cfRule type="containsText" dxfId="9" priority="33200" operator="containsText" text="No">
      <formula>NOT(ISERROR(SEARCH(("No"),(P139))))</formula>
    </cfRule>
  </conditionalFormatting>
  <conditionalFormatting sqref="P139:Q152 O145 P154:Q154 P159:Q159 P161:Q162 P164:Q164 P166:Q167 P172:Q172 P174:Q174 P176:Q176 P180:Q182 P184:Q184">
    <cfRule type="containsText" dxfId="9" priority="33201" operator="containsText" text="No">
      <formula>NOT(ISERROR(SEARCH(("No"),(P139))))</formula>
    </cfRule>
  </conditionalFormatting>
  <conditionalFormatting sqref="P139:Q152 O145 P154:Q154 P159:Q159 P161:Q162 P164:Q164 P166:Q167 P172:Q172 P174:Q174 P176:Q176 P180:Q182 P184:Q184">
    <cfRule type="containsText" dxfId="9" priority="33202" operator="containsText" text="No">
      <formula>NOT(ISERROR(SEARCH(("No"),(P139))))</formula>
    </cfRule>
  </conditionalFormatting>
  <conditionalFormatting sqref="P139:Q152 O145 P154:Q154 P159:Q159 P161:Q162 P164:Q164 P166:Q167 P172:Q172 P174:Q174 P176:Q176 P180:Q182 P184:Q184">
    <cfRule type="containsText" dxfId="9" priority="33203" operator="containsText" text="No">
      <formula>NOT(ISERROR(SEARCH(("No"),(P139))))</formula>
    </cfRule>
  </conditionalFormatting>
  <conditionalFormatting sqref="P139:Q152 O145 P154:Q154 P159:Q159 P161:Q162 P164:Q164 P166:Q167 P172:Q172 P174:Q174 P176:Q176 P180:Q182 P184:Q184">
    <cfRule type="containsText" dxfId="9" priority="33204" operator="containsText" text="No">
      <formula>NOT(ISERROR(SEARCH(("No"),(P139))))</formula>
    </cfRule>
  </conditionalFormatting>
  <conditionalFormatting sqref="P139:Q152 O145 P154:Q154 P159:Q159 P161:Q162 P164:Q164 P166:Q167 P172:Q172 P174:Q174 P176:Q176 P180:Q182 P184:Q184">
    <cfRule type="containsText" dxfId="9" priority="33205" operator="containsText" text="No">
      <formula>NOT(ISERROR(SEARCH(("No"),(P139))))</formula>
    </cfRule>
  </conditionalFormatting>
  <conditionalFormatting sqref="P139:Q152 O145 P154:Q154 P159:Q159 P161:Q162 P164:Q164 P166:Q167 P172:Q172 P174:Q174 P176:Q176 P180:Q182 P184:Q184">
    <cfRule type="containsText" dxfId="9" priority="33206" operator="containsText" text="No">
      <formula>NOT(ISERROR(SEARCH(("No"),(P139))))</formula>
    </cfRule>
  </conditionalFormatting>
  <conditionalFormatting sqref="P139:Q152 O145 P154:Q154 P159:Q159 P161:Q162 P164:Q164 P166:Q167 P172:Q172 P174:Q174 P176:Q176 P180:Q182 P184:Q184">
    <cfRule type="containsText" dxfId="9" priority="33207" operator="containsText" text="No">
      <formula>NOT(ISERROR(SEARCH(("No"),(P139))))</formula>
    </cfRule>
  </conditionalFormatting>
  <conditionalFormatting sqref="P139:Q152 O145 P154:Q154 P159:Q159 P161:Q162 P164:Q164 P166:Q167 P172:Q172 P174:Q174 P176:Q176 P180:Q182 P184:Q184">
    <cfRule type="containsText" dxfId="2" priority="33208" operator="containsText" text="Yes">
      <formula>NOT(ISERROR(SEARCH(("Yes"),(P139))))</formula>
    </cfRule>
  </conditionalFormatting>
  <conditionalFormatting sqref="P139:Q152 O145 P154:Q154 P159:Q159 P161:Q162 P164:Q164 P166:Q167 P172:Q172 P174:Q174 P176:Q176 P180:Q182 P184:Q184">
    <cfRule type="containsText" dxfId="2" priority="33209" operator="containsText" text="Yes">
      <formula>NOT(ISERROR(SEARCH(("Yes"),(P139))))</formula>
    </cfRule>
  </conditionalFormatting>
  <conditionalFormatting sqref="P139:Q152 O145 P154:Q154 P159:Q159 P161:Q162 P164:Q164 P166:Q167 P172:Q172 P174:Q174 P176:Q176 P180:Q182 P184:Q184">
    <cfRule type="containsText" dxfId="2" priority="33210" operator="containsText" text="Yes">
      <formula>NOT(ISERROR(SEARCH(("Yes"),(P139))))</formula>
    </cfRule>
  </conditionalFormatting>
  <conditionalFormatting sqref="P139:Q152 O145 P154:Q154 P159:Q159 P161:Q162 P164:Q164 P166:Q167 P172:Q172 P174:Q174 P176:Q176 P180:Q182 P184:Q184">
    <cfRule type="containsText" dxfId="2" priority="33211" operator="containsText" text="Yes">
      <formula>NOT(ISERROR(SEARCH(("Yes"),(P139))))</formula>
    </cfRule>
  </conditionalFormatting>
  <conditionalFormatting sqref="P139:Q152 O145 P154:Q154 P159:Q159 P161:Q162 P164:Q164 P166:Q167 P172:Q172 P174:Q174 P176:Q176 P180:Q182 P184:Q184">
    <cfRule type="containsText" dxfId="2" priority="33212" operator="containsText" text="Yes">
      <formula>NOT(ISERROR(SEARCH(("Yes"),(P139))))</formula>
    </cfRule>
  </conditionalFormatting>
  <conditionalFormatting sqref="P139:Q152 O145 P154:Q154 P159:Q159 P161:Q162 P164:Q164 P166:Q167 P172:Q172 P174:Q174 P176:Q176 P180:Q182 P184:Q184">
    <cfRule type="containsText" dxfId="2" priority="33213" operator="containsText" text="Yes">
      <formula>NOT(ISERROR(SEARCH(("Yes"),(P139))))</formula>
    </cfRule>
  </conditionalFormatting>
  <conditionalFormatting sqref="P139:Q152 O145 P154:Q154 P159:Q159 P161:Q162 P164:Q164 P166:Q167 P172:Q172 P174:Q174 P176:Q176 P180:Q182 P184:Q184">
    <cfRule type="containsText" dxfId="2" priority="33214" operator="containsText" text="Yes">
      <formula>NOT(ISERROR(SEARCH(("Yes"),(P139))))</formula>
    </cfRule>
  </conditionalFormatting>
  <conditionalFormatting sqref="P139:Q152 O145 P154:Q154 P159:Q159 P161:Q162 P164:Q164 P166:Q167 P172:Q172 P174:Q174 P176:Q176 P180:Q182 P184:Q184">
    <cfRule type="containsText" dxfId="2" priority="33215" operator="containsText" text="Yes">
      <formula>NOT(ISERROR(SEARCH(("Yes"),(P139))))</formula>
    </cfRule>
  </conditionalFormatting>
  <conditionalFormatting sqref="P139:Q152 O145 P154:Q154 P159:Q159 P161:Q162 P164:Q164 P166:Q167 P172:Q172 P174:Q174 P176:Q176 P180:Q182 P184:Q184">
    <cfRule type="containsText" dxfId="2" priority="33216" operator="containsText" text="Yes">
      <formula>NOT(ISERROR(SEARCH(("Yes"),(P139))))</formula>
    </cfRule>
  </conditionalFormatting>
  <conditionalFormatting sqref="P139:Q152 O145 P154:Q154 P159:Q159 P161:Q162 P164:Q164 P166:Q167 P172:Q172 P174:Q174 P176:Q176 P180:Q182 P184:Q184">
    <cfRule type="containsText" dxfId="2" priority="33217" operator="containsText" text="Yes">
      <formula>NOT(ISERROR(SEARCH(("Yes"),(P139))))</formula>
    </cfRule>
  </conditionalFormatting>
  <conditionalFormatting sqref="P139:Q152 O145 P154:Q154 P159:Q159 P161:Q162 P164:Q164 P166:Q167 P172:Q172 P174:Q174 P176:Q176 P180:Q182 P184:Q184">
    <cfRule type="containsText" dxfId="2" priority="33218" operator="containsText" text="Yes">
      <formula>NOT(ISERROR(SEARCH(("Yes"),(P139))))</formula>
    </cfRule>
  </conditionalFormatting>
  <conditionalFormatting sqref="P139:Q152 O145 P154:Q154 P159:Q159 P161:Q162 P164:Q164 P166:Q167 P172:Q172 P174:Q174 P176:Q176 P180:Q182 P184:Q184">
    <cfRule type="containsText" dxfId="2" priority="33219" operator="containsText" text="Yes">
      <formula>NOT(ISERROR(SEARCH(("Yes"),(P139))))</formula>
    </cfRule>
  </conditionalFormatting>
  <conditionalFormatting sqref="P139:Q152 O145 P154:Q154 P159:Q159 P161:Q162 P164:Q164 P166:Q167 P172:Q172 P174:Q174 P176:Q176 P180:Q182 P184:Q184">
    <cfRule type="containsText" dxfId="2" priority="33220" operator="containsText" text="Yes">
      <formula>NOT(ISERROR(SEARCH(("Yes"),(P139))))</formula>
    </cfRule>
  </conditionalFormatting>
  <conditionalFormatting sqref="P139:Q152 O145 P154:Q154 P159:Q159 P161:Q162 P164:Q164 P166:Q167 P172:Q172 P174:Q174 P176:Q176 P180:Q182 P184:Q184">
    <cfRule type="containsText" dxfId="2" priority="33221" operator="containsText" text="Yes">
      <formula>NOT(ISERROR(SEARCH(("Yes"),(P139))))</formula>
    </cfRule>
  </conditionalFormatting>
  <conditionalFormatting sqref="P139:Q152 O145 P154:Q154 P159:Q159 P161:Q162 P164:Q164 P166:Q167 P172:Q172 P174:Q174 P176:Q176 P180:Q182 P184:Q184">
    <cfRule type="containsText" dxfId="2" priority="33222" operator="containsText" text="Yes">
      <formula>NOT(ISERROR(SEARCH(("Yes"),(P139))))</formula>
    </cfRule>
  </conditionalFormatting>
  <conditionalFormatting sqref="P139:Q152 O145 P154:Q154 P159:Q159 P161:Q162 P164:Q164 P166:Q167 P172:Q172 P174:Q174 P176:Q176 P180:Q182 P184:Q184">
    <cfRule type="containsText" dxfId="2" priority="33223" operator="containsText" text="Yes">
      <formula>NOT(ISERROR(SEARCH(("Yes"),(P139))))</formula>
    </cfRule>
  </conditionalFormatting>
  <conditionalFormatting sqref="P139:Q152 O145 P154:Q154 P159:Q159 P161:Q162 P164:Q164 P166:Q167 P172:Q172 P174:Q174 P176:Q176 P180:Q182 P184:Q184">
    <cfRule type="containsText" dxfId="2" priority="33224" operator="containsText" text="Yes">
      <formula>NOT(ISERROR(SEARCH(("Yes"),(P139))))</formula>
    </cfRule>
  </conditionalFormatting>
  <conditionalFormatting sqref="P139:Q152 O145 P154:Q154 P159:Q159 P161:Q162 P164:Q164 P166:Q167 P172:Q172 P174:Q174 P176:Q176 P180:Q182 P184:Q184">
    <cfRule type="containsText" dxfId="2" priority="33225" operator="containsText" text="Yes">
      <formula>NOT(ISERROR(SEARCH(("Yes"),(P139))))</formula>
    </cfRule>
  </conditionalFormatting>
  <conditionalFormatting sqref="P139:Q152 O145 P154:Q154 P159:Q159 P161:Q162 P164:Q164 P166:Q167 P172:Q172 P174:Q174 P176:Q176 P180:Q182 P184:Q184">
    <cfRule type="containsText" dxfId="2" priority="33226" operator="containsText" text="Yes">
      <formula>NOT(ISERROR(SEARCH(("Yes"),(P139))))</formula>
    </cfRule>
  </conditionalFormatting>
  <conditionalFormatting sqref="P139:Q152 O145 P154:Q154 P159:Q159 P161:Q162 P164:Q164 P166:Q167 P172:Q172 P174:Q174 P176:Q176 P180:Q182 P184:Q184">
    <cfRule type="containsText" dxfId="2" priority="33227" operator="containsText" text="Yes">
      <formula>NOT(ISERROR(SEARCH(("Yes"),(P139))))</formula>
    </cfRule>
  </conditionalFormatting>
  <conditionalFormatting sqref="P139:Q152 O145 P154:Q154 P159:Q159 P161:Q162 P164:Q164 P166:Q167 P172:Q172 P174:Q174 P176:Q176 P180:Q182 P184:Q184">
    <cfRule type="containsText" dxfId="2" priority="33228" operator="containsText" text="Yes">
      <formula>NOT(ISERROR(SEARCH(("Yes"),(P139))))</formula>
    </cfRule>
  </conditionalFormatting>
  <conditionalFormatting sqref="P139:Q152 O145 P154:Q154 P159:Q159 P161:Q162 P164:Q164 P166:Q167 P172:Q172 P174:Q174 P176:Q176 P180:Q182 P184:Q184">
    <cfRule type="containsText" dxfId="2" priority="33229" operator="containsText" text="Yes">
      <formula>NOT(ISERROR(SEARCH(("Yes"),(P139))))</formula>
    </cfRule>
  </conditionalFormatting>
  <conditionalFormatting sqref="P139:Q152 O145 P154:Q154 P159:Q159 P161:Q162 P164:Q164 P166:Q167 P172:Q172 P174:Q174 P176:Q176 P180:Q182 P184:Q184">
    <cfRule type="containsText" dxfId="2" priority="33230" operator="containsText" text="Yes">
      <formula>NOT(ISERROR(SEARCH(("Yes"),(P139))))</formula>
    </cfRule>
  </conditionalFormatting>
  <conditionalFormatting sqref="P139:Q152 O145 P154:Q154 P159:Q159 P161:Q162 P164:Q164 P166:Q167 P172:Q172 P174:Q174 P176:Q176 P180:Q182 P184:Q184">
    <cfRule type="containsText" dxfId="2" priority="33231" operator="containsText" text="Yes">
      <formula>NOT(ISERROR(SEARCH(("Yes"),(P139))))</formula>
    </cfRule>
  </conditionalFormatting>
  <conditionalFormatting sqref="P139:Q152 O145 P154:Q154 P159:Q159 P161:Q162 P164:Q164 P166:Q167 P172:Q172 P174:Q174 P176:Q176 P180:Q182 P184:Q184">
    <cfRule type="containsText" dxfId="2" priority="33232" operator="containsText" text="Yes">
      <formula>NOT(ISERROR(SEARCH(("Yes"),(P139))))</formula>
    </cfRule>
  </conditionalFormatting>
  <conditionalFormatting sqref="P139:Q152 O145 P154:Q154 P159:Q159 P161:Q162 P164:Q164 P166:Q167 P172:Q172 P174:Q174 P176:Q176 P180:Q182 P184:Q184">
    <cfRule type="containsText" dxfId="2" priority="33233" operator="containsText" text="Yes">
      <formula>NOT(ISERROR(SEARCH(("Yes"),(P139))))</formula>
    </cfRule>
  </conditionalFormatting>
  <conditionalFormatting sqref="P139:Q152 O145 P154:Q154 P159:Q159 P161:Q162 P164:Q164 P166:Q167 P172:Q172 P174:Q174 P176:Q176 P180:Q182 P184:Q184">
    <cfRule type="containsText" dxfId="2" priority="33234" operator="containsText" text="Yes">
      <formula>NOT(ISERROR(SEARCH(("Yes"),(P139))))</formula>
    </cfRule>
  </conditionalFormatting>
  <conditionalFormatting sqref="P139:Q152 O145 P154:Q154 P159:Q159 P161:Q162 P164:Q164 P166:Q167 P172:Q172 P174:Q174 P176:Q176 P180:Q182 P184:Q184">
    <cfRule type="containsText" dxfId="2" priority="33235" operator="containsText" text="Yes">
      <formula>NOT(ISERROR(SEARCH(("Yes"),(P139))))</formula>
    </cfRule>
  </conditionalFormatting>
  <conditionalFormatting sqref="P139:Q152 O145 P154:Q154 P159:Q159 P161:Q162 P164:Q164 P166:Q167 P172:Q172 P174:Q174 P176:Q176 P180:Q182 P184:Q184">
    <cfRule type="containsText" dxfId="2" priority="33236" operator="containsText" text="Yes">
      <formula>NOT(ISERROR(SEARCH(("Yes"),(P139))))</formula>
    </cfRule>
  </conditionalFormatting>
  <conditionalFormatting sqref="P139:Q152 O145 P154:Q154 P159:Q159 P161:Q162 P164:Q164 P166:Q167 P172:Q172 P174:Q174 P176:Q176 P180:Q182 P184:Q184">
    <cfRule type="containsText" dxfId="2" priority="33237" operator="containsText" text="Yes">
      <formula>NOT(ISERROR(SEARCH(("Yes"),(P139))))</formula>
    </cfRule>
  </conditionalFormatting>
  <conditionalFormatting sqref="P139:Q152 O145 P154:Q154 P159:Q159 P161:Q162 P164:Q164 P166:Q167 P172:Q172 P174:Q174 P176:Q176 P180:Q182 P184:Q184">
    <cfRule type="containsText" dxfId="2" priority="33238" operator="containsText" text="Yes">
      <formula>NOT(ISERROR(SEARCH(("Yes"),(P139))))</formula>
    </cfRule>
  </conditionalFormatting>
  <conditionalFormatting sqref="P139:Q152 O145 P154:Q154 P159:Q159 P161:Q162 P164:Q164 P166:Q167 P172:Q172 P174:Q174 P176:Q176 P180:Q182 P184:Q184">
    <cfRule type="containsText" dxfId="2" priority="33239" operator="containsText" text="Yes">
      <formula>NOT(ISERROR(SEARCH(("Yes"),(P139))))</formula>
    </cfRule>
  </conditionalFormatting>
  <conditionalFormatting sqref="P139:Q152 O145 P154:Q154 P159:Q159 P161:Q162 P164:Q164 P166:Q167 P172:Q172 P174:Q174 P176:Q176 P180:Q182 P184:Q184">
    <cfRule type="containsText" dxfId="2" priority="33240" operator="containsText" text="Yes">
      <formula>NOT(ISERROR(SEARCH(("Yes"),(P139))))</formula>
    </cfRule>
  </conditionalFormatting>
  <conditionalFormatting sqref="P139:Q152 O145 P154:Q154 P159:Q159 P161:Q162 P164:Q164 P166:Q167 P172:Q172 P174:Q174 P176:Q176 P180:Q182 P184:Q184">
    <cfRule type="containsText" dxfId="2" priority="33241" operator="containsText" text="Yes">
      <formula>NOT(ISERROR(SEARCH(("Yes"),(P139))))</formula>
    </cfRule>
  </conditionalFormatting>
  <conditionalFormatting sqref="P139:Q152 O145 P154:Q154 P159:Q159 P161:Q162 P164:Q164 P166:Q167 P172:Q172 P174:Q174 P176:Q176 P180:Q182 P184:Q184">
    <cfRule type="containsText" dxfId="2" priority="33242" operator="containsText" text="Yes">
      <formula>NOT(ISERROR(SEARCH(("Yes"),(P139))))</formula>
    </cfRule>
  </conditionalFormatting>
  <conditionalFormatting sqref="P139:Q152 O145 P154:Q154 P159:Q159 P161:Q162 P164:Q164 P166:Q167 P172:Q172 P174:Q174 P176:Q176 P180:Q182 P184:Q184">
    <cfRule type="containsText" dxfId="2" priority="33243" operator="containsText" text="Yes">
      <formula>NOT(ISERROR(SEARCH(("Yes"),(P139))))</formula>
    </cfRule>
  </conditionalFormatting>
  <conditionalFormatting sqref="P139:Q152 O145 P154:Q154 P159:Q159 P161:Q162 P164:Q164 P166:Q167 P172:Q172 P174:Q174 P176:Q176 P180:Q182 P184:Q184">
    <cfRule type="containsText" dxfId="2" priority="33244" operator="containsText" text="Yes">
      <formula>NOT(ISERROR(SEARCH(("Yes"),(P139))))</formula>
    </cfRule>
  </conditionalFormatting>
  <conditionalFormatting sqref="P139:Q152 O145 P154:Q154 P159:Q159 P161:Q162 P164:Q164 P166:Q167 P172:Q172 P174:Q174 P176:Q176 P180:Q182 P184:Q184">
    <cfRule type="containsText" dxfId="2" priority="33245" operator="containsText" text="Yes">
      <formula>NOT(ISERROR(SEARCH(("Yes"),(P139))))</formula>
    </cfRule>
  </conditionalFormatting>
  <conditionalFormatting sqref="P139:Q152 O145 P154:Q154 P159:Q159 P161:Q162 P164:Q164 P166:Q167 P172:Q172 P174:Q174 P176:Q176 P180:Q182 P184:Q184">
    <cfRule type="containsText" dxfId="2" priority="33246" operator="containsText" text="Yes">
      <formula>NOT(ISERROR(SEARCH(("Yes"),(P139))))</formula>
    </cfRule>
  </conditionalFormatting>
  <conditionalFormatting sqref="P139:Q152 O145 P154:Q154 P159:Q159 P161:Q162 P164:Q164 P166:Q167 P172:Q172 P174:Q174 P176:Q176 P180:Q182 P184:Q184">
    <cfRule type="containsText" dxfId="2" priority="33247" operator="containsText" text="Yes">
      <formula>NOT(ISERROR(SEARCH(("Yes"),(P139))))</formula>
    </cfRule>
  </conditionalFormatting>
  <conditionalFormatting sqref="P139:Q152 O145 P154:Q154 P159:Q159 P161:Q162 P164:Q164 P166:Q167 P172:Q172 P174:Q174 P176:Q176 P180:Q182 P184:Q184">
    <cfRule type="containsText" dxfId="2" priority="33248" operator="containsText" text="Yes">
      <formula>NOT(ISERROR(SEARCH(("Yes"),(P139))))</formula>
    </cfRule>
  </conditionalFormatting>
  <conditionalFormatting sqref="P139:Q152 O145 P154:Q154 P159:Q159 P161:Q162 P164:Q164 P166:Q167 P172:Q172 P174:Q174 P176:Q176 P180:Q182 P184:Q184">
    <cfRule type="containsText" dxfId="2" priority="33249" operator="containsText" text="Yes">
      <formula>NOT(ISERROR(SEARCH(("Yes"),(P139))))</formula>
    </cfRule>
  </conditionalFormatting>
  <conditionalFormatting sqref="P139:Q152 O145 P154:Q154 P159:Q159 P161:Q162 P164:Q164 P166:Q167 P172:Q172 P174:Q174 P176:Q176 P180:Q182 P184:Q184">
    <cfRule type="containsText" dxfId="2" priority="33250" operator="containsText" text="Yes">
      <formula>NOT(ISERROR(SEARCH(("Yes"),(P139))))</formula>
    </cfRule>
  </conditionalFormatting>
  <conditionalFormatting sqref="P139:Q152 O145 P154:Q154 P159:Q159 P161:Q162 P164:Q164 P166:Q167 P172:Q172 P174:Q174 P176:Q176 P180:Q182 P184:Q184">
    <cfRule type="containsText" dxfId="2" priority="33251" operator="containsText" text="Yes">
      <formula>NOT(ISERROR(SEARCH(("Yes"),(P139))))</formula>
    </cfRule>
  </conditionalFormatting>
  <conditionalFormatting sqref="P139:Q152 O145 P154:Q154 P159:Q159 P161:Q162 P164:Q164 P166:Q167 P172:Q172 P174:Q174 P176:Q176 P180:Q182 P184:Q184">
    <cfRule type="containsText" dxfId="2" priority="33252" operator="containsText" text="Yes">
      <formula>NOT(ISERROR(SEARCH(("Yes"),(P139))))</formula>
    </cfRule>
  </conditionalFormatting>
  <conditionalFormatting sqref="P139:Q152 O145 P154:Q154 P159:Q159 P161:Q162 P164:Q164 P166:Q167 P172:Q172 P174:Q174 P176:Q176 P180:Q182 P184:Q184">
    <cfRule type="containsText" dxfId="2" priority="33253" operator="containsText" text="Yes">
      <formula>NOT(ISERROR(SEARCH(("Yes"),(P139))))</formula>
    </cfRule>
  </conditionalFormatting>
  <conditionalFormatting sqref="P139:Q152 O145 P154:Q154 P159:Q159 P161:Q162 P164:Q164 P166:Q167 P172:Q172 P174:Q174 P176:Q176 P180:Q182 P184:Q184">
    <cfRule type="containsText" dxfId="2" priority="33254" operator="containsText" text="Yes">
      <formula>NOT(ISERROR(SEARCH(("Yes"),(P139))))</formula>
    </cfRule>
  </conditionalFormatting>
  <conditionalFormatting sqref="P140:Q141 P144:Q145 O145 P150:Q150">
    <cfRule type="containsText" dxfId="9" priority="33255" operator="containsText" text="No">
      <formula>NOT(ISERROR(SEARCH(("No"),(P140))))</formula>
    </cfRule>
  </conditionalFormatting>
  <conditionalFormatting sqref="P140:Q141 P144:Q145 O145 P150:Q150">
    <cfRule type="containsText" dxfId="9" priority="33256" operator="containsText" text="No">
      <formula>NOT(ISERROR(SEARCH(("No"),(P140))))</formula>
    </cfRule>
  </conditionalFormatting>
  <conditionalFormatting sqref="P140:Q141 P144:Q145 O145 P150:Q150">
    <cfRule type="containsText" dxfId="9" priority="33257" operator="containsText" text="No">
      <formula>NOT(ISERROR(SEARCH(("No"),(P140))))</formula>
    </cfRule>
  </conditionalFormatting>
  <conditionalFormatting sqref="P140:Q141 P144:Q145 O145 P150:Q150">
    <cfRule type="containsText" dxfId="9" priority="33258" operator="containsText" text="No">
      <formula>NOT(ISERROR(SEARCH(("No"),(P140))))</formula>
    </cfRule>
  </conditionalFormatting>
  <conditionalFormatting sqref="P140:Q141 P144:Q145 O145 P150:Q150">
    <cfRule type="containsText" dxfId="9" priority="33259" operator="containsText" text="No">
      <formula>NOT(ISERROR(SEARCH(("No"),(P140))))</formula>
    </cfRule>
  </conditionalFormatting>
  <conditionalFormatting sqref="P140:Q141 P144:Q145 O145 P150:Q150">
    <cfRule type="containsText" dxfId="9" priority="33260" operator="containsText" text="No">
      <formula>NOT(ISERROR(SEARCH(("No"),(P140))))</formula>
    </cfRule>
  </conditionalFormatting>
  <conditionalFormatting sqref="P140:Q141 P144:Q145 O145 P150:Q150">
    <cfRule type="containsText" dxfId="9" priority="33261" operator="containsText" text="No">
      <formula>NOT(ISERROR(SEARCH(("No"),(P140))))</formula>
    </cfRule>
  </conditionalFormatting>
  <conditionalFormatting sqref="P140:Q141 P144:Q145 O145 P150:Q150">
    <cfRule type="containsText" dxfId="9" priority="33262" operator="containsText" text="No">
      <formula>NOT(ISERROR(SEARCH(("No"),(P140))))</formula>
    </cfRule>
  </conditionalFormatting>
  <conditionalFormatting sqref="P140:Q141 P144:Q145 O145 P150:Q150">
    <cfRule type="containsText" dxfId="9" priority="33263" operator="containsText" text="No">
      <formula>NOT(ISERROR(SEARCH(("No"),(P140))))</formula>
    </cfRule>
  </conditionalFormatting>
  <conditionalFormatting sqref="P140:Q141 P144:Q145 O145 P150:Q150">
    <cfRule type="containsText" dxfId="9" priority="33264" operator="containsText" text="No">
      <formula>NOT(ISERROR(SEARCH(("No"),(P140))))</formula>
    </cfRule>
  </conditionalFormatting>
  <conditionalFormatting sqref="P140:Q141 P144:Q145 O145 P150:Q150">
    <cfRule type="containsText" dxfId="9" priority="33265" operator="containsText" text="No">
      <formula>NOT(ISERROR(SEARCH(("No"),(P140))))</formula>
    </cfRule>
  </conditionalFormatting>
  <conditionalFormatting sqref="P140:Q141 P144:Q145 O145 P150:Q150">
    <cfRule type="containsText" dxfId="9" priority="33266" operator="containsText" text="No">
      <formula>NOT(ISERROR(SEARCH(("No"),(P140))))</formula>
    </cfRule>
  </conditionalFormatting>
  <conditionalFormatting sqref="P140:Q141 P144:Q145 O145 P150:Q150">
    <cfRule type="containsText" dxfId="9" priority="33267" operator="containsText" text="No">
      <formula>NOT(ISERROR(SEARCH(("No"),(P140))))</formula>
    </cfRule>
  </conditionalFormatting>
  <conditionalFormatting sqref="P140:Q141 P144:Q145 O145 P150:Q150">
    <cfRule type="containsText" dxfId="9" priority="33268" operator="containsText" text="No">
      <formula>NOT(ISERROR(SEARCH(("No"),(P140))))</formula>
    </cfRule>
  </conditionalFormatting>
  <conditionalFormatting sqref="P140:Q141 P144:Q145 O145 P150:Q150">
    <cfRule type="containsText" dxfId="9" priority="33269" operator="containsText" text="No">
      <formula>NOT(ISERROR(SEARCH(("No"),(P140))))</formula>
    </cfRule>
  </conditionalFormatting>
  <conditionalFormatting sqref="P140:Q141 P144:Q145 O145 P150:Q150">
    <cfRule type="containsText" dxfId="9" priority="33270" operator="containsText" text="No">
      <formula>NOT(ISERROR(SEARCH(("No"),(P140))))</formula>
    </cfRule>
  </conditionalFormatting>
  <conditionalFormatting sqref="P140:Q141 P144:Q145 O145 P150:Q150">
    <cfRule type="containsText" dxfId="9" priority="33271" operator="containsText" text="No">
      <formula>NOT(ISERROR(SEARCH(("No"),(P140))))</formula>
    </cfRule>
  </conditionalFormatting>
  <conditionalFormatting sqref="P140:Q141 P144:Q145 O145 P150:Q150">
    <cfRule type="containsText" dxfId="9" priority="33272" operator="containsText" text="No">
      <formula>NOT(ISERROR(SEARCH(("No"),(P140))))</formula>
    </cfRule>
  </conditionalFormatting>
  <conditionalFormatting sqref="P140:Q141 P144:Q145 O145 P150:Q150">
    <cfRule type="containsText" dxfId="9" priority="33273" operator="containsText" text="No">
      <formula>NOT(ISERROR(SEARCH(("No"),(P140))))</formula>
    </cfRule>
  </conditionalFormatting>
  <conditionalFormatting sqref="P140:Q141 P144:Q145 O145 P150:Q150">
    <cfRule type="containsText" dxfId="9" priority="33274" operator="containsText" text="No">
      <formula>NOT(ISERROR(SEARCH(("No"),(P140))))</formula>
    </cfRule>
  </conditionalFormatting>
  <conditionalFormatting sqref="P140:Q141 P144:Q145 O145 P150:Q150">
    <cfRule type="containsText" dxfId="9" priority="33275" operator="containsText" text="No">
      <formula>NOT(ISERROR(SEARCH(("No"),(P140))))</formula>
    </cfRule>
  </conditionalFormatting>
  <conditionalFormatting sqref="P140:Q141 P144:Q145 O145 P150:Q150">
    <cfRule type="containsText" dxfId="9" priority="33276" operator="containsText" text="No">
      <formula>NOT(ISERROR(SEARCH(("No"),(P140))))</formula>
    </cfRule>
  </conditionalFormatting>
  <conditionalFormatting sqref="P140:Q141 P144:Q145 O145 P150:Q150">
    <cfRule type="containsText" dxfId="9" priority="33277" operator="containsText" text="No">
      <formula>NOT(ISERROR(SEARCH(("No"),(P140))))</formula>
    </cfRule>
  </conditionalFormatting>
  <conditionalFormatting sqref="P140:Q141 P144:Q145 O145 P150:Q150">
    <cfRule type="containsText" dxfId="9" priority="33278" operator="containsText" text="No">
      <formula>NOT(ISERROR(SEARCH(("No"),(P140))))</formula>
    </cfRule>
  </conditionalFormatting>
  <conditionalFormatting sqref="P140:Q141 P144:Q145 O145 P150:Q150">
    <cfRule type="containsText" dxfId="9" priority="33279" operator="containsText" text="No">
      <formula>NOT(ISERROR(SEARCH(("No"),(P140))))</formula>
    </cfRule>
  </conditionalFormatting>
  <conditionalFormatting sqref="P140:Q141 P144:Q145 O145 P150:Q150">
    <cfRule type="containsText" dxfId="9" priority="33280" operator="containsText" text="No">
      <formula>NOT(ISERROR(SEARCH(("No"),(P140))))</formula>
    </cfRule>
  </conditionalFormatting>
  <conditionalFormatting sqref="P140:Q141 P144:Q145 O145 P150:Q150">
    <cfRule type="containsText" dxfId="9" priority="33281" operator="containsText" text="No">
      <formula>NOT(ISERROR(SEARCH(("No"),(P140))))</formula>
    </cfRule>
  </conditionalFormatting>
  <conditionalFormatting sqref="P140:Q141 P144:Q145 O145 P150:Q150">
    <cfRule type="containsText" dxfId="9" priority="33282" operator="containsText" text="No">
      <formula>NOT(ISERROR(SEARCH(("No"),(P140))))</formula>
    </cfRule>
  </conditionalFormatting>
  <conditionalFormatting sqref="P140:Q141 P144:Q145 O145 P150:Q150">
    <cfRule type="containsText" dxfId="9" priority="33283" operator="containsText" text="No">
      <formula>NOT(ISERROR(SEARCH(("No"),(P140))))</formula>
    </cfRule>
  </conditionalFormatting>
  <conditionalFormatting sqref="P140:Q141 P144:Q145 O145 P150:Q150">
    <cfRule type="containsText" dxfId="9" priority="33284" operator="containsText" text="No">
      <formula>NOT(ISERROR(SEARCH(("No"),(P140))))</formula>
    </cfRule>
  </conditionalFormatting>
  <conditionalFormatting sqref="P140:Q141 P144:Q145 O145 P150:Q150">
    <cfRule type="containsText" dxfId="9" priority="33285" operator="containsText" text="No">
      <formula>NOT(ISERROR(SEARCH(("No"),(P140))))</formula>
    </cfRule>
  </conditionalFormatting>
  <conditionalFormatting sqref="P140:Q141 P144:Q145 O145 P150:Q150">
    <cfRule type="containsText" dxfId="9" priority="33286" operator="containsText" text="No">
      <formula>NOT(ISERROR(SEARCH(("No"),(P140))))</formula>
    </cfRule>
  </conditionalFormatting>
  <conditionalFormatting sqref="P140:Q141 P144:Q145 O145 P150:Q150">
    <cfRule type="containsText" dxfId="9" priority="33287" operator="containsText" text="No">
      <formula>NOT(ISERROR(SEARCH(("No"),(P140))))</formula>
    </cfRule>
  </conditionalFormatting>
  <conditionalFormatting sqref="P140:Q141 P144:Q145 O145 P150:Q150">
    <cfRule type="containsText" dxfId="9" priority="33288" operator="containsText" text="No">
      <formula>NOT(ISERROR(SEARCH(("No"),(P140))))</formula>
    </cfRule>
  </conditionalFormatting>
  <conditionalFormatting sqref="P140:Q141 P144:Q145 O145 P150:Q150">
    <cfRule type="containsText" dxfId="9" priority="33289" operator="containsText" text="No">
      <formula>NOT(ISERROR(SEARCH(("No"),(P140))))</formula>
    </cfRule>
  </conditionalFormatting>
  <conditionalFormatting sqref="P140:Q141 P144:Q145 O145 P150:Q150">
    <cfRule type="containsText" dxfId="9" priority="33290" operator="containsText" text="No">
      <formula>NOT(ISERROR(SEARCH(("No"),(P140))))</formula>
    </cfRule>
  </conditionalFormatting>
  <conditionalFormatting sqref="P140:Q141 P144:Q145 O145 P150:Q150">
    <cfRule type="containsText" dxfId="9" priority="33291" operator="containsText" text="No">
      <formula>NOT(ISERROR(SEARCH(("No"),(P140))))</formula>
    </cfRule>
  </conditionalFormatting>
  <conditionalFormatting sqref="P140:Q141 P144:Q145 O145 P150:Q150">
    <cfRule type="containsText" dxfId="9" priority="33292" operator="containsText" text="No">
      <formula>NOT(ISERROR(SEARCH(("No"),(P140))))</formula>
    </cfRule>
  </conditionalFormatting>
  <conditionalFormatting sqref="P140:Q141 P144:Q145 O145 P150:Q150">
    <cfRule type="containsText" dxfId="9" priority="33293" operator="containsText" text="No">
      <formula>NOT(ISERROR(SEARCH(("No"),(P140))))</formula>
    </cfRule>
  </conditionalFormatting>
  <conditionalFormatting sqref="P140:Q141 P144:Q145 O145 P150:Q150">
    <cfRule type="containsText" dxfId="9" priority="33294" operator="containsText" text="No">
      <formula>NOT(ISERROR(SEARCH(("No"),(P140))))</formula>
    </cfRule>
  </conditionalFormatting>
  <conditionalFormatting sqref="P140:Q141 P144:Q145 O145 P150:Q150">
    <cfRule type="containsText" dxfId="9" priority="33295" operator="containsText" text="No">
      <formula>NOT(ISERROR(SEARCH(("No"),(P140))))</formula>
    </cfRule>
  </conditionalFormatting>
  <conditionalFormatting sqref="P140:Q141 P144:Q145 O145 P150:Q150">
    <cfRule type="containsText" dxfId="9" priority="33296" operator="containsText" text="No">
      <formula>NOT(ISERROR(SEARCH(("No"),(P140))))</formula>
    </cfRule>
  </conditionalFormatting>
  <conditionalFormatting sqref="P140:Q141 P144:Q145 O145 P150:Q150">
    <cfRule type="containsText" dxfId="9" priority="33297" operator="containsText" text="No">
      <formula>NOT(ISERROR(SEARCH(("No"),(P140))))</formula>
    </cfRule>
  </conditionalFormatting>
  <conditionalFormatting sqref="P140:Q141 P144:Q145 O145 P150:Q150">
    <cfRule type="containsText" dxfId="9" priority="33298" operator="containsText" text="No">
      <formula>NOT(ISERROR(SEARCH(("No"),(P140))))</formula>
    </cfRule>
  </conditionalFormatting>
  <conditionalFormatting sqref="P140:Q141 P144:Q145 O145 P150:Q150">
    <cfRule type="containsText" dxfId="9" priority="33299" operator="containsText" text="No">
      <formula>NOT(ISERROR(SEARCH(("No"),(P140))))</formula>
    </cfRule>
  </conditionalFormatting>
  <conditionalFormatting sqref="P140:Q141 P144:Q145 O145 P150:Q150">
    <cfRule type="containsText" dxfId="2" priority="33300" operator="containsText" text="Yes">
      <formula>NOT(ISERROR(SEARCH(("Yes"),(P140))))</formula>
    </cfRule>
  </conditionalFormatting>
  <conditionalFormatting sqref="P140:Q141 P144:Q145 O145 P150:Q150">
    <cfRule type="containsText" dxfId="2" priority="33301" operator="containsText" text="Yes">
      <formula>NOT(ISERROR(SEARCH(("Yes"),(P140))))</formula>
    </cfRule>
  </conditionalFormatting>
  <conditionalFormatting sqref="P140:Q141 P144:Q145 O145 P150:Q150">
    <cfRule type="containsText" dxfId="2" priority="33302" operator="containsText" text="Yes">
      <formula>NOT(ISERROR(SEARCH(("Yes"),(P140))))</formula>
    </cfRule>
  </conditionalFormatting>
  <conditionalFormatting sqref="P140:Q141 P144:Q145 O145 P150:Q150">
    <cfRule type="containsText" dxfId="2" priority="33303" operator="containsText" text="Yes">
      <formula>NOT(ISERROR(SEARCH(("Yes"),(P140))))</formula>
    </cfRule>
  </conditionalFormatting>
  <conditionalFormatting sqref="P140:Q141 P144:Q145 O145 P150:Q150">
    <cfRule type="containsText" dxfId="2" priority="33304" operator="containsText" text="Yes">
      <formula>NOT(ISERROR(SEARCH(("Yes"),(P140))))</formula>
    </cfRule>
  </conditionalFormatting>
  <conditionalFormatting sqref="P140:Q141 P144:Q145 O145 P150:Q150">
    <cfRule type="containsText" dxfId="2" priority="33305" operator="containsText" text="Yes">
      <formula>NOT(ISERROR(SEARCH(("Yes"),(P140))))</formula>
    </cfRule>
  </conditionalFormatting>
  <conditionalFormatting sqref="P140:Q141 P144:Q145 O145 P150:Q150">
    <cfRule type="containsText" dxfId="2" priority="33306" operator="containsText" text="Yes">
      <formula>NOT(ISERROR(SEARCH(("Yes"),(P140))))</formula>
    </cfRule>
  </conditionalFormatting>
  <conditionalFormatting sqref="P140:Q141 P144:Q145 O145 P150:Q150">
    <cfRule type="containsText" dxfId="2" priority="33307" operator="containsText" text="Yes">
      <formula>NOT(ISERROR(SEARCH(("Yes"),(P140))))</formula>
    </cfRule>
  </conditionalFormatting>
  <conditionalFormatting sqref="P140:Q141 P144:Q145 O145 P150:Q150">
    <cfRule type="containsText" dxfId="2" priority="33308" operator="containsText" text="Yes">
      <formula>NOT(ISERROR(SEARCH(("Yes"),(P140))))</formula>
    </cfRule>
  </conditionalFormatting>
  <conditionalFormatting sqref="P140:Q141 P144:Q145 O145 P150:Q150">
    <cfRule type="containsText" dxfId="2" priority="33309" operator="containsText" text="Yes">
      <formula>NOT(ISERROR(SEARCH(("Yes"),(P140))))</formula>
    </cfRule>
  </conditionalFormatting>
  <conditionalFormatting sqref="P140:Q141 P144:Q145 O145 P150:Q150">
    <cfRule type="containsText" dxfId="2" priority="33310" operator="containsText" text="Yes">
      <formula>NOT(ISERROR(SEARCH(("Yes"),(P140))))</formula>
    </cfRule>
  </conditionalFormatting>
  <conditionalFormatting sqref="P140:Q141 P144:Q145 O145 P150:Q150">
    <cfRule type="containsText" dxfId="2" priority="33311" operator="containsText" text="Yes">
      <formula>NOT(ISERROR(SEARCH(("Yes"),(P140))))</formula>
    </cfRule>
  </conditionalFormatting>
  <conditionalFormatting sqref="P140:Q141 P144:Q145 O145 P150:Q150">
    <cfRule type="containsText" dxfId="2" priority="33312" operator="containsText" text="Yes">
      <formula>NOT(ISERROR(SEARCH(("Yes"),(P140))))</formula>
    </cfRule>
  </conditionalFormatting>
  <conditionalFormatting sqref="P140:Q141 P144:Q145 O145 P150:Q150">
    <cfRule type="containsText" dxfId="2" priority="33313" operator="containsText" text="Yes">
      <formula>NOT(ISERROR(SEARCH(("Yes"),(P140))))</formula>
    </cfRule>
  </conditionalFormatting>
  <conditionalFormatting sqref="P140:Q141 P144:Q145 O145 P150:Q150">
    <cfRule type="containsText" dxfId="2" priority="33314" operator="containsText" text="Yes">
      <formula>NOT(ISERROR(SEARCH(("Yes"),(P140))))</formula>
    </cfRule>
  </conditionalFormatting>
  <conditionalFormatting sqref="P140:Q141 P144:Q145 O145 P150:Q150">
    <cfRule type="containsText" dxfId="2" priority="33315" operator="containsText" text="Yes">
      <formula>NOT(ISERROR(SEARCH(("Yes"),(P140))))</formula>
    </cfRule>
  </conditionalFormatting>
  <conditionalFormatting sqref="P140:Q141 P144:Q145 O145 P150:Q150">
    <cfRule type="containsText" dxfId="2" priority="33316" operator="containsText" text="Yes">
      <formula>NOT(ISERROR(SEARCH(("Yes"),(P140))))</formula>
    </cfRule>
  </conditionalFormatting>
  <conditionalFormatting sqref="P140:Q141 P144:Q145 O145 P150:Q150">
    <cfRule type="containsText" dxfId="2" priority="33317" operator="containsText" text="Yes">
      <formula>NOT(ISERROR(SEARCH(("Yes"),(P140))))</formula>
    </cfRule>
  </conditionalFormatting>
  <conditionalFormatting sqref="P140:Q141 P144:Q145 O145 P150:Q150">
    <cfRule type="containsText" dxfId="2" priority="33318" operator="containsText" text="Yes">
      <formula>NOT(ISERROR(SEARCH(("Yes"),(P140))))</formula>
    </cfRule>
  </conditionalFormatting>
  <conditionalFormatting sqref="P140:Q141 P144:Q145 O145 P150:Q150">
    <cfRule type="containsText" dxfId="2" priority="33319" operator="containsText" text="Yes">
      <formula>NOT(ISERROR(SEARCH(("Yes"),(P140))))</formula>
    </cfRule>
  </conditionalFormatting>
  <conditionalFormatting sqref="P140:Q141 P144:Q145 O145 P150:Q150">
    <cfRule type="containsText" dxfId="2" priority="33320" operator="containsText" text="Yes">
      <formula>NOT(ISERROR(SEARCH(("Yes"),(P140))))</formula>
    </cfRule>
  </conditionalFormatting>
  <conditionalFormatting sqref="P140:Q141 P144:Q145 O145 P150:Q150">
    <cfRule type="containsText" dxfId="2" priority="33321" operator="containsText" text="Yes">
      <formula>NOT(ISERROR(SEARCH(("Yes"),(P140))))</formula>
    </cfRule>
  </conditionalFormatting>
  <conditionalFormatting sqref="P140:Q141 P144:Q145 O145 P150:Q150">
    <cfRule type="containsText" dxfId="2" priority="33322" operator="containsText" text="Yes">
      <formula>NOT(ISERROR(SEARCH(("Yes"),(P140))))</formula>
    </cfRule>
  </conditionalFormatting>
  <conditionalFormatting sqref="P140:Q141 P144:Q145 O145 P150:Q150">
    <cfRule type="containsText" dxfId="2" priority="33323" operator="containsText" text="Yes">
      <formula>NOT(ISERROR(SEARCH(("Yes"),(P140))))</formula>
    </cfRule>
  </conditionalFormatting>
  <conditionalFormatting sqref="P140:Q141 P144:Q145 O145 P150:Q150">
    <cfRule type="containsText" dxfId="2" priority="33324" operator="containsText" text="Yes">
      <formula>NOT(ISERROR(SEARCH(("Yes"),(P140))))</formula>
    </cfRule>
  </conditionalFormatting>
  <conditionalFormatting sqref="P140:Q141 P144:Q145 O145 P150:Q150">
    <cfRule type="containsText" dxfId="2" priority="33325" operator="containsText" text="Yes">
      <formula>NOT(ISERROR(SEARCH(("Yes"),(P140))))</formula>
    </cfRule>
  </conditionalFormatting>
  <conditionalFormatting sqref="P140:Q141 P144:Q145 O145 P150:Q150">
    <cfRule type="containsText" dxfId="2" priority="33326" operator="containsText" text="Yes">
      <formula>NOT(ISERROR(SEARCH(("Yes"),(P140))))</formula>
    </cfRule>
  </conditionalFormatting>
  <conditionalFormatting sqref="P140:Q141 P144:Q145 O145 P150:Q150">
    <cfRule type="containsText" dxfId="2" priority="33327" operator="containsText" text="Yes">
      <formula>NOT(ISERROR(SEARCH(("Yes"),(P140))))</formula>
    </cfRule>
  </conditionalFormatting>
  <conditionalFormatting sqref="P140:Q141 P144:Q145 O145 P150:Q150">
    <cfRule type="containsText" dxfId="2" priority="33328" operator="containsText" text="Yes">
      <formula>NOT(ISERROR(SEARCH(("Yes"),(P140))))</formula>
    </cfRule>
  </conditionalFormatting>
  <conditionalFormatting sqref="P140:Q141 P144:Q145 O145 P150:Q150">
    <cfRule type="containsText" dxfId="2" priority="33329" operator="containsText" text="Yes">
      <formula>NOT(ISERROR(SEARCH(("Yes"),(P140))))</formula>
    </cfRule>
  </conditionalFormatting>
  <conditionalFormatting sqref="P140:Q141 P144:Q145 O145 P150:Q150">
    <cfRule type="containsText" dxfId="2" priority="33330" operator="containsText" text="Yes">
      <formula>NOT(ISERROR(SEARCH(("Yes"),(P140))))</formula>
    </cfRule>
  </conditionalFormatting>
  <conditionalFormatting sqref="P140:Q141 P144:Q145 O145 P150:Q150">
    <cfRule type="containsText" dxfId="2" priority="33331" operator="containsText" text="Yes">
      <formula>NOT(ISERROR(SEARCH(("Yes"),(P140))))</formula>
    </cfRule>
  </conditionalFormatting>
  <conditionalFormatting sqref="P140:Q141 P144:Q145 O145 P150:Q150">
    <cfRule type="containsText" dxfId="2" priority="33332" operator="containsText" text="Yes">
      <formula>NOT(ISERROR(SEARCH(("Yes"),(P140))))</formula>
    </cfRule>
  </conditionalFormatting>
  <conditionalFormatting sqref="P140:Q141 P144:Q145 O145 P150:Q150">
    <cfRule type="containsText" dxfId="2" priority="33333" operator="containsText" text="Yes">
      <formula>NOT(ISERROR(SEARCH(("Yes"),(P140))))</formula>
    </cfRule>
  </conditionalFormatting>
  <conditionalFormatting sqref="P140:Q141 P144:Q145 O145 P150:Q150">
    <cfRule type="containsText" dxfId="2" priority="33334" operator="containsText" text="Yes">
      <formula>NOT(ISERROR(SEARCH(("Yes"),(P140))))</formula>
    </cfRule>
  </conditionalFormatting>
  <conditionalFormatting sqref="P140:Q141 P144:Q145 O145 P150:Q150">
    <cfRule type="containsText" dxfId="2" priority="33335" operator="containsText" text="Yes">
      <formula>NOT(ISERROR(SEARCH(("Yes"),(P140))))</formula>
    </cfRule>
  </conditionalFormatting>
  <conditionalFormatting sqref="P140:Q141 P144:Q145 O145 P150:Q150">
    <cfRule type="containsText" dxfId="2" priority="33336" operator="containsText" text="Yes">
      <formula>NOT(ISERROR(SEARCH(("Yes"),(P140))))</formula>
    </cfRule>
  </conditionalFormatting>
  <conditionalFormatting sqref="P140:Q141 P144:Q145 O145 P150:Q150">
    <cfRule type="containsText" dxfId="2" priority="33337" operator="containsText" text="Yes">
      <formula>NOT(ISERROR(SEARCH(("Yes"),(P140))))</formula>
    </cfRule>
  </conditionalFormatting>
  <conditionalFormatting sqref="P140:Q141 P144:Q145 O145 P150:Q150">
    <cfRule type="containsText" dxfId="2" priority="33338" operator="containsText" text="Yes">
      <formula>NOT(ISERROR(SEARCH(("Yes"),(P140))))</formula>
    </cfRule>
  </conditionalFormatting>
  <conditionalFormatting sqref="P140:Q141 P144:Q145 O145 P150:Q150">
    <cfRule type="containsText" dxfId="2" priority="33339" operator="containsText" text="Yes">
      <formula>NOT(ISERROR(SEARCH(("Yes"),(P140))))</formula>
    </cfRule>
  </conditionalFormatting>
  <conditionalFormatting sqref="P140:Q141 P144:Q145 O145 P150:Q150">
    <cfRule type="containsText" dxfId="2" priority="33340" operator="containsText" text="Yes">
      <formula>NOT(ISERROR(SEARCH(("Yes"),(P140))))</formula>
    </cfRule>
  </conditionalFormatting>
  <conditionalFormatting sqref="P140:Q141 P144:Q145 O145 P150:Q150">
    <cfRule type="containsText" dxfId="2" priority="33341" operator="containsText" text="Yes">
      <formula>NOT(ISERROR(SEARCH(("Yes"),(P140))))</formula>
    </cfRule>
  </conditionalFormatting>
  <conditionalFormatting sqref="P140:Q141 P144:Q145 O145 P150:Q150">
    <cfRule type="containsText" dxfId="2" priority="33342" operator="containsText" text="Yes">
      <formula>NOT(ISERROR(SEARCH(("Yes"),(P140))))</formula>
    </cfRule>
  </conditionalFormatting>
  <conditionalFormatting sqref="P140:Q141 P144:Q145 O145 P150:Q150">
    <cfRule type="containsText" dxfId="2" priority="33343" operator="containsText" text="Yes">
      <formula>NOT(ISERROR(SEARCH(("Yes"),(P140))))</formula>
    </cfRule>
  </conditionalFormatting>
  <conditionalFormatting sqref="P140:Q141 P144:Q145 O145 P150:Q150">
    <cfRule type="containsText" dxfId="2" priority="33344" operator="containsText" text="Yes">
      <formula>NOT(ISERROR(SEARCH(("Yes"),(P140))))</formula>
    </cfRule>
  </conditionalFormatting>
  <conditionalFormatting sqref="P140:Q141 P144:Q145 O145 P150:Q150">
    <cfRule type="containsText" dxfId="2" priority="33345" operator="containsText" text="Yes">
      <formula>NOT(ISERROR(SEARCH(("Yes"),(P140))))</formula>
    </cfRule>
  </conditionalFormatting>
  <conditionalFormatting sqref="P140:Q141 P144:Q145 O145 P150:Q150">
    <cfRule type="containsText" dxfId="2" priority="33346" operator="containsText" text="Yes">
      <formula>NOT(ISERROR(SEARCH(("Yes"),(P140))))</formula>
    </cfRule>
  </conditionalFormatting>
  <conditionalFormatting sqref="P141:Q141 P144:Q145 O145 P150:Q150">
    <cfRule type="containsText" dxfId="9" priority="33347" operator="containsText" text="No">
      <formula>NOT(ISERROR(SEARCH(("No"),(P141))))</formula>
    </cfRule>
  </conditionalFormatting>
  <conditionalFormatting sqref="P141:Q141 P144:Q145 O145 P150:Q150">
    <cfRule type="containsText" dxfId="9" priority="33348" operator="containsText" text="No">
      <formula>NOT(ISERROR(SEARCH(("No"),(P141))))</formula>
    </cfRule>
  </conditionalFormatting>
  <conditionalFormatting sqref="P141:Q141 P144:Q145 O145 P150:Q150">
    <cfRule type="containsText" dxfId="9" priority="33349" operator="containsText" text="No">
      <formula>NOT(ISERROR(SEARCH(("No"),(P141))))</formula>
    </cfRule>
  </conditionalFormatting>
  <conditionalFormatting sqref="P141:Q141 P144:Q145 O145 P150:Q150">
    <cfRule type="containsText" dxfId="9" priority="33350" operator="containsText" text="No">
      <formula>NOT(ISERROR(SEARCH(("No"),(P141))))</formula>
    </cfRule>
  </conditionalFormatting>
  <conditionalFormatting sqref="P141:Q141 P144:Q145 O145 P150:Q150">
    <cfRule type="containsText" dxfId="9" priority="33351" operator="containsText" text="No">
      <formula>NOT(ISERROR(SEARCH(("No"),(P141))))</formula>
    </cfRule>
  </conditionalFormatting>
  <conditionalFormatting sqref="P141:Q141 P144:Q145 O145 P150:Q150">
    <cfRule type="containsText" dxfId="9" priority="33352" operator="containsText" text="No">
      <formula>NOT(ISERROR(SEARCH(("No"),(P141))))</formula>
    </cfRule>
  </conditionalFormatting>
  <conditionalFormatting sqref="P141:Q141 P144:Q145 O145 P150:Q150">
    <cfRule type="containsText" dxfId="9" priority="33353" operator="containsText" text="No">
      <formula>NOT(ISERROR(SEARCH(("No"),(P141))))</formula>
    </cfRule>
  </conditionalFormatting>
  <conditionalFormatting sqref="P141:Q141 P144:Q145 O145 P150:Q150">
    <cfRule type="containsText" dxfId="9" priority="33354" operator="containsText" text="No">
      <formula>NOT(ISERROR(SEARCH(("No"),(P141))))</formula>
    </cfRule>
  </conditionalFormatting>
  <conditionalFormatting sqref="P141:Q141 P144:Q145 O145 P150:Q150">
    <cfRule type="containsText" dxfId="9" priority="33355" operator="containsText" text="No">
      <formula>NOT(ISERROR(SEARCH(("No"),(P141))))</formula>
    </cfRule>
  </conditionalFormatting>
  <conditionalFormatting sqref="P141:Q141 P144:Q145 O145 P150:Q150">
    <cfRule type="containsText" dxfId="9" priority="33356" operator="containsText" text="No">
      <formula>NOT(ISERROR(SEARCH(("No"),(P141))))</formula>
    </cfRule>
  </conditionalFormatting>
  <conditionalFormatting sqref="P141:Q141 P144:Q145 O145 P150:Q150">
    <cfRule type="containsText" dxfId="9" priority="33357" operator="containsText" text="No">
      <formula>NOT(ISERROR(SEARCH(("No"),(P141))))</formula>
    </cfRule>
  </conditionalFormatting>
  <conditionalFormatting sqref="P141:Q141 P144:Q145 O145 P150:Q150">
    <cfRule type="containsText" dxfId="9" priority="33358" operator="containsText" text="No">
      <formula>NOT(ISERROR(SEARCH(("No"),(P141))))</formula>
    </cfRule>
  </conditionalFormatting>
  <conditionalFormatting sqref="P141:Q141 P144:Q145 O145 P150:Q150">
    <cfRule type="containsText" dxfId="9" priority="33359" operator="containsText" text="No">
      <formula>NOT(ISERROR(SEARCH(("No"),(P141))))</formula>
    </cfRule>
  </conditionalFormatting>
  <conditionalFormatting sqref="P141:Q141 P144:Q145 O145 P150:Q150">
    <cfRule type="containsText" dxfId="9" priority="33360" operator="containsText" text="No">
      <formula>NOT(ISERROR(SEARCH(("No"),(P141))))</formula>
    </cfRule>
  </conditionalFormatting>
  <conditionalFormatting sqref="P141:Q141 P144:Q145 O145 P150:Q150">
    <cfRule type="containsText" dxfId="9" priority="33361" operator="containsText" text="No">
      <formula>NOT(ISERROR(SEARCH(("No"),(P141))))</formula>
    </cfRule>
  </conditionalFormatting>
  <conditionalFormatting sqref="P141:Q141 P144:Q145 O145 P150:Q150">
    <cfRule type="containsText" dxfId="9" priority="33362" operator="containsText" text="No">
      <formula>NOT(ISERROR(SEARCH(("No"),(P141))))</formula>
    </cfRule>
  </conditionalFormatting>
  <conditionalFormatting sqref="P141:Q141 P144:Q145 O145 P150:Q150">
    <cfRule type="containsText" dxfId="9" priority="33363" operator="containsText" text="No">
      <formula>NOT(ISERROR(SEARCH(("No"),(P141))))</formula>
    </cfRule>
  </conditionalFormatting>
  <conditionalFormatting sqref="P141:Q141 P144:Q145 O145 P150:Q150">
    <cfRule type="containsText" dxfId="9" priority="33364" operator="containsText" text="No">
      <formula>NOT(ISERROR(SEARCH(("No"),(P141))))</formula>
    </cfRule>
  </conditionalFormatting>
  <conditionalFormatting sqref="P141:Q141 P144:Q145 O145 P150:Q150">
    <cfRule type="containsText" dxfId="9" priority="33365" operator="containsText" text="No">
      <formula>NOT(ISERROR(SEARCH(("No"),(P141))))</formula>
    </cfRule>
  </conditionalFormatting>
  <conditionalFormatting sqref="P141:Q141 P144:Q145 O145 P150:Q150">
    <cfRule type="containsText" dxfId="9" priority="33366" operator="containsText" text="No">
      <formula>NOT(ISERROR(SEARCH(("No"),(P141))))</formula>
    </cfRule>
  </conditionalFormatting>
  <conditionalFormatting sqref="P141:Q141 P144:Q145 O145 P150:Q150">
    <cfRule type="containsText" dxfId="9" priority="33367" operator="containsText" text="No">
      <formula>NOT(ISERROR(SEARCH(("No"),(P141))))</formula>
    </cfRule>
  </conditionalFormatting>
  <conditionalFormatting sqref="P141:Q141 P144:Q145 O145 P150:Q150">
    <cfRule type="containsText" dxfId="9" priority="33368" operator="containsText" text="No">
      <formula>NOT(ISERROR(SEARCH(("No"),(P141))))</formula>
    </cfRule>
  </conditionalFormatting>
  <conditionalFormatting sqref="P141:Q141 P144:Q145 O145 P150:Q150">
    <cfRule type="containsText" dxfId="9" priority="33369" operator="containsText" text="No">
      <formula>NOT(ISERROR(SEARCH(("No"),(P141))))</formula>
    </cfRule>
  </conditionalFormatting>
  <conditionalFormatting sqref="P141:Q141 P144:Q145 O145 P150:Q150">
    <cfRule type="containsText" dxfId="9" priority="33370" operator="containsText" text="No">
      <formula>NOT(ISERROR(SEARCH(("No"),(P141))))</formula>
    </cfRule>
  </conditionalFormatting>
  <conditionalFormatting sqref="P141:Q141 P144:Q145 O145 P150:Q150">
    <cfRule type="containsText" dxfId="9" priority="33371" operator="containsText" text="No">
      <formula>NOT(ISERROR(SEARCH(("No"),(P141))))</formula>
    </cfRule>
  </conditionalFormatting>
  <conditionalFormatting sqref="P141:Q141 P144:Q145 O145 P150:Q150">
    <cfRule type="containsText" dxfId="9" priority="33372" operator="containsText" text="No">
      <formula>NOT(ISERROR(SEARCH(("No"),(P141))))</formula>
    </cfRule>
  </conditionalFormatting>
  <conditionalFormatting sqref="P141:Q141 P144:Q145 O145 P150:Q150">
    <cfRule type="containsText" dxfId="9" priority="33373" operator="containsText" text="No">
      <formula>NOT(ISERROR(SEARCH(("No"),(P141))))</formula>
    </cfRule>
  </conditionalFormatting>
  <conditionalFormatting sqref="P141:Q141 P144:Q145 O145 P150:Q150">
    <cfRule type="containsText" dxfId="9" priority="33374" operator="containsText" text="No">
      <formula>NOT(ISERROR(SEARCH(("No"),(P141))))</formula>
    </cfRule>
  </conditionalFormatting>
  <conditionalFormatting sqref="P141:Q141 P144:Q145 O145 P150:Q150">
    <cfRule type="containsText" dxfId="9" priority="33375" operator="containsText" text="No">
      <formula>NOT(ISERROR(SEARCH(("No"),(P141))))</formula>
    </cfRule>
  </conditionalFormatting>
  <conditionalFormatting sqref="P141:Q141 P144:Q145 O145 P150:Q150">
    <cfRule type="containsText" dxfId="9" priority="33376" operator="containsText" text="No">
      <formula>NOT(ISERROR(SEARCH(("No"),(P141))))</formula>
    </cfRule>
  </conditionalFormatting>
  <conditionalFormatting sqref="P141:Q141 P144:Q145 O145 P150:Q150">
    <cfRule type="containsText" dxfId="9" priority="33377" operator="containsText" text="No">
      <formula>NOT(ISERROR(SEARCH(("No"),(P141))))</formula>
    </cfRule>
  </conditionalFormatting>
  <conditionalFormatting sqref="P141:Q141 P144:Q145 O145 P150:Q150">
    <cfRule type="containsText" dxfId="9" priority="33378" operator="containsText" text="No">
      <formula>NOT(ISERROR(SEARCH(("No"),(P141))))</formula>
    </cfRule>
  </conditionalFormatting>
  <conditionalFormatting sqref="P141:Q141 P144:Q145 O145 P150:Q150">
    <cfRule type="containsText" dxfId="9" priority="33379" operator="containsText" text="No">
      <formula>NOT(ISERROR(SEARCH(("No"),(P141))))</formula>
    </cfRule>
  </conditionalFormatting>
  <conditionalFormatting sqref="P141:Q141 P144:Q145 O145 P150:Q150">
    <cfRule type="containsText" dxfId="9" priority="33380" operator="containsText" text="No">
      <formula>NOT(ISERROR(SEARCH(("No"),(P141))))</formula>
    </cfRule>
  </conditionalFormatting>
  <conditionalFormatting sqref="P141:Q141 P144:Q145 O145 P150:Q150">
    <cfRule type="containsText" dxfId="9" priority="33381" operator="containsText" text="No">
      <formula>NOT(ISERROR(SEARCH(("No"),(P141))))</formula>
    </cfRule>
  </conditionalFormatting>
  <conditionalFormatting sqref="P141:Q141 P144:Q145 O145 P150:Q150">
    <cfRule type="containsText" dxfId="9" priority="33382" operator="containsText" text="No">
      <formula>NOT(ISERROR(SEARCH(("No"),(P141))))</formula>
    </cfRule>
  </conditionalFormatting>
  <conditionalFormatting sqref="P141:Q141 P144:Q145 O145 P150:Q150">
    <cfRule type="containsText" dxfId="9" priority="33383" operator="containsText" text="No">
      <formula>NOT(ISERROR(SEARCH(("No"),(P141))))</formula>
    </cfRule>
  </conditionalFormatting>
  <conditionalFormatting sqref="P141:Q141 P144:Q145 O145 P150:Q150">
    <cfRule type="containsText" dxfId="9" priority="33384" operator="containsText" text="No">
      <formula>NOT(ISERROR(SEARCH(("No"),(P141))))</formula>
    </cfRule>
  </conditionalFormatting>
  <conditionalFormatting sqref="P141:Q141 P144:Q145 O145 P150:Q150">
    <cfRule type="containsText" dxfId="9" priority="33385" operator="containsText" text="No">
      <formula>NOT(ISERROR(SEARCH(("No"),(P141))))</formula>
    </cfRule>
  </conditionalFormatting>
  <conditionalFormatting sqref="P141:Q141 P144:Q145 O145 P150:Q150">
    <cfRule type="containsText" dxfId="9" priority="33386" operator="containsText" text="No">
      <formula>NOT(ISERROR(SEARCH(("No"),(P141))))</formula>
    </cfRule>
  </conditionalFormatting>
  <conditionalFormatting sqref="P141:Q141 P144:Q145 O145 P150:Q150">
    <cfRule type="containsText" dxfId="9" priority="33387" operator="containsText" text="No">
      <formula>NOT(ISERROR(SEARCH(("No"),(P141))))</formula>
    </cfRule>
  </conditionalFormatting>
  <conditionalFormatting sqref="P141:Q141 P144:Q145 O145 P150:Q150">
    <cfRule type="containsText" dxfId="9" priority="33388" operator="containsText" text="No">
      <formula>NOT(ISERROR(SEARCH(("No"),(P141))))</formula>
    </cfRule>
  </conditionalFormatting>
  <conditionalFormatting sqref="P141:Q141 P144:Q145 O145 P150:Q150">
    <cfRule type="containsText" dxfId="9" priority="33389" operator="containsText" text="No">
      <formula>NOT(ISERROR(SEARCH(("No"),(P141))))</formula>
    </cfRule>
  </conditionalFormatting>
  <conditionalFormatting sqref="P141:Q141 P144:Q145 O145 P150:Q150">
    <cfRule type="containsText" dxfId="9" priority="33390" operator="containsText" text="No">
      <formula>NOT(ISERROR(SEARCH(("No"),(P141))))</formula>
    </cfRule>
  </conditionalFormatting>
  <conditionalFormatting sqref="P141:Q141 P144:Q145 O145 P150:Q150">
    <cfRule type="containsText" dxfId="9" priority="33391" operator="containsText" text="No">
      <formula>NOT(ISERROR(SEARCH(("No"),(P141))))</formula>
    </cfRule>
  </conditionalFormatting>
  <conditionalFormatting sqref="P141:Q141 P144:Q145 O145 P150:Q150">
    <cfRule type="containsText" dxfId="2" priority="33392" operator="containsText" text="Yes">
      <formula>NOT(ISERROR(SEARCH(("Yes"),(P141))))</formula>
    </cfRule>
  </conditionalFormatting>
  <conditionalFormatting sqref="P141:Q141 P144:Q145 O145 P150:Q150">
    <cfRule type="containsText" dxfId="2" priority="33393" operator="containsText" text="Yes">
      <formula>NOT(ISERROR(SEARCH(("Yes"),(P141))))</formula>
    </cfRule>
  </conditionalFormatting>
  <conditionalFormatting sqref="P141:Q141 P144:Q145 O145 P150:Q150">
    <cfRule type="containsText" dxfId="2" priority="33394" operator="containsText" text="Yes">
      <formula>NOT(ISERROR(SEARCH(("Yes"),(P141))))</formula>
    </cfRule>
  </conditionalFormatting>
  <conditionalFormatting sqref="P141:Q141 P144:Q145 O145 P150:Q150">
    <cfRule type="containsText" dxfId="2" priority="33395" operator="containsText" text="Yes">
      <formula>NOT(ISERROR(SEARCH(("Yes"),(P141))))</formula>
    </cfRule>
  </conditionalFormatting>
  <conditionalFormatting sqref="P141:Q141 P144:Q145 O145 P150:Q150">
    <cfRule type="containsText" dxfId="2" priority="33396" operator="containsText" text="Yes">
      <formula>NOT(ISERROR(SEARCH(("Yes"),(P141))))</formula>
    </cfRule>
  </conditionalFormatting>
  <conditionalFormatting sqref="P141:Q141 P144:Q145 O145 P150:Q150">
    <cfRule type="containsText" dxfId="2" priority="33397" operator="containsText" text="Yes">
      <formula>NOT(ISERROR(SEARCH(("Yes"),(P141))))</formula>
    </cfRule>
  </conditionalFormatting>
  <conditionalFormatting sqref="P141:Q141 P144:Q145 O145 P150:Q150">
    <cfRule type="containsText" dxfId="2" priority="33398" operator="containsText" text="Yes">
      <formula>NOT(ISERROR(SEARCH(("Yes"),(P141))))</formula>
    </cfRule>
  </conditionalFormatting>
  <conditionalFormatting sqref="P141:Q141 P144:Q145 O145 P150:Q150">
    <cfRule type="containsText" dxfId="2" priority="33399" operator="containsText" text="Yes">
      <formula>NOT(ISERROR(SEARCH(("Yes"),(P141))))</formula>
    </cfRule>
  </conditionalFormatting>
  <conditionalFormatting sqref="P141:Q141 P144:Q145 O145 P150:Q150">
    <cfRule type="containsText" dxfId="2" priority="33400" operator="containsText" text="Yes">
      <formula>NOT(ISERROR(SEARCH(("Yes"),(P141))))</formula>
    </cfRule>
  </conditionalFormatting>
  <conditionalFormatting sqref="P141:Q141 P144:Q145 O145 P150:Q150">
    <cfRule type="containsText" dxfId="2" priority="33401" operator="containsText" text="Yes">
      <formula>NOT(ISERROR(SEARCH(("Yes"),(P141))))</formula>
    </cfRule>
  </conditionalFormatting>
  <conditionalFormatting sqref="P141:Q141 P144:Q145 O145 P150:Q150">
    <cfRule type="containsText" dxfId="2" priority="33402" operator="containsText" text="Yes">
      <formula>NOT(ISERROR(SEARCH(("Yes"),(P141))))</formula>
    </cfRule>
  </conditionalFormatting>
  <conditionalFormatting sqref="P141:Q141 P144:Q145 O145 P150:Q150">
    <cfRule type="containsText" dxfId="2" priority="33403" operator="containsText" text="Yes">
      <formula>NOT(ISERROR(SEARCH(("Yes"),(P141))))</formula>
    </cfRule>
  </conditionalFormatting>
  <conditionalFormatting sqref="P141:Q141 P144:Q145 O145 P150:Q150">
    <cfRule type="containsText" dxfId="2" priority="33404" operator="containsText" text="Yes">
      <formula>NOT(ISERROR(SEARCH(("Yes"),(P141))))</formula>
    </cfRule>
  </conditionalFormatting>
  <conditionalFormatting sqref="P141:Q141 P144:Q145 O145 P150:Q150">
    <cfRule type="containsText" dxfId="2" priority="33405" operator="containsText" text="Yes">
      <formula>NOT(ISERROR(SEARCH(("Yes"),(P141))))</formula>
    </cfRule>
  </conditionalFormatting>
  <conditionalFormatting sqref="P141:Q141 P144:Q145 O145 P150:Q150">
    <cfRule type="containsText" dxfId="2" priority="33406" operator="containsText" text="Yes">
      <formula>NOT(ISERROR(SEARCH(("Yes"),(P141))))</formula>
    </cfRule>
  </conditionalFormatting>
  <conditionalFormatting sqref="P141:Q141 P144:Q145 O145 P150:Q150">
    <cfRule type="containsText" dxfId="2" priority="33407" operator="containsText" text="Yes">
      <formula>NOT(ISERROR(SEARCH(("Yes"),(P141))))</formula>
    </cfRule>
  </conditionalFormatting>
  <conditionalFormatting sqref="P141:Q141 P144:Q145 O145 P150:Q150">
    <cfRule type="containsText" dxfId="2" priority="33408" operator="containsText" text="Yes">
      <formula>NOT(ISERROR(SEARCH(("Yes"),(P141))))</formula>
    </cfRule>
  </conditionalFormatting>
  <conditionalFormatting sqref="P141:Q141 P144:Q145 O145 P150:Q150">
    <cfRule type="containsText" dxfId="2" priority="33409" operator="containsText" text="Yes">
      <formula>NOT(ISERROR(SEARCH(("Yes"),(P141))))</formula>
    </cfRule>
  </conditionalFormatting>
  <conditionalFormatting sqref="P141:Q141 P144:Q145 O145 P150:Q150">
    <cfRule type="containsText" dxfId="2" priority="33410" operator="containsText" text="Yes">
      <formula>NOT(ISERROR(SEARCH(("Yes"),(P141))))</formula>
    </cfRule>
  </conditionalFormatting>
  <conditionalFormatting sqref="P141:Q141 P144:Q145 O145 P150:Q150">
    <cfRule type="containsText" dxfId="2" priority="33411" operator="containsText" text="Yes">
      <formula>NOT(ISERROR(SEARCH(("Yes"),(P141))))</formula>
    </cfRule>
  </conditionalFormatting>
  <conditionalFormatting sqref="P141:Q141 P144:Q145 O145 P150:Q150">
    <cfRule type="containsText" dxfId="2" priority="33412" operator="containsText" text="Yes">
      <formula>NOT(ISERROR(SEARCH(("Yes"),(P141))))</formula>
    </cfRule>
  </conditionalFormatting>
  <conditionalFormatting sqref="P141:Q141 P144:Q145 O145 P150:Q150">
    <cfRule type="containsText" dxfId="2" priority="33413" operator="containsText" text="Yes">
      <formula>NOT(ISERROR(SEARCH(("Yes"),(P141))))</formula>
    </cfRule>
  </conditionalFormatting>
  <conditionalFormatting sqref="P141:Q141 P144:Q145 O145 P150:Q150">
    <cfRule type="containsText" dxfId="2" priority="33414" operator="containsText" text="Yes">
      <formula>NOT(ISERROR(SEARCH(("Yes"),(P141))))</formula>
    </cfRule>
  </conditionalFormatting>
  <conditionalFormatting sqref="P141:Q141 P144:Q145 O145 P150:Q150">
    <cfRule type="containsText" dxfId="2" priority="33415" operator="containsText" text="Yes">
      <formula>NOT(ISERROR(SEARCH(("Yes"),(P141))))</formula>
    </cfRule>
  </conditionalFormatting>
  <conditionalFormatting sqref="P141:Q141 P144:Q145 O145 P150:Q150">
    <cfRule type="containsText" dxfId="2" priority="33416" operator="containsText" text="Yes">
      <formula>NOT(ISERROR(SEARCH(("Yes"),(P141))))</formula>
    </cfRule>
  </conditionalFormatting>
  <conditionalFormatting sqref="P141:Q141 P144:Q145 O145 P150:Q150">
    <cfRule type="containsText" dxfId="2" priority="33417" operator="containsText" text="Yes">
      <formula>NOT(ISERROR(SEARCH(("Yes"),(P141))))</formula>
    </cfRule>
  </conditionalFormatting>
  <conditionalFormatting sqref="P141:Q141 P144:Q145 O145 P150:Q150">
    <cfRule type="containsText" dxfId="2" priority="33418" operator="containsText" text="Yes">
      <formula>NOT(ISERROR(SEARCH(("Yes"),(P141))))</formula>
    </cfRule>
  </conditionalFormatting>
  <conditionalFormatting sqref="P141:Q141 P144:Q145 O145 P150:Q150">
    <cfRule type="containsText" dxfId="2" priority="33419" operator="containsText" text="Yes">
      <formula>NOT(ISERROR(SEARCH(("Yes"),(P141))))</formula>
    </cfRule>
  </conditionalFormatting>
  <conditionalFormatting sqref="P141:Q141 P144:Q145 O145 P150:Q150">
    <cfRule type="containsText" dxfId="2" priority="33420" operator="containsText" text="Yes">
      <formula>NOT(ISERROR(SEARCH(("Yes"),(P141))))</formula>
    </cfRule>
  </conditionalFormatting>
  <conditionalFormatting sqref="P141:Q141 P144:Q145 O145 P150:Q150">
    <cfRule type="containsText" dxfId="2" priority="33421" operator="containsText" text="Yes">
      <formula>NOT(ISERROR(SEARCH(("Yes"),(P141))))</formula>
    </cfRule>
  </conditionalFormatting>
  <conditionalFormatting sqref="P141:Q141 P144:Q145 O145 P150:Q150">
    <cfRule type="containsText" dxfId="2" priority="33422" operator="containsText" text="Yes">
      <formula>NOT(ISERROR(SEARCH(("Yes"),(P141))))</formula>
    </cfRule>
  </conditionalFormatting>
  <conditionalFormatting sqref="P141:Q141 P144:Q145 O145 P150:Q150">
    <cfRule type="containsText" dxfId="2" priority="33423" operator="containsText" text="Yes">
      <formula>NOT(ISERROR(SEARCH(("Yes"),(P141))))</formula>
    </cfRule>
  </conditionalFormatting>
  <conditionalFormatting sqref="P141:Q141 P144:Q145 O145 P150:Q150">
    <cfRule type="containsText" dxfId="2" priority="33424" operator="containsText" text="Yes">
      <formula>NOT(ISERROR(SEARCH(("Yes"),(P141))))</formula>
    </cfRule>
  </conditionalFormatting>
  <conditionalFormatting sqref="P141:Q141 P144:Q145 O145 P150:Q150">
    <cfRule type="containsText" dxfId="2" priority="33425" operator="containsText" text="Yes">
      <formula>NOT(ISERROR(SEARCH(("Yes"),(P141))))</formula>
    </cfRule>
  </conditionalFormatting>
  <conditionalFormatting sqref="P141:Q141 P144:Q145 O145 P150:Q150">
    <cfRule type="containsText" dxfId="2" priority="33426" operator="containsText" text="Yes">
      <formula>NOT(ISERROR(SEARCH(("Yes"),(P141))))</formula>
    </cfRule>
  </conditionalFormatting>
  <conditionalFormatting sqref="P141:Q141 P144:Q145 O145 P150:Q150">
    <cfRule type="containsText" dxfId="2" priority="33427" operator="containsText" text="Yes">
      <formula>NOT(ISERROR(SEARCH(("Yes"),(P141))))</formula>
    </cfRule>
  </conditionalFormatting>
  <conditionalFormatting sqref="P141:Q141 P144:Q145 O145 P150:Q150">
    <cfRule type="containsText" dxfId="2" priority="33428" operator="containsText" text="Yes">
      <formula>NOT(ISERROR(SEARCH(("Yes"),(P141))))</formula>
    </cfRule>
  </conditionalFormatting>
  <conditionalFormatting sqref="P141:Q141 P144:Q145 O145 P150:Q150">
    <cfRule type="containsText" dxfId="2" priority="33429" operator="containsText" text="Yes">
      <formula>NOT(ISERROR(SEARCH(("Yes"),(P141))))</formula>
    </cfRule>
  </conditionalFormatting>
  <conditionalFormatting sqref="P141:Q141 P144:Q145 O145 P150:Q150">
    <cfRule type="containsText" dxfId="2" priority="33430" operator="containsText" text="Yes">
      <formula>NOT(ISERROR(SEARCH(("Yes"),(P141))))</formula>
    </cfRule>
  </conditionalFormatting>
  <conditionalFormatting sqref="P141:Q141 P144:Q145 O145 P150:Q150">
    <cfRule type="containsText" dxfId="2" priority="33431" operator="containsText" text="Yes">
      <formula>NOT(ISERROR(SEARCH(("Yes"),(P141))))</formula>
    </cfRule>
  </conditionalFormatting>
  <conditionalFormatting sqref="P141:Q141 P144:Q145 O145 P150:Q150">
    <cfRule type="containsText" dxfId="2" priority="33432" operator="containsText" text="Yes">
      <formula>NOT(ISERROR(SEARCH(("Yes"),(P141))))</formula>
    </cfRule>
  </conditionalFormatting>
  <conditionalFormatting sqref="P141:Q141 P144:Q145 O145 P150:Q150">
    <cfRule type="containsText" dxfId="2" priority="33433" operator="containsText" text="Yes">
      <formula>NOT(ISERROR(SEARCH(("Yes"),(P141))))</formula>
    </cfRule>
  </conditionalFormatting>
  <conditionalFormatting sqref="P141:Q141 P144:Q145 O145 P150:Q150">
    <cfRule type="containsText" dxfId="2" priority="33434" operator="containsText" text="Yes">
      <formula>NOT(ISERROR(SEARCH(("Yes"),(P141))))</formula>
    </cfRule>
  </conditionalFormatting>
  <conditionalFormatting sqref="P141:Q141 P144:Q145 O145 P150:Q150">
    <cfRule type="containsText" dxfId="2" priority="33435" operator="containsText" text="Yes">
      <formula>NOT(ISERROR(SEARCH(("Yes"),(P141))))</formula>
    </cfRule>
  </conditionalFormatting>
  <conditionalFormatting sqref="P141:Q141 P144:Q145 O145 P150:Q150">
    <cfRule type="containsText" dxfId="2" priority="33436" operator="containsText" text="Yes">
      <formula>NOT(ISERROR(SEARCH(("Yes"),(P141))))</formula>
    </cfRule>
  </conditionalFormatting>
  <conditionalFormatting sqref="P141:Q141 P144:Q145 O145 P150:Q150">
    <cfRule type="containsText" dxfId="2" priority="33437" operator="containsText" text="Yes">
      <formula>NOT(ISERROR(SEARCH(("Yes"),(P141))))</formula>
    </cfRule>
  </conditionalFormatting>
  <conditionalFormatting sqref="P141:Q141 P144:Q145 O145 P150:Q150">
    <cfRule type="containsText" dxfId="2" priority="33438" operator="containsText" text="Yes">
      <formula>NOT(ISERROR(SEARCH(("Yes"),(P141))))</formula>
    </cfRule>
  </conditionalFormatting>
  <conditionalFormatting sqref="N142:N143 N146:N152 N154 N159 N161 O174:O226 N184 N187:N216 N222:N226 N228:O252 N254:O256 N258:O264 N267:O269 N272:O273 N275:O275">
    <cfRule type="containsText" dxfId="9" priority="33439" operator="containsText" text="No">
      <formula>NOT(ISERROR(SEARCH(("No"),(N142))))</formula>
    </cfRule>
  </conditionalFormatting>
  <conditionalFormatting sqref="N142:N143 N146:N152 N154 N159 N161 O174:O226 N184 N187:N216 N222:N226 N228:O252 N254:O256 N258:O264 N267:O269 N272:O273 N275:O275">
    <cfRule type="containsText" dxfId="9" priority="33440" operator="containsText" text="No">
      <formula>NOT(ISERROR(SEARCH(("No"),(N142))))</formula>
    </cfRule>
  </conditionalFormatting>
  <conditionalFormatting sqref="N142:N143 N146:N152 N154 N159 N161 O174:O226 N184 N187:N216 N222:N226 N228:O252 N254:O256 N258:O264 N267:O269 N272:O273 N275:O275">
    <cfRule type="containsText" dxfId="9" priority="33441" operator="containsText" text="No">
      <formula>NOT(ISERROR(SEARCH(("No"),(N142))))</formula>
    </cfRule>
  </conditionalFormatting>
  <conditionalFormatting sqref="N142:N143 N146:N152 N154 N159 N161 O174:O226 N184 N187:N216 N222:N226 N228:O252 N254:O256 N258:O264 N267:O269 N272:O273 N275:O275">
    <cfRule type="containsText" dxfId="2" priority="33442" operator="containsText" text="Yes">
      <formula>NOT(ISERROR(SEARCH(("Yes"),(N142))))</formula>
    </cfRule>
  </conditionalFormatting>
  <conditionalFormatting sqref="N142:N143 N146:N152 N154 N159 N161 O174:O226 N184 N187:N216 N222:N226 N228:O252 N254:O256 N258:O264 N267:O269 N272:O273 N275:O275">
    <cfRule type="containsText" dxfId="2" priority="33443" operator="containsText" text="Yes">
      <formula>NOT(ISERROR(SEARCH(("Yes"),(N142))))</formula>
    </cfRule>
  </conditionalFormatting>
  <conditionalFormatting sqref="N142:N143 N146:N152 N154 N159 N161 O174:O226 N184 N187:N216 N222:N226 N228:O252 N254:O256 N258:O264 N267:O269 N272:O273 N275:O275">
    <cfRule type="containsText" dxfId="2" priority="33444" operator="containsText" text="Yes">
      <formula>NOT(ISERROR(SEARCH(("Yes"),(N142))))</formula>
    </cfRule>
  </conditionalFormatting>
  <conditionalFormatting sqref="N142:N143 N146:N152 N154 N159 N161 O174:O226 N184 N187:N216 N222:N226 N228:O252 N254:O256 N258:O264 N267:O269 N272:O273 N275:O275">
    <cfRule type="containsText" dxfId="2" priority="33445" operator="containsText" text="Yes">
      <formula>NOT(ISERROR(SEARCH(("Yes"),(N142))))</formula>
    </cfRule>
  </conditionalFormatting>
  <conditionalFormatting sqref="N142:N143 N146:N152 N154 N159 N161 O174:O226 N184 N187:N216 N222:N226 N228:O252 N254:O256 N258:O264 N267:O269 N272:O273 N275:O275">
    <cfRule type="containsText" dxfId="2" priority="33446" operator="containsText" text="Yes">
      <formula>NOT(ISERROR(SEARCH(("Yes"),(N142))))</formula>
    </cfRule>
  </conditionalFormatting>
  <conditionalFormatting sqref="N142:N143 N146:N152 N154 N159 N161 O174:O226 N184 N187:N216 N222:N226 N228:O252 N254:O256 N258:O264 N267:O269 N272:O273 N275:O275">
    <cfRule type="containsText" dxfId="9" priority="33447" operator="containsText" text="No">
      <formula>NOT(ISERROR(SEARCH(("No"),(N142))))</formula>
    </cfRule>
  </conditionalFormatting>
  <conditionalFormatting sqref="N142:N143 N146:N152 N154 N159 N161 O174:O226 N184 N187:N216 N222:N226 N228:O252 N254:O256 N258:O264 N267:O269 N272:O273 N275:O275">
    <cfRule type="containsText" dxfId="2" priority="33448" operator="containsText" text="Yes">
      <formula>NOT(ISERROR(SEARCH(("Yes"),(N142))))</formula>
    </cfRule>
  </conditionalFormatting>
  <conditionalFormatting sqref="O142:O143 O146:O152 P153:P214 O154:O155 Q155 O159 O161:O162 N162 N164:O167 N170:O170 N172:O172 N174:O174 N176:O176 N180:O182 N184:O184 Q203 U204:V204 Q205:Q214">
    <cfRule type="containsText" dxfId="9" priority="33449" operator="containsText" text="No">
      <formula>NOT(ISERROR(SEARCH(("No"),(O142))))</formula>
    </cfRule>
  </conditionalFormatting>
  <conditionalFormatting sqref="O142:O143 O146:O152 P153:P214 O154:O155 Q155 O159 O161:O162 N162 N164:O167 N170:O170 N172:O172 N174:O174 N176:O176 N180:O182 N184:O184 Q203 U204:V204 Q205:Q214">
    <cfRule type="containsText" dxfId="9" priority="33450" operator="containsText" text="No">
      <formula>NOT(ISERROR(SEARCH(("No"),(O142))))</formula>
    </cfRule>
  </conditionalFormatting>
  <conditionalFormatting sqref="O142:O143 O146:O152 P153:P214 O154:O155 Q155 O159 O161:O162 N162 N164:O167 N170:O170 N172:O172 N174:O174 N176:O176 N180:O182 N184:O184 Q203 U204:V204 Q205:Q214">
    <cfRule type="containsText" dxfId="9" priority="33451" operator="containsText" text="No">
      <formula>NOT(ISERROR(SEARCH(("No"),(O142))))</formula>
    </cfRule>
  </conditionalFormatting>
  <conditionalFormatting sqref="O142:O143 O146:O152 P153:P214 O154:O155 Q155 O159 O161:O162 N162 N164:O167 N170:O170 N172:O172 N174:O174 N176:O176 N180:O182 N184:O184 Q203 U204:V204 Q205:Q214">
    <cfRule type="containsText" dxfId="2" priority="33452" operator="containsText" text="Yes">
      <formula>NOT(ISERROR(SEARCH(("Yes"),(O142))))</formula>
    </cfRule>
  </conditionalFormatting>
  <conditionalFormatting sqref="O142:O143 O146:O152 P153:P214 O154:O155 Q155 O159 O161:O162 N162 N164:O167 N170:O170 N172:O172 N174:O174 N176:O176 N180:O182 N184:O184 Q203 U204:V204 Q205:Q214">
    <cfRule type="containsText" dxfId="2" priority="33453" operator="containsText" text="Yes">
      <formula>NOT(ISERROR(SEARCH(("Yes"),(O142))))</formula>
    </cfRule>
  </conditionalFormatting>
  <conditionalFormatting sqref="O142:O143 O146:O152 P153:P214 O154:O155 Q155 O159 O161:O162 N162 N164:O167 N170:O170 N172:O172 N174:O174 N176:O176 N180:O182 N184:O184 Q203 U204:V204 Q205:Q214">
    <cfRule type="containsText" dxfId="2" priority="33454" operator="containsText" text="Yes">
      <formula>NOT(ISERROR(SEARCH(("Yes"),(O142))))</formula>
    </cfRule>
  </conditionalFormatting>
  <conditionalFormatting sqref="O142:O143 O146:O152 P153:P214 O154:O155 Q155 O159 O161:O162 N162 N164:O167 N170:O170 N172:O172 N174:O174 N176:O176 N180:O182 N184:O184 Q203 U204:V204 Q205:Q214">
    <cfRule type="containsText" dxfId="2" priority="33455" operator="containsText" text="Yes">
      <formula>NOT(ISERROR(SEARCH(("Yes"),(O142))))</formula>
    </cfRule>
  </conditionalFormatting>
  <conditionalFormatting sqref="O142:O143 O146:O152 P153:P214 O154:O155 Q155 O159 O161:O162 N162 N164:O167 N170:O170 N172:O172 N174:O174 N176:O176 N180:O182 N184:O184 Q203 U204:V204 Q205:Q214">
    <cfRule type="containsText" dxfId="2" priority="33456" operator="containsText" text="Yes">
      <formula>NOT(ISERROR(SEARCH(("Yes"),(O142))))</formula>
    </cfRule>
  </conditionalFormatting>
  <conditionalFormatting sqref="O142:O143 O146:O152 P153:P214 O154:O155 Q155 O159 O161:O162 N162 N164:O167 N170:O170 N172:O172 N174:O174 N176:O176 N180:O182 N184:O184 Q203 U204:V204 Q205:Q214">
    <cfRule type="containsText" dxfId="9" priority="33457" operator="containsText" text="No">
      <formula>NOT(ISERROR(SEARCH(("No"),(O142))))</formula>
    </cfRule>
  </conditionalFormatting>
  <conditionalFormatting sqref="O142:O143 O146:O152 P153:P214 O154:O155 Q155 O159 O161:O162 N162 N164:O167 N170:O170 N172:O172 N174:O174 N176:O176 N180:O182 N184:O184 Q203 U204:V204 Q205:Q214">
    <cfRule type="containsText" dxfId="9" priority="33458" operator="containsText" text="No">
      <formula>NOT(ISERROR(SEARCH(("No"),(O142))))</formula>
    </cfRule>
  </conditionalFormatting>
  <conditionalFormatting sqref="O142:O143 O146:O152 P153:P214 O154:O155 Q155 O159 O161:O162 N162 N164:O167 N170:O170 N172:O172 N174:O174 N176:O176 N180:O182 N184:O184 Q203 U204:V204 Q205:Q214">
    <cfRule type="containsText" dxfId="2" priority="33459" operator="containsText" text="Yes">
      <formula>NOT(ISERROR(SEARCH(("Yes"),(O142))))</formula>
    </cfRule>
  </conditionalFormatting>
  <conditionalFormatting sqref="P142:Q143 P146:Q147 P161:Q162 P164:Q164 P166:Q167 P172:Q172 P174:Q174 P176:Q176 P180:Q182 P184:Q184">
    <cfRule type="containsText" dxfId="9" priority="33460" operator="containsText" text="No">
      <formula>NOT(ISERROR(SEARCH(("No"),(P142))))</formula>
    </cfRule>
  </conditionalFormatting>
  <conditionalFormatting sqref="P142:Q143 P146:Q147 P161:Q162 P164:Q164 P166:Q167 P172:Q172 P174:Q174 P176:Q176 P180:Q182 P184:Q184">
    <cfRule type="containsText" dxfId="9" priority="33461" operator="containsText" text="No">
      <formula>NOT(ISERROR(SEARCH(("No"),(P142))))</formula>
    </cfRule>
  </conditionalFormatting>
  <conditionalFormatting sqref="P142:Q143 P146:Q147 P161:Q162 P164:Q164 P166:Q167 P172:Q172 P174:Q174 P176:Q176 P180:Q182 P184:Q184">
    <cfRule type="containsText" dxfId="9" priority="33462" operator="containsText" text="No">
      <formula>NOT(ISERROR(SEARCH(("No"),(P142))))</formula>
    </cfRule>
  </conditionalFormatting>
  <conditionalFormatting sqref="P142:Q143 P146:Q147 P161:Q162 P164:Q164 P166:Q167 P172:Q172 P174:Q174 P176:Q176 P180:Q182 P184:Q184">
    <cfRule type="containsText" dxfId="9" priority="33463" operator="containsText" text="No">
      <formula>NOT(ISERROR(SEARCH(("No"),(P142))))</formula>
    </cfRule>
  </conditionalFormatting>
  <conditionalFormatting sqref="P142:Q143 P146:Q147 P161:Q162 P164:Q164 P166:Q167 P172:Q172 P174:Q174 P176:Q176 P180:Q182 P184:Q184">
    <cfRule type="containsText" dxfId="9" priority="33464" operator="containsText" text="No">
      <formula>NOT(ISERROR(SEARCH(("No"),(P142))))</formula>
    </cfRule>
  </conditionalFormatting>
  <conditionalFormatting sqref="P142:Q143 P146:Q147 P161:Q162 P164:Q164 P166:Q167 P172:Q172 P174:Q174 P176:Q176 P180:Q182 P184:Q184">
    <cfRule type="containsText" dxfId="9" priority="33465" operator="containsText" text="No">
      <formula>NOT(ISERROR(SEARCH(("No"),(P142))))</formula>
    </cfRule>
  </conditionalFormatting>
  <conditionalFormatting sqref="P142:Q143 P146:Q147 P161:Q162 P164:Q164 P166:Q167 P172:Q172 P174:Q174 P176:Q176 P180:Q182 P184:Q184">
    <cfRule type="containsText" dxfId="9" priority="33466" operator="containsText" text="No">
      <formula>NOT(ISERROR(SEARCH(("No"),(P142))))</formula>
    </cfRule>
  </conditionalFormatting>
  <conditionalFormatting sqref="P142:Q143 P146:Q147 P161:Q162 P164:Q164 P166:Q167 P172:Q172 P174:Q174 P176:Q176 P180:Q182 P184:Q184">
    <cfRule type="containsText" dxfId="9" priority="33467" operator="containsText" text="No">
      <formula>NOT(ISERROR(SEARCH(("No"),(P142))))</formula>
    </cfRule>
  </conditionalFormatting>
  <conditionalFormatting sqref="P142:Q143 P146:Q147 P161:Q162 P164:Q164 P166:Q167 P172:Q172 P174:Q174 P176:Q176 P180:Q182 P184:Q184">
    <cfRule type="containsText" dxfId="9" priority="33468" operator="containsText" text="No">
      <formula>NOT(ISERROR(SEARCH(("No"),(P142))))</formula>
    </cfRule>
  </conditionalFormatting>
  <conditionalFormatting sqref="P142:Q143 P146:Q147 P161:Q162 P164:Q164 P166:Q167 P172:Q172 P174:Q174 P176:Q176 P180:Q182 P184:Q184">
    <cfRule type="containsText" dxfId="9" priority="33469" operator="containsText" text="No">
      <formula>NOT(ISERROR(SEARCH(("No"),(P142))))</formula>
    </cfRule>
  </conditionalFormatting>
  <conditionalFormatting sqref="P142:Q143 P146:Q147 P161:Q162 P164:Q164 P166:Q167 P172:Q172 P174:Q174 P176:Q176 P180:Q182 P184:Q184">
    <cfRule type="containsText" dxfId="9" priority="33470" operator="containsText" text="No">
      <formula>NOT(ISERROR(SEARCH(("No"),(P142))))</formula>
    </cfRule>
  </conditionalFormatting>
  <conditionalFormatting sqref="P142:Q143 P146:Q147 P161:Q162 P164:Q164 P166:Q167 P172:Q172 P174:Q174 P176:Q176 P180:Q182 P184:Q184">
    <cfRule type="containsText" dxfId="9" priority="33471" operator="containsText" text="No">
      <formula>NOT(ISERROR(SEARCH(("No"),(P142))))</formula>
    </cfRule>
  </conditionalFormatting>
  <conditionalFormatting sqref="P142:Q143 P146:Q147 P161:Q162 P164:Q164 P166:Q167 P172:Q172 P174:Q174 P176:Q176 P180:Q182 P184:Q184">
    <cfRule type="containsText" dxfId="9" priority="33472" operator="containsText" text="No">
      <formula>NOT(ISERROR(SEARCH(("No"),(P142))))</formula>
    </cfRule>
  </conditionalFormatting>
  <conditionalFormatting sqref="P142:Q143 P146:Q147 P161:Q162 P164:Q164 P166:Q167 P172:Q172 P174:Q174 P176:Q176 P180:Q182 P184:Q184">
    <cfRule type="containsText" dxfId="9" priority="33473" operator="containsText" text="No">
      <formula>NOT(ISERROR(SEARCH(("No"),(P142))))</formula>
    </cfRule>
  </conditionalFormatting>
  <conditionalFormatting sqref="P142:Q143 P146:Q147 P161:Q162 P164:Q164 P166:Q167 P172:Q172 P174:Q174 P176:Q176 P180:Q182 P184:Q184">
    <cfRule type="containsText" dxfId="9" priority="33474" operator="containsText" text="No">
      <formula>NOT(ISERROR(SEARCH(("No"),(P142))))</formula>
    </cfRule>
  </conditionalFormatting>
  <conditionalFormatting sqref="P142:Q143 P146:Q147 P161:Q162 P164:Q164 P166:Q167 P172:Q172 P174:Q174 P176:Q176 P180:Q182 P184:Q184">
    <cfRule type="containsText" dxfId="9" priority="33475" operator="containsText" text="No">
      <formula>NOT(ISERROR(SEARCH(("No"),(P142))))</formula>
    </cfRule>
  </conditionalFormatting>
  <conditionalFormatting sqref="P142:Q143 P146:Q147 P161:Q162 P164:Q164 P166:Q167 P172:Q172 P174:Q174 P176:Q176 P180:Q182 P184:Q184">
    <cfRule type="containsText" dxfId="9" priority="33476" operator="containsText" text="No">
      <formula>NOT(ISERROR(SEARCH(("No"),(P142))))</formula>
    </cfRule>
  </conditionalFormatting>
  <conditionalFormatting sqref="P142:Q143 P146:Q147 P161:Q162 P164:Q164 P166:Q167 P172:Q172 P174:Q174 P176:Q176 P180:Q182 P184:Q184">
    <cfRule type="containsText" dxfId="9" priority="33477" operator="containsText" text="No">
      <formula>NOT(ISERROR(SEARCH(("No"),(P142))))</formula>
    </cfRule>
  </conditionalFormatting>
  <conditionalFormatting sqref="P142:Q143 P146:Q147 P161:Q162 P164:Q164 P166:Q167 P172:Q172 P174:Q174 P176:Q176 P180:Q182 P184:Q184">
    <cfRule type="containsText" dxfId="9" priority="33478" operator="containsText" text="No">
      <formula>NOT(ISERROR(SEARCH(("No"),(P142))))</formula>
    </cfRule>
  </conditionalFormatting>
  <conditionalFormatting sqref="P142:Q143 P146:Q147 P161:Q162 P164:Q164 P166:Q167 P172:Q172 P174:Q174 P176:Q176 P180:Q182 P184:Q184">
    <cfRule type="containsText" dxfId="9" priority="33479" operator="containsText" text="No">
      <formula>NOT(ISERROR(SEARCH(("No"),(P142))))</formula>
    </cfRule>
  </conditionalFormatting>
  <conditionalFormatting sqref="P142:Q143 P146:Q147 P161:Q162 P164:Q164 P166:Q167 P172:Q172 P174:Q174 P176:Q176 P180:Q182 P184:Q184">
    <cfRule type="containsText" dxfId="9" priority="33480" operator="containsText" text="No">
      <formula>NOT(ISERROR(SEARCH(("No"),(P142))))</formula>
    </cfRule>
  </conditionalFormatting>
  <conditionalFormatting sqref="P142:Q143 P146:Q147 P161:Q162 P164:Q164 P166:Q167 P172:Q172 P174:Q174 P176:Q176 P180:Q182 P184:Q184">
    <cfRule type="containsText" dxfId="9" priority="33481" operator="containsText" text="No">
      <formula>NOT(ISERROR(SEARCH(("No"),(P142))))</formula>
    </cfRule>
  </conditionalFormatting>
  <conditionalFormatting sqref="P142:Q143 P146:Q147 P161:Q162 P164:Q164 P166:Q167 P172:Q172 P174:Q174 P176:Q176 P180:Q182 P184:Q184">
    <cfRule type="containsText" dxfId="9" priority="33482" operator="containsText" text="No">
      <formula>NOT(ISERROR(SEARCH(("No"),(P142))))</formula>
    </cfRule>
  </conditionalFormatting>
  <conditionalFormatting sqref="P142:Q143 P146:Q147 P161:Q162 P164:Q164 P166:Q167 P172:Q172 P174:Q174 P176:Q176 P180:Q182 P184:Q184">
    <cfRule type="containsText" dxfId="9" priority="33483" operator="containsText" text="No">
      <formula>NOT(ISERROR(SEARCH(("No"),(P142))))</formula>
    </cfRule>
  </conditionalFormatting>
  <conditionalFormatting sqref="P142:Q143 P146:Q147 P161:Q162 P164:Q164 P166:Q167 P172:Q172 P174:Q174 P176:Q176 P180:Q182 P184:Q184">
    <cfRule type="containsText" dxfId="9" priority="33484" operator="containsText" text="No">
      <formula>NOT(ISERROR(SEARCH(("No"),(P142))))</formula>
    </cfRule>
  </conditionalFormatting>
  <conditionalFormatting sqref="P142:Q143 P146:Q147 P161:Q162 P164:Q164 P166:Q167 P172:Q172 P174:Q174 P176:Q176 P180:Q182 P184:Q184">
    <cfRule type="containsText" dxfId="9" priority="33485" operator="containsText" text="No">
      <formula>NOT(ISERROR(SEARCH(("No"),(P142))))</formula>
    </cfRule>
  </conditionalFormatting>
  <conditionalFormatting sqref="P142:Q143 P146:Q147 P161:Q162 P164:Q164 P166:Q167 P172:Q172 P174:Q174 P176:Q176 P180:Q182 P184:Q184">
    <cfRule type="containsText" dxfId="9" priority="33486" operator="containsText" text="No">
      <formula>NOT(ISERROR(SEARCH(("No"),(P142))))</formula>
    </cfRule>
  </conditionalFormatting>
  <conditionalFormatting sqref="P142:Q143 P146:Q147 P161:Q162 P164:Q164 P166:Q167 P172:Q172 P174:Q174 P176:Q176 P180:Q182 P184:Q184">
    <cfRule type="containsText" dxfId="9" priority="33487" operator="containsText" text="No">
      <formula>NOT(ISERROR(SEARCH(("No"),(P142))))</formula>
    </cfRule>
  </conditionalFormatting>
  <conditionalFormatting sqref="P142:Q143 P146:Q147 P161:Q162 P164:Q164 P166:Q167 P172:Q172 P174:Q174 P176:Q176 P180:Q182 P184:Q184">
    <cfRule type="containsText" dxfId="9" priority="33488" operator="containsText" text="No">
      <formula>NOT(ISERROR(SEARCH(("No"),(P142))))</formula>
    </cfRule>
  </conditionalFormatting>
  <conditionalFormatting sqref="P142:Q143 P146:Q147 P161:Q162 P164:Q164 P166:Q167 P172:Q172 P174:Q174 P176:Q176 P180:Q182 P184:Q184">
    <cfRule type="containsText" dxfId="9" priority="33489" operator="containsText" text="No">
      <formula>NOT(ISERROR(SEARCH(("No"),(P142))))</formula>
    </cfRule>
  </conditionalFormatting>
  <conditionalFormatting sqref="P142:Q143 P146:Q147 P161:Q162 P164:Q164 P166:Q167 P172:Q172 P174:Q174 P176:Q176 P180:Q182 P184:Q184">
    <cfRule type="containsText" dxfId="9" priority="33490" operator="containsText" text="No">
      <formula>NOT(ISERROR(SEARCH(("No"),(P142))))</formula>
    </cfRule>
  </conditionalFormatting>
  <conditionalFormatting sqref="P142:Q143 P146:Q147 P161:Q162 P164:Q164 P166:Q167 P172:Q172 P174:Q174 P176:Q176 P180:Q182 P184:Q184">
    <cfRule type="containsText" dxfId="9" priority="33491" operator="containsText" text="No">
      <formula>NOT(ISERROR(SEARCH(("No"),(P142))))</formula>
    </cfRule>
  </conditionalFormatting>
  <conditionalFormatting sqref="P142:Q143 P146:Q147 P161:Q162 P164:Q164 P166:Q167 P172:Q172 P174:Q174 P176:Q176 P180:Q182 P184:Q184">
    <cfRule type="containsText" dxfId="9" priority="33492" operator="containsText" text="No">
      <formula>NOT(ISERROR(SEARCH(("No"),(P142))))</formula>
    </cfRule>
  </conditionalFormatting>
  <conditionalFormatting sqref="P142:Q143 P146:Q147 P161:Q162 P164:Q164 P166:Q167 P172:Q172 P174:Q174 P176:Q176 P180:Q182 P184:Q184">
    <cfRule type="containsText" dxfId="9" priority="33493" operator="containsText" text="No">
      <formula>NOT(ISERROR(SEARCH(("No"),(P142))))</formula>
    </cfRule>
  </conditionalFormatting>
  <conditionalFormatting sqref="P142:Q143 P146:Q147 P161:Q162 P164:Q164 P166:Q167 P172:Q172 P174:Q174 P176:Q176 P180:Q182 P184:Q184">
    <cfRule type="containsText" dxfId="9" priority="33494" operator="containsText" text="No">
      <formula>NOT(ISERROR(SEARCH(("No"),(P142))))</formula>
    </cfRule>
  </conditionalFormatting>
  <conditionalFormatting sqref="P142:Q143 P146:Q147 P161:Q162 P164:Q164 P166:Q167 P172:Q172 P174:Q174 P176:Q176 P180:Q182 P184:Q184">
    <cfRule type="containsText" dxfId="9" priority="33495" operator="containsText" text="No">
      <formula>NOT(ISERROR(SEARCH(("No"),(P142))))</formula>
    </cfRule>
  </conditionalFormatting>
  <conditionalFormatting sqref="P142:Q143 P146:Q147 P161:Q162 P164:Q164 P166:Q167 P172:Q172 P174:Q174 P176:Q176 P180:Q182 P184:Q184">
    <cfRule type="containsText" dxfId="9" priority="33496" operator="containsText" text="No">
      <formula>NOT(ISERROR(SEARCH(("No"),(P142))))</formula>
    </cfRule>
  </conditionalFormatting>
  <conditionalFormatting sqref="P142:Q143 P146:Q147 P161:Q162 P164:Q164 P166:Q167 P172:Q172 P174:Q174 P176:Q176 P180:Q182 P184:Q184">
    <cfRule type="containsText" dxfId="9" priority="33497" operator="containsText" text="No">
      <formula>NOT(ISERROR(SEARCH(("No"),(P142))))</formula>
    </cfRule>
  </conditionalFormatting>
  <conditionalFormatting sqref="P142:Q143 P146:Q147 P161:Q162 P164:Q164 P166:Q167 P172:Q172 P174:Q174 P176:Q176 P180:Q182 P184:Q184">
    <cfRule type="containsText" dxfId="9" priority="33498" operator="containsText" text="No">
      <formula>NOT(ISERROR(SEARCH(("No"),(P142))))</formula>
    </cfRule>
  </conditionalFormatting>
  <conditionalFormatting sqref="P142:Q143 P146:Q147 P161:Q162 P164:Q164 P166:Q167 P172:Q172 P174:Q174 P176:Q176 P180:Q182 P184:Q184">
    <cfRule type="containsText" dxfId="9" priority="33499" operator="containsText" text="No">
      <formula>NOT(ISERROR(SEARCH(("No"),(P142))))</formula>
    </cfRule>
  </conditionalFormatting>
  <conditionalFormatting sqref="P142:Q143 P146:Q147 P161:Q162 P164:Q164 P166:Q167 P172:Q172 P174:Q174 P176:Q176 P180:Q182 P184:Q184">
    <cfRule type="containsText" dxfId="9" priority="33500" operator="containsText" text="No">
      <formula>NOT(ISERROR(SEARCH(("No"),(P142))))</formula>
    </cfRule>
  </conditionalFormatting>
  <conditionalFormatting sqref="P142:Q143 P146:Q147 P161:Q162 P164:Q164 P166:Q167 P172:Q172 P174:Q174 P176:Q176 P180:Q182 P184:Q184">
    <cfRule type="containsText" dxfId="9" priority="33501" operator="containsText" text="No">
      <formula>NOT(ISERROR(SEARCH(("No"),(P142))))</formula>
    </cfRule>
  </conditionalFormatting>
  <conditionalFormatting sqref="P142:Q143 P146:Q147 P161:Q162 P164:Q164 P166:Q167 P172:Q172 P174:Q174 P176:Q176 P180:Q182 P184:Q184">
    <cfRule type="containsText" dxfId="9" priority="33502" operator="containsText" text="No">
      <formula>NOT(ISERROR(SEARCH(("No"),(P142))))</formula>
    </cfRule>
  </conditionalFormatting>
  <conditionalFormatting sqref="P142:Q143 P146:Q147 P161:Q162 P164:Q164 P166:Q167 P172:Q172 P174:Q174 P176:Q176 P180:Q182 P184:Q184">
    <cfRule type="containsText" dxfId="9" priority="33503" operator="containsText" text="No">
      <formula>NOT(ISERROR(SEARCH(("No"),(P142))))</formula>
    </cfRule>
  </conditionalFormatting>
  <conditionalFormatting sqref="P142:Q143 P146:Q147 P161:Q162 P164:Q164 P166:Q167 P172:Q172 P174:Q174 P176:Q176 P180:Q182 P184:Q184">
    <cfRule type="containsText" dxfId="9" priority="33504" operator="containsText" text="No">
      <formula>NOT(ISERROR(SEARCH(("No"),(P142))))</formula>
    </cfRule>
  </conditionalFormatting>
  <conditionalFormatting sqref="P142:Q143 P146:Q147 P161:Q162 P164:Q164 P166:Q167 P172:Q172 P174:Q174 P176:Q176 P180:Q182 P184:Q184">
    <cfRule type="containsText" dxfId="2" priority="33505" operator="containsText" text="Yes">
      <formula>NOT(ISERROR(SEARCH(("Yes"),(P142))))</formula>
    </cfRule>
  </conditionalFormatting>
  <conditionalFormatting sqref="P142:Q143 P146:Q147 P161:Q162 P164:Q164 P166:Q167 P172:Q172 P174:Q174 P176:Q176 P180:Q182 P184:Q184">
    <cfRule type="containsText" dxfId="2" priority="33506" operator="containsText" text="Yes">
      <formula>NOT(ISERROR(SEARCH(("Yes"),(P142))))</formula>
    </cfRule>
  </conditionalFormatting>
  <conditionalFormatting sqref="P142:Q143 P146:Q147 P161:Q162 P164:Q164 P166:Q167 P172:Q172 P174:Q174 P176:Q176 P180:Q182 P184:Q184">
    <cfRule type="containsText" dxfId="2" priority="33507" operator="containsText" text="Yes">
      <formula>NOT(ISERROR(SEARCH(("Yes"),(P142))))</formula>
    </cfRule>
  </conditionalFormatting>
  <conditionalFormatting sqref="P142:Q143 P146:Q147 P161:Q162 P164:Q164 P166:Q167 P172:Q172 P174:Q174 P176:Q176 P180:Q182 P184:Q184">
    <cfRule type="containsText" dxfId="2" priority="33508" operator="containsText" text="Yes">
      <formula>NOT(ISERROR(SEARCH(("Yes"),(P142))))</formula>
    </cfRule>
  </conditionalFormatting>
  <conditionalFormatting sqref="P142:Q143 P146:Q147 P161:Q162 P164:Q164 P166:Q167 P172:Q172 P174:Q174 P176:Q176 P180:Q182 P184:Q184">
    <cfRule type="containsText" dxfId="2" priority="33509" operator="containsText" text="Yes">
      <formula>NOT(ISERROR(SEARCH(("Yes"),(P142))))</formula>
    </cfRule>
  </conditionalFormatting>
  <conditionalFormatting sqref="P142:Q143 P146:Q147 P161:Q162 P164:Q164 P166:Q167 P172:Q172 P174:Q174 P176:Q176 P180:Q182 P184:Q184">
    <cfRule type="containsText" dxfId="2" priority="33510" operator="containsText" text="Yes">
      <formula>NOT(ISERROR(SEARCH(("Yes"),(P142))))</formula>
    </cfRule>
  </conditionalFormatting>
  <conditionalFormatting sqref="P142:Q143 P146:Q147 P161:Q162 P164:Q164 P166:Q167 P172:Q172 P174:Q174 P176:Q176 P180:Q182 P184:Q184">
    <cfRule type="containsText" dxfId="2" priority="33511" operator="containsText" text="Yes">
      <formula>NOT(ISERROR(SEARCH(("Yes"),(P142))))</formula>
    </cfRule>
  </conditionalFormatting>
  <conditionalFormatting sqref="P142:Q143 P146:Q147 P161:Q162 P164:Q164 P166:Q167 P172:Q172 P174:Q174 P176:Q176 P180:Q182 P184:Q184">
    <cfRule type="containsText" dxfId="2" priority="33512" operator="containsText" text="Yes">
      <formula>NOT(ISERROR(SEARCH(("Yes"),(P142))))</formula>
    </cfRule>
  </conditionalFormatting>
  <conditionalFormatting sqref="P142:Q143 P146:Q147 P161:Q162 P164:Q164 P166:Q167 P172:Q172 P174:Q174 P176:Q176 P180:Q182 P184:Q184">
    <cfRule type="containsText" dxfId="2" priority="33513" operator="containsText" text="Yes">
      <formula>NOT(ISERROR(SEARCH(("Yes"),(P142))))</formula>
    </cfRule>
  </conditionalFormatting>
  <conditionalFormatting sqref="P142:Q143 P146:Q147 P161:Q162 P164:Q164 P166:Q167 P172:Q172 P174:Q174 P176:Q176 P180:Q182 P184:Q184">
    <cfRule type="containsText" dxfId="2" priority="33514" operator="containsText" text="Yes">
      <formula>NOT(ISERROR(SEARCH(("Yes"),(P142))))</formula>
    </cfRule>
  </conditionalFormatting>
  <conditionalFormatting sqref="P142:Q143 P146:Q147 P161:Q162 P164:Q164 P166:Q167 P172:Q172 P174:Q174 P176:Q176 P180:Q182 P184:Q184">
    <cfRule type="containsText" dxfId="2" priority="33515" operator="containsText" text="Yes">
      <formula>NOT(ISERROR(SEARCH(("Yes"),(P142))))</formula>
    </cfRule>
  </conditionalFormatting>
  <conditionalFormatting sqref="P142:Q143 P146:Q147 P161:Q162 P164:Q164 P166:Q167 P172:Q172 P174:Q174 P176:Q176 P180:Q182 P184:Q184">
    <cfRule type="containsText" dxfId="2" priority="33516" operator="containsText" text="Yes">
      <formula>NOT(ISERROR(SEARCH(("Yes"),(P142))))</formula>
    </cfRule>
  </conditionalFormatting>
  <conditionalFormatting sqref="P142:Q143 P146:Q147 P161:Q162 P164:Q164 P166:Q167 P172:Q172 P174:Q174 P176:Q176 P180:Q182 P184:Q184">
    <cfRule type="containsText" dxfId="2" priority="33517" operator="containsText" text="Yes">
      <formula>NOT(ISERROR(SEARCH(("Yes"),(P142))))</formula>
    </cfRule>
  </conditionalFormatting>
  <conditionalFormatting sqref="P142:Q143 P146:Q147 P161:Q162 P164:Q164 P166:Q167 P172:Q172 P174:Q174 P176:Q176 P180:Q182 P184:Q184">
    <cfRule type="containsText" dxfId="2" priority="33518" operator="containsText" text="Yes">
      <formula>NOT(ISERROR(SEARCH(("Yes"),(P142))))</formula>
    </cfRule>
  </conditionalFormatting>
  <conditionalFormatting sqref="P142:Q143 P146:Q147 P161:Q162 P164:Q164 P166:Q167 P172:Q172 P174:Q174 P176:Q176 P180:Q182 P184:Q184">
    <cfRule type="containsText" dxfId="2" priority="33519" operator="containsText" text="Yes">
      <formula>NOT(ISERROR(SEARCH(("Yes"),(P142))))</formula>
    </cfRule>
  </conditionalFormatting>
  <conditionalFormatting sqref="P142:Q143 P146:Q147 P161:Q162 P164:Q164 P166:Q167 P172:Q172 P174:Q174 P176:Q176 P180:Q182 P184:Q184">
    <cfRule type="containsText" dxfId="2" priority="33520" operator="containsText" text="Yes">
      <formula>NOT(ISERROR(SEARCH(("Yes"),(P142))))</formula>
    </cfRule>
  </conditionalFormatting>
  <conditionalFormatting sqref="P142:Q143 P146:Q147 P161:Q162 P164:Q164 P166:Q167 P172:Q172 P174:Q174 P176:Q176 P180:Q182 P184:Q184">
    <cfRule type="containsText" dxfId="2" priority="33521" operator="containsText" text="Yes">
      <formula>NOT(ISERROR(SEARCH(("Yes"),(P142))))</formula>
    </cfRule>
  </conditionalFormatting>
  <conditionalFormatting sqref="P142:Q143 P146:Q147 P161:Q162 P164:Q164 P166:Q167 P172:Q172 P174:Q174 P176:Q176 P180:Q182 P184:Q184">
    <cfRule type="containsText" dxfId="2" priority="33522" operator="containsText" text="Yes">
      <formula>NOT(ISERROR(SEARCH(("Yes"),(P142))))</formula>
    </cfRule>
  </conditionalFormatting>
  <conditionalFormatting sqref="P142:Q143 P146:Q147 P161:Q162 P164:Q164 P166:Q167 P172:Q172 P174:Q174 P176:Q176 P180:Q182 P184:Q184">
    <cfRule type="containsText" dxfId="2" priority="33523" operator="containsText" text="Yes">
      <formula>NOT(ISERROR(SEARCH(("Yes"),(P142))))</formula>
    </cfRule>
  </conditionalFormatting>
  <conditionalFormatting sqref="P142:Q143 P146:Q147 P161:Q162 P164:Q164 P166:Q167 P172:Q172 P174:Q174 P176:Q176 P180:Q182 P184:Q184">
    <cfRule type="containsText" dxfId="2" priority="33524" operator="containsText" text="Yes">
      <formula>NOT(ISERROR(SEARCH(("Yes"),(P142))))</formula>
    </cfRule>
  </conditionalFormatting>
  <conditionalFormatting sqref="P142:Q143 P146:Q147 P161:Q162 P164:Q164 P166:Q167 P172:Q172 P174:Q174 P176:Q176 P180:Q182 P184:Q184">
    <cfRule type="containsText" dxfId="2" priority="33525" operator="containsText" text="Yes">
      <formula>NOT(ISERROR(SEARCH(("Yes"),(P142))))</formula>
    </cfRule>
  </conditionalFormatting>
  <conditionalFormatting sqref="P142:Q143 P146:Q147 P161:Q162 P164:Q164 P166:Q167 P172:Q172 P174:Q174 P176:Q176 P180:Q182 P184:Q184">
    <cfRule type="containsText" dxfId="2" priority="33526" operator="containsText" text="Yes">
      <formula>NOT(ISERROR(SEARCH(("Yes"),(P142))))</formula>
    </cfRule>
  </conditionalFormatting>
  <conditionalFormatting sqref="P142:Q143 P146:Q147 P161:Q162 P164:Q164 P166:Q167 P172:Q172 P174:Q174 P176:Q176 P180:Q182 P184:Q184">
    <cfRule type="containsText" dxfId="2" priority="33527" operator="containsText" text="Yes">
      <formula>NOT(ISERROR(SEARCH(("Yes"),(P142))))</formula>
    </cfRule>
  </conditionalFormatting>
  <conditionalFormatting sqref="P142:Q143 P146:Q147 P161:Q162 P164:Q164 P166:Q167 P172:Q172 P174:Q174 P176:Q176 P180:Q182 P184:Q184">
    <cfRule type="containsText" dxfId="2" priority="33528" operator="containsText" text="Yes">
      <formula>NOT(ISERROR(SEARCH(("Yes"),(P142))))</formula>
    </cfRule>
  </conditionalFormatting>
  <conditionalFormatting sqref="P142:Q143 P146:Q147 P161:Q162 P164:Q164 P166:Q167 P172:Q172 P174:Q174 P176:Q176 P180:Q182 P184:Q184">
    <cfRule type="containsText" dxfId="2" priority="33529" operator="containsText" text="Yes">
      <formula>NOT(ISERROR(SEARCH(("Yes"),(P142))))</formula>
    </cfRule>
  </conditionalFormatting>
  <conditionalFormatting sqref="P142:Q143 P146:Q147 P161:Q162 P164:Q164 P166:Q167 P172:Q172 P174:Q174 P176:Q176 P180:Q182 P184:Q184">
    <cfRule type="containsText" dxfId="2" priority="33530" operator="containsText" text="Yes">
      <formula>NOT(ISERROR(SEARCH(("Yes"),(P142))))</formula>
    </cfRule>
  </conditionalFormatting>
  <conditionalFormatting sqref="P142:Q143 P146:Q147 P161:Q162 P164:Q164 P166:Q167 P172:Q172 P174:Q174 P176:Q176 P180:Q182 P184:Q184">
    <cfRule type="containsText" dxfId="2" priority="33531" operator="containsText" text="Yes">
      <formula>NOT(ISERROR(SEARCH(("Yes"),(P142))))</formula>
    </cfRule>
  </conditionalFormatting>
  <conditionalFormatting sqref="P142:Q143 P146:Q147 P161:Q162 P164:Q164 P166:Q167 P172:Q172 P174:Q174 P176:Q176 P180:Q182 P184:Q184">
    <cfRule type="containsText" dxfId="2" priority="33532" operator="containsText" text="Yes">
      <formula>NOT(ISERROR(SEARCH(("Yes"),(P142))))</formula>
    </cfRule>
  </conditionalFormatting>
  <conditionalFormatting sqref="P142:Q143 P146:Q147 P161:Q162 P164:Q164 P166:Q167 P172:Q172 P174:Q174 P176:Q176 P180:Q182 P184:Q184">
    <cfRule type="containsText" dxfId="2" priority="33533" operator="containsText" text="Yes">
      <formula>NOT(ISERROR(SEARCH(("Yes"),(P142))))</formula>
    </cfRule>
  </conditionalFormatting>
  <conditionalFormatting sqref="P142:Q143 P146:Q147 P161:Q162 P164:Q164 P166:Q167 P172:Q172 P174:Q174 P176:Q176 P180:Q182 P184:Q184">
    <cfRule type="containsText" dxfId="2" priority="33534" operator="containsText" text="Yes">
      <formula>NOT(ISERROR(SEARCH(("Yes"),(P142))))</formula>
    </cfRule>
  </conditionalFormatting>
  <conditionalFormatting sqref="P142:Q143 P146:Q147 P161:Q162 P164:Q164 P166:Q167 P172:Q172 P174:Q174 P176:Q176 P180:Q182 P184:Q184">
    <cfRule type="containsText" dxfId="2" priority="33535" operator="containsText" text="Yes">
      <formula>NOT(ISERROR(SEARCH(("Yes"),(P142))))</formula>
    </cfRule>
  </conditionalFormatting>
  <conditionalFormatting sqref="P142:Q143 P146:Q147 P161:Q162 P164:Q164 P166:Q167 P172:Q172 P174:Q174 P176:Q176 P180:Q182 P184:Q184">
    <cfRule type="containsText" dxfId="2" priority="33536" operator="containsText" text="Yes">
      <formula>NOT(ISERROR(SEARCH(("Yes"),(P142))))</formula>
    </cfRule>
  </conditionalFormatting>
  <conditionalFormatting sqref="P142:Q143 P146:Q147 P161:Q162 P164:Q164 P166:Q167 P172:Q172 P174:Q174 P176:Q176 P180:Q182 P184:Q184">
    <cfRule type="containsText" dxfId="2" priority="33537" operator="containsText" text="Yes">
      <formula>NOT(ISERROR(SEARCH(("Yes"),(P142))))</formula>
    </cfRule>
  </conditionalFormatting>
  <conditionalFormatting sqref="P142:Q143 P146:Q147 P161:Q162 P164:Q164 P166:Q167 P172:Q172 P174:Q174 P176:Q176 P180:Q182 P184:Q184">
    <cfRule type="containsText" dxfId="2" priority="33538" operator="containsText" text="Yes">
      <formula>NOT(ISERROR(SEARCH(("Yes"),(P142))))</formula>
    </cfRule>
  </conditionalFormatting>
  <conditionalFormatting sqref="P142:Q143 P146:Q147 P161:Q162 P164:Q164 P166:Q167 P172:Q172 P174:Q174 P176:Q176 P180:Q182 P184:Q184">
    <cfRule type="containsText" dxfId="2" priority="33539" operator="containsText" text="Yes">
      <formula>NOT(ISERROR(SEARCH(("Yes"),(P142))))</formula>
    </cfRule>
  </conditionalFormatting>
  <conditionalFormatting sqref="P142:Q143 P146:Q147 P161:Q162 P164:Q164 P166:Q167 P172:Q172 P174:Q174 P176:Q176 P180:Q182 P184:Q184">
    <cfRule type="containsText" dxfId="2" priority="33540" operator="containsText" text="Yes">
      <formula>NOT(ISERROR(SEARCH(("Yes"),(P142))))</formula>
    </cfRule>
  </conditionalFormatting>
  <conditionalFormatting sqref="P142:Q143 P146:Q147 P161:Q162 P164:Q164 P166:Q167 P172:Q172 P174:Q174 P176:Q176 P180:Q182 P184:Q184">
    <cfRule type="containsText" dxfId="2" priority="33541" operator="containsText" text="Yes">
      <formula>NOT(ISERROR(SEARCH(("Yes"),(P142))))</formula>
    </cfRule>
  </conditionalFormatting>
  <conditionalFormatting sqref="P142:Q143 P146:Q147 P161:Q162 P164:Q164 P166:Q167 P172:Q172 P174:Q174 P176:Q176 P180:Q182 P184:Q184">
    <cfRule type="containsText" dxfId="2" priority="33542" operator="containsText" text="Yes">
      <formula>NOT(ISERROR(SEARCH(("Yes"),(P142))))</formula>
    </cfRule>
  </conditionalFormatting>
  <conditionalFormatting sqref="P142:Q143 P146:Q147 P161:Q162 P164:Q164 P166:Q167 P172:Q172 P174:Q174 P176:Q176 P180:Q182 P184:Q184">
    <cfRule type="containsText" dxfId="2" priority="33543" operator="containsText" text="Yes">
      <formula>NOT(ISERROR(SEARCH(("Yes"),(P142))))</formula>
    </cfRule>
  </conditionalFormatting>
  <conditionalFormatting sqref="P142:Q143 P146:Q147 P161:Q162 P164:Q164 P166:Q167 P172:Q172 P174:Q174 P176:Q176 P180:Q182 P184:Q184">
    <cfRule type="containsText" dxfId="2" priority="33544" operator="containsText" text="Yes">
      <formula>NOT(ISERROR(SEARCH(("Yes"),(P142))))</formula>
    </cfRule>
  </conditionalFormatting>
  <conditionalFormatting sqref="P142:Q143 P146:Q147 P161:Q162 P164:Q164 P166:Q167 P172:Q172 P174:Q174 P176:Q176 P180:Q182 P184:Q184">
    <cfRule type="containsText" dxfId="2" priority="33545" operator="containsText" text="Yes">
      <formula>NOT(ISERROR(SEARCH(("Yes"),(P142))))</formula>
    </cfRule>
  </conditionalFormatting>
  <conditionalFormatting sqref="P142:Q143 P146:Q147 P161:Q162 P164:Q164 P166:Q167 P172:Q172 P174:Q174 P176:Q176 P180:Q182 P184:Q184">
    <cfRule type="containsText" dxfId="2" priority="33546" operator="containsText" text="Yes">
      <formula>NOT(ISERROR(SEARCH(("Yes"),(P142))))</formula>
    </cfRule>
  </conditionalFormatting>
  <conditionalFormatting sqref="P142:Q143 P146:Q147 P161:Q162 P164:Q164 P166:Q167 P172:Q172 P174:Q174 P176:Q176 P180:Q182 P184:Q184">
    <cfRule type="containsText" dxfId="2" priority="33547" operator="containsText" text="Yes">
      <formula>NOT(ISERROR(SEARCH(("Yes"),(P142))))</formula>
    </cfRule>
  </conditionalFormatting>
  <conditionalFormatting sqref="P142:Q143 P146:Q147 P161:Q162 P164:Q164 P166:Q167 P172:Q172 P174:Q174 P176:Q176 P180:Q182 P184:Q184">
    <cfRule type="containsText" dxfId="2" priority="33548" operator="containsText" text="Yes">
      <formula>NOT(ISERROR(SEARCH(("Yes"),(P142))))</formula>
    </cfRule>
  </conditionalFormatting>
  <conditionalFormatting sqref="P142:Q143 P146:Q147 P161:Q162 P164:Q164 P166:Q167 P172:Q172 P174:Q174 P176:Q176 P180:Q182 P184:Q184">
    <cfRule type="containsText" dxfId="2" priority="33549" operator="containsText" text="Yes">
      <formula>NOT(ISERROR(SEARCH(("Yes"),(P142))))</formula>
    </cfRule>
  </conditionalFormatting>
  <conditionalFormatting sqref="P142:Q143 P146:Q147 P161:Q162 P164:Q164 P166:Q167 P172:Q172 P174:Q174 P176:Q176 P180:Q182 P184:Q184">
    <cfRule type="containsText" dxfId="2" priority="33550" operator="containsText" text="Yes">
      <formula>NOT(ISERROR(SEARCH(("Yes"),(P142))))</formula>
    </cfRule>
  </conditionalFormatting>
  <conditionalFormatting sqref="P142:Q143 P146:Q147 P161:Q162 P164:Q164 P166:Q167 P172:Q172 P174:Q174 P176:Q176 P180:Q182 P184:Q184">
    <cfRule type="containsText" dxfId="2" priority="33551" operator="containsText" text="Yes">
      <formula>NOT(ISERROR(SEARCH(("Yes"),(P142))))</formula>
    </cfRule>
  </conditionalFormatting>
  <conditionalFormatting sqref="P143:Q143 P146:Q152 P154:Q154 P159:Q159 P161:Q162 P164:Q164 P166:Q167 P172:Q172 P174:Q174 P176:Q176 P180:Q182 P184:Q184">
    <cfRule type="containsText" dxfId="9" priority="33552" operator="containsText" text="No">
      <formula>NOT(ISERROR(SEARCH(("No"),(P143))))</formula>
    </cfRule>
  </conditionalFormatting>
  <conditionalFormatting sqref="P143:Q143 P146:Q152 P154:Q154 P159:Q159 P161:Q162 P164:Q164 P166:Q167 P172:Q172 P174:Q174 P176:Q176 P180:Q182 P184:Q184">
    <cfRule type="containsText" dxfId="9" priority="33553" operator="containsText" text="No">
      <formula>NOT(ISERROR(SEARCH(("No"),(P143))))</formula>
    </cfRule>
  </conditionalFormatting>
  <conditionalFormatting sqref="P143:Q143 P146:Q152 P154:Q154 P159:Q159 P161:Q162 P164:Q164 P166:Q167 P172:Q172 P174:Q174 P176:Q176 P180:Q182 P184:Q184">
    <cfRule type="containsText" dxfId="9" priority="33554" operator="containsText" text="No">
      <formula>NOT(ISERROR(SEARCH(("No"),(P143))))</formula>
    </cfRule>
  </conditionalFormatting>
  <conditionalFormatting sqref="P143:Q143 P146:Q152 P154:Q154 P159:Q159 P161:Q162 P164:Q164 P166:Q167 P172:Q172 P174:Q174 P176:Q176 P180:Q182 P184:Q184">
    <cfRule type="containsText" dxfId="9" priority="33555" operator="containsText" text="No">
      <formula>NOT(ISERROR(SEARCH(("No"),(P143))))</formula>
    </cfRule>
  </conditionalFormatting>
  <conditionalFormatting sqref="P143:Q143 P146:Q152 P154:Q154 P159:Q159 P161:Q162 P164:Q164 P166:Q167 P172:Q172 P174:Q174 P176:Q176 P180:Q182 P184:Q184">
    <cfRule type="containsText" dxfId="9" priority="33556" operator="containsText" text="No">
      <formula>NOT(ISERROR(SEARCH(("No"),(P143))))</formula>
    </cfRule>
  </conditionalFormatting>
  <conditionalFormatting sqref="P143:Q143 P146:Q152 P154:Q154 P159:Q159 P161:Q162 P164:Q164 P166:Q167 P172:Q172 P174:Q174 P176:Q176 P180:Q182 P184:Q184">
    <cfRule type="containsText" dxfId="9" priority="33557" operator="containsText" text="No">
      <formula>NOT(ISERROR(SEARCH(("No"),(P143))))</formula>
    </cfRule>
  </conditionalFormatting>
  <conditionalFormatting sqref="P143:Q143 P146:Q152 P154:Q154 P159:Q159 P161:Q162 P164:Q164 P166:Q167 P172:Q172 P174:Q174 P176:Q176 P180:Q182 P184:Q184">
    <cfRule type="containsText" dxfId="9" priority="33558" operator="containsText" text="No">
      <formula>NOT(ISERROR(SEARCH(("No"),(P143))))</formula>
    </cfRule>
  </conditionalFormatting>
  <conditionalFormatting sqref="P143:Q143 P146:Q152 P154:Q154 P159:Q159 P161:Q162 P164:Q164 P166:Q167 P172:Q172 P174:Q174 P176:Q176 P180:Q182 P184:Q184">
    <cfRule type="containsText" dxfId="9" priority="33559" operator="containsText" text="No">
      <formula>NOT(ISERROR(SEARCH(("No"),(P143))))</formula>
    </cfRule>
  </conditionalFormatting>
  <conditionalFormatting sqref="P143:Q143 P146:Q152 P154:Q154 P159:Q159 P161:Q162 P164:Q164 P166:Q167 P172:Q172 P174:Q174 P176:Q176 P180:Q182 P184:Q184">
    <cfRule type="containsText" dxfId="9" priority="33560" operator="containsText" text="No">
      <formula>NOT(ISERROR(SEARCH(("No"),(P143))))</formula>
    </cfRule>
  </conditionalFormatting>
  <conditionalFormatting sqref="P143:Q143 P146:Q152 P154:Q154 P159:Q159 P161:Q162 P164:Q164 P166:Q167 P172:Q172 P174:Q174 P176:Q176 P180:Q182 P184:Q184">
    <cfRule type="containsText" dxfId="9" priority="33561" operator="containsText" text="No">
      <formula>NOT(ISERROR(SEARCH(("No"),(P143))))</formula>
    </cfRule>
  </conditionalFormatting>
  <conditionalFormatting sqref="P143:Q143 P146:Q152 P154:Q154 P159:Q159 P161:Q162 P164:Q164 P166:Q167 P172:Q172 P174:Q174 P176:Q176 P180:Q182 P184:Q184">
    <cfRule type="containsText" dxfId="9" priority="33562" operator="containsText" text="No">
      <formula>NOT(ISERROR(SEARCH(("No"),(P143))))</formula>
    </cfRule>
  </conditionalFormatting>
  <conditionalFormatting sqref="P143:Q143 P146:Q152 P154:Q154 P159:Q159 P161:Q162 P164:Q164 P166:Q167 P172:Q172 P174:Q174 P176:Q176 P180:Q182 P184:Q184">
    <cfRule type="containsText" dxfId="9" priority="33563" operator="containsText" text="No">
      <formula>NOT(ISERROR(SEARCH(("No"),(P143))))</formula>
    </cfRule>
  </conditionalFormatting>
  <conditionalFormatting sqref="P143:Q143 P146:Q152 P154:Q154 P159:Q159 P161:Q162 P164:Q164 P166:Q167 P172:Q172 P174:Q174 P176:Q176 P180:Q182 P184:Q184">
    <cfRule type="containsText" dxfId="9" priority="33564" operator="containsText" text="No">
      <formula>NOT(ISERROR(SEARCH(("No"),(P143))))</formula>
    </cfRule>
  </conditionalFormatting>
  <conditionalFormatting sqref="P143:Q143 P146:Q152 P154:Q154 P159:Q159 P161:Q162 P164:Q164 P166:Q167 P172:Q172 P174:Q174 P176:Q176 P180:Q182 P184:Q184">
    <cfRule type="containsText" dxfId="9" priority="33565" operator="containsText" text="No">
      <formula>NOT(ISERROR(SEARCH(("No"),(P143))))</formula>
    </cfRule>
  </conditionalFormatting>
  <conditionalFormatting sqref="P143:Q143 P146:Q152 P154:Q154 P159:Q159 P161:Q162 P164:Q164 P166:Q167 P172:Q172 P174:Q174 P176:Q176 P180:Q182 P184:Q184">
    <cfRule type="containsText" dxfId="9" priority="33566" operator="containsText" text="No">
      <formula>NOT(ISERROR(SEARCH(("No"),(P143))))</formula>
    </cfRule>
  </conditionalFormatting>
  <conditionalFormatting sqref="P143:Q143 P146:Q152 P154:Q154 P159:Q159 P161:Q162 P164:Q164 P166:Q167 P172:Q172 P174:Q174 P176:Q176 P180:Q182 P184:Q184">
    <cfRule type="containsText" dxfId="9" priority="33567" operator="containsText" text="No">
      <formula>NOT(ISERROR(SEARCH(("No"),(P143))))</formula>
    </cfRule>
  </conditionalFormatting>
  <conditionalFormatting sqref="P143:Q143 P146:Q152 P154:Q154 P159:Q159 P161:Q162 P164:Q164 P166:Q167 P172:Q172 P174:Q174 P176:Q176 P180:Q182 P184:Q184">
    <cfRule type="containsText" dxfId="9" priority="33568" operator="containsText" text="No">
      <formula>NOT(ISERROR(SEARCH(("No"),(P143))))</formula>
    </cfRule>
  </conditionalFormatting>
  <conditionalFormatting sqref="P143:Q143 P146:Q152 P154:Q154 P159:Q159 P161:Q162 P164:Q164 P166:Q167 P172:Q172 P174:Q174 P176:Q176 P180:Q182 P184:Q184">
    <cfRule type="containsText" dxfId="9" priority="33569" operator="containsText" text="No">
      <formula>NOT(ISERROR(SEARCH(("No"),(P143))))</formula>
    </cfRule>
  </conditionalFormatting>
  <conditionalFormatting sqref="P143:Q143 P146:Q152 P154:Q154 P159:Q159 P161:Q162 P164:Q164 P166:Q167 P172:Q172 P174:Q174 P176:Q176 P180:Q182 P184:Q184">
    <cfRule type="containsText" dxfId="9" priority="33570" operator="containsText" text="No">
      <formula>NOT(ISERROR(SEARCH(("No"),(P143))))</formula>
    </cfRule>
  </conditionalFormatting>
  <conditionalFormatting sqref="P143:Q143 P146:Q152 P154:Q154 P159:Q159 P161:Q162 P164:Q164 P166:Q167 P172:Q172 P174:Q174 P176:Q176 P180:Q182 P184:Q184">
    <cfRule type="containsText" dxfId="9" priority="33571" operator="containsText" text="No">
      <formula>NOT(ISERROR(SEARCH(("No"),(P143))))</formula>
    </cfRule>
  </conditionalFormatting>
  <conditionalFormatting sqref="P143:Q143 P146:Q152 P154:Q154 P159:Q159 P161:Q162 P164:Q164 P166:Q167 P172:Q172 P174:Q174 P176:Q176 P180:Q182 P184:Q184">
    <cfRule type="containsText" dxfId="9" priority="33572" operator="containsText" text="No">
      <formula>NOT(ISERROR(SEARCH(("No"),(P143))))</formula>
    </cfRule>
  </conditionalFormatting>
  <conditionalFormatting sqref="P143:Q143 P146:Q152 P154:Q154 P159:Q159 P161:Q162 P164:Q164 P166:Q167 P172:Q172 P174:Q174 P176:Q176 P180:Q182 P184:Q184">
    <cfRule type="containsText" dxfId="9" priority="33573" operator="containsText" text="No">
      <formula>NOT(ISERROR(SEARCH(("No"),(P143))))</formula>
    </cfRule>
  </conditionalFormatting>
  <conditionalFormatting sqref="P143:Q143 P146:Q152 P154:Q154 P159:Q159 P161:Q162 P164:Q164 P166:Q167 P172:Q172 P174:Q174 P176:Q176 P180:Q182 P184:Q184">
    <cfRule type="containsText" dxfId="9" priority="33574" operator="containsText" text="No">
      <formula>NOT(ISERROR(SEARCH(("No"),(P143))))</formula>
    </cfRule>
  </conditionalFormatting>
  <conditionalFormatting sqref="P143:Q143 P146:Q152 P154:Q154 P159:Q159 P161:Q162 P164:Q164 P166:Q167 P172:Q172 P174:Q174 P176:Q176 P180:Q182 P184:Q184">
    <cfRule type="containsText" dxfId="9" priority="33575" operator="containsText" text="No">
      <formula>NOT(ISERROR(SEARCH(("No"),(P143))))</formula>
    </cfRule>
  </conditionalFormatting>
  <conditionalFormatting sqref="P143:Q143 P146:Q152 P154:Q154 P159:Q159 P161:Q162 P164:Q164 P166:Q167 P172:Q172 P174:Q174 P176:Q176 P180:Q182 P184:Q184">
    <cfRule type="containsText" dxfId="9" priority="33576" operator="containsText" text="No">
      <formula>NOT(ISERROR(SEARCH(("No"),(P143))))</formula>
    </cfRule>
  </conditionalFormatting>
  <conditionalFormatting sqref="P143:Q143 P146:Q152 P154:Q154 P159:Q159 P161:Q162 P164:Q164 P166:Q167 P172:Q172 P174:Q174 P176:Q176 P180:Q182 P184:Q184">
    <cfRule type="containsText" dxfId="9" priority="33577" operator="containsText" text="No">
      <formula>NOT(ISERROR(SEARCH(("No"),(P143))))</formula>
    </cfRule>
  </conditionalFormatting>
  <conditionalFormatting sqref="P143:Q143 P146:Q152 P154:Q154 P159:Q159 P161:Q162 P164:Q164 P166:Q167 P172:Q172 P174:Q174 P176:Q176 P180:Q182 P184:Q184">
    <cfRule type="containsText" dxfId="9" priority="33578" operator="containsText" text="No">
      <formula>NOT(ISERROR(SEARCH(("No"),(P143))))</formula>
    </cfRule>
  </conditionalFormatting>
  <conditionalFormatting sqref="P143:Q143 P146:Q152 P154:Q154 P159:Q159 P161:Q162 P164:Q164 P166:Q167 P172:Q172 P174:Q174 P176:Q176 P180:Q182 P184:Q184">
    <cfRule type="containsText" dxfId="9" priority="33579" operator="containsText" text="No">
      <formula>NOT(ISERROR(SEARCH(("No"),(P143))))</formula>
    </cfRule>
  </conditionalFormatting>
  <conditionalFormatting sqref="P143:Q143 P146:Q152 P154:Q154 P159:Q159 P161:Q162 P164:Q164 P166:Q167 P172:Q172 P174:Q174 P176:Q176 P180:Q182 P184:Q184">
    <cfRule type="containsText" dxfId="9" priority="33580" operator="containsText" text="No">
      <formula>NOT(ISERROR(SEARCH(("No"),(P143))))</formula>
    </cfRule>
  </conditionalFormatting>
  <conditionalFormatting sqref="P143:Q143 P146:Q152 P154:Q154 P159:Q159 P161:Q162 P164:Q164 P166:Q167 P172:Q172 P174:Q174 P176:Q176 P180:Q182 P184:Q184">
    <cfRule type="containsText" dxfId="9" priority="33581" operator="containsText" text="No">
      <formula>NOT(ISERROR(SEARCH(("No"),(P143))))</formula>
    </cfRule>
  </conditionalFormatting>
  <conditionalFormatting sqref="P143:Q143 P146:Q152 P154:Q154 P159:Q159 P161:Q162 P164:Q164 P166:Q167 P172:Q172 P174:Q174 P176:Q176 P180:Q182 P184:Q184">
    <cfRule type="containsText" dxfId="9" priority="33582" operator="containsText" text="No">
      <formula>NOT(ISERROR(SEARCH(("No"),(P143))))</formula>
    </cfRule>
  </conditionalFormatting>
  <conditionalFormatting sqref="P143:Q143 P146:Q152 P154:Q154 P159:Q159 P161:Q162 P164:Q164 P166:Q167 P172:Q172 P174:Q174 P176:Q176 P180:Q182 P184:Q184">
    <cfRule type="containsText" dxfId="9" priority="33583" operator="containsText" text="No">
      <formula>NOT(ISERROR(SEARCH(("No"),(P143))))</formula>
    </cfRule>
  </conditionalFormatting>
  <conditionalFormatting sqref="P143:Q143 P146:Q152 P154:Q154 P159:Q159 P161:Q162 P164:Q164 P166:Q167 P172:Q172 P174:Q174 P176:Q176 P180:Q182 P184:Q184">
    <cfRule type="containsText" dxfId="9" priority="33584" operator="containsText" text="No">
      <formula>NOT(ISERROR(SEARCH(("No"),(P143))))</formula>
    </cfRule>
  </conditionalFormatting>
  <conditionalFormatting sqref="P143:Q143 P146:Q152 P154:Q154 P159:Q159 P161:Q162 P164:Q164 P166:Q167 P172:Q172 P174:Q174 P176:Q176 P180:Q182 P184:Q184">
    <cfRule type="containsText" dxfId="9" priority="33585" operator="containsText" text="No">
      <formula>NOT(ISERROR(SEARCH(("No"),(P143))))</formula>
    </cfRule>
  </conditionalFormatting>
  <conditionalFormatting sqref="P143:Q143 P146:Q152 P154:Q154 P159:Q159 P161:Q162 P164:Q164 P166:Q167 P172:Q172 P174:Q174 P176:Q176 P180:Q182 P184:Q184">
    <cfRule type="containsText" dxfId="9" priority="33586" operator="containsText" text="No">
      <formula>NOT(ISERROR(SEARCH(("No"),(P143))))</formula>
    </cfRule>
  </conditionalFormatting>
  <conditionalFormatting sqref="P143:Q143 P146:Q152 P154:Q154 P159:Q159 P161:Q162 P164:Q164 P166:Q167 P172:Q172 P174:Q174 P176:Q176 P180:Q182 P184:Q184">
    <cfRule type="containsText" dxfId="9" priority="33587" operator="containsText" text="No">
      <formula>NOT(ISERROR(SEARCH(("No"),(P143))))</formula>
    </cfRule>
  </conditionalFormatting>
  <conditionalFormatting sqref="P143:Q143 P146:Q152 P154:Q154 P159:Q159 P161:Q162 P164:Q164 P166:Q167 P172:Q172 P174:Q174 P176:Q176 P180:Q182 P184:Q184">
    <cfRule type="containsText" dxfId="9" priority="33588" operator="containsText" text="No">
      <formula>NOT(ISERROR(SEARCH(("No"),(P143))))</formula>
    </cfRule>
  </conditionalFormatting>
  <conditionalFormatting sqref="P143:Q143 P146:Q152 P154:Q154 P159:Q159 P161:Q162 P164:Q164 P166:Q167 P172:Q172 P174:Q174 P176:Q176 P180:Q182 P184:Q184">
    <cfRule type="containsText" dxfId="9" priority="33589" operator="containsText" text="No">
      <formula>NOT(ISERROR(SEARCH(("No"),(P143))))</formula>
    </cfRule>
  </conditionalFormatting>
  <conditionalFormatting sqref="P143:Q143 P146:Q152 P154:Q154 P159:Q159 P161:Q162 P164:Q164 P166:Q167 P172:Q172 P174:Q174 P176:Q176 P180:Q182 P184:Q184">
    <cfRule type="containsText" dxfId="9" priority="33590" operator="containsText" text="No">
      <formula>NOT(ISERROR(SEARCH(("No"),(P143))))</formula>
    </cfRule>
  </conditionalFormatting>
  <conditionalFormatting sqref="P143:Q143 P146:Q152 P154:Q154 P159:Q159 P161:Q162 P164:Q164 P166:Q167 P172:Q172 P174:Q174 P176:Q176 P180:Q182 P184:Q184">
    <cfRule type="containsText" dxfId="9" priority="33591" operator="containsText" text="No">
      <formula>NOT(ISERROR(SEARCH(("No"),(P143))))</formula>
    </cfRule>
  </conditionalFormatting>
  <conditionalFormatting sqref="P143:Q143 P146:Q152 P154:Q154 P159:Q159 P161:Q162 P164:Q164 P166:Q167 P172:Q172 P174:Q174 P176:Q176 P180:Q182 P184:Q184">
    <cfRule type="containsText" dxfId="9" priority="33592" operator="containsText" text="No">
      <formula>NOT(ISERROR(SEARCH(("No"),(P143))))</formula>
    </cfRule>
  </conditionalFormatting>
  <conditionalFormatting sqref="P143:Q143 P146:Q152 P154:Q154 P159:Q159 P161:Q162 P164:Q164 P166:Q167 P172:Q172 P174:Q174 P176:Q176 P180:Q182 P184:Q184">
    <cfRule type="containsText" dxfId="9" priority="33593" operator="containsText" text="No">
      <formula>NOT(ISERROR(SEARCH(("No"),(P143))))</formula>
    </cfRule>
  </conditionalFormatting>
  <conditionalFormatting sqref="P143:Q143 P146:Q152 P154:Q154 P159:Q159 P161:Q162 P164:Q164 P166:Q167 P172:Q172 P174:Q174 P176:Q176 P180:Q182 P184:Q184">
    <cfRule type="containsText" dxfId="9" priority="33594" operator="containsText" text="No">
      <formula>NOT(ISERROR(SEARCH(("No"),(P143))))</formula>
    </cfRule>
  </conditionalFormatting>
  <conditionalFormatting sqref="P143:Q143 P146:Q152 P154:Q154 P159:Q159 P161:Q162 P164:Q164 P166:Q167 P172:Q172 P174:Q174 P176:Q176 P180:Q182 P184:Q184">
    <cfRule type="containsText" dxfId="9" priority="33595" operator="containsText" text="No">
      <formula>NOT(ISERROR(SEARCH(("No"),(P143))))</formula>
    </cfRule>
  </conditionalFormatting>
  <conditionalFormatting sqref="P143:Q143 P146:Q152 P154:Q154 P159:Q159 P161:Q162 P164:Q164 P166:Q167 P172:Q172 P174:Q174 P176:Q176 P180:Q182 P184:Q184">
    <cfRule type="containsText" dxfId="9" priority="33596" operator="containsText" text="No">
      <formula>NOT(ISERROR(SEARCH(("No"),(P143))))</formula>
    </cfRule>
  </conditionalFormatting>
  <conditionalFormatting sqref="P143:Q143 P146:Q152 P154:Q154 P159:Q159 P161:Q162 P164:Q164 P166:Q167 P172:Q172 P174:Q174 P176:Q176 P180:Q182 P184:Q184">
    <cfRule type="containsText" dxfId="2" priority="33597" operator="containsText" text="Yes">
      <formula>NOT(ISERROR(SEARCH(("Yes"),(P143))))</formula>
    </cfRule>
  </conditionalFormatting>
  <conditionalFormatting sqref="P143:Q143 P146:Q152 P154:Q154 P159:Q159 P161:Q162 P164:Q164 P166:Q167 P172:Q172 P174:Q174 P176:Q176 P180:Q182 P184:Q184">
    <cfRule type="containsText" dxfId="2" priority="33598" operator="containsText" text="Yes">
      <formula>NOT(ISERROR(SEARCH(("Yes"),(P143))))</formula>
    </cfRule>
  </conditionalFormatting>
  <conditionalFormatting sqref="P143:Q143 P146:Q152 P154:Q154 P159:Q159 P161:Q162 P164:Q164 P166:Q167 P172:Q172 P174:Q174 P176:Q176 P180:Q182 P184:Q184">
    <cfRule type="containsText" dxfId="2" priority="33599" operator="containsText" text="Yes">
      <formula>NOT(ISERROR(SEARCH(("Yes"),(P143))))</formula>
    </cfRule>
  </conditionalFormatting>
  <conditionalFormatting sqref="P143:Q143 P146:Q152 P154:Q154 P159:Q159 P161:Q162 P164:Q164 P166:Q167 P172:Q172 P174:Q174 P176:Q176 P180:Q182 P184:Q184">
    <cfRule type="containsText" dxfId="2" priority="33600" operator="containsText" text="Yes">
      <formula>NOT(ISERROR(SEARCH(("Yes"),(P143))))</formula>
    </cfRule>
  </conditionalFormatting>
  <conditionalFormatting sqref="P143:Q143 P146:Q152 P154:Q154 P159:Q159 P161:Q162 P164:Q164 P166:Q167 P172:Q172 P174:Q174 P176:Q176 P180:Q182 P184:Q184">
    <cfRule type="containsText" dxfId="2" priority="33601" operator="containsText" text="Yes">
      <formula>NOT(ISERROR(SEARCH(("Yes"),(P143))))</formula>
    </cfRule>
  </conditionalFormatting>
  <conditionalFormatting sqref="P143:Q143 P146:Q152 P154:Q154 P159:Q159 P161:Q162 P164:Q164 P166:Q167 P172:Q172 P174:Q174 P176:Q176 P180:Q182 P184:Q184">
    <cfRule type="containsText" dxfId="2" priority="33602" operator="containsText" text="Yes">
      <formula>NOT(ISERROR(SEARCH(("Yes"),(P143))))</formula>
    </cfRule>
  </conditionalFormatting>
  <conditionalFormatting sqref="P143:Q143 P146:Q152 P154:Q154 P159:Q159 P161:Q162 P164:Q164 P166:Q167 P172:Q172 P174:Q174 P176:Q176 P180:Q182 P184:Q184">
    <cfRule type="containsText" dxfId="2" priority="33603" operator="containsText" text="Yes">
      <formula>NOT(ISERROR(SEARCH(("Yes"),(P143))))</formula>
    </cfRule>
  </conditionalFormatting>
  <conditionalFormatting sqref="P143:Q143 P146:Q152 P154:Q154 P159:Q159 P161:Q162 P164:Q164 P166:Q167 P172:Q172 P174:Q174 P176:Q176 P180:Q182 P184:Q184">
    <cfRule type="containsText" dxfId="2" priority="33604" operator="containsText" text="Yes">
      <formula>NOT(ISERROR(SEARCH(("Yes"),(P143))))</formula>
    </cfRule>
  </conditionalFormatting>
  <conditionalFormatting sqref="P143:Q143 P146:Q152 P154:Q154 P159:Q159 P161:Q162 P164:Q164 P166:Q167 P172:Q172 P174:Q174 P176:Q176 P180:Q182 P184:Q184">
    <cfRule type="containsText" dxfId="2" priority="33605" operator="containsText" text="Yes">
      <formula>NOT(ISERROR(SEARCH(("Yes"),(P143))))</formula>
    </cfRule>
  </conditionalFormatting>
  <conditionalFormatting sqref="P143:Q143 P146:Q152 P154:Q154 P159:Q159 P161:Q162 P164:Q164 P166:Q167 P172:Q172 P174:Q174 P176:Q176 P180:Q182 P184:Q184">
    <cfRule type="containsText" dxfId="2" priority="33606" operator="containsText" text="Yes">
      <formula>NOT(ISERROR(SEARCH(("Yes"),(P143))))</formula>
    </cfRule>
  </conditionalFormatting>
  <conditionalFormatting sqref="P143:Q143 P146:Q152 P154:Q154 P159:Q159 P161:Q162 P164:Q164 P166:Q167 P172:Q172 P174:Q174 P176:Q176 P180:Q182 P184:Q184">
    <cfRule type="containsText" dxfId="2" priority="33607" operator="containsText" text="Yes">
      <formula>NOT(ISERROR(SEARCH(("Yes"),(P143))))</formula>
    </cfRule>
  </conditionalFormatting>
  <conditionalFormatting sqref="P143:Q143 P146:Q152 P154:Q154 P159:Q159 P161:Q162 P164:Q164 P166:Q167 P172:Q172 P174:Q174 P176:Q176 P180:Q182 P184:Q184">
    <cfRule type="containsText" dxfId="2" priority="33608" operator="containsText" text="Yes">
      <formula>NOT(ISERROR(SEARCH(("Yes"),(P143))))</formula>
    </cfRule>
  </conditionalFormatting>
  <conditionalFormatting sqref="P143:Q143 P146:Q152 P154:Q154 P159:Q159 P161:Q162 P164:Q164 P166:Q167 P172:Q172 P174:Q174 P176:Q176 P180:Q182 P184:Q184">
    <cfRule type="containsText" dxfId="2" priority="33609" operator="containsText" text="Yes">
      <formula>NOT(ISERROR(SEARCH(("Yes"),(P143))))</formula>
    </cfRule>
  </conditionalFormatting>
  <conditionalFormatting sqref="P143:Q143 P146:Q152 P154:Q154 P159:Q159 P161:Q162 P164:Q164 P166:Q167 P172:Q172 P174:Q174 P176:Q176 P180:Q182 P184:Q184">
    <cfRule type="containsText" dxfId="2" priority="33610" operator="containsText" text="Yes">
      <formula>NOT(ISERROR(SEARCH(("Yes"),(P143))))</formula>
    </cfRule>
  </conditionalFormatting>
  <conditionalFormatting sqref="P143:Q143 P146:Q152 P154:Q154 P159:Q159 P161:Q162 P164:Q164 P166:Q167 P172:Q172 P174:Q174 P176:Q176 P180:Q182 P184:Q184">
    <cfRule type="containsText" dxfId="2" priority="33611" operator="containsText" text="Yes">
      <formula>NOT(ISERROR(SEARCH(("Yes"),(P143))))</formula>
    </cfRule>
  </conditionalFormatting>
  <conditionalFormatting sqref="P143:Q143 P146:Q152 P154:Q154 P159:Q159 P161:Q162 P164:Q164 P166:Q167 P172:Q172 P174:Q174 P176:Q176 P180:Q182 P184:Q184">
    <cfRule type="containsText" dxfId="2" priority="33612" operator="containsText" text="Yes">
      <formula>NOT(ISERROR(SEARCH(("Yes"),(P143))))</formula>
    </cfRule>
  </conditionalFormatting>
  <conditionalFormatting sqref="P143:Q143 P146:Q152 P154:Q154 P159:Q159 P161:Q162 P164:Q164 P166:Q167 P172:Q172 P174:Q174 P176:Q176 P180:Q182 P184:Q184">
    <cfRule type="containsText" dxfId="2" priority="33613" operator="containsText" text="Yes">
      <formula>NOT(ISERROR(SEARCH(("Yes"),(P143))))</formula>
    </cfRule>
  </conditionalFormatting>
  <conditionalFormatting sqref="P143:Q143 P146:Q152 P154:Q154 P159:Q159 P161:Q162 P164:Q164 P166:Q167 P172:Q172 P174:Q174 P176:Q176 P180:Q182 P184:Q184">
    <cfRule type="containsText" dxfId="2" priority="33614" operator="containsText" text="Yes">
      <formula>NOT(ISERROR(SEARCH(("Yes"),(P143))))</formula>
    </cfRule>
  </conditionalFormatting>
  <conditionalFormatting sqref="P143:Q143 P146:Q152 P154:Q154 P159:Q159 P161:Q162 P164:Q164 P166:Q167 P172:Q172 P174:Q174 P176:Q176 P180:Q182 P184:Q184">
    <cfRule type="containsText" dxfId="2" priority="33615" operator="containsText" text="Yes">
      <formula>NOT(ISERROR(SEARCH(("Yes"),(P143))))</formula>
    </cfRule>
  </conditionalFormatting>
  <conditionalFormatting sqref="P143:Q143 P146:Q152 P154:Q154 P159:Q159 P161:Q162 P164:Q164 P166:Q167 P172:Q172 P174:Q174 P176:Q176 P180:Q182 P184:Q184">
    <cfRule type="containsText" dxfId="2" priority="33616" operator="containsText" text="Yes">
      <formula>NOT(ISERROR(SEARCH(("Yes"),(P143))))</formula>
    </cfRule>
  </conditionalFormatting>
  <conditionalFormatting sqref="P143:Q143 P146:Q152 P154:Q154 P159:Q159 P161:Q162 P164:Q164 P166:Q167 P172:Q172 P174:Q174 P176:Q176 P180:Q182 P184:Q184">
    <cfRule type="containsText" dxfId="2" priority="33617" operator="containsText" text="Yes">
      <formula>NOT(ISERROR(SEARCH(("Yes"),(P143))))</formula>
    </cfRule>
  </conditionalFormatting>
  <conditionalFormatting sqref="P143:Q143 P146:Q152 P154:Q154 P159:Q159 P161:Q162 P164:Q164 P166:Q167 P172:Q172 P174:Q174 P176:Q176 P180:Q182 P184:Q184">
    <cfRule type="containsText" dxfId="2" priority="33618" operator="containsText" text="Yes">
      <formula>NOT(ISERROR(SEARCH(("Yes"),(P143))))</formula>
    </cfRule>
  </conditionalFormatting>
  <conditionalFormatting sqref="P143:Q143 P146:Q152 P154:Q154 P159:Q159 P161:Q162 P164:Q164 P166:Q167 P172:Q172 P174:Q174 P176:Q176 P180:Q182 P184:Q184">
    <cfRule type="containsText" dxfId="2" priority="33619" operator="containsText" text="Yes">
      <formula>NOT(ISERROR(SEARCH(("Yes"),(P143))))</formula>
    </cfRule>
  </conditionalFormatting>
  <conditionalFormatting sqref="P143:Q143 P146:Q152 P154:Q154 P159:Q159 P161:Q162 P164:Q164 P166:Q167 P172:Q172 P174:Q174 P176:Q176 P180:Q182 P184:Q184">
    <cfRule type="containsText" dxfId="2" priority="33620" operator="containsText" text="Yes">
      <formula>NOT(ISERROR(SEARCH(("Yes"),(P143))))</formula>
    </cfRule>
  </conditionalFormatting>
  <conditionalFormatting sqref="P143:Q143 P146:Q152 P154:Q154 P159:Q159 P161:Q162 P164:Q164 P166:Q167 P172:Q172 P174:Q174 P176:Q176 P180:Q182 P184:Q184">
    <cfRule type="containsText" dxfId="2" priority="33621" operator="containsText" text="Yes">
      <formula>NOT(ISERROR(SEARCH(("Yes"),(P143))))</formula>
    </cfRule>
  </conditionalFormatting>
  <conditionalFormatting sqref="P143:Q143 P146:Q152 P154:Q154 P159:Q159 P161:Q162 P164:Q164 P166:Q167 P172:Q172 P174:Q174 P176:Q176 P180:Q182 P184:Q184">
    <cfRule type="containsText" dxfId="2" priority="33622" operator="containsText" text="Yes">
      <formula>NOT(ISERROR(SEARCH(("Yes"),(P143))))</formula>
    </cfRule>
  </conditionalFormatting>
  <conditionalFormatting sqref="P143:Q143 P146:Q152 P154:Q154 P159:Q159 P161:Q162 P164:Q164 P166:Q167 P172:Q172 P174:Q174 P176:Q176 P180:Q182 P184:Q184">
    <cfRule type="containsText" dxfId="2" priority="33623" operator="containsText" text="Yes">
      <formula>NOT(ISERROR(SEARCH(("Yes"),(P143))))</formula>
    </cfRule>
  </conditionalFormatting>
  <conditionalFormatting sqref="P143:Q143 P146:Q152 P154:Q154 P159:Q159 P161:Q162 P164:Q164 P166:Q167 P172:Q172 P174:Q174 P176:Q176 P180:Q182 P184:Q184">
    <cfRule type="containsText" dxfId="2" priority="33624" operator="containsText" text="Yes">
      <formula>NOT(ISERROR(SEARCH(("Yes"),(P143))))</formula>
    </cfRule>
  </conditionalFormatting>
  <conditionalFormatting sqref="P143:Q143 P146:Q152 P154:Q154 P159:Q159 P161:Q162 P164:Q164 P166:Q167 P172:Q172 P174:Q174 P176:Q176 P180:Q182 P184:Q184">
    <cfRule type="containsText" dxfId="2" priority="33625" operator="containsText" text="Yes">
      <formula>NOT(ISERROR(SEARCH(("Yes"),(P143))))</formula>
    </cfRule>
  </conditionalFormatting>
  <conditionalFormatting sqref="P143:Q143 P146:Q152 P154:Q154 P159:Q159 P161:Q162 P164:Q164 P166:Q167 P172:Q172 P174:Q174 P176:Q176 P180:Q182 P184:Q184">
    <cfRule type="containsText" dxfId="2" priority="33626" operator="containsText" text="Yes">
      <formula>NOT(ISERROR(SEARCH(("Yes"),(P143))))</formula>
    </cfRule>
  </conditionalFormatting>
  <conditionalFormatting sqref="P143:Q143 P146:Q152 P154:Q154 P159:Q159 P161:Q162 P164:Q164 P166:Q167 P172:Q172 P174:Q174 P176:Q176 P180:Q182 P184:Q184">
    <cfRule type="containsText" dxfId="2" priority="33627" operator="containsText" text="Yes">
      <formula>NOT(ISERROR(SEARCH(("Yes"),(P143))))</formula>
    </cfRule>
  </conditionalFormatting>
  <conditionalFormatting sqref="P143:Q143 P146:Q152 P154:Q154 P159:Q159 P161:Q162 P164:Q164 P166:Q167 P172:Q172 P174:Q174 P176:Q176 P180:Q182 P184:Q184">
    <cfRule type="containsText" dxfId="2" priority="33628" operator="containsText" text="Yes">
      <formula>NOT(ISERROR(SEARCH(("Yes"),(P143))))</formula>
    </cfRule>
  </conditionalFormatting>
  <conditionalFormatting sqref="P143:Q143 P146:Q152 P154:Q154 P159:Q159 P161:Q162 P164:Q164 P166:Q167 P172:Q172 P174:Q174 P176:Q176 P180:Q182 P184:Q184">
    <cfRule type="containsText" dxfId="2" priority="33629" operator="containsText" text="Yes">
      <formula>NOT(ISERROR(SEARCH(("Yes"),(P143))))</formula>
    </cfRule>
  </conditionalFormatting>
  <conditionalFormatting sqref="P143:Q143 P146:Q152 P154:Q154 P159:Q159 P161:Q162 P164:Q164 P166:Q167 P172:Q172 P174:Q174 P176:Q176 P180:Q182 P184:Q184">
    <cfRule type="containsText" dxfId="2" priority="33630" operator="containsText" text="Yes">
      <formula>NOT(ISERROR(SEARCH(("Yes"),(P143))))</formula>
    </cfRule>
  </conditionalFormatting>
  <conditionalFormatting sqref="P143:Q143 P146:Q152 P154:Q154 P159:Q159 P161:Q162 P164:Q164 P166:Q167 P172:Q172 P174:Q174 P176:Q176 P180:Q182 P184:Q184">
    <cfRule type="containsText" dxfId="2" priority="33631" operator="containsText" text="Yes">
      <formula>NOT(ISERROR(SEARCH(("Yes"),(P143))))</formula>
    </cfRule>
  </conditionalFormatting>
  <conditionalFormatting sqref="P143:Q143 P146:Q152 P154:Q154 P159:Q159 P161:Q162 P164:Q164 P166:Q167 P172:Q172 P174:Q174 P176:Q176 P180:Q182 P184:Q184">
    <cfRule type="containsText" dxfId="2" priority="33632" operator="containsText" text="Yes">
      <formula>NOT(ISERROR(SEARCH(("Yes"),(P143))))</formula>
    </cfRule>
  </conditionalFormatting>
  <conditionalFormatting sqref="P143:Q143 P146:Q152 P154:Q154 P159:Q159 P161:Q162 P164:Q164 P166:Q167 P172:Q172 P174:Q174 P176:Q176 P180:Q182 P184:Q184">
    <cfRule type="containsText" dxfId="2" priority="33633" operator="containsText" text="Yes">
      <formula>NOT(ISERROR(SEARCH(("Yes"),(P143))))</formula>
    </cfRule>
  </conditionalFormatting>
  <conditionalFormatting sqref="P143:Q143 P146:Q152 P154:Q154 P159:Q159 P161:Q162 P164:Q164 P166:Q167 P172:Q172 P174:Q174 P176:Q176 P180:Q182 P184:Q184">
    <cfRule type="containsText" dxfId="2" priority="33634" operator="containsText" text="Yes">
      <formula>NOT(ISERROR(SEARCH(("Yes"),(P143))))</formula>
    </cfRule>
  </conditionalFormatting>
  <conditionalFormatting sqref="P143:Q143 P146:Q152 P154:Q154 P159:Q159 P161:Q162 P164:Q164 P166:Q167 P172:Q172 P174:Q174 P176:Q176 P180:Q182 P184:Q184">
    <cfRule type="containsText" dxfId="2" priority="33635" operator="containsText" text="Yes">
      <formula>NOT(ISERROR(SEARCH(("Yes"),(P143))))</formula>
    </cfRule>
  </conditionalFormatting>
  <conditionalFormatting sqref="P143:Q143 P146:Q152 P154:Q154 P159:Q159 P161:Q162 P164:Q164 P166:Q167 P172:Q172 P174:Q174 P176:Q176 P180:Q182 P184:Q184">
    <cfRule type="containsText" dxfId="2" priority="33636" operator="containsText" text="Yes">
      <formula>NOT(ISERROR(SEARCH(("Yes"),(P143))))</formula>
    </cfRule>
  </conditionalFormatting>
  <conditionalFormatting sqref="P143:Q143 P146:Q152 P154:Q154 P159:Q159 P161:Q162 P164:Q164 P166:Q167 P172:Q172 P174:Q174 P176:Q176 P180:Q182 P184:Q184">
    <cfRule type="containsText" dxfId="2" priority="33637" operator="containsText" text="Yes">
      <formula>NOT(ISERROR(SEARCH(("Yes"),(P143))))</formula>
    </cfRule>
  </conditionalFormatting>
  <conditionalFormatting sqref="P143:Q143 P146:Q152 P154:Q154 P159:Q159 P161:Q162 P164:Q164 P166:Q167 P172:Q172 P174:Q174 P176:Q176 P180:Q182 P184:Q184">
    <cfRule type="containsText" dxfId="2" priority="33638" operator="containsText" text="Yes">
      <formula>NOT(ISERROR(SEARCH(("Yes"),(P143))))</formula>
    </cfRule>
  </conditionalFormatting>
  <conditionalFormatting sqref="P143:Q143 P146:Q152 P154:Q154 P159:Q159 P161:Q162 P164:Q164 P166:Q167 P172:Q172 P174:Q174 P176:Q176 P180:Q182 P184:Q184">
    <cfRule type="containsText" dxfId="2" priority="33639" operator="containsText" text="Yes">
      <formula>NOT(ISERROR(SEARCH(("Yes"),(P143))))</formula>
    </cfRule>
  </conditionalFormatting>
  <conditionalFormatting sqref="P143:Q143 P146:Q152 P154:Q154 P159:Q159 P161:Q162 P164:Q164 P166:Q167 P172:Q172 P174:Q174 P176:Q176 P180:Q182 P184:Q184">
    <cfRule type="containsText" dxfId="2" priority="33640" operator="containsText" text="Yes">
      <formula>NOT(ISERROR(SEARCH(("Yes"),(P143))))</formula>
    </cfRule>
  </conditionalFormatting>
  <conditionalFormatting sqref="P143:Q143 P146:Q152 P154:Q154 P159:Q159 P161:Q162 P164:Q164 P166:Q167 P172:Q172 P174:Q174 P176:Q176 P180:Q182 P184:Q184">
    <cfRule type="containsText" dxfId="2" priority="33641" operator="containsText" text="Yes">
      <formula>NOT(ISERROR(SEARCH(("Yes"),(P143))))</formula>
    </cfRule>
  </conditionalFormatting>
  <conditionalFormatting sqref="P143:Q143 P146:Q152 P154:Q154 P159:Q159 P161:Q162 P164:Q164 P166:Q167 P172:Q172 P174:Q174 P176:Q176 P180:Q182 P184:Q184">
    <cfRule type="containsText" dxfId="2" priority="33642" operator="containsText" text="Yes">
      <formula>NOT(ISERROR(SEARCH(("Yes"),(P143))))</formula>
    </cfRule>
  </conditionalFormatting>
  <conditionalFormatting sqref="P143:Q143 P146:Q152 P154:Q154 P159:Q159 P161:Q162 P164:Q164 P166:Q167 P172:Q172 P174:Q174 P176:Q176 P180:Q182 P184:Q184">
    <cfRule type="containsText" dxfId="2" priority="33643" operator="containsText" text="Yes">
      <formula>NOT(ISERROR(SEARCH(("Yes"),(P143))))</formula>
    </cfRule>
  </conditionalFormatting>
  <conditionalFormatting sqref="N144:N152 O150 N154 N159 O174:O226 N184 N187:N216 N222:N226 N228:O252 N254:O256 N258:O264 N267:O269 N272:O273 N275:O275">
    <cfRule type="containsText" dxfId="9" priority="33644" operator="containsText" text="No">
      <formula>NOT(ISERROR(SEARCH(("No"),(N144))))</formula>
    </cfRule>
  </conditionalFormatting>
  <conditionalFormatting sqref="N144:N152 O150 N154 N159 O174:O226 N184 N187:N216 N222:N226 N228:O252 N254:O256 N258:O264 N267:O269 N272:O273 N275:O275">
    <cfRule type="containsText" dxfId="9" priority="33645" operator="containsText" text="No">
      <formula>NOT(ISERROR(SEARCH(("No"),(N144))))</formula>
    </cfRule>
  </conditionalFormatting>
  <conditionalFormatting sqref="N144:N152 O150 N154 N159 O174:O226 N184 N187:N216 N222:N226 N228:O252 N254:O256 N258:O264 N267:O269 N272:O273 N275:O275">
    <cfRule type="containsText" dxfId="9" priority="33646" operator="containsText" text="No">
      <formula>NOT(ISERROR(SEARCH(("No"),(N144))))</formula>
    </cfRule>
  </conditionalFormatting>
  <conditionalFormatting sqref="N144:N152 O150 N154 N159 O174:O226 N184 N187:N216 N222:N226 N228:O252 N254:O256 N258:O264 N267:O269 N272:O273 N275:O275">
    <cfRule type="containsText" dxfId="2" priority="33647" operator="containsText" text="Yes">
      <formula>NOT(ISERROR(SEARCH(("Yes"),(N144))))</formula>
    </cfRule>
  </conditionalFormatting>
  <conditionalFormatting sqref="N144:N152 O150 N154 N159 O174:O226 N184 N187:N216 N222:N226 N228:O252 N254:O256 N258:O264 N267:O269 N272:O273 N275:O275">
    <cfRule type="containsText" dxfId="2" priority="33648" operator="containsText" text="Yes">
      <formula>NOT(ISERROR(SEARCH(("Yes"),(N144))))</formula>
    </cfRule>
  </conditionalFormatting>
  <conditionalFormatting sqref="N144:N152 O150 N154 N159 O174:O226 N184 N187:N216 N222:N226 N228:O252 N254:O256 N258:O264 N267:O269 N272:O273 N275:O275">
    <cfRule type="containsText" dxfId="2" priority="33649" operator="containsText" text="Yes">
      <formula>NOT(ISERROR(SEARCH(("Yes"),(N144))))</formula>
    </cfRule>
  </conditionalFormatting>
  <conditionalFormatting sqref="N144:N152 O150 N154 N159 O174:O226 N184 N187:N216 N222:N226 N228:O252 N254:O256 N258:O264 N267:O269 N272:O273 N275:O275">
    <cfRule type="containsText" dxfId="2" priority="33650" operator="containsText" text="Yes">
      <formula>NOT(ISERROR(SEARCH(("Yes"),(N144))))</formula>
    </cfRule>
  </conditionalFormatting>
  <conditionalFormatting sqref="N144:N152 O150 N154 N159 O174:O226 N184 N187:N216 N222:N226 N228:O252 N254:O256 N258:O264 N267:O269 N272:O273 N275:O275">
    <cfRule type="containsText" dxfId="2" priority="33651" operator="containsText" text="Yes">
      <formula>NOT(ISERROR(SEARCH(("Yes"),(N144))))</formula>
    </cfRule>
  </conditionalFormatting>
  <conditionalFormatting sqref="N144:N152 O150 N154 N159 O174:O226 N184 N187:N216 N222:N226 N228:O252 N254:O256 N258:O264 N267:O269 N272:O273 N275:O275">
    <cfRule type="containsText" dxfId="9" priority="33652" operator="containsText" text="No">
      <formula>NOT(ISERROR(SEARCH(("No"),(N144))))</formula>
    </cfRule>
  </conditionalFormatting>
  <conditionalFormatting sqref="N144:N152 O150 N154 N159 O174:O226 N184 N187:N216 N222:N226 N228:O252 N254:O256 N258:O264 N267:O269 N272:O273 N275:O275">
    <cfRule type="containsText" dxfId="2" priority="33653" operator="containsText" text="Yes">
      <formula>NOT(ISERROR(SEARCH(("Yes"),(N144))))</formula>
    </cfRule>
  </conditionalFormatting>
  <conditionalFormatting sqref="O144:O152 P145 P150 P153:P214 O154:O155 Q155 O159 Q203 U204:V204 Q205:Q214">
    <cfRule type="containsText" dxfId="9" priority="33654" operator="containsText" text="No">
      <formula>NOT(ISERROR(SEARCH(("No"),(O144))))</formula>
    </cfRule>
  </conditionalFormatting>
  <conditionalFormatting sqref="O144:O152 P145 P150 P153:P214 O154:O155 Q155 O159 Q203 U204:V204 Q205:Q214">
    <cfRule type="containsText" dxfId="9" priority="33655" operator="containsText" text="No">
      <formula>NOT(ISERROR(SEARCH(("No"),(O144))))</formula>
    </cfRule>
  </conditionalFormatting>
  <conditionalFormatting sqref="O144:O152 P145 P150 P153:P214 O154:O155 Q155 O159 Q203 U204:V204 Q205:Q214">
    <cfRule type="containsText" dxfId="9" priority="33656" operator="containsText" text="No">
      <formula>NOT(ISERROR(SEARCH(("No"),(O144))))</formula>
    </cfRule>
  </conditionalFormatting>
  <conditionalFormatting sqref="O144:O152 P145 P150 P153:P214 O154:O155 Q155 O159 Q203 U204:V204 Q205:Q214">
    <cfRule type="containsText" dxfId="2" priority="33657" operator="containsText" text="Yes">
      <formula>NOT(ISERROR(SEARCH(("Yes"),(O144))))</formula>
    </cfRule>
  </conditionalFormatting>
  <conditionalFormatting sqref="O144:O152 P145 P150 P153:P214 O154:O155 Q155 O159 Q203 U204:V204 Q205:Q214">
    <cfRule type="containsText" dxfId="2" priority="33658" operator="containsText" text="Yes">
      <formula>NOT(ISERROR(SEARCH(("Yes"),(O144))))</formula>
    </cfRule>
  </conditionalFormatting>
  <conditionalFormatting sqref="O144:O152 P145 P150 P153:P214 O154:O155 Q155 O159 Q203 U204:V204 Q205:Q214">
    <cfRule type="containsText" dxfId="2" priority="33659" operator="containsText" text="Yes">
      <formula>NOT(ISERROR(SEARCH(("Yes"),(O144))))</formula>
    </cfRule>
  </conditionalFormatting>
  <conditionalFormatting sqref="O144:O152 P145 P150 P153:P214 O154:O155 Q155 O159 Q203 U204:V204 Q205:Q214">
    <cfRule type="containsText" dxfId="2" priority="33660" operator="containsText" text="Yes">
      <formula>NOT(ISERROR(SEARCH(("Yes"),(O144))))</formula>
    </cfRule>
  </conditionalFormatting>
  <conditionalFormatting sqref="O144:O152 P145 P150 P153:P214 O154:O155 Q155 O159 Q203 U204:V204 Q205:Q214">
    <cfRule type="containsText" dxfId="2" priority="33661" operator="containsText" text="Yes">
      <formula>NOT(ISERROR(SEARCH(("Yes"),(O144))))</formula>
    </cfRule>
  </conditionalFormatting>
  <conditionalFormatting sqref="O144:O152 P145 P150 P153:P214 O154:O155 Q155 O159 Q203 U204:V204 Q205:Q214">
    <cfRule type="containsText" dxfId="9" priority="33662" operator="containsText" text="No">
      <formula>NOT(ISERROR(SEARCH(("No"),(O144))))</formula>
    </cfRule>
  </conditionalFormatting>
  <conditionalFormatting sqref="O144:O152 P145 P150 P153:P214 O154:O155 Q155 O159 Q203 U204:V204 Q205:Q214">
    <cfRule type="containsText" dxfId="9" priority="33663" operator="containsText" text="No">
      <formula>NOT(ISERROR(SEARCH(("No"),(O144))))</formula>
    </cfRule>
  </conditionalFormatting>
  <conditionalFormatting sqref="O144:O152 P145 P150 P153:P214 O154:O155 Q155 O159 Q203 U204:V204 Q205:Q214">
    <cfRule type="containsText" dxfId="2" priority="33664" operator="containsText" text="Yes">
      <formula>NOT(ISERROR(SEARCH(("Yes"),(O144))))</formula>
    </cfRule>
  </conditionalFormatting>
  <conditionalFormatting sqref="P144:Q145 O145 P147:Q147 P149:Q152 P154:Q154 P159:Q159">
    <cfRule type="containsText" dxfId="9" priority="33665" operator="containsText" text="No">
      <formula>NOT(ISERROR(SEARCH(("No"),(P144))))</formula>
    </cfRule>
  </conditionalFormatting>
  <conditionalFormatting sqref="P144:Q145 O145 P147:Q147 P149:Q152 P154:Q154 P159:Q159">
    <cfRule type="containsText" dxfId="9" priority="33666" operator="containsText" text="No">
      <formula>NOT(ISERROR(SEARCH(("No"),(P144))))</formula>
    </cfRule>
  </conditionalFormatting>
  <conditionalFormatting sqref="P144:Q145 O145 P147:Q147 P149:Q152 P154:Q154 P159:Q159">
    <cfRule type="containsText" dxfId="9" priority="33667" operator="containsText" text="No">
      <formula>NOT(ISERROR(SEARCH(("No"),(P144))))</formula>
    </cfRule>
  </conditionalFormatting>
  <conditionalFormatting sqref="P144:Q145 O145 P147:Q147 P149:Q152 P154:Q154 P159:Q159">
    <cfRule type="containsText" dxfId="9" priority="33668" operator="containsText" text="No">
      <formula>NOT(ISERROR(SEARCH(("No"),(P144))))</formula>
    </cfRule>
  </conditionalFormatting>
  <conditionalFormatting sqref="P144:Q145 O145 P147:Q147 P149:Q152 P154:Q154 P159:Q159">
    <cfRule type="containsText" dxfId="9" priority="33669" operator="containsText" text="No">
      <formula>NOT(ISERROR(SEARCH(("No"),(P144))))</formula>
    </cfRule>
  </conditionalFormatting>
  <conditionalFormatting sqref="P144:Q145 O145 P147:Q147 P149:Q152 P154:Q154 P159:Q159">
    <cfRule type="containsText" dxfId="9" priority="33670" operator="containsText" text="No">
      <formula>NOT(ISERROR(SEARCH(("No"),(P144))))</formula>
    </cfRule>
  </conditionalFormatting>
  <conditionalFormatting sqref="P144:Q145 O145 P147:Q147 P149:Q152 P154:Q154 P159:Q159">
    <cfRule type="containsText" dxfId="9" priority="33671" operator="containsText" text="No">
      <formula>NOT(ISERROR(SEARCH(("No"),(P144))))</formula>
    </cfRule>
  </conditionalFormatting>
  <conditionalFormatting sqref="P144:Q145 O145 P147:Q147 P149:Q152 P154:Q154 P159:Q159">
    <cfRule type="containsText" dxfId="9" priority="33672" operator="containsText" text="No">
      <formula>NOT(ISERROR(SEARCH(("No"),(P144))))</formula>
    </cfRule>
  </conditionalFormatting>
  <conditionalFormatting sqref="P144:Q145 O145 P147:Q147 P149:Q152 P154:Q154 P159:Q159">
    <cfRule type="containsText" dxfId="9" priority="33673" operator="containsText" text="No">
      <formula>NOT(ISERROR(SEARCH(("No"),(P144))))</formula>
    </cfRule>
  </conditionalFormatting>
  <conditionalFormatting sqref="P144:Q145 O145 P147:Q147 P149:Q152 P154:Q154 P159:Q159">
    <cfRule type="containsText" dxfId="9" priority="33674" operator="containsText" text="No">
      <formula>NOT(ISERROR(SEARCH(("No"),(P144))))</formula>
    </cfRule>
  </conditionalFormatting>
  <conditionalFormatting sqref="P144:Q145 O145 P147:Q147 P149:Q152 P154:Q154 P159:Q159">
    <cfRule type="containsText" dxfId="9" priority="33675" operator="containsText" text="No">
      <formula>NOT(ISERROR(SEARCH(("No"),(P144))))</formula>
    </cfRule>
  </conditionalFormatting>
  <conditionalFormatting sqref="P144:Q145 O145 P147:Q147 P149:Q152 P154:Q154 P159:Q159">
    <cfRule type="containsText" dxfId="9" priority="33676" operator="containsText" text="No">
      <formula>NOT(ISERROR(SEARCH(("No"),(P144))))</formula>
    </cfRule>
  </conditionalFormatting>
  <conditionalFormatting sqref="P144:Q145 O145 P147:Q147 P149:Q152 P154:Q154 P159:Q159">
    <cfRule type="containsText" dxfId="9" priority="33677" operator="containsText" text="No">
      <formula>NOT(ISERROR(SEARCH(("No"),(P144))))</formula>
    </cfRule>
  </conditionalFormatting>
  <conditionalFormatting sqref="P144:Q145 O145 P147:Q147 P149:Q152 P154:Q154 P159:Q159">
    <cfRule type="containsText" dxfId="9" priority="33678" operator="containsText" text="No">
      <formula>NOT(ISERROR(SEARCH(("No"),(P144))))</formula>
    </cfRule>
  </conditionalFormatting>
  <conditionalFormatting sqref="P144:Q145 O145 P147:Q147 P149:Q152 P154:Q154 P159:Q159">
    <cfRule type="containsText" dxfId="9" priority="33679" operator="containsText" text="No">
      <formula>NOT(ISERROR(SEARCH(("No"),(P144))))</formula>
    </cfRule>
  </conditionalFormatting>
  <conditionalFormatting sqref="P144:Q145 O145 P147:Q147 P149:Q152 P154:Q154 P159:Q159">
    <cfRule type="containsText" dxfId="9" priority="33680" operator="containsText" text="No">
      <formula>NOT(ISERROR(SEARCH(("No"),(P144))))</formula>
    </cfRule>
  </conditionalFormatting>
  <conditionalFormatting sqref="P144:Q145 O145 P147:Q147 P149:Q152 P154:Q154 P159:Q159">
    <cfRule type="containsText" dxfId="9" priority="33681" operator="containsText" text="No">
      <formula>NOT(ISERROR(SEARCH(("No"),(P144))))</formula>
    </cfRule>
  </conditionalFormatting>
  <conditionalFormatting sqref="P144:Q145 O145 P147:Q147 P149:Q152 P154:Q154 P159:Q159">
    <cfRule type="containsText" dxfId="9" priority="33682" operator="containsText" text="No">
      <formula>NOT(ISERROR(SEARCH(("No"),(P144))))</formula>
    </cfRule>
  </conditionalFormatting>
  <conditionalFormatting sqref="P144:Q145 O145 P147:Q147 P149:Q152 P154:Q154 P159:Q159">
    <cfRule type="containsText" dxfId="9" priority="33683" operator="containsText" text="No">
      <formula>NOT(ISERROR(SEARCH(("No"),(P144))))</formula>
    </cfRule>
  </conditionalFormatting>
  <conditionalFormatting sqref="P144:Q145 O145 P147:Q147 P149:Q152 P154:Q154 P159:Q159">
    <cfRule type="containsText" dxfId="9" priority="33684" operator="containsText" text="No">
      <formula>NOT(ISERROR(SEARCH(("No"),(P144))))</formula>
    </cfRule>
  </conditionalFormatting>
  <conditionalFormatting sqref="P144:Q145 O145 P147:Q147 P149:Q152 P154:Q154 P159:Q159">
    <cfRule type="containsText" dxfId="9" priority="33685" operator="containsText" text="No">
      <formula>NOT(ISERROR(SEARCH(("No"),(P144))))</formula>
    </cfRule>
  </conditionalFormatting>
  <conditionalFormatting sqref="P144:Q145 O145 P147:Q147 P149:Q152 P154:Q154 P159:Q159">
    <cfRule type="containsText" dxfId="9" priority="33686" operator="containsText" text="No">
      <formula>NOT(ISERROR(SEARCH(("No"),(P144))))</formula>
    </cfRule>
  </conditionalFormatting>
  <conditionalFormatting sqref="P144:Q145 O145 P147:Q147 P149:Q152 P154:Q154 P159:Q159">
    <cfRule type="containsText" dxfId="9" priority="33687" operator="containsText" text="No">
      <formula>NOT(ISERROR(SEARCH(("No"),(P144))))</formula>
    </cfRule>
  </conditionalFormatting>
  <conditionalFormatting sqref="P144:Q145 O145 P147:Q147 P149:Q152 P154:Q154 P159:Q159">
    <cfRule type="containsText" dxfId="9" priority="33688" operator="containsText" text="No">
      <formula>NOT(ISERROR(SEARCH(("No"),(P144))))</formula>
    </cfRule>
  </conditionalFormatting>
  <conditionalFormatting sqref="P144:Q145 O145 P147:Q147 P149:Q152 P154:Q154 P159:Q159">
    <cfRule type="containsText" dxfId="9" priority="33689" operator="containsText" text="No">
      <formula>NOT(ISERROR(SEARCH(("No"),(P144))))</formula>
    </cfRule>
  </conditionalFormatting>
  <conditionalFormatting sqref="P144:Q145 O145 P147:Q147 P149:Q152 P154:Q154 P159:Q159">
    <cfRule type="containsText" dxfId="9" priority="33690" operator="containsText" text="No">
      <formula>NOT(ISERROR(SEARCH(("No"),(P144))))</formula>
    </cfRule>
  </conditionalFormatting>
  <conditionalFormatting sqref="P144:Q145 O145 P147:Q147 P149:Q152 P154:Q154 P159:Q159">
    <cfRule type="containsText" dxfId="9" priority="33691" operator="containsText" text="No">
      <formula>NOT(ISERROR(SEARCH(("No"),(P144))))</formula>
    </cfRule>
  </conditionalFormatting>
  <conditionalFormatting sqref="P144:Q145 O145 P147:Q147 P149:Q152 P154:Q154 P159:Q159">
    <cfRule type="containsText" dxfId="9" priority="33692" operator="containsText" text="No">
      <formula>NOT(ISERROR(SEARCH(("No"),(P144))))</formula>
    </cfRule>
  </conditionalFormatting>
  <conditionalFormatting sqref="P144:Q145 O145 P147:Q147 P149:Q152 P154:Q154 P159:Q159">
    <cfRule type="containsText" dxfId="9" priority="33693" operator="containsText" text="No">
      <formula>NOT(ISERROR(SEARCH(("No"),(P144))))</formula>
    </cfRule>
  </conditionalFormatting>
  <conditionalFormatting sqref="P144:Q145 O145 P147:Q147 P149:Q152 P154:Q154 P159:Q159">
    <cfRule type="containsText" dxfId="9" priority="33694" operator="containsText" text="No">
      <formula>NOT(ISERROR(SEARCH(("No"),(P144))))</formula>
    </cfRule>
  </conditionalFormatting>
  <conditionalFormatting sqref="P144:Q145 O145 P147:Q147 P149:Q152 P154:Q154 P159:Q159">
    <cfRule type="containsText" dxfId="9" priority="33695" operator="containsText" text="No">
      <formula>NOT(ISERROR(SEARCH(("No"),(P144))))</formula>
    </cfRule>
  </conditionalFormatting>
  <conditionalFormatting sqref="P144:Q145 O145 P147:Q147 P149:Q152 P154:Q154 P159:Q159">
    <cfRule type="containsText" dxfId="9" priority="33696" operator="containsText" text="No">
      <formula>NOT(ISERROR(SEARCH(("No"),(P144))))</formula>
    </cfRule>
  </conditionalFormatting>
  <conditionalFormatting sqref="P144:Q145 O145 P147:Q147 P149:Q152 P154:Q154 P159:Q159">
    <cfRule type="containsText" dxfId="9" priority="33697" operator="containsText" text="No">
      <formula>NOT(ISERROR(SEARCH(("No"),(P144))))</formula>
    </cfRule>
  </conditionalFormatting>
  <conditionalFormatting sqref="P144:Q145 O145 P147:Q147 P149:Q152 P154:Q154 P159:Q159">
    <cfRule type="containsText" dxfId="9" priority="33698" operator="containsText" text="No">
      <formula>NOT(ISERROR(SEARCH(("No"),(P144))))</formula>
    </cfRule>
  </conditionalFormatting>
  <conditionalFormatting sqref="P144:Q145 O145 P147:Q147 P149:Q152 P154:Q154 P159:Q159">
    <cfRule type="containsText" dxfId="9" priority="33699" operator="containsText" text="No">
      <formula>NOT(ISERROR(SEARCH(("No"),(P144))))</formula>
    </cfRule>
  </conditionalFormatting>
  <conditionalFormatting sqref="P144:Q145 O145 P147:Q147 P149:Q152 P154:Q154 P159:Q159">
    <cfRule type="containsText" dxfId="9" priority="33700" operator="containsText" text="No">
      <formula>NOT(ISERROR(SEARCH(("No"),(P144))))</formula>
    </cfRule>
  </conditionalFormatting>
  <conditionalFormatting sqref="P144:Q145 O145 P147:Q147 P149:Q152 P154:Q154 P159:Q159">
    <cfRule type="containsText" dxfId="9" priority="33701" operator="containsText" text="No">
      <formula>NOT(ISERROR(SEARCH(("No"),(P144))))</formula>
    </cfRule>
  </conditionalFormatting>
  <conditionalFormatting sqref="P144:Q145 O145 P147:Q147 P149:Q152 P154:Q154 P159:Q159">
    <cfRule type="containsText" dxfId="9" priority="33702" operator="containsText" text="No">
      <formula>NOT(ISERROR(SEARCH(("No"),(P144))))</formula>
    </cfRule>
  </conditionalFormatting>
  <conditionalFormatting sqref="P144:Q145 O145 P147:Q147 P149:Q152 P154:Q154 P159:Q159">
    <cfRule type="containsText" dxfId="9" priority="33703" operator="containsText" text="No">
      <formula>NOT(ISERROR(SEARCH(("No"),(P144))))</formula>
    </cfRule>
  </conditionalFormatting>
  <conditionalFormatting sqref="P144:Q145 O145 P147:Q147 P149:Q152 P154:Q154 P159:Q159">
    <cfRule type="containsText" dxfId="9" priority="33704" operator="containsText" text="No">
      <formula>NOT(ISERROR(SEARCH(("No"),(P144))))</formula>
    </cfRule>
  </conditionalFormatting>
  <conditionalFormatting sqref="P144:Q145 O145 P147:Q147 P149:Q152 P154:Q154 P159:Q159">
    <cfRule type="containsText" dxfId="9" priority="33705" operator="containsText" text="No">
      <formula>NOT(ISERROR(SEARCH(("No"),(P144))))</formula>
    </cfRule>
  </conditionalFormatting>
  <conditionalFormatting sqref="P144:Q145 O145 P147:Q147 P149:Q152 P154:Q154 P159:Q159">
    <cfRule type="containsText" dxfId="9" priority="33706" operator="containsText" text="No">
      <formula>NOT(ISERROR(SEARCH(("No"),(P144))))</formula>
    </cfRule>
  </conditionalFormatting>
  <conditionalFormatting sqref="P144:Q145 O145 P147:Q147 P149:Q152 P154:Q154 P159:Q159">
    <cfRule type="containsText" dxfId="9" priority="33707" operator="containsText" text="No">
      <formula>NOT(ISERROR(SEARCH(("No"),(P144))))</formula>
    </cfRule>
  </conditionalFormatting>
  <conditionalFormatting sqref="P144:Q145 O145 P147:Q147 P149:Q152 P154:Q154 P159:Q159">
    <cfRule type="containsText" dxfId="9" priority="33708" operator="containsText" text="No">
      <formula>NOT(ISERROR(SEARCH(("No"),(P144))))</formula>
    </cfRule>
  </conditionalFormatting>
  <conditionalFormatting sqref="P144:Q145 O145 P147:Q147 P149:Q152 P154:Q154 P159:Q159">
    <cfRule type="containsText" dxfId="9" priority="33709" operator="containsText" text="No">
      <formula>NOT(ISERROR(SEARCH(("No"),(P144))))</formula>
    </cfRule>
  </conditionalFormatting>
  <conditionalFormatting sqref="P144:Q145 O145 P147:Q147 P149:Q152 P154:Q154 P159:Q159">
    <cfRule type="containsText" dxfId="2" priority="33710" operator="containsText" text="Yes">
      <formula>NOT(ISERROR(SEARCH(("Yes"),(P144))))</formula>
    </cfRule>
  </conditionalFormatting>
  <conditionalFormatting sqref="P144:Q145 O145 P147:Q147 P149:Q152 P154:Q154 P159:Q159">
    <cfRule type="containsText" dxfId="2" priority="33711" operator="containsText" text="Yes">
      <formula>NOT(ISERROR(SEARCH(("Yes"),(P144))))</formula>
    </cfRule>
  </conditionalFormatting>
  <conditionalFormatting sqref="P144:Q145 O145 P147:Q147 P149:Q152 P154:Q154 P159:Q159">
    <cfRule type="containsText" dxfId="2" priority="33712" operator="containsText" text="Yes">
      <formula>NOT(ISERROR(SEARCH(("Yes"),(P144))))</formula>
    </cfRule>
  </conditionalFormatting>
  <conditionalFormatting sqref="P144:Q145 O145 P147:Q147 P149:Q152 P154:Q154 P159:Q159">
    <cfRule type="containsText" dxfId="2" priority="33713" operator="containsText" text="Yes">
      <formula>NOT(ISERROR(SEARCH(("Yes"),(P144))))</formula>
    </cfRule>
  </conditionalFormatting>
  <conditionalFormatting sqref="P144:Q145 O145 P147:Q147 P149:Q152 P154:Q154 P159:Q159">
    <cfRule type="containsText" dxfId="2" priority="33714" operator="containsText" text="Yes">
      <formula>NOT(ISERROR(SEARCH(("Yes"),(P144))))</formula>
    </cfRule>
  </conditionalFormatting>
  <conditionalFormatting sqref="P144:Q145 O145 P147:Q147 P149:Q152 P154:Q154 P159:Q159">
    <cfRule type="containsText" dxfId="2" priority="33715" operator="containsText" text="Yes">
      <formula>NOT(ISERROR(SEARCH(("Yes"),(P144))))</formula>
    </cfRule>
  </conditionalFormatting>
  <conditionalFormatting sqref="P144:Q145 O145 P147:Q147 P149:Q152 P154:Q154 P159:Q159">
    <cfRule type="containsText" dxfId="2" priority="33716" operator="containsText" text="Yes">
      <formula>NOT(ISERROR(SEARCH(("Yes"),(P144))))</formula>
    </cfRule>
  </conditionalFormatting>
  <conditionalFormatting sqref="P144:Q145 O145 P147:Q147 P149:Q152 P154:Q154 P159:Q159">
    <cfRule type="containsText" dxfId="2" priority="33717" operator="containsText" text="Yes">
      <formula>NOT(ISERROR(SEARCH(("Yes"),(P144))))</formula>
    </cfRule>
  </conditionalFormatting>
  <conditionalFormatting sqref="P144:Q145 O145 P147:Q147 P149:Q152 P154:Q154 P159:Q159">
    <cfRule type="containsText" dxfId="2" priority="33718" operator="containsText" text="Yes">
      <formula>NOT(ISERROR(SEARCH(("Yes"),(P144))))</formula>
    </cfRule>
  </conditionalFormatting>
  <conditionalFormatting sqref="P144:Q145 O145 P147:Q147 P149:Q152 P154:Q154 P159:Q159">
    <cfRule type="containsText" dxfId="2" priority="33719" operator="containsText" text="Yes">
      <formula>NOT(ISERROR(SEARCH(("Yes"),(P144))))</formula>
    </cfRule>
  </conditionalFormatting>
  <conditionalFormatting sqref="P144:Q145 O145 P147:Q147 P149:Q152 P154:Q154 P159:Q159">
    <cfRule type="containsText" dxfId="2" priority="33720" operator="containsText" text="Yes">
      <formula>NOT(ISERROR(SEARCH(("Yes"),(P144))))</formula>
    </cfRule>
  </conditionalFormatting>
  <conditionalFormatting sqref="P144:Q145 O145 P147:Q147 P149:Q152 P154:Q154 P159:Q159">
    <cfRule type="containsText" dxfId="2" priority="33721" operator="containsText" text="Yes">
      <formula>NOT(ISERROR(SEARCH(("Yes"),(P144))))</formula>
    </cfRule>
  </conditionalFormatting>
  <conditionalFormatting sqref="P144:Q145 O145 P147:Q147 P149:Q152 P154:Q154 P159:Q159">
    <cfRule type="containsText" dxfId="2" priority="33722" operator="containsText" text="Yes">
      <formula>NOT(ISERROR(SEARCH(("Yes"),(P144))))</formula>
    </cfRule>
  </conditionalFormatting>
  <conditionalFormatting sqref="P144:Q145 O145 P147:Q147 P149:Q152 P154:Q154 P159:Q159">
    <cfRule type="containsText" dxfId="2" priority="33723" operator="containsText" text="Yes">
      <formula>NOT(ISERROR(SEARCH(("Yes"),(P144))))</formula>
    </cfRule>
  </conditionalFormatting>
  <conditionalFormatting sqref="P144:Q145 O145 P147:Q147 P149:Q152 P154:Q154 P159:Q159">
    <cfRule type="containsText" dxfId="2" priority="33724" operator="containsText" text="Yes">
      <formula>NOT(ISERROR(SEARCH(("Yes"),(P144))))</formula>
    </cfRule>
  </conditionalFormatting>
  <conditionalFormatting sqref="P144:Q145 O145 P147:Q147 P149:Q152 P154:Q154 P159:Q159">
    <cfRule type="containsText" dxfId="2" priority="33725" operator="containsText" text="Yes">
      <formula>NOT(ISERROR(SEARCH(("Yes"),(P144))))</formula>
    </cfRule>
  </conditionalFormatting>
  <conditionalFormatting sqref="P144:Q145 O145 P147:Q147 P149:Q152 P154:Q154 P159:Q159">
    <cfRule type="containsText" dxfId="2" priority="33726" operator="containsText" text="Yes">
      <formula>NOT(ISERROR(SEARCH(("Yes"),(P144))))</formula>
    </cfRule>
  </conditionalFormatting>
  <conditionalFormatting sqref="P144:Q145 O145 P147:Q147 P149:Q152 P154:Q154 P159:Q159">
    <cfRule type="containsText" dxfId="2" priority="33727" operator="containsText" text="Yes">
      <formula>NOT(ISERROR(SEARCH(("Yes"),(P144))))</formula>
    </cfRule>
  </conditionalFormatting>
  <conditionalFormatting sqref="P144:Q145 O145 P147:Q147 P149:Q152 P154:Q154 P159:Q159">
    <cfRule type="containsText" dxfId="2" priority="33728" operator="containsText" text="Yes">
      <formula>NOT(ISERROR(SEARCH(("Yes"),(P144))))</formula>
    </cfRule>
  </conditionalFormatting>
  <conditionalFormatting sqref="P144:Q145 O145 P147:Q147 P149:Q152 P154:Q154 P159:Q159">
    <cfRule type="containsText" dxfId="2" priority="33729" operator="containsText" text="Yes">
      <formula>NOT(ISERROR(SEARCH(("Yes"),(P144))))</formula>
    </cfRule>
  </conditionalFormatting>
  <conditionalFormatting sqref="P144:Q145 O145 P147:Q147 P149:Q152 P154:Q154 P159:Q159">
    <cfRule type="containsText" dxfId="2" priority="33730" operator="containsText" text="Yes">
      <formula>NOT(ISERROR(SEARCH(("Yes"),(P144))))</formula>
    </cfRule>
  </conditionalFormatting>
  <conditionalFormatting sqref="P144:Q145 O145 P147:Q147 P149:Q152 P154:Q154 P159:Q159">
    <cfRule type="containsText" dxfId="2" priority="33731" operator="containsText" text="Yes">
      <formula>NOT(ISERROR(SEARCH(("Yes"),(P144))))</formula>
    </cfRule>
  </conditionalFormatting>
  <conditionalFormatting sqref="P144:Q145 O145 P147:Q147 P149:Q152 P154:Q154 P159:Q159">
    <cfRule type="containsText" dxfId="2" priority="33732" operator="containsText" text="Yes">
      <formula>NOT(ISERROR(SEARCH(("Yes"),(P144))))</formula>
    </cfRule>
  </conditionalFormatting>
  <conditionalFormatting sqref="P144:Q145 O145 P147:Q147 P149:Q152 P154:Q154 P159:Q159">
    <cfRule type="containsText" dxfId="2" priority="33733" operator="containsText" text="Yes">
      <formula>NOT(ISERROR(SEARCH(("Yes"),(P144))))</formula>
    </cfRule>
  </conditionalFormatting>
  <conditionalFormatting sqref="P144:Q145 O145 P147:Q147 P149:Q152 P154:Q154 P159:Q159">
    <cfRule type="containsText" dxfId="2" priority="33734" operator="containsText" text="Yes">
      <formula>NOT(ISERROR(SEARCH(("Yes"),(P144))))</formula>
    </cfRule>
  </conditionalFormatting>
  <conditionalFormatting sqref="P144:Q145 O145 P147:Q147 P149:Q152 P154:Q154 P159:Q159">
    <cfRule type="containsText" dxfId="2" priority="33735" operator="containsText" text="Yes">
      <formula>NOT(ISERROR(SEARCH(("Yes"),(P144))))</formula>
    </cfRule>
  </conditionalFormatting>
  <conditionalFormatting sqref="P144:Q145 O145 P147:Q147 P149:Q152 P154:Q154 P159:Q159">
    <cfRule type="containsText" dxfId="2" priority="33736" operator="containsText" text="Yes">
      <formula>NOT(ISERROR(SEARCH(("Yes"),(P144))))</formula>
    </cfRule>
  </conditionalFormatting>
  <conditionalFormatting sqref="P144:Q145 O145 P147:Q147 P149:Q152 P154:Q154 P159:Q159">
    <cfRule type="containsText" dxfId="2" priority="33737" operator="containsText" text="Yes">
      <formula>NOT(ISERROR(SEARCH(("Yes"),(P144))))</formula>
    </cfRule>
  </conditionalFormatting>
  <conditionalFormatting sqref="P144:Q145 O145 P147:Q147 P149:Q152 P154:Q154 P159:Q159">
    <cfRule type="containsText" dxfId="2" priority="33738" operator="containsText" text="Yes">
      <formula>NOT(ISERROR(SEARCH(("Yes"),(P144))))</formula>
    </cfRule>
  </conditionalFormatting>
  <conditionalFormatting sqref="P144:Q145 O145 P147:Q147 P149:Q152 P154:Q154 P159:Q159">
    <cfRule type="containsText" dxfId="2" priority="33739" operator="containsText" text="Yes">
      <formula>NOT(ISERROR(SEARCH(("Yes"),(P144))))</formula>
    </cfRule>
  </conditionalFormatting>
  <conditionalFormatting sqref="P144:Q145 O145 P147:Q147 P149:Q152 P154:Q154 P159:Q159">
    <cfRule type="containsText" dxfId="2" priority="33740" operator="containsText" text="Yes">
      <formula>NOT(ISERROR(SEARCH(("Yes"),(P144))))</formula>
    </cfRule>
  </conditionalFormatting>
  <conditionalFormatting sqref="P144:Q145 O145 P147:Q147 P149:Q152 P154:Q154 P159:Q159">
    <cfRule type="containsText" dxfId="2" priority="33741" operator="containsText" text="Yes">
      <formula>NOT(ISERROR(SEARCH(("Yes"),(P144))))</formula>
    </cfRule>
  </conditionalFormatting>
  <conditionalFormatting sqref="P144:Q145 O145 P147:Q147 P149:Q152 P154:Q154 P159:Q159">
    <cfRule type="containsText" dxfId="2" priority="33742" operator="containsText" text="Yes">
      <formula>NOT(ISERROR(SEARCH(("Yes"),(P144))))</formula>
    </cfRule>
  </conditionalFormatting>
  <conditionalFormatting sqref="P144:Q145 O145 P147:Q147 P149:Q152 P154:Q154 P159:Q159">
    <cfRule type="containsText" dxfId="2" priority="33743" operator="containsText" text="Yes">
      <formula>NOT(ISERROR(SEARCH(("Yes"),(P144))))</formula>
    </cfRule>
  </conditionalFormatting>
  <conditionalFormatting sqref="P144:Q145 O145 P147:Q147 P149:Q152 P154:Q154 P159:Q159">
    <cfRule type="containsText" dxfId="2" priority="33744" operator="containsText" text="Yes">
      <formula>NOT(ISERROR(SEARCH(("Yes"),(P144))))</formula>
    </cfRule>
  </conditionalFormatting>
  <conditionalFormatting sqref="P144:Q145 O145 P147:Q147 P149:Q152 P154:Q154 P159:Q159">
    <cfRule type="containsText" dxfId="2" priority="33745" operator="containsText" text="Yes">
      <formula>NOT(ISERROR(SEARCH(("Yes"),(P144))))</formula>
    </cfRule>
  </conditionalFormatting>
  <conditionalFormatting sqref="P144:Q145 O145 P147:Q147 P149:Q152 P154:Q154 P159:Q159">
    <cfRule type="containsText" dxfId="2" priority="33746" operator="containsText" text="Yes">
      <formula>NOT(ISERROR(SEARCH(("Yes"),(P144))))</formula>
    </cfRule>
  </conditionalFormatting>
  <conditionalFormatting sqref="P144:Q145 O145 P147:Q147 P149:Q152 P154:Q154 P159:Q159">
    <cfRule type="containsText" dxfId="2" priority="33747" operator="containsText" text="Yes">
      <formula>NOT(ISERROR(SEARCH(("Yes"),(P144))))</formula>
    </cfRule>
  </conditionalFormatting>
  <conditionalFormatting sqref="P144:Q145 O145 P147:Q147 P149:Q152 P154:Q154 P159:Q159">
    <cfRule type="containsText" dxfId="2" priority="33748" operator="containsText" text="Yes">
      <formula>NOT(ISERROR(SEARCH(("Yes"),(P144))))</formula>
    </cfRule>
  </conditionalFormatting>
  <conditionalFormatting sqref="P144:Q145 O145 P147:Q147 P149:Q152 P154:Q154 P159:Q159">
    <cfRule type="containsText" dxfId="2" priority="33749" operator="containsText" text="Yes">
      <formula>NOT(ISERROR(SEARCH(("Yes"),(P144))))</formula>
    </cfRule>
  </conditionalFormatting>
  <conditionalFormatting sqref="P144:Q145 O145 P147:Q147 P149:Q152 P154:Q154 P159:Q159">
    <cfRule type="containsText" dxfId="2" priority="33750" operator="containsText" text="Yes">
      <formula>NOT(ISERROR(SEARCH(("Yes"),(P144))))</formula>
    </cfRule>
  </conditionalFormatting>
  <conditionalFormatting sqref="P144:Q145 O145 P147:Q147 P149:Q152 P154:Q154 P159:Q159">
    <cfRule type="containsText" dxfId="2" priority="33751" operator="containsText" text="Yes">
      <formula>NOT(ISERROR(SEARCH(("Yes"),(P144))))</formula>
    </cfRule>
  </conditionalFormatting>
  <conditionalFormatting sqref="P144:Q145 O145 P147:Q147 P149:Q152 P154:Q154 P159:Q159">
    <cfRule type="containsText" dxfId="2" priority="33752" operator="containsText" text="Yes">
      <formula>NOT(ISERROR(SEARCH(("Yes"),(P144))))</formula>
    </cfRule>
  </conditionalFormatting>
  <conditionalFormatting sqref="P144:Q145 O145 P147:Q147 P149:Q152 P154:Q154 P159:Q159">
    <cfRule type="containsText" dxfId="2" priority="33753" operator="containsText" text="Yes">
      <formula>NOT(ISERROR(SEARCH(("Yes"),(P144))))</formula>
    </cfRule>
  </conditionalFormatting>
  <conditionalFormatting sqref="P144:Q145 O145 P147:Q147 P149:Q152 P154:Q154 P159:Q159">
    <cfRule type="containsText" dxfId="2" priority="33754" operator="containsText" text="Yes">
      <formula>NOT(ISERROR(SEARCH(("Yes"),(P144))))</formula>
    </cfRule>
  </conditionalFormatting>
  <conditionalFormatting sqref="P144:Q145 O145 P147:Q147 P149:Q152 P154:Q154 P159:Q159">
    <cfRule type="containsText" dxfId="2" priority="33755" operator="containsText" text="Yes">
      <formula>NOT(ISERROR(SEARCH(("Yes"),(P144))))</formula>
    </cfRule>
  </conditionalFormatting>
  <conditionalFormatting sqref="P144:Q145 O145 P147:Q147 P149:Q152 P154:Q154 P159:Q159">
    <cfRule type="containsText" dxfId="2" priority="33756" operator="containsText" text="Yes">
      <formula>NOT(ISERROR(SEARCH(("Yes"),(P144))))</formula>
    </cfRule>
  </conditionalFormatting>
  <conditionalFormatting sqref="O145:Q145 P147:Q147 P149:Q152 P154:Q154 P159:Q159">
    <cfRule type="containsText" dxfId="9" priority="33757" operator="containsText" text="No">
      <formula>NOT(ISERROR(SEARCH(("No"),(O145))))</formula>
    </cfRule>
  </conditionalFormatting>
  <conditionalFormatting sqref="O145:Q145 P147:Q147 P149:Q152 P154:Q154 P159:Q159">
    <cfRule type="containsText" dxfId="9" priority="33758" operator="containsText" text="No">
      <formula>NOT(ISERROR(SEARCH(("No"),(O145))))</formula>
    </cfRule>
  </conditionalFormatting>
  <conditionalFormatting sqref="O145:Q145 P147:Q147 P149:Q152 P154:Q154 P159:Q159">
    <cfRule type="containsText" dxfId="9" priority="33759" operator="containsText" text="No">
      <formula>NOT(ISERROR(SEARCH(("No"),(O145))))</formula>
    </cfRule>
  </conditionalFormatting>
  <conditionalFormatting sqref="O145:Q145 P147:Q147 P149:Q152 P154:Q154 P159:Q159">
    <cfRule type="containsText" dxfId="9" priority="33760" operator="containsText" text="No">
      <formula>NOT(ISERROR(SEARCH(("No"),(O145))))</formula>
    </cfRule>
  </conditionalFormatting>
  <conditionalFormatting sqref="O145:Q145 P147:Q147 P149:Q152 P154:Q154 P159:Q159">
    <cfRule type="containsText" dxfId="9" priority="33761" operator="containsText" text="No">
      <formula>NOT(ISERROR(SEARCH(("No"),(O145))))</formula>
    </cfRule>
  </conditionalFormatting>
  <conditionalFormatting sqref="O145:Q145 P147:Q147 P149:Q152 P154:Q154 P159:Q159">
    <cfRule type="containsText" dxfId="9" priority="33762" operator="containsText" text="No">
      <formula>NOT(ISERROR(SEARCH(("No"),(O145))))</formula>
    </cfRule>
  </conditionalFormatting>
  <conditionalFormatting sqref="O145:Q145 P147:Q147 P149:Q152 P154:Q154 P159:Q159">
    <cfRule type="containsText" dxfId="9" priority="33763" operator="containsText" text="No">
      <formula>NOT(ISERROR(SEARCH(("No"),(O145))))</formula>
    </cfRule>
  </conditionalFormatting>
  <conditionalFormatting sqref="O145:Q145 P147:Q147 P149:Q152 P154:Q154 P159:Q159">
    <cfRule type="containsText" dxfId="9" priority="33764" operator="containsText" text="No">
      <formula>NOT(ISERROR(SEARCH(("No"),(O145))))</formula>
    </cfRule>
  </conditionalFormatting>
  <conditionalFormatting sqref="O145:Q145 P147:Q147 P149:Q152 P154:Q154 P159:Q159">
    <cfRule type="containsText" dxfId="9" priority="33765" operator="containsText" text="No">
      <formula>NOT(ISERROR(SEARCH(("No"),(O145))))</formula>
    </cfRule>
  </conditionalFormatting>
  <conditionalFormatting sqref="O145:Q145 P147:Q147 P149:Q152 P154:Q154 P159:Q159">
    <cfRule type="containsText" dxfId="9" priority="33766" operator="containsText" text="No">
      <formula>NOT(ISERROR(SEARCH(("No"),(O145))))</formula>
    </cfRule>
  </conditionalFormatting>
  <conditionalFormatting sqref="O145:Q145 P147:Q147 P149:Q152 P154:Q154 P159:Q159">
    <cfRule type="containsText" dxfId="9" priority="33767" operator="containsText" text="No">
      <formula>NOT(ISERROR(SEARCH(("No"),(O145))))</formula>
    </cfRule>
  </conditionalFormatting>
  <conditionalFormatting sqref="O145:Q145 P147:Q147 P149:Q152 P154:Q154 P159:Q159">
    <cfRule type="containsText" dxfId="9" priority="33768" operator="containsText" text="No">
      <formula>NOT(ISERROR(SEARCH(("No"),(O145))))</formula>
    </cfRule>
  </conditionalFormatting>
  <conditionalFormatting sqref="O145:Q145 P147:Q147 P149:Q152 P154:Q154 P159:Q159">
    <cfRule type="containsText" dxfId="9" priority="33769" operator="containsText" text="No">
      <formula>NOT(ISERROR(SEARCH(("No"),(O145))))</formula>
    </cfRule>
  </conditionalFormatting>
  <conditionalFormatting sqref="O145:Q145 P147:Q147 P149:Q152 P154:Q154 P159:Q159">
    <cfRule type="containsText" dxfId="9" priority="33770" operator="containsText" text="No">
      <formula>NOT(ISERROR(SEARCH(("No"),(O145))))</formula>
    </cfRule>
  </conditionalFormatting>
  <conditionalFormatting sqref="O145:Q145 P147:Q147 P149:Q152 P154:Q154 P159:Q159">
    <cfRule type="containsText" dxfId="9" priority="33771" operator="containsText" text="No">
      <formula>NOT(ISERROR(SEARCH(("No"),(O145))))</formula>
    </cfRule>
  </conditionalFormatting>
  <conditionalFormatting sqref="O145:Q145 P147:Q147 P149:Q152 P154:Q154 P159:Q159">
    <cfRule type="containsText" dxfId="9" priority="33772" operator="containsText" text="No">
      <formula>NOT(ISERROR(SEARCH(("No"),(O145))))</formula>
    </cfRule>
  </conditionalFormatting>
  <conditionalFormatting sqref="O145:Q145 P147:Q147 P149:Q152 P154:Q154 P159:Q159">
    <cfRule type="containsText" dxfId="9" priority="33773" operator="containsText" text="No">
      <formula>NOT(ISERROR(SEARCH(("No"),(O145))))</formula>
    </cfRule>
  </conditionalFormatting>
  <conditionalFormatting sqref="O145:Q145 P147:Q147 P149:Q152 P154:Q154 P159:Q159">
    <cfRule type="containsText" dxfId="9" priority="33774" operator="containsText" text="No">
      <formula>NOT(ISERROR(SEARCH(("No"),(O145))))</formula>
    </cfRule>
  </conditionalFormatting>
  <conditionalFormatting sqref="O145:Q145 P147:Q147 P149:Q152 P154:Q154 P159:Q159">
    <cfRule type="containsText" dxfId="9" priority="33775" operator="containsText" text="No">
      <formula>NOT(ISERROR(SEARCH(("No"),(O145))))</formula>
    </cfRule>
  </conditionalFormatting>
  <conditionalFormatting sqref="O145:Q145 P147:Q147 P149:Q152 P154:Q154 P159:Q159">
    <cfRule type="containsText" dxfId="9" priority="33776" operator="containsText" text="No">
      <formula>NOT(ISERROR(SEARCH(("No"),(O145))))</formula>
    </cfRule>
  </conditionalFormatting>
  <conditionalFormatting sqref="O145:Q145 P147:Q147 P149:Q152 P154:Q154 P159:Q159">
    <cfRule type="containsText" dxfId="9" priority="33777" operator="containsText" text="No">
      <formula>NOT(ISERROR(SEARCH(("No"),(O145))))</formula>
    </cfRule>
  </conditionalFormatting>
  <conditionalFormatting sqref="O145:Q145 P147:Q147 P149:Q152 P154:Q154 P159:Q159">
    <cfRule type="containsText" dxfId="9" priority="33778" operator="containsText" text="No">
      <formula>NOT(ISERROR(SEARCH(("No"),(O145))))</formula>
    </cfRule>
  </conditionalFormatting>
  <conditionalFormatting sqref="O145:Q145 P147:Q147 P149:Q152 P154:Q154 P159:Q159">
    <cfRule type="containsText" dxfId="9" priority="33779" operator="containsText" text="No">
      <formula>NOT(ISERROR(SEARCH(("No"),(O145))))</formula>
    </cfRule>
  </conditionalFormatting>
  <conditionalFormatting sqref="O145:Q145 P147:Q147 P149:Q152 P154:Q154 P159:Q159">
    <cfRule type="containsText" dxfId="9" priority="33780" operator="containsText" text="No">
      <formula>NOT(ISERROR(SEARCH(("No"),(O145))))</formula>
    </cfRule>
  </conditionalFormatting>
  <conditionalFormatting sqref="O145:Q145 P147:Q147 P149:Q152 P154:Q154 P159:Q159">
    <cfRule type="containsText" dxfId="9" priority="33781" operator="containsText" text="No">
      <formula>NOT(ISERROR(SEARCH(("No"),(O145))))</formula>
    </cfRule>
  </conditionalFormatting>
  <conditionalFormatting sqref="O145:Q145 P147:Q147 P149:Q152 P154:Q154 P159:Q159">
    <cfRule type="containsText" dxfId="9" priority="33782" operator="containsText" text="No">
      <formula>NOT(ISERROR(SEARCH(("No"),(O145))))</formula>
    </cfRule>
  </conditionalFormatting>
  <conditionalFormatting sqref="O145:Q145 P147:Q147 P149:Q152 P154:Q154 P159:Q159">
    <cfRule type="containsText" dxfId="9" priority="33783" operator="containsText" text="No">
      <formula>NOT(ISERROR(SEARCH(("No"),(O145))))</formula>
    </cfRule>
  </conditionalFormatting>
  <conditionalFormatting sqref="O145:Q145 P147:Q147 P149:Q152 P154:Q154 P159:Q159">
    <cfRule type="containsText" dxfId="9" priority="33784" operator="containsText" text="No">
      <formula>NOT(ISERROR(SEARCH(("No"),(O145))))</formula>
    </cfRule>
  </conditionalFormatting>
  <conditionalFormatting sqref="O145:Q145 P147:Q147 P149:Q152 P154:Q154 P159:Q159">
    <cfRule type="containsText" dxfId="9" priority="33785" operator="containsText" text="No">
      <formula>NOT(ISERROR(SEARCH(("No"),(O145))))</formula>
    </cfRule>
  </conditionalFormatting>
  <conditionalFormatting sqref="O145:Q145 P147:Q147 P149:Q152 P154:Q154 P159:Q159">
    <cfRule type="containsText" dxfId="9" priority="33786" operator="containsText" text="No">
      <formula>NOT(ISERROR(SEARCH(("No"),(O145))))</formula>
    </cfRule>
  </conditionalFormatting>
  <conditionalFormatting sqref="O145:Q145 P147:Q147 P149:Q152 P154:Q154 P159:Q159">
    <cfRule type="containsText" dxfId="9" priority="33787" operator="containsText" text="No">
      <formula>NOT(ISERROR(SEARCH(("No"),(O145))))</formula>
    </cfRule>
  </conditionalFormatting>
  <conditionalFormatting sqref="O145:Q145 P147:Q147 P149:Q152 P154:Q154 P159:Q159">
    <cfRule type="containsText" dxfId="9" priority="33788" operator="containsText" text="No">
      <formula>NOT(ISERROR(SEARCH(("No"),(O145))))</formula>
    </cfRule>
  </conditionalFormatting>
  <conditionalFormatting sqref="O145:Q145 P147:Q147 P149:Q152 P154:Q154 P159:Q159">
    <cfRule type="containsText" dxfId="9" priority="33789" operator="containsText" text="No">
      <formula>NOT(ISERROR(SEARCH(("No"),(O145))))</formula>
    </cfRule>
  </conditionalFormatting>
  <conditionalFormatting sqref="O145:Q145 P147:Q147 P149:Q152 P154:Q154 P159:Q159">
    <cfRule type="containsText" dxfId="9" priority="33790" operator="containsText" text="No">
      <formula>NOT(ISERROR(SEARCH(("No"),(O145))))</formula>
    </cfRule>
  </conditionalFormatting>
  <conditionalFormatting sqref="O145:Q145 P147:Q147 P149:Q152 P154:Q154 P159:Q159">
    <cfRule type="containsText" dxfId="9" priority="33791" operator="containsText" text="No">
      <formula>NOT(ISERROR(SEARCH(("No"),(O145))))</formula>
    </cfRule>
  </conditionalFormatting>
  <conditionalFormatting sqref="O145:Q145 P147:Q147 P149:Q152 P154:Q154 P159:Q159">
    <cfRule type="containsText" dxfId="9" priority="33792" operator="containsText" text="No">
      <formula>NOT(ISERROR(SEARCH(("No"),(O145))))</formula>
    </cfRule>
  </conditionalFormatting>
  <conditionalFormatting sqref="O145:Q145 P147:Q147 P149:Q152 P154:Q154 P159:Q159">
    <cfRule type="containsText" dxfId="9" priority="33793" operator="containsText" text="No">
      <formula>NOT(ISERROR(SEARCH(("No"),(O145))))</formula>
    </cfRule>
  </conditionalFormatting>
  <conditionalFormatting sqref="O145:Q145 P147:Q147 P149:Q152 P154:Q154 P159:Q159">
    <cfRule type="containsText" dxfId="9" priority="33794" operator="containsText" text="No">
      <formula>NOT(ISERROR(SEARCH(("No"),(O145))))</formula>
    </cfRule>
  </conditionalFormatting>
  <conditionalFormatting sqref="O145:Q145 P147:Q147 P149:Q152 P154:Q154 P159:Q159">
    <cfRule type="containsText" dxfId="9" priority="33795" operator="containsText" text="No">
      <formula>NOT(ISERROR(SEARCH(("No"),(O145))))</formula>
    </cfRule>
  </conditionalFormatting>
  <conditionalFormatting sqref="O145:Q145 P147:Q147 P149:Q152 P154:Q154 P159:Q159">
    <cfRule type="containsText" dxfId="9" priority="33796" operator="containsText" text="No">
      <formula>NOT(ISERROR(SEARCH(("No"),(O145))))</formula>
    </cfRule>
  </conditionalFormatting>
  <conditionalFormatting sqref="O145:Q145 P147:Q147 P149:Q152 P154:Q154 P159:Q159">
    <cfRule type="containsText" dxfId="9" priority="33797" operator="containsText" text="No">
      <formula>NOT(ISERROR(SEARCH(("No"),(O145))))</formula>
    </cfRule>
  </conditionalFormatting>
  <conditionalFormatting sqref="O145:Q145 P147:Q147 P149:Q152 P154:Q154 P159:Q159">
    <cfRule type="containsText" dxfId="9" priority="33798" operator="containsText" text="No">
      <formula>NOT(ISERROR(SEARCH(("No"),(O145))))</formula>
    </cfRule>
  </conditionalFormatting>
  <conditionalFormatting sqref="O145:Q145 P147:Q147 P149:Q152 P154:Q154 P159:Q159">
    <cfRule type="containsText" dxfId="9" priority="33799" operator="containsText" text="No">
      <formula>NOT(ISERROR(SEARCH(("No"),(O145))))</formula>
    </cfRule>
  </conditionalFormatting>
  <conditionalFormatting sqref="O145:Q145 P147:Q147 P149:Q152 P154:Q154 P159:Q159">
    <cfRule type="containsText" dxfId="9" priority="33800" operator="containsText" text="No">
      <formula>NOT(ISERROR(SEARCH(("No"),(O145))))</formula>
    </cfRule>
  </conditionalFormatting>
  <conditionalFormatting sqref="O145:Q145 P147:Q147 P149:Q152 P154:Q154 P159:Q159">
    <cfRule type="containsText" dxfId="9" priority="33801" operator="containsText" text="No">
      <formula>NOT(ISERROR(SEARCH(("No"),(O145))))</formula>
    </cfRule>
  </conditionalFormatting>
  <conditionalFormatting sqref="O145:Q145 P147:Q147 P149:Q152 P154:Q154 P159:Q159">
    <cfRule type="containsText" dxfId="2" priority="33802" operator="containsText" text="Yes">
      <formula>NOT(ISERROR(SEARCH(("Yes"),(O145))))</formula>
    </cfRule>
  </conditionalFormatting>
  <conditionalFormatting sqref="O145:Q145 P147:Q147 P149:Q152 P154:Q154 P159:Q159">
    <cfRule type="containsText" dxfId="2" priority="33803" operator="containsText" text="Yes">
      <formula>NOT(ISERROR(SEARCH(("Yes"),(O145))))</formula>
    </cfRule>
  </conditionalFormatting>
  <conditionalFormatting sqref="O145:Q145 P147:Q147 P149:Q152 P154:Q154 P159:Q159">
    <cfRule type="containsText" dxfId="2" priority="33804" operator="containsText" text="Yes">
      <formula>NOT(ISERROR(SEARCH(("Yes"),(O145))))</formula>
    </cfRule>
  </conditionalFormatting>
  <conditionalFormatting sqref="O145:Q145 P147:Q147 P149:Q152 P154:Q154 P159:Q159">
    <cfRule type="containsText" dxfId="2" priority="33805" operator="containsText" text="Yes">
      <formula>NOT(ISERROR(SEARCH(("Yes"),(O145))))</formula>
    </cfRule>
  </conditionalFormatting>
  <conditionalFormatting sqref="O145:Q145 P147:Q147 P149:Q152 P154:Q154 P159:Q159">
    <cfRule type="containsText" dxfId="2" priority="33806" operator="containsText" text="Yes">
      <formula>NOT(ISERROR(SEARCH(("Yes"),(O145))))</formula>
    </cfRule>
  </conditionalFormatting>
  <conditionalFormatting sqref="O145:Q145 P147:Q147 P149:Q152 P154:Q154 P159:Q159">
    <cfRule type="containsText" dxfId="2" priority="33807" operator="containsText" text="Yes">
      <formula>NOT(ISERROR(SEARCH(("Yes"),(O145))))</formula>
    </cfRule>
  </conditionalFormatting>
  <conditionalFormatting sqref="O145:Q145 P147:Q147 P149:Q152 P154:Q154 P159:Q159">
    <cfRule type="containsText" dxfId="2" priority="33808" operator="containsText" text="Yes">
      <formula>NOT(ISERROR(SEARCH(("Yes"),(O145))))</formula>
    </cfRule>
  </conditionalFormatting>
  <conditionalFormatting sqref="O145:Q145 P147:Q147 P149:Q152 P154:Q154 P159:Q159">
    <cfRule type="containsText" dxfId="2" priority="33809" operator="containsText" text="Yes">
      <formula>NOT(ISERROR(SEARCH(("Yes"),(O145))))</formula>
    </cfRule>
  </conditionalFormatting>
  <conditionalFormatting sqref="O145:Q145 P147:Q147 P149:Q152 P154:Q154 P159:Q159">
    <cfRule type="containsText" dxfId="2" priority="33810" operator="containsText" text="Yes">
      <formula>NOT(ISERROR(SEARCH(("Yes"),(O145))))</formula>
    </cfRule>
  </conditionalFormatting>
  <conditionalFormatting sqref="O145:Q145 P147:Q147 P149:Q152 P154:Q154 P159:Q159">
    <cfRule type="containsText" dxfId="2" priority="33811" operator="containsText" text="Yes">
      <formula>NOT(ISERROR(SEARCH(("Yes"),(O145))))</formula>
    </cfRule>
  </conditionalFormatting>
  <conditionalFormatting sqref="O145:Q145 P147:Q147 P149:Q152 P154:Q154 P159:Q159">
    <cfRule type="containsText" dxfId="2" priority="33812" operator="containsText" text="Yes">
      <formula>NOT(ISERROR(SEARCH(("Yes"),(O145))))</formula>
    </cfRule>
  </conditionalFormatting>
  <conditionalFormatting sqref="O145:Q145 P147:Q147 P149:Q152 P154:Q154 P159:Q159">
    <cfRule type="containsText" dxfId="2" priority="33813" operator="containsText" text="Yes">
      <formula>NOT(ISERROR(SEARCH(("Yes"),(O145))))</formula>
    </cfRule>
  </conditionalFormatting>
  <conditionalFormatting sqref="O145:Q145 P147:Q147 P149:Q152 P154:Q154 P159:Q159">
    <cfRule type="containsText" dxfId="2" priority="33814" operator="containsText" text="Yes">
      <formula>NOT(ISERROR(SEARCH(("Yes"),(O145))))</formula>
    </cfRule>
  </conditionalFormatting>
  <conditionalFormatting sqref="O145:Q145 P147:Q147 P149:Q152 P154:Q154 P159:Q159">
    <cfRule type="containsText" dxfId="2" priority="33815" operator="containsText" text="Yes">
      <formula>NOT(ISERROR(SEARCH(("Yes"),(O145))))</formula>
    </cfRule>
  </conditionalFormatting>
  <conditionalFormatting sqref="O145:Q145 P147:Q147 P149:Q152 P154:Q154 P159:Q159">
    <cfRule type="containsText" dxfId="2" priority="33816" operator="containsText" text="Yes">
      <formula>NOT(ISERROR(SEARCH(("Yes"),(O145))))</formula>
    </cfRule>
  </conditionalFormatting>
  <conditionalFormatting sqref="O145:Q145 P147:Q147 P149:Q152 P154:Q154 P159:Q159">
    <cfRule type="containsText" dxfId="2" priority="33817" operator="containsText" text="Yes">
      <formula>NOT(ISERROR(SEARCH(("Yes"),(O145))))</formula>
    </cfRule>
  </conditionalFormatting>
  <conditionalFormatting sqref="O145:Q145 P147:Q147 P149:Q152 P154:Q154 P159:Q159">
    <cfRule type="containsText" dxfId="2" priority="33818" operator="containsText" text="Yes">
      <formula>NOT(ISERROR(SEARCH(("Yes"),(O145))))</formula>
    </cfRule>
  </conditionalFormatting>
  <conditionalFormatting sqref="O145:Q145 P147:Q147 P149:Q152 P154:Q154 P159:Q159">
    <cfRule type="containsText" dxfId="2" priority="33819" operator="containsText" text="Yes">
      <formula>NOT(ISERROR(SEARCH(("Yes"),(O145))))</formula>
    </cfRule>
  </conditionalFormatting>
  <conditionalFormatting sqref="O145:Q145 P147:Q147 P149:Q152 P154:Q154 P159:Q159">
    <cfRule type="containsText" dxfId="2" priority="33820" operator="containsText" text="Yes">
      <formula>NOT(ISERROR(SEARCH(("Yes"),(O145))))</formula>
    </cfRule>
  </conditionalFormatting>
  <conditionalFormatting sqref="O145:Q145 P147:Q147 P149:Q152 P154:Q154 P159:Q159">
    <cfRule type="containsText" dxfId="2" priority="33821" operator="containsText" text="Yes">
      <formula>NOT(ISERROR(SEARCH(("Yes"),(O145))))</formula>
    </cfRule>
  </conditionalFormatting>
  <conditionalFormatting sqref="O145:Q145 P147:Q147 P149:Q152 P154:Q154 P159:Q159">
    <cfRule type="containsText" dxfId="2" priority="33822" operator="containsText" text="Yes">
      <formula>NOT(ISERROR(SEARCH(("Yes"),(O145))))</formula>
    </cfRule>
  </conditionalFormatting>
  <conditionalFormatting sqref="O145:Q145 P147:Q147 P149:Q152 P154:Q154 P159:Q159">
    <cfRule type="containsText" dxfId="2" priority="33823" operator="containsText" text="Yes">
      <formula>NOT(ISERROR(SEARCH(("Yes"),(O145))))</formula>
    </cfRule>
  </conditionalFormatting>
  <conditionalFormatting sqref="O145:Q145 P147:Q147 P149:Q152 P154:Q154 P159:Q159">
    <cfRule type="containsText" dxfId="2" priority="33824" operator="containsText" text="Yes">
      <formula>NOT(ISERROR(SEARCH(("Yes"),(O145))))</formula>
    </cfRule>
  </conditionalFormatting>
  <conditionalFormatting sqref="O145:Q145 P147:Q147 P149:Q152 P154:Q154 P159:Q159">
    <cfRule type="containsText" dxfId="2" priority="33825" operator="containsText" text="Yes">
      <formula>NOT(ISERROR(SEARCH(("Yes"),(O145))))</formula>
    </cfRule>
  </conditionalFormatting>
  <conditionalFormatting sqref="O145:Q145 P147:Q147 P149:Q152 P154:Q154 P159:Q159">
    <cfRule type="containsText" dxfId="2" priority="33826" operator="containsText" text="Yes">
      <formula>NOT(ISERROR(SEARCH(("Yes"),(O145))))</formula>
    </cfRule>
  </conditionalFormatting>
  <conditionalFormatting sqref="O145:Q145 P147:Q147 P149:Q152 P154:Q154 P159:Q159">
    <cfRule type="containsText" dxfId="2" priority="33827" operator="containsText" text="Yes">
      <formula>NOT(ISERROR(SEARCH(("Yes"),(O145))))</formula>
    </cfRule>
  </conditionalFormatting>
  <conditionalFormatting sqref="O145:Q145 P147:Q147 P149:Q152 P154:Q154 P159:Q159">
    <cfRule type="containsText" dxfId="2" priority="33828" operator="containsText" text="Yes">
      <formula>NOT(ISERROR(SEARCH(("Yes"),(O145))))</formula>
    </cfRule>
  </conditionalFormatting>
  <conditionalFormatting sqref="O145:Q145 P147:Q147 P149:Q152 P154:Q154 P159:Q159">
    <cfRule type="containsText" dxfId="2" priority="33829" operator="containsText" text="Yes">
      <formula>NOT(ISERROR(SEARCH(("Yes"),(O145))))</formula>
    </cfRule>
  </conditionalFormatting>
  <conditionalFormatting sqref="O145:Q145 P147:Q147 P149:Q152 P154:Q154 P159:Q159">
    <cfRule type="containsText" dxfId="2" priority="33830" operator="containsText" text="Yes">
      <formula>NOT(ISERROR(SEARCH(("Yes"),(O145))))</formula>
    </cfRule>
  </conditionalFormatting>
  <conditionalFormatting sqref="O145:Q145 P147:Q147 P149:Q152 P154:Q154 P159:Q159">
    <cfRule type="containsText" dxfId="2" priority="33831" operator="containsText" text="Yes">
      <formula>NOT(ISERROR(SEARCH(("Yes"),(O145))))</formula>
    </cfRule>
  </conditionalFormatting>
  <conditionalFormatting sqref="O145:Q145 P147:Q147 P149:Q152 P154:Q154 P159:Q159">
    <cfRule type="containsText" dxfId="2" priority="33832" operator="containsText" text="Yes">
      <formula>NOT(ISERROR(SEARCH(("Yes"),(O145))))</formula>
    </cfRule>
  </conditionalFormatting>
  <conditionalFormatting sqref="O145:Q145 P147:Q147 P149:Q152 P154:Q154 P159:Q159">
    <cfRule type="containsText" dxfId="2" priority="33833" operator="containsText" text="Yes">
      <formula>NOT(ISERROR(SEARCH(("Yes"),(O145))))</formula>
    </cfRule>
  </conditionalFormatting>
  <conditionalFormatting sqref="O145:Q145 P147:Q147 P149:Q152 P154:Q154 P159:Q159">
    <cfRule type="containsText" dxfId="2" priority="33834" operator="containsText" text="Yes">
      <formula>NOT(ISERROR(SEARCH(("Yes"),(O145))))</formula>
    </cfRule>
  </conditionalFormatting>
  <conditionalFormatting sqref="O145:Q145 P147:Q147 P149:Q152 P154:Q154 P159:Q159">
    <cfRule type="containsText" dxfId="2" priority="33835" operator="containsText" text="Yes">
      <formula>NOT(ISERROR(SEARCH(("Yes"),(O145))))</formula>
    </cfRule>
  </conditionalFormatting>
  <conditionalFormatting sqref="O145:Q145 P147:Q147 P149:Q152 P154:Q154 P159:Q159">
    <cfRule type="containsText" dxfId="2" priority="33836" operator="containsText" text="Yes">
      <formula>NOT(ISERROR(SEARCH(("Yes"),(O145))))</formula>
    </cfRule>
  </conditionalFormatting>
  <conditionalFormatting sqref="O145:Q145 P147:Q147 P149:Q152 P154:Q154 P159:Q159">
    <cfRule type="containsText" dxfId="2" priority="33837" operator="containsText" text="Yes">
      <formula>NOT(ISERROR(SEARCH(("Yes"),(O145))))</formula>
    </cfRule>
  </conditionalFormatting>
  <conditionalFormatting sqref="O145:Q145 P147:Q147 P149:Q152 P154:Q154 P159:Q159">
    <cfRule type="containsText" dxfId="2" priority="33838" operator="containsText" text="Yes">
      <formula>NOT(ISERROR(SEARCH(("Yes"),(O145))))</formula>
    </cfRule>
  </conditionalFormatting>
  <conditionalFormatting sqref="O145:Q145 P147:Q147 P149:Q152 P154:Q154 P159:Q159">
    <cfRule type="containsText" dxfId="2" priority="33839" operator="containsText" text="Yes">
      <formula>NOT(ISERROR(SEARCH(("Yes"),(O145))))</formula>
    </cfRule>
  </conditionalFormatting>
  <conditionalFormatting sqref="O145:Q145 P147:Q147 P149:Q152 P154:Q154 P159:Q159">
    <cfRule type="containsText" dxfId="2" priority="33840" operator="containsText" text="Yes">
      <formula>NOT(ISERROR(SEARCH(("Yes"),(O145))))</formula>
    </cfRule>
  </conditionalFormatting>
  <conditionalFormatting sqref="O145:Q145 P147:Q147 P149:Q152 P154:Q154 P159:Q159">
    <cfRule type="containsText" dxfId="2" priority="33841" operator="containsText" text="Yes">
      <formula>NOT(ISERROR(SEARCH(("Yes"),(O145))))</formula>
    </cfRule>
  </conditionalFormatting>
  <conditionalFormatting sqref="O145:Q145 P147:Q147 P149:Q152 P154:Q154 P159:Q159">
    <cfRule type="containsText" dxfId="2" priority="33842" operator="containsText" text="Yes">
      <formula>NOT(ISERROR(SEARCH(("Yes"),(O145))))</formula>
    </cfRule>
  </conditionalFormatting>
  <conditionalFormatting sqref="O145:Q145 P147:Q147 P149:Q152 P154:Q154 P159:Q159">
    <cfRule type="containsText" dxfId="2" priority="33843" operator="containsText" text="Yes">
      <formula>NOT(ISERROR(SEARCH(("Yes"),(O145))))</formula>
    </cfRule>
  </conditionalFormatting>
  <conditionalFormatting sqref="O145:Q145 P147:Q147 P149:Q152 P154:Q154 P159:Q159">
    <cfRule type="containsText" dxfId="2" priority="33844" operator="containsText" text="Yes">
      <formula>NOT(ISERROR(SEARCH(("Yes"),(O145))))</formula>
    </cfRule>
  </conditionalFormatting>
  <conditionalFormatting sqref="O145:Q145 P147:Q147 P149:Q152 P154:Q154 P159:Q159">
    <cfRule type="containsText" dxfId="2" priority="33845" operator="containsText" text="Yes">
      <formula>NOT(ISERROR(SEARCH(("Yes"),(O145))))</formula>
    </cfRule>
  </conditionalFormatting>
  <conditionalFormatting sqref="O145:Q145 P147:Q147 P149:Q152 P154:Q154 P159:Q159">
    <cfRule type="containsText" dxfId="2" priority="33846" operator="containsText" text="Yes">
      <formula>NOT(ISERROR(SEARCH(("Yes"),(O145))))</formula>
    </cfRule>
  </conditionalFormatting>
  <conditionalFormatting sqref="O145:Q145 P147:Q147 P149:Q152 P154:Q154 P159:Q159">
    <cfRule type="containsText" dxfId="2" priority="33847" operator="containsText" text="Yes">
      <formula>NOT(ISERROR(SEARCH(("Yes"),(O145))))</formula>
    </cfRule>
  </conditionalFormatting>
  <conditionalFormatting sqref="O145:Q145 P147:Q147 P149:Q152 P154:Q154 P159:Q159">
    <cfRule type="containsText" dxfId="2" priority="33848" operator="containsText" text="Yes">
      <formula>NOT(ISERROR(SEARCH(("Yes"),(O145))))</formula>
    </cfRule>
  </conditionalFormatting>
  <conditionalFormatting sqref="P146:Q152 P154:Q154 P159:Q159">
    <cfRule type="containsText" dxfId="9" priority="33849" operator="containsText" text="No">
      <formula>NOT(ISERROR(SEARCH(("No"),(P146))))</formula>
    </cfRule>
  </conditionalFormatting>
  <conditionalFormatting sqref="P146:Q152 P154:Q154 P159:Q159">
    <cfRule type="containsText" dxfId="9" priority="33850" operator="containsText" text="No">
      <formula>NOT(ISERROR(SEARCH(("No"),(P146))))</formula>
    </cfRule>
  </conditionalFormatting>
  <conditionalFormatting sqref="P146:Q152 P154:Q154 P159:Q159">
    <cfRule type="containsText" dxfId="9" priority="33851" operator="containsText" text="No">
      <formula>NOT(ISERROR(SEARCH(("No"),(P146))))</formula>
    </cfRule>
  </conditionalFormatting>
  <conditionalFormatting sqref="P146:Q152 P154:Q154 P159:Q159">
    <cfRule type="containsText" dxfId="9" priority="33852" operator="containsText" text="No">
      <formula>NOT(ISERROR(SEARCH(("No"),(P146))))</formula>
    </cfRule>
  </conditionalFormatting>
  <conditionalFormatting sqref="P146:Q152 P154:Q154 P159:Q159">
    <cfRule type="containsText" dxfId="9" priority="33853" operator="containsText" text="No">
      <formula>NOT(ISERROR(SEARCH(("No"),(P146))))</formula>
    </cfRule>
  </conditionalFormatting>
  <conditionalFormatting sqref="P146:Q152 P154:Q154 P159:Q159">
    <cfRule type="containsText" dxfId="9" priority="33854" operator="containsText" text="No">
      <formula>NOT(ISERROR(SEARCH(("No"),(P146))))</formula>
    </cfRule>
  </conditionalFormatting>
  <conditionalFormatting sqref="P146:Q152 P154:Q154 P159:Q159">
    <cfRule type="containsText" dxfId="9" priority="33855" operator="containsText" text="No">
      <formula>NOT(ISERROR(SEARCH(("No"),(P146))))</formula>
    </cfRule>
  </conditionalFormatting>
  <conditionalFormatting sqref="P146:Q152 P154:Q154 P159:Q159">
    <cfRule type="containsText" dxfId="9" priority="33856" operator="containsText" text="No">
      <formula>NOT(ISERROR(SEARCH(("No"),(P146))))</formula>
    </cfRule>
  </conditionalFormatting>
  <conditionalFormatting sqref="P146:Q152 P154:Q154 P159:Q159">
    <cfRule type="containsText" dxfId="9" priority="33857" operator="containsText" text="No">
      <formula>NOT(ISERROR(SEARCH(("No"),(P146))))</formula>
    </cfRule>
  </conditionalFormatting>
  <conditionalFormatting sqref="P146:Q152 P154:Q154 P159:Q159">
    <cfRule type="containsText" dxfId="9" priority="33858" operator="containsText" text="No">
      <formula>NOT(ISERROR(SEARCH(("No"),(P146))))</formula>
    </cfRule>
  </conditionalFormatting>
  <conditionalFormatting sqref="P146:Q152 P154:Q154 P159:Q159">
    <cfRule type="containsText" dxfId="9" priority="33859" operator="containsText" text="No">
      <formula>NOT(ISERROR(SEARCH(("No"),(P146))))</formula>
    </cfRule>
  </conditionalFormatting>
  <conditionalFormatting sqref="P146:Q152 P154:Q154 P159:Q159">
    <cfRule type="containsText" dxfId="9" priority="33860" operator="containsText" text="No">
      <formula>NOT(ISERROR(SEARCH(("No"),(P146))))</formula>
    </cfRule>
  </conditionalFormatting>
  <conditionalFormatting sqref="P146:Q152 P154:Q154 P159:Q159">
    <cfRule type="containsText" dxfId="9" priority="33861" operator="containsText" text="No">
      <formula>NOT(ISERROR(SEARCH(("No"),(P146))))</formula>
    </cfRule>
  </conditionalFormatting>
  <conditionalFormatting sqref="P146:Q152 P154:Q154 P159:Q159">
    <cfRule type="containsText" dxfId="9" priority="33862" operator="containsText" text="No">
      <formula>NOT(ISERROR(SEARCH(("No"),(P146))))</formula>
    </cfRule>
  </conditionalFormatting>
  <conditionalFormatting sqref="P146:Q152 P154:Q154 P159:Q159">
    <cfRule type="containsText" dxfId="9" priority="33863" operator="containsText" text="No">
      <formula>NOT(ISERROR(SEARCH(("No"),(P146))))</formula>
    </cfRule>
  </conditionalFormatting>
  <conditionalFormatting sqref="P146:Q152 P154:Q154 P159:Q159">
    <cfRule type="containsText" dxfId="9" priority="33864" operator="containsText" text="No">
      <formula>NOT(ISERROR(SEARCH(("No"),(P146))))</formula>
    </cfRule>
  </conditionalFormatting>
  <conditionalFormatting sqref="P146:Q152 P154:Q154 P159:Q159">
    <cfRule type="containsText" dxfId="9" priority="33865" operator="containsText" text="No">
      <formula>NOT(ISERROR(SEARCH(("No"),(P146))))</formula>
    </cfRule>
  </conditionalFormatting>
  <conditionalFormatting sqref="P146:Q152 P154:Q154 P159:Q159">
    <cfRule type="containsText" dxfId="9" priority="33866" operator="containsText" text="No">
      <formula>NOT(ISERROR(SEARCH(("No"),(P146))))</formula>
    </cfRule>
  </conditionalFormatting>
  <conditionalFormatting sqref="P146:Q152 P154:Q154 P159:Q159">
    <cfRule type="containsText" dxfId="9" priority="33867" operator="containsText" text="No">
      <formula>NOT(ISERROR(SEARCH(("No"),(P146))))</formula>
    </cfRule>
  </conditionalFormatting>
  <conditionalFormatting sqref="P146:Q152 P154:Q154 P159:Q159">
    <cfRule type="containsText" dxfId="9" priority="33868" operator="containsText" text="No">
      <formula>NOT(ISERROR(SEARCH(("No"),(P146))))</formula>
    </cfRule>
  </conditionalFormatting>
  <conditionalFormatting sqref="P146:Q152 P154:Q154 P159:Q159">
    <cfRule type="containsText" dxfId="9" priority="33869" operator="containsText" text="No">
      <formula>NOT(ISERROR(SEARCH(("No"),(P146))))</formula>
    </cfRule>
  </conditionalFormatting>
  <conditionalFormatting sqref="P146:Q152 P154:Q154 P159:Q159">
    <cfRule type="containsText" dxfId="9" priority="33870" operator="containsText" text="No">
      <formula>NOT(ISERROR(SEARCH(("No"),(P146))))</formula>
    </cfRule>
  </conditionalFormatting>
  <conditionalFormatting sqref="P146:Q152 P154:Q154 P159:Q159">
    <cfRule type="containsText" dxfId="9" priority="33871" operator="containsText" text="No">
      <formula>NOT(ISERROR(SEARCH(("No"),(P146))))</formula>
    </cfRule>
  </conditionalFormatting>
  <conditionalFormatting sqref="P146:Q152 P154:Q154 P159:Q159">
    <cfRule type="containsText" dxfId="9" priority="33872" operator="containsText" text="No">
      <formula>NOT(ISERROR(SEARCH(("No"),(P146))))</formula>
    </cfRule>
  </conditionalFormatting>
  <conditionalFormatting sqref="P146:Q152 P154:Q154 P159:Q159">
    <cfRule type="containsText" dxfId="9" priority="33873" operator="containsText" text="No">
      <formula>NOT(ISERROR(SEARCH(("No"),(P146))))</formula>
    </cfRule>
  </conditionalFormatting>
  <conditionalFormatting sqref="P146:Q152 P154:Q154 P159:Q159">
    <cfRule type="containsText" dxfId="9" priority="33874" operator="containsText" text="No">
      <formula>NOT(ISERROR(SEARCH(("No"),(P146))))</formula>
    </cfRule>
  </conditionalFormatting>
  <conditionalFormatting sqref="P146:Q152 P154:Q154 P159:Q159">
    <cfRule type="containsText" dxfId="9" priority="33875" operator="containsText" text="No">
      <formula>NOT(ISERROR(SEARCH(("No"),(P146))))</formula>
    </cfRule>
  </conditionalFormatting>
  <conditionalFormatting sqref="P146:Q152 P154:Q154 P159:Q159">
    <cfRule type="containsText" dxfId="9" priority="33876" operator="containsText" text="No">
      <formula>NOT(ISERROR(SEARCH(("No"),(P146))))</formula>
    </cfRule>
  </conditionalFormatting>
  <conditionalFormatting sqref="P146:Q152 P154:Q154 P159:Q159">
    <cfRule type="containsText" dxfId="9" priority="33877" operator="containsText" text="No">
      <formula>NOT(ISERROR(SEARCH(("No"),(P146))))</formula>
    </cfRule>
  </conditionalFormatting>
  <conditionalFormatting sqref="P146:Q152 P154:Q154 P159:Q159">
    <cfRule type="containsText" dxfId="9" priority="33878" operator="containsText" text="No">
      <formula>NOT(ISERROR(SEARCH(("No"),(P146))))</formula>
    </cfRule>
  </conditionalFormatting>
  <conditionalFormatting sqref="P146:Q152 P154:Q154 P159:Q159">
    <cfRule type="containsText" dxfId="9" priority="33879" operator="containsText" text="No">
      <formula>NOT(ISERROR(SEARCH(("No"),(P146))))</formula>
    </cfRule>
  </conditionalFormatting>
  <conditionalFormatting sqref="P146:Q152 P154:Q154 P159:Q159">
    <cfRule type="containsText" dxfId="9" priority="33880" operator="containsText" text="No">
      <formula>NOT(ISERROR(SEARCH(("No"),(P146))))</formula>
    </cfRule>
  </conditionalFormatting>
  <conditionalFormatting sqref="P146:Q152 P154:Q154 P159:Q159">
    <cfRule type="containsText" dxfId="9" priority="33881" operator="containsText" text="No">
      <formula>NOT(ISERROR(SEARCH(("No"),(P146))))</formula>
    </cfRule>
  </conditionalFormatting>
  <conditionalFormatting sqref="P146:Q152 P154:Q154 P159:Q159">
    <cfRule type="containsText" dxfId="9" priority="33882" operator="containsText" text="No">
      <formula>NOT(ISERROR(SEARCH(("No"),(P146))))</formula>
    </cfRule>
  </conditionalFormatting>
  <conditionalFormatting sqref="P146:Q152 P154:Q154 P159:Q159">
    <cfRule type="containsText" dxfId="9" priority="33883" operator="containsText" text="No">
      <formula>NOT(ISERROR(SEARCH(("No"),(P146))))</formula>
    </cfRule>
  </conditionalFormatting>
  <conditionalFormatting sqref="P146:Q152 P154:Q154 P159:Q159">
    <cfRule type="containsText" dxfId="9" priority="33884" operator="containsText" text="No">
      <formula>NOT(ISERROR(SEARCH(("No"),(P146))))</formula>
    </cfRule>
  </conditionalFormatting>
  <conditionalFormatting sqref="P146:Q152 P154:Q154 P159:Q159">
    <cfRule type="containsText" dxfId="9" priority="33885" operator="containsText" text="No">
      <formula>NOT(ISERROR(SEARCH(("No"),(P146))))</formula>
    </cfRule>
  </conditionalFormatting>
  <conditionalFormatting sqref="P146:Q152 P154:Q154 P159:Q159">
    <cfRule type="containsText" dxfId="9" priority="33886" operator="containsText" text="No">
      <formula>NOT(ISERROR(SEARCH(("No"),(P146))))</formula>
    </cfRule>
  </conditionalFormatting>
  <conditionalFormatting sqref="P146:Q152 P154:Q154 P159:Q159">
    <cfRule type="containsText" dxfId="9" priority="33887" operator="containsText" text="No">
      <formula>NOT(ISERROR(SEARCH(("No"),(P146))))</formula>
    </cfRule>
  </conditionalFormatting>
  <conditionalFormatting sqref="P146:Q152 P154:Q154 P159:Q159">
    <cfRule type="containsText" dxfId="9" priority="33888" operator="containsText" text="No">
      <formula>NOT(ISERROR(SEARCH(("No"),(P146))))</formula>
    </cfRule>
  </conditionalFormatting>
  <conditionalFormatting sqref="P146:Q152 P154:Q154 P159:Q159">
    <cfRule type="containsText" dxfId="9" priority="33889" operator="containsText" text="No">
      <formula>NOT(ISERROR(SEARCH(("No"),(P146))))</formula>
    </cfRule>
  </conditionalFormatting>
  <conditionalFormatting sqref="P146:Q152 P154:Q154 P159:Q159">
    <cfRule type="containsText" dxfId="9" priority="33890" operator="containsText" text="No">
      <formula>NOT(ISERROR(SEARCH(("No"),(P146))))</formula>
    </cfRule>
  </conditionalFormatting>
  <conditionalFormatting sqref="P146:Q152 P154:Q154 P159:Q159">
    <cfRule type="containsText" dxfId="9" priority="33891" operator="containsText" text="No">
      <formula>NOT(ISERROR(SEARCH(("No"),(P146))))</formula>
    </cfRule>
  </conditionalFormatting>
  <conditionalFormatting sqref="P146:Q152 P154:Q154 P159:Q159">
    <cfRule type="containsText" dxfId="9" priority="33892" operator="containsText" text="No">
      <formula>NOT(ISERROR(SEARCH(("No"),(P146))))</formula>
    </cfRule>
  </conditionalFormatting>
  <conditionalFormatting sqref="P146:Q152 P154:Q154 P159:Q159">
    <cfRule type="containsText" dxfId="9" priority="33893" operator="containsText" text="No">
      <formula>NOT(ISERROR(SEARCH(("No"),(P146))))</formula>
    </cfRule>
  </conditionalFormatting>
  <conditionalFormatting sqref="P146:Q152 P154:Q154 P159:Q159">
    <cfRule type="containsText" dxfId="2" priority="33894" operator="containsText" text="Yes">
      <formula>NOT(ISERROR(SEARCH(("Yes"),(P146))))</formula>
    </cfRule>
  </conditionalFormatting>
  <conditionalFormatting sqref="P146:Q152 P154:Q154 P159:Q159">
    <cfRule type="containsText" dxfId="2" priority="33895" operator="containsText" text="Yes">
      <formula>NOT(ISERROR(SEARCH(("Yes"),(P146))))</formula>
    </cfRule>
  </conditionalFormatting>
  <conditionalFormatting sqref="P146:Q152 P154:Q154 P159:Q159">
    <cfRule type="containsText" dxfId="2" priority="33896" operator="containsText" text="Yes">
      <formula>NOT(ISERROR(SEARCH(("Yes"),(P146))))</formula>
    </cfRule>
  </conditionalFormatting>
  <conditionalFormatting sqref="P146:Q152 P154:Q154 P159:Q159">
    <cfRule type="containsText" dxfId="2" priority="33897" operator="containsText" text="Yes">
      <formula>NOT(ISERROR(SEARCH(("Yes"),(P146))))</formula>
    </cfRule>
  </conditionalFormatting>
  <conditionalFormatting sqref="P146:Q152 P154:Q154 P159:Q159">
    <cfRule type="containsText" dxfId="2" priority="33898" operator="containsText" text="Yes">
      <formula>NOT(ISERROR(SEARCH(("Yes"),(P146))))</formula>
    </cfRule>
  </conditionalFormatting>
  <conditionalFormatting sqref="P146:Q152 P154:Q154 P159:Q159">
    <cfRule type="containsText" dxfId="2" priority="33899" operator="containsText" text="Yes">
      <formula>NOT(ISERROR(SEARCH(("Yes"),(P146))))</formula>
    </cfRule>
  </conditionalFormatting>
  <conditionalFormatting sqref="P146:Q152 P154:Q154 P159:Q159">
    <cfRule type="containsText" dxfId="2" priority="33900" operator="containsText" text="Yes">
      <formula>NOT(ISERROR(SEARCH(("Yes"),(P146))))</formula>
    </cfRule>
  </conditionalFormatting>
  <conditionalFormatting sqref="P146:Q152 P154:Q154 P159:Q159">
    <cfRule type="containsText" dxfId="2" priority="33901" operator="containsText" text="Yes">
      <formula>NOT(ISERROR(SEARCH(("Yes"),(P146))))</formula>
    </cfRule>
  </conditionalFormatting>
  <conditionalFormatting sqref="P146:Q152 P154:Q154 P159:Q159">
    <cfRule type="containsText" dxfId="2" priority="33902" operator="containsText" text="Yes">
      <formula>NOT(ISERROR(SEARCH(("Yes"),(P146))))</formula>
    </cfRule>
  </conditionalFormatting>
  <conditionalFormatting sqref="P146:Q152 P154:Q154 P159:Q159">
    <cfRule type="containsText" dxfId="2" priority="33903" operator="containsText" text="Yes">
      <formula>NOT(ISERROR(SEARCH(("Yes"),(P146))))</formula>
    </cfRule>
  </conditionalFormatting>
  <conditionalFormatting sqref="P146:Q152 P154:Q154 P159:Q159">
    <cfRule type="containsText" dxfId="2" priority="33904" operator="containsText" text="Yes">
      <formula>NOT(ISERROR(SEARCH(("Yes"),(P146))))</formula>
    </cfRule>
  </conditionalFormatting>
  <conditionalFormatting sqref="P146:Q152 P154:Q154 P159:Q159">
    <cfRule type="containsText" dxfId="2" priority="33905" operator="containsText" text="Yes">
      <formula>NOT(ISERROR(SEARCH(("Yes"),(P146))))</formula>
    </cfRule>
  </conditionalFormatting>
  <conditionalFormatting sqref="P146:Q152 P154:Q154 P159:Q159">
    <cfRule type="containsText" dxfId="2" priority="33906" operator="containsText" text="Yes">
      <formula>NOT(ISERROR(SEARCH(("Yes"),(P146))))</formula>
    </cfRule>
  </conditionalFormatting>
  <conditionalFormatting sqref="P146:Q152 P154:Q154 P159:Q159">
    <cfRule type="containsText" dxfId="2" priority="33907" operator="containsText" text="Yes">
      <formula>NOT(ISERROR(SEARCH(("Yes"),(P146))))</formula>
    </cfRule>
  </conditionalFormatting>
  <conditionalFormatting sqref="P146:Q152 P154:Q154 P159:Q159">
    <cfRule type="containsText" dxfId="2" priority="33908" operator="containsText" text="Yes">
      <formula>NOT(ISERROR(SEARCH(("Yes"),(P146))))</formula>
    </cfRule>
  </conditionalFormatting>
  <conditionalFormatting sqref="P146:Q152 P154:Q154 P159:Q159">
    <cfRule type="containsText" dxfId="2" priority="33909" operator="containsText" text="Yes">
      <formula>NOT(ISERROR(SEARCH(("Yes"),(P146))))</formula>
    </cfRule>
  </conditionalFormatting>
  <conditionalFormatting sqref="P146:Q152 P154:Q154 P159:Q159">
    <cfRule type="containsText" dxfId="2" priority="33910" operator="containsText" text="Yes">
      <formula>NOT(ISERROR(SEARCH(("Yes"),(P146))))</formula>
    </cfRule>
  </conditionalFormatting>
  <conditionalFormatting sqref="P146:Q152 P154:Q154 P159:Q159">
    <cfRule type="containsText" dxfId="2" priority="33911" operator="containsText" text="Yes">
      <formula>NOT(ISERROR(SEARCH(("Yes"),(P146))))</formula>
    </cfRule>
  </conditionalFormatting>
  <conditionalFormatting sqref="P146:Q152 P154:Q154 P159:Q159">
    <cfRule type="containsText" dxfId="2" priority="33912" operator="containsText" text="Yes">
      <formula>NOT(ISERROR(SEARCH(("Yes"),(P146))))</formula>
    </cfRule>
  </conditionalFormatting>
  <conditionalFormatting sqref="P146:Q152 P154:Q154 P159:Q159">
    <cfRule type="containsText" dxfId="2" priority="33913" operator="containsText" text="Yes">
      <formula>NOT(ISERROR(SEARCH(("Yes"),(P146))))</formula>
    </cfRule>
  </conditionalFormatting>
  <conditionalFormatting sqref="P146:Q152 P154:Q154 P159:Q159">
    <cfRule type="containsText" dxfId="2" priority="33914" operator="containsText" text="Yes">
      <formula>NOT(ISERROR(SEARCH(("Yes"),(P146))))</formula>
    </cfRule>
  </conditionalFormatting>
  <conditionalFormatting sqref="P146:Q152 P154:Q154 P159:Q159">
    <cfRule type="containsText" dxfId="2" priority="33915" operator="containsText" text="Yes">
      <formula>NOT(ISERROR(SEARCH(("Yes"),(P146))))</formula>
    </cfRule>
  </conditionalFormatting>
  <conditionalFormatting sqref="P146:Q152 P154:Q154 P159:Q159">
    <cfRule type="containsText" dxfId="2" priority="33916" operator="containsText" text="Yes">
      <formula>NOT(ISERROR(SEARCH(("Yes"),(P146))))</formula>
    </cfRule>
  </conditionalFormatting>
  <conditionalFormatting sqref="P146:Q152 P154:Q154 P159:Q159">
    <cfRule type="containsText" dxfId="2" priority="33917" operator="containsText" text="Yes">
      <formula>NOT(ISERROR(SEARCH(("Yes"),(P146))))</formula>
    </cfRule>
  </conditionalFormatting>
  <conditionalFormatting sqref="P146:Q152 P154:Q154 P159:Q159">
    <cfRule type="containsText" dxfId="2" priority="33918" operator="containsText" text="Yes">
      <formula>NOT(ISERROR(SEARCH(("Yes"),(P146))))</formula>
    </cfRule>
  </conditionalFormatting>
  <conditionalFormatting sqref="P146:Q152 P154:Q154 P159:Q159">
    <cfRule type="containsText" dxfId="2" priority="33919" operator="containsText" text="Yes">
      <formula>NOT(ISERROR(SEARCH(("Yes"),(P146))))</formula>
    </cfRule>
  </conditionalFormatting>
  <conditionalFormatting sqref="P146:Q152 P154:Q154 P159:Q159">
    <cfRule type="containsText" dxfId="2" priority="33920" operator="containsText" text="Yes">
      <formula>NOT(ISERROR(SEARCH(("Yes"),(P146))))</formula>
    </cfRule>
  </conditionalFormatting>
  <conditionalFormatting sqref="P146:Q152 P154:Q154 P159:Q159">
    <cfRule type="containsText" dxfId="2" priority="33921" operator="containsText" text="Yes">
      <formula>NOT(ISERROR(SEARCH(("Yes"),(P146))))</formula>
    </cfRule>
  </conditionalFormatting>
  <conditionalFormatting sqref="P146:Q152 P154:Q154 P159:Q159">
    <cfRule type="containsText" dxfId="2" priority="33922" operator="containsText" text="Yes">
      <formula>NOT(ISERROR(SEARCH(("Yes"),(P146))))</formula>
    </cfRule>
  </conditionalFormatting>
  <conditionalFormatting sqref="P146:Q152 P154:Q154 P159:Q159">
    <cfRule type="containsText" dxfId="2" priority="33923" operator="containsText" text="Yes">
      <formula>NOT(ISERROR(SEARCH(("Yes"),(P146))))</formula>
    </cfRule>
  </conditionalFormatting>
  <conditionalFormatting sqref="P146:Q152 P154:Q154 P159:Q159">
    <cfRule type="containsText" dxfId="2" priority="33924" operator="containsText" text="Yes">
      <formula>NOT(ISERROR(SEARCH(("Yes"),(P146))))</formula>
    </cfRule>
  </conditionalFormatting>
  <conditionalFormatting sqref="P146:Q152 P154:Q154 P159:Q159">
    <cfRule type="containsText" dxfId="2" priority="33925" operator="containsText" text="Yes">
      <formula>NOT(ISERROR(SEARCH(("Yes"),(P146))))</formula>
    </cfRule>
  </conditionalFormatting>
  <conditionalFormatting sqref="P146:Q152 P154:Q154 P159:Q159">
    <cfRule type="containsText" dxfId="2" priority="33926" operator="containsText" text="Yes">
      <formula>NOT(ISERROR(SEARCH(("Yes"),(P146))))</formula>
    </cfRule>
  </conditionalFormatting>
  <conditionalFormatting sqref="P146:Q152 P154:Q154 P159:Q159">
    <cfRule type="containsText" dxfId="2" priority="33927" operator="containsText" text="Yes">
      <formula>NOT(ISERROR(SEARCH(("Yes"),(P146))))</formula>
    </cfRule>
  </conditionalFormatting>
  <conditionalFormatting sqref="P146:Q152 P154:Q154 P159:Q159">
    <cfRule type="containsText" dxfId="2" priority="33928" operator="containsText" text="Yes">
      <formula>NOT(ISERROR(SEARCH(("Yes"),(P146))))</formula>
    </cfRule>
  </conditionalFormatting>
  <conditionalFormatting sqref="P146:Q152 P154:Q154 P159:Q159">
    <cfRule type="containsText" dxfId="2" priority="33929" operator="containsText" text="Yes">
      <formula>NOT(ISERROR(SEARCH(("Yes"),(P146))))</formula>
    </cfRule>
  </conditionalFormatting>
  <conditionalFormatting sqref="P146:Q152 P154:Q154 P159:Q159">
    <cfRule type="containsText" dxfId="2" priority="33930" operator="containsText" text="Yes">
      <formula>NOT(ISERROR(SEARCH(("Yes"),(P146))))</formula>
    </cfRule>
  </conditionalFormatting>
  <conditionalFormatting sqref="P146:Q152 P154:Q154 P159:Q159">
    <cfRule type="containsText" dxfId="2" priority="33931" operator="containsText" text="Yes">
      <formula>NOT(ISERROR(SEARCH(("Yes"),(P146))))</formula>
    </cfRule>
  </conditionalFormatting>
  <conditionalFormatting sqref="P146:Q152 P154:Q154 P159:Q159">
    <cfRule type="containsText" dxfId="2" priority="33932" operator="containsText" text="Yes">
      <formula>NOT(ISERROR(SEARCH(("Yes"),(P146))))</formula>
    </cfRule>
  </conditionalFormatting>
  <conditionalFormatting sqref="P146:Q152 P154:Q154 P159:Q159">
    <cfRule type="containsText" dxfId="2" priority="33933" operator="containsText" text="Yes">
      <formula>NOT(ISERROR(SEARCH(("Yes"),(P146))))</formula>
    </cfRule>
  </conditionalFormatting>
  <conditionalFormatting sqref="P146:Q152 P154:Q154 P159:Q159">
    <cfRule type="containsText" dxfId="2" priority="33934" operator="containsText" text="Yes">
      <formula>NOT(ISERROR(SEARCH(("Yes"),(P146))))</formula>
    </cfRule>
  </conditionalFormatting>
  <conditionalFormatting sqref="P146:Q152 P154:Q154 P159:Q159">
    <cfRule type="containsText" dxfId="2" priority="33935" operator="containsText" text="Yes">
      <formula>NOT(ISERROR(SEARCH(("Yes"),(P146))))</formula>
    </cfRule>
  </conditionalFormatting>
  <conditionalFormatting sqref="P146:Q152 P154:Q154 P159:Q159">
    <cfRule type="containsText" dxfId="2" priority="33936" operator="containsText" text="Yes">
      <formula>NOT(ISERROR(SEARCH(("Yes"),(P146))))</formula>
    </cfRule>
  </conditionalFormatting>
  <conditionalFormatting sqref="P146:Q152 P154:Q154 P159:Q159">
    <cfRule type="containsText" dxfId="2" priority="33937" operator="containsText" text="Yes">
      <formula>NOT(ISERROR(SEARCH(("Yes"),(P146))))</formula>
    </cfRule>
  </conditionalFormatting>
  <conditionalFormatting sqref="P146:Q152 P154:Q154 P159:Q159">
    <cfRule type="containsText" dxfId="2" priority="33938" operator="containsText" text="Yes">
      <formula>NOT(ISERROR(SEARCH(("Yes"),(P146))))</formula>
    </cfRule>
  </conditionalFormatting>
  <conditionalFormatting sqref="P146:Q152 P154:Q154 P159:Q159">
    <cfRule type="containsText" dxfId="2" priority="33939" operator="containsText" text="Yes">
      <formula>NOT(ISERROR(SEARCH(("Yes"),(P146))))</formula>
    </cfRule>
  </conditionalFormatting>
  <conditionalFormatting sqref="P146:Q152 P154:Q154 P159:Q159">
    <cfRule type="containsText" dxfId="2" priority="33940" operator="containsText" text="Yes">
      <formula>NOT(ISERROR(SEARCH(("Yes"),(P146))))</formula>
    </cfRule>
  </conditionalFormatting>
  <conditionalFormatting sqref="P147:Q147 P149:Q152 P154:Q154 P159:Q159">
    <cfRule type="containsText" dxfId="9" priority="33941" operator="containsText" text="No">
      <formula>NOT(ISERROR(SEARCH(("No"),(P147))))</formula>
    </cfRule>
  </conditionalFormatting>
  <conditionalFormatting sqref="P147:Q147 P149:Q152 P154:Q154 P159:Q159">
    <cfRule type="containsText" dxfId="9" priority="33942" operator="containsText" text="No">
      <formula>NOT(ISERROR(SEARCH(("No"),(P147))))</formula>
    </cfRule>
  </conditionalFormatting>
  <conditionalFormatting sqref="P147:Q147 P149:Q152 P154:Q154 P159:Q159">
    <cfRule type="containsText" dxfId="9" priority="33943" operator="containsText" text="No">
      <formula>NOT(ISERROR(SEARCH(("No"),(P147))))</formula>
    </cfRule>
  </conditionalFormatting>
  <conditionalFormatting sqref="P147:Q147 P149:Q152 P154:Q154 P159:Q159">
    <cfRule type="containsText" dxfId="9" priority="33944" operator="containsText" text="No">
      <formula>NOT(ISERROR(SEARCH(("No"),(P147))))</formula>
    </cfRule>
  </conditionalFormatting>
  <conditionalFormatting sqref="P147:Q147 P149:Q152 P154:Q154 P159:Q159">
    <cfRule type="containsText" dxfId="9" priority="33945" operator="containsText" text="No">
      <formula>NOT(ISERROR(SEARCH(("No"),(P147))))</formula>
    </cfRule>
  </conditionalFormatting>
  <conditionalFormatting sqref="P147:Q147 P149:Q152 P154:Q154 P159:Q159">
    <cfRule type="containsText" dxfId="9" priority="33946" operator="containsText" text="No">
      <formula>NOT(ISERROR(SEARCH(("No"),(P147))))</formula>
    </cfRule>
  </conditionalFormatting>
  <conditionalFormatting sqref="P147:Q147 P149:Q152 P154:Q154 P159:Q159">
    <cfRule type="containsText" dxfId="9" priority="33947" operator="containsText" text="No">
      <formula>NOT(ISERROR(SEARCH(("No"),(P147))))</formula>
    </cfRule>
  </conditionalFormatting>
  <conditionalFormatting sqref="P147:Q147 P149:Q152 P154:Q154 P159:Q159">
    <cfRule type="containsText" dxfId="9" priority="33948" operator="containsText" text="No">
      <formula>NOT(ISERROR(SEARCH(("No"),(P147))))</formula>
    </cfRule>
  </conditionalFormatting>
  <conditionalFormatting sqref="P147:Q147 P149:Q152 P154:Q154 P159:Q159">
    <cfRule type="containsText" dxfId="9" priority="33949" operator="containsText" text="No">
      <formula>NOT(ISERROR(SEARCH(("No"),(P147))))</formula>
    </cfRule>
  </conditionalFormatting>
  <conditionalFormatting sqref="P147:Q147 P149:Q152 P154:Q154 P159:Q159">
    <cfRule type="containsText" dxfId="9" priority="33950" operator="containsText" text="No">
      <formula>NOT(ISERROR(SEARCH(("No"),(P147))))</formula>
    </cfRule>
  </conditionalFormatting>
  <conditionalFormatting sqref="P147:Q147 P149:Q152 P154:Q154 P159:Q159">
    <cfRule type="containsText" dxfId="9" priority="33951" operator="containsText" text="No">
      <formula>NOT(ISERROR(SEARCH(("No"),(P147))))</formula>
    </cfRule>
  </conditionalFormatting>
  <conditionalFormatting sqref="P147:Q147 P149:Q152 P154:Q154 P159:Q159">
    <cfRule type="containsText" dxfId="9" priority="33952" operator="containsText" text="No">
      <formula>NOT(ISERROR(SEARCH(("No"),(P147))))</formula>
    </cfRule>
  </conditionalFormatting>
  <conditionalFormatting sqref="P147:Q147 P149:Q152 P154:Q154 P159:Q159">
    <cfRule type="containsText" dxfId="9" priority="33953" operator="containsText" text="No">
      <formula>NOT(ISERROR(SEARCH(("No"),(P147))))</formula>
    </cfRule>
  </conditionalFormatting>
  <conditionalFormatting sqref="P147:Q147 P149:Q152 P154:Q154 P159:Q159">
    <cfRule type="containsText" dxfId="9" priority="33954" operator="containsText" text="No">
      <formula>NOT(ISERROR(SEARCH(("No"),(P147))))</formula>
    </cfRule>
  </conditionalFormatting>
  <conditionalFormatting sqref="P147:Q147 P149:Q152 P154:Q154 P159:Q159">
    <cfRule type="containsText" dxfId="9" priority="33955" operator="containsText" text="No">
      <formula>NOT(ISERROR(SEARCH(("No"),(P147))))</formula>
    </cfRule>
  </conditionalFormatting>
  <conditionalFormatting sqref="P147:Q147 P149:Q152 P154:Q154 P159:Q159">
    <cfRule type="containsText" dxfId="9" priority="33956" operator="containsText" text="No">
      <formula>NOT(ISERROR(SEARCH(("No"),(P147))))</formula>
    </cfRule>
  </conditionalFormatting>
  <conditionalFormatting sqref="P147:Q147 P149:Q152 P154:Q154 P159:Q159">
    <cfRule type="containsText" dxfId="9" priority="33957" operator="containsText" text="No">
      <formula>NOT(ISERROR(SEARCH(("No"),(P147))))</formula>
    </cfRule>
  </conditionalFormatting>
  <conditionalFormatting sqref="P147:Q147 P149:Q152 P154:Q154 P159:Q159">
    <cfRule type="containsText" dxfId="9" priority="33958" operator="containsText" text="No">
      <formula>NOT(ISERROR(SEARCH(("No"),(P147))))</formula>
    </cfRule>
  </conditionalFormatting>
  <conditionalFormatting sqref="P147:Q147 P149:Q152 P154:Q154 P159:Q159">
    <cfRule type="containsText" dxfId="9" priority="33959" operator="containsText" text="No">
      <formula>NOT(ISERROR(SEARCH(("No"),(P147))))</formula>
    </cfRule>
  </conditionalFormatting>
  <conditionalFormatting sqref="P147:Q147 P149:Q152 P154:Q154 P159:Q159">
    <cfRule type="containsText" dxfId="9" priority="33960" operator="containsText" text="No">
      <formula>NOT(ISERROR(SEARCH(("No"),(P147))))</formula>
    </cfRule>
  </conditionalFormatting>
  <conditionalFormatting sqref="P147:Q147 P149:Q152 P154:Q154 P159:Q159">
    <cfRule type="containsText" dxfId="9" priority="33961" operator="containsText" text="No">
      <formula>NOT(ISERROR(SEARCH(("No"),(P147))))</formula>
    </cfRule>
  </conditionalFormatting>
  <conditionalFormatting sqref="P147:Q147 P149:Q152 P154:Q154 P159:Q159">
    <cfRule type="containsText" dxfId="9" priority="33962" operator="containsText" text="No">
      <formula>NOT(ISERROR(SEARCH(("No"),(P147))))</formula>
    </cfRule>
  </conditionalFormatting>
  <conditionalFormatting sqref="P147:Q147 P149:Q152 P154:Q154 P159:Q159">
    <cfRule type="containsText" dxfId="9" priority="33963" operator="containsText" text="No">
      <formula>NOT(ISERROR(SEARCH(("No"),(P147))))</formula>
    </cfRule>
  </conditionalFormatting>
  <conditionalFormatting sqref="P147:Q147 P149:Q152 P154:Q154 P159:Q159">
    <cfRule type="containsText" dxfId="9" priority="33964" operator="containsText" text="No">
      <formula>NOT(ISERROR(SEARCH(("No"),(P147))))</formula>
    </cfRule>
  </conditionalFormatting>
  <conditionalFormatting sqref="P147:Q147 P149:Q152 P154:Q154 P159:Q159">
    <cfRule type="containsText" dxfId="9" priority="33965" operator="containsText" text="No">
      <formula>NOT(ISERROR(SEARCH(("No"),(P147))))</formula>
    </cfRule>
  </conditionalFormatting>
  <conditionalFormatting sqref="P147:Q147 P149:Q152 P154:Q154 P159:Q159">
    <cfRule type="containsText" dxfId="9" priority="33966" operator="containsText" text="No">
      <formula>NOT(ISERROR(SEARCH(("No"),(P147))))</formula>
    </cfRule>
  </conditionalFormatting>
  <conditionalFormatting sqref="P147:Q147 P149:Q152 P154:Q154 P159:Q159">
    <cfRule type="containsText" dxfId="9" priority="33967" operator="containsText" text="No">
      <formula>NOT(ISERROR(SEARCH(("No"),(P147))))</formula>
    </cfRule>
  </conditionalFormatting>
  <conditionalFormatting sqref="P147:Q147 P149:Q152 P154:Q154 P159:Q159">
    <cfRule type="containsText" dxfId="9" priority="33968" operator="containsText" text="No">
      <formula>NOT(ISERROR(SEARCH(("No"),(P147))))</formula>
    </cfRule>
  </conditionalFormatting>
  <conditionalFormatting sqref="P147:Q147 P149:Q152 P154:Q154 P159:Q159">
    <cfRule type="containsText" dxfId="9" priority="33969" operator="containsText" text="No">
      <formula>NOT(ISERROR(SEARCH(("No"),(P147))))</formula>
    </cfRule>
  </conditionalFormatting>
  <conditionalFormatting sqref="P147:Q147 P149:Q152 P154:Q154 P159:Q159">
    <cfRule type="containsText" dxfId="9" priority="33970" operator="containsText" text="No">
      <formula>NOT(ISERROR(SEARCH(("No"),(P147))))</formula>
    </cfRule>
  </conditionalFormatting>
  <conditionalFormatting sqref="P147:Q147 P149:Q152 P154:Q154 P159:Q159">
    <cfRule type="containsText" dxfId="9" priority="33971" operator="containsText" text="No">
      <formula>NOT(ISERROR(SEARCH(("No"),(P147))))</formula>
    </cfRule>
  </conditionalFormatting>
  <conditionalFormatting sqref="P147:Q147 P149:Q152 P154:Q154 P159:Q159">
    <cfRule type="containsText" dxfId="9" priority="33972" operator="containsText" text="No">
      <formula>NOT(ISERROR(SEARCH(("No"),(P147))))</formula>
    </cfRule>
  </conditionalFormatting>
  <conditionalFormatting sqref="P147:Q147 P149:Q152 P154:Q154 P159:Q159">
    <cfRule type="containsText" dxfId="9" priority="33973" operator="containsText" text="No">
      <formula>NOT(ISERROR(SEARCH(("No"),(P147))))</formula>
    </cfRule>
  </conditionalFormatting>
  <conditionalFormatting sqref="P147:Q147 P149:Q152 P154:Q154 P159:Q159">
    <cfRule type="containsText" dxfId="9" priority="33974" operator="containsText" text="No">
      <formula>NOT(ISERROR(SEARCH(("No"),(P147))))</formula>
    </cfRule>
  </conditionalFormatting>
  <conditionalFormatting sqref="P147:Q147 P149:Q152 P154:Q154 P159:Q159">
    <cfRule type="containsText" dxfId="9" priority="33975" operator="containsText" text="No">
      <formula>NOT(ISERROR(SEARCH(("No"),(P147))))</formula>
    </cfRule>
  </conditionalFormatting>
  <conditionalFormatting sqref="P147:Q147 P149:Q152 P154:Q154 P159:Q159">
    <cfRule type="containsText" dxfId="9" priority="33976" operator="containsText" text="No">
      <formula>NOT(ISERROR(SEARCH(("No"),(P147))))</formula>
    </cfRule>
  </conditionalFormatting>
  <conditionalFormatting sqref="P147:Q147 P149:Q152 P154:Q154 P159:Q159">
    <cfRule type="containsText" dxfId="9" priority="33977" operator="containsText" text="No">
      <formula>NOT(ISERROR(SEARCH(("No"),(P147))))</formula>
    </cfRule>
  </conditionalFormatting>
  <conditionalFormatting sqref="P147:Q147 P149:Q152 P154:Q154 P159:Q159">
    <cfRule type="containsText" dxfId="9" priority="33978" operator="containsText" text="No">
      <formula>NOT(ISERROR(SEARCH(("No"),(P147))))</formula>
    </cfRule>
  </conditionalFormatting>
  <conditionalFormatting sqref="P147:Q147 P149:Q152 P154:Q154 P159:Q159">
    <cfRule type="containsText" dxfId="9" priority="33979" operator="containsText" text="No">
      <formula>NOT(ISERROR(SEARCH(("No"),(P147))))</formula>
    </cfRule>
  </conditionalFormatting>
  <conditionalFormatting sqref="P147:Q147 P149:Q152 P154:Q154 P159:Q159">
    <cfRule type="containsText" dxfId="9" priority="33980" operator="containsText" text="No">
      <formula>NOT(ISERROR(SEARCH(("No"),(P147))))</formula>
    </cfRule>
  </conditionalFormatting>
  <conditionalFormatting sqref="P147:Q147 P149:Q152 P154:Q154 P159:Q159">
    <cfRule type="containsText" dxfId="9" priority="33981" operator="containsText" text="No">
      <formula>NOT(ISERROR(SEARCH(("No"),(P147))))</formula>
    </cfRule>
  </conditionalFormatting>
  <conditionalFormatting sqref="P147:Q147 P149:Q152 P154:Q154 P159:Q159">
    <cfRule type="containsText" dxfId="9" priority="33982" operator="containsText" text="No">
      <formula>NOT(ISERROR(SEARCH(("No"),(P147))))</formula>
    </cfRule>
  </conditionalFormatting>
  <conditionalFormatting sqref="P147:Q147 P149:Q152 P154:Q154 P159:Q159">
    <cfRule type="containsText" dxfId="9" priority="33983" operator="containsText" text="No">
      <formula>NOT(ISERROR(SEARCH(("No"),(P147))))</formula>
    </cfRule>
  </conditionalFormatting>
  <conditionalFormatting sqref="P147:Q147 P149:Q152 P154:Q154 P159:Q159">
    <cfRule type="containsText" dxfId="9" priority="33984" operator="containsText" text="No">
      <formula>NOT(ISERROR(SEARCH(("No"),(P147))))</formula>
    </cfRule>
  </conditionalFormatting>
  <conditionalFormatting sqref="P147:Q147 P149:Q152 P154:Q154 P159:Q159">
    <cfRule type="containsText" dxfId="9" priority="33985" operator="containsText" text="No">
      <formula>NOT(ISERROR(SEARCH(("No"),(P147))))</formula>
    </cfRule>
  </conditionalFormatting>
  <conditionalFormatting sqref="P147:Q147 P149:Q152 P154:Q154 P159:Q159">
    <cfRule type="containsText" dxfId="2" priority="33986" operator="containsText" text="Yes">
      <formula>NOT(ISERROR(SEARCH(("Yes"),(P147))))</formula>
    </cfRule>
  </conditionalFormatting>
  <conditionalFormatting sqref="P147:Q147 P149:Q152 P154:Q154 P159:Q159">
    <cfRule type="containsText" dxfId="2" priority="33987" operator="containsText" text="Yes">
      <formula>NOT(ISERROR(SEARCH(("Yes"),(P147))))</formula>
    </cfRule>
  </conditionalFormatting>
  <conditionalFormatting sqref="P147:Q147 P149:Q152 P154:Q154 P159:Q159">
    <cfRule type="containsText" dxfId="2" priority="33988" operator="containsText" text="Yes">
      <formula>NOT(ISERROR(SEARCH(("Yes"),(P147))))</formula>
    </cfRule>
  </conditionalFormatting>
  <conditionalFormatting sqref="P147:Q147 P149:Q152 P154:Q154 P159:Q159">
    <cfRule type="containsText" dxfId="2" priority="33989" operator="containsText" text="Yes">
      <formula>NOT(ISERROR(SEARCH(("Yes"),(P147))))</formula>
    </cfRule>
  </conditionalFormatting>
  <conditionalFormatting sqref="P147:Q147 P149:Q152 P154:Q154 P159:Q159">
    <cfRule type="containsText" dxfId="2" priority="33990" operator="containsText" text="Yes">
      <formula>NOT(ISERROR(SEARCH(("Yes"),(P147))))</formula>
    </cfRule>
  </conditionalFormatting>
  <conditionalFormatting sqref="P147:Q147 P149:Q152 P154:Q154 P159:Q159">
    <cfRule type="containsText" dxfId="2" priority="33991" operator="containsText" text="Yes">
      <formula>NOT(ISERROR(SEARCH(("Yes"),(P147))))</formula>
    </cfRule>
  </conditionalFormatting>
  <conditionalFormatting sqref="P147:Q147 P149:Q152 P154:Q154 P159:Q159">
    <cfRule type="containsText" dxfId="2" priority="33992" operator="containsText" text="Yes">
      <formula>NOT(ISERROR(SEARCH(("Yes"),(P147))))</formula>
    </cfRule>
  </conditionalFormatting>
  <conditionalFormatting sqref="P147:Q147 P149:Q152 P154:Q154 P159:Q159">
    <cfRule type="containsText" dxfId="2" priority="33993" operator="containsText" text="Yes">
      <formula>NOT(ISERROR(SEARCH(("Yes"),(P147))))</formula>
    </cfRule>
  </conditionalFormatting>
  <conditionalFormatting sqref="P147:Q147 P149:Q152 P154:Q154 P159:Q159">
    <cfRule type="containsText" dxfId="2" priority="33994" operator="containsText" text="Yes">
      <formula>NOT(ISERROR(SEARCH(("Yes"),(P147))))</formula>
    </cfRule>
  </conditionalFormatting>
  <conditionalFormatting sqref="P147:Q147 P149:Q152 P154:Q154 P159:Q159">
    <cfRule type="containsText" dxfId="2" priority="33995" operator="containsText" text="Yes">
      <formula>NOT(ISERROR(SEARCH(("Yes"),(P147))))</formula>
    </cfRule>
  </conditionalFormatting>
  <conditionalFormatting sqref="P147:Q147 P149:Q152 P154:Q154 P159:Q159">
    <cfRule type="containsText" dxfId="2" priority="33996" operator="containsText" text="Yes">
      <formula>NOT(ISERROR(SEARCH(("Yes"),(P147))))</formula>
    </cfRule>
  </conditionalFormatting>
  <conditionalFormatting sqref="P147:Q147 P149:Q152 P154:Q154 P159:Q159">
    <cfRule type="containsText" dxfId="2" priority="33997" operator="containsText" text="Yes">
      <formula>NOT(ISERROR(SEARCH(("Yes"),(P147))))</formula>
    </cfRule>
  </conditionalFormatting>
  <conditionalFormatting sqref="P147:Q147 P149:Q152 P154:Q154 P159:Q159">
    <cfRule type="containsText" dxfId="2" priority="33998" operator="containsText" text="Yes">
      <formula>NOT(ISERROR(SEARCH(("Yes"),(P147))))</formula>
    </cfRule>
  </conditionalFormatting>
  <conditionalFormatting sqref="P147:Q147 P149:Q152 P154:Q154 P159:Q159">
    <cfRule type="containsText" dxfId="2" priority="33999" operator="containsText" text="Yes">
      <formula>NOT(ISERROR(SEARCH(("Yes"),(P147))))</formula>
    </cfRule>
  </conditionalFormatting>
  <conditionalFormatting sqref="P147:Q147 P149:Q152 P154:Q154 P159:Q159">
    <cfRule type="containsText" dxfId="2" priority="34000" operator="containsText" text="Yes">
      <formula>NOT(ISERROR(SEARCH(("Yes"),(P147))))</formula>
    </cfRule>
  </conditionalFormatting>
  <conditionalFormatting sqref="P147:Q147 P149:Q152 P154:Q154 P159:Q159">
    <cfRule type="containsText" dxfId="2" priority="34001" operator="containsText" text="Yes">
      <formula>NOT(ISERROR(SEARCH(("Yes"),(P147))))</formula>
    </cfRule>
  </conditionalFormatting>
  <conditionalFormatting sqref="P147:Q147 P149:Q152 P154:Q154 P159:Q159">
    <cfRule type="containsText" dxfId="2" priority="34002" operator="containsText" text="Yes">
      <formula>NOT(ISERROR(SEARCH(("Yes"),(P147))))</formula>
    </cfRule>
  </conditionalFormatting>
  <conditionalFormatting sqref="P147:Q147 P149:Q152 P154:Q154 P159:Q159">
    <cfRule type="containsText" dxfId="2" priority="34003" operator="containsText" text="Yes">
      <formula>NOT(ISERROR(SEARCH(("Yes"),(P147))))</formula>
    </cfRule>
  </conditionalFormatting>
  <conditionalFormatting sqref="P147:Q147 P149:Q152 P154:Q154 P159:Q159">
    <cfRule type="containsText" dxfId="2" priority="34004" operator="containsText" text="Yes">
      <formula>NOT(ISERROR(SEARCH(("Yes"),(P147))))</formula>
    </cfRule>
  </conditionalFormatting>
  <conditionalFormatting sqref="P147:Q147 P149:Q152 P154:Q154 P159:Q159">
    <cfRule type="containsText" dxfId="2" priority="34005" operator="containsText" text="Yes">
      <formula>NOT(ISERROR(SEARCH(("Yes"),(P147))))</formula>
    </cfRule>
  </conditionalFormatting>
  <conditionalFormatting sqref="P147:Q147 P149:Q152 P154:Q154 P159:Q159">
    <cfRule type="containsText" dxfId="2" priority="34006" operator="containsText" text="Yes">
      <formula>NOT(ISERROR(SEARCH(("Yes"),(P147))))</formula>
    </cfRule>
  </conditionalFormatting>
  <conditionalFormatting sqref="P147:Q147 P149:Q152 P154:Q154 P159:Q159">
    <cfRule type="containsText" dxfId="2" priority="34007" operator="containsText" text="Yes">
      <formula>NOT(ISERROR(SEARCH(("Yes"),(P147))))</formula>
    </cfRule>
  </conditionalFormatting>
  <conditionalFormatting sqref="P147:Q147 P149:Q152 P154:Q154 P159:Q159">
    <cfRule type="containsText" dxfId="2" priority="34008" operator="containsText" text="Yes">
      <formula>NOT(ISERROR(SEARCH(("Yes"),(P147))))</formula>
    </cfRule>
  </conditionalFormatting>
  <conditionalFormatting sqref="P147:Q147 P149:Q152 P154:Q154 P159:Q159">
    <cfRule type="containsText" dxfId="2" priority="34009" operator="containsText" text="Yes">
      <formula>NOT(ISERROR(SEARCH(("Yes"),(P147))))</formula>
    </cfRule>
  </conditionalFormatting>
  <conditionalFormatting sqref="P147:Q147 P149:Q152 P154:Q154 P159:Q159">
    <cfRule type="containsText" dxfId="2" priority="34010" operator="containsText" text="Yes">
      <formula>NOT(ISERROR(SEARCH(("Yes"),(P147))))</formula>
    </cfRule>
  </conditionalFormatting>
  <conditionalFormatting sqref="P147:Q147 P149:Q152 P154:Q154 P159:Q159">
    <cfRule type="containsText" dxfId="2" priority="34011" operator="containsText" text="Yes">
      <formula>NOT(ISERROR(SEARCH(("Yes"),(P147))))</formula>
    </cfRule>
  </conditionalFormatting>
  <conditionalFormatting sqref="P147:Q147 P149:Q152 P154:Q154 P159:Q159">
    <cfRule type="containsText" dxfId="2" priority="34012" operator="containsText" text="Yes">
      <formula>NOT(ISERROR(SEARCH(("Yes"),(P147))))</formula>
    </cfRule>
  </conditionalFormatting>
  <conditionalFormatting sqref="P147:Q147 P149:Q152 P154:Q154 P159:Q159">
    <cfRule type="containsText" dxfId="2" priority="34013" operator="containsText" text="Yes">
      <formula>NOT(ISERROR(SEARCH(("Yes"),(P147))))</formula>
    </cfRule>
  </conditionalFormatting>
  <conditionalFormatting sqref="P147:Q147 P149:Q152 P154:Q154 P159:Q159">
    <cfRule type="containsText" dxfId="2" priority="34014" operator="containsText" text="Yes">
      <formula>NOT(ISERROR(SEARCH(("Yes"),(P147))))</formula>
    </cfRule>
  </conditionalFormatting>
  <conditionalFormatting sqref="P147:Q147 P149:Q152 P154:Q154 P159:Q159">
    <cfRule type="containsText" dxfId="2" priority="34015" operator="containsText" text="Yes">
      <formula>NOT(ISERROR(SEARCH(("Yes"),(P147))))</formula>
    </cfRule>
  </conditionalFormatting>
  <conditionalFormatting sqref="P147:Q147 P149:Q152 P154:Q154 P159:Q159">
    <cfRule type="containsText" dxfId="2" priority="34016" operator="containsText" text="Yes">
      <formula>NOT(ISERROR(SEARCH(("Yes"),(P147))))</formula>
    </cfRule>
  </conditionalFormatting>
  <conditionalFormatting sqref="P147:Q147 P149:Q152 P154:Q154 P159:Q159">
    <cfRule type="containsText" dxfId="2" priority="34017" operator="containsText" text="Yes">
      <formula>NOT(ISERROR(SEARCH(("Yes"),(P147))))</formula>
    </cfRule>
  </conditionalFormatting>
  <conditionalFormatting sqref="P147:Q147 P149:Q152 P154:Q154 P159:Q159">
    <cfRule type="containsText" dxfId="2" priority="34018" operator="containsText" text="Yes">
      <formula>NOT(ISERROR(SEARCH(("Yes"),(P147))))</formula>
    </cfRule>
  </conditionalFormatting>
  <conditionalFormatting sqref="P147:Q147 P149:Q152 P154:Q154 P159:Q159">
    <cfRule type="containsText" dxfId="2" priority="34019" operator="containsText" text="Yes">
      <formula>NOT(ISERROR(SEARCH(("Yes"),(P147))))</formula>
    </cfRule>
  </conditionalFormatting>
  <conditionalFormatting sqref="P147:Q147 P149:Q152 P154:Q154 P159:Q159">
    <cfRule type="containsText" dxfId="2" priority="34020" operator="containsText" text="Yes">
      <formula>NOT(ISERROR(SEARCH(("Yes"),(P147))))</formula>
    </cfRule>
  </conditionalFormatting>
  <conditionalFormatting sqref="P147:Q147 P149:Q152 P154:Q154 P159:Q159">
    <cfRule type="containsText" dxfId="2" priority="34021" operator="containsText" text="Yes">
      <formula>NOT(ISERROR(SEARCH(("Yes"),(P147))))</formula>
    </cfRule>
  </conditionalFormatting>
  <conditionalFormatting sqref="P147:Q147 P149:Q152 P154:Q154 P159:Q159">
    <cfRule type="containsText" dxfId="2" priority="34022" operator="containsText" text="Yes">
      <formula>NOT(ISERROR(SEARCH(("Yes"),(P147))))</formula>
    </cfRule>
  </conditionalFormatting>
  <conditionalFormatting sqref="P147:Q147 P149:Q152 P154:Q154 P159:Q159">
    <cfRule type="containsText" dxfId="2" priority="34023" operator="containsText" text="Yes">
      <formula>NOT(ISERROR(SEARCH(("Yes"),(P147))))</formula>
    </cfRule>
  </conditionalFormatting>
  <conditionalFormatting sqref="P147:Q147 P149:Q152 P154:Q154 P159:Q159">
    <cfRule type="containsText" dxfId="2" priority="34024" operator="containsText" text="Yes">
      <formula>NOT(ISERROR(SEARCH(("Yes"),(P147))))</formula>
    </cfRule>
  </conditionalFormatting>
  <conditionalFormatting sqref="P147:Q147 P149:Q152 P154:Q154 P159:Q159">
    <cfRule type="containsText" dxfId="2" priority="34025" operator="containsText" text="Yes">
      <formula>NOT(ISERROR(SEARCH(("Yes"),(P147))))</formula>
    </cfRule>
  </conditionalFormatting>
  <conditionalFormatting sqref="P147:Q147 P149:Q152 P154:Q154 P159:Q159">
    <cfRule type="containsText" dxfId="2" priority="34026" operator="containsText" text="Yes">
      <formula>NOT(ISERROR(SEARCH(("Yes"),(P147))))</formula>
    </cfRule>
  </conditionalFormatting>
  <conditionalFormatting sqref="P147:Q147 P149:Q152 P154:Q154 P159:Q159">
    <cfRule type="containsText" dxfId="2" priority="34027" operator="containsText" text="Yes">
      <formula>NOT(ISERROR(SEARCH(("Yes"),(P147))))</formula>
    </cfRule>
  </conditionalFormatting>
  <conditionalFormatting sqref="P147:Q147 P149:Q152 P154:Q154 P159:Q159">
    <cfRule type="containsText" dxfId="2" priority="34028" operator="containsText" text="Yes">
      <formula>NOT(ISERROR(SEARCH(("Yes"),(P147))))</formula>
    </cfRule>
  </conditionalFormatting>
  <conditionalFormatting sqref="P147:Q147 P149:Q152 P154:Q154 P159:Q159">
    <cfRule type="containsText" dxfId="2" priority="34029" operator="containsText" text="Yes">
      <formula>NOT(ISERROR(SEARCH(("Yes"),(P147))))</formula>
    </cfRule>
  </conditionalFormatting>
  <conditionalFormatting sqref="P147:Q147 P149:Q152 P154:Q154 P159:Q159">
    <cfRule type="containsText" dxfId="2" priority="34030" operator="containsText" text="Yes">
      <formula>NOT(ISERROR(SEARCH(("Yes"),(P147))))</formula>
    </cfRule>
  </conditionalFormatting>
  <conditionalFormatting sqref="P147:Q147 P149:Q152 P154:Q154 P159:Q159">
    <cfRule type="containsText" dxfId="2" priority="34031" operator="containsText" text="Yes">
      <formula>NOT(ISERROR(SEARCH(("Yes"),(P147))))</formula>
    </cfRule>
  </conditionalFormatting>
  <conditionalFormatting sqref="P147:Q147 P149:Q152 P154:Q154 P159:Q159">
    <cfRule type="containsText" dxfId="2" priority="34032" operator="containsText" text="Yes">
      <formula>NOT(ISERROR(SEARCH(("Yes"),(P147))))</formula>
    </cfRule>
  </conditionalFormatting>
  <conditionalFormatting sqref="P148:Q152 P154:Q154 P159:Q159">
    <cfRule type="containsText" dxfId="9" priority="34033" operator="containsText" text="No">
      <formula>NOT(ISERROR(SEARCH(("No"),(P148))))</formula>
    </cfRule>
  </conditionalFormatting>
  <conditionalFormatting sqref="P148:Q152 P154:Q154 P159:Q159">
    <cfRule type="containsText" dxfId="9" priority="34034" operator="containsText" text="No">
      <formula>NOT(ISERROR(SEARCH(("No"),(P148))))</formula>
    </cfRule>
  </conditionalFormatting>
  <conditionalFormatting sqref="P148:Q152 P154:Q154 P159:Q159">
    <cfRule type="containsText" dxfId="9" priority="34035" operator="containsText" text="No">
      <formula>NOT(ISERROR(SEARCH(("No"),(P148))))</formula>
    </cfRule>
  </conditionalFormatting>
  <conditionalFormatting sqref="P148:Q152 P154:Q154 P159:Q159">
    <cfRule type="containsText" dxfId="9" priority="34036" operator="containsText" text="No">
      <formula>NOT(ISERROR(SEARCH(("No"),(P148))))</formula>
    </cfRule>
  </conditionalFormatting>
  <conditionalFormatting sqref="P148:Q152 P154:Q154 P159:Q159">
    <cfRule type="containsText" dxfId="9" priority="34037" operator="containsText" text="No">
      <formula>NOT(ISERROR(SEARCH(("No"),(P148))))</formula>
    </cfRule>
  </conditionalFormatting>
  <conditionalFormatting sqref="P148:Q152 P154:Q154 P159:Q159">
    <cfRule type="containsText" dxfId="9" priority="34038" operator="containsText" text="No">
      <formula>NOT(ISERROR(SEARCH(("No"),(P148))))</formula>
    </cfRule>
  </conditionalFormatting>
  <conditionalFormatting sqref="P148:Q152 P154:Q154 P159:Q159">
    <cfRule type="containsText" dxfId="9" priority="34039" operator="containsText" text="No">
      <formula>NOT(ISERROR(SEARCH(("No"),(P148))))</formula>
    </cfRule>
  </conditionalFormatting>
  <conditionalFormatting sqref="P148:Q152 P154:Q154 P159:Q159">
    <cfRule type="containsText" dxfId="9" priority="34040" operator="containsText" text="No">
      <formula>NOT(ISERROR(SEARCH(("No"),(P148))))</formula>
    </cfRule>
  </conditionalFormatting>
  <conditionalFormatting sqref="P148:Q152 P154:Q154 P159:Q159">
    <cfRule type="containsText" dxfId="9" priority="34041" operator="containsText" text="No">
      <formula>NOT(ISERROR(SEARCH(("No"),(P148))))</formula>
    </cfRule>
  </conditionalFormatting>
  <conditionalFormatting sqref="P148:Q152 P154:Q154 P159:Q159">
    <cfRule type="containsText" dxfId="9" priority="34042" operator="containsText" text="No">
      <formula>NOT(ISERROR(SEARCH(("No"),(P148))))</formula>
    </cfRule>
  </conditionalFormatting>
  <conditionalFormatting sqref="P148:Q152 P154:Q154 P159:Q159">
    <cfRule type="containsText" dxfId="9" priority="34043" operator="containsText" text="No">
      <formula>NOT(ISERROR(SEARCH(("No"),(P148))))</formula>
    </cfRule>
  </conditionalFormatting>
  <conditionalFormatting sqref="P148:Q152 P154:Q154 P159:Q159">
    <cfRule type="containsText" dxfId="9" priority="34044" operator="containsText" text="No">
      <formula>NOT(ISERROR(SEARCH(("No"),(P148))))</formula>
    </cfRule>
  </conditionalFormatting>
  <conditionalFormatting sqref="P148:Q152 P154:Q154 P159:Q159">
    <cfRule type="containsText" dxfId="9" priority="34045" operator="containsText" text="No">
      <formula>NOT(ISERROR(SEARCH(("No"),(P148))))</formula>
    </cfRule>
  </conditionalFormatting>
  <conditionalFormatting sqref="P148:Q152 P154:Q154 P159:Q159">
    <cfRule type="containsText" dxfId="9" priority="34046" operator="containsText" text="No">
      <formula>NOT(ISERROR(SEARCH(("No"),(P148))))</formula>
    </cfRule>
  </conditionalFormatting>
  <conditionalFormatting sqref="P148:Q152 P154:Q154 P159:Q159">
    <cfRule type="containsText" dxfId="9" priority="34047" operator="containsText" text="No">
      <formula>NOT(ISERROR(SEARCH(("No"),(P148))))</formula>
    </cfRule>
  </conditionalFormatting>
  <conditionalFormatting sqref="P148:Q152 P154:Q154 P159:Q159">
    <cfRule type="containsText" dxfId="9" priority="34048" operator="containsText" text="No">
      <formula>NOT(ISERROR(SEARCH(("No"),(P148))))</formula>
    </cfRule>
  </conditionalFormatting>
  <conditionalFormatting sqref="P148:Q152 P154:Q154 P159:Q159">
    <cfRule type="containsText" dxfId="9" priority="34049" operator="containsText" text="No">
      <formula>NOT(ISERROR(SEARCH(("No"),(P148))))</formula>
    </cfRule>
  </conditionalFormatting>
  <conditionalFormatting sqref="P148:Q152 P154:Q154 P159:Q159">
    <cfRule type="containsText" dxfId="9" priority="34050" operator="containsText" text="No">
      <formula>NOT(ISERROR(SEARCH(("No"),(P148))))</formula>
    </cfRule>
  </conditionalFormatting>
  <conditionalFormatting sqref="P148:Q152 P154:Q154 P159:Q159">
    <cfRule type="containsText" dxfId="9" priority="34051" operator="containsText" text="No">
      <formula>NOT(ISERROR(SEARCH(("No"),(P148))))</formula>
    </cfRule>
  </conditionalFormatting>
  <conditionalFormatting sqref="P148:Q152 P154:Q154 P159:Q159">
    <cfRule type="containsText" dxfId="9" priority="34052" operator="containsText" text="No">
      <formula>NOT(ISERROR(SEARCH(("No"),(P148))))</formula>
    </cfRule>
  </conditionalFormatting>
  <conditionalFormatting sqref="P148:Q152 P154:Q154 P159:Q159">
    <cfRule type="containsText" dxfId="9" priority="34053" operator="containsText" text="No">
      <formula>NOT(ISERROR(SEARCH(("No"),(P148))))</formula>
    </cfRule>
  </conditionalFormatting>
  <conditionalFormatting sqref="P148:Q152 P154:Q154 P159:Q159">
    <cfRule type="containsText" dxfId="9" priority="34054" operator="containsText" text="No">
      <formula>NOT(ISERROR(SEARCH(("No"),(P148))))</formula>
    </cfRule>
  </conditionalFormatting>
  <conditionalFormatting sqref="P148:Q152 P154:Q154 P159:Q159">
    <cfRule type="containsText" dxfId="9" priority="34055" operator="containsText" text="No">
      <formula>NOT(ISERROR(SEARCH(("No"),(P148))))</formula>
    </cfRule>
  </conditionalFormatting>
  <conditionalFormatting sqref="P148:Q152 P154:Q154 P159:Q159">
    <cfRule type="containsText" dxfId="9" priority="34056" operator="containsText" text="No">
      <formula>NOT(ISERROR(SEARCH(("No"),(P148))))</formula>
    </cfRule>
  </conditionalFormatting>
  <conditionalFormatting sqref="P148:Q152 P154:Q154 P159:Q159">
    <cfRule type="containsText" dxfId="9" priority="34057" operator="containsText" text="No">
      <formula>NOT(ISERROR(SEARCH(("No"),(P148))))</formula>
    </cfRule>
  </conditionalFormatting>
  <conditionalFormatting sqref="P148:Q152 P154:Q154 P159:Q159">
    <cfRule type="containsText" dxfId="9" priority="34058" operator="containsText" text="No">
      <formula>NOT(ISERROR(SEARCH(("No"),(P148))))</formula>
    </cfRule>
  </conditionalFormatting>
  <conditionalFormatting sqref="P148:Q152 P154:Q154 P159:Q159">
    <cfRule type="containsText" dxfId="9" priority="34059" operator="containsText" text="No">
      <formula>NOT(ISERROR(SEARCH(("No"),(P148))))</formula>
    </cfRule>
  </conditionalFormatting>
  <conditionalFormatting sqref="P148:Q152 P154:Q154 P159:Q159">
    <cfRule type="containsText" dxfId="9" priority="34060" operator="containsText" text="No">
      <formula>NOT(ISERROR(SEARCH(("No"),(P148))))</formula>
    </cfRule>
  </conditionalFormatting>
  <conditionalFormatting sqref="P148:Q152 P154:Q154 P159:Q159">
    <cfRule type="containsText" dxfId="9" priority="34061" operator="containsText" text="No">
      <formula>NOT(ISERROR(SEARCH(("No"),(P148))))</formula>
    </cfRule>
  </conditionalFormatting>
  <conditionalFormatting sqref="P148:Q152 P154:Q154 P159:Q159">
    <cfRule type="containsText" dxfId="9" priority="34062" operator="containsText" text="No">
      <formula>NOT(ISERROR(SEARCH(("No"),(P148))))</formula>
    </cfRule>
  </conditionalFormatting>
  <conditionalFormatting sqref="P148:Q152 P154:Q154 P159:Q159">
    <cfRule type="containsText" dxfId="9" priority="34063" operator="containsText" text="No">
      <formula>NOT(ISERROR(SEARCH(("No"),(P148))))</formula>
    </cfRule>
  </conditionalFormatting>
  <conditionalFormatting sqref="P148:Q152 P154:Q154 P159:Q159">
    <cfRule type="containsText" dxfId="9" priority="34064" operator="containsText" text="No">
      <formula>NOT(ISERROR(SEARCH(("No"),(P148))))</formula>
    </cfRule>
  </conditionalFormatting>
  <conditionalFormatting sqref="P148:Q152 P154:Q154 P159:Q159">
    <cfRule type="containsText" dxfId="9" priority="34065" operator="containsText" text="No">
      <formula>NOT(ISERROR(SEARCH(("No"),(P148))))</formula>
    </cfRule>
  </conditionalFormatting>
  <conditionalFormatting sqref="P148:Q152 P154:Q154 P159:Q159">
    <cfRule type="containsText" dxfId="9" priority="34066" operator="containsText" text="No">
      <formula>NOT(ISERROR(SEARCH(("No"),(P148))))</formula>
    </cfRule>
  </conditionalFormatting>
  <conditionalFormatting sqref="P148:Q152 P154:Q154 P159:Q159">
    <cfRule type="containsText" dxfId="9" priority="34067" operator="containsText" text="No">
      <formula>NOT(ISERROR(SEARCH(("No"),(P148))))</formula>
    </cfRule>
  </conditionalFormatting>
  <conditionalFormatting sqref="P148:Q152 P154:Q154 P159:Q159">
    <cfRule type="containsText" dxfId="9" priority="34068" operator="containsText" text="No">
      <formula>NOT(ISERROR(SEARCH(("No"),(P148))))</formula>
    </cfRule>
  </conditionalFormatting>
  <conditionalFormatting sqref="P148:Q152 P154:Q154 P159:Q159">
    <cfRule type="containsText" dxfId="9" priority="34069" operator="containsText" text="No">
      <formula>NOT(ISERROR(SEARCH(("No"),(P148))))</formula>
    </cfRule>
  </conditionalFormatting>
  <conditionalFormatting sqref="P148:Q152 P154:Q154 P159:Q159">
    <cfRule type="containsText" dxfId="9" priority="34070" operator="containsText" text="No">
      <formula>NOT(ISERROR(SEARCH(("No"),(P148))))</formula>
    </cfRule>
  </conditionalFormatting>
  <conditionalFormatting sqref="P148:Q152 P154:Q154 P159:Q159">
    <cfRule type="containsText" dxfId="9" priority="34071" operator="containsText" text="No">
      <formula>NOT(ISERROR(SEARCH(("No"),(P148))))</formula>
    </cfRule>
  </conditionalFormatting>
  <conditionalFormatting sqref="P148:Q152 P154:Q154 P159:Q159">
    <cfRule type="containsText" dxfId="9" priority="34072" operator="containsText" text="No">
      <formula>NOT(ISERROR(SEARCH(("No"),(P148))))</formula>
    </cfRule>
  </conditionalFormatting>
  <conditionalFormatting sqref="P148:Q152 P154:Q154 P159:Q159">
    <cfRule type="containsText" dxfId="9" priority="34073" operator="containsText" text="No">
      <formula>NOT(ISERROR(SEARCH(("No"),(P148))))</formula>
    </cfRule>
  </conditionalFormatting>
  <conditionalFormatting sqref="P148:Q152 P154:Q154 P159:Q159">
    <cfRule type="containsText" dxfId="9" priority="34074" operator="containsText" text="No">
      <formula>NOT(ISERROR(SEARCH(("No"),(P148))))</formula>
    </cfRule>
  </conditionalFormatting>
  <conditionalFormatting sqref="P148:Q152 P154:Q154 P159:Q159">
    <cfRule type="containsText" dxfId="9" priority="34075" operator="containsText" text="No">
      <formula>NOT(ISERROR(SEARCH(("No"),(P148))))</formula>
    </cfRule>
  </conditionalFormatting>
  <conditionalFormatting sqref="P148:Q152 P154:Q154 P159:Q159">
    <cfRule type="containsText" dxfId="9" priority="34076" operator="containsText" text="No">
      <formula>NOT(ISERROR(SEARCH(("No"),(P148))))</formula>
    </cfRule>
  </conditionalFormatting>
  <conditionalFormatting sqref="P148:Q152 P154:Q154 P159:Q159">
    <cfRule type="containsText" dxfId="9" priority="34077" operator="containsText" text="No">
      <formula>NOT(ISERROR(SEARCH(("No"),(P148))))</formula>
    </cfRule>
  </conditionalFormatting>
  <conditionalFormatting sqref="P148:Q152 P154:Q154 P159:Q159">
    <cfRule type="containsText" dxfId="2" priority="34078" operator="containsText" text="Yes">
      <formula>NOT(ISERROR(SEARCH(("Yes"),(P148))))</formula>
    </cfRule>
  </conditionalFormatting>
  <conditionalFormatting sqref="P148:Q152 P154:Q154 P159:Q159">
    <cfRule type="containsText" dxfId="2" priority="34079" operator="containsText" text="Yes">
      <formula>NOT(ISERROR(SEARCH(("Yes"),(P148))))</formula>
    </cfRule>
  </conditionalFormatting>
  <conditionalFormatting sqref="P148:Q152 P154:Q154 P159:Q159">
    <cfRule type="containsText" dxfId="2" priority="34080" operator="containsText" text="Yes">
      <formula>NOT(ISERROR(SEARCH(("Yes"),(P148))))</formula>
    </cfRule>
  </conditionalFormatting>
  <conditionalFormatting sqref="P148:Q152 P154:Q154 P159:Q159">
    <cfRule type="containsText" dxfId="2" priority="34081" operator="containsText" text="Yes">
      <formula>NOT(ISERROR(SEARCH(("Yes"),(P148))))</formula>
    </cfRule>
  </conditionalFormatting>
  <conditionalFormatting sqref="P148:Q152 P154:Q154 P159:Q159">
    <cfRule type="containsText" dxfId="2" priority="34082" operator="containsText" text="Yes">
      <formula>NOT(ISERROR(SEARCH(("Yes"),(P148))))</formula>
    </cfRule>
  </conditionalFormatting>
  <conditionalFormatting sqref="P148:Q152 P154:Q154 P159:Q159">
    <cfRule type="containsText" dxfId="2" priority="34083" operator="containsText" text="Yes">
      <formula>NOT(ISERROR(SEARCH(("Yes"),(P148))))</formula>
    </cfRule>
  </conditionalFormatting>
  <conditionalFormatting sqref="P148:Q152 P154:Q154 P159:Q159">
    <cfRule type="containsText" dxfId="2" priority="34084" operator="containsText" text="Yes">
      <formula>NOT(ISERROR(SEARCH(("Yes"),(P148))))</formula>
    </cfRule>
  </conditionalFormatting>
  <conditionalFormatting sqref="P148:Q152 P154:Q154 P159:Q159">
    <cfRule type="containsText" dxfId="2" priority="34085" operator="containsText" text="Yes">
      <formula>NOT(ISERROR(SEARCH(("Yes"),(P148))))</formula>
    </cfRule>
  </conditionalFormatting>
  <conditionalFormatting sqref="P148:Q152 P154:Q154 P159:Q159">
    <cfRule type="containsText" dxfId="2" priority="34086" operator="containsText" text="Yes">
      <formula>NOT(ISERROR(SEARCH(("Yes"),(P148))))</formula>
    </cfRule>
  </conditionalFormatting>
  <conditionalFormatting sqref="P148:Q152 P154:Q154 P159:Q159">
    <cfRule type="containsText" dxfId="2" priority="34087" operator="containsText" text="Yes">
      <formula>NOT(ISERROR(SEARCH(("Yes"),(P148))))</formula>
    </cfRule>
  </conditionalFormatting>
  <conditionalFormatting sqref="P148:Q152 P154:Q154 P159:Q159">
    <cfRule type="containsText" dxfId="2" priority="34088" operator="containsText" text="Yes">
      <formula>NOT(ISERROR(SEARCH(("Yes"),(P148))))</formula>
    </cfRule>
  </conditionalFormatting>
  <conditionalFormatting sqref="P148:Q152 P154:Q154 P159:Q159">
    <cfRule type="containsText" dxfId="2" priority="34089" operator="containsText" text="Yes">
      <formula>NOT(ISERROR(SEARCH(("Yes"),(P148))))</formula>
    </cfRule>
  </conditionalFormatting>
  <conditionalFormatting sqref="P148:Q152 P154:Q154 P159:Q159">
    <cfRule type="containsText" dxfId="2" priority="34090" operator="containsText" text="Yes">
      <formula>NOT(ISERROR(SEARCH(("Yes"),(P148))))</formula>
    </cfRule>
  </conditionalFormatting>
  <conditionalFormatting sqref="P148:Q152 P154:Q154 P159:Q159">
    <cfRule type="containsText" dxfId="2" priority="34091" operator="containsText" text="Yes">
      <formula>NOT(ISERROR(SEARCH(("Yes"),(P148))))</formula>
    </cfRule>
  </conditionalFormatting>
  <conditionalFormatting sqref="P148:Q152 P154:Q154 P159:Q159">
    <cfRule type="containsText" dxfId="2" priority="34092" operator="containsText" text="Yes">
      <formula>NOT(ISERROR(SEARCH(("Yes"),(P148))))</formula>
    </cfRule>
  </conditionalFormatting>
  <conditionalFormatting sqref="P148:Q152 P154:Q154 P159:Q159">
    <cfRule type="containsText" dxfId="2" priority="34093" operator="containsText" text="Yes">
      <formula>NOT(ISERROR(SEARCH(("Yes"),(P148))))</formula>
    </cfRule>
  </conditionalFormatting>
  <conditionalFormatting sqref="P148:Q152 P154:Q154 P159:Q159">
    <cfRule type="containsText" dxfId="2" priority="34094" operator="containsText" text="Yes">
      <formula>NOT(ISERROR(SEARCH(("Yes"),(P148))))</formula>
    </cfRule>
  </conditionalFormatting>
  <conditionalFormatting sqref="P148:Q152 P154:Q154 P159:Q159">
    <cfRule type="containsText" dxfId="2" priority="34095" operator="containsText" text="Yes">
      <formula>NOT(ISERROR(SEARCH(("Yes"),(P148))))</formula>
    </cfRule>
  </conditionalFormatting>
  <conditionalFormatting sqref="P148:Q152 P154:Q154 P159:Q159">
    <cfRule type="containsText" dxfId="2" priority="34096" operator="containsText" text="Yes">
      <formula>NOT(ISERROR(SEARCH(("Yes"),(P148))))</formula>
    </cfRule>
  </conditionalFormatting>
  <conditionalFormatting sqref="P148:Q152 P154:Q154 P159:Q159">
    <cfRule type="containsText" dxfId="2" priority="34097" operator="containsText" text="Yes">
      <formula>NOT(ISERROR(SEARCH(("Yes"),(P148))))</formula>
    </cfRule>
  </conditionalFormatting>
  <conditionalFormatting sqref="P148:Q152 P154:Q154 P159:Q159">
    <cfRule type="containsText" dxfId="2" priority="34098" operator="containsText" text="Yes">
      <formula>NOT(ISERROR(SEARCH(("Yes"),(P148))))</formula>
    </cfRule>
  </conditionalFormatting>
  <conditionalFormatting sqref="P148:Q152 P154:Q154 P159:Q159">
    <cfRule type="containsText" dxfId="2" priority="34099" operator="containsText" text="Yes">
      <formula>NOT(ISERROR(SEARCH(("Yes"),(P148))))</formula>
    </cfRule>
  </conditionalFormatting>
  <conditionalFormatting sqref="P148:Q152 P154:Q154 P159:Q159">
    <cfRule type="containsText" dxfId="2" priority="34100" operator="containsText" text="Yes">
      <formula>NOT(ISERROR(SEARCH(("Yes"),(P148))))</formula>
    </cfRule>
  </conditionalFormatting>
  <conditionalFormatting sqref="P148:Q152 P154:Q154 P159:Q159">
    <cfRule type="containsText" dxfId="2" priority="34101" operator="containsText" text="Yes">
      <formula>NOT(ISERROR(SEARCH(("Yes"),(P148))))</formula>
    </cfRule>
  </conditionalFormatting>
  <conditionalFormatting sqref="P148:Q152 P154:Q154 P159:Q159">
    <cfRule type="containsText" dxfId="2" priority="34102" operator="containsText" text="Yes">
      <formula>NOT(ISERROR(SEARCH(("Yes"),(P148))))</formula>
    </cfRule>
  </conditionalFormatting>
  <conditionalFormatting sqref="P148:Q152 P154:Q154 P159:Q159">
    <cfRule type="containsText" dxfId="2" priority="34103" operator="containsText" text="Yes">
      <formula>NOT(ISERROR(SEARCH(("Yes"),(P148))))</formula>
    </cfRule>
  </conditionalFormatting>
  <conditionalFormatting sqref="P148:Q152 P154:Q154 P159:Q159">
    <cfRule type="containsText" dxfId="2" priority="34104" operator="containsText" text="Yes">
      <formula>NOT(ISERROR(SEARCH(("Yes"),(P148))))</formula>
    </cfRule>
  </conditionalFormatting>
  <conditionalFormatting sqref="P148:Q152 P154:Q154 P159:Q159">
    <cfRule type="containsText" dxfId="2" priority="34105" operator="containsText" text="Yes">
      <formula>NOT(ISERROR(SEARCH(("Yes"),(P148))))</formula>
    </cfRule>
  </conditionalFormatting>
  <conditionalFormatting sqref="P148:Q152 P154:Q154 P159:Q159">
    <cfRule type="containsText" dxfId="2" priority="34106" operator="containsText" text="Yes">
      <formula>NOT(ISERROR(SEARCH(("Yes"),(P148))))</formula>
    </cfRule>
  </conditionalFormatting>
  <conditionalFormatting sqref="P148:Q152 P154:Q154 P159:Q159">
    <cfRule type="containsText" dxfId="2" priority="34107" operator="containsText" text="Yes">
      <formula>NOT(ISERROR(SEARCH(("Yes"),(P148))))</formula>
    </cfRule>
  </conditionalFormatting>
  <conditionalFormatting sqref="P148:Q152 P154:Q154 P159:Q159">
    <cfRule type="containsText" dxfId="2" priority="34108" operator="containsText" text="Yes">
      <formula>NOT(ISERROR(SEARCH(("Yes"),(P148))))</formula>
    </cfRule>
  </conditionalFormatting>
  <conditionalFormatting sqref="P148:Q152 P154:Q154 P159:Q159">
    <cfRule type="containsText" dxfId="2" priority="34109" operator="containsText" text="Yes">
      <formula>NOT(ISERROR(SEARCH(("Yes"),(P148))))</formula>
    </cfRule>
  </conditionalFormatting>
  <conditionalFormatting sqref="P148:Q152 P154:Q154 P159:Q159">
    <cfRule type="containsText" dxfId="2" priority="34110" operator="containsText" text="Yes">
      <formula>NOT(ISERROR(SEARCH(("Yes"),(P148))))</formula>
    </cfRule>
  </conditionalFormatting>
  <conditionalFormatting sqref="P148:Q152 P154:Q154 P159:Q159">
    <cfRule type="containsText" dxfId="2" priority="34111" operator="containsText" text="Yes">
      <formula>NOT(ISERROR(SEARCH(("Yes"),(P148))))</formula>
    </cfRule>
  </conditionalFormatting>
  <conditionalFormatting sqref="P148:Q152 P154:Q154 P159:Q159">
    <cfRule type="containsText" dxfId="2" priority="34112" operator="containsText" text="Yes">
      <formula>NOT(ISERROR(SEARCH(("Yes"),(P148))))</formula>
    </cfRule>
  </conditionalFormatting>
  <conditionalFormatting sqref="P148:Q152 P154:Q154 P159:Q159">
    <cfRule type="containsText" dxfId="2" priority="34113" operator="containsText" text="Yes">
      <formula>NOT(ISERROR(SEARCH(("Yes"),(P148))))</formula>
    </cfRule>
  </conditionalFormatting>
  <conditionalFormatting sqref="P148:Q152 P154:Q154 P159:Q159">
    <cfRule type="containsText" dxfId="2" priority="34114" operator="containsText" text="Yes">
      <formula>NOT(ISERROR(SEARCH(("Yes"),(P148))))</formula>
    </cfRule>
  </conditionalFormatting>
  <conditionalFormatting sqref="P148:Q152 P154:Q154 P159:Q159">
    <cfRule type="containsText" dxfId="2" priority="34115" operator="containsText" text="Yes">
      <formula>NOT(ISERROR(SEARCH(("Yes"),(P148))))</formula>
    </cfRule>
  </conditionalFormatting>
  <conditionalFormatting sqref="P148:Q152 P154:Q154 P159:Q159">
    <cfRule type="containsText" dxfId="2" priority="34116" operator="containsText" text="Yes">
      <formula>NOT(ISERROR(SEARCH(("Yes"),(P148))))</formula>
    </cfRule>
  </conditionalFormatting>
  <conditionalFormatting sqref="P148:Q152 P154:Q154 P159:Q159">
    <cfRule type="containsText" dxfId="2" priority="34117" operator="containsText" text="Yes">
      <formula>NOT(ISERROR(SEARCH(("Yes"),(P148))))</formula>
    </cfRule>
  </conditionalFormatting>
  <conditionalFormatting sqref="P148:Q152 P154:Q154 P159:Q159">
    <cfRule type="containsText" dxfId="2" priority="34118" operator="containsText" text="Yes">
      <formula>NOT(ISERROR(SEARCH(("Yes"),(P148))))</formula>
    </cfRule>
  </conditionalFormatting>
  <conditionalFormatting sqref="P148:Q152 P154:Q154 P159:Q159">
    <cfRule type="containsText" dxfId="2" priority="34119" operator="containsText" text="Yes">
      <formula>NOT(ISERROR(SEARCH(("Yes"),(P148))))</formula>
    </cfRule>
  </conditionalFormatting>
  <conditionalFormatting sqref="P148:Q152 P154:Q154 P159:Q159">
    <cfRule type="containsText" dxfId="2" priority="34120" operator="containsText" text="Yes">
      <formula>NOT(ISERROR(SEARCH(("Yes"),(P148))))</formula>
    </cfRule>
  </conditionalFormatting>
  <conditionalFormatting sqref="P148:Q152 P154:Q154 P159:Q159">
    <cfRule type="containsText" dxfId="2" priority="34121" operator="containsText" text="Yes">
      <formula>NOT(ISERROR(SEARCH(("Yes"),(P148))))</formula>
    </cfRule>
  </conditionalFormatting>
  <conditionalFormatting sqref="P148:Q152 P154:Q154 P159:Q159">
    <cfRule type="containsText" dxfId="2" priority="34122" operator="containsText" text="Yes">
      <formula>NOT(ISERROR(SEARCH(("Yes"),(P148))))</formula>
    </cfRule>
  </conditionalFormatting>
  <conditionalFormatting sqref="P148:Q152 P154:Q154 P159:Q159">
    <cfRule type="containsText" dxfId="2" priority="34123" operator="containsText" text="Yes">
      <formula>NOT(ISERROR(SEARCH(("Yes"),(P148))))</formula>
    </cfRule>
  </conditionalFormatting>
  <conditionalFormatting sqref="P148:Q152 P154:Q154 P159:Q159">
    <cfRule type="containsText" dxfId="2" priority="34124" operator="containsText" text="Yes">
      <formula>NOT(ISERROR(SEARCH(("Yes"),(P148))))</formula>
    </cfRule>
  </conditionalFormatting>
  <conditionalFormatting sqref="N149:Q152 N154 O154:O155 P154:Q154 N159:Q159">
    <cfRule type="containsText" dxfId="9" priority="34125" operator="containsText" text="No">
      <formula>NOT(ISERROR(SEARCH(("No"),(N149))))</formula>
    </cfRule>
  </conditionalFormatting>
  <conditionalFormatting sqref="N149:Q152 N154 O154:O155 P154:Q154 N159:Q159">
    <cfRule type="containsText" dxfId="9" priority="34126" operator="containsText" text="No">
      <formula>NOT(ISERROR(SEARCH(("No"),(N149))))</formula>
    </cfRule>
  </conditionalFormatting>
  <conditionalFormatting sqref="N149:Q152 N154 O154:O155 P154:Q154 N159:Q159">
    <cfRule type="containsText" dxfId="9" priority="34127" operator="containsText" text="No">
      <formula>NOT(ISERROR(SEARCH(("No"),(N149))))</formula>
    </cfRule>
  </conditionalFormatting>
  <conditionalFormatting sqref="N149:Q152 N154 O154:O155 P154:Q154 N159:Q159">
    <cfRule type="containsText" dxfId="9" priority="34128" operator="containsText" text="No">
      <formula>NOT(ISERROR(SEARCH(("No"),(N149))))</formula>
    </cfRule>
  </conditionalFormatting>
  <conditionalFormatting sqref="N149:Q152 N154 O154:O155 P154:Q154 N159:Q159">
    <cfRule type="containsText" dxfId="9" priority="34129" operator="containsText" text="No">
      <formula>NOT(ISERROR(SEARCH(("No"),(N149))))</formula>
    </cfRule>
  </conditionalFormatting>
  <conditionalFormatting sqref="N149:Q152 N154 O154:O155 P154:Q154 N159:Q159">
    <cfRule type="containsText" dxfId="9" priority="34130" operator="containsText" text="No">
      <formula>NOT(ISERROR(SEARCH(("No"),(N149))))</formula>
    </cfRule>
  </conditionalFormatting>
  <conditionalFormatting sqref="N149:Q152 N154 O154:O155 P154:Q154 N159:Q159">
    <cfRule type="containsText" dxfId="9" priority="34131" operator="containsText" text="No">
      <formula>NOT(ISERROR(SEARCH(("No"),(N149))))</formula>
    </cfRule>
  </conditionalFormatting>
  <conditionalFormatting sqref="N149:Q152 N154 O154:O155 P154:Q154 N159:Q159">
    <cfRule type="containsText" dxfId="9" priority="34132" operator="containsText" text="No">
      <formula>NOT(ISERROR(SEARCH(("No"),(N149))))</formula>
    </cfRule>
  </conditionalFormatting>
  <conditionalFormatting sqref="N149:Q152 N154 O154:O155 P154:Q154 N159:Q159">
    <cfRule type="containsText" dxfId="9" priority="34133" operator="containsText" text="No">
      <formula>NOT(ISERROR(SEARCH(("No"),(N149))))</formula>
    </cfRule>
  </conditionalFormatting>
  <conditionalFormatting sqref="N149:Q152 N154 O154:O155 P154:Q154 N159:Q159">
    <cfRule type="containsText" dxfId="9" priority="34134" operator="containsText" text="No">
      <formula>NOT(ISERROR(SEARCH(("No"),(N149))))</formula>
    </cfRule>
  </conditionalFormatting>
  <conditionalFormatting sqref="N149:Q152 N154 O154:O155 P154:Q154 N159:Q159">
    <cfRule type="containsText" dxfId="9" priority="34135" operator="containsText" text="No">
      <formula>NOT(ISERROR(SEARCH(("No"),(N149))))</formula>
    </cfRule>
  </conditionalFormatting>
  <conditionalFormatting sqref="N149:Q152 N154 O154:O155 P154:Q154 N159:Q159">
    <cfRule type="containsText" dxfId="9" priority="34136" operator="containsText" text="No">
      <formula>NOT(ISERROR(SEARCH(("No"),(N149))))</formula>
    </cfRule>
  </conditionalFormatting>
  <conditionalFormatting sqref="N149:Q152 N154 O154:O155 P154:Q154 N159:Q159">
    <cfRule type="containsText" dxfId="9" priority="34137" operator="containsText" text="No">
      <formula>NOT(ISERROR(SEARCH(("No"),(N149))))</formula>
    </cfRule>
  </conditionalFormatting>
  <conditionalFormatting sqref="N149:Q152 N154 O154:O155 P154:Q154 N159:Q159">
    <cfRule type="containsText" dxfId="9" priority="34138" operator="containsText" text="No">
      <formula>NOT(ISERROR(SEARCH(("No"),(N149))))</formula>
    </cfRule>
  </conditionalFormatting>
  <conditionalFormatting sqref="N149:Q152 N154 O154:O155 P154:Q154 N159:Q159">
    <cfRule type="containsText" dxfId="9" priority="34139" operator="containsText" text="No">
      <formula>NOT(ISERROR(SEARCH(("No"),(N149))))</formula>
    </cfRule>
  </conditionalFormatting>
  <conditionalFormatting sqref="N149:Q152 N154 O154:O155 P154:Q154 N159:Q159">
    <cfRule type="containsText" dxfId="9" priority="34140" operator="containsText" text="No">
      <formula>NOT(ISERROR(SEARCH(("No"),(N149))))</formula>
    </cfRule>
  </conditionalFormatting>
  <conditionalFormatting sqref="N149:Q152 N154 O154:O155 P154:Q154 N159:Q159">
    <cfRule type="containsText" dxfId="9" priority="34141" operator="containsText" text="No">
      <formula>NOT(ISERROR(SEARCH(("No"),(N149))))</formula>
    </cfRule>
  </conditionalFormatting>
  <conditionalFormatting sqref="N149:Q152 N154 O154:O155 P154:Q154 N159:Q159">
    <cfRule type="containsText" dxfId="9" priority="34142" operator="containsText" text="No">
      <formula>NOT(ISERROR(SEARCH(("No"),(N149))))</formula>
    </cfRule>
  </conditionalFormatting>
  <conditionalFormatting sqref="N149:Q152 N154 O154:O155 P154:Q154 N159:Q159">
    <cfRule type="containsText" dxfId="9" priority="34143" operator="containsText" text="No">
      <formula>NOT(ISERROR(SEARCH(("No"),(N149))))</formula>
    </cfRule>
  </conditionalFormatting>
  <conditionalFormatting sqref="N149:Q152 N154 O154:O155 P154:Q154 N159:Q159">
    <cfRule type="containsText" dxfId="9" priority="34144" operator="containsText" text="No">
      <formula>NOT(ISERROR(SEARCH(("No"),(N149))))</formula>
    </cfRule>
  </conditionalFormatting>
  <conditionalFormatting sqref="N149:Q152 N154 O154:O155 P154:Q154 N159:Q159">
    <cfRule type="containsText" dxfId="9" priority="34145" operator="containsText" text="No">
      <formula>NOT(ISERROR(SEARCH(("No"),(N149))))</formula>
    </cfRule>
  </conditionalFormatting>
  <conditionalFormatting sqref="N149:Q152 N154 O154:O155 P154:Q154 N159:Q159">
    <cfRule type="containsText" dxfId="9" priority="34146" operator="containsText" text="No">
      <formula>NOT(ISERROR(SEARCH(("No"),(N149))))</formula>
    </cfRule>
  </conditionalFormatting>
  <conditionalFormatting sqref="N149:Q152 N154 O154:O155 P154:Q154 N159:Q159">
    <cfRule type="containsText" dxfId="9" priority="34147" operator="containsText" text="No">
      <formula>NOT(ISERROR(SEARCH(("No"),(N149))))</formula>
    </cfRule>
  </conditionalFormatting>
  <conditionalFormatting sqref="N149:Q152 N154 O154:O155 P154:Q154 N159:Q159">
    <cfRule type="containsText" dxfId="9" priority="34148" operator="containsText" text="No">
      <formula>NOT(ISERROR(SEARCH(("No"),(N149))))</formula>
    </cfRule>
  </conditionalFormatting>
  <conditionalFormatting sqref="N149:Q152 N154 O154:O155 P154:Q154 N159:Q159">
    <cfRule type="containsText" dxfId="9" priority="34149" operator="containsText" text="No">
      <formula>NOT(ISERROR(SEARCH(("No"),(N149))))</formula>
    </cfRule>
  </conditionalFormatting>
  <conditionalFormatting sqref="N149:Q152 N154 O154:O155 P154:Q154 N159:Q159">
    <cfRule type="containsText" dxfId="9" priority="34150" operator="containsText" text="No">
      <formula>NOT(ISERROR(SEARCH(("No"),(N149))))</formula>
    </cfRule>
  </conditionalFormatting>
  <conditionalFormatting sqref="N149:Q152 N154 O154:O155 P154:Q154 N159:Q159">
    <cfRule type="containsText" dxfId="9" priority="34151" operator="containsText" text="No">
      <formula>NOT(ISERROR(SEARCH(("No"),(N149))))</formula>
    </cfRule>
  </conditionalFormatting>
  <conditionalFormatting sqref="N149:Q152 N154 O154:O155 P154:Q154 N159:Q159">
    <cfRule type="containsText" dxfId="9" priority="34152" operator="containsText" text="No">
      <formula>NOT(ISERROR(SEARCH(("No"),(N149))))</formula>
    </cfRule>
  </conditionalFormatting>
  <conditionalFormatting sqref="N149:Q152 N154 O154:O155 P154:Q154 N159:Q159">
    <cfRule type="containsText" dxfId="9" priority="34153" operator="containsText" text="No">
      <formula>NOT(ISERROR(SEARCH(("No"),(N149))))</formula>
    </cfRule>
  </conditionalFormatting>
  <conditionalFormatting sqref="N149:Q152 N154 O154:O155 P154:Q154 N159:Q159">
    <cfRule type="containsText" dxfId="9" priority="34154" operator="containsText" text="No">
      <formula>NOT(ISERROR(SEARCH(("No"),(N149))))</formula>
    </cfRule>
  </conditionalFormatting>
  <conditionalFormatting sqref="N149:Q152 N154 O154:O155 P154:Q154 N159:Q159">
    <cfRule type="containsText" dxfId="9" priority="34155" operator="containsText" text="No">
      <formula>NOT(ISERROR(SEARCH(("No"),(N149))))</formula>
    </cfRule>
  </conditionalFormatting>
  <conditionalFormatting sqref="N149:Q152 N154 O154:O155 P154:Q154 N159:Q159">
    <cfRule type="containsText" dxfId="9" priority="34156" operator="containsText" text="No">
      <formula>NOT(ISERROR(SEARCH(("No"),(N149))))</formula>
    </cfRule>
  </conditionalFormatting>
  <conditionalFormatting sqref="N149:Q152 N154 O154:O155 P154:Q154 N159:Q159">
    <cfRule type="containsText" dxfId="9" priority="34157" operator="containsText" text="No">
      <formula>NOT(ISERROR(SEARCH(("No"),(N149))))</formula>
    </cfRule>
  </conditionalFormatting>
  <conditionalFormatting sqref="N149:Q152 N154 O154:O155 P154:Q154 N159:Q159">
    <cfRule type="containsText" dxfId="9" priority="34158" operator="containsText" text="No">
      <formula>NOT(ISERROR(SEARCH(("No"),(N149))))</formula>
    </cfRule>
  </conditionalFormatting>
  <conditionalFormatting sqref="N149:Q152 N154 O154:O155 P154:Q154 N159:Q159">
    <cfRule type="containsText" dxfId="9" priority="34159" operator="containsText" text="No">
      <formula>NOT(ISERROR(SEARCH(("No"),(N149))))</formula>
    </cfRule>
  </conditionalFormatting>
  <conditionalFormatting sqref="N149:Q152 N154 O154:O155 P154:Q154 N159:Q159">
    <cfRule type="containsText" dxfId="9" priority="34160" operator="containsText" text="No">
      <formula>NOT(ISERROR(SEARCH(("No"),(N149))))</formula>
    </cfRule>
  </conditionalFormatting>
  <conditionalFormatting sqref="N149:Q152 N154 O154:O155 P154:Q154 N159:Q159">
    <cfRule type="containsText" dxfId="9" priority="34161" operator="containsText" text="No">
      <formula>NOT(ISERROR(SEARCH(("No"),(N149))))</formula>
    </cfRule>
  </conditionalFormatting>
  <conditionalFormatting sqref="N149:Q152 N154 O154:O155 P154:Q154 N159:Q159">
    <cfRule type="containsText" dxfId="9" priority="34162" operator="containsText" text="No">
      <formula>NOT(ISERROR(SEARCH(("No"),(N149))))</formula>
    </cfRule>
  </conditionalFormatting>
  <conditionalFormatting sqref="N149:Q152 N154 O154:O155 P154:Q154 N159:Q159">
    <cfRule type="containsText" dxfId="9" priority="34163" operator="containsText" text="No">
      <formula>NOT(ISERROR(SEARCH(("No"),(N149))))</formula>
    </cfRule>
  </conditionalFormatting>
  <conditionalFormatting sqref="N149:Q152 N154 O154:O155 P154:Q154 N159:Q159">
    <cfRule type="containsText" dxfId="9" priority="34164" operator="containsText" text="No">
      <formula>NOT(ISERROR(SEARCH(("No"),(N149))))</formula>
    </cfRule>
  </conditionalFormatting>
  <conditionalFormatting sqref="N149:Q152 N154 O154:O155 P154:Q154 N159:Q159">
    <cfRule type="containsText" dxfId="9" priority="34165" operator="containsText" text="No">
      <formula>NOT(ISERROR(SEARCH(("No"),(N149))))</formula>
    </cfRule>
  </conditionalFormatting>
  <conditionalFormatting sqref="N149:Q152 N154 O154:O155 P154:Q154 N159:Q159">
    <cfRule type="containsText" dxfId="9" priority="34166" operator="containsText" text="No">
      <formula>NOT(ISERROR(SEARCH(("No"),(N149))))</formula>
    </cfRule>
  </conditionalFormatting>
  <conditionalFormatting sqref="N149:Q152 N154 O154:O155 P154:Q154 N159:Q159">
    <cfRule type="containsText" dxfId="9" priority="34167" operator="containsText" text="No">
      <formula>NOT(ISERROR(SEARCH(("No"),(N149))))</formula>
    </cfRule>
  </conditionalFormatting>
  <conditionalFormatting sqref="N149:Q152 N154 O154:O155 P154:Q154 N159:Q159">
    <cfRule type="containsText" dxfId="9" priority="34168" operator="containsText" text="No">
      <formula>NOT(ISERROR(SEARCH(("No"),(N149))))</formula>
    </cfRule>
  </conditionalFormatting>
  <conditionalFormatting sqref="N149:Q152 N154 O154:O155 P154:Q154 N159:Q159">
    <cfRule type="containsText" dxfId="9" priority="34169" operator="containsText" text="No">
      <formula>NOT(ISERROR(SEARCH(("No"),(N149))))</formula>
    </cfRule>
  </conditionalFormatting>
  <conditionalFormatting sqref="N149:Q152 N154 O154:O155 P154:Q154 N159:Q159">
    <cfRule type="containsText" dxfId="2" priority="34170" operator="containsText" text="Yes">
      <formula>NOT(ISERROR(SEARCH(("Yes"),(N149))))</formula>
    </cfRule>
  </conditionalFormatting>
  <conditionalFormatting sqref="N149:Q152 N154 O154:O155 P154:Q154 N159:Q159">
    <cfRule type="containsText" dxfId="2" priority="34171" operator="containsText" text="Yes">
      <formula>NOT(ISERROR(SEARCH(("Yes"),(N149))))</formula>
    </cfRule>
  </conditionalFormatting>
  <conditionalFormatting sqref="N149:Q152 N154 O154:O155 P154:Q154 N159:Q159">
    <cfRule type="containsText" dxfId="2" priority="34172" operator="containsText" text="Yes">
      <formula>NOT(ISERROR(SEARCH(("Yes"),(N149))))</formula>
    </cfRule>
  </conditionalFormatting>
  <conditionalFormatting sqref="N149:Q152 N154 O154:O155 P154:Q154 N159:Q159">
    <cfRule type="containsText" dxfId="2" priority="34173" operator="containsText" text="Yes">
      <formula>NOT(ISERROR(SEARCH(("Yes"),(N149))))</formula>
    </cfRule>
  </conditionalFormatting>
  <conditionalFormatting sqref="N149:Q152 N154 O154:O155 P154:Q154 N159:Q159">
    <cfRule type="containsText" dxfId="2" priority="34174" operator="containsText" text="Yes">
      <formula>NOT(ISERROR(SEARCH(("Yes"),(N149))))</formula>
    </cfRule>
  </conditionalFormatting>
  <conditionalFormatting sqref="N149:Q152 N154 O154:O155 P154:Q154 N159:Q159">
    <cfRule type="containsText" dxfId="2" priority="34175" operator="containsText" text="Yes">
      <formula>NOT(ISERROR(SEARCH(("Yes"),(N149))))</formula>
    </cfRule>
  </conditionalFormatting>
  <conditionalFormatting sqref="N149:Q152 N154 O154:O155 P154:Q154 N159:Q159">
    <cfRule type="containsText" dxfId="2" priority="34176" operator="containsText" text="Yes">
      <formula>NOT(ISERROR(SEARCH(("Yes"),(N149))))</formula>
    </cfRule>
  </conditionalFormatting>
  <conditionalFormatting sqref="N149:Q152 N154 O154:O155 P154:Q154 N159:Q159">
    <cfRule type="containsText" dxfId="2" priority="34177" operator="containsText" text="Yes">
      <formula>NOT(ISERROR(SEARCH(("Yes"),(N149))))</formula>
    </cfRule>
  </conditionalFormatting>
  <conditionalFormatting sqref="N149:Q152 N154 O154:O155 P154:Q154 N159:Q159">
    <cfRule type="containsText" dxfId="2" priority="34178" operator="containsText" text="Yes">
      <formula>NOT(ISERROR(SEARCH(("Yes"),(N149))))</formula>
    </cfRule>
  </conditionalFormatting>
  <conditionalFormatting sqref="N149:Q152 N154 O154:O155 P154:Q154 N159:Q159">
    <cfRule type="containsText" dxfId="2" priority="34179" operator="containsText" text="Yes">
      <formula>NOT(ISERROR(SEARCH(("Yes"),(N149))))</formula>
    </cfRule>
  </conditionalFormatting>
  <conditionalFormatting sqref="N149:Q152 N154 O154:O155 P154:Q154 N159:Q159">
    <cfRule type="containsText" dxfId="2" priority="34180" operator="containsText" text="Yes">
      <formula>NOT(ISERROR(SEARCH(("Yes"),(N149))))</formula>
    </cfRule>
  </conditionalFormatting>
  <conditionalFormatting sqref="N149:Q152 N154 O154:O155 P154:Q154 N159:Q159">
    <cfRule type="containsText" dxfId="2" priority="34181" operator="containsText" text="Yes">
      <formula>NOT(ISERROR(SEARCH(("Yes"),(N149))))</formula>
    </cfRule>
  </conditionalFormatting>
  <conditionalFormatting sqref="N149:Q152 N154 O154:O155 P154:Q154 N159:Q159">
    <cfRule type="containsText" dxfId="2" priority="34182" operator="containsText" text="Yes">
      <formula>NOT(ISERROR(SEARCH(("Yes"),(N149))))</formula>
    </cfRule>
  </conditionalFormatting>
  <conditionalFormatting sqref="N149:Q152 N154 O154:O155 P154:Q154 N159:Q159">
    <cfRule type="containsText" dxfId="2" priority="34183" operator="containsText" text="Yes">
      <formula>NOT(ISERROR(SEARCH(("Yes"),(N149))))</formula>
    </cfRule>
  </conditionalFormatting>
  <conditionalFormatting sqref="N149:Q152 N154 O154:O155 P154:Q154 N159:Q159">
    <cfRule type="containsText" dxfId="2" priority="34184" operator="containsText" text="Yes">
      <formula>NOT(ISERROR(SEARCH(("Yes"),(N149))))</formula>
    </cfRule>
  </conditionalFormatting>
  <conditionalFormatting sqref="N149:Q152 N154 O154:O155 P154:Q154 N159:Q159">
    <cfRule type="containsText" dxfId="2" priority="34185" operator="containsText" text="Yes">
      <formula>NOT(ISERROR(SEARCH(("Yes"),(N149))))</formula>
    </cfRule>
  </conditionalFormatting>
  <conditionalFormatting sqref="N149:Q152 N154 O154:O155 P154:Q154 N159:Q159">
    <cfRule type="containsText" dxfId="2" priority="34186" operator="containsText" text="Yes">
      <formula>NOT(ISERROR(SEARCH(("Yes"),(N149))))</formula>
    </cfRule>
  </conditionalFormatting>
  <conditionalFormatting sqref="N149:Q152 N154 O154:O155 P154:Q154 N159:Q159">
    <cfRule type="containsText" dxfId="2" priority="34187" operator="containsText" text="Yes">
      <formula>NOT(ISERROR(SEARCH(("Yes"),(N149))))</formula>
    </cfRule>
  </conditionalFormatting>
  <conditionalFormatting sqref="N149:Q152 N154 O154:O155 P154:Q154 N159:Q159">
    <cfRule type="containsText" dxfId="2" priority="34188" operator="containsText" text="Yes">
      <formula>NOT(ISERROR(SEARCH(("Yes"),(N149))))</formula>
    </cfRule>
  </conditionalFormatting>
  <conditionalFormatting sqref="N149:Q152 N154 O154:O155 P154:Q154 N159:Q159">
    <cfRule type="containsText" dxfId="2" priority="34189" operator="containsText" text="Yes">
      <formula>NOT(ISERROR(SEARCH(("Yes"),(N149))))</formula>
    </cfRule>
  </conditionalFormatting>
  <conditionalFormatting sqref="N149:Q152 N154 O154:O155 P154:Q154 N159:Q159">
    <cfRule type="containsText" dxfId="2" priority="34190" operator="containsText" text="Yes">
      <formula>NOT(ISERROR(SEARCH(("Yes"),(N149))))</formula>
    </cfRule>
  </conditionalFormatting>
  <conditionalFormatting sqref="N149:Q152 N154 O154:O155 P154:Q154 N159:Q159">
    <cfRule type="containsText" dxfId="2" priority="34191" operator="containsText" text="Yes">
      <formula>NOT(ISERROR(SEARCH(("Yes"),(N149))))</formula>
    </cfRule>
  </conditionalFormatting>
  <conditionalFormatting sqref="N149:Q152 N154 O154:O155 P154:Q154 N159:Q159">
    <cfRule type="containsText" dxfId="2" priority="34192" operator="containsText" text="Yes">
      <formula>NOT(ISERROR(SEARCH(("Yes"),(N149))))</formula>
    </cfRule>
  </conditionalFormatting>
  <conditionalFormatting sqref="N149:Q152 N154 O154:O155 P154:Q154 N159:Q159">
    <cfRule type="containsText" dxfId="2" priority="34193" operator="containsText" text="Yes">
      <formula>NOT(ISERROR(SEARCH(("Yes"),(N149))))</formula>
    </cfRule>
  </conditionalFormatting>
  <conditionalFormatting sqref="N149:Q152 N154 O154:O155 P154:Q154 N159:Q159">
    <cfRule type="containsText" dxfId="2" priority="34194" operator="containsText" text="Yes">
      <formula>NOT(ISERROR(SEARCH(("Yes"),(N149))))</formula>
    </cfRule>
  </conditionalFormatting>
  <conditionalFormatting sqref="N149:Q152 N154 O154:O155 P154:Q154 N159:Q159">
    <cfRule type="containsText" dxfId="2" priority="34195" operator="containsText" text="Yes">
      <formula>NOT(ISERROR(SEARCH(("Yes"),(N149))))</formula>
    </cfRule>
  </conditionalFormatting>
  <conditionalFormatting sqref="N149:Q152 N154 O154:O155 P154:Q154 N159:Q159">
    <cfRule type="containsText" dxfId="2" priority="34196" operator="containsText" text="Yes">
      <formula>NOT(ISERROR(SEARCH(("Yes"),(N149))))</formula>
    </cfRule>
  </conditionalFormatting>
  <conditionalFormatting sqref="N149:Q152 N154 O154:O155 P154:Q154 N159:Q159">
    <cfRule type="containsText" dxfId="2" priority="34197" operator="containsText" text="Yes">
      <formula>NOT(ISERROR(SEARCH(("Yes"),(N149))))</formula>
    </cfRule>
  </conditionalFormatting>
  <conditionalFormatting sqref="N149:Q152 N154 O154:O155 P154:Q154 N159:Q159">
    <cfRule type="containsText" dxfId="2" priority="34198" operator="containsText" text="Yes">
      <formula>NOT(ISERROR(SEARCH(("Yes"),(N149))))</formula>
    </cfRule>
  </conditionalFormatting>
  <conditionalFormatting sqref="N149:Q152 N154 O154:O155 P154:Q154 N159:Q159">
    <cfRule type="containsText" dxfId="2" priority="34199" operator="containsText" text="Yes">
      <formula>NOT(ISERROR(SEARCH(("Yes"),(N149))))</formula>
    </cfRule>
  </conditionalFormatting>
  <conditionalFormatting sqref="N149:Q152 N154 O154:O155 P154:Q154 N159:Q159">
    <cfRule type="containsText" dxfId="2" priority="34200" operator="containsText" text="Yes">
      <formula>NOT(ISERROR(SEARCH(("Yes"),(N149))))</formula>
    </cfRule>
  </conditionalFormatting>
  <conditionalFormatting sqref="N149:Q152 N154 O154:O155 P154:Q154 N159:Q159">
    <cfRule type="containsText" dxfId="2" priority="34201" operator="containsText" text="Yes">
      <formula>NOT(ISERROR(SEARCH(("Yes"),(N149))))</formula>
    </cfRule>
  </conditionalFormatting>
  <conditionalFormatting sqref="N149:Q152 N154 O154:O155 P154:Q154 N159:Q159">
    <cfRule type="containsText" dxfId="2" priority="34202" operator="containsText" text="Yes">
      <formula>NOT(ISERROR(SEARCH(("Yes"),(N149))))</formula>
    </cfRule>
  </conditionalFormatting>
  <conditionalFormatting sqref="N149:Q152 N154 O154:O155 P154:Q154 N159:Q159">
    <cfRule type="containsText" dxfId="2" priority="34203" operator="containsText" text="Yes">
      <formula>NOT(ISERROR(SEARCH(("Yes"),(N149))))</formula>
    </cfRule>
  </conditionalFormatting>
  <conditionalFormatting sqref="N149:Q152 N154 O154:O155 P154:Q154 N159:Q159">
    <cfRule type="containsText" dxfId="2" priority="34204" operator="containsText" text="Yes">
      <formula>NOT(ISERROR(SEARCH(("Yes"),(N149))))</formula>
    </cfRule>
  </conditionalFormatting>
  <conditionalFormatting sqref="N149:Q152 N154 O154:O155 P154:Q154 N159:Q159">
    <cfRule type="containsText" dxfId="2" priority="34205" operator="containsText" text="Yes">
      <formula>NOT(ISERROR(SEARCH(("Yes"),(N149))))</formula>
    </cfRule>
  </conditionalFormatting>
  <conditionalFormatting sqref="N149:Q152 N154 O154:O155 P154:Q154 N159:Q159">
    <cfRule type="containsText" dxfId="2" priority="34206" operator="containsText" text="Yes">
      <formula>NOT(ISERROR(SEARCH(("Yes"),(N149))))</formula>
    </cfRule>
  </conditionalFormatting>
  <conditionalFormatting sqref="N149:Q152 N154 O154:O155 P154:Q154 N159:Q159">
    <cfRule type="containsText" dxfId="2" priority="34207" operator="containsText" text="Yes">
      <formula>NOT(ISERROR(SEARCH(("Yes"),(N149))))</formula>
    </cfRule>
  </conditionalFormatting>
  <conditionalFormatting sqref="N149:Q152 N154 O154:O155 P154:Q154 N159:Q159">
    <cfRule type="containsText" dxfId="2" priority="34208" operator="containsText" text="Yes">
      <formula>NOT(ISERROR(SEARCH(("Yes"),(N149))))</formula>
    </cfRule>
  </conditionalFormatting>
  <conditionalFormatting sqref="N149:Q152 N154 O154:O155 P154:Q154 N159:Q159">
    <cfRule type="containsText" dxfId="2" priority="34209" operator="containsText" text="Yes">
      <formula>NOT(ISERROR(SEARCH(("Yes"),(N149))))</formula>
    </cfRule>
  </conditionalFormatting>
  <conditionalFormatting sqref="N149:Q152 N154 O154:O155 P154:Q154 N159:Q159">
    <cfRule type="containsText" dxfId="2" priority="34210" operator="containsText" text="Yes">
      <formula>NOT(ISERROR(SEARCH(("Yes"),(N149))))</formula>
    </cfRule>
  </conditionalFormatting>
  <conditionalFormatting sqref="N149:Q152 N154 O154:O155 P154:Q154 N159:Q159">
    <cfRule type="containsText" dxfId="2" priority="34211" operator="containsText" text="Yes">
      <formula>NOT(ISERROR(SEARCH(("Yes"),(N149))))</formula>
    </cfRule>
  </conditionalFormatting>
  <conditionalFormatting sqref="N149:Q152 N154 O154:O155 P154:Q154 N159:Q159">
    <cfRule type="containsText" dxfId="2" priority="34212" operator="containsText" text="Yes">
      <formula>NOT(ISERROR(SEARCH(("Yes"),(N149))))</formula>
    </cfRule>
  </conditionalFormatting>
  <conditionalFormatting sqref="N149:Q152 N154 O154:O155 P154:Q154 N159:Q159">
    <cfRule type="containsText" dxfId="2" priority="34213" operator="containsText" text="Yes">
      <formula>NOT(ISERROR(SEARCH(("Yes"),(N149))))</formula>
    </cfRule>
  </conditionalFormatting>
  <conditionalFormatting sqref="N149:Q152 N154 O154:O155 P154:Q154 N159:Q159">
    <cfRule type="containsText" dxfId="2" priority="34214" operator="containsText" text="Yes">
      <formula>NOT(ISERROR(SEARCH(("Yes"),(N149))))</formula>
    </cfRule>
  </conditionalFormatting>
  <conditionalFormatting sqref="N149:Q152 N154 O154:O155 P154:Q154 N159:Q159">
    <cfRule type="containsText" dxfId="2" priority="34215" operator="containsText" text="Yes">
      <formula>NOT(ISERROR(SEARCH(("Yes"),(N149))))</formula>
    </cfRule>
  </conditionalFormatting>
  <conditionalFormatting sqref="N149:Q152 N154 O154:O155 P154:Q154 N159:Q159">
    <cfRule type="containsText" dxfId="2" priority="34216" operator="containsText" text="Yes">
      <formula>NOT(ISERROR(SEARCH(("Yes"),(N149))))</formula>
    </cfRule>
  </conditionalFormatting>
  <conditionalFormatting sqref="N150:N152 N154 N159 O174:O226 N184 N187:N216 N222:N226 N228:O252 N254:O256 N258:O264 N267:O269 N272:O273 N275:O275">
    <cfRule type="containsText" dxfId="9" priority="34217" operator="containsText" text="No">
      <formula>NOT(ISERROR(SEARCH(("No"),(N150))))</formula>
    </cfRule>
  </conditionalFormatting>
  <conditionalFormatting sqref="N150:N152 N154 N159 O174:O226 N184 N187:N216 N222:N226 N228:O252 N254:O256 N258:O264 N267:O269 N272:O273 N275:O275">
    <cfRule type="containsText" dxfId="9" priority="34218" operator="containsText" text="No">
      <formula>NOT(ISERROR(SEARCH(("No"),(N150))))</formula>
    </cfRule>
  </conditionalFormatting>
  <conditionalFormatting sqref="N150:N152 N154 N159 O174:O226 N184 N187:N216 N222:N226 N228:O252 N254:O256 N258:O264 N267:O269 N272:O273 N275:O275">
    <cfRule type="containsText" dxfId="9" priority="34219" operator="containsText" text="No">
      <formula>NOT(ISERROR(SEARCH(("No"),(N150))))</formula>
    </cfRule>
  </conditionalFormatting>
  <conditionalFormatting sqref="N150:N152 N154 N159 O174:O226 N184 N187:N216 N222:N226 N228:O252 N254:O256 N258:O264 N267:O269 N272:O273 N275:O275">
    <cfRule type="containsText" dxfId="2" priority="34220" operator="containsText" text="Yes">
      <formula>NOT(ISERROR(SEARCH(("Yes"),(N150))))</formula>
    </cfRule>
  </conditionalFormatting>
  <conditionalFormatting sqref="N150:N152 N154 N159 O174:O226 N184 N187:N216 N222:N226 N228:O252 N254:O256 N258:O264 N267:O269 N272:O273 N275:O275">
    <cfRule type="containsText" dxfId="2" priority="34221" operator="containsText" text="Yes">
      <formula>NOT(ISERROR(SEARCH(("Yes"),(N150))))</formula>
    </cfRule>
  </conditionalFormatting>
  <conditionalFormatting sqref="N150:N152 N154 N159 O174:O226 N184 N187:N216 N222:N226 N228:O252 N254:O256 N258:O264 N267:O269 N272:O273 N275:O275">
    <cfRule type="containsText" dxfId="2" priority="34222" operator="containsText" text="Yes">
      <formula>NOT(ISERROR(SEARCH(("Yes"),(N150))))</formula>
    </cfRule>
  </conditionalFormatting>
  <conditionalFormatting sqref="N150:N152 N154 N159 O174:O226 N184 N187:N216 N222:N226 N228:O252 N254:O256 N258:O264 N267:O269 N272:O273 N275:O275">
    <cfRule type="containsText" dxfId="2" priority="34223" operator="containsText" text="Yes">
      <formula>NOT(ISERROR(SEARCH(("Yes"),(N150))))</formula>
    </cfRule>
  </conditionalFormatting>
  <conditionalFormatting sqref="N150:N152 N154 N159 O174:O226 N184 N187:N216 N222:N226 N228:O252 N254:O256 N258:O264 N267:O269 N272:O273 N275:O275">
    <cfRule type="containsText" dxfId="2" priority="34224" operator="containsText" text="Yes">
      <formula>NOT(ISERROR(SEARCH(("Yes"),(N150))))</formula>
    </cfRule>
  </conditionalFormatting>
  <conditionalFormatting sqref="N150:N152 N154 N159 O174:O226 N184 N187:N216 N222:N226 N228:O252 N254:O256 N258:O264 N267:O269 N272:O273 N275:O275">
    <cfRule type="containsText" dxfId="9" priority="34225" operator="containsText" text="No">
      <formula>NOT(ISERROR(SEARCH(("No"),(N150))))</formula>
    </cfRule>
  </conditionalFormatting>
  <conditionalFormatting sqref="N150:N152 N154 N159 O174:O226 N184 N187:N216 N222:N226 N228:O252 N254:O256 N258:O264 N267:O269 N272:O273 N275:O275">
    <cfRule type="containsText" dxfId="2" priority="34226" operator="containsText" text="Yes">
      <formula>NOT(ISERROR(SEARCH(("Yes"),(N150))))</formula>
    </cfRule>
  </conditionalFormatting>
  <conditionalFormatting sqref="O150:O152 P153:P214 O154:O155 Q155 O159 Q203 U204:V204 Q205:Q214">
    <cfRule type="containsText" dxfId="9" priority="34227" operator="containsText" text="No">
      <formula>NOT(ISERROR(SEARCH(("No"),(O150))))</formula>
    </cfRule>
  </conditionalFormatting>
  <conditionalFormatting sqref="O150:O152 P153:P214 O154:O155 Q155 O159 Q203 U204:V204 Q205:Q214">
    <cfRule type="containsText" dxfId="9" priority="34228" operator="containsText" text="No">
      <formula>NOT(ISERROR(SEARCH(("No"),(O150))))</formula>
    </cfRule>
  </conditionalFormatting>
  <conditionalFormatting sqref="O150:O152 P153:P214 O154:O155 Q155 O159 Q203 U204:V204 Q205:Q214">
    <cfRule type="containsText" dxfId="9" priority="34229" operator="containsText" text="No">
      <formula>NOT(ISERROR(SEARCH(("No"),(O150))))</formula>
    </cfRule>
  </conditionalFormatting>
  <conditionalFormatting sqref="O150:O152 P153:P214 O154:O155 Q155 O159 Q203 U204:V204 Q205:Q214">
    <cfRule type="containsText" dxfId="2" priority="34230" operator="containsText" text="Yes">
      <formula>NOT(ISERROR(SEARCH(("Yes"),(O150))))</formula>
    </cfRule>
  </conditionalFormatting>
  <conditionalFormatting sqref="O150:O152 P153:P214 O154:O155 Q155 O159 Q203 U204:V204 Q205:Q214">
    <cfRule type="containsText" dxfId="2" priority="34231" operator="containsText" text="Yes">
      <formula>NOT(ISERROR(SEARCH(("Yes"),(O150))))</formula>
    </cfRule>
  </conditionalFormatting>
  <conditionalFormatting sqref="O150:O152 P153:P214 O154:O155 Q155 O159 Q203 U204:V204 Q205:Q214">
    <cfRule type="containsText" dxfId="2" priority="34232" operator="containsText" text="Yes">
      <formula>NOT(ISERROR(SEARCH(("Yes"),(O150))))</formula>
    </cfRule>
  </conditionalFormatting>
  <conditionalFormatting sqref="O150:O152 P153:P214 O154:O155 Q155 O159 Q203 U204:V204 Q205:Q214">
    <cfRule type="containsText" dxfId="2" priority="34233" operator="containsText" text="Yes">
      <formula>NOT(ISERROR(SEARCH(("Yes"),(O150))))</formula>
    </cfRule>
  </conditionalFormatting>
  <conditionalFormatting sqref="O150:O152 P153:P214 O154:O155 Q155 O159 Q203 U204:V204 Q205:Q214">
    <cfRule type="containsText" dxfId="2" priority="34234" operator="containsText" text="Yes">
      <formula>NOT(ISERROR(SEARCH(("Yes"),(O150))))</formula>
    </cfRule>
  </conditionalFormatting>
  <conditionalFormatting sqref="O150:O152 P153:P214 O154:O155 Q155 O159 Q203 U204:V204 Q205:Q214">
    <cfRule type="containsText" dxfId="9" priority="34235" operator="containsText" text="No">
      <formula>NOT(ISERROR(SEARCH(("No"),(O150))))</formula>
    </cfRule>
  </conditionalFormatting>
  <conditionalFormatting sqref="O150:O152 P153:P214 O154:O155 Q155 O159 Q203 U204:V204 Q205:Q214">
    <cfRule type="containsText" dxfId="9" priority="34236" operator="containsText" text="No">
      <formula>NOT(ISERROR(SEARCH(("No"),(O150))))</formula>
    </cfRule>
  </conditionalFormatting>
  <conditionalFormatting sqref="O150:O152 P153:P214 O154:O155 Q155 O159 Q203 U204:V204 Q205:Q214">
    <cfRule type="containsText" dxfId="2" priority="34237" operator="containsText" text="Yes">
      <formula>NOT(ISERROR(SEARCH(("Yes"),(O150))))</formula>
    </cfRule>
  </conditionalFormatting>
  <conditionalFormatting sqref="P150:Q152 P154:Q154 P159:Q159">
    <cfRule type="containsText" dxfId="9" priority="34238" operator="containsText" text="No">
      <formula>NOT(ISERROR(SEARCH(("No"),(P150))))</formula>
    </cfRule>
  </conditionalFormatting>
  <conditionalFormatting sqref="P150:Q152 P154:Q154 P159:Q159">
    <cfRule type="containsText" dxfId="9" priority="34239" operator="containsText" text="No">
      <formula>NOT(ISERROR(SEARCH(("No"),(P150))))</formula>
    </cfRule>
  </conditionalFormatting>
  <conditionalFormatting sqref="P150:Q152 P154:Q154 P159:Q159">
    <cfRule type="containsText" dxfId="9" priority="34240" operator="containsText" text="No">
      <formula>NOT(ISERROR(SEARCH(("No"),(P150))))</formula>
    </cfRule>
  </conditionalFormatting>
  <conditionalFormatting sqref="P150:Q152 P154:Q154 P159:Q159">
    <cfRule type="containsText" dxfId="9" priority="34241" operator="containsText" text="No">
      <formula>NOT(ISERROR(SEARCH(("No"),(P150))))</formula>
    </cfRule>
  </conditionalFormatting>
  <conditionalFormatting sqref="P150:Q152 P154:Q154 P159:Q159">
    <cfRule type="containsText" dxfId="9" priority="34242" operator="containsText" text="No">
      <formula>NOT(ISERROR(SEARCH(("No"),(P150))))</formula>
    </cfRule>
  </conditionalFormatting>
  <conditionalFormatting sqref="P150:Q152 P154:Q154 P159:Q159">
    <cfRule type="containsText" dxfId="9" priority="34243" operator="containsText" text="No">
      <formula>NOT(ISERROR(SEARCH(("No"),(P150))))</formula>
    </cfRule>
  </conditionalFormatting>
  <conditionalFormatting sqref="P150:Q152 P154:Q154 P159:Q159">
    <cfRule type="containsText" dxfId="9" priority="34244" operator="containsText" text="No">
      <formula>NOT(ISERROR(SEARCH(("No"),(P150))))</formula>
    </cfRule>
  </conditionalFormatting>
  <conditionalFormatting sqref="P150:Q152 P154:Q154 P159:Q159">
    <cfRule type="containsText" dxfId="9" priority="34245" operator="containsText" text="No">
      <formula>NOT(ISERROR(SEARCH(("No"),(P150))))</formula>
    </cfRule>
  </conditionalFormatting>
  <conditionalFormatting sqref="P150:Q152 P154:Q154 P159:Q159">
    <cfRule type="containsText" dxfId="9" priority="34246" operator="containsText" text="No">
      <formula>NOT(ISERROR(SEARCH(("No"),(P150))))</formula>
    </cfRule>
  </conditionalFormatting>
  <conditionalFormatting sqref="P150:Q152 P154:Q154 P159:Q159">
    <cfRule type="containsText" dxfId="9" priority="34247" operator="containsText" text="No">
      <formula>NOT(ISERROR(SEARCH(("No"),(P150))))</formula>
    </cfRule>
  </conditionalFormatting>
  <conditionalFormatting sqref="P150:Q152 P154:Q154 P159:Q159">
    <cfRule type="containsText" dxfId="9" priority="34248" operator="containsText" text="No">
      <formula>NOT(ISERROR(SEARCH(("No"),(P150))))</formula>
    </cfRule>
  </conditionalFormatting>
  <conditionalFormatting sqref="P150:Q152 P154:Q154 P159:Q159">
    <cfRule type="containsText" dxfId="9" priority="34249" operator="containsText" text="No">
      <formula>NOT(ISERROR(SEARCH(("No"),(P150))))</formula>
    </cfRule>
  </conditionalFormatting>
  <conditionalFormatting sqref="P150:Q152 P154:Q154 P159:Q159">
    <cfRule type="containsText" dxfId="9" priority="34250" operator="containsText" text="No">
      <formula>NOT(ISERROR(SEARCH(("No"),(P150))))</formula>
    </cfRule>
  </conditionalFormatting>
  <conditionalFormatting sqref="P150:Q152 P154:Q154 P159:Q159">
    <cfRule type="containsText" dxfId="9" priority="34251" operator="containsText" text="No">
      <formula>NOT(ISERROR(SEARCH(("No"),(P150))))</formula>
    </cfRule>
  </conditionalFormatting>
  <conditionalFormatting sqref="P150:Q152 P154:Q154 P159:Q159">
    <cfRule type="containsText" dxfId="9" priority="34252" operator="containsText" text="No">
      <formula>NOT(ISERROR(SEARCH(("No"),(P150))))</formula>
    </cfRule>
  </conditionalFormatting>
  <conditionalFormatting sqref="P150:Q152 P154:Q154 P159:Q159">
    <cfRule type="containsText" dxfId="9" priority="34253" operator="containsText" text="No">
      <formula>NOT(ISERROR(SEARCH(("No"),(P150))))</formula>
    </cfRule>
  </conditionalFormatting>
  <conditionalFormatting sqref="P150:Q152 P154:Q154 P159:Q159">
    <cfRule type="containsText" dxfId="9" priority="34254" operator="containsText" text="No">
      <formula>NOT(ISERROR(SEARCH(("No"),(P150))))</formula>
    </cfRule>
  </conditionalFormatting>
  <conditionalFormatting sqref="P150:Q152 P154:Q154 P159:Q159">
    <cfRule type="containsText" dxfId="9" priority="34255" operator="containsText" text="No">
      <formula>NOT(ISERROR(SEARCH(("No"),(P150))))</formula>
    </cfRule>
  </conditionalFormatting>
  <conditionalFormatting sqref="P150:Q152 P154:Q154 P159:Q159">
    <cfRule type="containsText" dxfId="9" priority="34256" operator="containsText" text="No">
      <formula>NOT(ISERROR(SEARCH(("No"),(P150))))</formula>
    </cfRule>
  </conditionalFormatting>
  <conditionalFormatting sqref="P150:Q152 P154:Q154 P159:Q159">
    <cfRule type="containsText" dxfId="9" priority="34257" operator="containsText" text="No">
      <formula>NOT(ISERROR(SEARCH(("No"),(P150))))</formula>
    </cfRule>
  </conditionalFormatting>
  <conditionalFormatting sqref="P150:Q152 P154:Q154 P159:Q159">
    <cfRule type="containsText" dxfId="9" priority="34258" operator="containsText" text="No">
      <formula>NOT(ISERROR(SEARCH(("No"),(P150))))</formula>
    </cfRule>
  </conditionalFormatting>
  <conditionalFormatting sqref="P150:Q152 P154:Q154 P159:Q159">
    <cfRule type="containsText" dxfId="9" priority="34259" operator="containsText" text="No">
      <formula>NOT(ISERROR(SEARCH(("No"),(P150))))</formula>
    </cfRule>
  </conditionalFormatting>
  <conditionalFormatting sqref="P150:Q152 P154:Q154 P159:Q159">
    <cfRule type="containsText" dxfId="9" priority="34260" operator="containsText" text="No">
      <formula>NOT(ISERROR(SEARCH(("No"),(P150))))</formula>
    </cfRule>
  </conditionalFormatting>
  <conditionalFormatting sqref="P150:Q152 P154:Q154 P159:Q159">
    <cfRule type="containsText" dxfId="9" priority="34261" operator="containsText" text="No">
      <formula>NOT(ISERROR(SEARCH(("No"),(P150))))</formula>
    </cfRule>
  </conditionalFormatting>
  <conditionalFormatting sqref="P150:Q152 P154:Q154 P159:Q159">
    <cfRule type="containsText" dxfId="9" priority="34262" operator="containsText" text="No">
      <formula>NOT(ISERROR(SEARCH(("No"),(P150))))</formula>
    </cfRule>
  </conditionalFormatting>
  <conditionalFormatting sqref="P150:Q152 P154:Q154 P159:Q159">
    <cfRule type="containsText" dxfId="9" priority="34263" operator="containsText" text="No">
      <formula>NOT(ISERROR(SEARCH(("No"),(P150))))</formula>
    </cfRule>
  </conditionalFormatting>
  <conditionalFormatting sqref="P150:Q152 P154:Q154 P159:Q159">
    <cfRule type="containsText" dxfId="9" priority="34264" operator="containsText" text="No">
      <formula>NOT(ISERROR(SEARCH(("No"),(P150))))</formula>
    </cfRule>
  </conditionalFormatting>
  <conditionalFormatting sqref="P150:Q152 P154:Q154 P159:Q159">
    <cfRule type="containsText" dxfId="9" priority="34265" operator="containsText" text="No">
      <formula>NOT(ISERROR(SEARCH(("No"),(P150))))</formula>
    </cfRule>
  </conditionalFormatting>
  <conditionalFormatting sqref="P150:Q152 P154:Q154 P159:Q159">
    <cfRule type="containsText" dxfId="9" priority="34266" operator="containsText" text="No">
      <formula>NOT(ISERROR(SEARCH(("No"),(P150))))</formula>
    </cfRule>
  </conditionalFormatting>
  <conditionalFormatting sqref="P150:Q152 P154:Q154 P159:Q159">
    <cfRule type="containsText" dxfId="9" priority="34267" operator="containsText" text="No">
      <formula>NOT(ISERROR(SEARCH(("No"),(P150))))</formula>
    </cfRule>
  </conditionalFormatting>
  <conditionalFormatting sqref="P150:Q152 P154:Q154 P159:Q159">
    <cfRule type="containsText" dxfId="9" priority="34268" operator="containsText" text="No">
      <formula>NOT(ISERROR(SEARCH(("No"),(P150))))</formula>
    </cfRule>
  </conditionalFormatting>
  <conditionalFormatting sqref="P150:Q152 P154:Q154 P159:Q159">
    <cfRule type="containsText" dxfId="9" priority="34269" operator="containsText" text="No">
      <formula>NOT(ISERROR(SEARCH(("No"),(P150))))</formula>
    </cfRule>
  </conditionalFormatting>
  <conditionalFormatting sqref="P150:Q152 P154:Q154 P159:Q159">
    <cfRule type="containsText" dxfId="9" priority="34270" operator="containsText" text="No">
      <formula>NOT(ISERROR(SEARCH(("No"),(P150))))</formula>
    </cfRule>
  </conditionalFormatting>
  <conditionalFormatting sqref="P150:Q152 P154:Q154 P159:Q159">
    <cfRule type="containsText" dxfId="9" priority="34271" operator="containsText" text="No">
      <formula>NOT(ISERROR(SEARCH(("No"),(P150))))</formula>
    </cfRule>
  </conditionalFormatting>
  <conditionalFormatting sqref="P150:Q152 P154:Q154 P159:Q159">
    <cfRule type="containsText" dxfId="9" priority="34272" operator="containsText" text="No">
      <formula>NOT(ISERROR(SEARCH(("No"),(P150))))</formula>
    </cfRule>
  </conditionalFormatting>
  <conditionalFormatting sqref="P150:Q152 P154:Q154 P159:Q159">
    <cfRule type="containsText" dxfId="9" priority="34273" operator="containsText" text="No">
      <formula>NOT(ISERROR(SEARCH(("No"),(P150))))</formula>
    </cfRule>
  </conditionalFormatting>
  <conditionalFormatting sqref="P150:Q152 P154:Q154 P159:Q159">
    <cfRule type="containsText" dxfId="9" priority="34274" operator="containsText" text="No">
      <formula>NOT(ISERROR(SEARCH(("No"),(P150))))</formula>
    </cfRule>
  </conditionalFormatting>
  <conditionalFormatting sqref="P150:Q152 P154:Q154 P159:Q159">
    <cfRule type="containsText" dxfId="9" priority="34275" operator="containsText" text="No">
      <formula>NOT(ISERROR(SEARCH(("No"),(P150))))</formula>
    </cfRule>
  </conditionalFormatting>
  <conditionalFormatting sqref="P150:Q152 P154:Q154 P159:Q159">
    <cfRule type="containsText" dxfId="9" priority="34276" operator="containsText" text="No">
      <formula>NOT(ISERROR(SEARCH(("No"),(P150))))</formula>
    </cfRule>
  </conditionalFormatting>
  <conditionalFormatting sqref="P150:Q152 P154:Q154 P159:Q159">
    <cfRule type="containsText" dxfId="9" priority="34277" operator="containsText" text="No">
      <formula>NOT(ISERROR(SEARCH(("No"),(P150))))</formula>
    </cfRule>
  </conditionalFormatting>
  <conditionalFormatting sqref="P150:Q152 P154:Q154 P159:Q159">
    <cfRule type="containsText" dxfId="9" priority="34278" operator="containsText" text="No">
      <formula>NOT(ISERROR(SEARCH(("No"),(P150))))</formula>
    </cfRule>
  </conditionalFormatting>
  <conditionalFormatting sqref="P150:Q152 P154:Q154 P159:Q159">
    <cfRule type="containsText" dxfId="9" priority="34279" operator="containsText" text="No">
      <formula>NOT(ISERROR(SEARCH(("No"),(P150))))</formula>
    </cfRule>
  </conditionalFormatting>
  <conditionalFormatting sqref="P150:Q152 P154:Q154 P159:Q159">
    <cfRule type="containsText" dxfId="9" priority="34280" operator="containsText" text="No">
      <formula>NOT(ISERROR(SEARCH(("No"),(P150))))</formula>
    </cfRule>
  </conditionalFormatting>
  <conditionalFormatting sqref="P150:Q152 P154:Q154 P159:Q159">
    <cfRule type="containsText" dxfId="9" priority="34281" operator="containsText" text="No">
      <formula>NOT(ISERROR(SEARCH(("No"),(P150))))</formula>
    </cfRule>
  </conditionalFormatting>
  <conditionalFormatting sqref="P150:Q152 P154:Q154 P159:Q159">
    <cfRule type="containsText" dxfId="9" priority="34282" operator="containsText" text="No">
      <formula>NOT(ISERROR(SEARCH(("No"),(P150))))</formula>
    </cfRule>
  </conditionalFormatting>
  <conditionalFormatting sqref="P150:Q152 P154:Q154 P159:Q159">
    <cfRule type="containsText" dxfId="2" priority="34283" operator="containsText" text="Yes">
      <formula>NOT(ISERROR(SEARCH(("Yes"),(P150))))</formula>
    </cfRule>
  </conditionalFormatting>
  <conditionalFormatting sqref="P150:Q152 P154:Q154 P159:Q159">
    <cfRule type="containsText" dxfId="2" priority="34284" operator="containsText" text="Yes">
      <formula>NOT(ISERROR(SEARCH(("Yes"),(P150))))</formula>
    </cfRule>
  </conditionalFormatting>
  <conditionalFormatting sqref="P150:Q152 P154:Q154 P159:Q159">
    <cfRule type="containsText" dxfId="2" priority="34285" operator="containsText" text="Yes">
      <formula>NOT(ISERROR(SEARCH(("Yes"),(P150))))</formula>
    </cfRule>
  </conditionalFormatting>
  <conditionalFormatting sqref="P150:Q152 P154:Q154 P159:Q159">
    <cfRule type="containsText" dxfId="2" priority="34286" operator="containsText" text="Yes">
      <formula>NOT(ISERROR(SEARCH(("Yes"),(P150))))</formula>
    </cfRule>
  </conditionalFormatting>
  <conditionalFormatting sqref="P150:Q152 P154:Q154 P159:Q159">
    <cfRule type="containsText" dxfId="2" priority="34287" operator="containsText" text="Yes">
      <formula>NOT(ISERROR(SEARCH(("Yes"),(P150))))</formula>
    </cfRule>
  </conditionalFormatting>
  <conditionalFormatting sqref="P150:Q152 P154:Q154 P159:Q159">
    <cfRule type="containsText" dxfId="2" priority="34288" operator="containsText" text="Yes">
      <formula>NOT(ISERROR(SEARCH(("Yes"),(P150))))</formula>
    </cfRule>
  </conditionalFormatting>
  <conditionalFormatting sqref="P150:Q152 P154:Q154 P159:Q159">
    <cfRule type="containsText" dxfId="2" priority="34289" operator="containsText" text="Yes">
      <formula>NOT(ISERROR(SEARCH(("Yes"),(P150))))</formula>
    </cfRule>
  </conditionalFormatting>
  <conditionalFormatting sqref="P150:Q152 P154:Q154 P159:Q159">
    <cfRule type="containsText" dxfId="2" priority="34290" operator="containsText" text="Yes">
      <formula>NOT(ISERROR(SEARCH(("Yes"),(P150))))</formula>
    </cfRule>
  </conditionalFormatting>
  <conditionalFormatting sqref="P150:Q152 P154:Q154 P159:Q159">
    <cfRule type="containsText" dxfId="2" priority="34291" operator="containsText" text="Yes">
      <formula>NOT(ISERROR(SEARCH(("Yes"),(P150))))</formula>
    </cfRule>
  </conditionalFormatting>
  <conditionalFormatting sqref="P150:Q152 P154:Q154 P159:Q159">
    <cfRule type="containsText" dxfId="2" priority="34292" operator="containsText" text="Yes">
      <formula>NOT(ISERROR(SEARCH(("Yes"),(P150))))</formula>
    </cfRule>
  </conditionalFormatting>
  <conditionalFormatting sqref="P150:Q152 P154:Q154 P159:Q159">
    <cfRule type="containsText" dxfId="2" priority="34293" operator="containsText" text="Yes">
      <formula>NOT(ISERROR(SEARCH(("Yes"),(P150))))</formula>
    </cfRule>
  </conditionalFormatting>
  <conditionalFormatting sqref="P150:Q152 P154:Q154 P159:Q159">
    <cfRule type="containsText" dxfId="2" priority="34294" operator="containsText" text="Yes">
      <formula>NOT(ISERROR(SEARCH(("Yes"),(P150))))</formula>
    </cfRule>
  </conditionalFormatting>
  <conditionalFormatting sqref="P150:Q152 P154:Q154 P159:Q159">
    <cfRule type="containsText" dxfId="2" priority="34295" operator="containsText" text="Yes">
      <formula>NOT(ISERROR(SEARCH(("Yes"),(P150))))</formula>
    </cfRule>
  </conditionalFormatting>
  <conditionalFormatting sqref="P150:Q152 P154:Q154 P159:Q159">
    <cfRule type="containsText" dxfId="2" priority="34296" operator="containsText" text="Yes">
      <formula>NOT(ISERROR(SEARCH(("Yes"),(P150))))</formula>
    </cfRule>
  </conditionalFormatting>
  <conditionalFormatting sqref="P150:Q152 P154:Q154 P159:Q159">
    <cfRule type="containsText" dxfId="2" priority="34297" operator="containsText" text="Yes">
      <formula>NOT(ISERROR(SEARCH(("Yes"),(P150))))</formula>
    </cfRule>
  </conditionalFormatting>
  <conditionalFormatting sqref="P150:Q152 P154:Q154 P159:Q159">
    <cfRule type="containsText" dxfId="2" priority="34298" operator="containsText" text="Yes">
      <formula>NOT(ISERROR(SEARCH(("Yes"),(P150))))</formula>
    </cfRule>
  </conditionalFormatting>
  <conditionalFormatting sqref="P150:Q152 P154:Q154 P159:Q159">
    <cfRule type="containsText" dxfId="2" priority="34299" operator="containsText" text="Yes">
      <formula>NOT(ISERROR(SEARCH(("Yes"),(P150))))</formula>
    </cfRule>
  </conditionalFormatting>
  <conditionalFormatting sqref="P150:Q152 P154:Q154 P159:Q159">
    <cfRule type="containsText" dxfId="2" priority="34300" operator="containsText" text="Yes">
      <formula>NOT(ISERROR(SEARCH(("Yes"),(P150))))</formula>
    </cfRule>
  </conditionalFormatting>
  <conditionalFormatting sqref="P150:Q152 P154:Q154 P159:Q159">
    <cfRule type="containsText" dxfId="2" priority="34301" operator="containsText" text="Yes">
      <formula>NOT(ISERROR(SEARCH(("Yes"),(P150))))</formula>
    </cfRule>
  </conditionalFormatting>
  <conditionalFormatting sqref="P150:Q152 P154:Q154 P159:Q159">
    <cfRule type="containsText" dxfId="2" priority="34302" operator="containsText" text="Yes">
      <formula>NOT(ISERROR(SEARCH(("Yes"),(P150))))</formula>
    </cfRule>
  </conditionalFormatting>
  <conditionalFormatting sqref="P150:Q152 P154:Q154 P159:Q159">
    <cfRule type="containsText" dxfId="2" priority="34303" operator="containsText" text="Yes">
      <formula>NOT(ISERROR(SEARCH(("Yes"),(P150))))</formula>
    </cfRule>
  </conditionalFormatting>
  <conditionalFormatting sqref="P150:Q152 P154:Q154 P159:Q159">
    <cfRule type="containsText" dxfId="2" priority="34304" operator="containsText" text="Yes">
      <formula>NOT(ISERROR(SEARCH(("Yes"),(P150))))</formula>
    </cfRule>
  </conditionalFormatting>
  <conditionalFormatting sqref="P150:Q152 P154:Q154 P159:Q159">
    <cfRule type="containsText" dxfId="2" priority="34305" operator="containsText" text="Yes">
      <formula>NOT(ISERROR(SEARCH(("Yes"),(P150))))</formula>
    </cfRule>
  </conditionalFormatting>
  <conditionalFormatting sqref="P150:Q152 P154:Q154 P159:Q159">
    <cfRule type="containsText" dxfId="2" priority="34306" operator="containsText" text="Yes">
      <formula>NOT(ISERROR(SEARCH(("Yes"),(P150))))</formula>
    </cfRule>
  </conditionalFormatting>
  <conditionalFormatting sqref="P150:Q152 P154:Q154 P159:Q159">
    <cfRule type="containsText" dxfId="2" priority="34307" operator="containsText" text="Yes">
      <formula>NOT(ISERROR(SEARCH(("Yes"),(P150))))</formula>
    </cfRule>
  </conditionalFormatting>
  <conditionalFormatting sqref="P150:Q152 P154:Q154 P159:Q159">
    <cfRule type="containsText" dxfId="2" priority="34308" operator="containsText" text="Yes">
      <formula>NOT(ISERROR(SEARCH(("Yes"),(P150))))</formula>
    </cfRule>
  </conditionalFormatting>
  <conditionalFormatting sqref="P150:Q152 P154:Q154 P159:Q159">
    <cfRule type="containsText" dxfId="2" priority="34309" operator="containsText" text="Yes">
      <formula>NOT(ISERROR(SEARCH(("Yes"),(P150))))</formula>
    </cfRule>
  </conditionalFormatting>
  <conditionalFormatting sqref="P150:Q152 P154:Q154 P159:Q159">
    <cfRule type="containsText" dxfId="2" priority="34310" operator="containsText" text="Yes">
      <formula>NOT(ISERROR(SEARCH(("Yes"),(P150))))</formula>
    </cfRule>
  </conditionalFormatting>
  <conditionalFormatting sqref="P150:Q152 P154:Q154 P159:Q159">
    <cfRule type="containsText" dxfId="2" priority="34311" operator="containsText" text="Yes">
      <formula>NOT(ISERROR(SEARCH(("Yes"),(P150))))</formula>
    </cfRule>
  </conditionalFormatting>
  <conditionalFormatting sqref="P150:Q152 P154:Q154 P159:Q159">
    <cfRule type="containsText" dxfId="2" priority="34312" operator="containsText" text="Yes">
      <formula>NOT(ISERROR(SEARCH(("Yes"),(P150))))</formula>
    </cfRule>
  </conditionalFormatting>
  <conditionalFormatting sqref="P150:Q152 P154:Q154 P159:Q159">
    <cfRule type="containsText" dxfId="2" priority="34313" operator="containsText" text="Yes">
      <formula>NOT(ISERROR(SEARCH(("Yes"),(P150))))</formula>
    </cfRule>
  </conditionalFormatting>
  <conditionalFormatting sqref="P150:Q152 P154:Q154 P159:Q159">
    <cfRule type="containsText" dxfId="2" priority="34314" operator="containsText" text="Yes">
      <formula>NOT(ISERROR(SEARCH(("Yes"),(P150))))</formula>
    </cfRule>
  </conditionalFormatting>
  <conditionalFormatting sqref="P150:Q152 P154:Q154 P159:Q159">
    <cfRule type="containsText" dxfId="2" priority="34315" operator="containsText" text="Yes">
      <formula>NOT(ISERROR(SEARCH(("Yes"),(P150))))</formula>
    </cfRule>
  </conditionalFormatting>
  <conditionalFormatting sqref="P150:Q152 P154:Q154 P159:Q159">
    <cfRule type="containsText" dxfId="2" priority="34316" operator="containsText" text="Yes">
      <formula>NOT(ISERROR(SEARCH(("Yes"),(P150))))</formula>
    </cfRule>
  </conditionalFormatting>
  <conditionalFormatting sqref="P150:Q152 P154:Q154 P159:Q159">
    <cfRule type="containsText" dxfId="2" priority="34317" operator="containsText" text="Yes">
      <formula>NOT(ISERROR(SEARCH(("Yes"),(P150))))</formula>
    </cfRule>
  </conditionalFormatting>
  <conditionalFormatting sqref="P150:Q152 P154:Q154 P159:Q159">
    <cfRule type="containsText" dxfId="2" priority="34318" operator="containsText" text="Yes">
      <formula>NOT(ISERROR(SEARCH(("Yes"),(P150))))</formula>
    </cfRule>
  </conditionalFormatting>
  <conditionalFormatting sqref="P150:Q152 P154:Q154 P159:Q159">
    <cfRule type="containsText" dxfId="2" priority="34319" operator="containsText" text="Yes">
      <formula>NOT(ISERROR(SEARCH(("Yes"),(P150))))</formula>
    </cfRule>
  </conditionalFormatting>
  <conditionalFormatting sqref="P150:Q152 P154:Q154 P159:Q159">
    <cfRule type="containsText" dxfId="2" priority="34320" operator="containsText" text="Yes">
      <formula>NOT(ISERROR(SEARCH(("Yes"),(P150))))</formula>
    </cfRule>
  </conditionalFormatting>
  <conditionalFormatting sqref="P150:Q152 P154:Q154 P159:Q159">
    <cfRule type="containsText" dxfId="2" priority="34321" operator="containsText" text="Yes">
      <formula>NOT(ISERROR(SEARCH(("Yes"),(P150))))</formula>
    </cfRule>
  </conditionalFormatting>
  <conditionalFormatting sqref="P150:Q152 P154:Q154 P159:Q159">
    <cfRule type="containsText" dxfId="2" priority="34322" operator="containsText" text="Yes">
      <formula>NOT(ISERROR(SEARCH(("Yes"),(P150))))</formula>
    </cfRule>
  </conditionalFormatting>
  <conditionalFormatting sqref="P150:Q152 P154:Q154 P159:Q159">
    <cfRule type="containsText" dxfId="2" priority="34323" operator="containsText" text="Yes">
      <formula>NOT(ISERROR(SEARCH(("Yes"),(P150))))</formula>
    </cfRule>
  </conditionalFormatting>
  <conditionalFormatting sqref="P150:Q152 P154:Q154 P159:Q159">
    <cfRule type="containsText" dxfId="2" priority="34324" operator="containsText" text="Yes">
      <formula>NOT(ISERROR(SEARCH(("Yes"),(P150))))</formula>
    </cfRule>
  </conditionalFormatting>
  <conditionalFormatting sqref="P150:Q152 P154:Q154 P159:Q159">
    <cfRule type="containsText" dxfId="2" priority="34325" operator="containsText" text="Yes">
      <formula>NOT(ISERROR(SEARCH(("Yes"),(P150))))</formula>
    </cfRule>
  </conditionalFormatting>
  <conditionalFormatting sqref="P150:Q152 P154:Q154 P159:Q159">
    <cfRule type="containsText" dxfId="2" priority="34326" operator="containsText" text="Yes">
      <formula>NOT(ISERROR(SEARCH(("Yes"),(P150))))</formula>
    </cfRule>
  </conditionalFormatting>
  <conditionalFormatting sqref="P150:Q152 P154:Q154 P159:Q159">
    <cfRule type="containsText" dxfId="2" priority="34327" operator="containsText" text="Yes">
      <formula>NOT(ISERROR(SEARCH(("Yes"),(P150))))</formula>
    </cfRule>
  </conditionalFormatting>
  <conditionalFormatting sqref="P150:Q152 P154:Q154 P159:Q159">
    <cfRule type="containsText" dxfId="2" priority="34328" operator="containsText" text="Yes">
      <formula>NOT(ISERROR(SEARCH(("Yes"),(P150))))</formula>
    </cfRule>
  </conditionalFormatting>
  <conditionalFormatting sqref="P150:Q152 P154:Q154 P159:Q159">
    <cfRule type="containsText" dxfId="2" priority="34329" operator="containsText" text="Yes">
      <formula>NOT(ISERROR(SEARCH(("Yes"),(P150))))</formula>
    </cfRule>
  </conditionalFormatting>
  <conditionalFormatting sqref="N151:O152 P151:P214 Q151:Q152 N154 O154:O155 Q154:Q155 N159:O159 Q159 O174:O226 N184 N187:N216 Q203 U204:V204 Q205:Q214 N222:N226 N228:O252 N254:O256 N258:O264 N267:O269 N272:O273 N275:O275">
    <cfRule type="containsText" dxfId="9" priority="34330"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31"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32"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33"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34"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35"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36"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37"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38"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39"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40"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41"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42"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43"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44"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45"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46"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47"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48"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49"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50"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51"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52"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53"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54"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55"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56"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57"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58"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59"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60"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61"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62"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63"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64"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65"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66"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67"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68"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69"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70"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71"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72"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73"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9" priority="34374" operator="containsText" text="No">
      <formula>NOT(ISERROR(SEARCH(("No"),(N151))))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75"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76"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77"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78"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79"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80"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81"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82"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83"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84"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85"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86"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87"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88"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89"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90"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91"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92"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93"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94"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95"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96"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97"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98"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399"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00"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01"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02"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03"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04"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05"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06"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07"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08"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09"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10"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11"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12"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13"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14"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15"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16"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17"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18"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19"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20" operator="containsText" text="Yes">
      <formula>NOT(ISERROR(SEARCH(("Yes"),(N151))))</formula>
    </cfRule>
  </conditionalFormatting>
  <conditionalFormatting sqref="N151:O152 P151:P214 Q151:Q152 N154 O154:O155 Q154:Q155 N159:O159 Q159 O174:O226 N184 N187:N216 Q203 U204:V204 Q205:Q214 N222:N226 N228:O252 N254:O256 N258:O264 N267:O269 N272:O273 N275:O275">
    <cfRule type="containsText" dxfId="2" priority="34421" operator="containsText" text="Yes">
      <formula>NOT(ISERROR(SEARCH(("Yes"),(N151))))</formula>
    </cfRule>
  </conditionalFormatting>
  <conditionalFormatting sqref="N152:N160 P155:Q155 N162:N214 O165:Q165 O170:Q170 O203 O205:O214">
    <cfRule type="containsText" dxfId="9" priority="34422" operator="containsText" text="No">
      <formula>NOT(ISERROR(SEARCH(("No"),(N152))))</formula>
    </cfRule>
  </conditionalFormatting>
  <conditionalFormatting sqref="N152:N160 P155:Q155 N162:N214 O165:Q165 O170:Q170 O203 O205:O214">
    <cfRule type="containsText" dxfId="9" priority="34423" operator="containsText" text="No">
      <formula>NOT(ISERROR(SEARCH(("No"),(N152))))</formula>
    </cfRule>
  </conditionalFormatting>
  <conditionalFormatting sqref="N152:N160 P155:Q155 N162:N214 O165:Q165 O170:Q170 O203 O205:O214">
    <cfRule type="containsText" dxfId="9" priority="34424" operator="containsText" text="No">
      <formula>NOT(ISERROR(SEARCH(("No"),(N152))))</formula>
    </cfRule>
  </conditionalFormatting>
  <conditionalFormatting sqref="N152:N160 P155:Q155 N162:N214 O165:Q165 O170:Q170 O203 O205:O214">
    <cfRule type="containsText" dxfId="2" priority="34425" operator="containsText" text="Yes">
      <formula>NOT(ISERROR(SEARCH(("Yes"),(N152))))</formula>
    </cfRule>
  </conditionalFormatting>
  <conditionalFormatting sqref="N152:N160 P155:Q155 N162:N214 O165:Q165 O170:Q170 O203 O205:O214">
    <cfRule type="containsText" dxfId="2" priority="34426" operator="containsText" text="Yes">
      <formula>NOT(ISERROR(SEARCH(("Yes"),(N152))))</formula>
    </cfRule>
  </conditionalFormatting>
  <conditionalFormatting sqref="N152:N160 P155:Q155 N162:N214 O165:Q165 O170:Q170 O203 O205:O214">
    <cfRule type="containsText" dxfId="2" priority="34427" operator="containsText" text="Yes">
      <formula>NOT(ISERROR(SEARCH(("Yes"),(N152))))</formula>
    </cfRule>
  </conditionalFormatting>
  <conditionalFormatting sqref="N152:N160 P155:Q155 N162:N214 O165:Q165 O170:Q170 O203 O205:O214">
    <cfRule type="containsText" dxfId="2" priority="34428" operator="containsText" text="Yes">
      <formula>NOT(ISERROR(SEARCH(("Yes"),(N152))))</formula>
    </cfRule>
  </conditionalFormatting>
  <conditionalFormatting sqref="N152:N160 P155:Q155 N162:N214 O165:Q165 O170:Q170 O203 O205:O214">
    <cfRule type="containsText" dxfId="2" priority="34429" operator="containsText" text="Yes">
      <formula>NOT(ISERROR(SEARCH(("Yes"),(N152))))</formula>
    </cfRule>
  </conditionalFormatting>
  <conditionalFormatting sqref="N152:N160 P155:Q155 N162:N214 O165:Q165 O170:Q170 O203 O205:O214">
    <cfRule type="containsText" dxfId="9" priority="34430" operator="containsText" text="No">
      <formula>NOT(ISERROR(SEARCH(("No"),(N152))))</formula>
    </cfRule>
  </conditionalFormatting>
  <conditionalFormatting sqref="N152:N160 P155:Q155 N162:N214 O165:Q165 O170:Q170 O203 O205:O214">
    <cfRule type="containsText" dxfId="2" priority="34431" operator="containsText" text="Yes">
      <formula>NOT(ISERROR(SEARCH(("Yes"),(N152))))</formula>
    </cfRule>
  </conditionalFormatting>
  <conditionalFormatting sqref="O152:O202 N162 N164:N167 N170 N172 N174 N176 N180:N182 N184 N195 N197:N198 N201:N202 N204:O204">
    <cfRule type="containsText" dxfId="9" priority="34432" operator="containsText" text="No">
      <formula>NOT(ISERROR(SEARCH(("No"),(O152))))</formula>
    </cfRule>
  </conditionalFormatting>
  <conditionalFormatting sqref="O152:O202 N162 N164:N167 N170 N172 N174 N176 N180:N182 N184 N195 N197:N198 N201:N202 N204:O204">
    <cfRule type="containsText" dxfId="9" priority="34433" operator="containsText" text="No">
      <formula>NOT(ISERROR(SEARCH(("No"),(O152))))</formula>
    </cfRule>
  </conditionalFormatting>
  <conditionalFormatting sqref="O152:O202 N162 N164:N167 N170 N172 N174 N176 N180:N182 N184 N195 N197:N198 N201:N202 N204:O204">
    <cfRule type="containsText" dxfId="9" priority="34434" operator="containsText" text="No">
      <formula>NOT(ISERROR(SEARCH(("No"),(O152))))</formula>
    </cfRule>
  </conditionalFormatting>
  <conditionalFormatting sqref="O152:O202 N162 N164:N167 N170 N172 N174 N176 N180:N182 N184 N195 N197:N198 N201:N202 N204:O204">
    <cfRule type="containsText" dxfId="2" priority="34435" operator="containsText" text="Yes">
      <formula>NOT(ISERROR(SEARCH(("Yes"),(O152))))</formula>
    </cfRule>
  </conditionalFormatting>
  <conditionalFormatting sqref="O152:O202 N162 N164:N167 N170 N172 N174 N176 N180:N182 N184 N195 N197:N198 N201:N202 N204:O204">
    <cfRule type="containsText" dxfId="2" priority="34436" operator="containsText" text="Yes">
      <formula>NOT(ISERROR(SEARCH(("Yes"),(O152))))</formula>
    </cfRule>
  </conditionalFormatting>
  <conditionalFormatting sqref="O152:O202 N162 N164:N167 N170 N172 N174 N176 N180:N182 N184 N195 N197:N198 N201:N202 N204:O204">
    <cfRule type="containsText" dxfId="2" priority="34437" operator="containsText" text="Yes">
      <formula>NOT(ISERROR(SEARCH(("Yes"),(O152))))</formula>
    </cfRule>
  </conditionalFormatting>
  <conditionalFormatting sqref="O152:O202 N162 N164:N167 N170 N172 N174 N176 N180:N182 N184 N195 N197:N198 N201:N202 N204:O204">
    <cfRule type="containsText" dxfId="2" priority="34438" operator="containsText" text="Yes">
      <formula>NOT(ISERROR(SEARCH(("Yes"),(O152))))</formula>
    </cfRule>
  </conditionalFormatting>
  <conditionalFormatting sqref="O152:O202 N162 N164:N167 N170 N172 N174 N176 N180:N182 N184 N195 N197:N198 N201:N202 N204:O204">
    <cfRule type="containsText" dxfId="2" priority="34439" operator="containsText" text="Yes">
      <formula>NOT(ISERROR(SEARCH(("Yes"),(O152))))</formula>
    </cfRule>
  </conditionalFormatting>
  <conditionalFormatting sqref="O152:O202 N162 N164:N167 N170 N172 N174 N176 N180:N182 N184 N195 N197:N198 N201:N202 N204:O204">
    <cfRule type="containsText" dxfId="9" priority="34440" operator="containsText" text="No">
      <formula>NOT(ISERROR(SEARCH(("No"),(O152))))</formula>
    </cfRule>
  </conditionalFormatting>
  <conditionalFormatting sqref="O152:O202 N162 N164:N167 N170 N172 N174 N176 N180:N182 N184 N195 N197:N198 N201:N202 N204:O204">
    <cfRule type="containsText" dxfId="9" priority="34441" operator="containsText" text="No">
      <formula>NOT(ISERROR(SEARCH(("No"),(O152))))</formula>
    </cfRule>
  </conditionalFormatting>
  <conditionalFormatting sqref="O152:O202 N162 N164:N167 N170 N172 N174 N176 N180:N182 N184 N195 N197:N198 N201:N202 N204:O204">
    <cfRule type="containsText" dxfId="2" priority="34442" operator="containsText" text="Yes">
      <formula>NOT(ISERROR(SEARCH(("Yes"),(O152))))</formula>
    </cfRule>
  </conditionalFormatting>
  <conditionalFormatting sqref="P152 Q152:Q214 P174:P214 U204:V204">
    <cfRule type="containsText" dxfId="9" priority="34443" operator="containsText" text="No">
      <formula>NOT(ISERROR(SEARCH(("No"),(P152))))</formula>
    </cfRule>
  </conditionalFormatting>
  <conditionalFormatting sqref="P152 Q152:Q214 P174:P214 U204:V204">
    <cfRule type="containsText" dxfId="9" priority="34444" operator="containsText" text="No">
      <formula>NOT(ISERROR(SEARCH(("No"),(P152))))</formula>
    </cfRule>
  </conditionalFormatting>
  <conditionalFormatting sqref="P152 Q152:Q214 P174:P214 U204:V204">
    <cfRule type="containsText" dxfId="9" priority="34445" operator="containsText" text="No">
      <formula>NOT(ISERROR(SEARCH(("No"),(P152))))</formula>
    </cfRule>
  </conditionalFormatting>
  <conditionalFormatting sqref="P152 Q152:Q214 P174:P214 U204:V204">
    <cfRule type="containsText" dxfId="9" priority="34446" operator="containsText" text="No">
      <formula>NOT(ISERROR(SEARCH(("No"),(P152))))</formula>
    </cfRule>
  </conditionalFormatting>
  <conditionalFormatting sqref="P152 Q152:Q214 P174:P214 U204:V204">
    <cfRule type="containsText" dxfId="9" priority="34447" operator="containsText" text="No">
      <formula>NOT(ISERROR(SEARCH(("No"),(P152))))</formula>
    </cfRule>
  </conditionalFormatting>
  <conditionalFormatting sqref="P152 Q152:Q214 P174:P214 U204:V204">
    <cfRule type="containsText" dxfId="9" priority="34448" operator="containsText" text="No">
      <formula>NOT(ISERROR(SEARCH(("No"),(P152))))</formula>
    </cfRule>
  </conditionalFormatting>
  <conditionalFormatting sqref="P152 Q152:Q214 P174:P214 U204:V204">
    <cfRule type="containsText" dxfId="9" priority="34449" operator="containsText" text="No">
      <formula>NOT(ISERROR(SEARCH(("No"),(P152))))</formula>
    </cfRule>
  </conditionalFormatting>
  <conditionalFormatting sqref="P152 Q152:Q214 P174:P214 U204:V204">
    <cfRule type="containsText" dxfId="9" priority="34450" operator="containsText" text="No">
      <formula>NOT(ISERROR(SEARCH(("No"),(P152))))</formula>
    </cfRule>
  </conditionalFormatting>
  <conditionalFormatting sqref="P152 Q152:Q214 P174:P214 U204:V204">
    <cfRule type="containsText" dxfId="9" priority="34451" operator="containsText" text="No">
      <formula>NOT(ISERROR(SEARCH(("No"),(P152))))</formula>
    </cfRule>
  </conditionalFormatting>
  <conditionalFormatting sqref="P152 Q152:Q214 P174:P214 U204:V204">
    <cfRule type="containsText" dxfId="9" priority="34452" operator="containsText" text="No">
      <formula>NOT(ISERROR(SEARCH(("No"),(P152))))</formula>
    </cfRule>
  </conditionalFormatting>
  <conditionalFormatting sqref="P152 Q152:Q214 P174:P214 U204:V204">
    <cfRule type="containsText" dxfId="9" priority="34453" operator="containsText" text="No">
      <formula>NOT(ISERROR(SEARCH(("No"),(P152))))</formula>
    </cfRule>
  </conditionalFormatting>
  <conditionalFormatting sqref="P152 Q152:Q214 P174:P214 U204:V204">
    <cfRule type="containsText" dxfId="9" priority="34454" operator="containsText" text="No">
      <formula>NOT(ISERROR(SEARCH(("No"),(P152))))</formula>
    </cfRule>
  </conditionalFormatting>
  <conditionalFormatting sqref="P152 Q152:Q214 P174:P214 U204:V204">
    <cfRule type="containsText" dxfId="9" priority="34455" operator="containsText" text="No">
      <formula>NOT(ISERROR(SEARCH(("No"),(P152))))</formula>
    </cfRule>
  </conditionalFormatting>
  <conditionalFormatting sqref="P152 Q152:Q214 P174:P214 U204:V204">
    <cfRule type="containsText" dxfId="9" priority="34456" operator="containsText" text="No">
      <formula>NOT(ISERROR(SEARCH(("No"),(P152))))</formula>
    </cfRule>
  </conditionalFormatting>
  <conditionalFormatting sqref="P152 Q152:Q214 P174:P214 U204:V204">
    <cfRule type="containsText" dxfId="9" priority="34457" operator="containsText" text="No">
      <formula>NOT(ISERROR(SEARCH(("No"),(P152))))</formula>
    </cfRule>
  </conditionalFormatting>
  <conditionalFormatting sqref="P152 Q152:Q214 P174:P214 U204:V204">
    <cfRule type="containsText" dxfId="9" priority="34458" operator="containsText" text="No">
      <formula>NOT(ISERROR(SEARCH(("No"),(P152))))</formula>
    </cfRule>
  </conditionalFormatting>
  <conditionalFormatting sqref="P152 Q152:Q214 P174:P214 U204:V204">
    <cfRule type="containsText" dxfId="9" priority="34459" operator="containsText" text="No">
      <formula>NOT(ISERROR(SEARCH(("No"),(P152))))</formula>
    </cfRule>
  </conditionalFormatting>
  <conditionalFormatting sqref="P152 Q152:Q214 P174:P214 U204:V204">
    <cfRule type="containsText" dxfId="9" priority="34460" operator="containsText" text="No">
      <formula>NOT(ISERROR(SEARCH(("No"),(P152))))</formula>
    </cfRule>
  </conditionalFormatting>
  <conditionalFormatting sqref="P152 Q152:Q214 P174:P214 U204:V204">
    <cfRule type="containsText" dxfId="9" priority="34461" operator="containsText" text="No">
      <formula>NOT(ISERROR(SEARCH(("No"),(P152))))</formula>
    </cfRule>
  </conditionalFormatting>
  <conditionalFormatting sqref="P152 Q152:Q214 P174:P214 U204:V204">
    <cfRule type="containsText" dxfId="9" priority="34462" operator="containsText" text="No">
      <formula>NOT(ISERROR(SEARCH(("No"),(P152))))</formula>
    </cfRule>
  </conditionalFormatting>
  <conditionalFormatting sqref="P152 Q152:Q214 P174:P214 U204:V204">
    <cfRule type="containsText" dxfId="9" priority="34463" operator="containsText" text="No">
      <formula>NOT(ISERROR(SEARCH(("No"),(P152))))</formula>
    </cfRule>
  </conditionalFormatting>
  <conditionalFormatting sqref="P152 Q152:Q214 P174:P214 U204:V204">
    <cfRule type="containsText" dxfId="9" priority="34464" operator="containsText" text="No">
      <formula>NOT(ISERROR(SEARCH(("No"),(P152))))</formula>
    </cfRule>
  </conditionalFormatting>
  <conditionalFormatting sqref="P152 Q152:Q214 P174:P214 U204:V204">
    <cfRule type="containsText" dxfId="9" priority="34465" operator="containsText" text="No">
      <formula>NOT(ISERROR(SEARCH(("No"),(P152))))</formula>
    </cfRule>
  </conditionalFormatting>
  <conditionalFormatting sqref="P152 Q152:Q214 P174:P214 U204:V204">
    <cfRule type="containsText" dxfId="9" priority="34466" operator="containsText" text="No">
      <formula>NOT(ISERROR(SEARCH(("No"),(P152))))</formula>
    </cfRule>
  </conditionalFormatting>
  <conditionalFormatting sqref="P152 Q152:Q214 P174:P214 U204:V204">
    <cfRule type="containsText" dxfId="9" priority="34467" operator="containsText" text="No">
      <formula>NOT(ISERROR(SEARCH(("No"),(P152))))</formula>
    </cfRule>
  </conditionalFormatting>
  <conditionalFormatting sqref="P152 Q152:Q214 P174:P214 U204:V204">
    <cfRule type="containsText" dxfId="9" priority="34468" operator="containsText" text="No">
      <formula>NOT(ISERROR(SEARCH(("No"),(P152))))</formula>
    </cfRule>
  </conditionalFormatting>
  <conditionalFormatting sqref="P152 Q152:Q214 P174:P214 U204:V204">
    <cfRule type="containsText" dxfId="9" priority="34469" operator="containsText" text="No">
      <formula>NOT(ISERROR(SEARCH(("No"),(P152))))</formula>
    </cfRule>
  </conditionalFormatting>
  <conditionalFormatting sqref="P152 Q152:Q214 P174:P214 U204:V204">
    <cfRule type="containsText" dxfId="9" priority="34470" operator="containsText" text="No">
      <formula>NOT(ISERROR(SEARCH(("No"),(P152))))</formula>
    </cfRule>
  </conditionalFormatting>
  <conditionalFormatting sqref="P152 Q152:Q214 P174:P214 U204:V204">
    <cfRule type="containsText" dxfId="9" priority="34471" operator="containsText" text="No">
      <formula>NOT(ISERROR(SEARCH(("No"),(P152))))</formula>
    </cfRule>
  </conditionalFormatting>
  <conditionalFormatting sqref="P152 Q152:Q214 P174:P214 U204:V204">
    <cfRule type="containsText" dxfId="9" priority="34472" operator="containsText" text="No">
      <formula>NOT(ISERROR(SEARCH(("No"),(P152))))</formula>
    </cfRule>
  </conditionalFormatting>
  <conditionalFormatting sqref="P152 Q152:Q214 P174:P214 U204:V204">
    <cfRule type="containsText" dxfId="9" priority="34473" operator="containsText" text="No">
      <formula>NOT(ISERROR(SEARCH(("No"),(P152))))</formula>
    </cfRule>
  </conditionalFormatting>
  <conditionalFormatting sqref="P152 Q152:Q214 P174:P214 U204:V204">
    <cfRule type="containsText" dxfId="9" priority="34474" operator="containsText" text="No">
      <formula>NOT(ISERROR(SEARCH(("No"),(P152))))</formula>
    </cfRule>
  </conditionalFormatting>
  <conditionalFormatting sqref="P152 Q152:Q214 P174:P214 U204:V204">
    <cfRule type="containsText" dxfId="9" priority="34475" operator="containsText" text="No">
      <formula>NOT(ISERROR(SEARCH(("No"),(P152))))</formula>
    </cfRule>
  </conditionalFormatting>
  <conditionalFormatting sqref="P152 Q152:Q214 P174:P214 U204:V204">
    <cfRule type="containsText" dxfId="9" priority="34476" operator="containsText" text="No">
      <formula>NOT(ISERROR(SEARCH(("No"),(P152))))</formula>
    </cfRule>
  </conditionalFormatting>
  <conditionalFormatting sqref="P152 Q152:Q214 P174:P214 U204:V204">
    <cfRule type="containsText" dxfId="9" priority="34477" operator="containsText" text="No">
      <formula>NOT(ISERROR(SEARCH(("No"),(P152))))</formula>
    </cfRule>
  </conditionalFormatting>
  <conditionalFormatting sqref="P152 Q152:Q214 P174:P214 U204:V204">
    <cfRule type="containsText" dxfId="9" priority="34478" operator="containsText" text="No">
      <formula>NOT(ISERROR(SEARCH(("No"),(P152))))</formula>
    </cfRule>
  </conditionalFormatting>
  <conditionalFormatting sqref="P152 Q152:Q214 P174:P214 U204:V204">
    <cfRule type="containsText" dxfId="9" priority="34479" operator="containsText" text="No">
      <formula>NOT(ISERROR(SEARCH(("No"),(P152))))</formula>
    </cfRule>
  </conditionalFormatting>
  <conditionalFormatting sqref="P152 Q152:Q214 P174:P214 U204:V204">
    <cfRule type="containsText" dxfId="9" priority="34480" operator="containsText" text="No">
      <formula>NOT(ISERROR(SEARCH(("No"),(P152))))</formula>
    </cfRule>
  </conditionalFormatting>
  <conditionalFormatting sqref="P152 Q152:Q214 P174:P214 U204:V204">
    <cfRule type="containsText" dxfId="9" priority="34481" operator="containsText" text="No">
      <formula>NOT(ISERROR(SEARCH(("No"),(P152))))</formula>
    </cfRule>
  </conditionalFormatting>
  <conditionalFormatting sqref="P152 Q152:Q214 P174:P214 U204:V204">
    <cfRule type="containsText" dxfId="9" priority="34482" operator="containsText" text="No">
      <formula>NOT(ISERROR(SEARCH(("No"),(P152))))</formula>
    </cfRule>
  </conditionalFormatting>
  <conditionalFormatting sqref="P152 Q152:Q214 P174:P214 U204:V204">
    <cfRule type="containsText" dxfId="9" priority="34483" operator="containsText" text="No">
      <formula>NOT(ISERROR(SEARCH(("No"),(P152))))</formula>
    </cfRule>
  </conditionalFormatting>
  <conditionalFormatting sqref="P152 Q152:Q214 P174:P214 U204:V204">
    <cfRule type="containsText" dxfId="9" priority="34484" operator="containsText" text="No">
      <formula>NOT(ISERROR(SEARCH(("No"),(P152))))</formula>
    </cfRule>
  </conditionalFormatting>
  <conditionalFormatting sqref="P152 Q152:Q214 P174:P214 U204:V204">
    <cfRule type="containsText" dxfId="9" priority="34485" operator="containsText" text="No">
      <formula>NOT(ISERROR(SEARCH(("No"),(P152))))</formula>
    </cfRule>
  </conditionalFormatting>
  <conditionalFormatting sqref="P152 Q152:Q214 P174:P214 U204:V204">
    <cfRule type="containsText" dxfId="9" priority="34486" operator="containsText" text="No">
      <formula>NOT(ISERROR(SEARCH(("No"),(P152))))</formula>
    </cfRule>
  </conditionalFormatting>
  <conditionalFormatting sqref="P152 Q152:Q214 P174:P214 U204:V204">
    <cfRule type="containsText" dxfId="9" priority="34487" operator="containsText" text="No">
      <formula>NOT(ISERROR(SEARCH(("No"),(P152))))</formula>
    </cfRule>
  </conditionalFormatting>
  <conditionalFormatting sqref="P152 Q152:Q214 P174:P214 U204:V204">
    <cfRule type="containsText" dxfId="2" priority="34488" operator="containsText" text="Yes">
      <formula>NOT(ISERROR(SEARCH(("Yes"),(P152))))</formula>
    </cfRule>
  </conditionalFormatting>
  <conditionalFormatting sqref="P152 Q152:Q214 P174:P214 U204:V204">
    <cfRule type="containsText" dxfId="2" priority="34489" operator="containsText" text="Yes">
      <formula>NOT(ISERROR(SEARCH(("Yes"),(P152))))</formula>
    </cfRule>
  </conditionalFormatting>
  <conditionalFormatting sqref="P152 Q152:Q214 P174:P214 U204:V204">
    <cfRule type="containsText" dxfId="2" priority="34490" operator="containsText" text="Yes">
      <formula>NOT(ISERROR(SEARCH(("Yes"),(P152))))</formula>
    </cfRule>
  </conditionalFormatting>
  <conditionalFormatting sqref="P152 Q152:Q214 P174:P214 U204:V204">
    <cfRule type="containsText" dxfId="2" priority="34491" operator="containsText" text="Yes">
      <formula>NOT(ISERROR(SEARCH(("Yes"),(P152))))</formula>
    </cfRule>
  </conditionalFormatting>
  <conditionalFormatting sqref="P152 Q152:Q214 P174:P214 U204:V204">
    <cfRule type="containsText" dxfId="2" priority="34492" operator="containsText" text="Yes">
      <formula>NOT(ISERROR(SEARCH(("Yes"),(P152))))</formula>
    </cfRule>
  </conditionalFormatting>
  <conditionalFormatting sqref="P152 Q152:Q214 P174:P214 U204:V204">
    <cfRule type="containsText" dxfId="2" priority="34493" operator="containsText" text="Yes">
      <formula>NOT(ISERROR(SEARCH(("Yes"),(P152))))</formula>
    </cfRule>
  </conditionalFormatting>
  <conditionalFormatting sqref="P152 Q152:Q214 P174:P214 U204:V204">
    <cfRule type="containsText" dxfId="2" priority="34494" operator="containsText" text="Yes">
      <formula>NOT(ISERROR(SEARCH(("Yes"),(P152))))</formula>
    </cfRule>
  </conditionalFormatting>
  <conditionalFormatting sqref="P152 Q152:Q214 P174:P214 U204:V204">
    <cfRule type="containsText" dxfId="2" priority="34495" operator="containsText" text="Yes">
      <formula>NOT(ISERROR(SEARCH(("Yes"),(P152))))</formula>
    </cfRule>
  </conditionalFormatting>
  <conditionalFormatting sqref="P152 Q152:Q214 P174:P214 U204:V204">
    <cfRule type="containsText" dxfId="2" priority="34496" operator="containsText" text="Yes">
      <formula>NOT(ISERROR(SEARCH(("Yes"),(P152))))</formula>
    </cfRule>
  </conditionalFormatting>
  <conditionalFormatting sqref="P152 Q152:Q214 P174:P214 U204:V204">
    <cfRule type="containsText" dxfId="2" priority="34497" operator="containsText" text="Yes">
      <formula>NOT(ISERROR(SEARCH(("Yes"),(P152))))</formula>
    </cfRule>
  </conditionalFormatting>
  <conditionalFormatting sqref="P152 Q152:Q214 P174:P214 U204:V204">
    <cfRule type="containsText" dxfId="2" priority="34498" operator="containsText" text="Yes">
      <formula>NOT(ISERROR(SEARCH(("Yes"),(P152))))</formula>
    </cfRule>
  </conditionalFormatting>
  <conditionalFormatting sqref="P152 Q152:Q214 P174:P214 U204:V204">
    <cfRule type="containsText" dxfId="2" priority="34499" operator="containsText" text="Yes">
      <formula>NOT(ISERROR(SEARCH(("Yes"),(P152))))</formula>
    </cfRule>
  </conditionalFormatting>
  <conditionalFormatting sqref="P152 Q152:Q214 P174:P214 U204:V204">
    <cfRule type="containsText" dxfId="2" priority="34500" operator="containsText" text="Yes">
      <formula>NOT(ISERROR(SEARCH(("Yes"),(P152))))</formula>
    </cfRule>
  </conditionalFormatting>
  <conditionalFormatting sqref="P152 Q152:Q214 P174:P214 U204:V204">
    <cfRule type="containsText" dxfId="2" priority="34501" operator="containsText" text="Yes">
      <formula>NOT(ISERROR(SEARCH(("Yes"),(P152))))</formula>
    </cfRule>
  </conditionalFormatting>
  <conditionalFormatting sqref="P152 Q152:Q214 P174:P214 U204:V204">
    <cfRule type="containsText" dxfId="2" priority="34502" operator="containsText" text="Yes">
      <formula>NOT(ISERROR(SEARCH(("Yes"),(P152))))</formula>
    </cfRule>
  </conditionalFormatting>
  <conditionalFormatting sqref="P152 Q152:Q214 P174:P214 U204:V204">
    <cfRule type="containsText" dxfId="2" priority="34503" operator="containsText" text="Yes">
      <formula>NOT(ISERROR(SEARCH(("Yes"),(P152))))</formula>
    </cfRule>
  </conditionalFormatting>
  <conditionalFormatting sqref="P152 Q152:Q214 P174:P214 U204:V204">
    <cfRule type="containsText" dxfId="2" priority="34504" operator="containsText" text="Yes">
      <formula>NOT(ISERROR(SEARCH(("Yes"),(P152))))</formula>
    </cfRule>
  </conditionalFormatting>
  <conditionalFormatting sqref="P152 Q152:Q214 P174:P214 U204:V204">
    <cfRule type="containsText" dxfId="2" priority="34505" operator="containsText" text="Yes">
      <formula>NOT(ISERROR(SEARCH(("Yes"),(P152))))</formula>
    </cfRule>
  </conditionalFormatting>
  <conditionalFormatting sqref="P152 Q152:Q214 P174:P214 U204:V204">
    <cfRule type="containsText" dxfId="2" priority="34506" operator="containsText" text="Yes">
      <formula>NOT(ISERROR(SEARCH(("Yes"),(P152))))</formula>
    </cfRule>
  </conditionalFormatting>
  <conditionalFormatting sqref="P152 Q152:Q214 P174:P214 U204:V204">
    <cfRule type="containsText" dxfId="2" priority="34507" operator="containsText" text="Yes">
      <formula>NOT(ISERROR(SEARCH(("Yes"),(P152))))</formula>
    </cfRule>
  </conditionalFormatting>
  <conditionalFormatting sqref="P152 Q152:Q214 P174:P214 U204:V204">
    <cfRule type="containsText" dxfId="2" priority="34508" operator="containsText" text="Yes">
      <formula>NOT(ISERROR(SEARCH(("Yes"),(P152))))</formula>
    </cfRule>
  </conditionalFormatting>
  <conditionalFormatting sqref="P152 Q152:Q214 P174:P214 U204:V204">
    <cfRule type="containsText" dxfId="2" priority="34509" operator="containsText" text="Yes">
      <formula>NOT(ISERROR(SEARCH(("Yes"),(P152))))</formula>
    </cfRule>
  </conditionalFormatting>
  <conditionalFormatting sqref="P152 Q152:Q214 P174:P214 U204:V204">
    <cfRule type="containsText" dxfId="2" priority="34510" operator="containsText" text="Yes">
      <formula>NOT(ISERROR(SEARCH(("Yes"),(P152))))</formula>
    </cfRule>
  </conditionalFormatting>
  <conditionalFormatting sqref="P152 Q152:Q214 P174:P214 U204:V204">
    <cfRule type="containsText" dxfId="2" priority="34511" operator="containsText" text="Yes">
      <formula>NOT(ISERROR(SEARCH(("Yes"),(P152))))</formula>
    </cfRule>
  </conditionalFormatting>
  <conditionalFormatting sqref="P152 Q152:Q214 P174:P214 U204:V204">
    <cfRule type="containsText" dxfId="2" priority="34512" operator="containsText" text="Yes">
      <formula>NOT(ISERROR(SEARCH(("Yes"),(P152))))</formula>
    </cfRule>
  </conditionalFormatting>
  <conditionalFormatting sqref="P152 Q152:Q214 P174:P214 U204:V204">
    <cfRule type="containsText" dxfId="2" priority="34513" operator="containsText" text="Yes">
      <formula>NOT(ISERROR(SEARCH(("Yes"),(P152))))</formula>
    </cfRule>
  </conditionalFormatting>
  <conditionalFormatting sqref="P152 Q152:Q214 P174:P214 U204:V204">
    <cfRule type="containsText" dxfId="2" priority="34514" operator="containsText" text="Yes">
      <formula>NOT(ISERROR(SEARCH(("Yes"),(P152))))</formula>
    </cfRule>
  </conditionalFormatting>
  <conditionalFormatting sqref="P152 Q152:Q214 P174:P214 U204:V204">
    <cfRule type="containsText" dxfId="2" priority="34515" operator="containsText" text="Yes">
      <formula>NOT(ISERROR(SEARCH(("Yes"),(P152))))</formula>
    </cfRule>
  </conditionalFormatting>
  <conditionalFormatting sqref="P152 Q152:Q214 P174:P214 U204:V204">
    <cfRule type="containsText" dxfId="2" priority="34516" operator="containsText" text="Yes">
      <formula>NOT(ISERROR(SEARCH(("Yes"),(P152))))</formula>
    </cfRule>
  </conditionalFormatting>
  <conditionalFormatting sqref="P152 Q152:Q214 P174:P214 U204:V204">
    <cfRule type="containsText" dxfId="2" priority="34517" operator="containsText" text="Yes">
      <formula>NOT(ISERROR(SEARCH(("Yes"),(P152))))</formula>
    </cfRule>
  </conditionalFormatting>
  <conditionalFormatting sqref="P152 Q152:Q214 P174:P214 U204:V204">
    <cfRule type="containsText" dxfId="2" priority="34518" operator="containsText" text="Yes">
      <formula>NOT(ISERROR(SEARCH(("Yes"),(P152))))</formula>
    </cfRule>
  </conditionalFormatting>
  <conditionalFormatting sqref="P152 Q152:Q214 P174:P214 U204:V204">
    <cfRule type="containsText" dxfId="2" priority="34519" operator="containsText" text="Yes">
      <formula>NOT(ISERROR(SEARCH(("Yes"),(P152))))</formula>
    </cfRule>
  </conditionalFormatting>
  <conditionalFormatting sqref="P152 Q152:Q214 P174:P214 U204:V204">
    <cfRule type="containsText" dxfId="2" priority="34520" operator="containsText" text="Yes">
      <formula>NOT(ISERROR(SEARCH(("Yes"),(P152))))</formula>
    </cfRule>
  </conditionalFormatting>
  <conditionalFormatting sqref="P152 Q152:Q214 P174:P214 U204:V204">
    <cfRule type="containsText" dxfId="2" priority="34521" operator="containsText" text="Yes">
      <formula>NOT(ISERROR(SEARCH(("Yes"),(P152))))</formula>
    </cfRule>
  </conditionalFormatting>
  <conditionalFormatting sqref="P152 Q152:Q214 P174:P214 U204:V204">
    <cfRule type="containsText" dxfId="2" priority="34522" operator="containsText" text="Yes">
      <formula>NOT(ISERROR(SEARCH(("Yes"),(P152))))</formula>
    </cfRule>
  </conditionalFormatting>
  <conditionalFormatting sqref="P152 Q152:Q214 P174:P214 U204:V204">
    <cfRule type="containsText" dxfId="2" priority="34523" operator="containsText" text="Yes">
      <formula>NOT(ISERROR(SEARCH(("Yes"),(P152))))</formula>
    </cfRule>
  </conditionalFormatting>
  <conditionalFormatting sqref="P152 Q152:Q214 P174:P214 U204:V204">
    <cfRule type="containsText" dxfId="2" priority="34524" operator="containsText" text="Yes">
      <formula>NOT(ISERROR(SEARCH(("Yes"),(P152))))</formula>
    </cfRule>
  </conditionalFormatting>
  <conditionalFormatting sqref="P152 Q152:Q214 P174:P214 U204:V204">
    <cfRule type="containsText" dxfId="2" priority="34525" operator="containsText" text="Yes">
      <formula>NOT(ISERROR(SEARCH(("Yes"),(P152))))</formula>
    </cfRule>
  </conditionalFormatting>
  <conditionalFormatting sqref="P152 Q152:Q214 P174:P214 U204:V204">
    <cfRule type="containsText" dxfId="2" priority="34526" operator="containsText" text="Yes">
      <formula>NOT(ISERROR(SEARCH(("Yes"),(P152))))</formula>
    </cfRule>
  </conditionalFormatting>
  <conditionalFormatting sqref="P152 Q152:Q214 P174:P214 U204:V204">
    <cfRule type="containsText" dxfId="2" priority="34527" operator="containsText" text="Yes">
      <formula>NOT(ISERROR(SEARCH(("Yes"),(P152))))</formula>
    </cfRule>
  </conditionalFormatting>
  <conditionalFormatting sqref="P152 Q152:Q214 P174:P214 U204:V204">
    <cfRule type="containsText" dxfId="2" priority="34528" operator="containsText" text="Yes">
      <formula>NOT(ISERROR(SEARCH(("Yes"),(P152))))</formula>
    </cfRule>
  </conditionalFormatting>
  <conditionalFormatting sqref="P152 Q152:Q214 P174:P214 U204:V204">
    <cfRule type="containsText" dxfId="2" priority="34529" operator="containsText" text="Yes">
      <formula>NOT(ISERROR(SEARCH(("Yes"),(P152))))</formula>
    </cfRule>
  </conditionalFormatting>
  <conditionalFormatting sqref="P152 Q152:Q214 P174:P214 U204:V204">
    <cfRule type="containsText" dxfId="2" priority="34530" operator="containsText" text="Yes">
      <formula>NOT(ISERROR(SEARCH(("Yes"),(P152))))</formula>
    </cfRule>
  </conditionalFormatting>
  <conditionalFormatting sqref="P152 Q152:Q214 P174:P214 U204:V204">
    <cfRule type="containsText" dxfId="2" priority="34531" operator="containsText" text="Yes">
      <formula>NOT(ISERROR(SEARCH(("Yes"),(P152))))</formula>
    </cfRule>
  </conditionalFormatting>
  <conditionalFormatting sqref="P152 Q152:Q214 P174:P214 U204:V204">
    <cfRule type="containsText" dxfId="2" priority="34532" operator="containsText" text="Yes">
      <formula>NOT(ISERROR(SEARCH(("Yes"),(P152))))</formula>
    </cfRule>
  </conditionalFormatting>
  <conditionalFormatting sqref="P152 Q152:Q214 P174:P214 U204:V204">
    <cfRule type="containsText" dxfId="2" priority="34533" operator="containsText" text="Yes">
      <formula>NOT(ISERROR(SEARCH(("Yes"),(P152))))</formula>
    </cfRule>
  </conditionalFormatting>
  <conditionalFormatting sqref="P152 Q152:Q214 P174:P214 U204:V204">
    <cfRule type="containsText" dxfId="2" priority="34534" operator="containsText" text="Yes">
      <formula>NOT(ISERROR(SEARCH(("Yes"),(P152))))</formula>
    </cfRule>
  </conditionalFormatting>
  <conditionalFormatting sqref="P153:Q153 P155:Q158 P160:Q160 P163:Q163 P168:Q169 P171:Q171 P173:Q173 P175:Q175 P177:Q179 P183:Q183 P185:Q214 U204:V204">
    <cfRule type="containsText" dxfId="9" priority="34535" operator="containsText" text="No">
      <formula>NOT(ISERROR(SEARCH(("No"),(P153))))</formula>
    </cfRule>
  </conditionalFormatting>
  <conditionalFormatting sqref="P153:Q153 P155:Q158 P160:Q160 P163:Q163 P168:Q169 P171:Q171 P173:Q173 P175:Q175 P177:Q179 P183:Q183 P185:Q214 U204:V204">
    <cfRule type="containsText" dxfId="9" priority="34536" operator="containsText" text="No">
      <formula>NOT(ISERROR(SEARCH(("No"),(P153))))</formula>
    </cfRule>
  </conditionalFormatting>
  <conditionalFormatting sqref="P153:Q153 P155:Q158 P160:Q160 P163:Q163 P168:Q169 P171:Q171 P173:Q173 P175:Q175 P177:Q179 P183:Q183 P185:Q214 U204:V204">
    <cfRule type="containsText" dxfId="9" priority="34537" operator="containsText" text="No">
      <formula>NOT(ISERROR(SEARCH(("No"),(P153))))</formula>
    </cfRule>
  </conditionalFormatting>
  <conditionalFormatting sqref="P153:Q153 P155:Q158 P160:Q160 P163:Q163 P168:Q169 P171:Q171 P173:Q173 P175:Q175 P177:Q179 P183:Q183 P185:Q214 U204:V204">
    <cfRule type="containsText" dxfId="9" priority="34538" operator="containsText" text="No">
      <formula>NOT(ISERROR(SEARCH(("No"),(P153))))</formula>
    </cfRule>
  </conditionalFormatting>
  <conditionalFormatting sqref="P153:Q153 P155:Q158 P160:Q160 P163:Q163 P168:Q169 P171:Q171 P173:Q173 P175:Q175 P177:Q179 P183:Q183 P185:Q214 U204:V204">
    <cfRule type="containsText" dxfId="9" priority="34539" operator="containsText" text="No">
      <formula>NOT(ISERROR(SEARCH(("No"),(P153))))</formula>
    </cfRule>
  </conditionalFormatting>
  <conditionalFormatting sqref="P153:Q153 P155:Q158 P160:Q160 P163:Q163 P168:Q169 P171:Q171 P173:Q173 P175:Q175 P177:Q179 P183:Q183 P185:Q214 U204:V204">
    <cfRule type="containsText" dxfId="9" priority="34540" operator="containsText" text="No">
      <formula>NOT(ISERROR(SEARCH(("No"),(P153))))</formula>
    </cfRule>
  </conditionalFormatting>
  <conditionalFormatting sqref="P153:Q153 P155:Q158 P160:Q160 P163:Q163 P168:Q169 P171:Q171 P173:Q173 P175:Q175 P177:Q179 P183:Q183 P185:Q214 U204:V204">
    <cfRule type="containsText" dxfId="9" priority="34541" operator="containsText" text="No">
      <formula>NOT(ISERROR(SEARCH(("No"),(P153))))</formula>
    </cfRule>
  </conditionalFormatting>
  <conditionalFormatting sqref="P153:Q153 P155:Q158 P160:Q160 P163:Q163 P168:Q169 P171:Q171 P173:Q173 P175:Q175 P177:Q179 P183:Q183 P185:Q214 U204:V204">
    <cfRule type="containsText" dxfId="9" priority="34542" operator="containsText" text="No">
      <formula>NOT(ISERROR(SEARCH(("No"),(P153))))</formula>
    </cfRule>
  </conditionalFormatting>
  <conditionalFormatting sqref="P153:Q153 P155:Q158 P160:Q160 P163:Q163 P168:Q169 P171:Q171 P173:Q173 P175:Q175 P177:Q179 P183:Q183 P185:Q214 U204:V204">
    <cfRule type="containsText" dxfId="9" priority="34543" operator="containsText" text="No">
      <formula>NOT(ISERROR(SEARCH(("No"),(P153))))</formula>
    </cfRule>
  </conditionalFormatting>
  <conditionalFormatting sqref="P153:Q153 P155:Q158 P160:Q160 P163:Q163 P168:Q169 P171:Q171 P173:Q173 P175:Q175 P177:Q179 P183:Q183 P185:Q214 U204:V204">
    <cfRule type="containsText" dxfId="9" priority="34544" operator="containsText" text="No">
      <formula>NOT(ISERROR(SEARCH(("No"),(P153))))</formula>
    </cfRule>
  </conditionalFormatting>
  <conditionalFormatting sqref="P153:Q153 P155:Q158 P160:Q160 P163:Q163 P168:Q169 P171:Q171 P173:Q173 P175:Q175 P177:Q179 P183:Q183 P185:Q214 U204:V204">
    <cfRule type="containsText" dxfId="9" priority="34545" operator="containsText" text="No">
      <formula>NOT(ISERROR(SEARCH(("No"),(P153))))</formula>
    </cfRule>
  </conditionalFormatting>
  <conditionalFormatting sqref="P153:Q153 P155:Q158 P160:Q160 P163:Q163 P168:Q169 P171:Q171 P173:Q173 P175:Q175 P177:Q179 P183:Q183 P185:Q214 U204:V204">
    <cfRule type="containsText" dxfId="9" priority="34546" operator="containsText" text="No">
      <formula>NOT(ISERROR(SEARCH(("No"),(P153))))</formula>
    </cfRule>
  </conditionalFormatting>
  <conditionalFormatting sqref="P153:Q153 P155:Q158 P160:Q160 P163:Q163 P168:Q169 P171:Q171 P173:Q173 P175:Q175 P177:Q179 P183:Q183 P185:Q214 U204:V204">
    <cfRule type="containsText" dxfId="9" priority="34547" operator="containsText" text="No">
      <formula>NOT(ISERROR(SEARCH(("No"),(P153))))</formula>
    </cfRule>
  </conditionalFormatting>
  <conditionalFormatting sqref="P153:Q153 P155:Q158 P160:Q160 P163:Q163 P168:Q169 P171:Q171 P173:Q173 P175:Q175 P177:Q179 P183:Q183 P185:Q214 U204:V204">
    <cfRule type="containsText" dxfId="9" priority="34548" operator="containsText" text="No">
      <formula>NOT(ISERROR(SEARCH(("No"),(P153))))</formula>
    </cfRule>
  </conditionalFormatting>
  <conditionalFormatting sqref="P153:Q153 P155:Q158 P160:Q160 P163:Q163 P168:Q169 P171:Q171 P173:Q173 P175:Q175 P177:Q179 P183:Q183 P185:Q214 U204:V204">
    <cfRule type="containsText" dxfId="9" priority="34549" operator="containsText" text="No">
      <formula>NOT(ISERROR(SEARCH(("No"),(P153))))</formula>
    </cfRule>
  </conditionalFormatting>
  <conditionalFormatting sqref="P153:Q153 P155:Q158 P160:Q160 P163:Q163 P168:Q169 P171:Q171 P173:Q173 P175:Q175 P177:Q179 P183:Q183 P185:Q214 U204:V204">
    <cfRule type="containsText" dxfId="9" priority="34550" operator="containsText" text="No">
      <formula>NOT(ISERROR(SEARCH(("No"),(P153))))</formula>
    </cfRule>
  </conditionalFormatting>
  <conditionalFormatting sqref="P153:Q153 P155:Q158 P160:Q160 P163:Q163 P168:Q169 P171:Q171 P173:Q173 P175:Q175 P177:Q179 P183:Q183 P185:Q214 U204:V204">
    <cfRule type="containsText" dxfId="9" priority="34551" operator="containsText" text="No">
      <formula>NOT(ISERROR(SEARCH(("No"),(P153))))</formula>
    </cfRule>
  </conditionalFormatting>
  <conditionalFormatting sqref="P153:Q153 P155:Q158 P160:Q160 P163:Q163 P168:Q169 P171:Q171 P173:Q173 P175:Q175 P177:Q179 P183:Q183 P185:Q214 U204:V204">
    <cfRule type="containsText" dxfId="9" priority="34552" operator="containsText" text="No">
      <formula>NOT(ISERROR(SEARCH(("No"),(P153))))</formula>
    </cfRule>
  </conditionalFormatting>
  <conditionalFormatting sqref="P153:Q153 P155:Q158 P160:Q160 P163:Q163 P168:Q169 P171:Q171 P173:Q173 P175:Q175 P177:Q179 P183:Q183 P185:Q214 U204:V204">
    <cfRule type="containsText" dxfId="9" priority="34553" operator="containsText" text="No">
      <formula>NOT(ISERROR(SEARCH(("No"),(P153))))</formula>
    </cfRule>
  </conditionalFormatting>
  <conditionalFormatting sqref="P153:Q153 P155:Q158 P160:Q160 P163:Q163 P168:Q169 P171:Q171 P173:Q173 P175:Q175 P177:Q179 P183:Q183 P185:Q214 U204:V204">
    <cfRule type="containsText" dxfId="9" priority="34554" operator="containsText" text="No">
      <formula>NOT(ISERROR(SEARCH(("No"),(P153))))</formula>
    </cfRule>
  </conditionalFormatting>
  <conditionalFormatting sqref="P153:Q153 P155:Q158 P160:Q160 P163:Q163 P168:Q169 P171:Q171 P173:Q173 P175:Q175 P177:Q179 P183:Q183 P185:Q214 U204:V204">
    <cfRule type="containsText" dxfId="9" priority="34555" operator="containsText" text="No">
      <formula>NOT(ISERROR(SEARCH(("No"),(P153))))</formula>
    </cfRule>
  </conditionalFormatting>
  <conditionalFormatting sqref="P153:Q153 P155:Q158 P160:Q160 P163:Q163 P168:Q169 P171:Q171 P173:Q173 P175:Q175 P177:Q179 P183:Q183 P185:Q214 U204:V204">
    <cfRule type="containsText" dxfId="9" priority="34556" operator="containsText" text="No">
      <formula>NOT(ISERROR(SEARCH(("No"),(P153))))</formula>
    </cfRule>
  </conditionalFormatting>
  <conditionalFormatting sqref="P153:Q153 P155:Q158 P160:Q160 P163:Q163 P168:Q169 P171:Q171 P173:Q173 P175:Q175 P177:Q179 P183:Q183 P185:Q214 U204:V204">
    <cfRule type="containsText" dxfId="9" priority="34557" operator="containsText" text="No">
      <formula>NOT(ISERROR(SEARCH(("No"),(P153))))</formula>
    </cfRule>
  </conditionalFormatting>
  <conditionalFormatting sqref="P153:Q153 P155:Q158 P160:Q160 P163:Q163 P168:Q169 P171:Q171 P173:Q173 P175:Q175 P177:Q179 P183:Q183 P185:Q214 U204:V204">
    <cfRule type="containsText" dxfId="9" priority="34558" operator="containsText" text="No">
      <formula>NOT(ISERROR(SEARCH(("No"),(P153))))</formula>
    </cfRule>
  </conditionalFormatting>
  <conditionalFormatting sqref="P153:Q153 P155:Q158 P160:Q160 P163:Q163 P168:Q169 P171:Q171 P173:Q173 P175:Q175 P177:Q179 P183:Q183 P185:Q214 U204:V204">
    <cfRule type="containsText" dxfId="9" priority="34559" operator="containsText" text="No">
      <formula>NOT(ISERROR(SEARCH(("No"),(P153))))</formula>
    </cfRule>
  </conditionalFormatting>
  <conditionalFormatting sqref="P153:Q153 P155:Q158 P160:Q160 P163:Q163 P168:Q169 P171:Q171 P173:Q173 P175:Q175 P177:Q179 P183:Q183 P185:Q214 U204:V204">
    <cfRule type="containsText" dxfId="9" priority="34560" operator="containsText" text="No">
      <formula>NOT(ISERROR(SEARCH(("No"),(P153))))</formula>
    </cfRule>
  </conditionalFormatting>
  <conditionalFormatting sqref="P153:Q153 P155:Q158 P160:Q160 P163:Q163 P168:Q169 P171:Q171 P173:Q173 P175:Q175 P177:Q179 P183:Q183 P185:Q214 U204:V204">
    <cfRule type="containsText" dxfId="9" priority="34561" operator="containsText" text="No">
      <formula>NOT(ISERROR(SEARCH(("No"),(P153))))</formula>
    </cfRule>
  </conditionalFormatting>
  <conditionalFormatting sqref="P153:Q153 P155:Q158 P160:Q160 P163:Q163 P168:Q169 P171:Q171 P173:Q173 P175:Q175 P177:Q179 P183:Q183 P185:Q214 U204:V204">
    <cfRule type="containsText" dxfId="9" priority="34562" operator="containsText" text="No">
      <formula>NOT(ISERROR(SEARCH(("No"),(P153))))</formula>
    </cfRule>
  </conditionalFormatting>
  <conditionalFormatting sqref="P153:Q153 P155:Q158 P160:Q160 P163:Q163 P168:Q169 P171:Q171 P173:Q173 P175:Q175 P177:Q179 P183:Q183 P185:Q214 U204:V204">
    <cfRule type="containsText" dxfId="9" priority="34563" operator="containsText" text="No">
      <formula>NOT(ISERROR(SEARCH(("No"),(P153))))</formula>
    </cfRule>
  </conditionalFormatting>
  <conditionalFormatting sqref="P153:Q153 P155:Q158 P160:Q160 P163:Q163 P168:Q169 P171:Q171 P173:Q173 P175:Q175 P177:Q179 P183:Q183 P185:Q214 U204:V204">
    <cfRule type="containsText" dxfId="9" priority="34564" operator="containsText" text="No">
      <formula>NOT(ISERROR(SEARCH(("No"),(P153))))</formula>
    </cfRule>
  </conditionalFormatting>
  <conditionalFormatting sqref="P153:Q153 P155:Q158 P160:Q160 P163:Q163 P168:Q169 P171:Q171 P173:Q173 P175:Q175 P177:Q179 P183:Q183 P185:Q214 U204:V204">
    <cfRule type="containsText" dxfId="9" priority="34565" operator="containsText" text="No">
      <formula>NOT(ISERROR(SEARCH(("No"),(P153))))</formula>
    </cfRule>
  </conditionalFormatting>
  <conditionalFormatting sqref="P153:Q153 P155:Q158 P160:Q160 P163:Q163 P168:Q169 P171:Q171 P173:Q173 P175:Q175 P177:Q179 P183:Q183 P185:Q214 U204:V204">
    <cfRule type="containsText" dxfId="9" priority="34566" operator="containsText" text="No">
      <formula>NOT(ISERROR(SEARCH(("No"),(P153))))</formula>
    </cfRule>
  </conditionalFormatting>
  <conditionalFormatting sqref="P153:Q153 P155:Q158 P160:Q160 P163:Q163 P168:Q169 P171:Q171 P173:Q173 P175:Q175 P177:Q179 P183:Q183 P185:Q214 U204:V204">
    <cfRule type="containsText" dxfId="9" priority="34567" operator="containsText" text="No">
      <formula>NOT(ISERROR(SEARCH(("No"),(P153))))</formula>
    </cfRule>
  </conditionalFormatting>
  <conditionalFormatting sqref="P153:Q153 P155:Q158 P160:Q160 P163:Q163 P168:Q169 P171:Q171 P173:Q173 P175:Q175 P177:Q179 P183:Q183 P185:Q214 U204:V204">
    <cfRule type="containsText" dxfId="9" priority="34568" operator="containsText" text="No">
      <formula>NOT(ISERROR(SEARCH(("No"),(P153))))</formula>
    </cfRule>
  </conditionalFormatting>
  <conditionalFormatting sqref="P153:Q153 P155:Q158 P160:Q160 P163:Q163 P168:Q169 P171:Q171 P173:Q173 P175:Q175 P177:Q179 P183:Q183 P185:Q214 U204:V204">
    <cfRule type="containsText" dxfId="9" priority="34569" operator="containsText" text="No">
      <formula>NOT(ISERROR(SEARCH(("No"),(P153))))</formula>
    </cfRule>
  </conditionalFormatting>
  <conditionalFormatting sqref="P153:Q153 P155:Q158 P160:Q160 P163:Q163 P168:Q169 P171:Q171 P173:Q173 P175:Q175 P177:Q179 P183:Q183 P185:Q214 U204:V204">
    <cfRule type="containsText" dxfId="9" priority="34570" operator="containsText" text="No">
      <formula>NOT(ISERROR(SEARCH(("No"),(P153))))</formula>
    </cfRule>
  </conditionalFormatting>
  <conditionalFormatting sqref="P153:Q153 P155:Q158 P160:Q160 P163:Q163 P168:Q169 P171:Q171 P173:Q173 P175:Q175 P177:Q179 P183:Q183 P185:Q214 U204:V204">
    <cfRule type="containsText" dxfId="9" priority="34571" operator="containsText" text="No">
      <formula>NOT(ISERROR(SEARCH(("No"),(P153))))</formula>
    </cfRule>
  </conditionalFormatting>
  <conditionalFormatting sqref="P153:Q153 P155:Q158 P160:Q160 P163:Q163 P168:Q169 P171:Q171 P173:Q173 P175:Q175 P177:Q179 P183:Q183 P185:Q214 U204:V204">
    <cfRule type="containsText" dxfId="9" priority="34572" operator="containsText" text="No">
      <formula>NOT(ISERROR(SEARCH(("No"),(P153))))</formula>
    </cfRule>
  </conditionalFormatting>
  <conditionalFormatting sqref="P153:Q153 P155:Q158 P160:Q160 P163:Q163 P168:Q169 P171:Q171 P173:Q173 P175:Q175 P177:Q179 P183:Q183 P185:Q214 U204:V204">
    <cfRule type="containsText" dxfId="9" priority="34573" operator="containsText" text="No">
      <formula>NOT(ISERROR(SEARCH(("No"),(P153))))</formula>
    </cfRule>
  </conditionalFormatting>
  <conditionalFormatting sqref="P153:Q153 P155:Q158 P160:Q160 P163:Q163 P168:Q169 P171:Q171 P173:Q173 P175:Q175 P177:Q179 P183:Q183 P185:Q214 U204:V204">
    <cfRule type="containsText" dxfId="9" priority="34574" operator="containsText" text="No">
      <formula>NOT(ISERROR(SEARCH(("No"),(P153))))</formula>
    </cfRule>
  </conditionalFormatting>
  <conditionalFormatting sqref="P153:Q153 P155:Q158 P160:Q160 P163:Q163 P168:Q169 P171:Q171 P173:Q173 P175:Q175 P177:Q179 P183:Q183 P185:Q214 U204:V204">
    <cfRule type="containsText" dxfId="9" priority="34575" operator="containsText" text="No">
      <formula>NOT(ISERROR(SEARCH(("No"),(P153))))</formula>
    </cfRule>
  </conditionalFormatting>
  <conditionalFormatting sqref="P153:Q153 P155:Q158 P160:Q160 P163:Q163 P168:Q169 P171:Q171 P173:Q173 P175:Q175 P177:Q179 P183:Q183 P185:Q214 U204:V204">
    <cfRule type="containsText" dxfId="9" priority="34576" operator="containsText" text="No">
      <formula>NOT(ISERROR(SEARCH(("No"),(P153))))</formula>
    </cfRule>
  </conditionalFormatting>
  <conditionalFormatting sqref="P153:Q153 P155:Q158 P160:Q160 P163:Q163 P168:Q169 P171:Q171 P173:Q173 P175:Q175 P177:Q179 P183:Q183 P185:Q214 U204:V204">
    <cfRule type="containsText" dxfId="9" priority="34577" operator="containsText" text="No">
      <formula>NOT(ISERROR(SEARCH(("No"),(P153))))</formula>
    </cfRule>
  </conditionalFormatting>
  <conditionalFormatting sqref="P153:Q153 P155:Q158 P160:Q160 P163:Q163 P168:Q169 P171:Q171 P173:Q173 P175:Q175 P177:Q179 P183:Q183 P185:Q214 U204:V204">
    <cfRule type="containsText" dxfId="9" priority="34578" operator="containsText" text="No">
      <formula>NOT(ISERROR(SEARCH(("No"),(P153))))</formula>
    </cfRule>
  </conditionalFormatting>
  <conditionalFormatting sqref="P153:Q153 P155:Q158 P160:Q160 P163:Q163 P168:Q169 P171:Q171 P173:Q173 P175:Q175 P177:Q179 P183:Q183 P185:Q214 U204:V204">
    <cfRule type="containsText" dxfId="9" priority="34579" operator="containsText" text="No">
      <formula>NOT(ISERROR(SEARCH(("No"),(P153))))</formula>
    </cfRule>
  </conditionalFormatting>
  <conditionalFormatting sqref="P153:Q153 P155:Q158 P160:Q160 P163:Q163 P168:Q169 P171:Q171 P173:Q173 P175:Q175 P177:Q179 P183:Q183 P185:Q214 U204:V204">
    <cfRule type="containsText" dxfId="2" priority="34580" operator="containsText" text="Yes">
      <formula>NOT(ISERROR(SEARCH(("Yes"),(P153))))</formula>
    </cfRule>
  </conditionalFormatting>
  <conditionalFormatting sqref="P153:Q153 P155:Q158 P160:Q160 P163:Q163 P168:Q169 P171:Q171 P173:Q173 P175:Q175 P177:Q179 P183:Q183 P185:Q214 U204:V204">
    <cfRule type="containsText" dxfId="2" priority="34581" operator="containsText" text="Yes">
      <formula>NOT(ISERROR(SEARCH(("Yes"),(P153))))</formula>
    </cfRule>
  </conditionalFormatting>
  <conditionalFormatting sqref="P153:Q153 P155:Q158 P160:Q160 P163:Q163 P168:Q169 P171:Q171 P173:Q173 P175:Q175 P177:Q179 P183:Q183 P185:Q214 U204:V204">
    <cfRule type="containsText" dxfId="2" priority="34582" operator="containsText" text="Yes">
      <formula>NOT(ISERROR(SEARCH(("Yes"),(P153))))</formula>
    </cfRule>
  </conditionalFormatting>
  <conditionalFormatting sqref="P153:Q153 P155:Q158 P160:Q160 P163:Q163 P168:Q169 P171:Q171 P173:Q173 P175:Q175 P177:Q179 P183:Q183 P185:Q214 U204:V204">
    <cfRule type="containsText" dxfId="2" priority="34583" operator="containsText" text="Yes">
      <formula>NOT(ISERROR(SEARCH(("Yes"),(P153))))</formula>
    </cfRule>
  </conditionalFormatting>
  <conditionalFormatting sqref="P153:Q153 P155:Q158 P160:Q160 P163:Q163 P168:Q169 P171:Q171 P173:Q173 P175:Q175 P177:Q179 P183:Q183 P185:Q214 U204:V204">
    <cfRule type="containsText" dxfId="2" priority="34584" operator="containsText" text="Yes">
      <formula>NOT(ISERROR(SEARCH(("Yes"),(P153))))</formula>
    </cfRule>
  </conditionalFormatting>
  <conditionalFormatting sqref="P153:Q153 P155:Q158 P160:Q160 P163:Q163 P168:Q169 P171:Q171 P173:Q173 P175:Q175 P177:Q179 P183:Q183 P185:Q214 U204:V204">
    <cfRule type="containsText" dxfId="2" priority="34585" operator="containsText" text="Yes">
      <formula>NOT(ISERROR(SEARCH(("Yes"),(P153))))</formula>
    </cfRule>
  </conditionalFormatting>
  <conditionalFormatting sqref="P153:Q153 P155:Q158 P160:Q160 P163:Q163 P168:Q169 P171:Q171 P173:Q173 P175:Q175 P177:Q179 P183:Q183 P185:Q214 U204:V204">
    <cfRule type="containsText" dxfId="2" priority="34586" operator="containsText" text="Yes">
      <formula>NOT(ISERROR(SEARCH(("Yes"),(P153))))</formula>
    </cfRule>
  </conditionalFormatting>
  <conditionalFormatting sqref="P153:Q153 P155:Q158 P160:Q160 P163:Q163 P168:Q169 P171:Q171 P173:Q173 P175:Q175 P177:Q179 P183:Q183 P185:Q214 U204:V204">
    <cfRule type="containsText" dxfId="2" priority="34587" operator="containsText" text="Yes">
      <formula>NOT(ISERROR(SEARCH(("Yes"),(P153))))</formula>
    </cfRule>
  </conditionalFormatting>
  <conditionalFormatting sqref="P153:Q153 P155:Q158 P160:Q160 P163:Q163 P168:Q169 P171:Q171 P173:Q173 P175:Q175 P177:Q179 P183:Q183 P185:Q214 U204:V204">
    <cfRule type="containsText" dxfId="2" priority="34588" operator="containsText" text="Yes">
      <formula>NOT(ISERROR(SEARCH(("Yes"),(P153))))</formula>
    </cfRule>
  </conditionalFormatting>
  <conditionalFormatting sqref="P153:Q153 P155:Q158 P160:Q160 P163:Q163 P168:Q169 P171:Q171 P173:Q173 P175:Q175 P177:Q179 P183:Q183 P185:Q214 U204:V204">
    <cfRule type="containsText" dxfId="2" priority="34589" operator="containsText" text="Yes">
      <formula>NOT(ISERROR(SEARCH(("Yes"),(P153))))</formula>
    </cfRule>
  </conditionalFormatting>
  <conditionalFormatting sqref="P153:Q153 P155:Q158 P160:Q160 P163:Q163 P168:Q169 P171:Q171 P173:Q173 P175:Q175 P177:Q179 P183:Q183 P185:Q214 U204:V204">
    <cfRule type="containsText" dxfId="2" priority="34590" operator="containsText" text="Yes">
      <formula>NOT(ISERROR(SEARCH(("Yes"),(P153))))</formula>
    </cfRule>
  </conditionalFormatting>
  <conditionalFormatting sqref="P153:Q153 P155:Q158 P160:Q160 P163:Q163 P168:Q169 P171:Q171 P173:Q173 P175:Q175 P177:Q179 P183:Q183 P185:Q214 U204:V204">
    <cfRule type="containsText" dxfId="2" priority="34591" operator="containsText" text="Yes">
      <formula>NOT(ISERROR(SEARCH(("Yes"),(P153))))</formula>
    </cfRule>
  </conditionalFormatting>
  <conditionalFormatting sqref="P153:Q153 P155:Q158 P160:Q160 P163:Q163 P168:Q169 P171:Q171 P173:Q173 P175:Q175 P177:Q179 P183:Q183 P185:Q214 U204:V204">
    <cfRule type="containsText" dxfId="2" priority="34592" operator="containsText" text="Yes">
      <formula>NOT(ISERROR(SEARCH(("Yes"),(P153))))</formula>
    </cfRule>
  </conditionalFormatting>
  <conditionalFormatting sqref="P153:Q153 P155:Q158 P160:Q160 P163:Q163 P168:Q169 P171:Q171 P173:Q173 P175:Q175 P177:Q179 P183:Q183 P185:Q214 U204:V204">
    <cfRule type="containsText" dxfId="2" priority="34593" operator="containsText" text="Yes">
      <formula>NOT(ISERROR(SEARCH(("Yes"),(P153))))</formula>
    </cfRule>
  </conditionalFormatting>
  <conditionalFormatting sqref="P153:Q153 P155:Q158 P160:Q160 P163:Q163 P168:Q169 P171:Q171 P173:Q173 P175:Q175 P177:Q179 P183:Q183 P185:Q214 U204:V204">
    <cfRule type="containsText" dxfId="2" priority="34594" operator="containsText" text="Yes">
      <formula>NOT(ISERROR(SEARCH(("Yes"),(P153))))</formula>
    </cfRule>
  </conditionalFormatting>
  <conditionalFormatting sqref="P153:Q153 P155:Q158 P160:Q160 P163:Q163 P168:Q169 P171:Q171 P173:Q173 P175:Q175 P177:Q179 P183:Q183 P185:Q214 U204:V204">
    <cfRule type="containsText" dxfId="2" priority="34595" operator="containsText" text="Yes">
      <formula>NOT(ISERROR(SEARCH(("Yes"),(P153))))</formula>
    </cfRule>
  </conditionalFormatting>
  <conditionalFormatting sqref="P153:Q153 P155:Q158 P160:Q160 P163:Q163 P168:Q169 P171:Q171 P173:Q173 P175:Q175 P177:Q179 P183:Q183 P185:Q214 U204:V204">
    <cfRule type="containsText" dxfId="2" priority="34596" operator="containsText" text="Yes">
      <formula>NOT(ISERROR(SEARCH(("Yes"),(P153))))</formula>
    </cfRule>
  </conditionalFormatting>
  <conditionalFormatting sqref="P153:Q153 P155:Q158 P160:Q160 P163:Q163 P168:Q169 P171:Q171 P173:Q173 P175:Q175 P177:Q179 P183:Q183 P185:Q214 U204:V204">
    <cfRule type="containsText" dxfId="2" priority="34597" operator="containsText" text="Yes">
      <formula>NOT(ISERROR(SEARCH(("Yes"),(P153))))</formula>
    </cfRule>
  </conditionalFormatting>
  <conditionalFormatting sqref="P153:Q153 P155:Q158 P160:Q160 P163:Q163 P168:Q169 P171:Q171 P173:Q173 P175:Q175 P177:Q179 P183:Q183 P185:Q214 U204:V204">
    <cfRule type="containsText" dxfId="2" priority="34598" operator="containsText" text="Yes">
      <formula>NOT(ISERROR(SEARCH(("Yes"),(P153))))</formula>
    </cfRule>
  </conditionalFormatting>
  <conditionalFormatting sqref="P153:Q153 P155:Q158 P160:Q160 P163:Q163 P168:Q169 P171:Q171 P173:Q173 P175:Q175 P177:Q179 P183:Q183 P185:Q214 U204:V204">
    <cfRule type="containsText" dxfId="2" priority="34599" operator="containsText" text="Yes">
      <formula>NOT(ISERROR(SEARCH(("Yes"),(P153))))</formula>
    </cfRule>
  </conditionalFormatting>
  <conditionalFormatting sqref="P153:Q153 P155:Q158 P160:Q160 P163:Q163 P168:Q169 P171:Q171 P173:Q173 P175:Q175 P177:Q179 P183:Q183 P185:Q214 U204:V204">
    <cfRule type="containsText" dxfId="2" priority="34600" operator="containsText" text="Yes">
      <formula>NOT(ISERROR(SEARCH(("Yes"),(P153))))</formula>
    </cfRule>
  </conditionalFormatting>
  <conditionalFormatting sqref="P153:Q153 P155:Q158 P160:Q160 P163:Q163 P168:Q169 P171:Q171 P173:Q173 P175:Q175 P177:Q179 P183:Q183 P185:Q214 U204:V204">
    <cfRule type="containsText" dxfId="2" priority="34601" operator="containsText" text="Yes">
      <formula>NOT(ISERROR(SEARCH(("Yes"),(P153))))</formula>
    </cfRule>
  </conditionalFormatting>
  <conditionalFormatting sqref="P153:Q153 P155:Q158 P160:Q160 P163:Q163 P168:Q169 P171:Q171 P173:Q173 P175:Q175 P177:Q179 P183:Q183 P185:Q214 U204:V204">
    <cfRule type="containsText" dxfId="2" priority="34602" operator="containsText" text="Yes">
      <formula>NOT(ISERROR(SEARCH(("Yes"),(P153))))</formula>
    </cfRule>
  </conditionalFormatting>
  <conditionalFormatting sqref="P153:Q153 P155:Q158 P160:Q160 P163:Q163 P168:Q169 P171:Q171 P173:Q173 P175:Q175 P177:Q179 P183:Q183 P185:Q214 U204:V204">
    <cfRule type="containsText" dxfId="2" priority="34603" operator="containsText" text="Yes">
      <formula>NOT(ISERROR(SEARCH(("Yes"),(P153))))</formula>
    </cfRule>
  </conditionalFormatting>
  <conditionalFormatting sqref="P153:Q153 P155:Q158 P160:Q160 P163:Q163 P168:Q169 P171:Q171 P173:Q173 P175:Q175 P177:Q179 P183:Q183 P185:Q214 U204:V204">
    <cfRule type="containsText" dxfId="2" priority="34604" operator="containsText" text="Yes">
      <formula>NOT(ISERROR(SEARCH(("Yes"),(P153))))</formula>
    </cfRule>
  </conditionalFormatting>
  <conditionalFormatting sqref="P153:Q153 P155:Q158 P160:Q160 P163:Q163 P168:Q169 P171:Q171 P173:Q173 P175:Q175 P177:Q179 P183:Q183 P185:Q214 U204:V204">
    <cfRule type="containsText" dxfId="2" priority="34605" operator="containsText" text="Yes">
      <formula>NOT(ISERROR(SEARCH(("Yes"),(P153))))</formula>
    </cfRule>
  </conditionalFormatting>
  <conditionalFormatting sqref="P153:Q153 P155:Q158 P160:Q160 P163:Q163 P168:Q169 P171:Q171 P173:Q173 P175:Q175 P177:Q179 P183:Q183 P185:Q214 U204:V204">
    <cfRule type="containsText" dxfId="2" priority="34606" operator="containsText" text="Yes">
      <formula>NOT(ISERROR(SEARCH(("Yes"),(P153))))</formula>
    </cfRule>
  </conditionalFormatting>
  <conditionalFormatting sqref="P153:Q153 P155:Q158 P160:Q160 P163:Q163 P168:Q169 P171:Q171 P173:Q173 P175:Q175 P177:Q179 P183:Q183 P185:Q214 U204:V204">
    <cfRule type="containsText" dxfId="2" priority="34607" operator="containsText" text="Yes">
      <formula>NOT(ISERROR(SEARCH(("Yes"),(P153))))</formula>
    </cfRule>
  </conditionalFormatting>
  <conditionalFormatting sqref="P153:Q153 P155:Q158 P160:Q160 P163:Q163 P168:Q169 P171:Q171 P173:Q173 P175:Q175 P177:Q179 P183:Q183 P185:Q214 U204:V204">
    <cfRule type="containsText" dxfId="2" priority="34608" operator="containsText" text="Yes">
      <formula>NOT(ISERROR(SEARCH(("Yes"),(P153))))</formula>
    </cfRule>
  </conditionalFormatting>
  <conditionalFormatting sqref="P153:Q153 P155:Q158 P160:Q160 P163:Q163 P168:Q169 P171:Q171 P173:Q173 P175:Q175 P177:Q179 P183:Q183 P185:Q214 U204:V204">
    <cfRule type="containsText" dxfId="2" priority="34609" operator="containsText" text="Yes">
      <formula>NOT(ISERROR(SEARCH(("Yes"),(P153))))</formula>
    </cfRule>
  </conditionalFormatting>
  <conditionalFormatting sqref="P153:Q153 P155:Q158 P160:Q160 P163:Q163 P168:Q169 P171:Q171 P173:Q173 P175:Q175 P177:Q179 P183:Q183 P185:Q214 U204:V204">
    <cfRule type="containsText" dxfId="2" priority="34610" operator="containsText" text="Yes">
      <formula>NOT(ISERROR(SEARCH(("Yes"),(P153))))</formula>
    </cfRule>
  </conditionalFormatting>
  <conditionalFormatting sqref="P153:Q153 P155:Q158 P160:Q160 P163:Q163 P168:Q169 P171:Q171 P173:Q173 P175:Q175 P177:Q179 P183:Q183 P185:Q214 U204:V204">
    <cfRule type="containsText" dxfId="2" priority="34611" operator="containsText" text="Yes">
      <formula>NOT(ISERROR(SEARCH(("Yes"),(P153))))</formula>
    </cfRule>
  </conditionalFormatting>
  <conditionalFormatting sqref="P153:Q153 P155:Q158 P160:Q160 P163:Q163 P168:Q169 P171:Q171 P173:Q173 P175:Q175 P177:Q179 P183:Q183 P185:Q214 U204:V204">
    <cfRule type="containsText" dxfId="2" priority="34612" operator="containsText" text="Yes">
      <formula>NOT(ISERROR(SEARCH(("Yes"),(P153))))</formula>
    </cfRule>
  </conditionalFormatting>
  <conditionalFormatting sqref="P153:Q153 P155:Q158 P160:Q160 P163:Q163 P168:Q169 P171:Q171 P173:Q173 P175:Q175 P177:Q179 P183:Q183 P185:Q214 U204:V204">
    <cfRule type="containsText" dxfId="2" priority="34613" operator="containsText" text="Yes">
      <formula>NOT(ISERROR(SEARCH(("Yes"),(P153))))</formula>
    </cfRule>
  </conditionalFormatting>
  <conditionalFormatting sqref="P153:Q153 P155:Q158 P160:Q160 P163:Q163 P168:Q169 P171:Q171 P173:Q173 P175:Q175 P177:Q179 P183:Q183 P185:Q214 U204:V204">
    <cfRule type="containsText" dxfId="2" priority="34614" operator="containsText" text="Yes">
      <formula>NOT(ISERROR(SEARCH(("Yes"),(P153))))</formula>
    </cfRule>
  </conditionalFormatting>
  <conditionalFormatting sqref="P153:Q153 P155:Q158 P160:Q160 P163:Q163 P168:Q169 P171:Q171 P173:Q173 P175:Q175 P177:Q179 P183:Q183 P185:Q214 U204:V204">
    <cfRule type="containsText" dxfId="2" priority="34615" operator="containsText" text="Yes">
      <formula>NOT(ISERROR(SEARCH(("Yes"),(P153))))</formula>
    </cfRule>
  </conditionalFormatting>
  <conditionalFormatting sqref="P153:Q153 P155:Q158 P160:Q160 P163:Q163 P168:Q169 P171:Q171 P173:Q173 P175:Q175 P177:Q179 P183:Q183 P185:Q214 U204:V204">
    <cfRule type="containsText" dxfId="2" priority="34616" operator="containsText" text="Yes">
      <formula>NOT(ISERROR(SEARCH(("Yes"),(P153))))</formula>
    </cfRule>
  </conditionalFormatting>
  <conditionalFormatting sqref="P153:Q153 P155:Q158 P160:Q160 P163:Q163 P168:Q169 P171:Q171 P173:Q173 P175:Q175 P177:Q179 P183:Q183 P185:Q214 U204:V204">
    <cfRule type="containsText" dxfId="2" priority="34617" operator="containsText" text="Yes">
      <formula>NOT(ISERROR(SEARCH(("Yes"),(P153))))</formula>
    </cfRule>
  </conditionalFormatting>
  <conditionalFormatting sqref="P153:Q153 P155:Q158 P160:Q160 P163:Q163 P168:Q169 P171:Q171 P173:Q173 P175:Q175 P177:Q179 P183:Q183 P185:Q214 U204:V204">
    <cfRule type="containsText" dxfId="2" priority="34618" operator="containsText" text="Yes">
      <formula>NOT(ISERROR(SEARCH(("Yes"),(P153))))</formula>
    </cfRule>
  </conditionalFormatting>
  <conditionalFormatting sqref="P153:Q153 P155:Q158 P160:Q160 P163:Q163 P168:Q169 P171:Q171 P173:Q173 P175:Q175 P177:Q179 P183:Q183 P185:Q214 U204:V204">
    <cfRule type="containsText" dxfId="2" priority="34619" operator="containsText" text="Yes">
      <formula>NOT(ISERROR(SEARCH(("Yes"),(P153))))</formula>
    </cfRule>
  </conditionalFormatting>
  <conditionalFormatting sqref="P153:Q153 P155:Q158 P160:Q160 P163:Q163 P168:Q169 P171:Q171 P173:Q173 P175:Q175 P177:Q179 P183:Q183 P185:Q214 U204:V204">
    <cfRule type="containsText" dxfId="2" priority="34620" operator="containsText" text="Yes">
      <formula>NOT(ISERROR(SEARCH(("Yes"),(P153))))</formula>
    </cfRule>
  </conditionalFormatting>
  <conditionalFormatting sqref="P153:Q153 P155:Q158 P160:Q160 P163:Q163 P168:Q169 P171:Q171 P173:Q173 P175:Q175 P177:Q179 P183:Q183 P185:Q214 U204:V204">
    <cfRule type="containsText" dxfId="2" priority="34621" operator="containsText" text="Yes">
      <formula>NOT(ISERROR(SEARCH(("Yes"),(P153))))</formula>
    </cfRule>
  </conditionalFormatting>
  <conditionalFormatting sqref="P153:Q153 P155:Q158 P160:Q160 P163:Q163 P168:Q169 P171:Q171 P173:Q173 P175:Q175 P177:Q179 P183:Q183 P185:Q214 U204:V204">
    <cfRule type="containsText" dxfId="2" priority="34622" operator="containsText" text="Yes">
      <formula>NOT(ISERROR(SEARCH(("Yes"),(P153))))</formula>
    </cfRule>
  </conditionalFormatting>
  <conditionalFormatting sqref="P153:Q153 P155:Q158 P160:Q160 P163:Q163 P168:Q169 P171:Q171 P173:Q173 P175:Q175 P177:Q179 P183:Q183 P185:Q214 U204:V204">
    <cfRule type="containsText" dxfId="2" priority="34623" operator="containsText" text="Yes">
      <formula>NOT(ISERROR(SEARCH(("Yes"),(P153))))</formula>
    </cfRule>
  </conditionalFormatting>
  <conditionalFormatting sqref="P153:Q153 P155:Q158 P160:Q160 P163:Q163 P168:Q169 P171:Q171 P173:Q173 P175:Q175 P177:Q179 P183:Q183 P185:Q214 U204:V204">
    <cfRule type="containsText" dxfId="2" priority="34624" operator="containsText" text="Yes">
      <formula>NOT(ISERROR(SEARCH(("Yes"),(P153))))</formula>
    </cfRule>
  </conditionalFormatting>
  <conditionalFormatting sqref="P153:Q153 P155:Q158 P160:Q160 P163:Q163 P168:Q169 P171:Q171 P173:Q173 P175:Q175 P177:Q179 P183:Q183 P185:Q214 U204:V204">
    <cfRule type="containsText" dxfId="2" priority="34625" operator="containsText" text="Yes">
      <formula>NOT(ISERROR(SEARCH(("Yes"),(P153))))</formula>
    </cfRule>
  </conditionalFormatting>
  <conditionalFormatting sqref="P153:Q153 P155:Q158 P160:Q160 P163:Q163 P168:Q169 P171:Q171 P173:Q173 P175:Q175 P177:Q179 P183:Q183 P185:Q214 U204:V204">
    <cfRule type="containsText" dxfId="2" priority="34626" operator="containsText" text="Yes">
      <formula>NOT(ISERROR(SEARCH(("Yes"),(P153))))</formula>
    </cfRule>
  </conditionalFormatting>
  <conditionalFormatting sqref="P154:Q154">
    <cfRule type="containsText" dxfId="9" priority="34627" operator="containsText" text="No">
      <formula>NOT(ISERROR(SEARCH(("No"),(P154))))</formula>
    </cfRule>
  </conditionalFormatting>
  <conditionalFormatting sqref="P154:Q154">
    <cfRule type="containsText" dxfId="9" priority="34628" operator="containsText" text="No">
      <formula>NOT(ISERROR(SEARCH(("No"),(P154))))</formula>
    </cfRule>
  </conditionalFormatting>
  <conditionalFormatting sqref="P154:Q154">
    <cfRule type="containsText" dxfId="9" priority="34629" operator="containsText" text="No">
      <formula>NOT(ISERROR(SEARCH(("No"),(P154))))</formula>
    </cfRule>
  </conditionalFormatting>
  <conditionalFormatting sqref="P154:Q154">
    <cfRule type="containsText" dxfId="9" priority="34630" operator="containsText" text="No">
      <formula>NOT(ISERROR(SEARCH(("No"),(P154))))</formula>
    </cfRule>
  </conditionalFormatting>
  <conditionalFormatting sqref="P154:Q154">
    <cfRule type="containsText" dxfId="9" priority="34631" operator="containsText" text="No">
      <formula>NOT(ISERROR(SEARCH(("No"),(P154))))</formula>
    </cfRule>
  </conditionalFormatting>
  <conditionalFormatting sqref="P154:Q154">
    <cfRule type="containsText" dxfId="9" priority="34632" operator="containsText" text="No">
      <formula>NOT(ISERROR(SEARCH(("No"),(P154))))</formula>
    </cfRule>
  </conditionalFormatting>
  <conditionalFormatting sqref="P154:Q154">
    <cfRule type="containsText" dxfId="9" priority="34633" operator="containsText" text="No">
      <formula>NOT(ISERROR(SEARCH(("No"),(P154))))</formula>
    </cfRule>
  </conditionalFormatting>
  <conditionalFormatting sqref="P154:Q154">
    <cfRule type="containsText" dxfId="9" priority="34634" operator="containsText" text="No">
      <formula>NOT(ISERROR(SEARCH(("No"),(P154))))</formula>
    </cfRule>
  </conditionalFormatting>
  <conditionalFormatting sqref="P154:Q154">
    <cfRule type="containsText" dxfId="9" priority="34635" operator="containsText" text="No">
      <formula>NOT(ISERROR(SEARCH(("No"),(P154))))</formula>
    </cfRule>
  </conditionalFormatting>
  <conditionalFormatting sqref="P154:Q154">
    <cfRule type="containsText" dxfId="9" priority="34636" operator="containsText" text="No">
      <formula>NOT(ISERROR(SEARCH(("No"),(P154))))</formula>
    </cfRule>
  </conditionalFormatting>
  <conditionalFormatting sqref="P154:Q154">
    <cfRule type="containsText" dxfId="9" priority="34637" operator="containsText" text="No">
      <formula>NOT(ISERROR(SEARCH(("No"),(P154))))</formula>
    </cfRule>
  </conditionalFormatting>
  <conditionalFormatting sqref="P154:Q154">
    <cfRule type="containsText" dxfId="9" priority="34638" operator="containsText" text="No">
      <formula>NOT(ISERROR(SEARCH(("No"),(P154))))</formula>
    </cfRule>
  </conditionalFormatting>
  <conditionalFormatting sqref="P154:Q154">
    <cfRule type="containsText" dxfId="9" priority="34639" operator="containsText" text="No">
      <formula>NOT(ISERROR(SEARCH(("No"),(P154))))</formula>
    </cfRule>
  </conditionalFormatting>
  <conditionalFormatting sqref="P154:Q154">
    <cfRule type="containsText" dxfId="9" priority="34640" operator="containsText" text="No">
      <formula>NOT(ISERROR(SEARCH(("No"),(P154))))</formula>
    </cfRule>
  </conditionalFormatting>
  <conditionalFormatting sqref="P154:Q154">
    <cfRule type="containsText" dxfId="9" priority="34641" operator="containsText" text="No">
      <formula>NOT(ISERROR(SEARCH(("No"),(P154))))</formula>
    </cfRule>
  </conditionalFormatting>
  <conditionalFormatting sqref="P154:Q154">
    <cfRule type="containsText" dxfId="9" priority="34642" operator="containsText" text="No">
      <formula>NOT(ISERROR(SEARCH(("No"),(P154))))</formula>
    </cfRule>
  </conditionalFormatting>
  <conditionalFormatting sqref="P154:Q154">
    <cfRule type="containsText" dxfId="9" priority="34643" operator="containsText" text="No">
      <formula>NOT(ISERROR(SEARCH(("No"),(P154))))</formula>
    </cfRule>
  </conditionalFormatting>
  <conditionalFormatting sqref="P154:Q154">
    <cfRule type="containsText" dxfId="9" priority="34644" operator="containsText" text="No">
      <formula>NOT(ISERROR(SEARCH(("No"),(P154))))</formula>
    </cfRule>
  </conditionalFormatting>
  <conditionalFormatting sqref="P154:Q154">
    <cfRule type="containsText" dxfId="9" priority="34645" operator="containsText" text="No">
      <formula>NOT(ISERROR(SEARCH(("No"),(P154))))</formula>
    </cfRule>
  </conditionalFormatting>
  <conditionalFormatting sqref="P154:Q154">
    <cfRule type="containsText" dxfId="9" priority="34646" operator="containsText" text="No">
      <formula>NOT(ISERROR(SEARCH(("No"),(P154))))</formula>
    </cfRule>
  </conditionalFormatting>
  <conditionalFormatting sqref="P154:Q154">
    <cfRule type="containsText" dxfId="9" priority="34647" operator="containsText" text="No">
      <formula>NOT(ISERROR(SEARCH(("No"),(P154))))</formula>
    </cfRule>
  </conditionalFormatting>
  <conditionalFormatting sqref="P154:Q154">
    <cfRule type="containsText" dxfId="9" priority="34648" operator="containsText" text="No">
      <formula>NOT(ISERROR(SEARCH(("No"),(P154))))</formula>
    </cfRule>
  </conditionalFormatting>
  <conditionalFormatting sqref="P154:Q154">
    <cfRule type="containsText" dxfId="9" priority="34649" operator="containsText" text="No">
      <formula>NOT(ISERROR(SEARCH(("No"),(P154))))</formula>
    </cfRule>
  </conditionalFormatting>
  <conditionalFormatting sqref="P154:Q154">
    <cfRule type="containsText" dxfId="9" priority="34650" operator="containsText" text="No">
      <formula>NOT(ISERROR(SEARCH(("No"),(P154))))</formula>
    </cfRule>
  </conditionalFormatting>
  <conditionalFormatting sqref="P154:Q154">
    <cfRule type="containsText" dxfId="9" priority="34651" operator="containsText" text="No">
      <formula>NOT(ISERROR(SEARCH(("No"),(P154))))</formula>
    </cfRule>
  </conditionalFormatting>
  <conditionalFormatting sqref="P154:Q154">
    <cfRule type="containsText" dxfId="9" priority="34652" operator="containsText" text="No">
      <formula>NOT(ISERROR(SEARCH(("No"),(P154))))</formula>
    </cfRule>
  </conditionalFormatting>
  <conditionalFormatting sqref="P154:Q154">
    <cfRule type="containsText" dxfId="9" priority="34653" operator="containsText" text="No">
      <formula>NOT(ISERROR(SEARCH(("No"),(P154))))</formula>
    </cfRule>
  </conditionalFormatting>
  <conditionalFormatting sqref="P154:Q154">
    <cfRule type="containsText" dxfId="9" priority="34654" operator="containsText" text="No">
      <formula>NOT(ISERROR(SEARCH(("No"),(P154))))</formula>
    </cfRule>
  </conditionalFormatting>
  <conditionalFormatting sqref="P154:Q154">
    <cfRule type="containsText" dxfId="9" priority="34655" operator="containsText" text="No">
      <formula>NOT(ISERROR(SEARCH(("No"),(P154))))</formula>
    </cfRule>
  </conditionalFormatting>
  <conditionalFormatting sqref="P154:Q154">
    <cfRule type="containsText" dxfId="9" priority="34656" operator="containsText" text="No">
      <formula>NOT(ISERROR(SEARCH(("No"),(P154))))</formula>
    </cfRule>
  </conditionalFormatting>
  <conditionalFormatting sqref="P154:Q154">
    <cfRule type="containsText" dxfId="9" priority="34657" operator="containsText" text="No">
      <formula>NOT(ISERROR(SEARCH(("No"),(P154))))</formula>
    </cfRule>
  </conditionalFormatting>
  <conditionalFormatting sqref="P154:Q154">
    <cfRule type="containsText" dxfId="9" priority="34658" operator="containsText" text="No">
      <formula>NOT(ISERROR(SEARCH(("No"),(P154))))</formula>
    </cfRule>
  </conditionalFormatting>
  <conditionalFormatting sqref="P154:Q154">
    <cfRule type="containsText" dxfId="9" priority="34659" operator="containsText" text="No">
      <formula>NOT(ISERROR(SEARCH(("No"),(P154))))</formula>
    </cfRule>
  </conditionalFormatting>
  <conditionalFormatting sqref="P154:Q154">
    <cfRule type="containsText" dxfId="9" priority="34660" operator="containsText" text="No">
      <formula>NOT(ISERROR(SEARCH(("No"),(P154))))</formula>
    </cfRule>
  </conditionalFormatting>
  <conditionalFormatting sqref="P154:Q154">
    <cfRule type="containsText" dxfId="9" priority="34661" operator="containsText" text="No">
      <formula>NOT(ISERROR(SEARCH(("No"),(P154))))</formula>
    </cfRule>
  </conditionalFormatting>
  <conditionalFormatting sqref="P154:Q154">
    <cfRule type="containsText" dxfId="9" priority="34662" operator="containsText" text="No">
      <formula>NOT(ISERROR(SEARCH(("No"),(P154))))</formula>
    </cfRule>
  </conditionalFormatting>
  <conditionalFormatting sqref="P154:Q154">
    <cfRule type="containsText" dxfId="9" priority="34663" operator="containsText" text="No">
      <formula>NOT(ISERROR(SEARCH(("No"),(P154))))</formula>
    </cfRule>
  </conditionalFormatting>
  <conditionalFormatting sqref="P154:Q154">
    <cfRule type="containsText" dxfId="9" priority="34664" operator="containsText" text="No">
      <formula>NOT(ISERROR(SEARCH(("No"),(P154))))</formula>
    </cfRule>
  </conditionalFormatting>
  <conditionalFormatting sqref="P154:Q154">
    <cfRule type="containsText" dxfId="9" priority="34665" operator="containsText" text="No">
      <formula>NOT(ISERROR(SEARCH(("No"),(P154))))</formula>
    </cfRule>
  </conditionalFormatting>
  <conditionalFormatting sqref="P154:Q154">
    <cfRule type="containsText" dxfId="9" priority="34666" operator="containsText" text="No">
      <formula>NOT(ISERROR(SEARCH(("No"),(P154))))</formula>
    </cfRule>
  </conditionalFormatting>
  <conditionalFormatting sqref="P154:Q154">
    <cfRule type="containsText" dxfId="9" priority="34667" operator="containsText" text="No">
      <formula>NOT(ISERROR(SEARCH(("No"),(P154))))</formula>
    </cfRule>
  </conditionalFormatting>
  <conditionalFormatting sqref="P154:Q154">
    <cfRule type="containsText" dxfId="9" priority="34668" operator="containsText" text="No">
      <formula>NOT(ISERROR(SEARCH(("No"),(P154))))</formula>
    </cfRule>
  </conditionalFormatting>
  <conditionalFormatting sqref="P154:Q154">
    <cfRule type="containsText" dxfId="9" priority="34669" operator="containsText" text="No">
      <formula>NOT(ISERROR(SEARCH(("No"),(P154))))</formula>
    </cfRule>
  </conditionalFormatting>
  <conditionalFormatting sqref="P154:Q154">
    <cfRule type="containsText" dxfId="9" priority="34670" operator="containsText" text="No">
      <formula>NOT(ISERROR(SEARCH(("No"),(P154))))</formula>
    </cfRule>
  </conditionalFormatting>
  <conditionalFormatting sqref="P154:Q154">
    <cfRule type="containsText" dxfId="9" priority="34671" operator="containsText" text="No">
      <formula>NOT(ISERROR(SEARCH(("No"),(P154))))</formula>
    </cfRule>
  </conditionalFormatting>
  <conditionalFormatting sqref="P154:Q154">
    <cfRule type="containsText" dxfId="2" priority="34672" operator="containsText" text="Yes">
      <formula>NOT(ISERROR(SEARCH(("Yes"),(P154))))</formula>
    </cfRule>
  </conditionalFormatting>
  <conditionalFormatting sqref="P154:Q154">
    <cfRule type="containsText" dxfId="2" priority="34673" operator="containsText" text="Yes">
      <formula>NOT(ISERROR(SEARCH(("Yes"),(P154))))</formula>
    </cfRule>
  </conditionalFormatting>
  <conditionalFormatting sqref="P154:Q154">
    <cfRule type="containsText" dxfId="2" priority="34674" operator="containsText" text="Yes">
      <formula>NOT(ISERROR(SEARCH(("Yes"),(P154))))</formula>
    </cfRule>
  </conditionalFormatting>
  <conditionalFormatting sqref="P154:Q154">
    <cfRule type="containsText" dxfId="2" priority="34675" operator="containsText" text="Yes">
      <formula>NOT(ISERROR(SEARCH(("Yes"),(P154))))</formula>
    </cfRule>
  </conditionalFormatting>
  <conditionalFormatting sqref="P154:Q154">
    <cfRule type="containsText" dxfId="2" priority="34676" operator="containsText" text="Yes">
      <formula>NOT(ISERROR(SEARCH(("Yes"),(P154))))</formula>
    </cfRule>
  </conditionalFormatting>
  <conditionalFormatting sqref="P154:Q154">
    <cfRule type="containsText" dxfId="2" priority="34677" operator="containsText" text="Yes">
      <formula>NOT(ISERROR(SEARCH(("Yes"),(P154))))</formula>
    </cfRule>
  </conditionalFormatting>
  <conditionalFormatting sqref="P154:Q154">
    <cfRule type="containsText" dxfId="2" priority="34678" operator="containsText" text="Yes">
      <formula>NOT(ISERROR(SEARCH(("Yes"),(P154))))</formula>
    </cfRule>
  </conditionalFormatting>
  <conditionalFormatting sqref="P154:Q154">
    <cfRule type="containsText" dxfId="2" priority="34679" operator="containsText" text="Yes">
      <formula>NOT(ISERROR(SEARCH(("Yes"),(P154))))</formula>
    </cfRule>
  </conditionalFormatting>
  <conditionalFormatting sqref="P154:Q154">
    <cfRule type="containsText" dxfId="2" priority="34680" operator="containsText" text="Yes">
      <formula>NOT(ISERROR(SEARCH(("Yes"),(P154))))</formula>
    </cfRule>
  </conditionalFormatting>
  <conditionalFormatting sqref="P154:Q154">
    <cfRule type="containsText" dxfId="2" priority="34681" operator="containsText" text="Yes">
      <formula>NOT(ISERROR(SEARCH(("Yes"),(P154))))</formula>
    </cfRule>
  </conditionalFormatting>
  <conditionalFormatting sqref="P154:Q154">
    <cfRule type="containsText" dxfId="2" priority="34682" operator="containsText" text="Yes">
      <formula>NOT(ISERROR(SEARCH(("Yes"),(P154))))</formula>
    </cfRule>
  </conditionalFormatting>
  <conditionalFormatting sqref="P154:Q154">
    <cfRule type="containsText" dxfId="2" priority="34683" operator="containsText" text="Yes">
      <formula>NOT(ISERROR(SEARCH(("Yes"),(P154))))</formula>
    </cfRule>
  </conditionalFormatting>
  <conditionalFormatting sqref="P154:Q154">
    <cfRule type="containsText" dxfId="2" priority="34684" operator="containsText" text="Yes">
      <formula>NOT(ISERROR(SEARCH(("Yes"),(P154))))</formula>
    </cfRule>
  </conditionalFormatting>
  <conditionalFormatting sqref="P154:Q154">
    <cfRule type="containsText" dxfId="2" priority="34685" operator="containsText" text="Yes">
      <formula>NOT(ISERROR(SEARCH(("Yes"),(P154))))</formula>
    </cfRule>
  </conditionalFormatting>
  <conditionalFormatting sqref="P154:Q154">
    <cfRule type="containsText" dxfId="2" priority="34686" operator="containsText" text="Yes">
      <formula>NOT(ISERROR(SEARCH(("Yes"),(P154))))</formula>
    </cfRule>
  </conditionalFormatting>
  <conditionalFormatting sqref="P154:Q154">
    <cfRule type="containsText" dxfId="2" priority="34687" operator="containsText" text="Yes">
      <formula>NOT(ISERROR(SEARCH(("Yes"),(P154))))</formula>
    </cfRule>
  </conditionalFormatting>
  <conditionalFormatting sqref="P154:Q154">
    <cfRule type="containsText" dxfId="2" priority="34688" operator="containsText" text="Yes">
      <formula>NOT(ISERROR(SEARCH(("Yes"),(P154))))</formula>
    </cfRule>
  </conditionalFormatting>
  <conditionalFormatting sqref="P154:Q154">
    <cfRule type="containsText" dxfId="2" priority="34689" operator="containsText" text="Yes">
      <formula>NOT(ISERROR(SEARCH(("Yes"),(P154))))</formula>
    </cfRule>
  </conditionalFormatting>
  <conditionalFormatting sqref="P154:Q154">
    <cfRule type="containsText" dxfId="2" priority="34690" operator="containsText" text="Yes">
      <formula>NOT(ISERROR(SEARCH(("Yes"),(P154))))</formula>
    </cfRule>
  </conditionalFormatting>
  <conditionalFormatting sqref="P154:Q154">
    <cfRule type="containsText" dxfId="2" priority="34691" operator="containsText" text="Yes">
      <formula>NOT(ISERROR(SEARCH(("Yes"),(P154))))</formula>
    </cfRule>
  </conditionalFormatting>
  <conditionalFormatting sqref="P154:Q154">
    <cfRule type="containsText" dxfId="2" priority="34692" operator="containsText" text="Yes">
      <formula>NOT(ISERROR(SEARCH(("Yes"),(P154))))</formula>
    </cfRule>
  </conditionalFormatting>
  <conditionalFormatting sqref="P154:Q154">
    <cfRule type="containsText" dxfId="2" priority="34693" operator="containsText" text="Yes">
      <formula>NOT(ISERROR(SEARCH(("Yes"),(P154))))</formula>
    </cfRule>
  </conditionalFormatting>
  <conditionalFormatting sqref="P154:Q154">
    <cfRule type="containsText" dxfId="2" priority="34694" operator="containsText" text="Yes">
      <formula>NOT(ISERROR(SEARCH(("Yes"),(P154))))</formula>
    </cfRule>
  </conditionalFormatting>
  <conditionalFormatting sqref="P154:Q154">
    <cfRule type="containsText" dxfId="2" priority="34695" operator="containsText" text="Yes">
      <formula>NOT(ISERROR(SEARCH(("Yes"),(P154))))</formula>
    </cfRule>
  </conditionalFormatting>
  <conditionalFormatting sqref="P154:Q154">
    <cfRule type="containsText" dxfId="2" priority="34696" operator="containsText" text="Yes">
      <formula>NOT(ISERROR(SEARCH(("Yes"),(P154))))</formula>
    </cfRule>
  </conditionalFormatting>
  <conditionalFormatting sqref="P154:Q154">
    <cfRule type="containsText" dxfId="2" priority="34697" operator="containsText" text="Yes">
      <formula>NOT(ISERROR(SEARCH(("Yes"),(P154))))</formula>
    </cfRule>
  </conditionalFormatting>
  <conditionalFormatting sqref="P154:Q154">
    <cfRule type="containsText" dxfId="2" priority="34698" operator="containsText" text="Yes">
      <formula>NOT(ISERROR(SEARCH(("Yes"),(P154))))</formula>
    </cfRule>
  </conditionalFormatting>
  <conditionalFormatting sqref="P154:Q154">
    <cfRule type="containsText" dxfId="2" priority="34699" operator="containsText" text="Yes">
      <formula>NOT(ISERROR(SEARCH(("Yes"),(P154))))</formula>
    </cfRule>
  </conditionalFormatting>
  <conditionalFormatting sqref="P154:Q154">
    <cfRule type="containsText" dxfId="2" priority="34700" operator="containsText" text="Yes">
      <formula>NOT(ISERROR(SEARCH(("Yes"),(P154))))</formula>
    </cfRule>
  </conditionalFormatting>
  <conditionalFormatting sqref="P154:Q154">
    <cfRule type="containsText" dxfId="2" priority="34701" operator="containsText" text="Yes">
      <formula>NOT(ISERROR(SEARCH(("Yes"),(P154))))</formula>
    </cfRule>
  </conditionalFormatting>
  <conditionalFormatting sqref="P154:Q154">
    <cfRule type="containsText" dxfId="2" priority="34702" operator="containsText" text="Yes">
      <formula>NOT(ISERROR(SEARCH(("Yes"),(P154))))</formula>
    </cfRule>
  </conditionalFormatting>
  <conditionalFormatting sqref="P154:Q154">
    <cfRule type="containsText" dxfId="2" priority="34703" operator="containsText" text="Yes">
      <formula>NOT(ISERROR(SEARCH(("Yes"),(P154))))</formula>
    </cfRule>
  </conditionalFormatting>
  <conditionalFormatting sqref="P154:Q154">
    <cfRule type="containsText" dxfId="2" priority="34704" operator="containsText" text="Yes">
      <formula>NOT(ISERROR(SEARCH(("Yes"),(P154))))</formula>
    </cfRule>
  </conditionalFormatting>
  <conditionalFormatting sqref="P154:Q154">
    <cfRule type="containsText" dxfId="2" priority="34705" operator="containsText" text="Yes">
      <formula>NOT(ISERROR(SEARCH(("Yes"),(P154))))</formula>
    </cfRule>
  </conditionalFormatting>
  <conditionalFormatting sqref="P154:Q154">
    <cfRule type="containsText" dxfId="2" priority="34706" operator="containsText" text="Yes">
      <formula>NOT(ISERROR(SEARCH(("Yes"),(P154))))</formula>
    </cfRule>
  </conditionalFormatting>
  <conditionalFormatting sqref="P154:Q154">
    <cfRule type="containsText" dxfId="2" priority="34707" operator="containsText" text="Yes">
      <formula>NOT(ISERROR(SEARCH(("Yes"),(P154))))</formula>
    </cfRule>
  </conditionalFormatting>
  <conditionalFormatting sqref="P154:Q154">
    <cfRule type="containsText" dxfId="2" priority="34708" operator="containsText" text="Yes">
      <formula>NOT(ISERROR(SEARCH(("Yes"),(P154))))</formula>
    </cfRule>
  </conditionalFormatting>
  <conditionalFormatting sqref="P154:Q154">
    <cfRule type="containsText" dxfId="2" priority="34709" operator="containsText" text="Yes">
      <formula>NOT(ISERROR(SEARCH(("Yes"),(P154))))</formula>
    </cfRule>
  </conditionalFormatting>
  <conditionalFormatting sqref="P154:Q154">
    <cfRule type="containsText" dxfId="2" priority="34710" operator="containsText" text="Yes">
      <formula>NOT(ISERROR(SEARCH(("Yes"),(P154))))</formula>
    </cfRule>
  </conditionalFormatting>
  <conditionalFormatting sqref="P154:Q154">
    <cfRule type="containsText" dxfId="2" priority="34711" operator="containsText" text="Yes">
      <formula>NOT(ISERROR(SEARCH(("Yes"),(P154))))</formula>
    </cfRule>
  </conditionalFormatting>
  <conditionalFormatting sqref="P154:Q154">
    <cfRule type="containsText" dxfId="2" priority="34712" operator="containsText" text="Yes">
      <formula>NOT(ISERROR(SEARCH(("Yes"),(P154))))</formula>
    </cfRule>
  </conditionalFormatting>
  <conditionalFormatting sqref="P154:Q154">
    <cfRule type="containsText" dxfId="2" priority="34713" operator="containsText" text="Yes">
      <formula>NOT(ISERROR(SEARCH(("Yes"),(P154))))</formula>
    </cfRule>
  </conditionalFormatting>
  <conditionalFormatting sqref="P154:Q154">
    <cfRule type="containsText" dxfId="2" priority="34714" operator="containsText" text="Yes">
      <formula>NOT(ISERROR(SEARCH(("Yes"),(P154))))</formula>
    </cfRule>
  </conditionalFormatting>
  <conditionalFormatting sqref="P154:Q154">
    <cfRule type="containsText" dxfId="2" priority="34715" operator="containsText" text="Yes">
      <formula>NOT(ISERROR(SEARCH(("Yes"),(P154))))</formula>
    </cfRule>
  </conditionalFormatting>
  <conditionalFormatting sqref="P154:Q154">
    <cfRule type="containsText" dxfId="2" priority="34716" operator="containsText" text="Yes">
      <formula>NOT(ISERROR(SEARCH(("Yes"),(P154))))</formula>
    </cfRule>
  </conditionalFormatting>
  <conditionalFormatting sqref="P154:Q154">
    <cfRule type="containsText" dxfId="2" priority="34717" operator="containsText" text="Yes">
      <formula>NOT(ISERROR(SEARCH(("Yes"),(P154))))</formula>
    </cfRule>
  </conditionalFormatting>
  <conditionalFormatting sqref="P154:Q154">
    <cfRule type="containsText" dxfId="2" priority="34718" operator="containsText" text="Yes">
      <formula>NOT(ISERROR(SEARCH(("Yes"),(P154))))</formula>
    </cfRule>
  </conditionalFormatting>
  <conditionalFormatting sqref="P155:Q155">
    <cfRule type="containsText" dxfId="9" priority="34719" operator="containsText" text="No">
      <formula>NOT(ISERROR(SEARCH(("No"),(P155))))</formula>
    </cfRule>
  </conditionalFormatting>
  <conditionalFormatting sqref="P155:Q155">
    <cfRule type="containsText" dxfId="9" priority="34720" operator="containsText" text="No">
      <formula>NOT(ISERROR(SEARCH(("No"),(P155))))</formula>
    </cfRule>
  </conditionalFormatting>
  <conditionalFormatting sqref="P155:Q155">
    <cfRule type="containsText" dxfId="9" priority="34721" operator="containsText" text="No">
      <formula>NOT(ISERROR(SEARCH(("No"),(P155))))</formula>
    </cfRule>
  </conditionalFormatting>
  <conditionalFormatting sqref="P155:Q155">
    <cfRule type="containsText" dxfId="9" priority="34722" operator="containsText" text="No">
      <formula>NOT(ISERROR(SEARCH(("No"),(P155))))</formula>
    </cfRule>
  </conditionalFormatting>
  <conditionalFormatting sqref="P155:Q155">
    <cfRule type="containsText" dxfId="9" priority="34723" operator="containsText" text="No">
      <formula>NOT(ISERROR(SEARCH(("No"),(P155))))</formula>
    </cfRule>
  </conditionalFormatting>
  <conditionalFormatting sqref="P155:Q155">
    <cfRule type="containsText" dxfId="9" priority="34724" operator="containsText" text="No">
      <formula>NOT(ISERROR(SEARCH(("No"),(P155))))</formula>
    </cfRule>
  </conditionalFormatting>
  <conditionalFormatting sqref="P155:Q155">
    <cfRule type="containsText" dxfId="9" priority="34725" operator="containsText" text="No">
      <formula>NOT(ISERROR(SEARCH(("No"),(P155))))</formula>
    </cfRule>
  </conditionalFormatting>
  <conditionalFormatting sqref="P155:Q155">
    <cfRule type="containsText" dxfId="9" priority="34726" operator="containsText" text="No">
      <formula>NOT(ISERROR(SEARCH(("No"),(P155))))</formula>
    </cfRule>
  </conditionalFormatting>
  <conditionalFormatting sqref="P155:Q155">
    <cfRule type="containsText" dxfId="9" priority="34727" operator="containsText" text="No">
      <formula>NOT(ISERROR(SEARCH(("No"),(P155))))</formula>
    </cfRule>
  </conditionalFormatting>
  <conditionalFormatting sqref="P155:Q155">
    <cfRule type="containsText" dxfId="9" priority="34728" operator="containsText" text="No">
      <formula>NOT(ISERROR(SEARCH(("No"),(P155))))</formula>
    </cfRule>
  </conditionalFormatting>
  <conditionalFormatting sqref="P155:Q155">
    <cfRule type="containsText" dxfId="9" priority="34729" operator="containsText" text="No">
      <formula>NOT(ISERROR(SEARCH(("No"),(P155))))</formula>
    </cfRule>
  </conditionalFormatting>
  <conditionalFormatting sqref="P155:Q155">
    <cfRule type="containsText" dxfId="9" priority="34730" operator="containsText" text="No">
      <formula>NOT(ISERROR(SEARCH(("No"),(P155))))</formula>
    </cfRule>
  </conditionalFormatting>
  <conditionalFormatting sqref="P155:Q155">
    <cfRule type="containsText" dxfId="9" priority="34731" operator="containsText" text="No">
      <formula>NOT(ISERROR(SEARCH(("No"),(P155))))</formula>
    </cfRule>
  </conditionalFormatting>
  <conditionalFormatting sqref="P155:Q155">
    <cfRule type="containsText" dxfId="9" priority="34732" operator="containsText" text="No">
      <formula>NOT(ISERROR(SEARCH(("No"),(P155))))</formula>
    </cfRule>
  </conditionalFormatting>
  <conditionalFormatting sqref="P155:Q155">
    <cfRule type="containsText" dxfId="9" priority="34733" operator="containsText" text="No">
      <formula>NOT(ISERROR(SEARCH(("No"),(P155))))</formula>
    </cfRule>
  </conditionalFormatting>
  <conditionalFormatting sqref="P155:Q155">
    <cfRule type="containsText" dxfId="9" priority="34734" operator="containsText" text="No">
      <formula>NOT(ISERROR(SEARCH(("No"),(P155))))</formula>
    </cfRule>
  </conditionalFormatting>
  <conditionalFormatting sqref="P155:Q155">
    <cfRule type="containsText" dxfId="9" priority="34735" operator="containsText" text="No">
      <formula>NOT(ISERROR(SEARCH(("No"),(P155))))</formula>
    </cfRule>
  </conditionalFormatting>
  <conditionalFormatting sqref="P155:Q155">
    <cfRule type="containsText" dxfId="9" priority="34736" operator="containsText" text="No">
      <formula>NOT(ISERROR(SEARCH(("No"),(P155))))</formula>
    </cfRule>
  </conditionalFormatting>
  <conditionalFormatting sqref="P155:Q155">
    <cfRule type="containsText" dxfId="9" priority="34737" operator="containsText" text="No">
      <formula>NOT(ISERROR(SEARCH(("No"),(P155))))</formula>
    </cfRule>
  </conditionalFormatting>
  <conditionalFormatting sqref="P155:Q155">
    <cfRule type="containsText" dxfId="9" priority="34738" operator="containsText" text="No">
      <formula>NOT(ISERROR(SEARCH(("No"),(P155))))</formula>
    </cfRule>
  </conditionalFormatting>
  <conditionalFormatting sqref="P155:Q155">
    <cfRule type="containsText" dxfId="9" priority="34739" operator="containsText" text="No">
      <formula>NOT(ISERROR(SEARCH(("No"),(P155))))</formula>
    </cfRule>
  </conditionalFormatting>
  <conditionalFormatting sqref="P155:Q155">
    <cfRule type="containsText" dxfId="9" priority="34740" operator="containsText" text="No">
      <formula>NOT(ISERROR(SEARCH(("No"),(P155))))</formula>
    </cfRule>
  </conditionalFormatting>
  <conditionalFormatting sqref="P155:Q155">
    <cfRule type="containsText" dxfId="9" priority="34741" operator="containsText" text="No">
      <formula>NOT(ISERROR(SEARCH(("No"),(P155))))</formula>
    </cfRule>
  </conditionalFormatting>
  <conditionalFormatting sqref="P155:Q155">
    <cfRule type="containsText" dxfId="9" priority="34742" operator="containsText" text="No">
      <formula>NOT(ISERROR(SEARCH(("No"),(P155))))</formula>
    </cfRule>
  </conditionalFormatting>
  <conditionalFormatting sqref="P155:Q155">
    <cfRule type="containsText" dxfId="9" priority="34743" operator="containsText" text="No">
      <formula>NOT(ISERROR(SEARCH(("No"),(P155))))</formula>
    </cfRule>
  </conditionalFormatting>
  <conditionalFormatting sqref="P155:Q155">
    <cfRule type="containsText" dxfId="9" priority="34744" operator="containsText" text="No">
      <formula>NOT(ISERROR(SEARCH(("No"),(P155))))</formula>
    </cfRule>
  </conditionalFormatting>
  <conditionalFormatting sqref="P155:Q155">
    <cfRule type="containsText" dxfId="9" priority="34745" operator="containsText" text="No">
      <formula>NOT(ISERROR(SEARCH(("No"),(P155))))</formula>
    </cfRule>
  </conditionalFormatting>
  <conditionalFormatting sqref="P155:Q155">
    <cfRule type="containsText" dxfId="9" priority="34746" operator="containsText" text="No">
      <formula>NOT(ISERROR(SEARCH(("No"),(P155))))</formula>
    </cfRule>
  </conditionalFormatting>
  <conditionalFormatting sqref="P155:Q155">
    <cfRule type="containsText" dxfId="9" priority="34747" operator="containsText" text="No">
      <formula>NOT(ISERROR(SEARCH(("No"),(P155))))</formula>
    </cfRule>
  </conditionalFormatting>
  <conditionalFormatting sqref="P155:Q155">
    <cfRule type="containsText" dxfId="9" priority="34748" operator="containsText" text="No">
      <formula>NOT(ISERROR(SEARCH(("No"),(P155))))</formula>
    </cfRule>
  </conditionalFormatting>
  <conditionalFormatting sqref="P155:Q155">
    <cfRule type="containsText" dxfId="9" priority="34749" operator="containsText" text="No">
      <formula>NOT(ISERROR(SEARCH(("No"),(P155))))</formula>
    </cfRule>
  </conditionalFormatting>
  <conditionalFormatting sqref="P155:Q155">
    <cfRule type="containsText" dxfId="9" priority="34750" operator="containsText" text="No">
      <formula>NOT(ISERROR(SEARCH(("No"),(P155))))</formula>
    </cfRule>
  </conditionalFormatting>
  <conditionalFormatting sqref="P155:Q155">
    <cfRule type="containsText" dxfId="9" priority="34751" operator="containsText" text="No">
      <formula>NOT(ISERROR(SEARCH(("No"),(P155))))</formula>
    </cfRule>
  </conditionalFormatting>
  <conditionalFormatting sqref="P155:Q155">
    <cfRule type="containsText" dxfId="9" priority="34752" operator="containsText" text="No">
      <formula>NOT(ISERROR(SEARCH(("No"),(P155))))</formula>
    </cfRule>
  </conditionalFormatting>
  <conditionalFormatting sqref="P155:Q155">
    <cfRule type="containsText" dxfId="9" priority="34753" operator="containsText" text="No">
      <formula>NOT(ISERROR(SEARCH(("No"),(P155))))</formula>
    </cfRule>
  </conditionalFormatting>
  <conditionalFormatting sqref="P155:Q155">
    <cfRule type="containsText" dxfId="9" priority="34754" operator="containsText" text="No">
      <formula>NOT(ISERROR(SEARCH(("No"),(P155))))</formula>
    </cfRule>
  </conditionalFormatting>
  <conditionalFormatting sqref="P155:Q155">
    <cfRule type="containsText" dxfId="9" priority="34755" operator="containsText" text="No">
      <formula>NOT(ISERROR(SEARCH(("No"),(P155))))</formula>
    </cfRule>
  </conditionalFormatting>
  <conditionalFormatting sqref="P155:Q155">
    <cfRule type="containsText" dxfId="9" priority="34756" operator="containsText" text="No">
      <formula>NOT(ISERROR(SEARCH(("No"),(P155))))</formula>
    </cfRule>
  </conditionalFormatting>
  <conditionalFormatting sqref="P155:Q155">
    <cfRule type="containsText" dxfId="9" priority="34757" operator="containsText" text="No">
      <formula>NOT(ISERROR(SEARCH(("No"),(P155))))</formula>
    </cfRule>
  </conditionalFormatting>
  <conditionalFormatting sqref="P155:Q155">
    <cfRule type="containsText" dxfId="9" priority="34758" operator="containsText" text="No">
      <formula>NOT(ISERROR(SEARCH(("No"),(P155))))</formula>
    </cfRule>
  </conditionalFormatting>
  <conditionalFormatting sqref="P155:Q155">
    <cfRule type="containsText" dxfId="9" priority="34759" operator="containsText" text="No">
      <formula>NOT(ISERROR(SEARCH(("No"),(P155))))</formula>
    </cfRule>
  </conditionalFormatting>
  <conditionalFormatting sqref="P155:Q155">
    <cfRule type="containsText" dxfId="9" priority="34760" operator="containsText" text="No">
      <formula>NOT(ISERROR(SEARCH(("No"),(P155))))</formula>
    </cfRule>
  </conditionalFormatting>
  <conditionalFormatting sqref="P155:Q155">
    <cfRule type="containsText" dxfId="9" priority="34761" operator="containsText" text="No">
      <formula>NOT(ISERROR(SEARCH(("No"),(P155))))</formula>
    </cfRule>
  </conditionalFormatting>
  <conditionalFormatting sqref="P155:Q155">
    <cfRule type="containsText" dxfId="9" priority="34762" operator="containsText" text="No">
      <formula>NOT(ISERROR(SEARCH(("No"),(P155))))</formula>
    </cfRule>
  </conditionalFormatting>
  <conditionalFormatting sqref="P155:Q155">
    <cfRule type="containsText" dxfId="9" priority="34763" operator="containsText" text="No">
      <formula>NOT(ISERROR(SEARCH(("No"),(P155))))</formula>
    </cfRule>
  </conditionalFormatting>
  <conditionalFormatting sqref="P155:Q155">
    <cfRule type="containsText" dxfId="2" priority="34764" operator="containsText" text="Yes">
      <formula>NOT(ISERROR(SEARCH(("Yes"),(P155))))</formula>
    </cfRule>
  </conditionalFormatting>
  <conditionalFormatting sqref="P155:Q155">
    <cfRule type="containsText" dxfId="2" priority="34765" operator="containsText" text="Yes">
      <formula>NOT(ISERROR(SEARCH(("Yes"),(P155))))</formula>
    </cfRule>
  </conditionalFormatting>
  <conditionalFormatting sqref="P155:Q155">
    <cfRule type="containsText" dxfId="2" priority="34766" operator="containsText" text="Yes">
      <formula>NOT(ISERROR(SEARCH(("Yes"),(P155))))</formula>
    </cfRule>
  </conditionalFormatting>
  <conditionalFormatting sqref="P155:Q155">
    <cfRule type="containsText" dxfId="2" priority="34767" operator="containsText" text="Yes">
      <formula>NOT(ISERROR(SEARCH(("Yes"),(P155))))</formula>
    </cfRule>
  </conditionalFormatting>
  <conditionalFormatting sqref="P155:Q155">
    <cfRule type="containsText" dxfId="2" priority="34768" operator="containsText" text="Yes">
      <formula>NOT(ISERROR(SEARCH(("Yes"),(P155))))</formula>
    </cfRule>
  </conditionalFormatting>
  <conditionalFormatting sqref="P155:Q155">
    <cfRule type="containsText" dxfId="2" priority="34769" operator="containsText" text="Yes">
      <formula>NOT(ISERROR(SEARCH(("Yes"),(P155))))</formula>
    </cfRule>
  </conditionalFormatting>
  <conditionalFormatting sqref="P155:Q155">
    <cfRule type="containsText" dxfId="2" priority="34770" operator="containsText" text="Yes">
      <formula>NOT(ISERROR(SEARCH(("Yes"),(P155))))</formula>
    </cfRule>
  </conditionalFormatting>
  <conditionalFormatting sqref="P155:Q155">
    <cfRule type="containsText" dxfId="2" priority="34771" operator="containsText" text="Yes">
      <formula>NOT(ISERROR(SEARCH(("Yes"),(P155))))</formula>
    </cfRule>
  </conditionalFormatting>
  <conditionalFormatting sqref="P155:Q155">
    <cfRule type="containsText" dxfId="2" priority="34772" operator="containsText" text="Yes">
      <formula>NOT(ISERROR(SEARCH(("Yes"),(P155))))</formula>
    </cfRule>
  </conditionalFormatting>
  <conditionalFormatting sqref="P155:Q155">
    <cfRule type="containsText" dxfId="2" priority="34773" operator="containsText" text="Yes">
      <formula>NOT(ISERROR(SEARCH(("Yes"),(P155))))</formula>
    </cfRule>
  </conditionalFormatting>
  <conditionalFormatting sqref="P155:Q155">
    <cfRule type="containsText" dxfId="2" priority="34774" operator="containsText" text="Yes">
      <formula>NOT(ISERROR(SEARCH(("Yes"),(P155))))</formula>
    </cfRule>
  </conditionalFormatting>
  <conditionalFormatting sqref="P155:Q155">
    <cfRule type="containsText" dxfId="2" priority="34775" operator="containsText" text="Yes">
      <formula>NOT(ISERROR(SEARCH(("Yes"),(P155))))</formula>
    </cfRule>
  </conditionalFormatting>
  <conditionalFormatting sqref="P155:Q155">
    <cfRule type="containsText" dxfId="2" priority="34776" operator="containsText" text="Yes">
      <formula>NOT(ISERROR(SEARCH(("Yes"),(P155))))</formula>
    </cfRule>
  </conditionalFormatting>
  <conditionalFormatting sqref="P155:Q155">
    <cfRule type="containsText" dxfId="2" priority="34777" operator="containsText" text="Yes">
      <formula>NOT(ISERROR(SEARCH(("Yes"),(P155))))</formula>
    </cfRule>
  </conditionalFormatting>
  <conditionalFormatting sqref="P155:Q155">
    <cfRule type="containsText" dxfId="2" priority="34778" operator="containsText" text="Yes">
      <formula>NOT(ISERROR(SEARCH(("Yes"),(P155))))</formula>
    </cfRule>
  </conditionalFormatting>
  <conditionalFormatting sqref="P155:Q155">
    <cfRule type="containsText" dxfId="2" priority="34779" operator="containsText" text="Yes">
      <formula>NOT(ISERROR(SEARCH(("Yes"),(P155))))</formula>
    </cfRule>
  </conditionalFormatting>
  <conditionalFormatting sqref="P155:Q155">
    <cfRule type="containsText" dxfId="2" priority="34780" operator="containsText" text="Yes">
      <formula>NOT(ISERROR(SEARCH(("Yes"),(P155))))</formula>
    </cfRule>
  </conditionalFormatting>
  <conditionalFormatting sqref="P155:Q155">
    <cfRule type="containsText" dxfId="2" priority="34781" operator="containsText" text="Yes">
      <formula>NOT(ISERROR(SEARCH(("Yes"),(P155))))</formula>
    </cfRule>
  </conditionalFormatting>
  <conditionalFormatting sqref="P155:Q155">
    <cfRule type="containsText" dxfId="2" priority="34782" operator="containsText" text="Yes">
      <formula>NOT(ISERROR(SEARCH(("Yes"),(P155))))</formula>
    </cfRule>
  </conditionalFormatting>
  <conditionalFormatting sqref="P155:Q155">
    <cfRule type="containsText" dxfId="2" priority="34783" operator="containsText" text="Yes">
      <formula>NOT(ISERROR(SEARCH(("Yes"),(P155))))</formula>
    </cfRule>
  </conditionalFormatting>
  <conditionalFormatting sqref="P155:Q155">
    <cfRule type="containsText" dxfId="2" priority="34784" operator="containsText" text="Yes">
      <formula>NOT(ISERROR(SEARCH(("Yes"),(P155))))</formula>
    </cfRule>
  </conditionalFormatting>
  <conditionalFormatting sqref="P155:Q155">
    <cfRule type="containsText" dxfId="2" priority="34785" operator="containsText" text="Yes">
      <formula>NOT(ISERROR(SEARCH(("Yes"),(P155))))</formula>
    </cfRule>
  </conditionalFormatting>
  <conditionalFormatting sqref="P155:Q155">
    <cfRule type="containsText" dxfId="2" priority="34786" operator="containsText" text="Yes">
      <formula>NOT(ISERROR(SEARCH(("Yes"),(P155))))</formula>
    </cfRule>
  </conditionalFormatting>
  <conditionalFormatting sqref="P155:Q155">
    <cfRule type="containsText" dxfId="2" priority="34787" operator="containsText" text="Yes">
      <formula>NOT(ISERROR(SEARCH(("Yes"),(P155))))</formula>
    </cfRule>
  </conditionalFormatting>
  <conditionalFormatting sqref="P155:Q155">
    <cfRule type="containsText" dxfId="2" priority="34788" operator="containsText" text="Yes">
      <formula>NOT(ISERROR(SEARCH(("Yes"),(P155))))</formula>
    </cfRule>
  </conditionalFormatting>
  <conditionalFormatting sqref="P155:Q155">
    <cfRule type="containsText" dxfId="2" priority="34789" operator="containsText" text="Yes">
      <formula>NOT(ISERROR(SEARCH(("Yes"),(P155))))</formula>
    </cfRule>
  </conditionalFormatting>
  <conditionalFormatting sqref="P155:Q155">
    <cfRule type="containsText" dxfId="2" priority="34790" operator="containsText" text="Yes">
      <formula>NOT(ISERROR(SEARCH(("Yes"),(P155))))</formula>
    </cfRule>
  </conditionalFormatting>
  <conditionalFormatting sqref="P155:Q155">
    <cfRule type="containsText" dxfId="2" priority="34791" operator="containsText" text="Yes">
      <formula>NOT(ISERROR(SEARCH(("Yes"),(P155))))</formula>
    </cfRule>
  </conditionalFormatting>
  <conditionalFormatting sqref="P155:Q155">
    <cfRule type="containsText" dxfId="2" priority="34792" operator="containsText" text="Yes">
      <formula>NOT(ISERROR(SEARCH(("Yes"),(P155))))</formula>
    </cfRule>
  </conditionalFormatting>
  <conditionalFormatting sqref="P155:Q155">
    <cfRule type="containsText" dxfId="2" priority="34793" operator="containsText" text="Yes">
      <formula>NOT(ISERROR(SEARCH(("Yes"),(P155))))</formula>
    </cfRule>
  </conditionalFormatting>
  <conditionalFormatting sqref="P155:Q155">
    <cfRule type="containsText" dxfId="2" priority="34794" operator="containsText" text="Yes">
      <formula>NOT(ISERROR(SEARCH(("Yes"),(P155))))</formula>
    </cfRule>
  </conditionalFormatting>
  <conditionalFormatting sqref="P155:Q155">
    <cfRule type="containsText" dxfId="2" priority="34795" operator="containsText" text="Yes">
      <formula>NOT(ISERROR(SEARCH(("Yes"),(P155))))</formula>
    </cfRule>
  </conditionalFormatting>
  <conditionalFormatting sqref="P155:Q155">
    <cfRule type="containsText" dxfId="2" priority="34796" operator="containsText" text="Yes">
      <formula>NOT(ISERROR(SEARCH(("Yes"),(P155))))</formula>
    </cfRule>
  </conditionalFormatting>
  <conditionalFormatting sqref="P155:Q155">
    <cfRule type="containsText" dxfId="2" priority="34797" operator="containsText" text="Yes">
      <formula>NOT(ISERROR(SEARCH(("Yes"),(P155))))</formula>
    </cfRule>
  </conditionalFormatting>
  <conditionalFormatting sqref="P155:Q155">
    <cfRule type="containsText" dxfId="2" priority="34798" operator="containsText" text="Yes">
      <formula>NOT(ISERROR(SEARCH(("Yes"),(P155))))</formula>
    </cfRule>
  </conditionalFormatting>
  <conditionalFormatting sqref="P155:Q155">
    <cfRule type="containsText" dxfId="2" priority="34799" operator="containsText" text="Yes">
      <formula>NOT(ISERROR(SEARCH(("Yes"),(P155))))</formula>
    </cfRule>
  </conditionalFormatting>
  <conditionalFormatting sqref="P155:Q155">
    <cfRule type="containsText" dxfId="2" priority="34800" operator="containsText" text="Yes">
      <formula>NOT(ISERROR(SEARCH(("Yes"),(P155))))</formula>
    </cfRule>
  </conditionalFormatting>
  <conditionalFormatting sqref="P155:Q155">
    <cfRule type="containsText" dxfId="2" priority="34801" operator="containsText" text="Yes">
      <formula>NOT(ISERROR(SEARCH(("Yes"),(P155))))</formula>
    </cfRule>
  </conditionalFormatting>
  <conditionalFormatting sqref="P155:Q155">
    <cfRule type="containsText" dxfId="2" priority="34802" operator="containsText" text="Yes">
      <formula>NOT(ISERROR(SEARCH(("Yes"),(P155))))</formula>
    </cfRule>
  </conditionalFormatting>
  <conditionalFormatting sqref="P155:Q155">
    <cfRule type="containsText" dxfId="2" priority="34803" operator="containsText" text="Yes">
      <formula>NOT(ISERROR(SEARCH(("Yes"),(P155))))</formula>
    </cfRule>
  </conditionalFormatting>
  <conditionalFormatting sqref="P155:Q155">
    <cfRule type="containsText" dxfId="2" priority="34804" operator="containsText" text="Yes">
      <formula>NOT(ISERROR(SEARCH(("Yes"),(P155))))</formula>
    </cfRule>
  </conditionalFormatting>
  <conditionalFormatting sqref="P155:Q155">
    <cfRule type="containsText" dxfId="2" priority="34805" operator="containsText" text="Yes">
      <formula>NOT(ISERROR(SEARCH(("Yes"),(P155))))</formula>
    </cfRule>
  </conditionalFormatting>
  <conditionalFormatting sqref="P155:Q155">
    <cfRule type="containsText" dxfId="2" priority="34806" operator="containsText" text="Yes">
      <formula>NOT(ISERROR(SEARCH(("Yes"),(P155))))</formula>
    </cfRule>
  </conditionalFormatting>
  <conditionalFormatting sqref="P155:Q155">
    <cfRule type="containsText" dxfId="2" priority="34807" operator="containsText" text="Yes">
      <formula>NOT(ISERROR(SEARCH(("Yes"),(P155))))</formula>
    </cfRule>
  </conditionalFormatting>
  <conditionalFormatting sqref="P155:Q155">
    <cfRule type="containsText" dxfId="2" priority="34808" operator="containsText" text="Yes">
      <formula>NOT(ISERROR(SEARCH(("Yes"),(P155))))</formula>
    </cfRule>
  </conditionalFormatting>
  <conditionalFormatting sqref="P155:Q155">
    <cfRule type="containsText" dxfId="2" priority="34809" operator="containsText" text="Yes">
      <formula>NOT(ISERROR(SEARCH(("Yes"),(P155))))</formula>
    </cfRule>
  </conditionalFormatting>
  <conditionalFormatting sqref="P155:Q155">
    <cfRule type="containsText" dxfId="2" priority="34810" operator="containsText" text="Yes">
      <formula>NOT(ISERROR(SEARCH(("Yes"),(P155))))</formula>
    </cfRule>
  </conditionalFormatting>
  <conditionalFormatting sqref="P156:Q158 P160:Q160 P163:Q163 P168:Q169 P171:Q171 P173:Q173 P175:Q175 P177:Q179 P183:Q183 P185:Q214 U204:V204">
    <cfRule type="containsText" dxfId="9" priority="34811" operator="containsText" text="No">
      <formula>NOT(ISERROR(SEARCH(("No"),(P156))))</formula>
    </cfRule>
  </conditionalFormatting>
  <conditionalFormatting sqref="P156:Q158 P160:Q160 P163:Q163 P168:Q169 P171:Q171 P173:Q173 P175:Q175 P177:Q179 P183:Q183 P185:Q214 U204:V204">
    <cfRule type="containsText" dxfId="9" priority="34812" operator="containsText" text="No">
      <formula>NOT(ISERROR(SEARCH(("No"),(P156))))</formula>
    </cfRule>
  </conditionalFormatting>
  <conditionalFormatting sqref="P156:Q158 P160:Q160 P163:Q163 P168:Q169 P171:Q171 P173:Q173 P175:Q175 P177:Q179 P183:Q183 P185:Q214 U204:V204">
    <cfRule type="containsText" dxfId="9" priority="34813" operator="containsText" text="No">
      <formula>NOT(ISERROR(SEARCH(("No"),(P156))))</formula>
    </cfRule>
  </conditionalFormatting>
  <conditionalFormatting sqref="P156:Q158 P160:Q160 P163:Q163 P168:Q169 P171:Q171 P173:Q173 P175:Q175 P177:Q179 P183:Q183 P185:Q214 U204:V204">
    <cfRule type="containsText" dxfId="9" priority="34814" operator="containsText" text="No">
      <formula>NOT(ISERROR(SEARCH(("No"),(P156))))</formula>
    </cfRule>
  </conditionalFormatting>
  <conditionalFormatting sqref="P156:Q158 P160:Q160 P163:Q163 P168:Q169 P171:Q171 P173:Q173 P175:Q175 P177:Q179 P183:Q183 P185:Q214 U204:V204">
    <cfRule type="containsText" dxfId="9" priority="34815" operator="containsText" text="No">
      <formula>NOT(ISERROR(SEARCH(("No"),(P156))))</formula>
    </cfRule>
  </conditionalFormatting>
  <conditionalFormatting sqref="P156:Q158 P160:Q160 P163:Q163 P168:Q169 P171:Q171 P173:Q173 P175:Q175 P177:Q179 P183:Q183 P185:Q214 U204:V204">
    <cfRule type="containsText" dxfId="9" priority="34816" operator="containsText" text="No">
      <formula>NOT(ISERROR(SEARCH(("No"),(P156))))</formula>
    </cfRule>
  </conditionalFormatting>
  <conditionalFormatting sqref="P156:Q158 P160:Q160 P163:Q163 P168:Q169 P171:Q171 P173:Q173 P175:Q175 P177:Q179 P183:Q183 P185:Q214 U204:V204">
    <cfRule type="containsText" dxfId="9" priority="34817" operator="containsText" text="No">
      <formula>NOT(ISERROR(SEARCH(("No"),(P156))))</formula>
    </cfRule>
  </conditionalFormatting>
  <conditionalFormatting sqref="P156:Q158 P160:Q160 P163:Q163 P168:Q169 P171:Q171 P173:Q173 P175:Q175 P177:Q179 P183:Q183 P185:Q214 U204:V204">
    <cfRule type="containsText" dxfId="9" priority="34818" operator="containsText" text="No">
      <formula>NOT(ISERROR(SEARCH(("No"),(P156))))</formula>
    </cfRule>
  </conditionalFormatting>
  <conditionalFormatting sqref="P156:Q158 P160:Q160 P163:Q163 P168:Q169 P171:Q171 P173:Q173 P175:Q175 P177:Q179 P183:Q183 P185:Q214 U204:V204">
    <cfRule type="containsText" dxfId="9" priority="34819" operator="containsText" text="No">
      <formula>NOT(ISERROR(SEARCH(("No"),(P156))))</formula>
    </cfRule>
  </conditionalFormatting>
  <conditionalFormatting sqref="P156:Q158 P160:Q160 P163:Q163 P168:Q169 P171:Q171 P173:Q173 P175:Q175 P177:Q179 P183:Q183 P185:Q214 U204:V204">
    <cfRule type="containsText" dxfId="9" priority="34820" operator="containsText" text="No">
      <formula>NOT(ISERROR(SEARCH(("No"),(P156))))</formula>
    </cfRule>
  </conditionalFormatting>
  <conditionalFormatting sqref="P156:Q158 P160:Q160 P163:Q163 P168:Q169 P171:Q171 P173:Q173 P175:Q175 P177:Q179 P183:Q183 P185:Q214 U204:V204">
    <cfRule type="containsText" dxfId="9" priority="34821" operator="containsText" text="No">
      <formula>NOT(ISERROR(SEARCH(("No"),(P156))))</formula>
    </cfRule>
  </conditionalFormatting>
  <conditionalFormatting sqref="P156:Q158 P160:Q160 P163:Q163 P168:Q169 P171:Q171 P173:Q173 P175:Q175 P177:Q179 P183:Q183 P185:Q214 U204:V204">
    <cfRule type="containsText" dxfId="9" priority="34822" operator="containsText" text="No">
      <formula>NOT(ISERROR(SEARCH(("No"),(P156))))</formula>
    </cfRule>
  </conditionalFormatting>
  <conditionalFormatting sqref="P156:Q158 P160:Q160 P163:Q163 P168:Q169 P171:Q171 P173:Q173 P175:Q175 P177:Q179 P183:Q183 P185:Q214 U204:V204">
    <cfRule type="containsText" dxfId="9" priority="34823" operator="containsText" text="No">
      <formula>NOT(ISERROR(SEARCH(("No"),(P156))))</formula>
    </cfRule>
  </conditionalFormatting>
  <conditionalFormatting sqref="P156:Q158 P160:Q160 P163:Q163 P168:Q169 P171:Q171 P173:Q173 P175:Q175 P177:Q179 P183:Q183 P185:Q214 U204:V204">
    <cfRule type="containsText" dxfId="9" priority="34824" operator="containsText" text="No">
      <formula>NOT(ISERROR(SEARCH(("No"),(P156))))</formula>
    </cfRule>
  </conditionalFormatting>
  <conditionalFormatting sqref="P156:Q158 P160:Q160 P163:Q163 P168:Q169 P171:Q171 P173:Q173 P175:Q175 P177:Q179 P183:Q183 P185:Q214 U204:V204">
    <cfRule type="containsText" dxfId="9" priority="34825" operator="containsText" text="No">
      <formula>NOT(ISERROR(SEARCH(("No"),(P156))))</formula>
    </cfRule>
  </conditionalFormatting>
  <conditionalFormatting sqref="P156:Q158 P160:Q160 P163:Q163 P168:Q169 P171:Q171 P173:Q173 P175:Q175 P177:Q179 P183:Q183 P185:Q214 U204:V204">
    <cfRule type="containsText" dxfId="9" priority="34826" operator="containsText" text="No">
      <formula>NOT(ISERROR(SEARCH(("No"),(P156))))</formula>
    </cfRule>
  </conditionalFormatting>
  <conditionalFormatting sqref="P156:Q158 P160:Q160 P163:Q163 P168:Q169 P171:Q171 P173:Q173 P175:Q175 P177:Q179 P183:Q183 P185:Q214 U204:V204">
    <cfRule type="containsText" dxfId="9" priority="34827" operator="containsText" text="No">
      <formula>NOT(ISERROR(SEARCH(("No"),(P156))))</formula>
    </cfRule>
  </conditionalFormatting>
  <conditionalFormatting sqref="P156:Q158 P160:Q160 P163:Q163 P168:Q169 P171:Q171 P173:Q173 P175:Q175 P177:Q179 P183:Q183 P185:Q214 U204:V204">
    <cfRule type="containsText" dxfId="9" priority="34828" operator="containsText" text="No">
      <formula>NOT(ISERROR(SEARCH(("No"),(P156))))</formula>
    </cfRule>
  </conditionalFormatting>
  <conditionalFormatting sqref="P156:Q158 P160:Q160 P163:Q163 P168:Q169 P171:Q171 P173:Q173 P175:Q175 P177:Q179 P183:Q183 P185:Q214 U204:V204">
    <cfRule type="containsText" dxfId="9" priority="34829" operator="containsText" text="No">
      <formula>NOT(ISERROR(SEARCH(("No"),(P156))))</formula>
    </cfRule>
  </conditionalFormatting>
  <conditionalFormatting sqref="P156:Q158 P160:Q160 P163:Q163 P168:Q169 P171:Q171 P173:Q173 P175:Q175 P177:Q179 P183:Q183 P185:Q214 U204:V204">
    <cfRule type="containsText" dxfId="9" priority="34830" operator="containsText" text="No">
      <formula>NOT(ISERROR(SEARCH(("No"),(P156))))</formula>
    </cfRule>
  </conditionalFormatting>
  <conditionalFormatting sqref="P156:Q158 P160:Q160 P163:Q163 P168:Q169 P171:Q171 P173:Q173 P175:Q175 P177:Q179 P183:Q183 P185:Q214 U204:V204">
    <cfRule type="containsText" dxfId="9" priority="34831" operator="containsText" text="No">
      <formula>NOT(ISERROR(SEARCH(("No"),(P156))))</formula>
    </cfRule>
  </conditionalFormatting>
  <conditionalFormatting sqref="P156:Q158 P160:Q160 P163:Q163 P168:Q169 P171:Q171 P173:Q173 P175:Q175 P177:Q179 P183:Q183 P185:Q214 U204:V204">
    <cfRule type="containsText" dxfId="9" priority="34832" operator="containsText" text="No">
      <formula>NOT(ISERROR(SEARCH(("No"),(P156))))</formula>
    </cfRule>
  </conditionalFormatting>
  <conditionalFormatting sqref="P156:Q158 P160:Q160 P163:Q163 P168:Q169 P171:Q171 P173:Q173 P175:Q175 P177:Q179 P183:Q183 P185:Q214 U204:V204">
    <cfRule type="containsText" dxfId="9" priority="34833" operator="containsText" text="No">
      <formula>NOT(ISERROR(SEARCH(("No"),(P156))))</formula>
    </cfRule>
  </conditionalFormatting>
  <conditionalFormatting sqref="P156:Q158 P160:Q160 P163:Q163 P168:Q169 P171:Q171 P173:Q173 P175:Q175 P177:Q179 P183:Q183 P185:Q214 U204:V204">
    <cfRule type="containsText" dxfId="9" priority="34834" operator="containsText" text="No">
      <formula>NOT(ISERROR(SEARCH(("No"),(P156))))</formula>
    </cfRule>
  </conditionalFormatting>
  <conditionalFormatting sqref="P156:Q158 P160:Q160 P163:Q163 P168:Q169 P171:Q171 P173:Q173 P175:Q175 P177:Q179 P183:Q183 P185:Q214 U204:V204">
    <cfRule type="containsText" dxfId="9" priority="34835" operator="containsText" text="No">
      <formula>NOT(ISERROR(SEARCH(("No"),(P156))))</formula>
    </cfRule>
  </conditionalFormatting>
  <conditionalFormatting sqref="P156:Q158 P160:Q160 P163:Q163 P168:Q169 P171:Q171 P173:Q173 P175:Q175 P177:Q179 P183:Q183 P185:Q214 U204:V204">
    <cfRule type="containsText" dxfId="9" priority="34836" operator="containsText" text="No">
      <formula>NOT(ISERROR(SEARCH(("No"),(P156))))</formula>
    </cfRule>
  </conditionalFormatting>
  <conditionalFormatting sqref="P156:Q158 P160:Q160 P163:Q163 P168:Q169 P171:Q171 P173:Q173 P175:Q175 P177:Q179 P183:Q183 P185:Q214 U204:V204">
    <cfRule type="containsText" dxfId="9" priority="34837" operator="containsText" text="No">
      <formula>NOT(ISERROR(SEARCH(("No"),(P156))))</formula>
    </cfRule>
  </conditionalFormatting>
  <conditionalFormatting sqref="P156:Q158 P160:Q160 P163:Q163 P168:Q169 P171:Q171 P173:Q173 P175:Q175 P177:Q179 P183:Q183 P185:Q214 U204:V204">
    <cfRule type="containsText" dxfId="9" priority="34838" operator="containsText" text="No">
      <formula>NOT(ISERROR(SEARCH(("No"),(P156))))</formula>
    </cfRule>
  </conditionalFormatting>
  <conditionalFormatting sqref="P156:Q158 P160:Q160 P163:Q163 P168:Q169 P171:Q171 P173:Q173 P175:Q175 P177:Q179 P183:Q183 P185:Q214 U204:V204">
    <cfRule type="containsText" dxfId="9" priority="34839" operator="containsText" text="No">
      <formula>NOT(ISERROR(SEARCH(("No"),(P156))))</formula>
    </cfRule>
  </conditionalFormatting>
  <conditionalFormatting sqref="P156:Q158 P160:Q160 P163:Q163 P168:Q169 P171:Q171 P173:Q173 P175:Q175 P177:Q179 P183:Q183 P185:Q214 U204:V204">
    <cfRule type="containsText" dxfId="9" priority="34840" operator="containsText" text="No">
      <formula>NOT(ISERROR(SEARCH(("No"),(P156))))</formula>
    </cfRule>
  </conditionalFormatting>
  <conditionalFormatting sqref="P156:Q158 P160:Q160 P163:Q163 P168:Q169 P171:Q171 P173:Q173 P175:Q175 P177:Q179 P183:Q183 P185:Q214 U204:V204">
    <cfRule type="containsText" dxfId="9" priority="34841" operator="containsText" text="No">
      <formula>NOT(ISERROR(SEARCH(("No"),(P156))))</formula>
    </cfRule>
  </conditionalFormatting>
  <conditionalFormatting sqref="P156:Q158 P160:Q160 P163:Q163 P168:Q169 P171:Q171 P173:Q173 P175:Q175 P177:Q179 P183:Q183 P185:Q214 U204:V204">
    <cfRule type="containsText" dxfId="9" priority="34842" operator="containsText" text="No">
      <formula>NOT(ISERROR(SEARCH(("No"),(P156))))</formula>
    </cfRule>
  </conditionalFormatting>
  <conditionalFormatting sqref="P156:Q158 P160:Q160 P163:Q163 P168:Q169 P171:Q171 P173:Q173 P175:Q175 P177:Q179 P183:Q183 P185:Q214 U204:V204">
    <cfRule type="containsText" dxfId="9" priority="34843" operator="containsText" text="No">
      <formula>NOT(ISERROR(SEARCH(("No"),(P156))))</formula>
    </cfRule>
  </conditionalFormatting>
  <conditionalFormatting sqref="P156:Q158 P160:Q160 P163:Q163 P168:Q169 P171:Q171 P173:Q173 P175:Q175 P177:Q179 P183:Q183 P185:Q214 U204:V204">
    <cfRule type="containsText" dxfId="9" priority="34844" operator="containsText" text="No">
      <formula>NOT(ISERROR(SEARCH(("No"),(P156))))</formula>
    </cfRule>
  </conditionalFormatting>
  <conditionalFormatting sqref="P156:Q158 P160:Q160 P163:Q163 P168:Q169 P171:Q171 P173:Q173 P175:Q175 P177:Q179 P183:Q183 P185:Q214 U204:V204">
    <cfRule type="containsText" dxfId="9" priority="34845" operator="containsText" text="No">
      <formula>NOT(ISERROR(SEARCH(("No"),(P156))))</formula>
    </cfRule>
  </conditionalFormatting>
  <conditionalFormatting sqref="P156:Q158 P160:Q160 P163:Q163 P168:Q169 P171:Q171 P173:Q173 P175:Q175 P177:Q179 P183:Q183 P185:Q214 U204:V204">
    <cfRule type="containsText" dxfId="9" priority="34846" operator="containsText" text="No">
      <formula>NOT(ISERROR(SEARCH(("No"),(P156))))</formula>
    </cfRule>
  </conditionalFormatting>
  <conditionalFormatting sqref="P156:Q158 P160:Q160 P163:Q163 P168:Q169 P171:Q171 P173:Q173 P175:Q175 P177:Q179 P183:Q183 P185:Q214 U204:V204">
    <cfRule type="containsText" dxfId="9" priority="34847" operator="containsText" text="No">
      <formula>NOT(ISERROR(SEARCH(("No"),(P156))))</formula>
    </cfRule>
  </conditionalFormatting>
  <conditionalFormatting sqref="P156:Q158 P160:Q160 P163:Q163 P168:Q169 P171:Q171 P173:Q173 P175:Q175 P177:Q179 P183:Q183 P185:Q214 U204:V204">
    <cfRule type="containsText" dxfId="9" priority="34848" operator="containsText" text="No">
      <formula>NOT(ISERROR(SEARCH(("No"),(P156))))</formula>
    </cfRule>
  </conditionalFormatting>
  <conditionalFormatting sqref="P156:Q158 P160:Q160 P163:Q163 P168:Q169 P171:Q171 P173:Q173 P175:Q175 P177:Q179 P183:Q183 P185:Q214 U204:V204">
    <cfRule type="containsText" dxfId="9" priority="34849" operator="containsText" text="No">
      <formula>NOT(ISERROR(SEARCH(("No"),(P156))))</formula>
    </cfRule>
  </conditionalFormatting>
  <conditionalFormatting sqref="P156:Q158 P160:Q160 P163:Q163 P168:Q169 P171:Q171 P173:Q173 P175:Q175 P177:Q179 P183:Q183 P185:Q214 U204:V204">
    <cfRule type="containsText" dxfId="9" priority="34850" operator="containsText" text="No">
      <formula>NOT(ISERROR(SEARCH(("No"),(P156))))</formula>
    </cfRule>
  </conditionalFormatting>
  <conditionalFormatting sqref="P156:Q158 P160:Q160 P163:Q163 P168:Q169 P171:Q171 P173:Q173 P175:Q175 P177:Q179 P183:Q183 P185:Q214 U204:V204">
    <cfRule type="containsText" dxfId="9" priority="34851" operator="containsText" text="No">
      <formula>NOT(ISERROR(SEARCH(("No"),(P156))))</formula>
    </cfRule>
  </conditionalFormatting>
  <conditionalFormatting sqref="P156:Q158 P160:Q160 P163:Q163 P168:Q169 P171:Q171 P173:Q173 P175:Q175 P177:Q179 P183:Q183 P185:Q214 U204:V204">
    <cfRule type="containsText" dxfId="9" priority="34852" operator="containsText" text="No">
      <formula>NOT(ISERROR(SEARCH(("No"),(P156))))</formula>
    </cfRule>
  </conditionalFormatting>
  <conditionalFormatting sqref="P156:Q158 P160:Q160 P163:Q163 P168:Q169 P171:Q171 P173:Q173 P175:Q175 P177:Q179 P183:Q183 P185:Q214 U204:V204">
    <cfRule type="containsText" dxfId="9" priority="34853" operator="containsText" text="No">
      <formula>NOT(ISERROR(SEARCH(("No"),(P156))))</formula>
    </cfRule>
  </conditionalFormatting>
  <conditionalFormatting sqref="P156:Q158 P160:Q160 P163:Q163 P168:Q169 P171:Q171 P173:Q173 P175:Q175 P177:Q179 P183:Q183 P185:Q214 U204:V204">
    <cfRule type="containsText" dxfId="9" priority="34854" operator="containsText" text="No">
      <formula>NOT(ISERROR(SEARCH(("No"),(P156))))</formula>
    </cfRule>
  </conditionalFormatting>
  <conditionalFormatting sqref="P156:Q158 P160:Q160 P163:Q163 P168:Q169 P171:Q171 P173:Q173 P175:Q175 P177:Q179 P183:Q183 P185:Q214 U204:V204">
    <cfRule type="containsText" dxfId="9" priority="34855" operator="containsText" text="No">
      <formula>NOT(ISERROR(SEARCH(("No"),(P156))))</formula>
    </cfRule>
  </conditionalFormatting>
  <conditionalFormatting sqref="P156:Q158 P160:Q160 P163:Q163 P168:Q169 P171:Q171 P173:Q173 P175:Q175 P177:Q179 P183:Q183 P185:Q214 U204:V204">
    <cfRule type="containsText" dxfId="2" priority="34856" operator="containsText" text="Yes">
      <formula>NOT(ISERROR(SEARCH(("Yes"),(P156))))</formula>
    </cfRule>
  </conditionalFormatting>
  <conditionalFormatting sqref="P156:Q158 P160:Q160 P163:Q163 P168:Q169 P171:Q171 P173:Q173 P175:Q175 P177:Q179 P183:Q183 P185:Q214 U204:V204">
    <cfRule type="containsText" dxfId="2" priority="34857" operator="containsText" text="Yes">
      <formula>NOT(ISERROR(SEARCH(("Yes"),(P156))))</formula>
    </cfRule>
  </conditionalFormatting>
  <conditionalFormatting sqref="P156:Q158 P160:Q160 P163:Q163 P168:Q169 P171:Q171 P173:Q173 P175:Q175 P177:Q179 P183:Q183 P185:Q214 U204:V204">
    <cfRule type="containsText" dxfId="2" priority="34858" operator="containsText" text="Yes">
      <formula>NOT(ISERROR(SEARCH(("Yes"),(P156))))</formula>
    </cfRule>
  </conditionalFormatting>
  <conditionalFormatting sqref="P156:Q158 P160:Q160 P163:Q163 P168:Q169 P171:Q171 P173:Q173 P175:Q175 P177:Q179 P183:Q183 P185:Q214 U204:V204">
    <cfRule type="containsText" dxfId="2" priority="34859" operator="containsText" text="Yes">
      <formula>NOT(ISERROR(SEARCH(("Yes"),(P156))))</formula>
    </cfRule>
  </conditionalFormatting>
  <conditionalFormatting sqref="P156:Q158 P160:Q160 P163:Q163 P168:Q169 P171:Q171 P173:Q173 P175:Q175 P177:Q179 P183:Q183 P185:Q214 U204:V204">
    <cfRule type="containsText" dxfId="2" priority="34860" operator="containsText" text="Yes">
      <formula>NOT(ISERROR(SEARCH(("Yes"),(P156))))</formula>
    </cfRule>
  </conditionalFormatting>
  <conditionalFormatting sqref="P156:Q158 P160:Q160 P163:Q163 P168:Q169 P171:Q171 P173:Q173 P175:Q175 P177:Q179 P183:Q183 P185:Q214 U204:V204">
    <cfRule type="containsText" dxfId="2" priority="34861" operator="containsText" text="Yes">
      <formula>NOT(ISERROR(SEARCH(("Yes"),(P156))))</formula>
    </cfRule>
  </conditionalFormatting>
  <conditionalFormatting sqref="P156:Q158 P160:Q160 P163:Q163 P168:Q169 P171:Q171 P173:Q173 P175:Q175 P177:Q179 P183:Q183 P185:Q214 U204:V204">
    <cfRule type="containsText" dxfId="2" priority="34862" operator="containsText" text="Yes">
      <formula>NOT(ISERROR(SEARCH(("Yes"),(P156))))</formula>
    </cfRule>
  </conditionalFormatting>
  <conditionalFormatting sqref="P156:Q158 P160:Q160 P163:Q163 P168:Q169 P171:Q171 P173:Q173 P175:Q175 P177:Q179 P183:Q183 P185:Q214 U204:V204">
    <cfRule type="containsText" dxfId="2" priority="34863" operator="containsText" text="Yes">
      <formula>NOT(ISERROR(SEARCH(("Yes"),(P156))))</formula>
    </cfRule>
  </conditionalFormatting>
  <conditionalFormatting sqref="P156:Q158 P160:Q160 P163:Q163 P168:Q169 P171:Q171 P173:Q173 P175:Q175 P177:Q179 P183:Q183 P185:Q214 U204:V204">
    <cfRule type="containsText" dxfId="2" priority="34864" operator="containsText" text="Yes">
      <formula>NOT(ISERROR(SEARCH(("Yes"),(P156))))</formula>
    </cfRule>
  </conditionalFormatting>
  <conditionalFormatting sqref="P156:Q158 P160:Q160 P163:Q163 P168:Q169 P171:Q171 P173:Q173 P175:Q175 P177:Q179 P183:Q183 P185:Q214 U204:V204">
    <cfRule type="containsText" dxfId="2" priority="34865" operator="containsText" text="Yes">
      <formula>NOT(ISERROR(SEARCH(("Yes"),(P156))))</formula>
    </cfRule>
  </conditionalFormatting>
  <conditionalFormatting sqref="P156:Q158 P160:Q160 P163:Q163 P168:Q169 P171:Q171 P173:Q173 P175:Q175 P177:Q179 P183:Q183 P185:Q214 U204:V204">
    <cfRule type="containsText" dxfId="2" priority="34866" operator="containsText" text="Yes">
      <formula>NOT(ISERROR(SEARCH(("Yes"),(P156))))</formula>
    </cfRule>
  </conditionalFormatting>
  <conditionalFormatting sqref="P156:Q158 P160:Q160 P163:Q163 P168:Q169 P171:Q171 P173:Q173 P175:Q175 P177:Q179 P183:Q183 P185:Q214 U204:V204">
    <cfRule type="containsText" dxfId="2" priority="34867" operator="containsText" text="Yes">
      <formula>NOT(ISERROR(SEARCH(("Yes"),(P156))))</formula>
    </cfRule>
  </conditionalFormatting>
  <conditionalFormatting sqref="P156:Q158 P160:Q160 P163:Q163 P168:Q169 P171:Q171 P173:Q173 P175:Q175 P177:Q179 P183:Q183 P185:Q214 U204:V204">
    <cfRule type="containsText" dxfId="2" priority="34868" operator="containsText" text="Yes">
      <formula>NOT(ISERROR(SEARCH(("Yes"),(P156))))</formula>
    </cfRule>
  </conditionalFormatting>
  <conditionalFormatting sqref="P156:Q158 P160:Q160 P163:Q163 P168:Q169 P171:Q171 P173:Q173 P175:Q175 P177:Q179 P183:Q183 P185:Q214 U204:V204">
    <cfRule type="containsText" dxfId="2" priority="34869" operator="containsText" text="Yes">
      <formula>NOT(ISERROR(SEARCH(("Yes"),(P156))))</formula>
    </cfRule>
  </conditionalFormatting>
  <conditionalFormatting sqref="P156:Q158 P160:Q160 P163:Q163 P168:Q169 P171:Q171 P173:Q173 P175:Q175 P177:Q179 P183:Q183 P185:Q214 U204:V204">
    <cfRule type="containsText" dxfId="2" priority="34870" operator="containsText" text="Yes">
      <formula>NOT(ISERROR(SEARCH(("Yes"),(P156))))</formula>
    </cfRule>
  </conditionalFormatting>
  <conditionalFormatting sqref="P156:Q158 P160:Q160 P163:Q163 P168:Q169 P171:Q171 P173:Q173 P175:Q175 P177:Q179 P183:Q183 P185:Q214 U204:V204">
    <cfRule type="containsText" dxfId="2" priority="34871" operator="containsText" text="Yes">
      <formula>NOT(ISERROR(SEARCH(("Yes"),(P156))))</formula>
    </cfRule>
  </conditionalFormatting>
  <conditionalFormatting sqref="P156:Q158 P160:Q160 P163:Q163 P168:Q169 P171:Q171 P173:Q173 P175:Q175 P177:Q179 P183:Q183 P185:Q214 U204:V204">
    <cfRule type="containsText" dxfId="2" priority="34872" operator="containsText" text="Yes">
      <formula>NOT(ISERROR(SEARCH(("Yes"),(P156))))</formula>
    </cfRule>
  </conditionalFormatting>
  <conditionalFormatting sqref="P156:Q158 P160:Q160 P163:Q163 P168:Q169 P171:Q171 P173:Q173 P175:Q175 P177:Q179 P183:Q183 P185:Q214 U204:V204">
    <cfRule type="containsText" dxfId="2" priority="34873" operator="containsText" text="Yes">
      <formula>NOT(ISERROR(SEARCH(("Yes"),(P156))))</formula>
    </cfRule>
  </conditionalFormatting>
  <conditionalFormatting sqref="P156:Q158 P160:Q160 P163:Q163 P168:Q169 P171:Q171 P173:Q173 P175:Q175 P177:Q179 P183:Q183 P185:Q214 U204:V204">
    <cfRule type="containsText" dxfId="2" priority="34874" operator="containsText" text="Yes">
      <formula>NOT(ISERROR(SEARCH(("Yes"),(P156))))</formula>
    </cfRule>
  </conditionalFormatting>
  <conditionalFormatting sqref="P156:Q158 P160:Q160 P163:Q163 P168:Q169 P171:Q171 P173:Q173 P175:Q175 P177:Q179 P183:Q183 P185:Q214 U204:V204">
    <cfRule type="containsText" dxfId="2" priority="34875" operator="containsText" text="Yes">
      <formula>NOT(ISERROR(SEARCH(("Yes"),(P156))))</formula>
    </cfRule>
  </conditionalFormatting>
  <conditionalFormatting sqref="P156:Q158 P160:Q160 P163:Q163 P168:Q169 P171:Q171 P173:Q173 P175:Q175 P177:Q179 P183:Q183 P185:Q214 U204:V204">
    <cfRule type="containsText" dxfId="2" priority="34876" operator="containsText" text="Yes">
      <formula>NOT(ISERROR(SEARCH(("Yes"),(P156))))</formula>
    </cfRule>
  </conditionalFormatting>
  <conditionalFormatting sqref="P156:Q158 P160:Q160 P163:Q163 P168:Q169 P171:Q171 P173:Q173 P175:Q175 P177:Q179 P183:Q183 P185:Q214 U204:V204">
    <cfRule type="containsText" dxfId="2" priority="34877" operator="containsText" text="Yes">
      <formula>NOT(ISERROR(SEARCH(("Yes"),(P156))))</formula>
    </cfRule>
  </conditionalFormatting>
  <conditionalFormatting sqref="P156:Q158 P160:Q160 P163:Q163 P168:Q169 P171:Q171 P173:Q173 P175:Q175 P177:Q179 P183:Q183 P185:Q214 U204:V204">
    <cfRule type="containsText" dxfId="2" priority="34878" operator="containsText" text="Yes">
      <formula>NOT(ISERROR(SEARCH(("Yes"),(P156))))</formula>
    </cfRule>
  </conditionalFormatting>
  <conditionalFormatting sqref="P156:Q158 P160:Q160 P163:Q163 P168:Q169 P171:Q171 P173:Q173 P175:Q175 P177:Q179 P183:Q183 P185:Q214 U204:V204">
    <cfRule type="containsText" dxfId="2" priority="34879" operator="containsText" text="Yes">
      <formula>NOT(ISERROR(SEARCH(("Yes"),(P156))))</formula>
    </cfRule>
  </conditionalFormatting>
  <conditionalFormatting sqref="P156:Q158 P160:Q160 P163:Q163 P168:Q169 P171:Q171 P173:Q173 P175:Q175 P177:Q179 P183:Q183 P185:Q214 U204:V204">
    <cfRule type="containsText" dxfId="2" priority="34880" operator="containsText" text="Yes">
      <formula>NOT(ISERROR(SEARCH(("Yes"),(P156))))</formula>
    </cfRule>
  </conditionalFormatting>
  <conditionalFormatting sqref="P156:Q158 P160:Q160 P163:Q163 P168:Q169 P171:Q171 P173:Q173 P175:Q175 P177:Q179 P183:Q183 P185:Q214 U204:V204">
    <cfRule type="containsText" dxfId="2" priority="34881" operator="containsText" text="Yes">
      <formula>NOT(ISERROR(SEARCH(("Yes"),(P156))))</formula>
    </cfRule>
  </conditionalFormatting>
  <conditionalFormatting sqref="P156:Q158 P160:Q160 P163:Q163 P168:Q169 P171:Q171 P173:Q173 P175:Q175 P177:Q179 P183:Q183 P185:Q214 U204:V204">
    <cfRule type="containsText" dxfId="2" priority="34882" operator="containsText" text="Yes">
      <formula>NOT(ISERROR(SEARCH(("Yes"),(P156))))</formula>
    </cfRule>
  </conditionalFormatting>
  <conditionalFormatting sqref="P156:Q158 P160:Q160 P163:Q163 P168:Q169 P171:Q171 P173:Q173 P175:Q175 P177:Q179 P183:Q183 P185:Q214 U204:V204">
    <cfRule type="containsText" dxfId="2" priority="34883" operator="containsText" text="Yes">
      <formula>NOT(ISERROR(SEARCH(("Yes"),(P156))))</formula>
    </cfRule>
  </conditionalFormatting>
  <conditionalFormatting sqref="P156:Q158 P160:Q160 P163:Q163 P168:Q169 P171:Q171 P173:Q173 P175:Q175 P177:Q179 P183:Q183 P185:Q214 U204:V204">
    <cfRule type="containsText" dxfId="2" priority="34884" operator="containsText" text="Yes">
      <formula>NOT(ISERROR(SEARCH(("Yes"),(P156))))</formula>
    </cfRule>
  </conditionalFormatting>
  <conditionalFormatting sqref="P156:Q158 P160:Q160 P163:Q163 P168:Q169 P171:Q171 P173:Q173 P175:Q175 P177:Q179 P183:Q183 P185:Q214 U204:V204">
    <cfRule type="containsText" dxfId="2" priority="34885" operator="containsText" text="Yes">
      <formula>NOT(ISERROR(SEARCH(("Yes"),(P156))))</formula>
    </cfRule>
  </conditionalFormatting>
  <conditionalFormatting sqref="P156:Q158 P160:Q160 P163:Q163 P168:Q169 P171:Q171 P173:Q173 P175:Q175 P177:Q179 P183:Q183 P185:Q214 U204:V204">
    <cfRule type="containsText" dxfId="2" priority="34886" operator="containsText" text="Yes">
      <formula>NOT(ISERROR(SEARCH(("Yes"),(P156))))</formula>
    </cfRule>
  </conditionalFormatting>
  <conditionalFormatting sqref="P156:Q158 P160:Q160 P163:Q163 P168:Q169 P171:Q171 P173:Q173 P175:Q175 P177:Q179 P183:Q183 P185:Q214 U204:V204">
    <cfRule type="containsText" dxfId="2" priority="34887" operator="containsText" text="Yes">
      <formula>NOT(ISERROR(SEARCH(("Yes"),(P156))))</formula>
    </cfRule>
  </conditionalFormatting>
  <conditionalFormatting sqref="P156:Q158 P160:Q160 P163:Q163 P168:Q169 P171:Q171 P173:Q173 P175:Q175 P177:Q179 P183:Q183 P185:Q214 U204:V204">
    <cfRule type="containsText" dxfId="2" priority="34888" operator="containsText" text="Yes">
      <formula>NOT(ISERROR(SEARCH(("Yes"),(P156))))</formula>
    </cfRule>
  </conditionalFormatting>
  <conditionalFormatting sqref="P156:Q158 P160:Q160 P163:Q163 P168:Q169 P171:Q171 P173:Q173 P175:Q175 P177:Q179 P183:Q183 P185:Q214 U204:V204">
    <cfRule type="containsText" dxfId="2" priority="34889" operator="containsText" text="Yes">
      <formula>NOT(ISERROR(SEARCH(("Yes"),(P156))))</formula>
    </cfRule>
  </conditionalFormatting>
  <conditionalFormatting sqref="P156:Q158 P160:Q160 P163:Q163 P168:Q169 P171:Q171 P173:Q173 P175:Q175 P177:Q179 P183:Q183 P185:Q214 U204:V204">
    <cfRule type="containsText" dxfId="2" priority="34890" operator="containsText" text="Yes">
      <formula>NOT(ISERROR(SEARCH(("Yes"),(P156))))</formula>
    </cfRule>
  </conditionalFormatting>
  <conditionalFormatting sqref="P156:Q158 P160:Q160 P163:Q163 P168:Q169 P171:Q171 P173:Q173 P175:Q175 P177:Q179 P183:Q183 P185:Q214 U204:V204">
    <cfRule type="containsText" dxfId="2" priority="34891" operator="containsText" text="Yes">
      <formula>NOT(ISERROR(SEARCH(("Yes"),(P156))))</formula>
    </cfRule>
  </conditionalFormatting>
  <conditionalFormatting sqref="P156:Q158 P160:Q160 P163:Q163 P168:Q169 P171:Q171 P173:Q173 P175:Q175 P177:Q179 P183:Q183 P185:Q214 U204:V204">
    <cfRule type="containsText" dxfId="2" priority="34892" operator="containsText" text="Yes">
      <formula>NOT(ISERROR(SEARCH(("Yes"),(P156))))</formula>
    </cfRule>
  </conditionalFormatting>
  <conditionalFormatting sqref="P156:Q158 P160:Q160 P163:Q163 P168:Q169 P171:Q171 P173:Q173 P175:Q175 P177:Q179 P183:Q183 P185:Q214 U204:V204">
    <cfRule type="containsText" dxfId="2" priority="34893" operator="containsText" text="Yes">
      <formula>NOT(ISERROR(SEARCH(("Yes"),(P156))))</formula>
    </cfRule>
  </conditionalFormatting>
  <conditionalFormatting sqref="P156:Q158 P160:Q160 P163:Q163 P168:Q169 P171:Q171 P173:Q173 P175:Q175 P177:Q179 P183:Q183 P185:Q214 U204:V204">
    <cfRule type="containsText" dxfId="2" priority="34894" operator="containsText" text="Yes">
      <formula>NOT(ISERROR(SEARCH(("Yes"),(P156))))</formula>
    </cfRule>
  </conditionalFormatting>
  <conditionalFormatting sqref="P156:Q158 P160:Q160 P163:Q163 P168:Q169 P171:Q171 P173:Q173 P175:Q175 P177:Q179 P183:Q183 P185:Q214 U204:V204">
    <cfRule type="containsText" dxfId="2" priority="34895" operator="containsText" text="Yes">
      <formula>NOT(ISERROR(SEARCH(("Yes"),(P156))))</formula>
    </cfRule>
  </conditionalFormatting>
  <conditionalFormatting sqref="P156:Q158 P160:Q160 P163:Q163 P168:Q169 P171:Q171 P173:Q173 P175:Q175 P177:Q179 P183:Q183 P185:Q214 U204:V204">
    <cfRule type="containsText" dxfId="2" priority="34896" operator="containsText" text="Yes">
      <formula>NOT(ISERROR(SEARCH(("Yes"),(P156))))</formula>
    </cfRule>
  </conditionalFormatting>
  <conditionalFormatting sqref="P156:Q158 P160:Q160 P163:Q163 P168:Q169 P171:Q171 P173:Q173 P175:Q175 P177:Q179 P183:Q183 P185:Q214 U204:V204">
    <cfRule type="containsText" dxfId="2" priority="34897" operator="containsText" text="Yes">
      <formula>NOT(ISERROR(SEARCH(("Yes"),(P156))))</formula>
    </cfRule>
  </conditionalFormatting>
  <conditionalFormatting sqref="P156:Q158 P160:Q160 P163:Q163 P168:Q169 P171:Q171 P173:Q173 P175:Q175 P177:Q179 P183:Q183 P185:Q214 U204:V204">
    <cfRule type="containsText" dxfId="2" priority="34898" operator="containsText" text="Yes">
      <formula>NOT(ISERROR(SEARCH(("Yes"),(P156))))</formula>
    </cfRule>
  </conditionalFormatting>
  <conditionalFormatting sqref="P156:Q158 P160:Q160 P163:Q163 P168:Q169 P171:Q171 P173:Q173 P175:Q175 P177:Q179 P183:Q183 P185:Q214 U204:V204">
    <cfRule type="containsText" dxfId="2" priority="34899" operator="containsText" text="Yes">
      <formula>NOT(ISERROR(SEARCH(("Yes"),(P156))))</formula>
    </cfRule>
  </conditionalFormatting>
  <conditionalFormatting sqref="P156:Q158 P160:Q160 P163:Q163 P168:Q169 P171:Q171 P173:Q173 P175:Q175 P177:Q179 P183:Q183 P185:Q214 U204:V204">
    <cfRule type="containsText" dxfId="2" priority="34900" operator="containsText" text="Yes">
      <formula>NOT(ISERROR(SEARCH(("Yes"),(P156))))</formula>
    </cfRule>
  </conditionalFormatting>
  <conditionalFormatting sqref="P156:Q158 P160:Q160 P163:Q163 P168:Q169 P171:Q171 P173:Q173 P175:Q175 P177:Q179 P183:Q183 P185:Q214 U204:V204">
    <cfRule type="containsText" dxfId="2" priority="34901" operator="containsText" text="Yes">
      <formula>NOT(ISERROR(SEARCH(("Yes"),(P156))))</formula>
    </cfRule>
  </conditionalFormatting>
  <conditionalFormatting sqref="P156:Q158 P160:Q160 P163:Q163 P168:Q169 P171:Q171 P173:Q173 P175:Q175 P177:Q179 P183:Q183 P185:Q214 U204:V204">
    <cfRule type="containsText" dxfId="2" priority="34902" operator="containsText" text="Yes">
      <formula>NOT(ISERROR(SEARCH(("Yes"),(P156))))</formula>
    </cfRule>
  </conditionalFormatting>
  <conditionalFormatting sqref="P157:Q158 P160:Q160 P163:Q163 P168:Q169 P171:Q171 P173:Q173 P175:Q175 P177:Q179 P183:Q183 P185:Q214 U204:V204">
    <cfRule type="containsText" dxfId="9" priority="34903" operator="containsText" text="No">
      <formula>NOT(ISERROR(SEARCH(("No"),(P157))))</formula>
    </cfRule>
  </conditionalFormatting>
  <conditionalFormatting sqref="P157:Q158 P160:Q160 P163:Q163 P168:Q169 P171:Q171 P173:Q173 P175:Q175 P177:Q179 P183:Q183 P185:Q214 U204:V204">
    <cfRule type="containsText" dxfId="9" priority="34904" operator="containsText" text="No">
      <formula>NOT(ISERROR(SEARCH(("No"),(P157))))</formula>
    </cfRule>
  </conditionalFormatting>
  <conditionalFormatting sqref="P157:Q158 P160:Q160 P163:Q163 P168:Q169 P171:Q171 P173:Q173 P175:Q175 P177:Q179 P183:Q183 P185:Q214 U204:V204">
    <cfRule type="containsText" dxfId="9" priority="34905" operator="containsText" text="No">
      <formula>NOT(ISERROR(SEARCH(("No"),(P157))))</formula>
    </cfRule>
  </conditionalFormatting>
  <conditionalFormatting sqref="P157:Q158 P160:Q160 P163:Q163 P168:Q169 P171:Q171 P173:Q173 P175:Q175 P177:Q179 P183:Q183 P185:Q214 U204:V204">
    <cfRule type="containsText" dxfId="9" priority="34906" operator="containsText" text="No">
      <formula>NOT(ISERROR(SEARCH(("No"),(P157))))</formula>
    </cfRule>
  </conditionalFormatting>
  <conditionalFormatting sqref="P157:Q158 P160:Q160 P163:Q163 P168:Q169 P171:Q171 P173:Q173 P175:Q175 P177:Q179 P183:Q183 P185:Q214 U204:V204">
    <cfRule type="containsText" dxfId="9" priority="34907" operator="containsText" text="No">
      <formula>NOT(ISERROR(SEARCH(("No"),(P157))))</formula>
    </cfRule>
  </conditionalFormatting>
  <conditionalFormatting sqref="P157:Q158 P160:Q160 P163:Q163 P168:Q169 P171:Q171 P173:Q173 P175:Q175 P177:Q179 P183:Q183 P185:Q214 U204:V204">
    <cfRule type="containsText" dxfId="9" priority="34908" operator="containsText" text="No">
      <formula>NOT(ISERROR(SEARCH(("No"),(P157))))</formula>
    </cfRule>
  </conditionalFormatting>
  <conditionalFormatting sqref="P157:Q158 P160:Q160 P163:Q163 P168:Q169 P171:Q171 P173:Q173 P175:Q175 P177:Q179 P183:Q183 P185:Q214 U204:V204">
    <cfRule type="containsText" dxfId="9" priority="34909" operator="containsText" text="No">
      <formula>NOT(ISERROR(SEARCH(("No"),(P157))))</formula>
    </cfRule>
  </conditionalFormatting>
  <conditionalFormatting sqref="P157:Q158 P160:Q160 P163:Q163 P168:Q169 P171:Q171 P173:Q173 P175:Q175 P177:Q179 P183:Q183 P185:Q214 U204:V204">
    <cfRule type="containsText" dxfId="9" priority="34910" operator="containsText" text="No">
      <formula>NOT(ISERROR(SEARCH(("No"),(P157))))</formula>
    </cfRule>
  </conditionalFormatting>
  <conditionalFormatting sqref="P157:Q158 P160:Q160 P163:Q163 P168:Q169 P171:Q171 P173:Q173 P175:Q175 P177:Q179 P183:Q183 P185:Q214 U204:V204">
    <cfRule type="containsText" dxfId="9" priority="34911" operator="containsText" text="No">
      <formula>NOT(ISERROR(SEARCH(("No"),(P157))))</formula>
    </cfRule>
  </conditionalFormatting>
  <conditionalFormatting sqref="P157:Q158 P160:Q160 P163:Q163 P168:Q169 P171:Q171 P173:Q173 P175:Q175 P177:Q179 P183:Q183 P185:Q214 U204:V204">
    <cfRule type="containsText" dxfId="9" priority="34912" operator="containsText" text="No">
      <formula>NOT(ISERROR(SEARCH(("No"),(P157))))</formula>
    </cfRule>
  </conditionalFormatting>
  <conditionalFormatting sqref="P157:Q158 P160:Q160 P163:Q163 P168:Q169 P171:Q171 P173:Q173 P175:Q175 P177:Q179 P183:Q183 P185:Q214 U204:V204">
    <cfRule type="containsText" dxfId="9" priority="34913" operator="containsText" text="No">
      <formula>NOT(ISERROR(SEARCH(("No"),(P157))))</formula>
    </cfRule>
  </conditionalFormatting>
  <conditionalFormatting sqref="P157:Q158 P160:Q160 P163:Q163 P168:Q169 P171:Q171 P173:Q173 P175:Q175 P177:Q179 P183:Q183 P185:Q214 U204:V204">
    <cfRule type="containsText" dxfId="9" priority="34914" operator="containsText" text="No">
      <formula>NOT(ISERROR(SEARCH(("No"),(P157))))</formula>
    </cfRule>
  </conditionalFormatting>
  <conditionalFormatting sqref="P157:Q158 P160:Q160 P163:Q163 P168:Q169 P171:Q171 P173:Q173 P175:Q175 P177:Q179 P183:Q183 P185:Q214 U204:V204">
    <cfRule type="containsText" dxfId="9" priority="34915" operator="containsText" text="No">
      <formula>NOT(ISERROR(SEARCH(("No"),(P157))))</formula>
    </cfRule>
  </conditionalFormatting>
  <conditionalFormatting sqref="P157:Q158 P160:Q160 P163:Q163 P168:Q169 P171:Q171 P173:Q173 P175:Q175 P177:Q179 P183:Q183 P185:Q214 U204:V204">
    <cfRule type="containsText" dxfId="9" priority="34916" operator="containsText" text="No">
      <formula>NOT(ISERROR(SEARCH(("No"),(P157))))</formula>
    </cfRule>
  </conditionalFormatting>
  <conditionalFormatting sqref="P157:Q158 P160:Q160 P163:Q163 P168:Q169 P171:Q171 P173:Q173 P175:Q175 P177:Q179 P183:Q183 P185:Q214 U204:V204">
    <cfRule type="containsText" dxfId="9" priority="34917" operator="containsText" text="No">
      <formula>NOT(ISERROR(SEARCH(("No"),(P157))))</formula>
    </cfRule>
  </conditionalFormatting>
  <conditionalFormatting sqref="P157:Q158 P160:Q160 P163:Q163 P168:Q169 P171:Q171 P173:Q173 P175:Q175 P177:Q179 P183:Q183 P185:Q214 U204:V204">
    <cfRule type="containsText" dxfId="9" priority="34918" operator="containsText" text="No">
      <formula>NOT(ISERROR(SEARCH(("No"),(P157))))</formula>
    </cfRule>
  </conditionalFormatting>
  <conditionalFormatting sqref="P157:Q158 P160:Q160 P163:Q163 P168:Q169 P171:Q171 P173:Q173 P175:Q175 P177:Q179 P183:Q183 P185:Q214 U204:V204">
    <cfRule type="containsText" dxfId="9" priority="34919" operator="containsText" text="No">
      <formula>NOT(ISERROR(SEARCH(("No"),(P157))))</formula>
    </cfRule>
  </conditionalFormatting>
  <conditionalFormatting sqref="P157:Q158 P160:Q160 P163:Q163 P168:Q169 P171:Q171 P173:Q173 P175:Q175 P177:Q179 P183:Q183 P185:Q214 U204:V204">
    <cfRule type="containsText" dxfId="9" priority="34920" operator="containsText" text="No">
      <formula>NOT(ISERROR(SEARCH(("No"),(P157))))</formula>
    </cfRule>
  </conditionalFormatting>
  <conditionalFormatting sqref="P157:Q158 P160:Q160 P163:Q163 P168:Q169 P171:Q171 P173:Q173 P175:Q175 P177:Q179 P183:Q183 P185:Q214 U204:V204">
    <cfRule type="containsText" dxfId="9" priority="34921" operator="containsText" text="No">
      <formula>NOT(ISERROR(SEARCH(("No"),(P157))))</formula>
    </cfRule>
  </conditionalFormatting>
  <conditionalFormatting sqref="P157:Q158 P160:Q160 P163:Q163 P168:Q169 P171:Q171 P173:Q173 P175:Q175 P177:Q179 P183:Q183 P185:Q214 U204:V204">
    <cfRule type="containsText" dxfId="9" priority="34922" operator="containsText" text="No">
      <formula>NOT(ISERROR(SEARCH(("No"),(P157))))</formula>
    </cfRule>
  </conditionalFormatting>
  <conditionalFormatting sqref="P157:Q158 P160:Q160 P163:Q163 P168:Q169 P171:Q171 P173:Q173 P175:Q175 P177:Q179 P183:Q183 P185:Q214 U204:V204">
    <cfRule type="containsText" dxfId="9" priority="34923" operator="containsText" text="No">
      <formula>NOT(ISERROR(SEARCH(("No"),(P157))))</formula>
    </cfRule>
  </conditionalFormatting>
  <conditionalFormatting sqref="P157:Q158 P160:Q160 P163:Q163 P168:Q169 P171:Q171 P173:Q173 P175:Q175 P177:Q179 P183:Q183 P185:Q214 U204:V204">
    <cfRule type="containsText" dxfId="9" priority="34924" operator="containsText" text="No">
      <formula>NOT(ISERROR(SEARCH(("No"),(P157))))</formula>
    </cfRule>
  </conditionalFormatting>
  <conditionalFormatting sqref="P157:Q158 P160:Q160 P163:Q163 P168:Q169 P171:Q171 P173:Q173 P175:Q175 P177:Q179 P183:Q183 P185:Q214 U204:V204">
    <cfRule type="containsText" dxfId="9" priority="34925" operator="containsText" text="No">
      <formula>NOT(ISERROR(SEARCH(("No"),(P157))))</formula>
    </cfRule>
  </conditionalFormatting>
  <conditionalFormatting sqref="P157:Q158 P160:Q160 P163:Q163 P168:Q169 P171:Q171 P173:Q173 P175:Q175 P177:Q179 P183:Q183 P185:Q214 U204:V204">
    <cfRule type="containsText" dxfId="9" priority="34926" operator="containsText" text="No">
      <formula>NOT(ISERROR(SEARCH(("No"),(P157))))</formula>
    </cfRule>
  </conditionalFormatting>
  <conditionalFormatting sqref="P157:Q158 P160:Q160 P163:Q163 P168:Q169 P171:Q171 P173:Q173 P175:Q175 P177:Q179 P183:Q183 P185:Q214 U204:V204">
    <cfRule type="containsText" dxfId="9" priority="34927" operator="containsText" text="No">
      <formula>NOT(ISERROR(SEARCH(("No"),(P157))))</formula>
    </cfRule>
  </conditionalFormatting>
  <conditionalFormatting sqref="P157:Q158 P160:Q160 P163:Q163 P168:Q169 P171:Q171 P173:Q173 P175:Q175 P177:Q179 P183:Q183 P185:Q214 U204:V204">
    <cfRule type="containsText" dxfId="9" priority="34928" operator="containsText" text="No">
      <formula>NOT(ISERROR(SEARCH(("No"),(P157))))</formula>
    </cfRule>
  </conditionalFormatting>
  <conditionalFormatting sqref="P157:Q158 P160:Q160 P163:Q163 P168:Q169 P171:Q171 P173:Q173 P175:Q175 P177:Q179 P183:Q183 P185:Q214 U204:V204">
    <cfRule type="containsText" dxfId="9" priority="34929" operator="containsText" text="No">
      <formula>NOT(ISERROR(SEARCH(("No"),(P157))))</formula>
    </cfRule>
  </conditionalFormatting>
  <conditionalFormatting sqref="P157:Q158 P160:Q160 P163:Q163 P168:Q169 P171:Q171 P173:Q173 P175:Q175 P177:Q179 P183:Q183 P185:Q214 U204:V204">
    <cfRule type="containsText" dxfId="9" priority="34930" operator="containsText" text="No">
      <formula>NOT(ISERROR(SEARCH(("No"),(P157))))</formula>
    </cfRule>
  </conditionalFormatting>
  <conditionalFormatting sqref="P157:Q158 P160:Q160 P163:Q163 P168:Q169 P171:Q171 P173:Q173 P175:Q175 P177:Q179 P183:Q183 P185:Q214 U204:V204">
    <cfRule type="containsText" dxfId="9" priority="34931" operator="containsText" text="No">
      <formula>NOT(ISERROR(SEARCH(("No"),(P157))))</formula>
    </cfRule>
  </conditionalFormatting>
  <conditionalFormatting sqref="P157:Q158 P160:Q160 P163:Q163 P168:Q169 P171:Q171 P173:Q173 P175:Q175 P177:Q179 P183:Q183 P185:Q214 U204:V204">
    <cfRule type="containsText" dxfId="9" priority="34932" operator="containsText" text="No">
      <formula>NOT(ISERROR(SEARCH(("No"),(P157))))</formula>
    </cfRule>
  </conditionalFormatting>
  <conditionalFormatting sqref="P157:Q158 P160:Q160 P163:Q163 P168:Q169 P171:Q171 P173:Q173 P175:Q175 P177:Q179 P183:Q183 P185:Q214 U204:V204">
    <cfRule type="containsText" dxfId="9" priority="34933" operator="containsText" text="No">
      <formula>NOT(ISERROR(SEARCH(("No"),(P157))))</formula>
    </cfRule>
  </conditionalFormatting>
  <conditionalFormatting sqref="P157:Q158 P160:Q160 P163:Q163 P168:Q169 P171:Q171 P173:Q173 P175:Q175 P177:Q179 P183:Q183 P185:Q214 U204:V204">
    <cfRule type="containsText" dxfId="9" priority="34934" operator="containsText" text="No">
      <formula>NOT(ISERROR(SEARCH(("No"),(P157))))</formula>
    </cfRule>
  </conditionalFormatting>
  <conditionalFormatting sqref="P157:Q158 P160:Q160 P163:Q163 P168:Q169 P171:Q171 P173:Q173 P175:Q175 P177:Q179 P183:Q183 P185:Q214 U204:V204">
    <cfRule type="containsText" dxfId="9" priority="34935" operator="containsText" text="No">
      <formula>NOT(ISERROR(SEARCH(("No"),(P157))))</formula>
    </cfRule>
  </conditionalFormatting>
  <conditionalFormatting sqref="P157:Q158 P160:Q160 P163:Q163 P168:Q169 P171:Q171 P173:Q173 P175:Q175 P177:Q179 P183:Q183 P185:Q214 U204:V204">
    <cfRule type="containsText" dxfId="9" priority="34936" operator="containsText" text="No">
      <formula>NOT(ISERROR(SEARCH(("No"),(P157))))</formula>
    </cfRule>
  </conditionalFormatting>
  <conditionalFormatting sqref="P157:Q158 P160:Q160 P163:Q163 P168:Q169 P171:Q171 P173:Q173 P175:Q175 P177:Q179 P183:Q183 P185:Q214 U204:V204">
    <cfRule type="containsText" dxfId="9" priority="34937" operator="containsText" text="No">
      <formula>NOT(ISERROR(SEARCH(("No"),(P157))))</formula>
    </cfRule>
  </conditionalFormatting>
  <conditionalFormatting sqref="P157:Q158 P160:Q160 P163:Q163 P168:Q169 P171:Q171 P173:Q173 P175:Q175 P177:Q179 P183:Q183 P185:Q214 U204:V204">
    <cfRule type="containsText" dxfId="9" priority="34938" operator="containsText" text="No">
      <formula>NOT(ISERROR(SEARCH(("No"),(P157))))</formula>
    </cfRule>
  </conditionalFormatting>
  <conditionalFormatting sqref="P157:Q158 P160:Q160 P163:Q163 P168:Q169 P171:Q171 P173:Q173 P175:Q175 P177:Q179 P183:Q183 P185:Q214 U204:V204">
    <cfRule type="containsText" dxfId="9" priority="34939" operator="containsText" text="No">
      <formula>NOT(ISERROR(SEARCH(("No"),(P157))))</formula>
    </cfRule>
  </conditionalFormatting>
  <conditionalFormatting sqref="P157:Q158 P160:Q160 P163:Q163 P168:Q169 P171:Q171 P173:Q173 P175:Q175 P177:Q179 P183:Q183 P185:Q214 U204:V204">
    <cfRule type="containsText" dxfId="9" priority="34940" operator="containsText" text="No">
      <formula>NOT(ISERROR(SEARCH(("No"),(P157))))</formula>
    </cfRule>
  </conditionalFormatting>
  <conditionalFormatting sqref="P157:Q158 P160:Q160 P163:Q163 P168:Q169 P171:Q171 P173:Q173 P175:Q175 P177:Q179 P183:Q183 P185:Q214 U204:V204">
    <cfRule type="containsText" dxfId="9" priority="34941" operator="containsText" text="No">
      <formula>NOT(ISERROR(SEARCH(("No"),(P157))))</formula>
    </cfRule>
  </conditionalFormatting>
  <conditionalFormatting sqref="P157:Q158 P160:Q160 P163:Q163 P168:Q169 P171:Q171 P173:Q173 P175:Q175 P177:Q179 P183:Q183 P185:Q214 U204:V204">
    <cfRule type="containsText" dxfId="9" priority="34942" operator="containsText" text="No">
      <formula>NOT(ISERROR(SEARCH(("No"),(P157))))</formula>
    </cfRule>
  </conditionalFormatting>
  <conditionalFormatting sqref="P157:Q158 P160:Q160 P163:Q163 P168:Q169 P171:Q171 P173:Q173 P175:Q175 P177:Q179 P183:Q183 P185:Q214 U204:V204">
    <cfRule type="containsText" dxfId="9" priority="34943" operator="containsText" text="No">
      <formula>NOT(ISERROR(SEARCH(("No"),(P157))))</formula>
    </cfRule>
  </conditionalFormatting>
  <conditionalFormatting sqref="P157:Q158 P160:Q160 P163:Q163 P168:Q169 P171:Q171 P173:Q173 P175:Q175 P177:Q179 P183:Q183 P185:Q214 U204:V204">
    <cfRule type="containsText" dxfId="9" priority="34944" operator="containsText" text="No">
      <formula>NOT(ISERROR(SEARCH(("No"),(P157))))</formula>
    </cfRule>
  </conditionalFormatting>
  <conditionalFormatting sqref="P157:Q158 P160:Q160 P163:Q163 P168:Q169 P171:Q171 P173:Q173 P175:Q175 P177:Q179 P183:Q183 P185:Q214 U204:V204">
    <cfRule type="containsText" dxfId="9" priority="34945" operator="containsText" text="No">
      <formula>NOT(ISERROR(SEARCH(("No"),(P157))))</formula>
    </cfRule>
  </conditionalFormatting>
  <conditionalFormatting sqref="P157:Q158 P160:Q160 P163:Q163 P168:Q169 P171:Q171 P173:Q173 P175:Q175 P177:Q179 P183:Q183 P185:Q214 U204:V204">
    <cfRule type="containsText" dxfId="9" priority="34946" operator="containsText" text="No">
      <formula>NOT(ISERROR(SEARCH(("No"),(P157))))</formula>
    </cfRule>
  </conditionalFormatting>
  <conditionalFormatting sqref="P157:Q158 P160:Q160 P163:Q163 P168:Q169 P171:Q171 P173:Q173 P175:Q175 P177:Q179 P183:Q183 P185:Q214 U204:V204">
    <cfRule type="containsText" dxfId="9" priority="34947" operator="containsText" text="No">
      <formula>NOT(ISERROR(SEARCH(("No"),(P157))))</formula>
    </cfRule>
  </conditionalFormatting>
  <conditionalFormatting sqref="P157:Q158 P160:Q160 P163:Q163 P168:Q169 P171:Q171 P173:Q173 P175:Q175 P177:Q179 P183:Q183 P185:Q214 U204:V204">
    <cfRule type="containsText" dxfId="2" priority="34948" operator="containsText" text="Yes">
      <formula>NOT(ISERROR(SEARCH(("Yes"),(P157))))</formula>
    </cfRule>
  </conditionalFormatting>
  <conditionalFormatting sqref="P157:Q158 P160:Q160 P163:Q163 P168:Q169 P171:Q171 P173:Q173 P175:Q175 P177:Q179 P183:Q183 P185:Q214 U204:V204">
    <cfRule type="containsText" dxfId="2" priority="34949" operator="containsText" text="Yes">
      <formula>NOT(ISERROR(SEARCH(("Yes"),(P157))))</formula>
    </cfRule>
  </conditionalFormatting>
  <conditionalFormatting sqref="P157:Q158 P160:Q160 P163:Q163 P168:Q169 P171:Q171 P173:Q173 P175:Q175 P177:Q179 P183:Q183 P185:Q214 U204:V204">
    <cfRule type="containsText" dxfId="2" priority="34950" operator="containsText" text="Yes">
      <formula>NOT(ISERROR(SEARCH(("Yes"),(P157))))</formula>
    </cfRule>
  </conditionalFormatting>
  <conditionalFormatting sqref="P157:Q158 P160:Q160 P163:Q163 P168:Q169 P171:Q171 P173:Q173 P175:Q175 P177:Q179 P183:Q183 P185:Q214 U204:V204">
    <cfRule type="containsText" dxfId="2" priority="34951" operator="containsText" text="Yes">
      <formula>NOT(ISERROR(SEARCH(("Yes"),(P157))))</formula>
    </cfRule>
  </conditionalFormatting>
  <conditionalFormatting sqref="P157:Q158 P160:Q160 P163:Q163 P168:Q169 P171:Q171 P173:Q173 P175:Q175 P177:Q179 P183:Q183 P185:Q214 U204:V204">
    <cfRule type="containsText" dxfId="2" priority="34952" operator="containsText" text="Yes">
      <formula>NOT(ISERROR(SEARCH(("Yes"),(P157))))</formula>
    </cfRule>
  </conditionalFormatting>
  <conditionalFormatting sqref="P157:Q158 P160:Q160 P163:Q163 P168:Q169 P171:Q171 P173:Q173 P175:Q175 P177:Q179 P183:Q183 P185:Q214 U204:V204">
    <cfRule type="containsText" dxfId="2" priority="34953" operator="containsText" text="Yes">
      <formula>NOT(ISERROR(SEARCH(("Yes"),(P157))))</formula>
    </cfRule>
  </conditionalFormatting>
  <conditionalFormatting sqref="P157:Q158 P160:Q160 P163:Q163 P168:Q169 P171:Q171 P173:Q173 P175:Q175 P177:Q179 P183:Q183 P185:Q214 U204:V204">
    <cfRule type="containsText" dxfId="2" priority="34954" operator="containsText" text="Yes">
      <formula>NOT(ISERROR(SEARCH(("Yes"),(P157))))</formula>
    </cfRule>
  </conditionalFormatting>
  <conditionalFormatting sqref="P157:Q158 P160:Q160 P163:Q163 P168:Q169 P171:Q171 P173:Q173 P175:Q175 P177:Q179 P183:Q183 P185:Q214 U204:V204">
    <cfRule type="containsText" dxfId="2" priority="34955" operator="containsText" text="Yes">
      <formula>NOT(ISERROR(SEARCH(("Yes"),(P157))))</formula>
    </cfRule>
  </conditionalFormatting>
  <conditionalFormatting sqref="P157:Q158 P160:Q160 P163:Q163 P168:Q169 P171:Q171 P173:Q173 P175:Q175 P177:Q179 P183:Q183 P185:Q214 U204:V204">
    <cfRule type="containsText" dxfId="2" priority="34956" operator="containsText" text="Yes">
      <formula>NOT(ISERROR(SEARCH(("Yes"),(P157))))</formula>
    </cfRule>
  </conditionalFormatting>
  <conditionalFormatting sqref="P157:Q158 P160:Q160 P163:Q163 P168:Q169 P171:Q171 P173:Q173 P175:Q175 P177:Q179 P183:Q183 P185:Q214 U204:V204">
    <cfRule type="containsText" dxfId="2" priority="34957" operator="containsText" text="Yes">
      <formula>NOT(ISERROR(SEARCH(("Yes"),(P157))))</formula>
    </cfRule>
  </conditionalFormatting>
  <conditionalFormatting sqref="P157:Q158 P160:Q160 P163:Q163 P168:Q169 P171:Q171 P173:Q173 P175:Q175 P177:Q179 P183:Q183 P185:Q214 U204:V204">
    <cfRule type="containsText" dxfId="2" priority="34958" operator="containsText" text="Yes">
      <formula>NOT(ISERROR(SEARCH(("Yes"),(P157))))</formula>
    </cfRule>
  </conditionalFormatting>
  <conditionalFormatting sqref="P157:Q158 P160:Q160 P163:Q163 P168:Q169 P171:Q171 P173:Q173 P175:Q175 P177:Q179 P183:Q183 P185:Q214 U204:V204">
    <cfRule type="containsText" dxfId="2" priority="34959" operator="containsText" text="Yes">
      <formula>NOT(ISERROR(SEARCH(("Yes"),(P157))))</formula>
    </cfRule>
  </conditionalFormatting>
  <conditionalFormatting sqref="P157:Q158 P160:Q160 P163:Q163 P168:Q169 P171:Q171 P173:Q173 P175:Q175 P177:Q179 P183:Q183 P185:Q214 U204:V204">
    <cfRule type="containsText" dxfId="2" priority="34960" operator="containsText" text="Yes">
      <formula>NOT(ISERROR(SEARCH(("Yes"),(P157))))</formula>
    </cfRule>
  </conditionalFormatting>
  <conditionalFormatting sqref="P157:Q158 P160:Q160 P163:Q163 P168:Q169 P171:Q171 P173:Q173 P175:Q175 P177:Q179 P183:Q183 P185:Q214 U204:V204">
    <cfRule type="containsText" dxfId="2" priority="34961" operator="containsText" text="Yes">
      <formula>NOT(ISERROR(SEARCH(("Yes"),(P157))))</formula>
    </cfRule>
  </conditionalFormatting>
  <conditionalFormatting sqref="P157:Q158 P160:Q160 P163:Q163 P168:Q169 P171:Q171 P173:Q173 P175:Q175 P177:Q179 P183:Q183 P185:Q214 U204:V204">
    <cfRule type="containsText" dxfId="2" priority="34962" operator="containsText" text="Yes">
      <formula>NOT(ISERROR(SEARCH(("Yes"),(P157))))</formula>
    </cfRule>
  </conditionalFormatting>
  <conditionalFormatting sqref="P157:Q158 P160:Q160 P163:Q163 P168:Q169 P171:Q171 P173:Q173 P175:Q175 P177:Q179 P183:Q183 P185:Q214 U204:V204">
    <cfRule type="containsText" dxfId="2" priority="34963" operator="containsText" text="Yes">
      <formula>NOT(ISERROR(SEARCH(("Yes"),(P157))))</formula>
    </cfRule>
  </conditionalFormatting>
  <conditionalFormatting sqref="P157:Q158 P160:Q160 P163:Q163 P168:Q169 P171:Q171 P173:Q173 P175:Q175 P177:Q179 P183:Q183 P185:Q214 U204:V204">
    <cfRule type="containsText" dxfId="2" priority="34964" operator="containsText" text="Yes">
      <formula>NOT(ISERROR(SEARCH(("Yes"),(P157))))</formula>
    </cfRule>
  </conditionalFormatting>
  <conditionalFormatting sqref="P157:Q158 P160:Q160 P163:Q163 P168:Q169 P171:Q171 P173:Q173 P175:Q175 P177:Q179 P183:Q183 P185:Q214 U204:V204">
    <cfRule type="containsText" dxfId="2" priority="34965" operator="containsText" text="Yes">
      <formula>NOT(ISERROR(SEARCH(("Yes"),(P157))))</formula>
    </cfRule>
  </conditionalFormatting>
  <conditionalFormatting sqref="P157:Q158 P160:Q160 P163:Q163 P168:Q169 P171:Q171 P173:Q173 P175:Q175 P177:Q179 P183:Q183 P185:Q214 U204:V204">
    <cfRule type="containsText" dxfId="2" priority="34966" operator="containsText" text="Yes">
      <formula>NOT(ISERROR(SEARCH(("Yes"),(P157))))</formula>
    </cfRule>
  </conditionalFormatting>
  <conditionalFormatting sqref="P157:Q158 P160:Q160 P163:Q163 P168:Q169 P171:Q171 P173:Q173 P175:Q175 P177:Q179 P183:Q183 P185:Q214 U204:V204">
    <cfRule type="containsText" dxfId="2" priority="34967" operator="containsText" text="Yes">
      <formula>NOT(ISERROR(SEARCH(("Yes"),(P157))))</formula>
    </cfRule>
  </conditionalFormatting>
  <conditionalFormatting sqref="P157:Q158 P160:Q160 P163:Q163 P168:Q169 P171:Q171 P173:Q173 P175:Q175 P177:Q179 P183:Q183 P185:Q214 U204:V204">
    <cfRule type="containsText" dxfId="2" priority="34968" operator="containsText" text="Yes">
      <formula>NOT(ISERROR(SEARCH(("Yes"),(P157))))</formula>
    </cfRule>
  </conditionalFormatting>
  <conditionalFormatting sqref="P157:Q158 P160:Q160 P163:Q163 P168:Q169 P171:Q171 P173:Q173 P175:Q175 P177:Q179 P183:Q183 P185:Q214 U204:V204">
    <cfRule type="containsText" dxfId="2" priority="34969" operator="containsText" text="Yes">
      <formula>NOT(ISERROR(SEARCH(("Yes"),(P157))))</formula>
    </cfRule>
  </conditionalFormatting>
  <conditionalFormatting sqref="P157:Q158 P160:Q160 P163:Q163 P168:Q169 P171:Q171 P173:Q173 P175:Q175 P177:Q179 P183:Q183 P185:Q214 U204:V204">
    <cfRule type="containsText" dxfId="2" priority="34970" operator="containsText" text="Yes">
      <formula>NOT(ISERROR(SEARCH(("Yes"),(P157))))</formula>
    </cfRule>
  </conditionalFormatting>
  <conditionalFormatting sqref="P157:Q158 P160:Q160 P163:Q163 P168:Q169 P171:Q171 P173:Q173 P175:Q175 P177:Q179 P183:Q183 P185:Q214 U204:V204">
    <cfRule type="containsText" dxfId="2" priority="34971" operator="containsText" text="Yes">
      <formula>NOT(ISERROR(SEARCH(("Yes"),(P157))))</formula>
    </cfRule>
  </conditionalFormatting>
  <conditionalFormatting sqref="P157:Q158 P160:Q160 P163:Q163 P168:Q169 P171:Q171 P173:Q173 P175:Q175 P177:Q179 P183:Q183 P185:Q214 U204:V204">
    <cfRule type="containsText" dxfId="2" priority="34972" operator="containsText" text="Yes">
      <formula>NOT(ISERROR(SEARCH(("Yes"),(P157))))</formula>
    </cfRule>
  </conditionalFormatting>
  <conditionalFormatting sqref="P157:Q158 P160:Q160 P163:Q163 P168:Q169 P171:Q171 P173:Q173 P175:Q175 P177:Q179 P183:Q183 P185:Q214 U204:V204">
    <cfRule type="containsText" dxfId="2" priority="34973" operator="containsText" text="Yes">
      <formula>NOT(ISERROR(SEARCH(("Yes"),(P157))))</formula>
    </cfRule>
  </conditionalFormatting>
  <conditionalFormatting sqref="P157:Q158 P160:Q160 P163:Q163 P168:Q169 P171:Q171 P173:Q173 P175:Q175 P177:Q179 P183:Q183 P185:Q214 U204:V204">
    <cfRule type="containsText" dxfId="2" priority="34974" operator="containsText" text="Yes">
      <formula>NOT(ISERROR(SEARCH(("Yes"),(P157))))</formula>
    </cfRule>
  </conditionalFormatting>
  <conditionalFormatting sqref="P157:Q158 P160:Q160 P163:Q163 P168:Q169 P171:Q171 P173:Q173 P175:Q175 P177:Q179 P183:Q183 P185:Q214 U204:V204">
    <cfRule type="containsText" dxfId="2" priority="34975" operator="containsText" text="Yes">
      <formula>NOT(ISERROR(SEARCH(("Yes"),(P157))))</formula>
    </cfRule>
  </conditionalFormatting>
  <conditionalFormatting sqref="P157:Q158 P160:Q160 P163:Q163 P168:Q169 P171:Q171 P173:Q173 P175:Q175 P177:Q179 P183:Q183 P185:Q214 U204:V204">
    <cfRule type="containsText" dxfId="2" priority="34976" operator="containsText" text="Yes">
      <formula>NOT(ISERROR(SEARCH(("Yes"),(P157))))</formula>
    </cfRule>
  </conditionalFormatting>
  <conditionalFormatting sqref="P157:Q158 P160:Q160 P163:Q163 P168:Q169 P171:Q171 P173:Q173 P175:Q175 P177:Q179 P183:Q183 P185:Q214 U204:V204">
    <cfRule type="containsText" dxfId="2" priority="34977" operator="containsText" text="Yes">
      <formula>NOT(ISERROR(SEARCH(("Yes"),(P157))))</formula>
    </cfRule>
  </conditionalFormatting>
  <conditionalFormatting sqref="P157:Q158 P160:Q160 P163:Q163 P168:Q169 P171:Q171 P173:Q173 P175:Q175 P177:Q179 P183:Q183 P185:Q214 U204:V204">
    <cfRule type="containsText" dxfId="2" priority="34978" operator="containsText" text="Yes">
      <formula>NOT(ISERROR(SEARCH(("Yes"),(P157))))</formula>
    </cfRule>
  </conditionalFormatting>
  <conditionalFormatting sqref="P157:Q158 P160:Q160 P163:Q163 P168:Q169 P171:Q171 P173:Q173 P175:Q175 P177:Q179 P183:Q183 P185:Q214 U204:V204">
    <cfRule type="containsText" dxfId="2" priority="34979" operator="containsText" text="Yes">
      <formula>NOT(ISERROR(SEARCH(("Yes"),(P157))))</formula>
    </cfRule>
  </conditionalFormatting>
  <conditionalFormatting sqref="P157:Q158 P160:Q160 P163:Q163 P168:Q169 P171:Q171 P173:Q173 P175:Q175 P177:Q179 P183:Q183 P185:Q214 U204:V204">
    <cfRule type="containsText" dxfId="2" priority="34980" operator="containsText" text="Yes">
      <formula>NOT(ISERROR(SEARCH(("Yes"),(P157))))</formula>
    </cfRule>
  </conditionalFormatting>
  <conditionalFormatting sqref="P157:Q158 P160:Q160 P163:Q163 P168:Q169 P171:Q171 P173:Q173 P175:Q175 P177:Q179 P183:Q183 P185:Q214 U204:V204">
    <cfRule type="containsText" dxfId="2" priority="34981" operator="containsText" text="Yes">
      <formula>NOT(ISERROR(SEARCH(("Yes"),(P157))))</formula>
    </cfRule>
  </conditionalFormatting>
  <conditionalFormatting sqref="P157:Q158 P160:Q160 P163:Q163 P168:Q169 P171:Q171 P173:Q173 P175:Q175 P177:Q179 P183:Q183 P185:Q214 U204:V204">
    <cfRule type="containsText" dxfId="2" priority="34982" operator="containsText" text="Yes">
      <formula>NOT(ISERROR(SEARCH(("Yes"),(P157))))</formula>
    </cfRule>
  </conditionalFormatting>
  <conditionalFormatting sqref="P157:Q158 P160:Q160 P163:Q163 P168:Q169 P171:Q171 P173:Q173 P175:Q175 P177:Q179 P183:Q183 P185:Q214 U204:V204">
    <cfRule type="containsText" dxfId="2" priority="34983" operator="containsText" text="Yes">
      <formula>NOT(ISERROR(SEARCH(("Yes"),(P157))))</formula>
    </cfRule>
  </conditionalFormatting>
  <conditionalFormatting sqref="P157:Q158 P160:Q160 P163:Q163 P168:Q169 P171:Q171 P173:Q173 P175:Q175 P177:Q179 P183:Q183 P185:Q214 U204:V204">
    <cfRule type="containsText" dxfId="2" priority="34984" operator="containsText" text="Yes">
      <formula>NOT(ISERROR(SEARCH(("Yes"),(P157))))</formula>
    </cfRule>
  </conditionalFormatting>
  <conditionalFormatting sqref="P157:Q158 P160:Q160 P163:Q163 P168:Q169 P171:Q171 P173:Q173 P175:Q175 P177:Q179 P183:Q183 P185:Q214 U204:V204">
    <cfRule type="containsText" dxfId="2" priority="34985" operator="containsText" text="Yes">
      <formula>NOT(ISERROR(SEARCH(("Yes"),(P157))))</formula>
    </cfRule>
  </conditionalFormatting>
  <conditionalFormatting sqref="P157:Q158 P160:Q160 P163:Q163 P168:Q169 P171:Q171 P173:Q173 P175:Q175 P177:Q179 P183:Q183 P185:Q214 U204:V204">
    <cfRule type="containsText" dxfId="2" priority="34986" operator="containsText" text="Yes">
      <formula>NOT(ISERROR(SEARCH(("Yes"),(P157))))</formula>
    </cfRule>
  </conditionalFormatting>
  <conditionalFormatting sqref="P157:Q158 P160:Q160 P163:Q163 P168:Q169 P171:Q171 P173:Q173 P175:Q175 P177:Q179 P183:Q183 P185:Q214 U204:V204">
    <cfRule type="containsText" dxfId="2" priority="34987" operator="containsText" text="Yes">
      <formula>NOT(ISERROR(SEARCH(("Yes"),(P157))))</formula>
    </cfRule>
  </conditionalFormatting>
  <conditionalFormatting sqref="P157:Q158 P160:Q160 P163:Q163 P168:Q169 P171:Q171 P173:Q173 P175:Q175 P177:Q179 P183:Q183 P185:Q214 U204:V204">
    <cfRule type="containsText" dxfId="2" priority="34988" operator="containsText" text="Yes">
      <formula>NOT(ISERROR(SEARCH(("Yes"),(P157))))</formula>
    </cfRule>
  </conditionalFormatting>
  <conditionalFormatting sqref="P157:Q158 P160:Q160 P163:Q163 P168:Q169 P171:Q171 P173:Q173 P175:Q175 P177:Q179 P183:Q183 P185:Q214 U204:V204">
    <cfRule type="containsText" dxfId="2" priority="34989" operator="containsText" text="Yes">
      <formula>NOT(ISERROR(SEARCH(("Yes"),(P157))))</formula>
    </cfRule>
  </conditionalFormatting>
  <conditionalFormatting sqref="P157:Q158 P160:Q160 P163:Q163 P168:Q169 P171:Q171 P173:Q173 P175:Q175 P177:Q179 P183:Q183 P185:Q214 U204:V204">
    <cfRule type="containsText" dxfId="2" priority="34990" operator="containsText" text="Yes">
      <formula>NOT(ISERROR(SEARCH(("Yes"),(P157))))</formula>
    </cfRule>
  </conditionalFormatting>
  <conditionalFormatting sqref="P157:Q158 P160:Q160 P163:Q163 P168:Q169 P171:Q171 P173:Q173 P175:Q175 P177:Q179 P183:Q183 P185:Q214 U204:V204">
    <cfRule type="containsText" dxfId="2" priority="34991" operator="containsText" text="Yes">
      <formula>NOT(ISERROR(SEARCH(("Yes"),(P157))))</formula>
    </cfRule>
  </conditionalFormatting>
  <conditionalFormatting sqref="P157:Q158 P160:Q160 P163:Q163 P168:Q169 P171:Q171 P173:Q173 P175:Q175 P177:Q179 P183:Q183 P185:Q214 U204:V204">
    <cfRule type="containsText" dxfId="2" priority="34992" operator="containsText" text="Yes">
      <formula>NOT(ISERROR(SEARCH(("Yes"),(P157))))</formula>
    </cfRule>
  </conditionalFormatting>
  <conditionalFormatting sqref="P157:Q158 P160:Q160 P163:Q163 P168:Q169 P171:Q171 P173:Q173 P175:Q175 P177:Q179 P183:Q183 P185:Q214 U204:V204">
    <cfRule type="containsText" dxfId="2" priority="34993" operator="containsText" text="Yes">
      <formula>NOT(ISERROR(SEARCH(("Yes"),(P157))))</formula>
    </cfRule>
  </conditionalFormatting>
  <conditionalFormatting sqref="P157:Q158 P160:Q160 P163:Q163 P168:Q169 P171:Q171 P173:Q173 P175:Q175 P177:Q179 P183:Q183 P185:Q214 U204:V204">
    <cfRule type="containsText" dxfId="2" priority="34994" operator="containsText" text="Yes">
      <formula>NOT(ISERROR(SEARCH(("Yes"),(P157))))</formula>
    </cfRule>
  </conditionalFormatting>
  <conditionalFormatting sqref="P158:Q158 P160:Q160 P163:Q163 P168:Q169 P171:Q171 P173:Q173 P175:Q175 P177:Q179 P183:Q183 P185:Q214 U204:V204">
    <cfRule type="containsText" dxfId="9" priority="34995" operator="containsText" text="No">
      <formula>NOT(ISERROR(SEARCH(("No"),(P158))))</formula>
    </cfRule>
  </conditionalFormatting>
  <conditionalFormatting sqref="P158:Q158 P160:Q160 P163:Q163 P168:Q169 P171:Q171 P173:Q173 P175:Q175 P177:Q179 P183:Q183 P185:Q214 U204:V204">
    <cfRule type="containsText" dxfId="9" priority="34996" operator="containsText" text="No">
      <formula>NOT(ISERROR(SEARCH(("No"),(P158))))</formula>
    </cfRule>
  </conditionalFormatting>
  <conditionalFormatting sqref="P158:Q158 P160:Q160 P163:Q163 P168:Q169 P171:Q171 P173:Q173 P175:Q175 P177:Q179 P183:Q183 P185:Q214 U204:V204">
    <cfRule type="containsText" dxfId="9" priority="34997" operator="containsText" text="No">
      <formula>NOT(ISERROR(SEARCH(("No"),(P158))))</formula>
    </cfRule>
  </conditionalFormatting>
  <conditionalFormatting sqref="P158:Q158 P160:Q160 P163:Q163 P168:Q169 P171:Q171 P173:Q173 P175:Q175 P177:Q179 P183:Q183 P185:Q214 U204:V204">
    <cfRule type="containsText" dxfId="9" priority="34998" operator="containsText" text="No">
      <formula>NOT(ISERROR(SEARCH(("No"),(P158))))</formula>
    </cfRule>
  </conditionalFormatting>
  <conditionalFormatting sqref="P158:Q158 P160:Q160 P163:Q163 P168:Q169 P171:Q171 P173:Q173 P175:Q175 P177:Q179 P183:Q183 P185:Q214 U204:V204">
    <cfRule type="containsText" dxfId="9" priority="34999" operator="containsText" text="No">
      <formula>NOT(ISERROR(SEARCH(("No"),(P158))))</formula>
    </cfRule>
  </conditionalFormatting>
  <conditionalFormatting sqref="P158:Q158 P160:Q160 P163:Q163 P168:Q169 P171:Q171 P173:Q173 P175:Q175 P177:Q179 P183:Q183 P185:Q214 U204:V204">
    <cfRule type="containsText" dxfId="9" priority="35000" operator="containsText" text="No">
      <formula>NOT(ISERROR(SEARCH(("No"),(P158))))</formula>
    </cfRule>
  </conditionalFormatting>
  <conditionalFormatting sqref="P158:Q158 P160:Q160 P163:Q163 P168:Q169 P171:Q171 P173:Q173 P175:Q175 P177:Q179 P183:Q183 P185:Q214 U204:V204">
    <cfRule type="containsText" dxfId="9" priority="35001" operator="containsText" text="No">
      <formula>NOT(ISERROR(SEARCH(("No"),(P158))))</formula>
    </cfRule>
  </conditionalFormatting>
  <conditionalFormatting sqref="P158:Q158 P160:Q160 P163:Q163 P168:Q169 P171:Q171 P173:Q173 P175:Q175 P177:Q179 P183:Q183 P185:Q214 U204:V204">
    <cfRule type="containsText" dxfId="9" priority="35002" operator="containsText" text="No">
      <formula>NOT(ISERROR(SEARCH(("No"),(P158))))</formula>
    </cfRule>
  </conditionalFormatting>
  <conditionalFormatting sqref="P158:Q158 P160:Q160 P163:Q163 P168:Q169 P171:Q171 P173:Q173 P175:Q175 P177:Q179 P183:Q183 P185:Q214 U204:V204">
    <cfRule type="containsText" dxfId="9" priority="35003" operator="containsText" text="No">
      <formula>NOT(ISERROR(SEARCH(("No"),(P158))))</formula>
    </cfRule>
  </conditionalFormatting>
  <conditionalFormatting sqref="P158:Q158 P160:Q160 P163:Q163 P168:Q169 P171:Q171 P173:Q173 P175:Q175 P177:Q179 P183:Q183 P185:Q214 U204:V204">
    <cfRule type="containsText" dxfId="9" priority="35004" operator="containsText" text="No">
      <formula>NOT(ISERROR(SEARCH(("No"),(P158))))</formula>
    </cfRule>
  </conditionalFormatting>
  <conditionalFormatting sqref="P158:Q158 P160:Q160 P163:Q163 P168:Q169 P171:Q171 P173:Q173 P175:Q175 P177:Q179 P183:Q183 P185:Q214 U204:V204">
    <cfRule type="containsText" dxfId="9" priority="35005" operator="containsText" text="No">
      <formula>NOT(ISERROR(SEARCH(("No"),(P158))))</formula>
    </cfRule>
  </conditionalFormatting>
  <conditionalFormatting sqref="P158:Q158 P160:Q160 P163:Q163 P168:Q169 P171:Q171 P173:Q173 P175:Q175 P177:Q179 P183:Q183 P185:Q214 U204:V204">
    <cfRule type="containsText" dxfId="9" priority="35006" operator="containsText" text="No">
      <formula>NOT(ISERROR(SEARCH(("No"),(P158))))</formula>
    </cfRule>
  </conditionalFormatting>
  <conditionalFormatting sqref="P158:Q158 P160:Q160 P163:Q163 P168:Q169 P171:Q171 P173:Q173 P175:Q175 P177:Q179 P183:Q183 P185:Q214 U204:V204">
    <cfRule type="containsText" dxfId="9" priority="35007" operator="containsText" text="No">
      <formula>NOT(ISERROR(SEARCH(("No"),(P158))))</formula>
    </cfRule>
  </conditionalFormatting>
  <conditionalFormatting sqref="P158:Q158 P160:Q160 P163:Q163 P168:Q169 P171:Q171 P173:Q173 P175:Q175 P177:Q179 P183:Q183 P185:Q214 U204:V204">
    <cfRule type="containsText" dxfId="9" priority="35008" operator="containsText" text="No">
      <formula>NOT(ISERROR(SEARCH(("No"),(P158))))</formula>
    </cfRule>
  </conditionalFormatting>
  <conditionalFormatting sqref="P158:Q158 P160:Q160 P163:Q163 P168:Q169 P171:Q171 P173:Q173 P175:Q175 P177:Q179 P183:Q183 P185:Q214 U204:V204">
    <cfRule type="containsText" dxfId="9" priority="35009" operator="containsText" text="No">
      <formula>NOT(ISERROR(SEARCH(("No"),(P158))))</formula>
    </cfRule>
  </conditionalFormatting>
  <conditionalFormatting sqref="P158:Q158 P160:Q160 P163:Q163 P168:Q169 P171:Q171 P173:Q173 P175:Q175 P177:Q179 P183:Q183 P185:Q214 U204:V204">
    <cfRule type="containsText" dxfId="9" priority="35010" operator="containsText" text="No">
      <formula>NOT(ISERROR(SEARCH(("No"),(P158))))</formula>
    </cfRule>
  </conditionalFormatting>
  <conditionalFormatting sqref="P158:Q158 P160:Q160 P163:Q163 P168:Q169 P171:Q171 P173:Q173 P175:Q175 P177:Q179 P183:Q183 P185:Q214 U204:V204">
    <cfRule type="containsText" dxfId="9" priority="35011" operator="containsText" text="No">
      <formula>NOT(ISERROR(SEARCH(("No"),(P158))))</formula>
    </cfRule>
  </conditionalFormatting>
  <conditionalFormatting sqref="P158:Q158 P160:Q160 P163:Q163 P168:Q169 P171:Q171 P173:Q173 P175:Q175 P177:Q179 P183:Q183 P185:Q214 U204:V204">
    <cfRule type="containsText" dxfId="9" priority="35012" operator="containsText" text="No">
      <formula>NOT(ISERROR(SEARCH(("No"),(P158))))</formula>
    </cfRule>
  </conditionalFormatting>
  <conditionalFormatting sqref="P158:Q158 P160:Q160 P163:Q163 P168:Q169 P171:Q171 P173:Q173 P175:Q175 P177:Q179 P183:Q183 P185:Q214 U204:V204">
    <cfRule type="containsText" dxfId="9" priority="35013" operator="containsText" text="No">
      <formula>NOT(ISERROR(SEARCH(("No"),(P158))))</formula>
    </cfRule>
  </conditionalFormatting>
  <conditionalFormatting sqref="P158:Q158 P160:Q160 P163:Q163 P168:Q169 P171:Q171 P173:Q173 P175:Q175 P177:Q179 P183:Q183 P185:Q214 U204:V204">
    <cfRule type="containsText" dxfId="9" priority="35014" operator="containsText" text="No">
      <formula>NOT(ISERROR(SEARCH(("No"),(P158))))</formula>
    </cfRule>
  </conditionalFormatting>
  <conditionalFormatting sqref="P158:Q158 P160:Q160 P163:Q163 P168:Q169 P171:Q171 P173:Q173 P175:Q175 P177:Q179 P183:Q183 P185:Q214 U204:V204">
    <cfRule type="containsText" dxfId="9" priority="35015" operator="containsText" text="No">
      <formula>NOT(ISERROR(SEARCH(("No"),(P158))))</formula>
    </cfRule>
  </conditionalFormatting>
  <conditionalFormatting sqref="P158:Q158 P160:Q160 P163:Q163 P168:Q169 P171:Q171 P173:Q173 P175:Q175 P177:Q179 P183:Q183 P185:Q214 U204:V204">
    <cfRule type="containsText" dxfId="9" priority="35016" operator="containsText" text="No">
      <formula>NOT(ISERROR(SEARCH(("No"),(P158))))</formula>
    </cfRule>
  </conditionalFormatting>
  <conditionalFormatting sqref="P158:Q158 P160:Q160 P163:Q163 P168:Q169 P171:Q171 P173:Q173 P175:Q175 P177:Q179 P183:Q183 P185:Q214 U204:V204">
    <cfRule type="containsText" dxfId="9" priority="35017" operator="containsText" text="No">
      <formula>NOT(ISERROR(SEARCH(("No"),(P158))))</formula>
    </cfRule>
  </conditionalFormatting>
  <conditionalFormatting sqref="P158:Q158 P160:Q160 P163:Q163 P168:Q169 P171:Q171 P173:Q173 P175:Q175 P177:Q179 P183:Q183 P185:Q214 U204:V204">
    <cfRule type="containsText" dxfId="9" priority="35018" operator="containsText" text="No">
      <formula>NOT(ISERROR(SEARCH(("No"),(P158))))</formula>
    </cfRule>
  </conditionalFormatting>
  <conditionalFormatting sqref="P158:Q158 P160:Q160 P163:Q163 P168:Q169 P171:Q171 P173:Q173 P175:Q175 P177:Q179 P183:Q183 P185:Q214 U204:V204">
    <cfRule type="containsText" dxfId="9" priority="35019" operator="containsText" text="No">
      <formula>NOT(ISERROR(SEARCH(("No"),(P158))))</formula>
    </cfRule>
  </conditionalFormatting>
  <conditionalFormatting sqref="P158:Q158 P160:Q160 P163:Q163 P168:Q169 P171:Q171 P173:Q173 P175:Q175 P177:Q179 P183:Q183 P185:Q214 U204:V204">
    <cfRule type="containsText" dxfId="9" priority="35020" operator="containsText" text="No">
      <formula>NOT(ISERROR(SEARCH(("No"),(P158))))</formula>
    </cfRule>
  </conditionalFormatting>
  <conditionalFormatting sqref="P158:Q158 P160:Q160 P163:Q163 P168:Q169 P171:Q171 P173:Q173 P175:Q175 P177:Q179 P183:Q183 P185:Q214 U204:V204">
    <cfRule type="containsText" dxfId="9" priority="35021" operator="containsText" text="No">
      <formula>NOT(ISERROR(SEARCH(("No"),(P158))))</formula>
    </cfRule>
  </conditionalFormatting>
  <conditionalFormatting sqref="P158:Q158 P160:Q160 P163:Q163 P168:Q169 P171:Q171 P173:Q173 P175:Q175 P177:Q179 P183:Q183 P185:Q214 U204:V204">
    <cfRule type="containsText" dxfId="9" priority="35022" operator="containsText" text="No">
      <formula>NOT(ISERROR(SEARCH(("No"),(P158))))</formula>
    </cfRule>
  </conditionalFormatting>
  <conditionalFormatting sqref="P158:Q158 P160:Q160 P163:Q163 P168:Q169 P171:Q171 P173:Q173 P175:Q175 P177:Q179 P183:Q183 P185:Q214 U204:V204">
    <cfRule type="containsText" dxfId="9" priority="35023" operator="containsText" text="No">
      <formula>NOT(ISERROR(SEARCH(("No"),(P158))))</formula>
    </cfRule>
  </conditionalFormatting>
  <conditionalFormatting sqref="P158:Q158 P160:Q160 P163:Q163 P168:Q169 P171:Q171 P173:Q173 P175:Q175 P177:Q179 P183:Q183 P185:Q214 U204:V204">
    <cfRule type="containsText" dxfId="9" priority="35024" operator="containsText" text="No">
      <formula>NOT(ISERROR(SEARCH(("No"),(P158))))</formula>
    </cfRule>
  </conditionalFormatting>
  <conditionalFormatting sqref="P158:Q158 P160:Q160 P163:Q163 P168:Q169 P171:Q171 P173:Q173 P175:Q175 P177:Q179 P183:Q183 P185:Q214 U204:V204">
    <cfRule type="containsText" dxfId="9" priority="35025" operator="containsText" text="No">
      <formula>NOT(ISERROR(SEARCH(("No"),(P158))))</formula>
    </cfRule>
  </conditionalFormatting>
  <conditionalFormatting sqref="P158:Q158 P160:Q160 P163:Q163 P168:Q169 P171:Q171 P173:Q173 P175:Q175 P177:Q179 P183:Q183 P185:Q214 U204:V204">
    <cfRule type="containsText" dxfId="9" priority="35026" operator="containsText" text="No">
      <formula>NOT(ISERROR(SEARCH(("No"),(P158))))</formula>
    </cfRule>
  </conditionalFormatting>
  <conditionalFormatting sqref="P158:Q158 P160:Q160 P163:Q163 P168:Q169 P171:Q171 P173:Q173 P175:Q175 P177:Q179 P183:Q183 P185:Q214 U204:V204">
    <cfRule type="containsText" dxfId="9" priority="35027" operator="containsText" text="No">
      <formula>NOT(ISERROR(SEARCH(("No"),(P158))))</formula>
    </cfRule>
  </conditionalFormatting>
  <conditionalFormatting sqref="P158:Q158 P160:Q160 P163:Q163 P168:Q169 P171:Q171 P173:Q173 P175:Q175 P177:Q179 P183:Q183 P185:Q214 U204:V204">
    <cfRule type="containsText" dxfId="9" priority="35028" operator="containsText" text="No">
      <formula>NOT(ISERROR(SEARCH(("No"),(P158))))</formula>
    </cfRule>
  </conditionalFormatting>
  <conditionalFormatting sqref="P158:Q158 P160:Q160 P163:Q163 P168:Q169 P171:Q171 P173:Q173 P175:Q175 P177:Q179 P183:Q183 P185:Q214 U204:V204">
    <cfRule type="containsText" dxfId="9" priority="35029" operator="containsText" text="No">
      <formula>NOT(ISERROR(SEARCH(("No"),(P158))))</formula>
    </cfRule>
  </conditionalFormatting>
  <conditionalFormatting sqref="P158:Q158 P160:Q160 P163:Q163 P168:Q169 P171:Q171 P173:Q173 P175:Q175 P177:Q179 P183:Q183 P185:Q214 U204:V204">
    <cfRule type="containsText" dxfId="9" priority="35030" operator="containsText" text="No">
      <formula>NOT(ISERROR(SEARCH(("No"),(P158))))</formula>
    </cfRule>
  </conditionalFormatting>
  <conditionalFormatting sqref="P158:Q158 P160:Q160 P163:Q163 P168:Q169 P171:Q171 P173:Q173 P175:Q175 P177:Q179 P183:Q183 P185:Q214 U204:V204">
    <cfRule type="containsText" dxfId="9" priority="35031" operator="containsText" text="No">
      <formula>NOT(ISERROR(SEARCH(("No"),(P158))))</formula>
    </cfRule>
  </conditionalFormatting>
  <conditionalFormatting sqref="P158:Q158 P160:Q160 P163:Q163 P168:Q169 P171:Q171 P173:Q173 P175:Q175 P177:Q179 P183:Q183 P185:Q214 U204:V204">
    <cfRule type="containsText" dxfId="9" priority="35032" operator="containsText" text="No">
      <formula>NOT(ISERROR(SEARCH(("No"),(P158))))</formula>
    </cfRule>
  </conditionalFormatting>
  <conditionalFormatting sqref="P158:Q158 P160:Q160 P163:Q163 P168:Q169 P171:Q171 P173:Q173 P175:Q175 P177:Q179 P183:Q183 P185:Q214 U204:V204">
    <cfRule type="containsText" dxfId="9" priority="35033" operator="containsText" text="No">
      <formula>NOT(ISERROR(SEARCH(("No"),(P158))))</formula>
    </cfRule>
  </conditionalFormatting>
  <conditionalFormatting sqref="P158:Q158 P160:Q160 P163:Q163 P168:Q169 P171:Q171 P173:Q173 P175:Q175 P177:Q179 P183:Q183 P185:Q214 U204:V204">
    <cfRule type="containsText" dxfId="9" priority="35034" operator="containsText" text="No">
      <formula>NOT(ISERROR(SEARCH(("No"),(P158))))</formula>
    </cfRule>
  </conditionalFormatting>
  <conditionalFormatting sqref="P158:Q158 P160:Q160 P163:Q163 P168:Q169 P171:Q171 P173:Q173 P175:Q175 P177:Q179 P183:Q183 P185:Q214 U204:V204">
    <cfRule type="containsText" dxfId="9" priority="35035" operator="containsText" text="No">
      <formula>NOT(ISERROR(SEARCH(("No"),(P158))))</formula>
    </cfRule>
  </conditionalFormatting>
  <conditionalFormatting sqref="P158:Q158 P160:Q160 P163:Q163 P168:Q169 P171:Q171 P173:Q173 P175:Q175 P177:Q179 P183:Q183 P185:Q214 U204:V204">
    <cfRule type="containsText" dxfId="9" priority="35036" operator="containsText" text="No">
      <formula>NOT(ISERROR(SEARCH(("No"),(P158))))</formula>
    </cfRule>
  </conditionalFormatting>
  <conditionalFormatting sqref="P158:Q158 P160:Q160 P163:Q163 P168:Q169 P171:Q171 P173:Q173 P175:Q175 P177:Q179 P183:Q183 P185:Q214 U204:V204">
    <cfRule type="containsText" dxfId="9" priority="35037" operator="containsText" text="No">
      <formula>NOT(ISERROR(SEARCH(("No"),(P158))))</formula>
    </cfRule>
  </conditionalFormatting>
  <conditionalFormatting sqref="P158:Q158 P160:Q160 P163:Q163 P168:Q169 P171:Q171 P173:Q173 P175:Q175 P177:Q179 P183:Q183 P185:Q214 U204:V204">
    <cfRule type="containsText" dxfId="9" priority="35038" operator="containsText" text="No">
      <formula>NOT(ISERROR(SEARCH(("No"),(P158))))</formula>
    </cfRule>
  </conditionalFormatting>
  <conditionalFormatting sqref="P158:Q158 P160:Q160 P163:Q163 P168:Q169 P171:Q171 P173:Q173 P175:Q175 P177:Q179 P183:Q183 P185:Q214 U204:V204">
    <cfRule type="containsText" dxfId="9" priority="35039" operator="containsText" text="No">
      <formula>NOT(ISERROR(SEARCH(("No"),(P158))))</formula>
    </cfRule>
  </conditionalFormatting>
  <conditionalFormatting sqref="P158:Q158 P160:Q160 P163:Q163 P168:Q169 P171:Q171 P173:Q173 P175:Q175 P177:Q179 P183:Q183 P185:Q214 U204:V204">
    <cfRule type="containsText" dxfId="2" priority="35040" operator="containsText" text="Yes">
      <formula>NOT(ISERROR(SEARCH(("Yes"),(P158))))</formula>
    </cfRule>
  </conditionalFormatting>
  <conditionalFormatting sqref="P158:Q158 P160:Q160 P163:Q163 P168:Q169 P171:Q171 P173:Q173 P175:Q175 P177:Q179 P183:Q183 P185:Q214 U204:V204">
    <cfRule type="containsText" dxfId="2" priority="35041" operator="containsText" text="Yes">
      <formula>NOT(ISERROR(SEARCH(("Yes"),(P158))))</formula>
    </cfRule>
  </conditionalFormatting>
  <conditionalFormatting sqref="P158:Q158 P160:Q160 P163:Q163 P168:Q169 P171:Q171 P173:Q173 P175:Q175 P177:Q179 P183:Q183 P185:Q214 U204:V204">
    <cfRule type="containsText" dxfId="2" priority="35042" operator="containsText" text="Yes">
      <formula>NOT(ISERROR(SEARCH(("Yes"),(P158))))</formula>
    </cfRule>
  </conditionalFormatting>
  <conditionalFormatting sqref="P158:Q158 P160:Q160 P163:Q163 P168:Q169 P171:Q171 P173:Q173 P175:Q175 P177:Q179 P183:Q183 P185:Q214 U204:V204">
    <cfRule type="containsText" dxfId="2" priority="35043" operator="containsText" text="Yes">
      <formula>NOT(ISERROR(SEARCH(("Yes"),(P158))))</formula>
    </cfRule>
  </conditionalFormatting>
  <conditionalFormatting sqref="P158:Q158 P160:Q160 P163:Q163 P168:Q169 P171:Q171 P173:Q173 P175:Q175 P177:Q179 P183:Q183 P185:Q214 U204:V204">
    <cfRule type="containsText" dxfId="2" priority="35044" operator="containsText" text="Yes">
      <formula>NOT(ISERROR(SEARCH(("Yes"),(P158))))</formula>
    </cfRule>
  </conditionalFormatting>
  <conditionalFormatting sqref="P158:Q158 P160:Q160 P163:Q163 P168:Q169 P171:Q171 P173:Q173 P175:Q175 P177:Q179 P183:Q183 P185:Q214 U204:V204">
    <cfRule type="containsText" dxfId="2" priority="35045" operator="containsText" text="Yes">
      <formula>NOT(ISERROR(SEARCH(("Yes"),(P158))))</formula>
    </cfRule>
  </conditionalFormatting>
  <conditionalFormatting sqref="P158:Q158 P160:Q160 P163:Q163 P168:Q169 P171:Q171 P173:Q173 P175:Q175 P177:Q179 P183:Q183 P185:Q214 U204:V204">
    <cfRule type="containsText" dxfId="2" priority="35046" operator="containsText" text="Yes">
      <formula>NOT(ISERROR(SEARCH(("Yes"),(P158))))</formula>
    </cfRule>
  </conditionalFormatting>
  <conditionalFormatting sqref="P158:Q158 P160:Q160 P163:Q163 P168:Q169 P171:Q171 P173:Q173 P175:Q175 P177:Q179 P183:Q183 P185:Q214 U204:V204">
    <cfRule type="containsText" dxfId="2" priority="35047" operator="containsText" text="Yes">
      <formula>NOT(ISERROR(SEARCH(("Yes"),(P158))))</formula>
    </cfRule>
  </conditionalFormatting>
  <conditionalFormatting sqref="P158:Q158 P160:Q160 P163:Q163 P168:Q169 P171:Q171 P173:Q173 P175:Q175 P177:Q179 P183:Q183 P185:Q214 U204:V204">
    <cfRule type="containsText" dxfId="2" priority="35048" operator="containsText" text="Yes">
      <formula>NOT(ISERROR(SEARCH(("Yes"),(P158))))</formula>
    </cfRule>
  </conditionalFormatting>
  <conditionalFormatting sqref="P158:Q158 P160:Q160 P163:Q163 P168:Q169 P171:Q171 P173:Q173 P175:Q175 P177:Q179 P183:Q183 P185:Q214 U204:V204">
    <cfRule type="containsText" dxfId="2" priority="35049" operator="containsText" text="Yes">
      <formula>NOT(ISERROR(SEARCH(("Yes"),(P158))))</formula>
    </cfRule>
  </conditionalFormatting>
  <conditionalFormatting sqref="P158:Q158 P160:Q160 P163:Q163 P168:Q169 P171:Q171 P173:Q173 P175:Q175 P177:Q179 P183:Q183 P185:Q214 U204:V204">
    <cfRule type="containsText" dxfId="2" priority="35050" operator="containsText" text="Yes">
      <formula>NOT(ISERROR(SEARCH(("Yes"),(P158))))</formula>
    </cfRule>
  </conditionalFormatting>
  <conditionalFormatting sqref="P158:Q158 P160:Q160 P163:Q163 P168:Q169 P171:Q171 P173:Q173 P175:Q175 P177:Q179 P183:Q183 P185:Q214 U204:V204">
    <cfRule type="containsText" dxfId="2" priority="35051" operator="containsText" text="Yes">
      <formula>NOT(ISERROR(SEARCH(("Yes"),(P158))))</formula>
    </cfRule>
  </conditionalFormatting>
  <conditionalFormatting sqref="P158:Q158 P160:Q160 P163:Q163 P168:Q169 P171:Q171 P173:Q173 P175:Q175 P177:Q179 P183:Q183 P185:Q214 U204:V204">
    <cfRule type="containsText" dxfId="2" priority="35052" operator="containsText" text="Yes">
      <formula>NOT(ISERROR(SEARCH(("Yes"),(P158))))</formula>
    </cfRule>
  </conditionalFormatting>
  <conditionalFormatting sqref="P158:Q158 P160:Q160 P163:Q163 P168:Q169 P171:Q171 P173:Q173 P175:Q175 P177:Q179 P183:Q183 P185:Q214 U204:V204">
    <cfRule type="containsText" dxfId="2" priority="35053" operator="containsText" text="Yes">
      <formula>NOT(ISERROR(SEARCH(("Yes"),(P158))))</formula>
    </cfRule>
  </conditionalFormatting>
  <conditionalFormatting sqref="P158:Q158 P160:Q160 P163:Q163 P168:Q169 P171:Q171 P173:Q173 P175:Q175 P177:Q179 P183:Q183 P185:Q214 U204:V204">
    <cfRule type="containsText" dxfId="2" priority="35054" operator="containsText" text="Yes">
      <formula>NOT(ISERROR(SEARCH(("Yes"),(P158))))</formula>
    </cfRule>
  </conditionalFormatting>
  <conditionalFormatting sqref="P158:Q158 P160:Q160 P163:Q163 P168:Q169 P171:Q171 P173:Q173 P175:Q175 P177:Q179 P183:Q183 P185:Q214 U204:V204">
    <cfRule type="containsText" dxfId="2" priority="35055" operator="containsText" text="Yes">
      <formula>NOT(ISERROR(SEARCH(("Yes"),(P158))))</formula>
    </cfRule>
  </conditionalFormatting>
  <conditionalFormatting sqref="P158:Q158 P160:Q160 P163:Q163 P168:Q169 P171:Q171 P173:Q173 P175:Q175 P177:Q179 P183:Q183 P185:Q214 U204:V204">
    <cfRule type="containsText" dxfId="2" priority="35056" operator="containsText" text="Yes">
      <formula>NOT(ISERROR(SEARCH(("Yes"),(P158))))</formula>
    </cfRule>
  </conditionalFormatting>
  <conditionalFormatting sqref="P158:Q158 P160:Q160 P163:Q163 P168:Q169 P171:Q171 P173:Q173 P175:Q175 P177:Q179 P183:Q183 P185:Q214 U204:V204">
    <cfRule type="containsText" dxfId="2" priority="35057" operator="containsText" text="Yes">
      <formula>NOT(ISERROR(SEARCH(("Yes"),(P158))))</formula>
    </cfRule>
  </conditionalFormatting>
  <conditionalFormatting sqref="P158:Q158 P160:Q160 P163:Q163 P168:Q169 P171:Q171 P173:Q173 P175:Q175 P177:Q179 P183:Q183 P185:Q214 U204:V204">
    <cfRule type="containsText" dxfId="2" priority="35058" operator="containsText" text="Yes">
      <formula>NOT(ISERROR(SEARCH(("Yes"),(P158))))</formula>
    </cfRule>
  </conditionalFormatting>
  <conditionalFormatting sqref="P158:Q158 P160:Q160 P163:Q163 P168:Q169 P171:Q171 P173:Q173 P175:Q175 P177:Q179 P183:Q183 P185:Q214 U204:V204">
    <cfRule type="containsText" dxfId="2" priority="35059" operator="containsText" text="Yes">
      <formula>NOT(ISERROR(SEARCH(("Yes"),(P158))))</formula>
    </cfRule>
  </conditionalFormatting>
  <conditionalFormatting sqref="P158:Q158 P160:Q160 P163:Q163 P168:Q169 P171:Q171 P173:Q173 P175:Q175 P177:Q179 P183:Q183 P185:Q214 U204:V204">
    <cfRule type="containsText" dxfId="2" priority="35060" operator="containsText" text="Yes">
      <formula>NOT(ISERROR(SEARCH(("Yes"),(P158))))</formula>
    </cfRule>
  </conditionalFormatting>
  <conditionalFormatting sqref="P158:Q158 P160:Q160 P163:Q163 P168:Q169 P171:Q171 P173:Q173 P175:Q175 P177:Q179 P183:Q183 P185:Q214 U204:V204">
    <cfRule type="containsText" dxfId="2" priority="35061" operator="containsText" text="Yes">
      <formula>NOT(ISERROR(SEARCH(("Yes"),(P158))))</formula>
    </cfRule>
  </conditionalFormatting>
  <conditionalFormatting sqref="P158:Q158 P160:Q160 P163:Q163 P168:Q169 P171:Q171 P173:Q173 P175:Q175 P177:Q179 P183:Q183 P185:Q214 U204:V204">
    <cfRule type="containsText" dxfId="2" priority="35062" operator="containsText" text="Yes">
      <formula>NOT(ISERROR(SEARCH(("Yes"),(P158))))</formula>
    </cfRule>
  </conditionalFormatting>
  <conditionalFormatting sqref="P158:Q158 P160:Q160 P163:Q163 P168:Q169 P171:Q171 P173:Q173 P175:Q175 P177:Q179 P183:Q183 P185:Q214 U204:V204">
    <cfRule type="containsText" dxfId="2" priority="35063" operator="containsText" text="Yes">
      <formula>NOT(ISERROR(SEARCH(("Yes"),(P158))))</formula>
    </cfRule>
  </conditionalFormatting>
  <conditionalFormatting sqref="P158:Q158 P160:Q160 P163:Q163 P168:Q169 P171:Q171 P173:Q173 P175:Q175 P177:Q179 P183:Q183 P185:Q214 U204:V204">
    <cfRule type="containsText" dxfId="2" priority="35064" operator="containsText" text="Yes">
      <formula>NOT(ISERROR(SEARCH(("Yes"),(P158))))</formula>
    </cfRule>
  </conditionalFormatting>
  <conditionalFormatting sqref="P158:Q158 P160:Q160 P163:Q163 P168:Q169 P171:Q171 P173:Q173 P175:Q175 P177:Q179 P183:Q183 P185:Q214 U204:V204">
    <cfRule type="containsText" dxfId="2" priority="35065" operator="containsText" text="Yes">
      <formula>NOT(ISERROR(SEARCH(("Yes"),(P158))))</formula>
    </cfRule>
  </conditionalFormatting>
  <conditionalFormatting sqref="P158:Q158 P160:Q160 P163:Q163 P168:Q169 P171:Q171 P173:Q173 P175:Q175 P177:Q179 P183:Q183 P185:Q214 U204:V204">
    <cfRule type="containsText" dxfId="2" priority="35066" operator="containsText" text="Yes">
      <formula>NOT(ISERROR(SEARCH(("Yes"),(P158))))</formula>
    </cfRule>
  </conditionalFormatting>
  <conditionalFormatting sqref="P158:Q158 P160:Q160 P163:Q163 P168:Q169 P171:Q171 P173:Q173 P175:Q175 P177:Q179 P183:Q183 P185:Q214 U204:V204">
    <cfRule type="containsText" dxfId="2" priority="35067" operator="containsText" text="Yes">
      <formula>NOT(ISERROR(SEARCH(("Yes"),(P158))))</formula>
    </cfRule>
  </conditionalFormatting>
  <conditionalFormatting sqref="P158:Q158 P160:Q160 P163:Q163 P168:Q169 P171:Q171 P173:Q173 P175:Q175 P177:Q179 P183:Q183 P185:Q214 U204:V204">
    <cfRule type="containsText" dxfId="2" priority="35068" operator="containsText" text="Yes">
      <formula>NOT(ISERROR(SEARCH(("Yes"),(P158))))</formula>
    </cfRule>
  </conditionalFormatting>
  <conditionalFormatting sqref="P158:Q158 P160:Q160 P163:Q163 P168:Q169 P171:Q171 P173:Q173 P175:Q175 P177:Q179 P183:Q183 P185:Q214 U204:V204">
    <cfRule type="containsText" dxfId="2" priority="35069" operator="containsText" text="Yes">
      <formula>NOT(ISERROR(SEARCH(("Yes"),(P158))))</formula>
    </cfRule>
  </conditionalFormatting>
  <conditionalFormatting sqref="P158:Q158 P160:Q160 P163:Q163 P168:Q169 P171:Q171 P173:Q173 P175:Q175 P177:Q179 P183:Q183 P185:Q214 U204:V204">
    <cfRule type="containsText" dxfId="2" priority="35070" operator="containsText" text="Yes">
      <formula>NOT(ISERROR(SEARCH(("Yes"),(P158))))</formula>
    </cfRule>
  </conditionalFormatting>
  <conditionalFormatting sqref="P158:Q158 P160:Q160 P163:Q163 P168:Q169 P171:Q171 P173:Q173 P175:Q175 P177:Q179 P183:Q183 P185:Q214 U204:V204">
    <cfRule type="containsText" dxfId="2" priority="35071" operator="containsText" text="Yes">
      <formula>NOT(ISERROR(SEARCH(("Yes"),(P158))))</formula>
    </cfRule>
  </conditionalFormatting>
  <conditionalFormatting sqref="P158:Q158 P160:Q160 P163:Q163 P168:Q169 P171:Q171 P173:Q173 P175:Q175 P177:Q179 P183:Q183 P185:Q214 U204:V204">
    <cfRule type="containsText" dxfId="2" priority="35072" operator="containsText" text="Yes">
      <formula>NOT(ISERROR(SEARCH(("Yes"),(P158))))</formula>
    </cfRule>
  </conditionalFormatting>
  <conditionalFormatting sqref="P158:Q158 P160:Q160 P163:Q163 P168:Q169 P171:Q171 P173:Q173 P175:Q175 P177:Q179 P183:Q183 P185:Q214 U204:V204">
    <cfRule type="containsText" dxfId="2" priority="35073" operator="containsText" text="Yes">
      <formula>NOT(ISERROR(SEARCH(("Yes"),(P158))))</formula>
    </cfRule>
  </conditionalFormatting>
  <conditionalFormatting sqref="P158:Q158 P160:Q160 P163:Q163 P168:Q169 P171:Q171 P173:Q173 P175:Q175 P177:Q179 P183:Q183 P185:Q214 U204:V204">
    <cfRule type="containsText" dxfId="2" priority="35074" operator="containsText" text="Yes">
      <formula>NOT(ISERROR(SEARCH(("Yes"),(P158))))</formula>
    </cfRule>
  </conditionalFormatting>
  <conditionalFormatting sqref="P158:Q158 P160:Q160 P163:Q163 P168:Q169 P171:Q171 P173:Q173 P175:Q175 P177:Q179 P183:Q183 P185:Q214 U204:V204">
    <cfRule type="containsText" dxfId="2" priority="35075" operator="containsText" text="Yes">
      <formula>NOT(ISERROR(SEARCH(("Yes"),(P158))))</formula>
    </cfRule>
  </conditionalFormatting>
  <conditionalFormatting sqref="P158:Q158 P160:Q160 P163:Q163 P168:Q169 P171:Q171 P173:Q173 P175:Q175 P177:Q179 P183:Q183 P185:Q214 U204:V204">
    <cfRule type="containsText" dxfId="2" priority="35076" operator="containsText" text="Yes">
      <formula>NOT(ISERROR(SEARCH(("Yes"),(P158))))</formula>
    </cfRule>
  </conditionalFormatting>
  <conditionalFormatting sqref="P158:Q158 P160:Q160 P163:Q163 P168:Q169 P171:Q171 P173:Q173 P175:Q175 P177:Q179 P183:Q183 P185:Q214 U204:V204">
    <cfRule type="containsText" dxfId="2" priority="35077" operator="containsText" text="Yes">
      <formula>NOT(ISERROR(SEARCH(("Yes"),(P158))))</formula>
    </cfRule>
  </conditionalFormatting>
  <conditionalFormatting sqref="P158:Q158 P160:Q160 P163:Q163 P168:Q169 P171:Q171 P173:Q173 P175:Q175 P177:Q179 P183:Q183 P185:Q214 U204:V204">
    <cfRule type="containsText" dxfId="2" priority="35078" operator="containsText" text="Yes">
      <formula>NOT(ISERROR(SEARCH(("Yes"),(P158))))</formula>
    </cfRule>
  </conditionalFormatting>
  <conditionalFormatting sqref="P158:Q158 P160:Q160 P163:Q163 P168:Q169 P171:Q171 P173:Q173 P175:Q175 P177:Q179 P183:Q183 P185:Q214 U204:V204">
    <cfRule type="containsText" dxfId="2" priority="35079" operator="containsText" text="Yes">
      <formula>NOT(ISERROR(SEARCH(("Yes"),(P158))))</formula>
    </cfRule>
  </conditionalFormatting>
  <conditionalFormatting sqref="P158:Q158 P160:Q160 P163:Q163 P168:Q169 P171:Q171 P173:Q173 P175:Q175 P177:Q179 P183:Q183 P185:Q214 U204:V204">
    <cfRule type="containsText" dxfId="2" priority="35080" operator="containsText" text="Yes">
      <formula>NOT(ISERROR(SEARCH(("Yes"),(P158))))</formula>
    </cfRule>
  </conditionalFormatting>
  <conditionalFormatting sqref="P158:Q158 P160:Q160 P163:Q163 P168:Q169 P171:Q171 P173:Q173 P175:Q175 P177:Q179 P183:Q183 P185:Q214 U204:V204">
    <cfRule type="containsText" dxfId="2" priority="35081" operator="containsText" text="Yes">
      <formula>NOT(ISERROR(SEARCH(("Yes"),(P158))))</formula>
    </cfRule>
  </conditionalFormatting>
  <conditionalFormatting sqref="P158:Q158 P160:Q160 P163:Q163 P168:Q169 P171:Q171 P173:Q173 P175:Q175 P177:Q179 P183:Q183 P185:Q214 U204:V204">
    <cfRule type="containsText" dxfId="2" priority="35082" operator="containsText" text="Yes">
      <formula>NOT(ISERROR(SEARCH(("Yes"),(P158))))</formula>
    </cfRule>
  </conditionalFormatting>
  <conditionalFormatting sqref="P158:Q158 P160:Q160 P163:Q163 P168:Q169 P171:Q171 P173:Q173 P175:Q175 P177:Q179 P183:Q183 P185:Q214 U204:V204">
    <cfRule type="containsText" dxfId="2" priority="35083" operator="containsText" text="Yes">
      <formula>NOT(ISERROR(SEARCH(("Yes"),(P158))))</formula>
    </cfRule>
  </conditionalFormatting>
  <conditionalFormatting sqref="P158:Q158 P160:Q160 P163:Q163 P168:Q169 P171:Q171 P173:Q173 P175:Q175 P177:Q179 P183:Q183 P185:Q214 U204:V204">
    <cfRule type="containsText" dxfId="2" priority="35084" operator="containsText" text="Yes">
      <formula>NOT(ISERROR(SEARCH(("Yes"),(P158))))</formula>
    </cfRule>
  </conditionalFormatting>
  <conditionalFormatting sqref="P158:Q158 P160:Q160 P163:Q163 P168:Q169 P171:Q171 P173:Q173 P175:Q175 P177:Q179 P183:Q183 P185:Q214 U204:V204">
    <cfRule type="containsText" dxfId="2" priority="35085" operator="containsText" text="Yes">
      <formula>NOT(ISERROR(SEARCH(("Yes"),(P158))))</formula>
    </cfRule>
  </conditionalFormatting>
  <conditionalFormatting sqref="P158:Q158 P160:Q160 P163:Q163 P168:Q169 P171:Q171 P173:Q173 P175:Q175 P177:Q179 P183:Q183 P185:Q214 U204:V204">
    <cfRule type="containsText" dxfId="2" priority="35086" operator="containsText" text="Yes">
      <formula>NOT(ISERROR(SEARCH(("Yes"),(P158))))</formula>
    </cfRule>
  </conditionalFormatting>
  <conditionalFormatting sqref="P159:Q159">
    <cfRule type="containsText" dxfId="9" priority="35087" operator="containsText" text="No">
      <formula>NOT(ISERROR(SEARCH(("No"),(P159))))</formula>
    </cfRule>
  </conditionalFormatting>
  <conditionalFormatting sqref="P159:Q159">
    <cfRule type="containsText" dxfId="9" priority="35088" operator="containsText" text="No">
      <formula>NOT(ISERROR(SEARCH(("No"),(P159))))</formula>
    </cfRule>
  </conditionalFormatting>
  <conditionalFormatting sqref="P159:Q159">
    <cfRule type="containsText" dxfId="9" priority="35089" operator="containsText" text="No">
      <formula>NOT(ISERROR(SEARCH(("No"),(P159))))</formula>
    </cfRule>
  </conditionalFormatting>
  <conditionalFormatting sqref="P159:Q159">
    <cfRule type="containsText" dxfId="9" priority="35090" operator="containsText" text="No">
      <formula>NOT(ISERROR(SEARCH(("No"),(P159))))</formula>
    </cfRule>
  </conditionalFormatting>
  <conditionalFormatting sqref="P159:Q159">
    <cfRule type="containsText" dxfId="9" priority="35091" operator="containsText" text="No">
      <formula>NOT(ISERROR(SEARCH(("No"),(P159))))</formula>
    </cfRule>
  </conditionalFormatting>
  <conditionalFormatting sqref="P159:Q159">
    <cfRule type="containsText" dxfId="9" priority="35092" operator="containsText" text="No">
      <formula>NOT(ISERROR(SEARCH(("No"),(P159))))</formula>
    </cfRule>
  </conditionalFormatting>
  <conditionalFormatting sqref="P159:Q159">
    <cfRule type="containsText" dxfId="9" priority="35093" operator="containsText" text="No">
      <formula>NOT(ISERROR(SEARCH(("No"),(P159))))</formula>
    </cfRule>
  </conditionalFormatting>
  <conditionalFormatting sqref="P159:Q159">
    <cfRule type="containsText" dxfId="9" priority="35094" operator="containsText" text="No">
      <formula>NOT(ISERROR(SEARCH(("No"),(P159))))</formula>
    </cfRule>
  </conditionalFormatting>
  <conditionalFormatting sqref="P159:Q159">
    <cfRule type="containsText" dxfId="9" priority="35095" operator="containsText" text="No">
      <formula>NOT(ISERROR(SEARCH(("No"),(P159))))</formula>
    </cfRule>
  </conditionalFormatting>
  <conditionalFormatting sqref="P159:Q159">
    <cfRule type="containsText" dxfId="9" priority="35096" operator="containsText" text="No">
      <formula>NOT(ISERROR(SEARCH(("No"),(P159))))</formula>
    </cfRule>
  </conditionalFormatting>
  <conditionalFormatting sqref="P159:Q159">
    <cfRule type="containsText" dxfId="9" priority="35097" operator="containsText" text="No">
      <formula>NOT(ISERROR(SEARCH(("No"),(P159))))</formula>
    </cfRule>
  </conditionalFormatting>
  <conditionalFormatting sqref="P159:Q159">
    <cfRule type="containsText" dxfId="9" priority="35098" operator="containsText" text="No">
      <formula>NOT(ISERROR(SEARCH(("No"),(P159))))</formula>
    </cfRule>
  </conditionalFormatting>
  <conditionalFormatting sqref="P159:Q159">
    <cfRule type="containsText" dxfId="9" priority="35099" operator="containsText" text="No">
      <formula>NOT(ISERROR(SEARCH(("No"),(P159))))</formula>
    </cfRule>
  </conditionalFormatting>
  <conditionalFormatting sqref="P159:Q159">
    <cfRule type="containsText" dxfId="9" priority="35100" operator="containsText" text="No">
      <formula>NOT(ISERROR(SEARCH(("No"),(P159))))</formula>
    </cfRule>
  </conditionalFormatting>
  <conditionalFormatting sqref="P159:Q159">
    <cfRule type="containsText" dxfId="9" priority="35101" operator="containsText" text="No">
      <formula>NOT(ISERROR(SEARCH(("No"),(P159))))</formula>
    </cfRule>
  </conditionalFormatting>
  <conditionalFormatting sqref="P159:Q159">
    <cfRule type="containsText" dxfId="9" priority="35102" operator="containsText" text="No">
      <formula>NOT(ISERROR(SEARCH(("No"),(P159))))</formula>
    </cfRule>
  </conditionalFormatting>
  <conditionalFormatting sqref="P159:Q159">
    <cfRule type="containsText" dxfId="9" priority="35103" operator="containsText" text="No">
      <formula>NOT(ISERROR(SEARCH(("No"),(P159))))</formula>
    </cfRule>
  </conditionalFormatting>
  <conditionalFormatting sqref="P159:Q159">
    <cfRule type="containsText" dxfId="9" priority="35104" operator="containsText" text="No">
      <formula>NOT(ISERROR(SEARCH(("No"),(P159))))</formula>
    </cfRule>
  </conditionalFormatting>
  <conditionalFormatting sqref="P159:Q159">
    <cfRule type="containsText" dxfId="9" priority="35105" operator="containsText" text="No">
      <formula>NOT(ISERROR(SEARCH(("No"),(P159))))</formula>
    </cfRule>
  </conditionalFormatting>
  <conditionalFormatting sqref="P159:Q159">
    <cfRule type="containsText" dxfId="9" priority="35106" operator="containsText" text="No">
      <formula>NOT(ISERROR(SEARCH(("No"),(P159))))</formula>
    </cfRule>
  </conditionalFormatting>
  <conditionalFormatting sqref="P159:Q159">
    <cfRule type="containsText" dxfId="9" priority="35107" operator="containsText" text="No">
      <formula>NOT(ISERROR(SEARCH(("No"),(P159))))</formula>
    </cfRule>
  </conditionalFormatting>
  <conditionalFormatting sqref="P159:Q159">
    <cfRule type="containsText" dxfId="9" priority="35108" operator="containsText" text="No">
      <formula>NOT(ISERROR(SEARCH(("No"),(P159))))</formula>
    </cfRule>
  </conditionalFormatting>
  <conditionalFormatting sqref="P159:Q159">
    <cfRule type="containsText" dxfId="9" priority="35109" operator="containsText" text="No">
      <formula>NOT(ISERROR(SEARCH(("No"),(P159))))</formula>
    </cfRule>
  </conditionalFormatting>
  <conditionalFormatting sqref="P159:Q159">
    <cfRule type="containsText" dxfId="9" priority="35110" operator="containsText" text="No">
      <formula>NOT(ISERROR(SEARCH(("No"),(P159))))</formula>
    </cfRule>
  </conditionalFormatting>
  <conditionalFormatting sqref="P159:Q159">
    <cfRule type="containsText" dxfId="9" priority="35111" operator="containsText" text="No">
      <formula>NOT(ISERROR(SEARCH(("No"),(P159))))</formula>
    </cfRule>
  </conditionalFormatting>
  <conditionalFormatting sqref="P159:Q159">
    <cfRule type="containsText" dxfId="9" priority="35112" operator="containsText" text="No">
      <formula>NOT(ISERROR(SEARCH(("No"),(P159))))</formula>
    </cfRule>
  </conditionalFormatting>
  <conditionalFormatting sqref="P159:Q159">
    <cfRule type="containsText" dxfId="9" priority="35113" operator="containsText" text="No">
      <formula>NOT(ISERROR(SEARCH(("No"),(P159))))</formula>
    </cfRule>
  </conditionalFormatting>
  <conditionalFormatting sqref="P159:Q159">
    <cfRule type="containsText" dxfId="9" priority="35114" operator="containsText" text="No">
      <formula>NOT(ISERROR(SEARCH(("No"),(P159))))</formula>
    </cfRule>
  </conditionalFormatting>
  <conditionalFormatting sqref="P159:Q159">
    <cfRule type="containsText" dxfId="9" priority="35115" operator="containsText" text="No">
      <formula>NOT(ISERROR(SEARCH(("No"),(P159))))</formula>
    </cfRule>
  </conditionalFormatting>
  <conditionalFormatting sqref="P159:Q159">
    <cfRule type="containsText" dxfId="9" priority="35116" operator="containsText" text="No">
      <formula>NOT(ISERROR(SEARCH(("No"),(P159))))</formula>
    </cfRule>
  </conditionalFormatting>
  <conditionalFormatting sqref="P159:Q159">
    <cfRule type="containsText" dxfId="9" priority="35117" operator="containsText" text="No">
      <formula>NOT(ISERROR(SEARCH(("No"),(P159))))</formula>
    </cfRule>
  </conditionalFormatting>
  <conditionalFormatting sqref="P159:Q159">
    <cfRule type="containsText" dxfId="9" priority="35118" operator="containsText" text="No">
      <formula>NOT(ISERROR(SEARCH(("No"),(P159))))</formula>
    </cfRule>
  </conditionalFormatting>
  <conditionalFormatting sqref="P159:Q159">
    <cfRule type="containsText" dxfId="9" priority="35119" operator="containsText" text="No">
      <formula>NOT(ISERROR(SEARCH(("No"),(P159))))</formula>
    </cfRule>
  </conditionalFormatting>
  <conditionalFormatting sqref="P159:Q159">
    <cfRule type="containsText" dxfId="9" priority="35120" operator="containsText" text="No">
      <formula>NOT(ISERROR(SEARCH(("No"),(P159))))</formula>
    </cfRule>
  </conditionalFormatting>
  <conditionalFormatting sqref="P159:Q159">
    <cfRule type="containsText" dxfId="9" priority="35121" operator="containsText" text="No">
      <formula>NOT(ISERROR(SEARCH(("No"),(P159))))</formula>
    </cfRule>
  </conditionalFormatting>
  <conditionalFormatting sqref="P159:Q159">
    <cfRule type="containsText" dxfId="9" priority="35122" operator="containsText" text="No">
      <formula>NOT(ISERROR(SEARCH(("No"),(P159))))</formula>
    </cfRule>
  </conditionalFormatting>
  <conditionalFormatting sqref="P159:Q159">
    <cfRule type="containsText" dxfId="9" priority="35123" operator="containsText" text="No">
      <formula>NOT(ISERROR(SEARCH(("No"),(P159))))</formula>
    </cfRule>
  </conditionalFormatting>
  <conditionalFormatting sqref="P159:Q159">
    <cfRule type="containsText" dxfId="9" priority="35124" operator="containsText" text="No">
      <formula>NOT(ISERROR(SEARCH(("No"),(P159))))</formula>
    </cfRule>
  </conditionalFormatting>
  <conditionalFormatting sqref="P159:Q159">
    <cfRule type="containsText" dxfId="9" priority="35125" operator="containsText" text="No">
      <formula>NOT(ISERROR(SEARCH(("No"),(P159))))</formula>
    </cfRule>
  </conditionalFormatting>
  <conditionalFormatting sqref="P159:Q159">
    <cfRule type="containsText" dxfId="9" priority="35126" operator="containsText" text="No">
      <formula>NOT(ISERROR(SEARCH(("No"),(P159))))</formula>
    </cfRule>
  </conditionalFormatting>
  <conditionalFormatting sqref="P159:Q159">
    <cfRule type="containsText" dxfId="9" priority="35127" operator="containsText" text="No">
      <formula>NOT(ISERROR(SEARCH(("No"),(P159))))</formula>
    </cfRule>
  </conditionalFormatting>
  <conditionalFormatting sqref="P159:Q159">
    <cfRule type="containsText" dxfId="9" priority="35128" operator="containsText" text="No">
      <formula>NOT(ISERROR(SEARCH(("No"),(P159))))</formula>
    </cfRule>
  </conditionalFormatting>
  <conditionalFormatting sqref="P159:Q159">
    <cfRule type="containsText" dxfId="9" priority="35129" operator="containsText" text="No">
      <formula>NOT(ISERROR(SEARCH(("No"),(P159))))</formula>
    </cfRule>
  </conditionalFormatting>
  <conditionalFormatting sqref="P159:Q159">
    <cfRule type="containsText" dxfId="9" priority="35130" operator="containsText" text="No">
      <formula>NOT(ISERROR(SEARCH(("No"),(P159))))</formula>
    </cfRule>
  </conditionalFormatting>
  <conditionalFormatting sqref="P159:Q159">
    <cfRule type="containsText" dxfId="9" priority="35131" operator="containsText" text="No">
      <formula>NOT(ISERROR(SEARCH(("No"),(P159))))</formula>
    </cfRule>
  </conditionalFormatting>
  <conditionalFormatting sqref="P159:Q159">
    <cfRule type="containsText" dxfId="2" priority="35132" operator="containsText" text="Yes">
      <formula>NOT(ISERROR(SEARCH(("Yes"),(P159))))</formula>
    </cfRule>
  </conditionalFormatting>
  <conditionalFormatting sqref="P159:Q159">
    <cfRule type="containsText" dxfId="2" priority="35133" operator="containsText" text="Yes">
      <formula>NOT(ISERROR(SEARCH(("Yes"),(P159))))</formula>
    </cfRule>
  </conditionalFormatting>
  <conditionalFormatting sqref="P159:Q159">
    <cfRule type="containsText" dxfId="2" priority="35134" operator="containsText" text="Yes">
      <formula>NOT(ISERROR(SEARCH(("Yes"),(P159))))</formula>
    </cfRule>
  </conditionalFormatting>
  <conditionalFormatting sqref="P159:Q159">
    <cfRule type="containsText" dxfId="2" priority="35135" operator="containsText" text="Yes">
      <formula>NOT(ISERROR(SEARCH(("Yes"),(P159))))</formula>
    </cfRule>
  </conditionalFormatting>
  <conditionalFormatting sqref="P159:Q159">
    <cfRule type="containsText" dxfId="2" priority="35136" operator="containsText" text="Yes">
      <formula>NOT(ISERROR(SEARCH(("Yes"),(P159))))</formula>
    </cfRule>
  </conditionalFormatting>
  <conditionalFormatting sqref="P159:Q159">
    <cfRule type="containsText" dxfId="2" priority="35137" operator="containsText" text="Yes">
      <formula>NOT(ISERROR(SEARCH(("Yes"),(P159))))</formula>
    </cfRule>
  </conditionalFormatting>
  <conditionalFormatting sqref="P159:Q159">
    <cfRule type="containsText" dxfId="2" priority="35138" operator="containsText" text="Yes">
      <formula>NOT(ISERROR(SEARCH(("Yes"),(P159))))</formula>
    </cfRule>
  </conditionalFormatting>
  <conditionalFormatting sqref="P159:Q159">
    <cfRule type="containsText" dxfId="2" priority="35139" operator="containsText" text="Yes">
      <formula>NOT(ISERROR(SEARCH(("Yes"),(P159))))</formula>
    </cfRule>
  </conditionalFormatting>
  <conditionalFormatting sqref="P159:Q159">
    <cfRule type="containsText" dxfId="2" priority="35140" operator="containsText" text="Yes">
      <formula>NOT(ISERROR(SEARCH(("Yes"),(P159))))</formula>
    </cfRule>
  </conditionalFormatting>
  <conditionalFormatting sqref="P159:Q159">
    <cfRule type="containsText" dxfId="2" priority="35141" operator="containsText" text="Yes">
      <formula>NOT(ISERROR(SEARCH(("Yes"),(P159))))</formula>
    </cfRule>
  </conditionalFormatting>
  <conditionalFormatting sqref="P159:Q159">
    <cfRule type="containsText" dxfId="2" priority="35142" operator="containsText" text="Yes">
      <formula>NOT(ISERROR(SEARCH(("Yes"),(P159))))</formula>
    </cfRule>
  </conditionalFormatting>
  <conditionalFormatting sqref="P159:Q159">
    <cfRule type="containsText" dxfId="2" priority="35143" operator="containsText" text="Yes">
      <formula>NOT(ISERROR(SEARCH(("Yes"),(P159))))</formula>
    </cfRule>
  </conditionalFormatting>
  <conditionalFormatting sqref="P159:Q159">
    <cfRule type="containsText" dxfId="2" priority="35144" operator="containsText" text="Yes">
      <formula>NOT(ISERROR(SEARCH(("Yes"),(P159))))</formula>
    </cfRule>
  </conditionalFormatting>
  <conditionalFormatting sqref="P159:Q159">
    <cfRule type="containsText" dxfId="2" priority="35145" operator="containsText" text="Yes">
      <formula>NOT(ISERROR(SEARCH(("Yes"),(P159))))</formula>
    </cfRule>
  </conditionalFormatting>
  <conditionalFormatting sqref="P159:Q159">
    <cfRule type="containsText" dxfId="2" priority="35146" operator="containsText" text="Yes">
      <formula>NOT(ISERROR(SEARCH(("Yes"),(P159))))</formula>
    </cfRule>
  </conditionalFormatting>
  <conditionalFormatting sqref="P159:Q159">
    <cfRule type="containsText" dxfId="2" priority="35147" operator="containsText" text="Yes">
      <formula>NOT(ISERROR(SEARCH(("Yes"),(P159))))</formula>
    </cfRule>
  </conditionalFormatting>
  <conditionalFormatting sqref="P159:Q159">
    <cfRule type="containsText" dxfId="2" priority="35148" operator="containsText" text="Yes">
      <formula>NOT(ISERROR(SEARCH(("Yes"),(P159))))</formula>
    </cfRule>
  </conditionalFormatting>
  <conditionalFormatting sqref="P159:Q159">
    <cfRule type="containsText" dxfId="2" priority="35149" operator="containsText" text="Yes">
      <formula>NOT(ISERROR(SEARCH(("Yes"),(P159))))</formula>
    </cfRule>
  </conditionalFormatting>
  <conditionalFormatting sqref="P159:Q159">
    <cfRule type="containsText" dxfId="2" priority="35150" operator="containsText" text="Yes">
      <formula>NOT(ISERROR(SEARCH(("Yes"),(P159))))</formula>
    </cfRule>
  </conditionalFormatting>
  <conditionalFormatting sqref="P159:Q159">
    <cfRule type="containsText" dxfId="2" priority="35151" operator="containsText" text="Yes">
      <formula>NOT(ISERROR(SEARCH(("Yes"),(P159))))</formula>
    </cfRule>
  </conditionalFormatting>
  <conditionalFormatting sqref="P159:Q159">
    <cfRule type="containsText" dxfId="2" priority="35152" operator="containsText" text="Yes">
      <formula>NOT(ISERROR(SEARCH(("Yes"),(P159))))</formula>
    </cfRule>
  </conditionalFormatting>
  <conditionalFormatting sqref="P159:Q159">
    <cfRule type="containsText" dxfId="2" priority="35153" operator="containsText" text="Yes">
      <formula>NOT(ISERROR(SEARCH(("Yes"),(P159))))</formula>
    </cfRule>
  </conditionalFormatting>
  <conditionalFormatting sqref="P159:Q159">
    <cfRule type="containsText" dxfId="2" priority="35154" operator="containsText" text="Yes">
      <formula>NOT(ISERROR(SEARCH(("Yes"),(P159))))</formula>
    </cfRule>
  </conditionalFormatting>
  <conditionalFormatting sqref="P159:Q159">
    <cfRule type="containsText" dxfId="2" priority="35155" operator="containsText" text="Yes">
      <formula>NOT(ISERROR(SEARCH(("Yes"),(P159))))</formula>
    </cfRule>
  </conditionalFormatting>
  <conditionalFormatting sqref="P159:Q159">
    <cfRule type="containsText" dxfId="2" priority="35156" operator="containsText" text="Yes">
      <formula>NOT(ISERROR(SEARCH(("Yes"),(P159))))</formula>
    </cfRule>
  </conditionalFormatting>
  <conditionalFormatting sqref="P159:Q159">
    <cfRule type="containsText" dxfId="2" priority="35157" operator="containsText" text="Yes">
      <formula>NOT(ISERROR(SEARCH(("Yes"),(P159))))</formula>
    </cfRule>
  </conditionalFormatting>
  <conditionalFormatting sqref="P159:Q159">
    <cfRule type="containsText" dxfId="2" priority="35158" operator="containsText" text="Yes">
      <formula>NOT(ISERROR(SEARCH(("Yes"),(P159))))</formula>
    </cfRule>
  </conditionalFormatting>
  <conditionalFormatting sqref="P159:Q159">
    <cfRule type="containsText" dxfId="2" priority="35159" operator="containsText" text="Yes">
      <formula>NOT(ISERROR(SEARCH(("Yes"),(P159))))</formula>
    </cfRule>
  </conditionalFormatting>
  <conditionalFormatting sqref="P159:Q159">
    <cfRule type="containsText" dxfId="2" priority="35160" operator="containsText" text="Yes">
      <formula>NOT(ISERROR(SEARCH(("Yes"),(P159))))</formula>
    </cfRule>
  </conditionalFormatting>
  <conditionalFormatting sqref="P159:Q159">
    <cfRule type="containsText" dxfId="2" priority="35161" operator="containsText" text="Yes">
      <formula>NOT(ISERROR(SEARCH(("Yes"),(P159))))</formula>
    </cfRule>
  </conditionalFormatting>
  <conditionalFormatting sqref="P159:Q159">
    <cfRule type="containsText" dxfId="2" priority="35162" operator="containsText" text="Yes">
      <formula>NOT(ISERROR(SEARCH(("Yes"),(P159))))</formula>
    </cfRule>
  </conditionalFormatting>
  <conditionalFormatting sqref="P159:Q159">
    <cfRule type="containsText" dxfId="2" priority="35163" operator="containsText" text="Yes">
      <formula>NOT(ISERROR(SEARCH(("Yes"),(P159))))</formula>
    </cfRule>
  </conditionalFormatting>
  <conditionalFormatting sqref="P159:Q159">
    <cfRule type="containsText" dxfId="2" priority="35164" operator="containsText" text="Yes">
      <formula>NOT(ISERROR(SEARCH(("Yes"),(P159))))</formula>
    </cfRule>
  </conditionalFormatting>
  <conditionalFormatting sqref="P159:Q159">
    <cfRule type="containsText" dxfId="2" priority="35165" operator="containsText" text="Yes">
      <formula>NOT(ISERROR(SEARCH(("Yes"),(P159))))</formula>
    </cfRule>
  </conditionalFormatting>
  <conditionalFormatting sqref="P159:Q159">
    <cfRule type="containsText" dxfId="2" priority="35166" operator="containsText" text="Yes">
      <formula>NOT(ISERROR(SEARCH(("Yes"),(P159))))</formula>
    </cfRule>
  </conditionalFormatting>
  <conditionalFormatting sqref="P159:Q159">
    <cfRule type="containsText" dxfId="2" priority="35167" operator="containsText" text="Yes">
      <formula>NOT(ISERROR(SEARCH(("Yes"),(P159))))</formula>
    </cfRule>
  </conditionalFormatting>
  <conditionalFormatting sqref="P159:Q159">
    <cfRule type="containsText" dxfId="2" priority="35168" operator="containsText" text="Yes">
      <formula>NOT(ISERROR(SEARCH(("Yes"),(P159))))</formula>
    </cfRule>
  </conditionalFormatting>
  <conditionalFormatting sqref="P159:Q159">
    <cfRule type="containsText" dxfId="2" priority="35169" operator="containsText" text="Yes">
      <formula>NOT(ISERROR(SEARCH(("Yes"),(P159))))</formula>
    </cfRule>
  </conditionalFormatting>
  <conditionalFormatting sqref="P159:Q159">
    <cfRule type="containsText" dxfId="2" priority="35170" operator="containsText" text="Yes">
      <formula>NOT(ISERROR(SEARCH(("Yes"),(P159))))</formula>
    </cfRule>
  </conditionalFormatting>
  <conditionalFormatting sqref="P159:Q159">
    <cfRule type="containsText" dxfId="2" priority="35171" operator="containsText" text="Yes">
      <formula>NOT(ISERROR(SEARCH(("Yes"),(P159))))</formula>
    </cfRule>
  </conditionalFormatting>
  <conditionalFormatting sqref="P159:Q159">
    <cfRule type="containsText" dxfId="2" priority="35172" operator="containsText" text="Yes">
      <formula>NOT(ISERROR(SEARCH(("Yes"),(P159))))</formula>
    </cfRule>
  </conditionalFormatting>
  <conditionalFormatting sqref="P159:Q159">
    <cfRule type="containsText" dxfId="2" priority="35173" operator="containsText" text="Yes">
      <formula>NOT(ISERROR(SEARCH(("Yes"),(P159))))</formula>
    </cfRule>
  </conditionalFormatting>
  <conditionalFormatting sqref="P159:Q159">
    <cfRule type="containsText" dxfId="2" priority="35174" operator="containsText" text="Yes">
      <formula>NOT(ISERROR(SEARCH(("Yes"),(P159))))</formula>
    </cfRule>
  </conditionalFormatting>
  <conditionalFormatting sqref="P159:Q159">
    <cfRule type="containsText" dxfId="2" priority="35175" operator="containsText" text="Yes">
      <formula>NOT(ISERROR(SEARCH(("Yes"),(P159))))</formula>
    </cfRule>
  </conditionalFormatting>
  <conditionalFormatting sqref="P159:Q159">
    <cfRule type="containsText" dxfId="2" priority="35176" operator="containsText" text="Yes">
      <formula>NOT(ISERROR(SEARCH(("Yes"),(P159))))</formula>
    </cfRule>
  </conditionalFormatting>
  <conditionalFormatting sqref="P159:Q159">
    <cfRule type="containsText" dxfId="2" priority="35177" operator="containsText" text="Yes">
      <formula>NOT(ISERROR(SEARCH(("Yes"),(P159))))</formula>
    </cfRule>
  </conditionalFormatting>
  <conditionalFormatting sqref="P159:Q159">
    <cfRule type="containsText" dxfId="2" priority="35178" operator="containsText" text="Yes">
      <formula>NOT(ISERROR(SEARCH(("Yes"),(P159))))</formula>
    </cfRule>
  </conditionalFormatting>
  <conditionalFormatting sqref="P160:Q160 P163:Q163 P168:Q169 P171:Q171 P173:Q173 P175:Q175 P177:Q179 P183:Q183 P185:Q214 U204:V204">
    <cfRule type="containsText" dxfId="9" priority="35179" operator="containsText" text="No">
      <formula>NOT(ISERROR(SEARCH(("No"),(P160))))</formula>
    </cfRule>
  </conditionalFormatting>
  <conditionalFormatting sqref="P160:Q160 P163:Q163 P168:Q169 P171:Q171 P173:Q173 P175:Q175 P177:Q179 P183:Q183 P185:Q214 U204:V204">
    <cfRule type="containsText" dxfId="9" priority="35180" operator="containsText" text="No">
      <formula>NOT(ISERROR(SEARCH(("No"),(P160))))</formula>
    </cfRule>
  </conditionalFormatting>
  <conditionalFormatting sqref="P160:Q160 P163:Q163 P168:Q169 P171:Q171 P173:Q173 P175:Q175 P177:Q179 P183:Q183 P185:Q214 U204:V204">
    <cfRule type="containsText" dxfId="9" priority="35181" operator="containsText" text="No">
      <formula>NOT(ISERROR(SEARCH(("No"),(P160))))</formula>
    </cfRule>
  </conditionalFormatting>
  <conditionalFormatting sqref="P160:Q160 P163:Q163 P168:Q169 P171:Q171 P173:Q173 P175:Q175 P177:Q179 P183:Q183 P185:Q214 U204:V204">
    <cfRule type="containsText" dxfId="9" priority="35182" operator="containsText" text="No">
      <formula>NOT(ISERROR(SEARCH(("No"),(P160))))</formula>
    </cfRule>
  </conditionalFormatting>
  <conditionalFormatting sqref="P160:Q160 P163:Q163 P168:Q169 P171:Q171 P173:Q173 P175:Q175 P177:Q179 P183:Q183 P185:Q214 U204:V204">
    <cfRule type="containsText" dxfId="9" priority="35183" operator="containsText" text="No">
      <formula>NOT(ISERROR(SEARCH(("No"),(P160))))</formula>
    </cfRule>
  </conditionalFormatting>
  <conditionalFormatting sqref="P160:Q160 P163:Q163 P168:Q169 P171:Q171 P173:Q173 P175:Q175 P177:Q179 P183:Q183 P185:Q214 U204:V204">
    <cfRule type="containsText" dxfId="9" priority="35184" operator="containsText" text="No">
      <formula>NOT(ISERROR(SEARCH(("No"),(P160))))</formula>
    </cfRule>
  </conditionalFormatting>
  <conditionalFormatting sqref="P160:Q160 P163:Q163 P168:Q169 P171:Q171 P173:Q173 P175:Q175 P177:Q179 P183:Q183 P185:Q214 U204:V204">
    <cfRule type="containsText" dxfId="9" priority="35185" operator="containsText" text="No">
      <formula>NOT(ISERROR(SEARCH(("No"),(P160))))</formula>
    </cfRule>
  </conditionalFormatting>
  <conditionalFormatting sqref="P160:Q160 P163:Q163 P168:Q169 P171:Q171 P173:Q173 P175:Q175 P177:Q179 P183:Q183 P185:Q214 U204:V204">
    <cfRule type="containsText" dxfId="9" priority="35186" operator="containsText" text="No">
      <formula>NOT(ISERROR(SEARCH(("No"),(P160))))</formula>
    </cfRule>
  </conditionalFormatting>
  <conditionalFormatting sqref="P160:Q160 P163:Q163 P168:Q169 P171:Q171 P173:Q173 P175:Q175 P177:Q179 P183:Q183 P185:Q214 U204:V204">
    <cfRule type="containsText" dxfId="9" priority="35187" operator="containsText" text="No">
      <formula>NOT(ISERROR(SEARCH(("No"),(P160))))</formula>
    </cfRule>
  </conditionalFormatting>
  <conditionalFormatting sqref="P160:Q160 P163:Q163 P168:Q169 P171:Q171 P173:Q173 P175:Q175 P177:Q179 P183:Q183 P185:Q214 U204:V204">
    <cfRule type="containsText" dxfId="9" priority="35188" operator="containsText" text="No">
      <formula>NOT(ISERROR(SEARCH(("No"),(P160))))</formula>
    </cfRule>
  </conditionalFormatting>
  <conditionalFormatting sqref="P160:Q160 P163:Q163 P168:Q169 P171:Q171 P173:Q173 P175:Q175 P177:Q179 P183:Q183 P185:Q214 U204:V204">
    <cfRule type="containsText" dxfId="9" priority="35189" operator="containsText" text="No">
      <formula>NOT(ISERROR(SEARCH(("No"),(P160))))</formula>
    </cfRule>
  </conditionalFormatting>
  <conditionalFormatting sqref="P160:Q160 P163:Q163 P168:Q169 P171:Q171 P173:Q173 P175:Q175 P177:Q179 P183:Q183 P185:Q214 U204:V204">
    <cfRule type="containsText" dxfId="9" priority="35190" operator="containsText" text="No">
      <formula>NOT(ISERROR(SEARCH(("No"),(P160))))</formula>
    </cfRule>
  </conditionalFormatting>
  <conditionalFormatting sqref="P160:Q160 P163:Q163 P168:Q169 P171:Q171 P173:Q173 P175:Q175 P177:Q179 P183:Q183 P185:Q214 U204:V204">
    <cfRule type="containsText" dxfId="9" priority="35191" operator="containsText" text="No">
      <formula>NOT(ISERROR(SEARCH(("No"),(P160))))</formula>
    </cfRule>
  </conditionalFormatting>
  <conditionalFormatting sqref="P160:Q160 P163:Q163 P168:Q169 P171:Q171 P173:Q173 P175:Q175 P177:Q179 P183:Q183 P185:Q214 U204:V204">
    <cfRule type="containsText" dxfId="9" priority="35192" operator="containsText" text="No">
      <formula>NOT(ISERROR(SEARCH(("No"),(P160))))</formula>
    </cfRule>
  </conditionalFormatting>
  <conditionalFormatting sqref="P160:Q160 P163:Q163 P168:Q169 P171:Q171 P173:Q173 P175:Q175 P177:Q179 P183:Q183 P185:Q214 U204:V204">
    <cfRule type="containsText" dxfId="9" priority="35193" operator="containsText" text="No">
      <formula>NOT(ISERROR(SEARCH(("No"),(P160))))</formula>
    </cfRule>
  </conditionalFormatting>
  <conditionalFormatting sqref="P160:Q160 P163:Q163 P168:Q169 P171:Q171 P173:Q173 P175:Q175 P177:Q179 P183:Q183 P185:Q214 U204:V204">
    <cfRule type="containsText" dxfId="9" priority="35194" operator="containsText" text="No">
      <formula>NOT(ISERROR(SEARCH(("No"),(P160))))</formula>
    </cfRule>
  </conditionalFormatting>
  <conditionalFormatting sqref="P160:Q160 P163:Q163 P168:Q169 P171:Q171 P173:Q173 P175:Q175 P177:Q179 P183:Q183 P185:Q214 U204:V204">
    <cfRule type="containsText" dxfId="9" priority="35195" operator="containsText" text="No">
      <formula>NOT(ISERROR(SEARCH(("No"),(P160))))</formula>
    </cfRule>
  </conditionalFormatting>
  <conditionalFormatting sqref="P160:Q160 P163:Q163 P168:Q169 P171:Q171 P173:Q173 P175:Q175 P177:Q179 P183:Q183 P185:Q214 U204:V204">
    <cfRule type="containsText" dxfId="9" priority="35196" operator="containsText" text="No">
      <formula>NOT(ISERROR(SEARCH(("No"),(P160))))</formula>
    </cfRule>
  </conditionalFormatting>
  <conditionalFormatting sqref="P160:Q160 P163:Q163 P168:Q169 P171:Q171 P173:Q173 P175:Q175 P177:Q179 P183:Q183 P185:Q214 U204:V204">
    <cfRule type="containsText" dxfId="9" priority="35197" operator="containsText" text="No">
      <formula>NOT(ISERROR(SEARCH(("No"),(P160))))</formula>
    </cfRule>
  </conditionalFormatting>
  <conditionalFormatting sqref="P160:Q160 P163:Q163 P168:Q169 P171:Q171 P173:Q173 P175:Q175 P177:Q179 P183:Q183 P185:Q214 U204:V204">
    <cfRule type="containsText" dxfId="9" priority="35198" operator="containsText" text="No">
      <formula>NOT(ISERROR(SEARCH(("No"),(P160))))</formula>
    </cfRule>
  </conditionalFormatting>
  <conditionalFormatting sqref="P160:Q160 P163:Q163 P168:Q169 P171:Q171 P173:Q173 P175:Q175 P177:Q179 P183:Q183 P185:Q214 U204:V204">
    <cfRule type="containsText" dxfId="9" priority="35199" operator="containsText" text="No">
      <formula>NOT(ISERROR(SEARCH(("No"),(P160))))</formula>
    </cfRule>
  </conditionalFormatting>
  <conditionalFormatting sqref="P160:Q160 P163:Q163 P168:Q169 P171:Q171 P173:Q173 P175:Q175 P177:Q179 P183:Q183 P185:Q214 U204:V204">
    <cfRule type="containsText" dxfId="9" priority="35200" operator="containsText" text="No">
      <formula>NOT(ISERROR(SEARCH(("No"),(P160))))</formula>
    </cfRule>
  </conditionalFormatting>
  <conditionalFormatting sqref="P160:Q160 P163:Q163 P168:Q169 P171:Q171 P173:Q173 P175:Q175 P177:Q179 P183:Q183 P185:Q214 U204:V204">
    <cfRule type="containsText" dxfId="9" priority="35201" operator="containsText" text="No">
      <formula>NOT(ISERROR(SEARCH(("No"),(P160))))</formula>
    </cfRule>
  </conditionalFormatting>
  <conditionalFormatting sqref="P160:Q160 P163:Q163 P168:Q169 P171:Q171 P173:Q173 P175:Q175 P177:Q179 P183:Q183 P185:Q214 U204:V204">
    <cfRule type="containsText" dxfId="9" priority="35202" operator="containsText" text="No">
      <formula>NOT(ISERROR(SEARCH(("No"),(P160))))</formula>
    </cfRule>
  </conditionalFormatting>
  <conditionalFormatting sqref="P160:Q160 P163:Q163 P168:Q169 P171:Q171 P173:Q173 P175:Q175 P177:Q179 P183:Q183 P185:Q214 U204:V204">
    <cfRule type="containsText" dxfId="9" priority="35203" operator="containsText" text="No">
      <formula>NOT(ISERROR(SEARCH(("No"),(P160))))</formula>
    </cfRule>
  </conditionalFormatting>
  <conditionalFormatting sqref="P160:Q160 P163:Q163 P168:Q169 P171:Q171 P173:Q173 P175:Q175 P177:Q179 P183:Q183 P185:Q214 U204:V204">
    <cfRule type="containsText" dxfId="9" priority="35204" operator="containsText" text="No">
      <formula>NOT(ISERROR(SEARCH(("No"),(P160))))</formula>
    </cfRule>
  </conditionalFormatting>
  <conditionalFormatting sqref="P160:Q160 P163:Q163 P168:Q169 P171:Q171 P173:Q173 P175:Q175 P177:Q179 P183:Q183 P185:Q214 U204:V204">
    <cfRule type="containsText" dxfId="9" priority="35205" operator="containsText" text="No">
      <formula>NOT(ISERROR(SEARCH(("No"),(P160))))</formula>
    </cfRule>
  </conditionalFormatting>
  <conditionalFormatting sqref="P160:Q160 P163:Q163 P168:Q169 P171:Q171 P173:Q173 P175:Q175 P177:Q179 P183:Q183 P185:Q214 U204:V204">
    <cfRule type="containsText" dxfId="9" priority="35206" operator="containsText" text="No">
      <formula>NOT(ISERROR(SEARCH(("No"),(P160))))</formula>
    </cfRule>
  </conditionalFormatting>
  <conditionalFormatting sqref="P160:Q160 P163:Q163 P168:Q169 P171:Q171 P173:Q173 P175:Q175 P177:Q179 P183:Q183 P185:Q214 U204:V204">
    <cfRule type="containsText" dxfId="9" priority="35207" operator="containsText" text="No">
      <formula>NOT(ISERROR(SEARCH(("No"),(P160))))</formula>
    </cfRule>
  </conditionalFormatting>
  <conditionalFormatting sqref="P160:Q160 P163:Q163 P168:Q169 P171:Q171 P173:Q173 P175:Q175 P177:Q179 P183:Q183 P185:Q214 U204:V204">
    <cfRule type="containsText" dxfId="9" priority="35208" operator="containsText" text="No">
      <formula>NOT(ISERROR(SEARCH(("No"),(P160))))</formula>
    </cfRule>
  </conditionalFormatting>
  <conditionalFormatting sqref="P160:Q160 P163:Q163 P168:Q169 P171:Q171 P173:Q173 P175:Q175 P177:Q179 P183:Q183 P185:Q214 U204:V204">
    <cfRule type="containsText" dxfId="9" priority="35209" operator="containsText" text="No">
      <formula>NOT(ISERROR(SEARCH(("No"),(P160))))</formula>
    </cfRule>
  </conditionalFormatting>
  <conditionalFormatting sqref="P160:Q160 P163:Q163 P168:Q169 P171:Q171 P173:Q173 P175:Q175 P177:Q179 P183:Q183 P185:Q214 U204:V204">
    <cfRule type="containsText" dxfId="9" priority="35210" operator="containsText" text="No">
      <formula>NOT(ISERROR(SEARCH(("No"),(P160))))</formula>
    </cfRule>
  </conditionalFormatting>
  <conditionalFormatting sqref="P160:Q160 P163:Q163 P168:Q169 P171:Q171 P173:Q173 P175:Q175 P177:Q179 P183:Q183 P185:Q214 U204:V204">
    <cfRule type="containsText" dxfId="9" priority="35211" operator="containsText" text="No">
      <formula>NOT(ISERROR(SEARCH(("No"),(P160))))</formula>
    </cfRule>
  </conditionalFormatting>
  <conditionalFormatting sqref="P160:Q160 P163:Q163 P168:Q169 P171:Q171 P173:Q173 P175:Q175 P177:Q179 P183:Q183 P185:Q214 U204:V204">
    <cfRule type="containsText" dxfId="9" priority="35212" operator="containsText" text="No">
      <formula>NOT(ISERROR(SEARCH(("No"),(P160))))</formula>
    </cfRule>
  </conditionalFormatting>
  <conditionalFormatting sqref="P160:Q160 P163:Q163 P168:Q169 P171:Q171 P173:Q173 P175:Q175 P177:Q179 P183:Q183 P185:Q214 U204:V204">
    <cfRule type="containsText" dxfId="9" priority="35213" operator="containsText" text="No">
      <formula>NOT(ISERROR(SEARCH(("No"),(P160))))</formula>
    </cfRule>
  </conditionalFormatting>
  <conditionalFormatting sqref="P160:Q160 P163:Q163 P168:Q169 P171:Q171 P173:Q173 P175:Q175 P177:Q179 P183:Q183 P185:Q214 U204:V204">
    <cfRule type="containsText" dxfId="9" priority="35214" operator="containsText" text="No">
      <formula>NOT(ISERROR(SEARCH(("No"),(P160))))</formula>
    </cfRule>
  </conditionalFormatting>
  <conditionalFormatting sqref="P160:Q160 P163:Q163 P168:Q169 P171:Q171 P173:Q173 P175:Q175 P177:Q179 P183:Q183 P185:Q214 U204:V204">
    <cfRule type="containsText" dxfId="9" priority="35215" operator="containsText" text="No">
      <formula>NOT(ISERROR(SEARCH(("No"),(P160))))</formula>
    </cfRule>
  </conditionalFormatting>
  <conditionalFormatting sqref="P160:Q160 P163:Q163 P168:Q169 P171:Q171 P173:Q173 P175:Q175 P177:Q179 P183:Q183 P185:Q214 U204:V204">
    <cfRule type="containsText" dxfId="9" priority="35216" operator="containsText" text="No">
      <formula>NOT(ISERROR(SEARCH(("No"),(P160))))</formula>
    </cfRule>
  </conditionalFormatting>
  <conditionalFormatting sqref="P160:Q160 P163:Q163 P168:Q169 P171:Q171 P173:Q173 P175:Q175 P177:Q179 P183:Q183 P185:Q214 U204:V204">
    <cfRule type="containsText" dxfId="9" priority="35217" operator="containsText" text="No">
      <formula>NOT(ISERROR(SEARCH(("No"),(P160))))</formula>
    </cfRule>
  </conditionalFormatting>
  <conditionalFormatting sqref="P160:Q160 P163:Q163 P168:Q169 P171:Q171 P173:Q173 P175:Q175 P177:Q179 P183:Q183 P185:Q214 U204:V204">
    <cfRule type="containsText" dxfId="9" priority="35218" operator="containsText" text="No">
      <formula>NOT(ISERROR(SEARCH(("No"),(P160))))</formula>
    </cfRule>
  </conditionalFormatting>
  <conditionalFormatting sqref="P160:Q160 P163:Q163 P168:Q169 P171:Q171 P173:Q173 P175:Q175 P177:Q179 P183:Q183 P185:Q214 U204:V204">
    <cfRule type="containsText" dxfId="9" priority="35219" operator="containsText" text="No">
      <formula>NOT(ISERROR(SEARCH(("No"),(P160))))</formula>
    </cfRule>
  </conditionalFormatting>
  <conditionalFormatting sqref="P160:Q160 P163:Q163 P168:Q169 P171:Q171 P173:Q173 P175:Q175 P177:Q179 P183:Q183 P185:Q214 U204:V204">
    <cfRule type="containsText" dxfId="9" priority="35220" operator="containsText" text="No">
      <formula>NOT(ISERROR(SEARCH(("No"),(P160))))</formula>
    </cfRule>
  </conditionalFormatting>
  <conditionalFormatting sqref="P160:Q160 P163:Q163 P168:Q169 P171:Q171 P173:Q173 P175:Q175 P177:Q179 P183:Q183 P185:Q214 U204:V204">
    <cfRule type="containsText" dxfId="9" priority="35221" operator="containsText" text="No">
      <formula>NOT(ISERROR(SEARCH(("No"),(P160))))</formula>
    </cfRule>
  </conditionalFormatting>
  <conditionalFormatting sqref="P160:Q160 P163:Q163 P168:Q169 P171:Q171 P173:Q173 P175:Q175 P177:Q179 P183:Q183 P185:Q214 U204:V204">
    <cfRule type="containsText" dxfId="9" priority="35222" operator="containsText" text="No">
      <formula>NOT(ISERROR(SEARCH(("No"),(P160))))</formula>
    </cfRule>
  </conditionalFormatting>
  <conditionalFormatting sqref="P160:Q160 P163:Q163 P168:Q169 P171:Q171 P173:Q173 P175:Q175 P177:Q179 P183:Q183 P185:Q214 U204:V204">
    <cfRule type="containsText" dxfId="9" priority="35223" operator="containsText" text="No">
      <formula>NOT(ISERROR(SEARCH(("No"),(P160))))</formula>
    </cfRule>
  </conditionalFormatting>
  <conditionalFormatting sqref="P160:Q160 P163:Q163 P168:Q169 P171:Q171 P173:Q173 P175:Q175 P177:Q179 P183:Q183 P185:Q214 U204:V204">
    <cfRule type="containsText" dxfId="2" priority="35224" operator="containsText" text="Yes">
      <formula>NOT(ISERROR(SEARCH(("Yes"),(P160))))</formula>
    </cfRule>
  </conditionalFormatting>
  <conditionalFormatting sqref="P160:Q160 P163:Q163 P168:Q169 P171:Q171 P173:Q173 P175:Q175 P177:Q179 P183:Q183 P185:Q214 U204:V204">
    <cfRule type="containsText" dxfId="2" priority="35225" operator="containsText" text="Yes">
      <formula>NOT(ISERROR(SEARCH(("Yes"),(P160))))</formula>
    </cfRule>
  </conditionalFormatting>
  <conditionalFormatting sqref="P160:Q160 P163:Q163 P168:Q169 P171:Q171 P173:Q173 P175:Q175 P177:Q179 P183:Q183 P185:Q214 U204:V204">
    <cfRule type="containsText" dxfId="2" priority="35226" operator="containsText" text="Yes">
      <formula>NOT(ISERROR(SEARCH(("Yes"),(P160))))</formula>
    </cfRule>
  </conditionalFormatting>
  <conditionalFormatting sqref="P160:Q160 P163:Q163 P168:Q169 P171:Q171 P173:Q173 P175:Q175 P177:Q179 P183:Q183 P185:Q214 U204:V204">
    <cfRule type="containsText" dxfId="2" priority="35227" operator="containsText" text="Yes">
      <formula>NOT(ISERROR(SEARCH(("Yes"),(P160))))</formula>
    </cfRule>
  </conditionalFormatting>
  <conditionalFormatting sqref="P160:Q160 P163:Q163 P168:Q169 P171:Q171 P173:Q173 P175:Q175 P177:Q179 P183:Q183 P185:Q214 U204:V204">
    <cfRule type="containsText" dxfId="2" priority="35228" operator="containsText" text="Yes">
      <formula>NOT(ISERROR(SEARCH(("Yes"),(P160))))</formula>
    </cfRule>
  </conditionalFormatting>
  <conditionalFormatting sqref="P160:Q160 P163:Q163 P168:Q169 P171:Q171 P173:Q173 P175:Q175 P177:Q179 P183:Q183 P185:Q214 U204:V204">
    <cfRule type="containsText" dxfId="2" priority="35229" operator="containsText" text="Yes">
      <formula>NOT(ISERROR(SEARCH(("Yes"),(P160))))</formula>
    </cfRule>
  </conditionalFormatting>
  <conditionalFormatting sqref="P160:Q160 P163:Q163 P168:Q169 P171:Q171 P173:Q173 P175:Q175 P177:Q179 P183:Q183 P185:Q214 U204:V204">
    <cfRule type="containsText" dxfId="2" priority="35230" operator="containsText" text="Yes">
      <formula>NOT(ISERROR(SEARCH(("Yes"),(P160))))</formula>
    </cfRule>
  </conditionalFormatting>
  <conditionalFormatting sqref="P160:Q160 P163:Q163 P168:Q169 P171:Q171 P173:Q173 P175:Q175 P177:Q179 P183:Q183 P185:Q214 U204:V204">
    <cfRule type="containsText" dxfId="2" priority="35231" operator="containsText" text="Yes">
      <formula>NOT(ISERROR(SEARCH(("Yes"),(P160))))</formula>
    </cfRule>
  </conditionalFormatting>
  <conditionalFormatting sqref="P160:Q160 P163:Q163 P168:Q169 P171:Q171 P173:Q173 P175:Q175 P177:Q179 P183:Q183 P185:Q214 U204:V204">
    <cfRule type="containsText" dxfId="2" priority="35232" operator="containsText" text="Yes">
      <formula>NOT(ISERROR(SEARCH(("Yes"),(P160))))</formula>
    </cfRule>
  </conditionalFormatting>
  <conditionalFormatting sqref="P160:Q160 P163:Q163 P168:Q169 P171:Q171 P173:Q173 P175:Q175 P177:Q179 P183:Q183 P185:Q214 U204:V204">
    <cfRule type="containsText" dxfId="2" priority="35233" operator="containsText" text="Yes">
      <formula>NOT(ISERROR(SEARCH(("Yes"),(P160))))</formula>
    </cfRule>
  </conditionalFormatting>
  <conditionalFormatting sqref="P160:Q160 P163:Q163 P168:Q169 P171:Q171 P173:Q173 P175:Q175 P177:Q179 P183:Q183 P185:Q214 U204:V204">
    <cfRule type="containsText" dxfId="2" priority="35234" operator="containsText" text="Yes">
      <formula>NOT(ISERROR(SEARCH(("Yes"),(P160))))</formula>
    </cfRule>
  </conditionalFormatting>
  <conditionalFormatting sqref="P160:Q160 P163:Q163 P168:Q169 P171:Q171 P173:Q173 P175:Q175 P177:Q179 P183:Q183 P185:Q214 U204:V204">
    <cfRule type="containsText" dxfId="2" priority="35235" operator="containsText" text="Yes">
      <formula>NOT(ISERROR(SEARCH(("Yes"),(P160))))</formula>
    </cfRule>
  </conditionalFormatting>
  <conditionalFormatting sqref="P160:Q160 P163:Q163 P168:Q169 P171:Q171 P173:Q173 P175:Q175 P177:Q179 P183:Q183 P185:Q214 U204:V204">
    <cfRule type="containsText" dxfId="2" priority="35236" operator="containsText" text="Yes">
      <formula>NOT(ISERROR(SEARCH(("Yes"),(P160))))</formula>
    </cfRule>
  </conditionalFormatting>
  <conditionalFormatting sqref="P160:Q160 P163:Q163 P168:Q169 P171:Q171 P173:Q173 P175:Q175 P177:Q179 P183:Q183 P185:Q214 U204:V204">
    <cfRule type="containsText" dxfId="2" priority="35237" operator="containsText" text="Yes">
      <formula>NOT(ISERROR(SEARCH(("Yes"),(P160))))</formula>
    </cfRule>
  </conditionalFormatting>
  <conditionalFormatting sqref="P160:Q160 P163:Q163 P168:Q169 P171:Q171 P173:Q173 P175:Q175 P177:Q179 P183:Q183 P185:Q214 U204:V204">
    <cfRule type="containsText" dxfId="2" priority="35238" operator="containsText" text="Yes">
      <formula>NOT(ISERROR(SEARCH(("Yes"),(P160))))</formula>
    </cfRule>
  </conditionalFormatting>
  <conditionalFormatting sqref="P160:Q160 P163:Q163 P168:Q169 P171:Q171 P173:Q173 P175:Q175 P177:Q179 P183:Q183 P185:Q214 U204:V204">
    <cfRule type="containsText" dxfId="2" priority="35239" operator="containsText" text="Yes">
      <formula>NOT(ISERROR(SEARCH(("Yes"),(P160))))</formula>
    </cfRule>
  </conditionalFormatting>
  <conditionalFormatting sqref="P160:Q160 P163:Q163 P168:Q169 P171:Q171 P173:Q173 P175:Q175 P177:Q179 P183:Q183 P185:Q214 U204:V204">
    <cfRule type="containsText" dxfId="2" priority="35240" operator="containsText" text="Yes">
      <formula>NOT(ISERROR(SEARCH(("Yes"),(P160))))</formula>
    </cfRule>
  </conditionalFormatting>
  <conditionalFormatting sqref="P160:Q160 P163:Q163 P168:Q169 P171:Q171 P173:Q173 P175:Q175 P177:Q179 P183:Q183 P185:Q214 U204:V204">
    <cfRule type="containsText" dxfId="2" priority="35241" operator="containsText" text="Yes">
      <formula>NOT(ISERROR(SEARCH(("Yes"),(P160))))</formula>
    </cfRule>
  </conditionalFormatting>
  <conditionalFormatting sqref="P160:Q160 P163:Q163 P168:Q169 P171:Q171 P173:Q173 P175:Q175 P177:Q179 P183:Q183 P185:Q214 U204:V204">
    <cfRule type="containsText" dxfId="2" priority="35242" operator="containsText" text="Yes">
      <formula>NOT(ISERROR(SEARCH(("Yes"),(P160))))</formula>
    </cfRule>
  </conditionalFormatting>
  <conditionalFormatting sqref="P160:Q160 P163:Q163 P168:Q169 P171:Q171 P173:Q173 P175:Q175 P177:Q179 P183:Q183 P185:Q214 U204:V204">
    <cfRule type="containsText" dxfId="2" priority="35243" operator="containsText" text="Yes">
      <formula>NOT(ISERROR(SEARCH(("Yes"),(P160))))</formula>
    </cfRule>
  </conditionalFormatting>
  <conditionalFormatting sqref="P160:Q160 P163:Q163 P168:Q169 P171:Q171 P173:Q173 P175:Q175 P177:Q179 P183:Q183 P185:Q214 U204:V204">
    <cfRule type="containsText" dxfId="2" priority="35244" operator="containsText" text="Yes">
      <formula>NOT(ISERROR(SEARCH(("Yes"),(P160))))</formula>
    </cfRule>
  </conditionalFormatting>
  <conditionalFormatting sqref="P160:Q160 P163:Q163 P168:Q169 P171:Q171 P173:Q173 P175:Q175 P177:Q179 P183:Q183 P185:Q214 U204:V204">
    <cfRule type="containsText" dxfId="2" priority="35245" operator="containsText" text="Yes">
      <formula>NOT(ISERROR(SEARCH(("Yes"),(P160))))</formula>
    </cfRule>
  </conditionalFormatting>
  <conditionalFormatting sqref="P160:Q160 P163:Q163 P168:Q169 P171:Q171 P173:Q173 P175:Q175 P177:Q179 P183:Q183 P185:Q214 U204:V204">
    <cfRule type="containsText" dxfId="2" priority="35246" operator="containsText" text="Yes">
      <formula>NOT(ISERROR(SEARCH(("Yes"),(P160))))</formula>
    </cfRule>
  </conditionalFormatting>
  <conditionalFormatting sqref="P160:Q160 P163:Q163 P168:Q169 P171:Q171 P173:Q173 P175:Q175 P177:Q179 P183:Q183 P185:Q214 U204:V204">
    <cfRule type="containsText" dxfId="2" priority="35247" operator="containsText" text="Yes">
      <formula>NOT(ISERROR(SEARCH(("Yes"),(P160))))</formula>
    </cfRule>
  </conditionalFormatting>
  <conditionalFormatting sqref="P160:Q160 P163:Q163 P168:Q169 P171:Q171 P173:Q173 P175:Q175 P177:Q179 P183:Q183 P185:Q214 U204:V204">
    <cfRule type="containsText" dxfId="2" priority="35248" operator="containsText" text="Yes">
      <formula>NOT(ISERROR(SEARCH(("Yes"),(P160))))</formula>
    </cfRule>
  </conditionalFormatting>
  <conditionalFormatting sqref="P160:Q160 P163:Q163 P168:Q169 P171:Q171 P173:Q173 P175:Q175 P177:Q179 P183:Q183 P185:Q214 U204:V204">
    <cfRule type="containsText" dxfId="2" priority="35249" operator="containsText" text="Yes">
      <formula>NOT(ISERROR(SEARCH(("Yes"),(P160))))</formula>
    </cfRule>
  </conditionalFormatting>
  <conditionalFormatting sqref="P160:Q160 P163:Q163 P168:Q169 P171:Q171 P173:Q173 P175:Q175 P177:Q179 P183:Q183 P185:Q214 U204:V204">
    <cfRule type="containsText" dxfId="2" priority="35250" operator="containsText" text="Yes">
      <formula>NOT(ISERROR(SEARCH(("Yes"),(P160))))</formula>
    </cfRule>
  </conditionalFormatting>
  <conditionalFormatting sqref="P160:Q160 P163:Q163 P168:Q169 P171:Q171 P173:Q173 P175:Q175 P177:Q179 P183:Q183 P185:Q214 U204:V204">
    <cfRule type="containsText" dxfId="2" priority="35251" operator="containsText" text="Yes">
      <formula>NOT(ISERROR(SEARCH(("Yes"),(P160))))</formula>
    </cfRule>
  </conditionalFormatting>
  <conditionalFormatting sqref="P160:Q160 P163:Q163 P168:Q169 P171:Q171 P173:Q173 P175:Q175 P177:Q179 P183:Q183 P185:Q214 U204:V204">
    <cfRule type="containsText" dxfId="2" priority="35252" operator="containsText" text="Yes">
      <formula>NOT(ISERROR(SEARCH(("Yes"),(P160))))</formula>
    </cfRule>
  </conditionalFormatting>
  <conditionalFormatting sqref="P160:Q160 P163:Q163 P168:Q169 P171:Q171 P173:Q173 P175:Q175 P177:Q179 P183:Q183 P185:Q214 U204:V204">
    <cfRule type="containsText" dxfId="2" priority="35253" operator="containsText" text="Yes">
      <formula>NOT(ISERROR(SEARCH(("Yes"),(P160))))</formula>
    </cfRule>
  </conditionalFormatting>
  <conditionalFormatting sqref="P160:Q160 P163:Q163 P168:Q169 P171:Q171 P173:Q173 P175:Q175 P177:Q179 P183:Q183 P185:Q214 U204:V204">
    <cfRule type="containsText" dxfId="2" priority="35254" operator="containsText" text="Yes">
      <formula>NOT(ISERROR(SEARCH(("Yes"),(P160))))</formula>
    </cfRule>
  </conditionalFormatting>
  <conditionalFormatting sqref="P160:Q160 P163:Q163 P168:Q169 P171:Q171 P173:Q173 P175:Q175 P177:Q179 P183:Q183 P185:Q214 U204:V204">
    <cfRule type="containsText" dxfId="2" priority="35255" operator="containsText" text="Yes">
      <formula>NOT(ISERROR(SEARCH(("Yes"),(P160))))</formula>
    </cfRule>
  </conditionalFormatting>
  <conditionalFormatting sqref="P160:Q160 P163:Q163 P168:Q169 P171:Q171 P173:Q173 P175:Q175 P177:Q179 P183:Q183 P185:Q214 U204:V204">
    <cfRule type="containsText" dxfId="2" priority="35256" operator="containsText" text="Yes">
      <formula>NOT(ISERROR(SEARCH(("Yes"),(P160))))</formula>
    </cfRule>
  </conditionalFormatting>
  <conditionalFormatting sqref="P160:Q160 P163:Q163 P168:Q169 P171:Q171 P173:Q173 P175:Q175 P177:Q179 P183:Q183 P185:Q214 U204:V204">
    <cfRule type="containsText" dxfId="2" priority="35257" operator="containsText" text="Yes">
      <formula>NOT(ISERROR(SEARCH(("Yes"),(P160))))</formula>
    </cfRule>
  </conditionalFormatting>
  <conditionalFormatting sqref="P160:Q160 P163:Q163 P168:Q169 P171:Q171 P173:Q173 P175:Q175 P177:Q179 P183:Q183 P185:Q214 U204:V204">
    <cfRule type="containsText" dxfId="2" priority="35258" operator="containsText" text="Yes">
      <formula>NOT(ISERROR(SEARCH(("Yes"),(P160))))</formula>
    </cfRule>
  </conditionalFormatting>
  <conditionalFormatting sqref="P160:Q160 P163:Q163 P168:Q169 P171:Q171 P173:Q173 P175:Q175 P177:Q179 P183:Q183 P185:Q214 U204:V204">
    <cfRule type="containsText" dxfId="2" priority="35259" operator="containsText" text="Yes">
      <formula>NOT(ISERROR(SEARCH(("Yes"),(P160))))</formula>
    </cfRule>
  </conditionalFormatting>
  <conditionalFormatting sqref="P160:Q160 P163:Q163 P168:Q169 P171:Q171 P173:Q173 P175:Q175 P177:Q179 P183:Q183 P185:Q214 U204:V204">
    <cfRule type="containsText" dxfId="2" priority="35260" operator="containsText" text="Yes">
      <formula>NOT(ISERROR(SEARCH(("Yes"),(P160))))</formula>
    </cfRule>
  </conditionalFormatting>
  <conditionalFormatting sqref="P160:Q160 P163:Q163 P168:Q169 P171:Q171 P173:Q173 P175:Q175 P177:Q179 P183:Q183 P185:Q214 U204:V204">
    <cfRule type="containsText" dxfId="2" priority="35261" operator="containsText" text="Yes">
      <formula>NOT(ISERROR(SEARCH(("Yes"),(P160))))</formula>
    </cfRule>
  </conditionalFormatting>
  <conditionalFormatting sqref="P160:Q160 P163:Q163 P168:Q169 P171:Q171 P173:Q173 P175:Q175 P177:Q179 P183:Q183 P185:Q214 U204:V204">
    <cfRule type="containsText" dxfId="2" priority="35262" operator="containsText" text="Yes">
      <formula>NOT(ISERROR(SEARCH(("Yes"),(P160))))</formula>
    </cfRule>
  </conditionalFormatting>
  <conditionalFormatting sqref="P160:Q160 P163:Q163 P168:Q169 P171:Q171 P173:Q173 P175:Q175 P177:Q179 P183:Q183 P185:Q214 U204:V204">
    <cfRule type="containsText" dxfId="2" priority="35263" operator="containsText" text="Yes">
      <formula>NOT(ISERROR(SEARCH(("Yes"),(P160))))</formula>
    </cfRule>
  </conditionalFormatting>
  <conditionalFormatting sqref="P160:Q160 P163:Q163 P168:Q169 P171:Q171 P173:Q173 P175:Q175 P177:Q179 P183:Q183 P185:Q214 U204:V204">
    <cfRule type="containsText" dxfId="2" priority="35264" operator="containsText" text="Yes">
      <formula>NOT(ISERROR(SEARCH(("Yes"),(P160))))</formula>
    </cfRule>
  </conditionalFormatting>
  <conditionalFormatting sqref="P160:Q160 P163:Q163 P168:Q169 P171:Q171 P173:Q173 P175:Q175 P177:Q179 P183:Q183 P185:Q214 U204:V204">
    <cfRule type="containsText" dxfId="2" priority="35265" operator="containsText" text="Yes">
      <formula>NOT(ISERROR(SEARCH(("Yes"),(P160))))</formula>
    </cfRule>
  </conditionalFormatting>
  <conditionalFormatting sqref="P160:Q160 P163:Q163 P168:Q169 P171:Q171 P173:Q173 P175:Q175 P177:Q179 P183:Q183 P185:Q214 U204:V204">
    <cfRule type="containsText" dxfId="2" priority="35266" operator="containsText" text="Yes">
      <formula>NOT(ISERROR(SEARCH(("Yes"),(P160))))</formula>
    </cfRule>
  </conditionalFormatting>
  <conditionalFormatting sqref="P160:Q160 P163:Q163 P168:Q169 P171:Q171 P173:Q173 P175:Q175 P177:Q179 P183:Q183 P185:Q214 U204:V204">
    <cfRule type="containsText" dxfId="2" priority="35267" operator="containsText" text="Yes">
      <formula>NOT(ISERROR(SEARCH(("Yes"),(P160))))</formula>
    </cfRule>
  </conditionalFormatting>
  <conditionalFormatting sqref="P160:Q160 P163:Q163 P168:Q169 P171:Q171 P173:Q173 P175:Q175 P177:Q179 P183:Q183 P185:Q214 U204:V204">
    <cfRule type="containsText" dxfId="2" priority="35268" operator="containsText" text="Yes">
      <formula>NOT(ISERROR(SEARCH(("Yes"),(P160))))</formula>
    </cfRule>
  </conditionalFormatting>
  <conditionalFormatting sqref="P160:Q160 P163:Q163 P168:Q169 P171:Q171 P173:Q173 P175:Q175 P177:Q179 P183:Q183 P185:Q214 U204:V204">
    <cfRule type="containsText" dxfId="2" priority="35269" operator="containsText" text="Yes">
      <formula>NOT(ISERROR(SEARCH(("Yes"),(P160))))</formula>
    </cfRule>
  </conditionalFormatting>
  <conditionalFormatting sqref="P160:Q160 P163:Q163 P168:Q169 P171:Q171 P173:Q173 P175:Q175 P177:Q179 P183:Q183 P185:Q214 U204:V204">
    <cfRule type="containsText" dxfId="2" priority="35270" operator="containsText" text="Yes">
      <formula>NOT(ISERROR(SEARCH(("Yes"),(P160))))</formula>
    </cfRule>
  </conditionalFormatting>
  <conditionalFormatting sqref="N161:Q162 N164:O167 P164:Q164 P166:Q167 N170:O170 N172:Q172 N174:Q174 N176:Q176 N180:Q182 N184:Q184">
    <cfRule type="containsText" dxfId="9" priority="35271" operator="containsText" text="No">
      <formula>NOT(ISERROR(SEARCH(("No"),(N161))))</formula>
    </cfRule>
  </conditionalFormatting>
  <conditionalFormatting sqref="N161:Q162 N164:O167 P164:Q164 P166:Q167 N170:O170 N172:Q172 N174:Q174 N176:Q176 N180:Q182 N184:Q184">
    <cfRule type="containsText" dxfId="9" priority="35272" operator="containsText" text="No">
      <formula>NOT(ISERROR(SEARCH(("No"),(N161))))</formula>
    </cfRule>
  </conditionalFormatting>
  <conditionalFormatting sqref="N161:Q162 N164:O167 P164:Q164 P166:Q167 N170:O170 N172:Q172 N174:Q174 N176:Q176 N180:Q182 N184:Q184">
    <cfRule type="containsText" dxfId="9" priority="35273" operator="containsText" text="No">
      <formula>NOT(ISERROR(SEARCH(("No"),(N161))))</formula>
    </cfRule>
  </conditionalFormatting>
  <conditionalFormatting sqref="N161:Q162 N164:O167 P164:Q164 P166:Q167 N170:O170 N172:Q172 N174:Q174 N176:Q176 N180:Q182 N184:Q184">
    <cfRule type="containsText" dxfId="9" priority="35274" operator="containsText" text="No">
      <formula>NOT(ISERROR(SEARCH(("No"),(N161))))</formula>
    </cfRule>
  </conditionalFormatting>
  <conditionalFormatting sqref="N161:Q162 N164:O167 P164:Q164 P166:Q167 N170:O170 N172:Q172 N174:Q174 N176:Q176 N180:Q182 N184:Q184">
    <cfRule type="containsText" dxfId="9" priority="35275" operator="containsText" text="No">
      <formula>NOT(ISERROR(SEARCH(("No"),(N161))))</formula>
    </cfRule>
  </conditionalFormatting>
  <conditionalFormatting sqref="N161:Q162 N164:O167 P164:Q164 P166:Q167 N170:O170 N172:Q172 N174:Q174 N176:Q176 N180:Q182 N184:Q184">
    <cfRule type="containsText" dxfId="9" priority="35276" operator="containsText" text="No">
      <formula>NOT(ISERROR(SEARCH(("No"),(N161))))</formula>
    </cfRule>
  </conditionalFormatting>
  <conditionalFormatting sqref="N161:Q162 N164:O167 P164:Q164 P166:Q167 N170:O170 N172:Q172 N174:Q174 N176:Q176 N180:Q182 N184:Q184">
    <cfRule type="containsText" dxfId="9" priority="35277" operator="containsText" text="No">
      <formula>NOT(ISERROR(SEARCH(("No"),(N161))))</formula>
    </cfRule>
  </conditionalFormatting>
  <conditionalFormatting sqref="N161:Q162 N164:O167 P164:Q164 P166:Q167 N170:O170 N172:Q172 N174:Q174 N176:Q176 N180:Q182 N184:Q184">
    <cfRule type="containsText" dxfId="9" priority="35278" operator="containsText" text="No">
      <formula>NOT(ISERROR(SEARCH(("No"),(N161))))</formula>
    </cfRule>
  </conditionalFormatting>
  <conditionalFormatting sqref="N161:Q162 N164:O167 P164:Q164 P166:Q167 N170:O170 N172:Q172 N174:Q174 N176:Q176 N180:Q182 N184:Q184">
    <cfRule type="containsText" dxfId="9" priority="35279" operator="containsText" text="No">
      <formula>NOT(ISERROR(SEARCH(("No"),(N161))))</formula>
    </cfRule>
  </conditionalFormatting>
  <conditionalFormatting sqref="N161:Q162 N164:O167 P164:Q164 P166:Q167 N170:O170 N172:Q172 N174:Q174 N176:Q176 N180:Q182 N184:Q184">
    <cfRule type="containsText" dxfId="9" priority="35280" operator="containsText" text="No">
      <formula>NOT(ISERROR(SEARCH(("No"),(N161))))</formula>
    </cfRule>
  </conditionalFormatting>
  <conditionalFormatting sqref="N161:Q162 N164:O167 P164:Q164 P166:Q167 N170:O170 N172:Q172 N174:Q174 N176:Q176 N180:Q182 N184:Q184">
    <cfRule type="containsText" dxfId="9" priority="35281" operator="containsText" text="No">
      <formula>NOT(ISERROR(SEARCH(("No"),(N161))))</formula>
    </cfRule>
  </conditionalFormatting>
  <conditionalFormatting sqref="N161:Q162 N164:O167 P164:Q164 P166:Q167 N170:O170 N172:Q172 N174:Q174 N176:Q176 N180:Q182 N184:Q184">
    <cfRule type="containsText" dxfId="9" priority="35282" operator="containsText" text="No">
      <formula>NOT(ISERROR(SEARCH(("No"),(N161))))</formula>
    </cfRule>
  </conditionalFormatting>
  <conditionalFormatting sqref="N161:Q162 N164:O167 P164:Q164 P166:Q167 N170:O170 N172:Q172 N174:Q174 N176:Q176 N180:Q182 N184:Q184">
    <cfRule type="containsText" dxfId="9" priority="35283" operator="containsText" text="No">
      <formula>NOT(ISERROR(SEARCH(("No"),(N161))))</formula>
    </cfRule>
  </conditionalFormatting>
  <conditionalFormatting sqref="N161:Q162 N164:O167 P164:Q164 P166:Q167 N170:O170 N172:Q172 N174:Q174 N176:Q176 N180:Q182 N184:Q184">
    <cfRule type="containsText" dxfId="9" priority="35284" operator="containsText" text="No">
      <formula>NOT(ISERROR(SEARCH(("No"),(N161))))</formula>
    </cfRule>
  </conditionalFormatting>
  <conditionalFormatting sqref="N161:Q162 N164:O167 P164:Q164 P166:Q167 N170:O170 N172:Q172 N174:Q174 N176:Q176 N180:Q182 N184:Q184">
    <cfRule type="containsText" dxfId="9" priority="35285" operator="containsText" text="No">
      <formula>NOT(ISERROR(SEARCH(("No"),(N161))))</formula>
    </cfRule>
  </conditionalFormatting>
  <conditionalFormatting sqref="N161:Q162 N164:O167 P164:Q164 P166:Q167 N170:O170 N172:Q172 N174:Q174 N176:Q176 N180:Q182 N184:Q184">
    <cfRule type="containsText" dxfId="9" priority="35286" operator="containsText" text="No">
      <formula>NOT(ISERROR(SEARCH(("No"),(N161))))</formula>
    </cfRule>
  </conditionalFormatting>
  <conditionalFormatting sqref="N161:Q162 N164:O167 P164:Q164 P166:Q167 N170:O170 N172:Q172 N174:Q174 N176:Q176 N180:Q182 N184:Q184">
    <cfRule type="containsText" dxfId="9" priority="35287" operator="containsText" text="No">
      <formula>NOT(ISERROR(SEARCH(("No"),(N161))))</formula>
    </cfRule>
  </conditionalFormatting>
  <conditionalFormatting sqref="N161:Q162 N164:O167 P164:Q164 P166:Q167 N170:O170 N172:Q172 N174:Q174 N176:Q176 N180:Q182 N184:Q184">
    <cfRule type="containsText" dxfId="9" priority="35288" operator="containsText" text="No">
      <formula>NOT(ISERROR(SEARCH(("No"),(N161))))</formula>
    </cfRule>
  </conditionalFormatting>
  <conditionalFormatting sqref="N161:Q162 N164:O167 P164:Q164 P166:Q167 N170:O170 N172:Q172 N174:Q174 N176:Q176 N180:Q182 N184:Q184">
    <cfRule type="containsText" dxfId="9" priority="35289" operator="containsText" text="No">
      <formula>NOT(ISERROR(SEARCH(("No"),(N161))))</formula>
    </cfRule>
  </conditionalFormatting>
  <conditionalFormatting sqref="N161:Q162 N164:O167 P164:Q164 P166:Q167 N170:O170 N172:Q172 N174:Q174 N176:Q176 N180:Q182 N184:Q184">
    <cfRule type="containsText" dxfId="9" priority="35290" operator="containsText" text="No">
      <formula>NOT(ISERROR(SEARCH(("No"),(N161))))</formula>
    </cfRule>
  </conditionalFormatting>
  <conditionalFormatting sqref="N161:Q162 N164:O167 P164:Q164 P166:Q167 N170:O170 N172:Q172 N174:Q174 N176:Q176 N180:Q182 N184:Q184">
    <cfRule type="containsText" dxfId="9" priority="35291" operator="containsText" text="No">
      <formula>NOT(ISERROR(SEARCH(("No"),(N161))))</formula>
    </cfRule>
  </conditionalFormatting>
  <conditionalFormatting sqref="N161:Q162 N164:O167 P164:Q164 P166:Q167 N170:O170 N172:Q172 N174:Q174 N176:Q176 N180:Q182 N184:Q184">
    <cfRule type="containsText" dxfId="9" priority="35292" operator="containsText" text="No">
      <formula>NOT(ISERROR(SEARCH(("No"),(N161))))</formula>
    </cfRule>
  </conditionalFormatting>
  <conditionalFormatting sqref="N161:Q162 N164:O167 P164:Q164 P166:Q167 N170:O170 N172:Q172 N174:Q174 N176:Q176 N180:Q182 N184:Q184">
    <cfRule type="containsText" dxfId="9" priority="35293" operator="containsText" text="No">
      <formula>NOT(ISERROR(SEARCH(("No"),(N161))))</formula>
    </cfRule>
  </conditionalFormatting>
  <conditionalFormatting sqref="N161:Q162 N164:O167 P164:Q164 P166:Q167 N170:O170 N172:Q172 N174:Q174 N176:Q176 N180:Q182 N184:Q184">
    <cfRule type="containsText" dxfId="9" priority="35294" operator="containsText" text="No">
      <formula>NOT(ISERROR(SEARCH(("No"),(N161))))</formula>
    </cfRule>
  </conditionalFormatting>
  <conditionalFormatting sqref="N161:Q162 N164:O167 P164:Q164 P166:Q167 N170:O170 N172:Q172 N174:Q174 N176:Q176 N180:Q182 N184:Q184">
    <cfRule type="containsText" dxfId="9" priority="35295" operator="containsText" text="No">
      <formula>NOT(ISERROR(SEARCH(("No"),(N161))))</formula>
    </cfRule>
  </conditionalFormatting>
  <conditionalFormatting sqref="N161:Q162 N164:O167 P164:Q164 P166:Q167 N170:O170 N172:Q172 N174:Q174 N176:Q176 N180:Q182 N184:Q184">
    <cfRule type="containsText" dxfId="9" priority="35296" operator="containsText" text="No">
      <formula>NOT(ISERROR(SEARCH(("No"),(N161))))</formula>
    </cfRule>
  </conditionalFormatting>
  <conditionalFormatting sqref="N161:Q162 N164:O167 P164:Q164 P166:Q167 N170:O170 N172:Q172 N174:Q174 N176:Q176 N180:Q182 N184:Q184">
    <cfRule type="containsText" dxfId="9" priority="35297" operator="containsText" text="No">
      <formula>NOT(ISERROR(SEARCH(("No"),(N161))))</formula>
    </cfRule>
  </conditionalFormatting>
  <conditionalFormatting sqref="N161:Q162 N164:O167 P164:Q164 P166:Q167 N170:O170 N172:Q172 N174:Q174 N176:Q176 N180:Q182 N184:Q184">
    <cfRule type="containsText" dxfId="9" priority="35298" operator="containsText" text="No">
      <formula>NOT(ISERROR(SEARCH(("No"),(N161))))</formula>
    </cfRule>
  </conditionalFormatting>
  <conditionalFormatting sqref="N161:Q162 N164:O167 P164:Q164 P166:Q167 N170:O170 N172:Q172 N174:Q174 N176:Q176 N180:Q182 N184:Q184">
    <cfRule type="containsText" dxfId="9" priority="35299" operator="containsText" text="No">
      <formula>NOT(ISERROR(SEARCH(("No"),(N161))))</formula>
    </cfRule>
  </conditionalFormatting>
  <conditionalFormatting sqref="N161:Q162 N164:O167 P164:Q164 P166:Q167 N170:O170 N172:Q172 N174:Q174 N176:Q176 N180:Q182 N184:Q184">
    <cfRule type="containsText" dxfId="9" priority="35300" operator="containsText" text="No">
      <formula>NOT(ISERROR(SEARCH(("No"),(N161))))</formula>
    </cfRule>
  </conditionalFormatting>
  <conditionalFormatting sqref="N161:Q162 N164:O167 P164:Q164 P166:Q167 N170:O170 N172:Q172 N174:Q174 N176:Q176 N180:Q182 N184:Q184">
    <cfRule type="containsText" dxfId="9" priority="35301" operator="containsText" text="No">
      <formula>NOT(ISERROR(SEARCH(("No"),(N161))))</formula>
    </cfRule>
  </conditionalFormatting>
  <conditionalFormatting sqref="N161:Q162 N164:O167 P164:Q164 P166:Q167 N170:O170 N172:Q172 N174:Q174 N176:Q176 N180:Q182 N184:Q184">
    <cfRule type="containsText" dxfId="9" priority="35302" operator="containsText" text="No">
      <formula>NOT(ISERROR(SEARCH(("No"),(N161))))</formula>
    </cfRule>
  </conditionalFormatting>
  <conditionalFormatting sqref="N161:Q162 N164:O167 P164:Q164 P166:Q167 N170:O170 N172:Q172 N174:Q174 N176:Q176 N180:Q182 N184:Q184">
    <cfRule type="containsText" dxfId="9" priority="35303" operator="containsText" text="No">
      <formula>NOT(ISERROR(SEARCH(("No"),(N161))))</formula>
    </cfRule>
  </conditionalFormatting>
  <conditionalFormatting sqref="N161:Q162 N164:O167 P164:Q164 P166:Q167 N170:O170 N172:Q172 N174:Q174 N176:Q176 N180:Q182 N184:Q184">
    <cfRule type="containsText" dxfId="9" priority="35304" operator="containsText" text="No">
      <formula>NOT(ISERROR(SEARCH(("No"),(N161))))</formula>
    </cfRule>
  </conditionalFormatting>
  <conditionalFormatting sqref="N161:Q162 N164:O167 P164:Q164 P166:Q167 N170:O170 N172:Q172 N174:Q174 N176:Q176 N180:Q182 N184:Q184">
    <cfRule type="containsText" dxfId="9" priority="35305" operator="containsText" text="No">
      <formula>NOT(ISERROR(SEARCH(("No"),(N161))))</formula>
    </cfRule>
  </conditionalFormatting>
  <conditionalFormatting sqref="N161:Q162 N164:O167 P164:Q164 P166:Q167 N170:O170 N172:Q172 N174:Q174 N176:Q176 N180:Q182 N184:Q184">
    <cfRule type="containsText" dxfId="9" priority="35306" operator="containsText" text="No">
      <formula>NOT(ISERROR(SEARCH(("No"),(N161))))</formula>
    </cfRule>
  </conditionalFormatting>
  <conditionalFormatting sqref="N161:Q162 N164:O167 P164:Q164 P166:Q167 N170:O170 N172:Q172 N174:Q174 N176:Q176 N180:Q182 N184:Q184">
    <cfRule type="containsText" dxfId="9" priority="35307" operator="containsText" text="No">
      <formula>NOT(ISERROR(SEARCH(("No"),(N161))))</formula>
    </cfRule>
  </conditionalFormatting>
  <conditionalFormatting sqref="N161:Q162 N164:O167 P164:Q164 P166:Q167 N170:O170 N172:Q172 N174:Q174 N176:Q176 N180:Q182 N184:Q184">
    <cfRule type="containsText" dxfId="9" priority="35308" operator="containsText" text="No">
      <formula>NOT(ISERROR(SEARCH(("No"),(N161))))</formula>
    </cfRule>
  </conditionalFormatting>
  <conditionalFormatting sqref="N161:Q162 N164:O167 P164:Q164 P166:Q167 N170:O170 N172:Q172 N174:Q174 N176:Q176 N180:Q182 N184:Q184">
    <cfRule type="containsText" dxfId="9" priority="35309" operator="containsText" text="No">
      <formula>NOT(ISERROR(SEARCH(("No"),(N161))))</formula>
    </cfRule>
  </conditionalFormatting>
  <conditionalFormatting sqref="N161:Q162 N164:O167 P164:Q164 P166:Q167 N170:O170 N172:Q172 N174:Q174 N176:Q176 N180:Q182 N184:Q184">
    <cfRule type="containsText" dxfId="9" priority="35310" operator="containsText" text="No">
      <formula>NOT(ISERROR(SEARCH(("No"),(N161))))</formula>
    </cfRule>
  </conditionalFormatting>
  <conditionalFormatting sqref="N161:Q162 N164:O167 P164:Q164 P166:Q167 N170:O170 N172:Q172 N174:Q174 N176:Q176 N180:Q182 N184:Q184">
    <cfRule type="containsText" dxfId="9" priority="35311" operator="containsText" text="No">
      <formula>NOT(ISERROR(SEARCH(("No"),(N161))))</formula>
    </cfRule>
  </conditionalFormatting>
  <conditionalFormatting sqref="N161:Q162 N164:O167 P164:Q164 P166:Q167 N170:O170 N172:Q172 N174:Q174 N176:Q176 N180:Q182 N184:Q184">
    <cfRule type="containsText" dxfId="9" priority="35312" operator="containsText" text="No">
      <formula>NOT(ISERROR(SEARCH(("No"),(N161))))</formula>
    </cfRule>
  </conditionalFormatting>
  <conditionalFormatting sqref="N161:Q162 N164:O167 P164:Q164 P166:Q167 N170:O170 N172:Q172 N174:Q174 N176:Q176 N180:Q182 N184:Q184">
    <cfRule type="containsText" dxfId="9" priority="35313" operator="containsText" text="No">
      <formula>NOT(ISERROR(SEARCH(("No"),(N161))))</formula>
    </cfRule>
  </conditionalFormatting>
  <conditionalFormatting sqref="N161:Q162 N164:O167 P164:Q164 P166:Q167 N170:O170 N172:Q172 N174:Q174 N176:Q176 N180:Q182 N184:Q184">
    <cfRule type="containsText" dxfId="9" priority="35314" operator="containsText" text="No">
      <formula>NOT(ISERROR(SEARCH(("No"),(N161))))</formula>
    </cfRule>
  </conditionalFormatting>
  <conditionalFormatting sqref="N161:Q162 N164:O167 P164:Q164 P166:Q167 N170:O170 N172:Q172 N174:Q174 N176:Q176 N180:Q182 N184:Q184">
    <cfRule type="containsText" dxfId="9" priority="35315" operator="containsText" text="No">
      <formula>NOT(ISERROR(SEARCH(("No"),(N161))))</formula>
    </cfRule>
  </conditionalFormatting>
  <conditionalFormatting sqref="N161:Q162 N164:O167 P164:Q164 P166:Q167 N170:O170 N172:Q172 N174:Q174 N176:Q176 N180:Q182 N184:Q184">
    <cfRule type="containsText" dxfId="2" priority="35316" operator="containsText" text="Yes">
      <formula>NOT(ISERROR(SEARCH(("Yes"),(N161))))</formula>
    </cfRule>
  </conditionalFormatting>
  <conditionalFormatting sqref="N161:Q162 N164:O167 P164:Q164 P166:Q167 N170:O170 N172:Q172 N174:Q174 N176:Q176 N180:Q182 N184:Q184">
    <cfRule type="containsText" dxfId="2" priority="35317" operator="containsText" text="Yes">
      <formula>NOT(ISERROR(SEARCH(("Yes"),(N161))))</formula>
    </cfRule>
  </conditionalFormatting>
  <conditionalFormatting sqref="N161:Q162 N164:O167 P164:Q164 P166:Q167 N170:O170 N172:Q172 N174:Q174 N176:Q176 N180:Q182 N184:Q184">
    <cfRule type="containsText" dxfId="2" priority="35318" operator="containsText" text="Yes">
      <formula>NOT(ISERROR(SEARCH(("Yes"),(N161))))</formula>
    </cfRule>
  </conditionalFormatting>
  <conditionalFormatting sqref="N161:Q162 N164:O167 P164:Q164 P166:Q167 N170:O170 N172:Q172 N174:Q174 N176:Q176 N180:Q182 N184:Q184">
    <cfRule type="containsText" dxfId="2" priority="35319" operator="containsText" text="Yes">
      <formula>NOT(ISERROR(SEARCH(("Yes"),(N161))))</formula>
    </cfRule>
  </conditionalFormatting>
  <conditionalFormatting sqref="N161:Q162 N164:O167 P164:Q164 P166:Q167 N170:O170 N172:Q172 N174:Q174 N176:Q176 N180:Q182 N184:Q184">
    <cfRule type="containsText" dxfId="2" priority="35320" operator="containsText" text="Yes">
      <formula>NOT(ISERROR(SEARCH(("Yes"),(N161))))</formula>
    </cfRule>
  </conditionalFormatting>
  <conditionalFormatting sqref="N161:Q162 N164:O167 P164:Q164 P166:Q167 N170:O170 N172:Q172 N174:Q174 N176:Q176 N180:Q182 N184:Q184">
    <cfRule type="containsText" dxfId="2" priority="35321" operator="containsText" text="Yes">
      <formula>NOT(ISERROR(SEARCH(("Yes"),(N161))))</formula>
    </cfRule>
  </conditionalFormatting>
  <conditionalFormatting sqref="N161:Q162 N164:O167 P164:Q164 P166:Q167 N170:O170 N172:Q172 N174:Q174 N176:Q176 N180:Q182 N184:Q184">
    <cfRule type="containsText" dxfId="2" priority="35322" operator="containsText" text="Yes">
      <formula>NOT(ISERROR(SEARCH(("Yes"),(N161))))</formula>
    </cfRule>
  </conditionalFormatting>
  <conditionalFormatting sqref="N161:Q162 N164:O167 P164:Q164 P166:Q167 N170:O170 N172:Q172 N174:Q174 N176:Q176 N180:Q182 N184:Q184">
    <cfRule type="containsText" dxfId="2" priority="35323" operator="containsText" text="Yes">
      <formula>NOT(ISERROR(SEARCH(("Yes"),(N161))))</formula>
    </cfRule>
  </conditionalFormatting>
  <conditionalFormatting sqref="N161:Q162 N164:O167 P164:Q164 P166:Q167 N170:O170 N172:Q172 N174:Q174 N176:Q176 N180:Q182 N184:Q184">
    <cfRule type="containsText" dxfId="2" priority="35324" operator="containsText" text="Yes">
      <formula>NOT(ISERROR(SEARCH(("Yes"),(N161))))</formula>
    </cfRule>
  </conditionalFormatting>
  <conditionalFormatting sqref="N161:Q162 N164:O167 P164:Q164 P166:Q167 N170:O170 N172:Q172 N174:Q174 N176:Q176 N180:Q182 N184:Q184">
    <cfRule type="containsText" dxfId="2" priority="35325" operator="containsText" text="Yes">
      <formula>NOT(ISERROR(SEARCH(("Yes"),(N161))))</formula>
    </cfRule>
  </conditionalFormatting>
  <conditionalFormatting sqref="N161:Q162 N164:O167 P164:Q164 P166:Q167 N170:O170 N172:Q172 N174:Q174 N176:Q176 N180:Q182 N184:Q184">
    <cfRule type="containsText" dxfId="2" priority="35326" operator="containsText" text="Yes">
      <formula>NOT(ISERROR(SEARCH(("Yes"),(N161))))</formula>
    </cfRule>
  </conditionalFormatting>
  <conditionalFormatting sqref="N161:Q162 N164:O167 P164:Q164 P166:Q167 N170:O170 N172:Q172 N174:Q174 N176:Q176 N180:Q182 N184:Q184">
    <cfRule type="containsText" dxfId="2" priority="35327" operator="containsText" text="Yes">
      <formula>NOT(ISERROR(SEARCH(("Yes"),(N161))))</formula>
    </cfRule>
  </conditionalFormatting>
  <conditionalFormatting sqref="N161:Q162 N164:O167 P164:Q164 P166:Q167 N170:O170 N172:Q172 N174:Q174 N176:Q176 N180:Q182 N184:Q184">
    <cfRule type="containsText" dxfId="2" priority="35328" operator="containsText" text="Yes">
      <formula>NOT(ISERROR(SEARCH(("Yes"),(N161))))</formula>
    </cfRule>
  </conditionalFormatting>
  <conditionalFormatting sqref="N161:Q162 N164:O167 P164:Q164 P166:Q167 N170:O170 N172:Q172 N174:Q174 N176:Q176 N180:Q182 N184:Q184">
    <cfRule type="containsText" dxfId="2" priority="35329" operator="containsText" text="Yes">
      <formula>NOT(ISERROR(SEARCH(("Yes"),(N161))))</formula>
    </cfRule>
  </conditionalFormatting>
  <conditionalFormatting sqref="N161:Q162 N164:O167 P164:Q164 P166:Q167 N170:O170 N172:Q172 N174:Q174 N176:Q176 N180:Q182 N184:Q184">
    <cfRule type="containsText" dxfId="2" priority="35330" operator="containsText" text="Yes">
      <formula>NOT(ISERROR(SEARCH(("Yes"),(N161))))</formula>
    </cfRule>
  </conditionalFormatting>
  <conditionalFormatting sqref="N161:Q162 N164:O167 P164:Q164 P166:Q167 N170:O170 N172:Q172 N174:Q174 N176:Q176 N180:Q182 N184:Q184">
    <cfRule type="containsText" dxfId="2" priority="35331" operator="containsText" text="Yes">
      <formula>NOT(ISERROR(SEARCH(("Yes"),(N161))))</formula>
    </cfRule>
  </conditionalFormatting>
  <conditionalFormatting sqref="N161:Q162 N164:O167 P164:Q164 P166:Q167 N170:O170 N172:Q172 N174:Q174 N176:Q176 N180:Q182 N184:Q184">
    <cfRule type="containsText" dxfId="2" priority="35332" operator="containsText" text="Yes">
      <formula>NOT(ISERROR(SEARCH(("Yes"),(N161))))</formula>
    </cfRule>
  </conditionalFormatting>
  <conditionalFormatting sqref="N161:Q162 N164:O167 P164:Q164 P166:Q167 N170:O170 N172:Q172 N174:Q174 N176:Q176 N180:Q182 N184:Q184">
    <cfRule type="containsText" dxfId="2" priority="35333" operator="containsText" text="Yes">
      <formula>NOT(ISERROR(SEARCH(("Yes"),(N161))))</formula>
    </cfRule>
  </conditionalFormatting>
  <conditionalFormatting sqref="N161:Q162 N164:O167 P164:Q164 P166:Q167 N170:O170 N172:Q172 N174:Q174 N176:Q176 N180:Q182 N184:Q184">
    <cfRule type="containsText" dxfId="2" priority="35334" operator="containsText" text="Yes">
      <formula>NOT(ISERROR(SEARCH(("Yes"),(N161))))</formula>
    </cfRule>
  </conditionalFormatting>
  <conditionalFormatting sqref="N161:Q162 N164:O167 P164:Q164 P166:Q167 N170:O170 N172:Q172 N174:Q174 N176:Q176 N180:Q182 N184:Q184">
    <cfRule type="containsText" dxfId="2" priority="35335" operator="containsText" text="Yes">
      <formula>NOT(ISERROR(SEARCH(("Yes"),(N161))))</formula>
    </cfRule>
  </conditionalFormatting>
  <conditionalFormatting sqref="N161:Q162 N164:O167 P164:Q164 P166:Q167 N170:O170 N172:Q172 N174:Q174 N176:Q176 N180:Q182 N184:Q184">
    <cfRule type="containsText" dxfId="2" priority="35336" operator="containsText" text="Yes">
      <formula>NOT(ISERROR(SEARCH(("Yes"),(N161))))</formula>
    </cfRule>
  </conditionalFormatting>
  <conditionalFormatting sqref="N161:Q162 N164:O167 P164:Q164 P166:Q167 N170:O170 N172:Q172 N174:Q174 N176:Q176 N180:Q182 N184:Q184">
    <cfRule type="containsText" dxfId="2" priority="35337" operator="containsText" text="Yes">
      <formula>NOT(ISERROR(SEARCH(("Yes"),(N161))))</formula>
    </cfRule>
  </conditionalFormatting>
  <conditionalFormatting sqref="N161:Q162 N164:O167 P164:Q164 P166:Q167 N170:O170 N172:Q172 N174:Q174 N176:Q176 N180:Q182 N184:Q184">
    <cfRule type="containsText" dxfId="2" priority="35338" operator="containsText" text="Yes">
      <formula>NOT(ISERROR(SEARCH(("Yes"),(N161))))</formula>
    </cfRule>
  </conditionalFormatting>
  <conditionalFormatting sqref="N161:Q162 N164:O167 P164:Q164 P166:Q167 N170:O170 N172:Q172 N174:Q174 N176:Q176 N180:Q182 N184:Q184">
    <cfRule type="containsText" dxfId="2" priority="35339" operator="containsText" text="Yes">
      <formula>NOT(ISERROR(SEARCH(("Yes"),(N161))))</formula>
    </cfRule>
  </conditionalFormatting>
  <conditionalFormatting sqref="N161:Q162 N164:O167 P164:Q164 P166:Q167 N170:O170 N172:Q172 N174:Q174 N176:Q176 N180:Q182 N184:Q184">
    <cfRule type="containsText" dxfId="2" priority="35340" operator="containsText" text="Yes">
      <formula>NOT(ISERROR(SEARCH(("Yes"),(N161))))</formula>
    </cfRule>
  </conditionalFormatting>
  <conditionalFormatting sqref="N161:Q162 N164:O167 P164:Q164 P166:Q167 N170:O170 N172:Q172 N174:Q174 N176:Q176 N180:Q182 N184:Q184">
    <cfRule type="containsText" dxfId="2" priority="35341" operator="containsText" text="Yes">
      <formula>NOT(ISERROR(SEARCH(("Yes"),(N161))))</formula>
    </cfRule>
  </conditionalFormatting>
  <conditionalFormatting sqref="N161:Q162 N164:O167 P164:Q164 P166:Q167 N170:O170 N172:Q172 N174:Q174 N176:Q176 N180:Q182 N184:Q184">
    <cfRule type="containsText" dxfId="2" priority="35342" operator="containsText" text="Yes">
      <formula>NOT(ISERROR(SEARCH(("Yes"),(N161))))</formula>
    </cfRule>
  </conditionalFormatting>
  <conditionalFormatting sqref="N161:Q162 N164:O167 P164:Q164 P166:Q167 N170:O170 N172:Q172 N174:Q174 N176:Q176 N180:Q182 N184:Q184">
    <cfRule type="containsText" dxfId="2" priority="35343" operator="containsText" text="Yes">
      <formula>NOT(ISERROR(SEARCH(("Yes"),(N161))))</formula>
    </cfRule>
  </conditionalFormatting>
  <conditionalFormatting sqref="N161:Q162 N164:O167 P164:Q164 P166:Q167 N170:O170 N172:Q172 N174:Q174 N176:Q176 N180:Q182 N184:Q184">
    <cfRule type="containsText" dxfId="2" priority="35344" operator="containsText" text="Yes">
      <formula>NOT(ISERROR(SEARCH(("Yes"),(N161))))</formula>
    </cfRule>
  </conditionalFormatting>
  <conditionalFormatting sqref="N161:Q162 N164:O167 P164:Q164 P166:Q167 N170:O170 N172:Q172 N174:Q174 N176:Q176 N180:Q182 N184:Q184">
    <cfRule type="containsText" dxfId="2" priority="35345" operator="containsText" text="Yes">
      <formula>NOT(ISERROR(SEARCH(("Yes"),(N161))))</formula>
    </cfRule>
  </conditionalFormatting>
  <conditionalFormatting sqref="N161:Q162 N164:O167 P164:Q164 P166:Q167 N170:O170 N172:Q172 N174:Q174 N176:Q176 N180:Q182 N184:Q184">
    <cfRule type="containsText" dxfId="2" priority="35346" operator="containsText" text="Yes">
      <formula>NOT(ISERROR(SEARCH(("Yes"),(N161))))</formula>
    </cfRule>
  </conditionalFormatting>
  <conditionalFormatting sqref="N161:Q162 N164:O167 P164:Q164 P166:Q167 N170:O170 N172:Q172 N174:Q174 N176:Q176 N180:Q182 N184:Q184">
    <cfRule type="containsText" dxfId="2" priority="35347" operator="containsText" text="Yes">
      <formula>NOT(ISERROR(SEARCH(("Yes"),(N161))))</formula>
    </cfRule>
  </conditionalFormatting>
  <conditionalFormatting sqref="N161:Q162 N164:O167 P164:Q164 P166:Q167 N170:O170 N172:Q172 N174:Q174 N176:Q176 N180:Q182 N184:Q184">
    <cfRule type="containsText" dxfId="2" priority="35348" operator="containsText" text="Yes">
      <formula>NOT(ISERROR(SEARCH(("Yes"),(N161))))</formula>
    </cfRule>
  </conditionalFormatting>
  <conditionalFormatting sqref="N161:Q162 N164:O167 P164:Q164 P166:Q167 N170:O170 N172:Q172 N174:Q174 N176:Q176 N180:Q182 N184:Q184">
    <cfRule type="containsText" dxfId="2" priority="35349" operator="containsText" text="Yes">
      <formula>NOT(ISERROR(SEARCH(("Yes"),(N161))))</formula>
    </cfRule>
  </conditionalFormatting>
  <conditionalFormatting sqref="N161:Q162 N164:O167 P164:Q164 P166:Q167 N170:O170 N172:Q172 N174:Q174 N176:Q176 N180:Q182 N184:Q184">
    <cfRule type="containsText" dxfId="2" priority="35350" operator="containsText" text="Yes">
      <formula>NOT(ISERROR(SEARCH(("Yes"),(N161))))</formula>
    </cfRule>
  </conditionalFormatting>
  <conditionalFormatting sqref="N161:Q162 N164:O167 P164:Q164 P166:Q167 N170:O170 N172:Q172 N174:Q174 N176:Q176 N180:Q182 N184:Q184">
    <cfRule type="containsText" dxfId="2" priority="35351" operator="containsText" text="Yes">
      <formula>NOT(ISERROR(SEARCH(("Yes"),(N161))))</formula>
    </cfRule>
  </conditionalFormatting>
  <conditionalFormatting sqref="N161:Q162 N164:O167 P164:Q164 P166:Q167 N170:O170 N172:Q172 N174:Q174 N176:Q176 N180:Q182 N184:Q184">
    <cfRule type="containsText" dxfId="2" priority="35352" operator="containsText" text="Yes">
      <formula>NOT(ISERROR(SEARCH(("Yes"),(N161))))</formula>
    </cfRule>
  </conditionalFormatting>
  <conditionalFormatting sqref="N161:Q162 N164:O167 P164:Q164 P166:Q167 N170:O170 N172:Q172 N174:Q174 N176:Q176 N180:Q182 N184:Q184">
    <cfRule type="containsText" dxfId="2" priority="35353" operator="containsText" text="Yes">
      <formula>NOT(ISERROR(SEARCH(("Yes"),(N161))))</formula>
    </cfRule>
  </conditionalFormatting>
  <conditionalFormatting sqref="N161:Q162 N164:O167 P164:Q164 P166:Q167 N170:O170 N172:Q172 N174:Q174 N176:Q176 N180:Q182 N184:Q184">
    <cfRule type="containsText" dxfId="2" priority="35354" operator="containsText" text="Yes">
      <formula>NOT(ISERROR(SEARCH(("Yes"),(N161))))</formula>
    </cfRule>
  </conditionalFormatting>
  <conditionalFormatting sqref="N161:Q162 N164:O167 P164:Q164 P166:Q167 N170:O170 N172:Q172 N174:Q174 N176:Q176 N180:Q182 N184:Q184">
    <cfRule type="containsText" dxfId="2" priority="35355" operator="containsText" text="Yes">
      <formula>NOT(ISERROR(SEARCH(("Yes"),(N161))))</formula>
    </cfRule>
  </conditionalFormatting>
  <conditionalFormatting sqref="N161:Q162 N164:O167 P164:Q164 P166:Q167 N170:O170 N172:Q172 N174:Q174 N176:Q176 N180:Q182 N184:Q184">
    <cfRule type="containsText" dxfId="2" priority="35356" operator="containsText" text="Yes">
      <formula>NOT(ISERROR(SEARCH(("Yes"),(N161))))</formula>
    </cfRule>
  </conditionalFormatting>
  <conditionalFormatting sqref="N161:Q162 N164:O167 P164:Q164 P166:Q167 N170:O170 N172:Q172 N174:Q174 N176:Q176 N180:Q182 N184:Q184">
    <cfRule type="containsText" dxfId="2" priority="35357" operator="containsText" text="Yes">
      <formula>NOT(ISERROR(SEARCH(("Yes"),(N161))))</formula>
    </cfRule>
  </conditionalFormatting>
  <conditionalFormatting sqref="N161:Q162 N164:O167 P164:Q164 P166:Q167 N170:O170 N172:Q172 N174:Q174 N176:Q176 N180:Q182 N184:Q184">
    <cfRule type="containsText" dxfId="2" priority="35358" operator="containsText" text="Yes">
      <formula>NOT(ISERROR(SEARCH(("Yes"),(N161))))</formula>
    </cfRule>
  </conditionalFormatting>
  <conditionalFormatting sqref="N161:Q162 N164:O167 P164:Q164 P166:Q167 N170:O170 N172:Q172 N174:Q174 N176:Q176 N180:Q182 N184:Q184">
    <cfRule type="containsText" dxfId="2" priority="35359" operator="containsText" text="Yes">
      <formula>NOT(ISERROR(SEARCH(("Yes"),(N161))))</formula>
    </cfRule>
  </conditionalFormatting>
  <conditionalFormatting sqref="N161:Q162 N164:O167 P164:Q164 P166:Q167 N170:O170 N172:Q172 N174:Q174 N176:Q176 N180:Q182 N184:Q184">
    <cfRule type="containsText" dxfId="2" priority="35360" operator="containsText" text="Yes">
      <formula>NOT(ISERROR(SEARCH(("Yes"),(N161))))</formula>
    </cfRule>
  </conditionalFormatting>
  <conditionalFormatting sqref="N161:Q162 N164:O167 P164:Q164 P166:Q167 N170:O170 N172:Q172 N174:Q174 N176:Q176 N180:Q182 N184:Q184">
    <cfRule type="containsText" dxfId="2" priority="35361" operator="containsText" text="Yes">
      <formula>NOT(ISERROR(SEARCH(("Yes"),(N161))))</formula>
    </cfRule>
  </conditionalFormatting>
  <conditionalFormatting sqref="N161:Q162 N164:O167 P164:Q164 P166:Q167 N170:O170 N172:Q172 N174:Q174 N176:Q176 N180:Q182 N184:Q184">
    <cfRule type="containsText" dxfId="2" priority="35362" operator="containsText" text="Yes">
      <formula>NOT(ISERROR(SEARCH(("Yes"),(N161))))</formula>
    </cfRule>
  </conditionalFormatting>
  <conditionalFormatting sqref="N162:N214 O165:Q165 O170:Q170 O203 O205:O214">
    <cfRule type="containsText" dxfId="9" priority="35363" operator="containsText" text="No">
      <formula>NOT(ISERROR(SEARCH(("No"),(N162))))</formula>
    </cfRule>
  </conditionalFormatting>
  <conditionalFormatting sqref="N162:N214 O165:Q165 O170:Q170 O203 O205:O214">
    <cfRule type="containsText" dxfId="9" priority="35364" operator="containsText" text="No">
      <formula>NOT(ISERROR(SEARCH(("No"),(N162))))</formula>
    </cfRule>
  </conditionalFormatting>
  <conditionalFormatting sqref="N162:N214 O165:Q165 O170:Q170 O203 O205:O214">
    <cfRule type="containsText" dxfId="9" priority="35365" operator="containsText" text="No">
      <formula>NOT(ISERROR(SEARCH(("No"),(N162))))</formula>
    </cfRule>
  </conditionalFormatting>
  <conditionalFormatting sqref="N162:N214 O165:Q165 O170:Q170 O203 O205:O214">
    <cfRule type="containsText" dxfId="2" priority="35366" operator="containsText" text="Yes">
      <formula>NOT(ISERROR(SEARCH(("Yes"),(N162))))</formula>
    </cfRule>
  </conditionalFormatting>
  <conditionalFormatting sqref="N162:N214 O165:Q165 O170:Q170 O203 O205:O214">
    <cfRule type="containsText" dxfId="2" priority="35367" operator="containsText" text="Yes">
      <formula>NOT(ISERROR(SEARCH(("Yes"),(N162))))</formula>
    </cfRule>
  </conditionalFormatting>
  <conditionalFormatting sqref="N162:N214 O165:Q165 O170:Q170 O203 O205:O214">
    <cfRule type="containsText" dxfId="2" priority="35368" operator="containsText" text="Yes">
      <formula>NOT(ISERROR(SEARCH(("Yes"),(N162))))</formula>
    </cfRule>
  </conditionalFormatting>
  <conditionalFormatting sqref="N162:N214 O165:Q165 O170:Q170 O203 O205:O214">
    <cfRule type="containsText" dxfId="2" priority="35369" operator="containsText" text="Yes">
      <formula>NOT(ISERROR(SEARCH(("Yes"),(N162))))</formula>
    </cfRule>
  </conditionalFormatting>
  <conditionalFormatting sqref="N162:N214 O165:Q165 O170:Q170 O203 O205:O214">
    <cfRule type="containsText" dxfId="2" priority="35370" operator="containsText" text="Yes">
      <formula>NOT(ISERROR(SEARCH(("Yes"),(N162))))</formula>
    </cfRule>
  </conditionalFormatting>
  <conditionalFormatting sqref="N162:N214 O165:Q165 O170:Q170 O203 O205:O214">
    <cfRule type="containsText" dxfId="9" priority="35371" operator="containsText" text="No">
      <formula>NOT(ISERROR(SEARCH(("No"),(N162))))</formula>
    </cfRule>
  </conditionalFormatting>
  <conditionalFormatting sqref="N162:N214 O165:Q165 O170:Q170 O203 O205:O214">
    <cfRule type="containsText" dxfId="2" priority="35372" operator="containsText" text="Yes">
      <formula>NOT(ISERROR(SEARCH(("Yes"),(N162))))</formula>
    </cfRule>
  </conditionalFormatting>
  <conditionalFormatting sqref="N162 O162:O202 N164:N167 N170 N172 N174 N176 N180:N182 N184 N195 N197:N198 N201:N202 N204:O204">
    <cfRule type="containsText" dxfId="9" priority="35373" operator="containsText" text="No">
      <formula>NOT(ISERROR(SEARCH(("No"),(N162))))</formula>
    </cfRule>
  </conditionalFormatting>
  <conditionalFormatting sqref="N162 O162:O202 N164:N167 N170 N172 N174 N176 N180:N182 N184 N195 N197:N198 N201:N202 N204:O204">
    <cfRule type="containsText" dxfId="9" priority="35374" operator="containsText" text="No">
      <formula>NOT(ISERROR(SEARCH(("No"),(N162))))</formula>
    </cfRule>
  </conditionalFormatting>
  <conditionalFormatting sqref="N162 O162:O202 N164:N167 N170 N172 N174 N176 N180:N182 N184 N195 N197:N198 N201:N202 N204:O204">
    <cfRule type="containsText" dxfId="9" priority="35375" operator="containsText" text="No">
      <formula>NOT(ISERROR(SEARCH(("No"),(N162))))</formula>
    </cfRule>
  </conditionalFormatting>
  <conditionalFormatting sqref="N162 O162:O202 N164:N167 N170 N172 N174 N176 N180:N182 N184 N195 N197:N198 N201:N202 N204:O204">
    <cfRule type="containsText" dxfId="2" priority="35376" operator="containsText" text="Yes">
      <formula>NOT(ISERROR(SEARCH(("Yes"),(N162))))</formula>
    </cfRule>
  </conditionalFormatting>
  <conditionalFormatting sqref="N162 O162:O202 N164:N167 N170 N172 N174 N176 N180:N182 N184 N195 N197:N198 N201:N202 N204:O204">
    <cfRule type="containsText" dxfId="2" priority="35377" operator="containsText" text="Yes">
      <formula>NOT(ISERROR(SEARCH(("Yes"),(N162))))</formula>
    </cfRule>
  </conditionalFormatting>
  <conditionalFormatting sqref="N162 O162:O202 N164:N167 N170 N172 N174 N176 N180:N182 N184 N195 N197:N198 N201:N202 N204:O204">
    <cfRule type="containsText" dxfId="2" priority="35378" operator="containsText" text="Yes">
      <formula>NOT(ISERROR(SEARCH(("Yes"),(N162))))</formula>
    </cfRule>
  </conditionalFormatting>
  <conditionalFormatting sqref="N162 O162:O202 N164:N167 N170 N172 N174 N176 N180:N182 N184 N195 N197:N198 N201:N202 N204:O204">
    <cfRule type="containsText" dxfId="2" priority="35379" operator="containsText" text="Yes">
      <formula>NOT(ISERROR(SEARCH(("Yes"),(N162))))</formula>
    </cfRule>
  </conditionalFormatting>
  <conditionalFormatting sqref="N162 O162:O202 N164:N167 N170 N172 N174 N176 N180:N182 N184 N195 N197:N198 N201:N202 N204:O204">
    <cfRule type="containsText" dxfId="2" priority="35380" operator="containsText" text="Yes">
      <formula>NOT(ISERROR(SEARCH(("Yes"),(N162))))</formula>
    </cfRule>
  </conditionalFormatting>
  <conditionalFormatting sqref="N162 O162:O202 N164:N167 N170 N172 N174 N176 N180:N182 N184 N195 N197:N198 N201:N202 N204:O204">
    <cfRule type="containsText" dxfId="9" priority="35381" operator="containsText" text="No">
      <formula>NOT(ISERROR(SEARCH(("No"),(N162))))</formula>
    </cfRule>
  </conditionalFormatting>
  <conditionalFormatting sqref="N162 O162:O202 N164:N167 N170 N172 N174 N176 N180:N182 N184 N195 N197:N198 N201:N202 N204:O204">
    <cfRule type="containsText" dxfId="9" priority="35382" operator="containsText" text="No">
      <formula>NOT(ISERROR(SEARCH(("No"),(N162))))</formula>
    </cfRule>
  </conditionalFormatting>
  <conditionalFormatting sqref="N162 O162:O202 N164:N167 N170 N172 N174 N176 N180:N182 N184 N195 N197:N198 N201:N202 N204:O204">
    <cfRule type="containsText" dxfId="2" priority="35383" operator="containsText" text="Yes">
      <formula>NOT(ISERROR(SEARCH(("Yes"),(N162))))</formula>
    </cfRule>
  </conditionalFormatting>
  <conditionalFormatting sqref="P162:Q162 P164:Q164 P166:Q167 P172:Q172 P174:Q174 P176:Q176 P180:Q182 P184:Q184">
    <cfRule type="containsText" dxfId="9" priority="35384" operator="containsText" text="No">
      <formula>NOT(ISERROR(SEARCH(("No"),(P162))))</formula>
    </cfRule>
  </conditionalFormatting>
  <conditionalFormatting sqref="P162:Q162 P164:Q164 P166:Q167 P172:Q172 P174:Q174 P176:Q176 P180:Q182 P184:Q184">
    <cfRule type="containsText" dxfId="9" priority="35385" operator="containsText" text="No">
      <formula>NOT(ISERROR(SEARCH(("No"),(P162))))</formula>
    </cfRule>
  </conditionalFormatting>
  <conditionalFormatting sqref="P162:Q162 P164:Q164 P166:Q167 P172:Q172 P174:Q174 P176:Q176 P180:Q182 P184:Q184">
    <cfRule type="containsText" dxfId="9" priority="35386" operator="containsText" text="No">
      <formula>NOT(ISERROR(SEARCH(("No"),(P162))))</formula>
    </cfRule>
  </conditionalFormatting>
  <conditionalFormatting sqref="P162:Q162 P164:Q164 P166:Q167 P172:Q172 P174:Q174 P176:Q176 P180:Q182 P184:Q184">
    <cfRule type="containsText" dxfId="9" priority="35387" operator="containsText" text="No">
      <formula>NOT(ISERROR(SEARCH(("No"),(P162))))</formula>
    </cfRule>
  </conditionalFormatting>
  <conditionalFormatting sqref="P162:Q162 P164:Q164 P166:Q167 P172:Q172 P174:Q174 P176:Q176 P180:Q182 P184:Q184">
    <cfRule type="containsText" dxfId="9" priority="35388" operator="containsText" text="No">
      <formula>NOT(ISERROR(SEARCH(("No"),(P162))))</formula>
    </cfRule>
  </conditionalFormatting>
  <conditionalFormatting sqref="P162:Q162 P164:Q164 P166:Q167 P172:Q172 P174:Q174 P176:Q176 P180:Q182 P184:Q184">
    <cfRule type="containsText" dxfId="9" priority="35389" operator="containsText" text="No">
      <formula>NOT(ISERROR(SEARCH(("No"),(P162))))</formula>
    </cfRule>
  </conditionalFormatting>
  <conditionalFormatting sqref="P162:Q162 P164:Q164 P166:Q167 P172:Q172 P174:Q174 P176:Q176 P180:Q182 P184:Q184">
    <cfRule type="containsText" dxfId="9" priority="35390" operator="containsText" text="No">
      <formula>NOT(ISERROR(SEARCH(("No"),(P162))))</formula>
    </cfRule>
  </conditionalFormatting>
  <conditionalFormatting sqref="P162:Q162 P164:Q164 P166:Q167 P172:Q172 P174:Q174 P176:Q176 P180:Q182 P184:Q184">
    <cfRule type="containsText" dxfId="9" priority="35391" operator="containsText" text="No">
      <formula>NOT(ISERROR(SEARCH(("No"),(P162))))</formula>
    </cfRule>
  </conditionalFormatting>
  <conditionalFormatting sqref="P162:Q162 P164:Q164 P166:Q167 P172:Q172 P174:Q174 P176:Q176 P180:Q182 P184:Q184">
    <cfRule type="containsText" dxfId="9" priority="35392" operator="containsText" text="No">
      <formula>NOT(ISERROR(SEARCH(("No"),(P162))))</formula>
    </cfRule>
  </conditionalFormatting>
  <conditionalFormatting sqref="P162:Q162 P164:Q164 P166:Q167 P172:Q172 P174:Q174 P176:Q176 P180:Q182 P184:Q184">
    <cfRule type="containsText" dxfId="9" priority="35393" operator="containsText" text="No">
      <formula>NOT(ISERROR(SEARCH(("No"),(P162))))</formula>
    </cfRule>
  </conditionalFormatting>
  <conditionalFormatting sqref="P162:Q162 P164:Q164 P166:Q167 P172:Q172 P174:Q174 P176:Q176 P180:Q182 P184:Q184">
    <cfRule type="containsText" dxfId="9" priority="35394" operator="containsText" text="No">
      <formula>NOT(ISERROR(SEARCH(("No"),(P162))))</formula>
    </cfRule>
  </conditionalFormatting>
  <conditionalFormatting sqref="P162:Q162 P164:Q164 P166:Q167 P172:Q172 P174:Q174 P176:Q176 P180:Q182 P184:Q184">
    <cfRule type="containsText" dxfId="9" priority="35395" operator="containsText" text="No">
      <formula>NOT(ISERROR(SEARCH(("No"),(P162))))</formula>
    </cfRule>
  </conditionalFormatting>
  <conditionalFormatting sqref="P162:Q162 P164:Q164 P166:Q167 P172:Q172 P174:Q174 P176:Q176 P180:Q182 P184:Q184">
    <cfRule type="containsText" dxfId="9" priority="35396" operator="containsText" text="No">
      <formula>NOT(ISERROR(SEARCH(("No"),(P162))))</formula>
    </cfRule>
  </conditionalFormatting>
  <conditionalFormatting sqref="P162:Q162 P164:Q164 P166:Q167 P172:Q172 P174:Q174 P176:Q176 P180:Q182 P184:Q184">
    <cfRule type="containsText" dxfId="9" priority="35397" operator="containsText" text="No">
      <formula>NOT(ISERROR(SEARCH(("No"),(P162))))</formula>
    </cfRule>
  </conditionalFormatting>
  <conditionalFormatting sqref="P162:Q162 P164:Q164 P166:Q167 P172:Q172 P174:Q174 P176:Q176 P180:Q182 P184:Q184">
    <cfRule type="containsText" dxfId="9" priority="35398" operator="containsText" text="No">
      <formula>NOT(ISERROR(SEARCH(("No"),(P162))))</formula>
    </cfRule>
  </conditionalFormatting>
  <conditionalFormatting sqref="P162:Q162 P164:Q164 P166:Q167 P172:Q172 P174:Q174 P176:Q176 P180:Q182 P184:Q184">
    <cfRule type="containsText" dxfId="9" priority="35399" operator="containsText" text="No">
      <formula>NOT(ISERROR(SEARCH(("No"),(P162))))</formula>
    </cfRule>
  </conditionalFormatting>
  <conditionalFormatting sqref="P162:Q162 P164:Q164 P166:Q167 P172:Q172 P174:Q174 P176:Q176 P180:Q182 P184:Q184">
    <cfRule type="containsText" dxfId="9" priority="35400" operator="containsText" text="No">
      <formula>NOT(ISERROR(SEARCH(("No"),(P162))))</formula>
    </cfRule>
  </conditionalFormatting>
  <conditionalFormatting sqref="P162:Q162 P164:Q164 P166:Q167 P172:Q172 P174:Q174 P176:Q176 P180:Q182 P184:Q184">
    <cfRule type="containsText" dxfId="9" priority="35401" operator="containsText" text="No">
      <formula>NOT(ISERROR(SEARCH(("No"),(P162))))</formula>
    </cfRule>
  </conditionalFormatting>
  <conditionalFormatting sqref="P162:Q162 P164:Q164 P166:Q167 P172:Q172 P174:Q174 P176:Q176 P180:Q182 P184:Q184">
    <cfRule type="containsText" dxfId="9" priority="35402" operator="containsText" text="No">
      <formula>NOT(ISERROR(SEARCH(("No"),(P162))))</formula>
    </cfRule>
  </conditionalFormatting>
  <conditionalFormatting sqref="P162:Q162 P164:Q164 P166:Q167 P172:Q172 P174:Q174 P176:Q176 P180:Q182 P184:Q184">
    <cfRule type="containsText" dxfId="9" priority="35403" operator="containsText" text="No">
      <formula>NOT(ISERROR(SEARCH(("No"),(P162))))</formula>
    </cfRule>
  </conditionalFormatting>
  <conditionalFormatting sqref="P162:Q162 P164:Q164 P166:Q167 P172:Q172 P174:Q174 P176:Q176 P180:Q182 P184:Q184">
    <cfRule type="containsText" dxfId="9" priority="35404" operator="containsText" text="No">
      <formula>NOT(ISERROR(SEARCH(("No"),(P162))))</formula>
    </cfRule>
  </conditionalFormatting>
  <conditionalFormatting sqref="P162:Q162 P164:Q164 P166:Q167 P172:Q172 P174:Q174 P176:Q176 P180:Q182 P184:Q184">
    <cfRule type="containsText" dxfId="9" priority="35405" operator="containsText" text="No">
      <formula>NOT(ISERROR(SEARCH(("No"),(P162))))</formula>
    </cfRule>
  </conditionalFormatting>
  <conditionalFormatting sqref="P162:Q162 P164:Q164 P166:Q167 P172:Q172 P174:Q174 P176:Q176 P180:Q182 P184:Q184">
    <cfRule type="containsText" dxfId="9" priority="35406" operator="containsText" text="No">
      <formula>NOT(ISERROR(SEARCH(("No"),(P162))))</formula>
    </cfRule>
  </conditionalFormatting>
  <conditionalFormatting sqref="P162:Q162 P164:Q164 P166:Q167 P172:Q172 P174:Q174 P176:Q176 P180:Q182 P184:Q184">
    <cfRule type="containsText" dxfId="9" priority="35407" operator="containsText" text="No">
      <formula>NOT(ISERROR(SEARCH(("No"),(P162))))</formula>
    </cfRule>
  </conditionalFormatting>
  <conditionalFormatting sqref="P162:Q162 P164:Q164 P166:Q167 P172:Q172 P174:Q174 P176:Q176 P180:Q182 P184:Q184">
    <cfRule type="containsText" dxfId="9" priority="35408" operator="containsText" text="No">
      <formula>NOT(ISERROR(SEARCH(("No"),(P162))))</formula>
    </cfRule>
  </conditionalFormatting>
  <conditionalFormatting sqref="P162:Q162 P164:Q164 P166:Q167 P172:Q172 P174:Q174 P176:Q176 P180:Q182 P184:Q184">
    <cfRule type="containsText" dxfId="9" priority="35409" operator="containsText" text="No">
      <formula>NOT(ISERROR(SEARCH(("No"),(P162))))</formula>
    </cfRule>
  </conditionalFormatting>
  <conditionalFormatting sqref="P162:Q162 P164:Q164 P166:Q167 P172:Q172 P174:Q174 P176:Q176 P180:Q182 P184:Q184">
    <cfRule type="containsText" dxfId="9" priority="35410" operator="containsText" text="No">
      <formula>NOT(ISERROR(SEARCH(("No"),(P162))))</formula>
    </cfRule>
  </conditionalFormatting>
  <conditionalFormatting sqref="P162:Q162 P164:Q164 P166:Q167 P172:Q172 P174:Q174 P176:Q176 P180:Q182 P184:Q184">
    <cfRule type="containsText" dxfId="9" priority="35411" operator="containsText" text="No">
      <formula>NOT(ISERROR(SEARCH(("No"),(P162))))</formula>
    </cfRule>
  </conditionalFormatting>
  <conditionalFormatting sqref="P162:Q162 P164:Q164 P166:Q167 P172:Q172 P174:Q174 P176:Q176 P180:Q182 P184:Q184">
    <cfRule type="containsText" dxfId="9" priority="35412" operator="containsText" text="No">
      <formula>NOT(ISERROR(SEARCH(("No"),(P162))))</formula>
    </cfRule>
  </conditionalFormatting>
  <conditionalFormatting sqref="P162:Q162 P164:Q164 P166:Q167 P172:Q172 P174:Q174 P176:Q176 P180:Q182 P184:Q184">
    <cfRule type="containsText" dxfId="9" priority="35413" operator="containsText" text="No">
      <formula>NOT(ISERROR(SEARCH(("No"),(P162))))</formula>
    </cfRule>
  </conditionalFormatting>
  <conditionalFormatting sqref="P162:Q162 P164:Q164 P166:Q167 P172:Q172 P174:Q174 P176:Q176 P180:Q182 P184:Q184">
    <cfRule type="containsText" dxfId="9" priority="35414" operator="containsText" text="No">
      <formula>NOT(ISERROR(SEARCH(("No"),(P162))))</formula>
    </cfRule>
  </conditionalFormatting>
  <conditionalFormatting sqref="P162:Q162 P164:Q164 P166:Q167 P172:Q172 P174:Q174 P176:Q176 P180:Q182 P184:Q184">
    <cfRule type="containsText" dxfId="9" priority="35415" operator="containsText" text="No">
      <formula>NOT(ISERROR(SEARCH(("No"),(P162))))</formula>
    </cfRule>
  </conditionalFormatting>
  <conditionalFormatting sqref="P162:Q162 P164:Q164 P166:Q167 P172:Q172 P174:Q174 P176:Q176 P180:Q182 P184:Q184">
    <cfRule type="containsText" dxfId="9" priority="35416" operator="containsText" text="No">
      <formula>NOT(ISERROR(SEARCH(("No"),(P162))))</formula>
    </cfRule>
  </conditionalFormatting>
  <conditionalFormatting sqref="P162:Q162 P164:Q164 P166:Q167 P172:Q172 P174:Q174 P176:Q176 P180:Q182 P184:Q184">
    <cfRule type="containsText" dxfId="9" priority="35417" operator="containsText" text="No">
      <formula>NOT(ISERROR(SEARCH(("No"),(P162))))</formula>
    </cfRule>
  </conditionalFormatting>
  <conditionalFormatting sqref="P162:Q162 P164:Q164 P166:Q167 P172:Q172 P174:Q174 P176:Q176 P180:Q182 P184:Q184">
    <cfRule type="containsText" dxfId="9" priority="35418" operator="containsText" text="No">
      <formula>NOT(ISERROR(SEARCH(("No"),(P162))))</formula>
    </cfRule>
  </conditionalFormatting>
  <conditionalFormatting sqref="P162:Q162 P164:Q164 P166:Q167 P172:Q172 P174:Q174 P176:Q176 P180:Q182 P184:Q184">
    <cfRule type="containsText" dxfId="9" priority="35419" operator="containsText" text="No">
      <formula>NOT(ISERROR(SEARCH(("No"),(P162))))</formula>
    </cfRule>
  </conditionalFormatting>
  <conditionalFormatting sqref="P162:Q162 P164:Q164 P166:Q167 P172:Q172 P174:Q174 P176:Q176 P180:Q182 P184:Q184">
    <cfRule type="containsText" dxfId="9" priority="35420" operator="containsText" text="No">
      <formula>NOT(ISERROR(SEARCH(("No"),(P162))))</formula>
    </cfRule>
  </conditionalFormatting>
  <conditionalFormatting sqref="P162:Q162 P164:Q164 P166:Q167 P172:Q172 P174:Q174 P176:Q176 P180:Q182 P184:Q184">
    <cfRule type="containsText" dxfId="9" priority="35421" operator="containsText" text="No">
      <formula>NOT(ISERROR(SEARCH(("No"),(P162))))</formula>
    </cfRule>
  </conditionalFormatting>
  <conditionalFormatting sqref="P162:Q162 P164:Q164 P166:Q167 P172:Q172 P174:Q174 P176:Q176 P180:Q182 P184:Q184">
    <cfRule type="containsText" dxfId="9" priority="35422" operator="containsText" text="No">
      <formula>NOT(ISERROR(SEARCH(("No"),(P162))))</formula>
    </cfRule>
  </conditionalFormatting>
  <conditionalFormatting sqref="P162:Q162 P164:Q164 P166:Q167 P172:Q172 P174:Q174 P176:Q176 P180:Q182 P184:Q184">
    <cfRule type="containsText" dxfId="9" priority="35423" operator="containsText" text="No">
      <formula>NOT(ISERROR(SEARCH(("No"),(P162))))</formula>
    </cfRule>
  </conditionalFormatting>
  <conditionalFormatting sqref="P162:Q162 P164:Q164 P166:Q167 P172:Q172 P174:Q174 P176:Q176 P180:Q182 P184:Q184">
    <cfRule type="containsText" dxfId="9" priority="35424" operator="containsText" text="No">
      <formula>NOT(ISERROR(SEARCH(("No"),(P162))))</formula>
    </cfRule>
  </conditionalFormatting>
  <conditionalFormatting sqref="P162:Q162 P164:Q164 P166:Q167 P172:Q172 P174:Q174 P176:Q176 P180:Q182 P184:Q184">
    <cfRule type="containsText" dxfId="9" priority="35425" operator="containsText" text="No">
      <formula>NOT(ISERROR(SEARCH(("No"),(P162))))</formula>
    </cfRule>
  </conditionalFormatting>
  <conditionalFormatting sqref="P162:Q162 P164:Q164 P166:Q167 P172:Q172 P174:Q174 P176:Q176 P180:Q182 P184:Q184">
    <cfRule type="containsText" dxfId="9" priority="35426" operator="containsText" text="No">
      <formula>NOT(ISERROR(SEARCH(("No"),(P162))))</formula>
    </cfRule>
  </conditionalFormatting>
  <conditionalFormatting sqref="P162:Q162 P164:Q164 P166:Q167 P172:Q172 P174:Q174 P176:Q176 P180:Q182 P184:Q184">
    <cfRule type="containsText" dxfId="9" priority="35427" operator="containsText" text="No">
      <formula>NOT(ISERROR(SEARCH(("No"),(P162))))</formula>
    </cfRule>
  </conditionalFormatting>
  <conditionalFormatting sqref="P162:Q162 P164:Q164 P166:Q167 P172:Q172 P174:Q174 P176:Q176 P180:Q182 P184:Q184">
    <cfRule type="containsText" dxfId="9" priority="35428" operator="containsText" text="No">
      <formula>NOT(ISERROR(SEARCH(("No"),(P162))))</formula>
    </cfRule>
  </conditionalFormatting>
  <conditionalFormatting sqref="P162:Q162 P164:Q164 P166:Q167 P172:Q172 P174:Q174 P176:Q176 P180:Q182 P184:Q184">
    <cfRule type="containsText" dxfId="2" priority="35429" operator="containsText" text="Yes">
      <formula>NOT(ISERROR(SEARCH(("Yes"),(P162))))</formula>
    </cfRule>
  </conditionalFormatting>
  <conditionalFormatting sqref="P162:Q162 P164:Q164 P166:Q167 P172:Q172 P174:Q174 P176:Q176 P180:Q182 P184:Q184">
    <cfRule type="containsText" dxfId="2" priority="35430" operator="containsText" text="Yes">
      <formula>NOT(ISERROR(SEARCH(("Yes"),(P162))))</formula>
    </cfRule>
  </conditionalFormatting>
  <conditionalFormatting sqref="P162:Q162 P164:Q164 P166:Q167 P172:Q172 P174:Q174 P176:Q176 P180:Q182 P184:Q184">
    <cfRule type="containsText" dxfId="2" priority="35431" operator="containsText" text="Yes">
      <formula>NOT(ISERROR(SEARCH(("Yes"),(P162))))</formula>
    </cfRule>
  </conditionalFormatting>
  <conditionalFormatting sqref="P162:Q162 P164:Q164 P166:Q167 P172:Q172 P174:Q174 P176:Q176 P180:Q182 P184:Q184">
    <cfRule type="containsText" dxfId="2" priority="35432" operator="containsText" text="Yes">
      <formula>NOT(ISERROR(SEARCH(("Yes"),(P162))))</formula>
    </cfRule>
  </conditionalFormatting>
  <conditionalFormatting sqref="P162:Q162 P164:Q164 P166:Q167 P172:Q172 P174:Q174 P176:Q176 P180:Q182 P184:Q184">
    <cfRule type="containsText" dxfId="2" priority="35433" operator="containsText" text="Yes">
      <formula>NOT(ISERROR(SEARCH(("Yes"),(P162))))</formula>
    </cfRule>
  </conditionalFormatting>
  <conditionalFormatting sqref="P162:Q162 P164:Q164 P166:Q167 P172:Q172 P174:Q174 P176:Q176 P180:Q182 P184:Q184">
    <cfRule type="containsText" dxfId="2" priority="35434" operator="containsText" text="Yes">
      <formula>NOT(ISERROR(SEARCH(("Yes"),(P162))))</formula>
    </cfRule>
  </conditionalFormatting>
  <conditionalFormatting sqref="P162:Q162 P164:Q164 P166:Q167 P172:Q172 P174:Q174 P176:Q176 P180:Q182 P184:Q184">
    <cfRule type="containsText" dxfId="2" priority="35435" operator="containsText" text="Yes">
      <formula>NOT(ISERROR(SEARCH(("Yes"),(P162))))</formula>
    </cfRule>
  </conditionalFormatting>
  <conditionalFormatting sqref="P162:Q162 P164:Q164 P166:Q167 P172:Q172 P174:Q174 P176:Q176 P180:Q182 P184:Q184">
    <cfRule type="containsText" dxfId="2" priority="35436" operator="containsText" text="Yes">
      <formula>NOT(ISERROR(SEARCH(("Yes"),(P162))))</formula>
    </cfRule>
  </conditionalFormatting>
  <conditionalFormatting sqref="P162:Q162 P164:Q164 P166:Q167 P172:Q172 P174:Q174 P176:Q176 P180:Q182 P184:Q184">
    <cfRule type="containsText" dxfId="2" priority="35437" operator="containsText" text="Yes">
      <formula>NOT(ISERROR(SEARCH(("Yes"),(P162))))</formula>
    </cfRule>
  </conditionalFormatting>
  <conditionalFormatting sqref="P162:Q162 P164:Q164 P166:Q167 P172:Q172 P174:Q174 P176:Q176 P180:Q182 P184:Q184">
    <cfRule type="containsText" dxfId="2" priority="35438" operator="containsText" text="Yes">
      <formula>NOT(ISERROR(SEARCH(("Yes"),(P162))))</formula>
    </cfRule>
  </conditionalFormatting>
  <conditionalFormatting sqref="P162:Q162 P164:Q164 P166:Q167 P172:Q172 P174:Q174 P176:Q176 P180:Q182 P184:Q184">
    <cfRule type="containsText" dxfId="2" priority="35439" operator="containsText" text="Yes">
      <formula>NOT(ISERROR(SEARCH(("Yes"),(P162))))</formula>
    </cfRule>
  </conditionalFormatting>
  <conditionalFormatting sqref="P162:Q162 P164:Q164 P166:Q167 P172:Q172 P174:Q174 P176:Q176 P180:Q182 P184:Q184">
    <cfRule type="containsText" dxfId="2" priority="35440" operator="containsText" text="Yes">
      <formula>NOT(ISERROR(SEARCH(("Yes"),(P162))))</formula>
    </cfRule>
  </conditionalFormatting>
  <conditionalFormatting sqref="P162:Q162 P164:Q164 P166:Q167 P172:Q172 P174:Q174 P176:Q176 P180:Q182 P184:Q184">
    <cfRule type="containsText" dxfId="2" priority="35441" operator="containsText" text="Yes">
      <formula>NOT(ISERROR(SEARCH(("Yes"),(P162))))</formula>
    </cfRule>
  </conditionalFormatting>
  <conditionalFormatting sqref="P162:Q162 P164:Q164 P166:Q167 P172:Q172 P174:Q174 P176:Q176 P180:Q182 P184:Q184">
    <cfRule type="containsText" dxfId="2" priority="35442" operator="containsText" text="Yes">
      <formula>NOT(ISERROR(SEARCH(("Yes"),(P162))))</formula>
    </cfRule>
  </conditionalFormatting>
  <conditionalFormatting sqref="P162:Q162 P164:Q164 P166:Q167 P172:Q172 P174:Q174 P176:Q176 P180:Q182 P184:Q184">
    <cfRule type="containsText" dxfId="2" priority="35443" operator="containsText" text="Yes">
      <formula>NOT(ISERROR(SEARCH(("Yes"),(P162))))</formula>
    </cfRule>
  </conditionalFormatting>
  <conditionalFormatting sqref="P162:Q162 P164:Q164 P166:Q167 P172:Q172 P174:Q174 P176:Q176 P180:Q182 P184:Q184">
    <cfRule type="containsText" dxfId="2" priority="35444" operator="containsText" text="Yes">
      <formula>NOT(ISERROR(SEARCH(("Yes"),(P162))))</formula>
    </cfRule>
  </conditionalFormatting>
  <conditionalFormatting sqref="P162:Q162 P164:Q164 P166:Q167 P172:Q172 P174:Q174 P176:Q176 P180:Q182 P184:Q184">
    <cfRule type="containsText" dxfId="2" priority="35445" operator="containsText" text="Yes">
      <formula>NOT(ISERROR(SEARCH(("Yes"),(P162))))</formula>
    </cfRule>
  </conditionalFormatting>
  <conditionalFormatting sqref="P162:Q162 P164:Q164 P166:Q167 P172:Q172 P174:Q174 P176:Q176 P180:Q182 P184:Q184">
    <cfRule type="containsText" dxfId="2" priority="35446" operator="containsText" text="Yes">
      <formula>NOT(ISERROR(SEARCH(("Yes"),(P162))))</formula>
    </cfRule>
  </conditionalFormatting>
  <conditionalFormatting sqref="P162:Q162 P164:Q164 P166:Q167 P172:Q172 P174:Q174 P176:Q176 P180:Q182 P184:Q184">
    <cfRule type="containsText" dxfId="2" priority="35447" operator="containsText" text="Yes">
      <formula>NOT(ISERROR(SEARCH(("Yes"),(P162))))</formula>
    </cfRule>
  </conditionalFormatting>
  <conditionalFormatting sqref="P162:Q162 P164:Q164 P166:Q167 P172:Q172 P174:Q174 P176:Q176 P180:Q182 P184:Q184">
    <cfRule type="containsText" dxfId="2" priority="35448" operator="containsText" text="Yes">
      <formula>NOT(ISERROR(SEARCH(("Yes"),(P162))))</formula>
    </cfRule>
  </conditionalFormatting>
  <conditionalFormatting sqref="P162:Q162 P164:Q164 P166:Q167 P172:Q172 P174:Q174 P176:Q176 P180:Q182 P184:Q184">
    <cfRule type="containsText" dxfId="2" priority="35449" operator="containsText" text="Yes">
      <formula>NOT(ISERROR(SEARCH(("Yes"),(P162))))</formula>
    </cfRule>
  </conditionalFormatting>
  <conditionalFormatting sqref="P162:Q162 P164:Q164 P166:Q167 P172:Q172 P174:Q174 P176:Q176 P180:Q182 P184:Q184">
    <cfRule type="containsText" dxfId="2" priority="35450" operator="containsText" text="Yes">
      <formula>NOT(ISERROR(SEARCH(("Yes"),(P162))))</formula>
    </cfRule>
  </conditionalFormatting>
  <conditionalFormatting sqref="P162:Q162 P164:Q164 P166:Q167 P172:Q172 P174:Q174 P176:Q176 P180:Q182 P184:Q184">
    <cfRule type="containsText" dxfId="2" priority="35451" operator="containsText" text="Yes">
      <formula>NOT(ISERROR(SEARCH(("Yes"),(P162))))</formula>
    </cfRule>
  </conditionalFormatting>
  <conditionalFormatting sqref="P162:Q162 P164:Q164 P166:Q167 P172:Q172 P174:Q174 P176:Q176 P180:Q182 P184:Q184">
    <cfRule type="containsText" dxfId="2" priority="35452" operator="containsText" text="Yes">
      <formula>NOT(ISERROR(SEARCH(("Yes"),(P162))))</formula>
    </cfRule>
  </conditionalFormatting>
  <conditionalFormatting sqref="P162:Q162 P164:Q164 P166:Q167 P172:Q172 P174:Q174 P176:Q176 P180:Q182 P184:Q184">
    <cfRule type="containsText" dxfId="2" priority="35453" operator="containsText" text="Yes">
      <formula>NOT(ISERROR(SEARCH(("Yes"),(P162))))</formula>
    </cfRule>
  </conditionalFormatting>
  <conditionalFormatting sqref="P162:Q162 P164:Q164 P166:Q167 P172:Q172 P174:Q174 P176:Q176 P180:Q182 P184:Q184">
    <cfRule type="containsText" dxfId="2" priority="35454" operator="containsText" text="Yes">
      <formula>NOT(ISERROR(SEARCH(("Yes"),(P162))))</formula>
    </cfRule>
  </conditionalFormatting>
  <conditionalFormatting sqref="P162:Q162 P164:Q164 P166:Q167 P172:Q172 P174:Q174 P176:Q176 P180:Q182 P184:Q184">
    <cfRule type="containsText" dxfId="2" priority="35455" operator="containsText" text="Yes">
      <formula>NOT(ISERROR(SEARCH(("Yes"),(P162))))</formula>
    </cfRule>
  </conditionalFormatting>
  <conditionalFormatting sqref="P162:Q162 P164:Q164 P166:Q167 P172:Q172 P174:Q174 P176:Q176 P180:Q182 P184:Q184">
    <cfRule type="containsText" dxfId="2" priority="35456" operator="containsText" text="Yes">
      <formula>NOT(ISERROR(SEARCH(("Yes"),(P162))))</formula>
    </cfRule>
  </conditionalFormatting>
  <conditionalFormatting sqref="P162:Q162 P164:Q164 P166:Q167 P172:Q172 P174:Q174 P176:Q176 P180:Q182 P184:Q184">
    <cfRule type="containsText" dxfId="2" priority="35457" operator="containsText" text="Yes">
      <formula>NOT(ISERROR(SEARCH(("Yes"),(P162))))</formula>
    </cfRule>
  </conditionalFormatting>
  <conditionalFormatting sqref="P162:Q162 P164:Q164 P166:Q167 P172:Q172 P174:Q174 P176:Q176 P180:Q182 P184:Q184">
    <cfRule type="containsText" dxfId="2" priority="35458" operator="containsText" text="Yes">
      <formula>NOT(ISERROR(SEARCH(("Yes"),(P162))))</formula>
    </cfRule>
  </conditionalFormatting>
  <conditionalFormatting sqref="P162:Q162 P164:Q164 P166:Q167 P172:Q172 P174:Q174 P176:Q176 P180:Q182 P184:Q184">
    <cfRule type="containsText" dxfId="2" priority="35459" operator="containsText" text="Yes">
      <formula>NOT(ISERROR(SEARCH(("Yes"),(P162))))</formula>
    </cfRule>
  </conditionalFormatting>
  <conditionalFormatting sqref="P162:Q162 P164:Q164 P166:Q167 P172:Q172 P174:Q174 P176:Q176 P180:Q182 P184:Q184">
    <cfRule type="containsText" dxfId="2" priority="35460" operator="containsText" text="Yes">
      <formula>NOT(ISERROR(SEARCH(("Yes"),(P162))))</formula>
    </cfRule>
  </conditionalFormatting>
  <conditionalFormatting sqref="P162:Q162 P164:Q164 P166:Q167 P172:Q172 P174:Q174 P176:Q176 P180:Q182 P184:Q184">
    <cfRule type="containsText" dxfId="2" priority="35461" operator="containsText" text="Yes">
      <formula>NOT(ISERROR(SEARCH(("Yes"),(P162))))</formula>
    </cfRule>
  </conditionalFormatting>
  <conditionalFormatting sqref="P162:Q162 P164:Q164 P166:Q167 P172:Q172 P174:Q174 P176:Q176 P180:Q182 P184:Q184">
    <cfRule type="containsText" dxfId="2" priority="35462" operator="containsText" text="Yes">
      <formula>NOT(ISERROR(SEARCH(("Yes"),(P162))))</formula>
    </cfRule>
  </conditionalFormatting>
  <conditionalFormatting sqref="P162:Q162 P164:Q164 P166:Q167 P172:Q172 P174:Q174 P176:Q176 P180:Q182 P184:Q184">
    <cfRule type="containsText" dxfId="2" priority="35463" operator="containsText" text="Yes">
      <formula>NOT(ISERROR(SEARCH(("Yes"),(P162))))</formula>
    </cfRule>
  </conditionalFormatting>
  <conditionalFormatting sqref="P162:Q162 P164:Q164 P166:Q167 P172:Q172 P174:Q174 P176:Q176 P180:Q182 P184:Q184">
    <cfRule type="containsText" dxfId="2" priority="35464" operator="containsText" text="Yes">
      <formula>NOT(ISERROR(SEARCH(("Yes"),(P162))))</formula>
    </cfRule>
  </conditionalFormatting>
  <conditionalFormatting sqref="P162:Q162 P164:Q164 P166:Q167 P172:Q172 P174:Q174 P176:Q176 P180:Q182 P184:Q184">
    <cfRule type="containsText" dxfId="2" priority="35465" operator="containsText" text="Yes">
      <formula>NOT(ISERROR(SEARCH(("Yes"),(P162))))</formula>
    </cfRule>
  </conditionalFormatting>
  <conditionalFormatting sqref="P162:Q162 P164:Q164 P166:Q167 P172:Q172 P174:Q174 P176:Q176 P180:Q182 P184:Q184">
    <cfRule type="containsText" dxfId="2" priority="35466" operator="containsText" text="Yes">
      <formula>NOT(ISERROR(SEARCH(("Yes"),(P162))))</formula>
    </cfRule>
  </conditionalFormatting>
  <conditionalFormatting sqref="P162:Q162 P164:Q164 P166:Q167 P172:Q172 P174:Q174 P176:Q176 P180:Q182 P184:Q184">
    <cfRule type="containsText" dxfId="2" priority="35467" operator="containsText" text="Yes">
      <formula>NOT(ISERROR(SEARCH(("Yes"),(P162))))</formula>
    </cfRule>
  </conditionalFormatting>
  <conditionalFormatting sqref="P162:Q162 P164:Q164 P166:Q167 P172:Q172 P174:Q174 P176:Q176 P180:Q182 P184:Q184">
    <cfRule type="containsText" dxfId="2" priority="35468" operator="containsText" text="Yes">
      <formula>NOT(ISERROR(SEARCH(("Yes"),(P162))))</formula>
    </cfRule>
  </conditionalFormatting>
  <conditionalFormatting sqref="P162:Q162 P164:Q164 P166:Q167 P172:Q172 P174:Q174 P176:Q176 P180:Q182 P184:Q184">
    <cfRule type="containsText" dxfId="2" priority="35469" operator="containsText" text="Yes">
      <formula>NOT(ISERROR(SEARCH(("Yes"),(P162))))</formula>
    </cfRule>
  </conditionalFormatting>
  <conditionalFormatting sqref="P162:Q162 P164:Q164 P166:Q167 P172:Q172 P174:Q174 P176:Q176 P180:Q182 P184:Q184">
    <cfRule type="containsText" dxfId="2" priority="35470" operator="containsText" text="Yes">
      <formula>NOT(ISERROR(SEARCH(("Yes"),(P162))))</formula>
    </cfRule>
  </conditionalFormatting>
  <conditionalFormatting sqref="P162:Q162 P164:Q164 P166:Q167 P172:Q172 P174:Q174 P176:Q176 P180:Q182 P184:Q184">
    <cfRule type="containsText" dxfId="2" priority="35471" operator="containsText" text="Yes">
      <formula>NOT(ISERROR(SEARCH(("Yes"),(P162))))</formula>
    </cfRule>
  </conditionalFormatting>
  <conditionalFormatting sqref="P162:Q162 P164:Q164 P166:Q167 P172:Q172 P174:Q174 P176:Q176 P180:Q182 P184:Q184">
    <cfRule type="containsText" dxfId="2" priority="35472" operator="containsText" text="Yes">
      <formula>NOT(ISERROR(SEARCH(("Yes"),(P162))))</formula>
    </cfRule>
  </conditionalFormatting>
  <conditionalFormatting sqref="P162:Q162 P164:Q164 P166:Q167 P172:Q172 P174:Q174 P176:Q176 P180:Q182 P184:Q184">
    <cfRule type="containsText" dxfId="2" priority="35473" operator="containsText" text="Yes">
      <formula>NOT(ISERROR(SEARCH(("Yes"),(P162))))</formula>
    </cfRule>
  </conditionalFormatting>
  <conditionalFormatting sqref="P162:Q162 P164:Q164 P166:Q167 P172:Q172 P174:Q174 P176:Q176 P180:Q182 P184:Q184">
    <cfRule type="containsText" dxfId="2" priority="35474" operator="containsText" text="Yes">
      <formula>NOT(ISERROR(SEARCH(("Yes"),(P162))))</formula>
    </cfRule>
  </conditionalFormatting>
  <conditionalFormatting sqref="P162:Q162 P164:Q164 P166:Q167 P172:Q172 P174:Q174 P176:Q176 P180:Q182 P184:Q184">
    <cfRule type="containsText" dxfId="2" priority="35475" operator="containsText" text="Yes">
      <formula>NOT(ISERROR(SEARCH(("Yes"),(P162))))</formula>
    </cfRule>
  </conditionalFormatting>
  <conditionalFormatting sqref="P163:Q163 P168:Q169 P171:Q171 P173:Q173 P175:Q175 P177:Q179 P183:Q183 P185:Q214 U204:V204">
    <cfRule type="containsText" dxfId="9" priority="35476" operator="containsText" text="No">
      <formula>NOT(ISERROR(SEARCH(("No"),(P163))))</formula>
    </cfRule>
  </conditionalFormatting>
  <conditionalFormatting sqref="P163:Q163 P168:Q169 P171:Q171 P173:Q173 P175:Q175 P177:Q179 P183:Q183 P185:Q214 U204:V204">
    <cfRule type="containsText" dxfId="9" priority="35477" operator="containsText" text="No">
      <formula>NOT(ISERROR(SEARCH(("No"),(P163))))</formula>
    </cfRule>
  </conditionalFormatting>
  <conditionalFormatting sqref="P163:Q163 P168:Q169 P171:Q171 P173:Q173 P175:Q175 P177:Q179 P183:Q183 P185:Q214 U204:V204">
    <cfRule type="containsText" dxfId="9" priority="35478" operator="containsText" text="No">
      <formula>NOT(ISERROR(SEARCH(("No"),(P163))))</formula>
    </cfRule>
  </conditionalFormatting>
  <conditionalFormatting sqref="P163:Q163 P168:Q169 P171:Q171 P173:Q173 P175:Q175 P177:Q179 P183:Q183 P185:Q214 U204:V204">
    <cfRule type="containsText" dxfId="9" priority="35479" operator="containsText" text="No">
      <formula>NOT(ISERROR(SEARCH(("No"),(P163))))</formula>
    </cfRule>
  </conditionalFormatting>
  <conditionalFormatting sqref="P163:Q163 P168:Q169 P171:Q171 P173:Q173 P175:Q175 P177:Q179 P183:Q183 P185:Q214 U204:V204">
    <cfRule type="containsText" dxfId="9" priority="35480" operator="containsText" text="No">
      <formula>NOT(ISERROR(SEARCH(("No"),(P163))))</formula>
    </cfRule>
  </conditionalFormatting>
  <conditionalFormatting sqref="P163:Q163 P168:Q169 P171:Q171 P173:Q173 P175:Q175 P177:Q179 P183:Q183 P185:Q214 U204:V204">
    <cfRule type="containsText" dxfId="9" priority="35481" operator="containsText" text="No">
      <formula>NOT(ISERROR(SEARCH(("No"),(P163))))</formula>
    </cfRule>
  </conditionalFormatting>
  <conditionalFormatting sqref="P163:Q163 P168:Q169 P171:Q171 P173:Q173 P175:Q175 P177:Q179 P183:Q183 P185:Q214 U204:V204">
    <cfRule type="containsText" dxfId="9" priority="35482" operator="containsText" text="No">
      <formula>NOT(ISERROR(SEARCH(("No"),(P163))))</formula>
    </cfRule>
  </conditionalFormatting>
  <conditionalFormatting sqref="P163:Q163 P168:Q169 P171:Q171 P173:Q173 P175:Q175 P177:Q179 P183:Q183 P185:Q214 U204:V204">
    <cfRule type="containsText" dxfId="9" priority="35483" operator="containsText" text="No">
      <formula>NOT(ISERROR(SEARCH(("No"),(P163))))</formula>
    </cfRule>
  </conditionalFormatting>
  <conditionalFormatting sqref="P163:Q163 P168:Q169 P171:Q171 P173:Q173 P175:Q175 P177:Q179 P183:Q183 P185:Q214 U204:V204">
    <cfRule type="containsText" dxfId="9" priority="35484" operator="containsText" text="No">
      <formula>NOT(ISERROR(SEARCH(("No"),(P163))))</formula>
    </cfRule>
  </conditionalFormatting>
  <conditionalFormatting sqref="P163:Q163 P168:Q169 P171:Q171 P173:Q173 P175:Q175 P177:Q179 P183:Q183 P185:Q214 U204:V204">
    <cfRule type="containsText" dxfId="9" priority="35485" operator="containsText" text="No">
      <formula>NOT(ISERROR(SEARCH(("No"),(P163))))</formula>
    </cfRule>
  </conditionalFormatting>
  <conditionalFormatting sqref="P163:Q163 P168:Q169 P171:Q171 P173:Q173 P175:Q175 P177:Q179 P183:Q183 P185:Q214 U204:V204">
    <cfRule type="containsText" dxfId="9" priority="35486" operator="containsText" text="No">
      <formula>NOT(ISERROR(SEARCH(("No"),(P163))))</formula>
    </cfRule>
  </conditionalFormatting>
  <conditionalFormatting sqref="P163:Q163 P168:Q169 P171:Q171 P173:Q173 P175:Q175 P177:Q179 P183:Q183 P185:Q214 U204:V204">
    <cfRule type="containsText" dxfId="9" priority="35487" operator="containsText" text="No">
      <formula>NOT(ISERROR(SEARCH(("No"),(P163))))</formula>
    </cfRule>
  </conditionalFormatting>
  <conditionalFormatting sqref="P163:Q163 P168:Q169 P171:Q171 P173:Q173 P175:Q175 P177:Q179 P183:Q183 P185:Q214 U204:V204">
    <cfRule type="containsText" dxfId="9" priority="35488" operator="containsText" text="No">
      <formula>NOT(ISERROR(SEARCH(("No"),(P163))))</formula>
    </cfRule>
  </conditionalFormatting>
  <conditionalFormatting sqref="P163:Q163 P168:Q169 P171:Q171 P173:Q173 P175:Q175 P177:Q179 P183:Q183 P185:Q214 U204:V204">
    <cfRule type="containsText" dxfId="9" priority="35489" operator="containsText" text="No">
      <formula>NOT(ISERROR(SEARCH(("No"),(P163))))</formula>
    </cfRule>
  </conditionalFormatting>
  <conditionalFormatting sqref="P163:Q163 P168:Q169 P171:Q171 P173:Q173 P175:Q175 P177:Q179 P183:Q183 P185:Q214 U204:V204">
    <cfRule type="containsText" dxfId="9" priority="35490" operator="containsText" text="No">
      <formula>NOT(ISERROR(SEARCH(("No"),(P163))))</formula>
    </cfRule>
  </conditionalFormatting>
  <conditionalFormatting sqref="P163:Q163 P168:Q169 P171:Q171 P173:Q173 P175:Q175 P177:Q179 P183:Q183 P185:Q214 U204:V204">
    <cfRule type="containsText" dxfId="9" priority="35491" operator="containsText" text="No">
      <formula>NOT(ISERROR(SEARCH(("No"),(P163))))</formula>
    </cfRule>
  </conditionalFormatting>
  <conditionalFormatting sqref="P163:Q163 P168:Q169 P171:Q171 P173:Q173 P175:Q175 P177:Q179 P183:Q183 P185:Q214 U204:V204">
    <cfRule type="containsText" dxfId="9" priority="35492" operator="containsText" text="No">
      <formula>NOT(ISERROR(SEARCH(("No"),(P163))))</formula>
    </cfRule>
  </conditionalFormatting>
  <conditionalFormatting sqref="P163:Q163 P168:Q169 P171:Q171 P173:Q173 P175:Q175 P177:Q179 P183:Q183 P185:Q214 U204:V204">
    <cfRule type="containsText" dxfId="9" priority="35493" operator="containsText" text="No">
      <formula>NOT(ISERROR(SEARCH(("No"),(P163))))</formula>
    </cfRule>
  </conditionalFormatting>
  <conditionalFormatting sqref="P163:Q163 P168:Q169 P171:Q171 P173:Q173 P175:Q175 P177:Q179 P183:Q183 P185:Q214 U204:V204">
    <cfRule type="containsText" dxfId="9" priority="35494" operator="containsText" text="No">
      <formula>NOT(ISERROR(SEARCH(("No"),(P163))))</formula>
    </cfRule>
  </conditionalFormatting>
  <conditionalFormatting sqref="P163:Q163 P168:Q169 P171:Q171 P173:Q173 P175:Q175 P177:Q179 P183:Q183 P185:Q214 U204:V204">
    <cfRule type="containsText" dxfId="9" priority="35495" operator="containsText" text="No">
      <formula>NOT(ISERROR(SEARCH(("No"),(P163))))</formula>
    </cfRule>
  </conditionalFormatting>
  <conditionalFormatting sqref="P163:Q163 P168:Q169 P171:Q171 P173:Q173 P175:Q175 P177:Q179 P183:Q183 P185:Q214 U204:V204">
    <cfRule type="containsText" dxfId="9" priority="35496" operator="containsText" text="No">
      <formula>NOT(ISERROR(SEARCH(("No"),(P163))))</formula>
    </cfRule>
  </conditionalFormatting>
  <conditionalFormatting sqref="P163:Q163 P168:Q169 P171:Q171 P173:Q173 P175:Q175 P177:Q179 P183:Q183 P185:Q214 U204:V204">
    <cfRule type="containsText" dxfId="9" priority="35497" operator="containsText" text="No">
      <formula>NOT(ISERROR(SEARCH(("No"),(P163))))</formula>
    </cfRule>
  </conditionalFormatting>
  <conditionalFormatting sqref="P163:Q163 P168:Q169 P171:Q171 P173:Q173 P175:Q175 P177:Q179 P183:Q183 P185:Q214 U204:V204">
    <cfRule type="containsText" dxfId="9" priority="35498" operator="containsText" text="No">
      <formula>NOT(ISERROR(SEARCH(("No"),(P163))))</formula>
    </cfRule>
  </conditionalFormatting>
  <conditionalFormatting sqref="P163:Q163 P168:Q169 P171:Q171 P173:Q173 P175:Q175 P177:Q179 P183:Q183 P185:Q214 U204:V204">
    <cfRule type="containsText" dxfId="9" priority="35499" operator="containsText" text="No">
      <formula>NOT(ISERROR(SEARCH(("No"),(P163))))</formula>
    </cfRule>
  </conditionalFormatting>
  <conditionalFormatting sqref="P163:Q163 P168:Q169 P171:Q171 P173:Q173 P175:Q175 P177:Q179 P183:Q183 P185:Q214 U204:V204">
    <cfRule type="containsText" dxfId="9" priority="35500" operator="containsText" text="No">
      <formula>NOT(ISERROR(SEARCH(("No"),(P163))))</formula>
    </cfRule>
  </conditionalFormatting>
  <conditionalFormatting sqref="P163:Q163 P168:Q169 P171:Q171 P173:Q173 P175:Q175 P177:Q179 P183:Q183 P185:Q214 U204:V204">
    <cfRule type="containsText" dxfId="9" priority="35501" operator="containsText" text="No">
      <formula>NOT(ISERROR(SEARCH(("No"),(P163))))</formula>
    </cfRule>
  </conditionalFormatting>
  <conditionalFormatting sqref="P163:Q163 P168:Q169 P171:Q171 P173:Q173 P175:Q175 P177:Q179 P183:Q183 P185:Q214 U204:V204">
    <cfRule type="containsText" dxfId="9" priority="35502" operator="containsText" text="No">
      <formula>NOT(ISERROR(SEARCH(("No"),(P163))))</formula>
    </cfRule>
  </conditionalFormatting>
  <conditionalFormatting sqref="P163:Q163 P168:Q169 P171:Q171 P173:Q173 P175:Q175 P177:Q179 P183:Q183 P185:Q214 U204:V204">
    <cfRule type="containsText" dxfId="9" priority="35503" operator="containsText" text="No">
      <formula>NOT(ISERROR(SEARCH(("No"),(P163))))</formula>
    </cfRule>
  </conditionalFormatting>
  <conditionalFormatting sqref="P163:Q163 P168:Q169 P171:Q171 P173:Q173 P175:Q175 P177:Q179 P183:Q183 P185:Q214 U204:V204">
    <cfRule type="containsText" dxfId="9" priority="35504" operator="containsText" text="No">
      <formula>NOT(ISERROR(SEARCH(("No"),(P163))))</formula>
    </cfRule>
  </conditionalFormatting>
  <conditionalFormatting sqref="P163:Q163 P168:Q169 P171:Q171 P173:Q173 P175:Q175 P177:Q179 P183:Q183 P185:Q214 U204:V204">
    <cfRule type="containsText" dxfId="9" priority="35505" operator="containsText" text="No">
      <formula>NOT(ISERROR(SEARCH(("No"),(P163))))</formula>
    </cfRule>
  </conditionalFormatting>
  <conditionalFormatting sqref="P163:Q163 P168:Q169 P171:Q171 P173:Q173 P175:Q175 P177:Q179 P183:Q183 P185:Q214 U204:V204">
    <cfRule type="containsText" dxfId="9" priority="35506" operator="containsText" text="No">
      <formula>NOT(ISERROR(SEARCH(("No"),(P163))))</formula>
    </cfRule>
  </conditionalFormatting>
  <conditionalFormatting sqref="P163:Q163 P168:Q169 P171:Q171 P173:Q173 P175:Q175 P177:Q179 P183:Q183 P185:Q214 U204:V204">
    <cfRule type="containsText" dxfId="9" priority="35507" operator="containsText" text="No">
      <formula>NOT(ISERROR(SEARCH(("No"),(P163))))</formula>
    </cfRule>
  </conditionalFormatting>
  <conditionalFormatting sqref="P163:Q163 P168:Q169 P171:Q171 P173:Q173 P175:Q175 P177:Q179 P183:Q183 P185:Q214 U204:V204">
    <cfRule type="containsText" dxfId="9" priority="35508" operator="containsText" text="No">
      <formula>NOT(ISERROR(SEARCH(("No"),(P163))))</formula>
    </cfRule>
  </conditionalFormatting>
  <conditionalFormatting sqref="P163:Q163 P168:Q169 P171:Q171 P173:Q173 P175:Q175 P177:Q179 P183:Q183 P185:Q214 U204:V204">
    <cfRule type="containsText" dxfId="9" priority="35509" operator="containsText" text="No">
      <formula>NOT(ISERROR(SEARCH(("No"),(P163))))</formula>
    </cfRule>
  </conditionalFormatting>
  <conditionalFormatting sqref="P163:Q163 P168:Q169 P171:Q171 P173:Q173 P175:Q175 P177:Q179 P183:Q183 P185:Q214 U204:V204">
    <cfRule type="containsText" dxfId="9" priority="35510" operator="containsText" text="No">
      <formula>NOT(ISERROR(SEARCH(("No"),(P163))))</formula>
    </cfRule>
  </conditionalFormatting>
  <conditionalFormatting sqref="P163:Q163 P168:Q169 P171:Q171 P173:Q173 P175:Q175 P177:Q179 P183:Q183 P185:Q214 U204:V204">
    <cfRule type="containsText" dxfId="9" priority="35511" operator="containsText" text="No">
      <formula>NOT(ISERROR(SEARCH(("No"),(P163))))</formula>
    </cfRule>
  </conditionalFormatting>
  <conditionalFormatting sqref="P163:Q163 P168:Q169 P171:Q171 P173:Q173 P175:Q175 P177:Q179 P183:Q183 P185:Q214 U204:V204">
    <cfRule type="containsText" dxfId="9" priority="35512" operator="containsText" text="No">
      <formula>NOT(ISERROR(SEARCH(("No"),(P163))))</formula>
    </cfRule>
  </conditionalFormatting>
  <conditionalFormatting sqref="P163:Q163 P168:Q169 P171:Q171 P173:Q173 P175:Q175 P177:Q179 P183:Q183 P185:Q214 U204:V204">
    <cfRule type="containsText" dxfId="9" priority="35513" operator="containsText" text="No">
      <formula>NOT(ISERROR(SEARCH(("No"),(P163))))</formula>
    </cfRule>
  </conditionalFormatting>
  <conditionalFormatting sqref="P163:Q163 P168:Q169 P171:Q171 P173:Q173 P175:Q175 P177:Q179 P183:Q183 P185:Q214 U204:V204">
    <cfRule type="containsText" dxfId="9" priority="35514" operator="containsText" text="No">
      <formula>NOT(ISERROR(SEARCH(("No"),(P163))))</formula>
    </cfRule>
  </conditionalFormatting>
  <conditionalFormatting sqref="P163:Q163 P168:Q169 P171:Q171 P173:Q173 P175:Q175 P177:Q179 P183:Q183 P185:Q214 U204:V204">
    <cfRule type="containsText" dxfId="9" priority="35515" operator="containsText" text="No">
      <formula>NOT(ISERROR(SEARCH(("No"),(P163))))</formula>
    </cfRule>
  </conditionalFormatting>
  <conditionalFormatting sqref="P163:Q163 P168:Q169 P171:Q171 P173:Q173 P175:Q175 P177:Q179 P183:Q183 P185:Q214 U204:V204">
    <cfRule type="containsText" dxfId="9" priority="35516" operator="containsText" text="No">
      <formula>NOT(ISERROR(SEARCH(("No"),(P163))))</formula>
    </cfRule>
  </conditionalFormatting>
  <conditionalFormatting sqref="P163:Q163 P168:Q169 P171:Q171 P173:Q173 P175:Q175 P177:Q179 P183:Q183 P185:Q214 U204:V204">
    <cfRule type="containsText" dxfId="9" priority="35517" operator="containsText" text="No">
      <formula>NOT(ISERROR(SEARCH(("No"),(P163))))</formula>
    </cfRule>
  </conditionalFormatting>
  <conditionalFormatting sqref="P163:Q163 P168:Q169 P171:Q171 P173:Q173 P175:Q175 P177:Q179 P183:Q183 P185:Q214 U204:V204">
    <cfRule type="containsText" dxfId="9" priority="35518" operator="containsText" text="No">
      <formula>NOT(ISERROR(SEARCH(("No"),(P163))))</formula>
    </cfRule>
  </conditionalFormatting>
  <conditionalFormatting sqref="P163:Q163 P168:Q169 P171:Q171 P173:Q173 P175:Q175 P177:Q179 P183:Q183 P185:Q214 U204:V204">
    <cfRule type="containsText" dxfId="9" priority="35519" operator="containsText" text="No">
      <formula>NOT(ISERROR(SEARCH(("No"),(P163))))</formula>
    </cfRule>
  </conditionalFormatting>
  <conditionalFormatting sqref="P163:Q163 P168:Q169 P171:Q171 P173:Q173 P175:Q175 P177:Q179 P183:Q183 P185:Q214 U204:V204">
    <cfRule type="containsText" dxfId="9" priority="35520" operator="containsText" text="No">
      <formula>NOT(ISERROR(SEARCH(("No"),(P163))))</formula>
    </cfRule>
  </conditionalFormatting>
  <conditionalFormatting sqref="P163:Q163 P168:Q169 P171:Q171 P173:Q173 P175:Q175 P177:Q179 P183:Q183 P185:Q214 U204:V204">
    <cfRule type="containsText" dxfId="2" priority="35521" operator="containsText" text="Yes">
      <formula>NOT(ISERROR(SEARCH(("Yes"),(P163))))</formula>
    </cfRule>
  </conditionalFormatting>
  <conditionalFormatting sqref="P163:Q163 P168:Q169 P171:Q171 P173:Q173 P175:Q175 P177:Q179 P183:Q183 P185:Q214 U204:V204">
    <cfRule type="containsText" dxfId="2" priority="35522" operator="containsText" text="Yes">
      <formula>NOT(ISERROR(SEARCH(("Yes"),(P163))))</formula>
    </cfRule>
  </conditionalFormatting>
  <conditionalFormatting sqref="P163:Q163 P168:Q169 P171:Q171 P173:Q173 P175:Q175 P177:Q179 P183:Q183 P185:Q214 U204:V204">
    <cfRule type="containsText" dxfId="2" priority="35523" operator="containsText" text="Yes">
      <formula>NOT(ISERROR(SEARCH(("Yes"),(P163))))</formula>
    </cfRule>
  </conditionalFormatting>
  <conditionalFormatting sqref="P163:Q163 P168:Q169 P171:Q171 P173:Q173 P175:Q175 P177:Q179 P183:Q183 P185:Q214 U204:V204">
    <cfRule type="containsText" dxfId="2" priority="35524" operator="containsText" text="Yes">
      <formula>NOT(ISERROR(SEARCH(("Yes"),(P163))))</formula>
    </cfRule>
  </conditionalFormatting>
  <conditionalFormatting sqref="P163:Q163 P168:Q169 P171:Q171 P173:Q173 P175:Q175 P177:Q179 P183:Q183 P185:Q214 U204:V204">
    <cfRule type="containsText" dxfId="2" priority="35525" operator="containsText" text="Yes">
      <formula>NOT(ISERROR(SEARCH(("Yes"),(P163))))</formula>
    </cfRule>
  </conditionalFormatting>
  <conditionalFormatting sqref="P163:Q163 P168:Q169 P171:Q171 P173:Q173 P175:Q175 P177:Q179 P183:Q183 P185:Q214 U204:V204">
    <cfRule type="containsText" dxfId="2" priority="35526" operator="containsText" text="Yes">
      <formula>NOT(ISERROR(SEARCH(("Yes"),(P163))))</formula>
    </cfRule>
  </conditionalFormatting>
  <conditionalFormatting sqref="P163:Q163 P168:Q169 P171:Q171 P173:Q173 P175:Q175 P177:Q179 P183:Q183 P185:Q214 U204:V204">
    <cfRule type="containsText" dxfId="2" priority="35527" operator="containsText" text="Yes">
      <formula>NOT(ISERROR(SEARCH(("Yes"),(P163))))</formula>
    </cfRule>
  </conditionalFormatting>
  <conditionalFormatting sqref="P163:Q163 P168:Q169 P171:Q171 P173:Q173 P175:Q175 P177:Q179 P183:Q183 P185:Q214 U204:V204">
    <cfRule type="containsText" dxfId="2" priority="35528" operator="containsText" text="Yes">
      <formula>NOT(ISERROR(SEARCH(("Yes"),(P163))))</formula>
    </cfRule>
  </conditionalFormatting>
  <conditionalFormatting sqref="P163:Q163 P168:Q169 P171:Q171 P173:Q173 P175:Q175 P177:Q179 P183:Q183 P185:Q214 U204:V204">
    <cfRule type="containsText" dxfId="2" priority="35529" operator="containsText" text="Yes">
      <formula>NOT(ISERROR(SEARCH(("Yes"),(P163))))</formula>
    </cfRule>
  </conditionalFormatting>
  <conditionalFormatting sqref="P163:Q163 P168:Q169 P171:Q171 P173:Q173 P175:Q175 P177:Q179 P183:Q183 P185:Q214 U204:V204">
    <cfRule type="containsText" dxfId="2" priority="35530" operator="containsText" text="Yes">
      <formula>NOT(ISERROR(SEARCH(("Yes"),(P163))))</formula>
    </cfRule>
  </conditionalFormatting>
  <conditionalFormatting sqref="P163:Q163 P168:Q169 P171:Q171 P173:Q173 P175:Q175 P177:Q179 P183:Q183 P185:Q214 U204:V204">
    <cfRule type="containsText" dxfId="2" priority="35531" operator="containsText" text="Yes">
      <formula>NOT(ISERROR(SEARCH(("Yes"),(P163))))</formula>
    </cfRule>
  </conditionalFormatting>
  <conditionalFormatting sqref="P163:Q163 P168:Q169 P171:Q171 P173:Q173 P175:Q175 P177:Q179 P183:Q183 P185:Q214 U204:V204">
    <cfRule type="containsText" dxfId="2" priority="35532" operator="containsText" text="Yes">
      <formula>NOT(ISERROR(SEARCH(("Yes"),(P163))))</formula>
    </cfRule>
  </conditionalFormatting>
  <conditionalFormatting sqref="P163:Q163 P168:Q169 P171:Q171 P173:Q173 P175:Q175 P177:Q179 P183:Q183 P185:Q214 U204:V204">
    <cfRule type="containsText" dxfId="2" priority="35533" operator="containsText" text="Yes">
      <formula>NOT(ISERROR(SEARCH(("Yes"),(P163))))</formula>
    </cfRule>
  </conditionalFormatting>
  <conditionalFormatting sqref="P163:Q163 P168:Q169 P171:Q171 P173:Q173 P175:Q175 P177:Q179 P183:Q183 P185:Q214 U204:V204">
    <cfRule type="containsText" dxfId="2" priority="35534" operator="containsText" text="Yes">
      <formula>NOT(ISERROR(SEARCH(("Yes"),(P163))))</formula>
    </cfRule>
  </conditionalFormatting>
  <conditionalFormatting sqref="P163:Q163 P168:Q169 P171:Q171 P173:Q173 P175:Q175 P177:Q179 P183:Q183 P185:Q214 U204:V204">
    <cfRule type="containsText" dxfId="2" priority="35535" operator="containsText" text="Yes">
      <formula>NOT(ISERROR(SEARCH(("Yes"),(P163))))</formula>
    </cfRule>
  </conditionalFormatting>
  <conditionalFormatting sqref="P163:Q163 P168:Q169 P171:Q171 P173:Q173 P175:Q175 P177:Q179 P183:Q183 P185:Q214 U204:V204">
    <cfRule type="containsText" dxfId="2" priority="35536" operator="containsText" text="Yes">
      <formula>NOT(ISERROR(SEARCH(("Yes"),(P163))))</formula>
    </cfRule>
  </conditionalFormatting>
  <conditionalFormatting sqref="P163:Q163 P168:Q169 P171:Q171 P173:Q173 P175:Q175 P177:Q179 P183:Q183 P185:Q214 U204:V204">
    <cfRule type="containsText" dxfId="2" priority="35537" operator="containsText" text="Yes">
      <formula>NOT(ISERROR(SEARCH(("Yes"),(P163))))</formula>
    </cfRule>
  </conditionalFormatting>
  <conditionalFormatting sqref="P163:Q163 P168:Q169 P171:Q171 P173:Q173 P175:Q175 P177:Q179 P183:Q183 P185:Q214 U204:V204">
    <cfRule type="containsText" dxfId="2" priority="35538" operator="containsText" text="Yes">
      <formula>NOT(ISERROR(SEARCH(("Yes"),(P163))))</formula>
    </cfRule>
  </conditionalFormatting>
  <conditionalFormatting sqref="P163:Q163 P168:Q169 P171:Q171 P173:Q173 P175:Q175 P177:Q179 P183:Q183 P185:Q214 U204:V204">
    <cfRule type="containsText" dxfId="2" priority="35539" operator="containsText" text="Yes">
      <formula>NOT(ISERROR(SEARCH(("Yes"),(P163))))</formula>
    </cfRule>
  </conditionalFormatting>
  <conditionalFormatting sqref="P163:Q163 P168:Q169 P171:Q171 P173:Q173 P175:Q175 P177:Q179 P183:Q183 P185:Q214 U204:V204">
    <cfRule type="containsText" dxfId="2" priority="35540" operator="containsText" text="Yes">
      <formula>NOT(ISERROR(SEARCH(("Yes"),(P163))))</formula>
    </cfRule>
  </conditionalFormatting>
  <conditionalFormatting sqref="P163:Q163 P168:Q169 P171:Q171 P173:Q173 P175:Q175 P177:Q179 P183:Q183 P185:Q214 U204:V204">
    <cfRule type="containsText" dxfId="2" priority="35541" operator="containsText" text="Yes">
      <formula>NOT(ISERROR(SEARCH(("Yes"),(P163))))</formula>
    </cfRule>
  </conditionalFormatting>
  <conditionalFormatting sqref="P163:Q163 P168:Q169 P171:Q171 P173:Q173 P175:Q175 P177:Q179 P183:Q183 P185:Q214 U204:V204">
    <cfRule type="containsText" dxfId="2" priority="35542" operator="containsText" text="Yes">
      <formula>NOT(ISERROR(SEARCH(("Yes"),(P163))))</formula>
    </cfRule>
  </conditionalFormatting>
  <conditionalFormatting sqref="P163:Q163 P168:Q169 P171:Q171 P173:Q173 P175:Q175 P177:Q179 P183:Q183 P185:Q214 U204:V204">
    <cfRule type="containsText" dxfId="2" priority="35543" operator="containsText" text="Yes">
      <formula>NOT(ISERROR(SEARCH(("Yes"),(P163))))</formula>
    </cfRule>
  </conditionalFormatting>
  <conditionalFormatting sqref="P163:Q163 P168:Q169 P171:Q171 P173:Q173 P175:Q175 P177:Q179 P183:Q183 P185:Q214 U204:V204">
    <cfRule type="containsText" dxfId="2" priority="35544" operator="containsText" text="Yes">
      <formula>NOT(ISERROR(SEARCH(("Yes"),(P163))))</formula>
    </cfRule>
  </conditionalFormatting>
  <conditionalFormatting sqref="P163:Q163 P168:Q169 P171:Q171 P173:Q173 P175:Q175 P177:Q179 P183:Q183 P185:Q214 U204:V204">
    <cfRule type="containsText" dxfId="2" priority="35545" operator="containsText" text="Yes">
      <formula>NOT(ISERROR(SEARCH(("Yes"),(P163))))</formula>
    </cfRule>
  </conditionalFormatting>
  <conditionalFormatting sqref="P163:Q163 P168:Q169 P171:Q171 P173:Q173 P175:Q175 P177:Q179 P183:Q183 P185:Q214 U204:V204">
    <cfRule type="containsText" dxfId="2" priority="35546" operator="containsText" text="Yes">
      <formula>NOT(ISERROR(SEARCH(("Yes"),(P163))))</formula>
    </cfRule>
  </conditionalFormatting>
  <conditionalFormatting sqref="P163:Q163 P168:Q169 P171:Q171 P173:Q173 P175:Q175 P177:Q179 P183:Q183 P185:Q214 U204:V204">
    <cfRule type="containsText" dxfId="2" priority="35547" operator="containsText" text="Yes">
      <formula>NOT(ISERROR(SEARCH(("Yes"),(P163))))</formula>
    </cfRule>
  </conditionalFormatting>
  <conditionalFormatting sqref="P163:Q163 P168:Q169 P171:Q171 P173:Q173 P175:Q175 P177:Q179 P183:Q183 P185:Q214 U204:V204">
    <cfRule type="containsText" dxfId="2" priority="35548" operator="containsText" text="Yes">
      <formula>NOT(ISERROR(SEARCH(("Yes"),(P163))))</formula>
    </cfRule>
  </conditionalFormatting>
  <conditionalFormatting sqref="P163:Q163 P168:Q169 P171:Q171 P173:Q173 P175:Q175 P177:Q179 P183:Q183 P185:Q214 U204:V204">
    <cfRule type="containsText" dxfId="2" priority="35549" operator="containsText" text="Yes">
      <formula>NOT(ISERROR(SEARCH(("Yes"),(P163))))</formula>
    </cfRule>
  </conditionalFormatting>
  <conditionalFormatting sqref="P163:Q163 P168:Q169 P171:Q171 P173:Q173 P175:Q175 P177:Q179 P183:Q183 P185:Q214 U204:V204">
    <cfRule type="containsText" dxfId="2" priority="35550" operator="containsText" text="Yes">
      <formula>NOT(ISERROR(SEARCH(("Yes"),(P163))))</formula>
    </cfRule>
  </conditionalFormatting>
  <conditionalFormatting sqref="P163:Q163 P168:Q169 P171:Q171 P173:Q173 P175:Q175 P177:Q179 P183:Q183 P185:Q214 U204:V204">
    <cfRule type="containsText" dxfId="2" priority="35551" operator="containsText" text="Yes">
      <formula>NOT(ISERROR(SEARCH(("Yes"),(P163))))</formula>
    </cfRule>
  </conditionalFormatting>
  <conditionalFormatting sqref="P163:Q163 P168:Q169 P171:Q171 P173:Q173 P175:Q175 P177:Q179 P183:Q183 P185:Q214 U204:V204">
    <cfRule type="containsText" dxfId="2" priority="35552" operator="containsText" text="Yes">
      <formula>NOT(ISERROR(SEARCH(("Yes"),(P163))))</formula>
    </cfRule>
  </conditionalFormatting>
  <conditionalFormatting sqref="P163:Q163 P168:Q169 P171:Q171 P173:Q173 P175:Q175 P177:Q179 P183:Q183 P185:Q214 U204:V204">
    <cfRule type="containsText" dxfId="2" priority="35553" operator="containsText" text="Yes">
      <formula>NOT(ISERROR(SEARCH(("Yes"),(P163))))</formula>
    </cfRule>
  </conditionalFormatting>
  <conditionalFormatting sqref="P163:Q163 P168:Q169 P171:Q171 P173:Q173 P175:Q175 P177:Q179 P183:Q183 P185:Q214 U204:V204">
    <cfRule type="containsText" dxfId="2" priority="35554" operator="containsText" text="Yes">
      <formula>NOT(ISERROR(SEARCH(("Yes"),(P163))))</formula>
    </cfRule>
  </conditionalFormatting>
  <conditionalFormatting sqref="P163:Q163 P168:Q169 P171:Q171 P173:Q173 P175:Q175 P177:Q179 P183:Q183 P185:Q214 U204:V204">
    <cfRule type="containsText" dxfId="2" priority="35555" operator="containsText" text="Yes">
      <formula>NOT(ISERROR(SEARCH(("Yes"),(P163))))</formula>
    </cfRule>
  </conditionalFormatting>
  <conditionalFormatting sqref="P163:Q163 P168:Q169 P171:Q171 P173:Q173 P175:Q175 P177:Q179 P183:Q183 P185:Q214 U204:V204">
    <cfRule type="containsText" dxfId="2" priority="35556" operator="containsText" text="Yes">
      <formula>NOT(ISERROR(SEARCH(("Yes"),(P163))))</formula>
    </cfRule>
  </conditionalFormatting>
  <conditionalFormatting sqref="P163:Q163 P168:Q169 P171:Q171 P173:Q173 P175:Q175 P177:Q179 P183:Q183 P185:Q214 U204:V204">
    <cfRule type="containsText" dxfId="2" priority="35557" operator="containsText" text="Yes">
      <formula>NOT(ISERROR(SEARCH(("Yes"),(P163))))</formula>
    </cfRule>
  </conditionalFormatting>
  <conditionalFormatting sqref="P163:Q163 P168:Q169 P171:Q171 P173:Q173 P175:Q175 P177:Q179 P183:Q183 P185:Q214 U204:V204">
    <cfRule type="containsText" dxfId="2" priority="35558" operator="containsText" text="Yes">
      <formula>NOT(ISERROR(SEARCH(("Yes"),(P163))))</formula>
    </cfRule>
  </conditionalFormatting>
  <conditionalFormatting sqref="P163:Q163 P168:Q169 P171:Q171 P173:Q173 P175:Q175 P177:Q179 P183:Q183 P185:Q214 U204:V204">
    <cfRule type="containsText" dxfId="2" priority="35559" operator="containsText" text="Yes">
      <formula>NOT(ISERROR(SEARCH(("Yes"),(P163))))</formula>
    </cfRule>
  </conditionalFormatting>
  <conditionalFormatting sqref="P163:Q163 P168:Q169 P171:Q171 P173:Q173 P175:Q175 P177:Q179 P183:Q183 P185:Q214 U204:V204">
    <cfRule type="containsText" dxfId="2" priority="35560" operator="containsText" text="Yes">
      <formula>NOT(ISERROR(SEARCH(("Yes"),(P163))))</formula>
    </cfRule>
  </conditionalFormatting>
  <conditionalFormatting sqref="P163:Q163 P168:Q169 P171:Q171 P173:Q173 P175:Q175 P177:Q179 P183:Q183 P185:Q214 U204:V204">
    <cfRule type="containsText" dxfId="2" priority="35561" operator="containsText" text="Yes">
      <formula>NOT(ISERROR(SEARCH(("Yes"),(P163))))</formula>
    </cfRule>
  </conditionalFormatting>
  <conditionalFormatting sqref="P163:Q163 P168:Q169 P171:Q171 P173:Q173 P175:Q175 P177:Q179 P183:Q183 P185:Q214 U204:V204">
    <cfRule type="containsText" dxfId="2" priority="35562" operator="containsText" text="Yes">
      <formula>NOT(ISERROR(SEARCH(("Yes"),(P163))))</formula>
    </cfRule>
  </conditionalFormatting>
  <conditionalFormatting sqref="P163:Q163 P168:Q169 P171:Q171 P173:Q173 P175:Q175 P177:Q179 P183:Q183 P185:Q214 U204:V204">
    <cfRule type="containsText" dxfId="2" priority="35563" operator="containsText" text="Yes">
      <formula>NOT(ISERROR(SEARCH(("Yes"),(P163))))</formula>
    </cfRule>
  </conditionalFormatting>
  <conditionalFormatting sqref="P163:Q163 P168:Q169 P171:Q171 P173:Q173 P175:Q175 P177:Q179 P183:Q183 P185:Q214 U204:V204">
    <cfRule type="containsText" dxfId="2" priority="35564" operator="containsText" text="Yes">
      <formula>NOT(ISERROR(SEARCH(("Yes"),(P163))))</formula>
    </cfRule>
  </conditionalFormatting>
  <conditionalFormatting sqref="P163:Q163 P168:Q169 P171:Q171 P173:Q173 P175:Q175 P177:Q179 P183:Q183 P185:Q214 U204:V204">
    <cfRule type="containsText" dxfId="2" priority="35565" operator="containsText" text="Yes">
      <formula>NOT(ISERROR(SEARCH(("Yes"),(P163))))</formula>
    </cfRule>
  </conditionalFormatting>
  <conditionalFormatting sqref="P163:Q163 P168:Q169 P171:Q171 P173:Q173 P175:Q175 P177:Q179 P183:Q183 P185:Q214 U204:V204">
    <cfRule type="containsText" dxfId="2" priority="35566" operator="containsText" text="Yes">
      <formula>NOT(ISERROR(SEARCH(("Yes"),(P163))))</formula>
    </cfRule>
  </conditionalFormatting>
  <conditionalFormatting sqref="P163:Q163 P168:Q169 P171:Q171 P173:Q173 P175:Q175 P177:Q179 P183:Q183 P185:Q214 U204:V204">
    <cfRule type="containsText" dxfId="2" priority="35567" operator="containsText" text="Yes">
      <formula>NOT(ISERROR(SEARCH(("Yes"),(P163))))</formula>
    </cfRule>
  </conditionalFormatting>
  <conditionalFormatting sqref="P164:Q164 P166:Q167">
    <cfRule type="containsText" dxfId="9" priority="35568" operator="containsText" text="No">
      <formula>NOT(ISERROR(SEARCH(("No"),(P164))))</formula>
    </cfRule>
  </conditionalFormatting>
  <conditionalFormatting sqref="P164:Q164 P166:Q167">
    <cfRule type="containsText" dxfId="9" priority="35569" operator="containsText" text="No">
      <formula>NOT(ISERROR(SEARCH(("No"),(P164))))</formula>
    </cfRule>
  </conditionalFormatting>
  <conditionalFormatting sqref="P164:Q164 P166:Q167">
    <cfRule type="containsText" dxfId="9" priority="35570" operator="containsText" text="No">
      <formula>NOT(ISERROR(SEARCH(("No"),(P164))))</formula>
    </cfRule>
  </conditionalFormatting>
  <conditionalFormatting sqref="P164:Q164 P166:Q167">
    <cfRule type="containsText" dxfId="9" priority="35571" operator="containsText" text="No">
      <formula>NOT(ISERROR(SEARCH(("No"),(P164))))</formula>
    </cfRule>
  </conditionalFormatting>
  <conditionalFormatting sqref="P164:Q164 P166:Q167">
    <cfRule type="containsText" dxfId="9" priority="35572" operator="containsText" text="No">
      <formula>NOT(ISERROR(SEARCH(("No"),(P164))))</formula>
    </cfRule>
  </conditionalFormatting>
  <conditionalFormatting sqref="P164:Q164 P166:Q167">
    <cfRule type="containsText" dxfId="9" priority="35573" operator="containsText" text="No">
      <formula>NOT(ISERROR(SEARCH(("No"),(P164))))</formula>
    </cfRule>
  </conditionalFormatting>
  <conditionalFormatting sqref="P164:Q164 P166:Q167">
    <cfRule type="containsText" dxfId="9" priority="35574" operator="containsText" text="No">
      <formula>NOT(ISERROR(SEARCH(("No"),(P164))))</formula>
    </cfRule>
  </conditionalFormatting>
  <conditionalFormatting sqref="P164:Q164 P166:Q167">
    <cfRule type="containsText" dxfId="9" priority="35575" operator="containsText" text="No">
      <formula>NOT(ISERROR(SEARCH(("No"),(P164))))</formula>
    </cfRule>
  </conditionalFormatting>
  <conditionalFormatting sqref="P164:Q164 P166:Q167">
    <cfRule type="containsText" dxfId="9" priority="35576" operator="containsText" text="No">
      <formula>NOT(ISERROR(SEARCH(("No"),(P164))))</formula>
    </cfRule>
  </conditionalFormatting>
  <conditionalFormatting sqref="P164:Q164 P166:Q167">
    <cfRule type="containsText" dxfId="9" priority="35577" operator="containsText" text="No">
      <formula>NOT(ISERROR(SEARCH(("No"),(P164))))</formula>
    </cfRule>
  </conditionalFormatting>
  <conditionalFormatting sqref="P164:Q164 P166:Q167">
    <cfRule type="containsText" dxfId="9" priority="35578" operator="containsText" text="No">
      <formula>NOT(ISERROR(SEARCH(("No"),(P164))))</formula>
    </cfRule>
  </conditionalFormatting>
  <conditionalFormatting sqref="P164:Q164 P166:Q167">
    <cfRule type="containsText" dxfId="9" priority="35579" operator="containsText" text="No">
      <formula>NOT(ISERROR(SEARCH(("No"),(P164))))</formula>
    </cfRule>
  </conditionalFormatting>
  <conditionalFormatting sqref="P164:Q164 P166:Q167">
    <cfRule type="containsText" dxfId="9" priority="35580" operator="containsText" text="No">
      <formula>NOT(ISERROR(SEARCH(("No"),(P164))))</formula>
    </cfRule>
  </conditionalFormatting>
  <conditionalFormatting sqref="P164:Q164 P166:Q167">
    <cfRule type="containsText" dxfId="9" priority="35581" operator="containsText" text="No">
      <formula>NOT(ISERROR(SEARCH(("No"),(P164))))</formula>
    </cfRule>
  </conditionalFormatting>
  <conditionalFormatting sqref="P164:Q164 P166:Q167">
    <cfRule type="containsText" dxfId="9" priority="35582" operator="containsText" text="No">
      <formula>NOT(ISERROR(SEARCH(("No"),(P164))))</formula>
    </cfRule>
  </conditionalFormatting>
  <conditionalFormatting sqref="P164:Q164 P166:Q167">
    <cfRule type="containsText" dxfId="9" priority="35583" operator="containsText" text="No">
      <formula>NOT(ISERROR(SEARCH(("No"),(P164))))</formula>
    </cfRule>
  </conditionalFormatting>
  <conditionalFormatting sqref="P164:Q164 P166:Q167">
    <cfRule type="containsText" dxfId="9" priority="35584" operator="containsText" text="No">
      <formula>NOT(ISERROR(SEARCH(("No"),(P164))))</formula>
    </cfRule>
  </conditionalFormatting>
  <conditionalFormatting sqref="P164:Q164 P166:Q167">
    <cfRule type="containsText" dxfId="9" priority="35585" operator="containsText" text="No">
      <formula>NOT(ISERROR(SEARCH(("No"),(P164))))</formula>
    </cfRule>
  </conditionalFormatting>
  <conditionalFormatting sqref="P164:Q164 P166:Q167">
    <cfRule type="containsText" dxfId="9" priority="35586" operator="containsText" text="No">
      <formula>NOT(ISERROR(SEARCH(("No"),(P164))))</formula>
    </cfRule>
  </conditionalFormatting>
  <conditionalFormatting sqref="P164:Q164 P166:Q167">
    <cfRule type="containsText" dxfId="9" priority="35587" operator="containsText" text="No">
      <formula>NOT(ISERROR(SEARCH(("No"),(P164))))</formula>
    </cfRule>
  </conditionalFormatting>
  <conditionalFormatting sqref="P164:Q164 P166:Q167">
    <cfRule type="containsText" dxfId="9" priority="35588" operator="containsText" text="No">
      <formula>NOT(ISERROR(SEARCH(("No"),(P164))))</formula>
    </cfRule>
  </conditionalFormatting>
  <conditionalFormatting sqref="P164:Q164 P166:Q167">
    <cfRule type="containsText" dxfId="9" priority="35589" operator="containsText" text="No">
      <formula>NOT(ISERROR(SEARCH(("No"),(P164))))</formula>
    </cfRule>
  </conditionalFormatting>
  <conditionalFormatting sqref="P164:Q164 P166:Q167">
    <cfRule type="containsText" dxfId="9" priority="35590" operator="containsText" text="No">
      <formula>NOT(ISERROR(SEARCH(("No"),(P164))))</formula>
    </cfRule>
  </conditionalFormatting>
  <conditionalFormatting sqref="P164:Q164 P166:Q167">
    <cfRule type="containsText" dxfId="9" priority="35591" operator="containsText" text="No">
      <formula>NOT(ISERROR(SEARCH(("No"),(P164))))</formula>
    </cfRule>
  </conditionalFormatting>
  <conditionalFormatting sqref="P164:Q164 P166:Q167">
    <cfRule type="containsText" dxfId="9" priority="35592" operator="containsText" text="No">
      <formula>NOT(ISERROR(SEARCH(("No"),(P164))))</formula>
    </cfRule>
  </conditionalFormatting>
  <conditionalFormatting sqref="P164:Q164 P166:Q167">
    <cfRule type="containsText" dxfId="9" priority="35593" operator="containsText" text="No">
      <formula>NOT(ISERROR(SEARCH(("No"),(P164))))</formula>
    </cfRule>
  </conditionalFormatting>
  <conditionalFormatting sqref="P164:Q164 P166:Q167">
    <cfRule type="containsText" dxfId="9" priority="35594" operator="containsText" text="No">
      <formula>NOT(ISERROR(SEARCH(("No"),(P164))))</formula>
    </cfRule>
  </conditionalFormatting>
  <conditionalFormatting sqref="P164:Q164 P166:Q167">
    <cfRule type="containsText" dxfId="9" priority="35595" operator="containsText" text="No">
      <formula>NOT(ISERROR(SEARCH(("No"),(P164))))</formula>
    </cfRule>
  </conditionalFormatting>
  <conditionalFormatting sqref="P164:Q164 P166:Q167">
    <cfRule type="containsText" dxfId="9" priority="35596" operator="containsText" text="No">
      <formula>NOT(ISERROR(SEARCH(("No"),(P164))))</formula>
    </cfRule>
  </conditionalFormatting>
  <conditionalFormatting sqref="P164:Q164 P166:Q167">
    <cfRule type="containsText" dxfId="9" priority="35597" operator="containsText" text="No">
      <formula>NOT(ISERROR(SEARCH(("No"),(P164))))</formula>
    </cfRule>
  </conditionalFormatting>
  <conditionalFormatting sqref="P164:Q164 P166:Q167">
    <cfRule type="containsText" dxfId="9" priority="35598" operator="containsText" text="No">
      <formula>NOT(ISERROR(SEARCH(("No"),(P164))))</formula>
    </cfRule>
  </conditionalFormatting>
  <conditionalFormatting sqref="P164:Q164 P166:Q167">
    <cfRule type="containsText" dxfId="9" priority="35599" operator="containsText" text="No">
      <formula>NOT(ISERROR(SEARCH(("No"),(P164))))</formula>
    </cfRule>
  </conditionalFormatting>
  <conditionalFormatting sqref="P164:Q164 P166:Q167">
    <cfRule type="containsText" dxfId="9" priority="35600" operator="containsText" text="No">
      <formula>NOT(ISERROR(SEARCH(("No"),(P164))))</formula>
    </cfRule>
  </conditionalFormatting>
  <conditionalFormatting sqref="P164:Q164 P166:Q167">
    <cfRule type="containsText" dxfId="9" priority="35601" operator="containsText" text="No">
      <formula>NOT(ISERROR(SEARCH(("No"),(P164))))</formula>
    </cfRule>
  </conditionalFormatting>
  <conditionalFormatting sqref="P164:Q164 P166:Q167">
    <cfRule type="containsText" dxfId="9" priority="35602" operator="containsText" text="No">
      <formula>NOT(ISERROR(SEARCH(("No"),(P164))))</formula>
    </cfRule>
  </conditionalFormatting>
  <conditionalFormatting sqref="P164:Q164 P166:Q167">
    <cfRule type="containsText" dxfId="9" priority="35603" operator="containsText" text="No">
      <formula>NOT(ISERROR(SEARCH(("No"),(P164))))</formula>
    </cfRule>
  </conditionalFormatting>
  <conditionalFormatting sqref="P164:Q164 P166:Q167">
    <cfRule type="containsText" dxfId="9" priority="35604" operator="containsText" text="No">
      <formula>NOT(ISERROR(SEARCH(("No"),(P164))))</formula>
    </cfRule>
  </conditionalFormatting>
  <conditionalFormatting sqref="P164:Q164 P166:Q167">
    <cfRule type="containsText" dxfId="9" priority="35605" operator="containsText" text="No">
      <formula>NOT(ISERROR(SEARCH(("No"),(P164))))</formula>
    </cfRule>
  </conditionalFormatting>
  <conditionalFormatting sqref="P164:Q164 P166:Q167">
    <cfRule type="containsText" dxfId="9" priority="35606" operator="containsText" text="No">
      <formula>NOT(ISERROR(SEARCH(("No"),(P164))))</formula>
    </cfRule>
  </conditionalFormatting>
  <conditionalFormatting sqref="P164:Q164 P166:Q167">
    <cfRule type="containsText" dxfId="9" priority="35607" operator="containsText" text="No">
      <formula>NOT(ISERROR(SEARCH(("No"),(P164))))</formula>
    </cfRule>
  </conditionalFormatting>
  <conditionalFormatting sqref="P164:Q164 P166:Q167">
    <cfRule type="containsText" dxfId="9" priority="35608" operator="containsText" text="No">
      <formula>NOT(ISERROR(SEARCH(("No"),(P164))))</formula>
    </cfRule>
  </conditionalFormatting>
  <conditionalFormatting sqref="P164:Q164 P166:Q167">
    <cfRule type="containsText" dxfId="9" priority="35609" operator="containsText" text="No">
      <formula>NOT(ISERROR(SEARCH(("No"),(P164))))</formula>
    </cfRule>
  </conditionalFormatting>
  <conditionalFormatting sqref="P164:Q164 P166:Q167">
    <cfRule type="containsText" dxfId="9" priority="35610" operator="containsText" text="No">
      <formula>NOT(ISERROR(SEARCH(("No"),(P164))))</formula>
    </cfRule>
  </conditionalFormatting>
  <conditionalFormatting sqref="P164:Q164 P166:Q167">
    <cfRule type="containsText" dxfId="9" priority="35611" operator="containsText" text="No">
      <formula>NOT(ISERROR(SEARCH(("No"),(P164))))</formula>
    </cfRule>
  </conditionalFormatting>
  <conditionalFormatting sqref="P164:Q164 P166:Q167">
    <cfRule type="containsText" dxfId="9" priority="35612" operator="containsText" text="No">
      <formula>NOT(ISERROR(SEARCH(("No"),(P164))))</formula>
    </cfRule>
  </conditionalFormatting>
  <conditionalFormatting sqref="P164:Q164 P166:Q167">
    <cfRule type="containsText" dxfId="2" priority="35613" operator="containsText" text="Yes">
      <formula>NOT(ISERROR(SEARCH(("Yes"),(P164))))</formula>
    </cfRule>
  </conditionalFormatting>
  <conditionalFormatting sqref="P164:Q164 P166:Q167">
    <cfRule type="containsText" dxfId="2" priority="35614" operator="containsText" text="Yes">
      <formula>NOT(ISERROR(SEARCH(("Yes"),(P164))))</formula>
    </cfRule>
  </conditionalFormatting>
  <conditionalFormatting sqref="P164:Q164 P166:Q167">
    <cfRule type="containsText" dxfId="2" priority="35615" operator="containsText" text="Yes">
      <formula>NOT(ISERROR(SEARCH(("Yes"),(P164))))</formula>
    </cfRule>
  </conditionalFormatting>
  <conditionalFormatting sqref="P164:Q164 P166:Q167">
    <cfRule type="containsText" dxfId="2" priority="35616" operator="containsText" text="Yes">
      <formula>NOT(ISERROR(SEARCH(("Yes"),(P164))))</formula>
    </cfRule>
  </conditionalFormatting>
  <conditionalFormatting sqref="P164:Q164 P166:Q167">
    <cfRule type="containsText" dxfId="2" priority="35617" operator="containsText" text="Yes">
      <formula>NOT(ISERROR(SEARCH(("Yes"),(P164))))</formula>
    </cfRule>
  </conditionalFormatting>
  <conditionalFormatting sqref="P164:Q164 P166:Q167">
    <cfRule type="containsText" dxfId="2" priority="35618" operator="containsText" text="Yes">
      <formula>NOT(ISERROR(SEARCH(("Yes"),(P164))))</formula>
    </cfRule>
  </conditionalFormatting>
  <conditionalFormatting sqref="P164:Q164 P166:Q167">
    <cfRule type="containsText" dxfId="2" priority="35619" operator="containsText" text="Yes">
      <formula>NOT(ISERROR(SEARCH(("Yes"),(P164))))</formula>
    </cfRule>
  </conditionalFormatting>
  <conditionalFormatting sqref="P164:Q164 P166:Q167">
    <cfRule type="containsText" dxfId="2" priority="35620" operator="containsText" text="Yes">
      <formula>NOT(ISERROR(SEARCH(("Yes"),(P164))))</formula>
    </cfRule>
  </conditionalFormatting>
  <conditionalFormatting sqref="P164:Q164 P166:Q167">
    <cfRule type="containsText" dxfId="2" priority="35621" operator="containsText" text="Yes">
      <formula>NOT(ISERROR(SEARCH(("Yes"),(P164))))</formula>
    </cfRule>
  </conditionalFormatting>
  <conditionalFormatting sqref="P164:Q164 P166:Q167">
    <cfRule type="containsText" dxfId="2" priority="35622" operator="containsText" text="Yes">
      <formula>NOT(ISERROR(SEARCH(("Yes"),(P164))))</formula>
    </cfRule>
  </conditionalFormatting>
  <conditionalFormatting sqref="P164:Q164 P166:Q167">
    <cfRule type="containsText" dxfId="2" priority="35623" operator="containsText" text="Yes">
      <formula>NOT(ISERROR(SEARCH(("Yes"),(P164))))</formula>
    </cfRule>
  </conditionalFormatting>
  <conditionalFormatting sqref="P164:Q164 P166:Q167">
    <cfRule type="containsText" dxfId="2" priority="35624" operator="containsText" text="Yes">
      <formula>NOT(ISERROR(SEARCH(("Yes"),(P164))))</formula>
    </cfRule>
  </conditionalFormatting>
  <conditionalFormatting sqref="P164:Q164 P166:Q167">
    <cfRule type="containsText" dxfId="2" priority="35625" operator="containsText" text="Yes">
      <formula>NOT(ISERROR(SEARCH(("Yes"),(P164))))</formula>
    </cfRule>
  </conditionalFormatting>
  <conditionalFormatting sqref="P164:Q164 P166:Q167">
    <cfRule type="containsText" dxfId="2" priority="35626" operator="containsText" text="Yes">
      <formula>NOT(ISERROR(SEARCH(("Yes"),(P164))))</formula>
    </cfRule>
  </conditionalFormatting>
  <conditionalFormatting sqref="P164:Q164 P166:Q167">
    <cfRule type="containsText" dxfId="2" priority="35627" operator="containsText" text="Yes">
      <formula>NOT(ISERROR(SEARCH(("Yes"),(P164))))</formula>
    </cfRule>
  </conditionalFormatting>
  <conditionalFormatting sqref="P164:Q164 P166:Q167">
    <cfRule type="containsText" dxfId="2" priority="35628" operator="containsText" text="Yes">
      <formula>NOT(ISERROR(SEARCH(("Yes"),(P164))))</formula>
    </cfRule>
  </conditionalFormatting>
  <conditionalFormatting sqref="P164:Q164 P166:Q167">
    <cfRule type="containsText" dxfId="2" priority="35629" operator="containsText" text="Yes">
      <formula>NOT(ISERROR(SEARCH(("Yes"),(P164))))</formula>
    </cfRule>
  </conditionalFormatting>
  <conditionalFormatting sqref="P164:Q164 P166:Q167">
    <cfRule type="containsText" dxfId="2" priority="35630" operator="containsText" text="Yes">
      <formula>NOT(ISERROR(SEARCH(("Yes"),(P164))))</formula>
    </cfRule>
  </conditionalFormatting>
  <conditionalFormatting sqref="P164:Q164 P166:Q167">
    <cfRule type="containsText" dxfId="2" priority="35631" operator="containsText" text="Yes">
      <formula>NOT(ISERROR(SEARCH(("Yes"),(P164))))</formula>
    </cfRule>
  </conditionalFormatting>
  <conditionalFormatting sqref="P164:Q164 P166:Q167">
    <cfRule type="containsText" dxfId="2" priority="35632" operator="containsText" text="Yes">
      <formula>NOT(ISERROR(SEARCH(("Yes"),(P164))))</formula>
    </cfRule>
  </conditionalFormatting>
  <conditionalFormatting sqref="P164:Q164 P166:Q167">
    <cfRule type="containsText" dxfId="2" priority="35633" operator="containsText" text="Yes">
      <formula>NOT(ISERROR(SEARCH(("Yes"),(P164))))</formula>
    </cfRule>
  </conditionalFormatting>
  <conditionalFormatting sqref="P164:Q164 P166:Q167">
    <cfRule type="containsText" dxfId="2" priority="35634" operator="containsText" text="Yes">
      <formula>NOT(ISERROR(SEARCH(("Yes"),(P164))))</formula>
    </cfRule>
  </conditionalFormatting>
  <conditionalFormatting sqref="P164:Q164 P166:Q167">
    <cfRule type="containsText" dxfId="2" priority="35635" operator="containsText" text="Yes">
      <formula>NOT(ISERROR(SEARCH(("Yes"),(P164))))</formula>
    </cfRule>
  </conditionalFormatting>
  <conditionalFormatting sqref="P164:Q164 P166:Q167">
    <cfRule type="containsText" dxfId="2" priority="35636" operator="containsText" text="Yes">
      <formula>NOT(ISERROR(SEARCH(("Yes"),(P164))))</formula>
    </cfRule>
  </conditionalFormatting>
  <conditionalFormatting sqref="P164:Q164 P166:Q167">
    <cfRule type="containsText" dxfId="2" priority="35637" operator="containsText" text="Yes">
      <formula>NOT(ISERROR(SEARCH(("Yes"),(P164))))</formula>
    </cfRule>
  </conditionalFormatting>
  <conditionalFormatting sqref="P164:Q164 P166:Q167">
    <cfRule type="containsText" dxfId="2" priority="35638" operator="containsText" text="Yes">
      <formula>NOT(ISERROR(SEARCH(("Yes"),(P164))))</formula>
    </cfRule>
  </conditionalFormatting>
  <conditionalFormatting sqref="P164:Q164 P166:Q167">
    <cfRule type="containsText" dxfId="2" priority="35639" operator="containsText" text="Yes">
      <formula>NOT(ISERROR(SEARCH(("Yes"),(P164))))</formula>
    </cfRule>
  </conditionalFormatting>
  <conditionalFormatting sqref="P164:Q164 P166:Q167">
    <cfRule type="containsText" dxfId="2" priority="35640" operator="containsText" text="Yes">
      <formula>NOT(ISERROR(SEARCH(("Yes"),(P164))))</formula>
    </cfRule>
  </conditionalFormatting>
  <conditionalFormatting sqref="P164:Q164 P166:Q167">
    <cfRule type="containsText" dxfId="2" priority="35641" operator="containsText" text="Yes">
      <formula>NOT(ISERROR(SEARCH(("Yes"),(P164))))</formula>
    </cfRule>
  </conditionalFormatting>
  <conditionalFormatting sqref="P164:Q164 P166:Q167">
    <cfRule type="containsText" dxfId="2" priority="35642" operator="containsText" text="Yes">
      <formula>NOT(ISERROR(SEARCH(("Yes"),(P164))))</formula>
    </cfRule>
  </conditionalFormatting>
  <conditionalFormatting sqref="P164:Q164 P166:Q167">
    <cfRule type="containsText" dxfId="2" priority="35643" operator="containsText" text="Yes">
      <formula>NOT(ISERROR(SEARCH(("Yes"),(P164))))</formula>
    </cfRule>
  </conditionalFormatting>
  <conditionalFormatting sqref="P164:Q164 P166:Q167">
    <cfRule type="containsText" dxfId="2" priority="35644" operator="containsText" text="Yes">
      <formula>NOT(ISERROR(SEARCH(("Yes"),(P164))))</formula>
    </cfRule>
  </conditionalFormatting>
  <conditionalFormatting sqref="P164:Q164 P166:Q167">
    <cfRule type="containsText" dxfId="2" priority="35645" operator="containsText" text="Yes">
      <formula>NOT(ISERROR(SEARCH(("Yes"),(P164))))</formula>
    </cfRule>
  </conditionalFormatting>
  <conditionalFormatting sqref="P164:Q164 P166:Q167">
    <cfRule type="containsText" dxfId="2" priority="35646" operator="containsText" text="Yes">
      <formula>NOT(ISERROR(SEARCH(("Yes"),(P164))))</formula>
    </cfRule>
  </conditionalFormatting>
  <conditionalFormatting sqref="P164:Q164 P166:Q167">
    <cfRule type="containsText" dxfId="2" priority="35647" operator="containsText" text="Yes">
      <formula>NOT(ISERROR(SEARCH(("Yes"),(P164))))</formula>
    </cfRule>
  </conditionalFormatting>
  <conditionalFormatting sqref="P164:Q164 P166:Q167">
    <cfRule type="containsText" dxfId="2" priority="35648" operator="containsText" text="Yes">
      <formula>NOT(ISERROR(SEARCH(("Yes"),(P164))))</formula>
    </cfRule>
  </conditionalFormatting>
  <conditionalFormatting sqref="P164:Q164 P166:Q167">
    <cfRule type="containsText" dxfId="2" priority="35649" operator="containsText" text="Yes">
      <formula>NOT(ISERROR(SEARCH(("Yes"),(P164))))</formula>
    </cfRule>
  </conditionalFormatting>
  <conditionalFormatting sqref="P164:Q164 P166:Q167">
    <cfRule type="containsText" dxfId="2" priority="35650" operator="containsText" text="Yes">
      <formula>NOT(ISERROR(SEARCH(("Yes"),(P164))))</formula>
    </cfRule>
  </conditionalFormatting>
  <conditionalFormatting sqref="P164:Q164 P166:Q167">
    <cfRule type="containsText" dxfId="2" priority="35651" operator="containsText" text="Yes">
      <formula>NOT(ISERROR(SEARCH(("Yes"),(P164))))</formula>
    </cfRule>
  </conditionalFormatting>
  <conditionalFormatting sqref="P164:Q164 P166:Q167">
    <cfRule type="containsText" dxfId="2" priority="35652" operator="containsText" text="Yes">
      <formula>NOT(ISERROR(SEARCH(("Yes"),(P164))))</formula>
    </cfRule>
  </conditionalFormatting>
  <conditionalFormatting sqref="P164:Q164 P166:Q167">
    <cfRule type="containsText" dxfId="2" priority="35653" operator="containsText" text="Yes">
      <formula>NOT(ISERROR(SEARCH(("Yes"),(P164))))</formula>
    </cfRule>
  </conditionalFormatting>
  <conditionalFormatting sqref="P164:Q164 P166:Q167">
    <cfRule type="containsText" dxfId="2" priority="35654" operator="containsText" text="Yes">
      <formula>NOT(ISERROR(SEARCH(("Yes"),(P164))))</formula>
    </cfRule>
  </conditionalFormatting>
  <conditionalFormatting sqref="P164:Q164 P166:Q167">
    <cfRule type="containsText" dxfId="2" priority="35655" operator="containsText" text="Yes">
      <formula>NOT(ISERROR(SEARCH(("Yes"),(P164))))</formula>
    </cfRule>
  </conditionalFormatting>
  <conditionalFormatting sqref="P164:Q164 P166:Q167">
    <cfRule type="containsText" dxfId="2" priority="35656" operator="containsText" text="Yes">
      <formula>NOT(ISERROR(SEARCH(("Yes"),(P164))))</formula>
    </cfRule>
  </conditionalFormatting>
  <conditionalFormatting sqref="P164:Q164 P166:Q167">
    <cfRule type="containsText" dxfId="2" priority="35657" operator="containsText" text="Yes">
      <formula>NOT(ISERROR(SEARCH(("Yes"),(P164))))</formula>
    </cfRule>
  </conditionalFormatting>
  <conditionalFormatting sqref="P164:Q164 P166:Q167">
    <cfRule type="containsText" dxfId="2" priority="35658" operator="containsText" text="Yes">
      <formula>NOT(ISERROR(SEARCH(("Yes"),(P164))))</formula>
    </cfRule>
  </conditionalFormatting>
  <conditionalFormatting sqref="P164:Q164 P166:Q167">
    <cfRule type="containsText" dxfId="2" priority="35659" operator="containsText" text="Yes">
      <formula>NOT(ISERROR(SEARCH(("Yes"),(P164))))</formula>
    </cfRule>
  </conditionalFormatting>
  <conditionalFormatting sqref="P165:Q165 P170:Q170">
    <cfRule type="containsText" dxfId="9" priority="35660" operator="containsText" text="No">
      <formula>NOT(ISERROR(SEARCH(("No"),(P165))))</formula>
    </cfRule>
  </conditionalFormatting>
  <conditionalFormatting sqref="P165:Q165 P170:Q170">
    <cfRule type="containsText" dxfId="9" priority="35661" operator="containsText" text="No">
      <formula>NOT(ISERROR(SEARCH(("No"),(P165))))</formula>
    </cfRule>
  </conditionalFormatting>
  <conditionalFormatting sqref="P165:Q165 P170:Q170">
    <cfRule type="containsText" dxfId="9" priority="35662" operator="containsText" text="No">
      <formula>NOT(ISERROR(SEARCH(("No"),(P165))))</formula>
    </cfRule>
  </conditionalFormatting>
  <conditionalFormatting sqref="P165:Q165 P170:Q170">
    <cfRule type="containsText" dxfId="9" priority="35663" operator="containsText" text="No">
      <formula>NOT(ISERROR(SEARCH(("No"),(P165))))</formula>
    </cfRule>
  </conditionalFormatting>
  <conditionalFormatting sqref="P165:Q165 P170:Q170">
    <cfRule type="containsText" dxfId="9" priority="35664" operator="containsText" text="No">
      <formula>NOT(ISERROR(SEARCH(("No"),(P165))))</formula>
    </cfRule>
  </conditionalFormatting>
  <conditionalFormatting sqref="P165:Q165 P170:Q170">
    <cfRule type="containsText" dxfId="9" priority="35665" operator="containsText" text="No">
      <formula>NOT(ISERROR(SEARCH(("No"),(P165))))</formula>
    </cfRule>
  </conditionalFormatting>
  <conditionalFormatting sqref="P165:Q165 P170:Q170">
    <cfRule type="containsText" dxfId="9" priority="35666" operator="containsText" text="No">
      <formula>NOT(ISERROR(SEARCH(("No"),(P165))))</formula>
    </cfRule>
  </conditionalFormatting>
  <conditionalFormatting sqref="P165:Q165 P170:Q170">
    <cfRule type="containsText" dxfId="9" priority="35667" operator="containsText" text="No">
      <formula>NOT(ISERROR(SEARCH(("No"),(P165))))</formula>
    </cfRule>
  </conditionalFormatting>
  <conditionalFormatting sqref="P165:Q165 P170:Q170">
    <cfRule type="containsText" dxfId="9" priority="35668" operator="containsText" text="No">
      <formula>NOT(ISERROR(SEARCH(("No"),(P165))))</formula>
    </cfRule>
  </conditionalFormatting>
  <conditionalFormatting sqref="P165:Q165 P170:Q170">
    <cfRule type="containsText" dxfId="9" priority="35669" operator="containsText" text="No">
      <formula>NOT(ISERROR(SEARCH(("No"),(P165))))</formula>
    </cfRule>
  </conditionalFormatting>
  <conditionalFormatting sqref="P165:Q165 P170:Q170">
    <cfRule type="containsText" dxfId="9" priority="35670" operator="containsText" text="No">
      <formula>NOT(ISERROR(SEARCH(("No"),(P165))))</formula>
    </cfRule>
  </conditionalFormatting>
  <conditionalFormatting sqref="P165:Q165 P170:Q170">
    <cfRule type="containsText" dxfId="9" priority="35671" operator="containsText" text="No">
      <formula>NOT(ISERROR(SEARCH(("No"),(P165))))</formula>
    </cfRule>
  </conditionalFormatting>
  <conditionalFormatting sqref="P165:Q165 P170:Q170">
    <cfRule type="containsText" dxfId="9" priority="35672" operator="containsText" text="No">
      <formula>NOT(ISERROR(SEARCH(("No"),(P165))))</formula>
    </cfRule>
  </conditionalFormatting>
  <conditionalFormatting sqref="P165:Q165 P170:Q170">
    <cfRule type="containsText" dxfId="9" priority="35673" operator="containsText" text="No">
      <formula>NOT(ISERROR(SEARCH(("No"),(P165))))</formula>
    </cfRule>
  </conditionalFormatting>
  <conditionalFormatting sqref="P165:Q165 P170:Q170">
    <cfRule type="containsText" dxfId="9" priority="35674" operator="containsText" text="No">
      <formula>NOT(ISERROR(SEARCH(("No"),(P165))))</formula>
    </cfRule>
  </conditionalFormatting>
  <conditionalFormatting sqref="P165:Q165 P170:Q170">
    <cfRule type="containsText" dxfId="9" priority="35675" operator="containsText" text="No">
      <formula>NOT(ISERROR(SEARCH(("No"),(P165))))</formula>
    </cfRule>
  </conditionalFormatting>
  <conditionalFormatting sqref="P165:Q165 P170:Q170">
    <cfRule type="containsText" dxfId="9" priority="35676" operator="containsText" text="No">
      <formula>NOT(ISERROR(SEARCH(("No"),(P165))))</formula>
    </cfRule>
  </conditionalFormatting>
  <conditionalFormatting sqref="P165:Q165 P170:Q170">
    <cfRule type="containsText" dxfId="9" priority="35677" operator="containsText" text="No">
      <formula>NOT(ISERROR(SEARCH(("No"),(P165))))</formula>
    </cfRule>
  </conditionalFormatting>
  <conditionalFormatting sqref="P165:Q165 P170:Q170">
    <cfRule type="containsText" dxfId="9" priority="35678" operator="containsText" text="No">
      <formula>NOT(ISERROR(SEARCH(("No"),(P165))))</formula>
    </cfRule>
  </conditionalFormatting>
  <conditionalFormatting sqref="P165:Q165 P170:Q170">
    <cfRule type="containsText" dxfId="9" priority="35679" operator="containsText" text="No">
      <formula>NOT(ISERROR(SEARCH(("No"),(P165))))</formula>
    </cfRule>
  </conditionalFormatting>
  <conditionalFormatting sqref="P165:Q165 P170:Q170">
    <cfRule type="containsText" dxfId="9" priority="35680" operator="containsText" text="No">
      <formula>NOT(ISERROR(SEARCH(("No"),(P165))))</formula>
    </cfRule>
  </conditionalFormatting>
  <conditionalFormatting sqref="P165:Q165 P170:Q170">
    <cfRule type="containsText" dxfId="9" priority="35681" operator="containsText" text="No">
      <formula>NOT(ISERROR(SEARCH(("No"),(P165))))</formula>
    </cfRule>
  </conditionalFormatting>
  <conditionalFormatting sqref="P165:Q165 P170:Q170">
    <cfRule type="containsText" dxfId="9" priority="35682" operator="containsText" text="No">
      <formula>NOT(ISERROR(SEARCH(("No"),(P165))))</formula>
    </cfRule>
  </conditionalFormatting>
  <conditionalFormatting sqref="P165:Q165 P170:Q170">
    <cfRule type="containsText" dxfId="9" priority="35683" operator="containsText" text="No">
      <formula>NOT(ISERROR(SEARCH(("No"),(P165))))</formula>
    </cfRule>
  </conditionalFormatting>
  <conditionalFormatting sqref="P165:Q165 P170:Q170">
    <cfRule type="containsText" dxfId="9" priority="35684" operator="containsText" text="No">
      <formula>NOT(ISERROR(SEARCH(("No"),(P165))))</formula>
    </cfRule>
  </conditionalFormatting>
  <conditionalFormatting sqref="P165:Q165 P170:Q170">
    <cfRule type="containsText" dxfId="9" priority="35685" operator="containsText" text="No">
      <formula>NOT(ISERROR(SEARCH(("No"),(P165))))</formula>
    </cfRule>
  </conditionalFormatting>
  <conditionalFormatting sqref="P165:Q165 P170:Q170">
    <cfRule type="containsText" dxfId="9" priority="35686" operator="containsText" text="No">
      <formula>NOT(ISERROR(SEARCH(("No"),(P165))))</formula>
    </cfRule>
  </conditionalFormatting>
  <conditionalFormatting sqref="P165:Q165 P170:Q170">
    <cfRule type="containsText" dxfId="9" priority="35687" operator="containsText" text="No">
      <formula>NOT(ISERROR(SEARCH(("No"),(P165))))</formula>
    </cfRule>
  </conditionalFormatting>
  <conditionalFormatting sqref="P165:Q165 P170:Q170">
    <cfRule type="containsText" dxfId="9" priority="35688" operator="containsText" text="No">
      <formula>NOT(ISERROR(SEARCH(("No"),(P165))))</formula>
    </cfRule>
  </conditionalFormatting>
  <conditionalFormatting sqref="P165:Q165 P170:Q170">
    <cfRule type="containsText" dxfId="9" priority="35689" operator="containsText" text="No">
      <formula>NOT(ISERROR(SEARCH(("No"),(P165))))</formula>
    </cfRule>
  </conditionalFormatting>
  <conditionalFormatting sqref="P165:Q165 P170:Q170">
    <cfRule type="containsText" dxfId="9" priority="35690" operator="containsText" text="No">
      <formula>NOT(ISERROR(SEARCH(("No"),(P165))))</formula>
    </cfRule>
  </conditionalFormatting>
  <conditionalFormatting sqref="P165:Q165 P170:Q170">
    <cfRule type="containsText" dxfId="9" priority="35691" operator="containsText" text="No">
      <formula>NOT(ISERROR(SEARCH(("No"),(P165))))</formula>
    </cfRule>
  </conditionalFormatting>
  <conditionalFormatting sqref="P165:Q165 P170:Q170">
    <cfRule type="containsText" dxfId="9" priority="35692" operator="containsText" text="No">
      <formula>NOT(ISERROR(SEARCH(("No"),(P165))))</formula>
    </cfRule>
  </conditionalFormatting>
  <conditionalFormatting sqref="P165:Q165 P170:Q170">
    <cfRule type="containsText" dxfId="9" priority="35693" operator="containsText" text="No">
      <formula>NOT(ISERROR(SEARCH(("No"),(P165))))</formula>
    </cfRule>
  </conditionalFormatting>
  <conditionalFormatting sqref="P165:Q165 P170:Q170">
    <cfRule type="containsText" dxfId="9" priority="35694" operator="containsText" text="No">
      <formula>NOT(ISERROR(SEARCH(("No"),(P165))))</formula>
    </cfRule>
  </conditionalFormatting>
  <conditionalFormatting sqref="P165:Q165 P170:Q170">
    <cfRule type="containsText" dxfId="9" priority="35695" operator="containsText" text="No">
      <formula>NOT(ISERROR(SEARCH(("No"),(P165))))</formula>
    </cfRule>
  </conditionalFormatting>
  <conditionalFormatting sqref="P165:Q165 P170:Q170">
    <cfRule type="containsText" dxfId="9" priority="35696" operator="containsText" text="No">
      <formula>NOT(ISERROR(SEARCH(("No"),(P165))))</formula>
    </cfRule>
  </conditionalFormatting>
  <conditionalFormatting sqref="P165:Q165 P170:Q170">
    <cfRule type="containsText" dxfId="9" priority="35697" operator="containsText" text="No">
      <formula>NOT(ISERROR(SEARCH(("No"),(P165))))</formula>
    </cfRule>
  </conditionalFormatting>
  <conditionalFormatting sqref="P165:Q165 P170:Q170">
    <cfRule type="containsText" dxfId="9" priority="35698" operator="containsText" text="No">
      <formula>NOT(ISERROR(SEARCH(("No"),(P165))))</formula>
    </cfRule>
  </conditionalFormatting>
  <conditionalFormatting sqref="P165:Q165 P170:Q170">
    <cfRule type="containsText" dxfId="9" priority="35699" operator="containsText" text="No">
      <formula>NOT(ISERROR(SEARCH(("No"),(P165))))</formula>
    </cfRule>
  </conditionalFormatting>
  <conditionalFormatting sqref="P165:Q165 P170:Q170">
    <cfRule type="containsText" dxfId="9" priority="35700" operator="containsText" text="No">
      <formula>NOT(ISERROR(SEARCH(("No"),(P165))))</formula>
    </cfRule>
  </conditionalFormatting>
  <conditionalFormatting sqref="P165:Q165 P170:Q170">
    <cfRule type="containsText" dxfId="9" priority="35701" operator="containsText" text="No">
      <formula>NOT(ISERROR(SEARCH(("No"),(P165))))</formula>
    </cfRule>
  </conditionalFormatting>
  <conditionalFormatting sqref="P165:Q165 P170:Q170">
    <cfRule type="containsText" dxfId="9" priority="35702" operator="containsText" text="No">
      <formula>NOT(ISERROR(SEARCH(("No"),(P165))))</formula>
    </cfRule>
  </conditionalFormatting>
  <conditionalFormatting sqref="P165:Q165 P170:Q170">
    <cfRule type="containsText" dxfId="9" priority="35703" operator="containsText" text="No">
      <formula>NOT(ISERROR(SEARCH(("No"),(P165))))</formula>
    </cfRule>
  </conditionalFormatting>
  <conditionalFormatting sqref="P165:Q165 P170:Q170">
    <cfRule type="containsText" dxfId="9" priority="35704" operator="containsText" text="No">
      <formula>NOT(ISERROR(SEARCH(("No"),(P165))))</formula>
    </cfRule>
  </conditionalFormatting>
  <conditionalFormatting sqref="P165:Q165 P170:Q170">
    <cfRule type="containsText" dxfId="2" priority="35705" operator="containsText" text="Yes">
      <formula>NOT(ISERROR(SEARCH(("Yes"),(P165))))</formula>
    </cfRule>
  </conditionalFormatting>
  <conditionalFormatting sqref="P165:Q165 P170:Q170">
    <cfRule type="containsText" dxfId="2" priority="35706" operator="containsText" text="Yes">
      <formula>NOT(ISERROR(SEARCH(("Yes"),(P165))))</formula>
    </cfRule>
  </conditionalFormatting>
  <conditionalFormatting sqref="P165:Q165 P170:Q170">
    <cfRule type="containsText" dxfId="2" priority="35707" operator="containsText" text="Yes">
      <formula>NOT(ISERROR(SEARCH(("Yes"),(P165))))</formula>
    </cfRule>
  </conditionalFormatting>
  <conditionalFormatting sqref="P165:Q165 P170:Q170">
    <cfRule type="containsText" dxfId="2" priority="35708" operator="containsText" text="Yes">
      <formula>NOT(ISERROR(SEARCH(("Yes"),(P165))))</formula>
    </cfRule>
  </conditionalFormatting>
  <conditionalFormatting sqref="P165:Q165 P170:Q170">
    <cfRule type="containsText" dxfId="2" priority="35709" operator="containsText" text="Yes">
      <formula>NOT(ISERROR(SEARCH(("Yes"),(P165))))</formula>
    </cfRule>
  </conditionalFormatting>
  <conditionalFormatting sqref="P165:Q165 P170:Q170">
    <cfRule type="containsText" dxfId="2" priority="35710" operator="containsText" text="Yes">
      <formula>NOT(ISERROR(SEARCH(("Yes"),(P165))))</formula>
    </cfRule>
  </conditionalFormatting>
  <conditionalFormatting sqref="P165:Q165 P170:Q170">
    <cfRule type="containsText" dxfId="2" priority="35711" operator="containsText" text="Yes">
      <formula>NOT(ISERROR(SEARCH(("Yes"),(P165))))</formula>
    </cfRule>
  </conditionalFormatting>
  <conditionalFormatting sqref="P165:Q165 P170:Q170">
    <cfRule type="containsText" dxfId="2" priority="35712" operator="containsText" text="Yes">
      <formula>NOT(ISERROR(SEARCH(("Yes"),(P165))))</formula>
    </cfRule>
  </conditionalFormatting>
  <conditionalFormatting sqref="P165:Q165 P170:Q170">
    <cfRule type="containsText" dxfId="2" priority="35713" operator="containsText" text="Yes">
      <formula>NOT(ISERROR(SEARCH(("Yes"),(P165))))</formula>
    </cfRule>
  </conditionalFormatting>
  <conditionalFormatting sqref="P165:Q165 P170:Q170">
    <cfRule type="containsText" dxfId="2" priority="35714" operator="containsText" text="Yes">
      <formula>NOT(ISERROR(SEARCH(("Yes"),(P165))))</formula>
    </cfRule>
  </conditionalFormatting>
  <conditionalFormatting sqref="P165:Q165 P170:Q170">
    <cfRule type="containsText" dxfId="2" priority="35715" operator="containsText" text="Yes">
      <formula>NOT(ISERROR(SEARCH(("Yes"),(P165))))</formula>
    </cfRule>
  </conditionalFormatting>
  <conditionalFormatting sqref="P165:Q165 P170:Q170">
    <cfRule type="containsText" dxfId="2" priority="35716" operator="containsText" text="Yes">
      <formula>NOT(ISERROR(SEARCH(("Yes"),(P165))))</formula>
    </cfRule>
  </conditionalFormatting>
  <conditionalFormatting sqref="P165:Q165 P170:Q170">
    <cfRule type="containsText" dxfId="2" priority="35717" operator="containsText" text="Yes">
      <formula>NOT(ISERROR(SEARCH(("Yes"),(P165))))</formula>
    </cfRule>
  </conditionalFormatting>
  <conditionalFormatting sqref="P165:Q165 P170:Q170">
    <cfRule type="containsText" dxfId="2" priority="35718" operator="containsText" text="Yes">
      <formula>NOT(ISERROR(SEARCH(("Yes"),(P165))))</formula>
    </cfRule>
  </conditionalFormatting>
  <conditionalFormatting sqref="P165:Q165 P170:Q170">
    <cfRule type="containsText" dxfId="2" priority="35719" operator="containsText" text="Yes">
      <formula>NOT(ISERROR(SEARCH(("Yes"),(P165))))</formula>
    </cfRule>
  </conditionalFormatting>
  <conditionalFormatting sqref="P165:Q165 P170:Q170">
    <cfRule type="containsText" dxfId="2" priority="35720" operator="containsText" text="Yes">
      <formula>NOT(ISERROR(SEARCH(("Yes"),(P165))))</formula>
    </cfRule>
  </conditionalFormatting>
  <conditionalFormatting sqref="P165:Q165 P170:Q170">
    <cfRule type="containsText" dxfId="2" priority="35721" operator="containsText" text="Yes">
      <formula>NOT(ISERROR(SEARCH(("Yes"),(P165))))</formula>
    </cfRule>
  </conditionalFormatting>
  <conditionalFormatting sqref="P165:Q165 P170:Q170">
    <cfRule type="containsText" dxfId="2" priority="35722" operator="containsText" text="Yes">
      <formula>NOT(ISERROR(SEARCH(("Yes"),(P165))))</formula>
    </cfRule>
  </conditionalFormatting>
  <conditionalFormatting sqref="P165:Q165 P170:Q170">
    <cfRule type="containsText" dxfId="2" priority="35723" operator="containsText" text="Yes">
      <formula>NOT(ISERROR(SEARCH(("Yes"),(P165))))</formula>
    </cfRule>
  </conditionalFormatting>
  <conditionalFormatting sqref="P165:Q165 P170:Q170">
    <cfRule type="containsText" dxfId="2" priority="35724" operator="containsText" text="Yes">
      <formula>NOT(ISERROR(SEARCH(("Yes"),(P165))))</formula>
    </cfRule>
  </conditionalFormatting>
  <conditionalFormatting sqref="P165:Q165 P170:Q170">
    <cfRule type="containsText" dxfId="2" priority="35725" operator="containsText" text="Yes">
      <formula>NOT(ISERROR(SEARCH(("Yes"),(P165))))</formula>
    </cfRule>
  </conditionalFormatting>
  <conditionalFormatting sqref="P165:Q165 P170:Q170">
    <cfRule type="containsText" dxfId="2" priority="35726" operator="containsText" text="Yes">
      <formula>NOT(ISERROR(SEARCH(("Yes"),(P165))))</formula>
    </cfRule>
  </conditionalFormatting>
  <conditionalFormatting sqref="P165:Q165 P170:Q170">
    <cfRule type="containsText" dxfId="2" priority="35727" operator="containsText" text="Yes">
      <formula>NOT(ISERROR(SEARCH(("Yes"),(P165))))</formula>
    </cfRule>
  </conditionalFormatting>
  <conditionalFormatting sqref="P165:Q165 P170:Q170">
    <cfRule type="containsText" dxfId="2" priority="35728" operator="containsText" text="Yes">
      <formula>NOT(ISERROR(SEARCH(("Yes"),(P165))))</formula>
    </cfRule>
  </conditionalFormatting>
  <conditionalFormatting sqref="P165:Q165 P170:Q170">
    <cfRule type="containsText" dxfId="2" priority="35729" operator="containsText" text="Yes">
      <formula>NOT(ISERROR(SEARCH(("Yes"),(P165))))</formula>
    </cfRule>
  </conditionalFormatting>
  <conditionalFormatting sqref="P165:Q165 P170:Q170">
    <cfRule type="containsText" dxfId="2" priority="35730" operator="containsText" text="Yes">
      <formula>NOT(ISERROR(SEARCH(("Yes"),(P165))))</formula>
    </cfRule>
  </conditionalFormatting>
  <conditionalFormatting sqref="P165:Q165 P170:Q170">
    <cfRule type="containsText" dxfId="2" priority="35731" operator="containsText" text="Yes">
      <formula>NOT(ISERROR(SEARCH(("Yes"),(P165))))</formula>
    </cfRule>
  </conditionalFormatting>
  <conditionalFormatting sqref="P165:Q165 P170:Q170">
    <cfRule type="containsText" dxfId="2" priority="35732" operator="containsText" text="Yes">
      <formula>NOT(ISERROR(SEARCH(("Yes"),(P165))))</formula>
    </cfRule>
  </conditionalFormatting>
  <conditionalFormatting sqref="P165:Q165 P170:Q170">
    <cfRule type="containsText" dxfId="2" priority="35733" operator="containsText" text="Yes">
      <formula>NOT(ISERROR(SEARCH(("Yes"),(P165))))</formula>
    </cfRule>
  </conditionalFormatting>
  <conditionalFormatting sqref="P165:Q165 P170:Q170">
    <cfRule type="containsText" dxfId="2" priority="35734" operator="containsText" text="Yes">
      <formula>NOT(ISERROR(SEARCH(("Yes"),(P165))))</formula>
    </cfRule>
  </conditionalFormatting>
  <conditionalFormatting sqref="P165:Q165 P170:Q170">
    <cfRule type="containsText" dxfId="2" priority="35735" operator="containsText" text="Yes">
      <formula>NOT(ISERROR(SEARCH(("Yes"),(P165))))</formula>
    </cfRule>
  </conditionalFormatting>
  <conditionalFormatting sqref="P165:Q165 P170:Q170">
    <cfRule type="containsText" dxfId="2" priority="35736" operator="containsText" text="Yes">
      <formula>NOT(ISERROR(SEARCH(("Yes"),(P165))))</formula>
    </cfRule>
  </conditionalFormatting>
  <conditionalFormatting sqref="P165:Q165 P170:Q170">
    <cfRule type="containsText" dxfId="2" priority="35737" operator="containsText" text="Yes">
      <formula>NOT(ISERROR(SEARCH(("Yes"),(P165))))</formula>
    </cfRule>
  </conditionalFormatting>
  <conditionalFormatting sqref="P165:Q165 P170:Q170">
    <cfRule type="containsText" dxfId="2" priority="35738" operator="containsText" text="Yes">
      <formula>NOT(ISERROR(SEARCH(("Yes"),(P165))))</formula>
    </cfRule>
  </conditionalFormatting>
  <conditionalFormatting sqref="P165:Q165 P170:Q170">
    <cfRule type="containsText" dxfId="2" priority="35739" operator="containsText" text="Yes">
      <formula>NOT(ISERROR(SEARCH(("Yes"),(P165))))</formula>
    </cfRule>
  </conditionalFormatting>
  <conditionalFormatting sqref="P165:Q165 P170:Q170">
    <cfRule type="containsText" dxfId="2" priority="35740" operator="containsText" text="Yes">
      <formula>NOT(ISERROR(SEARCH(("Yes"),(P165))))</formula>
    </cfRule>
  </conditionalFormatting>
  <conditionalFormatting sqref="P165:Q165 P170:Q170">
    <cfRule type="containsText" dxfId="2" priority="35741" operator="containsText" text="Yes">
      <formula>NOT(ISERROR(SEARCH(("Yes"),(P165))))</formula>
    </cfRule>
  </conditionalFormatting>
  <conditionalFormatting sqref="P165:Q165 P170:Q170">
    <cfRule type="containsText" dxfId="2" priority="35742" operator="containsText" text="Yes">
      <formula>NOT(ISERROR(SEARCH(("Yes"),(P165))))</formula>
    </cfRule>
  </conditionalFormatting>
  <conditionalFormatting sqref="P165:Q165 P170:Q170">
    <cfRule type="containsText" dxfId="2" priority="35743" operator="containsText" text="Yes">
      <formula>NOT(ISERROR(SEARCH(("Yes"),(P165))))</formula>
    </cfRule>
  </conditionalFormatting>
  <conditionalFormatting sqref="P165:Q165 P170:Q170">
    <cfRule type="containsText" dxfId="2" priority="35744" operator="containsText" text="Yes">
      <formula>NOT(ISERROR(SEARCH(("Yes"),(P165))))</formula>
    </cfRule>
  </conditionalFormatting>
  <conditionalFormatting sqref="P165:Q165 P170:Q170">
    <cfRule type="containsText" dxfId="2" priority="35745" operator="containsText" text="Yes">
      <formula>NOT(ISERROR(SEARCH(("Yes"),(P165))))</formula>
    </cfRule>
  </conditionalFormatting>
  <conditionalFormatting sqref="P165:Q165 P170:Q170">
    <cfRule type="containsText" dxfId="2" priority="35746" operator="containsText" text="Yes">
      <formula>NOT(ISERROR(SEARCH(("Yes"),(P165))))</formula>
    </cfRule>
  </conditionalFormatting>
  <conditionalFormatting sqref="P165:Q165 P170:Q170">
    <cfRule type="containsText" dxfId="2" priority="35747" operator="containsText" text="Yes">
      <formula>NOT(ISERROR(SEARCH(("Yes"),(P165))))</formula>
    </cfRule>
  </conditionalFormatting>
  <conditionalFormatting sqref="P165:Q165 P170:Q170">
    <cfRule type="containsText" dxfId="2" priority="35748" operator="containsText" text="Yes">
      <formula>NOT(ISERROR(SEARCH(("Yes"),(P165))))</formula>
    </cfRule>
  </conditionalFormatting>
  <conditionalFormatting sqref="P165:Q165 P170:Q170">
    <cfRule type="containsText" dxfId="2" priority="35749" operator="containsText" text="Yes">
      <formula>NOT(ISERROR(SEARCH(("Yes"),(P165))))</formula>
    </cfRule>
  </conditionalFormatting>
  <conditionalFormatting sqref="P165:Q165 P170:Q170">
    <cfRule type="containsText" dxfId="2" priority="35750" operator="containsText" text="Yes">
      <formula>NOT(ISERROR(SEARCH(("Yes"),(P165))))</formula>
    </cfRule>
  </conditionalFormatting>
  <conditionalFormatting sqref="P165:Q165 P170:Q170">
    <cfRule type="containsText" dxfId="2" priority="35751" operator="containsText" text="Yes">
      <formula>NOT(ISERROR(SEARCH(("Yes"),(P165))))</formula>
    </cfRule>
  </conditionalFormatting>
  <conditionalFormatting sqref="P166:Q167">
    <cfRule type="containsText" dxfId="9" priority="35752" operator="containsText" text="No">
      <formula>NOT(ISERROR(SEARCH(("No"),(P166))))</formula>
    </cfRule>
  </conditionalFormatting>
  <conditionalFormatting sqref="P166:Q167">
    <cfRule type="containsText" dxfId="9" priority="35753" operator="containsText" text="No">
      <formula>NOT(ISERROR(SEARCH(("No"),(P166))))</formula>
    </cfRule>
  </conditionalFormatting>
  <conditionalFormatting sqref="P166:Q167">
    <cfRule type="containsText" dxfId="9" priority="35754" operator="containsText" text="No">
      <formula>NOT(ISERROR(SEARCH(("No"),(P166))))</formula>
    </cfRule>
  </conditionalFormatting>
  <conditionalFormatting sqref="P166:Q167">
    <cfRule type="containsText" dxfId="9" priority="35755" operator="containsText" text="No">
      <formula>NOT(ISERROR(SEARCH(("No"),(P166))))</formula>
    </cfRule>
  </conditionalFormatting>
  <conditionalFormatting sqref="P166:Q167">
    <cfRule type="containsText" dxfId="9" priority="35756" operator="containsText" text="No">
      <formula>NOT(ISERROR(SEARCH(("No"),(P166))))</formula>
    </cfRule>
  </conditionalFormatting>
  <conditionalFormatting sqref="P166:Q167">
    <cfRule type="containsText" dxfId="9" priority="35757" operator="containsText" text="No">
      <formula>NOT(ISERROR(SEARCH(("No"),(P166))))</formula>
    </cfRule>
  </conditionalFormatting>
  <conditionalFormatting sqref="P166:Q167">
    <cfRule type="containsText" dxfId="9" priority="35758" operator="containsText" text="No">
      <formula>NOT(ISERROR(SEARCH(("No"),(P166))))</formula>
    </cfRule>
  </conditionalFormatting>
  <conditionalFormatting sqref="P166:Q167">
    <cfRule type="containsText" dxfId="9" priority="35759" operator="containsText" text="No">
      <formula>NOT(ISERROR(SEARCH(("No"),(P166))))</formula>
    </cfRule>
  </conditionalFormatting>
  <conditionalFormatting sqref="P166:Q167">
    <cfRule type="containsText" dxfId="9" priority="35760" operator="containsText" text="No">
      <formula>NOT(ISERROR(SEARCH(("No"),(P166))))</formula>
    </cfRule>
  </conditionalFormatting>
  <conditionalFormatting sqref="P166:Q167">
    <cfRule type="containsText" dxfId="9" priority="35761" operator="containsText" text="No">
      <formula>NOT(ISERROR(SEARCH(("No"),(P166))))</formula>
    </cfRule>
  </conditionalFormatting>
  <conditionalFormatting sqref="P166:Q167">
    <cfRule type="containsText" dxfId="9" priority="35762" operator="containsText" text="No">
      <formula>NOT(ISERROR(SEARCH(("No"),(P166))))</formula>
    </cfRule>
  </conditionalFormatting>
  <conditionalFormatting sqref="P166:Q167">
    <cfRule type="containsText" dxfId="9" priority="35763" operator="containsText" text="No">
      <formula>NOT(ISERROR(SEARCH(("No"),(P166))))</formula>
    </cfRule>
  </conditionalFormatting>
  <conditionalFormatting sqref="P166:Q167">
    <cfRule type="containsText" dxfId="9" priority="35764" operator="containsText" text="No">
      <formula>NOT(ISERROR(SEARCH(("No"),(P166))))</formula>
    </cfRule>
  </conditionalFormatting>
  <conditionalFormatting sqref="P166:Q167">
    <cfRule type="containsText" dxfId="9" priority="35765" operator="containsText" text="No">
      <formula>NOT(ISERROR(SEARCH(("No"),(P166))))</formula>
    </cfRule>
  </conditionalFormatting>
  <conditionalFormatting sqref="P166:Q167">
    <cfRule type="containsText" dxfId="9" priority="35766" operator="containsText" text="No">
      <formula>NOT(ISERROR(SEARCH(("No"),(P166))))</formula>
    </cfRule>
  </conditionalFormatting>
  <conditionalFormatting sqref="P166:Q167">
    <cfRule type="containsText" dxfId="9" priority="35767" operator="containsText" text="No">
      <formula>NOT(ISERROR(SEARCH(("No"),(P166))))</formula>
    </cfRule>
  </conditionalFormatting>
  <conditionalFormatting sqref="P166:Q167">
    <cfRule type="containsText" dxfId="9" priority="35768" operator="containsText" text="No">
      <formula>NOT(ISERROR(SEARCH(("No"),(P166))))</formula>
    </cfRule>
  </conditionalFormatting>
  <conditionalFormatting sqref="P166:Q167">
    <cfRule type="containsText" dxfId="9" priority="35769" operator="containsText" text="No">
      <formula>NOT(ISERROR(SEARCH(("No"),(P166))))</formula>
    </cfRule>
  </conditionalFormatting>
  <conditionalFormatting sqref="P166:Q167">
    <cfRule type="containsText" dxfId="9" priority="35770" operator="containsText" text="No">
      <formula>NOT(ISERROR(SEARCH(("No"),(P166))))</formula>
    </cfRule>
  </conditionalFormatting>
  <conditionalFormatting sqref="P166:Q167">
    <cfRule type="containsText" dxfId="9" priority="35771" operator="containsText" text="No">
      <formula>NOT(ISERROR(SEARCH(("No"),(P166))))</formula>
    </cfRule>
  </conditionalFormatting>
  <conditionalFormatting sqref="P166:Q167">
    <cfRule type="containsText" dxfId="9" priority="35772" operator="containsText" text="No">
      <formula>NOT(ISERROR(SEARCH(("No"),(P166))))</formula>
    </cfRule>
  </conditionalFormatting>
  <conditionalFormatting sqref="P166:Q167">
    <cfRule type="containsText" dxfId="9" priority="35773" operator="containsText" text="No">
      <formula>NOT(ISERROR(SEARCH(("No"),(P166))))</formula>
    </cfRule>
  </conditionalFormatting>
  <conditionalFormatting sqref="P166:Q167">
    <cfRule type="containsText" dxfId="9" priority="35774" operator="containsText" text="No">
      <formula>NOT(ISERROR(SEARCH(("No"),(P166))))</formula>
    </cfRule>
  </conditionalFormatting>
  <conditionalFormatting sqref="P166:Q167">
    <cfRule type="containsText" dxfId="9" priority="35775" operator="containsText" text="No">
      <formula>NOT(ISERROR(SEARCH(("No"),(P166))))</formula>
    </cfRule>
  </conditionalFormatting>
  <conditionalFormatting sqref="P166:Q167">
    <cfRule type="containsText" dxfId="9" priority="35776" operator="containsText" text="No">
      <formula>NOT(ISERROR(SEARCH(("No"),(P166))))</formula>
    </cfRule>
  </conditionalFormatting>
  <conditionalFormatting sqref="P166:Q167">
    <cfRule type="containsText" dxfId="9" priority="35777" operator="containsText" text="No">
      <formula>NOT(ISERROR(SEARCH(("No"),(P166))))</formula>
    </cfRule>
  </conditionalFormatting>
  <conditionalFormatting sqref="P166:Q167">
    <cfRule type="containsText" dxfId="9" priority="35778" operator="containsText" text="No">
      <formula>NOT(ISERROR(SEARCH(("No"),(P166))))</formula>
    </cfRule>
  </conditionalFormatting>
  <conditionalFormatting sqref="P166:Q167">
    <cfRule type="containsText" dxfId="9" priority="35779" operator="containsText" text="No">
      <formula>NOT(ISERROR(SEARCH(("No"),(P166))))</formula>
    </cfRule>
  </conditionalFormatting>
  <conditionalFormatting sqref="P166:Q167">
    <cfRule type="containsText" dxfId="9" priority="35780" operator="containsText" text="No">
      <formula>NOT(ISERROR(SEARCH(("No"),(P166))))</formula>
    </cfRule>
  </conditionalFormatting>
  <conditionalFormatting sqref="P166:Q167">
    <cfRule type="containsText" dxfId="9" priority="35781" operator="containsText" text="No">
      <formula>NOT(ISERROR(SEARCH(("No"),(P166))))</formula>
    </cfRule>
  </conditionalFormatting>
  <conditionalFormatting sqref="P166:Q167">
    <cfRule type="containsText" dxfId="9" priority="35782" operator="containsText" text="No">
      <formula>NOT(ISERROR(SEARCH(("No"),(P166))))</formula>
    </cfRule>
  </conditionalFormatting>
  <conditionalFormatting sqref="P166:Q167">
    <cfRule type="containsText" dxfId="9" priority="35783" operator="containsText" text="No">
      <formula>NOT(ISERROR(SEARCH(("No"),(P166))))</formula>
    </cfRule>
  </conditionalFormatting>
  <conditionalFormatting sqref="P166:Q167">
    <cfRule type="containsText" dxfId="9" priority="35784" operator="containsText" text="No">
      <formula>NOT(ISERROR(SEARCH(("No"),(P166))))</formula>
    </cfRule>
  </conditionalFormatting>
  <conditionalFormatting sqref="P166:Q167">
    <cfRule type="containsText" dxfId="9" priority="35785" operator="containsText" text="No">
      <formula>NOT(ISERROR(SEARCH(("No"),(P166))))</formula>
    </cfRule>
  </conditionalFormatting>
  <conditionalFormatting sqref="P166:Q167">
    <cfRule type="containsText" dxfId="9" priority="35786" operator="containsText" text="No">
      <formula>NOT(ISERROR(SEARCH(("No"),(P166))))</formula>
    </cfRule>
  </conditionalFormatting>
  <conditionalFormatting sqref="P166:Q167">
    <cfRule type="containsText" dxfId="9" priority="35787" operator="containsText" text="No">
      <formula>NOT(ISERROR(SEARCH(("No"),(P166))))</formula>
    </cfRule>
  </conditionalFormatting>
  <conditionalFormatting sqref="P166:Q167">
    <cfRule type="containsText" dxfId="9" priority="35788" operator="containsText" text="No">
      <formula>NOT(ISERROR(SEARCH(("No"),(P166))))</formula>
    </cfRule>
  </conditionalFormatting>
  <conditionalFormatting sqref="P166:Q167">
    <cfRule type="containsText" dxfId="9" priority="35789" operator="containsText" text="No">
      <formula>NOT(ISERROR(SEARCH(("No"),(P166))))</formula>
    </cfRule>
  </conditionalFormatting>
  <conditionalFormatting sqref="P166:Q167">
    <cfRule type="containsText" dxfId="9" priority="35790" operator="containsText" text="No">
      <formula>NOT(ISERROR(SEARCH(("No"),(P166))))</formula>
    </cfRule>
  </conditionalFormatting>
  <conditionalFormatting sqref="P166:Q167">
    <cfRule type="containsText" dxfId="9" priority="35791" operator="containsText" text="No">
      <formula>NOT(ISERROR(SEARCH(("No"),(P166))))</formula>
    </cfRule>
  </conditionalFormatting>
  <conditionalFormatting sqref="P166:Q167">
    <cfRule type="containsText" dxfId="9" priority="35792" operator="containsText" text="No">
      <formula>NOT(ISERROR(SEARCH(("No"),(P166))))</formula>
    </cfRule>
  </conditionalFormatting>
  <conditionalFormatting sqref="P166:Q167">
    <cfRule type="containsText" dxfId="9" priority="35793" operator="containsText" text="No">
      <formula>NOT(ISERROR(SEARCH(("No"),(P166))))</formula>
    </cfRule>
  </conditionalFormatting>
  <conditionalFormatting sqref="P166:Q167">
    <cfRule type="containsText" dxfId="9" priority="35794" operator="containsText" text="No">
      <formula>NOT(ISERROR(SEARCH(("No"),(P166))))</formula>
    </cfRule>
  </conditionalFormatting>
  <conditionalFormatting sqref="P166:Q167">
    <cfRule type="containsText" dxfId="9" priority="35795" operator="containsText" text="No">
      <formula>NOT(ISERROR(SEARCH(("No"),(P166))))</formula>
    </cfRule>
  </conditionalFormatting>
  <conditionalFormatting sqref="P166:Q167">
    <cfRule type="containsText" dxfId="9" priority="35796" operator="containsText" text="No">
      <formula>NOT(ISERROR(SEARCH(("No"),(P166))))</formula>
    </cfRule>
  </conditionalFormatting>
  <conditionalFormatting sqref="P166:Q167">
    <cfRule type="containsText" dxfId="2" priority="35797" operator="containsText" text="Yes">
      <formula>NOT(ISERROR(SEARCH(("Yes"),(P166))))</formula>
    </cfRule>
  </conditionalFormatting>
  <conditionalFormatting sqref="P166:Q167">
    <cfRule type="containsText" dxfId="2" priority="35798" operator="containsText" text="Yes">
      <formula>NOT(ISERROR(SEARCH(("Yes"),(P166))))</formula>
    </cfRule>
  </conditionalFormatting>
  <conditionalFormatting sqref="P166:Q167">
    <cfRule type="containsText" dxfId="2" priority="35799" operator="containsText" text="Yes">
      <formula>NOT(ISERROR(SEARCH(("Yes"),(P166))))</formula>
    </cfRule>
  </conditionalFormatting>
  <conditionalFormatting sqref="P166:Q167">
    <cfRule type="containsText" dxfId="2" priority="35800" operator="containsText" text="Yes">
      <formula>NOT(ISERROR(SEARCH(("Yes"),(P166))))</formula>
    </cfRule>
  </conditionalFormatting>
  <conditionalFormatting sqref="P166:Q167">
    <cfRule type="containsText" dxfId="2" priority="35801" operator="containsText" text="Yes">
      <formula>NOT(ISERROR(SEARCH(("Yes"),(P166))))</formula>
    </cfRule>
  </conditionalFormatting>
  <conditionalFormatting sqref="P166:Q167">
    <cfRule type="containsText" dxfId="2" priority="35802" operator="containsText" text="Yes">
      <formula>NOT(ISERROR(SEARCH(("Yes"),(P166))))</formula>
    </cfRule>
  </conditionalFormatting>
  <conditionalFormatting sqref="P166:Q167">
    <cfRule type="containsText" dxfId="2" priority="35803" operator="containsText" text="Yes">
      <formula>NOT(ISERROR(SEARCH(("Yes"),(P166))))</formula>
    </cfRule>
  </conditionalFormatting>
  <conditionalFormatting sqref="P166:Q167">
    <cfRule type="containsText" dxfId="2" priority="35804" operator="containsText" text="Yes">
      <formula>NOT(ISERROR(SEARCH(("Yes"),(P166))))</formula>
    </cfRule>
  </conditionalFormatting>
  <conditionalFormatting sqref="P166:Q167">
    <cfRule type="containsText" dxfId="2" priority="35805" operator="containsText" text="Yes">
      <formula>NOT(ISERROR(SEARCH(("Yes"),(P166))))</formula>
    </cfRule>
  </conditionalFormatting>
  <conditionalFormatting sqref="P166:Q167">
    <cfRule type="containsText" dxfId="2" priority="35806" operator="containsText" text="Yes">
      <formula>NOT(ISERROR(SEARCH(("Yes"),(P166))))</formula>
    </cfRule>
  </conditionalFormatting>
  <conditionalFormatting sqref="P166:Q167">
    <cfRule type="containsText" dxfId="2" priority="35807" operator="containsText" text="Yes">
      <formula>NOT(ISERROR(SEARCH(("Yes"),(P166))))</formula>
    </cfRule>
  </conditionalFormatting>
  <conditionalFormatting sqref="P166:Q167">
    <cfRule type="containsText" dxfId="2" priority="35808" operator="containsText" text="Yes">
      <formula>NOT(ISERROR(SEARCH(("Yes"),(P166))))</formula>
    </cfRule>
  </conditionalFormatting>
  <conditionalFormatting sqref="P166:Q167">
    <cfRule type="containsText" dxfId="2" priority="35809" operator="containsText" text="Yes">
      <formula>NOT(ISERROR(SEARCH(("Yes"),(P166))))</formula>
    </cfRule>
  </conditionalFormatting>
  <conditionalFormatting sqref="P166:Q167">
    <cfRule type="containsText" dxfId="2" priority="35810" operator="containsText" text="Yes">
      <formula>NOT(ISERROR(SEARCH(("Yes"),(P166))))</formula>
    </cfRule>
  </conditionalFormatting>
  <conditionalFormatting sqref="P166:Q167">
    <cfRule type="containsText" dxfId="2" priority="35811" operator="containsText" text="Yes">
      <formula>NOT(ISERROR(SEARCH(("Yes"),(P166))))</formula>
    </cfRule>
  </conditionalFormatting>
  <conditionalFormatting sqref="P166:Q167">
    <cfRule type="containsText" dxfId="2" priority="35812" operator="containsText" text="Yes">
      <formula>NOT(ISERROR(SEARCH(("Yes"),(P166))))</formula>
    </cfRule>
  </conditionalFormatting>
  <conditionalFormatting sqref="P166:Q167">
    <cfRule type="containsText" dxfId="2" priority="35813" operator="containsText" text="Yes">
      <formula>NOT(ISERROR(SEARCH(("Yes"),(P166))))</formula>
    </cfRule>
  </conditionalFormatting>
  <conditionalFormatting sqref="P166:Q167">
    <cfRule type="containsText" dxfId="2" priority="35814" operator="containsText" text="Yes">
      <formula>NOT(ISERROR(SEARCH(("Yes"),(P166))))</formula>
    </cfRule>
  </conditionalFormatting>
  <conditionalFormatting sqref="P166:Q167">
    <cfRule type="containsText" dxfId="2" priority="35815" operator="containsText" text="Yes">
      <formula>NOT(ISERROR(SEARCH(("Yes"),(P166))))</formula>
    </cfRule>
  </conditionalFormatting>
  <conditionalFormatting sqref="P166:Q167">
    <cfRule type="containsText" dxfId="2" priority="35816" operator="containsText" text="Yes">
      <formula>NOT(ISERROR(SEARCH(("Yes"),(P166))))</formula>
    </cfRule>
  </conditionalFormatting>
  <conditionalFormatting sqref="P166:Q167">
    <cfRule type="containsText" dxfId="2" priority="35817" operator="containsText" text="Yes">
      <formula>NOT(ISERROR(SEARCH(("Yes"),(P166))))</formula>
    </cfRule>
  </conditionalFormatting>
  <conditionalFormatting sqref="P166:Q167">
    <cfRule type="containsText" dxfId="2" priority="35818" operator="containsText" text="Yes">
      <formula>NOT(ISERROR(SEARCH(("Yes"),(P166))))</formula>
    </cfRule>
  </conditionalFormatting>
  <conditionalFormatting sqref="P166:Q167">
    <cfRule type="containsText" dxfId="2" priority="35819" operator="containsText" text="Yes">
      <formula>NOT(ISERROR(SEARCH(("Yes"),(P166))))</formula>
    </cfRule>
  </conditionalFormatting>
  <conditionalFormatting sqref="P166:Q167">
    <cfRule type="containsText" dxfId="2" priority="35820" operator="containsText" text="Yes">
      <formula>NOT(ISERROR(SEARCH(("Yes"),(P166))))</formula>
    </cfRule>
  </conditionalFormatting>
  <conditionalFormatting sqref="P166:Q167">
    <cfRule type="containsText" dxfId="2" priority="35821" operator="containsText" text="Yes">
      <formula>NOT(ISERROR(SEARCH(("Yes"),(P166))))</formula>
    </cfRule>
  </conditionalFormatting>
  <conditionalFormatting sqref="P166:Q167">
    <cfRule type="containsText" dxfId="2" priority="35822" operator="containsText" text="Yes">
      <formula>NOT(ISERROR(SEARCH(("Yes"),(P166))))</formula>
    </cfRule>
  </conditionalFormatting>
  <conditionalFormatting sqref="P166:Q167">
    <cfRule type="containsText" dxfId="2" priority="35823" operator="containsText" text="Yes">
      <formula>NOT(ISERROR(SEARCH(("Yes"),(P166))))</formula>
    </cfRule>
  </conditionalFormatting>
  <conditionalFormatting sqref="P166:Q167">
    <cfRule type="containsText" dxfId="2" priority="35824" operator="containsText" text="Yes">
      <formula>NOT(ISERROR(SEARCH(("Yes"),(P166))))</formula>
    </cfRule>
  </conditionalFormatting>
  <conditionalFormatting sqref="P166:Q167">
    <cfRule type="containsText" dxfId="2" priority="35825" operator="containsText" text="Yes">
      <formula>NOT(ISERROR(SEARCH(("Yes"),(P166))))</formula>
    </cfRule>
  </conditionalFormatting>
  <conditionalFormatting sqref="P166:Q167">
    <cfRule type="containsText" dxfId="2" priority="35826" operator="containsText" text="Yes">
      <formula>NOT(ISERROR(SEARCH(("Yes"),(P166))))</formula>
    </cfRule>
  </conditionalFormatting>
  <conditionalFormatting sqref="P166:Q167">
    <cfRule type="containsText" dxfId="2" priority="35827" operator="containsText" text="Yes">
      <formula>NOT(ISERROR(SEARCH(("Yes"),(P166))))</formula>
    </cfRule>
  </conditionalFormatting>
  <conditionalFormatting sqref="P166:Q167">
    <cfRule type="containsText" dxfId="2" priority="35828" operator="containsText" text="Yes">
      <formula>NOT(ISERROR(SEARCH(("Yes"),(P166))))</formula>
    </cfRule>
  </conditionalFormatting>
  <conditionalFormatting sqref="P166:Q167">
    <cfRule type="containsText" dxfId="2" priority="35829" operator="containsText" text="Yes">
      <formula>NOT(ISERROR(SEARCH(("Yes"),(P166))))</formula>
    </cfRule>
  </conditionalFormatting>
  <conditionalFormatting sqref="P166:Q167">
    <cfRule type="containsText" dxfId="2" priority="35830" operator="containsText" text="Yes">
      <formula>NOT(ISERROR(SEARCH(("Yes"),(P166))))</formula>
    </cfRule>
  </conditionalFormatting>
  <conditionalFormatting sqref="P166:Q167">
    <cfRule type="containsText" dxfId="2" priority="35831" operator="containsText" text="Yes">
      <formula>NOT(ISERROR(SEARCH(("Yes"),(P166))))</formula>
    </cfRule>
  </conditionalFormatting>
  <conditionalFormatting sqref="P166:Q167">
    <cfRule type="containsText" dxfId="2" priority="35832" operator="containsText" text="Yes">
      <formula>NOT(ISERROR(SEARCH(("Yes"),(P166))))</formula>
    </cfRule>
  </conditionalFormatting>
  <conditionalFormatting sqref="P166:Q167">
    <cfRule type="containsText" dxfId="2" priority="35833" operator="containsText" text="Yes">
      <formula>NOT(ISERROR(SEARCH(("Yes"),(P166))))</formula>
    </cfRule>
  </conditionalFormatting>
  <conditionalFormatting sqref="P166:Q167">
    <cfRule type="containsText" dxfId="2" priority="35834" operator="containsText" text="Yes">
      <formula>NOT(ISERROR(SEARCH(("Yes"),(P166))))</formula>
    </cfRule>
  </conditionalFormatting>
  <conditionalFormatting sqref="P166:Q167">
    <cfRule type="containsText" dxfId="2" priority="35835" operator="containsText" text="Yes">
      <formula>NOT(ISERROR(SEARCH(("Yes"),(P166))))</formula>
    </cfRule>
  </conditionalFormatting>
  <conditionalFormatting sqref="P166:Q167">
    <cfRule type="containsText" dxfId="2" priority="35836" operator="containsText" text="Yes">
      <formula>NOT(ISERROR(SEARCH(("Yes"),(P166))))</formula>
    </cfRule>
  </conditionalFormatting>
  <conditionalFormatting sqref="P166:Q167">
    <cfRule type="containsText" dxfId="2" priority="35837" operator="containsText" text="Yes">
      <formula>NOT(ISERROR(SEARCH(("Yes"),(P166))))</formula>
    </cfRule>
  </conditionalFormatting>
  <conditionalFormatting sqref="P166:Q167">
    <cfRule type="containsText" dxfId="2" priority="35838" operator="containsText" text="Yes">
      <formula>NOT(ISERROR(SEARCH(("Yes"),(P166))))</formula>
    </cfRule>
  </conditionalFormatting>
  <conditionalFormatting sqref="P166:Q167">
    <cfRule type="containsText" dxfId="2" priority="35839" operator="containsText" text="Yes">
      <formula>NOT(ISERROR(SEARCH(("Yes"),(P166))))</formula>
    </cfRule>
  </conditionalFormatting>
  <conditionalFormatting sqref="P166:Q167">
    <cfRule type="containsText" dxfId="2" priority="35840" operator="containsText" text="Yes">
      <formula>NOT(ISERROR(SEARCH(("Yes"),(P166))))</formula>
    </cfRule>
  </conditionalFormatting>
  <conditionalFormatting sqref="P166:Q167">
    <cfRule type="containsText" dxfId="2" priority="35841" operator="containsText" text="Yes">
      <formula>NOT(ISERROR(SEARCH(("Yes"),(P166))))</formula>
    </cfRule>
  </conditionalFormatting>
  <conditionalFormatting sqref="P166:Q167">
    <cfRule type="containsText" dxfId="2" priority="35842" operator="containsText" text="Yes">
      <formula>NOT(ISERROR(SEARCH(("Yes"),(P166))))</formula>
    </cfRule>
  </conditionalFormatting>
  <conditionalFormatting sqref="P166:Q167">
    <cfRule type="containsText" dxfId="2" priority="35843" operator="containsText" text="Yes">
      <formula>NOT(ISERROR(SEARCH(("Yes"),(P166))))</formula>
    </cfRule>
  </conditionalFormatting>
  <conditionalFormatting sqref="P167:Q167">
    <cfRule type="containsText" dxfId="9" priority="35844" operator="containsText" text="No">
      <formula>NOT(ISERROR(SEARCH(("No"),(P167))))</formula>
    </cfRule>
  </conditionalFormatting>
  <conditionalFormatting sqref="P167:Q167">
    <cfRule type="containsText" dxfId="9" priority="35845" operator="containsText" text="No">
      <formula>NOT(ISERROR(SEARCH(("No"),(P167))))</formula>
    </cfRule>
  </conditionalFormatting>
  <conditionalFormatting sqref="P167:Q167">
    <cfRule type="containsText" dxfId="9" priority="35846" operator="containsText" text="No">
      <formula>NOT(ISERROR(SEARCH(("No"),(P167))))</formula>
    </cfRule>
  </conditionalFormatting>
  <conditionalFormatting sqref="P167:Q167">
    <cfRule type="containsText" dxfId="9" priority="35847" operator="containsText" text="No">
      <formula>NOT(ISERROR(SEARCH(("No"),(P167))))</formula>
    </cfRule>
  </conditionalFormatting>
  <conditionalFormatting sqref="P167:Q167">
    <cfRule type="containsText" dxfId="9" priority="35848" operator="containsText" text="No">
      <formula>NOT(ISERROR(SEARCH(("No"),(P167))))</formula>
    </cfRule>
  </conditionalFormatting>
  <conditionalFormatting sqref="P167:Q167">
    <cfRule type="containsText" dxfId="9" priority="35849" operator="containsText" text="No">
      <formula>NOT(ISERROR(SEARCH(("No"),(P167))))</formula>
    </cfRule>
  </conditionalFormatting>
  <conditionalFormatting sqref="P167:Q167">
    <cfRule type="containsText" dxfId="9" priority="35850" operator="containsText" text="No">
      <formula>NOT(ISERROR(SEARCH(("No"),(P167))))</formula>
    </cfRule>
  </conditionalFormatting>
  <conditionalFormatting sqref="P167:Q167">
    <cfRule type="containsText" dxfId="9" priority="35851" operator="containsText" text="No">
      <formula>NOT(ISERROR(SEARCH(("No"),(P167))))</formula>
    </cfRule>
  </conditionalFormatting>
  <conditionalFormatting sqref="P167:Q167">
    <cfRule type="containsText" dxfId="9" priority="35852" operator="containsText" text="No">
      <formula>NOT(ISERROR(SEARCH(("No"),(P167))))</formula>
    </cfRule>
  </conditionalFormatting>
  <conditionalFormatting sqref="P167:Q167">
    <cfRule type="containsText" dxfId="9" priority="35853" operator="containsText" text="No">
      <formula>NOT(ISERROR(SEARCH(("No"),(P167))))</formula>
    </cfRule>
  </conditionalFormatting>
  <conditionalFormatting sqref="P167:Q167">
    <cfRule type="containsText" dxfId="9" priority="35854" operator="containsText" text="No">
      <formula>NOT(ISERROR(SEARCH(("No"),(P167))))</formula>
    </cfRule>
  </conditionalFormatting>
  <conditionalFormatting sqref="P167:Q167">
    <cfRule type="containsText" dxfId="9" priority="35855" operator="containsText" text="No">
      <formula>NOT(ISERROR(SEARCH(("No"),(P167))))</formula>
    </cfRule>
  </conditionalFormatting>
  <conditionalFormatting sqref="P167:Q167">
    <cfRule type="containsText" dxfId="9" priority="35856" operator="containsText" text="No">
      <formula>NOT(ISERROR(SEARCH(("No"),(P167))))</formula>
    </cfRule>
  </conditionalFormatting>
  <conditionalFormatting sqref="P167:Q167">
    <cfRule type="containsText" dxfId="9" priority="35857" operator="containsText" text="No">
      <formula>NOT(ISERROR(SEARCH(("No"),(P167))))</formula>
    </cfRule>
  </conditionalFormatting>
  <conditionalFormatting sqref="P167:Q167">
    <cfRule type="containsText" dxfId="9" priority="35858" operator="containsText" text="No">
      <formula>NOT(ISERROR(SEARCH(("No"),(P167))))</formula>
    </cfRule>
  </conditionalFormatting>
  <conditionalFormatting sqref="P167:Q167">
    <cfRule type="containsText" dxfId="9" priority="35859" operator="containsText" text="No">
      <formula>NOT(ISERROR(SEARCH(("No"),(P167))))</formula>
    </cfRule>
  </conditionalFormatting>
  <conditionalFormatting sqref="P167:Q167">
    <cfRule type="containsText" dxfId="9" priority="35860" operator="containsText" text="No">
      <formula>NOT(ISERROR(SEARCH(("No"),(P167))))</formula>
    </cfRule>
  </conditionalFormatting>
  <conditionalFormatting sqref="P167:Q167">
    <cfRule type="containsText" dxfId="9" priority="35861" operator="containsText" text="No">
      <formula>NOT(ISERROR(SEARCH(("No"),(P167))))</formula>
    </cfRule>
  </conditionalFormatting>
  <conditionalFormatting sqref="P167:Q167">
    <cfRule type="containsText" dxfId="9" priority="35862" operator="containsText" text="No">
      <formula>NOT(ISERROR(SEARCH(("No"),(P167))))</formula>
    </cfRule>
  </conditionalFormatting>
  <conditionalFormatting sqref="P167:Q167">
    <cfRule type="containsText" dxfId="9" priority="35863" operator="containsText" text="No">
      <formula>NOT(ISERROR(SEARCH(("No"),(P167))))</formula>
    </cfRule>
  </conditionalFormatting>
  <conditionalFormatting sqref="P167:Q167">
    <cfRule type="containsText" dxfId="9" priority="35864" operator="containsText" text="No">
      <formula>NOT(ISERROR(SEARCH(("No"),(P167))))</formula>
    </cfRule>
  </conditionalFormatting>
  <conditionalFormatting sqref="P167:Q167">
    <cfRule type="containsText" dxfId="9" priority="35865" operator="containsText" text="No">
      <formula>NOT(ISERROR(SEARCH(("No"),(P167))))</formula>
    </cfRule>
  </conditionalFormatting>
  <conditionalFormatting sqref="P167:Q167">
    <cfRule type="containsText" dxfId="9" priority="35866" operator="containsText" text="No">
      <formula>NOT(ISERROR(SEARCH(("No"),(P167))))</formula>
    </cfRule>
  </conditionalFormatting>
  <conditionalFormatting sqref="P167:Q167">
    <cfRule type="containsText" dxfId="9" priority="35867" operator="containsText" text="No">
      <formula>NOT(ISERROR(SEARCH(("No"),(P167))))</formula>
    </cfRule>
  </conditionalFormatting>
  <conditionalFormatting sqref="P167:Q167">
    <cfRule type="containsText" dxfId="9" priority="35868" operator="containsText" text="No">
      <formula>NOT(ISERROR(SEARCH(("No"),(P167))))</formula>
    </cfRule>
  </conditionalFormatting>
  <conditionalFormatting sqref="P167:Q167">
    <cfRule type="containsText" dxfId="9" priority="35869" operator="containsText" text="No">
      <formula>NOT(ISERROR(SEARCH(("No"),(P167))))</formula>
    </cfRule>
  </conditionalFormatting>
  <conditionalFormatting sqref="P167:Q167">
    <cfRule type="containsText" dxfId="9" priority="35870" operator="containsText" text="No">
      <formula>NOT(ISERROR(SEARCH(("No"),(P167))))</formula>
    </cfRule>
  </conditionalFormatting>
  <conditionalFormatting sqref="P167:Q167">
    <cfRule type="containsText" dxfId="9" priority="35871" operator="containsText" text="No">
      <formula>NOT(ISERROR(SEARCH(("No"),(P167))))</formula>
    </cfRule>
  </conditionalFormatting>
  <conditionalFormatting sqref="P167:Q167">
    <cfRule type="containsText" dxfId="9" priority="35872" operator="containsText" text="No">
      <formula>NOT(ISERROR(SEARCH(("No"),(P167))))</formula>
    </cfRule>
  </conditionalFormatting>
  <conditionalFormatting sqref="P167:Q167">
    <cfRule type="containsText" dxfId="9" priority="35873" operator="containsText" text="No">
      <formula>NOT(ISERROR(SEARCH(("No"),(P167))))</formula>
    </cfRule>
  </conditionalFormatting>
  <conditionalFormatting sqref="P167:Q167">
    <cfRule type="containsText" dxfId="9" priority="35874" operator="containsText" text="No">
      <formula>NOT(ISERROR(SEARCH(("No"),(P167))))</formula>
    </cfRule>
  </conditionalFormatting>
  <conditionalFormatting sqref="P167:Q167">
    <cfRule type="containsText" dxfId="9" priority="35875" operator="containsText" text="No">
      <formula>NOT(ISERROR(SEARCH(("No"),(P167))))</formula>
    </cfRule>
  </conditionalFormatting>
  <conditionalFormatting sqref="P167:Q167">
    <cfRule type="containsText" dxfId="9" priority="35876" operator="containsText" text="No">
      <formula>NOT(ISERROR(SEARCH(("No"),(P167))))</formula>
    </cfRule>
  </conditionalFormatting>
  <conditionalFormatting sqref="P167:Q167">
    <cfRule type="containsText" dxfId="9" priority="35877" operator="containsText" text="No">
      <formula>NOT(ISERROR(SEARCH(("No"),(P167))))</formula>
    </cfRule>
  </conditionalFormatting>
  <conditionalFormatting sqref="P167:Q167">
    <cfRule type="containsText" dxfId="9" priority="35878" operator="containsText" text="No">
      <formula>NOT(ISERROR(SEARCH(("No"),(P167))))</formula>
    </cfRule>
  </conditionalFormatting>
  <conditionalFormatting sqref="P167:Q167">
    <cfRule type="containsText" dxfId="9" priority="35879" operator="containsText" text="No">
      <formula>NOT(ISERROR(SEARCH(("No"),(P167))))</formula>
    </cfRule>
  </conditionalFormatting>
  <conditionalFormatting sqref="P167:Q167">
    <cfRule type="containsText" dxfId="9" priority="35880" operator="containsText" text="No">
      <formula>NOT(ISERROR(SEARCH(("No"),(P167))))</formula>
    </cfRule>
  </conditionalFormatting>
  <conditionalFormatting sqref="P167:Q167">
    <cfRule type="containsText" dxfId="9" priority="35881" operator="containsText" text="No">
      <formula>NOT(ISERROR(SEARCH(("No"),(P167))))</formula>
    </cfRule>
  </conditionalFormatting>
  <conditionalFormatting sqref="P167:Q167">
    <cfRule type="containsText" dxfId="9" priority="35882" operator="containsText" text="No">
      <formula>NOT(ISERROR(SEARCH(("No"),(P167))))</formula>
    </cfRule>
  </conditionalFormatting>
  <conditionalFormatting sqref="P167:Q167">
    <cfRule type="containsText" dxfId="9" priority="35883" operator="containsText" text="No">
      <formula>NOT(ISERROR(SEARCH(("No"),(P167))))</formula>
    </cfRule>
  </conditionalFormatting>
  <conditionalFormatting sqref="P167:Q167">
    <cfRule type="containsText" dxfId="9" priority="35884" operator="containsText" text="No">
      <formula>NOT(ISERROR(SEARCH(("No"),(P167))))</formula>
    </cfRule>
  </conditionalFormatting>
  <conditionalFormatting sqref="P167:Q167">
    <cfRule type="containsText" dxfId="9" priority="35885" operator="containsText" text="No">
      <formula>NOT(ISERROR(SEARCH(("No"),(P167))))</formula>
    </cfRule>
  </conditionalFormatting>
  <conditionalFormatting sqref="P167:Q167">
    <cfRule type="containsText" dxfId="9" priority="35886" operator="containsText" text="No">
      <formula>NOT(ISERROR(SEARCH(("No"),(P167))))</formula>
    </cfRule>
  </conditionalFormatting>
  <conditionalFormatting sqref="P167:Q167">
    <cfRule type="containsText" dxfId="9" priority="35887" operator="containsText" text="No">
      <formula>NOT(ISERROR(SEARCH(("No"),(P167))))</formula>
    </cfRule>
  </conditionalFormatting>
  <conditionalFormatting sqref="P167:Q167">
    <cfRule type="containsText" dxfId="9" priority="35888" operator="containsText" text="No">
      <formula>NOT(ISERROR(SEARCH(("No"),(P167))))</formula>
    </cfRule>
  </conditionalFormatting>
  <conditionalFormatting sqref="P167:Q167">
    <cfRule type="containsText" dxfId="2" priority="35889" operator="containsText" text="Yes">
      <formula>NOT(ISERROR(SEARCH(("Yes"),(P167))))</formula>
    </cfRule>
  </conditionalFormatting>
  <conditionalFormatting sqref="P167:Q167">
    <cfRule type="containsText" dxfId="2" priority="35890" operator="containsText" text="Yes">
      <formula>NOT(ISERROR(SEARCH(("Yes"),(P167))))</formula>
    </cfRule>
  </conditionalFormatting>
  <conditionalFormatting sqref="P167:Q167">
    <cfRule type="containsText" dxfId="2" priority="35891" operator="containsText" text="Yes">
      <formula>NOT(ISERROR(SEARCH(("Yes"),(P167))))</formula>
    </cfRule>
  </conditionalFormatting>
  <conditionalFormatting sqref="P167:Q167">
    <cfRule type="containsText" dxfId="2" priority="35892" operator="containsText" text="Yes">
      <formula>NOT(ISERROR(SEARCH(("Yes"),(P167))))</formula>
    </cfRule>
  </conditionalFormatting>
  <conditionalFormatting sqref="P167:Q167">
    <cfRule type="containsText" dxfId="2" priority="35893" operator="containsText" text="Yes">
      <formula>NOT(ISERROR(SEARCH(("Yes"),(P167))))</formula>
    </cfRule>
  </conditionalFormatting>
  <conditionalFormatting sqref="P167:Q167">
    <cfRule type="containsText" dxfId="2" priority="35894" operator="containsText" text="Yes">
      <formula>NOT(ISERROR(SEARCH(("Yes"),(P167))))</formula>
    </cfRule>
  </conditionalFormatting>
  <conditionalFormatting sqref="P167:Q167">
    <cfRule type="containsText" dxfId="2" priority="35895" operator="containsText" text="Yes">
      <formula>NOT(ISERROR(SEARCH(("Yes"),(P167))))</formula>
    </cfRule>
  </conditionalFormatting>
  <conditionalFormatting sqref="P167:Q167">
    <cfRule type="containsText" dxfId="2" priority="35896" operator="containsText" text="Yes">
      <formula>NOT(ISERROR(SEARCH(("Yes"),(P167))))</formula>
    </cfRule>
  </conditionalFormatting>
  <conditionalFormatting sqref="P167:Q167">
    <cfRule type="containsText" dxfId="2" priority="35897" operator="containsText" text="Yes">
      <formula>NOT(ISERROR(SEARCH(("Yes"),(P167))))</formula>
    </cfRule>
  </conditionalFormatting>
  <conditionalFormatting sqref="P167:Q167">
    <cfRule type="containsText" dxfId="2" priority="35898" operator="containsText" text="Yes">
      <formula>NOT(ISERROR(SEARCH(("Yes"),(P167))))</formula>
    </cfRule>
  </conditionalFormatting>
  <conditionalFormatting sqref="P167:Q167">
    <cfRule type="containsText" dxfId="2" priority="35899" operator="containsText" text="Yes">
      <formula>NOT(ISERROR(SEARCH(("Yes"),(P167))))</formula>
    </cfRule>
  </conditionalFormatting>
  <conditionalFormatting sqref="P167:Q167">
    <cfRule type="containsText" dxfId="2" priority="35900" operator="containsText" text="Yes">
      <formula>NOT(ISERROR(SEARCH(("Yes"),(P167))))</formula>
    </cfRule>
  </conditionalFormatting>
  <conditionalFormatting sqref="P167:Q167">
    <cfRule type="containsText" dxfId="2" priority="35901" operator="containsText" text="Yes">
      <formula>NOT(ISERROR(SEARCH(("Yes"),(P167))))</formula>
    </cfRule>
  </conditionalFormatting>
  <conditionalFormatting sqref="P167:Q167">
    <cfRule type="containsText" dxfId="2" priority="35902" operator="containsText" text="Yes">
      <formula>NOT(ISERROR(SEARCH(("Yes"),(P167))))</formula>
    </cfRule>
  </conditionalFormatting>
  <conditionalFormatting sqref="P167:Q167">
    <cfRule type="containsText" dxfId="2" priority="35903" operator="containsText" text="Yes">
      <formula>NOT(ISERROR(SEARCH(("Yes"),(P167))))</formula>
    </cfRule>
  </conditionalFormatting>
  <conditionalFormatting sqref="P167:Q167">
    <cfRule type="containsText" dxfId="2" priority="35904" operator="containsText" text="Yes">
      <formula>NOT(ISERROR(SEARCH(("Yes"),(P167))))</formula>
    </cfRule>
  </conditionalFormatting>
  <conditionalFormatting sqref="P167:Q167">
    <cfRule type="containsText" dxfId="2" priority="35905" operator="containsText" text="Yes">
      <formula>NOT(ISERROR(SEARCH(("Yes"),(P167))))</formula>
    </cfRule>
  </conditionalFormatting>
  <conditionalFormatting sqref="P167:Q167">
    <cfRule type="containsText" dxfId="2" priority="35906" operator="containsText" text="Yes">
      <formula>NOT(ISERROR(SEARCH(("Yes"),(P167))))</formula>
    </cfRule>
  </conditionalFormatting>
  <conditionalFormatting sqref="P167:Q167">
    <cfRule type="containsText" dxfId="2" priority="35907" operator="containsText" text="Yes">
      <formula>NOT(ISERROR(SEARCH(("Yes"),(P167))))</formula>
    </cfRule>
  </conditionalFormatting>
  <conditionalFormatting sqref="P167:Q167">
    <cfRule type="containsText" dxfId="2" priority="35908" operator="containsText" text="Yes">
      <formula>NOT(ISERROR(SEARCH(("Yes"),(P167))))</formula>
    </cfRule>
  </conditionalFormatting>
  <conditionalFormatting sqref="P167:Q167">
    <cfRule type="containsText" dxfId="2" priority="35909" operator="containsText" text="Yes">
      <formula>NOT(ISERROR(SEARCH(("Yes"),(P167))))</formula>
    </cfRule>
  </conditionalFormatting>
  <conditionalFormatting sqref="P167:Q167">
    <cfRule type="containsText" dxfId="2" priority="35910" operator="containsText" text="Yes">
      <formula>NOT(ISERROR(SEARCH(("Yes"),(P167))))</formula>
    </cfRule>
  </conditionalFormatting>
  <conditionalFormatting sqref="P167:Q167">
    <cfRule type="containsText" dxfId="2" priority="35911" operator="containsText" text="Yes">
      <formula>NOT(ISERROR(SEARCH(("Yes"),(P167))))</formula>
    </cfRule>
  </conditionalFormatting>
  <conditionalFormatting sqref="P167:Q167">
    <cfRule type="containsText" dxfId="2" priority="35912" operator="containsText" text="Yes">
      <formula>NOT(ISERROR(SEARCH(("Yes"),(P167))))</formula>
    </cfRule>
  </conditionalFormatting>
  <conditionalFormatting sqref="P167:Q167">
    <cfRule type="containsText" dxfId="2" priority="35913" operator="containsText" text="Yes">
      <formula>NOT(ISERROR(SEARCH(("Yes"),(P167))))</formula>
    </cfRule>
  </conditionalFormatting>
  <conditionalFormatting sqref="P167:Q167">
    <cfRule type="containsText" dxfId="2" priority="35914" operator="containsText" text="Yes">
      <formula>NOT(ISERROR(SEARCH(("Yes"),(P167))))</formula>
    </cfRule>
  </conditionalFormatting>
  <conditionalFormatting sqref="P167:Q167">
    <cfRule type="containsText" dxfId="2" priority="35915" operator="containsText" text="Yes">
      <formula>NOT(ISERROR(SEARCH(("Yes"),(P167))))</formula>
    </cfRule>
  </conditionalFormatting>
  <conditionalFormatting sqref="P167:Q167">
    <cfRule type="containsText" dxfId="2" priority="35916" operator="containsText" text="Yes">
      <formula>NOT(ISERROR(SEARCH(("Yes"),(P167))))</formula>
    </cfRule>
  </conditionalFormatting>
  <conditionalFormatting sqref="P167:Q167">
    <cfRule type="containsText" dxfId="2" priority="35917" operator="containsText" text="Yes">
      <formula>NOT(ISERROR(SEARCH(("Yes"),(P167))))</formula>
    </cfRule>
  </conditionalFormatting>
  <conditionalFormatting sqref="P167:Q167">
    <cfRule type="containsText" dxfId="2" priority="35918" operator="containsText" text="Yes">
      <formula>NOT(ISERROR(SEARCH(("Yes"),(P167))))</formula>
    </cfRule>
  </conditionalFormatting>
  <conditionalFormatting sqref="P167:Q167">
    <cfRule type="containsText" dxfId="2" priority="35919" operator="containsText" text="Yes">
      <formula>NOT(ISERROR(SEARCH(("Yes"),(P167))))</formula>
    </cfRule>
  </conditionalFormatting>
  <conditionalFormatting sqref="P167:Q167">
    <cfRule type="containsText" dxfId="2" priority="35920" operator="containsText" text="Yes">
      <formula>NOT(ISERROR(SEARCH(("Yes"),(P167))))</formula>
    </cfRule>
  </conditionalFormatting>
  <conditionalFormatting sqref="P167:Q167">
    <cfRule type="containsText" dxfId="2" priority="35921" operator="containsText" text="Yes">
      <formula>NOT(ISERROR(SEARCH(("Yes"),(P167))))</formula>
    </cfRule>
  </conditionalFormatting>
  <conditionalFormatting sqref="P167:Q167">
    <cfRule type="containsText" dxfId="2" priority="35922" operator="containsText" text="Yes">
      <formula>NOT(ISERROR(SEARCH(("Yes"),(P167))))</formula>
    </cfRule>
  </conditionalFormatting>
  <conditionalFormatting sqref="P167:Q167">
    <cfRule type="containsText" dxfId="2" priority="35923" operator="containsText" text="Yes">
      <formula>NOT(ISERROR(SEARCH(("Yes"),(P167))))</formula>
    </cfRule>
  </conditionalFormatting>
  <conditionalFormatting sqref="P167:Q167">
    <cfRule type="containsText" dxfId="2" priority="35924" operator="containsText" text="Yes">
      <formula>NOT(ISERROR(SEARCH(("Yes"),(P167))))</formula>
    </cfRule>
  </conditionalFormatting>
  <conditionalFormatting sqref="P167:Q167">
    <cfRule type="containsText" dxfId="2" priority="35925" operator="containsText" text="Yes">
      <formula>NOT(ISERROR(SEARCH(("Yes"),(P167))))</formula>
    </cfRule>
  </conditionalFormatting>
  <conditionalFormatting sqref="P167:Q167">
    <cfRule type="containsText" dxfId="2" priority="35926" operator="containsText" text="Yes">
      <formula>NOT(ISERROR(SEARCH(("Yes"),(P167))))</formula>
    </cfRule>
  </conditionalFormatting>
  <conditionalFormatting sqref="P167:Q167">
    <cfRule type="containsText" dxfId="2" priority="35927" operator="containsText" text="Yes">
      <formula>NOT(ISERROR(SEARCH(("Yes"),(P167))))</formula>
    </cfRule>
  </conditionalFormatting>
  <conditionalFormatting sqref="P167:Q167">
    <cfRule type="containsText" dxfId="2" priority="35928" operator="containsText" text="Yes">
      <formula>NOT(ISERROR(SEARCH(("Yes"),(P167))))</formula>
    </cfRule>
  </conditionalFormatting>
  <conditionalFormatting sqref="P167:Q167">
    <cfRule type="containsText" dxfId="2" priority="35929" operator="containsText" text="Yes">
      <formula>NOT(ISERROR(SEARCH(("Yes"),(P167))))</formula>
    </cfRule>
  </conditionalFormatting>
  <conditionalFormatting sqref="P167:Q167">
    <cfRule type="containsText" dxfId="2" priority="35930" operator="containsText" text="Yes">
      <formula>NOT(ISERROR(SEARCH(("Yes"),(P167))))</formula>
    </cfRule>
  </conditionalFormatting>
  <conditionalFormatting sqref="P167:Q167">
    <cfRule type="containsText" dxfId="2" priority="35931" operator="containsText" text="Yes">
      <formula>NOT(ISERROR(SEARCH(("Yes"),(P167))))</formula>
    </cfRule>
  </conditionalFormatting>
  <conditionalFormatting sqref="P167:Q167">
    <cfRule type="containsText" dxfId="2" priority="35932" operator="containsText" text="Yes">
      <formula>NOT(ISERROR(SEARCH(("Yes"),(P167))))</formula>
    </cfRule>
  </conditionalFormatting>
  <conditionalFormatting sqref="P167:Q167">
    <cfRule type="containsText" dxfId="2" priority="35933" operator="containsText" text="Yes">
      <formula>NOT(ISERROR(SEARCH(("Yes"),(P167))))</formula>
    </cfRule>
  </conditionalFormatting>
  <conditionalFormatting sqref="P167:Q167">
    <cfRule type="containsText" dxfId="2" priority="35934" operator="containsText" text="Yes">
      <formula>NOT(ISERROR(SEARCH(("Yes"),(P167))))</formula>
    </cfRule>
  </conditionalFormatting>
  <conditionalFormatting sqref="P167:Q167">
    <cfRule type="containsText" dxfId="2" priority="35935" operator="containsText" text="Yes">
      <formula>NOT(ISERROR(SEARCH(("Yes"),(P167))))</formula>
    </cfRule>
  </conditionalFormatting>
  <conditionalFormatting sqref="P168:Q169 P171:Q171 P173:Q173 P175:Q175 P177:Q179 P183:Q183 P185:Q214 U204:V204">
    <cfRule type="containsText" dxfId="9" priority="35936" operator="containsText" text="No">
      <formula>NOT(ISERROR(SEARCH(("No"),(P168))))</formula>
    </cfRule>
  </conditionalFormatting>
  <conditionalFormatting sqref="P168:Q169 P171:Q171 P173:Q173 P175:Q175 P177:Q179 P183:Q183 P185:Q214 U204:V204">
    <cfRule type="containsText" dxfId="9" priority="35937" operator="containsText" text="No">
      <formula>NOT(ISERROR(SEARCH(("No"),(P168))))</formula>
    </cfRule>
  </conditionalFormatting>
  <conditionalFormatting sqref="P168:Q169 P171:Q171 P173:Q173 P175:Q175 P177:Q179 P183:Q183 P185:Q214 U204:V204">
    <cfRule type="containsText" dxfId="9" priority="35938" operator="containsText" text="No">
      <formula>NOT(ISERROR(SEARCH(("No"),(P168))))</formula>
    </cfRule>
  </conditionalFormatting>
  <conditionalFormatting sqref="P168:Q169 P171:Q171 P173:Q173 P175:Q175 P177:Q179 P183:Q183 P185:Q214 U204:V204">
    <cfRule type="containsText" dxfId="9" priority="35939" operator="containsText" text="No">
      <formula>NOT(ISERROR(SEARCH(("No"),(P168))))</formula>
    </cfRule>
  </conditionalFormatting>
  <conditionalFormatting sqref="P168:Q169 P171:Q171 P173:Q173 P175:Q175 P177:Q179 P183:Q183 P185:Q214 U204:V204">
    <cfRule type="containsText" dxfId="9" priority="35940" operator="containsText" text="No">
      <formula>NOT(ISERROR(SEARCH(("No"),(P168))))</formula>
    </cfRule>
  </conditionalFormatting>
  <conditionalFormatting sqref="P168:Q169 P171:Q171 P173:Q173 P175:Q175 P177:Q179 P183:Q183 P185:Q214 U204:V204">
    <cfRule type="containsText" dxfId="9" priority="35941" operator="containsText" text="No">
      <formula>NOT(ISERROR(SEARCH(("No"),(P168))))</formula>
    </cfRule>
  </conditionalFormatting>
  <conditionalFormatting sqref="P168:Q169 P171:Q171 P173:Q173 P175:Q175 P177:Q179 P183:Q183 P185:Q214 U204:V204">
    <cfRule type="containsText" dxfId="9" priority="35942" operator="containsText" text="No">
      <formula>NOT(ISERROR(SEARCH(("No"),(P168))))</formula>
    </cfRule>
  </conditionalFormatting>
  <conditionalFormatting sqref="P168:Q169 P171:Q171 P173:Q173 P175:Q175 P177:Q179 P183:Q183 P185:Q214 U204:V204">
    <cfRule type="containsText" dxfId="9" priority="35943" operator="containsText" text="No">
      <formula>NOT(ISERROR(SEARCH(("No"),(P168))))</formula>
    </cfRule>
  </conditionalFormatting>
  <conditionalFormatting sqref="P168:Q169 P171:Q171 P173:Q173 P175:Q175 P177:Q179 P183:Q183 P185:Q214 U204:V204">
    <cfRule type="containsText" dxfId="9" priority="35944" operator="containsText" text="No">
      <formula>NOT(ISERROR(SEARCH(("No"),(P168))))</formula>
    </cfRule>
  </conditionalFormatting>
  <conditionalFormatting sqref="P168:Q169 P171:Q171 P173:Q173 P175:Q175 P177:Q179 P183:Q183 P185:Q214 U204:V204">
    <cfRule type="containsText" dxfId="9" priority="35945" operator="containsText" text="No">
      <formula>NOT(ISERROR(SEARCH(("No"),(P168))))</formula>
    </cfRule>
  </conditionalFormatting>
  <conditionalFormatting sqref="P168:Q169 P171:Q171 P173:Q173 P175:Q175 P177:Q179 P183:Q183 P185:Q214 U204:V204">
    <cfRule type="containsText" dxfId="9" priority="35946" operator="containsText" text="No">
      <formula>NOT(ISERROR(SEARCH(("No"),(P168))))</formula>
    </cfRule>
  </conditionalFormatting>
  <conditionalFormatting sqref="P168:Q169 P171:Q171 P173:Q173 P175:Q175 P177:Q179 P183:Q183 P185:Q214 U204:V204">
    <cfRule type="containsText" dxfId="9" priority="35947" operator="containsText" text="No">
      <formula>NOT(ISERROR(SEARCH(("No"),(P168))))</formula>
    </cfRule>
  </conditionalFormatting>
  <conditionalFormatting sqref="P168:Q169 P171:Q171 P173:Q173 P175:Q175 P177:Q179 P183:Q183 P185:Q214 U204:V204">
    <cfRule type="containsText" dxfId="9" priority="35948" operator="containsText" text="No">
      <formula>NOT(ISERROR(SEARCH(("No"),(P168))))</formula>
    </cfRule>
  </conditionalFormatting>
  <conditionalFormatting sqref="P168:Q169 P171:Q171 P173:Q173 P175:Q175 P177:Q179 P183:Q183 P185:Q214 U204:V204">
    <cfRule type="containsText" dxfId="9" priority="35949" operator="containsText" text="No">
      <formula>NOT(ISERROR(SEARCH(("No"),(P168))))</formula>
    </cfRule>
  </conditionalFormatting>
  <conditionalFormatting sqref="P168:Q169 P171:Q171 P173:Q173 P175:Q175 P177:Q179 P183:Q183 P185:Q214 U204:V204">
    <cfRule type="containsText" dxfId="9" priority="35950" operator="containsText" text="No">
      <formula>NOT(ISERROR(SEARCH(("No"),(P168))))</formula>
    </cfRule>
  </conditionalFormatting>
  <conditionalFormatting sqref="P168:Q169 P171:Q171 P173:Q173 P175:Q175 P177:Q179 P183:Q183 P185:Q214 U204:V204">
    <cfRule type="containsText" dxfId="9" priority="35951" operator="containsText" text="No">
      <formula>NOT(ISERROR(SEARCH(("No"),(P168))))</formula>
    </cfRule>
  </conditionalFormatting>
  <conditionalFormatting sqref="P168:Q169 P171:Q171 P173:Q173 P175:Q175 P177:Q179 P183:Q183 P185:Q214 U204:V204">
    <cfRule type="containsText" dxfId="9" priority="35952" operator="containsText" text="No">
      <formula>NOT(ISERROR(SEARCH(("No"),(P168))))</formula>
    </cfRule>
  </conditionalFormatting>
  <conditionalFormatting sqref="P168:Q169 P171:Q171 P173:Q173 P175:Q175 P177:Q179 P183:Q183 P185:Q214 U204:V204">
    <cfRule type="containsText" dxfId="9" priority="35953" operator="containsText" text="No">
      <formula>NOT(ISERROR(SEARCH(("No"),(P168))))</formula>
    </cfRule>
  </conditionalFormatting>
  <conditionalFormatting sqref="P168:Q169 P171:Q171 P173:Q173 P175:Q175 P177:Q179 P183:Q183 P185:Q214 U204:V204">
    <cfRule type="containsText" dxfId="9" priority="35954" operator="containsText" text="No">
      <formula>NOT(ISERROR(SEARCH(("No"),(P168))))</formula>
    </cfRule>
  </conditionalFormatting>
  <conditionalFormatting sqref="P168:Q169 P171:Q171 P173:Q173 P175:Q175 P177:Q179 P183:Q183 P185:Q214 U204:V204">
    <cfRule type="containsText" dxfId="9" priority="35955" operator="containsText" text="No">
      <formula>NOT(ISERROR(SEARCH(("No"),(P168))))</formula>
    </cfRule>
  </conditionalFormatting>
  <conditionalFormatting sqref="P168:Q169 P171:Q171 P173:Q173 P175:Q175 P177:Q179 P183:Q183 P185:Q214 U204:V204">
    <cfRule type="containsText" dxfId="9" priority="35956" operator="containsText" text="No">
      <formula>NOT(ISERROR(SEARCH(("No"),(P168))))</formula>
    </cfRule>
  </conditionalFormatting>
  <conditionalFormatting sqref="P168:Q169 P171:Q171 P173:Q173 P175:Q175 P177:Q179 P183:Q183 P185:Q214 U204:V204">
    <cfRule type="containsText" dxfId="9" priority="35957" operator="containsText" text="No">
      <formula>NOT(ISERROR(SEARCH(("No"),(P168))))</formula>
    </cfRule>
  </conditionalFormatting>
  <conditionalFormatting sqref="P168:Q169 P171:Q171 P173:Q173 P175:Q175 P177:Q179 P183:Q183 P185:Q214 U204:V204">
    <cfRule type="containsText" dxfId="9" priority="35958" operator="containsText" text="No">
      <formula>NOT(ISERROR(SEARCH(("No"),(P168))))</formula>
    </cfRule>
  </conditionalFormatting>
  <conditionalFormatting sqref="P168:Q169 P171:Q171 P173:Q173 P175:Q175 P177:Q179 P183:Q183 P185:Q214 U204:V204">
    <cfRule type="containsText" dxfId="9" priority="35959" operator="containsText" text="No">
      <formula>NOT(ISERROR(SEARCH(("No"),(P168))))</formula>
    </cfRule>
  </conditionalFormatting>
  <conditionalFormatting sqref="P168:Q169 P171:Q171 P173:Q173 P175:Q175 P177:Q179 P183:Q183 P185:Q214 U204:V204">
    <cfRule type="containsText" dxfId="9" priority="35960" operator="containsText" text="No">
      <formula>NOT(ISERROR(SEARCH(("No"),(P168))))</formula>
    </cfRule>
  </conditionalFormatting>
  <conditionalFormatting sqref="P168:Q169 P171:Q171 P173:Q173 P175:Q175 P177:Q179 P183:Q183 P185:Q214 U204:V204">
    <cfRule type="containsText" dxfId="9" priority="35961" operator="containsText" text="No">
      <formula>NOT(ISERROR(SEARCH(("No"),(P168))))</formula>
    </cfRule>
  </conditionalFormatting>
  <conditionalFormatting sqref="P168:Q169 P171:Q171 P173:Q173 P175:Q175 P177:Q179 P183:Q183 P185:Q214 U204:V204">
    <cfRule type="containsText" dxfId="9" priority="35962" operator="containsText" text="No">
      <formula>NOT(ISERROR(SEARCH(("No"),(P168))))</formula>
    </cfRule>
  </conditionalFormatting>
  <conditionalFormatting sqref="P168:Q169 P171:Q171 P173:Q173 P175:Q175 P177:Q179 P183:Q183 P185:Q214 U204:V204">
    <cfRule type="containsText" dxfId="9" priority="35963" operator="containsText" text="No">
      <formula>NOT(ISERROR(SEARCH(("No"),(P168))))</formula>
    </cfRule>
  </conditionalFormatting>
  <conditionalFormatting sqref="P168:Q169 P171:Q171 P173:Q173 P175:Q175 P177:Q179 P183:Q183 P185:Q214 U204:V204">
    <cfRule type="containsText" dxfId="9" priority="35964" operator="containsText" text="No">
      <formula>NOT(ISERROR(SEARCH(("No"),(P168))))</formula>
    </cfRule>
  </conditionalFormatting>
  <conditionalFormatting sqref="P168:Q169 P171:Q171 P173:Q173 P175:Q175 P177:Q179 P183:Q183 P185:Q214 U204:V204">
    <cfRule type="containsText" dxfId="9" priority="35965" operator="containsText" text="No">
      <formula>NOT(ISERROR(SEARCH(("No"),(P168))))</formula>
    </cfRule>
  </conditionalFormatting>
  <conditionalFormatting sqref="P168:Q169 P171:Q171 P173:Q173 P175:Q175 P177:Q179 P183:Q183 P185:Q214 U204:V204">
    <cfRule type="containsText" dxfId="9" priority="35966" operator="containsText" text="No">
      <formula>NOT(ISERROR(SEARCH(("No"),(P168))))</formula>
    </cfRule>
  </conditionalFormatting>
  <conditionalFormatting sqref="P168:Q169 P171:Q171 P173:Q173 P175:Q175 P177:Q179 P183:Q183 P185:Q214 U204:V204">
    <cfRule type="containsText" dxfId="9" priority="35967" operator="containsText" text="No">
      <formula>NOT(ISERROR(SEARCH(("No"),(P168))))</formula>
    </cfRule>
  </conditionalFormatting>
  <conditionalFormatting sqref="P168:Q169 P171:Q171 P173:Q173 P175:Q175 P177:Q179 P183:Q183 P185:Q214 U204:V204">
    <cfRule type="containsText" dxfId="9" priority="35968" operator="containsText" text="No">
      <formula>NOT(ISERROR(SEARCH(("No"),(P168))))</formula>
    </cfRule>
  </conditionalFormatting>
  <conditionalFormatting sqref="P168:Q169 P171:Q171 P173:Q173 P175:Q175 P177:Q179 P183:Q183 P185:Q214 U204:V204">
    <cfRule type="containsText" dxfId="9" priority="35969" operator="containsText" text="No">
      <formula>NOT(ISERROR(SEARCH(("No"),(P168))))</formula>
    </cfRule>
  </conditionalFormatting>
  <conditionalFormatting sqref="P168:Q169 P171:Q171 P173:Q173 P175:Q175 P177:Q179 P183:Q183 P185:Q214 U204:V204">
    <cfRule type="containsText" dxfId="9" priority="35970" operator="containsText" text="No">
      <formula>NOT(ISERROR(SEARCH(("No"),(P168))))</formula>
    </cfRule>
  </conditionalFormatting>
  <conditionalFormatting sqref="P168:Q169 P171:Q171 P173:Q173 P175:Q175 P177:Q179 P183:Q183 P185:Q214 U204:V204">
    <cfRule type="containsText" dxfId="9" priority="35971" operator="containsText" text="No">
      <formula>NOT(ISERROR(SEARCH(("No"),(P168))))</formula>
    </cfRule>
  </conditionalFormatting>
  <conditionalFormatting sqref="P168:Q169 P171:Q171 P173:Q173 P175:Q175 P177:Q179 P183:Q183 P185:Q214 U204:V204">
    <cfRule type="containsText" dxfId="9" priority="35972" operator="containsText" text="No">
      <formula>NOT(ISERROR(SEARCH(("No"),(P168))))</formula>
    </cfRule>
  </conditionalFormatting>
  <conditionalFormatting sqref="P168:Q169 P171:Q171 P173:Q173 P175:Q175 P177:Q179 P183:Q183 P185:Q214 U204:V204">
    <cfRule type="containsText" dxfId="9" priority="35973" operator="containsText" text="No">
      <formula>NOT(ISERROR(SEARCH(("No"),(P168))))</formula>
    </cfRule>
  </conditionalFormatting>
  <conditionalFormatting sqref="P168:Q169 P171:Q171 P173:Q173 P175:Q175 P177:Q179 P183:Q183 P185:Q214 U204:V204">
    <cfRule type="containsText" dxfId="9" priority="35974" operator="containsText" text="No">
      <formula>NOT(ISERROR(SEARCH(("No"),(P168))))</formula>
    </cfRule>
  </conditionalFormatting>
  <conditionalFormatting sqref="P168:Q169 P171:Q171 P173:Q173 P175:Q175 P177:Q179 P183:Q183 P185:Q214 U204:V204">
    <cfRule type="containsText" dxfId="9" priority="35975" operator="containsText" text="No">
      <formula>NOT(ISERROR(SEARCH(("No"),(P168))))</formula>
    </cfRule>
  </conditionalFormatting>
  <conditionalFormatting sqref="P168:Q169 P171:Q171 P173:Q173 P175:Q175 P177:Q179 P183:Q183 P185:Q214 U204:V204">
    <cfRule type="containsText" dxfId="9" priority="35976" operator="containsText" text="No">
      <formula>NOT(ISERROR(SEARCH(("No"),(P168))))</formula>
    </cfRule>
  </conditionalFormatting>
  <conditionalFormatting sqref="P168:Q169 P171:Q171 P173:Q173 P175:Q175 P177:Q179 P183:Q183 P185:Q214 U204:V204">
    <cfRule type="containsText" dxfId="9" priority="35977" operator="containsText" text="No">
      <formula>NOT(ISERROR(SEARCH(("No"),(P168))))</formula>
    </cfRule>
  </conditionalFormatting>
  <conditionalFormatting sqref="P168:Q169 P171:Q171 P173:Q173 P175:Q175 P177:Q179 P183:Q183 P185:Q214 U204:V204">
    <cfRule type="containsText" dxfId="9" priority="35978" operator="containsText" text="No">
      <formula>NOT(ISERROR(SEARCH(("No"),(P168))))</formula>
    </cfRule>
  </conditionalFormatting>
  <conditionalFormatting sqref="P168:Q169 P171:Q171 P173:Q173 P175:Q175 P177:Q179 P183:Q183 P185:Q214 U204:V204">
    <cfRule type="containsText" dxfId="9" priority="35979" operator="containsText" text="No">
      <formula>NOT(ISERROR(SEARCH(("No"),(P168))))</formula>
    </cfRule>
  </conditionalFormatting>
  <conditionalFormatting sqref="P168:Q169 P171:Q171 P173:Q173 P175:Q175 P177:Q179 P183:Q183 P185:Q214 U204:V204">
    <cfRule type="containsText" dxfId="9" priority="35980" operator="containsText" text="No">
      <formula>NOT(ISERROR(SEARCH(("No"),(P168))))</formula>
    </cfRule>
  </conditionalFormatting>
  <conditionalFormatting sqref="P168:Q169 P171:Q171 P173:Q173 P175:Q175 P177:Q179 P183:Q183 P185:Q214 U204:V204">
    <cfRule type="containsText" dxfId="2" priority="35981" operator="containsText" text="Yes">
      <formula>NOT(ISERROR(SEARCH(("Yes"),(P168))))</formula>
    </cfRule>
  </conditionalFormatting>
  <conditionalFormatting sqref="P168:Q169 P171:Q171 P173:Q173 P175:Q175 P177:Q179 P183:Q183 P185:Q214 U204:V204">
    <cfRule type="containsText" dxfId="2" priority="35982" operator="containsText" text="Yes">
      <formula>NOT(ISERROR(SEARCH(("Yes"),(P168))))</formula>
    </cfRule>
  </conditionalFormatting>
  <conditionalFormatting sqref="P168:Q169 P171:Q171 P173:Q173 P175:Q175 P177:Q179 P183:Q183 P185:Q214 U204:V204">
    <cfRule type="containsText" dxfId="2" priority="35983" operator="containsText" text="Yes">
      <formula>NOT(ISERROR(SEARCH(("Yes"),(P168))))</formula>
    </cfRule>
  </conditionalFormatting>
  <conditionalFormatting sqref="P168:Q169 P171:Q171 P173:Q173 P175:Q175 P177:Q179 P183:Q183 P185:Q214 U204:V204">
    <cfRule type="containsText" dxfId="2" priority="35984" operator="containsText" text="Yes">
      <formula>NOT(ISERROR(SEARCH(("Yes"),(P168))))</formula>
    </cfRule>
  </conditionalFormatting>
  <conditionalFormatting sqref="P168:Q169 P171:Q171 P173:Q173 P175:Q175 P177:Q179 P183:Q183 P185:Q214 U204:V204">
    <cfRule type="containsText" dxfId="2" priority="35985" operator="containsText" text="Yes">
      <formula>NOT(ISERROR(SEARCH(("Yes"),(P168))))</formula>
    </cfRule>
  </conditionalFormatting>
  <conditionalFormatting sqref="P168:Q169 P171:Q171 P173:Q173 P175:Q175 P177:Q179 P183:Q183 P185:Q214 U204:V204">
    <cfRule type="containsText" dxfId="2" priority="35986" operator="containsText" text="Yes">
      <formula>NOT(ISERROR(SEARCH(("Yes"),(P168))))</formula>
    </cfRule>
  </conditionalFormatting>
  <conditionalFormatting sqref="P168:Q169 P171:Q171 P173:Q173 P175:Q175 P177:Q179 P183:Q183 P185:Q214 U204:V204">
    <cfRule type="containsText" dxfId="2" priority="35987" operator="containsText" text="Yes">
      <formula>NOT(ISERROR(SEARCH(("Yes"),(P168))))</formula>
    </cfRule>
  </conditionalFormatting>
  <conditionalFormatting sqref="P168:Q169 P171:Q171 P173:Q173 P175:Q175 P177:Q179 P183:Q183 P185:Q214 U204:V204">
    <cfRule type="containsText" dxfId="2" priority="35988" operator="containsText" text="Yes">
      <formula>NOT(ISERROR(SEARCH(("Yes"),(P168))))</formula>
    </cfRule>
  </conditionalFormatting>
  <conditionalFormatting sqref="P168:Q169 P171:Q171 P173:Q173 P175:Q175 P177:Q179 P183:Q183 P185:Q214 U204:V204">
    <cfRule type="containsText" dxfId="2" priority="35989" operator="containsText" text="Yes">
      <formula>NOT(ISERROR(SEARCH(("Yes"),(P168))))</formula>
    </cfRule>
  </conditionalFormatting>
  <conditionalFormatting sqref="P168:Q169 P171:Q171 P173:Q173 P175:Q175 P177:Q179 P183:Q183 P185:Q214 U204:V204">
    <cfRule type="containsText" dxfId="2" priority="35990" operator="containsText" text="Yes">
      <formula>NOT(ISERROR(SEARCH(("Yes"),(P168))))</formula>
    </cfRule>
  </conditionalFormatting>
  <conditionalFormatting sqref="P168:Q169 P171:Q171 P173:Q173 P175:Q175 P177:Q179 P183:Q183 P185:Q214 U204:V204">
    <cfRule type="containsText" dxfId="2" priority="35991" operator="containsText" text="Yes">
      <formula>NOT(ISERROR(SEARCH(("Yes"),(P168))))</formula>
    </cfRule>
  </conditionalFormatting>
  <conditionalFormatting sqref="P168:Q169 P171:Q171 P173:Q173 P175:Q175 P177:Q179 P183:Q183 P185:Q214 U204:V204">
    <cfRule type="containsText" dxfId="2" priority="35992" operator="containsText" text="Yes">
      <formula>NOT(ISERROR(SEARCH(("Yes"),(P168))))</formula>
    </cfRule>
  </conditionalFormatting>
  <conditionalFormatting sqref="P168:Q169 P171:Q171 P173:Q173 P175:Q175 P177:Q179 P183:Q183 P185:Q214 U204:V204">
    <cfRule type="containsText" dxfId="2" priority="35993" operator="containsText" text="Yes">
      <formula>NOT(ISERROR(SEARCH(("Yes"),(P168))))</formula>
    </cfRule>
  </conditionalFormatting>
  <conditionalFormatting sqref="P168:Q169 P171:Q171 P173:Q173 P175:Q175 P177:Q179 P183:Q183 P185:Q214 U204:V204">
    <cfRule type="containsText" dxfId="2" priority="35994" operator="containsText" text="Yes">
      <formula>NOT(ISERROR(SEARCH(("Yes"),(P168))))</formula>
    </cfRule>
  </conditionalFormatting>
  <conditionalFormatting sqref="P168:Q169 P171:Q171 P173:Q173 P175:Q175 P177:Q179 P183:Q183 P185:Q214 U204:V204">
    <cfRule type="containsText" dxfId="2" priority="35995" operator="containsText" text="Yes">
      <formula>NOT(ISERROR(SEARCH(("Yes"),(P168))))</formula>
    </cfRule>
  </conditionalFormatting>
  <conditionalFormatting sqref="P168:Q169 P171:Q171 P173:Q173 P175:Q175 P177:Q179 P183:Q183 P185:Q214 U204:V204">
    <cfRule type="containsText" dxfId="2" priority="35996" operator="containsText" text="Yes">
      <formula>NOT(ISERROR(SEARCH(("Yes"),(P168))))</formula>
    </cfRule>
  </conditionalFormatting>
  <conditionalFormatting sqref="P168:Q169 P171:Q171 P173:Q173 P175:Q175 P177:Q179 P183:Q183 P185:Q214 U204:V204">
    <cfRule type="containsText" dxfId="2" priority="35997" operator="containsText" text="Yes">
      <formula>NOT(ISERROR(SEARCH(("Yes"),(P168))))</formula>
    </cfRule>
  </conditionalFormatting>
  <conditionalFormatting sqref="P168:Q169 P171:Q171 P173:Q173 P175:Q175 P177:Q179 P183:Q183 P185:Q214 U204:V204">
    <cfRule type="containsText" dxfId="2" priority="35998" operator="containsText" text="Yes">
      <formula>NOT(ISERROR(SEARCH(("Yes"),(P168))))</formula>
    </cfRule>
  </conditionalFormatting>
  <conditionalFormatting sqref="P168:Q169 P171:Q171 P173:Q173 P175:Q175 P177:Q179 P183:Q183 P185:Q214 U204:V204">
    <cfRule type="containsText" dxfId="2" priority="35999" operator="containsText" text="Yes">
      <formula>NOT(ISERROR(SEARCH(("Yes"),(P168))))</formula>
    </cfRule>
  </conditionalFormatting>
  <conditionalFormatting sqref="P168:Q169 P171:Q171 P173:Q173 P175:Q175 P177:Q179 P183:Q183 P185:Q214 U204:V204">
    <cfRule type="containsText" dxfId="2" priority="36000" operator="containsText" text="Yes">
      <formula>NOT(ISERROR(SEARCH(("Yes"),(P168))))</formula>
    </cfRule>
  </conditionalFormatting>
  <conditionalFormatting sqref="P168:Q169 P171:Q171 P173:Q173 P175:Q175 P177:Q179 P183:Q183 P185:Q214 U204:V204">
    <cfRule type="containsText" dxfId="2" priority="36001" operator="containsText" text="Yes">
      <formula>NOT(ISERROR(SEARCH(("Yes"),(P168))))</formula>
    </cfRule>
  </conditionalFormatting>
  <conditionalFormatting sqref="P168:Q169 P171:Q171 P173:Q173 P175:Q175 P177:Q179 P183:Q183 P185:Q214 U204:V204">
    <cfRule type="containsText" dxfId="2" priority="36002" operator="containsText" text="Yes">
      <formula>NOT(ISERROR(SEARCH(("Yes"),(P168))))</formula>
    </cfRule>
  </conditionalFormatting>
  <conditionalFormatting sqref="P168:Q169 P171:Q171 P173:Q173 P175:Q175 P177:Q179 P183:Q183 P185:Q214 U204:V204">
    <cfRule type="containsText" dxfId="2" priority="36003" operator="containsText" text="Yes">
      <formula>NOT(ISERROR(SEARCH(("Yes"),(P168))))</formula>
    </cfRule>
  </conditionalFormatting>
  <conditionalFormatting sqref="P168:Q169 P171:Q171 P173:Q173 P175:Q175 P177:Q179 P183:Q183 P185:Q214 U204:V204">
    <cfRule type="containsText" dxfId="2" priority="36004" operator="containsText" text="Yes">
      <formula>NOT(ISERROR(SEARCH(("Yes"),(P168))))</formula>
    </cfRule>
  </conditionalFormatting>
  <conditionalFormatting sqref="P168:Q169 P171:Q171 P173:Q173 P175:Q175 P177:Q179 P183:Q183 P185:Q214 U204:V204">
    <cfRule type="containsText" dxfId="2" priority="36005" operator="containsText" text="Yes">
      <formula>NOT(ISERROR(SEARCH(("Yes"),(P168))))</formula>
    </cfRule>
  </conditionalFormatting>
  <conditionalFormatting sqref="P168:Q169 P171:Q171 P173:Q173 P175:Q175 P177:Q179 P183:Q183 P185:Q214 U204:V204">
    <cfRule type="containsText" dxfId="2" priority="36006" operator="containsText" text="Yes">
      <formula>NOT(ISERROR(SEARCH(("Yes"),(P168))))</formula>
    </cfRule>
  </conditionalFormatting>
  <conditionalFormatting sqref="P168:Q169 P171:Q171 P173:Q173 P175:Q175 P177:Q179 P183:Q183 P185:Q214 U204:V204">
    <cfRule type="containsText" dxfId="2" priority="36007" operator="containsText" text="Yes">
      <formula>NOT(ISERROR(SEARCH(("Yes"),(P168))))</formula>
    </cfRule>
  </conditionalFormatting>
  <conditionalFormatting sqref="P168:Q169 P171:Q171 P173:Q173 P175:Q175 P177:Q179 P183:Q183 P185:Q214 U204:V204">
    <cfRule type="containsText" dxfId="2" priority="36008" operator="containsText" text="Yes">
      <formula>NOT(ISERROR(SEARCH(("Yes"),(P168))))</formula>
    </cfRule>
  </conditionalFormatting>
  <conditionalFormatting sqref="P168:Q169 P171:Q171 P173:Q173 P175:Q175 P177:Q179 P183:Q183 P185:Q214 U204:V204">
    <cfRule type="containsText" dxfId="2" priority="36009" operator="containsText" text="Yes">
      <formula>NOT(ISERROR(SEARCH(("Yes"),(P168))))</formula>
    </cfRule>
  </conditionalFormatting>
  <conditionalFormatting sqref="P168:Q169 P171:Q171 P173:Q173 P175:Q175 P177:Q179 P183:Q183 P185:Q214 U204:V204">
    <cfRule type="containsText" dxfId="2" priority="36010" operator="containsText" text="Yes">
      <formula>NOT(ISERROR(SEARCH(("Yes"),(P168))))</formula>
    </cfRule>
  </conditionalFormatting>
  <conditionalFormatting sqref="P168:Q169 P171:Q171 P173:Q173 P175:Q175 P177:Q179 P183:Q183 P185:Q214 U204:V204">
    <cfRule type="containsText" dxfId="2" priority="36011" operator="containsText" text="Yes">
      <formula>NOT(ISERROR(SEARCH(("Yes"),(P168))))</formula>
    </cfRule>
  </conditionalFormatting>
  <conditionalFormatting sqref="P168:Q169 P171:Q171 P173:Q173 P175:Q175 P177:Q179 P183:Q183 P185:Q214 U204:V204">
    <cfRule type="containsText" dxfId="2" priority="36012" operator="containsText" text="Yes">
      <formula>NOT(ISERROR(SEARCH(("Yes"),(P168))))</formula>
    </cfRule>
  </conditionalFormatting>
  <conditionalFormatting sqref="P168:Q169 P171:Q171 P173:Q173 P175:Q175 P177:Q179 P183:Q183 P185:Q214 U204:V204">
    <cfRule type="containsText" dxfId="2" priority="36013" operator="containsText" text="Yes">
      <formula>NOT(ISERROR(SEARCH(("Yes"),(P168))))</formula>
    </cfRule>
  </conditionalFormatting>
  <conditionalFormatting sqref="P168:Q169 P171:Q171 P173:Q173 P175:Q175 P177:Q179 P183:Q183 P185:Q214 U204:V204">
    <cfRule type="containsText" dxfId="2" priority="36014" operator="containsText" text="Yes">
      <formula>NOT(ISERROR(SEARCH(("Yes"),(P168))))</formula>
    </cfRule>
  </conditionalFormatting>
  <conditionalFormatting sqref="P168:Q169 P171:Q171 P173:Q173 P175:Q175 P177:Q179 P183:Q183 P185:Q214 U204:V204">
    <cfRule type="containsText" dxfId="2" priority="36015" operator="containsText" text="Yes">
      <formula>NOT(ISERROR(SEARCH(("Yes"),(P168))))</formula>
    </cfRule>
  </conditionalFormatting>
  <conditionalFormatting sqref="P168:Q169 P171:Q171 P173:Q173 P175:Q175 P177:Q179 P183:Q183 P185:Q214 U204:V204">
    <cfRule type="containsText" dxfId="2" priority="36016" operator="containsText" text="Yes">
      <formula>NOT(ISERROR(SEARCH(("Yes"),(P168))))</formula>
    </cfRule>
  </conditionalFormatting>
  <conditionalFormatting sqref="P168:Q169 P171:Q171 P173:Q173 P175:Q175 P177:Q179 P183:Q183 P185:Q214 U204:V204">
    <cfRule type="containsText" dxfId="2" priority="36017" operator="containsText" text="Yes">
      <formula>NOT(ISERROR(SEARCH(("Yes"),(P168))))</formula>
    </cfRule>
  </conditionalFormatting>
  <conditionalFormatting sqref="P168:Q169 P171:Q171 P173:Q173 P175:Q175 P177:Q179 P183:Q183 P185:Q214 U204:V204">
    <cfRule type="containsText" dxfId="2" priority="36018" operator="containsText" text="Yes">
      <formula>NOT(ISERROR(SEARCH(("Yes"),(P168))))</formula>
    </cfRule>
  </conditionalFormatting>
  <conditionalFormatting sqref="P168:Q169 P171:Q171 P173:Q173 P175:Q175 P177:Q179 P183:Q183 P185:Q214 U204:V204">
    <cfRule type="containsText" dxfId="2" priority="36019" operator="containsText" text="Yes">
      <formula>NOT(ISERROR(SEARCH(("Yes"),(P168))))</formula>
    </cfRule>
  </conditionalFormatting>
  <conditionalFormatting sqref="P168:Q169 P171:Q171 P173:Q173 P175:Q175 P177:Q179 P183:Q183 P185:Q214 U204:V204">
    <cfRule type="containsText" dxfId="2" priority="36020" operator="containsText" text="Yes">
      <formula>NOT(ISERROR(SEARCH(("Yes"),(P168))))</formula>
    </cfRule>
  </conditionalFormatting>
  <conditionalFormatting sqref="P168:Q169 P171:Q171 P173:Q173 P175:Q175 P177:Q179 P183:Q183 P185:Q214 U204:V204">
    <cfRule type="containsText" dxfId="2" priority="36021" operator="containsText" text="Yes">
      <formula>NOT(ISERROR(SEARCH(("Yes"),(P168))))</formula>
    </cfRule>
  </conditionalFormatting>
  <conditionalFormatting sqref="P168:Q169 P171:Q171 P173:Q173 P175:Q175 P177:Q179 P183:Q183 P185:Q214 U204:V204">
    <cfRule type="containsText" dxfId="2" priority="36022" operator="containsText" text="Yes">
      <formula>NOT(ISERROR(SEARCH(("Yes"),(P168))))</formula>
    </cfRule>
  </conditionalFormatting>
  <conditionalFormatting sqref="P168:Q169 P171:Q171 P173:Q173 P175:Q175 P177:Q179 P183:Q183 P185:Q214 U204:V204">
    <cfRule type="containsText" dxfId="2" priority="36023" operator="containsText" text="Yes">
      <formula>NOT(ISERROR(SEARCH(("Yes"),(P168))))</formula>
    </cfRule>
  </conditionalFormatting>
  <conditionalFormatting sqref="P168:Q169 P171:Q171 P173:Q173 P175:Q175 P177:Q179 P183:Q183 P185:Q214 U204:V204">
    <cfRule type="containsText" dxfId="2" priority="36024" operator="containsText" text="Yes">
      <formula>NOT(ISERROR(SEARCH(("Yes"),(P168))))</formula>
    </cfRule>
  </conditionalFormatting>
  <conditionalFormatting sqref="P168:Q169 P171:Q171 P173:Q173 P175:Q175 P177:Q179 P183:Q183 P185:Q214 U204:V204">
    <cfRule type="containsText" dxfId="2" priority="36025" operator="containsText" text="Yes">
      <formula>NOT(ISERROR(SEARCH(("Yes"),(P168))))</formula>
    </cfRule>
  </conditionalFormatting>
  <conditionalFormatting sqref="P168:Q169 P171:Q171 P173:Q173 P175:Q175 P177:Q179 P183:Q183 P185:Q214 U204:V204">
    <cfRule type="containsText" dxfId="2" priority="36026" operator="containsText" text="Yes">
      <formula>NOT(ISERROR(SEARCH(("Yes"),(P168))))</formula>
    </cfRule>
  </conditionalFormatting>
  <conditionalFormatting sqref="P168:Q169 P171:Q171 P173:Q173 P175:Q175 P177:Q179 P183:Q183 P185:Q214 U204:V204">
    <cfRule type="containsText" dxfId="2" priority="36027" operator="containsText" text="Yes">
      <formula>NOT(ISERROR(SEARCH(("Yes"),(P168))))</formula>
    </cfRule>
  </conditionalFormatting>
  <conditionalFormatting sqref="P169:Q169 P171:Q171 P173:Q173 P175:Q175 P177:Q179 P183:Q183 P185:Q214 U204:V204">
    <cfRule type="containsText" dxfId="9" priority="36028" operator="containsText" text="No">
      <formula>NOT(ISERROR(SEARCH(("No"),(P169))))</formula>
    </cfRule>
  </conditionalFormatting>
  <conditionalFormatting sqref="P169:Q169 P171:Q171 P173:Q173 P175:Q175 P177:Q179 P183:Q183 P185:Q214 U204:V204">
    <cfRule type="containsText" dxfId="9" priority="36029" operator="containsText" text="No">
      <formula>NOT(ISERROR(SEARCH(("No"),(P169))))</formula>
    </cfRule>
  </conditionalFormatting>
  <conditionalFormatting sqref="P169:Q169 P171:Q171 P173:Q173 P175:Q175 P177:Q179 P183:Q183 P185:Q214 U204:V204">
    <cfRule type="containsText" dxfId="9" priority="36030" operator="containsText" text="No">
      <formula>NOT(ISERROR(SEARCH(("No"),(P169))))</formula>
    </cfRule>
  </conditionalFormatting>
  <conditionalFormatting sqref="P169:Q169 P171:Q171 P173:Q173 P175:Q175 P177:Q179 P183:Q183 P185:Q214 U204:V204">
    <cfRule type="containsText" dxfId="9" priority="36031" operator="containsText" text="No">
      <formula>NOT(ISERROR(SEARCH(("No"),(P169))))</formula>
    </cfRule>
  </conditionalFormatting>
  <conditionalFormatting sqref="P169:Q169 P171:Q171 P173:Q173 P175:Q175 P177:Q179 P183:Q183 P185:Q214 U204:V204">
    <cfRule type="containsText" dxfId="9" priority="36032" operator="containsText" text="No">
      <formula>NOT(ISERROR(SEARCH(("No"),(P169))))</formula>
    </cfRule>
  </conditionalFormatting>
  <conditionalFormatting sqref="P169:Q169 P171:Q171 P173:Q173 P175:Q175 P177:Q179 P183:Q183 P185:Q214 U204:V204">
    <cfRule type="containsText" dxfId="9" priority="36033" operator="containsText" text="No">
      <formula>NOT(ISERROR(SEARCH(("No"),(P169))))</formula>
    </cfRule>
  </conditionalFormatting>
  <conditionalFormatting sqref="P169:Q169 P171:Q171 P173:Q173 P175:Q175 P177:Q179 P183:Q183 P185:Q214 U204:V204">
    <cfRule type="containsText" dxfId="9" priority="36034" operator="containsText" text="No">
      <formula>NOT(ISERROR(SEARCH(("No"),(P169))))</formula>
    </cfRule>
  </conditionalFormatting>
  <conditionalFormatting sqref="P169:Q169 P171:Q171 P173:Q173 P175:Q175 P177:Q179 P183:Q183 P185:Q214 U204:V204">
    <cfRule type="containsText" dxfId="9" priority="36035" operator="containsText" text="No">
      <formula>NOT(ISERROR(SEARCH(("No"),(P169))))</formula>
    </cfRule>
  </conditionalFormatting>
  <conditionalFormatting sqref="P169:Q169 P171:Q171 P173:Q173 P175:Q175 P177:Q179 P183:Q183 P185:Q214 U204:V204">
    <cfRule type="containsText" dxfId="9" priority="36036" operator="containsText" text="No">
      <formula>NOT(ISERROR(SEARCH(("No"),(P169))))</formula>
    </cfRule>
  </conditionalFormatting>
  <conditionalFormatting sqref="P169:Q169 P171:Q171 P173:Q173 P175:Q175 P177:Q179 P183:Q183 P185:Q214 U204:V204">
    <cfRule type="containsText" dxfId="9" priority="36037" operator="containsText" text="No">
      <formula>NOT(ISERROR(SEARCH(("No"),(P169))))</formula>
    </cfRule>
  </conditionalFormatting>
  <conditionalFormatting sqref="P169:Q169 P171:Q171 P173:Q173 P175:Q175 P177:Q179 P183:Q183 P185:Q214 U204:V204">
    <cfRule type="containsText" dxfId="9" priority="36038" operator="containsText" text="No">
      <formula>NOT(ISERROR(SEARCH(("No"),(P169))))</formula>
    </cfRule>
  </conditionalFormatting>
  <conditionalFormatting sqref="P169:Q169 P171:Q171 P173:Q173 P175:Q175 P177:Q179 P183:Q183 P185:Q214 U204:V204">
    <cfRule type="containsText" dxfId="9" priority="36039" operator="containsText" text="No">
      <formula>NOT(ISERROR(SEARCH(("No"),(P169))))</formula>
    </cfRule>
  </conditionalFormatting>
  <conditionalFormatting sqref="P169:Q169 P171:Q171 P173:Q173 P175:Q175 P177:Q179 P183:Q183 P185:Q214 U204:V204">
    <cfRule type="containsText" dxfId="9" priority="36040" operator="containsText" text="No">
      <formula>NOT(ISERROR(SEARCH(("No"),(P169))))</formula>
    </cfRule>
  </conditionalFormatting>
  <conditionalFormatting sqref="P169:Q169 P171:Q171 P173:Q173 P175:Q175 P177:Q179 P183:Q183 P185:Q214 U204:V204">
    <cfRule type="containsText" dxfId="9" priority="36041" operator="containsText" text="No">
      <formula>NOT(ISERROR(SEARCH(("No"),(P169))))</formula>
    </cfRule>
  </conditionalFormatting>
  <conditionalFormatting sqref="P169:Q169 P171:Q171 P173:Q173 P175:Q175 P177:Q179 P183:Q183 P185:Q214 U204:V204">
    <cfRule type="containsText" dxfId="9" priority="36042" operator="containsText" text="No">
      <formula>NOT(ISERROR(SEARCH(("No"),(P169))))</formula>
    </cfRule>
  </conditionalFormatting>
  <conditionalFormatting sqref="P169:Q169 P171:Q171 P173:Q173 P175:Q175 P177:Q179 P183:Q183 P185:Q214 U204:V204">
    <cfRule type="containsText" dxfId="9" priority="36043" operator="containsText" text="No">
      <formula>NOT(ISERROR(SEARCH(("No"),(P169))))</formula>
    </cfRule>
  </conditionalFormatting>
  <conditionalFormatting sqref="P169:Q169 P171:Q171 P173:Q173 P175:Q175 P177:Q179 P183:Q183 P185:Q214 U204:V204">
    <cfRule type="containsText" dxfId="9" priority="36044" operator="containsText" text="No">
      <formula>NOT(ISERROR(SEARCH(("No"),(P169))))</formula>
    </cfRule>
  </conditionalFormatting>
  <conditionalFormatting sqref="P169:Q169 P171:Q171 P173:Q173 P175:Q175 P177:Q179 P183:Q183 P185:Q214 U204:V204">
    <cfRule type="containsText" dxfId="9" priority="36045" operator="containsText" text="No">
      <formula>NOT(ISERROR(SEARCH(("No"),(P169))))</formula>
    </cfRule>
  </conditionalFormatting>
  <conditionalFormatting sqref="P169:Q169 P171:Q171 P173:Q173 P175:Q175 P177:Q179 P183:Q183 P185:Q214 U204:V204">
    <cfRule type="containsText" dxfId="9" priority="36046" operator="containsText" text="No">
      <formula>NOT(ISERROR(SEARCH(("No"),(P169))))</formula>
    </cfRule>
  </conditionalFormatting>
  <conditionalFormatting sqref="P169:Q169 P171:Q171 P173:Q173 P175:Q175 P177:Q179 P183:Q183 P185:Q214 U204:V204">
    <cfRule type="containsText" dxfId="9" priority="36047" operator="containsText" text="No">
      <formula>NOT(ISERROR(SEARCH(("No"),(P169))))</formula>
    </cfRule>
  </conditionalFormatting>
  <conditionalFormatting sqref="P169:Q169 P171:Q171 P173:Q173 P175:Q175 P177:Q179 P183:Q183 P185:Q214 U204:V204">
    <cfRule type="containsText" dxfId="9" priority="36048" operator="containsText" text="No">
      <formula>NOT(ISERROR(SEARCH(("No"),(P169))))</formula>
    </cfRule>
  </conditionalFormatting>
  <conditionalFormatting sqref="P169:Q169 P171:Q171 P173:Q173 P175:Q175 P177:Q179 P183:Q183 P185:Q214 U204:V204">
    <cfRule type="containsText" dxfId="9" priority="36049" operator="containsText" text="No">
      <formula>NOT(ISERROR(SEARCH(("No"),(P169))))</formula>
    </cfRule>
  </conditionalFormatting>
  <conditionalFormatting sqref="P169:Q169 P171:Q171 P173:Q173 P175:Q175 P177:Q179 P183:Q183 P185:Q214 U204:V204">
    <cfRule type="containsText" dxfId="9" priority="36050" operator="containsText" text="No">
      <formula>NOT(ISERROR(SEARCH(("No"),(P169))))</formula>
    </cfRule>
  </conditionalFormatting>
  <conditionalFormatting sqref="P169:Q169 P171:Q171 P173:Q173 P175:Q175 P177:Q179 P183:Q183 P185:Q214 U204:V204">
    <cfRule type="containsText" dxfId="9" priority="36051" operator="containsText" text="No">
      <formula>NOT(ISERROR(SEARCH(("No"),(P169))))</formula>
    </cfRule>
  </conditionalFormatting>
  <conditionalFormatting sqref="P169:Q169 P171:Q171 P173:Q173 P175:Q175 P177:Q179 P183:Q183 P185:Q214 U204:V204">
    <cfRule type="containsText" dxfId="9" priority="36052" operator="containsText" text="No">
      <formula>NOT(ISERROR(SEARCH(("No"),(P169))))</formula>
    </cfRule>
  </conditionalFormatting>
  <conditionalFormatting sqref="P169:Q169 P171:Q171 P173:Q173 P175:Q175 P177:Q179 P183:Q183 P185:Q214 U204:V204">
    <cfRule type="containsText" dxfId="9" priority="36053" operator="containsText" text="No">
      <formula>NOT(ISERROR(SEARCH(("No"),(P169))))</formula>
    </cfRule>
  </conditionalFormatting>
  <conditionalFormatting sqref="P169:Q169 P171:Q171 P173:Q173 P175:Q175 P177:Q179 P183:Q183 P185:Q214 U204:V204">
    <cfRule type="containsText" dxfId="9" priority="36054" operator="containsText" text="No">
      <formula>NOT(ISERROR(SEARCH(("No"),(P169))))</formula>
    </cfRule>
  </conditionalFormatting>
  <conditionalFormatting sqref="P169:Q169 P171:Q171 P173:Q173 P175:Q175 P177:Q179 P183:Q183 P185:Q214 U204:V204">
    <cfRule type="containsText" dxfId="9" priority="36055" operator="containsText" text="No">
      <formula>NOT(ISERROR(SEARCH(("No"),(P169))))</formula>
    </cfRule>
  </conditionalFormatting>
  <conditionalFormatting sqref="P169:Q169 P171:Q171 P173:Q173 P175:Q175 P177:Q179 P183:Q183 P185:Q214 U204:V204">
    <cfRule type="containsText" dxfId="9" priority="36056" operator="containsText" text="No">
      <formula>NOT(ISERROR(SEARCH(("No"),(P169))))</formula>
    </cfRule>
  </conditionalFormatting>
  <conditionalFormatting sqref="P169:Q169 P171:Q171 P173:Q173 P175:Q175 P177:Q179 P183:Q183 P185:Q214 U204:V204">
    <cfRule type="containsText" dxfId="9" priority="36057" operator="containsText" text="No">
      <formula>NOT(ISERROR(SEARCH(("No"),(P169))))</formula>
    </cfRule>
  </conditionalFormatting>
  <conditionalFormatting sqref="P169:Q169 P171:Q171 P173:Q173 P175:Q175 P177:Q179 P183:Q183 P185:Q214 U204:V204">
    <cfRule type="containsText" dxfId="9" priority="36058" operator="containsText" text="No">
      <formula>NOT(ISERROR(SEARCH(("No"),(P169))))</formula>
    </cfRule>
  </conditionalFormatting>
  <conditionalFormatting sqref="P169:Q169 P171:Q171 P173:Q173 P175:Q175 P177:Q179 P183:Q183 P185:Q214 U204:V204">
    <cfRule type="containsText" dxfId="9" priority="36059" operator="containsText" text="No">
      <formula>NOT(ISERROR(SEARCH(("No"),(P169))))</formula>
    </cfRule>
  </conditionalFormatting>
  <conditionalFormatting sqref="P169:Q169 P171:Q171 P173:Q173 P175:Q175 P177:Q179 P183:Q183 P185:Q214 U204:V204">
    <cfRule type="containsText" dxfId="9" priority="36060" operator="containsText" text="No">
      <formula>NOT(ISERROR(SEARCH(("No"),(P169))))</formula>
    </cfRule>
  </conditionalFormatting>
  <conditionalFormatting sqref="P169:Q169 P171:Q171 P173:Q173 P175:Q175 P177:Q179 P183:Q183 P185:Q214 U204:V204">
    <cfRule type="containsText" dxfId="9" priority="36061" operator="containsText" text="No">
      <formula>NOT(ISERROR(SEARCH(("No"),(P169))))</formula>
    </cfRule>
  </conditionalFormatting>
  <conditionalFormatting sqref="P169:Q169 P171:Q171 P173:Q173 P175:Q175 P177:Q179 P183:Q183 P185:Q214 U204:V204">
    <cfRule type="containsText" dxfId="9" priority="36062" operator="containsText" text="No">
      <formula>NOT(ISERROR(SEARCH(("No"),(P169))))</formula>
    </cfRule>
  </conditionalFormatting>
  <conditionalFormatting sqref="P169:Q169 P171:Q171 P173:Q173 P175:Q175 P177:Q179 P183:Q183 P185:Q214 U204:V204">
    <cfRule type="containsText" dxfId="9" priority="36063" operator="containsText" text="No">
      <formula>NOT(ISERROR(SEARCH(("No"),(P169))))</formula>
    </cfRule>
  </conditionalFormatting>
  <conditionalFormatting sqref="P169:Q169 P171:Q171 P173:Q173 P175:Q175 P177:Q179 P183:Q183 P185:Q214 U204:V204">
    <cfRule type="containsText" dxfId="9" priority="36064" operator="containsText" text="No">
      <formula>NOT(ISERROR(SEARCH(("No"),(P169))))</formula>
    </cfRule>
  </conditionalFormatting>
  <conditionalFormatting sqref="P169:Q169 P171:Q171 P173:Q173 P175:Q175 P177:Q179 P183:Q183 P185:Q214 U204:V204">
    <cfRule type="containsText" dxfId="9" priority="36065" operator="containsText" text="No">
      <formula>NOT(ISERROR(SEARCH(("No"),(P169))))</formula>
    </cfRule>
  </conditionalFormatting>
  <conditionalFormatting sqref="P169:Q169 P171:Q171 P173:Q173 P175:Q175 P177:Q179 P183:Q183 P185:Q214 U204:V204">
    <cfRule type="containsText" dxfId="9" priority="36066" operator="containsText" text="No">
      <formula>NOT(ISERROR(SEARCH(("No"),(P169))))</formula>
    </cfRule>
  </conditionalFormatting>
  <conditionalFormatting sqref="P169:Q169 P171:Q171 P173:Q173 P175:Q175 P177:Q179 P183:Q183 P185:Q214 U204:V204">
    <cfRule type="containsText" dxfId="9" priority="36067" operator="containsText" text="No">
      <formula>NOT(ISERROR(SEARCH(("No"),(P169))))</formula>
    </cfRule>
  </conditionalFormatting>
  <conditionalFormatting sqref="P169:Q169 P171:Q171 P173:Q173 P175:Q175 P177:Q179 P183:Q183 P185:Q214 U204:V204">
    <cfRule type="containsText" dxfId="9" priority="36068" operator="containsText" text="No">
      <formula>NOT(ISERROR(SEARCH(("No"),(P169))))</formula>
    </cfRule>
  </conditionalFormatting>
  <conditionalFormatting sqref="P169:Q169 P171:Q171 P173:Q173 P175:Q175 P177:Q179 P183:Q183 P185:Q214 U204:V204">
    <cfRule type="containsText" dxfId="9" priority="36069" operator="containsText" text="No">
      <formula>NOT(ISERROR(SEARCH(("No"),(P169))))</formula>
    </cfRule>
  </conditionalFormatting>
  <conditionalFormatting sqref="P169:Q169 P171:Q171 P173:Q173 P175:Q175 P177:Q179 P183:Q183 P185:Q214 U204:V204">
    <cfRule type="containsText" dxfId="9" priority="36070" operator="containsText" text="No">
      <formula>NOT(ISERROR(SEARCH(("No"),(P169))))</formula>
    </cfRule>
  </conditionalFormatting>
  <conditionalFormatting sqref="P169:Q169 P171:Q171 P173:Q173 P175:Q175 P177:Q179 P183:Q183 P185:Q214 U204:V204">
    <cfRule type="containsText" dxfId="9" priority="36071" operator="containsText" text="No">
      <formula>NOT(ISERROR(SEARCH(("No"),(P169))))</formula>
    </cfRule>
  </conditionalFormatting>
  <conditionalFormatting sqref="P169:Q169 P171:Q171 P173:Q173 P175:Q175 P177:Q179 P183:Q183 P185:Q214 U204:V204">
    <cfRule type="containsText" dxfId="9" priority="36072" operator="containsText" text="No">
      <formula>NOT(ISERROR(SEARCH(("No"),(P169))))</formula>
    </cfRule>
  </conditionalFormatting>
  <conditionalFormatting sqref="P169:Q169 P171:Q171 P173:Q173 P175:Q175 P177:Q179 P183:Q183 P185:Q214 U204:V204">
    <cfRule type="containsText" dxfId="2" priority="36073" operator="containsText" text="Yes">
      <formula>NOT(ISERROR(SEARCH(("Yes"),(P169))))</formula>
    </cfRule>
  </conditionalFormatting>
  <conditionalFormatting sqref="P169:Q169 P171:Q171 P173:Q173 P175:Q175 P177:Q179 P183:Q183 P185:Q214 U204:V204">
    <cfRule type="containsText" dxfId="2" priority="36074" operator="containsText" text="Yes">
      <formula>NOT(ISERROR(SEARCH(("Yes"),(P169))))</formula>
    </cfRule>
  </conditionalFormatting>
  <conditionalFormatting sqref="P169:Q169 P171:Q171 P173:Q173 P175:Q175 P177:Q179 P183:Q183 P185:Q214 U204:V204">
    <cfRule type="containsText" dxfId="2" priority="36075" operator="containsText" text="Yes">
      <formula>NOT(ISERROR(SEARCH(("Yes"),(P169))))</formula>
    </cfRule>
  </conditionalFormatting>
  <conditionalFormatting sqref="P169:Q169 P171:Q171 P173:Q173 P175:Q175 P177:Q179 P183:Q183 P185:Q214 U204:V204">
    <cfRule type="containsText" dxfId="2" priority="36076" operator="containsText" text="Yes">
      <formula>NOT(ISERROR(SEARCH(("Yes"),(P169))))</formula>
    </cfRule>
  </conditionalFormatting>
  <conditionalFormatting sqref="P169:Q169 P171:Q171 P173:Q173 P175:Q175 P177:Q179 P183:Q183 P185:Q214 U204:V204">
    <cfRule type="containsText" dxfId="2" priority="36077" operator="containsText" text="Yes">
      <formula>NOT(ISERROR(SEARCH(("Yes"),(P169))))</formula>
    </cfRule>
  </conditionalFormatting>
  <conditionalFormatting sqref="P169:Q169 P171:Q171 P173:Q173 P175:Q175 P177:Q179 P183:Q183 P185:Q214 U204:V204">
    <cfRule type="containsText" dxfId="2" priority="36078" operator="containsText" text="Yes">
      <formula>NOT(ISERROR(SEARCH(("Yes"),(P169))))</formula>
    </cfRule>
  </conditionalFormatting>
  <conditionalFormatting sqref="P169:Q169 P171:Q171 P173:Q173 P175:Q175 P177:Q179 P183:Q183 P185:Q214 U204:V204">
    <cfRule type="containsText" dxfId="2" priority="36079" operator="containsText" text="Yes">
      <formula>NOT(ISERROR(SEARCH(("Yes"),(P169))))</formula>
    </cfRule>
  </conditionalFormatting>
  <conditionalFormatting sqref="P169:Q169 P171:Q171 P173:Q173 P175:Q175 P177:Q179 P183:Q183 P185:Q214 U204:V204">
    <cfRule type="containsText" dxfId="2" priority="36080" operator="containsText" text="Yes">
      <formula>NOT(ISERROR(SEARCH(("Yes"),(P169))))</formula>
    </cfRule>
  </conditionalFormatting>
  <conditionalFormatting sqref="P169:Q169 P171:Q171 P173:Q173 P175:Q175 P177:Q179 P183:Q183 P185:Q214 U204:V204">
    <cfRule type="containsText" dxfId="2" priority="36081" operator="containsText" text="Yes">
      <formula>NOT(ISERROR(SEARCH(("Yes"),(P169))))</formula>
    </cfRule>
  </conditionalFormatting>
  <conditionalFormatting sqref="P169:Q169 P171:Q171 P173:Q173 P175:Q175 P177:Q179 P183:Q183 P185:Q214 U204:V204">
    <cfRule type="containsText" dxfId="2" priority="36082" operator="containsText" text="Yes">
      <formula>NOT(ISERROR(SEARCH(("Yes"),(P169))))</formula>
    </cfRule>
  </conditionalFormatting>
  <conditionalFormatting sqref="P169:Q169 P171:Q171 P173:Q173 P175:Q175 P177:Q179 P183:Q183 P185:Q214 U204:V204">
    <cfRule type="containsText" dxfId="2" priority="36083" operator="containsText" text="Yes">
      <formula>NOT(ISERROR(SEARCH(("Yes"),(P169))))</formula>
    </cfRule>
  </conditionalFormatting>
  <conditionalFormatting sqref="P169:Q169 P171:Q171 P173:Q173 P175:Q175 P177:Q179 P183:Q183 P185:Q214 U204:V204">
    <cfRule type="containsText" dxfId="2" priority="36084" operator="containsText" text="Yes">
      <formula>NOT(ISERROR(SEARCH(("Yes"),(P169))))</formula>
    </cfRule>
  </conditionalFormatting>
  <conditionalFormatting sqref="P169:Q169 P171:Q171 P173:Q173 P175:Q175 P177:Q179 P183:Q183 P185:Q214 U204:V204">
    <cfRule type="containsText" dxfId="2" priority="36085" operator="containsText" text="Yes">
      <formula>NOT(ISERROR(SEARCH(("Yes"),(P169))))</formula>
    </cfRule>
  </conditionalFormatting>
  <conditionalFormatting sqref="P169:Q169 P171:Q171 P173:Q173 P175:Q175 P177:Q179 P183:Q183 P185:Q214 U204:V204">
    <cfRule type="containsText" dxfId="2" priority="36086" operator="containsText" text="Yes">
      <formula>NOT(ISERROR(SEARCH(("Yes"),(P169))))</formula>
    </cfRule>
  </conditionalFormatting>
  <conditionalFormatting sqref="P169:Q169 P171:Q171 P173:Q173 P175:Q175 P177:Q179 P183:Q183 P185:Q214 U204:V204">
    <cfRule type="containsText" dxfId="2" priority="36087" operator="containsText" text="Yes">
      <formula>NOT(ISERROR(SEARCH(("Yes"),(P169))))</formula>
    </cfRule>
  </conditionalFormatting>
  <conditionalFormatting sqref="P169:Q169 P171:Q171 P173:Q173 P175:Q175 P177:Q179 P183:Q183 P185:Q214 U204:V204">
    <cfRule type="containsText" dxfId="2" priority="36088" operator="containsText" text="Yes">
      <formula>NOT(ISERROR(SEARCH(("Yes"),(P169))))</formula>
    </cfRule>
  </conditionalFormatting>
  <conditionalFormatting sqref="P169:Q169 P171:Q171 P173:Q173 P175:Q175 P177:Q179 P183:Q183 P185:Q214 U204:V204">
    <cfRule type="containsText" dxfId="2" priority="36089" operator="containsText" text="Yes">
      <formula>NOT(ISERROR(SEARCH(("Yes"),(P169))))</formula>
    </cfRule>
  </conditionalFormatting>
  <conditionalFormatting sqref="P169:Q169 P171:Q171 P173:Q173 P175:Q175 P177:Q179 P183:Q183 P185:Q214 U204:V204">
    <cfRule type="containsText" dxfId="2" priority="36090" operator="containsText" text="Yes">
      <formula>NOT(ISERROR(SEARCH(("Yes"),(P169))))</formula>
    </cfRule>
  </conditionalFormatting>
  <conditionalFormatting sqref="P169:Q169 P171:Q171 P173:Q173 P175:Q175 P177:Q179 P183:Q183 P185:Q214 U204:V204">
    <cfRule type="containsText" dxfId="2" priority="36091" operator="containsText" text="Yes">
      <formula>NOT(ISERROR(SEARCH(("Yes"),(P169))))</formula>
    </cfRule>
  </conditionalFormatting>
  <conditionalFormatting sqref="P169:Q169 P171:Q171 P173:Q173 P175:Q175 P177:Q179 P183:Q183 P185:Q214 U204:V204">
    <cfRule type="containsText" dxfId="2" priority="36092" operator="containsText" text="Yes">
      <formula>NOT(ISERROR(SEARCH(("Yes"),(P169))))</formula>
    </cfRule>
  </conditionalFormatting>
  <conditionalFormatting sqref="P169:Q169 P171:Q171 P173:Q173 P175:Q175 P177:Q179 P183:Q183 P185:Q214 U204:V204">
    <cfRule type="containsText" dxfId="2" priority="36093" operator="containsText" text="Yes">
      <formula>NOT(ISERROR(SEARCH(("Yes"),(P169))))</formula>
    </cfRule>
  </conditionalFormatting>
  <conditionalFormatting sqref="P169:Q169 P171:Q171 P173:Q173 P175:Q175 P177:Q179 P183:Q183 P185:Q214 U204:V204">
    <cfRule type="containsText" dxfId="2" priority="36094" operator="containsText" text="Yes">
      <formula>NOT(ISERROR(SEARCH(("Yes"),(P169))))</formula>
    </cfRule>
  </conditionalFormatting>
  <conditionalFormatting sqref="P169:Q169 P171:Q171 P173:Q173 P175:Q175 P177:Q179 P183:Q183 P185:Q214 U204:V204">
    <cfRule type="containsText" dxfId="2" priority="36095" operator="containsText" text="Yes">
      <formula>NOT(ISERROR(SEARCH(("Yes"),(P169))))</formula>
    </cfRule>
  </conditionalFormatting>
  <conditionalFormatting sqref="P169:Q169 P171:Q171 P173:Q173 P175:Q175 P177:Q179 P183:Q183 P185:Q214 U204:V204">
    <cfRule type="containsText" dxfId="2" priority="36096" operator="containsText" text="Yes">
      <formula>NOT(ISERROR(SEARCH(("Yes"),(P169))))</formula>
    </cfRule>
  </conditionalFormatting>
  <conditionalFormatting sqref="P169:Q169 P171:Q171 P173:Q173 P175:Q175 P177:Q179 P183:Q183 P185:Q214 U204:V204">
    <cfRule type="containsText" dxfId="2" priority="36097" operator="containsText" text="Yes">
      <formula>NOT(ISERROR(SEARCH(("Yes"),(P169))))</formula>
    </cfRule>
  </conditionalFormatting>
  <conditionalFormatting sqref="P169:Q169 P171:Q171 P173:Q173 P175:Q175 P177:Q179 P183:Q183 P185:Q214 U204:V204">
    <cfRule type="containsText" dxfId="2" priority="36098" operator="containsText" text="Yes">
      <formula>NOT(ISERROR(SEARCH(("Yes"),(P169))))</formula>
    </cfRule>
  </conditionalFormatting>
  <conditionalFormatting sqref="P169:Q169 P171:Q171 P173:Q173 P175:Q175 P177:Q179 P183:Q183 P185:Q214 U204:V204">
    <cfRule type="containsText" dxfId="2" priority="36099" operator="containsText" text="Yes">
      <formula>NOT(ISERROR(SEARCH(("Yes"),(P169))))</formula>
    </cfRule>
  </conditionalFormatting>
  <conditionalFormatting sqref="P169:Q169 P171:Q171 P173:Q173 P175:Q175 P177:Q179 P183:Q183 P185:Q214 U204:V204">
    <cfRule type="containsText" dxfId="2" priority="36100" operator="containsText" text="Yes">
      <formula>NOT(ISERROR(SEARCH(("Yes"),(P169))))</formula>
    </cfRule>
  </conditionalFormatting>
  <conditionalFormatting sqref="P169:Q169 P171:Q171 P173:Q173 P175:Q175 P177:Q179 P183:Q183 P185:Q214 U204:V204">
    <cfRule type="containsText" dxfId="2" priority="36101" operator="containsText" text="Yes">
      <formula>NOT(ISERROR(SEARCH(("Yes"),(P169))))</formula>
    </cfRule>
  </conditionalFormatting>
  <conditionalFormatting sqref="P169:Q169 P171:Q171 P173:Q173 P175:Q175 P177:Q179 P183:Q183 P185:Q214 U204:V204">
    <cfRule type="containsText" dxfId="2" priority="36102" operator="containsText" text="Yes">
      <formula>NOT(ISERROR(SEARCH(("Yes"),(P169))))</formula>
    </cfRule>
  </conditionalFormatting>
  <conditionalFormatting sqref="P169:Q169 P171:Q171 P173:Q173 P175:Q175 P177:Q179 P183:Q183 P185:Q214 U204:V204">
    <cfRule type="containsText" dxfId="2" priority="36103" operator="containsText" text="Yes">
      <formula>NOT(ISERROR(SEARCH(("Yes"),(P169))))</formula>
    </cfRule>
  </conditionalFormatting>
  <conditionalFormatting sqref="P169:Q169 P171:Q171 P173:Q173 P175:Q175 P177:Q179 P183:Q183 P185:Q214 U204:V204">
    <cfRule type="containsText" dxfId="2" priority="36104" operator="containsText" text="Yes">
      <formula>NOT(ISERROR(SEARCH(("Yes"),(P169))))</formula>
    </cfRule>
  </conditionalFormatting>
  <conditionalFormatting sqref="P169:Q169 P171:Q171 P173:Q173 P175:Q175 P177:Q179 P183:Q183 P185:Q214 U204:V204">
    <cfRule type="containsText" dxfId="2" priority="36105" operator="containsText" text="Yes">
      <formula>NOT(ISERROR(SEARCH(("Yes"),(P169))))</formula>
    </cfRule>
  </conditionalFormatting>
  <conditionalFormatting sqref="P169:Q169 P171:Q171 P173:Q173 P175:Q175 P177:Q179 P183:Q183 P185:Q214 U204:V204">
    <cfRule type="containsText" dxfId="2" priority="36106" operator="containsText" text="Yes">
      <formula>NOT(ISERROR(SEARCH(("Yes"),(P169))))</formula>
    </cfRule>
  </conditionalFormatting>
  <conditionalFormatting sqref="P169:Q169 P171:Q171 P173:Q173 P175:Q175 P177:Q179 P183:Q183 P185:Q214 U204:V204">
    <cfRule type="containsText" dxfId="2" priority="36107" operator="containsText" text="Yes">
      <formula>NOT(ISERROR(SEARCH(("Yes"),(P169))))</formula>
    </cfRule>
  </conditionalFormatting>
  <conditionalFormatting sqref="P169:Q169 P171:Q171 P173:Q173 P175:Q175 P177:Q179 P183:Q183 P185:Q214 U204:V204">
    <cfRule type="containsText" dxfId="2" priority="36108" operator="containsText" text="Yes">
      <formula>NOT(ISERROR(SEARCH(("Yes"),(P169))))</formula>
    </cfRule>
  </conditionalFormatting>
  <conditionalFormatting sqref="P169:Q169 P171:Q171 P173:Q173 P175:Q175 P177:Q179 P183:Q183 P185:Q214 U204:V204">
    <cfRule type="containsText" dxfId="2" priority="36109" operator="containsText" text="Yes">
      <formula>NOT(ISERROR(SEARCH(("Yes"),(P169))))</formula>
    </cfRule>
  </conditionalFormatting>
  <conditionalFormatting sqref="P169:Q169 P171:Q171 P173:Q173 P175:Q175 P177:Q179 P183:Q183 P185:Q214 U204:V204">
    <cfRule type="containsText" dxfId="2" priority="36110" operator="containsText" text="Yes">
      <formula>NOT(ISERROR(SEARCH(("Yes"),(P169))))</formula>
    </cfRule>
  </conditionalFormatting>
  <conditionalFormatting sqref="P169:Q169 P171:Q171 P173:Q173 P175:Q175 P177:Q179 P183:Q183 P185:Q214 U204:V204">
    <cfRule type="containsText" dxfId="2" priority="36111" operator="containsText" text="Yes">
      <formula>NOT(ISERROR(SEARCH(("Yes"),(P169))))</formula>
    </cfRule>
  </conditionalFormatting>
  <conditionalFormatting sqref="P169:Q169 P171:Q171 P173:Q173 P175:Q175 P177:Q179 P183:Q183 P185:Q214 U204:V204">
    <cfRule type="containsText" dxfId="2" priority="36112" operator="containsText" text="Yes">
      <formula>NOT(ISERROR(SEARCH(("Yes"),(P169))))</formula>
    </cfRule>
  </conditionalFormatting>
  <conditionalFormatting sqref="P169:Q169 P171:Q171 P173:Q173 P175:Q175 P177:Q179 P183:Q183 P185:Q214 U204:V204">
    <cfRule type="containsText" dxfId="2" priority="36113" operator="containsText" text="Yes">
      <formula>NOT(ISERROR(SEARCH(("Yes"),(P169))))</formula>
    </cfRule>
  </conditionalFormatting>
  <conditionalFormatting sqref="P169:Q169 P171:Q171 P173:Q173 P175:Q175 P177:Q179 P183:Q183 P185:Q214 U204:V204">
    <cfRule type="containsText" dxfId="2" priority="36114" operator="containsText" text="Yes">
      <formula>NOT(ISERROR(SEARCH(("Yes"),(P169))))</formula>
    </cfRule>
  </conditionalFormatting>
  <conditionalFormatting sqref="P169:Q169 P171:Q171 P173:Q173 P175:Q175 P177:Q179 P183:Q183 P185:Q214 U204:V204">
    <cfRule type="containsText" dxfId="2" priority="36115" operator="containsText" text="Yes">
      <formula>NOT(ISERROR(SEARCH(("Yes"),(P169))))</formula>
    </cfRule>
  </conditionalFormatting>
  <conditionalFormatting sqref="P169:Q169 P171:Q171 P173:Q173 P175:Q175 P177:Q179 P183:Q183 P185:Q214 U204:V204">
    <cfRule type="containsText" dxfId="2" priority="36116" operator="containsText" text="Yes">
      <formula>NOT(ISERROR(SEARCH(("Yes"),(P169))))</formula>
    </cfRule>
  </conditionalFormatting>
  <conditionalFormatting sqref="P169:Q169 P171:Q171 P173:Q173 P175:Q175 P177:Q179 P183:Q183 P185:Q214 U204:V204">
    <cfRule type="containsText" dxfId="2" priority="36117" operator="containsText" text="Yes">
      <formula>NOT(ISERROR(SEARCH(("Yes"),(P169))))</formula>
    </cfRule>
  </conditionalFormatting>
  <conditionalFormatting sqref="P169:Q169 P171:Q171 P173:Q173 P175:Q175 P177:Q179 P183:Q183 P185:Q214 U204:V204">
    <cfRule type="containsText" dxfId="2" priority="36118" operator="containsText" text="Yes">
      <formula>NOT(ISERROR(SEARCH(("Yes"),(P169))))</formula>
    </cfRule>
  </conditionalFormatting>
  <conditionalFormatting sqref="P169:Q169 P171:Q171 P173:Q173 P175:Q175 P177:Q179 P183:Q183 P185:Q214 U204:V204">
    <cfRule type="containsText" dxfId="2" priority="36119" operator="containsText" text="Yes">
      <formula>NOT(ISERROR(SEARCH(("Yes"),(P169))))</formula>
    </cfRule>
  </conditionalFormatting>
  <conditionalFormatting sqref="P170:Q170">
    <cfRule type="containsText" dxfId="9" priority="36120" operator="containsText" text="No">
      <formula>NOT(ISERROR(SEARCH(("No"),(P170))))</formula>
    </cfRule>
  </conditionalFormatting>
  <conditionalFormatting sqref="P170:Q170">
    <cfRule type="containsText" dxfId="9" priority="36121" operator="containsText" text="No">
      <formula>NOT(ISERROR(SEARCH(("No"),(P170))))</formula>
    </cfRule>
  </conditionalFormatting>
  <conditionalFormatting sqref="P170:Q170">
    <cfRule type="containsText" dxfId="9" priority="36122" operator="containsText" text="No">
      <formula>NOT(ISERROR(SEARCH(("No"),(P170))))</formula>
    </cfRule>
  </conditionalFormatting>
  <conditionalFormatting sqref="P170:Q170">
    <cfRule type="containsText" dxfId="9" priority="36123" operator="containsText" text="No">
      <formula>NOT(ISERROR(SEARCH(("No"),(P170))))</formula>
    </cfRule>
  </conditionalFormatting>
  <conditionalFormatting sqref="P170:Q170">
    <cfRule type="containsText" dxfId="9" priority="36124" operator="containsText" text="No">
      <formula>NOT(ISERROR(SEARCH(("No"),(P170))))</formula>
    </cfRule>
  </conditionalFormatting>
  <conditionalFormatting sqref="P170:Q170">
    <cfRule type="containsText" dxfId="9" priority="36125" operator="containsText" text="No">
      <formula>NOT(ISERROR(SEARCH(("No"),(P170))))</formula>
    </cfRule>
  </conditionalFormatting>
  <conditionalFormatting sqref="P170:Q170">
    <cfRule type="containsText" dxfId="9" priority="36126" operator="containsText" text="No">
      <formula>NOT(ISERROR(SEARCH(("No"),(P170))))</formula>
    </cfRule>
  </conditionalFormatting>
  <conditionalFormatting sqref="P170:Q170">
    <cfRule type="containsText" dxfId="9" priority="36127" operator="containsText" text="No">
      <formula>NOT(ISERROR(SEARCH(("No"),(P170))))</formula>
    </cfRule>
  </conditionalFormatting>
  <conditionalFormatting sqref="P170:Q170">
    <cfRule type="containsText" dxfId="9" priority="36128" operator="containsText" text="No">
      <formula>NOT(ISERROR(SEARCH(("No"),(P170))))</formula>
    </cfRule>
  </conditionalFormatting>
  <conditionalFormatting sqref="P170:Q170">
    <cfRule type="containsText" dxfId="9" priority="36129" operator="containsText" text="No">
      <formula>NOT(ISERROR(SEARCH(("No"),(P170))))</formula>
    </cfRule>
  </conditionalFormatting>
  <conditionalFormatting sqref="P170:Q170">
    <cfRule type="containsText" dxfId="9" priority="36130" operator="containsText" text="No">
      <formula>NOT(ISERROR(SEARCH(("No"),(P170))))</formula>
    </cfRule>
  </conditionalFormatting>
  <conditionalFormatting sqref="P170:Q170">
    <cfRule type="containsText" dxfId="9" priority="36131" operator="containsText" text="No">
      <formula>NOT(ISERROR(SEARCH(("No"),(P170))))</formula>
    </cfRule>
  </conditionalFormatting>
  <conditionalFormatting sqref="P170:Q170">
    <cfRule type="containsText" dxfId="9" priority="36132" operator="containsText" text="No">
      <formula>NOT(ISERROR(SEARCH(("No"),(P170))))</formula>
    </cfRule>
  </conditionalFormatting>
  <conditionalFormatting sqref="P170:Q170">
    <cfRule type="containsText" dxfId="9" priority="36133" operator="containsText" text="No">
      <formula>NOT(ISERROR(SEARCH(("No"),(P170))))</formula>
    </cfRule>
  </conditionalFormatting>
  <conditionalFormatting sqref="P170:Q170">
    <cfRule type="containsText" dxfId="9" priority="36134" operator="containsText" text="No">
      <formula>NOT(ISERROR(SEARCH(("No"),(P170))))</formula>
    </cfRule>
  </conditionalFormatting>
  <conditionalFormatting sqref="P170:Q170">
    <cfRule type="containsText" dxfId="9" priority="36135" operator="containsText" text="No">
      <formula>NOT(ISERROR(SEARCH(("No"),(P170))))</formula>
    </cfRule>
  </conditionalFormatting>
  <conditionalFormatting sqref="P170:Q170">
    <cfRule type="containsText" dxfId="9" priority="36136" operator="containsText" text="No">
      <formula>NOT(ISERROR(SEARCH(("No"),(P170))))</formula>
    </cfRule>
  </conditionalFormatting>
  <conditionalFormatting sqref="P170:Q170">
    <cfRule type="containsText" dxfId="9" priority="36137" operator="containsText" text="No">
      <formula>NOT(ISERROR(SEARCH(("No"),(P170))))</formula>
    </cfRule>
  </conditionalFormatting>
  <conditionalFormatting sqref="P170:Q170">
    <cfRule type="containsText" dxfId="9" priority="36138" operator="containsText" text="No">
      <formula>NOT(ISERROR(SEARCH(("No"),(P170))))</formula>
    </cfRule>
  </conditionalFormatting>
  <conditionalFormatting sqref="P170:Q170">
    <cfRule type="containsText" dxfId="9" priority="36139" operator="containsText" text="No">
      <formula>NOT(ISERROR(SEARCH(("No"),(P170))))</formula>
    </cfRule>
  </conditionalFormatting>
  <conditionalFormatting sqref="P170:Q170">
    <cfRule type="containsText" dxfId="9" priority="36140" operator="containsText" text="No">
      <formula>NOT(ISERROR(SEARCH(("No"),(P170))))</formula>
    </cfRule>
  </conditionalFormatting>
  <conditionalFormatting sqref="P170:Q170">
    <cfRule type="containsText" dxfId="9" priority="36141" operator="containsText" text="No">
      <formula>NOT(ISERROR(SEARCH(("No"),(P170))))</formula>
    </cfRule>
  </conditionalFormatting>
  <conditionalFormatting sqref="P170:Q170">
    <cfRule type="containsText" dxfId="9" priority="36142" operator="containsText" text="No">
      <formula>NOT(ISERROR(SEARCH(("No"),(P170))))</formula>
    </cfRule>
  </conditionalFormatting>
  <conditionalFormatting sqref="P170:Q170">
    <cfRule type="containsText" dxfId="9" priority="36143" operator="containsText" text="No">
      <formula>NOT(ISERROR(SEARCH(("No"),(P170))))</formula>
    </cfRule>
  </conditionalFormatting>
  <conditionalFormatting sqref="P170:Q170">
    <cfRule type="containsText" dxfId="9" priority="36144" operator="containsText" text="No">
      <formula>NOT(ISERROR(SEARCH(("No"),(P170))))</formula>
    </cfRule>
  </conditionalFormatting>
  <conditionalFormatting sqref="P170:Q170">
    <cfRule type="containsText" dxfId="9" priority="36145" operator="containsText" text="No">
      <formula>NOT(ISERROR(SEARCH(("No"),(P170))))</formula>
    </cfRule>
  </conditionalFormatting>
  <conditionalFormatting sqref="P170:Q170">
    <cfRule type="containsText" dxfId="9" priority="36146" operator="containsText" text="No">
      <formula>NOT(ISERROR(SEARCH(("No"),(P170))))</formula>
    </cfRule>
  </conditionalFormatting>
  <conditionalFormatting sqref="P170:Q170">
    <cfRule type="containsText" dxfId="9" priority="36147" operator="containsText" text="No">
      <formula>NOT(ISERROR(SEARCH(("No"),(P170))))</formula>
    </cfRule>
  </conditionalFormatting>
  <conditionalFormatting sqref="P170:Q170">
    <cfRule type="containsText" dxfId="9" priority="36148" operator="containsText" text="No">
      <formula>NOT(ISERROR(SEARCH(("No"),(P170))))</formula>
    </cfRule>
  </conditionalFormatting>
  <conditionalFormatting sqref="P170:Q170">
    <cfRule type="containsText" dxfId="9" priority="36149" operator="containsText" text="No">
      <formula>NOT(ISERROR(SEARCH(("No"),(P170))))</formula>
    </cfRule>
  </conditionalFormatting>
  <conditionalFormatting sqref="P170:Q170">
    <cfRule type="containsText" dxfId="9" priority="36150" operator="containsText" text="No">
      <formula>NOT(ISERROR(SEARCH(("No"),(P170))))</formula>
    </cfRule>
  </conditionalFormatting>
  <conditionalFormatting sqref="P170:Q170">
    <cfRule type="containsText" dxfId="9" priority="36151" operator="containsText" text="No">
      <formula>NOT(ISERROR(SEARCH(("No"),(P170))))</formula>
    </cfRule>
  </conditionalFormatting>
  <conditionalFormatting sqref="P170:Q170">
    <cfRule type="containsText" dxfId="9" priority="36152" operator="containsText" text="No">
      <formula>NOT(ISERROR(SEARCH(("No"),(P170))))</formula>
    </cfRule>
  </conditionalFormatting>
  <conditionalFormatting sqref="P170:Q170">
    <cfRule type="containsText" dxfId="9" priority="36153" operator="containsText" text="No">
      <formula>NOT(ISERROR(SEARCH(("No"),(P170))))</formula>
    </cfRule>
  </conditionalFormatting>
  <conditionalFormatting sqref="P170:Q170">
    <cfRule type="containsText" dxfId="9" priority="36154" operator="containsText" text="No">
      <formula>NOT(ISERROR(SEARCH(("No"),(P170))))</formula>
    </cfRule>
  </conditionalFormatting>
  <conditionalFormatting sqref="P170:Q170">
    <cfRule type="containsText" dxfId="9" priority="36155" operator="containsText" text="No">
      <formula>NOT(ISERROR(SEARCH(("No"),(P170))))</formula>
    </cfRule>
  </conditionalFormatting>
  <conditionalFormatting sqref="P170:Q170">
    <cfRule type="containsText" dxfId="9" priority="36156" operator="containsText" text="No">
      <formula>NOT(ISERROR(SEARCH(("No"),(P170))))</formula>
    </cfRule>
  </conditionalFormatting>
  <conditionalFormatting sqref="P170:Q170">
    <cfRule type="containsText" dxfId="9" priority="36157" operator="containsText" text="No">
      <formula>NOT(ISERROR(SEARCH(("No"),(P170))))</formula>
    </cfRule>
  </conditionalFormatting>
  <conditionalFormatting sqref="P170:Q170">
    <cfRule type="containsText" dxfId="9" priority="36158" operator="containsText" text="No">
      <formula>NOT(ISERROR(SEARCH(("No"),(P170))))</formula>
    </cfRule>
  </conditionalFormatting>
  <conditionalFormatting sqref="P170:Q170">
    <cfRule type="containsText" dxfId="9" priority="36159" operator="containsText" text="No">
      <formula>NOT(ISERROR(SEARCH(("No"),(P170))))</formula>
    </cfRule>
  </conditionalFormatting>
  <conditionalFormatting sqref="P170:Q170">
    <cfRule type="containsText" dxfId="9" priority="36160" operator="containsText" text="No">
      <formula>NOT(ISERROR(SEARCH(("No"),(P170))))</formula>
    </cfRule>
  </conditionalFormatting>
  <conditionalFormatting sqref="P170:Q170">
    <cfRule type="containsText" dxfId="9" priority="36161" operator="containsText" text="No">
      <formula>NOT(ISERROR(SEARCH(("No"),(P170))))</formula>
    </cfRule>
  </conditionalFormatting>
  <conditionalFormatting sqref="P170:Q170">
    <cfRule type="containsText" dxfId="9" priority="36162" operator="containsText" text="No">
      <formula>NOT(ISERROR(SEARCH(("No"),(P170))))</formula>
    </cfRule>
  </conditionalFormatting>
  <conditionalFormatting sqref="P170:Q170">
    <cfRule type="containsText" dxfId="9" priority="36163" operator="containsText" text="No">
      <formula>NOT(ISERROR(SEARCH(("No"),(P170))))</formula>
    </cfRule>
  </conditionalFormatting>
  <conditionalFormatting sqref="P170:Q170">
    <cfRule type="containsText" dxfId="9" priority="36164" operator="containsText" text="No">
      <formula>NOT(ISERROR(SEARCH(("No"),(P170))))</formula>
    </cfRule>
  </conditionalFormatting>
  <conditionalFormatting sqref="P170:Q170">
    <cfRule type="containsText" dxfId="2" priority="36165" operator="containsText" text="Yes">
      <formula>NOT(ISERROR(SEARCH(("Yes"),(P170))))</formula>
    </cfRule>
  </conditionalFormatting>
  <conditionalFormatting sqref="P170:Q170">
    <cfRule type="containsText" dxfId="2" priority="36166" operator="containsText" text="Yes">
      <formula>NOT(ISERROR(SEARCH(("Yes"),(P170))))</formula>
    </cfRule>
  </conditionalFormatting>
  <conditionalFormatting sqref="P170:Q170">
    <cfRule type="containsText" dxfId="2" priority="36167" operator="containsText" text="Yes">
      <formula>NOT(ISERROR(SEARCH(("Yes"),(P170))))</formula>
    </cfRule>
  </conditionalFormatting>
  <conditionalFormatting sqref="P170:Q170">
    <cfRule type="containsText" dxfId="2" priority="36168" operator="containsText" text="Yes">
      <formula>NOT(ISERROR(SEARCH(("Yes"),(P170))))</formula>
    </cfRule>
  </conditionalFormatting>
  <conditionalFormatting sqref="P170:Q170">
    <cfRule type="containsText" dxfId="2" priority="36169" operator="containsText" text="Yes">
      <formula>NOT(ISERROR(SEARCH(("Yes"),(P170))))</formula>
    </cfRule>
  </conditionalFormatting>
  <conditionalFormatting sqref="P170:Q170">
    <cfRule type="containsText" dxfId="2" priority="36170" operator="containsText" text="Yes">
      <formula>NOT(ISERROR(SEARCH(("Yes"),(P170))))</formula>
    </cfRule>
  </conditionalFormatting>
  <conditionalFormatting sqref="P170:Q170">
    <cfRule type="containsText" dxfId="2" priority="36171" operator="containsText" text="Yes">
      <formula>NOT(ISERROR(SEARCH(("Yes"),(P170))))</formula>
    </cfRule>
  </conditionalFormatting>
  <conditionalFormatting sqref="P170:Q170">
    <cfRule type="containsText" dxfId="2" priority="36172" operator="containsText" text="Yes">
      <formula>NOT(ISERROR(SEARCH(("Yes"),(P170))))</formula>
    </cfRule>
  </conditionalFormatting>
  <conditionalFormatting sqref="P170:Q170">
    <cfRule type="containsText" dxfId="2" priority="36173" operator="containsText" text="Yes">
      <formula>NOT(ISERROR(SEARCH(("Yes"),(P170))))</formula>
    </cfRule>
  </conditionalFormatting>
  <conditionalFormatting sqref="P170:Q170">
    <cfRule type="containsText" dxfId="2" priority="36174" operator="containsText" text="Yes">
      <formula>NOT(ISERROR(SEARCH(("Yes"),(P170))))</formula>
    </cfRule>
  </conditionalFormatting>
  <conditionalFormatting sqref="P170:Q170">
    <cfRule type="containsText" dxfId="2" priority="36175" operator="containsText" text="Yes">
      <formula>NOT(ISERROR(SEARCH(("Yes"),(P170))))</formula>
    </cfRule>
  </conditionalFormatting>
  <conditionalFormatting sqref="P170:Q170">
    <cfRule type="containsText" dxfId="2" priority="36176" operator="containsText" text="Yes">
      <formula>NOT(ISERROR(SEARCH(("Yes"),(P170))))</formula>
    </cfRule>
  </conditionalFormatting>
  <conditionalFormatting sqref="P170:Q170">
    <cfRule type="containsText" dxfId="2" priority="36177" operator="containsText" text="Yes">
      <formula>NOT(ISERROR(SEARCH(("Yes"),(P170))))</formula>
    </cfRule>
  </conditionalFormatting>
  <conditionalFormatting sqref="P170:Q170">
    <cfRule type="containsText" dxfId="2" priority="36178" operator="containsText" text="Yes">
      <formula>NOT(ISERROR(SEARCH(("Yes"),(P170))))</formula>
    </cfRule>
  </conditionalFormatting>
  <conditionalFormatting sqref="P170:Q170">
    <cfRule type="containsText" dxfId="2" priority="36179" operator="containsText" text="Yes">
      <formula>NOT(ISERROR(SEARCH(("Yes"),(P170))))</formula>
    </cfRule>
  </conditionalFormatting>
  <conditionalFormatting sqref="P170:Q170">
    <cfRule type="containsText" dxfId="2" priority="36180" operator="containsText" text="Yes">
      <formula>NOT(ISERROR(SEARCH(("Yes"),(P170))))</formula>
    </cfRule>
  </conditionalFormatting>
  <conditionalFormatting sqref="P170:Q170">
    <cfRule type="containsText" dxfId="2" priority="36181" operator="containsText" text="Yes">
      <formula>NOT(ISERROR(SEARCH(("Yes"),(P170))))</formula>
    </cfRule>
  </conditionalFormatting>
  <conditionalFormatting sqref="P170:Q170">
    <cfRule type="containsText" dxfId="2" priority="36182" operator="containsText" text="Yes">
      <formula>NOT(ISERROR(SEARCH(("Yes"),(P170))))</formula>
    </cfRule>
  </conditionalFormatting>
  <conditionalFormatting sqref="P170:Q170">
    <cfRule type="containsText" dxfId="2" priority="36183" operator="containsText" text="Yes">
      <formula>NOT(ISERROR(SEARCH(("Yes"),(P170))))</formula>
    </cfRule>
  </conditionalFormatting>
  <conditionalFormatting sqref="P170:Q170">
    <cfRule type="containsText" dxfId="2" priority="36184" operator="containsText" text="Yes">
      <formula>NOT(ISERROR(SEARCH(("Yes"),(P170))))</formula>
    </cfRule>
  </conditionalFormatting>
  <conditionalFormatting sqref="P170:Q170">
    <cfRule type="containsText" dxfId="2" priority="36185" operator="containsText" text="Yes">
      <formula>NOT(ISERROR(SEARCH(("Yes"),(P170))))</formula>
    </cfRule>
  </conditionalFormatting>
  <conditionalFormatting sqref="P170:Q170">
    <cfRule type="containsText" dxfId="2" priority="36186" operator="containsText" text="Yes">
      <formula>NOT(ISERROR(SEARCH(("Yes"),(P170))))</formula>
    </cfRule>
  </conditionalFormatting>
  <conditionalFormatting sqref="P170:Q170">
    <cfRule type="containsText" dxfId="2" priority="36187" operator="containsText" text="Yes">
      <formula>NOT(ISERROR(SEARCH(("Yes"),(P170))))</formula>
    </cfRule>
  </conditionalFormatting>
  <conditionalFormatting sqref="P170:Q170">
    <cfRule type="containsText" dxfId="2" priority="36188" operator="containsText" text="Yes">
      <formula>NOT(ISERROR(SEARCH(("Yes"),(P170))))</formula>
    </cfRule>
  </conditionalFormatting>
  <conditionalFormatting sqref="P170:Q170">
    <cfRule type="containsText" dxfId="2" priority="36189" operator="containsText" text="Yes">
      <formula>NOT(ISERROR(SEARCH(("Yes"),(P170))))</formula>
    </cfRule>
  </conditionalFormatting>
  <conditionalFormatting sqref="P170:Q170">
    <cfRule type="containsText" dxfId="2" priority="36190" operator="containsText" text="Yes">
      <formula>NOT(ISERROR(SEARCH(("Yes"),(P170))))</formula>
    </cfRule>
  </conditionalFormatting>
  <conditionalFormatting sqref="P170:Q170">
    <cfRule type="containsText" dxfId="2" priority="36191" operator="containsText" text="Yes">
      <formula>NOT(ISERROR(SEARCH(("Yes"),(P170))))</formula>
    </cfRule>
  </conditionalFormatting>
  <conditionalFormatting sqref="P170:Q170">
    <cfRule type="containsText" dxfId="2" priority="36192" operator="containsText" text="Yes">
      <formula>NOT(ISERROR(SEARCH(("Yes"),(P170))))</formula>
    </cfRule>
  </conditionalFormatting>
  <conditionalFormatting sqref="P170:Q170">
    <cfRule type="containsText" dxfId="2" priority="36193" operator="containsText" text="Yes">
      <formula>NOT(ISERROR(SEARCH(("Yes"),(P170))))</formula>
    </cfRule>
  </conditionalFormatting>
  <conditionalFormatting sqref="P170:Q170">
    <cfRule type="containsText" dxfId="2" priority="36194" operator="containsText" text="Yes">
      <formula>NOT(ISERROR(SEARCH(("Yes"),(P170))))</formula>
    </cfRule>
  </conditionalFormatting>
  <conditionalFormatting sqref="P170:Q170">
    <cfRule type="containsText" dxfId="2" priority="36195" operator="containsText" text="Yes">
      <formula>NOT(ISERROR(SEARCH(("Yes"),(P170))))</formula>
    </cfRule>
  </conditionalFormatting>
  <conditionalFormatting sqref="P170:Q170">
    <cfRule type="containsText" dxfId="2" priority="36196" operator="containsText" text="Yes">
      <formula>NOT(ISERROR(SEARCH(("Yes"),(P170))))</formula>
    </cfRule>
  </conditionalFormatting>
  <conditionalFormatting sqref="P170:Q170">
    <cfRule type="containsText" dxfId="2" priority="36197" operator="containsText" text="Yes">
      <formula>NOT(ISERROR(SEARCH(("Yes"),(P170))))</formula>
    </cfRule>
  </conditionalFormatting>
  <conditionalFormatting sqref="P170:Q170">
    <cfRule type="containsText" dxfId="2" priority="36198" operator="containsText" text="Yes">
      <formula>NOT(ISERROR(SEARCH(("Yes"),(P170))))</formula>
    </cfRule>
  </conditionalFormatting>
  <conditionalFormatting sqref="P170:Q170">
    <cfRule type="containsText" dxfId="2" priority="36199" operator="containsText" text="Yes">
      <formula>NOT(ISERROR(SEARCH(("Yes"),(P170))))</formula>
    </cfRule>
  </conditionalFormatting>
  <conditionalFormatting sqref="P170:Q170">
    <cfRule type="containsText" dxfId="2" priority="36200" operator="containsText" text="Yes">
      <formula>NOT(ISERROR(SEARCH(("Yes"),(P170))))</formula>
    </cfRule>
  </conditionalFormatting>
  <conditionalFormatting sqref="P170:Q170">
    <cfRule type="containsText" dxfId="2" priority="36201" operator="containsText" text="Yes">
      <formula>NOT(ISERROR(SEARCH(("Yes"),(P170))))</formula>
    </cfRule>
  </conditionalFormatting>
  <conditionalFormatting sqref="P170:Q170">
    <cfRule type="containsText" dxfId="2" priority="36202" operator="containsText" text="Yes">
      <formula>NOT(ISERROR(SEARCH(("Yes"),(P170))))</formula>
    </cfRule>
  </conditionalFormatting>
  <conditionalFormatting sqref="P170:Q170">
    <cfRule type="containsText" dxfId="2" priority="36203" operator="containsText" text="Yes">
      <formula>NOT(ISERROR(SEARCH(("Yes"),(P170))))</formula>
    </cfRule>
  </conditionalFormatting>
  <conditionalFormatting sqref="P170:Q170">
    <cfRule type="containsText" dxfId="2" priority="36204" operator="containsText" text="Yes">
      <formula>NOT(ISERROR(SEARCH(("Yes"),(P170))))</formula>
    </cfRule>
  </conditionalFormatting>
  <conditionalFormatting sqref="P170:Q170">
    <cfRule type="containsText" dxfId="2" priority="36205" operator="containsText" text="Yes">
      <formula>NOT(ISERROR(SEARCH(("Yes"),(P170))))</formula>
    </cfRule>
  </conditionalFormatting>
  <conditionalFormatting sqref="P170:Q170">
    <cfRule type="containsText" dxfId="2" priority="36206" operator="containsText" text="Yes">
      <formula>NOT(ISERROR(SEARCH(("Yes"),(P170))))</formula>
    </cfRule>
  </conditionalFormatting>
  <conditionalFormatting sqref="P170:Q170">
    <cfRule type="containsText" dxfId="2" priority="36207" operator="containsText" text="Yes">
      <formula>NOT(ISERROR(SEARCH(("Yes"),(P170))))</formula>
    </cfRule>
  </conditionalFormatting>
  <conditionalFormatting sqref="P170:Q170">
    <cfRule type="containsText" dxfId="2" priority="36208" operator="containsText" text="Yes">
      <formula>NOT(ISERROR(SEARCH(("Yes"),(P170))))</formula>
    </cfRule>
  </conditionalFormatting>
  <conditionalFormatting sqref="P170:Q170">
    <cfRule type="containsText" dxfId="2" priority="36209" operator="containsText" text="Yes">
      <formula>NOT(ISERROR(SEARCH(("Yes"),(P170))))</formula>
    </cfRule>
  </conditionalFormatting>
  <conditionalFormatting sqref="P170:Q170">
    <cfRule type="containsText" dxfId="2" priority="36210" operator="containsText" text="Yes">
      <formula>NOT(ISERROR(SEARCH(("Yes"),(P170))))</formula>
    </cfRule>
  </conditionalFormatting>
  <conditionalFormatting sqref="P170:Q170">
    <cfRule type="containsText" dxfId="2" priority="36211" operator="containsText" text="Yes">
      <formula>NOT(ISERROR(SEARCH(("Yes"),(P170))))</formula>
    </cfRule>
  </conditionalFormatting>
  <conditionalFormatting sqref="N171:Q171 N173:Q173 N175:Q175 N177:Q179 N183:Q183 N185:Q214 U204:V204">
    <cfRule type="containsText" dxfId="9" priority="36212" operator="containsText" text="No">
      <formula>NOT(ISERROR(SEARCH(("No"),(N171))))</formula>
    </cfRule>
  </conditionalFormatting>
  <conditionalFormatting sqref="N171:Q171 N173:Q173 N175:Q175 N177:Q179 N183:Q183 N185:Q214 U204:V204">
    <cfRule type="containsText" dxfId="9" priority="36213" operator="containsText" text="No">
      <formula>NOT(ISERROR(SEARCH(("No"),(N171))))</formula>
    </cfRule>
  </conditionalFormatting>
  <conditionalFormatting sqref="N171:Q171 N173:Q173 N175:Q175 N177:Q179 N183:Q183 N185:Q214 U204:V204">
    <cfRule type="containsText" dxfId="9" priority="36214" operator="containsText" text="No">
      <formula>NOT(ISERROR(SEARCH(("No"),(N171))))</formula>
    </cfRule>
  </conditionalFormatting>
  <conditionalFormatting sqref="N171:Q171 N173:Q173 N175:Q175 N177:Q179 N183:Q183 N185:Q214 U204:V204">
    <cfRule type="containsText" dxfId="9" priority="36215" operator="containsText" text="No">
      <formula>NOT(ISERROR(SEARCH(("No"),(N171))))</formula>
    </cfRule>
  </conditionalFormatting>
  <conditionalFormatting sqref="N171:Q171 N173:Q173 N175:Q175 N177:Q179 N183:Q183 N185:Q214 U204:V204">
    <cfRule type="containsText" dxfId="9" priority="36216" operator="containsText" text="No">
      <formula>NOT(ISERROR(SEARCH(("No"),(N171))))</formula>
    </cfRule>
  </conditionalFormatting>
  <conditionalFormatting sqref="N171:Q171 N173:Q173 N175:Q175 N177:Q179 N183:Q183 N185:Q214 U204:V204">
    <cfRule type="containsText" dxfId="9" priority="36217" operator="containsText" text="No">
      <formula>NOT(ISERROR(SEARCH(("No"),(N171))))</formula>
    </cfRule>
  </conditionalFormatting>
  <conditionalFormatting sqref="N171:Q171 N173:Q173 N175:Q175 N177:Q179 N183:Q183 N185:Q214 U204:V204">
    <cfRule type="containsText" dxfId="9" priority="36218" operator="containsText" text="No">
      <formula>NOT(ISERROR(SEARCH(("No"),(N171))))</formula>
    </cfRule>
  </conditionalFormatting>
  <conditionalFormatting sqref="N171:Q171 N173:Q173 N175:Q175 N177:Q179 N183:Q183 N185:Q214 U204:V204">
    <cfRule type="containsText" dxfId="9" priority="36219" operator="containsText" text="No">
      <formula>NOT(ISERROR(SEARCH(("No"),(N171))))</formula>
    </cfRule>
  </conditionalFormatting>
  <conditionalFormatting sqref="N171:Q171 N173:Q173 N175:Q175 N177:Q179 N183:Q183 N185:Q214 U204:V204">
    <cfRule type="containsText" dxfId="9" priority="36220" operator="containsText" text="No">
      <formula>NOT(ISERROR(SEARCH(("No"),(N171))))</formula>
    </cfRule>
  </conditionalFormatting>
  <conditionalFormatting sqref="N171:Q171 N173:Q173 N175:Q175 N177:Q179 N183:Q183 N185:Q214 U204:V204">
    <cfRule type="containsText" dxfId="9" priority="36221" operator="containsText" text="No">
      <formula>NOT(ISERROR(SEARCH(("No"),(N171))))</formula>
    </cfRule>
  </conditionalFormatting>
  <conditionalFormatting sqref="N171:Q171 N173:Q173 N175:Q175 N177:Q179 N183:Q183 N185:Q214 U204:V204">
    <cfRule type="containsText" dxfId="9" priority="36222" operator="containsText" text="No">
      <formula>NOT(ISERROR(SEARCH(("No"),(N171))))</formula>
    </cfRule>
  </conditionalFormatting>
  <conditionalFormatting sqref="N171:Q171 N173:Q173 N175:Q175 N177:Q179 N183:Q183 N185:Q214 U204:V204">
    <cfRule type="containsText" dxfId="9" priority="36223" operator="containsText" text="No">
      <formula>NOT(ISERROR(SEARCH(("No"),(N171))))</formula>
    </cfRule>
  </conditionalFormatting>
  <conditionalFormatting sqref="N171:Q171 N173:Q173 N175:Q175 N177:Q179 N183:Q183 N185:Q214 U204:V204">
    <cfRule type="containsText" dxfId="9" priority="36224" operator="containsText" text="No">
      <formula>NOT(ISERROR(SEARCH(("No"),(N171))))</formula>
    </cfRule>
  </conditionalFormatting>
  <conditionalFormatting sqref="N171:Q171 N173:Q173 N175:Q175 N177:Q179 N183:Q183 N185:Q214 U204:V204">
    <cfRule type="containsText" dxfId="9" priority="36225" operator="containsText" text="No">
      <formula>NOT(ISERROR(SEARCH(("No"),(N171))))</formula>
    </cfRule>
  </conditionalFormatting>
  <conditionalFormatting sqref="N171:Q171 N173:Q173 N175:Q175 N177:Q179 N183:Q183 N185:Q214 U204:V204">
    <cfRule type="containsText" dxfId="9" priority="36226" operator="containsText" text="No">
      <formula>NOT(ISERROR(SEARCH(("No"),(N171))))</formula>
    </cfRule>
  </conditionalFormatting>
  <conditionalFormatting sqref="N171:Q171 N173:Q173 N175:Q175 N177:Q179 N183:Q183 N185:Q214 U204:V204">
    <cfRule type="containsText" dxfId="9" priority="36227" operator="containsText" text="No">
      <formula>NOT(ISERROR(SEARCH(("No"),(N171))))</formula>
    </cfRule>
  </conditionalFormatting>
  <conditionalFormatting sqref="N171:Q171 N173:Q173 N175:Q175 N177:Q179 N183:Q183 N185:Q214 U204:V204">
    <cfRule type="containsText" dxfId="9" priority="36228" operator="containsText" text="No">
      <formula>NOT(ISERROR(SEARCH(("No"),(N171))))</formula>
    </cfRule>
  </conditionalFormatting>
  <conditionalFormatting sqref="N171:Q171 N173:Q173 N175:Q175 N177:Q179 N183:Q183 N185:Q214 U204:V204">
    <cfRule type="containsText" dxfId="9" priority="36229" operator="containsText" text="No">
      <formula>NOT(ISERROR(SEARCH(("No"),(N171))))</formula>
    </cfRule>
  </conditionalFormatting>
  <conditionalFormatting sqref="N171:Q171 N173:Q173 N175:Q175 N177:Q179 N183:Q183 N185:Q214 U204:V204">
    <cfRule type="containsText" dxfId="9" priority="36230" operator="containsText" text="No">
      <formula>NOT(ISERROR(SEARCH(("No"),(N171))))</formula>
    </cfRule>
  </conditionalFormatting>
  <conditionalFormatting sqref="N171:Q171 N173:Q173 N175:Q175 N177:Q179 N183:Q183 N185:Q214 U204:V204">
    <cfRule type="containsText" dxfId="9" priority="36231" operator="containsText" text="No">
      <formula>NOT(ISERROR(SEARCH(("No"),(N171))))</formula>
    </cfRule>
  </conditionalFormatting>
  <conditionalFormatting sqref="N171:Q171 N173:Q173 N175:Q175 N177:Q179 N183:Q183 N185:Q214 U204:V204">
    <cfRule type="containsText" dxfId="9" priority="36232" operator="containsText" text="No">
      <formula>NOT(ISERROR(SEARCH(("No"),(N171))))</formula>
    </cfRule>
  </conditionalFormatting>
  <conditionalFormatting sqref="N171:Q171 N173:Q173 N175:Q175 N177:Q179 N183:Q183 N185:Q214 U204:V204">
    <cfRule type="containsText" dxfId="9" priority="36233" operator="containsText" text="No">
      <formula>NOT(ISERROR(SEARCH(("No"),(N171))))</formula>
    </cfRule>
  </conditionalFormatting>
  <conditionalFormatting sqref="N171:Q171 N173:Q173 N175:Q175 N177:Q179 N183:Q183 N185:Q214 U204:V204">
    <cfRule type="containsText" dxfId="9" priority="36234" operator="containsText" text="No">
      <formula>NOT(ISERROR(SEARCH(("No"),(N171))))</formula>
    </cfRule>
  </conditionalFormatting>
  <conditionalFormatting sqref="N171:Q171 N173:Q173 N175:Q175 N177:Q179 N183:Q183 N185:Q214 U204:V204">
    <cfRule type="containsText" dxfId="9" priority="36235" operator="containsText" text="No">
      <formula>NOT(ISERROR(SEARCH(("No"),(N171))))</formula>
    </cfRule>
  </conditionalFormatting>
  <conditionalFormatting sqref="N171:Q171 N173:Q173 N175:Q175 N177:Q179 N183:Q183 N185:Q214 U204:V204">
    <cfRule type="containsText" dxfId="9" priority="36236" operator="containsText" text="No">
      <formula>NOT(ISERROR(SEARCH(("No"),(N171))))</formula>
    </cfRule>
  </conditionalFormatting>
  <conditionalFormatting sqref="N171:Q171 N173:Q173 N175:Q175 N177:Q179 N183:Q183 N185:Q214 U204:V204">
    <cfRule type="containsText" dxfId="9" priority="36237" operator="containsText" text="No">
      <formula>NOT(ISERROR(SEARCH(("No"),(N171))))</formula>
    </cfRule>
  </conditionalFormatting>
  <conditionalFormatting sqref="N171:Q171 N173:Q173 N175:Q175 N177:Q179 N183:Q183 N185:Q214 U204:V204">
    <cfRule type="containsText" dxfId="9" priority="36238" operator="containsText" text="No">
      <formula>NOT(ISERROR(SEARCH(("No"),(N171))))</formula>
    </cfRule>
  </conditionalFormatting>
  <conditionalFormatting sqref="N171:Q171 N173:Q173 N175:Q175 N177:Q179 N183:Q183 N185:Q214 U204:V204">
    <cfRule type="containsText" dxfId="9" priority="36239" operator="containsText" text="No">
      <formula>NOT(ISERROR(SEARCH(("No"),(N171))))</formula>
    </cfRule>
  </conditionalFormatting>
  <conditionalFormatting sqref="N171:Q171 N173:Q173 N175:Q175 N177:Q179 N183:Q183 N185:Q214 U204:V204">
    <cfRule type="containsText" dxfId="9" priority="36240" operator="containsText" text="No">
      <formula>NOT(ISERROR(SEARCH(("No"),(N171))))</formula>
    </cfRule>
  </conditionalFormatting>
  <conditionalFormatting sqref="N171:Q171 N173:Q173 N175:Q175 N177:Q179 N183:Q183 N185:Q214 U204:V204">
    <cfRule type="containsText" dxfId="9" priority="36241" operator="containsText" text="No">
      <formula>NOT(ISERROR(SEARCH(("No"),(N171))))</formula>
    </cfRule>
  </conditionalFormatting>
  <conditionalFormatting sqref="N171:Q171 N173:Q173 N175:Q175 N177:Q179 N183:Q183 N185:Q214 U204:V204">
    <cfRule type="containsText" dxfId="9" priority="36242" operator="containsText" text="No">
      <formula>NOT(ISERROR(SEARCH(("No"),(N171))))</formula>
    </cfRule>
  </conditionalFormatting>
  <conditionalFormatting sqref="N171:Q171 N173:Q173 N175:Q175 N177:Q179 N183:Q183 N185:Q214 U204:V204">
    <cfRule type="containsText" dxfId="9" priority="36243" operator="containsText" text="No">
      <formula>NOT(ISERROR(SEARCH(("No"),(N171))))</formula>
    </cfRule>
  </conditionalFormatting>
  <conditionalFormatting sqref="N171:Q171 N173:Q173 N175:Q175 N177:Q179 N183:Q183 N185:Q214 U204:V204">
    <cfRule type="containsText" dxfId="9" priority="36244" operator="containsText" text="No">
      <formula>NOT(ISERROR(SEARCH(("No"),(N171))))</formula>
    </cfRule>
  </conditionalFormatting>
  <conditionalFormatting sqref="N171:Q171 N173:Q173 N175:Q175 N177:Q179 N183:Q183 N185:Q214 U204:V204">
    <cfRule type="containsText" dxfId="9" priority="36245" operator="containsText" text="No">
      <formula>NOT(ISERROR(SEARCH(("No"),(N171))))</formula>
    </cfRule>
  </conditionalFormatting>
  <conditionalFormatting sqref="N171:Q171 N173:Q173 N175:Q175 N177:Q179 N183:Q183 N185:Q214 U204:V204">
    <cfRule type="containsText" dxfId="9" priority="36246" operator="containsText" text="No">
      <formula>NOT(ISERROR(SEARCH(("No"),(N171))))</formula>
    </cfRule>
  </conditionalFormatting>
  <conditionalFormatting sqref="N171:Q171 N173:Q173 N175:Q175 N177:Q179 N183:Q183 N185:Q214 U204:V204">
    <cfRule type="containsText" dxfId="9" priority="36247" operator="containsText" text="No">
      <formula>NOT(ISERROR(SEARCH(("No"),(N171))))</formula>
    </cfRule>
  </conditionalFormatting>
  <conditionalFormatting sqref="N171:Q171 N173:Q173 N175:Q175 N177:Q179 N183:Q183 N185:Q214 U204:V204">
    <cfRule type="containsText" dxfId="9" priority="36248" operator="containsText" text="No">
      <formula>NOT(ISERROR(SEARCH(("No"),(N171))))</formula>
    </cfRule>
  </conditionalFormatting>
  <conditionalFormatting sqref="N171:Q171 N173:Q173 N175:Q175 N177:Q179 N183:Q183 N185:Q214 U204:V204">
    <cfRule type="containsText" dxfId="9" priority="36249" operator="containsText" text="No">
      <formula>NOT(ISERROR(SEARCH(("No"),(N171))))</formula>
    </cfRule>
  </conditionalFormatting>
  <conditionalFormatting sqref="N171:Q171 N173:Q173 N175:Q175 N177:Q179 N183:Q183 N185:Q214 U204:V204">
    <cfRule type="containsText" dxfId="9" priority="36250" operator="containsText" text="No">
      <formula>NOT(ISERROR(SEARCH(("No"),(N171))))</formula>
    </cfRule>
  </conditionalFormatting>
  <conditionalFormatting sqref="N171:Q171 N173:Q173 N175:Q175 N177:Q179 N183:Q183 N185:Q214 U204:V204">
    <cfRule type="containsText" dxfId="9" priority="36251" operator="containsText" text="No">
      <formula>NOT(ISERROR(SEARCH(("No"),(N171))))</formula>
    </cfRule>
  </conditionalFormatting>
  <conditionalFormatting sqref="N171:Q171 N173:Q173 N175:Q175 N177:Q179 N183:Q183 N185:Q214 U204:V204">
    <cfRule type="containsText" dxfId="9" priority="36252" operator="containsText" text="No">
      <formula>NOT(ISERROR(SEARCH(("No"),(N171))))</formula>
    </cfRule>
  </conditionalFormatting>
  <conditionalFormatting sqref="N171:Q171 N173:Q173 N175:Q175 N177:Q179 N183:Q183 N185:Q214 U204:V204">
    <cfRule type="containsText" dxfId="9" priority="36253" operator="containsText" text="No">
      <formula>NOT(ISERROR(SEARCH(("No"),(N171))))</formula>
    </cfRule>
  </conditionalFormatting>
  <conditionalFormatting sqref="N171:Q171 N173:Q173 N175:Q175 N177:Q179 N183:Q183 N185:Q214 U204:V204">
    <cfRule type="containsText" dxfId="9" priority="36254" operator="containsText" text="No">
      <formula>NOT(ISERROR(SEARCH(("No"),(N171))))</formula>
    </cfRule>
  </conditionalFormatting>
  <conditionalFormatting sqref="N171:Q171 N173:Q173 N175:Q175 N177:Q179 N183:Q183 N185:Q214 U204:V204">
    <cfRule type="containsText" dxfId="9" priority="36255" operator="containsText" text="No">
      <formula>NOT(ISERROR(SEARCH(("No"),(N171))))</formula>
    </cfRule>
  </conditionalFormatting>
  <conditionalFormatting sqref="N171:Q171 N173:Q173 N175:Q175 N177:Q179 N183:Q183 N185:Q214 U204:V204">
    <cfRule type="containsText" dxfId="9" priority="36256" operator="containsText" text="No">
      <formula>NOT(ISERROR(SEARCH(("No"),(N171))))</formula>
    </cfRule>
  </conditionalFormatting>
  <conditionalFormatting sqref="N171:Q171 N173:Q173 N175:Q175 N177:Q179 N183:Q183 N185:Q214 U204:V204">
    <cfRule type="containsText" dxfId="2" priority="36257" operator="containsText" text="Yes">
      <formula>NOT(ISERROR(SEARCH(("Yes"),(N171))))</formula>
    </cfRule>
  </conditionalFormatting>
  <conditionalFormatting sqref="N171:Q171 N173:Q173 N175:Q175 N177:Q179 N183:Q183 N185:Q214 U204:V204">
    <cfRule type="containsText" dxfId="2" priority="36258" operator="containsText" text="Yes">
      <formula>NOT(ISERROR(SEARCH(("Yes"),(N171))))</formula>
    </cfRule>
  </conditionalFormatting>
  <conditionalFormatting sqref="N171:Q171 N173:Q173 N175:Q175 N177:Q179 N183:Q183 N185:Q214 U204:V204">
    <cfRule type="containsText" dxfId="2" priority="36259" operator="containsText" text="Yes">
      <formula>NOT(ISERROR(SEARCH(("Yes"),(N171))))</formula>
    </cfRule>
  </conditionalFormatting>
  <conditionalFormatting sqref="N171:Q171 N173:Q173 N175:Q175 N177:Q179 N183:Q183 N185:Q214 U204:V204">
    <cfRule type="containsText" dxfId="2" priority="36260" operator="containsText" text="Yes">
      <formula>NOT(ISERROR(SEARCH(("Yes"),(N171))))</formula>
    </cfRule>
  </conditionalFormatting>
  <conditionalFormatting sqref="N171:Q171 N173:Q173 N175:Q175 N177:Q179 N183:Q183 N185:Q214 U204:V204">
    <cfRule type="containsText" dxfId="2" priority="36261" operator="containsText" text="Yes">
      <formula>NOT(ISERROR(SEARCH(("Yes"),(N171))))</formula>
    </cfRule>
  </conditionalFormatting>
  <conditionalFormatting sqref="N171:Q171 N173:Q173 N175:Q175 N177:Q179 N183:Q183 N185:Q214 U204:V204">
    <cfRule type="containsText" dxfId="2" priority="36262" operator="containsText" text="Yes">
      <formula>NOT(ISERROR(SEARCH(("Yes"),(N171))))</formula>
    </cfRule>
  </conditionalFormatting>
  <conditionalFormatting sqref="N171:Q171 N173:Q173 N175:Q175 N177:Q179 N183:Q183 N185:Q214 U204:V204">
    <cfRule type="containsText" dxfId="2" priority="36263" operator="containsText" text="Yes">
      <formula>NOT(ISERROR(SEARCH(("Yes"),(N171))))</formula>
    </cfRule>
  </conditionalFormatting>
  <conditionalFormatting sqref="N171:Q171 N173:Q173 N175:Q175 N177:Q179 N183:Q183 N185:Q214 U204:V204">
    <cfRule type="containsText" dxfId="2" priority="36264" operator="containsText" text="Yes">
      <formula>NOT(ISERROR(SEARCH(("Yes"),(N171))))</formula>
    </cfRule>
  </conditionalFormatting>
  <conditionalFormatting sqref="N171:Q171 N173:Q173 N175:Q175 N177:Q179 N183:Q183 N185:Q214 U204:V204">
    <cfRule type="containsText" dxfId="2" priority="36265" operator="containsText" text="Yes">
      <formula>NOT(ISERROR(SEARCH(("Yes"),(N171))))</formula>
    </cfRule>
  </conditionalFormatting>
  <conditionalFormatting sqref="N171:Q171 N173:Q173 N175:Q175 N177:Q179 N183:Q183 N185:Q214 U204:V204">
    <cfRule type="containsText" dxfId="2" priority="36266" operator="containsText" text="Yes">
      <formula>NOT(ISERROR(SEARCH(("Yes"),(N171))))</formula>
    </cfRule>
  </conditionalFormatting>
  <conditionalFormatting sqref="N171:Q171 N173:Q173 N175:Q175 N177:Q179 N183:Q183 N185:Q214 U204:V204">
    <cfRule type="containsText" dxfId="2" priority="36267" operator="containsText" text="Yes">
      <formula>NOT(ISERROR(SEARCH(("Yes"),(N171))))</formula>
    </cfRule>
  </conditionalFormatting>
  <conditionalFormatting sqref="N171:Q171 N173:Q173 N175:Q175 N177:Q179 N183:Q183 N185:Q214 U204:V204">
    <cfRule type="containsText" dxfId="2" priority="36268" operator="containsText" text="Yes">
      <formula>NOT(ISERROR(SEARCH(("Yes"),(N171))))</formula>
    </cfRule>
  </conditionalFormatting>
  <conditionalFormatting sqref="N171:Q171 N173:Q173 N175:Q175 N177:Q179 N183:Q183 N185:Q214 U204:V204">
    <cfRule type="containsText" dxfId="2" priority="36269" operator="containsText" text="Yes">
      <formula>NOT(ISERROR(SEARCH(("Yes"),(N171))))</formula>
    </cfRule>
  </conditionalFormatting>
  <conditionalFormatting sqref="N171:Q171 N173:Q173 N175:Q175 N177:Q179 N183:Q183 N185:Q214 U204:V204">
    <cfRule type="containsText" dxfId="2" priority="36270" operator="containsText" text="Yes">
      <formula>NOT(ISERROR(SEARCH(("Yes"),(N171))))</formula>
    </cfRule>
  </conditionalFormatting>
  <conditionalFormatting sqref="N171:Q171 N173:Q173 N175:Q175 N177:Q179 N183:Q183 N185:Q214 U204:V204">
    <cfRule type="containsText" dxfId="2" priority="36271" operator="containsText" text="Yes">
      <formula>NOT(ISERROR(SEARCH(("Yes"),(N171))))</formula>
    </cfRule>
  </conditionalFormatting>
  <conditionalFormatting sqref="N171:Q171 N173:Q173 N175:Q175 N177:Q179 N183:Q183 N185:Q214 U204:V204">
    <cfRule type="containsText" dxfId="2" priority="36272" operator="containsText" text="Yes">
      <formula>NOT(ISERROR(SEARCH(("Yes"),(N171))))</formula>
    </cfRule>
  </conditionalFormatting>
  <conditionalFormatting sqref="N171:Q171 N173:Q173 N175:Q175 N177:Q179 N183:Q183 N185:Q214 U204:V204">
    <cfRule type="containsText" dxfId="2" priority="36273" operator="containsText" text="Yes">
      <formula>NOT(ISERROR(SEARCH(("Yes"),(N171))))</formula>
    </cfRule>
  </conditionalFormatting>
  <conditionalFormatting sqref="N171:Q171 N173:Q173 N175:Q175 N177:Q179 N183:Q183 N185:Q214 U204:V204">
    <cfRule type="containsText" dxfId="2" priority="36274" operator="containsText" text="Yes">
      <formula>NOT(ISERROR(SEARCH(("Yes"),(N171))))</formula>
    </cfRule>
  </conditionalFormatting>
  <conditionalFormatting sqref="N171:Q171 N173:Q173 N175:Q175 N177:Q179 N183:Q183 N185:Q214 U204:V204">
    <cfRule type="containsText" dxfId="2" priority="36275" operator="containsText" text="Yes">
      <formula>NOT(ISERROR(SEARCH(("Yes"),(N171))))</formula>
    </cfRule>
  </conditionalFormatting>
  <conditionalFormatting sqref="N171:Q171 N173:Q173 N175:Q175 N177:Q179 N183:Q183 N185:Q214 U204:V204">
    <cfRule type="containsText" dxfId="2" priority="36276" operator="containsText" text="Yes">
      <formula>NOT(ISERROR(SEARCH(("Yes"),(N171))))</formula>
    </cfRule>
  </conditionalFormatting>
  <conditionalFormatting sqref="N171:Q171 N173:Q173 N175:Q175 N177:Q179 N183:Q183 N185:Q214 U204:V204">
    <cfRule type="containsText" dxfId="2" priority="36277" operator="containsText" text="Yes">
      <formula>NOT(ISERROR(SEARCH(("Yes"),(N171))))</formula>
    </cfRule>
  </conditionalFormatting>
  <conditionalFormatting sqref="N171:Q171 N173:Q173 N175:Q175 N177:Q179 N183:Q183 N185:Q214 U204:V204">
    <cfRule type="containsText" dxfId="2" priority="36278" operator="containsText" text="Yes">
      <formula>NOT(ISERROR(SEARCH(("Yes"),(N171))))</formula>
    </cfRule>
  </conditionalFormatting>
  <conditionalFormatting sqref="N171:Q171 N173:Q173 N175:Q175 N177:Q179 N183:Q183 N185:Q214 U204:V204">
    <cfRule type="containsText" dxfId="2" priority="36279" operator="containsText" text="Yes">
      <formula>NOT(ISERROR(SEARCH(("Yes"),(N171))))</formula>
    </cfRule>
  </conditionalFormatting>
  <conditionalFormatting sqref="N171:Q171 N173:Q173 N175:Q175 N177:Q179 N183:Q183 N185:Q214 U204:V204">
    <cfRule type="containsText" dxfId="2" priority="36280" operator="containsText" text="Yes">
      <formula>NOT(ISERROR(SEARCH(("Yes"),(N171))))</formula>
    </cfRule>
  </conditionalFormatting>
  <conditionalFormatting sqref="N171:Q171 N173:Q173 N175:Q175 N177:Q179 N183:Q183 N185:Q214 U204:V204">
    <cfRule type="containsText" dxfId="2" priority="36281" operator="containsText" text="Yes">
      <formula>NOT(ISERROR(SEARCH(("Yes"),(N171))))</formula>
    </cfRule>
  </conditionalFormatting>
  <conditionalFormatting sqref="N171:Q171 N173:Q173 N175:Q175 N177:Q179 N183:Q183 N185:Q214 U204:V204">
    <cfRule type="containsText" dxfId="2" priority="36282" operator="containsText" text="Yes">
      <formula>NOT(ISERROR(SEARCH(("Yes"),(N171))))</formula>
    </cfRule>
  </conditionalFormatting>
  <conditionalFormatting sqref="N171:Q171 N173:Q173 N175:Q175 N177:Q179 N183:Q183 N185:Q214 U204:V204">
    <cfRule type="containsText" dxfId="2" priority="36283" operator="containsText" text="Yes">
      <formula>NOT(ISERROR(SEARCH(("Yes"),(N171))))</formula>
    </cfRule>
  </conditionalFormatting>
  <conditionalFormatting sqref="N171:Q171 N173:Q173 N175:Q175 N177:Q179 N183:Q183 N185:Q214 U204:V204">
    <cfRule type="containsText" dxfId="2" priority="36284" operator="containsText" text="Yes">
      <formula>NOT(ISERROR(SEARCH(("Yes"),(N171))))</formula>
    </cfRule>
  </conditionalFormatting>
  <conditionalFormatting sqref="N171:Q171 N173:Q173 N175:Q175 N177:Q179 N183:Q183 N185:Q214 U204:V204">
    <cfRule type="containsText" dxfId="2" priority="36285" operator="containsText" text="Yes">
      <formula>NOT(ISERROR(SEARCH(("Yes"),(N171))))</formula>
    </cfRule>
  </conditionalFormatting>
  <conditionalFormatting sqref="N171:Q171 N173:Q173 N175:Q175 N177:Q179 N183:Q183 N185:Q214 U204:V204">
    <cfRule type="containsText" dxfId="2" priority="36286" operator="containsText" text="Yes">
      <formula>NOT(ISERROR(SEARCH(("Yes"),(N171))))</formula>
    </cfRule>
  </conditionalFormatting>
  <conditionalFormatting sqref="N171:Q171 N173:Q173 N175:Q175 N177:Q179 N183:Q183 N185:Q214 U204:V204">
    <cfRule type="containsText" dxfId="2" priority="36287" operator="containsText" text="Yes">
      <formula>NOT(ISERROR(SEARCH(("Yes"),(N171))))</formula>
    </cfRule>
  </conditionalFormatting>
  <conditionalFormatting sqref="N171:Q171 N173:Q173 N175:Q175 N177:Q179 N183:Q183 N185:Q214 U204:V204">
    <cfRule type="containsText" dxfId="2" priority="36288" operator="containsText" text="Yes">
      <formula>NOT(ISERROR(SEARCH(("Yes"),(N171))))</formula>
    </cfRule>
  </conditionalFormatting>
  <conditionalFormatting sqref="N171:Q171 N173:Q173 N175:Q175 N177:Q179 N183:Q183 N185:Q214 U204:V204">
    <cfRule type="containsText" dxfId="2" priority="36289" operator="containsText" text="Yes">
      <formula>NOT(ISERROR(SEARCH(("Yes"),(N171))))</formula>
    </cfRule>
  </conditionalFormatting>
  <conditionalFormatting sqref="N171:Q171 N173:Q173 N175:Q175 N177:Q179 N183:Q183 N185:Q214 U204:V204">
    <cfRule type="containsText" dxfId="2" priority="36290" operator="containsText" text="Yes">
      <formula>NOT(ISERROR(SEARCH(("Yes"),(N171))))</formula>
    </cfRule>
  </conditionalFormatting>
  <conditionalFormatting sqref="N171:Q171 N173:Q173 N175:Q175 N177:Q179 N183:Q183 N185:Q214 U204:V204">
    <cfRule type="containsText" dxfId="2" priority="36291" operator="containsText" text="Yes">
      <formula>NOT(ISERROR(SEARCH(("Yes"),(N171))))</formula>
    </cfRule>
  </conditionalFormatting>
  <conditionalFormatting sqref="N171:Q171 N173:Q173 N175:Q175 N177:Q179 N183:Q183 N185:Q214 U204:V204">
    <cfRule type="containsText" dxfId="2" priority="36292" operator="containsText" text="Yes">
      <formula>NOT(ISERROR(SEARCH(("Yes"),(N171))))</formula>
    </cfRule>
  </conditionalFormatting>
  <conditionalFormatting sqref="N171:Q171 N173:Q173 N175:Q175 N177:Q179 N183:Q183 N185:Q214 U204:V204">
    <cfRule type="containsText" dxfId="2" priority="36293" operator="containsText" text="Yes">
      <formula>NOT(ISERROR(SEARCH(("Yes"),(N171))))</formula>
    </cfRule>
  </conditionalFormatting>
  <conditionalFormatting sqref="N171:Q171 N173:Q173 N175:Q175 N177:Q179 N183:Q183 N185:Q214 U204:V204">
    <cfRule type="containsText" dxfId="2" priority="36294" operator="containsText" text="Yes">
      <formula>NOT(ISERROR(SEARCH(("Yes"),(N171))))</formula>
    </cfRule>
  </conditionalFormatting>
  <conditionalFormatting sqref="N171:Q171 N173:Q173 N175:Q175 N177:Q179 N183:Q183 N185:Q214 U204:V204">
    <cfRule type="containsText" dxfId="2" priority="36295" operator="containsText" text="Yes">
      <formula>NOT(ISERROR(SEARCH(("Yes"),(N171))))</formula>
    </cfRule>
  </conditionalFormatting>
  <conditionalFormatting sqref="N171:Q171 N173:Q173 N175:Q175 N177:Q179 N183:Q183 N185:Q214 U204:V204">
    <cfRule type="containsText" dxfId="2" priority="36296" operator="containsText" text="Yes">
      <formula>NOT(ISERROR(SEARCH(("Yes"),(N171))))</formula>
    </cfRule>
  </conditionalFormatting>
  <conditionalFormatting sqref="N171:Q171 N173:Q173 N175:Q175 N177:Q179 N183:Q183 N185:Q214 U204:V204">
    <cfRule type="containsText" dxfId="2" priority="36297" operator="containsText" text="Yes">
      <formula>NOT(ISERROR(SEARCH(("Yes"),(N171))))</formula>
    </cfRule>
  </conditionalFormatting>
  <conditionalFormatting sqref="N171:Q171 N173:Q173 N175:Q175 N177:Q179 N183:Q183 N185:Q214 U204:V204">
    <cfRule type="containsText" dxfId="2" priority="36298" operator="containsText" text="Yes">
      <formula>NOT(ISERROR(SEARCH(("Yes"),(N171))))</formula>
    </cfRule>
  </conditionalFormatting>
  <conditionalFormatting sqref="N171:Q171 N173:Q173 N175:Q175 N177:Q179 N183:Q183 N185:Q214 U204:V204">
    <cfRule type="containsText" dxfId="2" priority="36299" operator="containsText" text="Yes">
      <formula>NOT(ISERROR(SEARCH(("Yes"),(N171))))</formula>
    </cfRule>
  </conditionalFormatting>
  <conditionalFormatting sqref="N171:Q171 N173:Q173 N175:Q175 N177:Q179 N183:Q183 N185:Q214 U204:V204">
    <cfRule type="containsText" dxfId="2" priority="36300" operator="containsText" text="Yes">
      <formula>NOT(ISERROR(SEARCH(("Yes"),(N171))))</formula>
    </cfRule>
  </conditionalFormatting>
  <conditionalFormatting sqref="N171:Q171 N173:Q173 N175:Q175 N177:Q179 N183:Q183 N185:Q214 U204:V204">
    <cfRule type="containsText" dxfId="2" priority="36301" operator="containsText" text="Yes">
      <formula>NOT(ISERROR(SEARCH(("Yes"),(N171))))</formula>
    </cfRule>
  </conditionalFormatting>
  <conditionalFormatting sqref="N171:Q171 N173:Q173 N175:Q175 N177:Q179 N183:Q183 N185:Q214 U204:V204">
    <cfRule type="containsText" dxfId="2" priority="36302" operator="containsText" text="Yes">
      <formula>NOT(ISERROR(SEARCH(("Yes"),(N171))))</formula>
    </cfRule>
  </conditionalFormatting>
  <conditionalFormatting sqref="N171:Q171 N173:Q173 N175:Q175 N177:Q179 N183:Q183 N185:Q214 U204:V204">
    <cfRule type="containsText" dxfId="2" priority="36303" operator="containsText" text="Yes">
      <formula>NOT(ISERROR(SEARCH(("Yes"),(N171))))</formula>
    </cfRule>
  </conditionalFormatting>
  <conditionalFormatting sqref="N172:Q172 N174:Q174 N176:Q176 O178 N180:Q182 N184:Q184">
    <cfRule type="containsText" dxfId="9" priority="36304" operator="containsText" text="No">
      <formula>NOT(ISERROR(SEARCH(("No"),(N172))))</formula>
    </cfRule>
  </conditionalFormatting>
  <conditionalFormatting sqref="N172:Q172 N174:Q174 N176:Q176 O178 N180:Q182 N184:Q184">
    <cfRule type="containsText" dxfId="9" priority="36305" operator="containsText" text="No">
      <formula>NOT(ISERROR(SEARCH(("No"),(N172))))</formula>
    </cfRule>
  </conditionalFormatting>
  <conditionalFormatting sqref="N172:Q172 N174:Q174 N176:Q176 O178 N180:Q182 N184:Q184">
    <cfRule type="containsText" dxfId="9" priority="36306" operator="containsText" text="No">
      <formula>NOT(ISERROR(SEARCH(("No"),(N172))))</formula>
    </cfRule>
  </conditionalFormatting>
  <conditionalFormatting sqref="N172:Q172 N174:Q174 N176:Q176 O178 N180:Q182 N184:Q184">
    <cfRule type="containsText" dxfId="9" priority="36307" operator="containsText" text="No">
      <formula>NOT(ISERROR(SEARCH(("No"),(N172))))</formula>
    </cfRule>
  </conditionalFormatting>
  <conditionalFormatting sqref="N172:Q172 N174:Q174 N176:Q176 O178 N180:Q182 N184:Q184">
    <cfRule type="containsText" dxfId="9" priority="36308" operator="containsText" text="No">
      <formula>NOT(ISERROR(SEARCH(("No"),(N172))))</formula>
    </cfRule>
  </conditionalFormatting>
  <conditionalFormatting sqref="N172:Q172 N174:Q174 N176:Q176 O178 N180:Q182 N184:Q184">
    <cfRule type="containsText" dxfId="9" priority="36309" operator="containsText" text="No">
      <formula>NOT(ISERROR(SEARCH(("No"),(N172))))</formula>
    </cfRule>
  </conditionalFormatting>
  <conditionalFormatting sqref="N172:Q172 N174:Q174 N176:Q176 O178 N180:Q182 N184:Q184">
    <cfRule type="containsText" dxfId="9" priority="36310" operator="containsText" text="No">
      <formula>NOT(ISERROR(SEARCH(("No"),(N172))))</formula>
    </cfRule>
  </conditionalFormatting>
  <conditionalFormatting sqref="N172:Q172 N174:Q174 N176:Q176 O178 N180:Q182 N184:Q184">
    <cfRule type="containsText" dxfId="9" priority="36311" operator="containsText" text="No">
      <formula>NOT(ISERROR(SEARCH(("No"),(N172))))</formula>
    </cfRule>
  </conditionalFormatting>
  <conditionalFormatting sqref="N172:Q172 N174:Q174 N176:Q176 O178 N180:Q182 N184:Q184">
    <cfRule type="containsText" dxfId="9" priority="36312" operator="containsText" text="No">
      <formula>NOT(ISERROR(SEARCH(("No"),(N172))))</formula>
    </cfRule>
  </conditionalFormatting>
  <conditionalFormatting sqref="N172:Q172 N174:Q174 N176:Q176 O178 N180:Q182 N184:Q184">
    <cfRule type="containsText" dxfId="9" priority="36313" operator="containsText" text="No">
      <formula>NOT(ISERROR(SEARCH(("No"),(N172))))</formula>
    </cfRule>
  </conditionalFormatting>
  <conditionalFormatting sqref="N172:Q172 N174:Q174 N176:Q176 O178 N180:Q182 N184:Q184">
    <cfRule type="containsText" dxfId="9" priority="36314" operator="containsText" text="No">
      <formula>NOT(ISERROR(SEARCH(("No"),(N172))))</formula>
    </cfRule>
  </conditionalFormatting>
  <conditionalFormatting sqref="N172:Q172 N174:Q174 N176:Q176 O178 N180:Q182 N184:Q184">
    <cfRule type="containsText" dxfId="9" priority="36315" operator="containsText" text="No">
      <formula>NOT(ISERROR(SEARCH(("No"),(N172))))</formula>
    </cfRule>
  </conditionalFormatting>
  <conditionalFormatting sqref="N172:Q172 N174:Q174 N176:Q176 O178 N180:Q182 N184:Q184">
    <cfRule type="containsText" dxfId="9" priority="36316" operator="containsText" text="No">
      <formula>NOT(ISERROR(SEARCH(("No"),(N172))))</formula>
    </cfRule>
  </conditionalFormatting>
  <conditionalFormatting sqref="N172:Q172 N174:Q174 N176:Q176 O178 N180:Q182 N184:Q184">
    <cfRule type="containsText" dxfId="9" priority="36317" operator="containsText" text="No">
      <formula>NOT(ISERROR(SEARCH(("No"),(N172))))</formula>
    </cfRule>
  </conditionalFormatting>
  <conditionalFormatting sqref="N172:Q172 N174:Q174 N176:Q176 O178 N180:Q182 N184:Q184">
    <cfRule type="containsText" dxfId="9" priority="36318" operator="containsText" text="No">
      <formula>NOT(ISERROR(SEARCH(("No"),(N172))))</formula>
    </cfRule>
  </conditionalFormatting>
  <conditionalFormatting sqref="N172:Q172 N174:Q174 N176:Q176 O178 N180:Q182 N184:Q184">
    <cfRule type="containsText" dxfId="9" priority="36319" operator="containsText" text="No">
      <formula>NOT(ISERROR(SEARCH(("No"),(N172))))</formula>
    </cfRule>
  </conditionalFormatting>
  <conditionalFormatting sqref="N172:Q172 N174:Q174 N176:Q176 O178 N180:Q182 N184:Q184">
    <cfRule type="containsText" dxfId="9" priority="36320" operator="containsText" text="No">
      <formula>NOT(ISERROR(SEARCH(("No"),(N172))))</formula>
    </cfRule>
  </conditionalFormatting>
  <conditionalFormatting sqref="N172:Q172 N174:Q174 N176:Q176 O178 N180:Q182 N184:Q184">
    <cfRule type="containsText" dxfId="9" priority="36321" operator="containsText" text="No">
      <formula>NOT(ISERROR(SEARCH(("No"),(N172))))</formula>
    </cfRule>
  </conditionalFormatting>
  <conditionalFormatting sqref="N172:Q172 N174:Q174 N176:Q176 O178 N180:Q182 N184:Q184">
    <cfRule type="containsText" dxfId="9" priority="36322" operator="containsText" text="No">
      <formula>NOT(ISERROR(SEARCH(("No"),(N172))))</formula>
    </cfRule>
  </conditionalFormatting>
  <conditionalFormatting sqref="N172:Q172 N174:Q174 N176:Q176 O178 N180:Q182 N184:Q184">
    <cfRule type="containsText" dxfId="9" priority="36323" operator="containsText" text="No">
      <formula>NOT(ISERROR(SEARCH(("No"),(N172))))</formula>
    </cfRule>
  </conditionalFormatting>
  <conditionalFormatting sqref="N172:Q172 N174:Q174 N176:Q176 O178 N180:Q182 N184:Q184">
    <cfRule type="containsText" dxfId="9" priority="36324" operator="containsText" text="No">
      <formula>NOT(ISERROR(SEARCH(("No"),(N172))))</formula>
    </cfRule>
  </conditionalFormatting>
  <conditionalFormatting sqref="N172:Q172 N174:Q174 N176:Q176 O178 N180:Q182 N184:Q184">
    <cfRule type="containsText" dxfId="9" priority="36325" operator="containsText" text="No">
      <formula>NOT(ISERROR(SEARCH(("No"),(N172))))</formula>
    </cfRule>
  </conditionalFormatting>
  <conditionalFormatting sqref="N172:Q172 N174:Q174 N176:Q176 O178 N180:Q182 N184:Q184">
    <cfRule type="containsText" dxfId="9" priority="36326" operator="containsText" text="No">
      <formula>NOT(ISERROR(SEARCH(("No"),(N172))))</formula>
    </cfRule>
  </conditionalFormatting>
  <conditionalFormatting sqref="N172:Q172 N174:Q174 N176:Q176 O178 N180:Q182 N184:Q184">
    <cfRule type="containsText" dxfId="9" priority="36327" operator="containsText" text="No">
      <formula>NOT(ISERROR(SEARCH(("No"),(N172))))</formula>
    </cfRule>
  </conditionalFormatting>
  <conditionalFormatting sqref="N172:Q172 N174:Q174 N176:Q176 O178 N180:Q182 N184:Q184">
    <cfRule type="containsText" dxfId="9" priority="36328" operator="containsText" text="No">
      <formula>NOT(ISERROR(SEARCH(("No"),(N172))))</formula>
    </cfRule>
  </conditionalFormatting>
  <conditionalFormatting sqref="N172:Q172 N174:Q174 N176:Q176 O178 N180:Q182 N184:Q184">
    <cfRule type="containsText" dxfId="9" priority="36329" operator="containsText" text="No">
      <formula>NOT(ISERROR(SEARCH(("No"),(N172))))</formula>
    </cfRule>
  </conditionalFormatting>
  <conditionalFormatting sqref="N172:Q172 N174:Q174 N176:Q176 O178 N180:Q182 N184:Q184">
    <cfRule type="containsText" dxfId="9" priority="36330" operator="containsText" text="No">
      <formula>NOT(ISERROR(SEARCH(("No"),(N172))))</formula>
    </cfRule>
  </conditionalFormatting>
  <conditionalFormatting sqref="N172:Q172 N174:Q174 N176:Q176 O178 N180:Q182 N184:Q184">
    <cfRule type="containsText" dxfId="9" priority="36331" operator="containsText" text="No">
      <formula>NOT(ISERROR(SEARCH(("No"),(N172))))</formula>
    </cfRule>
  </conditionalFormatting>
  <conditionalFormatting sqref="N172:Q172 N174:Q174 N176:Q176 O178 N180:Q182 N184:Q184">
    <cfRule type="containsText" dxfId="9" priority="36332" operator="containsText" text="No">
      <formula>NOT(ISERROR(SEARCH(("No"),(N172))))</formula>
    </cfRule>
  </conditionalFormatting>
  <conditionalFormatting sqref="N172:Q172 N174:Q174 N176:Q176 O178 N180:Q182 N184:Q184">
    <cfRule type="containsText" dxfId="9" priority="36333" operator="containsText" text="No">
      <formula>NOT(ISERROR(SEARCH(("No"),(N172))))</formula>
    </cfRule>
  </conditionalFormatting>
  <conditionalFormatting sqref="N172:Q172 N174:Q174 N176:Q176 O178 N180:Q182 N184:Q184">
    <cfRule type="containsText" dxfId="9" priority="36334" operator="containsText" text="No">
      <formula>NOT(ISERROR(SEARCH(("No"),(N172))))</formula>
    </cfRule>
  </conditionalFormatting>
  <conditionalFormatting sqref="N172:Q172 N174:Q174 N176:Q176 O178 N180:Q182 N184:Q184">
    <cfRule type="containsText" dxfId="9" priority="36335" operator="containsText" text="No">
      <formula>NOT(ISERROR(SEARCH(("No"),(N172))))</formula>
    </cfRule>
  </conditionalFormatting>
  <conditionalFormatting sqref="N172:Q172 N174:Q174 N176:Q176 O178 N180:Q182 N184:Q184">
    <cfRule type="containsText" dxfId="9" priority="36336" operator="containsText" text="No">
      <formula>NOT(ISERROR(SEARCH(("No"),(N172))))</formula>
    </cfRule>
  </conditionalFormatting>
  <conditionalFormatting sqref="N172:Q172 N174:Q174 N176:Q176 O178 N180:Q182 N184:Q184">
    <cfRule type="containsText" dxfId="9" priority="36337" operator="containsText" text="No">
      <formula>NOT(ISERROR(SEARCH(("No"),(N172))))</formula>
    </cfRule>
  </conditionalFormatting>
  <conditionalFormatting sqref="N172:Q172 N174:Q174 N176:Q176 O178 N180:Q182 N184:Q184">
    <cfRule type="containsText" dxfId="9" priority="36338" operator="containsText" text="No">
      <formula>NOT(ISERROR(SEARCH(("No"),(N172))))</formula>
    </cfRule>
  </conditionalFormatting>
  <conditionalFormatting sqref="N172:Q172 N174:Q174 N176:Q176 O178 N180:Q182 N184:Q184">
    <cfRule type="containsText" dxfId="9" priority="36339" operator="containsText" text="No">
      <formula>NOT(ISERROR(SEARCH(("No"),(N172))))</formula>
    </cfRule>
  </conditionalFormatting>
  <conditionalFormatting sqref="N172:Q172 N174:Q174 N176:Q176 O178 N180:Q182 N184:Q184">
    <cfRule type="containsText" dxfId="9" priority="36340" operator="containsText" text="No">
      <formula>NOT(ISERROR(SEARCH(("No"),(N172))))</formula>
    </cfRule>
  </conditionalFormatting>
  <conditionalFormatting sqref="N172:Q172 N174:Q174 N176:Q176 O178 N180:Q182 N184:Q184">
    <cfRule type="containsText" dxfId="9" priority="36341" operator="containsText" text="No">
      <formula>NOT(ISERROR(SEARCH(("No"),(N172))))</formula>
    </cfRule>
  </conditionalFormatting>
  <conditionalFormatting sqref="N172:Q172 N174:Q174 N176:Q176 O178 N180:Q182 N184:Q184">
    <cfRule type="containsText" dxfId="9" priority="36342" operator="containsText" text="No">
      <formula>NOT(ISERROR(SEARCH(("No"),(N172))))</formula>
    </cfRule>
  </conditionalFormatting>
  <conditionalFormatting sqref="N172:Q172 N174:Q174 N176:Q176 O178 N180:Q182 N184:Q184">
    <cfRule type="containsText" dxfId="9" priority="36343" operator="containsText" text="No">
      <formula>NOT(ISERROR(SEARCH(("No"),(N172))))</formula>
    </cfRule>
  </conditionalFormatting>
  <conditionalFormatting sqref="N172:Q172 N174:Q174 N176:Q176 O178 N180:Q182 N184:Q184">
    <cfRule type="containsText" dxfId="9" priority="36344" operator="containsText" text="No">
      <formula>NOT(ISERROR(SEARCH(("No"),(N172))))</formula>
    </cfRule>
  </conditionalFormatting>
  <conditionalFormatting sqref="N172:Q172 N174:Q174 N176:Q176 O178 N180:Q182 N184:Q184">
    <cfRule type="containsText" dxfId="9" priority="36345" operator="containsText" text="No">
      <formula>NOT(ISERROR(SEARCH(("No"),(N172))))</formula>
    </cfRule>
  </conditionalFormatting>
  <conditionalFormatting sqref="N172:Q172 N174:Q174 N176:Q176 O178 N180:Q182 N184:Q184">
    <cfRule type="containsText" dxfId="9" priority="36346" operator="containsText" text="No">
      <formula>NOT(ISERROR(SEARCH(("No"),(N172))))</formula>
    </cfRule>
  </conditionalFormatting>
  <conditionalFormatting sqref="N172:Q172 N174:Q174 N176:Q176 O178 N180:Q182 N184:Q184">
    <cfRule type="containsText" dxfId="9" priority="36347" operator="containsText" text="No">
      <formula>NOT(ISERROR(SEARCH(("No"),(N172))))</formula>
    </cfRule>
  </conditionalFormatting>
  <conditionalFormatting sqref="N172:Q172 N174:Q174 N176:Q176 O178 N180:Q182 N184:Q184">
    <cfRule type="containsText" dxfId="9" priority="36348" operator="containsText" text="No">
      <formula>NOT(ISERROR(SEARCH(("No"),(N172))))</formula>
    </cfRule>
  </conditionalFormatting>
  <conditionalFormatting sqref="N172:Q172 N174:Q174 N176:Q176 O178 N180:Q182 N184:Q184">
    <cfRule type="containsText" dxfId="2" priority="36349" operator="containsText" text="Yes">
      <formula>NOT(ISERROR(SEARCH(("Yes"),(N172))))</formula>
    </cfRule>
  </conditionalFormatting>
  <conditionalFormatting sqref="N172:Q172 N174:Q174 N176:Q176 O178 N180:Q182 N184:Q184">
    <cfRule type="containsText" dxfId="2" priority="36350" operator="containsText" text="Yes">
      <formula>NOT(ISERROR(SEARCH(("Yes"),(N172))))</formula>
    </cfRule>
  </conditionalFormatting>
  <conditionalFormatting sqref="N172:Q172 N174:Q174 N176:Q176 O178 N180:Q182 N184:Q184">
    <cfRule type="containsText" dxfId="2" priority="36351" operator="containsText" text="Yes">
      <formula>NOT(ISERROR(SEARCH(("Yes"),(N172))))</formula>
    </cfRule>
  </conditionalFormatting>
  <conditionalFormatting sqref="N172:Q172 N174:Q174 N176:Q176 O178 N180:Q182 N184:Q184">
    <cfRule type="containsText" dxfId="2" priority="36352" operator="containsText" text="Yes">
      <formula>NOT(ISERROR(SEARCH(("Yes"),(N172))))</formula>
    </cfRule>
  </conditionalFormatting>
  <conditionalFormatting sqref="N172:Q172 N174:Q174 N176:Q176 O178 N180:Q182 N184:Q184">
    <cfRule type="containsText" dxfId="2" priority="36353" operator="containsText" text="Yes">
      <formula>NOT(ISERROR(SEARCH(("Yes"),(N172))))</formula>
    </cfRule>
  </conditionalFormatting>
  <conditionalFormatting sqref="N172:Q172 N174:Q174 N176:Q176 O178 N180:Q182 N184:Q184">
    <cfRule type="containsText" dxfId="2" priority="36354" operator="containsText" text="Yes">
      <formula>NOT(ISERROR(SEARCH(("Yes"),(N172))))</formula>
    </cfRule>
  </conditionalFormatting>
  <conditionalFormatting sqref="N172:Q172 N174:Q174 N176:Q176 O178 N180:Q182 N184:Q184">
    <cfRule type="containsText" dxfId="2" priority="36355" operator="containsText" text="Yes">
      <formula>NOT(ISERROR(SEARCH(("Yes"),(N172))))</formula>
    </cfRule>
  </conditionalFormatting>
  <conditionalFormatting sqref="N172:Q172 N174:Q174 N176:Q176 O178 N180:Q182 N184:Q184">
    <cfRule type="containsText" dxfId="2" priority="36356" operator="containsText" text="Yes">
      <formula>NOT(ISERROR(SEARCH(("Yes"),(N172))))</formula>
    </cfRule>
  </conditionalFormatting>
  <conditionalFormatting sqref="N172:Q172 N174:Q174 N176:Q176 O178 N180:Q182 N184:Q184">
    <cfRule type="containsText" dxfId="2" priority="36357" operator="containsText" text="Yes">
      <formula>NOT(ISERROR(SEARCH(("Yes"),(N172))))</formula>
    </cfRule>
  </conditionalFormatting>
  <conditionalFormatting sqref="N172:Q172 N174:Q174 N176:Q176 O178 N180:Q182 N184:Q184">
    <cfRule type="containsText" dxfId="2" priority="36358" operator="containsText" text="Yes">
      <formula>NOT(ISERROR(SEARCH(("Yes"),(N172))))</formula>
    </cfRule>
  </conditionalFormatting>
  <conditionalFormatting sqref="N172:Q172 N174:Q174 N176:Q176 O178 N180:Q182 N184:Q184">
    <cfRule type="containsText" dxfId="2" priority="36359" operator="containsText" text="Yes">
      <formula>NOT(ISERROR(SEARCH(("Yes"),(N172))))</formula>
    </cfRule>
  </conditionalFormatting>
  <conditionalFormatting sqref="N172:Q172 N174:Q174 N176:Q176 O178 N180:Q182 N184:Q184">
    <cfRule type="containsText" dxfId="2" priority="36360" operator="containsText" text="Yes">
      <formula>NOT(ISERROR(SEARCH(("Yes"),(N172))))</formula>
    </cfRule>
  </conditionalFormatting>
  <conditionalFormatting sqref="N172:Q172 N174:Q174 N176:Q176 O178 N180:Q182 N184:Q184">
    <cfRule type="containsText" dxfId="2" priority="36361" operator="containsText" text="Yes">
      <formula>NOT(ISERROR(SEARCH(("Yes"),(N172))))</formula>
    </cfRule>
  </conditionalFormatting>
  <conditionalFormatting sqref="N172:Q172 N174:Q174 N176:Q176 O178 N180:Q182 N184:Q184">
    <cfRule type="containsText" dxfId="2" priority="36362" operator="containsText" text="Yes">
      <formula>NOT(ISERROR(SEARCH(("Yes"),(N172))))</formula>
    </cfRule>
  </conditionalFormatting>
  <conditionalFormatting sqref="N172:Q172 N174:Q174 N176:Q176 O178 N180:Q182 N184:Q184">
    <cfRule type="containsText" dxfId="2" priority="36363" operator="containsText" text="Yes">
      <formula>NOT(ISERROR(SEARCH(("Yes"),(N172))))</formula>
    </cfRule>
  </conditionalFormatting>
  <conditionalFormatting sqref="N172:Q172 N174:Q174 N176:Q176 O178 N180:Q182 N184:Q184">
    <cfRule type="containsText" dxfId="2" priority="36364" operator="containsText" text="Yes">
      <formula>NOT(ISERROR(SEARCH(("Yes"),(N172))))</formula>
    </cfRule>
  </conditionalFormatting>
  <conditionalFormatting sqref="N172:Q172 N174:Q174 N176:Q176 O178 N180:Q182 N184:Q184">
    <cfRule type="containsText" dxfId="2" priority="36365" operator="containsText" text="Yes">
      <formula>NOT(ISERROR(SEARCH(("Yes"),(N172))))</formula>
    </cfRule>
  </conditionalFormatting>
  <conditionalFormatting sqref="N172:Q172 N174:Q174 N176:Q176 O178 N180:Q182 N184:Q184">
    <cfRule type="containsText" dxfId="2" priority="36366" operator="containsText" text="Yes">
      <formula>NOT(ISERROR(SEARCH(("Yes"),(N172))))</formula>
    </cfRule>
  </conditionalFormatting>
  <conditionalFormatting sqref="N172:Q172 N174:Q174 N176:Q176 O178 N180:Q182 N184:Q184">
    <cfRule type="containsText" dxfId="2" priority="36367" operator="containsText" text="Yes">
      <formula>NOT(ISERROR(SEARCH(("Yes"),(N172))))</formula>
    </cfRule>
  </conditionalFormatting>
  <conditionalFormatting sqref="N172:Q172 N174:Q174 N176:Q176 O178 N180:Q182 N184:Q184">
    <cfRule type="containsText" dxfId="2" priority="36368" operator="containsText" text="Yes">
      <formula>NOT(ISERROR(SEARCH(("Yes"),(N172))))</formula>
    </cfRule>
  </conditionalFormatting>
  <conditionalFormatting sqref="N172:Q172 N174:Q174 N176:Q176 O178 N180:Q182 N184:Q184">
    <cfRule type="containsText" dxfId="2" priority="36369" operator="containsText" text="Yes">
      <formula>NOT(ISERROR(SEARCH(("Yes"),(N172))))</formula>
    </cfRule>
  </conditionalFormatting>
  <conditionalFormatting sqref="N172:Q172 N174:Q174 N176:Q176 O178 N180:Q182 N184:Q184">
    <cfRule type="containsText" dxfId="2" priority="36370" operator="containsText" text="Yes">
      <formula>NOT(ISERROR(SEARCH(("Yes"),(N172))))</formula>
    </cfRule>
  </conditionalFormatting>
  <conditionalFormatting sqref="N172:Q172 N174:Q174 N176:Q176 O178 N180:Q182 N184:Q184">
    <cfRule type="containsText" dxfId="2" priority="36371" operator="containsText" text="Yes">
      <formula>NOT(ISERROR(SEARCH(("Yes"),(N172))))</formula>
    </cfRule>
  </conditionalFormatting>
  <conditionalFormatting sqref="N172:Q172 N174:Q174 N176:Q176 O178 N180:Q182 N184:Q184">
    <cfRule type="containsText" dxfId="2" priority="36372" operator="containsText" text="Yes">
      <formula>NOT(ISERROR(SEARCH(("Yes"),(N172))))</formula>
    </cfRule>
  </conditionalFormatting>
  <conditionalFormatting sqref="N172:Q172 N174:Q174 N176:Q176 O178 N180:Q182 N184:Q184">
    <cfRule type="containsText" dxfId="2" priority="36373" operator="containsText" text="Yes">
      <formula>NOT(ISERROR(SEARCH(("Yes"),(N172))))</formula>
    </cfRule>
  </conditionalFormatting>
  <conditionalFormatting sqref="N172:Q172 N174:Q174 N176:Q176 O178 N180:Q182 N184:Q184">
    <cfRule type="containsText" dxfId="2" priority="36374" operator="containsText" text="Yes">
      <formula>NOT(ISERROR(SEARCH(("Yes"),(N172))))</formula>
    </cfRule>
  </conditionalFormatting>
  <conditionalFormatting sqref="N172:Q172 N174:Q174 N176:Q176 O178 N180:Q182 N184:Q184">
    <cfRule type="containsText" dxfId="2" priority="36375" operator="containsText" text="Yes">
      <formula>NOT(ISERROR(SEARCH(("Yes"),(N172))))</formula>
    </cfRule>
  </conditionalFormatting>
  <conditionalFormatting sqref="N172:Q172 N174:Q174 N176:Q176 O178 N180:Q182 N184:Q184">
    <cfRule type="containsText" dxfId="2" priority="36376" operator="containsText" text="Yes">
      <formula>NOT(ISERROR(SEARCH(("Yes"),(N172))))</formula>
    </cfRule>
  </conditionalFormatting>
  <conditionalFormatting sqref="N172:Q172 N174:Q174 N176:Q176 O178 N180:Q182 N184:Q184">
    <cfRule type="containsText" dxfId="2" priority="36377" operator="containsText" text="Yes">
      <formula>NOT(ISERROR(SEARCH(("Yes"),(N172))))</formula>
    </cfRule>
  </conditionalFormatting>
  <conditionalFormatting sqref="N172:Q172 N174:Q174 N176:Q176 O178 N180:Q182 N184:Q184">
    <cfRule type="containsText" dxfId="2" priority="36378" operator="containsText" text="Yes">
      <formula>NOT(ISERROR(SEARCH(("Yes"),(N172))))</formula>
    </cfRule>
  </conditionalFormatting>
  <conditionalFormatting sqref="N172:Q172 N174:Q174 N176:Q176 O178 N180:Q182 N184:Q184">
    <cfRule type="containsText" dxfId="2" priority="36379" operator="containsText" text="Yes">
      <formula>NOT(ISERROR(SEARCH(("Yes"),(N172))))</formula>
    </cfRule>
  </conditionalFormatting>
  <conditionalFormatting sqref="N172:Q172 N174:Q174 N176:Q176 O178 N180:Q182 N184:Q184">
    <cfRule type="containsText" dxfId="2" priority="36380" operator="containsText" text="Yes">
      <formula>NOT(ISERROR(SEARCH(("Yes"),(N172))))</formula>
    </cfRule>
  </conditionalFormatting>
  <conditionalFormatting sqref="N172:Q172 N174:Q174 N176:Q176 O178 N180:Q182 N184:Q184">
    <cfRule type="containsText" dxfId="2" priority="36381" operator="containsText" text="Yes">
      <formula>NOT(ISERROR(SEARCH(("Yes"),(N172))))</formula>
    </cfRule>
  </conditionalFormatting>
  <conditionalFormatting sqref="N172:Q172 N174:Q174 N176:Q176 O178 N180:Q182 N184:Q184">
    <cfRule type="containsText" dxfId="2" priority="36382" operator="containsText" text="Yes">
      <formula>NOT(ISERROR(SEARCH(("Yes"),(N172))))</formula>
    </cfRule>
  </conditionalFormatting>
  <conditionalFormatting sqref="N172:Q172 N174:Q174 N176:Q176 O178 N180:Q182 N184:Q184">
    <cfRule type="containsText" dxfId="2" priority="36383" operator="containsText" text="Yes">
      <formula>NOT(ISERROR(SEARCH(("Yes"),(N172))))</formula>
    </cfRule>
  </conditionalFormatting>
  <conditionalFormatting sqref="N172:Q172 N174:Q174 N176:Q176 O178 N180:Q182 N184:Q184">
    <cfRule type="containsText" dxfId="2" priority="36384" operator="containsText" text="Yes">
      <formula>NOT(ISERROR(SEARCH(("Yes"),(N172))))</formula>
    </cfRule>
  </conditionalFormatting>
  <conditionalFormatting sqref="N172:Q172 N174:Q174 N176:Q176 O178 N180:Q182 N184:Q184">
    <cfRule type="containsText" dxfId="2" priority="36385" operator="containsText" text="Yes">
      <formula>NOT(ISERROR(SEARCH(("Yes"),(N172))))</formula>
    </cfRule>
  </conditionalFormatting>
  <conditionalFormatting sqref="N172:Q172 N174:Q174 N176:Q176 O178 N180:Q182 N184:Q184">
    <cfRule type="containsText" dxfId="2" priority="36386" operator="containsText" text="Yes">
      <formula>NOT(ISERROR(SEARCH(("Yes"),(N172))))</formula>
    </cfRule>
  </conditionalFormatting>
  <conditionalFormatting sqref="N172:Q172 N174:Q174 N176:Q176 O178 N180:Q182 N184:Q184">
    <cfRule type="containsText" dxfId="2" priority="36387" operator="containsText" text="Yes">
      <formula>NOT(ISERROR(SEARCH(("Yes"),(N172))))</formula>
    </cfRule>
  </conditionalFormatting>
  <conditionalFormatting sqref="N172:Q172 N174:Q174 N176:Q176 O178 N180:Q182 N184:Q184">
    <cfRule type="containsText" dxfId="2" priority="36388" operator="containsText" text="Yes">
      <formula>NOT(ISERROR(SEARCH(("Yes"),(N172))))</formula>
    </cfRule>
  </conditionalFormatting>
  <conditionalFormatting sqref="N172:Q172 N174:Q174 N176:Q176 O178 N180:Q182 N184:Q184">
    <cfRule type="containsText" dxfId="2" priority="36389" operator="containsText" text="Yes">
      <formula>NOT(ISERROR(SEARCH(("Yes"),(N172))))</formula>
    </cfRule>
  </conditionalFormatting>
  <conditionalFormatting sqref="N172:Q172 N174:Q174 N176:Q176 O178 N180:Q182 N184:Q184">
    <cfRule type="containsText" dxfId="2" priority="36390" operator="containsText" text="Yes">
      <formula>NOT(ISERROR(SEARCH(("Yes"),(N172))))</formula>
    </cfRule>
  </conditionalFormatting>
  <conditionalFormatting sqref="N172:Q172 N174:Q174 N176:Q176 O178 N180:Q182 N184:Q184">
    <cfRule type="containsText" dxfId="2" priority="36391" operator="containsText" text="Yes">
      <formula>NOT(ISERROR(SEARCH(("Yes"),(N172))))</formula>
    </cfRule>
  </conditionalFormatting>
  <conditionalFormatting sqref="N172:Q172 N174:Q174 N176:Q176 O178 N180:Q182 N184:Q184">
    <cfRule type="containsText" dxfId="2" priority="36392" operator="containsText" text="Yes">
      <formula>NOT(ISERROR(SEARCH(("Yes"),(N172))))</formula>
    </cfRule>
  </conditionalFormatting>
  <conditionalFormatting sqref="N172:Q172 N174:Q174 N176:Q176 O178 N180:Q182 N184:Q184">
    <cfRule type="containsText" dxfId="2" priority="36393" operator="containsText" text="Yes">
      <formula>NOT(ISERROR(SEARCH(("Yes"),(N172))))</formula>
    </cfRule>
  </conditionalFormatting>
  <conditionalFormatting sqref="N172:Q172 N174:Q174 N176:Q176 O178 N180:Q182 N184:Q184">
    <cfRule type="containsText" dxfId="2" priority="36394" operator="containsText" text="Yes">
      <formula>NOT(ISERROR(SEARCH(("Yes"),(N172))))</formula>
    </cfRule>
  </conditionalFormatting>
  <conditionalFormatting sqref="N172:Q172 N174:Q174 N176:Q176 O178 N180:Q182 N184:Q184">
    <cfRule type="containsText" dxfId="2" priority="36395" operator="containsText" text="Yes">
      <formula>NOT(ISERROR(SEARCH(("Yes"),(N172))))</formula>
    </cfRule>
  </conditionalFormatting>
  <conditionalFormatting sqref="N173:O173 P173:Q214 N175:O175 N177:O179 N183:O183 N185:O214 U204:V204">
    <cfRule type="containsText" dxfId="9" priority="36396" operator="containsText" text="No">
      <formula>NOT(ISERROR(SEARCH(("No"),(N173))))</formula>
    </cfRule>
  </conditionalFormatting>
  <conditionalFormatting sqref="N173:O173 P173:Q214 N175:O175 N177:O179 N183:O183 N185:O214 U204:V204">
    <cfRule type="containsText" dxfId="9" priority="36397" operator="containsText" text="No">
      <formula>NOT(ISERROR(SEARCH(("No"),(N173))))</formula>
    </cfRule>
  </conditionalFormatting>
  <conditionalFormatting sqref="N173:O173 P173:Q214 N175:O175 N177:O179 N183:O183 N185:O214 U204:V204">
    <cfRule type="containsText" dxfId="9" priority="36398" operator="containsText" text="No">
      <formula>NOT(ISERROR(SEARCH(("No"),(N173))))</formula>
    </cfRule>
  </conditionalFormatting>
  <conditionalFormatting sqref="N173:O173 P173:Q214 N175:O175 N177:O179 N183:O183 N185:O214 U204:V204">
    <cfRule type="containsText" dxfId="9" priority="36399" operator="containsText" text="No">
      <formula>NOT(ISERROR(SEARCH(("No"),(N173))))</formula>
    </cfRule>
  </conditionalFormatting>
  <conditionalFormatting sqref="N173:O173 P173:Q214 N175:O175 N177:O179 N183:O183 N185:O214 U204:V204">
    <cfRule type="containsText" dxfId="9" priority="36400" operator="containsText" text="No">
      <formula>NOT(ISERROR(SEARCH(("No"),(N173))))</formula>
    </cfRule>
  </conditionalFormatting>
  <conditionalFormatting sqref="N173:O173 P173:Q214 N175:O175 N177:O179 N183:O183 N185:O214 U204:V204">
    <cfRule type="containsText" dxfId="9" priority="36401" operator="containsText" text="No">
      <formula>NOT(ISERROR(SEARCH(("No"),(N173))))</formula>
    </cfRule>
  </conditionalFormatting>
  <conditionalFormatting sqref="N173:O173 P173:Q214 N175:O175 N177:O179 N183:O183 N185:O214 U204:V204">
    <cfRule type="containsText" dxfId="9" priority="36402" operator="containsText" text="No">
      <formula>NOT(ISERROR(SEARCH(("No"),(N173))))</formula>
    </cfRule>
  </conditionalFormatting>
  <conditionalFormatting sqref="N173:O173 P173:Q214 N175:O175 N177:O179 N183:O183 N185:O214 U204:V204">
    <cfRule type="containsText" dxfId="9" priority="36403" operator="containsText" text="No">
      <formula>NOT(ISERROR(SEARCH(("No"),(N173))))</formula>
    </cfRule>
  </conditionalFormatting>
  <conditionalFormatting sqref="N173:O173 P173:Q214 N175:O175 N177:O179 N183:O183 N185:O214 U204:V204">
    <cfRule type="containsText" dxfId="9" priority="36404" operator="containsText" text="No">
      <formula>NOT(ISERROR(SEARCH(("No"),(N173))))</formula>
    </cfRule>
  </conditionalFormatting>
  <conditionalFormatting sqref="N173:O173 P173:Q214 N175:O175 N177:O179 N183:O183 N185:O214 U204:V204">
    <cfRule type="containsText" dxfId="9" priority="36405" operator="containsText" text="No">
      <formula>NOT(ISERROR(SEARCH(("No"),(N173))))</formula>
    </cfRule>
  </conditionalFormatting>
  <conditionalFormatting sqref="N173:O173 P173:Q214 N175:O175 N177:O179 N183:O183 N185:O214 U204:V204">
    <cfRule type="containsText" dxfId="9" priority="36406" operator="containsText" text="No">
      <formula>NOT(ISERROR(SEARCH(("No"),(N173))))</formula>
    </cfRule>
  </conditionalFormatting>
  <conditionalFormatting sqref="N173:O173 P173:Q214 N175:O175 N177:O179 N183:O183 N185:O214 U204:V204">
    <cfRule type="containsText" dxfId="9" priority="36407" operator="containsText" text="No">
      <formula>NOT(ISERROR(SEARCH(("No"),(N173))))</formula>
    </cfRule>
  </conditionalFormatting>
  <conditionalFormatting sqref="N173:O173 P173:Q214 N175:O175 N177:O179 N183:O183 N185:O214 U204:V204">
    <cfRule type="containsText" dxfId="9" priority="36408" operator="containsText" text="No">
      <formula>NOT(ISERROR(SEARCH(("No"),(N173))))</formula>
    </cfRule>
  </conditionalFormatting>
  <conditionalFormatting sqref="N173:O173 P173:Q214 N175:O175 N177:O179 N183:O183 N185:O214 U204:V204">
    <cfRule type="containsText" dxfId="9" priority="36409" operator="containsText" text="No">
      <formula>NOT(ISERROR(SEARCH(("No"),(N173))))</formula>
    </cfRule>
  </conditionalFormatting>
  <conditionalFormatting sqref="N173:O173 P173:Q214 N175:O175 N177:O179 N183:O183 N185:O214 U204:V204">
    <cfRule type="containsText" dxfId="9" priority="36410" operator="containsText" text="No">
      <formula>NOT(ISERROR(SEARCH(("No"),(N173))))</formula>
    </cfRule>
  </conditionalFormatting>
  <conditionalFormatting sqref="N173:O173 P173:Q214 N175:O175 N177:O179 N183:O183 N185:O214 U204:V204">
    <cfRule type="containsText" dxfId="9" priority="36411" operator="containsText" text="No">
      <formula>NOT(ISERROR(SEARCH(("No"),(N173))))</formula>
    </cfRule>
  </conditionalFormatting>
  <conditionalFormatting sqref="N173:O173 P173:Q214 N175:O175 N177:O179 N183:O183 N185:O214 U204:V204">
    <cfRule type="containsText" dxfId="9" priority="36412" operator="containsText" text="No">
      <formula>NOT(ISERROR(SEARCH(("No"),(N173))))</formula>
    </cfRule>
  </conditionalFormatting>
  <conditionalFormatting sqref="N173:O173 P173:Q214 N175:O175 N177:O179 N183:O183 N185:O214 U204:V204">
    <cfRule type="containsText" dxfId="9" priority="36413" operator="containsText" text="No">
      <formula>NOT(ISERROR(SEARCH(("No"),(N173))))</formula>
    </cfRule>
  </conditionalFormatting>
  <conditionalFormatting sqref="N173:O173 P173:Q214 N175:O175 N177:O179 N183:O183 N185:O214 U204:V204">
    <cfRule type="containsText" dxfId="9" priority="36414" operator="containsText" text="No">
      <formula>NOT(ISERROR(SEARCH(("No"),(N173))))</formula>
    </cfRule>
  </conditionalFormatting>
  <conditionalFormatting sqref="N173:O173 P173:Q214 N175:O175 N177:O179 N183:O183 N185:O214 U204:V204">
    <cfRule type="containsText" dxfId="9" priority="36415" operator="containsText" text="No">
      <formula>NOT(ISERROR(SEARCH(("No"),(N173))))</formula>
    </cfRule>
  </conditionalFormatting>
  <conditionalFormatting sqref="N173:O173 P173:Q214 N175:O175 N177:O179 N183:O183 N185:O214 U204:V204">
    <cfRule type="containsText" dxfId="9" priority="36416" operator="containsText" text="No">
      <formula>NOT(ISERROR(SEARCH(("No"),(N173))))</formula>
    </cfRule>
  </conditionalFormatting>
  <conditionalFormatting sqref="N173:O173 P173:Q214 N175:O175 N177:O179 N183:O183 N185:O214 U204:V204">
    <cfRule type="containsText" dxfId="9" priority="36417" operator="containsText" text="No">
      <formula>NOT(ISERROR(SEARCH(("No"),(N173))))</formula>
    </cfRule>
  </conditionalFormatting>
  <conditionalFormatting sqref="N173:O173 P173:Q214 N175:O175 N177:O179 N183:O183 N185:O214 U204:V204">
    <cfRule type="containsText" dxfId="9" priority="36418" operator="containsText" text="No">
      <formula>NOT(ISERROR(SEARCH(("No"),(N173))))</formula>
    </cfRule>
  </conditionalFormatting>
  <conditionalFormatting sqref="N173:O173 P173:Q214 N175:O175 N177:O179 N183:O183 N185:O214 U204:V204">
    <cfRule type="containsText" dxfId="9" priority="36419" operator="containsText" text="No">
      <formula>NOT(ISERROR(SEARCH(("No"),(N173))))</formula>
    </cfRule>
  </conditionalFormatting>
  <conditionalFormatting sqref="N173:O173 P173:Q214 N175:O175 N177:O179 N183:O183 N185:O214 U204:V204">
    <cfRule type="containsText" dxfId="9" priority="36420" operator="containsText" text="No">
      <formula>NOT(ISERROR(SEARCH(("No"),(N173))))</formula>
    </cfRule>
  </conditionalFormatting>
  <conditionalFormatting sqref="N173:O173 P173:Q214 N175:O175 N177:O179 N183:O183 N185:O214 U204:V204">
    <cfRule type="containsText" dxfId="9" priority="36421" operator="containsText" text="No">
      <formula>NOT(ISERROR(SEARCH(("No"),(N173))))</formula>
    </cfRule>
  </conditionalFormatting>
  <conditionalFormatting sqref="N173:O173 P173:Q214 N175:O175 N177:O179 N183:O183 N185:O214 U204:V204">
    <cfRule type="containsText" dxfId="9" priority="36422" operator="containsText" text="No">
      <formula>NOT(ISERROR(SEARCH(("No"),(N173))))</formula>
    </cfRule>
  </conditionalFormatting>
  <conditionalFormatting sqref="N173:O173 P173:Q214 N175:O175 N177:O179 N183:O183 N185:O214 U204:V204">
    <cfRule type="containsText" dxfId="9" priority="36423" operator="containsText" text="No">
      <formula>NOT(ISERROR(SEARCH(("No"),(N173))))</formula>
    </cfRule>
  </conditionalFormatting>
  <conditionalFormatting sqref="N173:O173 P173:Q214 N175:O175 N177:O179 N183:O183 N185:O214 U204:V204">
    <cfRule type="containsText" dxfId="9" priority="36424" operator="containsText" text="No">
      <formula>NOT(ISERROR(SEARCH(("No"),(N173))))</formula>
    </cfRule>
  </conditionalFormatting>
  <conditionalFormatting sqref="N173:O173 P173:Q214 N175:O175 N177:O179 N183:O183 N185:O214 U204:V204">
    <cfRule type="containsText" dxfId="9" priority="36425" operator="containsText" text="No">
      <formula>NOT(ISERROR(SEARCH(("No"),(N173))))</formula>
    </cfRule>
  </conditionalFormatting>
  <conditionalFormatting sqref="N173:O173 P173:Q214 N175:O175 N177:O179 N183:O183 N185:O214 U204:V204">
    <cfRule type="containsText" dxfId="9" priority="36426" operator="containsText" text="No">
      <formula>NOT(ISERROR(SEARCH(("No"),(N173))))</formula>
    </cfRule>
  </conditionalFormatting>
  <conditionalFormatting sqref="N173:O173 P173:Q214 N175:O175 N177:O179 N183:O183 N185:O214 U204:V204">
    <cfRule type="containsText" dxfId="9" priority="36427" operator="containsText" text="No">
      <formula>NOT(ISERROR(SEARCH(("No"),(N173))))</formula>
    </cfRule>
  </conditionalFormatting>
  <conditionalFormatting sqref="N173:O173 P173:Q214 N175:O175 N177:O179 N183:O183 N185:O214 U204:V204">
    <cfRule type="containsText" dxfId="9" priority="36428" operator="containsText" text="No">
      <formula>NOT(ISERROR(SEARCH(("No"),(N173))))</formula>
    </cfRule>
  </conditionalFormatting>
  <conditionalFormatting sqref="N173:O173 P173:Q214 N175:O175 N177:O179 N183:O183 N185:O214 U204:V204">
    <cfRule type="containsText" dxfId="9" priority="36429" operator="containsText" text="No">
      <formula>NOT(ISERROR(SEARCH(("No"),(N173))))</formula>
    </cfRule>
  </conditionalFormatting>
  <conditionalFormatting sqref="N173:O173 P173:Q214 N175:O175 N177:O179 N183:O183 N185:O214 U204:V204">
    <cfRule type="containsText" dxfId="9" priority="36430" operator="containsText" text="No">
      <formula>NOT(ISERROR(SEARCH(("No"),(N173))))</formula>
    </cfRule>
  </conditionalFormatting>
  <conditionalFormatting sqref="N173:O173 P173:Q214 N175:O175 N177:O179 N183:O183 N185:O214 U204:V204">
    <cfRule type="containsText" dxfId="9" priority="36431" operator="containsText" text="No">
      <formula>NOT(ISERROR(SEARCH(("No"),(N173))))</formula>
    </cfRule>
  </conditionalFormatting>
  <conditionalFormatting sqref="N173:O173 P173:Q214 N175:O175 N177:O179 N183:O183 N185:O214 U204:V204">
    <cfRule type="containsText" dxfId="9" priority="36432" operator="containsText" text="No">
      <formula>NOT(ISERROR(SEARCH(("No"),(N173))))</formula>
    </cfRule>
  </conditionalFormatting>
  <conditionalFormatting sqref="N173:O173 P173:Q214 N175:O175 N177:O179 N183:O183 N185:O214 U204:V204">
    <cfRule type="containsText" dxfId="9" priority="36433" operator="containsText" text="No">
      <formula>NOT(ISERROR(SEARCH(("No"),(N173))))</formula>
    </cfRule>
  </conditionalFormatting>
  <conditionalFormatting sqref="N173:O173 P173:Q214 N175:O175 N177:O179 N183:O183 N185:O214 U204:V204">
    <cfRule type="containsText" dxfId="9" priority="36434" operator="containsText" text="No">
      <formula>NOT(ISERROR(SEARCH(("No"),(N173))))</formula>
    </cfRule>
  </conditionalFormatting>
  <conditionalFormatting sqref="N173:O173 P173:Q214 N175:O175 N177:O179 N183:O183 N185:O214 U204:V204">
    <cfRule type="containsText" dxfId="9" priority="36435" operator="containsText" text="No">
      <formula>NOT(ISERROR(SEARCH(("No"),(N173))))</formula>
    </cfRule>
  </conditionalFormatting>
  <conditionalFormatting sqref="N173:O173 P173:Q214 N175:O175 N177:O179 N183:O183 N185:O214 U204:V204">
    <cfRule type="containsText" dxfId="9" priority="36436" operator="containsText" text="No">
      <formula>NOT(ISERROR(SEARCH(("No"),(N173))))</formula>
    </cfRule>
  </conditionalFormatting>
  <conditionalFormatting sqref="N173:O173 P173:Q214 N175:O175 N177:O179 N183:O183 N185:O214 U204:V204">
    <cfRule type="containsText" dxfId="9" priority="36437" operator="containsText" text="No">
      <formula>NOT(ISERROR(SEARCH(("No"),(N173))))</formula>
    </cfRule>
  </conditionalFormatting>
  <conditionalFormatting sqref="N173:O173 P173:Q214 N175:O175 N177:O179 N183:O183 N185:O214 U204:V204">
    <cfRule type="containsText" dxfId="9" priority="36438" operator="containsText" text="No">
      <formula>NOT(ISERROR(SEARCH(("No"),(N173))))</formula>
    </cfRule>
  </conditionalFormatting>
  <conditionalFormatting sqref="N173:O173 P173:Q214 N175:O175 N177:O179 N183:O183 N185:O214 U204:V204">
    <cfRule type="containsText" dxfId="9" priority="36439" operator="containsText" text="No">
      <formula>NOT(ISERROR(SEARCH(("No"),(N173))))</formula>
    </cfRule>
  </conditionalFormatting>
  <conditionalFormatting sqref="N173:O173 P173:Q214 N175:O175 N177:O179 N183:O183 N185:O214 U204:V204">
    <cfRule type="containsText" dxfId="9" priority="36440" operator="containsText" text="No">
      <formula>NOT(ISERROR(SEARCH(("No"),(N173))))</formula>
    </cfRule>
  </conditionalFormatting>
  <conditionalFormatting sqref="N173:O173 P173:Q214 N175:O175 N177:O179 N183:O183 N185:O214 U204:V204">
    <cfRule type="containsText" dxfId="2" priority="36441" operator="containsText" text="Yes">
      <formula>NOT(ISERROR(SEARCH(("Yes"),(N173))))</formula>
    </cfRule>
  </conditionalFormatting>
  <conditionalFormatting sqref="N173:O173 P173:Q214 N175:O175 N177:O179 N183:O183 N185:O214 U204:V204">
    <cfRule type="containsText" dxfId="2" priority="36442" operator="containsText" text="Yes">
      <formula>NOT(ISERROR(SEARCH(("Yes"),(N173))))</formula>
    </cfRule>
  </conditionalFormatting>
  <conditionalFormatting sqref="N173:O173 P173:Q214 N175:O175 N177:O179 N183:O183 N185:O214 U204:V204">
    <cfRule type="containsText" dxfId="2" priority="36443" operator="containsText" text="Yes">
      <formula>NOT(ISERROR(SEARCH(("Yes"),(N173))))</formula>
    </cfRule>
  </conditionalFormatting>
  <conditionalFormatting sqref="N173:O173 P173:Q214 N175:O175 N177:O179 N183:O183 N185:O214 U204:V204">
    <cfRule type="containsText" dxfId="2" priority="36444" operator="containsText" text="Yes">
      <formula>NOT(ISERROR(SEARCH(("Yes"),(N173))))</formula>
    </cfRule>
  </conditionalFormatting>
  <conditionalFormatting sqref="N173:O173 P173:Q214 N175:O175 N177:O179 N183:O183 N185:O214 U204:V204">
    <cfRule type="containsText" dxfId="2" priority="36445" operator="containsText" text="Yes">
      <formula>NOT(ISERROR(SEARCH(("Yes"),(N173))))</formula>
    </cfRule>
  </conditionalFormatting>
  <conditionalFormatting sqref="N173:O173 P173:Q214 N175:O175 N177:O179 N183:O183 N185:O214 U204:V204">
    <cfRule type="containsText" dxfId="2" priority="36446" operator="containsText" text="Yes">
      <formula>NOT(ISERROR(SEARCH(("Yes"),(N173))))</formula>
    </cfRule>
  </conditionalFormatting>
  <conditionalFormatting sqref="N173:O173 P173:Q214 N175:O175 N177:O179 N183:O183 N185:O214 U204:V204">
    <cfRule type="containsText" dxfId="2" priority="36447" operator="containsText" text="Yes">
      <formula>NOT(ISERROR(SEARCH(("Yes"),(N173))))</formula>
    </cfRule>
  </conditionalFormatting>
  <conditionalFormatting sqref="N173:O173 P173:Q214 N175:O175 N177:O179 N183:O183 N185:O214 U204:V204">
    <cfRule type="containsText" dxfId="2" priority="36448" operator="containsText" text="Yes">
      <formula>NOT(ISERROR(SEARCH(("Yes"),(N173))))</formula>
    </cfRule>
  </conditionalFormatting>
  <conditionalFormatting sqref="N173:O173 P173:Q214 N175:O175 N177:O179 N183:O183 N185:O214 U204:V204">
    <cfRule type="containsText" dxfId="2" priority="36449" operator="containsText" text="Yes">
      <formula>NOT(ISERROR(SEARCH(("Yes"),(N173))))</formula>
    </cfRule>
  </conditionalFormatting>
  <conditionalFormatting sqref="N173:O173 P173:Q214 N175:O175 N177:O179 N183:O183 N185:O214 U204:V204">
    <cfRule type="containsText" dxfId="2" priority="36450" operator="containsText" text="Yes">
      <formula>NOT(ISERROR(SEARCH(("Yes"),(N173))))</formula>
    </cfRule>
  </conditionalFormatting>
  <conditionalFormatting sqref="N173:O173 P173:Q214 N175:O175 N177:O179 N183:O183 N185:O214 U204:V204">
    <cfRule type="containsText" dxfId="2" priority="36451" operator="containsText" text="Yes">
      <formula>NOT(ISERROR(SEARCH(("Yes"),(N173))))</formula>
    </cfRule>
  </conditionalFormatting>
  <conditionalFormatting sqref="N173:O173 P173:Q214 N175:O175 N177:O179 N183:O183 N185:O214 U204:V204">
    <cfRule type="containsText" dxfId="2" priority="36452" operator="containsText" text="Yes">
      <formula>NOT(ISERROR(SEARCH(("Yes"),(N173))))</formula>
    </cfRule>
  </conditionalFormatting>
  <conditionalFormatting sqref="N173:O173 P173:Q214 N175:O175 N177:O179 N183:O183 N185:O214 U204:V204">
    <cfRule type="containsText" dxfId="2" priority="36453" operator="containsText" text="Yes">
      <formula>NOT(ISERROR(SEARCH(("Yes"),(N173))))</formula>
    </cfRule>
  </conditionalFormatting>
  <conditionalFormatting sqref="N173:O173 P173:Q214 N175:O175 N177:O179 N183:O183 N185:O214 U204:V204">
    <cfRule type="containsText" dxfId="2" priority="36454" operator="containsText" text="Yes">
      <formula>NOT(ISERROR(SEARCH(("Yes"),(N173))))</formula>
    </cfRule>
  </conditionalFormatting>
  <conditionalFormatting sqref="N173:O173 P173:Q214 N175:O175 N177:O179 N183:O183 N185:O214 U204:V204">
    <cfRule type="containsText" dxfId="2" priority="36455" operator="containsText" text="Yes">
      <formula>NOT(ISERROR(SEARCH(("Yes"),(N173))))</formula>
    </cfRule>
  </conditionalFormatting>
  <conditionalFormatting sqref="N173:O173 P173:Q214 N175:O175 N177:O179 N183:O183 N185:O214 U204:V204">
    <cfRule type="containsText" dxfId="2" priority="36456" operator="containsText" text="Yes">
      <formula>NOT(ISERROR(SEARCH(("Yes"),(N173))))</formula>
    </cfRule>
  </conditionalFormatting>
  <conditionalFormatting sqref="N173:O173 P173:Q214 N175:O175 N177:O179 N183:O183 N185:O214 U204:V204">
    <cfRule type="containsText" dxfId="2" priority="36457" operator="containsText" text="Yes">
      <formula>NOT(ISERROR(SEARCH(("Yes"),(N173))))</formula>
    </cfRule>
  </conditionalFormatting>
  <conditionalFormatting sqref="N173:O173 P173:Q214 N175:O175 N177:O179 N183:O183 N185:O214 U204:V204">
    <cfRule type="containsText" dxfId="2" priority="36458" operator="containsText" text="Yes">
      <formula>NOT(ISERROR(SEARCH(("Yes"),(N173))))</formula>
    </cfRule>
  </conditionalFormatting>
  <conditionalFormatting sqref="N173:O173 P173:Q214 N175:O175 N177:O179 N183:O183 N185:O214 U204:V204">
    <cfRule type="containsText" dxfId="2" priority="36459" operator="containsText" text="Yes">
      <formula>NOT(ISERROR(SEARCH(("Yes"),(N173))))</formula>
    </cfRule>
  </conditionalFormatting>
  <conditionalFormatting sqref="N173:O173 P173:Q214 N175:O175 N177:O179 N183:O183 N185:O214 U204:V204">
    <cfRule type="containsText" dxfId="2" priority="36460" operator="containsText" text="Yes">
      <formula>NOT(ISERROR(SEARCH(("Yes"),(N173))))</formula>
    </cfRule>
  </conditionalFormatting>
  <conditionalFormatting sqref="N173:O173 P173:Q214 N175:O175 N177:O179 N183:O183 N185:O214 U204:V204">
    <cfRule type="containsText" dxfId="2" priority="36461" operator="containsText" text="Yes">
      <formula>NOT(ISERROR(SEARCH(("Yes"),(N173))))</formula>
    </cfRule>
  </conditionalFormatting>
  <conditionalFormatting sqref="N173:O173 P173:Q214 N175:O175 N177:O179 N183:O183 N185:O214 U204:V204">
    <cfRule type="containsText" dxfId="2" priority="36462" operator="containsText" text="Yes">
      <formula>NOT(ISERROR(SEARCH(("Yes"),(N173))))</formula>
    </cfRule>
  </conditionalFormatting>
  <conditionalFormatting sqref="N173:O173 P173:Q214 N175:O175 N177:O179 N183:O183 N185:O214 U204:V204">
    <cfRule type="containsText" dxfId="2" priority="36463" operator="containsText" text="Yes">
      <formula>NOT(ISERROR(SEARCH(("Yes"),(N173))))</formula>
    </cfRule>
  </conditionalFormatting>
  <conditionalFormatting sqref="N173:O173 P173:Q214 N175:O175 N177:O179 N183:O183 N185:O214 U204:V204">
    <cfRule type="containsText" dxfId="2" priority="36464" operator="containsText" text="Yes">
      <formula>NOT(ISERROR(SEARCH(("Yes"),(N173))))</formula>
    </cfRule>
  </conditionalFormatting>
  <conditionalFormatting sqref="N173:O173 P173:Q214 N175:O175 N177:O179 N183:O183 N185:O214 U204:V204">
    <cfRule type="containsText" dxfId="2" priority="36465" operator="containsText" text="Yes">
      <formula>NOT(ISERROR(SEARCH(("Yes"),(N173))))</formula>
    </cfRule>
  </conditionalFormatting>
  <conditionalFormatting sqref="N173:O173 P173:Q214 N175:O175 N177:O179 N183:O183 N185:O214 U204:V204">
    <cfRule type="containsText" dxfId="2" priority="36466" operator="containsText" text="Yes">
      <formula>NOT(ISERROR(SEARCH(("Yes"),(N173))))</formula>
    </cfRule>
  </conditionalFormatting>
  <conditionalFormatting sqref="N173:O173 P173:Q214 N175:O175 N177:O179 N183:O183 N185:O214 U204:V204">
    <cfRule type="containsText" dxfId="2" priority="36467" operator="containsText" text="Yes">
      <formula>NOT(ISERROR(SEARCH(("Yes"),(N173))))</formula>
    </cfRule>
  </conditionalFormatting>
  <conditionalFormatting sqref="N173:O173 P173:Q214 N175:O175 N177:O179 N183:O183 N185:O214 U204:V204">
    <cfRule type="containsText" dxfId="2" priority="36468" operator="containsText" text="Yes">
      <formula>NOT(ISERROR(SEARCH(("Yes"),(N173))))</formula>
    </cfRule>
  </conditionalFormatting>
  <conditionalFormatting sqref="N173:O173 P173:Q214 N175:O175 N177:O179 N183:O183 N185:O214 U204:V204">
    <cfRule type="containsText" dxfId="2" priority="36469" operator="containsText" text="Yes">
      <formula>NOT(ISERROR(SEARCH(("Yes"),(N173))))</formula>
    </cfRule>
  </conditionalFormatting>
  <conditionalFormatting sqref="N173:O173 P173:Q214 N175:O175 N177:O179 N183:O183 N185:O214 U204:V204">
    <cfRule type="containsText" dxfId="2" priority="36470" operator="containsText" text="Yes">
      <formula>NOT(ISERROR(SEARCH(("Yes"),(N173))))</formula>
    </cfRule>
  </conditionalFormatting>
  <conditionalFormatting sqref="N173:O173 P173:Q214 N175:O175 N177:O179 N183:O183 N185:O214 U204:V204">
    <cfRule type="containsText" dxfId="2" priority="36471" operator="containsText" text="Yes">
      <formula>NOT(ISERROR(SEARCH(("Yes"),(N173))))</formula>
    </cfRule>
  </conditionalFormatting>
  <conditionalFormatting sqref="N173:O173 P173:Q214 N175:O175 N177:O179 N183:O183 N185:O214 U204:V204">
    <cfRule type="containsText" dxfId="2" priority="36472" operator="containsText" text="Yes">
      <formula>NOT(ISERROR(SEARCH(("Yes"),(N173))))</formula>
    </cfRule>
  </conditionalFormatting>
  <conditionalFormatting sqref="N173:O173 P173:Q214 N175:O175 N177:O179 N183:O183 N185:O214 U204:V204">
    <cfRule type="containsText" dxfId="2" priority="36473" operator="containsText" text="Yes">
      <formula>NOT(ISERROR(SEARCH(("Yes"),(N173))))</formula>
    </cfRule>
  </conditionalFormatting>
  <conditionalFormatting sqref="N173:O173 P173:Q214 N175:O175 N177:O179 N183:O183 N185:O214 U204:V204">
    <cfRule type="containsText" dxfId="2" priority="36474" operator="containsText" text="Yes">
      <formula>NOT(ISERROR(SEARCH(("Yes"),(N173))))</formula>
    </cfRule>
  </conditionalFormatting>
  <conditionalFormatting sqref="N173:O173 P173:Q214 N175:O175 N177:O179 N183:O183 N185:O214 U204:V204">
    <cfRule type="containsText" dxfId="2" priority="36475" operator="containsText" text="Yes">
      <formula>NOT(ISERROR(SEARCH(("Yes"),(N173))))</formula>
    </cfRule>
  </conditionalFormatting>
  <conditionalFormatting sqref="N173:O173 P173:Q214 N175:O175 N177:O179 N183:O183 N185:O214 U204:V204">
    <cfRule type="containsText" dxfId="2" priority="36476" operator="containsText" text="Yes">
      <formula>NOT(ISERROR(SEARCH(("Yes"),(N173))))</formula>
    </cfRule>
  </conditionalFormatting>
  <conditionalFormatting sqref="N173:O173 P173:Q214 N175:O175 N177:O179 N183:O183 N185:O214 U204:V204">
    <cfRule type="containsText" dxfId="2" priority="36477" operator="containsText" text="Yes">
      <formula>NOT(ISERROR(SEARCH(("Yes"),(N173))))</formula>
    </cfRule>
  </conditionalFormatting>
  <conditionalFormatting sqref="N173:O173 P173:Q214 N175:O175 N177:O179 N183:O183 N185:O214 U204:V204">
    <cfRule type="containsText" dxfId="2" priority="36478" operator="containsText" text="Yes">
      <formula>NOT(ISERROR(SEARCH(("Yes"),(N173))))</formula>
    </cfRule>
  </conditionalFormatting>
  <conditionalFormatting sqref="N173:O173 P173:Q214 N175:O175 N177:O179 N183:O183 N185:O214 U204:V204">
    <cfRule type="containsText" dxfId="2" priority="36479" operator="containsText" text="Yes">
      <formula>NOT(ISERROR(SEARCH(("Yes"),(N173))))</formula>
    </cfRule>
  </conditionalFormatting>
  <conditionalFormatting sqref="N173:O173 P173:Q214 N175:O175 N177:O179 N183:O183 N185:O214 U204:V204">
    <cfRule type="containsText" dxfId="2" priority="36480" operator="containsText" text="Yes">
      <formula>NOT(ISERROR(SEARCH(("Yes"),(N173))))</formula>
    </cfRule>
  </conditionalFormatting>
  <conditionalFormatting sqref="N173:O173 P173:Q214 N175:O175 N177:O179 N183:O183 N185:O214 U204:V204">
    <cfRule type="containsText" dxfId="2" priority="36481" operator="containsText" text="Yes">
      <formula>NOT(ISERROR(SEARCH(("Yes"),(N173))))</formula>
    </cfRule>
  </conditionalFormatting>
  <conditionalFormatting sqref="N173:O173 P173:Q214 N175:O175 N177:O179 N183:O183 N185:O214 U204:V204">
    <cfRule type="containsText" dxfId="2" priority="36482" operator="containsText" text="Yes">
      <formula>NOT(ISERROR(SEARCH(("Yes"),(N173))))</formula>
    </cfRule>
  </conditionalFormatting>
  <conditionalFormatting sqref="N173:O173 P173:Q214 N175:O175 N177:O179 N183:O183 N185:O214 U204:V204">
    <cfRule type="containsText" dxfId="2" priority="36483" operator="containsText" text="Yes">
      <formula>NOT(ISERROR(SEARCH(("Yes"),(N173))))</formula>
    </cfRule>
  </conditionalFormatting>
  <conditionalFormatting sqref="N173:O173 P173:Q214 N175:O175 N177:O179 N183:O183 N185:O214 U204:V204">
    <cfRule type="containsText" dxfId="2" priority="36484" operator="containsText" text="Yes">
      <formula>NOT(ISERROR(SEARCH(("Yes"),(N173))))</formula>
    </cfRule>
  </conditionalFormatting>
  <conditionalFormatting sqref="N173:O173 P173:Q214 N175:O175 N177:O179 N183:O183 N185:O214 U204:V204">
    <cfRule type="containsText" dxfId="2" priority="36485" operator="containsText" text="Yes">
      <formula>NOT(ISERROR(SEARCH(("Yes"),(N173))))</formula>
    </cfRule>
  </conditionalFormatting>
  <conditionalFormatting sqref="N173:O173 P173:Q214 N175:O175 N177:O179 N183:O183 N185:O214 U204:V204">
    <cfRule type="containsText" dxfId="2" priority="36486" operator="containsText" text="Yes">
      <formula>NOT(ISERROR(SEARCH(("Yes"),(N173))))</formula>
    </cfRule>
  </conditionalFormatting>
  <conditionalFormatting sqref="N173:O173 P173:Q214 N175:O175 N177:O179 N183:O183 N185:O214 U204:V204">
    <cfRule type="containsText" dxfId="2" priority="36487" operator="containsText" text="Yes">
      <formula>NOT(ISERROR(SEARCH(("Yes"),(N173))))</formula>
    </cfRule>
  </conditionalFormatting>
  <conditionalFormatting sqref="N174:N214 O203 O205:O214">
    <cfRule type="containsText" dxfId="9" priority="36488" operator="containsText" text="No">
      <formula>NOT(ISERROR(SEARCH(("No"),(N174))))</formula>
    </cfRule>
  </conditionalFormatting>
  <conditionalFormatting sqref="N174:N214 O203 O205:O214">
    <cfRule type="containsText" dxfId="9" priority="36489" operator="containsText" text="No">
      <formula>NOT(ISERROR(SEARCH(("No"),(N174))))</formula>
    </cfRule>
  </conditionalFormatting>
  <conditionalFormatting sqref="N174:N214 O203 O205:O214">
    <cfRule type="containsText" dxfId="9" priority="36490" operator="containsText" text="No">
      <formula>NOT(ISERROR(SEARCH(("No"),(N174))))</formula>
    </cfRule>
  </conditionalFormatting>
  <conditionalFormatting sqref="N174:N214 O203 O205:O214">
    <cfRule type="containsText" dxfId="2" priority="36491" operator="containsText" text="Yes">
      <formula>NOT(ISERROR(SEARCH(("Yes"),(N174))))</formula>
    </cfRule>
  </conditionalFormatting>
  <conditionalFormatting sqref="N174:N214 O203 O205:O214">
    <cfRule type="containsText" dxfId="2" priority="36492" operator="containsText" text="Yes">
      <formula>NOT(ISERROR(SEARCH(("Yes"),(N174))))</formula>
    </cfRule>
  </conditionalFormatting>
  <conditionalFormatting sqref="N174:N214 O203 O205:O214">
    <cfRule type="containsText" dxfId="2" priority="36493" operator="containsText" text="Yes">
      <formula>NOT(ISERROR(SEARCH(("Yes"),(N174))))</formula>
    </cfRule>
  </conditionalFormatting>
  <conditionalFormatting sqref="N174:N214 O203 O205:O214">
    <cfRule type="containsText" dxfId="2" priority="36494" operator="containsText" text="Yes">
      <formula>NOT(ISERROR(SEARCH(("Yes"),(N174))))</formula>
    </cfRule>
  </conditionalFormatting>
  <conditionalFormatting sqref="N174:N214 O203 O205:O214">
    <cfRule type="containsText" dxfId="2" priority="36495" operator="containsText" text="Yes">
      <formula>NOT(ISERROR(SEARCH(("Yes"),(N174))))</formula>
    </cfRule>
  </conditionalFormatting>
  <conditionalFormatting sqref="N174:N214 O203 O205:O214">
    <cfRule type="containsText" dxfId="9" priority="36496" operator="containsText" text="No">
      <formula>NOT(ISERROR(SEARCH(("No"),(N174))))</formula>
    </cfRule>
  </conditionalFormatting>
  <conditionalFormatting sqref="N174:N214 O203 O205:O214">
    <cfRule type="containsText" dxfId="2" priority="36497" operator="containsText" text="Yes">
      <formula>NOT(ISERROR(SEARCH(("Yes"),(N174))))</formula>
    </cfRule>
  </conditionalFormatting>
  <conditionalFormatting sqref="O174:O226 N184 N187:N216 N222:N226 N228:O252 N254:O256 N258:O264 N267:O269 N272:O273 N275:O275">
    <cfRule type="containsText" dxfId="9" priority="36498" operator="containsText" text="No">
      <formula>NOT(ISERROR(SEARCH(("No"),(O174))))</formula>
    </cfRule>
  </conditionalFormatting>
  <conditionalFormatting sqref="O174:O226 N184 N187:N216 N222:N226 N228:O252 N254:O256 N258:O264 N267:O269 N272:O273 N275:O275">
    <cfRule type="containsText" dxfId="9" priority="36499" operator="containsText" text="No">
      <formula>NOT(ISERROR(SEARCH(("No"),(O174))))</formula>
    </cfRule>
  </conditionalFormatting>
  <conditionalFormatting sqref="O174:O226 N184 N187:N216 N222:N226 N228:O252 N254:O256 N258:O264 N267:O269 N272:O273 N275:O275">
    <cfRule type="containsText" dxfId="9" priority="36500" operator="containsText" text="No">
      <formula>NOT(ISERROR(SEARCH(("No"),(O174))))</formula>
    </cfRule>
  </conditionalFormatting>
  <conditionalFormatting sqref="O174:O226 N184 N187:N216 N222:N226 N228:O252 N254:O256 N258:O264 N267:O269 N272:O273 N275:O275">
    <cfRule type="containsText" dxfId="2" priority="36501" operator="containsText" text="Yes">
      <formula>NOT(ISERROR(SEARCH(("Yes"),(O174))))</formula>
    </cfRule>
  </conditionalFormatting>
  <conditionalFormatting sqref="O174:O226 N184 N187:N216 N222:N226 N228:O252 N254:O256 N258:O264 N267:O269 N272:O273 N275:O275">
    <cfRule type="containsText" dxfId="2" priority="36502" operator="containsText" text="Yes">
      <formula>NOT(ISERROR(SEARCH(("Yes"),(O174))))</formula>
    </cfRule>
  </conditionalFormatting>
  <conditionalFormatting sqref="O174:O226 N184 N187:N216 N222:N226 N228:O252 N254:O256 N258:O264 N267:O269 N272:O273 N275:O275">
    <cfRule type="containsText" dxfId="2" priority="36503" operator="containsText" text="Yes">
      <formula>NOT(ISERROR(SEARCH(("Yes"),(O174))))</formula>
    </cfRule>
  </conditionalFormatting>
  <conditionalFormatting sqref="O174:O226 N184 N187:N216 N222:N226 N228:O252 N254:O256 N258:O264 N267:O269 N272:O273 N275:O275">
    <cfRule type="containsText" dxfId="2" priority="36504" operator="containsText" text="Yes">
      <formula>NOT(ISERROR(SEARCH(("Yes"),(O174))))</formula>
    </cfRule>
  </conditionalFormatting>
  <conditionalFormatting sqref="O174:O226 N184 N187:N216 N222:N226 N228:O252 N254:O256 N258:O264 N267:O269 N272:O273 N275:O275">
    <cfRule type="containsText" dxfId="2" priority="36505" operator="containsText" text="Yes">
      <formula>NOT(ISERROR(SEARCH(("Yes"),(O174))))</formula>
    </cfRule>
  </conditionalFormatting>
  <conditionalFormatting sqref="O174:O226 N184 N187:N216 N222:N226 N228:O252 N254:O256 N258:O264 N267:O269 N272:O273 N275:O275">
    <cfRule type="containsText" dxfId="9" priority="36506" operator="containsText" text="No">
      <formula>NOT(ISERROR(SEARCH(("No"),(O174))))</formula>
    </cfRule>
  </conditionalFormatting>
  <conditionalFormatting sqref="O174:O226 N184 N187:N216 N222:N226 N228:O252 N254:O256 N258:O264 N267:O269 N272:O273 N275:O275">
    <cfRule type="containsText" dxfId="9" priority="36507" operator="containsText" text="No">
      <formula>NOT(ISERROR(SEARCH(("No"),(O174))))</formula>
    </cfRule>
  </conditionalFormatting>
  <conditionalFormatting sqref="O174:O226 N184 N187:N216 N222:N226 N228:O252 N254:O256 N258:O264 N267:O269 N272:O273 N275:O275">
    <cfRule type="containsText" dxfId="2" priority="36508" operator="containsText" text="Yes">
      <formula>NOT(ISERROR(SEARCH(("Yes"),(O174))))</formula>
    </cfRule>
  </conditionalFormatting>
  <conditionalFormatting sqref="P174:Q214 U204:V204">
    <cfRule type="containsText" dxfId="9" priority="36509" operator="containsText" text="No">
      <formula>NOT(ISERROR(SEARCH(("No"),(P174))))</formula>
    </cfRule>
  </conditionalFormatting>
  <conditionalFormatting sqref="P174:Q214 U204:V204">
    <cfRule type="containsText" dxfId="9" priority="36510" operator="containsText" text="No">
      <formula>NOT(ISERROR(SEARCH(("No"),(P174))))</formula>
    </cfRule>
  </conditionalFormatting>
  <conditionalFormatting sqref="P174:Q214 U204:V204">
    <cfRule type="containsText" dxfId="9" priority="36511" operator="containsText" text="No">
      <formula>NOT(ISERROR(SEARCH(("No"),(P174))))</formula>
    </cfRule>
  </conditionalFormatting>
  <conditionalFormatting sqref="P174:Q214 U204:V204">
    <cfRule type="containsText" dxfId="9" priority="36512" operator="containsText" text="No">
      <formula>NOT(ISERROR(SEARCH(("No"),(P174))))</formula>
    </cfRule>
  </conditionalFormatting>
  <conditionalFormatting sqref="P174:Q214 U204:V204">
    <cfRule type="containsText" dxfId="9" priority="36513" operator="containsText" text="No">
      <formula>NOT(ISERROR(SEARCH(("No"),(P174))))</formula>
    </cfRule>
  </conditionalFormatting>
  <conditionalFormatting sqref="P174:Q214 U204:V204">
    <cfRule type="containsText" dxfId="9" priority="36514" operator="containsText" text="No">
      <formula>NOT(ISERROR(SEARCH(("No"),(P174))))</formula>
    </cfRule>
  </conditionalFormatting>
  <conditionalFormatting sqref="P174:Q214 U204:V204">
    <cfRule type="containsText" dxfId="9" priority="36515" operator="containsText" text="No">
      <formula>NOT(ISERROR(SEARCH(("No"),(P174))))</formula>
    </cfRule>
  </conditionalFormatting>
  <conditionalFormatting sqref="P174:Q214 U204:V204">
    <cfRule type="containsText" dxfId="9" priority="36516" operator="containsText" text="No">
      <formula>NOT(ISERROR(SEARCH(("No"),(P174))))</formula>
    </cfRule>
  </conditionalFormatting>
  <conditionalFormatting sqref="P174:Q214 U204:V204">
    <cfRule type="containsText" dxfId="9" priority="36517" operator="containsText" text="No">
      <formula>NOT(ISERROR(SEARCH(("No"),(P174))))</formula>
    </cfRule>
  </conditionalFormatting>
  <conditionalFormatting sqref="P174:Q214 U204:V204">
    <cfRule type="containsText" dxfId="9" priority="36518" operator="containsText" text="No">
      <formula>NOT(ISERROR(SEARCH(("No"),(P174))))</formula>
    </cfRule>
  </conditionalFormatting>
  <conditionalFormatting sqref="P174:Q214 U204:V204">
    <cfRule type="containsText" dxfId="9" priority="36519" operator="containsText" text="No">
      <formula>NOT(ISERROR(SEARCH(("No"),(P174))))</formula>
    </cfRule>
  </conditionalFormatting>
  <conditionalFormatting sqref="P174:Q214 U204:V204">
    <cfRule type="containsText" dxfId="9" priority="36520" operator="containsText" text="No">
      <formula>NOT(ISERROR(SEARCH(("No"),(P174))))</formula>
    </cfRule>
  </conditionalFormatting>
  <conditionalFormatting sqref="P174:Q214 U204:V204">
    <cfRule type="containsText" dxfId="9" priority="36521" operator="containsText" text="No">
      <formula>NOT(ISERROR(SEARCH(("No"),(P174))))</formula>
    </cfRule>
  </conditionalFormatting>
  <conditionalFormatting sqref="P174:Q214 U204:V204">
    <cfRule type="containsText" dxfId="9" priority="36522" operator="containsText" text="No">
      <formula>NOT(ISERROR(SEARCH(("No"),(P174))))</formula>
    </cfRule>
  </conditionalFormatting>
  <conditionalFormatting sqref="P174:Q214 U204:V204">
    <cfRule type="containsText" dxfId="9" priority="36523" operator="containsText" text="No">
      <formula>NOT(ISERROR(SEARCH(("No"),(P174))))</formula>
    </cfRule>
  </conditionalFormatting>
  <conditionalFormatting sqref="P174:Q214 U204:V204">
    <cfRule type="containsText" dxfId="9" priority="36524" operator="containsText" text="No">
      <formula>NOT(ISERROR(SEARCH(("No"),(P174))))</formula>
    </cfRule>
  </conditionalFormatting>
  <conditionalFormatting sqref="P174:Q214 U204:V204">
    <cfRule type="containsText" dxfId="9" priority="36525" operator="containsText" text="No">
      <formula>NOT(ISERROR(SEARCH(("No"),(P174))))</formula>
    </cfRule>
  </conditionalFormatting>
  <conditionalFormatting sqref="P174:Q214 U204:V204">
    <cfRule type="containsText" dxfId="9" priority="36526" operator="containsText" text="No">
      <formula>NOT(ISERROR(SEARCH(("No"),(P174))))</formula>
    </cfRule>
  </conditionalFormatting>
  <conditionalFormatting sqref="P174:Q214 U204:V204">
    <cfRule type="containsText" dxfId="9" priority="36527" operator="containsText" text="No">
      <formula>NOT(ISERROR(SEARCH(("No"),(P174))))</formula>
    </cfRule>
  </conditionalFormatting>
  <conditionalFormatting sqref="P174:Q214 U204:V204">
    <cfRule type="containsText" dxfId="9" priority="36528" operator="containsText" text="No">
      <formula>NOT(ISERROR(SEARCH(("No"),(P174))))</formula>
    </cfRule>
  </conditionalFormatting>
  <conditionalFormatting sqref="P174:Q214 U204:V204">
    <cfRule type="containsText" dxfId="9" priority="36529" operator="containsText" text="No">
      <formula>NOT(ISERROR(SEARCH(("No"),(P174))))</formula>
    </cfRule>
  </conditionalFormatting>
  <conditionalFormatting sqref="P174:Q214 U204:V204">
    <cfRule type="containsText" dxfId="9" priority="36530" operator="containsText" text="No">
      <formula>NOT(ISERROR(SEARCH(("No"),(P174))))</formula>
    </cfRule>
  </conditionalFormatting>
  <conditionalFormatting sqref="P174:Q214 U204:V204">
    <cfRule type="containsText" dxfId="9" priority="36531" operator="containsText" text="No">
      <formula>NOT(ISERROR(SEARCH(("No"),(P174))))</formula>
    </cfRule>
  </conditionalFormatting>
  <conditionalFormatting sqref="P174:Q214 U204:V204">
    <cfRule type="containsText" dxfId="9" priority="36532" operator="containsText" text="No">
      <formula>NOT(ISERROR(SEARCH(("No"),(P174))))</formula>
    </cfRule>
  </conditionalFormatting>
  <conditionalFormatting sqref="P174:Q214 U204:V204">
    <cfRule type="containsText" dxfId="9" priority="36533" operator="containsText" text="No">
      <formula>NOT(ISERROR(SEARCH(("No"),(P174))))</formula>
    </cfRule>
  </conditionalFormatting>
  <conditionalFormatting sqref="P174:Q214 U204:V204">
    <cfRule type="containsText" dxfId="9" priority="36534" operator="containsText" text="No">
      <formula>NOT(ISERROR(SEARCH(("No"),(P174))))</formula>
    </cfRule>
  </conditionalFormatting>
  <conditionalFormatting sqref="P174:Q214 U204:V204">
    <cfRule type="containsText" dxfId="9" priority="36535" operator="containsText" text="No">
      <formula>NOT(ISERROR(SEARCH(("No"),(P174))))</formula>
    </cfRule>
  </conditionalFormatting>
  <conditionalFormatting sqref="P174:Q214 U204:V204">
    <cfRule type="containsText" dxfId="9" priority="36536" operator="containsText" text="No">
      <formula>NOT(ISERROR(SEARCH(("No"),(P174))))</formula>
    </cfRule>
  </conditionalFormatting>
  <conditionalFormatting sqref="P174:Q214 U204:V204">
    <cfRule type="containsText" dxfId="9" priority="36537" operator="containsText" text="No">
      <formula>NOT(ISERROR(SEARCH(("No"),(P174))))</formula>
    </cfRule>
  </conditionalFormatting>
  <conditionalFormatting sqref="P174:Q214 U204:V204">
    <cfRule type="containsText" dxfId="9" priority="36538" operator="containsText" text="No">
      <formula>NOT(ISERROR(SEARCH(("No"),(P174))))</formula>
    </cfRule>
  </conditionalFormatting>
  <conditionalFormatting sqref="P174:Q214 U204:V204">
    <cfRule type="containsText" dxfId="9" priority="36539" operator="containsText" text="No">
      <formula>NOT(ISERROR(SEARCH(("No"),(P174))))</formula>
    </cfRule>
  </conditionalFormatting>
  <conditionalFormatting sqref="P174:Q214 U204:V204">
    <cfRule type="containsText" dxfId="9" priority="36540" operator="containsText" text="No">
      <formula>NOT(ISERROR(SEARCH(("No"),(P174))))</formula>
    </cfRule>
  </conditionalFormatting>
  <conditionalFormatting sqref="P174:Q214 U204:V204">
    <cfRule type="containsText" dxfId="9" priority="36541" operator="containsText" text="No">
      <formula>NOT(ISERROR(SEARCH(("No"),(P174))))</formula>
    </cfRule>
  </conditionalFormatting>
  <conditionalFormatting sqref="P174:Q214 U204:V204">
    <cfRule type="containsText" dxfId="9" priority="36542" operator="containsText" text="No">
      <formula>NOT(ISERROR(SEARCH(("No"),(P174))))</formula>
    </cfRule>
  </conditionalFormatting>
  <conditionalFormatting sqref="P174:Q214 U204:V204">
    <cfRule type="containsText" dxfId="9" priority="36543" operator="containsText" text="No">
      <formula>NOT(ISERROR(SEARCH(("No"),(P174))))</formula>
    </cfRule>
  </conditionalFormatting>
  <conditionalFormatting sqref="P174:Q214 U204:V204">
    <cfRule type="containsText" dxfId="9" priority="36544" operator="containsText" text="No">
      <formula>NOT(ISERROR(SEARCH(("No"),(P174))))</formula>
    </cfRule>
  </conditionalFormatting>
  <conditionalFormatting sqref="P174:Q214 U204:V204">
    <cfRule type="containsText" dxfId="9" priority="36545" operator="containsText" text="No">
      <formula>NOT(ISERROR(SEARCH(("No"),(P174))))</formula>
    </cfRule>
  </conditionalFormatting>
  <conditionalFormatting sqref="P174:Q214 U204:V204">
    <cfRule type="containsText" dxfId="9" priority="36546" operator="containsText" text="No">
      <formula>NOT(ISERROR(SEARCH(("No"),(P174))))</formula>
    </cfRule>
  </conditionalFormatting>
  <conditionalFormatting sqref="P174:Q214 U204:V204">
    <cfRule type="containsText" dxfId="9" priority="36547" operator="containsText" text="No">
      <formula>NOT(ISERROR(SEARCH(("No"),(P174))))</formula>
    </cfRule>
  </conditionalFormatting>
  <conditionalFormatting sqref="P174:Q214 U204:V204">
    <cfRule type="containsText" dxfId="9" priority="36548" operator="containsText" text="No">
      <formula>NOT(ISERROR(SEARCH(("No"),(P174))))</formula>
    </cfRule>
  </conditionalFormatting>
  <conditionalFormatting sqref="P174:Q214 U204:V204">
    <cfRule type="containsText" dxfId="9" priority="36549" operator="containsText" text="No">
      <formula>NOT(ISERROR(SEARCH(("No"),(P174))))</formula>
    </cfRule>
  </conditionalFormatting>
  <conditionalFormatting sqref="P174:Q214 U204:V204">
    <cfRule type="containsText" dxfId="9" priority="36550" operator="containsText" text="No">
      <formula>NOT(ISERROR(SEARCH(("No"),(P174))))</formula>
    </cfRule>
  </conditionalFormatting>
  <conditionalFormatting sqref="P174:Q214 U204:V204">
    <cfRule type="containsText" dxfId="9" priority="36551" operator="containsText" text="No">
      <formula>NOT(ISERROR(SEARCH(("No"),(P174))))</formula>
    </cfRule>
  </conditionalFormatting>
  <conditionalFormatting sqref="P174:Q214 U204:V204">
    <cfRule type="containsText" dxfId="9" priority="36552" operator="containsText" text="No">
      <formula>NOT(ISERROR(SEARCH(("No"),(P174))))</formula>
    </cfRule>
  </conditionalFormatting>
  <conditionalFormatting sqref="P174:Q214 U204:V204">
    <cfRule type="containsText" dxfId="9" priority="36553" operator="containsText" text="No">
      <formula>NOT(ISERROR(SEARCH(("No"),(P174))))</formula>
    </cfRule>
  </conditionalFormatting>
  <conditionalFormatting sqref="P174:Q214 U204:V204">
    <cfRule type="containsText" dxfId="2" priority="36554" operator="containsText" text="Yes">
      <formula>NOT(ISERROR(SEARCH(("Yes"),(P174))))</formula>
    </cfRule>
  </conditionalFormatting>
  <conditionalFormatting sqref="P174:Q214 U204:V204">
    <cfRule type="containsText" dxfId="2" priority="36555" operator="containsText" text="Yes">
      <formula>NOT(ISERROR(SEARCH(("Yes"),(P174))))</formula>
    </cfRule>
  </conditionalFormatting>
  <conditionalFormatting sqref="P174:Q214 U204:V204">
    <cfRule type="containsText" dxfId="2" priority="36556" operator="containsText" text="Yes">
      <formula>NOT(ISERROR(SEARCH(("Yes"),(P174))))</formula>
    </cfRule>
  </conditionalFormatting>
  <conditionalFormatting sqref="P174:Q214 U204:V204">
    <cfRule type="containsText" dxfId="2" priority="36557" operator="containsText" text="Yes">
      <formula>NOT(ISERROR(SEARCH(("Yes"),(P174))))</formula>
    </cfRule>
  </conditionalFormatting>
  <conditionalFormatting sqref="P174:Q214 U204:V204">
    <cfRule type="containsText" dxfId="2" priority="36558" operator="containsText" text="Yes">
      <formula>NOT(ISERROR(SEARCH(("Yes"),(P174))))</formula>
    </cfRule>
  </conditionalFormatting>
  <conditionalFormatting sqref="P174:Q214 U204:V204">
    <cfRule type="containsText" dxfId="2" priority="36559" operator="containsText" text="Yes">
      <formula>NOT(ISERROR(SEARCH(("Yes"),(P174))))</formula>
    </cfRule>
  </conditionalFormatting>
  <conditionalFormatting sqref="P174:Q214 U204:V204">
    <cfRule type="containsText" dxfId="2" priority="36560" operator="containsText" text="Yes">
      <formula>NOT(ISERROR(SEARCH(("Yes"),(P174))))</formula>
    </cfRule>
  </conditionalFormatting>
  <conditionalFormatting sqref="P174:Q214 U204:V204">
    <cfRule type="containsText" dxfId="2" priority="36561" operator="containsText" text="Yes">
      <formula>NOT(ISERROR(SEARCH(("Yes"),(P174))))</formula>
    </cfRule>
  </conditionalFormatting>
  <conditionalFormatting sqref="P174:Q214 U204:V204">
    <cfRule type="containsText" dxfId="2" priority="36562" operator="containsText" text="Yes">
      <formula>NOT(ISERROR(SEARCH(("Yes"),(P174))))</formula>
    </cfRule>
  </conditionalFormatting>
  <conditionalFormatting sqref="P174:Q214 U204:V204">
    <cfRule type="containsText" dxfId="2" priority="36563" operator="containsText" text="Yes">
      <formula>NOT(ISERROR(SEARCH(("Yes"),(P174))))</formula>
    </cfRule>
  </conditionalFormatting>
  <conditionalFormatting sqref="P174:Q214 U204:V204">
    <cfRule type="containsText" dxfId="2" priority="36564" operator="containsText" text="Yes">
      <formula>NOT(ISERROR(SEARCH(("Yes"),(P174))))</formula>
    </cfRule>
  </conditionalFormatting>
  <conditionalFormatting sqref="P174:Q214 U204:V204">
    <cfRule type="containsText" dxfId="2" priority="36565" operator="containsText" text="Yes">
      <formula>NOT(ISERROR(SEARCH(("Yes"),(P174))))</formula>
    </cfRule>
  </conditionalFormatting>
  <conditionalFormatting sqref="P174:Q214 U204:V204">
    <cfRule type="containsText" dxfId="2" priority="36566" operator="containsText" text="Yes">
      <formula>NOT(ISERROR(SEARCH(("Yes"),(P174))))</formula>
    </cfRule>
  </conditionalFormatting>
  <conditionalFormatting sqref="P174:Q214 U204:V204">
    <cfRule type="containsText" dxfId="2" priority="36567" operator="containsText" text="Yes">
      <formula>NOT(ISERROR(SEARCH(("Yes"),(P174))))</formula>
    </cfRule>
  </conditionalFormatting>
  <conditionalFormatting sqref="P174:Q214 U204:V204">
    <cfRule type="containsText" dxfId="2" priority="36568" operator="containsText" text="Yes">
      <formula>NOT(ISERROR(SEARCH(("Yes"),(P174))))</formula>
    </cfRule>
  </conditionalFormatting>
  <conditionalFormatting sqref="P174:Q214 U204:V204">
    <cfRule type="containsText" dxfId="2" priority="36569" operator="containsText" text="Yes">
      <formula>NOT(ISERROR(SEARCH(("Yes"),(P174))))</formula>
    </cfRule>
  </conditionalFormatting>
  <conditionalFormatting sqref="P174:Q214 U204:V204">
    <cfRule type="containsText" dxfId="2" priority="36570" operator="containsText" text="Yes">
      <formula>NOT(ISERROR(SEARCH(("Yes"),(P174))))</formula>
    </cfRule>
  </conditionalFormatting>
  <conditionalFormatting sqref="P174:Q214 U204:V204">
    <cfRule type="containsText" dxfId="2" priority="36571" operator="containsText" text="Yes">
      <formula>NOT(ISERROR(SEARCH(("Yes"),(P174))))</formula>
    </cfRule>
  </conditionalFormatting>
  <conditionalFormatting sqref="P174:Q214 U204:V204">
    <cfRule type="containsText" dxfId="2" priority="36572" operator="containsText" text="Yes">
      <formula>NOT(ISERROR(SEARCH(("Yes"),(P174))))</formula>
    </cfRule>
  </conditionalFormatting>
  <conditionalFormatting sqref="P174:Q214 U204:V204">
    <cfRule type="containsText" dxfId="2" priority="36573" operator="containsText" text="Yes">
      <formula>NOT(ISERROR(SEARCH(("Yes"),(P174))))</formula>
    </cfRule>
  </conditionalFormatting>
  <conditionalFormatting sqref="P174:Q214 U204:V204">
    <cfRule type="containsText" dxfId="2" priority="36574" operator="containsText" text="Yes">
      <formula>NOT(ISERROR(SEARCH(("Yes"),(P174))))</formula>
    </cfRule>
  </conditionalFormatting>
  <conditionalFormatting sqref="P174:Q214 U204:V204">
    <cfRule type="containsText" dxfId="2" priority="36575" operator="containsText" text="Yes">
      <formula>NOT(ISERROR(SEARCH(("Yes"),(P174))))</formula>
    </cfRule>
  </conditionalFormatting>
  <conditionalFormatting sqref="P174:Q214 U204:V204">
    <cfRule type="containsText" dxfId="2" priority="36576" operator="containsText" text="Yes">
      <formula>NOT(ISERROR(SEARCH(("Yes"),(P174))))</formula>
    </cfRule>
  </conditionalFormatting>
  <conditionalFormatting sqref="P174:Q214 U204:V204">
    <cfRule type="containsText" dxfId="2" priority="36577" operator="containsText" text="Yes">
      <formula>NOT(ISERROR(SEARCH(("Yes"),(P174))))</formula>
    </cfRule>
  </conditionalFormatting>
  <conditionalFormatting sqref="P174:Q214 U204:V204">
    <cfRule type="containsText" dxfId="2" priority="36578" operator="containsText" text="Yes">
      <formula>NOT(ISERROR(SEARCH(("Yes"),(P174))))</formula>
    </cfRule>
  </conditionalFormatting>
  <conditionalFormatting sqref="P174:Q214 U204:V204">
    <cfRule type="containsText" dxfId="2" priority="36579" operator="containsText" text="Yes">
      <formula>NOT(ISERROR(SEARCH(("Yes"),(P174))))</formula>
    </cfRule>
  </conditionalFormatting>
  <conditionalFormatting sqref="P174:Q214 U204:V204">
    <cfRule type="containsText" dxfId="2" priority="36580" operator="containsText" text="Yes">
      <formula>NOT(ISERROR(SEARCH(("Yes"),(P174))))</formula>
    </cfRule>
  </conditionalFormatting>
  <conditionalFormatting sqref="P174:Q214 U204:V204">
    <cfRule type="containsText" dxfId="2" priority="36581" operator="containsText" text="Yes">
      <formula>NOT(ISERROR(SEARCH(("Yes"),(P174))))</formula>
    </cfRule>
  </conditionalFormatting>
  <conditionalFormatting sqref="P174:Q214 U204:V204">
    <cfRule type="containsText" dxfId="2" priority="36582" operator="containsText" text="Yes">
      <formula>NOT(ISERROR(SEARCH(("Yes"),(P174))))</formula>
    </cfRule>
  </conditionalFormatting>
  <conditionalFormatting sqref="P174:Q214 U204:V204">
    <cfRule type="containsText" dxfId="2" priority="36583" operator="containsText" text="Yes">
      <formula>NOT(ISERROR(SEARCH(("Yes"),(P174))))</formula>
    </cfRule>
  </conditionalFormatting>
  <conditionalFormatting sqref="P174:Q214 U204:V204">
    <cfRule type="containsText" dxfId="2" priority="36584" operator="containsText" text="Yes">
      <formula>NOT(ISERROR(SEARCH(("Yes"),(P174))))</formula>
    </cfRule>
  </conditionalFormatting>
  <conditionalFormatting sqref="P174:Q214 U204:V204">
    <cfRule type="containsText" dxfId="2" priority="36585" operator="containsText" text="Yes">
      <formula>NOT(ISERROR(SEARCH(("Yes"),(P174))))</formula>
    </cfRule>
  </conditionalFormatting>
  <conditionalFormatting sqref="P174:Q214 U204:V204">
    <cfRule type="containsText" dxfId="2" priority="36586" operator="containsText" text="Yes">
      <formula>NOT(ISERROR(SEARCH(("Yes"),(P174))))</formula>
    </cfRule>
  </conditionalFormatting>
  <conditionalFormatting sqref="P174:Q214 U204:V204">
    <cfRule type="containsText" dxfId="2" priority="36587" operator="containsText" text="Yes">
      <formula>NOT(ISERROR(SEARCH(("Yes"),(P174))))</formula>
    </cfRule>
  </conditionalFormatting>
  <conditionalFormatting sqref="P174:Q214 U204:V204">
    <cfRule type="containsText" dxfId="2" priority="36588" operator="containsText" text="Yes">
      <formula>NOT(ISERROR(SEARCH(("Yes"),(P174))))</formula>
    </cfRule>
  </conditionalFormatting>
  <conditionalFormatting sqref="P174:Q214 U204:V204">
    <cfRule type="containsText" dxfId="2" priority="36589" operator="containsText" text="Yes">
      <formula>NOT(ISERROR(SEARCH(("Yes"),(P174))))</formula>
    </cfRule>
  </conditionalFormatting>
  <conditionalFormatting sqref="P174:Q214 U204:V204">
    <cfRule type="containsText" dxfId="2" priority="36590" operator="containsText" text="Yes">
      <formula>NOT(ISERROR(SEARCH(("Yes"),(P174))))</formula>
    </cfRule>
  </conditionalFormatting>
  <conditionalFormatting sqref="P174:Q214 U204:V204">
    <cfRule type="containsText" dxfId="2" priority="36591" operator="containsText" text="Yes">
      <formula>NOT(ISERROR(SEARCH(("Yes"),(P174))))</formula>
    </cfRule>
  </conditionalFormatting>
  <conditionalFormatting sqref="P174:Q214 U204:V204">
    <cfRule type="containsText" dxfId="2" priority="36592" operator="containsText" text="Yes">
      <formula>NOT(ISERROR(SEARCH(("Yes"),(P174))))</formula>
    </cfRule>
  </conditionalFormatting>
  <conditionalFormatting sqref="P174:Q214 U204:V204">
    <cfRule type="containsText" dxfId="2" priority="36593" operator="containsText" text="Yes">
      <formula>NOT(ISERROR(SEARCH(("Yes"),(P174))))</formula>
    </cfRule>
  </conditionalFormatting>
  <conditionalFormatting sqref="P174:Q214 U204:V204">
    <cfRule type="containsText" dxfId="2" priority="36594" operator="containsText" text="Yes">
      <formula>NOT(ISERROR(SEARCH(("Yes"),(P174))))</formula>
    </cfRule>
  </conditionalFormatting>
  <conditionalFormatting sqref="P174:Q214 U204:V204">
    <cfRule type="containsText" dxfId="2" priority="36595" operator="containsText" text="Yes">
      <formula>NOT(ISERROR(SEARCH(("Yes"),(P174))))</formula>
    </cfRule>
  </conditionalFormatting>
  <conditionalFormatting sqref="P174:Q214 U204:V204">
    <cfRule type="containsText" dxfId="2" priority="36596" operator="containsText" text="Yes">
      <formula>NOT(ISERROR(SEARCH(("Yes"),(P174))))</formula>
    </cfRule>
  </conditionalFormatting>
  <conditionalFormatting sqref="P174:Q214 U204:V204">
    <cfRule type="containsText" dxfId="2" priority="36597" operator="containsText" text="Yes">
      <formula>NOT(ISERROR(SEARCH(("Yes"),(P174))))</formula>
    </cfRule>
  </conditionalFormatting>
  <conditionalFormatting sqref="P174:Q214 U204:V204">
    <cfRule type="containsText" dxfId="2" priority="36598" operator="containsText" text="Yes">
      <formula>NOT(ISERROR(SEARCH(("Yes"),(P174))))</formula>
    </cfRule>
  </conditionalFormatting>
  <conditionalFormatting sqref="P174:Q214 U204:V204">
    <cfRule type="containsText" dxfId="2" priority="36599" operator="containsText" text="Yes">
      <formula>NOT(ISERROR(SEARCH(("Yes"),(P174))))</formula>
    </cfRule>
  </conditionalFormatting>
  <conditionalFormatting sqref="P174:Q214 U204:V204">
    <cfRule type="containsText" dxfId="2" priority="36600" operator="containsText" text="Yes">
      <formula>NOT(ISERROR(SEARCH(("Yes"),(P174))))</formula>
    </cfRule>
  </conditionalFormatting>
  <conditionalFormatting sqref="P175:Q214 U204:V204">
    <cfRule type="containsText" dxfId="9" priority="36601" operator="containsText" text="No">
      <formula>NOT(ISERROR(SEARCH(("No"),(P175))))</formula>
    </cfRule>
  </conditionalFormatting>
  <conditionalFormatting sqref="P175:Q214 U204:V204">
    <cfRule type="containsText" dxfId="9" priority="36602" operator="containsText" text="No">
      <formula>NOT(ISERROR(SEARCH(("No"),(P175))))</formula>
    </cfRule>
  </conditionalFormatting>
  <conditionalFormatting sqref="P175:Q214 U204:V204">
    <cfRule type="containsText" dxfId="9" priority="36603" operator="containsText" text="No">
      <formula>NOT(ISERROR(SEARCH(("No"),(P175))))</formula>
    </cfRule>
  </conditionalFormatting>
  <conditionalFormatting sqref="P175:Q214 U204:V204">
    <cfRule type="containsText" dxfId="9" priority="36604" operator="containsText" text="No">
      <formula>NOT(ISERROR(SEARCH(("No"),(P175))))</formula>
    </cfRule>
  </conditionalFormatting>
  <conditionalFormatting sqref="P175:Q214 U204:V204">
    <cfRule type="containsText" dxfId="9" priority="36605" operator="containsText" text="No">
      <formula>NOT(ISERROR(SEARCH(("No"),(P175))))</formula>
    </cfRule>
  </conditionalFormatting>
  <conditionalFormatting sqref="P175:Q214 U204:V204">
    <cfRule type="containsText" dxfId="9" priority="36606" operator="containsText" text="No">
      <formula>NOT(ISERROR(SEARCH(("No"),(P175))))</formula>
    </cfRule>
  </conditionalFormatting>
  <conditionalFormatting sqref="P175:Q214 U204:V204">
    <cfRule type="containsText" dxfId="9" priority="36607" operator="containsText" text="No">
      <formula>NOT(ISERROR(SEARCH(("No"),(P175))))</formula>
    </cfRule>
  </conditionalFormatting>
  <conditionalFormatting sqref="P175:Q214 U204:V204">
    <cfRule type="containsText" dxfId="9" priority="36608" operator="containsText" text="No">
      <formula>NOT(ISERROR(SEARCH(("No"),(P175))))</formula>
    </cfRule>
  </conditionalFormatting>
  <conditionalFormatting sqref="P175:Q214 U204:V204">
    <cfRule type="containsText" dxfId="9" priority="36609" operator="containsText" text="No">
      <formula>NOT(ISERROR(SEARCH(("No"),(P175))))</formula>
    </cfRule>
  </conditionalFormatting>
  <conditionalFormatting sqref="P175:Q214 U204:V204">
    <cfRule type="containsText" dxfId="9" priority="36610" operator="containsText" text="No">
      <formula>NOT(ISERROR(SEARCH(("No"),(P175))))</formula>
    </cfRule>
  </conditionalFormatting>
  <conditionalFormatting sqref="P175:Q214 U204:V204">
    <cfRule type="containsText" dxfId="9" priority="36611" operator="containsText" text="No">
      <formula>NOT(ISERROR(SEARCH(("No"),(P175))))</formula>
    </cfRule>
  </conditionalFormatting>
  <conditionalFormatting sqref="P175:Q214 U204:V204">
    <cfRule type="containsText" dxfId="9" priority="36612" operator="containsText" text="No">
      <formula>NOT(ISERROR(SEARCH(("No"),(P175))))</formula>
    </cfRule>
  </conditionalFormatting>
  <conditionalFormatting sqref="P175:Q214 U204:V204">
    <cfRule type="containsText" dxfId="9" priority="36613" operator="containsText" text="No">
      <formula>NOT(ISERROR(SEARCH(("No"),(P175))))</formula>
    </cfRule>
  </conditionalFormatting>
  <conditionalFormatting sqref="P175:Q214 U204:V204">
    <cfRule type="containsText" dxfId="9" priority="36614" operator="containsText" text="No">
      <formula>NOT(ISERROR(SEARCH(("No"),(P175))))</formula>
    </cfRule>
  </conditionalFormatting>
  <conditionalFormatting sqref="P175:Q214 U204:V204">
    <cfRule type="containsText" dxfId="9" priority="36615" operator="containsText" text="No">
      <formula>NOT(ISERROR(SEARCH(("No"),(P175))))</formula>
    </cfRule>
  </conditionalFormatting>
  <conditionalFormatting sqref="P175:Q214 U204:V204">
    <cfRule type="containsText" dxfId="9" priority="36616" operator="containsText" text="No">
      <formula>NOT(ISERROR(SEARCH(("No"),(P175))))</formula>
    </cfRule>
  </conditionalFormatting>
  <conditionalFormatting sqref="P175:Q214 U204:V204">
    <cfRule type="containsText" dxfId="9" priority="36617" operator="containsText" text="No">
      <formula>NOT(ISERROR(SEARCH(("No"),(P175))))</formula>
    </cfRule>
  </conditionalFormatting>
  <conditionalFormatting sqref="P175:Q214 U204:V204">
    <cfRule type="containsText" dxfId="9" priority="36618" operator="containsText" text="No">
      <formula>NOT(ISERROR(SEARCH(("No"),(P175))))</formula>
    </cfRule>
  </conditionalFormatting>
  <conditionalFormatting sqref="P175:Q214 U204:V204">
    <cfRule type="containsText" dxfId="9" priority="36619" operator="containsText" text="No">
      <formula>NOT(ISERROR(SEARCH(("No"),(P175))))</formula>
    </cfRule>
  </conditionalFormatting>
  <conditionalFormatting sqref="P175:Q214 U204:V204">
    <cfRule type="containsText" dxfId="9" priority="36620" operator="containsText" text="No">
      <formula>NOT(ISERROR(SEARCH(("No"),(P175))))</formula>
    </cfRule>
  </conditionalFormatting>
  <conditionalFormatting sqref="P175:Q214 U204:V204">
    <cfRule type="containsText" dxfId="9" priority="36621" operator="containsText" text="No">
      <formula>NOT(ISERROR(SEARCH(("No"),(P175))))</formula>
    </cfRule>
  </conditionalFormatting>
  <conditionalFormatting sqref="P175:Q214 U204:V204">
    <cfRule type="containsText" dxfId="9" priority="36622" operator="containsText" text="No">
      <formula>NOT(ISERROR(SEARCH(("No"),(P175))))</formula>
    </cfRule>
  </conditionalFormatting>
  <conditionalFormatting sqref="P175:Q214 U204:V204">
    <cfRule type="containsText" dxfId="9" priority="36623" operator="containsText" text="No">
      <formula>NOT(ISERROR(SEARCH(("No"),(P175))))</formula>
    </cfRule>
  </conditionalFormatting>
  <conditionalFormatting sqref="P175:Q214 U204:V204">
    <cfRule type="containsText" dxfId="9" priority="36624" operator="containsText" text="No">
      <formula>NOT(ISERROR(SEARCH(("No"),(P175))))</formula>
    </cfRule>
  </conditionalFormatting>
  <conditionalFormatting sqref="P175:Q214 U204:V204">
    <cfRule type="containsText" dxfId="9" priority="36625" operator="containsText" text="No">
      <formula>NOT(ISERROR(SEARCH(("No"),(P175))))</formula>
    </cfRule>
  </conditionalFormatting>
  <conditionalFormatting sqref="P175:Q214 U204:V204">
    <cfRule type="containsText" dxfId="9" priority="36626" operator="containsText" text="No">
      <formula>NOT(ISERROR(SEARCH(("No"),(P175))))</formula>
    </cfRule>
  </conditionalFormatting>
  <conditionalFormatting sqref="P175:Q214 U204:V204">
    <cfRule type="containsText" dxfId="9" priority="36627" operator="containsText" text="No">
      <formula>NOT(ISERROR(SEARCH(("No"),(P175))))</formula>
    </cfRule>
  </conditionalFormatting>
  <conditionalFormatting sqref="P175:Q214 U204:V204">
    <cfRule type="containsText" dxfId="9" priority="36628" operator="containsText" text="No">
      <formula>NOT(ISERROR(SEARCH(("No"),(P175))))</formula>
    </cfRule>
  </conditionalFormatting>
  <conditionalFormatting sqref="P175:Q214 U204:V204">
    <cfRule type="containsText" dxfId="9" priority="36629" operator="containsText" text="No">
      <formula>NOT(ISERROR(SEARCH(("No"),(P175))))</formula>
    </cfRule>
  </conditionalFormatting>
  <conditionalFormatting sqref="P175:Q214 U204:V204">
    <cfRule type="containsText" dxfId="9" priority="36630" operator="containsText" text="No">
      <formula>NOT(ISERROR(SEARCH(("No"),(P175))))</formula>
    </cfRule>
  </conditionalFormatting>
  <conditionalFormatting sqref="P175:Q214 U204:V204">
    <cfRule type="containsText" dxfId="9" priority="36631" operator="containsText" text="No">
      <formula>NOT(ISERROR(SEARCH(("No"),(P175))))</formula>
    </cfRule>
  </conditionalFormatting>
  <conditionalFormatting sqref="P175:Q214 U204:V204">
    <cfRule type="containsText" dxfId="9" priority="36632" operator="containsText" text="No">
      <formula>NOT(ISERROR(SEARCH(("No"),(P175))))</formula>
    </cfRule>
  </conditionalFormatting>
  <conditionalFormatting sqref="P175:Q214 U204:V204">
    <cfRule type="containsText" dxfId="9" priority="36633" operator="containsText" text="No">
      <formula>NOT(ISERROR(SEARCH(("No"),(P175))))</formula>
    </cfRule>
  </conditionalFormatting>
  <conditionalFormatting sqref="P175:Q214 U204:V204">
    <cfRule type="containsText" dxfId="9" priority="36634" operator="containsText" text="No">
      <formula>NOT(ISERROR(SEARCH(("No"),(P175))))</formula>
    </cfRule>
  </conditionalFormatting>
  <conditionalFormatting sqref="P175:Q214 U204:V204">
    <cfRule type="containsText" dxfId="9" priority="36635" operator="containsText" text="No">
      <formula>NOT(ISERROR(SEARCH(("No"),(P175))))</formula>
    </cfRule>
  </conditionalFormatting>
  <conditionalFormatting sqref="P175:Q214 U204:V204">
    <cfRule type="containsText" dxfId="9" priority="36636" operator="containsText" text="No">
      <formula>NOT(ISERROR(SEARCH(("No"),(P175))))</formula>
    </cfRule>
  </conditionalFormatting>
  <conditionalFormatting sqref="P175:Q214 U204:V204">
    <cfRule type="containsText" dxfId="9" priority="36637" operator="containsText" text="No">
      <formula>NOT(ISERROR(SEARCH(("No"),(P175))))</formula>
    </cfRule>
  </conditionalFormatting>
  <conditionalFormatting sqref="P175:Q214 U204:V204">
    <cfRule type="containsText" dxfId="9" priority="36638" operator="containsText" text="No">
      <formula>NOT(ISERROR(SEARCH(("No"),(P175))))</formula>
    </cfRule>
  </conditionalFormatting>
  <conditionalFormatting sqref="P175:Q214 U204:V204">
    <cfRule type="containsText" dxfId="9" priority="36639" operator="containsText" text="No">
      <formula>NOT(ISERROR(SEARCH(("No"),(P175))))</formula>
    </cfRule>
  </conditionalFormatting>
  <conditionalFormatting sqref="P175:Q214 U204:V204">
    <cfRule type="containsText" dxfId="9" priority="36640" operator="containsText" text="No">
      <formula>NOT(ISERROR(SEARCH(("No"),(P175))))</formula>
    </cfRule>
  </conditionalFormatting>
  <conditionalFormatting sqref="P175:Q214 U204:V204">
    <cfRule type="containsText" dxfId="9" priority="36641" operator="containsText" text="No">
      <formula>NOT(ISERROR(SEARCH(("No"),(P175))))</formula>
    </cfRule>
  </conditionalFormatting>
  <conditionalFormatting sqref="P175:Q214 U204:V204">
    <cfRule type="containsText" dxfId="9" priority="36642" operator="containsText" text="No">
      <formula>NOT(ISERROR(SEARCH(("No"),(P175))))</formula>
    </cfRule>
  </conditionalFormatting>
  <conditionalFormatting sqref="P175:Q214 U204:V204">
    <cfRule type="containsText" dxfId="9" priority="36643" operator="containsText" text="No">
      <formula>NOT(ISERROR(SEARCH(("No"),(P175))))</formula>
    </cfRule>
  </conditionalFormatting>
  <conditionalFormatting sqref="P175:Q214 U204:V204">
    <cfRule type="containsText" dxfId="9" priority="36644" operator="containsText" text="No">
      <formula>NOT(ISERROR(SEARCH(("No"),(P175))))</formula>
    </cfRule>
  </conditionalFormatting>
  <conditionalFormatting sqref="P175:Q214 U204:V204">
    <cfRule type="containsText" dxfId="9" priority="36645" operator="containsText" text="No">
      <formula>NOT(ISERROR(SEARCH(("No"),(P175))))</formula>
    </cfRule>
  </conditionalFormatting>
  <conditionalFormatting sqref="P175:Q214 U204:V204">
    <cfRule type="containsText" dxfId="2" priority="36646" operator="containsText" text="Yes">
      <formula>NOT(ISERROR(SEARCH(("Yes"),(P175))))</formula>
    </cfRule>
  </conditionalFormatting>
  <conditionalFormatting sqref="P175:Q214 U204:V204">
    <cfRule type="containsText" dxfId="2" priority="36647" operator="containsText" text="Yes">
      <formula>NOT(ISERROR(SEARCH(("Yes"),(P175))))</formula>
    </cfRule>
  </conditionalFormatting>
  <conditionalFormatting sqref="P175:Q214 U204:V204">
    <cfRule type="containsText" dxfId="2" priority="36648" operator="containsText" text="Yes">
      <formula>NOT(ISERROR(SEARCH(("Yes"),(P175))))</formula>
    </cfRule>
  </conditionalFormatting>
  <conditionalFormatting sqref="P175:Q214 U204:V204">
    <cfRule type="containsText" dxfId="2" priority="36649" operator="containsText" text="Yes">
      <formula>NOT(ISERROR(SEARCH(("Yes"),(P175))))</formula>
    </cfRule>
  </conditionalFormatting>
  <conditionalFormatting sqref="P175:Q214 U204:V204">
    <cfRule type="containsText" dxfId="2" priority="36650" operator="containsText" text="Yes">
      <formula>NOT(ISERROR(SEARCH(("Yes"),(P175))))</formula>
    </cfRule>
  </conditionalFormatting>
  <conditionalFormatting sqref="P175:Q214 U204:V204">
    <cfRule type="containsText" dxfId="2" priority="36651" operator="containsText" text="Yes">
      <formula>NOT(ISERROR(SEARCH(("Yes"),(P175))))</formula>
    </cfRule>
  </conditionalFormatting>
  <conditionalFormatting sqref="P175:Q214 U204:V204">
    <cfRule type="containsText" dxfId="2" priority="36652" operator="containsText" text="Yes">
      <formula>NOT(ISERROR(SEARCH(("Yes"),(P175))))</formula>
    </cfRule>
  </conditionalFormatting>
  <conditionalFormatting sqref="P175:Q214 U204:V204">
    <cfRule type="containsText" dxfId="2" priority="36653" operator="containsText" text="Yes">
      <formula>NOT(ISERROR(SEARCH(("Yes"),(P175))))</formula>
    </cfRule>
  </conditionalFormatting>
  <conditionalFormatting sqref="P175:Q214 U204:V204">
    <cfRule type="containsText" dxfId="2" priority="36654" operator="containsText" text="Yes">
      <formula>NOT(ISERROR(SEARCH(("Yes"),(P175))))</formula>
    </cfRule>
  </conditionalFormatting>
  <conditionalFormatting sqref="P175:Q214 U204:V204">
    <cfRule type="containsText" dxfId="2" priority="36655" operator="containsText" text="Yes">
      <formula>NOT(ISERROR(SEARCH(("Yes"),(P175))))</formula>
    </cfRule>
  </conditionalFormatting>
  <conditionalFormatting sqref="P175:Q214 U204:V204">
    <cfRule type="containsText" dxfId="2" priority="36656" operator="containsText" text="Yes">
      <formula>NOT(ISERROR(SEARCH(("Yes"),(P175))))</formula>
    </cfRule>
  </conditionalFormatting>
  <conditionalFormatting sqref="P175:Q214 U204:V204">
    <cfRule type="containsText" dxfId="2" priority="36657" operator="containsText" text="Yes">
      <formula>NOT(ISERROR(SEARCH(("Yes"),(P175))))</formula>
    </cfRule>
  </conditionalFormatting>
  <conditionalFormatting sqref="P175:Q214 U204:V204">
    <cfRule type="containsText" dxfId="2" priority="36658" operator="containsText" text="Yes">
      <formula>NOT(ISERROR(SEARCH(("Yes"),(P175))))</formula>
    </cfRule>
  </conditionalFormatting>
  <conditionalFormatting sqref="P175:Q214 U204:V204">
    <cfRule type="containsText" dxfId="2" priority="36659" operator="containsText" text="Yes">
      <formula>NOT(ISERROR(SEARCH(("Yes"),(P175))))</formula>
    </cfRule>
  </conditionalFormatting>
  <conditionalFormatting sqref="P175:Q214 U204:V204">
    <cfRule type="containsText" dxfId="2" priority="36660" operator="containsText" text="Yes">
      <formula>NOT(ISERROR(SEARCH(("Yes"),(P175))))</formula>
    </cfRule>
  </conditionalFormatting>
  <conditionalFormatting sqref="P175:Q214 U204:V204">
    <cfRule type="containsText" dxfId="2" priority="36661" operator="containsText" text="Yes">
      <formula>NOT(ISERROR(SEARCH(("Yes"),(P175))))</formula>
    </cfRule>
  </conditionalFormatting>
  <conditionalFormatting sqref="P175:Q214 U204:V204">
    <cfRule type="containsText" dxfId="2" priority="36662" operator="containsText" text="Yes">
      <formula>NOT(ISERROR(SEARCH(("Yes"),(P175))))</formula>
    </cfRule>
  </conditionalFormatting>
  <conditionalFormatting sqref="P175:Q214 U204:V204">
    <cfRule type="containsText" dxfId="2" priority="36663" operator="containsText" text="Yes">
      <formula>NOT(ISERROR(SEARCH(("Yes"),(P175))))</formula>
    </cfRule>
  </conditionalFormatting>
  <conditionalFormatting sqref="P175:Q214 U204:V204">
    <cfRule type="containsText" dxfId="2" priority="36664" operator="containsText" text="Yes">
      <formula>NOT(ISERROR(SEARCH(("Yes"),(P175))))</formula>
    </cfRule>
  </conditionalFormatting>
  <conditionalFormatting sqref="P175:Q214 U204:V204">
    <cfRule type="containsText" dxfId="2" priority="36665" operator="containsText" text="Yes">
      <formula>NOT(ISERROR(SEARCH(("Yes"),(P175))))</formula>
    </cfRule>
  </conditionalFormatting>
  <conditionalFormatting sqref="P175:Q214 U204:V204">
    <cfRule type="containsText" dxfId="2" priority="36666" operator="containsText" text="Yes">
      <formula>NOT(ISERROR(SEARCH(("Yes"),(P175))))</formula>
    </cfRule>
  </conditionalFormatting>
  <conditionalFormatting sqref="P175:Q214 U204:V204">
    <cfRule type="containsText" dxfId="2" priority="36667" operator="containsText" text="Yes">
      <formula>NOT(ISERROR(SEARCH(("Yes"),(P175))))</formula>
    </cfRule>
  </conditionalFormatting>
  <conditionalFormatting sqref="P175:Q214 U204:V204">
    <cfRule type="containsText" dxfId="2" priority="36668" operator="containsText" text="Yes">
      <formula>NOT(ISERROR(SEARCH(("Yes"),(P175))))</formula>
    </cfRule>
  </conditionalFormatting>
  <conditionalFormatting sqref="P175:Q214 U204:V204">
    <cfRule type="containsText" dxfId="2" priority="36669" operator="containsText" text="Yes">
      <formula>NOT(ISERROR(SEARCH(("Yes"),(P175))))</formula>
    </cfRule>
  </conditionalFormatting>
  <conditionalFormatting sqref="P175:Q214 U204:V204">
    <cfRule type="containsText" dxfId="2" priority="36670" operator="containsText" text="Yes">
      <formula>NOT(ISERROR(SEARCH(("Yes"),(P175))))</formula>
    </cfRule>
  </conditionalFormatting>
  <conditionalFormatting sqref="P175:Q214 U204:V204">
    <cfRule type="containsText" dxfId="2" priority="36671" operator="containsText" text="Yes">
      <formula>NOT(ISERROR(SEARCH(("Yes"),(P175))))</formula>
    </cfRule>
  </conditionalFormatting>
  <conditionalFormatting sqref="P175:Q214 U204:V204">
    <cfRule type="containsText" dxfId="2" priority="36672" operator="containsText" text="Yes">
      <formula>NOT(ISERROR(SEARCH(("Yes"),(P175))))</formula>
    </cfRule>
  </conditionalFormatting>
  <conditionalFormatting sqref="P175:Q214 U204:V204">
    <cfRule type="containsText" dxfId="2" priority="36673" operator="containsText" text="Yes">
      <formula>NOT(ISERROR(SEARCH(("Yes"),(P175))))</formula>
    </cfRule>
  </conditionalFormatting>
  <conditionalFormatting sqref="P175:Q214 U204:V204">
    <cfRule type="containsText" dxfId="2" priority="36674" operator="containsText" text="Yes">
      <formula>NOT(ISERROR(SEARCH(("Yes"),(P175))))</formula>
    </cfRule>
  </conditionalFormatting>
  <conditionalFormatting sqref="P175:Q214 U204:V204">
    <cfRule type="containsText" dxfId="2" priority="36675" operator="containsText" text="Yes">
      <formula>NOT(ISERROR(SEARCH(("Yes"),(P175))))</formula>
    </cfRule>
  </conditionalFormatting>
  <conditionalFormatting sqref="P175:Q214 U204:V204">
    <cfRule type="containsText" dxfId="2" priority="36676" operator="containsText" text="Yes">
      <formula>NOT(ISERROR(SEARCH(("Yes"),(P175))))</formula>
    </cfRule>
  </conditionalFormatting>
  <conditionalFormatting sqref="P175:Q214 U204:V204">
    <cfRule type="containsText" dxfId="2" priority="36677" operator="containsText" text="Yes">
      <formula>NOT(ISERROR(SEARCH(("Yes"),(P175))))</formula>
    </cfRule>
  </conditionalFormatting>
  <conditionalFormatting sqref="P175:Q214 U204:V204">
    <cfRule type="containsText" dxfId="2" priority="36678" operator="containsText" text="Yes">
      <formula>NOT(ISERROR(SEARCH(("Yes"),(P175))))</formula>
    </cfRule>
  </conditionalFormatting>
  <conditionalFormatting sqref="P175:Q214 U204:V204">
    <cfRule type="containsText" dxfId="2" priority="36679" operator="containsText" text="Yes">
      <formula>NOT(ISERROR(SEARCH(("Yes"),(P175))))</formula>
    </cfRule>
  </conditionalFormatting>
  <conditionalFormatting sqref="P175:Q214 U204:V204">
    <cfRule type="containsText" dxfId="2" priority="36680" operator="containsText" text="Yes">
      <formula>NOT(ISERROR(SEARCH(("Yes"),(P175))))</formula>
    </cfRule>
  </conditionalFormatting>
  <conditionalFormatting sqref="P175:Q214 U204:V204">
    <cfRule type="containsText" dxfId="2" priority="36681" operator="containsText" text="Yes">
      <formula>NOT(ISERROR(SEARCH(("Yes"),(P175))))</formula>
    </cfRule>
  </conditionalFormatting>
  <conditionalFormatting sqref="P175:Q214 U204:V204">
    <cfRule type="containsText" dxfId="2" priority="36682" operator="containsText" text="Yes">
      <formula>NOT(ISERROR(SEARCH(("Yes"),(P175))))</formula>
    </cfRule>
  </conditionalFormatting>
  <conditionalFormatting sqref="P175:Q214 U204:V204">
    <cfRule type="containsText" dxfId="2" priority="36683" operator="containsText" text="Yes">
      <formula>NOT(ISERROR(SEARCH(("Yes"),(P175))))</formula>
    </cfRule>
  </conditionalFormatting>
  <conditionalFormatting sqref="P175:Q214 U204:V204">
    <cfRule type="containsText" dxfId="2" priority="36684" operator="containsText" text="Yes">
      <formula>NOT(ISERROR(SEARCH(("Yes"),(P175))))</formula>
    </cfRule>
  </conditionalFormatting>
  <conditionalFormatting sqref="P175:Q214 U204:V204">
    <cfRule type="containsText" dxfId="2" priority="36685" operator="containsText" text="Yes">
      <formula>NOT(ISERROR(SEARCH(("Yes"),(P175))))</formula>
    </cfRule>
  </conditionalFormatting>
  <conditionalFormatting sqref="P175:Q214 U204:V204">
    <cfRule type="containsText" dxfId="2" priority="36686" operator="containsText" text="Yes">
      <formula>NOT(ISERROR(SEARCH(("Yes"),(P175))))</formula>
    </cfRule>
  </conditionalFormatting>
  <conditionalFormatting sqref="P175:Q214 U204:V204">
    <cfRule type="containsText" dxfId="2" priority="36687" operator="containsText" text="Yes">
      <formula>NOT(ISERROR(SEARCH(("Yes"),(P175))))</formula>
    </cfRule>
  </conditionalFormatting>
  <conditionalFormatting sqref="P175:Q214 U204:V204">
    <cfRule type="containsText" dxfId="2" priority="36688" operator="containsText" text="Yes">
      <formula>NOT(ISERROR(SEARCH(("Yes"),(P175))))</formula>
    </cfRule>
  </conditionalFormatting>
  <conditionalFormatting sqref="P175:Q214 U204:V204">
    <cfRule type="containsText" dxfId="2" priority="36689" operator="containsText" text="Yes">
      <formula>NOT(ISERROR(SEARCH(("Yes"),(P175))))</formula>
    </cfRule>
  </conditionalFormatting>
  <conditionalFormatting sqref="P175:Q214 U204:V204">
    <cfRule type="containsText" dxfId="2" priority="36690" operator="containsText" text="Yes">
      <formula>NOT(ISERROR(SEARCH(("Yes"),(P175))))</formula>
    </cfRule>
  </conditionalFormatting>
  <conditionalFormatting sqref="P175:Q214 U204:V204">
    <cfRule type="containsText" dxfId="2" priority="36691" operator="containsText" text="Yes">
      <formula>NOT(ISERROR(SEARCH(("Yes"),(P175))))</formula>
    </cfRule>
  </conditionalFormatting>
  <conditionalFormatting sqref="P175:Q214 U204:V204">
    <cfRule type="containsText" dxfId="2" priority="36692" operator="containsText" text="Yes">
      <formula>NOT(ISERROR(SEARCH(("Yes"),(P175))))</formula>
    </cfRule>
  </conditionalFormatting>
  <conditionalFormatting sqref="P176:Q214 U204:V204">
    <cfRule type="containsText" dxfId="9" priority="36693" operator="containsText" text="No">
      <formula>NOT(ISERROR(SEARCH(("No"),(P176))))</formula>
    </cfRule>
  </conditionalFormatting>
  <conditionalFormatting sqref="P176:Q214 U204:V204">
    <cfRule type="containsText" dxfId="9" priority="36694" operator="containsText" text="No">
      <formula>NOT(ISERROR(SEARCH(("No"),(P176))))</formula>
    </cfRule>
  </conditionalFormatting>
  <conditionalFormatting sqref="P176:Q214 U204:V204">
    <cfRule type="containsText" dxfId="9" priority="36695" operator="containsText" text="No">
      <formula>NOT(ISERROR(SEARCH(("No"),(P176))))</formula>
    </cfRule>
  </conditionalFormatting>
  <conditionalFormatting sqref="P176:Q214 U204:V204">
    <cfRule type="containsText" dxfId="9" priority="36696" operator="containsText" text="No">
      <formula>NOT(ISERROR(SEARCH(("No"),(P176))))</formula>
    </cfRule>
  </conditionalFormatting>
  <conditionalFormatting sqref="P176:Q214 U204:V204">
    <cfRule type="containsText" dxfId="9" priority="36697" operator="containsText" text="No">
      <formula>NOT(ISERROR(SEARCH(("No"),(P176))))</formula>
    </cfRule>
  </conditionalFormatting>
  <conditionalFormatting sqref="P176:Q214 U204:V204">
    <cfRule type="containsText" dxfId="9" priority="36698" operator="containsText" text="No">
      <formula>NOT(ISERROR(SEARCH(("No"),(P176))))</formula>
    </cfRule>
  </conditionalFormatting>
  <conditionalFormatting sqref="P176:Q214 U204:V204">
    <cfRule type="containsText" dxfId="9" priority="36699" operator="containsText" text="No">
      <formula>NOT(ISERROR(SEARCH(("No"),(P176))))</formula>
    </cfRule>
  </conditionalFormatting>
  <conditionalFormatting sqref="P176:Q214 U204:V204">
    <cfRule type="containsText" dxfId="9" priority="36700" operator="containsText" text="No">
      <formula>NOT(ISERROR(SEARCH(("No"),(P176))))</formula>
    </cfRule>
  </conditionalFormatting>
  <conditionalFormatting sqref="P176:Q214 U204:V204">
    <cfRule type="containsText" dxfId="9" priority="36701" operator="containsText" text="No">
      <formula>NOT(ISERROR(SEARCH(("No"),(P176))))</formula>
    </cfRule>
  </conditionalFormatting>
  <conditionalFormatting sqref="P176:Q214 U204:V204">
    <cfRule type="containsText" dxfId="9" priority="36702" operator="containsText" text="No">
      <formula>NOT(ISERROR(SEARCH(("No"),(P176))))</formula>
    </cfRule>
  </conditionalFormatting>
  <conditionalFormatting sqref="P176:Q214 U204:V204">
    <cfRule type="containsText" dxfId="9" priority="36703" operator="containsText" text="No">
      <formula>NOT(ISERROR(SEARCH(("No"),(P176))))</formula>
    </cfRule>
  </conditionalFormatting>
  <conditionalFormatting sqref="P176:Q214 U204:V204">
    <cfRule type="containsText" dxfId="9" priority="36704" operator="containsText" text="No">
      <formula>NOT(ISERROR(SEARCH(("No"),(P176))))</formula>
    </cfRule>
  </conditionalFormatting>
  <conditionalFormatting sqref="P176:Q214 U204:V204">
    <cfRule type="containsText" dxfId="9" priority="36705" operator="containsText" text="No">
      <formula>NOT(ISERROR(SEARCH(("No"),(P176))))</formula>
    </cfRule>
  </conditionalFormatting>
  <conditionalFormatting sqref="P176:Q214 U204:V204">
    <cfRule type="containsText" dxfId="9" priority="36706" operator="containsText" text="No">
      <formula>NOT(ISERROR(SEARCH(("No"),(P176))))</formula>
    </cfRule>
  </conditionalFormatting>
  <conditionalFormatting sqref="P176:Q214 U204:V204">
    <cfRule type="containsText" dxfId="9" priority="36707" operator="containsText" text="No">
      <formula>NOT(ISERROR(SEARCH(("No"),(P176))))</formula>
    </cfRule>
  </conditionalFormatting>
  <conditionalFormatting sqref="P176:Q214 U204:V204">
    <cfRule type="containsText" dxfId="9" priority="36708" operator="containsText" text="No">
      <formula>NOT(ISERROR(SEARCH(("No"),(P176))))</formula>
    </cfRule>
  </conditionalFormatting>
  <conditionalFormatting sqref="P176:Q214 U204:V204">
    <cfRule type="containsText" dxfId="9" priority="36709" operator="containsText" text="No">
      <formula>NOT(ISERROR(SEARCH(("No"),(P176))))</formula>
    </cfRule>
  </conditionalFormatting>
  <conditionalFormatting sqref="P176:Q214 U204:V204">
    <cfRule type="containsText" dxfId="9" priority="36710" operator="containsText" text="No">
      <formula>NOT(ISERROR(SEARCH(("No"),(P176))))</formula>
    </cfRule>
  </conditionalFormatting>
  <conditionalFormatting sqref="P176:Q214 U204:V204">
    <cfRule type="containsText" dxfId="9" priority="36711" operator="containsText" text="No">
      <formula>NOT(ISERROR(SEARCH(("No"),(P176))))</formula>
    </cfRule>
  </conditionalFormatting>
  <conditionalFormatting sqref="P176:Q214 U204:V204">
    <cfRule type="containsText" dxfId="9" priority="36712" operator="containsText" text="No">
      <formula>NOT(ISERROR(SEARCH(("No"),(P176))))</formula>
    </cfRule>
  </conditionalFormatting>
  <conditionalFormatting sqref="P176:Q214 U204:V204">
    <cfRule type="containsText" dxfId="9" priority="36713" operator="containsText" text="No">
      <formula>NOT(ISERROR(SEARCH(("No"),(P176))))</formula>
    </cfRule>
  </conditionalFormatting>
  <conditionalFormatting sqref="P176:Q214 U204:V204">
    <cfRule type="containsText" dxfId="9" priority="36714" operator="containsText" text="No">
      <formula>NOT(ISERROR(SEARCH(("No"),(P176))))</formula>
    </cfRule>
  </conditionalFormatting>
  <conditionalFormatting sqref="P176:Q214 U204:V204">
    <cfRule type="containsText" dxfId="9" priority="36715" operator="containsText" text="No">
      <formula>NOT(ISERROR(SEARCH(("No"),(P176))))</formula>
    </cfRule>
  </conditionalFormatting>
  <conditionalFormatting sqref="P176:Q214 U204:V204">
    <cfRule type="containsText" dxfId="9" priority="36716" operator="containsText" text="No">
      <formula>NOT(ISERROR(SEARCH(("No"),(P176))))</formula>
    </cfRule>
  </conditionalFormatting>
  <conditionalFormatting sqref="P176:Q214 U204:V204">
    <cfRule type="containsText" dxfId="9" priority="36717" operator="containsText" text="No">
      <formula>NOT(ISERROR(SEARCH(("No"),(P176))))</formula>
    </cfRule>
  </conditionalFormatting>
  <conditionalFormatting sqref="P176:Q214 U204:V204">
    <cfRule type="containsText" dxfId="9" priority="36718" operator="containsText" text="No">
      <formula>NOT(ISERROR(SEARCH(("No"),(P176))))</formula>
    </cfRule>
  </conditionalFormatting>
  <conditionalFormatting sqref="P176:Q214 U204:V204">
    <cfRule type="containsText" dxfId="9" priority="36719" operator="containsText" text="No">
      <formula>NOT(ISERROR(SEARCH(("No"),(P176))))</formula>
    </cfRule>
  </conditionalFormatting>
  <conditionalFormatting sqref="P176:Q214 U204:V204">
    <cfRule type="containsText" dxfId="9" priority="36720" operator="containsText" text="No">
      <formula>NOT(ISERROR(SEARCH(("No"),(P176))))</formula>
    </cfRule>
  </conditionalFormatting>
  <conditionalFormatting sqref="P176:Q214 U204:V204">
    <cfRule type="containsText" dxfId="9" priority="36721" operator="containsText" text="No">
      <formula>NOT(ISERROR(SEARCH(("No"),(P176))))</formula>
    </cfRule>
  </conditionalFormatting>
  <conditionalFormatting sqref="P176:Q214 U204:V204">
    <cfRule type="containsText" dxfId="9" priority="36722" operator="containsText" text="No">
      <formula>NOT(ISERROR(SEARCH(("No"),(P176))))</formula>
    </cfRule>
  </conditionalFormatting>
  <conditionalFormatting sqref="P176:Q214 U204:V204">
    <cfRule type="containsText" dxfId="9" priority="36723" operator="containsText" text="No">
      <formula>NOT(ISERROR(SEARCH(("No"),(P176))))</formula>
    </cfRule>
  </conditionalFormatting>
  <conditionalFormatting sqref="P176:Q214 U204:V204">
    <cfRule type="containsText" dxfId="9" priority="36724" operator="containsText" text="No">
      <formula>NOT(ISERROR(SEARCH(("No"),(P176))))</formula>
    </cfRule>
  </conditionalFormatting>
  <conditionalFormatting sqref="P176:Q214 U204:V204">
    <cfRule type="containsText" dxfId="9" priority="36725" operator="containsText" text="No">
      <formula>NOT(ISERROR(SEARCH(("No"),(P176))))</formula>
    </cfRule>
  </conditionalFormatting>
  <conditionalFormatting sqref="P176:Q214 U204:V204">
    <cfRule type="containsText" dxfId="9" priority="36726" operator="containsText" text="No">
      <formula>NOT(ISERROR(SEARCH(("No"),(P176))))</formula>
    </cfRule>
  </conditionalFormatting>
  <conditionalFormatting sqref="P176:Q214 U204:V204">
    <cfRule type="containsText" dxfId="9" priority="36727" operator="containsText" text="No">
      <formula>NOT(ISERROR(SEARCH(("No"),(P176))))</formula>
    </cfRule>
  </conditionalFormatting>
  <conditionalFormatting sqref="P176:Q214 U204:V204">
    <cfRule type="containsText" dxfId="9" priority="36728" operator="containsText" text="No">
      <formula>NOT(ISERROR(SEARCH(("No"),(P176))))</formula>
    </cfRule>
  </conditionalFormatting>
  <conditionalFormatting sqref="P176:Q214 U204:V204">
    <cfRule type="containsText" dxfId="9" priority="36729" operator="containsText" text="No">
      <formula>NOT(ISERROR(SEARCH(("No"),(P176))))</formula>
    </cfRule>
  </conditionalFormatting>
  <conditionalFormatting sqref="P176:Q214 U204:V204">
    <cfRule type="containsText" dxfId="9" priority="36730" operator="containsText" text="No">
      <formula>NOT(ISERROR(SEARCH(("No"),(P176))))</formula>
    </cfRule>
  </conditionalFormatting>
  <conditionalFormatting sqref="P176:Q214 U204:V204">
    <cfRule type="containsText" dxfId="9" priority="36731" operator="containsText" text="No">
      <formula>NOT(ISERROR(SEARCH(("No"),(P176))))</formula>
    </cfRule>
  </conditionalFormatting>
  <conditionalFormatting sqref="P176:Q214 U204:V204">
    <cfRule type="containsText" dxfId="9" priority="36732" operator="containsText" text="No">
      <formula>NOT(ISERROR(SEARCH(("No"),(P176))))</formula>
    </cfRule>
  </conditionalFormatting>
  <conditionalFormatting sqref="P176:Q214 U204:V204">
    <cfRule type="containsText" dxfId="9" priority="36733" operator="containsText" text="No">
      <formula>NOT(ISERROR(SEARCH(("No"),(P176))))</formula>
    </cfRule>
  </conditionalFormatting>
  <conditionalFormatting sqref="P176:Q214 U204:V204">
    <cfRule type="containsText" dxfId="9" priority="36734" operator="containsText" text="No">
      <formula>NOT(ISERROR(SEARCH(("No"),(P176))))</formula>
    </cfRule>
  </conditionalFormatting>
  <conditionalFormatting sqref="P176:Q214 U204:V204">
    <cfRule type="containsText" dxfId="9" priority="36735" operator="containsText" text="No">
      <formula>NOT(ISERROR(SEARCH(("No"),(P176))))</formula>
    </cfRule>
  </conditionalFormatting>
  <conditionalFormatting sqref="P176:Q214 U204:V204">
    <cfRule type="containsText" dxfId="9" priority="36736" operator="containsText" text="No">
      <formula>NOT(ISERROR(SEARCH(("No"),(P176))))</formula>
    </cfRule>
  </conditionalFormatting>
  <conditionalFormatting sqref="P176:Q214 U204:V204">
    <cfRule type="containsText" dxfId="9" priority="36737" operator="containsText" text="No">
      <formula>NOT(ISERROR(SEARCH(("No"),(P176))))</formula>
    </cfRule>
  </conditionalFormatting>
  <conditionalFormatting sqref="P176:Q214 U204:V204">
    <cfRule type="containsText" dxfId="2" priority="36738" operator="containsText" text="Yes">
      <formula>NOT(ISERROR(SEARCH(("Yes"),(P176))))</formula>
    </cfRule>
  </conditionalFormatting>
  <conditionalFormatting sqref="P176:Q214 U204:V204">
    <cfRule type="containsText" dxfId="2" priority="36739" operator="containsText" text="Yes">
      <formula>NOT(ISERROR(SEARCH(("Yes"),(P176))))</formula>
    </cfRule>
  </conditionalFormatting>
  <conditionalFormatting sqref="P176:Q214 U204:V204">
    <cfRule type="containsText" dxfId="2" priority="36740" operator="containsText" text="Yes">
      <formula>NOT(ISERROR(SEARCH(("Yes"),(P176))))</formula>
    </cfRule>
  </conditionalFormatting>
  <conditionalFormatting sqref="P176:Q214 U204:V204">
    <cfRule type="containsText" dxfId="2" priority="36741" operator="containsText" text="Yes">
      <formula>NOT(ISERROR(SEARCH(("Yes"),(P176))))</formula>
    </cfRule>
  </conditionalFormatting>
  <conditionalFormatting sqref="P176:Q214 U204:V204">
    <cfRule type="containsText" dxfId="2" priority="36742" operator="containsText" text="Yes">
      <formula>NOT(ISERROR(SEARCH(("Yes"),(P176))))</formula>
    </cfRule>
  </conditionalFormatting>
  <conditionalFormatting sqref="P176:Q214 U204:V204">
    <cfRule type="containsText" dxfId="2" priority="36743" operator="containsText" text="Yes">
      <formula>NOT(ISERROR(SEARCH(("Yes"),(P176))))</formula>
    </cfRule>
  </conditionalFormatting>
  <conditionalFormatting sqref="P176:Q214 U204:V204">
    <cfRule type="containsText" dxfId="2" priority="36744" operator="containsText" text="Yes">
      <formula>NOT(ISERROR(SEARCH(("Yes"),(P176))))</formula>
    </cfRule>
  </conditionalFormatting>
  <conditionalFormatting sqref="P176:Q214 U204:V204">
    <cfRule type="containsText" dxfId="2" priority="36745" operator="containsText" text="Yes">
      <formula>NOT(ISERROR(SEARCH(("Yes"),(P176))))</formula>
    </cfRule>
  </conditionalFormatting>
  <conditionalFormatting sqref="P176:Q214 U204:V204">
    <cfRule type="containsText" dxfId="2" priority="36746" operator="containsText" text="Yes">
      <formula>NOT(ISERROR(SEARCH(("Yes"),(P176))))</formula>
    </cfRule>
  </conditionalFormatting>
  <conditionalFormatting sqref="P176:Q214 U204:V204">
    <cfRule type="containsText" dxfId="2" priority="36747" operator="containsText" text="Yes">
      <formula>NOT(ISERROR(SEARCH(("Yes"),(P176))))</formula>
    </cfRule>
  </conditionalFormatting>
  <conditionalFormatting sqref="P176:Q214 U204:V204">
    <cfRule type="containsText" dxfId="2" priority="36748" operator="containsText" text="Yes">
      <formula>NOT(ISERROR(SEARCH(("Yes"),(P176))))</formula>
    </cfRule>
  </conditionalFormatting>
  <conditionalFormatting sqref="P176:Q214 U204:V204">
    <cfRule type="containsText" dxfId="2" priority="36749" operator="containsText" text="Yes">
      <formula>NOT(ISERROR(SEARCH(("Yes"),(P176))))</formula>
    </cfRule>
  </conditionalFormatting>
  <conditionalFormatting sqref="P176:Q214 U204:V204">
    <cfRule type="containsText" dxfId="2" priority="36750" operator="containsText" text="Yes">
      <formula>NOT(ISERROR(SEARCH(("Yes"),(P176))))</formula>
    </cfRule>
  </conditionalFormatting>
  <conditionalFormatting sqref="P176:Q214 U204:V204">
    <cfRule type="containsText" dxfId="2" priority="36751" operator="containsText" text="Yes">
      <formula>NOT(ISERROR(SEARCH(("Yes"),(P176))))</formula>
    </cfRule>
  </conditionalFormatting>
  <conditionalFormatting sqref="P176:Q214 U204:V204">
    <cfRule type="containsText" dxfId="2" priority="36752" operator="containsText" text="Yes">
      <formula>NOT(ISERROR(SEARCH(("Yes"),(P176))))</formula>
    </cfRule>
  </conditionalFormatting>
  <conditionalFormatting sqref="P176:Q214 U204:V204">
    <cfRule type="containsText" dxfId="2" priority="36753" operator="containsText" text="Yes">
      <formula>NOT(ISERROR(SEARCH(("Yes"),(P176))))</formula>
    </cfRule>
  </conditionalFormatting>
  <conditionalFormatting sqref="P176:Q214 U204:V204">
    <cfRule type="containsText" dxfId="2" priority="36754" operator="containsText" text="Yes">
      <formula>NOT(ISERROR(SEARCH(("Yes"),(P176))))</formula>
    </cfRule>
  </conditionalFormatting>
  <conditionalFormatting sqref="P176:Q214 U204:V204">
    <cfRule type="containsText" dxfId="2" priority="36755" operator="containsText" text="Yes">
      <formula>NOT(ISERROR(SEARCH(("Yes"),(P176))))</formula>
    </cfRule>
  </conditionalFormatting>
  <conditionalFormatting sqref="P176:Q214 U204:V204">
    <cfRule type="containsText" dxfId="2" priority="36756" operator="containsText" text="Yes">
      <formula>NOT(ISERROR(SEARCH(("Yes"),(P176))))</formula>
    </cfRule>
  </conditionalFormatting>
  <conditionalFormatting sqref="P176:Q214 U204:V204">
    <cfRule type="containsText" dxfId="2" priority="36757" operator="containsText" text="Yes">
      <formula>NOT(ISERROR(SEARCH(("Yes"),(P176))))</formula>
    </cfRule>
  </conditionalFormatting>
  <conditionalFormatting sqref="P176:Q214 U204:V204">
    <cfRule type="containsText" dxfId="2" priority="36758" operator="containsText" text="Yes">
      <formula>NOT(ISERROR(SEARCH(("Yes"),(P176))))</formula>
    </cfRule>
  </conditionalFormatting>
  <conditionalFormatting sqref="P176:Q214 U204:V204">
    <cfRule type="containsText" dxfId="2" priority="36759" operator="containsText" text="Yes">
      <formula>NOT(ISERROR(SEARCH(("Yes"),(P176))))</formula>
    </cfRule>
  </conditionalFormatting>
  <conditionalFormatting sqref="P176:Q214 U204:V204">
    <cfRule type="containsText" dxfId="2" priority="36760" operator="containsText" text="Yes">
      <formula>NOT(ISERROR(SEARCH(("Yes"),(P176))))</formula>
    </cfRule>
  </conditionalFormatting>
  <conditionalFormatting sqref="P176:Q214 U204:V204">
    <cfRule type="containsText" dxfId="2" priority="36761" operator="containsText" text="Yes">
      <formula>NOT(ISERROR(SEARCH(("Yes"),(P176))))</formula>
    </cfRule>
  </conditionalFormatting>
  <conditionalFormatting sqref="P176:Q214 U204:V204">
    <cfRule type="containsText" dxfId="2" priority="36762" operator="containsText" text="Yes">
      <formula>NOT(ISERROR(SEARCH(("Yes"),(P176))))</formula>
    </cfRule>
  </conditionalFormatting>
  <conditionalFormatting sqref="P176:Q214 U204:V204">
    <cfRule type="containsText" dxfId="2" priority="36763" operator="containsText" text="Yes">
      <formula>NOT(ISERROR(SEARCH(("Yes"),(P176))))</formula>
    </cfRule>
  </conditionalFormatting>
  <conditionalFormatting sqref="P176:Q214 U204:V204">
    <cfRule type="containsText" dxfId="2" priority="36764" operator="containsText" text="Yes">
      <formula>NOT(ISERROR(SEARCH(("Yes"),(P176))))</formula>
    </cfRule>
  </conditionalFormatting>
  <conditionalFormatting sqref="P176:Q214 U204:V204">
    <cfRule type="containsText" dxfId="2" priority="36765" operator="containsText" text="Yes">
      <formula>NOT(ISERROR(SEARCH(("Yes"),(P176))))</formula>
    </cfRule>
  </conditionalFormatting>
  <conditionalFormatting sqref="P176:Q214 U204:V204">
    <cfRule type="containsText" dxfId="2" priority="36766" operator="containsText" text="Yes">
      <formula>NOT(ISERROR(SEARCH(("Yes"),(P176))))</formula>
    </cfRule>
  </conditionalFormatting>
  <conditionalFormatting sqref="P176:Q214 U204:V204">
    <cfRule type="containsText" dxfId="2" priority="36767" operator="containsText" text="Yes">
      <formula>NOT(ISERROR(SEARCH(("Yes"),(P176))))</formula>
    </cfRule>
  </conditionalFormatting>
  <conditionalFormatting sqref="P176:Q214 U204:V204">
    <cfRule type="containsText" dxfId="2" priority="36768" operator="containsText" text="Yes">
      <formula>NOT(ISERROR(SEARCH(("Yes"),(P176))))</formula>
    </cfRule>
  </conditionalFormatting>
  <conditionalFormatting sqref="P176:Q214 U204:V204">
    <cfRule type="containsText" dxfId="2" priority="36769" operator="containsText" text="Yes">
      <formula>NOT(ISERROR(SEARCH(("Yes"),(P176))))</formula>
    </cfRule>
  </conditionalFormatting>
  <conditionalFormatting sqref="P176:Q214 U204:V204">
    <cfRule type="containsText" dxfId="2" priority="36770" operator="containsText" text="Yes">
      <formula>NOT(ISERROR(SEARCH(("Yes"),(P176))))</formula>
    </cfRule>
  </conditionalFormatting>
  <conditionalFormatting sqref="P176:Q214 U204:V204">
    <cfRule type="containsText" dxfId="2" priority="36771" operator="containsText" text="Yes">
      <formula>NOT(ISERROR(SEARCH(("Yes"),(P176))))</formula>
    </cfRule>
  </conditionalFormatting>
  <conditionalFormatting sqref="P176:Q214 U204:V204">
    <cfRule type="containsText" dxfId="2" priority="36772" operator="containsText" text="Yes">
      <formula>NOT(ISERROR(SEARCH(("Yes"),(P176))))</formula>
    </cfRule>
  </conditionalFormatting>
  <conditionalFormatting sqref="P176:Q214 U204:V204">
    <cfRule type="containsText" dxfId="2" priority="36773" operator="containsText" text="Yes">
      <formula>NOT(ISERROR(SEARCH(("Yes"),(P176))))</formula>
    </cfRule>
  </conditionalFormatting>
  <conditionalFormatting sqref="P176:Q214 U204:V204">
    <cfRule type="containsText" dxfId="2" priority="36774" operator="containsText" text="Yes">
      <formula>NOT(ISERROR(SEARCH(("Yes"),(P176))))</formula>
    </cfRule>
  </conditionalFormatting>
  <conditionalFormatting sqref="P176:Q214 U204:V204">
    <cfRule type="containsText" dxfId="2" priority="36775" operator="containsText" text="Yes">
      <formula>NOT(ISERROR(SEARCH(("Yes"),(P176))))</formula>
    </cfRule>
  </conditionalFormatting>
  <conditionalFormatting sqref="P176:Q214 U204:V204">
    <cfRule type="containsText" dxfId="2" priority="36776" operator="containsText" text="Yes">
      <formula>NOT(ISERROR(SEARCH(("Yes"),(P176))))</formula>
    </cfRule>
  </conditionalFormatting>
  <conditionalFormatting sqref="P176:Q214 U204:V204">
    <cfRule type="containsText" dxfId="2" priority="36777" operator="containsText" text="Yes">
      <formula>NOT(ISERROR(SEARCH(("Yes"),(P176))))</formula>
    </cfRule>
  </conditionalFormatting>
  <conditionalFormatting sqref="P176:Q214 U204:V204">
    <cfRule type="containsText" dxfId="2" priority="36778" operator="containsText" text="Yes">
      <formula>NOT(ISERROR(SEARCH(("Yes"),(P176))))</formula>
    </cfRule>
  </conditionalFormatting>
  <conditionalFormatting sqref="P176:Q214 U204:V204">
    <cfRule type="containsText" dxfId="2" priority="36779" operator="containsText" text="Yes">
      <formula>NOT(ISERROR(SEARCH(("Yes"),(P176))))</formula>
    </cfRule>
  </conditionalFormatting>
  <conditionalFormatting sqref="P176:Q214 U204:V204">
    <cfRule type="containsText" dxfId="2" priority="36780" operator="containsText" text="Yes">
      <formula>NOT(ISERROR(SEARCH(("Yes"),(P176))))</formula>
    </cfRule>
  </conditionalFormatting>
  <conditionalFormatting sqref="P176:Q214 U204:V204">
    <cfRule type="containsText" dxfId="2" priority="36781" operator="containsText" text="Yes">
      <formula>NOT(ISERROR(SEARCH(("Yes"),(P176))))</formula>
    </cfRule>
  </conditionalFormatting>
  <conditionalFormatting sqref="P176:Q214 U204:V204">
    <cfRule type="containsText" dxfId="2" priority="36782" operator="containsText" text="Yes">
      <formula>NOT(ISERROR(SEARCH(("Yes"),(P176))))</formula>
    </cfRule>
  </conditionalFormatting>
  <conditionalFormatting sqref="P176:Q214 U204:V204">
    <cfRule type="containsText" dxfId="2" priority="36783" operator="containsText" text="Yes">
      <formula>NOT(ISERROR(SEARCH(("Yes"),(P176))))</formula>
    </cfRule>
  </conditionalFormatting>
  <conditionalFormatting sqref="P176:Q214 U204:V204">
    <cfRule type="containsText" dxfId="2" priority="36784" operator="containsText" text="Yes">
      <formula>NOT(ISERROR(SEARCH(("Yes"),(P176))))</formula>
    </cfRule>
  </conditionalFormatting>
  <conditionalFormatting sqref="P177:Q179 P181:Q214 U204:V204">
    <cfRule type="containsText" dxfId="9" priority="36785" operator="containsText" text="No">
      <formula>NOT(ISERROR(SEARCH(("No"),(P177))))</formula>
    </cfRule>
  </conditionalFormatting>
  <conditionalFormatting sqref="P177:Q179 P181:Q214 U204:V204">
    <cfRule type="containsText" dxfId="9" priority="36786" operator="containsText" text="No">
      <formula>NOT(ISERROR(SEARCH(("No"),(P177))))</formula>
    </cfRule>
  </conditionalFormatting>
  <conditionalFormatting sqref="P177:Q179 P181:Q214 U204:V204">
    <cfRule type="containsText" dxfId="9" priority="36787" operator="containsText" text="No">
      <formula>NOT(ISERROR(SEARCH(("No"),(P177))))</formula>
    </cfRule>
  </conditionalFormatting>
  <conditionalFormatting sqref="P177:Q179 P181:Q214 U204:V204">
    <cfRule type="containsText" dxfId="9" priority="36788" operator="containsText" text="No">
      <formula>NOT(ISERROR(SEARCH(("No"),(P177))))</formula>
    </cfRule>
  </conditionalFormatting>
  <conditionalFormatting sqref="P177:Q179 P181:Q214 U204:V204">
    <cfRule type="containsText" dxfId="9" priority="36789" operator="containsText" text="No">
      <formula>NOT(ISERROR(SEARCH(("No"),(P177))))</formula>
    </cfRule>
  </conditionalFormatting>
  <conditionalFormatting sqref="P177:Q179 P181:Q214 U204:V204">
    <cfRule type="containsText" dxfId="9" priority="36790" operator="containsText" text="No">
      <formula>NOT(ISERROR(SEARCH(("No"),(P177))))</formula>
    </cfRule>
  </conditionalFormatting>
  <conditionalFormatting sqref="P177:Q179 P181:Q214 U204:V204">
    <cfRule type="containsText" dxfId="9" priority="36791" operator="containsText" text="No">
      <formula>NOT(ISERROR(SEARCH(("No"),(P177))))</formula>
    </cfRule>
  </conditionalFormatting>
  <conditionalFormatting sqref="P177:Q179 P181:Q214 U204:V204">
    <cfRule type="containsText" dxfId="9" priority="36792" operator="containsText" text="No">
      <formula>NOT(ISERROR(SEARCH(("No"),(P177))))</formula>
    </cfRule>
  </conditionalFormatting>
  <conditionalFormatting sqref="P177:Q179 P181:Q214 U204:V204">
    <cfRule type="containsText" dxfId="9" priority="36793" operator="containsText" text="No">
      <formula>NOT(ISERROR(SEARCH(("No"),(P177))))</formula>
    </cfRule>
  </conditionalFormatting>
  <conditionalFormatting sqref="P177:Q179 P181:Q214 U204:V204">
    <cfRule type="containsText" dxfId="9" priority="36794" operator="containsText" text="No">
      <formula>NOT(ISERROR(SEARCH(("No"),(P177))))</formula>
    </cfRule>
  </conditionalFormatting>
  <conditionalFormatting sqref="P177:Q179 P181:Q214 U204:V204">
    <cfRule type="containsText" dxfId="9" priority="36795" operator="containsText" text="No">
      <formula>NOT(ISERROR(SEARCH(("No"),(P177))))</formula>
    </cfRule>
  </conditionalFormatting>
  <conditionalFormatting sqref="P177:Q179 P181:Q214 U204:V204">
    <cfRule type="containsText" dxfId="9" priority="36796" operator="containsText" text="No">
      <formula>NOT(ISERROR(SEARCH(("No"),(P177))))</formula>
    </cfRule>
  </conditionalFormatting>
  <conditionalFormatting sqref="P177:Q179 P181:Q214 U204:V204">
    <cfRule type="containsText" dxfId="9" priority="36797" operator="containsText" text="No">
      <formula>NOT(ISERROR(SEARCH(("No"),(P177))))</formula>
    </cfRule>
  </conditionalFormatting>
  <conditionalFormatting sqref="P177:Q179 P181:Q214 U204:V204">
    <cfRule type="containsText" dxfId="9" priority="36798" operator="containsText" text="No">
      <formula>NOT(ISERROR(SEARCH(("No"),(P177))))</formula>
    </cfRule>
  </conditionalFormatting>
  <conditionalFormatting sqref="P177:Q179 P181:Q214 U204:V204">
    <cfRule type="containsText" dxfId="9" priority="36799" operator="containsText" text="No">
      <formula>NOT(ISERROR(SEARCH(("No"),(P177))))</formula>
    </cfRule>
  </conditionalFormatting>
  <conditionalFormatting sqref="P177:Q179 P181:Q214 U204:V204">
    <cfRule type="containsText" dxfId="9" priority="36800" operator="containsText" text="No">
      <formula>NOT(ISERROR(SEARCH(("No"),(P177))))</formula>
    </cfRule>
  </conditionalFormatting>
  <conditionalFormatting sqref="P177:Q179 P181:Q214 U204:V204">
    <cfRule type="containsText" dxfId="9" priority="36801" operator="containsText" text="No">
      <formula>NOT(ISERROR(SEARCH(("No"),(P177))))</formula>
    </cfRule>
  </conditionalFormatting>
  <conditionalFormatting sqref="P177:Q179 P181:Q214 U204:V204">
    <cfRule type="containsText" dxfId="9" priority="36802" operator="containsText" text="No">
      <formula>NOT(ISERROR(SEARCH(("No"),(P177))))</formula>
    </cfRule>
  </conditionalFormatting>
  <conditionalFormatting sqref="P177:Q179 P181:Q214 U204:V204">
    <cfRule type="containsText" dxfId="9" priority="36803" operator="containsText" text="No">
      <formula>NOT(ISERROR(SEARCH(("No"),(P177))))</formula>
    </cfRule>
  </conditionalFormatting>
  <conditionalFormatting sqref="P177:Q179 P181:Q214 U204:V204">
    <cfRule type="containsText" dxfId="9" priority="36804" operator="containsText" text="No">
      <formula>NOT(ISERROR(SEARCH(("No"),(P177))))</formula>
    </cfRule>
  </conditionalFormatting>
  <conditionalFormatting sqref="P177:Q179 P181:Q214 U204:V204">
    <cfRule type="containsText" dxfId="9" priority="36805" operator="containsText" text="No">
      <formula>NOT(ISERROR(SEARCH(("No"),(P177))))</formula>
    </cfRule>
  </conditionalFormatting>
  <conditionalFormatting sqref="P177:Q179 P181:Q214 U204:V204">
    <cfRule type="containsText" dxfId="9" priority="36806" operator="containsText" text="No">
      <formula>NOT(ISERROR(SEARCH(("No"),(P177))))</formula>
    </cfRule>
  </conditionalFormatting>
  <conditionalFormatting sqref="P177:Q179 P181:Q214 U204:V204">
    <cfRule type="containsText" dxfId="9" priority="36807" operator="containsText" text="No">
      <formula>NOT(ISERROR(SEARCH(("No"),(P177))))</formula>
    </cfRule>
  </conditionalFormatting>
  <conditionalFormatting sqref="P177:Q179 P181:Q214 U204:V204">
    <cfRule type="containsText" dxfId="9" priority="36808" operator="containsText" text="No">
      <formula>NOT(ISERROR(SEARCH(("No"),(P177))))</formula>
    </cfRule>
  </conditionalFormatting>
  <conditionalFormatting sqref="P177:Q179 P181:Q214 U204:V204">
    <cfRule type="containsText" dxfId="9" priority="36809" operator="containsText" text="No">
      <formula>NOT(ISERROR(SEARCH(("No"),(P177))))</formula>
    </cfRule>
  </conditionalFormatting>
  <conditionalFormatting sqref="P177:Q179 P181:Q214 U204:V204">
    <cfRule type="containsText" dxfId="9" priority="36810" operator="containsText" text="No">
      <formula>NOT(ISERROR(SEARCH(("No"),(P177))))</formula>
    </cfRule>
  </conditionalFormatting>
  <conditionalFormatting sqref="P177:Q179 P181:Q214 U204:V204">
    <cfRule type="containsText" dxfId="9" priority="36811" operator="containsText" text="No">
      <formula>NOT(ISERROR(SEARCH(("No"),(P177))))</formula>
    </cfRule>
  </conditionalFormatting>
  <conditionalFormatting sqref="P177:Q179 P181:Q214 U204:V204">
    <cfRule type="containsText" dxfId="9" priority="36812" operator="containsText" text="No">
      <formula>NOT(ISERROR(SEARCH(("No"),(P177))))</formula>
    </cfRule>
  </conditionalFormatting>
  <conditionalFormatting sqref="P177:Q179 P181:Q214 U204:V204">
    <cfRule type="containsText" dxfId="9" priority="36813" operator="containsText" text="No">
      <formula>NOT(ISERROR(SEARCH(("No"),(P177))))</formula>
    </cfRule>
  </conditionalFormatting>
  <conditionalFormatting sqref="P177:Q179 P181:Q214 U204:V204">
    <cfRule type="containsText" dxfId="9" priority="36814" operator="containsText" text="No">
      <formula>NOT(ISERROR(SEARCH(("No"),(P177))))</formula>
    </cfRule>
  </conditionalFormatting>
  <conditionalFormatting sqref="P177:Q179 P181:Q214 U204:V204">
    <cfRule type="containsText" dxfId="9" priority="36815" operator="containsText" text="No">
      <formula>NOT(ISERROR(SEARCH(("No"),(P177))))</formula>
    </cfRule>
  </conditionalFormatting>
  <conditionalFormatting sqref="P177:Q179 P181:Q214 U204:V204">
    <cfRule type="containsText" dxfId="9" priority="36816" operator="containsText" text="No">
      <formula>NOT(ISERROR(SEARCH(("No"),(P177))))</formula>
    </cfRule>
  </conditionalFormatting>
  <conditionalFormatting sqref="P177:Q179 P181:Q214 U204:V204">
    <cfRule type="containsText" dxfId="9" priority="36817" operator="containsText" text="No">
      <formula>NOT(ISERROR(SEARCH(("No"),(P177))))</formula>
    </cfRule>
  </conditionalFormatting>
  <conditionalFormatting sqref="P177:Q179 P181:Q214 U204:V204">
    <cfRule type="containsText" dxfId="9" priority="36818" operator="containsText" text="No">
      <formula>NOT(ISERROR(SEARCH(("No"),(P177))))</formula>
    </cfRule>
  </conditionalFormatting>
  <conditionalFormatting sqref="P177:Q179 P181:Q214 U204:V204">
    <cfRule type="containsText" dxfId="9" priority="36819" operator="containsText" text="No">
      <formula>NOT(ISERROR(SEARCH(("No"),(P177))))</formula>
    </cfRule>
  </conditionalFormatting>
  <conditionalFormatting sqref="P177:Q179 P181:Q214 U204:V204">
    <cfRule type="containsText" dxfId="9" priority="36820" operator="containsText" text="No">
      <formula>NOT(ISERROR(SEARCH(("No"),(P177))))</formula>
    </cfRule>
  </conditionalFormatting>
  <conditionalFormatting sqref="P177:Q179 P181:Q214 U204:V204">
    <cfRule type="containsText" dxfId="9" priority="36821" operator="containsText" text="No">
      <formula>NOT(ISERROR(SEARCH(("No"),(P177))))</formula>
    </cfRule>
  </conditionalFormatting>
  <conditionalFormatting sqref="P177:Q179 P181:Q214 U204:V204">
    <cfRule type="containsText" dxfId="9" priority="36822" operator="containsText" text="No">
      <formula>NOT(ISERROR(SEARCH(("No"),(P177))))</formula>
    </cfRule>
  </conditionalFormatting>
  <conditionalFormatting sqref="P177:Q179 P181:Q214 U204:V204">
    <cfRule type="containsText" dxfId="9" priority="36823" operator="containsText" text="No">
      <formula>NOT(ISERROR(SEARCH(("No"),(P177))))</formula>
    </cfRule>
  </conditionalFormatting>
  <conditionalFormatting sqref="P177:Q179 P181:Q214 U204:V204">
    <cfRule type="containsText" dxfId="9" priority="36824" operator="containsText" text="No">
      <formula>NOT(ISERROR(SEARCH(("No"),(P177))))</formula>
    </cfRule>
  </conditionalFormatting>
  <conditionalFormatting sqref="P177:Q179 P181:Q214 U204:V204">
    <cfRule type="containsText" dxfId="9" priority="36825" operator="containsText" text="No">
      <formula>NOT(ISERROR(SEARCH(("No"),(P177))))</formula>
    </cfRule>
  </conditionalFormatting>
  <conditionalFormatting sqref="P177:Q179 P181:Q214 U204:V204">
    <cfRule type="containsText" dxfId="9" priority="36826" operator="containsText" text="No">
      <formula>NOT(ISERROR(SEARCH(("No"),(P177))))</formula>
    </cfRule>
  </conditionalFormatting>
  <conditionalFormatting sqref="P177:Q179 P181:Q214 U204:V204">
    <cfRule type="containsText" dxfId="9" priority="36827" operator="containsText" text="No">
      <formula>NOT(ISERROR(SEARCH(("No"),(P177))))</formula>
    </cfRule>
  </conditionalFormatting>
  <conditionalFormatting sqref="P177:Q179 P181:Q214 U204:V204">
    <cfRule type="containsText" dxfId="9" priority="36828" operator="containsText" text="No">
      <formula>NOT(ISERROR(SEARCH(("No"),(P177))))</formula>
    </cfRule>
  </conditionalFormatting>
  <conditionalFormatting sqref="P177:Q179 P181:Q214 U204:V204">
    <cfRule type="containsText" dxfId="9" priority="36829" operator="containsText" text="No">
      <formula>NOT(ISERROR(SEARCH(("No"),(P177))))</formula>
    </cfRule>
  </conditionalFormatting>
  <conditionalFormatting sqref="P177:Q179 P181:Q214 U204:V204">
    <cfRule type="containsText" dxfId="2" priority="36830" operator="containsText" text="Yes">
      <formula>NOT(ISERROR(SEARCH(("Yes"),(P177))))</formula>
    </cfRule>
  </conditionalFormatting>
  <conditionalFormatting sqref="P177:Q179 P181:Q214 U204:V204">
    <cfRule type="containsText" dxfId="2" priority="36831" operator="containsText" text="Yes">
      <formula>NOT(ISERROR(SEARCH(("Yes"),(P177))))</formula>
    </cfRule>
  </conditionalFormatting>
  <conditionalFormatting sqref="P177:Q179 P181:Q214 U204:V204">
    <cfRule type="containsText" dxfId="2" priority="36832" operator="containsText" text="Yes">
      <formula>NOT(ISERROR(SEARCH(("Yes"),(P177))))</formula>
    </cfRule>
  </conditionalFormatting>
  <conditionalFormatting sqref="P177:Q179 P181:Q214 U204:V204">
    <cfRule type="containsText" dxfId="2" priority="36833" operator="containsText" text="Yes">
      <formula>NOT(ISERROR(SEARCH(("Yes"),(P177))))</formula>
    </cfRule>
  </conditionalFormatting>
  <conditionalFormatting sqref="P177:Q179 P181:Q214 U204:V204">
    <cfRule type="containsText" dxfId="2" priority="36834" operator="containsText" text="Yes">
      <formula>NOT(ISERROR(SEARCH(("Yes"),(P177))))</formula>
    </cfRule>
  </conditionalFormatting>
  <conditionalFormatting sqref="P177:Q179 P181:Q214 U204:V204">
    <cfRule type="containsText" dxfId="2" priority="36835" operator="containsText" text="Yes">
      <formula>NOT(ISERROR(SEARCH(("Yes"),(P177))))</formula>
    </cfRule>
  </conditionalFormatting>
  <conditionalFormatting sqref="P177:Q179 P181:Q214 U204:V204">
    <cfRule type="containsText" dxfId="2" priority="36836" operator="containsText" text="Yes">
      <formula>NOT(ISERROR(SEARCH(("Yes"),(P177))))</formula>
    </cfRule>
  </conditionalFormatting>
  <conditionalFormatting sqref="P177:Q179 P181:Q214 U204:V204">
    <cfRule type="containsText" dxfId="2" priority="36837" operator="containsText" text="Yes">
      <formula>NOT(ISERROR(SEARCH(("Yes"),(P177))))</formula>
    </cfRule>
  </conditionalFormatting>
  <conditionalFormatting sqref="P177:Q179 P181:Q214 U204:V204">
    <cfRule type="containsText" dxfId="2" priority="36838" operator="containsText" text="Yes">
      <formula>NOT(ISERROR(SEARCH(("Yes"),(P177))))</formula>
    </cfRule>
  </conditionalFormatting>
  <conditionalFormatting sqref="P177:Q179 P181:Q214 U204:V204">
    <cfRule type="containsText" dxfId="2" priority="36839" operator="containsText" text="Yes">
      <formula>NOT(ISERROR(SEARCH(("Yes"),(P177))))</formula>
    </cfRule>
  </conditionalFormatting>
  <conditionalFormatting sqref="P177:Q179 P181:Q214 U204:V204">
    <cfRule type="containsText" dxfId="2" priority="36840" operator="containsText" text="Yes">
      <formula>NOT(ISERROR(SEARCH(("Yes"),(P177))))</formula>
    </cfRule>
  </conditionalFormatting>
  <conditionalFormatting sqref="P177:Q179 P181:Q214 U204:V204">
    <cfRule type="containsText" dxfId="2" priority="36841" operator="containsText" text="Yes">
      <formula>NOT(ISERROR(SEARCH(("Yes"),(P177))))</formula>
    </cfRule>
  </conditionalFormatting>
  <conditionalFormatting sqref="P177:Q179 P181:Q214 U204:V204">
    <cfRule type="containsText" dxfId="2" priority="36842" operator="containsText" text="Yes">
      <formula>NOT(ISERROR(SEARCH(("Yes"),(P177))))</formula>
    </cfRule>
  </conditionalFormatting>
  <conditionalFormatting sqref="P177:Q179 P181:Q214 U204:V204">
    <cfRule type="containsText" dxfId="2" priority="36843" operator="containsText" text="Yes">
      <formula>NOT(ISERROR(SEARCH(("Yes"),(P177))))</formula>
    </cfRule>
  </conditionalFormatting>
  <conditionalFormatting sqref="P177:Q179 P181:Q214 U204:V204">
    <cfRule type="containsText" dxfId="2" priority="36844" operator="containsText" text="Yes">
      <formula>NOT(ISERROR(SEARCH(("Yes"),(P177))))</formula>
    </cfRule>
  </conditionalFormatting>
  <conditionalFormatting sqref="P177:Q179 P181:Q214 U204:V204">
    <cfRule type="containsText" dxfId="2" priority="36845" operator="containsText" text="Yes">
      <formula>NOT(ISERROR(SEARCH(("Yes"),(P177))))</formula>
    </cfRule>
  </conditionalFormatting>
  <conditionalFormatting sqref="P177:Q179 P181:Q214 U204:V204">
    <cfRule type="containsText" dxfId="2" priority="36846" operator="containsText" text="Yes">
      <formula>NOT(ISERROR(SEARCH(("Yes"),(P177))))</formula>
    </cfRule>
  </conditionalFormatting>
  <conditionalFormatting sqref="P177:Q179 P181:Q214 U204:V204">
    <cfRule type="containsText" dxfId="2" priority="36847" operator="containsText" text="Yes">
      <formula>NOT(ISERROR(SEARCH(("Yes"),(P177))))</formula>
    </cfRule>
  </conditionalFormatting>
  <conditionalFormatting sqref="P177:Q179 P181:Q214 U204:V204">
    <cfRule type="containsText" dxfId="2" priority="36848" operator="containsText" text="Yes">
      <formula>NOT(ISERROR(SEARCH(("Yes"),(P177))))</formula>
    </cfRule>
  </conditionalFormatting>
  <conditionalFormatting sqref="P177:Q179 P181:Q214 U204:V204">
    <cfRule type="containsText" dxfId="2" priority="36849" operator="containsText" text="Yes">
      <formula>NOT(ISERROR(SEARCH(("Yes"),(P177))))</formula>
    </cfRule>
  </conditionalFormatting>
  <conditionalFormatting sqref="P177:Q179 P181:Q214 U204:V204">
    <cfRule type="containsText" dxfId="2" priority="36850" operator="containsText" text="Yes">
      <formula>NOT(ISERROR(SEARCH(("Yes"),(P177))))</formula>
    </cfRule>
  </conditionalFormatting>
  <conditionalFormatting sqref="P177:Q179 P181:Q214 U204:V204">
    <cfRule type="containsText" dxfId="2" priority="36851" operator="containsText" text="Yes">
      <formula>NOT(ISERROR(SEARCH(("Yes"),(P177))))</formula>
    </cfRule>
  </conditionalFormatting>
  <conditionalFormatting sqref="P177:Q179 P181:Q214 U204:V204">
    <cfRule type="containsText" dxfId="2" priority="36852" operator="containsText" text="Yes">
      <formula>NOT(ISERROR(SEARCH(("Yes"),(P177))))</formula>
    </cfRule>
  </conditionalFormatting>
  <conditionalFormatting sqref="P177:Q179 P181:Q214 U204:V204">
    <cfRule type="containsText" dxfId="2" priority="36853" operator="containsText" text="Yes">
      <formula>NOT(ISERROR(SEARCH(("Yes"),(P177))))</formula>
    </cfRule>
  </conditionalFormatting>
  <conditionalFormatting sqref="P177:Q179 P181:Q214 U204:V204">
    <cfRule type="containsText" dxfId="2" priority="36854" operator="containsText" text="Yes">
      <formula>NOT(ISERROR(SEARCH(("Yes"),(P177))))</formula>
    </cfRule>
  </conditionalFormatting>
  <conditionalFormatting sqref="P177:Q179 P181:Q214 U204:V204">
    <cfRule type="containsText" dxfId="2" priority="36855" operator="containsText" text="Yes">
      <formula>NOT(ISERROR(SEARCH(("Yes"),(P177))))</formula>
    </cfRule>
  </conditionalFormatting>
  <conditionalFormatting sqref="P177:Q179 P181:Q214 U204:V204">
    <cfRule type="containsText" dxfId="2" priority="36856" operator="containsText" text="Yes">
      <formula>NOT(ISERROR(SEARCH(("Yes"),(P177))))</formula>
    </cfRule>
  </conditionalFormatting>
  <conditionalFormatting sqref="P177:Q179 P181:Q214 U204:V204">
    <cfRule type="containsText" dxfId="2" priority="36857" operator="containsText" text="Yes">
      <formula>NOT(ISERROR(SEARCH(("Yes"),(P177))))</formula>
    </cfRule>
  </conditionalFormatting>
  <conditionalFormatting sqref="P177:Q179 P181:Q214 U204:V204">
    <cfRule type="containsText" dxfId="2" priority="36858" operator="containsText" text="Yes">
      <formula>NOT(ISERROR(SEARCH(("Yes"),(P177))))</formula>
    </cfRule>
  </conditionalFormatting>
  <conditionalFormatting sqref="P177:Q179 P181:Q214 U204:V204">
    <cfRule type="containsText" dxfId="2" priority="36859" operator="containsText" text="Yes">
      <formula>NOT(ISERROR(SEARCH(("Yes"),(P177))))</formula>
    </cfRule>
  </conditionalFormatting>
  <conditionalFormatting sqref="P177:Q179 P181:Q214 U204:V204">
    <cfRule type="containsText" dxfId="2" priority="36860" operator="containsText" text="Yes">
      <formula>NOT(ISERROR(SEARCH(("Yes"),(P177))))</formula>
    </cfRule>
  </conditionalFormatting>
  <conditionalFormatting sqref="P177:Q179 P181:Q214 U204:V204">
    <cfRule type="containsText" dxfId="2" priority="36861" operator="containsText" text="Yes">
      <formula>NOT(ISERROR(SEARCH(("Yes"),(P177))))</formula>
    </cfRule>
  </conditionalFormatting>
  <conditionalFormatting sqref="P177:Q179 P181:Q214 U204:V204">
    <cfRule type="containsText" dxfId="2" priority="36862" operator="containsText" text="Yes">
      <formula>NOT(ISERROR(SEARCH(("Yes"),(P177))))</formula>
    </cfRule>
  </conditionalFormatting>
  <conditionalFormatting sqref="P177:Q179 P181:Q214 U204:V204">
    <cfRule type="containsText" dxfId="2" priority="36863" operator="containsText" text="Yes">
      <formula>NOT(ISERROR(SEARCH(("Yes"),(P177))))</formula>
    </cfRule>
  </conditionalFormatting>
  <conditionalFormatting sqref="P177:Q179 P181:Q214 U204:V204">
    <cfRule type="containsText" dxfId="2" priority="36864" operator="containsText" text="Yes">
      <formula>NOT(ISERROR(SEARCH(("Yes"),(P177))))</formula>
    </cfRule>
  </conditionalFormatting>
  <conditionalFormatting sqref="P177:Q179 P181:Q214 U204:V204">
    <cfRule type="containsText" dxfId="2" priority="36865" operator="containsText" text="Yes">
      <formula>NOT(ISERROR(SEARCH(("Yes"),(P177))))</formula>
    </cfRule>
  </conditionalFormatting>
  <conditionalFormatting sqref="P177:Q179 P181:Q214 U204:V204">
    <cfRule type="containsText" dxfId="2" priority="36866" operator="containsText" text="Yes">
      <formula>NOT(ISERROR(SEARCH(("Yes"),(P177))))</formula>
    </cfRule>
  </conditionalFormatting>
  <conditionalFormatting sqref="P177:Q179 P181:Q214 U204:V204">
    <cfRule type="containsText" dxfId="2" priority="36867" operator="containsText" text="Yes">
      <formula>NOT(ISERROR(SEARCH(("Yes"),(P177))))</formula>
    </cfRule>
  </conditionalFormatting>
  <conditionalFormatting sqref="P177:Q179 P181:Q214 U204:V204">
    <cfRule type="containsText" dxfId="2" priority="36868" operator="containsText" text="Yes">
      <formula>NOT(ISERROR(SEARCH(("Yes"),(P177))))</formula>
    </cfRule>
  </conditionalFormatting>
  <conditionalFormatting sqref="P177:Q179 P181:Q214 U204:V204">
    <cfRule type="containsText" dxfId="2" priority="36869" operator="containsText" text="Yes">
      <formula>NOT(ISERROR(SEARCH(("Yes"),(P177))))</formula>
    </cfRule>
  </conditionalFormatting>
  <conditionalFormatting sqref="P177:Q179 P181:Q214 U204:V204">
    <cfRule type="containsText" dxfId="2" priority="36870" operator="containsText" text="Yes">
      <formula>NOT(ISERROR(SEARCH(("Yes"),(P177))))</formula>
    </cfRule>
  </conditionalFormatting>
  <conditionalFormatting sqref="P177:Q179 P181:Q214 U204:V204">
    <cfRule type="containsText" dxfId="2" priority="36871" operator="containsText" text="Yes">
      <formula>NOT(ISERROR(SEARCH(("Yes"),(P177))))</formula>
    </cfRule>
  </conditionalFormatting>
  <conditionalFormatting sqref="P177:Q179 P181:Q214 U204:V204">
    <cfRule type="containsText" dxfId="2" priority="36872" operator="containsText" text="Yes">
      <formula>NOT(ISERROR(SEARCH(("Yes"),(P177))))</formula>
    </cfRule>
  </conditionalFormatting>
  <conditionalFormatting sqref="P177:Q179 P181:Q214 U204:V204">
    <cfRule type="containsText" dxfId="2" priority="36873" operator="containsText" text="Yes">
      <formula>NOT(ISERROR(SEARCH(("Yes"),(P177))))</formula>
    </cfRule>
  </conditionalFormatting>
  <conditionalFormatting sqref="P177:Q179 P181:Q214 U204:V204">
    <cfRule type="containsText" dxfId="2" priority="36874" operator="containsText" text="Yes">
      <formula>NOT(ISERROR(SEARCH(("Yes"),(P177))))</formula>
    </cfRule>
  </conditionalFormatting>
  <conditionalFormatting sqref="P177:Q179 P181:Q214 U204:V204">
    <cfRule type="containsText" dxfId="2" priority="36875" operator="containsText" text="Yes">
      <formula>NOT(ISERROR(SEARCH(("Yes"),(P177))))</formula>
    </cfRule>
  </conditionalFormatting>
  <conditionalFormatting sqref="P177:Q179 P181:Q214 U204:V204">
    <cfRule type="containsText" dxfId="2" priority="36876" operator="containsText" text="Yes">
      <formula>NOT(ISERROR(SEARCH(("Yes"),(P177))))</formula>
    </cfRule>
  </conditionalFormatting>
  <conditionalFormatting sqref="N178:Q178">
    <cfRule type="containsText" dxfId="9" priority="36877" operator="containsText" text="No">
      <formula>NOT(ISERROR(SEARCH(("No"),(N178))))</formula>
    </cfRule>
  </conditionalFormatting>
  <conditionalFormatting sqref="N178:Q178">
    <cfRule type="containsText" dxfId="9" priority="36878" operator="containsText" text="No">
      <formula>NOT(ISERROR(SEARCH(("No"),(N178))))</formula>
    </cfRule>
  </conditionalFormatting>
  <conditionalFormatting sqref="N178:Q178">
    <cfRule type="containsText" dxfId="9" priority="36879" operator="containsText" text="No">
      <formula>NOT(ISERROR(SEARCH(("No"),(N178))))</formula>
    </cfRule>
  </conditionalFormatting>
  <conditionalFormatting sqref="N178:Q178">
    <cfRule type="containsText" dxfId="9" priority="36880" operator="containsText" text="No">
      <formula>NOT(ISERROR(SEARCH(("No"),(N178))))</formula>
    </cfRule>
  </conditionalFormatting>
  <conditionalFormatting sqref="N178:Q178">
    <cfRule type="containsText" dxfId="9" priority="36881" operator="containsText" text="No">
      <formula>NOT(ISERROR(SEARCH(("No"),(N178))))</formula>
    </cfRule>
  </conditionalFormatting>
  <conditionalFormatting sqref="N178:Q178">
    <cfRule type="containsText" dxfId="9" priority="36882" operator="containsText" text="No">
      <formula>NOT(ISERROR(SEARCH(("No"),(N178))))</formula>
    </cfRule>
  </conditionalFormatting>
  <conditionalFormatting sqref="N178:Q178">
    <cfRule type="containsText" dxfId="9" priority="36883" operator="containsText" text="No">
      <formula>NOT(ISERROR(SEARCH(("No"),(N178))))</formula>
    </cfRule>
  </conditionalFormatting>
  <conditionalFormatting sqref="N178:Q178">
    <cfRule type="containsText" dxfId="9" priority="36884" operator="containsText" text="No">
      <formula>NOT(ISERROR(SEARCH(("No"),(N178))))</formula>
    </cfRule>
  </conditionalFormatting>
  <conditionalFormatting sqref="N178:Q178">
    <cfRule type="containsText" dxfId="9" priority="36885" operator="containsText" text="No">
      <formula>NOT(ISERROR(SEARCH(("No"),(N178))))</formula>
    </cfRule>
  </conditionalFormatting>
  <conditionalFormatting sqref="N178:Q178">
    <cfRule type="containsText" dxfId="9" priority="36886" operator="containsText" text="No">
      <formula>NOT(ISERROR(SEARCH(("No"),(N178))))</formula>
    </cfRule>
  </conditionalFormatting>
  <conditionalFormatting sqref="N178:Q178">
    <cfRule type="containsText" dxfId="9" priority="36887" operator="containsText" text="No">
      <formula>NOT(ISERROR(SEARCH(("No"),(N178))))</formula>
    </cfRule>
  </conditionalFormatting>
  <conditionalFormatting sqref="N178:Q178">
    <cfRule type="containsText" dxfId="9" priority="36888" operator="containsText" text="No">
      <formula>NOT(ISERROR(SEARCH(("No"),(N178))))</formula>
    </cfRule>
  </conditionalFormatting>
  <conditionalFormatting sqref="N178:Q178">
    <cfRule type="containsText" dxfId="9" priority="36889" operator="containsText" text="No">
      <formula>NOT(ISERROR(SEARCH(("No"),(N178))))</formula>
    </cfRule>
  </conditionalFormatting>
  <conditionalFormatting sqref="N178:Q178">
    <cfRule type="containsText" dxfId="9" priority="36890" operator="containsText" text="No">
      <formula>NOT(ISERROR(SEARCH(("No"),(N178))))</formula>
    </cfRule>
  </conditionalFormatting>
  <conditionalFormatting sqref="N178:Q178">
    <cfRule type="containsText" dxfId="9" priority="36891" operator="containsText" text="No">
      <formula>NOT(ISERROR(SEARCH(("No"),(N178))))</formula>
    </cfRule>
  </conditionalFormatting>
  <conditionalFormatting sqref="N178:Q178">
    <cfRule type="containsText" dxfId="9" priority="36892" operator="containsText" text="No">
      <formula>NOT(ISERROR(SEARCH(("No"),(N178))))</formula>
    </cfRule>
  </conditionalFormatting>
  <conditionalFormatting sqref="N178:Q178">
    <cfRule type="containsText" dxfId="9" priority="36893" operator="containsText" text="No">
      <formula>NOT(ISERROR(SEARCH(("No"),(N178))))</formula>
    </cfRule>
  </conditionalFormatting>
  <conditionalFormatting sqref="N178:Q178">
    <cfRule type="containsText" dxfId="9" priority="36894" operator="containsText" text="No">
      <formula>NOT(ISERROR(SEARCH(("No"),(N178))))</formula>
    </cfRule>
  </conditionalFormatting>
  <conditionalFormatting sqref="N178:Q178">
    <cfRule type="containsText" dxfId="9" priority="36895" operator="containsText" text="No">
      <formula>NOT(ISERROR(SEARCH(("No"),(N178))))</formula>
    </cfRule>
  </conditionalFormatting>
  <conditionalFormatting sqref="N178:Q178">
    <cfRule type="containsText" dxfId="9" priority="36896" operator="containsText" text="No">
      <formula>NOT(ISERROR(SEARCH(("No"),(N178))))</formula>
    </cfRule>
  </conditionalFormatting>
  <conditionalFormatting sqref="N178:Q178">
    <cfRule type="containsText" dxfId="9" priority="36897" operator="containsText" text="No">
      <formula>NOT(ISERROR(SEARCH(("No"),(N178))))</formula>
    </cfRule>
  </conditionalFormatting>
  <conditionalFormatting sqref="N178:Q178">
    <cfRule type="containsText" dxfId="9" priority="36898" operator="containsText" text="No">
      <formula>NOT(ISERROR(SEARCH(("No"),(N178))))</formula>
    </cfRule>
  </conditionalFormatting>
  <conditionalFormatting sqref="N178:Q178">
    <cfRule type="containsText" dxfId="9" priority="36899" operator="containsText" text="No">
      <formula>NOT(ISERROR(SEARCH(("No"),(N178))))</formula>
    </cfRule>
  </conditionalFormatting>
  <conditionalFormatting sqref="N178:Q178">
    <cfRule type="containsText" dxfId="9" priority="36900" operator="containsText" text="No">
      <formula>NOT(ISERROR(SEARCH(("No"),(N178))))</formula>
    </cfRule>
  </conditionalFormatting>
  <conditionalFormatting sqref="N178:Q178">
    <cfRule type="containsText" dxfId="9" priority="36901" operator="containsText" text="No">
      <formula>NOT(ISERROR(SEARCH(("No"),(N178))))</formula>
    </cfRule>
  </conditionalFormatting>
  <conditionalFormatting sqref="N178:Q178">
    <cfRule type="containsText" dxfId="9" priority="36902" operator="containsText" text="No">
      <formula>NOT(ISERROR(SEARCH(("No"),(N178))))</formula>
    </cfRule>
  </conditionalFormatting>
  <conditionalFormatting sqref="N178:Q178">
    <cfRule type="containsText" dxfId="9" priority="36903" operator="containsText" text="No">
      <formula>NOT(ISERROR(SEARCH(("No"),(N178))))</formula>
    </cfRule>
  </conditionalFormatting>
  <conditionalFormatting sqref="N178:Q178">
    <cfRule type="containsText" dxfId="9" priority="36904" operator="containsText" text="No">
      <formula>NOT(ISERROR(SEARCH(("No"),(N178))))</formula>
    </cfRule>
  </conditionalFormatting>
  <conditionalFormatting sqref="N178:Q178">
    <cfRule type="containsText" dxfId="9" priority="36905" operator="containsText" text="No">
      <formula>NOT(ISERROR(SEARCH(("No"),(N178))))</formula>
    </cfRule>
  </conditionalFormatting>
  <conditionalFormatting sqref="N178:Q178">
    <cfRule type="containsText" dxfId="9" priority="36906" operator="containsText" text="No">
      <formula>NOT(ISERROR(SEARCH(("No"),(N178))))</formula>
    </cfRule>
  </conditionalFormatting>
  <conditionalFormatting sqref="N178:Q178">
    <cfRule type="containsText" dxfId="9" priority="36907" operator="containsText" text="No">
      <formula>NOT(ISERROR(SEARCH(("No"),(N178))))</formula>
    </cfRule>
  </conditionalFormatting>
  <conditionalFormatting sqref="N178:Q178">
    <cfRule type="containsText" dxfId="9" priority="36908" operator="containsText" text="No">
      <formula>NOT(ISERROR(SEARCH(("No"),(N178))))</formula>
    </cfRule>
  </conditionalFormatting>
  <conditionalFormatting sqref="N178:Q178">
    <cfRule type="containsText" dxfId="9" priority="36909" operator="containsText" text="No">
      <formula>NOT(ISERROR(SEARCH(("No"),(N178))))</formula>
    </cfRule>
  </conditionalFormatting>
  <conditionalFormatting sqref="N178:Q178">
    <cfRule type="containsText" dxfId="9" priority="36910" operator="containsText" text="No">
      <formula>NOT(ISERROR(SEARCH(("No"),(N178))))</formula>
    </cfRule>
  </conditionalFormatting>
  <conditionalFormatting sqref="N178:Q178">
    <cfRule type="containsText" dxfId="9" priority="36911" operator="containsText" text="No">
      <formula>NOT(ISERROR(SEARCH(("No"),(N178))))</formula>
    </cfRule>
  </conditionalFormatting>
  <conditionalFormatting sqref="N178:Q178">
    <cfRule type="containsText" dxfId="9" priority="36912" operator="containsText" text="No">
      <formula>NOT(ISERROR(SEARCH(("No"),(N178))))</formula>
    </cfRule>
  </conditionalFormatting>
  <conditionalFormatting sqref="N178:Q178">
    <cfRule type="containsText" dxfId="9" priority="36913" operator="containsText" text="No">
      <formula>NOT(ISERROR(SEARCH(("No"),(N178))))</formula>
    </cfRule>
  </conditionalFormatting>
  <conditionalFormatting sqref="N178:Q178">
    <cfRule type="containsText" dxfId="9" priority="36914" operator="containsText" text="No">
      <formula>NOT(ISERROR(SEARCH(("No"),(N178))))</formula>
    </cfRule>
  </conditionalFormatting>
  <conditionalFormatting sqref="N178:Q178">
    <cfRule type="containsText" dxfId="9" priority="36915" operator="containsText" text="No">
      <formula>NOT(ISERROR(SEARCH(("No"),(N178))))</formula>
    </cfRule>
  </conditionalFormatting>
  <conditionalFormatting sqref="N178:Q178">
    <cfRule type="containsText" dxfId="9" priority="36916" operator="containsText" text="No">
      <formula>NOT(ISERROR(SEARCH(("No"),(N178))))</formula>
    </cfRule>
  </conditionalFormatting>
  <conditionalFormatting sqref="N178:Q178">
    <cfRule type="containsText" dxfId="9" priority="36917" operator="containsText" text="No">
      <formula>NOT(ISERROR(SEARCH(("No"),(N178))))</formula>
    </cfRule>
  </conditionalFormatting>
  <conditionalFormatting sqref="N178:Q178">
    <cfRule type="containsText" dxfId="9" priority="36918" operator="containsText" text="No">
      <formula>NOT(ISERROR(SEARCH(("No"),(N178))))</formula>
    </cfRule>
  </conditionalFormatting>
  <conditionalFormatting sqref="N178:Q178">
    <cfRule type="containsText" dxfId="9" priority="36919" operator="containsText" text="No">
      <formula>NOT(ISERROR(SEARCH(("No"),(N178))))</formula>
    </cfRule>
  </conditionalFormatting>
  <conditionalFormatting sqref="N178:Q178">
    <cfRule type="containsText" dxfId="9" priority="36920" operator="containsText" text="No">
      <formula>NOT(ISERROR(SEARCH(("No"),(N178))))</formula>
    </cfRule>
  </conditionalFormatting>
  <conditionalFormatting sqref="N178:Q178">
    <cfRule type="containsText" dxfId="9" priority="36921" operator="containsText" text="No">
      <formula>NOT(ISERROR(SEARCH(("No"),(N178))))</formula>
    </cfRule>
  </conditionalFormatting>
  <conditionalFormatting sqref="N178:Q178">
    <cfRule type="containsText" dxfId="2" priority="36922" operator="containsText" text="Yes">
      <formula>NOT(ISERROR(SEARCH(("Yes"),(N178))))</formula>
    </cfRule>
  </conditionalFormatting>
  <conditionalFormatting sqref="N178:Q178">
    <cfRule type="containsText" dxfId="2" priority="36923" operator="containsText" text="Yes">
      <formula>NOT(ISERROR(SEARCH(("Yes"),(N178))))</formula>
    </cfRule>
  </conditionalFormatting>
  <conditionalFormatting sqref="N178:Q178">
    <cfRule type="containsText" dxfId="2" priority="36924" operator="containsText" text="Yes">
      <formula>NOT(ISERROR(SEARCH(("Yes"),(N178))))</formula>
    </cfRule>
  </conditionalFormatting>
  <conditionalFormatting sqref="N178:Q178">
    <cfRule type="containsText" dxfId="2" priority="36925" operator="containsText" text="Yes">
      <formula>NOT(ISERROR(SEARCH(("Yes"),(N178))))</formula>
    </cfRule>
  </conditionalFormatting>
  <conditionalFormatting sqref="N178:Q178">
    <cfRule type="containsText" dxfId="2" priority="36926" operator="containsText" text="Yes">
      <formula>NOT(ISERROR(SEARCH(("Yes"),(N178))))</formula>
    </cfRule>
  </conditionalFormatting>
  <conditionalFormatting sqref="N178:Q178">
    <cfRule type="containsText" dxfId="2" priority="36927" operator="containsText" text="Yes">
      <formula>NOT(ISERROR(SEARCH(("Yes"),(N178))))</formula>
    </cfRule>
  </conditionalFormatting>
  <conditionalFormatting sqref="N178:Q178">
    <cfRule type="containsText" dxfId="2" priority="36928" operator="containsText" text="Yes">
      <formula>NOT(ISERROR(SEARCH(("Yes"),(N178))))</formula>
    </cfRule>
  </conditionalFormatting>
  <conditionalFormatting sqref="N178:Q178">
    <cfRule type="containsText" dxfId="2" priority="36929" operator="containsText" text="Yes">
      <formula>NOT(ISERROR(SEARCH(("Yes"),(N178))))</formula>
    </cfRule>
  </conditionalFormatting>
  <conditionalFormatting sqref="N178:Q178">
    <cfRule type="containsText" dxfId="2" priority="36930" operator="containsText" text="Yes">
      <formula>NOT(ISERROR(SEARCH(("Yes"),(N178))))</formula>
    </cfRule>
  </conditionalFormatting>
  <conditionalFormatting sqref="N178:Q178">
    <cfRule type="containsText" dxfId="2" priority="36931" operator="containsText" text="Yes">
      <formula>NOT(ISERROR(SEARCH(("Yes"),(N178))))</formula>
    </cfRule>
  </conditionalFormatting>
  <conditionalFormatting sqref="N178:Q178">
    <cfRule type="containsText" dxfId="2" priority="36932" operator="containsText" text="Yes">
      <formula>NOT(ISERROR(SEARCH(("Yes"),(N178))))</formula>
    </cfRule>
  </conditionalFormatting>
  <conditionalFormatting sqref="N178:Q178">
    <cfRule type="containsText" dxfId="2" priority="36933" operator="containsText" text="Yes">
      <formula>NOT(ISERROR(SEARCH(("Yes"),(N178))))</formula>
    </cfRule>
  </conditionalFormatting>
  <conditionalFormatting sqref="N178:Q178">
    <cfRule type="containsText" dxfId="2" priority="36934" operator="containsText" text="Yes">
      <formula>NOT(ISERROR(SEARCH(("Yes"),(N178))))</formula>
    </cfRule>
  </conditionalFormatting>
  <conditionalFormatting sqref="N178:Q178">
    <cfRule type="containsText" dxfId="2" priority="36935" operator="containsText" text="Yes">
      <formula>NOT(ISERROR(SEARCH(("Yes"),(N178))))</formula>
    </cfRule>
  </conditionalFormatting>
  <conditionalFormatting sqref="N178:Q178">
    <cfRule type="containsText" dxfId="2" priority="36936" operator="containsText" text="Yes">
      <formula>NOT(ISERROR(SEARCH(("Yes"),(N178))))</formula>
    </cfRule>
  </conditionalFormatting>
  <conditionalFormatting sqref="N178:Q178">
    <cfRule type="containsText" dxfId="2" priority="36937" operator="containsText" text="Yes">
      <formula>NOT(ISERROR(SEARCH(("Yes"),(N178))))</formula>
    </cfRule>
  </conditionalFormatting>
  <conditionalFormatting sqref="N178:Q178">
    <cfRule type="containsText" dxfId="2" priority="36938" operator="containsText" text="Yes">
      <formula>NOT(ISERROR(SEARCH(("Yes"),(N178))))</formula>
    </cfRule>
  </conditionalFormatting>
  <conditionalFormatting sqref="N178:Q178">
    <cfRule type="containsText" dxfId="2" priority="36939" operator="containsText" text="Yes">
      <formula>NOT(ISERROR(SEARCH(("Yes"),(N178))))</formula>
    </cfRule>
  </conditionalFormatting>
  <conditionalFormatting sqref="N178:Q178">
    <cfRule type="containsText" dxfId="2" priority="36940" operator="containsText" text="Yes">
      <formula>NOT(ISERROR(SEARCH(("Yes"),(N178))))</formula>
    </cfRule>
  </conditionalFormatting>
  <conditionalFormatting sqref="N178:Q178">
    <cfRule type="containsText" dxfId="2" priority="36941" operator="containsText" text="Yes">
      <formula>NOT(ISERROR(SEARCH(("Yes"),(N178))))</formula>
    </cfRule>
  </conditionalFormatting>
  <conditionalFormatting sqref="N178:Q178">
    <cfRule type="containsText" dxfId="2" priority="36942" operator="containsText" text="Yes">
      <formula>NOT(ISERROR(SEARCH(("Yes"),(N178))))</formula>
    </cfRule>
  </conditionalFormatting>
  <conditionalFormatting sqref="N178:Q178">
    <cfRule type="containsText" dxfId="2" priority="36943" operator="containsText" text="Yes">
      <formula>NOT(ISERROR(SEARCH(("Yes"),(N178))))</formula>
    </cfRule>
  </conditionalFormatting>
  <conditionalFormatting sqref="N178:Q178">
    <cfRule type="containsText" dxfId="2" priority="36944" operator="containsText" text="Yes">
      <formula>NOT(ISERROR(SEARCH(("Yes"),(N178))))</formula>
    </cfRule>
  </conditionalFormatting>
  <conditionalFormatting sqref="N178:Q178">
    <cfRule type="containsText" dxfId="2" priority="36945" operator="containsText" text="Yes">
      <formula>NOT(ISERROR(SEARCH(("Yes"),(N178))))</formula>
    </cfRule>
  </conditionalFormatting>
  <conditionalFormatting sqref="N178:Q178">
    <cfRule type="containsText" dxfId="2" priority="36946" operator="containsText" text="Yes">
      <formula>NOT(ISERROR(SEARCH(("Yes"),(N178))))</formula>
    </cfRule>
  </conditionalFormatting>
  <conditionalFormatting sqref="N178:Q178">
    <cfRule type="containsText" dxfId="2" priority="36947" operator="containsText" text="Yes">
      <formula>NOT(ISERROR(SEARCH(("Yes"),(N178))))</formula>
    </cfRule>
  </conditionalFormatting>
  <conditionalFormatting sqref="N178:Q178">
    <cfRule type="containsText" dxfId="2" priority="36948" operator="containsText" text="Yes">
      <formula>NOT(ISERROR(SEARCH(("Yes"),(N178))))</formula>
    </cfRule>
  </conditionalFormatting>
  <conditionalFormatting sqref="N178:Q178">
    <cfRule type="containsText" dxfId="2" priority="36949" operator="containsText" text="Yes">
      <formula>NOT(ISERROR(SEARCH(("Yes"),(N178))))</formula>
    </cfRule>
  </conditionalFormatting>
  <conditionalFormatting sqref="N178:Q178">
    <cfRule type="containsText" dxfId="2" priority="36950" operator="containsText" text="Yes">
      <formula>NOT(ISERROR(SEARCH(("Yes"),(N178))))</formula>
    </cfRule>
  </conditionalFormatting>
  <conditionalFormatting sqref="N178:Q178">
    <cfRule type="containsText" dxfId="2" priority="36951" operator="containsText" text="Yes">
      <formula>NOT(ISERROR(SEARCH(("Yes"),(N178))))</formula>
    </cfRule>
  </conditionalFormatting>
  <conditionalFormatting sqref="N178:Q178">
    <cfRule type="containsText" dxfId="2" priority="36952" operator="containsText" text="Yes">
      <formula>NOT(ISERROR(SEARCH(("Yes"),(N178))))</formula>
    </cfRule>
  </conditionalFormatting>
  <conditionalFormatting sqref="N178:Q178">
    <cfRule type="containsText" dxfId="2" priority="36953" operator="containsText" text="Yes">
      <formula>NOT(ISERROR(SEARCH(("Yes"),(N178))))</formula>
    </cfRule>
  </conditionalFormatting>
  <conditionalFormatting sqref="N178:Q178">
    <cfRule type="containsText" dxfId="2" priority="36954" operator="containsText" text="Yes">
      <formula>NOT(ISERROR(SEARCH(("Yes"),(N178))))</formula>
    </cfRule>
  </conditionalFormatting>
  <conditionalFormatting sqref="N178:Q178">
    <cfRule type="containsText" dxfId="2" priority="36955" operator="containsText" text="Yes">
      <formula>NOT(ISERROR(SEARCH(("Yes"),(N178))))</formula>
    </cfRule>
  </conditionalFormatting>
  <conditionalFormatting sqref="N178:Q178">
    <cfRule type="containsText" dxfId="2" priority="36956" operator="containsText" text="Yes">
      <formula>NOT(ISERROR(SEARCH(("Yes"),(N178))))</formula>
    </cfRule>
  </conditionalFormatting>
  <conditionalFormatting sqref="N178:Q178">
    <cfRule type="containsText" dxfId="2" priority="36957" operator="containsText" text="Yes">
      <formula>NOT(ISERROR(SEARCH(("Yes"),(N178))))</formula>
    </cfRule>
  </conditionalFormatting>
  <conditionalFormatting sqref="N178:Q178">
    <cfRule type="containsText" dxfId="2" priority="36958" operator="containsText" text="Yes">
      <formula>NOT(ISERROR(SEARCH(("Yes"),(N178))))</formula>
    </cfRule>
  </conditionalFormatting>
  <conditionalFormatting sqref="N178:Q178">
    <cfRule type="containsText" dxfId="2" priority="36959" operator="containsText" text="Yes">
      <formula>NOT(ISERROR(SEARCH(("Yes"),(N178))))</formula>
    </cfRule>
  </conditionalFormatting>
  <conditionalFormatting sqref="N178:Q178">
    <cfRule type="containsText" dxfId="2" priority="36960" operator="containsText" text="Yes">
      <formula>NOT(ISERROR(SEARCH(("Yes"),(N178))))</formula>
    </cfRule>
  </conditionalFormatting>
  <conditionalFormatting sqref="N178:Q178">
    <cfRule type="containsText" dxfId="2" priority="36961" operator="containsText" text="Yes">
      <formula>NOT(ISERROR(SEARCH(("Yes"),(N178))))</formula>
    </cfRule>
  </conditionalFormatting>
  <conditionalFormatting sqref="N178:Q178">
    <cfRule type="containsText" dxfId="2" priority="36962" operator="containsText" text="Yes">
      <formula>NOT(ISERROR(SEARCH(("Yes"),(N178))))</formula>
    </cfRule>
  </conditionalFormatting>
  <conditionalFormatting sqref="N178:Q178">
    <cfRule type="containsText" dxfId="2" priority="36963" operator="containsText" text="Yes">
      <formula>NOT(ISERROR(SEARCH(("Yes"),(N178))))</formula>
    </cfRule>
  </conditionalFormatting>
  <conditionalFormatting sqref="N178:Q178">
    <cfRule type="containsText" dxfId="2" priority="36964" operator="containsText" text="Yes">
      <formula>NOT(ISERROR(SEARCH(("Yes"),(N178))))</formula>
    </cfRule>
  </conditionalFormatting>
  <conditionalFormatting sqref="N178:Q178">
    <cfRule type="containsText" dxfId="2" priority="36965" operator="containsText" text="Yes">
      <formula>NOT(ISERROR(SEARCH(("Yes"),(N178))))</formula>
    </cfRule>
  </conditionalFormatting>
  <conditionalFormatting sqref="N178:Q178">
    <cfRule type="containsText" dxfId="2" priority="36966" operator="containsText" text="Yes">
      <formula>NOT(ISERROR(SEARCH(("Yes"),(N178))))</formula>
    </cfRule>
  </conditionalFormatting>
  <conditionalFormatting sqref="N178:Q178">
    <cfRule type="containsText" dxfId="2" priority="36967" operator="containsText" text="Yes">
      <formula>NOT(ISERROR(SEARCH(("Yes"),(N178))))</formula>
    </cfRule>
  </conditionalFormatting>
  <conditionalFormatting sqref="N178:Q178">
    <cfRule type="containsText" dxfId="2" priority="36968" operator="containsText" text="Yes">
      <formula>NOT(ISERROR(SEARCH(("Yes"),(N178))))</formula>
    </cfRule>
  </conditionalFormatting>
  <conditionalFormatting sqref="N179:Q214 U204:V204 N217:Q221 N224:N226 N229:N230 N234 N238 N241 N243 N245 N247:N248 N251">
    <cfRule type="containsText" dxfId="9" priority="36969" operator="containsText" text="No">
      <formula>NOT(ISERROR(SEARCH(("No"),(N179))))</formula>
    </cfRule>
  </conditionalFormatting>
  <conditionalFormatting sqref="N179:Q214 U204:V204 N217:Q221 N224:N226 N229:N230 N234 N238 N241 N243 N245 N247:N248 N251">
    <cfRule type="containsText" dxfId="9" priority="36970" operator="containsText" text="No">
      <formula>NOT(ISERROR(SEARCH(("No"),(N179))))</formula>
    </cfRule>
  </conditionalFormatting>
  <conditionalFormatting sqref="N179:Q214 U204:V204 N217:Q221 N224:N226 N229:N230 N234 N238 N241 N243 N245 N247:N248 N251">
    <cfRule type="containsText" dxfId="9" priority="36971" operator="containsText" text="No">
      <formula>NOT(ISERROR(SEARCH(("No"),(N179))))</formula>
    </cfRule>
  </conditionalFormatting>
  <conditionalFormatting sqref="N179:Q214 U204:V204 N217:Q221 N224:N226 N229:N230 N234 N238 N241 N243 N245 N247:N248 N251">
    <cfRule type="containsText" dxfId="2" priority="36972" operator="containsText" text="Yes">
      <formula>NOT(ISERROR(SEARCH(("Yes"),(N179))))</formula>
    </cfRule>
  </conditionalFormatting>
  <conditionalFormatting sqref="N179:Q214 U204:V204 N217:Q221 N224:N226 N229:N230 N234 N238 N241 N243 N245 N247:N248 N251">
    <cfRule type="containsText" dxfId="2" priority="36973" operator="containsText" text="Yes">
      <formula>NOT(ISERROR(SEARCH(("Yes"),(N179))))</formula>
    </cfRule>
  </conditionalFormatting>
  <conditionalFormatting sqref="N179:Q214 U204:V204 N217:Q221 N224:N226 N229:N230 N234 N238 N241 N243 N245 N247:N248 N251">
    <cfRule type="containsText" dxfId="2" priority="36974" operator="containsText" text="Yes">
      <formula>NOT(ISERROR(SEARCH(("Yes"),(N179))))</formula>
    </cfRule>
  </conditionalFormatting>
  <conditionalFormatting sqref="N179:Q214 U204:V204 N217:Q221 N224:N226 N229:N230 N234 N238 N241 N243 N245 N247:N248 N251">
    <cfRule type="containsText" dxfId="2" priority="36975" operator="containsText" text="Yes">
      <formula>NOT(ISERROR(SEARCH(("Yes"),(N179))))</formula>
    </cfRule>
  </conditionalFormatting>
  <conditionalFormatting sqref="N179:Q214 U204:V204 N217:Q221 N224:N226 N229:N230 N234 N238 N241 N243 N245 N247:N248 N251">
    <cfRule type="containsText" dxfId="2" priority="36976" operator="containsText" text="Yes">
      <formula>NOT(ISERROR(SEARCH(("Yes"),(N179))))</formula>
    </cfRule>
  </conditionalFormatting>
  <conditionalFormatting sqref="N179:Q214 U204:V204 N217:Q221 N224:N226 N229:N230 N234 N238 N241 N243 N245 N247:N248 N251">
    <cfRule type="containsText" dxfId="9" priority="36977" operator="containsText" text="No">
      <formula>NOT(ISERROR(SEARCH(("No"),(N179))))</formula>
    </cfRule>
  </conditionalFormatting>
  <conditionalFormatting sqref="N179:Q214 U204:V204 N217:Q221 N224:N226 N229:N230 N234 N238 N241 N243 N245 N247:N248 N251">
    <cfRule type="containsText" dxfId="2" priority="36978" operator="containsText" text="Yes">
      <formula>NOT(ISERROR(SEARCH(("Yes"),(N179))))</formula>
    </cfRule>
  </conditionalFormatting>
  <conditionalFormatting sqref="O179:O202 P179:Q214 N195 N197:N198 N201:N202 N204 O204:O205 U204:V204 O207 O212 O214 O217:Q221">
    <cfRule type="containsText" dxfId="9" priority="36979" operator="containsText" text="No">
      <formula>NOT(ISERROR(SEARCH(("No"),(O179))))</formula>
    </cfRule>
  </conditionalFormatting>
  <conditionalFormatting sqref="O179:O202 P179:Q214 N195 N197:N198 N201:N202 N204 O204:O205 U204:V204 O207 O212 O214 O217:Q221">
    <cfRule type="containsText" dxfId="9" priority="36980" operator="containsText" text="No">
      <formula>NOT(ISERROR(SEARCH(("No"),(O179))))</formula>
    </cfRule>
  </conditionalFormatting>
  <conditionalFormatting sqref="O179:O202 P179:Q214 N195 N197:N198 N201:N202 N204 O204:O205 U204:V204 O207 O212 O214 O217:Q221">
    <cfRule type="containsText" dxfId="9" priority="36981" operator="containsText" text="No">
      <formula>NOT(ISERROR(SEARCH(("No"),(O179))))</formula>
    </cfRule>
  </conditionalFormatting>
  <conditionalFormatting sqref="O179:O202 P179:Q214 N195 N197:N198 N201:N202 N204 O204:O205 U204:V204 O207 O212 O214 O217:Q221">
    <cfRule type="containsText" dxfId="9" priority="36982" operator="containsText" text="No">
      <formula>NOT(ISERROR(SEARCH(("No"),(O179))))</formula>
    </cfRule>
  </conditionalFormatting>
  <conditionalFormatting sqref="O179:O202 P179:Q214 N195 N197:N198 N201:N202 N204 O204:O205 U204:V204 O207 O212 O214 O217:Q221">
    <cfRule type="containsText" dxfId="9" priority="36983" operator="containsText" text="No">
      <formula>NOT(ISERROR(SEARCH(("No"),(O179))))</formula>
    </cfRule>
  </conditionalFormatting>
  <conditionalFormatting sqref="O179:O202 P179:Q214 N195 N197:N198 N201:N202 N204 O204:O205 U204:V204 O207 O212 O214 O217:Q221">
    <cfRule type="containsText" dxfId="9" priority="36984" operator="containsText" text="No">
      <formula>NOT(ISERROR(SEARCH(("No"),(O179))))</formula>
    </cfRule>
  </conditionalFormatting>
  <conditionalFormatting sqref="O179:O202 P179:Q214 N195 N197:N198 N201:N202 N204 O204:O205 U204:V204 O207 O212 O214 O217:Q221">
    <cfRule type="containsText" dxfId="9" priority="36985" operator="containsText" text="No">
      <formula>NOT(ISERROR(SEARCH(("No"),(O179))))</formula>
    </cfRule>
  </conditionalFormatting>
  <conditionalFormatting sqref="O179:O202 P179:Q214 N195 N197:N198 N201:N202 N204 O204:O205 U204:V204 O207 O212 O214 O217:Q221">
    <cfRule type="containsText" dxfId="9" priority="36986" operator="containsText" text="No">
      <formula>NOT(ISERROR(SEARCH(("No"),(O179))))</formula>
    </cfRule>
  </conditionalFormatting>
  <conditionalFormatting sqref="O179:O202 P179:Q214 N195 N197:N198 N201:N202 N204 O204:O205 U204:V204 O207 O212 O214 O217:Q221">
    <cfRule type="containsText" dxfId="9" priority="36987" operator="containsText" text="No">
      <formula>NOT(ISERROR(SEARCH(("No"),(O179))))</formula>
    </cfRule>
  </conditionalFormatting>
  <conditionalFormatting sqref="O179:O202 P179:Q214 N195 N197:N198 N201:N202 N204 O204:O205 U204:V204 O207 O212 O214 O217:Q221">
    <cfRule type="containsText" dxfId="9" priority="36988" operator="containsText" text="No">
      <formula>NOT(ISERROR(SEARCH(("No"),(O179))))</formula>
    </cfRule>
  </conditionalFormatting>
  <conditionalFormatting sqref="O179:O202 P179:Q214 N195 N197:N198 N201:N202 N204 O204:O205 U204:V204 O207 O212 O214 O217:Q221">
    <cfRule type="containsText" dxfId="9" priority="36989" operator="containsText" text="No">
      <formula>NOT(ISERROR(SEARCH(("No"),(O179))))</formula>
    </cfRule>
  </conditionalFormatting>
  <conditionalFormatting sqref="O179:O202 P179:Q214 N195 N197:N198 N201:N202 N204 O204:O205 U204:V204 O207 O212 O214 O217:Q221">
    <cfRule type="containsText" dxfId="9" priority="36990" operator="containsText" text="No">
      <formula>NOT(ISERROR(SEARCH(("No"),(O179))))</formula>
    </cfRule>
  </conditionalFormatting>
  <conditionalFormatting sqref="O179:O202 P179:Q214 N195 N197:N198 N201:N202 N204 O204:O205 U204:V204 O207 O212 O214 O217:Q221">
    <cfRule type="containsText" dxfId="9" priority="36991" operator="containsText" text="No">
      <formula>NOT(ISERROR(SEARCH(("No"),(O179))))</formula>
    </cfRule>
  </conditionalFormatting>
  <conditionalFormatting sqref="O179:O202 P179:Q214 N195 N197:N198 N201:N202 N204 O204:O205 U204:V204 O207 O212 O214 O217:Q221">
    <cfRule type="containsText" dxfId="9" priority="36992" operator="containsText" text="No">
      <formula>NOT(ISERROR(SEARCH(("No"),(O179))))</formula>
    </cfRule>
  </conditionalFormatting>
  <conditionalFormatting sqref="O179:O202 P179:Q214 N195 N197:N198 N201:N202 N204 O204:O205 U204:V204 O207 O212 O214 O217:Q221">
    <cfRule type="containsText" dxfId="9" priority="36993" operator="containsText" text="No">
      <formula>NOT(ISERROR(SEARCH(("No"),(O179))))</formula>
    </cfRule>
  </conditionalFormatting>
  <conditionalFormatting sqref="O179:O202 P179:Q214 N195 N197:N198 N201:N202 N204 O204:O205 U204:V204 O207 O212 O214 O217:Q221">
    <cfRule type="containsText" dxfId="9" priority="36994" operator="containsText" text="No">
      <formula>NOT(ISERROR(SEARCH(("No"),(O179))))</formula>
    </cfRule>
  </conditionalFormatting>
  <conditionalFormatting sqref="O179:O202 P179:Q214 N195 N197:N198 N201:N202 N204 O204:O205 U204:V204 O207 O212 O214 O217:Q221">
    <cfRule type="containsText" dxfId="9" priority="36995" operator="containsText" text="No">
      <formula>NOT(ISERROR(SEARCH(("No"),(O179))))</formula>
    </cfRule>
  </conditionalFormatting>
  <conditionalFormatting sqref="O179:O202 P179:Q214 N195 N197:N198 N201:N202 N204 O204:O205 U204:V204 O207 O212 O214 O217:Q221">
    <cfRule type="containsText" dxfId="9" priority="36996" operator="containsText" text="No">
      <formula>NOT(ISERROR(SEARCH(("No"),(O179))))</formula>
    </cfRule>
  </conditionalFormatting>
  <conditionalFormatting sqref="O179:O202 P179:Q214 N195 N197:N198 N201:N202 N204 O204:O205 U204:V204 O207 O212 O214 O217:Q221">
    <cfRule type="containsText" dxfId="9" priority="36997" operator="containsText" text="No">
      <formula>NOT(ISERROR(SEARCH(("No"),(O179))))</formula>
    </cfRule>
  </conditionalFormatting>
  <conditionalFormatting sqref="O179:O202 P179:Q214 N195 N197:N198 N201:N202 N204 O204:O205 U204:V204 O207 O212 O214 O217:Q221">
    <cfRule type="containsText" dxfId="9" priority="36998" operator="containsText" text="No">
      <formula>NOT(ISERROR(SEARCH(("No"),(O179))))</formula>
    </cfRule>
  </conditionalFormatting>
  <conditionalFormatting sqref="O179:O202 P179:Q214 N195 N197:N198 N201:N202 N204 O204:O205 U204:V204 O207 O212 O214 O217:Q221">
    <cfRule type="containsText" dxfId="9" priority="36999" operator="containsText" text="No">
      <formula>NOT(ISERROR(SEARCH(("No"),(O179))))</formula>
    </cfRule>
  </conditionalFormatting>
  <conditionalFormatting sqref="O179:O202 P179:Q214 N195 N197:N198 N201:N202 N204 O204:O205 U204:V204 O207 O212 O214 O217:Q221">
    <cfRule type="containsText" dxfId="9" priority="37000" operator="containsText" text="No">
      <formula>NOT(ISERROR(SEARCH(("No"),(O179))))</formula>
    </cfRule>
  </conditionalFormatting>
  <conditionalFormatting sqref="O179:O202 P179:Q214 N195 N197:N198 N201:N202 N204 O204:O205 U204:V204 O207 O212 O214 O217:Q221">
    <cfRule type="containsText" dxfId="9" priority="37001" operator="containsText" text="No">
      <formula>NOT(ISERROR(SEARCH(("No"),(O179))))</formula>
    </cfRule>
  </conditionalFormatting>
  <conditionalFormatting sqref="O179:O202 P179:Q214 N195 N197:N198 N201:N202 N204 O204:O205 U204:V204 O207 O212 O214 O217:Q221">
    <cfRule type="containsText" dxfId="9" priority="37002" operator="containsText" text="No">
      <formula>NOT(ISERROR(SEARCH(("No"),(O179))))</formula>
    </cfRule>
  </conditionalFormatting>
  <conditionalFormatting sqref="O179:O202 P179:Q214 N195 N197:N198 N201:N202 N204 O204:O205 U204:V204 O207 O212 O214 O217:Q221">
    <cfRule type="containsText" dxfId="9" priority="37003" operator="containsText" text="No">
      <formula>NOT(ISERROR(SEARCH(("No"),(O179))))</formula>
    </cfRule>
  </conditionalFormatting>
  <conditionalFormatting sqref="O179:O202 P179:Q214 N195 N197:N198 N201:N202 N204 O204:O205 U204:V204 O207 O212 O214 O217:Q221">
    <cfRule type="containsText" dxfId="9" priority="37004" operator="containsText" text="No">
      <formula>NOT(ISERROR(SEARCH(("No"),(O179))))</formula>
    </cfRule>
  </conditionalFormatting>
  <conditionalFormatting sqref="O179:O202 P179:Q214 N195 N197:N198 N201:N202 N204 O204:O205 U204:V204 O207 O212 O214 O217:Q221">
    <cfRule type="containsText" dxfId="9" priority="37005" operator="containsText" text="No">
      <formula>NOT(ISERROR(SEARCH(("No"),(O179))))</formula>
    </cfRule>
  </conditionalFormatting>
  <conditionalFormatting sqref="O179:O202 P179:Q214 N195 N197:N198 N201:N202 N204 O204:O205 U204:V204 O207 O212 O214 O217:Q221">
    <cfRule type="containsText" dxfId="9" priority="37006" operator="containsText" text="No">
      <formula>NOT(ISERROR(SEARCH(("No"),(O179))))</formula>
    </cfRule>
  </conditionalFormatting>
  <conditionalFormatting sqref="O179:O202 P179:Q214 N195 N197:N198 N201:N202 N204 O204:O205 U204:V204 O207 O212 O214 O217:Q221">
    <cfRule type="containsText" dxfId="9" priority="37007" operator="containsText" text="No">
      <formula>NOT(ISERROR(SEARCH(("No"),(O179))))</formula>
    </cfRule>
  </conditionalFormatting>
  <conditionalFormatting sqref="O179:O202 P179:Q214 N195 N197:N198 N201:N202 N204 O204:O205 U204:V204 O207 O212 O214 O217:Q221">
    <cfRule type="containsText" dxfId="9" priority="37008" operator="containsText" text="No">
      <formula>NOT(ISERROR(SEARCH(("No"),(O179))))</formula>
    </cfRule>
  </conditionalFormatting>
  <conditionalFormatting sqref="O179:O202 P179:Q214 N195 N197:N198 N201:N202 N204 O204:O205 U204:V204 O207 O212 O214 O217:Q221">
    <cfRule type="containsText" dxfId="9" priority="37009" operator="containsText" text="No">
      <formula>NOT(ISERROR(SEARCH(("No"),(O179))))</formula>
    </cfRule>
  </conditionalFormatting>
  <conditionalFormatting sqref="O179:O202 P179:Q214 N195 N197:N198 N201:N202 N204 O204:O205 U204:V204 O207 O212 O214 O217:Q221">
    <cfRule type="containsText" dxfId="9" priority="37010" operator="containsText" text="No">
      <formula>NOT(ISERROR(SEARCH(("No"),(O179))))</formula>
    </cfRule>
  </conditionalFormatting>
  <conditionalFormatting sqref="O179:O202 P179:Q214 N195 N197:N198 N201:N202 N204 O204:O205 U204:V204 O207 O212 O214 O217:Q221">
    <cfRule type="containsText" dxfId="9" priority="37011" operator="containsText" text="No">
      <formula>NOT(ISERROR(SEARCH(("No"),(O179))))</formula>
    </cfRule>
  </conditionalFormatting>
  <conditionalFormatting sqref="O179:O202 P179:Q214 N195 N197:N198 N201:N202 N204 O204:O205 U204:V204 O207 O212 O214 O217:Q221">
    <cfRule type="containsText" dxfId="9" priority="37012" operator="containsText" text="No">
      <formula>NOT(ISERROR(SEARCH(("No"),(O179))))</formula>
    </cfRule>
  </conditionalFormatting>
  <conditionalFormatting sqref="O179:O202 P179:Q214 N195 N197:N198 N201:N202 N204 O204:O205 U204:V204 O207 O212 O214 O217:Q221">
    <cfRule type="containsText" dxfId="9" priority="37013" operator="containsText" text="No">
      <formula>NOT(ISERROR(SEARCH(("No"),(O179))))</formula>
    </cfRule>
  </conditionalFormatting>
  <conditionalFormatting sqref="O179:O202 P179:Q214 N195 N197:N198 N201:N202 N204 O204:O205 U204:V204 O207 O212 O214 O217:Q221">
    <cfRule type="containsText" dxfId="9" priority="37014" operator="containsText" text="No">
      <formula>NOT(ISERROR(SEARCH(("No"),(O179))))</formula>
    </cfRule>
  </conditionalFormatting>
  <conditionalFormatting sqref="O179:O202 P179:Q214 N195 N197:N198 N201:N202 N204 O204:O205 U204:V204 O207 O212 O214 O217:Q221">
    <cfRule type="containsText" dxfId="9" priority="37015" operator="containsText" text="No">
      <formula>NOT(ISERROR(SEARCH(("No"),(O179))))</formula>
    </cfRule>
  </conditionalFormatting>
  <conditionalFormatting sqref="O179:O202 P179:Q214 N195 N197:N198 N201:N202 N204 O204:O205 U204:V204 O207 O212 O214 O217:Q221">
    <cfRule type="containsText" dxfId="9" priority="37016" operator="containsText" text="No">
      <formula>NOT(ISERROR(SEARCH(("No"),(O179))))</formula>
    </cfRule>
  </conditionalFormatting>
  <conditionalFormatting sqref="O179:O202 P179:Q214 N195 N197:N198 N201:N202 N204 O204:O205 U204:V204 O207 O212 O214 O217:Q221">
    <cfRule type="containsText" dxfId="9" priority="37017" operator="containsText" text="No">
      <formula>NOT(ISERROR(SEARCH(("No"),(O179))))</formula>
    </cfRule>
  </conditionalFormatting>
  <conditionalFormatting sqref="O179:O202 P179:Q214 N195 N197:N198 N201:N202 N204 O204:O205 U204:V204 O207 O212 O214 O217:Q221">
    <cfRule type="containsText" dxfId="9" priority="37018" operator="containsText" text="No">
      <formula>NOT(ISERROR(SEARCH(("No"),(O179))))</formula>
    </cfRule>
  </conditionalFormatting>
  <conditionalFormatting sqref="O179:O202 P179:Q214 N195 N197:N198 N201:N202 N204 O204:O205 U204:V204 O207 O212 O214 O217:Q221">
    <cfRule type="containsText" dxfId="9" priority="37019" operator="containsText" text="No">
      <formula>NOT(ISERROR(SEARCH(("No"),(O179))))</formula>
    </cfRule>
  </conditionalFormatting>
  <conditionalFormatting sqref="O179:O202 P179:Q214 N195 N197:N198 N201:N202 N204 O204:O205 U204:V204 O207 O212 O214 O217:Q221">
    <cfRule type="containsText" dxfId="9" priority="37020" operator="containsText" text="No">
      <formula>NOT(ISERROR(SEARCH(("No"),(O179))))</formula>
    </cfRule>
  </conditionalFormatting>
  <conditionalFormatting sqref="O179:O202 P179:Q214 N195 N197:N198 N201:N202 N204 O204:O205 U204:V204 O207 O212 O214 O217:Q221">
    <cfRule type="containsText" dxfId="9" priority="37021" operator="containsText" text="No">
      <formula>NOT(ISERROR(SEARCH(("No"),(O179))))</formula>
    </cfRule>
  </conditionalFormatting>
  <conditionalFormatting sqref="O179:O202 P179:Q214 N195 N197:N198 N201:N202 N204 O204:O205 U204:V204 O207 O212 O214 O217:Q221">
    <cfRule type="containsText" dxfId="9" priority="37022" operator="containsText" text="No">
      <formula>NOT(ISERROR(SEARCH(("No"),(O179))))</formula>
    </cfRule>
  </conditionalFormatting>
  <conditionalFormatting sqref="O179:O202 P179:Q214 N195 N197:N198 N201:N202 N204 O204:O205 U204:V204 O207 O212 O214 O217:Q221">
    <cfRule type="containsText" dxfId="9" priority="37023" operator="containsText" text="No">
      <formula>NOT(ISERROR(SEARCH(("No"),(O179))))</formula>
    </cfRule>
  </conditionalFormatting>
  <conditionalFormatting sqref="O179:O202 P179:Q214 N195 N197:N198 N201:N202 N204 O204:O205 U204:V204 O207 O212 O214 O217:Q221">
    <cfRule type="containsText" dxfId="2" priority="37024" operator="containsText" text="Yes">
      <formula>NOT(ISERROR(SEARCH(("Yes"),(O179))))</formula>
    </cfRule>
  </conditionalFormatting>
  <conditionalFormatting sqref="O179:O202 P179:Q214 N195 N197:N198 N201:N202 N204 O204:O205 U204:V204 O207 O212 O214 O217:Q221">
    <cfRule type="containsText" dxfId="2" priority="37025" operator="containsText" text="Yes">
      <formula>NOT(ISERROR(SEARCH(("Yes"),(O179))))</formula>
    </cfRule>
  </conditionalFormatting>
  <conditionalFormatting sqref="O179:O202 P179:Q214 N195 N197:N198 N201:N202 N204 O204:O205 U204:V204 O207 O212 O214 O217:Q221">
    <cfRule type="containsText" dxfId="2" priority="37026" operator="containsText" text="Yes">
      <formula>NOT(ISERROR(SEARCH(("Yes"),(O179))))</formula>
    </cfRule>
  </conditionalFormatting>
  <conditionalFormatting sqref="O179:O202 P179:Q214 N195 N197:N198 N201:N202 N204 O204:O205 U204:V204 O207 O212 O214 O217:Q221">
    <cfRule type="containsText" dxfId="2" priority="37027" operator="containsText" text="Yes">
      <formula>NOT(ISERROR(SEARCH(("Yes"),(O179))))</formula>
    </cfRule>
  </conditionalFormatting>
  <conditionalFormatting sqref="O179:O202 P179:Q214 N195 N197:N198 N201:N202 N204 O204:O205 U204:V204 O207 O212 O214 O217:Q221">
    <cfRule type="containsText" dxfId="2" priority="37028" operator="containsText" text="Yes">
      <formula>NOT(ISERROR(SEARCH(("Yes"),(O179))))</formula>
    </cfRule>
  </conditionalFormatting>
  <conditionalFormatting sqref="O179:O202 P179:Q214 N195 N197:N198 N201:N202 N204 O204:O205 U204:V204 O207 O212 O214 O217:Q221">
    <cfRule type="containsText" dxfId="2" priority="37029" operator="containsText" text="Yes">
      <formula>NOT(ISERROR(SEARCH(("Yes"),(O179))))</formula>
    </cfRule>
  </conditionalFormatting>
  <conditionalFormatting sqref="O179:O202 P179:Q214 N195 N197:N198 N201:N202 N204 O204:O205 U204:V204 O207 O212 O214 O217:Q221">
    <cfRule type="containsText" dxfId="2" priority="37030" operator="containsText" text="Yes">
      <formula>NOT(ISERROR(SEARCH(("Yes"),(O179))))</formula>
    </cfRule>
  </conditionalFormatting>
  <conditionalFormatting sqref="O179:O202 P179:Q214 N195 N197:N198 N201:N202 N204 O204:O205 U204:V204 O207 O212 O214 O217:Q221">
    <cfRule type="containsText" dxfId="2" priority="37031" operator="containsText" text="Yes">
      <formula>NOT(ISERROR(SEARCH(("Yes"),(O179))))</formula>
    </cfRule>
  </conditionalFormatting>
  <conditionalFormatting sqref="O179:O202 P179:Q214 N195 N197:N198 N201:N202 N204 O204:O205 U204:V204 O207 O212 O214 O217:Q221">
    <cfRule type="containsText" dxfId="2" priority="37032" operator="containsText" text="Yes">
      <formula>NOT(ISERROR(SEARCH(("Yes"),(O179))))</formula>
    </cfRule>
  </conditionalFormatting>
  <conditionalFormatting sqref="O179:O202 P179:Q214 N195 N197:N198 N201:N202 N204 O204:O205 U204:V204 O207 O212 O214 O217:Q221">
    <cfRule type="containsText" dxfId="2" priority="37033" operator="containsText" text="Yes">
      <formula>NOT(ISERROR(SEARCH(("Yes"),(O179))))</formula>
    </cfRule>
  </conditionalFormatting>
  <conditionalFormatting sqref="O179:O202 P179:Q214 N195 N197:N198 N201:N202 N204 O204:O205 U204:V204 O207 O212 O214 O217:Q221">
    <cfRule type="containsText" dxfId="2" priority="37034" operator="containsText" text="Yes">
      <formula>NOT(ISERROR(SEARCH(("Yes"),(O179))))</formula>
    </cfRule>
  </conditionalFormatting>
  <conditionalFormatting sqref="O179:O202 P179:Q214 N195 N197:N198 N201:N202 N204 O204:O205 U204:V204 O207 O212 O214 O217:Q221">
    <cfRule type="containsText" dxfId="2" priority="37035" operator="containsText" text="Yes">
      <formula>NOT(ISERROR(SEARCH(("Yes"),(O179))))</formula>
    </cfRule>
  </conditionalFormatting>
  <conditionalFormatting sqref="O179:O202 P179:Q214 N195 N197:N198 N201:N202 N204 O204:O205 U204:V204 O207 O212 O214 O217:Q221">
    <cfRule type="containsText" dxfId="2" priority="37036" operator="containsText" text="Yes">
      <formula>NOT(ISERROR(SEARCH(("Yes"),(O179))))</formula>
    </cfRule>
  </conditionalFormatting>
  <conditionalFormatting sqref="O179:O202 P179:Q214 N195 N197:N198 N201:N202 N204 O204:O205 U204:V204 O207 O212 O214 O217:Q221">
    <cfRule type="containsText" dxfId="2" priority="37037" operator="containsText" text="Yes">
      <formula>NOT(ISERROR(SEARCH(("Yes"),(O179))))</formula>
    </cfRule>
  </conditionalFormatting>
  <conditionalFormatting sqref="O179:O202 P179:Q214 N195 N197:N198 N201:N202 N204 O204:O205 U204:V204 O207 O212 O214 O217:Q221">
    <cfRule type="containsText" dxfId="2" priority="37038" operator="containsText" text="Yes">
      <formula>NOT(ISERROR(SEARCH(("Yes"),(O179))))</formula>
    </cfRule>
  </conditionalFormatting>
  <conditionalFormatting sqref="O179:O202 P179:Q214 N195 N197:N198 N201:N202 N204 O204:O205 U204:V204 O207 O212 O214 O217:Q221">
    <cfRule type="containsText" dxfId="2" priority="37039" operator="containsText" text="Yes">
      <formula>NOT(ISERROR(SEARCH(("Yes"),(O179))))</formula>
    </cfRule>
  </conditionalFormatting>
  <conditionalFormatting sqref="O179:O202 P179:Q214 N195 N197:N198 N201:N202 N204 O204:O205 U204:V204 O207 O212 O214 O217:Q221">
    <cfRule type="containsText" dxfId="2" priority="37040" operator="containsText" text="Yes">
      <formula>NOT(ISERROR(SEARCH(("Yes"),(O179))))</formula>
    </cfRule>
  </conditionalFormatting>
  <conditionalFormatting sqref="O179:O202 P179:Q214 N195 N197:N198 N201:N202 N204 O204:O205 U204:V204 O207 O212 O214 O217:Q221">
    <cfRule type="containsText" dxfId="2" priority="37041" operator="containsText" text="Yes">
      <formula>NOT(ISERROR(SEARCH(("Yes"),(O179))))</formula>
    </cfRule>
  </conditionalFormatting>
  <conditionalFormatting sqref="O179:O202 P179:Q214 N195 N197:N198 N201:N202 N204 O204:O205 U204:V204 O207 O212 O214 O217:Q221">
    <cfRule type="containsText" dxfId="2" priority="37042" operator="containsText" text="Yes">
      <formula>NOT(ISERROR(SEARCH(("Yes"),(O179))))</formula>
    </cfRule>
  </conditionalFormatting>
  <conditionalFormatting sqref="O179:O202 P179:Q214 N195 N197:N198 N201:N202 N204 O204:O205 U204:V204 O207 O212 O214 O217:Q221">
    <cfRule type="containsText" dxfId="2" priority="37043" operator="containsText" text="Yes">
      <formula>NOT(ISERROR(SEARCH(("Yes"),(O179))))</formula>
    </cfRule>
  </conditionalFormatting>
  <conditionalFormatting sqref="O179:O202 P179:Q214 N195 N197:N198 N201:N202 N204 O204:O205 U204:V204 O207 O212 O214 O217:Q221">
    <cfRule type="containsText" dxfId="2" priority="37044" operator="containsText" text="Yes">
      <formula>NOT(ISERROR(SEARCH(("Yes"),(O179))))</formula>
    </cfRule>
  </conditionalFormatting>
  <conditionalFormatting sqref="O179:O202 P179:Q214 N195 N197:N198 N201:N202 N204 O204:O205 U204:V204 O207 O212 O214 O217:Q221">
    <cfRule type="containsText" dxfId="2" priority="37045" operator="containsText" text="Yes">
      <formula>NOT(ISERROR(SEARCH(("Yes"),(O179))))</formula>
    </cfRule>
  </conditionalFormatting>
  <conditionalFormatting sqref="O179:O202 P179:Q214 N195 N197:N198 N201:N202 N204 O204:O205 U204:V204 O207 O212 O214 O217:Q221">
    <cfRule type="containsText" dxfId="2" priority="37046" operator="containsText" text="Yes">
      <formula>NOT(ISERROR(SEARCH(("Yes"),(O179))))</formula>
    </cfRule>
  </conditionalFormatting>
  <conditionalFormatting sqref="O179:O202 P179:Q214 N195 N197:N198 N201:N202 N204 O204:O205 U204:V204 O207 O212 O214 O217:Q221">
    <cfRule type="containsText" dxfId="2" priority="37047" operator="containsText" text="Yes">
      <formula>NOT(ISERROR(SEARCH(("Yes"),(O179))))</formula>
    </cfRule>
  </conditionalFormatting>
  <conditionalFormatting sqref="O179:O202 P179:Q214 N195 N197:N198 N201:N202 N204 O204:O205 U204:V204 O207 O212 O214 O217:Q221">
    <cfRule type="containsText" dxfId="2" priority="37048" operator="containsText" text="Yes">
      <formula>NOT(ISERROR(SEARCH(("Yes"),(O179))))</formula>
    </cfRule>
  </conditionalFormatting>
  <conditionalFormatting sqref="O179:O202 P179:Q214 N195 N197:N198 N201:N202 N204 O204:O205 U204:V204 O207 O212 O214 O217:Q221">
    <cfRule type="containsText" dxfId="2" priority="37049" operator="containsText" text="Yes">
      <formula>NOT(ISERROR(SEARCH(("Yes"),(O179))))</formula>
    </cfRule>
  </conditionalFormatting>
  <conditionalFormatting sqref="O179:O202 P179:Q214 N195 N197:N198 N201:N202 N204 O204:O205 U204:V204 O207 O212 O214 O217:Q221">
    <cfRule type="containsText" dxfId="2" priority="37050" operator="containsText" text="Yes">
      <formula>NOT(ISERROR(SEARCH(("Yes"),(O179))))</formula>
    </cfRule>
  </conditionalFormatting>
  <conditionalFormatting sqref="O179:O202 P179:Q214 N195 N197:N198 N201:N202 N204 O204:O205 U204:V204 O207 O212 O214 O217:Q221">
    <cfRule type="containsText" dxfId="2" priority="37051" operator="containsText" text="Yes">
      <formula>NOT(ISERROR(SEARCH(("Yes"),(O179))))</formula>
    </cfRule>
  </conditionalFormatting>
  <conditionalFormatting sqref="O179:O202 P179:Q214 N195 N197:N198 N201:N202 N204 O204:O205 U204:V204 O207 O212 O214 O217:Q221">
    <cfRule type="containsText" dxfId="2" priority="37052" operator="containsText" text="Yes">
      <formula>NOT(ISERROR(SEARCH(("Yes"),(O179))))</formula>
    </cfRule>
  </conditionalFormatting>
  <conditionalFormatting sqref="O179:O202 P179:Q214 N195 N197:N198 N201:N202 N204 O204:O205 U204:V204 O207 O212 O214 O217:Q221">
    <cfRule type="containsText" dxfId="2" priority="37053" operator="containsText" text="Yes">
      <formula>NOT(ISERROR(SEARCH(("Yes"),(O179))))</formula>
    </cfRule>
  </conditionalFormatting>
  <conditionalFormatting sqref="O179:O202 P179:Q214 N195 N197:N198 N201:N202 N204 O204:O205 U204:V204 O207 O212 O214 O217:Q221">
    <cfRule type="containsText" dxfId="2" priority="37054" operator="containsText" text="Yes">
      <formula>NOT(ISERROR(SEARCH(("Yes"),(O179))))</formula>
    </cfRule>
  </conditionalFormatting>
  <conditionalFormatting sqref="O179:O202 P179:Q214 N195 N197:N198 N201:N202 N204 O204:O205 U204:V204 O207 O212 O214 O217:Q221">
    <cfRule type="containsText" dxfId="2" priority="37055" operator="containsText" text="Yes">
      <formula>NOT(ISERROR(SEARCH(("Yes"),(O179))))</formula>
    </cfRule>
  </conditionalFormatting>
  <conditionalFormatting sqref="O179:O202 P179:Q214 N195 N197:N198 N201:N202 N204 O204:O205 U204:V204 O207 O212 O214 O217:Q221">
    <cfRule type="containsText" dxfId="2" priority="37056" operator="containsText" text="Yes">
      <formula>NOT(ISERROR(SEARCH(("Yes"),(O179))))</formula>
    </cfRule>
  </conditionalFormatting>
  <conditionalFormatting sqref="O179:O202 P179:Q214 N195 N197:N198 N201:N202 N204 O204:O205 U204:V204 O207 O212 O214 O217:Q221">
    <cfRule type="containsText" dxfId="2" priority="37057" operator="containsText" text="Yes">
      <formula>NOT(ISERROR(SEARCH(("Yes"),(O179))))</formula>
    </cfRule>
  </conditionalFormatting>
  <conditionalFormatting sqref="O179:O202 P179:Q214 N195 N197:N198 N201:N202 N204 O204:O205 U204:V204 O207 O212 O214 O217:Q221">
    <cfRule type="containsText" dxfId="2" priority="37058" operator="containsText" text="Yes">
      <formula>NOT(ISERROR(SEARCH(("Yes"),(O179))))</formula>
    </cfRule>
  </conditionalFormatting>
  <conditionalFormatting sqref="O179:O202 P179:Q214 N195 N197:N198 N201:N202 N204 O204:O205 U204:V204 O207 O212 O214 O217:Q221">
    <cfRule type="containsText" dxfId="2" priority="37059" operator="containsText" text="Yes">
      <formula>NOT(ISERROR(SEARCH(("Yes"),(O179))))</formula>
    </cfRule>
  </conditionalFormatting>
  <conditionalFormatting sqref="O179:O202 P179:Q214 N195 N197:N198 N201:N202 N204 O204:O205 U204:V204 O207 O212 O214 O217:Q221">
    <cfRule type="containsText" dxfId="2" priority="37060" operator="containsText" text="Yes">
      <formula>NOT(ISERROR(SEARCH(("Yes"),(O179))))</formula>
    </cfRule>
  </conditionalFormatting>
  <conditionalFormatting sqref="O179:O202 P179:Q214 N195 N197:N198 N201:N202 N204 O204:O205 U204:V204 O207 O212 O214 O217:Q221">
    <cfRule type="containsText" dxfId="2" priority="37061" operator="containsText" text="Yes">
      <formula>NOT(ISERROR(SEARCH(("Yes"),(O179))))</formula>
    </cfRule>
  </conditionalFormatting>
  <conditionalFormatting sqref="O179:O202 P179:Q214 N195 N197:N198 N201:N202 N204 O204:O205 U204:V204 O207 O212 O214 O217:Q221">
    <cfRule type="containsText" dxfId="2" priority="37062" operator="containsText" text="Yes">
      <formula>NOT(ISERROR(SEARCH(("Yes"),(O179))))</formula>
    </cfRule>
  </conditionalFormatting>
  <conditionalFormatting sqref="O179:O202 P179:Q214 N195 N197:N198 N201:N202 N204 O204:O205 U204:V204 O207 O212 O214 O217:Q221">
    <cfRule type="containsText" dxfId="2" priority="37063" operator="containsText" text="Yes">
      <formula>NOT(ISERROR(SEARCH(("Yes"),(O179))))</formula>
    </cfRule>
  </conditionalFormatting>
  <conditionalFormatting sqref="O179:O202 P179:Q214 N195 N197:N198 N201:N202 N204 O204:O205 U204:V204 O207 O212 O214 O217:Q221">
    <cfRule type="containsText" dxfId="2" priority="37064" operator="containsText" text="Yes">
      <formula>NOT(ISERROR(SEARCH(("Yes"),(O179))))</formula>
    </cfRule>
  </conditionalFormatting>
  <conditionalFormatting sqref="O179:O202 P179:Q214 N195 N197:N198 N201:N202 N204 O204:O205 U204:V204 O207 O212 O214 O217:Q221">
    <cfRule type="containsText" dxfId="2" priority="37065" operator="containsText" text="Yes">
      <formula>NOT(ISERROR(SEARCH(("Yes"),(O179))))</formula>
    </cfRule>
  </conditionalFormatting>
  <conditionalFormatting sqref="O179:O202 P179:Q214 N195 N197:N198 N201:N202 N204 O204:O205 U204:V204 O207 O212 O214 O217:Q221">
    <cfRule type="containsText" dxfId="2" priority="37066" operator="containsText" text="Yes">
      <formula>NOT(ISERROR(SEARCH(("Yes"),(O179))))</formula>
    </cfRule>
  </conditionalFormatting>
  <conditionalFormatting sqref="O179:O202 P179:Q214 N195 N197:N198 N201:N202 N204 O204:O205 U204:V204 O207 O212 O214 O217:Q221">
    <cfRule type="containsText" dxfId="2" priority="37067" operator="containsText" text="Yes">
      <formula>NOT(ISERROR(SEARCH(("Yes"),(O179))))</formula>
    </cfRule>
  </conditionalFormatting>
  <conditionalFormatting sqref="O179:O202 P179:Q214 N195 N197:N198 N201:N202 N204 O204:O205 U204:V204 O207 O212 O214 O217:Q221">
    <cfRule type="containsText" dxfId="2" priority="37068" operator="containsText" text="Yes">
      <formula>NOT(ISERROR(SEARCH(("Yes"),(O179))))</formula>
    </cfRule>
  </conditionalFormatting>
  <conditionalFormatting sqref="O179:O202 P179:Q214 N195 N197:N198 N201:N202 N204 O204:O205 U204:V204 O207 O212 O214 O217:Q221">
    <cfRule type="containsText" dxfId="2" priority="37069" operator="containsText" text="Yes">
      <formula>NOT(ISERROR(SEARCH(("Yes"),(O179))))</formula>
    </cfRule>
  </conditionalFormatting>
  <conditionalFormatting sqref="O179:O202 P179:Q214 N195 N197:N198 N201:N202 N204 O204:O205 U204:V204 O207 O212 O214 O217:Q221">
    <cfRule type="containsText" dxfId="2" priority="37070" operator="containsText" text="Yes">
      <formula>NOT(ISERROR(SEARCH(("Yes"),(O179))))</formula>
    </cfRule>
  </conditionalFormatting>
  <conditionalFormatting sqref="N180:N214 O203 O205:O214 N217:N221 N224:N226 N229:N230 N234 N238 N241 N243 N245 N247:N248 N251">
    <cfRule type="containsText" dxfId="9" priority="37071" operator="containsText" text="No">
      <formula>NOT(ISERROR(SEARCH(("No"),(N180))))</formula>
    </cfRule>
  </conditionalFormatting>
  <conditionalFormatting sqref="N180:N214 O203 O205:O214 N217:N221 N224:N226 N229:N230 N234 N238 N241 N243 N245 N247:N248 N251">
    <cfRule type="containsText" dxfId="9" priority="37072" operator="containsText" text="No">
      <formula>NOT(ISERROR(SEARCH(("No"),(N180))))</formula>
    </cfRule>
  </conditionalFormatting>
  <conditionalFormatting sqref="N180:N214 O203 O205:O214 N217:N221 N224:N226 N229:N230 N234 N238 N241 N243 N245 N247:N248 N251">
    <cfRule type="containsText" dxfId="9" priority="37073" operator="containsText" text="No">
      <formula>NOT(ISERROR(SEARCH(("No"),(N180))))</formula>
    </cfRule>
  </conditionalFormatting>
  <conditionalFormatting sqref="N180:N214 O203 O205:O214 N217:N221 N224:N226 N229:N230 N234 N238 N241 N243 N245 N247:N248 N251">
    <cfRule type="containsText" dxfId="2" priority="37074" operator="containsText" text="Yes">
      <formula>NOT(ISERROR(SEARCH(("Yes"),(N180))))</formula>
    </cfRule>
  </conditionalFormatting>
  <conditionalFormatting sqref="N180:N214 O203 O205:O214 N217:N221 N224:N226 N229:N230 N234 N238 N241 N243 N245 N247:N248 N251">
    <cfRule type="containsText" dxfId="2" priority="37075" operator="containsText" text="Yes">
      <formula>NOT(ISERROR(SEARCH(("Yes"),(N180))))</formula>
    </cfRule>
  </conditionalFormatting>
  <conditionalFormatting sqref="N180:N214 O203 O205:O214 N217:N221 N224:N226 N229:N230 N234 N238 N241 N243 N245 N247:N248 N251">
    <cfRule type="containsText" dxfId="2" priority="37076" operator="containsText" text="Yes">
      <formula>NOT(ISERROR(SEARCH(("Yes"),(N180))))</formula>
    </cfRule>
  </conditionalFormatting>
  <conditionalFormatting sqref="N180:N214 O203 O205:O214 N217:N221 N224:N226 N229:N230 N234 N238 N241 N243 N245 N247:N248 N251">
    <cfRule type="containsText" dxfId="2" priority="37077" operator="containsText" text="Yes">
      <formula>NOT(ISERROR(SEARCH(("Yes"),(N180))))</formula>
    </cfRule>
  </conditionalFormatting>
  <conditionalFormatting sqref="N180:N214 O203 O205:O214 N217:N221 N224:N226 N229:N230 N234 N238 N241 N243 N245 N247:N248 N251">
    <cfRule type="containsText" dxfId="2" priority="37078" operator="containsText" text="Yes">
      <formula>NOT(ISERROR(SEARCH(("Yes"),(N180))))</formula>
    </cfRule>
  </conditionalFormatting>
  <conditionalFormatting sqref="N180:N214 O203 O205:O214 N217:N221 N224:N226 N229:N230 N234 N238 N241 N243 N245 N247:N248 N251">
    <cfRule type="containsText" dxfId="9" priority="37079" operator="containsText" text="No">
      <formula>NOT(ISERROR(SEARCH(("No"),(N180))))</formula>
    </cfRule>
  </conditionalFormatting>
  <conditionalFormatting sqref="N180:N214 O203 O205:O214 N217:N221 N224:N226 N229:N230 N234 N238 N241 N243 N245 N247:N248 N251">
    <cfRule type="containsText" dxfId="2" priority="37080" operator="containsText" text="Yes">
      <formula>NOT(ISERROR(SEARCH(("Yes"),(N180))))</formula>
    </cfRule>
  </conditionalFormatting>
  <conditionalFormatting sqref="O180:O202 N195 N197:N198 N201:N202 N204 O204:O205 O207 O212 O214 O217:O221">
    <cfRule type="containsText" dxfId="9" priority="37081" operator="containsText" text="No">
      <formula>NOT(ISERROR(SEARCH(("No"),(O180))))</formula>
    </cfRule>
  </conditionalFormatting>
  <conditionalFormatting sqref="O180:O202 N195 N197:N198 N201:N202 N204 O204:O205 O207 O212 O214 O217:O221">
    <cfRule type="containsText" dxfId="9" priority="37082" operator="containsText" text="No">
      <formula>NOT(ISERROR(SEARCH(("No"),(O180))))</formula>
    </cfRule>
  </conditionalFormatting>
  <conditionalFormatting sqref="O180:O202 N195 N197:N198 N201:N202 N204 O204:O205 O207 O212 O214 O217:O221">
    <cfRule type="containsText" dxfId="9" priority="37083" operator="containsText" text="No">
      <formula>NOT(ISERROR(SEARCH(("No"),(O180))))</formula>
    </cfRule>
  </conditionalFormatting>
  <conditionalFormatting sqref="O180:O202 N195 N197:N198 N201:N202 N204 O204:O205 O207 O212 O214 O217:O221">
    <cfRule type="containsText" dxfId="2" priority="37084" operator="containsText" text="Yes">
      <formula>NOT(ISERROR(SEARCH(("Yes"),(O180))))</formula>
    </cfRule>
  </conditionalFormatting>
  <conditionalFormatting sqref="O180:O202 N195 N197:N198 N201:N202 N204 O204:O205 O207 O212 O214 O217:O221">
    <cfRule type="containsText" dxfId="2" priority="37085" operator="containsText" text="Yes">
      <formula>NOT(ISERROR(SEARCH(("Yes"),(O180))))</formula>
    </cfRule>
  </conditionalFormatting>
  <conditionalFormatting sqref="O180:O202 N195 N197:N198 N201:N202 N204 O204:O205 O207 O212 O214 O217:O221">
    <cfRule type="containsText" dxfId="2" priority="37086" operator="containsText" text="Yes">
      <formula>NOT(ISERROR(SEARCH(("Yes"),(O180))))</formula>
    </cfRule>
  </conditionalFormatting>
  <conditionalFormatting sqref="O180:O202 N195 N197:N198 N201:N202 N204 O204:O205 O207 O212 O214 O217:O221">
    <cfRule type="containsText" dxfId="2" priority="37087" operator="containsText" text="Yes">
      <formula>NOT(ISERROR(SEARCH(("Yes"),(O180))))</formula>
    </cfRule>
  </conditionalFormatting>
  <conditionalFormatting sqref="O180:O202 N195 N197:N198 N201:N202 N204 O204:O205 O207 O212 O214 O217:O221">
    <cfRule type="containsText" dxfId="2" priority="37088" operator="containsText" text="Yes">
      <formula>NOT(ISERROR(SEARCH(("Yes"),(O180))))</formula>
    </cfRule>
  </conditionalFormatting>
  <conditionalFormatting sqref="O180:O202 N195 N197:N198 N201:N202 N204 O204:O205 O207 O212 O214 O217:O221">
    <cfRule type="containsText" dxfId="9" priority="37089" operator="containsText" text="No">
      <formula>NOT(ISERROR(SEARCH(("No"),(O180))))</formula>
    </cfRule>
  </conditionalFormatting>
  <conditionalFormatting sqref="O180:O202 N195 N197:N198 N201:N202 N204 O204:O205 O207 O212 O214 O217:O221">
    <cfRule type="containsText" dxfId="9" priority="37090" operator="containsText" text="No">
      <formula>NOT(ISERROR(SEARCH(("No"),(O180))))</formula>
    </cfRule>
  </conditionalFormatting>
  <conditionalFormatting sqref="O180:O202 N195 N197:N198 N201:N202 N204 O204:O205 O207 O212 O214 O217:O221">
    <cfRule type="containsText" dxfId="2" priority="37091" operator="containsText" text="Yes">
      <formula>NOT(ISERROR(SEARCH(("Yes"),(O180))))</formula>
    </cfRule>
  </conditionalFormatting>
  <conditionalFormatting sqref="P180:Q214 U204:V204 P217:Q221">
    <cfRule type="containsText" dxfId="9" priority="37092" operator="containsText" text="No">
      <formula>NOT(ISERROR(SEARCH(("No"),(P180))))</formula>
    </cfRule>
  </conditionalFormatting>
  <conditionalFormatting sqref="P180:Q214 U204:V204 P217:Q221">
    <cfRule type="containsText" dxfId="9" priority="37093" operator="containsText" text="No">
      <formula>NOT(ISERROR(SEARCH(("No"),(P180))))</formula>
    </cfRule>
  </conditionalFormatting>
  <conditionalFormatting sqref="P180:Q214 U204:V204 P217:Q221">
    <cfRule type="containsText" dxfId="9" priority="37094" operator="containsText" text="No">
      <formula>NOT(ISERROR(SEARCH(("No"),(P180))))</formula>
    </cfRule>
  </conditionalFormatting>
  <conditionalFormatting sqref="P180:Q214 U204:V204 P217:Q221">
    <cfRule type="containsText" dxfId="9" priority="37095" operator="containsText" text="No">
      <formula>NOT(ISERROR(SEARCH(("No"),(P180))))</formula>
    </cfRule>
  </conditionalFormatting>
  <conditionalFormatting sqref="P180:Q214 U204:V204 P217:Q221">
    <cfRule type="containsText" dxfId="9" priority="37096" operator="containsText" text="No">
      <formula>NOT(ISERROR(SEARCH(("No"),(P180))))</formula>
    </cfRule>
  </conditionalFormatting>
  <conditionalFormatting sqref="P180:Q214 U204:V204 P217:Q221">
    <cfRule type="containsText" dxfId="9" priority="37097" operator="containsText" text="No">
      <formula>NOT(ISERROR(SEARCH(("No"),(P180))))</formula>
    </cfRule>
  </conditionalFormatting>
  <conditionalFormatting sqref="P180:Q214 U204:V204 P217:Q221">
    <cfRule type="containsText" dxfId="9" priority="37098" operator="containsText" text="No">
      <formula>NOT(ISERROR(SEARCH(("No"),(P180))))</formula>
    </cfRule>
  </conditionalFormatting>
  <conditionalFormatting sqref="P180:Q214 U204:V204 P217:Q221">
    <cfRule type="containsText" dxfId="9" priority="37099" operator="containsText" text="No">
      <formula>NOT(ISERROR(SEARCH(("No"),(P180))))</formula>
    </cfRule>
  </conditionalFormatting>
  <conditionalFormatting sqref="P180:Q214 U204:V204 P217:Q221">
    <cfRule type="containsText" dxfId="9" priority="37100" operator="containsText" text="No">
      <formula>NOT(ISERROR(SEARCH(("No"),(P180))))</formula>
    </cfRule>
  </conditionalFormatting>
  <conditionalFormatting sqref="P180:Q214 U204:V204 P217:Q221">
    <cfRule type="containsText" dxfId="9" priority="37101" operator="containsText" text="No">
      <formula>NOT(ISERROR(SEARCH(("No"),(P180))))</formula>
    </cfRule>
  </conditionalFormatting>
  <conditionalFormatting sqref="P180:Q214 U204:V204 P217:Q221">
    <cfRule type="containsText" dxfId="9" priority="37102" operator="containsText" text="No">
      <formula>NOT(ISERROR(SEARCH(("No"),(P180))))</formula>
    </cfRule>
  </conditionalFormatting>
  <conditionalFormatting sqref="P180:Q214 U204:V204 P217:Q221">
    <cfRule type="containsText" dxfId="9" priority="37103" operator="containsText" text="No">
      <formula>NOT(ISERROR(SEARCH(("No"),(P180))))</formula>
    </cfRule>
  </conditionalFormatting>
  <conditionalFormatting sqref="P180:Q214 U204:V204 P217:Q221">
    <cfRule type="containsText" dxfId="9" priority="37104" operator="containsText" text="No">
      <formula>NOT(ISERROR(SEARCH(("No"),(P180))))</formula>
    </cfRule>
  </conditionalFormatting>
  <conditionalFormatting sqref="P180:Q214 U204:V204 P217:Q221">
    <cfRule type="containsText" dxfId="9" priority="37105" operator="containsText" text="No">
      <formula>NOT(ISERROR(SEARCH(("No"),(P180))))</formula>
    </cfRule>
  </conditionalFormatting>
  <conditionalFormatting sqref="P180:Q214 U204:V204 P217:Q221">
    <cfRule type="containsText" dxfId="9" priority="37106" operator="containsText" text="No">
      <formula>NOT(ISERROR(SEARCH(("No"),(P180))))</formula>
    </cfRule>
  </conditionalFormatting>
  <conditionalFormatting sqref="P180:Q214 U204:V204 P217:Q221">
    <cfRule type="containsText" dxfId="9" priority="37107" operator="containsText" text="No">
      <formula>NOT(ISERROR(SEARCH(("No"),(P180))))</formula>
    </cfRule>
  </conditionalFormatting>
  <conditionalFormatting sqref="P180:Q214 U204:V204 P217:Q221">
    <cfRule type="containsText" dxfId="9" priority="37108" operator="containsText" text="No">
      <formula>NOT(ISERROR(SEARCH(("No"),(P180))))</formula>
    </cfRule>
  </conditionalFormatting>
  <conditionalFormatting sqref="P180:Q214 U204:V204 P217:Q221">
    <cfRule type="containsText" dxfId="9" priority="37109" operator="containsText" text="No">
      <formula>NOT(ISERROR(SEARCH(("No"),(P180))))</formula>
    </cfRule>
  </conditionalFormatting>
  <conditionalFormatting sqref="P180:Q214 U204:V204 P217:Q221">
    <cfRule type="containsText" dxfId="9" priority="37110" operator="containsText" text="No">
      <formula>NOT(ISERROR(SEARCH(("No"),(P180))))</formula>
    </cfRule>
  </conditionalFormatting>
  <conditionalFormatting sqref="P180:Q214 U204:V204 P217:Q221">
    <cfRule type="containsText" dxfId="9" priority="37111" operator="containsText" text="No">
      <formula>NOT(ISERROR(SEARCH(("No"),(P180))))</formula>
    </cfRule>
  </conditionalFormatting>
  <conditionalFormatting sqref="P180:Q214 U204:V204 P217:Q221">
    <cfRule type="containsText" dxfId="9" priority="37112" operator="containsText" text="No">
      <formula>NOT(ISERROR(SEARCH(("No"),(P180))))</formula>
    </cfRule>
  </conditionalFormatting>
  <conditionalFormatting sqref="P180:Q214 U204:V204 P217:Q221">
    <cfRule type="containsText" dxfId="9" priority="37113" operator="containsText" text="No">
      <formula>NOT(ISERROR(SEARCH(("No"),(P180))))</formula>
    </cfRule>
  </conditionalFormatting>
  <conditionalFormatting sqref="P180:Q214 U204:V204 P217:Q221">
    <cfRule type="containsText" dxfId="9" priority="37114" operator="containsText" text="No">
      <formula>NOT(ISERROR(SEARCH(("No"),(P180))))</formula>
    </cfRule>
  </conditionalFormatting>
  <conditionalFormatting sqref="P180:Q214 U204:V204 P217:Q221">
    <cfRule type="containsText" dxfId="9" priority="37115" operator="containsText" text="No">
      <formula>NOT(ISERROR(SEARCH(("No"),(P180))))</formula>
    </cfRule>
  </conditionalFormatting>
  <conditionalFormatting sqref="P180:Q214 U204:V204 P217:Q221">
    <cfRule type="containsText" dxfId="9" priority="37116" operator="containsText" text="No">
      <formula>NOT(ISERROR(SEARCH(("No"),(P180))))</formula>
    </cfRule>
  </conditionalFormatting>
  <conditionalFormatting sqref="P180:Q214 U204:V204 P217:Q221">
    <cfRule type="containsText" dxfId="9" priority="37117" operator="containsText" text="No">
      <formula>NOT(ISERROR(SEARCH(("No"),(P180))))</formula>
    </cfRule>
  </conditionalFormatting>
  <conditionalFormatting sqref="P180:Q214 U204:V204 P217:Q221">
    <cfRule type="containsText" dxfId="9" priority="37118" operator="containsText" text="No">
      <formula>NOT(ISERROR(SEARCH(("No"),(P180))))</formula>
    </cfRule>
  </conditionalFormatting>
  <conditionalFormatting sqref="P180:Q214 U204:V204 P217:Q221">
    <cfRule type="containsText" dxfId="9" priority="37119" operator="containsText" text="No">
      <formula>NOT(ISERROR(SEARCH(("No"),(P180))))</formula>
    </cfRule>
  </conditionalFormatting>
  <conditionalFormatting sqref="P180:Q214 U204:V204 P217:Q221">
    <cfRule type="containsText" dxfId="9" priority="37120" operator="containsText" text="No">
      <formula>NOT(ISERROR(SEARCH(("No"),(P180))))</formula>
    </cfRule>
  </conditionalFormatting>
  <conditionalFormatting sqref="P180:Q214 U204:V204 P217:Q221">
    <cfRule type="containsText" dxfId="9" priority="37121" operator="containsText" text="No">
      <formula>NOT(ISERROR(SEARCH(("No"),(P180))))</formula>
    </cfRule>
  </conditionalFormatting>
  <conditionalFormatting sqref="P180:Q214 U204:V204 P217:Q221">
    <cfRule type="containsText" dxfId="9" priority="37122" operator="containsText" text="No">
      <formula>NOT(ISERROR(SEARCH(("No"),(P180))))</formula>
    </cfRule>
  </conditionalFormatting>
  <conditionalFormatting sqref="P180:Q214 U204:V204 P217:Q221">
    <cfRule type="containsText" dxfId="9" priority="37123" operator="containsText" text="No">
      <formula>NOT(ISERROR(SEARCH(("No"),(P180))))</formula>
    </cfRule>
  </conditionalFormatting>
  <conditionalFormatting sqref="P180:Q214 U204:V204 P217:Q221">
    <cfRule type="containsText" dxfId="9" priority="37124" operator="containsText" text="No">
      <formula>NOT(ISERROR(SEARCH(("No"),(P180))))</formula>
    </cfRule>
  </conditionalFormatting>
  <conditionalFormatting sqref="P180:Q214 U204:V204 P217:Q221">
    <cfRule type="containsText" dxfId="9" priority="37125" operator="containsText" text="No">
      <formula>NOT(ISERROR(SEARCH(("No"),(P180))))</formula>
    </cfRule>
  </conditionalFormatting>
  <conditionalFormatting sqref="P180:Q214 U204:V204 P217:Q221">
    <cfRule type="containsText" dxfId="9" priority="37126" operator="containsText" text="No">
      <formula>NOT(ISERROR(SEARCH(("No"),(P180))))</formula>
    </cfRule>
  </conditionalFormatting>
  <conditionalFormatting sqref="P180:Q214 U204:V204 P217:Q221">
    <cfRule type="containsText" dxfId="9" priority="37127" operator="containsText" text="No">
      <formula>NOT(ISERROR(SEARCH(("No"),(P180))))</formula>
    </cfRule>
  </conditionalFormatting>
  <conditionalFormatting sqref="P180:Q214 U204:V204 P217:Q221">
    <cfRule type="containsText" dxfId="9" priority="37128" operator="containsText" text="No">
      <formula>NOT(ISERROR(SEARCH(("No"),(P180))))</formula>
    </cfRule>
  </conditionalFormatting>
  <conditionalFormatting sqref="P180:Q214 U204:V204 P217:Q221">
    <cfRule type="containsText" dxfId="9" priority="37129" operator="containsText" text="No">
      <formula>NOT(ISERROR(SEARCH(("No"),(P180))))</formula>
    </cfRule>
  </conditionalFormatting>
  <conditionalFormatting sqref="P180:Q214 U204:V204 P217:Q221">
    <cfRule type="containsText" dxfId="9" priority="37130" operator="containsText" text="No">
      <formula>NOT(ISERROR(SEARCH(("No"),(P180))))</formula>
    </cfRule>
  </conditionalFormatting>
  <conditionalFormatting sqref="P180:Q214 U204:V204 P217:Q221">
    <cfRule type="containsText" dxfId="9" priority="37131" operator="containsText" text="No">
      <formula>NOT(ISERROR(SEARCH(("No"),(P180))))</formula>
    </cfRule>
  </conditionalFormatting>
  <conditionalFormatting sqref="P180:Q214 U204:V204 P217:Q221">
    <cfRule type="containsText" dxfId="9" priority="37132" operator="containsText" text="No">
      <formula>NOT(ISERROR(SEARCH(("No"),(P180))))</formula>
    </cfRule>
  </conditionalFormatting>
  <conditionalFormatting sqref="P180:Q214 U204:V204 P217:Q221">
    <cfRule type="containsText" dxfId="9" priority="37133" operator="containsText" text="No">
      <formula>NOT(ISERROR(SEARCH(("No"),(P180))))</formula>
    </cfRule>
  </conditionalFormatting>
  <conditionalFormatting sqref="P180:Q214 U204:V204 P217:Q221">
    <cfRule type="containsText" dxfId="9" priority="37134" operator="containsText" text="No">
      <formula>NOT(ISERROR(SEARCH(("No"),(P180))))</formula>
    </cfRule>
  </conditionalFormatting>
  <conditionalFormatting sqref="P180:Q214 U204:V204 P217:Q221">
    <cfRule type="containsText" dxfId="9" priority="37135" operator="containsText" text="No">
      <formula>NOT(ISERROR(SEARCH(("No"),(P180))))</formula>
    </cfRule>
  </conditionalFormatting>
  <conditionalFormatting sqref="P180:Q214 U204:V204 P217:Q221">
    <cfRule type="containsText" dxfId="9" priority="37136" operator="containsText" text="No">
      <formula>NOT(ISERROR(SEARCH(("No"),(P180))))</formula>
    </cfRule>
  </conditionalFormatting>
  <conditionalFormatting sqref="P180:Q214 U204:V204 P217:Q221">
    <cfRule type="containsText" dxfId="2" priority="37137" operator="containsText" text="Yes">
      <formula>NOT(ISERROR(SEARCH(("Yes"),(P180))))</formula>
    </cfRule>
  </conditionalFormatting>
  <conditionalFormatting sqref="P180:Q214 U204:V204 P217:Q221">
    <cfRule type="containsText" dxfId="2" priority="37138" operator="containsText" text="Yes">
      <formula>NOT(ISERROR(SEARCH(("Yes"),(P180))))</formula>
    </cfRule>
  </conditionalFormatting>
  <conditionalFormatting sqref="P180:Q214 U204:V204 P217:Q221">
    <cfRule type="containsText" dxfId="2" priority="37139" operator="containsText" text="Yes">
      <formula>NOT(ISERROR(SEARCH(("Yes"),(P180))))</formula>
    </cfRule>
  </conditionalFormatting>
  <conditionalFormatting sqref="P180:Q214 U204:V204 P217:Q221">
    <cfRule type="containsText" dxfId="2" priority="37140" operator="containsText" text="Yes">
      <formula>NOT(ISERROR(SEARCH(("Yes"),(P180))))</formula>
    </cfRule>
  </conditionalFormatting>
  <conditionalFormatting sqref="P180:Q214 U204:V204 P217:Q221">
    <cfRule type="containsText" dxfId="2" priority="37141" operator="containsText" text="Yes">
      <formula>NOT(ISERROR(SEARCH(("Yes"),(P180))))</formula>
    </cfRule>
  </conditionalFormatting>
  <conditionalFormatting sqref="P180:Q214 U204:V204 P217:Q221">
    <cfRule type="containsText" dxfId="2" priority="37142" operator="containsText" text="Yes">
      <formula>NOT(ISERROR(SEARCH(("Yes"),(P180))))</formula>
    </cfRule>
  </conditionalFormatting>
  <conditionalFormatting sqref="P180:Q214 U204:V204 P217:Q221">
    <cfRule type="containsText" dxfId="2" priority="37143" operator="containsText" text="Yes">
      <formula>NOT(ISERROR(SEARCH(("Yes"),(P180))))</formula>
    </cfRule>
  </conditionalFormatting>
  <conditionalFormatting sqref="P180:Q214 U204:V204 P217:Q221">
    <cfRule type="containsText" dxfId="2" priority="37144" operator="containsText" text="Yes">
      <formula>NOT(ISERROR(SEARCH(("Yes"),(P180))))</formula>
    </cfRule>
  </conditionalFormatting>
  <conditionalFormatting sqref="P180:Q214 U204:V204 P217:Q221">
    <cfRule type="containsText" dxfId="2" priority="37145" operator="containsText" text="Yes">
      <formula>NOT(ISERROR(SEARCH(("Yes"),(P180))))</formula>
    </cfRule>
  </conditionalFormatting>
  <conditionalFormatting sqref="P180:Q214 U204:V204 P217:Q221">
    <cfRule type="containsText" dxfId="2" priority="37146" operator="containsText" text="Yes">
      <formula>NOT(ISERROR(SEARCH(("Yes"),(P180))))</formula>
    </cfRule>
  </conditionalFormatting>
  <conditionalFormatting sqref="P180:Q214 U204:V204 P217:Q221">
    <cfRule type="containsText" dxfId="2" priority="37147" operator="containsText" text="Yes">
      <formula>NOT(ISERROR(SEARCH(("Yes"),(P180))))</formula>
    </cfRule>
  </conditionalFormatting>
  <conditionalFormatting sqref="P180:Q214 U204:V204 P217:Q221">
    <cfRule type="containsText" dxfId="2" priority="37148" operator="containsText" text="Yes">
      <formula>NOT(ISERROR(SEARCH(("Yes"),(P180))))</formula>
    </cfRule>
  </conditionalFormatting>
  <conditionalFormatting sqref="P180:Q214 U204:V204 P217:Q221">
    <cfRule type="containsText" dxfId="2" priority="37149" operator="containsText" text="Yes">
      <formula>NOT(ISERROR(SEARCH(("Yes"),(P180))))</formula>
    </cfRule>
  </conditionalFormatting>
  <conditionalFormatting sqref="P180:Q214 U204:V204 P217:Q221">
    <cfRule type="containsText" dxfId="2" priority="37150" operator="containsText" text="Yes">
      <formula>NOT(ISERROR(SEARCH(("Yes"),(P180))))</formula>
    </cfRule>
  </conditionalFormatting>
  <conditionalFormatting sqref="P180:Q214 U204:V204 P217:Q221">
    <cfRule type="containsText" dxfId="2" priority="37151" operator="containsText" text="Yes">
      <formula>NOT(ISERROR(SEARCH(("Yes"),(P180))))</formula>
    </cfRule>
  </conditionalFormatting>
  <conditionalFormatting sqref="P180:Q214 U204:V204 P217:Q221">
    <cfRule type="containsText" dxfId="2" priority="37152" operator="containsText" text="Yes">
      <formula>NOT(ISERROR(SEARCH(("Yes"),(P180))))</formula>
    </cfRule>
  </conditionalFormatting>
  <conditionalFormatting sqref="P180:Q214 U204:V204 P217:Q221">
    <cfRule type="containsText" dxfId="2" priority="37153" operator="containsText" text="Yes">
      <formula>NOT(ISERROR(SEARCH(("Yes"),(P180))))</formula>
    </cfRule>
  </conditionalFormatting>
  <conditionalFormatting sqref="P180:Q214 U204:V204 P217:Q221">
    <cfRule type="containsText" dxfId="2" priority="37154" operator="containsText" text="Yes">
      <formula>NOT(ISERROR(SEARCH(("Yes"),(P180))))</formula>
    </cfRule>
  </conditionalFormatting>
  <conditionalFormatting sqref="P180:Q214 U204:V204 P217:Q221">
    <cfRule type="containsText" dxfId="2" priority="37155" operator="containsText" text="Yes">
      <formula>NOT(ISERROR(SEARCH(("Yes"),(P180))))</formula>
    </cfRule>
  </conditionalFormatting>
  <conditionalFormatting sqref="P180:Q214 U204:V204 P217:Q221">
    <cfRule type="containsText" dxfId="2" priority="37156" operator="containsText" text="Yes">
      <formula>NOT(ISERROR(SEARCH(("Yes"),(P180))))</formula>
    </cfRule>
  </conditionalFormatting>
  <conditionalFormatting sqref="P180:Q214 U204:V204 P217:Q221">
    <cfRule type="containsText" dxfId="2" priority="37157" operator="containsText" text="Yes">
      <formula>NOT(ISERROR(SEARCH(("Yes"),(P180))))</formula>
    </cfRule>
  </conditionalFormatting>
  <conditionalFormatting sqref="P180:Q214 U204:V204 P217:Q221">
    <cfRule type="containsText" dxfId="2" priority="37158" operator="containsText" text="Yes">
      <formula>NOT(ISERROR(SEARCH(("Yes"),(P180))))</formula>
    </cfRule>
  </conditionalFormatting>
  <conditionalFormatting sqref="P180:Q214 U204:V204 P217:Q221">
    <cfRule type="containsText" dxfId="2" priority="37159" operator="containsText" text="Yes">
      <formula>NOT(ISERROR(SEARCH(("Yes"),(P180))))</formula>
    </cfRule>
  </conditionalFormatting>
  <conditionalFormatting sqref="P180:Q214 U204:V204 P217:Q221">
    <cfRule type="containsText" dxfId="2" priority="37160" operator="containsText" text="Yes">
      <formula>NOT(ISERROR(SEARCH(("Yes"),(P180))))</formula>
    </cfRule>
  </conditionalFormatting>
  <conditionalFormatting sqref="P180:Q214 U204:V204 P217:Q221">
    <cfRule type="containsText" dxfId="2" priority="37161" operator="containsText" text="Yes">
      <formula>NOT(ISERROR(SEARCH(("Yes"),(P180))))</formula>
    </cfRule>
  </conditionalFormatting>
  <conditionalFormatting sqref="P180:Q214 U204:V204 P217:Q221">
    <cfRule type="containsText" dxfId="2" priority="37162" operator="containsText" text="Yes">
      <formula>NOT(ISERROR(SEARCH(("Yes"),(P180))))</formula>
    </cfRule>
  </conditionalFormatting>
  <conditionalFormatting sqref="P180:Q214 U204:V204 P217:Q221">
    <cfRule type="containsText" dxfId="2" priority="37163" operator="containsText" text="Yes">
      <formula>NOT(ISERROR(SEARCH(("Yes"),(P180))))</formula>
    </cfRule>
  </conditionalFormatting>
  <conditionalFormatting sqref="P180:Q214 U204:V204 P217:Q221">
    <cfRule type="containsText" dxfId="2" priority="37164" operator="containsText" text="Yes">
      <formula>NOT(ISERROR(SEARCH(("Yes"),(P180))))</formula>
    </cfRule>
  </conditionalFormatting>
  <conditionalFormatting sqref="P180:Q214 U204:V204 P217:Q221">
    <cfRule type="containsText" dxfId="2" priority="37165" operator="containsText" text="Yes">
      <formula>NOT(ISERROR(SEARCH(("Yes"),(P180))))</formula>
    </cfRule>
  </conditionalFormatting>
  <conditionalFormatting sqref="P180:Q214 U204:V204 P217:Q221">
    <cfRule type="containsText" dxfId="2" priority="37166" operator="containsText" text="Yes">
      <formula>NOT(ISERROR(SEARCH(("Yes"),(P180))))</formula>
    </cfRule>
  </conditionalFormatting>
  <conditionalFormatting sqref="P180:Q214 U204:V204 P217:Q221">
    <cfRule type="containsText" dxfId="2" priority="37167" operator="containsText" text="Yes">
      <formula>NOT(ISERROR(SEARCH(("Yes"),(P180))))</formula>
    </cfRule>
  </conditionalFormatting>
  <conditionalFormatting sqref="P180:Q214 U204:V204 P217:Q221">
    <cfRule type="containsText" dxfId="2" priority="37168" operator="containsText" text="Yes">
      <formula>NOT(ISERROR(SEARCH(("Yes"),(P180))))</formula>
    </cfRule>
  </conditionalFormatting>
  <conditionalFormatting sqref="P180:Q214 U204:V204 P217:Q221">
    <cfRule type="containsText" dxfId="2" priority="37169" operator="containsText" text="Yes">
      <formula>NOT(ISERROR(SEARCH(("Yes"),(P180))))</formula>
    </cfRule>
  </conditionalFormatting>
  <conditionalFormatting sqref="P180:Q214 U204:V204 P217:Q221">
    <cfRule type="containsText" dxfId="2" priority="37170" operator="containsText" text="Yes">
      <formula>NOT(ISERROR(SEARCH(("Yes"),(P180))))</formula>
    </cfRule>
  </conditionalFormatting>
  <conditionalFormatting sqref="P180:Q214 U204:V204 P217:Q221">
    <cfRule type="containsText" dxfId="2" priority="37171" operator="containsText" text="Yes">
      <formula>NOT(ISERROR(SEARCH(("Yes"),(P180))))</formula>
    </cfRule>
  </conditionalFormatting>
  <conditionalFormatting sqref="P180:Q214 U204:V204 P217:Q221">
    <cfRule type="containsText" dxfId="2" priority="37172" operator="containsText" text="Yes">
      <formula>NOT(ISERROR(SEARCH(("Yes"),(P180))))</formula>
    </cfRule>
  </conditionalFormatting>
  <conditionalFormatting sqref="P180:Q214 U204:V204 P217:Q221">
    <cfRule type="containsText" dxfId="2" priority="37173" operator="containsText" text="Yes">
      <formula>NOT(ISERROR(SEARCH(("Yes"),(P180))))</formula>
    </cfRule>
  </conditionalFormatting>
  <conditionalFormatting sqref="P180:Q214 U204:V204 P217:Q221">
    <cfRule type="containsText" dxfId="2" priority="37174" operator="containsText" text="Yes">
      <formula>NOT(ISERROR(SEARCH(("Yes"),(P180))))</formula>
    </cfRule>
  </conditionalFormatting>
  <conditionalFormatting sqref="P180:Q214 U204:V204 P217:Q221">
    <cfRule type="containsText" dxfId="2" priority="37175" operator="containsText" text="Yes">
      <formula>NOT(ISERROR(SEARCH(("Yes"),(P180))))</formula>
    </cfRule>
  </conditionalFormatting>
  <conditionalFormatting sqref="P180:Q214 U204:V204 P217:Q221">
    <cfRule type="containsText" dxfId="2" priority="37176" operator="containsText" text="Yes">
      <formula>NOT(ISERROR(SEARCH(("Yes"),(P180))))</formula>
    </cfRule>
  </conditionalFormatting>
  <conditionalFormatting sqref="P180:Q214 U204:V204 P217:Q221">
    <cfRule type="containsText" dxfId="2" priority="37177" operator="containsText" text="Yes">
      <formula>NOT(ISERROR(SEARCH(("Yes"),(P180))))</formula>
    </cfRule>
  </conditionalFormatting>
  <conditionalFormatting sqref="P180:Q214 U204:V204 P217:Q221">
    <cfRule type="containsText" dxfId="2" priority="37178" operator="containsText" text="Yes">
      <formula>NOT(ISERROR(SEARCH(("Yes"),(P180))))</formula>
    </cfRule>
  </conditionalFormatting>
  <conditionalFormatting sqref="P180:Q214 U204:V204 P217:Q221">
    <cfRule type="containsText" dxfId="2" priority="37179" operator="containsText" text="Yes">
      <formula>NOT(ISERROR(SEARCH(("Yes"),(P180))))</formula>
    </cfRule>
  </conditionalFormatting>
  <conditionalFormatting sqref="P180:Q214 U204:V204 P217:Q221">
    <cfRule type="containsText" dxfId="2" priority="37180" operator="containsText" text="Yes">
      <formula>NOT(ISERROR(SEARCH(("Yes"),(P180))))</formula>
    </cfRule>
  </conditionalFormatting>
  <conditionalFormatting sqref="P180:Q214 U204:V204 P217:Q221">
    <cfRule type="containsText" dxfId="2" priority="37181" operator="containsText" text="Yes">
      <formula>NOT(ISERROR(SEARCH(("Yes"),(P180))))</formula>
    </cfRule>
  </conditionalFormatting>
  <conditionalFormatting sqref="P180:Q214 U204:V204 P217:Q221">
    <cfRule type="containsText" dxfId="2" priority="37182" operator="containsText" text="Yes">
      <formula>NOT(ISERROR(SEARCH(("Yes"),(P180))))</formula>
    </cfRule>
  </conditionalFormatting>
  <conditionalFormatting sqref="P180:Q214 U204:V204 P217:Q221">
    <cfRule type="containsText" dxfId="2" priority="37183" operator="containsText" text="Yes">
      <formula>NOT(ISERROR(SEARCH(("Yes"),(P180))))</formula>
    </cfRule>
  </conditionalFormatting>
  <conditionalFormatting sqref="N181:Q182 N184:Q184 N187:N216 O187:O226 N222:N226 N228:O252 N254:O256 N258:O264 N267:O269 N272:O273 N275:O275">
    <cfRule type="containsText" dxfId="9" priority="37184" operator="containsText" text="No">
      <formula>NOT(ISERROR(SEARCH(("No"),(N181))))</formula>
    </cfRule>
  </conditionalFormatting>
  <conditionalFormatting sqref="N181:Q182 N184:Q184 N187:N216 O187:O226 N222:N226 N228:O252 N254:O256 N258:O264 N267:O269 N272:O273 N275:O275">
    <cfRule type="containsText" dxfId="9" priority="37185" operator="containsText" text="No">
      <formula>NOT(ISERROR(SEARCH(("No"),(N181))))</formula>
    </cfRule>
  </conditionalFormatting>
  <conditionalFormatting sqref="N181:Q182 N184:Q184 N187:N216 O187:O226 N222:N226 N228:O252 N254:O256 N258:O264 N267:O269 N272:O273 N275:O275">
    <cfRule type="containsText" dxfId="9" priority="37186" operator="containsText" text="No">
      <formula>NOT(ISERROR(SEARCH(("No"),(N181))))</formula>
    </cfRule>
  </conditionalFormatting>
  <conditionalFormatting sqref="N181:Q182 N184:Q184 N187:N216 O187:O226 N222:N226 N228:O252 N254:O256 N258:O264 N267:O269 N272:O273 N275:O275">
    <cfRule type="containsText" dxfId="9" priority="37187" operator="containsText" text="No">
      <formula>NOT(ISERROR(SEARCH(("No"),(N181))))</formula>
    </cfRule>
  </conditionalFormatting>
  <conditionalFormatting sqref="N181:Q182 N184:Q184 N187:N216 O187:O226 N222:N226 N228:O252 N254:O256 N258:O264 N267:O269 N272:O273 N275:O275">
    <cfRule type="containsText" dxfId="9" priority="37188" operator="containsText" text="No">
      <formula>NOT(ISERROR(SEARCH(("No"),(N181))))</formula>
    </cfRule>
  </conditionalFormatting>
  <conditionalFormatting sqref="N181:Q182 N184:Q184 N187:N216 O187:O226 N222:N226 N228:O252 N254:O256 N258:O264 N267:O269 N272:O273 N275:O275">
    <cfRule type="containsText" dxfId="9" priority="37189" operator="containsText" text="No">
      <formula>NOT(ISERROR(SEARCH(("No"),(N181))))</formula>
    </cfRule>
  </conditionalFormatting>
  <conditionalFormatting sqref="N181:Q182 N184:Q184 N187:N216 O187:O226 N222:N226 N228:O252 N254:O256 N258:O264 N267:O269 N272:O273 N275:O275">
    <cfRule type="containsText" dxfId="9" priority="37190" operator="containsText" text="No">
      <formula>NOT(ISERROR(SEARCH(("No"),(N181))))</formula>
    </cfRule>
  </conditionalFormatting>
  <conditionalFormatting sqref="N181:Q182 N184:Q184 N187:N216 O187:O226 N222:N226 N228:O252 N254:O256 N258:O264 N267:O269 N272:O273 N275:O275">
    <cfRule type="containsText" dxfId="9" priority="37191" operator="containsText" text="No">
      <formula>NOT(ISERROR(SEARCH(("No"),(N181))))</formula>
    </cfRule>
  </conditionalFormatting>
  <conditionalFormatting sqref="N181:Q182 N184:Q184 N187:N216 O187:O226 N222:N226 N228:O252 N254:O256 N258:O264 N267:O269 N272:O273 N275:O275">
    <cfRule type="containsText" dxfId="9" priority="37192" operator="containsText" text="No">
      <formula>NOT(ISERROR(SEARCH(("No"),(N181))))</formula>
    </cfRule>
  </conditionalFormatting>
  <conditionalFormatting sqref="N181:Q182 N184:Q184 N187:N216 O187:O226 N222:N226 N228:O252 N254:O256 N258:O264 N267:O269 N272:O273 N275:O275">
    <cfRule type="containsText" dxfId="9" priority="37193" operator="containsText" text="No">
      <formula>NOT(ISERROR(SEARCH(("No"),(N181))))</formula>
    </cfRule>
  </conditionalFormatting>
  <conditionalFormatting sqref="N181:Q182 N184:Q184 N187:N216 O187:O226 N222:N226 N228:O252 N254:O256 N258:O264 N267:O269 N272:O273 N275:O275">
    <cfRule type="containsText" dxfId="9" priority="37194" operator="containsText" text="No">
      <formula>NOT(ISERROR(SEARCH(("No"),(N181))))</formula>
    </cfRule>
  </conditionalFormatting>
  <conditionalFormatting sqref="N181:Q182 N184:Q184 N187:N216 O187:O226 N222:N226 N228:O252 N254:O256 N258:O264 N267:O269 N272:O273 N275:O275">
    <cfRule type="containsText" dxfId="9" priority="37195" operator="containsText" text="No">
      <formula>NOT(ISERROR(SEARCH(("No"),(N181))))</formula>
    </cfRule>
  </conditionalFormatting>
  <conditionalFormatting sqref="N181:Q182 N184:Q184 N187:N216 O187:O226 N222:N226 N228:O252 N254:O256 N258:O264 N267:O269 N272:O273 N275:O275">
    <cfRule type="containsText" dxfId="9" priority="37196" operator="containsText" text="No">
      <formula>NOT(ISERROR(SEARCH(("No"),(N181))))</formula>
    </cfRule>
  </conditionalFormatting>
  <conditionalFormatting sqref="N181:Q182 N184:Q184 N187:N216 O187:O226 N222:N226 N228:O252 N254:O256 N258:O264 N267:O269 N272:O273 N275:O275">
    <cfRule type="containsText" dxfId="9" priority="37197" operator="containsText" text="No">
      <formula>NOT(ISERROR(SEARCH(("No"),(N181))))</formula>
    </cfRule>
  </conditionalFormatting>
  <conditionalFormatting sqref="N181:Q182 N184:Q184 N187:N216 O187:O226 N222:N226 N228:O252 N254:O256 N258:O264 N267:O269 N272:O273 N275:O275">
    <cfRule type="containsText" dxfId="9" priority="37198" operator="containsText" text="No">
      <formula>NOT(ISERROR(SEARCH(("No"),(N181))))</formula>
    </cfRule>
  </conditionalFormatting>
  <conditionalFormatting sqref="N181:Q182 N184:Q184 N187:N216 O187:O226 N222:N226 N228:O252 N254:O256 N258:O264 N267:O269 N272:O273 N275:O275">
    <cfRule type="containsText" dxfId="9" priority="37199" operator="containsText" text="No">
      <formula>NOT(ISERROR(SEARCH(("No"),(N181))))</formula>
    </cfRule>
  </conditionalFormatting>
  <conditionalFormatting sqref="N181:Q182 N184:Q184 N187:N216 O187:O226 N222:N226 N228:O252 N254:O256 N258:O264 N267:O269 N272:O273 N275:O275">
    <cfRule type="containsText" dxfId="9" priority="37200" operator="containsText" text="No">
      <formula>NOT(ISERROR(SEARCH(("No"),(N181))))</formula>
    </cfRule>
  </conditionalFormatting>
  <conditionalFormatting sqref="N181:Q182 N184:Q184 N187:N216 O187:O226 N222:N226 N228:O252 N254:O256 N258:O264 N267:O269 N272:O273 N275:O275">
    <cfRule type="containsText" dxfId="9" priority="37201" operator="containsText" text="No">
      <formula>NOT(ISERROR(SEARCH(("No"),(N181))))</formula>
    </cfRule>
  </conditionalFormatting>
  <conditionalFormatting sqref="N181:Q182 N184:Q184 N187:N216 O187:O226 N222:N226 N228:O252 N254:O256 N258:O264 N267:O269 N272:O273 N275:O275">
    <cfRule type="containsText" dxfId="9" priority="37202" operator="containsText" text="No">
      <formula>NOT(ISERROR(SEARCH(("No"),(N181))))</formula>
    </cfRule>
  </conditionalFormatting>
  <conditionalFormatting sqref="N181:Q182 N184:Q184 N187:N216 O187:O226 N222:N226 N228:O252 N254:O256 N258:O264 N267:O269 N272:O273 N275:O275">
    <cfRule type="containsText" dxfId="9" priority="37203" operator="containsText" text="No">
      <formula>NOT(ISERROR(SEARCH(("No"),(N181))))</formula>
    </cfRule>
  </conditionalFormatting>
  <conditionalFormatting sqref="N181:Q182 N184:Q184 N187:N216 O187:O226 N222:N226 N228:O252 N254:O256 N258:O264 N267:O269 N272:O273 N275:O275">
    <cfRule type="containsText" dxfId="9" priority="37204" operator="containsText" text="No">
      <formula>NOT(ISERROR(SEARCH(("No"),(N181))))</formula>
    </cfRule>
  </conditionalFormatting>
  <conditionalFormatting sqref="N181:Q182 N184:Q184 N187:N216 O187:O226 N222:N226 N228:O252 N254:O256 N258:O264 N267:O269 N272:O273 N275:O275">
    <cfRule type="containsText" dxfId="9" priority="37205" operator="containsText" text="No">
      <formula>NOT(ISERROR(SEARCH(("No"),(N181))))</formula>
    </cfRule>
  </conditionalFormatting>
  <conditionalFormatting sqref="N181:Q182 N184:Q184 N187:N216 O187:O226 N222:N226 N228:O252 N254:O256 N258:O264 N267:O269 N272:O273 N275:O275">
    <cfRule type="containsText" dxfId="9" priority="37206" operator="containsText" text="No">
      <formula>NOT(ISERROR(SEARCH(("No"),(N181))))</formula>
    </cfRule>
  </conditionalFormatting>
  <conditionalFormatting sqref="N181:Q182 N184:Q184 N187:N216 O187:O226 N222:N226 N228:O252 N254:O256 N258:O264 N267:O269 N272:O273 N275:O275">
    <cfRule type="containsText" dxfId="9" priority="37207" operator="containsText" text="No">
      <formula>NOT(ISERROR(SEARCH(("No"),(N181))))</formula>
    </cfRule>
  </conditionalFormatting>
  <conditionalFormatting sqref="N181:Q182 N184:Q184 N187:N216 O187:O226 N222:N226 N228:O252 N254:O256 N258:O264 N267:O269 N272:O273 N275:O275">
    <cfRule type="containsText" dxfId="9" priority="37208" operator="containsText" text="No">
      <formula>NOT(ISERROR(SEARCH(("No"),(N181))))</formula>
    </cfRule>
  </conditionalFormatting>
  <conditionalFormatting sqref="N181:Q182 N184:Q184 N187:N216 O187:O226 N222:N226 N228:O252 N254:O256 N258:O264 N267:O269 N272:O273 N275:O275">
    <cfRule type="containsText" dxfId="9" priority="37209" operator="containsText" text="No">
      <formula>NOT(ISERROR(SEARCH(("No"),(N181))))</formula>
    </cfRule>
  </conditionalFormatting>
  <conditionalFormatting sqref="N181:Q182 N184:Q184 N187:N216 O187:O226 N222:N226 N228:O252 N254:O256 N258:O264 N267:O269 N272:O273 N275:O275">
    <cfRule type="containsText" dxfId="9" priority="37210" operator="containsText" text="No">
      <formula>NOT(ISERROR(SEARCH(("No"),(N181))))</formula>
    </cfRule>
  </conditionalFormatting>
  <conditionalFormatting sqref="N181:Q182 N184:Q184 N187:N216 O187:O226 N222:N226 N228:O252 N254:O256 N258:O264 N267:O269 N272:O273 N275:O275">
    <cfRule type="containsText" dxfId="9" priority="37211" operator="containsText" text="No">
      <formula>NOT(ISERROR(SEARCH(("No"),(N181))))</formula>
    </cfRule>
  </conditionalFormatting>
  <conditionalFormatting sqref="N181:Q182 N184:Q184 N187:N216 O187:O226 N222:N226 N228:O252 N254:O256 N258:O264 N267:O269 N272:O273 N275:O275">
    <cfRule type="containsText" dxfId="9" priority="37212" operator="containsText" text="No">
      <formula>NOT(ISERROR(SEARCH(("No"),(N181))))</formula>
    </cfRule>
  </conditionalFormatting>
  <conditionalFormatting sqref="N181:Q182 N184:Q184 N187:N216 O187:O226 N222:N226 N228:O252 N254:O256 N258:O264 N267:O269 N272:O273 N275:O275">
    <cfRule type="containsText" dxfId="9" priority="37213" operator="containsText" text="No">
      <formula>NOT(ISERROR(SEARCH(("No"),(N181))))</formula>
    </cfRule>
  </conditionalFormatting>
  <conditionalFormatting sqref="N181:Q182 N184:Q184 N187:N216 O187:O226 N222:N226 N228:O252 N254:O256 N258:O264 N267:O269 N272:O273 N275:O275">
    <cfRule type="containsText" dxfId="9" priority="37214" operator="containsText" text="No">
      <formula>NOT(ISERROR(SEARCH(("No"),(N181))))</formula>
    </cfRule>
  </conditionalFormatting>
  <conditionalFormatting sqref="N181:Q182 N184:Q184 N187:N216 O187:O226 N222:N226 N228:O252 N254:O256 N258:O264 N267:O269 N272:O273 N275:O275">
    <cfRule type="containsText" dxfId="9" priority="37215" operator="containsText" text="No">
      <formula>NOT(ISERROR(SEARCH(("No"),(N181))))</formula>
    </cfRule>
  </conditionalFormatting>
  <conditionalFormatting sqref="N181:Q182 N184:Q184 N187:N216 O187:O226 N222:N226 N228:O252 N254:O256 N258:O264 N267:O269 N272:O273 N275:O275">
    <cfRule type="containsText" dxfId="9" priority="37216" operator="containsText" text="No">
      <formula>NOT(ISERROR(SEARCH(("No"),(N181))))</formula>
    </cfRule>
  </conditionalFormatting>
  <conditionalFormatting sqref="N181:Q182 N184:Q184 N187:N216 O187:O226 N222:N226 N228:O252 N254:O256 N258:O264 N267:O269 N272:O273 N275:O275">
    <cfRule type="containsText" dxfId="9" priority="37217" operator="containsText" text="No">
      <formula>NOT(ISERROR(SEARCH(("No"),(N181))))</formula>
    </cfRule>
  </conditionalFormatting>
  <conditionalFormatting sqref="N181:Q182 N184:Q184 N187:N216 O187:O226 N222:N226 N228:O252 N254:O256 N258:O264 N267:O269 N272:O273 N275:O275">
    <cfRule type="containsText" dxfId="9" priority="37218" operator="containsText" text="No">
      <formula>NOT(ISERROR(SEARCH(("No"),(N181))))</formula>
    </cfRule>
  </conditionalFormatting>
  <conditionalFormatting sqref="N181:Q182 N184:Q184 N187:N216 O187:O226 N222:N226 N228:O252 N254:O256 N258:O264 N267:O269 N272:O273 N275:O275">
    <cfRule type="containsText" dxfId="9" priority="37219" operator="containsText" text="No">
      <formula>NOT(ISERROR(SEARCH(("No"),(N181))))</formula>
    </cfRule>
  </conditionalFormatting>
  <conditionalFormatting sqref="N181:Q182 N184:Q184 N187:N216 O187:O226 N222:N226 N228:O252 N254:O256 N258:O264 N267:O269 N272:O273 N275:O275">
    <cfRule type="containsText" dxfId="9" priority="37220" operator="containsText" text="No">
      <formula>NOT(ISERROR(SEARCH(("No"),(N181))))</formula>
    </cfRule>
  </conditionalFormatting>
  <conditionalFormatting sqref="N181:Q182 N184:Q184 N187:N216 O187:O226 N222:N226 N228:O252 N254:O256 N258:O264 N267:O269 N272:O273 N275:O275">
    <cfRule type="containsText" dxfId="9" priority="37221" operator="containsText" text="No">
      <formula>NOT(ISERROR(SEARCH(("No"),(N181))))</formula>
    </cfRule>
  </conditionalFormatting>
  <conditionalFormatting sqref="N181:Q182 N184:Q184 N187:N216 O187:O226 N222:N226 N228:O252 N254:O256 N258:O264 N267:O269 N272:O273 N275:O275">
    <cfRule type="containsText" dxfId="9" priority="37222" operator="containsText" text="No">
      <formula>NOT(ISERROR(SEARCH(("No"),(N181))))</formula>
    </cfRule>
  </conditionalFormatting>
  <conditionalFormatting sqref="N181:Q182 N184:Q184 N187:N216 O187:O226 N222:N226 N228:O252 N254:O256 N258:O264 N267:O269 N272:O273 N275:O275">
    <cfRule type="containsText" dxfId="9" priority="37223" operator="containsText" text="No">
      <formula>NOT(ISERROR(SEARCH(("No"),(N181))))</formula>
    </cfRule>
  </conditionalFormatting>
  <conditionalFormatting sqref="N181:Q182 N184:Q184 N187:N216 O187:O226 N222:N226 N228:O252 N254:O256 N258:O264 N267:O269 N272:O273 N275:O275">
    <cfRule type="containsText" dxfId="9" priority="37224" operator="containsText" text="No">
      <formula>NOT(ISERROR(SEARCH(("No"),(N181))))</formula>
    </cfRule>
  </conditionalFormatting>
  <conditionalFormatting sqref="N181:Q182 N184:Q184 N187:N216 O187:O226 N222:N226 N228:O252 N254:O256 N258:O264 N267:O269 N272:O273 N275:O275">
    <cfRule type="containsText" dxfId="9" priority="37225" operator="containsText" text="No">
      <formula>NOT(ISERROR(SEARCH(("No"),(N181))))</formula>
    </cfRule>
  </conditionalFormatting>
  <conditionalFormatting sqref="N181:Q182 N184:Q184 N187:N216 O187:O226 N222:N226 N228:O252 N254:O256 N258:O264 N267:O269 N272:O273 N275:O275">
    <cfRule type="containsText" dxfId="9" priority="37226" operator="containsText" text="No">
      <formula>NOT(ISERROR(SEARCH(("No"),(N181))))</formula>
    </cfRule>
  </conditionalFormatting>
  <conditionalFormatting sqref="N181:Q182 N184:Q184 N187:N216 O187:O226 N222:N226 N228:O252 N254:O256 N258:O264 N267:O269 N272:O273 N275:O275">
    <cfRule type="containsText" dxfId="9" priority="37227" operator="containsText" text="No">
      <formula>NOT(ISERROR(SEARCH(("No"),(N181))))</formula>
    </cfRule>
  </conditionalFormatting>
  <conditionalFormatting sqref="N181:Q182 N184:Q184 N187:N216 O187:O226 N222:N226 N228:O252 N254:O256 N258:O264 N267:O269 N272:O273 N275:O275">
    <cfRule type="containsText" dxfId="9" priority="37228" operator="containsText" text="No">
      <formula>NOT(ISERROR(SEARCH(("No"),(N181))))</formula>
    </cfRule>
  </conditionalFormatting>
  <conditionalFormatting sqref="N181:Q182 N184:Q184 N187:N216 O187:O226 N222:N226 N228:O252 N254:O256 N258:O264 N267:O269 N272:O273 N275:O275">
    <cfRule type="containsText" dxfId="2" priority="37229" operator="containsText" text="Yes">
      <formula>NOT(ISERROR(SEARCH(("Yes"),(N181))))</formula>
    </cfRule>
  </conditionalFormatting>
  <conditionalFormatting sqref="N181:Q182 N184:Q184 N187:N216 O187:O226 N222:N226 N228:O252 N254:O256 N258:O264 N267:O269 N272:O273 N275:O275">
    <cfRule type="containsText" dxfId="2" priority="37230" operator="containsText" text="Yes">
      <formula>NOT(ISERROR(SEARCH(("Yes"),(N181))))</formula>
    </cfRule>
  </conditionalFormatting>
  <conditionalFormatting sqref="N181:Q182 N184:Q184 N187:N216 O187:O226 N222:N226 N228:O252 N254:O256 N258:O264 N267:O269 N272:O273 N275:O275">
    <cfRule type="containsText" dxfId="2" priority="37231" operator="containsText" text="Yes">
      <formula>NOT(ISERROR(SEARCH(("Yes"),(N181))))</formula>
    </cfRule>
  </conditionalFormatting>
  <conditionalFormatting sqref="N181:Q182 N184:Q184 N187:N216 O187:O226 N222:N226 N228:O252 N254:O256 N258:O264 N267:O269 N272:O273 N275:O275">
    <cfRule type="containsText" dxfId="2" priority="37232" operator="containsText" text="Yes">
      <formula>NOT(ISERROR(SEARCH(("Yes"),(N181))))</formula>
    </cfRule>
  </conditionalFormatting>
  <conditionalFormatting sqref="N181:Q182 N184:Q184 N187:N216 O187:O226 N222:N226 N228:O252 N254:O256 N258:O264 N267:O269 N272:O273 N275:O275">
    <cfRule type="containsText" dxfId="2" priority="37233" operator="containsText" text="Yes">
      <formula>NOT(ISERROR(SEARCH(("Yes"),(N181))))</formula>
    </cfRule>
  </conditionalFormatting>
  <conditionalFormatting sqref="N181:Q182 N184:Q184 N187:N216 O187:O226 N222:N226 N228:O252 N254:O256 N258:O264 N267:O269 N272:O273 N275:O275">
    <cfRule type="containsText" dxfId="2" priority="37234" operator="containsText" text="Yes">
      <formula>NOT(ISERROR(SEARCH(("Yes"),(N181))))</formula>
    </cfRule>
  </conditionalFormatting>
  <conditionalFormatting sqref="N181:Q182 N184:Q184 N187:N216 O187:O226 N222:N226 N228:O252 N254:O256 N258:O264 N267:O269 N272:O273 N275:O275">
    <cfRule type="containsText" dxfId="2" priority="37235" operator="containsText" text="Yes">
      <formula>NOT(ISERROR(SEARCH(("Yes"),(N181))))</formula>
    </cfRule>
  </conditionalFormatting>
  <conditionalFormatting sqref="N181:Q182 N184:Q184 N187:N216 O187:O226 N222:N226 N228:O252 N254:O256 N258:O264 N267:O269 N272:O273 N275:O275">
    <cfRule type="containsText" dxfId="2" priority="37236" operator="containsText" text="Yes">
      <formula>NOT(ISERROR(SEARCH(("Yes"),(N181))))</formula>
    </cfRule>
  </conditionalFormatting>
  <conditionalFormatting sqref="N181:Q182 N184:Q184 N187:N216 O187:O226 N222:N226 N228:O252 N254:O256 N258:O264 N267:O269 N272:O273 N275:O275">
    <cfRule type="containsText" dxfId="2" priority="37237" operator="containsText" text="Yes">
      <formula>NOT(ISERROR(SEARCH(("Yes"),(N181))))</formula>
    </cfRule>
  </conditionalFormatting>
  <conditionalFormatting sqref="N181:Q182 N184:Q184 N187:N216 O187:O226 N222:N226 N228:O252 N254:O256 N258:O264 N267:O269 N272:O273 N275:O275">
    <cfRule type="containsText" dxfId="2" priority="37238" operator="containsText" text="Yes">
      <formula>NOT(ISERROR(SEARCH(("Yes"),(N181))))</formula>
    </cfRule>
  </conditionalFormatting>
  <conditionalFormatting sqref="N181:Q182 N184:Q184 N187:N216 O187:O226 N222:N226 N228:O252 N254:O256 N258:O264 N267:O269 N272:O273 N275:O275">
    <cfRule type="containsText" dxfId="2" priority="37239" operator="containsText" text="Yes">
      <formula>NOT(ISERROR(SEARCH(("Yes"),(N181))))</formula>
    </cfRule>
  </conditionalFormatting>
  <conditionalFormatting sqref="N181:Q182 N184:Q184 N187:N216 O187:O226 N222:N226 N228:O252 N254:O256 N258:O264 N267:O269 N272:O273 N275:O275">
    <cfRule type="containsText" dxfId="2" priority="37240" operator="containsText" text="Yes">
      <formula>NOT(ISERROR(SEARCH(("Yes"),(N181))))</formula>
    </cfRule>
  </conditionalFormatting>
  <conditionalFormatting sqref="N181:Q182 N184:Q184 N187:N216 O187:O226 N222:N226 N228:O252 N254:O256 N258:O264 N267:O269 N272:O273 N275:O275">
    <cfRule type="containsText" dxfId="2" priority="37241" operator="containsText" text="Yes">
      <formula>NOT(ISERROR(SEARCH(("Yes"),(N181))))</formula>
    </cfRule>
  </conditionalFormatting>
  <conditionalFormatting sqref="N181:Q182 N184:Q184 N187:N216 O187:O226 N222:N226 N228:O252 N254:O256 N258:O264 N267:O269 N272:O273 N275:O275">
    <cfRule type="containsText" dxfId="2" priority="37242" operator="containsText" text="Yes">
      <formula>NOT(ISERROR(SEARCH(("Yes"),(N181))))</formula>
    </cfRule>
  </conditionalFormatting>
  <conditionalFormatting sqref="N181:Q182 N184:Q184 N187:N216 O187:O226 N222:N226 N228:O252 N254:O256 N258:O264 N267:O269 N272:O273 N275:O275">
    <cfRule type="containsText" dxfId="2" priority="37243" operator="containsText" text="Yes">
      <formula>NOT(ISERROR(SEARCH(("Yes"),(N181))))</formula>
    </cfRule>
  </conditionalFormatting>
  <conditionalFormatting sqref="N181:Q182 N184:Q184 N187:N216 O187:O226 N222:N226 N228:O252 N254:O256 N258:O264 N267:O269 N272:O273 N275:O275">
    <cfRule type="containsText" dxfId="2" priority="37244" operator="containsText" text="Yes">
      <formula>NOT(ISERROR(SEARCH(("Yes"),(N181))))</formula>
    </cfRule>
  </conditionalFormatting>
  <conditionalFormatting sqref="N181:Q182 N184:Q184 N187:N216 O187:O226 N222:N226 N228:O252 N254:O256 N258:O264 N267:O269 N272:O273 N275:O275">
    <cfRule type="containsText" dxfId="2" priority="37245" operator="containsText" text="Yes">
      <formula>NOT(ISERROR(SEARCH(("Yes"),(N181))))</formula>
    </cfRule>
  </conditionalFormatting>
  <conditionalFormatting sqref="N181:Q182 N184:Q184 N187:N216 O187:O226 N222:N226 N228:O252 N254:O256 N258:O264 N267:O269 N272:O273 N275:O275">
    <cfRule type="containsText" dxfId="2" priority="37246" operator="containsText" text="Yes">
      <formula>NOT(ISERROR(SEARCH(("Yes"),(N181))))</formula>
    </cfRule>
  </conditionalFormatting>
  <conditionalFormatting sqref="N181:Q182 N184:Q184 N187:N216 O187:O226 N222:N226 N228:O252 N254:O256 N258:O264 N267:O269 N272:O273 N275:O275">
    <cfRule type="containsText" dxfId="2" priority="37247" operator="containsText" text="Yes">
      <formula>NOT(ISERROR(SEARCH(("Yes"),(N181))))</formula>
    </cfRule>
  </conditionalFormatting>
  <conditionalFormatting sqref="N181:Q182 N184:Q184 N187:N216 O187:O226 N222:N226 N228:O252 N254:O256 N258:O264 N267:O269 N272:O273 N275:O275">
    <cfRule type="containsText" dxfId="2" priority="37248" operator="containsText" text="Yes">
      <formula>NOT(ISERROR(SEARCH(("Yes"),(N181))))</formula>
    </cfRule>
  </conditionalFormatting>
  <conditionalFormatting sqref="N181:Q182 N184:Q184 N187:N216 O187:O226 N222:N226 N228:O252 N254:O256 N258:O264 N267:O269 N272:O273 N275:O275">
    <cfRule type="containsText" dxfId="2" priority="37249" operator="containsText" text="Yes">
      <formula>NOT(ISERROR(SEARCH(("Yes"),(N181))))</formula>
    </cfRule>
  </conditionalFormatting>
  <conditionalFormatting sqref="N181:Q182 N184:Q184 N187:N216 O187:O226 N222:N226 N228:O252 N254:O256 N258:O264 N267:O269 N272:O273 N275:O275">
    <cfRule type="containsText" dxfId="2" priority="37250" operator="containsText" text="Yes">
      <formula>NOT(ISERROR(SEARCH(("Yes"),(N181))))</formula>
    </cfRule>
  </conditionalFormatting>
  <conditionalFormatting sqref="N181:Q182 N184:Q184 N187:N216 O187:O226 N222:N226 N228:O252 N254:O256 N258:O264 N267:O269 N272:O273 N275:O275">
    <cfRule type="containsText" dxfId="2" priority="37251" operator="containsText" text="Yes">
      <formula>NOT(ISERROR(SEARCH(("Yes"),(N181))))</formula>
    </cfRule>
  </conditionalFormatting>
  <conditionalFormatting sqref="N181:Q182 N184:Q184 N187:N216 O187:O226 N222:N226 N228:O252 N254:O256 N258:O264 N267:O269 N272:O273 N275:O275">
    <cfRule type="containsText" dxfId="2" priority="37252" operator="containsText" text="Yes">
      <formula>NOT(ISERROR(SEARCH(("Yes"),(N181))))</formula>
    </cfRule>
  </conditionalFormatting>
  <conditionalFormatting sqref="N181:Q182 N184:Q184 N187:N216 O187:O226 N222:N226 N228:O252 N254:O256 N258:O264 N267:O269 N272:O273 N275:O275">
    <cfRule type="containsText" dxfId="2" priority="37253" operator="containsText" text="Yes">
      <formula>NOT(ISERROR(SEARCH(("Yes"),(N181))))</formula>
    </cfRule>
  </conditionalFormatting>
  <conditionalFormatting sqref="N181:Q182 N184:Q184 N187:N216 O187:O226 N222:N226 N228:O252 N254:O256 N258:O264 N267:O269 N272:O273 N275:O275">
    <cfRule type="containsText" dxfId="2" priority="37254" operator="containsText" text="Yes">
      <formula>NOT(ISERROR(SEARCH(("Yes"),(N181))))</formula>
    </cfRule>
  </conditionalFormatting>
  <conditionalFormatting sqref="N181:Q182 N184:Q184 N187:N216 O187:O226 N222:N226 N228:O252 N254:O256 N258:O264 N267:O269 N272:O273 N275:O275">
    <cfRule type="containsText" dxfId="2" priority="37255" operator="containsText" text="Yes">
      <formula>NOT(ISERROR(SEARCH(("Yes"),(N181))))</formula>
    </cfRule>
  </conditionalFormatting>
  <conditionalFormatting sqref="N181:Q182 N184:Q184 N187:N216 O187:O226 N222:N226 N228:O252 N254:O256 N258:O264 N267:O269 N272:O273 N275:O275">
    <cfRule type="containsText" dxfId="2" priority="37256" operator="containsText" text="Yes">
      <formula>NOT(ISERROR(SEARCH(("Yes"),(N181))))</formula>
    </cfRule>
  </conditionalFormatting>
  <conditionalFormatting sqref="N181:Q182 N184:Q184 N187:N216 O187:O226 N222:N226 N228:O252 N254:O256 N258:O264 N267:O269 N272:O273 N275:O275">
    <cfRule type="containsText" dxfId="2" priority="37257" operator="containsText" text="Yes">
      <formula>NOT(ISERROR(SEARCH(("Yes"),(N181))))</formula>
    </cfRule>
  </conditionalFormatting>
  <conditionalFormatting sqref="N181:Q182 N184:Q184 N187:N216 O187:O226 N222:N226 N228:O252 N254:O256 N258:O264 N267:O269 N272:O273 N275:O275">
    <cfRule type="containsText" dxfId="2" priority="37258" operator="containsText" text="Yes">
      <formula>NOT(ISERROR(SEARCH(("Yes"),(N181))))</formula>
    </cfRule>
  </conditionalFormatting>
  <conditionalFormatting sqref="N181:Q182 N184:Q184 N187:N216 O187:O226 N222:N226 N228:O252 N254:O256 N258:O264 N267:O269 N272:O273 N275:O275">
    <cfRule type="containsText" dxfId="2" priority="37259" operator="containsText" text="Yes">
      <formula>NOT(ISERROR(SEARCH(("Yes"),(N181))))</formula>
    </cfRule>
  </conditionalFormatting>
  <conditionalFormatting sqref="N181:Q182 N184:Q184 N187:N216 O187:O226 N222:N226 N228:O252 N254:O256 N258:O264 N267:O269 N272:O273 N275:O275">
    <cfRule type="containsText" dxfId="2" priority="37260" operator="containsText" text="Yes">
      <formula>NOT(ISERROR(SEARCH(("Yes"),(N181))))</formula>
    </cfRule>
  </conditionalFormatting>
  <conditionalFormatting sqref="N181:Q182 N184:Q184 N187:N216 O187:O226 N222:N226 N228:O252 N254:O256 N258:O264 N267:O269 N272:O273 N275:O275">
    <cfRule type="containsText" dxfId="2" priority="37261" operator="containsText" text="Yes">
      <formula>NOT(ISERROR(SEARCH(("Yes"),(N181))))</formula>
    </cfRule>
  </conditionalFormatting>
  <conditionalFormatting sqref="N181:Q182 N184:Q184 N187:N216 O187:O226 N222:N226 N228:O252 N254:O256 N258:O264 N267:O269 N272:O273 N275:O275">
    <cfRule type="containsText" dxfId="2" priority="37262" operator="containsText" text="Yes">
      <formula>NOT(ISERROR(SEARCH(("Yes"),(N181))))</formula>
    </cfRule>
  </conditionalFormatting>
  <conditionalFormatting sqref="N181:Q182 N184:Q184 N187:N216 O187:O226 N222:N226 N228:O252 N254:O256 N258:O264 N267:O269 N272:O273 N275:O275">
    <cfRule type="containsText" dxfId="2" priority="37263" operator="containsText" text="Yes">
      <formula>NOT(ISERROR(SEARCH(("Yes"),(N181))))</formula>
    </cfRule>
  </conditionalFormatting>
  <conditionalFormatting sqref="N181:Q182 N184:Q184 N187:N216 O187:O226 N222:N226 N228:O252 N254:O256 N258:O264 N267:O269 N272:O273 N275:O275">
    <cfRule type="containsText" dxfId="2" priority="37264" operator="containsText" text="Yes">
      <formula>NOT(ISERROR(SEARCH(("Yes"),(N181))))</formula>
    </cfRule>
  </conditionalFormatting>
  <conditionalFormatting sqref="N181:Q182 N184:Q184 N187:N216 O187:O226 N222:N226 N228:O252 N254:O256 N258:O264 N267:O269 N272:O273 N275:O275">
    <cfRule type="containsText" dxfId="2" priority="37265" operator="containsText" text="Yes">
      <formula>NOT(ISERROR(SEARCH(("Yes"),(N181))))</formula>
    </cfRule>
  </conditionalFormatting>
  <conditionalFormatting sqref="N181:Q182 N184:Q184 N187:N216 O187:O226 N222:N226 N228:O252 N254:O256 N258:O264 N267:O269 N272:O273 N275:O275">
    <cfRule type="containsText" dxfId="2" priority="37266" operator="containsText" text="Yes">
      <formula>NOT(ISERROR(SEARCH(("Yes"),(N181))))</formula>
    </cfRule>
  </conditionalFormatting>
  <conditionalFormatting sqref="N181:Q182 N184:Q184 N187:N216 O187:O226 N222:N226 N228:O252 N254:O256 N258:O264 N267:O269 N272:O273 N275:O275">
    <cfRule type="containsText" dxfId="2" priority="37267" operator="containsText" text="Yes">
      <formula>NOT(ISERROR(SEARCH(("Yes"),(N181))))</formula>
    </cfRule>
  </conditionalFormatting>
  <conditionalFormatting sqref="N181:Q182 N184:Q184 N187:N216 O187:O226 N222:N226 N228:O252 N254:O256 N258:O264 N267:O269 N272:O273 N275:O275">
    <cfRule type="containsText" dxfId="2" priority="37268" operator="containsText" text="Yes">
      <formula>NOT(ISERROR(SEARCH(("Yes"),(N181))))</formula>
    </cfRule>
  </conditionalFormatting>
  <conditionalFormatting sqref="N181:Q182 N184:Q184 N187:N216 O187:O226 N222:N226 N228:O252 N254:O256 N258:O264 N267:O269 N272:O273 N275:O275">
    <cfRule type="containsText" dxfId="2" priority="37269" operator="containsText" text="Yes">
      <formula>NOT(ISERROR(SEARCH(("Yes"),(N181))))</formula>
    </cfRule>
  </conditionalFormatting>
  <conditionalFormatting sqref="N181:Q182 N184:Q184 N187:N216 O187:O226 N222:N226 N228:O252 N254:O256 N258:O264 N267:O269 N272:O273 N275:O275">
    <cfRule type="containsText" dxfId="2" priority="37270" operator="containsText" text="Yes">
      <formula>NOT(ISERROR(SEARCH(("Yes"),(N181))))</formula>
    </cfRule>
  </conditionalFormatting>
  <conditionalFormatting sqref="N181:Q182 N184:Q184 N187:N216 O187:O226 N222:N226 N228:O252 N254:O256 N258:O264 N267:O269 N272:O273 N275:O275">
    <cfRule type="containsText" dxfId="2" priority="37271" operator="containsText" text="Yes">
      <formula>NOT(ISERROR(SEARCH(("Yes"),(N181))))</formula>
    </cfRule>
  </conditionalFormatting>
  <conditionalFormatting sqref="N181:Q182 N184:Q184 N187:N216 O187:O226 N222:N226 N228:O252 N254:O256 N258:O264 N267:O269 N272:O273 N275:O275">
    <cfRule type="containsText" dxfId="2" priority="37272" operator="containsText" text="Yes">
      <formula>NOT(ISERROR(SEARCH(("Yes"),(N181))))</formula>
    </cfRule>
  </conditionalFormatting>
  <conditionalFormatting sqref="N181:Q182 N184:Q184 N187:N216 O187:O226 N222:N226 N228:O252 N254:O256 N258:O264 N267:O269 N272:O273 N275:O275">
    <cfRule type="containsText" dxfId="2" priority="37273" operator="containsText" text="Yes">
      <formula>NOT(ISERROR(SEARCH(("Yes"),(N181))))</formula>
    </cfRule>
  </conditionalFormatting>
  <conditionalFormatting sqref="N181:Q182 N184:Q184 N187:N216 O187:O226 N222:N226 N228:O252 N254:O256 N258:O264 N267:O269 N272:O273 N275:O275">
    <cfRule type="containsText" dxfId="2" priority="37274" operator="containsText" text="Yes">
      <formula>NOT(ISERROR(SEARCH(("Yes"),(N181))))</formula>
    </cfRule>
  </conditionalFormatting>
  <conditionalFormatting sqref="N181:Q182 N184:Q184 N187:N216 O187:O226 N222:N226 N228:O252 N254:O256 N258:O264 N267:O269 N272:O273 N275:O275">
    <cfRule type="containsText" dxfId="2" priority="37275" operator="containsText" text="Yes">
      <formula>NOT(ISERROR(SEARCH(("Yes"),(N181))))</formula>
    </cfRule>
  </conditionalFormatting>
  <conditionalFormatting sqref="N182 N184">
    <cfRule type="containsText" dxfId="9" priority="37276" operator="containsText" text="No">
      <formula>NOT(ISERROR(SEARCH(("No"),(N182))))</formula>
    </cfRule>
  </conditionalFormatting>
  <conditionalFormatting sqref="N182 N184">
    <cfRule type="containsText" dxfId="9" priority="37277" operator="containsText" text="No">
      <formula>NOT(ISERROR(SEARCH(("No"),(N182))))</formula>
    </cfRule>
  </conditionalFormatting>
  <conditionalFormatting sqref="N182 N184">
    <cfRule type="containsText" dxfId="9" priority="37278" operator="containsText" text="No">
      <formula>NOT(ISERROR(SEARCH(("No"),(N182))))</formula>
    </cfRule>
  </conditionalFormatting>
  <conditionalFormatting sqref="N182 N184">
    <cfRule type="containsText" dxfId="2" priority="37279" operator="containsText" text="Yes">
      <formula>NOT(ISERROR(SEARCH(("Yes"),(N182))))</formula>
    </cfRule>
  </conditionalFormatting>
  <conditionalFormatting sqref="N182 N184">
    <cfRule type="containsText" dxfId="2" priority="37280" operator="containsText" text="Yes">
      <formula>NOT(ISERROR(SEARCH(("Yes"),(N182))))</formula>
    </cfRule>
  </conditionalFormatting>
  <conditionalFormatting sqref="N182 N184">
    <cfRule type="containsText" dxfId="2" priority="37281" operator="containsText" text="Yes">
      <formula>NOT(ISERROR(SEARCH(("Yes"),(N182))))</formula>
    </cfRule>
  </conditionalFormatting>
  <conditionalFormatting sqref="N182 N184">
    <cfRule type="containsText" dxfId="2" priority="37282" operator="containsText" text="Yes">
      <formula>NOT(ISERROR(SEARCH(("Yes"),(N182))))</formula>
    </cfRule>
  </conditionalFormatting>
  <conditionalFormatting sqref="N182 N184">
    <cfRule type="containsText" dxfId="2" priority="37283" operator="containsText" text="Yes">
      <formula>NOT(ISERROR(SEARCH(("Yes"),(N182))))</formula>
    </cfRule>
  </conditionalFormatting>
  <conditionalFormatting sqref="N182 N184">
    <cfRule type="containsText" dxfId="9" priority="37284" operator="containsText" text="No">
      <formula>NOT(ISERROR(SEARCH(("No"),(N182))))</formula>
    </cfRule>
  </conditionalFormatting>
  <conditionalFormatting sqref="N182 N184">
    <cfRule type="containsText" dxfId="2" priority="37285" operator="containsText" text="Yes">
      <formula>NOT(ISERROR(SEARCH(("Yes"),(N182))))</formula>
    </cfRule>
  </conditionalFormatting>
  <conditionalFormatting sqref="P182:Q182 P184:Q184">
    <cfRule type="containsText" dxfId="9" priority="37286" operator="containsText" text="No">
      <formula>NOT(ISERROR(SEARCH(("No"),(P182))))</formula>
    </cfRule>
  </conditionalFormatting>
  <conditionalFormatting sqref="P182:Q182 P184:Q184">
    <cfRule type="containsText" dxfId="9" priority="37287" operator="containsText" text="No">
      <formula>NOT(ISERROR(SEARCH(("No"),(P182))))</formula>
    </cfRule>
  </conditionalFormatting>
  <conditionalFormatting sqref="P182:Q182 P184:Q184">
    <cfRule type="containsText" dxfId="9" priority="37288" operator="containsText" text="No">
      <formula>NOT(ISERROR(SEARCH(("No"),(P182))))</formula>
    </cfRule>
  </conditionalFormatting>
  <conditionalFormatting sqref="P182:Q182 P184:Q184">
    <cfRule type="containsText" dxfId="2" priority="37289" operator="containsText" text="Yes">
      <formula>NOT(ISERROR(SEARCH(("Yes"),(P182))))</formula>
    </cfRule>
  </conditionalFormatting>
  <conditionalFormatting sqref="P182:Q182 P184:Q184">
    <cfRule type="containsText" dxfId="2" priority="37290" operator="containsText" text="Yes">
      <formula>NOT(ISERROR(SEARCH(("Yes"),(P182))))</formula>
    </cfRule>
  </conditionalFormatting>
  <conditionalFormatting sqref="P182:Q182 P184:Q184">
    <cfRule type="containsText" dxfId="2" priority="37291" operator="containsText" text="Yes">
      <formula>NOT(ISERROR(SEARCH(("Yes"),(P182))))</formula>
    </cfRule>
  </conditionalFormatting>
  <conditionalFormatting sqref="P182:Q182 P184:Q184">
    <cfRule type="containsText" dxfId="2" priority="37292" operator="containsText" text="Yes">
      <formula>NOT(ISERROR(SEARCH(("Yes"),(P182))))</formula>
    </cfRule>
  </conditionalFormatting>
  <conditionalFormatting sqref="P182:Q182 P184:Q184">
    <cfRule type="containsText" dxfId="2" priority="37293" operator="containsText" text="Yes">
      <formula>NOT(ISERROR(SEARCH(("Yes"),(P182))))</formula>
    </cfRule>
  </conditionalFormatting>
  <conditionalFormatting sqref="P182:Q182 P184:Q184">
    <cfRule type="containsText" dxfId="9" priority="37294" operator="containsText" text="No">
      <formula>NOT(ISERROR(SEARCH(("No"),(P182))))</formula>
    </cfRule>
  </conditionalFormatting>
  <conditionalFormatting sqref="P182:Q182 P184:Q184">
    <cfRule type="containsText" dxfId="2" priority="37295" operator="containsText" text="Yes">
      <formula>NOT(ISERROR(SEARCH(("Yes"),(P182))))</formula>
    </cfRule>
  </conditionalFormatting>
  <conditionalFormatting sqref="O182 N184:O184 N187:N216 O187:O226 N222:N226 N228:O252 N254:O256 N258:O264 N267:O269 N272:O273 N275:O275">
    <cfRule type="containsText" dxfId="9" priority="37296" operator="containsText" text="No">
      <formula>NOT(ISERROR(SEARCH(("No"),(O182))))</formula>
    </cfRule>
  </conditionalFormatting>
  <conditionalFormatting sqref="O182 N184:O184 N187:N216 O187:O226 N222:N226 N228:O252 N254:O256 N258:O264 N267:O269 N272:O273 N275:O275">
    <cfRule type="containsText" dxfId="9" priority="37297" operator="containsText" text="No">
      <formula>NOT(ISERROR(SEARCH(("No"),(O182))))</formula>
    </cfRule>
  </conditionalFormatting>
  <conditionalFormatting sqref="O182 N184:O184 N187:N216 O187:O226 N222:N226 N228:O252 N254:O256 N258:O264 N267:O269 N272:O273 N275:O275">
    <cfRule type="containsText" dxfId="9" priority="37298" operator="containsText" text="No">
      <formula>NOT(ISERROR(SEARCH(("No"),(O182))))</formula>
    </cfRule>
  </conditionalFormatting>
  <conditionalFormatting sqref="O182 N184:O184 N187:N216 O187:O226 N222:N226 N228:O252 N254:O256 N258:O264 N267:O269 N272:O273 N275:O275">
    <cfRule type="containsText" dxfId="9" priority="37299" operator="containsText" text="No">
      <formula>NOT(ISERROR(SEARCH(("No"),(O182))))</formula>
    </cfRule>
  </conditionalFormatting>
  <conditionalFormatting sqref="O182 N184:O184 N187:N216 O187:O226 N222:N226 N228:O252 N254:O256 N258:O264 N267:O269 N272:O273 N275:O275">
    <cfRule type="containsText" dxfId="9" priority="37300" operator="containsText" text="No">
      <formula>NOT(ISERROR(SEARCH(("No"),(O182))))</formula>
    </cfRule>
  </conditionalFormatting>
  <conditionalFormatting sqref="O182 N184:O184 N187:N216 O187:O226 N222:N226 N228:O252 N254:O256 N258:O264 N267:O269 N272:O273 N275:O275">
    <cfRule type="containsText" dxfId="9" priority="37301" operator="containsText" text="No">
      <formula>NOT(ISERROR(SEARCH(("No"),(O182))))</formula>
    </cfRule>
  </conditionalFormatting>
  <conditionalFormatting sqref="O182 N184:O184 N187:N216 O187:O226 N222:N226 N228:O252 N254:O256 N258:O264 N267:O269 N272:O273 N275:O275">
    <cfRule type="containsText" dxfId="9" priority="37302" operator="containsText" text="No">
      <formula>NOT(ISERROR(SEARCH(("No"),(O182))))</formula>
    </cfRule>
  </conditionalFormatting>
  <conditionalFormatting sqref="O182 N184:O184 N187:N216 O187:O226 N222:N226 N228:O252 N254:O256 N258:O264 N267:O269 N272:O273 N275:O275">
    <cfRule type="containsText" dxfId="9" priority="37303" operator="containsText" text="No">
      <formula>NOT(ISERROR(SEARCH(("No"),(O182))))</formula>
    </cfRule>
  </conditionalFormatting>
  <conditionalFormatting sqref="O182 N184:O184 N187:N216 O187:O226 N222:N226 N228:O252 N254:O256 N258:O264 N267:O269 N272:O273 N275:O275">
    <cfRule type="containsText" dxfId="9" priority="37304" operator="containsText" text="No">
      <formula>NOT(ISERROR(SEARCH(("No"),(O182))))</formula>
    </cfRule>
  </conditionalFormatting>
  <conditionalFormatting sqref="O182 N184:O184 N187:N216 O187:O226 N222:N226 N228:O252 N254:O256 N258:O264 N267:O269 N272:O273 N275:O275">
    <cfRule type="containsText" dxfId="9" priority="37305" operator="containsText" text="No">
      <formula>NOT(ISERROR(SEARCH(("No"),(O182))))</formula>
    </cfRule>
  </conditionalFormatting>
  <conditionalFormatting sqref="O182 N184:O184 N187:N216 O187:O226 N222:N226 N228:O252 N254:O256 N258:O264 N267:O269 N272:O273 N275:O275">
    <cfRule type="containsText" dxfId="9" priority="37306" operator="containsText" text="No">
      <formula>NOT(ISERROR(SEARCH(("No"),(O182))))</formula>
    </cfRule>
  </conditionalFormatting>
  <conditionalFormatting sqref="O182 N184:O184 N187:N216 O187:O226 N222:N226 N228:O252 N254:O256 N258:O264 N267:O269 N272:O273 N275:O275">
    <cfRule type="containsText" dxfId="9" priority="37307" operator="containsText" text="No">
      <formula>NOT(ISERROR(SEARCH(("No"),(O182))))</formula>
    </cfRule>
  </conditionalFormatting>
  <conditionalFormatting sqref="O182 N184:O184 N187:N216 O187:O226 N222:N226 N228:O252 N254:O256 N258:O264 N267:O269 N272:O273 N275:O275">
    <cfRule type="containsText" dxfId="9" priority="37308" operator="containsText" text="No">
      <formula>NOT(ISERROR(SEARCH(("No"),(O182))))</formula>
    </cfRule>
  </conditionalFormatting>
  <conditionalFormatting sqref="O182 N184:O184 N187:N216 O187:O226 N222:N226 N228:O252 N254:O256 N258:O264 N267:O269 N272:O273 N275:O275">
    <cfRule type="containsText" dxfId="9" priority="37309" operator="containsText" text="No">
      <formula>NOT(ISERROR(SEARCH(("No"),(O182))))</formula>
    </cfRule>
  </conditionalFormatting>
  <conditionalFormatting sqref="O182 N184:O184 N187:N216 O187:O226 N222:N226 N228:O252 N254:O256 N258:O264 N267:O269 N272:O273 N275:O275">
    <cfRule type="containsText" dxfId="9" priority="37310" operator="containsText" text="No">
      <formula>NOT(ISERROR(SEARCH(("No"),(O182))))</formula>
    </cfRule>
  </conditionalFormatting>
  <conditionalFormatting sqref="O182 N184:O184 N187:N216 O187:O226 N222:N226 N228:O252 N254:O256 N258:O264 N267:O269 N272:O273 N275:O275">
    <cfRule type="containsText" dxfId="9" priority="37311" operator="containsText" text="No">
      <formula>NOT(ISERROR(SEARCH(("No"),(O182))))</formula>
    </cfRule>
  </conditionalFormatting>
  <conditionalFormatting sqref="O182 N184:O184 N187:N216 O187:O226 N222:N226 N228:O252 N254:O256 N258:O264 N267:O269 N272:O273 N275:O275">
    <cfRule type="containsText" dxfId="9" priority="37312" operator="containsText" text="No">
      <formula>NOT(ISERROR(SEARCH(("No"),(O182))))</formula>
    </cfRule>
  </conditionalFormatting>
  <conditionalFormatting sqref="O182 N184:O184 N187:N216 O187:O226 N222:N226 N228:O252 N254:O256 N258:O264 N267:O269 N272:O273 N275:O275">
    <cfRule type="containsText" dxfId="9" priority="37313" operator="containsText" text="No">
      <formula>NOT(ISERROR(SEARCH(("No"),(O182))))</formula>
    </cfRule>
  </conditionalFormatting>
  <conditionalFormatting sqref="O182 N184:O184 N187:N216 O187:O226 N222:N226 N228:O252 N254:O256 N258:O264 N267:O269 N272:O273 N275:O275">
    <cfRule type="containsText" dxfId="9" priority="37314" operator="containsText" text="No">
      <formula>NOT(ISERROR(SEARCH(("No"),(O182))))</formula>
    </cfRule>
  </conditionalFormatting>
  <conditionalFormatting sqref="O182 N184:O184 N187:N216 O187:O226 N222:N226 N228:O252 N254:O256 N258:O264 N267:O269 N272:O273 N275:O275">
    <cfRule type="containsText" dxfId="9" priority="37315" operator="containsText" text="No">
      <formula>NOT(ISERROR(SEARCH(("No"),(O182))))</formula>
    </cfRule>
  </conditionalFormatting>
  <conditionalFormatting sqref="O182 N184:O184 N187:N216 O187:O226 N222:N226 N228:O252 N254:O256 N258:O264 N267:O269 N272:O273 N275:O275">
    <cfRule type="containsText" dxfId="9" priority="37316" operator="containsText" text="No">
      <formula>NOT(ISERROR(SEARCH(("No"),(O182))))</formula>
    </cfRule>
  </conditionalFormatting>
  <conditionalFormatting sqref="O182 N184:O184 N187:N216 O187:O226 N222:N226 N228:O252 N254:O256 N258:O264 N267:O269 N272:O273 N275:O275">
    <cfRule type="containsText" dxfId="9" priority="37317" operator="containsText" text="No">
      <formula>NOT(ISERROR(SEARCH(("No"),(O182))))</formula>
    </cfRule>
  </conditionalFormatting>
  <conditionalFormatting sqref="O182 N184:O184 N187:N216 O187:O226 N222:N226 N228:O252 N254:O256 N258:O264 N267:O269 N272:O273 N275:O275">
    <cfRule type="containsText" dxfId="9" priority="37318" operator="containsText" text="No">
      <formula>NOT(ISERROR(SEARCH(("No"),(O182))))</formula>
    </cfRule>
  </conditionalFormatting>
  <conditionalFormatting sqref="O182 N184:O184 N187:N216 O187:O226 N222:N226 N228:O252 N254:O256 N258:O264 N267:O269 N272:O273 N275:O275">
    <cfRule type="containsText" dxfId="9" priority="37319" operator="containsText" text="No">
      <formula>NOT(ISERROR(SEARCH(("No"),(O182))))</formula>
    </cfRule>
  </conditionalFormatting>
  <conditionalFormatting sqref="O182 N184:O184 N187:N216 O187:O226 N222:N226 N228:O252 N254:O256 N258:O264 N267:O269 N272:O273 N275:O275">
    <cfRule type="containsText" dxfId="9" priority="37320" operator="containsText" text="No">
      <formula>NOT(ISERROR(SEARCH(("No"),(O182))))</formula>
    </cfRule>
  </conditionalFormatting>
  <conditionalFormatting sqref="O182 N184:O184 N187:N216 O187:O226 N222:N226 N228:O252 N254:O256 N258:O264 N267:O269 N272:O273 N275:O275">
    <cfRule type="containsText" dxfId="9" priority="37321" operator="containsText" text="No">
      <formula>NOT(ISERROR(SEARCH(("No"),(O182))))</formula>
    </cfRule>
  </conditionalFormatting>
  <conditionalFormatting sqref="O182 N184:O184 N187:N216 O187:O226 N222:N226 N228:O252 N254:O256 N258:O264 N267:O269 N272:O273 N275:O275">
    <cfRule type="containsText" dxfId="9" priority="37322" operator="containsText" text="No">
      <formula>NOT(ISERROR(SEARCH(("No"),(O182))))</formula>
    </cfRule>
  </conditionalFormatting>
  <conditionalFormatting sqref="O182 N184:O184 N187:N216 O187:O226 N222:N226 N228:O252 N254:O256 N258:O264 N267:O269 N272:O273 N275:O275">
    <cfRule type="containsText" dxfId="9" priority="37323" operator="containsText" text="No">
      <formula>NOT(ISERROR(SEARCH(("No"),(O182))))</formula>
    </cfRule>
  </conditionalFormatting>
  <conditionalFormatting sqref="O182 N184:O184 N187:N216 O187:O226 N222:N226 N228:O252 N254:O256 N258:O264 N267:O269 N272:O273 N275:O275">
    <cfRule type="containsText" dxfId="9" priority="37324" operator="containsText" text="No">
      <formula>NOT(ISERROR(SEARCH(("No"),(O182))))</formula>
    </cfRule>
  </conditionalFormatting>
  <conditionalFormatting sqref="O182 N184:O184 N187:N216 O187:O226 N222:N226 N228:O252 N254:O256 N258:O264 N267:O269 N272:O273 N275:O275">
    <cfRule type="containsText" dxfId="9" priority="37325" operator="containsText" text="No">
      <formula>NOT(ISERROR(SEARCH(("No"),(O182))))</formula>
    </cfRule>
  </conditionalFormatting>
  <conditionalFormatting sqref="O182 N184:O184 N187:N216 O187:O226 N222:N226 N228:O252 N254:O256 N258:O264 N267:O269 N272:O273 N275:O275">
    <cfRule type="containsText" dxfId="9" priority="37326" operator="containsText" text="No">
      <formula>NOT(ISERROR(SEARCH(("No"),(O182))))</formula>
    </cfRule>
  </conditionalFormatting>
  <conditionalFormatting sqref="O182 N184:O184 N187:N216 O187:O226 N222:N226 N228:O252 N254:O256 N258:O264 N267:O269 N272:O273 N275:O275">
    <cfRule type="containsText" dxfId="9" priority="37327" operator="containsText" text="No">
      <formula>NOT(ISERROR(SEARCH(("No"),(O182))))</formula>
    </cfRule>
  </conditionalFormatting>
  <conditionalFormatting sqref="O182 N184:O184 N187:N216 O187:O226 N222:N226 N228:O252 N254:O256 N258:O264 N267:O269 N272:O273 N275:O275">
    <cfRule type="containsText" dxfId="9" priority="37328" operator="containsText" text="No">
      <formula>NOT(ISERROR(SEARCH(("No"),(O182))))</formula>
    </cfRule>
  </conditionalFormatting>
  <conditionalFormatting sqref="O182 N184:O184 N187:N216 O187:O226 N222:N226 N228:O252 N254:O256 N258:O264 N267:O269 N272:O273 N275:O275">
    <cfRule type="containsText" dxfId="9" priority="37329" operator="containsText" text="No">
      <formula>NOT(ISERROR(SEARCH(("No"),(O182))))</formula>
    </cfRule>
  </conditionalFormatting>
  <conditionalFormatting sqref="O182 N184:O184 N187:N216 O187:O226 N222:N226 N228:O252 N254:O256 N258:O264 N267:O269 N272:O273 N275:O275">
    <cfRule type="containsText" dxfId="9" priority="37330" operator="containsText" text="No">
      <formula>NOT(ISERROR(SEARCH(("No"),(O182))))</formula>
    </cfRule>
  </conditionalFormatting>
  <conditionalFormatting sqref="O182 N184:O184 N187:N216 O187:O226 N222:N226 N228:O252 N254:O256 N258:O264 N267:O269 N272:O273 N275:O275">
    <cfRule type="containsText" dxfId="9" priority="37331" operator="containsText" text="No">
      <formula>NOT(ISERROR(SEARCH(("No"),(O182))))</formula>
    </cfRule>
  </conditionalFormatting>
  <conditionalFormatting sqref="O182 N184:O184 N187:N216 O187:O226 N222:N226 N228:O252 N254:O256 N258:O264 N267:O269 N272:O273 N275:O275">
    <cfRule type="containsText" dxfId="9" priority="37332" operator="containsText" text="No">
      <formula>NOT(ISERROR(SEARCH(("No"),(O182))))</formula>
    </cfRule>
  </conditionalFormatting>
  <conditionalFormatting sqref="O182 N184:O184 N187:N216 O187:O226 N222:N226 N228:O252 N254:O256 N258:O264 N267:O269 N272:O273 N275:O275">
    <cfRule type="containsText" dxfId="9" priority="37333" operator="containsText" text="No">
      <formula>NOT(ISERROR(SEARCH(("No"),(O182))))</formula>
    </cfRule>
  </conditionalFormatting>
  <conditionalFormatting sqref="O182 N184:O184 N187:N216 O187:O226 N222:N226 N228:O252 N254:O256 N258:O264 N267:O269 N272:O273 N275:O275">
    <cfRule type="containsText" dxfId="9" priority="37334" operator="containsText" text="No">
      <formula>NOT(ISERROR(SEARCH(("No"),(O182))))</formula>
    </cfRule>
  </conditionalFormatting>
  <conditionalFormatting sqref="O182 N184:O184 N187:N216 O187:O226 N222:N226 N228:O252 N254:O256 N258:O264 N267:O269 N272:O273 N275:O275">
    <cfRule type="containsText" dxfId="9" priority="37335" operator="containsText" text="No">
      <formula>NOT(ISERROR(SEARCH(("No"),(O182))))</formula>
    </cfRule>
  </conditionalFormatting>
  <conditionalFormatting sqref="O182 N184:O184 N187:N216 O187:O226 N222:N226 N228:O252 N254:O256 N258:O264 N267:O269 N272:O273 N275:O275">
    <cfRule type="containsText" dxfId="9" priority="37336" operator="containsText" text="No">
      <formula>NOT(ISERROR(SEARCH(("No"),(O182))))</formula>
    </cfRule>
  </conditionalFormatting>
  <conditionalFormatting sqref="O182 N184:O184 N187:N216 O187:O226 N222:N226 N228:O252 N254:O256 N258:O264 N267:O269 N272:O273 N275:O275">
    <cfRule type="containsText" dxfId="9" priority="37337" operator="containsText" text="No">
      <formula>NOT(ISERROR(SEARCH(("No"),(O182))))</formula>
    </cfRule>
  </conditionalFormatting>
  <conditionalFormatting sqref="O182 N184:O184 N187:N216 O187:O226 N222:N226 N228:O252 N254:O256 N258:O264 N267:O269 N272:O273 N275:O275">
    <cfRule type="containsText" dxfId="9" priority="37338" operator="containsText" text="No">
      <formula>NOT(ISERROR(SEARCH(("No"),(O182))))</formula>
    </cfRule>
  </conditionalFormatting>
  <conditionalFormatting sqref="O182 N184:O184 N187:N216 O187:O226 N222:N226 N228:O252 N254:O256 N258:O264 N267:O269 N272:O273 N275:O275">
    <cfRule type="containsText" dxfId="9" priority="37339" operator="containsText" text="No">
      <formula>NOT(ISERROR(SEARCH(("No"),(O182))))</formula>
    </cfRule>
  </conditionalFormatting>
  <conditionalFormatting sqref="O182 N184:O184 N187:N216 O187:O226 N222:N226 N228:O252 N254:O256 N258:O264 N267:O269 N272:O273 N275:O275">
    <cfRule type="containsText" dxfId="9" priority="37340" operator="containsText" text="No">
      <formula>NOT(ISERROR(SEARCH(("No"),(O182))))</formula>
    </cfRule>
  </conditionalFormatting>
  <conditionalFormatting sqref="O182 N184:O184 N187:N216 O187:O226 N222:N226 N228:O252 N254:O256 N258:O264 N267:O269 N272:O273 N275:O275">
    <cfRule type="containsText" dxfId="2" priority="37341" operator="containsText" text="Yes">
      <formula>NOT(ISERROR(SEARCH(("Yes"),(O182))))</formula>
    </cfRule>
  </conditionalFormatting>
  <conditionalFormatting sqref="O182 N184:O184 N187:N216 O187:O226 N222:N226 N228:O252 N254:O256 N258:O264 N267:O269 N272:O273 N275:O275">
    <cfRule type="containsText" dxfId="2" priority="37342" operator="containsText" text="Yes">
      <formula>NOT(ISERROR(SEARCH(("Yes"),(O182))))</formula>
    </cfRule>
  </conditionalFormatting>
  <conditionalFormatting sqref="O182 N184:O184 N187:N216 O187:O226 N222:N226 N228:O252 N254:O256 N258:O264 N267:O269 N272:O273 N275:O275">
    <cfRule type="containsText" dxfId="2" priority="37343" operator="containsText" text="Yes">
      <formula>NOT(ISERROR(SEARCH(("Yes"),(O182))))</formula>
    </cfRule>
  </conditionalFormatting>
  <conditionalFormatting sqref="O182 N184:O184 N187:N216 O187:O226 N222:N226 N228:O252 N254:O256 N258:O264 N267:O269 N272:O273 N275:O275">
    <cfRule type="containsText" dxfId="2" priority="37344" operator="containsText" text="Yes">
      <formula>NOT(ISERROR(SEARCH(("Yes"),(O182))))</formula>
    </cfRule>
  </conditionalFormatting>
  <conditionalFormatting sqref="O182 N184:O184 N187:N216 O187:O226 N222:N226 N228:O252 N254:O256 N258:O264 N267:O269 N272:O273 N275:O275">
    <cfRule type="containsText" dxfId="2" priority="37345" operator="containsText" text="Yes">
      <formula>NOT(ISERROR(SEARCH(("Yes"),(O182))))</formula>
    </cfRule>
  </conditionalFormatting>
  <conditionalFormatting sqref="O182 N184:O184 N187:N216 O187:O226 N222:N226 N228:O252 N254:O256 N258:O264 N267:O269 N272:O273 N275:O275">
    <cfRule type="containsText" dxfId="2" priority="37346" operator="containsText" text="Yes">
      <formula>NOT(ISERROR(SEARCH(("Yes"),(O182))))</formula>
    </cfRule>
  </conditionalFormatting>
  <conditionalFormatting sqref="O182 N184:O184 N187:N216 O187:O226 N222:N226 N228:O252 N254:O256 N258:O264 N267:O269 N272:O273 N275:O275">
    <cfRule type="containsText" dxfId="2" priority="37347" operator="containsText" text="Yes">
      <formula>NOT(ISERROR(SEARCH(("Yes"),(O182))))</formula>
    </cfRule>
  </conditionalFormatting>
  <conditionalFormatting sqref="O182 N184:O184 N187:N216 O187:O226 N222:N226 N228:O252 N254:O256 N258:O264 N267:O269 N272:O273 N275:O275">
    <cfRule type="containsText" dxfId="2" priority="37348" operator="containsText" text="Yes">
      <formula>NOT(ISERROR(SEARCH(("Yes"),(O182))))</formula>
    </cfRule>
  </conditionalFormatting>
  <conditionalFormatting sqref="O182 N184:O184 N187:N216 O187:O226 N222:N226 N228:O252 N254:O256 N258:O264 N267:O269 N272:O273 N275:O275">
    <cfRule type="containsText" dxfId="2" priority="37349" operator="containsText" text="Yes">
      <formula>NOT(ISERROR(SEARCH(("Yes"),(O182))))</formula>
    </cfRule>
  </conditionalFormatting>
  <conditionalFormatting sqref="O182 N184:O184 N187:N216 O187:O226 N222:N226 N228:O252 N254:O256 N258:O264 N267:O269 N272:O273 N275:O275">
    <cfRule type="containsText" dxfId="2" priority="37350" operator="containsText" text="Yes">
      <formula>NOT(ISERROR(SEARCH(("Yes"),(O182))))</formula>
    </cfRule>
  </conditionalFormatting>
  <conditionalFormatting sqref="O182 N184:O184 N187:N216 O187:O226 N222:N226 N228:O252 N254:O256 N258:O264 N267:O269 N272:O273 N275:O275">
    <cfRule type="containsText" dxfId="2" priority="37351" operator="containsText" text="Yes">
      <formula>NOT(ISERROR(SEARCH(("Yes"),(O182))))</formula>
    </cfRule>
  </conditionalFormatting>
  <conditionalFormatting sqref="O182 N184:O184 N187:N216 O187:O226 N222:N226 N228:O252 N254:O256 N258:O264 N267:O269 N272:O273 N275:O275">
    <cfRule type="containsText" dxfId="2" priority="37352" operator="containsText" text="Yes">
      <formula>NOT(ISERROR(SEARCH(("Yes"),(O182))))</formula>
    </cfRule>
  </conditionalFormatting>
  <conditionalFormatting sqref="O182 N184:O184 N187:N216 O187:O226 N222:N226 N228:O252 N254:O256 N258:O264 N267:O269 N272:O273 N275:O275">
    <cfRule type="containsText" dxfId="2" priority="37353" operator="containsText" text="Yes">
      <formula>NOT(ISERROR(SEARCH(("Yes"),(O182))))</formula>
    </cfRule>
  </conditionalFormatting>
  <conditionalFormatting sqref="O182 N184:O184 N187:N216 O187:O226 N222:N226 N228:O252 N254:O256 N258:O264 N267:O269 N272:O273 N275:O275">
    <cfRule type="containsText" dxfId="2" priority="37354" operator="containsText" text="Yes">
      <formula>NOT(ISERROR(SEARCH(("Yes"),(O182))))</formula>
    </cfRule>
  </conditionalFormatting>
  <conditionalFormatting sqref="O182 N184:O184 N187:N216 O187:O226 N222:N226 N228:O252 N254:O256 N258:O264 N267:O269 N272:O273 N275:O275">
    <cfRule type="containsText" dxfId="2" priority="37355" operator="containsText" text="Yes">
      <formula>NOT(ISERROR(SEARCH(("Yes"),(O182))))</formula>
    </cfRule>
  </conditionalFormatting>
  <conditionalFormatting sqref="O182 N184:O184 N187:N216 O187:O226 N222:N226 N228:O252 N254:O256 N258:O264 N267:O269 N272:O273 N275:O275">
    <cfRule type="containsText" dxfId="2" priority="37356" operator="containsText" text="Yes">
      <formula>NOT(ISERROR(SEARCH(("Yes"),(O182))))</formula>
    </cfRule>
  </conditionalFormatting>
  <conditionalFormatting sqref="O182 N184:O184 N187:N216 O187:O226 N222:N226 N228:O252 N254:O256 N258:O264 N267:O269 N272:O273 N275:O275">
    <cfRule type="containsText" dxfId="2" priority="37357" operator="containsText" text="Yes">
      <formula>NOT(ISERROR(SEARCH(("Yes"),(O182))))</formula>
    </cfRule>
  </conditionalFormatting>
  <conditionalFormatting sqref="O182 N184:O184 N187:N216 O187:O226 N222:N226 N228:O252 N254:O256 N258:O264 N267:O269 N272:O273 N275:O275">
    <cfRule type="containsText" dxfId="2" priority="37358" operator="containsText" text="Yes">
      <formula>NOT(ISERROR(SEARCH(("Yes"),(O182))))</formula>
    </cfRule>
  </conditionalFormatting>
  <conditionalFormatting sqref="O182 N184:O184 N187:N216 O187:O226 N222:N226 N228:O252 N254:O256 N258:O264 N267:O269 N272:O273 N275:O275">
    <cfRule type="containsText" dxfId="2" priority="37359" operator="containsText" text="Yes">
      <formula>NOT(ISERROR(SEARCH(("Yes"),(O182))))</formula>
    </cfRule>
  </conditionalFormatting>
  <conditionalFormatting sqref="O182 N184:O184 N187:N216 O187:O226 N222:N226 N228:O252 N254:O256 N258:O264 N267:O269 N272:O273 N275:O275">
    <cfRule type="containsText" dxfId="2" priority="37360" operator="containsText" text="Yes">
      <formula>NOT(ISERROR(SEARCH(("Yes"),(O182))))</formula>
    </cfRule>
  </conditionalFormatting>
  <conditionalFormatting sqref="O182 N184:O184 N187:N216 O187:O226 N222:N226 N228:O252 N254:O256 N258:O264 N267:O269 N272:O273 N275:O275">
    <cfRule type="containsText" dxfId="2" priority="37361" operator="containsText" text="Yes">
      <formula>NOT(ISERROR(SEARCH(("Yes"),(O182))))</formula>
    </cfRule>
  </conditionalFormatting>
  <conditionalFormatting sqref="O182 N184:O184 N187:N216 O187:O226 N222:N226 N228:O252 N254:O256 N258:O264 N267:O269 N272:O273 N275:O275">
    <cfRule type="containsText" dxfId="2" priority="37362" operator="containsText" text="Yes">
      <formula>NOT(ISERROR(SEARCH(("Yes"),(O182))))</formula>
    </cfRule>
  </conditionalFormatting>
  <conditionalFormatting sqref="O182 N184:O184 N187:N216 O187:O226 N222:N226 N228:O252 N254:O256 N258:O264 N267:O269 N272:O273 N275:O275">
    <cfRule type="containsText" dxfId="2" priority="37363" operator="containsText" text="Yes">
      <formula>NOT(ISERROR(SEARCH(("Yes"),(O182))))</formula>
    </cfRule>
  </conditionalFormatting>
  <conditionalFormatting sqref="O182 N184:O184 N187:N216 O187:O226 N222:N226 N228:O252 N254:O256 N258:O264 N267:O269 N272:O273 N275:O275">
    <cfRule type="containsText" dxfId="2" priority="37364" operator="containsText" text="Yes">
      <formula>NOT(ISERROR(SEARCH(("Yes"),(O182))))</formula>
    </cfRule>
  </conditionalFormatting>
  <conditionalFormatting sqref="O182 N184:O184 N187:N216 O187:O226 N222:N226 N228:O252 N254:O256 N258:O264 N267:O269 N272:O273 N275:O275">
    <cfRule type="containsText" dxfId="2" priority="37365" operator="containsText" text="Yes">
      <formula>NOT(ISERROR(SEARCH(("Yes"),(O182))))</formula>
    </cfRule>
  </conditionalFormatting>
  <conditionalFormatting sqref="O182 N184:O184 N187:N216 O187:O226 N222:N226 N228:O252 N254:O256 N258:O264 N267:O269 N272:O273 N275:O275">
    <cfRule type="containsText" dxfId="2" priority="37366" operator="containsText" text="Yes">
      <formula>NOT(ISERROR(SEARCH(("Yes"),(O182))))</formula>
    </cfRule>
  </conditionalFormatting>
  <conditionalFormatting sqref="O182 N184:O184 N187:N216 O187:O226 N222:N226 N228:O252 N254:O256 N258:O264 N267:O269 N272:O273 N275:O275">
    <cfRule type="containsText" dxfId="2" priority="37367" operator="containsText" text="Yes">
      <formula>NOT(ISERROR(SEARCH(("Yes"),(O182))))</formula>
    </cfRule>
  </conditionalFormatting>
  <conditionalFormatting sqref="O182 N184:O184 N187:N216 O187:O226 N222:N226 N228:O252 N254:O256 N258:O264 N267:O269 N272:O273 N275:O275">
    <cfRule type="containsText" dxfId="2" priority="37368" operator="containsText" text="Yes">
      <formula>NOT(ISERROR(SEARCH(("Yes"),(O182))))</formula>
    </cfRule>
  </conditionalFormatting>
  <conditionalFormatting sqref="O182 N184:O184 N187:N216 O187:O226 N222:N226 N228:O252 N254:O256 N258:O264 N267:O269 N272:O273 N275:O275">
    <cfRule type="containsText" dxfId="2" priority="37369" operator="containsText" text="Yes">
      <formula>NOT(ISERROR(SEARCH(("Yes"),(O182))))</formula>
    </cfRule>
  </conditionalFormatting>
  <conditionalFormatting sqref="O182 N184:O184 N187:N216 O187:O226 N222:N226 N228:O252 N254:O256 N258:O264 N267:O269 N272:O273 N275:O275">
    <cfRule type="containsText" dxfId="2" priority="37370" operator="containsText" text="Yes">
      <formula>NOT(ISERROR(SEARCH(("Yes"),(O182))))</formula>
    </cfRule>
  </conditionalFormatting>
  <conditionalFormatting sqref="O182 N184:O184 N187:N216 O187:O226 N222:N226 N228:O252 N254:O256 N258:O264 N267:O269 N272:O273 N275:O275">
    <cfRule type="containsText" dxfId="2" priority="37371" operator="containsText" text="Yes">
      <formula>NOT(ISERROR(SEARCH(("Yes"),(O182))))</formula>
    </cfRule>
  </conditionalFormatting>
  <conditionalFormatting sqref="O182 N184:O184 N187:N216 O187:O226 N222:N226 N228:O252 N254:O256 N258:O264 N267:O269 N272:O273 N275:O275">
    <cfRule type="containsText" dxfId="2" priority="37372" operator="containsText" text="Yes">
      <formula>NOT(ISERROR(SEARCH(("Yes"),(O182))))</formula>
    </cfRule>
  </conditionalFormatting>
  <conditionalFormatting sqref="O182 N184:O184 N187:N216 O187:O226 N222:N226 N228:O252 N254:O256 N258:O264 N267:O269 N272:O273 N275:O275">
    <cfRule type="containsText" dxfId="2" priority="37373" operator="containsText" text="Yes">
      <formula>NOT(ISERROR(SEARCH(("Yes"),(O182))))</formula>
    </cfRule>
  </conditionalFormatting>
  <conditionalFormatting sqref="O182 N184:O184 N187:N216 O187:O226 N222:N226 N228:O252 N254:O256 N258:O264 N267:O269 N272:O273 N275:O275">
    <cfRule type="containsText" dxfId="2" priority="37374" operator="containsText" text="Yes">
      <formula>NOT(ISERROR(SEARCH(("Yes"),(O182))))</formula>
    </cfRule>
  </conditionalFormatting>
  <conditionalFormatting sqref="O182 N184:O184 N187:N216 O187:O226 N222:N226 N228:O252 N254:O256 N258:O264 N267:O269 N272:O273 N275:O275">
    <cfRule type="containsText" dxfId="2" priority="37375" operator="containsText" text="Yes">
      <formula>NOT(ISERROR(SEARCH(("Yes"),(O182))))</formula>
    </cfRule>
  </conditionalFormatting>
  <conditionalFormatting sqref="O182 N184:O184 N187:N216 O187:O226 N222:N226 N228:O252 N254:O256 N258:O264 N267:O269 N272:O273 N275:O275">
    <cfRule type="containsText" dxfId="2" priority="37376" operator="containsText" text="Yes">
      <formula>NOT(ISERROR(SEARCH(("Yes"),(O182))))</formula>
    </cfRule>
  </conditionalFormatting>
  <conditionalFormatting sqref="O182 N184:O184 N187:N216 O187:O226 N222:N226 N228:O252 N254:O256 N258:O264 N267:O269 N272:O273 N275:O275">
    <cfRule type="containsText" dxfId="2" priority="37377" operator="containsText" text="Yes">
      <formula>NOT(ISERROR(SEARCH(("Yes"),(O182))))</formula>
    </cfRule>
  </conditionalFormatting>
  <conditionalFormatting sqref="O182 N184:O184 N187:N216 O187:O226 N222:N226 N228:O252 N254:O256 N258:O264 N267:O269 N272:O273 N275:O275">
    <cfRule type="containsText" dxfId="2" priority="37378" operator="containsText" text="Yes">
      <formula>NOT(ISERROR(SEARCH(("Yes"),(O182))))</formula>
    </cfRule>
  </conditionalFormatting>
  <conditionalFormatting sqref="O182 N184:O184 N187:N216 O187:O226 N222:N226 N228:O252 N254:O256 N258:O264 N267:O269 N272:O273 N275:O275">
    <cfRule type="containsText" dxfId="2" priority="37379" operator="containsText" text="Yes">
      <formula>NOT(ISERROR(SEARCH(("Yes"),(O182))))</formula>
    </cfRule>
  </conditionalFormatting>
  <conditionalFormatting sqref="O182 N184:O184 N187:N216 O187:O226 N222:N226 N228:O252 N254:O256 N258:O264 N267:O269 N272:O273 N275:O275">
    <cfRule type="containsText" dxfId="2" priority="37380" operator="containsText" text="Yes">
      <formula>NOT(ISERROR(SEARCH(("Yes"),(O182))))</formula>
    </cfRule>
  </conditionalFormatting>
  <conditionalFormatting sqref="O182 N184:O184 N187:N216 O187:O226 N222:N226 N228:O252 N254:O256 N258:O264 N267:O269 N272:O273 N275:O275">
    <cfRule type="containsText" dxfId="2" priority="37381" operator="containsText" text="Yes">
      <formula>NOT(ISERROR(SEARCH(("Yes"),(O182))))</formula>
    </cfRule>
  </conditionalFormatting>
  <conditionalFormatting sqref="O182 N184:O184 N187:N216 O187:O226 N222:N226 N228:O252 N254:O256 N258:O264 N267:O269 N272:O273 N275:O275">
    <cfRule type="containsText" dxfId="2" priority="37382" operator="containsText" text="Yes">
      <formula>NOT(ISERROR(SEARCH(("Yes"),(O182))))</formula>
    </cfRule>
  </conditionalFormatting>
  <conditionalFormatting sqref="O182 N184:O184 N187:N216 O187:O226 N222:N226 N228:O252 N254:O256 N258:O264 N267:O269 N272:O273 N275:O275">
    <cfRule type="containsText" dxfId="2" priority="37383" operator="containsText" text="Yes">
      <formula>NOT(ISERROR(SEARCH(("Yes"),(O182))))</formula>
    </cfRule>
  </conditionalFormatting>
  <conditionalFormatting sqref="O182 N184:O184 N187:N216 O187:O226 N222:N226 N228:O252 N254:O256 N258:O264 N267:O269 N272:O273 N275:O275">
    <cfRule type="containsText" dxfId="2" priority="37384" operator="containsText" text="Yes">
      <formula>NOT(ISERROR(SEARCH(("Yes"),(O182))))</formula>
    </cfRule>
  </conditionalFormatting>
  <conditionalFormatting sqref="O182 N184:O184 N187:N216 O187:O226 N222:N226 N228:O252 N254:O256 N258:O264 N267:O269 N272:O273 N275:O275">
    <cfRule type="containsText" dxfId="2" priority="37385" operator="containsText" text="Yes">
      <formula>NOT(ISERROR(SEARCH(("Yes"),(O182))))</formula>
    </cfRule>
  </conditionalFormatting>
  <conditionalFormatting sqref="O182 N184:O184 N187:N216 O187:O226 N222:N226 N228:O252 N254:O256 N258:O264 N267:O269 N272:O273 N275:O275">
    <cfRule type="containsText" dxfId="2" priority="37386" operator="containsText" text="Yes">
      <formula>NOT(ISERROR(SEARCH(("Yes"),(O182))))</formula>
    </cfRule>
  </conditionalFormatting>
  <conditionalFormatting sqref="O182 N184:O184 N187:N216 O187:O226 N222:N226 N228:O252 N254:O256 N258:O264 N267:O269 N272:O273 N275:O275">
    <cfRule type="containsText" dxfId="2" priority="37387" operator="containsText" text="Yes">
      <formula>NOT(ISERROR(SEARCH(("Yes"),(O182))))</formula>
    </cfRule>
  </conditionalFormatting>
  <conditionalFormatting sqref="N183:Q183 N185:Q214 U204:V204 N217:Q221 N224:N226 N229:N230 N234 N238 N241 N243 N245 N247:N248 N251">
    <cfRule type="containsText" dxfId="9" priority="37388" operator="containsText" text="No">
      <formula>NOT(ISERROR(SEARCH(("No"),(N183))))</formula>
    </cfRule>
  </conditionalFormatting>
  <conditionalFormatting sqref="N183:Q183 N185:Q214 U204:V204 N217:Q221 N224:N226 N229:N230 N234 N238 N241 N243 N245 N247:N248 N251">
    <cfRule type="containsText" dxfId="9" priority="37389" operator="containsText" text="No">
      <formula>NOT(ISERROR(SEARCH(("No"),(N183))))</formula>
    </cfRule>
  </conditionalFormatting>
  <conditionalFormatting sqref="N183:Q183 N185:Q214 U204:V204 N217:Q221 N224:N226 N229:N230 N234 N238 N241 N243 N245 N247:N248 N251">
    <cfRule type="containsText" dxfId="9" priority="37390" operator="containsText" text="No">
      <formula>NOT(ISERROR(SEARCH(("No"),(N183))))</formula>
    </cfRule>
  </conditionalFormatting>
  <conditionalFormatting sqref="N183:Q183 N185:Q214 U204:V204 N217:Q221 N224:N226 N229:N230 N234 N238 N241 N243 N245 N247:N248 N251">
    <cfRule type="containsText" dxfId="9" priority="37391" operator="containsText" text="No">
      <formula>NOT(ISERROR(SEARCH(("No"),(N183))))</formula>
    </cfRule>
  </conditionalFormatting>
  <conditionalFormatting sqref="N183:Q183 N185:Q214 U204:V204 N217:Q221 N224:N226 N229:N230 N234 N238 N241 N243 N245 N247:N248 N251">
    <cfRule type="containsText" dxfId="9" priority="37392" operator="containsText" text="No">
      <formula>NOT(ISERROR(SEARCH(("No"),(N183))))</formula>
    </cfRule>
  </conditionalFormatting>
  <conditionalFormatting sqref="N183:Q183 N185:Q214 U204:V204 N217:Q221 N224:N226 N229:N230 N234 N238 N241 N243 N245 N247:N248 N251">
    <cfRule type="containsText" dxfId="9" priority="37393" operator="containsText" text="No">
      <formula>NOT(ISERROR(SEARCH(("No"),(N183))))</formula>
    </cfRule>
  </conditionalFormatting>
  <conditionalFormatting sqref="N183:Q183 N185:Q214 U204:V204 N217:Q221 N224:N226 N229:N230 N234 N238 N241 N243 N245 N247:N248 N251">
    <cfRule type="containsText" dxfId="9" priority="37394" operator="containsText" text="No">
      <formula>NOT(ISERROR(SEARCH(("No"),(N183))))</formula>
    </cfRule>
  </conditionalFormatting>
  <conditionalFormatting sqref="N183:Q183 N185:Q214 U204:V204 N217:Q221 N224:N226 N229:N230 N234 N238 N241 N243 N245 N247:N248 N251">
    <cfRule type="containsText" dxfId="9" priority="37395" operator="containsText" text="No">
      <formula>NOT(ISERROR(SEARCH(("No"),(N183))))</formula>
    </cfRule>
  </conditionalFormatting>
  <conditionalFormatting sqref="N183:Q183 N185:Q214 U204:V204 N217:Q221 N224:N226 N229:N230 N234 N238 N241 N243 N245 N247:N248 N251">
    <cfRule type="containsText" dxfId="9" priority="37396" operator="containsText" text="No">
      <formula>NOT(ISERROR(SEARCH(("No"),(N183))))</formula>
    </cfRule>
  </conditionalFormatting>
  <conditionalFormatting sqref="N183:Q183 N185:Q214 U204:V204 N217:Q221 N224:N226 N229:N230 N234 N238 N241 N243 N245 N247:N248 N251">
    <cfRule type="containsText" dxfId="9" priority="37397" operator="containsText" text="No">
      <formula>NOT(ISERROR(SEARCH(("No"),(N183))))</formula>
    </cfRule>
  </conditionalFormatting>
  <conditionalFormatting sqref="N183:Q183 N185:Q214 U204:V204 N217:Q221 N224:N226 N229:N230 N234 N238 N241 N243 N245 N247:N248 N251">
    <cfRule type="containsText" dxfId="9" priority="37398" operator="containsText" text="No">
      <formula>NOT(ISERROR(SEARCH(("No"),(N183))))</formula>
    </cfRule>
  </conditionalFormatting>
  <conditionalFormatting sqref="N183:Q183 N185:Q214 U204:V204 N217:Q221 N224:N226 N229:N230 N234 N238 N241 N243 N245 N247:N248 N251">
    <cfRule type="containsText" dxfId="9" priority="37399" operator="containsText" text="No">
      <formula>NOT(ISERROR(SEARCH(("No"),(N183))))</formula>
    </cfRule>
  </conditionalFormatting>
  <conditionalFormatting sqref="N183:Q183 N185:Q214 U204:V204 N217:Q221 N224:N226 N229:N230 N234 N238 N241 N243 N245 N247:N248 N251">
    <cfRule type="containsText" dxfId="9" priority="37400" operator="containsText" text="No">
      <formula>NOT(ISERROR(SEARCH(("No"),(N183))))</formula>
    </cfRule>
  </conditionalFormatting>
  <conditionalFormatting sqref="N183:Q183 N185:Q214 U204:V204 N217:Q221 N224:N226 N229:N230 N234 N238 N241 N243 N245 N247:N248 N251">
    <cfRule type="containsText" dxfId="9" priority="37401" operator="containsText" text="No">
      <formula>NOT(ISERROR(SEARCH(("No"),(N183))))</formula>
    </cfRule>
  </conditionalFormatting>
  <conditionalFormatting sqref="N183:Q183 N185:Q214 U204:V204 N217:Q221 N224:N226 N229:N230 N234 N238 N241 N243 N245 N247:N248 N251">
    <cfRule type="containsText" dxfId="9" priority="37402" operator="containsText" text="No">
      <formula>NOT(ISERROR(SEARCH(("No"),(N183))))</formula>
    </cfRule>
  </conditionalFormatting>
  <conditionalFormatting sqref="N183:Q183 N185:Q214 U204:V204 N217:Q221 N224:N226 N229:N230 N234 N238 N241 N243 N245 N247:N248 N251">
    <cfRule type="containsText" dxfId="9" priority="37403" operator="containsText" text="No">
      <formula>NOT(ISERROR(SEARCH(("No"),(N183))))</formula>
    </cfRule>
  </conditionalFormatting>
  <conditionalFormatting sqref="N183:Q183 N185:Q214 U204:V204 N217:Q221 N224:N226 N229:N230 N234 N238 N241 N243 N245 N247:N248 N251">
    <cfRule type="containsText" dxfId="9" priority="37404" operator="containsText" text="No">
      <formula>NOT(ISERROR(SEARCH(("No"),(N183))))</formula>
    </cfRule>
  </conditionalFormatting>
  <conditionalFormatting sqref="N183:Q183 N185:Q214 U204:V204 N217:Q221 N224:N226 N229:N230 N234 N238 N241 N243 N245 N247:N248 N251">
    <cfRule type="containsText" dxfId="9" priority="37405" operator="containsText" text="No">
      <formula>NOT(ISERROR(SEARCH(("No"),(N183))))</formula>
    </cfRule>
  </conditionalFormatting>
  <conditionalFormatting sqref="N183:Q183 N185:Q214 U204:V204 N217:Q221 N224:N226 N229:N230 N234 N238 N241 N243 N245 N247:N248 N251">
    <cfRule type="containsText" dxfId="9" priority="37406" operator="containsText" text="No">
      <formula>NOT(ISERROR(SEARCH(("No"),(N183))))</formula>
    </cfRule>
  </conditionalFormatting>
  <conditionalFormatting sqref="N183:Q183 N185:Q214 U204:V204 N217:Q221 N224:N226 N229:N230 N234 N238 N241 N243 N245 N247:N248 N251">
    <cfRule type="containsText" dxfId="9" priority="37407" operator="containsText" text="No">
      <formula>NOT(ISERROR(SEARCH(("No"),(N183))))</formula>
    </cfRule>
  </conditionalFormatting>
  <conditionalFormatting sqref="N183:Q183 N185:Q214 U204:V204 N217:Q221 N224:N226 N229:N230 N234 N238 N241 N243 N245 N247:N248 N251">
    <cfRule type="containsText" dxfId="9" priority="37408" operator="containsText" text="No">
      <formula>NOT(ISERROR(SEARCH(("No"),(N183))))</formula>
    </cfRule>
  </conditionalFormatting>
  <conditionalFormatting sqref="N183:Q183 N185:Q214 U204:V204 N217:Q221 N224:N226 N229:N230 N234 N238 N241 N243 N245 N247:N248 N251">
    <cfRule type="containsText" dxfId="9" priority="37409" operator="containsText" text="No">
      <formula>NOT(ISERROR(SEARCH(("No"),(N183))))</formula>
    </cfRule>
  </conditionalFormatting>
  <conditionalFormatting sqref="N183:Q183 N185:Q214 U204:V204 N217:Q221 N224:N226 N229:N230 N234 N238 N241 N243 N245 N247:N248 N251">
    <cfRule type="containsText" dxfId="9" priority="37410" operator="containsText" text="No">
      <formula>NOT(ISERROR(SEARCH(("No"),(N183))))</formula>
    </cfRule>
  </conditionalFormatting>
  <conditionalFormatting sqref="N183:Q183 N185:Q214 U204:V204 N217:Q221 N224:N226 N229:N230 N234 N238 N241 N243 N245 N247:N248 N251">
    <cfRule type="containsText" dxfId="9" priority="37411" operator="containsText" text="No">
      <formula>NOT(ISERROR(SEARCH(("No"),(N183))))</formula>
    </cfRule>
  </conditionalFormatting>
  <conditionalFormatting sqref="N183:Q183 N185:Q214 U204:V204 N217:Q221 N224:N226 N229:N230 N234 N238 N241 N243 N245 N247:N248 N251">
    <cfRule type="containsText" dxfId="9" priority="37412" operator="containsText" text="No">
      <formula>NOT(ISERROR(SEARCH(("No"),(N183))))</formula>
    </cfRule>
  </conditionalFormatting>
  <conditionalFormatting sqref="N183:Q183 N185:Q214 U204:V204 N217:Q221 N224:N226 N229:N230 N234 N238 N241 N243 N245 N247:N248 N251">
    <cfRule type="containsText" dxfId="9" priority="37413" operator="containsText" text="No">
      <formula>NOT(ISERROR(SEARCH(("No"),(N183))))</formula>
    </cfRule>
  </conditionalFormatting>
  <conditionalFormatting sqref="N183:Q183 N185:Q214 U204:V204 N217:Q221 N224:N226 N229:N230 N234 N238 N241 N243 N245 N247:N248 N251">
    <cfRule type="containsText" dxfId="9" priority="37414" operator="containsText" text="No">
      <formula>NOT(ISERROR(SEARCH(("No"),(N183))))</formula>
    </cfRule>
  </conditionalFormatting>
  <conditionalFormatting sqref="N183:Q183 N185:Q214 U204:V204 N217:Q221 N224:N226 N229:N230 N234 N238 N241 N243 N245 N247:N248 N251">
    <cfRule type="containsText" dxfId="9" priority="37415" operator="containsText" text="No">
      <formula>NOT(ISERROR(SEARCH(("No"),(N183))))</formula>
    </cfRule>
  </conditionalFormatting>
  <conditionalFormatting sqref="N183:Q183 N185:Q214 U204:V204 N217:Q221 N224:N226 N229:N230 N234 N238 N241 N243 N245 N247:N248 N251">
    <cfRule type="containsText" dxfId="9" priority="37416" operator="containsText" text="No">
      <formula>NOT(ISERROR(SEARCH(("No"),(N183))))</formula>
    </cfRule>
  </conditionalFormatting>
  <conditionalFormatting sqref="N183:Q183 N185:Q214 U204:V204 N217:Q221 N224:N226 N229:N230 N234 N238 N241 N243 N245 N247:N248 N251">
    <cfRule type="containsText" dxfId="9" priority="37417" operator="containsText" text="No">
      <formula>NOT(ISERROR(SEARCH(("No"),(N183))))</formula>
    </cfRule>
  </conditionalFormatting>
  <conditionalFormatting sqref="N183:Q183 N185:Q214 U204:V204 N217:Q221 N224:N226 N229:N230 N234 N238 N241 N243 N245 N247:N248 N251">
    <cfRule type="containsText" dxfId="9" priority="37418" operator="containsText" text="No">
      <formula>NOT(ISERROR(SEARCH(("No"),(N183))))</formula>
    </cfRule>
  </conditionalFormatting>
  <conditionalFormatting sqref="N183:Q183 N185:Q214 U204:V204 N217:Q221 N224:N226 N229:N230 N234 N238 N241 N243 N245 N247:N248 N251">
    <cfRule type="containsText" dxfId="9" priority="37419" operator="containsText" text="No">
      <formula>NOT(ISERROR(SEARCH(("No"),(N183))))</formula>
    </cfRule>
  </conditionalFormatting>
  <conditionalFormatting sqref="N183:Q183 N185:Q214 U204:V204 N217:Q221 N224:N226 N229:N230 N234 N238 N241 N243 N245 N247:N248 N251">
    <cfRule type="containsText" dxfId="9" priority="37420" operator="containsText" text="No">
      <formula>NOT(ISERROR(SEARCH(("No"),(N183))))</formula>
    </cfRule>
  </conditionalFormatting>
  <conditionalFormatting sqref="N183:Q183 N185:Q214 U204:V204 N217:Q221 N224:N226 N229:N230 N234 N238 N241 N243 N245 N247:N248 N251">
    <cfRule type="containsText" dxfId="9" priority="37421" operator="containsText" text="No">
      <formula>NOT(ISERROR(SEARCH(("No"),(N183))))</formula>
    </cfRule>
  </conditionalFormatting>
  <conditionalFormatting sqref="N183:Q183 N185:Q214 U204:V204 N217:Q221 N224:N226 N229:N230 N234 N238 N241 N243 N245 N247:N248 N251">
    <cfRule type="containsText" dxfId="9" priority="37422" operator="containsText" text="No">
      <formula>NOT(ISERROR(SEARCH(("No"),(N183))))</formula>
    </cfRule>
  </conditionalFormatting>
  <conditionalFormatting sqref="N183:Q183 N185:Q214 U204:V204 N217:Q221 N224:N226 N229:N230 N234 N238 N241 N243 N245 N247:N248 N251">
    <cfRule type="containsText" dxfId="9" priority="37423" operator="containsText" text="No">
      <formula>NOT(ISERROR(SEARCH(("No"),(N183))))</formula>
    </cfRule>
  </conditionalFormatting>
  <conditionalFormatting sqref="N183:Q183 N185:Q214 U204:V204 N217:Q221 N224:N226 N229:N230 N234 N238 N241 N243 N245 N247:N248 N251">
    <cfRule type="containsText" dxfId="9" priority="37424" operator="containsText" text="No">
      <formula>NOT(ISERROR(SEARCH(("No"),(N183))))</formula>
    </cfRule>
  </conditionalFormatting>
  <conditionalFormatting sqref="N183:Q183 N185:Q214 U204:V204 N217:Q221 N224:N226 N229:N230 N234 N238 N241 N243 N245 N247:N248 N251">
    <cfRule type="containsText" dxfId="9" priority="37425" operator="containsText" text="No">
      <formula>NOT(ISERROR(SEARCH(("No"),(N183))))</formula>
    </cfRule>
  </conditionalFormatting>
  <conditionalFormatting sqref="N183:Q183 N185:Q214 U204:V204 N217:Q221 N224:N226 N229:N230 N234 N238 N241 N243 N245 N247:N248 N251">
    <cfRule type="containsText" dxfId="9" priority="37426" operator="containsText" text="No">
      <formula>NOT(ISERROR(SEARCH(("No"),(N183))))</formula>
    </cfRule>
  </conditionalFormatting>
  <conditionalFormatting sqref="N183:Q183 N185:Q214 U204:V204 N217:Q221 N224:N226 N229:N230 N234 N238 N241 N243 N245 N247:N248 N251">
    <cfRule type="containsText" dxfId="9" priority="37427" operator="containsText" text="No">
      <formula>NOT(ISERROR(SEARCH(("No"),(N183))))</formula>
    </cfRule>
  </conditionalFormatting>
  <conditionalFormatting sqref="N183:Q183 N185:Q214 U204:V204 N217:Q221 N224:N226 N229:N230 N234 N238 N241 N243 N245 N247:N248 N251">
    <cfRule type="containsText" dxfId="9" priority="37428" operator="containsText" text="No">
      <formula>NOT(ISERROR(SEARCH(("No"),(N183))))</formula>
    </cfRule>
  </conditionalFormatting>
  <conditionalFormatting sqref="N183:Q183 N185:Q214 U204:V204 N217:Q221 N224:N226 N229:N230 N234 N238 N241 N243 N245 N247:N248 N251">
    <cfRule type="containsText" dxfId="9" priority="37429" operator="containsText" text="No">
      <formula>NOT(ISERROR(SEARCH(("No"),(N183))))</formula>
    </cfRule>
  </conditionalFormatting>
  <conditionalFormatting sqref="N183:Q183 N185:Q214 U204:V204 N217:Q221 N224:N226 N229:N230 N234 N238 N241 N243 N245 N247:N248 N251">
    <cfRule type="containsText" dxfId="9" priority="37430" operator="containsText" text="No">
      <formula>NOT(ISERROR(SEARCH(("No"),(N183))))</formula>
    </cfRule>
  </conditionalFormatting>
  <conditionalFormatting sqref="N183:Q183 N185:Q214 U204:V204 N217:Q221 N224:N226 N229:N230 N234 N238 N241 N243 N245 N247:N248 N251">
    <cfRule type="containsText" dxfId="9" priority="37431" operator="containsText" text="No">
      <formula>NOT(ISERROR(SEARCH(("No"),(N183))))</formula>
    </cfRule>
  </conditionalFormatting>
  <conditionalFormatting sqref="N183:Q183 N185:Q214 U204:V204 N217:Q221 N224:N226 N229:N230 N234 N238 N241 N243 N245 N247:N248 N251">
    <cfRule type="containsText" dxfId="9" priority="37432" operator="containsText" text="No">
      <formula>NOT(ISERROR(SEARCH(("No"),(N183))))</formula>
    </cfRule>
  </conditionalFormatting>
  <conditionalFormatting sqref="N183:Q183 N185:Q214 U204:V204 N217:Q221 N224:N226 N229:N230 N234 N238 N241 N243 N245 N247:N248 N251">
    <cfRule type="containsText" dxfId="2" priority="37433" operator="containsText" text="Yes">
      <formula>NOT(ISERROR(SEARCH(("Yes"),(N183))))</formula>
    </cfRule>
  </conditionalFormatting>
  <conditionalFormatting sqref="N183:Q183 N185:Q214 U204:V204 N217:Q221 N224:N226 N229:N230 N234 N238 N241 N243 N245 N247:N248 N251">
    <cfRule type="containsText" dxfId="2" priority="37434" operator="containsText" text="Yes">
      <formula>NOT(ISERROR(SEARCH(("Yes"),(N183))))</formula>
    </cfRule>
  </conditionalFormatting>
  <conditionalFormatting sqref="N183:Q183 N185:Q214 U204:V204 N217:Q221 N224:N226 N229:N230 N234 N238 N241 N243 N245 N247:N248 N251">
    <cfRule type="containsText" dxfId="2" priority="37435" operator="containsText" text="Yes">
      <formula>NOT(ISERROR(SEARCH(("Yes"),(N183))))</formula>
    </cfRule>
  </conditionalFormatting>
  <conditionalFormatting sqref="N183:Q183 N185:Q214 U204:V204 N217:Q221 N224:N226 N229:N230 N234 N238 N241 N243 N245 N247:N248 N251">
    <cfRule type="containsText" dxfId="2" priority="37436" operator="containsText" text="Yes">
      <formula>NOT(ISERROR(SEARCH(("Yes"),(N183))))</formula>
    </cfRule>
  </conditionalFormatting>
  <conditionalFormatting sqref="N183:Q183 N185:Q214 U204:V204 N217:Q221 N224:N226 N229:N230 N234 N238 N241 N243 N245 N247:N248 N251">
    <cfRule type="containsText" dxfId="2" priority="37437" operator="containsText" text="Yes">
      <formula>NOT(ISERROR(SEARCH(("Yes"),(N183))))</formula>
    </cfRule>
  </conditionalFormatting>
  <conditionalFormatting sqref="N183:Q183 N185:Q214 U204:V204 N217:Q221 N224:N226 N229:N230 N234 N238 N241 N243 N245 N247:N248 N251">
    <cfRule type="containsText" dxfId="2" priority="37438" operator="containsText" text="Yes">
      <formula>NOT(ISERROR(SEARCH(("Yes"),(N183))))</formula>
    </cfRule>
  </conditionalFormatting>
  <conditionalFormatting sqref="N183:Q183 N185:Q214 U204:V204 N217:Q221 N224:N226 N229:N230 N234 N238 N241 N243 N245 N247:N248 N251">
    <cfRule type="containsText" dxfId="2" priority="37439" operator="containsText" text="Yes">
      <formula>NOT(ISERROR(SEARCH(("Yes"),(N183))))</formula>
    </cfRule>
  </conditionalFormatting>
  <conditionalFormatting sqref="N183:Q183 N185:Q214 U204:V204 N217:Q221 N224:N226 N229:N230 N234 N238 N241 N243 N245 N247:N248 N251">
    <cfRule type="containsText" dxfId="2" priority="37440" operator="containsText" text="Yes">
      <formula>NOT(ISERROR(SEARCH(("Yes"),(N183))))</formula>
    </cfRule>
  </conditionalFormatting>
  <conditionalFormatting sqref="N183:Q183 N185:Q214 U204:V204 N217:Q221 N224:N226 N229:N230 N234 N238 N241 N243 N245 N247:N248 N251">
    <cfRule type="containsText" dxfId="2" priority="37441" operator="containsText" text="Yes">
      <formula>NOT(ISERROR(SEARCH(("Yes"),(N183))))</formula>
    </cfRule>
  </conditionalFormatting>
  <conditionalFormatting sqref="N183:Q183 N185:Q214 U204:V204 N217:Q221 N224:N226 N229:N230 N234 N238 N241 N243 N245 N247:N248 N251">
    <cfRule type="containsText" dxfId="2" priority="37442" operator="containsText" text="Yes">
      <formula>NOT(ISERROR(SEARCH(("Yes"),(N183))))</formula>
    </cfRule>
  </conditionalFormatting>
  <conditionalFormatting sqref="N183:Q183 N185:Q214 U204:V204 N217:Q221 N224:N226 N229:N230 N234 N238 N241 N243 N245 N247:N248 N251">
    <cfRule type="containsText" dxfId="2" priority="37443" operator="containsText" text="Yes">
      <formula>NOT(ISERROR(SEARCH(("Yes"),(N183))))</formula>
    </cfRule>
  </conditionalFormatting>
  <conditionalFormatting sqref="N183:Q183 N185:Q214 U204:V204 N217:Q221 N224:N226 N229:N230 N234 N238 N241 N243 N245 N247:N248 N251">
    <cfRule type="containsText" dxfId="2" priority="37444" operator="containsText" text="Yes">
      <formula>NOT(ISERROR(SEARCH(("Yes"),(N183))))</formula>
    </cfRule>
  </conditionalFormatting>
  <conditionalFormatting sqref="N183:Q183 N185:Q214 U204:V204 N217:Q221 N224:N226 N229:N230 N234 N238 N241 N243 N245 N247:N248 N251">
    <cfRule type="containsText" dxfId="2" priority="37445" operator="containsText" text="Yes">
      <formula>NOT(ISERROR(SEARCH(("Yes"),(N183))))</formula>
    </cfRule>
  </conditionalFormatting>
  <conditionalFormatting sqref="N183:Q183 N185:Q214 U204:V204 N217:Q221 N224:N226 N229:N230 N234 N238 N241 N243 N245 N247:N248 N251">
    <cfRule type="containsText" dxfId="2" priority="37446" operator="containsText" text="Yes">
      <formula>NOT(ISERROR(SEARCH(("Yes"),(N183))))</formula>
    </cfRule>
  </conditionalFormatting>
  <conditionalFormatting sqref="N183:Q183 N185:Q214 U204:V204 N217:Q221 N224:N226 N229:N230 N234 N238 N241 N243 N245 N247:N248 N251">
    <cfRule type="containsText" dxfId="2" priority="37447" operator="containsText" text="Yes">
      <formula>NOT(ISERROR(SEARCH(("Yes"),(N183))))</formula>
    </cfRule>
  </conditionalFormatting>
  <conditionalFormatting sqref="N183:Q183 N185:Q214 U204:V204 N217:Q221 N224:N226 N229:N230 N234 N238 N241 N243 N245 N247:N248 N251">
    <cfRule type="containsText" dxfId="2" priority="37448" operator="containsText" text="Yes">
      <formula>NOT(ISERROR(SEARCH(("Yes"),(N183))))</formula>
    </cfRule>
  </conditionalFormatting>
  <conditionalFormatting sqref="N183:Q183 N185:Q214 U204:V204 N217:Q221 N224:N226 N229:N230 N234 N238 N241 N243 N245 N247:N248 N251">
    <cfRule type="containsText" dxfId="2" priority="37449" operator="containsText" text="Yes">
      <formula>NOT(ISERROR(SEARCH(("Yes"),(N183))))</formula>
    </cfRule>
  </conditionalFormatting>
  <conditionalFormatting sqref="N183:Q183 N185:Q214 U204:V204 N217:Q221 N224:N226 N229:N230 N234 N238 N241 N243 N245 N247:N248 N251">
    <cfRule type="containsText" dxfId="2" priority="37450" operator="containsText" text="Yes">
      <formula>NOT(ISERROR(SEARCH(("Yes"),(N183))))</formula>
    </cfRule>
  </conditionalFormatting>
  <conditionalFormatting sqref="N183:Q183 N185:Q214 U204:V204 N217:Q221 N224:N226 N229:N230 N234 N238 N241 N243 N245 N247:N248 N251">
    <cfRule type="containsText" dxfId="2" priority="37451" operator="containsText" text="Yes">
      <formula>NOT(ISERROR(SEARCH(("Yes"),(N183))))</formula>
    </cfRule>
  </conditionalFormatting>
  <conditionalFormatting sqref="N183:Q183 N185:Q214 U204:V204 N217:Q221 N224:N226 N229:N230 N234 N238 N241 N243 N245 N247:N248 N251">
    <cfRule type="containsText" dxfId="2" priority="37452" operator="containsText" text="Yes">
      <formula>NOT(ISERROR(SEARCH(("Yes"),(N183))))</formula>
    </cfRule>
  </conditionalFormatting>
  <conditionalFormatting sqref="N183:Q183 N185:Q214 U204:V204 N217:Q221 N224:N226 N229:N230 N234 N238 N241 N243 N245 N247:N248 N251">
    <cfRule type="containsText" dxfId="2" priority="37453" operator="containsText" text="Yes">
      <formula>NOT(ISERROR(SEARCH(("Yes"),(N183))))</formula>
    </cfRule>
  </conditionalFormatting>
  <conditionalFormatting sqref="N183:Q183 N185:Q214 U204:V204 N217:Q221 N224:N226 N229:N230 N234 N238 N241 N243 N245 N247:N248 N251">
    <cfRule type="containsText" dxfId="2" priority="37454" operator="containsText" text="Yes">
      <formula>NOT(ISERROR(SEARCH(("Yes"),(N183))))</formula>
    </cfRule>
  </conditionalFormatting>
  <conditionalFormatting sqref="N183:Q183 N185:Q214 U204:V204 N217:Q221 N224:N226 N229:N230 N234 N238 N241 N243 N245 N247:N248 N251">
    <cfRule type="containsText" dxfId="2" priority="37455" operator="containsText" text="Yes">
      <formula>NOT(ISERROR(SEARCH(("Yes"),(N183))))</formula>
    </cfRule>
  </conditionalFormatting>
  <conditionalFormatting sqref="N183:Q183 N185:Q214 U204:V204 N217:Q221 N224:N226 N229:N230 N234 N238 N241 N243 N245 N247:N248 N251">
    <cfRule type="containsText" dxfId="2" priority="37456" operator="containsText" text="Yes">
      <formula>NOT(ISERROR(SEARCH(("Yes"),(N183))))</formula>
    </cfRule>
  </conditionalFormatting>
  <conditionalFormatting sqref="N183:Q183 N185:Q214 U204:V204 N217:Q221 N224:N226 N229:N230 N234 N238 N241 N243 N245 N247:N248 N251">
    <cfRule type="containsText" dxfId="2" priority="37457" operator="containsText" text="Yes">
      <formula>NOT(ISERROR(SEARCH(("Yes"),(N183))))</formula>
    </cfRule>
  </conditionalFormatting>
  <conditionalFormatting sqref="N183:Q183 N185:Q214 U204:V204 N217:Q221 N224:N226 N229:N230 N234 N238 N241 N243 N245 N247:N248 N251">
    <cfRule type="containsText" dxfId="2" priority="37458" operator="containsText" text="Yes">
      <formula>NOT(ISERROR(SEARCH(("Yes"),(N183))))</formula>
    </cfRule>
  </conditionalFormatting>
  <conditionalFormatting sqref="N183:Q183 N185:Q214 U204:V204 N217:Q221 N224:N226 N229:N230 N234 N238 N241 N243 N245 N247:N248 N251">
    <cfRule type="containsText" dxfId="2" priority="37459" operator="containsText" text="Yes">
      <formula>NOT(ISERROR(SEARCH(("Yes"),(N183))))</formula>
    </cfRule>
  </conditionalFormatting>
  <conditionalFormatting sqref="N183:Q183 N185:Q214 U204:V204 N217:Q221 N224:N226 N229:N230 N234 N238 N241 N243 N245 N247:N248 N251">
    <cfRule type="containsText" dxfId="2" priority="37460" operator="containsText" text="Yes">
      <formula>NOT(ISERROR(SEARCH(("Yes"),(N183))))</formula>
    </cfRule>
  </conditionalFormatting>
  <conditionalFormatting sqref="N183:Q183 N185:Q214 U204:V204 N217:Q221 N224:N226 N229:N230 N234 N238 N241 N243 N245 N247:N248 N251">
    <cfRule type="containsText" dxfId="2" priority="37461" operator="containsText" text="Yes">
      <formula>NOT(ISERROR(SEARCH(("Yes"),(N183))))</formula>
    </cfRule>
  </conditionalFormatting>
  <conditionalFormatting sqref="N183:Q183 N185:Q214 U204:V204 N217:Q221 N224:N226 N229:N230 N234 N238 N241 N243 N245 N247:N248 N251">
    <cfRule type="containsText" dxfId="2" priority="37462" operator="containsText" text="Yes">
      <formula>NOT(ISERROR(SEARCH(("Yes"),(N183))))</formula>
    </cfRule>
  </conditionalFormatting>
  <conditionalFormatting sqref="N183:Q183 N185:Q214 U204:V204 N217:Q221 N224:N226 N229:N230 N234 N238 N241 N243 N245 N247:N248 N251">
    <cfRule type="containsText" dxfId="2" priority="37463" operator="containsText" text="Yes">
      <formula>NOT(ISERROR(SEARCH(("Yes"),(N183))))</formula>
    </cfRule>
  </conditionalFormatting>
  <conditionalFormatting sqref="N183:Q183 N185:Q214 U204:V204 N217:Q221 N224:N226 N229:N230 N234 N238 N241 N243 N245 N247:N248 N251">
    <cfRule type="containsText" dxfId="2" priority="37464" operator="containsText" text="Yes">
      <formula>NOT(ISERROR(SEARCH(("Yes"),(N183))))</formula>
    </cfRule>
  </conditionalFormatting>
  <conditionalFormatting sqref="N183:Q183 N185:Q214 U204:V204 N217:Q221 N224:N226 N229:N230 N234 N238 N241 N243 N245 N247:N248 N251">
    <cfRule type="containsText" dxfId="2" priority="37465" operator="containsText" text="Yes">
      <formula>NOT(ISERROR(SEARCH(("Yes"),(N183))))</formula>
    </cfRule>
  </conditionalFormatting>
  <conditionalFormatting sqref="N183:Q183 N185:Q214 U204:V204 N217:Q221 N224:N226 N229:N230 N234 N238 N241 N243 N245 N247:N248 N251">
    <cfRule type="containsText" dxfId="2" priority="37466" operator="containsText" text="Yes">
      <formula>NOT(ISERROR(SEARCH(("Yes"),(N183))))</formula>
    </cfRule>
  </conditionalFormatting>
  <conditionalFormatting sqref="N183:Q183 N185:Q214 U204:V204 N217:Q221 N224:N226 N229:N230 N234 N238 N241 N243 N245 N247:N248 N251">
    <cfRule type="containsText" dxfId="2" priority="37467" operator="containsText" text="Yes">
      <formula>NOT(ISERROR(SEARCH(("Yes"),(N183))))</formula>
    </cfRule>
  </conditionalFormatting>
  <conditionalFormatting sqref="N183:Q183 N185:Q214 U204:V204 N217:Q221 N224:N226 N229:N230 N234 N238 N241 N243 N245 N247:N248 N251">
    <cfRule type="containsText" dxfId="2" priority="37468" operator="containsText" text="Yes">
      <formula>NOT(ISERROR(SEARCH(("Yes"),(N183))))</formula>
    </cfRule>
  </conditionalFormatting>
  <conditionalFormatting sqref="N183:Q183 N185:Q214 U204:V204 N217:Q221 N224:N226 N229:N230 N234 N238 N241 N243 N245 N247:N248 N251">
    <cfRule type="containsText" dxfId="2" priority="37469" operator="containsText" text="Yes">
      <formula>NOT(ISERROR(SEARCH(("Yes"),(N183))))</formula>
    </cfRule>
  </conditionalFormatting>
  <conditionalFormatting sqref="N183:Q183 N185:Q214 U204:V204 N217:Q221 N224:N226 N229:N230 N234 N238 N241 N243 N245 N247:N248 N251">
    <cfRule type="containsText" dxfId="2" priority="37470" operator="containsText" text="Yes">
      <formula>NOT(ISERROR(SEARCH(("Yes"),(N183))))</formula>
    </cfRule>
  </conditionalFormatting>
  <conditionalFormatting sqref="N183:Q183 N185:Q214 U204:V204 N217:Q221 N224:N226 N229:N230 N234 N238 N241 N243 N245 N247:N248 N251">
    <cfRule type="containsText" dxfId="2" priority="37471" operator="containsText" text="Yes">
      <formula>NOT(ISERROR(SEARCH(("Yes"),(N183))))</formula>
    </cfRule>
  </conditionalFormatting>
  <conditionalFormatting sqref="N183:Q183 N185:Q214 U204:V204 N217:Q221 N224:N226 N229:N230 N234 N238 N241 N243 N245 N247:N248 N251">
    <cfRule type="containsText" dxfId="2" priority="37472" operator="containsText" text="Yes">
      <formula>NOT(ISERROR(SEARCH(("Yes"),(N183))))</formula>
    </cfRule>
  </conditionalFormatting>
  <conditionalFormatting sqref="N183:Q183 N185:Q214 U204:V204 N217:Q221 N224:N226 N229:N230 N234 N238 N241 N243 N245 N247:N248 N251">
    <cfRule type="containsText" dxfId="2" priority="37473" operator="containsText" text="Yes">
      <formula>NOT(ISERROR(SEARCH(("Yes"),(N183))))</formula>
    </cfRule>
  </conditionalFormatting>
  <conditionalFormatting sqref="N183:Q183 N185:Q214 U204:V204 N217:Q221 N224:N226 N229:N230 N234 N238 N241 N243 N245 N247:N248 N251">
    <cfRule type="containsText" dxfId="2" priority="37474" operator="containsText" text="Yes">
      <formula>NOT(ISERROR(SEARCH(("Yes"),(N183))))</formula>
    </cfRule>
  </conditionalFormatting>
  <conditionalFormatting sqref="N183:Q183 N185:Q214 U204:V204 N217:Q221 N224:N226 N229:N230 N234 N238 N241 N243 N245 N247:N248 N251">
    <cfRule type="containsText" dxfId="2" priority="37475" operator="containsText" text="Yes">
      <formula>NOT(ISERROR(SEARCH(("Yes"),(N183))))</formula>
    </cfRule>
  </conditionalFormatting>
  <conditionalFormatting sqref="N183:Q183 N185:Q214 U204:V204 N217:Q221 N224:N226 N229:N230 N234 N238 N241 N243 N245 N247:N248 N251">
    <cfRule type="containsText" dxfId="2" priority="37476" operator="containsText" text="Yes">
      <formula>NOT(ISERROR(SEARCH(("Yes"),(N183))))</formula>
    </cfRule>
  </conditionalFormatting>
  <conditionalFormatting sqref="N183:Q183 N185:Q214 U204:V204 N217:Q221 N224:N226 N229:N230 N234 N238 N241 N243 N245 N247:N248 N251">
    <cfRule type="containsText" dxfId="2" priority="37477" operator="containsText" text="Yes">
      <formula>NOT(ISERROR(SEARCH(("Yes"),(N183))))</formula>
    </cfRule>
  </conditionalFormatting>
  <conditionalFormatting sqref="N183:Q183 N185:Q214 U204:V204 N217:Q221 N224:N226 N229:N230 N234 N238 N241 N243 N245 N247:N248 N251">
    <cfRule type="containsText" dxfId="2" priority="37478" operator="containsText" text="Yes">
      <formula>NOT(ISERROR(SEARCH(("Yes"),(N183))))</formula>
    </cfRule>
  </conditionalFormatting>
  <conditionalFormatting sqref="N183:Q183 N185:Q214 U204:V204 N217:Q221 N224:N226 N229:N230 N234 N238 N241 N243 N245 N247:N248 N251">
    <cfRule type="containsText" dxfId="2" priority="37479" operator="containsText" text="Yes">
      <formula>NOT(ISERROR(SEARCH(("Yes"),(N183))))</formula>
    </cfRule>
  </conditionalFormatting>
  <conditionalFormatting sqref="N184 N187:N216 O203 O205:O214 N222:N226 N228:N252 N254:N256 N258:N264 N267:N269 N272:N273 N275">
    <cfRule type="containsText" dxfId="9" priority="37480" operator="containsText" text="No">
      <formula>NOT(ISERROR(SEARCH(("No"),(N184))))</formula>
    </cfRule>
  </conditionalFormatting>
  <conditionalFormatting sqref="N184 N187:N216 O203 O205:O214 N222:N226 N228:N252 N254:N256 N258:N264 N267:N269 N272:N273 N275">
    <cfRule type="containsText" dxfId="9" priority="37481" operator="containsText" text="No">
      <formula>NOT(ISERROR(SEARCH(("No"),(N184))))</formula>
    </cfRule>
  </conditionalFormatting>
  <conditionalFormatting sqref="N184 N187:N216 O203 O205:O214 N222:N226 N228:N252 N254:N256 N258:N264 N267:N269 N272:N273 N275">
    <cfRule type="containsText" dxfId="9" priority="37482" operator="containsText" text="No">
      <formula>NOT(ISERROR(SEARCH(("No"),(N184))))</formula>
    </cfRule>
  </conditionalFormatting>
  <conditionalFormatting sqref="N184 N187:N216 O203 O205:O214 N222:N226 N228:N252 N254:N256 N258:N264 N267:N269 N272:N273 N275">
    <cfRule type="containsText" dxfId="2" priority="37483" operator="containsText" text="Yes">
      <formula>NOT(ISERROR(SEARCH(("Yes"),(N184))))</formula>
    </cfRule>
  </conditionalFormatting>
  <conditionalFormatting sqref="N184 N187:N216 O203 O205:O214 N222:N226 N228:N252 N254:N256 N258:N264 N267:N269 N272:N273 N275">
    <cfRule type="containsText" dxfId="2" priority="37484" operator="containsText" text="Yes">
      <formula>NOT(ISERROR(SEARCH(("Yes"),(N184))))</formula>
    </cfRule>
  </conditionalFormatting>
  <conditionalFormatting sqref="N184 N187:N216 O203 O205:O214 N222:N226 N228:N252 N254:N256 N258:N264 N267:N269 N272:N273 N275">
    <cfRule type="containsText" dxfId="2" priority="37485" operator="containsText" text="Yes">
      <formula>NOT(ISERROR(SEARCH(("Yes"),(N184))))</formula>
    </cfRule>
  </conditionalFormatting>
  <conditionalFormatting sqref="N184 N187:N216 O203 O205:O214 N222:N226 N228:N252 N254:N256 N258:N264 N267:N269 N272:N273 N275">
    <cfRule type="containsText" dxfId="2" priority="37486" operator="containsText" text="Yes">
      <formula>NOT(ISERROR(SEARCH(("Yes"),(N184))))</formula>
    </cfRule>
  </conditionalFormatting>
  <conditionalFormatting sqref="N184 N187:N216 O203 O205:O214 N222:N226 N228:N252 N254:N256 N258:N264 N267:N269 N272:N273 N275">
    <cfRule type="containsText" dxfId="2" priority="37487" operator="containsText" text="Yes">
      <formula>NOT(ISERROR(SEARCH(("Yes"),(N184))))</formula>
    </cfRule>
  </conditionalFormatting>
  <conditionalFormatting sqref="N184 N187:N216 O203 O205:O214 N222:N226 N228:N252 N254:N256 N258:N264 N267:N269 N272:N273 N275">
    <cfRule type="containsText" dxfId="9" priority="37488" operator="containsText" text="No">
      <formula>NOT(ISERROR(SEARCH(("No"),(N184))))</formula>
    </cfRule>
  </conditionalFormatting>
  <conditionalFormatting sqref="N184 N187:N216 O203 O205:O214 N222:N226 N228:N252 N254:N256 N258:N264 N267:N269 N272:N273 N275">
    <cfRule type="containsText" dxfId="2" priority="37489" operator="containsText" text="Yes">
      <formula>NOT(ISERROR(SEARCH(("Yes"),(N184))))</formula>
    </cfRule>
  </conditionalFormatting>
  <conditionalFormatting sqref="N184:O184 N187:N216 O187:O226 N222:N226 N228:O252 N254:O256 N258:O264 N267:O269 N272:O273 N275:O275">
    <cfRule type="containsText" dxfId="9" priority="37490" operator="containsText" text="No">
      <formula>NOT(ISERROR(SEARCH(("No"),(N184))))</formula>
    </cfRule>
  </conditionalFormatting>
  <conditionalFormatting sqref="N184:O184 N187:N216 O187:O226 N222:N226 N228:O252 N254:O256 N258:O264 N267:O269 N272:O273 N275:O275">
    <cfRule type="containsText" dxfId="9" priority="37491" operator="containsText" text="No">
      <formula>NOT(ISERROR(SEARCH(("No"),(N184))))</formula>
    </cfRule>
  </conditionalFormatting>
  <conditionalFormatting sqref="N184:O184 N187:N216 O187:O226 N222:N226 N228:O252 N254:O256 N258:O264 N267:O269 N272:O273 N275:O275">
    <cfRule type="containsText" dxfId="9" priority="37492" operator="containsText" text="No">
      <formula>NOT(ISERROR(SEARCH(("No"),(N184))))</formula>
    </cfRule>
  </conditionalFormatting>
  <conditionalFormatting sqref="N184:O184 N187:N216 O187:O226 N222:N226 N228:O252 N254:O256 N258:O264 N267:O269 N272:O273 N275:O275">
    <cfRule type="containsText" dxfId="2" priority="37493" operator="containsText" text="Yes">
      <formula>NOT(ISERROR(SEARCH(("Yes"),(N184))))</formula>
    </cfRule>
  </conditionalFormatting>
  <conditionalFormatting sqref="N184:O184 N187:N216 O187:O226 N222:N226 N228:O252 N254:O256 N258:O264 N267:O269 N272:O273 N275:O275">
    <cfRule type="containsText" dxfId="2" priority="37494" operator="containsText" text="Yes">
      <formula>NOT(ISERROR(SEARCH(("Yes"),(N184))))</formula>
    </cfRule>
  </conditionalFormatting>
  <conditionalFormatting sqref="N184:O184 N187:N216 O187:O226 N222:N226 N228:O252 N254:O256 N258:O264 N267:O269 N272:O273 N275:O275">
    <cfRule type="containsText" dxfId="2" priority="37495" operator="containsText" text="Yes">
      <formula>NOT(ISERROR(SEARCH(("Yes"),(N184))))</formula>
    </cfRule>
  </conditionalFormatting>
  <conditionalFormatting sqref="N184:O184 N187:N216 O187:O226 N222:N226 N228:O252 N254:O256 N258:O264 N267:O269 N272:O273 N275:O275">
    <cfRule type="containsText" dxfId="2" priority="37496" operator="containsText" text="Yes">
      <formula>NOT(ISERROR(SEARCH(("Yes"),(N184))))</formula>
    </cfRule>
  </conditionalFormatting>
  <conditionalFormatting sqref="N184:O184 N187:N216 O187:O226 N222:N226 N228:O252 N254:O256 N258:O264 N267:O269 N272:O273 N275:O275">
    <cfRule type="containsText" dxfId="2" priority="37497" operator="containsText" text="Yes">
      <formula>NOT(ISERROR(SEARCH(("Yes"),(N184))))</formula>
    </cfRule>
  </conditionalFormatting>
  <conditionalFormatting sqref="N184:O184 N187:N216 O187:O226 N222:N226 N228:O252 N254:O256 N258:O264 N267:O269 N272:O273 N275:O275">
    <cfRule type="containsText" dxfId="9" priority="37498" operator="containsText" text="No">
      <formula>NOT(ISERROR(SEARCH(("No"),(N184))))</formula>
    </cfRule>
  </conditionalFormatting>
  <conditionalFormatting sqref="N184:O184 N187:N216 O187:O226 N222:N226 N228:O252 N254:O256 N258:O264 N267:O269 N272:O273 N275:O275">
    <cfRule type="containsText" dxfId="9" priority="37499" operator="containsText" text="No">
      <formula>NOT(ISERROR(SEARCH(("No"),(N184))))</formula>
    </cfRule>
  </conditionalFormatting>
  <conditionalFormatting sqref="N184:O184 N187:N216 O187:O226 N222:N226 N228:O252 N254:O256 N258:O264 N267:O269 N272:O273 N275:O275">
    <cfRule type="containsText" dxfId="2" priority="37500" operator="containsText" text="Yes">
      <formula>NOT(ISERROR(SEARCH(("Yes"),(N184))))</formula>
    </cfRule>
  </conditionalFormatting>
  <conditionalFormatting sqref="P184:Q184 P187:Q216 U204:V204 P222:Q226 P228:Q252 P254:Q256 P258:Q264 O261:O264 O267:Q269 P272:Q275 O275">
    <cfRule type="containsText" dxfId="9" priority="37501" operator="containsText" text="No">
      <formula>NOT(ISERROR(SEARCH(("No"),(P184))))</formula>
    </cfRule>
  </conditionalFormatting>
  <conditionalFormatting sqref="P184:Q184 P187:Q216 U204:V204 P222:Q226 P228:Q252 P254:Q256 P258:Q264 O261:O264 O267:Q269 P272:Q275 O275">
    <cfRule type="containsText" dxfId="9" priority="37502" operator="containsText" text="No">
      <formula>NOT(ISERROR(SEARCH(("No"),(P184))))</formula>
    </cfRule>
  </conditionalFormatting>
  <conditionalFormatting sqref="P184:Q184 P187:Q216 U204:V204 P222:Q226 P228:Q252 P254:Q256 P258:Q264 O261:O264 O267:Q269 P272:Q275 O275">
    <cfRule type="containsText" dxfId="9" priority="37503" operator="containsText" text="No">
      <formula>NOT(ISERROR(SEARCH(("No"),(P184))))</formula>
    </cfRule>
  </conditionalFormatting>
  <conditionalFormatting sqref="P184:Q184 P187:Q216 U204:V204 P222:Q226 P228:Q252 P254:Q256 P258:Q264 O261:O264 O267:Q269 P272:Q275 O275">
    <cfRule type="containsText" dxfId="9" priority="37504" operator="containsText" text="No">
      <formula>NOT(ISERROR(SEARCH(("No"),(P184))))</formula>
    </cfRule>
  </conditionalFormatting>
  <conditionalFormatting sqref="P184:Q184 P187:Q216 U204:V204 P222:Q226 P228:Q252 P254:Q256 P258:Q264 O261:O264 O267:Q269 P272:Q275 O275">
    <cfRule type="containsText" dxfId="9" priority="37505" operator="containsText" text="No">
      <formula>NOT(ISERROR(SEARCH(("No"),(P184))))</formula>
    </cfRule>
  </conditionalFormatting>
  <conditionalFormatting sqref="P184:Q184 P187:Q216 U204:V204 P222:Q226 P228:Q252 P254:Q256 P258:Q264 O261:O264 O267:Q269 P272:Q275 O275">
    <cfRule type="containsText" dxfId="9" priority="37506" operator="containsText" text="No">
      <formula>NOT(ISERROR(SEARCH(("No"),(P184))))</formula>
    </cfRule>
  </conditionalFormatting>
  <conditionalFormatting sqref="P184:Q184 P187:Q216 U204:V204 P222:Q226 P228:Q252 P254:Q256 P258:Q264 O261:O264 O267:Q269 P272:Q275 O275">
    <cfRule type="containsText" dxfId="9" priority="37507" operator="containsText" text="No">
      <formula>NOT(ISERROR(SEARCH(("No"),(P184))))</formula>
    </cfRule>
  </conditionalFormatting>
  <conditionalFormatting sqref="P184:Q184 P187:Q216 U204:V204 P222:Q226 P228:Q252 P254:Q256 P258:Q264 O261:O264 O267:Q269 P272:Q275 O275">
    <cfRule type="containsText" dxfId="9" priority="37508" operator="containsText" text="No">
      <formula>NOT(ISERROR(SEARCH(("No"),(P184))))</formula>
    </cfRule>
  </conditionalFormatting>
  <conditionalFormatting sqref="P184:Q184 P187:Q216 U204:V204 P222:Q226 P228:Q252 P254:Q256 P258:Q264 O261:O264 O267:Q269 P272:Q275 O275">
    <cfRule type="containsText" dxfId="9" priority="37509" operator="containsText" text="No">
      <formula>NOT(ISERROR(SEARCH(("No"),(P184))))</formula>
    </cfRule>
  </conditionalFormatting>
  <conditionalFormatting sqref="P184:Q184 P187:Q216 U204:V204 P222:Q226 P228:Q252 P254:Q256 P258:Q264 O261:O264 O267:Q269 P272:Q275 O275">
    <cfRule type="containsText" dxfId="9" priority="37510" operator="containsText" text="No">
      <formula>NOT(ISERROR(SEARCH(("No"),(P184))))</formula>
    </cfRule>
  </conditionalFormatting>
  <conditionalFormatting sqref="P184:Q184 P187:Q216 U204:V204 P222:Q226 P228:Q252 P254:Q256 P258:Q264 O261:O264 O267:Q269 P272:Q275 O275">
    <cfRule type="containsText" dxfId="9" priority="37511" operator="containsText" text="No">
      <formula>NOT(ISERROR(SEARCH(("No"),(P184))))</formula>
    </cfRule>
  </conditionalFormatting>
  <conditionalFormatting sqref="P184:Q184 P187:Q216 U204:V204 P222:Q226 P228:Q252 P254:Q256 P258:Q264 O261:O264 O267:Q269 P272:Q275 O275">
    <cfRule type="containsText" dxfId="9" priority="37512" operator="containsText" text="No">
      <formula>NOT(ISERROR(SEARCH(("No"),(P184))))</formula>
    </cfRule>
  </conditionalFormatting>
  <conditionalFormatting sqref="P184:Q184 P187:Q216 U204:V204 P222:Q226 P228:Q252 P254:Q256 P258:Q264 O261:O264 O267:Q269 P272:Q275 O275">
    <cfRule type="containsText" dxfId="9" priority="37513" operator="containsText" text="No">
      <formula>NOT(ISERROR(SEARCH(("No"),(P184))))</formula>
    </cfRule>
  </conditionalFormatting>
  <conditionalFormatting sqref="P184:Q184 P187:Q216 U204:V204 P222:Q226 P228:Q252 P254:Q256 P258:Q264 O261:O264 O267:Q269 P272:Q275 O275">
    <cfRule type="containsText" dxfId="9" priority="37514" operator="containsText" text="No">
      <formula>NOT(ISERROR(SEARCH(("No"),(P184))))</formula>
    </cfRule>
  </conditionalFormatting>
  <conditionalFormatting sqref="P184:Q184 P187:Q216 U204:V204 P222:Q226 P228:Q252 P254:Q256 P258:Q264 O261:O264 O267:Q269 P272:Q275 O275">
    <cfRule type="containsText" dxfId="9" priority="37515" operator="containsText" text="No">
      <formula>NOT(ISERROR(SEARCH(("No"),(P184))))</formula>
    </cfRule>
  </conditionalFormatting>
  <conditionalFormatting sqref="P184:Q184 P187:Q216 U204:V204 P222:Q226 P228:Q252 P254:Q256 P258:Q264 O261:O264 O267:Q269 P272:Q275 O275">
    <cfRule type="containsText" dxfId="9" priority="37516" operator="containsText" text="No">
      <formula>NOT(ISERROR(SEARCH(("No"),(P184))))</formula>
    </cfRule>
  </conditionalFormatting>
  <conditionalFormatting sqref="P184:Q184 P187:Q216 U204:V204 P222:Q226 P228:Q252 P254:Q256 P258:Q264 O261:O264 O267:Q269 P272:Q275 O275">
    <cfRule type="containsText" dxfId="9" priority="37517" operator="containsText" text="No">
      <formula>NOT(ISERROR(SEARCH(("No"),(P184))))</formula>
    </cfRule>
  </conditionalFormatting>
  <conditionalFormatting sqref="P184:Q184 P187:Q216 U204:V204 P222:Q226 P228:Q252 P254:Q256 P258:Q264 O261:O264 O267:Q269 P272:Q275 O275">
    <cfRule type="containsText" dxfId="9" priority="37518" operator="containsText" text="No">
      <formula>NOT(ISERROR(SEARCH(("No"),(P184))))</formula>
    </cfRule>
  </conditionalFormatting>
  <conditionalFormatting sqref="P184:Q184 P187:Q216 U204:V204 P222:Q226 P228:Q252 P254:Q256 P258:Q264 O261:O264 O267:Q269 P272:Q275 O275">
    <cfRule type="containsText" dxfId="9" priority="37519" operator="containsText" text="No">
      <formula>NOT(ISERROR(SEARCH(("No"),(P184))))</formula>
    </cfRule>
  </conditionalFormatting>
  <conditionalFormatting sqref="P184:Q184 P187:Q216 U204:V204 P222:Q226 P228:Q252 P254:Q256 P258:Q264 O261:O264 O267:Q269 P272:Q275 O275">
    <cfRule type="containsText" dxfId="9" priority="37520" operator="containsText" text="No">
      <formula>NOT(ISERROR(SEARCH(("No"),(P184))))</formula>
    </cfRule>
  </conditionalFormatting>
  <conditionalFormatting sqref="P184:Q184 P187:Q216 U204:V204 P222:Q226 P228:Q252 P254:Q256 P258:Q264 O261:O264 O267:Q269 P272:Q275 O275">
    <cfRule type="containsText" dxfId="9" priority="37521" operator="containsText" text="No">
      <formula>NOT(ISERROR(SEARCH(("No"),(P184))))</formula>
    </cfRule>
  </conditionalFormatting>
  <conditionalFormatting sqref="P184:Q184 P187:Q216 U204:V204 P222:Q226 P228:Q252 P254:Q256 P258:Q264 O261:O264 O267:Q269 P272:Q275 O275">
    <cfRule type="containsText" dxfId="9" priority="37522" operator="containsText" text="No">
      <formula>NOT(ISERROR(SEARCH(("No"),(P184))))</formula>
    </cfRule>
  </conditionalFormatting>
  <conditionalFormatting sqref="P184:Q184 P187:Q216 U204:V204 P222:Q226 P228:Q252 P254:Q256 P258:Q264 O261:O264 O267:Q269 P272:Q275 O275">
    <cfRule type="containsText" dxfId="9" priority="37523" operator="containsText" text="No">
      <formula>NOT(ISERROR(SEARCH(("No"),(P184))))</formula>
    </cfRule>
  </conditionalFormatting>
  <conditionalFormatting sqref="P184:Q184 P187:Q216 U204:V204 P222:Q226 P228:Q252 P254:Q256 P258:Q264 O261:O264 O267:Q269 P272:Q275 O275">
    <cfRule type="containsText" dxfId="9" priority="37524" operator="containsText" text="No">
      <formula>NOT(ISERROR(SEARCH(("No"),(P184))))</formula>
    </cfRule>
  </conditionalFormatting>
  <conditionalFormatting sqref="P184:Q184 P187:Q216 U204:V204 P222:Q226 P228:Q252 P254:Q256 P258:Q264 O261:O264 O267:Q269 P272:Q275 O275">
    <cfRule type="containsText" dxfId="9" priority="37525" operator="containsText" text="No">
      <formula>NOT(ISERROR(SEARCH(("No"),(P184))))</formula>
    </cfRule>
  </conditionalFormatting>
  <conditionalFormatting sqref="P184:Q184 P187:Q216 U204:V204 P222:Q226 P228:Q252 P254:Q256 P258:Q264 O261:O264 O267:Q269 P272:Q275 O275">
    <cfRule type="containsText" dxfId="9" priority="37526" operator="containsText" text="No">
      <formula>NOT(ISERROR(SEARCH(("No"),(P184))))</formula>
    </cfRule>
  </conditionalFormatting>
  <conditionalFormatting sqref="P184:Q184 P187:Q216 U204:V204 P222:Q226 P228:Q252 P254:Q256 P258:Q264 O261:O264 O267:Q269 P272:Q275 O275">
    <cfRule type="containsText" dxfId="9" priority="37527" operator="containsText" text="No">
      <formula>NOT(ISERROR(SEARCH(("No"),(P184))))</formula>
    </cfRule>
  </conditionalFormatting>
  <conditionalFormatting sqref="P184:Q184 P187:Q216 U204:V204 P222:Q226 P228:Q252 P254:Q256 P258:Q264 O261:O264 O267:Q269 P272:Q275 O275">
    <cfRule type="containsText" dxfId="9" priority="37528" operator="containsText" text="No">
      <formula>NOT(ISERROR(SEARCH(("No"),(P184))))</formula>
    </cfRule>
  </conditionalFormatting>
  <conditionalFormatting sqref="P184:Q184 P187:Q216 U204:V204 P222:Q226 P228:Q252 P254:Q256 P258:Q264 O261:O264 O267:Q269 P272:Q275 O275">
    <cfRule type="containsText" dxfId="9" priority="37529" operator="containsText" text="No">
      <formula>NOT(ISERROR(SEARCH(("No"),(P184))))</formula>
    </cfRule>
  </conditionalFormatting>
  <conditionalFormatting sqref="P184:Q184 P187:Q216 U204:V204 P222:Q226 P228:Q252 P254:Q256 P258:Q264 O261:O264 O267:Q269 P272:Q275 O275">
    <cfRule type="containsText" dxfId="9" priority="37530" operator="containsText" text="No">
      <formula>NOT(ISERROR(SEARCH(("No"),(P184))))</formula>
    </cfRule>
  </conditionalFormatting>
  <conditionalFormatting sqref="P184:Q184 P187:Q216 U204:V204 P222:Q226 P228:Q252 P254:Q256 P258:Q264 O261:O264 O267:Q269 P272:Q275 O275">
    <cfRule type="containsText" dxfId="9" priority="37531" operator="containsText" text="No">
      <formula>NOT(ISERROR(SEARCH(("No"),(P184))))</formula>
    </cfRule>
  </conditionalFormatting>
  <conditionalFormatting sqref="P184:Q184 P187:Q216 U204:V204 P222:Q226 P228:Q252 P254:Q256 P258:Q264 O261:O264 O267:Q269 P272:Q275 O275">
    <cfRule type="containsText" dxfId="9" priority="37532" operator="containsText" text="No">
      <formula>NOT(ISERROR(SEARCH(("No"),(P184))))</formula>
    </cfRule>
  </conditionalFormatting>
  <conditionalFormatting sqref="P184:Q184 P187:Q216 U204:V204 P222:Q226 P228:Q252 P254:Q256 P258:Q264 O261:O264 O267:Q269 P272:Q275 O275">
    <cfRule type="containsText" dxfId="9" priority="37533" operator="containsText" text="No">
      <formula>NOT(ISERROR(SEARCH(("No"),(P184))))</formula>
    </cfRule>
  </conditionalFormatting>
  <conditionalFormatting sqref="P184:Q184 P187:Q216 U204:V204 P222:Q226 P228:Q252 P254:Q256 P258:Q264 O261:O264 O267:Q269 P272:Q275 O275">
    <cfRule type="containsText" dxfId="9" priority="37534" operator="containsText" text="No">
      <formula>NOT(ISERROR(SEARCH(("No"),(P184))))</formula>
    </cfRule>
  </conditionalFormatting>
  <conditionalFormatting sqref="P184:Q184 P187:Q216 U204:V204 P222:Q226 P228:Q252 P254:Q256 P258:Q264 O261:O264 O267:Q269 P272:Q275 O275">
    <cfRule type="containsText" dxfId="9" priority="37535" operator="containsText" text="No">
      <formula>NOT(ISERROR(SEARCH(("No"),(P184))))</formula>
    </cfRule>
  </conditionalFormatting>
  <conditionalFormatting sqref="P184:Q184 P187:Q216 U204:V204 P222:Q226 P228:Q252 P254:Q256 P258:Q264 O261:O264 O267:Q269 P272:Q275 O275">
    <cfRule type="containsText" dxfId="9" priority="37536" operator="containsText" text="No">
      <formula>NOT(ISERROR(SEARCH(("No"),(P184))))</formula>
    </cfRule>
  </conditionalFormatting>
  <conditionalFormatting sqref="P184:Q184 P187:Q216 U204:V204 P222:Q226 P228:Q252 P254:Q256 P258:Q264 O261:O264 O267:Q269 P272:Q275 O275">
    <cfRule type="containsText" dxfId="9" priority="37537" operator="containsText" text="No">
      <formula>NOT(ISERROR(SEARCH(("No"),(P184))))</formula>
    </cfRule>
  </conditionalFormatting>
  <conditionalFormatting sqref="P184:Q184 P187:Q216 U204:V204 P222:Q226 P228:Q252 P254:Q256 P258:Q264 O261:O264 O267:Q269 P272:Q275 O275">
    <cfRule type="containsText" dxfId="9" priority="37538" operator="containsText" text="No">
      <formula>NOT(ISERROR(SEARCH(("No"),(P184))))</formula>
    </cfRule>
  </conditionalFormatting>
  <conditionalFormatting sqref="P184:Q184 P187:Q216 U204:V204 P222:Q226 P228:Q252 P254:Q256 P258:Q264 O261:O264 O267:Q269 P272:Q275 O275">
    <cfRule type="containsText" dxfId="9" priority="37539" operator="containsText" text="No">
      <formula>NOT(ISERROR(SEARCH(("No"),(P184))))</formula>
    </cfRule>
  </conditionalFormatting>
  <conditionalFormatting sqref="P184:Q184 P187:Q216 U204:V204 P222:Q226 P228:Q252 P254:Q256 P258:Q264 O261:O264 O267:Q269 P272:Q275 O275">
    <cfRule type="containsText" dxfId="9" priority="37540" operator="containsText" text="No">
      <formula>NOT(ISERROR(SEARCH(("No"),(P184))))</formula>
    </cfRule>
  </conditionalFormatting>
  <conditionalFormatting sqref="P184:Q184 P187:Q216 U204:V204 P222:Q226 P228:Q252 P254:Q256 P258:Q264 O261:O264 O267:Q269 P272:Q275 O275">
    <cfRule type="containsText" dxfId="9" priority="37541" operator="containsText" text="No">
      <formula>NOT(ISERROR(SEARCH(("No"),(P184))))</formula>
    </cfRule>
  </conditionalFormatting>
  <conditionalFormatting sqref="P184:Q184 P187:Q216 U204:V204 P222:Q226 P228:Q252 P254:Q256 P258:Q264 O261:O264 O267:Q269 P272:Q275 O275">
    <cfRule type="containsText" dxfId="9" priority="37542" operator="containsText" text="No">
      <formula>NOT(ISERROR(SEARCH(("No"),(P184))))</formula>
    </cfRule>
  </conditionalFormatting>
  <conditionalFormatting sqref="P184:Q184 P187:Q216 U204:V204 P222:Q226 P228:Q252 P254:Q256 P258:Q264 O261:O264 O267:Q269 P272:Q275 O275">
    <cfRule type="containsText" dxfId="9" priority="37543" operator="containsText" text="No">
      <formula>NOT(ISERROR(SEARCH(("No"),(P184))))</formula>
    </cfRule>
  </conditionalFormatting>
  <conditionalFormatting sqref="P184:Q184 P187:Q216 U204:V204 P222:Q226 P228:Q252 P254:Q256 P258:Q264 O261:O264 O267:Q269 P272:Q275 O275">
    <cfRule type="containsText" dxfId="9" priority="37544" operator="containsText" text="No">
      <formula>NOT(ISERROR(SEARCH(("No"),(P184))))</formula>
    </cfRule>
  </conditionalFormatting>
  <conditionalFormatting sqref="P184:Q184 P187:Q216 U204:V204 P222:Q226 P228:Q252 P254:Q256 P258:Q264 O261:O264 O267:Q269 P272:Q275 O275">
    <cfRule type="containsText" dxfId="9" priority="37545" operator="containsText" text="No">
      <formula>NOT(ISERROR(SEARCH(("No"),(P184))))</formula>
    </cfRule>
  </conditionalFormatting>
  <conditionalFormatting sqref="P184:Q184 P187:Q216 U204:V204 P222:Q226 P228:Q252 P254:Q256 P258:Q264 O261:O264 O267:Q269 P272:Q275 O275">
    <cfRule type="containsText" dxfId="2" priority="37546" operator="containsText" text="Yes">
      <formula>NOT(ISERROR(SEARCH(("Yes"),(P184))))</formula>
    </cfRule>
  </conditionalFormatting>
  <conditionalFormatting sqref="P184:Q184 P187:Q216 U204:V204 P222:Q226 P228:Q252 P254:Q256 P258:Q264 O261:O264 O267:Q269 P272:Q275 O275">
    <cfRule type="containsText" dxfId="2" priority="37547" operator="containsText" text="Yes">
      <formula>NOT(ISERROR(SEARCH(("Yes"),(P184))))</formula>
    </cfRule>
  </conditionalFormatting>
  <conditionalFormatting sqref="P184:Q184 P187:Q216 U204:V204 P222:Q226 P228:Q252 P254:Q256 P258:Q264 O261:O264 O267:Q269 P272:Q275 O275">
    <cfRule type="containsText" dxfId="2" priority="37548" operator="containsText" text="Yes">
      <formula>NOT(ISERROR(SEARCH(("Yes"),(P184))))</formula>
    </cfRule>
  </conditionalFormatting>
  <conditionalFormatting sqref="P184:Q184 P187:Q216 U204:V204 P222:Q226 P228:Q252 P254:Q256 P258:Q264 O261:O264 O267:Q269 P272:Q275 O275">
    <cfRule type="containsText" dxfId="2" priority="37549" operator="containsText" text="Yes">
      <formula>NOT(ISERROR(SEARCH(("Yes"),(P184))))</formula>
    </cfRule>
  </conditionalFormatting>
  <conditionalFormatting sqref="P184:Q184 P187:Q216 U204:V204 P222:Q226 P228:Q252 P254:Q256 P258:Q264 O261:O264 O267:Q269 P272:Q275 O275">
    <cfRule type="containsText" dxfId="2" priority="37550" operator="containsText" text="Yes">
      <formula>NOT(ISERROR(SEARCH(("Yes"),(P184))))</formula>
    </cfRule>
  </conditionalFormatting>
  <conditionalFormatting sqref="P184:Q184 P187:Q216 U204:V204 P222:Q226 P228:Q252 P254:Q256 P258:Q264 O261:O264 O267:Q269 P272:Q275 O275">
    <cfRule type="containsText" dxfId="2" priority="37551" operator="containsText" text="Yes">
      <formula>NOT(ISERROR(SEARCH(("Yes"),(P184))))</formula>
    </cfRule>
  </conditionalFormatting>
  <conditionalFormatting sqref="P184:Q184 P187:Q216 U204:V204 P222:Q226 P228:Q252 P254:Q256 P258:Q264 O261:O264 O267:Q269 P272:Q275 O275">
    <cfRule type="containsText" dxfId="2" priority="37552" operator="containsText" text="Yes">
      <formula>NOT(ISERROR(SEARCH(("Yes"),(P184))))</formula>
    </cfRule>
  </conditionalFormatting>
  <conditionalFormatting sqref="P184:Q184 P187:Q216 U204:V204 P222:Q226 P228:Q252 P254:Q256 P258:Q264 O261:O264 O267:Q269 P272:Q275 O275">
    <cfRule type="containsText" dxfId="2" priority="37553" operator="containsText" text="Yes">
      <formula>NOT(ISERROR(SEARCH(("Yes"),(P184))))</formula>
    </cfRule>
  </conditionalFormatting>
  <conditionalFormatting sqref="P184:Q184 P187:Q216 U204:V204 P222:Q226 P228:Q252 P254:Q256 P258:Q264 O261:O264 O267:Q269 P272:Q275 O275">
    <cfRule type="containsText" dxfId="2" priority="37554" operator="containsText" text="Yes">
      <formula>NOT(ISERROR(SEARCH(("Yes"),(P184))))</formula>
    </cfRule>
  </conditionalFormatting>
  <conditionalFormatting sqref="P184:Q184 P187:Q216 U204:V204 P222:Q226 P228:Q252 P254:Q256 P258:Q264 O261:O264 O267:Q269 P272:Q275 O275">
    <cfRule type="containsText" dxfId="2" priority="37555" operator="containsText" text="Yes">
      <formula>NOT(ISERROR(SEARCH(("Yes"),(P184))))</formula>
    </cfRule>
  </conditionalFormatting>
  <conditionalFormatting sqref="P184:Q184 P187:Q216 U204:V204 P222:Q226 P228:Q252 P254:Q256 P258:Q264 O261:O264 O267:Q269 P272:Q275 O275">
    <cfRule type="containsText" dxfId="2" priority="37556" operator="containsText" text="Yes">
      <formula>NOT(ISERROR(SEARCH(("Yes"),(P184))))</formula>
    </cfRule>
  </conditionalFormatting>
  <conditionalFormatting sqref="P184:Q184 P187:Q216 U204:V204 P222:Q226 P228:Q252 P254:Q256 P258:Q264 O261:O264 O267:Q269 P272:Q275 O275">
    <cfRule type="containsText" dxfId="2" priority="37557" operator="containsText" text="Yes">
      <formula>NOT(ISERROR(SEARCH(("Yes"),(P184))))</formula>
    </cfRule>
  </conditionalFormatting>
  <conditionalFormatting sqref="P184:Q184 P187:Q216 U204:V204 P222:Q226 P228:Q252 P254:Q256 P258:Q264 O261:O264 O267:Q269 P272:Q275 O275">
    <cfRule type="containsText" dxfId="2" priority="37558" operator="containsText" text="Yes">
      <formula>NOT(ISERROR(SEARCH(("Yes"),(P184))))</formula>
    </cfRule>
  </conditionalFormatting>
  <conditionalFormatting sqref="P184:Q184 P187:Q216 U204:V204 P222:Q226 P228:Q252 P254:Q256 P258:Q264 O261:O264 O267:Q269 P272:Q275 O275">
    <cfRule type="containsText" dxfId="2" priority="37559" operator="containsText" text="Yes">
      <formula>NOT(ISERROR(SEARCH(("Yes"),(P184))))</formula>
    </cfRule>
  </conditionalFormatting>
  <conditionalFormatting sqref="P184:Q184 P187:Q216 U204:V204 P222:Q226 P228:Q252 P254:Q256 P258:Q264 O261:O264 O267:Q269 P272:Q275 O275">
    <cfRule type="containsText" dxfId="2" priority="37560" operator="containsText" text="Yes">
      <formula>NOT(ISERROR(SEARCH(("Yes"),(P184))))</formula>
    </cfRule>
  </conditionalFormatting>
  <conditionalFormatting sqref="P184:Q184 P187:Q216 U204:V204 P222:Q226 P228:Q252 P254:Q256 P258:Q264 O261:O264 O267:Q269 P272:Q275 O275">
    <cfRule type="containsText" dxfId="2" priority="37561" operator="containsText" text="Yes">
      <formula>NOT(ISERROR(SEARCH(("Yes"),(P184))))</formula>
    </cfRule>
  </conditionalFormatting>
  <conditionalFormatting sqref="P184:Q184 P187:Q216 U204:V204 P222:Q226 P228:Q252 P254:Q256 P258:Q264 O261:O264 O267:Q269 P272:Q275 O275">
    <cfRule type="containsText" dxfId="2" priority="37562" operator="containsText" text="Yes">
      <formula>NOT(ISERROR(SEARCH(("Yes"),(P184))))</formula>
    </cfRule>
  </conditionalFormatting>
  <conditionalFormatting sqref="P184:Q184 P187:Q216 U204:V204 P222:Q226 P228:Q252 P254:Q256 P258:Q264 O261:O264 O267:Q269 P272:Q275 O275">
    <cfRule type="containsText" dxfId="2" priority="37563" operator="containsText" text="Yes">
      <formula>NOT(ISERROR(SEARCH(("Yes"),(P184))))</formula>
    </cfRule>
  </conditionalFormatting>
  <conditionalFormatting sqref="P184:Q184 P187:Q216 U204:V204 P222:Q226 P228:Q252 P254:Q256 P258:Q264 O261:O264 O267:Q269 P272:Q275 O275">
    <cfRule type="containsText" dxfId="2" priority="37564" operator="containsText" text="Yes">
      <formula>NOT(ISERROR(SEARCH(("Yes"),(P184))))</formula>
    </cfRule>
  </conditionalFormatting>
  <conditionalFormatting sqref="P184:Q184 P187:Q216 U204:V204 P222:Q226 P228:Q252 P254:Q256 P258:Q264 O261:O264 O267:Q269 P272:Q275 O275">
    <cfRule type="containsText" dxfId="2" priority="37565" operator="containsText" text="Yes">
      <formula>NOT(ISERROR(SEARCH(("Yes"),(P184))))</formula>
    </cfRule>
  </conditionalFormatting>
  <conditionalFormatting sqref="P184:Q184 P187:Q216 U204:V204 P222:Q226 P228:Q252 P254:Q256 P258:Q264 O261:O264 O267:Q269 P272:Q275 O275">
    <cfRule type="containsText" dxfId="2" priority="37566" operator="containsText" text="Yes">
      <formula>NOT(ISERROR(SEARCH(("Yes"),(P184))))</formula>
    </cfRule>
  </conditionalFormatting>
  <conditionalFormatting sqref="P184:Q184 P187:Q216 U204:V204 P222:Q226 P228:Q252 P254:Q256 P258:Q264 O261:O264 O267:Q269 P272:Q275 O275">
    <cfRule type="containsText" dxfId="2" priority="37567" operator="containsText" text="Yes">
      <formula>NOT(ISERROR(SEARCH(("Yes"),(P184))))</formula>
    </cfRule>
  </conditionalFormatting>
  <conditionalFormatting sqref="P184:Q184 P187:Q216 U204:V204 P222:Q226 P228:Q252 P254:Q256 P258:Q264 O261:O264 O267:Q269 P272:Q275 O275">
    <cfRule type="containsText" dxfId="2" priority="37568" operator="containsText" text="Yes">
      <formula>NOT(ISERROR(SEARCH(("Yes"),(P184))))</formula>
    </cfRule>
  </conditionalFormatting>
  <conditionalFormatting sqref="P184:Q184 P187:Q216 U204:V204 P222:Q226 P228:Q252 P254:Q256 P258:Q264 O261:O264 O267:Q269 P272:Q275 O275">
    <cfRule type="containsText" dxfId="2" priority="37569" operator="containsText" text="Yes">
      <formula>NOT(ISERROR(SEARCH(("Yes"),(P184))))</formula>
    </cfRule>
  </conditionalFormatting>
  <conditionalFormatting sqref="P184:Q184 P187:Q216 U204:V204 P222:Q226 P228:Q252 P254:Q256 P258:Q264 O261:O264 O267:Q269 P272:Q275 O275">
    <cfRule type="containsText" dxfId="2" priority="37570" operator="containsText" text="Yes">
      <formula>NOT(ISERROR(SEARCH(("Yes"),(P184))))</formula>
    </cfRule>
  </conditionalFormatting>
  <conditionalFormatting sqref="P184:Q184 P187:Q216 U204:V204 P222:Q226 P228:Q252 P254:Q256 P258:Q264 O261:O264 O267:Q269 P272:Q275 O275">
    <cfRule type="containsText" dxfId="2" priority="37571" operator="containsText" text="Yes">
      <formula>NOT(ISERROR(SEARCH(("Yes"),(P184))))</formula>
    </cfRule>
  </conditionalFormatting>
  <conditionalFormatting sqref="P184:Q184 P187:Q216 U204:V204 P222:Q226 P228:Q252 P254:Q256 P258:Q264 O261:O264 O267:Q269 P272:Q275 O275">
    <cfRule type="containsText" dxfId="2" priority="37572" operator="containsText" text="Yes">
      <formula>NOT(ISERROR(SEARCH(("Yes"),(P184))))</formula>
    </cfRule>
  </conditionalFormatting>
  <conditionalFormatting sqref="P184:Q184 P187:Q216 U204:V204 P222:Q226 P228:Q252 P254:Q256 P258:Q264 O261:O264 O267:Q269 P272:Q275 O275">
    <cfRule type="containsText" dxfId="2" priority="37573" operator="containsText" text="Yes">
      <formula>NOT(ISERROR(SEARCH(("Yes"),(P184))))</formula>
    </cfRule>
  </conditionalFormatting>
  <conditionalFormatting sqref="P184:Q184 P187:Q216 U204:V204 P222:Q226 P228:Q252 P254:Q256 P258:Q264 O261:O264 O267:Q269 P272:Q275 O275">
    <cfRule type="containsText" dxfId="2" priority="37574" operator="containsText" text="Yes">
      <formula>NOT(ISERROR(SEARCH(("Yes"),(P184))))</formula>
    </cfRule>
  </conditionalFormatting>
  <conditionalFormatting sqref="P184:Q184 P187:Q216 U204:V204 P222:Q226 P228:Q252 P254:Q256 P258:Q264 O261:O264 O267:Q269 P272:Q275 O275">
    <cfRule type="containsText" dxfId="2" priority="37575" operator="containsText" text="Yes">
      <formula>NOT(ISERROR(SEARCH(("Yes"),(P184))))</formula>
    </cfRule>
  </conditionalFormatting>
  <conditionalFormatting sqref="P184:Q184 P187:Q216 U204:V204 P222:Q226 P228:Q252 P254:Q256 P258:Q264 O261:O264 O267:Q269 P272:Q275 O275">
    <cfRule type="containsText" dxfId="2" priority="37576" operator="containsText" text="Yes">
      <formula>NOT(ISERROR(SEARCH(("Yes"),(P184))))</formula>
    </cfRule>
  </conditionalFormatting>
  <conditionalFormatting sqref="P184:Q184 P187:Q216 U204:V204 P222:Q226 P228:Q252 P254:Q256 P258:Q264 O261:O264 O267:Q269 P272:Q275 O275">
    <cfRule type="containsText" dxfId="2" priority="37577" operator="containsText" text="Yes">
      <formula>NOT(ISERROR(SEARCH(("Yes"),(P184))))</formula>
    </cfRule>
  </conditionalFormatting>
  <conditionalFormatting sqref="P184:Q184 P187:Q216 U204:V204 P222:Q226 P228:Q252 P254:Q256 P258:Q264 O261:O264 O267:Q269 P272:Q275 O275">
    <cfRule type="containsText" dxfId="2" priority="37578" operator="containsText" text="Yes">
      <formula>NOT(ISERROR(SEARCH(("Yes"),(P184))))</formula>
    </cfRule>
  </conditionalFormatting>
  <conditionalFormatting sqref="P184:Q184 P187:Q216 U204:V204 P222:Q226 P228:Q252 P254:Q256 P258:Q264 O261:O264 O267:Q269 P272:Q275 O275">
    <cfRule type="containsText" dxfId="2" priority="37579" operator="containsText" text="Yes">
      <formula>NOT(ISERROR(SEARCH(("Yes"),(P184))))</formula>
    </cfRule>
  </conditionalFormatting>
  <conditionalFormatting sqref="P184:Q184 P187:Q216 U204:V204 P222:Q226 P228:Q252 P254:Q256 P258:Q264 O261:O264 O267:Q269 P272:Q275 O275">
    <cfRule type="containsText" dxfId="2" priority="37580" operator="containsText" text="Yes">
      <formula>NOT(ISERROR(SEARCH(("Yes"),(P184))))</formula>
    </cfRule>
  </conditionalFormatting>
  <conditionalFormatting sqref="P184:Q184 P187:Q216 U204:V204 P222:Q226 P228:Q252 P254:Q256 P258:Q264 O261:O264 O267:Q269 P272:Q275 O275">
    <cfRule type="containsText" dxfId="2" priority="37581" operator="containsText" text="Yes">
      <formula>NOT(ISERROR(SEARCH(("Yes"),(P184))))</formula>
    </cfRule>
  </conditionalFormatting>
  <conditionalFormatting sqref="P184:Q184 P187:Q216 U204:V204 P222:Q226 P228:Q252 P254:Q256 P258:Q264 O261:O264 O267:Q269 P272:Q275 O275">
    <cfRule type="containsText" dxfId="2" priority="37582" operator="containsText" text="Yes">
      <formula>NOT(ISERROR(SEARCH(("Yes"),(P184))))</formula>
    </cfRule>
  </conditionalFormatting>
  <conditionalFormatting sqref="P184:Q184 P187:Q216 U204:V204 P222:Q226 P228:Q252 P254:Q256 P258:Q264 O261:O264 O267:Q269 P272:Q275 O275">
    <cfRule type="containsText" dxfId="2" priority="37583" operator="containsText" text="Yes">
      <formula>NOT(ISERROR(SEARCH(("Yes"),(P184))))</formula>
    </cfRule>
  </conditionalFormatting>
  <conditionalFormatting sqref="P184:Q184 P187:Q216 U204:V204 P222:Q226 P228:Q252 P254:Q256 P258:Q264 O261:O264 O267:Q269 P272:Q275 O275">
    <cfRule type="containsText" dxfId="2" priority="37584" operator="containsText" text="Yes">
      <formula>NOT(ISERROR(SEARCH(("Yes"),(P184))))</formula>
    </cfRule>
  </conditionalFormatting>
  <conditionalFormatting sqref="P184:Q184 P187:Q216 U204:V204 P222:Q226 P228:Q252 P254:Q256 P258:Q264 O261:O264 O267:Q269 P272:Q275 O275">
    <cfRule type="containsText" dxfId="2" priority="37585" operator="containsText" text="Yes">
      <formula>NOT(ISERROR(SEARCH(("Yes"),(P184))))</formula>
    </cfRule>
  </conditionalFormatting>
  <conditionalFormatting sqref="P184:Q184 P187:Q216 U204:V204 P222:Q226 P228:Q252 P254:Q256 P258:Q264 O261:O264 O267:Q269 P272:Q275 O275">
    <cfRule type="containsText" dxfId="2" priority="37586" operator="containsText" text="Yes">
      <formula>NOT(ISERROR(SEARCH(("Yes"),(P184))))</formula>
    </cfRule>
  </conditionalFormatting>
  <conditionalFormatting sqref="P184:Q184 P187:Q216 U204:V204 P222:Q226 P228:Q252 P254:Q256 P258:Q264 O261:O264 O267:Q269 P272:Q275 O275">
    <cfRule type="containsText" dxfId="2" priority="37587" operator="containsText" text="Yes">
      <formula>NOT(ISERROR(SEARCH(("Yes"),(P184))))</formula>
    </cfRule>
  </conditionalFormatting>
  <conditionalFormatting sqref="P184:Q184 P187:Q216 U204:V204 P222:Q226 P228:Q252 P254:Q256 P258:Q264 O261:O264 O267:Q269 P272:Q275 O275">
    <cfRule type="containsText" dxfId="2" priority="37588" operator="containsText" text="Yes">
      <formula>NOT(ISERROR(SEARCH(("Yes"),(P184))))</formula>
    </cfRule>
  </conditionalFormatting>
  <conditionalFormatting sqref="P184:Q184 P187:Q216 U204:V204 P222:Q226 P228:Q252 P254:Q256 P258:Q264 O261:O264 O267:Q269 P272:Q275 O275">
    <cfRule type="containsText" dxfId="2" priority="37589" operator="containsText" text="Yes">
      <formula>NOT(ISERROR(SEARCH(("Yes"),(P184))))</formula>
    </cfRule>
  </conditionalFormatting>
  <conditionalFormatting sqref="P184:Q184 P187:Q216 U204:V204 P222:Q226 P228:Q252 P254:Q256 P258:Q264 O261:O264 O267:Q269 P272:Q275 O275">
    <cfRule type="containsText" dxfId="2" priority="37590" operator="containsText" text="Yes">
      <formula>NOT(ISERROR(SEARCH(("Yes"),(P184))))</formula>
    </cfRule>
  </conditionalFormatting>
  <conditionalFormatting sqref="P184:Q184 P187:Q216 U204:V204 P222:Q226 P228:Q252 P254:Q256 P258:Q264 O261:O264 O267:Q269 P272:Q275 O275">
    <cfRule type="containsText" dxfId="2" priority="37591" operator="containsText" text="Yes">
      <formula>NOT(ISERROR(SEARCH(("Yes"),(P184))))</formula>
    </cfRule>
  </conditionalFormatting>
  <conditionalFormatting sqref="P184:Q184 P187:Q216 U204:V204 P222:Q226 P228:Q252 P254:Q256 P258:Q264 O261:O264 O267:Q269 P272:Q275 O275">
    <cfRule type="containsText" dxfId="2" priority="37592" operator="containsText" text="Yes">
      <formula>NOT(ISERROR(SEARCH(("Yes"),(P184))))</formula>
    </cfRule>
  </conditionalFormatting>
  <conditionalFormatting sqref="N185:N226 O203 O205:O214 N228:N252 N254:N256 N258:N264 N267:N269 N272:N273 N275">
    <cfRule type="containsText" dxfId="9" priority="37593" operator="containsText" text="No">
      <formula>NOT(ISERROR(SEARCH(("No"),(N185))))</formula>
    </cfRule>
  </conditionalFormatting>
  <conditionalFormatting sqref="N185:N226 O203 O205:O214 N228:N252 N254:N256 N258:N264 N267:N269 N272:N273 N275">
    <cfRule type="containsText" dxfId="9" priority="37594" operator="containsText" text="No">
      <formula>NOT(ISERROR(SEARCH(("No"),(N185))))</formula>
    </cfRule>
  </conditionalFormatting>
  <conditionalFormatting sqref="N185:N226 O203 O205:O214 N228:N252 N254:N256 N258:N264 N267:N269 N272:N273 N275">
    <cfRule type="containsText" dxfId="9" priority="37595" operator="containsText" text="No">
      <formula>NOT(ISERROR(SEARCH(("No"),(N185))))</formula>
    </cfRule>
  </conditionalFormatting>
  <conditionalFormatting sqref="N185:N226 O203 O205:O214 N228:N252 N254:N256 N258:N264 N267:N269 N272:N273 N275">
    <cfRule type="containsText" dxfId="2" priority="37596" operator="containsText" text="Yes">
      <formula>NOT(ISERROR(SEARCH(("Yes"),(N185))))</formula>
    </cfRule>
  </conditionalFormatting>
  <conditionalFormatting sqref="N185:N226 O203 O205:O214 N228:N252 N254:N256 N258:N264 N267:N269 N272:N273 N275">
    <cfRule type="containsText" dxfId="2" priority="37597" operator="containsText" text="Yes">
      <formula>NOT(ISERROR(SEARCH(("Yes"),(N185))))</formula>
    </cfRule>
  </conditionalFormatting>
  <conditionalFormatting sqref="N185:N226 O203 O205:O214 N228:N252 N254:N256 N258:N264 N267:N269 N272:N273 N275">
    <cfRule type="containsText" dxfId="2" priority="37598" operator="containsText" text="Yes">
      <formula>NOT(ISERROR(SEARCH(("Yes"),(N185))))</formula>
    </cfRule>
  </conditionalFormatting>
  <conditionalFormatting sqref="N185:N226 O203 O205:O214 N228:N252 N254:N256 N258:N264 N267:N269 N272:N273 N275">
    <cfRule type="containsText" dxfId="2" priority="37599" operator="containsText" text="Yes">
      <formula>NOT(ISERROR(SEARCH(("Yes"),(N185))))</formula>
    </cfRule>
  </conditionalFormatting>
  <conditionalFormatting sqref="N185:N226 O203 O205:O214 N228:N252 N254:N256 N258:N264 N267:N269 N272:N273 N275">
    <cfRule type="containsText" dxfId="2" priority="37600" operator="containsText" text="Yes">
      <formula>NOT(ISERROR(SEARCH(("Yes"),(N185))))</formula>
    </cfRule>
  </conditionalFormatting>
  <conditionalFormatting sqref="N185:N226 O203 O205:O214 N228:N252 N254:N256 N258:N264 N267:N269 N272:N273 N275">
    <cfRule type="containsText" dxfId="9" priority="37601" operator="containsText" text="No">
      <formula>NOT(ISERROR(SEARCH(("No"),(N185))))</formula>
    </cfRule>
  </conditionalFormatting>
  <conditionalFormatting sqref="N185:N226 O203 O205:O214 N228:N252 N254:N256 N258:N264 N267:N269 N272:N273 N275">
    <cfRule type="containsText" dxfId="2" priority="37602" operator="containsText" text="Yes">
      <formula>NOT(ISERROR(SEARCH(("Yes"),(N185))))</formula>
    </cfRule>
  </conditionalFormatting>
  <conditionalFormatting sqref="O185:O212 N195 N197:N198 N201:N202 N204 O214:O226 O228:O252 O254:O256 O258:O264 O267:O269 O272:O273 O275">
    <cfRule type="containsText" dxfId="9" priority="37603" operator="containsText" text="No">
      <formula>NOT(ISERROR(SEARCH(("No"),(O185))))</formula>
    </cfRule>
  </conditionalFormatting>
  <conditionalFormatting sqref="O185:O212 N195 N197:N198 N201:N202 N204 O214:O226 O228:O252 O254:O256 O258:O264 O267:O269 O272:O273 O275">
    <cfRule type="containsText" dxfId="9" priority="37604" operator="containsText" text="No">
      <formula>NOT(ISERROR(SEARCH(("No"),(O185))))</formula>
    </cfRule>
  </conditionalFormatting>
  <conditionalFormatting sqref="O185:O212 N195 N197:N198 N201:N202 N204 O214:O226 O228:O252 O254:O256 O258:O264 O267:O269 O272:O273 O275">
    <cfRule type="containsText" dxfId="9" priority="37605" operator="containsText" text="No">
      <formula>NOT(ISERROR(SEARCH(("No"),(O185))))</formula>
    </cfRule>
  </conditionalFormatting>
  <conditionalFormatting sqref="O185:O212 N195 N197:N198 N201:N202 N204 O214:O226 O228:O252 O254:O256 O258:O264 O267:O269 O272:O273 O275">
    <cfRule type="containsText" dxfId="2" priority="37606" operator="containsText" text="Yes">
      <formula>NOT(ISERROR(SEARCH(("Yes"),(O185))))</formula>
    </cfRule>
  </conditionalFormatting>
  <conditionalFormatting sqref="O185:O212 N195 N197:N198 N201:N202 N204 O214:O226 O228:O252 O254:O256 O258:O264 O267:O269 O272:O273 O275">
    <cfRule type="containsText" dxfId="2" priority="37607" operator="containsText" text="Yes">
      <formula>NOT(ISERROR(SEARCH(("Yes"),(O185))))</formula>
    </cfRule>
  </conditionalFormatting>
  <conditionalFormatting sqref="O185:O212 N195 N197:N198 N201:N202 N204 O214:O226 O228:O252 O254:O256 O258:O264 O267:O269 O272:O273 O275">
    <cfRule type="containsText" dxfId="2" priority="37608" operator="containsText" text="Yes">
      <formula>NOT(ISERROR(SEARCH(("Yes"),(O185))))</formula>
    </cfRule>
  </conditionalFormatting>
  <conditionalFormatting sqref="O185:O212 N195 N197:N198 N201:N202 N204 O214:O226 O228:O252 O254:O256 O258:O264 O267:O269 O272:O273 O275">
    <cfRule type="containsText" dxfId="2" priority="37609" operator="containsText" text="Yes">
      <formula>NOT(ISERROR(SEARCH(("Yes"),(O185))))</formula>
    </cfRule>
  </conditionalFormatting>
  <conditionalFormatting sqref="O185:O212 N195 N197:N198 N201:N202 N204 O214:O226 O228:O252 O254:O256 O258:O264 O267:O269 O272:O273 O275">
    <cfRule type="containsText" dxfId="2" priority="37610" operator="containsText" text="Yes">
      <formula>NOT(ISERROR(SEARCH(("Yes"),(O185))))</formula>
    </cfRule>
  </conditionalFormatting>
  <conditionalFormatting sqref="O185:O212 N195 N197:N198 N201:N202 N204 O214:O226 O228:O252 O254:O256 O258:O264 O267:O269 O272:O273 O275">
    <cfRule type="containsText" dxfId="9" priority="37611" operator="containsText" text="No">
      <formula>NOT(ISERROR(SEARCH(("No"),(O185))))</formula>
    </cfRule>
  </conditionalFormatting>
  <conditionalFormatting sqref="O185:O212 N195 N197:N198 N201:N202 N204 O214:O226 O228:O252 O254:O256 O258:O264 O267:O269 O272:O273 O275">
    <cfRule type="containsText" dxfId="9" priority="37612" operator="containsText" text="No">
      <formula>NOT(ISERROR(SEARCH(("No"),(O185))))</formula>
    </cfRule>
  </conditionalFormatting>
  <conditionalFormatting sqref="O185:O212 N195 N197:N198 N201:N202 N204 O214:O226 O228:O252 O254:O256 O258:O264 O267:O269 O272:O273 O275">
    <cfRule type="containsText" dxfId="2" priority="37613" operator="containsText" text="Yes">
      <formula>NOT(ISERROR(SEARCH(("Yes"),(O185))))</formula>
    </cfRule>
  </conditionalFormatting>
  <conditionalFormatting sqref="P185:Q214 U204:V204 P217:Q221">
    <cfRule type="containsText" dxfId="9" priority="37614" operator="containsText" text="No">
      <formula>NOT(ISERROR(SEARCH(("No"),(P185))))</formula>
    </cfRule>
  </conditionalFormatting>
  <conditionalFormatting sqref="P185:Q214 U204:V204 P217:Q221">
    <cfRule type="containsText" dxfId="9" priority="37615" operator="containsText" text="No">
      <formula>NOT(ISERROR(SEARCH(("No"),(P185))))</formula>
    </cfRule>
  </conditionalFormatting>
  <conditionalFormatting sqref="P185:Q214 U204:V204 P217:Q221">
    <cfRule type="containsText" dxfId="9" priority="37616" operator="containsText" text="No">
      <formula>NOT(ISERROR(SEARCH(("No"),(P185))))</formula>
    </cfRule>
  </conditionalFormatting>
  <conditionalFormatting sqref="P185:Q214 U204:V204 P217:Q221">
    <cfRule type="containsText" dxfId="9" priority="37617" operator="containsText" text="No">
      <formula>NOT(ISERROR(SEARCH(("No"),(P185))))</formula>
    </cfRule>
  </conditionalFormatting>
  <conditionalFormatting sqref="P185:Q214 U204:V204 P217:Q221">
    <cfRule type="containsText" dxfId="9" priority="37618" operator="containsText" text="No">
      <formula>NOT(ISERROR(SEARCH(("No"),(P185))))</formula>
    </cfRule>
  </conditionalFormatting>
  <conditionalFormatting sqref="P185:Q214 U204:V204 P217:Q221">
    <cfRule type="containsText" dxfId="9" priority="37619" operator="containsText" text="No">
      <formula>NOT(ISERROR(SEARCH(("No"),(P185))))</formula>
    </cfRule>
  </conditionalFormatting>
  <conditionalFormatting sqref="P185:Q214 U204:V204 P217:Q221">
    <cfRule type="containsText" dxfId="9" priority="37620" operator="containsText" text="No">
      <formula>NOT(ISERROR(SEARCH(("No"),(P185))))</formula>
    </cfRule>
  </conditionalFormatting>
  <conditionalFormatting sqref="P185:Q214 U204:V204 P217:Q221">
    <cfRule type="containsText" dxfId="9" priority="37621" operator="containsText" text="No">
      <formula>NOT(ISERROR(SEARCH(("No"),(P185))))</formula>
    </cfRule>
  </conditionalFormatting>
  <conditionalFormatting sqref="P185:Q214 U204:V204 P217:Q221">
    <cfRule type="containsText" dxfId="9" priority="37622" operator="containsText" text="No">
      <formula>NOT(ISERROR(SEARCH(("No"),(P185))))</formula>
    </cfRule>
  </conditionalFormatting>
  <conditionalFormatting sqref="P185:Q214 U204:V204 P217:Q221">
    <cfRule type="containsText" dxfId="9" priority="37623" operator="containsText" text="No">
      <formula>NOT(ISERROR(SEARCH(("No"),(P185))))</formula>
    </cfRule>
  </conditionalFormatting>
  <conditionalFormatting sqref="P185:Q214 U204:V204 P217:Q221">
    <cfRule type="containsText" dxfId="9" priority="37624" operator="containsText" text="No">
      <formula>NOT(ISERROR(SEARCH(("No"),(P185))))</formula>
    </cfRule>
  </conditionalFormatting>
  <conditionalFormatting sqref="P185:Q214 U204:V204 P217:Q221">
    <cfRule type="containsText" dxfId="9" priority="37625" operator="containsText" text="No">
      <formula>NOT(ISERROR(SEARCH(("No"),(P185))))</formula>
    </cfRule>
  </conditionalFormatting>
  <conditionalFormatting sqref="P185:Q214 U204:V204 P217:Q221">
    <cfRule type="containsText" dxfId="9" priority="37626" operator="containsText" text="No">
      <formula>NOT(ISERROR(SEARCH(("No"),(P185))))</formula>
    </cfRule>
  </conditionalFormatting>
  <conditionalFormatting sqref="P185:Q214 U204:V204 P217:Q221">
    <cfRule type="containsText" dxfId="9" priority="37627" operator="containsText" text="No">
      <formula>NOT(ISERROR(SEARCH(("No"),(P185))))</formula>
    </cfRule>
  </conditionalFormatting>
  <conditionalFormatting sqref="P185:Q214 U204:V204 P217:Q221">
    <cfRule type="containsText" dxfId="9" priority="37628" operator="containsText" text="No">
      <formula>NOT(ISERROR(SEARCH(("No"),(P185))))</formula>
    </cfRule>
  </conditionalFormatting>
  <conditionalFormatting sqref="P185:Q214 U204:V204 P217:Q221">
    <cfRule type="containsText" dxfId="9" priority="37629" operator="containsText" text="No">
      <formula>NOT(ISERROR(SEARCH(("No"),(P185))))</formula>
    </cfRule>
  </conditionalFormatting>
  <conditionalFormatting sqref="P185:Q214 U204:V204 P217:Q221">
    <cfRule type="containsText" dxfId="9" priority="37630" operator="containsText" text="No">
      <formula>NOT(ISERROR(SEARCH(("No"),(P185))))</formula>
    </cfRule>
  </conditionalFormatting>
  <conditionalFormatting sqref="P185:Q214 U204:V204 P217:Q221">
    <cfRule type="containsText" dxfId="9" priority="37631" operator="containsText" text="No">
      <formula>NOT(ISERROR(SEARCH(("No"),(P185))))</formula>
    </cfRule>
  </conditionalFormatting>
  <conditionalFormatting sqref="P185:Q214 U204:V204 P217:Q221">
    <cfRule type="containsText" dxfId="9" priority="37632" operator="containsText" text="No">
      <formula>NOT(ISERROR(SEARCH(("No"),(P185))))</formula>
    </cfRule>
  </conditionalFormatting>
  <conditionalFormatting sqref="P185:Q214 U204:V204 P217:Q221">
    <cfRule type="containsText" dxfId="9" priority="37633" operator="containsText" text="No">
      <formula>NOT(ISERROR(SEARCH(("No"),(P185))))</formula>
    </cfRule>
  </conditionalFormatting>
  <conditionalFormatting sqref="P185:Q214 U204:V204 P217:Q221">
    <cfRule type="containsText" dxfId="9" priority="37634" operator="containsText" text="No">
      <formula>NOT(ISERROR(SEARCH(("No"),(P185))))</formula>
    </cfRule>
  </conditionalFormatting>
  <conditionalFormatting sqref="P185:Q214 U204:V204 P217:Q221">
    <cfRule type="containsText" dxfId="9" priority="37635" operator="containsText" text="No">
      <formula>NOT(ISERROR(SEARCH(("No"),(P185))))</formula>
    </cfRule>
  </conditionalFormatting>
  <conditionalFormatting sqref="P185:Q214 U204:V204 P217:Q221">
    <cfRule type="containsText" dxfId="9" priority="37636" operator="containsText" text="No">
      <formula>NOT(ISERROR(SEARCH(("No"),(P185))))</formula>
    </cfRule>
  </conditionalFormatting>
  <conditionalFormatting sqref="P185:Q214 U204:V204 P217:Q221">
    <cfRule type="containsText" dxfId="9" priority="37637" operator="containsText" text="No">
      <formula>NOT(ISERROR(SEARCH(("No"),(P185))))</formula>
    </cfRule>
  </conditionalFormatting>
  <conditionalFormatting sqref="P185:Q214 U204:V204 P217:Q221">
    <cfRule type="containsText" dxfId="9" priority="37638" operator="containsText" text="No">
      <formula>NOT(ISERROR(SEARCH(("No"),(P185))))</formula>
    </cfRule>
  </conditionalFormatting>
  <conditionalFormatting sqref="P185:Q214 U204:V204 P217:Q221">
    <cfRule type="containsText" dxfId="9" priority="37639" operator="containsText" text="No">
      <formula>NOT(ISERROR(SEARCH(("No"),(P185))))</formula>
    </cfRule>
  </conditionalFormatting>
  <conditionalFormatting sqref="P185:Q214 U204:V204 P217:Q221">
    <cfRule type="containsText" dxfId="9" priority="37640" operator="containsText" text="No">
      <formula>NOT(ISERROR(SEARCH(("No"),(P185))))</formula>
    </cfRule>
  </conditionalFormatting>
  <conditionalFormatting sqref="P185:Q214 U204:V204 P217:Q221">
    <cfRule type="containsText" dxfId="9" priority="37641" operator="containsText" text="No">
      <formula>NOT(ISERROR(SEARCH(("No"),(P185))))</formula>
    </cfRule>
  </conditionalFormatting>
  <conditionalFormatting sqref="P185:Q214 U204:V204 P217:Q221">
    <cfRule type="containsText" dxfId="9" priority="37642" operator="containsText" text="No">
      <formula>NOT(ISERROR(SEARCH(("No"),(P185))))</formula>
    </cfRule>
  </conditionalFormatting>
  <conditionalFormatting sqref="P185:Q214 U204:V204 P217:Q221">
    <cfRule type="containsText" dxfId="9" priority="37643" operator="containsText" text="No">
      <formula>NOT(ISERROR(SEARCH(("No"),(P185))))</formula>
    </cfRule>
  </conditionalFormatting>
  <conditionalFormatting sqref="P185:Q214 U204:V204 P217:Q221">
    <cfRule type="containsText" dxfId="9" priority="37644" operator="containsText" text="No">
      <formula>NOT(ISERROR(SEARCH(("No"),(P185))))</formula>
    </cfRule>
  </conditionalFormatting>
  <conditionalFormatting sqref="P185:Q214 U204:V204 P217:Q221">
    <cfRule type="containsText" dxfId="9" priority="37645" operator="containsText" text="No">
      <formula>NOT(ISERROR(SEARCH(("No"),(P185))))</formula>
    </cfRule>
  </conditionalFormatting>
  <conditionalFormatting sqref="P185:Q214 U204:V204 P217:Q221">
    <cfRule type="containsText" dxfId="9" priority="37646" operator="containsText" text="No">
      <formula>NOT(ISERROR(SEARCH(("No"),(P185))))</formula>
    </cfRule>
  </conditionalFormatting>
  <conditionalFormatting sqref="P185:Q214 U204:V204 P217:Q221">
    <cfRule type="containsText" dxfId="9" priority="37647" operator="containsText" text="No">
      <formula>NOT(ISERROR(SEARCH(("No"),(P185))))</formula>
    </cfRule>
  </conditionalFormatting>
  <conditionalFormatting sqref="P185:Q214 U204:V204 P217:Q221">
    <cfRule type="containsText" dxfId="9" priority="37648" operator="containsText" text="No">
      <formula>NOT(ISERROR(SEARCH(("No"),(P185))))</formula>
    </cfRule>
  </conditionalFormatting>
  <conditionalFormatting sqref="P185:Q214 U204:V204 P217:Q221">
    <cfRule type="containsText" dxfId="9" priority="37649" operator="containsText" text="No">
      <formula>NOT(ISERROR(SEARCH(("No"),(P185))))</formula>
    </cfRule>
  </conditionalFormatting>
  <conditionalFormatting sqref="P185:Q214 U204:V204 P217:Q221">
    <cfRule type="containsText" dxfId="9" priority="37650" operator="containsText" text="No">
      <formula>NOT(ISERROR(SEARCH(("No"),(P185))))</formula>
    </cfRule>
  </conditionalFormatting>
  <conditionalFormatting sqref="P185:Q214 U204:V204 P217:Q221">
    <cfRule type="containsText" dxfId="9" priority="37651" operator="containsText" text="No">
      <formula>NOT(ISERROR(SEARCH(("No"),(P185))))</formula>
    </cfRule>
  </conditionalFormatting>
  <conditionalFormatting sqref="P185:Q214 U204:V204 P217:Q221">
    <cfRule type="containsText" dxfId="9" priority="37652" operator="containsText" text="No">
      <formula>NOT(ISERROR(SEARCH(("No"),(P185))))</formula>
    </cfRule>
  </conditionalFormatting>
  <conditionalFormatting sqref="P185:Q214 U204:V204 P217:Q221">
    <cfRule type="containsText" dxfId="9" priority="37653" operator="containsText" text="No">
      <formula>NOT(ISERROR(SEARCH(("No"),(P185))))</formula>
    </cfRule>
  </conditionalFormatting>
  <conditionalFormatting sqref="P185:Q214 U204:V204 P217:Q221">
    <cfRule type="containsText" dxfId="9" priority="37654" operator="containsText" text="No">
      <formula>NOT(ISERROR(SEARCH(("No"),(P185))))</formula>
    </cfRule>
  </conditionalFormatting>
  <conditionalFormatting sqref="P185:Q214 U204:V204 P217:Q221">
    <cfRule type="containsText" dxfId="9" priority="37655" operator="containsText" text="No">
      <formula>NOT(ISERROR(SEARCH(("No"),(P185))))</formula>
    </cfRule>
  </conditionalFormatting>
  <conditionalFormatting sqref="P185:Q214 U204:V204 P217:Q221">
    <cfRule type="containsText" dxfId="9" priority="37656" operator="containsText" text="No">
      <formula>NOT(ISERROR(SEARCH(("No"),(P185))))</formula>
    </cfRule>
  </conditionalFormatting>
  <conditionalFormatting sqref="P185:Q214 U204:V204 P217:Q221">
    <cfRule type="containsText" dxfId="9" priority="37657" operator="containsText" text="No">
      <formula>NOT(ISERROR(SEARCH(("No"),(P185))))</formula>
    </cfRule>
  </conditionalFormatting>
  <conditionalFormatting sqref="P185:Q214 U204:V204 P217:Q221">
    <cfRule type="containsText" dxfId="9" priority="37658" operator="containsText" text="No">
      <formula>NOT(ISERROR(SEARCH(("No"),(P185))))</formula>
    </cfRule>
  </conditionalFormatting>
  <conditionalFormatting sqref="P185:Q214 U204:V204 P217:Q221">
    <cfRule type="containsText" dxfId="2" priority="37659" operator="containsText" text="Yes">
      <formula>NOT(ISERROR(SEARCH(("Yes"),(P185))))</formula>
    </cfRule>
  </conditionalFormatting>
  <conditionalFormatting sqref="P185:Q214 U204:V204 P217:Q221">
    <cfRule type="containsText" dxfId="2" priority="37660" operator="containsText" text="Yes">
      <formula>NOT(ISERROR(SEARCH(("Yes"),(P185))))</formula>
    </cfRule>
  </conditionalFormatting>
  <conditionalFormatting sqref="P185:Q214 U204:V204 P217:Q221">
    <cfRule type="containsText" dxfId="2" priority="37661" operator="containsText" text="Yes">
      <formula>NOT(ISERROR(SEARCH(("Yes"),(P185))))</formula>
    </cfRule>
  </conditionalFormatting>
  <conditionalFormatting sqref="P185:Q214 U204:V204 P217:Q221">
    <cfRule type="containsText" dxfId="2" priority="37662" operator="containsText" text="Yes">
      <formula>NOT(ISERROR(SEARCH(("Yes"),(P185))))</formula>
    </cfRule>
  </conditionalFormatting>
  <conditionalFormatting sqref="P185:Q214 U204:V204 P217:Q221">
    <cfRule type="containsText" dxfId="2" priority="37663" operator="containsText" text="Yes">
      <formula>NOT(ISERROR(SEARCH(("Yes"),(P185))))</formula>
    </cfRule>
  </conditionalFormatting>
  <conditionalFormatting sqref="P185:Q214 U204:V204 P217:Q221">
    <cfRule type="containsText" dxfId="2" priority="37664" operator="containsText" text="Yes">
      <formula>NOT(ISERROR(SEARCH(("Yes"),(P185))))</formula>
    </cfRule>
  </conditionalFormatting>
  <conditionalFormatting sqref="P185:Q214 U204:V204 P217:Q221">
    <cfRule type="containsText" dxfId="2" priority="37665" operator="containsText" text="Yes">
      <formula>NOT(ISERROR(SEARCH(("Yes"),(P185))))</formula>
    </cfRule>
  </conditionalFormatting>
  <conditionalFormatting sqref="P185:Q214 U204:V204 P217:Q221">
    <cfRule type="containsText" dxfId="2" priority="37666" operator="containsText" text="Yes">
      <formula>NOT(ISERROR(SEARCH(("Yes"),(P185))))</formula>
    </cfRule>
  </conditionalFormatting>
  <conditionalFormatting sqref="P185:Q214 U204:V204 P217:Q221">
    <cfRule type="containsText" dxfId="2" priority="37667" operator="containsText" text="Yes">
      <formula>NOT(ISERROR(SEARCH(("Yes"),(P185))))</formula>
    </cfRule>
  </conditionalFormatting>
  <conditionalFormatting sqref="P185:Q214 U204:V204 P217:Q221">
    <cfRule type="containsText" dxfId="2" priority="37668" operator="containsText" text="Yes">
      <formula>NOT(ISERROR(SEARCH(("Yes"),(P185))))</formula>
    </cfRule>
  </conditionalFormatting>
  <conditionalFormatting sqref="P185:Q214 U204:V204 P217:Q221">
    <cfRule type="containsText" dxfId="2" priority="37669" operator="containsText" text="Yes">
      <formula>NOT(ISERROR(SEARCH(("Yes"),(P185))))</formula>
    </cfRule>
  </conditionalFormatting>
  <conditionalFormatting sqref="P185:Q214 U204:V204 P217:Q221">
    <cfRule type="containsText" dxfId="2" priority="37670" operator="containsText" text="Yes">
      <formula>NOT(ISERROR(SEARCH(("Yes"),(P185))))</formula>
    </cfRule>
  </conditionalFormatting>
  <conditionalFormatting sqref="P185:Q214 U204:V204 P217:Q221">
    <cfRule type="containsText" dxfId="2" priority="37671" operator="containsText" text="Yes">
      <formula>NOT(ISERROR(SEARCH(("Yes"),(P185))))</formula>
    </cfRule>
  </conditionalFormatting>
  <conditionalFormatting sqref="P185:Q214 U204:V204 P217:Q221">
    <cfRule type="containsText" dxfId="2" priority="37672" operator="containsText" text="Yes">
      <formula>NOT(ISERROR(SEARCH(("Yes"),(P185))))</formula>
    </cfRule>
  </conditionalFormatting>
  <conditionalFormatting sqref="P185:Q214 U204:V204 P217:Q221">
    <cfRule type="containsText" dxfId="2" priority="37673" operator="containsText" text="Yes">
      <formula>NOT(ISERROR(SEARCH(("Yes"),(P185))))</formula>
    </cfRule>
  </conditionalFormatting>
  <conditionalFormatting sqref="P185:Q214 U204:V204 P217:Q221">
    <cfRule type="containsText" dxfId="2" priority="37674" operator="containsText" text="Yes">
      <formula>NOT(ISERROR(SEARCH(("Yes"),(P185))))</formula>
    </cfRule>
  </conditionalFormatting>
  <conditionalFormatting sqref="P185:Q214 U204:V204 P217:Q221">
    <cfRule type="containsText" dxfId="2" priority="37675" operator="containsText" text="Yes">
      <formula>NOT(ISERROR(SEARCH(("Yes"),(P185))))</formula>
    </cfRule>
  </conditionalFormatting>
  <conditionalFormatting sqref="P185:Q214 U204:V204 P217:Q221">
    <cfRule type="containsText" dxfId="2" priority="37676" operator="containsText" text="Yes">
      <formula>NOT(ISERROR(SEARCH(("Yes"),(P185))))</formula>
    </cfRule>
  </conditionalFormatting>
  <conditionalFormatting sqref="P185:Q214 U204:V204 P217:Q221">
    <cfRule type="containsText" dxfId="2" priority="37677" operator="containsText" text="Yes">
      <formula>NOT(ISERROR(SEARCH(("Yes"),(P185))))</formula>
    </cfRule>
  </conditionalFormatting>
  <conditionalFormatting sqref="P185:Q214 U204:V204 P217:Q221">
    <cfRule type="containsText" dxfId="2" priority="37678" operator="containsText" text="Yes">
      <formula>NOT(ISERROR(SEARCH(("Yes"),(P185))))</formula>
    </cfRule>
  </conditionalFormatting>
  <conditionalFormatting sqref="P185:Q214 U204:V204 P217:Q221">
    <cfRule type="containsText" dxfId="2" priority="37679" operator="containsText" text="Yes">
      <formula>NOT(ISERROR(SEARCH(("Yes"),(P185))))</formula>
    </cfRule>
  </conditionalFormatting>
  <conditionalFormatting sqref="P185:Q214 U204:V204 P217:Q221">
    <cfRule type="containsText" dxfId="2" priority="37680" operator="containsText" text="Yes">
      <formula>NOT(ISERROR(SEARCH(("Yes"),(P185))))</formula>
    </cfRule>
  </conditionalFormatting>
  <conditionalFormatting sqref="P185:Q214 U204:V204 P217:Q221">
    <cfRule type="containsText" dxfId="2" priority="37681" operator="containsText" text="Yes">
      <formula>NOT(ISERROR(SEARCH(("Yes"),(P185))))</formula>
    </cfRule>
  </conditionalFormatting>
  <conditionalFormatting sqref="P185:Q214 U204:V204 P217:Q221">
    <cfRule type="containsText" dxfId="2" priority="37682" operator="containsText" text="Yes">
      <formula>NOT(ISERROR(SEARCH(("Yes"),(P185))))</formula>
    </cfRule>
  </conditionalFormatting>
  <conditionalFormatting sqref="P185:Q214 U204:V204 P217:Q221">
    <cfRule type="containsText" dxfId="2" priority="37683" operator="containsText" text="Yes">
      <formula>NOT(ISERROR(SEARCH(("Yes"),(P185))))</formula>
    </cfRule>
  </conditionalFormatting>
  <conditionalFormatting sqref="P185:Q214 U204:V204 P217:Q221">
    <cfRule type="containsText" dxfId="2" priority="37684" operator="containsText" text="Yes">
      <formula>NOT(ISERROR(SEARCH(("Yes"),(P185))))</formula>
    </cfRule>
  </conditionalFormatting>
  <conditionalFormatting sqref="P185:Q214 U204:V204 P217:Q221">
    <cfRule type="containsText" dxfId="2" priority="37685" operator="containsText" text="Yes">
      <formula>NOT(ISERROR(SEARCH(("Yes"),(P185))))</formula>
    </cfRule>
  </conditionalFormatting>
  <conditionalFormatting sqref="P185:Q214 U204:V204 P217:Q221">
    <cfRule type="containsText" dxfId="2" priority="37686" operator="containsText" text="Yes">
      <formula>NOT(ISERROR(SEARCH(("Yes"),(P185))))</formula>
    </cfRule>
  </conditionalFormatting>
  <conditionalFormatting sqref="P185:Q214 U204:V204 P217:Q221">
    <cfRule type="containsText" dxfId="2" priority="37687" operator="containsText" text="Yes">
      <formula>NOT(ISERROR(SEARCH(("Yes"),(P185))))</formula>
    </cfRule>
  </conditionalFormatting>
  <conditionalFormatting sqref="P185:Q214 U204:V204 P217:Q221">
    <cfRule type="containsText" dxfId="2" priority="37688" operator="containsText" text="Yes">
      <formula>NOT(ISERROR(SEARCH(("Yes"),(P185))))</formula>
    </cfRule>
  </conditionalFormatting>
  <conditionalFormatting sqref="P185:Q214 U204:V204 P217:Q221">
    <cfRule type="containsText" dxfId="2" priority="37689" operator="containsText" text="Yes">
      <formula>NOT(ISERROR(SEARCH(("Yes"),(P185))))</formula>
    </cfRule>
  </conditionalFormatting>
  <conditionalFormatting sqref="P185:Q214 U204:V204 P217:Q221">
    <cfRule type="containsText" dxfId="2" priority="37690" operator="containsText" text="Yes">
      <formula>NOT(ISERROR(SEARCH(("Yes"),(P185))))</formula>
    </cfRule>
  </conditionalFormatting>
  <conditionalFormatting sqref="P185:Q214 U204:V204 P217:Q221">
    <cfRule type="containsText" dxfId="2" priority="37691" operator="containsText" text="Yes">
      <formula>NOT(ISERROR(SEARCH(("Yes"),(P185))))</formula>
    </cfRule>
  </conditionalFormatting>
  <conditionalFormatting sqref="P185:Q214 U204:V204 P217:Q221">
    <cfRule type="containsText" dxfId="2" priority="37692" operator="containsText" text="Yes">
      <formula>NOT(ISERROR(SEARCH(("Yes"),(P185))))</formula>
    </cfRule>
  </conditionalFormatting>
  <conditionalFormatting sqref="P185:Q214 U204:V204 P217:Q221">
    <cfRule type="containsText" dxfId="2" priority="37693" operator="containsText" text="Yes">
      <formula>NOT(ISERROR(SEARCH(("Yes"),(P185))))</formula>
    </cfRule>
  </conditionalFormatting>
  <conditionalFormatting sqref="P185:Q214 U204:V204 P217:Q221">
    <cfRule type="containsText" dxfId="2" priority="37694" operator="containsText" text="Yes">
      <formula>NOT(ISERROR(SEARCH(("Yes"),(P185))))</formula>
    </cfRule>
  </conditionalFormatting>
  <conditionalFormatting sqref="P185:Q214 U204:V204 P217:Q221">
    <cfRule type="containsText" dxfId="2" priority="37695" operator="containsText" text="Yes">
      <formula>NOT(ISERROR(SEARCH(("Yes"),(P185))))</formula>
    </cfRule>
  </conditionalFormatting>
  <conditionalFormatting sqref="P185:Q214 U204:V204 P217:Q221">
    <cfRule type="containsText" dxfId="2" priority="37696" operator="containsText" text="Yes">
      <formula>NOT(ISERROR(SEARCH(("Yes"),(P185))))</formula>
    </cfRule>
  </conditionalFormatting>
  <conditionalFormatting sqref="P185:Q214 U204:V204 P217:Q221">
    <cfRule type="containsText" dxfId="2" priority="37697" operator="containsText" text="Yes">
      <formula>NOT(ISERROR(SEARCH(("Yes"),(P185))))</formula>
    </cfRule>
  </conditionalFormatting>
  <conditionalFormatting sqref="P185:Q214 U204:V204 P217:Q221">
    <cfRule type="containsText" dxfId="2" priority="37698" operator="containsText" text="Yes">
      <formula>NOT(ISERROR(SEARCH(("Yes"),(P185))))</formula>
    </cfRule>
  </conditionalFormatting>
  <conditionalFormatting sqref="P185:Q214 U204:V204 P217:Q221">
    <cfRule type="containsText" dxfId="2" priority="37699" operator="containsText" text="Yes">
      <formula>NOT(ISERROR(SEARCH(("Yes"),(P185))))</formula>
    </cfRule>
  </conditionalFormatting>
  <conditionalFormatting sqref="P185:Q214 U204:V204 P217:Q221">
    <cfRule type="containsText" dxfId="2" priority="37700" operator="containsText" text="Yes">
      <formula>NOT(ISERROR(SEARCH(("Yes"),(P185))))</formula>
    </cfRule>
  </conditionalFormatting>
  <conditionalFormatting sqref="P185:Q214 U204:V204 P217:Q221">
    <cfRule type="containsText" dxfId="2" priority="37701" operator="containsText" text="Yes">
      <formula>NOT(ISERROR(SEARCH(("Yes"),(P185))))</formula>
    </cfRule>
  </conditionalFormatting>
  <conditionalFormatting sqref="P185:Q214 U204:V204 P217:Q221">
    <cfRule type="containsText" dxfId="2" priority="37702" operator="containsText" text="Yes">
      <formula>NOT(ISERROR(SEARCH(("Yes"),(P185))))</formula>
    </cfRule>
  </conditionalFormatting>
  <conditionalFormatting sqref="P185:Q214 U204:V204 P217:Q221">
    <cfRule type="containsText" dxfId="2" priority="37703" operator="containsText" text="Yes">
      <formula>NOT(ISERROR(SEARCH(("Yes"),(P185))))</formula>
    </cfRule>
  </conditionalFormatting>
  <conditionalFormatting sqref="P185:Q214 U204:V204 P217:Q221">
    <cfRule type="containsText" dxfId="2" priority="37704" operator="containsText" text="Yes">
      <formula>NOT(ISERROR(SEARCH(("Yes"),(P185))))</formula>
    </cfRule>
  </conditionalFormatting>
  <conditionalFormatting sqref="P185:Q214 U204:V204 P217:Q221">
    <cfRule type="containsText" dxfId="2" priority="37705" operator="containsText" text="Yes">
      <formula>NOT(ISERROR(SEARCH(("Yes"),(P185))))</formula>
    </cfRule>
  </conditionalFormatting>
  <conditionalFormatting sqref="P186:Q214 U204:V204">
    <cfRule type="containsText" dxfId="9" priority="37706" operator="containsText" text="No">
      <formula>NOT(ISERROR(SEARCH(("No"),(P186))))</formula>
    </cfRule>
  </conditionalFormatting>
  <conditionalFormatting sqref="P186:Q214 U204:V204">
    <cfRule type="containsText" dxfId="9" priority="37707" operator="containsText" text="No">
      <formula>NOT(ISERROR(SEARCH(("No"),(P186))))</formula>
    </cfRule>
  </conditionalFormatting>
  <conditionalFormatting sqref="P186:Q214 U204:V204">
    <cfRule type="containsText" dxfId="9" priority="37708" operator="containsText" text="No">
      <formula>NOT(ISERROR(SEARCH(("No"),(P186))))</formula>
    </cfRule>
  </conditionalFormatting>
  <conditionalFormatting sqref="P186:Q214 U204:V204">
    <cfRule type="containsText" dxfId="9" priority="37709" operator="containsText" text="No">
      <formula>NOT(ISERROR(SEARCH(("No"),(P186))))</formula>
    </cfRule>
  </conditionalFormatting>
  <conditionalFormatting sqref="P186:Q214 U204:V204">
    <cfRule type="containsText" dxfId="9" priority="37710" operator="containsText" text="No">
      <formula>NOT(ISERROR(SEARCH(("No"),(P186))))</formula>
    </cfRule>
  </conditionalFormatting>
  <conditionalFormatting sqref="P186:Q214 U204:V204">
    <cfRule type="containsText" dxfId="9" priority="37711" operator="containsText" text="No">
      <formula>NOT(ISERROR(SEARCH(("No"),(P186))))</formula>
    </cfRule>
  </conditionalFormatting>
  <conditionalFormatting sqref="P186:Q214 U204:V204">
    <cfRule type="containsText" dxfId="9" priority="37712" operator="containsText" text="No">
      <formula>NOT(ISERROR(SEARCH(("No"),(P186))))</formula>
    </cfRule>
  </conditionalFormatting>
  <conditionalFormatting sqref="P186:Q214 U204:V204">
    <cfRule type="containsText" dxfId="9" priority="37713" operator="containsText" text="No">
      <formula>NOT(ISERROR(SEARCH(("No"),(P186))))</formula>
    </cfRule>
  </conditionalFormatting>
  <conditionalFormatting sqref="P186:Q214 U204:V204">
    <cfRule type="containsText" dxfId="9" priority="37714" operator="containsText" text="No">
      <formula>NOT(ISERROR(SEARCH(("No"),(P186))))</formula>
    </cfRule>
  </conditionalFormatting>
  <conditionalFormatting sqref="P186:Q214 U204:V204">
    <cfRule type="containsText" dxfId="9" priority="37715" operator="containsText" text="No">
      <formula>NOT(ISERROR(SEARCH(("No"),(P186))))</formula>
    </cfRule>
  </conditionalFormatting>
  <conditionalFormatting sqref="P186:Q214 U204:V204">
    <cfRule type="containsText" dxfId="9" priority="37716" operator="containsText" text="No">
      <formula>NOT(ISERROR(SEARCH(("No"),(P186))))</formula>
    </cfRule>
  </conditionalFormatting>
  <conditionalFormatting sqref="P186:Q214 U204:V204">
    <cfRule type="containsText" dxfId="9" priority="37717" operator="containsText" text="No">
      <formula>NOT(ISERROR(SEARCH(("No"),(P186))))</formula>
    </cfRule>
  </conditionalFormatting>
  <conditionalFormatting sqref="P186:Q214 U204:V204">
    <cfRule type="containsText" dxfId="9" priority="37718" operator="containsText" text="No">
      <formula>NOT(ISERROR(SEARCH(("No"),(P186))))</formula>
    </cfRule>
  </conditionalFormatting>
  <conditionalFormatting sqref="P186:Q214 U204:V204">
    <cfRule type="containsText" dxfId="9" priority="37719" operator="containsText" text="No">
      <formula>NOT(ISERROR(SEARCH(("No"),(P186))))</formula>
    </cfRule>
  </conditionalFormatting>
  <conditionalFormatting sqref="P186:Q214 U204:V204">
    <cfRule type="containsText" dxfId="9" priority="37720" operator="containsText" text="No">
      <formula>NOT(ISERROR(SEARCH(("No"),(P186))))</formula>
    </cfRule>
  </conditionalFormatting>
  <conditionalFormatting sqref="P186:Q214 U204:V204">
    <cfRule type="containsText" dxfId="9" priority="37721" operator="containsText" text="No">
      <formula>NOT(ISERROR(SEARCH(("No"),(P186))))</formula>
    </cfRule>
  </conditionalFormatting>
  <conditionalFormatting sqref="P186:Q214 U204:V204">
    <cfRule type="containsText" dxfId="9" priority="37722" operator="containsText" text="No">
      <formula>NOT(ISERROR(SEARCH(("No"),(P186))))</formula>
    </cfRule>
  </conditionalFormatting>
  <conditionalFormatting sqref="P186:Q214 U204:V204">
    <cfRule type="containsText" dxfId="9" priority="37723" operator="containsText" text="No">
      <formula>NOT(ISERROR(SEARCH(("No"),(P186))))</formula>
    </cfRule>
  </conditionalFormatting>
  <conditionalFormatting sqref="P186:Q214 U204:V204">
    <cfRule type="containsText" dxfId="9" priority="37724" operator="containsText" text="No">
      <formula>NOT(ISERROR(SEARCH(("No"),(P186))))</formula>
    </cfRule>
  </conditionalFormatting>
  <conditionalFormatting sqref="P186:Q214 U204:V204">
    <cfRule type="containsText" dxfId="9" priority="37725" operator="containsText" text="No">
      <formula>NOT(ISERROR(SEARCH(("No"),(P186))))</formula>
    </cfRule>
  </conditionalFormatting>
  <conditionalFormatting sqref="P186:Q214 U204:V204">
    <cfRule type="containsText" dxfId="9" priority="37726" operator="containsText" text="No">
      <formula>NOT(ISERROR(SEARCH(("No"),(P186))))</formula>
    </cfRule>
  </conditionalFormatting>
  <conditionalFormatting sqref="P186:Q214 U204:V204">
    <cfRule type="containsText" dxfId="9" priority="37727" operator="containsText" text="No">
      <formula>NOT(ISERROR(SEARCH(("No"),(P186))))</formula>
    </cfRule>
  </conditionalFormatting>
  <conditionalFormatting sqref="P186:Q214 U204:V204">
    <cfRule type="containsText" dxfId="9" priority="37728" operator="containsText" text="No">
      <formula>NOT(ISERROR(SEARCH(("No"),(P186))))</formula>
    </cfRule>
  </conditionalFormatting>
  <conditionalFormatting sqref="P186:Q214 U204:V204">
    <cfRule type="containsText" dxfId="9" priority="37729" operator="containsText" text="No">
      <formula>NOT(ISERROR(SEARCH(("No"),(P186))))</formula>
    </cfRule>
  </conditionalFormatting>
  <conditionalFormatting sqref="P186:Q214 U204:V204">
    <cfRule type="containsText" dxfId="9" priority="37730" operator="containsText" text="No">
      <formula>NOT(ISERROR(SEARCH(("No"),(P186))))</formula>
    </cfRule>
  </conditionalFormatting>
  <conditionalFormatting sqref="P186:Q214 U204:V204">
    <cfRule type="containsText" dxfId="9" priority="37731" operator="containsText" text="No">
      <formula>NOT(ISERROR(SEARCH(("No"),(P186))))</formula>
    </cfRule>
  </conditionalFormatting>
  <conditionalFormatting sqref="P186:Q214 U204:V204">
    <cfRule type="containsText" dxfId="9" priority="37732" operator="containsText" text="No">
      <formula>NOT(ISERROR(SEARCH(("No"),(P186))))</formula>
    </cfRule>
  </conditionalFormatting>
  <conditionalFormatting sqref="P186:Q214 U204:V204">
    <cfRule type="containsText" dxfId="9" priority="37733" operator="containsText" text="No">
      <formula>NOT(ISERROR(SEARCH(("No"),(P186))))</formula>
    </cfRule>
  </conditionalFormatting>
  <conditionalFormatting sqref="P186:Q214 U204:V204">
    <cfRule type="containsText" dxfId="9" priority="37734" operator="containsText" text="No">
      <formula>NOT(ISERROR(SEARCH(("No"),(P186))))</formula>
    </cfRule>
  </conditionalFormatting>
  <conditionalFormatting sqref="P186:Q214 U204:V204">
    <cfRule type="containsText" dxfId="9" priority="37735" operator="containsText" text="No">
      <formula>NOT(ISERROR(SEARCH(("No"),(P186))))</formula>
    </cfRule>
  </conditionalFormatting>
  <conditionalFormatting sqref="P186:Q214 U204:V204">
    <cfRule type="containsText" dxfId="9" priority="37736" operator="containsText" text="No">
      <formula>NOT(ISERROR(SEARCH(("No"),(P186))))</formula>
    </cfRule>
  </conditionalFormatting>
  <conditionalFormatting sqref="P186:Q214 U204:V204">
    <cfRule type="containsText" dxfId="9" priority="37737" operator="containsText" text="No">
      <formula>NOT(ISERROR(SEARCH(("No"),(P186))))</formula>
    </cfRule>
  </conditionalFormatting>
  <conditionalFormatting sqref="P186:Q214 U204:V204">
    <cfRule type="containsText" dxfId="9" priority="37738" operator="containsText" text="No">
      <formula>NOT(ISERROR(SEARCH(("No"),(P186))))</formula>
    </cfRule>
  </conditionalFormatting>
  <conditionalFormatting sqref="P186:Q214 U204:V204">
    <cfRule type="containsText" dxfId="9" priority="37739" operator="containsText" text="No">
      <formula>NOT(ISERROR(SEARCH(("No"),(P186))))</formula>
    </cfRule>
  </conditionalFormatting>
  <conditionalFormatting sqref="P186:Q214 U204:V204">
    <cfRule type="containsText" dxfId="9" priority="37740" operator="containsText" text="No">
      <formula>NOT(ISERROR(SEARCH(("No"),(P186))))</formula>
    </cfRule>
  </conditionalFormatting>
  <conditionalFormatting sqref="P186:Q214 U204:V204">
    <cfRule type="containsText" dxfId="9" priority="37741" operator="containsText" text="No">
      <formula>NOT(ISERROR(SEARCH(("No"),(P186))))</formula>
    </cfRule>
  </conditionalFormatting>
  <conditionalFormatting sqref="P186:Q214 U204:V204">
    <cfRule type="containsText" dxfId="9" priority="37742" operator="containsText" text="No">
      <formula>NOT(ISERROR(SEARCH(("No"),(P186))))</formula>
    </cfRule>
  </conditionalFormatting>
  <conditionalFormatting sqref="P186:Q214 U204:V204">
    <cfRule type="containsText" dxfId="9" priority="37743" operator="containsText" text="No">
      <formula>NOT(ISERROR(SEARCH(("No"),(P186))))</formula>
    </cfRule>
  </conditionalFormatting>
  <conditionalFormatting sqref="P186:Q214 U204:V204">
    <cfRule type="containsText" dxfId="9" priority="37744" operator="containsText" text="No">
      <formula>NOT(ISERROR(SEARCH(("No"),(P186))))</formula>
    </cfRule>
  </conditionalFormatting>
  <conditionalFormatting sqref="P186:Q214 U204:V204">
    <cfRule type="containsText" dxfId="9" priority="37745" operator="containsText" text="No">
      <formula>NOT(ISERROR(SEARCH(("No"),(P186))))</formula>
    </cfRule>
  </conditionalFormatting>
  <conditionalFormatting sqref="P186:Q214 U204:V204">
    <cfRule type="containsText" dxfId="9" priority="37746" operator="containsText" text="No">
      <formula>NOT(ISERROR(SEARCH(("No"),(P186))))</formula>
    </cfRule>
  </conditionalFormatting>
  <conditionalFormatting sqref="P186:Q214 U204:V204">
    <cfRule type="containsText" dxfId="9" priority="37747" operator="containsText" text="No">
      <formula>NOT(ISERROR(SEARCH(("No"),(P186))))</formula>
    </cfRule>
  </conditionalFormatting>
  <conditionalFormatting sqref="P186:Q214 U204:V204">
    <cfRule type="containsText" dxfId="9" priority="37748" operator="containsText" text="No">
      <formula>NOT(ISERROR(SEARCH(("No"),(P186))))</formula>
    </cfRule>
  </conditionalFormatting>
  <conditionalFormatting sqref="P186:Q214 U204:V204">
    <cfRule type="containsText" dxfId="9" priority="37749" operator="containsText" text="No">
      <formula>NOT(ISERROR(SEARCH(("No"),(P186))))</formula>
    </cfRule>
  </conditionalFormatting>
  <conditionalFormatting sqref="P186:Q214 U204:V204">
    <cfRule type="containsText" dxfId="9" priority="37750" operator="containsText" text="No">
      <formula>NOT(ISERROR(SEARCH(("No"),(P186))))</formula>
    </cfRule>
  </conditionalFormatting>
  <conditionalFormatting sqref="P186:Q214 U204:V204">
    <cfRule type="containsText" dxfId="2" priority="37751" operator="containsText" text="Yes">
      <formula>NOT(ISERROR(SEARCH(("Yes"),(P186))))</formula>
    </cfRule>
  </conditionalFormatting>
  <conditionalFormatting sqref="P186:Q214 U204:V204">
    <cfRule type="containsText" dxfId="2" priority="37752" operator="containsText" text="Yes">
      <formula>NOT(ISERROR(SEARCH(("Yes"),(P186))))</formula>
    </cfRule>
  </conditionalFormatting>
  <conditionalFormatting sqref="P186:Q214 U204:V204">
    <cfRule type="containsText" dxfId="2" priority="37753" operator="containsText" text="Yes">
      <formula>NOT(ISERROR(SEARCH(("Yes"),(P186))))</formula>
    </cfRule>
  </conditionalFormatting>
  <conditionalFormatting sqref="P186:Q214 U204:V204">
    <cfRule type="containsText" dxfId="2" priority="37754" operator="containsText" text="Yes">
      <formula>NOT(ISERROR(SEARCH(("Yes"),(P186))))</formula>
    </cfRule>
  </conditionalFormatting>
  <conditionalFormatting sqref="P186:Q214 U204:V204">
    <cfRule type="containsText" dxfId="2" priority="37755" operator="containsText" text="Yes">
      <formula>NOT(ISERROR(SEARCH(("Yes"),(P186))))</formula>
    </cfRule>
  </conditionalFormatting>
  <conditionalFormatting sqref="P186:Q214 U204:V204">
    <cfRule type="containsText" dxfId="2" priority="37756" operator="containsText" text="Yes">
      <formula>NOT(ISERROR(SEARCH(("Yes"),(P186))))</formula>
    </cfRule>
  </conditionalFormatting>
  <conditionalFormatting sqref="P186:Q214 U204:V204">
    <cfRule type="containsText" dxfId="2" priority="37757" operator="containsText" text="Yes">
      <formula>NOT(ISERROR(SEARCH(("Yes"),(P186))))</formula>
    </cfRule>
  </conditionalFormatting>
  <conditionalFormatting sqref="P186:Q214 U204:V204">
    <cfRule type="containsText" dxfId="2" priority="37758" operator="containsText" text="Yes">
      <formula>NOT(ISERROR(SEARCH(("Yes"),(P186))))</formula>
    </cfRule>
  </conditionalFormatting>
  <conditionalFormatting sqref="P186:Q214 U204:V204">
    <cfRule type="containsText" dxfId="2" priority="37759" operator="containsText" text="Yes">
      <formula>NOT(ISERROR(SEARCH(("Yes"),(P186))))</formula>
    </cfRule>
  </conditionalFormatting>
  <conditionalFormatting sqref="P186:Q214 U204:V204">
    <cfRule type="containsText" dxfId="2" priority="37760" operator="containsText" text="Yes">
      <formula>NOT(ISERROR(SEARCH(("Yes"),(P186))))</formula>
    </cfRule>
  </conditionalFormatting>
  <conditionalFormatting sqref="P186:Q214 U204:V204">
    <cfRule type="containsText" dxfId="2" priority="37761" operator="containsText" text="Yes">
      <formula>NOT(ISERROR(SEARCH(("Yes"),(P186))))</formula>
    </cfRule>
  </conditionalFormatting>
  <conditionalFormatting sqref="P186:Q214 U204:V204">
    <cfRule type="containsText" dxfId="2" priority="37762" operator="containsText" text="Yes">
      <formula>NOT(ISERROR(SEARCH(("Yes"),(P186))))</formula>
    </cfRule>
  </conditionalFormatting>
  <conditionalFormatting sqref="P186:Q214 U204:V204">
    <cfRule type="containsText" dxfId="2" priority="37763" operator="containsText" text="Yes">
      <formula>NOT(ISERROR(SEARCH(("Yes"),(P186))))</formula>
    </cfRule>
  </conditionalFormatting>
  <conditionalFormatting sqref="P186:Q214 U204:V204">
    <cfRule type="containsText" dxfId="2" priority="37764" operator="containsText" text="Yes">
      <formula>NOT(ISERROR(SEARCH(("Yes"),(P186))))</formula>
    </cfRule>
  </conditionalFormatting>
  <conditionalFormatting sqref="P186:Q214 U204:V204">
    <cfRule type="containsText" dxfId="2" priority="37765" operator="containsText" text="Yes">
      <formula>NOT(ISERROR(SEARCH(("Yes"),(P186))))</formula>
    </cfRule>
  </conditionalFormatting>
  <conditionalFormatting sqref="P186:Q214 U204:V204">
    <cfRule type="containsText" dxfId="2" priority="37766" operator="containsText" text="Yes">
      <formula>NOT(ISERROR(SEARCH(("Yes"),(P186))))</formula>
    </cfRule>
  </conditionalFormatting>
  <conditionalFormatting sqref="P186:Q214 U204:V204">
    <cfRule type="containsText" dxfId="2" priority="37767" operator="containsText" text="Yes">
      <formula>NOT(ISERROR(SEARCH(("Yes"),(P186))))</formula>
    </cfRule>
  </conditionalFormatting>
  <conditionalFormatting sqref="P186:Q214 U204:V204">
    <cfRule type="containsText" dxfId="2" priority="37768" operator="containsText" text="Yes">
      <formula>NOT(ISERROR(SEARCH(("Yes"),(P186))))</formula>
    </cfRule>
  </conditionalFormatting>
  <conditionalFormatting sqref="P186:Q214 U204:V204">
    <cfRule type="containsText" dxfId="2" priority="37769" operator="containsText" text="Yes">
      <formula>NOT(ISERROR(SEARCH(("Yes"),(P186))))</formula>
    </cfRule>
  </conditionalFormatting>
  <conditionalFormatting sqref="P186:Q214 U204:V204">
    <cfRule type="containsText" dxfId="2" priority="37770" operator="containsText" text="Yes">
      <formula>NOT(ISERROR(SEARCH(("Yes"),(P186))))</formula>
    </cfRule>
  </conditionalFormatting>
  <conditionalFormatting sqref="P186:Q214 U204:V204">
    <cfRule type="containsText" dxfId="2" priority="37771" operator="containsText" text="Yes">
      <formula>NOT(ISERROR(SEARCH(("Yes"),(P186))))</formula>
    </cfRule>
  </conditionalFormatting>
  <conditionalFormatting sqref="P186:Q214 U204:V204">
    <cfRule type="containsText" dxfId="2" priority="37772" operator="containsText" text="Yes">
      <formula>NOT(ISERROR(SEARCH(("Yes"),(P186))))</formula>
    </cfRule>
  </conditionalFormatting>
  <conditionalFormatting sqref="P186:Q214 U204:V204">
    <cfRule type="containsText" dxfId="2" priority="37773" operator="containsText" text="Yes">
      <formula>NOT(ISERROR(SEARCH(("Yes"),(P186))))</formula>
    </cfRule>
  </conditionalFormatting>
  <conditionalFormatting sqref="P186:Q214 U204:V204">
    <cfRule type="containsText" dxfId="2" priority="37774" operator="containsText" text="Yes">
      <formula>NOT(ISERROR(SEARCH(("Yes"),(P186))))</formula>
    </cfRule>
  </conditionalFormatting>
  <conditionalFormatting sqref="P186:Q214 U204:V204">
    <cfRule type="containsText" dxfId="2" priority="37775" operator="containsText" text="Yes">
      <formula>NOT(ISERROR(SEARCH(("Yes"),(P186))))</formula>
    </cfRule>
  </conditionalFormatting>
  <conditionalFormatting sqref="P186:Q214 U204:V204">
    <cfRule type="containsText" dxfId="2" priority="37776" operator="containsText" text="Yes">
      <formula>NOT(ISERROR(SEARCH(("Yes"),(P186))))</formula>
    </cfRule>
  </conditionalFormatting>
  <conditionalFormatting sqref="P186:Q214 U204:V204">
    <cfRule type="containsText" dxfId="2" priority="37777" operator="containsText" text="Yes">
      <formula>NOT(ISERROR(SEARCH(("Yes"),(P186))))</formula>
    </cfRule>
  </conditionalFormatting>
  <conditionalFormatting sqref="P186:Q214 U204:V204">
    <cfRule type="containsText" dxfId="2" priority="37778" operator="containsText" text="Yes">
      <formula>NOT(ISERROR(SEARCH(("Yes"),(P186))))</formula>
    </cfRule>
  </conditionalFormatting>
  <conditionalFormatting sqref="P186:Q214 U204:V204">
    <cfRule type="containsText" dxfId="2" priority="37779" operator="containsText" text="Yes">
      <formula>NOT(ISERROR(SEARCH(("Yes"),(P186))))</formula>
    </cfRule>
  </conditionalFormatting>
  <conditionalFormatting sqref="P186:Q214 U204:V204">
    <cfRule type="containsText" dxfId="2" priority="37780" operator="containsText" text="Yes">
      <formula>NOT(ISERROR(SEARCH(("Yes"),(P186))))</formula>
    </cfRule>
  </conditionalFormatting>
  <conditionalFormatting sqref="P186:Q214 U204:V204">
    <cfRule type="containsText" dxfId="2" priority="37781" operator="containsText" text="Yes">
      <formula>NOT(ISERROR(SEARCH(("Yes"),(P186))))</formula>
    </cfRule>
  </conditionalFormatting>
  <conditionalFormatting sqref="P186:Q214 U204:V204">
    <cfRule type="containsText" dxfId="2" priority="37782" operator="containsText" text="Yes">
      <formula>NOT(ISERROR(SEARCH(("Yes"),(P186))))</formula>
    </cfRule>
  </conditionalFormatting>
  <conditionalFormatting sqref="P186:Q214 U204:V204">
    <cfRule type="containsText" dxfId="2" priority="37783" operator="containsText" text="Yes">
      <formula>NOT(ISERROR(SEARCH(("Yes"),(P186))))</formula>
    </cfRule>
  </conditionalFormatting>
  <conditionalFormatting sqref="P186:Q214 U204:V204">
    <cfRule type="containsText" dxfId="2" priority="37784" operator="containsText" text="Yes">
      <formula>NOT(ISERROR(SEARCH(("Yes"),(P186))))</formula>
    </cfRule>
  </conditionalFormatting>
  <conditionalFormatting sqref="P186:Q214 U204:V204">
    <cfRule type="containsText" dxfId="2" priority="37785" operator="containsText" text="Yes">
      <formula>NOT(ISERROR(SEARCH(("Yes"),(P186))))</formula>
    </cfRule>
  </conditionalFormatting>
  <conditionalFormatting sqref="P186:Q214 U204:V204">
    <cfRule type="containsText" dxfId="2" priority="37786" operator="containsText" text="Yes">
      <formula>NOT(ISERROR(SEARCH(("Yes"),(P186))))</formula>
    </cfRule>
  </conditionalFormatting>
  <conditionalFormatting sqref="P186:Q214 U204:V204">
    <cfRule type="containsText" dxfId="2" priority="37787" operator="containsText" text="Yes">
      <formula>NOT(ISERROR(SEARCH(("Yes"),(P186))))</formula>
    </cfRule>
  </conditionalFormatting>
  <conditionalFormatting sqref="P186:Q214 U204:V204">
    <cfRule type="containsText" dxfId="2" priority="37788" operator="containsText" text="Yes">
      <formula>NOT(ISERROR(SEARCH(("Yes"),(P186))))</formula>
    </cfRule>
  </conditionalFormatting>
  <conditionalFormatting sqref="P186:Q214 U204:V204">
    <cfRule type="containsText" dxfId="2" priority="37789" operator="containsText" text="Yes">
      <formula>NOT(ISERROR(SEARCH(("Yes"),(P186))))</formula>
    </cfRule>
  </conditionalFormatting>
  <conditionalFormatting sqref="P186:Q214 U204:V204">
    <cfRule type="containsText" dxfId="2" priority="37790" operator="containsText" text="Yes">
      <formula>NOT(ISERROR(SEARCH(("Yes"),(P186))))</formula>
    </cfRule>
  </conditionalFormatting>
  <conditionalFormatting sqref="P186:Q214 U204:V204">
    <cfRule type="containsText" dxfId="2" priority="37791" operator="containsText" text="Yes">
      <formula>NOT(ISERROR(SEARCH(("Yes"),(P186))))</formula>
    </cfRule>
  </conditionalFormatting>
  <conditionalFormatting sqref="P186:Q214 U204:V204">
    <cfRule type="containsText" dxfId="2" priority="37792" operator="containsText" text="Yes">
      <formula>NOT(ISERROR(SEARCH(("Yes"),(P186))))</formula>
    </cfRule>
  </conditionalFormatting>
  <conditionalFormatting sqref="P186:Q214 U204:V204">
    <cfRule type="containsText" dxfId="2" priority="37793" operator="containsText" text="Yes">
      <formula>NOT(ISERROR(SEARCH(("Yes"),(P186))))</formula>
    </cfRule>
  </conditionalFormatting>
  <conditionalFormatting sqref="P186:Q214 U204:V204">
    <cfRule type="containsText" dxfId="2" priority="37794" operator="containsText" text="Yes">
      <formula>NOT(ISERROR(SEARCH(("Yes"),(P186))))</formula>
    </cfRule>
  </conditionalFormatting>
  <conditionalFormatting sqref="P186:Q214 U204:V204">
    <cfRule type="containsText" dxfId="2" priority="37795" operator="containsText" text="Yes">
      <formula>NOT(ISERROR(SEARCH(("Yes"),(P186))))</formula>
    </cfRule>
  </conditionalFormatting>
  <conditionalFormatting sqref="P186:Q214 U204:V204">
    <cfRule type="containsText" dxfId="2" priority="37796" operator="containsText" text="Yes">
      <formula>NOT(ISERROR(SEARCH(("Yes"),(P186))))</formula>
    </cfRule>
  </conditionalFormatting>
  <conditionalFormatting sqref="P186:Q214 U204:V204">
    <cfRule type="containsText" dxfId="2" priority="37797" operator="containsText" text="Yes">
      <formula>NOT(ISERROR(SEARCH(("Yes"),(P186))))</formula>
    </cfRule>
  </conditionalFormatting>
  <conditionalFormatting sqref="P187:Q216 U204:V204 P222:Q226 P228:Q252 P254:Q256 P258:Q264 O261:O264 O267:Q269 P272:Q275 O275">
    <cfRule type="containsText" dxfId="9" priority="37798" operator="containsText" text="No">
      <formula>NOT(ISERROR(SEARCH(("No"),(P187))))</formula>
    </cfRule>
  </conditionalFormatting>
  <conditionalFormatting sqref="P187:Q216 U204:V204 P222:Q226 P228:Q252 P254:Q256 P258:Q264 O261:O264 O267:Q269 P272:Q275 O275">
    <cfRule type="containsText" dxfId="9" priority="37799" operator="containsText" text="No">
      <formula>NOT(ISERROR(SEARCH(("No"),(P187))))</formula>
    </cfRule>
  </conditionalFormatting>
  <conditionalFormatting sqref="P187:Q216 U204:V204 P222:Q226 P228:Q252 P254:Q256 P258:Q264 O261:O264 O267:Q269 P272:Q275 O275">
    <cfRule type="containsText" dxfId="9" priority="37800" operator="containsText" text="No">
      <formula>NOT(ISERROR(SEARCH(("No"),(P187))))</formula>
    </cfRule>
  </conditionalFormatting>
  <conditionalFormatting sqref="P187:Q216 U204:V204 P222:Q226 P228:Q252 P254:Q256 P258:Q264 O261:O264 O267:Q269 P272:Q275 O275">
    <cfRule type="containsText" dxfId="9" priority="37801" operator="containsText" text="No">
      <formula>NOT(ISERROR(SEARCH(("No"),(P187))))</formula>
    </cfRule>
  </conditionalFormatting>
  <conditionalFormatting sqref="P187:Q216 U204:V204 P222:Q226 P228:Q252 P254:Q256 P258:Q264 O261:O264 O267:Q269 P272:Q275 O275">
    <cfRule type="containsText" dxfId="9" priority="37802" operator="containsText" text="No">
      <formula>NOT(ISERROR(SEARCH(("No"),(P187))))</formula>
    </cfRule>
  </conditionalFormatting>
  <conditionalFormatting sqref="P187:Q216 U204:V204 P222:Q226 P228:Q252 P254:Q256 P258:Q264 O261:O264 O267:Q269 P272:Q275 O275">
    <cfRule type="containsText" dxfId="9" priority="37803" operator="containsText" text="No">
      <formula>NOT(ISERROR(SEARCH(("No"),(P187))))</formula>
    </cfRule>
  </conditionalFormatting>
  <conditionalFormatting sqref="P187:Q216 U204:V204 P222:Q226 P228:Q252 P254:Q256 P258:Q264 O261:O264 O267:Q269 P272:Q275 O275">
    <cfRule type="containsText" dxfId="9" priority="37804" operator="containsText" text="No">
      <formula>NOT(ISERROR(SEARCH(("No"),(P187))))</formula>
    </cfRule>
  </conditionalFormatting>
  <conditionalFormatting sqref="P187:Q216 U204:V204 P222:Q226 P228:Q252 P254:Q256 P258:Q264 O261:O264 O267:Q269 P272:Q275 O275">
    <cfRule type="containsText" dxfId="9" priority="37805" operator="containsText" text="No">
      <formula>NOT(ISERROR(SEARCH(("No"),(P187))))</formula>
    </cfRule>
  </conditionalFormatting>
  <conditionalFormatting sqref="P187:Q216 U204:V204 P222:Q226 P228:Q252 P254:Q256 P258:Q264 O261:O264 O267:Q269 P272:Q275 O275">
    <cfRule type="containsText" dxfId="9" priority="37806" operator="containsText" text="No">
      <formula>NOT(ISERROR(SEARCH(("No"),(P187))))</formula>
    </cfRule>
  </conditionalFormatting>
  <conditionalFormatting sqref="P187:Q216 U204:V204 P222:Q226 P228:Q252 P254:Q256 P258:Q264 O261:O264 O267:Q269 P272:Q275 O275">
    <cfRule type="containsText" dxfId="9" priority="37807" operator="containsText" text="No">
      <formula>NOT(ISERROR(SEARCH(("No"),(P187))))</formula>
    </cfRule>
  </conditionalFormatting>
  <conditionalFormatting sqref="P187:Q216 U204:V204 P222:Q226 P228:Q252 P254:Q256 P258:Q264 O261:O264 O267:Q269 P272:Q275 O275">
    <cfRule type="containsText" dxfId="9" priority="37808" operator="containsText" text="No">
      <formula>NOT(ISERROR(SEARCH(("No"),(P187))))</formula>
    </cfRule>
  </conditionalFormatting>
  <conditionalFormatting sqref="P187:Q216 U204:V204 P222:Q226 P228:Q252 P254:Q256 P258:Q264 O261:O264 O267:Q269 P272:Q275 O275">
    <cfRule type="containsText" dxfId="9" priority="37809" operator="containsText" text="No">
      <formula>NOT(ISERROR(SEARCH(("No"),(P187))))</formula>
    </cfRule>
  </conditionalFormatting>
  <conditionalFormatting sqref="P187:Q216 U204:V204 P222:Q226 P228:Q252 P254:Q256 P258:Q264 O261:O264 O267:Q269 P272:Q275 O275">
    <cfRule type="containsText" dxfId="9" priority="37810" operator="containsText" text="No">
      <formula>NOT(ISERROR(SEARCH(("No"),(P187))))</formula>
    </cfRule>
  </conditionalFormatting>
  <conditionalFormatting sqref="P187:Q216 U204:V204 P222:Q226 P228:Q252 P254:Q256 P258:Q264 O261:O264 O267:Q269 P272:Q275 O275">
    <cfRule type="containsText" dxfId="9" priority="37811" operator="containsText" text="No">
      <formula>NOT(ISERROR(SEARCH(("No"),(P187))))</formula>
    </cfRule>
  </conditionalFormatting>
  <conditionalFormatting sqref="P187:Q216 U204:V204 P222:Q226 P228:Q252 P254:Q256 P258:Q264 O261:O264 O267:Q269 P272:Q275 O275">
    <cfRule type="containsText" dxfId="9" priority="37812" operator="containsText" text="No">
      <formula>NOT(ISERROR(SEARCH(("No"),(P187))))</formula>
    </cfRule>
  </conditionalFormatting>
  <conditionalFormatting sqref="P187:Q216 U204:V204 P222:Q226 P228:Q252 P254:Q256 P258:Q264 O261:O264 O267:Q269 P272:Q275 O275">
    <cfRule type="containsText" dxfId="9" priority="37813" operator="containsText" text="No">
      <formula>NOT(ISERROR(SEARCH(("No"),(P187))))</formula>
    </cfRule>
  </conditionalFormatting>
  <conditionalFormatting sqref="P187:Q216 U204:V204 P222:Q226 P228:Q252 P254:Q256 P258:Q264 O261:O264 O267:Q269 P272:Q275 O275">
    <cfRule type="containsText" dxfId="9" priority="37814" operator="containsText" text="No">
      <formula>NOT(ISERROR(SEARCH(("No"),(P187))))</formula>
    </cfRule>
  </conditionalFormatting>
  <conditionalFormatting sqref="P187:Q216 U204:V204 P222:Q226 P228:Q252 P254:Q256 P258:Q264 O261:O264 O267:Q269 P272:Q275 O275">
    <cfRule type="containsText" dxfId="9" priority="37815" operator="containsText" text="No">
      <formula>NOT(ISERROR(SEARCH(("No"),(P187))))</formula>
    </cfRule>
  </conditionalFormatting>
  <conditionalFormatting sqref="P187:Q216 U204:V204 P222:Q226 P228:Q252 P254:Q256 P258:Q264 O261:O264 O267:Q269 P272:Q275 O275">
    <cfRule type="containsText" dxfId="9" priority="37816" operator="containsText" text="No">
      <formula>NOT(ISERROR(SEARCH(("No"),(P187))))</formula>
    </cfRule>
  </conditionalFormatting>
  <conditionalFormatting sqref="P187:Q216 U204:V204 P222:Q226 P228:Q252 P254:Q256 P258:Q264 O261:O264 O267:Q269 P272:Q275 O275">
    <cfRule type="containsText" dxfId="9" priority="37817" operator="containsText" text="No">
      <formula>NOT(ISERROR(SEARCH(("No"),(P187))))</formula>
    </cfRule>
  </conditionalFormatting>
  <conditionalFormatting sqref="P187:Q216 U204:V204 P222:Q226 P228:Q252 P254:Q256 P258:Q264 O261:O264 O267:Q269 P272:Q275 O275">
    <cfRule type="containsText" dxfId="9" priority="37818" operator="containsText" text="No">
      <formula>NOT(ISERROR(SEARCH(("No"),(P187))))</formula>
    </cfRule>
  </conditionalFormatting>
  <conditionalFormatting sqref="P187:Q216 U204:V204 P222:Q226 P228:Q252 P254:Q256 P258:Q264 O261:O264 O267:Q269 P272:Q275 O275">
    <cfRule type="containsText" dxfId="9" priority="37819" operator="containsText" text="No">
      <formula>NOT(ISERROR(SEARCH(("No"),(P187))))</formula>
    </cfRule>
  </conditionalFormatting>
  <conditionalFormatting sqref="P187:Q216 U204:V204 P222:Q226 P228:Q252 P254:Q256 P258:Q264 O261:O264 O267:Q269 P272:Q275 O275">
    <cfRule type="containsText" dxfId="9" priority="37820" operator="containsText" text="No">
      <formula>NOT(ISERROR(SEARCH(("No"),(P187))))</formula>
    </cfRule>
  </conditionalFormatting>
  <conditionalFormatting sqref="P187:Q216 U204:V204 P222:Q226 P228:Q252 P254:Q256 P258:Q264 O261:O264 O267:Q269 P272:Q275 O275">
    <cfRule type="containsText" dxfId="9" priority="37821" operator="containsText" text="No">
      <formula>NOT(ISERROR(SEARCH(("No"),(P187))))</formula>
    </cfRule>
  </conditionalFormatting>
  <conditionalFormatting sqref="P187:Q216 U204:V204 P222:Q226 P228:Q252 P254:Q256 P258:Q264 O261:O264 O267:Q269 P272:Q275 O275">
    <cfRule type="containsText" dxfId="9" priority="37822" operator="containsText" text="No">
      <formula>NOT(ISERROR(SEARCH(("No"),(P187))))</formula>
    </cfRule>
  </conditionalFormatting>
  <conditionalFormatting sqref="P187:Q216 U204:V204 P222:Q226 P228:Q252 P254:Q256 P258:Q264 O261:O264 O267:Q269 P272:Q275 O275">
    <cfRule type="containsText" dxfId="9" priority="37823" operator="containsText" text="No">
      <formula>NOT(ISERROR(SEARCH(("No"),(P187))))</formula>
    </cfRule>
  </conditionalFormatting>
  <conditionalFormatting sqref="P187:Q216 U204:V204 P222:Q226 P228:Q252 P254:Q256 P258:Q264 O261:O264 O267:Q269 P272:Q275 O275">
    <cfRule type="containsText" dxfId="9" priority="37824" operator="containsText" text="No">
      <formula>NOT(ISERROR(SEARCH(("No"),(P187))))</formula>
    </cfRule>
  </conditionalFormatting>
  <conditionalFormatting sqref="P187:Q216 U204:V204 P222:Q226 P228:Q252 P254:Q256 P258:Q264 O261:O264 O267:Q269 P272:Q275 O275">
    <cfRule type="containsText" dxfId="9" priority="37825" operator="containsText" text="No">
      <formula>NOT(ISERROR(SEARCH(("No"),(P187))))</formula>
    </cfRule>
  </conditionalFormatting>
  <conditionalFormatting sqref="P187:Q216 U204:V204 P222:Q226 P228:Q252 P254:Q256 P258:Q264 O261:O264 O267:Q269 P272:Q275 O275">
    <cfRule type="containsText" dxfId="9" priority="37826" operator="containsText" text="No">
      <formula>NOT(ISERROR(SEARCH(("No"),(P187))))</formula>
    </cfRule>
  </conditionalFormatting>
  <conditionalFormatting sqref="P187:Q216 U204:V204 P222:Q226 P228:Q252 P254:Q256 P258:Q264 O261:O264 O267:Q269 P272:Q275 O275">
    <cfRule type="containsText" dxfId="9" priority="37827" operator="containsText" text="No">
      <formula>NOT(ISERROR(SEARCH(("No"),(P187))))</formula>
    </cfRule>
  </conditionalFormatting>
  <conditionalFormatting sqref="P187:Q216 U204:V204 P222:Q226 P228:Q252 P254:Q256 P258:Q264 O261:O264 O267:Q269 P272:Q275 O275">
    <cfRule type="containsText" dxfId="9" priority="37828" operator="containsText" text="No">
      <formula>NOT(ISERROR(SEARCH(("No"),(P187))))</formula>
    </cfRule>
  </conditionalFormatting>
  <conditionalFormatting sqref="P187:Q216 U204:V204 P222:Q226 P228:Q252 P254:Q256 P258:Q264 O261:O264 O267:Q269 P272:Q275 O275">
    <cfRule type="containsText" dxfId="9" priority="37829" operator="containsText" text="No">
      <formula>NOT(ISERROR(SEARCH(("No"),(P187))))</formula>
    </cfRule>
  </conditionalFormatting>
  <conditionalFormatting sqref="P187:Q216 U204:V204 P222:Q226 P228:Q252 P254:Q256 P258:Q264 O261:O264 O267:Q269 P272:Q275 O275">
    <cfRule type="containsText" dxfId="9" priority="37830" operator="containsText" text="No">
      <formula>NOT(ISERROR(SEARCH(("No"),(P187))))</formula>
    </cfRule>
  </conditionalFormatting>
  <conditionalFormatting sqref="P187:Q216 U204:V204 P222:Q226 P228:Q252 P254:Q256 P258:Q264 O261:O264 O267:Q269 P272:Q275 O275">
    <cfRule type="containsText" dxfId="9" priority="37831" operator="containsText" text="No">
      <formula>NOT(ISERROR(SEARCH(("No"),(P187))))</formula>
    </cfRule>
  </conditionalFormatting>
  <conditionalFormatting sqref="P187:Q216 U204:V204 P222:Q226 P228:Q252 P254:Q256 P258:Q264 O261:O264 O267:Q269 P272:Q275 O275">
    <cfRule type="containsText" dxfId="9" priority="37832" operator="containsText" text="No">
      <formula>NOT(ISERROR(SEARCH(("No"),(P187))))</formula>
    </cfRule>
  </conditionalFormatting>
  <conditionalFormatting sqref="P187:Q216 U204:V204 P222:Q226 P228:Q252 P254:Q256 P258:Q264 O261:O264 O267:Q269 P272:Q275 O275">
    <cfRule type="containsText" dxfId="9" priority="37833" operator="containsText" text="No">
      <formula>NOT(ISERROR(SEARCH(("No"),(P187))))</formula>
    </cfRule>
  </conditionalFormatting>
  <conditionalFormatting sqref="P187:Q216 U204:V204 P222:Q226 P228:Q252 P254:Q256 P258:Q264 O261:O264 O267:Q269 P272:Q275 O275">
    <cfRule type="containsText" dxfId="9" priority="37834" operator="containsText" text="No">
      <formula>NOT(ISERROR(SEARCH(("No"),(P187))))</formula>
    </cfRule>
  </conditionalFormatting>
  <conditionalFormatting sqref="P187:Q216 U204:V204 P222:Q226 P228:Q252 P254:Q256 P258:Q264 O261:O264 O267:Q269 P272:Q275 O275">
    <cfRule type="containsText" dxfId="9" priority="37835" operator="containsText" text="No">
      <formula>NOT(ISERROR(SEARCH(("No"),(P187))))</formula>
    </cfRule>
  </conditionalFormatting>
  <conditionalFormatting sqref="P187:Q216 U204:V204 P222:Q226 P228:Q252 P254:Q256 P258:Q264 O261:O264 O267:Q269 P272:Q275 O275">
    <cfRule type="containsText" dxfId="9" priority="37836" operator="containsText" text="No">
      <formula>NOT(ISERROR(SEARCH(("No"),(P187))))</formula>
    </cfRule>
  </conditionalFormatting>
  <conditionalFormatting sqref="P187:Q216 U204:V204 P222:Q226 P228:Q252 P254:Q256 P258:Q264 O261:O264 O267:Q269 P272:Q275 O275">
    <cfRule type="containsText" dxfId="9" priority="37837" operator="containsText" text="No">
      <formula>NOT(ISERROR(SEARCH(("No"),(P187))))</formula>
    </cfRule>
  </conditionalFormatting>
  <conditionalFormatting sqref="P187:Q216 U204:V204 P222:Q226 P228:Q252 P254:Q256 P258:Q264 O261:O264 O267:Q269 P272:Q275 O275">
    <cfRule type="containsText" dxfId="9" priority="37838" operator="containsText" text="No">
      <formula>NOT(ISERROR(SEARCH(("No"),(P187))))</formula>
    </cfRule>
  </conditionalFormatting>
  <conditionalFormatting sqref="P187:Q216 U204:V204 P222:Q226 P228:Q252 P254:Q256 P258:Q264 O261:O264 O267:Q269 P272:Q275 O275">
    <cfRule type="containsText" dxfId="9" priority="37839" operator="containsText" text="No">
      <formula>NOT(ISERROR(SEARCH(("No"),(P187))))</formula>
    </cfRule>
  </conditionalFormatting>
  <conditionalFormatting sqref="P187:Q216 U204:V204 P222:Q226 P228:Q252 P254:Q256 P258:Q264 O261:O264 O267:Q269 P272:Q275 O275">
    <cfRule type="containsText" dxfId="9" priority="37840" operator="containsText" text="No">
      <formula>NOT(ISERROR(SEARCH(("No"),(P187))))</formula>
    </cfRule>
  </conditionalFormatting>
  <conditionalFormatting sqref="P187:Q216 U204:V204 P222:Q226 P228:Q252 P254:Q256 P258:Q264 O261:O264 O267:Q269 P272:Q275 O275">
    <cfRule type="containsText" dxfId="9" priority="37841" operator="containsText" text="No">
      <formula>NOT(ISERROR(SEARCH(("No"),(P187))))</formula>
    </cfRule>
  </conditionalFormatting>
  <conditionalFormatting sqref="P187:Q216 U204:V204 P222:Q226 P228:Q252 P254:Q256 P258:Q264 O261:O264 O267:Q269 P272:Q275 O275">
    <cfRule type="containsText" dxfId="9" priority="37842" operator="containsText" text="No">
      <formula>NOT(ISERROR(SEARCH(("No"),(P187))))</formula>
    </cfRule>
  </conditionalFormatting>
  <conditionalFormatting sqref="P187:Q216 U204:V204 P222:Q226 P228:Q252 P254:Q256 P258:Q264 O261:O264 O267:Q269 P272:Q275 O275">
    <cfRule type="containsText" dxfId="2" priority="37843" operator="containsText" text="Yes">
      <formula>NOT(ISERROR(SEARCH(("Yes"),(P187))))</formula>
    </cfRule>
  </conditionalFormatting>
  <conditionalFormatting sqref="P187:Q216 U204:V204 P222:Q226 P228:Q252 P254:Q256 P258:Q264 O261:O264 O267:Q269 P272:Q275 O275">
    <cfRule type="containsText" dxfId="2" priority="37844" operator="containsText" text="Yes">
      <formula>NOT(ISERROR(SEARCH(("Yes"),(P187))))</formula>
    </cfRule>
  </conditionalFormatting>
  <conditionalFormatting sqref="P187:Q216 U204:V204 P222:Q226 P228:Q252 P254:Q256 P258:Q264 O261:O264 O267:Q269 P272:Q275 O275">
    <cfRule type="containsText" dxfId="2" priority="37845" operator="containsText" text="Yes">
      <formula>NOT(ISERROR(SEARCH(("Yes"),(P187))))</formula>
    </cfRule>
  </conditionalFormatting>
  <conditionalFormatting sqref="P187:Q216 U204:V204 P222:Q226 P228:Q252 P254:Q256 P258:Q264 O261:O264 O267:Q269 P272:Q275 O275">
    <cfRule type="containsText" dxfId="2" priority="37846" operator="containsText" text="Yes">
      <formula>NOT(ISERROR(SEARCH(("Yes"),(P187))))</formula>
    </cfRule>
  </conditionalFormatting>
  <conditionalFormatting sqref="P187:Q216 U204:V204 P222:Q226 P228:Q252 P254:Q256 P258:Q264 O261:O264 O267:Q269 P272:Q275 O275">
    <cfRule type="containsText" dxfId="2" priority="37847" operator="containsText" text="Yes">
      <formula>NOT(ISERROR(SEARCH(("Yes"),(P187))))</formula>
    </cfRule>
  </conditionalFormatting>
  <conditionalFormatting sqref="P187:Q216 U204:V204 P222:Q226 P228:Q252 P254:Q256 P258:Q264 O261:O264 O267:Q269 P272:Q275 O275">
    <cfRule type="containsText" dxfId="2" priority="37848" operator="containsText" text="Yes">
      <formula>NOT(ISERROR(SEARCH(("Yes"),(P187))))</formula>
    </cfRule>
  </conditionalFormatting>
  <conditionalFormatting sqref="P187:Q216 U204:V204 P222:Q226 P228:Q252 P254:Q256 P258:Q264 O261:O264 O267:Q269 P272:Q275 O275">
    <cfRule type="containsText" dxfId="2" priority="37849" operator="containsText" text="Yes">
      <formula>NOT(ISERROR(SEARCH(("Yes"),(P187))))</formula>
    </cfRule>
  </conditionalFormatting>
  <conditionalFormatting sqref="P187:Q216 U204:V204 P222:Q226 P228:Q252 P254:Q256 P258:Q264 O261:O264 O267:Q269 P272:Q275 O275">
    <cfRule type="containsText" dxfId="2" priority="37850" operator="containsText" text="Yes">
      <formula>NOT(ISERROR(SEARCH(("Yes"),(P187))))</formula>
    </cfRule>
  </conditionalFormatting>
  <conditionalFormatting sqref="P187:Q216 U204:V204 P222:Q226 P228:Q252 P254:Q256 P258:Q264 O261:O264 O267:Q269 P272:Q275 O275">
    <cfRule type="containsText" dxfId="2" priority="37851" operator="containsText" text="Yes">
      <formula>NOT(ISERROR(SEARCH(("Yes"),(P187))))</formula>
    </cfRule>
  </conditionalFormatting>
  <conditionalFormatting sqref="P187:Q216 U204:V204 P222:Q226 P228:Q252 P254:Q256 P258:Q264 O261:O264 O267:Q269 P272:Q275 O275">
    <cfRule type="containsText" dxfId="2" priority="37852" operator="containsText" text="Yes">
      <formula>NOT(ISERROR(SEARCH(("Yes"),(P187))))</formula>
    </cfRule>
  </conditionalFormatting>
  <conditionalFormatting sqref="P187:Q216 U204:V204 P222:Q226 P228:Q252 P254:Q256 P258:Q264 O261:O264 O267:Q269 P272:Q275 O275">
    <cfRule type="containsText" dxfId="2" priority="37853" operator="containsText" text="Yes">
      <formula>NOT(ISERROR(SEARCH(("Yes"),(P187))))</formula>
    </cfRule>
  </conditionalFormatting>
  <conditionalFormatting sqref="P187:Q216 U204:V204 P222:Q226 P228:Q252 P254:Q256 P258:Q264 O261:O264 O267:Q269 P272:Q275 O275">
    <cfRule type="containsText" dxfId="2" priority="37854" operator="containsText" text="Yes">
      <formula>NOT(ISERROR(SEARCH(("Yes"),(P187))))</formula>
    </cfRule>
  </conditionalFormatting>
  <conditionalFormatting sqref="P187:Q216 U204:V204 P222:Q226 P228:Q252 P254:Q256 P258:Q264 O261:O264 O267:Q269 P272:Q275 O275">
    <cfRule type="containsText" dxfId="2" priority="37855" operator="containsText" text="Yes">
      <formula>NOT(ISERROR(SEARCH(("Yes"),(P187))))</formula>
    </cfRule>
  </conditionalFormatting>
  <conditionalFormatting sqref="P187:Q216 U204:V204 P222:Q226 P228:Q252 P254:Q256 P258:Q264 O261:O264 O267:Q269 P272:Q275 O275">
    <cfRule type="containsText" dxfId="2" priority="37856" operator="containsText" text="Yes">
      <formula>NOT(ISERROR(SEARCH(("Yes"),(P187))))</formula>
    </cfRule>
  </conditionalFormatting>
  <conditionalFormatting sqref="P187:Q216 U204:V204 P222:Q226 P228:Q252 P254:Q256 P258:Q264 O261:O264 O267:Q269 P272:Q275 O275">
    <cfRule type="containsText" dxfId="2" priority="37857" operator="containsText" text="Yes">
      <formula>NOT(ISERROR(SEARCH(("Yes"),(P187))))</formula>
    </cfRule>
  </conditionalFormatting>
  <conditionalFormatting sqref="P187:Q216 U204:V204 P222:Q226 P228:Q252 P254:Q256 P258:Q264 O261:O264 O267:Q269 P272:Q275 O275">
    <cfRule type="containsText" dxfId="2" priority="37858" operator="containsText" text="Yes">
      <formula>NOT(ISERROR(SEARCH(("Yes"),(P187))))</formula>
    </cfRule>
  </conditionalFormatting>
  <conditionalFormatting sqref="P187:Q216 U204:V204 P222:Q226 P228:Q252 P254:Q256 P258:Q264 O261:O264 O267:Q269 P272:Q275 O275">
    <cfRule type="containsText" dxfId="2" priority="37859" operator="containsText" text="Yes">
      <formula>NOT(ISERROR(SEARCH(("Yes"),(P187))))</formula>
    </cfRule>
  </conditionalFormatting>
  <conditionalFormatting sqref="P187:Q216 U204:V204 P222:Q226 P228:Q252 P254:Q256 P258:Q264 O261:O264 O267:Q269 P272:Q275 O275">
    <cfRule type="containsText" dxfId="2" priority="37860" operator="containsText" text="Yes">
      <formula>NOT(ISERROR(SEARCH(("Yes"),(P187))))</formula>
    </cfRule>
  </conditionalFormatting>
  <conditionalFormatting sqref="P187:Q216 U204:V204 P222:Q226 P228:Q252 P254:Q256 P258:Q264 O261:O264 O267:Q269 P272:Q275 O275">
    <cfRule type="containsText" dxfId="2" priority="37861" operator="containsText" text="Yes">
      <formula>NOT(ISERROR(SEARCH(("Yes"),(P187))))</formula>
    </cfRule>
  </conditionalFormatting>
  <conditionalFormatting sqref="P187:Q216 U204:V204 P222:Q226 P228:Q252 P254:Q256 P258:Q264 O261:O264 O267:Q269 P272:Q275 O275">
    <cfRule type="containsText" dxfId="2" priority="37862" operator="containsText" text="Yes">
      <formula>NOT(ISERROR(SEARCH(("Yes"),(P187))))</formula>
    </cfRule>
  </conditionalFormatting>
  <conditionalFormatting sqref="P187:Q216 U204:V204 P222:Q226 P228:Q252 P254:Q256 P258:Q264 O261:O264 O267:Q269 P272:Q275 O275">
    <cfRule type="containsText" dxfId="2" priority="37863" operator="containsText" text="Yes">
      <formula>NOT(ISERROR(SEARCH(("Yes"),(P187))))</formula>
    </cfRule>
  </conditionalFormatting>
  <conditionalFormatting sqref="P187:Q216 U204:V204 P222:Q226 P228:Q252 P254:Q256 P258:Q264 O261:O264 O267:Q269 P272:Q275 O275">
    <cfRule type="containsText" dxfId="2" priority="37864" operator="containsText" text="Yes">
      <formula>NOT(ISERROR(SEARCH(("Yes"),(P187))))</formula>
    </cfRule>
  </conditionalFormatting>
  <conditionalFormatting sqref="P187:Q216 U204:V204 P222:Q226 P228:Q252 P254:Q256 P258:Q264 O261:O264 O267:Q269 P272:Q275 O275">
    <cfRule type="containsText" dxfId="2" priority="37865" operator="containsText" text="Yes">
      <formula>NOT(ISERROR(SEARCH(("Yes"),(P187))))</formula>
    </cfRule>
  </conditionalFormatting>
  <conditionalFormatting sqref="P187:Q216 U204:V204 P222:Q226 P228:Q252 P254:Q256 P258:Q264 O261:O264 O267:Q269 P272:Q275 O275">
    <cfRule type="containsText" dxfId="2" priority="37866" operator="containsText" text="Yes">
      <formula>NOT(ISERROR(SEARCH(("Yes"),(P187))))</formula>
    </cfRule>
  </conditionalFormatting>
  <conditionalFormatting sqref="P187:Q216 U204:V204 P222:Q226 P228:Q252 P254:Q256 P258:Q264 O261:O264 O267:Q269 P272:Q275 O275">
    <cfRule type="containsText" dxfId="2" priority="37867" operator="containsText" text="Yes">
      <formula>NOT(ISERROR(SEARCH(("Yes"),(P187))))</formula>
    </cfRule>
  </conditionalFormatting>
  <conditionalFormatting sqref="P187:Q216 U204:V204 P222:Q226 P228:Q252 P254:Q256 P258:Q264 O261:O264 O267:Q269 P272:Q275 O275">
    <cfRule type="containsText" dxfId="2" priority="37868" operator="containsText" text="Yes">
      <formula>NOT(ISERROR(SEARCH(("Yes"),(P187))))</formula>
    </cfRule>
  </conditionalFormatting>
  <conditionalFormatting sqref="P187:Q216 U204:V204 P222:Q226 P228:Q252 P254:Q256 P258:Q264 O261:O264 O267:Q269 P272:Q275 O275">
    <cfRule type="containsText" dxfId="2" priority="37869" operator="containsText" text="Yes">
      <formula>NOT(ISERROR(SEARCH(("Yes"),(P187))))</formula>
    </cfRule>
  </conditionalFormatting>
  <conditionalFormatting sqref="P187:Q216 U204:V204 P222:Q226 P228:Q252 P254:Q256 P258:Q264 O261:O264 O267:Q269 P272:Q275 O275">
    <cfRule type="containsText" dxfId="2" priority="37870" operator="containsText" text="Yes">
      <formula>NOT(ISERROR(SEARCH(("Yes"),(P187))))</formula>
    </cfRule>
  </conditionalFormatting>
  <conditionalFormatting sqref="P187:Q216 U204:V204 P222:Q226 P228:Q252 P254:Q256 P258:Q264 O261:O264 O267:Q269 P272:Q275 O275">
    <cfRule type="containsText" dxfId="2" priority="37871" operator="containsText" text="Yes">
      <formula>NOT(ISERROR(SEARCH(("Yes"),(P187))))</formula>
    </cfRule>
  </conditionalFormatting>
  <conditionalFormatting sqref="P187:Q216 U204:V204 P222:Q226 P228:Q252 P254:Q256 P258:Q264 O261:O264 O267:Q269 P272:Q275 O275">
    <cfRule type="containsText" dxfId="2" priority="37872" operator="containsText" text="Yes">
      <formula>NOT(ISERROR(SEARCH(("Yes"),(P187))))</formula>
    </cfRule>
  </conditionalFormatting>
  <conditionalFormatting sqref="P187:Q216 U204:V204 P222:Q226 P228:Q252 P254:Q256 P258:Q264 O261:O264 O267:Q269 P272:Q275 O275">
    <cfRule type="containsText" dxfId="2" priority="37873" operator="containsText" text="Yes">
      <formula>NOT(ISERROR(SEARCH(("Yes"),(P187))))</formula>
    </cfRule>
  </conditionalFormatting>
  <conditionalFormatting sqref="P187:Q216 U204:V204 P222:Q226 P228:Q252 P254:Q256 P258:Q264 O261:O264 O267:Q269 P272:Q275 O275">
    <cfRule type="containsText" dxfId="2" priority="37874" operator="containsText" text="Yes">
      <formula>NOT(ISERROR(SEARCH(("Yes"),(P187))))</formula>
    </cfRule>
  </conditionalFormatting>
  <conditionalFormatting sqref="P187:Q216 U204:V204 P222:Q226 P228:Q252 P254:Q256 P258:Q264 O261:O264 O267:Q269 P272:Q275 O275">
    <cfRule type="containsText" dxfId="2" priority="37875" operator="containsText" text="Yes">
      <formula>NOT(ISERROR(SEARCH(("Yes"),(P187))))</formula>
    </cfRule>
  </conditionalFormatting>
  <conditionalFormatting sqref="P187:Q216 U204:V204 P222:Q226 P228:Q252 P254:Q256 P258:Q264 O261:O264 O267:Q269 P272:Q275 O275">
    <cfRule type="containsText" dxfId="2" priority="37876" operator="containsText" text="Yes">
      <formula>NOT(ISERROR(SEARCH(("Yes"),(P187))))</formula>
    </cfRule>
  </conditionalFormatting>
  <conditionalFormatting sqref="P187:Q216 U204:V204 P222:Q226 P228:Q252 P254:Q256 P258:Q264 O261:O264 O267:Q269 P272:Q275 O275">
    <cfRule type="containsText" dxfId="2" priority="37877" operator="containsText" text="Yes">
      <formula>NOT(ISERROR(SEARCH(("Yes"),(P187))))</formula>
    </cfRule>
  </conditionalFormatting>
  <conditionalFormatting sqref="P187:Q216 U204:V204 P222:Q226 P228:Q252 P254:Q256 P258:Q264 O261:O264 O267:Q269 P272:Q275 O275">
    <cfRule type="containsText" dxfId="2" priority="37878" operator="containsText" text="Yes">
      <formula>NOT(ISERROR(SEARCH(("Yes"),(P187))))</formula>
    </cfRule>
  </conditionalFormatting>
  <conditionalFormatting sqref="P187:Q216 U204:V204 P222:Q226 P228:Q252 P254:Q256 P258:Q264 O261:O264 O267:Q269 P272:Q275 O275">
    <cfRule type="containsText" dxfId="2" priority="37879" operator="containsText" text="Yes">
      <formula>NOT(ISERROR(SEARCH(("Yes"),(P187))))</formula>
    </cfRule>
  </conditionalFormatting>
  <conditionalFormatting sqref="P187:Q216 U204:V204 P222:Q226 P228:Q252 P254:Q256 P258:Q264 O261:O264 O267:Q269 P272:Q275 O275">
    <cfRule type="containsText" dxfId="2" priority="37880" operator="containsText" text="Yes">
      <formula>NOT(ISERROR(SEARCH(("Yes"),(P187))))</formula>
    </cfRule>
  </conditionalFormatting>
  <conditionalFormatting sqref="P187:Q216 U204:V204 P222:Q226 P228:Q252 P254:Q256 P258:Q264 O261:O264 O267:Q269 P272:Q275 O275">
    <cfRule type="containsText" dxfId="2" priority="37881" operator="containsText" text="Yes">
      <formula>NOT(ISERROR(SEARCH(("Yes"),(P187))))</formula>
    </cfRule>
  </conditionalFormatting>
  <conditionalFormatting sqref="P187:Q216 U204:V204 P222:Q226 P228:Q252 P254:Q256 P258:Q264 O261:O264 O267:Q269 P272:Q275 O275">
    <cfRule type="containsText" dxfId="2" priority="37882" operator="containsText" text="Yes">
      <formula>NOT(ISERROR(SEARCH(("Yes"),(P187))))</formula>
    </cfRule>
  </conditionalFormatting>
  <conditionalFormatting sqref="P187:Q216 U204:V204 P222:Q226 P228:Q252 P254:Q256 P258:Q264 O261:O264 O267:Q269 P272:Q275 O275">
    <cfRule type="containsText" dxfId="2" priority="37883" operator="containsText" text="Yes">
      <formula>NOT(ISERROR(SEARCH(("Yes"),(P187))))</formula>
    </cfRule>
  </conditionalFormatting>
  <conditionalFormatting sqref="P187:Q216 U204:V204 P222:Q226 P228:Q252 P254:Q256 P258:Q264 O261:O264 O267:Q269 P272:Q275 O275">
    <cfRule type="containsText" dxfId="2" priority="37884" operator="containsText" text="Yes">
      <formula>NOT(ISERROR(SEARCH(("Yes"),(P187))))</formula>
    </cfRule>
  </conditionalFormatting>
  <conditionalFormatting sqref="P187:Q216 U204:V204 P222:Q226 P228:Q252 P254:Q256 P258:Q264 O261:O264 O267:Q269 P272:Q275 O275">
    <cfRule type="containsText" dxfId="2" priority="37885" operator="containsText" text="Yes">
      <formula>NOT(ISERROR(SEARCH(("Yes"),(P187))))</formula>
    </cfRule>
  </conditionalFormatting>
  <conditionalFormatting sqref="P187:Q216 U204:V204 P222:Q226 P228:Q252 P254:Q256 P258:Q264 O261:O264 O267:Q269 P272:Q275 O275">
    <cfRule type="containsText" dxfId="2" priority="37886" operator="containsText" text="Yes">
      <formula>NOT(ISERROR(SEARCH(("Yes"),(P187))))</formula>
    </cfRule>
  </conditionalFormatting>
  <conditionalFormatting sqref="P187:Q216 U204:V204 P222:Q226 P228:Q252 P254:Q256 P258:Q264 O261:O264 O267:Q269 P272:Q275 O275">
    <cfRule type="containsText" dxfId="2" priority="37887" operator="containsText" text="Yes">
      <formula>NOT(ISERROR(SEARCH(("Yes"),(P187))))</formula>
    </cfRule>
  </conditionalFormatting>
  <conditionalFormatting sqref="P187:Q216 U204:V204 P222:Q226 P228:Q252 P254:Q256 P258:Q264 O261:O264 O267:Q269 P272:Q275 O275">
    <cfRule type="containsText" dxfId="2" priority="37888" operator="containsText" text="Yes">
      <formula>NOT(ISERROR(SEARCH(("Yes"),(P187))))</formula>
    </cfRule>
  </conditionalFormatting>
  <conditionalFormatting sqref="P187:Q216 U204:V204 P222:Q226 P228:Q252 P254:Q256 P258:Q264 O261:O264 O267:Q269 P272:Q275 O275">
    <cfRule type="containsText" dxfId="2" priority="37889" operator="containsText" text="Yes">
      <formula>NOT(ISERROR(SEARCH(("Yes"),(P187))))</formula>
    </cfRule>
  </conditionalFormatting>
  <conditionalFormatting sqref="P189:Q191 P196:Q196 P199:Q200">
    <cfRule type="containsText" dxfId="9" priority="37890" operator="containsText" text="No">
      <formula>NOT(ISERROR(SEARCH(("No"),(P189))))</formula>
    </cfRule>
  </conditionalFormatting>
  <conditionalFormatting sqref="P189:Q191 P196:Q196 P199:Q200">
    <cfRule type="containsText" dxfId="9" priority="37891" operator="containsText" text="No">
      <formula>NOT(ISERROR(SEARCH(("No"),(P189))))</formula>
    </cfRule>
  </conditionalFormatting>
  <conditionalFormatting sqref="P189:Q191 P196:Q196 P199:Q200">
    <cfRule type="containsText" dxfId="9" priority="37892" operator="containsText" text="No">
      <formula>NOT(ISERROR(SEARCH(("No"),(P189))))</formula>
    </cfRule>
  </conditionalFormatting>
  <conditionalFormatting sqref="P189:Q191 P196:Q196 P199:Q200">
    <cfRule type="containsText" dxfId="9" priority="37893" operator="containsText" text="No">
      <formula>NOT(ISERROR(SEARCH(("No"),(P189))))</formula>
    </cfRule>
  </conditionalFormatting>
  <conditionalFormatting sqref="P189:Q191 P196:Q196 P199:Q200">
    <cfRule type="containsText" dxfId="9" priority="37894" operator="containsText" text="No">
      <formula>NOT(ISERROR(SEARCH(("No"),(P189))))</formula>
    </cfRule>
  </conditionalFormatting>
  <conditionalFormatting sqref="P189:Q191 P196:Q196 P199:Q200">
    <cfRule type="containsText" dxfId="9" priority="37895" operator="containsText" text="No">
      <formula>NOT(ISERROR(SEARCH(("No"),(P189))))</formula>
    </cfRule>
  </conditionalFormatting>
  <conditionalFormatting sqref="P189:Q191 P196:Q196 P199:Q200">
    <cfRule type="containsText" dxfId="9" priority="37896" operator="containsText" text="No">
      <formula>NOT(ISERROR(SEARCH(("No"),(P189))))</formula>
    </cfRule>
  </conditionalFormatting>
  <conditionalFormatting sqref="P189:Q191 P196:Q196 P199:Q200">
    <cfRule type="containsText" dxfId="9" priority="37897" operator="containsText" text="No">
      <formula>NOT(ISERROR(SEARCH(("No"),(P189))))</formula>
    </cfRule>
  </conditionalFormatting>
  <conditionalFormatting sqref="P189:Q191 P196:Q196 P199:Q200">
    <cfRule type="containsText" dxfId="9" priority="37898" operator="containsText" text="No">
      <formula>NOT(ISERROR(SEARCH(("No"),(P189))))</formula>
    </cfRule>
  </conditionalFormatting>
  <conditionalFormatting sqref="P189:Q191 P196:Q196 P199:Q200">
    <cfRule type="containsText" dxfId="9" priority="37899" operator="containsText" text="No">
      <formula>NOT(ISERROR(SEARCH(("No"),(P189))))</formula>
    </cfRule>
  </conditionalFormatting>
  <conditionalFormatting sqref="P189:Q191 P196:Q196 P199:Q200">
    <cfRule type="containsText" dxfId="9" priority="37900" operator="containsText" text="No">
      <formula>NOT(ISERROR(SEARCH(("No"),(P189))))</formula>
    </cfRule>
  </conditionalFormatting>
  <conditionalFormatting sqref="P189:Q191 P196:Q196 P199:Q200">
    <cfRule type="containsText" dxfId="9" priority="37901" operator="containsText" text="No">
      <formula>NOT(ISERROR(SEARCH(("No"),(P189))))</formula>
    </cfRule>
  </conditionalFormatting>
  <conditionalFormatting sqref="P189:Q191 P196:Q196 P199:Q200">
    <cfRule type="containsText" dxfId="9" priority="37902" operator="containsText" text="No">
      <formula>NOT(ISERROR(SEARCH(("No"),(P189))))</formula>
    </cfRule>
  </conditionalFormatting>
  <conditionalFormatting sqref="P189:Q191 P196:Q196 P199:Q200">
    <cfRule type="containsText" dxfId="9" priority="37903" operator="containsText" text="No">
      <formula>NOT(ISERROR(SEARCH(("No"),(P189))))</formula>
    </cfRule>
  </conditionalFormatting>
  <conditionalFormatting sqref="P189:Q191 P196:Q196 P199:Q200">
    <cfRule type="containsText" dxfId="9" priority="37904" operator="containsText" text="No">
      <formula>NOT(ISERROR(SEARCH(("No"),(P189))))</formula>
    </cfRule>
  </conditionalFormatting>
  <conditionalFormatting sqref="P189:Q191 P196:Q196 P199:Q200">
    <cfRule type="containsText" dxfId="9" priority="37905" operator="containsText" text="No">
      <formula>NOT(ISERROR(SEARCH(("No"),(P189))))</formula>
    </cfRule>
  </conditionalFormatting>
  <conditionalFormatting sqref="P189:Q191 P196:Q196 P199:Q200">
    <cfRule type="containsText" dxfId="9" priority="37906" operator="containsText" text="No">
      <formula>NOT(ISERROR(SEARCH(("No"),(P189))))</formula>
    </cfRule>
  </conditionalFormatting>
  <conditionalFormatting sqref="P189:Q191 P196:Q196 P199:Q200">
    <cfRule type="containsText" dxfId="9" priority="37907" operator="containsText" text="No">
      <formula>NOT(ISERROR(SEARCH(("No"),(P189))))</formula>
    </cfRule>
  </conditionalFormatting>
  <conditionalFormatting sqref="P189:Q191 P196:Q196 P199:Q200">
    <cfRule type="containsText" dxfId="9" priority="37908" operator="containsText" text="No">
      <formula>NOT(ISERROR(SEARCH(("No"),(P189))))</formula>
    </cfRule>
  </conditionalFormatting>
  <conditionalFormatting sqref="P189:Q191 P196:Q196 P199:Q200">
    <cfRule type="containsText" dxfId="9" priority="37909" operator="containsText" text="No">
      <formula>NOT(ISERROR(SEARCH(("No"),(P189))))</formula>
    </cfRule>
  </conditionalFormatting>
  <conditionalFormatting sqref="P189:Q191 P196:Q196 P199:Q200">
    <cfRule type="containsText" dxfId="9" priority="37910" operator="containsText" text="No">
      <formula>NOT(ISERROR(SEARCH(("No"),(P189))))</formula>
    </cfRule>
  </conditionalFormatting>
  <conditionalFormatting sqref="P189:Q191 P196:Q196 P199:Q200">
    <cfRule type="containsText" dxfId="9" priority="37911" operator="containsText" text="No">
      <formula>NOT(ISERROR(SEARCH(("No"),(P189))))</formula>
    </cfRule>
  </conditionalFormatting>
  <conditionalFormatting sqref="P189:Q191 P196:Q196 P199:Q200">
    <cfRule type="containsText" dxfId="9" priority="37912" operator="containsText" text="No">
      <formula>NOT(ISERROR(SEARCH(("No"),(P189))))</formula>
    </cfRule>
  </conditionalFormatting>
  <conditionalFormatting sqref="P189:Q191 P196:Q196 P199:Q200">
    <cfRule type="containsText" dxfId="9" priority="37913" operator="containsText" text="No">
      <formula>NOT(ISERROR(SEARCH(("No"),(P189))))</formula>
    </cfRule>
  </conditionalFormatting>
  <conditionalFormatting sqref="P189:Q191 P196:Q196 P199:Q200">
    <cfRule type="containsText" dxfId="9" priority="37914" operator="containsText" text="No">
      <formula>NOT(ISERROR(SEARCH(("No"),(P189))))</formula>
    </cfRule>
  </conditionalFormatting>
  <conditionalFormatting sqref="P189:Q191 P196:Q196 P199:Q200">
    <cfRule type="containsText" dxfId="9" priority="37915" operator="containsText" text="No">
      <formula>NOT(ISERROR(SEARCH(("No"),(P189))))</formula>
    </cfRule>
  </conditionalFormatting>
  <conditionalFormatting sqref="P189:Q191 P196:Q196 P199:Q200">
    <cfRule type="containsText" dxfId="9" priority="37916" operator="containsText" text="No">
      <formula>NOT(ISERROR(SEARCH(("No"),(P189))))</formula>
    </cfRule>
  </conditionalFormatting>
  <conditionalFormatting sqref="P189:Q191 P196:Q196 P199:Q200">
    <cfRule type="containsText" dxfId="9" priority="37917" operator="containsText" text="No">
      <formula>NOT(ISERROR(SEARCH(("No"),(P189))))</formula>
    </cfRule>
  </conditionalFormatting>
  <conditionalFormatting sqref="P189:Q191 P196:Q196 P199:Q200">
    <cfRule type="containsText" dxfId="9" priority="37918" operator="containsText" text="No">
      <formula>NOT(ISERROR(SEARCH(("No"),(P189))))</formula>
    </cfRule>
  </conditionalFormatting>
  <conditionalFormatting sqref="P189:Q191 P196:Q196 P199:Q200">
    <cfRule type="containsText" dxfId="9" priority="37919" operator="containsText" text="No">
      <formula>NOT(ISERROR(SEARCH(("No"),(P189))))</formula>
    </cfRule>
  </conditionalFormatting>
  <conditionalFormatting sqref="P189:Q191 P196:Q196 P199:Q200">
    <cfRule type="containsText" dxfId="9" priority="37920" operator="containsText" text="No">
      <formula>NOT(ISERROR(SEARCH(("No"),(P189))))</formula>
    </cfRule>
  </conditionalFormatting>
  <conditionalFormatting sqref="P189:Q191 P196:Q196 P199:Q200">
    <cfRule type="containsText" dxfId="9" priority="37921" operator="containsText" text="No">
      <formula>NOT(ISERROR(SEARCH(("No"),(P189))))</formula>
    </cfRule>
  </conditionalFormatting>
  <conditionalFormatting sqref="P189:Q191 P196:Q196 P199:Q200">
    <cfRule type="containsText" dxfId="9" priority="37922" operator="containsText" text="No">
      <formula>NOT(ISERROR(SEARCH(("No"),(P189))))</formula>
    </cfRule>
  </conditionalFormatting>
  <conditionalFormatting sqref="P189:Q191 P196:Q196 P199:Q200">
    <cfRule type="containsText" dxfId="9" priority="37923" operator="containsText" text="No">
      <formula>NOT(ISERROR(SEARCH(("No"),(P189))))</formula>
    </cfRule>
  </conditionalFormatting>
  <conditionalFormatting sqref="P189:Q191 P196:Q196 P199:Q200">
    <cfRule type="containsText" dxfId="9" priority="37924" operator="containsText" text="No">
      <formula>NOT(ISERROR(SEARCH(("No"),(P189))))</formula>
    </cfRule>
  </conditionalFormatting>
  <conditionalFormatting sqref="P189:Q191 P196:Q196 P199:Q200">
    <cfRule type="containsText" dxfId="9" priority="37925" operator="containsText" text="No">
      <formula>NOT(ISERROR(SEARCH(("No"),(P189))))</formula>
    </cfRule>
  </conditionalFormatting>
  <conditionalFormatting sqref="P189:Q191 P196:Q196 P199:Q200">
    <cfRule type="containsText" dxfId="9" priority="37926" operator="containsText" text="No">
      <formula>NOT(ISERROR(SEARCH(("No"),(P189))))</formula>
    </cfRule>
  </conditionalFormatting>
  <conditionalFormatting sqref="P189:Q191 P196:Q196 P199:Q200">
    <cfRule type="containsText" dxfId="9" priority="37927" operator="containsText" text="No">
      <formula>NOT(ISERROR(SEARCH(("No"),(P189))))</formula>
    </cfRule>
  </conditionalFormatting>
  <conditionalFormatting sqref="P189:Q191 P196:Q196 P199:Q200">
    <cfRule type="containsText" dxfId="9" priority="37928" operator="containsText" text="No">
      <formula>NOT(ISERROR(SEARCH(("No"),(P189))))</formula>
    </cfRule>
  </conditionalFormatting>
  <conditionalFormatting sqref="P189:Q191 P196:Q196 P199:Q200">
    <cfRule type="containsText" dxfId="9" priority="37929" operator="containsText" text="No">
      <formula>NOT(ISERROR(SEARCH(("No"),(P189))))</formula>
    </cfRule>
  </conditionalFormatting>
  <conditionalFormatting sqref="P189:Q191 P196:Q196 P199:Q200">
    <cfRule type="containsText" dxfId="9" priority="37930" operator="containsText" text="No">
      <formula>NOT(ISERROR(SEARCH(("No"),(P189))))</formula>
    </cfRule>
  </conditionalFormatting>
  <conditionalFormatting sqref="P189:Q191 P196:Q196 P199:Q200">
    <cfRule type="containsText" dxfId="9" priority="37931" operator="containsText" text="No">
      <formula>NOT(ISERROR(SEARCH(("No"),(P189))))</formula>
    </cfRule>
  </conditionalFormatting>
  <conditionalFormatting sqref="P189:Q191 P196:Q196 P199:Q200">
    <cfRule type="containsText" dxfId="9" priority="37932" operator="containsText" text="No">
      <formula>NOT(ISERROR(SEARCH(("No"),(P189))))</formula>
    </cfRule>
  </conditionalFormatting>
  <conditionalFormatting sqref="P189:Q191 P196:Q196 P199:Q200">
    <cfRule type="containsText" dxfId="9" priority="37933" operator="containsText" text="No">
      <formula>NOT(ISERROR(SEARCH(("No"),(P189))))</formula>
    </cfRule>
  </conditionalFormatting>
  <conditionalFormatting sqref="P189:Q191 P196:Q196 P199:Q200">
    <cfRule type="containsText" dxfId="9" priority="37934" operator="containsText" text="No">
      <formula>NOT(ISERROR(SEARCH(("No"),(P189))))</formula>
    </cfRule>
  </conditionalFormatting>
  <conditionalFormatting sqref="P189:Q191 P196:Q196 P199:Q200">
    <cfRule type="containsText" dxfId="2" priority="37935" operator="containsText" text="Yes">
      <formula>NOT(ISERROR(SEARCH(("Yes"),(P189))))</formula>
    </cfRule>
  </conditionalFormatting>
  <conditionalFormatting sqref="P189:Q191 P196:Q196 P199:Q200">
    <cfRule type="containsText" dxfId="2" priority="37936" operator="containsText" text="Yes">
      <formula>NOT(ISERROR(SEARCH(("Yes"),(P189))))</formula>
    </cfRule>
  </conditionalFormatting>
  <conditionalFormatting sqref="P189:Q191 P196:Q196 P199:Q200">
    <cfRule type="containsText" dxfId="2" priority="37937" operator="containsText" text="Yes">
      <formula>NOT(ISERROR(SEARCH(("Yes"),(P189))))</formula>
    </cfRule>
  </conditionalFormatting>
  <conditionalFormatting sqref="P189:Q191 P196:Q196 P199:Q200">
    <cfRule type="containsText" dxfId="2" priority="37938" operator="containsText" text="Yes">
      <formula>NOT(ISERROR(SEARCH(("Yes"),(P189))))</formula>
    </cfRule>
  </conditionalFormatting>
  <conditionalFormatting sqref="P189:Q191 P196:Q196 P199:Q200">
    <cfRule type="containsText" dxfId="2" priority="37939" operator="containsText" text="Yes">
      <formula>NOT(ISERROR(SEARCH(("Yes"),(P189))))</formula>
    </cfRule>
  </conditionalFormatting>
  <conditionalFormatting sqref="P189:Q191 P196:Q196 P199:Q200">
    <cfRule type="containsText" dxfId="2" priority="37940" operator="containsText" text="Yes">
      <formula>NOT(ISERROR(SEARCH(("Yes"),(P189))))</formula>
    </cfRule>
  </conditionalFormatting>
  <conditionalFormatting sqref="P189:Q191 P196:Q196 P199:Q200">
    <cfRule type="containsText" dxfId="2" priority="37941" operator="containsText" text="Yes">
      <formula>NOT(ISERROR(SEARCH(("Yes"),(P189))))</formula>
    </cfRule>
  </conditionalFormatting>
  <conditionalFormatting sqref="P189:Q191 P196:Q196 P199:Q200">
    <cfRule type="containsText" dxfId="2" priority="37942" operator="containsText" text="Yes">
      <formula>NOT(ISERROR(SEARCH(("Yes"),(P189))))</formula>
    </cfRule>
  </conditionalFormatting>
  <conditionalFormatting sqref="P189:Q191 P196:Q196 P199:Q200">
    <cfRule type="containsText" dxfId="2" priority="37943" operator="containsText" text="Yes">
      <formula>NOT(ISERROR(SEARCH(("Yes"),(P189))))</formula>
    </cfRule>
  </conditionalFormatting>
  <conditionalFormatting sqref="P189:Q191 P196:Q196 P199:Q200">
    <cfRule type="containsText" dxfId="2" priority="37944" operator="containsText" text="Yes">
      <formula>NOT(ISERROR(SEARCH(("Yes"),(P189))))</formula>
    </cfRule>
  </conditionalFormatting>
  <conditionalFormatting sqref="P189:Q191 P196:Q196 P199:Q200">
    <cfRule type="containsText" dxfId="2" priority="37945" operator="containsText" text="Yes">
      <formula>NOT(ISERROR(SEARCH(("Yes"),(P189))))</formula>
    </cfRule>
  </conditionalFormatting>
  <conditionalFormatting sqref="P189:Q191 P196:Q196 P199:Q200">
    <cfRule type="containsText" dxfId="2" priority="37946" operator="containsText" text="Yes">
      <formula>NOT(ISERROR(SEARCH(("Yes"),(P189))))</formula>
    </cfRule>
  </conditionalFormatting>
  <conditionalFormatting sqref="P189:Q191 P196:Q196 P199:Q200">
    <cfRule type="containsText" dxfId="2" priority="37947" operator="containsText" text="Yes">
      <formula>NOT(ISERROR(SEARCH(("Yes"),(P189))))</formula>
    </cfRule>
  </conditionalFormatting>
  <conditionalFormatting sqref="P189:Q191 P196:Q196 P199:Q200">
    <cfRule type="containsText" dxfId="2" priority="37948" operator="containsText" text="Yes">
      <formula>NOT(ISERROR(SEARCH(("Yes"),(P189))))</formula>
    </cfRule>
  </conditionalFormatting>
  <conditionalFormatting sqref="P189:Q191 P196:Q196 P199:Q200">
    <cfRule type="containsText" dxfId="2" priority="37949" operator="containsText" text="Yes">
      <formula>NOT(ISERROR(SEARCH(("Yes"),(P189))))</formula>
    </cfRule>
  </conditionalFormatting>
  <conditionalFormatting sqref="P189:Q191 P196:Q196 P199:Q200">
    <cfRule type="containsText" dxfId="2" priority="37950" operator="containsText" text="Yes">
      <formula>NOT(ISERROR(SEARCH(("Yes"),(P189))))</formula>
    </cfRule>
  </conditionalFormatting>
  <conditionalFormatting sqref="P189:Q191 P196:Q196 P199:Q200">
    <cfRule type="containsText" dxfId="2" priority="37951" operator="containsText" text="Yes">
      <formula>NOT(ISERROR(SEARCH(("Yes"),(P189))))</formula>
    </cfRule>
  </conditionalFormatting>
  <conditionalFormatting sqref="P189:Q191 P196:Q196 P199:Q200">
    <cfRule type="containsText" dxfId="2" priority="37952" operator="containsText" text="Yes">
      <formula>NOT(ISERROR(SEARCH(("Yes"),(P189))))</formula>
    </cfRule>
  </conditionalFormatting>
  <conditionalFormatting sqref="P189:Q191 P196:Q196 P199:Q200">
    <cfRule type="containsText" dxfId="2" priority="37953" operator="containsText" text="Yes">
      <formula>NOT(ISERROR(SEARCH(("Yes"),(P189))))</formula>
    </cfRule>
  </conditionalFormatting>
  <conditionalFormatting sqref="P189:Q191 P196:Q196 P199:Q200">
    <cfRule type="containsText" dxfId="2" priority="37954" operator="containsText" text="Yes">
      <formula>NOT(ISERROR(SEARCH(("Yes"),(P189))))</formula>
    </cfRule>
  </conditionalFormatting>
  <conditionalFormatting sqref="P189:Q191 P196:Q196 P199:Q200">
    <cfRule type="containsText" dxfId="2" priority="37955" operator="containsText" text="Yes">
      <formula>NOT(ISERROR(SEARCH(("Yes"),(P189))))</formula>
    </cfRule>
  </conditionalFormatting>
  <conditionalFormatting sqref="P189:Q191 P196:Q196 P199:Q200">
    <cfRule type="containsText" dxfId="2" priority="37956" operator="containsText" text="Yes">
      <formula>NOT(ISERROR(SEARCH(("Yes"),(P189))))</formula>
    </cfRule>
  </conditionalFormatting>
  <conditionalFormatting sqref="P189:Q191 P196:Q196 P199:Q200">
    <cfRule type="containsText" dxfId="2" priority="37957" operator="containsText" text="Yes">
      <formula>NOT(ISERROR(SEARCH(("Yes"),(P189))))</formula>
    </cfRule>
  </conditionalFormatting>
  <conditionalFormatting sqref="P189:Q191 P196:Q196 P199:Q200">
    <cfRule type="containsText" dxfId="2" priority="37958" operator="containsText" text="Yes">
      <formula>NOT(ISERROR(SEARCH(("Yes"),(P189))))</formula>
    </cfRule>
  </conditionalFormatting>
  <conditionalFormatting sqref="P189:Q191 P196:Q196 P199:Q200">
    <cfRule type="containsText" dxfId="2" priority="37959" operator="containsText" text="Yes">
      <formula>NOT(ISERROR(SEARCH(("Yes"),(P189))))</formula>
    </cfRule>
  </conditionalFormatting>
  <conditionalFormatting sqref="P189:Q191 P196:Q196 P199:Q200">
    <cfRule type="containsText" dxfId="2" priority="37960" operator="containsText" text="Yes">
      <formula>NOT(ISERROR(SEARCH(("Yes"),(P189))))</formula>
    </cfRule>
  </conditionalFormatting>
  <conditionalFormatting sqref="P189:Q191 P196:Q196 P199:Q200">
    <cfRule type="containsText" dxfId="2" priority="37961" operator="containsText" text="Yes">
      <formula>NOT(ISERROR(SEARCH(("Yes"),(P189))))</formula>
    </cfRule>
  </conditionalFormatting>
  <conditionalFormatting sqref="P189:Q191 P196:Q196 P199:Q200">
    <cfRule type="containsText" dxfId="2" priority="37962" operator="containsText" text="Yes">
      <formula>NOT(ISERROR(SEARCH(("Yes"),(P189))))</formula>
    </cfRule>
  </conditionalFormatting>
  <conditionalFormatting sqref="P189:Q191 P196:Q196 P199:Q200">
    <cfRule type="containsText" dxfId="2" priority="37963" operator="containsText" text="Yes">
      <formula>NOT(ISERROR(SEARCH(("Yes"),(P189))))</formula>
    </cfRule>
  </conditionalFormatting>
  <conditionalFormatting sqref="P189:Q191 P196:Q196 P199:Q200">
    <cfRule type="containsText" dxfId="2" priority="37964" operator="containsText" text="Yes">
      <formula>NOT(ISERROR(SEARCH(("Yes"),(P189))))</formula>
    </cfRule>
  </conditionalFormatting>
  <conditionalFormatting sqref="P189:Q191 P196:Q196 P199:Q200">
    <cfRule type="containsText" dxfId="2" priority="37965" operator="containsText" text="Yes">
      <formula>NOT(ISERROR(SEARCH(("Yes"),(P189))))</formula>
    </cfRule>
  </conditionalFormatting>
  <conditionalFormatting sqref="P189:Q191 P196:Q196 P199:Q200">
    <cfRule type="containsText" dxfId="2" priority="37966" operator="containsText" text="Yes">
      <formula>NOT(ISERROR(SEARCH(("Yes"),(P189))))</formula>
    </cfRule>
  </conditionalFormatting>
  <conditionalFormatting sqref="P189:Q191 P196:Q196 P199:Q200">
    <cfRule type="containsText" dxfId="2" priority="37967" operator="containsText" text="Yes">
      <formula>NOT(ISERROR(SEARCH(("Yes"),(P189))))</formula>
    </cfRule>
  </conditionalFormatting>
  <conditionalFormatting sqref="P189:Q191 P196:Q196 P199:Q200">
    <cfRule type="containsText" dxfId="2" priority="37968" operator="containsText" text="Yes">
      <formula>NOT(ISERROR(SEARCH(("Yes"),(P189))))</formula>
    </cfRule>
  </conditionalFormatting>
  <conditionalFormatting sqref="P189:Q191 P196:Q196 P199:Q200">
    <cfRule type="containsText" dxfId="2" priority="37969" operator="containsText" text="Yes">
      <formula>NOT(ISERROR(SEARCH(("Yes"),(P189))))</formula>
    </cfRule>
  </conditionalFormatting>
  <conditionalFormatting sqref="P189:Q191 P196:Q196 P199:Q200">
    <cfRule type="containsText" dxfId="2" priority="37970" operator="containsText" text="Yes">
      <formula>NOT(ISERROR(SEARCH(("Yes"),(P189))))</formula>
    </cfRule>
  </conditionalFormatting>
  <conditionalFormatting sqref="P189:Q191 P196:Q196 P199:Q200">
    <cfRule type="containsText" dxfId="2" priority="37971" operator="containsText" text="Yes">
      <formula>NOT(ISERROR(SEARCH(("Yes"),(P189))))</formula>
    </cfRule>
  </conditionalFormatting>
  <conditionalFormatting sqref="P189:Q191 P196:Q196 P199:Q200">
    <cfRule type="containsText" dxfId="2" priority="37972" operator="containsText" text="Yes">
      <formula>NOT(ISERROR(SEARCH(("Yes"),(P189))))</formula>
    </cfRule>
  </conditionalFormatting>
  <conditionalFormatting sqref="P189:Q191 P196:Q196 P199:Q200">
    <cfRule type="containsText" dxfId="2" priority="37973" operator="containsText" text="Yes">
      <formula>NOT(ISERROR(SEARCH(("Yes"),(P189))))</formula>
    </cfRule>
  </conditionalFormatting>
  <conditionalFormatting sqref="P189:Q191 P196:Q196 P199:Q200">
    <cfRule type="containsText" dxfId="2" priority="37974" operator="containsText" text="Yes">
      <formula>NOT(ISERROR(SEARCH(("Yes"),(P189))))</formula>
    </cfRule>
  </conditionalFormatting>
  <conditionalFormatting sqref="P189:Q191 P196:Q196 P199:Q200">
    <cfRule type="containsText" dxfId="2" priority="37975" operator="containsText" text="Yes">
      <formula>NOT(ISERROR(SEARCH(("Yes"),(P189))))</formula>
    </cfRule>
  </conditionalFormatting>
  <conditionalFormatting sqref="P189:Q191 P196:Q196 P199:Q200">
    <cfRule type="containsText" dxfId="2" priority="37976" operator="containsText" text="Yes">
      <formula>NOT(ISERROR(SEARCH(("Yes"),(P189))))</formula>
    </cfRule>
  </conditionalFormatting>
  <conditionalFormatting sqref="P189:Q191 P196:Q196 P199:Q200">
    <cfRule type="containsText" dxfId="2" priority="37977" operator="containsText" text="Yes">
      <formula>NOT(ISERROR(SEARCH(("Yes"),(P189))))</formula>
    </cfRule>
  </conditionalFormatting>
  <conditionalFormatting sqref="P189:Q191 P196:Q196 P199:Q200">
    <cfRule type="containsText" dxfId="2" priority="37978" operator="containsText" text="Yes">
      <formula>NOT(ISERROR(SEARCH(("Yes"),(P189))))</formula>
    </cfRule>
  </conditionalFormatting>
  <conditionalFormatting sqref="P189:Q191 P196:Q196 P199:Q200">
    <cfRule type="containsText" dxfId="2" priority="37979" operator="containsText" text="Yes">
      <formula>NOT(ISERROR(SEARCH(("Yes"),(P189))))</formula>
    </cfRule>
  </conditionalFormatting>
  <conditionalFormatting sqref="P189:Q191 P196:Q196 P199:Q200">
    <cfRule type="containsText" dxfId="2" priority="37980" operator="containsText" text="Yes">
      <formula>NOT(ISERROR(SEARCH(("Yes"),(P189))))</formula>
    </cfRule>
  </conditionalFormatting>
  <conditionalFormatting sqref="P189:Q191 P196:Q196 P199:Q200">
    <cfRule type="containsText" dxfId="2" priority="37981" operator="containsText" text="Yes">
      <formula>NOT(ISERROR(SEARCH(("Yes"),(P189))))</formula>
    </cfRule>
  </conditionalFormatting>
  <conditionalFormatting sqref="P190:Q191 P196:Q196 P199:Q200">
    <cfRule type="containsText" dxfId="9" priority="37982" operator="containsText" text="No">
      <formula>NOT(ISERROR(SEARCH(("No"),(P190))))</formula>
    </cfRule>
  </conditionalFormatting>
  <conditionalFormatting sqref="P190:Q191 P196:Q196 P199:Q200">
    <cfRule type="containsText" dxfId="9" priority="37983" operator="containsText" text="No">
      <formula>NOT(ISERROR(SEARCH(("No"),(P190))))</formula>
    </cfRule>
  </conditionalFormatting>
  <conditionalFormatting sqref="P190:Q191 P196:Q196 P199:Q200">
    <cfRule type="containsText" dxfId="9" priority="37984" operator="containsText" text="No">
      <formula>NOT(ISERROR(SEARCH(("No"),(P190))))</formula>
    </cfRule>
  </conditionalFormatting>
  <conditionalFormatting sqref="P190:Q191 P196:Q196 P199:Q200">
    <cfRule type="containsText" dxfId="9" priority="37985" operator="containsText" text="No">
      <formula>NOT(ISERROR(SEARCH(("No"),(P190))))</formula>
    </cfRule>
  </conditionalFormatting>
  <conditionalFormatting sqref="P190:Q191 P196:Q196 P199:Q200">
    <cfRule type="containsText" dxfId="9" priority="37986" operator="containsText" text="No">
      <formula>NOT(ISERROR(SEARCH(("No"),(P190))))</formula>
    </cfRule>
  </conditionalFormatting>
  <conditionalFormatting sqref="P190:Q191 P196:Q196 P199:Q200">
    <cfRule type="containsText" dxfId="9" priority="37987" operator="containsText" text="No">
      <formula>NOT(ISERROR(SEARCH(("No"),(P190))))</formula>
    </cfRule>
  </conditionalFormatting>
  <conditionalFormatting sqref="P190:Q191 P196:Q196 P199:Q200">
    <cfRule type="containsText" dxfId="9" priority="37988" operator="containsText" text="No">
      <formula>NOT(ISERROR(SEARCH(("No"),(P190))))</formula>
    </cfRule>
  </conditionalFormatting>
  <conditionalFormatting sqref="P190:Q191 P196:Q196 P199:Q200">
    <cfRule type="containsText" dxfId="9" priority="37989" operator="containsText" text="No">
      <formula>NOT(ISERROR(SEARCH(("No"),(P190))))</formula>
    </cfRule>
  </conditionalFormatting>
  <conditionalFormatting sqref="P190:Q191 P196:Q196 P199:Q200">
    <cfRule type="containsText" dxfId="9" priority="37990" operator="containsText" text="No">
      <formula>NOT(ISERROR(SEARCH(("No"),(P190))))</formula>
    </cfRule>
  </conditionalFormatting>
  <conditionalFormatting sqref="P190:Q191 P196:Q196 P199:Q200">
    <cfRule type="containsText" dxfId="9" priority="37991" operator="containsText" text="No">
      <formula>NOT(ISERROR(SEARCH(("No"),(P190))))</formula>
    </cfRule>
  </conditionalFormatting>
  <conditionalFormatting sqref="P190:Q191 P196:Q196 P199:Q200">
    <cfRule type="containsText" dxfId="9" priority="37992" operator="containsText" text="No">
      <formula>NOT(ISERROR(SEARCH(("No"),(P190))))</formula>
    </cfRule>
  </conditionalFormatting>
  <conditionalFormatting sqref="P190:Q191 P196:Q196 P199:Q200">
    <cfRule type="containsText" dxfId="9" priority="37993" operator="containsText" text="No">
      <formula>NOT(ISERROR(SEARCH(("No"),(P190))))</formula>
    </cfRule>
  </conditionalFormatting>
  <conditionalFormatting sqref="P190:Q191 P196:Q196 P199:Q200">
    <cfRule type="containsText" dxfId="9" priority="37994" operator="containsText" text="No">
      <formula>NOT(ISERROR(SEARCH(("No"),(P190))))</formula>
    </cfRule>
  </conditionalFormatting>
  <conditionalFormatting sqref="P190:Q191 P196:Q196 P199:Q200">
    <cfRule type="containsText" dxfId="9" priority="37995" operator="containsText" text="No">
      <formula>NOT(ISERROR(SEARCH(("No"),(P190))))</formula>
    </cfRule>
  </conditionalFormatting>
  <conditionalFormatting sqref="P190:Q191 P196:Q196 P199:Q200">
    <cfRule type="containsText" dxfId="9" priority="37996" operator="containsText" text="No">
      <formula>NOT(ISERROR(SEARCH(("No"),(P190))))</formula>
    </cfRule>
  </conditionalFormatting>
  <conditionalFormatting sqref="P190:Q191 P196:Q196 P199:Q200">
    <cfRule type="containsText" dxfId="9" priority="37997" operator="containsText" text="No">
      <formula>NOT(ISERROR(SEARCH(("No"),(P190))))</formula>
    </cfRule>
  </conditionalFormatting>
  <conditionalFormatting sqref="P190:Q191 P196:Q196 P199:Q200">
    <cfRule type="containsText" dxfId="9" priority="37998" operator="containsText" text="No">
      <formula>NOT(ISERROR(SEARCH(("No"),(P190))))</formula>
    </cfRule>
  </conditionalFormatting>
  <conditionalFormatting sqref="P190:Q191 P196:Q196 P199:Q200">
    <cfRule type="containsText" dxfId="9" priority="37999" operator="containsText" text="No">
      <formula>NOT(ISERROR(SEARCH(("No"),(P190))))</formula>
    </cfRule>
  </conditionalFormatting>
  <conditionalFormatting sqref="P190:Q191 P196:Q196 P199:Q200">
    <cfRule type="containsText" dxfId="9" priority="38000" operator="containsText" text="No">
      <formula>NOT(ISERROR(SEARCH(("No"),(P190))))</formula>
    </cfRule>
  </conditionalFormatting>
  <conditionalFormatting sqref="P190:Q191 P196:Q196 P199:Q200">
    <cfRule type="containsText" dxfId="9" priority="38001" operator="containsText" text="No">
      <formula>NOT(ISERROR(SEARCH(("No"),(P190))))</formula>
    </cfRule>
  </conditionalFormatting>
  <conditionalFormatting sqref="P190:Q191 P196:Q196 P199:Q200">
    <cfRule type="containsText" dxfId="9" priority="38002" operator="containsText" text="No">
      <formula>NOT(ISERROR(SEARCH(("No"),(P190))))</formula>
    </cfRule>
  </conditionalFormatting>
  <conditionalFormatting sqref="P190:Q191 P196:Q196 P199:Q200">
    <cfRule type="containsText" dxfId="9" priority="38003" operator="containsText" text="No">
      <formula>NOT(ISERROR(SEARCH(("No"),(P190))))</formula>
    </cfRule>
  </conditionalFormatting>
  <conditionalFormatting sqref="P190:Q191 P196:Q196 P199:Q200">
    <cfRule type="containsText" dxfId="9" priority="38004" operator="containsText" text="No">
      <formula>NOT(ISERROR(SEARCH(("No"),(P190))))</formula>
    </cfRule>
  </conditionalFormatting>
  <conditionalFormatting sqref="P190:Q191 P196:Q196 P199:Q200">
    <cfRule type="containsText" dxfId="9" priority="38005" operator="containsText" text="No">
      <formula>NOT(ISERROR(SEARCH(("No"),(P190))))</formula>
    </cfRule>
  </conditionalFormatting>
  <conditionalFormatting sqref="P190:Q191 P196:Q196 P199:Q200">
    <cfRule type="containsText" dxfId="9" priority="38006" operator="containsText" text="No">
      <formula>NOT(ISERROR(SEARCH(("No"),(P190))))</formula>
    </cfRule>
  </conditionalFormatting>
  <conditionalFormatting sqref="P190:Q191 P196:Q196 P199:Q200">
    <cfRule type="containsText" dxfId="9" priority="38007" operator="containsText" text="No">
      <formula>NOT(ISERROR(SEARCH(("No"),(P190))))</formula>
    </cfRule>
  </conditionalFormatting>
  <conditionalFormatting sqref="P190:Q191 P196:Q196 P199:Q200">
    <cfRule type="containsText" dxfId="9" priority="38008" operator="containsText" text="No">
      <formula>NOT(ISERROR(SEARCH(("No"),(P190))))</formula>
    </cfRule>
  </conditionalFormatting>
  <conditionalFormatting sqref="P190:Q191 P196:Q196 P199:Q200">
    <cfRule type="containsText" dxfId="9" priority="38009" operator="containsText" text="No">
      <formula>NOT(ISERROR(SEARCH(("No"),(P190))))</formula>
    </cfRule>
  </conditionalFormatting>
  <conditionalFormatting sqref="P190:Q191 P196:Q196 P199:Q200">
    <cfRule type="containsText" dxfId="9" priority="38010" operator="containsText" text="No">
      <formula>NOT(ISERROR(SEARCH(("No"),(P190))))</formula>
    </cfRule>
  </conditionalFormatting>
  <conditionalFormatting sqref="P190:Q191 P196:Q196 P199:Q200">
    <cfRule type="containsText" dxfId="9" priority="38011" operator="containsText" text="No">
      <formula>NOT(ISERROR(SEARCH(("No"),(P190))))</formula>
    </cfRule>
  </conditionalFormatting>
  <conditionalFormatting sqref="P190:Q191 P196:Q196 P199:Q200">
    <cfRule type="containsText" dxfId="9" priority="38012" operator="containsText" text="No">
      <formula>NOT(ISERROR(SEARCH(("No"),(P190))))</formula>
    </cfRule>
  </conditionalFormatting>
  <conditionalFormatting sqref="P190:Q191 P196:Q196 P199:Q200">
    <cfRule type="containsText" dxfId="9" priority="38013" operator="containsText" text="No">
      <formula>NOT(ISERROR(SEARCH(("No"),(P190))))</formula>
    </cfRule>
  </conditionalFormatting>
  <conditionalFormatting sqref="P190:Q191 P196:Q196 P199:Q200">
    <cfRule type="containsText" dxfId="9" priority="38014" operator="containsText" text="No">
      <formula>NOT(ISERROR(SEARCH(("No"),(P190))))</formula>
    </cfRule>
  </conditionalFormatting>
  <conditionalFormatting sqref="P190:Q191 P196:Q196 P199:Q200">
    <cfRule type="containsText" dxfId="9" priority="38015" operator="containsText" text="No">
      <formula>NOT(ISERROR(SEARCH(("No"),(P190))))</formula>
    </cfRule>
  </conditionalFormatting>
  <conditionalFormatting sqref="P190:Q191 P196:Q196 P199:Q200">
    <cfRule type="containsText" dxfId="9" priority="38016" operator="containsText" text="No">
      <formula>NOT(ISERROR(SEARCH(("No"),(P190))))</formula>
    </cfRule>
  </conditionalFormatting>
  <conditionalFormatting sqref="P190:Q191 P196:Q196 P199:Q200">
    <cfRule type="containsText" dxfId="9" priority="38017" operator="containsText" text="No">
      <formula>NOT(ISERROR(SEARCH(("No"),(P190))))</formula>
    </cfRule>
  </conditionalFormatting>
  <conditionalFormatting sqref="P190:Q191 P196:Q196 P199:Q200">
    <cfRule type="containsText" dxfId="9" priority="38018" operator="containsText" text="No">
      <formula>NOT(ISERROR(SEARCH(("No"),(P190))))</formula>
    </cfRule>
  </conditionalFormatting>
  <conditionalFormatting sqref="P190:Q191 P196:Q196 P199:Q200">
    <cfRule type="containsText" dxfId="9" priority="38019" operator="containsText" text="No">
      <formula>NOT(ISERROR(SEARCH(("No"),(P190))))</formula>
    </cfRule>
  </conditionalFormatting>
  <conditionalFormatting sqref="P190:Q191 P196:Q196 P199:Q200">
    <cfRule type="containsText" dxfId="9" priority="38020" operator="containsText" text="No">
      <formula>NOT(ISERROR(SEARCH(("No"),(P190))))</formula>
    </cfRule>
  </conditionalFormatting>
  <conditionalFormatting sqref="P190:Q191 P196:Q196 P199:Q200">
    <cfRule type="containsText" dxfId="9" priority="38021" operator="containsText" text="No">
      <formula>NOT(ISERROR(SEARCH(("No"),(P190))))</formula>
    </cfRule>
  </conditionalFormatting>
  <conditionalFormatting sqref="P190:Q191 P196:Q196 P199:Q200">
    <cfRule type="containsText" dxfId="9" priority="38022" operator="containsText" text="No">
      <formula>NOT(ISERROR(SEARCH(("No"),(P190))))</formula>
    </cfRule>
  </conditionalFormatting>
  <conditionalFormatting sqref="P190:Q191 P196:Q196 P199:Q200">
    <cfRule type="containsText" dxfId="9" priority="38023" operator="containsText" text="No">
      <formula>NOT(ISERROR(SEARCH(("No"),(P190))))</formula>
    </cfRule>
  </conditionalFormatting>
  <conditionalFormatting sqref="P190:Q191 P196:Q196 P199:Q200">
    <cfRule type="containsText" dxfId="9" priority="38024" operator="containsText" text="No">
      <formula>NOT(ISERROR(SEARCH(("No"),(P190))))</formula>
    </cfRule>
  </conditionalFormatting>
  <conditionalFormatting sqref="P190:Q191 P196:Q196 P199:Q200">
    <cfRule type="containsText" dxfId="9" priority="38025" operator="containsText" text="No">
      <formula>NOT(ISERROR(SEARCH(("No"),(P190))))</formula>
    </cfRule>
  </conditionalFormatting>
  <conditionalFormatting sqref="P190:Q191 P196:Q196 P199:Q200">
    <cfRule type="containsText" dxfId="9" priority="38026" operator="containsText" text="No">
      <formula>NOT(ISERROR(SEARCH(("No"),(P190))))</formula>
    </cfRule>
  </conditionalFormatting>
  <conditionalFormatting sqref="P190:Q191 P196:Q196 P199:Q200">
    <cfRule type="containsText" dxfId="2" priority="38027" operator="containsText" text="Yes">
      <formula>NOT(ISERROR(SEARCH(("Yes"),(P190))))</formula>
    </cfRule>
  </conditionalFormatting>
  <conditionalFormatting sqref="P190:Q191 P196:Q196 P199:Q200">
    <cfRule type="containsText" dxfId="2" priority="38028" operator="containsText" text="Yes">
      <formula>NOT(ISERROR(SEARCH(("Yes"),(P190))))</formula>
    </cfRule>
  </conditionalFormatting>
  <conditionalFormatting sqref="P190:Q191 P196:Q196 P199:Q200">
    <cfRule type="containsText" dxfId="2" priority="38029" operator="containsText" text="Yes">
      <formula>NOT(ISERROR(SEARCH(("Yes"),(P190))))</formula>
    </cfRule>
  </conditionalFormatting>
  <conditionalFormatting sqref="P190:Q191 P196:Q196 P199:Q200">
    <cfRule type="containsText" dxfId="2" priority="38030" operator="containsText" text="Yes">
      <formula>NOT(ISERROR(SEARCH(("Yes"),(P190))))</formula>
    </cfRule>
  </conditionalFormatting>
  <conditionalFormatting sqref="P190:Q191 P196:Q196 P199:Q200">
    <cfRule type="containsText" dxfId="2" priority="38031" operator="containsText" text="Yes">
      <formula>NOT(ISERROR(SEARCH(("Yes"),(P190))))</formula>
    </cfRule>
  </conditionalFormatting>
  <conditionalFormatting sqref="P190:Q191 P196:Q196 P199:Q200">
    <cfRule type="containsText" dxfId="2" priority="38032" operator="containsText" text="Yes">
      <formula>NOT(ISERROR(SEARCH(("Yes"),(P190))))</formula>
    </cfRule>
  </conditionalFormatting>
  <conditionalFormatting sqref="P190:Q191 P196:Q196 P199:Q200">
    <cfRule type="containsText" dxfId="2" priority="38033" operator="containsText" text="Yes">
      <formula>NOT(ISERROR(SEARCH(("Yes"),(P190))))</formula>
    </cfRule>
  </conditionalFormatting>
  <conditionalFormatting sqref="P190:Q191 P196:Q196 P199:Q200">
    <cfRule type="containsText" dxfId="2" priority="38034" operator="containsText" text="Yes">
      <formula>NOT(ISERROR(SEARCH(("Yes"),(P190))))</formula>
    </cfRule>
  </conditionalFormatting>
  <conditionalFormatting sqref="P190:Q191 P196:Q196 P199:Q200">
    <cfRule type="containsText" dxfId="2" priority="38035" operator="containsText" text="Yes">
      <formula>NOT(ISERROR(SEARCH(("Yes"),(P190))))</formula>
    </cfRule>
  </conditionalFormatting>
  <conditionalFormatting sqref="P190:Q191 P196:Q196 P199:Q200">
    <cfRule type="containsText" dxfId="2" priority="38036" operator="containsText" text="Yes">
      <formula>NOT(ISERROR(SEARCH(("Yes"),(P190))))</formula>
    </cfRule>
  </conditionalFormatting>
  <conditionalFormatting sqref="P190:Q191 P196:Q196 P199:Q200">
    <cfRule type="containsText" dxfId="2" priority="38037" operator="containsText" text="Yes">
      <formula>NOT(ISERROR(SEARCH(("Yes"),(P190))))</formula>
    </cfRule>
  </conditionalFormatting>
  <conditionalFormatting sqref="P190:Q191 P196:Q196 P199:Q200">
    <cfRule type="containsText" dxfId="2" priority="38038" operator="containsText" text="Yes">
      <formula>NOT(ISERROR(SEARCH(("Yes"),(P190))))</formula>
    </cfRule>
  </conditionalFormatting>
  <conditionalFormatting sqref="P190:Q191 P196:Q196 P199:Q200">
    <cfRule type="containsText" dxfId="2" priority="38039" operator="containsText" text="Yes">
      <formula>NOT(ISERROR(SEARCH(("Yes"),(P190))))</formula>
    </cfRule>
  </conditionalFormatting>
  <conditionalFormatting sqref="P190:Q191 P196:Q196 P199:Q200">
    <cfRule type="containsText" dxfId="2" priority="38040" operator="containsText" text="Yes">
      <formula>NOT(ISERROR(SEARCH(("Yes"),(P190))))</formula>
    </cfRule>
  </conditionalFormatting>
  <conditionalFormatting sqref="P190:Q191 P196:Q196 P199:Q200">
    <cfRule type="containsText" dxfId="2" priority="38041" operator="containsText" text="Yes">
      <formula>NOT(ISERROR(SEARCH(("Yes"),(P190))))</formula>
    </cfRule>
  </conditionalFormatting>
  <conditionalFormatting sqref="P190:Q191 P196:Q196 P199:Q200">
    <cfRule type="containsText" dxfId="2" priority="38042" operator="containsText" text="Yes">
      <formula>NOT(ISERROR(SEARCH(("Yes"),(P190))))</formula>
    </cfRule>
  </conditionalFormatting>
  <conditionalFormatting sqref="P190:Q191 P196:Q196 P199:Q200">
    <cfRule type="containsText" dxfId="2" priority="38043" operator="containsText" text="Yes">
      <formula>NOT(ISERROR(SEARCH(("Yes"),(P190))))</formula>
    </cfRule>
  </conditionalFormatting>
  <conditionalFormatting sqref="P190:Q191 P196:Q196 P199:Q200">
    <cfRule type="containsText" dxfId="2" priority="38044" operator="containsText" text="Yes">
      <formula>NOT(ISERROR(SEARCH(("Yes"),(P190))))</formula>
    </cfRule>
  </conditionalFormatting>
  <conditionalFormatting sqref="P190:Q191 P196:Q196 P199:Q200">
    <cfRule type="containsText" dxfId="2" priority="38045" operator="containsText" text="Yes">
      <formula>NOT(ISERROR(SEARCH(("Yes"),(P190))))</formula>
    </cfRule>
  </conditionalFormatting>
  <conditionalFormatting sqref="P190:Q191 P196:Q196 P199:Q200">
    <cfRule type="containsText" dxfId="2" priority="38046" operator="containsText" text="Yes">
      <formula>NOT(ISERROR(SEARCH(("Yes"),(P190))))</formula>
    </cfRule>
  </conditionalFormatting>
  <conditionalFormatting sqref="P190:Q191 P196:Q196 P199:Q200">
    <cfRule type="containsText" dxfId="2" priority="38047" operator="containsText" text="Yes">
      <formula>NOT(ISERROR(SEARCH(("Yes"),(P190))))</formula>
    </cfRule>
  </conditionalFormatting>
  <conditionalFormatting sqref="P190:Q191 P196:Q196 P199:Q200">
    <cfRule type="containsText" dxfId="2" priority="38048" operator="containsText" text="Yes">
      <formula>NOT(ISERROR(SEARCH(("Yes"),(P190))))</formula>
    </cfRule>
  </conditionalFormatting>
  <conditionalFormatting sqref="P190:Q191 P196:Q196 P199:Q200">
    <cfRule type="containsText" dxfId="2" priority="38049" operator="containsText" text="Yes">
      <formula>NOT(ISERROR(SEARCH(("Yes"),(P190))))</formula>
    </cfRule>
  </conditionalFormatting>
  <conditionalFormatting sqref="P190:Q191 P196:Q196 P199:Q200">
    <cfRule type="containsText" dxfId="2" priority="38050" operator="containsText" text="Yes">
      <formula>NOT(ISERROR(SEARCH(("Yes"),(P190))))</formula>
    </cfRule>
  </conditionalFormatting>
  <conditionalFormatting sqref="P190:Q191 P196:Q196 P199:Q200">
    <cfRule type="containsText" dxfId="2" priority="38051" operator="containsText" text="Yes">
      <formula>NOT(ISERROR(SEARCH(("Yes"),(P190))))</formula>
    </cfRule>
  </conditionalFormatting>
  <conditionalFormatting sqref="P190:Q191 P196:Q196 P199:Q200">
    <cfRule type="containsText" dxfId="2" priority="38052" operator="containsText" text="Yes">
      <formula>NOT(ISERROR(SEARCH(("Yes"),(P190))))</formula>
    </cfRule>
  </conditionalFormatting>
  <conditionalFormatting sqref="P190:Q191 P196:Q196 P199:Q200">
    <cfRule type="containsText" dxfId="2" priority="38053" operator="containsText" text="Yes">
      <formula>NOT(ISERROR(SEARCH(("Yes"),(P190))))</formula>
    </cfRule>
  </conditionalFormatting>
  <conditionalFormatting sqref="P190:Q191 P196:Q196 P199:Q200">
    <cfRule type="containsText" dxfId="2" priority="38054" operator="containsText" text="Yes">
      <formula>NOT(ISERROR(SEARCH(("Yes"),(P190))))</formula>
    </cfRule>
  </conditionalFormatting>
  <conditionalFormatting sqref="P190:Q191 P196:Q196 P199:Q200">
    <cfRule type="containsText" dxfId="2" priority="38055" operator="containsText" text="Yes">
      <formula>NOT(ISERROR(SEARCH(("Yes"),(P190))))</formula>
    </cfRule>
  </conditionalFormatting>
  <conditionalFormatting sqref="P190:Q191 P196:Q196 P199:Q200">
    <cfRule type="containsText" dxfId="2" priority="38056" operator="containsText" text="Yes">
      <formula>NOT(ISERROR(SEARCH(("Yes"),(P190))))</formula>
    </cfRule>
  </conditionalFormatting>
  <conditionalFormatting sqref="P190:Q191 P196:Q196 P199:Q200">
    <cfRule type="containsText" dxfId="2" priority="38057" operator="containsText" text="Yes">
      <formula>NOT(ISERROR(SEARCH(("Yes"),(P190))))</formula>
    </cfRule>
  </conditionalFormatting>
  <conditionalFormatting sqref="P190:Q191 P196:Q196 P199:Q200">
    <cfRule type="containsText" dxfId="2" priority="38058" operator="containsText" text="Yes">
      <formula>NOT(ISERROR(SEARCH(("Yes"),(P190))))</formula>
    </cfRule>
  </conditionalFormatting>
  <conditionalFormatting sqref="P190:Q191 P196:Q196 P199:Q200">
    <cfRule type="containsText" dxfId="2" priority="38059" operator="containsText" text="Yes">
      <formula>NOT(ISERROR(SEARCH(("Yes"),(P190))))</formula>
    </cfRule>
  </conditionalFormatting>
  <conditionalFormatting sqref="P190:Q191 P196:Q196 P199:Q200">
    <cfRule type="containsText" dxfId="2" priority="38060" operator="containsText" text="Yes">
      <formula>NOT(ISERROR(SEARCH(("Yes"),(P190))))</formula>
    </cfRule>
  </conditionalFormatting>
  <conditionalFormatting sqref="P190:Q191 P196:Q196 P199:Q200">
    <cfRule type="containsText" dxfId="2" priority="38061" operator="containsText" text="Yes">
      <formula>NOT(ISERROR(SEARCH(("Yes"),(P190))))</formula>
    </cfRule>
  </conditionalFormatting>
  <conditionalFormatting sqref="P190:Q191 P196:Q196 P199:Q200">
    <cfRule type="containsText" dxfId="2" priority="38062" operator="containsText" text="Yes">
      <formula>NOT(ISERROR(SEARCH(("Yes"),(P190))))</formula>
    </cfRule>
  </conditionalFormatting>
  <conditionalFormatting sqref="P190:Q191 P196:Q196 P199:Q200">
    <cfRule type="containsText" dxfId="2" priority="38063" operator="containsText" text="Yes">
      <formula>NOT(ISERROR(SEARCH(("Yes"),(P190))))</formula>
    </cfRule>
  </conditionalFormatting>
  <conditionalFormatting sqref="P190:Q191 P196:Q196 P199:Q200">
    <cfRule type="containsText" dxfId="2" priority="38064" operator="containsText" text="Yes">
      <formula>NOT(ISERROR(SEARCH(("Yes"),(P190))))</formula>
    </cfRule>
  </conditionalFormatting>
  <conditionalFormatting sqref="P190:Q191 P196:Q196 P199:Q200">
    <cfRule type="containsText" dxfId="2" priority="38065" operator="containsText" text="Yes">
      <formula>NOT(ISERROR(SEARCH(("Yes"),(P190))))</formula>
    </cfRule>
  </conditionalFormatting>
  <conditionalFormatting sqref="P190:Q191 P196:Q196 P199:Q200">
    <cfRule type="containsText" dxfId="2" priority="38066" operator="containsText" text="Yes">
      <formula>NOT(ISERROR(SEARCH(("Yes"),(P190))))</formula>
    </cfRule>
  </conditionalFormatting>
  <conditionalFormatting sqref="P190:Q191 P196:Q196 P199:Q200">
    <cfRule type="containsText" dxfId="2" priority="38067" operator="containsText" text="Yes">
      <formula>NOT(ISERROR(SEARCH(("Yes"),(P190))))</formula>
    </cfRule>
  </conditionalFormatting>
  <conditionalFormatting sqref="P190:Q191 P196:Q196 P199:Q200">
    <cfRule type="containsText" dxfId="2" priority="38068" operator="containsText" text="Yes">
      <formula>NOT(ISERROR(SEARCH(("Yes"),(P190))))</formula>
    </cfRule>
  </conditionalFormatting>
  <conditionalFormatting sqref="P190:Q191 P196:Q196 P199:Q200">
    <cfRule type="containsText" dxfId="2" priority="38069" operator="containsText" text="Yes">
      <formula>NOT(ISERROR(SEARCH(("Yes"),(P190))))</formula>
    </cfRule>
  </conditionalFormatting>
  <conditionalFormatting sqref="P190:Q191 P196:Q196 P199:Q200">
    <cfRule type="containsText" dxfId="2" priority="38070" operator="containsText" text="Yes">
      <formula>NOT(ISERROR(SEARCH(("Yes"),(P190))))</formula>
    </cfRule>
  </conditionalFormatting>
  <conditionalFormatting sqref="P190:Q191 P196:Q196 P199:Q200">
    <cfRule type="containsText" dxfId="2" priority="38071" operator="containsText" text="Yes">
      <formula>NOT(ISERROR(SEARCH(("Yes"),(P190))))</formula>
    </cfRule>
  </conditionalFormatting>
  <conditionalFormatting sqref="P190:Q191 P196:Q196 P199:Q200">
    <cfRule type="containsText" dxfId="2" priority="38072" operator="containsText" text="Yes">
      <formula>NOT(ISERROR(SEARCH(("Yes"),(P190))))</formula>
    </cfRule>
  </conditionalFormatting>
  <conditionalFormatting sqref="P190:Q191 P196:Q196 P199:Q200">
    <cfRule type="containsText" dxfId="2" priority="38073" operator="containsText" text="Yes">
      <formula>NOT(ISERROR(SEARCH(("Yes"),(P190))))</formula>
    </cfRule>
  </conditionalFormatting>
  <conditionalFormatting sqref="N191:Q191 N196:Q196 N199:Q200 N203:N214 O203 O205:O214">
    <cfRule type="containsText" dxfId="9" priority="38074" operator="containsText" text="No">
      <formula>NOT(ISERROR(SEARCH(("No"),(N191))))</formula>
    </cfRule>
  </conditionalFormatting>
  <conditionalFormatting sqref="N191:Q191 N196:Q196 N199:Q200 N203:N214 O203 O205:O214">
    <cfRule type="containsText" dxfId="9" priority="38075" operator="containsText" text="No">
      <formula>NOT(ISERROR(SEARCH(("No"),(N191))))</formula>
    </cfRule>
  </conditionalFormatting>
  <conditionalFormatting sqref="N191:Q191 N196:Q196 N199:Q200 N203:N214 O203 O205:O214">
    <cfRule type="containsText" dxfId="9" priority="38076" operator="containsText" text="No">
      <formula>NOT(ISERROR(SEARCH(("No"),(N191))))</formula>
    </cfRule>
  </conditionalFormatting>
  <conditionalFormatting sqref="N191:Q191 N196:Q196 N199:Q200 N203:N214 O203 O205:O214">
    <cfRule type="containsText" dxfId="9" priority="38077" operator="containsText" text="No">
      <formula>NOT(ISERROR(SEARCH(("No"),(N191))))</formula>
    </cfRule>
  </conditionalFormatting>
  <conditionalFormatting sqref="N191:Q191 N196:Q196 N199:Q200 N203:N214 O203 O205:O214">
    <cfRule type="containsText" dxfId="9" priority="38078" operator="containsText" text="No">
      <formula>NOT(ISERROR(SEARCH(("No"),(N191))))</formula>
    </cfRule>
  </conditionalFormatting>
  <conditionalFormatting sqref="N191:Q191 N196:Q196 N199:Q200 N203:N214 O203 O205:O214">
    <cfRule type="containsText" dxfId="9" priority="38079" operator="containsText" text="No">
      <formula>NOT(ISERROR(SEARCH(("No"),(N191))))</formula>
    </cfRule>
  </conditionalFormatting>
  <conditionalFormatting sqref="N191:Q191 N196:Q196 N199:Q200 N203:N214 O203 O205:O214">
    <cfRule type="containsText" dxfId="9" priority="38080" operator="containsText" text="No">
      <formula>NOT(ISERROR(SEARCH(("No"),(N191))))</formula>
    </cfRule>
  </conditionalFormatting>
  <conditionalFormatting sqref="N191:Q191 N196:Q196 N199:Q200 N203:N214 O203 O205:O214">
    <cfRule type="containsText" dxfId="9" priority="38081" operator="containsText" text="No">
      <formula>NOT(ISERROR(SEARCH(("No"),(N191))))</formula>
    </cfRule>
  </conditionalFormatting>
  <conditionalFormatting sqref="N191:Q191 N196:Q196 N199:Q200 N203:N214 O203 O205:O214">
    <cfRule type="containsText" dxfId="9" priority="38082" operator="containsText" text="No">
      <formula>NOT(ISERROR(SEARCH(("No"),(N191))))</formula>
    </cfRule>
  </conditionalFormatting>
  <conditionalFormatting sqref="N191:Q191 N196:Q196 N199:Q200 N203:N214 O203 O205:O214">
    <cfRule type="containsText" dxfId="9" priority="38083" operator="containsText" text="No">
      <formula>NOT(ISERROR(SEARCH(("No"),(N191))))</formula>
    </cfRule>
  </conditionalFormatting>
  <conditionalFormatting sqref="N191:Q191 N196:Q196 N199:Q200 N203:N214 O203 O205:O214">
    <cfRule type="containsText" dxfId="9" priority="38084" operator="containsText" text="No">
      <formula>NOT(ISERROR(SEARCH(("No"),(N191))))</formula>
    </cfRule>
  </conditionalFormatting>
  <conditionalFormatting sqref="N191:Q191 N196:Q196 N199:Q200 N203:N214 O203 O205:O214">
    <cfRule type="containsText" dxfId="9" priority="38085" operator="containsText" text="No">
      <formula>NOT(ISERROR(SEARCH(("No"),(N191))))</formula>
    </cfRule>
  </conditionalFormatting>
  <conditionalFormatting sqref="N191:Q191 N196:Q196 N199:Q200 N203:N214 O203 O205:O214">
    <cfRule type="containsText" dxfId="9" priority="38086" operator="containsText" text="No">
      <formula>NOT(ISERROR(SEARCH(("No"),(N191))))</formula>
    </cfRule>
  </conditionalFormatting>
  <conditionalFormatting sqref="N191:Q191 N196:Q196 N199:Q200 N203:N214 O203 O205:O214">
    <cfRule type="containsText" dxfId="9" priority="38087" operator="containsText" text="No">
      <formula>NOT(ISERROR(SEARCH(("No"),(N191))))</formula>
    </cfRule>
  </conditionalFormatting>
  <conditionalFormatting sqref="N191:Q191 N196:Q196 N199:Q200 N203:N214 O203 O205:O214">
    <cfRule type="containsText" dxfId="9" priority="38088" operator="containsText" text="No">
      <formula>NOT(ISERROR(SEARCH(("No"),(N191))))</formula>
    </cfRule>
  </conditionalFormatting>
  <conditionalFormatting sqref="N191:Q191 N196:Q196 N199:Q200 N203:N214 O203 O205:O214">
    <cfRule type="containsText" dxfId="9" priority="38089" operator="containsText" text="No">
      <formula>NOT(ISERROR(SEARCH(("No"),(N191))))</formula>
    </cfRule>
  </conditionalFormatting>
  <conditionalFormatting sqref="N191:Q191 N196:Q196 N199:Q200 N203:N214 O203 O205:O214">
    <cfRule type="containsText" dxfId="9" priority="38090" operator="containsText" text="No">
      <formula>NOT(ISERROR(SEARCH(("No"),(N191))))</formula>
    </cfRule>
  </conditionalFormatting>
  <conditionalFormatting sqref="N191:Q191 N196:Q196 N199:Q200 N203:N214 O203 O205:O214">
    <cfRule type="containsText" dxfId="9" priority="38091" operator="containsText" text="No">
      <formula>NOT(ISERROR(SEARCH(("No"),(N191))))</formula>
    </cfRule>
  </conditionalFormatting>
  <conditionalFormatting sqref="N191:Q191 N196:Q196 N199:Q200 N203:N214 O203 O205:O214">
    <cfRule type="containsText" dxfId="9" priority="38092" operator="containsText" text="No">
      <formula>NOT(ISERROR(SEARCH(("No"),(N191))))</formula>
    </cfRule>
  </conditionalFormatting>
  <conditionalFormatting sqref="N191:Q191 N196:Q196 N199:Q200 N203:N214 O203 O205:O214">
    <cfRule type="containsText" dxfId="9" priority="38093" operator="containsText" text="No">
      <formula>NOT(ISERROR(SEARCH(("No"),(N191))))</formula>
    </cfRule>
  </conditionalFormatting>
  <conditionalFormatting sqref="N191:Q191 N196:Q196 N199:Q200 N203:N214 O203 O205:O214">
    <cfRule type="containsText" dxfId="9" priority="38094" operator="containsText" text="No">
      <formula>NOT(ISERROR(SEARCH(("No"),(N191))))</formula>
    </cfRule>
  </conditionalFormatting>
  <conditionalFormatting sqref="N191:Q191 N196:Q196 N199:Q200 N203:N214 O203 O205:O214">
    <cfRule type="containsText" dxfId="9" priority="38095" operator="containsText" text="No">
      <formula>NOT(ISERROR(SEARCH(("No"),(N191))))</formula>
    </cfRule>
  </conditionalFormatting>
  <conditionalFormatting sqref="N191:Q191 N196:Q196 N199:Q200 N203:N214 O203 O205:O214">
    <cfRule type="containsText" dxfId="9" priority="38096" operator="containsText" text="No">
      <formula>NOT(ISERROR(SEARCH(("No"),(N191))))</formula>
    </cfRule>
  </conditionalFormatting>
  <conditionalFormatting sqref="N191:Q191 N196:Q196 N199:Q200 N203:N214 O203 O205:O214">
    <cfRule type="containsText" dxfId="9" priority="38097" operator="containsText" text="No">
      <formula>NOT(ISERROR(SEARCH(("No"),(N191))))</formula>
    </cfRule>
  </conditionalFormatting>
  <conditionalFormatting sqref="N191:Q191 N196:Q196 N199:Q200 N203:N214 O203 O205:O214">
    <cfRule type="containsText" dxfId="9" priority="38098" operator="containsText" text="No">
      <formula>NOT(ISERROR(SEARCH(("No"),(N191))))</formula>
    </cfRule>
  </conditionalFormatting>
  <conditionalFormatting sqref="N191:Q191 N196:Q196 N199:Q200 N203:N214 O203 O205:O214">
    <cfRule type="containsText" dxfId="9" priority="38099" operator="containsText" text="No">
      <formula>NOT(ISERROR(SEARCH(("No"),(N191))))</formula>
    </cfRule>
  </conditionalFormatting>
  <conditionalFormatting sqref="N191:Q191 N196:Q196 N199:Q200 N203:N214 O203 O205:O214">
    <cfRule type="containsText" dxfId="9" priority="38100" operator="containsText" text="No">
      <formula>NOT(ISERROR(SEARCH(("No"),(N191))))</formula>
    </cfRule>
  </conditionalFormatting>
  <conditionalFormatting sqref="N191:Q191 N196:Q196 N199:Q200 N203:N214 O203 O205:O214">
    <cfRule type="containsText" dxfId="9" priority="38101" operator="containsText" text="No">
      <formula>NOT(ISERROR(SEARCH(("No"),(N191))))</formula>
    </cfRule>
  </conditionalFormatting>
  <conditionalFormatting sqref="N191:Q191 N196:Q196 N199:Q200 N203:N214 O203 O205:O214">
    <cfRule type="containsText" dxfId="9" priority="38102" operator="containsText" text="No">
      <formula>NOT(ISERROR(SEARCH(("No"),(N191))))</formula>
    </cfRule>
  </conditionalFormatting>
  <conditionalFormatting sqref="N191:Q191 N196:Q196 N199:Q200 N203:N214 O203 O205:O214">
    <cfRule type="containsText" dxfId="9" priority="38103" operator="containsText" text="No">
      <formula>NOT(ISERROR(SEARCH(("No"),(N191))))</formula>
    </cfRule>
  </conditionalFormatting>
  <conditionalFormatting sqref="N191:Q191 N196:Q196 N199:Q200 N203:N214 O203 O205:O214">
    <cfRule type="containsText" dxfId="9" priority="38104" operator="containsText" text="No">
      <formula>NOT(ISERROR(SEARCH(("No"),(N191))))</formula>
    </cfRule>
  </conditionalFormatting>
  <conditionalFormatting sqref="N191:Q191 N196:Q196 N199:Q200 N203:N214 O203 O205:O214">
    <cfRule type="containsText" dxfId="9" priority="38105" operator="containsText" text="No">
      <formula>NOT(ISERROR(SEARCH(("No"),(N191))))</formula>
    </cfRule>
  </conditionalFormatting>
  <conditionalFormatting sqref="N191:Q191 N196:Q196 N199:Q200 N203:N214 O203 O205:O214">
    <cfRule type="containsText" dxfId="9" priority="38106" operator="containsText" text="No">
      <formula>NOT(ISERROR(SEARCH(("No"),(N191))))</formula>
    </cfRule>
  </conditionalFormatting>
  <conditionalFormatting sqref="N191:Q191 N196:Q196 N199:Q200 N203:N214 O203 O205:O214">
    <cfRule type="containsText" dxfId="9" priority="38107" operator="containsText" text="No">
      <formula>NOT(ISERROR(SEARCH(("No"),(N191))))</formula>
    </cfRule>
  </conditionalFormatting>
  <conditionalFormatting sqref="N191:Q191 N196:Q196 N199:Q200 N203:N214 O203 O205:O214">
    <cfRule type="containsText" dxfId="9" priority="38108" operator="containsText" text="No">
      <formula>NOT(ISERROR(SEARCH(("No"),(N191))))</formula>
    </cfRule>
  </conditionalFormatting>
  <conditionalFormatting sqref="N191:Q191 N196:Q196 N199:Q200 N203:N214 O203 O205:O214">
    <cfRule type="containsText" dxfId="9" priority="38109" operator="containsText" text="No">
      <formula>NOT(ISERROR(SEARCH(("No"),(N191))))</formula>
    </cfRule>
  </conditionalFormatting>
  <conditionalFormatting sqref="N191:Q191 N196:Q196 N199:Q200 N203:N214 O203 O205:O214">
    <cfRule type="containsText" dxfId="9" priority="38110" operator="containsText" text="No">
      <formula>NOT(ISERROR(SEARCH(("No"),(N191))))</formula>
    </cfRule>
  </conditionalFormatting>
  <conditionalFormatting sqref="N191:Q191 N196:Q196 N199:Q200 N203:N214 O203 O205:O214">
    <cfRule type="containsText" dxfId="9" priority="38111" operator="containsText" text="No">
      <formula>NOT(ISERROR(SEARCH(("No"),(N191))))</formula>
    </cfRule>
  </conditionalFormatting>
  <conditionalFormatting sqref="N191:Q191 N196:Q196 N199:Q200 N203:N214 O203 O205:O214">
    <cfRule type="containsText" dxfId="9" priority="38112" operator="containsText" text="No">
      <formula>NOT(ISERROR(SEARCH(("No"),(N191))))</formula>
    </cfRule>
  </conditionalFormatting>
  <conditionalFormatting sqref="N191:Q191 N196:Q196 N199:Q200 N203:N214 O203 O205:O214">
    <cfRule type="containsText" dxfId="9" priority="38113" operator="containsText" text="No">
      <formula>NOT(ISERROR(SEARCH(("No"),(N191))))</formula>
    </cfRule>
  </conditionalFormatting>
  <conditionalFormatting sqref="N191:Q191 N196:Q196 N199:Q200 N203:N214 O203 O205:O214">
    <cfRule type="containsText" dxfId="9" priority="38114" operator="containsText" text="No">
      <formula>NOT(ISERROR(SEARCH(("No"),(N191))))</formula>
    </cfRule>
  </conditionalFormatting>
  <conditionalFormatting sqref="N191:Q191 N196:Q196 N199:Q200 N203:N214 O203 O205:O214">
    <cfRule type="containsText" dxfId="9" priority="38115" operator="containsText" text="No">
      <formula>NOT(ISERROR(SEARCH(("No"),(N191))))</formula>
    </cfRule>
  </conditionalFormatting>
  <conditionalFormatting sqref="N191:Q191 N196:Q196 N199:Q200 N203:N214 O203 O205:O214">
    <cfRule type="containsText" dxfId="9" priority="38116" operator="containsText" text="No">
      <formula>NOT(ISERROR(SEARCH(("No"),(N191))))</formula>
    </cfRule>
  </conditionalFormatting>
  <conditionalFormatting sqref="N191:Q191 N196:Q196 N199:Q200 N203:N214 O203 O205:O214">
    <cfRule type="containsText" dxfId="9" priority="38117" operator="containsText" text="No">
      <formula>NOT(ISERROR(SEARCH(("No"),(N191))))</formula>
    </cfRule>
  </conditionalFormatting>
  <conditionalFormatting sqref="N191:Q191 N196:Q196 N199:Q200 N203:N214 O203 O205:O214">
    <cfRule type="containsText" dxfId="9" priority="38118" operator="containsText" text="No">
      <formula>NOT(ISERROR(SEARCH(("No"),(N191))))</formula>
    </cfRule>
  </conditionalFormatting>
  <conditionalFormatting sqref="N191:Q191 N196:Q196 N199:Q200 N203:N214 O203 O205:O214">
    <cfRule type="containsText" dxfId="2" priority="38119" operator="containsText" text="Yes">
      <formula>NOT(ISERROR(SEARCH(("Yes"),(N191))))</formula>
    </cfRule>
  </conditionalFormatting>
  <conditionalFormatting sqref="N191:Q191 N196:Q196 N199:Q200 N203:N214 O203 O205:O214">
    <cfRule type="containsText" dxfId="2" priority="38120" operator="containsText" text="Yes">
      <formula>NOT(ISERROR(SEARCH(("Yes"),(N191))))</formula>
    </cfRule>
  </conditionalFormatting>
  <conditionalFormatting sqref="N191:Q191 N196:Q196 N199:Q200 N203:N214 O203 O205:O214">
    <cfRule type="containsText" dxfId="2" priority="38121" operator="containsText" text="Yes">
      <formula>NOT(ISERROR(SEARCH(("Yes"),(N191))))</formula>
    </cfRule>
  </conditionalFormatting>
  <conditionalFormatting sqref="N191:Q191 N196:Q196 N199:Q200 N203:N214 O203 O205:O214">
    <cfRule type="containsText" dxfId="2" priority="38122" operator="containsText" text="Yes">
      <formula>NOT(ISERROR(SEARCH(("Yes"),(N191))))</formula>
    </cfRule>
  </conditionalFormatting>
  <conditionalFormatting sqref="N191:Q191 N196:Q196 N199:Q200 N203:N214 O203 O205:O214">
    <cfRule type="containsText" dxfId="2" priority="38123" operator="containsText" text="Yes">
      <formula>NOT(ISERROR(SEARCH(("Yes"),(N191))))</formula>
    </cfRule>
  </conditionalFormatting>
  <conditionalFormatting sqref="N191:Q191 N196:Q196 N199:Q200 N203:N214 O203 O205:O214">
    <cfRule type="containsText" dxfId="2" priority="38124" operator="containsText" text="Yes">
      <formula>NOT(ISERROR(SEARCH(("Yes"),(N191))))</formula>
    </cfRule>
  </conditionalFormatting>
  <conditionalFormatting sqref="N191:Q191 N196:Q196 N199:Q200 N203:N214 O203 O205:O214">
    <cfRule type="containsText" dxfId="2" priority="38125" operator="containsText" text="Yes">
      <formula>NOT(ISERROR(SEARCH(("Yes"),(N191))))</formula>
    </cfRule>
  </conditionalFormatting>
  <conditionalFormatting sqref="N191:Q191 N196:Q196 N199:Q200 N203:N214 O203 O205:O214">
    <cfRule type="containsText" dxfId="2" priority="38126" operator="containsText" text="Yes">
      <formula>NOT(ISERROR(SEARCH(("Yes"),(N191))))</formula>
    </cfRule>
  </conditionalFormatting>
  <conditionalFormatting sqref="N191:Q191 N196:Q196 N199:Q200 N203:N214 O203 O205:O214">
    <cfRule type="containsText" dxfId="2" priority="38127" operator="containsText" text="Yes">
      <formula>NOT(ISERROR(SEARCH(("Yes"),(N191))))</formula>
    </cfRule>
  </conditionalFormatting>
  <conditionalFormatting sqref="N191:Q191 N196:Q196 N199:Q200 N203:N214 O203 O205:O214">
    <cfRule type="containsText" dxfId="2" priority="38128" operator="containsText" text="Yes">
      <formula>NOT(ISERROR(SEARCH(("Yes"),(N191))))</formula>
    </cfRule>
  </conditionalFormatting>
  <conditionalFormatting sqref="N191:Q191 N196:Q196 N199:Q200 N203:N214 O203 O205:O214">
    <cfRule type="containsText" dxfId="2" priority="38129" operator="containsText" text="Yes">
      <formula>NOT(ISERROR(SEARCH(("Yes"),(N191))))</formula>
    </cfRule>
  </conditionalFormatting>
  <conditionalFormatting sqref="N191:Q191 N196:Q196 N199:Q200 N203:N214 O203 O205:O214">
    <cfRule type="containsText" dxfId="2" priority="38130" operator="containsText" text="Yes">
      <formula>NOT(ISERROR(SEARCH(("Yes"),(N191))))</formula>
    </cfRule>
  </conditionalFormatting>
  <conditionalFormatting sqref="N191:Q191 N196:Q196 N199:Q200 N203:N214 O203 O205:O214">
    <cfRule type="containsText" dxfId="2" priority="38131" operator="containsText" text="Yes">
      <formula>NOT(ISERROR(SEARCH(("Yes"),(N191))))</formula>
    </cfRule>
  </conditionalFormatting>
  <conditionalFormatting sqref="N191:Q191 N196:Q196 N199:Q200 N203:N214 O203 O205:O214">
    <cfRule type="containsText" dxfId="2" priority="38132" operator="containsText" text="Yes">
      <formula>NOT(ISERROR(SEARCH(("Yes"),(N191))))</formula>
    </cfRule>
  </conditionalFormatting>
  <conditionalFormatting sqref="N191:Q191 N196:Q196 N199:Q200 N203:N214 O203 O205:O214">
    <cfRule type="containsText" dxfId="2" priority="38133" operator="containsText" text="Yes">
      <formula>NOT(ISERROR(SEARCH(("Yes"),(N191))))</formula>
    </cfRule>
  </conditionalFormatting>
  <conditionalFormatting sqref="N191:Q191 N196:Q196 N199:Q200 N203:N214 O203 O205:O214">
    <cfRule type="containsText" dxfId="2" priority="38134" operator="containsText" text="Yes">
      <formula>NOT(ISERROR(SEARCH(("Yes"),(N191))))</formula>
    </cfRule>
  </conditionalFormatting>
  <conditionalFormatting sqref="N191:Q191 N196:Q196 N199:Q200 N203:N214 O203 O205:O214">
    <cfRule type="containsText" dxfId="2" priority="38135" operator="containsText" text="Yes">
      <formula>NOT(ISERROR(SEARCH(("Yes"),(N191))))</formula>
    </cfRule>
  </conditionalFormatting>
  <conditionalFormatting sqref="N191:Q191 N196:Q196 N199:Q200 N203:N214 O203 O205:O214">
    <cfRule type="containsText" dxfId="2" priority="38136" operator="containsText" text="Yes">
      <formula>NOT(ISERROR(SEARCH(("Yes"),(N191))))</formula>
    </cfRule>
  </conditionalFormatting>
  <conditionalFormatting sqref="N191:Q191 N196:Q196 N199:Q200 N203:N214 O203 O205:O214">
    <cfRule type="containsText" dxfId="2" priority="38137" operator="containsText" text="Yes">
      <formula>NOT(ISERROR(SEARCH(("Yes"),(N191))))</formula>
    </cfRule>
  </conditionalFormatting>
  <conditionalFormatting sqref="N191:Q191 N196:Q196 N199:Q200 N203:N214 O203 O205:O214">
    <cfRule type="containsText" dxfId="2" priority="38138" operator="containsText" text="Yes">
      <formula>NOT(ISERROR(SEARCH(("Yes"),(N191))))</formula>
    </cfRule>
  </conditionalFormatting>
  <conditionalFormatting sqref="N191:Q191 N196:Q196 N199:Q200 N203:N214 O203 O205:O214">
    <cfRule type="containsText" dxfId="2" priority="38139" operator="containsText" text="Yes">
      <formula>NOT(ISERROR(SEARCH(("Yes"),(N191))))</formula>
    </cfRule>
  </conditionalFormatting>
  <conditionalFormatting sqref="N191:Q191 N196:Q196 N199:Q200 N203:N214 O203 O205:O214">
    <cfRule type="containsText" dxfId="2" priority="38140" operator="containsText" text="Yes">
      <formula>NOT(ISERROR(SEARCH(("Yes"),(N191))))</formula>
    </cfRule>
  </conditionalFormatting>
  <conditionalFormatting sqref="N191:Q191 N196:Q196 N199:Q200 N203:N214 O203 O205:O214">
    <cfRule type="containsText" dxfId="2" priority="38141" operator="containsText" text="Yes">
      <formula>NOT(ISERROR(SEARCH(("Yes"),(N191))))</formula>
    </cfRule>
  </conditionalFormatting>
  <conditionalFormatting sqref="N191:Q191 N196:Q196 N199:Q200 N203:N214 O203 O205:O214">
    <cfRule type="containsText" dxfId="2" priority="38142" operator="containsText" text="Yes">
      <formula>NOT(ISERROR(SEARCH(("Yes"),(N191))))</formula>
    </cfRule>
  </conditionalFormatting>
  <conditionalFormatting sqref="N191:Q191 N196:Q196 N199:Q200 N203:N214 O203 O205:O214">
    <cfRule type="containsText" dxfId="2" priority="38143" operator="containsText" text="Yes">
      <formula>NOT(ISERROR(SEARCH(("Yes"),(N191))))</formula>
    </cfRule>
  </conditionalFormatting>
  <conditionalFormatting sqref="N191:Q191 N196:Q196 N199:Q200 N203:N214 O203 O205:O214">
    <cfRule type="containsText" dxfId="2" priority="38144" operator="containsText" text="Yes">
      <formula>NOT(ISERROR(SEARCH(("Yes"),(N191))))</formula>
    </cfRule>
  </conditionalFormatting>
  <conditionalFormatting sqref="N191:Q191 N196:Q196 N199:Q200 N203:N214 O203 O205:O214">
    <cfRule type="containsText" dxfId="2" priority="38145" operator="containsText" text="Yes">
      <formula>NOT(ISERROR(SEARCH(("Yes"),(N191))))</formula>
    </cfRule>
  </conditionalFormatting>
  <conditionalFormatting sqref="N191:Q191 N196:Q196 N199:Q200 N203:N214 O203 O205:O214">
    <cfRule type="containsText" dxfId="2" priority="38146" operator="containsText" text="Yes">
      <formula>NOT(ISERROR(SEARCH(("Yes"),(N191))))</formula>
    </cfRule>
  </conditionalFormatting>
  <conditionalFormatting sqref="N191:Q191 N196:Q196 N199:Q200 N203:N214 O203 O205:O214">
    <cfRule type="containsText" dxfId="2" priority="38147" operator="containsText" text="Yes">
      <formula>NOT(ISERROR(SEARCH(("Yes"),(N191))))</formula>
    </cfRule>
  </conditionalFormatting>
  <conditionalFormatting sqref="N191:Q191 N196:Q196 N199:Q200 N203:N214 O203 O205:O214">
    <cfRule type="containsText" dxfId="2" priority="38148" operator="containsText" text="Yes">
      <formula>NOT(ISERROR(SEARCH(("Yes"),(N191))))</formula>
    </cfRule>
  </conditionalFormatting>
  <conditionalFormatting sqref="N191:Q191 N196:Q196 N199:Q200 N203:N214 O203 O205:O214">
    <cfRule type="containsText" dxfId="2" priority="38149" operator="containsText" text="Yes">
      <formula>NOT(ISERROR(SEARCH(("Yes"),(N191))))</formula>
    </cfRule>
  </conditionalFormatting>
  <conditionalFormatting sqref="N191:Q191 N196:Q196 N199:Q200 N203:N214 O203 O205:O214">
    <cfRule type="containsText" dxfId="2" priority="38150" operator="containsText" text="Yes">
      <formula>NOT(ISERROR(SEARCH(("Yes"),(N191))))</formula>
    </cfRule>
  </conditionalFormatting>
  <conditionalFormatting sqref="N191:Q191 N196:Q196 N199:Q200 N203:N214 O203 O205:O214">
    <cfRule type="containsText" dxfId="2" priority="38151" operator="containsText" text="Yes">
      <formula>NOT(ISERROR(SEARCH(("Yes"),(N191))))</formula>
    </cfRule>
  </conditionalFormatting>
  <conditionalFormatting sqref="N191:Q191 N196:Q196 N199:Q200 N203:N214 O203 O205:O214">
    <cfRule type="containsText" dxfId="2" priority="38152" operator="containsText" text="Yes">
      <formula>NOT(ISERROR(SEARCH(("Yes"),(N191))))</formula>
    </cfRule>
  </conditionalFormatting>
  <conditionalFormatting sqref="N191:Q191 N196:Q196 N199:Q200 N203:N214 O203 O205:O214">
    <cfRule type="containsText" dxfId="2" priority="38153" operator="containsText" text="Yes">
      <formula>NOT(ISERROR(SEARCH(("Yes"),(N191))))</formula>
    </cfRule>
  </conditionalFormatting>
  <conditionalFormatting sqref="N191:Q191 N196:Q196 N199:Q200 N203:N214 O203 O205:O214">
    <cfRule type="containsText" dxfId="2" priority="38154" operator="containsText" text="Yes">
      <formula>NOT(ISERROR(SEARCH(("Yes"),(N191))))</formula>
    </cfRule>
  </conditionalFormatting>
  <conditionalFormatting sqref="N191:Q191 N196:Q196 N199:Q200 N203:N214 O203 O205:O214">
    <cfRule type="containsText" dxfId="2" priority="38155" operator="containsText" text="Yes">
      <formula>NOT(ISERROR(SEARCH(("Yes"),(N191))))</formula>
    </cfRule>
  </conditionalFormatting>
  <conditionalFormatting sqref="N191:Q191 N196:Q196 N199:Q200 N203:N214 O203 O205:O214">
    <cfRule type="containsText" dxfId="2" priority="38156" operator="containsText" text="Yes">
      <formula>NOT(ISERROR(SEARCH(("Yes"),(N191))))</formula>
    </cfRule>
  </conditionalFormatting>
  <conditionalFormatting sqref="N191:Q191 N196:Q196 N199:Q200 N203:N214 O203 O205:O214">
    <cfRule type="containsText" dxfId="2" priority="38157" operator="containsText" text="Yes">
      <formula>NOT(ISERROR(SEARCH(("Yes"),(N191))))</formula>
    </cfRule>
  </conditionalFormatting>
  <conditionalFormatting sqref="N191:Q191 N196:Q196 N199:Q200 N203:N214 O203 O205:O214">
    <cfRule type="containsText" dxfId="2" priority="38158" operator="containsText" text="Yes">
      <formula>NOT(ISERROR(SEARCH(("Yes"),(N191))))</formula>
    </cfRule>
  </conditionalFormatting>
  <conditionalFormatting sqref="N191:Q191 N196:Q196 N199:Q200 N203:N214 O203 O205:O214">
    <cfRule type="containsText" dxfId="2" priority="38159" operator="containsText" text="Yes">
      <formula>NOT(ISERROR(SEARCH(("Yes"),(N191))))</formula>
    </cfRule>
  </conditionalFormatting>
  <conditionalFormatting sqref="N191:Q191 N196:Q196 N199:Q200 N203:N214 O203 O205:O214">
    <cfRule type="containsText" dxfId="2" priority="38160" operator="containsText" text="Yes">
      <formula>NOT(ISERROR(SEARCH(("Yes"),(N191))))</formula>
    </cfRule>
  </conditionalFormatting>
  <conditionalFormatting sqref="N191:Q191 N196:Q196 N199:Q200 N203:N214 O203 O205:O214">
    <cfRule type="containsText" dxfId="2" priority="38161" operator="containsText" text="Yes">
      <formula>NOT(ISERROR(SEARCH(("Yes"),(N191))))</formula>
    </cfRule>
  </conditionalFormatting>
  <conditionalFormatting sqref="N191:Q191 N196:Q196 N199:Q200 N203:N214 O203 O205:O214">
    <cfRule type="containsText" dxfId="2" priority="38162" operator="containsText" text="Yes">
      <formula>NOT(ISERROR(SEARCH(("Yes"),(N191))))</formula>
    </cfRule>
  </conditionalFormatting>
  <conditionalFormatting sqref="N191:Q191 N196:Q196 N199:Q200 N203:N214 O203 O205:O214">
    <cfRule type="containsText" dxfId="2" priority="38163" operator="containsText" text="Yes">
      <formula>NOT(ISERROR(SEARCH(("Yes"),(N191))))</formula>
    </cfRule>
  </conditionalFormatting>
  <conditionalFormatting sqref="N191:Q191 N196:Q196 N199:Q200 N203:N214 O203 O205:O214">
    <cfRule type="containsText" dxfId="2" priority="38164" operator="containsText" text="Yes">
      <formula>NOT(ISERROR(SEARCH(("Yes"),(N191))))</formula>
    </cfRule>
  </conditionalFormatting>
  <conditionalFormatting sqref="N191:Q191 N196:Q196 N199:Q200 N203:N214 O203 O205:O214">
    <cfRule type="containsText" dxfId="2" priority="38165" operator="containsText" text="Yes">
      <formula>NOT(ISERROR(SEARCH(("Yes"),(N191))))</formula>
    </cfRule>
  </conditionalFormatting>
  <conditionalFormatting sqref="N192:N226 O203 O205:O214 N228:N252 N254:N256 N258:N264 N267:N269 N272:N273 N275">
    <cfRule type="containsText" dxfId="9" priority="38166" operator="containsText" text="No">
      <formula>NOT(ISERROR(SEARCH(("No"),(N192))))</formula>
    </cfRule>
  </conditionalFormatting>
  <conditionalFormatting sqref="N192:N226 O203 O205:O214 N228:N252 N254:N256 N258:N264 N267:N269 N272:N273 N275">
    <cfRule type="containsText" dxfId="9" priority="38167" operator="containsText" text="No">
      <formula>NOT(ISERROR(SEARCH(("No"),(N192))))</formula>
    </cfRule>
  </conditionalFormatting>
  <conditionalFormatting sqref="N192:N226 O203 O205:O214 N228:N252 N254:N256 N258:N264 N267:N269 N272:N273 N275">
    <cfRule type="containsText" dxfId="9" priority="38168" operator="containsText" text="No">
      <formula>NOT(ISERROR(SEARCH(("No"),(N192))))</formula>
    </cfRule>
  </conditionalFormatting>
  <conditionalFormatting sqref="N192:N226 O203 O205:O214 N228:N252 N254:N256 N258:N264 N267:N269 N272:N273 N275">
    <cfRule type="containsText" dxfId="2" priority="38169" operator="containsText" text="Yes">
      <formula>NOT(ISERROR(SEARCH(("Yes"),(N192))))</formula>
    </cfRule>
  </conditionalFormatting>
  <conditionalFormatting sqref="N192:N226 O203 O205:O214 N228:N252 N254:N256 N258:N264 N267:N269 N272:N273 N275">
    <cfRule type="containsText" dxfId="2" priority="38170" operator="containsText" text="Yes">
      <formula>NOT(ISERROR(SEARCH(("Yes"),(N192))))</formula>
    </cfRule>
  </conditionalFormatting>
  <conditionalFormatting sqref="N192:N226 O203 O205:O214 N228:N252 N254:N256 N258:N264 N267:N269 N272:N273 N275">
    <cfRule type="containsText" dxfId="2" priority="38171" operator="containsText" text="Yes">
      <formula>NOT(ISERROR(SEARCH(("Yes"),(N192))))</formula>
    </cfRule>
  </conditionalFormatting>
  <conditionalFormatting sqref="N192:N226 O203 O205:O214 N228:N252 N254:N256 N258:N264 N267:N269 N272:N273 N275">
    <cfRule type="containsText" dxfId="2" priority="38172" operator="containsText" text="Yes">
      <formula>NOT(ISERROR(SEARCH(("Yes"),(N192))))</formula>
    </cfRule>
  </conditionalFormatting>
  <conditionalFormatting sqref="N192:N226 O203 O205:O214 N228:N252 N254:N256 N258:N264 N267:N269 N272:N273 N275">
    <cfRule type="containsText" dxfId="2" priority="38173" operator="containsText" text="Yes">
      <formula>NOT(ISERROR(SEARCH(("Yes"),(N192))))</formula>
    </cfRule>
  </conditionalFormatting>
  <conditionalFormatting sqref="N192:N226 O203 O205:O214 N228:N252 N254:N256 N258:N264 N267:N269 N272:N273 N275">
    <cfRule type="containsText" dxfId="9" priority="38174" operator="containsText" text="No">
      <formula>NOT(ISERROR(SEARCH(("No"),(N192))))</formula>
    </cfRule>
  </conditionalFormatting>
  <conditionalFormatting sqref="N192:N226 O203 O205:O214 N228:N252 N254:N256 N258:N264 N267:N269 N272:N273 N275">
    <cfRule type="containsText" dxfId="2" priority="38175" operator="containsText" text="Yes">
      <formula>NOT(ISERROR(SEARCH(("Yes"),(N192))))</formula>
    </cfRule>
  </conditionalFormatting>
  <conditionalFormatting sqref="O192:O212 N195 N197:N198 N201:N202 N204 O214:O226 O228:O252 O254:O256 O258:O264 O267:O269 O272:O273 O275">
    <cfRule type="containsText" dxfId="9" priority="38176" operator="containsText" text="No">
      <formula>NOT(ISERROR(SEARCH(("No"),(O192))))</formula>
    </cfRule>
  </conditionalFormatting>
  <conditionalFormatting sqref="O192:O212 N195 N197:N198 N201:N202 N204 O214:O226 O228:O252 O254:O256 O258:O264 O267:O269 O272:O273 O275">
    <cfRule type="containsText" dxfId="9" priority="38177" operator="containsText" text="No">
      <formula>NOT(ISERROR(SEARCH(("No"),(O192))))</formula>
    </cfRule>
  </conditionalFormatting>
  <conditionalFormatting sqref="O192:O212 N195 N197:N198 N201:N202 N204 O214:O226 O228:O252 O254:O256 O258:O264 O267:O269 O272:O273 O275">
    <cfRule type="containsText" dxfId="9" priority="38178" operator="containsText" text="No">
      <formula>NOT(ISERROR(SEARCH(("No"),(O192))))</formula>
    </cfRule>
  </conditionalFormatting>
  <conditionalFormatting sqref="O192:O212 N195 N197:N198 N201:N202 N204 O214:O226 O228:O252 O254:O256 O258:O264 O267:O269 O272:O273 O275">
    <cfRule type="containsText" dxfId="2" priority="38179" operator="containsText" text="Yes">
      <formula>NOT(ISERROR(SEARCH(("Yes"),(O192))))</formula>
    </cfRule>
  </conditionalFormatting>
  <conditionalFormatting sqref="O192:O212 N195 N197:N198 N201:N202 N204 O214:O226 O228:O252 O254:O256 O258:O264 O267:O269 O272:O273 O275">
    <cfRule type="containsText" dxfId="2" priority="38180" operator="containsText" text="Yes">
      <formula>NOT(ISERROR(SEARCH(("Yes"),(O192))))</formula>
    </cfRule>
  </conditionalFormatting>
  <conditionalFormatting sqref="O192:O212 N195 N197:N198 N201:N202 N204 O214:O226 O228:O252 O254:O256 O258:O264 O267:O269 O272:O273 O275">
    <cfRule type="containsText" dxfId="2" priority="38181" operator="containsText" text="Yes">
      <formula>NOT(ISERROR(SEARCH(("Yes"),(O192))))</formula>
    </cfRule>
  </conditionalFormatting>
  <conditionalFormatting sqref="O192:O212 N195 N197:N198 N201:N202 N204 O214:O226 O228:O252 O254:O256 O258:O264 O267:O269 O272:O273 O275">
    <cfRule type="containsText" dxfId="2" priority="38182" operator="containsText" text="Yes">
      <formula>NOT(ISERROR(SEARCH(("Yes"),(O192))))</formula>
    </cfRule>
  </conditionalFormatting>
  <conditionalFormatting sqref="O192:O212 N195 N197:N198 N201:N202 N204 O214:O226 O228:O252 O254:O256 O258:O264 O267:O269 O272:O273 O275">
    <cfRule type="containsText" dxfId="2" priority="38183" operator="containsText" text="Yes">
      <formula>NOT(ISERROR(SEARCH(("Yes"),(O192))))</formula>
    </cfRule>
  </conditionalFormatting>
  <conditionalFormatting sqref="O192:O212 N195 N197:N198 N201:N202 N204 O214:O226 O228:O252 O254:O256 O258:O264 O267:O269 O272:O273 O275">
    <cfRule type="containsText" dxfId="9" priority="38184" operator="containsText" text="No">
      <formula>NOT(ISERROR(SEARCH(("No"),(O192))))</formula>
    </cfRule>
  </conditionalFormatting>
  <conditionalFormatting sqref="O192:O212 N195 N197:N198 N201:N202 N204 O214:O226 O228:O252 O254:O256 O258:O264 O267:O269 O272:O273 O275">
    <cfRule type="containsText" dxfId="9" priority="38185" operator="containsText" text="No">
      <formula>NOT(ISERROR(SEARCH(("No"),(O192))))</formula>
    </cfRule>
  </conditionalFormatting>
  <conditionalFormatting sqref="O192:O212 N195 N197:N198 N201:N202 N204 O214:O226 O228:O252 O254:O256 O258:O264 O267:O269 O272:O273 O275">
    <cfRule type="containsText" dxfId="2" priority="38186" operator="containsText" text="Yes">
      <formula>NOT(ISERROR(SEARCH(("Yes"),(O192))))</formula>
    </cfRule>
  </conditionalFormatting>
  <conditionalFormatting sqref="P192:Q214 U204:V204 P217:Q221">
    <cfRule type="containsText" dxfId="9" priority="38187" operator="containsText" text="No">
      <formula>NOT(ISERROR(SEARCH(("No"),(P192))))</formula>
    </cfRule>
  </conditionalFormatting>
  <conditionalFormatting sqref="P192:Q214 U204:V204 P217:Q221">
    <cfRule type="containsText" dxfId="9" priority="38188" operator="containsText" text="No">
      <formula>NOT(ISERROR(SEARCH(("No"),(P192))))</formula>
    </cfRule>
  </conditionalFormatting>
  <conditionalFormatting sqref="P192:Q214 U204:V204 P217:Q221">
    <cfRule type="containsText" dxfId="9" priority="38189" operator="containsText" text="No">
      <formula>NOT(ISERROR(SEARCH(("No"),(P192))))</formula>
    </cfRule>
  </conditionalFormatting>
  <conditionalFormatting sqref="P192:Q214 U204:V204 P217:Q221">
    <cfRule type="containsText" dxfId="9" priority="38190" operator="containsText" text="No">
      <formula>NOT(ISERROR(SEARCH(("No"),(P192))))</formula>
    </cfRule>
  </conditionalFormatting>
  <conditionalFormatting sqref="P192:Q214 U204:V204 P217:Q221">
    <cfRule type="containsText" dxfId="9" priority="38191" operator="containsText" text="No">
      <formula>NOT(ISERROR(SEARCH(("No"),(P192))))</formula>
    </cfRule>
  </conditionalFormatting>
  <conditionalFormatting sqref="P192:Q214 U204:V204 P217:Q221">
    <cfRule type="containsText" dxfId="9" priority="38192" operator="containsText" text="No">
      <formula>NOT(ISERROR(SEARCH(("No"),(P192))))</formula>
    </cfRule>
  </conditionalFormatting>
  <conditionalFormatting sqref="P192:Q214 U204:V204 P217:Q221">
    <cfRule type="containsText" dxfId="9" priority="38193" operator="containsText" text="No">
      <formula>NOT(ISERROR(SEARCH(("No"),(P192))))</formula>
    </cfRule>
  </conditionalFormatting>
  <conditionalFormatting sqref="P192:Q214 U204:V204 P217:Q221">
    <cfRule type="containsText" dxfId="9" priority="38194" operator="containsText" text="No">
      <formula>NOT(ISERROR(SEARCH(("No"),(P192))))</formula>
    </cfRule>
  </conditionalFormatting>
  <conditionalFormatting sqref="P192:Q214 U204:V204 P217:Q221">
    <cfRule type="containsText" dxfId="9" priority="38195" operator="containsText" text="No">
      <formula>NOT(ISERROR(SEARCH(("No"),(P192))))</formula>
    </cfRule>
  </conditionalFormatting>
  <conditionalFormatting sqref="P192:Q214 U204:V204 P217:Q221">
    <cfRule type="containsText" dxfId="9" priority="38196" operator="containsText" text="No">
      <formula>NOT(ISERROR(SEARCH(("No"),(P192))))</formula>
    </cfRule>
  </conditionalFormatting>
  <conditionalFormatting sqref="P192:Q214 U204:V204 P217:Q221">
    <cfRule type="containsText" dxfId="9" priority="38197" operator="containsText" text="No">
      <formula>NOT(ISERROR(SEARCH(("No"),(P192))))</formula>
    </cfRule>
  </conditionalFormatting>
  <conditionalFormatting sqref="P192:Q214 U204:V204 P217:Q221">
    <cfRule type="containsText" dxfId="9" priority="38198" operator="containsText" text="No">
      <formula>NOT(ISERROR(SEARCH(("No"),(P192))))</formula>
    </cfRule>
  </conditionalFormatting>
  <conditionalFormatting sqref="P192:Q214 U204:V204 P217:Q221">
    <cfRule type="containsText" dxfId="9" priority="38199" operator="containsText" text="No">
      <formula>NOT(ISERROR(SEARCH(("No"),(P192))))</formula>
    </cfRule>
  </conditionalFormatting>
  <conditionalFormatting sqref="P192:Q214 U204:V204 P217:Q221">
    <cfRule type="containsText" dxfId="9" priority="38200" operator="containsText" text="No">
      <formula>NOT(ISERROR(SEARCH(("No"),(P192))))</formula>
    </cfRule>
  </conditionalFormatting>
  <conditionalFormatting sqref="P192:Q214 U204:V204 P217:Q221">
    <cfRule type="containsText" dxfId="9" priority="38201" operator="containsText" text="No">
      <formula>NOT(ISERROR(SEARCH(("No"),(P192))))</formula>
    </cfRule>
  </conditionalFormatting>
  <conditionalFormatting sqref="P192:Q214 U204:V204 P217:Q221">
    <cfRule type="containsText" dxfId="9" priority="38202" operator="containsText" text="No">
      <formula>NOT(ISERROR(SEARCH(("No"),(P192))))</formula>
    </cfRule>
  </conditionalFormatting>
  <conditionalFormatting sqref="P192:Q214 U204:V204 P217:Q221">
    <cfRule type="containsText" dxfId="9" priority="38203" operator="containsText" text="No">
      <formula>NOT(ISERROR(SEARCH(("No"),(P192))))</formula>
    </cfRule>
  </conditionalFormatting>
  <conditionalFormatting sqref="P192:Q214 U204:V204 P217:Q221">
    <cfRule type="containsText" dxfId="9" priority="38204" operator="containsText" text="No">
      <formula>NOT(ISERROR(SEARCH(("No"),(P192))))</formula>
    </cfRule>
  </conditionalFormatting>
  <conditionalFormatting sqref="P192:Q214 U204:V204 P217:Q221">
    <cfRule type="containsText" dxfId="9" priority="38205" operator="containsText" text="No">
      <formula>NOT(ISERROR(SEARCH(("No"),(P192))))</formula>
    </cfRule>
  </conditionalFormatting>
  <conditionalFormatting sqref="P192:Q214 U204:V204 P217:Q221">
    <cfRule type="containsText" dxfId="9" priority="38206" operator="containsText" text="No">
      <formula>NOT(ISERROR(SEARCH(("No"),(P192))))</formula>
    </cfRule>
  </conditionalFormatting>
  <conditionalFormatting sqref="P192:Q214 U204:V204 P217:Q221">
    <cfRule type="containsText" dxfId="9" priority="38207" operator="containsText" text="No">
      <formula>NOT(ISERROR(SEARCH(("No"),(P192))))</formula>
    </cfRule>
  </conditionalFormatting>
  <conditionalFormatting sqref="P192:Q214 U204:V204 P217:Q221">
    <cfRule type="containsText" dxfId="9" priority="38208" operator="containsText" text="No">
      <formula>NOT(ISERROR(SEARCH(("No"),(P192))))</formula>
    </cfRule>
  </conditionalFormatting>
  <conditionalFormatting sqref="P192:Q214 U204:V204 P217:Q221">
    <cfRule type="containsText" dxfId="9" priority="38209" operator="containsText" text="No">
      <formula>NOT(ISERROR(SEARCH(("No"),(P192))))</formula>
    </cfRule>
  </conditionalFormatting>
  <conditionalFormatting sqref="P192:Q214 U204:V204 P217:Q221">
    <cfRule type="containsText" dxfId="9" priority="38210" operator="containsText" text="No">
      <formula>NOT(ISERROR(SEARCH(("No"),(P192))))</formula>
    </cfRule>
  </conditionalFormatting>
  <conditionalFormatting sqref="P192:Q214 U204:V204 P217:Q221">
    <cfRule type="containsText" dxfId="9" priority="38211" operator="containsText" text="No">
      <formula>NOT(ISERROR(SEARCH(("No"),(P192))))</formula>
    </cfRule>
  </conditionalFormatting>
  <conditionalFormatting sqref="P192:Q214 U204:V204 P217:Q221">
    <cfRule type="containsText" dxfId="9" priority="38212" operator="containsText" text="No">
      <formula>NOT(ISERROR(SEARCH(("No"),(P192))))</formula>
    </cfRule>
  </conditionalFormatting>
  <conditionalFormatting sqref="P192:Q214 U204:V204 P217:Q221">
    <cfRule type="containsText" dxfId="9" priority="38213" operator="containsText" text="No">
      <formula>NOT(ISERROR(SEARCH(("No"),(P192))))</formula>
    </cfRule>
  </conditionalFormatting>
  <conditionalFormatting sqref="P192:Q214 U204:V204 P217:Q221">
    <cfRule type="containsText" dxfId="9" priority="38214" operator="containsText" text="No">
      <formula>NOT(ISERROR(SEARCH(("No"),(P192))))</formula>
    </cfRule>
  </conditionalFormatting>
  <conditionalFormatting sqref="P192:Q214 U204:V204 P217:Q221">
    <cfRule type="containsText" dxfId="9" priority="38215" operator="containsText" text="No">
      <formula>NOT(ISERROR(SEARCH(("No"),(P192))))</formula>
    </cfRule>
  </conditionalFormatting>
  <conditionalFormatting sqref="P192:Q214 U204:V204 P217:Q221">
    <cfRule type="containsText" dxfId="9" priority="38216" operator="containsText" text="No">
      <formula>NOT(ISERROR(SEARCH(("No"),(P192))))</formula>
    </cfRule>
  </conditionalFormatting>
  <conditionalFormatting sqref="P192:Q214 U204:V204 P217:Q221">
    <cfRule type="containsText" dxfId="9" priority="38217" operator="containsText" text="No">
      <formula>NOT(ISERROR(SEARCH(("No"),(P192))))</formula>
    </cfRule>
  </conditionalFormatting>
  <conditionalFormatting sqref="P192:Q214 U204:V204 P217:Q221">
    <cfRule type="containsText" dxfId="9" priority="38218" operator="containsText" text="No">
      <formula>NOT(ISERROR(SEARCH(("No"),(P192))))</formula>
    </cfRule>
  </conditionalFormatting>
  <conditionalFormatting sqref="P192:Q214 U204:V204 P217:Q221">
    <cfRule type="containsText" dxfId="9" priority="38219" operator="containsText" text="No">
      <formula>NOT(ISERROR(SEARCH(("No"),(P192))))</formula>
    </cfRule>
  </conditionalFormatting>
  <conditionalFormatting sqref="P192:Q214 U204:V204 P217:Q221">
    <cfRule type="containsText" dxfId="9" priority="38220" operator="containsText" text="No">
      <formula>NOT(ISERROR(SEARCH(("No"),(P192))))</formula>
    </cfRule>
  </conditionalFormatting>
  <conditionalFormatting sqref="P192:Q214 U204:V204 P217:Q221">
    <cfRule type="containsText" dxfId="9" priority="38221" operator="containsText" text="No">
      <formula>NOT(ISERROR(SEARCH(("No"),(P192))))</formula>
    </cfRule>
  </conditionalFormatting>
  <conditionalFormatting sqref="P192:Q214 U204:V204 P217:Q221">
    <cfRule type="containsText" dxfId="9" priority="38222" operator="containsText" text="No">
      <formula>NOT(ISERROR(SEARCH(("No"),(P192))))</formula>
    </cfRule>
  </conditionalFormatting>
  <conditionalFormatting sqref="P192:Q214 U204:V204 P217:Q221">
    <cfRule type="containsText" dxfId="9" priority="38223" operator="containsText" text="No">
      <formula>NOT(ISERROR(SEARCH(("No"),(P192))))</formula>
    </cfRule>
  </conditionalFormatting>
  <conditionalFormatting sqref="P192:Q214 U204:V204 P217:Q221">
    <cfRule type="containsText" dxfId="9" priority="38224" operator="containsText" text="No">
      <formula>NOT(ISERROR(SEARCH(("No"),(P192))))</formula>
    </cfRule>
  </conditionalFormatting>
  <conditionalFormatting sqref="P192:Q214 U204:V204 P217:Q221">
    <cfRule type="containsText" dxfId="9" priority="38225" operator="containsText" text="No">
      <formula>NOT(ISERROR(SEARCH(("No"),(P192))))</formula>
    </cfRule>
  </conditionalFormatting>
  <conditionalFormatting sqref="P192:Q214 U204:V204 P217:Q221">
    <cfRule type="containsText" dxfId="9" priority="38226" operator="containsText" text="No">
      <formula>NOT(ISERROR(SEARCH(("No"),(P192))))</formula>
    </cfRule>
  </conditionalFormatting>
  <conditionalFormatting sqref="P192:Q214 U204:V204 P217:Q221">
    <cfRule type="containsText" dxfId="9" priority="38227" operator="containsText" text="No">
      <formula>NOT(ISERROR(SEARCH(("No"),(P192))))</formula>
    </cfRule>
  </conditionalFormatting>
  <conditionalFormatting sqref="P192:Q214 U204:V204 P217:Q221">
    <cfRule type="containsText" dxfId="9" priority="38228" operator="containsText" text="No">
      <formula>NOT(ISERROR(SEARCH(("No"),(P192))))</formula>
    </cfRule>
  </conditionalFormatting>
  <conditionalFormatting sqref="P192:Q214 U204:V204 P217:Q221">
    <cfRule type="containsText" dxfId="9" priority="38229" operator="containsText" text="No">
      <formula>NOT(ISERROR(SEARCH(("No"),(P192))))</formula>
    </cfRule>
  </conditionalFormatting>
  <conditionalFormatting sqref="P192:Q214 U204:V204 P217:Q221">
    <cfRule type="containsText" dxfId="9" priority="38230" operator="containsText" text="No">
      <formula>NOT(ISERROR(SEARCH(("No"),(P192))))</formula>
    </cfRule>
  </conditionalFormatting>
  <conditionalFormatting sqref="P192:Q214 U204:V204 P217:Q221">
    <cfRule type="containsText" dxfId="9" priority="38231" operator="containsText" text="No">
      <formula>NOT(ISERROR(SEARCH(("No"),(P192))))</formula>
    </cfRule>
  </conditionalFormatting>
  <conditionalFormatting sqref="P192:Q214 U204:V204 P217:Q221">
    <cfRule type="containsText" dxfId="2" priority="38232" operator="containsText" text="Yes">
      <formula>NOT(ISERROR(SEARCH(("Yes"),(P192))))</formula>
    </cfRule>
  </conditionalFormatting>
  <conditionalFormatting sqref="P192:Q214 U204:V204 P217:Q221">
    <cfRule type="containsText" dxfId="2" priority="38233" operator="containsText" text="Yes">
      <formula>NOT(ISERROR(SEARCH(("Yes"),(P192))))</formula>
    </cfRule>
  </conditionalFormatting>
  <conditionalFormatting sqref="P192:Q214 U204:V204 P217:Q221">
    <cfRule type="containsText" dxfId="2" priority="38234" operator="containsText" text="Yes">
      <formula>NOT(ISERROR(SEARCH(("Yes"),(P192))))</formula>
    </cfRule>
  </conditionalFormatting>
  <conditionalFormatting sqref="P192:Q214 U204:V204 P217:Q221">
    <cfRule type="containsText" dxfId="2" priority="38235" operator="containsText" text="Yes">
      <formula>NOT(ISERROR(SEARCH(("Yes"),(P192))))</formula>
    </cfRule>
  </conditionalFormatting>
  <conditionalFormatting sqref="P192:Q214 U204:V204 P217:Q221">
    <cfRule type="containsText" dxfId="2" priority="38236" operator="containsText" text="Yes">
      <formula>NOT(ISERROR(SEARCH(("Yes"),(P192))))</formula>
    </cfRule>
  </conditionalFormatting>
  <conditionalFormatting sqref="P192:Q214 U204:V204 P217:Q221">
    <cfRule type="containsText" dxfId="2" priority="38237" operator="containsText" text="Yes">
      <formula>NOT(ISERROR(SEARCH(("Yes"),(P192))))</formula>
    </cfRule>
  </conditionalFormatting>
  <conditionalFormatting sqref="P192:Q214 U204:V204 P217:Q221">
    <cfRule type="containsText" dxfId="2" priority="38238" operator="containsText" text="Yes">
      <formula>NOT(ISERROR(SEARCH(("Yes"),(P192))))</formula>
    </cfRule>
  </conditionalFormatting>
  <conditionalFormatting sqref="P192:Q214 U204:V204 P217:Q221">
    <cfRule type="containsText" dxfId="2" priority="38239" operator="containsText" text="Yes">
      <formula>NOT(ISERROR(SEARCH(("Yes"),(P192))))</formula>
    </cfRule>
  </conditionalFormatting>
  <conditionalFormatting sqref="P192:Q214 U204:V204 P217:Q221">
    <cfRule type="containsText" dxfId="2" priority="38240" operator="containsText" text="Yes">
      <formula>NOT(ISERROR(SEARCH(("Yes"),(P192))))</formula>
    </cfRule>
  </conditionalFormatting>
  <conditionalFormatting sqref="P192:Q214 U204:V204 P217:Q221">
    <cfRule type="containsText" dxfId="2" priority="38241" operator="containsText" text="Yes">
      <formula>NOT(ISERROR(SEARCH(("Yes"),(P192))))</formula>
    </cfRule>
  </conditionalFormatting>
  <conditionalFormatting sqref="P192:Q214 U204:V204 P217:Q221">
    <cfRule type="containsText" dxfId="2" priority="38242" operator="containsText" text="Yes">
      <formula>NOT(ISERROR(SEARCH(("Yes"),(P192))))</formula>
    </cfRule>
  </conditionalFormatting>
  <conditionalFormatting sqref="P192:Q214 U204:V204 P217:Q221">
    <cfRule type="containsText" dxfId="2" priority="38243" operator="containsText" text="Yes">
      <formula>NOT(ISERROR(SEARCH(("Yes"),(P192))))</formula>
    </cfRule>
  </conditionalFormatting>
  <conditionalFormatting sqref="P192:Q214 U204:V204 P217:Q221">
    <cfRule type="containsText" dxfId="2" priority="38244" operator="containsText" text="Yes">
      <formula>NOT(ISERROR(SEARCH(("Yes"),(P192))))</formula>
    </cfRule>
  </conditionalFormatting>
  <conditionalFormatting sqref="P192:Q214 U204:V204 P217:Q221">
    <cfRule type="containsText" dxfId="2" priority="38245" operator="containsText" text="Yes">
      <formula>NOT(ISERROR(SEARCH(("Yes"),(P192))))</formula>
    </cfRule>
  </conditionalFormatting>
  <conditionalFormatting sqref="P192:Q214 U204:V204 P217:Q221">
    <cfRule type="containsText" dxfId="2" priority="38246" operator="containsText" text="Yes">
      <formula>NOT(ISERROR(SEARCH(("Yes"),(P192))))</formula>
    </cfRule>
  </conditionalFormatting>
  <conditionalFormatting sqref="P192:Q214 U204:V204 P217:Q221">
    <cfRule type="containsText" dxfId="2" priority="38247" operator="containsText" text="Yes">
      <formula>NOT(ISERROR(SEARCH(("Yes"),(P192))))</formula>
    </cfRule>
  </conditionalFormatting>
  <conditionalFormatting sqref="P192:Q214 U204:V204 P217:Q221">
    <cfRule type="containsText" dxfId="2" priority="38248" operator="containsText" text="Yes">
      <formula>NOT(ISERROR(SEARCH(("Yes"),(P192))))</formula>
    </cfRule>
  </conditionalFormatting>
  <conditionalFormatting sqref="P192:Q214 U204:V204 P217:Q221">
    <cfRule type="containsText" dxfId="2" priority="38249" operator="containsText" text="Yes">
      <formula>NOT(ISERROR(SEARCH(("Yes"),(P192))))</formula>
    </cfRule>
  </conditionalFormatting>
  <conditionalFormatting sqref="P192:Q214 U204:V204 P217:Q221">
    <cfRule type="containsText" dxfId="2" priority="38250" operator="containsText" text="Yes">
      <formula>NOT(ISERROR(SEARCH(("Yes"),(P192))))</formula>
    </cfRule>
  </conditionalFormatting>
  <conditionalFormatting sqref="P192:Q214 U204:V204 P217:Q221">
    <cfRule type="containsText" dxfId="2" priority="38251" operator="containsText" text="Yes">
      <formula>NOT(ISERROR(SEARCH(("Yes"),(P192))))</formula>
    </cfRule>
  </conditionalFormatting>
  <conditionalFormatting sqref="P192:Q214 U204:V204 P217:Q221">
    <cfRule type="containsText" dxfId="2" priority="38252" operator="containsText" text="Yes">
      <formula>NOT(ISERROR(SEARCH(("Yes"),(P192))))</formula>
    </cfRule>
  </conditionalFormatting>
  <conditionalFormatting sqref="P192:Q214 U204:V204 P217:Q221">
    <cfRule type="containsText" dxfId="2" priority="38253" operator="containsText" text="Yes">
      <formula>NOT(ISERROR(SEARCH(("Yes"),(P192))))</formula>
    </cfRule>
  </conditionalFormatting>
  <conditionalFormatting sqref="P192:Q214 U204:V204 P217:Q221">
    <cfRule type="containsText" dxfId="2" priority="38254" operator="containsText" text="Yes">
      <formula>NOT(ISERROR(SEARCH(("Yes"),(P192))))</formula>
    </cfRule>
  </conditionalFormatting>
  <conditionalFormatting sqref="P192:Q214 U204:V204 P217:Q221">
    <cfRule type="containsText" dxfId="2" priority="38255" operator="containsText" text="Yes">
      <formula>NOT(ISERROR(SEARCH(("Yes"),(P192))))</formula>
    </cfRule>
  </conditionalFormatting>
  <conditionalFormatting sqref="P192:Q214 U204:V204 P217:Q221">
    <cfRule type="containsText" dxfId="2" priority="38256" operator="containsText" text="Yes">
      <formula>NOT(ISERROR(SEARCH(("Yes"),(P192))))</formula>
    </cfRule>
  </conditionalFormatting>
  <conditionalFormatting sqref="P192:Q214 U204:V204 P217:Q221">
    <cfRule type="containsText" dxfId="2" priority="38257" operator="containsText" text="Yes">
      <formula>NOT(ISERROR(SEARCH(("Yes"),(P192))))</formula>
    </cfRule>
  </conditionalFormatting>
  <conditionalFormatting sqref="P192:Q214 U204:V204 P217:Q221">
    <cfRule type="containsText" dxfId="2" priority="38258" operator="containsText" text="Yes">
      <formula>NOT(ISERROR(SEARCH(("Yes"),(P192))))</formula>
    </cfRule>
  </conditionalFormatting>
  <conditionalFormatting sqref="P192:Q214 U204:V204 P217:Q221">
    <cfRule type="containsText" dxfId="2" priority="38259" operator="containsText" text="Yes">
      <formula>NOT(ISERROR(SEARCH(("Yes"),(P192))))</formula>
    </cfRule>
  </conditionalFormatting>
  <conditionalFormatting sqref="P192:Q214 U204:V204 P217:Q221">
    <cfRule type="containsText" dxfId="2" priority="38260" operator="containsText" text="Yes">
      <formula>NOT(ISERROR(SEARCH(("Yes"),(P192))))</formula>
    </cfRule>
  </conditionalFormatting>
  <conditionalFormatting sqref="P192:Q214 U204:V204 P217:Q221">
    <cfRule type="containsText" dxfId="2" priority="38261" operator="containsText" text="Yes">
      <formula>NOT(ISERROR(SEARCH(("Yes"),(P192))))</formula>
    </cfRule>
  </conditionalFormatting>
  <conditionalFormatting sqref="P192:Q214 U204:V204 P217:Q221">
    <cfRule type="containsText" dxfId="2" priority="38262" operator="containsText" text="Yes">
      <formula>NOT(ISERROR(SEARCH(("Yes"),(P192))))</formula>
    </cfRule>
  </conditionalFormatting>
  <conditionalFormatting sqref="P192:Q214 U204:V204 P217:Q221">
    <cfRule type="containsText" dxfId="2" priority="38263" operator="containsText" text="Yes">
      <formula>NOT(ISERROR(SEARCH(("Yes"),(P192))))</formula>
    </cfRule>
  </conditionalFormatting>
  <conditionalFormatting sqref="P192:Q214 U204:V204 P217:Q221">
    <cfRule type="containsText" dxfId="2" priority="38264" operator="containsText" text="Yes">
      <formula>NOT(ISERROR(SEARCH(("Yes"),(P192))))</formula>
    </cfRule>
  </conditionalFormatting>
  <conditionalFormatting sqref="P192:Q214 U204:V204 P217:Q221">
    <cfRule type="containsText" dxfId="2" priority="38265" operator="containsText" text="Yes">
      <formula>NOT(ISERROR(SEARCH(("Yes"),(P192))))</formula>
    </cfRule>
  </conditionalFormatting>
  <conditionalFormatting sqref="P192:Q214 U204:V204 P217:Q221">
    <cfRule type="containsText" dxfId="2" priority="38266" operator="containsText" text="Yes">
      <formula>NOT(ISERROR(SEARCH(("Yes"),(P192))))</formula>
    </cfRule>
  </conditionalFormatting>
  <conditionalFormatting sqref="P192:Q214 U204:V204 P217:Q221">
    <cfRule type="containsText" dxfId="2" priority="38267" operator="containsText" text="Yes">
      <formula>NOT(ISERROR(SEARCH(("Yes"),(P192))))</formula>
    </cfRule>
  </conditionalFormatting>
  <conditionalFormatting sqref="P192:Q214 U204:V204 P217:Q221">
    <cfRule type="containsText" dxfId="2" priority="38268" operator="containsText" text="Yes">
      <formula>NOT(ISERROR(SEARCH(("Yes"),(P192))))</formula>
    </cfRule>
  </conditionalFormatting>
  <conditionalFormatting sqref="P192:Q214 U204:V204 P217:Q221">
    <cfRule type="containsText" dxfId="2" priority="38269" operator="containsText" text="Yes">
      <formula>NOT(ISERROR(SEARCH(("Yes"),(P192))))</formula>
    </cfRule>
  </conditionalFormatting>
  <conditionalFormatting sqref="P192:Q214 U204:V204 P217:Q221">
    <cfRule type="containsText" dxfId="2" priority="38270" operator="containsText" text="Yes">
      <formula>NOT(ISERROR(SEARCH(("Yes"),(P192))))</formula>
    </cfRule>
  </conditionalFormatting>
  <conditionalFormatting sqref="P192:Q214 U204:V204 P217:Q221">
    <cfRule type="containsText" dxfId="2" priority="38271" operator="containsText" text="Yes">
      <formula>NOT(ISERROR(SEARCH(("Yes"),(P192))))</formula>
    </cfRule>
  </conditionalFormatting>
  <conditionalFormatting sqref="P192:Q214 U204:V204 P217:Q221">
    <cfRule type="containsText" dxfId="2" priority="38272" operator="containsText" text="Yes">
      <formula>NOT(ISERROR(SEARCH(("Yes"),(P192))))</formula>
    </cfRule>
  </conditionalFormatting>
  <conditionalFormatting sqref="P192:Q214 U204:V204 P217:Q221">
    <cfRule type="containsText" dxfId="2" priority="38273" operator="containsText" text="Yes">
      <formula>NOT(ISERROR(SEARCH(("Yes"),(P192))))</formula>
    </cfRule>
  </conditionalFormatting>
  <conditionalFormatting sqref="P192:Q214 U204:V204 P217:Q221">
    <cfRule type="containsText" dxfId="2" priority="38274" operator="containsText" text="Yes">
      <formula>NOT(ISERROR(SEARCH(("Yes"),(P192))))</formula>
    </cfRule>
  </conditionalFormatting>
  <conditionalFormatting sqref="P192:Q214 U204:V204 P217:Q221">
    <cfRule type="containsText" dxfId="2" priority="38275" operator="containsText" text="Yes">
      <formula>NOT(ISERROR(SEARCH(("Yes"),(P192))))</formula>
    </cfRule>
  </conditionalFormatting>
  <conditionalFormatting sqref="P192:Q214 U204:V204 P217:Q221">
    <cfRule type="containsText" dxfId="2" priority="38276" operator="containsText" text="Yes">
      <formula>NOT(ISERROR(SEARCH(("Yes"),(P192))))</formula>
    </cfRule>
  </conditionalFormatting>
  <conditionalFormatting sqref="P192:Q214 U204:V204 P217:Q221">
    <cfRule type="containsText" dxfId="2" priority="38277" operator="containsText" text="Yes">
      <formula>NOT(ISERROR(SEARCH(("Yes"),(P192))))</formula>
    </cfRule>
  </conditionalFormatting>
  <conditionalFormatting sqref="P192:Q214 U204:V204 P217:Q221">
    <cfRule type="containsText" dxfId="2" priority="38278" operator="containsText" text="Yes">
      <formula>NOT(ISERROR(SEARCH(("Yes"),(P192))))</formula>
    </cfRule>
  </conditionalFormatting>
  <conditionalFormatting sqref="P193:Q195 P197:Q198 P200:Q216 U204:V204 P222:Q226 P228:Q252 P254:Q256 P258:Q264 O261:O264 O267:Q269 P272:Q275 O275">
    <cfRule type="containsText" dxfId="9" priority="38279" operator="containsText" text="No">
      <formula>NOT(ISERROR(SEARCH(("No"),(P193))))</formula>
    </cfRule>
  </conditionalFormatting>
  <conditionalFormatting sqref="P193:Q195 P197:Q198 P200:Q216 U204:V204 P222:Q226 P228:Q252 P254:Q256 P258:Q264 O261:O264 O267:Q269 P272:Q275 O275">
    <cfRule type="containsText" dxfId="9" priority="38280" operator="containsText" text="No">
      <formula>NOT(ISERROR(SEARCH(("No"),(P193))))</formula>
    </cfRule>
  </conditionalFormatting>
  <conditionalFormatting sqref="P193:Q195 P197:Q198 P200:Q216 U204:V204 P222:Q226 P228:Q252 P254:Q256 P258:Q264 O261:O264 O267:Q269 P272:Q275 O275">
    <cfRule type="containsText" dxfId="9" priority="38281" operator="containsText" text="No">
      <formula>NOT(ISERROR(SEARCH(("No"),(P193))))</formula>
    </cfRule>
  </conditionalFormatting>
  <conditionalFormatting sqref="P193:Q195 P197:Q198 P200:Q216 U204:V204 P222:Q226 P228:Q252 P254:Q256 P258:Q264 O261:O264 O267:Q269 P272:Q275 O275">
    <cfRule type="containsText" dxfId="9" priority="38282" operator="containsText" text="No">
      <formula>NOT(ISERROR(SEARCH(("No"),(P193))))</formula>
    </cfRule>
  </conditionalFormatting>
  <conditionalFormatting sqref="P193:Q195 P197:Q198 P200:Q216 U204:V204 P222:Q226 P228:Q252 P254:Q256 P258:Q264 O261:O264 O267:Q269 P272:Q275 O275">
    <cfRule type="containsText" dxfId="9" priority="38283" operator="containsText" text="No">
      <formula>NOT(ISERROR(SEARCH(("No"),(P193))))</formula>
    </cfRule>
  </conditionalFormatting>
  <conditionalFormatting sqref="P193:Q195 P197:Q198 P200:Q216 U204:V204 P222:Q226 P228:Q252 P254:Q256 P258:Q264 O261:O264 O267:Q269 P272:Q275 O275">
    <cfRule type="containsText" dxfId="9" priority="38284" operator="containsText" text="No">
      <formula>NOT(ISERROR(SEARCH(("No"),(P193))))</formula>
    </cfRule>
  </conditionalFormatting>
  <conditionalFormatting sqref="P193:Q195 P197:Q198 P200:Q216 U204:V204 P222:Q226 P228:Q252 P254:Q256 P258:Q264 O261:O264 O267:Q269 P272:Q275 O275">
    <cfRule type="containsText" dxfId="9" priority="38285" operator="containsText" text="No">
      <formula>NOT(ISERROR(SEARCH(("No"),(P193))))</formula>
    </cfRule>
  </conditionalFormatting>
  <conditionalFormatting sqref="P193:Q195 P197:Q198 P200:Q216 U204:V204 P222:Q226 P228:Q252 P254:Q256 P258:Q264 O261:O264 O267:Q269 P272:Q275 O275">
    <cfRule type="containsText" dxfId="9" priority="38286" operator="containsText" text="No">
      <formula>NOT(ISERROR(SEARCH(("No"),(P193))))</formula>
    </cfRule>
  </conditionalFormatting>
  <conditionalFormatting sqref="P193:Q195 P197:Q198 P200:Q216 U204:V204 P222:Q226 P228:Q252 P254:Q256 P258:Q264 O261:O264 O267:Q269 P272:Q275 O275">
    <cfRule type="containsText" dxfId="9" priority="38287" operator="containsText" text="No">
      <formula>NOT(ISERROR(SEARCH(("No"),(P193))))</formula>
    </cfRule>
  </conditionalFormatting>
  <conditionalFormatting sqref="P193:Q195 P197:Q198 P200:Q216 U204:V204 P222:Q226 P228:Q252 P254:Q256 P258:Q264 O261:O264 O267:Q269 P272:Q275 O275">
    <cfRule type="containsText" dxfId="9" priority="38288" operator="containsText" text="No">
      <formula>NOT(ISERROR(SEARCH(("No"),(P193))))</formula>
    </cfRule>
  </conditionalFormatting>
  <conditionalFormatting sqref="P193:Q195 P197:Q198 P200:Q216 U204:V204 P222:Q226 P228:Q252 P254:Q256 P258:Q264 O261:O264 O267:Q269 P272:Q275 O275">
    <cfRule type="containsText" dxfId="9" priority="38289" operator="containsText" text="No">
      <formula>NOT(ISERROR(SEARCH(("No"),(P193))))</formula>
    </cfRule>
  </conditionalFormatting>
  <conditionalFormatting sqref="P193:Q195 P197:Q198 P200:Q216 U204:V204 P222:Q226 P228:Q252 P254:Q256 P258:Q264 O261:O264 O267:Q269 P272:Q275 O275">
    <cfRule type="containsText" dxfId="9" priority="38290" operator="containsText" text="No">
      <formula>NOT(ISERROR(SEARCH(("No"),(P193))))</formula>
    </cfRule>
  </conditionalFormatting>
  <conditionalFormatting sqref="P193:Q195 P197:Q198 P200:Q216 U204:V204 P222:Q226 P228:Q252 P254:Q256 P258:Q264 O261:O264 O267:Q269 P272:Q275 O275">
    <cfRule type="containsText" dxfId="9" priority="38291" operator="containsText" text="No">
      <formula>NOT(ISERROR(SEARCH(("No"),(P193))))</formula>
    </cfRule>
  </conditionalFormatting>
  <conditionalFormatting sqref="P193:Q195 P197:Q198 P200:Q216 U204:V204 P222:Q226 P228:Q252 P254:Q256 P258:Q264 O261:O264 O267:Q269 P272:Q275 O275">
    <cfRule type="containsText" dxfId="9" priority="38292" operator="containsText" text="No">
      <formula>NOT(ISERROR(SEARCH(("No"),(P193))))</formula>
    </cfRule>
  </conditionalFormatting>
  <conditionalFormatting sqref="P193:Q195 P197:Q198 P200:Q216 U204:V204 P222:Q226 P228:Q252 P254:Q256 P258:Q264 O261:O264 O267:Q269 P272:Q275 O275">
    <cfRule type="containsText" dxfId="9" priority="38293" operator="containsText" text="No">
      <formula>NOT(ISERROR(SEARCH(("No"),(P193))))</formula>
    </cfRule>
  </conditionalFormatting>
  <conditionalFormatting sqref="P193:Q195 P197:Q198 P200:Q216 U204:V204 P222:Q226 P228:Q252 P254:Q256 P258:Q264 O261:O264 O267:Q269 P272:Q275 O275">
    <cfRule type="containsText" dxfId="9" priority="38294" operator="containsText" text="No">
      <formula>NOT(ISERROR(SEARCH(("No"),(P193))))</formula>
    </cfRule>
  </conditionalFormatting>
  <conditionalFormatting sqref="P193:Q195 P197:Q198 P200:Q216 U204:V204 P222:Q226 P228:Q252 P254:Q256 P258:Q264 O261:O264 O267:Q269 P272:Q275 O275">
    <cfRule type="containsText" dxfId="9" priority="38295" operator="containsText" text="No">
      <formula>NOT(ISERROR(SEARCH(("No"),(P193))))</formula>
    </cfRule>
  </conditionalFormatting>
  <conditionalFormatting sqref="P193:Q195 P197:Q198 P200:Q216 U204:V204 P222:Q226 P228:Q252 P254:Q256 P258:Q264 O261:O264 O267:Q269 P272:Q275 O275">
    <cfRule type="containsText" dxfId="9" priority="38296" operator="containsText" text="No">
      <formula>NOT(ISERROR(SEARCH(("No"),(P193))))</formula>
    </cfRule>
  </conditionalFormatting>
  <conditionalFormatting sqref="P193:Q195 P197:Q198 P200:Q216 U204:V204 P222:Q226 P228:Q252 P254:Q256 P258:Q264 O261:O264 O267:Q269 P272:Q275 O275">
    <cfRule type="containsText" dxfId="9" priority="38297" operator="containsText" text="No">
      <formula>NOT(ISERROR(SEARCH(("No"),(P193))))</formula>
    </cfRule>
  </conditionalFormatting>
  <conditionalFormatting sqref="P193:Q195 P197:Q198 P200:Q216 U204:V204 P222:Q226 P228:Q252 P254:Q256 P258:Q264 O261:O264 O267:Q269 P272:Q275 O275">
    <cfRule type="containsText" dxfId="9" priority="38298" operator="containsText" text="No">
      <formula>NOT(ISERROR(SEARCH(("No"),(P193))))</formula>
    </cfRule>
  </conditionalFormatting>
  <conditionalFormatting sqref="P193:Q195 P197:Q198 P200:Q216 U204:V204 P222:Q226 P228:Q252 P254:Q256 P258:Q264 O261:O264 O267:Q269 P272:Q275 O275">
    <cfRule type="containsText" dxfId="9" priority="38299" operator="containsText" text="No">
      <formula>NOT(ISERROR(SEARCH(("No"),(P193))))</formula>
    </cfRule>
  </conditionalFormatting>
  <conditionalFormatting sqref="P193:Q195 P197:Q198 P200:Q216 U204:V204 P222:Q226 P228:Q252 P254:Q256 P258:Q264 O261:O264 O267:Q269 P272:Q275 O275">
    <cfRule type="containsText" dxfId="9" priority="38300" operator="containsText" text="No">
      <formula>NOT(ISERROR(SEARCH(("No"),(P193))))</formula>
    </cfRule>
  </conditionalFormatting>
  <conditionalFormatting sqref="P193:Q195 P197:Q198 P200:Q216 U204:V204 P222:Q226 P228:Q252 P254:Q256 P258:Q264 O261:O264 O267:Q269 P272:Q275 O275">
    <cfRule type="containsText" dxfId="9" priority="38301" operator="containsText" text="No">
      <formula>NOT(ISERROR(SEARCH(("No"),(P193))))</formula>
    </cfRule>
  </conditionalFormatting>
  <conditionalFormatting sqref="P193:Q195 P197:Q198 P200:Q216 U204:V204 P222:Q226 P228:Q252 P254:Q256 P258:Q264 O261:O264 O267:Q269 P272:Q275 O275">
    <cfRule type="containsText" dxfId="9" priority="38302" operator="containsText" text="No">
      <formula>NOT(ISERROR(SEARCH(("No"),(P193))))</formula>
    </cfRule>
  </conditionalFormatting>
  <conditionalFormatting sqref="P193:Q195 P197:Q198 P200:Q216 U204:V204 P222:Q226 P228:Q252 P254:Q256 P258:Q264 O261:O264 O267:Q269 P272:Q275 O275">
    <cfRule type="containsText" dxfId="9" priority="38303" operator="containsText" text="No">
      <formula>NOT(ISERROR(SEARCH(("No"),(P193))))</formula>
    </cfRule>
  </conditionalFormatting>
  <conditionalFormatting sqref="P193:Q195 P197:Q198 P200:Q216 U204:V204 P222:Q226 P228:Q252 P254:Q256 P258:Q264 O261:O264 O267:Q269 P272:Q275 O275">
    <cfRule type="containsText" dxfId="9" priority="38304" operator="containsText" text="No">
      <formula>NOT(ISERROR(SEARCH(("No"),(P193))))</formula>
    </cfRule>
  </conditionalFormatting>
  <conditionalFormatting sqref="P193:Q195 P197:Q198 P200:Q216 U204:V204 P222:Q226 P228:Q252 P254:Q256 P258:Q264 O261:O264 O267:Q269 P272:Q275 O275">
    <cfRule type="containsText" dxfId="9" priority="38305" operator="containsText" text="No">
      <formula>NOT(ISERROR(SEARCH(("No"),(P193))))</formula>
    </cfRule>
  </conditionalFormatting>
  <conditionalFormatting sqref="P193:Q195 P197:Q198 P200:Q216 U204:V204 P222:Q226 P228:Q252 P254:Q256 P258:Q264 O261:O264 O267:Q269 P272:Q275 O275">
    <cfRule type="containsText" dxfId="9" priority="38306" operator="containsText" text="No">
      <formula>NOT(ISERROR(SEARCH(("No"),(P193))))</formula>
    </cfRule>
  </conditionalFormatting>
  <conditionalFormatting sqref="P193:Q195 P197:Q198 P200:Q216 U204:V204 P222:Q226 P228:Q252 P254:Q256 P258:Q264 O261:O264 O267:Q269 P272:Q275 O275">
    <cfRule type="containsText" dxfId="9" priority="38307" operator="containsText" text="No">
      <formula>NOT(ISERROR(SEARCH(("No"),(P193))))</formula>
    </cfRule>
  </conditionalFormatting>
  <conditionalFormatting sqref="P193:Q195 P197:Q198 P200:Q216 U204:V204 P222:Q226 P228:Q252 P254:Q256 P258:Q264 O261:O264 O267:Q269 P272:Q275 O275">
    <cfRule type="containsText" dxfId="9" priority="38308" operator="containsText" text="No">
      <formula>NOT(ISERROR(SEARCH(("No"),(P193))))</formula>
    </cfRule>
  </conditionalFormatting>
  <conditionalFormatting sqref="P193:Q195 P197:Q198 P200:Q216 U204:V204 P222:Q226 P228:Q252 P254:Q256 P258:Q264 O261:O264 O267:Q269 P272:Q275 O275">
    <cfRule type="containsText" dxfId="9" priority="38309" operator="containsText" text="No">
      <formula>NOT(ISERROR(SEARCH(("No"),(P193))))</formula>
    </cfRule>
  </conditionalFormatting>
  <conditionalFormatting sqref="P193:Q195 P197:Q198 P200:Q216 U204:V204 P222:Q226 P228:Q252 P254:Q256 P258:Q264 O261:O264 O267:Q269 P272:Q275 O275">
    <cfRule type="containsText" dxfId="9" priority="38310" operator="containsText" text="No">
      <formula>NOT(ISERROR(SEARCH(("No"),(P193))))</formula>
    </cfRule>
  </conditionalFormatting>
  <conditionalFormatting sqref="P193:Q195 P197:Q198 P200:Q216 U204:V204 P222:Q226 P228:Q252 P254:Q256 P258:Q264 O261:O264 O267:Q269 P272:Q275 O275">
    <cfRule type="containsText" dxfId="9" priority="38311" operator="containsText" text="No">
      <formula>NOT(ISERROR(SEARCH(("No"),(P193))))</formula>
    </cfRule>
  </conditionalFormatting>
  <conditionalFormatting sqref="P193:Q195 P197:Q198 P200:Q216 U204:V204 P222:Q226 P228:Q252 P254:Q256 P258:Q264 O261:O264 O267:Q269 P272:Q275 O275">
    <cfRule type="containsText" dxfId="9" priority="38312" operator="containsText" text="No">
      <formula>NOT(ISERROR(SEARCH(("No"),(P193))))</formula>
    </cfRule>
  </conditionalFormatting>
  <conditionalFormatting sqref="P193:Q195 P197:Q198 P200:Q216 U204:V204 P222:Q226 P228:Q252 P254:Q256 P258:Q264 O261:O264 O267:Q269 P272:Q275 O275">
    <cfRule type="containsText" dxfId="9" priority="38313" operator="containsText" text="No">
      <formula>NOT(ISERROR(SEARCH(("No"),(P193))))</formula>
    </cfRule>
  </conditionalFormatting>
  <conditionalFormatting sqref="P193:Q195 P197:Q198 P200:Q216 U204:V204 P222:Q226 P228:Q252 P254:Q256 P258:Q264 O261:O264 O267:Q269 P272:Q275 O275">
    <cfRule type="containsText" dxfId="9" priority="38314" operator="containsText" text="No">
      <formula>NOT(ISERROR(SEARCH(("No"),(P193))))</formula>
    </cfRule>
  </conditionalFormatting>
  <conditionalFormatting sqref="P193:Q195 P197:Q198 P200:Q216 U204:V204 P222:Q226 P228:Q252 P254:Q256 P258:Q264 O261:O264 O267:Q269 P272:Q275 O275">
    <cfRule type="containsText" dxfId="9" priority="38315" operator="containsText" text="No">
      <formula>NOT(ISERROR(SEARCH(("No"),(P193))))</formula>
    </cfRule>
  </conditionalFormatting>
  <conditionalFormatting sqref="P193:Q195 P197:Q198 P200:Q216 U204:V204 P222:Q226 P228:Q252 P254:Q256 P258:Q264 O261:O264 O267:Q269 P272:Q275 O275">
    <cfRule type="containsText" dxfId="9" priority="38316" operator="containsText" text="No">
      <formula>NOT(ISERROR(SEARCH(("No"),(P193))))</formula>
    </cfRule>
  </conditionalFormatting>
  <conditionalFormatting sqref="P193:Q195 P197:Q198 P200:Q216 U204:V204 P222:Q226 P228:Q252 P254:Q256 P258:Q264 O261:O264 O267:Q269 P272:Q275 O275">
    <cfRule type="containsText" dxfId="9" priority="38317" operator="containsText" text="No">
      <formula>NOT(ISERROR(SEARCH(("No"),(P193))))</formula>
    </cfRule>
  </conditionalFormatting>
  <conditionalFormatting sqref="P193:Q195 P197:Q198 P200:Q216 U204:V204 P222:Q226 P228:Q252 P254:Q256 P258:Q264 O261:O264 O267:Q269 P272:Q275 O275">
    <cfRule type="containsText" dxfId="9" priority="38318" operator="containsText" text="No">
      <formula>NOT(ISERROR(SEARCH(("No"),(P193))))</formula>
    </cfRule>
  </conditionalFormatting>
  <conditionalFormatting sqref="P193:Q195 P197:Q198 P200:Q216 U204:V204 P222:Q226 P228:Q252 P254:Q256 P258:Q264 O261:O264 O267:Q269 P272:Q275 O275">
    <cfRule type="containsText" dxfId="9" priority="38319" operator="containsText" text="No">
      <formula>NOT(ISERROR(SEARCH(("No"),(P193))))</formula>
    </cfRule>
  </conditionalFormatting>
  <conditionalFormatting sqref="P193:Q195 P197:Q198 P200:Q216 U204:V204 P222:Q226 P228:Q252 P254:Q256 P258:Q264 O261:O264 O267:Q269 P272:Q275 O275">
    <cfRule type="containsText" dxfId="9" priority="38320" operator="containsText" text="No">
      <formula>NOT(ISERROR(SEARCH(("No"),(P193))))</formula>
    </cfRule>
  </conditionalFormatting>
  <conditionalFormatting sqref="P193:Q195 P197:Q198 P200:Q216 U204:V204 P222:Q226 P228:Q252 P254:Q256 P258:Q264 O261:O264 O267:Q269 P272:Q275 O275">
    <cfRule type="containsText" dxfId="9" priority="38321" operator="containsText" text="No">
      <formula>NOT(ISERROR(SEARCH(("No"),(P193))))</formula>
    </cfRule>
  </conditionalFormatting>
  <conditionalFormatting sqref="P193:Q195 P197:Q198 P200:Q216 U204:V204 P222:Q226 P228:Q252 P254:Q256 P258:Q264 O261:O264 O267:Q269 P272:Q275 O275">
    <cfRule type="containsText" dxfId="9" priority="38322" operator="containsText" text="No">
      <formula>NOT(ISERROR(SEARCH(("No"),(P193))))</formula>
    </cfRule>
  </conditionalFormatting>
  <conditionalFormatting sqref="P193:Q195 P197:Q198 P200:Q216 U204:V204 P222:Q226 P228:Q252 P254:Q256 P258:Q264 O261:O264 O267:Q269 P272:Q275 O275">
    <cfRule type="containsText" dxfId="9" priority="38323" operator="containsText" text="No">
      <formula>NOT(ISERROR(SEARCH(("No"),(P193))))</formula>
    </cfRule>
  </conditionalFormatting>
  <conditionalFormatting sqref="P193:Q195 P197:Q198 P200:Q216 U204:V204 P222:Q226 P228:Q252 P254:Q256 P258:Q264 O261:O264 O267:Q269 P272:Q275 O275">
    <cfRule type="containsText" dxfId="2" priority="38324" operator="containsText" text="Yes">
      <formula>NOT(ISERROR(SEARCH(("Yes"),(P193))))</formula>
    </cfRule>
  </conditionalFormatting>
  <conditionalFormatting sqref="P193:Q195 P197:Q198 P200:Q216 U204:V204 P222:Q226 P228:Q252 P254:Q256 P258:Q264 O261:O264 O267:Q269 P272:Q275 O275">
    <cfRule type="containsText" dxfId="2" priority="38325" operator="containsText" text="Yes">
      <formula>NOT(ISERROR(SEARCH(("Yes"),(P193))))</formula>
    </cfRule>
  </conditionalFormatting>
  <conditionalFormatting sqref="P193:Q195 P197:Q198 P200:Q216 U204:V204 P222:Q226 P228:Q252 P254:Q256 P258:Q264 O261:O264 O267:Q269 P272:Q275 O275">
    <cfRule type="containsText" dxfId="2" priority="38326" operator="containsText" text="Yes">
      <formula>NOT(ISERROR(SEARCH(("Yes"),(P193))))</formula>
    </cfRule>
  </conditionalFormatting>
  <conditionalFormatting sqref="P193:Q195 P197:Q198 P200:Q216 U204:V204 P222:Q226 P228:Q252 P254:Q256 P258:Q264 O261:O264 O267:Q269 P272:Q275 O275">
    <cfRule type="containsText" dxfId="2" priority="38327" operator="containsText" text="Yes">
      <formula>NOT(ISERROR(SEARCH(("Yes"),(P193))))</formula>
    </cfRule>
  </conditionalFormatting>
  <conditionalFormatting sqref="P193:Q195 P197:Q198 P200:Q216 U204:V204 P222:Q226 P228:Q252 P254:Q256 P258:Q264 O261:O264 O267:Q269 P272:Q275 O275">
    <cfRule type="containsText" dxfId="2" priority="38328" operator="containsText" text="Yes">
      <formula>NOT(ISERROR(SEARCH(("Yes"),(P193))))</formula>
    </cfRule>
  </conditionalFormatting>
  <conditionalFormatting sqref="P193:Q195 P197:Q198 P200:Q216 U204:V204 P222:Q226 P228:Q252 P254:Q256 P258:Q264 O261:O264 O267:Q269 P272:Q275 O275">
    <cfRule type="containsText" dxfId="2" priority="38329" operator="containsText" text="Yes">
      <formula>NOT(ISERROR(SEARCH(("Yes"),(P193))))</formula>
    </cfRule>
  </conditionalFormatting>
  <conditionalFormatting sqref="P193:Q195 P197:Q198 P200:Q216 U204:V204 P222:Q226 P228:Q252 P254:Q256 P258:Q264 O261:O264 O267:Q269 P272:Q275 O275">
    <cfRule type="containsText" dxfId="2" priority="38330" operator="containsText" text="Yes">
      <formula>NOT(ISERROR(SEARCH(("Yes"),(P193))))</formula>
    </cfRule>
  </conditionalFormatting>
  <conditionalFormatting sqref="P193:Q195 P197:Q198 P200:Q216 U204:V204 P222:Q226 P228:Q252 P254:Q256 P258:Q264 O261:O264 O267:Q269 P272:Q275 O275">
    <cfRule type="containsText" dxfId="2" priority="38331" operator="containsText" text="Yes">
      <formula>NOT(ISERROR(SEARCH(("Yes"),(P193))))</formula>
    </cfRule>
  </conditionalFormatting>
  <conditionalFormatting sqref="P193:Q195 P197:Q198 P200:Q216 U204:V204 P222:Q226 P228:Q252 P254:Q256 P258:Q264 O261:O264 O267:Q269 P272:Q275 O275">
    <cfRule type="containsText" dxfId="2" priority="38332" operator="containsText" text="Yes">
      <formula>NOT(ISERROR(SEARCH(("Yes"),(P193))))</formula>
    </cfRule>
  </conditionalFormatting>
  <conditionalFormatting sqref="P193:Q195 P197:Q198 P200:Q216 U204:V204 P222:Q226 P228:Q252 P254:Q256 P258:Q264 O261:O264 O267:Q269 P272:Q275 O275">
    <cfRule type="containsText" dxfId="2" priority="38333" operator="containsText" text="Yes">
      <formula>NOT(ISERROR(SEARCH(("Yes"),(P193))))</formula>
    </cfRule>
  </conditionalFormatting>
  <conditionalFormatting sqref="P193:Q195 P197:Q198 P200:Q216 U204:V204 P222:Q226 P228:Q252 P254:Q256 P258:Q264 O261:O264 O267:Q269 P272:Q275 O275">
    <cfRule type="containsText" dxfId="2" priority="38334" operator="containsText" text="Yes">
      <formula>NOT(ISERROR(SEARCH(("Yes"),(P193))))</formula>
    </cfRule>
  </conditionalFormatting>
  <conditionalFormatting sqref="P193:Q195 P197:Q198 P200:Q216 U204:V204 P222:Q226 P228:Q252 P254:Q256 P258:Q264 O261:O264 O267:Q269 P272:Q275 O275">
    <cfRule type="containsText" dxfId="2" priority="38335" operator="containsText" text="Yes">
      <formula>NOT(ISERROR(SEARCH(("Yes"),(P193))))</formula>
    </cfRule>
  </conditionalFormatting>
  <conditionalFormatting sqref="P193:Q195 P197:Q198 P200:Q216 U204:V204 P222:Q226 P228:Q252 P254:Q256 P258:Q264 O261:O264 O267:Q269 P272:Q275 O275">
    <cfRule type="containsText" dxfId="2" priority="38336" operator="containsText" text="Yes">
      <formula>NOT(ISERROR(SEARCH(("Yes"),(P193))))</formula>
    </cfRule>
  </conditionalFormatting>
  <conditionalFormatting sqref="P193:Q195 P197:Q198 P200:Q216 U204:V204 P222:Q226 P228:Q252 P254:Q256 P258:Q264 O261:O264 O267:Q269 P272:Q275 O275">
    <cfRule type="containsText" dxfId="2" priority="38337" operator="containsText" text="Yes">
      <formula>NOT(ISERROR(SEARCH(("Yes"),(P193))))</formula>
    </cfRule>
  </conditionalFormatting>
  <conditionalFormatting sqref="P193:Q195 P197:Q198 P200:Q216 U204:V204 P222:Q226 P228:Q252 P254:Q256 P258:Q264 O261:O264 O267:Q269 P272:Q275 O275">
    <cfRule type="containsText" dxfId="2" priority="38338" operator="containsText" text="Yes">
      <formula>NOT(ISERROR(SEARCH(("Yes"),(P193))))</formula>
    </cfRule>
  </conditionalFormatting>
  <conditionalFormatting sqref="P193:Q195 P197:Q198 P200:Q216 U204:V204 P222:Q226 P228:Q252 P254:Q256 P258:Q264 O261:O264 O267:Q269 P272:Q275 O275">
    <cfRule type="containsText" dxfId="2" priority="38339" operator="containsText" text="Yes">
      <formula>NOT(ISERROR(SEARCH(("Yes"),(P193))))</formula>
    </cfRule>
  </conditionalFormatting>
  <conditionalFormatting sqref="P193:Q195 P197:Q198 P200:Q216 U204:V204 P222:Q226 P228:Q252 P254:Q256 P258:Q264 O261:O264 O267:Q269 P272:Q275 O275">
    <cfRule type="containsText" dxfId="2" priority="38340" operator="containsText" text="Yes">
      <formula>NOT(ISERROR(SEARCH(("Yes"),(P193))))</formula>
    </cfRule>
  </conditionalFormatting>
  <conditionalFormatting sqref="P193:Q195 P197:Q198 P200:Q216 U204:V204 P222:Q226 P228:Q252 P254:Q256 P258:Q264 O261:O264 O267:Q269 P272:Q275 O275">
    <cfRule type="containsText" dxfId="2" priority="38341" operator="containsText" text="Yes">
      <formula>NOT(ISERROR(SEARCH(("Yes"),(P193))))</formula>
    </cfRule>
  </conditionalFormatting>
  <conditionalFormatting sqref="P193:Q195 P197:Q198 P200:Q216 U204:V204 P222:Q226 P228:Q252 P254:Q256 P258:Q264 O261:O264 O267:Q269 P272:Q275 O275">
    <cfRule type="containsText" dxfId="2" priority="38342" operator="containsText" text="Yes">
      <formula>NOT(ISERROR(SEARCH(("Yes"),(P193))))</formula>
    </cfRule>
  </conditionalFormatting>
  <conditionalFormatting sqref="P193:Q195 P197:Q198 P200:Q216 U204:V204 P222:Q226 P228:Q252 P254:Q256 P258:Q264 O261:O264 O267:Q269 P272:Q275 O275">
    <cfRule type="containsText" dxfId="2" priority="38343" operator="containsText" text="Yes">
      <formula>NOT(ISERROR(SEARCH(("Yes"),(P193))))</formula>
    </cfRule>
  </conditionalFormatting>
  <conditionalFormatting sqref="P193:Q195 P197:Q198 P200:Q216 U204:V204 P222:Q226 P228:Q252 P254:Q256 P258:Q264 O261:O264 O267:Q269 P272:Q275 O275">
    <cfRule type="containsText" dxfId="2" priority="38344" operator="containsText" text="Yes">
      <formula>NOT(ISERROR(SEARCH(("Yes"),(P193))))</formula>
    </cfRule>
  </conditionalFormatting>
  <conditionalFormatting sqref="P193:Q195 P197:Q198 P200:Q216 U204:V204 P222:Q226 P228:Q252 P254:Q256 P258:Q264 O261:O264 O267:Q269 P272:Q275 O275">
    <cfRule type="containsText" dxfId="2" priority="38345" operator="containsText" text="Yes">
      <formula>NOT(ISERROR(SEARCH(("Yes"),(P193))))</formula>
    </cfRule>
  </conditionalFormatting>
  <conditionalFormatting sqref="P193:Q195 P197:Q198 P200:Q216 U204:V204 P222:Q226 P228:Q252 P254:Q256 P258:Q264 O261:O264 O267:Q269 P272:Q275 O275">
    <cfRule type="containsText" dxfId="2" priority="38346" operator="containsText" text="Yes">
      <formula>NOT(ISERROR(SEARCH(("Yes"),(P193))))</formula>
    </cfRule>
  </conditionalFormatting>
  <conditionalFormatting sqref="P193:Q195 P197:Q198 P200:Q216 U204:V204 P222:Q226 P228:Q252 P254:Q256 P258:Q264 O261:O264 O267:Q269 P272:Q275 O275">
    <cfRule type="containsText" dxfId="2" priority="38347" operator="containsText" text="Yes">
      <formula>NOT(ISERROR(SEARCH(("Yes"),(P193))))</formula>
    </cfRule>
  </conditionalFormatting>
  <conditionalFormatting sqref="P193:Q195 P197:Q198 P200:Q216 U204:V204 P222:Q226 P228:Q252 P254:Q256 P258:Q264 O261:O264 O267:Q269 P272:Q275 O275">
    <cfRule type="containsText" dxfId="2" priority="38348" operator="containsText" text="Yes">
      <formula>NOT(ISERROR(SEARCH(("Yes"),(P193))))</formula>
    </cfRule>
  </conditionalFormatting>
  <conditionalFormatting sqref="P193:Q195 P197:Q198 P200:Q216 U204:V204 P222:Q226 P228:Q252 P254:Q256 P258:Q264 O261:O264 O267:Q269 P272:Q275 O275">
    <cfRule type="containsText" dxfId="2" priority="38349" operator="containsText" text="Yes">
      <formula>NOT(ISERROR(SEARCH(("Yes"),(P193))))</formula>
    </cfRule>
  </conditionalFormatting>
  <conditionalFormatting sqref="P193:Q195 P197:Q198 P200:Q216 U204:V204 P222:Q226 P228:Q252 P254:Q256 P258:Q264 O261:O264 O267:Q269 P272:Q275 O275">
    <cfRule type="containsText" dxfId="2" priority="38350" operator="containsText" text="Yes">
      <formula>NOT(ISERROR(SEARCH(("Yes"),(P193))))</formula>
    </cfRule>
  </conditionalFormatting>
  <conditionalFormatting sqref="P193:Q195 P197:Q198 P200:Q216 U204:V204 P222:Q226 P228:Q252 P254:Q256 P258:Q264 O261:O264 O267:Q269 P272:Q275 O275">
    <cfRule type="containsText" dxfId="2" priority="38351" operator="containsText" text="Yes">
      <formula>NOT(ISERROR(SEARCH(("Yes"),(P193))))</formula>
    </cfRule>
  </conditionalFormatting>
  <conditionalFormatting sqref="P193:Q195 P197:Q198 P200:Q216 U204:V204 P222:Q226 P228:Q252 P254:Q256 P258:Q264 O261:O264 O267:Q269 P272:Q275 O275">
    <cfRule type="containsText" dxfId="2" priority="38352" operator="containsText" text="Yes">
      <formula>NOT(ISERROR(SEARCH(("Yes"),(P193))))</formula>
    </cfRule>
  </conditionalFormatting>
  <conditionalFormatting sqref="P193:Q195 P197:Q198 P200:Q216 U204:V204 P222:Q226 P228:Q252 P254:Q256 P258:Q264 O261:O264 O267:Q269 P272:Q275 O275">
    <cfRule type="containsText" dxfId="2" priority="38353" operator="containsText" text="Yes">
      <formula>NOT(ISERROR(SEARCH(("Yes"),(P193))))</formula>
    </cfRule>
  </conditionalFormatting>
  <conditionalFormatting sqref="P193:Q195 P197:Q198 P200:Q216 U204:V204 P222:Q226 P228:Q252 P254:Q256 P258:Q264 O261:O264 O267:Q269 P272:Q275 O275">
    <cfRule type="containsText" dxfId="2" priority="38354" operator="containsText" text="Yes">
      <formula>NOT(ISERROR(SEARCH(("Yes"),(P193))))</formula>
    </cfRule>
  </conditionalFormatting>
  <conditionalFormatting sqref="P193:Q195 P197:Q198 P200:Q216 U204:V204 P222:Q226 P228:Q252 P254:Q256 P258:Q264 O261:O264 O267:Q269 P272:Q275 O275">
    <cfRule type="containsText" dxfId="2" priority="38355" operator="containsText" text="Yes">
      <formula>NOT(ISERROR(SEARCH(("Yes"),(P193))))</formula>
    </cfRule>
  </conditionalFormatting>
  <conditionalFormatting sqref="P193:Q195 P197:Q198 P200:Q216 U204:V204 P222:Q226 P228:Q252 P254:Q256 P258:Q264 O261:O264 O267:Q269 P272:Q275 O275">
    <cfRule type="containsText" dxfId="2" priority="38356" operator="containsText" text="Yes">
      <formula>NOT(ISERROR(SEARCH(("Yes"),(P193))))</formula>
    </cfRule>
  </conditionalFormatting>
  <conditionalFormatting sqref="P193:Q195 P197:Q198 P200:Q216 U204:V204 P222:Q226 P228:Q252 P254:Q256 P258:Q264 O261:O264 O267:Q269 P272:Q275 O275">
    <cfRule type="containsText" dxfId="2" priority="38357" operator="containsText" text="Yes">
      <formula>NOT(ISERROR(SEARCH(("Yes"),(P193))))</formula>
    </cfRule>
  </conditionalFormatting>
  <conditionalFormatting sqref="P193:Q195 P197:Q198 P200:Q216 U204:V204 P222:Q226 P228:Q252 P254:Q256 P258:Q264 O261:O264 O267:Q269 P272:Q275 O275">
    <cfRule type="containsText" dxfId="2" priority="38358" operator="containsText" text="Yes">
      <formula>NOT(ISERROR(SEARCH(("Yes"),(P193))))</formula>
    </cfRule>
  </conditionalFormatting>
  <conditionalFormatting sqref="P193:Q195 P197:Q198 P200:Q216 U204:V204 P222:Q226 P228:Q252 P254:Q256 P258:Q264 O261:O264 O267:Q269 P272:Q275 O275">
    <cfRule type="containsText" dxfId="2" priority="38359" operator="containsText" text="Yes">
      <formula>NOT(ISERROR(SEARCH(("Yes"),(P193))))</formula>
    </cfRule>
  </conditionalFormatting>
  <conditionalFormatting sqref="P193:Q195 P197:Q198 P200:Q216 U204:V204 P222:Q226 P228:Q252 P254:Q256 P258:Q264 O261:O264 O267:Q269 P272:Q275 O275">
    <cfRule type="containsText" dxfId="2" priority="38360" operator="containsText" text="Yes">
      <formula>NOT(ISERROR(SEARCH(("Yes"),(P193))))</formula>
    </cfRule>
  </conditionalFormatting>
  <conditionalFormatting sqref="P193:Q195 P197:Q198 P200:Q216 U204:V204 P222:Q226 P228:Q252 P254:Q256 P258:Q264 O261:O264 O267:Q269 P272:Q275 O275">
    <cfRule type="containsText" dxfId="2" priority="38361" operator="containsText" text="Yes">
      <formula>NOT(ISERROR(SEARCH(("Yes"),(P193))))</formula>
    </cfRule>
  </conditionalFormatting>
  <conditionalFormatting sqref="P193:Q195 P197:Q198 P200:Q216 U204:V204 P222:Q226 P228:Q252 P254:Q256 P258:Q264 O261:O264 O267:Q269 P272:Q275 O275">
    <cfRule type="containsText" dxfId="2" priority="38362" operator="containsText" text="Yes">
      <formula>NOT(ISERROR(SEARCH(("Yes"),(P193))))</formula>
    </cfRule>
  </conditionalFormatting>
  <conditionalFormatting sqref="P193:Q195 P197:Q198 P200:Q216 U204:V204 P222:Q226 P228:Q252 P254:Q256 P258:Q264 O261:O264 O267:Q269 P272:Q275 O275">
    <cfRule type="containsText" dxfId="2" priority="38363" operator="containsText" text="Yes">
      <formula>NOT(ISERROR(SEARCH(("Yes"),(P193))))</formula>
    </cfRule>
  </conditionalFormatting>
  <conditionalFormatting sqref="P193:Q195 P197:Q198 P200:Q216 U204:V204 P222:Q226 P228:Q252 P254:Q256 P258:Q264 O261:O264 O267:Q269 P272:Q275 O275">
    <cfRule type="containsText" dxfId="2" priority="38364" operator="containsText" text="Yes">
      <formula>NOT(ISERROR(SEARCH(("Yes"),(P193))))</formula>
    </cfRule>
  </conditionalFormatting>
  <conditionalFormatting sqref="P193:Q195 P197:Q198 P200:Q216 U204:V204 P222:Q226 P228:Q252 P254:Q256 P258:Q264 O261:O264 O267:Q269 P272:Q275 O275">
    <cfRule type="containsText" dxfId="2" priority="38365" operator="containsText" text="Yes">
      <formula>NOT(ISERROR(SEARCH(("Yes"),(P193))))</formula>
    </cfRule>
  </conditionalFormatting>
  <conditionalFormatting sqref="P193:Q195 P197:Q198 P200:Q216 U204:V204 P222:Q226 P228:Q252 P254:Q256 P258:Q264 O261:O264 O267:Q269 P272:Q275 O275">
    <cfRule type="containsText" dxfId="2" priority="38366" operator="containsText" text="Yes">
      <formula>NOT(ISERROR(SEARCH(("Yes"),(P193))))</formula>
    </cfRule>
  </conditionalFormatting>
  <conditionalFormatting sqref="P193:Q195 P197:Q198 P200:Q216 U204:V204 P222:Q226 P228:Q252 P254:Q256 P258:Q264 O261:O264 O267:Q269 P272:Q275 O275">
    <cfRule type="containsText" dxfId="2" priority="38367" operator="containsText" text="Yes">
      <formula>NOT(ISERROR(SEARCH(("Yes"),(P193))))</formula>
    </cfRule>
  </conditionalFormatting>
  <conditionalFormatting sqref="P193:Q195 P197:Q198 P200:Q216 U204:V204 P222:Q226 P228:Q252 P254:Q256 P258:Q264 O261:O264 O267:Q269 P272:Q275 O275">
    <cfRule type="containsText" dxfId="2" priority="38368" operator="containsText" text="Yes">
      <formula>NOT(ISERROR(SEARCH(("Yes"),(P193))))</formula>
    </cfRule>
  </conditionalFormatting>
  <conditionalFormatting sqref="P193:Q195 P197:Q198 P200:Q216 U204:V204 P222:Q226 P228:Q252 P254:Q256 P258:Q264 O261:O264 O267:Q269 P272:Q275 O275">
    <cfRule type="containsText" dxfId="2" priority="38369" operator="containsText" text="Yes">
      <formula>NOT(ISERROR(SEARCH(("Yes"),(P193))))</formula>
    </cfRule>
  </conditionalFormatting>
  <conditionalFormatting sqref="P193:Q195 P197:Q198 P200:Q216 U204:V204 P222:Q226 P228:Q252 P254:Q256 P258:Q264 O261:O264 O267:Q269 P272:Q275 O275">
    <cfRule type="containsText" dxfId="2" priority="38370" operator="containsText" text="Yes">
      <formula>NOT(ISERROR(SEARCH(("Yes"),(P193))))</formula>
    </cfRule>
  </conditionalFormatting>
  <conditionalFormatting sqref="P194:Q195 P197:Q198 P201:Q214 U204:V204">
    <cfRule type="containsText" dxfId="9" priority="38371" operator="containsText" text="No">
      <formula>NOT(ISERROR(SEARCH(("No"),(P194))))</formula>
    </cfRule>
  </conditionalFormatting>
  <conditionalFormatting sqref="P194:Q195 P197:Q198 P201:Q214 U204:V204">
    <cfRule type="containsText" dxfId="9" priority="38372" operator="containsText" text="No">
      <formula>NOT(ISERROR(SEARCH(("No"),(P194))))</formula>
    </cfRule>
  </conditionalFormatting>
  <conditionalFormatting sqref="P194:Q195 P197:Q198 P201:Q214 U204:V204">
    <cfRule type="containsText" dxfId="9" priority="38373" operator="containsText" text="No">
      <formula>NOT(ISERROR(SEARCH(("No"),(P194))))</formula>
    </cfRule>
  </conditionalFormatting>
  <conditionalFormatting sqref="P194:Q195 P197:Q198 P201:Q214 U204:V204">
    <cfRule type="containsText" dxfId="9" priority="38374" operator="containsText" text="No">
      <formula>NOT(ISERROR(SEARCH(("No"),(P194))))</formula>
    </cfRule>
  </conditionalFormatting>
  <conditionalFormatting sqref="P194:Q195 P197:Q198 P201:Q214 U204:V204">
    <cfRule type="containsText" dxfId="9" priority="38375" operator="containsText" text="No">
      <formula>NOT(ISERROR(SEARCH(("No"),(P194))))</formula>
    </cfRule>
  </conditionalFormatting>
  <conditionalFormatting sqref="P194:Q195 P197:Q198 P201:Q214 U204:V204">
    <cfRule type="containsText" dxfId="9" priority="38376" operator="containsText" text="No">
      <formula>NOT(ISERROR(SEARCH(("No"),(P194))))</formula>
    </cfRule>
  </conditionalFormatting>
  <conditionalFormatting sqref="P194:Q195 P197:Q198 P201:Q214 U204:V204">
    <cfRule type="containsText" dxfId="9" priority="38377" operator="containsText" text="No">
      <formula>NOT(ISERROR(SEARCH(("No"),(P194))))</formula>
    </cfRule>
  </conditionalFormatting>
  <conditionalFormatting sqref="P194:Q195 P197:Q198 P201:Q214 U204:V204">
    <cfRule type="containsText" dxfId="9" priority="38378" operator="containsText" text="No">
      <formula>NOT(ISERROR(SEARCH(("No"),(P194))))</formula>
    </cfRule>
  </conditionalFormatting>
  <conditionalFormatting sqref="P194:Q195 P197:Q198 P201:Q214 U204:V204">
    <cfRule type="containsText" dxfId="9" priority="38379" operator="containsText" text="No">
      <formula>NOT(ISERROR(SEARCH(("No"),(P194))))</formula>
    </cfRule>
  </conditionalFormatting>
  <conditionalFormatting sqref="P194:Q195 P197:Q198 P201:Q214 U204:V204">
    <cfRule type="containsText" dxfId="9" priority="38380" operator="containsText" text="No">
      <formula>NOT(ISERROR(SEARCH(("No"),(P194))))</formula>
    </cfRule>
  </conditionalFormatting>
  <conditionalFormatting sqref="P194:Q195 P197:Q198 P201:Q214 U204:V204">
    <cfRule type="containsText" dxfId="9" priority="38381" operator="containsText" text="No">
      <formula>NOT(ISERROR(SEARCH(("No"),(P194))))</formula>
    </cfRule>
  </conditionalFormatting>
  <conditionalFormatting sqref="P194:Q195 P197:Q198 P201:Q214 U204:V204">
    <cfRule type="containsText" dxfId="9" priority="38382" operator="containsText" text="No">
      <formula>NOT(ISERROR(SEARCH(("No"),(P194))))</formula>
    </cfRule>
  </conditionalFormatting>
  <conditionalFormatting sqref="P194:Q195 P197:Q198 P201:Q214 U204:V204">
    <cfRule type="containsText" dxfId="9" priority="38383" operator="containsText" text="No">
      <formula>NOT(ISERROR(SEARCH(("No"),(P194))))</formula>
    </cfRule>
  </conditionalFormatting>
  <conditionalFormatting sqref="P194:Q195 P197:Q198 P201:Q214 U204:V204">
    <cfRule type="containsText" dxfId="9" priority="38384" operator="containsText" text="No">
      <formula>NOT(ISERROR(SEARCH(("No"),(P194))))</formula>
    </cfRule>
  </conditionalFormatting>
  <conditionalFormatting sqref="P194:Q195 P197:Q198 P201:Q214 U204:V204">
    <cfRule type="containsText" dxfId="9" priority="38385" operator="containsText" text="No">
      <formula>NOT(ISERROR(SEARCH(("No"),(P194))))</formula>
    </cfRule>
  </conditionalFormatting>
  <conditionalFormatting sqref="P194:Q195 P197:Q198 P201:Q214 U204:V204">
    <cfRule type="containsText" dxfId="9" priority="38386" operator="containsText" text="No">
      <formula>NOT(ISERROR(SEARCH(("No"),(P194))))</formula>
    </cfRule>
  </conditionalFormatting>
  <conditionalFormatting sqref="P194:Q195 P197:Q198 P201:Q214 U204:V204">
    <cfRule type="containsText" dxfId="9" priority="38387" operator="containsText" text="No">
      <formula>NOT(ISERROR(SEARCH(("No"),(P194))))</formula>
    </cfRule>
  </conditionalFormatting>
  <conditionalFormatting sqref="P194:Q195 P197:Q198 P201:Q214 U204:V204">
    <cfRule type="containsText" dxfId="9" priority="38388" operator="containsText" text="No">
      <formula>NOT(ISERROR(SEARCH(("No"),(P194))))</formula>
    </cfRule>
  </conditionalFormatting>
  <conditionalFormatting sqref="P194:Q195 P197:Q198 P201:Q214 U204:V204">
    <cfRule type="containsText" dxfId="9" priority="38389" operator="containsText" text="No">
      <formula>NOT(ISERROR(SEARCH(("No"),(P194))))</formula>
    </cfRule>
  </conditionalFormatting>
  <conditionalFormatting sqref="P194:Q195 P197:Q198 P201:Q214 U204:V204">
    <cfRule type="containsText" dxfId="9" priority="38390" operator="containsText" text="No">
      <formula>NOT(ISERROR(SEARCH(("No"),(P194))))</formula>
    </cfRule>
  </conditionalFormatting>
  <conditionalFormatting sqref="P194:Q195 P197:Q198 P201:Q214 U204:V204">
    <cfRule type="containsText" dxfId="9" priority="38391" operator="containsText" text="No">
      <formula>NOT(ISERROR(SEARCH(("No"),(P194))))</formula>
    </cfRule>
  </conditionalFormatting>
  <conditionalFormatting sqref="P194:Q195 P197:Q198 P201:Q214 U204:V204">
    <cfRule type="containsText" dxfId="9" priority="38392" operator="containsText" text="No">
      <formula>NOT(ISERROR(SEARCH(("No"),(P194))))</formula>
    </cfRule>
  </conditionalFormatting>
  <conditionalFormatting sqref="P194:Q195 P197:Q198 P201:Q214 U204:V204">
    <cfRule type="containsText" dxfId="9" priority="38393" operator="containsText" text="No">
      <formula>NOT(ISERROR(SEARCH(("No"),(P194))))</formula>
    </cfRule>
  </conditionalFormatting>
  <conditionalFormatting sqref="P194:Q195 P197:Q198 P201:Q214 U204:V204">
    <cfRule type="containsText" dxfId="9" priority="38394" operator="containsText" text="No">
      <formula>NOT(ISERROR(SEARCH(("No"),(P194))))</formula>
    </cfRule>
  </conditionalFormatting>
  <conditionalFormatting sqref="P194:Q195 P197:Q198 P201:Q214 U204:V204">
    <cfRule type="containsText" dxfId="9" priority="38395" operator="containsText" text="No">
      <formula>NOT(ISERROR(SEARCH(("No"),(P194))))</formula>
    </cfRule>
  </conditionalFormatting>
  <conditionalFormatting sqref="P194:Q195 P197:Q198 P201:Q214 U204:V204">
    <cfRule type="containsText" dxfId="9" priority="38396" operator="containsText" text="No">
      <formula>NOT(ISERROR(SEARCH(("No"),(P194))))</formula>
    </cfRule>
  </conditionalFormatting>
  <conditionalFormatting sqref="P194:Q195 P197:Q198 P201:Q214 U204:V204">
    <cfRule type="containsText" dxfId="9" priority="38397" operator="containsText" text="No">
      <formula>NOT(ISERROR(SEARCH(("No"),(P194))))</formula>
    </cfRule>
  </conditionalFormatting>
  <conditionalFormatting sqref="P194:Q195 P197:Q198 P201:Q214 U204:V204">
    <cfRule type="containsText" dxfId="9" priority="38398" operator="containsText" text="No">
      <formula>NOT(ISERROR(SEARCH(("No"),(P194))))</formula>
    </cfRule>
  </conditionalFormatting>
  <conditionalFormatting sqref="P194:Q195 P197:Q198 P201:Q214 U204:V204">
    <cfRule type="containsText" dxfId="9" priority="38399" operator="containsText" text="No">
      <formula>NOT(ISERROR(SEARCH(("No"),(P194))))</formula>
    </cfRule>
  </conditionalFormatting>
  <conditionalFormatting sqref="P194:Q195 P197:Q198 P201:Q214 U204:V204">
    <cfRule type="containsText" dxfId="9" priority="38400" operator="containsText" text="No">
      <formula>NOT(ISERROR(SEARCH(("No"),(P194))))</formula>
    </cfRule>
  </conditionalFormatting>
  <conditionalFormatting sqref="P194:Q195 P197:Q198 P201:Q214 U204:V204">
    <cfRule type="containsText" dxfId="9" priority="38401" operator="containsText" text="No">
      <formula>NOT(ISERROR(SEARCH(("No"),(P194))))</formula>
    </cfRule>
  </conditionalFormatting>
  <conditionalFormatting sqref="P194:Q195 P197:Q198 P201:Q214 U204:V204">
    <cfRule type="containsText" dxfId="9" priority="38402" operator="containsText" text="No">
      <formula>NOT(ISERROR(SEARCH(("No"),(P194))))</formula>
    </cfRule>
  </conditionalFormatting>
  <conditionalFormatting sqref="P194:Q195 P197:Q198 P201:Q214 U204:V204">
    <cfRule type="containsText" dxfId="9" priority="38403" operator="containsText" text="No">
      <formula>NOT(ISERROR(SEARCH(("No"),(P194))))</formula>
    </cfRule>
  </conditionalFormatting>
  <conditionalFormatting sqref="P194:Q195 P197:Q198 P201:Q214 U204:V204">
    <cfRule type="containsText" dxfId="9" priority="38404" operator="containsText" text="No">
      <formula>NOT(ISERROR(SEARCH(("No"),(P194))))</formula>
    </cfRule>
  </conditionalFormatting>
  <conditionalFormatting sqref="P194:Q195 P197:Q198 P201:Q214 U204:V204">
    <cfRule type="containsText" dxfId="9" priority="38405" operator="containsText" text="No">
      <formula>NOT(ISERROR(SEARCH(("No"),(P194))))</formula>
    </cfRule>
  </conditionalFormatting>
  <conditionalFormatting sqref="P194:Q195 P197:Q198 P201:Q214 U204:V204">
    <cfRule type="containsText" dxfId="9" priority="38406" operator="containsText" text="No">
      <formula>NOT(ISERROR(SEARCH(("No"),(P194))))</formula>
    </cfRule>
  </conditionalFormatting>
  <conditionalFormatting sqref="P194:Q195 P197:Q198 P201:Q214 U204:V204">
    <cfRule type="containsText" dxfId="9" priority="38407" operator="containsText" text="No">
      <formula>NOT(ISERROR(SEARCH(("No"),(P194))))</formula>
    </cfRule>
  </conditionalFormatting>
  <conditionalFormatting sqref="P194:Q195 P197:Q198 P201:Q214 U204:V204">
    <cfRule type="containsText" dxfId="9" priority="38408" operator="containsText" text="No">
      <formula>NOT(ISERROR(SEARCH(("No"),(P194))))</formula>
    </cfRule>
  </conditionalFormatting>
  <conditionalFormatting sqref="P194:Q195 P197:Q198 P201:Q214 U204:V204">
    <cfRule type="containsText" dxfId="9" priority="38409" operator="containsText" text="No">
      <formula>NOT(ISERROR(SEARCH(("No"),(P194))))</formula>
    </cfRule>
  </conditionalFormatting>
  <conditionalFormatting sqref="P194:Q195 P197:Q198 P201:Q214 U204:V204">
    <cfRule type="containsText" dxfId="9" priority="38410" operator="containsText" text="No">
      <formula>NOT(ISERROR(SEARCH(("No"),(P194))))</formula>
    </cfRule>
  </conditionalFormatting>
  <conditionalFormatting sqref="P194:Q195 P197:Q198 P201:Q214 U204:V204">
    <cfRule type="containsText" dxfId="9" priority="38411" operator="containsText" text="No">
      <formula>NOT(ISERROR(SEARCH(("No"),(P194))))</formula>
    </cfRule>
  </conditionalFormatting>
  <conditionalFormatting sqref="P194:Q195 P197:Q198 P201:Q214 U204:V204">
    <cfRule type="containsText" dxfId="9" priority="38412" operator="containsText" text="No">
      <formula>NOT(ISERROR(SEARCH(("No"),(P194))))</formula>
    </cfRule>
  </conditionalFormatting>
  <conditionalFormatting sqref="P194:Q195 P197:Q198 P201:Q214 U204:V204">
    <cfRule type="containsText" dxfId="9" priority="38413" operator="containsText" text="No">
      <formula>NOT(ISERROR(SEARCH(("No"),(P194))))</formula>
    </cfRule>
  </conditionalFormatting>
  <conditionalFormatting sqref="P194:Q195 P197:Q198 P201:Q214 U204:V204">
    <cfRule type="containsText" dxfId="9" priority="38414" operator="containsText" text="No">
      <formula>NOT(ISERROR(SEARCH(("No"),(P194))))</formula>
    </cfRule>
  </conditionalFormatting>
  <conditionalFormatting sqref="P194:Q195 P197:Q198 P201:Q214 U204:V204">
    <cfRule type="containsText" dxfId="9" priority="38415" operator="containsText" text="No">
      <formula>NOT(ISERROR(SEARCH(("No"),(P194))))</formula>
    </cfRule>
  </conditionalFormatting>
  <conditionalFormatting sqref="P194:Q195 P197:Q198 P201:Q214 U204:V204">
    <cfRule type="containsText" dxfId="2" priority="38416" operator="containsText" text="Yes">
      <formula>NOT(ISERROR(SEARCH(("Yes"),(P194))))</formula>
    </cfRule>
  </conditionalFormatting>
  <conditionalFormatting sqref="P194:Q195 P197:Q198 P201:Q214 U204:V204">
    <cfRule type="containsText" dxfId="2" priority="38417" operator="containsText" text="Yes">
      <formula>NOT(ISERROR(SEARCH(("Yes"),(P194))))</formula>
    </cfRule>
  </conditionalFormatting>
  <conditionalFormatting sqref="P194:Q195 P197:Q198 P201:Q214 U204:V204">
    <cfRule type="containsText" dxfId="2" priority="38418" operator="containsText" text="Yes">
      <formula>NOT(ISERROR(SEARCH(("Yes"),(P194))))</formula>
    </cfRule>
  </conditionalFormatting>
  <conditionalFormatting sqref="P194:Q195 P197:Q198 P201:Q214 U204:V204">
    <cfRule type="containsText" dxfId="2" priority="38419" operator="containsText" text="Yes">
      <formula>NOT(ISERROR(SEARCH(("Yes"),(P194))))</formula>
    </cfRule>
  </conditionalFormatting>
  <conditionalFormatting sqref="P194:Q195 P197:Q198 P201:Q214 U204:V204">
    <cfRule type="containsText" dxfId="2" priority="38420" operator="containsText" text="Yes">
      <formula>NOT(ISERROR(SEARCH(("Yes"),(P194))))</formula>
    </cfRule>
  </conditionalFormatting>
  <conditionalFormatting sqref="P194:Q195 P197:Q198 P201:Q214 U204:V204">
    <cfRule type="containsText" dxfId="2" priority="38421" operator="containsText" text="Yes">
      <formula>NOT(ISERROR(SEARCH(("Yes"),(P194))))</formula>
    </cfRule>
  </conditionalFormatting>
  <conditionalFormatting sqref="P194:Q195 P197:Q198 P201:Q214 U204:V204">
    <cfRule type="containsText" dxfId="2" priority="38422" operator="containsText" text="Yes">
      <formula>NOT(ISERROR(SEARCH(("Yes"),(P194))))</formula>
    </cfRule>
  </conditionalFormatting>
  <conditionalFormatting sqref="P194:Q195 P197:Q198 P201:Q214 U204:V204">
    <cfRule type="containsText" dxfId="2" priority="38423" operator="containsText" text="Yes">
      <formula>NOT(ISERROR(SEARCH(("Yes"),(P194))))</formula>
    </cfRule>
  </conditionalFormatting>
  <conditionalFormatting sqref="P194:Q195 P197:Q198 P201:Q214 U204:V204">
    <cfRule type="containsText" dxfId="2" priority="38424" operator="containsText" text="Yes">
      <formula>NOT(ISERROR(SEARCH(("Yes"),(P194))))</formula>
    </cfRule>
  </conditionalFormatting>
  <conditionalFormatting sqref="P194:Q195 P197:Q198 P201:Q214 U204:V204">
    <cfRule type="containsText" dxfId="2" priority="38425" operator="containsText" text="Yes">
      <formula>NOT(ISERROR(SEARCH(("Yes"),(P194))))</formula>
    </cfRule>
  </conditionalFormatting>
  <conditionalFormatting sqref="P194:Q195 P197:Q198 P201:Q214 U204:V204">
    <cfRule type="containsText" dxfId="2" priority="38426" operator="containsText" text="Yes">
      <formula>NOT(ISERROR(SEARCH(("Yes"),(P194))))</formula>
    </cfRule>
  </conditionalFormatting>
  <conditionalFormatting sqref="P194:Q195 P197:Q198 P201:Q214 U204:V204">
    <cfRule type="containsText" dxfId="2" priority="38427" operator="containsText" text="Yes">
      <formula>NOT(ISERROR(SEARCH(("Yes"),(P194))))</formula>
    </cfRule>
  </conditionalFormatting>
  <conditionalFormatting sqref="P194:Q195 P197:Q198 P201:Q214 U204:V204">
    <cfRule type="containsText" dxfId="2" priority="38428" operator="containsText" text="Yes">
      <formula>NOT(ISERROR(SEARCH(("Yes"),(P194))))</formula>
    </cfRule>
  </conditionalFormatting>
  <conditionalFormatting sqref="P194:Q195 P197:Q198 P201:Q214 U204:V204">
    <cfRule type="containsText" dxfId="2" priority="38429" operator="containsText" text="Yes">
      <formula>NOT(ISERROR(SEARCH(("Yes"),(P194))))</formula>
    </cfRule>
  </conditionalFormatting>
  <conditionalFormatting sqref="P194:Q195 P197:Q198 P201:Q214 U204:V204">
    <cfRule type="containsText" dxfId="2" priority="38430" operator="containsText" text="Yes">
      <formula>NOT(ISERROR(SEARCH(("Yes"),(P194))))</formula>
    </cfRule>
  </conditionalFormatting>
  <conditionalFormatting sqref="P194:Q195 P197:Q198 P201:Q214 U204:V204">
    <cfRule type="containsText" dxfId="2" priority="38431" operator="containsText" text="Yes">
      <formula>NOT(ISERROR(SEARCH(("Yes"),(P194))))</formula>
    </cfRule>
  </conditionalFormatting>
  <conditionalFormatting sqref="P194:Q195 P197:Q198 P201:Q214 U204:V204">
    <cfRule type="containsText" dxfId="2" priority="38432" operator="containsText" text="Yes">
      <formula>NOT(ISERROR(SEARCH(("Yes"),(P194))))</formula>
    </cfRule>
  </conditionalFormatting>
  <conditionalFormatting sqref="P194:Q195 P197:Q198 P201:Q214 U204:V204">
    <cfRule type="containsText" dxfId="2" priority="38433" operator="containsText" text="Yes">
      <formula>NOT(ISERROR(SEARCH(("Yes"),(P194))))</formula>
    </cfRule>
  </conditionalFormatting>
  <conditionalFormatting sqref="P194:Q195 P197:Q198 P201:Q214 U204:V204">
    <cfRule type="containsText" dxfId="2" priority="38434" operator="containsText" text="Yes">
      <formula>NOT(ISERROR(SEARCH(("Yes"),(P194))))</formula>
    </cfRule>
  </conditionalFormatting>
  <conditionalFormatting sqref="P194:Q195 P197:Q198 P201:Q214 U204:V204">
    <cfRule type="containsText" dxfId="2" priority="38435" operator="containsText" text="Yes">
      <formula>NOT(ISERROR(SEARCH(("Yes"),(P194))))</formula>
    </cfRule>
  </conditionalFormatting>
  <conditionalFormatting sqref="P194:Q195 P197:Q198 P201:Q214 U204:V204">
    <cfRule type="containsText" dxfId="2" priority="38436" operator="containsText" text="Yes">
      <formula>NOT(ISERROR(SEARCH(("Yes"),(P194))))</formula>
    </cfRule>
  </conditionalFormatting>
  <conditionalFormatting sqref="P194:Q195 P197:Q198 P201:Q214 U204:V204">
    <cfRule type="containsText" dxfId="2" priority="38437" operator="containsText" text="Yes">
      <formula>NOT(ISERROR(SEARCH(("Yes"),(P194))))</formula>
    </cfRule>
  </conditionalFormatting>
  <conditionalFormatting sqref="P194:Q195 P197:Q198 P201:Q214 U204:V204">
    <cfRule type="containsText" dxfId="2" priority="38438" operator="containsText" text="Yes">
      <formula>NOT(ISERROR(SEARCH(("Yes"),(P194))))</formula>
    </cfRule>
  </conditionalFormatting>
  <conditionalFormatting sqref="P194:Q195 P197:Q198 P201:Q214 U204:V204">
    <cfRule type="containsText" dxfId="2" priority="38439" operator="containsText" text="Yes">
      <formula>NOT(ISERROR(SEARCH(("Yes"),(P194))))</formula>
    </cfRule>
  </conditionalFormatting>
  <conditionalFormatting sqref="P194:Q195 P197:Q198 P201:Q214 U204:V204">
    <cfRule type="containsText" dxfId="2" priority="38440" operator="containsText" text="Yes">
      <formula>NOT(ISERROR(SEARCH(("Yes"),(P194))))</formula>
    </cfRule>
  </conditionalFormatting>
  <conditionalFormatting sqref="P194:Q195 P197:Q198 P201:Q214 U204:V204">
    <cfRule type="containsText" dxfId="2" priority="38441" operator="containsText" text="Yes">
      <formula>NOT(ISERROR(SEARCH(("Yes"),(P194))))</formula>
    </cfRule>
  </conditionalFormatting>
  <conditionalFormatting sqref="P194:Q195 P197:Q198 P201:Q214 U204:V204">
    <cfRule type="containsText" dxfId="2" priority="38442" operator="containsText" text="Yes">
      <formula>NOT(ISERROR(SEARCH(("Yes"),(P194))))</formula>
    </cfRule>
  </conditionalFormatting>
  <conditionalFormatting sqref="P194:Q195 P197:Q198 P201:Q214 U204:V204">
    <cfRule type="containsText" dxfId="2" priority="38443" operator="containsText" text="Yes">
      <formula>NOT(ISERROR(SEARCH(("Yes"),(P194))))</formula>
    </cfRule>
  </conditionalFormatting>
  <conditionalFormatting sqref="P194:Q195 P197:Q198 P201:Q214 U204:V204">
    <cfRule type="containsText" dxfId="2" priority="38444" operator="containsText" text="Yes">
      <formula>NOT(ISERROR(SEARCH(("Yes"),(P194))))</formula>
    </cfRule>
  </conditionalFormatting>
  <conditionalFormatting sqref="P194:Q195 P197:Q198 P201:Q214 U204:V204">
    <cfRule type="containsText" dxfId="2" priority="38445" operator="containsText" text="Yes">
      <formula>NOT(ISERROR(SEARCH(("Yes"),(P194))))</formula>
    </cfRule>
  </conditionalFormatting>
  <conditionalFormatting sqref="P194:Q195 P197:Q198 P201:Q214 U204:V204">
    <cfRule type="containsText" dxfId="2" priority="38446" operator="containsText" text="Yes">
      <formula>NOT(ISERROR(SEARCH(("Yes"),(P194))))</formula>
    </cfRule>
  </conditionalFormatting>
  <conditionalFormatting sqref="P194:Q195 P197:Q198 P201:Q214 U204:V204">
    <cfRule type="containsText" dxfId="2" priority="38447" operator="containsText" text="Yes">
      <formula>NOT(ISERROR(SEARCH(("Yes"),(P194))))</formula>
    </cfRule>
  </conditionalFormatting>
  <conditionalFormatting sqref="P194:Q195 P197:Q198 P201:Q214 U204:V204">
    <cfRule type="containsText" dxfId="2" priority="38448" operator="containsText" text="Yes">
      <formula>NOT(ISERROR(SEARCH(("Yes"),(P194))))</formula>
    </cfRule>
  </conditionalFormatting>
  <conditionalFormatting sqref="P194:Q195 P197:Q198 P201:Q214 U204:V204">
    <cfRule type="containsText" dxfId="2" priority="38449" operator="containsText" text="Yes">
      <formula>NOT(ISERROR(SEARCH(("Yes"),(P194))))</formula>
    </cfRule>
  </conditionalFormatting>
  <conditionalFormatting sqref="P194:Q195 P197:Q198 P201:Q214 U204:V204">
    <cfRule type="containsText" dxfId="2" priority="38450" operator="containsText" text="Yes">
      <formula>NOT(ISERROR(SEARCH(("Yes"),(P194))))</formula>
    </cfRule>
  </conditionalFormatting>
  <conditionalFormatting sqref="P194:Q195 P197:Q198 P201:Q214 U204:V204">
    <cfRule type="containsText" dxfId="2" priority="38451" operator="containsText" text="Yes">
      <formula>NOT(ISERROR(SEARCH(("Yes"),(P194))))</formula>
    </cfRule>
  </conditionalFormatting>
  <conditionalFormatting sqref="P194:Q195 P197:Q198 P201:Q214 U204:V204">
    <cfRule type="containsText" dxfId="2" priority="38452" operator="containsText" text="Yes">
      <formula>NOT(ISERROR(SEARCH(("Yes"),(P194))))</formula>
    </cfRule>
  </conditionalFormatting>
  <conditionalFormatting sqref="P194:Q195 P197:Q198 P201:Q214 U204:V204">
    <cfRule type="containsText" dxfId="2" priority="38453" operator="containsText" text="Yes">
      <formula>NOT(ISERROR(SEARCH(("Yes"),(P194))))</formula>
    </cfRule>
  </conditionalFormatting>
  <conditionalFormatting sqref="P194:Q195 P197:Q198 P201:Q214 U204:V204">
    <cfRule type="containsText" dxfId="2" priority="38454" operator="containsText" text="Yes">
      <formula>NOT(ISERROR(SEARCH(("Yes"),(P194))))</formula>
    </cfRule>
  </conditionalFormatting>
  <conditionalFormatting sqref="P194:Q195 P197:Q198 P201:Q214 U204:V204">
    <cfRule type="containsText" dxfId="2" priority="38455" operator="containsText" text="Yes">
      <formula>NOT(ISERROR(SEARCH(("Yes"),(P194))))</formula>
    </cfRule>
  </conditionalFormatting>
  <conditionalFormatting sqref="P194:Q195 P197:Q198 P201:Q214 U204:V204">
    <cfRule type="containsText" dxfId="2" priority="38456" operator="containsText" text="Yes">
      <formula>NOT(ISERROR(SEARCH(("Yes"),(P194))))</formula>
    </cfRule>
  </conditionalFormatting>
  <conditionalFormatting sqref="P194:Q195 P197:Q198 P201:Q214 U204:V204">
    <cfRule type="containsText" dxfId="2" priority="38457" operator="containsText" text="Yes">
      <formula>NOT(ISERROR(SEARCH(("Yes"),(P194))))</formula>
    </cfRule>
  </conditionalFormatting>
  <conditionalFormatting sqref="P194:Q195 P197:Q198 P201:Q214 U204:V204">
    <cfRule type="containsText" dxfId="2" priority="38458" operator="containsText" text="Yes">
      <formula>NOT(ISERROR(SEARCH(("Yes"),(P194))))</formula>
    </cfRule>
  </conditionalFormatting>
  <conditionalFormatting sqref="P194:Q195 P197:Q198 P201:Q214 U204:V204">
    <cfRule type="containsText" dxfId="2" priority="38459" operator="containsText" text="Yes">
      <formula>NOT(ISERROR(SEARCH(("Yes"),(P194))))</formula>
    </cfRule>
  </conditionalFormatting>
  <conditionalFormatting sqref="P194:Q195 P197:Q198 P201:Q214 U204:V204">
    <cfRule type="containsText" dxfId="2" priority="38460" operator="containsText" text="Yes">
      <formula>NOT(ISERROR(SEARCH(("Yes"),(P194))))</formula>
    </cfRule>
  </conditionalFormatting>
  <conditionalFormatting sqref="P194:Q195 P197:Q198 P201:Q214 U204:V204">
    <cfRule type="containsText" dxfId="2" priority="38461" operator="containsText" text="Yes">
      <formula>NOT(ISERROR(SEARCH(("Yes"),(P194))))</formula>
    </cfRule>
  </conditionalFormatting>
  <conditionalFormatting sqref="P194:Q195 P197:Q198 P201:Q214 U204:V204">
    <cfRule type="containsText" dxfId="2" priority="38462" operator="containsText" text="Yes">
      <formula>NOT(ISERROR(SEARCH(("Yes"),(P194))))</formula>
    </cfRule>
  </conditionalFormatting>
  <conditionalFormatting sqref="P195:Q195 P197:Q198 P201:Q214 U204:V204">
    <cfRule type="containsText" dxfId="9" priority="38463" operator="containsText" text="No">
      <formula>NOT(ISERROR(SEARCH(("No"),(P195))))</formula>
    </cfRule>
  </conditionalFormatting>
  <conditionalFormatting sqref="P195:Q195 P197:Q198 P201:Q214 U204:V204">
    <cfRule type="containsText" dxfId="9" priority="38464" operator="containsText" text="No">
      <formula>NOT(ISERROR(SEARCH(("No"),(P195))))</formula>
    </cfRule>
  </conditionalFormatting>
  <conditionalFormatting sqref="P195:Q195 P197:Q198 P201:Q214 U204:V204">
    <cfRule type="containsText" dxfId="9" priority="38465" operator="containsText" text="No">
      <formula>NOT(ISERROR(SEARCH(("No"),(P195))))</formula>
    </cfRule>
  </conditionalFormatting>
  <conditionalFormatting sqref="P195:Q195 P197:Q198 P201:Q214 U204:V204">
    <cfRule type="containsText" dxfId="9" priority="38466" operator="containsText" text="No">
      <formula>NOT(ISERROR(SEARCH(("No"),(P195))))</formula>
    </cfRule>
  </conditionalFormatting>
  <conditionalFormatting sqref="P195:Q195 P197:Q198 P201:Q214 U204:V204">
    <cfRule type="containsText" dxfId="9" priority="38467" operator="containsText" text="No">
      <formula>NOT(ISERROR(SEARCH(("No"),(P195))))</formula>
    </cfRule>
  </conditionalFormatting>
  <conditionalFormatting sqref="P195:Q195 P197:Q198 P201:Q214 U204:V204">
    <cfRule type="containsText" dxfId="9" priority="38468" operator="containsText" text="No">
      <formula>NOT(ISERROR(SEARCH(("No"),(P195))))</formula>
    </cfRule>
  </conditionalFormatting>
  <conditionalFormatting sqref="P195:Q195 P197:Q198 P201:Q214 U204:V204">
    <cfRule type="containsText" dxfId="9" priority="38469" operator="containsText" text="No">
      <formula>NOT(ISERROR(SEARCH(("No"),(P195))))</formula>
    </cfRule>
  </conditionalFormatting>
  <conditionalFormatting sqref="P195:Q195 P197:Q198 P201:Q214 U204:V204">
    <cfRule type="containsText" dxfId="9" priority="38470" operator="containsText" text="No">
      <formula>NOT(ISERROR(SEARCH(("No"),(P195))))</formula>
    </cfRule>
  </conditionalFormatting>
  <conditionalFormatting sqref="P195:Q195 P197:Q198 P201:Q214 U204:V204">
    <cfRule type="containsText" dxfId="9" priority="38471" operator="containsText" text="No">
      <formula>NOT(ISERROR(SEARCH(("No"),(P195))))</formula>
    </cfRule>
  </conditionalFormatting>
  <conditionalFormatting sqref="P195:Q195 P197:Q198 P201:Q214 U204:V204">
    <cfRule type="containsText" dxfId="9" priority="38472" operator="containsText" text="No">
      <formula>NOT(ISERROR(SEARCH(("No"),(P195))))</formula>
    </cfRule>
  </conditionalFormatting>
  <conditionalFormatting sqref="P195:Q195 P197:Q198 P201:Q214 U204:V204">
    <cfRule type="containsText" dxfId="9" priority="38473" operator="containsText" text="No">
      <formula>NOT(ISERROR(SEARCH(("No"),(P195))))</formula>
    </cfRule>
  </conditionalFormatting>
  <conditionalFormatting sqref="P195:Q195 P197:Q198 P201:Q214 U204:V204">
    <cfRule type="containsText" dxfId="9" priority="38474" operator="containsText" text="No">
      <formula>NOT(ISERROR(SEARCH(("No"),(P195))))</formula>
    </cfRule>
  </conditionalFormatting>
  <conditionalFormatting sqref="P195:Q195 P197:Q198 P201:Q214 U204:V204">
    <cfRule type="containsText" dxfId="9" priority="38475" operator="containsText" text="No">
      <formula>NOT(ISERROR(SEARCH(("No"),(P195))))</formula>
    </cfRule>
  </conditionalFormatting>
  <conditionalFormatting sqref="P195:Q195 P197:Q198 P201:Q214 U204:V204">
    <cfRule type="containsText" dxfId="9" priority="38476" operator="containsText" text="No">
      <formula>NOT(ISERROR(SEARCH(("No"),(P195))))</formula>
    </cfRule>
  </conditionalFormatting>
  <conditionalFormatting sqref="P195:Q195 P197:Q198 P201:Q214 U204:V204">
    <cfRule type="containsText" dxfId="9" priority="38477" operator="containsText" text="No">
      <formula>NOT(ISERROR(SEARCH(("No"),(P195))))</formula>
    </cfRule>
  </conditionalFormatting>
  <conditionalFormatting sqref="P195:Q195 P197:Q198 P201:Q214 U204:V204">
    <cfRule type="containsText" dxfId="9" priority="38478" operator="containsText" text="No">
      <formula>NOT(ISERROR(SEARCH(("No"),(P195))))</formula>
    </cfRule>
  </conditionalFormatting>
  <conditionalFormatting sqref="P195:Q195 P197:Q198 P201:Q214 U204:V204">
    <cfRule type="containsText" dxfId="9" priority="38479" operator="containsText" text="No">
      <formula>NOT(ISERROR(SEARCH(("No"),(P195))))</formula>
    </cfRule>
  </conditionalFormatting>
  <conditionalFormatting sqref="P195:Q195 P197:Q198 P201:Q214 U204:V204">
    <cfRule type="containsText" dxfId="9" priority="38480" operator="containsText" text="No">
      <formula>NOT(ISERROR(SEARCH(("No"),(P195))))</formula>
    </cfRule>
  </conditionalFormatting>
  <conditionalFormatting sqref="P195:Q195 P197:Q198 P201:Q214 U204:V204">
    <cfRule type="containsText" dxfId="9" priority="38481" operator="containsText" text="No">
      <formula>NOT(ISERROR(SEARCH(("No"),(P195))))</formula>
    </cfRule>
  </conditionalFormatting>
  <conditionalFormatting sqref="P195:Q195 P197:Q198 P201:Q214 U204:V204">
    <cfRule type="containsText" dxfId="9" priority="38482" operator="containsText" text="No">
      <formula>NOT(ISERROR(SEARCH(("No"),(P195))))</formula>
    </cfRule>
  </conditionalFormatting>
  <conditionalFormatting sqref="P195:Q195 P197:Q198 P201:Q214 U204:V204">
    <cfRule type="containsText" dxfId="9" priority="38483" operator="containsText" text="No">
      <formula>NOT(ISERROR(SEARCH(("No"),(P195))))</formula>
    </cfRule>
  </conditionalFormatting>
  <conditionalFormatting sqref="P195:Q195 P197:Q198 P201:Q214 U204:V204">
    <cfRule type="containsText" dxfId="9" priority="38484" operator="containsText" text="No">
      <formula>NOT(ISERROR(SEARCH(("No"),(P195))))</formula>
    </cfRule>
  </conditionalFormatting>
  <conditionalFormatting sqref="P195:Q195 P197:Q198 P201:Q214 U204:V204">
    <cfRule type="containsText" dxfId="9" priority="38485" operator="containsText" text="No">
      <formula>NOT(ISERROR(SEARCH(("No"),(P195))))</formula>
    </cfRule>
  </conditionalFormatting>
  <conditionalFormatting sqref="P195:Q195 P197:Q198 P201:Q214 U204:V204">
    <cfRule type="containsText" dxfId="9" priority="38486" operator="containsText" text="No">
      <formula>NOT(ISERROR(SEARCH(("No"),(P195))))</formula>
    </cfRule>
  </conditionalFormatting>
  <conditionalFormatting sqref="P195:Q195 P197:Q198 P201:Q214 U204:V204">
    <cfRule type="containsText" dxfId="9" priority="38487" operator="containsText" text="No">
      <formula>NOT(ISERROR(SEARCH(("No"),(P195))))</formula>
    </cfRule>
  </conditionalFormatting>
  <conditionalFormatting sqref="P195:Q195 P197:Q198 P201:Q214 U204:V204">
    <cfRule type="containsText" dxfId="9" priority="38488" operator="containsText" text="No">
      <formula>NOT(ISERROR(SEARCH(("No"),(P195))))</formula>
    </cfRule>
  </conditionalFormatting>
  <conditionalFormatting sqref="P195:Q195 P197:Q198 P201:Q214 U204:V204">
    <cfRule type="containsText" dxfId="9" priority="38489" operator="containsText" text="No">
      <formula>NOT(ISERROR(SEARCH(("No"),(P195))))</formula>
    </cfRule>
  </conditionalFormatting>
  <conditionalFormatting sqref="P195:Q195 P197:Q198 P201:Q214 U204:V204">
    <cfRule type="containsText" dxfId="9" priority="38490" operator="containsText" text="No">
      <formula>NOT(ISERROR(SEARCH(("No"),(P195))))</formula>
    </cfRule>
  </conditionalFormatting>
  <conditionalFormatting sqref="P195:Q195 P197:Q198 P201:Q214 U204:V204">
    <cfRule type="containsText" dxfId="9" priority="38491" operator="containsText" text="No">
      <formula>NOT(ISERROR(SEARCH(("No"),(P195))))</formula>
    </cfRule>
  </conditionalFormatting>
  <conditionalFormatting sqref="P195:Q195 P197:Q198 P201:Q214 U204:V204">
    <cfRule type="containsText" dxfId="9" priority="38492" operator="containsText" text="No">
      <formula>NOT(ISERROR(SEARCH(("No"),(P195))))</formula>
    </cfRule>
  </conditionalFormatting>
  <conditionalFormatting sqref="P195:Q195 P197:Q198 P201:Q214 U204:V204">
    <cfRule type="containsText" dxfId="9" priority="38493" operator="containsText" text="No">
      <formula>NOT(ISERROR(SEARCH(("No"),(P195))))</formula>
    </cfRule>
  </conditionalFormatting>
  <conditionalFormatting sqref="P195:Q195 P197:Q198 P201:Q214 U204:V204">
    <cfRule type="containsText" dxfId="9" priority="38494" operator="containsText" text="No">
      <formula>NOT(ISERROR(SEARCH(("No"),(P195))))</formula>
    </cfRule>
  </conditionalFormatting>
  <conditionalFormatting sqref="P195:Q195 P197:Q198 P201:Q214 U204:V204">
    <cfRule type="containsText" dxfId="9" priority="38495" operator="containsText" text="No">
      <formula>NOT(ISERROR(SEARCH(("No"),(P195))))</formula>
    </cfRule>
  </conditionalFormatting>
  <conditionalFormatting sqref="P195:Q195 P197:Q198 P201:Q214 U204:V204">
    <cfRule type="containsText" dxfId="9" priority="38496" operator="containsText" text="No">
      <formula>NOT(ISERROR(SEARCH(("No"),(P195))))</formula>
    </cfRule>
  </conditionalFormatting>
  <conditionalFormatting sqref="P195:Q195 P197:Q198 P201:Q214 U204:V204">
    <cfRule type="containsText" dxfId="9" priority="38497" operator="containsText" text="No">
      <formula>NOT(ISERROR(SEARCH(("No"),(P195))))</formula>
    </cfRule>
  </conditionalFormatting>
  <conditionalFormatting sqref="P195:Q195 P197:Q198 P201:Q214 U204:V204">
    <cfRule type="containsText" dxfId="9" priority="38498" operator="containsText" text="No">
      <formula>NOT(ISERROR(SEARCH(("No"),(P195))))</formula>
    </cfRule>
  </conditionalFormatting>
  <conditionalFormatting sqref="P195:Q195 P197:Q198 P201:Q214 U204:V204">
    <cfRule type="containsText" dxfId="9" priority="38499" operator="containsText" text="No">
      <formula>NOT(ISERROR(SEARCH(("No"),(P195))))</formula>
    </cfRule>
  </conditionalFormatting>
  <conditionalFormatting sqref="P195:Q195 P197:Q198 P201:Q214 U204:V204">
    <cfRule type="containsText" dxfId="9" priority="38500" operator="containsText" text="No">
      <formula>NOT(ISERROR(SEARCH(("No"),(P195))))</formula>
    </cfRule>
  </conditionalFormatting>
  <conditionalFormatting sqref="P195:Q195 P197:Q198 P201:Q214 U204:V204">
    <cfRule type="containsText" dxfId="9" priority="38501" operator="containsText" text="No">
      <formula>NOT(ISERROR(SEARCH(("No"),(P195))))</formula>
    </cfRule>
  </conditionalFormatting>
  <conditionalFormatting sqref="P195:Q195 P197:Q198 P201:Q214 U204:V204">
    <cfRule type="containsText" dxfId="9" priority="38502" operator="containsText" text="No">
      <formula>NOT(ISERROR(SEARCH(("No"),(P195))))</formula>
    </cfRule>
  </conditionalFormatting>
  <conditionalFormatting sqref="P195:Q195 P197:Q198 P201:Q214 U204:V204">
    <cfRule type="containsText" dxfId="9" priority="38503" operator="containsText" text="No">
      <formula>NOT(ISERROR(SEARCH(("No"),(P195))))</formula>
    </cfRule>
  </conditionalFormatting>
  <conditionalFormatting sqref="P195:Q195 P197:Q198 P201:Q214 U204:V204">
    <cfRule type="containsText" dxfId="9" priority="38504" operator="containsText" text="No">
      <formula>NOT(ISERROR(SEARCH(("No"),(P195))))</formula>
    </cfRule>
  </conditionalFormatting>
  <conditionalFormatting sqref="P195:Q195 P197:Q198 P201:Q214 U204:V204">
    <cfRule type="containsText" dxfId="9" priority="38505" operator="containsText" text="No">
      <formula>NOT(ISERROR(SEARCH(("No"),(P195))))</formula>
    </cfRule>
  </conditionalFormatting>
  <conditionalFormatting sqref="P195:Q195 P197:Q198 P201:Q214 U204:V204">
    <cfRule type="containsText" dxfId="9" priority="38506" operator="containsText" text="No">
      <formula>NOT(ISERROR(SEARCH(("No"),(P195))))</formula>
    </cfRule>
  </conditionalFormatting>
  <conditionalFormatting sqref="P195:Q195 P197:Q198 P201:Q214 U204:V204">
    <cfRule type="containsText" dxfId="9" priority="38507" operator="containsText" text="No">
      <formula>NOT(ISERROR(SEARCH(("No"),(P195))))</formula>
    </cfRule>
  </conditionalFormatting>
  <conditionalFormatting sqref="P195:Q195 P197:Q198 P201:Q214 U204:V204">
    <cfRule type="containsText" dxfId="2" priority="38508" operator="containsText" text="Yes">
      <formula>NOT(ISERROR(SEARCH(("Yes"),(P195))))</formula>
    </cfRule>
  </conditionalFormatting>
  <conditionalFormatting sqref="P195:Q195 P197:Q198 P201:Q214 U204:V204">
    <cfRule type="containsText" dxfId="2" priority="38509" operator="containsText" text="Yes">
      <formula>NOT(ISERROR(SEARCH(("Yes"),(P195))))</formula>
    </cfRule>
  </conditionalFormatting>
  <conditionalFormatting sqref="P195:Q195 P197:Q198 P201:Q214 U204:V204">
    <cfRule type="containsText" dxfId="2" priority="38510" operator="containsText" text="Yes">
      <formula>NOT(ISERROR(SEARCH(("Yes"),(P195))))</formula>
    </cfRule>
  </conditionalFormatting>
  <conditionalFormatting sqref="P195:Q195 P197:Q198 P201:Q214 U204:V204">
    <cfRule type="containsText" dxfId="2" priority="38511" operator="containsText" text="Yes">
      <formula>NOT(ISERROR(SEARCH(("Yes"),(P195))))</formula>
    </cfRule>
  </conditionalFormatting>
  <conditionalFormatting sqref="P195:Q195 P197:Q198 P201:Q214 U204:V204">
    <cfRule type="containsText" dxfId="2" priority="38512" operator="containsText" text="Yes">
      <formula>NOT(ISERROR(SEARCH(("Yes"),(P195))))</formula>
    </cfRule>
  </conditionalFormatting>
  <conditionalFormatting sqref="P195:Q195 P197:Q198 P201:Q214 U204:V204">
    <cfRule type="containsText" dxfId="2" priority="38513" operator="containsText" text="Yes">
      <formula>NOT(ISERROR(SEARCH(("Yes"),(P195))))</formula>
    </cfRule>
  </conditionalFormatting>
  <conditionalFormatting sqref="P195:Q195 P197:Q198 P201:Q214 U204:V204">
    <cfRule type="containsText" dxfId="2" priority="38514" operator="containsText" text="Yes">
      <formula>NOT(ISERROR(SEARCH(("Yes"),(P195))))</formula>
    </cfRule>
  </conditionalFormatting>
  <conditionalFormatting sqref="P195:Q195 P197:Q198 P201:Q214 U204:V204">
    <cfRule type="containsText" dxfId="2" priority="38515" operator="containsText" text="Yes">
      <formula>NOT(ISERROR(SEARCH(("Yes"),(P195))))</formula>
    </cfRule>
  </conditionalFormatting>
  <conditionalFormatting sqref="P195:Q195 P197:Q198 P201:Q214 U204:V204">
    <cfRule type="containsText" dxfId="2" priority="38516" operator="containsText" text="Yes">
      <formula>NOT(ISERROR(SEARCH(("Yes"),(P195))))</formula>
    </cfRule>
  </conditionalFormatting>
  <conditionalFormatting sqref="P195:Q195 P197:Q198 P201:Q214 U204:V204">
    <cfRule type="containsText" dxfId="2" priority="38517" operator="containsText" text="Yes">
      <formula>NOT(ISERROR(SEARCH(("Yes"),(P195))))</formula>
    </cfRule>
  </conditionalFormatting>
  <conditionalFormatting sqref="P195:Q195 P197:Q198 P201:Q214 U204:V204">
    <cfRule type="containsText" dxfId="2" priority="38518" operator="containsText" text="Yes">
      <formula>NOT(ISERROR(SEARCH(("Yes"),(P195))))</formula>
    </cfRule>
  </conditionalFormatting>
  <conditionalFormatting sqref="P195:Q195 P197:Q198 P201:Q214 U204:V204">
    <cfRule type="containsText" dxfId="2" priority="38519" operator="containsText" text="Yes">
      <formula>NOT(ISERROR(SEARCH(("Yes"),(P195))))</formula>
    </cfRule>
  </conditionalFormatting>
  <conditionalFormatting sqref="P195:Q195 P197:Q198 P201:Q214 U204:V204">
    <cfRule type="containsText" dxfId="2" priority="38520" operator="containsText" text="Yes">
      <formula>NOT(ISERROR(SEARCH(("Yes"),(P195))))</formula>
    </cfRule>
  </conditionalFormatting>
  <conditionalFormatting sqref="P195:Q195 P197:Q198 P201:Q214 U204:V204">
    <cfRule type="containsText" dxfId="2" priority="38521" operator="containsText" text="Yes">
      <formula>NOT(ISERROR(SEARCH(("Yes"),(P195))))</formula>
    </cfRule>
  </conditionalFormatting>
  <conditionalFormatting sqref="P195:Q195 P197:Q198 P201:Q214 U204:V204">
    <cfRule type="containsText" dxfId="2" priority="38522" operator="containsText" text="Yes">
      <formula>NOT(ISERROR(SEARCH(("Yes"),(P195))))</formula>
    </cfRule>
  </conditionalFormatting>
  <conditionalFormatting sqref="P195:Q195 P197:Q198 P201:Q214 U204:V204">
    <cfRule type="containsText" dxfId="2" priority="38523" operator="containsText" text="Yes">
      <formula>NOT(ISERROR(SEARCH(("Yes"),(P195))))</formula>
    </cfRule>
  </conditionalFormatting>
  <conditionalFormatting sqref="P195:Q195 P197:Q198 P201:Q214 U204:V204">
    <cfRule type="containsText" dxfId="2" priority="38524" operator="containsText" text="Yes">
      <formula>NOT(ISERROR(SEARCH(("Yes"),(P195))))</formula>
    </cfRule>
  </conditionalFormatting>
  <conditionalFormatting sqref="P195:Q195 P197:Q198 P201:Q214 U204:V204">
    <cfRule type="containsText" dxfId="2" priority="38525" operator="containsText" text="Yes">
      <formula>NOT(ISERROR(SEARCH(("Yes"),(P195))))</formula>
    </cfRule>
  </conditionalFormatting>
  <conditionalFormatting sqref="P195:Q195 P197:Q198 P201:Q214 U204:V204">
    <cfRule type="containsText" dxfId="2" priority="38526" operator="containsText" text="Yes">
      <formula>NOT(ISERROR(SEARCH(("Yes"),(P195))))</formula>
    </cfRule>
  </conditionalFormatting>
  <conditionalFormatting sqref="P195:Q195 P197:Q198 P201:Q214 U204:V204">
    <cfRule type="containsText" dxfId="2" priority="38527" operator="containsText" text="Yes">
      <formula>NOT(ISERROR(SEARCH(("Yes"),(P195))))</formula>
    </cfRule>
  </conditionalFormatting>
  <conditionalFormatting sqref="P195:Q195 P197:Q198 P201:Q214 U204:V204">
    <cfRule type="containsText" dxfId="2" priority="38528" operator="containsText" text="Yes">
      <formula>NOT(ISERROR(SEARCH(("Yes"),(P195))))</formula>
    </cfRule>
  </conditionalFormatting>
  <conditionalFormatting sqref="P195:Q195 P197:Q198 P201:Q214 U204:V204">
    <cfRule type="containsText" dxfId="2" priority="38529" operator="containsText" text="Yes">
      <formula>NOT(ISERROR(SEARCH(("Yes"),(P195))))</formula>
    </cfRule>
  </conditionalFormatting>
  <conditionalFormatting sqref="P195:Q195 P197:Q198 P201:Q214 U204:V204">
    <cfRule type="containsText" dxfId="2" priority="38530" operator="containsText" text="Yes">
      <formula>NOT(ISERROR(SEARCH(("Yes"),(P195))))</formula>
    </cfRule>
  </conditionalFormatting>
  <conditionalFormatting sqref="P195:Q195 P197:Q198 P201:Q214 U204:V204">
    <cfRule type="containsText" dxfId="2" priority="38531" operator="containsText" text="Yes">
      <formula>NOT(ISERROR(SEARCH(("Yes"),(P195))))</formula>
    </cfRule>
  </conditionalFormatting>
  <conditionalFormatting sqref="P195:Q195 P197:Q198 P201:Q214 U204:V204">
    <cfRule type="containsText" dxfId="2" priority="38532" operator="containsText" text="Yes">
      <formula>NOT(ISERROR(SEARCH(("Yes"),(P195))))</formula>
    </cfRule>
  </conditionalFormatting>
  <conditionalFormatting sqref="P195:Q195 P197:Q198 P201:Q214 U204:V204">
    <cfRule type="containsText" dxfId="2" priority="38533" operator="containsText" text="Yes">
      <formula>NOT(ISERROR(SEARCH(("Yes"),(P195))))</formula>
    </cfRule>
  </conditionalFormatting>
  <conditionalFormatting sqref="P195:Q195 P197:Q198 P201:Q214 U204:V204">
    <cfRule type="containsText" dxfId="2" priority="38534" operator="containsText" text="Yes">
      <formula>NOT(ISERROR(SEARCH(("Yes"),(P195))))</formula>
    </cfRule>
  </conditionalFormatting>
  <conditionalFormatting sqref="P195:Q195 P197:Q198 P201:Q214 U204:V204">
    <cfRule type="containsText" dxfId="2" priority="38535" operator="containsText" text="Yes">
      <formula>NOT(ISERROR(SEARCH(("Yes"),(P195))))</formula>
    </cfRule>
  </conditionalFormatting>
  <conditionalFormatting sqref="P195:Q195 P197:Q198 P201:Q214 U204:V204">
    <cfRule type="containsText" dxfId="2" priority="38536" operator="containsText" text="Yes">
      <formula>NOT(ISERROR(SEARCH(("Yes"),(P195))))</formula>
    </cfRule>
  </conditionalFormatting>
  <conditionalFormatting sqref="P195:Q195 P197:Q198 P201:Q214 U204:V204">
    <cfRule type="containsText" dxfId="2" priority="38537" operator="containsText" text="Yes">
      <formula>NOT(ISERROR(SEARCH(("Yes"),(P195))))</formula>
    </cfRule>
  </conditionalFormatting>
  <conditionalFormatting sqref="P195:Q195 P197:Q198 P201:Q214 U204:V204">
    <cfRule type="containsText" dxfId="2" priority="38538" operator="containsText" text="Yes">
      <formula>NOT(ISERROR(SEARCH(("Yes"),(P195))))</formula>
    </cfRule>
  </conditionalFormatting>
  <conditionalFormatting sqref="P195:Q195 P197:Q198 P201:Q214 U204:V204">
    <cfRule type="containsText" dxfId="2" priority="38539" operator="containsText" text="Yes">
      <formula>NOT(ISERROR(SEARCH(("Yes"),(P195))))</formula>
    </cfRule>
  </conditionalFormatting>
  <conditionalFormatting sqref="P195:Q195 P197:Q198 P201:Q214 U204:V204">
    <cfRule type="containsText" dxfId="2" priority="38540" operator="containsText" text="Yes">
      <formula>NOT(ISERROR(SEARCH(("Yes"),(P195))))</formula>
    </cfRule>
  </conditionalFormatting>
  <conditionalFormatting sqref="P195:Q195 P197:Q198 P201:Q214 U204:V204">
    <cfRule type="containsText" dxfId="2" priority="38541" operator="containsText" text="Yes">
      <formula>NOT(ISERROR(SEARCH(("Yes"),(P195))))</formula>
    </cfRule>
  </conditionalFormatting>
  <conditionalFormatting sqref="P195:Q195 P197:Q198 P201:Q214 U204:V204">
    <cfRule type="containsText" dxfId="2" priority="38542" operator="containsText" text="Yes">
      <formula>NOT(ISERROR(SEARCH(("Yes"),(P195))))</formula>
    </cfRule>
  </conditionalFormatting>
  <conditionalFormatting sqref="P195:Q195 P197:Q198 P201:Q214 U204:V204">
    <cfRule type="containsText" dxfId="2" priority="38543" operator="containsText" text="Yes">
      <formula>NOT(ISERROR(SEARCH(("Yes"),(P195))))</formula>
    </cfRule>
  </conditionalFormatting>
  <conditionalFormatting sqref="P195:Q195 P197:Q198 P201:Q214 U204:V204">
    <cfRule type="containsText" dxfId="2" priority="38544" operator="containsText" text="Yes">
      <formula>NOT(ISERROR(SEARCH(("Yes"),(P195))))</formula>
    </cfRule>
  </conditionalFormatting>
  <conditionalFormatting sqref="P195:Q195 P197:Q198 P201:Q214 U204:V204">
    <cfRule type="containsText" dxfId="2" priority="38545" operator="containsText" text="Yes">
      <formula>NOT(ISERROR(SEARCH(("Yes"),(P195))))</formula>
    </cfRule>
  </conditionalFormatting>
  <conditionalFormatting sqref="P195:Q195 P197:Q198 P201:Q214 U204:V204">
    <cfRule type="containsText" dxfId="2" priority="38546" operator="containsText" text="Yes">
      <formula>NOT(ISERROR(SEARCH(("Yes"),(P195))))</formula>
    </cfRule>
  </conditionalFormatting>
  <conditionalFormatting sqref="P195:Q195 P197:Q198 P201:Q214 U204:V204">
    <cfRule type="containsText" dxfId="2" priority="38547" operator="containsText" text="Yes">
      <formula>NOT(ISERROR(SEARCH(("Yes"),(P195))))</formula>
    </cfRule>
  </conditionalFormatting>
  <conditionalFormatting sqref="P195:Q195 P197:Q198 P201:Q214 U204:V204">
    <cfRule type="containsText" dxfId="2" priority="38548" operator="containsText" text="Yes">
      <formula>NOT(ISERROR(SEARCH(("Yes"),(P195))))</formula>
    </cfRule>
  </conditionalFormatting>
  <conditionalFormatting sqref="P195:Q195 P197:Q198 P201:Q214 U204:V204">
    <cfRule type="containsText" dxfId="2" priority="38549" operator="containsText" text="Yes">
      <formula>NOT(ISERROR(SEARCH(("Yes"),(P195))))</formula>
    </cfRule>
  </conditionalFormatting>
  <conditionalFormatting sqref="P195:Q195 P197:Q198 P201:Q214 U204:V204">
    <cfRule type="containsText" dxfId="2" priority="38550" operator="containsText" text="Yes">
      <formula>NOT(ISERROR(SEARCH(("Yes"),(P195))))</formula>
    </cfRule>
  </conditionalFormatting>
  <conditionalFormatting sqref="P195:Q195 P197:Q198 P201:Q214 U204:V204">
    <cfRule type="containsText" dxfId="2" priority="38551" operator="containsText" text="Yes">
      <formula>NOT(ISERROR(SEARCH(("Yes"),(P195))))</formula>
    </cfRule>
  </conditionalFormatting>
  <conditionalFormatting sqref="P195:Q195 P197:Q198 P201:Q214 U204:V204">
    <cfRule type="containsText" dxfId="2" priority="38552" operator="containsText" text="Yes">
      <formula>NOT(ISERROR(SEARCH(("Yes"),(P195))))</formula>
    </cfRule>
  </conditionalFormatting>
  <conditionalFormatting sqref="P195:Q195 P197:Q198 P201:Q214 U204:V204">
    <cfRule type="containsText" dxfId="2" priority="38553" operator="containsText" text="Yes">
      <formula>NOT(ISERROR(SEARCH(("Yes"),(P195))))</formula>
    </cfRule>
  </conditionalFormatting>
  <conditionalFormatting sqref="P195:Q195 P197:Q198 P201:Q214 U204:V204">
    <cfRule type="containsText" dxfId="2" priority="38554" operator="containsText" text="Yes">
      <formula>NOT(ISERROR(SEARCH(("Yes"),(P195))))</formula>
    </cfRule>
  </conditionalFormatting>
  <conditionalFormatting sqref="N196:Q196 N198:Q214 U204:V204 N217:Q221 N224:N226 N229:N230 N234 N238 N241 N243 N245 N247:N248 N251">
    <cfRule type="containsText" dxfId="9" priority="38555" operator="containsText" text="No">
      <formula>NOT(ISERROR(SEARCH(("No"),(N196))))</formula>
    </cfRule>
  </conditionalFormatting>
  <conditionalFormatting sqref="N196:Q196 N198:Q214 U204:V204 N217:Q221 N224:N226 N229:N230 N234 N238 N241 N243 N245 N247:N248 N251">
    <cfRule type="containsText" dxfId="9" priority="38556" operator="containsText" text="No">
      <formula>NOT(ISERROR(SEARCH(("No"),(N196))))</formula>
    </cfRule>
  </conditionalFormatting>
  <conditionalFormatting sqref="N196:Q196 N198:Q214 U204:V204 N217:Q221 N224:N226 N229:N230 N234 N238 N241 N243 N245 N247:N248 N251">
    <cfRule type="containsText" dxfId="9" priority="38557" operator="containsText" text="No">
      <formula>NOT(ISERROR(SEARCH(("No"),(N196))))</formula>
    </cfRule>
  </conditionalFormatting>
  <conditionalFormatting sqref="N196:Q196 N198:Q214 U204:V204 N217:Q221 N224:N226 N229:N230 N234 N238 N241 N243 N245 N247:N248 N251">
    <cfRule type="containsText" dxfId="9" priority="38558" operator="containsText" text="No">
      <formula>NOT(ISERROR(SEARCH(("No"),(N196))))</formula>
    </cfRule>
  </conditionalFormatting>
  <conditionalFormatting sqref="N196:Q196 N198:Q214 U204:V204 N217:Q221 N224:N226 N229:N230 N234 N238 N241 N243 N245 N247:N248 N251">
    <cfRule type="containsText" dxfId="9" priority="38559" operator="containsText" text="No">
      <formula>NOT(ISERROR(SEARCH(("No"),(N196))))</formula>
    </cfRule>
  </conditionalFormatting>
  <conditionalFormatting sqref="N196:Q196 N198:Q214 U204:V204 N217:Q221 N224:N226 N229:N230 N234 N238 N241 N243 N245 N247:N248 N251">
    <cfRule type="containsText" dxfId="9" priority="38560" operator="containsText" text="No">
      <formula>NOT(ISERROR(SEARCH(("No"),(N196))))</formula>
    </cfRule>
  </conditionalFormatting>
  <conditionalFormatting sqref="N196:Q196 N198:Q214 U204:V204 N217:Q221 N224:N226 N229:N230 N234 N238 N241 N243 N245 N247:N248 N251">
    <cfRule type="containsText" dxfId="9" priority="38561" operator="containsText" text="No">
      <formula>NOT(ISERROR(SEARCH(("No"),(N196))))</formula>
    </cfRule>
  </conditionalFormatting>
  <conditionalFormatting sqref="N196:Q196 N198:Q214 U204:V204 N217:Q221 N224:N226 N229:N230 N234 N238 N241 N243 N245 N247:N248 N251">
    <cfRule type="containsText" dxfId="9" priority="38562" operator="containsText" text="No">
      <formula>NOT(ISERROR(SEARCH(("No"),(N196))))</formula>
    </cfRule>
  </conditionalFormatting>
  <conditionalFormatting sqref="N196:Q196 N198:Q214 U204:V204 N217:Q221 N224:N226 N229:N230 N234 N238 N241 N243 N245 N247:N248 N251">
    <cfRule type="containsText" dxfId="9" priority="38563" operator="containsText" text="No">
      <formula>NOT(ISERROR(SEARCH(("No"),(N196))))</formula>
    </cfRule>
  </conditionalFormatting>
  <conditionalFormatting sqref="N196:Q196 N198:Q214 U204:V204 N217:Q221 N224:N226 N229:N230 N234 N238 N241 N243 N245 N247:N248 N251">
    <cfRule type="containsText" dxfId="9" priority="38564" operator="containsText" text="No">
      <formula>NOT(ISERROR(SEARCH(("No"),(N196))))</formula>
    </cfRule>
  </conditionalFormatting>
  <conditionalFormatting sqref="N196:Q196 N198:Q214 U204:V204 N217:Q221 N224:N226 N229:N230 N234 N238 N241 N243 N245 N247:N248 N251">
    <cfRule type="containsText" dxfId="9" priority="38565" operator="containsText" text="No">
      <formula>NOT(ISERROR(SEARCH(("No"),(N196))))</formula>
    </cfRule>
  </conditionalFormatting>
  <conditionalFormatting sqref="N196:Q196 N198:Q214 U204:V204 N217:Q221 N224:N226 N229:N230 N234 N238 N241 N243 N245 N247:N248 N251">
    <cfRule type="containsText" dxfId="9" priority="38566" operator="containsText" text="No">
      <formula>NOT(ISERROR(SEARCH(("No"),(N196))))</formula>
    </cfRule>
  </conditionalFormatting>
  <conditionalFormatting sqref="N196:Q196 N198:Q214 U204:V204 N217:Q221 N224:N226 N229:N230 N234 N238 N241 N243 N245 N247:N248 N251">
    <cfRule type="containsText" dxfId="9" priority="38567" operator="containsText" text="No">
      <formula>NOT(ISERROR(SEARCH(("No"),(N196))))</formula>
    </cfRule>
  </conditionalFormatting>
  <conditionalFormatting sqref="N196:Q196 N198:Q214 U204:V204 N217:Q221 N224:N226 N229:N230 N234 N238 N241 N243 N245 N247:N248 N251">
    <cfRule type="containsText" dxfId="9" priority="38568" operator="containsText" text="No">
      <formula>NOT(ISERROR(SEARCH(("No"),(N196))))</formula>
    </cfRule>
  </conditionalFormatting>
  <conditionalFormatting sqref="N196:Q196 N198:Q214 U204:V204 N217:Q221 N224:N226 N229:N230 N234 N238 N241 N243 N245 N247:N248 N251">
    <cfRule type="containsText" dxfId="9" priority="38569" operator="containsText" text="No">
      <formula>NOT(ISERROR(SEARCH(("No"),(N196))))</formula>
    </cfRule>
  </conditionalFormatting>
  <conditionalFormatting sqref="N196:Q196 N198:Q214 U204:V204 N217:Q221 N224:N226 N229:N230 N234 N238 N241 N243 N245 N247:N248 N251">
    <cfRule type="containsText" dxfId="9" priority="38570" operator="containsText" text="No">
      <formula>NOT(ISERROR(SEARCH(("No"),(N196))))</formula>
    </cfRule>
  </conditionalFormatting>
  <conditionalFormatting sqref="N196:Q196 N198:Q214 U204:V204 N217:Q221 N224:N226 N229:N230 N234 N238 N241 N243 N245 N247:N248 N251">
    <cfRule type="containsText" dxfId="9" priority="38571" operator="containsText" text="No">
      <formula>NOT(ISERROR(SEARCH(("No"),(N196))))</formula>
    </cfRule>
  </conditionalFormatting>
  <conditionalFormatting sqref="N196:Q196 N198:Q214 U204:V204 N217:Q221 N224:N226 N229:N230 N234 N238 N241 N243 N245 N247:N248 N251">
    <cfRule type="containsText" dxfId="9" priority="38572" operator="containsText" text="No">
      <formula>NOT(ISERROR(SEARCH(("No"),(N196))))</formula>
    </cfRule>
  </conditionalFormatting>
  <conditionalFormatting sqref="N196:Q196 N198:Q214 U204:V204 N217:Q221 N224:N226 N229:N230 N234 N238 N241 N243 N245 N247:N248 N251">
    <cfRule type="containsText" dxfId="9" priority="38573" operator="containsText" text="No">
      <formula>NOT(ISERROR(SEARCH(("No"),(N196))))</formula>
    </cfRule>
  </conditionalFormatting>
  <conditionalFormatting sqref="N196:Q196 N198:Q214 U204:V204 N217:Q221 N224:N226 N229:N230 N234 N238 N241 N243 N245 N247:N248 N251">
    <cfRule type="containsText" dxfId="9" priority="38574" operator="containsText" text="No">
      <formula>NOT(ISERROR(SEARCH(("No"),(N196))))</formula>
    </cfRule>
  </conditionalFormatting>
  <conditionalFormatting sqref="N196:Q196 N198:Q214 U204:V204 N217:Q221 N224:N226 N229:N230 N234 N238 N241 N243 N245 N247:N248 N251">
    <cfRule type="containsText" dxfId="9" priority="38575" operator="containsText" text="No">
      <formula>NOT(ISERROR(SEARCH(("No"),(N196))))</formula>
    </cfRule>
  </conditionalFormatting>
  <conditionalFormatting sqref="N196:Q196 N198:Q214 U204:V204 N217:Q221 N224:N226 N229:N230 N234 N238 N241 N243 N245 N247:N248 N251">
    <cfRule type="containsText" dxfId="9" priority="38576" operator="containsText" text="No">
      <formula>NOT(ISERROR(SEARCH(("No"),(N196))))</formula>
    </cfRule>
  </conditionalFormatting>
  <conditionalFormatting sqref="N196:Q196 N198:Q214 U204:V204 N217:Q221 N224:N226 N229:N230 N234 N238 N241 N243 N245 N247:N248 N251">
    <cfRule type="containsText" dxfId="9" priority="38577" operator="containsText" text="No">
      <formula>NOT(ISERROR(SEARCH(("No"),(N196))))</formula>
    </cfRule>
  </conditionalFormatting>
  <conditionalFormatting sqref="N196:Q196 N198:Q214 U204:V204 N217:Q221 N224:N226 N229:N230 N234 N238 N241 N243 N245 N247:N248 N251">
    <cfRule type="containsText" dxfId="9" priority="38578" operator="containsText" text="No">
      <formula>NOT(ISERROR(SEARCH(("No"),(N196))))</formula>
    </cfRule>
  </conditionalFormatting>
  <conditionalFormatting sqref="N196:Q196 N198:Q214 U204:V204 N217:Q221 N224:N226 N229:N230 N234 N238 N241 N243 N245 N247:N248 N251">
    <cfRule type="containsText" dxfId="9" priority="38579" operator="containsText" text="No">
      <formula>NOT(ISERROR(SEARCH(("No"),(N196))))</formula>
    </cfRule>
  </conditionalFormatting>
  <conditionalFormatting sqref="N196:Q196 N198:Q214 U204:V204 N217:Q221 N224:N226 N229:N230 N234 N238 N241 N243 N245 N247:N248 N251">
    <cfRule type="containsText" dxfId="9" priority="38580" operator="containsText" text="No">
      <formula>NOT(ISERROR(SEARCH(("No"),(N196))))</formula>
    </cfRule>
  </conditionalFormatting>
  <conditionalFormatting sqref="N196:Q196 N198:Q214 U204:V204 N217:Q221 N224:N226 N229:N230 N234 N238 N241 N243 N245 N247:N248 N251">
    <cfRule type="containsText" dxfId="9" priority="38581" operator="containsText" text="No">
      <formula>NOT(ISERROR(SEARCH(("No"),(N196))))</formula>
    </cfRule>
  </conditionalFormatting>
  <conditionalFormatting sqref="N196:Q196 N198:Q214 U204:V204 N217:Q221 N224:N226 N229:N230 N234 N238 N241 N243 N245 N247:N248 N251">
    <cfRule type="containsText" dxfId="9" priority="38582" operator="containsText" text="No">
      <formula>NOT(ISERROR(SEARCH(("No"),(N196))))</formula>
    </cfRule>
  </conditionalFormatting>
  <conditionalFormatting sqref="N196:Q196 N198:Q214 U204:V204 N217:Q221 N224:N226 N229:N230 N234 N238 N241 N243 N245 N247:N248 N251">
    <cfRule type="containsText" dxfId="9" priority="38583" operator="containsText" text="No">
      <formula>NOT(ISERROR(SEARCH(("No"),(N196))))</formula>
    </cfRule>
  </conditionalFormatting>
  <conditionalFormatting sqref="N196:Q196 N198:Q214 U204:V204 N217:Q221 N224:N226 N229:N230 N234 N238 N241 N243 N245 N247:N248 N251">
    <cfRule type="containsText" dxfId="9" priority="38584" operator="containsText" text="No">
      <formula>NOT(ISERROR(SEARCH(("No"),(N196))))</formula>
    </cfRule>
  </conditionalFormatting>
  <conditionalFormatting sqref="N196:Q196 N198:Q214 U204:V204 N217:Q221 N224:N226 N229:N230 N234 N238 N241 N243 N245 N247:N248 N251">
    <cfRule type="containsText" dxfId="9" priority="38585" operator="containsText" text="No">
      <formula>NOT(ISERROR(SEARCH(("No"),(N196))))</formula>
    </cfRule>
  </conditionalFormatting>
  <conditionalFormatting sqref="N196:Q196 N198:Q214 U204:V204 N217:Q221 N224:N226 N229:N230 N234 N238 N241 N243 N245 N247:N248 N251">
    <cfRule type="containsText" dxfId="9" priority="38586" operator="containsText" text="No">
      <formula>NOT(ISERROR(SEARCH(("No"),(N196))))</formula>
    </cfRule>
  </conditionalFormatting>
  <conditionalFormatting sqref="N196:Q196 N198:Q214 U204:V204 N217:Q221 N224:N226 N229:N230 N234 N238 N241 N243 N245 N247:N248 N251">
    <cfRule type="containsText" dxfId="9" priority="38587" operator="containsText" text="No">
      <formula>NOT(ISERROR(SEARCH(("No"),(N196))))</formula>
    </cfRule>
  </conditionalFormatting>
  <conditionalFormatting sqref="N196:Q196 N198:Q214 U204:V204 N217:Q221 N224:N226 N229:N230 N234 N238 N241 N243 N245 N247:N248 N251">
    <cfRule type="containsText" dxfId="9" priority="38588" operator="containsText" text="No">
      <formula>NOT(ISERROR(SEARCH(("No"),(N196))))</formula>
    </cfRule>
  </conditionalFormatting>
  <conditionalFormatting sqref="N196:Q196 N198:Q214 U204:V204 N217:Q221 N224:N226 N229:N230 N234 N238 N241 N243 N245 N247:N248 N251">
    <cfRule type="containsText" dxfId="9" priority="38589" operator="containsText" text="No">
      <formula>NOT(ISERROR(SEARCH(("No"),(N196))))</formula>
    </cfRule>
  </conditionalFormatting>
  <conditionalFormatting sqref="N196:Q196 N198:Q214 U204:V204 N217:Q221 N224:N226 N229:N230 N234 N238 N241 N243 N245 N247:N248 N251">
    <cfRule type="containsText" dxfId="9" priority="38590" operator="containsText" text="No">
      <formula>NOT(ISERROR(SEARCH(("No"),(N196))))</formula>
    </cfRule>
  </conditionalFormatting>
  <conditionalFormatting sqref="N196:Q196 N198:Q214 U204:V204 N217:Q221 N224:N226 N229:N230 N234 N238 N241 N243 N245 N247:N248 N251">
    <cfRule type="containsText" dxfId="9" priority="38591" operator="containsText" text="No">
      <formula>NOT(ISERROR(SEARCH(("No"),(N196))))</formula>
    </cfRule>
  </conditionalFormatting>
  <conditionalFormatting sqref="N196:Q196 N198:Q214 U204:V204 N217:Q221 N224:N226 N229:N230 N234 N238 N241 N243 N245 N247:N248 N251">
    <cfRule type="containsText" dxfId="9" priority="38592" operator="containsText" text="No">
      <formula>NOT(ISERROR(SEARCH(("No"),(N196))))</formula>
    </cfRule>
  </conditionalFormatting>
  <conditionalFormatting sqref="N196:Q196 N198:Q214 U204:V204 N217:Q221 N224:N226 N229:N230 N234 N238 N241 N243 N245 N247:N248 N251">
    <cfRule type="containsText" dxfId="9" priority="38593" operator="containsText" text="No">
      <formula>NOT(ISERROR(SEARCH(("No"),(N196))))</formula>
    </cfRule>
  </conditionalFormatting>
  <conditionalFormatting sqref="N196:Q196 N198:Q214 U204:V204 N217:Q221 N224:N226 N229:N230 N234 N238 N241 N243 N245 N247:N248 N251">
    <cfRule type="containsText" dxfId="9" priority="38594" operator="containsText" text="No">
      <formula>NOT(ISERROR(SEARCH(("No"),(N196))))</formula>
    </cfRule>
  </conditionalFormatting>
  <conditionalFormatting sqref="N196:Q196 N198:Q214 U204:V204 N217:Q221 N224:N226 N229:N230 N234 N238 N241 N243 N245 N247:N248 N251">
    <cfRule type="containsText" dxfId="9" priority="38595" operator="containsText" text="No">
      <formula>NOT(ISERROR(SEARCH(("No"),(N196))))</formula>
    </cfRule>
  </conditionalFormatting>
  <conditionalFormatting sqref="N196:Q196 N198:Q214 U204:V204 N217:Q221 N224:N226 N229:N230 N234 N238 N241 N243 N245 N247:N248 N251">
    <cfRule type="containsText" dxfId="9" priority="38596" operator="containsText" text="No">
      <formula>NOT(ISERROR(SEARCH(("No"),(N196))))</formula>
    </cfRule>
  </conditionalFormatting>
  <conditionalFormatting sqref="N196:Q196 N198:Q214 U204:V204 N217:Q221 N224:N226 N229:N230 N234 N238 N241 N243 N245 N247:N248 N251">
    <cfRule type="containsText" dxfId="9" priority="38597" operator="containsText" text="No">
      <formula>NOT(ISERROR(SEARCH(("No"),(N196))))</formula>
    </cfRule>
  </conditionalFormatting>
  <conditionalFormatting sqref="N196:Q196 N198:Q214 U204:V204 N217:Q221 N224:N226 N229:N230 N234 N238 N241 N243 N245 N247:N248 N251">
    <cfRule type="containsText" dxfId="9" priority="38598" operator="containsText" text="No">
      <formula>NOT(ISERROR(SEARCH(("No"),(N196))))</formula>
    </cfRule>
  </conditionalFormatting>
  <conditionalFormatting sqref="N196:Q196 N198:Q214 U204:V204 N217:Q221 N224:N226 N229:N230 N234 N238 N241 N243 N245 N247:N248 N251">
    <cfRule type="containsText" dxfId="9" priority="38599" operator="containsText" text="No">
      <formula>NOT(ISERROR(SEARCH(("No"),(N196))))</formula>
    </cfRule>
  </conditionalFormatting>
  <conditionalFormatting sqref="N196:Q196 N198:Q214 U204:V204 N217:Q221 N224:N226 N229:N230 N234 N238 N241 N243 N245 N247:N248 N251">
    <cfRule type="containsText" dxfId="2" priority="38600" operator="containsText" text="Yes">
      <formula>NOT(ISERROR(SEARCH(("Yes"),(N196))))</formula>
    </cfRule>
  </conditionalFormatting>
  <conditionalFormatting sqref="N196:Q196 N198:Q214 U204:V204 N217:Q221 N224:N226 N229:N230 N234 N238 N241 N243 N245 N247:N248 N251">
    <cfRule type="containsText" dxfId="2" priority="38601" operator="containsText" text="Yes">
      <formula>NOT(ISERROR(SEARCH(("Yes"),(N196))))</formula>
    </cfRule>
  </conditionalFormatting>
  <conditionalFormatting sqref="N196:Q196 N198:Q214 U204:V204 N217:Q221 N224:N226 N229:N230 N234 N238 N241 N243 N245 N247:N248 N251">
    <cfRule type="containsText" dxfId="2" priority="38602" operator="containsText" text="Yes">
      <formula>NOT(ISERROR(SEARCH(("Yes"),(N196))))</formula>
    </cfRule>
  </conditionalFormatting>
  <conditionalFormatting sqref="N196:Q196 N198:Q214 U204:V204 N217:Q221 N224:N226 N229:N230 N234 N238 N241 N243 N245 N247:N248 N251">
    <cfRule type="containsText" dxfId="2" priority="38603" operator="containsText" text="Yes">
      <formula>NOT(ISERROR(SEARCH(("Yes"),(N196))))</formula>
    </cfRule>
  </conditionalFormatting>
  <conditionalFormatting sqref="N196:Q196 N198:Q214 U204:V204 N217:Q221 N224:N226 N229:N230 N234 N238 N241 N243 N245 N247:N248 N251">
    <cfRule type="containsText" dxfId="2" priority="38604" operator="containsText" text="Yes">
      <formula>NOT(ISERROR(SEARCH(("Yes"),(N196))))</formula>
    </cfRule>
  </conditionalFormatting>
  <conditionalFormatting sqref="N196:Q196 N198:Q214 U204:V204 N217:Q221 N224:N226 N229:N230 N234 N238 N241 N243 N245 N247:N248 N251">
    <cfRule type="containsText" dxfId="2" priority="38605" operator="containsText" text="Yes">
      <formula>NOT(ISERROR(SEARCH(("Yes"),(N196))))</formula>
    </cfRule>
  </conditionalFormatting>
  <conditionalFormatting sqref="N196:Q196 N198:Q214 U204:V204 N217:Q221 N224:N226 N229:N230 N234 N238 N241 N243 N245 N247:N248 N251">
    <cfRule type="containsText" dxfId="2" priority="38606" operator="containsText" text="Yes">
      <formula>NOT(ISERROR(SEARCH(("Yes"),(N196))))</formula>
    </cfRule>
  </conditionalFormatting>
  <conditionalFormatting sqref="N196:Q196 N198:Q214 U204:V204 N217:Q221 N224:N226 N229:N230 N234 N238 N241 N243 N245 N247:N248 N251">
    <cfRule type="containsText" dxfId="2" priority="38607" operator="containsText" text="Yes">
      <formula>NOT(ISERROR(SEARCH(("Yes"),(N196))))</formula>
    </cfRule>
  </conditionalFormatting>
  <conditionalFormatting sqref="N196:Q196 N198:Q214 U204:V204 N217:Q221 N224:N226 N229:N230 N234 N238 N241 N243 N245 N247:N248 N251">
    <cfRule type="containsText" dxfId="2" priority="38608" operator="containsText" text="Yes">
      <formula>NOT(ISERROR(SEARCH(("Yes"),(N196))))</formula>
    </cfRule>
  </conditionalFormatting>
  <conditionalFormatting sqref="N196:Q196 N198:Q214 U204:V204 N217:Q221 N224:N226 N229:N230 N234 N238 N241 N243 N245 N247:N248 N251">
    <cfRule type="containsText" dxfId="2" priority="38609" operator="containsText" text="Yes">
      <formula>NOT(ISERROR(SEARCH(("Yes"),(N196))))</formula>
    </cfRule>
  </conditionalFormatting>
  <conditionalFormatting sqref="N196:Q196 N198:Q214 U204:V204 N217:Q221 N224:N226 N229:N230 N234 N238 N241 N243 N245 N247:N248 N251">
    <cfRule type="containsText" dxfId="2" priority="38610" operator="containsText" text="Yes">
      <formula>NOT(ISERROR(SEARCH(("Yes"),(N196))))</formula>
    </cfRule>
  </conditionalFormatting>
  <conditionalFormatting sqref="N196:Q196 N198:Q214 U204:V204 N217:Q221 N224:N226 N229:N230 N234 N238 N241 N243 N245 N247:N248 N251">
    <cfRule type="containsText" dxfId="2" priority="38611" operator="containsText" text="Yes">
      <formula>NOT(ISERROR(SEARCH(("Yes"),(N196))))</formula>
    </cfRule>
  </conditionalFormatting>
  <conditionalFormatting sqref="N196:Q196 N198:Q214 U204:V204 N217:Q221 N224:N226 N229:N230 N234 N238 N241 N243 N245 N247:N248 N251">
    <cfRule type="containsText" dxfId="2" priority="38612" operator="containsText" text="Yes">
      <formula>NOT(ISERROR(SEARCH(("Yes"),(N196))))</formula>
    </cfRule>
  </conditionalFormatting>
  <conditionalFormatting sqref="N196:Q196 N198:Q214 U204:V204 N217:Q221 N224:N226 N229:N230 N234 N238 N241 N243 N245 N247:N248 N251">
    <cfRule type="containsText" dxfId="2" priority="38613" operator="containsText" text="Yes">
      <formula>NOT(ISERROR(SEARCH(("Yes"),(N196))))</formula>
    </cfRule>
  </conditionalFormatting>
  <conditionalFormatting sqref="N196:Q196 N198:Q214 U204:V204 N217:Q221 N224:N226 N229:N230 N234 N238 N241 N243 N245 N247:N248 N251">
    <cfRule type="containsText" dxfId="2" priority="38614" operator="containsText" text="Yes">
      <formula>NOT(ISERROR(SEARCH(("Yes"),(N196))))</formula>
    </cfRule>
  </conditionalFormatting>
  <conditionalFormatting sqref="N196:Q196 N198:Q214 U204:V204 N217:Q221 N224:N226 N229:N230 N234 N238 N241 N243 N245 N247:N248 N251">
    <cfRule type="containsText" dxfId="2" priority="38615" operator="containsText" text="Yes">
      <formula>NOT(ISERROR(SEARCH(("Yes"),(N196))))</formula>
    </cfRule>
  </conditionalFormatting>
  <conditionalFormatting sqref="N196:Q196 N198:Q214 U204:V204 N217:Q221 N224:N226 N229:N230 N234 N238 N241 N243 N245 N247:N248 N251">
    <cfRule type="containsText" dxfId="2" priority="38616" operator="containsText" text="Yes">
      <formula>NOT(ISERROR(SEARCH(("Yes"),(N196))))</formula>
    </cfRule>
  </conditionalFormatting>
  <conditionalFormatting sqref="N196:Q196 N198:Q214 U204:V204 N217:Q221 N224:N226 N229:N230 N234 N238 N241 N243 N245 N247:N248 N251">
    <cfRule type="containsText" dxfId="2" priority="38617" operator="containsText" text="Yes">
      <formula>NOT(ISERROR(SEARCH(("Yes"),(N196))))</formula>
    </cfRule>
  </conditionalFormatting>
  <conditionalFormatting sqref="N196:Q196 N198:Q214 U204:V204 N217:Q221 N224:N226 N229:N230 N234 N238 N241 N243 N245 N247:N248 N251">
    <cfRule type="containsText" dxfId="2" priority="38618" operator="containsText" text="Yes">
      <formula>NOT(ISERROR(SEARCH(("Yes"),(N196))))</formula>
    </cfRule>
  </conditionalFormatting>
  <conditionalFormatting sqref="N196:Q196 N198:Q214 U204:V204 N217:Q221 N224:N226 N229:N230 N234 N238 N241 N243 N245 N247:N248 N251">
    <cfRule type="containsText" dxfId="2" priority="38619" operator="containsText" text="Yes">
      <formula>NOT(ISERROR(SEARCH(("Yes"),(N196))))</formula>
    </cfRule>
  </conditionalFormatting>
  <conditionalFormatting sqref="N196:Q196 N198:Q214 U204:V204 N217:Q221 N224:N226 N229:N230 N234 N238 N241 N243 N245 N247:N248 N251">
    <cfRule type="containsText" dxfId="2" priority="38620" operator="containsText" text="Yes">
      <formula>NOT(ISERROR(SEARCH(("Yes"),(N196))))</formula>
    </cfRule>
  </conditionalFormatting>
  <conditionalFormatting sqref="N196:Q196 N198:Q214 U204:V204 N217:Q221 N224:N226 N229:N230 N234 N238 N241 N243 N245 N247:N248 N251">
    <cfRule type="containsText" dxfId="2" priority="38621" operator="containsText" text="Yes">
      <formula>NOT(ISERROR(SEARCH(("Yes"),(N196))))</formula>
    </cfRule>
  </conditionalFormatting>
  <conditionalFormatting sqref="N196:Q196 N198:Q214 U204:V204 N217:Q221 N224:N226 N229:N230 N234 N238 N241 N243 N245 N247:N248 N251">
    <cfRule type="containsText" dxfId="2" priority="38622" operator="containsText" text="Yes">
      <formula>NOT(ISERROR(SEARCH(("Yes"),(N196))))</formula>
    </cfRule>
  </conditionalFormatting>
  <conditionalFormatting sqref="N196:Q196 N198:Q214 U204:V204 N217:Q221 N224:N226 N229:N230 N234 N238 N241 N243 N245 N247:N248 N251">
    <cfRule type="containsText" dxfId="2" priority="38623" operator="containsText" text="Yes">
      <formula>NOT(ISERROR(SEARCH(("Yes"),(N196))))</formula>
    </cfRule>
  </conditionalFormatting>
  <conditionalFormatting sqref="N196:Q196 N198:Q214 U204:V204 N217:Q221 N224:N226 N229:N230 N234 N238 N241 N243 N245 N247:N248 N251">
    <cfRule type="containsText" dxfId="2" priority="38624" operator="containsText" text="Yes">
      <formula>NOT(ISERROR(SEARCH(("Yes"),(N196))))</formula>
    </cfRule>
  </conditionalFormatting>
  <conditionalFormatting sqref="N196:Q196 N198:Q214 U204:V204 N217:Q221 N224:N226 N229:N230 N234 N238 N241 N243 N245 N247:N248 N251">
    <cfRule type="containsText" dxfId="2" priority="38625" operator="containsText" text="Yes">
      <formula>NOT(ISERROR(SEARCH(("Yes"),(N196))))</formula>
    </cfRule>
  </conditionalFormatting>
  <conditionalFormatting sqref="N196:Q196 N198:Q214 U204:V204 N217:Q221 N224:N226 N229:N230 N234 N238 N241 N243 N245 N247:N248 N251">
    <cfRule type="containsText" dxfId="2" priority="38626" operator="containsText" text="Yes">
      <formula>NOT(ISERROR(SEARCH(("Yes"),(N196))))</formula>
    </cfRule>
  </conditionalFormatting>
  <conditionalFormatting sqref="N196:Q196 N198:Q214 U204:V204 N217:Q221 N224:N226 N229:N230 N234 N238 N241 N243 N245 N247:N248 N251">
    <cfRule type="containsText" dxfId="2" priority="38627" operator="containsText" text="Yes">
      <formula>NOT(ISERROR(SEARCH(("Yes"),(N196))))</formula>
    </cfRule>
  </conditionalFormatting>
  <conditionalFormatting sqref="N196:Q196 N198:Q214 U204:V204 N217:Q221 N224:N226 N229:N230 N234 N238 N241 N243 N245 N247:N248 N251">
    <cfRule type="containsText" dxfId="2" priority="38628" operator="containsText" text="Yes">
      <formula>NOT(ISERROR(SEARCH(("Yes"),(N196))))</formula>
    </cfRule>
  </conditionalFormatting>
  <conditionalFormatting sqref="N196:Q196 N198:Q214 U204:V204 N217:Q221 N224:N226 N229:N230 N234 N238 N241 N243 N245 N247:N248 N251">
    <cfRule type="containsText" dxfId="2" priority="38629" operator="containsText" text="Yes">
      <formula>NOT(ISERROR(SEARCH(("Yes"),(N196))))</formula>
    </cfRule>
  </conditionalFormatting>
  <conditionalFormatting sqref="N196:Q196 N198:Q214 U204:V204 N217:Q221 N224:N226 N229:N230 N234 N238 N241 N243 N245 N247:N248 N251">
    <cfRule type="containsText" dxfId="2" priority="38630" operator="containsText" text="Yes">
      <formula>NOT(ISERROR(SEARCH(("Yes"),(N196))))</formula>
    </cfRule>
  </conditionalFormatting>
  <conditionalFormatting sqref="N196:Q196 N198:Q214 U204:V204 N217:Q221 N224:N226 N229:N230 N234 N238 N241 N243 N245 N247:N248 N251">
    <cfRule type="containsText" dxfId="2" priority="38631" operator="containsText" text="Yes">
      <formula>NOT(ISERROR(SEARCH(("Yes"),(N196))))</formula>
    </cfRule>
  </conditionalFormatting>
  <conditionalFormatting sqref="N196:Q196 N198:Q214 U204:V204 N217:Q221 N224:N226 N229:N230 N234 N238 N241 N243 N245 N247:N248 N251">
    <cfRule type="containsText" dxfId="2" priority="38632" operator="containsText" text="Yes">
      <formula>NOT(ISERROR(SEARCH(("Yes"),(N196))))</formula>
    </cfRule>
  </conditionalFormatting>
  <conditionalFormatting sqref="N196:Q196 N198:Q214 U204:V204 N217:Q221 N224:N226 N229:N230 N234 N238 N241 N243 N245 N247:N248 N251">
    <cfRule type="containsText" dxfId="2" priority="38633" operator="containsText" text="Yes">
      <formula>NOT(ISERROR(SEARCH(("Yes"),(N196))))</formula>
    </cfRule>
  </conditionalFormatting>
  <conditionalFormatting sqref="N196:Q196 N198:Q214 U204:V204 N217:Q221 N224:N226 N229:N230 N234 N238 N241 N243 N245 N247:N248 N251">
    <cfRule type="containsText" dxfId="2" priority="38634" operator="containsText" text="Yes">
      <formula>NOT(ISERROR(SEARCH(("Yes"),(N196))))</formula>
    </cfRule>
  </conditionalFormatting>
  <conditionalFormatting sqref="N196:Q196 N198:Q214 U204:V204 N217:Q221 N224:N226 N229:N230 N234 N238 N241 N243 N245 N247:N248 N251">
    <cfRule type="containsText" dxfId="2" priority="38635" operator="containsText" text="Yes">
      <formula>NOT(ISERROR(SEARCH(("Yes"),(N196))))</formula>
    </cfRule>
  </conditionalFormatting>
  <conditionalFormatting sqref="N196:Q196 N198:Q214 U204:V204 N217:Q221 N224:N226 N229:N230 N234 N238 N241 N243 N245 N247:N248 N251">
    <cfRule type="containsText" dxfId="2" priority="38636" operator="containsText" text="Yes">
      <formula>NOT(ISERROR(SEARCH(("Yes"),(N196))))</formula>
    </cfRule>
  </conditionalFormatting>
  <conditionalFormatting sqref="N196:Q196 N198:Q214 U204:V204 N217:Q221 N224:N226 N229:N230 N234 N238 N241 N243 N245 N247:N248 N251">
    <cfRule type="containsText" dxfId="2" priority="38637" operator="containsText" text="Yes">
      <formula>NOT(ISERROR(SEARCH(("Yes"),(N196))))</formula>
    </cfRule>
  </conditionalFormatting>
  <conditionalFormatting sqref="N196:Q196 N198:Q214 U204:V204 N217:Q221 N224:N226 N229:N230 N234 N238 N241 N243 N245 N247:N248 N251">
    <cfRule type="containsText" dxfId="2" priority="38638" operator="containsText" text="Yes">
      <formula>NOT(ISERROR(SEARCH(("Yes"),(N196))))</formula>
    </cfRule>
  </conditionalFormatting>
  <conditionalFormatting sqref="N196:Q196 N198:Q214 U204:V204 N217:Q221 N224:N226 N229:N230 N234 N238 N241 N243 N245 N247:N248 N251">
    <cfRule type="containsText" dxfId="2" priority="38639" operator="containsText" text="Yes">
      <formula>NOT(ISERROR(SEARCH(("Yes"),(N196))))</formula>
    </cfRule>
  </conditionalFormatting>
  <conditionalFormatting sqref="N196:Q196 N198:Q214 U204:V204 N217:Q221 N224:N226 N229:N230 N234 N238 N241 N243 N245 N247:N248 N251">
    <cfRule type="containsText" dxfId="2" priority="38640" operator="containsText" text="Yes">
      <formula>NOT(ISERROR(SEARCH(("Yes"),(N196))))</formula>
    </cfRule>
  </conditionalFormatting>
  <conditionalFormatting sqref="N196:Q196 N198:Q214 U204:V204 N217:Q221 N224:N226 N229:N230 N234 N238 N241 N243 N245 N247:N248 N251">
    <cfRule type="containsText" dxfId="2" priority="38641" operator="containsText" text="Yes">
      <formula>NOT(ISERROR(SEARCH(("Yes"),(N196))))</formula>
    </cfRule>
  </conditionalFormatting>
  <conditionalFormatting sqref="N196:Q196 N198:Q214 U204:V204 N217:Q221 N224:N226 N229:N230 N234 N238 N241 N243 N245 N247:N248 N251">
    <cfRule type="containsText" dxfId="2" priority="38642" operator="containsText" text="Yes">
      <formula>NOT(ISERROR(SEARCH(("Yes"),(N196))))</formula>
    </cfRule>
  </conditionalFormatting>
  <conditionalFormatting sqref="N196:Q196 N198:Q214 U204:V204 N217:Q221 N224:N226 N229:N230 N234 N238 N241 N243 N245 N247:N248 N251">
    <cfRule type="containsText" dxfId="2" priority="38643" operator="containsText" text="Yes">
      <formula>NOT(ISERROR(SEARCH(("Yes"),(N196))))</formula>
    </cfRule>
  </conditionalFormatting>
  <conditionalFormatting sqref="N196:Q196 N198:Q214 U204:V204 N217:Q221 N224:N226 N229:N230 N234 N238 N241 N243 N245 N247:N248 N251">
    <cfRule type="containsText" dxfId="2" priority="38644" operator="containsText" text="Yes">
      <formula>NOT(ISERROR(SEARCH(("Yes"),(N196))))</formula>
    </cfRule>
  </conditionalFormatting>
  <conditionalFormatting sqref="N196:Q196 N198:Q214 U204:V204 N217:Q221 N224:N226 N229:N230 N234 N238 N241 N243 N245 N247:N248 N251">
    <cfRule type="containsText" dxfId="2" priority="38645" operator="containsText" text="Yes">
      <formula>NOT(ISERROR(SEARCH(("Yes"),(N196))))</formula>
    </cfRule>
  </conditionalFormatting>
  <conditionalFormatting sqref="N196:Q196 N198:Q214 U204:V204 N217:Q221 N224:N226 N229:N230 N234 N238 N241 N243 N245 N247:N248 N251">
    <cfRule type="containsText" dxfId="2" priority="38646" operator="containsText" text="Yes">
      <formula>NOT(ISERROR(SEARCH(("Yes"),(N196))))</formula>
    </cfRule>
  </conditionalFormatting>
  <conditionalFormatting sqref="N197:Q198 N200:Q216 U204:V204 N222:Q226 N228:Q252 N254:Q256 N258:Q264 N267:Q269 N272:O273 P272:Q275 N275:O275">
    <cfRule type="containsText" dxfId="9" priority="38647" operator="containsText" text="No">
      <formula>NOT(ISERROR(SEARCH(("No"),(N197))))</formula>
    </cfRule>
  </conditionalFormatting>
  <conditionalFormatting sqref="N197:Q198 N200:Q216 U204:V204 N222:Q226 N228:Q252 N254:Q256 N258:Q264 N267:Q269 N272:O273 P272:Q275 N275:O275">
    <cfRule type="containsText" dxfId="9" priority="38648" operator="containsText" text="No">
      <formula>NOT(ISERROR(SEARCH(("No"),(N197))))</formula>
    </cfRule>
  </conditionalFormatting>
  <conditionalFormatting sqref="N197:Q198 N200:Q216 U204:V204 N222:Q226 N228:Q252 N254:Q256 N258:Q264 N267:Q269 N272:O273 P272:Q275 N275:O275">
    <cfRule type="containsText" dxfId="9" priority="38649" operator="containsText" text="No">
      <formula>NOT(ISERROR(SEARCH(("No"),(N197))))</formula>
    </cfRule>
  </conditionalFormatting>
  <conditionalFormatting sqref="N197:Q198 N200:Q216 U204:V204 N222:Q226 N228:Q252 N254:Q256 N258:Q264 N267:Q269 N272:O273 P272:Q275 N275:O275">
    <cfRule type="containsText" dxfId="9" priority="38650" operator="containsText" text="No">
      <formula>NOT(ISERROR(SEARCH(("No"),(N197))))</formula>
    </cfRule>
  </conditionalFormatting>
  <conditionalFormatting sqref="N197:Q198 N200:Q216 U204:V204 N222:Q226 N228:Q252 N254:Q256 N258:Q264 N267:Q269 N272:O273 P272:Q275 N275:O275">
    <cfRule type="containsText" dxfId="9" priority="38651" operator="containsText" text="No">
      <formula>NOT(ISERROR(SEARCH(("No"),(N197))))</formula>
    </cfRule>
  </conditionalFormatting>
  <conditionalFormatting sqref="N197:Q198 N200:Q216 U204:V204 N222:Q226 N228:Q252 N254:Q256 N258:Q264 N267:Q269 N272:O273 P272:Q275 N275:O275">
    <cfRule type="containsText" dxfId="9" priority="38652" operator="containsText" text="No">
      <formula>NOT(ISERROR(SEARCH(("No"),(N197))))</formula>
    </cfRule>
  </conditionalFormatting>
  <conditionalFormatting sqref="N197:Q198 N200:Q216 U204:V204 N222:Q226 N228:Q252 N254:Q256 N258:Q264 N267:Q269 N272:O273 P272:Q275 N275:O275">
    <cfRule type="containsText" dxfId="9" priority="38653" operator="containsText" text="No">
      <formula>NOT(ISERROR(SEARCH(("No"),(N197))))</formula>
    </cfRule>
  </conditionalFormatting>
  <conditionalFormatting sqref="N197:Q198 N200:Q216 U204:V204 N222:Q226 N228:Q252 N254:Q256 N258:Q264 N267:Q269 N272:O273 P272:Q275 N275:O275">
    <cfRule type="containsText" dxfId="9" priority="38654" operator="containsText" text="No">
      <formula>NOT(ISERROR(SEARCH(("No"),(N197))))</formula>
    </cfRule>
  </conditionalFormatting>
  <conditionalFormatting sqref="N197:Q198 N200:Q216 U204:V204 N222:Q226 N228:Q252 N254:Q256 N258:Q264 N267:Q269 N272:O273 P272:Q275 N275:O275">
    <cfRule type="containsText" dxfId="9" priority="38655" operator="containsText" text="No">
      <formula>NOT(ISERROR(SEARCH(("No"),(N197))))</formula>
    </cfRule>
  </conditionalFormatting>
  <conditionalFormatting sqref="N197:Q198 N200:Q216 U204:V204 N222:Q226 N228:Q252 N254:Q256 N258:Q264 N267:Q269 N272:O273 P272:Q275 N275:O275">
    <cfRule type="containsText" dxfId="9" priority="38656" operator="containsText" text="No">
      <formula>NOT(ISERROR(SEARCH(("No"),(N197))))</formula>
    </cfRule>
  </conditionalFormatting>
  <conditionalFormatting sqref="N197:Q198 N200:Q216 U204:V204 N222:Q226 N228:Q252 N254:Q256 N258:Q264 N267:Q269 N272:O273 P272:Q275 N275:O275">
    <cfRule type="containsText" dxfId="9" priority="38657" operator="containsText" text="No">
      <formula>NOT(ISERROR(SEARCH(("No"),(N197))))</formula>
    </cfRule>
  </conditionalFormatting>
  <conditionalFormatting sqref="N197:Q198 N200:Q216 U204:V204 N222:Q226 N228:Q252 N254:Q256 N258:Q264 N267:Q269 N272:O273 P272:Q275 N275:O275">
    <cfRule type="containsText" dxfId="9" priority="38658" operator="containsText" text="No">
      <formula>NOT(ISERROR(SEARCH(("No"),(N197))))</formula>
    </cfRule>
  </conditionalFormatting>
  <conditionalFormatting sqref="N197:Q198 N200:Q216 U204:V204 N222:Q226 N228:Q252 N254:Q256 N258:Q264 N267:Q269 N272:O273 P272:Q275 N275:O275">
    <cfRule type="containsText" dxfId="9" priority="38659" operator="containsText" text="No">
      <formula>NOT(ISERROR(SEARCH(("No"),(N197))))</formula>
    </cfRule>
  </conditionalFormatting>
  <conditionalFormatting sqref="N197:Q198 N200:Q216 U204:V204 N222:Q226 N228:Q252 N254:Q256 N258:Q264 N267:Q269 N272:O273 P272:Q275 N275:O275">
    <cfRule type="containsText" dxfId="9" priority="38660" operator="containsText" text="No">
      <formula>NOT(ISERROR(SEARCH(("No"),(N197))))</formula>
    </cfRule>
  </conditionalFormatting>
  <conditionalFormatting sqref="N197:Q198 N200:Q216 U204:V204 N222:Q226 N228:Q252 N254:Q256 N258:Q264 N267:Q269 N272:O273 P272:Q275 N275:O275">
    <cfRule type="containsText" dxfId="9" priority="38661" operator="containsText" text="No">
      <formula>NOT(ISERROR(SEARCH(("No"),(N197))))</formula>
    </cfRule>
  </conditionalFormatting>
  <conditionalFormatting sqref="N197:Q198 N200:Q216 U204:V204 N222:Q226 N228:Q252 N254:Q256 N258:Q264 N267:Q269 N272:O273 P272:Q275 N275:O275">
    <cfRule type="containsText" dxfId="9" priority="38662" operator="containsText" text="No">
      <formula>NOT(ISERROR(SEARCH(("No"),(N197))))</formula>
    </cfRule>
  </conditionalFormatting>
  <conditionalFormatting sqref="N197:Q198 N200:Q216 U204:V204 N222:Q226 N228:Q252 N254:Q256 N258:Q264 N267:Q269 N272:O273 P272:Q275 N275:O275">
    <cfRule type="containsText" dxfId="9" priority="38663" operator="containsText" text="No">
      <formula>NOT(ISERROR(SEARCH(("No"),(N197))))</formula>
    </cfRule>
  </conditionalFormatting>
  <conditionalFormatting sqref="N197:Q198 N200:Q216 U204:V204 N222:Q226 N228:Q252 N254:Q256 N258:Q264 N267:Q269 N272:O273 P272:Q275 N275:O275">
    <cfRule type="containsText" dxfId="9" priority="38664" operator="containsText" text="No">
      <formula>NOT(ISERROR(SEARCH(("No"),(N197))))</formula>
    </cfRule>
  </conditionalFormatting>
  <conditionalFormatting sqref="N197:Q198 N200:Q216 U204:V204 N222:Q226 N228:Q252 N254:Q256 N258:Q264 N267:Q269 N272:O273 P272:Q275 N275:O275">
    <cfRule type="containsText" dxfId="9" priority="38665" operator="containsText" text="No">
      <formula>NOT(ISERROR(SEARCH(("No"),(N197))))</formula>
    </cfRule>
  </conditionalFormatting>
  <conditionalFormatting sqref="N197:Q198 N200:Q216 U204:V204 N222:Q226 N228:Q252 N254:Q256 N258:Q264 N267:Q269 N272:O273 P272:Q275 N275:O275">
    <cfRule type="containsText" dxfId="9" priority="38666" operator="containsText" text="No">
      <formula>NOT(ISERROR(SEARCH(("No"),(N197))))</formula>
    </cfRule>
  </conditionalFormatting>
  <conditionalFormatting sqref="N197:Q198 N200:Q216 U204:V204 N222:Q226 N228:Q252 N254:Q256 N258:Q264 N267:Q269 N272:O273 P272:Q275 N275:O275">
    <cfRule type="containsText" dxfId="9" priority="38667" operator="containsText" text="No">
      <formula>NOT(ISERROR(SEARCH(("No"),(N197))))</formula>
    </cfRule>
  </conditionalFormatting>
  <conditionalFormatting sqref="N197:Q198 N200:Q216 U204:V204 N222:Q226 N228:Q252 N254:Q256 N258:Q264 N267:Q269 N272:O273 P272:Q275 N275:O275">
    <cfRule type="containsText" dxfId="9" priority="38668" operator="containsText" text="No">
      <formula>NOT(ISERROR(SEARCH(("No"),(N197))))</formula>
    </cfRule>
  </conditionalFormatting>
  <conditionalFormatting sqref="N197:Q198 N200:Q216 U204:V204 N222:Q226 N228:Q252 N254:Q256 N258:Q264 N267:Q269 N272:O273 P272:Q275 N275:O275">
    <cfRule type="containsText" dxfId="9" priority="38669" operator="containsText" text="No">
      <formula>NOT(ISERROR(SEARCH(("No"),(N197))))</formula>
    </cfRule>
  </conditionalFormatting>
  <conditionalFormatting sqref="N197:Q198 N200:Q216 U204:V204 N222:Q226 N228:Q252 N254:Q256 N258:Q264 N267:Q269 N272:O273 P272:Q275 N275:O275">
    <cfRule type="containsText" dxfId="9" priority="38670" operator="containsText" text="No">
      <formula>NOT(ISERROR(SEARCH(("No"),(N197))))</formula>
    </cfRule>
  </conditionalFormatting>
  <conditionalFormatting sqref="N197:Q198 N200:Q216 U204:V204 N222:Q226 N228:Q252 N254:Q256 N258:Q264 N267:Q269 N272:O273 P272:Q275 N275:O275">
    <cfRule type="containsText" dxfId="9" priority="38671" operator="containsText" text="No">
      <formula>NOT(ISERROR(SEARCH(("No"),(N197))))</formula>
    </cfRule>
  </conditionalFormatting>
  <conditionalFormatting sqref="N197:Q198 N200:Q216 U204:V204 N222:Q226 N228:Q252 N254:Q256 N258:Q264 N267:Q269 N272:O273 P272:Q275 N275:O275">
    <cfRule type="containsText" dxfId="9" priority="38672" operator="containsText" text="No">
      <formula>NOT(ISERROR(SEARCH(("No"),(N197))))</formula>
    </cfRule>
  </conditionalFormatting>
  <conditionalFormatting sqref="N197:Q198 N200:Q216 U204:V204 N222:Q226 N228:Q252 N254:Q256 N258:Q264 N267:Q269 N272:O273 P272:Q275 N275:O275">
    <cfRule type="containsText" dxfId="9" priority="38673" operator="containsText" text="No">
      <formula>NOT(ISERROR(SEARCH(("No"),(N197))))</formula>
    </cfRule>
  </conditionalFormatting>
  <conditionalFormatting sqref="N197:Q198 N200:Q216 U204:V204 N222:Q226 N228:Q252 N254:Q256 N258:Q264 N267:Q269 N272:O273 P272:Q275 N275:O275">
    <cfRule type="containsText" dxfId="9" priority="38674" operator="containsText" text="No">
      <formula>NOT(ISERROR(SEARCH(("No"),(N197))))</formula>
    </cfRule>
  </conditionalFormatting>
  <conditionalFormatting sqref="N197:Q198 N200:Q216 U204:V204 N222:Q226 N228:Q252 N254:Q256 N258:Q264 N267:Q269 N272:O273 P272:Q275 N275:O275">
    <cfRule type="containsText" dxfId="9" priority="38675" operator="containsText" text="No">
      <formula>NOT(ISERROR(SEARCH(("No"),(N197))))</formula>
    </cfRule>
  </conditionalFormatting>
  <conditionalFormatting sqref="N197:Q198 N200:Q216 U204:V204 N222:Q226 N228:Q252 N254:Q256 N258:Q264 N267:Q269 N272:O273 P272:Q275 N275:O275">
    <cfRule type="containsText" dxfId="9" priority="38676" operator="containsText" text="No">
      <formula>NOT(ISERROR(SEARCH(("No"),(N197))))</formula>
    </cfRule>
  </conditionalFormatting>
  <conditionalFormatting sqref="N197:Q198 N200:Q216 U204:V204 N222:Q226 N228:Q252 N254:Q256 N258:Q264 N267:Q269 N272:O273 P272:Q275 N275:O275">
    <cfRule type="containsText" dxfId="9" priority="38677" operator="containsText" text="No">
      <formula>NOT(ISERROR(SEARCH(("No"),(N197))))</formula>
    </cfRule>
  </conditionalFormatting>
  <conditionalFormatting sqref="N197:Q198 N200:Q216 U204:V204 N222:Q226 N228:Q252 N254:Q256 N258:Q264 N267:Q269 N272:O273 P272:Q275 N275:O275">
    <cfRule type="containsText" dxfId="9" priority="38678" operator="containsText" text="No">
      <formula>NOT(ISERROR(SEARCH(("No"),(N197))))</formula>
    </cfRule>
  </conditionalFormatting>
  <conditionalFormatting sqref="N197:Q198 N200:Q216 U204:V204 N222:Q226 N228:Q252 N254:Q256 N258:Q264 N267:Q269 N272:O273 P272:Q275 N275:O275">
    <cfRule type="containsText" dxfId="9" priority="38679" operator="containsText" text="No">
      <formula>NOT(ISERROR(SEARCH(("No"),(N197))))</formula>
    </cfRule>
  </conditionalFormatting>
  <conditionalFormatting sqref="N197:Q198 N200:Q216 U204:V204 N222:Q226 N228:Q252 N254:Q256 N258:Q264 N267:Q269 N272:O273 P272:Q275 N275:O275">
    <cfRule type="containsText" dxfId="9" priority="38680" operator="containsText" text="No">
      <formula>NOT(ISERROR(SEARCH(("No"),(N197))))</formula>
    </cfRule>
  </conditionalFormatting>
  <conditionalFormatting sqref="N197:Q198 N200:Q216 U204:V204 N222:Q226 N228:Q252 N254:Q256 N258:Q264 N267:Q269 N272:O273 P272:Q275 N275:O275">
    <cfRule type="containsText" dxfId="9" priority="38681" operator="containsText" text="No">
      <formula>NOT(ISERROR(SEARCH(("No"),(N197))))</formula>
    </cfRule>
  </conditionalFormatting>
  <conditionalFormatting sqref="N197:Q198 N200:Q216 U204:V204 N222:Q226 N228:Q252 N254:Q256 N258:Q264 N267:Q269 N272:O273 P272:Q275 N275:O275">
    <cfRule type="containsText" dxfId="9" priority="38682" operator="containsText" text="No">
      <formula>NOT(ISERROR(SEARCH(("No"),(N197))))</formula>
    </cfRule>
  </conditionalFormatting>
  <conditionalFormatting sqref="N197:Q198 N200:Q216 U204:V204 N222:Q226 N228:Q252 N254:Q256 N258:Q264 N267:Q269 N272:O273 P272:Q275 N275:O275">
    <cfRule type="containsText" dxfId="9" priority="38683" operator="containsText" text="No">
      <formula>NOT(ISERROR(SEARCH(("No"),(N197))))</formula>
    </cfRule>
  </conditionalFormatting>
  <conditionalFormatting sqref="N197:Q198 N200:Q216 U204:V204 N222:Q226 N228:Q252 N254:Q256 N258:Q264 N267:Q269 N272:O273 P272:Q275 N275:O275">
    <cfRule type="containsText" dxfId="9" priority="38684" operator="containsText" text="No">
      <formula>NOT(ISERROR(SEARCH(("No"),(N197))))</formula>
    </cfRule>
  </conditionalFormatting>
  <conditionalFormatting sqref="N197:Q198 N200:Q216 U204:V204 N222:Q226 N228:Q252 N254:Q256 N258:Q264 N267:Q269 N272:O273 P272:Q275 N275:O275">
    <cfRule type="containsText" dxfId="9" priority="38685" operator="containsText" text="No">
      <formula>NOT(ISERROR(SEARCH(("No"),(N197))))</formula>
    </cfRule>
  </conditionalFormatting>
  <conditionalFormatting sqref="N197:Q198 N200:Q216 U204:V204 N222:Q226 N228:Q252 N254:Q256 N258:Q264 N267:Q269 N272:O273 P272:Q275 N275:O275">
    <cfRule type="containsText" dxfId="9" priority="38686" operator="containsText" text="No">
      <formula>NOT(ISERROR(SEARCH(("No"),(N197))))</formula>
    </cfRule>
  </conditionalFormatting>
  <conditionalFormatting sqref="N197:Q198 N200:Q216 U204:V204 N222:Q226 N228:Q252 N254:Q256 N258:Q264 N267:Q269 N272:O273 P272:Q275 N275:O275">
    <cfRule type="containsText" dxfId="9" priority="38687" operator="containsText" text="No">
      <formula>NOT(ISERROR(SEARCH(("No"),(N197))))</formula>
    </cfRule>
  </conditionalFormatting>
  <conditionalFormatting sqref="N197:Q198 N200:Q216 U204:V204 N222:Q226 N228:Q252 N254:Q256 N258:Q264 N267:Q269 N272:O273 P272:Q275 N275:O275">
    <cfRule type="containsText" dxfId="9" priority="38688" operator="containsText" text="No">
      <formula>NOT(ISERROR(SEARCH(("No"),(N197))))</formula>
    </cfRule>
  </conditionalFormatting>
  <conditionalFormatting sqref="N197:Q198 N200:Q216 U204:V204 N222:Q226 N228:Q252 N254:Q256 N258:Q264 N267:Q269 N272:O273 P272:Q275 N275:O275">
    <cfRule type="containsText" dxfId="9" priority="38689" operator="containsText" text="No">
      <formula>NOT(ISERROR(SEARCH(("No"),(N197))))</formula>
    </cfRule>
  </conditionalFormatting>
  <conditionalFormatting sqref="N197:Q198 N200:Q216 U204:V204 N222:Q226 N228:Q252 N254:Q256 N258:Q264 N267:Q269 N272:O273 P272:Q275 N275:O275">
    <cfRule type="containsText" dxfId="9" priority="38690" operator="containsText" text="No">
      <formula>NOT(ISERROR(SEARCH(("No"),(N197))))</formula>
    </cfRule>
  </conditionalFormatting>
  <conditionalFormatting sqref="N197:Q198 N200:Q216 U204:V204 N222:Q226 N228:Q252 N254:Q256 N258:Q264 N267:Q269 N272:O273 P272:Q275 N275:O275">
    <cfRule type="containsText" dxfId="9" priority="38691" operator="containsText" text="No">
      <formula>NOT(ISERROR(SEARCH(("No"),(N197))))</formula>
    </cfRule>
  </conditionalFormatting>
  <conditionalFormatting sqref="N197:Q198 N200:Q216 U204:V204 N222:Q226 N228:Q252 N254:Q256 N258:Q264 N267:Q269 N272:O273 P272:Q275 N275:O275">
    <cfRule type="containsText" dxfId="2" priority="38692" operator="containsText" text="Yes">
      <formula>NOT(ISERROR(SEARCH(("Yes"),(N197))))</formula>
    </cfRule>
  </conditionalFormatting>
  <conditionalFormatting sqref="N197:Q198 N200:Q216 U204:V204 N222:Q226 N228:Q252 N254:Q256 N258:Q264 N267:Q269 N272:O273 P272:Q275 N275:O275">
    <cfRule type="containsText" dxfId="2" priority="38693" operator="containsText" text="Yes">
      <formula>NOT(ISERROR(SEARCH(("Yes"),(N197))))</formula>
    </cfRule>
  </conditionalFormatting>
  <conditionalFormatting sqref="N197:Q198 N200:Q216 U204:V204 N222:Q226 N228:Q252 N254:Q256 N258:Q264 N267:Q269 N272:O273 P272:Q275 N275:O275">
    <cfRule type="containsText" dxfId="2" priority="38694" operator="containsText" text="Yes">
      <formula>NOT(ISERROR(SEARCH(("Yes"),(N197))))</formula>
    </cfRule>
  </conditionalFormatting>
  <conditionalFormatting sqref="N197:Q198 N200:Q216 U204:V204 N222:Q226 N228:Q252 N254:Q256 N258:Q264 N267:Q269 N272:O273 P272:Q275 N275:O275">
    <cfRule type="containsText" dxfId="2" priority="38695" operator="containsText" text="Yes">
      <formula>NOT(ISERROR(SEARCH(("Yes"),(N197))))</formula>
    </cfRule>
  </conditionalFormatting>
  <conditionalFormatting sqref="N197:Q198 N200:Q216 U204:V204 N222:Q226 N228:Q252 N254:Q256 N258:Q264 N267:Q269 N272:O273 P272:Q275 N275:O275">
    <cfRule type="containsText" dxfId="2" priority="38696" operator="containsText" text="Yes">
      <formula>NOT(ISERROR(SEARCH(("Yes"),(N197))))</formula>
    </cfRule>
  </conditionalFormatting>
  <conditionalFormatting sqref="N197:Q198 N200:Q216 U204:V204 N222:Q226 N228:Q252 N254:Q256 N258:Q264 N267:Q269 N272:O273 P272:Q275 N275:O275">
    <cfRule type="containsText" dxfId="2" priority="38697" operator="containsText" text="Yes">
      <formula>NOT(ISERROR(SEARCH(("Yes"),(N197))))</formula>
    </cfRule>
  </conditionalFormatting>
  <conditionalFormatting sqref="N197:Q198 N200:Q216 U204:V204 N222:Q226 N228:Q252 N254:Q256 N258:Q264 N267:Q269 N272:O273 P272:Q275 N275:O275">
    <cfRule type="containsText" dxfId="2" priority="38698" operator="containsText" text="Yes">
      <formula>NOT(ISERROR(SEARCH(("Yes"),(N197))))</formula>
    </cfRule>
  </conditionalFormatting>
  <conditionalFormatting sqref="N197:Q198 N200:Q216 U204:V204 N222:Q226 N228:Q252 N254:Q256 N258:Q264 N267:Q269 N272:O273 P272:Q275 N275:O275">
    <cfRule type="containsText" dxfId="2" priority="38699" operator="containsText" text="Yes">
      <formula>NOT(ISERROR(SEARCH(("Yes"),(N197))))</formula>
    </cfRule>
  </conditionalFormatting>
  <conditionalFormatting sqref="N197:Q198 N200:Q216 U204:V204 N222:Q226 N228:Q252 N254:Q256 N258:Q264 N267:Q269 N272:O273 P272:Q275 N275:O275">
    <cfRule type="containsText" dxfId="2" priority="38700" operator="containsText" text="Yes">
      <formula>NOT(ISERROR(SEARCH(("Yes"),(N197))))</formula>
    </cfRule>
  </conditionalFormatting>
  <conditionalFormatting sqref="N197:Q198 N200:Q216 U204:V204 N222:Q226 N228:Q252 N254:Q256 N258:Q264 N267:Q269 N272:O273 P272:Q275 N275:O275">
    <cfRule type="containsText" dxfId="2" priority="38701" operator="containsText" text="Yes">
      <formula>NOT(ISERROR(SEARCH(("Yes"),(N197))))</formula>
    </cfRule>
  </conditionalFormatting>
  <conditionalFormatting sqref="N197:Q198 N200:Q216 U204:V204 N222:Q226 N228:Q252 N254:Q256 N258:Q264 N267:Q269 N272:O273 P272:Q275 N275:O275">
    <cfRule type="containsText" dxfId="2" priority="38702" operator="containsText" text="Yes">
      <formula>NOT(ISERROR(SEARCH(("Yes"),(N197))))</formula>
    </cfRule>
  </conditionalFormatting>
  <conditionalFormatting sqref="N197:Q198 N200:Q216 U204:V204 N222:Q226 N228:Q252 N254:Q256 N258:Q264 N267:Q269 N272:O273 P272:Q275 N275:O275">
    <cfRule type="containsText" dxfId="2" priority="38703" operator="containsText" text="Yes">
      <formula>NOT(ISERROR(SEARCH(("Yes"),(N197))))</formula>
    </cfRule>
  </conditionalFormatting>
  <conditionalFormatting sqref="N197:Q198 N200:Q216 U204:V204 N222:Q226 N228:Q252 N254:Q256 N258:Q264 N267:Q269 N272:O273 P272:Q275 N275:O275">
    <cfRule type="containsText" dxfId="2" priority="38704" operator="containsText" text="Yes">
      <formula>NOT(ISERROR(SEARCH(("Yes"),(N197))))</formula>
    </cfRule>
  </conditionalFormatting>
  <conditionalFormatting sqref="N197:Q198 N200:Q216 U204:V204 N222:Q226 N228:Q252 N254:Q256 N258:Q264 N267:Q269 N272:O273 P272:Q275 N275:O275">
    <cfRule type="containsText" dxfId="2" priority="38705" operator="containsText" text="Yes">
      <formula>NOT(ISERROR(SEARCH(("Yes"),(N197))))</formula>
    </cfRule>
  </conditionalFormatting>
  <conditionalFormatting sqref="N197:Q198 N200:Q216 U204:V204 N222:Q226 N228:Q252 N254:Q256 N258:Q264 N267:Q269 N272:O273 P272:Q275 N275:O275">
    <cfRule type="containsText" dxfId="2" priority="38706" operator="containsText" text="Yes">
      <formula>NOT(ISERROR(SEARCH(("Yes"),(N197))))</formula>
    </cfRule>
  </conditionalFormatting>
  <conditionalFormatting sqref="N197:Q198 N200:Q216 U204:V204 N222:Q226 N228:Q252 N254:Q256 N258:Q264 N267:Q269 N272:O273 P272:Q275 N275:O275">
    <cfRule type="containsText" dxfId="2" priority="38707" operator="containsText" text="Yes">
      <formula>NOT(ISERROR(SEARCH(("Yes"),(N197))))</formula>
    </cfRule>
  </conditionalFormatting>
  <conditionalFormatting sqref="N197:Q198 N200:Q216 U204:V204 N222:Q226 N228:Q252 N254:Q256 N258:Q264 N267:Q269 N272:O273 P272:Q275 N275:O275">
    <cfRule type="containsText" dxfId="2" priority="38708" operator="containsText" text="Yes">
      <formula>NOT(ISERROR(SEARCH(("Yes"),(N197))))</formula>
    </cfRule>
  </conditionalFormatting>
  <conditionalFormatting sqref="N197:Q198 N200:Q216 U204:V204 N222:Q226 N228:Q252 N254:Q256 N258:Q264 N267:Q269 N272:O273 P272:Q275 N275:O275">
    <cfRule type="containsText" dxfId="2" priority="38709" operator="containsText" text="Yes">
      <formula>NOT(ISERROR(SEARCH(("Yes"),(N197))))</formula>
    </cfRule>
  </conditionalFormatting>
  <conditionalFormatting sqref="N197:Q198 N200:Q216 U204:V204 N222:Q226 N228:Q252 N254:Q256 N258:Q264 N267:Q269 N272:O273 P272:Q275 N275:O275">
    <cfRule type="containsText" dxfId="2" priority="38710" operator="containsText" text="Yes">
      <formula>NOT(ISERROR(SEARCH(("Yes"),(N197))))</formula>
    </cfRule>
  </conditionalFormatting>
  <conditionalFormatting sqref="N197:Q198 N200:Q216 U204:V204 N222:Q226 N228:Q252 N254:Q256 N258:Q264 N267:Q269 N272:O273 P272:Q275 N275:O275">
    <cfRule type="containsText" dxfId="2" priority="38711" operator="containsText" text="Yes">
      <formula>NOT(ISERROR(SEARCH(("Yes"),(N197))))</formula>
    </cfRule>
  </conditionalFormatting>
  <conditionalFormatting sqref="N197:Q198 N200:Q216 U204:V204 N222:Q226 N228:Q252 N254:Q256 N258:Q264 N267:Q269 N272:O273 P272:Q275 N275:O275">
    <cfRule type="containsText" dxfId="2" priority="38712" operator="containsText" text="Yes">
      <formula>NOT(ISERROR(SEARCH(("Yes"),(N197))))</formula>
    </cfRule>
  </conditionalFormatting>
  <conditionalFormatting sqref="N197:Q198 N200:Q216 U204:V204 N222:Q226 N228:Q252 N254:Q256 N258:Q264 N267:Q269 N272:O273 P272:Q275 N275:O275">
    <cfRule type="containsText" dxfId="2" priority="38713" operator="containsText" text="Yes">
      <formula>NOT(ISERROR(SEARCH(("Yes"),(N197))))</formula>
    </cfRule>
  </conditionalFormatting>
  <conditionalFormatting sqref="N197:Q198 N200:Q216 U204:V204 N222:Q226 N228:Q252 N254:Q256 N258:Q264 N267:Q269 N272:O273 P272:Q275 N275:O275">
    <cfRule type="containsText" dxfId="2" priority="38714" operator="containsText" text="Yes">
      <formula>NOT(ISERROR(SEARCH(("Yes"),(N197))))</formula>
    </cfRule>
  </conditionalFormatting>
  <conditionalFormatting sqref="N197:Q198 N200:Q216 U204:V204 N222:Q226 N228:Q252 N254:Q256 N258:Q264 N267:Q269 N272:O273 P272:Q275 N275:O275">
    <cfRule type="containsText" dxfId="2" priority="38715" operator="containsText" text="Yes">
      <formula>NOT(ISERROR(SEARCH(("Yes"),(N197))))</formula>
    </cfRule>
  </conditionalFormatting>
  <conditionalFormatting sqref="N197:Q198 N200:Q216 U204:V204 N222:Q226 N228:Q252 N254:Q256 N258:Q264 N267:Q269 N272:O273 P272:Q275 N275:O275">
    <cfRule type="containsText" dxfId="2" priority="38716" operator="containsText" text="Yes">
      <formula>NOT(ISERROR(SEARCH(("Yes"),(N197))))</formula>
    </cfRule>
  </conditionalFormatting>
  <conditionalFormatting sqref="N197:Q198 N200:Q216 U204:V204 N222:Q226 N228:Q252 N254:Q256 N258:Q264 N267:Q269 N272:O273 P272:Q275 N275:O275">
    <cfRule type="containsText" dxfId="2" priority="38717" operator="containsText" text="Yes">
      <formula>NOT(ISERROR(SEARCH(("Yes"),(N197))))</formula>
    </cfRule>
  </conditionalFormatting>
  <conditionalFormatting sqref="N197:Q198 N200:Q216 U204:V204 N222:Q226 N228:Q252 N254:Q256 N258:Q264 N267:Q269 N272:O273 P272:Q275 N275:O275">
    <cfRule type="containsText" dxfId="2" priority="38718" operator="containsText" text="Yes">
      <formula>NOT(ISERROR(SEARCH(("Yes"),(N197))))</formula>
    </cfRule>
  </conditionalFormatting>
  <conditionalFormatting sqref="N197:Q198 N200:Q216 U204:V204 N222:Q226 N228:Q252 N254:Q256 N258:Q264 N267:Q269 N272:O273 P272:Q275 N275:O275">
    <cfRule type="containsText" dxfId="2" priority="38719" operator="containsText" text="Yes">
      <formula>NOT(ISERROR(SEARCH(("Yes"),(N197))))</formula>
    </cfRule>
  </conditionalFormatting>
  <conditionalFormatting sqref="N197:Q198 N200:Q216 U204:V204 N222:Q226 N228:Q252 N254:Q256 N258:Q264 N267:Q269 N272:O273 P272:Q275 N275:O275">
    <cfRule type="containsText" dxfId="2" priority="38720" operator="containsText" text="Yes">
      <formula>NOT(ISERROR(SEARCH(("Yes"),(N197))))</formula>
    </cfRule>
  </conditionalFormatting>
  <conditionalFormatting sqref="N197:Q198 N200:Q216 U204:V204 N222:Q226 N228:Q252 N254:Q256 N258:Q264 N267:Q269 N272:O273 P272:Q275 N275:O275">
    <cfRule type="containsText" dxfId="2" priority="38721" operator="containsText" text="Yes">
      <formula>NOT(ISERROR(SEARCH(("Yes"),(N197))))</formula>
    </cfRule>
  </conditionalFormatting>
  <conditionalFormatting sqref="N197:Q198 N200:Q216 U204:V204 N222:Q226 N228:Q252 N254:Q256 N258:Q264 N267:Q269 N272:O273 P272:Q275 N275:O275">
    <cfRule type="containsText" dxfId="2" priority="38722" operator="containsText" text="Yes">
      <formula>NOT(ISERROR(SEARCH(("Yes"),(N197))))</formula>
    </cfRule>
  </conditionalFormatting>
  <conditionalFormatting sqref="N197:Q198 N200:Q216 U204:V204 N222:Q226 N228:Q252 N254:Q256 N258:Q264 N267:Q269 N272:O273 P272:Q275 N275:O275">
    <cfRule type="containsText" dxfId="2" priority="38723" operator="containsText" text="Yes">
      <formula>NOT(ISERROR(SEARCH(("Yes"),(N197))))</formula>
    </cfRule>
  </conditionalFormatting>
  <conditionalFormatting sqref="N197:Q198 N200:Q216 U204:V204 N222:Q226 N228:Q252 N254:Q256 N258:Q264 N267:Q269 N272:O273 P272:Q275 N275:O275">
    <cfRule type="containsText" dxfId="2" priority="38724" operator="containsText" text="Yes">
      <formula>NOT(ISERROR(SEARCH(("Yes"),(N197))))</formula>
    </cfRule>
  </conditionalFormatting>
  <conditionalFormatting sqref="N197:Q198 N200:Q216 U204:V204 N222:Q226 N228:Q252 N254:Q256 N258:Q264 N267:Q269 N272:O273 P272:Q275 N275:O275">
    <cfRule type="containsText" dxfId="2" priority="38725" operator="containsText" text="Yes">
      <formula>NOT(ISERROR(SEARCH(("Yes"),(N197))))</formula>
    </cfRule>
  </conditionalFormatting>
  <conditionalFormatting sqref="N197:Q198 N200:Q216 U204:V204 N222:Q226 N228:Q252 N254:Q256 N258:Q264 N267:Q269 N272:O273 P272:Q275 N275:O275">
    <cfRule type="containsText" dxfId="2" priority="38726" operator="containsText" text="Yes">
      <formula>NOT(ISERROR(SEARCH(("Yes"),(N197))))</formula>
    </cfRule>
  </conditionalFormatting>
  <conditionalFormatting sqref="N197:Q198 N200:Q216 U204:V204 N222:Q226 N228:Q252 N254:Q256 N258:Q264 N267:Q269 N272:O273 P272:Q275 N275:O275">
    <cfRule type="containsText" dxfId="2" priority="38727" operator="containsText" text="Yes">
      <formula>NOT(ISERROR(SEARCH(("Yes"),(N197))))</formula>
    </cfRule>
  </conditionalFormatting>
  <conditionalFormatting sqref="N197:Q198 N200:Q216 U204:V204 N222:Q226 N228:Q252 N254:Q256 N258:Q264 N267:Q269 N272:O273 P272:Q275 N275:O275">
    <cfRule type="containsText" dxfId="2" priority="38728" operator="containsText" text="Yes">
      <formula>NOT(ISERROR(SEARCH(("Yes"),(N197))))</formula>
    </cfRule>
  </conditionalFormatting>
  <conditionalFormatting sqref="N197:Q198 N200:Q216 U204:V204 N222:Q226 N228:Q252 N254:Q256 N258:Q264 N267:Q269 N272:O273 P272:Q275 N275:O275">
    <cfRule type="containsText" dxfId="2" priority="38729" operator="containsText" text="Yes">
      <formula>NOT(ISERROR(SEARCH(("Yes"),(N197))))</formula>
    </cfRule>
  </conditionalFormatting>
  <conditionalFormatting sqref="N197:Q198 N200:Q216 U204:V204 N222:Q226 N228:Q252 N254:Q256 N258:Q264 N267:Q269 N272:O273 P272:Q275 N275:O275">
    <cfRule type="containsText" dxfId="2" priority="38730" operator="containsText" text="Yes">
      <formula>NOT(ISERROR(SEARCH(("Yes"),(N197))))</formula>
    </cfRule>
  </conditionalFormatting>
  <conditionalFormatting sqref="N197:Q198 N200:Q216 U204:V204 N222:Q226 N228:Q252 N254:Q256 N258:Q264 N267:Q269 N272:O273 P272:Q275 N275:O275">
    <cfRule type="containsText" dxfId="2" priority="38731" operator="containsText" text="Yes">
      <formula>NOT(ISERROR(SEARCH(("Yes"),(N197))))</formula>
    </cfRule>
  </conditionalFormatting>
  <conditionalFormatting sqref="N197:Q198 N200:Q216 U204:V204 N222:Q226 N228:Q252 N254:Q256 N258:Q264 N267:Q269 N272:O273 P272:Q275 N275:O275">
    <cfRule type="containsText" dxfId="2" priority="38732" operator="containsText" text="Yes">
      <formula>NOT(ISERROR(SEARCH(("Yes"),(N197))))</formula>
    </cfRule>
  </conditionalFormatting>
  <conditionalFormatting sqref="N197:Q198 N200:Q216 U204:V204 N222:Q226 N228:Q252 N254:Q256 N258:Q264 N267:Q269 N272:O273 P272:Q275 N275:O275">
    <cfRule type="containsText" dxfId="2" priority="38733" operator="containsText" text="Yes">
      <formula>NOT(ISERROR(SEARCH(("Yes"),(N197))))</formula>
    </cfRule>
  </conditionalFormatting>
  <conditionalFormatting sqref="N197:Q198 N200:Q216 U204:V204 N222:Q226 N228:Q252 N254:Q256 N258:Q264 N267:Q269 N272:O273 P272:Q275 N275:O275">
    <cfRule type="containsText" dxfId="2" priority="38734" operator="containsText" text="Yes">
      <formula>NOT(ISERROR(SEARCH(("Yes"),(N197))))</formula>
    </cfRule>
  </conditionalFormatting>
  <conditionalFormatting sqref="N197:Q198 N200:Q216 U204:V204 N222:Q226 N228:Q252 N254:Q256 N258:Q264 N267:Q269 N272:O273 P272:Q275 N275:O275">
    <cfRule type="containsText" dxfId="2" priority="38735" operator="containsText" text="Yes">
      <formula>NOT(ISERROR(SEARCH(("Yes"),(N197))))</formula>
    </cfRule>
  </conditionalFormatting>
  <conditionalFormatting sqref="N197:Q198 N200:Q216 U204:V204 N222:Q226 N228:Q252 N254:Q256 N258:Q264 N267:Q269 N272:O273 P272:Q275 N275:O275">
    <cfRule type="containsText" dxfId="2" priority="38736" operator="containsText" text="Yes">
      <formula>NOT(ISERROR(SEARCH(("Yes"),(N197))))</formula>
    </cfRule>
  </conditionalFormatting>
  <conditionalFormatting sqref="N197:Q198 N200:Q216 U204:V204 N222:Q226 N228:Q252 N254:Q256 N258:Q264 N267:Q269 N272:O273 P272:Q275 N275:O275">
    <cfRule type="containsText" dxfId="2" priority="38737" operator="containsText" text="Yes">
      <formula>NOT(ISERROR(SEARCH(("Yes"),(N197))))</formula>
    </cfRule>
  </conditionalFormatting>
  <conditionalFormatting sqref="N197:Q198 N200:Q216 U204:V204 N222:Q226 N228:Q252 N254:Q256 N258:Q264 N267:Q269 N272:O273 P272:Q275 N275:O275">
    <cfRule type="containsText" dxfId="2" priority="38738" operator="containsText" text="Yes">
      <formula>NOT(ISERROR(SEARCH(("Yes"),(N197))))</formula>
    </cfRule>
  </conditionalFormatting>
  <conditionalFormatting sqref="N198:N214 O203 O205:O214 N217:N221 N224:N226 N229:N230 N234 N238 N241 N243 N245 N247:N248 N251">
    <cfRule type="containsText" dxfId="9" priority="38739" operator="containsText" text="No">
      <formula>NOT(ISERROR(SEARCH(("No"),(N198))))</formula>
    </cfRule>
  </conditionalFormatting>
  <conditionalFormatting sqref="N198:N214 O203 O205:O214 N217:N221 N224:N226 N229:N230 N234 N238 N241 N243 N245 N247:N248 N251">
    <cfRule type="containsText" dxfId="9" priority="38740" operator="containsText" text="No">
      <formula>NOT(ISERROR(SEARCH(("No"),(N198))))</formula>
    </cfRule>
  </conditionalFormatting>
  <conditionalFormatting sqref="N198:N214 O203 O205:O214 N217:N221 N224:N226 N229:N230 N234 N238 N241 N243 N245 N247:N248 N251">
    <cfRule type="containsText" dxfId="9" priority="38741" operator="containsText" text="No">
      <formula>NOT(ISERROR(SEARCH(("No"),(N198))))</formula>
    </cfRule>
  </conditionalFormatting>
  <conditionalFormatting sqref="N198:N214 O203 O205:O214 N217:N221 N224:N226 N229:N230 N234 N238 N241 N243 N245 N247:N248 N251">
    <cfRule type="containsText" dxfId="2" priority="38742" operator="containsText" text="Yes">
      <formula>NOT(ISERROR(SEARCH(("Yes"),(N198))))</formula>
    </cfRule>
  </conditionalFormatting>
  <conditionalFormatting sqref="N198:N214 O203 O205:O214 N217:N221 N224:N226 N229:N230 N234 N238 N241 N243 N245 N247:N248 N251">
    <cfRule type="containsText" dxfId="2" priority="38743" operator="containsText" text="Yes">
      <formula>NOT(ISERROR(SEARCH(("Yes"),(N198))))</formula>
    </cfRule>
  </conditionalFormatting>
  <conditionalFormatting sqref="N198:N214 O203 O205:O214 N217:N221 N224:N226 N229:N230 N234 N238 N241 N243 N245 N247:N248 N251">
    <cfRule type="containsText" dxfId="2" priority="38744" operator="containsText" text="Yes">
      <formula>NOT(ISERROR(SEARCH(("Yes"),(N198))))</formula>
    </cfRule>
  </conditionalFormatting>
  <conditionalFormatting sqref="N198:N214 O203 O205:O214 N217:N221 N224:N226 N229:N230 N234 N238 N241 N243 N245 N247:N248 N251">
    <cfRule type="containsText" dxfId="2" priority="38745" operator="containsText" text="Yes">
      <formula>NOT(ISERROR(SEARCH(("Yes"),(N198))))</formula>
    </cfRule>
  </conditionalFormatting>
  <conditionalFormatting sqref="N198:N214 O203 O205:O214 N217:N221 N224:N226 N229:N230 N234 N238 N241 N243 N245 N247:N248 N251">
    <cfRule type="containsText" dxfId="2" priority="38746" operator="containsText" text="Yes">
      <formula>NOT(ISERROR(SEARCH(("Yes"),(N198))))</formula>
    </cfRule>
  </conditionalFormatting>
  <conditionalFormatting sqref="N198:N214 O203 O205:O214 N217:N221 N224:N226 N229:N230 N234 N238 N241 N243 N245 N247:N248 N251">
    <cfRule type="containsText" dxfId="9" priority="38747" operator="containsText" text="No">
      <formula>NOT(ISERROR(SEARCH(("No"),(N198))))</formula>
    </cfRule>
  </conditionalFormatting>
  <conditionalFormatting sqref="N198:N214 O203 O205:O214 N217:N221 N224:N226 N229:N230 N234 N238 N241 N243 N245 N247:N248 N251">
    <cfRule type="containsText" dxfId="2" priority="38748" operator="containsText" text="Yes">
      <formula>NOT(ISERROR(SEARCH(("Yes"),(N198))))</formula>
    </cfRule>
  </conditionalFormatting>
  <conditionalFormatting sqref="O198:O202 N204 O204:O205 O207 O212 O214 O217:O221">
    <cfRule type="containsText" dxfId="9" priority="38749" operator="containsText" text="No">
      <formula>NOT(ISERROR(SEARCH(("No"),(O198))))</formula>
    </cfRule>
  </conditionalFormatting>
  <conditionalFormatting sqref="O198:O202 N204 O204:O205 O207 O212 O214 O217:O221">
    <cfRule type="containsText" dxfId="9" priority="38750" operator="containsText" text="No">
      <formula>NOT(ISERROR(SEARCH(("No"),(O198))))</formula>
    </cfRule>
  </conditionalFormatting>
  <conditionalFormatting sqref="O198:O202 N204 O204:O205 O207 O212 O214 O217:O221">
    <cfRule type="containsText" dxfId="9" priority="38751" operator="containsText" text="No">
      <formula>NOT(ISERROR(SEARCH(("No"),(O198))))</formula>
    </cfRule>
  </conditionalFormatting>
  <conditionalFormatting sqref="O198:O202 N204 O204:O205 O207 O212 O214 O217:O221">
    <cfRule type="containsText" dxfId="2" priority="38752" operator="containsText" text="Yes">
      <formula>NOT(ISERROR(SEARCH(("Yes"),(O198))))</formula>
    </cfRule>
  </conditionalFormatting>
  <conditionalFormatting sqref="O198:O202 N204 O204:O205 O207 O212 O214 O217:O221">
    <cfRule type="containsText" dxfId="2" priority="38753" operator="containsText" text="Yes">
      <formula>NOT(ISERROR(SEARCH(("Yes"),(O198))))</formula>
    </cfRule>
  </conditionalFormatting>
  <conditionalFormatting sqref="O198:O202 N204 O204:O205 O207 O212 O214 O217:O221">
    <cfRule type="containsText" dxfId="2" priority="38754" operator="containsText" text="Yes">
      <formula>NOT(ISERROR(SEARCH(("Yes"),(O198))))</formula>
    </cfRule>
  </conditionalFormatting>
  <conditionalFormatting sqref="O198:O202 N204 O204:O205 O207 O212 O214 O217:O221">
    <cfRule type="containsText" dxfId="2" priority="38755" operator="containsText" text="Yes">
      <formula>NOT(ISERROR(SEARCH(("Yes"),(O198))))</formula>
    </cfRule>
  </conditionalFormatting>
  <conditionalFormatting sqref="O198:O202 N204 O204:O205 O207 O212 O214 O217:O221">
    <cfRule type="containsText" dxfId="2" priority="38756" operator="containsText" text="Yes">
      <formula>NOT(ISERROR(SEARCH(("Yes"),(O198))))</formula>
    </cfRule>
  </conditionalFormatting>
  <conditionalFormatting sqref="O198:O202 N204 O204:O205 O207 O212 O214 O217:O221">
    <cfRule type="containsText" dxfId="9" priority="38757" operator="containsText" text="No">
      <formula>NOT(ISERROR(SEARCH(("No"),(O198))))</formula>
    </cfRule>
  </conditionalFormatting>
  <conditionalFormatting sqref="O198:O202 N204 O204:O205 O207 O212 O214 O217:O221">
    <cfRule type="containsText" dxfId="9" priority="38758" operator="containsText" text="No">
      <formula>NOT(ISERROR(SEARCH(("No"),(O198))))</formula>
    </cfRule>
  </conditionalFormatting>
  <conditionalFormatting sqref="O198:O202 N204 O204:O205 O207 O212 O214 O217:O221">
    <cfRule type="containsText" dxfId="2" priority="38759" operator="containsText" text="Yes">
      <formula>NOT(ISERROR(SEARCH(("Yes"),(O198))))</formula>
    </cfRule>
  </conditionalFormatting>
  <conditionalFormatting sqref="P198:Q214 U204:V204 P217:Q221">
    <cfRule type="containsText" dxfId="9" priority="38760" operator="containsText" text="No">
      <formula>NOT(ISERROR(SEARCH(("No"),(P198))))</formula>
    </cfRule>
  </conditionalFormatting>
  <conditionalFormatting sqref="P198:Q214 U204:V204 P217:Q221">
    <cfRule type="containsText" dxfId="9" priority="38761" operator="containsText" text="No">
      <formula>NOT(ISERROR(SEARCH(("No"),(P198))))</formula>
    </cfRule>
  </conditionalFormatting>
  <conditionalFormatting sqref="P198:Q214 U204:V204 P217:Q221">
    <cfRule type="containsText" dxfId="9" priority="38762" operator="containsText" text="No">
      <formula>NOT(ISERROR(SEARCH(("No"),(P198))))</formula>
    </cfRule>
  </conditionalFormatting>
  <conditionalFormatting sqref="P198:Q214 U204:V204 P217:Q221">
    <cfRule type="containsText" dxfId="9" priority="38763" operator="containsText" text="No">
      <formula>NOT(ISERROR(SEARCH(("No"),(P198))))</formula>
    </cfRule>
  </conditionalFormatting>
  <conditionalFormatting sqref="P198:Q214 U204:V204 P217:Q221">
    <cfRule type="containsText" dxfId="9" priority="38764" operator="containsText" text="No">
      <formula>NOT(ISERROR(SEARCH(("No"),(P198))))</formula>
    </cfRule>
  </conditionalFormatting>
  <conditionalFormatting sqref="P198:Q214 U204:V204 P217:Q221">
    <cfRule type="containsText" dxfId="9" priority="38765" operator="containsText" text="No">
      <formula>NOT(ISERROR(SEARCH(("No"),(P198))))</formula>
    </cfRule>
  </conditionalFormatting>
  <conditionalFormatting sqref="P198:Q214 U204:V204 P217:Q221">
    <cfRule type="containsText" dxfId="9" priority="38766" operator="containsText" text="No">
      <formula>NOT(ISERROR(SEARCH(("No"),(P198))))</formula>
    </cfRule>
  </conditionalFormatting>
  <conditionalFormatting sqref="P198:Q214 U204:V204 P217:Q221">
    <cfRule type="containsText" dxfId="9" priority="38767" operator="containsText" text="No">
      <formula>NOT(ISERROR(SEARCH(("No"),(P198))))</formula>
    </cfRule>
  </conditionalFormatting>
  <conditionalFormatting sqref="P198:Q214 U204:V204 P217:Q221">
    <cfRule type="containsText" dxfId="9" priority="38768" operator="containsText" text="No">
      <formula>NOT(ISERROR(SEARCH(("No"),(P198))))</formula>
    </cfRule>
  </conditionalFormatting>
  <conditionalFormatting sqref="P198:Q214 U204:V204 P217:Q221">
    <cfRule type="containsText" dxfId="9" priority="38769" operator="containsText" text="No">
      <formula>NOT(ISERROR(SEARCH(("No"),(P198))))</formula>
    </cfRule>
  </conditionalFormatting>
  <conditionalFormatting sqref="P198:Q214 U204:V204 P217:Q221">
    <cfRule type="containsText" dxfId="9" priority="38770" operator="containsText" text="No">
      <formula>NOT(ISERROR(SEARCH(("No"),(P198))))</formula>
    </cfRule>
  </conditionalFormatting>
  <conditionalFormatting sqref="P198:Q214 U204:V204 P217:Q221">
    <cfRule type="containsText" dxfId="9" priority="38771" operator="containsText" text="No">
      <formula>NOT(ISERROR(SEARCH(("No"),(P198))))</formula>
    </cfRule>
  </conditionalFormatting>
  <conditionalFormatting sqref="P198:Q214 U204:V204 P217:Q221">
    <cfRule type="containsText" dxfId="9" priority="38772" operator="containsText" text="No">
      <formula>NOT(ISERROR(SEARCH(("No"),(P198))))</formula>
    </cfRule>
  </conditionalFormatting>
  <conditionalFormatting sqref="P198:Q214 U204:V204 P217:Q221">
    <cfRule type="containsText" dxfId="9" priority="38773" operator="containsText" text="No">
      <formula>NOT(ISERROR(SEARCH(("No"),(P198))))</formula>
    </cfRule>
  </conditionalFormatting>
  <conditionalFormatting sqref="P198:Q214 U204:V204 P217:Q221">
    <cfRule type="containsText" dxfId="9" priority="38774" operator="containsText" text="No">
      <formula>NOT(ISERROR(SEARCH(("No"),(P198))))</formula>
    </cfRule>
  </conditionalFormatting>
  <conditionalFormatting sqref="P198:Q214 U204:V204 P217:Q221">
    <cfRule type="containsText" dxfId="9" priority="38775" operator="containsText" text="No">
      <formula>NOT(ISERROR(SEARCH(("No"),(P198))))</formula>
    </cfRule>
  </conditionalFormatting>
  <conditionalFormatting sqref="P198:Q214 U204:V204 P217:Q221">
    <cfRule type="containsText" dxfId="9" priority="38776" operator="containsText" text="No">
      <formula>NOT(ISERROR(SEARCH(("No"),(P198))))</formula>
    </cfRule>
  </conditionalFormatting>
  <conditionalFormatting sqref="P198:Q214 U204:V204 P217:Q221">
    <cfRule type="containsText" dxfId="9" priority="38777" operator="containsText" text="No">
      <formula>NOT(ISERROR(SEARCH(("No"),(P198))))</formula>
    </cfRule>
  </conditionalFormatting>
  <conditionalFormatting sqref="P198:Q214 U204:V204 P217:Q221">
    <cfRule type="containsText" dxfId="9" priority="38778" operator="containsText" text="No">
      <formula>NOT(ISERROR(SEARCH(("No"),(P198))))</formula>
    </cfRule>
  </conditionalFormatting>
  <conditionalFormatting sqref="P198:Q214 U204:V204 P217:Q221">
    <cfRule type="containsText" dxfId="9" priority="38779" operator="containsText" text="No">
      <formula>NOT(ISERROR(SEARCH(("No"),(P198))))</formula>
    </cfRule>
  </conditionalFormatting>
  <conditionalFormatting sqref="P198:Q214 U204:V204 P217:Q221">
    <cfRule type="containsText" dxfId="9" priority="38780" operator="containsText" text="No">
      <formula>NOT(ISERROR(SEARCH(("No"),(P198))))</formula>
    </cfRule>
  </conditionalFormatting>
  <conditionalFormatting sqref="P198:Q214 U204:V204 P217:Q221">
    <cfRule type="containsText" dxfId="9" priority="38781" operator="containsText" text="No">
      <formula>NOT(ISERROR(SEARCH(("No"),(P198))))</formula>
    </cfRule>
  </conditionalFormatting>
  <conditionalFormatting sqref="P198:Q214 U204:V204 P217:Q221">
    <cfRule type="containsText" dxfId="9" priority="38782" operator="containsText" text="No">
      <formula>NOT(ISERROR(SEARCH(("No"),(P198))))</formula>
    </cfRule>
  </conditionalFormatting>
  <conditionalFormatting sqref="P198:Q214 U204:V204 P217:Q221">
    <cfRule type="containsText" dxfId="9" priority="38783" operator="containsText" text="No">
      <formula>NOT(ISERROR(SEARCH(("No"),(P198))))</formula>
    </cfRule>
  </conditionalFormatting>
  <conditionalFormatting sqref="P198:Q214 U204:V204 P217:Q221">
    <cfRule type="containsText" dxfId="9" priority="38784" operator="containsText" text="No">
      <formula>NOT(ISERROR(SEARCH(("No"),(P198))))</formula>
    </cfRule>
  </conditionalFormatting>
  <conditionalFormatting sqref="P198:Q214 U204:V204 P217:Q221">
    <cfRule type="containsText" dxfId="9" priority="38785" operator="containsText" text="No">
      <formula>NOT(ISERROR(SEARCH(("No"),(P198))))</formula>
    </cfRule>
  </conditionalFormatting>
  <conditionalFormatting sqref="P198:Q214 U204:V204 P217:Q221">
    <cfRule type="containsText" dxfId="9" priority="38786" operator="containsText" text="No">
      <formula>NOT(ISERROR(SEARCH(("No"),(P198))))</formula>
    </cfRule>
  </conditionalFormatting>
  <conditionalFormatting sqref="P198:Q214 U204:V204 P217:Q221">
    <cfRule type="containsText" dxfId="9" priority="38787" operator="containsText" text="No">
      <formula>NOT(ISERROR(SEARCH(("No"),(P198))))</formula>
    </cfRule>
  </conditionalFormatting>
  <conditionalFormatting sqref="P198:Q214 U204:V204 P217:Q221">
    <cfRule type="containsText" dxfId="9" priority="38788" operator="containsText" text="No">
      <formula>NOT(ISERROR(SEARCH(("No"),(P198))))</formula>
    </cfRule>
  </conditionalFormatting>
  <conditionalFormatting sqref="P198:Q214 U204:V204 P217:Q221">
    <cfRule type="containsText" dxfId="9" priority="38789" operator="containsText" text="No">
      <formula>NOT(ISERROR(SEARCH(("No"),(P198))))</formula>
    </cfRule>
  </conditionalFormatting>
  <conditionalFormatting sqref="P198:Q214 U204:V204 P217:Q221">
    <cfRule type="containsText" dxfId="9" priority="38790" operator="containsText" text="No">
      <formula>NOT(ISERROR(SEARCH(("No"),(P198))))</formula>
    </cfRule>
  </conditionalFormatting>
  <conditionalFormatting sqref="P198:Q214 U204:V204 P217:Q221">
    <cfRule type="containsText" dxfId="9" priority="38791" operator="containsText" text="No">
      <formula>NOT(ISERROR(SEARCH(("No"),(P198))))</formula>
    </cfRule>
  </conditionalFormatting>
  <conditionalFormatting sqref="P198:Q214 U204:V204 P217:Q221">
    <cfRule type="containsText" dxfId="9" priority="38792" operator="containsText" text="No">
      <formula>NOT(ISERROR(SEARCH(("No"),(P198))))</formula>
    </cfRule>
  </conditionalFormatting>
  <conditionalFormatting sqref="P198:Q214 U204:V204 P217:Q221">
    <cfRule type="containsText" dxfId="9" priority="38793" operator="containsText" text="No">
      <formula>NOT(ISERROR(SEARCH(("No"),(P198))))</formula>
    </cfRule>
  </conditionalFormatting>
  <conditionalFormatting sqref="P198:Q214 U204:V204 P217:Q221">
    <cfRule type="containsText" dxfId="9" priority="38794" operator="containsText" text="No">
      <formula>NOT(ISERROR(SEARCH(("No"),(P198))))</formula>
    </cfRule>
  </conditionalFormatting>
  <conditionalFormatting sqref="P198:Q214 U204:V204 P217:Q221">
    <cfRule type="containsText" dxfId="9" priority="38795" operator="containsText" text="No">
      <formula>NOT(ISERROR(SEARCH(("No"),(P198))))</formula>
    </cfRule>
  </conditionalFormatting>
  <conditionalFormatting sqref="P198:Q214 U204:V204 P217:Q221">
    <cfRule type="containsText" dxfId="9" priority="38796" operator="containsText" text="No">
      <formula>NOT(ISERROR(SEARCH(("No"),(P198))))</formula>
    </cfRule>
  </conditionalFormatting>
  <conditionalFormatting sqref="P198:Q214 U204:V204 P217:Q221">
    <cfRule type="containsText" dxfId="9" priority="38797" operator="containsText" text="No">
      <formula>NOT(ISERROR(SEARCH(("No"),(P198))))</formula>
    </cfRule>
  </conditionalFormatting>
  <conditionalFormatting sqref="P198:Q214 U204:V204 P217:Q221">
    <cfRule type="containsText" dxfId="9" priority="38798" operator="containsText" text="No">
      <formula>NOT(ISERROR(SEARCH(("No"),(P198))))</formula>
    </cfRule>
  </conditionalFormatting>
  <conditionalFormatting sqref="P198:Q214 U204:V204 P217:Q221">
    <cfRule type="containsText" dxfId="9" priority="38799" operator="containsText" text="No">
      <formula>NOT(ISERROR(SEARCH(("No"),(P198))))</formula>
    </cfRule>
  </conditionalFormatting>
  <conditionalFormatting sqref="P198:Q214 U204:V204 P217:Q221">
    <cfRule type="containsText" dxfId="9" priority="38800" operator="containsText" text="No">
      <formula>NOT(ISERROR(SEARCH(("No"),(P198))))</formula>
    </cfRule>
  </conditionalFormatting>
  <conditionalFormatting sqref="P198:Q214 U204:V204 P217:Q221">
    <cfRule type="containsText" dxfId="9" priority="38801" operator="containsText" text="No">
      <formula>NOT(ISERROR(SEARCH(("No"),(P198))))</formula>
    </cfRule>
  </conditionalFormatting>
  <conditionalFormatting sqref="P198:Q214 U204:V204 P217:Q221">
    <cfRule type="containsText" dxfId="9" priority="38802" operator="containsText" text="No">
      <formula>NOT(ISERROR(SEARCH(("No"),(P198))))</formula>
    </cfRule>
  </conditionalFormatting>
  <conditionalFormatting sqref="P198:Q214 U204:V204 P217:Q221">
    <cfRule type="containsText" dxfId="9" priority="38803" operator="containsText" text="No">
      <formula>NOT(ISERROR(SEARCH(("No"),(P198))))</formula>
    </cfRule>
  </conditionalFormatting>
  <conditionalFormatting sqref="P198:Q214 U204:V204 P217:Q221">
    <cfRule type="containsText" dxfId="9" priority="38804" operator="containsText" text="No">
      <formula>NOT(ISERROR(SEARCH(("No"),(P198))))</formula>
    </cfRule>
  </conditionalFormatting>
  <conditionalFormatting sqref="P198:Q214 U204:V204 P217:Q221">
    <cfRule type="containsText" dxfId="2" priority="38805" operator="containsText" text="Yes">
      <formula>NOT(ISERROR(SEARCH(("Yes"),(P198))))</formula>
    </cfRule>
  </conditionalFormatting>
  <conditionalFormatting sqref="P198:Q214 U204:V204 P217:Q221">
    <cfRule type="containsText" dxfId="2" priority="38806" operator="containsText" text="Yes">
      <formula>NOT(ISERROR(SEARCH(("Yes"),(P198))))</formula>
    </cfRule>
  </conditionalFormatting>
  <conditionalFormatting sqref="P198:Q214 U204:V204 P217:Q221">
    <cfRule type="containsText" dxfId="2" priority="38807" operator="containsText" text="Yes">
      <formula>NOT(ISERROR(SEARCH(("Yes"),(P198))))</formula>
    </cfRule>
  </conditionalFormatting>
  <conditionalFormatting sqref="P198:Q214 U204:V204 P217:Q221">
    <cfRule type="containsText" dxfId="2" priority="38808" operator="containsText" text="Yes">
      <formula>NOT(ISERROR(SEARCH(("Yes"),(P198))))</formula>
    </cfRule>
  </conditionalFormatting>
  <conditionalFormatting sqref="P198:Q214 U204:V204 P217:Q221">
    <cfRule type="containsText" dxfId="2" priority="38809" operator="containsText" text="Yes">
      <formula>NOT(ISERROR(SEARCH(("Yes"),(P198))))</formula>
    </cfRule>
  </conditionalFormatting>
  <conditionalFormatting sqref="P198:Q214 U204:V204 P217:Q221">
    <cfRule type="containsText" dxfId="2" priority="38810" operator="containsText" text="Yes">
      <formula>NOT(ISERROR(SEARCH(("Yes"),(P198))))</formula>
    </cfRule>
  </conditionalFormatting>
  <conditionalFormatting sqref="P198:Q214 U204:V204 P217:Q221">
    <cfRule type="containsText" dxfId="2" priority="38811" operator="containsText" text="Yes">
      <formula>NOT(ISERROR(SEARCH(("Yes"),(P198))))</formula>
    </cfRule>
  </conditionalFormatting>
  <conditionalFormatting sqref="P198:Q214 U204:V204 P217:Q221">
    <cfRule type="containsText" dxfId="2" priority="38812" operator="containsText" text="Yes">
      <formula>NOT(ISERROR(SEARCH(("Yes"),(P198))))</formula>
    </cfRule>
  </conditionalFormatting>
  <conditionalFormatting sqref="P198:Q214 U204:V204 P217:Q221">
    <cfRule type="containsText" dxfId="2" priority="38813" operator="containsText" text="Yes">
      <formula>NOT(ISERROR(SEARCH(("Yes"),(P198))))</formula>
    </cfRule>
  </conditionalFormatting>
  <conditionalFormatting sqref="P198:Q214 U204:V204 P217:Q221">
    <cfRule type="containsText" dxfId="2" priority="38814" operator="containsText" text="Yes">
      <formula>NOT(ISERROR(SEARCH(("Yes"),(P198))))</formula>
    </cfRule>
  </conditionalFormatting>
  <conditionalFormatting sqref="P198:Q214 U204:V204 P217:Q221">
    <cfRule type="containsText" dxfId="2" priority="38815" operator="containsText" text="Yes">
      <formula>NOT(ISERROR(SEARCH(("Yes"),(P198))))</formula>
    </cfRule>
  </conditionalFormatting>
  <conditionalFormatting sqref="P198:Q214 U204:V204 P217:Q221">
    <cfRule type="containsText" dxfId="2" priority="38816" operator="containsText" text="Yes">
      <formula>NOT(ISERROR(SEARCH(("Yes"),(P198))))</formula>
    </cfRule>
  </conditionalFormatting>
  <conditionalFormatting sqref="P198:Q214 U204:V204 P217:Q221">
    <cfRule type="containsText" dxfId="2" priority="38817" operator="containsText" text="Yes">
      <formula>NOT(ISERROR(SEARCH(("Yes"),(P198))))</formula>
    </cfRule>
  </conditionalFormatting>
  <conditionalFormatting sqref="P198:Q214 U204:V204 P217:Q221">
    <cfRule type="containsText" dxfId="2" priority="38818" operator="containsText" text="Yes">
      <formula>NOT(ISERROR(SEARCH(("Yes"),(P198))))</formula>
    </cfRule>
  </conditionalFormatting>
  <conditionalFormatting sqref="P198:Q214 U204:V204 P217:Q221">
    <cfRule type="containsText" dxfId="2" priority="38819" operator="containsText" text="Yes">
      <formula>NOT(ISERROR(SEARCH(("Yes"),(P198))))</formula>
    </cfRule>
  </conditionalFormatting>
  <conditionalFormatting sqref="P198:Q214 U204:V204 P217:Q221">
    <cfRule type="containsText" dxfId="2" priority="38820" operator="containsText" text="Yes">
      <formula>NOT(ISERROR(SEARCH(("Yes"),(P198))))</formula>
    </cfRule>
  </conditionalFormatting>
  <conditionalFormatting sqref="P198:Q214 U204:V204 P217:Q221">
    <cfRule type="containsText" dxfId="2" priority="38821" operator="containsText" text="Yes">
      <formula>NOT(ISERROR(SEARCH(("Yes"),(P198))))</formula>
    </cfRule>
  </conditionalFormatting>
  <conditionalFormatting sqref="P198:Q214 U204:V204 P217:Q221">
    <cfRule type="containsText" dxfId="2" priority="38822" operator="containsText" text="Yes">
      <formula>NOT(ISERROR(SEARCH(("Yes"),(P198))))</formula>
    </cfRule>
  </conditionalFormatting>
  <conditionalFormatting sqref="P198:Q214 U204:V204 P217:Q221">
    <cfRule type="containsText" dxfId="2" priority="38823" operator="containsText" text="Yes">
      <formula>NOT(ISERROR(SEARCH(("Yes"),(P198))))</formula>
    </cfRule>
  </conditionalFormatting>
  <conditionalFormatting sqref="P198:Q214 U204:V204 P217:Q221">
    <cfRule type="containsText" dxfId="2" priority="38824" operator="containsText" text="Yes">
      <formula>NOT(ISERROR(SEARCH(("Yes"),(P198))))</formula>
    </cfRule>
  </conditionalFormatting>
  <conditionalFormatting sqref="P198:Q214 U204:V204 P217:Q221">
    <cfRule type="containsText" dxfId="2" priority="38825" operator="containsText" text="Yes">
      <formula>NOT(ISERROR(SEARCH(("Yes"),(P198))))</formula>
    </cfRule>
  </conditionalFormatting>
  <conditionalFormatting sqref="P198:Q214 U204:V204 P217:Q221">
    <cfRule type="containsText" dxfId="2" priority="38826" operator="containsText" text="Yes">
      <formula>NOT(ISERROR(SEARCH(("Yes"),(P198))))</formula>
    </cfRule>
  </conditionalFormatting>
  <conditionalFormatting sqref="P198:Q214 U204:V204 P217:Q221">
    <cfRule type="containsText" dxfId="2" priority="38827" operator="containsText" text="Yes">
      <formula>NOT(ISERROR(SEARCH(("Yes"),(P198))))</formula>
    </cfRule>
  </conditionalFormatting>
  <conditionalFormatting sqref="P198:Q214 U204:V204 P217:Q221">
    <cfRule type="containsText" dxfId="2" priority="38828" operator="containsText" text="Yes">
      <formula>NOT(ISERROR(SEARCH(("Yes"),(P198))))</formula>
    </cfRule>
  </conditionalFormatting>
  <conditionalFormatting sqref="P198:Q214 U204:V204 P217:Q221">
    <cfRule type="containsText" dxfId="2" priority="38829" operator="containsText" text="Yes">
      <formula>NOT(ISERROR(SEARCH(("Yes"),(P198))))</formula>
    </cfRule>
  </conditionalFormatting>
  <conditionalFormatting sqref="P198:Q214 U204:V204 P217:Q221">
    <cfRule type="containsText" dxfId="2" priority="38830" operator="containsText" text="Yes">
      <formula>NOT(ISERROR(SEARCH(("Yes"),(P198))))</formula>
    </cfRule>
  </conditionalFormatting>
  <conditionalFormatting sqref="P198:Q214 U204:V204 P217:Q221">
    <cfRule type="containsText" dxfId="2" priority="38831" operator="containsText" text="Yes">
      <formula>NOT(ISERROR(SEARCH(("Yes"),(P198))))</formula>
    </cfRule>
  </conditionalFormatting>
  <conditionalFormatting sqref="P198:Q214 U204:V204 P217:Q221">
    <cfRule type="containsText" dxfId="2" priority="38832" operator="containsText" text="Yes">
      <formula>NOT(ISERROR(SEARCH(("Yes"),(P198))))</formula>
    </cfRule>
  </conditionalFormatting>
  <conditionalFormatting sqref="P198:Q214 U204:V204 P217:Q221">
    <cfRule type="containsText" dxfId="2" priority="38833" operator="containsText" text="Yes">
      <formula>NOT(ISERROR(SEARCH(("Yes"),(P198))))</formula>
    </cfRule>
  </conditionalFormatting>
  <conditionalFormatting sqref="P198:Q214 U204:V204 P217:Q221">
    <cfRule type="containsText" dxfId="2" priority="38834" operator="containsText" text="Yes">
      <formula>NOT(ISERROR(SEARCH(("Yes"),(P198))))</formula>
    </cfRule>
  </conditionalFormatting>
  <conditionalFormatting sqref="P198:Q214 U204:V204 P217:Q221">
    <cfRule type="containsText" dxfId="2" priority="38835" operator="containsText" text="Yes">
      <formula>NOT(ISERROR(SEARCH(("Yes"),(P198))))</formula>
    </cfRule>
  </conditionalFormatting>
  <conditionalFormatting sqref="P198:Q214 U204:V204 P217:Q221">
    <cfRule type="containsText" dxfId="2" priority="38836" operator="containsText" text="Yes">
      <formula>NOT(ISERROR(SEARCH(("Yes"),(P198))))</formula>
    </cfRule>
  </conditionalFormatting>
  <conditionalFormatting sqref="P198:Q214 U204:V204 P217:Q221">
    <cfRule type="containsText" dxfId="2" priority="38837" operator="containsText" text="Yes">
      <formula>NOT(ISERROR(SEARCH(("Yes"),(P198))))</formula>
    </cfRule>
  </conditionalFormatting>
  <conditionalFormatting sqref="P198:Q214 U204:V204 P217:Q221">
    <cfRule type="containsText" dxfId="2" priority="38838" operator="containsText" text="Yes">
      <formula>NOT(ISERROR(SEARCH(("Yes"),(P198))))</formula>
    </cfRule>
  </conditionalFormatting>
  <conditionalFormatting sqref="P198:Q214 U204:V204 P217:Q221">
    <cfRule type="containsText" dxfId="2" priority="38839" operator="containsText" text="Yes">
      <formula>NOT(ISERROR(SEARCH(("Yes"),(P198))))</formula>
    </cfRule>
  </conditionalFormatting>
  <conditionalFormatting sqref="P198:Q214 U204:V204 P217:Q221">
    <cfRule type="containsText" dxfId="2" priority="38840" operator="containsText" text="Yes">
      <formula>NOT(ISERROR(SEARCH(("Yes"),(P198))))</formula>
    </cfRule>
  </conditionalFormatting>
  <conditionalFormatting sqref="P198:Q214 U204:V204 P217:Q221">
    <cfRule type="containsText" dxfId="2" priority="38841" operator="containsText" text="Yes">
      <formula>NOT(ISERROR(SEARCH(("Yes"),(P198))))</formula>
    </cfRule>
  </conditionalFormatting>
  <conditionalFormatting sqref="P198:Q214 U204:V204 P217:Q221">
    <cfRule type="containsText" dxfId="2" priority="38842" operator="containsText" text="Yes">
      <formula>NOT(ISERROR(SEARCH(("Yes"),(P198))))</formula>
    </cfRule>
  </conditionalFormatting>
  <conditionalFormatting sqref="P198:Q214 U204:V204 P217:Q221">
    <cfRule type="containsText" dxfId="2" priority="38843" operator="containsText" text="Yes">
      <formula>NOT(ISERROR(SEARCH(("Yes"),(P198))))</formula>
    </cfRule>
  </conditionalFormatting>
  <conditionalFormatting sqref="P198:Q214 U204:V204 P217:Q221">
    <cfRule type="containsText" dxfId="2" priority="38844" operator="containsText" text="Yes">
      <formula>NOT(ISERROR(SEARCH(("Yes"),(P198))))</formula>
    </cfRule>
  </conditionalFormatting>
  <conditionalFormatting sqref="P198:Q214 U204:V204 P217:Q221">
    <cfRule type="containsText" dxfId="2" priority="38845" operator="containsText" text="Yes">
      <formula>NOT(ISERROR(SEARCH(("Yes"),(P198))))</formula>
    </cfRule>
  </conditionalFormatting>
  <conditionalFormatting sqref="P198:Q214 U204:V204 P217:Q221">
    <cfRule type="containsText" dxfId="2" priority="38846" operator="containsText" text="Yes">
      <formula>NOT(ISERROR(SEARCH(("Yes"),(P198))))</formula>
    </cfRule>
  </conditionalFormatting>
  <conditionalFormatting sqref="P198:Q214 U204:V204 P217:Q221">
    <cfRule type="containsText" dxfId="2" priority="38847" operator="containsText" text="Yes">
      <formula>NOT(ISERROR(SEARCH(("Yes"),(P198))))</formula>
    </cfRule>
  </conditionalFormatting>
  <conditionalFormatting sqref="P198:Q214 U204:V204 P217:Q221">
    <cfRule type="containsText" dxfId="2" priority="38848" operator="containsText" text="Yes">
      <formula>NOT(ISERROR(SEARCH(("Yes"),(P198))))</formula>
    </cfRule>
  </conditionalFormatting>
  <conditionalFormatting sqref="P198:Q214 U204:V204 P217:Q221">
    <cfRule type="containsText" dxfId="2" priority="38849" operator="containsText" text="Yes">
      <formula>NOT(ISERROR(SEARCH(("Yes"),(P198))))</formula>
    </cfRule>
  </conditionalFormatting>
  <conditionalFormatting sqref="P198:Q214 U204:V204 P217:Q221">
    <cfRule type="containsText" dxfId="2" priority="38850" operator="containsText" text="Yes">
      <formula>NOT(ISERROR(SEARCH(("Yes"),(P198))))</formula>
    </cfRule>
  </conditionalFormatting>
  <conditionalFormatting sqref="P198:Q214 U204:V204 P217:Q221">
    <cfRule type="containsText" dxfId="2" priority="38851" operator="containsText" text="Yes">
      <formula>NOT(ISERROR(SEARCH(("Yes"),(P198))))</formula>
    </cfRule>
  </conditionalFormatting>
  <conditionalFormatting sqref="O199:O200 O202 N204 O204:O205 O207 O212 O214">
    <cfRule type="containsText" dxfId="9" priority="38852" operator="containsText" text="No">
      <formula>NOT(ISERROR(SEARCH(("No"),(O199))))</formula>
    </cfRule>
  </conditionalFormatting>
  <conditionalFormatting sqref="O199:O200 O202 N204 O204:O205 O207 O212 O214">
    <cfRule type="containsText" dxfId="9" priority="38853" operator="containsText" text="No">
      <formula>NOT(ISERROR(SEARCH(("No"),(O199))))</formula>
    </cfRule>
  </conditionalFormatting>
  <conditionalFormatting sqref="O199:O200 O202 N204 O204:O205 O207 O212 O214">
    <cfRule type="containsText" dxfId="9" priority="38854" operator="containsText" text="No">
      <formula>NOT(ISERROR(SEARCH(("No"),(O199))))</formula>
    </cfRule>
  </conditionalFormatting>
  <conditionalFormatting sqref="O199:O200 O202 N204 O204:O205 O207 O212 O214">
    <cfRule type="containsText" dxfId="9" priority="38855" operator="containsText" text="No">
      <formula>NOT(ISERROR(SEARCH(("No"),(O199))))</formula>
    </cfRule>
  </conditionalFormatting>
  <conditionalFormatting sqref="O199:O200 O202 N204 O204:O205 O207 O212 O214">
    <cfRule type="containsText" dxfId="9" priority="38856" operator="containsText" text="No">
      <formula>NOT(ISERROR(SEARCH(("No"),(O199))))</formula>
    </cfRule>
  </conditionalFormatting>
  <conditionalFormatting sqref="O199:O200 O202 N204 O204:O205 O207 O212 O214">
    <cfRule type="containsText" dxfId="9" priority="38857" operator="containsText" text="No">
      <formula>NOT(ISERROR(SEARCH(("No"),(O199))))</formula>
    </cfRule>
  </conditionalFormatting>
  <conditionalFormatting sqref="O199:O200 O202 N204 O204:O205 O207 O212 O214">
    <cfRule type="containsText" dxfId="9" priority="38858" operator="containsText" text="No">
      <formula>NOT(ISERROR(SEARCH(("No"),(O199))))</formula>
    </cfRule>
  </conditionalFormatting>
  <conditionalFormatting sqref="O199:O200 O202 N204 O204:O205 O207 O212 O214">
    <cfRule type="containsText" dxfId="9" priority="38859" operator="containsText" text="No">
      <formula>NOT(ISERROR(SEARCH(("No"),(O199))))</formula>
    </cfRule>
  </conditionalFormatting>
  <conditionalFormatting sqref="O199:O200 O202 N204 O204:O205 O207 O212 O214">
    <cfRule type="containsText" dxfId="9" priority="38860" operator="containsText" text="No">
      <formula>NOT(ISERROR(SEARCH(("No"),(O199))))</formula>
    </cfRule>
  </conditionalFormatting>
  <conditionalFormatting sqref="O199:O200 O202 N204 O204:O205 O207 O212 O214">
    <cfRule type="containsText" dxfId="9" priority="38861" operator="containsText" text="No">
      <formula>NOT(ISERROR(SEARCH(("No"),(O199))))</formula>
    </cfRule>
  </conditionalFormatting>
  <conditionalFormatting sqref="O199:O200 O202 N204 O204:O205 O207 O212 O214">
    <cfRule type="containsText" dxfId="9" priority="38862" operator="containsText" text="No">
      <formula>NOT(ISERROR(SEARCH(("No"),(O199))))</formula>
    </cfRule>
  </conditionalFormatting>
  <conditionalFormatting sqref="O199:O200 O202 N204 O204:O205 O207 O212 O214">
    <cfRule type="containsText" dxfId="9" priority="38863" operator="containsText" text="No">
      <formula>NOT(ISERROR(SEARCH(("No"),(O199))))</formula>
    </cfRule>
  </conditionalFormatting>
  <conditionalFormatting sqref="O199:O200 O202 N204 O204:O205 O207 O212 O214">
    <cfRule type="containsText" dxfId="9" priority="38864" operator="containsText" text="No">
      <formula>NOT(ISERROR(SEARCH(("No"),(O199))))</formula>
    </cfRule>
  </conditionalFormatting>
  <conditionalFormatting sqref="O199:O200 O202 N204 O204:O205 O207 O212 O214">
    <cfRule type="containsText" dxfId="9" priority="38865" operator="containsText" text="No">
      <formula>NOT(ISERROR(SEARCH(("No"),(O199))))</formula>
    </cfRule>
  </conditionalFormatting>
  <conditionalFormatting sqref="O199:O200 O202 N204 O204:O205 O207 O212 O214">
    <cfRule type="containsText" dxfId="9" priority="38866" operator="containsText" text="No">
      <formula>NOT(ISERROR(SEARCH(("No"),(O199))))</formula>
    </cfRule>
  </conditionalFormatting>
  <conditionalFormatting sqref="O199:O200 O202 N204 O204:O205 O207 O212 O214">
    <cfRule type="containsText" dxfId="9" priority="38867" operator="containsText" text="No">
      <formula>NOT(ISERROR(SEARCH(("No"),(O199))))</formula>
    </cfRule>
  </conditionalFormatting>
  <conditionalFormatting sqref="O199:O200 O202 N204 O204:O205 O207 O212 O214">
    <cfRule type="containsText" dxfId="9" priority="38868" operator="containsText" text="No">
      <formula>NOT(ISERROR(SEARCH(("No"),(O199))))</formula>
    </cfRule>
  </conditionalFormatting>
  <conditionalFormatting sqref="O199:O200 O202 N204 O204:O205 O207 O212 O214">
    <cfRule type="containsText" dxfId="9" priority="38869" operator="containsText" text="No">
      <formula>NOT(ISERROR(SEARCH(("No"),(O199))))</formula>
    </cfRule>
  </conditionalFormatting>
  <conditionalFormatting sqref="O199:O200 O202 N204 O204:O205 O207 O212 O214">
    <cfRule type="containsText" dxfId="9" priority="38870" operator="containsText" text="No">
      <formula>NOT(ISERROR(SEARCH(("No"),(O199))))</formula>
    </cfRule>
  </conditionalFormatting>
  <conditionalFormatting sqref="O199:O200 O202 N204 O204:O205 O207 O212 O214">
    <cfRule type="containsText" dxfId="9" priority="38871" operator="containsText" text="No">
      <formula>NOT(ISERROR(SEARCH(("No"),(O199))))</formula>
    </cfRule>
  </conditionalFormatting>
  <conditionalFormatting sqref="O199:O200 O202 N204 O204:O205 O207 O212 O214">
    <cfRule type="containsText" dxfId="9" priority="38872" operator="containsText" text="No">
      <formula>NOT(ISERROR(SEARCH(("No"),(O199))))</formula>
    </cfRule>
  </conditionalFormatting>
  <conditionalFormatting sqref="O199:O200 O202 N204 O204:O205 O207 O212 O214">
    <cfRule type="containsText" dxfId="9" priority="38873" operator="containsText" text="No">
      <formula>NOT(ISERROR(SEARCH(("No"),(O199))))</formula>
    </cfRule>
  </conditionalFormatting>
  <conditionalFormatting sqref="O199:O200 O202 N204 O204:O205 O207 O212 O214">
    <cfRule type="containsText" dxfId="9" priority="38874" operator="containsText" text="No">
      <formula>NOT(ISERROR(SEARCH(("No"),(O199))))</formula>
    </cfRule>
  </conditionalFormatting>
  <conditionalFormatting sqref="O199:O200 O202 N204 O204:O205 O207 O212 O214">
    <cfRule type="containsText" dxfId="9" priority="38875" operator="containsText" text="No">
      <formula>NOT(ISERROR(SEARCH(("No"),(O199))))</formula>
    </cfRule>
  </conditionalFormatting>
  <conditionalFormatting sqref="O199:O200 O202 N204 O204:O205 O207 O212 O214">
    <cfRule type="containsText" dxfId="9" priority="38876" operator="containsText" text="No">
      <formula>NOT(ISERROR(SEARCH(("No"),(O199))))</formula>
    </cfRule>
  </conditionalFormatting>
  <conditionalFormatting sqref="O199:O200 O202 N204 O204:O205 O207 O212 O214">
    <cfRule type="containsText" dxfId="9" priority="38877" operator="containsText" text="No">
      <formula>NOT(ISERROR(SEARCH(("No"),(O199))))</formula>
    </cfRule>
  </conditionalFormatting>
  <conditionalFormatting sqref="O199:O200 O202 N204 O204:O205 O207 O212 O214">
    <cfRule type="containsText" dxfId="9" priority="38878" operator="containsText" text="No">
      <formula>NOT(ISERROR(SEARCH(("No"),(O199))))</formula>
    </cfRule>
  </conditionalFormatting>
  <conditionalFormatting sqref="O199:O200 O202 N204 O204:O205 O207 O212 O214">
    <cfRule type="containsText" dxfId="9" priority="38879" operator="containsText" text="No">
      <formula>NOT(ISERROR(SEARCH(("No"),(O199))))</formula>
    </cfRule>
  </conditionalFormatting>
  <conditionalFormatting sqref="O199:O200 O202 N204 O204:O205 O207 O212 O214">
    <cfRule type="containsText" dxfId="9" priority="38880" operator="containsText" text="No">
      <formula>NOT(ISERROR(SEARCH(("No"),(O199))))</formula>
    </cfRule>
  </conditionalFormatting>
  <conditionalFormatting sqref="O199:O200 O202 N204 O204:O205 O207 O212 O214">
    <cfRule type="containsText" dxfId="9" priority="38881" operator="containsText" text="No">
      <formula>NOT(ISERROR(SEARCH(("No"),(O199))))</formula>
    </cfRule>
  </conditionalFormatting>
  <conditionalFormatting sqref="O199:O200 O202 N204 O204:O205 O207 O212 O214">
    <cfRule type="containsText" dxfId="9" priority="38882" operator="containsText" text="No">
      <formula>NOT(ISERROR(SEARCH(("No"),(O199))))</formula>
    </cfRule>
  </conditionalFormatting>
  <conditionalFormatting sqref="O199:O200 O202 N204 O204:O205 O207 O212 O214">
    <cfRule type="containsText" dxfId="9" priority="38883" operator="containsText" text="No">
      <formula>NOT(ISERROR(SEARCH(("No"),(O199))))</formula>
    </cfRule>
  </conditionalFormatting>
  <conditionalFormatting sqref="O199:O200 O202 N204 O204:O205 O207 O212 O214">
    <cfRule type="containsText" dxfId="9" priority="38884" operator="containsText" text="No">
      <formula>NOT(ISERROR(SEARCH(("No"),(O199))))</formula>
    </cfRule>
  </conditionalFormatting>
  <conditionalFormatting sqref="O199:O200 O202 N204 O204:O205 O207 O212 O214">
    <cfRule type="containsText" dxfId="9" priority="38885" operator="containsText" text="No">
      <formula>NOT(ISERROR(SEARCH(("No"),(O199))))</formula>
    </cfRule>
  </conditionalFormatting>
  <conditionalFormatting sqref="O199:O200 O202 N204 O204:O205 O207 O212 O214">
    <cfRule type="containsText" dxfId="9" priority="38886" operator="containsText" text="No">
      <formula>NOT(ISERROR(SEARCH(("No"),(O199))))</formula>
    </cfRule>
  </conditionalFormatting>
  <conditionalFormatting sqref="O199:O200 O202 N204 O204:O205 O207 O212 O214">
    <cfRule type="containsText" dxfId="9" priority="38887" operator="containsText" text="No">
      <formula>NOT(ISERROR(SEARCH(("No"),(O199))))</formula>
    </cfRule>
  </conditionalFormatting>
  <conditionalFormatting sqref="O199:O200 O202 N204 O204:O205 O207 O212 O214">
    <cfRule type="containsText" dxfId="9" priority="38888" operator="containsText" text="No">
      <formula>NOT(ISERROR(SEARCH(("No"),(O199))))</formula>
    </cfRule>
  </conditionalFormatting>
  <conditionalFormatting sqref="O199:O200 O202 N204 O204:O205 O207 O212 O214">
    <cfRule type="containsText" dxfId="9" priority="38889" operator="containsText" text="No">
      <formula>NOT(ISERROR(SEARCH(("No"),(O199))))</formula>
    </cfRule>
  </conditionalFormatting>
  <conditionalFormatting sqref="O199:O200 O202 N204 O204:O205 O207 O212 O214">
    <cfRule type="containsText" dxfId="9" priority="38890" operator="containsText" text="No">
      <formula>NOT(ISERROR(SEARCH(("No"),(O199))))</formula>
    </cfRule>
  </conditionalFormatting>
  <conditionalFormatting sqref="O199:O200 O202 N204 O204:O205 O207 O212 O214">
    <cfRule type="containsText" dxfId="9" priority="38891" operator="containsText" text="No">
      <formula>NOT(ISERROR(SEARCH(("No"),(O199))))</formula>
    </cfRule>
  </conditionalFormatting>
  <conditionalFormatting sqref="O199:O200 O202 N204 O204:O205 O207 O212 O214">
    <cfRule type="containsText" dxfId="9" priority="38892" operator="containsText" text="No">
      <formula>NOT(ISERROR(SEARCH(("No"),(O199))))</formula>
    </cfRule>
  </conditionalFormatting>
  <conditionalFormatting sqref="O199:O200 O202 N204 O204:O205 O207 O212 O214">
    <cfRule type="containsText" dxfId="9" priority="38893" operator="containsText" text="No">
      <formula>NOT(ISERROR(SEARCH(("No"),(O199))))</formula>
    </cfRule>
  </conditionalFormatting>
  <conditionalFormatting sqref="O199:O200 O202 N204 O204:O205 O207 O212 O214">
    <cfRule type="containsText" dxfId="9" priority="38894" operator="containsText" text="No">
      <formula>NOT(ISERROR(SEARCH(("No"),(O199))))</formula>
    </cfRule>
  </conditionalFormatting>
  <conditionalFormatting sqref="O199:O200 O202 N204 O204:O205 O207 O212 O214">
    <cfRule type="containsText" dxfId="9" priority="38895" operator="containsText" text="No">
      <formula>NOT(ISERROR(SEARCH(("No"),(O199))))</formula>
    </cfRule>
  </conditionalFormatting>
  <conditionalFormatting sqref="O199:O200 O202 N204 O204:O205 O207 O212 O214">
    <cfRule type="containsText" dxfId="9" priority="38896" operator="containsText" text="No">
      <formula>NOT(ISERROR(SEARCH(("No"),(O199))))</formula>
    </cfRule>
  </conditionalFormatting>
  <conditionalFormatting sqref="O199:O200 O202 N204 O204:O205 O207 O212 O214">
    <cfRule type="containsText" dxfId="2" priority="38897" operator="containsText" text="Yes">
      <formula>NOT(ISERROR(SEARCH(("Yes"),(O199))))</formula>
    </cfRule>
  </conditionalFormatting>
  <conditionalFormatting sqref="O199:O200 O202 N204 O204:O205 O207 O212 O214">
    <cfRule type="containsText" dxfId="2" priority="38898" operator="containsText" text="Yes">
      <formula>NOT(ISERROR(SEARCH(("Yes"),(O199))))</formula>
    </cfRule>
  </conditionalFormatting>
  <conditionalFormatting sqref="O199:O200 O202 N204 O204:O205 O207 O212 O214">
    <cfRule type="containsText" dxfId="2" priority="38899" operator="containsText" text="Yes">
      <formula>NOT(ISERROR(SEARCH(("Yes"),(O199))))</formula>
    </cfRule>
  </conditionalFormatting>
  <conditionalFormatting sqref="O199:O200 O202 N204 O204:O205 O207 O212 O214">
    <cfRule type="containsText" dxfId="2" priority="38900" operator="containsText" text="Yes">
      <formula>NOT(ISERROR(SEARCH(("Yes"),(O199))))</formula>
    </cfRule>
  </conditionalFormatting>
  <conditionalFormatting sqref="O199:O200 O202 N204 O204:O205 O207 O212 O214">
    <cfRule type="containsText" dxfId="2" priority="38901" operator="containsText" text="Yes">
      <formula>NOT(ISERROR(SEARCH(("Yes"),(O199))))</formula>
    </cfRule>
  </conditionalFormatting>
  <conditionalFormatting sqref="O199:O200 O202 N204 O204:O205 O207 O212 O214">
    <cfRule type="containsText" dxfId="2" priority="38902" operator="containsText" text="Yes">
      <formula>NOT(ISERROR(SEARCH(("Yes"),(O199))))</formula>
    </cfRule>
  </conditionalFormatting>
  <conditionalFormatting sqref="O199:O200 O202 N204 O204:O205 O207 O212 O214">
    <cfRule type="containsText" dxfId="2" priority="38903" operator="containsText" text="Yes">
      <formula>NOT(ISERROR(SEARCH(("Yes"),(O199))))</formula>
    </cfRule>
  </conditionalFormatting>
  <conditionalFormatting sqref="O199:O200 O202 N204 O204:O205 O207 O212 O214">
    <cfRule type="containsText" dxfId="2" priority="38904" operator="containsText" text="Yes">
      <formula>NOT(ISERROR(SEARCH(("Yes"),(O199))))</formula>
    </cfRule>
  </conditionalFormatting>
  <conditionalFormatting sqref="O199:O200 O202 N204 O204:O205 O207 O212 O214">
    <cfRule type="containsText" dxfId="2" priority="38905" operator="containsText" text="Yes">
      <formula>NOT(ISERROR(SEARCH(("Yes"),(O199))))</formula>
    </cfRule>
  </conditionalFormatting>
  <conditionalFormatting sqref="O199:O200 O202 N204 O204:O205 O207 O212 O214">
    <cfRule type="containsText" dxfId="2" priority="38906" operator="containsText" text="Yes">
      <formula>NOT(ISERROR(SEARCH(("Yes"),(O199))))</formula>
    </cfRule>
  </conditionalFormatting>
  <conditionalFormatting sqref="O199:O200 O202 N204 O204:O205 O207 O212 O214">
    <cfRule type="containsText" dxfId="2" priority="38907" operator="containsText" text="Yes">
      <formula>NOT(ISERROR(SEARCH(("Yes"),(O199))))</formula>
    </cfRule>
  </conditionalFormatting>
  <conditionalFormatting sqref="O199:O200 O202 N204 O204:O205 O207 O212 O214">
    <cfRule type="containsText" dxfId="2" priority="38908" operator="containsText" text="Yes">
      <formula>NOT(ISERROR(SEARCH(("Yes"),(O199))))</formula>
    </cfRule>
  </conditionalFormatting>
  <conditionalFormatting sqref="O199:O200 O202 N204 O204:O205 O207 O212 O214">
    <cfRule type="containsText" dxfId="2" priority="38909" operator="containsText" text="Yes">
      <formula>NOT(ISERROR(SEARCH(("Yes"),(O199))))</formula>
    </cfRule>
  </conditionalFormatting>
  <conditionalFormatting sqref="O199:O200 O202 N204 O204:O205 O207 O212 O214">
    <cfRule type="containsText" dxfId="2" priority="38910" operator="containsText" text="Yes">
      <formula>NOT(ISERROR(SEARCH(("Yes"),(O199))))</formula>
    </cfRule>
  </conditionalFormatting>
  <conditionalFormatting sqref="O199:O200 O202 N204 O204:O205 O207 O212 O214">
    <cfRule type="containsText" dxfId="2" priority="38911" operator="containsText" text="Yes">
      <formula>NOT(ISERROR(SEARCH(("Yes"),(O199))))</formula>
    </cfRule>
  </conditionalFormatting>
  <conditionalFormatting sqref="O199:O200 O202 N204 O204:O205 O207 O212 O214">
    <cfRule type="containsText" dxfId="2" priority="38912" operator="containsText" text="Yes">
      <formula>NOT(ISERROR(SEARCH(("Yes"),(O199))))</formula>
    </cfRule>
  </conditionalFormatting>
  <conditionalFormatting sqref="O199:O200 O202 N204 O204:O205 O207 O212 O214">
    <cfRule type="containsText" dxfId="2" priority="38913" operator="containsText" text="Yes">
      <formula>NOT(ISERROR(SEARCH(("Yes"),(O199))))</formula>
    </cfRule>
  </conditionalFormatting>
  <conditionalFormatting sqref="O199:O200 O202 N204 O204:O205 O207 O212 O214">
    <cfRule type="containsText" dxfId="2" priority="38914" operator="containsText" text="Yes">
      <formula>NOT(ISERROR(SEARCH(("Yes"),(O199))))</formula>
    </cfRule>
  </conditionalFormatting>
  <conditionalFormatting sqref="O199:O200 O202 N204 O204:O205 O207 O212 O214">
    <cfRule type="containsText" dxfId="2" priority="38915" operator="containsText" text="Yes">
      <formula>NOT(ISERROR(SEARCH(("Yes"),(O199))))</formula>
    </cfRule>
  </conditionalFormatting>
  <conditionalFormatting sqref="O199:O200 O202 N204 O204:O205 O207 O212 O214">
    <cfRule type="containsText" dxfId="2" priority="38916" operator="containsText" text="Yes">
      <formula>NOT(ISERROR(SEARCH(("Yes"),(O199))))</formula>
    </cfRule>
  </conditionalFormatting>
  <conditionalFormatting sqref="O199:O200 O202 N204 O204:O205 O207 O212 O214">
    <cfRule type="containsText" dxfId="2" priority="38917" operator="containsText" text="Yes">
      <formula>NOT(ISERROR(SEARCH(("Yes"),(O199))))</formula>
    </cfRule>
  </conditionalFormatting>
  <conditionalFormatting sqref="O199:O200 O202 N204 O204:O205 O207 O212 O214">
    <cfRule type="containsText" dxfId="2" priority="38918" operator="containsText" text="Yes">
      <formula>NOT(ISERROR(SEARCH(("Yes"),(O199))))</formula>
    </cfRule>
  </conditionalFormatting>
  <conditionalFormatting sqref="O199:O200 O202 N204 O204:O205 O207 O212 O214">
    <cfRule type="containsText" dxfId="2" priority="38919" operator="containsText" text="Yes">
      <formula>NOT(ISERROR(SEARCH(("Yes"),(O199))))</formula>
    </cfRule>
  </conditionalFormatting>
  <conditionalFormatting sqref="O199:O200 O202 N204 O204:O205 O207 O212 O214">
    <cfRule type="containsText" dxfId="2" priority="38920" operator="containsText" text="Yes">
      <formula>NOT(ISERROR(SEARCH(("Yes"),(O199))))</formula>
    </cfRule>
  </conditionalFormatting>
  <conditionalFormatting sqref="O199:O200 O202 N204 O204:O205 O207 O212 O214">
    <cfRule type="containsText" dxfId="2" priority="38921" operator="containsText" text="Yes">
      <formula>NOT(ISERROR(SEARCH(("Yes"),(O199))))</formula>
    </cfRule>
  </conditionalFormatting>
  <conditionalFormatting sqref="O199:O200 O202 N204 O204:O205 O207 O212 O214">
    <cfRule type="containsText" dxfId="2" priority="38922" operator="containsText" text="Yes">
      <formula>NOT(ISERROR(SEARCH(("Yes"),(O199))))</formula>
    </cfRule>
  </conditionalFormatting>
  <conditionalFormatting sqref="O199:O200 O202 N204 O204:O205 O207 O212 O214">
    <cfRule type="containsText" dxfId="2" priority="38923" operator="containsText" text="Yes">
      <formula>NOT(ISERROR(SEARCH(("Yes"),(O199))))</formula>
    </cfRule>
  </conditionalFormatting>
  <conditionalFormatting sqref="O199:O200 O202 N204 O204:O205 O207 O212 O214">
    <cfRule type="containsText" dxfId="2" priority="38924" operator="containsText" text="Yes">
      <formula>NOT(ISERROR(SEARCH(("Yes"),(O199))))</formula>
    </cfRule>
  </conditionalFormatting>
  <conditionalFormatting sqref="O199:O200 O202 N204 O204:O205 O207 O212 O214">
    <cfRule type="containsText" dxfId="2" priority="38925" operator="containsText" text="Yes">
      <formula>NOT(ISERROR(SEARCH(("Yes"),(O199))))</formula>
    </cfRule>
  </conditionalFormatting>
  <conditionalFormatting sqref="O199:O200 O202 N204 O204:O205 O207 O212 O214">
    <cfRule type="containsText" dxfId="2" priority="38926" operator="containsText" text="Yes">
      <formula>NOT(ISERROR(SEARCH(("Yes"),(O199))))</formula>
    </cfRule>
  </conditionalFormatting>
  <conditionalFormatting sqref="O199:O200 O202 N204 O204:O205 O207 O212 O214">
    <cfRule type="containsText" dxfId="2" priority="38927" operator="containsText" text="Yes">
      <formula>NOT(ISERROR(SEARCH(("Yes"),(O199))))</formula>
    </cfRule>
  </conditionalFormatting>
  <conditionalFormatting sqref="O199:O200 O202 N204 O204:O205 O207 O212 O214">
    <cfRule type="containsText" dxfId="2" priority="38928" operator="containsText" text="Yes">
      <formula>NOT(ISERROR(SEARCH(("Yes"),(O199))))</formula>
    </cfRule>
  </conditionalFormatting>
  <conditionalFormatting sqref="O199:O200 O202 N204 O204:O205 O207 O212 O214">
    <cfRule type="containsText" dxfId="2" priority="38929" operator="containsText" text="Yes">
      <formula>NOT(ISERROR(SEARCH(("Yes"),(O199))))</formula>
    </cfRule>
  </conditionalFormatting>
  <conditionalFormatting sqref="O199:O200 O202 N204 O204:O205 O207 O212 O214">
    <cfRule type="containsText" dxfId="2" priority="38930" operator="containsText" text="Yes">
      <formula>NOT(ISERROR(SEARCH(("Yes"),(O199))))</formula>
    </cfRule>
  </conditionalFormatting>
  <conditionalFormatting sqref="O199:O200 O202 N204 O204:O205 O207 O212 O214">
    <cfRule type="containsText" dxfId="2" priority="38931" operator="containsText" text="Yes">
      <formula>NOT(ISERROR(SEARCH(("Yes"),(O199))))</formula>
    </cfRule>
  </conditionalFormatting>
  <conditionalFormatting sqref="O199:O200 O202 N204 O204:O205 O207 O212 O214">
    <cfRule type="containsText" dxfId="2" priority="38932" operator="containsText" text="Yes">
      <formula>NOT(ISERROR(SEARCH(("Yes"),(O199))))</formula>
    </cfRule>
  </conditionalFormatting>
  <conditionalFormatting sqref="O199:O200 O202 N204 O204:O205 O207 O212 O214">
    <cfRule type="containsText" dxfId="2" priority="38933" operator="containsText" text="Yes">
      <formula>NOT(ISERROR(SEARCH(("Yes"),(O199))))</formula>
    </cfRule>
  </conditionalFormatting>
  <conditionalFormatting sqref="O199:O200 O202 N204 O204:O205 O207 O212 O214">
    <cfRule type="containsText" dxfId="2" priority="38934" operator="containsText" text="Yes">
      <formula>NOT(ISERROR(SEARCH(("Yes"),(O199))))</formula>
    </cfRule>
  </conditionalFormatting>
  <conditionalFormatting sqref="O199:O200 O202 N204 O204:O205 O207 O212 O214">
    <cfRule type="containsText" dxfId="2" priority="38935" operator="containsText" text="Yes">
      <formula>NOT(ISERROR(SEARCH(("Yes"),(O199))))</formula>
    </cfRule>
  </conditionalFormatting>
  <conditionalFormatting sqref="O199:O200 O202 N204 O204:O205 O207 O212 O214">
    <cfRule type="containsText" dxfId="2" priority="38936" operator="containsText" text="Yes">
      <formula>NOT(ISERROR(SEARCH(("Yes"),(O199))))</formula>
    </cfRule>
  </conditionalFormatting>
  <conditionalFormatting sqref="O199:O200 O202 N204 O204:O205 O207 O212 O214">
    <cfRule type="containsText" dxfId="2" priority="38937" operator="containsText" text="Yes">
      <formula>NOT(ISERROR(SEARCH(("Yes"),(O199))))</formula>
    </cfRule>
  </conditionalFormatting>
  <conditionalFormatting sqref="O199:O200 O202 N204 O204:O205 O207 O212 O214">
    <cfRule type="containsText" dxfId="2" priority="38938" operator="containsText" text="Yes">
      <formula>NOT(ISERROR(SEARCH(("Yes"),(O199))))</formula>
    </cfRule>
  </conditionalFormatting>
  <conditionalFormatting sqref="O199:O200 O202 N204 O204:O205 O207 O212 O214">
    <cfRule type="containsText" dxfId="2" priority="38939" operator="containsText" text="Yes">
      <formula>NOT(ISERROR(SEARCH(("Yes"),(O199))))</formula>
    </cfRule>
  </conditionalFormatting>
  <conditionalFormatting sqref="O199:O200 O202 N204 O204:O205 O207 O212 O214">
    <cfRule type="containsText" dxfId="2" priority="38940" operator="containsText" text="Yes">
      <formula>NOT(ISERROR(SEARCH(("Yes"),(O199))))</formula>
    </cfRule>
  </conditionalFormatting>
  <conditionalFormatting sqref="O199:O200 O202 N204 O204:O205 O207 O212 O214">
    <cfRule type="containsText" dxfId="2" priority="38941" operator="containsText" text="Yes">
      <formula>NOT(ISERROR(SEARCH(("Yes"),(O199))))</formula>
    </cfRule>
  </conditionalFormatting>
  <conditionalFormatting sqref="O199:O200 O202 N204 O204:O205 O207 O212 O214">
    <cfRule type="containsText" dxfId="2" priority="38942" operator="containsText" text="Yes">
      <formula>NOT(ISERROR(SEARCH(("Yes"),(O199))))</formula>
    </cfRule>
  </conditionalFormatting>
  <conditionalFormatting sqref="O199:O200 O202 N204 O204:O205 O207 O212 O214">
    <cfRule type="containsText" dxfId="2" priority="38943" operator="containsText" text="Yes">
      <formula>NOT(ISERROR(SEARCH(("Yes"),(O199))))</formula>
    </cfRule>
  </conditionalFormatting>
  <conditionalFormatting sqref="Q199:Q200 Q202 Q204:Q205 Q207 Q212:Q214">
    <cfRule type="containsText" dxfId="9" priority="38944" operator="containsText" text="No">
      <formula>NOT(ISERROR(SEARCH(("No"),(Q199))))</formula>
    </cfRule>
  </conditionalFormatting>
  <conditionalFormatting sqref="Q199:Q200 Q202 Q204:Q205 Q207 Q212:Q214">
    <cfRule type="containsText" dxfId="9" priority="38945" operator="containsText" text="No">
      <formula>NOT(ISERROR(SEARCH(("No"),(Q199))))</formula>
    </cfRule>
  </conditionalFormatting>
  <conditionalFormatting sqref="Q199:Q200 Q202 Q204:Q205 Q207 Q212:Q214">
    <cfRule type="containsText" dxfId="9" priority="38946" operator="containsText" text="No">
      <formula>NOT(ISERROR(SEARCH(("No"),(Q199))))</formula>
    </cfRule>
  </conditionalFormatting>
  <conditionalFormatting sqref="Q199:Q200 Q202 Q204:Q205 Q207 Q212:Q214">
    <cfRule type="containsText" dxfId="2" priority="38947" operator="containsText" text="Yes">
      <formula>NOT(ISERROR(SEARCH(("Yes"),(Q199))))</formula>
    </cfRule>
  </conditionalFormatting>
  <conditionalFormatting sqref="Q199:Q200 Q202 Q204:Q205 Q207 Q212:Q214">
    <cfRule type="containsText" dxfId="2" priority="38948" operator="containsText" text="Yes">
      <formula>NOT(ISERROR(SEARCH(("Yes"),(Q199))))</formula>
    </cfRule>
  </conditionalFormatting>
  <conditionalFormatting sqref="Q199:Q200 Q202 Q204:Q205 Q207 Q212:Q214">
    <cfRule type="containsText" dxfId="2" priority="38949" operator="containsText" text="Yes">
      <formula>NOT(ISERROR(SEARCH(("Yes"),(Q199))))</formula>
    </cfRule>
  </conditionalFormatting>
  <conditionalFormatting sqref="Q199:Q200 Q202 Q204:Q205 Q207 Q212:Q214">
    <cfRule type="containsText" dxfId="2" priority="38950" operator="containsText" text="Yes">
      <formula>NOT(ISERROR(SEARCH(("Yes"),(Q199))))</formula>
    </cfRule>
  </conditionalFormatting>
  <conditionalFormatting sqref="Q199:Q200 Q202 Q204:Q205 Q207 Q212:Q214">
    <cfRule type="containsText" dxfId="2" priority="38951" operator="containsText" text="Yes">
      <formula>NOT(ISERROR(SEARCH(("Yes"),(Q199))))</formula>
    </cfRule>
  </conditionalFormatting>
  <conditionalFormatting sqref="Q199:Q200 Q202 Q204:Q205 Q207 Q212:Q214">
    <cfRule type="containsText" dxfId="9" priority="38952" operator="containsText" text="No">
      <formula>NOT(ISERROR(SEARCH(("No"),(Q199))))</formula>
    </cfRule>
  </conditionalFormatting>
  <conditionalFormatting sqref="Q199:Q200 Q202 Q204:Q205 Q207 Q212:Q214">
    <cfRule type="containsText" dxfId="9" priority="38953" operator="containsText" text="No">
      <formula>NOT(ISERROR(SEARCH(("No"),(Q199))))</formula>
    </cfRule>
  </conditionalFormatting>
  <conditionalFormatting sqref="Q199:Q200 Q202 Q204:Q205 Q207 Q212:Q214">
    <cfRule type="containsText" dxfId="2" priority="38954" operator="containsText" text="Yes">
      <formula>NOT(ISERROR(SEARCH(("Yes"),(Q199))))</formula>
    </cfRule>
  </conditionalFormatting>
  <conditionalFormatting sqref="P199:P200 P202:P214 Q203 U204:V204 Q205:Q214">
    <cfRule type="containsText" dxfId="9" priority="38955" operator="containsText" text="No">
      <formula>NOT(ISERROR(SEARCH(("No"),(P199))))</formula>
    </cfRule>
  </conditionalFormatting>
  <conditionalFormatting sqref="P199:P200 P202:P214 Q203 U204:V204 Q205:Q214">
    <cfRule type="containsText" dxfId="9" priority="38956" operator="containsText" text="No">
      <formula>NOT(ISERROR(SEARCH(("No"),(P199))))</formula>
    </cfRule>
  </conditionalFormatting>
  <conditionalFormatting sqref="P199:P200 P202:P214 Q203 U204:V204 Q205:Q214">
    <cfRule type="containsText" dxfId="9" priority="38957" operator="containsText" text="No">
      <formula>NOT(ISERROR(SEARCH(("No"),(P199))))</formula>
    </cfRule>
  </conditionalFormatting>
  <conditionalFormatting sqref="P199:P200 P202:P214 Q203 U204:V204 Q205:Q214">
    <cfRule type="containsText" dxfId="2" priority="38958" operator="containsText" text="Yes">
      <formula>NOT(ISERROR(SEARCH(("Yes"),(P199))))</formula>
    </cfRule>
  </conditionalFormatting>
  <conditionalFormatting sqref="P199:P200 P202:P214 Q203 U204:V204 Q205:Q214">
    <cfRule type="containsText" dxfId="2" priority="38959" operator="containsText" text="Yes">
      <formula>NOT(ISERROR(SEARCH(("Yes"),(P199))))</formula>
    </cfRule>
  </conditionalFormatting>
  <conditionalFormatting sqref="P199:P200 P202:P214 Q203 U204:V204 Q205:Q214">
    <cfRule type="containsText" dxfId="2" priority="38960" operator="containsText" text="Yes">
      <formula>NOT(ISERROR(SEARCH(("Yes"),(P199))))</formula>
    </cfRule>
  </conditionalFormatting>
  <conditionalFormatting sqref="P199:P200 P202:P214 Q203 U204:V204 Q205:Q214">
    <cfRule type="containsText" dxfId="2" priority="38961" operator="containsText" text="Yes">
      <formula>NOT(ISERROR(SEARCH(("Yes"),(P199))))</formula>
    </cfRule>
  </conditionalFormatting>
  <conditionalFormatting sqref="P199:P200 P202:P214 Q203 U204:V204 Q205:Q214">
    <cfRule type="containsText" dxfId="2" priority="38962" operator="containsText" text="Yes">
      <formula>NOT(ISERROR(SEARCH(("Yes"),(P199))))</formula>
    </cfRule>
  </conditionalFormatting>
  <conditionalFormatting sqref="P199:P200 P202:P214 Q203 U204:V204 Q205:Q214">
    <cfRule type="containsText" dxfId="9" priority="38963" operator="containsText" text="No">
      <formula>NOT(ISERROR(SEARCH(("No"),(P199))))</formula>
    </cfRule>
  </conditionalFormatting>
  <conditionalFormatting sqref="P199:P200 P202:P214 Q203 U204:V204 Q205:Q214">
    <cfRule type="containsText" dxfId="9" priority="38964" operator="containsText" text="No">
      <formula>NOT(ISERROR(SEARCH(("No"),(P199))))</formula>
    </cfRule>
  </conditionalFormatting>
  <conditionalFormatting sqref="P199:P200 P202:P214 Q203 U204:V204 Q205:Q214">
    <cfRule type="containsText" dxfId="2" priority="38965" operator="containsText" text="Yes">
      <formula>NOT(ISERROR(SEARCH(("Yes"),(P199))))</formula>
    </cfRule>
  </conditionalFormatting>
  <conditionalFormatting sqref="N200:Q214 U204:V204 N216:Q216 N222:Q226 N228:Q252 N254:Q256 N258:Q264 N267:Q269 N272:O273 P272:Q275 N275:O275">
    <cfRule type="containsText" dxfId="9" priority="38966" operator="containsText" text="No">
      <formula>NOT(ISERROR(SEARCH(("No"),(N200))))</formula>
    </cfRule>
  </conditionalFormatting>
  <conditionalFormatting sqref="N200:Q214 U204:V204 N216:Q216 N222:Q226 N228:Q252 N254:Q256 N258:Q264 N267:Q269 N272:O273 P272:Q275 N275:O275">
    <cfRule type="containsText" dxfId="9" priority="38967" operator="containsText" text="No">
      <formula>NOT(ISERROR(SEARCH(("No"),(N200))))</formula>
    </cfRule>
  </conditionalFormatting>
  <conditionalFormatting sqref="N200:Q214 U204:V204 N216:Q216 N222:Q226 N228:Q252 N254:Q256 N258:Q264 N267:Q269 N272:O273 P272:Q275 N275:O275">
    <cfRule type="containsText" dxfId="9" priority="38968" operator="containsText" text="No">
      <formula>NOT(ISERROR(SEARCH(("No"),(N200))))</formula>
    </cfRule>
  </conditionalFormatting>
  <conditionalFormatting sqref="N200:Q214 U204:V204 N216:Q216 N222:Q226 N228:Q252 N254:Q256 N258:Q264 N267:Q269 N272:O273 P272:Q275 N275:O275">
    <cfRule type="containsText" dxfId="9" priority="38969" operator="containsText" text="No">
      <formula>NOT(ISERROR(SEARCH(("No"),(N200))))</formula>
    </cfRule>
  </conditionalFormatting>
  <conditionalFormatting sqref="N200:Q214 U204:V204 N216:Q216 N222:Q226 N228:Q252 N254:Q256 N258:Q264 N267:Q269 N272:O273 P272:Q275 N275:O275">
    <cfRule type="containsText" dxfId="9" priority="38970" operator="containsText" text="No">
      <formula>NOT(ISERROR(SEARCH(("No"),(N200))))</formula>
    </cfRule>
  </conditionalFormatting>
  <conditionalFormatting sqref="N200:Q214 U204:V204 N216:Q216 N222:Q226 N228:Q252 N254:Q256 N258:Q264 N267:Q269 N272:O273 P272:Q275 N275:O275">
    <cfRule type="containsText" dxfId="9" priority="38971" operator="containsText" text="No">
      <formula>NOT(ISERROR(SEARCH(("No"),(N200))))</formula>
    </cfRule>
  </conditionalFormatting>
  <conditionalFormatting sqref="N200:Q214 U204:V204 N216:Q216 N222:Q226 N228:Q252 N254:Q256 N258:Q264 N267:Q269 N272:O273 P272:Q275 N275:O275">
    <cfRule type="containsText" dxfId="9" priority="38972" operator="containsText" text="No">
      <formula>NOT(ISERROR(SEARCH(("No"),(N200))))</formula>
    </cfRule>
  </conditionalFormatting>
  <conditionalFormatting sqref="N200:Q214 U204:V204 N216:Q216 N222:Q226 N228:Q252 N254:Q256 N258:Q264 N267:Q269 N272:O273 P272:Q275 N275:O275">
    <cfRule type="containsText" dxfId="9" priority="38973" operator="containsText" text="No">
      <formula>NOT(ISERROR(SEARCH(("No"),(N200))))</formula>
    </cfRule>
  </conditionalFormatting>
  <conditionalFormatting sqref="N200:Q214 U204:V204 N216:Q216 N222:Q226 N228:Q252 N254:Q256 N258:Q264 N267:Q269 N272:O273 P272:Q275 N275:O275">
    <cfRule type="containsText" dxfId="9" priority="38974" operator="containsText" text="No">
      <formula>NOT(ISERROR(SEARCH(("No"),(N200))))</formula>
    </cfRule>
  </conditionalFormatting>
  <conditionalFormatting sqref="N200:Q214 U204:V204 N216:Q216 N222:Q226 N228:Q252 N254:Q256 N258:Q264 N267:Q269 N272:O273 P272:Q275 N275:O275">
    <cfRule type="containsText" dxfId="9" priority="38975" operator="containsText" text="No">
      <formula>NOT(ISERROR(SEARCH(("No"),(N200))))</formula>
    </cfRule>
  </conditionalFormatting>
  <conditionalFormatting sqref="N200:Q214 U204:V204 N216:Q216 N222:Q226 N228:Q252 N254:Q256 N258:Q264 N267:Q269 N272:O273 P272:Q275 N275:O275">
    <cfRule type="containsText" dxfId="9" priority="38976" operator="containsText" text="No">
      <formula>NOT(ISERROR(SEARCH(("No"),(N200))))</formula>
    </cfRule>
  </conditionalFormatting>
  <conditionalFormatting sqref="N200:Q214 U204:V204 N216:Q216 N222:Q226 N228:Q252 N254:Q256 N258:Q264 N267:Q269 N272:O273 P272:Q275 N275:O275">
    <cfRule type="containsText" dxfId="9" priority="38977" operator="containsText" text="No">
      <formula>NOT(ISERROR(SEARCH(("No"),(N200))))</formula>
    </cfRule>
  </conditionalFormatting>
  <conditionalFormatting sqref="N200:Q214 U204:V204 N216:Q216 N222:Q226 N228:Q252 N254:Q256 N258:Q264 N267:Q269 N272:O273 P272:Q275 N275:O275">
    <cfRule type="containsText" dxfId="9" priority="38978" operator="containsText" text="No">
      <formula>NOT(ISERROR(SEARCH(("No"),(N200))))</formula>
    </cfRule>
  </conditionalFormatting>
  <conditionalFormatting sqref="N200:Q214 U204:V204 N216:Q216 N222:Q226 N228:Q252 N254:Q256 N258:Q264 N267:Q269 N272:O273 P272:Q275 N275:O275">
    <cfRule type="containsText" dxfId="9" priority="38979" operator="containsText" text="No">
      <formula>NOT(ISERROR(SEARCH(("No"),(N200))))</formula>
    </cfRule>
  </conditionalFormatting>
  <conditionalFormatting sqref="N200:Q214 U204:V204 N216:Q216 N222:Q226 N228:Q252 N254:Q256 N258:Q264 N267:Q269 N272:O273 P272:Q275 N275:O275">
    <cfRule type="containsText" dxfId="9" priority="38980" operator="containsText" text="No">
      <formula>NOT(ISERROR(SEARCH(("No"),(N200))))</formula>
    </cfRule>
  </conditionalFormatting>
  <conditionalFormatting sqref="N200:Q214 U204:V204 N216:Q216 N222:Q226 N228:Q252 N254:Q256 N258:Q264 N267:Q269 N272:O273 P272:Q275 N275:O275">
    <cfRule type="containsText" dxfId="9" priority="38981" operator="containsText" text="No">
      <formula>NOT(ISERROR(SEARCH(("No"),(N200))))</formula>
    </cfRule>
  </conditionalFormatting>
  <conditionalFormatting sqref="N200:Q214 U204:V204 N216:Q216 N222:Q226 N228:Q252 N254:Q256 N258:Q264 N267:Q269 N272:O273 P272:Q275 N275:O275">
    <cfRule type="containsText" dxfId="9" priority="38982" operator="containsText" text="No">
      <formula>NOT(ISERROR(SEARCH(("No"),(N200))))</formula>
    </cfRule>
  </conditionalFormatting>
  <conditionalFormatting sqref="N200:Q214 U204:V204 N216:Q216 N222:Q226 N228:Q252 N254:Q256 N258:Q264 N267:Q269 N272:O273 P272:Q275 N275:O275">
    <cfRule type="containsText" dxfId="9" priority="38983" operator="containsText" text="No">
      <formula>NOT(ISERROR(SEARCH(("No"),(N200))))</formula>
    </cfRule>
  </conditionalFormatting>
  <conditionalFormatting sqref="N200:Q214 U204:V204 N216:Q216 N222:Q226 N228:Q252 N254:Q256 N258:Q264 N267:Q269 N272:O273 P272:Q275 N275:O275">
    <cfRule type="containsText" dxfId="9" priority="38984" operator="containsText" text="No">
      <formula>NOT(ISERROR(SEARCH(("No"),(N200))))</formula>
    </cfRule>
  </conditionalFormatting>
  <conditionalFormatting sqref="N200:Q214 U204:V204 N216:Q216 N222:Q226 N228:Q252 N254:Q256 N258:Q264 N267:Q269 N272:O273 P272:Q275 N275:O275">
    <cfRule type="containsText" dxfId="9" priority="38985" operator="containsText" text="No">
      <formula>NOT(ISERROR(SEARCH(("No"),(N200))))</formula>
    </cfRule>
  </conditionalFormatting>
  <conditionalFormatting sqref="N200:Q214 U204:V204 N216:Q216 N222:Q226 N228:Q252 N254:Q256 N258:Q264 N267:Q269 N272:O273 P272:Q275 N275:O275">
    <cfRule type="containsText" dxfId="9" priority="38986" operator="containsText" text="No">
      <formula>NOT(ISERROR(SEARCH(("No"),(N200))))</formula>
    </cfRule>
  </conditionalFormatting>
  <conditionalFormatting sqref="N200:Q214 U204:V204 N216:Q216 N222:Q226 N228:Q252 N254:Q256 N258:Q264 N267:Q269 N272:O273 P272:Q275 N275:O275">
    <cfRule type="containsText" dxfId="9" priority="38987" operator="containsText" text="No">
      <formula>NOT(ISERROR(SEARCH(("No"),(N200))))</formula>
    </cfRule>
  </conditionalFormatting>
  <conditionalFormatting sqref="N200:Q214 U204:V204 N216:Q216 N222:Q226 N228:Q252 N254:Q256 N258:Q264 N267:Q269 N272:O273 P272:Q275 N275:O275">
    <cfRule type="containsText" dxfId="9" priority="38988" operator="containsText" text="No">
      <formula>NOT(ISERROR(SEARCH(("No"),(N200))))</formula>
    </cfRule>
  </conditionalFormatting>
  <conditionalFormatting sqref="N200:Q214 U204:V204 N216:Q216 N222:Q226 N228:Q252 N254:Q256 N258:Q264 N267:Q269 N272:O273 P272:Q275 N275:O275">
    <cfRule type="containsText" dxfId="9" priority="38989" operator="containsText" text="No">
      <formula>NOT(ISERROR(SEARCH(("No"),(N200))))</formula>
    </cfRule>
  </conditionalFormatting>
  <conditionalFormatting sqref="N200:Q214 U204:V204 N216:Q216 N222:Q226 N228:Q252 N254:Q256 N258:Q264 N267:Q269 N272:O273 P272:Q275 N275:O275">
    <cfRule type="containsText" dxfId="9" priority="38990" operator="containsText" text="No">
      <formula>NOT(ISERROR(SEARCH(("No"),(N200))))</formula>
    </cfRule>
  </conditionalFormatting>
  <conditionalFormatting sqref="N200:Q214 U204:V204 N216:Q216 N222:Q226 N228:Q252 N254:Q256 N258:Q264 N267:Q269 N272:O273 P272:Q275 N275:O275">
    <cfRule type="containsText" dxfId="9" priority="38991" operator="containsText" text="No">
      <formula>NOT(ISERROR(SEARCH(("No"),(N200))))</formula>
    </cfRule>
  </conditionalFormatting>
  <conditionalFormatting sqref="N200:Q214 U204:V204 N216:Q216 N222:Q226 N228:Q252 N254:Q256 N258:Q264 N267:Q269 N272:O273 P272:Q275 N275:O275">
    <cfRule type="containsText" dxfId="9" priority="38992" operator="containsText" text="No">
      <formula>NOT(ISERROR(SEARCH(("No"),(N200))))</formula>
    </cfRule>
  </conditionalFormatting>
  <conditionalFormatting sqref="N200:Q214 U204:V204 N216:Q216 N222:Q226 N228:Q252 N254:Q256 N258:Q264 N267:Q269 N272:O273 P272:Q275 N275:O275">
    <cfRule type="containsText" dxfId="9" priority="38993" operator="containsText" text="No">
      <formula>NOT(ISERROR(SEARCH(("No"),(N200))))</formula>
    </cfRule>
  </conditionalFormatting>
  <conditionalFormatting sqref="N200:Q214 U204:V204 N216:Q216 N222:Q226 N228:Q252 N254:Q256 N258:Q264 N267:Q269 N272:O273 P272:Q275 N275:O275">
    <cfRule type="containsText" dxfId="9" priority="38994" operator="containsText" text="No">
      <formula>NOT(ISERROR(SEARCH(("No"),(N200))))</formula>
    </cfRule>
  </conditionalFormatting>
  <conditionalFormatting sqref="N200:Q214 U204:V204 N216:Q216 N222:Q226 N228:Q252 N254:Q256 N258:Q264 N267:Q269 N272:O273 P272:Q275 N275:O275">
    <cfRule type="containsText" dxfId="9" priority="38995" operator="containsText" text="No">
      <formula>NOT(ISERROR(SEARCH(("No"),(N200))))</formula>
    </cfRule>
  </conditionalFormatting>
  <conditionalFormatting sqref="N200:Q214 U204:V204 N216:Q216 N222:Q226 N228:Q252 N254:Q256 N258:Q264 N267:Q269 N272:O273 P272:Q275 N275:O275">
    <cfRule type="containsText" dxfId="9" priority="38996" operator="containsText" text="No">
      <formula>NOT(ISERROR(SEARCH(("No"),(N200))))</formula>
    </cfRule>
  </conditionalFormatting>
  <conditionalFormatting sqref="N200:Q214 U204:V204 N216:Q216 N222:Q226 N228:Q252 N254:Q256 N258:Q264 N267:Q269 N272:O273 P272:Q275 N275:O275">
    <cfRule type="containsText" dxfId="9" priority="38997" operator="containsText" text="No">
      <formula>NOT(ISERROR(SEARCH(("No"),(N200))))</formula>
    </cfRule>
  </conditionalFormatting>
  <conditionalFormatting sqref="N200:Q214 U204:V204 N216:Q216 N222:Q226 N228:Q252 N254:Q256 N258:Q264 N267:Q269 N272:O273 P272:Q275 N275:O275">
    <cfRule type="containsText" dxfId="9" priority="38998" operator="containsText" text="No">
      <formula>NOT(ISERROR(SEARCH(("No"),(N200))))</formula>
    </cfRule>
  </conditionalFormatting>
  <conditionalFormatting sqref="N200:Q214 U204:V204 N216:Q216 N222:Q226 N228:Q252 N254:Q256 N258:Q264 N267:Q269 N272:O273 P272:Q275 N275:O275">
    <cfRule type="containsText" dxfId="9" priority="38999" operator="containsText" text="No">
      <formula>NOT(ISERROR(SEARCH(("No"),(N200))))</formula>
    </cfRule>
  </conditionalFormatting>
  <conditionalFormatting sqref="N200:Q214 U204:V204 N216:Q216 N222:Q226 N228:Q252 N254:Q256 N258:Q264 N267:Q269 N272:O273 P272:Q275 N275:O275">
    <cfRule type="containsText" dxfId="9" priority="39000" operator="containsText" text="No">
      <formula>NOT(ISERROR(SEARCH(("No"),(N200))))</formula>
    </cfRule>
  </conditionalFormatting>
  <conditionalFormatting sqref="N200:Q214 U204:V204 N216:Q216 N222:Q226 N228:Q252 N254:Q256 N258:Q264 N267:Q269 N272:O273 P272:Q275 N275:O275">
    <cfRule type="containsText" dxfId="9" priority="39001" operator="containsText" text="No">
      <formula>NOT(ISERROR(SEARCH(("No"),(N200))))</formula>
    </cfRule>
  </conditionalFormatting>
  <conditionalFormatting sqref="N200:Q214 U204:V204 N216:Q216 N222:Q226 N228:Q252 N254:Q256 N258:Q264 N267:Q269 N272:O273 P272:Q275 N275:O275">
    <cfRule type="containsText" dxfId="9" priority="39002" operator="containsText" text="No">
      <formula>NOT(ISERROR(SEARCH(("No"),(N200))))</formula>
    </cfRule>
  </conditionalFormatting>
  <conditionalFormatting sqref="N200:Q214 U204:V204 N216:Q216 N222:Q226 N228:Q252 N254:Q256 N258:Q264 N267:Q269 N272:O273 P272:Q275 N275:O275">
    <cfRule type="containsText" dxfId="9" priority="39003" operator="containsText" text="No">
      <formula>NOT(ISERROR(SEARCH(("No"),(N200))))</formula>
    </cfRule>
  </conditionalFormatting>
  <conditionalFormatting sqref="N200:Q214 U204:V204 N216:Q216 N222:Q226 N228:Q252 N254:Q256 N258:Q264 N267:Q269 N272:O273 P272:Q275 N275:O275">
    <cfRule type="containsText" dxfId="9" priority="39004" operator="containsText" text="No">
      <formula>NOT(ISERROR(SEARCH(("No"),(N200))))</formula>
    </cfRule>
  </conditionalFormatting>
  <conditionalFormatting sqref="N200:Q214 U204:V204 N216:Q216 N222:Q226 N228:Q252 N254:Q256 N258:Q264 N267:Q269 N272:O273 P272:Q275 N275:O275">
    <cfRule type="containsText" dxfId="9" priority="39005" operator="containsText" text="No">
      <formula>NOT(ISERROR(SEARCH(("No"),(N200))))</formula>
    </cfRule>
  </conditionalFormatting>
  <conditionalFormatting sqref="N200:Q214 U204:V204 N216:Q216 N222:Q226 N228:Q252 N254:Q256 N258:Q264 N267:Q269 N272:O273 P272:Q275 N275:O275">
    <cfRule type="containsText" dxfId="9" priority="39006" operator="containsText" text="No">
      <formula>NOT(ISERROR(SEARCH(("No"),(N200))))</formula>
    </cfRule>
  </conditionalFormatting>
  <conditionalFormatting sqref="N200:Q214 U204:V204 N216:Q216 N222:Q226 N228:Q252 N254:Q256 N258:Q264 N267:Q269 N272:O273 P272:Q275 N275:O275">
    <cfRule type="containsText" dxfId="9" priority="39007" operator="containsText" text="No">
      <formula>NOT(ISERROR(SEARCH(("No"),(N200))))</formula>
    </cfRule>
  </conditionalFormatting>
  <conditionalFormatting sqref="N200:Q214 U204:V204 N216:Q216 N222:Q226 N228:Q252 N254:Q256 N258:Q264 N267:Q269 N272:O273 P272:Q275 N275:O275">
    <cfRule type="containsText" dxfId="9" priority="39008" operator="containsText" text="No">
      <formula>NOT(ISERROR(SEARCH(("No"),(N200))))</formula>
    </cfRule>
  </conditionalFormatting>
  <conditionalFormatting sqref="N200:Q214 U204:V204 N216:Q216 N222:Q226 N228:Q252 N254:Q256 N258:Q264 N267:Q269 N272:O273 P272:Q275 N275:O275">
    <cfRule type="containsText" dxfId="9" priority="39009" operator="containsText" text="No">
      <formula>NOT(ISERROR(SEARCH(("No"),(N200))))</formula>
    </cfRule>
  </conditionalFormatting>
  <conditionalFormatting sqref="N200:Q214 U204:V204 N216:Q216 N222:Q226 N228:Q252 N254:Q256 N258:Q264 N267:Q269 N272:O273 P272:Q275 N275:O275">
    <cfRule type="containsText" dxfId="9" priority="39010" operator="containsText" text="No">
      <formula>NOT(ISERROR(SEARCH(("No"),(N200))))</formula>
    </cfRule>
  </conditionalFormatting>
  <conditionalFormatting sqref="N200:Q214 U204:V204 N216:Q216 N222:Q226 N228:Q252 N254:Q256 N258:Q264 N267:Q269 N272:O273 P272:Q275 N275:O275">
    <cfRule type="containsText" dxfId="2" priority="39011" operator="containsText" text="Yes">
      <formula>NOT(ISERROR(SEARCH(("Yes"),(N200))))</formula>
    </cfRule>
  </conditionalFormatting>
  <conditionalFormatting sqref="N200:Q214 U204:V204 N216:Q216 N222:Q226 N228:Q252 N254:Q256 N258:Q264 N267:Q269 N272:O273 P272:Q275 N275:O275">
    <cfRule type="containsText" dxfId="2" priority="39012" operator="containsText" text="Yes">
      <formula>NOT(ISERROR(SEARCH(("Yes"),(N200))))</formula>
    </cfRule>
  </conditionalFormatting>
  <conditionalFormatting sqref="N200:Q214 U204:V204 N216:Q216 N222:Q226 N228:Q252 N254:Q256 N258:Q264 N267:Q269 N272:O273 P272:Q275 N275:O275">
    <cfRule type="containsText" dxfId="2" priority="39013" operator="containsText" text="Yes">
      <formula>NOT(ISERROR(SEARCH(("Yes"),(N200))))</formula>
    </cfRule>
  </conditionalFormatting>
  <conditionalFormatting sqref="N200:Q214 U204:V204 N216:Q216 N222:Q226 N228:Q252 N254:Q256 N258:Q264 N267:Q269 N272:O273 P272:Q275 N275:O275">
    <cfRule type="containsText" dxfId="2" priority="39014" operator="containsText" text="Yes">
      <formula>NOT(ISERROR(SEARCH(("Yes"),(N200))))</formula>
    </cfRule>
  </conditionalFormatting>
  <conditionalFormatting sqref="N200:Q214 U204:V204 N216:Q216 N222:Q226 N228:Q252 N254:Q256 N258:Q264 N267:Q269 N272:O273 P272:Q275 N275:O275">
    <cfRule type="containsText" dxfId="2" priority="39015" operator="containsText" text="Yes">
      <formula>NOT(ISERROR(SEARCH(("Yes"),(N200))))</formula>
    </cfRule>
  </conditionalFormatting>
  <conditionalFormatting sqref="N200:Q214 U204:V204 N216:Q216 N222:Q226 N228:Q252 N254:Q256 N258:Q264 N267:Q269 N272:O273 P272:Q275 N275:O275">
    <cfRule type="containsText" dxfId="2" priority="39016" operator="containsText" text="Yes">
      <formula>NOT(ISERROR(SEARCH(("Yes"),(N200))))</formula>
    </cfRule>
  </conditionalFormatting>
  <conditionalFormatting sqref="N200:Q214 U204:V204 N216:Q216 N222:Q226 N228:Q252 N254:Q256 N258:Q264 N267:Q269 N272:O273 P272:Q275 N275:O275">
    <cfRule type="containsText" dxfId="2" priority="39017" operator="containsText" text="Yes">
      <formula>NOT(ISERROR(SEARCH(("Yes"),(N200))))</formula>
    </cfRule>
  </conditionalFormatting>
  <conditionalFormatting sqref="N200:Q214 U204:V204 N216:Q216 N222:Q226 N228:Q252 N254:Q256 N258:Q264 N267:Q269 N272:O273 P272:Q275 N275:O275">
    <cfRule type="containsText" dxfId="2" priority="39018" operator="containsText" text="Yes">
      <formula>NOT(ISERROR(SEARCH(("Yes"),(N200))))</formula>
    </cfRule>
  </conditionalFormatting>
  <conditionalFormatting sqref="N200:Q214 U204:V204 N216:Q216 N222:Q226 N228:Q252 N254:Q256 N258:Q264 N267:Q269 N272:O273 P272:Q275 N275:O275">
    <cfRule type="containsText" dxfId="2" priority="39019" operator="containsText" text="Yes">
      <formula>NOT(ISERROR(SEARCH(("Yes"),(N200))))</formula>
    </cfRule>
  </conditionalFormatting>
  <conditionalFormatting sqref="N200:Q214 U204:V204 N216:Q216 N222:Q226 N228:Q252 N254:Q256 N258:Q264 N267:Q269 N272:O273 P272:Q275 N275:O275">
    <cfRule type="containsText" dxfId="2" priority="39020" operator="containsText" text="Yes">
      <formula>NOT(ISERROR(SEARCH(("Yes"),(N200))))</formula>
    </cfRule>
  </conditionalFormatting>
  <conditionalFormatting sqref="N200:Q214 U204:V204 N216:Q216 N222:Q226 N228:Q252 N254:Q256 N258:Q264 N267:Q269 N272:O273 P272:Q275 N275:O275">
    <cfRule type="containsText" dxfId="2" priority="39021" operator="containsText" text="Yes">
      <formula>NOT(ISERROR(SEARCH(("Yes"),(N200))))</formula>
    </cfRule>
  </conditionalFormatting>
  <conditionalFormatting sqref="N200:Q214 U204:V204 N216:Q216 N222:Q226 N228:Q252 N254:Q256 N258:Q264 N267:Q269 N272:O273 P272:Q275 N275:O275">
    <cfRule type="containsText" dxfId="2" priority="39022" operator="containsText" text="Yes">
      <formula>NOT(ISERROR(SEARCH(("Yes"),(N200))))</formula>
    </cfRule>
  </conditionalFormatting>
  <conditionalFormatting sqref="N200:Q214 U204:V204 N216:Q216 N222:Q226 N228:Q252 N254:Q256 N258:Q264 N267:Q269 N272:O273 P272:Q275 N275:O275">
    <cfRule type="containsText" dxfId="2" priority="39023" operator="containsText" text="Yes">
      <formula>NOT(ISERROR(SEARCH(("Yes"),(N200))))</formula>
    </cfRule>
  </conditionalFormatting>
  <conditionalFormatting sqref="N200:Q214 U204:V204 N216:Q216 N222:Q226 N228:Q252 N254:Q256 N258:Q264 N267:Q269 N272:O273 P272:Q275 N275:O275">
    <cfRule type="containsText" dxfId="2" priority="39024" operator="containsText" text="Yes">
      <formula>NOT(ISERROR(SEARCH(("Yes"),(N200))))</formula>
    </cfRule>
  </conditionalFormatting>
  <conditionalFormatting sqref="N200:Q214 U204:V204 N216:Q216 N222:Q226 N228:Q252 N254:Q256 N258:Q264 N267:Q269 N272:O273 P272:Q275 N275:O275">
    <cfRule type="containsText" dxfId="2" priority="39025" operator="containsText" text="Yes">
      <formula>NOT(ISERROR(SEARCH(("Yes"),(N200))))</formula>
    </cfRule>
  </conditionalFormatting>
  <conditionalFormatting sqref="N200:Q214 U204:V204 N216:Q216 N222:Q226 N228:Q252 N254:Q256 N258:Q264 N267:Q269 N272:O273 P272:Q275 N275:O275">
    <cfRule type="containsText" dxfId="2" priority="39026" operator="containsText" text="Yes">
      <formula>NOT(ISERROR(SEARCH(("Yes"),(N200))))</formula>
    </cfRule>
  </conditionalFormatting>
  <conditionalFormatting sqref="N200:Q214 U204:V204 N216:Q216 N222:Q226 N228:Q252 N254:Q256 N258:Q264 N267:Q269 N272:O273 P272:Q275 N275:O275">
    <cfRule type="containsText" dxfId="2" priority="39027" operator="containsText" text="Yes">
      <formula>NOT(ISERROR(SEARCH(("Yes"),(N200))))</formula>
    </cfRule>
  </conditionalFormatting>
  <conditionalFormatting sqref="N200:Q214 U204:V204 N216:Q216 N222:Q226 N228:Q252 N254:Q256 N258:Q264 N267:Q269 N272:O273 P272:Q275 N275:O275">
    <cfRule type="containsText" dxfId="2" priority="39028" operator="containsText" text="Yes">
      <formula>NOT(ISERROR(SEARCH(("Yes"),(N200))))</formula>
    </cfRule>
  </conditionalFormatting>
  <conditionalFormatting sqref="N200:Q214 U204:V204 N216:Q216 N222:Q226 N228:Q252 N254:Q256 N258:Q264 N267:Q269 N272:O273 P272:Q275 N275:O275">
    <cfRule type="containsText" dxfId="2" priority="39029" operator="containsText" text="Yes">
      <formula>NOT(ISERROR(SEARCH(("Yes"),(N200))))</formula>
    </cfRule>
  </conditionalFormatting>
  <conditionalFormatting sqref="N200:Q214 U204:V204 N216:Q216 N222:Q226 N228:Q252 N254:Q256 N258:Q264 N267:Q269 N272:O273 P272:Q275 N275:O275">
    <cfRule type="containsText" dxfId="2" priority="39030" operator="containsText" text="Yes">
      <formula>NOT(ISERROR(SEARCH(("Yes"),(N200))))</formula>
    </cfRule>
  </conditionalFormatting>
  <conditionalFormatting sqref="N200:Q214 U204:V204 N216:Q216 N222:Q226 N228:Q252 N254:Q256 N258:Q264 N267:Q269 N272:O273 P272:Q275 N275:O275">
    <cfRule type="containsText" dxfId="2" priority="39031" operator="containsText" text="Yes">
      <formula>NOT(ISERROR(SEARCH(("Yes"),(N200))))</formula>
    </cfRule>
  </conditionalFormatting>
  <conditionalFormatting sqref="N200:Q214 U204:V204 N216:Q216 N222:Q226 N228:Q252 N254:Q256 N258:Q264 N267:Q269 N272:O273 P272:Q275 N275:O275">
    <cfRule type="containsText" dxfId="2" priority="39032" operator="containsText" text="Yes">
      <formula>NOT(ISERROR(SEARCH(("Yes"),(N200))))</formula>
    </cfRule>
  </conditionalFormatting>
  <conditionalFormatting sqref="N200:Q214 U204:V204 N216:Q216 N222:Q226 N228:Q252 N254:Q256 N258:Q264 N267:Q269 N272:O273 P272:Q275 N275:O275">
    <cfRule type="containsText" dxfId="2" priority="39033" operator="containsText" text="Yes">
      <formula>NOT(ISERROR(SEARCH(("Yes"),(N200))))</formula>
    </cfRule>
  </conditionalFormatting>
  <conditionalFormatting sqref="N200:Q214 U204:V204 N216:Q216 N222:Q226 N228:Q252 N254:Q256 N258:Q264 N267:Q269 N272:O273 P272:Q275 N275:O275">
    <cfRule type="containsText" dxfId="2" priority="39034" operator="containsText" text="Yes">
      <formula>NOT(ISERROR(SEARCH(("Yes"),(N200))))</formula>
    </cfRule>
  </conditionalFormatting>
  <conditionalFormatting sqref="N200:Q214 U204:V204 N216:Q216 N222:Q226 N228:Q252 N254:Q256 N258:Q264 N267:Q269 N272:O273 P272:Q275 N275:O275">
    <cfRule type="containsText" dxfId="2" priority="39035" operator="containsText" text="Yes">
      <formula>NOT(ISERROR(SEARCH(("Yes"),(N200))))</formula>
    </cfRule>
  </conditionalFormatting>
  <conditionalFormatting sqref="N200:Q214 U204:V204 N216:Q216 N222:Q226 N228:Q252 N254:Q256 N258:Q264 N267:Q269 N272:O273 P272:Q275 N275:O275">
    <cfRule type="containsText" dxfId="2" priority="39036" operator="containsText" text="Yes">
      <formula>NOT(ISERROR(SEARCH(("Yes"),(N200))))</formula>
    </cfRule>
  </conditionalFormatting>
  <conditionalFormatting sqref="N200:Q214 U204:V204 N216:Q216 N222:Q226 N228:Q252 N254:Q256 N258:Q264 N267:Q269 N272:O273 P272:Q275 N275:O275">
    <cfRule type="containsText" dxfId="2" priority="39037" operator="containsText" text="Yes">
      <formula>NOT(ISERROR(SEARCH(("Yes"),(N200))))</formula>
    </cfRule>
  </conditionalFormatting>
  <conditionalFormatting sqref="N200:Q214 U204:V204 N216:Q216 N222:Q226 N228:Q252 N254:Q256 N258:Q264 N267:Q269 N272:O273 P272:Q275 N275:O275">
    <cfRule type="containsText" dxfId="2" priority="39038" operator="containsText" text="Yes">
      <formula>NOT(ISERROR(SEARCH(("Yes"),(N200))))</formula>
    </cfRule>
  </conditionalFormatting>
  <conditionalFormatting sqref="N200:Q214 U204:V204 N216:Q216 N222:Q226 N228:Q252 N254:Q256 N258:Q264 N267:Q269 N272:O273 P272:Q275 N275:O275">
    <cfRule type="containsText" dxfId="2" priority="39039" operator="containsText" text="Yes">
      <formula>NOT(ISERROR(SEARCH(("Yes"),(N200))))</formula>
    </cfRule>
  </conditionalFormatting>
  <conditionalFormatting sqref="N200:Q214 U204:V204 N216:Q216 N222:Q226 N228:Q252 N254:Q256 N258:Q264 N267:Q269 N272:O273 P272:Q275 N275:O275">
    <cfRule type="containsText" dxfId="2" priority="39040" operator="containsText" text="Yes">
      <formula>NOT(ISERROR(SEARCH(("Yes"),(N200))))</formula>
    </cfRule>
  </conditionalFormatting>
  <conditionalFormatting sqref="N200:Q214 U204:V204 N216:Q216 N222:Q226 N228:Q252 N254:Q256 N258:Q264 N267:Q269 N272:O273 P272:Q275 N275:O275">
    <cfRule type="containsText" dxfId="2" priority="39041" operator="containsText" text="Yes">
      <formula>NOT(ISERROR(SEARCH(("Yes"),(N200))))</formula>
    </cfRule>
  </conditionalFormatting>
  <conditionalFormatting sqref="N200:Q214 U204:V204 N216:Q216 N222:Q226 N228:Q252 N254:Q256 N258:Q264 N267:Q269 N272:O273 P272:Q275 N275:O275">
    <cfRule type="containsText" dxfId="2" priority="39042" operator="containsText" text="Yes">
      <formula>NOT(ISERROR(SEARCH(("Yes"),(N200))))</formula>
    </cfRule>
  </conditionalFormatting>
  <conditionalFormatting sqref="N200:Q214 U204:V204 N216:Q216 N222:Q226 N228:Q252 N254:Q256 N258:Q264 N267:Q269 N272:O273 P272:Q275 N275:O275">
    <cfRule type="containsText" dxfId="2" priority="39043" operator="containsText" text="Yes">
      <formula>NOT(ISERROR(SEARCH(("Yes"),(N200))))</formula>
    </cfRule>
  </conditionalFormatting>
  <conditionalFormatting sqref="N200:Q214 U204:V204 N216:Q216 N222:Q226 N228:Q252 N254:Q256 N258:Q264 N267:Q269 N272:O273 P272:Q275 N275:O275">
    <cfRule type="containsText" dxfId="2" priority="39044" operator="containsText" text="Yes">
      <formula>NOT(ISERROR(SEARCH(("Yes"),(N200))))</formula>
    </cfRule>
  </conditionalFormatting>
  <conditionalFormatting sqref="N200:Q214 U204:V204 N216:Q216 N222:Q226 N228:Q252 N254:Q256 N258:Q264 N267:Q269 N272:O273 P272:Q275 N275:O275">
    <cfRule type="containsText" dxfId="2" priority="39045" operator="containsText" text="Yes">
      <formula>NOT(ISERROR(SEARCH(("Yes"),(N200))))</formula>
    </cfRule>
  </conditionalFormatting>
  <conditionalFormatting sqref="N200:Q214 U204:V204 N216:Q216 N222:Q226 N228:Q252 N254:Q256 N258:Q264 N267:Q269 N272:O273 P272:Q275 N275:O275">
    <cfRule type="containsText" dxfId="2" priority="39046" operator="containsText" text="Yes">
      <formula>NOT(ISERROR(SEARCH(("Yes"),(N200))))</formula>
    </cfRule>
  </conditionalFormatting>
  <conditionalFormatting sqref="N200:Q214 U204:V204 N216:Q216 N222:Q226 N228:Q252 N254:Q256 N258:Q264 N267:Q269 N272:O273 P272:Q275 N275:O275">
    <cfRule type="containsText" dxfId="2" priority="39047" operator="containsText" text="Yes">
      <formula>NOT(ISERROR(SEARCH(("Yes"),(N200))))</formula>
    </cfRule>
  </conditionalFormatting>
  <conditionalFormatting sqref="N200:Q214 U204:V204 N216:Q216 N222:Q226 N228:Q252 N254:Q256 N258:Q264 N267:Q269 N272:O273 P272:Q275 N275:O275">
    <cfRule type="containsText" dxfId="2" priority="39048" operator="containsText" text="Yes">
      <formula>NOT(ISERROR(SEARCH(("Yes"),(N200))))</formula>
    </cfRule>
  </conditionalFormatting>
  <conditionalFormatting sqref="N200:Q214 U204:V204 N216:Q216 N222:Q226 N228:Q252 N254:Q256 N258:Q264 N267:Q269 N272:O273 P272:Q275 N275:O275">
    <cfRule type="containsText" dxfId="2" priority="39049" operator="containsText" text="Yes">
      <formula>NOT(ISERROR(SEARCH(("Yes"),(N200))))</formula>
    </cfRule>
  </conditionalFormatting>
  <conditionalFormatting sqref="N200:Q214 U204:V204 N216:Q216 N222:Q226 N228:Q252 N254:Q256 N258:Q264 N267:Q269 N272:O273 P272:Q275 N275:O275">
    <cfRule type="containsText" dxfId="2" priority="39050" operator="containsText" text="Yes">
      <formula>NOT(ISERROR(SEARCH(("Yes"),(N200))))</formula>
    </cfRule>
  </conditionalFormatting>
  <conditionalFormatting sqref="N200:Q214 U204:V204 N216:Q216 N222:Q226 N228:Q252 N254:Q256 N258:Q264 N267:Q269 N272:O273 P272:Q275 N275:O275">
    <cfRule type="containsText" dxfId="2" priority="39051" operator="containsText" text="Yes">
      <formula>NOT(ISERROR(SEARCH(("Yes"),(N200))))</formula>
    </cfRule>
  </conditionalFormatting>
  <conditionalFormatting sqref="N200:Q214 U204:V204 N216:Q216 N222:Q226 N228:Q252 N254:Q256 N258:Q264 N267:Q269 N272:O273 P272:Q275 N275:O275">
    <cfRule type="containsText" dxfId="2" priority="39052" operator="containsText" text="Yes">
      <formula>NOT(ISERROR(SEARCH(("Yes"),(N200))))</formula>
    </cfRule>
  </conditionalFormatting>
  <conditionalFormatting sqref="N200:Q214 U204:V204 N216:Q216 N222:Q226 N228:Q252 N254:Q256 N258:Q264 N267:Q269 N272:O273 P272:Q275 N275:O275">
    <cfRule type="containsText" dxfId="2" priority="39053" operator="containsText" text="Yes">
      <formula>NOT(ISERROR(SEARCH(("Yes"),(N200))))</formula>
    </cfRule>
  </conditionalFormatting>
  <conditionalFormatting sqref="N200:Q214 U204:V204 N216:Q216 N222:Q226 N228:Q252 N254:Q256 N258:Q264 N267:Q269 N272:O273 P272:Q275 N275:O275">
    <cfRule type="containsText" dxfId="2" priority="39054" operator="containsText" text="Yes">
      <formula>NOT(ISERROR(SEARCH(("Yes"),(N200))))</formula>
    </cfRule>
  </conditionalFormatting>
  <conditionalFormatting sqref="N200:Q214 U204:V204 N216:Q216 N222:Q226 N228:Q252 N254:Q256 N258:Q264 N267:Q269 N272:O273 P272:Q275 N275:O275">
    <cfRule type="containsText" dxfId="2" priority="39055" operator="containsText" text="Yes">
      <formula>NOT(ISERROR(SEARCH(("Yes"),(N200))))</formula>
    </cfRule>
  </conditionalFormatting>
  <conditionalFormatting sqref="N200:Q214 U204:V204 N216:Q216 N222:Q226 N228:Q252 N254:Q256 N258:Q264 N267:Q269 N272:O273 P272:Q275 N275:O275">
    <cfRule type="containsText" dxfId="2" priority="39056" operator="containsText" text="Yes">
      <formula>NOT(ISERROR(SEARCH(("Yes"),(N200))))</formula>
    </cfRule>
  </conditionalFormatting>
  <conditionalFormatting sqref="N200:Q214 U204:V204 N216:Q216 N222:Q226 N228:Q252 N254:Q256 N258:Q264 N267:Q269 N272:O273 P272:Q275 N275:O275">
    <cfRule type="containsText" dxfId="2" priority="39057" operator="containsText" text="Yes">
      <formula>NOT(ISERROR(SEARCH(("Yes"),(N200))))</formula>
    </cfRule>
  </conditionalFormatting>
  <conditionalFormatting sqref="N201:N215 O203 O205:O214">
    <cfRule type="containsText" dxfId="9" priority="39058" operator="containsText" text="No">
      <formula>NOT(ISERROR(SEARCH(("No"),(N201))))</formula>
    </cfRule>
  </conditionalFormatting>
  <conditionalFormatting sqref="N201:N215 O203 O205:O214">
    <cfRule type="containsText" dxfId="9" priority="39059" operator="containsText" text="No">
      <formula>NOT(ISERROR(SEARCH(("No"),(N201))))</formula>
    </cfRule>
  </conditionalFormatting>
  <conditionalFormatting sqref="N201:N215 O203 O205:O214">
    <cfRule type="containsText" dxfId="9" priority="39060" operator="containsText" text="No">
      <formula>NOT(ISERROR(SEARCH(("No"),(N201))))</formula>
    </cfRule>
  </conditionalFormatting>
  <conditionalFormatting sqref="N201:N215 O203 O205:O214">
    <cfRule type="containsText" dxfId="2" priority="39061" operator="containsText" text="Yes">
      <formula>NOT(ISERROR(SEARCH(("Yes"),(N201))))</formula>
    </cfRule>
  </conditionalFormatting>
  <conditionalFormatting sqref="N201:N215 O203 O205:O214">
    <cfRule type="containsText" dxfId="2" priority="39062" operator="containsText" text="Yes">
      <formula>NOT(ISERROR(SEARCH(("Yes"),(N201))))</formula>
    </cfRule>
  </conditionalFormatting>
  <conditionalFormatting sqref="N201:N215 O203 O205:O214">
    <cfRule type="containsText" dxfId="2" priority="39063" operator="containsText" text="Yes">
      <formula>NOT(ISERROR(SEARCH(("Yes"),(N201))))</formula>
    </cfRule>
  </conditionalFormatting>
  <conditionalFormatting sqref="N201:N215 O203 O205:O214">
    <cfRule type="containsText" dxfId="2" priority="39064" operator="containsText" text="Yes">
      <formula>NOT(ISERROR(SEARCH(("Yes"),(N201))))</formula>
    </cfRule>
  </conditionalFormatting>
  <conditionalFormatting sqref="N201:N215 O203 O205:O214">
    <cfRule type="containsText" dxfId="2" priority="39065" operator="containsText" text="Yes">
      <formula>NOT(ISERROR(SEARCH(("Yes"),(N201))))</formula>
    </cfRule>
  </conditionalFormatting>
  <conditionalFormatting sqref="N201:N215 O203 O205:O214">
    <cfRule type="containsText" dxfId="9" priority="39066" operator="containsText" text="No">
      <formula>NOT(ISERROR(SEARCH(("No"),(N201))))</formula>
    </cfRule>
  </conditionalFormatting>
  <conditionalFormatting sqref="N201:N215 O203 O205:O214">
    <cfRule type="containsText" dxfId="2" priority="39067" operator="containsText" text="Yes">
      <formula>NOT(ISERROR(SEARCH(("Yes"),(N201))))</formula>
    </cfRule>
  </conditionalFormatting>
  <conditionalFormatting sqref="O201:O212 N204 O214:O215">
    <cfRule type="containsText" dxfId="9" priority="39068" operator="containsText" text="No">
      <formula>NOT(ISERROR(SEARCH(("No"),(O201))))</formula>
    </cfRule>
  </conditionalFormatting>
  <conditionalFormatting sqref="O201:O212 N204 O214:O215">
    <cfRule type="containsText" dxfId="9" priority="39069" operator="containsText" text="No">
      <formula>NOT(ISERROR(SEARCH(("No"),(O201))))</formula>
    </cfRule>
  </conditionalFormatting>
  <conditionalFormatting sqref="O201:O212 N204 O214:O215">
    <cfRule type="containsText" dxfId="9" priority="39070" operator="containsText" text="No">
      <formula>NOT(ISERROR(SEARCH(("No"),(O201))))</formula>
    </cfRule>
  </conditionalFormatting>
  <conditionalFormatting sqref="O201:O212 N204 O214:O215">
    <cfRule type="containsText" dxfId="2" priority="39071" operator="containsText" text="Yes">
      <formula>NOT(ISERROR(SEARCH(("Yes"),(O201))))</formula>
    </cfRule>
  </conditionalFormatting>
  <conditionalFormatting sqref="O201:O212 N204 O214:O215">
    <cfRule type="containsText" dxfId="2" priority="39072" operator="containsText" text="Yes">
      <formula>NOT(ISERROR(SEARCH(("Yes"),(O201))))</formula>
    </cfRule>
  </conditionalFormatting>
  <conditionalFormatting sqref="O201:O212 N204 O214:O215">
    <cfRule type="containsText" dxfId="2" priority="39073" operator="containsText" text="Yes">
      <formula>NOT(ISERROR(SEARCH(("Yes"),(O201))))</formula>
    </cfRule>
  </conditionalFormatting>
  <conditionalFormatting sqref="O201:O212 N204 O214:O215">
    <cfRule type="containsText" dxfId="2" priority="39074" operator="containsText" text="Yes">
      <formula>NOT(ISERROR(SEARCH(("Yes"),(O201))))</formula>
    </cfRule>
  </conditionalFormatting>
  <conditionalFormatting sqref="O201:O212 N204 O214:O215">
    <cfRule type="containsText" dxfId="2" priority="39075" operator="containsText" text="Yes">
      <formula>NOT(ISERROR(SEARCH(("Yes"),(O201))))</formula>
    </cfRule>
  </conditionalFormatting>
  <conditionalFormatting sqref="O201:O212 N204 O214:O215">
    <cfRule type="containsText" dxfId="9" priority="39076" operator="containsText" text="No">
      <formula>NOT(ISERROR(SEARCH(("No"),(O201))))</formula>
    </cfRule>
  </conditionalFormatting>
  <conditionalFormatting sqref="O201:O212 N204 O214:O215">
    <cfRule type="containsText" dxfId="9" priority="39077" operator="containsText" text="No">
      <formula>NOT(ISERROR(SEARCH(("No"),(O201))))</formula>
    </cfRule>
  </conditionalFormatting>
  <conditionalFormatting sqref="O201:O212 N204 O214:O215">
    <cfRule type="containsText" dxfId="2" priority="39078" operator="containsText" text="Yes">
      <formula>NOT(ISERROR(SEARCH(("Yes"),(O201))))</formula>
    </cfRule>
  </conditionalFormatting>
  <conditionalFormatting sqref="P201:Q214 U204:V204">
    <cfRule type="containsText" dxfId="9" priority="39079" operator="containsText" text="No">
      <formula>NOT(ISERROR(SEARCH(("No"),(P201))))</formula>
    </cfRule>
  </conditionalFormatting>
  <conditionalFormatting sqref="P201:Q214 U204:V204">
    <cfRule type="containsText" dxfId="9" priority="39080" operator="containsText" text="No">
      <formula>NOT(ISERROR(SEARCH(("No"),(P201))))</formula>
    </cfRule>
  </conditionalFormatting>
  <conditionalFormatting sqref="P201:Q214 U204:V204">
    <cfRule type="containsText" dxfId="9" priority="39081" operator="containsText" text="No">
      <formula>NOT(ISERROR(SEARCH(("No"),(P201))))</formula>
    </cfRule>
  </conditionalFormatting>
  <conditionalFormatting sqref="P201:Q214 U204:V204">
    <cfRule type="containsText" dxfId="9" priority="39082" operator="containsText" text="No">
      <formula>NOT(ISERROR(SEARCH(("No"),(P201))))</formula>
    </cfRule>
  </conditionalFormatting>
  <conditionalFormatting sqref="P201:Q214 U204:V204">
    <cfRule type="containsText" dxfId="9" priority="39083" operator="containsText" text="No">
      <formula>NOT(ISERROR(SEARCH(("No"),(P201))))</formula>
    </cfRule>
  </conditionalFormatting>
  <conditionalFormatting sqref="P201:Q214 U204:V204">
    <cfRule type="containsText" dxfId="9" priority="39084" operator="containsText" text="No">
      <formula>NOT(ISERROR(SEARCH(("No"),(P201))))</formula>
    </cfRule>
  </conditionalFormatting>
  <conditionalFormatting sqref="P201:Q214 U204:V204">
    <cfRule type="containsText" dxfId="9" priority="39085" operator="containsText" text="No">
      <formula>NOT(ISERROR(SEARCH(("No"),(P201))))</formula>
    </cfRule>
  </conditionalFormatting>
  <conditionalFormatting sqref="P201:Q214 U204:V204">
    <cfRule type="containsText" dxfId="9" priority="39086" operator="containsText" text="No">
      <formula>NOT(ISERROR(SEARCH(("No"),(P201))))</formula>
    </cfRule>
  </conditionalFormatting>
  <conditionalFormatting sqref="P201:Q214 U204:V204">
    <cfRule type="containsText" dxfId="9" priority="39087" operator="containsText" text="No">
      <formula>NOT(ISERROR(SEARCH(("No"),(P201))))</formula>
    </cfRule>
  </conditionalFormatting>
  <conditionalFormatting sqref="P201:Q214 U204:V204">
    <cfRule type="containsText" dxfId="9" priority="39088" operator="containsText" text="No">
      <formula>NOT(ISERROR(SEARCH(("No"),(P201))))</formula>
    </cfRule>
  </conditionalFormatting>
  <conditionalFormatting sqref="P201:Q214 U204:V204">
    <cfRule type="containsText" dxfId="9" priority="39089" operator="containsText" text="No">
      <formula>NOT(ISERROR(SEARCH(("No"),(P201))))</formula>
    </cfRule>
  </conditionalFormatting>
  <conditionalFormatting sqref="P201:Q214 U204:V204">
    <cfRule type="containsText" dxfId="9" priority="39090" operator="containsText" text="No">
      <formula>NOT(ISERROR(SEARCH(("No"),(P201))))</formula>
    </cfRule>
  </conditionalFormatting>
  <conditionalFormatting sqref="P201:Q214 U204:V204">
    <cfRule type="containsText" dxfId="9" priority="39091" operator="containsText" text="No">
      <formula>NOT(ISERROR(SEARCH(("No"),(P201))))</formula>
    </cfRule>
  </conditionalFormatting>
  <conditionalFormatting sqref="P201:Q214 U204:V204">
    <cfRule type="containsText" dxfId="9" priority="39092" operator="containsText" text="No">
      <formula>NOT(ISERROR(SEARCH(("No"),(P201))))</formula>
    </cfRule>
  </conditionalFormatting>
  <conditionalFormatting sqref="P201:Q214 U204:V204">
    <cfRule type="containsText" dxfId="9" priority="39093" operator="containsText" text="No">
      <formula>NOT(ISERROR(SEARCH(("No"),(P201))))</formula>
    </cfRule>
  </conditionalFormatting>
  <conditionalFormatting sqref="P201:Q214 U204:V204">
    <cfRule type="containsText" dxfId="9" priority="39094" operator="containsText" text="No">
      <formula>NOT(ISERROR(SEARCH(("No"),(P201))))</formula>
    </cfRule>
  </conditionalFormatting>
  <conditionalFormatting sqref="P201:Q214 U204:V204">
    <cfRule type="containsText" dxfId="9" priority="39095" operator="containsText" text="No">
      <formula>NOT(ISERROR(SEARCH(("No"),(P201))))</formula>
    </cfRule>
  </conditionalFormatting>
  <conditionalFormatting sqref="P201:Q214 U204:V204">
    <cfRule type="containsText" dxfId="9" priority="39096" operator="containsText" text="No">
      <formula>NOT(ISERROR(SEARCH(("No"),(P201))))</formula>
    </cfRule>
  </conditionalFormatting>
  <conditionalFormatting sqref="P201:Q214 U204:V204">
    <cfRule type="containsText" dxfId="9" priority="39097" operator="containsText" text="No">
      <formula>NOT(ISERROR(SEARCH(("No"),(P201))))</formula>
    </cfRule>
  </conditionalFormatting>
  <conditionalFormatting sqref="P201:Q214 U204:V204">
    <cfRule type="containsText" dxfId="9" priority="39098" operator="containsText" text="No">
      <formula>NOT(ISERROR(SEARCH(("No"),(P201))))</formula>
    </cfRule>
  </conditionalFormatting>
  <conditionalFormatting sqref="P201:Q214 U204:V204">
    <cfRule type="containsText" dxfId="9" priority="39099" operator="containsText" text="No">
      <formula>NOT(ISERROR(SEARCH(("No"),(P201))))</formula>
    </cfRule>
  </conditionalFormatting>
  <conditionalFormatting sqref="P201:Q214 U204:V204">
    <cfRule type="containsText" dxfId="9" priority="39100" operator="containsText" text="No">
      <formula>NOT(ISERROR(SEARCH(("No"),(P201))))</formula>
    </cfRule>
  </conditionalFormatting>
  <conditionalFormatting sqref="P201:Q214 U204:V204">
    <cfRule type="containsText" dxfId="9" priority="39101" operator="containsText" text="No">
      <formula>NOT(ISERROR(SEARCH(("No"),(P201))))</formula>
    </cfRule>
  </conditionalFormatting>
  <conditionalFormatting sqref="P201:Q214 U204:V204">
    <cfRule type="containsText" dxfId="9" priority="39102" operator="containsText" text="No">
      <formula>NOT(ISERROR(SEARCH(("No"),(P201))))</formula>
    </cfRule>
  </conditionalFormatting>
  <conditionalFormatting sqref="P201:Q214 U204:V204">
    <cfRule type="containsText" dxfId="9" priority="39103" operator="containsText" text="No">
      <formula>NOT(ISERROR(SEARCH(("No"),(P201))))</formula>
    </cfRule>
  </conditionalFormatting>
  <conditionalFormatting sqref="P201:Q214 U204:V204">
    <cfRule type="containsText" dxfId="9" priority="39104" operator="containsText" text="No">
      <formula>NOT(ISERROR(SEARCH(("No"),(P201))))</formula>
    </cfRule>
  </conditionalFormatting>
  <conditionalFormatting sqref="P201:Q214 U204:V204">
    <cfRule type="containsText" dxfId="9" priority="39105" operator="containsText" text="No">
      <formula>NOT(ISERROR(SEARCH(("No"),(P201))))</formula>
    </cfRule>
  </conditionalFormatting>
  <conditionalFormatting sqref="P201:Q214 U204:V204">
    <cfRule type="containsText" dxfId="9" priority="39106" operator="containsText" text="No">
      <formula>NOT(ISERROR(SEARCH(("No"),(P201))))</formula>
    </cfRule>
  </conditionalFormatting>
  <conditionalFormatting sqref="P201:Q214 U204:V204">
    <cfRule type="containsText" dxfId="9" priority="39107" operator="containsText" text="No">
      <formula>NOT(ISERROR(SEARCH(("No"),(P201))))</formula>
    </cfRule>
  </conditionalFormatting>
  <conditionalFormatting sqref="P201:Q214 U204:V204">
    <cfRule type="containsText" dxfId="9" priority="39108" operator="containsText" text="No">
      <formula>NOT(ISERROR(SEARCH(("No"),(P201))))</formula>
    </cfRule>
  </conditionalFormatting>
  <conditionalFormatting sqref="P201:Q214 U204:V204">
    <cfRule type="containsText" dxfId="9" priority="39109" operator="containsText" text="No">
      <formula>NOT(ISERROR(SEARCH(("No"),(P201))))</formula>
    </cfRule>
  </conditionalFormatting>
  <conditionalFormatting sqref="P201:Q214 U204:V204">
    <cfRule type="containsText" dxfId="9" priority="39110" operator="containsText" text="No">
      <formula>NOT(ISERROR(SEARCH(("No"),(P201))))</formula>
    </cfRule>
  </conditionalFormatting>
  <conditionalFormatting sqref="P201:Q214 U204:V204">
    <cfRule type="containsText" dxfId="9" priority="39111" operator="containsText" text="No">
      <formula>NOT(ISERROR(SEARCH(("No"),(P201))))</formula>
    </cfRule>
  </conditionalFormatting>
  <conditionalFormatting sqref="P201:Q214 U204:V204">
    <cfRule type="containsText" dxfId="9" priority="39112" operator="containsText" text="No">
      <formula>NOT(ISERROR(SEARCH(("No"),(P201))))</formula>
    </cfRule>
  </conditionalFormatting>
  <conditionalFormatting sqref="P201:Q214 U204:V204">
    <cfRule type="containsText" dxfId="9" priority="39113" operator="containsText" text="No">
      <formula>NOT(ISERROR(SEARCH(("No"),(P201))))</formula>
    </cfRule>
  </conditionalFormatting>
  <conditionalFormatting sqref="P201:Q214 U204:V204">
    <cfRule type="containsText" dxfId="9" priority="39114" operator="containsText" text="No">
      <formula>NOT(ISERROR(SEARCH(("No"),(P201))))</formula>
    </cfRule>
  </conditionalFormatting>
  <conditionalFormatting sqref="P201:Q214 U204:V204">
    <cfRule type="containsText" dxfId="9" priority="39115" operator="containsText" text="No">
      <formula>NOT(ISERROR(SEARCH(("No"),(P201))))</formula>
    </cfRule>
  </conditionalFormatting>
  <conditionalFormatting sqref="P201:Q214 U204:V204">
    <cfRule type="containsText" dxfId="9" priority="39116" operator="containsText" text="No">
      <formula>NOT(ISERROR(SEARCH(("No"),(P201))))</formula>
    </cfRule>
  </conditionalFormatting>
  <conditionalFormatting sqref="P201:Q214 U204:V204">
    <cfRule type="containsText" dxfId="9" priority="39117" operator="containsText" text="No">
      <formula>NOT(ISERROR(SEARCH(("No"),(P201))))</formula>
    </cfRule>
  </conditionalFormatting>
  <conditionalFormatting sqref="P201:Q214 U204:V204">
    <cfRule type="containsText" dxfId="9" priority="39118" operator="containsText" text="No">
      <formula>NOT(ISERROR(SEARCH(("No"),(P201))))</formula>
    </cfRule>
  </conditionalFormatting>
  <conditionalFormatting sqref="P201:Q214 U204:V204">
    <cfRule type="containsText" dxfId="9" priority="39119" operator="containsText" text="No">
      <formula>NOT(ISERROR(SEARCH(("No"),(P201))))</formula>
    </cfRule>
  </conditionalFormatting>
  <conditionalFormatting sqref="P201:Q214 U204:V204">
    <cfRule type="containsText" dxfId="9" priority="39120" operator="containsText" text="No">
      <formula>NOT(ISERROR(SEARCH(("No"),(P201))))</formula>
    </cfRule>
  </conditionalFormatting>
  <conditionalFormatting sqref="P201:Q214 U204:V204">
    <cfRule type="containsText" dxfId="9" priority="39121" operator="containsText" text="No">
      <formula>NOT(ISERROR(SEARCH(("No"),(P201))))</formula>
    </cfRule>
  </conditionalFormatting>
  <conditionalFormatting sqref="P201:Q214 U204:V204">
    <cfRule type="containsText" dxfId="9" priority="39122" operator="containsText" text="No">
      <formula>NOT(ISERROR(SEARCH(("No"),(P201))))</formula>
    </cfRule>
  </conditionalFormatting>
  <conditionalFormatting sqref="P201:Q214 U204:V204">
    <cfRule type="containsText" dxfId="9" priority="39123" operator="containsText" text="No">
      <formula>NOT(ISERROR(SEARCH(("No"),(P201))))</formula>
    </cfRule>
  </conditionalFormatting>
  <conditionalFormatting sqref="P201:Q214 U204:V204">
    <cfRule type="containsText" dxfId="2" priority="39124" operator="containsText" text="Yes">
      <formula>NOT(ISERROR(SEARCH(("Yes"),(P201))))</formula>
    </cfRule>
  </conditionalFormatting>
  <conditionalFormatting sqref="P201:Q214 U204:V204">
    <cfRule type="containsText" dxfId="2" priority="39125" operator="containsText" text="Yes">
      <formula>NOT(ISERROR(SEARCH(("Yes"),(P201))))</formula>
    </cfRule>
  </conditionalFormatting>
  <conditionalFormatting sqref="P201:Q214 U204:V204">
    <cfRule type="containsText" dxfId="2" priority="39126" operator="containsText" text="Yes">
      <formula>NOT(ISERROR(SEARCH(("Yes"),(P201))))</formula>
    </cfRule>
  </conditionalFormatting>
  <conditionalFormatting sqref="P201:Q214 U204:V204">
    <cfRule type="containsText" dxfId="2" priority="39127" operator="containsText" text="Yes">
      <formula>NOT(ISERROR(SEARCH(("Yes"),(P201))))</formula>
    </cfRule>
  </conditionalFormatting>
  <conditionalFormatting sqref="P201:Q214 U204:V204">
    <cfRule type="containsText" dxfId="2" priority="39128" operator="containsText" text="Yes">
      <formula>NOT(ISERROR(SEARCH(("Yes"),(P201))))</formula>
    </cfRule>
  </conditionalFormatting>
  <conditionalFormatting sqref="P201:Q214 U204:V204">
    <cfRule type="containsText" dxfId="2" priority="39129" operator="containsText" text="Yes">
      <formula>NOT(ISERROR(SEARCH(("Yes"),(P201))))</formula>
    </cfRule>
  </conditionalFormatting>
  <conditionalFormatting sqref="P201:Q214 U204:V204">
    <cfRule type="containsText" dxfId="2" priority="39130" operator="containsText" text="Yes">
      <formula>NOT(ISERROR(SEARCH(("Yes"),(P201))))</formula>
    </cfRule>
  </conditionalFormatting>
  <conditionalFormatting sqref="P201:Q214 U204:V204">
    <cfRule type="containsText" dxfId="2" priority="39131" operator="containsText" text="Yes">
      <formula>NOT(ISERROR(SEARCH(("Yes"),(P201))))</formula>
    </cfRule>
  </conditionalFormatting>
  <conditionalFormatting sqref="P201:Q214 U204:V204">
    <cfRule type="containsText" dxfId="2" priority="39132" operator="containsText" text="Yes">
      <formula>NOT(ISERROR(SEARCH(("Yes"),(P201))))</formula>
    </cfRule>
  </conditionalFormatting>
  <conditionalFormatting sqref="P201:Q214 U204:V204">
    <cfRule type="containsText" dxfId="2" priority="39133" operator="containsText" text="Yes">
      <formula>NOT(ISERROR(SEARCH(("Yes"),(P201))))</formula>
    </cfRule>
  </conditionalFormatting>
  <conditionalFormatting sqref="P201:Q214 U204:V204">
    <cfRule type="containsText" dxfId="2" priority="39134" operator="containsText" text="Yes">
      <formula>NOT(ISERROR(SEARCH(("Yes"),(P201))))</formula>
    </cfRule>
  </conditionalFormatting>
  <conditionalFormatting sqref="P201:Q214 U204:V204">
    <cfRule type="containsText" dxfId="2" priority="39135" operator="containsText" text="Yes">
      <formula>NOT(ISERROR(SEARCH(("Yes"),(P201))))</formula>
    </cfRule>
  </conditionalFormatting>
  <conditionalFormatting sqref="P201:Q214 U204:V204">
    <cfRule type="containsText" dxfId="2" priority="39136" operator="containsText" text="Yes">
      <formula>NOT(ISERROR(SEARCH(("Yes"),(P201))))</formula>
    </cfRule>
  </conditionalFormatting>
  <conditionalFormatting sqref="P201:Q214 U204:V204">
    <cfRule type="containsText" dxfId="2" priority="39137" operator="containsText" text="Yes">
      <formula>NOT(ISERROR(SEARCH(("Yes"),(P201))))</formula>
    </cfRule>
  </conditionalFormatting>
  <conditionalFormatting sqref="P201:Q214 U204:V204">
    <cfRule type="containsText" dxfId="2" priority="39138" operator="containsText" text="Yes">
      <formula>NOT(ISERROR(SEARCH(("Yes"),(P201))))</formula>
    </cfRule>
  </conditionalFormatting>
  <conditionalFormatting sqref="P201:Q214 U204:V204">
    <cfRule type="containsText" dxfId="2" priority="39139" operator="containsText" text="Yes">
      <formula>NOT(ISERROR(SEARCH(("Yes"),(P201))))</formula>
    </cfRule>
  </conditionalFormatting>
  <conditionalFormatting sqref="P201:Q214 U204:V204">
    <cfRule type="containsText" dxfId="2" priority="39140" operator="containsText" text="Yes">
      <formula>NOT(ISERROR(SEARCH(("Yes"),(P201))))</formula>
    </cfRule>
  </conditionalFormatting>
  <conditionalFormatting sqref="P201:Q214 U204:V204">
    <cfRule type="containsText" dxfId="2" priority="39141" operator="containsText" text="Yes">
      <formula>NOT(ISERROR(SEARCH(("Yes"),(P201))))</formula>
    </cfRule>
  </conditionalFormatting>
  <conditionalFormatting sqref="P201:Q214 U204:V204">
    <cfRule type="containsText" dxfId="2" priority="39142" operator="containsText" text="Yes">
      <formula>NOT(ISERROR(SEARCH(("Yes"),(P201))))</formula>
    </cfRule>
  </conditionalFormatting>
  <conditionalFormatting sqref="P201:Q214 U204:V204">
    <cfRule type="containsText" dxfId="2" priority="39143" operator="containsText" text="Yes">
      <formula>NOT(ISERROR(SEARCH(("Yes"),(P201))))</formula>
    </cfRule>
  </conditionalFormatting>
  <conditionalFormatting sqref="P201:Q214 U204:V204">
    <cfRule type="containsText" dxfId="2" priority="39144" operator="containsText" text="Yes">
      <formula>NOT(ISERROR(SEARCH(("Yes"),(P201))))</formula>
    </cfRule>
  </conditionalFormatting>
  <conditionalFormatting sqref="P201:Q214 U204:V204">
    <cfRule type="containsText" dxfId="2" priority="39145" operator="containsText" text="Yes">
      <formula>NOT(ISERROR(SEARCH(("Yes"),(P201))))</formula>
    </cfRule>
  </conditionalFormatting>
  <conditionalFormatting sqref="P201:Q214 U204:V204">
    <cfRule type="containsText" dxfId="2" priority="39146" operator="containsText" text="Yes">
      <formula>NOT(ISERROR(SEARCH(("Yes"),(P201))))</formula>
    </cfRule>
  </conditionalFormatting>
  <conditionalFormatting sqref="P201:Q214 U204:V204">
    <cfRule type="containsText" dxfId="2" priority="39147" operator="containsText" text="Yes">
      <formula>NOT(ISERROR(SEARCH(("Yes"),(P201))))</formula>
    </cfRule>
  </conditionalFormatting>
  <conditionalFormatting sqref="P201:Q214 U204:V204">
    <cfRule type="containsText" dxfId="2" priority="39148" operator="containsText" text="Yes">
      <formula>NOT(ISERROR(SEARCH(("Yes"),(P201))))</formula>
    </cfRule>
  </conditionalFormatting>
  <conditionalFormatting sqref="P201:Q214 U204:V204">
    <cfRule type="containsText" dxfId="2" priority="39149" operator="containsText" text="Yes">
      <formula>NOT(ISERROR(SEARCH(("Yes"),(P201))))</formula>
    </cfRule>
  </conditionalFormatting>
  <conditionalFormatting sqref="P201:Q214 U204:V204">
    <cfRule type="containsText" dxfId="2" priority="39150" operator="containsText" text="Yes">
      <formula>NOT(ISERROR(SEARCH(("Yes"),(P201))))</formula>
    </cfRule>
  </conditionalFormatting>
  <conditionalFormatting sqref="P201:Q214 U204:V204">
    <cfRule type="containsText" dxfId="2" priority="39151" operator="containsText" text="Yes">
      <formula>NOT(ISERROR(SEARCH(("Yes"),(P201))))</formula>
    </cfRule>
  </conditionalFormatting>
  <conditionalFormatting sqref="P201:Q214 U204:V204">
    <cfRule type="containsText" dxfId="2" priority="39152" operator="containsText" text="Yes">
      <formula>NOT(ISERROR(SEARCH(("Yes"),(P201))))</formula>
    </cfRule>
  </conditionalFormatting>
  <conditionalFormatting sqref="P201:Q214 U204:V204">
    <cfRule type="containsText" dxfId="2" priority="39153" operator="containsText" text="Yes">
      <formula>NOT(ISERROR(SEARCH(("Yes"),(P201))))</formula>
    </cfRule>
  </conditionalFormatting>
  <conditionalFormatting sqref="P201:Q214 U204:V204">
    <cfRule type="containsText" dxfId="2" priority="39154" operator="containsText" text="Yes">
      <formula>NOT(ISERROR(SEARCH(("Yes"),(P201))))</formula>
    </cfRule>
  </conditionalFormatting>
  <conditionalFormatting sqref="P201:Q214 U204:V204">
    <cfRule type="containsText" dxfId="2" priority="39155" operator="containsText" text="Yes">
      <formula>NOT(ISERROR(SEARCH(("Yes"),(P201))))</formula>
    </cfRule>
  </conditionalFormatting>
  <conditionalFormatting sqref="P201:Q214 U204:V204">
    <cfRule type="containsText" dxfId="2" priority="39156" operator="containsText" text="Yes">
      <formula>NOT(ISERROR(SEARCH(("Yes"),(P201))))</formula>
    </cfRule>
  </conditionalFormatting>
  <conditionalFormatting sqref="P201:Q214 U204:V204">
    <cfRule type="containsText" dxfId="2" priority="39157" operator="containsText" text="Yes">
      <formula>NOT(ISERROR(SEARCH(("Yes"),(P201))))</formula>
    </cfRule>
  </conditionalFormatting>
  <conditionalFormatting sqref="P201:Q214 U204:V204">
    <cfRule type="containsText" dxfId="2" priority="39158" operator="containsText" text="Yes">
      <formula>NOT(ISERROR(SEARCH(("Yes"),(P201))))</formula>
    </cfRule>
  </conditionalFormatting>
  <conditionalFormatting sqref="P201:Q214 U204:V204">
    <cfRule type="containsText" dxfId="2" priority="39159" operator="containsText" text="Yes">
      <formula>NOT(ISERROR(SEARCH(("Yes"),(P201))))</formula>
    </cfRule>
  </conditionalFormatting>
  <conditionalFormatting sqref="P201:Q214 U204:V204">
    <cfRule type="containsText" dxfId="2" priority="39160" operator="containsText" text="Yes">
      <formula>NOT(ISERROR(SEARCH(("Yes"),(P201))))</formula>
    </cfRule>
  </conditionalFormatting>
  <conditionalFormatting sqref="P201:Q214 U204:V204">
    <cfRule type="containsText" dxfId="2" priority="39161" operator="containsText" text="Yes">
      <formula>NOT(ISERROR(SEARCH(("Yes"),(P201))))</formula>
    </cfRule>
  </conditionalFormatting>
  <conditionalFormatting sqref="P201:Q214 U204:V204">
    <cfRule type="containsText" dxfId="2" priority="39162" operator="containsText" text="Yes">
      <formula>NOT(ISERROR(SEARCH(("Yes"),(P201))))</formula>
    </cfRule>
  </conditionalFormatting>
  <conditionalFormatting sqref="P201:Q214 U204:V204">
    <cfRule type="containsText" dxfId="2" priority="39163" operator="containsText" text="Yes">
      <formula>NOT(ISERROR(SEARCH(("Yes"),(P201))))</formula>
    </cfRule>
  </conditionalFormatting>
  <conditionalFormatting sqref="P201:Q214 U204:V204">
    <cfRule type="containsText" dxfId="2" priority="39164" operator="containsText" text="Yes">
      <formula>NOT(ISERROR(SEARCH(("Yes"),(P201))))</formula>
    </cfRule>
  </conditionalFormatting>
  <conditionalFormatting sqref="P201:Q214 U204:V204">
    <cfRule type="containsText" dxfId="2" priority="39165" operator="containsText" text="Yes">
      <formula>NOT(ISERROR(SEARCH(("Yes"),(P201))))</formula>
    </cfRule>
  </conditionalFormatting>
  <conditionalFormatting sqref="P201:Q214 U204:V204">
    <cfRule type="containsText" dxfId="2" priority="39166" operator="containsText" text="Yes">
      <formula>NOT(ISERROR(SEARCH(("Yes"),(P201))))</formula>
    </cfRule>
  </conditionalFormatting>
  <conditionalFormatting sqref="P201:Q214 U204:V204">
    <cfRule type="containsText" dxfId="2" priority="39167" operator="containsText" text="Yes">
      <formula>NOT(ISERROR(SEARCH(("Yes"),(P201))))</formula>
    </cfRule>
  </conditionalFormatting>
  <conditionalFormatting sqref="P201:Q214 U204:V204">
    <cfRule type="containsText" dxfId="2" priority="39168" operator="containsText" text="Yes">
      <formula>NOT(ISERROR(SEARCH(("Yes"),(P201))))</formula>
    </cfRule>
  </conditionalFormatting>
  <conditionalFormatting sqref="P201:Q214 U204:V204">
    <cfRule type="containsText" dxfId="2" priority="39169" operator="containsText" text="Yes">
      <formula>NOT(ISERROR(SEARCH(("Yes"),(P201))))</formula>
    </cfRule>
  </conditionalFormatting>
  <conditionalFormatting sqref="P201:Q214 U204:V204">
    <cfRule type="containsText" dxfId="2" priority="39170" operator="containsText" text="Yes">
      <formula>NOT(ISERROR(SEARCH(("Yes"),(P201))))</formula>
    </cfRule>
  </conditionalFormatting>
  <conditionalFormatting sqref="P202:Q214 U204:V204">
    <cfRule type="containsText" dxfId="9" priority="39171" operator="containsText" text="No">
      <formula>NOT(ISERROR(SEARCH(("No"),(P202))))</formula>
    </cfRule>
  </conditionalFormatting>
  <conditionalFormatting sqref="P202:Q214 U204:V204">
    <cfRule type="containsText" dxfId="9" priority="39172" operator="containsText" text="No">
      <formula>NOT(ISERROR(SEARCH(("No"),(P202))))</formula>
    </cfRule>
  </conditionalFormatting>
  <conditionalFormatting sqref="P202:Q214 U204:V204">
    <cfRule type="containsText" dxfId="9" priority="39173" operator="containsText" text="No">
      <formula>NOT(ISERROR(SEARCH(("No"),(P202))))</formula>
    </cfRule>
  </conditionalFormatting>
  <conditionalFormatting sqref="P202:Q214 U204:V204">
    <cfRule type="containsText" dxfId="9" priority="39174" operator="containsText" text="No">
      <formula>NOT(ISERROR(SEARCH(("No"),(P202))))</formula>
    </cfRule>
  </conditionalFormatting>
  <conditionalFormatting sqref="P202:Q214 U204:V204">
    <cfRule type="containsText" dxfId="9" priority="39175" operator="containsText" text="No">
      <formula>NOT(ISERROR(SEARCH(("No"),(P202))))</formula>
    </cfRule>
  </conditionalFormatting>
  <conditionalFormatting sqref="P202:Q214 U204:V204">
    <cfRule type="containsText" dxfId="9" priority="39176" operator="containsText" text="No">
      <formula>NOT(ISERROR(SEARCH(("No"),(P202))))</formula>
    </cfRule>
  </conditionalFormatting>
  <conditionalFormatting sqref="P202:Q214 U204:V204">
    <cfRule type="containsText" dxfId="9" priority="39177" operator="containsText" text="No">
      <formula>NOT(ISERROR(SEARCH(("No"),(P202))))</formula>
    </cfRule>
  </conditionalFormatting>
  <conditionalFormatting sqref="P202:Q214 U204:V204">
    <cfRule type="containsText" dxfId="9" priority="39178" operator="containsText" text="No">
      <formula>NOT(ISERROR(SEARCH(("No"),(P202))))</formula>
    </cfRule>
  </conditionalFormatting>
  <conditionalFormatting sqref="P202:Q214 U204:V204">
    <cfRule type="containsText" dxfId="9" priority="39179" operator="containsText" text="No">
      <formula>NOT(ISERROR(SEARCH(("No"),(P202))))</formula>
    </cfRule>
  </conditionalFormatting>
  <conditionalFormatting sqref="P202:Q214 U204:V204">
    <cfRule type="containsText" dxfId="9" priority="39180" operator="containsText" text="No">
      <formula>NOT(ISERROR(SEARCH(("No"),(P202))))</formula>
    </cfRule>
  </conditionalFormatting>
  <conditionalFormatting sqref="P202:Q214 U204:V204">
    <cfRule type="containsText" dxfId="9" priority="39181" operator="containsText" text="No">
      <formula>NOT(ISERROR(SEARCH(("No"),(P202))))</formula>
    </cfRule>
  </conditionalFormatting>
  <conditionalFormatting sqref="P202:Q214 U204:V204">
    <cfRule type="containsText" dxfId="9" priority="39182" operator="containsText" text="No">
      <formula>NOT(ISERROR(SEARCH(("No"),(P202))))</formula>
    </cfRule>
  </conditionalFormatting>
  <conditionalFormatting sqref="P202:Q214 U204:V204">
    <cfRule type="containsText" dxfId="9" priority="39183" operator="containsText" text="No">
      <formula>NOT(ISERROR(SEARCH(("No"),(P202))))</formula>
    </cfRule>
  </conditionalFormatting>
  <conditionalFormatting sqref="P202:Q214 U204:V204">
    <cfRule type="containsText" dxfId="9" priority="39184" operator="containsText" text="No">
      <formula>NOT(ISERROR(SEARCH(("No"),(P202))))</formula>
    </cfRule>
  </conditionalFormatting>
  <conditionalFormatting sqref="P202:Q214 U204:V204">
    <cfRule type="containsText" dxfId="9" priority="39185" operator="containsText" text="No">
      <formula>NOT(ISERROR(SEARCH(("No"),(P202))))</formula>
    </cfRule>
  </conditionalFormatting>
  <conditionalFormatting sqref="P202:Q214 U204:V204">
    <cfRule type="containsText" dxfId="9" priority="39186" operator="containsText" text="No">
      <formula>NOT(ISERROR(SEARCH(("No"),(P202))))</formula>
    </cfRule>
  </conditionalFormatting>
  <conditionalFormatting sqref="P202:Q214 U204:V204">
    <cfRule type="containsText" dxfId="9" priority="39187" operator="containsText" text="No">
      <formula>NOT(ISERROR(SEARCH(("No"),(P202))))</formula>
    </cfRule>
  </conditionalFormatting>
  <conditionalFormatting sqref="P202:Q214 U204:V204">
    <cfRule type="containsText" dxfId="9" priority="39188" operator="containsText" text="No">
      <formula>NOT(ISERROR(SEARCH(("No"),(P202))))</formula>
    </cfRule>
  </conditionalFormatting>
  <conditionalFormatting sqref="P202:Q214 U204:V204">
    <cfRule type="containsText" dxfId="9" priority="39189" operator="containsText" text="No">
      <formula>NOT(ISERROR(SEARCH(("No"),(P202))))</formula>
    </cfRule>
  </conditionalFormatting>
  <conditionalFormatting sqref="P202:Q214 U204:V204">
    <cfRule type="containsText" dxfId="9" priority="39190" operator="containsText" text="No">
      <formula>NOT(ISERROR(SEARCH(("No"),(P202))))</formula>
    </cfRule>
  </conditionalFormatting>
  <conditionalFormatting sqref="P202:Q214 U204:V204">
    <cfRule type="containsText" dxfId="9" priority="39191" operator="containsText" text="No">
      <formula>NOT(ISERROR(SEARCH(("No"),(P202))))</formula>
    </cfRule>
  </conditionalFormatting>
  <conditionalFormatting sqref="P202:Q214 U204:V204">
    <cfRule type="containsText" dxfId="9" priority="39192" operator="containsText" text="No">
      <formula>NOT(ISERROR(SEARCH(("No"),(P202))))</formula>
    </cfRule>
  </conditionalFormatting>
  <conditionalFormatting sqref="P202:Q214 U204:V204">
    <cfRule type="containsText" dxfId="9" priority="39193" operator="containsText" text="No">
      <formula>NOT(ISERROR(SEARCH(("No"),(P202))))</formula>
    </cfRule>
  </conditionalFormatting>
  <conditionalFormatting sqref="P202:Q214 U204:V204">
    <cfRule type="containsText" dxfId="9" priority="39194" operator="containsText" text="No">
      <formula>NOT(ISERROR(SEARCH(("No"),(P202))))</formula>
    </cfRule>
  </conditionalFormatting>
  <conditionalFormatting sqref="P202:Q214 U204:V204">
    <cfRule type="containsText" dxfId="9" priority="39195" operator="containsText" text="No">
      <formula>NOT(ISERROR(SEARCH(("No"),(P202))))</formula>
    </cfRule>
  </conditionalFormatting>
  <conditionalFormatting sqref="P202:Q214 U204:V204">
    <cfRule type="containsText" dxfId="9" priority="39196" operator="containsText" text="No">
      <formula>NOT(ISERROR(SEARCH(("No"),(P202))))</formula>
    </cfRule>
  </conditionalFormatting>
  <conditionalFormatting sqref="P202:Q214 U204:V204">
    <cfRule type="containsText" dxfId="9" priority="39197" operator="containsText" text="No">
      <formula>NOT(ISERROR(SEARCH(("No"),(P202))))</formula>
    </cfRule>
  </conditionalFormatting>
  <conditionalFormatting sqref="P202:Q214 U204:V204">
    <cfRule type="containsText" dxfId="9" priority="39198" operator="containsText" text="No">
      <formula>NOT(ISERROR(SEARCH(("No"),(P202))))</formula>
    </cfRule>
  </conditionalFormatting>
  <conditionalFormatting sqref="P202:Q214 U204:V204">
    <cfRule type="containsText" dxfId="9" priority="39199" operator="containsText" text="No">
      <formula>NOT(ISERROR(SEARCH(("No"),(P202))))</formula>
    </cfRule>
  </conditionalFormatting>
  <conditionalFormatting sqref="P202:Q214 U204:V204">
    <cfRule type="containsText" dxfId="9" priority="39200" operator="containsText" text="No">
      <formula>NOT(ISERROR(SEARCH(("No"),(P202))))</formula>
    </cfRule>
  </conditionalFormatting>
  <conditionalFormatting sqref="P202:Q214 U204:V204">
    <cfRule type="containsText" dxfId="9" priority="39201" operator="containsText" text="No">
      <formula>NOT(ISERROR(SEARCH(("No"),(P202))))</formula>
    </cfRule>
  </conditionalFormatting>
  <conditionalFormatting sqref="P202:Q214 U204:V204">
    <cfRule type="containsText" dxfId="9" priority="39202" operator="containsText" text="No">
      <formula>NOT(ISERROR(SEARCH(("No"),(P202))))</formula>
    </cfRule>
  </conditionalFormatting>
  <conditionalFormatting sqref="P202:Q214 U204:V204">
    <cfRule type="containsText" dxfId="9" priority="39203" operator="containsText" text="No">
      <formula>NOT(ISERROR(SEARCH(("No"),(P202))))</formula>
    </cfRule>
  </conditionalFormatting>
  <conditionalFormatting sqref="P202:Q214 U204:V204">
    <cfRule type="containsText" dxfId="9" priority="39204" operator="containsText" text="No">
      <formula>NOT(ISERROR(SEARCH(("No"),(P202))))</formula>
    </cfRule>
  </conditionalFormatting>
  <conditionalFormatting sqref="P202:Q214 U204:V204">
    <cfRule type="containsText" dxfId="9" priority="39205" operator="containsText" text="No">
      <formula>NOT(ISERROR(SEARCH(("No"),(P202))))</formula>
    </cfRule>
  </conditionalFormatting>
  <conditionalFormatting sqref="P202:Q214 U204:V204">
    <cfRule type="containsText" dxfId="9" priority="39206" operator="containsText" text="No">
      <formula>NOT(ISERROR(SEARCH(("No"),(P202))))</formula>
    </cfRule>
  </conditionalFormatting>
  <conditionalFormatting sqref="P202:Q214 U204:V204">
    <cfRule type="containsText" dxfId="9" priority="39207" operator="containsText" text="No">
      <formula>NOT(ISERROR(SEARCH(("No"),(P202))))</formula>
    </cfRule>
  </conditionalFormatting>
  <conditionalFormatting sqref="P202:Q214 U204:V204">
    <cfRule type="containsText" dxfId="9" priority="39208" operator="containsText" text="No">
      <formula>NOT(ISERROR(SEARCH(("No"),(P202))))</formula>
    </cfRule>
  </conditionalFormatting>
  <conditionalFormatting sqref="P202:Q214 U204:V204">
    <cfRule type="containsText" dxfId="9" priority="39209" operator="containsText" text="No">
      <formula>NOT(ISERROR(SEARCH(("No"),(P202))))</formula>
    </cfRule>
  </conditionalFormatting>
  <conditionalFormatting sqref="P202:Q214 U204:V204">
    <cfRule type="containsText" dxfId="9" priority="39210" operator="containsText" text="No">
      <formula>NOT(ISERROR(SEARCH(("No"),(P202))))</formula>
    </cfRule>
  </conditionalFormatting>
  <conditionalFormatting sqref="P202:Q214 U204:V204">
    <cfRule type="containsText" dxfId="9" priority="39211" operator="containsText" text="No">
      <formula>NOT(ISERROR(SEARCH(("No"),(P202))))</formula>
    </cfRule>
  </conditionalFormatting>
  <conditionalFormatting sqref="P202:Q214 U204:V204">
    <cfRule type="containsText" dxfId="9" priority="39212" operator="containsText" text="No">
      <formula>NOT(ISERROR(SEARCH(("No"),(P202))))</formula>
    </cfRule>
  </conditionalFormatting>
  <conditionalFormatting sqref="P202:Q214 U204:V204">
    <cfRule type="containsText" dxfId="9" priority="39213" operator="containsText" text="No">
      <formula>NOT(ISERROR(SEARCH(("No"),(P202))))</formula>
    </cfRule>
  </conditionalFormatting>
  <conditionalFormatting sqref="P202:Q214 U204:V204">
    <cfRule type="containsText" dxfId="9" priority="39214" operator="containsText" text="No">
      <formula>NOT(ISERROR(SEARCH(("No"),(P202))))</formula>
    </cfRule>
  </conditionalFormatting>
  <conditionalFormatting sqref="P202:Q214 U204:V204">
    <cfRule type="containsText" dxfId="9" priority="39215" operator="containsText" text="No">
      <formula>NOT(ISERROR(SEARCH(("No"),(P202))))</formula>
    </cfRule>
  </conditionalFormatting>
  <conditionalFormatting sqref="P202:Q214 U204:V204">
    <cfRule type="containsText" dxfId="2" priority="39216" operator="containsText" text="Yes">
      <formula>NOT(ISERROR(SEARCH(("Yes"),(P202))))</formula>
    </cfRule>
  </conditionalFormatting>
  <conditionalFormatting sqref="P202:Q214 U204:V204">
    <cfRule type="containsText" dxfId="2" priority="39217" operator="containsText" text="Yes">
      <formula>NOT(ISERROR(SEARCH(("Yes"),(P202))))</formula>
    </cfRule>
  </conditionalFormatting>
  <conditionalFormatting sqref="P202:Q214 U204:V204">
    <cfRule type="containsText" dxfId="2" priority="39218" operator="containsText" text="Yes">
      <formula>NOT(ISERROR(SEARCH(("Yes"),(P202))))</formula>
    </cfRule>
  </conditionalFormatting>
  <conditionalFormatting sqref="P202:Q214 U204:V204">
    <cfRule type="containsText" dxfId="2" priority="39219" operator="containsText" text="Yes">
      <formula>NOT(ISERROR(SEARCH(("Yes"),(P202))))</formula>
    </cfRule>
  </conditionalFormatting>
  <conditionalFormatting sqref="P202:Q214 U204:V204">
    <cfRule type="containsText" dxfId="2" priority="39220" operator="containsText" text="Yes">
      <formula>NOT(ISERROR(SEARCH(("Yes"),(P202))))</formula>
    </cfRule>
  </conditionalFormatting>
  <conditionalFormatting sqref="P202:Q214 U204:V204">
    <cfRule type="containsText" dxfId="2" priority="39221" operator="containsText" text="Yes">
      <formula>NOT(ISERROR(SEARCH(("Yes"),(P202))))</formula>
    </cfRule>
  </conditionalFormatting>
  <conditionalFormatting sqref="P202:Q214 U204:V204">
    <cfRule type="containsText" dxfId="2" priority="39222" operator="containsText" text="Yes">
      <formula>NOT(ISERROR(SEARCH(("Yes"),(P202))))</formula>
    </cfRule>
  </conditionalFormatting>
  <conditionalFormatting sqref="P202:Q214 U204:V204">
    <cfRule type="containsText" dxfId="2" priority="39223" operator="containsText" text="Yes">
      <formula>NOT(ISERROR(SEARCH(("Yes"),(P202))))</formula>
    </cfRule>
  </conditionalFormatting>
  <conditionalFormatting sqref="P202:Q214 U204:V204">
    <cfRule type="containsText" dxfId="2" priority="39224" operator="containsText" text="Yes">
      <formula>NOT(ISERROR(SEARCH(("Yes"),(P202))))</formula>
    </cfRule>
  </conditionalFormatting>
  <conditionalFormatting sqref="P202:Q214 U204:V204">
    <cfRule type="containsText" dxfId="2" priority="39225" operator="containsText" text="Yes">
      <formula>NOT(ISERROR(SEARCH(("Yes"),(P202))))</formula>
    </cfRule>
  </conditionalFormatting>
  <conditionalFormatting sqref="P202:Q214 U204:V204">
    <cfRule type="containsText" dxfId="2" priority="39226" operator="containsText" text="Yes">
      <formula>NOT(ISERROR(SEARCH(("Yes"),(P202))))</formula>
    </cfRule>
  </conditionalFormatting>
  <conditionalFormatting sqref="P202:Q214 U204:V204">
    <cfRule type="containsText" dxfId="2" priority="39227" operator="containsText" text="Yes">
      <formula>NOT(ISERROR(SEARCH(("Yes"),(P202))))</formula>
    </cfRule>
  </conditionalFormatting>
  <conditionalFormatting sqref="P202:Q214 U204:V204">
    <cfRule type="containsText" dxfId="2" priority="39228" operator="containsText" text="Yes">
      <formula>NOT(ISERROR(SEARCH(("Yes"),(P202))))</formula>
    </cfRule>
  </conditionalFormatting>
  <conditionalFormatting sqref="P202:Q214 U204:V204">
    <cfRule type="containsText" dxfId="2" priority="39229" operator="containsText" text="Yes">
      <formula>NOT(ISERROR(SEARCH(("Yes"),(P202))))</formula>
    </cfRule>
  </conditionalFormatting>
  <conditionalFormatting sqref="P202:Q214 U204:V204">
    <cfRule type="containsText" dxfId="2" priority="39230" operator="containsText" text="Yes">
      <formula>NOT(ISERROR(SEARCH(("Yes"),(P202))))</formula>
    </cfRule>
  </conditionalFormatting>
  <conditionalFormatting sqref="P202:Q214 U204:V204">
    <cfRule type="containsText" dxfId="2" priority="39231" operator="containsText" text="Yes">
      <formula>NOT(ISERROR(SEARCH(("Yes"),(P202))))</formula>
    </cfRule>
  </conditionalFormatting>
  <conditionalFormatting sqref="P202:Q214 U204:V204">
    <cfRule type="containsText" dxfId="2" priority="39232" operator="containsText" text="Yes">
      <formula>NOT(ISERROR(SEARCH(("Yes"),(P202))))</formula>
    </cfRule>
  </conditionalFormatting>
  <conditionalFormatting sqref="P202:Q214 U204:V204">
    <cfRule type="containsText" dxfId="2" priority="39233" operator="containsText" text="Yes">
      <formula>NOT(ISERROR(SEARCH(("Yes"),(P202))))</formula>
    </cfRule>
  </conditionalFormatting>
  <conditionalFormatting sqref="P202:Q214 U204:V204">
    <cfRule type="containsText" dxfId="2" priority="39234" operator="containsText" text="Yes">
      <formula>NOT(ISERROR(SEARCH(("Yes"),(P202))))</formula>
    </cfRule>
  </conditionalFormatting>
  <conditionalFormatting sqref="P202:Q214 U204:V204">
    <cfRule type="containsText" dxfId="2" priority="39235" operator="containsText" text="Yes">
      <formula>NOT(ISERROR(SEARCH(("Yes"),(P202))))</formula>
    </cfRule>
  </conditionalFormatting>
  <conditionalFormatting sqref="P202:Q214 U204:V204">
    <cfRule type="containsText" dxfId="2" priority="39236" operator="containsText" text="Yes">
      <formula>NOT(ISERROR(SEARCH(("Yes"),(P202))))</formula>
    </cfRule>
  </conditionalFormatting>
  <conditionalFormatting sqref="P202:Q214 U204:V204">
    <cfRule type="containsText" dxfId="2" priority="39237" operator="containsText" text="Yes">
      <formula>NOT(ISERROR(SEARCH(("Yes"),(P202))))</formula>
    </cfRule>
  </conditionalFormatting>
  <conditionalFormatting sqref="P202:Q214 U204:V204">
    <cfRule type="containsText" dxfId="2" priority="39238" operator="containsText" text="Yes">
      <formula>NOT(ISERROR(SEARCH(("Yes"),(P202))))</formula>
    </cfRule>
  </conditionalFormatting>
  <conditionalFormatting sqref="P202:Q214 U204:V204">
    <cfRule type="containsText" dxfId="2" priority="39239" operator="containsText" text="Yes">
      <formula>NOT(ISERROR(SEARCH(("Yes"),(P202))))</formula>
    </cfRule>
  </conditionalFormatting>
  <conditionalFormatting sqref="P202:Q214 U204:V204">
    <cfRule type="containsText" dxfId="2" priority="39240" operator="containsText" text="Yes">
      <formula>NOT(ISERROR(SEARCH(("Yes"),(P202))))</formula>
    </cfRule>
  </conditionalFormatting>
  <conditionalFormatting sqref="P202:Q214 U204:V204">
    <cfRule type="containsText" dxfId="2" priority="39241" operator="containsText" text="Yes">
      <formula>NOT(ISERROR(SEARCH(("Yes"),(P202))))</formula>
    </cfRule>
  </conditionalFormatting>
  <conditionalFormatting sqref="P202:Q214 U204:V204">
    <cfRule type="containsText" dxfId="2" priority="39242" operator="containsText" text="Yes">
      <formula>NOT(ISERROR(SEARCH(("Yes"),(P202))))</formula>
    </cfRule>
  </conditionalFormatting>
  <conditionalFormatting sqref="P202:Q214 U204:V204">
    <cfRule type="containsText" dxfId="2" priority="39243" operator="containsText" text="Yes">
      <formula>NOT(ISERROR(SEARCH(("Yes"),(P202))))</formula>
    </cfRule>
  </conditionalFormatting>
  <conditionalFormatting sqref="P202:Q214 U204:V204">
    <cfRule type="containsText" dxfId="2" priority="39244" operator="containsText" text="Yes">
      <formula>NOT(ISERROR(SEARCH(("Yes"),(P202))))</formula>
    </cfRule>
  </conditionalFormatting>
  <conditionalFormatting sqref="P202:Q214 U204:V204">
    <cfRule type="containsText" dxfId="2" priority="39245" operator="containsText" text="Yes">
      <formula>NOT(ISERROR(SEARCH(("Yes"),(P202))))</formula>
    </cfRule>
  </conditionalFormatting>
  <conditionalFormatting sqref="P202:Q214 U204:V204">
    <cfRule type="containsText" dxfId="2" priority="39246" operator="containsText" text="Yes">
      <formula>NOT(ISERROR(SEARCH(("Yes"),(P202))))</formula>
    </cfRule>
  </conditionalFormatting>
  <conditionalFormatting sqref="P202:Q214 U204:V204">
    <cfRule type="containsText" dxfId="2" priority="39247" operator="containsText" text="Yes">
      <formula>NOT(ISERROR(SEARCH(("Yes"),(P202))))</formula>
    </cfRule>
  </conditionalFormatting>
  <conditionalFormatting sqref="P202:Q214 U204:V204">
    <cfRule type="containsText" dxfId="2" priority="39248" operator="containsText" text="Yes">
      <formula>NOT(ISERROR(SEARCH(("Yes"),(P202))))</formula>
    </cfRule>
  </conditionalFormatting>
  <conditionalFormatting sqref="P202:Q214 U204:V204">
    <cfRule type="containsText" dxfId="2" priority="39249" operator="containsText" text="Yes">
      <formula>NOT(ISERROR(SEARCH(("Yes"),(P202))))</formula>
    </cfRule>
  </conditionalFormatting>
  <conditionalFormatting sqref="P202:Q214 U204:V204">
    <cfRule type="containsText" dxfId="2" priority="39250" operator="containsText" text="Yes">
      <formula>NOT(ISERROR(SEARCH(("Yes"),(P202))))</formula>
    </cfRule>
  </conditionalFormatting>
  <conditionalFormatting sqref="P202:Q214 U204:V204">
    <cfRule type="containsText" dxfId="2" priority="39251" operator="containsText" text="Yes">
      <formula>NOT(ISERROR(SEARCH(("Yes"),(P202))))</formula>
    </cfRule>
  </conditionalFormatting>
  <conditionalFormatting sqref="P202:Q214 U204:V204">
    <cfRule type="containsText" dxfId="2" priority="39252" operator="containsText" text="Yes">
      <formula>NOT(ISERROR(SEARCH(("Yes"),(P202))))</formula>
    </cfRule>
  </conditionalFormatting>
  <conditionalFormatting sqref="P202:Q214 U204:V204">
    <cfRule type="containsText" dxfId="2" priority="39253" operator="containsText" text="Yes">
      <formula>NOT(ISERROR(SEARCH(("Yes"),(P202))))</formula>
    </cfRule>
  </conditionalFormatting>
  <conditionalFormatting sqref="P202:Q214 U204:V204">
    <cfRule type="containsText" dxfId="2" priority="39254" operator="containsText" text="Yes">
      <formula>NOT(ISERROR(SEARCH(("Yes"),(P202))))</formula>
    </cfRule>
  </conditionalFormatting>
  <conditionalFormatting sqref="P202:Q214 U204:V204">
    <cfRule type="containsText" dxfId="2" priority="39255" operator="containsText" text="Yes">
      <formula>NOT(ISERROR(SEARCH(("Yes"),(P202))))</formula>
    </cfRule>
  </conditionalFormatting>
  <conditionalFormatting sqref="P202:Q214 U204:V204">
    <cfRule type="containsText" dxfId="2" priority="39256" operator="containsText" text="Yes">
      <formula>NOT(ISERROR(SEARCH(("Yes"),(P202))))</formula>
    </cfRule>
  </conditionalFormatting>
  <conditionalFormatting sqref="P202:Q214 U204:V204">
    <cfRule type="containsText" dxfId="2" priority="39257" operator="containsText" text="Yes">
      <formula>NOT(ISERROR(SEARCH(("Yes"),(P202))))</formula>
    </cfRule>
  </conditionalFormatting>
  <conditionalFormatting sqref="P202:Q214 U204:V204">
    <cfRule type="containsText" dxfId="2" priority="39258" operator="containsText" text="Yes">
      <formula>NOT(ISERROR(SEARCH(("Yes"),(P202))))</formula>
    </cfRule>
  </conditionalFormatting>
  <conditionalFormatting sqref="P202:Q214 U204:V204">
    <cfRule type="containsText" dxfId="2" priority="39259" operator="containsText" text="Yes">
      <formula>NOT(ISERROR(SEARCH(("Yes"),(P202))))</formula>
    </cfRule>
  </conditionalFormatting>
  <conditionalFormatting sqref="P202:Q214 U204:V204">
    <cfRule type="containsText" dxfId="2" priority="39260" operator="containsText" text="Yes">
      <formula>NOT(ISERROR(SEARCH(("Yes"),(P202))))</formula>
    </cfRule>
  </conditionalFormatting>
  <conditionalFormatting sqref="P202:Q214 U204:V204">
    <cfRule type="containsText" dxfId="2" priority="39261" operator="containsText" text="Yes">
      <formula>NOT(ISERROR(SEARCH(("Yes"),(P202))))</formula>
    </cfRule>
  </conditionalFormatting>
  <conditionalFormatting sqref="P202:Q214 U204:V204">
    <cfRule type="containsText" dxfId="2" priority="39262" operator="containsText" text="Yes">
      <formula>NOT(ISERROR(SEARCH(("Yes"),(P202))))</formula>
    </cfRule>
  </conditionalFormatting>
  <conditionalFormatting sqref="P203:Q203 U204:V204 P205:Q215">
    <cfRule type="containsText" dxfId="9" priority="39263" operator="containsText" text="No">
      <formula>NOT(ISERROR(SEARCH(("No"),(P203))))</formula>
    </cfRule>
  </conditionalFormatting>
  <conditionalFormatting sqref="P203:Q203 U204:V204 P205:Q215">
    <cfRule type="containsText" dxfId="9" priority="39264" operator="containsText" text="No">
      <formula>NOT(ISERROR(SEARCH(("No"),(P203))))</formula>
    </cfRule>
  </conditionalFormatting>
  <conditionalFormatting sqref="P203:Q203 U204:V204 P205:Q215">
    <cfRule type="containsText" dxfId="9" priority="39265" operator="containsText" text="No">
      <formula>NOT(ISERROR(SEARCH(("No"),(P203))))</formula>
    </cfRule>
  </conditionalFormatting>
  <conditionalFormatting sqref="P203:Q203 U204:V204 P205:Q215">
    <cfRule type="containsText" dxfId="9" priority="39266" operator="containsText" text="No">
      <formula>NOT(ISERROR(SEARCH(("No"),(P203))))</formula>
    </cfRule>
  </conditionalFormatting>
  <conditionalFormatting sqref="P203:Q203 U204:V204 P205:Q215">
    <cfRule type="containsText" dxfId="9" priority="39267" operator="containsText" text="No">
      <formula>NOT(ISERROR(SEARCH(("No"),(P203))))</formula>
    </cfRule>
  </conditionalFormatting>
  <conditionalFormatting sqref="P203:Q203 U204:V204 P205:Q215">
    <cfRule type="containsText" dxfId="9" priority="39268" operator="containsText" text="No">
      <formula>NOT(ISERROR(SEARCH(("No"),(P203))))</formula>
    </cfRule>
  </conditionalFormatting>
  <conditionalFormatting sqref="P203:Q203 U204:V204 P205:Q215">
    <cfRule type="containsText" dxfId="9" priority="39269" operator="containsText" text="No">
      <formula>NOT(ISERROR(SEARCH(("No"),(P203))))</formula>
    </cfRule>
  </conditionalFormatting>
  <conditionalFormatting sqref="P203:Q203 U204:V204 P205:Q215">
    <cfRule type="containsText" dxfId="9" priority="39270" operator="containsText" text="No">
      <formula>NOT(ISERROR(SEARCH(("No"),(P203))))</formula>
    </cfRule>
  </conditionalFormatting>
  <conditionalFormatting sqref="P203:Q203 U204:V204 P205:Q215">
    <cfRule type="containsText" dxfId="9" priority="39271" operator="containsText" text="No">
      <formula>NOT(ISERROR(SEARCH(("No"),(P203))))</formula>
    </cfRule>
  </conditionalFormatting>
  <conditionalFormatting sqref="P203:Q203 U204:V204 P205:Q215">
    <cfRule type="containsText" dxfId="9" priority="39272" operator="containsText" text="No">
      <formula>NOT(ISERROR(SEARCH(("No"),(P203))))</formula>
    </cfRule>
  </conditionalFormatting>
  <conditionalFormatting sqref="P203:Q203 U204:V204 P205:Q215">
    <cfRule type="containsText" dxfId="9" priority="39273" operator="containsText" text="No">
      <formula>NOT(ISERROR(SEARCH(("No"),(P203))))</formula>
    </cfRule>
  </conditionalFormatting>
  <conditionalFormatting sqref="P203:Q203 U204:V204 P205:Q215">
    <cfRule type="containsText" dxfId="9" priority="39274" operator="containsText" text="No">
      <formula>NOT(ISERROR(SEARCH(("No"),(P203))))</formula>
    </cfRule>
  </conditionalFormatting>
  <conditionalFormatting sqref="P203:Q203 U204:V204 P205:Q215">
    <cfRule type="containsText" dxfId="9" priority="39275" operator="containsText" text="No">
      <formula>NOT(ISERROR(SEARCH(("No"),(P203))))</formula>
    </cfRule>
  </conditionalFormatting>
  <conditionalFormatting sqref="P203:Q203 U204:V204 P205:Q215">
    <cfRule type="containsText" dxfId="9" priority="39276" operator="containsText" text="No">
      <formula>NOT(ISERROR(SEARCH(("No"),(P203))))</formula>
    </cfRule>
  </conditionalFormatting>
  <conditionalFormatting sqref="P203:Q203 U204:V204 P205:Q215">
    <cfRule type="containsText" dxfId="9" priority="39277" operator="containsText" text="No">
      <formula>NOT(ISERROR(SEARCH(("No"),(P203))))</formula>
    </cfRule>
  </conditionalFormatting>
  <conditionalFormatting sqref="P203:Q203 U204:V204 P205:Q215">
    <cfRule type="containsText" dxfId="9" priority="39278" operator="containsText" text="No">
      <formula>NOT(ISERROR(SEARCH(("No"),(P203))))</formula>
    </cfRule>
  </conditionalFormatting>
  <conditionalFormatting sqref="P203:Q203 U204:V204 P205:Q215">
    <cfRule type="containsText" dxfId="9" priority="39279" operator="containsText" text="No">
      <formula>NOT(ISERROR(SEARCH(("No"),(P203))))</formula>
    </cfRule>
  </conditionalFormatting>
  <conditionalFormatting sqref="P203:Q203 U204:V204 P205:Q215">
    <cfRule type="containsText" dxfId="9" priority="39280" operator="containsText" text="No">
      <formula>NOT(ISERROR(SEARCH(("No"),(P203))))</formula>
    </cfRule>
  </conditionalFormatting>
  <conditionalFormatting sqref="P203:Q203 U204:V204 P205:Q215">
    <cfRule type="containsText" dxfId="9" priority="39281" operator="containsText" text="No">
      <formula>NOT(ISERROR(SEARCH(("No"),(P203))))</formula>
    </cfRule>
  </conditionalFormatting>
  <conditionalFormatting sqref="P203:Q203 U204:V204 P205:Q215">
    <cfRule type="containsText" dxfId="9" priority="39282" operator="containsText" text="No">
      <formula>NOT(ISERROR(SEARCH(("No"),(P203))))</formula>
    </cfRule>
  </conditionalFormatting>
  <conditionalFormatting sqref="P203:Q203 U204:V204 P205:Q215">
    <cfRule type="containsText" dxfId="9" priority="39283" operator="containsText" text="No">
      <formula>NOT(ISERROR(SEARCH(("No"),(P203))))</formula>
    </cfRule>
  </conditionalFormatting>
  <conditionalFormatting sqref="P203:Q203 U204:V204 P205:Q215">
    <cfRule type="containsText" dxfId="9" priority="39284" operator="containsText" text="No">
      <formula>NOT(ISERROR(SEARCH(("No"),(P203))))</formula>
    </cfRule>
  </conditionalFormatting>
  <conditionalFormatting sqref="P203:Q203 U204:V204 P205:Q215">
    <cfRule type="containsText" dxfId="9" priority="39285" operator="containsText" text="No">
      <formula>NOT(ISERROR(SEARCH(("No"),(P203))))</formula>
    </cfRule>
  </conditionalFormatting>
  <conditionalFormatting sqref="P203:Q203 U204:V204 P205:Q215">
    <cfRule type="containsText" dxfId="9" priority="39286" operator="containsText" text="No">
      <formula>NOT(ISERROR(SEARCH(("No"),(P203))))</formula>
    </cfRule>
  </conditionalFormatting>
  <conditionalFormatting sqref="P203:Q203 U204:V204 P205:Q215">
    <cfRule type="containsText" dxfId="9" priority="39287" operator="containsText" text="No">
      <formula>NOT(ISERROR(SEARCH(("No"),(P203))))</formula>
    </cfRule>
  </conditionalFormatting>
  <conditionalFormatting sqref="P203:Q203 U204:V204 P205:Q215">
    <cfRule type="containsText" dxfId="9" priority="39288" operator="containsText" text="No">
      <formula>NOT(ISERROR(SEARCH(("No"),(P203))))</formula>
    </cfRule>
  </conditionalFormatting>
  <conditionalFormatting sqref="P203:Q203 U204:V204 P205:Q215">
    <cfRule type="containsText" dxfId="9" priority="39289" operator="containsText" text="No">
      <formula>NOT(ISERROR(SEARCH(("No"),(P203))))</formula>
    </cfRule>
  </conditionalFormatting>
  <conditionalFormatting sqref="P203:Q203 U204:V204 P205:Q215">
    <cfRule type="containsText" dxfId="9" priority="39290" operator="containsText" text="No">
      <formula>NOT(ISERROR(SEARCH(("No"),(P203))))</formula>
    </cfRule>
  </conditionalFormatting>
  <conditionalFormatting sqref="P203:Q203 U204:V204 P205:Q215">
    <cfRule type="containsText" dxfId="9" priority="39291" operator="containsText" text="No">
      <formula>NOT(ISERROR(SEARCH(("No"),(P203))))</formula>
    </cfRule>
  </conditionalFormatting>
  <conditionalFormatting sqref="P203:Q203 U204:V204 P205:Q215">
    <cfRule type="containsText" dxfId="9" priority="39292" operator="containsText" text="No">
      <formula>NOT(ISERROR(SEARCH(("No"),(P203))))</formula>
    </cfRule>
  </conditionalFormatting>
  <conditionalFormatting sqref="P203:Q203 U204:V204 P205:Q215">
    <cfRule type="containsText" dxfId="9" priority="39293" operator="containsText" text="No">
      <formula>NOT(ISERROR(SEARCH(("No"),(P203))))</formula>
    </cfRule>
  </conditionalFormatting>
  <conditionalFormatting sqref="P203:Q203 U204:V204 P205:Q215">
    <cfRule type="containsText" dxfId="9" priority="39294" operator="containsText" text="No">
      <formula>NOT(ISERROR(SEARCH(("No"),(P203))))</formula>
    </cfRule>
  </conditionalFormatting>
  <conditionalFormatting sqref="P203:Q203 U204:V204 P205:Q215">
    <cfRule type="containsText" dxfId="9" priority="39295" operator="containsText" text="No">
      <formula>NOT(ISERROR(SEARCH(("No"),(P203))))</formula>
    </cfRule>
  </conditionalFormatting>
  <conditionalFormatting sqref="P203:Q203 U204:V204 P205:Q215">
    <cfRule type="containsText" dxfId="9" priority="39296" operator="containsText" text="No">
      <formula>NOT(ISERROR(SEARCH(("No"),(P203))))</formula>
    </cfRule>
  </conditionalFormatting>
  <conditionalFormatting sqref="P203:Q203 U204:V204 P205:Q215">
    <cfRule type="containsText" dxfId="9" priority="39297" operator="containsText" text="No">
      <formula>NOT(ISERROR(SEARCH(("No"),(P203))))</formula>
    </cfRule>
  </conditionalFormatting>
  <conditionalFormatting sqref="P203:Q203 U204:V204 P205:Q215">
    <cfRule type="containsText" dxfId="9" priority="39298" operator="containsText" text="No">
      <formula>NOT(ISERROR(SEARCH(("No"),(P203))))</formula>
    </cfRule>
  </conditionalFormatting>
  <conditionalFormatting sqref="P203:Q203 U204:V204 P205:Q215">
    <cfRule type="containsText" dxfId="9" priority="39299" operator="containsText" text="No">
      <formula>NOT(ISERROR(SEARCH(("No"),(P203))))</formula>
    </cfRule>
  </conditionalFormatting>
  <conditionalFormatting sqref="P203:Q203 U204:V204 P205:Q215">
    <cfRule type="containsText" dxfId="9" priority="39300" operator="containsText" text="No">
      <formula>NOT(ISERROR(SEARCH(("No"),(P203))))</formula>
    </cfRule>
  </conditionalFormatting>
  <conditionalFormatting sqref="P203:Q203 U204:V204 P205:Q215">
    <cfRule type="containsText" dxfId="9" priority="39301" operator="containsText" text="No">
      <formula>NOT(ISERROR(SEARCH(("No"),(P203))))</formula>
    </cfRule>
  </conditionalFormatting>
  <conditionalFormatting sqref="P203:Q203 U204:V204 P205:Q215">
    <cfRule type="containsText" dxfId="9" priority="39302" operator="containsText" text="No">
      <formula>NOT(ISERROR(SEARCH(("No"),(P203))))</formula>
    </cfRule>
  </conditionalFormatting>
  <conditionalFormatting sqref="P203:Q203 U204:V204 P205:Q215">
    <cfRule type="containsText" dxfId="9" priority="39303" operator="containsText" text="No">
      <formula>NOT(ISERROR(SEARCH(("No"),(P203))))</formula>
    </cfRule>
  </conditionalFormatting>
  <conditionalFormatting sqref="P203:Q203 U204:V204 P205:Q215">
    <cfRule type="containsText" dxfId="9" priority="39304" operator="containsText" text="No">
      <formula>NOT(ISERROR(SEARCH(("No"),(P203))))</formula>
    </cfRule>
  </conditionalFormatting>
  <conditionalFormatting sqref="P203:Q203 U204:V204 P205:Q215">
    <cfRule type="containsText" dxfId="9" priority="39305" operator="containsText" text="No">
      <formula>NOT(ISERROR(SEARCH(("No"),(P203))))</formula>
    </cfRule>
  </conditionalFormatting>
  <conditionalFormatting sqref="P203:Q203 U204:V204 P205:Q215">
    <cfRule type="containsText" dxfId="9" priority="39306" operator="containsText" text="No">
      <formula>NOT(ISERROR(SEARCH(("No"),(P203))))</formula>
    </cfRule>
  </conditionalFormatting>
  <conditionalFormatting sqref="P203:Q203 U204:V204 P205:Q215">
    <cfRule type="containsText" dxfId="9" priority="39307" operator="containsText" text="No">
      <formula>NOT(ISERROR(SEARCH(("No"),(P203))))</formula>
    </cfRule>
  </conditionalFormatting>
  <conditionalFormatting sqref="P203:Q203 U204:V204 P205:Q215">
    <cfRule type="containsText" dxfId="2" priority="39308" operator="containsText" text="Yes">
      <formula>NOT(ISERROR(SEARCH(("Yes"),(P203))))</formula>
    </cfRule>
  </conditionalFormatting>
  <conditionalFormatting sqref="P203:Q203 U204:V204 P205:Q215">
    <cfRule type="containsText" dxfId="2" priority="39309" operator="containsText" text="Yes">
      <formula>NOT(ISERROR(SEARCH(("Yes"),(P203))))</formula>
    </cfRule>
  </conditionalFormatting>
  <conditionalFormatting sqref="P203:Q203 U204:V204 P205:Q215">
    <cfRule type="containsText" dxfId="2" priority="39310" operator="containsText" text="Yes">
      <formula>NOT(ISERROR(SEARCH(("Yes"),(P203))))</formula>
    </cfRule>
  </conditionalFormatting>
  <conditionalFormatting sqref="P203:Q203 U204:V204 P205:Q215">
    <cfRule type="containsText" dxfId="2" priority="39311" operator="containsText" text="Yes">
      <formula>NOT(ISERROR(SEARCH(("Yes"),(P203))))</formula>
    </cfRule>
  </conditionalFormatting>
  <conditionalFormatting sqref="P203:Q203 U204:V204 P205:Q215">
    <cfRule type="containsText" dxfId="2" priority="39312" operator="containsText" text="Yes">
      <formula>NOT(ISERROR(SEARCH(("Yes"),(P203))))</formula>
    </cfRule>
  </conditionalFormatting>
  <conditionalFormatting sqref="P203:Q203 U204:V204 P205:Q215">
    <cfRule type="containsText" dxfId="2" priority="39313" operator="containsText" text="Yes">
      <formula>NOT(ISERROR(SEARCH(("Yes"),(P203))))</formula>
    </cfRule>
  </conditionalFormatting>
  <conditionalFormatting sqref="P203:Q203 U204:V204 P205:Q215">
    <cfRule type="containsText" dxfId="2" priority="39314" operator="containsText" text="Yes">
      <formula>NOT(ISERROR(SEARCH(("Yes"),(P203))))</formula>
    </cfRule>
  </conditionalFormatting>
  <conditionalFormatting sqref="P203:Q203 U204:V204 P205:Q215">
    <cfRule type="containsText" dxfId="2" priority="39315" operator="containsText" text="Yes">
      <formula>NOT(ISERROR(SEARCH(("Yes"),(P203))))</formula>
    </cfRule>
  </conditionalFormatting>
  <conditionalFormatting sqref="P203:Q203 U204:V204 P205:Q215">
    <cfRule type="containsText" dxfId="2" priority="39316" operator="containsText" text="Yes">
      <formula>NOT(ISERROR(SEARCH(("Yes"),(P203))))</formula>
    </cfRule>
  </conditionalFormatting>
  <conditionalFormatting sqref="P203:Q203 U204:V204 P205:Q215">
    <cfRule type="containsText" dxfId="2" priority="39317" operator="containsText" text="Yes">
      <formula>NOT(ISERROR(SEARCH(("Yes"),(P203))))</formula>
    </cfRule>
  </conditionalFormatting>
  <conditionalFormatting sqref="P203:Q203 U204:V204 P205:Q215">
    <cfRule type="containsText" dxfId="2" priority="39318" operator="containsText" text="Yes">
      <formula>NOT(ISERROR(SEARCH(("Yes"),(P203))))</formula>
    </cfRule>
  </conditionalFormatting>
  <conditionalFormatting sqref="P203:Q203 U204:V204 P205:Q215">
    <cfRule type="containsText" dxfId="2" priority="39319" operator="containsText" text="Yes">
      <formula>NOT(ISERROR(SEARCH(("Yes"),(P203))))</formula>
    </cfRule>
  </conditionalFormatting>
  <conditionalFormatting sqref="P203:Q203 U204:V204 P205:Q215">
    <cfRule type="containsText" dxfId="2" priority="39320" operator="containsText" text="Yes">
      <formula>NOT(ISERROR(SEARCH(("Yes"),(P203))))</formula>
    </cfRule>
  </conditionalFormatting>
  <conditionalFormatting sqref="P203:Q203 U204:V204 P205:Q215">
    <cfRule type="containsText" dxfId="2" priority="39321" operator="containsText" text="Yes">
      <formula>NOT(ISERROR(SEARCH(("Yes"),(P203))))</formula>
    </cfRule>
  </conditionalFormatting>
  <conditionalFormatting sqref="P203:Q203 U204:V204 P205:Q215">
    <cfRule type="containsText" dxfId="2" priority="39322" operator="containsText" text="Yes">
      <formula>NOT(ISERROR(SEARCH(("Yes"),(P203))))</formula>
    </cfRule>
  </conditionalFormatting>
  <conditionalFormatting sqref="P203:Q203 U204:V204 P205:Q215">
    <cfRule type="containsText" dxfId="2" priority="39323" operator="containsText" text="Yes">
      <formula>NOT(ISERROR(SEARCH(("Yes"),(P203))))</formula>
    </cfRule>
  </conditionalFormatting>
  <conditionalFormatting sqref="P203:Q203 U204:V204 P205:Q215">
    <cfRule type="containsText" dxfId="2" priority="39324" operator="containsText" text="Yes">
      <formula>NOT(ISERROR(SEARCH(("Yes"),(P203))))</formula>
    </cfRule>
  </conditionalFormatting>
  <conditionalFormatting sqref="P203:Q203 U204:V204 P205:Q215">
    <cfRule type="containsText" dxfId="2" priority="39325" operator="containsText" text="Yes">
      <formula>NOT(ISERROR(SEARCH(("Yes"),(P203))))</formula>
    </cfRule>
  </conditionalFormatting>
  <conditionalFormatting sqref="P203:Q203 U204:V204 P205:Q215">
    <cfRule type="containsText" dxfId="2" priority="39326" operator="containsText" text="Yes">
      <formula>NOT(ISERROR(SEARCH(("Yes"),(P203))))</formula>
    </cfRule>
  </conditionalFormatting>
  <conditionalFormatting sqref="P203:Q203 U204:V204 P205:Q215">
    <cfRule type="containsText" dxfId="2" priority="39327" operator="containsText" text="Yes">
      <formula>NOT(ISERROR(SEARCH(("Yes"),(P203))))</formula>
    </cfRule>
  </conditionalFormatting>
  <conditionalFormatting sqref="P203:Q203 U204:V204 P205:Q215">
    <cfRule type="containsText" dxfId="2" priority="39328" operator="containsText" text="Yes">
      <formula>NOT(ISERROR(SEARCH(("Yes"),(P203))))</formula>
    </cfRule>
  </conditionalFormatting>
  <conditionalFormatting sqref="P203:Q203 U204:V204 P205:Q215">
    <cfRule type="containsText" dxfId="2" priority="39329" operator="containsText" text="Yes">
      <formula>NOT(ISERROR(SEARCH(("Yes"),(P203))))</formula>
    </cfRule>
  </conditionalFormatting>
  <conditionalFormatting sqref="P203:Q203 U204:V204 P205:Q215">
    <cfRule type="containsText" dxfId="2" priority="39330" operator="containsText" text="Yes">
      <formula>NOT(ISERROR(SEARCH(("Yes"),(P203))))</formula>
    </cfRule>
  </conditionalFormatting>
  <conditionalFormatting sqref="P203:Q203 U204:V204 P205:Q215">
    <cfRule type="containsText" dxfId="2" priority="39331" operator="containsText" text="Yes">
      <formula>NOT(ISERROR(SEARCH(("Yes"),(P203))))</formula>
    </cfRule>
  </conditionalFormatting>
  <conditionalFormatting sqref="P203:Q203 U204:V204 P205:Q215">
    <cfRule type="containsText" dxfId="2" priority="39332" operator="containsText" text="Yes">
      <formula>NOT(ISERROR(SEARCH(("Yes"),(P203))))</formula>
    </cfRule>
  </conditionalFormatting>
  <conditionalFormatting sqref="P203:Q203 U204:V204 P205:Q215">
    <cfRule type="containsText" dxfId="2" priority="39333" operator="containsText" text="Yes">
      <formula>NOT(ISERROR(SEARCH(("Yes"),(P203))))</formula>
    </cfRule>
  </conditionalFormatting>
  <conditionalFormatting sqref="P203:Q203 U204:V204 P205:Q215">
    <cfRule type="containsText" dxfId="2" priority="39334" operator="containsText" text="Yes">
      <formula>NOT(ISERROR(SEARCH(("Yes"),(P203))))</formula>
    </cfRule>
  </conditionalFormatting>
  <conditionalFormatting sqref="P203:Q203 U204:V204 P205:Q215">
    <cfRule type="containsText" dxfId="2" priority="39335" operator="containsText" text="Yes">
      <formula>NOT(ISERROR(SEARCH(("Yes"),(P203))))</formula>
    </cfRule>
  </conditionalFormatting>
  <conditionalFormatting sqref="P203:Q203 U204:V204 P205:Q215">
    <cfRule type="containsText" dxfId="2" priority="39336" operator="containsText" text="Yes">
      <formula>NOT(ISERROR(SEARCH(("Yes"),(P203))))</formula>
    </cfRule>
  </conditionalFormatting>
  <conditionalFormatting sqref="P203:Q203 U204:V204 P205:Q215">
    <cfRule type="containsText" dxfId="2" priority="39337" operator="containsText" text="Yes">
      <formula>NOT(ISERROR(SEARCH(("Yes"),(P203))))</formula>
    </cfRule>
  </conditionalFormatting>
  <conditionalFormatting sqref="P203:Q203 U204:V204 P205:Q215">
    <cfRule type="containsText" dxfId="2" priority="39338" operator="containsText" text="Yes">
      <formula>NOT(ISERROR(SEARCH(("Yes"),(P203))))</formula>
    </cfRule>
  </conditionalFormatting>
  <conditionalFormatting sqref="P203:Q203 U204:V204 P205:Q215">
    <cfRule type="containsText" dxfId="2" priority="39339" operator="containsText" text="Yes">
      <formula>NOT(ISERROR(SEARCH(("Yes"),(P203))))</formula>
    </cfRule>
  </conditionalFormatting>
  <conditionalFormatting sqref="P203:Q203 U204:V204 P205:Q215">
    <cfRule type="containsText" dxfId="2" priority="39340" operator="containsText" text="Yes">
      <formula>NOT(ISERROR(SEARCH(("Yes"),(P203))))</formula>
    </cfRule>
  </conditionalFormatting>
  <conditionalFormatting sqref="P203:Q203 U204:V204 P205:Q215">
    <cfRule type="containsText" dxfId="2" priority="39341" operator="containsText" text="Yes">
      <formula>NOT(ISERROR(SEARCH(("Yes"),(P203))))</formula>
    </cfRule>
  </conditionalFormatting>
  <conditionalFormatting sqref="P203:Q203 U204:V204 P205:Q215">
    <cfRule type="containsText" dxfId="2" priority="39342" operator="containsText" text="Yes">
      <formula>NOT(ISERROR(SEARCH(("Yes"),(P203))))</formula>
    </cfRule>
  </conditionalFormatting>
  <conditionalFormatting sqref="P203:Q203 U204:V204 P205:Q215">
    <cfRule type="containsText" dxfId="2" priority="39343" operator="containsText" text="Yes">
      <formula>NOT(ISERROR(SEARCH(("Yes"),(P203))))</formula>
    </cfRule>
  </conditionalFormatting>
  <conditionalFormatting sqref="P203:Q203 U204:V204 P205:Q215">
    <cfRule type="containsText" dxfId="2" priority="39344" operator="containsText" text="Yes">
      <formula>NOT(ISERROR(SEARCH(("Yes"),(P203))))</formula>
    </cfRule>
  </conditionalFormatting>
  <conditionalFormatting sqref="P203:Q203 U204:V204 P205:Q215">
    <cfRule type="containsText" dxfId="2" priority="39345" operator="containsText" text="Yes">
      <formula>NOT(ISERROR(SEARCH(("Yes"),(P203))))</formula>
    </cfRule>
  </conditionalFormatting>
  <conditionalFormatting sqref="P203:Q203 U204:V204 P205:Q215">
    <cfRule type="containsText" dxfId="2" priority="39346" operator="containsText" text="Yes">
      <formula>NOT(ISERROR(SEARCH(("Yes"),(P203))))</formula>
    </cfRule>
  </conditionalFormatting>
  <conditionalFormatting sqref="P203:Q203 U204:V204 P205:Q215">
    <cfRule type="containsText" dxfId="2" priority="39347" operator="containsText" text="Yes">
      <formula>NOT(ISERROR(SEARCH(("Yes"),(P203))))</formula>
    </cfRule>
  </conditionalFormatting>
  <conditionalFormatting sqref="P203:Q203 U204:V204 P205:Q215">
    <cfRule type="containsText" dxfId="2" priority="39348" operator="containsText" text="Yes">
      <formula>NOT(ISERROR(SEARCH(("Yes"),(P203))))</formula>
    </cfRule>
  </conditionalFormatting>
  <conditionalFormatting sqref="P203:Q203 U204:V204 P205:Q215">
    <cfRule type="containsText" dxfId="2" priority="39349" operator="containsText" text="Yes">
      <formula>NOT(ISERROR(SEARCH(("Yes"),(P203))))</formula>
    </cfRule>
  </conditionalFormatting>
  <conditionalFormatting sqref="P203:Q203 U204:V204 P205:Q215">
    <cfRule type="containsText" dxfId="2" priority="39350" operator="containsText" text="Yes">
      <formula>NOT(ISERROR(SEARCH(("Yes"),(P203))))</formula>
    </cfRule>
  </conditionalFormatting>
  <conditionalFormatting sqref="P203:Q203 U204:V204 P205:Q215">
    <cfRule type="containsText" dxfId="2" priority="39351" operator="containsText" text="Yes">
      <formula>NOT(ISERROR(SEARCH(("Yes"),(P203))))</formula>
    </cfRule>
  </conditionalFormatting>
  <conditionalFormatting sqref="P203:Q203 U204:V204 P205:Q215">
    <cfRule type="containsText" dxfId="2" priority="39352" operator="containsText" text="Yes">
      <formula>NOT(ISERROR(SEARCH(("Yes"),(P203))))</formula>
    </cfRule>
  </conditionalFormatting>
  <conditionalFormatting sqref="P203:Q203 U204:V204 P205:Q215">
    <cfRule type="containsText" dxfId="2" priority="39353" operator="containsText" text="Yes">
      <formula>NOT(ISERROR(SEARCH(("Yes"),(P203))))</formula>
    </cfRule>
  </conditionalFormatting>
  <conditionalFormatting sqref="P203:Q203 U204:V204 P205:Q215">
    <cfRule type="containsText" dxfId="2" priority="39354" operator="containsText" text="Yes">
      <formula>NOT(ISERROR(SEARCH(("Yes"),(P203))))</formula>
    </cfRule>
  </conditionalFormatting>
  <conditionalFormatting sqref="P204:Q205 P207:Q207 P212:Q214">
    <cfRule type="containsText" dxfId="9" priority="39355" operator="containsText" text="No">
      <formula>NOT(ISERROR(SEARCH(("No"),(P204))))</formula>
    </cfRule>
  </conditionalFormatting>
  <conditionalFormatting sqref="P204:Q205 P207:Q207 P212:Q214">
    <cfRule type="containsText" dxfId="9" priority="39356" operator="containsText" text="No">
      <formula>NOT(ISERROR(SEARCH(("No"),(P204))))</formula>
    </cfRule>
  </conditionalFormatting>
  <conditionalFormatting sqref="P204:Q205 P207:Q207 P212:Q214">
    <cfRule type="containsText" dxfId="9" priority="39357" operator="containsText" text="No">
      <formula>NOT(ISERROR(SEARCH(("No"),(P204))))</formula>
    </cfRule>
  </conditionalFormatting>
  <conditionalFormatting sqref="P204:Q205 P207:Q207 P212:Q214">
    <cfRule type="containsText" dxfId="9" priority="39358" operator="containsText" text="No">
      <formula>NOT(ISERROR(SEARCH(("No"),(P204))))</formula>
    </cfRule>
  </conditionalFormatting>
  <conditionalFormatting sqref="P204:Q205 P207:Q207 P212:Q214">
    <cfRule type="containsText" dxfId="9" priority="39359" operator="containsText" text="No">
      <formula>NOT(ISERROR(SEARCH(("No"),(P204))))</formula>
    </cfRule>
  </conditionalFormatting>
  <conditionalFormatting sqref="P204:Q205 P207:Q207 P212:Q214">
    <cfRule type="containsText" dxfId="9" priority="39360" operator="containsText" text="No">
      <formula>NOT(ISERROR(SEARCH(("No"),(P204))))</formula>
    </cfRule>
  </conditionalFormatting>
  <conditionalFormatting sqref="P204:Q205 P207:Q207 P212:Q214">
    <cfRule type="containsText" dxfId="9" priority="39361" operator="containsText" text="No">
      <formula>NOT(ISERROR(SEARCH(("No"),(P204))))</formula>
    </cfRule>
  </conditionalFormatting>
  <conditionalFormatting sqref="P204:Q205 P207:Q207 P212:Q214">
    <cfRule type="containsText" dxfId="9" priority="39362" operator="containsText" text="No">
      <formula>NOT(ISERROR(SEARCH(("No"),(P204))))</formula>
    </cfRule>
  </conditionalFormatting>
  <conditionalFormatting sqref="P204:Q205 P207:Q207 P212:Q214">
    <cfRule type="containsText" dxfId="9" priority="39363" operator="containsText" text="No">
      <formula>NOT(ISERROR(SEARCH(("No"),(P204))))</formula>
    </cfRule>
  </conditionalFormatting>
  <conditionalFormatting sqref="P204:Q205 P207:Q207 P212:Q214">
    <cfRule type="containsText" dxfId="9" priority="39364" operator="containsText" text="No">
      <formula>NOT(ISERROR(SEARCH(("No"),(P204))))</formula>
    </cfRule>
  </conditionalFormatting>
  <conditionalFormatting sqref="P204:Q205 P207:Q207 P212:Q214">
    <cfRule type="containsText" dxfId="9" priority="39365" operator="containsText" text="No">
      <formula>NOT(ISERROR(SEARCH(("No"),(P204))))</formula>
    </cfRule>
  </conditionalFormatting>
  <conditionalFormatting sqref="P204:Q205 P207:Q207 P212:Q214">
    <cfRule type="containsText" dxfId="9" priority="39366" operator="containsText" text="No">
      <formula>NOT(ISERROR(SEARCH(("No"),(P204))))</formula>
    </cfRule>
  </conditionalFormatting>
  <conditionalFormatting sqref="P204:Q205 P207:Q207 P212:Q214">
    <cfRule type="containsText" dxfId="9" priority="39367" operator="containsText" text="No">
      <formula>NOT(ISERROR(SEARCH(("No"),(P204))))</formula>
    </cfRule>
  </conditionalFormatting>
  <conditionalFormatting sqref="P204:Q205 P207:Q207 P212:Q214">
    <cfRule type="containsText" dxfId="9" priority="39368" operator="containsText" text="No">
      <formula>NOT(ISERROR(SEARCH(("No"),(P204))))</formula>
    </cfRule>
  </conditionalFormatting>
  <conditionalFormatting sqref="P204:Q205 P207:Q207 P212:Q214">
    <cfRule type="containsText" dxfId="9" priority="39369" operator="containsText" text="No">
      <formula>NOT(ISERROR(SEARCH(("No"),(P204))))</formula>
    </cfRule>
  </conditionalFormatting>
  <conditionalFormatting sqref="P204:Q205 P207:Q207 P212:Q214">
    <cfRule type="containsText" dxfId="9" priority="39370" operator="containsText" text="No">
      <formula>NOT(ISERROR(SEARCH(("No"),(P204))))</formula>
    </cfRule>
  </conditionalFormatting>
  <conditionalFormatting sqref="P204:Q205 P207:Q207 P212:Q214">
    <cfRule type="containsText" dxfId="9" priority="39371" operator="containsText" text="No">
      <formula>NOT(ISERROR(SEARCH(("No"),(P204))))</formula>
    </cfRule>
  </conditionalFormatting>
  <conditionalFormatting sqref="P204:Q205 P207:Q207 P212:Q214">
    <cfRule type="containsText" dxfId="9" priority="39372" operator="containsText" text="No">
      <formula>NOT(ISERROR(SEARCH(("No"),(P204))))</formula>
    </cfRule>
  </conditionalFormatting>
  <conditionalFormatting sqref="P204:Q205 P207:Q207 P212:Q214">
    <cfRule type="containsText" dxfId="9" priority="39373" operator="containsText" text="No">
      <formula>NOT(ISERROR(SEARCH(("No"),(P204))))</formula>
    </cfRule>
  </conditionalFormatting>
  <conditionalFormatting sqref="P204:Q205 P207:Q207 P212:Q214">
    <cfRule type="containsText" dxfId="9" priority="39374" operator="containsText" text="No">
      <formula>NOT(ISERROR(SEARCH(("No"),(P204))))</formula>
    </cfRule>
  </conditionalFormatting>
  <conditionalFormatting sqref="P204:Q205 P207:Q207 P212:Q214">
    <cfRule type="containsText" dxfId="9" priority="39375" operator="containsText" text="No">
      <formula>NOT(ISERROR(SEARCH(("No"),(P204))))</formula>
    </cfRule>
  </conditionalFormatting>
  <conditionalFormatting sqref="P204:Q205 P207:Q207 P212:Q214">
    <cfRule type="containsText" dxfId="9" priority="39376" operator="containsText" text="No">
      <formula>NOT(ISERROR(SEARCH(("No"),(P204))))</formula>
    </cfRule>
  </conditionalFormatting>
  <conditionalFormatting sqref="P204:Q205 P207:Q207 P212:Q214">
    <cfRule type="containsText" dxfId="9" priority="39377" operator="containsText" text="No">
      <formula>NOT(ISERROR(SEARCH(("No"),(P204))))</formula>
    </cfRule>
  </conditionalFormatting>
  <conditionalFormatting sqref="P204:Q205 P207:Q207 P212:Q214">
    <cfRule type="containsText" dxfId="9" priority="39378" operator="containsText" text="No">
      <formula>NOT(ISERROR(SEARCH(("No"),(P204))))</formula>
    </cfRule>
  </conditionalFormatting>
  <conditionalFormatting sqref="P204:Q205 P207:Q207 P212:Q214">
    <cfRule type="containsText" dxfId="9" priority="39379" operator="containsText" text="No">
      <formula>NOT(ISERROR(SEARCH(("No"),(P204))))</formula>
    </cfRule>
  </conditionalFormatting>
  <conditionalFormatting sqref="P204:Q205 P207:Q207 P212:Q214">
    <cfRule type="containsText" dxfId="9" priority="39380" operator="containsText" text="No">
      <formula>NOT(ISERROR(SEARCH(("No"),(P204))))</formula>
    </cfRule>
  </conditionalFormatting>
  <conditionalFormatting sqref="P204:Q205 P207:Q207 P212:Q214">
    <cfRule type="containsText" dxfId="9" priority="39381" operator="containsText" text="No">
      <formula>NOT(ISERROR(SEARCH(("No"),(P204))))</formula>
    </cfRule>
  </conditionalFormatting>
  <conditionalFormatting sqref="P204:Q205 P207:Q207 P212:Q214">
    <cfRule type="containsText" dxfId="9" priority="39382" operator="containsText" text="No">
      <formula>NOT(ISERROR(SEARCH(("No"),(P204))))</formula>
    </cfRule>
  </conditionalFormatting>
  <conditionalFormatting sqref="P204:Q205 P207:Q207 P212:Q214">
    <cfRule type="containsText" dxfId="9" priority="39383" operator="containsText" text="No">
      <formula>NOT(ISERROR(SEARCH(("No"),(P204))))</formula>
    </cfRule>
  </conditionalFormatting>
  <conditionalFormatting sqref="P204:Q205 P207:Q207 P212:Q214">
    <cfRule type="containsText" dxfId="9" priority="39384" operator="containsText" text="No">
      <formula>NOT(ISERROR(SEARCH(("No"),(P204))))</formula>
    </cfRule>
  </conditionalFormatting>
  <conditionalFormatting sqref="P204:Q205 P207:Q207 P212:Q214">
    <cfRule type="containsText" dxfId="9" priority="39385" operator="containsText" text="No">
      <formula>NOT(ISERROR(SEARCH(("No"),(P204))))</formula>
    </cfRule>
  </conditionalFormatting>
  <conditionalFormatting sqref="P204:Q205 P207:Q207 P212:Q214">
    <cfRule type="containsText" dxfId="9" priority="39386" operator="containsText" text="No">
      <formula>NOT(ISERROR(SEARCH(("No"),(P204))))</formula>
    </cfRule>
  </conditionalFormatting>
  <conditionalFormatting sqref="P204:Q205 P207:Q207 P212:Q214">
    <cfRule type="containsText" dxfId="9" priority="39387" operator="containsText" text="No">
      <formula>NOT(ISERROR(SEARCH(("No"),(P204))))</formula>
    </cfRule>
  </conditionalFormatting>
  <conditionalFormatting sqref="P204:Q205 P207:Q207 P212:Q214">
    <cfRule type="containsText" dxfId="9" priority="39388" operator="containsText" text="No">
      <formula>NOT(ISERROR(SEARCH(("No"),(P204))))</formula>
    </cfRule>
  </conditionalFormatting>
  <conditionalFormatting sqref="P204:Q205 P207:Q207 P212:Q214">
    <cfRule type="containsText" dxfId="9" priority="39389" operator="containsText" text="No">
      <formula>NOT(ISERROR(SEARCH(("No"),(P204))))</formula>
    </cfRule>
  </conditionalFormatting>
  <conditionalFormatting sqref="P204:Q205 P207:Q207 P212:Q214">
    <cfRule type="containsText" dxfId="9" priority="39390" operator="containsText" text="No">
      <formula>NOT(ISERROR(SEARCH(("No"),(P204))))</formula>
    </cfRule>
  </conditionalFormatting>
  <conditionalFormatting sqref="P204:Q205 P207:Q207 P212:Q214">
    <cfRule type="containsText" dxfId="9" priority="39391" operator="containsText" text="No">
      <formula>NOT(ISERROR(SEARCH(("No"),(P204))))</formula>
    </cfRule>
  </conditionalFormatting>
  <conditionalFormatting sqref="P204:Q205 P207:Q207 P212:Q214">
    <cfRule type="containsText" dxfId="9" priority="39392" operator="containsText" text="No">
      <formula>NOT(ISERROR(SEARCH(("No"),(P204))))</formula>
    </cfRule>
  </conditionalFormatting>
  <conditionalFormatting sqref="P204:Q205 P207:Q207 P212:Q214">
    <cfRule type="containsText" dxfId="9" priority="39393" operator="containsText" text="No">
      <formula>NOT(ISERROR(SEARCH(("No"),(P204))))</formula>
    </cfRule>
  </conditionalFormatting>
  <conditionalFormatting sqref="P204:Q205 P207:Q207 P212:Q214">
    <cfRule type="containsText" dxfId="9" priority="39394" operator="containsText" text="No">
      <formula>NOT(ISERROR(SEARCH(("No"),(P204))))</formula>
    </cfRule>
  </conditionalFormatting>
  <conditionalFormatting sqref="P204:Q205 P207:Q207 P212:Q214">
    <cfRule type="containsText" dxfId="9" priority="39395" operator="containsText" text="No">
      <formula>NOT(ISERROR(SEARCH(("No"),(P204))))</formula>
    </cfRule>
  </conditionalFormatting>
  <conditionalFormatting sqref="P204:Q205 P207:Q207 P212:Q214">
    <cfRule type="containsText" dxfId="9" priority="39396" operator="containsText" text="No">
      <formula>NOT(ISERROR(SEARCH(("No"),(P204))))</formula>
    </cfRule>
  </conditionalFormatting>
  <conditionalFormatting sqref="P204:Q205 P207:Q207 P212:Q214">
    <cfRule type="containsText" dxfId="9" priority="39397" operator="containsText" text="No">
      <formula>NOT(ISERROR(SEARCH(("No"),(P204))))</formula>
    </cfRule>
  </conditionalFormatting>
  <conditionalFormatting sqref="P204:Q205 P207:Q207 P212:Q214">
    <cfRule type="containsText" dxfId="9" priority="39398" operator="containsText" text="No">
      <formula>NOT(ISERROR(SEARCH(("No"),(P204))))</formula>
    </cfRule>
  </conditionalFormatting>
  <conditionalFormatting sqref="P204:Q205 P207:Q207 P212:Q214">
    <cfRule type="containsText" dxfId="9" priority="39399" operator="containsText" text="No">
      <formula>NOT(ISERROR(SEARCH(("No"),(P204))))</formula>
    </cfRule>
  </conditionalFormatting>
  <conditionalFormatting sqref="P204:Q205 P207:Q207 P212:Q214">
    <cfRule type="containsText" dxfId="2" priority="39400" operator="containsText" text="Yes">
      <formula>NOT(ISERROR(SEARCH(("Yes"),(P204))))</formula>
    </cfRule>
  </conditionalFormatting>
  <conditionalFormatting sqref="P204:Q205 P207:Q207 P212:Q214">
    <cfRule type="containsText" dxfId="2" priority="39401" operator="containsText" text="Yes">
      <formula>NOT(ISERROR(SEARCH(("Yes"),(P204))))</formula>
    </cfRule>
  </conditionalFormatting>
  <conditionalFormatting sqref="P204:Q205 P207:Q207 P212:Q214">
    <cfRule type="containsText" dxfId="2" priority="39402" operator="containsText" text="Yes">
      <formula>NOT(ISERROR(SEARCH(("Yes"),(P204))))</formula>
    </cfRule>
  </conditionalFormatting>
  <conditionalFormatting sqref="P204:Q205 P207:Q207 P212:Q214">
    <cfRule type="containsText" dxfId="2" priority="39403" operator="containsText" text="Yes">
      <formula>NOT(ISERROR(SEARCH(("Yes"),(P204))))</formula>
    </cfRule>
  </conditionalFormatting>
  <conditionalFormatting sqref="P204:Q205 P207:Q207 P212:Q214">
    <cfRule type="containsText" dxfId="2" priority="39404" operator="containsText" text="Yes">
      <formula>NOT(ISERROR(SEARCH(("Yes"),(P204))))</formula>
    </cfRule>
  </conditionalFormatting>
  <conditionalFormatting sqref="P204:Q205 P207:Q207 P212:Q214">
    <cfRule type="containsText" dxfId="2" priority="39405" operator="containsText" text="Yes">
      <formula>NOT(ISERROR(SEARCH(("Yes"),(P204))))</formula>
    </cfRule>
  </conditionalFormatting>
  <conditionalFormatting sqref="P204:Q205 P207:Q207 P212:Q214">
    <cfRule type="containsText" dxfId="2" priority="39406" operator="containsText" text="Yes">
      <formula>NOT(ISERROR(SEARCH(("Yes"),(P204))))</formula>
    </cfRule>
  </conditionalFormatting>
  <conditionalFormatting sqref="P204:Q205 P207:Q207 P212:Q214">
    <cfRule type="containsText" dxfId="2" priority="39407" operator="containsText" text="Yes">
      <formula>NOT(ISERROR(SEARCH(("Yes"),(P204))))</formula>
    </cfRule>
  </conditionalFormatting>
  <conditionalFormatting sqref="P204:Q205 P207:Q207 P212:Q214">
    <cfRule type="containsText" dxfId="2" priority="39408" operator="containsText" text="Yes">
      <formula>NOT(ISERROR(SEARCH(("Yes"),(P204))))</formula>
    </cfRule>
  </conditionalFormatting>
  <conditionalFormatting sqref="P204:Q205 P207:Q207 P212:Q214">
    <cfRule type="containsText" dxfId="2" priority="39409" operator="containsText" text="Yes">
      <formula>NOT(ISERROR(SEARCH(("Yes"),(P204))))</formula>
    </cfRule>
  </conditionalFormatting>
  <conditionalFormatting sqref="P204:Q205 P207:Q207 P212:Q214">
    <cfRule type="containsText" dxfId="2" priority="39410" operator="containsText" text="Yes">
      <formula>NOT(ISERROR(SEARCH(("Yes"),(P204))))</formula>
    </cfRule>
  </conditionalFormatting>
  <conditionalFormatting sqref="P204:Q205 P207:Q207 P212:Q214">
    <cfRule type="containsText" dxfId="2" priority="39411" operator="containsText" text="Yes">
      <formula>NOT(ISERROR(SEARCH(("Yes"),(P204))))</formula>
    </cfRule>
  </conditionalFormatting>
  <conditionalFormatting sqref="P204:Q205 P207:Q207 P212:Q214">
    <cfRule type="containsText" dxfId="2" priority="39412" operator="containsText" text="Yes">
      <formula>NOT(ISERROR(SEARCH(("Yes"),(P204))))</formula>
    </cfRule>
  </conditionalFormatting>
  <conditionalFormatting sqref="P204:Q205 P207:Q207 P212:Q214">
    <cfRule type="containsText" dxfId="2" priority="39413" operator="containsText" text="Yes">
      <formula>NOT(ISERROR(SEARCH(("Yes"),(P204))))</formula>
    </cfRule>
  </conditionalFormatting>
  <conditionalFormatting sqref="P204:Q205 P207:Q207 P212:Q214">
    <cfRule type="containsText" dxfId="2" priority="39414" operator="containsText" text="Yes">
      <formula>NOT(ISERROR(SEARCH(("Yes"),(P204))))</formula>
    </cfRule>
  </conditionalFormatting>
  <conditionalFormatting sqref="P204:Q205 P207:Q207 P212:Q214">
    <cfRule type="containsText" dxfId="2" priority="39415" operator="containsText" text="Yes">
      <formula>NOT(ISERROR(SEARCH(("Yes"),(P204))))</formula>
    </cfRule>
  </conditionalFormatting>
  <conditionalFormatting sqref="P204:Q205 P207:Q207 P212:Q214">
    <cfRule type="containsText" dxfId="2" priority="39416" operator="containsText" text="Yes">
      <formula>NOT(ISERROR(SEARCH(("Yes"),(P204))))</formula>
    </cfRule>
  </conditionalFormatting>
  <conditionalFormatting sqref="P204:Q205 P207:Q207 P212:Q214">
    <cfRule type="containsText" dxfId="2" priority="39417" operator="containsText" text="Yes">
      <formula>NOT(ISERROR(SEARCH(("Yes"),(P204))))</formula>
    </cfRule>
  </conditionalFormatting>
  <conditionalFormatting sqref="P204:Q205 P207:Q207 P212:Q214">
    <cfRule type="containsText" dxfId="2" priority="39418" operator="containsText" text="Yes">
      <formula>NOT(ISERROR(SEARCH(("Yes"),(P204))))</formula>
    </cfRule>
  </conditionalFormatting>
  <conditionalFormatting sqref="P204:Q205 P207:Q207 P212:Q214">
    <cfRule type="containsText" dxfId="2" priority="39419" operator="containsText" text="Yes">
      <formula>NOT(ISERROR(SEARCH(("Yes"),(P204))))</formula>
    </cfRule>
  </conditionalFormatting>
  <conditionalFormatting sqref="P204:Q205 P207:Q207 P212:Q214">
    <cfRule type="containsText" dxfId="2" priority="39420" operator="containsText" text="Yes">
      <formula>NOT(ISERROR(SEARCH(("Yes"),(P204))))</formula>
    </cfRule>
  </conditionalFormatting>
  <conditionalFormatting sqref="P204:Q205 P207:Q207 P212:Q214">
    <cfRule type="containsText" dxfId="2" priority="39421" operator="containsText" text="Yes">
      <formula>NOT(ISERROR(SEARCH(("Yes"),(P204))))</formula>
    </cfRule>
  </conditionalFormatting>
  <conditionalFormatting sqref="P204:Q205 P207:Q207 P212:Q214">
    <cfRule type="containsText" dxfId="2" priority="39422" operator="containsText" text="Yes">
      <formula>NOT(ISERROR(SEARCH(("Yes"),(P204))))</formula>
    </cfRule>
  </conditionalFormatting>
  <conditionalFormatting sqref="P204:Q205 P207:Q207 P212:Q214">
    <cfRule type="containsText" dxfId="2" priority="39423" operator="containsText" text="Yes">
      <formula>NOT(ISERROR(SEARCH(("Yes"),(P204))))</formula>
    </cfRule>
  </conditionalFormatting>
  <conditionalFormatting sqref="P204:Q205 P207:Q207 P212:Q214">
    <cfRule type="containsText" dxfId="2" priority="39424" operator="containsText" text="Yes">
      <formula>NOT(ISERROR(SEARCH(("Yes"),(P204))))</formula>
    </cfRule>
  </conditionalFormatting>
  <conditionalFormatting sqref="P204:Q205 P207:Q207 P212:Q214">
    <cfRule type="containsText" dxfId="2" priority="39425" operator="containsText" text="Yes">
      <formula>NOT(ISERROR(SEARCH(("Yes"),(P204))))</formula>
    </cfRule>
  </conditionalFormatting>
  <conditionalFormatting sqref="P204:Q205 P207:Q207 P212:Q214">
    <cfRule type="containsText" dxfId="2" priority="39426" operator="containsText" text="Yes">
      <formula>NOT(ISERROR(SEARCH(("Yes"),(P204))))</formula>
    </cfRule>
  </conditionalFormatting>
  <conditionalFormatting sqref="P204:Q205 P207:Q207 P212:Q214">
    <cfRule type="containsText" dxfId="2" priority="39427" operator="containsText" text="Yes">
      <formula>NOT(ISERROR(SEARCH(("Yes"),(P204))))</formula>
    </cfRule>
  </conditionalFormatting>
  <conditionalFormatting sqref="P204:Q205 P207:Q207 P212:Q214">
    <cfRule type="containsText" dxfId="2" priority="39428" operator="containsText" text="Yes">
      <formula>NOT(ISERROR(SEARCH(("Yes"),(P204))))</formula>
    </cfRule>
  </conditionalFormatting>
  <conditionalFormatting sqref="P204:Q205 P207:Q207 P212:Q214">
    <cfRule type="containsText" dxfId="2" priority="39429" operator="containsText" text="Yes">
      <formula>NOT(ISERROR(SEARCH(("Yes"),(P204))))</formula>
    </cfRule>
  </conditionalFormatting>
  <conditionalFormatting sqref="P204:Q205 P207:Q207 P212:Q214">
    <cfRule type="containsText" dxfId="2" priority="39430" operator="containsText" text="Yes">
      <formula>NOT(ISERROR(SEARCH(("Yes"),(P204))))</formula>
    </cfRule>
  </conditionalFormatting>
  <conditionalFormatting sqref="P204:Q205 P207:Q207 P212:Q214">
    <cfRule type="containsText" dxfId="2" priority="39431" operator="containsText" text="Yes">
      <formula>NOT(ISERROR(SEARCH(("Yes"),(P204))))</formula>
    </cfRule>
  </conditionalFormatting>
  <conditionalFormatting sqref="P204:Q205 P207:Q207 P212:Q214">
    <cfRule type="containsText" dxfId="2" priority="39432" operator="containsText" text="Yes">
      <formula>NOT(ISERROR(SEARCH(("Yes"),(P204))))</formula>
    </cfRule>
  </conditionalFormatting>
  <conditionalFormatting sqref="P204:Q205 P207:Q207 P212:Q214">
    <cfRule type="containsText" dxfId="2" priority="39433" operator="containsText" text="Yes">
      <formula>NOT(ISERROR(SEARCH(("Yes"),(P204))))</formula>
    </cfRule>
  </conditionalFormatting>
  <conditionalFormatting sqref="P204:Q205 P207:Q207 P212:Q214">
    <cfRule type="containsText" dxfId="2" priority="39434" operator="containsText" text="Yes">
      <formula>NOT(ISERROR(SEARCH(("Yes"),(P204))))</formula>
    </cfRule>
  </conditionalFormatting>
  <conditionalFormatting sqref="P204:Q205 P207:Q207 P212:Q214">
    <cfRule type="containsText" dxfId="2" priority="39435" operator="containsText" text="Yes">
      <formula>NOT(ISERROR(SEARCH(("Yes"),(P204))))</formula>
    </cfRule>
  </conditionalFormatting>
  <conditionalFormatting sqref="P204:Q205 P207:Q207 P212:Q214">
    <cfRule type="containsText" dxfId="2" priority="39436" operator="containsText" text="Yes">
      <formula>NOT(ISERROR(SEARCH(("Yes"),(P204))))</formula>
    </cfRule>
  </conditionalFormatting>
  <conditionalFormatting sqref="P204:Q205 P207:Q207 P212:Q214">
    <cfRule type="containsText" dxfId="2" priority="39437" operator="containsText" text="Yes">
      <formula>NOT(ISERROR(SEARCH(("Yes"),(P204))))</formula>
    </cfRule>
  </conditionalFormatting>
  <conditionalFormatting sqref="P204:Q205 P207:Q207 P212:Q214">
    <cfRule type="containsText" dxfId="2" priority="39438" operator="containsText" text="Yes">
      <formula>NOT(ISERROR(SEARCH(("Yes"),(P204))))</formula>
    </cfRule>
  </conditionalFormatting>
  <conditionalFormatting sqref="P204:Q205 P207:Q207 P212:Q214">
    <cfRule type="containsText" dxfId="2" priority="39439" operator="containsText" text="Yes">
      <formula>NOT(ISERROR(SEARCH(("Yes"),(P204))))</formula>
    </cfRule>
  </conditionalFormatting>
  <conditionalFormatting sqref="P204:Q205 P207:Q207 P212:Q214">
    <cfRule type="containsText" dxfId="2" priority="39440" operator="containsText" text="Yes">
      <formula>NOT(ISERROR(SEARCH(("Yes"),(P204))))</formula>
    </cfRule>
  </conditionalFormatting>
  <conditionalFormatting sqref="P204:Q205 P207:Q207 P212:Q214">
    <cfRule type="containsText" dxfId="2" priority="39441" operator="containsText" text="Yes">
      <formula>NOT(ISERROR(SEARCH(("Yes"),(P204))))</formula>
    </cfRule>
  </conditionalFormatting>
  <conditionalFormatting sqref="P204:Q205 P207:Q207 P212:Q214">
    <cfRule type="containsText" dxfId="2" priority="39442" operator="containsText" text="Yes">
      <formula>NOT(ISERROR(SEARCH(("Yes"),(P204))))</formula>
    </cfRule>
  </conditionalFormatting>
  <conditionalFormatting sqref="P204:Q205 P207:Q207 P212:Q214">
    <cfRule type="containsText" dxfId="2" priority="39443" operator="containsText" text="Yes">
      <formula>NOT(ISERROR(SEARCH(("Yes"),(P204))))</formula>
    </cfRule>
  </conditionalFormatting>
  <conditionalFormatting sqref="P204:Q205 P207:Q207 P212:Q214">
    <cfRule type="containsText" dxfId="2" priority="39444" operator="containsText" text="Yes">
      <formula>NOT(ISERROR(SEARCH(("Yes"),(P204))))</formula>
    </cfRule>
  </conditionalFormatting>
  <conditionalFormatting sqref="P204:Q205 P207:Q207 P212:Q214">
    <cfRule type="containsText" dxfId="2" priority="39445" operator="containsText" text="Yes">
      <formula>NOT(ISERROR(SEARCH(("Yes"),(P204))))</formula>
    </cfRule>
  </conditionalFormatting>
  <conditionalFormatting sqref="P204:Q205 P207:Q207 P212:Q214">
    <cfRule type="containsText" dxfId="2" priority="39446" operator="containsText" text="Yes">
      <formula>NOT(ISERROR(SEARCH(("Yes"),(P204))))</formula>
    </cfRule>
  </conditionalFormatting>
  <conditionalFormatting sqref="N206:Q214">
    <cfRule type="containsText" dxfId="9" priority="39447" operator="containsText" text="No">
      <formula>NOT(ISERROR(SEARCH(("No"),(N206))))</formula>
    </cfRule>
  </conditionalFormatting>
  <conditionalFormatting sqref="N206:Q214">
    <cfRule type="containsText" dxfId="9" priority="39448" operator="containsText" text="No">
      <formula>NOT(ISERROR(SEARCH(("No"),(N206))))</formula>
    </cfRule>
  </conditionalFormatting>
  <conditionalFormatting sqref="N206:Q214">
    <cfRule type="containsText" dxfId="9" priority="39449" operator="containsText" text="No">
      <formula>NOT(ISERROR(SEARCH(("No"),(N206))))</formula>
    </cfRule>
  </conditionalFormatting>
  <conditionalFormatting sqref="N206:Q214">
    <cfRule type="containsText" dxfId="9" priority="39450" operator="containsText" text="No">
      <formula>NOT(ISERROR(SEARCH(("No"),(N206))))</formula>
    </cfRule>
  </conditionalFormatting>
  <conditionalFormatting sqref="N206:Q214">
    <cfRule type="containsText" dxfId="9" priority="39451" operator="containsText" text="No">
      <formula>NOT(ISERROR(SEARCH(("No"),(N206))))</formula>
    </cfRule>
  </conditionalFormatting>
  <conditionalFormatting sqref="N206:Q214">
    <cfRule type="containsText" dxfId="9" priority="39452" operator="containsText" text="No">
      <formula>NOT(ISERROR(SEARCH(("No"),(N206))))</formula>
    </cfRule>
  </conditionalFormatting>
  <conditionalFormatting sqref="N206:Q214">
    <cfRule type="containsText" dxfId="9" priority="39453" operator="containsText" text="No">
      <formula>NOT(ISERROR(SEARCH(("No"),(N206))))</formula>
    </cfRule>
  </conditionalFormatting>
  <conditionalFormatting sqref="N206:Q214">
    <cfRule type="containsText" dxfId="9" priority="39454" operator="containsText" text="No">
      <formula>NOT(ISERROR(SEARCH(("No"),(N206))))</formula>
    </cfRule>
  </conditionalFormatting>
  <conditionalFormatting sqref="N206:Q214">
    <cfRule type="containsText" dxfId="9" priority="39455" operator="containsText" text="No">
      <formula>NOT(ISERROR(SEARCH(("No"),(N206))))</formula>
    </cfRule>
  </conditionalFormatting>
  <conditionalFormatting sqref="N206:Q214">
    <cfRule type="containsText" dxfId="9" priority="39456" operator="containsText" text="No">
      <formula>NOT(ISERROR(SEARCH(("No"),(N206))))</formula>
    </cfRule>
  </conditionalFormatting>
  <conditionalFormatting sqref="N206:Q214">
    <cfRule type="containsText" dxfId="9" priority="39457" operator="containsText" text="No">
      <formula>NOT(ISERROR(SEARCH(("No"),(N206))))</formula>
    </cfRule>
  </conditionalFormatting>
  <conditionalFormatting sqref="N206:Q214">
    <cfRule type="containsText" dxfId="9" priority="39458" operator="containsText" text="No">
      <formula>NOT(ISERROR(SEARCH(("No"),(N206))))</formula>
    </cfRule>
  </conditionalFormatting>
  <conditionalFormatting sqref="N206:Q214">
    <cfRule type="containsText" dxfId="9" priority="39459" operator="containsText" text="No">
      <formula>NOT(ISERROR(SEARCH(("No"),(N206))))</formula>
    </cfRule>
  </conditionalFormatting>
  <conditionalFormatting sqref="N206:Q214">
    <cfRule type="containsText" dxfId="9" priority="39460" operator="containsText" text="No">
      <formula>NOT(ISERROR(SEARCH(("No"),(N206))))</formula>
    </cfRule>
  </conditionalFormatting>
  <conditionalFormatting sqref="N206:Q214">
    <cfRule type="containsText" dxfId="9" priority="39461" operator="containsText" text="No">
      <formula>NOT(ISERROR(SEARCH(("No"),(N206))))</formula>
    </cfRule>
  </conditionalFormatting>
  <conditionalFormatting sqref="N206:Q214">
    <cfRule type="containsText" dxfId="9" priority="39462" operator="containsText" text="No">
      <formula>NOT(ISERROR(SEARCH(("No"),(N206))))</formula>
    </cfRule>
  </conditionalFormatting>
  <conditionalFormatting sqref="N206:Q214">
    <cfRule type="containsText" dxfId="9" priority="39463" operator="containsText" text="No">
      <formula>NOT(ISERROR(SEARCH(("No"),(N206))))</formula>
    </cfRule>
  </conditionalFormatting>
  <conditionalFormatting sqref="N206:Q214">
    <cfRule type="containsText" dxfId="9" priority="39464" operator="containsText" text="No">
      <formula>NOT(ISERROR(SEARCH(("No"),(N206))))</formula>
    </cfRule>
  </conditionalFormatting>
  <conditionalFormatting sqref="N206:Q214">
    <cfRule type="containsText" dxfId="9" priority="39465" operator="containsText" text="No">
      <formula>NOT(ISERROR(SEARCH(("No"),(N206))))</formula>
    </cfRule>
  </conditionalFormatting>
  <conditionalFormatting sqref="N206:Q214">
    <cfRule type="containsText" dxfId="9" priority="39466" operator="containsText" text="No">
      <formula>NOT(ISERROR(SEARCH(("No"),(N206))))</formula>
    </cfRule>
  </conditionalFormatting>
  <conditionalFormatting sqref="N206:Q214">
    <cfRule type="containsText" dxfId="9" priority="39467" operator="containsText" text="No">
      <formula>NOT(ISERROR(SEARCH(("No"),(N206))))</formula>
    </cfRule>
  </conditionalFormatting>
  <conditionalFormatting sqref="N206:Q214">
    <cfRule type="containsText" dxfId="9" priority="39468" operator="containsText" text="No">
      <formula>NOT(ISERROR(SEARCH(("No"),(N206))))</formula>
    </cfRule>
  </conditionalFormatting>
  <conditionalFormatting sqref="N206:Q214">
    <cfRule type="containsText" dxfId="9" priority="39469" operator="containsText" text="No">
      <formula>NOT(ISERROR(SEARCH(("No"),(N206))))</formula>
    </cfRule>
  </conditionalFormatting>
  <conditionalFormatting sqref="N206:Q214">
    <cfRule type="containsText" dxfId="9" priority="39470" operator="containsText" text="No">
      <formula>NOT(ISERROR(SEARCH(("No"),(N206))))</formula>
    </cfRule>
  </conditionalFormatting>
  <conditionalFormatting sqref="N206:Q214">
    <cfRule type="containsText" dxfId="9" priority="39471" operator="containsText" text="No">
      <formula>NOT(ISERROR(SEARCH(("No"),(N206))))</formula>
    </cfRule>
  </conditionalFormatting>
  <conditionalFormatting sqref="N206:Q214">
    <cfRule type="containsText" dxfId="9" priority="39472" operator="containsText" text="No">
      <formula>NOT(ISERROR(SEARCH(("No"),(N206))))</formula>
    </cfRule>
  </conditionalFormatting>
  <conditionalFormatting sqref="N206:Q214">
    <cfRule type="containsText" dxfId="9" priority="39473" operator="containsText" text="No">
      <formula>NOT(ISERROR(SEARCH(("No"),(N206))))</formula>
    </cfRule>
  </conditionalFormatting>
  <conditionalFormatting sqref="N206:Q214">
    <cfRule type="containsText" dxfId="9" priority="39474" operator="containsText" text="No">
      <formula>NOT(ISERROR(SEARCH(("No"),(N206))))</formula>
    </cfRule>
  </conditionalFormatting>
  <conditionalFormatting sqref="N206:Q214">
    <cfRule type="containsText" dxfId="9" priority="39475" operator="containsText" text="No">
      <formula>NOT(ISERROR(SEARCH(("No"),(N206))))</formula>
    </cfRule>
  </conditionalFormatting>
  <conditionalFormatting sqref="N206:Q214">
    <cfRule type="containsText" dxfId="9" priority="39476" operator="containsText" text="No">
      <formula>NOT(ISERROR(SEARCH(("No"),(N206))))</formula>
    </cfRule>
  </conditionalFormatting>
  <conditionalFormatting sqref="N206:Q214">
    <cfRule type="containsText" dxfId="9" priority="39477" operator="containsText" text="No">
      <formula>NOT(ISERROR(SEARCH(("No"),(N206))))</formula>
    </cfRule>
  </conditionalFormatting>
  <conditionalFormatting sqref="N206:Q214">
    <cfRule type="containsText" dxfId="9" priority="39478" operator="containsText" text="No">
      <formula>NOT(ISERROR(SEARCH(("No"),(N206))))</formula>
    </cfRule>
  </conditionalFormatting>
  <conditionalFormatting sqref="N206:Q214">
    <cfRule type="containsText" dxfId="9" priority="39479" operator="containsText" text="No">
      <formula>NOT(ISERROR(SEARCH(("No"),(N206))))</formula>
    </cfRule>
  </conditionalFormatting>
  <conditionalFormatting sqref="N206:Q214">
    <cfRule type="containsText" dxfId="9" priority="39480" operator="containsText" text="No">
      <formula>NOT(ISERROR(SEARCH(("No"),(N206))))</formula>
    </cfRule>
  </conditionalFormatting>
  <conditionalFormatting sqref="N206:Q214">
    <cfRule type="containsText" dxfId="9" priority="39481" operator="containsText" text="No">
      <formula>NOT(ISERROR(SEARCH(("No"),(N206))))</formula>
    </cfRule>
  </conditionalFormatting>
  <conditionalFormatting sqref="N206:Q214">
    <cfRule type="containsText" dxfId="9" priority="39482" operator="containsText" text="No">
      <formula>NOT(ISERROR(SEARCH(("No"),(N206))))</formula>
    </cfRule>
  </conditionalFormatting>
  <conditionalFormatting sqref="N206:Q214">
    <cfRule type="containsText" dxfId="9" priority="39483" operator="containsText" text="No">
      <formula>NOT(ISERROR(SEARCH(("No"),(N206))))</formula>
    </cfRule>
  </conditionalFormatting>
  <conditionalFormatting sqref="N206:Q214">
    <cfRule type="containsText" dxfId="9" priority="39484" operator="containsText" text="No">
      <formula>NOT(ISERROR(SEARCH(("No"),(N206))))</formula>
    </cfRule>
  </conditionalFormatting>
  <conditionalFormatting sqref="N206:Q214">
    <cfRule type="containsText" dxfId="9" priority="39485" operator="containsText" text="No">
      <formula>NOT(ISERROR(SEARCH(("No"),(N206))))</formula>
    </cfRule>
  </conditionalFormatting>
  <conditionalFormatting sqref="N206:Q214">
    <cfRule type="containsText" dxfId="9" priority="39486" operator="containsText" text="No">
      <formula>NOT(ISERROR(SEARCH(("No"),(N206))))</formula>
    </cfRule>
  </conditionalFormatting>
  <conditionalFormatting sqref="N206:Q214">
    <cfRule type="containsText" dxfId="9" priority="39487" operator="containsText" text="No">
      <formula>NOT(ISERROR(SEARCH(("No"),(N206))))</formula>
    </cfRule>
  </conditionalFormatting>
  <conditionalFormatting sqref="N206:Q214">
    <cfRule type="containsText" dxfId="9" priority="39488" operator="containsText" text="No">
      <formula>NOT(ISERROR(SEARCH(("No"),(N206))))</formula>
    </cfRule>
  </conditionalFormatting>
  <conditionalFormatting sqref="N206:Q214">
    <cfRule type="containsText" dxfId="9" priority="39489" operator="containsText" text="No">
      <formula>NOT(ISERROR(SEARCH(("No"),(N206))))</formula>
    </cfRule>
  </conditionalFormatting>
  <conditionalFormatting sqref="N206:Q214">
    <cfRule type="containsText" dxfId="9" priority="39490" operator="containsText" text="No">
      <formula>NOT(ISERROR(SEARCH(("No"),(N206))))</formula>
    </cfRule>
  </conditionalFormatting>
  <conditionalFormatting sqref="N206:Q214">
    <cfRule type="containsText" dxfId="9" priority="39491" operator="containsText" text="No">
      <formula>NOT(ISERROR(SEARCH(("No"),(N206))))</formula>
    </cfRule>
  </conditionalFormatting>
  <conditionalFormatting sqref="N206:Q214">
    <cfRule type="containsText" dxfId="2" priority="39492" operator="containsText" text="Yes">
      <formula>NOT(ISERROR(SEARCH(("Yes"),(N206))))</formula>
    </cfRule>
  </conditionalFormatting>
  <conditionalFormatting sqref="N206:Q214">
    <cfRule type="containsText" dxfId="2" priority="39493" operator="containsText" text="Yes">
      <formula>NOT(ISERROR(SEARCH(("Yes"),(N206))))</formula>
    </cfRule>
  </conditionalFormatting>
  <conditionalFormatting sqref="N206:Q214">
    <cfRule type="containsText" dxfId="2" priority="39494" operator="containsText" text="Yes">
      <formula>NOT(ISERROR(SEARCH(("Yes"),(N206))))</formula>
    </cfRule>
  </conditionalFormatting>
  <conditionalFormatting sqref="N206:Q214">
    <cfRule type="containsText" dxfId="2" priority="39495" operator="containsText" text="Yes">
      <formula>NOT(ISERROR(SEARCH(("Yes"),(N206))))</formula>
    </cfRule>
  </conditionalFormatting>
  <conditionalFormatting sqref="N206:Q214">
    <cfRule type="containsText" dxfId="2" priority="39496" operator="containsText" text="Yes">
      <formula>NOT(ISERROR(SEARCH(("Yes"),(N206))))</formula>
    </cfRule>
  </conditionalFormatting>
  <conditionalFormatting sqref="N206:Q214">
    <cfRule type="containsText" dxfId="2" priority="39497" operator="containsText" text="Yes">
      <formula>NOT(ISERROR(SEARCH(("Yes"),(N206))))</formula>
    </cfRule>
  </conditionalFormatting>
  <conditionalFormatting sqref="N206:Q214">
    <cfRule type="containsText" dxfId="2" priority="39498" operator="containsText" text="Yes">
      <formula>NOT(ISERROR(SEARCH(("Yes"),(N206))))</formula>
    </cfRule>
  </conditionalFormatting>
  <conditionalFormatting sqref="N206:Q214">
    <cfRule type="containsText" dxfId="2" priority="39499" operator="containsText" text="Yes">
      <formula>NOT(ISERROR(SEARCH(("Yes"),(N206))))</formula>
    </cfRule>
  </conditionalFormatting>
  <conditionalFormatting sqref="N206:Q214">
    <cfRule type="containsText" dxfId="2" priority="39500" operator="containsText" text="Yes">
      <formula>NOT(ISERROR(SEARCH(("Yes"),(N206))))</formula>
    </cfRule>
  </conditionalFormatting>
  <conditionalFormatting sqref="N206:Q214">
    <cfRule type="containsText" dxfId="2" priority="39501" operator="containsText" text="Yes">
      <formula>NOT(ISERROR(SEARCH(("Yes"),(N206))))</formula>
    </cfRule>
  </conditionalFormatting>
  <conditionalFormatting sqref="N206:Q214">
    <cfRule type="containsText" dxfId="2" priority="39502" operator="containsText" text="Yes">
      <formula>NOT(ISERROR(SEARCH(("Yes"),(N206))))</formula>
    </cfRule>
  </conditionalFormatting>
  <conditionalFormatting sqref="N206:Q214">
    <cfRule type="containsText" dxfId="2" priority="39503" operator="containsText" text="Yes">
      <formula>NOT(ISERROR(SEARCH(("Yes"),(N206))))</formula>
    </cfRule>
  </conditionalFormatting>
  <conditionalFormatting sqref="N206:Q214">
    <cfRule type="containsText" dxfId="2" priority="39504" operator="containsText" text="Yes">
      <formula>NOT(ISERROR(SEARCH(("Yes"),(N206))))</formula>
    </cfRule>
  </conditionalFormatting>
  <conditionalFormatting sqref="N206:Q214">
    <cfRule type="containsText" dxfId="2" priority="39505" operator="containsText" text="Yes">
      <formula>NOT(ISERROR(SEARCH(("Yes"),(N206))))</formula>
    </cfRule>
  </conditionalFormatting>
  <conditionalFormatting sqref="N206:Q214">
    <cfRule type="containsText" dxfId="2" priority="39506" operator="containsText" text="Yes">
      <formula>NOT(ISERROR(SEARCH(("Yes"),(N206))))</formula>
    </cfRule>
  </conditionalFormatting>
  <conditionalFormatting sqref="N206:Q214">
    <cfRule type="containsText" dxfId="2" priority="39507" operator="containsText" text="Yes">
      <formula>NOT(ISERROR(SEARCH(("Yes"),(N206))))</formula>
    </cfRule>
  </conditionalFormatting>
  <conditionalFormatting sqref="N206:Q214">
    <cfRule type="containsText" dxfId="2" priority="39508" operator="containsText" text="Yes">
      <formula>NOT(ISERROR(SEARCH(("Yes"),(N206))))</formula>
    </cfRule>
  </conditionalFormatting>
  <conditionalFormatting sqref="N206:Q214">
    <cfRule type="containsText" dxfId="2" priority="39509" operator="containsText" text="Yes">
      <formula>NOT(ISERROR(SEARCH(("Yes"),(N206))))</formula>
    </cfRule>
  </conditionalFormatting>
  <conditionalFormatting sqref="N206:Q214">
    <cfRule type="containsText" dxfId="2" priority="39510" operator="containsText" text="Yes">
      <formula>NOT(ISERROR(SEARCH(("Yes"),(N206))))</formula>
    </cfRule>
  </conditionalFormatting>
  <conditionalFormatting sqref="N206:Q214">
    <cfRule type="containsText" dxfId="2" priority="39511" operator="containsText" text="Yes">
      <formula>NOT(ISERROR(SEARCH(("Yes"),(N206))))</formula>
    </cfRule>
  </conditionalFormatting>
  <conditionalFormatting sqref="N206:Q214">
    <cfRule type="containsText" dxfId="2" priority="39512" operator="containsText" text="Yes">
      <formula>NOT(ISERROR(SEARCH(("Yes"),(N206))))</formula>
    </cfRule>
  </conditionalFormatting>
  <conditionalFormatting sqref="N206:Q214">
    <cfRule type="containsText" dxfId="2" priority="39513" operator="containsText" text="Yes">
      <formula>NOT(ISERROR(SEARCH(("Yes"),(N206))))</formula>
    </cfRule>
  </conditionalFormatting>
  <conditionalFormatting sqref="N206:Q214">
    <cfRule type="containsText" dxfId="2" priority="39514" operator="containsText" text="Yes">
      <formula>NOT(ISERROR(SEARCH(("Yes"),(N206))))</formula>
    </cfRule>
  </conditionalFormatting>
  <conditionalFormatting sqref="N206:Q214">
    <cfRule type="containsText" dxfId="2" priority="39515" operator="containsText" text="Yes">
      <formula>NOT(ISERROR(SEARCH(("Yes"),(N206))))</formula>
    </cfRule>
  </conditionalFormatting>
  <conditionalFormatting sqref="N206:Q214">
    <cfRule type="containsText" dxfId="2" priority="39516" operator="containsText" text="Yes">
      <formula>NOT(ISERROR(SEARCH(("Yes"),(N206))))</formula>
    </cfRule>
  </conditionalFormatting>
  <conditionalFormatting sqref="N206:Q214">
    <cfRule type="containsText" dxfId="2" priority="39517" operator="containsText" text="Yes">
      <formula>NOT(ISERROR(SEARCH(("Yes"),(N206))))</formula>
    </cfRule>
  </conditionalFormatting>
  <conditionalFormatting sqref="N206:Q214">
    <cfRule type="containsText" dxfId="2" priority="39518" operator="containsText" text="Yes">
      <formula>NOT(ISERROR(SEARCH(("Yes"),(N206))))</formula>
    </cfRule>
  </conditionalFormatting>
  <conditionalFormatting sqref="N206:Q214">
    <cfRule type="containsText" dxfId="2" priority="39519" operator="containsText" text="Yes">
      <formula>NOT(ISERROR(SEARCH(("Yes"),(N206))))</formula>
    </cfRule>
  </conditionalFormatting>
  <conditionalFormatting sqref="N206:Q214">
    <cfRule type="containsText" dxfId="2" priority="39520" operator="containsText" text="Yes">
      <formula>NOT(ISERROR(SEARCH(("Yes"),(N206))))</formula>
    </cfRule>
  </conditionalFormatting>
  <conditionalFormatting sqref="N206:Q214">
    <cfRule type="containsText" dxfId="2" priority="39521" operator="containsText" text="Yes">
      <formula>NOT(ISERROR(SEARCH(("Yes"),(N206))))</formula>
    </cfRule>
  </conditionalFormatting>
  <conditionalFormatting sqref="N206:Q214">
    <cfRule type="containsText" dxfId="2" priority="39522" operator="containsText" text="Yes">
      <formula>NOT(ISERROR(SEARCH(("Yes"),(N206))))</formula>
    </cfRule>
  </conditionalFormatting>
  <conditionalFormatting sqref="N206:Q214">
    <cfRule type="containsText" dxfId="2" priority="39523" operator="containsText" text="Yes">
      <formula>NOT(ISERROR(SEARCH(("Yes"),(N206))))</formula>
    </cfRule>
  </conditionalFormatting>
  <conditionalFormatting sqref="N206:Q214">
    <cfRule type="containsText" dxfId="2" priority="39524" operator="containsText" text="Yes">
      <formula>NOT(ISERROR(SEARCH(("Yes"),(N206))))</formula>
    </cfRule>
  </conditionalFormatting>
  <conditionalFormatting sqref="N206:Q214">
    <cfRule type="containsText" dxfId="2" priority="39525" operator="containsText" text="Yes">
      <formula>NOT(ISERROR(SEARCH(("Yes"),(N206))))</formula>
    </cfRule>
  </conditionalFormatting>
  <conditionalFormatting sqref="N206:Q214">
    <cfRule type="containsText" dxfId="2" priority="39526" operator="containsText" text="Yes">
      <formula>NOT(ISERROR(SEARCH(("Yes"),(N206))))</formula>
    </cfRule>
  </conditionalFormatting>
  <conditionalFormatting sqref="N206:Q214">
    <cfRule type="containsText" dxfId="2" priority="39527" operator="containsText" text="Yes">
      <formula>NOT(ISERROR(SEARCH(("Yes"),(N206))))</formula>
    </cfRule>
  </conditionalFormatting>
  <conditionalFormatting sqref="N206:Q214">
    <cfRule type="containsText" dxfId="2" priority="39528" operator="containsText" text="Yes">
      <formula>NOT(ISERROR(SEARCH(("Yes"),(N206))))</formula>
    </cfRule>
  </conditionalFormatting>
  <conditionalFormatting sqref="N206:Q214">
    <cfRule type="containsText" dxfId="2" priority="39529" operator="containsText" text="Yes">
      <formula>NOT(ISERROR(SEARCH(("Yes"),(N206))))</formula>
    </cfRule>
  </conditionalFormatting>
  <conditionalFormatting sqref="N206:Q214">
    <cfRule type="containsText" dxfId="2" priority="39530" operator="containsText" text="Yes">
      <formula>NOT(ISERROR(SEARCH(("Yes"),(N206))))</formula>
    </cfRule>
  </conditionalFormatting>
  <conditionalFormatting sqref="N206:Q214">
    <cfRule type="containsText" dxfId="2" priority="39531" operator="containsText" text="Yes">
      <formula>NOT(ISERROR(SEARCH(("Yes"),(N206))))</formula>
    </cfRule>
  </conditionalFormatting>
  <conditionalFormatting sqref="N206:Q214">
    <cfRule type="containsText" dxfId="2" priority="39532" operator="containsText" text="Yes">
      <formula>NOT(ISERROR(SEARCH(("Yes"),(N206))))</formula>
    </cfRule>
  </conditionalFormatting>
  <conditionalFormatting sqref="N206:Q214">
    <cfRule type="containsText" dxfId="2" priority="39533" operator="containsText" text="Yes">
      <formula>NOT(ISERROR(SEARCH(("Yes"),(N206))))</formula>
    </cfRule>
  </conditionalFormatting>
  <conditionalFormatting sqref="N206:Q214">
    <cfRule type="containsText" dxfId="2" priority="39534" operator="containsText" text="Yes">
      <formula>NOT(ISERROR(SEARCH(("Yes"),(N206))))</formula>
    </cfRule>
  </conditionalFormatting>
  <conditionalFormatting sqref="N206:Q214">
    <cfRule type="containsText" dxfId="2" priority="39535" operator="containsText" text="Yes">
      <formula>NOT(ISERROR(SEARCH(("Yes"),(N206))))</formula>
    </cfRule>
  </conditionalFormatting>
  <conditionalFormatting sqref="N206:Q214">
    <cfRule type="containsText" dxfId="2" priority="39536" operator="containsText" text="Yes">
      <formula>NOT(ISERROR(SEARCH(("Yes"),(N206))))</formula>
    </cfRule>
  </conditionalFormatting>
  <conditionalFormatting sqref="N206:Q214">
    <cfRule type="containsText" dxfId="2" priority="39537" operator="containsText" text="Yes">
      <formula>NOT(ISERROR(SEARCH(("Yes"),(N206))))</formula>
    </cfRule>
  </conditionalFormatting>
  <conditionalFormatting sqref="N206:Q214">
    <cfRule type="containsText" dxfId="2" priority="39538" operator="containsText" text="Yes">
      <formula>NOT(ISERROR(SEARCH(("Yes"),(N206))))</formula>
    </cfRule>
  </conditionalFormatting>
  <conditionalFormatting sqref="N205:Q205 N207:Q207 N212:O212 P212:Q214 N214:O214">
    <cfRule type="containsText" dxfId="9" priority="39539" operator="containsText" text="No">
      <formula>NOT(ISERROR(SEARCH(("No"),(N205))))</formula>
    </cfRule>
  </conditionalFormatting>
  <conditionalFormatting sqref="N205:Q205 N207:Q207 N212:O212 P212:Q214 N214:O214">
    <cfRule type="containsText" dxfId="9" priority="39540" operator="containsText" text="No">
      <formula>NOT(ISERROR(SEARCH(("No"),(N205))))</formula>
    </cfRule>
  </conditionalFormatting>
  <conditionalFormatting sqref="N205:Q205 N207:Q207 N212:O212 P212:Q214 N214:O214">
    <cfRule type="containsText" dxfId="9" priority="39541" operator="containsText" text="No">
      <formula>NOT(ISERROR(SEARCH(("No"),(N205))))</formula>
    </cfRule>
  </conditionalFormatting>
  <conditionalFormatting sqref="N205:Q205 N207:Q207 N212:O212 P212:Q214 N214:O214">
    <cfRule type="containsText" dxfId="9" priority="39542" operator="containsText" text="No">
      <formula>NOT(ISERROR(SEARCH(("No"),(N205))))</formula>
    </cfRule>
  </conditionalFormatting>
  <conditionalFormatting sqref="N205:Q205 N207:Q207 N212:O212 P212:Q214 N214:O214">
    <cfRule type="containsText" dxfId="9" priority="39543" operator="containsText" text="No">
      <formula>NOT(ISERROR(SEARCH(("No"),(N205))))</formula>
    </cfRule>
  </conditionalFormatting>
  <conditionalFormatting sqref="N205:Q205 N207:Q207 N212:O212 P212:Q214 N214:O214">
    <cfRule type="containsText" dxfId="9" priority="39544" operator="containsText" text="No">
      <formula>NOT(ISERROR(SEARCH(("No"),(N205))))</formula>
    </cfRule>
  </conditionalFormatting>
  <conditionalFormatting sqref="N205:Q205 N207:Q207 N212:O212 P212:Q214 N214:O214">
    <cfRule type="containsText" dxfId="9" priority="39545" operator="containsText" text="No">
      <formula>NOT(ISERROR(SEARCH(("No"),(N205))))</formula>
    </cfRule>
  </conditionalFormatting>
  <conditionalFormatting sqref="N205:Q205 N207:Q207 N212:O212 P212:Q214 N214:O214">
    <cfRule type="containsText" dxfId="9" priority="39546" operator="containsText" text="No">
      <formula>NOT(ISERROR(SEARCH(("No"),(N205))))</formula>
    </cfRule>
  </conditionalFormatting>
  <conditionalFormatting sqref="N205:Q205 N207:Q207 N212:O212 P212:Q214 N214:O214">
    <cfRule type="containsText" dxfId="9" priority="39547" operator="containsText" text="No">
      <formula>NOT(ISERROR(SEARCH(("No"),(N205))))</formula>
    </cfRule>
  </conditionalFormatting>
  <conditionalFormatting sqref="N205:Q205 N207:Q207 N212:O212 P212:Q214 N214:O214">
    <cfRule type="containsText" dxfId="9" priority="39548" operator="containsText" text="No">
      <formula>NOT(ISERROR(SEARCH(("No"),(N205))))</formula>
    </cfRule>
  </conditionalFormatting>
  <conditionalFormatting sqref="N205:Q205 N207:Q207 N212:O212 P212:Q214 N214:O214">
    <cfRule type="containsText" dxfId="9" priority="39549" operator="containsText" text="No">
      <formula>NOT(ISERROR(SEARCH(("No"),(N205))))</formula>
    </cfRule>
  </conditionalFormatting>
  <conditionalFormatting sqref="N205:Q205 N207:Q207 N212:O212 P212:Q214 N214:O214">
    <cfRule type="containsText" dxfId="9" priority="39550" operator="containsText" text="No">
      <formula>NOT(ISERROR(SEARCH(("No"),(N205))))</formula>
    </cfRule>
  </conditionalFormatting>
  <conditionalFormatting sqref="N205:Q205 N207:Q207 N212:O212 P212:Q214 N214:O214">
    <cfRule type="containsText" dxfId="9" priority="39551" operator="containsText" text="No">
      <formula>NOT(ISERROR(SEARCH(("No"),(N205))))</formula>
    </cfRule>
  </conditionalFormatting>
  <conditionalFormatting sqref="N205:Q205 N207:Q207 N212:O212 P212:Q214 N214:O214">
    <cfRule type="containsText" dxfId="9" priority="39552" operator="containsText" text="No">
      <formula>NOT(ISERROR(SEARCH(("No"),(N205))))</formula>
    </cfRule>
  </conditionalFormatting>
  <conditionalFormatting sqref="N205:Q205 N207:Q207 N212:O212 P212:Q214 N214:O214">
    <cfRule type="containsText" dxfId="9" priority="39553" operator="containsText" text="No">
      <formula>NOT(ISERROR(SEARCH(("No"),(N205))))</formula>
    </cfRule>
  </conditionalFormatting>
  <conditionalFormatting sqref="N205:Q205 N207:Q207 N212:O212 P212:Q214 N214:O214">
    <cfRule type="containsText" dxfId="9" priority="39554" operator="containsText" text="No">
      <formula>NOT(ISERROR(SEARCH(("No"),(N205))))</formula>
    </cfRule>
  </conditionalFormatting>
  <conditionalFormatting sqref="N205:Q205 N207:Q207 N212:O212 P212:Q214 N214:O214">
    <cfRule type="containsText" dxfId="9" priority="39555" operator="containsText" text="No">
      <formula>NOT(ISERROR(SEARCH(("No"),(N205))))</formula>
    </cfRule>
  </conditionalFormatting>
  <conditionalFormatting sqref="N205:Q205 N207:Q207 N212:O212 P212:Q214 N214:O214">
    <cfRule type="containsText" dxfId="9" priority="39556" operator="containsText" text="No">
      <formula>NOT(ISERROR(SEARCH(("No"),(N205))))</formula>
    </cfRule>
  </conditionalFormatting>
  <conditionalFormatting sqref="N205:Q205 N207:Q207 N212:O212 P212:Q214 N214:O214">
    <cfRule type="containsText" dxfId="9" priority="39557" operator="containsText" text="No">
      <formula>NOT(ISERROR(SEARCH(("No"),(N205))))</formula>
    </cfRule>
  </conditionalFormatting>
  <conditionalFormatting sqref="N205:Q205 N207:Q207 N212:O212 P212:Q214 N214:O214">
    <cfRule type="containsText" dxfId="9" priority="39558" operator="containsText" text="No">
      <formula>NOT(ISERROR(SEARCH(("No"),(N205))))</formula>
    </cfRule>
  </conditionalFormatting>
  <conditionalFormatting sqref="N205:Q205 N207:Q207 N212:O212 P212:Q214 N214:O214">
    <cfRule type="containsText" dxfId="9" priority="39559" operator="containsText" text="No">
      <formula>NOT(ISERROR(SEARCH(("No"),(N205))))</formula>
    </cfRule>
  </conditionalFormatting>
  <conditionalFormatting sqref="N205:Q205 N207:Q207 N212:O212 P212:Q214 N214:O214">
    <cfRule type="containsText" dxfId="9" priority="39560" operator="containsText" text="No">
      <formula>NOT(ISERROR(SEARCH(("No"),(N205))))</formula>
    </cfRule>
  </conditionalFormatting>
  <conditionalFormatting sqref="N205:Q205 N207:Q207 N212:O212 P212:Q214 N214:O214">
    <cfRule type="containsText" dxfId="9" priority="39561" operator="containsText" text="No">
      <formula>NOT(ISERROR(SEARCH(("No"),(N205))))</formula>
    </cfRule>
  </conditionalFormatting>
  <conditionalFormatting sqref="N205:Q205 N207:Q207 N212:O212 P212:Q214 N214:O214">
    <cfRule type="containsText" dxfId="9" priority="39562" operator="containsText" text="No">
      <formula>NOT(ISERROR(SEARCH(("No"),(N205))))</formula>
    </cfRule>
  </conditionalFormatting>
  <conditionalFormatting sqref="N205:Q205 N207:Q207 N212:O212 P212:Q214 N214:O214">
    <cfRule type="containsText" dxfId="9" priority="39563" operator="containsText" text="No">
      <formula>NOT(ISERROR(SEARCH(("No"),(N205))))</formula>
    </cfRule>
  </conditionalFormatting>
  <conditionalFormatting sqref="N205:Q205 N207:Q207 N212:O212 P212:Q214 N214:O214">
    <cfRule type="containsText" dxfId="9" priority="39564" operator="containsText" text="No">
      <formula>NOT(ISERROR(SEARCH(("No"),(N205))))</formula>
    </cfRule>
  </conditionalFormatting>
  <conditionalFormatting sqref="N205:Q205 N207:Q207 N212:O212 P212:Q214 N214:O214">
    <cfRule type="containsText" dxfId="9" priority="39565" operator="containsText" text="No">
      <formula>NOT(ISERROR(SEARCH(("No"),(N205))))</formula>
    </cfRule>
  </conditionalFormatting>
  <conditionalFormatting sqref="N205:Q205 N207:Q207 N212:O212 P212:Q214 N214:O214">
    <cfRule type="containsText" dxfId="9" priority="39566" operator="containsText" text="No">
      <formula>NOT(ISERROR(SEARCH(("No"),(N205))))</formula>
    </cfRule>
  </conditionalFormatting>
  <conditionalFormatting sqref="N205:Q205 N207:Q207 N212:O212 P212:Q214 N214:O214">
    <cfRule type="containsText" dxfId="9" priority="39567" operator="containsText" text="No">
      <formula>NOT(ISERROR(SEARCH(("No"),(N205))))</formula>
    </cfRule>
  </conditionalFormatting>
  <conditionalFormatting sqref="N205:Q205 N207:Q207 N212:O212 P212:Q214 N214:O214">
    <cfRule type="containsText" dxfId="9" priority="39568" operator="containsText" text="No">
      <formula>NOT(ISERROR(SEARCH(("No"),(N205))))</formula>
    </cfRule>
  </conditionalFormatting>
  <conditionalFormatting sqref="N205:Q205 N207:Q207 N212:O212 P212:Q214 N214:O214">
    <cfRule type="containsText" dxfId="9" priority="39569" operator="containsText" text="No">
      <formula>NOT(ISERROR(SEARCH(("No"),(N205))))</formula>
    </cfRule>
  </conditionalFormatting>
  <conditionalFormatting sqref="N205:Q205 N207:Q207 N212:O212 P212:Q214 N214:O214">
    <cfRule type="containsText" dxfId="9" priority="39570" operator="containsText" text="No">
      <formula>NOT(ISERROR(SEARCH(("No"),(N205))))</formula>
    </cfRule>
  </conditionalFormatting>
  <conditionalFormatting sqref="N205:Q205 N207:Q207 N212:O212 P212:Q214 N214:O214">
    <cfRule type="containsText" dxfId="9" priority="39571" operator="containsText" text="No">
      <formula>NOT(ISERROR(SEARCH(("No"),(N205))))</formula>
    </cfRule>
  </conditionalFormatting>
  <conditionalFormatting sqref="N205:Q205 N207:Q207 N212:O212 P212:Q214 N214:O214">
    <cfRule type="containsText" dxfId="9" priority="39572" operator="containsText" text="No">
      <formula>NOT(ISERROR(SEARCH(("No"),(N205))))</formula>
    </cfRule>
  </conditionalFormatting>
  <conditionalFormatting sqref="N205:Q205 N207:Q207 N212:O212 P212:Q214 N214:O214">
    <cfRule type="containsText" dxfId="9" priority="39573" operator="containsText" text="No">
      <formula>NOT(ISERROR(SEARCH(("No"),(N205))))</formula>
    </cfRule>
  </conditionalFormatting>
  <conditionalFormatting sqref="N205:Q205 N207:Q207 N212:O212 P212:Q214 N214:O214">
    <cfRule type="containsText" dxfId="9" priority="39574" operator="containsText" text="No">
      <formula>NOT(ISERROR(SEARCH(("No"),(N205))))</formula>
    </cfRule>
  </conditionalFormatting>
  <conditionalFormatting sqref="N205:Q205 N207:Q207 N212:O212 P212:Q214 N214:O214">
    <cfRule type="containsText" dxfId="9" priority="39575" operator="containsText" text="No">
      <formula>NOT(ISERROR(SEARCH(("No"),(N205))))</formula>
    </cfRule>
  </conditionalFormatting>
  <conditionalFormatting sqref="N205:Q205 N207:Q207 N212:O212 P212:Q214 N214:O214">
    <cfRule type="containsText" dxfId="9" priority="39576" operator="containsText" text="No">
      <formula>NOT(ISERROR(SEARCH(("No"),(N205))))</formula>
    </cfRule>
  </conditionalFormatting>
  <conditionalFormatting sqref="N205:Q205 N207:Q207 N212:O212 P212:Q214 N214:O214">
    <cfRule type="containsText" dxfId="9" priority="39577" operator="containsText" text="No">
      <formula>NOT(ISERROR(SEARCH(("No"),(N205))))</formula>
    </cfRule>
  </conditionalFormatting>
  <conditionalFormatting sqref="N205:Q205 N207:Q207 N212:O212 P212:Q214 N214:O214">
    <cfRule type="containsText" dxfId="9" priority="39578" operator="containsText" text="No">
      <formula>NOT(ISERROR(SEARCH(("No"),(N205))))</formula>
    </cfRule>
  </conditionalFormatting>
  <conditionalFormatting sqref="N205:Q205 N207:Q207 N212:O212 P212:Q214 N214:O214">
    <cfRule type="containsText" dxfId="9" priority="39579" operator="containsText" text="No">
      <formula>NOT(ISERROR(SEARCH(("No"),(N205))))</formula>
    </cfRule>
  </conditionalFormatting>
  <conditionalFormatting sqref="N205:Q205 N207:Q207 N212:O212 P212:Q214 N214:O214">
    <cfRule type="containsText" dxfId="9" priority="39580" operator="containsText" text="No">
      <formula>NOT(ISERROR(SEARCH(("No"),(N205))))</formula>
    </cfRule>
  </conditionalFormatting>
  <conditionalFormatting sqref="N205:Q205 N207:Q207 N212:O212 P212:Q214 N214:O214">
    <cfRule type="containsText" dxfId="9" priority="39581" operator="containsText" text="No">
      <formula>NOT(ISERROR(SEARCH(("No"),(N205))))</formula>
    </cfRule>
  </conditionalFormatting>
  <conditionalFormatting sqref="N205:Q205 N207:Q207 N212:O212 P212:Q214 N214:O214">
    <cfRule type="containsText" dxfId="9" priority="39582" operator="containsText" text="No">
      <formula>NOT(ISERROR(SEARCH(("No"),(N205))))</formula>
    </cfRule>
  </conditionalFormatting>
  <conditionalFormatting sqref="N205:Q205 N207:Q207 N212:O212 P212:Q214 N214:O214">
    <cfRule type="containsText" dxfId="9" priority="39583" operator="containsText" text="No">
      <formula>NOT(ISERROR(SEARCH(("No"),(N205))))</formula>
    </cfRule>
  </conditionalFormatting>
  <conditionalFormatting sqref="N205:Q205 N207:Q207 N212:O212 P212:Q214 N214:O214">
    <cfRule type="containsText" dxfId="2" priority="39584" operator="containsText" text="Yes">
      <formula>NOT(ISERROR(SEARCH(("Yes"),(N205))))</formula>
    </cfRule>
  </conditionalFormatting>
  <conditionalFormatting sqref="N205:Q205 N207:Q207 N212:O212 P212:Q214 N214:O214">
    <cfRule type="containsText" dxfId="2" priority="39585" operator="containsText" text="Yes">
      <formula>NOT(ISERROR(SEARCH(("Yes"),(N205))))</formula>
    </cfRule>
  </conditionalFormatting>
  <conditionalFormatting sqref="N205:Q205 N207:Q207 N212:O212 P212:Q214 N214:O214">
    <cfRule type="containsText" dxfId="2" priority="39586" operator="containsText" text="Yes">
      <formula>NOT(ISERROR(SEARCH(("Yes"),(N205))))</formula>
    </cfRule>
  </conditionalFormatting>
  <conditionalFormatting sqref="N205:Q205 N207:Q207 N212:O212 P212:Q214 N214:O214">
    <cfRule type="containsText" dxfId="2" priority="39587" operator="containsText" text="Yes">
      <formula>NOT(ISERROR(SEARCH(("Yes"),(N205))))</formula>
    </cfRule>
  </conditionalFormatting>
  <conditionalFormatting sqref="N205:Q205 N207:Q207 N212:O212 P212:Q214 N214:O214">
    <cfRule type="containsText" dxfId="2" priority="39588" operator="containsText" text="Yes">
      <formula>NOT(ISERROR(SEARCH(("Yes"),(N205))))</formula>
    </cfRule>
  </conditionalFormatting>
  <conditionalFormatting sqref="N205:Q205 N207:Q207 N212:O212 P212:Q214 N214:O214">
    <cfRule type="containsText" dxfId="2" priority="39589" operator="containsText" text="Yes">
      <formula>NOT(ISERROR(SEARCH(("Yes"),(N205))))</formula>
    </cfRule>
  </conditionalFormatting>
  <conditionalFormatting sqref="N205:Q205 N207:Q207 N212:O212 P212:Q214 N214:O214">
    <cfRule type="containsText" dxfId="2" priority="39590" operator="containsText" text="Yes">
      <formula>NOT(ISERROR(SEARCH(("Yes"),(N205))))</formula>
    </cfRule>
  </conditionalFormatting>
  <conditionalFormatting sqref="N205:Q205 N207:Q207 N212:O212 P212:Q214 N214:O214">
    <cfRule type="containsText" dxfId="2" priority="39591" operator="containsText" text="Yes">
      <formula>NOT(ISERROR(SEARCH(("Yes"),(N205))))</formula>
    </cfRule>
  </conditionalFormatting>
  <conditionalFormatting sqref="N205:Q205 N207:Q207 N212:O212 P212:Q214 N214:O214">
    <cfRule type="containsText" dxfId="2" priority="39592" operator="containsText" text="Yes">
      <formula>NOT(ISERROR(SEARCH(("Yes"),(N205))))</formula>
    </cfRule>
  </conditionalFormatting>
  <conditionalFormatting sqref="N205:Q205 N207:Q207 N212:O212 P212:Q214 N214:O214">
    <cfRule type="containsText" dxfId="2" priority="39593" operator="containsText" text="Yes">
      <formula>NOT(ISERROR(SEARCH(("Yes"),(N205))))</formula>
    </cfRule>
  </conditionalFormatting>
  <conditionalFormatting sqref="N205:Q205 N207:Q207 N212:O212 P212:Q214 N214:O214">
    <cfRule type="containsText" dxfId="2" priority="39594" operator="containsText" text="Yes">
      <formula>NOT(ISERROR(SEARCH(("Yes"),(N205))))</formula>
    </cfRule>
  </conditionalFormatting>
  <conditionalFormatting sqref="N205:Q205 N207:Q207 N212:O212 P212:Q214 N214:O214">
    <cfRule type="containsText" dxfId="2" priority="39595" operator="containsText" text="Yes">
      <formula>NOT(ISERROR(SEARCH(("Yes"),(N205))))</formula>
    </cfRule>
  </conditionalFormatting>
  <conditionalFormatting sqref="N205:Q205 N207:Q207 N212:O212 P212:Q214 N214:O214">
    <cfRule type="containsText" dxfId="2" priority="39596" operator="containsText" text="Yes">
      <formula>NOT(ISERROR(SEARCH(("Yes"),(N205))))</formula>
    </cfRule>
  </conditionalFormatting>
  <conditionalFormatting sqref="N205:Q205 N207:Q207 N212:O212 P212:Q214 N214:O214">
    <cfRule type="containsText" dxfId="2" priority="39597" operator="containsText" text="Yes">
      <formula>NOT(ISERROR(SEARCH(("Yes"),(N205))))</formula>
    </cfRule>
  </conditionalFormatting>
  <conditionalFormatting sqref="N205:Q205 N207:Q207 N212:O212 P212:Q214 N214:O214">
    <cfRule type="containsText" dxfId="2" priority="39598" operator="containsText" text="Yes">
      <formula>NOT(ISERROR(SEARCH(("Yes"),(N205))))</formula>
    </cfRule>
  </conditionalFormatting>
  <conditionalFormatting sqref="N205:Q205 N207:Q207 N212:O212 P212:Q214 N214:O214">
    <cfRule type="containsText" dxfId="2" priority="39599" operator="containsText" text="Yes">
      <formula>NOT(ISERROR(SEARCH(("Yes"),(N205))))</formula>
    </cfRule>
  </conditionalFormatting>
  <conditionalFormatting sqref="N205:Q205 N207:Q207 N212:O212 P212:Q214 N214:O214">
    <cfRule type="containsText" dxfId="2" priority="39600" operator="containsText" text="Yes">
      <formula>NOT(ISERROR(SEARCH(("Yes"),(N205))))</formula>
    </cfRule>
  </conditionalFormatting>
  <conditionalFormatting sqref="N205:Q205 N207:Q207 N212:O212 P212:Q214 N214:O214">
    <cfRule type="containsText" dxfId="2" priority="39601" operator="containsText" text="Yes">
      <formula>NOT(ISERROR(SEARCH(("Yes"),(N205))))</formula>
    </cfRule>
  </conditionalFormatting>
  <conditionalFormatting sqref="N205:Q205 N207:Q207 N212:O212 P212:Q214 N214:O214">
    <cfRule type="containsText" dxfId="2" priority="39602" operator="containsText" text="Yes">
      <formula>NOT(ISERROR(SEARCH(("Yes"),(N205))))</formula>
    </cfRule>
  </conditionalFormatting>
  <conditionalFormatting sqref="N205:Q205 N207:Q207 N212:O212 P212:Q214 N214:O214">
    <cfRule type="containsText" dxfId="2" priority="39603" operator="containsText" text="Yes">
      <formula>NOT(ISERROR(SEARCH(("Yes"),(N205))))</formula>
    </cfRule>
  </conditionalFormatting>
  <conditionalFormatting sqref="N205:Q205 N207:Q207 N212:O212 P212:Q214 N214:O214">
    <cfRule type="containsText" dxfId="2" priority="39604" operator="containsText" text="Yes">
      <formula>NOT(ISERROR(SEARCH(("Yes"),(N205))))</formula>
    </cfRule>
  </conditionalFormatting>
  <conditionalFormatting sqref="N205:Q205 N207:Q207 N212:O212 P212:Q214 N214:O214">
    <cfRule type="containsText" dxfId="2" priority="39605" operator="containsText" text="Yes">
      <formula>NOT(ISERROR(SEARCH(("Yes"),(N205))))</formula>
    </cfRule>
  </conditionalFormatting>
  <conditionalFormatting sqref="N205:Q205 N207:Q207 N212:O212 P212:Q214 N214:O214">
    <cfRule type="containsText" dxfId="2" priority="39606" operator="containsText" text="Yes">
      <formula>NOT(ISERROR(SEARCH(("Yes"),(N205))))</formula>
    </cfRule>
  </conditionalFormatting>
  <conditionalFormatting sqref="N205:Q205 N207:Q207 N212:O212 P212:Q214 N214:O214">
    <cfRule type="containsText" dxfId="2" priority="39607" operator="containsText" text="Yes">
      <formula>NOT(ISERROR(SEARCH(("Yes"),(N205))))</formula>
    </cfRule>
  </conditionalFormatting>
  <conditionalFormatting sqref="N205:Q205 N207:Q207 N212:O212 P212:Q214 N214:O214">
    <cfRule type="containsText" dxfId="2" priority="39608" operator="containsText" text="Yes">
      <formula>NOT(ISERROR(SEARCH(("Yes"),(N205))))</formula>
    </cfRule>
  </conditionalFormatting>
  <conditionalFormatting sqref="N205:Q205 N207:Q207 N212:O212 P212:Q214 N214:O214">
    <cfRule type="containsText" dxfId="2" priority="39609" operator="containsText" text="Yes">
      <formula>NOT(ISERROR(SEARCH(("Yes"),(N205))))</formula>
    </cfRule>
  </conditionalFormatting>
  <conditionalFormatting sqref="N205:Q205 N207:Q207 N212:O212 P212:Q214 N214:O214">
    <cfRule type="containsText" dxfId="2" priority="39610" operator="containsText" text="Yes">
      <formula>NOT(ISERROR(SEARCH(("Yes"),(N205))))</formula>
    </cfRule>
  </conditionalFormatting>
  <conditionalFormatting sqref="N205:Q205 N207:Q207 N212:O212 P212:Q214 N214:O214">
    <cfRule type="containsText" dxfId="2" priority="39611" operator="containsText" text="Yes">
      <formula>NOT(ISERROR(SEARCH(("Yes"),(N205))))</formula>
    </cfRule>
  </conditionalFormatting>
  <conditionalFormatting sqref="N205:Q205 N207:Q207 N212:O212 P212:Q214 N214:O214">
    <cfRule type="containsText" dxfId="2" priority="39612" operator="containsText" text="Yes">
      <formula>NOT(ISERROR(SEARCH(("Yes"),(N205))))</formula>
    </cfRule>
  </conditionalFormatting>
  <conditionalFormatting sqref="N205:Q205 N207:Q207 N212:O212 P212:Q214 N214:O214">
    <cfRule type="containsText" dxfId="2" priority="39613" operator="containsText" text="Yes">
      <formula>NOT(ISERROR(SEARCH(("Yes"),(N205))))</formula>
    </cfRule>
  </conditionalFormatting>
  <conditionalFormatting sqref="N205:Q205 N207:Q207 N212:O212 P212:Q214 N214:O214">
    <cfRule type="containsText" dxfId="2" priority="39614" operator="containsText" text="Yes">
      <formula>NOT(ISERROR(SEARCH(("Yes"),(N205))))</formula>
    </cfRule>
  </conditionalFormatting>
  <conditionalFormatting sqref="N205:Q205 N207:Q207 N212:O212 P212:Q214 N214:O214">
    <cfRule type="containsText" dxfId="2" priority="39615" operator="containsText" text="Yes">
      <formula>NOT(ISERROR(SEARCH(("Yes"),(N205))))</formula>
    </cfRule>
  </conditionalFormatting>
  <conditionalFormatting sqref="N205:Q205 N207:Q207 N212:O212 P212:Q214 N214:O214">
    <cfRule type="containsText" dxfId="2" priority="39616" operator="containsText" text="Yes">
      <formula>NOT(ISERROR(SEARCH(("Yes"),(N205))))</formula>
    </cfRule>
  </conditionalFormatting>
  <conditionalFormatting sqref="N205:Q205 N207:Q207 N212:O212 P212:Q214 N214:O214">
    <cfRule type="containsText" dxfId="2" priority="39617" operator="containsText" text="Yes">
      <formula>NOT(ISERROR(SEARCH(("Yes"),(N205))))</formula>
    </cfRule>
  </conditionalFormatting>
  <conditionalFormatting sqref="N205:Q205 N207:Q207 N212:O212 P212:Q214 N214:O214">
    <cfRule type="containsText" dxfId="2" priority="39618" operator="containsText" text="Yes">
      <formula>NOT(ISERROR(SEARCH(("Yes"),(N205))))</formula>
    </cfRule>
  </conditionalFormatting>
  <conditionalFormatting sqref="N205:Q205 N207:Q207 N212:O212 P212:Q214 N214:O214">
    <cfRule type="containsText" dxfId="2" priority="39619" operator="containsText" text="Yes">
      <formula>NOT(ISERROR(SEARCH(("Yes"),(N205))))</formula>
    </cfRule>
  </conditionalFormatting>
  <conditionalFormatting sqref="N205:Q205 N207:Q207 N212:O212 P212:Q214 N214:O214">
    <cfRule type="containsText" dxfId="2" priority="39620" operator="containsText" text="Yes">
      <formula>NOT(ISERROR(SEARCH(("Yes"),(N205))))</formula>
    </cfRule>
  </conditionalFormatting>
  <conditionalFormatting sqref="N205:Q205 N207:Q207 N212:O212 P212:Q214 N214:O214">
    <cfRule type="containsText" dxfId="2" priority="39621" operator="containsText" text="Yes">
      <formula>NOT(ISERROR(SEARCH(("Yes"),(N205))))</formula>
    </cfRule>
  </conditionalFormatting>
  <conditionalFormatting sqref="N205:Q205 N207:Q207 N212:O212 P212:Q214 N214:O214">
    <cfRule type="containsText" dxfId="2" priority="39622" operator="containsText" text="Yes">
      <formula>NOT(ISERROR(SEARCH(("Yes"),(N205))))</formula>
    </cfRule>
  </conditionalFormatting>
  <conditionalFormatting sqref="N205:Q205 N207:Q207 N212:O212 P212:Q214 N214:O214">
    <cfRule type="containsText" dxfId="2" priority="39623" operator="containsText" text="Yes">
      <formula>NOT(ISERROR(SEARCH(("Yes"),(N205))))</formula>
    </cfRule>
  </conditionalFormatting>
  <conditionalFormatting sqref="N205:Q205 N207:Q207 N212:O212 P212:Q214 N214:O214">
    <cfRule type="containsText" dxfId="2" priority="39624" operator="containsText" text="Yes">
      <formula>NOT(ISERROR(SEARCH(("Yes"),(N205))))</formula>
    </cfRule>
  </conditionalFormatting>
  <conditionalFormatting sqref="N205:Q205 N207:Q207 N212:O212 P212:Q214 N214:O214">
    <cfRule type="containsText" dxfId="2" priority="39625" operator="containsText" text="Yes">
      <formula>NOT(ISERROR(SEARCH(("Yes"),(N205))))</formula>
    </cfRule>
  </conditionalFormatting>
  <conditionalFormatting sqref="N205:Q205 N207:Q207 N212:O212 P212:Q214 N214:O214">
    <cfRule type="containsText" dxfId="2" priority="39626" operator="containsText" text="Yes">
      <formula>NOT(ISERROR(SEARCH(("Yes"),(N205))))</formula>
    </cfRule>
  </conditionalFormatting>
  <conditionalFormatting sqref="N205:Q205 N207:Q207 N212:O212 P212:Q214 N214:O214">
    <cfRule type="containsText" dxfId="2" priority="39627" operator="containsText" text="Yes">
      <formula>NOT(ISERROR(SEARCH(("Yes"),(N205))))</formula>
    </cfRule>
  </conditionalFormatting>
  <conditionalFormatting sqref="N205:Q205 N207:Q207 N212:O212 P212:Q214 N214:O214">
    <cfRule type="containsText" dxfId="2" priority="39628" operator="containsText" text="Yes">
      <formula>NOT(ISERROR(SEARCH(("Yes"),(N205))))</formula>
    </cfRule>
  </conditionalFormatting>
  <conditionalFormatting sqref="N205:Q205 N207:Q207 N212:O212 P212:Q214 N214:O214">
    <cfRule type="containsText" dxfId="2" priority="39629" operator="containsText" text="Yes">
      <formula>NOT(ISERROR(SEARCH(("Yes"),(N205))))</formula>
    </cfRule>
  </conditionalFormatting>
  <conditionalFormatting sqref="N205:Q205 N207:Q207 N212:O212 P212:Q214 N214:O214">
    <cfRule type="containsText" dxfId="2" priority="39630" operator="containsText" text="Yes">
      <formula>NOT(ISERROR(SEARCH(("Yes"),(N205))))</formula>
    </cfRule>
  </conditionalFormatting>
  <conditionalFormatting sqref="N207:N214 O213:O214">
    <cfRule type="containsText" dxfId="9" priority="39631" operator="containsText" text="No">
      <formula>NOT(ISERROR(SEARCH(("No"),(N207))))</formula>
    </cfRule>
  </conditionalFormatting>
  <conditionalFormatting sqref="N207:N214 O213:O214">
    <cfRule type="containsText" dxfId="9" priority="39632" operator="containsText" text="No">
      <formula>NOT(ISERROR(SEARCH(("No"),(N207))))</formula>
    </cfRule>
  </conditionalFormatting>
  <conditionalFormatting sqref="N207:N214 O213:O214">
    <cfRule type="containsText" dxfId="9" priority="39633" operator="containsText" text="No">
      <formula>NOT(ISERROR(SEARCH(("No"),(N207))))</formula>
    </cfRule>
  </conditionalFormatting>
  <conditionalFormatting sqref="N207:N214 O213:O214">
    <cfRule type="containsText" dxfId="2" priority="39634" operator="containsText" text="Yes">
      <formula>NOT(ISERROR(SEARCH(("Yes"),(N207))))</formula>
    </cfRule>
  </conditionalFormatting>
  <conditionalFormatting sqref="N207:N214 O213:O214">
    <cfRule type="containsText" dxfId="2" priority="39635" operator="containsText" text="Yes">
      <formula>NOT(ISERROR(SEARCH(("Yes"),(N207))))</formula>
    </cfRule>
  </conditionalFormatting>
  <conditionalFormatting sqref="N207:N214 O213:O214">
    <cfRule type="containsText" dxfId="2" priority="39636" operator="containsText" text="Yes">
      <formula>NOT(ISERROR(SEARCH(("Yes"),(N207))))</formula>
    </cfRule>
  </conditionalFormatting>
  <conditionalFormatting sqref="N207:N214 O213:O214">
    <cfRule type="containsText" dxfId="2" priority="39637" operator="containsText" text="Yes">
      <formula>NOT(ISERROR(SEARCH(("Yes"),(N207))))</formula>
    </cfRule>
  </conditionalFormatting>
  <conditionalFormatting sqref="N207:N214 O213:O214">
    <cfRule type="containsText" dxfId="2" priority="39638" operator="containsText" text="Yes">
      <formula>NOT(ISERROR(SEARCH(("Yes"),(N207))))</formula>
    </cfRule>
  </conditionalFormatting>
  <conditionalFormatting sqref="N207:N214 O213:O214">
    <cfRule type="containsText" dxfId="9" priority="39639" operator="containsText" text="No">
      <formula>NOT(ISERROR(SEARCH(("No"),(N207))))</formula>
    </cfRule>
  </conditionalFormatting>
  <conditionalFormatting sqref="N207:N214 O213:O214">
    <cfRule type="containsText" dxfId="2" priority="39640" operator="containsText" text="Yes">
      <formula>NOT(ISERROR(SEARCH(("Yes"),(N207))))</formula>
    </cfRule>
  </conditionalFormatting>
  <conditionalFormatting sqref="O207:O212">
    <cfRule type="containsText" dxfId="9" priority="39641" operator="containsText" text="No">
      <formula>NOT(ISERROR(SEARCH(("No"),(O207))))</formula>
    </cfRule>
  </conditionalFormatting>
  <conditionalFormatting sqref="O207:O212">
    <cfRule type="containsText" dxfId="9" priority="39642" operator="containsText" text="No">
      <formula>NOT(ISERROR(SEARCH(("No"),(O207))))</formula>
    </cfRule>
  </conditionalFormatting>
  <conditionalFormatting sqref="O207:O212">
    <cfRule type="containsText" dxfId="9" priority="39643" operator="containsText" text="No">
      <formula>NOT(ISERROR(SEARCH(("No"),(O207))))</formula>
    </cfRule>
  </conditionalFormatting>
  <conditionalFormatting sqref="O207:O212">
    <cfRule type="containsText" dxfId="2" priority="39644" operator="containsText" text="Yes">
      <formula>NOT(ISERROR(SEARCH(("Yes"),(O207))))</formula>
    </cfRule>
  </conditionalFormatting>
  <conditionalFormatting sqref="O207:O212">
    <cfRule type="containsText" dxfId="2" priority="39645" operator="containsText" text="Yes">
      <formula>NOT(ISERROR(SEARCH(("Yes"),(O207))))</formula>
    </cfRule>
  </conditionalFormatting>
  <conditionalFormatting sqref="O207:O212">
    <cfRule type="containsText" dxfId="2" priority="39646" operator="containsText" text="Yes">
      <formula>NOT(ISERROR(SEARCH(("Yes"),(O207))))</formula>
    </cfRule>
  </conditionalFormatting>
  <conditionalFormatting sqref="O207:O212">
    <cfRule type="containsText" dxfId="2" priority="39647" operator="containsText" text="Yes">
      <formula>NOT(ISERROR(SEARCH(("Yes"),(O207))))</formula>
    </cfRule>
  </conditionalFormatting>
  <conditionalFormatting sqref="O207:O212">
    <cfRule type="containsText" dxfId="2" priority="39648" operator="containsText" text="Yes">
      <formula>NOT(ISERROR(SEARCH(("Yes"),(O207))))</formula>
    </cfRule>
  </conditionalFormatting>
  <conditionalFormatting sqref="O207:O212">
    <cfRule type="containsText" dxfId="9" priority="39649" operator="containsText" text="No">
      <formula>NOT(ISERROR(SEARCH(("No"),(O207))))</formula>
    </cfRule>
  </conditionalFormatting>
  <conditionalFormatting sqref="O207:O212">
    <cfRule type="containsText" dxfId="9" priority="39650" operator="containsText" text="No">
      <formula>NOT(ISERROR(SEARCH(("No"),(O207))))</formula>
    </cfRule>
  </conditionalFormatting>
  <conditionalFormatting sqref="O207:O212">
    <cfRule type="containsText" dxfId="2" priority="39651" operator="containsText" text="Yes">
      <formula>NOT(ISERROR(SEARCH(("Yes"),(O207))))</formula>
    </cfRule>
  </conditionalFormatting>
  <conditionalFormatting sqref="P207:Q214">
    <cfRule type="containsText" dxfId="9" priority="39652" operator="containsText" text="No">
      <formula>NOT(ISERROR(SEARCH(("No"),(P207))))</formula>
    </cfRule>
  </conditionalFormatting>
  <conditionalFormatting sqref="P207:Q214">
    <cfRule type="containsText" dxfId="9" priority="39653" operator="containsText" text="No">
      <formula>NOT(ISERROR(SEARCH(("No"),(P207))))</formula>
    </cfRule>
  </conditionalFormatting>
  <conditionalFormatting sqref="P207:Q214">
    <cfRule type="containsText" dxfId="9" priority="39654" operator="containsText" text="No">
      <formula>NOT(ISERROR(SEARCH(("No"),(P207))))</formula>
    </cfRule>
  </conditionalFormatting>
  <conditionalFormatting sqref="P207:Q214">
    <cfRule type="containsText" dxfId="9" priority="39655" operator="containsText" text="No">
      <formula>NOT(ISERROR(SEARCH(("No"),(P207))))</formula>
    </cfRule>
  </conditionalFormatting>
  <conditionalFormatting sqref="P207:Q214">
    <cfRule type="containsText" dxfId="9" priority="39656" operator="containsText" text="No">
      <formula>NOT(ISERROR(SEARCH(("No"),(P207))))</formula>
    </cfRule>
  </conditionalFormatting>
  <conditionalFormatting sqref="P207:Q214">
    <cfRule type="containsText" dxfId="9" priority="39657" operator="containsText" text="No">
      <formula>NOT(ISERROR(SEARCH(("No"),(P207))))</formula>
    </cfRule>
  </conditionalFormatting>
  <conditionalFormatting sqref="P207:Q214">
    <cfRule type="containsText" dxfId="9" priority="39658" operator="containsText" text="No">
      <formula>NOT(ISERROR(SEARCH(("No"),(P207))))</formula>
    </cfRule>
  </conditionalFormatting>
  <conditionalFormatting sqref="P207:Q214">
    <cfRule type="containsText" dxfId="9" priority="39659" operator="containsText" text="No">
      <formula>NOT(ISERROR(SEARCH(("No"),(P207))))</formula>
    </cfRule>
  </conditionalFormatting>
  <conditionalFormatting sqref="P207:Q214">
    <cfRule type="containsText" dxfId="9" priority="39660" operator="containsText" text="No">
      <formula>NOT(ISERROR(SEARCH(("No"),(P207))))</formula>
    </cfRule>
  </conditionalFormatting>
  <conditionalFormatting sqref="P207:Q214">
    <cfRule type="containsText" dxfId="9" priority="39661" operator="containsText" text="No">
      <formula>NOT(ISERROR(SEARCH(("No"),(P207))))</formula>
    </cfRule>
  </conditionalFormatting>
  <conditionalFormatting sqref="P207:Q214">
    <cfRule type="containsText" dxfId="9" priority="39662" operator="containsText" text="No">
      <formula>NOT(ISERROR(SEARCH(("No"),(P207))))</formula>
    </cfRule>
  </conditionalFormatting>
  <conditionalFormatting sqref="P207:Q214">
    <cfRule type="containsText" dxfId="9" priority="39663" operator="containsText" text="No">
      <formula>NOT(ISERROR(SEARCH(("No"),(P207))))</formula>
    </cfRule>
  </conditionalFormatting>
  <conditionalFormatting sqref="P207:Q214">
    <cfRule type="containsText" dxfId="9" priority="39664" operator="containsText" text="No">
      <formula>NOT(ISERROR(SEARCH(("No"),(P207))))</formula>
    </cfRule>
  </conditionalFormatting>
  <conditionalFormatting sqref="P207:Q214">
    <cfRule type="containsText" dxfId="9" priority="39665" operator="containsText" text="No">
      <formula>NOT(ISERROR(SEARCH(("No"),(P207))))</formula>
    </cfRule>
  </conditionalFormatting>
  <conditionalFormatting sqref="P207:Q214">
    <cfRule type="containsText" dxfId="9" priority="39666" operator="containsText" text="No">
      <formula>NOT(ISERROR(SEARCH(("No"),(P207))))</formula>
    </cfRule>
  </conditionalFormatting>
  <conditionalFormatting sqref="P207:Q214">
    <cfRule type="containsText" dxfId="9" priority="39667" operator="containsText" text="No">
      <formula>NOT(ISERROR(SEARCH(("No"),(P207))))</formula>
    </cfRule>
  </conditionalFormatting>
  <conditionalFormatting sqref="P207:Q214">
    <cfRule type="containsText" dxfId="9" priority="39668" operator="containsText" text="No">
      <formula>NOT(ISERROR(SEARCH(("No"),(P207))))</formula>
    </cfRule>
  </conditionalFormatting>
  <conditionalFormatting sqref="P207:Q214">
    <cfRule type="containsText" dxfId="9" priority="39669" operator="containsText" text="No">
      <formula>NOT(ISERROR(SEARCH(("No"),(P207))))</formula>
    </cfRule>
  </conditionalFormatting>
  <conditionalFormatting sqref="P207:Q214">
    <cfRule type="containsText" dxfId="9" priority="39670" operator="containsText" text="No">
      <formula>NOT(ISERROR(SEARCH(("No"),(P207))))</formula>
    </cfRule>
  </conditionalFormatting>
  <conditionalFormatting sqref="P207:Q214">
    <cfRule type="containsText" dxfId="9" priority="39671" operator="containsText" text="No">
      <formula>NOT(ISERROR(SEARCH(("No"),(P207))))</formula>
    </cfRule>
  </conditionalFormatting>
  <conditionalFormatting sqref="P207:Q214">
    <cfRule type="containsText" dxfId="9" priority="39672" operator="containsText" text="No">
      <formula>NOT(ISERROR(SEARCH(("No"),(P207))))</formula>
    </cfRule>
  </conditionalFormatting>
  <conditionalFormatting sqref="P207:Q214">
    <cfRule type="containsText" dxfId="9" priority="39673" operator="containsText" text="No">
      <formula>NOT(ISERROR(SEARCH(("No"),(P207))))</formula>
    </cfRule>
  </conditionalFormatting>
  <conditionalFormatting sqref="P207:Q214">
    <cfRule type="containsText" dxfId="9" priority="39674" operator="containsText" text="No">
      <formula>NOT(ISERROR(SEARCH(("No"),(P207))))</formula>
    </cfRule>
  </conditionalFormatting>
  <conditionalFormatting sqref="P207:Q214">
    <cfRule type="containsText" dxfId="9" priority="39675" operator="containsText" text="No">
      <formula>NOT(ISERROR(SEARCH(("No"),(P207))))</formula>
    </cfRule>
  </conditionalFormatting>
  <conditionalFormatting sqref="P207:Q214">
    <cfRule type="containsText" dxfId="9" priority="39676" operator="containsText" text="No">
      <formula>NOT(ISERROR(SEARCH(("No"),(P207))))</formula>
    </cfRule>
  </conditionalFormatting>
  <conditionalFormatting sqref="P207:Q214">
    <cfRule type="containsText" dxfId="9" priority="39677" operator="containsText" text="No">
      <formula>NOT(ISERROR(SEARCH(("No"),(P207))))</formula>
    </cfRule>
  </conditionalFormatting>
  <conditionalFormatting sqref="P207:Q214">
    <cfRule type="containsText" dxfId="9" priority="39678" operator="containsText" text="No">
      <formula>NOT(ISERROR(SEARCH(("No"),(P207))))</formula>
    </cfRule>
  </conditionalFormatting>
  <conditionalFormatting sqref="P207:Q214">
    <cfRule type="containsText" dxfId="9" priority="39679" operator="containsText" text="No">
      <formula>NOT(ISERROR(SEARCH(("No"),(P207))))</formula>
    </cfRule>
  </conditionalFormatting>
  <conditionalFormatting sqref="P207:Q214">
    <cfRule type="containsText" dxfId="9" priority="39680" operator="containsText" text="No">
      <formula>NOT(ISERROR(SEARCH(("No"),(P207))))</formula>
    </cfRule>
  </conditionalFormatting>
  <conditionalFormatting sqref="P207:Q214">
    <cfRule type="containsText" dxfId="9" priority="39681" operator="containsText" text="No">
      <formula>NOT(ISERROR(SEARCH(("No"),(P207))))</formula>
    </cfRule>
  </conditionalFormatting>
  <conditionalFormatting sqref="P207:Q214">
    <cfRule type="containsText" dxfId="9" priority="39682" operator="containsText" text="No">
      <formula>NOT(ISERROR(SEARCH(("No"),(P207))))</formula>
    </cfRule>
  </conditionalFormatting>
  <conditionalFormatting sqref="P207:Q214">
    <cfRule type="containsText" dxfId="9" priority="39683" operator="containsText" text="No">
      <formula>NOT(ISERROR(SEARCH(("No"),(P207))))</formula>
    </cfRule>
  </conditionalFormatting>
  <conditionalFormatting sqref="P207:Q214">
    <cfRule type="containsText" dxfId="9" priority="39684" operator="containsText" text="No">
      <formula>NOT(ISERROR(SEARCH(("No"),(P207))))</formula>
    </cfRule>
  </conditionalFormatting>
  <conditionalFormatting sqref="P207:Q214">
    <cfRule type="containsText" dxfId="9" priority="39685" operator="containsText" text="No">
      <formula>NOT(ISERROR(SEARCH(("No"),(P207))))</formula>
    </cfRule>
  </conditionalFormatting>
  <conditionalFormatting sqref="P207:Q214">
    <cfRule type="containsText" dxfId="9" priority="39686" operator="containsText" text="No">
      <formula>NOT(ISERROR(SEARCH(("No"),(P207))))</formula>
    </cfRule>
  </conditionalFormatting>
  <conditionalFormatting sqref="P207:Q214">
    <cfRule type="containsText" dxfId="9" priority="39687" operator="containsText" text="No">
      <formula>NOT(ISERROR(SEARCH(("No"),(P207))))</formula>
    </cfRule>
  </conditionalFormatting>
  <conditionalFormatting sqref="P207:Q214">
    <cfRule type="containsText" dxfId="9" priority="39688" operator="containsText" text="No">
      <formula>NOT(ISERROR(SEARCH(("No"),(P207))))</formula>
    </cfRule>
  </conditionalFormatting>
  <conditionalFormatting sqref="P207:Q214">
    <cfRule type="containsText" dxfId="9" priority="39689" operator="containsText" text="No">
      <formula>NOT(ISERROR(SEARCH(("No"),(P207))))</formula>
    </cfRule>
  </conditionalFormatting>
  <conditionalFormatting sqref="P207:Q214">
    <cfRule type="containsText" dxfId="9" priority="39690" operator="containsText" text="No">
      <formula>NOT(ISERROR(SEARCH(("No"),(P207))))</formula>
    </cfRule>
  </conditionalFormatting>
  <conditionalFormatting sqref="P207:Q214">
    <cfRule type="containsText" dxfId="9" priority="39691" operator="containsText" text="No">
      <formula>NOT(ISERROR(SEARCH(("No"),(P207))))</formula>
    </cfRule>
  </conditionalFormatting>
  <conditionalFormatting sqref="P207:Q214">
    <cfRule type="containsText" dxfId="9" priority="39692" operator="containsText" text="No">
      <formula>NOT(ISERROR(SEARCH(("No"),(P207))))</formula>
    </cfRule>
  </conditionalFormatting>
  <conditionalFormatting sqref="P207:Q214">
    <cfRule type="containsText" dxfId="9" priority="39693" operator="containsText" text="No">
      <formula>NOT(ISERROR(SEARCH(("No"),(P207))))</formula>
    </cfRule>
  </conditionalFormatting>
  <conditionalFormatting sqref="P207:Q214">
    <cfRule type="containsText" dxfId="9" priority="39694" operator="containsText" text="No">
      <formula>NOT(ISERROR(SEARCH(("No"),(P207))))</formula>
    </cfRule>
  </conditionalFormatting>
  <conditionalFormatting sqref="P207:Q214">
    <cfRule type="containsText" dxfId="9" priority="39695" operator="containsText" text="No">
      <formula>NOT(ISERROR(SEARCH(("No"),(P207))))</formula>
    </cfRule>
  </conditionalFormatting>
  <conditionalFormatting sqref="P207:Q214">
    <cfRule type="containsText" dxfId="9" priority="39696" operator="containsText" text="No">
      <formula>NOT(ISERROR(SEARCH(("No"),(P207))))</formula>
    </cfRule>
  </conditionalFormatting>
  <conditionalFormatting sqref="P207:Q214">
    <cfRule type="containsText" dxfId="2" priority="39697" operator="containsText" text="Yes">
      <formula>NOT(ISERROR(SEARCH(("Yes"),(P207))))</formula>
    </cfRule>
  </conditionalFormatting>
  <conditionalFormatting sqref="P207:Q214">
    <cfRule type="containsText" dxfId="2" priority="39698" operator="containsText" text="Yes">
      <formula>NOT(ISERROR(SEARCH(("Yes"),(P207))))</formula>
    </cfRule>
  </conditionalFormatting>
  <conditionalFormatting sqref="P207:Q214">
    <cfRule type="containsText" dxfId="2" priority="39699" operator="containsText" text="Yes">
      <formula>NOT(ISERROR(SEARCH(("Yes"),(P207))))</formula>
    </cfRule>
  </conditionalFormatting>
  <conditionalFormatting sqref="P207:Q214">
    <cfRule type="containsText" dxfId="2" priority="39700" operator="containsText" text="Yes">
      <formula>NOT(ISERROR(SEARCH(("Yes"),(P207))))</formula>
    </cfRule>
  </conditionalFormatting>
  <conditionalFormatting sqref="P207:Q214">
    <cfRule type="containsText" dxfId="2" priority="39701" operator="containsText" text="Yes">
      <formula>NOT(ISERROR(SEARCH(("Yes"),(P207))))</formula>
    </cfRule>
  </conditionalFormatting>
  <conditionalFormatting sqref="P207:Q214">
    <cfRule type="containsText" dxfId="2" priority="39702" operator="containsText" text="Yes">
      <formula>NOT(ISERROR(SEARCH(("Yes"),(P207))))</formula>
    </cfRule>
  </conditionalFormatting>
  <conditionalFormatting sqref="P207:Q214">
    <cfRule type="containsText" dxfId="2" priority="39703" operator="containsText" text="Yes">
      <formula>NOT(ISERROR(SEARCH(("Yes"),(P207))))</formula>
    </cfRule>
  </conditionalFormatting>
  <conditionalFormatting sqref="P207:Q214">
    <cfRule type="containsText" dxfId="2" priority="39704" operator="containsText" text="Yes">
      <formula>NOT(ISERROR(SEARCH(("Yes"),(P207))))</formula>
    </cfRule>
  </conditionalFormatting>
  <conditionalFormatting sqref="P207:Q214">
    <cfRule type="containsText" dxfId="2" priority="39705" operator="containsText" text="Yes">
      <formula>NOT(ISERROR(SEARCH(("Yes"),(P207))))</formula>
    </cfRule>
  </conditionalFormatting>
  <conditionalFormatting sqref="P207:Q214">
    <cfRule type="containsText" dxfId="2" priority="39706" operator="containsText" text="Yes">
      <formula>NOT(ISERROR(SEARCH(("Yes"),(P207))))</formula>
    </cfRule>
  </conditionalFormatting>
  <conditionalFormatting sqref="P207:Q214">
    <cfRule type="containsText" dxfId="2" priority="39707" operator="containsText" text="Yes">
      <formula>NOT(ISERROR(SEARCH(("Yes"),(P207))))</formula>
    </cfRule>
  </conditionalFormatting>
  <conditionalFormatting sqref="P207:Q214">
    <cfRule type="containsText" dxfId="2" priority="39708" operator="containsText" text="Yes">
      <formula>NOT(ISERROR(SEARCH(("Yes"),(P207))))</formula>
    </cfRule>
  </conditionalFormatting>
  <conditionalFormatting sqref="P207:Q214">
    <cfRule type="containsText" dxfId="2" priority="39709" operator="containsText" text="Yes">
      <formula>NOT(ISERROR(SEARCH(("Yes"),(P207))))</formula>
    </cfRule>
  </conditionalFormatting>
  <conditionalFormatting sqref="P207:Q214">
    <cfRule type="containsText" dxfId="2" priority="39710" operator="containsText" text="Yes">
      <formula>NOT(ISERROR(SEARCH(("Yes"),(P207))))</formula>
    </cfRule>
  </conditionalFormatting>
  <conditionalFormatting sqref="P207:Q214">
    <cfRule type="containsText" dxfId="2" priority="39711" operator="containsText" text="Yes">
      <formula>NOT(ISERROR(SEARCH(("Yes"),(P207))))</formula>
    </cfRule>
  </conditionalFormatting>
  <conditionalFormatting sqref="P207:Q214">
    <cfRule type="containsText" dxfId="2" priority="39712" operator="containsText" text="Yes">
      <formula>NOT(ISERROR(SEARCH(("Yes"),(P207))))</formula>
    </cfRule>
  </conditionalFormatting>
  <conditionalFormatting sqref="P207:Q214">
    <cfRule type="containsText" dxfId="2" priority="39713" operator="containsText" text="Yes">
      <formula>NOT(ISERROR(SEARCH(("Yes"),(P207))))</formula>
    </cfRule>
  </conditionalFormatting>
  <conditionalFormatting sqref="P207:Q214">
    <cfRule type="containsText" dxfId="2" priority="39714" operator="containsText" text="Yes">
      <formula>NOT(ISERROR(SEARCH(("Yes"),(P207))))</formula>
    </cfRule>
  </conditionalFormatting>
  <conditionalFormatting sqref="P207:Q214">
    <cfRule type="containsText" dxfId="2" priority="39715" operator="containsText" text="Yes">
      <formula>NOT(ISERROR(SEARCH(("Yes"),(P207))))</formula>
    </cfRule>
  </conditionalFormatting>
  <conditionalFormatting sqref="P207:Q214">
    <cfRule type="containsText" dxfId="2" priority="39716" operator="containsText" text="Yes">
      <formula>NOT(ISERROR(SEARCH(("Yes"),(P207))))</formula>
    </cfRule>
  </conditionalFormatting>
  <conditionalFormatting sqref="P207:Q214">
    <cfRule type="containsText" dxfId="2" priority="39717" operator="containsText" text="Yes">
      <formula>NOT(ISERROR(SEARCH(("Yes"),(P207))))</formula>
    </cfRule>
  </conditionalFormatting>
  <conditionalFormatting sqref="P207:Q214">
    <cfRule type="containsText" dxfId="2" priority="39718" operator="containsText" text="Yes">
      <formula>NOT(ISERROR(SEARCH(("Yes"),(P207))))</formula>
    </cfRule>
  </conditionalFormatting>
  <conditionalFormatting sqref="P207:Q214">
    <cfRule type="containsText" dxfId="2" priority="39719" operator="containsText" text="Yes">
      <formula>NOT(ISERROR(SEARCH(("Yes"),(P207))))</formula>
    </cfRule>
  </conditionalFormatting>
  <conditionalFormatting sqref="P207:Q214">
    <cfRule type="containsText" dxfId="2" priority="39720" operator="containsText" text="Yes">
      <formula>NOT(ISERROR(SEARCH(("Yes"),(P207))))</formula>
    </cfRule>
  </conditionalFormatting>
  <conditionalFormatting sqref="P207:Q214">
    <cfRule type="containsText" dxfId="2" priority="39721" operator="containsText" text="Yes">
      <formula>NOT(ISERROR(SEARCH(("Yes"),(P207))))</formula>
    </cfRule>
  </conditionalFormatting>
  <conditionalFormatting sqref="P207:Q214">
    <cfRule type="containsText" dxfId="2" priority="39722" operator="containsText" text="Yes">
      <formula>NOT(ISERROR(SEARCH(("Yes"),(P207))))</formula>
    </cfRule>
  </conditionalFormatting>
  <conditionalFormatting sqref="P207:Q214">
    <cfRule type="containsText" dxfId="2" priority="39723" operator="containsText" text="Yes">
      <formula>NOT(ISERROR(SEARCH(("Yes"),(P207))))</formula>
    </cfRule>
  </conditionalFormatting>
  <conditionalFormatting sqref="P207:Q214">
    <cfRule type="containsText" dxfId="2" priority="39724" operator="containsText" text="Yes">
      <formula>NOT(ISERROR(SEARCH(("Yes"),(P207))))</formula>
    </cfRule>
  </conditionalFormatting>
  <conditionalFormatting sqref="P207:Q214">
    <cfRule type="containsText" dxfId="2" priority="39725" operator="containsText" text="Yes">
      <formula>NOT(ISERROR(SEARCH(("Yes"),(P207))))</formula>
    </cfRule>
  </conditionalFormatting>
  <conditionalFormatting sqref="P207:Q214">
    <cfRule type="containsText" dxfId="2" priority="39726" operator="containsText" text="Yes">
      <formula>NOT(ISERROR(SEARCH(("Yes"),(P207))))</formula>
    </cfRule>
  </conditionalFormatting>
  <conditionalFormatting sqref="P207:Q214">
    <cfRule type="containsText" dxfId="2" priority="39727" operator="containsText" text="Yes">
      <formula>NOT(ISERROR(SEARCH(("Yes"),(P207))))</formula>
    </cfRule>
  </conditionalFormatting>
  <conditionalFormatting sqref="P207:Q214">
    <cfRule type="containsText" dxfId="2" priority="39728" operator="containsText" text="Yes">
      <formula>NOT(ISERROR(SEARCH(("Yes"),(P207))))</formula>
    </cfRule>
  </conditionalFormatting>
  <conditionalFormatting sqref="P207:Q214">
    <cfRule type="containsText" dxfId="2" priority="39729" operator="containsText" text="Yes">
      <formula>NOT(ISERROR(SEARCH(("Yes"),(P207))))</formula>
    </cfRule>
  </conditionalFormatting>
  <conditionalFormatting sqref="P207:Q214">
    <cfRule type="containsText" dxfId="2" priority="39730" operator="containsText" text="Yes">
      <formula>NOT(ISERROR(SEARCH(("Yes"),(P207))))</formula>
    </cfRule>
  </conditionalFormatting>
  <conditionalFormatting sqref="P207:Q214">
    <cfRule type="containsText" dxfId="2" priority="39731" operator="containsText" text="Yes">
      <formula>NOT(ISERROR(SEARCH(("Yes"),(P207))))</formula>
    </cfRule>
  </conditionalFormatting>
  <conditionalFormatting sqref="P207:Q214">
    <cfRule type="containsText" dxfId="2" priority="39732" operator="containsText" text="Yes">
      <formula>NOT(ISERROR(SEARCH(("Yes"),(P207))))</formula>
    </cfRule>
  </conditionalFormatting>
  <conditionalFormatting sqref="P207:Q214">
    <cfRule type="containsText" dxfId="2" priority="39733" operator="containsText" text="Yes">
      <formula>NOT(ISERROR(SEARCH(("Yes"),(P207))))</formula>
    </cfRule>
  </conditionalFormatting>
  <conditionalFormatting sqref="P207:Q214">
    <cfRule type="containsText" dxfId="2" priority="39734" operator="containsText" text="Yes">
      <formula>NOT(ISERROR(SEARCH(("Yes"),(P207))))</formula>
    </cfRule>
  </conditionalFormatting>
  <conditionalFormatting sqref="P207:Q214">
    <cfRule type="containsText" dxfId="2" priority="39735" operator="containsText" text="Yes">
      <formula>NOT(ISERROR(SEARCH(("Yes"),(P207))))</formula>
    </cfRule>
  </conditionalFormatting>
  <conditionalFormatting sqref="P207:Q214">
    <cfRule type="containsText" dxfId="2" priority="39736" operator="containsText" text="Yes">
      <formula>NOT(ISERROR(SEARCH(("Yes"),(P207))))</formula>
    </cfRule>
  </conditionalFormatting>
  <conditionalFormatting sqref="P207:Q214">
    <cfRule type="containsText" dxfId="2" priority="39737" operator="containsText" text="Yes">
      <formula>NOT(ISERROR(SEARCH(("Yes"),(P207))))</formula>
    </cfRule>
  </conditionalFormatting>
  <conditionalFormatting sqref="P207:Q214">
    <cfRule type="containsText" dxfId="2" priority="39738" operator="containsText" text="Yes">
      <formula>NOT(ISERROR(SEARCH(("Yes"),(P207))))</formula>
    </cfRule>
  </conditionalFormatting>
  <conditionalFormatting sqref="P207:Q214">
    <cfRule type="containsText" dxfId="2" priority="39739" operator="containsText" text="Yes">
      <formula>NOT(ISERROR(SEARCH(("Yes"),(P207))))</formula>
    </cfRule>
  </conditionalFormatting>
  <conditionalFormatting sqref="P207:Q214">
    <cfRule type="containsText" dxfId="2" priority="39740" operator="containsText" text="Yes">
      <formula>NOT(ISERROR(SEARCH(("Yes"),(P207))))</formula>
    </cfRule>
  </conditionalFormatting>
  <conditionalFormatting sqref="P207:Q214">
    <cfRule type="containsText" dxfId="2" priority="39741" operator="containsText" text="Yes">
      <formula>NOT(ISERROR(SEARCH(("Yes"),(P207))))</formula>
    </cfRule>
  </conditionalFormatting>
  <conditionalFormatting sqref="P207:Q214">
    <cfRule type="containsText" dxfId="2" priority="39742" operator="containsText" text="Yes">
      <formula>NOT(ISERROR(SEARCH(("Yes"),(P207))))</formula>
    </cfRule>
  </conditionalFormatting>
  <conditionalFormatting sqref="P207:Q214">
    <cfRule type="containsText" dxfId="2" priority="39743" operator="containsText" text="Yes">
      <formula>NOT(ISERROR(SEARCH(("Yes"),(P207))))</formula>
    </cfRule>
  </conditionalFormatting>
  <conditionalFormatting sqref="P208:Q211">
    <cfRule type="containsText" dxfId="9" priority="39744" operator="containsText" text="No">
      <formula>NOT(ISERROR(SEARCH(("No"),(P208))))</formula>
    </cfRule>
  </conditionalFormatting>
  <conditionalFormatting sqref="P208:Q211">
    <cfRule type="containsText" dxfId="9" priority="39745" operator="containsText" text="No">
      <formula>NOT(ISERROR(SEARCH(("No"),(P208))))</formula>
    </cfRule>
  </conditionalFormatting>
  <conditionalFormatting sqref="P208:Q211">
    <cfRule type="containsText" dxfId="9" priority="39746" operator="containsText" text="No">
      <formula>NOT(ISERROR(SEARCH(("No"),(P208))))</formula>
    </cfRule>
  </conditionalFormatting>
  <conditionalFormatting sqref="P208:Q211">
    <cfRule type="containsText" dxfId="9" priority="39747" operator="containsText" text="No">
      <formula>NOT(ISERROR(SEARCH(("No"),(P208))))</formula>
    </cfRule>
  </conditionalFormatting>
  <conditionalFormatting sqref="P208:Q211">
    <cfRule type="containsText" dxfId="9" priority="39748" operator="containsText" text="No">
      <formula>NOT(ISERROR(SEARCH(("No"),(P208))))</formula>
    </cfRule>
  </conditionalFormatting>
  <conditionalFormatting sqref="P208:Q211">
    <cfRule type="containsText" dxfId="9" priority="39749" operator="containsText" text="No">
      <formula>NOT(ISERROR(SEARCH(("No"),(P208))))</formula>
    </cfRule>
  </conditionalFormatting>
  <conditionalFormatting sqref="P208:Q211">
    <cfRule type="containsText" dxfId="9" priority="39750" operator="containsText" text="No">
      <formula>NOT(ISERROR(SEARCH(("No"),(P208))))</formula>
    </cfRule>
  </conditionalFormatting>
  <conditionalFormatting sqref="P208:Q211">
    <cfRule type="containsText" dxfId="9" priority="39751" operator="containsText" text="No">
      <formula>NOT(ISERROR(SEARCH(("No"),(P208))))</formula>
    </cfRule>
  </conditionalFormatting>
  <conditionalFormatting sqref="P208:Q211">
    <cfRule type="containsText" dxfId="9" priority="39752" operator="containsText" text="No">
      <formula>NOT(ISERROR(SEARCH(("No"),(P208))))</formula>
    </cfRule>
  </conditionalFormatting>
  <conditionalFormatting sqref="P208:Q211">
    <cfRule type="containsText" dxfId="9" priority="39753" operator="containsText" text="No">
      <formula>NOT(ISERROR(SEARCH(("No"),(P208))))</formula>
    </cfRule>
  </conditionalFormatting>
  <conditionalFormatting sqref="P208:Q211">
    <cfRule type="containsText" dxfId="9" priority="39754" operator="containsText" text="No">
      <formula>NOT(ISERROR(SEARCH(("No"),(P208))))</formula>
    </cfRule>
  </conditionalFormatting>
  <conditionalFormatting sqref="P208:Q211">
    <cfRule type="containsText" dxfId="9" priority="39755" operator="containsText" text="No">
      <formula>NOT(ISERROR(SEARCH(("No"),(P208))))</formula>
    </cfRule>
  </conditionalFormatting>
  <conditionalFormatting sqref="P208:Q211">
    <cfRule type="containsText" dxfId="9" priority="39756" operator="containsText" text="No">
      <formula>NOT(ISERROR(SEARCH(("No"),(P208))))</formula>
    </cfRule>
  </conditionalFormatting>
  <conditionalFormatting sqref="P208:Q211">
    <cfRule type="containsText" dxfId="9" priority="39757" operator="containsText" text="No">
      <formula>NOT(ISERROR(SEARCH(("No"),(P208))))</formula>
    </cfRule>
  </conditionalFormatting>
  <conditionalFormatting sqref="P208:Q211">
    <cfRule type="containsText" dxfId="9" priority="39758" operator="containsText" text="No">
      <formula>NOT(ISERROR(SEARCH(("No"),(P208))))</formula>
    </cfRule>
  </conditionalFormatting>
  <conditionalFormatting sqref="P208:Q211">
    <cfRule type="containsText" dxfId="9" priority="39759" operator="containsText" text="No">
      <formula>NOT(ISERROR(SEARCH(("No"),(P208))))</formula>
    </cfRule>
  </conditionalFormatting>
  <conditionalFormatting sqref="P208:Q211">
    <cfRule type="containsText" dxfId="9" priority="39760" operator="containsText" text="No">
      <formula>NOT(ISERROR(SEARCH(("No"),(P208))))</formula>
    </cfRule>
  </conditionalFormatting>
  <conditionalFormatting sqref="P208:Q211">
    <cfRule type="containsText" dxfId="9" priority="39761" operator="containsText" text="No">
      <formula>NOT(ISERROR(SEARCH(("No"),(P208))))</formula>
    </cfRule>
  </conditionalFormatting>
  <conditionalFormatting sqref="P208:Q211">
    <cfRule type="containsText" dxfId="9" priority="39762" operator="containsText" text="No">
      <formula>NOT(ISERROR(SEARCH(("No"),(P208))))</formula>
    </cfRule>
  </conditionalFormatting>
  <conditionalFormatting sqref="P208:Q211">
    <cfRule type="containsText" dxfId="9" priority="39763" operator="containsText" text="No">
      <formula>NOT(ISERROR(SEARCH(("No"),(P208))))</formula>
    </cfRule>
  </conditionalFormatting>
  <conditionalFormatting sqref="P208:Q211">
    <cfRule type="containsText" dxfId="9" priority="39764" operator="containsText" text="No">
      <formula>NOT(ISERROR(SEARCH(("No"),(P208))))</formula>
    </cfRule>
  </conditionalFormatting>
  <conditionalFormatting sqref="P208:Q211">
    <cfRule type="containsText" dxfId="9" priority="39765" operator="containsText" text="No">
      <formula>NOT(ISERROR(SEARCH(("No"),(P208))))</formula>
    </cfRule>
  </conditionalFormatting>
  <conditionalFormatting sqref="P208:Q211">
    <cfRule type="containsText" dxfId="9" priority="39766" operator="containsText" text="No">
      <formula>NOT(ISERROR(SEARCH(("No"),(P208))))</formula>
    </cfRule>
  </conditionalFormatting>
  <conditionalFormatting sqref="P208:Q211">
    <cfRule type="containsText" dxfId="9" priority="39767" operator="containsText" text="No">
      <formula>NOT(ISERROR(SEARCH(("No"),(P208))))</formula>
    </cfRule>
  </conditionalFormatting>
  <conditionalFormatting sqref="P208:Q211">
    <cfRule type="containsText" dxfId="9" priority="39768" operator="containsText" text="No">
      <formula>NOT(ISERROR(SEARCH(("No"),(P208))))</formula>
    </cfRule>
  </conditionalFormatting>
  <conditionalFormatting sqref="P208:Q211">
    <cfRule type="containsText" dxfId="9" priority="39769" operator="containsText" text="No">
      <formula>NOT(ISERROR(SEARCH(("No"),(P208))))</formula>
    </cfRule>
  </conditionalFormatting>
  <conditionalFormatting sqref="P208:Q211">
    <cfRule type="containsText" dxfId="9" priority="39770" operator="containsText" text="No">
      <formula>NOT(ISERROR(SEARCH(("No"),(P208))))</formula>
    </cfRule>
  </conditionalFormatting>
  <conditionalFormatting sqref="P208:Q211">
    <cfRule type="containsText" dxfId="9" priority="39771" operator="containsText" text="No">
      <formula>NOT(ISERROR(SEARCH(("No"),(P208))))</formula>
    </cfRule>
  </conditionalFormatting>
  <conditionalFormatting sqref="P208:Q211">
    <cfRule type="containsText" dxfId="9" priority="39772" operator="containsText" text="No">
      <formula>NOT(ISERROR(SEARCH(("No"),(P208))))</formula>
    </cfRule>
  </conditionalFormatting>
  <conditionalFormatting sqref="P208:Q211">
    <cfRule type="containsText" dxfId="9" priority="39773" operator="containsText" text="No">
      <formula>NOT(ISERROR(SEARCH(("No"),(P208))))</formula>
    </cfRule>
  </conditionalFormatting>
  <conditionalFormatting sqref="P208:Q211">
    <cfRule type="containsText" dxfId="9" priority="39774" operator="containsText" text="No">
      <formula>NOT(ISERROR(SEARCH(("No"),(P208))))</formula>
    </cfRule>
  </conditionalFormatting>
  <conditionalFormatting sqref="P208:Q211">
    <cfRule type="containsText" dxfId="9" priority="39775" operator="containsText" text="No">
      <formula>NOT(ISERROR(SEARCH(("No"),(P208))))</formula>
    </cfRule>
  </conditionalFormatting>
  <conditionalFormatting sqref="P208:Q211">
    <cfRule type="containsText" dxfId="9" priority="39776" operator="containsText" text="No">
      <formula>NOT(ISERROR(SEARCH(("No"),(P208))))</formula>
    </cfRule>
  </conditionalFormatting>
  <conditionalFormatting sqref="P208:Q211">
    <cfRule type="containsText" dxfId="9" priority="39777" operator="containsText" text="No">
      <formula>NOT(ISERROR(SEARCH(("No"),(P208))))</formula>
    </cfRule>
  </conditionalFormatting>
  <conditionalFormatting sqref="P208:Q211">
    <cfRule type="containsText" dxfId="9" priority="39778" operator="containsText" text="No">
      <formula>NOT(ISERROR(SEARCH(("No"),(P208))))</formula>
    </cfRule>
  </conditionalFormatting>
  <conditionalFormatting sqref="P208:Q211">
    <cfRule type="containsText" dxfId="9" priority="39779" operator="containsText" text="No">
      <formula>NOT(ISERROR(SEARCH(("No"),(P208))))</formula>
    </cfRule>
  </conditionalFormatting>
  <conditionalFormatting sqref="P208:Q211">
    <cfRule type="containsText" dxfId="9" priority="39780" operator="containsText" text="No">
      <formula>NOT(ISERROR(SEARCH(("No"),(P208))))</formula>
    </cfRule>
  </conditionalFormatting>
  <conditionalFormatting sqref="P208:Q211">
    <cfRule type="containsText" dxfId="9" priority="39781" operator="containsText" text="No">
      <formula>NOT(ISERROR(SEARCH(("No"),(P208))))</formula>
    </cfRule>
  </conditionalFormatting>
  <conditionalFormatting sqref="P208:Q211">
    <cfRule type="containsText" dxfId="9" priority="39782" operator="containsText" text="No">
      <formula>NOT(ISERROR(SEARCH(("No"),(P208))))</formula>
    </cfRule>
  </conditionalFormatting>
  <conditionalFormatting sqref="P208:Q211">
    <cfRule type="containsText" dxfId="9" priority="39783" operator="containsText" text="No">
      <formula>NOT(ISERROR(SEARCH(("No"),(P208))))</formula>
    </cfRule>
  </conditionalFormatting>
  <conditionalFormatting sqref="P208:Q211">
    <cfRule type="containsText" dxfId="9" priority="39784" operator="containsText" text="No">
      <formula>NOT(ISERROR(SEARCH(("No"),(P208))))</formula>
    </cfRule>
  </conditionalFormatting>
  <conditionalFormatting sqref="P208:Q211">
    <cfRule type="containsText" dxfId="9" priority="39785" operator="containsText" text="No">
      <formula>NOT(ISERROR(SEARCH(("No"),(P208))))</formula>
    </cfRule>
  </conditionalFormatting>
  <conditionalFormatting sqref="P208:Q211">
    <cfRule type="containsText" dxfId="9" priority="39786" operator="containsText" text="No">
      <formula>NOT(ISERROR(SEARCH(("No"),(P208))))</formula>
    </cfRule>
  </conditionalFormatting>
  <conditionalFormatting sqref="P208:Q211">
    <cfRule type="containsText" dxfId="9" priority="39787" operator="containsText" text="No">
      <formula>NOT(ISERROR(SEARCH(("No"),(P208))))</formula>
    </cfRule>
  </conditionalFormatting>
  <conditionalFormatting sqref="P208:Q211">
    <cfRule type="containsText" dxfId="9" priority="39788" operator="containsText" text="No">
      <formula>NOT(ISERROR(SEARCH(("No"),(P208))))</formula>
    </cfRule>
  </conditionalFormatting>
  <conditionalFormatting sqref="P208:Q211">
    <cfRule type="containsText" dxfId="2" priority="39789" operator="containsText" text="Yes">
      <formula>NOT(ISERROR(SEARCH(("Yes"),(P208))))</formula>
    </cfRule>
  </conditionalFormatting>
  <conditionalFormatting sqref="P208:Q211">
    <cfRule type="containsText" dxfId="2" priority="39790" operator="containsText" text="Yes">
      <formula>NOT(ISERROR(SEARCH(("Yes"),(P208))))</formula>
    </cfRule>
  </conditionalFormatting>
  <conditionalFormatting sqref="P208:Q211">
    <cfRule type="containsText" dxfId="2" priority="39791" operator="containsText" text="Yes">
      <formula>NOT(ISERROR(SEARCH(("Yes"),(P208))))</formula>
    </cfRule>
  </conditionalFormatting>
  <conditionalFormatting sqref="P208:Q211">
    <cfRule type="containsText" dxfId="2" priority="39792" operator="containsText" text="Yes">
      <formula>NOT(ISERROR(SEARCH(("Yes"),(P208))))</formula>
    </cfRule>
  </conditionalFormatting>
  <conditionalFormatting sqref="P208:Q211">
    <cfRule type="containsText" dxfId="2" priority="39793" operator="containsText" text="Yes">
      <formula>NOT(ISERROR(SEARCH(("Yes"),(P208))))</formula>
    </cfRule>
  </conditionalFormatting>
  <conditionalFormatting sqref="P208:Q211">
    <cfRule type="containsText" dxfId="2" priority="39794" operator="containsText" text="Yes">
      <formula>NOT(ISERROR(SEARCH(("Yes"),(P208))))</formula>
    </cfRule>
  </conditionalFormatting>
  <conditionalFormatting sqref="P208:Q211">
    <cfRule type="containsText" dxfId="2" priority="39795" operator="containsText" text="Yes">
      <formula>NOT(ISERROR(SEARCH(("Yes"),(P208))))</formula>
    </cfRule>
  </conditionalFormatting>
  <conditionalFormatting sqref="P208:Q211">
    <cfRule type="containsText" dxfId="2" priority="39796" operator="containsText" text="Yes">
      <formula>NOT(ISERROR(SEARCH(("Yes"),(P208))))</formula>
    </cfRule>
  </conditionalFormatting>
  <conditionalFormatting sqref="P208:Q211">
    <cfRule type="containsText" dxfId="2" priority="39797" operator="containsText" text="Yes">
      <formula>NOT(ISERROR(SEARCH(("Yes"),(P208))))</formula>
    </cfRule>
  </conditionalFormatting>
  <conditionalFormatting sqref="P208:Q211">
    <cfRule type="containsText" dxfId="2" priority="39798" operator="containsText" text="Yes">
      <formula>NOT(ISERROR(SEARCH(("Yes"),(P208))))</formula>
    </cfRule>
  </conditionalFormatting>
  <conditionalFormatting sqref="P208:Q211">
    <cfRule type="containsText" dxfId="2" priority="39799" operator="containsText" text="Yes">
      <formula>NOT(ISERROR(SEARCH(("Yes"),(P208))))</formula>
    </cfRule>
  </conditionalFormatting>
  <conditionalFormatting sqref="P208:Q211">
    <cfRule type="containsText" dxfId="2" priority="39800" operator="containsText" text="Yes">
      <formula>NOT(ISERROR(SEARCH(("Yes"),(P208))))</formula>
    </cfRule>
  </conditionalFormatting>
  <conditionalFormatting sqref="P208:Q211">
    <cfRule type="containsText" dxfId="2" priority="39801" operator="containsText" text="Yes">
      <formula>NOT(ISERROR(SEARCH(("Yes"),(P208))))</formula>
    </cfRule>
  </conditionalFormatting>
  <conditionalFormatting sqref="P208:Q211">
    <cfRule type="containsText" dxfId="2" priority="39802" operator="containsText" text="Yes">
      <formula>NOT(ISERROR(SEARCH(("Yes"),(P208))))</formula>
    </cfRule>
  </conditionalFormatting>
  <conditionalFormatting sqref="P208:Q211">
    <cfRule type="containsText" dxfId="2" priority="39803" operator="containsText" text="Yes">
      <formula>NOT(ISERROR(SEARCH(("Yes"),(P208))))</formula>
    </cfRule>
  </conditionalFormatting>
  <conditionalFormatting sqref="P208:Q211">
    <cfRule type="containsText" dxfId="2" priority="39804" operator="containsText" text="Yes">
      <formula>NOT(ISERROR(SEARCH(("Yes"),(P208))))</formula>
    </cfRule>
  </conditionalFormatting>
  <conditionalFormatting sqref="P208:Q211">
    <cfRule type="containsText" dxfId="2" priority="39805" operator="containsText" text="Yes">
      <formula>NOT(ISERROR(SEARCH(("Yes"),(P208))))</formula>
    </cfRule>
  </conditionalFormatting>
  <conditionalFormatting sqref="P208:Q211">
    <cfRule type="containsText" dxfId="2" priority="39806" operator="containsText" text="Yes">
      <formula>NOT(ISERROR(SEARCH(("Yes"),(P208))))</formula>
    </cfRule>
  </conditionalFormatting>
  <conditionalFormatting sqref="P208:Q211">
    <cfRule type="containsText" dxfId="2" priority="39807" operator="containsText" text="Yes">
      <formula>NOT(ISERROR(SEARCH(("Yes"),(P208))))</formula>
    </cfRule>
  </conditionalFormatting>
  <conditionalFormatting sqref="P208:Q211">
    <cfRule type="containsText" dxfId="2" priority="39808" operator="containsText" text="Yes">
      <formula>NOT(ISERROR(SEARCH(("Yes"),(P208))))</formula>
    </cfRule>
  </conditionalFormatting>
  <conditionalFormatting sqref="P208:Q211">
    <cfRule type="containsText" dxfId="2" priority="39809" operator="containsText" text="Yes">
      <formula>NOT(ISERROR(SEARCH(("Yes"),(P208))))</formula>
    </cfRule>
  </conditionalFormatting>
  <conditionalFormatting sqref="P208:Q211">
    <cfRule type="containsText" dxfId="2" priority="39810" operator="containsText" text="Yes">
      <formula>NOT(ISERROR(SEARCH(("Yes"),(P208))))</formula>
    </cfRule>
  </conditionalFormatting>
  <conditionalFormatting sqref="P208:Q211">
    <cfRule type="containsText" dxfId="2" priority="39811" operator="containsText" text="Yes">
      <formula>NOT(ISERROR(SEARCH(("Yes"),(P208))))</formula>
    </cfRule>
  </conditionalFormatting>
  <conditionalFormatting sqref="P208:Q211">
    <cfRule type="containsText" dxfId="2" priority="39812" operator="containsText" text="Yes">
      <formula>NOT(ISERROR(SEARCH(("Yes"),(P208))))</formula>
    </cfRule>
  </conditionalFormatting>
  <conditionalFormatting sqref="P208:Q211">
    <cfRule type="containsText" dxfId="2" priority="39813" operator="containsText" text="Yes">
      <formula>NOT(ISERROR(SEARCH(("Yes"),(P208))))</formula>
    </cfRule>
  </conditionalFormatting>
  <conditionalFormatting sqref="P208:Q211">
    <cfRule type="containsText" dxfId="2" priority="39814" operator="containsText" text="Yes">
      <formula>NOT(ISERROR(SEARCH(("Yes"),(P208))))</formula>
    </cfRule>
  </conditionalFormatting>
  <conditionalFormatting sqref="P208:Q211">
    <cfRule type="containsText" dxfId="2" priority="39815" operator="containsText" text="Yes">
      <formula>NOT(ISERROR(SEARCH(("Yes"),(P208))))</formula>
    </cfRule>
  </conditionalFormatting>
  <conditionalFormatting sqref="P208:Q211">
    <cfRule type="containsText" dxfId="2" priority="39816" operator="containsText" text="Yes">
      <formula>NOT(ISERROR(SEARCH(("Yes"),(P208))))</formula>
    </cfRule>
  </conditionalFormatting>
  <conditionalFormatting sqref="P208:Q211">
    <cfRule type="containsText" dxfId="2" priority="39817" operator="containsText" text="Yes">
      <formula>NOT(ISERROR(SEARCH(("Yes"),(P208))))</formula>
    </cfRule>
  </conditionalFormatting>
  <conditionalFormatting sqref="P208:Q211">
    <cfRule type="containsText" dxfId="2" priority="39818" operator="containsText" text="Yes">
      <formula>NOT(ISERROR(SEARCH(("Yes"),(P208))))</formula>
    </cfRule>
  </conditionalFormatting>
  <conditionalFormatting sqref="P208:Q211">
    <cfRule type="containsText" dxfId="2" priority="39819" operator="containsText" text="Yes">
      <formula>NOT(ISERROR(SEARCH(("Yes"),(P208))))</formula>
    </cfRule>
  </conditionalFormatting>
  <conditionalFormatting sqref="P208:Q211">
    <cfRule type="containsText" dxfId="2" priority="39820" operator="containsText" text="Yes">
      <formula>NOT(ISERROR(SEARCH(("Yes"),(P208))))</formula>
    </cfRule>
  </conditionalFormatting>
  <conditionalFormatting sqref="P208:Q211">
    <cfRule type="containsText" dxfId="2" priority="39821" operator="containsText" text="Yes">
      <formula>NOT(ISERROR(SEARCH(("Yes"),(P208))))</formula>
    </cfRule>
  </conditionalFormatting>
  <conditionalFormatting sqref="P208:Q211">
    <cfRule type="containsText" dxfId="2" priority="39822" operator="containsText" text="Yes">
      <formula>NOT(ISERROR(SEARCH(("Yes"),(P208))))</formula>
    </cfRule>
  </conditionalFormatting>
  <conditionalFormatting sqref="P208:Q211">
    <cfRule type="containsText" dxfId="2" priority="39823" operator="containsText" text="Yes">
      <formula>NOT(ISERROR(SEARCH(("Yes"),(P208))))</formula>
    </cfRule>
  </conditionalFormatting>
  <conditionalFormatting sqref="P208:Q211">
    <cfRule type="containsText" dxfId="2" priority="39824" operator="containsText" text="Yes">
      <formula>NOT(ISERROR(SEARCH(("Yes"),(P208))))</formula>
    </cfRule>
  </conditionalFormatting>
  <conditionalFormatting sqref="P208:Q211">
    <cfRule type="containsText" dxfId="2" priority="39825" operator="containsText" text="Yes">
      <formula>NOT(ISERROR(SEARCH(("Yes"),(P208))))</formula>
    </cfRule>
  </conditionalFormatting>
  <conditionalFormatting sqref="P208:Q211">
    <cfRule type="containsText" dxfId="2" priority="39826" operator="containsText" text="Yes">
      <formula>NOT(ISERROR(SEARCH(("Yes"),(P208))))</formula>
    </cfRule>
  </conditionalFormatting>
  <conditionalFormatting sqref="P208:Q211">
    <cfRule type="containsText" dxfId="2" priority="39827" operator="containsText" text="Yes">
      <formula>NOT(ISERROR(SEARCH(("Yes"),(P208))))</formula>
    </cfRule>
  </conditionalFormatting>
  <conditionalFormatting sqref="P208:Q211">
    <cfRule type="containsText" dxfId="2" priority="39828" operator="containsText" text="Yes">
      <formula>NOT(ISERROR(SEARCH(("Yes"),(P208))))</formula>
    </cfRule>
  </conditionalFormatting>
  <conditionalFormatting sqref="P208:Q211">
    <cfRule type="containsText" dxfId="2" priority="39829" operator="containsText" text="Yes">
      <formula>NOT(ISERROR(SEARCH(("Yes"),(P208))))</formula>
    </cfRule>
  </conditionalFormatting>
  <conditionalFormatting sqref="P208:Q211">
    <cfRule type="containsText" dxfId="2" priority="39830" operator="containsText" text="Yes">
      <formula>NOT(ISERROR(SEARCH(("Yes"),(P208))))</formula>
    </cfRule>
  </conditionalFormatting>
  <conditionalFormatting sqref="P208:Q211">
    <cfRule type="containsText" dxfId="2" priority="39831" operator="containsText" text="Yes">
      <formula>NOT(ISERROR(SEARCH(("Yes"),(P208))))</formula>
    </cfRule>
  </conditionalFormatting>
  <conditionalFormatting sqref="P208:Q211">
    <cfRule type="containsText" dxfId="2" priority="39832" operator="containsText" text="Yes">
      <formula>NOT(ISERROR(SEARCH(("Yes"),(P208))))</formula>
    </cfRule>
  </conditionalFormatting>
  <conditionalFormatting sqref="P208:Q211">
    <cfRule type="containsText" dxfId="2" priority="39833" operator="containsText" text="Yes">
      <formula>NOT(ISERROR(SEARCH(("Yes"),(P208))))</formula>
    </cfRule>
  </conditionalFormatting>
  <conditionalFormatting sqref="P208:Q211">
    <cfRule type="containsText" dxfId="2" priority="39834" operator="containsText" text="Yes">
      <formula>NOT(ISERROR(SEARCH(("Yes"),(P208))))</formula>
    </cfRule>
  </conditionalFormatting>
  <conditionalFormatting sqref="P208:Q211">
    <cfRule type="containsText" dxfId="2" priority="39835" operator="containsText" text="Yes">
      <formula>NOT(ISERROR(SEARCH(("Yes"),(P208))))</formula>
    </cfRule>
  </conditionalFormatting>
  <conditionalFormatting sqref="N209:N215 O213:O214">
    <cfRule type="containsText" dxfId="9" priority="39836" operator="containsText" text="No">
      <formula>NOT(ISERROR(SEARCH(("No"),(N209))))</formula>
    </cfRule>
  </conditionalFormatting>
  <conditionalFormatting sqref="N209:N215 O213:O214">
    <cfRule type="containsText" dxfId="9" priority="39837" operator="containsText" text="No">
      <formula>NOT(ISERROR(SEARCH(("No"),(N209))))</formula>
    </cfRule>
  </conditionalFormatting>
  <conditionalFormatting sqref="N209:N215 O213:O214">
    <cfRule type="containsText" dxfId="9" priority="39838" operator="containsText" text="No">
      <formula>NOT(ISERROR(SEARCH(("No"),(N209))))</formula>
    </cfRule>
  </conditionalFormatting>
  <conditionalFormatting sqref="N209:N215 O213:O214">
    <cfRule type="containsText" dxfId="2" priority="39839" operator="containsText" text="Yes">
      <formula>NOT(ISERROR(SEARCH(("Yes"),(N209))))</formula>
    </cfRule>
  </conditionalFormatting>
  <conditionalFormatting sqref="N209:N215 O213:O214">
    <cfRule type="containsText" dxfId="2" priority="39840" operator="containsText" text="Yes">
      <formula>NOT(ISERROR(SEARCH(("Yes"),(N209))))</formula>
    </cfRule>
  </conditionalFormatting>
  <conditionalFormatting sqref="N209:N215 O213:O214">
    <cfRule type="containsText" dxfId="2" priority="39841" operator="containsText" text="Yes">
      <formula>NOT(ISERROR(SEARCH(("Yes"),(N209))))</formula>
    </cfRule>
  </conditionalFormatting>
  <conditionalFormatting sqref="N209:N215 O213:O214">
    <cfRule type="containsText" dxfId="2" priority="39842" operator="containsText" text="Yes">
      <formula>NOT(ISERROR(SEARCH(("Yes"),(N209))))</formula>
    </cfRule>
  </conditionalFormatting>
  <conditionalFormatting sqref="N209:N215 O213:O214">
    <cfRule type="containsText" dxfId="2" priority="39843" operator="containsText" text="Yes">
      <formula>NOT(ISERROR(SEARCH(("Yes"),(N209))))</formula>
    </cfRule>
  </conditionalFormatting>
  <conditionalFormatting sqref="N209:N215 O213:O214">
    <cfRule type="containsText" dxfId="9" priority="39844" operator="containsText" text="No">
      <formula>NOT(ISERROR(SEARCH(("No"),(N209))))</formula>
    </cfRule>
  </conditionalFormatting>
  <conditionalFormatting sqref="N209:N215 O213:O214">
    <cfRule type="containsText" dxfId="2" priority="39845" operator="containsText" text="Yes">
      <formula>NOT(ISERROR(SEARCH(("Yes"),(N209))))</formula>
    </cfRule>
  </conditionalFormatting>
  <conditionalFormatting sqref="O209:O212 O215">
    <cfRule type="containsText" dxfId="9" priority="39846" operator="containsText" text="No">
      <formula>NOT(ISERROR(SEARCH(("No"),(O209))))</formula>
    </cfRule>
  </conditionalFormatting>
  <conditionalFormatting sqref="O209:O212 O215">
    <cfRule type="containsText" dxfId="9" priority="39847" operator="containsText" text="No">
      <formula>NOT(ISERROR(SEARCH(("No"),(O209))))</formula>
    </cfRule>
  </conditionalFormatting>
  <conditionalFormatting sqref="O209:O212 O215">
    <cfRule type="containsText" dxfId="9" priority="39848" operator="containsText" text="No">
      <formula>NOT(ISERROR(SEARCH(("No"),(O209))))</formula>
    </cfRule>
  </conditionalFormatting>
  <conditionalFormatting sqref="O209:O212 O215">
    <cfRule type="containsText" dxfId="2" priority="39849" operator="containsText" text="Yes">
      <formula>NOT(ISERROR(SEARCH(("Yes"),(O209))))</formula>
    </cfRule>
  </conditionalFormatting>
  <conditionalFormatting sqref="O209:O212 O215">
    <cfRule type="containsText" dxfId="2" priority="39850" operator="containsText" text="Yes">
      <formula>NOT(ISERROR(SEARCH(("Yes"),(O209))))</formula>
    </cfRule>
  </conditionalFormatting>
  <conditionalFormatting sqref="O209:O212 O215">
    <cfRule type="containsText" dxfId="2" priority="39851" operator="containsText" text="Yes">
      <formula>NOT(ISERROR(SEARCH(("Yes"),(O209))))</formula>
    </cfRule>
  </conditionalFormatting>
  <conditionalFormatting sqref="O209:O212 O215">
    <cfRule type="containsText" dxfId="2" priority="39852" operator="containsText" text="Yes">
      <formula>NOT(ISERROR(SEARCH(("Yes"),(O209))))</formula>
    </cfRule>
  </conditionalFormatting>
  <conditionalFormatting sqref="O209:O212 O215">
    <cfRule type="containsText" dxfId="2" priority="39853" operator="containsText" text="Yes">
      <formula>NOT(ISERROR(SEARCH(("Yes"),(O209))))</formula>
    </cfRule>
  </conditionalFormatting>
  <conditionalFormatting sqref="O209:O212 O215">
    <cfRule type="containsText" dxfId="9" priority="39854" operator="containsText" text="No">
      <formula>NOT(ISERROR(SEARCH(("No"),(O209))))</formula>
    </cfRule>
  </conditionalFormatting>
  <conditionalFormatting sqref="O209:O212 O215">
    <cfRule type="containsText" dxfId="9" priority="39855" operator="containsText" text="No">
      <formula>NOT(ISERROR(SEARCH(("No"),(O209))))</formula>
    </cfRule>
  </conditionalFormatting>
  <conditionalFormatting sqref="O209:O212 O215">
    <cfRule type="containsText" dxfId="2" priority="39856" operator="containsText" text="Yes">
      <formula>NOT(ISERROR(SEARCH(("Yes"),(O209))))</formula>
    </cfRule>
  </conditionalFormatting>
  <conditionalFormatting sqref="P209:Q209">
    <cfRule type="containsText" dxfId="9" priority="39857" operator="containsText" text="No">
      <formula>NOT(ISERROR(SEARCH(("No"),(P209))))</formula>
    </cfRule>
  </conditionalFormatting>
  <conditionalFormatting sqref="P209:Q209">
    <cfRule type="containsText" dxfId="9" priority="39858" operator="containsText" text="No">
      <formula>NOT(ISERROR(SEARCH(("No"),(P209))))</formula>
    </cfRule>
  </conditionalFormatting>
  <conditionalFormatting sqref="P209:Q209">
    <cfRule type="containsText" dxfId="9" priority="39859" operator="containsText" text="No">
      <formula>NOT(ISERROR(SEARCH(("No"),(P209))))</formula>
    </cfRule>
  </conditionalFormatting>
  <conditionalFormatting sqref="P209:Q209">
    <cfRule type="containsText" dxfId="9" priority="39860" operator="containsText" text="No">
      <formula>NOT(ISERROR(SEARCH(("No"),(P209))))</formula>
    </cfRule>
  </conditionalFormatting>
  <conditionalFormatting sqref="P209:Q209">
    <cfRule type="containsText" dxfId="9" priority="39861" operator="containsText" text="No">
      <formula>NOT(ISERROR(SEARCH(("No"),(P209))))</formula>
    </cfRule>
  </conditionalFormatting>
  <conditionalFormatting sqref="P209:Q209">
    <cfRule type="containsText" dxfId="9" priority="39862" operator="containsText" text="No">
      <formula>NOT(ISERROR(SEARCH(("No"),(P209))))</formula>
    </cfRule>
  </conditionalFormatting>
  <conditionalFormatting sqref="P209:Q209">
    <cfRule type="containsText" dxfId="9" priority="39863" operator="containsText" text="No">
      <formula>NOT(ISERROR(SEARCH(("No"),(P209))))</formula>
    </cfRule>
  </conditionalFormatting>
  <conditionalFormatting sqref="P209:Q209">
    <cfRule type="containsText" dxfId="9" priority="39864" operator="containsText" text="No">
      <formula>NOT(ISERROR(SEARCH(("No"),(P209))))</formula>
    </cfRule>
  </conditionalFormatting>
  <conditionalFormatting sqref="P209:Q209">
    <cfRule type="containsText" dxfId="9" priority="39865" operator="containsText" text="No">
      <formula>NOT(ISERROR(SEARCH(("No"),(P209))))</formula>
    </cfRule>
  </conditionalFormatting>
  <conditionalFormatting sqref="P209:Q209">
    <cfRule type="containsText" dxfId="9" priority="39866" operator="containsText" text="No">
      <formula>NOT(ISERROR(SEARCH(("No"),(P209))))</formula>
    </cfRule>
  </conditionalFormatting>
  <conditionalFormatting sqref="P209:Q209">
    <cfRule type="containsText" dxfId="9" priority="39867" operator="containsText" text="No">
      <formula>NOT(ISERROR(SEARCH(("No"),(P209))))</formula>
    </cfRule>
  </conditionalFormatting>
  <conditionalFormatting sqref="P209:Q209">
    <cfRule type="containsText" dxfId="9" priority="39868" operator="containsText" text="No">
      <formula>NOT(ISERROR(SEARCH(("No"),(P209))))</formula>
    </cfRule>
  </conditionalFormatting>
  <conditionalFormatting sqref="P209:Q209">
    <cfRule type="containsText" dxfId="9" priority="39869" operator="containsText" text="No">
      <formula>NOT(ISERROR(SEARCH(("No"),(P209))))</formula>
    </cfRule>
  </conditionalFormatting>
  <conditionalFormatting sqref="P209:Q209">
    <cfRule type="containsText" dxfId="9" priority="39870" operator="containsText" text="No">
      <formula>NOT(ISERROR(SEARCH(("No"),(P209))))</formula>
    </cfRule>
  </conditionalFormatting>
  <conditionalFormatting sqref="P209:Q209">
    <cfRule type="containsText" dxfId="9" priority="39871" operator="containsText" text="No">
      <formula>NOT(ISERROR(SEARCH(("No"),(P209))))</formula>
    </cfRule>
  </conditionalFormatting>
  <conditionalFormatting sqref="P209:Q209">
    <cfRule type="containsText" dxfId="9" priority="39872" operator="containsText" text="No">
      <formula>NOT(ISERROR(SEARCH(("No"),(P209))))</formula>
    </cfRule>
  </conditionalFormatting>
  <conditionalFormatting sqref="P209:Q209">
    <cfRule type="containsText" dxfId="9" priority="39873" operator="containsText" text="No">
      <formula>NOT(ISERROR(SEARCH(("No"),(P209))))</formula>
    </cfRule>
  </conditionalFormatting>
  <conditionalFormatting sqref="P209:Q209">
    <cfRule type="containsText" dxfId="9" priority="39874" operator="containsText" text="No">
      <formula>NOT(ISERROR(SEARCH(("No"),(P209))))</formula>
    </cfRule>
  </conditionalFormatting>
  <conditionalFormatting sqref="P209:Q209">
    <cfRule type="containsText" dxfId="9" priority="39875" operator="containsText" text="No">
      <formula>NOT(ISERROR(SEARCH(("No"),(P209))))</formula>
    </cfRule>
  </conditionalFormatting>
  <conditionalFormatting sqref="P209:Q209">
    <cfRule type="containsText" dxfId="9" priority="39876" operator="containsText" text="No">
      <formula>NOT(ISERROR(SEARCH(("No"),(P209))))</formula>
    </cfRule>
  </conditionalFormatting>
  <conditionalFormatting sqref="P209:Q209">
    <cfRule type="containsText" dxfId="9" priority="39877" operator="containsText" text="No">
      <formula>NOT(ISERROR(SEARCH(("No"),(P209))))</formula>
    </cfRule>
  </conditionalFormatting>
  <conditionalFormatting sqref="P209:Q209">
    <cfRule type="containsText" dxfId="9" priority="39878" operator="containsText" text="No">
      <formula>NOT(ISERROR(SEARCH(("No"),(P209))))</formula>
    </cfRule>
  </conditionalFormatting>
  <conditionalFormatting sqref="P209:Q209">
    <cfRule type="containsText" dxfId="9" priority="39879" operator="containsText" text="No">
      <formula>NOT(ISERROR(SEARCH(("No"),(P209))))</formula>
    </cfRule>
  </conditionalFormatting>
  <conditionalFormatting sqref="P209:Q209">
    <cfRule type="containsText" dxfId="9" priority="39880" operator="containsText" text="No">
      <formula>NOT(ISERROR(SEARCH(("No"),(P209))))</formula>
    </cfRule>
  </conditionalFormatting>
  <conditionalFormatting sqref="P209:Q209">
    <cfRule type="containsText" dxfId="9" priority="39881" operator="containsText" text="No">
      <formula>NOT(ISERROR(SEARCH(("No"),(P209))))</formula>
    </cfRule>
  </conditionalFormatting>
  <conditionalFormatting sqref="P209:Q209">
    <cfRule type="containsText" dxfId="9" priority="39882" operator="containsText" text="No">
      <formula>NOT(ISERROR(SEARCH(("No"),(P209))))</formula>
    </cfRule>
  </conditionalFormatting>
  <conditionalFormatting sqref="P209:Q209">
    <cfRule type="containsText" dxfId="9" priority="39883" operator="containsText" text="No">
      <formula>NOT(ISERROR(SEARCH(("No"),(P209))))</formula>
    </cfRule>
  </conditionalFormatting>
  <conditionalFormatting sqref="P209:Q209">
    <cfRule type="containsText" dxfId="9" priority="39884" operator="containsText" text="No">
      <formula>NOT(ISERROR(SEARCH(("No"),(P209))))</formula>
    </cfRule>
  </conditionalFormatting>
  <conditionalFormatting sqref="P209:Q209">
    <cfRule type="containsText" dxfId="9" priority="39885" operator="containsText" text="No">
      <formula>NOT(ISERROR(SEARCH(("No"),(P209))))</formula>
    </cfRule>
  </conditionalFormatting>
  <conditionalFormatting sqref="P209:Q209">
    <cfRule type="containsText" dxfId="9" priority="39886" operator="containsText" text="No">
      <formula>NOT(ISERROR(SEARCH(("No"),(P209))))</formula>
    </cfRule>
  </conditionalFormatting>
  <conditionalFormatting sqref="P209:Q209">
    <cfRule type="containsText" dxfId="9" priority="39887" operator="containsText" text="No">
      <formula>NOT(ISERROR(SEARCH(("No"),(P209))))</formula>
    </cfRule>
  </conditionalFormatting>
  <conditionalFormatting sqref="P209:Q209">
    <cfRule type="containsText" dxfId="9" priority="39888" operator="containsText" text="No">
      <formula>NOT(ISERROR(SEARCH(("No"),(P209))))</formula>
    </cfRule>
  </conditionalFormatting>
  <conditionalFormatting sqref="P209:Q209">
    <cfRule type="containsText" dxfId="9" priority="39889" operator="containsText" text="No">
      <formula>NOT(ISERROR(SEARCH(("No"),(P209))))</formula>
    </cfRule>
  </conditionalFormatting>
  <conditionalFormatting sqref="P209:Q209">
    <cfRule type="containsText" dxfId="9" priority="39890" operator="containsText" text="No">
      <formula>NOT(ISERROR(SEARCH(("No"),(P209))))</formula>
    </cfRule>
  </conditionalFormatting>
  <conditionalFormatting sqref="P209:Q209">
    <cfRule type="containsText" dxfId="9" priority="39891" operator="containsText" text="No">
      <formula>NOT(ISERROR(SEARCH(("No"),(P209))))</formula>
    </cfRule>
  </conditionalFormatting>
  <conditionalFormatting sqref="P209:Q209">
    <cfRule type="containsText" dxfId="9" priority="39892" operator="containsText" text="No">
      <formula>NOT(ISERROR(SEARCH(("No"),(P209))))</formula>
    </cfRule>
  </conditionalFormatting>
  <conditionalFormatting sqref="P209:Q209">
    <cfRule type="containsText" dxfId="9" priority="39893" operator="containsText" text="No">
      <formula>NOT(ISERROR(SEARCH(("No"),(P209))))</formula>
    </cfRule>
  </conditionalFormatting>
  <conditionalFormatting sqref="P209:Q209">
    <cfRule type="containsText" dxfId="9" priority="39894" operator="containsText" text="No">
      <formula>NOT(ISERROR(SEARCH(("No"),(P209))))</formula>
    </cfRule>
  </conditionalFormatting>
  <conditionalFormatting sqref="P209:Q209">
    <cfRule type="containsText" dxfId="9" priority="39895" operator="containsText" text="No">
      <formula>NOT(ISERROR(SEARCH(("No"),(P209))))</formula>
    </cfRule>
  </conditionalFormatting>
  <conditionalFormatting sqref="P209:Q209">
    <cfRule type="containsText" dxfId="9" priority="39896" operator="containsText" text="No">
      <formula>NOT(ISERROR(SEARCH(("No"),(P209))))</formula>
    </cfRule>
  </conditionalFormatting>
  <conditionalFormatting sqref="P209:Q209">
    <cfRule type="containsText" dxfId="9" priority="39897" operator="containsText" text="No">
      <formula>NOT(ISERROR(SEARCH(("No"),(P209))))</formula>
    </cfRule>
  </conditionalFormatting>
  <conditionalFormatting sqref="P209:Q209">
    <cfRule type="containsText" dxfId="9" priority="39898" operator="containsText" text="No">
      <formula>NOT(ISERROR(SEARCH(("No"),(P209))))</formula>
    </cfRule>
  </conditionalFormatting>
  <conditionalFormatting sqref="P209:Q209">
    <cfRule type="containsText" dxfId="9" priority="39899" operator="containsText" text="No">
      <formula>NOT(ISERROR(SEARCH(("No"),(P209))))</formula>
    </cfRule>
  </conditionalFormatting>
  <conditionalFormatting sqref="P209:Q209">
    <cfRule type="containsText" dxfId="9" priority="39900" operator="containsText" text="No">
      <formula>NOT(ISERROR(SEARCH(("No"),(P209))))</formula>
    </cfRule>
  </conditionalFormatting>
  <conditionalFormatting sqref="P209:Q209">
    <cfRule type="containsText" dxfId="9" priority="39901" operator="containsText" text="No">
      <formula>NOT(ISERROR(SEARCH(("No"),(P209))))</formula>
    </cfRule>
  </conditionalFormatting>
  <conditionalFormatting sqref="P209:Q209">
    <cfRule type="containsText" dxfId="2" priority="39902" operator="containsText" text="Yes">
      <formula>NOT(ISERROR(SEARCH(("Yes"),(P209))))</formula>
    </cfRule>
  </conditionalFormatting>
  <conditionalFormatting sqref="P209:Q209">
    <cfRule type="containsText" dxfId="2" priority="39903" operator="containsText" text="Yes">
      <formula>NOT(ISERROR(SEARCH(("Yes"),(P209))))</formula>
    </cfRule>
  </conditionalFormatting>
  <conditionalFormatting sqref="P209:Q209">
    <cfRule type="containsText" dxfId="2" priority="39904" operator="containsText" text="Yes">
      <formula>NOT(ISERROR(SEARCH(("Yes"),(P209))))</formula>
    </cfRule>
  </conditionalFormatting>
  <conditionalFormatting sqref="P209:Q209">
    <cfRule type="containsText" dxfId="2" priority="39905" operator="containsText" text="Yes">
      <formula>NOT(ISERROR(SEARCH(("Yes"),(P209))))</formula>
    </cfRule>
  </conditionalFormatting>
  <conditionalFormatting sqref="P209:Q209">
    <cfRule type="containsText" dxfId="2" priority="39906" operator="containsText" text="Yes">
      <formula>NOT(ISERROR(SEARCH(("Yes"),(P209))))</formula>
    </cfRule>
  </conditionalFormatting>
  <conditionalFormatting sqref="P209:Q209">
    <cfRule type="containsText" dxfId="2" priority="39907" operator="containsText" text="Yes">
      <formula>NOT(ISERROR(SEARCH(("Yes"),(P209))))</formula>
    </cfRule>
  </conditionalFormatting>
  <conditionalFormatting sqref="P209:Q209">
    <cfRule type="containsText" dxfId="2" priority="39908" operator="containsText" text="Yes">
      <formula>NOT(ISERROR(SEARCH(("Yes"),(P209))))</formula>
    </cfRule>
  </conditionalFormatting>
  <conditionalFormatting sqref="P209:Q209">
    <cfRule type="containsText" dxfId="2" priority="39909" operator="containsText" text="Yes">
      <formula>NOT(ISERROR(SEARCH(("Yes"),(P209))))</formula>
    </cfRule>
  </conditionalFormatting>
  <conditionalFormatting sqref="P209:Q209">
    <cfRule type="containsText" dxfId="2" priority="39910" operator="containsText" text="Yes">
      <formula>NOT(ISERROR(SEARCH(("Yes"),(P209))))</formula>
    </cfRule>
  </conditionalFormatting>
  <conditionalFormatting sqref="P209:Q209">
    <cfRule type="containsText" dxfId="2" priority="39911" operator="containsText" text="Yes">
      <formula>NOT(ISERROR(SEARCH(("Yes"),(P209))))</formula>
    </cfRule>
  </conditionalFormatting>
  <conditionalFormatting sqref="P209:Q209">
    <cfRule type="containsText" dxfId="2" priority="39912" operator="containsText" text="Yes">
      <formula>NOT(ISERROR(SEARCH(("Yes"),(P209))))</formula>
    </cfRule>
  </conditionalFormatting>
  <conditionalFormatting sqref="P209:Q209">
    <cfRule type="containsText" dxfId="2" priority="39913" operator="containsText" text="Yes">
      <formula>NOT(ISERROR(SEARCH(("Yes"),(P209))))</formula>
    </cfRule>
  </conditionalFormatting>
  <conditionalFormatting sqref="P209:Q209">
    <cfRule type="containsText" dxfId="2" priority="39914" operator="containsText" text="Yes">
      <formula>NOT(ISERROR(SEARCH(("Yes"),(P209))))</formula>
    </cfRule>
  </conditionalFormatting>
  <conditionalFormatting sqref="P209:Q209">
    <cfRule type="containsText" dxfId="2" priority="39915" operator="containsText" text="Yes">
      <formula>NOT(ISERROR(SEARCH(("Yes"),(P209))))</formula>
    </cfRule>
  </conditionalFormatting>
  <conditionalFormatting sqref="P209:Q209">
    <cfRule type="containsText" dxfId="2" priority="39916" operator="containsText" text="Yes">
      <formula>NOT(ISERROR(SEARCH(("Yes"),(P209))))</formula>
    </cfRule>
  </conditionalFormatting>
  <conditionalFormatting sqref="P209:Q209">
    <cfRule type="containsText" dxfId="2" priority="39917" operator="containsText" text="Yes">
      <formula>NOT(ISERROR(SEARCH(("Yes"),(P209))))</formula>
    </cfRule>
  </conditionalFormatting>
  <conditionalFormatting sqref="P209:Q209">
    <cfRule type="containsText" dxfId="2" priority="39918" operator="containsText" text="Yes">
      <formula>NOT(ISERROR(SEARCH(("Yes"),(P209))))</formula>
    </cfRule>
  </conditionalFormatting>
  <conditionalFormatting sqref="P209:Q209">
    <cfRule type="containsText" dxfId="2" priority="39919" operator="containsText" text="Yes">
      <formula>NOT(ISERROR(SEARCH(("Yes"),(P209))))</formula>
    </cfRule>
  </conditionalFormatting>
  <conditionalFormatting sqref="P209:Q209">
    <cfRule type="containsText" dxfId="2" priority="39920" operator="containsText" text="Yes">
      <formula>NOT(ISERROR(SEARCH(("Yes"),(P209))))</formula>
    </cfRule>
  </conditionalFormatting>
  <conditionalFormatting sqref="P209:Q209">
    <cfRule type="containsText" dxfId="2" priority="39921" operator="containsText" text="Yes">
      <formula>NOT(ISERROR(SEARCH(("Yes"),(P209))))</formula>
    </cfRule>
  </conditionalFormatting>
  <conditionalFormatting sqref="P209:Q209">
    <cfRule type="containsText" dxfId="2" priority="39922" operator="containsText" text="Yes">
      <formula>NOT(ISERROR(SEARCH(("Yes"),(P209))))</formula>
    </cfRule>
  </conditionalFormatting>
  <conditionalFormatting sqref="P209:Q209">
    <cfRule type="containsText" dxfId="2" priority="39923" operator="containsText" text="Yes">
      <formula>NOT(ISERROR(SEARCH(("Yes"),(P209))))</formula>
    </cfRule>
  </conditionalFormatting>
  <conditionalFormatting sqref="P209:Q209">
    <cfRule type="containsText" dxfId="2" priority="39924" operator="containsText" text="Yes">
      <formula>NOT(ISERROR(SEARCH(("Yes"),(P209))))</formula>
    </cfRule>
  </conditionalFormatting>
  <conditionalFormatting sqref="P209:Q209">
    <cfRule type="containsText" dxfId="2" priority="39925" operator="containsText" text="Yes">
      <formula>NOT(ISERROR(SEARCH(("Yes"),(P209))))</formula>
    </cfRule>
  </conditionalFormatting>
  <conditionalFormatting sqref="P209:Q209">
    <cfRule type="containsText" dxfId="2" priority="39926" operator="containsText" text="Yes">
      <formula>NOT(ISERROR(SEARCH(("Yes"),(P209))))</formula>
    </cfRule>
  </conditionalFormatting>
  <conditionalFormatting sqref="P209:Q209">
    <cfRule type="containsText" dxfId="2" priority="39927" operator="containsText" text="Yes">
      <formula>NOT(ISERROR(SEARCH(("Yes"),(P209))))</formula>
    </cfRule>
  </conditionalFormatting>
  <conditionalFormatting sqref="P209:Q209">
    <cfRule type="containsText" dxfId="2" priority="39928" operator="containsText" text="Yes">
      <formula>NOT(ISERROR(SEARCH(("Yes"),(P209))))</formula>
    </cfRule>
  </conditionalFormatting>
  <conditionalFormatting sqref="P209:Q209">
    <cfRule type="containsText" dxfId="2" priority="39929" operator="containsText" text="Yes">
      <formula>NOT(ISERROR(SEARCH(("Yes"),(P209))))</formula>
    </cfRule>
  </conditionalFormatting>
  <conditionalFormatting sqref="P209:Q209">
    <cfRule type="containsText" dxfId="2" priority="39930" operator="containsText" text="Yes">
      <formula>NOT(ISERROR(SEARCH(("Yes"),(P209))))</formula>
    </cfRule>
  </conditionalFormatting>
  <conditionalFormatting sqref="P209:Q209">
    <cfRule type="containsText" dxfId="2" priority="39931" operator="containsText" text="Yes">
      <formula>NOT(ISERROR(SEARCH(("Yes"),(P209))))</formula>
    </cfRule>
  </conditionalFormatting>
  <conditionalFormatting sqref="P209:Q209">
    <cfRule type="containsText" dxfId="2" priority="39932" operator="containsText" text="Yes">
      <formula>NOT(ISERROR(SEARCH(("Yes"),(P209))))</formula>
    </cfRule>
  </conditionalFormatting>
  <conditionalFormatting sqref="P209:Q209">
    <cfRule type="containsText" dxfId="2" priority="39933" operator="containsText" text="Yes">
      <formula>NOT(ISERROR(SEARCH(("Yes"),(P209))))</formula>
    </cfRule>
  </conditionalFormatting>
  <conditionalFormatting sqref="P209:Q209">
    <cfRule type="containsText" dxfId="2" priority="39934" operator="containsText" text="Yes">
      <formula>NOT(ISERROR(SEARCH(("Yes"),(P209))))</formula>
    </cfRule>
  </conditionalFormatting>
  <conditionalFormatting sqref="P209:Q209">
    <cfRule type="containsText" dxfId="2" priority="39935" operator="containsText" text="Yes">
      <formula>NOT(ISERROR(SEARCH(("Yes"),(P209))))</formula>
    </cfRule>
  </conditionalFormatting>
  <conditionalFormatting sqref="P209:Q209">
    <cfRule type="containsText" dxfId="2" priority="39936" operator="containsText" text="Yes">
      <formula>NOT(ISERROR(SEARCH(("Yes"),(P209))))</formula>
    </cfRule>
  </conditionalFormatting>
  <conditionalFormatting sqref="P209:Q209">
    <cfRule type="containsText" dxfId="2" priority="39937" operator="containsText" text="Yes">
      <formula>NOT(ISERROR(SEARCH(("Yes"),(P209))))</formula>
    </cfRule>
  </conditionalFormatting>
  <conditionalFormatting sqref="P209:Q209">
    <cfRule type="containsText" dxfId="2" priority="39938" operator="containsText" text="Yes">
      <formula>NOT(ISERROR(SEARCH(("Yes"),(P209))))</formula>
    </cfRule>
  </conditionalFormatting>
  <conditionalFormatting sqref="P209:Q209">
    <cfRule type="containsText" dxfId="2" priority="39939" operator="containsText" text="Yes">
      <formula>NOT(ISERROR(SEARCH(("Yes"),(P209))))</formula>
    </cfRule>
  </conditionalFormatting>
  <conditionalFormatting sqref="P209:Q209">
    <cfRule type="containsText" dxfId="2" priority="39940" operator="containsText" text="Yes">
      <formula>NOT(ISERROR(SEARCH(("Yes"),(P209))))</formula>
    </cfRule>
  </conditionalFormatting>
  <conditionalFormatting sqref="P209:Q209">
    <cfRule type="containsText" dxfId="2" priority="39941" operator="containsText" text="Yes">
      <formula>NOT(ISERROR(SEARCH(("Yes"),(P209))))</formula>
    </cfRule>
  </conditionalFormatting>
  <conditionalFormatting sqref="P209:Q209">
    <cfRule type="containsText" dxfId="2" priority="39942" operator="containsText" text="Yes">
      <formula>NOT(ISERROR(SEARCH(("Yes"),(P209))))</formula>
    </cfRule>
  </conditionalFormatting>
  <conditionalFormatting sqref="P209:Q209">
    <cfRule type="containsText" dxfId="2" priority="39943" operator="containsText" text="Yes">
      <formula>NOT(ISERROR(SEARCH(("Yes"),(P209))))</formula>
    </cfRule>
  </conditionalFormatting>
  <conditionalFormatting sqref="P209:Q209">
    <cfRule type="containsText" dxfId="2" priority="39944" operator="containsText" text="Yes">
      <formula>NOT(ISERROR(SEARCH(("Yes"),(P209))))</formula>
    </cfRule>
  </conditionalFormatting>
  <conditionalFormatting sqref="P209:Q209">
    <cfRule type="containsText" dxfId="2" priority="39945" operator="containsText" text="Yes">
      <formula>NOT(ISERROR(SEARCH(("Yes"),(P209))))</formula>
    </cfRule>
  </conditionalFormatting>
  <conditionalFormatting sqref="P209:Q209">
    <cfRule type="containsText" dxfId="2" priority="39946" operator="containsText" text="Yes">
      <formula>NOT(ISERROR(SEARCH(("Yes"),(P209))))</formula>
    </cfRule>
  </conditionalFormatting>
  <conditionalFormatting sqref="P209:Q209">
    <cfRule type="containsText" dxfId="2" priority="39947" operator="containsText" text="Yes">
      <formula>NOT(ISERROR(SEARCH(("Yes"),(P209))))</formula>
    </cfRule>
  </conditionalFormatting>
  <conditionalFormatting sqref="P209:Q209">
    <cfRule type="containsText" dxfId="2" priority="39948" operator="containsText" text="Yes">
      <formula>NOT(ISERROR(SEARCH(("Yes"),(P209))))</formula>
    </cfRule>
  </conditionalFormatting>
  <conditionalFormatting sqref="P210:Q215">
    <cfRule type="containsText" dxfId="9" priority="39949" operator="containsText" text="No">
      <formula>NOT(ISERROR(SEARCH(("No"),(P210))))</formula>
    </cfRule>
  </conditionalFormatting>
  <conditionalFormatting sqref="P210:Q215">
    <cfRule type="containsText" dxfId="9" priority="39950" operator="containsText" text="No">
      <formula>NOT(ISERROR(SEARCH(("No"),(P210))))</formula>
    </cfRule>
  </conditionalFormatting>
  <conditionalFormatting sqref="P210:Q215">
    <cfRule type="containsText" dxfId="9" priority="39951" operator="containsText" text="No">
      <formula>NOT(ISERROR(SEARCH(("No"),(P210))))</formula>
    </cfRule>
  </conditionalFormatting>
  <conditionalFormatting sqref="P210:Q215">
    <cfRule type="containsText" dxfId="9" priority="39952" operator="containsText" text="No">
      <formula>NOT(ISERROR(SEARCH(("No"),(P210))))</formula>
    </cfRule>
  </conditionalFormatting>
  <conditionalFormatting sqref="P210:Q215">
    <cfRule type="containsText" dxfId="9" priority="39953" operator="containsText" text="No">
      <formula>NOT(ISERROR(SEARCH(("No"),(P210))))</formula>
    </cfRule>
  </conditionalFormatting>
  <conditionalFormatting sqref="P210:Q215">
    <cfRule type="containsText" dxfId="9" priority="39954" operator="containsText" text="No">
      <formula>NOT(ISERROR(SEARCH(("No"),(P210))))</formula>
    </cfRule>
  </conditionalFormatting>
  <conditionalFormatting sqref="P210:Q215">
    <cfRule type="containsText" dxfId="9" priority="39955" operator="containsText" text="No">
      <formula>NOT(ISERROR(SEARCH(("No"),(P210))))</formula>
    </cfRule>
  </conditionalFormatting>
  <conditionalFormatting sqref="P210:Q215">
    <cfRule type="containsText" dxfId="9" priority="39956" operator="containsText" text="No">
      <formula>NOT(ISERROR(SEARCH(("No"),(P210))))</formula>
    </cfRule>
  </conditionalFormatting>
  <conditionalFormatting sqref="P210:Q215">
    <cfRule type="containsText" dxfId="9" priority="39957" operator="containsText" text="No">
      <formula>NOT(ISERROR(SEARCH(("No"),(P210))))</formula>
    </cfRule>
  </conditionalFormatting>
  <conditionalFormatting sqref="P210:Q215">
    <cfRule type="containsText" dxfId="9" priority="39958" operator="containsText" text="No">
      <formula>NOT(ISERROR(SEARCH(("No"),(P210))))</formula>
    </cfRule>
  </conditionalFormatting>
  <conditionalFormatting sqref="P210:Q215">
    <cfRule type="containsText" dxfId="9" priority="39959" operator="containsText" text="No">
      <formula>NOT(ISERROR(SEARCH(("No"),(P210))))</formula>
    </cfRule>
  </conditionalFormatting>
  <conditionalFormatting sqref="P210:Q215">
    <cfRule type="containsText" dxfId="9" priority="39960" operator="containsText" text="No">
      <formula>NOT(ISERROR(SEARCH(("No"),(P210))))</formula>
    </cfRule>
  </conditionalFormatting>
  <conditionalFormatting sqref="P210:Q215">
    <cfRule type="containsText" dxfId="9" priority="39961" operator="containsText" text="No">
      <formula>NOT(ISERROR(SEARCH(("No"),(P210))))</formula>
    </cfRule>
  </conditionalFormatting>
  <conditionalFormatting sqref="P210:Q215">
    <cfRule type="containsText" dxfId="9" priority="39962" operator="containsText" text="No">
      <formula>NOT(ISERROR(SEARCH(("No"),(P210))))</formula>
    </cfRule>
  </conditionalFormatting>
  <conditionalFormatting sqref="P210:Q215">
    <cfRule type="containsText" dxfId="9" priority="39963" operator="containsText" text="No">
      <formula>NOT(ISERROR(SEARCH(("No"),(P210))))</formula>
    </cfRule>
  </conditionalFormatting>
  <conditionalFormatting sqref="P210:Q215">
    <cfRule type="containsText" dxfId="9" priority="39964" operator="containsText" text="No">
      <formula>NOT(ISERROR(SEARCH(("No"),(P210))))</formula>
    </cfRule>
  </conditionalFormatting>
  <conditionalFormatting sqref="P210:Q215">
    <cfRule type="containsText" dxfId="9" priority="39965" operator="containsText" text="No">
      <formula>NOT(ISERROR(SEARCH(("No"),(P210))))</formula>
    </cfRule>
  </conditionalFormatting>
  <conditionalFormatting sqref="P210:Q215">
    <cfRule type="containsText" dxfId="9" priority="39966" operator="containsText" text="No">
      <formula>NOT(ISERROR(SEARCH(("No"),(P210))))</formula>
    </cfRule>
  </conditionalFormatting>
  <conditionalFormatting sqref="P210:Q215">
    <cfRule type="containsText" dxfId="9" priority="39967" operator="containsText" text="No">
      <formula>NOT(ISERROR(SEARCH(("No"),(P210))))</formula>
    </cfRule>
  </conditionalFormatting>
  <conditionalFormatting sqref="P210:Q215">
    <cfRule type="containsText" dxfId="9" priority="39968" operator="containsText" text="No">
      <formula>NOT(ISERROR(SEARCH(("No"),(P210))))</formula>
    </cfRule>
  </conditionalFormatting>
  <conditionalFormatting sqref="P210:Q215">
    <cfRule type="containsText" dxfId="9" priority="39969" operator="containsText" text="No">
      <formula>NOT(ISERROR(SEARCH(("No"),(P210))))</formula>
    </cfRule>
  </conditionalFormatting>
  <conditionalFormatting sqref="P210:Q215">
    <cfRule type="containsText" dxfId="9" priority="39970" operator="containsText" text="No">
      <formula>NOT(ISERROR(SEARCH(("No"),(P210))))</formula>
    </cfRule>
  </conditionalFormatting>
  <conditionalFormatting sqref="P210:Q215">
    <cfRule type="containsText" dxfId="9" priority="39971" operator="containsText" text="No">
      <formula>NOT(ISERROR(SEARCH(("No"),(P210))))</formula>
    </cfRule>
  </conditionalFormatting>
  <conditionalFormatting sqref="P210:Q215">
    <cfRule type="containsText" dxfId="9" priority="39972" operator="containsText" text="No">
      <formula>NOT(ISERROR(SEARCH(("No"),(P210))))</formula>
    </cfRule>
  </conditionalFormatting>
  <conditionalFormatting sqref="P210:Q215">
    <cfRule type="containsText" dxfId="9" priority="39973" operator="containsText" text="No">
      <formula>NOT(ISERROR(SEARCH(("No"),(P210))))</formula>
    </cfRule>
  </conditionalFormatting>
  <conditionalFormatting sqref="P210:Q215">
    <cfRule type="containsText" dxfId="9" priority="39974" operator="containsText" text="No">
      <formula>NOT(ISERROR(SEARCH(("No"),(P210))))</formula>
    </cfRule>
  </conditionalFormatting>
  <conditionalFormatting sqref="P210:Q215">
    <cfRule type="containsText" dxfId="9" priority="39975" operator="containsText" text="No">
      <formula>NOT(ISERROR(SEARCH(("No"),(P210))))</formula>
    </cfRule>
  </conditionalFormatting>
  <conditionalFormatting sqref="P210:Q215">
    <cfRule type="containsText" dxfId="9" priority="39976" operator="containsText" text="No">
      <formula>NOT(ISERROR(SEARCH(("No"),(P210))))</formula>
    </cfRule>
  </conditionalFormatting>
  <conditionalFormatting sqref="P210:Q215">
    <cfRule type="containsText" dxfId="9" priority="39977" operator="containsText" text="No">
      <formula>NOT(ISERROR(SEARCH(("No"),(P210))))</formula>
    </cfRule>
  </conditionalFormatting>
  <conditionalFormatting sqref="P210:Q215">
    <cfRule type="containsText" dxfId="9" priority="39978" operator="containsText" text="No">
      <formula>NOT(ISERROR(SEARCH(("No"),(P210))))</formula>
    </cfRule>
  </conditionalFormatting>
  <conditionalFormatting sqref="P210:Q215">
    <cfRule type="containsText" dxfId="9" priority="39979" operator="containsText" text="No">
      <formula>NOT(ISERROR(SEARCH(("No"),(P210))))</formula>
    </cfRule>
  </conditionalFormatting>
  <conditionalFormatting sqref="P210:Q215">
    <cfRule type="containsText" dxfId="9" priority="39980" operator="containsText" text="No">
      <formula>NOT(ISERROR(SEARCH(("No"),(P210))))</formula>
    </cfRule>
  </conditionalFormatting>
  <conditionalFormatting sqref="P210:Q215">
    <cfRule type="containsText" dxfId="9" priority="39981" operator="containsText" text="No">
      <formula>NOT(ISERROR(SEARCH(("No"),(P210))))</formula>
    </cfRule>
  </conditionalFormatting>
  <conditionalFormatting sqref="P210:Q215">
    <cfRule type="containsText" dxfId="9" priority="39982" operator="containsText" text="No">
      <formula>NOT(ISERROR(SEARCH(("No"),(P210))))</formula>
    </cfRule>
  </conditionalFormatting>
  <conditionalFormatting sqref="P210:Q215">
    <cfRule type="containsText" dxfId="9" priority="39983" operator="containsText" text="No">
      <formula>NOT(ISERROR(SEARCH(("No"),(P210))))</formula>
    </cfRule>
  </conditionalFormatting>
  <conditionalFormatting sqref="P210:Q215">
    <cfRule type="containsText" dxfId="9" priority="39984" operator="containsText" text="No">
      <formula>NOT(ISERROR(SEARCH(("No"),(P210))))</formula>
    </cfRule>
  </conditionalFormatting>
  <conditionalFormatting sqref="P210:Q215">
    <cfRule type="containsText" dxfId="9" priority="39985" operator="containsText" text="No">
      <formula>NOT(ISERROR(SEARCH(("No"),(P210))))</formula>
    </cfRule>
  </conditionalFormatting>
  <conditionalFormatting sqref="P210:Q215">
    <cfRule type="containsText" dxfId="9" priority="39986" operator="containsText" text="No">
      <formula>NOT(ISERROR(SEARCH(("No"),(P210))))</formula>
    </cfRule>
  </conditionalFormatting>
  <conditionalFormatting sqref="P210:Q215">
    <cfRule type="containsText" dxfId="9" priority="39987" operator="containsText" text="No">
      <formula>NOT(ISERROR(SEARCH(("No"),(P210))))</formula>
    </cfRule>
  </conditionalFormatting>
  <conditionalFormatting sqref="P210:Q215">
    <cfRule type="containsText" dxfId="9" priority="39988" operator="containsText" text="No">
      <formula>NOT(ISERROR(SEARCH(("No"),(P210))))</formula>
    </cfRule>
  </conditionalFormatting>
  <conditionalFormatting sqref="P210:Q215">
    <cfRule type="containsText" dxfId="9" priority="39989" operator="containsText" text="No">
      <formula>NOT(ISERROR(SEARCH(("No"),(P210))))</formula>
    </cfRule>
  </conditionalFormatting>
  <conditionalFormatting sqref="P210:Q215">
    <cfRule type="containsText" dxfId="9" priority="39990" operator="containsText" text="No">
      <formula>NOT(ISERROR(SEARCH(("No"),(P210))))</formula>
    </cfRule>
  </conditionalFormatting>
  <conditionalFormatting sqref="P210:Q215">
    <cfRule type="containsText" dxfId="9" priority="39991" operator="containsText" text="No">
      <formula>NOT(ISERROR(SEARCH(("No"),(P210))))</formula>
    </cfRule>
  </conditionalFormatting>
  <conditionalFormatting sqref="P210:Q215">
    <cfRule type="containsText" dxfId="9" priority="39992" operator="containsText" text="No">
      <formula>NOT(ISERROR(SEARCH(("No"),(P210))))</formula>
    </cfRule>
  </conditionalFormatting>
  <conditionalFormatting sqref="P210:Q215">
    <cfRule type="containsText" dxfId="9" priority="39993" operator="containsText" text="No">
      <formula>NOT(ISERROR(SEARCH(("No"),(P210))))</formula>
    </cfRule>
  </conditionalFormatting>
  <conditionalFormatting sqref="P210:Q215">
    <cfRule type="containsText" dxfId="2" priority="39994" operator="containsText" text="Yes">
      <formula>NOT(ISERROR(SEARCH(("Yes"),(P210))))</formula>
    </cfRule>
  </conditionalFormatting>
  <conditionalFormatting sqref="P210:Q215">
    <cfRule type="containsText" dxfId="2" priority="39995" operator="containsText" text="Yes">
      <formula>NOT(ISERROR(SEARCH(("Yes"),(P210))))</formula>
    </cfRule>
  </conditionalFormatting>
  <conditionalFormatting sqref="P210:Q215">
    <cfRule type="containsText" dxfId="2" priority="39996" operator="containsText" text="Yes">
      <formula>NOT(ISERROR(SEARCH(("Yes"),(P210))))</formula>
    </cfRule>
  </conditionalFormatting>
  <conditionalFormatting sqref="P210:Q215">
    <cfRule type="containsText" dxfId="2" priority="39997" operator="containsText" text="Yes">
      <formula>NOT(ISERROR(SEARCH(("Yes"),(P210))))</formula>
    </cfRule>
  </conditionalFormatting>
  <conditionalFormatting sqref="P210:Q215">
    <cfRule type="containsText" dxfId="2" priority="39998" operator="containsText" text="Yes">
      <formula>NOT(ISERROR(SEARCH(("Yes"),(P210))))</formula>
    </cfRule>
  </conditionalFormatting>
  <conditionalFormatting sqref="P210:Q215">
    <cfRule type="containsText" dxfId="2" priority="39999" operator="containsText" text="Yes">
      <formula>NOT(ISERROR(SEARCH(("Yes"),(P210))))</formula>
    </cfRule>
  </conditionalFormatting>
  <conditionalFormatting sqref="P210:Q215">
    <cfRule type="containsText" dxfId="2" priority="40000" operator="containsText" text="Yes">
      <formula>NOT(ISERROR(SEARCH(("Yes"),(P210))))</formula>
    </cfRule>
  </conditionalFormatting>
  <conditionalFormatting sqref="P210:Q215">
    <cfRule type="containsText" dxfId="2" priority="40001" operator="containsText" text="Yes">
      <formula>NOT(ISERROR(SEARCH(("Yes"),(P210))))</formula>
    </cfRule>
  </conditionalFormatting>
  <conditionalFormatting sqref="P210:Q215">
    <cfRule type="containsText" dxfId="2" priority="40002" operator="containsText" text="Yes">
      <formula>NOT(ISERROR(SEARCH(("Yes"),(P210))))</formula>
    </cfRule>
  </conditionalFormatting>
  <conditionalFormatting sqref="P210:Q215">
    <cfRule type="containsText" dxfId="2" priority="40003" operator="containsText" text="Yes">
      <formula>NOT(ISERROR(SEARCH(("Yes"),(P210))))</formula>
    </cfRule>
  </conditionalFormatting>
  <conditionalFormatting sqref="P210:Q215">
    <cfRule type="containsText" dxfId="2" priority="40004" operator="containsText" text="Yes">
      <formula>NOT(ISERROR(SEARCH(("Yes"),(P210))))</formula>
    </cfRule>
  </conditionalFormatting>
  <conditionalFormatting sqref="P210:Q215">
    <cfRule type="containsText" dxfId="2" priority="40005" operator="containsText" text="Yes">
      <formula>NOT(ISERROR(SEARCH(("Yes"),(P210))))</formula>
    </cfRule>
  </conditionalFormatting>
  <conditionalFormatting sqref="P210:Q215">
    <cfRule type="containsText" dxfId="2" priority="40006" operator="containsText" text="Yes">
      <formula>NOT(ISERROR(SEARCH(("Yes"),(P210))))</formula>
    </cfRule>
  </conditionalFormatting>
  <conditionalFormatting sqref="P210:Q215">
    <cfRule type="containsText" dxfId="2" priority="40007" operator="containsText" text="Yes">
      <formula>NOT(ISERROR(SEARCH(("Yes"),(P210))))</formula>
    </cfRule>
  </conditionalFormatting>
  <conditionalFormatting sqref="P210:Q215">
    <cfRule type="containsText" dxfId="2" priority="40008" operator="containsText" text="Yes">
      <formula>NOT(ISERROR(SEARCH(("Yes"),(P210))))</formula>
    </cfRule>
  </conditionalFormatting>
  <conditionalFormatting sqref="P210:Q215">
    <cfRule type="containsText" dxfId="2" priority="40009" operator="containsText" text="Yes">
      <formula>NOT(ISERROR(SEARCH(("Yes"),(P210))))</formula>
    </cfRule>
  </conditionalFormatting>
  <conditionalFormatting sqref="P210:Q215">
    <cfRule type="containsText" dxfId="2" priority="40010" operator="containsText" text="Yes">
      <formula>NOT(ISERROR(SEARCH(("Yes"),(P210))))</formula>
    </cfRule>
  </conditionalFormatting>
  <conditionalFormatting sqref="P210:Q215">
    <cfRule type="containsText" dxfId="2" priority="40011" operator="containsText" text="Yes">
      <formula>NOT(ISERROR(SEARCH(("Yes"),(P210))))</formula>
    </cfRule>
  </conditionalFormatting>
  <conditionalFormatting sqref="P210:Q215">
    <cfRule type="containsText" dxfId="2" priority="40012" operator="containsText" text="Yes">
      <formula>NOT(ISERROR(SEARCH(("Yes"),(P210))))</formula>
    </cfRule>
  </conditionalFormatting>
  <conditionalFormatting sqref="P210:Q215">
    <cfRule type="containsText" dxfId="2" priority="40013" operator="containsText" text="Yes">
      <formula>NOT(ISERROR(SEARCH(("Yes"),(P210))))</formula>
    </cfRule>
  </conditionalFormatting>
  <conditionalFormatting sqref="P210:Q215">
    <cfRule type="containsText" dxfId="2" priority="40014" operator="containsText" text="Yes">
      <formula>NOT(ISERROR(SEARCH(("Yes"),(P210))))</formula>
    </cfRule>
  </conditionalFormatting>
  <conditionalFormatting sqref="P210:Q215">
    <cfRule type="containsText" dxfId="2" priority="40015" operator="containsText" text="Yes">
      <formula>NOT(ISERROR(SEARCH(("Yes"),(P210))))</formula>
    </cfRule>
  </conditionalFormatting>
  <conditionalFormatting sqref="P210:Q215">
    <cfRule type="containsText" dxfId="2" priority="40016" operator="containsText" text="Yes">
      <formula>NOT(ISERROR(SEARCH(("Yes"),(P210))))</formula>
    </cfRule>
  </conditionalFormatting>
  <conditionalFormatting sqref="P210:Q215">
    <cfRule type="containsText" dxfId="2" priority="40017" operator="containsText" text="Yes">
      <formula>NOT(ISERROR(SEARCH(("Yes"),(P210))))</formula>
    </cfRule>
  </conditionalFormatting>
  <conditionalFormatting sqref="P210:Q215">
    <cfRule type="containsText" dxfId="2" priority="40018" operator="containsText" text="Yes">
      <formula>NOT(ISERROR(SEARCH(("Yes"),(P210))))</formula>
    </cfRule>
  </conditionalFormatting>
  <conditionalFormatting sqref="P210:Q215">
    <cfRule type="containsText" dxfId="2" priority="40019" operator="containsText" text="Yes">
      <formula>NOT(ISERROR(SEARCH(("Yes"),(P210))))</formula>
    </cfRule>
  </conditionalFormatting>
  <conditionalFormatting sqref="P210:Q215">
    <cfRule type="containsText" dxfId="2" priority="40020" operator="containsText" text="Yes">
      <formula>NOT(ISERROR(SEARCH(("Yes"),(P210))))</formula>
    </cfRule>
  </conditionalFormatting>
  <conditionalFormatting sqref="P210:Q215">
    <cfRule type="containsText" dxfId="2" priority="40021" operator="containsText" text="Yes">
      <formula>NOT(ISERROR(SEARCH(("Yes"),(P210))))</formula>
    </cfRule>
  </conditionalFormatting>
  <conditionalFormatting sqref="P210:Q215">
    <cfRule type="containsText" dxfId="2" priority="40022" operator="containsText" text="Yes">
      <formula>NOT(ISERROR(SEARCH(("Yes"),(P210))))</formula>
    </cfRule>
  </conditionalFormatting>
  <conditionalFormatting sqref="P210:Q215">
    <cfRule type="containsText" dxfId="2" priority="40023" operator="containsText" text="Yes">
      <formula>NOT(ISERROR(SEARCH(("Yes"),(P210))))</formula>
    </cfRule>
  </conditionalFormatting>
  <conditionalFormatting sqref="P210:Q215">
    <cfRule type="containsText" dxfId="2" priority="40024" operator="containsText" text="Yes">
      <formula>NOT(ISERROR(SEARCH(("Yes"),(P210))))</formula>
    </cfRule>
  </conditionalFormatting>
  <conditionalFormatting sqref="P210:Q215">
    <cfRule type="containsText" dxfId="2" priority="40025" operator="containsText" text="Yes">
      <formula>NOT(ISERROR(SEARCH(("Yes"),(P210))))</formula>
    </cfRule>
  </conditionalFormatting>
  <conditionalFormatting sqref="P210:Q215">
    <cfRule type="containsText" dxfId="2" priority="40026" operator="containsText" text="Yes">
      <formula>NOT(ISERROR(SEARCH(("Yes"),(P210))))</formula>
    </cfRule>
  </conditionalFormatting>
  <conditionalFormatting sqref="P210:Q215">
    <cfRule type="containsText" dxfId="2" priority="40027" operator="containsText" text="Yes">
      <formula>NOT(ISERROR(SEARCH(("Yes"),(P210))))</formula>
    </cfRule>
  </conditionalFormatting>
  <conditionalFormatting sqref="P210:Q215">
    <cfRule type="containsText" dxfId="2" priority="40028" operator="containsText" text="Yes">
      <formula>NOT(ISERROR(SEARCH(("Yes"),(P210))))</formula>
    </cfRule>
  </conditionalFormatting>
  <conditionalFormatting sqref="P210:Q215">
    <cfRule type="containsText" dxfId="2" priority="40029" operator="containsText" text="Yes">
      <formula>NOT(ISERROR(SEARCH(("Yes"),(P210))))</formula>
    </cfRule>
  </conditionalFormatting>
  <conditionalFormatting sqref="P210:Q215">
    <cfRule type="containsText" dxfId="2" priority="40030" operator="containsText" text="Yes">
      <formula>NOT(ISERROR(SEARCH(("Yes"),(P210))))</formula>
    </cfRule>
  </conditionalFormatting>
  <conditionalFormatting sqref="P210:Q215">
    <cfRule type="containsText" dxfId="2" priority="40031" operator="containsText" text="Yes">
      <formula>NOT(ISERROR(SEARCH(("Yes"),(P210))))</formula>
    </cfRule>
  </conditionalFormatting>
  <conditionalFormatting sqref="P210:Q215">
    <cfRule type="containsText" dxfId="2" priority="40032" operator="containsText" text="Yes">
      <formula>NOT(ISERROR(SEARCH(("Yes"),(P210))))</formula>
    </cfRule>
  </conditionalFormatting>
  <conditionalFormatting sqref="P210:Q215">
    <cfRule type="containsText" dxfId="2" priority="40033" operator="containsText" text="Yes">
      <formula>NOT(ISERROR(SEARCH(("Yes"),(P210))))</formula>
    </cfRule>
  </conditionalFormatting>
  <conditionalFormatting sqref="P210:Q215">
    <cfRule type="containsText" dxfId="2" priority="40034" operator="containsText" text="Yes">
      <formula>NOT(ISERROR(SEARCH(("Yes"),(P210))))</formula>
    </cfRule>
  </conditionalFormatting>
  <conditionalFormatting sqref="P210:Q215">
    <cfRule type="containsText" dxfId="2" priority="40035" operator="containsText" text="Yes">
      <formula>NOT(ISERROR(SEARCH(("Yes"),(P210))))</formula>
    </cfRule>
  </conditionalFormatting>
  <conditionalFormatting sqref="P210:Q215">
    <cfRule type="containsText" dxfId="2" priority="40036" operator="containsText" text="Yes">
      <formula>NOT(ISERROR(SEARCH(("Yes"),(P210))))</formula>
    </cfRule>
  </conditionalFormatting>
  <conditionalFormatting sqref="P210:Q215">
    <cfRule type="containsText" dxfId="2" priority="40037" operator="containsText" text="Yes">
      <formula>NOT(ISERROR(SEARCH(("Yes"),(P210))))</formula>
    </cfRule>
  </conditionalFormatting>
  <conditionalFormatting sqref="P210:Q215">
    <cfRule type="containsText" dxfId="2" priority="40038" operator="containsText" text="Yes">
      <formula>NOT(ISERROR(SEARCH(("Yes"),(P210))))</formula>
    </cfRule>
  </conditionalFormatting>
  <conditionalFormatting sqref="P210:Q215">
    <cfRule type="containsText" dxfId="2" priority="40039" operator="containsText" text="Yes">
      <formula>NOT(ISERROR(SEARCH(("Yes"),(P210))))</formula>
    </cfRule>
  </conditionalFormatting>
  <conditionalFormatting sqref="P210:Q215">
    <cfRule type="containsText" dxfId="2" priority="40040" operator="containsText" text="Yes">
      <formula>NOT(ISERROR(SEARCH(("Yes"),(P210))))</formula>
    </cfRule>
  </conditionalFormatting>
  <conditionalFormatting sqref="N211:Q215">
    <cfRule type="containsText" dxfId="9" priority="40041" operator="containsText" text="No">
      <formula>NOT(ISERROR(SEARCH(("No"),(N211))))</formula>
    </cfRule>
  </conditionalFormatting>
  <conditionalFormatting sqref="N211:Q215">
    <cfRule type="containsText" dxfId="9" priority="40042" operator="containsText" text="No">
      <formula>NOT(ISERROR(SEARCH(("No"),(N211))))</formula>
    </cfRule>
  </conditionalFormatting>
  <conditionalFormatting sqref="N211:Q215">
    <cfRule type="containsText" dxfId="9" priority="40043" operator="containsText" text="No">
      <formula>NOT(ISERROR(SEARCH(("No"),(N211))))</formula>
    </cfRule>
  </conditionalFormatting>
  <conditionalFormatting sqref="N211:Q215">
    <cfRule type="containsText" dxfId="9" priority="40044" operator="containsText" text="No">
      <formula>NOT(ISERROR(SEARCH(("No"),(N211))))</formula>
    </cfRule>
  </conditionalFormatting>
  <conditionalFormatting sqref="N211:Q215">
    <cfRule type="containsText" dxfId="9" priority="40045" operator="containsText" text="No">
      <formula>NOT(ISERROR(SEARCH(("No"),(N211))))</formula>
    </cfRule>
  </conditionalFormatting>
  <conditionalFormatting sqref="N211:Q215">
    <cfRule type="containsText" dxfId="9" priority="40046" operator="containsText" text="No">
      <formula>NOT(ISERROR(SEARCH(("No"),(N211))))</formula>
    </cfRule>
  </conditionalFormatting>
  <conditionalFormatting sqref="N211:Q215">
    <cfRule type="containsText" dxfId="9" priority="40047" operator="containsText" text="No">
      <formula>NOT(ISERROR(SEARCH(("No"),(N211))))</formula>
    </cfRule>
  </conditionalFormatting>
  <conditionalFormatting sqref="N211:Q215">
    <cfRule type="containsText" dxfId="9" priority="40048" operator="containsText" text="No">
      <formula>NOT(ISERROR(SEARCH(("No"),(N211))))</formula>
    </cfRule>
  </conditionalFormatting>
  <conditionalFormatting sqref="N211:Q215">
    <cfRule type="containsText" dxfId="9" priority="40049" operator="containsText" text="No">
      <formula>NOT(ISERROR(SEARCH(("No"),(N211))))</formula>
    </cfRule>
  </conditionalFormatting>
  <conditionalFormatting sqref="N211:Q215">
    <cfRule type="containsText" dxfId="9" priority="40050" operator="containsText" text="No">
      <formula>NOT(ISERROR(SEARCH(("No"),(N211))))</formula>
    </cfRule>
  </conditionalFormatting>
  <conditionalFormatting sqref="N211:Q215">
    <cfRule type="containsText" dxfId="9" priority="40051" operator="containsText" text="No">
      <formula>NOT(ISERROR(SEARCH(("No"),(N211))))</formula>
    </cfRule>
  </conditionalFormatting>
  <conditionalFormatting sqref="N211:Q215">
    <cfRule type="containsText" dxfId="9" priority="40052" operator="containsText" text="No">
      <formula>NOT(ISERROR(SEARCH(("No"),(N211))))</formula>
    </cfRule>
  </conditionalFormatting>
  <conditionalFormatting sqref="N211:Q215">
    <cfRule type="containsText" dxfId="9" priority="40053" operator="containsText" text="No">
      <formula>NOT(ISERROR(SEARCH(("No"),(N211))))</formula>
    </cfRule>
  </conditionalFormatting>
  <conditionalFormatting sqref="N211:Q215">
    <cfRule type="containsText" dxfId="9" priority="40054" operator="containsText" text="No">
      <formula>NOT(ISERROR(SEARCH(("No"),(N211))))</formula>
    </cfRule>
  </conditionalFormatting>
  <conditionalFormatting sqref="N211:Q215">
    <cfRule type="containsText" dxfId="9" priority="40055" operator="containsText" text="No">
      <formula>NOT(ISERROR(SEARCH(("No"),(N211))))</formula>
    </cfRule>
  </conditionalFormatting>
  <conditionalFormatting sqref="N211:Q215">
    <cfRule type="containsText" dxfId="9" priority="40056" operator="containsText" text="No">
      <formula>NOT(ISERROR(SEARCH(("No"),(N211))))</formula>
    </cfRule>
  </conditionalFormatting>
  <conditionalFormatting sqref="N211:Q215">
    <cfRule type="containsText" dxfId="9" priority="40057" operator="containsText" text="No">
      <formula>NOT(ISERROR(SEARCH(("No"),(N211))))</formula>
    </cfRule>
  </conditionalFormatting>
  <conditionalFormatting sqref="N211:Q215">
    <cfRule type="containsText" dxfId="9" priority="40058" operator="containsText" text="No">
      <formula>NOT(ISERROR(SEARCH(("No"),(N211))))</formula>
    </cfRule>
  </conditionalFormatting>
  <conditionalFormatting sqref="N211:Q215">
    <cfRule type="containsText" dxfId="9" priority="40059" operator="containsText" text="No">
      <formula>NOT(ISERROR(SEARCH(("No"),(N211))))</formula>
    </cfRule>
  </conditionalFormatting>
  <conditionalFormatting sqref="N211:Q215">
    <cfRule type="containsText" dxfId="9" priority="40060" operator="containsText" text="No">
      <formula>NOT(ISERROR(SEARCH(("No"),(N211))))</formula>
    </cfRule>
  </conditionalFormatting>
  <conditionalFormatting sqref="N211:Q215">
    <cfRule type="containsText" dxfId="9" priority="40061" operator="containsText" text="No">
      <formula>NOT(ISERROR(SEARCH(("No"),(N211))))</formula>
    </cfRule>
  </conditionalFormatting>
  <conditionalFormatting sqref="N211:Q215">
    <cfRule type="containsText" dxfId="9" priority="40062" operator="containsText" text="No">
      <formula>NOT(ISERROR(SEARCH(("No"),(N211))))</formula>
    </cfRule>
  </conditionalFormatting>
  <conditionalFormatting sqref="N211:Q215">
    <cfRule type="containsText" dxfId="9" priority="40063" operator="containsText" text="No">
      <formula>NOT(ISERROR(SEARCH(("No"),(N211))))</formula>
    </cfRule>
  </conditionalFormatting>
  <conditionalFormatting sqref="N211:Q215">
    <cfRule type="containsText" dxfId="9" priority="40064" operator="containsText" text="No">
      <formula>NOT(ISERROR(SEARCH(("No"),(N211))))</formula>
    </cfRule>
  </conditionalFormatting>
  <conditionalFormatting sqref="N211:Q215">
    <cfRule type="containsText" dxfId="9" priority="40065" operator="containsText" text="No">
      <formula>NOT(ISERROR(SEARCH(("No"),(N211))))</formula>
    </cfRule>
  </conditionalFormatting>
  <conditionalFormatting sqref="N211:Q215">
    <cfRule type="containsText" dxfId="9" priority="40066" operator="containsText" text="No">
      <formula>NOT(ISERROR(SEARCH(("No"),(N211))))</formula>
    </cfRule>
  </conditionalFormatting>
  <conditionalFormatting sqref="N211:Q215">
    <cfRule type="containsText" dxfId="9" priority="40067" operator="containsText" text="No">
      <formula>NOT(ISERROR(SEARCH(("No"),(N211))))</formula>
    </cfRule>
  </conditionalFormatting>
  <conditionalFormatting sqref="N211:Q215">
    <cfRule type="containsText" dxfId="9" priority="40068" operator="containsText" text="No">
      <formula>NOT(ISERROR(SEARCH(("No"),(N211))))</formula>
    </cfRule>
  </conditionalFormatting>
  <conditionalFormatting sqref="N211:Q215">
    <cfRule type="containsText" dxfId="9" priority="40069" operator="containsText" text="No">
      <formula>NOT(ISERROR(SEARCH(("No"),(N211))))</formula>
    </cfRule>
  </conditionalFormatting>
  <conditionalFormatting sqref="N211:Q215">
    <cfRule type="containsText" dxfId="9" priority="40070" operator="containsText" text="No">
      <formula>NOT(ISERROR(SEARCH(("No"),(N211))))</formula>
    </cfRule>
  </conditionalFormatting>
  <conditionalFormatting sqref="N211:Q215">
    <cfRule type="containsText" dxfId="9" priority="40071" operator="containsText" text="No">
      <formula>NOT(ISERROR(SEARCH(("No"),(N211))))</formula>
    </cfRule>
  </conditionalFormatting>
  <conditionalFormatting sqref="N211:Q215">
    <cfRule type="containsText" dxfId="9" priority="40072" operator="containsText" text="No">
      <formula>NOT(ISERROR(SEARCH(("No"),(N211))))</formula>
    </cfRule>
  </conditionalFormatting>
  <conditionalFormatting sqref="N211:Q215">
    <cfRule type="containsText" dxfId="9" priority="40073" operator="containsText" text="No">
      <formula>NOT(ISERROR(SEARCH(("No"),(N211))))</formula>
    </cfRule>
  </conditionalFormatting>
  <conditionalFormatting sqref="N211:Q215">
    <cfRule type="containsText" dxfId="9" priority="40074" operator="containsText" text="No">
      <formula>NOT(ISERROR(SEARCH(("No"),(N211))))</formula>
    </cfRule>
  </conditionalFormatting>
  <conditionalFormatting sqref="N211:Q215">
    <cfRule type="containsText" dxfId="9" priority="40075" operator="containsText" text="No">
      <formula>NOT(ISERROR(SEARCH(("No"),(N211))))</formula>
    </cfRule>
  </conditionalFormatting>
  <conditionalFormatting sqref="N211:Q215">
    <cfRule type="containsText" dxfId="9" priority="40076" operator="containsText" text="No">
      <formula>NOT(ISERROR(SEARCH(("No"),(N211))))</formula>
    </cfRule>
  </conditionalFormatting>
  <conditionalFormatting sqref="N211:Q215">
    <cfRule type="containsText" dxfId="9" priority="40077" operator="containsText" text="No">
      <formula>NOT(ISERROR(SEARCH(("No"),(N211))))</formula>
    </cfRule>
  </conditionalFormatting>
  <conditionalFormatting sqref="N211:Q215">
    <cfRule type="containsText" dxfId="9" priority="40078" operator="containsText" text="No">
      <formula>NOT(ISERROR(SEARCH(("No"),(N211))))</formula>
    </cfRule>
  </conditionalFormatting>
  <conditionalFormatting sqref="N211:Q215">
    <cfRule type="containsText" dxfId="9" priority="40079" operator="containsText" text="No">
      <formula>NOT(ISERROR(SEARCH(("No"),(N211))))</formula>
    </cfRule>
  </conditionalFormatting>
  <conditionalFormatting sqref="N211:Q215">
    <cfRule type="containsText" dxfId="9" priority="40080" operator="containsText" text="No">
      <formula>NOT(ISERROR(SEARCH(("No"),(N211))))</formula>
    </cfRule>
  </conditionalFormatting>
  <conditionalFormatting sqref="N211:Q215">
    <cfRule type="containsText" dxfId="9" priority="40081" operator="containsText" text="No">
      <formula>NOT(ISERROR(SEARCH(("No"),(N211))))</formula>
    </cfRule>
  </conditionalFormatting>
  <conditionalFormatting sqref="N211:Q215">
    <cfRule type="containsText" dxfId="9" priority="40082" operator="containsText" text="No">
      <formula>NOT(ISERROR(SEARCH(("No"),(N211))))</formula>
    </cfRule>
  </conditionalFormatting>
  <conditionalFormatting sqref="N211:Q215">
    <cfRule type="containsText" dxfId="9" priority="40083" operator="containsText" text="No">
      <formula>NOT(ISERROR(SEARCH(("No"),(N211))))</formula>
    </cfRule>
  </conditionalFormatting>
  <conditionalFormatting sqref="N211:Q215">
    <cfRule type="containsText" dxfId="9" priority="40084" operator="containsText" text="No">
      <formula>NOT(ISERROR(SEARCH(("No"),(N211))))</formula>
    </cfRule>
  </conditionalFormatting>
  <conditionalFormatting sqref="N211:Q215">
    <cfRule type="containsText" dxfId="9" priority="40085" operator="containsText" text="No">
      <formula>NOT(ISERROR(SEARCH(("No"),(N211))))</formula>
    </cfRule>
  </conditionalFormatting>
  <conditionalFormatting sqref="N211:Q215">
    <cfRule type="containsText" dxfId="2" priority="40086" operator="containsText" text="Yes">
      <formula>NOT(ISERROR(SEARCH(("Yes"),(N211))))</formula>
    </cfRule>
  </conditionalFormatting>
  <conditionalFormatting sqref="N211:Q215">
    <cfRule type="containsText" dxfId="2" priority="40087" operator="containsText" text="Yes">
      <formula>NOT(ISERROR(SEARCH(("Yes"),(N211))))</formula>
    </cfRule>
  </conditionalFormatting>
  <conditionalFormatting sqref="N211:Q215">
    <cfRule type="containsText" dxfId="2" priority="40088" operator="containsText" text="Yes">
      <formula>NOT(ISERROR(SEARCH(("Yes"),(N211))))</formula>
    </cfRule>
  </conditionalFormatting>
  <conditionalFormatting sqref="N211:Q215">
    <cfRule type="containsText" dxfId="2" priority="40089" operator="containsText" text="Yes">
      <formula>NOT(ISERROR(SEARCH(("Yes"),(N211))))</formula>
    </cfRule>
  </conditionalFormatting>
  <conditionalFormatting sqref="N211:Q215">
    <cfRule type="containsText" dxfId="2" priority="40090" operator="containsText" text="Yes">
      <formula>NOT(ISERROR(SEARCH(("Yes"),(N211))))</formula>
    </cfRule>
  </conditionalFormatting>
  <conditionalFormatting sqref="N211:Q215">
    <cfRule type="containsText" dxfId="2" priority="40091" operator="containsText" text="Yes">
      <formula>NOT(ISERROR(SEARCH(("Yes"),(N211))))</formula>
    </cfRule>
  </conditionalFormatting>
  <conditionalFormatting sqref="N211:Q215">
    <cfRule type="containsText" dxfId="2" priority="40092" operator="containsText" text="Yes">
      <formula>NOT(ISERROR(SEARCH(("Yes"),(N211))))</formula>
    </cfRule>
  </conditionalFormatting>
  <conditionalFormatting sqref="N211:Q215">
    <cfRule type="containsText" dxfId="2" priority="40093" operator="containsText" text="Yes">
      <formula>NOT(ISERROR(SEARCH(("Yes"),(N211))))</formula>
    </cfRule>
  </conditionalFormatting>
  <conditionalFormatting sqref="N211:Q215">
    <cfRule type="containsText" dxfId="2" priority="40094" operator="containsText" text="Yes">
      <formula>NOT(ISERROR(SEARCH(("Yes"),(N211))))</formula>
    </cfRule>
  </conditionalFormatting>
  <conditionalFormatting sqref="N211:Q215">
    <cfRule type="containsText" dxfId="2" priority="40095" operator="containsText" text="Yes">
      <formula>NOT(ISERROR(SEARCH(("Yes"),(N211))))</formula>
    </cfRule>
  </conditionalFormatting>
  <conditionalFormatting sqref="N211:Q215">
    <cfRule type="containsText" dxfId="2" priority="40096" operator="containsText" text="Yes">
      <formula>NOT(ISERROR(SEARCH(("Yes"),(N211))))</formula>
    </cfRule>
  </conditionalFormatting>
  <conditionalFormatting sqref="N211:Q215">
    <cfRule type="containsText" dxfId="2" priority="40097" operator="containsText" text="Yes">
      <formula>NOT(ISERROR(SEARCH(("Yes"),(N211))))</formula>
    </cfRule>
  </conditionalFormatting>
  <conditionalFormatting sqref="N211:Q215">
    <cfRule type="containsText" dxfId="2" priority="40098" operator="containsText" text="Yes">
      <formula>NOT(ISERROR(SEARCH(("Yes"),(N211))))</formula>
    </cfRule>
  </conditionalFormatting>
  <conditionalFormatting sqref="N211:Q215">
    <cfRule type="containsText" dxfId="2" priority="40099" operator="containsText" text="Yes">
      <formula>NOT(ISERROR(SEARCH(("Yes"),(N211))))</formula>
    </cfRule>
  </conditionalFormatting>
  <conditionalFormatting sqref="N211:Q215">
    <cfRule type="containsText" dxfId="2" priority="40100" operator="containsText" text="Yes">
      <formula>NOT(ISERROR(SEARCH(("Yes"),(N211))))</formula>
    </cfRule>
  </conditionalFormatting>
  <conditionalFormatting sqref="N211:Q215">
    <cfRule type="containsText" dxfId="2" priority="40101" operator="containsText" text="Yes">
      <formula>NOT(ISERROR(SEARCH(("Yes"),(N211))))</formula>
    </cfRule>
  </conditionalFormatting>
  <conditionalFormatting sqref="N211:Q215">
    <cfRule type="containsText" dxfId="2" priority="40102" operator="containsText" text="Yes">
      <formula>NOT(ISERROR(SEARCH(("Yes"),(N211))))</formula>
    </cfRule>
  </conditionalFormatting>
  <conditionalFormatting sqref="N211:Q215">
    <cfRule type="containsText" dxfId="2" priority="40103" operator="containsText" text="Yes">
      <formula>NOT(ISERROR(SEARCH(("Yes"),(N211))))</formula>
    </cfRule>
  </conditionalFormatting>
  <conditionalFormatting sqref="N211:Q215">
    <cfRule type="containsText" dxfId="2" priority="40104" operator="containsText" text="Yes">
      <formula>NOT(ISERROR(SEARCH(("Yes"),(N211))))</formula>
    </cfRule>
  </conditionalFormatting>
  <conditionalFormatting sqref="N211:Q215">
    <cfRule type="containsText" dxfId="2" priority="40105" operator="containsText" text="Yes">
      <formula>NOT(ISERROR(SEARCH(("Yes"),(N211))))</formula>
    </cfRule>
  </conditionalFormatting>
  <conditionalFormatting sqref="N211:Q215">
    <cfRule type="containsText" dxfId="2" priority="40106" operator="containsText" text="Yes">
      <formula>NOT(ISERROR(SEARCH(("Yes"),(N211))))</formula>
    </cfRule>
  </conditionalFormatting>
  <conditionalFormatting sqref="N211:Q215">
    <cfRule type="containsText" dxfId="2" priority="40107" operator="containsText" text="Yes">
      <formula>NOT(ISERROR(SEARCH(("Yes"),(N211))))</formula>
    </cfRule>
  </conditionalFormatting>
  <conditionalFormatting sqref="N211:Q215">
    <cfRule type="containsText" dxfId="2" priority="40108" operator="containsText" text="Yes">
      <formula>NOT(ISERROR(SEARCH(("Yes"),(N211))))</formula>
    </cfRule>
  </conditionalFormatting>
  <conditionalFormatting sqref="N211:Q215">
    <cfRule type="containsText" dxfId="2" priority="40109" operator="containsText" text="Yes">
      <formula>NOT(ISERROR(SEARCH(("Yes"),(N211))))</formula>
    </cfRule>
  </conditionalFormatting>
  <conditionalFormatting sqref="N211:Q215">
    <cfRule type="containsText" dxfId="2" priority="40110" operator="containsText" text="Yes">
      <formula>NOT(ISERROR(SEARCH(("Yes"),(N211))))</formula>
    </cfRule>
  </conditionalFormatting>
  <conditionalFormatting sqref="N211:Q215">
    <cfRule type="containsText" dxfId="2" priority="40111" operator="containsText" text="Yes">
      <formula>NOT(ISERROR(SEARCH(("Yes"),(N211))))</formula>
    </cfRule>
  </conditionalFormatting>
  <conditionalFormatting sqref="N211:Q215">
    <cfRule type="containsText" dxfId="2" priority="40112" operator="containsText" text="Yes">
      <formula>NOT(ISERROR(SEARCH(("Yes"),(N211))))</formula>
    </cfRule>
  </conditionalFormatting>
  <conditionalFormatting sqref="N211:Q215">
    <cfRule type="containsText" dxfId="2" priority="40113" operator="containsText" text="Yes">
      <formula>NOT(ISERROR(SEARCH(("Yes"),(N211))))</formula>
    </cfRule>
  </conditionalFormatting>
  <conditionalFormatting sqref="N211:Q215">
    <cfRule type="containsText" dxfId="2" priority="40114" operator="containsText" text="Yes">
      <formula>NOT(ISERROR(SEARCH(("Yes"),(N211))))</formula>
    </cfRule>
  </conditionalFormatting>
  <conditionalFormatting sqref="N211:Q215">
    <cfRule type="containsText" dxfId="2" priority="40115" operator="containsText" text="Yes">
      <formula>NOT(ISERROR(SEARCH(("Yes"),(N211))))</formula>
    </cfRule>
  </conditionalFormatting>
  <conditionalFormatting sqref="N211:Q215">
    <cfRule type="containsText" dxfId="2" priority="40116" operator="containsText" text="Yes">
      <formula>NOT(ISERROR(SEARCH(("Yes"),(N211))))</formula>
    </cfRule>
  </conditionalFormatting>
  <conditionalFormatting sqref="N211:Q215">
    <cfRule type="containsText" dxfId="2" priority="40117" operator="containsText" text="Yes">
      <formula>NOT(ISERROR(SEARCH(("Yes"),(N211))))</formula>
    </cfRule>
  </conditionalFormatting>
  <conditionalFormatting sqref="N211:Q215">
    <cfRule type="containsText" dxfId="2" priority="40118" operator="containsText" text="Yes">
      <formula>NOT(ISERROR(SEARCH(("Yes"),(N211))))</formula>
    </cfRule>
  </conditionalFormatting>
  <conditionalFormatting sqref="N211:Q215">
    <cfRule type="containsText" dxfId="2" priority="40119" operator="containsText" text="Yes">
      <formula>NOT(ISERROR(SEARCH(("Yes"),(N211))))</formula>
    </cfRule>
  </conditionalFormatting>
  <conditionalFormatting sqref="N211:Q215">
    <cfRule type="containsText" dxfId="2" priority="40120" operator="containsText" text="Yes">
      <formula>NOT(ISERROR(SEARCH(("Yes"),(N211))))</formula>
    </cfRule>
  </conditionalFormatting>
  <conditionalFormatting sqref="N211:Q215">
    <cfRule type="containsText" dxfId="2" priority="40121" operator="containsText" text="Yes">
      <formula>NOT(ISERROR(SEARCH(("Yes"),(N211))))</formula>
    </cfRule>
  </conditionalFormatting>
  <conditionalFormatting sqref="N211:Q215">
    <cfRule type="containsText" dxfId="2" priority="40122" operator="containsText" text="Yes">
      <formula>NOT(ISERROR(SEARCH(("Yes"),(N211))))</formula>
    </cfRule>
  </conditionalFormatting>
  <conditionalFormatting sqref="N211:Q215">
    <cfRule type="containsText" dxfId="2" priority="40123" operator="containsText" text="Yes">
      <formula>NOT(ISERROR(SEARCH(("Yes"),(N211))))</formula>
    </cfRule>
  </conditionalFormatting>
  <conditionalFormatting sqref="N211:Q215">
    <cfRule type="containsText" dxfId="2" priority="40124" operator="containsText" text="Yes">
      <formula>NOT(ISERROR(SEARCH(("Yes"),(N211))))</formula>
    </cfRule>
  </conditionalFormatting>
  <conditionalFormatting sqref="N211:Q215">
    <cfRule type="containsText" dxfId="2" priority="40125" operator="containsText" text="Yes">
      <formula>NOT(ISERROR(SEARCH(("Yes"),(N211))))</formula>
    </cfRule>
  </conditionalFormatting>
  <conditionalFormatting sqref="N211:Q215">
    <cfRule type="containsText" dxfId="2" priority="40126" operator="containsText" text="Yes">
      <formula>NOT(ISERROR(SEARCH(("Yes"),(N211))))</formula>
    </cfRule>
  </conditionalFormatting>
  <conditionalFormatting sqref="N211:Q215">
    <cfRule type="containsText" dxfId="2" priority="40127" operator="containsText" text="Yes">
      <formula>NOT(ISERROR(SEARCH(("Yes"),(N211))))</formula>
    </cfRule>
  </conditionalFormatting>
  <conditionalFormatting sqref="N211:Q215">
    <cfRule type="containsText" dxfId="2" priority="40128" operator="containsText" text="Yes">
      <formula>NOT(ISERROR(SEARCH(("Yes"),(N211))))</formula>
    </cfRule>
  </conditionalFormatting>
  <conditionalFormatting sqref="N211:Q215">
    <cfRule type="containsText" dxfId="2" priority="40129" operator="containsText" text="Yes">
      <formula>NOT(ISERROR(SEARCH(("Yes"),(N211))))</formula>
    </cfRule>
  </conditionalFormatting>
  <conditionalFormatting sqref="N211:Q215">
    <cfRule type="containsText" dxfId="2" priority="40130" operator="containsText" text="Yes">
      <formula>NOT(ISERROR(SEARCH(("Yes"),(N211))))</formula>
    </cfRule>
  </conditionalFormatting>
  <conditionalFormatting sqref="N211:Q215">
    <cfRule type="containsText" dxfId="2" priority="40131" operator="containsText" text="Yes">
      <formula>NOT(ISERROR(SEARCH(("Yes"),(N211))))</formula>
    </cfRule>
  </conditionalFormatting>
  <conditionalFormatting sqref="N211:Q215">
    <cfRule type="containsText" dxfId="2" priority="40132" operator="containsText" text="Yes">
      <formula>NOT(ISERROR(SEARCH(("Yes"),(N211))))</formula>
    </cfRule>
  </conditionalFormatting>
  <conditionalFormatting sqref="N212:O212 P212:Q214">
    <cfRule type="containsText" dxfId="9" priority="40133" operator="containsText" text="No">
      <formula>NOT(ISERROR(SEARCH(("No"),(N212))))</formula>
    </cfRule>
  </conditionalFormatting>
  <conditionalFormatting sqref="N212:O212 P212:Q214">
    <cfRule type="containsText" dxfId="9" priority="40134" operator="containsText" text="No">
      <formula>NOT(ISERROR(SEARCH(("No"),(N212))))</formula>
    </cfRule>
  </conditionalFormatting>
  <conditionalFormatting sqref="N212:O212 P212:Q214">
    <cfRule type="containsText" dxfId="9" priority="40135" operator="containsText" text="No">
      <formula>NOT(ISERROR(SEARCH(("No"),(N212))))</formula>
    </cfRule>
  </conditionalFormatting>
  <conditionalFormatting sqref="N212:O212 P212:Q214">
    <cfRule type="containsText" dxfId="9" priority="40136" operator="containsText" text="No">
      <formula>NOT(ISERROR(SEARCH(("No"),(N212))))</formula>
    </cfRule>
  </conditionalFormatting>
  <conditionalFormatting sqref="N212:O212 P212:Q214">
    <cfRule type="containsText" dxfId="9" priority="40137" operator="containsText" text="No">
      <formula>NOT(ISERROR(SEARCH(("No"),(N212))))</formula>
    </cfRule>
  </conditionalFormatting>
  <conditionalFormatting sqref="N212:O212 P212:Q214">
    <cfRule type="containsText" dxfId="9" priority="40138" operator="containsText" text="No">
      <formula>NOT(ISERROR(SEARCH(("No"),(N212))))</formula>
    </cfRule>
  </conditionalFormatting>
  <conditionalFormatting sqref="N212:O212 P212:Q214">
    <cfRule type="containsText" dxfId="9" priority="40139" operator="containsText" text="No">
      <formula>NOT(ISERROR(SEARCH(("No"),(N212))))</formula>
    </cfRule>
  </conditionalFormatting>
  <conditionalFormatting sqref="N212:O212 P212:Q214">
    <cfRule type="containsText" dxfId="9" priority="40140" operator="containsText" text="No">
      <formula>NOT(ISERROR(SEARCH(("No"),(N212))))</formula>
    </cfRule>
  </conditionalFormatting>
  <conditionalFormatting sqref="N212:O212 P212:Q214">
    <cfRule type="containsText" dxfId="9" priority="40141" operator="containsText" text="No">
      <formula>NOT(ISERROR(SEARCH(("No"),(N212))))</formula>
    </cfRule>
  </conditionalFormatting>
  <conditionalFormatting sqref="N212:O212 P212:Q214">
    <cfRule type="containsText" dxfId="9" priority="40142" operator="containsText" text="No">
      <formula>NOT(ISERROR(SEARCH(("No"),(N212))))</formula>
    </cfRule>
  </conditionalFormatting>
  <conditionalFormatting sqref="N212:O212 P212:Q214">
    <cfRule type="containsText" dxfId="9" priority="40143" operator="containsText" text="No">
      <formula>NOT(ISERROR(SEARCH(("No"),(N212))))</formula>
    </cfRule>
  </conditionalFormatting>
  <conditionalFormatting sqref="N212:O212 P212:Q214">
    <cfRule type="containsText" dxfId="9" priority="40144" operator="containsText" text="No">
      <formula>NOT(ISERROR(SEARCH(("No"),(N212))))</formula>
    </cfRule>
  </conditionalFormatting>
  <conditionalFormatting sqref="N212:O212 P212:Q214">
    <cfRule type="containsText" dxfId="9" priority="40145" operator="containsText" text="No">
      <formula>NOT(ISERROR(SEARCH(("No"),(N212))))</formula>
    </cfRule>
  </conditionalFormatting>
  <conditionalFormatting sqref="N212:O212 P212:Q214">
    <cfRule type="containsText" dxfId="9" priority="40146" operator="containsText" text="No">
      <formula>NOT(ISERROR(SEARCH(("No"),(N212))))</formula>
    </cfRule>
  </conditionalFormatting>
  <conditionalFormatting sqref="N212:O212 P212:Q214">
    <cfRule type="containsText" dxfId="9" priority="40147" operator="containsText" text="No">
      <formula>NOT(ISERROR(SEARCH(("No"),(N212))))</formula>
    </cfRule>
  </conditionalFormatting>
  <conditionalFormatting sqref="N212:O212 P212:Q214">
    <cfRule type="containsText" dxfId="9" priority="40148" operator="containsText" text="No">
      <formula>NOT(ISERROR(SEARCH(("No"),(N212))))</formula>
    </cfRule>
  </conditionalFormatting>
  <conditionalFormatting sqref="N212:O212 P212:Q214">
    <cfRule type="containsText" dxfId="9" priority="40149" operator="containsText" text="No">
      <formula>NOT(ISERROR(SEARCH(("No"),(N212))))</formula>
    </cfRule>
  </conditionalFormatting>
  <conditionalFormatting sqref="N212:O212 P212:Q214">
    <cfRule type="containsText" dxfId="9" priority="40150" operator="containsText" text="No">
      <formula>NOT(ISERROR(SEARCH(("No"),(N212))))</formula>
    </cfRule>
  </conditionalFormatting>
  <conditionalFormatting sqref="N212:O212 P212:Q214">
    <cfRule type="containsText" dxfId="9" priority="40151" operator="containsText" text="No">
      <formula>NOT(ISERROR(SEARCH(("No"),(N212))))</formula>
    </cfRule>
  </conditionalFormatting>
  <conditionalFormatting sqref="N212:O212 P212:Q214">
    <cfRule type="containsText" dxfId="9" priority="40152" operator="containsText" text="No">
      <formula>NOT(ISERROR(SEARCH(("No"),(N212))))</formula>
    </cfRule>
  </conditionalFormatting>
  <conditionalFormatting sqref="N212:O212 P212:Q214">
    <cfRule type="containsText" dxfId="9" priority="40153" operator="containsText" text="No">
      <formula>NOT(ISERROR(SEARCH(("No"),(N212))))</formula>
    </cfRule>
  </conditionalFormatting>
  <conditionalFormatting sqref="N212:O212 P212:Q214">
    <cfRule type="containsText" dxfId="9" priority="40154" operator="containsText" text="No">
      <formula>NOT(ISERROR(SEARCH(("No"),(N212))))</formula>
    </cfRule>
  </conditionalFormatting>
  <conditionalFormatting sqref="N212:O212 P212:Q214">
    <cfRule type="containsText" dxfId="9" priority="40155" operator="containsText" text="No">
      <formula>NOT(ISERROR(SEARCH(("No"),(N212))))</formula>
    </cfRule>
  </conditionalFormatting>
  <conditionalFormatting sqref="N212:O212 P212:Q214">
    <cfRule type="containsText" dxfId="9" priority="40156" operator="containsText" text="No">
      <formula>NOT(ISERROR(SEARCH(("No"),(N212))))</formula>
    </cfRule>
  </conditionalFormatting>
  <conditionalFormatting sqref="N212:O212 P212:Q214">
    <cfRule type="containsText" dxfId="9" priority="40157" operator="containsText" text="No">
      <formula>NOT(ISERROR(SEARCH(("No"),(N212))))</formula>
    </cfRule>
  </conditionalFormatting>
  <conditionalFormatting sqref="N212:O212 P212:Q214">
    <cfRule type="containsText" dxfId="9" priority="40158" operator="containsText" text="No">
      <formula>NOT(ISERROR(SEARCH(("No"),(N212))))</formula>
    </cfRule>
  </conditionalFormatting>
  <conditionalFormatting sqref="N212:O212 P212:Q214">
    <cfRule type="containsText" dxfId="9" priority="40159" operator="containsText" text="No">
      <formula>NOT(ISERROR(SEARCH(("No"),(N212))))</formula>
    </cfRule>
  </conditionalFormatting>
  <conditionalFormatting sqref="N212:O212 P212:Q214">
    <cfRule type="containsText" dxfId="9" priority="40160" operator="containsText" text="No">
      <formula>NOT(ISERROR(SEARCH(("No"),(N212))))</formula>
    </cfRule>
  </conditionalFormatting>
  <conditionalFormatting sqref="N212:O212 P212:Q214">
    <cfRule type="containsText" dxfId="9" priority="40161" operator="containsText" text="No">
      <formula>NOT(ISERROR(SEARCH(("No"),(N212))))</formula>
    </cfRule>
  </conditionalFormatting>
  <conditionalFormatting sqref="N212:O212 P212:Q214">
    <cfRule type="containsText" dxfId="9" priority="40162" operator="containsText" text="No">
      <formula>NOT(ISERROR(SEARCH(("No"),(N212))))</formula>
    </cfRule>
  </conditionalFormatting>
  <conditionalFormatting sqref="N212:O212 P212:Q214">
    <cfRule type="containsText" dxfId="9" priority="40163" operator="containsText" text="No">
      <formula>NOT(ISERROR(SEARCH(("No"),(N212))))</formula>
    </cfRule>
  </conditionalFormatting>
  <conditionalFormatting sqref="N212:O212 P212:Q214">
    <cfRule type="containsText" dxfId="9" priority="40164" operator="containsText" text="No">
      <formula>NOT(ISERROR(SEARCH(("No"),(N212))))</formula>
    </cfRule>
  </conditionalFormatting>
  <conditionalFormatting sqref="N212:O212 P212:Q214">
    <cfRule type="containsText" dxfId="9" priority="40165" operator="containsText" text="No">
      <formula>NOT(ISERROR(SEARCH(("No"),(N212))))</formula>
    </cfRule>
  </conditionalFormatting>
  <conditionalFormatting sqref="N212:O212 P212:Q214">
    <cfRule type="containsText" dxfId="9" priority="40166" operator="containsText" text="No">
      <formula>NOT(ISERROR(SEARCH(("No"),(N212))))</formula>
    </cfRule>
  </conditionalFormatting>
  <conditionalFormatting sqref="N212:O212 P212:Q214">
    <cfRule type="containsText" dxfId="9" priority="40167" operator="containsText" text="No">
      <formula>NOT(ISERROR(SEARCH(("No"),(N212))))</formula>
    </cfRule>
  </conditionalFormatting>
  <conditionalFormatting sqref="N212:O212 P212:Q214">
    <cfRule type="containsText" dxfId="9" priority="40168" operator="containsText" text="No">
      <formula>NOT(ISERROR(SEARCH(("No"),(N212))))</formula>
    </cfRule>
  </conditionalFormatting>
  <conditionalFormatting sqref="N212:O212 P212:Q214">
    <cfRule type="containsText" dxfId="9" priority="40169" operator="containsText" text="No">
      <formula>NOT(ISERROR(SEARCH(("No"),(N212))))</formula>
    </cfRule>
  </conditionalFormatting>
  <conditionalFormatting sqref="N212:O212 P212:Q214">
    <cfRule type="containsText" dxfId="9" priority="40170" operator="containsText" text="No">
      <formula>NOT(ISERROR(SEARCH(("No"),(N212))))</formula>
    </cfRule>
  </conditionalFormatting>
  <conditionalFormatting sqref="N212:O212 P212:Q214">
    <cfRule type="containsText" dxfId="9" priority="40171" operator="containsText" text="No">
      <formula>NOT(ISERROR(SEARCH(("No"),(N212))))</formula>
    </cfRule>
  </conditionalFormatting>
  <conditionalFormatting sqref="N212:O212 P212:Q214">
    <cfRule type="containsText" dxfId="9" priority="40172" operator="containsText" text="No">
      <formula>NOT(ISERROR(SEARCH(("No"),(N212))))</formula>
    </cfRule>
  </conditionalFormatting>
  <conditionalFormatting sqref="N212:O212 P212:Q214">
    <cfRule type="containsText" dxfId="9" priority="40173" operator="containsText" text="No">
      <formula>NOT(ISERROR(SEARCH(("No"),(N212))))</formula>
    </cfRule>
  </conditionalFormatting>
  <conditionalFormatting sqref="N212:O212 P212:Q214">
    <cfRule type="containsText" dxfId="9" priority="40174" operator="containsText" text="No">
      <formula>NOT(ISERROR(SEARCH(("No"),(N212))))</formula>
    </cfRule>
  </conditionalFormatting>
  <conditionalFormatting sqref="N212:O212 P212:Q214">
    <cfRule type="containsText" dxfId="9" priority="40175" operator="containsText" text="No">
      <formula>NOT(ISERROR(SEARCH(("No"),(N212))))</formula>
    </cfRule>
  </conditionalFormatting>
  <conditionalFormatting sqref="N212:O212 P212:Q214">
    <cfRule type="containsText" dxfId="9" priority="40176" operator="containsText" text="No">
      <formula>NOT(ISERROR(SEARCH(("No"),(N212))))</formula>
    </cfRule>
  </conditionalFormatting>
  <conditionalFormatting sqref="N212:O212 P212:Q214">
    <cfRule type="containsText" dxfId="9" priority="40177" operator="containsText" text="No">
      <formula>NOT(ISERROR(SEARCH(("No"),(N212))))</formula>
    </cfRule>
  </conditionalFormatting>
  <conditionalFormatting sqref="N212:O212 P212:Q214">
    <cfRule type="containsText" dxfId="2" priority="40178" operator="containsText" text="Yes">
      <formula>NOT(ISERROR(SEARCH(("Yes"),(N212))))</formula>
    </cfRule>
  </conditionalFormatting>
  <conditionalFormatting sqref="N212:O212 P212:Q214">
    <cfRule type="containsText" dxfId="2" priority="40179" operator="containsText" text="Yes">
      <formula>NOT(ISERROR(SEARCH(("Yes"),(N212))))</formula>
    </cfRule>
  </conditionalFormatting>
  <conditionalFormatting sqref="N212:O212 P212:Q214">
    <cfRule type="containsText" dxfId="2" priority="40180" operator="containsText" text="Yes">
      <formula>NOT(ISERROR(SEARCH(("Yes"),(N212))))</formula>
    </cfRule>
  </conditionalFormatting>
  <conditionalFormatting sqref="N212:O212 P212:Q214">
    <cfRule type="containsText" dxfId="2" priority="40181" operator="containsText" text="Yes">
      <formula>NOT(ISERROR(SEARCH(("Yes"),(N212))))</formula>
    </cfRule>
  </conditionalFormatting>
  <conditionalFormatting sqref="N212:O212 P212:Q214">
    <cfRule type="containsText" dxfId="2" priority="40182" operator="containsText" text="Yes">
      <formula>NOT(ISERROR(SEARCH(("Yes"),(N212))))</formula>
    </cfRule>
  </conditionalFormatting>
  <conditionalFormatting sqref="N212:O212 P212:Q214">
    <cfRule type="containsText" dxfId="2" priority="40183" operator="containsText" text="Yes">
      <formula>NOT(ISERROR(SEARCH(("Yes"),(N212))))</formula>
    </cfRule>
  </conditionalFormatting>
  <conditionalFormatting sqref="N212:O212 P212:Q214">
    <cfRule type="containsText" dxfId="2" priority="40184" operator="containsText" text="Yes">
      <formula>NOT(ISERROR(SEARCH(("Yes"),(N212))))</formula>
    </cfRule>
  </conditionalFormatting>
  <conditionalFormatting sqref="N212:O212 P212:Q214">
    <cfRule type="containsText" dxfId="2" priority="40185" operator="containsText" text="Yes">
      <formula>NOT(ISERROR(SEARCH(("Yes"),(N212))))</formula>
    </cfRule>
  </conditionalFormatting>
  <conditionalFormatting sqref="N212:O212 P212:Q214">
    <cfRule type="containsText" dxfId="2" priority="40186" operator="containsText" text="Yes">
      <formula>NOT(ISERROR(SEARCH(("Yes"),(N212))))</formula>
    </cfRule>
  </conditionalFormatting>
  <conditionalFormatting sqref="N212:O212 P212:Q214">
    <cfRule type="containsText" dxfId="2" priority="40187" operator="containsText" text="Yes">
      <formula>NOT(ISERROR(SEARCH(("Yes"),(N212))))</formula>
    </cfRule>
  </conditionalFormatting>
  <conditionalFormatting sqref="N212:O212 P212:Q214">
    <cfRule type="containsText" dxfId="2" priority="40188" operator="containsText" text="Yes">
      <formula>NOT(ISERROR(SEARCH(("Yes"),(N212))))</formula>
    </cfRule>
  </conditionalFormatting>
  <conditionalFormatting sqref="N212:O212 P212:Q214">
    <cfRule type="containsText" dxfId="2" priority="40189" operator="containsText" text="Yes">
      <formula>NOT(ISERROR(SEARCH(("Yes"),(N212))))</formula>
    </cfRule>
  </conditionalFormatting>
  <conditionalFormatting sqref="N212:O212 P212:Q214">
    <cfRule type="containsText" dxfId="2" priority="40190" operator="containsText" text="Yes">
      <formula>NOT(ISERROR(SEARCH(("Yes"),(N212))))</formula>
    </cfRule>
  </conditionalFormatting>
  <conditionalFormatting sqref="N212:O212 P212:Q214">
    <cfRule type="containsText" dxfId="2" priority="40191" operator="containsText" text="Yes">
      <formula>NOT(ISERROR(SEARCH(("Yes"),(N212))))</formula>
    </cfRule>
  </conditionalFormatting>
  <conditionalFormatting sqref="N212:O212 P212:Q214">
    <cfRule type="containsText" dxfId="2" priority="40192" operator="containsText" text="Yes">
      <formula>NOT(ISERROR(SEARCH(("Yes"),(N212))))</formula>
    </cfRule>
  </conditionalFormatting>
  <conditionalFormatting sqref="N212:O212 P212:Q214">
    <cfRule type="containsText" dxfId="2" priority="40193" operator="containsText" text="Yes">
      <formula>NOT(ISERROR(SEARCH(("Yes"),(N212))))</formula>
    </cfRule>
  </conditionalFormatting>
  <conditionalFormatting sqref="N212:O212 P212:Q214">
    <cfRule type="containsText" dxfId="2" priority="40194" operator="containsText" text="Yes">
      <formula>NOT(ISERROR(SEARCH(("Yes"),(N212))))</formula>
    </cfRule>
  </conditionalFormatting>
  <conditionalFormatting sqref="N212:O212 P212:Q214">
    <cfRule type="containsText" dxfId="2" priority="40195" operator="containsText" text="Yes">
      <formula>NOT(ISERROR(SEARCH(("Yes"),(N212))))</formula>
    </cfRule>
  </conditionalFormatting>
  <conditionalFormatting sqref="N212:O212 P212:Q214">
    <cfRule type="containsText" dxfId="2" priority="40196" operator="containsText" text="Yes">
      <formula>NOT(ISERROR(SEARCH(("Yes"),(N212))))</formula>
    </cfRule>
  </conditionalFormatting>
  <conditionalFormatting sqref="N212:O212 P212:Q214">
    <cfRule type="containsText" dxfId="2" priority="40197" operator="containsText" text="Yes">
      <formula>NOT(ISERROR(SEARCH(("Yes"),(N212))))</formula>
    </cfRule>
  </conditionalFormatting>
  <conditionalFormatting sqref="N212:O212 P212:Q214">
    <cfRule type="containsText" dxfId="2" priority="40198" operator="containsText" text="Yes">
      <formula>NOT(ISERROR(SEARCH(("Yes"),(N212))))</formula>
    </cfRule>
  </conditionalFormatting>
  <conditionalFormatting sqref="N212:O212 P212:Q214">
    <cfRule type="containsText" dxfId="2" priority="40199" operator="containsText" text="Yes">
      <formula>NOT(ISERROR(SEARCH(("Yes"),(N212))))</formula>
    </cfRule>
  </conditionalFormatting>
  <conditionalFormatting sqref="N212:O212 P212:Q214">
    <cfRule type="containsText" dxfId="2" priority="40200" operator="containsText" text="Yes">
      <formula>NOT(ISERROR(SEARCH(("Yes"),(N212))))</formula>
    </cfRule>
  </conditionalFormatting>
  <conditionalFormatting sqref="N212:O212 P212:Q214">
    <cfRule type="containsText" dxfId="2" priority="40201" operator="containsText" text="Yes">
      <formula>NOT(ISERROR(SEARCH(("Yes"),(N212))))</formula>
    </cfRule>
  </conditionalFormatting>
  <conditionalFormatting sqref="N212:O212 P212:Q214">
    <cfRule type="containsText" dxfId="2" priority="40202" operator="containsText" text="Yes">
      <formula>NOT(ISERROR(SEARCH(("Yes"),(N212))))</formula>
    </cfRule>
  </conditionalFormatting>
  <conditionalFormatting sqref="N212:O212 P212:Q214">
    <cfRule type="containsText" dxfId="2" priority="40203" operator="containsText" text="Yes">
      <formula>NOT(ISERROR(SEARCH(("Yes"),(N212))))</formula>
    </cfRule>
  </conditionalFormatting>
  <conditionalFormatting sqref="N212:O212 P212:Q214">
    <cfRule type="containsText" dxfId="2" priority="40204" operator="containsText" text="Yes">
      <formula>NOT(ISERROR(SEARCH(("Yes"),(N212))))</formula>
    </cfRule>
  </conditionalFormatting>
  <conditionalFormatting sqref="N212:O212 P212:Q214">
    <cfRule type="containsText" dxfId="2" priority="40205" operator="containsText" text="Yes">
      <formula>NOT(ISERROR(SEARCH(("Yes"),(N212))))</formula>
    </cfRule>
  </conditionalFormatting>
  <conditionalFormatting sqref="N212:O212 P212:Q214">
    <cfRule type="containsText" dxfId="2" priority="40206" operator="containsText" text="Yes">
      <formula>NOT(ISERROR(SEARCH(("Yes"),(N212))))</formula>
    </cfRule>
  </conditionalFormatting>
  <conditionalFormatting sqref="N212:O212 P212:Q214">
    <cfRule type="containsText" dxfId="2" priority="40207" operator="containsText" text="Yes">
      <formula>NOT(ISERROR(SEARCH(("Yes"),(N212))))</formula>
    </cfRule>
  </conditionalFormatting>
  <conditionalFormatting sqref="N212:O212 P212:Q214">
    <cfRule type="containsText" dxfId="2" priority="40208" operator="containsText" text="Yes">
      <formula>NOT(ISERROR(SEARCH(("Yes"),(N212))))</formula>
    </cfRule>
  </conditionalFormatting>
  <conditionalFormatting sqref="N212:O212 P212:Q214">
    <cfRule type="containsText" dxfId="2" priority="40209" operator="containsText" text="Yes">
      <formula>NOT(ISERROR(SEARCH(("Yes"),(N212))))</formula>
    </cfRule>
  </conditionalFormatting>
  <conditionalFormatting sqref="N212:O212 P212:Q214">
    <cfRule type="containsText" dxfId="2" priority="40210" operator="containsText" text="Yes">
      <formula>NOT(ISERROR(SEARCH(("Yes"),(N212))))</formula>
    </cfRule>
  </conditionalFormatting>
  <conditionalFormatting sqref="N212:O212 P212:Q214">
    <cfRule type="containsText" dxfId="2" priority="40211" operator="containsText" text="Yes">
      <formula>NOT(ISERROR(SEARCH(("Yes"),(N212))))</formula>
    </cfRule>
  </conditionalFormatting>
  <conditionalFormatting sqref="N212:O212 P212:Q214">
    <cfRule type="containsText" dxfId="2" priority="40212" operator="containsText" text="Yes">
      <formula>NOT(ISERROR(SEARCH(("Yes"),(N212))))</formula>
    </cfRule>
  </conditionalFormatting>
  <conditionalFormatting sqref="N212:O212 P212:Q214">
    <cfRule type="containsText" dxfId="2" priority="40213" operator="containsText" text="Yes">
      <formula>NOT(ISERROR(SEARCH(("Yes"),(N212))))</formula>
    </cfRule>
  </conditionalFormatting>
  <conditionalFormatting sqref="N212:O212 P212:Q214">
    <cfRule type="containsText" dxfId="2" priority="40214" operator="containsText" text="Yes">
      <formula>NOT(ISERROR(SEARCH(("Yes"),(N212))))</formula>
    </cfRule>
  </conditionalFormatting>
  <conditionalFormatting sqref="N212:O212 P212:Q214">
    <cfRule type="containsText" dxfId="2" priority="40215" operator="containsText" text="Yes">
      <formula>NOT(ISERROR(SEARCH(("Yes"),(N212))))</formula>
    </cfRule>
  </conditionalFormatting>
  <conditionalFormatting sqref="N212:O212 P212:Q214">
    <cfRule type="containsText" dxfId="2" priority="40216" operator="containsText" text="Yes">
      <formula>NOT(ISERROR(SEARCH(("Yes"),(N212))))</formula>
    </cfRule>
  </conditionalFormatting>
  <conditionalFormatting sqref="N212:O212 P212:Q214">
    <cfRule type="containsText" dxfId="2" priority="40217" operator="containsText" text="Yes">
      <formula>NOT(ISERROR(SEARCH(("Yes"),(N212))))</formula>
    </cfRule>
  </conditionalFormatting>
  <conditionalFormatting sqref="N212:O212 P212:Q214">
    <cfRule type="containsText" dxfId="2" priority="40218" operator="containsText" text="Yes">
      <formula>NOT(ISERROR(SEARCH(("Yes"),(N212))))</formula>
    </cfRule>
  </conditionalFormatting>
  <conditionalFormatting sqref="N212:O212 P212:Q214">
    <cfRule type="containsText" dxfId="2" priority="40219" operator="containsText" text="Yes">
      <formula>NOT(ISERROR(SEARCH(("Yes"),(N212))))</formula>
    </cfRule>
  </conditionalFormatting>
  <conditionalFormatting sqref="N212:O212 P212:Q214">
    <cfRule type="containsText" dxfId="2" priority="40220" operator="containsText" text="Yes">
      <formula>NOT(ISERROR(SEARCH(("Yes"),(N212))))</formula>
    </cfRule>
  </conditionalFormatting>
  <conditionalFormatting sqref="N212:O212 P212:Q214">
    <cfRule type="containsText" dxfId="2" priority="40221" operator="containsText" text="Yes">
      <formula>NOT(ISERROR(SEARCH(("Yes"),(N212))))</formula>
    </cfRule>
  </conditionalFormatting>
  <conditionalFormatting sqref="N212:O212 P212:Q214">
    <cfRule type="containsText" dxfId="2" priority="40222" operator="containsText" text="Yes">
      <formula>NOT(ISERROR(SEARCH(("Yes"),(N212))))</formula>
    </cfRule>
  </conditionalFormatting>
  <conditionalFormatting sqref="N212:O212 P212:Q214">
    <cfRule type="containsText" dxfId="2" priority="40223" operator="containsText" text="Yes">
      <formula>NOT(ISERROR(SEARCH(("Yes"),(N212))))</formula>
    </cfRule>
  </conditionalFormatting>
  <conditionalFormatting sqref="N212:O212 P212:Q214">
    <cfRule type="containsText" dxfId="2" priority="40224" operator="containsText" text="Yes">
      <formula>NOT(ISERROR(SEARCH(("Yes"),(N212))))</formula>
    </cfRule>
  </conditionalFormatting>
  <conditionalFormatting sqref="N213:O214 N222">
    <cfRule type="containsText" dxfId="9" priority="40225" operator="containsText" text="No">
      <formula>NOT(ISERROR(SEARCH(("No"),(N213))))</formula>
    </cfRule>
  </conditionalFormatting>
  <conditionalFormatting sqref="N213:O214 N222">
    <cfRule type="containsText" dxfId="9" priority="40226" operator="containsText" text="No">
      <formula>NOT(ISERROR(SEARCH(("No"),(N213))))</formula>
    </cfRule>
  </conditionalFormatting>
  <conditionalFormatting sqref="N213:O214 N222">
    <cfRule type="containsText" dxfId="9" priority="40227" operator="containsText" text="No">
      <formula>NOT(ISERROR(SEARCH(("No"),(N213))))</formula>
    </cfRule>
  </conditionalFormatting>
  <conditionalFormatting sqref="N213:O214 N222">
    <cfRule type="containsText" dxfId="2" priority="40228" operator="containsText" text="Yes">
      <formula>NOT(ISERROR(SEARCH(("Yes"),(N213))))</formula>
    </cfRule>
  </conditionalFormatting>
  <conditionalFormatting sqref="N213:O214 N222">
    <cfRule type="containsText" dxfId="2" priority="40229" operator="containsText" text="Yes">
      <formula>NOT(ISERROR(SEARCH(("Yes"),(N213))))</formula>
    </cfRule>
  </conditionalFormatting>
  <conditionalFormatting sqref="N213:O214 N222">
    <cfRule type="containsText" dxfId="2" priority="40230" operator="containsText" text="Yes">
      <formula>NOT(ISERROR(SEARCH(("Yes"),(N213))))</formula>
    </cfRule>
  </conditionalFormatting>
  <conditionalFormatting sqref="N213:O214 N222">
    <cfRule type="containsText" dxfId="2" priority="40231" operator="containsText" text="Yes">
      <formula>NOT(ISERROR(SEARCH(("Yes"),(N213))))</formula>
    </cfRule>
  </conditionalFormatting>
  <conditionalFormatting sqref="N213:O214 N222">
    <cfRule type="containsText" dxfId="2" priority="40232" operator="containsText" text="Yes">
      <formula>NOT(ISERROR(SEARCH(("Yes"),(N213))))</formula>
    </cfRule>
  </conditionalFormatting>
  <conditionalFormatting sqref="N213:O214 N222">
    <cfRule type="containsText" dxfId="9" priority="40233" operator="containsText" text="No">
      <formula>NOT(ISERROR(SEARCH(("No"),(N213))))</formula>
    </cfRule>
  </conditionalFormatting>
  <conditionalFormatting sqref="N213:O214 N222">
    <cfRule type="containsText" dxfId="2" priority="40234" operator="containsText" text="Yes">
      <formula>NOT(ISERROR(SEARCH(("Yes"),(N213))))</formula>
    </cfRule>
  </conditionalFormatting>
  <conditionalFormatting sqref="O213:O214 O222">
    <cfRule type="containsText" dxfId="9" priority="40235" operator="containsText" text="No">
      <formula>NOT(ISERROR(SEARCH(("No"),(O213))))</formula>
    </cfRule>
  </conditionalFormatting>
  <conditionalFormatting sqref="O213:O214 O222">
    <cfRule type="containsText" dxfId="9" priority="40236" operator="containsText" text="No">
      <formula>NOT(ISERROR(SEARCH(("No"),(O213))))</formula>
    </cfRule>
  </conditionalFormatting>
  <conditionalFormatting sqref="O213:O214 O222">
    <cfRule type="containsText" dxfId="9" priority="40237" operator="containsText" text="No">
      <formula>NOT(ISERROR(SEARCH(("No"),(O213))))</formula>
    </cfRule>
  </conditionalFormatting>
  <conditionalFormatting sqref="O213:O214 O222">
    <cfRule type="containsText" dxfId="2" priority="40238" operator="containsText" text="Yes">
      <formula>NOT(ISERROR(SEARCH(("Yes"),(O213))))</formula>
    </cfRule>
  </conditionalFormatting>
  <conditionalFormatting sqref="O213:O214 O222">
    <cfRule type="containsText" dxfId="2" priority="40239" operator="containsText" text="Yes">
      <formula>NOT(ISERROR(SEARCH(("Yes"),(O213))))</formula>
    </cfRule>
  </conditionalFormatting>
  <conditionalFormatting sqref="O213:O214 O222">
    <cfRule type="containsText" dxfId="2" priority="40240" operator="containsText" text="Yes">
      <formula>NOT(ISERROR(SEARCH(("Yes"),(O213))))</formula>
    </cfRule>
  </conditionalFormatting>
  <conditionalFormatting sqref="O213:O214 O222">
    <cfRule type="containsText" dxfId="2" priority="40241" operator="containsText" text="Yes">
      <formula>NOT(ISERROR(SEARCH(("Yes"),(O213))))</formula>
    </cfRule>
  </conditionalFormatting>
  <conditionalFormatting sqref="O213:O214 O222">
    <cfRule type="containsText" dxfId="2" priority="40242" operator="containsText" text="Yes">
      <formula>NOT(ISERROR(SEARCH(("Yes"),(O213))))</formula>
    </cfRule>
  </conditionalFormatting>
  <conditionalFormatting sqref="O213:O214 O222">
    <cfRule type="containsText" dxfId="9" priority="40243" operator="containsText" text="No">
      <formula>NOT(ISERROR(SEARCH(("No"),(O213))))</formula>
    </cfRule>
  </conditionalFormatting>
  <conditionalFormatting sqref="O213:O214 O222">
    <cfRule type="containsText" dxfId="9" priority="40244" operator="containsText" text="No">
      <formula>NOT(ISERROR(SEARCH(("No"),(O213))))</formula>
    </cfRule>
  </conditionalFormatting>
  <conditionalFormatting sqref="O213:O214 O222">
    <cfRule type="containsText" dxfId="2" priority="40245" operator="containsText" text="Yes">
      <formula>NOT(ISERROR(SEARCH(("Yes"),(O213))))</formula>
    </cfRule>
  </conditionalFormatting>
  <conditionalFormatting sqref="P213:Q214 P222:Q222">
    <cfRule type="containsText" dxfId="9" priority="40246" operator="containsText" text="No">
      <formula>NOT(ISERROR(SEARCH(("No"),(P213))))</formula>
    </cfRule>
  </conditionalFormatting>
  <conditionalFormatting sqref="P213:Q214 P222:Q222">
    <cfRule type="containsText" dxfId="9" priority="40247" operator="containsText" text="No">
      <formula>NOT(ISERROR(SEARCH(("No"),(P213))))</formula>
    </cfRule>
  </conditionalFormatting>
  <conditionalFormatting sqref="P213:Q214 P222:Q222">
    <cfRule type="containsText" dxfId="9" priority="40248" operator="containsText" text="No">
      <formula>NOT(ISERROR(SEARCH(("No"),(P213))))</formula>
    </cfRule>
  </conditionalFormatting>
  <conditionalFormatting sqref="P213:Q214 P222:Q222">
    <cfRule type="containsText" dxfId="9" priority="40249" operator="containsText" text="No">
      <formula>NOT(ISERROR(SEARCH(("No"),(P213))))</formula>
    </cfRule>
  </conditionalFormatting>
  <conditionalFormatting sqref="P213:Q214 P222:Q222">
    <cfRule type="containsText" dxfId="9" priority="40250" operator="containsText" text="No">
      <formula>NOT(ISERROR(SEARCH(("No"),(P213))))</formula>
    </cfRule>
  </conditionalFormatting>
  <conditionalFormatting sqref="P213:Q214 P222:Q222">
    <cfRule type="containsText" dxfId="9" priority="40251" operator="containsText" text="No">
      <formula>NOT(ISERROR(SEARCH(("No"),(P213))))</formula>
    </cfRule>
  </conditionalFormatting>
  <conditionalFormatting sqref="P213:Q214 P222:Q222">
    <cfRule type="containsText" dxfId="9" priority="40252" operator="containsText" text="No">
      <formula>NOT(ISERROR(SEARCH(("No"),(P213))))</formula>
    </cfRule>
  </conditionalFormatting>
  <conditionalFormatting sqref="P213:Q214 P222:Q222">
    <cfRule type="containsText" dxfId="9" priority="40253" operator="containsText" text="No">
      <formula>NOT(ISERROR(SEARCH(("No"),(P213))))</formula>
    </cfRule>
  </conditionalFormatting>
  <conditionalFormatting sqref="P213:Q214 P222:Q222">
    <cfRule type="containsText" dxfId="9" priority="40254" operator="containsText" text="No">
      <formula>NOT(ISERROR(SEARCH(("No"),(P213))))</formula>
    </cfRule>
  </conditionalFormatting>
  <conditionalFormatting sqref="P213:Q214 P222:Q222">
    <cfRule type="containsText" dxfId="9" priority="40255" operator="containsText" text="No">
      <formula>NOT(ISERROR(SEARCH(("No"),(P213))))</formula>
    </cfRule>
  </conditionalFormatting>
  <conditionalFormatting sqref="P213:Q214 P222:Q222">
    <cfRule type="containsText" dxfId="9" priority="40256" operator="containsText" text="No">
      <formula>NOT(ISERROR(SEARCH(("No"),(P213))))</formula>
    </cfRule>
  </conditionalFormatting>
  <conditionalFormatting sqref="P213:Q214 P222:Q222">
    <cfRule type="containsText" dxfId="9" priority="40257" operator="containsText" text="No">
      <formula>NOT(ISERROR(SEARCH(("No"),(P213))))</formula>
    </cfRule>
  </conditionalFormatting>
  <conditionalFormatting sqref="P213:Q214 P222:Q222">
    <cfRule type="containsText" dxfId="9" priority="40258" operator="containsText" text="No">
      <formula>NOT(ISERROR(SEARCH(("No"),(P213))))</formula>
    </cfRule>
  </conditionalFormatting>
  <conditionalFormatting sqref="P213:Q214 P222:Q222">
    <cfRule type="containsText" dxfId="9" priority="40259" operator="containsText" text="No">
      <formula>NOT(ISERROR(SEARCH(("No"),(P213))))</formula>
    </cfRule>
  </conditionalFormatting>
  <conditionalFormatting sqref="P213:Q214 P222:Q222">
    <cfRule type="containsText" dxfId="9" priority="40260" operator="containsText" text="No">
      <formula>NOT(ISERROR(SEARCH(("No"),(P213))))</formula>
    </cfRule>
  </conditionalFormatting>
  <conditionalFormatting sqref="P213:Q214 P222:Q222">
    <cfRule type="containsText" dxfId="9" priority="40261" operator="containsText" text="No">
      <formula>NOT(ISERROR(SEARCH(("No"),(P213))))</formula>
    </cfRule>
  </conditionalFormatting>
  <conditionalFormatting sqref="P213:Q214 P222:Q222">
    <cfRule type="containsText" dxfId="9" priority="40262" operator="containsText" text="No">
      <formula>NOT(ISERROR(SEARCH(("No"),(P213))))</formula>
    </cfRule>
  </conditionalFormatting>
  <conditionalFormatting sqref="P213:Q214 P222:Q222">
    <cfRule type="containsText" dxfId="9" priority="40263" operator="containsText" text="No">
      <formula>NOT(ISERROR(SEARCH(("No"),(P213))))</formula>
    </cfRule>
  </conditionalFormatting>
  <conditionalFormatting sqref="P213:Q214 P222:Q222">
    <cfRule type="containsText" dxfId="9" priority="40264" operator="containsText" text="No">
      <formula>NOT(ISERROR(SEARCH(("No"),(P213))))</formula>
    </cfRule>
  </conditionalFormatting>
  <conditionalFormatting sqref="P213:Q214 P222:Q222">
    <cfRule type="containsText" dxfId="9" priority="40265" operator="containsText" text="No">
      <formula>NOT(ISERROR(SEARCH(("No"),(P213))))</formula>
    </cfRule>
  </conditionalFormatting>
  <conditionalFormatting sqref="P213:Q214 P222:Q222">
    <cfRule type="containsText" dxfId="9" priority="40266" operator="containsText" text="No">
      <formula>NOT(ISERROR(SEARCH(("No"),(P213))))</formula>
    </cfRule>
  </conditionalFormatting>
  <conditionalFormatting sqref="P213:Q214 P222:Q222">
    <cfRule type="containsText" dxfId="9" priority="40267" operator="containsText" text="No">
      <formula>NOT(ISERROR(SEARCH(("No"),(P213))))</formula>
    </cfRule>
  </conditionalFormatting>
  <conditionalFormatting sqref="P213:Q214 P222:Q222">
    <cfRule type="containsText" dxfId="9" priority="40268" operator="containsText" text="No">
      <formula>NOT(ISERROR(SEARCH(("No"),(P213))))</formula>
    </cfRule>
  </conditionalFormatting>
  <conditionalFormatting sqref="P213:Q214 P222:Q222">
    <cfRule type="containsText" dxfId="9" priority="40269" operator="containsText" text="No">
      <formula>NOT(ISERROR(SEARCH(("No"),(P213))))</formula>
    </cfRule>
  </conditionalFormatting>
  <conditionalFormatting sqref="P213:Q214 P222:Q222">
    <cfRule type="containsText" dxfId="9" priority="40270" operator="containsText" text="No">
      <formula>NOT(ISERROR(SEARCH(("No"),(P213))))</formula>
    </cfRule>
  </conditionalFormatting>
  <conditionalFormatting sqref="P213:Q214 P222:Q222">
    <cfRule type="containsText" dxfId="9" priority="40271" operator="containsText" text="No">
      <formula>NOT(ISERROR(SEARCH(("No"),(P213))))</formula>
    </cfRule>
  </conditionalFormatting>
  <conditionalFormatting sqref="P213:Q214 P222:Q222">
    <cfRule type="containsText" dxfId="9" priority="40272" operator="containsText" text="No">
      <formula>NOT(ISERROR(SEARCH(("No"),(P213))))</formula>
    </cfRule>
  </conditionalFormatting>
  <conditionalFormatting sqref="P213:Q214 P222:Q222">
    <cfRule type="containsText" dxfId="9" priority="40273" operator="containsText" text="No">
      <formula>NOT(ISERROR(SEARCH(("No"),(P213))))</formula>
    </cfRule>
  </conditionalFormatting>
  <conditionalFormatting sqref="P213:Q214 P222:Q222">
    <cfRule type="containsText" dxfId="9" priority="40274" operator="containsText" text="No">
      <formula>NOT(ISERROR(SEARCH(("No"),(P213))))</formula>
    </cfRule>
  </conditionalFormatting>
  <conditionalFormatting sqref="P213:Q214 P222:Q222">
    <cfRule type="containsText" dxfId="9" priority="40275" operator="containsText" text="No">
      <formula>NOT(ISERROR(SEARCH(("No"),(P213))))</formula>
    </cfRule>
  </conditionalFormatting>
  <conditionalFormatting sqref="P213:Q214 P222:Q222">
    <cfRule type="containsText" dxfId="9" priority="40276" operator="containsText" text="No">
      <formula>NOT(ISERROR(SEARCH(("No"),(P213))))</formula>
    </cfRule>
  </conditionalFormatting>
  <conditionalFormatting sqref="P213:Q214 P222:Q222">
    <cfRule type="containsText" dxfId="9" priority="40277" operator="containsText" text="No">
      <formula>NOT(ISERROR(SEARCH(("No"),(P213))))</formula>
    </cfRule>
  </conditionalFormatting>
  <conditionalFormatting sqref="P213:Q214 P222:Q222">
    <cfRule type="containsText" dxfId="9" priority="40278" operator="containsText" text="No">
      <formula>NOT(ISERROR(SEARCH(("No"),(P213))))</formula>
    </cfRule>
  </conditionalFormatting>
  <conditionalFormatting sqref="P213:Q214 P222:Q222">
    <cfRule type="containsText" dxfId="9" priority="40279" operator="containsText" text="No">
      <formula>NOT(ISERROR(SEARCH(("No"),(P213))))</formula>
    </cfRule>
  </conditionalFormatting>
  <conditionalFormatting sqref="P213:Q214 P222:Q222">
    <cfRule type="containsText" dxfId="9" priority="40280" operator="containsText" text="No">
      <formula>NOT(ISERROR(SEARCH(("No"),(P213))))</formula>
    </cfRule>
  </conditionalFormatting>
  <conditionalFormatting sqref="P213:Q214 P222:Q222">
    <cfRule type="containsText" dxfId="9" priority="40281" operator="containsText" text="No">
      <formula>NOT(ISERROR(SEARCH(("No"),(P213))))</formula>
    </cfRule>
  </conditionalFormatting>
  <conditionalFormatting sqref="P213:Q214 P222:Q222">
    <cfRule type="containsText" dxfId="9" priority="40282" operator="containsText" text="No">
      <formula>NOT(ISERROR(SEARCH(("No"),(P213))))</formula>
    </cfRule>
  </conditionalFormatting>
  <conditionalFormatting sqref="P213:Q214 P222:Q222">
    <cfRule type="containsText" dxfId="9" priority="40283" operator="containsText" text="No">
      <formula>NOT(ISERROR(SEARCH(("No"),(P213))))</formula>
    </cfRule>
  </conditionalFormatting>
  <conditionalFormatting sqref="P213:Q214 P222:Q222">
    <cfRule type="containsText" dxfId="9" priority="40284" operator="containsText" text="No">
      <formula>NOT(ISERROR(SEARCH(("No"),(P213))))</formula>
    </cfRule>
  </conditionalFormatting>
  <conditionalFormatting sqref="P213:Q214 P222:Q222">
    <cfRule type="containsText" dxfId="9" priority="40285" operator="containsText" text="No">
      <formula>NOT(ISERROR(SEARCH(("No"),(P213))))</formula>
    </cfRule>
  </conditionalFormatting>
  <conditionalFormatting sqref="P213:Q214 P222:Q222">
    <cfRule type="containsText" dxfId="9" priority="40286" operator="containsText" text="No">
      <formula>NOT(ISERROR(SEARCH(("No"),(P213))))</formula>
    </cfRule>
  </conditionalFormatting>
  <conditionalFormatting sqref="P213:Q214 P222:Q222">
    <cfRule type="containsText" dxfId="9" priority="40287" operator="containsText" text="No">
      <formula>NOT(ISERROR(SEARCH(("No"),(P213))))</formula>
    </cfRule>
  </conditionalFormatting>
  <conditionalFormatting sqref="P213:Q214 P222:Q222">
    <cfRule type="containsText" dxfId="9" priority="40288" operator="containsText" text="No">
      <formula>NOT(ISERROR(SEARCH(("No"),(P213))))</formula>
    </cfRule>
  </conditionalFormatting>
  <conditionalFormatting sqref="P213:Q214 P222:Q222">
    <cfRule type="containsText" dxfId="9" priority="40289" operator="containsText" text="No">
      <formula>NOT(ISERROR(SEARCH(("No"),(P213))))</formula>
    </cfRule>
  </conditionalFormatting>
  <conditionalFormatting sqref="P213:Q214 P222:Q222">
    <cfRule type="containsText" dxfId="9" priority="40290" operator="containsText" text="No">
      <formula>NOT(ISERROR(SEARCH(("No"),(P213))))</formula>
    </cfRule>
  </conditionalFormatting>
  <conditionalFormatting sqref="P213:Q214 P222:Q222">
    <cfRule type="containsText" dxfId="2" priority="40291" operator="containsText" text="Yes">
      <formula>NOT(ISERROR(SEARCH(("Yes"),(P213))))</formula>
    </cfRule>
  </conditionalFormatting>
  <conditionalFormatting sqref="P213:Q214 P222:Q222">
    <cfRule type="containsText" dxfId="2" priority="40292" operator="containsText" text="Yes">
      <formula>NOT(ISERROR(SEARCH(("Yes"),(P213))))</formula>
    </cfRule>
  </conditionalFormatting>
  <conditionalFormatting sqref="P213:Q214 P222:Q222">
    <cfRule type="containsText" dxfId="2" priority="40293" operator="containsText" text="Yes">
      <formula>NOT(ISERROR(SEARCH(("Yes"),(P213))))</formula>
    </cfRule>
  </conditionalFormatting>
  <conditionalFormatting sqref="P213:Q214 P222:Q222">
    <cfRule type="containsText" dxfId="2" priority="40294" operator="containsText" text="Yes">
      <formula>NOT(ISERROR(SEARCH(("Yes"),(P213))))</formula>
    </cfRule>
  </conditionalFormatting>
  <conditionalFormatting sqref="P213:Q214 P222:Q222">
    <cfRule type="containsText" dxfId="2" priority="40295" operator="containsText" text="Yes">
      <formula>NOT(ISERROR(SEARCH(("Yes"),(P213))))</formula>
    </cfRule>
  </conditionalFormatting>
  <conditionalFormatting sqref="P213:Q214 P222:Q222">
    <cfRule type="containsText" dxfId="2" priority="40296" operator="containsText" text="Yes">
      <formula>NOT(ISERROR(SEARCH(("Yes"),(P213))))</formula>
    </cfRule>
  </conditionalFormatting>
  <conditionalFormatting sqref="P213:Q214 P222:Q222">
    <cfRule type="containsText" dxfId="2" priority="40297" operator="containsText" text="Yes">
      <formula>NOT(ISERROR(SEARCH(("Yes"),(P213))))</formula>
    </cfRule>
  </conditionalFormatting>
  <conditionalFormatting sqref="P213:Q214 P222:Q222">
    <cfRule type="containsText" dxfId="2" priority="40298" operator="containsText" text="Yes">
      <formula>NOT(ISERROR(SEARCH(("Yes"),(P213))))</formula>
    </cfRule>
  </conditionalFormatting>
  <conditionalFormatting sqref="P213:Q214 P222:Q222">
    <cfRule type="containsText" dxfId="2" priority="40299" operator="containsText" text="Yes">
      <formula>NOT(ISERROR(SEARCH(("Yes"),(P213))))</formula>
    </cfRule>
  </conditionalFormatting>
  <conditionalFormatting sqref="P213:Q214 P222:Q222">
    <cfRule type="containsText" dxfId="2" priority="40300" operator="containsText" text="Yes">
      <formula>NOT(ISERROR(SEARCH(("Yes"),(P213))))</formula>
    </cfRule>
  </conditionalFormatting>
  <conditionalFormatting sqref="P213:Q214 P222:Q222">
    <cfRule type="containsText" dxfId="2" priority="40301" operator="containsText" text="Yes">
      <formula>NOT(ISERROR(SEARCH(("Yes"),(P213))))</formula>
    </cfRule>
  </conditionalFormatting>
  <conditionalFormatting sqref="P213:Q214 P222:Q222">
    <cfRule type="containsText" dxfId="2" priority="40302" operator="containsText" text="Yes">
      <formula>NOT(ISERROR(SEARCH(("Yes"),(P213))))</formula>
    </cfRule>
  </conditionalFormatting>
  <conditionalFormatting sqref="P213:Q214 P222:Q222">
    <cfRule type="containsText" dxfId="2" priority="40303" operator="containsText" text="Yes">
      <formula>NOT(ISERROR(SEARCH(("Yes"),(P213))))</formula>
    </cfRule>
  </conditionalFormatting>
  <conditionalFormatting sqref="P213:Q214 P222:Q222">
    <cfRule type="containsText" dxfId="2" priority="40304" operator="containsText" text="Yes">
      <formula>NOT(ISERROR(SEARCH(("Yes"),(P213))))</formula>
    </cfRule>
  </conditionalFormatting>
  <conditionalFormatting sqref="P213:Q214 P222:Q222">
    <cfRule type="containsText" dxfId="2" priority="40305" operator="containsText" text="Yes">
      <formula>NOT(ISERROR(SEARCH(("Yes"),(P213))))</formula>
    </cfRule>
  </conditionalFormatting>
  <conditionalFormatting sqref="P213:Q214 P222:Q222">
    <cfRule type="containsText" dxfId="2" priority="40306" operator="containsText" text="Yes">
      <formula>NOT(ISERROR(SEARCH(("Yes"),(P213))))</formula>
    </cfRule>
  </conditionalFormatting>
  <conditionalFormatting sqref="P213:Q214 P222:Q222">
    <cfRule type="containsText" dxfId="2" priority="40307" operator="containsText" text="Yes">
      <formula>NOT(ISERROR(SEARCH(("Yes"),(P213))))</formula>
    </cfRule>
  </conditionalFormatting>
  <conditionalFormatting sqref="P213:Q214 P222:Q222">
    <cfRule type="containsText" dxfId="2" priority="40308" operator="containsText" text="Yes">
      <formula>NOT(ISERROR(SEARCH(("Yes"),(P213))))</formula>
    </cfRule>
  </conditionalFormatting>
  <conditionalFormatting sqref="P213:Q214 P222:Q222">
    <cfRule type="containsText" dxfId="2" priority="40309" operator="containsText" text="Yes">
      <formula>NOT(ISERROR(SEARCH(("Yes"),(P213))))</formula>
    </cfRule>
  </conditionalFormatting>
  <conditionalFormatting sqref="P213:Q214 P222:Q222">
    <cfRule type="containsText" dxfId="2" priority="40310" operator="containsText" text="Yes">
      <formula>NOT(ISERROR(SEARCH(("Yes"),(P213))))</formula>
    </cfRule>
  </conditionalFormatting>
  <conditionalFormatting sqref="P213:Q214 P222:Q222">
    <cfRule type="containsText" dxfId="2" priority="40311" operator="containsText" text="Yes">
      <formula>NOT(ISERROR(SEARCH(("Yes"),(P213))))</formula>
    </cfRule>
  </conditionalFormatting>
  <conditionalFormatting sqref="P213:Q214 P222:Q222">
    <cfRule type="containsText" dxfId="2" priority="40312" operator="containsText" text="Yes">
      <formula>NOT(ISERROR(SEARCH(("Yes"),(P213))))</formula>
    </cfRule>
  </conditionalFormatting>
  <conditionalFormatting sqref="P213:Q214 P222:Q222">
    <cfRule type="containsText" dxfId="2" priority="40313" operator="containsText" text="Yes">
      <formula>NOT(ISERROR(SEARCH(("Yes"),(P213))))</formula>
    </cfRule>
  </conditionalFormatting>
  <conditionalFormatting sqref="P213:Q214 P222:Q222">
    <cfRule type="containsText" dxfId="2" priority="40314" operator="containsText" text="Yes">
      <formula>NOT(ISERROR(SEARCH(("Yes"),(P213))))</formula>
    </cfRule>
  </conditionalFormatting>
  <conditionalFormatting sqref="P213:Q214 P222:Q222">
    <cfRule type="containsText" dxfId="2" priority="40315" operator="containsText" text="Yes">
      <formula>NOT(ISERROR(SEARCH(("Yes"),(P213))))</formula>
    </cfRule>
  </conditionalFormatting>
  <conditionalFormatting sqref="P213:Q214 P222:Q222">
    <cfRule type="containsText" dxfId="2" priority="40316" operator="containsText" text="Yes">
      <formula>NOT(ISERROR(SEARCH(("Yes"),(P213))))</formula>
    </cfRule>
  </conditionalFormatting>
  <conditionalFormatting sqref="P213:Q214 P222:Q222">
    <cfRule type="containsText" dxfId="2" priority="40317" operator="containsText" text="Yes">
      <formula>NOT(ISERROR(SEARCH(("Yes"),(P213))))</formula>
    </cfRule>
  </conditionalFormatting>
  <conditionalFormatting sqref="P213:Q214 P222:Q222">
    <cfRule type="containsText" dxfId="2" priority="40318" operator="containsText" text="Yes">
      <formula>NOT(ISERROR(SEARCH(("Yes"),(P213))))</formula>
    </cfRule>
  </conditionalFormatting>
  <conditionalFormatting sqref="P213:Q214 P222:Q222">
    <cfRule type="containsText" dxfId="2" priority="40319" operator="containsText" text="Yes">
      <formula>NOT(ISERROR(SEARCH(("Yes"),(P213))))</formula>
    </cfRule>
  </conditionalFormatting>
  <conditionalFormatting sqref="P213:Q214 P222:Q222">
    <cfRule type="containsText" dxfId="2" priority="40320" operator="containsText" text="Yes">
      <formula>NOT(ISERROR(SEARCH(("Yes"),(P213))))</formula>
    </cfRule>
  </conditionalFormatting>
  <conditionalFormatting sqref="P213:Q214 P222:Q222">
    <cfRule type="containsText" dxfId="2" priority="40321" operator="containsText" text="Yes">
      <formula>NOT(ISERROR(SEARCH(("Yes"),(P213))))</formula>
    </cfRule>
  </conditionalFormatting>
  <conditionalFormatting sqref="P213:Q214 P222:Q222">
    <cfRule type="containsText" dxfId="2" priority="40322" operator="containsText" text="Yes">
      <formula>NOT(ISERROR(SEARCH(("Yes"),(P213))))</formula>
    </cfRule>
  </conditionalFormatting>
  <conditionalFormatting sqref="P213:Q214 P222:Q222">
    <cfRule type="containsText" dxfId="2" priority="40323" operator="containsText" text="Yes">
      <formula>NOT(ISERROR(SEARCH(("Yes"),(P213))))</formula>
    </cfRule>
  </conditionalFormatting>
  <conditionalFormatting sqref="P213:Q214 P222:Q222">
    <cfRule type="containsText" dxfId="2" priority="40324" operator="containsText" text="Yes">
      <formula>NOT(ISERROR(SEARCH(("Yes"),(P213))))</formula>
    </cfRule>
  </conditionalFormatting>
  <conditionalFormatting sqref="P213:Q214 P222:Q222">
    <cfRule type="containsText" dxfId="2" priority="40325" operator="containsText" text="Yes">
      <formula>NOT(ISERROR(SEARCH(("Yes"),(P213))))</formula>
    </cfRule>
  </conditionalFormatting>
  <conditionalFormatting sqref="P213:Q214 P222:Q222">
    <cfRule type="containsText" dxfId="2" priority="40326" operator="containsText" text="Yes">
      <formula>NOT(ISERROR(SEARCH(("Yes"),(P213))))</formula>
    </cfRule>
  </conditionalFormatting>
  <conditionalFormatting sqref="P213:Q214 P222:Q222">
    <cfRule type="containsText" dxfId="2" priority="40327" operator="containsText" text="Yes">
      <formula>NOT(ISERROR(SEARCH(("Yes"),(P213))))</formula>
    </cfRule>
  </conditionalFormatting>
  <conditionalFormatting sqref="P213:Q214 P222:Q222">
    <cfRule type="containsText" dxfId="2" priority="40328" operator="containsText" text="Yes">
      <formula>NOT(ISERROR(SEARCH(("Yes"),(P213))))</formula>
    </cfRule>
  </conditionalFormatting>
  <conditionalFormatting sqref="P213:Q214 P222:Q222">
    <cfRule type="containsText" dxfId="2" priority="40329" operator="containsText" text="Yes">
      <formula>NOT(ISERROR(SEARCH(("Yes"),(P213))))</formula>
    </cfRule>
  </conditionalFormatting>
  <conditionalFormatting sqref="P213:Q214 P222:Q222">
    <cfRule type="containsText" dxfId="2" priority="40330" operator="containsText" text="Yes">
      <formula>NOT(ISERROR(SEARCH(("Yes"),(P213))))</formula>
    </cfRule>
  </conditionalFormatting>
  <conditionalFormatting sqref="P213:Q214 P222:Q222">
    <cfRule type="containsText" dxfId="2" priority="40331" operator="containsText" text="Yes">
      <formula>NOT(ISERROR(SEARCH(("Yes"),(P213))))</formula>
    </cfRule>
  </conditionalFormatting>
  <conditionalFormatting sqref="P213:Q214 P222:Q222">
    <cfRule type="containsText" dxfId="2" priority="40332" operator="containsText" text="Yes">
      <formula>NOT(ISERROR(SEARCH(("Yes"),(P213))))</formula>
    </cfRule>
  </conditionalFormatting>
  <conditionalFormatting sqref="P213:Q214 P222:Q222">
    <cfRule type="containsText" dxfId="2" priority="40333" operator="containsText" text="Yes">
      <formula>NOT(ISERROR(SEARCH(("Yes"),(P213))))</formula>
    </cfRule>
  </conditionalFormatting>
  <conditionalFormatting sqref="P213:Q214 P222:Q222">
    <cfRule type="containsText" dxfId="2" priority="40334" operator="containsText" text="Yes">
      <formula>NOT(ISERROR(SEARCH(("Yes"),(P213))))</formula>
    </cfRule>
  </conditionalFormatting>
  <conditionalFormatting sqref="P213:Q214 P222:Q222">
    <cfRule type="containsText" dxfId="2" priority="40335" operator="containsText" text="Yes">
      <formula>NOT(ISERROR(SEARCH(("Yes"),(P213))))</formula>
    </cfRule>
  </conditionalFormatting>
  <conditionalFormatting sqref="P213:Q214 P222:Q222">
    <cfRule type="containsText" dxfId="2" priority="40336" operator="containsText" text="Yes">
      <formula>NOT(ISERROR(SEARCH(("Yes"),(P213))))</formula>
    </cfRule>
  </conditionalFormatting>
  <conditionalFormatting sqref="P213:Q214 P222:Q222">
    <cfRule type="containsText" dxfId="2" priority="40337" operator="containsText" text="Yes">
      <formula>NOT(ISERROR(SEARCH(("Yes"),(P213))))</formula>
    </cfRule>
  </conditionalFormatting>
  <conditionalFormatting sqref="N214:Q214">
    <cfRule type="containsText" dxfId="9" priority="40338" operator="containsText" text="No">
      <formula>NOT(ISERROR(SEARCH(("No"),(N214))))</formula>
    </cfRule>
  </conditionalFormatting>
  <conditionalFormatting sqref="N214:Q214">
    <cfRule type="containsText" dxfId="9" priority="40339" operator="containsText" text="No">
      <formula>NOT(ISERROR(SEARCH(("No"),(N214))))</formula>
    </cfRule>
  </conditionalFormatting>
  <conditionalFormatting sqref="N214:Q214">
    <cfRule type="containsText" dxfId="9" priority="40340" operator="containsText" text="No">
      <formula>NOT(ISERROR(SEARCH(("No"),(N214))))</formula>
    </cfRule>
  </conditionalFormatting>
  <conditionalFormatting sqref="N214:Q214">
    <cfRule type="containsText" dxfId="9" priority="40341" operator="containsText" text="No">
      <formula>NOT(ISERROR(SEARCH(("No"),(N214))))</formula>
    </cfRule>
  </conditionalFormatting>
  <conditionalFormatting sqref="N214:Q214">
    <cfRule type="containsText" dxfId="9" priority="40342" operator="containsText" text="No">
      <formula>NOT(ISERROR(SEARCH(("No"),(N214))))</formula>
    </cfRule>
  </conditionalFormatting>
  <conditionalFormatting sqref="N214:Q214">
    <cfRule type="containsText" dxfId="9" priority="40343" operator="containsText" text="No">
      <formula>NOT(ISERROR(SEARCH(("No"),(N214))))</formula>
    </cfRule>
  </conditionalFormatting>
  <conditionalFormatting sqref="N214:Q214">
    <cfRule type="containsText" dxfId="9" priority="40344" operator="containsText" text="No">
      <formula>NOT(ISERROR(SEARCH(("No"),(N214))))</formula>
    </cfRule>
  </conditionalFormatting>
  <conditionalFormatting sqref="N214:Q214">
    <cfRule type="containsText" dxfId="9" priority="40345" operator="containsText" text="No">
      <formula>NOT(ISERROR(SEARCH(("No"),(N214))))</formula>
    </cfRule>
  </conditionalFormatting>
  <conditionalFormatting sqref="N214:Q214">
    <cfRule type="containsText" dxfId="9" priority="40346" operator="containsText" text="No">
      <formula>NOT(ISERROR(SEARCH(("No"),(N214))))</formula>
    </cfRule>
  </conditionalFormatting>
  <conditionalFormatting sqref="N214:Q214">
    <cfRule type="containsText" dxfId="9" priority="40347" operator="containsText" text="No">
      <formula>NOT(ISERROR(SEARCH(("No"),(N214))))</formula>
    </cfRule>
  </conditionalFormatting>
  <conditionalFormatting sqref="N214:Q214">
    <cfRule type="containsText" dxfId="9" priority="40348" operator="containsText" text="No">
      <formula>NOT(ISERROR(SEARCH(("No"),(N214))))</formula>
    </cfRule>
  </conditionalFormatting>
  <conditionalFormatting sqref="N214:Q214">
    <cfRule type="containsText" dxfId="9" priority="40349" operator="containsText" text="No">
      <formula>NOT(ISERROR(SEARCH(("No"),(N214))))</formula>
    </cfRule>
  </conditionalFormatting>
  <conditionalFormatting sqref="N214:Q214">
    <cfRule type="containsText" dxfId="9" priority="40350" operator="containsText" text="No">
      <formula>NOT(ISERROR(SEARCH(("No"),(N214))))</formula>
    </cfRule>
  </conditionalFormatting>
  <conditionalFormatting sqref="N214:Q214">
    <cfRule type="containsText" dxfId="9" priority="40351" operator="containsText" text="No">
      <formula>NOT(ISERROR(SEARCH(("No"),(N214))))</formula>
    </cfRule>
  </conditionalFormatting>
  <conditionalFormatting sqref="N214:Q214">
    <cfRule type="containsText" dxfId="9" priority="40352" operator="containsText" text="No">
      <formula>NOT(ISERROR(SEARCH(("No"),(N214))))</formula>
    </cfRule>
  </conditionalFormatting>
  <conditionalFormatting sqref="N214:Q214">
    <cfRule type="containsText" dxfId="9" priority="40353" operator="containsText" text="No">
      <formula>NOT(ISERROR(SEARCH(("No"),(N214))))</formula>
    </cfRule>
  </conditionalFormatting>
  <conditionalFormatting sqref="N214:Q214">
    <cfRule type="containsText" dxfId="9" priority="40354" operator="containsText" text="No">
      <formula>NOT(ISERROR(SEARCH(("No"),(N214))))</formula>
    </cfRule>
  </conditionalFormatting>
  <conditionalFormatting sqref="N214:Q214">
    <cfRule type="containsText" dxfId="9" priority="40355" operator="containsText" text="No">
      <formula>NOT(ISERROR(SEARCH(("No"),(N214))))</formula>
    </cfRule>
  </conditionalFormatting>
  <conditionalFormatting sqref="N214:Q214">
    <cfRule type="containsText" dxfId="9" priority="40356" operator="containsText" text="No">
      <formula>NOT(ISERROR(SEARCH(("No"),(N214))))</formula>
    </cfRule>
  </conditionalFormatting>
  <conditionalFormatting sqref="N214:Q214">
    <cfRule type="containsText" dxfId="9" priority="40357" operator="containsText" text="No">
      <formula>NOT(ISERROR(SEARCH(("No"),(N214))))</formula>
    </cfRule>
  </conditionalFormatting>
  <conditionalFormatting sqref="N214:Q214">
    <cfRule type="containsText" dxfId="9" priority="40358" operator="containsText" text="No">
      <formula>NOT(ISERROR(SEARCH(("No"),(N214))))</formula>
    </cfRule>
  </conditionalFormatting>
  <conditionalFormatting sqref="N214:Q214">
    <cfRule type="containsText" dxfId="9" priority="40359" operator="containsText" text="No">
      <formula>NOT(ISERROR(SEARCH(("No"),(N214))))</formula>
    </cfRule>
  </conditionalFormatting>
  <conditionalFormatting sqref="N214:Q214">
    <cfRule type="containsText" dxfId="9" priority="40360" operator="containsText" text="No">
      <formula>NOT(ISERROR(SEARCH(("No"),(N214))))</formula>
    </cfRule>
  </conditionalFormatting>
  <conditionalFormatting sqref="N214:Q214">
    <cfRule type="containsText" dxfId="9" priority="40361" operator="containsText" text="No">
      <formula>NOT(ISERROR(SEARCH(("No"),(N214))))</formula>
    </cfRule>
  </conditionalFormatting>
  <conditionalFormatting sqref="N214:Q214">
    <cfRule type="containsText" dxfId="9" priority="40362" operator="containsText" text="No">
      <formula>NOT(ISERROR(SEARCH(("No"),(N214))))</formula>
    </cfRule>
  </conditionalFormatting>
  <conditionalFormatting sqref="N214:Q214">
    <cfRule type="containsText" dxfId="9" priority="40363" operator="containsText" text="No">
      <formula>NOT(ISERROR(SEARCH(("No"),(N214))))</formula>
    </cfRule>
  </conditionalFormatting>
  <conditionalFormatting sqref="N214:Q214">
    <cfRule type="containsText" dxfId="9" priority="40364" operator="containsText" text="No">
      <formula>NOT(ISERROR(SEARCH(("No"),(N214))))</formula>
    </cfRule>
  </conditionalFormatting>
  <conditionalFormatting sqref="N214:Q214">
    <cfRule type="containsText" dxfId="9" priority="40365" operator="containsText" text="No">
      <formula>NOT(ISERROR(SEARCH(("No"),(N214))))</formula>
    </cfRule>
  </conditionalFormatting>
  <conditionalFormatting sqref="N214:Q214">
    <cfRule type="containsText" dxfId="9" priority="40366" operator="containsText" text="No">
      <formula>NOT(ISERROR(SEARCH(("No"),(N214))))</formula>
    </cfRule>
  </conditionalFormatting>
  <conditionalFormatting sqref="N214:Q214">
    <cfRule type="containsText" dxfId="9" priority="40367" operator="containsText" text="No">
      <formula>NOT(ISERROR(SEARCH(("No"),(N214))))</formula>
    </cfRule>
  </conditionalFormatting>
  <conditionalFormatting sqref="N214:Q214">
    <cfRule type="containsText" dxfId="9" priority="40368" operator="containsText" text="No">
      <formula>NOT(ISERROR(SEARCH(("No"),(N214))))</formula>
    </cfRule>
  </conditionalFormatting>
  <conditionalFormatting sqref="N214:Q214">
    <cfRule type="containsText" dxfId="9" priority="40369" operator="containsText" text="No">
      <formula>NOT(ISERROR(SEARCH(("No"),(N214))))</formula>
    </cfRule>
  </conditionalFormatting>
  <conditionalFormatting sqref="N214:Q214">
    <cfRule type="containsText" dxfId="9" priority="40370" operator="containsText" text="No">
      <formula>NOT(ISERROR(SEARCH(("No"),(N214))))</formula>
    </cfRule>
  </conditionalFormatting>
  <conditionalFormatting sqref="N214:Q214">
    <cfRule type="containsText" dxfId="9" priority="40371" operator="containsText" text="No">
      <formula>NOT(ISERROR(SEARCH(("No"),(N214))))</formula>
    </cfRule>
  </conditionalFormatting>
  <conditionalFormatting sqref="N214:Q214">
    <cfRule type="containsText" dxfId="9" priority="40372" operator="containsText" text="No">
      <formula>NOT(ISERROR(SEARCH(("No"),(N214))))</formula>
    </cfRule>
  </conditionalFormatting>
  <conditionalFormatting sqref="N214:Q214">
    <cfRule type="containsText" dxfId="9" priority="40373" operator="containsText" text="No">
      <formula>NOT(ISERROR(SEARCH(("No"),(N214))))</formula>
    </cfRule>
  </conditionalFormatting>
  <conditionalFormatting sqref="N214:Q214">
    <cfRule type="containsText" dxfId="9" priority="40374" operator="containsText" text="No">
      <formula>NOT(ISERROR(SEARCH(("No"),(N214))))</formula>
    </cfRule>
  </conditionalFormatting>
  <conditionalFormatting sqref="N214:Q214">
    <cfRule type="containsText" dxfId="9" priority="40375" operator="containsText" text="No">
      <formula>NOT(ISERROR(SEARCH(("No"),(N214))))</formula>
    </cfRule>
  </conditionalFormatting>
  <conditionalFormatting sqref="N214:Q214">
    <cfRule type="containsText" dxfId="9" priority="40376" operator="containsText" text="No">
      <formula>NOT(ISERROR(SEARCH(("No"),(N214))))</formula>
    </cfRule>
  </conditionalFormatting>
  <conditionalFormatting sqref="N214:Q214">
    <cfRule type="containsText" dxfId="9" priority="40377" operator="containsText" text="No">
      <formula>NOT(ISERROR(SEARCH(("No"),(N214))))</formula>
    </cfRule>
  </conditionalFormatting>
  <conditionalFormatting sqref="N214:Q214">
    <cfRule type="containsText" dxfId="9" priority="40378" operator="containsText" text="No">
      <formula>NOT(ISERROR(SEARCH(("No"),(N214))))</formula>
    </cfRule>
  </conditionalFormatting>
  <conditionalFormatting sqref="N214:Q214">
    <cfRule type="containsText" dxfId="9" priority="40379" operator="containsText" text="No">
      <formula>NOT(ISERROR(SEARCH(("No"),(N214))))</formula>
    </cfRule>
  </conditionalFormatting>
  <conditionalFormatting sqref="N214:Q214">
    <cfRule type="containsText" dxfId="9" priority="40380" operator="containsText" text="No">
      <formula>NOT(ISERROR(SEARCH(("No"),(N214))))</formula>
    </cfRule>
  </conditionalFormatting>
  <conditionalFormatting sqref="N214:Q214">
    <cfRule type="containsText" dxfId="9" priority="40381" operator="containsText" text="No">
      <formula>NOT(ISERROR(SEARCH(("No"),(N214))))</formula>
    </cfRule>
  </conditionalFormatting>
  <conditionalFormatting sqref="N214:Q214">
    <cfRule type="containsText" dxfId="9" priority="40382" operator="containsText" text="No">
      <formula>NOT(ISERROR(SEARCH(("No"),(N214))))</formula>
    </cfRule>
  </conditionalFormatting>
  <conditionalFormatting sqref="N214:Q214">
    <cfRule type="containsText" dxfId="2" priority="40383" operator="containsText" text="Yes">
      <formula>NOT(ISERROR(SEARCH(("Yes"),(N214))))</formula>
    </cfRule>
  </conditionalFormatting>
  <conditionalFormatting sqref="N214:Q214">
    <cfRule type="containsText" dxfId="2" priority="40384" operator="containsText" text="Yes">
      <formula>NOT(ISERROR(SEARCH(("Yes"),(N214))))</formula>
    </cfRule>
  </conditionalFormatting>
  <conditionalFormatting sqref="N214:Q214">
    <cfRule type="containsText" dxfId="2" priority="40385" operator="containsText" text="Yes">
      <formula>NOT(ISERROR(SEARCH(("Yes"),(N214))))</formula>
    </cfRule>
  </conditionalFormatting>
  <conditionalFormatting sqref="N214:Q214">
    <cfRule type="containsText" dxfId="2" priority="40386" operator="containsText" text="Yes">
      <formula>NOT(ISERROR(SEARCH(("Yes"),(N214))))</formula>
    </cfRule>
  </conditionalFormatting>
  <conditionalFormatting sqref="N214:Q214">
    <cfRule type="containsText" dxfId="2" priority="40387" operator="containsText" text="Yes">
      <formula>NOT(ISERROR(SEARCH(("Yes"),(N214))))</formula>
    </cfRule>
  </conditionalFormatting>
  <conditionalFormatting sqref="N214:Q214">
    <cfRule type="containsText" dxfId="2" priority="40388" operator="containsText" text="Yes">
      <formula>NOT(ISERROR(SEARCH(("Yes"),(N214))))</formula>
    </cfRule>
  </conditionalFormatting>
  <conditionalFormatting sqref="N214:Q214">
    <cfRule type="containsText" dxfId="2" priority="40389" operator="containsText" text="Yes">
      <formula>NOT(ISERROR(SEARCH(("Yes"),(N214))))</formula>
    </cfRule>
  </conditionalFormatting>
  <conditionalFormatting sqref="N214:Q214">
    <cfRule type="containsText" dxfId="2" priority="40390" operator="containsText" text="Yes">
      <formula>NOT(ISERROR(SEARCH(("Yes"),(N214))))</formula>
    </cfRule>
  </conditionalFormatting>
  <conditionalFormatting sqref="N214:Q214">
    <cfRule type="containsText" dxfId="2" priority="40391" operator="containsText" text="Yes">
      <formula>NOT(ISERROR(SEARCH(("Yes"),(N214))))</formula>
    </cfRule>
  </conditionalFormatting>
  <conditionalFormatting sqref="N214:Q214">
    <cfRule type="containsText" dxfId="2" priority="40392" operator="containsText" text="Yes">
      <formula>NOT(ISERROR(SEARCH(("Yes"),(N214))))</formula>
    </cfRule>
  </conditionalFormatting>
  <conditionalFormatting sqref="N214:Q214">
    <cfRule type="containsText" dxfId="2" priority="40393" operator="containsText" text="Yes">
      <formula>NOT(ISERROR(SEARCH(("Yes"),(N214))))</formula>
    </cfRule>
  </conditionalFormatting>
  <conditionalFormatting sqref="N214:Q214">
    <cfRule type="containsText" dxfId="2" priority="40394" operator="containsText" text="Yes">
      <formula>NOT(ISERROR(SEARCH(("Yes"),(N214))))</formula>
    </cfRule>
  </conditionalFormatting>
  <conditionalFormatting sqref="N214:Q214">
    <cfRule type="containsText" dxfId="2" priority="40395" operator="containsText" text="Yes">
      <formula>NOT(ISERROR(SEARCH(("Yes"),(N214))))</formula>
    </cfRule>
  </conditionalFormatting>
  <conditionalFormatting sqref="N214:Q214">
    <cfRule type="containsText" dxfId="2" priority="40396" operator="containsText" text="Yes">
      <formula>NOT(ISERROR(SEARCH(("Yes"),(N214))))</formula>
    </cfRule>
  </conditionalFormatting>
  <conditionalFormatting sqref="N214:Q214">
    <cfRule type="containsText" dxfId="2" priority="40397" operator="containsText" text="Yes">
      <formula>NOT(ISERROR(SEARCH(("Yes"),(N214))))</formula>
    </cfRule>
  </conditionalFormatting>
  <conditionalFormatting sqref="N214:Q214">
    <cfRule type="containsText" dxfId="2" priority="40398" operator="containsText" text="Yes">
      <formula>NOT(ISERROR(SEARCH(("Yes"),(N214))))</formula>
    </cfRule>
  </conditionalFormatting>
  <conditionalFormatting sqref="N214:Q214">
    <cfRule type="containsText" dxfId="2" priority="40399" operator="containsText" text="Yes">
      <formula>NOT(ISERROR(SEARCH(("Yes"),(N214))))</formula>
    </cfRule>
  </conditionalFormatting>
  <conditionalFormatting sqref="N214:Q214">
    <cfRule type="containsText" dxfId="2" priority="40400" operator="containsText" text="Yes">
      <formula>NOT(ISERROR(SEARCH(("Yes"),(N214))))</formula>
    </cfRule>
  </conditionalFormatting>
  <conditionalFormatting sqref="N214:Q214">
    <cfRule type="containsText" dxfId="2" priority="40401" operator="containsText" text="Yes">
      <formula>NOT(ISERROR(SEARCH(("Yes"),(N214))))</formula>
    </cfRule>
  </conditionalFormatting>
  <conditionalFormatting sqref="N214:Q214">
    <cfRule type="containsText" dxfId="2" priority="40402" operator="containsText" text="Yes">
      <formula>NOT(ISERROR(SEARCH(("Yes"),(N214))))</formula>
    </cfRule>
  </conditionalFormatting>
  <conditionalFormatting sqref="N214:Q214">
    <cfRule type="containsText" dxfId="2" priority="40403" operator="containsText" text="Yes">
      <formula>NOT(ISERROR(SEARCH(("Yes"),(N214))))</formula>
    </cfRule>
  </conditionalFormatting>
  <conditionalFormatting sqref="N214:Q214">
    <cfRule type="containsText" dxfId="2" priority="40404" operator="containsText" text="Yes">
      <formula>NOT(ISERROR(SEARCH(("Yes"),(N214))))</formula>
    </cfRule>
  </conditionalFormatting>
  <conditionalFormatting sqref="N214:Q214">
    <cfRule type="containsText" dxfId="2" priority="40405" operator="containsText" text="Yes">
      <formula>NOT(ISERROR(SEARCH(("Yes"),(N214))))</formula>
    </cfRule>
  </conditionalFormatting>
  <conditionalFormatting sqref="N214:Q214">
    <cfRule type="containsText" dxfId="2" priority="40406" operator="containsText" text="Yes">
      <formula>NOT(ISERROR(SEARCH(("Yes"),(N214))))</formula>
    </cfRule>
  </conditionalFormatting>
  <conditionalFormatting sqref="N214:Q214">
    <cfRule type="containsText" dxfId="2" priority="40407" operator="containsText" text="Yes">
      <formula>NOT(ISERROR(SEARCH(("Yes"),(N214))))</formula>
    </cfRule>
  </conditionalFormatting>
  <conditionalFormatting sqref="N214:Q214">
    <cfRule type="containsText" dxfId="2" priority="40408" operator="containsText" text="Yes">
      <formula>NOT(ISERROR(SEARCH(("Yes"),(N214))))</formula>
    </cfRule>
  </conditionalFormatting>
  <conditionalFormatting sqref="N214:Q214">
    <cfRule type="containsText" dxfId="2" priority="40409" operator="containsText" text="Yes">
      <formula>NOT(ISERROR(SEARCH(("Yes"),(N214))))</formula>
    </cfRule>
  </conditionalFormatting>
  <conditionalFormatting sqref="N214:Q214">
    <cfRule type="containsText" dxfId="2" priority="40410" operator="containsText" text="Yes">
      <formula>NOT(ISERROR(SEARCH(("Yes"),(N214))))</formula>
    </cfRule>
  </conditionalFormatting>
  <conditionalFormatting sqref="N214:Q214">
    <cfRule type="containsText" dxfId="2" priority="40411" operator="containsText" text="Yes">
      <formula>NOT(ISERROR(SEARCH(("Yes"),(N214))))</formula>
    </cfRule>
  </conditionalFormatting>
  <conditionalFormatting sqref="N214:Q214">
    <cfRule type="containsText" dxfId="2" priority="40412" operator="containsText" text="Yes">
      <formula>NOT(ISERROR(SEARCH(("Yes"),(N214))))</formula>
    </cfRule>
  </conditionalFormatting>
  <conditionalFormatting sqref="N214:Q214">
    <cfRule type="containsText" dxfId="2" priority="40413" operator="containsText" text="Yes">
      <formula>NOT(ISERROR(SEARCH(("Yes"),(N214))))</formula>
    </cfRule>
  </conditionalFormatting>
  <conditionalFormatting sqref="N214:Q214">
    <cfRule type="containsText" dxfId="2" priority="40414" operator="containsText" text="Yes">
      <formula>NOT(ISERROR(SEARCH(("Yes"),(N214))))</formula>
    </cfRule>
  </conditionalFormatting>
  <conditionalFormatting sqref="N214:Q214">
    <cfRule type="containsText" dxfId="2" priority="40415" operator="containsText" text="Yes">
      <formula>NOT(ISERROR(SEARCH(("Yes"),(N214))))</formula>
    </cfRule>
  </conditionalFormatting>
  <conditionalFormatting sqref="N214:Q214">
    <cfRule type="containsText" dxfId="2" priority="40416" operator="containsText" text="Yes">
      <formula>NOT(ISERROR(SEARCH(("Yes"),(N214))))</formula>
    </cfRule>
  </conditionalFormatting>
  <conditionalFormatting sqref="N214:Q214">
    <cfRule type="containsText" dxfId="2" priority="40417" operator="containsText" text="Yes">
      <formula>NOT(ISERROR(SEARCH(("Yes"),(N214))))</formula>
    </cfRule>
  </conditionalFormatting>
  <conditionalFormatting sqref="N214:Q214">
    <cfRule type="containsText" dxfId="2" priority="40418" operator="containsText" text="Yes">
      <formula>NOT(ISERROR(SEARCH(("Yes"),(N214))))</formula>
    </cfRule>
  </conditionalFormatting>
  <conditionalFormatting sqref="N214:Q214">
    <cfRule type="containsText" dxfId="2" priority="40419" operator="containsText" text="Yes">
      <formula>NOT(ISERROR(SEARCH(("Yes"),(N214))))</formula>
    </cfRule>
  </conditionalFormatting>
  <conditionalFormatting sqref="N214:Q214">
    <cfRule type="containsText" dxfId="2" priority="40420" operator="containsText" text="Yes">
      <formula>NOT(ISERROR(SEARCH(("Yes"),(N214))))</formula>
    </cfRule>
  </conditionalFormatting>
  <conditionalFormatting sqref="N214:Q214">
    <cfRule type="containsText" dxfId="2" priority="40421" operator="containsText" text="Yes">
      <formula>NOT(ISERROR(SEARCH(("Yes"),(N214))))</formula>
    </cfRule>
  </conditionalFormatting>
  <conditionalFormatting sqref="N214:Q214">
    <cfRule type="containsText" dxfId="2" priority="40422" operator="containsText" text="Yes">
      <formula>NOT(ISERROR(SEARCH(("Yes"),(N214))))</formula>
    </cfRule>
  </conditionalFormatting>
  <conditionalFormatting sqref="N214:Q214">
    <cfRule type="containsText" dxfId="2" priority="40423" operator="containsText" text="Yes">
      <formula>NOT(ISERROR(SEARCH(("Yes"),(N214))))</formula>
    </cfRule>
  </conditionalFormatting>
  <conditionalFormatting sqref="N214:Q214">
    <cfRule type="containsText" dxfId="2" priority="40424" operator="containsText" text="Yes">
      <formula>NOT(ISERROR(SEARCH(("Yes"),(N214))))</formula>
    </cfRule>
  </conditionalFormatting>
  <conditionalFormatting sqref="N214:Q214">
    <cfRule type="containsText" dxfId="2" priority="40425" operator="containsText" text="Yes">
      <formula>NOT(ISERROR(SEARCH(("Yes"),(N214))))</formula>
    </cfRule>
  </conditionalFormatting>
  <conditionalFormatting sqref="N214:Q214">
    <cfRule type="containsText" dxfId="2" priority="40426" operator="containsText" text="Yes">
      <formula>NOT(ISERROR(SEARCH(("Yes"),(N214))))</formula>
    </cfRule>
  </conditionalFormatting>
  <conditionalFormatting sqref="N214:Q214">
    <cfRule type="containsText" dxfId="2" priority="40427" operator="containsText" text="Yes">
      <formula>NOT(ISERROR(SEARCH(("Yes"),(N214))))</formula>
    </cfRule>
  </conditionalFormatting>
  <conditionalFormatting sqref="N214:Q214">
    <cfRule type="containsText" dxfId="2" priority="40428" operator="containsText" text="Yes">
      <formula>NOT(ISERROR(SEARCH(("Yes"),(N214))))</formula>
    </cfRule>
  </conditionalFormatting>
  <conditionalFormatting sqref="N214:Q214">
    <cfRule type="containsText" dxfId="2" priority="40429" operator="containsText" text="Yes">
      <formula>NOT(ISERROR(SEARCH(("Yes"),(N214))))</formula>
    </cfRule>
  </conditionalFormatting>
  <conditionalFormatting sqref="N215:N216 N222:N226 N228:N252 N254:N256 N258:N264 N267:N269 N272:N273 N275">
    <cfRule type="containsText" dxfId="9" priority="40430" operator="containsText" text="No">
      <formula>NOT(ISERROR(SEARCH(("No"),(N215))))</formula>
    </cfRule>
  </conditionalFormatting>
  <conditionalFormatting sqref="N215:N216 N222:N226 N228:N252 N254:N256 N258:N264 N267:N269 N272:N273 N275">
    <cfRule type="containsText" dxfId="9" priority="40431" operator="containsText" text="No">
      <formula>NOT(ISERROR(SEARCH(("No"),(N215))))</formula>
    </cfRule>
  </conditionalFormatting>
  <conditionalFormatting sqref="N215:N216 N222:N226 N228:N252 N254:N256 N258:N264 N267:N269 N272:N273 N275">
    <cfRule type="containsText" dxfId="9" priority="40432" operator="containsText" text="No">
      <formula>NOT(ISERROR(SEARCH(("No"),(N215))))</formula>
    </cfRule>
  </conditionalFormatting>
  <conditionalFormatting sqref="N215:N216 N222:N226 N228:N252 N254:N256 N258:N264 N267:N269 N272:N273 N275">
    <cfRule type="containsText" dxfId="2" priority="40433" operator="containsText" text="Yes">
      <formula>NOT(ISERROR(SEARCH(("Yes"),(N215))))</formula>
    </cfRule>
  </conditionalFormatting>
  <conditionalFormatting sqref="N215:N216 N222:N226 N228:N252 N254:N256 N258:N264 N267:N269 N272:N273 N275">
    <cfRule type="containsText" dxfId="2" priority="40434" operator="containsText" text="Yes">
      <formula>NOT(ISERROR(SEARCH(("Yes"),(N215))))</formula>
    </cfRule>
  </conditionalFormatting>
  <conditionalFormatting sqref="N215:N216 N222:N226 N228:N252 N254:N256 N258:N264 N267:N269 N272:N273 N275">
    <cfRule type="containsText" dxfId="2" priority="40435" operator="containsText" text="Yes">
      <formula>NOT(ISERROR(SEARCH(("Yes"),(N215))))</formula>
    </cfRule>
  </conditionalFormatting>
  <conditionalFormatting sqref="N215:N216 N222:N226 N228:N252 N254:N256 N258:N264 N267:N269 N272:N273 N275">
    <cfRule type="containsText" dxfId="2" priority="40436" operator="containsText" text="Yes">
      <formula>NOT(ISERROR(SEARCH(("Yes"),(N215))))</formula>
    </cfRule>
  </conditionalFormatting>
  <conditionalFormatting sqref="N215:N216 N222:N226 N228:N252 N254:N256 N258:N264 N267:N269 N272:N273 N275">
    <cfRule type="containsText" dxfId="2" priority="40437" operator="containsText" text="Yes">
      <formula>NOT(ISERROR(SEARCH(("Yes"),(N215))))</formula>
    </cfRule>
  </conditionalFormatting>
  <conditionalFormatting sqref="N215:N216 N222:N226 N228:N252 N254:N256 N258:N264 N267:N269 N272:N273 N275">
    <cfRule type="containsText" dxfId="9" priority="40438" operator="containsText" text="No">
      <formula>NOT(ISERROR(SEARCH(("No"),(N215))))</formula>
    </cfRule>
  </conditionalFormatting>
  <conditionalFormatting sqref="N215:N216 N222:N226 N228:N252 N254:N256 N258:N264 N267:N269 N272:N273 N275">
    <cfRule type="containsText" dxfId="2" priority="40439" operator="containsText" text="Yes">
      <formula>NOT(ISERROR(SEARCH(("Yes"),(N215))))</formula>
    </cfRule>
  </conditionalFormatting>
  <conditionalFormatting sqref="O215:O216 O222:O226 O228:O252 O254:O256 O258:O264 O267:O269 O272:O273 O275">
    <cfRule type="containsText" dxfId="9" priority="40440" operator="containsText" text="No">
      <formula>NOT(ISERROR(SEARCH(("No"),(O215))))</formula>
    </cfRule>
  </conditionalFormatting>
  <conditionalFormatting sqref="O215:O216 O222:O226 O228:O252 O254:O256 O258:O264 O267:O269 O272:O273 O275">
    <cfRule type="containsText" dxfId="9" priority="40441" operator="containsText" text="No">
      <formula>NOT(ISERROR(SEARCH(("No"),(O215))))</formula>
    </cfRule>
  </conditionalFormatting>
  <conditionalFormatting sqref="O215:O216 O222:O226 O228:O252 O254:O256 O258:O264 O267:O269 O272:O273 O275">
    <cfRule type="containsText" dxfId="9" priority="40442" operator="containsText" text="No">
      <formula>NOT(ISERROR(SEARCH(("No"),(O215))))</formula>
    </cfRule>
  </conditionalFormatting>
  <conditionalFormatting sqref="O215:O216 O222:O226 O228:O252 O254:O256 O258:O264 O267:O269 O272:O273 O275">
    <cfRule type="containsText" dxfId="2" priority="40443" operator="containsText" text="Yes">
      <formula>NOT(ISERROR(SEARCH(("Yes"),(O215))))</formula>
    </cfRule>
  </conditionalFormatting>
  <conditionalFormatting sqref="O215:O216 O222:O226 O228:O252 O254:O256 O258:O264 O267:O269 O272:O273 O275">
    <cfRule type="containsText" dxfId="2" priority="40444" operator="containsText" text="Yes">
      <formula>NOT(ISERROR(SEARCH(("Yes"),(O215))))</formula>
    </cfRule>
  </conditionalFormatting>
  <conditionalFormatting sqref="O215:O216 O222:O226 O228:O252 O254:O256 O258:O264 O267:O269 O272:O273 O275">
    <cfRule type="containsText" dxfId="2" priority="40445" operator="containsText" text="Yes">
      <formula>NOT(ISERROR(SEARCH(("Yes"),(O215))))</formula>
    </cfRule>
  </conditionalFormatting>
  <conditionalFormatting sqref="O215:O216 O222:O226 O228:O252 O254:O256 O258:O264 O267:O269 O272:O273 O275">
    <cfRule type="containsText" dxfId="2" priority="40446" operator="containsText" text="Yes">
      <formula>NOT(ISERROR(SEARCH(("Yes"),(O215))))</formula>
    </cfRule>
  </conditionalFormatting>
  <conditionalFormatting sqref="O215:O216 O222:O226 O228:O252 O254:O256 O258:O264 O267:O269 O272:O273 O275">
    <cfRule type="containsText" dxfId="2" priority="40447" operator="containsText" text="Yes">
      <formula>NOT(ISERROR(SEARCH(("Yes"),(O215))))</formula>
    </cfRule>
  </conditionalFormatting>
  <conditionalFormatting sqref="O215:O216 O222:O226 O228:O252 O254:O256 O258:O264 O267:O269 O272:O273 O275">
    <cfRule type="containsText" dxfId="9" priority="40448" operator="containsText" text="No">
      <formula>NOT(ISERROR(SEARCH(("No"),(O215))))</formula>
    </cfRule>
  </conditionalFormatting>
  <conditionalFormatting sqref="O215:O216 O222:O226 O228:O252 O254:O256 O258:O264 O267:O269 O272:O273 O275">
    <cfRule type="containsText" dxfId="9" priority="40449" operator="containsText" text="No">
      <formula>NOT(ISERROR(SEARCH(("No"),(O215))))</formula>
    </cfRule>
  </conditionalFormatting>
  <conditionalFormatting sqref="O215:O216 O222:O226 O228:O252 O254:O256 O258:O264 O267:O269 O272:O273 O275">
    <cfRule type="containsText" dxfId="2" priority="40450" operator="containsText" text="Yes">
      <formula>NOT(ISERROR(SEARCH(("Yes"),(O215))))</formula>
    </cfRule>
  </conditionalFormatting>
  <conditionalFormatting sqref="P215:Q215">
    <cfRule type="containsText" dxfId="9" priority="40451" operator="containsText" text="No">
      <formula>NOT(ISERROR(SEARCH(("No"),(P215))))</formula>
    </cfRule>
  </conditionalFormatting>
  <conditionalFormatting sqref="P215:Q215">
    <cfRule type="containsText" dxfId="9" priority="40452" operator="containsText" text="No">
      <formula>NOT(ISERROR(SEARCH(("No"),(P215))))</formula>
    </cfRule>
  </conditionalFormatting>
  <conditionalFormatting sqref="P215:Q215">
    <cfRule type="containsText" dxfId="9" priority="40453" operator="containsText" text="No">
      <formula>NOT(ISERROR(SEARCH(("No"),(P215))))</formula>
    </cfRule>
  </conditionalFormatting>
  <conditionalFormatting sqref="P215:Q215">
    <cfRule type="containsText" dxfId="9" priority="40454" operator="containsText" text="No">
      <formula>NOT(ISERROR(SEARCH(("No"),(P215))))</formula>
    </cfRule>
  </conditionalFormatting>
  <conditionalFormatting sqref="P215:Q215">
    <cfRule type="containsText" dxfId="9" priority="40455" operator="containsText" text="No">
      <formula>NOT(ISERROR(SEARCH(("No"),(P215))))</formula>
    </cfRule>
  </conditionalFormatting>
  <conditionalFormatting sqref="P215:Q215">
    <cfRule type="containsText" dxfId="9" priority="40456" operator="containsText" text="No">
      <formula>NOT(ISERROR(SEARCH(("No"),(P215))))</formula>
    </cfRule>
  </conditionalFormatting>
  <conditionalFormatting sqref="P215:Q215">
    <cfRule type="containsText" dxfId="9" priority="40457" operator="containsText" text="No">
      <formula>NOT(ISERROR(SEARCH(("No"),(P215))))</formula>
    </cfRule>
  </conditionalFormatting>
  <conditionalFormatting sqref="P215:Q215">
    <cfRule type="containsText" dxfId="9" priority="40458" operator="containsText" text="No">
      <formula>NOT(ISERROR(SEARCH(("No"),(P215))))</formula>
    </cfRule>
  </conditionalFormatting>
  <conditionalFormatting sqref="P215:Q215">
    <cfRule type="containsText" dxfId="9" priority="40459" operator="containsText" text="No">
      <formula>NOT(ISERROR(SEARCH(("No"),(P215))))</formula>
    </cfRule>
  </conditionalFormatting>
  <conditionalFormatting sqref="P215:Q215">
    <cfRule type="containsText" dxfId="9" priority="40460" operator="containsText" text="No">
      <formula>NOT(ISERROR(SEARCH(("No"),(P215))))</formula>
    </cfRule>
  </conditionalFormatting>
  <conditionalFormatting sqref="P215:Q215">
    <cfRule type="containsText" dxfId="9" priority="40461" operator="containsText" text="No">
      <formula>NOT(ISERROR(SEARCH(("No"),(P215))))</formula>
    </cfRule>
  </conditionalFormatting>
  <conditionalFormatting sqref="P215:Q215">
    <cfRule type="containsText" dxfId="9" priority="40462" operator="containsText" text="No">
      <formula>NOT(ISERROR(SEARCH(("No"),(P215))))</formula>
    </cfRule>
  </conditionalFormatting>
  <conditionalFormatting sqref="P215:Q215">
    <cfRule type="containsText" dxfId="9" priority="40463" operator="containsText" text="No">
      <formula>NOT(ISERROR(SEARCH(("No"),(P215))))</formula>
    </cfRule>
  </conditionalFormatting>
  <conditionalFormatting sqref="P215:Q215">
    <cfRule type="containsText" dxfId="9" priority="40464" operator="containsText" text="No">
      <formula>NOT(ISERROR(SEARCH(("No"),(P215))))</formula>
    </cfRule>
  </conditionalFormatting>
  <conditionalFormatting sqref="P215:Q215">
    <cfRule type="containsText" dxfId="9" priority="40465" operator="containsText" text="No">
      <formula>NOT(ISERROR(SEARCH(("No"),(P215))))</formula>
    </cfRule>
  </conditionalFormatting>
  <conditionalFormatting sqref="P215:Q215">
    <cfRule type="containsText" dxfId="9" priority="40466" operator="containsText" text="No">
      <formula>NOT(ISERROR(SEARCH(("No"),(P215))))</formula>
    </cfRule>
  </conditionalFormatting>
  <conditionalFormatting sqref="P215:Q215">
    <cfRule type="containsText" dxfId="9" priority="40467" operator="containsText" text="No">
      <formula>NOT(ISERROR(SEARCH(("No"),(P215))))</formula>
    </cfRule>
  </conditionalFormatting>
  <conditionalFormatting sqref="P215:Q215">
    <cfRule type="containsText" dxfId="9" priority="40468" operator="containsText" text="No">
      <formula>NOT(ISERROR(SEARCH(("No"),(P215))))</formula>
    </cfRule>
  </conditionalFormatting>
  <conditionalFormatting sqref="P215:Q215">
    <cfRule type="containsText" dxfId="9" priority="40469" operator="containsText" text="No">
      <formula>NOT(ISERROR(SEARCH(("No"),(P215))))</formula>
    </cfRule>
  </conditionalFormatting>
  <conditionalFormatting sqref="P215:Q215">
    <cfRule type="containsText" dxfId="9" priority="40470" operator="containsText" text="No">
      <formula>NOT(ISERROR(SEARCH(("No"),(P215))))</formula>
    </cfRule>
  </conditionalFormatting>
  <conditionalFormatting sqref="P215:Q215">
    <cfRule type="containsText" dxfId="9" priority="40471" operator="containsText" text="No">
      <formula>NOT(ISERROR(SEARCH(("No"),(P215))))</formula>
    </cfRule>
  </conditionalFormatting>
  <conditionalFormatting sqref="P215:Q215">
    <cfRule type="containsText" dxfId="9" priority="40472" operator="containsText" text="No">
      <formula>NOT(ISERROR(SEARCH(("No"),(P215))))</formula>
    </cfRule>
  </conditionalFormatting>
  <conditionalFormatting sqref="P215:Q215">
    <cfRule type="containsText" dxfId="9" priority="40473" operator="containsText" text="No">
      <formula>NOT(ISERROR(SEARCH(("No"),(P215))))</formula>
    </cfRule>
  </conditionalFormatting>
  <conditionalFormatting sqref="P215:Q215">
    <cfRule type="containsText" dxfId="9" priority="40474" operator="containsText" text="No">
      <formula>NOT(ISERROR(SEARCH(("No"),(P215))))</formula>
    </cfRule>
  </conditionalFormatting>
  <conditionalFormatting sqref="P215:Q215">
    <cfRule type="containsText" dxfId="9" priority="40475" operator="containsText" text="No">
      <formula>NOT(ISERROR(SEARCH(("No"),(P215))))</formula>
    </cfRule>
  </conditionalFormatting>
  <conditionalFormatting sqref="P215:Q215">
    <cfRule type="containsText" dxfId="9" priority="40476" operator="containsText" text="No">
      <formula>NOT(ISERROR(SEARCH(("No"),(P215))))</formula>
    </cfRule>
  </conditionalFormatting>
  <conditionalFormatting sqref="P215:Q215">
    <cfRule type="containsText" dxfId="9" priority="40477" operator="containsText" text="No">
      <formula>NOT(ISERROR(SEARCH(("No"),(P215))))</formula>
    </cfRule>
  </conditionalFormatting>
  <conditionalFormatting sqref="P215:Q215">
    <cfRule type="containsText" dxfId="9" priority="40478" operator="containsText" text="No">
      <formula>NOT(ISERROR(SEARCH(("No"),(P215))))</formula>
    </cfRule>
  </conditionalFormatting>
  <conditionalFormatting sqref="P215:Q215">
    <cfRule type="containsText" dxfId="9" priority="40479" operator="containsText" text="No">
      <formula>NOT(ISERROR(SEARCH(("No"),(P215))))</formula>
    </cfRule>
  </conditionalFormatting>
  <conditionalFormatting sqref="P215:Q215">
    <cfRule type="containsText" dxfId="9" priority="40480" operator="containsText" text="No">
      <formula>NOT(ISERROR(SEARCH(("No"),(P215))))</formula>
    </cfRule>
  </conditionalFormatting>
  <conditionalFormatting sqref="P215:Q215">
    <cfRule type="containsText" dxfId="9" priority="40481" operator="containsText" text="No">
      <formula>NOT(ISERROR(SEARCH(("No"),(P215))))</formula>
    </cfRule>
  </conditionalFormatting>
  <conditionalFormatting sqref="P215:Q215">
    <cfRule type="containsText" dxfId="9" priority="40482" operator="containsText" text="No">
      <formula>NOT(ISERROR(SEARCH(("No"),(P215))))</formula>
    </cfRule>
  </conditionalFormatting>
  <conditionalFormatting sqref="P215:Q215">
    <cfRule type="containsText" dxfId="9" priority="40483" operator="containsText" text="No">
      <formula>NOT(ISERROR(SEARCH(("No"),(P215))))</formula>
    </cfRule>
  </conditionalFormatting>
  <conditionalFormatting sqref="P215:Q215">
    <cfRule type="containsText" dxfId="9" priority="40484" operator="containsText" text="No">
      <formula>NOT(ISERROR(SEARCH(("No"),(P215))))</formula>
    </cfRule>
  </conditionalFormatting>
  <conditionalFormatting sqref="P215:Q215">
    <cfRule type="containsText" dxfId="9" priority="40485" operator="containsText" text="No">
      <formula>NOT(ISERROR(SEARCH(("No"),(P215))))</formula>
    </cfRule>
  </conditionalFormatting>
  <conditionalFormatting sqref="P215:Q215">
    <cfRule type="containsText" dxfId="9" priority="40486" operator="containsText" text="No">
      <formula>NOT(ISERROR(SEARCH(("No"),(P215))))</formula>
    </cfRule>
  </conditionalFormatting>
  <conditionalFormatting sqref="P215:Q215">
    <cfRule type="containsText" dxfId="9" priority="40487" operator="containsText" text="No">
      <formula>NOT(ISERROR(SEARCH(("No"),(P215))))</formula>
    </cfRule>
  </conditionalFormatting>
  <conditionalFormatting sqref="P215:Q215">
    <cfRule type="containsText" dxfId="9" priority="40488" operator="containsText" text="No">
      <formula>NOT(ISERROR(SEARCH(("No"),(P215))))</formula>
    </cfRule>
  </conditionalFormatting>
  <conditionalFormatting sqref="P215:Q215">
    <cfRule type="containsText" dxfId="9" priority="40489" operator="containsText" text="No">
      <formula>NOT(ISERROR(SEARCH(("No"),(P215))))</formula>
    </cfRule>
  </conditionalFormatting>
  <conditionalFormatting sqref="P215:Q215">
    <cfRule type="containsText" dxfId="9" priority="40490" operator="containsText" text="No">
      <formula>NOT(ISERROR(SEARCH(("No"),(P215))))</formula>
    </cfRule>
  </conditionalFormatting>
  <conditionalFormatting sqref="P215:Q215">
    <cfRule type="containsText" dxfId="9" priority="40491" operator="containsText" text="No">
      <formula>NOT(ISERROR(SEARCH(("No"),(P215))))</formula>
    </cfRule>
  </conditionalFormatting>
  <conditionalFormatting sqref="P215:Q215">
    <cfRule type="containsText" dxfId="9" priority="40492" operator="containsText" text="No">
      <formula>NOT(ISERROR(SEARCH(("No"),(P215))))</formula>
    </cfRule>
  </conditionalFormatting>
  <conditionalFormatting sqref="P215:Q215">
    <cfRule type="containsText" dxfId="9" priority="40493" operator="containsText" text="No">
      <formula>NOT(ISERROR(SEARCH(("No"),(P215))))</formula>
    </cfRule>
  </conditionalFormatting>
  <conditionalFormatting sqref="P215:Q215">
    <cfRule type="containsText" dxfId="9" priority="40494" operator="containsText" text="No">
      <formula>NOT(ISERROR(SEARCH(("No"),(P215))))</formula>
    </cfRule>
  </conditionalFormatting>
  <conditionalFormatting sqref="P215:Q215">
    <cfRule type="containsText" dxfId="9" priority="40495" operator="containsText" text="No">
      <formula>NOT(ISERROR(SEARCH(("No"),(P215))))</formula>
    </cfRule>
  </conditionalFormatting>
  <conditionalFormatting sqref="P215:Q215">
    <cfRule type="containsText" dxfId="2" priority="40496" operator="containsText" text="Yes">
      <formula>NOT(ISERROR(SEARCH(("Yes"),(P215))))</formula>
    </cfRule>
  </conditionalFormatting>
  <conditionalFormatting sqref="P215:Q215">
    <cfRule type="containsText" dxfId="2" priority="40497" operator="containsText" text="Yes">
      <formula>NOT(ISERROR(SEARCH(("Yes"),(P215))))</formula>
    </cfRule>
  </conditionalFormatting>
  <conditionalFormatting sqref="P215:Q215">
    <cfRule type="containsText" dxfId="2" priority="40498" operator="containsText" text="Yes">
      <formula>NOT(ISERROR(SEARCH(("Yes"),(P215))))</formula>
    </cfRule>
  </conditionalFormatting>
  <conditionalFormatting sqref="P215:Q215">
    <cfRule type="containsText" dxfId="2" priority="40499" operator="containsText" text="Yes">
      <formula>NOT(ISERROR(SEARCH(("Yes"),(P215))))</formula>
    </cfRule>
  </conditionalFormatting>
  <conditionalFormatting sqref="P215:Q215">
    <cfRule type="containsText" dxfId="2" priority="40500" operator="containsText" text="Yes">
      <formula>NOT(ISERROR(SEARCH(("Yes"),(P215))))</formula>
    </cfRule>
  </conditionalFormatting>
  <conditionalFormatting sqref="P215:Q215">
    <cfRule type="containsText" dxfId="2" priority="40501" operator="containsText" text="Yes">
      <formula>NOT(ISERROR(SEARCH(("Yes"),(P215))))</formula>
    </cfRule>
  </conditionalFormatting>
  <conditionalFormatting sqref="P215:Q215">
    <cfRule type="containsText" dxfId="2" priority="40502" operator="containsText" text="Yes">
      <formula>NOT(ISERROR(SEARCH(("Yes"),(P215))))</formula>
    </cfRule>
  </conditionalFormatting>
  <conditionalFormatting sqref="P215:Q215">
    <cfRule type="containsText" dxfId="2" priority="40503" operator="containsText" text="Yes">
      <formula>NOT(ISERROR(SEARCH(("Yes"),(P215))))</formula>
    </cfRule>
  </conditionalFormatting>
  <conditionalFormatting sqref="P215:Q215">
    <cfRule type="containsText" dxfId="2" priority="40504" operator="containsText" text="Yes">
      <formula>NOT(ISERROR(SEARCH(("Yes"),(P215))))</formula>
    </cfRule>
  </conditionalFormatting>
  <conditionalFormatting sqref="P215:Q215">
    <cfRule type="containsText" dxfId="2" priority="40505" operator="containsText" text="Yes">
      <formula>NOT(ISERROR(SEARCH(("Yes"),(P215))))</formula>
    </cfRule>
  </conditionalFormatting>
  <conditionalFormatting sqref="P215:Q215">
    <cfRule type="containsText" dxfId="2" priority="40506" operator="containsText" text="Yes">
      <formula>NOT(ISERROR(SEARCH(("Yes"),(P215))))</formula>
    </cfRule>
  </conditionalFormatting>
  <conditionalFormatting sqref="P215:Q215">
    <cfRule type="containsText" dxfId="2" priority="40507" operator="containsText" text="Yes">
      <formula>NOT(ISERROR(SEARCH(("Yes"),(P215))))</formula>
    </cfRule>
  </conditionalFormatting>
  <conditionalFormatting sqref="P215:Q215">
    <cfRule type="containsText" dxfId="2" priority="40508" operator="containsText" text="Yes">
      <formula>NOT(ISERROR(SEARCH(("Yes"),(P215))))</formula>
    </cfRule>
  </conditionalFormatting>
  <conditionalFormatting sqref="P215:Q215">
    <cfRule type="containsText" dxfId="2" priority="40509" operator="containsText" text="Yes">
      <formula>NOT(ISERROR(SEARCH(("Yes"),(P215))))</formula>
    </cfRule>
  </conditionalFormatting>
  <conditionalFormatting sqref="P215:Q215">
    <cfRule type="containsText" dxfId="2" priority="40510" operator="containsText" text="Yes">
      <formula>NOT(ISERROR(SEARCH(("Yes"),(P215))))</formula>
    </cfRule>
  </conditionalFormatting>
  <conditionalFormatting sqref="P215:Q215">
    <cfRule type="containsText" dxfId="2" priority="40511" operator="containsText" text="Yes">
      <formula>NOT(ISERROR(SEARCH(("Yes"),(P215))))</formula>
    </cfRule>
  </conditionalFormatting>
  <conditionalFormatting sqref="P215:Q215">
    <cfRule type="containsText" dxfId="2" priority="40512" operator="containsText" text="Yes">
      <formula>NOT(ISERROR(SEARCH(("Yes"),(P215))))</formula>
    </cfRule>
  </conditionalFormatting>
  <conditionalFormatting sqref="P215:Q215">
    <cfRule type="containsText" dxfId="2" priority="40513" operator="containsText" text="Yes">
      <formula>NOT(ISERROR(SEARCH(("Yes"),(P215))))</formula>
    </cfRule>
  </conditionalFormatting>
  <conditionalFormatting sqref="P215:Q215">
    <cfRule type="containsText" dxfId="2" priority="40514" operator="containsText" text="Yes">
      <formula>NOT(ISERROR(SEARCH(("Yes"),(P215))))</formula>
    </cfRule>
  </conditionalFormatting>
  <conditionalFormatting sqref="P215:Q215">
    <cfRule type="containsText" dxfId="2" priority="40515" operator="containsText" text="Yes">
      <formula>NOT(ISERROR(SEARCH(("Yes"),(P215))))</formula>
    </cfRule>
  </conditionalFormatting>
  <conditionalFormatting sqref="P215:Q215">
    <cfRule type="containsText" dxfId="2" priority="40516" operator="containsText" text="Yes">
      <formula>NOT(ISERROR(SEARCH(("Yes"),(P215))))</formula>
    </cfRule>
  </conditionalFormatting>
  <conditionalFormatting sqref="P215:Q215">
    <cfRule type="containsText" dxfId="2" priority="40517" operator="containsText" text="Yes">
      <formula>NOT(ISERROR(SEARCH(("Yes"),(P215))))</formula>
    </cfRule>
  </conditionalFormatting>
  <conditionalFormatting sqref="P215:Q215">
    <cfRule type="containsText" dxfId="2" priority="40518" operator="containsText" text="Yes">
      <formula>NOT(ISERROR(SEARCH(("Yes"),(P215))))</formula>
    </cfRule>
  </conditionalFormatting>
  <conditionalFormatting sqref="P215:Q215">
    <cfRule type="containsText" dxfId="2" priority="40519" operator="containsText" text="Yes">
      <formula>NOT(ISERROR(SEARCH(("Yes"),(P215))))</formula>
    </cfRule>
  </conditionalFormatting>
  <conditionalFormatting sqref="P215:Q215">
    <cfRule type="containsText" dxfId="2" priority="40520" operator="containsText" text="Yes">
      <formula>NOT(ISERROR(SEARCH(("Yes"),(P215))))</formula>
    </cfRule>
  </conditionalFormatting>
  <conditionalFormatting sqref="P215:Q215">
    <cfRule type="containsText" dxfId="2" priority="40521" operator="containsText" text="Yes">
      <formula>NOT(ISERROR(SEARCH(("Yes"),(P215))))</formula>
    </cfRule>
  </conditionalFormatting>
  <conditionalFormatting sqref="P215:Q215">
    <cfRule type="containsText" dxfId="2" priority="40522" operator="containsText" text="Yes">
      <formula>NOT(ISERROR(SEARCH(("Yes"),(P215))))</formula>
    </cfRule>
  </conditionalFormatting>
  <conditionalFormatting sqref="P215:Q215">
    <cfRule type="containsText" dxfId="2" priority="40523" operator="containsText" text="Yes">
      <formula>NOT(ISERROR(SEARCH(("Yes"),(P215))))</formula>
    </cfRule>
  </conditionalFormatting>
  <conditionalFormatting sqref="P215:Q215">
    <cfRule type="containsText" dxfId="2" priority="40524" operator="containsText" text="Yes">
      <formula>NOT(ISERROR(SEARCH(("Yes"),(P215))))</formula>
    </cfRule>
  </conditionalFormatting>
  <conditionalFormatting sqref="P215:Q215">
    <cfRule type="containsText" dxfId="2" priority="40525" operator="containsText" text="Yes">
      <formula>NOT(ISERROR(SEARCH(("Yes"),(P215))))</formula>
    </cfRule>
  </conditionalFormatting>
  <conditionalFormatting sqref="P215:Q215">
    <cfRule type="containsText" dxfId="2" priority="40526" operator="containsText" text="Yes">
      <formula>NOT(ISERROR(SEARCH(("Yes"),(P215))))</formula>
    </cfRule>
  </conditionalFormatting>
  <conditionalFormatting sqref="P215:Q215">
    <cfRule type="containsText" dxfId="2" priority="40527" operator="containsText" text="Yes">
      <formula>NOT(ISERROR(SEARCH(("Yes"),(P215))))</formula>
    </cfRule>
  </conditionalFormatting>
  <conditionalFormatting sqref="P215:Q215">
    <cfRule type="containsText" dxfId="2" priority="40528" operator="containsText" text="Yes">
      <formula>NOT(ISERROR(SEARCH(("Yes"),(P215))))</formula>
    </cfRule>
  </conditionalFormatting>
  <conditionalFormatting sqref="P215:Q215">
    <cfRule type="containsText" dxfId="2" priority="40529" operator="containsText" text="Yes">
      <formula>NOT(ISERROR(SEARCH(("Yes"),(P215))))</formula>
    </cfRule>
  </conditionalFormatting>
  <conditionalFormatting sqref="P215:Q215">
    <cfRule type="containsText" dxfId="2" priority="40530" operator="containsText" text="Yes">
      <formula>NOT(ISERROR(SEARCH(("Yes"),(P215))))</formula>
    </cfRule>
  </conditionalFormatting>
  <conditionalFormatting sqref="P215:Q215">
    <cfRule type="containsText" dxfId="2" priority="40531" operator="containsText" text="Yes">
      <formula>NOT(ISERROR(SEARCH(("Yes"),(P215))))</formula>
    </cfRule>
  </conditionalFormatting>
  <conditionalFormatting sqref="P215:Q215">
    <cfRule type="containsText" dxfId="2" priority="40532" operator="containsText" text="Yes">
      <formula>NOT(ISERROR(SEARCH(("Yes"),(P215))))</formula>
    </cfRule>
  </conditionalFormatting>
  <conditionalFormatting sqref="P215:Q215">
    <cfRule type="containsText" dxfId="2" priority="40533" operator="containsText" text="Yes">
      <formula>NOT(ISERROR(SEARCH(("Yes"),(P215))))</formula>
    </cfRule>
  </conditionalFormatting>
  <conditionalFormatting sqref="P215:Q215">
    <cfRule type="containsText" dxfId="2" priority="40534" operator="containsText" text="Yes">
      <formula>NOT(ISERROR(SEARCH(("Yes"),(P215))))</formula>
    </cfRule>
  </conditionalFormatting>
  <conditionalFormatting sqref="P215:Q215">
    <cfRule type="containsText" dxfId="2" priority="40535" operator="containsText" text="Yes">
      <formula>NOT(ISERROR(SEARCH(("Yes"),(P215))))</formula>
    </cfRule>
  </conditionalFormatting>
  <conditionalFormatting sqref="P215:Q215">
    <cfRule type="containsText" dxfId="2" priority="40536" operator="containsText" text="Yes">
      <formula>NOT(ISERROR(SEARCH(("Yes"),(P215))))</formula>
    </cfRule>
  </conditionalFormatting>
  <conditionalFormatting sqref="P215:Q215">
    <cfRule type="containsText" dxfId="2" priority="40537" operator="containsText" text="Yes">
      <formula>NOT(ISERROR(SEARCH(("Yes"),(P215))))</formula>
    </cfRule>
  </conditionalFormatting>
  <conditionalFormatting sqref="P215:Q215">
    <cfRule type="containsText" dxfId="2" priority="40538" operator="containsText" text="Yes">
      <formula>NOT(ISERROR(SEARCH(("Yes"),(P215))))</formula>
    </cfRule>
  </conditionalFormatting>
  <conditionalFormatting sqref="P215:Q215">
    <cfRule type="containsText" dxfId="2" priority="40539" operator="containsText" text="Yes">
      <formula>NOT(ISERROR(SEARCH(("Yes"),(P215))))</formula>
    </cfRule>
  </conditionalFormatting>
  <conditionalFormatting sqref="P215:Q215">
    <cfRule type="containsText" dxfId="2" priority="40540" operator="containsText" text="Yes">
      <formula>NOT(ISERROR(SEARCH(("Yes"),(P215))))</formula>
    </cfRule>
  </conditionalFormatting>
  <conditionalFormatting sqref="P215:Q215">
    <cfRule type="containsText" dxfId="2" priority="40541" operator="containsText" text="Yes">
      <formula>NOT(ISERROR(SEARCH(("Yes"),(P215))))</formula>
    </cfRule>
  </conditionalFormatting>
  <conditionalFormatting sqref="P215:Q215">
    <cfRule type="containsText" dxfId="2" priority="40542" operator="containsText" text="Yes">
      <formula>NOT(ISERROR(SEARCH(("Yes"),(P215))))</formula>
    </cfRule>
  </conditionalFormatting>
  <conditionalFormatting sqref="O261:O264 O267:Q269 O275 P216:Q216 P222:Q226 P228:Q252 P254:Q256 P258:Q264 P272:Q275">
    <cfRule type="containsText" dxfId="9" priority="40543" operator="containsText" text="No">
      <formula>NOT(ISERROR(SEARCH(("No"),(O261))))</formula>
    </cfRule>
  </conditionalFormatting>
  <conditionalFormatting sqref="O261:O264 O267:Q269 O275 P216:Q216 P222:Q226 P228:Q252 P254:Q256 P258:Q264 P272:Q275">
    <cfRule type="containsText" dxfId="9" priority="40544" operator="containsText" text="No">
      <formula>NOT(ISERROR(SEARCH(("No"),(O261))))</formula>
    </cfRule>
  </conditionalFormatting>
  <conditionalFormatting sqref="O261:O264 O267:Q269 O275 P216:Q216 P222:Q226 P228:Q252 P254:Q256 P258:Q264 P272:Q275">
    <cfRule type="containsText" dxfId="9" priority="40545" operator="containsText" text="No">
      <formula>NOT(ISERROR(SEARCH(("No"),(O261))))</formula>
    </cfRule>
  </conditionalFormatting>
  <conditionalFormatting sqref="O261:O264 O267:Q269 O275 P216:Q216 P222:Q226 P228:Q252 P254:Q256 P258:Q264 P272:Q275">
    <cfRule type="containsText" dxfId="9" priority="40546" operator="containsText" text="No">
      <formula>NOT(ISERROR(SEARCH(("No"),(O261))))</formula>
    </cfRule>
  </conditionalFormatting>
  <conditionalFormatting sqref="O261:O264 O267:Q269 O275 P216:Q216 P222:Q226 P228:Q252 P254:Q256 P258:Q264 P272:Q275">
    <cfRule type="containsText" dxfId="9" priority="40547" operator="containsText" text="No">
      <formula>NOT(ISERROR(SEARCH(("No"),(O261))))</formula>
    </cfRule>
  </conditionalFormatting>
  <conditionalFormatting sqref="O261:O264 O267:Q269 O275 P216:Q216 P222:Q226 P228:Q252 P254:Q256 P258:Q264 P272:Q275">
    <cfRule type="containsText" dxfId="9" priority="40548" operator="containsText" text="No">
      <formula>NOT(ISERROR(SEARCH(("No"),(O261))))</formula>
    </cfRule>
  </conditionalFormatting>
  <conditionalFormatting sqref="O261:O264 O267:Q269 O275 P216:Q216 P222:Q226 P228:Q252 P254:Q256 P258:Q264 P272:Q275">
    <cfRule type="containsText" dxfId="9" priority="40549" operator="containsText" text="No">
      <formula>NOT(ISERROR(SEARCH(("No"),(O261))))</formula>
    </cfRule>
  </conditionalFormatting>
  <conditionalFormatting sqref="O261:O264 O267:Q269 O275 P216:Q216 P222:Q226 P228:Q252 P254:Q256 P258:Q264 P272:Q275">
    <cfRule type="containsText" dxfId="9" priority="40550" operator="containsText" text="No">
      <formula>NOT(ISERROR(SEARCH(("No"),(O261))))</formula>
    </cfRule>
  </conditionalFormatting>
  <conditionalFormatting sqref="O261:O264 O267:Q269 O275 P216:Q216 P222:Q226 P228:Q252 P254:Q256 P258:Q264 P272:Q275">
    <cfRule type="containsText" dxfId="9" priority="40551" operator="containsText" text="No">
      <formula>NOT(ISERROR(SEARCH(("No"),(O261))))</formula>
    </cfRule>
  </conditionalFormatting>
  <conditionalFormatting sqref="O261:O264 O267:Q269 O275 P216:Q216 P222:Q226 P228:Q252 P254:Q256 P258:Q264 P272:Q275">
    <cfRule type="containsText" dxfId="9" priority="40552" operator="containsText" text="No">
      <formula>NOT(ISERROR(SEARCH(("No"),(O261))))</formula>
    </cfRule>
  </conditionalFormatting>
  <conditionalFormatting sqref="O261:O264 O267:Q269 O275 P216:Q216 P222:Q226 P228:Q252 P254:Q256 P258:Q264 P272:Q275">
    <cfRule type="containsText" dxfId="9" priority="40553" operator="containsText" text="No">
      <formula>NOT(ISERROR(SEARCH(("No"),(O261))))</formula>
    </cfRule>
  </conditionalFormatting>
  <conditionalFormatting sqref="O261:O264 O267:Q269 O275 P216:Q216 P222:Q226 P228:Q252 P254:Q256 P258:Q264 P272:Q275">
    <cfRule type="containsText" dxfId="9" priority="40554" operator="containsText" text="No">
      <formula>NOT(ISERROR(SEARCH(("No"),(O261))))</formula>
    </cfRule>
  </conditionalFormatting>
  <conditionalFormatting sqref="O261:O264 O267:Q269 O275 P216:Q216 P222:Q226 P228:Q252 P254:Q256 P258:Q264 P272:Q275">
    <cfRule type="containsText" dxfId="9" priority="40555" operator="containsText" text="No">
      <formula>NOT(ISERROR(SEARCH(("No"),(O261))))</formula>
    </cfRule>
  </conditionalFormatting>
  <conditionalFormatting sqref="O261:O264 O267:Q269 O275 P216:Q216 P222:Q226 P228:Q252 P254:Q256 P258:Q264 P272:Q275">
    <cfRule type="containsText" dxfId="9" priority="40556" operator="containsText" text="No">
      <formula>NOT(ISERROR(SEARCH(("No"),(O261))))</formula>
    </cfRule>
  </conditionalFormatting>
  <conditionalFormatting sqref="O261:O264 O267:Q269 O275 P216:Q216 P222:Q226 P228:Q252 P254:Q256 P258:Q264 P272:Q275">
    <cfRule type="containsText" dxfId="9" priority="40557" operator="containsText" text="No">
      <formula>NOT(ISERROR(SEARCH(("No"),(O261))))</formula>
    </cfRule>
  </conditionalFormatting>
  <conditionalFormatting sqref="O261:O264 O267:Q269 O275 P216:Q216 P222:Q226 P228:Q252 P254:Q256 P258:Q264 P272:Q275">
    <cfRule type="containsText" dxfId="9" priority="40558" operator="containsText" text="No">
      <formula>NOT(ISERROR(SEARCH(("No"),(O261))))</formula>
    </cfRule>
  </conditionalFormatting>
  <conditionalFormatting sqref="O261:O264 O267:Q269 O275 P216:Q216 P222:Q226 P228:Q252 P254:Q256 P258:Q264 P272:Q275">
    <cfRule type="containsText" dxfId="9" priority="40559" operator="containsText" text="No">
      <formula>NOT(ISERROR(SEARCH(("No"),(O261))))</formula>
    </cfRule>
  </conditionalFormatting>
  <conditionalFormatting sqref="O261:O264 O267:Q269 O275 P216:Q216 P222:Q226 P228:Q252 P254:Q256 P258:Q264 P272:Q275">
    <cfRule type="containsText" dxfId="9" priority="40560" operator="containsText" text="No">
      <formula>NOT(ISERROR(SEARCH(("No"),(O261))))</formula>
    </cfRule>
  </conditionalFormatting>
  <conditionalFormatting sqref="O261:O264 O267:Q269 O275 P216:Q216 P222:Q226 P228:Q252 P254:Q256 P258:Q264 P272:Q275">
    <cfRule type="containsText" dxfId="9" priority="40561" operator="containsText" text="No">
      <formula>NOT(ISERROR(SEARCH(("No"),(O261))))</formula>
    </cfRule>
  </conditionalFormatting>
  <conditionalFormatting sqref="O261:O264 O267:Q269 O275 P216:Q216 P222:Q226 P228:Q252 P254:Q256 P258:Q264 P272:Q275">
    <cfRule type="containsText" dxfId="9" priority="40562" operator="containsText" text="No">
      <formula>NOT(ISERROR(SEARCH(("No"),(O261))))</formula>
    </cfRule>
  </conditionalFormatting>
  <conditionalFormatting sqref="O261:O264 O267:Q269 O275 P216:Q216 P222:Q226 P228:Q252 P254:Q256 P258:Q264 P272:Q275">
    <cfRule type="containsText" dxfId="9" priority="40563" operator="containsText" text="No">
      <formula>NOT(ISERROR(SEARCH(("No"),(O261))))</formula>
    </cfRule>
  </conditionalFormatting>
  <conditionalFormatting sqref="O261:O264 O267:Q269 O275 P216:Q216 P222:Q226 P228:Q252 P254:Q256 P258:Q264 P272:Q275">
    <cfRule type="containsText" dxfId="9" priority="40564" operator="containsText" text="No">
      <formula>NOT(ISERROR(SEARCH(("No"),(O261))))</formula>
    </cfRule>
  </conditionalFormatting>
  <conditionalFormatting sqref="O261:O264 O267:Q269 O275 P216:Q216 P222:Q226 P228:Q252 P254:Q256 P258:Q264 P272:Q275">
    <cfRule type="containsText" dxfId="9" priority="40565" operator="containsText" text="No">
      <formula>NOT(ISERROR(SEARCH(("No"),(O261))))</formula>
    </cfRule>
  </conditionalFormatting>
  <conditionalFormatting sqref="O261:O264 O267:Q269 O275 P216:Q216 P222:Q226 P228:Q252 P254:Q256 P258:Q264 P272:Q275">
    <cfRule type="containsText" dxfId="9" priority="40566" operator="containsText" text="No">
      <formula>NOT(ISERROR(SEARCH(("No"),(O261))))</formula>
    </cfRule>
  </conditionalFormatting>
  <conditionalFormatting sqref="O261:O264 O267:Q269 O275 P216:Q216 P222:Q226 P228:Q252 P254:Q256 P258:Q264 P272:Q275">
    <cfRule type="containsText" dxfId="9" priority="40567" operator="containsText" text="No">
      <formula>NOT(ISERROR(SEARCH(("No"),(O261))))</formula>
    </cfRule>
  </conditionalFormatting>
  <conditionalFormatting sqref="O261:O264 O267:Q269 O275 P216:Q216 P222:Q226 P228:Q252 P254:Q256 P258:Q264 P272:Q275">
    <cfRule type="containsText" dxfId="9" priority="40568" operator="containsText" text="No">
      <formula>NOT(ISERROR(SEARCH(("No"),(O261))))</formula>
    </cfRule>
  </conditionalFormatting>
  <conditionalFormatting sqref="O261:O264 O267:Q269 O275 P216:Q216 P222:Q226 P228:Q252 P254:Q256 P258:Q264 P272:Q275">
    <cfRule type="containsText" dxfId="9" priority="40569" operator="containsText" text="No">
      <formula>NOT(ISERROR(SEARCH(("No"),(O261))))</formula>
    </cfRule>
  </conditionalFormatting>
  <conditionalFormatting sqref="O261:O264 O267:Q269 O275 P216:Q216 P222:Q226 P228:Q252 P254:Q256 P258:Q264 P272:Q275">
    <cfRule type="containsText" dxfId="9" priority="40570" operator="containsText" text="No">
      <formula>NOT(ISERROR(SEARCH(("No"),(O261))))</formula>
    </cfRule>
  </conditionalFormatting>
  <conditionalFormatting sqref="O261:O264 O267:Q269 O275 P216:Q216 P222:Q226 P228:Q252 P254:Q256 P258:Q264 P272:Q275">
    <cfRule type="containsText" dxfId="9" priority="40571" operator="containsText" text="No">
      <formula>NOT(ISERROR(SEARCH(("No"),(O261))))</formula>
    </cfRule>
  </conditionalFormatting>
  <conditionalFormatting sqref="O261:O264 O267:Q269 O275 P216:Q216 P222:Q226 P228:Q252 P254:Q256 P258:Q264 P272:Q275">
    <cfRule type="containsText" dxfId="9" priority="40572" operator="containsText" text="No">
      <formula>NOT(ISERROR(SEARCH(("No"),(O261))))</formula>
    </cfRule>
  </conditionalFormatting>
  <conditionalFormatting sqref="O261:O264 O267:Q269 O275 P216:Q216 P222:Q226 P228:Q252 P254:Q256 P258:Q264 P272:Q275">
    <cfRule type="containsText" dxfId="9" priority="40573" operator="containsText" text="No">
      <formula>NOT(ISERROR(SEARCH(("No"),(O261))))</formula>
    </cfRule>
  </conditionalFormatting>
  <conditionalFormatting sqref="O261:O264 O267:Q269 O275 P216:Q216 P222:Q226 P228:Q252 P254:Q256 P258:Q264 P272:Q275">
    <cfRule type="containsText" dxfId="9" priority="40574" operator="containsText" text="No">
      <formula>NOT(ISERROR(SEARCH(("No"),(O261))))</formula>
    </cfRule>
  </conditionalFormatting>
  <conditionalFormatting sqref="O261:O264 O267:Q269 O275 P216:Q216 P222:Q226 P228:Q252 P254:Q256 P258:Q264 P272:Q275">
    <cfRule type="containsText" dxfId="9" priority="40575" operator="containsText" text="No">
      <formula>NOT(ISERROR(SEARCH(("No"),(O261))))</formula>
    </cfRule>
  </conditionalFormatting>
  <conditionalFormatting sqref="O261:O264 O267:Q269 O275 P216:Q216 P222:Q226 P228:Q252 P254:Q256 P258:Q264 P272:Q275">
    <cfRule type="containsText" dxfId="9" priority="40576" operator="containsText" text="No">
      <formula>NOT(ISERROR(SEARCH(("No"),(O261))))</formula>
    </cfRule>
  </conditionalFormatting>
  <conditionalFormatting sqref="O261:O264 O267:Q269 O275 P216:Q216 P222:Q226 P228:Q252 P254:Q256 P258:Q264 P272:Q275">
    <cfRule type="containsText" dxfId="9" priority="40577" operator="containsText" text="No">
      <formula>NOT(ISERROR(SEARCH(("No"),(O261))))</formula>
    </cfRule>
  </conditionalFormatting>
  <conditionalFormatting sqref="O261:O264 O267:Q269 O275 P216:Q216 P222:Q226 P228:Q252 P254:Q256 P258:Q264 P272:Q275">
    <cfRule type="containsText" dxfId="9" priority="40578" operator="containsText" text="No">
      <formula>NOT(ISERROR(SEARCH(("No"),(O261))))</formula>
    </cfRule>
  </conditionalFormatting>
  <conditionalFormatting sqref="O261:O264 O267:Q269 O275 P216:Q216 P222:Q226 P228:Q252 P254:Q256 P258:Q264 P272:Q275">
    <cfRule type="containsText" dxfId="9" priority="40579" operator="containsText" text="No">
      <formula>NOT(ISERROR(SEARCH(("No"),(O261))))</formula>
    </cfRule>
  </conditionalFormatting>
  <conditionalFormatting sqref="O261:O264 O267:Q269 O275 P216:Q216 P222:Q226 P228:Q252 P254:Q256 P258:Q264 P272:Q275">
    <cfRule type="containsText" dxfId="9" priority="40580" operator="containsText" text="No">
      <formula>NOT(ISERROR(SEARCH(("No"),(O261))))</formula>
    </cfRule>
  </conditionalFormatting>
  <conditionalFormatting sqref="O261:O264 O267:Q269 O275 P216:Q216 P222:Q226 P228:Q252 P254:Q256 P258:Q264 P272:Q275">
    <cfRule type="containsText" dxfId="9" priority="40581" operator="containsText" text="No">
      <formula>NOT(ISERROR(SEARCH(("No"),(O261))))</formula>
    </cfRule>
  </conditionalFormatting>
  <conditionalFormatting sqref="O261:O264 O267:Q269 O275 P216:Q216 P222:Q226 P228:Q252 P254:Q256 P258:Q264 P272:Q275">
    <cfRule type="containsText" dxfId="9" priority="40582" operator="containsText" text="No">
      <formula>NOT(ISERROR(SEARCH(("No"),(O261))))</formula>
    </cfRule>
  </conditionalFormatting>
  <conditionalFormatting sqref="O261:O264 O267:Q269 O275 P216:Q216 P222:Q226 P228:Q252 P254:Q256 P258:Q264 P272:Q275">
    <cfRule type="containsText" dxfId="9" priority="40583" operator="containsText" text="No">
      <formula>NOT(ISERROR(SEARCH(("No"),(O261))))</formula>
    </cfRule>
  </conditionalFormatting>
  <conditionalFormatting sqref="O261:O264 O267:Q269 O275 P216:Q216 P222:Q226 P228:Q252 P254:Q256 P258:Q264 P272:Q275">
    <cfRule type="containsText" dxfId="9" priority="40584" operator="containsText" text="No">
      <formula>NOT(ISERROR(SEARCH(("No"),(O261))))</formula>
    </cfRule>
  </conditionalFormatting>
  <conditionalFormatting sqref="O261:O264 O267:Q269 O275 P216:Q216 P222:Q226 P228:Q252 P254:Q256 P258:Q264 P272:Q275">
    <cfRule type="containsText" dxfId="9" priority="40585" operator="containsText" text="No">
      <formula>NOT(ISERROR(SEARCH(("No"),(O261))))</formula>
    </cfRule>
  </conditionalFormatting>
  <conditionalFormatting sqref="O261:O264 O267:Q269 O275 P216:Q216 P222:Q226 P228:Q252 P254:Q256 P258:Q264 P272:Q275">
    <cfRule type="containsText" dxfId="9" priority="40586" operator="containsText" text="No">
      <formula>NOT(ISERROR(SEARCH(("No"),(O261))))</formula>
    </cfRule>
  </conditionalFormatting>
  <conditionalFormatting sqref="O261:O264 O267:Q269 O275 P216:Q216 P222:Q226 P228:Q252 P254:Q256 P258:Q264 P272:Q275">
    <cfRule type="containsText" dxfId="9" priority="40587" operator="containsText" text="No">
      <formula>NOT(ISERROR(SEARCH(("No"),(O261))))</formula>
    </cfRule>
  </conditionalFormatting>
  <conditionalFormatting sqref="O261:O264 O267:Q269 O275 P216:Q216 P222:Q226 P228:Q252 P254:Q256 P258:Q264 P272:Q275">
    <cfRule type="containsText" dxfId="2" priority="40588" operator="containsText" text="Yes">
      <formula>NOT(ISERROR(SEARCH(("Yes"),(O261))))</formula>
    </cfRule>
  </conditionalFormatting>
  <conditionalFormatting sqref="O261:O264 O267:Q269 O275 P216:Q216 P222:Q226 P228:Q252 P254:Q256 P258:Q264 P272:Q275">
    <cfRule type="containsText" dxfId="2" priority="40589" operator="containsText" text="Yes">
      <formula>NOT(ISERROR(SEARCH(("Yes"),(O261))))</formula>
    </cfRule>
  </conditionalFormatting>
  <conditionalFormatting sqref="O261:O264 O267:Q269 O275 P216:Q216 P222:Q226 P228:Q252 P254:Q256 P258:Q264 P272:Q275">
    <cfRule type="containsText" dxfId="2" priority="40590" operator="containsText" text="Yes">
      <formula>NOT(ISERROR(SEARCH(("Yes"),(O261))))</formula>
    </cfRule>
  </conditionalFormatting>
  <conditionalFormatting sqref="O261:O264 O267:Q269 O275 P216:Q216 P222:Q226 P228:Q252 P254:Q256 P258:Q264 P272:Q275">
    <cfRule type="containsText" dxfId="2" priority="40591" operator="containsText" text="Yes">
      <formula>NOT(ISERROR(SEARCH(("Yes"),(O261))))</formula>
    </cfRule>
  </conditionalFormatting>
  <conditionalFormatting sqref="O261:O264 O267:Q269 O275 P216:Q216 P222:Q226 P228:Q252 P254:Q256 P258:Q264 P272:Q275">
    <cfRule type="containsText" dxfId="2" priority="40592" operator="containsText" text="Yes">
      <formula>NOT(ISERROR(SEARCH(("Yes"),(O261))))</formula>
    </cfRule>
  </conditionalFormatting>
  <conditionalFormatting sqref="O261:O264 O267:Q269 O275 P216:Q216 P222:Q226 P228:Q252 P254:Q256 P258:Q264 P272:Q275">
    <cfRule type="containsText" dxfId="2" priority="40593" operator="containsText" text="Yes">
      <formula>NOT(ISERROR(SEARCH(("Yes"),(O261))))</formula>
    </cfRule>
  </conditionalFormatting>
  <conditionalFormatting sqref="O261:O264 O267:Q269 O275 P216:Q216 P222:Q226 P228:Q252 P254:Q256 P258:Q264 P272:Q275">
    <cfRule type="containsText" dxfId="2" priority="40594" operator="containsText" text="Yes">
      <formula>NOT(ISERROR(SEARCH(("Yes"),(O261))))</formula>
    </cfRule>
  </conditionalFormatting>
  <conditionalFormatting sqref="O261:O264 O267:Q269 O275 P216:Q216 P222:Q226 P228:Q252 P254:Q256 P258:Q264 P272:Q275">
    <cfRule type="containsText" dxfId="2" priority="40595" operator="containsText" text="Yes">
      <formula>NOT(ISERROR(SEARCH(("Yes"),(O261))))</formula>
    </cfRule>
  </conditionalFormatting>
  <conditionalFormatting sqref="O261:O264 O267:Q269 O275 P216:Q216 P222:Q226 P228:Q252 P254:Q256 P258:Q264 P272:Q275">
    <cfRule type="containsText" dxfId="2" priority="40596" operator="containsText" text="Yes">
      <formula>NOT(ISERROR(SEARCH(("Yes"),(O261))))</formula>
    </cfRule>
  </conditionalFormatting>
  <conditionalFormatting sqref="O261:O264 O267:Q269 O275 P216:Q216 P222:Q226 P228:Q252 P254:Q256 P258:Q264 P272:Q275">
    <cfRule type="containsText" dxfId="2" priority="40597" operator="containsText" text="Yes">
      <formula>NOT(ISERROR(SEARCH(("Yes"),(O261))))</formula>
    </cfRule>
  </conditionalFormatting>
  <conditionalFormatting sqref="O261:O264 O267:Q269 O275 P216:Q216 P222:Q226 P228:Q252 P254:Q256 P258:Q264 P272:Q275">
    <cfRule type="containsText" dxfId="2" priority="40598" operator="containsText" text="Yes">
      <formula>NOT(ISERROR(SEARCH(("Yes"),(O261))))</formula>
    </cfRule>
  </conditionalFormatting>
  <conditionalFormatting sqref="O261:O264 O267:Q269 O275 P216:Q216 P222:Q226 P228:Q252 P254:Q256 P258:Q264 P272:Q275">
    <cfRule type="containsText" dxfId="2" priority="40599" operator="containsText" text="Yes">
      <formula>NOT(ISERROR(SEARCH(("Yes"),(O261))))</formula>
    </cfRule>
  </conditionalFormatting>
  <conditionalFormatting sqref="O261:O264 O267:Q269 O275 P216:Q216 P222:Q226 P228:Q252 P254:Q256 P258:Q264 P272:Q275">
    <cfRule type="containsText" dxfId="2" priority="40600" operator="containsText" text="Yes">
      <formula>NOT(ISERROR(SEARCH(("Yes"),(O261))))</formula>
    </cfRule>
  </conditionalFormatting>
  <conditionalFormatting sqref="O261:O264 O267:Q269 O275 P216:Q216 P222:Q226 P228:Q252 P254:Q256 P258:Q264 P272:Q275">
    <cfRule type="containsText" dxfId="2" priority="40601" operator="containsText" text="Yes">
      <formula>NOT(ISERROR(SEARCH(("Yes"),(O261))))</formula>
    </cfRule>
  </conditionalFormatting>
  <conditionalFormatting sqref="O261:O264 O267:Q269 O275 P216:Q216 P222:Q226 P228:Q252 P254:Q256 P258:Q264 P272:Q275">
    <cfRule type="containsText" dxfId="2" priority="40602" operator="containsText" text="Yes">
      <formula>NOT(ISERROR(SEARCH(("Yes"),(O261))))</formula>
    </cfRule>
  </conditionalFormatting>
  <conditionalFormatting sqref="O261:O264 O267:Q269 O275 P216:Q216 P222:Q226 P228:Q252 P254:Q256 P258:Q264 P272:Q275">
    <cfRule type="containsText" dxfId="2" priority="40603" operator="containsText" text="Yes">
      <formula>NOT(ISERROR(SEARCH(("Yes"),(O261))))</formula>
    </cfRule>
  </conditionalFormatting>
  <conditionalFormatting sqref="O261:O264 O267:Q269 O275 P216:Q216 P222:Q226 P228:Q252 P254:Q256 P258:Q264 P272:Q275">
    <cfRule type="containsText" dxfId="2" priority="40604" operator="containsText" text="Yes">
      <formula>NOT(ISERROR(SEARCH(("Yes"),(O261))))</formula>
    </cfRule>
  </conditionalFormatting>
  <conditionalFormatting sqref="O261:O264 O267:Q269 O275 P216:Q216 P222:Q226 P228:Q252 P254:Q256 P258:Q264 P272:Q275">
    <cfRule type="containsText" dxfId="2" priority="40605" operator="containsText" text="Yes">
      <formula>NOT(ISERROR(SEARCH(("Yes"),(O261))))</formula>
    </cfRule>
  </conditionalFormatting>
  <conditionalFormatting sqref="O261:O264 O267:Q269 O275 P216:Q216 P222:Q226 P228:Q252 P254:Q256 P258:Q264 P272:Q275">
    <cfRule type="containsText" dxfId="2" priority="40606" operator="containsText" text="Yes">
      <formula>NOT(ISERROR(SEARCH(("Yes"),(O261))))</formula>
    </cfRule>
  </conditionalFormatting>
  <conditionalFormatting sqref="O261:O264 O267:Q269 O275 P216:Q216 P222:Q226 P228:Q252 P254:Q256 P258:Q264 P272:Q275">
    <cfRule type="containsText" dxfId="2" priority="40607" operator="containsText" text="Yes">
      <formula>NOT(ISERROR(SEARCH(("Yes"),(O261))))</formula>
    </cfRule>
  </conditionalFormatting>
  <conditionalFormatting sqref="O261:O264 O267:Q269 O275 P216:Q216 P222:Q226 P228:Q252 P254:Q256 P258:Q264 P272:Q275">
    <cfRule type="containsText" dxfId="2" priority="40608" operator="containsText" text="Yes">
      <formula>NOT(ISERROR(SEARCH(("Yes"),(O261))))</formula>
    </cfRule>
  </conditionalFormatting>
  <conditionalFormatting sqref="O261:O264 O267:Q269 O275 P216:Q216 P222:Q226 P228:Q252 P254:Q256 P258:Q264 P272:Q275">
    <cfRule type="containsText" dxfId="2" priority="40609" operator="containsText" text="Yes">
      <formula>NOT(ISERROR(SEARCH(("Yes"),(O261))))</formula>
    </cfRule>
  </conditionalFormatting>
  <conditionalFormatting sqref="O261:O264 O267:Q269 O275 P216:Q216 P222:Q226 P228:Q252 P254:Q256 P258:Q264 P272:Q275">
    <cfRule type="containsText" dxfId="2" priority="40610" operator="containsText" text="Yes">
      <formula>NOT(ISERROR(SEARCH(("Yes"),(O261))))</formula>
    </cfRule>
  </conditionalFormatting>
  <conditionalFormatting sqref="O261:O264 O267:Q269 O275 P216:Q216 P222:Q226 P228:Q252 P254:Q256 P258:Q264 P272:Q275">
    <cfRule type="containsText" dxfId="2" priority="40611" operator="containsText" text="Yes">
      <formula>NOT(ISERROR(SEARCH(("Yes"),(O261))))</formula>
    </cfRule>
  </conditionalFormatting>
  <conditionalFormatting sqref="O261:O264 O267:Q269 O275 P216:Q216 P222:Q226 P228:Q252 P254:Q256 P258:Q264 P272:Q275">
    <cfRule type="containsText" dxfId="2" priority="40612" operator="containsText" text="Yes">
      <formula>NOT(ISERROR(SEARCH(("Yes"),(O261))))</formula>
    </cfRule>
  </conditionalFormatting>
  <conditionalFormatting sqref="O261:O264 O267:Q269 O275 P216:Q216 P222:Q226 P228:Q252 P254:Q256 P258:Q264 P272:Q275">
    <cfRule type="containsText" dxfId="2" priority="40613" operator="containsText" text="Yes">
      <formula>NOT(ISERROR(SEARCH(("Yes"),(O261))))</formula>
    </cfRule>
  </conditionalFormatting>
  <conditionalFormatting sqref="O261:O264 O267:Q269 O275 P216:Q216 P222:Q226 P228:Q252 P254:Q256 P258:Q264 P272:Q275">
    <cfRule type="containsText" dxfId="2" priority="40614" operator="containsText" text="Yes">
      <formula>NOT(ISERROR(SEARCH(("Yes"),(O261))))</formula>
    </cfRule>
  </conditionalFormatting>
  <conditionalFormatting sqref="O261:O264 O267:Q269 O275 P216:Q216 P222:Q226 P228:Q252 P254:Q256 P258:Q264 P272:Q275">
    <cfRule type="containsText" dxfId="2" priority="40615" operator="containsText" text="Yes">
      <formula>NOT(ISERROR(SEARCH(("Yes"),(O261))))</formula>
    </cfRule>
  </conditionalFormatting>
  <conditionalFormatting sqref="O261:O264 O267:Q269 O275 P216:Q216 P222:Q226 P228:Q252 P254:Q256 P258:Q264 P272:Q275">
    <cfRule type="containsText" dxfId="2" priority="40616" operator="containsText" text="Yes">
      <formula>NOT(ISERROR(SEARCH(("Yes"),(O261))))</formula>
    </cfRule>
  </conditionalFormatting>
  <conditionalFormatting sqref="O261:O264 O267:Q269 O275 P216:Q216 P222:Q226 P228:Q252 P254:Q256 P258:Q264 P272:Q275">
    <cfRule type="containsText" dxfId="2" priority="40617" operator="containsText" text="Yes">
      <formula>NOT(ISERROR(SEARCH(("Yes"),(O261))))</formula>
    </cfRule>
  </conditionalFormatting>
  <conditionalFormatting sqref="O261:O264 O267:Q269 O275 P216:Q216 P222:Q226 P228:Q252 P254:Q256 P258:Q264 P272:Q275">
    <cfRule type="containsText" dxfId="2" priority="40618" operator="containsText" text="Yes">
      <formula>NOT(ISERROR(SEARCH(("Yes"),(O261))))</formula>
    </cfRule>
  </conditionalFormatting>
  <conditionalFormatting sqref="O261:O264 O267:Q269 O275 P216:Q216 P222:Q226 P228:Q252 P254:Q256 P258:Q264 P272:Q275">
    <cfRule type="containsText" dxfId="2" priority="40619" operator="containsText" text="Yes">
      <formula>NOT(ISERROR(SEARCH(("Yes"),(O261))))</formula>
    </cfRule>
  </conditionalFormatting>
  <conditionalFormatting sqref="O261:O264 O267:Q269 O275 P216:Q216 P222:Q226 P228:Q252 P254:Q256 P258:Q264 P272:Q275">
    <cfRule type="containsText" dxfId="2" priority="40620" operator="containsText" text="Yes">
      <formula>NOT(ISERROR(SEARCH(("Yes"),(O261))))</formula>
    </cfRule>
  </conditionalFormatting>
  <conditionalFormatting sqref="O261:O264 O267:Q269 O275 P216:Q216 P222:Q226 P228:Q252 P254:Q256 P258:Q264 P272:Q275">
    <cfRule type="containsText" dxfId="2" priority="40621" operator="containsText" text="Yes">
      <formula>NOT(ISERROR(SEARCH(("Yes"),(O261))))</formula>
    </cfRule>
  </conditionalFormatting>
  <conditionalFormatting sqref="O261:O264 O267:Q269 O275 P216:Q216 P222:Q226 P228:Q252 P254:Q256 P258:Q264 P272:Q275">
    <cfRule type="containsText" dxfId="2" priority="40622" operator="containsText" text="Yes">
      <formula>NOT(ISERROR(SEARCH(("Yes"),(O261))))</formula>
    </cfRule>
  </conditionalFormatting>
  <conditionalFormatting sqref="O261:O264 O267:Q269 O275 P216:Q216 P222:Q226 P228:Q252 P254:Q256 P258:Q264 P272:Q275">
    <cfRule type="containsText" dxfId="2" priority="40623" operator="containsText" text="Yes">
      <formula>NOT(ISERROR(SEARCH(("Yes"),(O261))))</formula>
    </cfRule>
  </conditionalFormatting>
  <conditionalFormatting sqref="O261:O264 O267:Q269 O275 P216:Q216 P222:Q226 P228:Q252 P254:Q256 P258:Q264 P272:Q275">
    <cfRule type="containsText" dxfId="2" priority="40624" operator="containsText" text="Yes">
      <formula>NOT(ISERROR(SEARCH(("Yes"),(O261))))</formula>
    </cfRule>
  </conditionalFormatting>
  <conditionalFormatting sqref="O261:O264 O267:Q269 O275 P216:Q216 P222:Q226 P228:Q252 P254:Q256 P258:Q264 P272:Q275">
    <cfRule type="containsText" dxfId="2" priority="40625" operator="containsText" text="Yes">
      <formula>NOT(ISERROR(SEARCH(("Yes"),(O261))))</formula>
    </cfRule>
  </conditionalFormatting>
  <conditionalFormatting sqref="O261:O264 O267:Q269 O275 P216:Q216 P222:Q226 P228:Q252 P254:Q256 P258:Q264 P272:Q275">
    <cfRule type="containsText" dxfId="2" priority="40626" operator="containsText" text="Yes">
      <formula>NOT(ISERROR(SEARCH(("Yes"),(O261))))</formula>
    </cfRule>
  </conditionalFormatting>
  <conditionalFormatting sqref="O261:O264 O267:Q269 O275 P216:Q216 P222:Q226 P228:Q252 P254:Q256 P258:Q264 P272:Q275">
    <cfRule type="containsText" dxfId="2" priority="40627" operator="containsText" text="Yes">
      <formula>NOT(ISERROR(SEARCH(("Yes"),(O261))))</formula>
    </cfRule>
  </conditionalFormatting>
  <conditionalFormatting sqref="O261:O264 O267:Q269 O275 P216:Q216 P222:Q226 P228:Q252 P254:Q256 P258:Q264 P272:Q275">
    <cfRule type="containsText" dxfId="2" priority="40628" operator="containsText" text="Yes">
      <formula>NOT(ISERROR(SEARCH(("Yes"),(O261))))</formula>
    </cfRule>
  </conditionalFormatting>
  <conditionalFormatting sqref="O261:O264 O267:Q269 O275 P216:Q216 P222:Q226 P228:Q252 P254:Q256 P258:Q264 P272:Q275">
    <cfRule type="containsText" dxfId="2" priority="40629" operator="containsText" text="Yes">
      <formula>NOT(ISERROR(SEARCH(("Yes"),(O261))))</formula>
    </cfRule>
  </conditionalFormatting>
  <conditionalFormatting sqref="O261:O264 O267:Q269 O275 P216:Q216 P222:Q226 P228:Q252 P254:Q256 P258:Q264 P272:Q275">
    <cfRule type="containsText" dxfId="2" priority="40630" operator="containsText" text="Yes">
      <formula>NOT(ISERROR(SEARCH(("Yes"),(O261))))</formula>
    </cfRule>
  </conditionalFormatting>
  <conditionalFormatting sqref="O261:O264 O267:Q269 O275 P216:Q216 P222:Q226 P228:Q252 P254:Q256 P258:Q264 P272:Q275">
    <cfRule type="containsText" dxfId="2" priority="40631" operator="containsText" text="Yes">
      <formula>NOT(ISERROR(SEARCH(("Yes"),(O261))))</formula>
    </cfRule>
  </conditionalFormatting>
  <conditionalFormatting sqref="O261:O264 O267:Q269 O275 P216:Q216 P222:Q226 P228:Q252 P254:Q256 P258:Q264 P272:Q275">
    <cfRule type="containsText" dxfId="2" priority="40632" operator="containsText" text="Yes">
      <formula>NOT(ISERROR(SEARCH(("Yes"),(O261))))</formula>
    </cfRule>
  </conditionalFormatting>
  <conditionalFormatting sqref="O261:O264 O267:Q269 O275 P216:Q216 P222:Q226 P228:Q252 P254:Q256 P258:Q264 P272:Q275">
    <cfRule type="containsText" dxfId="2" priority="40633" operator="containsText" text="Yes">
      <formula>NOT(ISERROR(SEARCH(("Yes"),(O261))))</formula>
    </cfRule>
  </conditionalFormatting>
  <conditionalFormatting sqref="O261:O264 O267:Q269 O275 P216:Q216 P222:Q226 P228:Q252 P254:Q256 P258:Q264 P272:Q275">
    <cfRule type="containsText" dxfId="2" priority="40634" operator="containsText" text="Yes">
      <formula>NOT(ISERROR(SEARCH(("Yes"),(O261))))</formula>
    </cfRule>
  </conditionalFormatting>
  <conditionalFormatting sqref="N217:Q221 N224:N226 N229:N230 N234 N238 N241 N243 N245 N247:N248 N251">
    <cfRule type="containsText" dxfId="9" priority="40635" operator="containsText" text="No">
      <formula>NOT(ISERROR(SEARCH(("No"),(N217))))</formula>
    </cfRule>
  </conditionalFormatting>
  <conditionalFormatting sqref="N217:Q221 N224:N226 N229:N230 N234 N238 N241 N243 N245 N247:N248 N251">
    <cfRule type="containsText" dxfId="9" priority="40636" operator="containsText" text="No">
      <formula>NOT(ISERROR(SEARCH(("No"),(N217))))</formula>
    </cfRule>
  </conditionalFormatting>
  <conditionalFormatting sqref="N217:Q221 N224:N226 N229:N230 N234 N238 N241 N243 N245 N247:N248 N251">
    <cfRule type="containsText" dxfId="9" priority="40637" operator="containsText" text="No">
      <formula>NOT(ISERROR(SEARCH(("No"),(N217))))</formula>
    </cfRule>
  </conditionalFormatting>
  <conditionalFormatting sqref="N217:Q221 N224:N226 N229:N230 N234 N238 N241 N243 N245 N247:N248 N251">
    <cfRule type="containsText" dxfId="9" priority="40638" operator="containsText" text="No">
      <formula>NOT(ISERROR(SEARCH(("No"),(N217))))</formula>
    </cfRule>
  </conditionalFormatting>
  <conditionalFormatting sqref="N217:Q221 N224:N226 N229:N230 N234 N238 N241 N243 N245 N247:N248 N251">
    <cfRule type="containsText" dxfId="9" priority="40639" operator="containsText" text="No">
      <formula>NOT(ISERROR(SEARCH(("No"),(N217))))</formula>
    </cfRule>
  </conditionalFormatting>
  <conditionalFormatting sqref="N217:Q221 N224:N226 N229:N230 N234 N238 N241 N243 N245 N247:N248 N251">
    <cfRule type="containsText" dxfId="9" priority="40640" operator="containsText" text="No">
      <formula>NOT(ISERROR(SEARCH(("No"),(N217))))</formula>
    </cfRule>
  </conditionalFormatting>
  <conditionalFormatting sqref="N217:Q221 N224:N226 N229:N230 N234 N238 N241 N243 N245 N247:N248 N251">
    <cfRule type="containsText" dxfId="9" priority="40641" operator="containsText" text="No">
      <formula>NOT(ISERROR(SEARCH(("No"),(N217))))</formula>
    </cfRule>
  </conditionalFormatting>
  <conditionalFormatting sqref="N217:Q221 N224:N226 N229:N230 N234 N238 N241 N243 N245 N247:N248 N251">
    <cfRule type="containsText" dxfId="9" priority="40642" operator="containsText" text="No">
      <formula>NOT(ISERROR(SEARCH(("No"),(N217))))</formula>
    </cfRule>
  </conditionalFormatting>
  <conditionalFormatting sqref="N217:Q221 N224:N226 N229:N230 N234 N238 N241 N243 N245 N247:N248 N251">
    <cfRule type="containsText" dxfId="9" priority="40643" operator="containsText" text="No">
      <formula>NOT(ISERROR(SEARCH(("No"),(N217))))</formula>
    </cfRule>
  </conditionalFormatting>
  <conditionalFormatting sqref="N217:Q221 N224:N226 N229:N230 N234 N238 N241 N243 N245 N247:N248 N251">
    <cfRule type="containsText" dxfId="9" priority="40644" operator="containsText" text="No">
      <formula>NOT(ISERROR(SEARCH(("No"),(N217))))</formula>
    </cfRule>
  </conditionalFormatting>
  <conditionalFormatting sqref="N217:Q221 N224:N226 N229:N230 N234 N238 N241 N243 N245 N247:N248 N251">
    <cfRule type="containsText" dxfId="9" priority="40645" operator="containsText" text="No">
      <formula>NOT(ISERROR(SEARCH(("No"),(N217))))</formula>
    </cfRule>
  </conditionalFormatting>
  <conditionalFormatting sqref="N217:Q221 N224:N226 N229:N230 N234 N238 N241 N243 N245 N247:N248 N251">
    <cfRule type="containsText" dxfId="9" priority="40646" operator="containsText" text="No">
      <formula>NOT(ISERROR(SEARCH(("No"),(N217))))</formula>
    </cfRule>
  </conditionalFormatting>
  <conditionalFormatting sqref="N217:Q221 N224:N226 N229:N230 N234 N238 N241 N243 N245 N247:N248 N251">
    <cfRule type="containsText" dxfId="9" priority="40647" operator="containsText" text="No">
      <formula>NOT(ISERROR(SEARCH(("No"),(N217))))</formula>
    </cfRule>
  </conditionalFormatting>
  <conditionalFormatting sqref="N217:Q221 N224:N226 N229:N230 N234 N238 N241 N243 N245 N247:N248 N251">
    <cfRule type="containsText" dxfId="9" priority="40648" operator="containsText" text="No">
      <formula>NOT(ISERROR(SEARCH(("No"),(N217))))</formula>
    </cfRule>
  </conditionalFormatting>
  <conditionalFormatting sqref="N217:Q221 N224:N226 N229:N230 N234 N238 N241 N243 N245 N247:N248 N251">
    <cfRule type="containsText" dxfId="9" priority="40649" operator="containsText" text="No">
      <formula>NOT(ISERROR(SEARCH(("No"),(N217))))</formula>
    </cfRule>
  </conditionalFormatting>
  <conditionalFormatting sqref="N217:Q221 N224:N226 N229:N230 N234 N238 N241 N243 N245 N247:N248 N251">
    <cfRule type="containsText" dxfId="9" priority="40650" operator="containsText" text="No">
      <formula>NOT(ISERROR(SEARCH(("No"),(N217))))</formula>
    </cfRule>
  </conditionalFormatting>
  <conditionalFormatting sqref="N217:Q221 N224:N226 N229:N230 N234 N238 N241 N243 N245 N247:N248 N251">
    <cfRule type="containsText" dxfId="9" priority="40651" operator="containsText" text="No">
      <formula>NOT(ISERROR(SEARCH(("No"),(N217))))</formula>
    </cfRule>
  </conditionalFormatting>
  <conditionalFormatting sqref="N217:Q221 N224:N226 N229:N230 N234 N238 N241 N243 N245 N247:N248 N251">
    <cfRule type="containsText" dxfId="9" priority="40652" operator="containsText" text="No">
      <formula>NOT(ISERROR(SEARCH(("No"),(N217))))</formula>
    </cfRule>
  </conditionalFormatting>
  <conditionalFormatting sqref="N217:Q221 N224:N226 N229:N230 N234 N238 N241 N243 N245 N247:N248 N251">
    <cfRule type="containsText" dxfId="9" priority="40653" operator="containsText" text="No">
      <formula>NOT(ISERROR(SEARCH(("No"),(N217))))</formula>
    </cfRule>
  </conditionalFormatting>
  <conditionalFormatting sqref="N217:Q221 N224:N226 N229:N230 N234 N238 N241 N243 N245 N247:N248 N251">
    <cfRule type="containsText" dxfId="9" priority="40654" operator="containsText" text="No">
      <formula>NOT(ISERROR(SEARCH(("No"),(N217))))</formula>
    </cfRule>
  </conditionalFormatting>
  <conditionalFormatting sqref="N217:Q221 N224:N226 N229:N230 N234 N238 N241 N243 N245 N247:N248 N251">
    <cfRule type="containsText" dxfId="9" priority="40655" operator="containsText" text="No">
      <formula>NOT(ISERROR(SEARCH(("No"),(N217))))</formula>
    </cfRule>
  </conditionalFormatting>
  <conditionalFormatting sqref="N217:Q221 N224:N226 N229:N230 N234 N238 N241 N243 N245 N247:N248 N251">
    <cfRule type="containsText" dxfId="9" priority="40656" operator="containsText" text="No">
      <formula>NOT(ISERROR(SEARCH(("No"),(N217))))</formula>
    </cfRule>
  </conditionalFormatting>
  <conditionalFormatting sqref="N217:Q221 N224:N226 N229:N230 N234 N238 N241 N243 N245 N247:N248 N251">
    <cfRule type="containsText" dxfId="9" priority="40657" operator="containsText" text="No">
      <formula>NOT(ISERROR(SEARCH(("No"),(N217))))</formula>
    </cfRule>
  </conditionalFormatting>
  <conditionalFormatting sqref="N217:Q221 N224:N226 N229:N230 N234 N238 N241 N243 N245 N247:N248 N251">
    <cfRule type="containsText" dxfId="9" priority="40658" operator="containsText" text="No">
      <formula>NOT(ISERROR(SEARCH(("No"),(N217))))</formula>
    </cfRule>
  </conditionalFormatting>
  <conditionalFormatting sqref="N217:Q221 N224:N226 N229:N230 N234 N238 N241 N243 N245 N247:N248 N251">
    <cfRule type="containsText" dxfId="9" priority="40659" operator="containsText" text="No">
      <formula>NOT(ISERROR(SEARCH(("No"),(N217))))</formula>
    </cfRule>
  </conditionalFormatting>
  <conditionalFormatting sqref="N217:Q221 N224:N226 N229:N230 N234 N238 N241 N243 N245 N247:N248 N251">
    <cfRule type="containsText" dxfId="9" priority="40660" operator="containsText" text="No">
      <formula>NOT(ISERROR(SEARCH(("No"),(N217))))</formula>
    </cfRule>
  </conditionalFormatting>
  <conditionalFormatting sqref="N217:Q221 N224:N226 N229:N230 N234 N238 N241 N243 N245 N247:N248 N251">
    <cfRule type="containsText" dxfId="9" priority="40661" operator="containsText" text="No">
      <formula>NOT(ISERROR(SEARCH(("No"),(N217))))</formula>
    </cfRule>
  </conditionalFormatting>
  <conditionalFormatting sqref="N217:Q221 N224:N226 N229:N230 N234 N238 N241 N243 N245 N247:N248 N251">
    <cfRule type="containsText" dxfId="9" priority="40662" operator="containsText" text="No">
      <formula>NOT(ISERROR(SEARCH(("No"),(N217))))</formula>
    </cfRule>
  </conditionalFormatting>
  <conditionalFormatting sqref="N217:Q221 N224:N226 N229:N230 N234 N238 N241 N243 N245 N247:N248 N251">
    <cfRule type="containsText" dxfId="9" priority="40663" operator="containsText" text="No">
      <formula>NOT(ISERROR(SEARCH(("No"),(N217))))</formula>
    </cfRule>
  </conditionalFormatting>
  <conditionalFormatting sqref="N217:Q221 N224:N226 N229:N230 N234 N238 N241 N243 N245 N247:N248 N251">
    <cfRule type="containsText" dxfId="9" priority="40664" operator="containsText" text="No">
      <formula>NOT(ISERROR(SEARCH(("No"),(N217))))</formula>
    </cfRule>
  </conditionalFormatting>
  <conditionalFormatting sqref="N217:Q221 N224:N226 N229:N230 N234 N238 N241 N243 N245 N247:N248 N251">
    <cfRule type="containsText" dxfId="9" priority="40665" operator="containsText" text="No">
      <formula>NOT(ISERROR(SEARCH(("No"),(N217))))</formula>
    </cfRule>
  </conditionalFormatting>
  <conditionalFormatting sqref="N217:Q221 N224:N226 N229:N230 N234 N238 N241 N243 N245 N247:N248 N251">
    <cfRule type="containsText" dxfId="9" priority="40666" operator="containsText" text="No">
      <formula>NOT(ISERROR(SEARCH(("No"),(N217))))</formula>
    </cfRule>
  </conditionalFormatting>
  <conditionalFormatting sqref="N217:Q221 N224:N226 N229:N230 N234 N238 N241 N243 N245 N247:N248 N251">
    <cfRule type="containsText" dxfId="9" priority="40667" operator="containsText" text="No">
      <formula>NOT(ISERROR(SEARCH(("No"),(N217))))</formula>
    </cfRule>
  </conditionalFormatting>
  <conditionalFormatting sqref="N217:Q221 N224:N226 N229:N230 N234 N238 N241 N243 N245 N247:N248 N251">
    <cfRule type="containsText" dxfId="9" priority="40668" operator="containsText" text="No">
      <formula>NOT(ISERROR(SEARCH(("No"),(N217))))</formula>
    </cfRule>
  </conditionalFormatting>
  <conditionalFormatting sqref="N217:Q221 N224:N226 N229:N230 N234 N238 N241 N243 N245 N247:N248 N251">
    <cfRule type="containsText" dxfId="9" priority="40669" operator="containsText" text="No">
      <formula>NOT(ISERROR(SEARCH(("No"),(N217))))</formula>
    </cfRule>
  </conditionalFormatting>
  <conditionalFormatting sqref="N217:Q221 N224:N226 N229:N230 N234 N238 N241 N243 N245 N247:N248 N251">
    <cfRule type="containsText" dxfId="9" priority="40670" operator="containsText" text="No">
      <formula>NOT(ISERROR(SEARCH(("No"),(N217))))</formula>
    </cfRule>
  </conditionalFormatting>
  <conditionalFormatting sqref="N217:Q221 N224:N226 N229:N230 N234 N238 N241 N243 N245 N247:N248 N251">
    <cfRule type="containsText" dxfId="9" priority="40671" operator="containsText" text="No">
      <formula>NOT(ISERROR(SEARCH(("No"),(N217))))</formula>
    </cfRule>
  </conditionalFormatting>
  <conditionalFormatting sqref="N217:Q221 N224:N226 N229:N230 N234 N238 N241 N243 N245 N247:N248 N251">
    <cfRule type="containsText" dxfId="9" priority="40672" operator="containsText" text="No">
      <formula>NOT(ISERROR(SEARCH(("No"),(N217))))</formula>
    </cfRule>
  </conditionalFormatting>
  <conditionalFormatting sqref="N217:Q221 N224:N226 N229:N230 N234 N238 N241 N243 N245 N247:N248 N251">
    <cfRule type="containsText" dxfId="9" priority="40673" operator="containsText" text="No">
      <formula>NOT(ISERROR(SEARCH(("No"),(N217))))</formula>
    </cfRule>
  </conditionalFormatting>
  <conditionalFormatting sqref="N217:Q221 N224:N226 N229:N230 N234 N238 N241 N243 N245 N247:N248 N251">
    <cfRule type="containsText" dxfId="9" priority="40674" operator="containsText" text="No">
      <formula>NOT(ISERROR(SEARCH(("No"),(N217))))</formula>
    </cfRule>
  </conditionalFormatting>
  <conditionalFormatting sqref="N217:Q221 N224:N226 N229:N230 N234 N238 N241 N243 N245 N247:N248 N251">
    <cfRule type="containsText" dxfId="9" priority="40675" operator="containsText" text="No">
      <formula>NOT(ISERROR(SEARCH(("No"),(N217))))</formula>
    </cfRule>
  </conditionalFormatting>
  <conditionalFormatting sqref="N217:Q221 N224:N226 N229:N230 N234 N238 N241 N243 N245 N247:N248 N251">
    <cfRule type="containsText" dxfId="9" priority="40676" operator="containsText" text="No">
      <formula>NOT(ISERROR(SEARCH(("No"),(N217))))</formula>
    </cfRule>
  </conditionalFormatting>
  <conditionalFormatting sqref="N217:Q221 N224:N226 N229:N230 N234 N238 N241 N243 N245 N247:N248 N251">
    <cfRule type="containsText" dxfId="9" priority="40677" operator="containsText" text="No">
      <formula>NOT(ISERROR(SEARCH(("No"),(N217))))</formula>
    </cfRule>
  </conditionalFormatting>
  <conditionalFormatting sqref="N217:Q221 N224:N226 N229:N230 N234 N238 N241 N243 N245 N247:N248 N251">
    <cfRule type="containsText" dxfId="9" priority="40678" operator="containsText" text="No">
      <formula>NOT(ISERROR(SEARCH(("No"),(N217))))</formula>
    </cfRule>
  </conditionalFormatting>
  <conditionalFormatting sqref="N217:Q221 N224:N226 N229:N230 N234 N238 N241 N243 N245 N247:N248 N251">
    <cfRule type="containsText" dxfId="9" priority="40679" operator="containsText" text="No">
      <formula>NOT(ISERROR(SEARCH(("No"),(N217))))</formula>
    </cfRule>
  </conditionalFormatting>
  <conditionalFormatting sqref="N217:Q221 N224:N226 N229:N230 N234 N238 N241 N243 N245 N247:N248 N251">
    <cfRule type="containsText" dxfId="2" priority="40680" operator="containsText" text="Yes">
      <formula>NOT(ISERROR(SEARCH(("Yes"),(N217))))</formula>
    </cfRule>
  </conditionalFormatting>
  <conditionalFormatting sqref="N217:Q221 N224:N226 N229:N230 N234 N238 N241 N243 N245 N247:N248 N251">
    <cfRule type="containsText" dxfId="2" priority="40681" operator="containsText" text="Yes">
      <formula>NOT(ISERROR(SEARCH(("Yes"),(N217))))</formula>
    </cfRule>
  </conditionalFormatting>
  <conditionalFormatting sqref="N217:Q221 N224:N226 N229:N230 N234 N238 N241 N243 N245 N247:N248 N251">
    <cfRule type="containsText" dxfId="2" priority="40682" operator="containsText" text="Yes">
      <formula>NOT(ISERROR(SEARCH(("Yes"),(N217))))</formula>
    </cfRule>
  </conditionalFormatting>
  <conditionalFormatting sqref="N217:Q221 N224:N226 N229:N230 N234 N238 N241 N243 N245 N247:N248 N251">
    <cfRule type="containsText" dxfId="2" priority="40683" operator="containsText" text="Yes">
      <formula>NOT(ISERROR(SEARCH(("Yes"),(N217))))</formula>
    </cfRule>
  </conditionalFormatting>
  <conditionalFormatting sqref="N217:Q221 N224:N226 N229:N230 N234 N238 N241 N243 N245 N247:N248 N251">
    <cfRule type="containsText" dxfId="2" priority="40684" operator="containsText" text="Yes">
      <formula>NOT(ISERROR(SEARCH(("Yes"),(N217))))</formula>
    </cfRule>
  </conditionalFormatting>
  <conditionalFormatting sqref="N217:Q221 N224:N226 N229:N230 N234 N238 N241 N243 N245 N247:N248 N251">
    <cfRule type="containsText" dxfId="2" priority="40685" operator="containsText" text="Yes">
      <formula>NOT(ISERROR(SEARCH(("Yes"),(N217))))</formula>
    </cfRule>
  </conditionalFormatting>
  <conditionalFormatting sqref="N217:Q221 N224:N226 N229:N230 N234 N238 N241 N243 N245 N247:N248 N251">
    <cfRule type="containsText" dxfId="2" priority="40686" operator="containsText" text="Yes">
      <formula>NOT(ISERROR(SEARCH(("Yes"),(N217))))</formula>
    </cfRule>
  </conditionalFormatting>
  <conditionalFormatting sqref="N217:Q221 N224:N226 N229:N230 N234 N238 N241 N243 N245 N247:N248 N251">
    <cfRule type="containsText" dxfId="2" priority="40687" operator="containsText" text="Yes">
      <formula>NOT(ISERROR(SEARCH(("Yes"),(N217))))</formula>
    </cfRule>
  </conditionalFormatting>
  <conditionalFormatting sqref="N217:Q221 N224:N226 N229:N230 N234 N238 N241 N243 N245 N247:N248 N251">
    <cfRule type="containsText" dxfId="2" priority="40688" operator="containsText" text="Yes">
      <formula>NOT(ISERROR(SEARCH(("Yes"),(N217))))</formula>
    </cfRule>
  </conditionalFormatting>
  <conditionalFormatting sqref="N217:Q221 N224:N226 N229:N230 N234 N238 N241 N243 N245 N247:N248 N251">
    <cfRule type="containsText" dxfId="2" priority="40689" operator="containsText" text="Yes">
      <formula>NOT(ISERROR(SEARCH(("Yes"),(N217))))</formula>
    </cfRule>
  </conditionalFormatting>
  <conditionalFormatting sqref="N217:Q221 N224:N226 N229:N230 N234 N238 N241 N243 N245 N247:N248 N251">
    <cfRule type="containsText" dxfId="2" priority="40690" operator="containsText" text="Yes">
      <formula>NOT(ISERROR(SEARCH(("Yes"),(N217))))</formula>
    </cfRule>
  </conditionalFormatting>
  <conditionalFormatting sqref="N217:Q221 N224:N226 N229:N230 N234 N238 N241 N243 N245 N247:N248 N251">
    <cfRule type="containsText" dxfId="2" priority="40691" operator="containsText" text="Yes">
      <formula>NOT(ISERROR(SEARCH(("Yes"),(N217))))</formula>
    </cfRule>
  </conditionalFormatting>
  <conditionalFormatting sqref="N217:Q221 N224:N226 N229:N230 N234 N238 N241 N243 N245 N247:N248 N251">
    <cfRule type="containsText" dxfId="2" priority="40692" operator="containsText" text="Yes">
      <formula>NOT(ISERROR(SEARCH(("Yes"),(N217))))</formula>
    </cfRule>
  </conditionalFormatting>
  <conditionalFormatting sqref="N217:Q221 N224:N226 N229:N230 N234 N238 N241 N243 N245 N247:N248 N251">
    <cfRule type="containsText" dxfId="2" priority="40693" operator="containsText" text="Yes">
      <formula>NOT(ISERROR(SEARCH(("Yes"),(N217))))</formula>
    </cfRule>
  </conditionalFormatting>
  <conditionalFormatting sqref="N217:Q221 N224:N226 N229:N230 N234 N238 N241 N243 N245 N247:N248 N251">
    <cfRule type="containsText" dxfId="2" priority="40694" operator="containsText" text="Yes">
      <formula>NOT(ISERROR(SEARCH(("Yes"),(N217))))</formula>
    </cfRule>
  </conditionalFormatting>
  <conditionalFormatting sqref="N217:Q221 N224:N226 N229:N230 N234 N238 N241 N243 N245 N247:N248 N251">
    <cfRule type="containsText" dxfId="2" priority="40695" operator="containsText" text="Yes">
      <formula>NOT(ISERROR(SEARCH(("Yes"),(N217))))</formula>
    </cfRule>
  </conditionalFormatting>
  <conditionalFormatting sqref="N217:Q221 N224:N226 N229:N230 N234 N238 N241 N243 N245 N247:N248 N251">
    <cfRule type="containsText" dxfId="2" priority="40696" operator="containsText" text="Yes">
      <formula>NOT(ISERROR(SEARCH(("Yes"),(N217))))</formula>
    </cfRule>
  </conditionalFormatting>
  <conditionalFormatting sqref="N217:Q221 N224:N226 N229:N230 N234 N238 N241 N243 N245 N247:N248 N251">
    <cfRule type="containsText" dxfId="2" priority="40697" operator="containsText" text="Yes">
      <formula>NOT(ISERROR(SEARCH(("Yes"),(N217))))</formula>
    </cfRule>
  </conditionalFormatting>
  <conditionalFormatting sqref="N217:Q221 N224:N226 N229:N230 N234 N238 N241 N243 N245 N247:N248 N251">
    <cfRule type="containsText" dxfId="2" priority="40698" operator="containsText" text="Yes">
      <formula>NOT(ISERROR(SEARCH(("Yes"),(N217))))</formula>
    </cfRule>
  </conditionalFormatting>
  <conditionalFormatting sqref="N217:Q221 N224:N226 N229:N230 N234 N238 N241 N243 N245 N247:N248 N251">
    <cfRule type="containsText" dxfId="2" priority="40699" operator="containsText" text="Yes">
      <formula>NOT(ISERROR(SEARCH(("Yes"),(N217))))</formula>
    </cfRule>
  </conditionalFormatting>
  <conditionalFormatting sqref="N217:Q221 N224:N226 N229:N230 N234 N238 N241 N243 N245 N247:N248 N251">
    <cfRule type="containsText" dxfId="2" priority="40700" operator="containsText" text="Yes">
      <formula>NOT(ISERROR(SEARCH(("Yes"),(N217))))</formula>
    </cfRule>
  </conditionalFormatting>
  <conditionalFormatting sqref="N217:Q221 N224:N226 N229:N230 N234 N238 N241 N243 N245 N247:N248 N251">
    <cfRule type="containsText" dxfId="2" priority="40701" operator="containsText" text="Yes">
      <formula>NOT(ISERROR(SEARCH(("Yes"),(N217))))</formula>
    </cfRule>
  </conditionalFormatting>
  <conditionalFormatting sqref="N217:Q221 N224:N226 N229:N230 N234 N238 N241 N243 N245 N247:N248 N251">
    <cfRule type="containsText" dxfId="2" priority="40702" operator="containsText" text="Yes">
      <formula>NOT(ISERROR(SEARCH(("Yes"),(N217))))</formula>
    </cfRule>
  </conditionalFormatting>
  <conditionalFormatting sqref="N217:Q221 N224:N226 N229:N230 N234 N238 N241 N243 N245 N247:N248 N251">
    <cfRule type="containsText" dxfId="2" priority="40703" operator="containsText" text="Yes">
      <formula>NOT(ISERROR(SEARCH(("Yes"),(N217))))</formula>
    </cfRule>
  </conditionalFormatting>
  <conditionalFormatting sqref="N217:Q221 N224:N226 N229:N230 N234 N238 N241 N243 N245 N247:N248 N251">
    <cfRule type="containsText" dxfId="2" priority="40704" operator="containsText" text="Yes">
      <formula>NOT(ISERROR(SEARCH(("Yes"),(N217))))</formula>
    </cfRule>
  </conditionalFormatting>
  <conditionalFormatting sqref="N217:Q221 N224:N226 N229:N230 N234 N238 N241 N243 N245 N247:N248 N251">
    <cfRule type="containsText" dxfId="2" priority="40705" operator="containsText" text="Yes">
      <formula>NOT(ISERROR(SEARCH(("Yes"),(N217))))</formula>
    </cfRule>
  </conditionalFormatting>
  <conditionalFormatting sqref="N217:Q221 N224:N226 N229:N230 N234 N238 N241 N243 N245 N247:N248 N251">
    <cfRule type="containsText" dxfId="2" priority="40706" operator="containsText" text="Yes">
      <formula>NOT(ISERROR(SEARCH(("Yes"),(N217))))</formula>
    </cfRule>
  </conditionalFormatting>
  <conditionalFormatting sqref="N217:Q221 N224:N226 N229:N230 N234 N238 N241 N243 N245 N247:N248 N251">
    <cfRule type="containsText" dxfId="2" priority="40707" operator="containsText" text="Yes">
      <formula>NOT(ISERROR(SEARCH(("Yes"),(N217))))</formula>
    </cfRule>
  </conditionalFormatting>
  <conditionalFormatting sqref="N217:Q221 N224:N226 N229:N230 N234 N238 N241 N243 N245 N247:N248 N251">
    <cfRule type="containsText" dxfId="2" priority="40708" operator="containsText" text="Yes">
      <formula>NOT(ISERROR(SEARCH(("Yes"),(N217))))</formula>
    </cfRule>
  </conditionalFormatting>
  <conditionalFormatting sqref="N217:Q221 N224:N226 N229:N230 N234 N238 N241 N243 N245 N247:N248 N251">
    <cfRule type="containsText" dxfId="2" priority="40709" operator="containsText" text="Yes">
      <formula>NOT(ISERROR(SEARCH(("Yes"),(N217))))</formula>
    </cfRule>
  </conditionalFormatting>
  <conditionalFormatting sqref="N217:Q221 N224:N226 N229:N230 N234 N238 N241 N243 N245 N247:N248 N251">
    <cfRule type="containsText" dxfId="2" priority="40710" operator="containsText" text="Yes">
      <formula>NOT(ISERROR(SEARCH(("Yes"),(N217))))</formula>
    </cfRule>
  </conditionalFormatting>
  <conditionalFormatting sqref="N217:Q221 N224:N226 N229:N230 N234 N238 N241 N243 N245 N247:N248 N251">
    <cfRule type="containsText" dxfId="2" priority="40711" operator="containsText" text="Yes">
      <formula>NOT(ISERROR(SEARCH(("Yes"),(N217))))</formula>
    </cfRule>
  </conditionalFormatting>
  <conditionalFormatting sqref="N217:Q221 N224:N226 N229:N230 N234 N238 N241 N243 N245 N247:N248 N251">
    <cfRule type="containsText" dxfId="2" priority="40712" operator="containsText" text="Yes">
      <formula>NOT(ISERROR(SEARCH(("Yes"),(N217))))</formula>
    </cfRule>
  </conditionalFormatting>
  <conditionalFormatting sqref="N217:Q221 N224:N226 N229:N230 N234 N238 N241 N243 N245 N247:N248 N251">
    <cfRule type="containsText" dxfId="2" priority="40713" operator="containsText" text="Yes">
      <formula>NOT(ISERROR(SEARCH(("Yes"),(N217))))</formula>
    </cfRule>
  </conditionalFormatting>
  <conditionalFormatting sqref="N217:Q221 N224:N226 N229:N230 N234 N238 N241 N243 N245 N247:N248 N251">
    <cfRule type="containsText" dxfId="2" priority="40714" operator="containsText" text="Yes">
      <formula>NOT(ISERROR(SEARCH(("Yes"),(N217))))</formula>
    </cfRule>
  </conditionalFormatting>
  <conditionalFormatting sqref="N217:Q221 N224:N226 N229:N230 N234 N238 N241 N243 N245 N247:N248 N251">
    <cfRule type="containsText" dxfId="2" priority="40715" operator="containsText" text="Yes">
      <formula>NOT(ISERROR(SEARCH(("Yes"),(N217))))</formula>
    </cfRule>
  </conditionalFormatting>
  <conditionalFormatting sqref="N217:Q221 N224:N226 N229:N230 N234 N238 N241 N243 N245 N247:N248 N251">
    <cfRule type="containsText" dxfId="2" priority="40716" operator="containsText" text="Yes">
      <formula>NOT(ISERROR(SEARCH(("Yes"),(N217))))</formula>
    </cfRule>
  </conditionalFormatting>
  <conditionalFormatting sqref="N217:Q221 N224:N226 N229:N230 N234 N238 N241 N243 N245 N247:N248 N251">
    <cfRule type="containsText" dxfId="2" priority="40717" operator="containsText" text="Yes">
      <formula>NOT(ISERROR(SEARCH(("Yes"),(N217))))</formula>
    </cfRule>
  </conditionalFormatting>
  <conditionalFormatting sqref="N217:Q221 N224:N226 N229:N230 N234 N238 N241 N243 N245 N247:N248 N251">
    <cfRule type="containsText" dxfId="2" priority="40718" operator="containsText" text="Yes">
      <formula>NOT(ISERROR(SEARCH(("Yes"),(N217))))</formula>
    </cfRule>
  </conditionalFormatting>
  <conditionalFormatting sqref="N217:Q221 N224:N226 N229:N230 N234 N238 N241 N243 N245 N247:N248 N251">
    <cfRule type="containsText" dxfId="2" priority="40719" operator="containsText" text="Yes">
      <formula>NOT(ISERROR(SEARCH(("Yes"),(N217))))</formula>
    </cfRule>
  </conditionalFormatting>
  <conditionalFormatting sqref="N217:Q221 N224:N226 N229:N230 N234 N238 N241 N243 N245 N247:N248 N251">
    <cfRule type="containsText" dxfId="2" priority="40720" operator="containsText" text="Yes">
      <formula>NOT(ISERROR(SEARCH(("Yes"),(N217))))</formula>
    </cfRule>
  </conditionalFormatting>
  <conditionalFormatting sqref="N217:Q221 N224:N226 N229:N230 N234 N238 N241 N243 N245 N247:N248 N251">
    <cfRule type="containsText" dxfId="2" priority="40721" operator="containsText" text="Yes">
      <formula>NOT(ISERROR(SEARCH(("Yes"),(N217))))</formula>
    </cfRule>
  </conditionalFormatting>
  <conditionalFormatting sqref="N217:Q221 N224:N226 N229:N230 N234 N238 N241 N243 N245 N247:N248 N251">
    <cfRule type="containsText" dxfId="2" priority="40722" operator="containsText" text="Yes">
      <formula>NOT(ISERROR(SEARCH(("Yes"),(N217))))</formula>
    </cfRule>
  </conditionalFormatting>
  <conditionalFormatting sqref="N217:Q221 N224:N226 N229:N230 N234 N238 N241 N243 N245 N247:N248 N251">
    <cfRule type="containsText" dxfId="2" priority="40723" operator="containsText" text="Yes">
      <formula>NOT(ISERROR(SEARCH(("Yes"),(N217))))</formula>
    </cfRule>
  </conditionalFormatting>
  <conditionalFormatting sqref="N217:Q221 N224:N226 N229:N230 N234 N238 N241 N243 N245 N247:N248 N251">
    <cfRule type="containsText" dxfId="2" priority="40724" operator="containsText" text="Yes">
      <formula>NOT(ISERROR(SEARCH(("Yes"),(N217))))</formula>
    </cfRule>
  </conditionalFormatting>
  <conditionalFormatting sqref="N217:Q221 N224:N226 N229:N230 N234 N238 N241 N243 N245 N247:N248 N251">
    <cfRule type="containsText" dxfId="2" priority="40725" operator="containsText" text="Yes">
      <formula>NOT(ISERROR(SEARCH(("Yes"),(N217))))</formula>
    </cfRule>
  </conditionalFormatting>
  <conditionalFormatting sqref="N217:Q221 N224:N226 N229:N230 N234 N238 N241 N243 N245 N247:N248 N251">
    <cfRule type="containsText" dxfId="2" priority="40726" operator="containsText" text="Yes">
      <formula>NOT(ISERROR(SEARCH(("Yes"),(N217))))</formula>
    </cfRule>
  </conditionalFormatting>
  <conditionalFormatting sqref="N218:Q221 N224:N226 N229:N230 N234 N238 N241 N243 N245 N247:N248 N251">
    <cfRule type="containsText" dxfId="9" priority="40727" operator="containsText" text="No">
      <formula>NOT(ISERROR(SEARCH(("No"),(N218))))</formula>
    </cfRule>
  </conditionalFormatting>
  <conditionalFormatting sqref="N218:Q221 N224:N226 N229:N230 N234 N238 N241 N243 N245 N247:N248 N251">
    <cfRule type="containsText" dxfId="9" priority="40728" operator="containsText" text="No">
      <formula>NOT(ISERROR(SEARCH(("No"),(N218))))</formula>
    </cfRule>
  </conditionalFormatting>
  <conditionalFormatting sqref="N218:Q221 N224:N226 N229:N230 N234 N238 N241 N243 N245 N247:N248 N251">
    <cfRule type="containsText" dxfId="9" priority="40729" operator="containsText" text="No">
      <formula>NOT(ISERROR(SEARCH(("No"),(N218))))</formula>
    </cfRule>
  </conditionalFormatting>
  <conditionalFormatting sqref="N218:Q221 N224:N226 N229:N230 N234 N238 N241 N243 N245 N247:N248 N251">
    <cfRule type="containsText" dxfId="9" priority="40730" operator="containsText" text="No">
      <formula>NOT(ISERROR(SEARCH(("No"),(N218))))</formula>
    </cfRule>
  </conditionalFormatting>
  <conditionalFormatting sqref="N218:Q221 N224:N226 N229:N230 N234 N238 N241 N243 N245 N247:N248 N251">
    <cfRule type="containsText" dxfId="9" priority="40731" operator="containsText" text="No">
      <formula>NOT(ISERROR(SEARCH(("No"),(N218))))</formula>
    </cfRule>
  </conditionalFormatting>
  <conditionalFormatting sqref="N218:Q221 N224:N226 N229:N230 N234 N238 N241 N243 N245 N247:N248 N251">
    <cfRule type="containsText" dxfId="9" priority="40732" operator="containsText" text="No">
      <formula>NOT(ISERROR(SEARCH(("No"),(N218))))</formula>
    </cfRule>
  </conditionalFormatting>
  <conditionalFormatting sqref="N218:Q221 N224:N226 N229:N230 N234 N238 N241 N243 N245 N247:N248 N251">
    <cfRule type="containsText" dxfId="9" priority="40733" operator="containsText" text="No">
      <formula>NOT(ISERROR(SEARCH(("No"),(N218))))</formula>
    </cfRule>
  </conditionalFormatting>
  <conditionalFormatting sqref="N218:Q221 N224:N226 N229:N230 N234 N238 N241 N243 N245 N247:N248 N251">
    <cfRule type="containsText" dxfId="9" priority="40734" operator="containsText" text="No">
      <formula>NOT(ISERROR(SEARCH(("No"),(N218))))</formula>
    </cfRule>
  </conditionalFormatting>
  <conditionalFormatting sqref="N218:Q221 N224:N226 N229:N230 N234 N238 N241 N243 N245 N247:N248 N251">
    <cfRule type="containsText" dxfId="9" priority="40735" operator="containsText" text="No">
      <formula>NOT(ISERROR(SEARCH(("No"),(N218))))</formula>
    </cfRule>
  </conditionalFormatting>
  <conditionalFormatting sqref="N218:Q221 N224:N226 N229:N230 N234 N238 N241 N243 N245 N247:N248 N251">
    <cfRule type="containsText" dxfId="9" priority="40736" operator="containsText" text="No">
      <formula>NOT(ISERROR(SEARCH(("No"),(N218))))</formula>
    </cfRule>
  </conditionalFormatting>
  <conditionalFormatting sqref="N218:Q221 N224:N226 N229:N230 N234 N238 N241 N243 N245 N247:N248 N251">
    <cfRule type="containsText" dxfId="9" priority="40737" operator="containsText" text="No">
      <formula>NOT(ISERROR(SEARCH(("No"),(N218))))</formula>
    </cfRule>
  </conditionalFormatting>
  <conditionalFormatting sqref="N218:Q221 N224:N226 N229:N230 N234 N238 N241 N243 N245 N247:N248 N251">
    <cfRule type="containsText" dxfId="9" priority="40738" operator="containsText" text="No">
      <formula>NOT(ISERROR(SEARCH(("No"),(N218))))</formula>
    </cfRule>
  </conditionalFormatting>
  <conditionalFormatting sqref="N218:Q221 N224:N226 N229:N230 N234 N238 N241 N243 N245 N247:N248 N251">
    <cfRule type="containsText" dxfId="9" priority="40739" operator="containsText" text="No">
      <formula>NOT(ISERROR(SEARCH(("No"),(N218))))</formula>
    </cfRule>
  </conditionalFormatting>
  <conditionalFormatting sqref="N218:Q221 N224:N226 N229:N230 N234 N238 N241 N243 N245 N247:N248 N251">
    <cfRule type="containsText" dxfId="9" priority="40740" operator="containsText" text="No">
      <formula>NOT(ISERROR(SEARCH(("No"),(N218))))</formula>
    </cfRule>
  </conditionalFormatting>
  <conditionalFormatting sqref="N218:Q221 N224:N226 N229:N230 N234 N238 N241 N243 N245 N247:N248 N251">
    <cfRule type="containsText" dxfId="9" priority="40741" operator="containsText" text="No">
      <formula>NOT(ISERROR(SEARCH(("No"),(N218))))</formula>
    </cfRule>
  </conditionalFormatting>
  <conditionalFormatting sqref="N218:Q221 N224:N226 N229:N230 N234 N238 N241 N243 N245 N247:N248 N251">
    <cfRule type="containsText" dxfId="9" priority="40742" operator="containsText" text="No">
      <formula>NOT(ISERROR(SEARCH(("No"),(N218))))</formula>
    </cfRule>
  </conditionalFormatting>
  <conditionalFormatting sqref="N218:Q221 N224:N226 N229:N230 N234 N238 N241 N243 N245 N247:N248 N251">
    <cfRule type="containsText" dxfId="9" priority="40743" operator="containsText" text="No">
      <formula>NOT(ISERROR(SEARCH(("No"),(N218))))</formula>
    </cfRule>
  </conditionalFormatting>
  <conditionalFormatting sqref="N218:Q221 N224:N226 N229:N230 N234 N238 N241 N243 N245 N247:N248 N251">
    <cfRule type="containsText" dxfId="9" priority="40744" operator="containsText" text="No">
      <formula>NOT(ISERROR(SEARCH(("No"),(N218))))</formula>
    </cfRule>
  </conditionalFormatting>
  <conditionalFormatting sqref="N218:Q221 N224:N226 N229:N230 N234 N238 N241 N243 N245 N247:N248 N251">
    <cfRule type="containsText" dxfId="9" priority="40745" operator="containsText" text="No">
      <formula>NOT(ISERROR(SEARCH(("No"),(N218))))</formula>
    </cfRule>
  </conditionalFormatting>
  <conditionalFormatting sqref="N218:Q221 N224:N226 N229:N230 N234 N238 N241 N243 N245 N247:N248 N251">
    <cfRule type="containsText" dxfId="9" priority="40746" operator="containsText" text="No">
      <formula>NOT(ISERROR(SEARCH(("No"),(N218))))</formula>
    </cfRule>
  </conditionalFormatting>
  <conditionalFormatting sqref="N218:Q221 N224:N226 N229:N230 N234 N238 N241 N243 N245 N247:N248 N251">
    <cfRule type="containsText" dxfId="9" priority="40747" operator="containsText" text="No">
      <formula>NOT(ISERROR(SEARCH(("No"),(N218))))</formula>
    </cfRule>
  </conditionalFormatting>
  <conditionalFormatting sqref="N218:Q221 N224:N226 N229:N230 N234 N238 N241 N243 N245 N247:N248 N251">
    <cfRule type="containsText" dxfId="9" priority="40748" operator="containsText" text="No">
      <formula>NOT(ISERROR(SEARCH(("No"),(N218))))</formula>
    </cfRule>
  </conditionalFormatting>
  <conditionalFormatting sqref="N218:Q221 N224:N226 N229:N230 N234 N238 N241 N243 N245 N247:N248 N251">
    <cfRule type="containsText" dxfId="9" priority="40749" operator="containsText" text="No">
      <formula>NOT(ISERROR(SEARCH(("No"),(N218))))</formula>
    </cfRule>
  </conditionalFormatting>
  <conditionalFormatting sqref="N218:Q221 N224:N226 N229:N230 N234 N238 N241 N243 N245 N247:N248 N251">
    <cfRule type="containsText" dxfId="9" priority="40750" operator="containsText" text="No">
      <formula>NOT(ISERROR(SEARCH(("No"),(N218))))</formula>
    </cfRule>
  </conditionalFormatting>
  <conditionalFormatting sqref="N218:Q221 N224:N226 N229:N230 N234 N238 N241 N243 N245 N247:N248 N251">
    <cfRule type="containsText" dxfId="9" priority="40751" operator="containsText" text="No">
      <formula>NOT(ISERROR(SEARCH(("No"),(N218))))</formula>
    </cfRule>
  </conditionalFormatting>
  <conditionalFormatting sqref="N218:Q221 N224:N226 N229:N230 N234 N238 N241 N243 N245 N247:N248 N251">
    <cfRule type="containsText" dxfId="9" priority="40752" operator="containsText" text="No">
      <formula>NOT(ISERROR(SEARCH(("No"),(N218))))</formula>
    </cfRule>
  </conditionalFormatting>
  <conditionalFormatting sqref="N218:Q221 N224:N226 N229:N230 N234 N238 N241 N243 N245 N247:N248 N251">
    <cfRule type="containsText" dxfId="9" priority="40753" operator="containsText" text="No">
      <formula>NOT(ISERROR(SEARCH(("No"),(N218))))</formula>
    </cfRule>
  </conditionalFormatting>
  <conditionalFormatting sqref="N218:Q221 N224:N226 N229:N230 N234 N238 N241 N243 N245 N247:N248 N251">
    <cfRule type="containsText" dxfId="9" priority="40754" operator="containsText" text="No">
      <formula>NOT(ISERROR(SEARCH(("No"),(N218))))</formula>
    </cfRule>
  </conditionalFormatting>
  <conditionalFormatting sqref="N218:Q221 N224:N226 N229:N230 N234 N238 N241 N243 N245 N247:N248 N251">
    <cfRule type="containsText" dxfId="9" priority="40755" operator="containsText" text="No">
      <formula>NOT(ISERROR(SEARCH(("No"),(N218))))</formula>
    </cfRule>
  </conditionalFormatting>
  <conditionalFormatting sqref="N218:Q221 N224:N226 N229:N230 N234 N238 N241 N243 N245 N247:N248 N251">
    <cfRule type="containsText" dxfId="9" priority="40756" operator="containsText" text="No">
      <formula>NOT(ISERROR(SEARCH(("No"),(N218))))</formula>
    </cfRule>
  </conditionalFormatting>
  <conditionalFormatting sqref="N218:Q221 N224:N226 N229:N230 N234 N238 N241 N243 N245 N247:N248 N251">
    <cfRule type="containsText" dxfId="9" priority="40757" operator="containsText" text="No">
      <formula>NOT(ISERROR(SEARCH(("No"),(N218))))</formula>
    </cfRule>
  </conditionalFormatting>
  <conditionalFormatting sqref="N218:Q221 N224:N226 N229:N230 N234 N238 N241 N243 N245 N247:N248 N251">
    <cfRule type="containsText" dxfId="9" priority="40758" operator="containsText" text="No">
      <formula>NOT(ISERROR(SEARCH(("No"),(N218))))</formula>
    </cfRule>
  </conditionalFormatting>
  <conditionalFormatting sqref="N218:Q221 N224:N226 N229:N230 N234 N238 N241 N243 N245 N247:N248 N251">
    <cfRule type="containsText" dxfId="9" priority="40759" operator="containsText" text="No">
      <formula>NOT(ISERROR(SEARCH(("No"),(N218))))</formula>
    </cfRule>
  </conditionalFormatting>
  <conditionalFormatting sqref="N218:Q221 N224:N226 N229:N230 N234 N238 N241 N243 N245 N247:N248 N251">
    <cfRule type="containsText" dxfId="9" priority="40760" operator="containsText" text="No">
      <formula>NOT(ISERROR(SEARCH(("No"),(N218))))</formula>
    </cfRule>
  </conditionalFormatting>
  <conditionalFormatting sqref="N218:Q221 N224:N226 N229:N230 N234 N238 N241 N243 N245 N247:N248 N251">
    <cfRule type="containsText" dxfId="9" priority="40761" operator="containsText" text="No">
      <formula>NOT(ISERROR(SEARCH(("No"),(N218))))</formula>
    </cfRule>
  </conditionalFormatting>
  <conditionalFormatting sqref="N218:Q221 N224:N226 N229:N230 N234 N238 N241 N243 N245 N247:N248 N251">
    <cfRule type="containsText" dxfId="9" priority="40762" operator="containsText" text="No">
      <formula>NOT(ISERROR(SEARCH(("No"),(N218))))</formula>
    </cfRule>
  </conditionalFormatting>
  <conditionalFormatting sqref="N218:Q221 N224:N226 N229:N230 N234 N238 N241 N243 N245 N247:N248 N251">
    <cfRule type="containsText" dxfId="9" priority="40763" operator="containsText" text="No">
      <formula>NOT(ISERROR(SEARCH(("No"),(N218))))</formula>
    </cfRule>
  </conditionalFormatting>
  <conditionalFormatting sqref="N218:Q221 N224:N226 N229:N230 N234 N238 N241 N243 N245 N247:N248 N251">
    <cfRule type="containsText" dxfId="9" priority="40764" operator="containsText" text="No">
      <formula>NOT(ISERROR(SEARCH(("No"),(N218))))</formula>
    </cfRule>
  </conditionalFormatting>
  <conditionalFormatting sqref="N218:Q221 N224:N226 N229:N230 N234 N238 N241 N243 N245 N247:N248 N251">
    <cfRule type="containsText" dxfId="9" priority="40765" operator="containsText" text="No">
      <formula>NOT(ISERROR(SEARCH(("No"),(N218))))</formula>
    </cfRule>
  </conditionalFormatting>
  <conditionalFormatting sqref="N218:Q221 N224:N226 N229:N230 N234 N238 N241 N243 N245 N247:N248 N251">
    <cfRule type="containsText" dxfId="9" priority="40766" operator="containsText" text="No">
      <formula>NOT(ISERROR(SEARCH(("No"),(N218))))</formula>
    </cfRule>
  </conditionalFormatting>
  <conditionalFormatting sqref="N218:Q221 N224:N226 N229:N230 N234 N238 N241 N243 N245 N247:N248 N251">
    <cfRule type="containsText" dxfId="9" priority="40767" operator="containsText" text="No">
      <formula>NOT(ISERROR(SEARCH(("No"),(N218))))</formula>
    </cfRule>
  </conditionalFormatting>
  <conditionalFormatting sqref="N218:Q221 N224:N226 N229:N230 N234 N238 N241 N243 N245 N247:N248 N251">
    <cfRule type="containsText" dxfId="9" priority="40768" operator="containsText" text="No">
      <formula>NOT(ISERROR(SEARCH(("No"),(N218))))</formula>
    </cfRule>
  </conditionalFormatting>
  <conditionalFormatting sqref="N218:Q221 N224:N226 N229:N230 N234 N238 N241 N243 N245 N247:N248 N251">
    <cfRule type="containsText" dxfId="9" priority="40769" operator="containsText" text="No">
      <formula>NOT(ISERROR(SEARCH(("No"),(N218))))</formula>
    </cfRule>
  </conditionalFormatting>
  <conditionalFormatting sqref="N218:Q221 N224:N226 N229:N230 N234 N238 N241 N243 N245 N247:N248 N251">
    <cfRule type="containsText" dxfId="9" priority="40770" operator="containsText" text="No">
      <formula>NOT(ISERROR(SEARCH(("No"),(N218))))</formula>
    </cfRule>
  </conditionalFormatting>
  <conditionalFormatting sqref="N218:Q221 N224:N226 N229:N230 N234 N238 N241 N243 N245 N247:N248 N251">
    <cfRule type="containsText" dxfId="9" priority="40771" operator="containsText" text="No">
      <formula>NOT(ISERROR(SEARCH(("No"),(N218))))</formula>
    </cfRule>
  </conditionalFormatting>
  <conditionalFormatting sqref="N218:Q221 N224:N226 N229:N230 N234 N238 N241 N243 N245 N247:N248 N251">
    <cfRule type="containsText" dxfId="2" priority="40772" operator="containsText" text="Yes">
      <formula>NOT(ISERROR(SEARCH(("Yes"),(N218))))</formula>
    </cfRule>
  </conditionalFormatting>
  <conditionalFormatting sqref="N218:Q221 N224:N226 N229:N230 N234 N238 N241 N243 N245 N247:N248 N251">
    <cfRule type="containsText" dxfId="2" priority="40773" operator="containsText" text="Yes">
      <formula>NOT(ISERROR(SEARCH(("Yes"),(N218))))</formula>
    </cfRule>
  </conditionalFormatting>
  <conditionalFormatting sqref="N218:Q221 N224:N226 N229:N230 N234 N238 N241 N243 N245 N247:N248 N251">
    <cfRule type="containsText" dxfId="2" priority="40774" operator="containsText" text="Yes">
      <formula>NOT(ISERROR(SEARCH(("Yes"),(N218))))</formula>
    </cfRule>
  </conditionalFormatting>
  <conditionalFormatting sqref="N218:Q221 N224:N226 N229:N230 N234 N238 N241 N243 N245 N247:N248 N251">
    <cfRule type="containsText" dxfId="2" priority="40775" operator="containsText" text="Yes">
      <formula>NOT(ISERROR(SEARCH(("Yes"),(N218))))</formula>
    </cfRule>
  </conditionalFormatting>
  <conditionalFormatting sqref="N218:Q221 N224:N226 N229:N230 N234 N238 N241 N243 N245 N247:N248 N251">
    <cfRule type="containsText" dxfId="2" priority="40776" operator="containsText" text="Yes">
      <formula>NOT(ISERROR(SEARCH(("Yes"),(N218))))</formula>
    </cfRule>
  </conditionalFormatting>
  <conditionalFormatting sqref="N218:Q221 N224:N226 N229:N230 N234 N238 N241 N243 N245 N247:N248 N251">
    <cfRule type="containsText" dxfId="2" priority="40777" operator="containsText" text="Yes">
      <formula>NOT(ISERROR(SEARCH(("Yes"),(N218))))</formula>
    </cfRule>
  </conditionalFormatting>
  <conditionalFormatting sqref="N218:Q221 N224:N226 N229:N230 N234 N238 N241 N243 N245 N247:N248 N251">
    <cfRule type="containsText" dxfId="2" priority="40778" operator="containsText" text="Yes">
      <formula>NOT(ISERROR(SEARCH(("Yes"),(N218))))</formula>
    </cfRule>
  </conditionalFormatting>
  <conditionalFormatting sqref="N218:Q221 N224:N226 N229:N230 N234 N238 N241 N243 N245 N247:N248 N251">
    <cfRule type="containsText" dxfId="2" priority="40779" operator="containsText" text="Yes">
      <formula>NOT(ISERROR(SEARCH(("Yes"),(N218))))</formula>
    </cfRule>
  </conditionalFormatting>
  <conditionalFormatting sqref="N218:Q221 N224:N226 N229:N230 N234 N238 N241 N243 N245 N247:N248 N251">
    <cfRule type="containsText" dxfId="2" priority="40780" operator="containsText" text="Yes">
      <formula>NOT(ISERROR(SEARCH(("Yes"),(N218))))</formula>
    </cfRule>
  </conditionalFormatting>
  <conditionalFormatting sqref="N218:Q221 N224:N226 N229:N230 N234 N238 N241 N243 N245 N247:N248 N251">
    <cfRule type="containsText" dxfId="2" priority="40781" operator="containsText" text="Yes">
      <formula>NOT(ISERROR(SEARCH(("Yes"),(N218))))</formula>
    </cfRule>
  </conditionalFormatting>
  <conditionalFormatting sqref="N218:Q221 N224:N226 N229:N230 N234 N238 N241 N243 N245 N247:N248 N251">
    <cfRule type="containsText" dxfId="2" priority="40782" operator="containsText" text="Yes">
      <formula>NOT(ISERROR(SEARCH(("Yes"),(N218))))</formula>
    </cfRule>
  </conditionalFormatting>
  <conditionalFormatting sqref="N218:Q221 N224:N226 N229:N230 N234 N238 N241 N243 N245 N247:N248 N251">
    <cfRule type="containsText" dxfId="2" priority="40783" operator="containsText" text="Yes">
      <formula>NOT(ISERROR(SEARCH(("Yes"),(N218))))</formula>
    </cfRule>
  </conditionalFormatting>
  <conditionalFormatting sqref="N218:Q221 N224:N226 N229:N230 N234 N238 N241 N243 N245 N247:N248 N251">
    <cfRule type="containsText" dxfId="2" priority="40784" operator="containsText" text="Yes">
      <formula>NOT(ISERROR(SEARCH(("Yes"),(N218))))</formula>
    </cfRule>
  </conditionalFormatting>
  <conditionalFormatting sqref="N218:Q221 N224:N226 N229:N230 N234 N238 N241 N243 N245 N247:N248 N251">
    <cfRule type="containsText" dxfId="2" priority="40785" operator="containsText" text="Yes">
      <formula>NOT(ISERROR(SEARCH(("Yes"),(N218))))</formula>
    </cfRule>
  </conditionalFormatting>
  <conditionalFormatting sqref="N218:Q221 N224:N226 N229:N230 N234 N238 N241 N243 N245 N247:N248 N251">
    <cfRule type="containsText" dxfId="2" priority="40786" operator="containsText" text="Yes">
      <formula>NOT(ISERROR(SEARCH(("Yes"),(N218))))</formula>
    </cfRule>
  </conditionalFormatting>
  <conditionalFormatting sqref="N218:Q221 N224:N226 N229:N230 N234 N238 N241 N243 N245 N247:N248 N251">
    <cfRule type="containsText" dxfId="2" priority="40787" operator="containsText" text="Yes">
      <formula>NOT(ISERROR(SEARCH(("Yes"),(N218))))</formula>
    </cfRule>
  </conditionalFormatting>
  <conditionalFormatting sqref="N218:Q221 N224:N226 N229:N230 N234 N238 N241 N243 N245 N247:N248 N251">
    <cfRule type="containsText" dxfId="2" priority="40788" operator="containsText" text="Yes">
      <formula>NOT(ISERROR(SEARCH(("Yes"),(N218))))</formula>
    </cfRule>
  </conditionalFormatting>
  <conditionalFormatting sqref="N218:Q221 N224:N226 N229:N230 N234 N238 N241 N243 N245 N247:N248 N251">
    <cfRule type="containsText" dxfId="2" priority="40789" operator="containsText" text="Yes">
      <formula>NOT(ISERROR(SEARCH(("Yes"),(N218))))</formula>
    </cfRule>
  </conditionalFormatting>
  <conditionalFormatting sqref="N218:Q221 N224:N226 N229:N230 N234 N238 N241 N243 N245 N247:N248 N251">
    <cfRule type="containsText" dxfId="2" priority="40790" operator="containsText" text="Yes">
      <formula>NOT(ISERROR(SEARCH(("Yes"),(N218))))</formula>
    </cfRule>
  </conditionalFormatting>
  <conditionalFormatting sqref="N218:Q221 N224:N226 N229:N230 N234 N238 N241 N243 N245 N247:N248 N251">
    <cfRule type="containsText" dxfId="2" priority="40791" operator="containsText" text="Yes">
      <formula>NOT(ISERROR(SEARCH(("Yes"),(N218))))</formula>
    </cfRule>
  </conditionalFormatting>
  <conditionalFormatting sqref="N218:Q221 N224:N226 N229:N230 N234 N238 N241 N243 N245 N247:N248 N251">
    <cfRule type="containsText" dxfId="2" priority="40792" operator="containsText" text="Yes">
      <formula>NOT(ISERROR(SEARCH(("Yes"),(N218))))</formula>
    </cfRule>
  </conditionalFormatting>
  <conditionalFormatting sqref="N218:Q221 N224:N226 N229:N230 N234 N238 N241 N243 N245 N247:N248 N251">
    <cfRule type="containsText" dxfId="2" priority="40793" operator="containsText" text="Yes">
      <formula>NOT(ISERROR(SEARCH(("Yes"),(N218))))</formula>
    </cfRule>
  </conditionalFormatting>
  <conditionalFormatting sqref="N218:Q221 N224:N226 N229:N230 N234 N238 N241 N243 N245 N247:N248 N251">
    <cfRule type="containsText" dxfId="2" priority="40794" operator="containsText" text="Yes">
      <formula>NOT(ISERROR(SEARCH(("Yes"),(N218))))</formula>
    </cfRule>
  </conditionalFormatting>
  <conditionalFormatting sqref="N218:Q221 N224:N226 N229:N230 N234 N238 N241 N243 N245 N247:N248 N251">
    <cfRule type="containsText" dxfId="2" priority="40795" operator="containsText" text="Yes">
      <formula>NOT(ISERROR(SEARCH(("Yes"),(N218))))</formula>
    </cfRule>
  </conditionalFormatting>
  <conditionalFormatting sqref="N218:Q221 N224:N226 N229:N230 N234 N238 N241 N243 N245 N247:N248 N251">
    <cfRule type="containsText" dxfId="2" priority="40796" operator="containsText" text="Yes">
      <formula>NOT(ISERROR(SEARCH(("Yes"),(N218))))</formula>
    </cfRule>
  </conditionalFormatting>
  <conditionalFormatting sqref="N218:Q221 N224:N226 N229:N230 N234 N238 N241 N243 N245 N247:N248 N251">
    <cfRule type="containsText" dxfId="2" priority="40797" operator="containsText" text="Yes">
      <formula>NOT(ISERROR(SEARCH(("Yes"),(N218))))</formula>
    </cfRule>
  </conditionalFormatting>
  <conditionalFormatting sqref="N218:Q221 N224:N226 N229:N230 N234 N238 N241 N243 N245 N247:N248 N251">
    <cfRule type="containsText" dxfId="2" priority="40798" operator="containsText" text="Yes">
      <formula>NOT(ISERROR(SEARCH(("Yes"),(N218))))</formula>
    </cfRule>
  </conditionalFormatting>
  <conditionalFormatting sqref="N218:Q221 N224:N226 N229:N230 N234 N238 N241 N243 N245 N247:N248 N251">
    <cfRule type="containsText" dxfId="2" priority="40799" operator="containsText" text="Yes">
      <formula>NOT(ISERROR(SEARCH(("Yes"),(N218))))</formula>
    </cfRule>
  </conditionalFormatting>
  <conditionalFormatting sqref="N218:Q221 N224:N226 N229:N230 N234 N238 N241 N243 N245 N247:N248 N251">
    <cfRule type="containsText" dxfId="2" priority="40800" operator="containsText" text="Yes">
      <formula>NOT(ISERROR(SEARCH(("Yes"),(N218))))</formula>
    </cfRule>
  </conditionalFormatting>
  <conditionalFormatting sqref="N218:Q221 N224:N226 N229:N230 N234 N238 N241 N243 N245 N247:N248 N251">
    <cfRule type="containsText" dxfId="2" priority="40801" operator="containsText" text="Yes">
      <formula>NOT(ISERROR(SEARCH(("Yes"),(N218))))</formula>
    </cfRule>
  </conditionalFormatting>
  <conditionalFormatting sqref="N218:Q221 N224:N226 N229:N230 N234 N238 N241 N243 N245 N247:N248 N251">
    <cfRule type="containsText" dxfId="2" priority="40802" operator="containsText" text="Yes">
      <formula>NOT(ISERROR(SEARCH(("Yes"),(N218))))</formula>
    </cfRule>
  </conditionalFormatting>
  <conditionalFormatting sqref="N218:Q221 N224:N226 N229:N230 N234 N238 N241 N243 N245 N247:N248 N251">
    <cfRule type="containsText" dxfId="2" priority="40803" operator="containsText" text="Yes">
      <formula>NOT(ISERROR(SEARCH(("Yes"),(N218))))</formula>
    </cfRule>
  </conditionalFormatting>
  <conditionalFormatting sqref="N218:Q221 N224:N226 N229:N230 N234 N238 N241 N243 N245 N247:N248 N251">
    <cfRule type="containsText" dxfId="2" priority="40804" operator="containsText" text="Yes">
      <formula>NOT(ISERROR(SEARCH(("Yes"),(N218))))</formula>
    </cfRule>
  </conditionalFormatting>
  <conditionalFormatting sqref="N218:Q221 N224:N226 N229:N230 N234 N238 N241 N243 N245 N247:N248 N251">
    <cfRule type="containsText" dxfId="2" priority="40805" operator="containsText" text="Yes">
      <formula>NOT(ISERROR(SEARCH(("Yes"),(N218))))</formula>
    </cfRule>
  </conditionalFormatting>
  <conditionalFormatting sqref="N218:Q221 N224:N226 N229:N230 N234 N238 N241 N243 N245 N247:N248 N251">
    <cfRule type="containsText" dxfId="2" priority="40806" operator="containsText" text="Yes">
      <formula>NOT(ISERROR(SEARCH(("Yes"),(N218))))</formula>
    </cfRule>
  </conditionalFormatting>
  <conditionalFormatting sqref="N218:Q221 N224:N226 N229:N230 N234 N238 N241 N243 N245 N247:N248 N251">
    <cfRule type="containsText" dxfId="2" priority="40807" operator="containsText" text="Yes">
      <formula>NOT(ISERROR(SEARCH(("Yes"),(N218))))</formula>
    </cfRule>
  </conditionalFormatting>
  <conditionalFormatting sqref="N218:Q221 N224:N226 N229:N230 N234 N238 N241 N243 N245 N247:N248 N251">
    <cfRule type="containsText" dxfId="2" priority="40808" operator="containsText" text="Yes">
      <formula>NOT(ISERROR(SEARCH(("Yes"),(N218))))</formula>
    </cfRule>
  </conditionalFormatting>
  <conditionalFormatting sqref="N218:Q221 N224:N226 N229:N230 N234 N238 N241 N243 N245 N247:N248 N251">
    <cfRule type="containsText" dxfId="2" priority="40809" operator="containsText" text="Yes">
      <formula>NOT(ISERROR(SEARCH(("Yes"),(N218))))</formula>
    </cfRule>
  </conditionalFormatting>
  <conditionalFormatting sqref="N218:Q221 N224:N226 N229:N230 N234 N238 N241 N243 N245 N247:N248 N251">
    <cfRule type="containsText" dxfId="2" priority="40810" operator="containsText" text="Yes">
      <formula>NOT(ISERROR(SEARCH(("Yes"),(N218))))</formula>
    </cfRule>
  </conditionalFormatting>
  <conditionalFormatting sqref="N218:Q221 N224:N226 N229:N230 N234 N238 N241 N243 N245 N247:N248 N251">
    <cfRule type="containsText" dxfId="2" priority="40811" operator="containsText" text="Yes">
      <formula>NOT(ISERROR(SEARCH(("Yes"),(N218))))</formula>
    </cfRule>
  </conditionalFormatting>
  <conditionalFormatting sqref="N218:Q221 N224:N226 N229:N230 N234 N238 N241 N243 N245 N247:N248 N251">
    <cfRule type="containsText" dxfId="2" priority="40812" operator="containsText" text="Yes">
      <formula>NOT(ISERROR(SEARCH(("Yes"),(N218))))</formula>
    </cfRule>
  </conditionalFormatting>
  <conditionalFormatting sqref="N218:Q221 N224:N226 N229:N230 N234 N238 N241 N243 N245 N247:N248 N251">
    <cfRule type="containsText" dxfId="2" priority="40813" operator="containsText" text="Yes">
      <formula>NOT(ISERROR(SEARCH(("Yes"),(N218))))</formula>
    </cfRule>
  </conditionalFormatting>
  <conditionalFormatting sqref="N218:Q221 N224:N226 N229:N230 N234 N238 N241 N243 N245 N247:N248 N251">
    <cfRule type="containsText" dxfId="2" priority="40814" operator="containsText" text="Yes">
      <formula>NOT(ISERROR(SEARCH(("Yes"),(N218))))</formula>
    </cfRule>
  </conditionalFormatting>
  <conditionalFormatting sqref="N218:Q221 N224:N226 N229:N230 N234 N238 N241 N243 N245 N247:N248 N251">
    <cfRule type="containsText" dxfId="2" priority="40815" operator="containsText" text="Yes">
      <formula>NOT(ISERROR(SEARCH(("Yes"),(N218))))</formula>
    </cfRule>
  </conditionalFormatting>
  <conditionalFormatting sqref="N218:Q221 N224:N226 N229:N230 N234 N238 N241 N243 N245 N247:N248 N251">
    <cfRule type="containsText" dxfId="2" priority="40816" operator="containsText" text="Yes">
      <formula>NOT(ISERROR(SEARCH(("Yes"),(N218))))</formula>
    </cfRule>
  </conditionalFormatting>
  <conditionalFormatting sqref="N218:Q221 N224:N226 N229:N230 N234 N238 N241 N243 N245 N247:N248 N251">
    <cfRule type="containsText" dxfId="2" priority="40817" operator="containsText" text="Yes">
      <formula>NOT(ISERROR(SEARCH(("Yes"),(N218))))</formula>
    </cfRule>
  </conditionalFormatting>
  <conditionalFormatting sqref="N218:Q221 N224:N226 N229:N230 N234 N238 N241 N243 N245 N247:N248 N251">
    <cfRule type="containsText" dxfId="2" priority="40818" operator="containsText" text="Yes">
      <formula>NOT(ISERROR(SEARCH(("Yes"),(N218))))</formula>
    </cfRule>
  </conditionalFormatting>
  <conditionalFormatting sqref="N219:Q221 N224:N226 N229:N230 N234 N238 N241 N243 N245 N247:N248 N251">
    <cfRule type="containsText" dxfId="9" priority="40819" operator="containsText" text="No">
      <formula>NOT(ISERROR(SEARCH(("No"),(N219))))</formula>
    </cfRule>
  </conditionalFormatting>
  <conditionalFormatting sqref="N219:Q221 N224:N226 N229:N230 N234 N238 N241 N243 N245 N247:N248 N251">
    <cfRule type="containsText" dxfId="9" priority="40820" operator="containsText" text="No">
      <formula>NOT(ISERROR(SEARCH(("No"),(N219))))</formula>
    </cfRule>
  </conditionalFormatting>
  <conditionalFormatting sqref="N219:Q221 N224:N226 N229:N230 N234 N238 N241 N243 N245 N247:N248 N251">
    <cfRule type="containsText" dxfId="9" priority="40821" operator="containsText" text="No">
      <formula>NOT(ISERROR(SEARCH(("No"),(N219))))</formula>
    </cfRule>
  </conditionalFormatting>
  <conditionalFormatting sqref="N219:Q221 N224:N226 N229:N230 N234 N238 N241 N243 N245 N247:N248 N251">
    <cfRule type="containsText" dxfId="9" priority="40822" operator="containsText" text="No">
      <formula>NOT(ISERROR(SEARCH(("No"),(N219))))</formula>
    </cfRule>
  </conditionalFormatting>
  <conditionalFormatting sqref="N219:Q221 N224:N226 N229:N230 N234 N238 N241 N243 N245 N247:N248 N251">
    <cfRule type="containsText" dxfId="9" priority="40823" operator="containsText" text="No">
      <formula>NOT(ISERROR(SEARCH(("No"),(N219))))</formula>
    </cfRule>
  </conditionalFormatting>
  <conditionalFormatting sqref="N219:Q221 N224:N226 N229:N230 N234 N238 N241 N243 N245 N247:N248 N251">
    <cfRule type="containsText" dxfId="9" priority="40824" operator="containsText" text="No">
      <formula>NOT(ISERROR(SEARCH(("No"),(N219))))</formula>
    </cfRule>
  </conditionalFormatting>
  <conditionalFormatting sqref="N219:Q221 N224:N226 N229:N230 N234 N238 N241 N243 N245 N247:N248 N251">
    <cfRule type="containsText" dxfId="9" priority="40825" operator="containsText" text="No">
      <formula>NOT(ISERROR(SEARCH(("No"),(N219))))</formula>
    </cfRule>
  </conditionalFormatting>
  <conditionalFormatting sqref="N219:Q221 N224:N226 N229:N230 N234 N238 N241 N243 N245 N247:N248 N251">
    <cfRule type="containsText" dxfId="9" priority="40826" operator="containsText" text="No">
      <formula>NOT(ISERROR(SEARCH(("No"),(N219))))</formula>
    </cfRule>
  </conditionalFormatting>
  <conditionalFormatting sqref="N219:Q221 N224:N226 N229:N230 N234 N238 N241 N243 N245 N247:N248 N251">
    <cfRule type="containsText" dxfId="9" priority="40827" operator="containsText" text="No">
      <formula>NOT(ISERROR(SEARCH(("No"),(N219))))</formula>
    </cfRule>
  </conditionalFormatting>
  <conditionalFormatting sqref="N219:Q221 N224:N226 N229:N230 N234 N238 N241 N243 N245 N247:N248 N251">
    <cfRule type="containsText" dxfId="9" priority="40828" operator="containsText" text="No">
      <formula>NOT(ISERROR(SEARCH(("No"),(N219))))</formula>
    </cfRule>
  </conditionalFormatting>
  <conditionalFormatting sqref="N219:Q221 N224:N226 N229:N230 N234 N238 N241 N243 N245 N247:N248 N251">
    <cfRule type="containsText" dxfId="9" priority="40829" operator="containsText" text="No">
      <formula>NOT(ISERROR(SEARCH(("No"),(N219))))</formula>
    </cfRule>
  </conditionalFormatting>
  <conditionalFormatting sqref="N219:Q221 N224:N226 N229:N230 N234 N238 N241 N243 N245 N247:N248 N251">
    <cfRule type="containsText" dxfId="9" priority="40830" operator="containsText" text="No">
      <formula>NOT(ISERROR(SEARCH(("No"),(N219))))</formula>
    </cfRule>
  </conditionalFormatting>
  <conditionalFormatting sqref="N219:Q221 N224:N226 N229:N230 N234 N238 N241 N243 N245 N247:N248 N251">
    <cfRule type="containsText" dxfId="9" priority="40831" operator="containsText" text="No">
      <formula>NOT(ISERROR(SEARCH(("No"),(N219))))</formula>
    </cfRule>
  </conditionalFormatting>
  <conditionalFormatting sqref="N219:Q221 N224:N226 N229:N230 N234 N238 N241 N243 N245 N247:N248 N251">
    <cfRule type="containsText" dxfId="9" priority="40832" operator="containsText" text="No">
      <formula>NOT(ISERROR(SEARCH(("No"),(N219))))</formula>
    </cfRule>
  </conditionalFormatting>
  <conditionalFormatting sqref="N219:Q221 N224:N226 N229:N230 N234 N238 N241 N243 N245 N247:N248 N251">
    <cfRule type="containsText" dxfId="9" priority="40833" operator="containsText" text="No">
      <formula>NOT(ISERROR(SEARCH(("No"),(N219))))</formula>
    </cfRule>
  </conditionalFormatting>
  <conditionalFormatting sqref="N219:Q221 N224:N226 N229:N230 N234 N238 N241 N243 N245 N247:N248 N251">
    <cfRule type="containsText" dxfId="9" priority="40834" operator="containsText" text="No">
      <formula>NOT(ISERROR(SEARCH(("No"),(N219))))</formula>
    </cfRule>
  </conditionalFormatting>
  <conditionalFormatting sqref="N219:Q221 N224:N226 N229:N230 N234 N238 N241 N243 N245 N247:N248 N251">
    <cfRule type="containsText" dxfId="9" priority="40835" operator="containsText" text="No">
      <formula>NOT(ISERROR(SEARCH(("No"),(N219))))</formula>
    </cfRule>
  </conditionalFormatting>
  <conditionalFormatting sqref="N219:Q221 N224:N226 N229:N230 N234 N238 N241 N243 N245 N247:N248 N251">
    <cfRule type="containsText" dxfId="9" priority="40836" operator="containsText" text="No">
      <formula>NOT(ISERROR(SEARCH(("No"),(N219))))</formula>
    </cfRule>
  </conditionalFormatting>
  <conditionalFormatting sqref="N219:Q221 N224:N226 N229:N230 N234 N238 N241 N243 N245 N247:N248 N251">
    <cfRule type="containsText" dxfId="9" priority="40837" operator="containsText" text="No">
      <formula>NOT(ISERROR(SEARCH(("No"),(N219))))</formula>
    </cfRule>
  </conditionalFormatting>
  <conditionalFormatting sqref="N219:Q221 N224:N226 N229:N230 N234 N238 N241 N243 N245 N247:N248 N251">
    <cfRule type="containsText" dxfId="9" priority="40838" operator="containsText" text="No">
      <formula>NOT(ISERROR(SEARCH(("No"),(N219))))</formula>
    </cfRule>
  </conditionalFormatting>
  <conditionalFormatting sqref="N219:Q221 N224:N226 N229:N230 N234 N238 N241 N243 N245 N247:N248 N251">
    <cfRule type="containsText" dxfId="9" priority="40839" operator="containsText" text="No">
      <formula>NOT(ISERROR(SEARCH(("No"),(N219))))</formula>
    </cfRule>
  </conditionalFormatting>
  <conditionalFormatting sqref="N219:Q221 N224:N226 N229:N230 N234 N238 N241 N243 N245 N247:N248 N251">
    <cfRule type="containsText" dxfId="9" priority="40840" operator="containsText" text="No">
      <formula>NOT(ISERROR(SEARCH(("No"),(N219))))</formula>
    </cfRule>
  </conditionalFormatting>
  <conditionalFormatting sqref="N219:Q221 N224:N226 N229:N230 N234 N238 N241 N243 N245 N247:N248 N251">
    <cfRule type="containsText" dxfId="9" priority="40841" operator="containsText" text="No">
      <formula>NOT(ISERROR(SEARCH(("No"),(N219))))</formula>
    </cfRule>
  </conditionalFormatting>
  <conditionalFormatting sqref="N219:Q221 N224:N226 N229:N230 N234 N238 N241 N243 N245 N247:N248 N251">
    <cfRule type="containsText" dxfId="9" priority="40842" operator="containsText" text="No">
      <formula>NOT(ISERROR(SEARCH(("No"),(N219))))</formula>
    </cfRule>
  </conditionalFormatting>
  <conditionalFormatting sqref="N219:Q221 N224:N226 N229:N230 N234 N238 N241 N243 N245 N247:N248 N251">
    <cfRule type="containsText" dxfId="9" priority="40843" operator="containsText" text="No">
      <formula>NOT(ISERROR(SEARCH(("No"),(N219))))</formula>
    </cfRule>
  </conditionalFormatting>
  <conditionalFormatting sqref="N219:Q221 N224:N226 N229:N230 N234 N238 N241 N243 N245 N247:N248 N251">
    <cfRule type="containsText" dxfId="9" priority="40844" operator="containsText" text="No">
      <formula>NOT(ISERROR(SEARCH(("No"),(N219))))</formula>
    </cfRule>
  </conditionalFormatting>
  <conditionalFormatting sqref="N219:Q221 N224:N226 N229:N230 N234 N238 N241 N243 N245 N247:N248 N251">
    <cfRule type="containsText" dxfId="9" priority="40845" operator="containsText" text="No">
      <formula>NOT(ISERROR(SEARCH(("No"),(N219))))</formula>
    </cfRule>
  </conditionalFormatting>
  <conditionalFormatting sqref="N219:Q221 N224:N226 N229:N230 N234 N238 N241 N243 N245 N247:N248 N251">
    <cfRule type="containsText" dxfId="9" priority="40846" operator="containsText" text="No">
      <formula>NOT(ISERROR(SEARCH(("No"),(N219))))</formula>
    </cfRule>
  </conditionalFormatting>
  <conditionalFormatting sqref="N219:Q221 N224:N226 N229:N230 N234 N238 N241 N243 N245 N247:N248 N251">
    <cfRule type="containsText" dxfId="9" priority="40847" operator="containsText" text="No">
      <formula>NOT(ISERROR(SEARCH(("No"),(N219))))</formula>
    </cfRule>
  </conditionalFormatting>
  <conditionalFormatting sqref="N219:Q221 N224:N226 N229:N230 N234 N238 N241 N243 N245 N247:N248 N251">
    <cfRule type="containsText" dxfId="9" priority="40848" operator="containsText" text="No">
      <formula>NOT(ISERROR(SEARCH(("No"),(N219))))</formula>
    </cfRule>
  </conditionalFormatting>
  <conditionalFormatting sqref="N219:Q221 N224:N226 N229:N230 N234 N238 N241 N243 N245 N247:N248 N251">
    <cfRule type="containsText" dxfId="9" priority="40849" operator="containsText" text="No">
      <formula>NOT(ISERROR(SEARCH(("No"),(N219))))</formula>
    </cfRule>
  </conditionalFormatting>
  <conditionalFormatting sqref="N219:Q221 N224:N226 N229:N230 N234 N238 N241 N243 N245 N247:N248 N251">
    <cfRule type="containsText" dxfId="9" priority="40850" operator="containsText" text="No">
      <formula>NOT(ISERROR(SEARCH(("No"),(N219))))</formula>
    </cfRule>
  </conditionalFormatting>
  <conditionalFormatting sqref="N219:Q221 N224:N226 N229:N230 N234 N238 N241 N243 N245 N247:N248 N251">
    <cfRule type="containsText" dxfId="9" priority="40851" operator="containsText" text="No">
      <formula>NOT(ISERROR(SEARCH(("No"),(N219))))</formula>
    </cfRule>
  </conditionalFormatting>
  <conditionalFormatting sqref="N219:Q221 N224:N226 N229:N230 N234 N238 N241 N243 N245 N247:N248 N251">
    <cfRule type="containsText" dxfId="9" priority="40852" operator="containsText" text="No">
      <formula>NOT(ISERROR(SEARCH(("No"),(N219))))</formula>
    </cfRule>
  </conditionalFormatting>
  <conditionalFormatting sqref="N219:Q221 N224:N226 N229:N230 N234 N238 N241 N243 N245 N247:N248 N251">
    <cfRule type="containsText" dxfId="9" priority="40853" operator="containsText" text="No">
      <formula>NOT(ISERROR(SEARCH(("No"),(N219))))</formula>
    </cfRule>
  </conditionalFormatting>
  <conditionalFormatting sqref="N219:Q221 N224:N226 N229:N230 N234 N238 N241 N243 N245 N247:N248 N251">
    <cfRule type="containsText" dxfId="9" priority="40854" operator="containsText" text="No">
      <formula>NOT(ISERROR(SEARCH(("No"),(N219))))</formula>
    </cfRule>
  </conditionalFormatting>
  <conditionalFormatting sqref="N219:Q221 N224:N226 N229:N230 N234 N238 N241 N243 N245 N247:N248 N251">
    <cfRule type="containsText" dxfId="9" priority="40855" operator="containsText" text="No">
      <formula>NOT(ISERROR(SEARCH(("No"),(N219))))</formula>
    </cfRule>
  </conditionalFormatting>
  <conditionalFormatting sqref="N219:Q221 N224:N226 N229:N230 N234 N238 N241 N243 N245 N247:N248 N251">
    <cfRule type="containsText" dxfId="9" priority="40856" operator="containsText" text="No">
      <formula>NOT(ISERROR(SEARCH(("No"),(N219))))</formula>
    </cfRule>
  </conditionalFormatting>
  <conditionalFormatting sqref="N219:Q221 N224:N226 N229:N230 N234 N238 N241 N243 N245 N247:N248 N251">
    <cfRule type="containsText" dxfId="9" priority="40857" operator="containsText" text="No">
      <formula>NOT(ISERROR(SEARCH(("No"),(N219))))</formula>
    </cfRule>
  </conditionalFormatting>
  <conditionalFormatting sqref="N219:Q221 N224:N226 N229:N230 N234 N238 N241 N243 N245 N247:N248 N251">
    <cfRule type="containsText" dxfId="9" priority="40858" operator="containsText" text="No">
      <formula>NOT(ISERROR(SEARCH(("No"),(N219))))</formula>
    </cfRule>
  </conditionalFormatting>
  <conditionalFormatting sqref="N219:Q221 N224:N226 N229:N230 N234 N238 N241 N243 N245 N247:N248 N251">
    <cfRule type="containsText" dxfId="9" priority="40859" operator="containsText" text="No">
      <formula>NOT(ISERROR(SEARCH(("No"),(N219))))</formula>
    </cfRule>
  </conditionalFormatting>
  <conditionalFormatting sqref="N219:Q221 N224:N226 N229:N230 N234 N238 N241 N243 N245 N247:N248 N251">
    <cfRule type="containsText" dxfId="9" priority="40860" operator="containsText" text="No">
      <formula>NOT(ISERROR(SEARCH(("No"),(N219))))</formula>
    </cfRule>
  </conditionalFormatting>
  <conditionalFormatting sqref="N219:Q221 N224:N226 N229:N230 N234 N238 N241 N243 N245 N247:N248 N251">
    <cfRule type="containsText" dxfId="9" priority="40861" operator="containsText" text="No">
      <formula>NOT(ISERROR(SEARCH(("No"),(N219))))</formula>
    </cfRule>
  </conditionalFormatting>
  <conditionalFormatting sqref="N219:Q221 N224:N226 N229:N230 N234 N238 N241 N243 N245 N247:N248 N251">
    <cfRule type="containsText" dxfId="9" priority="40862" operator="containsText" text="No">
      <formula>NOT(ISERROR(SEARCH(("No"),(N219))))</formula>
    </cfRule>
  </conditionalFormatting>
  <conditionalFormatting sqref="N219:Q221 N224:N226 N229:N230 N234 N238 N241 N243 N245 N247:N248 N251">
    <cfRule type="containsText" dxfId="9" priority="40863" operator="containsText" text="No">
      <formula>NOT(ISERROR(SEARCH(("No"),(N219))))</formula>
    </cfRule>
  </conditionalFormatting>
  <conditionalFormatting sqref="N219:Q221 N224:N226 N229:N230 N234 N238 N241 N243 N245 N247:N248 N251">
    <cfRule type="containsText" dxfId="2" priority="40864" operator="containsText" text="Yes">
      <formula>NOT(ISERROR(SEARCH(("Yes"),(N219))))</formula>
    </cfRule>
  </conditionalFormatting>
  <conditionalFormatting sqref="N219:Q221 N224:N226 N229:N230 N234 N238 N241 N243 N245 N247:N248 N251">
    <cfRule type="containsText" dxfId="2" priority="40865" operator="containsText" text="Yes">
      <formula>NOT(ISERROR(SEARCH(("Yes"),(N219))))</formula>
    </cfRule>
  </conditionalFormatting>
  <conditionalFormatting sqref="N219:Q221 N224:N226 N229:N230 N234 N238 N241 N243 N245 N247:N248 N251">
    <cfRule type="containsText" dxfId="2" priority="40866" operator="containsText" text="Yes">
      <formula>NOT(ISERROR(SEARCH(("Yes"),(N219))))</formula>
    </cfRule>
  </conditionalFormatting>
  <conditionalFormatting sqref="N219:Q221 N224:N226 N229:N230 N234 N238 N241 N243 N245 N247:N248 N251">
    <cfRule type="containsText" dxfId="2" priority="40867" operator="containsText" text="Yes">
      <formula>NOT(ISERROR(SEARCH(("Yes"),(N219))))</formula>
    </cfRule>
  </conditionalFormatting>
  <conditionalFormatting sqref="N219:Q221 N224:N226 N229:N230 N234 N238 N241 N243 N245 N247:N248 N251">
    <cfRule type="containsText" dxfId="2" priority="40868" operator="containsText" text="Yes">
      <formula>NOT(ISERROR(SEARCH(("Yes"),(N219))))</formula>
    </cfRule>
  </conditionalFormatting>
  <conditionalFormatting sqref="N219:Q221 N224:N226 N229:N230 N234 N238 N241 N243 N245 N247:N248 N251">
    <cfRule type="containsText" dxfId="2" priority="40869" operator="containsText" text="Yes">
      <formula>NOT(ISERROR(SEARCH(("Yes"),(N219))))</formula>
    </cfRule>
  </conditionalFormatting>
  <conditionalFormatting sqref="N219:Q221 N224:N226 N229:N230 N234 N238 N241 N243 N245 N247:N248 N251">
    <cfRule type="containsText" dxfId="2" priority="40870" operator="containsText" text="Yes">
      <formula>NOT(ISERROR(SEARCH(("Yes"),(N219))))</formula>
    </cfRule>
  </conditionalFormatting>
  <conditionalFormatting sqref="N219:Q221 N224:N226 N229:N230 N234 N238 N241 N243 N245 N247:N248 N251">
    <cfRule type="containsText" dxfId="2" priority="40871" operator="containsText" text="Yes">
      <formula>NOT(ISERROR(SEARCH(("Yes"),(N219))))</formula>
    </cfRule>
  </conditionalFormatting>
  <conditionalFormatting sqref="N219:Q221 N224:N226 N229:N230 N234 N238 N241 N243 N245 N247:N248 N251">
    <cfRule type="containsText" dxfId="2" priority="40872" operator="containsText" text="Yes">
      <formula>NOT(ISERROR(SEARCH(("Yes"),(N219))))</formula>
    </cfRule>
  </conditionalFormatting>
  <conditionalFormatting sqref="N219:Q221 N224:N226 N229:N230 N234 N238 N241 N243 N245 N247:N248 N251">
    <cfRule type="containsText" dxfId="2" priority="40873" operator="containsText" text="Yes">
      <formula>NOT(ISERROR(SEARCH(("Yes"),(N219))))</formula>
    </cfRule>
  </conditionalFormatting>
  <conditionalFormatting sqref="N219:Q221 N224:N226 N229:N230 N234 N238 N241 N243 N245 N247:N248 N251">
    <cfRule type="containsText" dxfId="2" priority="40874" operator="containsText" text="Yes">
      <formula>NOT(ISERROR(SEARCH(("Yes"),(N219))))</formula>
    </cfRule>
  </conditionalFormatting>
  <conditionalFormatting sqref="N219:Q221 N224:N226 N229:N230 N234 N238 N241 N243 N245 N247:N248 N251">
    <cfRule type="containsText" dxfId="2" priority="40875" operator="containsText" text="Yes">
      <formula>NOT(ISERROR(SEARCH(("Yes"),(N219))))</formula>
    </cfRule>
  </conditionalFormatting>
  <conditionalFormatting sqref="N219:Q221 N224:N226 N229:N230 N234 N238 N241 N243 N245 N247:N248 N251">
    <cfRule type="containsText" dxfId="2" priority="40876" operator="containsText" text="Yes">
      <formula>NOT(ISERROR(SEARCH(("Yes"),(N219))))</formula>
    </cfRule>
  </conditionalFormatting>
  <conditionalFormatting sqref="N219:Q221 N224:N226 N229:N230 N234 N238 N241 N243 N245 N247:N248 N251">
    <cfRule type="containsText" dxfId="2" priority="40877" operator="containsText" text="Yes">
      <formula>NOT(ISERROR(SEARCH(("Yes"),(N219))))</formula>
    </cfRule>
  </conditionalFormatting>
  <conditionalFormatting sqref="N219:Q221 N224:N226 N229:N230 N234 N238 N241 N243 N245 N247:N248 N251">
    <cfRule type="containsText" dxfId="2" priority="40878" operator="containsText" text="Yes">
      <formula>NOT(ISERROR(SEARCH(("Yes"),(N219))))</formula>
    </cfRule>
  </conditionalFormatting>
  <conditionalFormatting sqref="N219:Q221 N224:N226 N229:N230 N234 N238 N241 N243 N245 N247:N248 N251">
    <cfRule type="containsText" dxfId="2" priority="40879" operator="containsText" text="Yes">
      <formula>NOT(ISERROR(SEARCH(("Yes"),(N219))))</formula>
    </cfRule>
  </conditionalFormatting>
  <conditionalFormatting sqref="N219:Q221 N224:N226 N229:N230 N234 N238 N241 N243 N245 N247:N248 N251">
    <cfRule type="containsText" dxfId="2" priority="40880" operator="containsText" text="Yes">
      <formula>NOT(ISERROR(SEARCH(("Yes"),(N219))))</formula>
    </cfRule>
  </conditionalFormatting>
  <conditionalFormatting sqref="N219:Q221 N224:N226 N229:N230 N234 N238 N241 N243 N245 N247:N248 N251">
    <cfRule type="containsText" dxfId="2" priority="40881" operator="containsText" text="Yes">
      <formula>NOT(ISERROR(SEARCH(("Yes"),(N219))))</formula>
    </cfRule>
  </conditionalFormatting>
  <conditionalFormatting sqref="N219:Q221 N224:N226 N229:N230 N234 N238 N241 N243 N245 N247:N248 N251">
    <cfRule type="containsText" dxfId="2" priority="40882" operator="containsText" text="Yes">
      <formula>NOT(ISERROR(SEARCH(("Yes"),(N219))))</formula>
    </cfRule>
  </conditionalFormatting>
  <conditionalFormatting sqref="N219:Q221 N224:N226 N229:N230 N234 N238 N241 N243 N245 N247:N248 N251">
    <cfRule type="containsText" dxfId="2" priority="40883" operator="containsText" text="Yes">
      <formula>NOT(ISERROR(SEARCH(("Yes"),(N219))))</formula>
    </cfRule>
  </conditionalFormatting>
  <conditionalFormatting sqref="N219:Q221 N224:N226 N229:N230 N234 N238 N241 N243 N245 N247:N248 N251">
    <cfRule type="containsText" dxfId="2" priority="40884" operator="containsText" text="Yes">
      <formula>NOT(ISERROR(SEARCH(("Yes"),(N219))))</formula>
    </cfRule>
  </conditionalFormatting>
  <conditionalFormatting sqref="N219:Q221 N224:N226 N229:N230 N234 N238 N241 N243 N245 N247:N248 N251">
    <cfRule type="containsText" dxfId="2" priority="40885" operator="containsText" text="Yes">
      <formula>NOT(ISERROR(SEARCH(("Yes"),(N219))))</formula>
    </cfRule>
  </conditionalFormatting>
  <conditionalFormatting sqref="N219:Q221 N224:N226 N229:N230 N234 N238 N241 N243 N245 N247:N248 N251">
    <cfRule type="containsText" dxfId="2" priority="40886" operator="containsText" text="Yes">
      <formula>NOT(ISERROR(SEARCH(("Yes"),(N219))))</formula>
    </cfRule>
  </conditionalFormatting>
  <conditionalFormatting sqref="N219:Q221 N224:N226 N229:N230 N234 N238 N241 N243 N245 N247:N248 N251">
    <cfRule type="containsText" dxfId="2" priority="40887" operator="containsText" text="Yes">
      <formula>NOT(ISERROR(SEARCH(("Yes"),(N219))))</formula>
    </cfRule>
  </conditionalFormatting>
  <conditionalFormatting sqref="N219:Q221 N224:N226 N229:N230 N234 N238 N241 N243 N245 N247:N248 N251">
    <cfRule type="containsText" dxfId="2" priority="40888" operator="containsText" text="Yes">
      <formula>NOT(ISERROR(SEARCH(("Yes"),(N219))))</formula>
    </cfRule>
  </conditionalFormatting>
  <conditionalFormatting sqref="N219:Q221 N224:N226 N229:N230 N234 N238 N241 N243 N245 N247:N248 N251">
    <cfRule type="containsText" dxfId="2" priority="40889" operator="containsText" text="Yes">
      <formula>NOT(ISERROR(SEARCH(("Yes"),(N219))))</formula>
    </cfRule>
  </conditionalFormatting>
  <conditionalFormatting sqref="N219:Q221 N224:N226 N229:N230 N234 N238 N241 N243 N245 N247:N248 N251">
    <cfRule type="containsText" dxfId="2" priority="40890" operator="containsText" text="Yes">
      <formula>NOT(ISERROR(SEARCH(("Yes"),(N219))))</formula>
    </cfRule>
  </conditionalFormatting>
  <conditionalFormatting sqref="N219:Q221 N224:N226 N229:N230 N234 N238 N241 N243 N245 N247:N248 N251">
    <cfRule type="containsText" dxfId="2" priority="40891" operator="containsText" text="Yes">
      <formula>NOT(ISERROR(SEARCH(("Yes"),(N219))))</formula>
    </cfRule>
  </conditionalFormatting>
  <conditionalFormatting sqref="N219:Q221 N224:N226 N229:N230 N234 N238 N241 N243 N245 N247:N248 N251">
    <cfRule type="containsText" dxfId="2" priority="40892" operator="containsText" text="Yes">
      <formula>NOT(ISERROR(SEARCH(("Yes"),(N219))))</formula>
    </cfRule>
  </conditionalFormatting>
  <conditionalFormatting sqref="N219:Q221 N224:N226 N229:N230 N234 N238 N241 N243 N245 N247:N248 N251">
    <cfRule type="containsText" dxfId="2" priority="40893" operator="containsText" text="Yes">
      <formula>NOT(ISERROR(SEARCH(("Yes"),(N219))))</formula>
    </cfRule>
  </conditionalFormatting>
  <conditionalFormatting sqref="N219:Q221 N224:N226 N229:N230 N234 N238 N241 N243 N245 N247:N248 N251">
    <cfRule type="containsText" dxfId="2" priority="40894" operator="containsText" text="Yes">
      <formula>NOT(ISERROR(SEARCH(("Yes"),(N219))))</formula>
    </cfRule>
  </conditionalFormatting>
  <conditionalFormatting sqref="N219:Q221 N224:N226 N229:N230 N234 N238 N241 N243 N245 N247:N248 N251">
    <cfRule type="containsText" dxfId="2" priority="40895" operator="containsText" text="Yes">
      <formula>NOT(ISERROR(SEARCH(("Yes"),(N219))))</formula>
    </cfRule>
  </conditionalFormatting>
  <conditionalFormatting sqref="N219:Q221 N224:N226 N229:N230 N234 N238 N241 N243 N245 N247:N248 N251">
    <cfRule type="containsText" dxfId="2" priority="40896" operator="containsText" text="Yes">
      <formula>NOT(ISERROR(SEARCH(("Yes"),(N219))))</formula>
    </cfRule>
  </conditionalFormatting>
  <conditionalFormatting sqref="N219:Q221 N224:N226 N229:N230 N234 N238 N241 N243 N245 N247:N248 N251">
    <cfRule type="containsText" dxfId="2" priority="40897" operator="containsText" text="Yes">
      <formula>NOT(ISERROR(SEARCH(("Yes"),(N219))))</formula>
    </cfRule>
  </conditionalFormatting>
  <conditionalFormatting sqref="N219:Q221 N224:N226 N229:N230 N234 N238 N241 N243 N245 N247:N248 N251">
    <cfRule type="containsText" dxfId="2" priority="40898" operator="containsText" text="Yes">
      <formula>NOT(ISERROR(SEARCH(("Yes"),(N219))))</formula>
    </cfRule>
  </conditionalFormatting>
  <conditionalFormatting sqref="N219:Q221 N224:N226 N229:N230 N234 N238 N241 N243 N245 N247:N248 N251">
    <cfRule type="containsText" dxfId="2" priority="40899" operator="containsText" text="Yes">
      <formula>NOT(ISERROR(SEARCH(("Yes"),(N219))))</formula>
    </cfRule>
  </conditionalFormatting>
  <conditionalFormatting sqref="N219:Q221 N224:N226 N229:N230 N234 N238 N241 N243 N245 N247:N248 N251">
    <cfRule type="containsText" dxfId="2" priority="40900" operator="containsText" text="Yes">
      <formula>NOT(ISERROR(SEARCH(("Yes"),(N219))))</formula>
    </cfRule>
  </conditionalFormatting>
  <conditionalFormatting sqref="N219:Q221 N224:N226 N229:N230 N234 N238 N241 N243 N245 N247:N248 N251">
    <cfRule type="containsText" dxfId="2" priority="40901" operator="containsText" text="Yes">
      <formula>NOT(ISERROR(SEARCH(("Yes"),(N219))))</formula>
    </cfRule>
  </conditionalFormatting>
  <conditionalFormatting sqref="N219:Q221 N224:N226 N229:N230 N234 N238 N241 N243 N245 N247:N248 N251">
    <cfRule type="containsText" dxfId="2" priority="40902" operator="containsText" text="Yes">
      <formula>NOT(ISERROR(SEARCH(("Yes"),(N219))))</formula>
    </cfRule>
  </conditionalFormatting>
  <conditionalFormatting sqref="N219:Q221 N224:N226 N229:N230 N234 N238 N241 N243 N245 N247:N248 N251">
    <cfRule type="containsText" dxfId="2" priority="40903" operator="containsText" text="Yes">
      <formula>NOT(ISERROR(SEARCH(("Yes"),(N219))))</formula>
    </cfRule>
  </conditionalFormatting>
  <conditionalFormatting sqref="N219:Q221 N224:N226 N229:N230 N234 N238 N241 N243 N245 N247:N248 N251">
    <cfRule type="containsText" dxfId="2" priority="40904" operator="containsText" text="Yes">
      <formula>NOT(ISERROR(SEARCH(("Yes"),(N219))))</formula>
    </cfRule>
  </conditionalFormatting>
  <conditionalFormatting sqref="N219:Q221 N224:N226 N229:N230 N234 N238 N241 N243 N245 N247:N248 N251">
    <cfRule type="containsText" dxfId="2" priority="40905" operator="containsText" text="Yes">
      <formula>NOT(ISERROR(SEARCH(("Yes"),(N219))))</formula>
    </cfRule>
  </conditionalFormatting>
  <conditionalFormatting sqref="N219:Q221 N224:N226 N229:N230 N234 N238 N241 N243 N245 N247:N248 N251">
    <cfRule type="containsText" dxfId="2" priority="40906" operator="containsText" text="Yes">
      <formula>NOT(ISERROR(SEARCH(("Yes"),(N219))))</formula>
    </cfRule>
  </conditionalFormatting>
  <conditionalFormatting sqref="N219:Q221 N224:N226 N229:N230 N234 N238 N241 N243 N245 N247:N248 N251">
    <cfRule type="containsText" dxfId="2" priority="40907" operator="containsText" text="Yes">
      <formula>NOT(ISERROR(SEARCH(("Yes"),(N219))))</formula>
    </cfRule>
  </conditionalFormatting>
  <conditionalFormatting sqref="N219:Q221 N224:N226 N229:N230 N234 N238 N241 N243 N245 N247:N248 N251">
    <cfRule type="containsText" dxfId="2" priority="40908" operator="containsText" text="Yes">
      <formula>NOT(ISERROR(SEARCH(("Yes"),(N219))))</formula>
    </cfRule>
  </conditionalFormatting>
  <conditionalFormatting sqref="N219:Q221 N224:N226 N229:N230 N234 N238 N241 N243 N245 N247:N248 N251">
    <cfRule type="containsText" dxfId="2" priority="40909" operator="containsText" text="Yes">
      <formula>NOT(ISERROR(SEARCH(("Yes"),(N219))))</formula>
    </cfRule>
  </conditionalFormatting>
  <conditionalFormatting sqref="N219:Q221 N224:N226 N229:N230 N234 N238 N241 N243 N245 N247:N248 N251">
    <cfRule type="containsText" dxfId="2" priority="40910" operator="containsText" text="Yes">
      <formula>NOT(ISERROR(SEARCH(("Yes"),(N219))))</formula>
    </cfRule>
  </conditionalFormatting>
  <conditionalFormatting sqref="N220:Q221 N224:N226 N229:N230 N234 N238 N241 N243 N245 N247:N248 N251">
    <cfRule type="containsText" dxfId="9" priority="40911" operator="containsText" text="No">
      <formula>NOT(ISERROR(SEARCH(("No"),(N220))))</formula>
    </cfRule>
  </conditionalFormatting>
  <conditionalFormatting sqref="N220:Q221 N224:N226 N229:N230 N234 N238 N241 N243 N245 N247:N248 N251">
    <cfRule type="containsText" dxfId="9" priority="40912" operator="containsText" text="No">
      <formula>NOT(ISERROR(SEARCH(("No"),(N220))))</formula>
    </cfRule>
  </conditionalFormatting>
  <conditionalFormatting sqref="N220:Q221 N224:N226 N229:N230 N234 N238 N241 N243 N245 N247:N248 N251">
    <cfRule type="containsText" dxfId="9" priority="40913" operator="containsText" text="No">
      <formula>NOT(ISERROR(SEARCH(("No"),(N220))))</formula>
    </cfRule>
  </conditionalFormatting>
  <conditionalFormatting sqref="N220:Q221 N224:N226 N229:N230 N234 N238 N241 N243 N245 N247:N248 N251">
    <cfRule type="containsText" dxfId="9" priority="40914" operator="containsText" text="No">
      <formula>NOT(ISERROR(SEARCH(("No"),(N220))))</formula>
    </cfRule>
  </conditionalFormatting>
  <conditionalFormatting sqref="N220:Q221 N224:N226 N229:N230 N234 N238 N241 N243 N245 N247:N248 N251">
    <cfRule type="containsText" dxfId="9" priority="40915" operator="containsText" text="No">
      <formula>NOT(ISERROR(SEARCH(("No"),(N220))))</formula>
    </cfRule>
  </conditionalFormatting>
  <conditionalFormatting sqref="N220:Q221 N224:N226 N229:N230 N234 N238 N241 N243 N245 N247:N248 N251">
    <cfRule type="containsText" dxfId="9" priority="40916" operator="containsText" text="No">
      <formula>NOT(ISERROR(SEARCH(("No"),(N220))))</formula>
    </cfRule>
  </conditionalFormatting>
  <conditionalFormatting sqref="N220:Q221 N224:N226 N229:N230 N234 N238 N241 N243 N245 N247:N248 N251">
    <cfRule type="containsText" dxfId="9" priority="40917" operator="containsText" text="No">
      <formula>NOT(ISERROR(SEARCH(("No"),(N220))))</formula>
    </cfRule>
  </conditionalFormatting>
  <conditionalFormatting sqref="N220:Q221 N224:N226 N229:N230 N234 N238 N241 N243 N245 N247:N248 N251">
    <cfRule type="containsText" dxfId="9" priority="40918" operator="containsText" text="No">
      <formula>NOT(ISERROR(SEARCH(("No"),(N220))))</formula>
    </cfRule>
  </conditionalFormatting>
  <conditionalFormatting sqref="N220:Q221 N224:N226 N229:N230 N234 N238 N241 N243 N245 N247:N248 N251">
    <cfRule type="containsText" dxfId="9" priority="40919" operator="containsText" text="No">
      <formula>NOT(ISERROR(SEARCH(("No"),(N220))))</formula>
    </cfRule>
  </conditionalFormatting>
  <conditionalFormatting sqref="N220:Q221 N224:N226 N229:N230 N234 N238 N241 N243 N245 N247:N248 N251">
    <cfRule type="containsText" dxfId="9" priority="40920" operator="containsText" text="No">
      <formula>NOT(ISERROR(SEARCH(("No"),(N220))))</formula>
    </cfRule>
  </conditionalFormatting>
  <conditionalFormatting sqref="N220:Q221 N224:N226 N229:N230 N234 N238 N241 N243 N245 N247:N248 N251">
    <cfRule type="containsText" dxfId="9" priority="40921" operator="containsText" text="No">
      <formula>NOT(ISERROR(SEARCH(("No"),(N220))))</formula>
    </cfRule>
  </conditionalFormatting>
  <conditionalFormatting sqref="N220:Q221 N224:N226 N229:N230 N234 N238 N241 N243 N245 N247:N248 N251">
    <cfRule type="containsText" dxfId="9" priority="40922" operator="containsText" text="No">
      <formula>NOT(ISERROR(SEARCH(("No"),(N220))))</formula>
    </cfRule>
  </conditionalFormatting>
  <conditionalFormatting sqref="N220:Q221 N224:N226 N229:N230 N234 N238 N241 N243 N245 N247:N248 N251">
    <cfRule type="containsText" dxfId="9" priority="40923" operator="containsText" text="No">
      <formula>NOT(ISERROR(SEARCH(("No"),(N220))))</formula>
    </cfRule>
  </conditionalFormatting>
  <conditionalFormatting sqref="N220:Q221 N224:N226 N229:N230 N234 N238 N241 N243 N245 N247:N248 N251">
    <cfRule type="containsText" dxfId="9" priority="40924" operator="containsText" text="No">
      <formula>NOT(ISERROR(SEARCH(("No"),(N220))))</formula>
    </cfRule>
  </conditionalFormatting>
  <conditionalFormatting sqref="N220:Q221 N224:N226 N229:N230 N234 N238 N241 N243 N245 N247:N248 N251">
    <cfRule type="containsText" dxfId="9" priority="40925" operator="containsText" text="No">
      <formula>NOT(ISERROR(SEARCH(("No"),(N220))))</formula>
    </cfRule>
  </conditionalFormatting>
  <conditionalFormatting sqref="N220:Q221 N224:N226 N229:N230 N234 N238 N241 N243 N245 N247:N248 N251">
    <cfRule type="containsText" dxfId="9" priority="40926" operator="containsText" text="No">
      <formula>NOT(ISERROR(SEARCH(("No"),(N220))))</formula>
    </cfRule>
  </conditionalFormatting>
  <conditionalFormatting sqref="N220:Q221 N224:N226 N229:N230 N234 N238 N241 N243 N245 N247:N248 N251">
    <cfRule type="containsText" dxfId="9" priority="40927" operator="containsText" text="No">
      <formula>NOT(ISERROR(SEARCH(("No"),(N220))))</formula>
    </cfRule>
  </conditionalFormatting>
  <conditionalFormatting sqref="N220:Q221 N224:N226 N229:N230 N234 N238 N241 N243 N245 N247:N248 N251">
    <cfRule type="containsText" dxfId="9" priority="40928" operator="containsText" text="No">
      <formula>NOT(ISERROR(SEARCH(("No"),(N220))))</formula>
    </cfRule>
  </conditionalFormatting>
  <conditionalFormatting sqref="N220:Q221 N224:N226 N229:N230 N234 N238 N241 N243 N245 N247:N248 N251">
    <cfRule type="containsText" dxfId="9" priority="40929" operator="containsText" text="No">
      <formula>NOT(ISERROR(SEARCH(("No"),(N220))))</formula>
    </cfRule>
  </conditionalFormatting>
  <conditionalFormatting sqref="N220:Q221 N224:N226 N229:N230 N234 N238 N241 N243 N245 N247:N248 N251">
    <cfRule type="containsText" dxfId="9" priority="40930" operator="containsText" text="No">
      <formula>NOT(ISERROR(SEARCH(("No"),(N220))))</formula>
    </cfRule>
  </conditionalFormatting>
  <conditionalFormatting sqref="N220:Q221 N224:N226 N229:N230 N234 N238 N241 N243 N245 N247:N248 N251">
    <cfRule type="containsText" dxfId="9" priority="40931" operator="containsText" text="No">
      <formula>NOT(ISERROR(SEARCH(("No"),(N220))))</formula>
    </cfRule>
  </conditionalFormatting>
  <conditionalFormatting sqref="N220:Q221 N224:N226 N229:N230 N234 N238 N241 N243 N245 N247:N248 N251">
    <cfRule type="containsText" dxfId="9" priority="40932" operator="containsText" text="No">
      <formula>NOT(ISERROR(SEARCH(("No"),(N220))))</formula>
    </cfRule>
  </conditionalFormatting>
  <conditionalFormatting sqref="N220:Q221 N224:N226 N229:N230 N234 N238 N241 N243 N245 N247:N248 N251">
    <cfRule type="containsText" dxfId="9" priority="40933" operator="containsText" text="No">
      <formula>NOT(ISERROR(SEARCH(("No"),(N220))))</formula>
    </cfRule>
  </conditionalFormatting>
  <conditionalFormatting sqref="N220:Q221 N224:N226 N229:N230 N234 N238 N241 N243 N245 N247:N248 N251">
    <cfRule type="containsText" dxfId="9" priority="40934" operator="containsText" text="No">
      <formula>NOT(ISERROR(SEARCH(("No"),(N220))))</formula>
    </cfRule>
  </conditionalFormatting>
  <conditionalFormatting sqref="N220:Q221 N224:N226 N229:N230 N234 N238 N241 N243 N245 N247:N248 N251">
    <cfRule type="containsText" dxfId="9" priority="40935" operator="containsText" text="No">
      <formula>NOT(ISERROR(SEARCH(("No"),(N220))))</formula>
    </cfRule>
  </conditionalFormatting>
  <conditionalFormatting sqref="N220:Q221 N224:N226 N229:N230 N234 N238 N241 N243 N245 N247:N248 N251">
    <cfRule type="containsText" dxfId="9" priority="40936" operator="containsText" text="No">
      <formula>NOT(ISERROR(SEARCH(("No"),(N220))))</formula>
    </cfRule>
  </conditionalFormatting>
  <conditionalFormatting sqref="N220:Q221 N224:N226 N229:N230 N234 N238 N241 N243 N245 N247:N248 N251">
    <cfRule type="containsText" dxfId="9" priority="40937" operator="containsText" text="No">
      <formula>NOT(ISERROR(SEARCH(("No"),(N220))))</formula>
    </cfRule>
  </conditionalFormatting>
  <conditionalFormatting sqref="N220:Q221 N224:N226 N229:N230 N234 N238 N241 N243 N245 N247:N248 N251">
    <cfRule type="containsText" dxfId="9" priority="40938" operator="containsText" text="No">
      <formula>NOT(ISERROR(SEARCH(("No"),(N220))))</formula>
    </cfRule>
  </conditionalFormatting>
  <conditionalFormatting sqref="N220:Q221 N224:N226 N229:N230 N234 N238 N241 N243 N245 N247:N248 N251">
    <cfRule type="containsText" dxfId="9" priority="40939" operator="containsText" text="No">
      <formula>NOT(ISERROR(SEARCH(("No"),(N220))))</formula>
    </cfRule>
  </conditionalFormatting>
  <conditionalFormatting sqref="N220:Q221 N224:N226 N229:N230 N234 N238 N241 N243 N245 N247:N248 N251">
    <cfRule type="containsText" dxfId="9" priority="40940" operator="containsText" text="No">
      <formula>NOT(ISERROR(SEARCH(("No"),(N220))))</formula>
    </cfRule>
  </conditionalFormatting>
  <conditionalFormatting sqref="N220:Q221 N224:N226 N229:N230 N234 N238 N241 N243 N245 N247:N248 N251">
    <cfRule type="containsText" dxfId="9" priority="40941" operator="containsText" text="No">
      <formula>NOT(ISERROR(SEARCH(("No"),(N220))))</formula>
    </cfRule>
  </conditionalFormatting>
  <conditionalFormatting sqref="N220:Q221 N224:N226 N229:N230 N234 N238 N241 N243 N245 N247:N248 N251">
    <cfRule type="containsText" dxfId="9" priority="40942" operator="containsText" text="No">
      <formula>NOT(ISERROR(SEARCH(("No"),(N220))))</formula>
    </cfRule>
  </conditionalFormatting>
  <conditionalFormatting sqref="N220:Q221 N224:N226 N229:N230 N234 N238 N241 N243 N245 N247:N248 N251">
    <cfRule type="containsText" dxfId="9" priority="40943" operator="containsText" text="No">
      <formula>NOT(ISERROR(SEARCH(("No"),(N220))))</formula>
    </cfRule>
  </conditionalFormatting>
  <conditionalFormatting sqref="N220:Q221 N224:N226 N229:N230 N234 N238 N241 N243 N245 N247:N248 N251">
    <cfRule type="containsText" dxfId="9" priority="40944" operator="containsText" text="No">
      <formula>NOT(ISERROR(SEARCH(("No"),(N220))))</formula>
    </cfRule>
  </conditionalFormatting>
  <conditionalFormatting sqref="N220:Q221 N224:N226 N229:N230 N234 N238 N241 N243 N245 N247:N248 N251">
    <cfRule type="containsText" dxfId="9" priority="40945" operator="containsText" text="No">
      <formula>NOT(ISERROR(SEARCH(("No"),(N220))))</formula>
    </cfRule>
  </conditionalFormatting>
  <conditionalFormatting sqref="N220:Q221 N224:N226 N229:N230 N234 N238 N241 N243 N245 N247:N248 N251">
    <cfRule type="containsText" dxfId="9" priority="40946" operator="containsText" text="No">
      <formula>NOT(ISERROR(SEARCH(("No"),(N220))))</formula>
    </cfRule>
  </conditionalFormatting>
  <conditionalFormatting sqref="N220:Q221 N224:N226 N229:N230 N234 N238 N241 N243 N245 N247:N248 N251">
    <cfRule type="containsText" dxfId="9" priority="40947" operator="containsText" text="No">
      <formula>NOT(ISERROR(SEARCH(("No"),(N220))))</formula>
    </cfRule>
  </conditionalFormatting>
  <conditionalFormatting sqref="N220:Q221 N224:N226 N229:N230 N234 N238 N241 N243 N245 N247:N248 N251">
    <cfRule type="containsText" dxfId="9" priority="40948" operator="containsText" text="No">
      <formula>NOT(ISERROR(SEARCH(("No"),(N220))))</formula>
    </cfRule>
  </conditionalFormatting>
  <conditionalFormatting sqref="N220:Q221 N224:N226 N229:N230 N234 N238 N241 N243 N245 N247:N248 N251">
    <cfRule type="containsText" dxfId="9" priority="40949" operator="containsText" text="No">
      <formula>NOT(ISERROR(SEARCH(("No"),(N220))))</formula>
    </cfRule>
  </conditionalFormatting>
  <conditionalFormatting sqref="N220:Q221 N224:N226 N229:N230 N234 N238 N241 N243 N245 N247:N248 N251">
    <cfRule type="containsText" dxfId="9" priority="40950" operator="containsText" text="No">
      <formula>NOT(ISERROR(SEARCH(("No"),(N220))))</formula>
    </cfRule>
  </conditionalFormatting>
  <conditionalFormatting sqref="N220:Q221 N224:N226 N229:N230 N234 N238 N241 N243 N245 N247:N248 N251">
    <cfRule type="containsText" dxfId="9" priority="40951" operator="containsText" text="No">
      <formula>NOT(ISERROR(SEARCH(("No"),(N220))))</formula>
    </cfRule>
  </conditionalFormatting>
  <conditionalFormatting sqref="N220:Q221 N224:N226 N229:N230 N234 N238 N241 N243 N245 N247:N248 N251">
    <cfRule type="containsText" dxfId="9" priority="40952" operator="containsText" text="No">
      <formula>NOT(ISERROR(SEARCH(("No"),(N220))))</formula>
    </cfRule>
  </conditionalFormatting>
  <conditionalFormatting sqref="N220:Q221 N224:N226 N229:N230 N234 N238 N241 N243 N245 N247:N248 N251">
    <cfRule type="containsText" dxfId="9" priority="40953" operator="containsText" text="No">
      <formula>NOT(ISERROR(SEARCH(("No"),(N220))))</formula>
    </cfRule>
  </conditionalFormatting>
  <conditionalFormatting sqref="N220:Q221 N224:N226 N229:N230 N234 N238 N241 N243 N245 N247:N248 N251">
    <cfRule type="containsText" dxfId="9" priority="40954" operator="containsText" text="No">
      <formula>NOT(ISERROR(SEARCH(("No"),(N220))))</formula>
    </cfRule>
  </conditionalFormatting>
  <conditionalFormatting sqref="N220:Q221 N224:N226 N229:N230 N234 N238 N241 N243 N245 N247:N248 N251">
    <cfRule type="containsText" dxfId="9" priority="40955" operator="containsText" text="No">
      <formula>NOT(ISERROR(SEARCH(("No"),(N220))))</formula>
    </cfRule>
  </conditionalFormatting>
  <conditionalFormatting sqref="N220:Q221 N224:N226 N229:N230 N234 N238 N241 N243 N245 N247:N248 N251">
    <cfRule type="containsText" dxfId="2" priority="40956" operator="containsText" text="Yes">
      <formula>NOT(ISERROR(SEARCH(("Yes"),(N220))))</formula>
    </cfRule>
  </conditionalFormatting>
  <conditionalFormatting sqref="N220:Q221 N224:N226 N229:N230 N234 N238 N241 N243 N245 N247:N248 N251">
    <cfRule type="containsText" dxfId="2" priority="40957" operator="containsText" text="Yes">
      <formula>NOT(ISERROR(SEARCH(("Yes"),(N220))))</formula>
    </cfRule>
  </conditionalFormatting>
  <conditionalFormatting sqref="N220:Q221 N224:N226 N229:N230 N234 N238 N241 N243 N245 N247:N248 N251">
    <cfRule type="containsText" dxfId="2" priority="40958" operator="containsText" text="Yes">
      <formula>NOT(ISERROR(SEARCH(("Yes"),(N220))))</formula>
    </cfRule>
  </conditionalFormatting>
  <conditionalFormatting sqref="N220:Q221 N224:N226 N229:N230 N234 N238 N241 N243 N245 N247:N248 N251">
    <cfRule type="containsText" dxfId="2" priority="40959" operator="containsText" text="Yes">
      <formula>NOT(ISERROR(SEARCH(("Yes"),(N220))))</formula>
    </cfRule>
  </conditionalFormatting>
  <conditionalFormatting sqref="N220:Q221 N224:N226 N229:N230 N234 N238 N241 N243 N245 N247:N248 N251">
    <cfRule type="containsText" dxfId="2" priority="40960" operator="containsText" text="Yes">
      <formula>NOT(ISERROR(SEARCH(("Yes"),(N220))))</formula>
    </cfRule>
  </conditionalFormatting>
  <conditionalFormatting sqref="N220:Q221 N224:N226 N229:N230 N234 N238 N241 N243 N245 N247:N248 N251">
    <cfRule type="containsText" dxfId="2" priority="40961" operator="containsText" text="Yes">
      <formula>NOT(ISERROR(SEARCH(("Yes"),(N220))))</formula>
    </cfRule>
  </conditionalFormatting>
  <conditionalFormatting sqref="N220:Q221 N224:N226 N229:N230 N234 N238 N241 N243 N245 N247:N248 N251">
    <cfRule type="containsText" dxfId="2" priority="40962" operator="containsText" text="Yes">
      <formula>NOT(ISERROR(SEARCH(("Yes"),(N220))))</formula>
    </cfRule>
  </conditionalFormatting>
  <conditionalFormatting sqref="N220:Q221 N224:N226 N229:N230 N234 N238 N241 N243 N245 N247:N248 N251">
    <cfRule type="containsText" dxfId="2" priority="40963" operator="containsText" text="Yes">
      <formula>NOT(ISERROR(SEARCH(("Yes"),(N220))))</formula>
    </cfRule>
  </conditionalFormatting>
  <conditionalFormatting sqref="N220:Q221 N224:N226 N229:N230 N234 N238 N241 N243 N245 N247:N248 N251">
    <cfRule type="containsText" dxfId="2" priority="40964" operator="containsText" text="Yes">
      <formula>NOT(ISERROR(SEARCH(("Yes"),(N220))))</formula>
    </cfRule>
  </conditionalFormatting>
  <conditionalFormatting sqref="N220:Q221 N224:N226 N229:N230 N234 N238 N241 N243 N245 N247:N248 N251">
    <cfRule type="containsText" dxfId="2" priority="40965" operator="containsText" text="Yes">
      <formula>NOT(ISERROR(SEARCH(("Yes"),(N220))))</formula>
    </cfRule>
  </conditionalFormatting>
  <conditionalFormatting sqref="N220:Q221 N224:N226 N229:N230 N234 N238 N241 N243 N245 N247:N248 N251">
    <cfRule type="containsText" dxfId="2" priority="40966" operator="containsText" text="Yes">
      <formula>NOT(ISERROR(SEARCH(("Yes"),(N220))))</formula>
    </cfRule>
  </conditionalFormatting>
  <conditionalFormatting sqref="N220:Q221 N224:N226 N229:N230 N234 N238 N241 N243 N245 N247:N248 N251">
    <cfRule type="containsText" dxfId="2" priority="40967" operator="containsText" text="Yes">
      <formula>NOT(ISERROR(SEARCH(("Yes"),(N220))))</formula>
    </cfRule>
  </conditionalFormatting>
  <conditionalFormatting sqref="N220:Q221 N224:N226 N229:N230 N234 N238 N241 N243 N245 N247:N248 N251">
    <cfRule type="containsText" dxfId="2" priority="40968" operator="containsText" text="Yes">
      <formula>NOT(ISERROR(SEARCH(("Yes"),(N220))))</formula>
    </cfRule>
  </conditionalFormatting>
  <conditionalFormatting sqref="N220:Q221 N224:N226 N229:N230 N234 N238 N241 N243 N245 N247:N248 N251">
    <cfRule type="containsText" dxfId="2" priority="40969" operator="containsText" text="Yes">
      <formula>NOT(ISERROR(SEARCH(("Yes"),(N220))))</formula>
    </cfRule>
  </conditionalFormatting>
  <conditionalFormatting sqref="N220:Q221 N224:N226 N229:N230 N234 N238 N241 N243 N245 N247:N248 N251">
    <cfRule type="containsText" dxfId="2" priority="40970" operator="containsText" text="Yes">
      <formula>NOT(ISERROR(SEARCH(("Yes"),(N220))))</formula>
    </cfRule>
  </conditionalFormatting>
  <conditionalFormatting sqref="N220:Q221 N224:N226 N229:N230 N234 N238 N241 N243 N245 N247:N248 N251">
    <cfRule type="containsText" dxfId="2" priority="40971" operator="containsText" text="Yes">
      <formula>NOT(ISERROR(SEARCH(("Yes"),(N220))))</formula>
    </cfRule>
  </conditionalFormatting>
  <conditionalFormatting sqref="N220:Q221 N224:N226 N229:N230 N234 N238 N241 N243 N245 N247:N248 N251">
    <cfRule type="containsText" dxfId="2" priority="40972" operator="containsText" text="Yes">
      <formula>NOT(ISERROR(SEARCH(("Yes"),(N220))))</formula>
    </cfRule>
  </conditionalFormatting>
  <conditionalFormatting sqref="N220:Q221 N224:N226 N229:N230 N234 N238 N241 N243 N245 N247:N248 N251">
    <cfRule type="containsText" dxfId="2" priority="40973" operator="containsText" text="Yes">
      <formula>NOT(ISERROR(SEARCH(("Yes"),(N220))))</formula>
    </cfRule>
  </conditionalFormatting>
  <conditionalFormatting sqref="N220:Q221 N224:N226 N229:N230 N234 N238 N241 N243 N245 N247:N248 N251">
    <cfRule type="containsText" dxfId="2" priority="40974" operator="containsText" text="Yes">
      <formula>NOT(ISERROR(SEARCH(("Yes"),(N220))))</formula>
    </cfRule>
  </conditionalFormatting>
  <conditionalFormatting sqref="N220:Q221 N224:N226 N229:N230 N234 N238 N241 N243 N245 N247:N248 N251">
    <cfRule type="containsText" dxfId="2" priority="40975" operator="containsText" text="Yes">
      <formula>NOT(ISERROR(SEARCH(("Yes"),(N220))))</formula>
    </cfRule>
  </conditionalFormatting>
  <conditionalFormatting sqref="N220:Q221 N224:N226 N229:N230 N234 N238 N241 N243 N245 N247:N248 N251">
    <cfRule type="containsText" dxfId="2" priority="40976" operator="containsText" text="Yes">
      <formula>NOT(ISERROR(SEARCH(("Yes"),(N220))))</formula>
    </cfRule>
  </conditionalFormatting>
  <conditionalFormatting sqref="N220:Q221 N224:N226 N229:N230 N234 N238 N241 N243 N245 N247:N248 N251">
    <cfRule type="containsText" dxfId="2" priority="40977" operator="containsText" text="Yes">
      <formula>NOT(ISERROR(SEARCH(("Yes"),(N220))))</formula>
    </cfRule>
  </conditionalFormatting>
  <conditionalFormatting sqref="N220:Q221 N224:N226 N229:N230 N234 N238 N241 N243 N245 N247:N248 N251">
    <cfRule type="containsText" dxfId="2" priority="40978" operator="containsText" text="Yes">
      <formula>NOT(ISERROR(SEARCH(("Yes"),(N220))))</formula>
    </cfRule>
  </conditionalFormatting>
  <conditionalFormatting sqref="N220:Q221 N224:N226 N229:N230 N234 N238 N241 N243 N245 N247:N248 N251">
    <cfRule type="containsText" dxfId="2" priority="40979" operator="containsText" text="Yes">
      <formula>NOT(ISERROR(SEARCH(("Yes"),(N220))))</formula>
    </cfRule>
  </conditionalFormatting>
  <conditionalFormatting sqref="N220:Q221 N224:N226 N229:N230 N234 N238 N241 N243 N245 N247:N248 N251">
    <cfRule type="containsText" dxfId="2" priority="40980" operator="containsText" text="Yes">
      <formula>NOT(ISERROR(SEARCH(("Yes"),(N220))))</formula>
    </cfRule>
  </conditionalFormatting>
  <conditionalFormatting sqref="N220:Q221 N224:N226 N229:N230 N234 N238 N241 N243 N245 N247:N248 N251">
    <cfRule type="containsText" dxfId="2" priority="40981" operator="containsText" text="Yes">
      <formula>NOT(ISERROR(SEARCH(("Yes"),(N220))))</formula>
    </cfRule>
  </conditionalFormatting>
  <conditionalFormatting sqref="N220:Q221 N224:N226 N229:N230 N234 N238 N241 N243 N245 N247:N248 N251">
    <cfRule type="containsText" dxfId="2" priority="40982" operator="containsText" text="Yes">
      <formula>NOT(ISERROR(SEARCH(("Yes"),(N220))))</formula>
    </cfRule>
  </conditionalFormatting>
  <conditionalFormatting sqref="N220:Q221 N224:N226 N229:N230 N234 N238 N241 N243 N245 N247:N248 N251">
    <cfRule type="containsText" dxfId="2" priority="40983" operator="containsText" text="Yes">
      <formula>NOT(ISERROR(SEARCH(("Yes"),(N220))))</formula>
    </cfRule>
  </conditionalFormatting>
  <conditionalFormatting sqref="N220:Q221 N224:N226 N229:N230 N234 N238 N241 N243 N245 N247:N248 N251">
    <cfRule type="containsText" dxfId="2" priority="40984" operator="containsText" text="Yes">
      <formula>NOT(ISERROR(SEARCH(("Yes"),(N220))))</formula>
    </cfRule>
  </conditionalFormatting>
  <conditionalFormatting sqref="N220:Q221 N224:N226 N229:N230 N234 N238 N241 N243 N245 N247:N248 N251">
    <cfRule type="containsText" dxfId="2" priority="40985" operator="containsText" text="Yes">
      <formula>NOT(ISERROR(SEARCH(("Yes"),(N220))))</formula>
    </cfRule>
  </conditionalFormatting>
  <conditionalFormatting sqref="N220:Q221 N224:N226 N229:N230 N234 N238 N241 N243 N245 N247:N248 N251">
    <cfRule type="containsText" dxfId="2" priority="40986" operator="containsText" text="Yes">
      <formula>NOT(ISERROR(SEARCH(("Yes"),(N220))))</formula>
    </cfRule>
  </conditionalFormatting>
  <conditionalFormatting sqref="N220:Q221 N224:N226 N229:N230 N234 N238 N241 N243 N245 N247:N248 N251">
    <cfRule type="containsText" dxfId="2" priority="40987" operator="containsText" text="Yes">
      <formula>NOT(ISERROR(SEARCH(("Yes"),(N220))))</formula>
    </cfRule>
  </conditionalFormatting>
  <conditionalFormatting sqref="N220:Q221 N224:N226 N229:N230 N234 N238 N241 N243 N245 N247:N248 N251">
    <cfRule type="containsText" dxfId="2" priority="40988" operator="containsText" text="Yes">
      <formula>NOT(ISERROR(SEARCH(("Yes"),(N220))))</formula>
    </cfRule>
  </conditionalFormatting>
  <conditionalFormatting sqref="N220:Q221 N224:N226 N229:N230 N234 N238 N241 N243 N245 N247:N248 N251">
    <cfRule type="containsText" dxfId="2" priority="40989" operator="containsText" text="Yes">
      <formula>NOT(ISERROR(SEARCH(("Yes"),(N220))))</formula>
    </cfRule>
  </conditionalFormatting>
  <conditionalFormatting sqref="N220:Q221 N224:N226 N229:N230 N234 N238 N241 N243 N245 N247:N248 N251">
    <cfRule type="containsText" dxfId="2" priority="40990" operator="containsText" text="Yes">
      <formula>NOT(ISERROR(SEARCH(("Yes"),(N220))))</formula>
    </cfRule>
  </conditionalFormatting>
  <conditionalFormatting sqref="N220:Q221 N224:N226 N229:N230 N234 N238 N241 N243 N245 N247:N248 N251">
    <cfRule type="containsText" dxfId="2" priority="40991" operator="containsText" text="Yes">
      <formula>NOT(ISERROR(SEARCH(("Yes"),(N220))))</formula>
    </cfRule>
  </conditionalFormatting>
  <conditionalFormatting sqref="N220:Q221 N224:N226 N229:N230 N234 N238 N241 N243 N245 N247:N248 N251">
    <cfRule type="containsText" dxfId="2" priority="40992" operator="containsText" text="Yes">
      <formula>NOT(ISERROR(SEARCH(("Yes"),(N220))))</formula>
    </cfRule>
  </conditionalFormatting>
  <conditionalFormatting sqref="N220:Q221 N224:N226 N229:N230 N234 N238 N241 N243 N245 N247:N248 N251">
    <cfRule type="containsText" dxfId="2" priority="40993" operator="containsText" text="Yes">
      <formula>NOT(ISERROR(SEARCH(("Yes"),(N220))))</formula>
    </cfRule>
  </conditionalFormatting>
  <conditionalFormatting sqref="N220:Q221 N224:N226 N229:N230 N234 N238 N241 N243 N245 N247:N248 N251">
    <cfRule type="containsText" dxfId="2" priority="40994" operator="containsText" text="Yes">
      <formula>NOT(ISERROR(SEARCH(("Yes"),(N220))))</formula>
    </cfRule>
  </conditionalFormatting>
  <conditionalFormatting sqref="N220:Q221 N224:N226 N229:N230 N234 N238 N241 N243 N245 N247:N248 N251">
    <cfRule type="containsText" dxfId="2" priority="40995" operator="containsText" text="Yes">
      <formula>NOT(ISERROR(SEARCH(("Yes"),(N220))))</formula>
    </cfRule>
  </conditionalFormatting>
  <conditionalFormatting sqref="N220:Q221 N224:N226 N229:N230 N234 N238 N241 N243 N245 N247:N248 N251">
    <cfRule type="containsText" dxfId="2" priority="40996" operator="containsText" text="Yes">
      <formula>NOT(ISERROR(SEARCH(("Yes"),(N220))))</formula>
    </cfRule>
  </conditionalFormatting>
  <conditionalFormatting sqref="N220:Q221 N224:N226 N229:N230 N234 N238 N241 N243 N245 N247:N248 N251">
    <cfRule type="containsText" dxfId="2" priority="40997" operator="containsText" text="Yes">
      <formula>NOT(ISERROR(SEARCH(("Yes"),(N220))))</formula>
    </cfRule>
  </conditionalFormatting>
  <conditionalFormatting sqref="N220:Q221 N224:N226 N229:N230 N234 N238 N241 N243 N245 N247:N248 N251">
    <cfRule type="containsText" dxfId="2" priority="40998" operator="containsText" text="Yes">
      <formula>NOT(ISERROR(SEARCH(("Yes"),(N220))))</formula>
    </cfRule>
  </conditionalFormatting>
  <conditionalFormatting sqref="N220:Q221 N224:N226 N229:N230 N234 N238 N241 N243 N245 N247:N248 N251">
    <cfRule type="containsText" dxfId="2" priority="40999" operator="containsText" text="Yes">
      <formula>NOT(ISERROR(SEARCH(("Yes"),(N220))))</formula>
    </cfRule>
  </conditionalFormatting>
  <conditionalFormatting sqref="N220:Q221 N224:N226 N229:N230 N234 N238 N241 N243 N245 N247:N248 N251">
    <cfRule type="containsText" dxfId="2" priority="41000" operator="containsText" text="Yes">
      <formula>NOT(ISERROR(SEARCH(("Yes"),(N220))))</formula>
    </cfRule>
  </conditionalFormatting>
  <conditionalFormatting sqref="N220:Q221 N224:N226 N229:N230 N234 N238 N241 N243 N245 N247:N248 N251">
    <cfRule type="containsText" dxfId="2" priority="41001" operator="containsText" text="Yes">
      <formula>NOT(ISERROR(SEARCH(("Yes"),(N220))))</formula>
    </cfRule>
  </conditionalFormatting>
  <conditionalFormatting sqref="N220:Q221 N224:N226 N229:N230 N234 N238 N241 N243 N245 N247:N248 N251">
    <cfRule type="containsText" dxfId="2" priority="41002" operator="containsText" text="Yes">
      <formula>NOT(ISERROR(SEARCH(("Yes"),(N220))))</formula>
    </cfRule>
  </conditionalFormatting>
  <conditionalFormatting sqref="N221:Q221 N224:N226 N229:N230 N234 N238 N241 N243 N245 N247:N248 N251">
    <cfRule type="containsText" dxfId="9" priority="41003" operator="containsText" text="No">
      <formula>NOT(ISERROR(SEARCH(("No"),(N221))))</formula>
    </cfRule>
  </conditionalFormatting>
  <conditionalFormatting sqref="N221:Q221 N224:N226 N229:N230 N234 N238 N241 N243 N245 N247:N248 N251">
    <cfRule type="containsText" dxfId="9" priority="41004" operator="containsText" text="No">
      <formula>NOT(ISERROR(SEARCH(("No"),(N221))))</formula>
    </cfRule>
  </conditionalFormatting>
  <conditionalFormatting sqref="N221:Q221 N224:N226 N229:N230 N234 N238 N241 N243 N245 N247:N248 N251">
    <cfRule type="containsText" dxfId="9" priority="41005" operator="containsText" text="No">
      <formula>NOT(ISERROR(SEARCH(("No"),(N221))))</formula>
    </cfRule>
  </conditionalFormatting>
  <conditionalFormatting sqref="N221:Q221 N224:N226 N229:N230 N234 N238 N241 N243 N245 N247:N248 N251">
    <cfRule type="containsText" dxfId="9" priority="41006" operator="containsText" text="No">
      <formula>NOT(ISERROR(SEARCH(("No"),(N221))))</formula>
    </cfRule>
  </conditionalFormatting>
  <conditionalFormatting sqref="N221:Q221 N224:N226 N229:N230 N234 N238 N241 N243 N245 N247:N248 N251">
    <cfRule type="containsText" dxfId="9" priority="41007" operator="containsText" text="No">
      <formula>NOT(ISERROR(SEARCH(("No"),(N221))))</formula>
    </cfRule>
  </conditionalFormatting>
  <conditionalFormatting sqref="N221:Q221 N224:N226 N229:N230 N234 N238 N241 N243 N245 N247:N248 N251">
    <cfRule type="containsText" dxfId="9" priority="41008" operator="containsText" text="No">
      <formula>NOT(ISERROR(SEARCH(("No"),(N221))))</formula>
    </cfRule>
  </conditionalFormatting>
  <conditionalFormatting sqref="N221:Q221 N224:N226 N229:N230 N234 N238 N241 N243 N245 N247:N248 N251">
    <cfRule type="containsText" dxfId="9" priority="41009" operator="containsText" text="No">
      <formula>NOT(ISERROR(SEARCH(("No"),(N221))))</formula>
    </cfRule>
  </conditionalFormatting>
  <conditionalFormatting sqref="N221:Q221 N224:N226 N229:N230 N234 N238 N241 N243 N245 N247:N248 N251">
    <cfRule type="containsText" dxfId="9" priority="41010" operator="containsText" text="No">
      <formula>NOT(ISERROR(SEARCH(("No"),(N221))))</formula>
    </cfRule>
  </conditionalFormatting>
  <conditionalFormatting sqref="N221:Q221 N224:N226 N229:N230 N234 N238 N241 N243 N245 N247:N248 N251">
    <cfRule type="containsText" dxfId="9" priority="41011" operator="containsText" text="No">
      <formula>NOT(ISERROR(SEARCH(("No"),(N221))))</formula>
    </cfRule>
  </conditionalFormatting>
  <conditionalFormatting sqref="N221:Q221 N224:N226 N229:N230 N234 N238 N241 N243 N245 N247:N248 N251">
    <cfRule type="containsText" dxfId="9" priority="41012" operator="containsText" text="No">
      <formula>NOT(ISERROR(SEARCH(("No"),(N221))))</formula>
    </cfRule>
  </conditionalFormatting>
  <conditionalFormatting sqref="N221:Q221 N224:N226 N229:N230 N234 N238 N241 N243 N245 N247:N248 N251">
    <cfRule type="containsText" dxfId="9" priority="41013" operator="containsText" text="No">
      <formula>NOT(ISERROR(SEARCH(("No"),(N221))))</formula>
    </cfRule>
  </conditionalFormatting>
  <conditionalFormatting sqref="N221:Q221 N224:N226 N229:N230 N234 N238 N241 N243 N245 N247:N248 N251">
    <cfRule type="containsText" dxfId="9" priority="41014" operator="containsText" text="No">
      <formula>NOT(ISERROR(SEARCH(("No"),(N221))))</formula>
    </cfRule>
  </conditionalFormatting>
  <conditionalFormatting sqref="N221:Q221 N224:N226 N229:N230 N234 N238 N241 N243 N245 N247:N248 N251">
    <cfRule type="containsText" dxfId="9" priority="41015" operator="containsText" text="No">
      <formula>NOT(ISERROR(SEARCH(("No"),(N221))))</formula>
    </cfRule>
  </conditionalFormatting>
  <conditionalFormatting sqref="N221:Q221 N224:N226 N229:N230 N234 N238 N241 N243 N245 N247:N248 N251">
    <cfRule type="containsText" dxfId="9" priority="41016" operator="containsText" text="No">
      <formula>NOT(ISERROR(SEARCH(("No"),(N221))))</formula>
    </cfRule>
  </conditionalFormatting>
  <conditionalFormatting sqref="N221:Q221 N224:N226 N229:N230 N234 N238 N241 N243 N245 N247:N248 N251">
    <cfRule type="containsText" dxfId="9" priority="41017" operator="containsText" text="No">
      <formula>NOT(ISERROR(SEARCH(("No"),(N221))))</formula>
    </cfRule>
  </conditionalFormatting>
  <conditionalFormatting sqref="N221:Q221 N224:N226 N229:N230 N234 N238 N241 N243 N245 N247:N248 N251">
    <cfRule type="containsText" dxfId="9" priority="41018" operator="containsText" text="No">
      <formula>NOT(ISERROR(SEARCH(("No"),(N221))))</formula>
    </cfRule>
  </conditionalFormatting>
  <conditionalFormatting sqref="N221:Q221 N224:N226 N229:N230 N234 N238 N241 N243 N245 N247:N248 N251">
    <cfRule type="containsText" dxfId="9" priority="41019" operator="containsText" text="No">
      <formula>NOT(ISERROR(SEARCH(("No"),(N221))))</formula>
    </cfRule>
  </conditionalFormatting>
  <conditionalFormatting sqref="N221:Q221 N224:N226 N229:N230 N234 N238 N241 N243 N245 N247:N248 N251">
    <cfRule type="containsText" dxfId="9" priority="41020" operator="containsText" text="No">
      <formula>NOT(ISERROR(SEARCH(("No"),(N221))))</formula>
    </cfRule>
  </conditionalFormatting>
  <conditionalFormatting sqref="N221:Q221 N224:N226 N229:N230 N234 N238 N241 N243 N245 N247:N248 N251">
    <cfRule type="containsText" dxfId="9" priority="41021" operator="containsText" text="No">
      <formula>NOT(ISERROR(SEARCH(("No"),(N221))))</formula>
    </cfRule>
  </conditionalFormatting>
  <conditionalFormatting sqref="N221:Q221 N224:N226 N229:N230 N234 N238 N241 N243 N245 N247:N248 N251">
    <cfRule type="containsText" dxfId="9" priority="41022" operator="containsText" text="No">
      <formula>NOT(ISERROR(SEARCH(("No"),(N221))))</formula>
    </cfRule>
  </conditionalFormatting>
  <conditionalFormatting sqref="N221:Q221 N224:N226 N229:N230 N234 N238 N241 N243 N245 N247:N248 N251">
    <cfRule type="containsText" dxfId="9" priority="41023" operator="containsText" text="No">
      <formula>NOT(ISERROR(SEARCH(("No"),(N221))))</formula>
    </cfRule>
  </conditionalFormatting>
  <conditionalFormatting sqref="N221:Q221 N224:N226 N229:N230 N234 N238 N241 N243 N245 N247:N248 N251">
    <cfRule type="containsText" dxfId="9" priority="41024" operator="containsText" text="No">
      <formula>NOT(ISERROR(SEARCH(("No"),(N221))))</formula>
    </cfRule>
  </conditionalFormatting>
  <conditionalFormatting sqref="N221:Q221 N224:N226 N229:N230 N234 N238 N241 N243 N245 N247:N248 N251">
    <cfRule type="containsText" dxfId="9" priority="41025" operator="containsText" text="No">
      <formula>NOT(ISERROR(SEARCH(("No"),(N221))))</formula>
    </cfRule>
  </conditionalFormatting>
  <conditionalFormatting sqref="N221:Q221 N224:N226 N229:N230 N234 N238 N241 N243 N245 N247:N248 N251">
    <cfRule type="containsText" dxfId="9" priority="41026" operator="containsText" text="No">
      <formula>NOT(ISERROR(SEARCH(("No"),(N221))))</formula>
    </cfRule>
  </conditionalFormatting>
  <conditionalFormatting sqref="N221:Q221 N224:N226 N229:N230 N234 N238 N241 N243 N245 N247:N248 N251">
    <cfRule type="containsText" dxfId="9" priority="41027" operator="containsText" text="No">
      <formula>NOT(ISERROR(SEARCH(("No"),(N221))))</formula>
    </cfRule>
  </conditionalFormatting>
  <conditionalFormatting sqref="N221:Q221 N224:N226 N229:N230 N234 N238 N241 N243 N245 N247:N248 N251">
    <cfRule type="containsText" dxfId="9" priority="41028" operator="containsText" text="No">
      <formula>NOT(ISERROR(SEARCH(("No"),(N221))))</formula>
    </cfRule>
  </conditionalFormatting>
  <conditionalFormatting sqref="N221:Q221 N224:N226 N229:N230 N234 N238 N241 N243 N245 N247:N248 N251">
    <cfRule type="containsText" dxfId="9" priority="41029" operator="containsText" text="No">
      <formula>NOT(ISERROR(SEARCH(("No"),(N221))))</formula>
    </cfRule>
  </conditionalFormatting>
  <conditionalFormatting sqref="N221:Q221 N224:N226 N229:N230 N234 N238 N241 N243 N245 N247:N248 N251">
    <cfRule type="containsText" dxfId="9" priority="41030" operator="containsText" text="No">
      <formula>NOT(ISERROR(SEARCH(("No"),(N221))))</formula>
    </cfRule>
  </conditionalFormatting>
  <conditionalFormatting sqref="N221:Q221 N224:N226 N229:N230 N234 N238 N241 N243 N245 N247:N248 N251">
    <cfRule type="containsText" dxfId="9" priority="41031" operator="containsText" text="No">
      <formula>NOT(ISERROR(SEARCH(("No"),(N221))))</formula>
    </cfRule>
  </conditionalFormatting>
  <conditionalFormatting sqref="N221:Q221 N224:N226 N229:N230 N234 N238 N241 N243 N245 N247:N248 N251">
    <cfRule type="containsText" dxfId="9" priority="41032" operator="containsText" text="No">
      <formula>NOT(ISERROR(SEARCH(("No"),(N221))))</formula>
    </cfRule>
  </conditionalFormatting>
  <conditionalFormatting sqref="N221:Q221 N224:N226 N229:N230 N234 N238 N241 N243 N245 N247:N248 N251">
    <cfRule type="containsText" dxfId="9" priority="41033" operator="containsText" text="No">
      <formula>NOT(ISERROR(SEARCH(("No"),(N221))))</formula>
    </cfRule>
  </conditionalFormatting>
  <conditionalFormatting sqref="N221:Q221 N224:N226 N229:N230 N234 N238 N241 N243 N245 N247:N248 N251">
    <cfRule type="containsText" dxfId="9" priority="41034" operator="containsText" text="No">
      <formula>NOT(ISERROR(SEARCH(("No"),(N221))))</formula>
    </cfRule>
  </conditionalFormatting>
  <conditionalFormatting sqref="N221:Q221 N224:N226 N229:N230 N234 N238 N241 N243 N245 N247:N248 N251">
    <cfRule type="containsText" dxfId="9" priority="41035" operator="containsText" text="No">
      <formula>NOT(ISERROR(SEARCH(("No"),(N221))))</formula>
    </cfRule>
  </conditionalFormatting>
  <conditionalFormatting sqref="N221:Q221 N224:N226 N229:N230 N234 N238 N241 N243 N245 N247:N248 N251">
    <cfRule type="containsText" dxfId="9" priority="41036" operator="containsText" text="No">
      <formula>NOT(ISERROR(SEARCH(("No"),(N221))))</formula>
    </cfRule>
  </conditionalFormatting>
  <conditionalFormatting sqref="N221:Q221 N224:N226 N229:N230 N234 N238 N241 N243 N245 N247:N248 N251">
    <cfRule type="containsText" dxfId="9" priority="41037" operator="containsText" text="No">
      <formula>NOT(ISERROR(SEARCH(("No"),(N221))))</formula>
    </cfRule>
  </conditionalFormatting>
  <conditionalFormatting sqref="N221:Q221 N224:N226 N229:N230 N234 N238 N241 N243 N245 N247:N248 N251">
    <cfRule type="containsText" dxfId="9" priority="41038" operator="containsText" text="No">
      <formula>NOT(ISERROR(SEARCH(("No"),(N221))))</formula>
    </cfRule>
  </conditionalFormatting>
  <conditionalFormatting sqref="N221:Q221 N224:N226 N229:N230 N234 N238 N241 N243 N245 N247:N248 N251">
    <cfRule type="containsText" dxfId="9" priority="41039" operator="containsText" text="No">
      <formula>NOT(ISERROR(SEARCH(("No"),(N221))))</formula>
    </cfRule>
  </conditionalFormatting>
  <conditionalFormatting sqref="N221:Q221 N224:N226 N229:N230 N234 N238 N241 N243 N245 N247:N248 N251">
    <cfRule type="containsText" dxfId="9" priority="41040" operator="containsText" text="No">
      <formula>NOT(ISERROR(SEARCH(("No"),(N221))))</formula>
    </cfRule>
  </conditionalFormatting>
  <conditionalFormatting sqref="N221:Q221 N224:N226 N229:N230 N234 N238 N241 N243 N245 N247:N248 N251">
    <cfRule type="containsText" dxfId="9" priority="41041" operator="containsText" text="No">
      <formula>NOT(ISERROR(SEARCH(("No"),(N221))))</formula>
    </cfRule>
  </conditionalFormatting>
  <conditionalFormatting sqref="N221:Q221 N224:N226 N229:N230 N234 N238 N241 N243 N245 N247:N248 N251">
    <cfRule type="containsText" dxfId="9" priority="41042" operator="containsText" text="No">
      <formula>NOT(ISERROR(SEARCH(("No"),(N221))))</formula>
    </cfRule>
  </conditionalFormatting>
  <conditionalFormatting sqref="N221:Q221 N224:N226 N229:N230 N234 N238 N241 N243 N245 N247:N248 N251">
    <cfRule type="containsText" dxfId="9" priority="41043" operator="containsText" text="No">
      <formula>NOT(ISERROR(SEARCH(("No"),(N221))))</formula>
    </cfRule>
  </conditionalFormatting>
  <conditionalFormatting sqref="N221:Q221 N224:N226 N229:N230 N234 N238 N241 N243 N245 N247:N248 N251">
    <cfRule type="containsText" dxfId="9" priority="41044" operator="containsText" text="No">
      <formula>NOT(ISERROR(SEARCH(("No"),(N221))))</formula>
    </cfRule>
  </conditionalFormatting>
  <conditionalFormatting sqref="N221:Q221 N224:N226 N229:N230 N234 N238 N241 N243 N245 N247:N248 N251">
    <cfRule type="containsText" dxfId="9" priority="41045" operator="containsText" text="No">
      <formula>NOT(ISERROR(SEARCH(("No"),(N221))))</formula>
    </cfRule>
  </conditionalFormatting>
  <conditionalFormatting sqref="N221:Q221 N224:N226 N229:N230 N234 N238 N241 N243 N245 N247:N248 N251">
    <cfRule type="containsText" dxfId="9" priority="41046" operator="containsText" text="No">
      <formula>NOT(ISERROR(SEARCH(("No"),(N221))))</formula>
    </cfRule>
  </conditionalFormatting>
  <conditionalFormatting sqref="N221:Q221 N224:N226 N229:N230 N234 N238 N241 N243 N245 N247:N248 N251">
    <cfRule type="containsText" dxfId="9" priority="41047" operator="containsText" text="No">
      <formula>NOT(ISERROR(SEARCH(("No"),(N221))))</formula>
    </cfRule>
  </conditionalFormatting>
  <conditionalFormatting sqref="N221:Q221 N224:N226 N229:N230 N234 N238 N241 N243 N245 N247:N248 N251">
    <cfRule type="containsText" dxfId="2" priority="41048" operator="containsText" text="Yes">
      <formula>NOT(ISERROR(SEARCH(("Yes"),(N221))))</formula>
    </cfRule>
  </conditionalFormatting>
  <conditionalFormatting sqref="N221:Q221 N224:N226 N229:N230 N234 N238 N241 N243 N245 N247:N248 N251">
    <cfRule type="containsText" dxfId="2" priority="41049" operator="containsText" text="Yes">
      <formula>NOT(ISERROR(SEARCH(("Yes"),(N221))))</formula>
    </cfRule>
  </conditionalFormatting>
  <conditionalFormatting sqref="N221:Q221 N224:N226 N229:N230 N234 N238 N241 N243 N245 N247:N248 N251">
    <cfRule type="containsText" dxfId="2" priority="41050" operator="containsText" text="Yes">
      <formula>NOT(ISERROR(SEARCH(("Yes"),(N221))))</formula>
    </cfRule>
  </conditionalFormatting>
  <conditionalFormatting sqref="N221:Q221 N224:N226 N229:N230 N234 N238 N241 N243 N245 N247:N248 N251">
    <cfRule type="containsText" dxfId="2" priority="41051" operator="containsText" text="Yes">
      <formula>NOT(ISERROR(SEARCH(("Yes"),(N221))))</formula>
    </cfRule>
  </conditionalFormatting>
  <conditionalFormatting sqref="N221:Q221 N224:N226 N229:N230 N234 N238 N241 N243 N245 N247:N248 N251">
    <cfRule type="containsText" dxfId="2" priority="41052" operator="containsText" text="Yes">
      <formula>NOT(ISERROR(SEARCH(("Yes"),(N221))))</formula>
    </cfRule>
  </conditionalFormatting>
  <conditionalFormatting sqref="N221:Q221 N224:N226 N229:N230 N234 N238 N241 N243 N245 N247:N248 N251">
    <cfRule type="containsText" dxfId="2" priority="41053" operator="containsText" text="Yes">
      <formula>NOT(ISERROR(SEARCH(("Yes"),(N221))))</formula>
    </cfRule>
  </conditionalFormatting>
  <conditionalFormatting sqref="N221:Q221 N224:N226 N229:N230 N234 N238 N241 N243 N245 N247:N248 N251">
    <cfRule type="containsText" dxfId="2" priority="41054" operator="containsText" text="Yes">
      <formula>NOT(ISERROR(SEARCH(("Yes"),(N221))))</formula>
    </cfRule>
  </conditionalFormatting>
  <conditionalFormatting sqref="N221:Q221 N224:N226 N229:N230 N234 N238 N241 N243 N245 N247:N248 N251">
    <cfRule type="containsText" dxfId="2" priority="41055" operator="containsText" text="Yes">
      <formula>NOT(ISERROR(SEARCH(("Yes"),(N221))))</formula>
    </cfRule>
  </conditionalFormatting>
  <conditionalFormatting sqref="N221:Q221 N224:N226 N229:N230 N234 N238 N241 N243 N245 N247:N248 N251">
    <cfRule type="containsText" dxfId="2" priority="41056" operator="containsText" text="Yes">
      <formula>NOT(ISERROR(SEARCH(("Yes"),(N221))))</formula>
    </cfRule>
  </conditionalFormatting>
  <conditionalFormatting sqref="N221:Q221 N224:N226 N229:N230 N234 N238 N241 N243 N245 N247:N248 N251">
    <cfRule type="containsText" dxfId="2" priority="41057" operator="containsText" text="Yes">
      <formula>NOT(ISERROR(SEARCH(("Yes"),(N221))))</formula>
    </cfRule>
  </conditionalFormatting>
  <conditionalFormatting sqref="N221:Q221 N224:N226 N229:N230 N234 N238 N241 N243 N245 N247:N248 N251">
    <cfRule type="containsText" dxfId="2" priority="41058" operator="containsText" text="Yes">
      <formula>NOT(ISERROR(SEARCH(("Yes"),(N221))))</formula>
    </cfRule>
  </conditionalFormatting>
  <conditionalFormatting sqref="N221:Q221 N224:N226 N229:N230 N234 N238 N241 N243 N245 N247:N248 N251">
    <cfRule type="containsText" dxfId="2" priority="41059" operator="containsText" text="Yes">
      <formula>NOT(ISERROR(SEARCH(("Yes"),(N221))))</formula>
    </cfRule>
  </conditionalFormatting>
  <conditionalFormatting sqref="N221:Q221 N224:N226 N229:N230 N234 N238 N241 N243 N245 N247:N248 N251">
    <cfRule type="containsText" dxfId="2" priority="41060" operator="containsText" text="Yes">
      <formula>NOT(ISERROR(SEARCH(("Yes"),(N221))))</formula>
    </cfRule>
  </conditionalFormatting>
  <conditionalFormatting sqref="N221:Q221 N224:N226 N229:N230 N234 N238 N241 N243 N245 N247:N248 N251">
    <cfRule type="containsText" dxfId="2" priority="41061" operator="containsText" text="Yes">
      <formula>NOT(ISERROR(SEARCH(("Yes"),(N221))))</formula>
    </cfRule>
  </conditionalFormatting>
  <conditionalFormatting sqref="N221:Q221 N224:N226 N229:N230 N234 N238 N241 N243 N245 N247:N248 N251">
    <cfRule type="containsText" dxfId="2" priority="41062" operator="containsText" text="Yes">
      <formula>NOT(ISERROR(SEARCH(("Yes"),(N221))))</formula>
    </cfRule>
  </conditionalFormatting>
  <conditionalFormatting sqref="N221:Q221 N224:N226 N229:N230 N234 N238 N241 N243 N245 N247:N248 N251">
    <cfRule type="containsText" dxfId="2" priority="41063" operator="containsText" text="Yes">
      <formula>NOT(ISERROR(SEARCH(("Yes"),(N221))))</formula>
    </cfRule>
  </conditionalFormatting>
  <conditionalFormatting sqref="N221:Q221 N224:N226 N229:N230 N234 N238 N241 N243 N245 N247:N248 N251">
    <cfRule type="containsText" dxfId="2" priority="41064" operator="containsText" text="Yes">
      <formula>NOT(ISERROR(SEARCH(("Yes"),(N221))))</formula>
    </cfRule>
  </conditionalFormatting>
  <conditionalFormatting sqref="N221:Q221 N224:N226 N229:N230 N234 N238 N241 N243 N245 N247:N248 N251">
    <cfRule type="containsText" dxfId="2" priority="41065" operator="containsText" text="Yes">
      <formula>NOT(ISERROR(SEARCH(("Yes"),(N221))))</formula>
    </cfRule>
  </conditionalFormatting>
  <conditionalFormatting sqref="N221:Q221 N224:N226 N229:N230 N234 N238 N241 N243 N245 N247:N248 N251">
    <cfRule type="containsText" dxfId="2" priority="41066" operator="containsText" text="Yes">
      <formula>NOT(ISERROR(SEARCH(("Yes"),(N221))))</formula>
    </cfRule>
  </conditionalFormatting>
  <conditionalFormatting sqref="N221:Q221 N224:N226 N229:N230 N234 N238 N241 N243 N245 N247:N248 N251">
    <cfRule type="containsText" dxfId="2" priority="41067" operator="containsText" text="Yes">
      <formula>NOT(ISERROR(SEARCH(("Yes"),(N221))))</formula>
    </cfRule>
  </conditionalFormatting>
  <conditionalFormatting sqref="N221:Q221 N224:N226 N229:N230 N234 N238 N241 N243 N245 N247:N248 N251">
    <cfRule type="containsText" dxfId="2" priority="41068" operator="containsText" text="Yes">
      <formula>NOT(ISERROR(SEARCH(("Yes"),(N221))))</formula>
    </cfRule>
  </conditionalFormatting>
  <conditionalFormatting sqref="N221:Q221 N224:N226 N229:N230 N234 N238 N241 N243 N245 N247:N248 N251">
    <cfRule type="containsText" dxfId="2" priority="41069" operator="containsText" text="Yes">
      <formula>NOT(ISERROR(SEARCH(("Yes"),(N221))))</formula>
    </cfRule>
  </conditionalFormatting>
  <conditionalFormatting sqref="N221:Q221 N224:N226 N229:N230 N234 N238 N241 N243 N245 N247:N248 N251">
    <cfRule type="containsText" dxfId="2" priority="41070" operator="containsText" text="Yes">
      <formula>NOT(ISERROR(SEARCH(("Yes"),(N221))))</formula>
    </cfRule>
  </conditionalFormatting>
  <conditionalFormatting sqref="N221:Q221 N224:N226 N229:N230 N234 N238 N241 N243 N245 N247:N248 N251">
    <cfRule type="containsText" dxfId="2" priority="41071" operator="containsText" text="Yes">
      <formula>NOT(ISERROR(SEARCH(("Yes"),(N221))))</formula>
    </cfRule>
  </conditionalFormatting>
  <conditionalFormatting sqref="N221:Q221 N224:N226 N229:N230 N234 N238 N241 N243 N245 N247:N248 N251">
    <cfRule type="containsText" dxfId="2" priority="41072" operator="containsText" text="Yes">
      <formula>NOT(ISERROR(SEARCH(("Yes"),(N221))))</formula>
    </cfRule>
  </conditionalFormatting>
  <conditionalFormatting sqref="N221:Q221 N224:N226 N229:N230 N234 N238 N241 N243 N245 N247:N248 N251">
    <cfRule type="containsText" dxfId="2" priority="41073" operator="containsText" text="Yes">
      <formula>NOT(ISERROR(SEARCH(("Yes"),(N221))))</formula>
    </cfRule>
  </conditionalFormatting>
  <conditionalFormatting sqref="N221:Q221 N224:N226 N229:N230 N234 N238 N241 N243 N245 N247:N248 N251">
    <cfRule type="containsText" dxfId="2" priority="41074" operator="containsText" text="Yes">
      <formula>NOT(ISERROR(SEARCH(("Yes"),(N221))))</formula>
    </cfRule>
  </conditionalFormatting>
  <conditionalFormatting sqref="N221:Q221 N224:N226 N229:N230 N234 N238 N241 N243 N245 N247:N248 N251">
    <cfRule type="containsText" dxfId="2" priority="41075" operator="containsText" text="Yes">
      <formula>NOT(ISERROR(SEARCH(("Yes"),(N221))))</formula>
    </cfRule>
  </conditionalFormatting>
  <conditionalFormatting sqref="N221:Q221 N224:N226 N229:N230 N234 N238 N241 N243 N245 N247:N248 N251">
    <cfRule type="containsText" dxfId="2" priority="41076" operator="containsText" text="Yes">
      <formula>NOT(ISERROR(SEARCH(("Yes"),(N221))))</formula>
    </cfRule>
  </conditionalFormatting>
  <conditionalFormatting sqref="N221:Q221 N224:N226 N229:N230 N234 N238 N241 N243 N245 N247:N248 N251">
    <cfRule type="containsText" dxfId="2" priority="41077" operator="containsText" text="Yes">
      <formula>NOT(ISERROR(SEARCH(("Yes"),(N221))))</formula>
    </cfRule>
  </conditionalFormatting>
  <conditionalFormatting sqref="N221:Q221 N224:N226 N229:N230 N234 N238 N241 N243 N245 N247:N248 N251">
    <cfRule type="containsText" dxfId="2" priority="41078" operator="containsText" text="Yes">
      <formula>NOT(ISERROR(SEARCH(("Yes"),(N221))))</formula>
    </cfRule>
  </conditionalFormatting>
  <conditionalFormatting sqref="N221:Q221 N224:N226 N229:N230 N234 N238 N241 N243 N245 N247:N248 N251">
    <cfRule type="containsText" dxfId="2" priority="41079" operator="containsText" text="Yes">
      <formula>NOT(ISERROR(SEARCH(("Yes"),(N221))))</formula>
    </cfRule>
  </conditionalFormatting>
  <conditionalFormatting sqref="N221:Q221 N224:N226 N229:N230 N234 N238 N241 N243 N245 N247:N248 N251">
    <cfRule type="containsText" dxfId="2" priority="41080" operator="containsText" text="Yes">
      <formula>NOT(ISERROR(SEARCH(("Yes"),(N221))))</formula>
    </cfRule>
  </conditionalFormatting>
  <conditionalFormatting sqref="N221:Q221 N224:N226 N229:N230 N234 N238 N241 N243 N245 N247:N248 N251">
    <cfRule type="containsText" dxfId="2" priority="41081" operator="containsText" text="Yes">
      <formula>NOT(ISERROR(SEARCH(("Yes"),(N221))))</formula>
    </cfRule>
  </conditionalFormatting>
  <conditionalFormatting sqref="N221:Q221 N224:N226 N229:N230 N234 N238 N241 N243 N245 N247:N248 N251">
    <cfRule type="containsText" dxfId="2" priority="41082" operator="containsText" text="Yes">
      <formula>NOT(ISERROR(SEARCH(("Yes"),(N221))))</formula>
    </cfRule>
  </conditionalFormatting>
  <conditionalFormatting sqref="N221:Q221 N224:N226 N229:N230 N234 N238 N241 N243 N245 N247:N248 N251">
    <cfRule type="containsText" dxfId="2" priority="41083" operator="containsText" text="Yes">
      <formula>NOT(ISERROR(SEARCH(("Yes"),(N221))))</formula>
    </cfRule>
  </conditionalFormatting>
  <conditionalFormatting sqref="N221:Q221 N224:N226 N229:N230 N234 N238 N241 N243 N245 N247:N248 N251">
    <cfRule type="containsText" dxfId="2" priority="41084" operator="containsText" text="Yes">
      <formula>NOT(ISERROR(SEARCH(("Yes"),(N221))))</formula>
    </cfRule>
  </conditionalFormatting>
  <conditionalFormatting sqref="N221:Q221 N224:N226 N229:N230 N234 N238 N241 N243 N245 N247:N248 N251">
    <cfRule type="containsText" dxfId="2" priority="41085" operator="containsText" text="Yes">
      <formula>NOT(ISERROR(SEARCH(("Yes"),(N221))))</formula>
    </cfRule>
  </conditionalFormatting>
  <conditionalFormatting sqref="N221:Q221 N224:N226 N229:N230 N234 N238 N241 N243 N245 N247:N248 N251">
    <cfRule type="containsText" dxfId="2" priority="41086" operator="containsText" text="Yes">
      <formula>NOT(ISERROR(SEARCH(("Yes"),(N221))))</formula>
    </cfRule>
  </conditionalFormatting>
  <conditionalFormatting sqref="N221:Q221 N224:N226 N229:N230 N234 N238 N241 N243 N245 N247:N248 N251">
    <cfRule type="containsText" dxfId="2" priority="41087" operator="containsText" text="Yes">
      <formula>NOT(ISERROR(SEARCH(("Yes"),(N221))))</formula>
    </cfRule>
  </conditionalFormatting>
  <conditionalFormatting sqref="N221:Q221 N224:N226 N229:N230 N234 N238 N241 N243 N245 N247:N248 N251">
    <cfRule type="containsText" dxfId="2" priority="41088" operator="containsText" text="Yes">
      <formula>NOT(ISERROR(SEARCH(("Yes"),(N221))))</formula>
    </cfRule>
  </conditionalFormatting>
  <conditionalFormatting sqref="N221:Q221 N224:N226 N229:N230 N234 N238 N241 N243 N245 N247:N248 N251">
    <cfRule type="containsText" dxfId="2" priority="41089" operator="containsText" text="Yes">
      <formula>NOT(ISERROR(SEARCH(("Yes"),(N221))))</formula>
    </cfRule>
  </conditionalFormatting>
  <conditionalFormatting sqref="N221:Q221 N224:N226 N229:N230 N234 N238 N241 N243 N245 N247:N248 N251">
    <cfRule type="containsText" dxfId="2" priority="41090" operator="containsText" text="Yes">
      <formula>NOT(ISERROR(SEARCH(("Yes"),(N221))))</formula>
    </cfRule>
  </conditionalFormatting>
  <conditionalFormatting sqref="N221:Q221 N224:N226 N229:N230 N234 N238 N241 N243 N245 N247:N248 N251">
    <cfRule type="containsText" dxfId="2" priority="41091" operator="containsText" text="Yes">
      <formula>NOT(ISERROR(SEARCH(("Yes"),(N221))))</formula>
    </cfRule>
  </conditionalFormatting>
  <conditionalFormatting sqref="N221:Q221 N224:N226 N229:N230 N234 N238 N241 N243 N245 N247:N248 N251">
    <cfRule type="containsText" dxfId="2" priority="41092" operator="containsText" text="Yes">
      <formula>NOT(ISERROR(SEARCH(("Yes"),(N221))))</formula>
    </cfRule>
  </conditionalFormatting>
  <conditionalFormatting sqref="N221:Q221 N224:N226 N229:N230 N234 N238 N241 N243 N245 N247:N248 N251">
    <cfRule type="containsText" dxfId="2" priority="41093" operator="containsText" text="Yes">
      <formula>NOT(ISERROR(SEARCH(("Yes"),(N221))))</formula>
    </cfRule>
  </conditionalFormatting>
  <conditionalFormatting sqref="N221:Q221 N224:N226 N229:N230 N234 N238 N241 N243 N245 N247:N248 N251">
    <cfRule type="containsText" dxfId="2" priority="41094" operator="containsText" text="Yes">
      <formula>NOT(ISERROR(SEARCH(("Yes"),(N221))))</formula>
    </cfRule>
  </conditionalFormatting>
  <conditionalFormatting sqref="N222:N226 N229:N230 N234 N238 N241 N243 N245 N247:N248 N251">
    <cfRule type="containsText" dxfId="9" priority="41095" operator="containsText" text="No">
      <formula>NOT(ISERROR(SEARCH(("No"),(N222))))</formula>
    </cfRule>
  </conditionalFormatting>
  <conditionalFormatting sqref="N222:N226 N229:N230 N234 N238 N241 N243 N245 N247:N248 N251">
    <cfRule type="containsText" dxfId="9" priority="41096" operator="containsText" text="No">
      <formula>NOT(ISERROR(SEARCH(("No"),(N222))))</formula>
    </cfRule>
  </conditionalFormatting>
  <conditionalFormatting sqref="N222:N226 N229:N230 N234 N238 N241 N243 N245 N247:N248 N251">
    <cfRule type="containsText" dxfId="9" priority="41097" operator="containsText" text="No">
      <formula>NOT(ISERROR(SEARCH(("No"),(N222))))</formula>
    </cfRule>
  </conditionalFormatting>
  <conditionalFormatting sqref="N222:N226 N229:N230 N234 N238 N241 N243 N245 N247:N248 N251">
    <cfRule type="containsText" dxfId="2" priority="41098" operator="containsText" text="Yes">
      <formula>NOT(ISERROR(SEARCH(("Yes"),(N222))))</formula>
    </cfRule>
  </conditionalFormatting>
  <conditionalFormatting sqref="N222:N226 N229:N230 N234 N238 N241 N243 N245 N247:N248 N251">
    <cfRule type="containsText" dxfId="2" priority="41099" operator="containsText" text="Yes">
      <formula>NOT(ISERROR(SEARCH(("Yes"),(N222))))</formula>
    </cfRule>
  </conditionalFormatting>
  <conditionalFormatting sqref="N222:N226 N229:N230 N234 N238 N241 N243 N245 N247:N248 N251">
    <cfRule type="containsText" dxfId="2" priority="41100" operator="containsText" text="Yes">
      <formula>NOT(ISERROR(SEARCH(("Yes"),(N222))))</formula>
    </cfRule>
  </conditionalFormatting>
  <conditionalFormatting sqref="N222:N226 N229:N230 N234 N238 N241 N243 N245 N247:N248 N251">
    <cfRule type="containsText" dxfId="2" priority="41101" operator="containsText" text="Yes">
      <formula>NOT(ISERROR(SEARCH(("Yes"),(N222))))</formula>
    </cfRule>
  </conditionalFormatting>
  <conditionalFormatting sqref="N222:N226 N229:N230 N234 N238 N241 N243 N245 N247:N248 N251">
    <cfRule type="containsText" dxfId="2" priority="41102" operator="containsText" text="Yes">
      <formula>NOT(ISERROR(SEARCH(("Yes"),(N222))))</formula>
    </cfRule>
  </conditionalFormatting>
  <conditionalFormatting sqref="N222:N226 N229:N230 N234 N238 N241 N243 N245 N247:N248 N251">
    <cfRule type="containsText" dxfId="9" priority="41103" operator="containsText" text="No">
      <formula>NOT(ISERROR(SEARCH(("No"),(N222))))</formula>
    </cfRule>
  </conditionalFormatting>
  <conditionalFormatting sqref="N222:N226 N229:N230 N234 N238 N241 N243 N245 N247:N248 N251">
    <cfRule type="containsText" dxfId="2" priority="41104" operator="containsText" text="Yes">
      <formula>NOT(ISERROR(SEARCH(("Yes"),(N222))))</formula>
    </cfRule>
  </conditionalFormatting>
  <conditionalFormatting sqref="O222:Q226 O229:Q230 O234:Q234 O238:Q238 O241:Q241 O243:P243 O245:P245 O247:P248 O251:P251 Q243:Q252">
    <cfRule type="containsText" dxfId="9" priority="41105" operator="containsText" text="No">
      <formula>NOT(ISERROR(SEARCH(("No"),(O222))))</formula>
    </cfRule>
  </conditionalFormatting>
  <conditionalFormatting sqref="O222:Q226 O229:Q230 O234:Q234 O238:Q238 O241:Q241 O243:P243 O245:P245 O247:P248 O251:P251 Q243:Q252">
    <cfRule type="containsText" dxfId="9" priority="41106" operator="containsText" text="No">
      <formula>NOT(ISERROR(SEARCH(("No"),(O222))))</formula>
    </cfRule>
  </conditionalFormatting>
  <conditionalFormatting sqref="O222:Q226 O229:Q230 O234:Q234 O238:Q238 O241:Q241 O243:P243 O245:P245 O247:P248 O251:P251 Q243:Q252">
    <cfRule type="containsText" dxfId="9" priority="41107" operator="containsText" text="No">
      <formula>NOT(ISERROR(SEARCH(("No"),(O222))))</formula>
    </cfRule>
  </conditionalFormatting>
  <conditionalFormatting sqref="O222:Q226 O229:Q230 O234:Q234 O238:Q238 O241:Q241 O243:P243 O245:P245 O247:P248 O251:P251 Q243:Q252">
    <cfRule type="containsText" dxfId="9" priority="41108" operator="containsText" text="No">
      <formula>NOT(ISERROR(SEARCH(("No"),(O222))))</formula>
    </cfRule>
  </conditionalFormatting>
  <conditionalFormatting sqref="O222:Q226 O229:Q230 O234:Q234 O238:Q238 O241:Q241 O243:P243 O245:P245 O247:P248 O251:P251 Q243:Q252">
    <cfRule type="containsText" dxfId="9" priority="41109" operator="containsText" text="No">
      <formula>NOT(ISERROR(SEARCH(("No"),(O222))))</formula>
    </cfRule>
  </conditionalFormatting>
  <conditionalFormatting sqref="O222:Q226 O229:Q230 O234:Q234 O238:Q238 O241:Q241 O243:P243 O245:P245 O247:P248 O251:P251 Q243:Q252">
    <cfRule type="containsText" dxfId="9" priority="41110" operator="containsText" text="No">
      <formula>NOT(ISERROR(SEARCH(("No"),(O222))))</formula>
    </cfRule>
  </conditionalFormatting>
  <conditionalFormatting sqref="O222:Q226 O229:Q230 O234:Q234 O238:Q238 O241:Q241 O243:P243 O245:P245 O247:P248 O251:P251 Q243:Q252">
    <cfRule type="containsText" dxfId="9" priority="41111" operator="containsText" text="No">
      <formula>NOT(ISERROR(SEARCH(("No"),(O222))))</formula>
    </cfRule>
  </conditionalFormatting>
  <conditionalFormatting sqref="O222:Q226 O229:Q230 O234:Q234 O238:Q238 O241:Q241 O243:P243 O245:P245 O247:P248 O251:P251 Q243:Q252">
    <cfRule type="containsText" dxfId="9" priority="41112" operator="containsText" text="No">
      <formula>NOT(ISERROR(SEARCH(("No"),(O222))))</formula>
    </cfRule>
  </conditionalFormatting>
  <conditionalFormatting sqref="O222:Q226 O229:Q230 O234:Q234 O238:Q238 O241:Q241 O243:P243 O245:P245 O247:P248 O251:P251 Q243:Q252">
    <cfRule type="containsText" dxfId="9" priority="41113" operator="containsText" text="No">
      <formula>NOT(ISERROR(SEARCH(("No"),(O222))))</formula>
    </cfRule>
  </conditionalFormatting>
  <conditionalFormatting sqref="O222:Q226 O229:Q230 O234:Q234 O238:Q238 O241:Q241 O243:P243 O245:P245 O247:P248 O251:P251 Q243:Q252">
    <cfRule type="containsText" dxfId="9" priority="41114" operator="containsText" text="No">
      <formula>NOT(ISERROR(SEARCH(("No"),(O222))))</formula>
    </cfRule>
  </conditionalFormatting>
  <conditionalFormatting sqref="O222:Q226 O229:Q230 O234:Q234 O238:Q238 O241:Q241 O243:P243 O245:P245 O247:P248 O251:P251 Q243:Q252">
    <cfRule type="containsText" dxfId="9" priority="41115" operator="containsText" text="No">
      <formula>NOT(ISERROR(SEARCH(("No"),(O222))))</formula>
    </cfRule>
  </conditionalFormatting>
  <conditionalFormatting sqref="O222:Q226 O229:Q230 O234:Q234 O238:Q238 O241:Q241 O243:P243 O245:P245 O247:P248 O251:P251 Q243:Q252">
    <cfRule type="containsText" dxfId="9" priority="41116" operator="containsText" text="No">
      <formula>NOT(ISERROR(SEARCH(("No"),(O222))))</formula>
    </cfRule>
  </conditionalFormatting>
  <conditionalFormatting sqref="O222:Q226 O229:Q230 O234:Q234 O238:Q238 O241:Q241 O243:P243 O245:P245 O247:P248 O251:P251 Q243:Q252">
    <cfRule type="containsText" dxfId="9" priority="41117" operator="containsText" text="No">
      <formula>NOT(ISERROR(SEARCH(("No"),(O222))))</formula>
    </cfRule>
  </conditionalFormatting>
  <conditionalFormatting sqref="O222:Q226 O229:Q230 O234:Q234 O238:Q238 O241:Q241 O243:P243 O245:P245 O247:P248 O251:P251 Q243:Q252">
    <cfRule type="containsText" dxfId="9" priority="41118" operator="containsText" text="No">
      <formula>NOT(ISERROR(SEARCH(("No"),(O222))))</formula>
    </cfRule>
  </conditionalFormatting>
  <conditionalFormatting sqref="O222:Q226 O229:Q230 O234:Q234 O238:Q238 O241:Q241 O243:P243 O245:P245 O247:P248 O251:P251 Q243:Q252">
    <cfRule type="containsText" dxfId="9" priority="41119" operator="containsText" text="No">
      <formula>NOT(ISERROR(SEARCH(("No"),(O222))))</formula>
    </cfRule>
  </conditionalFormatting>
  <conditionalFormatting sqref="O222:Q226 O229:Q230 O234:Q234 O238:Q238 O241:Q241 O243:P243 O245:P245 O247:P248 O251:P251 Q243:Q252">
    <cfRule type="containsText" dxfId="9" priority="41120" operator="containsText" text="No">
      <formula>NOT(ISERROR(SEARCH(("No"),(O222))))</formula>
    </cfRule>
  </conditionalFormatting>
  <conditionalFormatting sqref="O222:Q226 O229:Q230 O234:Q234 O238:Q238 O241:Q241 O243:P243 O245:P245 O247:P248 O251:P251 Q243:Q252">
    <cfRule type="containsText" dxfId="9" priority="41121" operator="containsText" text="No">
      <formula>NOT(ISERROR(SEARCH(("No"),(O222))))</formula>
    </cfRule>
  </conditionalFormatting>
  <conditionalFormatting sqref="O222:Q226 O229:Q230 O234:Q234 O238:Q238 O241:Q241 O243:P243 O245:P245 O247:P248 O251:P251 Q243:Q252">
    <cfRule type="containsText" dxfId="9" priority="41122" operator="containsText" text="No">
      <formula>NOT(ISERROR(SEARCH(("No"),(O222))))</formula>
    </cfRule>
  </conditionalFormatting>
  <conditionalFormatting sqref="O222:Q226 O229:Q230 O234:Q234 O238:Q238 O241:Q241 O243:P243 O245:P245 O247:P248 O251:P251 Q243:Q252">
    <cfRule type="containsText" dxfId="9" priority="41123" operator="containsText" text="No">
      <formula>NOT(ISERROR(SEARCH(("No"),(O222))))</formula>
    </cfRule>
  </conditionalFormatting>
  <conditionalFormatting sqref="O222:Q226 O229:Q230 O234:Q234 O238:Q238 O241:Q241 O243:P243 O245:P245 O247:P248 O251:P251 Q243:Q252">
    <cfRule type="containsText" dxfId="9" priority="41124" operator="containsText" text="No">
      <formula>NOT(ISERROR(SEARCH(("No"),(O222))))</formula>
    </cfRule>
  </conditionalFormatting>
  <conditionalFormatting sqref="O222:Q226 O229:Q230 O234:Q234 O238:Q238 O241:Q241 O243:P243 O245:P245 O247:P248 O251:P251 Q243:Q252">
    <cfRule type="containsText" dxfId="9" priority="41125" operator="containsText" text="No">
      <formula>NOT(ISERROR(SEARCH(("No"),(O222))))</formula>
    </cfRule>
  </conditionalFormatting>
  <conditionalFormatting sqref="O222:Q226 O229:Q230 O234:Q234 O238:Q238 O241:Q241 O243:P243 O245:P245 O247:P248 O251:P251 Q243:Q252">
    <cfRule type="containsText" dxfId="9" priority="41126" operator="containsText" text="No">
      <formula>NOT(ISERROR(SEARCH(("No"),(O222))))</formula>
    </cfRule>
  </conditionalFormatting>
  <conditionalFormatting sqref="O222:Q226 O229:Q230 O234:Q234 O238:Q238 O241:Q241 O243:P243 O245:P245 O247:P248 O251:P251 Q243:Q252">
    <cfRule type="containsText" dxfId="9" priority="41127" operator="containsText" text="No">
      <formula>NOT(ISERROR(SEARCH(("No"),(O222))))</formula>
    </cfRule>
  </conditionalFormatting>
  <conditionalFormatting sqref="O222:Q226 O229:Q230 O234:Q234 O238:Q238 O241:Q241 O243:P243 O245:P245 O247:P248 O251:P251 Q243:Q252">
    <cfRule type="containsText" dxfId="9" priority="41128" operator="containsText" text="No">
      <formula>NOT(ISERROR(SEARCH(("No"),(O222))))</formula>
    </cfRule>
  </conditionalFormatting>
  <conditionalFormatting sqref="O222:Q226 O229:Q230 O234:Q234 O238:Q238 O241:Q241 O243:P243 O245:P245 O247:P248 O251:P251 Q243:Q252">
    <cfRule type="containsText" dxfId="9" priority="41129" operator="containsText" text="No">
      <formula>NOT(ISERROR(SEARCH(("No"),(O222))))</formula>
    </cfRule>
  </conditionalFormatting>
  <conditionalFormatting sqref="O222:Q226 O229:Q230 O234:Q234 O238:Q238 O241:Q241 O243:P243 O245:P245 O247:P248 O251:P251 Q243:Q252">
    <cfRule type="containsText" dxfId="9" priority="41130" operator="containsText" text="No">
      <formula>NOT(ISERROR(SEARCH(("No"),(O222))))</formula>
    </cfRule>
  </conditionalFormatting>
  <conditionalFormatting sqref="O222:Q226 O229:Q230 O234:Q234 O238:Q238 O241:Q241 O243:P243 O245:P245 O247:P248 O251:P251 Q243:Q252">
    <cfRule type="containsText" dxfId="9" priority="41131" operator="containsText" text="No">
      <formula>NOT(ISERROR(SEARCH(("No"),(O222))))</formula>
    </cfRule>
  </conditionalFormatting>
  <conditionalFormatting sqref="O222:Q226 O229:Q230 O234:Q234 O238:Q238 O241:Q241 O243:P243 O245:P245 O247:P248 O251:P251 Q243:Q252">
    <cfRule type="containsText" dxfId="9" priority="41132" operator="containsText" text="No">
      <formula>NOT(ISERROR(SEARCH(("No"),(O222))))</formula>
    </cfRule>
  </conditionalFormatting>
  <conditionalFormatting sqref="O222:Q226 O229:Q230 O234:Q234 O238:Q238 O241:Q241 O243:P243 O245:P245 O247:P248 O251:P251 Q243:Q252">
    <cfRule type="containsText" dxfId="9" priority="41133" operator="containsText" text="No">
      <formula>NOT(ISERROR(SEARCH(("No"),(O222))))</formula>
    </cfRule>
  </conditionalFormatting>
  <conditionalFormatting sqref="O222:Q226 O229:Q230 O234:Q234 O238:Q238 O241:Q241 O243:P243 O245:P245 O247:P248 O251:P251 Q243:Q252">
    <cfRule type="containsText" dxfId="9" priority="41134" operator="containsText" text="No">
      <formula>NOT(ISERROR(SEARCH(("No"),(O222))))</formula>
    </cfRule>
  </conditionalFormatting>
  <conditionalFormatting sqref="O222:Q226 O229:Q230 O234:Q234 O238:Q238 O241:Q241 O243:P243 O245:P245 O247:P248 O251:P251 Q243:Q252">
    <cfRule type="containsText" dxfId="9" priority="41135" operator="containsText" text="No">
      <formula>NOT(ISERROR(SEARCH(("No"),(O222))))</formula>
    </cfRule>
  </conditionalFormatting>
  <conditionalFormatting sqref="O222:Q226 O229:Q230 O234:Q234 O238:Q238 O241:Q241 O243:P243 O245:P245 O247:P248 O251:P251 Q243:Q252">
    <cfRule type="containsText" dxfId="9" priority="41136" operator="containsText" text="No">
      <formula>NOT(ISERROR(SEARCH(("No"),(O222))))</formula>
    </cfRule>
  </conditionalFormatting>
  <conditionalFormatting sqref="O222:Q226 O229:Q230 O234:Q234 O238:Q238 O241:Q241 O243:P243 O245:P245 O247:P248 O251:P251 Q243:Q252">
    <cfRule type="containsText" dxfId="9" priority="41137" operator="containsText" text="No">
      <formula>NOT(ISERROR(SEARCH(("No"),(O222))))</formula>
    </cfRule>
  </conditionalFormatting>
  <conditionalFormatting sqref="O222:Q226 O229:Q230 O234:Q234 O238:Q238 O241:Q241 O243:P243 O245:P245 O247:P248 O251:P251 Q243:Q252">
    <cfRule type="containsText" dxfId="9" priority="41138" operator="containsText" text="No">
      <formula>NOT(ISERROR(SEARCH(("No"),(O222))))</formula>
    </cfRule>
  </conditionalFormatting>
  <conditionalFormatting sqref="O222:Q226 O229:Q230 O234:Q234 O238:Q238 O241:Q241 O243:P243 O245:P245 O247:P248 O251:P251 Q243:Q252">
    <cfRule type="containsText" dxfId="9" priority="41139" operator="containsText" text="No">
      <formula>NOT(ISERROR(SEARCH(("No"),(O222))))</formula>
    </cfRule>
  </conditionalFormatting>
  <conditionalFormatting sqref="O222:Q226 O229:Q230 O234:Q234 O238:Q238 O241:Q241 O243:P243 O245:P245 O247:P248 O251:P251 Q243:Q252">
    <cfRule type="containsText" dxfId="9" priority="41140" operator="containsText" text="No">
      <formula>NOT(ISERROR(SEARCH(("No"),(O222))))</formula>
    </cfRule>
  </conditionalFormatting>
  <conditionalFormatting sqref="O222:Q226 O229:Q230 O234:Q234 O238:Q238 O241:Q241 O243:P243 O245:P245 O247:P248 O251:P251 Q243:Q252">
    <cfRule type="containsText" dxfId="9" priority="41141" operator="containsText" text="No">
      <formula>NOT(ISERROR(SEARCH(("No"),(O222))))</formula>
    </cfRule>
  </conditionalFormatting>
  <conditionalFormatting sqref="O222:Q226 O229:Q230 O234:Q234 O238:Q238 O241:Q241 O243:P243 O245:P245 O247:P248 O251:P251 Q243:Q252">
    <cfRule type="containsText" dxfId="9" priority="41142" operator="containsText" text="No">
      <formula>NOT(ISERROR(SEARCH(("No"),(O222))))</formula>
    </cfRule>
  </conditionalFormatting>
  <conditionalFormatting sqref="O222:Q226 O229:Q230 O234:Q234 O238:Q238 O241:Q241 O243:P243 O245:P245 O247:P248 O251:P251 Q243:Q252">
    <cfRule type="containsText" dxfId="9" priority="41143" operator="containsText" text="No">
      <formula>NOT(ISERROR(SEARCH(("No"),(O222))))</formula>
    </cfRule>
  </conditionalFormatting>
  <conditionalFormatting sqref="O222:Q226 O229:Q230 O234:Q234 O238:Q238 O241:Q241 O243:P243 O245:P245 O247:P248 O251:P251 Q243:Q252">
    <cfRule type="containsText" dxfId="9" priority="41144" operator="containsText" text="No">
      <formula>NOT(ISERROR(SEARCH(("No"),(O222))))</formula>
    </cfRule>
  </conditionalFormatting>
  <conditionalFormatting sqref="O222:Q226 O229:Q230 O234:Q234 O238:Q238 O241:Q241 O243:P243 O245:P245 O247:P248 O251:P251 Q243:Q252">
    <cfRule type="containsText" dxfId="9" priority="41145" operator="containsText" text="No">
      <formula>NOT(ISERROR(SEARCH(("No"),(O222))))</formula>
    </cfRule>
  </conditionalFormatting>
  <conditionalFormatting sqref="O222:Q226 O229:Q230 O234:Q234 O238:Q238 O241:Q241 O243:P243 O245:P245 O247:P248 O251:P251 Q243:Q252">
    <cfRule type="containsText" dxfId="9" priority="41146" operator="containsText" text="No">
      <formula>NOT(ISERROR(SEARCH(("No"),(O222))))</formula>
    </cfRule>
  </conditionalFormatting>
  <conditionalFormatting sqref="O222:Q226 O229:Q230 O234:Q234 O238:Q238 O241:Q241 O243:P243 O245:P245 O247:P248 O251:P251 Q243:Q252">
    <cfRule type="containsText" dxfId="9" priority="41147" operator="containsText" text="No">
      <formula>NOT(ISERROR(SEARCH(("No"),(O222))))</formula>
    </cfRule>
  </conditionalFormatting>
  <conditionalFormatting sqref="O222:Q226 O229:Q230 O234:Q234 O238:Q238 O241:Q241 O243:P243 O245:P245 O247:P248 O251:P251 Q243:Q252">
    <cfRule type="containsText" dxfId="9" priority="41148" operator="containsText" text="No">
      <formula>NOT(ISERROR(SEARCH(("No"),(O222))))</formula>
    </cfRule>
  </conditionalFormatting>
  <conditionalFormatting sqref="O222:Q226 O229:Q230 O234:Q234 O238:Q238 O241:Q241 O243:P243 O245:P245 O247:P248 O251:P251 Q243:Q252">
    <cfRule type="containsText" dxfId="9" priority="41149" operator="containsText" text="No">
      <formula>NOT(ISERROR(SEARCH(("No"),(O222))))</formula>
    </cfRule>
  </conditionalFormatting>
  <conditionalFormatting sqref="O222:Q226 O229:Q230 O234:Q234 O238:Q238 O241:Q241 O243:P243 O245:P245 O247:P248 O251:P251 Q243:Q252">
    <cfRule type="containsText" dxfId="2" priority="41150" operator="containsText" text="Yes">
      <formula>NOT(ISERROR(SEARCH(("Yes"),(O222))))</formula>
    </cfRule>
  </conditionalFormatting>
  <conditionalFormatting sqref="O222:Q226 O229:Q230 O234:Q234 O238:Q238 O241:Q241 O243:P243 O245:P245 O247:P248 O251:P251 Q243:Q252">
    <cfRule type="containsText" dxfId="2" priority="41151" operator="containsText" text="Yes">
      <formula>NOT(ISERROR(SEARCH(("Yes"),(O222))))</formula>
    </cfRule>
  </conditionalFormatting>
  <conditionalFormatting sqref="O222:Q226 O229:Q230 O234:Q234 O238:Q238 O241:Q241 O243:P243 O245:P245 O247:P248 O251:P251 Q243:Q252">
    <cfRule type="containsText" dxfId="2" priority="41152" operator="containsText" text="Yes">
      <formula>NOT(ISERROR(SEARCH(("Yes"),(O222))))</formula>
    </cfRule>
  </conditionalFormatting>
  <conditionalFormatting sqref="O222:Q226 O229:Q230 O234:Q234 O238:Q238 O241:Q241 O243:P243 O245:P245 O247:P248 O251:P251 Q243:Q252">
    <cfRule type="containsText" dxfId="2" priority="41153" operator="containsText" text="Yes">
      <formula>NOT(ISERROR(SEARCH(("Yes"),(O222))))</formula>
    </cfRule>
  </conditionalFormatting>
  <conditionalFormatting sqref="O222:Q226 O229:Q230 O234:Q234 O238:Q238 O241:Q241 O243:P243 O245:P245 O247:P248 O251:P251 Q243:Q252">
    <cfRule type="containsText" dxfId="2" priority="41154" operator="containsText" text="Yes">
      <formula>NOT(ISERROR(SEARCH(("Yes"),(O222))))</formula>
    </cfRule>
  </conditionalFormatting>
  <conditionalFormatting sqref="O222:Q226 O229:Q230 O234:Q234 O238:Q238 O241:Q241 O243:P243 O245:P245 O247:P248 O251:P251 Q243:Q252">
    <cfRule type="containsText" dxfId="2" priority="41155" operator="containsText" text="Yes">
      <formula>NOT(ISERROR(SEARCH(("Yes"),(O222))))</formula>
    </cfRule>
  </conditionalFormatting>
  <conditionalFormatting sqref="O222:Q226 O229:Q230 O234:Q234 O238:Q238 O241:Q241 O243:P243 O245:P245 O247:P248 O251:P251 Q243:Q252">
    <cfRule type="containsText" dxfId="2" priority="41156" operator="containsText" text="Yes">
      <formula>NOT(ISERROR(SEARCH(("Yes"),(O222))))</formula>
    </cfRule>
  </conditionalFormatting>
  <conditionalFormatting sqref="O222:Q226 O229:Q230 O234:Q234 O238:Q238 O241:Q241 O243:P243 O245:P245 O247:P248 O251:P251 Q243:Q252">
    <cfRule type="containsText" dxfId="2" priority="41157" operator="containsText" text="Yes">
      <formula>NOT(ISERROR(SEARCH(("Yes"),(O222))))</formula>
    </cfRule>
  </conditionalFormatting>
  <conditionalFormatting sqref="O222:Q226 O229:Q230 O234:Q234 O238:Q238 O241:Q241 O243:P243 O245:P245 O247:P248 O251:P251 Q243:Q252">
    <cfRule type="containsText" dxfId="2" priority="41158" operator="containsText" text="Yes">
      <formula>NOT(ISERROR(SEARCH(("Yes"),(O222))))</formula>
    </cfRule>
  </conditionalFormatting>
  <conditionalFormatting sqref="O222:Q226 O229:Q230 O234:Q234 O238:Q238 O241:Q241 O243:P243 O245:P245 O247:P248 O251:P251 Q243:Q252">
    <cfRule type="containsText" dxfId="2" priority="41159" operator="containsText" text="Yes">
      <formula>NOT(ISERROR(SEARCH(("Yes"),(O222))))</formula>
    </cfRule>
  </conditionalFormatting>
  <conditionalFormatting sqref="O222:Q226 O229:Q230 O234:Q234 O238:Q238 O241:Q241 O243:P243 O245:P245 O247:P248 O251:P251 Q243:Q252">
    <cfRule type="containsText" dxfId="2" priority="41160" operator="containsText" text="Yes">
      <formula>NOT(ISERROR(SEARCH(("Yes"),(O222))))</formula>
    </cfRule>
  </conditionalFormatting>
  <conditionalFormatting sqref="O222:Q226 O229:Q230 O234:Q234 O238:Q238 O241:Q241 O243:P243 O245:P245 O247:P248 O251:P251 Q243:Q252">
    <cfRule type="containsText" dxfId="2" priority="41161" operator="containsText" text="Yes">
      <formula>NOT(ISERROR(SEARCH(("Yes"),(O222))))</formula>
    </cfRule>
  </conditionalFormatting>
  <conditionalFormatting sqref="O222:Q226 O229:Q230 O234:Q234 O238:Q238 O241:Q241 O243:P243 O245:P245 O247:P248 O251:P251 Q243:Q252">
    <cfRule type="containsText" dxfId="2" priority="41162" operator="containsText" text="Yes">
      <formula>NOT(ISERROR(SEARCH(("Yes"),(O222))))</formula>
    </cfRule>
  </conditionalFormatting>
  <conditionalFormatting sqref="O222:Q226 O229:Q230 O234:Q234 O238:Q238 O241:Q241 O243:P243 O245:P245 O247:P248 O251:P251 Q243:Q252">
    <cfRule type="containsText" dxfId="2" priority="41163" operator="containsText" text="Yes">
      <formula>NOT(ISERROR(SEARCH(("Yes"),(O222))))</formula>
    </cfRule>
  </conditionalFormatting>
  <conditionalFormatting sqref="O222:Q226 O229:Q230 O234:Q234 O238:Q238 O241:Q241 O243:P243 O245:P245 O247:P248 O251:P251 Q243:Q252">
    <cfRule type="containsText" dxfId="2" priority="41164" operator="containsText" text="Yes">
      <formula>NOT(ISERROR(SEARCH(("Yes"),(O222))))</formula>
    </cfRule>
  </conditionalFormatting>
  <conditionalFormatting sqref="O222:Q226 O229:Q230 O234:Q234 O238:Q238 O241:Q241 O243:P243 O245:P245 O247:P248 O251:P251 Q243:Q252">
    <cfRule type="containsText" dxfId="2" priority="41165" operator="containsText" text="Yes">
      <formula>NOT(ISERROR(SEARCH(("Yes"),(O222))))</formula>
    </cfRule>
  </conditionalFormatting>
  <conditionalFormatting sqref="O222:Q226 O229:Q230 O234:Q234 O238:Q238 O241:Q241 O243:P243 O245:P245 O247:P248 O251:P251 Q243:Q252">
    <cfRule type="containsText" dxfId="2" priority="41166" operator="containsText" text="Yes">
      <formula>NOT(ISERROR(SEARCH(("Yes"),(O222))))</formula>
    </cfRule>
  </conditionalFormatting>
  <conditionalFormatting sqref="O222:Q226 O229:Q230 O234:Q234 O238:Q238 O241:Q241 O243:P243 O245:P245 O247:P248 O251:P251 Q243:Q252">
    <cfRule type="containsText" dxfId="2" priority="41167" operator="containsText" text="Yes">
      <formula>NOT(ISERROR(SEARCH(("Yes"),(O222))))</formula>
    </cfRule>
  </conditionalFormatting>
  <conditionalFormatting sqref="O222:Q226 O229:Q230 O234:Q234 O238:Q238 O241:Q241 O243:P243 O245:P245 O247:P248 O251:P251 Q243:Q252">
    <cfRule type="containsText" dxfId="2" priority="41168" operator="containsText" text="Yes">
      <formula>NOT(ISERROR(SEARCH(("Yes"),(O222))))</formula>
    </cfRule>
  </conditionalFormatting>
  <conditionalFormatting sqref="O222:Q226 O229:Q230 O234:Q234 O238:Q238 O241:Q241 O243:P243 O245:P245 O247:P248 O251:P251 Q243:Q252">
    <cfRule type="containsText" dxfId="2" priority="41169" operator="containsText" text="Yes">
      <formula>NOT(ISERROR(SEARCH(("Yes"),(O222))))</formula>
    </cfRule>
  </conditionalFormatting>
  <conditionalFormatting sqref="O222:Q226 O229:Q230 O234:Q234 O238:Q238 O241:Q241 O243:P243 O245:P245 O247:P248 O251:P251 Q243:Q252">
    <cfRule type="containsText" dxfId="2" priority="41170" operator="containsText" text="Yes">
      <formula>NOT(ISERROR(SEARCH(("Yes"),(O222))))</formula>
    </cfRule>
  </conditionalFormatting>
  <conditionalFormatting sqref="O222:Q226 O229:Q230 O234:Q234 O238:Q238 O241:Q241 O243:P243 O245:P245 O247:P248 O251:P251 Q243:Q252">
    <cfRule type="containsText" dxfId="2" priority="41171" operator="containsText" text="Yes">
      <formula>NOT(ISERROR(SEARCH(("Yes"),(O222))))</formula>
    </cfRule>
  </conditionalFormatting>
  <conditionalFormatting sqref="O222:Q226 O229:Q230 O234:Q234 O238:Q238 O241:Q241 O243:P243 O245:P245 O247:P248 O251:P251 Q243:Q252">
    <cfRule type="containsText" dxfId="2" priority="41172" operator="containsText" text="Yes">
      <formula>NOT(ISERROR(SEARCH(("Yes"),(O222))))</formula>
    </cfRule>
  </conditionalFormatting>
  <conditionalFormatting sqref="O222:Q226 O229:Q230 O234:Q234 O238:Q238 O241:Q241 O243:P243 O245:P245 O247:P248 O251:P251 Q243:Q252">
    <cfRule type="containsText" dxfId="2" priority="41173" operator="containsText" text="Yes">
      <formula>NOT(ISERROR(SEARCH(("Yes"),(O222))))</formula>
    </cfRule>
  </conditionalFormatting>
  <conditionalFormatting sqref="O222:Q226 O229:Q230 O234:Q234 O238:Q238 O241:Q241 O243:P243 O245:P245 O247:P248 O251:P251 Q243:Q252">
    <cfRule type="containsText" dxfId="2" priority="41174" operator="containsText" text="Yes">
      <formula>NOT(ISERROR(SEARCH(("Yes"),(O222))))</formula>
    </cfRule>
  </conditionalFormatting>
  <conditionalFormatting sqref="O222:Q226 O229:Q230 O234:Q234 O238:Q238 O241:Q241 O243:P243 O245:P245 O247:P248 O251:P251 Q243:Q252">
    <cfRule type="containsText" dxfId="2" priority="41175" operator="containsText" text="Yes">
      <formula>NOT(ISERROR(SEARCH(("Yes"),(O222))))</formula>
    </cfRule>
  </conditionalFormatting>
  <conditionalFormatting sqref="O222:Q226 O229:Q230 O234:Q234 O238:Q238 O241:Q241 O243:P243 O245:P245 O247:P248 O251:P251 Q243:Q252">
    <cfRule type="containsText" dxfId="2" priority="41176" operator="containsText" text="Yes">
      <formula>NOT(ISERROR(SEARCH(("Yes"),(O222))))</formula>
    </cfRule>
  </conditionalFormatting>
  <conditionalFormatting sqref="O222:Q226 O229:Q230 O234:Q234 O238:Q238 O241:Q241 O243:P243 O245:P245 O247:P248 O251:P251 Q243:Q252">
    <cfRule type="containsText" dxfId="2" priority="41177" operator="containsText" text="Yes">
      <formula>NOT(ISERROR(SEARCH(("Yes"),(O222))))</formula>
    </cfRule>
  </conditionalFormatting>
  <conditionalFormatting sqref="O222:Q226 O229:Q230 O234:Q234 O238:Q238 O241:Q241 O243:P243 O245:P245 O247:P248 O251:P251 Q243:Q252">
    <cfRule type="containsText" dxfId="2" priority="41178" operator="containsText" text="Yes">
      <formula>NOT(ISERROR(SEARCH(("Yes"),(O222))))</formula>
    </cfRule>
  </conditionalFormatting>
  <conditionalFormatting sqref="O222:Q226 O229:Q230 O234:Q234 O238:Q238 O241:Q241 O243:P243 O245:P245 O247:P248 O251:P251 Q243:Q252">
    <cfRule type="containsText" dxfId="2" priority="41179" operator="containsText" text="Yes">
      <formula>NOT(ISERROR(SEARCH(("Yes"),(O222))))</formula>
    </cfRule>
  </conditionalFormatting>
  <conditionalFormatting sqref="O222:Q226 O229:Q230 O234:Q234 O238:Q238 O241:Q241 O243:P243 O245:P245 O247:P248 O251:P251 Q243:Q252">
    <cfRule type="containsText" dxfId="2" priority="41180" operator="containsText" text="Yes">
      <formula>NOT(ISERROR(SEARCH(("Yes"),(O222))))</formula>
    </cfRule>
  </conditionalFormatting>
  <conditionalFormatting sqref="O222:Q226 O229:Q230 O234:Q234 O238:Q238 O241:Q241 O243:P243 O245:P245 O247:P248 O251:P251 Q243:Q252">
    <cfRule type="containsText" dxfId="2" priority="41181" operator="containsText" text="Yes">
      <formula>NOT(ISERROR(SEARCH(("Yes"),(O222))))</formula>
    </cfRule>
  </conditionalFormatting>
  <conditionalFormatting sqref="O222:Q226 O229:Q230 O234:Q234 O238:Q238 O241:Q241 O243:P243 O245:P245 O247:P248 O251:P251 Q243:Q252">
    <cfRule type="containsText" dxfId="2" priority="41182" operator="containsText" text="Yes">
      <formula>NOT(ISERROR(SEARCH(("Yes"),(O222))))</formula>
    </cfRule>
  </conditionalFormatting>
  <conditionalFormatting sqref="O222:Q226 O229:Q230 O234:Q234 O238:Q238 O241:Q241 O243:P243 O245:P245 O247:P248 O251:P251 Q243:Q252">
    <cfRule type="containsText" dxfId="2" priority="41183" operator="containsText" text="Yes">
      <formula>NOT(ISERROR(SEARCH(("Yes"),(O222))))</formula>
    </cfRule>
  </conditionalFormatting>
  <conditionalFormatting sqref="O222:Q226 O229:Q230 O234:Q234 O238:Q238 O241:Q241 O243:P243 O245:P245 O247:P248 O251:P251 Q243:Q252">
    <cfRule type="containsText" dxfId="2" priority="41184" operator="containsText" text="Yes">
      <formula>NOT(ISERROR(SEARCH(("Yes"),(O222))))</formula>
    </cfRule>
  </conditionalFormatting>
  <conditionalFormatting sqref="O222:Q226 O229:Q230 O234:Q234 O238:Q238 O241:Q241 O243:P243 O245:P245 O247:P248 O251:P251 Q243:Q252">
    <cfRule type="containsText" dxfId="2" priority="41185" operator="containsText" text="Yes">
      <formula>NOT(ISERROR(SEARCH(("Yes"),(O222))))</formula>
    </cfRule>
  </conditionalFormatting>
  <conditionalFormatting sqref="O222:Q226 O229:Q230 O234:Q234 O238:Q238 O241:Q241 O243:P243 O245:P245 O247:P248 O251:P251 Q243:Q252">
    <cfRule type="containsText" dxfId="2" priority="41186" operator="containsText" text="Yes">
      <formula>NOT(ISERROR(SEARCH(("Yes"),(O222))))</formula>
    </cfRule>
  </conditionalFormatting>
  <conditionalFormatting sqref="O222:Q226 O229:Q230 O234:Q234 O238:Q238 O241:Q241 O243:P243 O245:P245 O247:P248 O251:P251 Q243:Q252">
    <cfRule type="containsText" dxfId="2" priority="41187" operator="containsText" text="Yes">
      <formula>NOT(ISERROR(SEARCH(("Yes"),(O222))))</formula>
    </cfRule>
  </conditionalFormatting>
  <conditionalFormatting sqref="O222:Q226 O229:Q230 O234:Q234 O238:Q238 O241:Q241 O243:P243 O245:P245 O247:P248 O251:P251 Q243:Q252">
    <cfRule type="containsText" dxfId="2" priority="41188" operator="containsText" text="Yes">
      <formula>NOT(ISERROR(SEARCH(("Yes"),(O222))))</formula>
    </cfRule>
  </conditionalFormatting>
  <conditionalFormatting sqref="O222:Q226 O229:Q230 O234:Q234 O238:Q238 O241:Q241 O243:P243 O245:P245 O247:P248 O251:P251 Q243:Q252">
    <cfRule type="containsText" dxfId="2" priority="41189" operator="containsText" text="Yes">
      <formula>NOT(ISERROR(SEARCH(("Yes"),(O222))))</formula>
    </cfRule>
  </conditionalFormatting>
  <conditionalFormatting sqref="O222:Q226 O229:Q230 O234:Q234 O238:Q238 O241:Q241 O243:P243 O245:P245 O247:P248 O251:P251 Q243:Q252">
    <cfRule type="containsText" dxfId="2" priority="41190" operator="containsText" text="Yes">
      <formula>NOT(ISERROR(SEARCH(("Yes"),(O222))))</formula>
    </cfRule>
  </conditionalFormatting>
  <conditionalFormatting sqref="O222:Q226 O229:Q230 O234:Q234 O238:Q238 O241:Q241 O243:P243 O245:P245 O247:P248 O251:P251 Q243:Q252">
    <cfRule type="containsText" dxfId="2" priority="41191" operator="containsText" text="Yes">
      <formula>NOT(ISERROR(SEARCH(("Yes"),(O222))))</formula>
    </cfRule>
  </conditionalFormatting>
  <conditionalFormatting sqref="O222:Q226 O229:Q230 O234:Q234 O238:Q238 O241:Q241 O243:P243 O245:P245 O247:P248 O251:P251 Q243:Q252">
    <cfRule type="containsText" dxfId="2" priority="41192" operator="containsText" text="Yes">
      <formula>NOT(ISERROR(SEARCH(("Yes"),(O222))))</formula>
    </cfRule>
  </conditionalFormatting>
  <conditionalFormatting sqref="O222:Q226 O229:Q230 O234:Q234 O238:Q238 O241:Q241 O243:P243 O245:P245 O247:P248 O251:P251 Q243:Q252">
    <cfRule type="containsText" dxfId="2" priority="41193" operator="containsText" text="Yes">
      <formula>NOT(ISERROR(SEARCH(("Yes"),(O222))))</formula>
    </cfRule>
  </conditionalFormatting>
  <conditionalFormatting sqref="O222:Q226 O229:Q230 O234:Q234 O238:Q238 O241:Q241 O243:P243 O245:P245 O247:P248 O251:P251 Q243:Q252">
    <cfRule type="containsText" dxfId="2" priority="41194" operator="containsText" text="Yes">
      <formula>NOT(ISERROR(SEARCH(("Yes"),(O222))))</formula>
    </cfRule>
  </conditionalFormatting>
  <conditionalFormatting sqref="O222:Q226 O229:Q230 O234:Q234 O238:Q238 O241:Q241 O243:P243 O245:P245 O247:P248 O251:P251 Q243:Q252">
    <cfRule type="containsText" dxfId="2" priority="41195" operator="containsText" text="Yes">
      <formula>NOT(ISERROR(SEARCH(("Yes"),(O222))))</formula>
    </cfRule>
  </conditionalFormatting>
  <conditionalFormatting sqref="O222:Q226 O229:Q230 O234:Q234 O238:Q238 O241:Q241 O243:P243 O245:P245 O247:P248 O251:P251 Q243:Q252">
    <cfRule type="containsText" dxfId="2" priority="41196" operator="containsText" text="Yes">
      <formula>NOT(ISERROR(SEARCH(("Yes"),(O222))))</formula>
    </cfRule>
  </conditionalFormatting>
  <conditionalFormatting sqref="N223:O226 N229:O230 N234:O234 N238:O238 N241:O241 N243:O243 N245:O245 N247:O248 N251:O251">
    <cfRule type="containsText" dxfId="9" priority="41197" operator="containsText" text="No">
      <formula>NOT(ISERROR(SEARCH(("No"),(N223))))</formula>
    </cfRule>
  </conditionalFormatting>
  <conditionalFormatting sqref="N223:O226 N229:O230 N234:O234 N238:O238 N241:O241 N243:O243 N245:O245 N247:O248 N251:O251">
    <cfRule type="containsText" dxfId="9" priority="41198" operator="containsText" text="No">
      <formula>NOT(ISERROR(SEARCH(("No"),(N223))))</formula>
    </cfRule>
  </conditionalFormatting>
  <conditionalFormatting sqref="N223:O226 N229:O230 N234:O234 N238:O238 N241:O241 N243:O243 N245:O245 N247:O248 N251:O251">
    <cfRule type="containsText" dxfId="9" priority="41199" operator="containsText" text="No">
      <formula>NOT(ISERROR(SEARCH(("No"),(N223))))</formula>
    </cfRule>
  </conditionalFormatting>
  <conditionalFormatting sqref="N223:O226 N229:O230 N234:O234 N238:O238 N241:O241 N243:O243 N245:O245 N247:O248 N251:O251">
    <cfRule type="containsText" dxfId="2" priority="41200" operator="containsText" text="Yes">
      <formula>NOT(ISERROR(SEARCH(("Yes"),(N223))))</formula>
    </cfRule>
  </conditionalFormatting>
  <conditionalFormatting sqref="N223:O226 N229:O230 N234:O234 N238:O238 N241:O241 N243:O243 N245:O245 N247:O248 N251:O251">
    <cfRule type="containsText" dxfId="2" priority="41201" operator="containsText" text="Yes">
      <formula>NOT(ISERROR(SEARCH(("Yes"),(N223))))</formula>
    </cfRule>
  </conditionalFormatting>
  <conditionalFormatting sqref="N223:O226 N229:O230 N234:O234 N238:O238 N241:O241 N243:O243 N245:O245 N247:O248 N251:O251">
    <cfRule type="containsText" dxfId="2" priority="41202" operator="containsText" text="Yes">
      <formula>NOT(ISERROR(SEARCH(("Yes"),(N223))))</formula>
    </cfRule>
  </conditionalFormatting>
  <conditionalFormatting sqref="N223:O226 N229:O230 N234:O234 N238:O238 N241:O241 N243:O243 N245:O245 N247:O248 N251:O251">
    <cfRule type="containsText" dxfId="2" priority="41203" operator="containsText" text="Yes">
      <formula>NOT(ISERROR(SEARCH(("Yes"),(N223))))</formula>
    </cfRule>
  </conditionalFormatting>
  <conditionalFormatting sqref="N223:O226 N229:O230 N234:O234 N238:O238 N241:O241 N243:O243 N245:O245 N247:O248 N251:O251">
    <cfRule type="containsText" dxfId="2" priority="41204" operator="containsText" text="Yes">
      <formula>NOT(ISERROR(SEARCH(("Yes"),(N223))))</formula>
    </cfRule>
  </conditionalFormatting>
  <conditionalFormatting sqref="N223:O226 N229:O230 N234:O234 N238:O238 N241:O241 N243:O243 N245:O245 N247:O248 N251:O251">
    <cfRule type="containsText" dxfId="9" priority="41205" operator="containsText" text="No">
      <formula>NOT(ISERROR(SEARCH(("No"),(N223))))</formula>
    </cfRule>
  </conditionalFormatting>
  <conditionalFormatting sqref="N223:O226 N229:O230 N234:O234 N238:O238 N241:O241 N243:O243 N245:O245 N247:O248 N251:O251">
    <cfRule type="containsText" dxfId="2" priority="41206" operator="containsText" text="Yes">
      <formula>NOT(ISERROR(SEARCH(("Yes"),(N223))))</formula>
    </cfRule>
  </conditionalFormatting>
  <conditionalFormatting sqref="P223:Q226 P229:Q230 P234:Q234 P238:Q238 P241:Q241 P243 P245 P247:P248 P251 Q243:Q252">
    <cfRule type="containsText" dxfId="9" priority="41207" operator="containsText" text="No">
      <formula>NOT(ISERROR(SEARCH(("No"),(P223))))</formula>
    </cfRule>
  </conditionalFormatting>
  <conditionalFormatting sqref="P223:Q226 P229:Q230 P234:Q234 P238:Q238 P241:Q241 P243 P245 P247:P248 P251 Q243:Q252">
    <cfRule type="containsText" dxfId="9" priority="41208" operator="containsText" text="No">
      <formula>NOT(ISERROR(SEARCH(("No"),(P223))))</formula>
    </cfRule>
  </conditionalFormatting>
  <conditionalFormatting sqref="P223:Q226 P229:Q230 P234:Q234 P238:Q238 P241:Q241 P243 P245 P247:P248 P251 Q243:Q252">
    <cfRule type="containsText" dxfId="9" priority="41209" operator="containsText" text="No">
      <formula>NOT(ISERROR(SEARCH(("No"),(P223))))</formula>
    </cfRule>
  </conditionalFormatting>
  <conditionalFormatting sqref="P223:Q226 P229:Q230 P234:Q234 P238:Q238 P241:Q241 P243 P245 P247:P248 P251 Q243:Q252">
    <cfRule type="containsText" dxfId="9" priority="41210" operator="containsText" text="No">
      <formula>NOT(ISERROR(SEARCH(("No"),(P223))))</formula>
    </cfRule>
  </conditionalFormatting>
  <conditionalFormatting sqref="P223:Q226 P229:Q230 P234:Q234 P238:Q238 P241:Q241 P243 P245 P247:P248 P251 Q243:Q252">
    <cfRule type="containsText" dxfId="9" priority="41211" operator="containsText" text="No">
      <formula>NOT(ISERROR(SEARCH(("No"),(P223))))</formula>
    </cfRule>
  </conditionalFormatting>
  <conditionalFormatting sqref="P223:Q226 P229:Q230 P234:Q234 P238:Q238 P241:Q241 P243 P245 P247:P248 P251 Q243:Q252">
    <cfRule type="containsText" dxfId="9" priority="41212" operator="containsText" text="No">
      <formula>NOT(ISERROR(SEARCH(("No"),(P223))))</formula>
    </cfRule>
  </conditionalFormatting>
  <conditionalFormatting sqref="P223:Q226 P229:Q230 P234:Q234 P238:Q238 P241:Q241 P243 P245 P247:P248 P251 Q243:Q252">
    <cfRule type="containsText" dxfId="9" priority="41213" operator="containsText" text="No">
      <formula>NOT(ISERROR(SEARCH(("No"),(P223))))</formula>
    </cfRule>
  </conditionalFormatting>
  <conditionalFormatting sqref="P223:Q226 P229:Q230 P234:Q234 P238:Q238 P241:Q241 P243 P245 P247:P248 P251 Q243:Q252">
    <cfRule type="containsText" dxfId="9" priority="41214" operator="containsText" text="No">
      <formula>NOT(ISERROR(SEARCH(("No"),(P223))))</formula>
    </cfRule>
  </conditionalFormatting>
  <conditionalFormatting sqref="P223:Q226 P229:Q230 P234:Q234 P238:Q238 P241:Q241 P243 P245 P247:P248 P251 Q243:Q252">
    <cfRule type="containsText" dxfId="9" priority="41215" operator="containsText" text="No">
      <formula>NOT(ISERROR(SEARCH(("No"),(P223))))</formula>
    </cfRule>
  </conditionalFormatting>
  <conditionalFormatting sqref="P223:Q226 P229:Q230 P234:Q234 P238:Q238 P241:Q241 P243 P245 P247:P248 P251 Q243:Q252">
    <cfRule type="containsText" dxfId="9" priority="41216" operator="containsText" text="No">
      <formula>NOT(ISERROR(SEARCH(("No"),(P223))))</formula>
    </cfRule>
  </conditionalFormatting>
  <conditionalFormatting sqref="P223:Q226 P229:Q230 P234:Q234 P238:Q238 P241:Q241 P243 P245 P247:P248 P251 Q243:Q252">
    <cfRule type="containsText" dxfId="9" priority="41217" operator="containsText" text="No">
      <formula>NOT(ISERROR(SEARCH(("No"),(P223))))</formula>
    </cfRule>
  </conditionalFormatting>
  <conditionalFormatting sqref="P223:Q226 P229:Q230 P234:Q234 P238:Q238 P241:Q241 P243 P245 P247:P248 P251 Q243:Q252">
    <cfRule type="containsText" dxfId="9" priority="41218" operator="containsText" text="No">
      <formula>NOT(ISERROR(SEARCH(("No"),(P223))))</formula>
    </cfRule>
  </conditionalFormatting>
  <conditionalFormatting sqref="P223:Q226 P229:Q230 P234:Q234 P238:Q238 P241:Q241 P243 P245 P247:P248 P251 Q243:Q252">
    <cfRule type="containsText" dxfId="9" priority="41219" operator="containsText" text="No">
      <formula>NOT(ISERROR(SEARCH(("No"),(P223))))</formula>
    </cfRule>
  </conditionalFormatting>
  <conditionalFormatting sqref="P223:Q226 P229:Q230 P234:Q234 P238:Q238 P241:Q241 P243 P245 P247:P248 P251 Q243:Q252">
    <cfRule type="containsText" dxfId="9" priority="41220" operator="containsText" text="No">
      <formula>NOT(ISERROR(SEARCH(("No"),(P223))))</formula>
    </cfRule>
  </conditionalFormatting>
  <conditionalFormatting sqref="P223:Q226 P229:Q230 P234:Q234 P238:Q238 P241:Q241 P243 P245 P247:P248 P251 Q243:Q252">
    <cfRule type="containsText" dxfId="9" priority="41221" operator="containsText" text="No">
      <formula>NOT(ISERROR(SEARCH(("No"),(P223))))</formula>
    </cfRule>
  </conditionalFormatting>
  <conditionalFormatting sqref="P223:Q226 P229:Q230 P234:Q234 P238:Q238 P241:Q241 P243 P245 P247:P248 P251 Q243:Q252">
    <cfRule type="containsText" dxfId="9" priority="41222" operator="containsText" text="No">
      <formula>NOT(ISERROR(SEARCH(("No"),(P223))))</formula>
    </cfRule>
  </conditionalFormatting>
  <conditionalFormatting sqref="P223:Q226 P229:Q230 P234:Q234 P238:Q238 P241:Q241 P243 P245 P247:P248 P251 Q243:Q252">
    <cfRule type="containsText" dxfId="9" priority="41223" operator="containsText" text="No">
      <formula>NOT(ISERROR(SEARCH(("No"),(P223))))</formula>
    </cfRule>
  </conditionalFormatting>
  <conditionalFormatting sqref="P223:Q226 P229:Q230 P234:Q234 P238:Q238 P241:Q241 P243 P245 P247:P248 P251 Q243:Q252">
    <cfRule type="containsText" dxfId="9" priority="41224" operator="containsText" text="No">
      <formula>NOT(ISERROR(SEARCH(("No"),(P223))))</formula>
    </cfRule>
  </conditionalFormatting>
  <conditionalFormatting sqref="P223:Q226 P229:Q230 P234:Q234 P238:Q238 P241:Q241 P243 P245 P247:P248 P251 Q243:Q252">
    <cfRule type="containsText" dxfId="9" priority="41225" operator="containsText" text="No">
      <formula>NOT(ISERROR(SEARCH(("No"),(P223))))</formula>
    </cfRule>
  </conditionalFormatting>
  <conditionalFormatting sqref="P223:Q226 P229:Q230 P234:Q234 P238:Q238 P241:Q241 P243 P245 P247:P248 P251 Q243:Q252">
    <cfRule type="containsText" dxfId="9" priority="41226" operator="containsText" text="No">
      <formula>NOT(ISERROR(SEARCH(("No"),(P223))))</formula>
    </cfRule>
  </conditionalFormatting>
  <conditionalFormatting sqref="P223:Q226 P229:Q230 P234:Q234 P238:Q238 P241:Q241 P243 P245 P247:P248 P251 Q243:Q252">
    <cfRule type="containsText" dxfId="9" priority="41227" operator="containsText" text="No">
      <formula>NOT(ISERROR(SEARCH(("No"),(P223))))</formula>
    </cfRule>
  </conditionalFormatting>
  <conditionalFormatting sqref="P223:Q226 P229:Q230 P234:Q234 P238:Q238 P241:Q241 P243 P245 P247:P248 P251 Q243:Q252">
    <cfRule type="containsText" dxfId="9" priority="41228" operator="containsText" text="No">
      <formula>NOT(ISERROR(SEARCH(("No"),(P223))))</formula>
    </cfRule>
  </conditionalFormatting>
  <conditionalFormatting sqref="P223:Q226 P229:Q230 P234:Q234 P238:Q238 P241:Q241 P243 P245 P247:P248 P251 Q243:Q252">
    <cfRule type="containsText" dxfId="9" priority="41229" operator="containsText" text="No">
      <formula>NOT(ISERROR(SEARCH(("No"),(P223))))</formula>
    </cfRule>
  </conditionalFormatting>
  <conditionalFormatting sqref="P223:Q226 P229:Q230 P234:Q234 P238:Q238 P241:Q241 P243 P245 P247:P248 P251 Q243:Q252">
    <cfRule type="containsText" dxfId="9" priority="41230" operator="containsText" text="No">
      <formula>NOT(ISERROR(SEARCH(("No"),(P223))))</formula>
    </cfRule>
  </conditionalFormatting>
  <conditionalFormatting sqref="P223:Q226 P229:Q230 P234:Q234 P238:Q238 P241:Q241 P243 P245 P247:P248 P251 Q243:Q252">
    <cfRule type="containsText" dxfId="9" priority="41231" operator="containsText" text="No">
      <formula>NOT(ISERROR(SEARCH(("No"),(P223))))</formula>
    </cfRule>
  </conditionalFormatting>
  <conditionalFormatting sqref="P223:Q226 P229:Q230 P234:Q234 P238:Q238 P241:Q241 P243 P245 P247:P248 P251 Q243:Q252">
    <cfRule type="containsText" dxfId="9" priority="41232" operator="containsText" text="No">
      <formula>NOT(ISERROR(SEARCH(("No"),(P223))))</formula>
    </cfRule>
  </conditionalFormatting>
  <conditionalFormatting sqref="P223:Q226 P229:Q230 P234:Q234 P238:Q238 P241:Q241 P243 P245 P247:P248 P251 Q243:Q252">
    <cfRule type="containsText" dxfId="9" priority="41233" operator="containsText" text="No">
      <formula>NOT(ISERROR(SEARCH(("No"),(P223))))</formula>
    </cfRule>
  </conditionalFormatting>
  <conditionalFormatting sqref="P223:Q226 P229:Q230 P234:Q234 P238:Q238 P241:Q241 P243 P245 P247:P248 P251 Q243:Q252">
    <cfRule type="containsText" dxfId="9" priority="41234" operator="containsText" text="No">
      <formula>NOT(ISERROR(SEARCH(("No"),(P223))))</formula>
    </cfRule>
  </conditionalFormatting>
  <conditionalFormatting sqref="P223:Q226 P229:Q230 P234:Q234 P238:Q238 P241:Q241 P243 P245 P247:P248 P251 Q243:Q252">
    <cfRule type="containsText" dxfId="9" priority="41235" operator="containsText" text="No">
      <formula>NOT(ISERROR(SEARCH(("No"),(P223))))</formula>
    </cfRule>
  </conditionalFormatting>
  <conditionalFormatting sqref="P223:Q226 P229:Q230 P234:Q234 P238:Q238 P241:Q241 P243 P245 P247:P248 P251 Q243:Q252">
    <cfRule type="containsText" dxfId="9" priority="41236" operator="containsText" text="No">
      <formula>NOT(ISERROR(SEARCH(("No"),(P223))))</formula>
    </cfRule>
  </conditionalFormatting>
  <conditionalFormatting sqref="P223:Q226 P229:Q230 P234:Q234 P238:Q238 P241:Q241 P243 P245 P247:P248 P251 Q243:Q252">
    <cfRule type="containsText" dxfId="9" priority="41237" operator="containsText" text="No">
      <formula>NOT(ISERROR(SEARCH(("No"),(P223))))</formula>
    </cfRule>
  </conditionalFormatting>
  <conditionalFormatting sqref="P223:Q226 P229:Q230 P234:Q234 P238:Q238 P241:Q241 P243 P245 P247:P248 P251 Q243:Q252">
    <cfRule type="containsText" dxfId="9" priority="41238" operator="containsText" text="No">
      <formula>NOT(ISERROR(SEARCH(("No"),(P223))))</formula>
    </cfRule>
  </conditionalFormatting>
  <conditionalFormatting sqref="P223:Q226 P229:Q230 P234:Q234 P238:Q238 P241:Q241 P243 P245 P247:P248 P251 Q243:Q252">
    <cfRule type="containsText" dxfId="9" priority="41239" operator="containsText" text="No">
      <formula>NOT(ISERROR(SEARCH(("No"),(P223))))</formula>
    </cfRule>
  </conditionalFormatting>
  <conditionalFormatting sqref="P223:Q226 P229:Q230 P234:Q234 P238:Q238 P241:Q241 P243 P245 P247:P248 P251 Q243:Q252">
    <cfRule type="containsText" dxfId="9" priority="41240" operator="containsText" text="No">
      <formula>NOT(ISERROR(SEARCH(("No"),(P223))))</formula>
    </cfRule>
  </conditionalFormatting>
  <conditionalFormatting sqref="P223:Q226 P229:Q230 P234:Q234 P238:Q238 P241:Q241 P243 P245 P247:P248 P251 Q243:Q252">
    <cfRule type="containsText" dxfId="9" priority="41241" operator="containsText" text="No">
      <formula>NOT(ISERROR(SEARCH(("No"),(P223))))</formula>
    </cfRule>
  </conditionalFormatting>
  <conditionalFormatting sqref="P223:Q226 P229:Q230 P234:Q234 P238:Q238 P241:Q241 P243 P245 P247:P248 P251 Q243:Q252">
    <cfRule type="containsText" dxfId="9" priority="41242" operator="containsText" text="No">
      <formula>NOT(ISERROR(SEARCH(("No"),(P223))))</formula>
    </cfRule>
  </conditionalFormatting>
  <conditionalFormatting sqref="P223:Q226 P229:Q230 P234:Q234 P238:Q238 P241:Q241 P243 P245 P247:P248 P251 Q243:Q252">
    <cfRule type="containsText" dxfId="9" priority="41243" operator="containsText" text="No">
      <formula>NOT(ISERROR(SEARCH(("No"),(P223))))</formula>
    </cfRule>
  </conditionalFormatting>
  <conditionalFormatting sqref="P223:Q226 P229:Q230 P234:Q234 P238:Q238 P241:Q241 P243 P245 P247:P248 P251 Q243:Q252">
    <cfRule type="containsText" dxfId="9" priority="41244" operator="containsText" text="No">
      <formula>NOT(ISERROR(SEARCH(("No"),(P223))))</formula>
    </cfRule>
  </conditionalFormatting>
  <conditionalFormatting sqref="P223:Q226 P229:Q230 P234:Q234 P238:Q238 P241:Q241 P243 P245 P247:P248 P251 Q243:Q252">
    <cfRule type="containsText" dxfId="9" priority="41245" operator="containsText" text="No">
      <formula>NOT(ISERROR(SEARCH(("No"),(P223))))</formula>
    </cfRule>
  </conditionalFormatting>
  <conditionalFormatting sqref="P223:Q226 P229:Q230 P234:Q234 P238:Q238 P241:Q241 P243 P245 P247:P248 P251 Q243:Q252">
    <cfRule type="containsText" dxfId="9" priority="41246" operator="containsText" text="No">
      <formula>NOT(ISERROR(SEARCH(("No"),(P223))))</formula>
    </cfRule>
  </conditionalFormatting>
  <conditionalFormatting sqref="P223:Q226 P229:Q230 P234:Q234 P238:Q238 P241:Q241 P243 P245 P247:P248 P251 Q243:Q252">
    <cfRule type="containsText" dxfId="9" priority="41247" operator="containsText" text="No">
      <formula>NOT(ISERROR(SEARCH(("No"),(P223))))</formula>
    </cfRule>
  </conditionalFormatting>
  <conditionalFormatting sqref="P223:Q226 P229:Q230 P234:Q234 P238:Q238 P241:Q241 P243 P245 P247:P248 P251 Q243:Q252">
    <cfRule type="containsText" dxfId="9" priority="41248" operator="containsText" text="No">
      <formula>NOT(ISERROR(SEARCH(("No"),(P223))))</formula>
    </cfRule>
  </conditionalFormatting>
  <conditionalFormatting sqref="P223:Q226 P229:Q230 P234:Q234 P238:Q238 P241:Q241 P243 P245 P247:P248 P251 Q243:Q252">
    <cfRule type="containsText" dxfId="9" priority="41249" operator="containsText" text="No">
      <formula>NOT(ISERROR(SEARCH(("No"),(P223))))</formula>
    </cfRule>
  </conditionalFormatting>
  <conditionalFormatting sqref="P223:Q226 P229:Q230 P234:Q234 P238:Q238 P241:Q241 P243 P245 P247:P248 P251 Q243:Q252">
    <cfRule type="containsText" dxfId="9" priority="41250" operator="containsText" text="No">
      <formula>NOT(ISERROR(SEARCH(("No"),(P223))))</formula>
    </cfRule>
  </conditionalFormatting>
  <conditionalFormatting sqref="P223:Q226 P229:Q230 P234:Q234 P238:Q238 P241:Q241 P243 P245 P247:P248 P251 Q243:Q252">
    <cfRule type="containsText" dxfId="9" priority="41251" operator="containsText" text="No">
      <formula>NOT(ISERROR(SEARCH(("No"),(P223))))</formula>
    </cfRule>
  </conditionalFormatting>
  <conditionalFormatting sqref="P223:Q226 P229:Q230 P234:Q234 P238:Q238 P241:Q241 P243 P245 P247:P248 P251 Q243:Q252">
    <cfRule type="containsText" dxfId="2" priority="41252" operator="containsText" text="Yes">
      <formula>NOT(ISERROR(SEARCH(("Yes"),(P223))))</formula>
    </cfRule>
  </conditionalFormatting>
  <conditionalFormatting sqref="P223:Q226 P229:Q230 P234:Q234 P238:Q238 P241:Q241 P243 P245 P247:P248 P251 Q243:Q252">
    <cfRule type="containsText" dxfId="2" priority="41253" operator="containsText" text="Yes">
      <formula>NOT(ISERROR(SEARCH(("Yes"),(P223))))</formula>
    </cfRule>
  </conditionalFormatting>
  <conditionalFormatting sqref="P223:Q226 P229:Q230 P234:Q234 P238:Q238 P241:Q241 P243 P245 P247:P248 P251 Q243:Q252">
    <cfRule type="containsText" dxfId="2" priority="41254" operator="containsText" text="Yes">
      <formula>NOT(ISERROR(SEARCH(("Yes"),(P223))))</formula>
    </cfRule>
  </conditionalFormatting>
  <conditionalFormatting sqref="P223:Q226 P229:Q230 P234:Q234 P238:Q238 P241:Q241 P243 P245 P247:P248 P251 Q243:Q252">
    <cfRule type="containsText" dxfId="2" priority="41255" operator="containsText" text="Yes">
      <formula>NOT(ISERROR(SEARCH(("Yes"),(P223))))</formula>
    </cfRule>
  </conditionalFormatting>
  <conditionalFormatting sqref="P223:Q226 P229:Q230 P234:Q234 P238:Q238 P241:Q241 P243 P245 P247:P248 P251 Q243:Q252">
    <cfRule type="containsText" dxfId="2" priority="41256" operator="containsText" text="Yes">
      <formula>NOT(ISERROR(SEARCH(("Yes"),(P223))))</formula>
    </cfRule>
  </conditionalFormatting>
  <conditionalFormatting sqref="P223:Q226 P229:Q230 P234:Q234 P238:Q238 P241:Q241 P243 P245 P247:P248 P251 Q243:Q252">
    <cfRule type="containsText" dxfId="2" priority="41257" operator="containsText" text="Yes">
      <formula>NOT(ISERROR(SEARCH(("Yes"),(P223))))</formula>
    </cfRule>
  </conditionalFormatting>
  <conditionalFormatting sqref="P223:Q226 P229:Q230 P234:Q234 P238:Q238 P241:Q241 P243 P245 P247:P248 P251 Q243:Q252">
    <cfRule type="containsText" dxfId="2" priority="41258" operator="containsText" text="Yes">
      <formula>NOT(ISERROR(SEARCH(("Yes"),(P223))))</formula>
    </cfRule>
  </conditionalFormatting>
  <conditionalFormatting sqref="P223:Q226 P229:Q230 P234:Q234 P238:Q238 P241:Q241 P243 P245 P247:P248 P251 Q243:Q252">
    <cfRule type="containsText" dxfId="2" priority="41259" operator="containsText" text="Yes">
      <formula>NOT(ISERROR(SEARCH(("Yes"),(P223))))</formula>
    </cfRule>
  </conditionalFormatting>
  <conditionalFormatting sqref="P223:Q226 P229:Q230 P234:Q234 P238:Q238 P241:Q241 P243 P245 P247:P248 P251 Q243:Q252">
    <cfRule type="containsText" dxfId="2" priority="41260" operator="containsText" text="Yes">
      <formula>NOT(ISERROR(SEARCH(("Yes"),(P223))))</formula>
    </cfRule>
  </conditionalFormatting>
  <conditionalFormatting sqref="P223:Q226 P229:Q230 P234:Q234 P238:Q238 P241:Q241 P243 P245 P247:P248 P251 Q243:Q252">
    <cfRule type="containsText" dxfId="2" priority="41261" operator="containsText" text="Yes">
      <formula>NOT(ISERROR(SEARCH(("Yes"),(P223))))</formula>
    </cfRule>
  </conditionalFormatting>
  <conditionalFormatting sqref="P223:Q226 P229:Q230 P234:Q234 P238:Q238 P241:Q241 P243 P245 P247:P248 P251 Q243:Q252">
    <cfRule type="containsText" dxfId="2" priority="41262" operator="containsText" text="Yes">
      <formula>NOT(ISERROR(SEARCH(("Yes"),(P223))))</formula>
    </cfRule>
  </conditionalFormatting>
  <conditionalFormatting sqref="P223:Q226 P229:Q230 P234:Q234 P238:Q238 P241:Q241 P243 P245 P247:P248 P251 Q243:Q252">
    <cfRule type="containsText" dxfId="2" priority="41263" operator="containsText" text="Yes">
      <formula>NOT(ISERROR(SEARCH(("Yes"),(P223))))</formula>
    </cfRule>
  </conditionalFormatting>
  <conditionalFormatting sqref="P223:Q226 P229:Q230 P234:Q234 P238:Q238 P241:Q241 P243 P245 P247:P248 P251 Q243:Q252">
    <cfRule type="containsText" dxfId="2" priority="41264" operator="containsText" text="Yes">
      <formula>NOT(ISERROR(SEARCH(("Yes"),(P223))))</formula>
    </cfRule>
  </conditionalFormatting>
  <conditionalFormatting sqref="P223:Q226 P229:Q230 P234:Q234 P238:Q238 P241:Q241 P243 P245 P247:P248 P251 Q243:Q252">
    <cfRule type="containsText" dxfId="2" priority="41265" operator="containsText" text="Yes">
      <formula>NOT(ISERROR(SEARCH(("Yes"),(P223))))</formula>
    </cfRule>
  </conditionalFormatting>
  <conditionalFormatting sqref="P223:Q226 P229:Q230 P234:Q234 P238:Q238 P241:Q241 P243 P245 P247:P248 P251 Q243:Q252">
    <cfRule type="containsText" dxfId="2" priority="41266" operator="containsText" text="Yes">
      <formula>NOT(ISERROR(SEARCH(("Yes"),(P223))))</formula>
    </cfRule>
  </conditionalFormatting>
  <conditionalFormatting sqref="P223:Q226 P229:Q230 P234:Q234 P238:Q238 P241:Q241 P243 P245 P247:P248 P251 Q243:Q252">
    <cfRule type="containsText" dxfId="2" priority="41267" operator="containsText" text="Yes">
      <formula>NOT(ISERROR(SEARCH(("Yes"),(P223))))</formula>
    </cfRule>
  </conditionalFormatting>
  <conditionalFormatting sqref="P223:Q226 P229:Q230 P234:Q234 P238:Q238 P241:Q241 P243 P245 P247:P248 P251 Q243:Q252">
    <cfRule type="containsText" dxfId="2" priority="41268" operator="containsText" text="Yes">
      <formula>NOT(ISERROR(SEARCH(("Yes"),(P223))))</formula>
    </cfRule>
  </conditionalFormatting>
  <conditionalFormatting sqref="P223:Q226 P229:Q230 P234:Q234 P238:Q238 P241:Q241 P243 P245 P247:P248 P251 Q243:Q252">
    <cfRule type="containsText" dxfId="2" priority="41269" operator="containsText" text="Yes">
      <formula>NOT(ISERROR(SEARCH(("Yes"),(P223))))</formula>
    </cfRule>
  </conditionalFormatting>
  <conditionalFormatting sqref="P223:Q226 P229:Q230 P234:Q234 P238:Q238 P241:Q241 P243 P245 P247:P248 P251 Q243:Q252">
    <cfRule type="containsText" dxfId="2" priority="41270" operator="containsText" text="Yes">
      <formula>NOT(ISERROR(SEARCH(("Yes"),(P223))))</formula>
    </cfRule>
  </conditionalFormatting>
  <conditionalFormatting sqref="P223:Q226 P229:Q230 P234:Q234 P238:Q238 P241:Q241 P243 P245 P247:P248 P251 Q243:Q252">
    <cfRule type="containsText" dxfId="2" priority="41271" operator="containsText" text="Yes">
      <formula>NOT(ISERROR(SEARCH(("Yes"),(P223))))</formula>
    </cfRule>
  </conditionalFormatting>
  <conditionalFormatting sqref="P223:Q226 P229:Q230 P234:Q234 P238:Q238 P241:Q241 P243 P245 P247:P248 P251 Q243:Q252">
    <cfRule type="containsText" dxfId="2" priority="41272" operator="containsText" text="Yes">
      <formula>NOT(ISERROR(SEARCH(("Yes"),(P223))))</formula>
    </cfRule>
  </conditionalFormatting>
  <conditionalFormatting sqref="P223:Q226 P229:Q230 P234:Q234 P238:Q238 P241:Q241 P243 P245 P247:P248 P251 Q243:Q252">
    <cfRule type="containsText" dxfId="2" priority="41273" operator="containsText" text="Yes">
      <formula>NOT(ISERROR(SEARCH(("Yes"),(P223))))</formula>
    </cfRule>
  </conditionalFormatting>
  <conditionalFormatting sqref="P223:Q226 P229:Q230 P234:Q234 P238:Q238 P241:Q241 P243 P245 P247:P248 P251 Q243:Q252">
    <cfRule type="containsText" dxfId="2" priority="41274" operator="containsText" text="Yes">
      <formula>NOT(ISERROR(SEARCH(("Yes"),(P223))))</formula>
    </cfRule>
  </conditionalFormatting>
  <conditionalFormatting sqref="P223:Q226 P229:Q230 P234:Q234 P238:Q238 P241:Q241 P243 P245 P247:P248 P251 Q243:Q252">
    <cfRule type="containsText" dxfId="2" priority="41275" operator="containsText" text="Yes">
      <formula>NOT(ISERROR(SEARCH(("Yes"),(P223))))</formula>
    </cfRule>
  </conditionalFormatting>
  <conditionalFormatting sqref="P223:Q226 P229:Q230 P234:Q234 P238:Q238 P241:Q241 P243 P245 P247:P248 P251 Q243:Q252">
    <cfRule type="containsText" dxfId="2" priority="41276" operator="containsText" text="Yes">
      <formula>NOT(ISERROR(SEARCH(("Yes"),(P223))))</formula>
    </cfRule>
  </conditionalFormatting>
  <conditionalFormatting sqref="P223:Q226 P229:Q230 P234:Q234 P238:Q238 P241:Q241 P243 P245 P247:P248 P251 Q243:Q252">
    <cfRule type="containsText" dxfId="2" priority="41277" operator="containsText" text="Yes">
      <formula>NOT(ISERROR(SEARCH(("Yes"),(P223))))</formula>
    </cfRule>
  </conditionalFormatting>
  <conditionalFormatting sqref="P223:Q226 P229:Q230 P234:Q234 P238:Q238 P241:Q241 P243 P245 P247:P248 P251 Q243:Q252">
    <cfRule type="containsText" dxfId="2" priority="41278" operator="containsText" text="Yes">
      <formula>NOT(ISERROR(SEARCH(("Yes"),(P223))))</formula>
    </cfRule>
  </conditionalFormatting>
  <conditionalFormatting sqref="P223:Q226 P229:Q230 P234:Q234 P238:Q238 P241:Q241 P243 P245 P247:P248 P251 Q243:Q252">
    <cfRule type="containsText" dxfId="2" priority="41279" operator="containsText" text="Yes">
      <formula>NOT(ISERROR(SEARCH(("Yes"),(P223))))</formula>
    </cfRule>
  </conditionalFormatting>
  <conditionalFormatting sqref="P223:Q226 P229:Q230 P234:Q234 P238:Q238 P241:Q241 P243 P245 P247:P248 P251 Q243:Q252">
    <cfRule type="containsText" dxfId="2" priority="41280" operator="containsText" text="Yes">
      <formula>NOT(ISERROR(SEARCH(("Yes"),(P223))))</formula>
    </cfRule>
  </conditionalFormatting>
  <conditionalFormatting sqref="P223:Q226 P229:Q230 P234:Q234 P238:Q238 P241:Q241 P243 P245 P247:P248 P251 Q243:Q252">
    <cfRule type="containsText" dxfId="2" priority="41281" operator="containsText" text="Yes">
      <formula>NOT(ISERROR(SEARCH(("Yes"),(P223))))</formula>
    </cfRule>
  </conditionalFormatting>
  <conditionalFormatting sqref="P223:Q226 P229:Q230 P234:Q234 P238:Q238 P241:Q241 P243 P245 P247:P248 P251 Q243:Q252">
    <cfRule type="containsText" dxfId="2" priority="41282" operator="containsText" text="Yes">
      <formula>NOT(ISERROR(SEARCH(("Yes"),(P223))))</formula>
    </cfRule>
  </conditionalFormatting>
  <conditionalFormatting sqref="P223:Q226 P229:Q230 P234:Q234 P238:Q238 P241:Q241 P243 P245 P247:P248 P251 Q243:Q252">
    <cfRule type="containsText" dxfId="2" priority="41283" operator="containsText" text="Yes">
      <formula>NOT(ISERROR(SEARCH(("Yes"),(P223))))</formula>
    </cfRule>
  </conditionalFormatting>
  <conditionalFormatting sqref="P223:Q226 P229:Q230 P234:Q234 P238:Q238 P241:Q241 P243 P245 P247:P248 P251 Q243:Q252">
    <cfRule type="containsText" dxfId="2" priority="41284" operator="containsText" text="Yes">
      <formula>NOT(ISERROR(SEARCH(("Yes"),(P223))))</formula>
    </cfRule>
  </conditionalFormatting>
  <conditionalFormatting sqref="P223:Q226 P229:Q230 P234:Q234 P238:Q238 P241:Q241 P243 P245 P247:P248 P251 Q243:Q252">
    <cfRule type="containsText" dxfId="2" priority="41285" operator="containsText" text="Yes">
      <formula>NOT(ISERROR(SEARCH(("Yes"),(P223))))</formula>
    </cfRule>
  </conditionalFormatting>
  <conditionalFormatting sqref="P223:Q226 P229:Q230 P234:Q234 P238:Q238 P241:Q241 P243 P245 P247:P248 P251 Q243:Q252">
    <cfRule type="containsText" dxfId="2" priority="41286" operator="containsText" text="Yes">
      <formula>NOT(ISERROR(SEARCH(("Yes"),(P223))))</formula>
    </cfRule>
  </conditionalFormatting>
  <conditionalFormatting sqref="P223:Q226 P229:Q230 P234:Q234 P238:Q238 P241:Q241 P243 P245 P247:P248 P251 Q243:Q252">
    <cfRule type="containsText" dxfId="2" priority="41287" operator="containsText" text="Yes">
      <formula>NOT(ISERROR(SEARCH(("Yes"),(P223))))</formula>
    </cfRule>
  </conditionalFormatting>
  <conditionalFormatting sqref="P223:Q226 P229:Q230 P234:Q234 P238:Q238 P241:Q241 P243 P245 P247:P248 P251 Q243:Q252">
    <cfRule type="containsText" dxfId="2" priority="41288" operator="containsText" text="Yes">
      <formula>NOT(ISERROR(SEARCH(("Yes"),(P223))))</formula>
    </cfRule>
  </conditionalFormatting>
  <conditionalFormatting sqref="P223:Q226 P229:Q230 P234:Q234 P238:Q238 P241:Q241 P243 P245 P247:P248 P251 Q243:Q252">
    <cfRule type="containsText" dxfId="2" priority="41289" operator="containsText" text="Yes">
      <formula>NOT(ISERROR(SEARCH(("Yes"),(P223))))</formula>
    </cfRule>
  </conditionalFormatting>
  <conditionalFormatting sqref="P223:Q226 P229:Q230 P234:Q234 P238:Q238 P241:Q241 P243 P245 P247:P248 P251 Q243:Q252">
    <cfRule type="containsText" dxfId="2" priority="41290" operator="containsText" text="Yes">
      <formula>NOT(ISERROR(SEARCH(("Yes"),(P223))))</formula>
    </cfRule>
  </conditionalFormatting>
  <conditionalFormatting sqref="P223:Q226 P229:Q230 P234:Q234 P238:Q238 P241:Q241 P243 P245 P247:P248 P251 Q243:Q252">
    <cfRule type="containsText" dxfId="2" priority="41291" operator="containsText" text="Yes">
      <formula>NOT(ISERROR(SEARCH(("Yes"),(P223))))</formula>
    </cfRule>
  </conditionalFormatting>
  <conditionalFormatting sqref="P223:Q226 P229:Q230 P234:Q234 P238:Q238 P241:Q241 P243 P245 P247:P248 P251 Q243:Q252">
    <cfRule type="containsText" dxfId="2" priority="41292" operator="containsText" text="Yes">
      <formula>NOT(ISERROR(SEARCH(("Yes"),(P223))))</formula>
    </cfRule>
  </conditionalFormatting>
  <conditionalFormatting sqref="P223:Q226 P229:Q230 P234:Q234 P238:Q238 P241:Q241 P243 P245 P247:P248 P251 Q243:Q252">
    <cfRule type="containsText" dxfId="2" priority="41293" operator="containsText" text="Yes">
      <formula>NOT(ISERROR(SEARCH(("Yes"),(P223))))</formula>
    </cfRule>
  </conditionalFormatting>
  <conditionalFormatting sqref="P223:Q226 P229:Q230 P234:Q234 P238:Q238 P241:Q241 P243 P245 P247:P248 P251 Q243:Q252">
    <cfRule type="containsText" dxfId="2" priority="41294" operator="containsText" text="Yes">
      <formula>NOT(ISERROR(SEARCH(("Yes"),(P223))))</formula>
    </cfRule>
  </conditionalFormatting>
  <conditionalFormatting sqref="P223:Q226 P229:Q230 P234:Q234 P238:Q238 P241:Q241 P243 P245 P247:P248 P251 Q243:Q252">
    <cfRule type="containsText" dxfId="2" priority="41295" operator="containsText" text="Yes">
      <formula>NOT(ISERROR(SEARCH(("Yes"),(P223))))</formula>
    </cfRule>
  </conditionalFormatting>
  <conditionalFormatting sqref="P223:Q226 P229:Q230 P234:Q234 P238:Q238 P241:Q241 P243 P245 P247:P248 P251 Q243:Q252">
    <cfRule type="containsText" dxfId="2" priority="41296" operator="containsText" text="Yes">
      <formula>NOT(ISERROR(SEARCH(("Yes"),(P223))))</formula>
    </cfRule>
  </conditionalFormatting>
  <conditionalFormatting sqref="P223:Q226 P229:Q230 P234:Q234 P238:Q238 P241:Q241 P243 P245 P247:P248 P251 Q243:Q252">
    <cfRule type="containsText" dxfId="2" priority="41297" operator="containsText" text="Yes">
      <formula>NOT(ISERROR(SEARCH(("Yes"),(P223))))</formula>
    </cfRule>
  </conditionalFormatting>
  <conditionalFormatting sqref="P223:Q226 P229:Q230 P234:Q234 P238:Q238 P241:Q241 P243 P245 P247:P248 P251 Q243:Q252">
    <cfRule type="containsText" dxfId="2" priority="41298" operator="containsText" text="Yes">
      <formula>NOT(ISERROR(SEARCH(("Yes"),(P223))))</formula>
    </cfRule>
  </conditionalFormatting>
  <conditionalFormatting sqref="N224:O226 N229:O230 N234:O234 N238:O238 N241:O241 N243:O243 N245:O245 N247:O248 N251:O251">
    <cfRule type="containsText" dxfId="9" priority="41299" operator="containsText" text="No">
      <formula>NOT(ISERROR(SEARCH(("No"),(N224))))</formula>
    </cfRule>
  </conditionalFormatting>
  <conditionalFormatting sqref="N224:O226 N229:O230 N234:O234 N238:O238 N241:O241 N243:O243 N245:O245 N247:O248 N251:O251">
    <cfRule type="containsText" dxfId="9" priority="41300" operator="containsText" text="No">
      <formula>NOT(ISERROR(SEARCH(("No"),(N224))))</formula>
    </cfRule>
  </conditionalFormatting>
  <conditionalFormatting sqref="N224:O226 N229:O230 N234:O234 N238:O238 N241:O241 N243:O243 N245:O245 N247:O248 N251:O251">
    <cfRule type="containsText" dxfId="9" priority="41301" operator="containsText" text="No">
      <formula>NOT(ISERROR(SEARCH(("No"),(N224))))</formula>
    </cfRule>
  </conditionalFormatting>
  <conditionalFormatting sqref="N224:O226 N229:O230 N234:O234 N238:O238 N241:O241 N243:O243 N245:O245 N247:O248 N251:O251">
    <cfRule type="containsText" dxfId="2" priority="41302" operator="containsText" text="Yes">
      <formula>NOT(ISERROR(SEARCH(("Yes"),(N224))))</formula>
    </cfRule>
  </conditionalFormatting>
  <conditionalFormatting sqref="N224:O226 N229:O230 N234:O234 N238:O238 N241:O241 N243:O243 N245:O245 N247:O248 N251:O251">
    <cfRule type="containsText" dxfId="2" priority="41303" operator="containsText" text="Yes">
      <formula>NOT(ISERROR(SEARCH(("Yes"),(N224))))</formula>
    </cfRule>
  </conditionalFormatting>
  <conditionalFormatting sqref="N224:O226 N229:O230 N234:O234 N238:O238 N241:O241 N243:O243 N245:O245 N247:O248 N251:O251">
    <cfRule type="containsText" dxfId="2" priority="41304" operator="containsText" text="Yes">
      <formula>NOT(ISERROR(SEARCH(("Yes"),(N224))))</formula>
    </cfRule>
  </conditionalFormatting>
  <conditionalFormatting sqref="N224:O226 N229:O230 N234:O234 N238:O238 N241:O241 N243:O243 N245:O245 N247:O248 N251:O251">
    <cfRule type="containsText" dxfId="2" priority="41305" operator="containsText" text="Yes">
      <formula>NOT(ISERROR(SEARCH(("Yes"),(N224))))</formula>
    </cfRule>
  </conditionalFormatting>
  <conditionalFormatting sqref="N224:O226 N229:O230 N234:O234 N238:O238 N241:O241 N243:O243 N245:O245 N247:O248 N251:O251">
    <cfRule type="containsText" dxfId="2" priority="41306" operator="containsText" text="Yes">
      <formula>NOT(ISERROR(SEARCH(("Yes"),(N224))))</formula>
    </cfRule>
  </conditionalFormatting>
  <conditionalFormatting sqref="N224:O226 N229:O230 N234:O234 N238:O238 N241:O241 N243:O243 N245:O245 N247:O248 N251:O251">
    <cfRule type="containsText" dxfId="9" priority="41307" operator="containsText" text="No">
      <formula>NOT(ISERROR(SEARCH(("No"),(N224))))</formula>
    </cfRule>
  </conditionalFormatting>
  <conditionalFormatting sqref="N224:O226 N229:O230 N234:O234 N238:O238 N241:O241 N243:O243 N245:O245 N247:O248 N251:O251">
    <cfRule type="containsText" dxfId="2" priority="41308" operator="containsText" text="Yes">
      <formula>NOT(ISERROR(SEARCH(("Yes"),(N224))))</formula>
    </cfRule>
  </conditionalFormatting>
  <conditionalFormatting sqref="P224:Q226 P229:Q230 P234:Q234 P238:Q238 P241:Q241 P243 P245 P247:P248 P251 Q243:Q252">
    <cfRule type="containsText" dxfId="9" priority="41309" operator="containsText" text="No">
      <formula>NOT(ISERROR(SEARCH(("No"),(P224))))</formula>
    </cfRule>
  </conditionalFormatting>
  <conditionalFormatting sqref="P224:Q226 P229:Q230 P234:Q234 P238:Q238 P241:Q241 P243 P245 P247:P248 P251 Q243:Q252">
    <cfRule type="containsText" dxfId="9" priority="41310" operator="containsText" text="No">
      <formula>NOT(ISERROR(SEARCH(("No"),(P224))))</formula>
    </cfRule>
  </conditionalFormatting>
  <conditionalFormatting sqref="P224:Q226 P229:Q230 P234:Q234 P238:Q238 P241:Q241 P243 P245 P247:P248 P251 Q243:Q252">
    <cfRule type="containsText" dxfId="9" priority="41311" operator="containsText" text="No">
      <formula>NOT(ISERROR(SEARCH(("No"),(P224))))</formula>
    </cfRule>
  </conditionalFormatting>
  <conditionalFormatting sqref="P224:Q226 P229:Q230 P234:Q234 P238:Q238 P241:Q241 P243 P245 P247:P248 P251 Q243:Q252">
    <cfRule type="containsText" dxfId="9" priority="41312" operator="containsText" text="No">
      <formula>NOT(ISERROR(SEARCH(("No"),(P224))))</formula>
    </cfRule>
  </conditionalFormatting>
  <conditionalFormatting sqref="P224:Q226 P229:Q230 P234:Q234 P238:Q238 P241:Q241 P243 P245 P247:P248 P251 Q243:Q252">
    <cfRule type="containsText" dxfId="9" priority="41313" operator="containsText" text="No">
      <formula>NOT(ISERROR(SEARCH(("No"),(P224))))</formula>
    </cfRule>
  </conditionalFormatting>
  <conditionalFormatting sqref="P224:Q226 P229:Q230 P234:Q234 P238:Q238 P241:Q241 P243 P245 P247:P248 P251 Q243:Q252">
    <cfRule type="containsText" dxfId="9" priority="41314" operator="containsText" text="No">
      <formula>NOT(ISERROR(SEARCH(("No"),(P224))))</formula>
    </cfRule>
  </conditionalFormatting>
  <conditionalFormatting sqref="P224:Q226 P229:Q230 P234:Q234 P238:Q238 P241:Q241 P243 P245 P247:P248 P251 Q243:Q252">
    <cfRule type="containsText" dxfId="9" priority="41315" operator="containsText" text="No">
      <formula>NOT(ISERROR(SEARCH(("No"),(P224))))</formula>
    </cfRule>
  </conditionalFormatting>
  <conditionalFormatting sqref="P224:Q226 P229:Q230 P234:Q234 P238:Q238 P241:Q241 P243 P245 P247:P248 P251 Q243:Q252">
    <cfRule type="containsText" dxfId="9" priority="41316" operator="containsText" text="No">
      <formula>NOT(ISERROR(SEARCH(("No"),(P224))))</formula>
    </cfRule>
  </conditionalFormatting>
  <conditionalFormatting sqref="P224:Q226 P229:Q230 P234:Q234 P238:Q238 P241:Q241 P243 P245 P247:P248 P251 Q243:Q252">
    <cfRule type="containsText" dxfId="9" priority="41317" operator="containsText" text="No">
      <formula>NOT(ISERROR(SEARCH(("No"),(P224))))</formula>
    </cfRule>
  </conditionalFormatting>
  <conditionalFormatting sqref="P224:Q226 P229:Q230 P234:Q234 P238:Q238 P241:Q241 P243 P245 P247:P248 P251 Q243:Q252">
    <cfRule type="containsText" dxfId="9" priority="41318" operator="containsText" text="No">
      <formula>NOT(ISERROR(SEARCH(("No"),(P224))))</formula>
    </cfRule>
  </conditionalFormatting>
  <conditionalFormatting sqref="P224:Q226 P229:Q230 P234:Q234 P238:Q238 P241:Q241 P243 P245 P247:P248 P251 Q243:Q252">
    <cfRule type="containsText" dxfId="9" priority="41319" operator="containsText" text="No">
      <formula>NOT(ISERROR(SEARCH(("No"),(P224))))</formula>
    </cfRule>
  </conditionalFormatting>
  <conditionalFormatting sqref="P224:Q226 P229:Q230 P234:Q234 P238:Q238 P241:Q241 P243 P245 P247:P248 P251 Q243:Q252">
    <cfRule type="containsText" dxfId="9" priority="41320" operator="containsText" text="No">
      <formula>NOT(ISERROR(SEARCH(("No"),(P224))))</formula>
    </cfRule>
  </conditionalFormatting>
  <conditionalFormatting sqref="P224:Q226 P229:Q230 P234:Q234 P238:Q238 P241:Q241 P243 P245 P247:P248 P251 Q243:Q252">
    <cfRule type="containsText" dxfId="9" priority="41321" operator="containsText" text="No">
      <formula>NOT(ISERROR(SEARCH(("No"),(P224))))</formula>
    </cfRule>
  </conditionalFormatting>
  <conditionalFormatting sqref="P224:Q226 P229:Q230 P234:Q234 P238:Q238 P241:Q241 P243 P245 P247:P248 P251 Q243:Q252">
    <cfRule type="containsText" dxfId="9" priority="41322" operator="containsText" text="No">
      <formula>NOT(ISERROR(SEARCH(("No"),(P224))))</formula>
    </cfRule>
  </conditionalFormatting>
  <conditionalFormatting sqref="P224:Q226 P229:Q230 P234:Q234 P238:Q238 P241:Q241 P243 P245 P247:P248 P251 Q243:Q252">
    <cfRule type="containsText" dxfId="9" priority="41323" operator="containsText" text="No">
      <formula>NOT(ISERROR(SEARCH(("No"),(P224))))</formula>
    </cfRule>
  </conditionalFormatting>
  <conditionalFormatting sqref="P224:Q226 P229:Q230 P234:Q234 P238:Q238 P241:Q241 P243 P245 P247:P248 P251 Q243:Q252">
    <cfRule type="containsText" dxfId="9" priority="41324" operator="containsText" text="No">
      <formula>NOT(ISERROR(SEARCH(("No"),(P224))))</formula>
    </cfRule>
  </conditionalFormatting>
  <conditionalFormatting sqref="P224:Q226 P229:Q230 P234:Q234 P238:Q238 P241:Q241 P243 P245 P247:P248 P251 Q243:Q252">
    <cfRule type="containsText" dxfId="9" priority="41325" operator="containsText" text="No">
      <formula>NOT(ISERROR(SEARCH(("No"),(P224))))</formula>
    </cfRule>
  </conditionalFormatting>
  <conditionalFormatting sqref="P224:Q226 P229:Q230 P234:Q234 P238:Q238 P241:Q241 P243 P245 P247:P248 P251 Q243:Q252">
    <cfRule type="containsText" dxfId="9" priority="41326" operator="containsText" text="No">
      <formula>NOT(ISERROR(SEARCH(("No"),(P224))))</formula>
    </cfRule>
  </conditionalFormatting>
  <conditionalFormatting sqref="P224:Q226 P229:Q230 P234:Q234 P238:Q238 P241:Q241 P243 P245 P247:P248 P251 Q243:Q252">
    <cfRule type="containsText" dxfId="9" priority="41327" operator="containsText" text="No">
      <formula>NOT(ISERROR(SEARCH(("No"),(P224))))</formula>
    </cfRule>
  </conditionalFormatting>
  <conditionalFormatting sqref="P224:Q226 P229:Q230 P234:Q234 P238:Q238 P241:Q241 P243 P245 P247:P248 P251 Q243:Q252">
    <cfRule type="containsText" dxfId="9" priority="41328" operator="containsText" text="No">
      <formula>NOT(ISERROR(SEARCH(("No"),(P224))))</formula>
    </cfRule>
  </conditionalFormatting>
  <conditionalFormatting sqref="P224:Q226 P229:Q230 P234:Q234 P238:Q238 P241:Q241 P243 P245 P247:P248 P251 Q243:Q252">
    <cfRule type="containsText" dxfId="9" priority="41329" operator="containsText" text="No">
      <formula>NOT(ISERROR(SEARCH(("No"),(P224))))</formula>
    </cfRule>
  </conditionalFormatting>
  <conditionalFormatting sqref="P224:Q226 P229:Q230 P234:Q234 P238:Q238 P241:Q241 P243 P245 P247:P248 P251 Q243:Q252">
    <cfRule type="containsText" dxfId="9" priority="41330" operator="containsText" text="No">
      <formula>NOT(ISERROR(SEARCH(("No"),(P224))))</formula>
    </cfRule>
  </conditionalFormatting>
  <conditionalFormatting sqref="P224:Q226 P229:Q230 P234:Q234 P238:Q238 P241:Q241 P243 P245 P247:P248 P251 Q243:Q252">
    <cfRule type="containsText" dxfId="9" priority="41331" operator="containsText" text="No">
      <formula>NOT(ISERROR(SEARCH(("No"),(P224))))</formula>
    </cfRule>
  </conditionalFormatting>
  <conditionalFormatting sqref="P224:Q226 P229:Q230 P234:Q234 P238:Q238 P241:Q241 P243 P245 P247:P248 P251 Q243:Q252">
    <cfRule type="containsText" dxfId="9" priority="41332" operator="containsText" text="No">
      <formula>NOT(ISERROR(SEARCH(("No"),(P224))))</formula>
    </cfRule>
  </conditionalFormatting>
  <conditionalFormatting sqref="P224:Q226 P229:Q230 P234:Q234 P238:Q238 P241:Q241 P243 P245 P247:P248 P251 Q243:Q252">
    <cfRule type="containsText" dxfId="9" priority="41333" operator="containsText" text="No">
      <formula>NOT(ISERROR(SEARCH(("No"),(P224))))</formula>
    </cfRule>
  </conditionalFormatting>
  <conditionalFormatting sqref="P224:Q226 P229:Q230 P234:Q234 P238:Q238 P241:Q241 P243 P245 P247:P248 P251 Q243:Q252">
    <cfRule type="containsText" dxfId="9" priority="41334" operator="containsText" text="No">
      <formula>NOT(ISERROR(SEARCH(("No"),(P224))))</formula>
    </cfRule>
  </conditionalFormatting>
  <conditionalFormatting sqref="P224:Q226 P229:Q230 P234:Q234 P238:Q238 P241:Q241 P243 P245 P247:P248 P251 Q243:Q252">
    <cfRule type="containsText" dxfId="9" priority="41335" operator="containsText" text="No">
      <formula>NOT(ISERROR(SEARCH(("No"),(P224))))</formula>
    </cfRule>
  </conditionalFormatting>
  <conditionalFormatting sqref="P224:Q226 P229:Q230 P234:Q234 P238:Q238 P241:Q241 P243 P245 P247:P248 P251 Q243:Q252">
    <cfRule type="containsText" dxfId="9" priority="41336" operator="containsText" text="No">
      <formula>NOT(ISERROR(SEARCH(("No"),(P224))))</formula>
    </cfRule>
  </conditionalFormatting>
  <conditionalFormatting sqref="P224:Q226 P229:Q230 P234:Q234 P238:Q238 P241:Q241 P243 P245 P247:P248 P251 Q243:Q252">
    <cfRule type="containsText" dxfId="9" priority="41337" operator="containsText" text="No">
      <formula>NOT(ISERROR(SEARCH(("No"),(P224))))</formula>
    </cfRule>
  </conditionalFormatting>
  <conditionalFormatting sqref="P224:Q226 P229:Q230 P234:Q234 P238:Q238 P241:Q241 P243 P245 P247:P248 P251 Q243:Q252">
    <cfRule type="containsText" dxfId="9" priority="41338" operator="containsText" text="No">
      <formula>NOT(ISERROR(SEARCH(("No"),(P224))))</formula>
    </cfRule>
  </conditionalFormatting>
  <conditionalFormatting sqref="P224:Q226 P229:Q230 P234:Q234 P238:Q238 P241:Q241 P243 P245 P247:P248 P251 Q243:Q252">
    <cfRule type="containsText" dxfId="9" priority="41339" operator="containsText" text="No">
      <formula>NOT(ISERROR(SEARCH(("No"),(P224))))</formula>
    </cfRule>
  </conditionalFormatting>
  <conditionalFormatting sqref="P224:Q226 P229:Q230 P234:Q234 P238:Q238 P241:Q241 P243 P245 P247:P248 P251 Q243:Q252">
    <cfRule type="containsText" dxfId="9" priority="41340" operator="containsText" text="No">
      <formula>NOT(ISERROR(SEARCH(("No"),(P224))))</formula>
    </cfRule>
  </conditionalFormatting>
  <conditionalFormatting sqref="P224:Q226 P229:Q230 P234:Q234 P238:Q238 P241:Q241 P243 P245 P247:P248 P251 Q243:Q252">
    <cfRule type="containsText" dxfId="9" priority="41341" operator="containsText" text="No">
      <formula>NOT(ISERROR(SEARCH(("No"),(P224))))</formula>
    </cfRule>
  </conditionalFormatting>
  <conditionalFormatting sqref="P224:Q226 P229:Q230 P234:Q234 P238:Q238 P241:Q241 P243 P245 P247:P248 P251 Q243:Q252">
    <cfRule type="containsText" dxfId="9" priority="41342" operator="containsText" text="No">
      <formula>NOT(ISERROR(SEARCH(("No"),(P224))))</formula>
    </cfRule>
  </conditionalFormatting>
  <conditionalFormatting sqref="P224:Q226 P229:Q230 P234:Q234 P238:Q238 P241:Q241 P243 P245 P247:P248 P251 Q243:Q252">
    <cfRule type="containsText" dxfId="9" priority="41343" operator="containsText" text="No">
      <formula>NOT(ISERROR(SEARCH(("No"),(P224))))</formula>
    </cfRule>
  </conditionalFormatting>
  <conditionalFormatting sqref="P224:Q226 P229:Q230 P234:Q234 P238:Q238 P241:Q241 P243 P245 P247:P248 P251 Q243:Q252">
    <cfRule type="containsText" dxfId="9" priority="41344" operator="containsText" text="No">
      <formula>NOT(ISERROR(SEARCH(("No"),(P224))))</formula>
    </cfRule>
  </conditionalFormatting>
  <conditionalFormatting sqref="P224:Q226 P229:Q230 P234:Q234 P238:Q238 P241:Q241 P243 P245 P247:P248 P251 Q243:Q252">
    <cfRule type="containsText" dxfId="9" priority="41345" operator="containsText" text="No">
      <formula>NOT(ISERROR(SEARCH(("No"),(P224))))</formula>
    </cfRule>
  </conditionalFormatting>
  <conditionalFormatting sqref="P224:Q226 P229:Q230 P234:Q234 P238:Q238 P241:Q241 P243 P245 P247:P248 P251 Q243:Q252">
    <cfRule type="containsText" dxfId="9" priority="41346" operator="containsText" text="No">
      <formula>NOT(ISERROR(SEARCH(("No"),(P224))))</formula>
    </cfRule>
  </conditionalFormatting>
  <conditionalFormatting sqref="P224:Q226 P229:Q230 P234:Q234 P238:Q238 P241:Q241 P243 P245 P247:P248 P251 Q243:Q252">
    <cfRule type="containsText" dxfId="9" priority="41347" operator="containsText" text="No">
      <formula>NOT(ISERROR(SEARCH(("No"),(P224))))</formula>
    </cfRule>
  </conditionalFormatting>
  <conditionalFormatting sqref="P224:Q226 P229:Q230 P234:Q234 P238:Q238 P241:Q241 P243 P245 P247:P248 P251 Q243:Q252">
    <cfRule type="containsText" dxfId="9" priority="41348" operator="containsText" text="No">
      <formula>NOT(ISERROR(SEARCH(("No"),(P224))))</formula>
    </cfRule>
  </conditionalFormatting>
  <conditionalFormatting sqref="P224:Q226 P229:Q230 P234:Q234 P238:Q238 P241:Q241 P243 P245 P247:P248 P251 Q243:Q252">
    <cfRule type="containsText" dxfId="9" priority="41349" operator="containsText" text="No">
      <formula>NOT(ISERROR(SEARCH(("No"),(P224))))</formula>
    </cfRule>
  </conditionalFormatting>
  <conditionalFormatting sqref="P224:Q226 P229:Q230 P234:Q234 P238:Q238 P241:Q241 P243 P245 P247:P248 P251 Q243:Q252">
    <cfRule type="containsText" dxfId="9" priority="41350" operator="containsText" text="No">
      <formula>NOT(ISERROR(SEARCH(("No"),(P224))))</formula>
    </cfRule>
  </conditionalFormatting>
  <conditionalFormatting sqref="P224:Q226 P229:Q230 P234:Q234 P238:Q238 P241:Q241 P243 P245 P247:P248 P251 Q243:Q252">
    <cfRule type="containsText" dxfId="9" priority="41351" operator="containsText" text="No">
      <formula>NOT(ISERROR(SEARCH(("No"),(P224))))</formula>
    </cfRule>
  </conditionalFormatting>
  <conditionalFormatting sqref="P224:Q226 P229:Q230 P234:Q234 P238:Q238 P241:Q241 P243 P245 P247:P248 P251 Q243:Q252">
    <cfRule type="containsText" dxfId="9" priority="41352" operator="containsText" text="No">
      <formula>NOT(ISERROR(SEARCH(("No"),(P224))))</formula>
    </cfRule>
  </conditionalFormatting>
  <conditionalFormatting sqref="P224:Q226 P229:Q230 P234:Q234 P238:Q238 P241:Q241 P243 P245 P247:P248 P251 Q243:Q252">
    <cfRule type="containsText" dxfId="9" priority="41353" operator="containsText" text="No">
      <formula>NOT(ISERROR(SEARCH(("No"),(P224))))</formula>
    </cfRule>
  </conditionalFormatting>
  <conditionalFormatting sqref="P224:Q226 P229:Q230 P234:Q234 P238:Q238 P241:Q241 P243 P245 P247:P248 P251 Q243:Q252">
    <cfRule type="containsText" dxfId="2" priority="41354" operator="containsText" text="Yes">
      <formula>NOT(ISERROR(SEARCH(("Yes"),(P224))))</formula>
    </cfRule>
  </conditionalFormatting>
  <conditionalFormatting sqref="P224:Q226 P229:Q230 P234:Q234 P238:Q238 P241:Q241 P243 P245 P247:P248 P251 Q243:Q252">
    <cfRule type="containsText" dxfId="2" priority="41355" operator="containsText" text="Yes">
      <formula>NOT(ISERROR(SEARCH(("Yes"),(P224))))</formula>
    </cfRule>
  </conditionalFormatting>
  <conditionalFormatting sqref="P224:Q226 P229:Q230 P234:Q234 P238:Q238 P241:Q241 P243 P245 P247:P248 P251 Q243:Q252">
    <cfRule type="containsText" dxfId="2" priority="41356" operator="containsText" text="Yes">
      <formula>NOT(ISERROR(SEARCH(("Yes"),(P224))))</formula>
    </cfRule>
  </conditionalFormatting>
  <conditionalFormatting sqref="P224:Q226 P229:Q230 P234:Q234 P238:Q238 P241:Q241 P243 P245 P247:P248 P251 Q243:Q252">
    <cfRule type="containsText" dxfId="2" priority="41357" operator="containsText" text="Yes">
      <formula>NOT(ISERROR(SEARCH(("Yes"),(P224))))</formula>
    </cfRule>
  </conditionalFormatting>
  <conditionalFormatting sqref="P224:Q226 P229:Q230 P234:Q234 P238:Q238 P241:Q241 P243 P245 P247:P248 P251 Q243:Q252">
    <cfRule type="containsText" dxfId="2" priority="41358" operator="containsText" text="Yes">
      <formula>NOT(ISERROR(SEARCH(("Yes"),(P224))))</formula>
    </cfRule>
  </conditionalFormatting>
  <conditionalFormatting sqref="P224:Q226 P229:Q230 P234:Q234 P238:Q238 P241:Q241 P243 P245 P247:P248 P251 Q243:Q252">
    <cfRule type="containsText" dxfId="2" priority="41359" operator="containsText" text="Yes">
      <formula>NOT(ISERROR(SEARCH(("Yes"),(P224))))</formula>
    </cfRule>
  </conditionalFormatting>
  <conditionalFormatting sqref="P224:Q226 P229:Q230 P234:Q234 P238:Q238 P241:Q241 P243 P245 P247:P248 P251 Q243:Q252">
    <cfRule type="containsText" dxfId="2" priority="41360" operator="containsText" text="Yes">
      <formula>NOT(ISERROR(SEARCH(("Yes"),(P224))))</formula>
    </cfRule>
  </conditionalFormatting>
  <conditionalFormatting sqref="P224:Q226 P229:Q230 P234:Q234 P238:Q238 P241:Q241 P243 P245 P247:P248 P251 Q243:Q252">
    <cfRule type="containsText" dxfId="2" priority="41361" operator="containsText" text="Yes">
      <formula>NOT(ISERROR(SEARCH(("Yes"),(P224))))</formula>
    </cfRule>
  </conditionalFormatting>
  <conditionalFormatting sqref="P224:Q226 P229:Q230 P234:Q234 P238:Q238 P241:Q241 P243 P245 P247:P248 P251 Q243:Q252">
    <cfRule type="containsText" dxfId="2" priority="41362" operator="containsText" text="Yes">
      <formula>NOT(ISERROR(SEARCH(("Yes"),(P224))))</formula>
    </cfRule>
  </conditionalFormatting>
  <conditionalFormatting sqref="P224:Q226 P229:Q230 P234:Q234 P238:Q238 P241:Q241 P243 P245 P247:P248 P251 Q243:Q252">
    <cfRule type="containsText" dxfId="2" priority="41363" operator="containsText" text="Yes">
      <formula>NOT(ISERROR(SEARCH(("Yes"),(P224))))</formula>
    </cfRule>
  </conditionalFormatting>
  <conditionalFormatting sqref="P224:Q226 P229:Q230 P234:Q234 P238:Q238 P241:Q241 P243 P245 P247:P248 P251 Q243:Q252">
    <cfRule type="containsText" dxfId="2" priority="41364" operator="containsText" text="Yes">
      <formula>NOT(ISERROR(SEARCH(("Yes"),(P224))))</formula>
    </cfRule>
  </conditionalFormatting>
  <conditionalFormatting sqref="P224:Q226 P229:Q230 P234:Q234 P238:Q238 P241:Q241 P243 P245 P247:P248 P251 Q243:Q252">
    <cfRule type="containsText" dxfId="2" priority="41365" operator="containsText" text="Yes">
      <formula>NOT(ISERROR(SEARCH(("Yes"),(P224))))</formula>
    </cfRule>
  </conditionalFormatting>
  <conditionalFormatting sqref="P224:Q226 P229:Q230 P234:Q234 P238:Q238 P241:Q241 P243 P245 P247:P248 P251 Q243:Q252">
    <cfRule type="containsText" dxfId="2" priority="41366" operator="containsText" text="Yes">
      <formula>NOT(ISERROR(SEARCH(("Yes"),(P224))))</formula>
    </cfRule>
  </conditionalFormatting>
  <conditionalFormatting sqref="P224:Q226 P229:Q230 P234:Q234 P238:Q238 P241:Q241 P243 P245 P247:P248 P251 Q243:Q252">
    <cfRule type="containsText" dxfId="2" priority="41367" operator="containsText" text="Yes">
      <formula>NOT(ISERROR(SEARCH(("Yes"),(P224))))</formula>
    </cfRule>
  </conditionalFormatting>
  <conditionalFormatting sqref="P224:Q226 P229:Q230 P234:Q234 P238:Q238 P241:Q241 P243 P245 P247:P248 P251 Q243:Q252">
    <cfRule type="containsText" dxfId="2" priority="41368" operator="containsText" text="Yes">
      <formula>NOT(ISERROR(SEARCH(("Yes"),(P224))))</formula>
    </cfRule>
  </conditionalFormatting>
  <conditionalFormatting sqref="P224:Q226 P229:Q230 P234:Q234 P238:Q238 P241:Q241 P243 P245 P247:P248 P251 Q243:Q252">
    <cfRule type="containsText" dxfId="2" priority="41369" operator="containsText" text="Yes">
      <formula>NOT(ISERROR(SEARCH(("Yes"),(P224))))</formula>
    </cfRule>
  </conditionalFormatting>
  <conditionalFormatting sqref="P224:Q226 P229:Q230 P234:Q234 P238:Q238 P241:Q241 P243 P245 P247:P248 P251 Q243:Q252">
    <cfRule type="containsText" dxfId="2" priority="41370" operator="containsText" text="Yes">
      <formula>NOT(ISERROR(SEARCH(("Yes"),(P224))))</formula>
    </cfRule>
  </conditionalFormatting>
  <conditionalFormatting sqref="P224:Q226 P229:Q230 P234:Q234 P238:Q238 P241:Q241 P243 P245 P247:P248 P251 Q243:Q252">
    <cfRule type="containsText" dxfId="2" priority="41371" operator="containsText" text="Yes">
      <formula>NOT(ISERROR(SEARCH(("Yes"),(P224))))</formula>
    </cfRule>
  </conditionalFormatting>
  <conditionalFormatting sqref="P224:Q226 P229:Q230 P234:Q234 P238:Q238 P241:Q241 P243 P245 P247:P248 P251 Q243:Q252">
    <cfRule type="containsText" dxfId="2" priority="41372" operator="containsText" text="Yes">
      <formula>NOT(ISERROR(SEARCH(("Yes"),(P224))))</formula>
    </cfRule>
  </conditionalFormatting>
  <conditionalFormatting sqref="P224:Q226 P229:Q230 P234:Q234 P238:Q238 P241:Q241 P243 P245 P247:P248 P251 Q243:Q252">
    <cfRule type="containsText" dxfId="2" priority="41373" operator="containsText" text="Yes">
      <formula>NOT(ISERROR(SEARCH(("Yes"),(P224))))</formula>
    </cfRule>
  </conditionalFormatting>
  <conditionalFormatting sqref="P224:Q226 P229:Q230 P234:Q234 P238:Q238 P241:Q241 P243 P245 P247:P248 P251 Q243:Q252">
    <cfRule type="containsText" dxfId="2" priority="41374" operator="containsText" text="Yes">
      <formula>NOT(ISERROR(SEARCH(("Yes"),(P224))))</formula>
    </cfRule>
  </conditionalFormatting>
  <conditionalFormatting sqref="P224:Q226 P229:Q230 P234:Q234 P238:Q238 P241:Q241 P243 P245 P247:P248 P251 Q243:Q252">
    <cfRule type="containsText" dxfId="2" priority="41375" operator="containsText" text="Yes">
      <formula>NOT(ISERROR(SEARCH(("Yes"),(P224))))</formula>
    </cfRule>
  </conditionalFormatting>
  <conditionalFormatting sqref="P224:Q226 P229:Q230 P234:Q234 P238:Q238 P241:Q241 P243 P245 P247:P248 P251 Q243:Q252">
    <cfRule type="containsText" dxfId="2" priority="41376" operator="containsText" text="Yes">
      <formula>NOT(ISERROR(SEARCH(("Yes"),(P224))))</formula>
    </cfRule>
  </conditionalFormatting>
  <conditionalFormatting sqref="P224:Q226 P229:Q230 P234:Q234 P238:Q238 P241:Q241 P243 P245 P247:P248 P251 Q243:Q252">
    <cfRule type="containsText" dxfId="2" priority="41377" operator="containsText" text="Yes">
      <formula>NOT(ISERROR(SEARCH(("Yes"),(P224))))</formula>
    </cfRule>
  </conditionalFormatting>
  <conditionalFormatting sqref="P224:Q226 P229:Q230 P234:Q234 P238:Q238 P241:Q241 P243 P245 P247:P248 P251 Q243:Q252">
    <cfRule type="containsText" dxfId="2" priority="41378" operator="containsText" text="Yes">
      <formula>NOT(ISERROR(SEARCH(("Yes"),(P224))))</formula>
    </cfRule>
  </conditionalFormatting>
  <conditionalFormatting sqref="P224:Q226 P229:Q230 P234:Q234 P238:Q238 P241:Q241 P243 P245 P247:P248 P251 Q243:Q252">
    <cfRule type="containsText" dxfId="2" priority="41379" operator="containsText" text="Yes">
      <formula>NOT(ISERROR(SEARCH(("Yes"),(P224))))</formula>
    </cfRule>
  </conditionalFormatting>
  <conditionalFormatting sqref="P224:Q226 P229:Q230 P234:Q234 P238:Q238 P241:Q241 P243 P245 P247:P248 P251 Q243:Q252">
    <cfRule type="containsText" dxfId="2" priority="41380" operator="containsText" text="Yes">
      <formula>NOT(ISERROR(SEARCH(("Yes"),(P224))))</formula>
    </cfRule>
  </conditionalFormatting>
  <conditionalFormatting sqref="P224:Q226 P229:Q230 P234:Q234 P238:Q238 P241:Q241 P243 P245 P247:P248 P251 Q243:Q252">
    <cfRule type="containsText" dxfId="2" priority="41381" operator="containsText" text="Yes">
      <formula>NOT(ISERROR(SEARCH(("Yes"),(P224))))</formula>
    </cfRule>
  </conditionalFormatting>
  <conditionalFormatting sqref="P224:Q226 P229:Q230 P234:Q234 P238:Q238 P241:Q241 P243 P245 P247:P248 P251 Q243:Q252">
    <cfRule type="containsText" dxfId="2" priority="41382" operator="containsText" text="Yes">
      <formula>NOT(ISERROR(SEARCH(("Yes"),(P224))))</formula>
    </cfRule>
  </conditionalFormatting>
  <conditionalFormatting sqref="P224:Q226 P229:Q230 P234:Q234 P238:Q238 P241:Q241 P243 P245 P247:P248 P251 Q243:Q252">
    <cfRule type="containsText" dxfId="2" priority="41383" operator="containsText" text="Yes">
      <formula>NOT(ISERROR(SEARCH(("Yes"),(P224))))</formula>
    </cfRule>
  </conditionalFormatting>
  <conditionalFormatting sqref="P224:Q226 P229:Q230 P234:Q234 P238:Q238 P241:Q241 P243 P245 P247:P248 P251 Q243:Q252">
    <cfRule type="containsText" dxfId="2" priority="41384" operator="containsText" text="Yes">
      <formula>NOT(ISERROR(SEARCH(("Yes"),(P224))))</formula>
    </cfRule>
  </conditionalFormatting>
  <conditionalFormatting sqref="P224:Q226 P229:Q230 P234:Q234 P238:Q238 P241:Q241 P243 P245 P247:P248 P251 Q243:Q252">
    <cfRule type="containsText" dxfId="2" priority="41385" operator="containsText" text="Yes">
      <formula>NOT(ISERROR(SEARCH(("Yes"),(P224))))</formula>
    </cfRule>
  </conditionalFormatting>
  <conditionalFormatting sqref="P224:Q226 P229:Q230 P234:Q234 P238:Q238 P241:Q241 P243 P245 P247:P248 P251 Q243:Q252">
    <cfRule type="containsText" dxfId="2" priority="41386" operator="containsText" text="Yes">
      <formula>NOT(ISERROR(SEARCH(("Yes"),(P224))))</formula>
    </cfRule>
  </conditionalFormatting>
  <conditionalFormatting sqref="P224:Q226 P229:Q230 P234:Q234 P238:Q238 P241:Q241 P243 P245 P247:P248 P251 Q243:Q252">
    <cfRule type="containsText" dxfId="2" priority="41387" operator="containsText" text="Yes">
      <formula>NOT(ISERROR(SEARCH(("Yes"),(P224))))</formula>
    </cfRule>
  </conditionalFormatting>
  <conditionalFormatting sqref="P224:Q226 P229:Q230 P234:Q234 P238:Q238 P241:Q241 P243 P245 P247:P248 P251 Q243:Q252">
    <cfRule type="containsText" dxfId="2" priority="41388" operator="containsText" text="Yes">
      <formula>NOT(ISERROR(SEARCH(("Yes"),(P224))))</formula>
    </cfRule>
  </conditionalFormatting>
  <conditionalFormatting sqref="P224:Q226 P229:Q230 P234:Q234 P238:Q238 P241:Q241 P243 P245 P247:P248 P251 Q243:Q252">
    <cfRule type="containsText" dxfId="2" priority="41389" operator="containsText" text="Yes">
      <formula>NOT(ISERROR(SEARCH(("Yes"),(P224))))</formula>
    </cfRule>
  </conditionalFormatting>
  <conditionalFormatting sqref="P224:Q226 P229:Q230 P234:Q234 P238:Q238 P241:Q241 P243 P245 P247:P248 P251 Q243:Q252">
    <cfRule type="containsText" dxfId="2" priority="41390" operator="containsText" text="Yes">
      <formula>NOT(ISERROR(SEARCH(("Yes"),(P224))))</formula>
    </cfRule>
  </conditionalFormatting>
  <conditionalFormatting sqref="P224:Q226 P229:Q230 P234:Q234 P238:Q238 P241:Q241 P243 P245 P247:P248 P251 Q243:Q252">
    <cfRule type="containsText" dxfId="2" priority="41391" operator="containsText" text="Yes">
      <formula>NOT(ISERROR(SEARCH(("Yes"),(P224))))</formula>
    </cfRule>
  </conditionalFormatting>
  <conditionalFormatting sqref="P224:Q226 P229:Q230 P234:Q234 P238:Q238 P241:Q241 P243 P245 P247:P248 P251 Q243:Q252">
    <cfRule type="containsText" dxfId="2" priority="41392" operator="containsText" text="Yes">
      <formula>NOT(ISERROR(SEARCH(("Yes"),(P224))))</formula>
    </cfRule>
  </conditionalFormatting>
  <conditionalFormatting sqref="P224:Q226 P229:Q230 P234:Q234 P238:Q238 P241:Q241 P243 P245 P247:P248 P251 Q243:Q252">
    <cfRule type="containsText" dxfId="2" priority="41393" operator="containsText" text="Yes">
      <formula>NOT(ISERROR(SEARCH(("Yes"),(P224))))</formula>
    </cfRule>
  </conditionalFormatting>
  <conditionalFormatting sqref="P224:Q226 P229:Q230 P234:Q234 P238:Q238 P241:Q241 P243 P245 P247:P248 P251 Q243:Q252">
    <cfRule type="containsText" dxfId="2" priority="41394" operator="containsText" text="Yes">
      <formula>NOT(ISERROR(SEARCH(("Yes"),(P224))))</formula>
    </cfRule>
  </conditionalFormatting>
  <conditionalFormatting sqref="P224:Q226 P229:Q230 P234:Q234 P238:Q238 P241:Q241 P243 P245 P247:P248 P251 Q243:Q252">
    <cfRule type="containsText" dxfId="2" priority="41395" operator="containsText" text="Yes">
      <formula>NOT(ISERROR(SEARCH(("Yes"),(P224))))</formula>
    </cfRule>
  </conditionalFormatting>
  <conditionalFormatting sqref="P224:Q226 P229:Q230 P234:Q234 P238:Q238 P241:Q241 P243 P245 P247:P248 P251 Q243:Q252">
    <cfRule type="containsText" dxfId="2" priority="41396" operator="containsText" text="Yes">
      <formula>NOT(ISERROR(SEARCH(("Yes"),(P224))))</formula>
    </cfRule>
  </conditionalFormatting>
  <conditionalFormatting sqref="P224:Q226 P229:Q230 P234:Q234 P238:Q238 P241:Q241 P243 P245 P247:P248 P251 Q243:Q252">
    <cfRule type="containsText" dxfId="2" priority="41397" operator="containsText" text="Yes">
      <formula>NOT(ISERROR(SEARCH(("Yes"),(P224))))</formula>
    </cfRule>
  </conditionalFormatting>
  <conditionalFormatting sqref="P224:Q226 P229:Q230 P234:Q234 P238:Q238 P241:Q241 P243 P245 P247:P248 P251 Q243:Q252">
    <cfRule type="containsText" dxfId="2" priority="41398" operator="containsText" text="Yes">
      <formula>NOT(ISERROR(SEARCH(("Yes"),(P224))))</formula>
    </cfRule>
  </conditionalFormatting>
  <conditionalFormatting sqref="P224:Q226 P229:Q230 P234:Q234 P238:Q238 P241:Q241 P243 P245 P247:P248 P251 Q243:Q252">
    <cfRule type="containsText" dxfId="2" priority="41399" operator="containsText" text="Yes">
      <formula>NOT(ISERROR(SEARCH(("Yes"),(P224))))</formula>
    </cfRule>
  </conditionalFormatting>
  <conditionalFormatting sqref="P224:Q226 P229:Q230 P234:Q234 P238:Q238 P241:Q241 P243 P245 P247:P248 P251 Q243:Q252">
    <cfRule type="containsText" dxfId="2" priority="41400" operator="containsText" text="Yes">
      <formula>NOT(ISERROR(SEARCH(("Yes"),(P224))))</formula>
    </cfRule>
  </conditionalFormatting>
  <conditionalFormatting sqref="N225:N226 N229:N230 N234 N238 N241 N243 N245 N247:N248 N251">
    <cfRule type="containsText" dxfId="9" priority="41401" operator="containsText" text="No">
      <formula>NOT(ISERROR(SEARCH(("No"),(N225))))</formula>
    </cfRule>
  </conditionalFormatting>
  <conditionalFormatting sqref="N225:N226 N229:N230 N234 N238 N241 N243 N245 N247:N248 N251">
    <cfRule type="containsText" dxfId="9" priority="41402" operator="containsText" text="No">
      <formula>NOT(ISERROR(SEARCH(("No"),(N225))))</formula>
    </cfRule>
  </conditionalFormatting>
  <conditionalFormatting sqref="N225:N226 N229:N230 N234 N238 N241 N243 N245 N247:N248 N251">
    <cfRule type="containsText" dxfId="9" priority="41403" operator="containsText" text="No">
      <formula>NOT(ISERROR(SEARCH(("No"),(N225))))</formula>
    </cfRule>
  </conditionalFormatting>
  <conditionalFormatting sqref="N225:N226 N229:N230 N234 N238 N241 N243 N245 N247:N248 N251">
    <cfRule type="containsText" dxfId="2" priority="41404" operator="containsText" text="Yes">
      <formula>NOT(ISERROR(SEARCH(("Yes"),(N225))))</formula>
    </cfRule>
  </conditionalFormatting>
  <conditionalFormatting sqref="N225:N226 N229:N230 N234 N238 N241 N243 N245 N247:N248 N251">
    <cfRule type="containsText" dxfId="2" priority="41405" operator="containsText" text="Yes">
      <formula>NOT(ISERROR(SEARCH(("Yes"),(N225))))</formula>
    </cfRule>
  </conditionalFormatting>
  <conditionalFormatting sqref="N225:N226 N229:N230 N234 N238 N241 N243 N245 N247:N248 N251">
    <cfRule type="containsText" dxfId="2" priority="41406" operator="containsText" text="Yes">
      <formula>NOT(ISERROR(SEARCH(("Yes"),(N225))))</formula>
    </cfRule>
  </conditionalFormatting>
  <conditionalFormatting sqref="N225:N226 N229:N230 N234 N238 N241 N243 N245 N247:N248 N251">
    <cfRule type="containsText" dxfId="2" priority="41407" operator="containsText" text="Yes">
      <formula>NOT(ISERROR(SEARCH(("Yes"),(N225))))</formula>
    </cfRule>
  </conditionalFormatting>
  <conditionalFormatting sqref="N225:N226 N229:N230 N234 N238 N241 N243 N245 N247:N248 N251">
    <cfRule type="containsText" dxfId="2" priority="41408" operator="containsText" text="Yes">
      <formula>NOT(ISERROR(SEARCH(("Yes"),(N225))))</formula>
    </cfRule>
  </conditionalFormatting>
  <conditionalFormatting sqref="N225:N226 N229:N230 N234 N238 N241 N243 N245 N247:N248 N251">
    <cfRule type="containsText" dxfId="9" priority="41409" operator="containsText" text="No">
      <formula>NOT(ISERROR(SEARCH(("No"),(N225))))</formula>
    </cfRule>
  </conditionalFormatting>
  <conditionalFormatting sqref="N225:N226 N229:N230 N234 N238 N241 N243 N245 N247:N248 N251">
    <cfRule type="containsText" dxfId="2" priority="41410" operator="containsText" text="Yes">
      <formula>NOT(ISERROR(SEARCH(("Yes"),(N225))))</formula>
    </cfRule>
  </conditionalFormatting>
  <conditionalFormatting sqref="O225:Q226 O229:Q230 O234:Q234 O238:Q238 O241:Q241 O243:P243 O245:P245 O247:P248 O251:P251 Q243:Q252">
    <cfRule type="containsText" dxfId="9" priority="41411" operator="containsText" text="No">
      <formula>NOT(ISERROR(SEARCH(("No"),(O225))))</formula>
    </cfRule>
  </conditionalFormatting>
  <conditionalFormatting sqref="O225:Q226 O229:Q230 O234:Q234 O238:Q238 O241:Q241 O243:P243 O245:P245 O247:P248 O251:P251 Q243:Q252">
    <cfRule type="containsText" dxfId="9" priority="41412" operator="containsText" text="No">
      <formula>NOT(ISERROR(SEARCH(("No"),(O225))))</formula>
    </cfRule>
  </conditionalFormatting>
  <conditionalFormatting sqref="O225:Q226 O229:Q230 O234:Q234 O238:Q238 O241:Q241 O243:P243 O245:P245 O247:P248 O251:P251 Q243:Q252">
    <cfRule type="containsText" dxfId="9" priority="41413" operator="containsText" text="No">
      <formula>NOT(ISERROR(SEARCH(("No"),(O225))))</formula>
    </cfRule>
  </conditionalFormatting>
  <conditionalFormatting sqref="O225:Q226 O229:Q230 O234:Q234 O238:Q238 O241:Q241 O243:P243 O245:P245 O247:P248 O251:P251 Q243:Q252">
    <cfRule type="containsText" dxfId="9" priority="41414" operator="containsText" text="No">
      <formula>NOT(ISERROR(SEARCH(("No"),(O225))))</formula>
    </cfRule>
  </conditionalFormatting>
  <conditionalFormatting sqref="O225:Q226 O229:Q230 O234:Q234 O238:Q238 O241:Q241 O243:P243 O245:P245 O247:P248 O251:P251 Q243:Q252">
    <cfRule type="containsText" dxfId="9" priority="41415" operator="containsText" text="No">
      <formula>NOT(ISERROR(SEARCH(("No"),(O225))))</formula>
    </cfRule>
  </conditionalFormatting>
  <conditionalFormatting sqref="O225:Q226 O229:Q230 O234:Q234 O238:Q238 O241:Q241 O243:P243 O245:P245 O247:P248 O251:P251 Q243:Q252">
    <cfRule type="containsText" dxfId="9" priority="41416" operator="containsText" text="No">
      <formula>NOT(ISERROR(SEARCH(("No"),(O225))))</formula>
    </cfRule>
  </conditionalFormatting>
  <conditionalFormatting sqref="O225:Q226 O229:Q230 O234:Q234 O238:Q238 O241:Q241 O243:P243 O245:P245 O247:P248 O251:P251 Q243:Q252">
    <cfRule type="containsText" dxfId="9" priority="41417" operator="containsText" text="No">
      <formula>NOT(ISERROR(SEARCH(("No"),(O225))))</formula>
    </cfRule>
  </conditionalFormatting>
  <conditionalFormatting sqref="O225:Q226 O229:Q230 O234:Q234 O238:Q238 O241:Q241 O243:P243 O245:P245 O247:P248 O251:P251 Q243:Q252">
    <cfRule type="containsText" dxfId="9" priority="41418" operator="containsText" text="No">
      <formula>NOT(ISERROR(SEARCH(("No"),(O225))))</formula>
    </cfRule>
  </conditionalFormatting>
  <conditionalFormatting sqref="O225:Q226 O229:Q230 O234:Q234 O238:Q238 O241:Q241 O243:P243 O245:P245 O247:P248 O251:P251 Q243:Q252">
    <cfRule type="containsText" dxfId="9" priority="41419" operator="containsText" text="No">
      <formula>NOT(ISERROR(SEARCH(("No"),(O225))))</formula>
    </cfRule>
  </conditionalFormatting>
  <conditionalFormatting sqref="O225:Q226 O229:Q230 O234:Q234 O238:Q238 O241:Q241 O243:P243 O245:P245 O247:P248 O251:P251 Q243:Q252">
    <cfRule type="containsText" dxfId="9" priority="41420" operator="containsText" text="No">
      <formula>NOT(ISERROR(SEARCH(("No"),(O225))))</formula>
    </cfRule>
  </conditionalFormatting>
  <conditionalFormatting sqref="O225:Q226 O229:Q230 O234:Q234 O238:Q238 O241:Q241 O243:P243 O245:P245 O247:P248 O251:P251 Q243:Q252">
    <cfRule type="containsText" dxfId="9" priority="41421" operator="containsText" text="No">
      <formula>NOT(ISERROR(SEARCH(("No"),(O225))))</formula>
    </cfRule>
  </conditionalFormatting>
  <conditionalFormatting sqref="O225:Q226 O229:Q230 O234:Q234 O238:Q238 O241:Q241 O243:P243 O245:P245 O247:P248 O251:P251 Q243:Q252">
    <cfRule type="containsText" dxfId="9" priority="41422" operator="containsText" text="No">
      <formula>NOT(ISERROR(SEARCH(("No"),(O225))))</formula>
    </cfRule>
  </conditionalFormatting>
  <conditionalFormatting sqref="O225:Q226 O229:Q230 O234:Q234 O238:Q238 O241:Q241 O243:P243 O245:P245 O247:P248 O251:P251 Q243:Q252">
    <cfRule type="containsText" dxfId="9" priority="41423" operator="containsText" text="No">
      <formula>NOT(ISERROR(SEARCH(("No"),(O225))))</formula>
    </cfRule>
  </conditionalFormatting>
  <conditionalFormatting sqref="O225:Q226 O229:Q230 O234:Q234 O238:Q238 O241:Q241 O243:P243 O245:P245 O247:P248 O251:P251 Q243:Q252">
    <cfRule type="containsText" dxfId="9" priority="41424" operator="containsText" text="No">
      <formula>NOT(ISERROR(SEARCH(("No"),(O225))))</formula>
    </cfRule>
  </conditionalFormatting>
  <conditionalFormatting sqref="O225:Q226 O229:Q230 O234:Q234 O238:Q238 O241:Q241 O243:P243 O245:P245 O247:P248 O251:P251 Q243:Q252">
    <cfRule type="containsText" dxfId="9" priority="41425" operator="containsText" text="No">
      <formula>NOT(ISERROR(SEARCH(("No"),(O225))))</formula>
    </cfRule>
  </conditionalFormatting>
  <conditionalFormatting sqref="O225:Q226 O229:Q230 O234:Q234 O238:Q238 O241:Q241 O243:P243 O245:P245 O247:P248 O251:P251 Q243:Q252">
    <cfRule type="containsText" dxfId="9" priority="41426" operator="containsText" text="No">
      <formula>NOT(ISERROR(SEARCH(("No"),(O225))))</formula>
    </cfRule>
  </conditionalFormatting>
  <conditionalFormatting sqref="O225:Q226 O229:Q230 O234:Q234 O238:Q238 O241:Q241 O243:P243 O245:P245 O247:P248 O251:P251 Q243:Q252">
    <cfRule type="containsText" dxfId="9" priority="41427" operator="containsText" text="No">
      <formula>NOT(ISERROR(SEARCH(("No"),(O225))))</formula>
    </cfRule>
  </conditionalFormatting>
  <conditionalFormatting sqref="O225:Q226 O229:Q230 O234:Q234 O238:Q238 O241:Q241 O243:P243 O245:P245 O247:P248 O251:P251 Q243:Q252">
    <cfRule type="containsText" dxfId="9" priority="41428" operator="containsText" text="No">
      <formula>NOT(ISERROR(SEARCH(("No"),(O225))))</formula>
    </cfRule>
  </conditionalFormatting>
  <conditionalFormatting sqref="O225:Q226 O229:Q230 O234:Q234 O238:Q238 O241:Q241 O243:P243 O245:P245 O247:P248 O251:P251 Q243:Q252">
    <cfRule type="containsText" dxfId="9" priority="41429" operator="containsText" text="No">
      <formula>NOT(ISERROR(SEARCH(("No"),(O225))))</formula>
    </cfRule>
  </conditionalFormatting>
  <conditionalFormatting sqref="O225:Q226 O229:Q230 O234:Q234 O238:Q238 O241:Q241 O243:P243 O245:P245 O247:P248 O251:P251 Q243:Q252">
    <cfRule type="containsText" dxfId="9" priority="41430" operator="containsText" text="No">
      <formula>NOT(ISERROR(SEARCH(("No"),(O225))))</formula>
    </cfRule>
  </conditionalFormatting>
  <conditionalFormatting sqref="O225:Q226 O229:Q230 O234:Q234 O238:Q238 O241:Q241 O243:P243 O245:P245 O247:P248 O251:P251 Q243:Q252">
    <cfRule type="containsText" dxfId="9" priority="41431" operator="containsText" text="No">
      <formula>NOT(ISERROR(SEARCH(("No"),(O225))))</formula>
    </cfRule>
  </conditionalFormatting>
  <conditionalFormatting sqref="O225:Q226 O229:Q230 O234:Q234 O238:Q238 O241:Q241 O243:P243 O245:P245 O247:P248 O251:P251 Q243:Q252">
    <cfRule type="containsText" dxfId="9" priority="41432" operator="containsText" text="No">
      <formula>NOT(ISERROR(SEARCH(("No"),(O225))))</formula>
    </cfRule>
  </conditionalFormatting>
  <conditionalFormatting sqref="O225:Q226 O229:Q230 O234:Q234 O238:Q238 O241:Q241 O243:P243 O245:P245 O247:P248 O251:P251 Q243:Q252">
    <cfRule type="containsText" dxfId="9" priority="41433" operator="containsText" text="No">
      <formula>NOT(ISERROR(SEARCH(("No"),(O225))))</formula>
    </cfRule>
  </conditionalFormatting>
  <conditionalFormatting sqref="O225:Q226 O229:Q230 O234:Q234 O238:Q238 O241:Q241 O243:P243 O245:P245 O247:P248 O251:P251 Q243:Q252">
    <cfRule type="containsText" dxfId="9" priority="41434" operator="containsText" text="No">
      <formula>NOT(ISERROR(SEARCH(("No"),(O225))))</formula>
    </cfRule>
  </conditionalFormatting>
  <conditionalFormatting sqref="O225:Q226 O229:Q230 O234:Q234 O238:Q238 O241:Q241 O243:P243 O245:P245 O247:P248 O251:P251 Q243:Q252">
    <cfRule type="containsText" dxfId="9" priority="41435" operator="containsText" text="No">
      <formula>NOT(ISERROR(SEARCH(("No"),(O225))))</formula>
    </cfRule>
  </conditionalFormatting>
  <conditionalFormatting sqref="O225:Q226 O229:Q230 O234:Q234 O238:Q238 O241:Q241 O243:P243 O245:P245 O247:P248 O251:P251 Q243:Q252">
    <cfRule type="containsText" dxfId="9" priority="41436" operator="containsText" text="No">
      <formula>NOT(ISERROR(SEARCH(("No"),(O225))))</formula>
    </cfRule>
  </conditionalFormatting>
  <conditionalFormatting sqref="O225:Q226 O229:Q230 O234:Q234 O238:Q238 O241:Q241 O243:P243 O245:P245 O247:P248 O251:P251 Q243:Q252">
    <cfRule type="containsText" dxfId="9" priority="41437" operator="containsText" text="No">
      <formula>NOT(ISERROR(SEARCH(("No"),(O225))))</formula>
    </cfRule>
  </conditionalFormatting>
  <conditionalFormatting sqref="O225:Q226 O229:Q230 O234:Q234 O238:Q238 O241:Q241 O243:P243 O245:P245 O247:P248 O251:P251 Q243:Q252">
    <cfRule type="containsText" dxfId="9" priority="41438" operator="containsText" text="No">
      <formula>NOT(ISERROR(SEARCH(("No"),(O225))))</formula>
    </cfRule>
  </conditionalFormatting>
  <conditionalFormatting sqref="O225:Q226 O229:Q230 O234:Q234 O238:Q238 O241:Q241 O243:P243 O245:P245 O247:P248 O251:P251 Q243:Q252">
    <cfRule type="containsText" dxfId="9" priority="41439" operator="containsText" text="No">
      <formula>NOT(ISERROR(SEARCH(("No"),(O225))))</formula>
    </cfRule>
  </conditionalFormatting>
  <conditionalFormatting sqref="O225:Q226 O229:Q230 O234:Q234 O238:Q238 O241:Q241 O243:P243 O245:P245 O247:P248 O251:P251 Q243:Q252">
    <cfRule type="containsText" dxfId="9" priority="41440" operator="containsText" text="No">
      <formula>NOT(ISERROR(SEARCH(("No"),(O225))))</formula>
    </cfRule>
  </conditionalFormatting>
  <conditionalFormatting sqref="O225:Q226 O229:Q230 O234:Q234 O238:Q238 O241:Q241 O243:P243 O245:P245 O247:P248 O251:P251 Q243:Q252">
    <cfRule type="containsText" dxfId="9" priority="41441" operator="containsText" text="No">
      <formula>NOT(ISERROR(SEARCH(("No"),(O225))))</formula>
    </cfRule>
  </conditionalFormatting>
  <conditionalFormatting sqref="O225:Q226 O229:Q230 O234:Q234 O238:Q238 O241:Q241 O243:P243 O245:P245 O247:P248 O251:P251 Q243:Q252">
    <cfRule type="containsText" dxfId="9" priority="41442" operator="containsText" text="No">
      <formula>NOT(ISERROR(SEARCH(("No"),(O225))))</formula>
    </cfRule>
  </conditionalFormatting>
  <conditionalFormatting sqref="O225:Q226 O229:Q230 O234:Q234 O238:Q238 O241:Q241 O243:P243 O245:P245 O247:P248 O251:P251 Q243:Q252">
    <cfRule type="containsText" dxfId="9" priority="41443" operator="containsText" text="No">
      <formula>NOT(ISERROR(SEARCH(("No"),(O225))))</formula>
    </cfRule>
  </conditionalFormatting>
  <conditionalFormatting sqref="O225:Q226 O229:Q230 O234:Q234 O238:Q238 O241:Q241 O243:P243 O245:P245 O247:P248 O251:P251 Q243:Q252">
    <cfRule type="containsText" dxfId="9" priority="41444" operator="containsText" text="No">
      <formula>NOT(ISERROR(SEARCH(("No"),(O225))))</formula>
    </cfRule>
  </conditionalFormatting>
  <conditionalFormatting sqref="O225:Q226 O229:Q230 O234:Q234 O238:Q238 O241:Q241 O243:P243 O245:P245 O247:P248 O251:P251 Q243:Q252">
    <cfRule type="containsText" dxfId="9" priority="41445" operator="containsText" text="No">
      <formula>NOT(ISERROR(SEARCH(("No"),(O225))))</formula>
    </cfRule>
  </conditionalFormatting>
  <conditionalFormatting sqref="O225:Q226 O229:Q230 O234:Q234 O238:Q238 O241:Q241 O243:P243 O245:P245 O247:P248 O251:P251 Q243:Q252">
    <cfRule type="containsText" dxfId="9" priority="41446" operator="containsText" text="No">
      <formula>NOT(ISERROR(SEARCH(("No"),(O225))))</formula>
    </cfRule>
  </conditionalFormatting>
  <conditionalFormatting sqref="O225:Q226 O229:Q230 O234:Q234 O238:Q238 O241:Q241 O243:P243 O245:P245 O247:P248 O251:P251 Q243:Q252">
    <cfRule type="containsText" dxfId="9" priority="41447" operator="containsText" text="No">
      <formula>NOT(ISERROR(SEARCH(("No"),(O225))))</formula>
    </cfRule>
  </conditionalFormatting>
  <conditionalFormatting sqref="O225:Q226 O229:Q230 O234:Q234 O238:Q238 O241:Q241 O243:P243 O245:P245 O247:P248 O251:P251 Q243:Q252">
    <cfRule type="containsText" dxfId="9" priority="41448" operator="containsText" text="No">
      <formula>NOT(ISERROR(SEARCH(("No"),(O225))))</formula>
    </cfRule>
  </conditionalFormatting>
  <conditionalFormatting sqref="O225:Q226 O229:Q230 O234:Q234 O238:Q238 O241:Q241 O243:P243 O245:P245 O247:P248 O251:P251 Q243:Q252">
    <cfRule type="containsText" dxfId="9" priority="41449" operator="containsText" text="No">
      <formula>NOT(ISERROR(SEARCH(("No"),(O225))))</formula>
    </cfRule>
  </conditionalFormatting>
  <conditionalFormatting sqref="O225:Q226 O229:Q230 O234:Q234 O238:Q238 O241:Q241 O243:P243 O245:P245 O247:P248 O251:P251 Q243:Q252">
    <cfRule type="containsText" dxfId="9" priority="41450" operator="containsText" text="No">
      <formula>NOT(ISERROR(SEARCH(("No"),(O225))))</formula>
    </cfRule>
  </conditionalFormatting>
  <conditionalFormatting sqref="O225:Q226 O229:Q230 O234:Q234 O238:Q238 O241:Q241 O243:P243 O245:P245 O247:P248 O251:P251 Q243:Q252">
    <cfRule type="containsText" dxfId="9" priority="41451" operator="containsText" text="No">
      <formula>NOT(ISERROR(SEARCH(("No"),(O225))))</formula>
    </cfRule>
  </conditionalFormatting>
  <conditionalFormatting sqref="O225:Q226 O229:Q230 O234:Q234 O238:Q238 O241:Q241 O243:P243 O245:P245 O247:P248 O251:P251 Q243:Q252">
    <cfRule type="containsText" dxfId="9" priority="41452" operator="containsText" text="No">
      <formula>NOT(ISERROR(SEARCH(("No"),(O225))))</formula>
    </cfRule>
  </conditionalFormatting>
  <conditionalFormatting sqref="O225:Q226 O229:Q230 O234:Q234 O238:Q238 O241:Q241 O243:P243 O245:P245 O247:P248 O251:P251 Q243:Q252">
    <cfRule type="containsText" dxfId="9" priority="41453" operator="containsText" text="No">
      <formula>NOT(ISERROR(SEARCH(("No"),(O225))))</formula>
    </cfRule>
  </conditionalFormatting>
  <conditionalFormatting sqref="O225:Q226 O229:Q230 O234:Q234 O238:Q238 O241:Q241 O243:P243 O245:P245 O247:P248 O251:P251 Q243:Q252">
    <cfRule type="containsText" dxfId="9" priority="41454" operator="containsText" text="No">
      <formula>NOT(ISERROR(SEARCH(("No"),(O225))))</formula>
    </cfRule>
  </conditionalFormatting>
  <conditionalFormatting sqref="O225:Q226 O229:Q230 O234:Q234 O238:Q238 O241:Q241 O243:P243 O245:P245 O247:P248 O251:P251 Q243:Q252">
    <cfRule type="containsText" dxfId="9" priority="41455" operator="containsText" text="No">
      <formula>NOT(ISERROR(SEARCH(("No"),(O225))))</formula>
    </cfRule>
  </conditionalFormatting>
  <conditionalFormatting sqref="O225:Q226 O229:Q230 O234:Q234 O238:Q238 O241:Q241 O243:P243 O245:P245 O247:P248 O251:P251 Q243:Q252">
    <cfRule type="containsText" dxfId="2" priority="41456" operator="containsText" text="Yes">
      <formula>NOT(ISERROR(SEARCH(("Yes"),(O225))))</formula>
    </cfRule>
  </conditionalFormatting>
  <conditionalFormatting sqref="O225:Q226 O229:Q230 O234:Q234 O238:Q238 O241:Q241 O243:P243 O245:P245 O247:P248 O251:P251 Q243:Q252">
    <cfRule type="containsText" dxfId="2" priority="41457" operator="containsText" text="Yes">
      <formula>NOT(ISERROR(SEARCH(("Yes"),(O225))))</formula>
    </cfRule>
  </conditionalFormatting>
  <conditionalFormatting sqref="O225:Q226 O229:Q230 O234:Q234 O238:Q238 O241:Q241 O243:P243 O245:P245 O247:P248 O251:P251 Q243:Q252">
    <cfRule type="containsText" dxfId="2" priority="41458" operator="containsText" text="Yes">
      <formula>NOT(ISERROR(SEARCH(("Yes"),(O225))))</formula>
    </cfRule>
  </conditionalFormatting>
  <conditionalFormatting sqref="O225:Q226 O229:Q230 O234:Q234 O238:Q238 O241:Q241 O243:P243 O245:P245 O247:P248 O251:P251 Q243:Q252">
    <cfRule type="containsText" dxfId="2" priority="41459" operator="containsText" text="Yes">
      <formula>NOT(ISERROR(SEARCH(("Yes"),(O225))))</formula>
    </cfRule>
  </conditionalFormatting>
  <conditionalFormatting sqref="O225:Q226 O229:Q230 O234:Q234 O238:Q238 O241:Q241 O243:P243 O245:P245 O247:P248 O251:P251 Q243:Q252">
    <cfRule type="containsText" dxfId="2" priority="41460" operator="containsText" text="Yes">
      <formula>NOT(ISERROR(SEARCH(("Yes"),(O225))))</formula>
    </cfRule>
  </conditionalFormatting>
  <conditionalFormatting sqref="O225:Q226 O229:Q230 O234:Q234 O238:Q238 O241:Q241 O243:P243 O245:P245 O247:P248 O251:P251 Q243:Q252">
    <cfRule type="containsText" dxfId="2" priority="41461" operator="containsText" text="Yes">
      <formula>NOT(ISERROR(SEARCH(("Yes"),(O225))))</formula>
    </cfRule>
  </conditionalFormatting>
  <conditionalFormatting sqref="O225:Q226 O229:Q230 O234:Q234 O238:Q238 O241:Q241 O243:P243 O245:P245 O247:P248 O251:P251 Q243:Q252">
    <cfRule type="containsText" dxfId="2" priority="41462" operator="containsText" text="Yes">
      <formula>NOT(ISERROR(SEARCH(("Yes"),(O225))))</formula>
    </cfRule>
  </conditionalFormatting>
  <conditionalFormatting sqref="O225:Q226 O229:Q230 O234:Q234 O238:Q238 O241:Q241 O243:P243 O245:P245 O247:P248 O251:P251 Q243:Q252">
    <cfRule type="containsText" dxfId="2" priority="41463" operator="containsText" text="Yes">
      <formula>NOT(ISERROR(SEARCH(("Yes"),(O225))))</formula>
    </cfRule>
  </conditionalFormatting>
  <conditionalFormatting sqref="O225:Q226 O229:Q230 O234:Q234 O238:Q238 O241:Q241 O243:P243 O245:P245 O247:P248 O251:P251 Q243:Q252">
    <cfRule type="containsText" dxfId="2" priority="41464" operator="containsText" text="Yes">
      <formula>NOT(ISERROR(SEARCH(("Yes"),(O225))))</formula>
    </cfRule>
  </conditionalFormatting>
  <conditionalFormatting sqref="O225:Q226 O229:Q230 O234:Q234 O238:Q238 O241:Q241 O243:P243 O245:P245 O247:P248 O251:P251 Q243:Q252">
    <cfRule type="containsText" dxfId="2" priority="41465" operator="containsText" text="Yes">
      <formula>NOT(ISERROR(SEARCH(("Yes"),(O225))))</formula>
    </cfRule>
  </conditionalFormatting>
  <conditionalFormatting sqref="O225:Q226 O229:Q230 O234:Q234 O238:Q238 O241:Q241 O243:P243 O245:P245 O247:P248 O251:P251 Q243:Q252">
    <cfRule type="containsText" dxfId="2" priority="41466" operator="containsText" text="Yes">
      <formula>NOT(ISERROR(SEARCH(("Yes"),(O225))))</formula>
    </cfRule>
  </conditionalFormatting>
  <conditionalFormatting sqref="O225:Q226 O229:Q230 O234:Q234 O238:Q238 O241:Q241 O243:P243 O245:P245 O247:P248 O251:P251 Q243:Q252">
    <cfRule type="containsText" dxfId="2" priority="41467" operator="containsText" text="Yes">
      <formula>NOT(ISERROR(SEARCH(("Yes"),(O225))))</formula>
    </cfRule>
  </conditionalFormatting>
  <conditionalFormatting sqref="O225:Q226 O229:Q230 O234:Q234 O238:Q238 O241:Q241 O243:P243 O245:P245 O247:P248 O251:P251 Q243:Q252">
    <cfRule type="containsText" dxfId="2" priority="41468" operator="containsText" text="Yes">
      <formula>NOT(ISERROR(SEARCH(("Yes"),(O225))))</formula>
    </cfRule>
  </conditionalFormatting>
  <conditionalFormatting sqref="O225:Q226 O229:Q230 O234:Q234 O238:Q238 O241:Q241 O243:P243 O245:P245 O247:P248 O251:P251 Q243:Q252">
    <cfRule type="containsText" dxfId="2" priority="41469" operator="containsText" text="Yes">
      <formula>NOT(ISERROR(SEARCH(("Yes"),(O225))))</formula>
    </cfRule>
  </conditionalFormatting>
  <conditionalFormatting sqref="O225:Q226 O229:Q230 O234:Q234 O238:Q238 O241:Q241 O243:P243 O245:P245 O247:P248 O251:P251 Q243:Q252">
    <cfRule type="containsText" dxfId="2" priority="41470" operator="containsText" text="Yes">
      <formula>NOT(ISERROR(SEARCH(("Yes"),(O225))))</formula>
    </cfRule>
  </conditionalFormatting>
  <conditionalFormatting sqref="O225:Q226 O229:Q230 O234:Q234 O238:Q238 O241:Q241 O243:P243 O245:P245 O247:P248 O251:P251 Q243:Q252">
    <cfRule type="containsText" dxfId="2" priority="41471" operator="containsText" text="Yes">
      <formula>NOT(ISERROR(SEARCH(("Yes"),(O225))))</formula>
    </cfRule>
  </conditionalFormatting>
  <conditionalFormatting sqref="O225:Q226 O229:Q230 O234:Q234 O238:Q238 O241:Q241 O243:P243 O245:P245 O247:P248 O251:P251 Q243:Q252">
    <cfRule type="containsText" dxfId="2" priority="41472" operator="containsText" text="Yes">
      <formula>NOT(ISERROR(SEARCH(("Yes"),(O225))))</formula>
    </cfRule>
  </conditionalFormatting>
  <conditionalFormatting sqref="O225:Q226 O229:Q230 O234:Q234 O238:Q238 O241:Q241 O243:P243 O245:P245 O247:P248 O251:P251 Q243:Q252">
    <cfRule type="containsText" dxfId="2" priority="41473" operator="containsText" text="Yes">
      <formula>NOT(ISERROR(SEARCH(("Yes"),(O225))))</formula>
    </cfRule>
  </conditionalFormatting>
  <conditionalFormatting sqref="O225:Q226 O229:Q230 O234:Q234 O238:Q238 O241:Q241 O243:P243 O245:P245 O247:P248 O251:P251 Q243:Q252">
    <cfRule type="containsText" dxfId="2" priority="41474" operator="containsText" text="Yes">
      <formula>NOT(ISERROR(SEARCH(("Yes"),(O225))))</formula>
    </cfRule>
  </conditionalFormatting>
  <conditionalFormatting sqref="O225:Q226 O229:Q230 O234:Q234 O238:Q238 O241:Q241 O243:P243 O245:P245 O247:P248 O251:P251 Q243:Q252">
    <cfRule type="containsText" dxfId="2" priority="41475" operator="containsText" text="Yes">
      <formula>NOT(ISERROR(SEARCH(("Yes"),(O225))))</formula>
    </cfRule>
  </conditionalFormatting>
  <conditionalFormatting sqref="O225:Q226 O229:Q230 O234:Q234 O238:Q238 O241:Q241 O243:P243 O245:P245 O247:P248 O251:P251 Q243:Q252">
    <cfRule type="containsText" dxfId="2" priority="41476" operator="containsText" text="Yes">
      <formula>NOT(ISERROR(SEARCH(("Yes"),(O225))))</formula>
    </cfRule>
  </conditionalFormatting>
  <conditionalFormatting sqref="O225:Q226 O229:Q230 O234:Q234 O238:Q238 O241:Q241 O243:P243 O245:P245 O247:P248 O251:P251 Q243:Q252">
    <cfRule type="containsText" dxfId="2" priority="41477" operator="containsText" text="Yes">
      <formula>NOT(ISERROR(SEARCH(("Yes"),(O225))))</formula>
    </cfRule>
  </conditionalFormatting>
  <conditionalFormatting sqref="O225:Q226 O229:Q230 O234:Q234 O238:Q238 O241:Q241 O243:P243 O245:P245 O247:P248 O251:P251 Q243:Q252">
    <cfRule type="containsText" dxfId="2" priority="41478" operator="containsText" text="Yes">
      <formula>NOT(ISERROR(SEARCH(("Yes"),(O225))))</formula>
    </cfRule>
  </conditionalFormatting>
  <conditionalFormatting sqref="O225:Q226 O229:Q230 O234:Q234 O238:Q238 O241:Q241 O243:P243 O245:P245 O247:P248 O251:P251 Q243:Q252">
    <cfRule type="containsText" dxfId="2" priority="41479" operator="containsText" text="Yes">
      <formula>NOT(ISERROR(SEARCH(("Yes"),(O225))))</formula>
    </cfRule>
  </conditionalFormatting>
  <conditionalFormatting sqref="O225:Q226 O229:Q230 O234:Q234 O238:Q238 O241:Q241 O243:P243 O245:P245 O247:P248 O251:P251 Q243:Q252">
    <cfRule type="containsText" dxfId="2" priority="41480" operator="containsText" text="Yes">
      <formula>NOT(ISERROR(SEARCH(("Yes"),(O225))))</formula>
    </cfRule>
  </conditionalFormatting>
  <conditionalFormatting sqref="O225:Q226 O229:Q230 O234:Q234 O238:Q238 O241:Q241 O243:P243 O245:P245 O247:P248 O251:P251 Q243:Q252">
    <cfRule type="containsText" dxfId="2" priority="41481" operator="containsText" text="Yes">
      <formula>NOT(ISERROR(SEARCH(("Yes"),(O225))))</formula>
    </cfRule>
  </conditionalFormatting>
  <conditionalFormatting sqref="O225:Q226 O229:Q230 O234:Q234 O238:Q238 O241:Q241 O243:P243 O245:P245 O247:P248 O251:P251 Q243:Q252">
    <cfRule type="containsText" dxfId="2" priority="41482" operator="containsText" text="Yes">
      <formula>NOT(ISERROR(SEARCH(("Yes"),(O225))))</formula>
    </cfRule>
  </conditionalFormatting>
  <conditionalFormatting sqref="O225:Q226 O229:Q230 O234:Q234 O238:Q238 O241:Q241 O243:P243 O245:P245 O247:P248 O251:P251 Q243:Q252">
    <cfRule type="containsText" dxfId="2" priority="41483" operator="containsText" text="Yes">
      <formula>NOT(ISERROR(SEARCH(("Yes"),(O225))))</formula>
    </cfRule>
  </conditionalFormatting>
  <conditionalFormatting sqref="O225:Q226 O229:Q230 O234:Q234 O238:Q238 O241:Q241 O243:P243 O245:P245 O247:P248 O251:P251 Q243:Q252">
    <cfRule type="containsText" dxfId="2" priority="41484" operator="containsText" text="Yes">
      <formula>NOT(ISERROR(SEARCH(("Yes"),(O225))))</formula>
    </cfRule>
  </conditionalFormatting>
  <conditionalFormatting sqref="O225:Q226 O229:Q230 O234:Q234 O238:Q238 O241:Q241 O243:P243 O245:P245 O247:P248 O251:P251 Q243:Q252">
    <cfRule type="containsText" dxfId="2" priority="41485" operator="containsText" text="Yes">
      <formula>NOT(ISERROR(SEARCH(("Yes"),(O225))))</formula>
    </cfRule>
  </conditionalFormatting>
  <conditionalFormatting sqref="O225:Q226 O229:Q230 O234:Q234 O238:Q238 O241:Q241 O243:P243 O245:P245 O247:P248 O251:P251 Q243:Q252">
    <cfRule type="containsText" dxfId="2" priority="41486" operator="containsText" text="Yes">
      <formula>NOT(ISERROR(SEARCH(("Yes"),(O225))))</formula>
    </cfRule>
  </conditionalFormatting>
  <conditionalFormatting sqref="O225:Q226 O229:Q230 O234:Q234 O238:Q238 O241:Q241 O243:P243 O245:P245 O247:P248 O251:P251 Q243:Q252">
    <cfRule type="containsText" dxfId="2" priority="41487" operator="containsText" text="Yes">
      <formula>NOT(ISERROR(SEARCH(("Yes"),(O225))))</formula>
    </cfRule>
  </conditionalFormatting>
  <conditionalFormatting sqref="O225:Q226 O229:Q230 O234:Q234 O238:Q238 O241:Q241 O243:P243 O245:P245 O247:P248 O251:P251 Q243:Q252">
    <cfRule type="containsText" dxfId="2" priority="41488" operator="containsText" text="Yes">
      <formula>NOT(ISERROR(SEARCH(("Yes"),(O225))))</formula>
    </cfRule>
  </conditionalFormatting>
  <conditionalFormatting sqref="O225:Q226 O229:Q230 O234:Q234 O238:Q238 O241:Q241 O243:P243 O245:P245 O247:P248 O251:P251 Q243:Q252">
    <cfRule type="containsText" dxfId="2" priority="41489" operator="containsText" text="Yes">
      <formula>NOT(ISERROR(SEARCH(("Yes"),(O225))))</formula>
    </cfRule>
  </conditionalFormatting>
  <conditionalFormatting sqref="O225:Q226 O229:Q230 O234:Q234 O238:Q238 O241:Q241 O243:P243 O245:P245 O247:P248 O251:P251 Q243:Q252">
    <cfRule type="containsText" dxfId="2" priority="41490" operator="containsText" text="Yes">
      <formula>NOT(ISERROR(SEARCH(("Yes"),(O225))))</formula>
    </cfRule>
  </conditionalFormatting>
  <conditionalFormatting sqref="O225:Q226 O229:Q230 O234:Q234 O238:Q238 O241:Q241 O243:P243 O245:P245 O247:P248 O251:P251 Q243:Q252">
    <cfRule type="containsText" dxfId="2" priority="41491" operator="containsText" text="Yes">
      <formula>NOT(ISERROR(SEARCH(("Yes"),(O225))))</formula>
    </cfRule>
  </conditionalFormatting>
  <conditionalFormatting sqref="O225:Q226 O229:Q230 O234:Q234 O238:Q238 O241:Q241 O243:P243 O245:P245 O247:P248 O251:P251 Q243:Q252">
    <cfRule type="containsText" dxfId="2" priority="41492" operator="containsText" text="Yes">
      <formula>NOT(ISERROR(SEARCH(("Yes"),(O225))))</formula>
    </cfRule>
  </conditionalFormatting>
  <conditionalFormatting sqref="O225:Q226 O229:Q230 O234:Q234 O238:Q238 O241:Q241 O243:P243 O245:P245 O247:P248 O251:P251 Q243:Q252">
    <cfRule type="containsText" dxfId="2" priority="41493" operator="containsText" text="Yes">
      <formula>NOT(ISERROR(SEARCH(("Yes"),(O225))))</formula>
    </cfRule>
  </conditionalFormatting>
  <conditionalFormatting sqref="O225:Q226 O229:Q230 O234:Q234 O238:Q238 O241:Q241 O243:P243 O245:P245 O247:P248 O251:P251 Q243:Q252">
    <cfRule type="containsText" dxfId="2" priority="41494" operator="containsText" text="Yes">
      <formula>NOT(ISERROR(SEARCH(("Yes"),(O225))))</formula>
    </cfRule>
  </conditionalFormatting>
  <conditionalFormatting sqref="O225:Q226 O229:Q230 O234:Q234 O238:Q238 O241:Q241 O243:P243 O245:P245 O247:P248 O251:P251 Q243:Q252">
    <cfRule type="containsText" dxfId="2" priority="41495" operator="containsText" text="Yes">
      <formula>NOT(ISERROR(SEARCH(("Yes"),(O225))))</formula>
    </cfRule>
  </conditionalFormatting>
  <conditionalFormatting sqref="O225:Q226 O229:Q230 O234:Q234 O238:Q238 O241:Q241 O243:P243 O245:P245 O247:P248 O251:P251 Q243:Q252">
    <cfRule type="containsText" dxfId="2" priority="41496" operator="containsText" text="Yes">
      <formula>NOT(ISERROR(SEARCH(("Yes"),(O225))))</formula>
    </cfRule>
  </conditionalFormatting>
  <conditionalFormatting sqref="O225:Q226 O229:Q230 O234:Q234 O238:Q238 O241:Q241 O243:P243 O245:P245 O247:P248 O251:P251 Q243:Q252">
    <cfRule type="containsText" dxfId="2" priority="41497" operator="containsText" text="Yes">
      <formula>NOT(ISERROR(SEARCH(("Yes"),(O225))))</formula>
    </cfRule>
  </conditionalFormatting>
  <conditionalFormatting sqref="O225:Q226 O229:Q230 O234:Q234 O238:Q238 O241:Q241 O243:P243 O245:P245 O247:P248 O251:P251 Q243:Q252">
    <cfRule type="containsText" dxfId="2" priority="41498" operator="containsText" text="Yes">
      <formula>NOT(ISERROR(SEARCH(("Yes"),(O225))))</formula>
    </cfRule>
  </conditionalFormatting>
  <conditionalFormatting sqref="O225:Q226 O229:Q230 O234:Q234 O238:Q238 O241:Q241 O243:P243 O245:P245 O247:P248 O251:P251 Q243:Q252">
    <cfRule type="containsText" dxfId="2" priority="41499" operator="containsText" text="Yes">
      <formula>NOT(ISERROR(SEARCH(("Yes"),(O225))))</formula>
    </cfRule>
  </conditionalFormatting>
  <conditionalFormatting sqref="O225:Q226 O229:Q230 O234:Q234 O238:Q238 O241:Q241 O243:P243 O245:P245 O247:P248 O251:P251 Q243:Q252">
    <cfRule type="containsText" dxfId="2" priority="41500" operator="containsText" text="Yes">
      <formula>NOT(ISERROR(SEARCH(("Yes"),(O225))))</formula>
    </cfRule>
  </conditionalFormatting>
  <conditionalFormatting sqref="O225:Q226 O229:Q230 O234:Q234 O238:Q238 O241:Q241 O243:P243 O245:P245 O247:P248 O251:P251 Q243:Q252">
    <cfRule type="containsText" dxfId="2" priority="41501" operator="containsText" text="Yes">
      <formula>NOT(ISERROR(SEARCH(("Yes"),(O225))))</formula>
    </cfRule>
  </conditionalFormatting>
  <conditionalFormatting sqref="O225:Q226 O229:Q230 O234:Q234 O238:Q238 O241:Q241 O243:P243 O245:P245 O247:P248 O251:P251 Q243:Q252">
    <cfRule type="containsText" dxfId="2" priority="41502" operator="containsText" text="Yes">
      <formula>NOT(ISERROR(SEARCH(("Yes"),(O225))))</formula>
    </cfRule>
  </conditionalFormatting>
  <conditionalFormatting sqref="N226:O226">
    <cfRule type="containsText" dxfId="9" priority="41503" operator="containsText" text="No">
      <formula>NOT(ISERROR(SEARCH(("No"),(N226))))</formula>
    </cfRule>
  </conditionalFormatting>
  <conditionalFormatting sqref="N226:O226">
    <cfRule type="containsText" dxfId="9" priority="41504" operator="containsText" text="No">
      <formula>NOT(ISERROR(SEARCH(("No"),(N226))))</formula>
    </cfRule>
  </conditionalFormatting>
  <conditionalFormatting sqref="N226:O226">
    <cfRule type="containsText" dxfId="9" priority="41505" operator="containsText" text="No">
      <formula>NOT(ISERROR(SEARCH(("No"),(N226))))</formula>
    </cfRule>
  </conditionalFormatting>
  <conditionalFormatting sqref="N226:O226">
    <cfRule type="containsText" dxfId="2" priority="41506" operator="containsText" text="Yes">
      <formula>NOT(ISERROR(SEARCH(("Yes"),(N226))))</formula>
    </cfRule>
  </conditionalFormatting>
  <conditionalFormatting sqref="N226:O226">
    <cfRule type="containsText" dxfId="2" priority="41507" operator="containsText" text="Yes">
      <formula>NOT(ISERROR(SEARCH(("Yes"),(N226))))</formula>
    </cfRule>
  </conditionalFormatting>
  <conditionalFormatting sqref="N226:O226">
    <cfRule type="containsText" dxfId="2" priority="41508" operator="containsText" text="Yes">
      <formula>NOT(ISERROR(SEARCH(("Yes"),(N226))))</formula>
    </cfRule>
  </conditionalFormatting>
  <conditionalFormatting sqref="N226:O226">
    <cfRule type="containsText" dxfId="2" priority="41509" operator="containsText" text="Yes">
      <formula>NOT(ISERROR(SEARCH(("Yes"),(N226))))</formula>
    </cfRule>
  </conditionalFormatting>
  <conditionalFormatting sqref="N226:O226">
    <cfRule type="containsText" dxfId="2" priority="41510" operator="containsText" text="Yes">
      <formula>NOT(ISERROR(SEARCH(("Yes"),(N226))))</formula>
    </cfRule>
  </conditionalFormatting>
  <conditionalFormatting sqref="N226:O226">
    <cfRule type="containsText" dxfId="9" priority="41511" operator="containsText" text="No">
      <formula>NOT(ISERROR(SEARCH(("No"),(N226))))</formula>
    </cfRule>
  </conditionalFormatting>
  <conditionalFormatting sqref="N226:O226">
    <cfRule type="containsText" dxfId="2" priority="41512" operator="containsText" text="Yes">
      <formula>NOT(ISERROR(SEARCH(("Yes"),(N226))))</formula>
    </cfRule>
  </conditionalFormatting>
  <conditionalFormatting sqref="P226:Q226">
    <cfRule type="containsText" dxfId="9" priority="41513" operator="containsText" text="No">
      <formula>NOT(ISERROR(SEARCH(("No"),(P226))))</formula>
    </cfRule>
  </conditionalFormatting>
  <conditionalFormatting sqref="P226:Q226">
    <cfRule type="containsText" dxfId="9" priority="41514" operator="containsText" text="No">
      <formula>NOT(ISERROR(SEARCH(("No"),(P226))))</formula>
    </cfRule>
  </conditionalFormatting>
  <conditionalFormatting sqref="P226:Q226">
    <cfRule type="containsText" dxfId="9" priority="41515" operator="containsText" text="No">
      <formula>NOT(ISERROR(SEARCH(("No"),(P226))))</formula>
    </cfRule>
  </conditionalFormatting>
  <conditionalFormatting sqref="P226:Q226">
    <cfRule type="containsText" dxfId="9" priority="41516" operator="containsText" text="No">
      <formula>NOT(ISERROR(SEARCH(("No"),(P226))))</formula>
    </cfRule>
  </conditionalFormatting>
  <conditionalFormatting sqref="P226:Q226">
    <cfRule type="containsText" dxfId="9" priority="41517" operator="containsText" text="No">
      <formula>NOT(ISERROR(SEARCH(("No"),(P226))))</formula>
    </cfRule>
  </conditionalFormatting>
  <conditionalFormatting sqref="P226:Q226">
    <cfRule type="containsText" dxfId="9" priority="41518" operator="containsText" text="No">
      <formula>NOT(ISERROR(SEARCH(("No"),(P226))))</formula>
    </cfRule>
  </conditionalFormatting>
  <conditionalFormatting sqref="P226:Q226">
    <cfRule type="containsText" dxfId="9" priority="41519" operator="containsText" text="No">
      <formula>NOT(ISERROR(SEARCH(("No"),(P226))))</formula>
    </cfRule>
  </conditionalFormatting>
  <conditionalFormatting sqref="P226:Q226">
    <cfRule type="containsText" dxfId="9" priority="41520" operator="containsText" text="No">
      <formula>NOT(ISERROR(SEARCH(("No"),(P226))))</formula>
    </cfRule>
  </conditionalFormatting>
  <conditionalFormatting sqref="P226:Q226">
    <cfRule type="containsText" dxfId="9" priority="41521" operator="containsText" text="No">
      <formula>NOT(ISERROR(SEARCH(("No"),(P226))))</formula>
    </cfRule>
  </conditionalFormatting>
  <conditionalFormatting sqref="P226:Q226">
    <cfRule type="containsText" dxfId="9" priority="41522" operator="containsText" text="No">
      <formula>NOT(ISERROR(SEARCH(("No"),(P226))))</formula>
    </cfRule>
  </conditionalFormatting>
  <conditionalFormatting sqref="P226:Q226">
    <cfRule type="containsText" dxfId="9" priority="41523" operator="containsText" text="No">
      <formula>NOT(ISERROR(SEARCH(("No"),(P226))))</formula>
    </cfRule>
  </conditionalFormatting>
  <conditionalFormatting sqref="P226:Q226">
    <cfRule type="containsText" dxfId="9" priority="41524" operator="containsText" text="No">
      <formula>NOT(ISERROR(SEARCH(("No"),(P226))))</formula>
    </cfRule>
  </conditionalFormatting>
  <conditionalFormatting sqref="P226:Q226">
    <cfRule type="containsText" dxfId="9" priority="41525" operator="containsText" text="No">
      <formula>NOT(ISERROR(SEARCH(("No"),(P226))))</formula>
    </cfRule>
  </conditionalFormatting>
  <conditionalFormatting sqref="P226:Q226">
    <cfRule type="containsText" dxfId="9" priority="41526" operator="containsText" text="No">
      <formula>NOT(ISERROR(SEARCH(("No"),(P226))))</formula>
    </cfRule>
  </conditionalFormatting>
  <conditionalFormatting sqref="P226:Q226">
    <cfRule type="containsText" dxfId="9" priority="41527" operator="containsText" text="No">
      <formula>NOT(ISERROR(SEARCH(("No"),(P226))))</formula>
    </cfRule>
  </conditionalFormatting>
  <conditionalFormatting sqref="P226:Q226">
    <cfRule type="containsText" dxfId="9" priority="41528" operator="containsText" text="No">
      <formula>NOT(ISERROR(SEARCH(("No"),(P226))))</formula>
    </cfRule>
  </conditionalFormatting>
  <conditionalFormatting sqref="P226:Q226">
    <cfRule type="containsText" dxfId="9" priority="41529" operator="containsText" text="No">
      <formula>NOT(ISERROR(SEARCH(("No"),(P226))))</formula>
    </cfRule>
  </conditionalFormatting>
  <conditionalFormatting sqref="P226:Q226">
    <cfRule type="containsText" dxfId="9" priority="41530" operator="containsText" text="No">
      <formula>NOT(ISERROR(SEARCH(("No"),(P226))))</formula>
    </cfRule>
  </conditionalFormatting>
  <conditionalFormatting sqref="P226:Q226">
    <cfRule type="containsText" dxfId="9" priority="41531" operator="containsText" text="No">
      <formula>NOT(ISERROR(SEARCH(("No"),(P226))))</formula>
    </cfRule>
  </conditionalFormatting>
  <conditionalFormatting sqref="P226:Q226">
    <cfRule type="containsText" dxfId="9" priority="41532" operator="containsText" text="No">
      <formula>NOT(ISERROR(SEARCH(("No"),(P226))))</formula>
    </cfRule>
  </conditionalFormatting>
  <conditionalFormatting sqref="P226:Q226">
    <cfRule type="containsText" dxfId="9" priority="41533" operator="containsText" text="No">
      <formula>NOT(ISERROR(SEARCH(("No"),(P226))))</formula>
    </cfRule>
  </conditionalFormatting>
  <conditionalFormatting sqref="P226:Q226">
    <cfRule type="containsText" dxfId="9" priority="41534" operator="containsText" text="No">
      <formula>NOT(ISERROR(SEARCH(("No"),(P226))))</formula>
    </cfRule>
  </conditionalFormatting>
  <conditionalFormatting sqref="P226:Q226">
    <cfRule type="containsText" dxfId="9" priority="41535" operator="containsText" text="No">
      <formula>NOT(ISERROR(SEARCH(("No"),(P226))))</formula>
    </cfRule>
  </conditionalFormatting>
  <conditionalFormatting sqref="P226:Q226">
    <cfRule type="containsText" dxfId="9" priority="41536" operator="containsText" text="No">
      <formula>NOT(ISERROR(SEARCH(("No"),(P226))))</formula>
    </cfRule>
  </conditionalFormatting>
  <conditionalFormatting sqref="P226:Q226">
    <cfRule type="containsText" dxfId="9" priority="41537" operator="containsText" text="No">
      <formula>NOT(ISERROR(SEARCH(("No"),(P226))))</formula>
    </cfRule>
  </conditionalFormatting>
  <conditionalFormatting sqref="P226:Q226">
    <cfRule type="containsText" dxfId="9" priority="41538" operator="containsText" text="No">
      <formula>NOT(ISERROR(SEARCH(("No"),(P226))))</formula>
    </cfRule>
  </conditionalFormatting>
  <conditionalFormatting sqref="P226:Q226">
    <cfRule type="containsText" dxfId="9" priority="41539" operator="containsText" text="No">
      <formula>NOT(ISERROR(SEARCH(("No"),(P226))))</formula>
    </cfRule>
  </conditionalFormatting>
  <conditionalFormatting sqref="P226:Q226">
    <cfRule type="containsText" dxfId="9" priority="41540" operator="containsText" text="No">
      <formula>NOT(ISERROR(SEARCH(("No"),(P226))))</formula>
    </cfRule>
  </conditionalFormatting>
  <conditionalFormatting sqref="P226:Q226">
    <cfRule type="containsText" dxfId="9" priority="41541" operator="containsText" text="No">
      <formula>NOT(ISERROR(SEARCH(("No"),(P226))))</formula>
    </cfRule>
  </conditionalFormatting>
  <conditionalFormatting sqref="P226:Q226">
    <cfRule type="containsText" dxfId="9" priority="41542" operator="containsText" text="No">
      <formula>NOT(ISERROR(SEARCH(("No"),(P226))))</formula>
    </cfRule>
  </conditionalFormatting>
  <conditionalFormatting sqref="P226:Q226">
    <cfRule type="containsText" dxfId="9" priority="41543" operator="containsText" text="No">
      <formula>NOT(ISERROR(SEARCH(("No"),(P226))))</formula>
    </cfRule>
  </conditionalFormatting>
  <conditionalFormatting sqref="P226:Q226">
    <cfRule type="containsText" dxfId="9" priority="41544" operator="containsText" text="No">
      <formula>NOT(ISERROR(SEARCH(("No"),(P226))))</formula>
    </cfRule>
  </conditionalFormatting>
  <conditionalFormatting sqref="P226:Q226">
    <cfRule type="containsText" dxfId="9" priority="41545" operator="containsText" text="No">
      <formula>NOT(ISERROR(SEARCH(("No"),(P226))))</formula>
    </cfRule>
  </conditionalFormatting>
  <conditionalFormatting sqref="P226:Q226">
    <cfRule type="containsText" dxfId="9" priority="41546" operator="containsText" text="No">
      <formula>NOT(ISERROR(SEARCH(("No"),(P226))))</formula>
    </cfRule>
  </conditionalFormatting>
  <conditionalFormatting sqref="P226:Q226">
    <cfRule type="containsText" dxfId="9" priority="41547" operator="containsText" text="No">
      <formula>NOT(ISERROR(SEARCH(("No"),(P226))))</formula>
    </cfRule>
  </conditionalFormatting>
  <conditionalFormatting sqref="P226:Q226">
    <cfRule type="containsText" dxfId="9" priority="41548" operator="containsText" text="No">
      <formula>NOT(ISERROR(SEARCH(("No"),(P226))))</formula>
    </cfRule>
  </conditionalFormatting>
  <conditionalFormatting sqref="P226:Q226">
    <cfRule type="containsText" dxfId="9" priority="41549" operator="containsText" text="No">
      <formula>NOT(ISERROR(SEARCH(("No"),(P226))))</formula>
    </cfRule>
  </conditionalFormatting>
  <conditionalFormatting sqref="P226:Q226">
    <cfRule type="containsText" dxfId="9" priority="41550" operator="containsText" text="No">
      <formula>NOT(ISERROR(SEARCH(("No"),(P226))))</formula>
    </cfRule>
  </conditionalFormatting>
  <conditionalFormatting sqref="P226:Q226">
    <cfRule type="containsText" dxfId="9" priority="41551" operator="containsText" text="No">
      <formula>NOT(ISERROR(SEARCH(("No"),(P226))))</formula>
    </cfRule>
  </conditionalFormatting>
  <conditionalFormatting sqref="P226:Q226">
    <cfRule type="containsText" dxfId="9" priority="41552" operator="containsText" text="No">
      <formula>NOT(ISERROR(SEARCH(("No"),(P226))))</formula>
    </cfRule>
  </conditionalFormatting>
  <conditionalFormatting sqref="P226:Q226">
    <cfRule type="containsText" dxfId="9" priority="41553" operator="containsText" text="No">
      <formula>NOT(ISERROR(SEARCH(("No"),(P226))))</formula>
    </cfRule>
  </conditionalFormatting>
  <conditionalFormatting sqref="P226:Q226">
    <cfRule type="containsText" dxfId="9" priority="41554" operator="containsText" text="No">
      <formula>NOT(ISERROR(SEARCH(("No"),(P226))))</formula>
    </cfRule>
  </conditionalFormatting>
  <conditionalFormatting sqref="P226:Q226">
    <cfRule type="containsText" dxfId="9" priority="41555" operator="containsText" text="No">
      <formula>NOT(ISERROR(SEARCH(("No"),(P226))))</formula>
    </cfRule>
  </conditionalFormatting>
  <conditionalFormatting sqref="P226:Q226">
    <cfRule type="containsText" dxfId="9" priority="41556" operator="containsText" text="No">
      <formula>NOT(ISERROR(SEARCH(("No"),(P226))))</formula>
    </cfRule>
  </conditionalFormatting>
  <conditionalFormatting sqref="P226:Q226">
    <cfRule type="containsText" dxfId="9" priority="41557" operator="containsText" text="No">
      <formula>NOT(ISERROR(SEARCH(("No"),(P226))))</formula>
    </cfRule>
  </conditionalFormatting>
  <conditionalFormatting sqref="P226:Q226">
    <cfRule type="containsText" dxfId="2" priority="41558" operator="containsText" text="Yes">
      <formula>NOT(ISERROR(SEARCH(("Yes"),(P226))))</formula>
    </cfRule>
  </conditionalFormatting>
  <conditionalFormatting sqref="P226:Q226">
    <cfRule type="containsText" dxfId="2" priority="41559" operator="containsText" text="Yes">
      <formula>NOT(ISERROR(SEARCH(("Yes"),(P226))))</formula>
    </cfRule>
  </conditionalFormatting>
  <conditionalFormatting sqref="P226:Q226">
    <cfRule type="containsText" dxfId="2" priority="41560" operator="containsText" text="Yes">
      <formula>NOT(ISERROR(SEARCH(("Yes"),(P226))))</formula>
    </cfRule>
  </conditionalFormatting>
  <conditionalFormatting sqref="P226:Q226">
    <cfRule type="containsText" dxfId="2" priority="41561" operator="containsText" text="Yes">
      <formula>NOT(ISERROR(SEARCH(("Yes"),(P226))))</formula>
    </cfRule>
  </conditionalFormatting>
  <conditionalFormatting sqref="P226:Q226">
    <cfRule type="containsText" dxfId="2" priority="41562" operator="containsText" text="Yes">
      <formula>NOT(ISERROR(SEARCH(("Yes"),(P226))))</formula>
    </cfRule>
  </conditionalFormatting>
  <conditionalFormatting sqref="P226:Q226">
    <cfRule type="containsText" dxfId="2" priority="41563" operator="containsText" text="Yes">
      <formula>NOT(ISERROR(SEARCH(("Yes"),(P226))))</formula>
    </cfRule>
  </conditionalFormatting>
  <conditionalFormatting sqref="P226:Q226">
    <cfRule type="containsText" dxfId="2" priority="41564" operator="containsText" text="Yes">
      <formula>NOT(ISERROR(SEARCH(("Yes"),(P226))))</formula>
    </cfRule>
  </conditionalFormatting>
  <conditionalFormatting sqref="P226:Q226">
    <cfRule type="containsText" dxfId="2" priority="41565" operator="containsText" text="Yes">
      <formula>NOT(ISERROR(SEARCH(("Yes"),(P226))))</formula>
    </cfRule>
  </conditionalFormatting>
  <conditionalFormatting sqref="P226:Q226">
    <cfRule type="containsText" dxfId="2" priority="41566" operator="containsText" text="Yes">
      <formula>NOT(ISERROR(SEARCH(("Yes"),(P226))))</formula>
    </cfRule>
  </conditionalFormatting>
  <conditionalFormatting sqref="P226:Q226">
    <cfRule type="containsText" dxfId="2" priority="41567" operator="containsText" text="Yes">
      <formula>NOT(ISERROR(SEARCH(("Yes"),(P226))))</formula>
    </cfRule>
  </conditionalFormatting>
  <conditionalFormatting sqref="P226:Q226">
    <cfRule type="containsText" dxfId="2" priority="41568" operator="containsText" text="Yes">
      <formula>NOT(ISERROR(SEARCH(("Yes"),(P226))))</formula>
    </cfRule>
  </conditionalFormatting>
  <conditionalFormatting sqref="P226:Q226">
    <cfRule type="containsText" dxfId="2" priority="41569" operator="containsText" text="Yes">
      <formula>NOT(ISERROR(SEARCH(("Yes"),(P226))))</formula>
    </cfRule>
  </conditionalFormatting>
  <conditionalFormatting sqref="P226:Q226">
    <cfRule type="containsText" dxfId="2" priority="41570" operator="containsText" text="Yes">
      <formula>NOT(ISERROR(SEARCH(("Yes"),(P226))))</formula>
    </cfRule>
  </conditionalFormatting>
  <conditionalFormatting sqref="P226:Q226">
    <cfRule type="containsText" dxfId="2" priority="41571" operator="containsText" text="Yes">
      <formula>NOT(ISERROR(SEARCH(("Yes"),(P226))))</formula>
    </cfRule>
  </conditionalFormatting>
  <conditionalFormatting sqref="P226:Q226">
    <cfRule type="containsText" dxfId="2" priority="41572" operator="containsText" text="Yes">
      <formula>NOT(ISERROR(SEARCH(("Yes"),(P226))))</formula>
    </cfRule>
  </conditionalFormatting>
  <conditionalFormatting sqref="P226:Q226">
    <cfRule type="containsText" dxfId="2" priority="41573" operator="containsText" text="Yes">
      <formula>NOT(ISERROR(SEARCH(("Yes"),(P226))))</formula>
    </cfRule>
  </conditionalFormatting>
  <conditionalFormatting sqref="P226:Q226">
    <cfRule type="containsText" dxfId="2" priority="41574" operator="containsText" text="Yes">
      <formula>NOT(ISERROR(SEARCH(("Yes"),(P226))))</formula>
    </cfRule>
  </conditionalFormatting>
  <conditionalFormatting sqref="P226:Q226">
    <cfRule type="containsText" dxfId="2" priority="41575" operator="containsText" text="Yes">
      <formula>NOT(ISERROR(SEARCH(("Yes"),(P226))))</formula>
    </cfRule>
  </conditionalFormatting>
  <conditionalFormatting sqref="P226:Q226">
    <cfRule type="containsText" dxfId="2" priority="41576" operator="containsText" text="Yes">
      <formula>NOT(ISERROR(SEARCH(("Yes"),(P226))))</formula>
    </cfRule>
  </conditionalFormatting>
  <conditionalFormatting sqref="P226:Q226">
    <cfRule type="containsText" dxfId="2" priority="41577" operator="containsText" text="Yes">
      <formula>NOT(ISERROR(SEARCH(("Yes"),(P226))))</formula>
    </cfRule>
  </conditionalFormatting>
  <conditionalFormatting sqref="P226:Q226">
    <cfRule type="containsText" dxfId="2" priority="41578" operator="containsText" text="Yes">
      <formula>NOT(ISERROR(SEARCH(("Yes"),(P226))))</formula>
    </cfRule>
  </conditionalFormatting>
  <conditionalFormatting sqref="P226:Q226">
    <cfRule type="containsText" dxfId="2" priority="41579" operator="containsText" text="Yes">
      <formula>NOT(ISERROR(SEARCH(("Yes"),(P226))))</formula>
    </cfRule>
  </conditionalFormatting>
  <conditionalFormatting sqref="P226:Q226">
    <cfRule type="containsText" dxfId="2" priority="41580" operator="containsText" text="Yes">
      <formula>NOT(ISERROR(SEARCH(("Yes"),(P226))))</formula>
    </cfRule>
  </conditionalFormatting>
  <conditionalFormatting sqref="P226:Q226">
    <cfRule type="containsText" dxfId="2" priority="41581" operator="containsText" text="Yes">
      <formula>NOT(ISERROR(SEARCH(("Yes"),(P226))))</formula>
    </cfRule>
  </conditionalFormatting>
  <conditionalFormatting sqref="P226:Q226">
    <cfRule type="containsText" dxfId="2" priority="41582" operator="containsText" text="Yes">
      <formula>NOT(ISERROR(SEARCH(("Yes"),(P226))))</formula>
    </cfRule>
  </conditionalFormatting>
  <conditionalFormatting sqref="P226:Q226">
    <cfRule type="containsText" dxfId="2" priority="41583" operator="containsText" text="Yes">
      <formula>NOT(ISERROR(SEARCH(("Yes"),(P226))))</formula>
    </cfRule>
  </conditionalFormatting>
  <conditionalFormatting sqref="P226:Q226">
    <cfRule type="containsText" dxfId="2" priority="41584" operator="containsText" text="Yes">
      <formula>NOT(ISERROR(SEARCH(("Yes"),(P226))))</formula>
    </cfRule>
  </conditionalFormatting>
  <conditionalFormatting sqref="P226:Q226">
    <cfRule type="containsText" dxfId="2" priority="41585" operator="containsText" text="Yes">
      <formula>NOT(ISERROR(SEARCH(("Yes"),(P226))))</formula>
    </cfRule>
  </conditionalFormatting>
  <conditionalFormatting sqref="P226:Q226">
    <cfRule type="containsText" dxfId="2" priority="41586" operator="containsText" text="Yes">
      <formula>NOT(ISERROR(SEARCH(("Yes"),(P226))))</formula>
    </cfRule>
  </conditionalFormatting>
  <conditionalFormatting sqref="P226:Q226">
    <cfRule type="containsText" dxfId="2" priority="41587" operator="containsText" text="Yes">
      <formula>NOT(ISERROR(SEARCH(("Yes"),(P226))))</formula>
    </cfRule>
  </conditionalFormatting>
  <conditionalFormatting sqref="P226:Q226">
    <cfRule type="containsText" dxfId="2" priority="41588" operator="containsText" text="Yes">
      <formula>NOT(ISERROR(SEARCH(("Yes"),(P226))))</formula>
    </cfRule>
  </conditionalFormatting>
  <conditionalFormatting sqref="P226:Q226">
    <cfRule type="containsText" dxfId="2" priority="41589" operator="containsText" text="Yes">
      <formula>NOT(ISERROR(SEARCH(("Yes"),(P226))))</formula>
    </cfRule>
  </conditionalFormatting>
  <conditionalFormatting sqref="P226:Q226">
    <cfRule type="containsText" dxfId="2" priority="41590" operator="containsText" text="Yes">
      <formula>NOT(ISERROR(SEARCH(("Yes"),(P226))))</formula>
    </cfRule>
  </conditionalFormatting>
  <conditionalFormatting sqref="P226:Q226">
    <cfRule type="containsText" dxfId="2" priority="41591" operator="containsText" text="Yes">
      <formula>NOT(ISERROR(SEARCH(("Yes"),(P226))))</formula>
    </cfRule>
  </conditionalFormatting>
  <conditionalFormatting sqref="P226:Q226">
    <cfRule type="containsText" dxfId="2" priority="41592" operator="containsText" text="Yes">
      <formula>NOT(ISERROR(SEARCH(("Yes"),(P226))))</formula>
    </cfRule>
  </conditionalFormatting>
  <conditionalFormatting sqref="P226:Q226">
    <cfRule type="containsText" dxfId="2" priority="41593" operator="containsText" text="Yes">
      <formula>NOT(ISERROR(SEARCH(("Yes"),(P226))))</formula>
    </cfRule>
  </conditionalFormatting>
  <conditionalFormatting sqref="P226:Q226">
    <cfRule type="containsText" dxfId="2" priority="41594" operator="containsText" text="Yes">
      <formula>NOT(ISERROR(SEARCH(("Yes"),(P226))))</formula>
    </cfRule>
  </conditionalFormatting>
  <conditionalFormatting sqref="P226:Q226">
    <cfRule type="containsText" dxfId="2" priority="41595" operator="containsText" text="Yes">
      <formula>NOT(ISERROR(SEARCH(("Yes"),(P226))))</formula>
    </cfRule>
  </conditionalFormatting>
  <conditionalFormatting sqref="P226:Q226">
    <cfRule type="containsText" dxfId="2" priority="41596" operator="containsText" text="Yes">
      <formula>NOT(ISERROR(SEARCH(("Yes"),(P226))))</formula>
    </cfRule>
  </conditionalFormatting>
  <conditionalFormatting sqref="P226:Q226">
    <cfRule type="containsText" dxfId="2" priority="41597" operator="containsText" text="Yes">
      <formula>NOT(ISERROR(SEARCH(("Yes"),(P226))))</formula>
    </cfRule>
  </conditionalFormatting>
  <conditionalFormatting sqref="P226:Q226">
    <cfRule type="containsText" dxfId="2" priority="41598" operator="containsText" text="Yes">
      <formula>NOT(ISERROR(SEARCH(("Yes"),(P226))))</formula>
    </cfRule>
  </conditionalFormatting>
  <conditionalFormatting sqref="P226:Q226">
    <cfRule type="containsText" dxfId="2" priority="41599" operator="containsText" text="Yes">
      <formula>NOT(ISERROR(SEARCH(("Yes"),(P226))))</formula>
    </cfRule>
  </conditionalFormatting>
  <conditionalFormatting sqref="P226:Q226">
    <cfRule type="containsText" dxfId="2" priority="41600" operator="containsText" text="Yes">
      <formula>NOT(ISERROR(SEARCH(("Yes"),(P226))))</formula>
    </cfRule>
  </conditionalFormatting>
  <conditionalFormatting sqref="P226:Q226">
    <cfRule type="containsText" dxfId="2" priority="41601" operator="containsText" text="Yes">
      <formula>NOT(ISERROR(SEARCH(("Yes"),(P226))))</formula>
    </cfRule>
  </conditionalFormatting>
  <conditionalFormatting sqref="P226:Q226">
    <cfRule type="containsText" dxfId="2" priority="41602" operator="containsText" text="Yes">
      <formula>NOT(ISERROR(SEARCH(("Yes"),(P226))))</formula>
    </cfRule>
  </conditionalFormatting>
  <conditionalFormatting sqref="P226:Q226">
    <cfRule type="containsText" dxfId="2" priority="41603" operator="containsText" text="Yes">
      <formula>NOT(ISERROR(SEARCH(("Yes"),(P226))))</formula>
    </cfRule>
  </conditionalFormatting>
  <conditionalFormatting sqref="P226:Q226">
    <cfRule type="containsText" dxfId="2" priority="41604" operator="containsText" text="Yes">
      <formula>NOT(ISERROR(SEARCH(("Yes"),(P226))))</formula>
    </cfRule>
  </conditionalFormatting>
  <conditionalFormatting sqref="P228:Q228 P231:Q233 P272:Q274">
    <cfRule type="containsText" dxfId="9" priority="41605" operator="containsText" text="No">
      <formula>NOT(ISERROR(SEARCH(("No"),(P228))))</formula>
    </cfRule>
  </conditionalFormatting>
  <conditionalFormatting sqref="P228:Q228 P231:Q233 P272:Q274">
    <cfRule type="containsText" dxfId="9" priority="41606" operator="containsText" text="No">
      <formula>NOT(ISERROR(SEARCH(("No"),(P228))))</formula>
    </cfRule>
  </conditionalFormatting>
  <conditionalFormatting sqref="P228:Q228 P231:Q233 P272:Q274">
    <cfRule type="containsText" dxfId="9" priority="41607" operator="containsText" text="No">
      <formula>NOT(ISERROR(SEARCH(("No"),(P228))))</formula>
    </cfRule>
  </conditionalFormatting>
  <conditionalFormatting sqref="P228:Q228 P231:Q233 P272:Q274">
    <cfRule type="containsText" dxfId="9" priority="41608" operator="containsText" text="No">
      <formula>NOT(ISERROR(SEARCH(("No"),(P228))))</formula>
    </cfRule>
  </conditionalFormatting>
  <conditionalFormatting sqref="P228:Q228 P231:Q233 P272:Q274">
    <cfRule type="containsText" dxfId="9" priority="41609" operator="containsText" text="No">
      <formula>NOT(ISERROR(SEARCH(("No"),(P228))))</formula>
    </cfRule>
  </conditionalFormatting>
  <conditionalFormatting sqref="P228:Q228 P231:Q233 P272:Q274">
    <cfRule type="containsText" dxfId="9" priority="41610" operator="containsText" text="No">
      <formula>NOT(ISERROR(SEARCH(("No"),(P228))))</formula>
    </cfRule>
  </conditionalFormatting>
  <conditionalFormatting sqref="P228:Q228 P231:Q233 P272:Q274">
    <cfRule type="containsText" dxfId="9" priority="41611" operator="containsText" text="No">
      <formula>NOT(ISERROR(SEARCH(("No"),(P228))))</formula>
    </cfRule>
  </conditionalFormatting>
  <conditionalFormatting sqref="P228:Q228 P231:Q233 P272:Q274">
    <cfRule type="containsText" dxfId="9" priority="41612" operator="containsText" text="No">
      <formula>NOT(ISERROR(SEARCH(("No"),(P228))))</formula>
    </cfRule>
  </conditionalFormatting>
  <conditionalFormatting sqref="P228:Q228 P231:Q233 P272:Q274">
    <cfRule type="containsText" dxfId="9" priority="41613" operator="containsText" text="No">
      <formula>NOT(ISERROR(SEARCH(("No"),(P228))))</formula>
    </cfRule>
  </conditionalFormatting>
  <conditionalFormatting sqref="P228:Q228 P231:Q233 P272:Q274">
    <cfRule type="containsText" dxfId="9" priority="41614" operator="containsText" text="No">
      <formula>NOT(ISERROR(SEARCH(("No"),(P228))))</formula>
    </cfRule>
  </conditionalFormatting>
  <conditionalFormatting sqref="P228:Q228 P231:Q233 P272:Q274">
    <cfRule type="containsText" dxfId="9" priority="41615" operator="containsText" text="No">
      <formula>NOT(ISERROR(SEARCH(("No"),(P228))))</formula>
    </cfRule>
  </conditionalFormatting>
  <conditionalFormatting sqref="P228:Q228 P231:Q233 P272:Q274">
    <cfRule type="containsText" dxfId="9" priority="41616" operator="containsText" text="No">
      <formula>NOT(ISERROR(SEARCH(("No"),(P228))))</formula>
    </cfRule>
  </conditionalFormatting>
  <conditionalFormatting sqref="P228:Q228 P231:Q233 P272:Q274">
    <cfRule type="containsText" dxfId="9" priority="41617" operator="containsText" text="No">
      <formula>NOT(ISERROR(SEARCH(("No"),(P228))))</formula>
    </cfRule>
  </conditionalFormatting>
  <conditionalFormatting sqref="P228:Q228 P231:Q233 P272:Q274">
    <cfRule type="containsText" dxfId="9" priority="41618" operator="containsText" text="No">
      <formula>NOT(ISERROR(SEARCH(("No"),(P228))))</formula>
    </cfRule>
  </conditionalFormatting>
  <conditionalFormatting sqref="P228:Q228 P231:Q233 P272:Q274">
    <cfRule type="containsText" dxfId="9" priority="41619" operator="containsText" text="No">
      <formula>NOT(ISERROR(SEARCH(("No"),(P228))))</formula>
    </cfRule>
  </conditionalFormatting>
  <conditionalFormatting sqref="P228:Q228 P231:Q233 P272:Q274">
    <cfRule type="containsText" dxfId="9" priority="41620" operator="containsText" text="No">
      <formula>NOT(ISERROR(SEARCH(("No"),(P228))))</formula>
    </cfRule>
  </conditionalFormatting>
  <conditionalFormatting sqref="P228:Q228 P231:Q233 P272:Q274">
    <cfRule type="containsText" dxfId="9" priority="41621" operator="containsText" text="No">
      <formula>NOT(ISERROR(SEARCH(("No"),(P228))))</formula>
    </cfRule>
  </conditionalFormatting>
  <conditionalFormatting sqref="P228:Q228 P231:Q233 P272:Q274">
    <cfRule type="containsText" dxfId="9" priority="41622" operator="containsText" text="No">
      <formula>NOT(ISERROR(SEARCH(("No"),(P228))))</formula>
    </cfRule>
  </conditionalFormatting>
  <conditionalFormatting sqref="P228:Q228 P231:Q233 P272:Q274">
    <cfRule type="containsText" dxfId="9" priority="41623" operator="containsText" text="No">
      <formula>NOT(ISERROR(SEARCH(("No"),(P228))))</formula>
    </cfRule>
  </conditionalFormatting>
  <conditionalFormatting sqref="P228:Q228 P231:Q233 P272:Q274">
    <cfRule type="containsText" dxfId="9" priority="41624" operator="containsText" text="No">
      <formula>NOT(ISERROR(SEARCH(("No"),(P228))))</formula>
    </cfRule>
  </conditionalFormatting>
  <conditionalFormatting sqref="P228:Q228 P231:Q233 P272:Q274">
    <cfRule type="containsText" dxfId="9" priority="41625" operator="containsText" text="No">
      <formula>NOT(ISERROR(SEARCH(("No"),(P228))))</formula>
    </cfRule>
  </conditionalFormatting>
  <conditionalFormatting sqref="P228:Q228 P231:Q233 P272:Q274">
    <cfRule type="containsText" dxfId="9" priority="41626" operator="containsText" text="No">
      <formula>NOT(ISERROR(SEARCH(("No"),(P228))))</formula>
    </cfRule>
  </conditionalFormatting>
  <conditionalFormatting sqref="P228:Q228 P231:Q233 P272:Q274">
    <cfRule type="containsText" dxfId="9" priority="41627" operator="containsText" text="No">
      <formula>NOT(ISERROR(SEARCH(("No"),(P228))))</formula>
    </cfRule>
  </conditionalFormatting>
  <conditionalFormatting sqref="P228:Q228 P231:Q233 P272:Q274">
    <cfRule type="containsText" dxfId="9" priority="41628" operator="containsText" text="No">
      <formula>NOT(ISERROR(SEARCH(("No"),(P228))))</formula>
    </cfRule>
  </conditionalFormatting>
  <conditionalFormatting sqref="P228:Q228 P231:Q233 P272:Q274">
    <cfRule type="containsText" dxfId="9" priority="41629" operator="containsText" text="No">
      <formula>NOT(ISERROR(SEARCH(("No"),(P228))))</formula>
    </cfRule>
  </conditionalFormatting>
  <conditionalFormatting sqref="P228:Q228 P231:Q233 P272:Q274">
    <cfRule type="containsText" dxfId="9" priority="41630" operator="containsText" text="No">
      <formula>NOT(ISERROR(SEARCH(("No"),(P228))))</formula>
    </cfRule>
  </conditionalFormatting>
  <conditionalFormatting sqref="P228:Q228 P231:Q233 P272:Q274">
    <cfRule type="containsText" dxfId="9" priority="41631" operator="containsText" text="No">
      <formula>NOT(ISERROR(SEARCH(("No"),(P228))))</formula>
    </cfRule>
  </conditionalFormatting>
  <conditionalFormatting sqref="P228:Q228 P231:Q233 P272:Q274">
    <cfRule type="containsText" dxfId="9" priority="41632" operator="containsText" text="No">
      <formula>NOT(ISERROR(SEARCH(("No"),(P228))))</formula>
    </cfRule>
  </conditionalFormatting>
  <conditionalFormatting sqref="P228:Q228 P231:Q233 P272:Q274">
    <cfRule type="containsText" dxfId="9" priority="41633" operator="containsText" text="No">
      <formula>NOT(ISERROR(SEARCH(("No"),(P228))))</formula>
    </cfRule>
  </conditionalFormatting>
  <conditionalFormatting sqref="P228:Q228 P231:Q233 P272:Q274">
    <cfRule type="containsText" dxfId="9" priority="41634" operator="containsText" text="No">
      <formula>NOT(ISERROR(SEARCH(("No"),(P228))))</formula>
    </cfRule>
  </conditionalFormatting>
  <conditionalFormatting sqref="P228:Q228 P231:Q233 P272:Q274">
    <cfRule type="containsText" dxfId="9" priority="41635" operator="containsText" text="No">
      <formula>NOT(ISERROR(SEARCH(("No"),(P228))))</formula>
    </cfRule>
  </conditionalFormatting>
  <conditionalFormatting sqref="P228:Q228 P231:Q233 P272:Q274">
    <cfRule type="containsText" dxfId="9" priority="41636" operator="containsText" text="No">
      <formula>NOT(ISERROR(SEARCH(("No"),(P228))))</formula>
    </cfRule>
  </conditionalFormatting>
  <conditionalFormatting sqref="P228:Q228 P231:Q233 P272:Q274">
    <cfRule type="containsText" dxfId="9" priority="41637" operator="containsText" text="No">
      <formula>NOT(ISERROR(SEARCH(("No"),(P228))))</formula>
    </cfRule>
  </conditionalFormatting>
  <conditionalFormatting sqref="P228:Q228 P231:Q233 P272:Q274">
    <cfRule type="containsText" dxfId="9" priority="41638" operator="containsText" text="No">
      <formula>NOT(ISERROR(SEARCH(("No"),(P228))))</formula>
    </cfRule>
  </conditionalFormatting>
  <conditionalFormatting sqref="P228:Q228 P231:Q233 P272:Q274">
    <cfRule type="containsText" dxfId="9" priority="41639" operator="containsText" text="No">
      <formula>NOT(ISERROR(SEARCH(("No"),(P228))))</formula>
    </cfRule>
  </conditionalFormatting>
  <conditionalFormatting sqref="P228:Q228 P231:Q233 P272:Q274">
    <cfRule type="containsText" dxfId="9" priority="41640" operator="containsText" text="No">
      <formula>NOT(ISERROR(SEARCH(("No"),(P228))))</formula>
    </cfRule>
  </conditionalFormatting>
  <conditionalFormatting sqref="P228:Q228 P231:Q233 P272:Q274">
    <cfRule type="containsText" dxfId="9" priority="41641" operator="containsText" text="No">
      <formula>NOT(ISERROR(SEARCH(("No"),(P228))))</formula>
    </cfRule>
  </conditionalFormatting>
  <conditionalFormatting sqref="P228:Q228 P231:Q233 P272:Q274">
    <cfRule type="containsText" dxfId="9" priority="41642" operator="containsText" text="No">
      <formula>NOT(ISERROR(SEARCH(("No"),(P228))))</formula>
    </cfRule>
  </conditionalFormatting>
  <conditionalFormatting sqref="P228:Q228 P231:Q233 P272:Q274">
    <cfRule type="containsText" dxfId="9" priority="41643" operator="containsText" text="No">
      <formula>NOT(ISERROR(SEARCH(("No"),(P228))))</formula>
    </cfRule>
  </conditionalFormatting>
  <conditionalFormatting sqref="P228:Q228 P231:Q233 P272:Q274">
    <cfRule type="containsText" dxfId="9" priority="41644" operator="containsText" text="No">
      <formula>NOT(ISERROR(SEARCH(("No"),(P228))))</formula>
    </cfRule>
  </conditionalFormatting>
  <conditionalFormatting sqref="P228:Q228 P231:Q233 P272:Q274">
    <cfRule type="containsText" dxfId="9" priority="41645" operator="containsText" text="No">
      <formula>NOT(ISERROR(SEARCH(("No"),(P228))))</formula>
    </cfRule>
  </conditionalFormatting>
  <conditionalFormatting sqref="P228:Q228 P231:Q233 P272:Q274">
    <cfRule type="containsText" dxfId="9" priority="41646" operator="containsText" text="No">
      <formula>NOT(ISERROR(SEARCH(("No"),(P228))))</formula>
    </cfRule>
  </conditionalFormatting>
  <conditionalFormatting sqref="P228:Q228 P231:Q233 P272:Q274">
    <cfRule type="containsText" dxfId="9" priority="41647" operator="containsText" text="No">
      <formula>NOT(ISERROR(SEARCH(("No"),(P228))))</formula>
    </cfRule>
  </conditionalFormatting>
  <conditionalFormatting sqref="P228:Q228 P231:Q233 P272:Q274">
    <cfRule type="containsText" dxfId="9" priority="41648" operator="containsText" text="No">
      <formula>NOT(ISERROR(SEARCH(("No"),(P228))))</formula>
    </cfRule>
  </conditionalFormatting>
  <conditionalFormatting sqref="P228:Q228 P231:Q233 P272:Q274">
    <cfRule type="containsText" dxfId="9" priority="41649" operator="containsText" text="No">
      <formula>NOT(ISERROR(SEARCH(("No"),(P228))))</formula>
    </cfRule>
  </conditionalFormatting>
  <conditionalFormatting sqref="P228:Q228 P231:Q233 P272:Q274">
    <cfRule type="containsText" dxfId="2" priority="41650" operator="containsText" text="Yes">
      <formula>NOT(ISERROR(SEARCH(("Yes"),(P228))))</formula>
    </cfRule>
  </conditionalFormatting>
  <conditionalFormatting sqref="P228:Q228 P231:Q233 P272:Q274">
    <cfRule type="containsText" dxfId="2" priority="41651" operator="containsText" text="Yes">
      <formula>NOT(ISERROR(SEARCH(("Yes"),(P228))))</formula>
    </cfRule>
  </conditionalFormatting>
  <conditionalFormatting sqref="P228:Q228 P231:Q233 P272:Q274">
    <cfRule type="containsText" dxfId="2" priority="41652" operator="containsText" text="Yes">
      <formula>NOT(ISERROR(SEARCH(("Yes"),(P228))))</formula>
    </cfRule>
  </conditionalFormatting>
  <conditionalFormatting sqref="P228:Q228 P231:Q233 P272:Q274">
    <cfRule type="containsText" dxfId="2" priority="41653" operator="containsText" text="Yes">
      <formula>NOT(ISERROR(SEARCH(("Yes"),(P228))))</formula>
    </cfRule>
  </conditionalFormatting>
  <conditionalFormatting sqref="P228:Q228 P231:Q233 P272:Q274">
    <cfRule type="containsText" dxfId="2" priority="41654" operator="containsText" text="Yes">
      <formula>NOT(ISERROR(SEARCH(("Yes"),(P228))))</formula>
    </cfRule>
  </conditionalFormatting>
  <conditionalFormatting sqref="P228:Q228 P231:Q233 P272:Q274">
    <cfRule type="containsText" dxfId="2" priority="41655" operator="containsText" text="Yes">
      <formula>NOT(ISERROR(SEARCH(("Yes"),(P228))))</formula>
    </cfRule>
  </conditionalFormatting>
  <conditionalFormatting sqref="P228:Q228 P231:Q233 P272:Q274">
    <cfRule type="containsText" dxfId="2" priority="41656" operator="containsText" text="Yes">
      <formula>NOT(ISERROR(SEARCH(("Yes"),(P228))))</formula>
    </cfRule>
  </conditionalFormatting>
  <conditionalFormatting sqref="P228:Q228 P231:Q233 P272:Q274">
    <cfRule type="containsText" dxfId="2" priority="41657" operator="containsText" text="Yes">
      <formula>NOT(ISERROR(SEARCH(("Yes"),(P228))))</formula>
    </cfRule>
  </conditionalFormatting>
  <conditionalFormatting sqref="P228:Q228 P231:Q233 P272:Q274">
    <cfRule type="containsText" dxfId="2" priority="41658" operator="containsText" text="Yes">
      <formula>NOT(ISERROR(SEARCH(("Yes"),(P228))))</formula>
    </cfRule>
  </conditionalFormatting>
  <conditionalFormatting sqref="P228:Q228 P231:Q233 P272:Q274">
    <cfRule type="containsText" dxfId="2" priority="41659" operator="containsText" text="Yes">
      <formula>NOT(ISERROR(SEARCH(("Yes"),(P228))))</formula>
    </cfRule>
  </conditionalFormatting>
  <conditionalFormatting sqref="P228:Q228 P231:Q233 P272:Q274">
    <cfRule type="containsText" dxfId="2" priority="41660" operator="containsText" text="Yes">
      <formula>NOT(ISERROR(SEARCH(("Yes"),(P228))))</formula>
    </cfRule>
  </conditionalFormatting>
  <conditionalFormatting sqref="P228:Q228 P231:Q233 P272:Q274">
    <cfRule type="containsText" dxfId="2" priority="41661" operator="containsText" text="Yes">
      <formula>NOT(ISERROR(SEARCH(("Yes"),(P228))))</formula>
    </cfRule>
  </conditionalFormatting>
  <conditionalFormatting sqref="P228:Q228 P231:Q233 P272:Q274">
    <cfRule type="containsText" dxfId="2" priority="41662" operator="containsText" text="Yes">
      <formula>NOT(ISERROR(SEARCH(("Yes"),(P228))))</formula>
    </cfRule>
  </conditionalFormatting>
  <conditionalFormatting sqref="P228:Q228 P231:Q233 P272:Q274">
    <cfRule type="containsText" dxfId="2" priority="41663" operator="containsText" text="Yes">
      <formula>NOT(ISERROR(SEARCH(("Yes"),(P228))))</formula>
    </cfRule>
  </conditionalFormatting>
  <conditionalFormatting sqref="P228:Q228 P231:Q233 P272:Q274">
    <cfRule type="containsText" dxfId="2" priority="41664" operator="containsText" text="Yes">
      <formula>NOT(ISERROR(SEARCH(("Yes"),(P228))))</formula>
    </cfRule>
  </conditionalFormatting>
  <conditionalFormatting sqref="P228:Q228 P231:Q233 P272:Q274">
    <cfRule type="containsText" dxfId="2" priority="41665" operator="containsText" text="Yes">
      <formula>NOT(ISERROR(SEARCH(("Yes"),(P228))))</formula>
    </cfRule>
  </conditionalFormatting>
  <conditionalFormatting sqref="P228:Q228 P231:Q233 P272:Q274">
    <cfRule type="containsText" dxfId="2" priority="41666" operator="containsText" text="Yes">
      <formula>NOT(ISERROR(SEARCH(("Yes"),(P228))))</formula>
    </cfRule>
  </conditionalFormatting>
  <conditionalFormatting sqref="P228:Q228 P231:Q233 P272:Q274">
    <cfRule type="containsText" dxfId="2" priority="41667" operator="containsText" text="Yes">
      <formula>NOT(ISERROR(SEARCH(("Yes"),(P228))))</formula>
    </cfRule>
  </conditionalFormatting>
  <conditionalFormatting sqref="P228:Q228 P231:Q233 P272:Q274">
    <cfRule type="containsText" dxfId="2" priority="41668" operator="containsText" text="Yes">
      <formula>NOT(ISERROR(SEARCH(("Yes"),(P228))))</formula>
    </cfRule>
  </conditionalFormatting>
  <conditionalFormatting sqref="P228:Q228 P231:Q233 P272:Q274">
    <cfRule type="containsText" dxfId="2" priority="41669" operator="containsText" text="Yes">
      <formula>NOT(ISERROR(SEARCH(("Yes"),(P228))))</formula>
    </cfRule>
  </conditionalFormatting>
  <conditionalFormatting sqref="P228:Q228 P231:Q233 P272:Q274">
    <cfRule type="containsText" dxfId="2" priority="41670" operator="containsText" text="Yes">
      <formula>NOT(ISERROR(SEARCH(("Yes"),(P228))))</formula>
    </cfRule>
  </conditionalFormatting>
  <conditionalFormatting sqref="P228:Q228 P231:Q233 P272:Q274">
    <cfRule type="containsText" dxfId="2" priority="41671" operator="containsText" text="Yes">
      <formula>NOT(ISERROR(SEARCH(("Yes"),(P228))))</formula>
    </cfRule>
  </conditionalFormatting>
  <conditionalFormatting sqref="P228:Q228 P231:Q233 P272:Q274">
    <cfRule type="containsText" dxfId="2" priority="41672" operator="containsText" text="Yes">
      <formula>NOT(ISERROR(SEARCH(("Yes"),(P228))))</formula>
    </cfRule>
  </conditionalFormatting>
  <conditionalFormatting sqref="P228:Q228 P231:Q233 P272:Q274">
    <cfRule type="containsText" dxfId="2" priority="41673" operator="containsText" text="Yes">
      <formula>NOT(ISERROR(SEARCH(("Yes"),(P228))))</formula>
    </cfRule>
  </conditionalFormatting>
  <conditionalFormatting sqref="P228:Q228 P231:Q233 P272:Q274">
    <cfRule type="containsText" dxfId="2" priority="41674" operator="containsText" text="Yes">
      <formula>NOT(ISERROR(SEARCH(("Yes"),(P228))))</formula>
    </cfRule>
  </conditionalFormatting>
  <conditionalFormatting sqref="P228:Q228 P231:Q233 P272:Q274">
    <cfRule type="containsText" dxfId="2" priority="41675" operator="containsText" text="Yes">
      <formula>NOT(ISERROR(SEARCH(("Yes"),(P228))))</formula>
    </cfRule>
  </conditionalFormatting>
  <conditionalFormatting sqref="P228:Q228 P231:Q233 P272:Q274">
    <cfRule type="containsText" dxfId="2" priority="41676" operator="containsText" text="Yes">
      <formula>NOT(ISERROR(SEARCH(("Yes"),(P228))))</formula>
    </cfRule>
  </conditionalFormatting>
  <conditionalFormatting sqref="P228:Q228 P231:Q233 P272:Q274">
    <cfRule type="containsText" dxfId="2" priority="41677" operator="containsText" text="Yes">
      <formula>NOT(ISERROR(SEARCH(("Yes"),(P228))))</formula>
    </cfRule>
  </conditionalFormatting>
  <conditionalFormatting sqref="P228:Q228 P231:Q233 P272:Q274">
    <cfRule type="containsText" dxfId="2" priority="41678" operator="containsText" text="Yes">
      <formula>NOT(ISERROR(SEARCH(("Yes"),(P228))))</formula>
    </cfRule>
  </conditionalFormatting>
  <conditionalFormatting sqref="P228:Q228 P231:Q233 P272:Q274">
    <cfRule type="containsText" dxfId="2" priority="41679" operator="containsText" text="Yes">
      <formula>NOT(ISERROR(SEARCH(("Yes"),(P228))))</formula>
    </cfRule>
  </conditionalFormatting>
  <conditionalFormatting sqref="P228:Q228 P231:Q233 P272:Q274">
    <cfRule type="containsText" dxfId="2" priority="41680" operator="containsText" text="Yes">
      <formula>NOT(ISERROR(SEARCH(("Yes"),(P228))))</formula>
    </cfRule>
  </conditionalFormatting>
  <conditionalFormatting sqref="P228:Q228 P231:Q233 P272:Q274">
    <cfRule type="containsText" dxfId="2" priority="41681" operator="containsText" text="Yes">
      <formula>NOT(ISERROR(SEARCH(("Yes"),(P228))))</formula>
    </cfRule>
  </conditionalFormatting>
  <conditionalFormatting sqref="P228:Q228 P231:Q233 P272:Q274">
    <cfRule type="containsText" dxfId="2" priority="41682" operator="containsText" text="Yes">
      <formula>NOT(ISERROR(SEARCH(("Yes"),(P228))))</formula>
    </cfRule>
  </conditionalFormatting>
  <conditionalFormatting sqref="P228:Q228 P231:Q233 P272:Q274">
    <cfRule type="containsText" dxfId="2" priority="41683" operator="containsText" text="Yes">
      <formula>NOT(ISERROR(SEARCH(("Yes"),(P228))))</formula>
    </cfRule>
  </conditionalFormatting>
  <conditionalFormatting sqref="P228:Q228 P231:Q233 P272:Q274">
    <cfRule type="containsText" dxfId="2" priority="41684" operator="containsText" text="Yes">
      <formula>NOT(ISERROR(SEARCH(("Yes"),(P228))))</formula>
    </cfRule>
  </conditionalFormatting>
  <conditionalFormatting sqref="P228:Q228 P231:Q233 P272:Q274">
    <cfRule type="containsText" dxfId="2" priority="41685" operator="containsText" text="Yes">
      <formula>NOT(ISERROR(SEARCH(("Yes"),(P228))))</formula>
    </cfRule>
  </conditionalFormatting>
  <conditionalFormatting sqref="P228:Q228 P231:Q233 P272:Q274">
    <cfRule type="containsText" dxfId="2" priority="41686" operator="containsText" text="Yes">
      <formula>NOT(ISERROR(SEARCH(("Yes"),(P228))))</formula>
    </cfRule>
  </conditionalFormatting>
  <conditionalFormatting sqref="P228:Q228 P231:Q233 P272:Q274">
    <cfRule type="containsText" dxfId="2" priority="41687" operator="containsText" text="Yes">
      <formula>NOT(ISERROR(SEARCH(("Yes"),(P228))))</formula>
    </cfRule>
  </conditionalFormatting>
  <conditionalFormatting sqref="P228:Q228 P231:Q233 P272:Q274">
    <cfRule type="containsText" dxfId="2" priority="41688" operator="containsText" text="Yes">
      <formula>NOT(ISERROR(SEARCH(("Yes"),(P228))))</formula>
    </cfRule>
  </conditionalFormatting>
  <conditionalFormatting sqref="P228:Q228 P231:Q233 P272:Q274">
    <cfRule type="containsText" dxfId="2" priority="41689" operator="containsText" text="Yes">
      <formula>NOT(ISERROR(SEARCH(("Yes"),(P228))))</formula>
    </cfRule>
  </conditionalFormatting>
  <conditionalFormatting sqref="P228:Q228 P231:Q233 P272:Q274">
    <cfRule type="containsText" dxfId="2" priority="41690" operator="containsText" text="Yes">
      <formula>NOT(ISERROR(SEARCH(("Yes"),(P228))))</formula>
    </cfRule>
  </conditionalFormatting>
  <conditionalFormatting sqref="P228:Q228 P231:Q233 P272:Q274">
    <cfRule type="containsText" dxfId="2" priority="41691" operator="containsText" text="Yes">
      <formula>NOT(ISERROR(SEARCH(("Yes"),(P228))))</formula>
    </cfRule>
  </conditionalFormatting>
  <conditionalFormatting sqref="P228:Q228 P231:Q233 P272:Q274">
    <cfRule type="containsText" dxfId="2" priority="41692" operator="containsText" text="Yes">
      <formula>NOT(ISERROR(SEARCH(("Yes"),(P228))))</formula>
    </cfRule>
  </conditionalFormatting>
  <conditionalFormatting sqref="P228:Q228 P231:Q233 P272:Q274">
    <cfRule type="containsText" dxfId="2" priority="41693" operator="containsText" text="Yes">
      <formula>NOT(ISERROR(SEARCH(("Yes"),(P228))))</formula>
    </cfRule>
  </conditionalFormatting>
  <conditionalFormatting sqref="P228:Q228 P231:Q233 P272:Q274">
    <cfRule type="containsText" dxfId="2" priority="41694" operator="containsText" text="Yes">
      <formula>NOT(ISERROR(SEARCH(("Yes"),(P228))))</formula>
    </cfRule>
  </conditionalFormatting>
  <conditionalFormatting sqref="P228:Q228 P231:Q233 P272:Q274">
    <cfRule type="containsText" dxfId="2" priority="41695" operator="containsText" text="Yes">
      <formula>NOT(ISERROR(SEARCH(("Yes"),(P228))))</formula>
    </cfRule>
  </conditionalFormatting>
  <conditionalFormatting sqref="P228:Q228 P231:Q233 P272:Q274">
    <cfRule type="containsText" dxfId="2" priority="41696" operator="containsText" text="Yes">
      <formula>NOT(ISERROR(SEARCH(("Yes"),(P228))))</formula>
    </cfRule>
  </conditionalFormatting>
  <conditionalFormatting sqref="N228:O228 N231:O233 N272:O273">
    <cfRule type="containsText" dxfId="9" priority="41697" operator="containsText" text="No">
      <formula>NOT(ISERROR(SEARCH(("No"),(N228))))</formula>
    </cfRule>
  </conditionalFormatting>
  <conditionalFormatting sqref="N228:O228 N231:O233 N272:O273">
    <cfRule type="containsText" dxfId="9" priority="41698" operator="containsText" text="No">
      <formula>NOT(ISERROR(SEARCH(("No"),(N228))))</formula>
    </cfRule>
  </conditionalFormatting>
  <conditionalFormatting sqref="N228:O228 N231:O233 N272:O273">
    <cfRule type="containsText" dxfId="9" priority="41699" operator="containsText" text="No">
      <formula>NOT(ISERROR(SEARCH(("No"),(N228))))</formula>
    </cfRule>
  </conditionalFormatting>
  <conditionalFormatting sqref="N228:O228 N231:O233 N272:O273">
    <cfRule type="containsText" dxfId="9" priority="41700" operator="containsText" text="No">
      <formula>NOT(ISERROR(SEARCH(("No"),(N228))))</formula>
    </cfRule>
  </conditionalFormatting>
  <conditionalFormatting sqref="N228:O228 N231:O233 N272:O273">
    <cfRule type="containsText" dxfId="9" priority="41701" operator="containsText" text="No">
      <formula>NOT(ISERROR(SEARCH(("No"),(N228))))</formula>
    </cfRule>
  </conditionalFormatting>
  <conditionalFormatting sqref="N228:O228 N231:O233 N272:O273">
    <cfRule type="containsText" dxfId="9" priority="41702" operator="containsText" text="No">
      <formula>NOT(ISERROR(SEARCH(("No"),(N228))))</formula>
    </cfRule>
  </conditionalFormatting>
  <conditionalFormatting sqref="N228:O228 N231:O233 N272:O273">
    <cfRule type="containsText" dxfId="9" priority="41703" operator="containsText" text="No">
      <formula>NOT(ISERROR(SEARCH(("No"),(N228))))</formula>
    </cfRule>
  </conditionalFormatting>
  <conditionalFormatting sqref="N228:O228 N231:O233 N272:O273">
    <cfRule type="containsText" dxfId="9" priority="41704" operator="containsText" text="No">
      <formula>NOT(ISERROR(SEARCH(("No"),(N228))))</formula>
    </cfRule>
  </conditionalFormatting>
  <conditionalFormatting sqref="N228:O228 N231:O233 N272:O273">
    <cfRule type="containsText" dxfId="9" priority="41705" operator="containsText" text="No">
      <formula>NOT(ISERROR(SEARCH(("No"),(N228))))</formula>
    </cfRule>
  </conditionalFormatting>
  <conditionalFormatting sqref="N228:O228 N231:O233 N272:O273">
    <cfRule type="containsText" dxfId="9" priority="41706" operator="containsText" text="No">
      <formula>NOT(ISERROR(SEARCH(("No"),(N228))))</formula>
    </cfRule>
  </conditionalFormatting>
  <conditionalFormatting sqref="N228:O228 N231:O233 N272:O273">
    <cfRule type="containsText" dxfId="9" priority="41707" operator="containsText" text="No">
      <formula>NOT(ISERROR(SEARCH(("No"),(N228))))</formula>
    </cfRule>
  </conditionalFormatting>
  <conditionalFormatting sqref="N228:O228 N231:O233 N272:O273">
    <cfRule type="containsText" dxfId="9" priority="41708" operator="containsText" text="No">
      <formula>NOT(ISERROR(SEARCH(("No"),(N228))))</formula>
    </cfRule>
  </conditionalFormatting>
  <conditionalFormatting sqref="N228:O228 N231:O233 N272:O273">
    <cfRule type="containsText" dxfId="9" priority="41709" operator="containsText" text="No">
      <formula>NOT(ISERROR(SEARCH(("No"),(N228))))</formula>
    </cfRule>
  </conditionalFormatting>
  <conditionalFormatting sqref="N228:O228 N231:O233 N272:O273">
    <cfRule type="containsText" dxfId="9" priority="41710" operator="containsText" text="No">
      <formula>NOT(ISERROR(SEARCH(("No"),(N228))))</formula>
    </cfRule>
  </conditionalFormatting>
  <conditionalFormatting sqref="N228:O228 N231:O233 N272:O273">
    <cfRule type="containsText" dxfId="9" priority="41711" operator="containsText" text="No">
      <formula>NOT(ISERROR(SEARCH(("No"),(N228))))</formula>
    </cfRule>
  </conditionalFormatting>
  <conditionalFormatting sqref="N228:O228 N231:O233 N272:O273">
    <cfRule type="containsText" dxfId="9" priority="41712" operator="containsText" text="No">
      <formula>NOT(ISERROR(SEARCH(("No"),(N228))))</formula>
    </cfRule>
  </conditionalFormatting>
  <conditionalFormatting sqref="N228:O228 N231:O233 N272:O273">
    <cfRule type="containsText" dxfId="9" priority="41713" operator="containsText" text="No">
      <formula>NOT(ISERROR(SEARCH(("No"),(N228))))</formula>
    </cfRule>
  </conditionalFormatting>
  <conditionalFormatting sqref="N228:O228 N231:O233 N272:O273">
    <cfRule type="containsText" dxfId="9" priority="41714" operator="containsText" text="No">
      <formula>NOT(ISERROR(SEARCH(("No"),(N228))))</formula>
    </cfRule>
  </conditionalFormatting>
  <conditionalFormatting sqref="N228:O228 N231:O233 N272:O273">
    <cfRule type="containsText" dxfId="9" priority="41715" operator="containsText" text="No">
      <formula>NOT(ISERROR(SEARCH(("No"),(N228))))</formula>
    </cfRule>
  </conditionalFormatting>
  <conditionalFormatting sqref="N228:O228 N231:O233 N272:O273">
    <cfRule type="containsText" dxfId="9" priority="41716" operator="containsText" text="No">
      <formula>NOT(ISERROR(SEARCH(("No"),(N228))))</formula>
    </cfRule>
  </conditionalFormatting>
  <conditionalFormatting sqref="N228:O228 N231:O233 N272:O273">
    <cfRule type="containsText" dxfId="9" priority="41717" operator="containsText" text="No">
      <formula>NOT(ISERROR(SEARCH(("No"),(N228))))</formula>
    </cfRule>
  </conditionalFormatting>
  <conditionalFormatting sqref="N228:O228 N231:O233 N272:O273">
    <cfRule type="containsText" dxfId="9" priority="41718" operator="containsText" text="No">
      <formula>NOT(ISERROR(SEARCH(("No"),(N228))))</formula>
    </cfRule>
  </conditionalFormatting>
  <conditionalFormatting sqref="N228:O228 N231:O233 N272:O273">
    <cfRule type="containsText" dxfId="9" priority="41719" operator="containsText" text="No">
      <formula>NOT(ISERROR(SEARCH(("No"),(N228))))</formula>
    </cfRule>
  </conditionalFormatting>
  <conditionalFormatting sqref="N228:O228 N231:O233 N272:O273">
    <cfRule type="containsText" dxfId="9" priority="41720" operator="containsText" text="No">
      <formula>NOT(ISERROR(SEARCH(("No"),(N228))))</formula>
    </cfRule>
  </conditionalFormatting>
  <conditionalFormatting sqref="N228:O228 N231:O233 N272:O273">
    <cfRule type="containsText" dxfId="9" priority="41721" operator="containsText" text="No">
      <formula>NOT(ISERROR(SEARCH(("No"),(N228))))</formula>
    </cfRule>
  </conditionalFormatting>
  <conditionalFormatting sqref="N228:O228 N231:O233 N272:O273">
    <cfRule type="containsText" dxfId="9" priority="41722" operator="containsText" text="No">
      <formula>NOT(ISERROR(SEARCH(("No"),(N228))))</formula>
    </cfRule>
  </conditionalFormatting>
  <conditionalFormatting sqref="N228:O228 N231:O233 N272:O273">
    <cfRule type="containsText" dxfId="9" priority="41723" operator="containsText" text="No">
      <formula>NOT(ISERROR(SEARCH(("No"),(N228))))</formula>
    </cfRule>
  </conditionalFormatting>
  <conditionalFormatting sqref="N228:O228 N231:O233 N272:O273">
    <cfRule type="containsText" dxfId="9" priority="41724" operator="containsText" text="No">
      <formula>NOT(ISERROR(SEARCH(("No"),(N228))))</formula>
    </cfRule>
  </conditionalFormatting>
  <conditionalFormatting sqref="N228:O228 N231:O233 N272:O273">
    <cfRule type="containsText" dxfId="9" priority="41725" operator="containsText" text="No">
      <formula>NOT(ISERROR(SEARCH(("No"),(N228))))</formula>
    </cfRule>
  </conditionalFormatting>
  <conditionalFormatting sqref="N228:O228 N231:O233 N272:O273">
    <cfRule type="containsText" dxfId="9" priority="41726" operator="containsText" text="No">
      <formula>NOT(ISERROR(SEARCH(("No"),(N228))))</formula>
    </cfRule>
  </conditionalFormatting>
  <conditionalFormatting sqref="N228:O228 N231:O233 N272:O273">
    <cfRule type="containsText" dxfId="9" priority="41727" operator="containsText" text="No">
      <formula>NOT(ISERROR(SEARCH(("No"),(N228))))</formula>
    </cfRule>
  </conditionalFormatting>
  <conditionalFormatting sqref="N228:O228 N231:O233 N272:O273">
    <cfRule type="containsText" dxfId="9" priority="41728" operator="containsText" text="No">
      <formula>NOT(ISERROR(SEARCH(("No"),(N228))))</formula>
    </cfRule>
  </conditionalFormatting>
  <conditionalFormatting sqref="N228:O228 N231:O233 N272:O273">
    <cfRule type="containsText" dxfId="9" priority="41729" operator="containsText" text="No">
      <formula>NOT(ISERROR(SEARCH(("No"),(N228))))</formula>
    </cfRule>
  </conditionalFormatting>
  <conditionalFormatting sqref="N228:O228 N231:O233 N272:O273">
    <cfRule type="containsText" dxfId="9" priority="41730" operator="containsText" text="No">
      <formula>NOT(ISERROR(SEARCH(("No"),(N228))))</formula>
    </cfRule>
  </conditionalFormatting>
  <conditionalFormatting sqref="N228:O228 N231:O233 N272:O273">
    <cfRule type="containsText" dxfId="9" priority="41731" operator="containsText" text="No">
      <formula>NOT(ISERROR(SEARCH(("No"),(N228))))</formula>
    </cfRule>
  </conditionalFormatting>
  <conditionalFormatting sqref="N228:O228 N231:O233 N272:O273">
    <cfRule type="containsText" dxfId="9" priority="41732" operator="containsText" text="No">
      <formula>NOT(ISERROR(SEARCH(("No"),(N228))))</formula>
    </cfRule>
  </conditionalFormatting>
  <conditionalFormatting sqref="N228:O228 N231:O233 N272:O273">
    <cfRule type="containsText" dxfId="9" priority="41733" operator="containsText" text="No">
      <formula>NOT(ISERROR(SEARCH(("No"),(N228))))</formula>
    </cfRule>
  </conditionalFormatting>
  <conditionalFormatting sqref="N228:O228 N231:O233 N272:O273">
    <cfRule type="containsText" dxfId="9" priority="41734" operator="containsText" text="No">
      <formula>NOT(ISERROR(SEARCH(("No"),(N228))))</formula>
    </cfRule>
  </conditionalFormatting>
  <conditionalFormatting sqref="N228:O228 N231:O233 N272:O273">
    <cfRule type="containsText" dxfId="9" priority="41735" operator="containsText" text="No">
      <formula>NOT(ISERROR(SEARCH(("No"),(N228))))</formula>
    </cfRule>
  </conditionalFormatting>
  <conditionalFormatting sqref="N228:O228 N231:O233 N272:O273">
    <cfRule type="containsText" dxfId="9" priority="41736" operator="containsText" text="No">
      <formula>NOT(ISERROR(SEARCH(("No"),(N228))))</formula>
    </cfRule>
  </conditionalFormatting>
  <conditionalFormatting sqref="N228:O228 N231:O233 N272:O273">
    <cfRule type="containsText" dxfId="9" priority="41737" operator="containsText" text="No">
      <formula>NOT(ISERROR(SEARCH(("No"),(N228))))</formula>
    </cfRule>
  </conditionalFormatting>
  <conditionalFormatting sqref="N228:O228 N231:O233 N272:O273">
    <cfRule type="containsText" dxfId="9" priority="41738" operator="containsText" text="No">
      <formula>NOT(ISERROR(SEARCH(("No"),(N228))))</formula>
    </cfRule>
  </conditionalFormatting>
  <conditionalFormatting sqref="N228:O228 N231:O233 N272:O273">
    <cfRule type="containsText" dxfId="9" priority="41739" operator="containsText" text="No">
      <formula>NOT(ISERROR(SEARCH(("No"),(N228))))</formula>
    </cfRule>
  </conditionalFormatting>
  <conditionalFormatting sqref="N228:O228 N231:O233 N272:O273">
    <cfRule type="containsText" dxfId="9" priority="41740" operator="containsText" text="No">
      <formula>NOT(ISERROR(SEARCH(("No"),(N228))))</formula>
    </cfRule>
  </conditionalFormatting>
  <conditionalFormatting sqref="N228:O228 N231:O233 N272:O273">
    <cfRule type="containsText" dxfId="9" priority="41741" operator="containsText" text="No">
      <formula>NOT(ISERROR(SEARCH(("No"),(N228))))</formula>
    </cfRule>
  </conditionalFormatting>
  <conditionalFormatting sqref="N228:O228 N231:O233 N272:O273">
    <cfRule type="containsText" dxfId="2" priority="41742" operator="containsText" text="Yes">
      <formula>NOT(ISERROR(SEARCH(("Yes"),(N228))))</formula>
    </cfRule>
  </conditionalFormatting>
  <conditionalFormatting sqref="N228:O228 N231:O233 N272:O273">
    <cfRule type="containsText" dxfId="2" priority="41743" operator="containsText" text="Yes">
      <formula>NOT(ISERROR(SEARCH(("Yes"),(N228))))</formula>
    </cfRule>
  </conditionalFormatting>
  <conditionalFormatting sqref="N228:O228 N231:O233 N272:O273">
    <cfRule type="containsText" dxfId="2" priority="41744" operator="containsText" text="Yes">
      <formula>NOT(ISERROR(SEARCH(("Yes"),(N228))))</formula>
    </cfRule>
  </conditionalFormatting>
  <conditionalFormatting sqref="N228:O228 N231:O233 N272:O273">
    <cfRule type="containsText" dxfId="2" priority="41745" operator="containsText" text="Yes">
      <formula>NOT(ISERROR(SEARCH(("Yes"),(N228))))</formula>
    </cfRule>
  </conditionalFormatting>
  <conditionalFormatting sqref="N228:O228 N231:O233 N272:O273">
    <cfRule type="containsText" dxfId="2" priority="41746" operator="containsText" text="Yes">
      <formula>NOT(ISERROR(SEARCH(("Yes"),(N228))))</formula>
    </cfRule>
  </conditionalFormatting>
  <conditionalFormatting sqref="N228:O228 N231:O233 N272:O273">
    <cfRule type="containsText" dxfId="2" priority="41747" operator="containsText" text="Yes">
      <formula>NOT(ISERROR(SEARCH(("Yes"),(N228))))</formula>
    </cfRule>
  </conditionalFormatting>
  <conditionalFormatting sqref="N228:O228 N231:O233 N272:O273">
    <cfRule type="containsText" dxfId="2" priority="41748" operator="containsText" text="Yes">
      <formula>NOT(ISERROR(SEARCH(("Yes"),(N228))))</formula>
    </cfRule>
  </conditionalFormatting>
  <conditionalFormatting sqref="N228:O228 N231:O233 N272:O273">
    <cfRule type="containsText" dxfId="2" priority="41749" operator="containsText" text="Yes">
      <formula>NOT(ISERROR(SEARCH(("Yes"),(N228))))</formula>
    </cfRule>
  </conditionalFormatting>
  <conditionalFormatting sqref="N228:O228 N231:O233 N272:O273">
    <cfRule type="containsText" dxfId="2" priority="41750" operator="containsText" text="Yes">
      <formula>NOT(ISERROR(SEARCH(("Yes"),(N228))))</formula>
    </cfRule>
  </conditionalFormatting>
  <conditionalFormatting sqref="N228:O228 N231:O233 N272:O273">
    <cfRule type="containsText" dxfId="2" priority="41751" operator="containsText" text="Yes">
      <formula>NOT(ISERROR(SEARCH(("Yes"),(N228))))</formula>
    </cfRule>
  </conditionalFormatting>
  <conditionalFormatting sqref="N228:O228 N231:O233 N272:O273">
    <cfRule type="containsText" dxfId="2" priority="41752" operator="containsText" text="Yes">
      <formula>NOT(ISERROR(SEARCH(("Yes"),(N228))))</formula>
    </cfRule>
  </conditionalFormatting>
  <conditionalFormatting sqref="N228:O228 N231:O233 N272:O273">
    <cfRule type="containsText" dxfId="2" priority="41753" operator="containsText" text="Yes">
      <formula>NOT(ISERROR(SEARCH(("Yes"),(N228))))</formula>
    </cfRule>
  </conditionalFormatting>
  <conditionalFormatting sqref="N228:O228 N231:O233 N272:O273">
    <cfRule type="containsText" dxfId="2" priority="41754" operator="containsText" text="Yes">
      <formula>NOT(ISERROR(SEARCH(("Yes"),(N228))))</formula>
    </cfRule>
  </conditionalFormatting>
  <conditionalFormatting sqref="N228:O228 N231:O233 N272:O273">
    <cfRule type="containsText" dxfId="2" priority="41755" operator="containsText" text="Yes">
      <formula>NOT(ISERROR(SEARCH(("Yes"),(N228))))</formula>
    </cfRule>
  </conditionalFormatting>
  <conditionalFormatting sqref="N228:O228 N231:O233 N272:O273">
    <cfRule type="containsText" dxfId="2" priority="41756" operator="containsText" text="Yes">
      <formula>NOT(ISERROR(SEARCH(("Yes"),(N228))))</formula>
    </cfRule>
  </conditionalFormatting>
  <conditionalFormatting sqref="N228:O228 N231:O233 N272:O273">
    <cfRule type="containsText" dxfId="2" priority="41757" operator="containsText" text="Yes">
      <formula>NOT(ISERROR(SEARCH(("Yes"),(N228))))</formula>
    </cfRule>
  </conditionalFormatting>
  <conditionalFormatting sqref="N228:O228 N231:O233 N272:O273">
    <cfRule type="containsText" dxfId="2" priority="41758" operator="containsText" text="Yes">
      <formula>NOT(ISERROR(SEARCH(("Yes"),(N228))))</formula>
    </cfRule>
  </conditionalFormatting>
  <conditionalFormatting sqref="N228:O228 N231:O233 N272:O273">
    <cfRule type="containsText" dxfId="2" priority="41759" operator="containsText" text="Yes">
      <formula>NOT(ISERROR(SEARCH(("Yes"),(N228))))</formula>
    </cfRule>
  </conditionalFormatting>
  <conditionalFormatting sqref="N228:O228 N231:O233 N272:O273">
    <cfRule type="containsText" dxfId="2" priority="41760" operator="containsText" text="Yes">
      <formula>NOT(ISERROR(SEARCH(("Yes"),(N228))))</formula>
    </cfRule>
  </conditionalFormatting>
  <conditionalFormatting sqref="N228:O228 N231:O233 N272:O273">
    <cfRule type="containsText" dxfId="2" priority="41761" operator="containsText" text="Yes">
      <formula>NOT(ISERROR(SEARCH(("Yes"),(N228))))</formula>
    </cfRule>
  </conditionalFormatting>
  <conditionalFormatting sqref="N228:O228 N231:O233 N272:O273">
    <cfRule type="containsText" dxfId="2" priority="41762" operator="containsText" text="Yes">
      <formula>NOT(ISERROR(SEARCH(("Yes"),(N228))))</formula>
    </cfRule>
  </conditionalFormatting>
  <conditionalFormatting sqref="N228:O228 N231:O233 N272:O273">
    <cfRule type="containsText" dxfId="2" priority="41763" operator="containsText" text="Yes">
      <formula>NOT(ISERROR(SEARCH(("Yes"),(N228))))</formula>
    </cfRule>
  </conditionalFormatting>
  <conditionalFormatting sqref="N228:O228 N231:O233 N272:O273">
    <cfRule type="containsText" dxfId="2" priority="41764" operator="containsText" text="Yes">
      <formula>NOT(ISERROR(SEARCH(("Yes"),(N228))))</formula>
    </cfRule>
  </conditionalFormatting>
  <conditionalFormatting sqref="N228:O228 N231:O233 N272:O273">
    <cfRule type="containsText" dxfId="2" priority="41765" operator="containsText" text="Yes">
      <formula>NOT(ISERROR(SEARCH(("Yes"),(N228))))</formula>
    </cfRule>
  </conditionalFormatting>
  <conditionalFormatting sqref="N228:O228 N231:O233 N272:O273">
    <cfRule type="containsText" dxfId="2" priority="41766" operator="containsText" text="Yes">
      <formula>NOT(ISERROR(SEARCH(("Yes"),(N228))))</formula>
    </cfRule>
  </conditionalFormatting>
  <conditionalFormatting sqref="N228:O228 N231:O233 N272:O273">
    <cfRule type="containsText" dxfId="2" priority="41767" operator="containsText" text="Yes">
      <formula>NOT(ISERROR(SEARCH(("Yes"),(N228))))</formula>
    </cfRule>
  </conditionalFormatting>
  <conditionalFormatting sqref="N228:O228 N231:O233 N272:O273">
    <cfRule type="containsText" dxfId="2" priority="41768" operator="containsText" text="Yes">
      <formula>NOT(ISERROR(SEARCH(("Yes"),(N228))))</formula>
    </cfRule>
  </conditionalFormatting>
  <conditionalFormatting sqref="N228:O228 N231:O233 N272:O273">
    <cfRule type="containsText" dxfId="2" priority="41769" operator="containsText" text="Yes">
      <formula>NOT(ISERROR(SEARCH(("Yes"),(N228))))</formula>
    </cfRule>
  </conditionalFormatting>
  <conditionalFormatting sqref="N228:O228 N231:O233 N272:O273">
    <cfRule type="containsText" dxfId="2" priority="41770" operator="containsText" text="Yes">
      <formula>NOT(ISERROR(SEARCH(("Yes"),(N228))))</formula>
    </cfRule>
  </conditionalFormatting>
  <conditionalFormatting sqref="N228:O228 N231:O233 N272:O273">
    <cfRule type="containsText" dxfId="2" priority="41771" operator="containsText" text="Yes">
      <formula>NOT(ISERROR(SEARCH(("Yes"),(N228))))</formula>
    </cfRule>
  </conditionalFormatting>
  <conditionalFormatting sqref="N228:O228 N231:O233 N272:O273">
    <cfRule type="containsText" dxfId="2" priority="41772" operator="containsText" text="Yes">
      <formula>NOT(ISERROR(SEARCH(("Yes"),(N228))))</formula>
    </cfRule>
  </conditionalFormatting>
  <conditionalFormatting sqref="N228:O228 N231:O233 N272:O273">
    <cfRule type="containsText" dxfId="2" priority="41773" operator="containsText" text="Yes">
      <formula>NOT(ISERROR(SEARCH(("Yes"),(N228))))</formula>
    </cfRule>
  </conditionalFormatting>
  <conditionalFormatting sqref="N228:O228 N231:O233 N272:O273">
    <cfRule type="containsText" dxfId="2" priority="41774" operator="containsText" text="Yes">
      <formula>NOT(ISERROR(SEARCH(("Yes"),(N228))))</formula>
    </cfRule>
  </conditionalFormatting>
  <conditionalFormatting sqref="N228:O228 N231:O233 N272:O273">
    <cfRule type="containsText" dxfId="2" priority="41775" operator="containsText" text="Yes">
      <formula>NOT(ISERROR(SEARCH(("Yes"),(N228))))</formula>
    </cfRule>
  </conditionalFormatting>
  <conditionalFormatting sqref="N228:O228 N231:O233 N272:O273">
    <cfRule type="containsText" dxfId="2" priority="41776" operator="containsText" text="Yes">
      <formula>NOT(ISERROR(SEARCH(("Yes"),(N228))))</formula>
    </cfRule>
  </conditionalFormatting>
  <conditionalFormatting sqref="N228:O228 N231:O233 N272:O273">
    <cfRule type="containsText" dxfId="2" priority="41777" operator="containsText" text="Yes">
      <formula>NOT(ISERROR(SEARCH(("Yes"),(N228))))</formula>
    </cfRule>
  </conditionalFormatting>
  <conditionalFormatting sqref="N228:O228 N231:O233 N272:O273">
    <cfRule type="containsText" dxfId="2" priority="41778" operator="containsText" text="Yes">
      <formula>NOT(ISERROR(SEARCH(("Yes"),(N228))))</formula>
    </cfRule>
  </conditionalFormatting>
  <conditionalFormatting sqref="N228:O228 N231:O233 N272:O273">
    <cfRule type="containsText" dxfId="2" priority="41779" operator="containsText" text="Yes">
      <formula>NOT(ISERROR(SEARCH(("Yes"),(N228))))</formula>
    </cfRule>
  </conditionalFormatting>
  <conditionalFormatting sqref="N228:O228 N231:O233 N272:O273">
    <cfRule type="containsText" dxfId="2" priority="41780" operator="containsText" text="Yes">
      <formula>NOT(ISERROR(SEARCH(("Yes"),(N228))))</formula>
    </cfRule>
  </conditionalFormatting>
  <conditionalFormatting sqref="N228:O228 N231:O233 N272:O273">
    <cfRule type="containsText" dxfId="2" priority="41781" operator="containsText" text="Yes">
      <formula>NOT(ISERROR(SEARCH(("Yes"),(N228))))</formula>
    </cfRule>
  </conditionalFormatting>
  <conditionalFormatting sqref="N228:O228 N231:O233 N272:O273">
    <cfRule type="containsText" dxfId="2" priority="41782" operator="containsText" text="Yes">
      <formula>NOT(ISERROR(SEARCH(("Yes"),(N228))))</formula>
    </cfRule>
  </conditionalFormatting>
  <conditionalFormatting sqref="N228:O228 N231:O233 N272:O273">
    <cfRule type="containsText" dxfId="2" priority="41783" operator="containsText" text="Yes">
      <formula>NOT(ISERROR(SEARCH(("Yes"),(N228))))</formula>
    </cfRule>
  </conditionalFormatting>
  <conditionalFormatting sqref="N228:O228 N231:O233 N272:O273">
    <cfRule type="containsText" dxfId="2" priority="41784" operator="containsText" text="Yes">
      <formula>NOT(ISERROR(SEARCH(("Yes"),(N228))))</formula>
    </cfRule>
  </conditionalFormatting>
  <conditionalFormatting sqref="N228:O228 N231:O233 N272:O273">
    <cfRule type="containsText" dxfId="2" priority="41785" operator="containsText" text="Yes">
      <formula>NOT(ISERROR(SEARCH(("Yes"),(N228))))</formula>
    </cfRule>
  </conditionalFormatting>
  <conditionalFormatting sqref="N228:O228 N231:O233 N272:O273">
    <cfRule type="containsText" dxfId="2" priority="41786" operator="containsText" text="Yes">
      <formula>NOT(ISERROR(SEARCH(("Yes"),(N228))))</formula>
    </cfRule>
  </conditionalFormatting>
  <conditionalFormatting sqref="N228:O228 N231:O233 N272:O273">
    <cfRule type="containsText" dxfId="2" priority="41787" operator="containsText" text="Yes">
      <formula>NOT(ISERROR(SEARCH(("Yes"),(N228))))</formula>
    </cfRule>
  </conditionalFormatting>
  <conditionalFormatting sqref="N228:O228 N231:O233 N272:O273">
    <cfRule type="containsText" dxfId="2" priority="41788" operator="containsText" text="Yes">
      <formula>NOT(ISERROR(SEARCH(("Yes"),(N228))))</formula>
    </cfRule>
  </conditionalFormatting>
  <conditionalFormatting sqref="N227:O227">
    <cfRule type="containsText" dxfId="9" priority="41789" operator="containsText" text="No">
      <formula>NOT(ISERROR(SEARCH(("No"),(N227))))</formula>
    </cfRule>
  </conditionalFormatting>
  <conditionalFormatting sqref="N227:O227">
    <cfRule type="containsText" dxfId="9" priority="41790" operator="containsText" text="No">
      <formula>NOT(ISERROR(SEARCH(("No"),(N227))))</formula>
    </cfRule>
  </conditionalFormatting>
  <conditionalFormatting sqref="N227:O227">
    <cfRule type="containsText" dxfId="9" priority="41791" operator="containsText" text="No">
      <formula>NOT(ISERROR(SEARCH(("No"),(N227))))</formula>
    </cfRule>
  </conditionalFormatting>
  <conditionalFormatting sqref="N227:O227">
    <cfRule type="containsText" dxfId="2" priority="41792" operator="containsText" text="Yes">
      <formula>NOT(ISERROR(SEARCH(("Yes"),(N227))))</formula>
    </cfRule>
  </conditionalFormatting>
  <conditionalFormatting sqref="N227:O227">
    <cfRule type="containsText" dxfId="2" priority="41793" operator="containsText" text="Yes">
      <formula>NOT(ISERROR(SEARCH(("Yes"),(N227))))</formula>
    </cfRule>
  </conditionalFormatting>
  <conditionalFormatting sqref="N227:O227">
    <cfRule type="containsText" dxfId="2" priority="41794" operator="containsText" text="Yes">
      <formula>NOT(ISERROR(SEARCH(("Yes"),(N227))))</formula>
    </cfRule>
  </conditionalFormatting>
  <conditionalFormatting sqref="N227:O227">
    <cfRule type="containsText" dxfId="2" priority="41795" operator="containsText" text="Yes">
      <formula>NOT(ISERROR(SEARCH(("Yes"),(N227))))</formula>
    </cfRule>
  </conditionalFormatting>
  <conditionalFormatting sqref="N227:O227">
    <cfRule type="containsText" dxfId="2" priority="41796" operator="containsText" text="Yes">
      <formula>NOT(ISERROR(SEARCH(("Yes"),(N227))))</formula>
    </cfRule>
  </conditionalFormatting>
  <conditionalFormatting sqref="N227:O227">
    <cfRule type="containsText" dxfId="9" priority="41797" operator="containsText" text="No">
      <formula>NOT(ISERROR(SEARCH(("No"),(N227))))</formula>
    </cfRule>
  </conditionalFormatting>
  <conditionalFormatting sqref="N227:O227">
    <cfRule type="containsText" dxfId="2" priority="41798" operator="containsText" text="Yes">
      <formula>NOT(ISERROR(SEARCH(("Yes"),(N227))))</formula>
    </cfRule>
  </conditionalFormatting>
  <conditionalFormatting sqref="P227:Q227">
    <cfRule type="containsText" dxfId="9" priority="41799" operator="containsText" text="No">
      <formula>NOT(ISERROR(SEARCH(("No"),(P227))))</formula>
    </cfRule>
  </conditionalFormatting>
  <conditionalFormatting sqref="P227:Q227">
    <cfRule type="containsText" dxfId="9" priority="41800" operator="containsText" text="No">
      <formula>NOT(ISERROR(SEARCH(("No"),(P227))))</formula>
    </cfRule>
  </conditionalFormatting>
  <conditionalFormatting sqref="P227:Q227">
    <cfRule type="containsText" dxfId="9" priority="41801" operator="containsText" text="No">
      <formula>NOT(ISERROR(SEARCH(("No"),(P227))))</formula>
    </cfRule>
  </conditionalFormatting>
  <conditionalFormatting sqref="P227:Q227">
    <cfRule type="containsText" dxfId="9" priority="41802" operator="containsText" text="No">
      <formula>NOT(ISERROR(SEARCH(("No"),(P227))))</formula>
    </cfRule>
  </conditionalFormatting>
  <conditionalFormatting sqref="P227:Q227">
    <cfRule type="containsText" dxfId="9" priority="41803" operator="containsText" text="No">
      <formula>NOT(ISERROR(SEARCH(("No"),(P227))))</formula>
    </cfRule>
  </conditionalFormatting>
  <conditionalFormatting sqref="P227:Q227">
    <cfRule type="containsText" dxfId="9" priority="41804" operator="containsText" text="No">
      <formula>NOT(ISERROR(SEARCH(("No"),(P227))))</formula>
    </cfRule>
  </conditionalFormatting>
  <conditionalFormatting sqref="P227:Q227">
    <cfRule type="containsText" dxfId="9" priority="41805" operator="containsText" text="No">
      <formula>NOT(ISERROR(SEARCH(("No"),(P227))))</formula>
    </cfRule>
  </conditionalFormatting>
  <conditionalFormatting sqref="P227:Q227">
    <cfRule type="containsText" dxfId="9" priority="41806" operator="containsText" text="No">
      <formula>NOT(ISERROR(SEARCH(("No"),(P227))))</formula>
    </cfRule>
  </conditionalFormatting>
  <conditionalFormatting sqref="P227:Q227">
    <cfRule type="containsText" dxfId="9" priority="41807" operator="containsText" text="No">
      <formula>NOT(ISERROR(SEARCH(("No"),(P227))))</formula>
    </cfRule>
  </conditionalFormatting>
  <conditionalFormatting sqref="P227:Q227">
    <cfRule type="containsText" dxfId="9" priority="41808" operator="containsText" text="No">
      <formula>NOT(ISERROR(SEARCH(("No"),(P227))))</formula>
    </cfRule>
  </conditionalFormatting>
  <conditionalFormatting sqref="P227:Q227">
    <cfRule type="containsText" dxfId="9" priority="41809" operator="containsText" text="No">
      <formula>NOT(ISERROR(SEARCH(("No"),(P227))))</formula>
    </cfRule>
  </conditionalFormatting>
  <conditionalFormatting sqref="P227:Q227">
    <cfRule type="containsText" dxfId="9" priority="41810" operator="containsText" text="No">
      <formula>NOT(ISERROR(SEARCH(("No"),(P227))))</formula>
    </cfRule>
  </conditionalFormatting>
  <conditionalFormatting sqref="P227:Q227">
    <cfRule type="containsText" dxfId="9" priority="41811" operator="containsText" text="No">
      <formula>NOT(ISERROR(SEARCH(("No"),(P227))))</formula>
    </cfRule>
  </conditionalFormatting>
  <conditionalFormatting sqref="P227:Q227">
    <cfRule type="containsText" dxfId="9" priority="41812" operator="containsText" text="No">
      <formula>NOT(ISERROR(SEARCH(("No"),(P227))))</formula>
    </cfRule>
  </conditionalFormatting>
  <conditionalFormatting sqref="P227:Q227">
    <cfRule type="containsText" dxfId="9" priority="41813" operator="containsText" text="No">
      <formula>NOT(ISERROR(SEARCH(("No"),(P227))))</formula>
    </cfRule>
  </conditionalFormatting>
  <conditionalFormatting sqref="P227:Q227">
    <cfRule type="containsText" dxfId="9" priority="41814" operator="containsText" text="No">
      <formula>NOT(ISERROR(SEARCH(("No"),(P227))))</formula>
    </cfRule>
  </conditionalFormatting>
  <conditionalFormatting sqref="P227:Q227">
    <cfRule type="containsText" dxfId="9" priority="41815" operator="containsText" text="No">
      <formula>NOT(ISERROR(SEARCH(("No"),(P227))))</formula>
    </cfRule>
  </conditionalFormatting>
  <conditionalFormatting sqref="P227:Q227">
    <cfRule type="containsText" dxfId="9" priority="41816" operator="containsText" text="No">
      <formula>NOT(ISERROR(SEARCH(("No"),(P227))))</formula>
    </cfRule>
  </conditionalFormatting>
  <conditionalFormatting sqref="P227:Q227">
    <cfRule type="containsText" dxfId="9" priority="41817" operator="containsText" text="No">
      <formula>NOT(ISERROR(SEARCH(("No"),(P227))))</formula>
    </cfRule>
  </conditionalFormatting>
  <conditionalFormatting sqref="P227:Q227">
    <cfRule type="containsText" dxfId="9" priority="41818" operator="containsText" text="No">
      <formula>NOT(ISERROR(SEARCH(("No"),(P227))))</formula>
    </cfRule>
  </conditionalFormatting>
  <conditionalFormatting sqref="P227:Q227">
    <cfRule type="containsText" dxfId="9" priority="41819" operator="containsText" text="No">
      <formula>NOT(ISERROR(SEARCH(("No"),(P227))))</formula>
    </cfRule>
  </conditionalFormatting>
  <conditionalFormatting sqref="P227:Q227">
    <cfRule type="containsText" dxfId="9" priority="41820" operator="containsText" text="No">
      <formula>NOT(ISERROR(SEARCH(("No"),(P227))))</formula>
    </cfRule>
  </conditionalFormatting>
  <conditionalFormatting sqref="P227:Q227">
    <cfRule type="containsText" dxfId="9" priority="41821" operator="containsText" text="No">
      <formula>NOT(ISERROR(SEARCH(("No"),(P227))))</formula>
    </cfRule>
  </conditionalFormatting>
  <conditionalFormatting sqref="P227:Q227">
    <cfRule type="containsText" dxfId="9" priority="41822" operator="containsText" text="No">
      <formula>NOT(ISERROR(SEARCH(("No"),(P227))))</formula>
    </cfRule>
  </conditionalFormatting>
  <conditionalFormatting sqref="P227:Q227">
    <cfRule type="containsText" dxfId="9" priority="41823" operator="containsText" text="No">
      <formula>NOT(ISERROR(SEARCH(("No"),(P227))))</formula>
    </cfRule>
  </conditionalFormatting>
  <conditionalFormatting sqref="P227:Q227">
    <cfRule type="containsText" dxfId="9" priority="41824" operator="containsText" text="No">
      <formula>NOT(ISERROR(SEARCH(("No"),(P227))))</formula>
    </cfRule>
  </conditionalFormatting>
  <conditionalFormatting sqref="P227:Q227">
    <cfRule type="containsText" dxfId="9" priority="41825" operator="containsText" text="No">
      <formula>NOT(ISERROR(SEARCH(("No"),(P227))))</formula>
    </cfRule>
  </conditionalFormatting>
  <conditionalFormatting sqref="P227:Q227">
    <cfRule type="containsText" dxfId="9" priority="41826" operator="containsText" text="No">
      <formula>NOT(ISERROR(SEARCH(("No"),(P227))))</formula>
    </cfRule>
  </conditionalFormatting>
  <conditionalFormatting sqref="P227:Q227">
    <cfRule type="containsText" dxfId="9" priority="41827" operator="containsText" text="No">
      <formula>NOT(ISERROR(SEARCH(("No"),(P227))))</formula>
    </cfRule>
  </conditionalFormatting>
  <conditionalFormatting sqref="P227:Q227">
    <cfRule type="containsText" dxfId="9" priority="41828" operator="containsText" text="No">
      <formula>NOT(ISERROR(SEARCH(("No"),(P227))))</formula>
    </cfRule>
  </conditionalFormatting>
  <conditionalFormatting sqref="P227:Q227">
    <cfRule type="containsText" dxfId="9" priority="41829" operator="containsText" text="No">
      <formula>NOT(ISERROR(SEARCH(("No"),(P227))))</formula>
    </cfRule>
  </conditionalFormatting>
  <conditionalFormatting sqref="P227:Q227">
    <cfRule type="containsText" dxfId="9" priority="41830" operator="containsText" text="No">
      <formula>NOT(ISERROR(SEARCH(("No"),(P227))))</formula>
    </cfRule>
  </conditionalFormatting>
  <conditionalFormatting sqref="P227:Q227">
    <cfRule type="containsText" dxfId="9" priority="41831" operator="containsText" text="No">
      <formula>NOT(ISERROR(SEARCH(("No"),(P227))))</formula>
    </cfRule>
  </conditionalFormatting>
  <conditionalFormatting sqref="P227:Q227">
    <cfRule type="containsText" dxfId="9" priority="41832" operator="containsText" text="No">
      <formula>NOT(ISERROR(SEARCH(("No"),(P227))))</formula>
    </cfRule>
  </conditionalFormatting>
  <conditionalFormatting sqref="P227:Q227">
    <cfRule type="containsText" dxfId="9" priority="41833" operator="containsText" text="No">
      <formula>NOT(ISERROR(SEARCH(("No"),(P227))))</formula>
    </cfRule>
  </conditionalFormatting>
  <conditionalFormatting sqref="P227:Q227">
    <cfRule type="containsText" dxfId="9" priority="41834" operator="containsText" text="No">
      <formula>NOT(ISERROR(SEARCH(("No"),(P227))))</formula>
    </cfRule>
  </conditionalFormatting>
  <conditionalFormatting sqref="P227:Q227">
    <cfRule type="containsText" dxfId="9" priority="41835" operator="containsText" text="No">
      <formula>NOT(ISERROR(SEARCH(("No"),(P227))))</formula>
    </cfRule>
  </conditionalFormatting>
  <conditionalFormatting sqref="P227:Q227">
    <cfRule type="containsText" dxfId="9" priority="41836" operator="containsText" text="No">
      <formula>NOT(ISERROR(SEARCH(("No"),(P227))))</formula>
    </cfRule>
  </conditionalFormatting>
  <conditionalFormatting sqref="P227:Q227">
    <cfRule type="containsText" dxfId="9" priority="41837" operator="containsText" text="No">
      <formula>NOT(ISERROR(SEARCH(("No"),(P227))))</formula>
    </cfRule>
  </conditionalFormatting>
  <conditionalFormatting sqref="P227:Q227">
    <cfRule type="containsText" dxfId="9" priority="41838" operator="containsText" text="No">
      <formula>NOT(ISERROR(SEARCH(("No"),(P227))))</formula>
    </cfRule>
  </conditionalFormatting>
  <conditionalFormatting sqref="P227:Q227">
    <cfRule type="containsText" dxfId="9" priority="41839" operator="containsText" text="No">
      <formula>NOT(ISERROR(SEARCH(("No"),(P227))))</formula>
    </cfRule>
  </conditionalFormatting>
  <conditionalFormatting sqref="P227:Q227">
    <cfRule type="containsText" dxfId="9" priority="41840" operator="containsText" text="No">
      <formula>NOT(ISERROR(SEARCH(("No"),(P227))))</formula>
    </cfRule>
  </conditionalFormatting>
  <conditionalFormatting sqref="P227:Q227">
    <cfRule type="containsText" dxfId="9" priority="41841" operator="containsText" text="No">
      <formula>NOT(ISERROR(SEARCH(("No"),(P227))))</formula>
    </cfRule>
  </conditionalFormatting>
  <conditionalFormatting sqref="P227:Q227">
    <cfRule type="containsText" dxfId="9" priority="41842" operator="containsText" text="No">
      <formula>NOT(ISERROR(SEARCH(("No"),(P227))))</formula>
    </cfRule>
  </conditionalFormatting>
  <conditionalFormatting sqref="P227:Q227">
    <cfRule type="containsText" dxfId="9" priority="41843" operator="containsText" text="No">
      <formula>NOT(ISERROR(SEARCH(("No"),(P227))))</formula>
    </cfRule>
  </conditionalFormatting>
  <conditionalFormatting sqref="P227:Q227">
    <cfRule type="containsText" dxfId="2" priority="41844" operator="containsText" text="Yes">
      <formula>NOT(ISERROR(SEARCH(("Yes"),(P227))))</formula>
    </cfRule>
  </conditionalFormatting>
  <conditionalFormatting sqref="P227:Q227">
    <cfRule type="containsText" dxfId="2" priority="41845" operator="containsText" text="Yes">
      <formula>NOT(ISERROR(SEARCH(("Yes"),(P227))))</formula>
    </cfRule>
  </conditionalFormatting>
  <conditionalFormatting sqref="P227:Q227">
    <cfRule type="containsText" dxfId="2" priority="41846" operator="containsText" text="Yes">
      <formula>NOT(ISERROR(SEARCH(("Yes"),(P227))))</formula>
    </cfRule>
  </conditionalFormatting>
  <conditionalFormatting sqref="P227:Q227">
    <cfRule type="containsText" dxfId="2" priority="41847" operator="containsText" text="Yes">
      <formula>NOT(ISERROR(SEARCH(("Yes"),(P227))))</formula>
    </cfRule>
  </conditionalFormatting>
  <conditionalFormatting sqref="P227:Q227">
    <cfRule type="containsText" dxfId="2" priority="41848" operator="containsText" text="Yes">
      <formula>NOT(ISERROR(SEARCH(("Yes"),(P227))))</formula>
    </cfRule>
  </conditionalFormatting>
  <conditionalFormatting sqref="P227:Q227">
    <cfRule type="containsText" dxfId="2" priority="41849" operator="containsText" text="Yes">
      <formula>NOT(ISERROR(SEARCH(("Yes"),(P227))))</formula>
    </cfRule>
  </conditionalFormatting>
  <conditionalFormatting sqref="P227:Q227">
    <cfRule type="containsText" dxfId="2" priority="41850" operator="containsText" text="Yes">
      <formula>NOT(ISERROR(SEARCH(("Yes"),(P227))))</formula>
    </cfRule>
  </conditionalFormatting>
  <conditionalFormatting sqref="P227:Q227">
    <cfRule type="containsText" dxfId="2" priority="41851" operator="containsText" text="Yes">
      <formula>NOT(ISERROR(SEARCH(("Yes"),(P227))))</formula>
    </cfRule>
  </conditionalFormatting>
  <conditionalFormatting sqref="P227:Q227">
    <cfRule type="containsText" dxfId="2" priority="41852" operator="containsText" text="Yes">
      <formula>NOT(ISERROR(SEARCH(("Yes"),(P227))))</formula>
    </cfRule>
  </conditionalFormatting>
  <conditionalFormatting sqref="P227:Q227">
    <cfRule type="containsText" dxfId="2" priority="41853" operator="containsText" text="Yes">
      <formula>NOT(ISERROR(SEARCH(("Yes"),(P227))))</formula>
    </cfRule>
  </conditionalFormatting>
  <conditionalFormatting sqref="P227:Q227">
    <cfRule type="containsText" dxfId="2" priority="41854" operator="containsText" text="Yes">
      <formula>NOT(ISERROR(SEARCH(("Yes"),(P227))))</formula>
    </cfRule>
  </conditionalFormatting>
  <conditionalFormatting sqref="P227:Q227">
    <cfRule type="containsText" dxfId="2" priority="41855" operator="containsText" text="Yes">
      <formula>NOT(ISERROR(SEARCH(("Yes"),(P227))))</formula>
    </cfRule>
  </conditionalFormatting>
  <conditionalFormatting sqref="P227:Q227">
    <cfRule type="containsText" dxfId="2" priority="41856" operator="containsText" text="Yes">
      <formula>NOT(ISERROR(SEARCH(("Yes"),(P227))))</formula>
    </cfRule>
  </conditionalFormatting>
  <conditionalFormatting sqref="P227:Q227">
    <cfRule type="containsText" dxfId="2" priority="41857" operator="containsText" text="Yes">
      <formula>NOT(ISERROR(SEARCH(("Yes"),(P227))))</formula>
    </cfRule>
  </conditionalFormatting>
  <conditionalFormatting sqref="P227:Q227">
    <cfRule type="containsText" dxfId="2" priority="41858" operator="containsText" text="Yes">
      <formula>NOT(ISERROR(SEARCH(("Yes"),(P227))))</formula>
    </cfRule>
  </conditionalFormatting>
  <conditionalFormatting sqref="P227:Q227">
    <cfRule type="containsText" dxfId="2" priority="41859" operator="containsText" text="Yes">
      <formula>NOT(ISERROR(SEARCH(("Yes"),(P227))))</formula>
    </cfRule>
  </conditionalFormatting>
  <conditionalFormatting sqref="P227:Q227">
    <cfRule type="containsText" dxfId="2" priority="41860" operator="containsText" text="Yes">
      <formula>NOT(ISERROR(SEARCH(("Yes"),(P227))))</formula>
    </cfRule>
  </conditionalFormatting>
  <conditionalFormatting sqref="P227:Q227">
    <cfRule type="containsText" dxfId="2" priority="41861" operator="containsText" text="Yes">
      <formula>NOT(ISERROR(SEARCH(("Yes"),(P227))))</formula>
    </cfRule>
  </conditionalFormatting>
  <conditionalFormatting sqref="P227:Q227">
    <cfRule type="containsText" dxfId="2" priority="41862" operator="containsText" text="Yes">
      <formula>NOT(ISERROR(SEARCH(("Yes"),(P227))))</formula>
    </cfRule>
  </conditionalFormatting>
  <conditionalFormatting sqref="P227:Q227">
    <cfRule type="containsText" dxfId="2" priority="41863" operator="containsText" text="Yes">
      <formula>NOT(ISERROR(SEARCH(("Yes"),(P227))))</formula>
    </cfRule>
  </conditionalFormatting>
  <conditionalFormatting sqref="P227:Q227">
    <cfRule type="containsText" dxfId="2" priority="41864" operator="containsText" text="Yes">
      <formula>NOT(ISERROR(SEARCH(("Yes"),(P227))))</formula>
    </cfRule>
  </conditionalFormatting>
  <conditionalFormatting sqref="P227:Q227">
    <cfRule type="containsText" dxfId="2" priority="41865" operator="containsText" text="Yes">
      <formula>NOT(ISERROR(SEARCH(("Yes"),(P227))))</formula>
    </cfRule>
  </conditionalFormatting>
  <conditionalFormatting sqref="P227:Q227">
    <cfRule type="containsText" dxfId="2" priority="41866" operator="containsText" text="Yes">
      <formula>NOT(ISERROR(SEARCH(("Yes"),(P227))))</formula>
    </cfRule>
  </conditionalFormatting>
  <conditionalFormatting sqref="P227:Q227">
    <cfRule type="containsText" dxfId="2" priority="41867" operator="containsText" text="Yes">
      <formula>NOT(ISERROR(SEARCH(("Yes"),(P227))))</formula>
    </cfRule>
  </conditionalFormatting>
  <conditionalFormatting sqref="P227:Q227">
    <cfRule type="containsText" dxfId="2" priority="41868" operator="containsText" text="Yes">
      <formula>NOT(ISERROR(SEARCH(("Yes"),(P227))))</formula>
    </cfRule>
  </conditionalFormatting>
  <conditionalFormatting sqref="P227:Q227">
    <cfRule type="containsText" dxfId="2" priority="41869" operator="containsText" text="Yes">
      <formula>NOT(ISERROR(SEARCH(("Yes"),(P227))))</formula>
    </cfRule>
  </conditionalFormatting>
  <conditionalFormatting sqref="P227:Q227">
    <cfRule type="containsText" dxfId="2" priority="41870" operator="containsText" text="Yes">
      <formula>NOT(ISERROR(SEARCH(("Yes"),(P227))))</formula>
    </cfRule>
  </conditionalFormatting>
  <conditionalFormatting sqref="P227:Q227">
    <cfRule type="containsText" dxfId="2" priority="41871" operator="containsText" text="Yes">
      <formula>NOT(ISERROR(SEARCH(("Yes"),(P227))))</formula>
    </cfRule>
  </conditionalFormatting>
  <conditionalFormatting sqref="P227:Q227">
    <cfRule type="containsText" dxfId="2" priority="41872" operator="containsText" text="Yes">
      <formula>NOT(ISERROR(SEARCH(("Yes"),(P227))))</formula>
    </cfRule>
  </conditionalFormatting>
  <conditionalFormatting sqref="P227:Q227">
    <cfRule type="containsText" dxfId="2" priority="41873" operator="containsText" text="Yes">
      <formula>NOT(ISERROR(SEARCH(("Yes"),(P227))))</formula>
    </cfRule>
  </conditionalFormatting>
  <conditionalFormatting sqref="P227:Q227">
    <cfRule type="containsText" dxfId="2" priority="41874" operator="containsText" text="Yes">
      <formula>NOT(ISERROR(SEARCH(("Yes"),(P227))))</formula>
    </cfRule>
  </conditionalFormatting>
  <conditionalFormatting sqref="P227:Q227">
    <cfRule type="containsText" dxfId="2" priority="41875" operator="containsText" text="Yes">
      <formula>NOT(ISERROR(SEARCH(("Yes"),(P227))))</formula>
    </cfRule>
  </conditionalFormatting>
  <conditionalFormatting sqref="P227:Q227">
    <cfRule type="containsText" dxfId="2" priority="41876" operator="containsText" text="Yes">
      <formula>NOT(ISERROR(SEARCH(("Yes"),(P227))))</formula>
    </cfRule>
  </conditionalFormatting>
  <conditionalFormatting sqref="P227:Q227">
    <cfRule type="containsText" dxfId="2" priority="41877" operator="containsText" text="Yes">
      <formula>NOT(ISERROR(SEARCH(("Yes"),(P227))))</formula>
    </cfRule>
  </conditionalFormatting>
  <conditionalFormatting sqref="P227:Q227">
    <cfRule type="containsText" dxfId="2" priority="41878" operator="containsText" text="Yes">
      <formula>NOT(ISERROR(SEARCH(("Yes"),(P227))))</formula>
    </cfRule>
  </conditionalFormatting>
  <conditionalFormatting sqref="P227:Q227">
    <cfRule type="containsText" dxfId="2" priority="41879" operator="containsText" text="Yes">
      <formula>NOT(ISERROR(SEARCH(("Yes"),(P227))))</formula>
    </cfRule>
  </conditionalFormatting>
  <conditionalFormatting sqref="P227:Q227">
    <cfRule type="containsText" dxfId="2" priority="41880" operator="containsText" text="Yes">
      <formula>NOT(ISERROR(SEARCH(("Yes"),(P227))))</formula>
    </cfRule>
  </conditionalFormatting>
  <conditionalFormatting sqref="P227:Q227">
    <cfRule type="containsText" dxfId="2" priority="41881" operator="containsText" text="Yes">
      <formula>NOT(ISERROR(SEARCH(("Yes"),(P227))))</formula>
    </cfRule>
  </conditionalFormatting>
  <conditionalFormatting sqref="P227:Q227">
    <cfRule type="containsText" dxfId="2" priority="41882" operator="containsText" text="Yes">
      <formula>NOT(ISERROR(SEARCH(("Yes"),(P227))))</formula>
    </cfRule>
  </conditionalFormatting>
  <conditionalFormatting sqref="P227:Q227">
    <cfRule type="containsText" dxfId="2" priority="41883" operator="containsText" text="Yes">
      <formula>NOT(ISERROR(SEARCH(("Yes"),(P227))))</formula>
    </cfRule>
  </conditionalFormatting>
  <conditionalFormatting sqref="P227:Q227">
    <cfRule type="containsText" dxfId="2" priority="41884" operator="containsText" text="Yes">
      <formula>NOT(ISERROR(SEARCH(("Yes"),(P227))))</formula>
    </cfRule>
  </conditionalFormatting>
  <conditionalFormatting sqref="P227:Q227">
    <cfRule type="containsText" dxfId="2" priority="41885" operator="containsText" text="Yes">
      <formula>NOT(ISERROR(SEARCH(("Yes"),(P227))))</formula>
    </cfRule>
  </conditionalFormatting>
  <conditionalFormatting sqref="P227:Q227">
    <cfRule type="containsText" dxfId="2" priority="41886" operator="containsText" text="Yes">
      <formula>NOT(ISERROR(SEARCH(("Yes"),(P227))))</formula>
    </cfRule>
  </conditionalFormatting>
  <conditionalFormatting sqref="P227:Q227">
    <cfRule type="containsText" dxfId="2" priority="41887" operator="containsText" text="Yes">
      <formula>NOT(ISERROR(SEARCH(("Yes"),(P227))))</formula>
    </cfRule>
  </conditionalFormatting>
  <conditionalFormatting sqref="P227:Q227">
    <cfRule type="containsText" dxfId="2" priority="41888" operator="containsText" text="Yes">
      <formula>NOT(ISERROR(SEARCH(("Yes"),(P227))))</formula>
    </cfRule>
  </conditionalFormatting>
  <conditionalFormatting sqref="P227:Q227">
    <cfRule type="containsText" dxfId="2" priority="41889" operator="containsText" text="Yes">
      <formula>NOT(ISERROR(SEARCH(("Yes"),(P227))))</formula>
    </cfRule>
  </conditionalFormatting>
  <conditionalFormatting sqref="P227:Q227">
    <cfRule type="containsText" dxfId="2" priority="41890" operator="containsText" text="Yes">
      <formula>NOT(ISERROR(SEARCH(("Yes"),(P227))))</formula>
    </cfRule>
  </conditionalFormatting>
  <conditionalFormatting sqref="N229:N230 N234 N238 N241 N243 N245 N247:N248 N251">
    <cfRule type="containsText" dxfId="9" priority="41891" operator="containsText" text="No">
      <formula>NOT(ISERROR(SEARCH(("No"),(N229))))</formula>
    </cfRule>
  </conditionalFormatting>
  <conditionalFormatting sqref="N229:N230 N234 N238 N241 N243 N245 N247:N248 N251">
    <cfRule type="containsText" dxfId="9" priority="41892" operator="containsText" text="No">
      <formula>NOT(ISERROR(SEARCH(("No"),(N229))))</formula>
    </cfRule>
  </conditionalFormatting>
  <conditionalFormatting sqref="N229:N230 N234 N238 N241 N243 N245 N247:N248 N251">
    <cfRule type="containsText" dxfId="9" priority="41893" operator="containsText" text="No">
      <formula>NOT(ISERROR(SEARCH(("No"),(N229))))</formula>
    </cfRule>
  </conditionalFormatting>
  <conditionalFormatting sqref="N229:N230 N234 N238 N241 N243 N245 N247:N248 N251">
    <cfRule type="containsText" dxfId="2" priority="41894" operator="containsText" text="Yes">
      <formula>NOT(ISERROR(SEARCH(("Yes"),(N229))))</formula>
    </cfRule>
  </conditionalFormatting>
  <conditionalFormatting sqref="N229:N230 N234 N238 N241 N243 N245 N247:N248 N251">
    <cfRule type="containsText" dxfId="2" priority="41895" operator="containsText" text="Yes">
      <formula>NOT(ISERROR(SEARCH(("Yes"),(N229))))</formula>
    </cfRule>
  </conditionalFormatting>
  <conditionalFormatting sqref="N229:N230 N234 N238 N241 N243 N245 N247:N248 N251">
    <cfRule type="containsText" dxfId="2" priority="41896" operator="containsText" text="Yes">
      <formula>NOT(ISERROR(SEARCH(("Yes"),(N229))))</formula>
    </cfRule>
  </conditionalFormatting>
  <conditionalFormatting sqref="N229:N230 N234 N238 N241 N243 N245 N247:N248 N251">
    <cfRule type="containsText" dxfId="2" priority="41897" operator="containsText" text="Yes">
      <formula>NOT(ISERROR(SEARCH(("Yes"),(N229))))</formula>
    </cfRule>
  </conditionalFormatting>
  <conditionalFormatting sqref="N229:N230 N234 N238 N241 N243 N245 N247:N248 N251">
    <cfRule type="containsText" dxfId="2" priority="41898" operator="containsText" text="Yes">
      <formula>NOT(ISERROR(SEARCH(("Yes"),(N229))))</formula>
    </cfRule>
  </conditionalFormatting>
  <conditionalFormatting sqref="N229:N230 N234 N238 N241 N243 N245 N247:N248 N251">
    <cfRule type="containsText" dxfId="9" priority="41899" operator="containsText" text="No">
      <formula>NOT(ISERROR(SEARCH(("No"),(N229))))</formula>
    </cfRule>
  </conditionalFormatting>
  <conditionalFormatting sqref="N229:N230 N234 N238 N241 N243 N245 N247:N248 N251">
    <cfRule type="containsText" dxfId="2" priority="41900" operator="containsText" text="Yes">
      <formula>NOT(ISERROR(SEARCH(("Yes"),(N229))))</formula>
    </cfRule>
  </conditionalFormatting>
  <conditionalFormatting sqref="P229:P230 P234 P238 P241 P243 P245 P247:P248 P251">
    <cfRule type="containsText" dxfId="9" priority="41901" operator="containsText" text="No">
      <formula>NOT(ISERROR(SEARCH(("No"),(P229))))</formula>
    </cfRule>
  </conditionalFormatting>
  <conditionalFormatting sqref="P229:P230 P234 P238 P241 P243 P245 P247:P248 P251">
    <cfRule type="containsText" dxfId="9" priority="41902" operator="containsText" text="No">
      <formula>NOT(ISERROR(SEARCH(("No"),(P229))))</formula>
    </cfRule>
  </conditionalFormatting>
  <conditionalFormatting sqref="P229:P230 P234 P238 P241 P243 P245 P247:P248 P251">
    <cfRule type="containsText" dxfId="9" priority="41903" operator="containsText" text="No">
      <formula>NOT(ISERROR(SEARCH(("No"),(P229))))</formula>
    </cfRule>
  </conditionalFormatting>
  <conditionalFormatting sqref="P229:P230 P234 P238 P241 P243 P245 P247:P248 P251">
    <cfRule type="containsText" dxfId="2" priority="41904" operator="containsText" text="Yes">
      <formula>NOT(ISERROR(SEARCH(("Yes"),(P229))))</formula>
    </cfRule>
  </conditionalFormatting>
  <conditionalFormatting sqref="P229:P230 P234 P238 P241 P243 P245 P247:P248 P251">
    <cfRule type="containsText" dxfId="2" priority="41905" operator="containsText" text="Yes">
      <formula>NOT(ISERROR(SEARCH(("Yes"),(P229))))</formula>
    </cfRule>
  </conditionalFormatting>
  <conditionalFormatting sqref="P229:P230 P234 P238 P241 P243 P245 P247:P248 P251">
    <cfRule type="containsText" dxfId="2" priority="41906" operator="containsText" text="Yes">
      <formula>NOT(ISERROR(SEARCH(("Yes"),(P229))))</formula>
    </cfRule>
  </conditionalFormatting>
  <conditionalFormatting sqref="P229:P230 P234 P238 P241 P243 P245 P247:P248 P251">
    <cfRule type="containsText" dxfId="2" priority="41907" operator="containsText" text="Yes">
      <formula>NOT(ISERROR(SEARCH(("Yes"),(P229))))</formula>
    </cfRule>
  </conditionalFormatting>
  <conditionalFormatting sqref="P229:P230 P234 P238 P241 P243 P245 P247:P248 P251">
    <cfRule type="containsText" dxfId="2" priority="41908" operator="containsText" text="Yes">
      <formula>NOT(ISERROR(SEARCH(("Yes"),(P229))))</formula>
    </cfRule>
  </conditionalFormatting>
  <conditionalFormatting sqref="P229:P230 P234 P238 P241 P243 P245 P247:P248 P251">
    <cfRule type="containsText" dxfId="9" priority="41909" operator="containsText" text="No">
      <formula>NOT(ISERROR(SEARCH(("No"),(P229))))</formula>
    </cfRule>
  </conditionalFormatting>
  <conditionalFormatting sqref="P229:P230 P234 P238 P241 P243 P245 P247:P248 P251">
    <cfRule type="containsText" dxfId="2" priority="41910" operator="containsText" text="Yes">
      <formula>NOT(ISERROR(SEARCH(("Yes"),(P229))))</formula>
    </cfRule>
  </conditionalFormatting>
  <conditionalFormatting sqref="Q229:Q230 Q234 Q238 Q241 Q243:Q252">
    <cfRule type="containsText" dxfId="9" priority="41911" operator="containsText" text="No">
      <formula>NOT(ISERROR(SEARCH(("No"),(Q229))))</formula>
    </cfRule>
  </conditionalFormatting>
  <conditionalFormatting sqref="Q229:Q230 Q234 Q238 Q241 Q243:Q252">
    <cfRule type="containsText" dxfId="9" priority="41912" operator="containsText" text="No">
      <formula>NOT(ISERROR(SEARCH(("No"),(Q229))))</formula>
    </cfRule>
  </conditionalFormatting>
  <conditionalFormatting sqref="Q229:Q230 Q234 Q238 Q241 Q243:Q252">
    <cfRule type="containsText" dxfId="9" priority="41913" operator="containsText" text="No">
      <formula>NOT(ISERROR(SEARCH(("No"),(Q229))))</formula>
    </cfRule>
  </conditionalFormatting>
  <conditionalFormatting sqref="Q229:Q230 Q234 Q238 Q241 Q243:Q252">
    <cfRule type="containsText" dxfId="2" priority="41914" operator="containsText" text="Yes">
      <formula>NOT(ISERROR(SEARCH(("Yes"),(Q229))))</formula>
    </cfRule>
  </conditionalFormatting>
  <conditionalFormatting sqref="Q229:Q230 Q234 Q238 Q241 Q243:Q252">
    <cfRule type="containsText" dxfId="2" priority="41915" operator="containsText" text="Yes">
      <formula>NOT(ISERROR(SEARCH(("Yes"),(Q229))))</formula>
    </cfRule>
  </conditionalFormatting>
  <conditionalFormatting sqref="Q229:Q230 Q234 Q238 Q241 Q243:Q252">
    <cfRule type="containsText" dxfId="2" priority="41916" operator="containsText" text="Yes">
      <formula>NOT(ISERROR(SEARCH(("Yes"),(Q229))))</formula>
    </cfRule>
  </conditionalFormatting>
  <conditionalFormatting sqref="Q229:Q230 Q234 Q238 Q241 Q243:Q252">
    <cfRule type="containsText" dxfId="2" priority="41917" operator="containsText" text="Yes">
      <formula>NOT(ISERROR(SEARCH(("Yes"),(Q229))))</formula>
    </cfRule>
  </conditionalFormatting>
  <conditionalFormatting sqref="Q229:Q230 Q234 Q238 Q241 Q243:Q252">
    <cfRule type="containsText" dxfId="2" priority="41918" operator="containsText" text="Yes">
      <formula>NOT(ISERROR(SEARCH(("Yes"),(Q229))))</formula>
    </cfRule>
  </conditionalFormatting>
  <conditionalFormatting sqref="Q229:Q230 Q234 Q238 Q241 Q243:Q252">
    <cfRule type="containsText" dxfId="9" priority="41919" operator="containsText" text="No">
      <formula>NOT(ISERROR(SEARCH(("No"),(Q229))))</formula>
    </cfRule>
  </conditionalFormatting>
  <conditionalFormatting sqref="Q229:Q230 Q234 Q238 Q241 Q243:Q252">
    <cfRule type="containsText" dxfId="2" priority="41920" operator="containsText" text="Yes">
      <formula>NOT(ISERROR(SEARCH(("Yes"),(Q229))))</formula>
    </cfRule>
  </conditionalFormatting>
  <conditionalFormatting sqref="O229:O230 O234 O238 O241 O243 O245 O247:O248 O251">
    <cfRule type="containsText" dxfId="9" priority="41921" operator="containsText" text="No">
      <formula>NOT(ISERROR(SEARCH(("No"),(O229))))</formula>
    </cfRule>
  </conditionalFormatting>
  <conditionalFormatting sqref="O229:O230 O234 O238 O241 O243 O245 O247:O248 O251">
    <cfRule type="containsText" dxfId="9" priority="41922" operator="containsText" text="No">
      <formula>NOT(ISERROR(SEARCH(("No"),(O229))))</formula>
    </cfRule>
  </conditionalFormatting>
  <conditionalFormatting sqref="O229:O230 O234 O238 O241 O243 O245 O247:O248 O251">
    <cfRule type="containsText" dxfId="9" priority="41923" operator="containsText" text="No">
      <formula>NOT(ISERROR(SEARCH(("No"),(O229))))</formula>
    </cfRule>
  </conditionalFormatting>
  <conditionalFormatting sqref="O229:O230 O234 O238 O241 O243 O245 O247:O248 O251">
    <cfRule type="containsText" dxfId="9" priority="41924" operator="containsText" text="No">
      <formula>NOT(ISERROR(SEARCH(("No"),(O229))))</formula>
    </cfRule>
  </conditionalFormatting>
  <conditionalFormatting sqref="O229:O230 O234 O238 O241 O243 O245 O247:O248 O251">
    <cfRule type="containsText" dxfId="9" priority="41925" operator="containsText" text="No">
      <formula>NOT(ISERROR(SEARCH(("No"),(O229))))</formula>
    </cfRule>
  </conditionalFormatting>
  <conditionalFormatting sqref="O229:O230 O234 O238 O241 O243 O245 O247:O248 O251">
    <cfRule type="containsText" dxfId="9" priority="41926" operator="containsText" text="No">
      <formula>NOT(ISERROR(SEARCH(("No"),(O229))))</formula>
    </cfRule>
  </conditionalFormatting>
  <conditionalFormatting sqref="O229:O230 O234 O238 O241 O243 O245 O247:O248 O251">
    <cfRule type="containsText" dxfId="9" priority="41927" operator="containsText" text="No">
      <formula>NOT(ISERROR(SEARCH(("No"),(O229))))</formula>
    </cfRule>
  </conditionalFormatting>
  <conditionalFormatting sqref="O229:O230 O234 O238 O241 O243 O245 O247:O248 O251">
    <cfRule type="containsText" dxfId="9" priority="41928" operator="containsText" text="No">
      <formula>NOT(ISERROR(SEARCH(("No"),(O229))))</formula>
    </cfRule>
  </conditionalFormatting>
  <conditionalFormatting sqref="O229:O230 O234 O238 O241 O243 O245 O247:O248 O251">
    <cfRule type="containsText" dxfId="9" priority="41929" operator="containsText" text="No">
      <formula>NOT(ISERROR(SEARCH(("No"),(O229))))</formula>
    </cfRule>
  </conditionalFormatting>
  <conditionalFormatting sqref="O229:O230 O234 O238 O241 O243 O245 O247:O248 O251">
    <cfRule type="containsText" dxfId="9" priority="41930" operator="containsText" text="No">
      <formula>NOT(ISERROR(SEARCH(("No"),(O229))))</formula>
    </cfRule>
  </conditionalFormatting>
  <conditionalFormatting sqref="O229:O230 O234 O238 O241 O243 O245 O247:O248 O251">
    <cfRule type="containsText" dxfId="9" priority="41931" operator="containsText" text="No">
      <formula>NOT(ISERROR(SEARCH(("No"),(O229))))</formula>
    </cfRule>
  </conditionalFormatting>
  <conditionalFormatting sqref="O229:O230 O234 O238 O241 O243 O245 O247:O248 O251">
    <cfRule type="containsText" dxfId="9" priority="41932" operator="containsText" text="No">
      <formula>NOT(ISERROR(SEARCH(("No"),(O229))))</formula>
    </cfRule>
  </conditionalFormatting>
  <conditionalFormatting sqref="O229:O230 O234 O238 O241 O243 O245 O247:O248 O251">
    <cfRule type="containsText" dxfId="9" priority="41933" operator="containsText" text="No">
      <formula>NOT(ISERROR(SEARCH(("No"),(O229))))</formula>
    </cfRule>
  </conditionalFormatting>
  <conditionalFormatting sqref="O229:O230 O234 O238 O241 O243 O245 O247:O248 O251">
    <cfRule type="containsText" dxfId="9" priority="41934" operator="containsText" text="No">
      <formula>NOT(ISERROR(SEARCH(("No"),(O229))))</formula>
    </cfRule>
  </conditionalFormatting>
  <conditionalFormatting sqref="O229:O230 O234 O238 O241 O243 O245 O247:O248 O251">
    <cfRule type="containsText" dxfId="9" priority="41935" operator="containsText" text="No">
      <formula>NOT(ISERROR(SEARCH(("No"),(O229))))</formula>
    </cfRule>
  </conditionalFormatting>
  <conditionalFormatting sqref="O229:O230 O234 O238 O241 O243 O245 O247:O248 O251">
    <cfRule type="containsText" dxfId="9" priority="41936" operator="containsText" text="No">
      <formula>NOT(ISERROR(SEARCH(("No"),(O229))))</formula>
    </cfRule>
  </conditionalFormatting>
  <conditionalFormatting sqref="O229:O230 O234 O238 O241 O243 O245 O247:O248 O251">
    <cfRule type="containsText" dxfId="9" priority="41937" operator="containsText" text="No">
      <formula>NOT(ISERROR(SEARCH(("No"),(O229))))</formula>
    </cfRule>
  </conditionalFormatting>
  <conditionalFormatting sqref="O229:O230 O234 O238 O241 O243 O245 O247:O248 O251">
    <cfRule type="containsText" dxfId="9" priority="41938" operator="containsText" text="No">
      <formula>NOT(ISERROR(SEARCH(("No"),(O229))))</formula>
    </cfRule>
  </conditionalFormatting>
  <conditionalFormatting sqref="O229:O230 O234 O238 O241 O243 O245 O247:O248 O251">
    <cfRule type="containsText" dxfId="9" priority="41939" operator="containsText" text="No">
      <formula>NOT(ISERROR(SEARCH(("No"),(O229))))</formula>
    </cfRule>
  </conditionalFormatting>
  <conditionalFormatting sqref="O229:O230 O234 O238 O241 O243 O245 O247:O248 O251">
    <cfRule type="containsText" dxfId="9" priority="41940" operator="containsText" text="No">
      <formula>NOT(ISERROR(SEARCH(("No"),(O229))))</formula>
    </cfRule>
  </conditionalFormatting>
  <conditionalFormatting sqref="O229:O230 O234 O238 O241 O243 O245 O247:O248 O251">
    <cfRule type="containsText" dxfId="9" priority="41941" operator="containsText" text="No">
      <formula>NOT(ISERROR(SEARCH(("No"),(O229))))</formula>
    </cfRule>
  </conditionalFormatting>
  <conditionalFormatting sqref="O229:O230 O234 O238 O241 O243 O245 O247:O248 O251">
    <cfRule type="containsText" dxfId="9" priority="41942" operator="containsText" text="No">
      <formula>NOT(ISERROR(SEARCH(("No"),(O229))))</formula>
    </cfRule>
  </conditionalFormatting>
  <conditionalFormatting sqref="O229:O230 O234 O238 O241 O243 O245 O247:O248 O251">
    <cfRule type="containsText" dxfId="9" priority="41943" operator="containsText" text="No">
      <formula>NOT(ISERROR(SEARCH(("No"),(O229))))</formula>
    </cfRule>
  </conditionalFormatting>
  <conditionalFormatting sqref="O229:O230 O234 O238 O241 O243 O245 O247:O248 O251">
    <cfRule type="containsText" dxfId="9" priority="41944" operator="containsText" text="No">
      <formula>NOT(ISERROR(SEARCH(("No"),(O229))))</formula>
    </cfRule>
  </conditionalFormatting>
  <conditionalFormatting sqref="O229:O230 O234 O238 O241 O243 O245 O247:O248 O251">
    <cfRule type="containsText" dxfId="9" priority="41945" operator="containsText" text="No">
      <formula>NOT(ISERROR(SEARCH(("No"),(O229))))</formula>
    </cfRule>
  </conditionalFormatting>
  <conditionalFormatting sqref="O229:O230 O234 O238 O241 O243 O245 O247:O248 O251">
    <cfRule type="containsText" dxfId="9" priority="41946" operator="containsText" text="No">
      <formula>NOT(ISERROR(SEARCH(("No"),(O229))))</formula>
    </cfRule>
  </conditionalFormatting>
  <conditionalFormatting sqref="O229:O230 O234 O238 O241 O243 O245 O247:O248 O251">
    <cfRule type="containsText" dxfId="9" priority="41947" operator="containsText" text="No">
      <formula>NOT(ISERROR(SEARCH(("No"),(O229))))</formula>
    </cfRule>
  </conditionalFormatting>
  <conditionalFormatting sqref="O229:O230 O234 O238 O241 O243 O245 O247:O248 O251">
    <cfRule type="containsText" dxfId="9" priority="41948" operator="containsText" text="No">
      <formula>NOT(ISERROR(SEARCH(("No"),(O229))))</formula>
    </cfRule>
  </conditionalFormatting>
  <conditionalFormatting sqref="O229:O230 O234 O238 O241 O243 O245 O247:O248 O251">
    <cfRule type="containsText" dxfId="9" priority="41949" operator="containsText" text="No">
      <formula>NOT(ISERROR(SEARCH(("No"),(O229))))</formula>
    </cfRule>
  </conditionalFormatting>
  <conditionalFormatting sqref="O229:O230 O234 O238 O241 O243 O245 O247:O248 O251">
    <cfRule type="containsText" dxfId="9" priority="41950" operator="containsText" text="No">
      <formula>NOT(ISERROR(SEARCH(("No"),(O229))))</formula>
    </cfRule>
  </conditionalFormatting>
  <conditionalFormatting sqref="O229:O230 O234 O238 O241 O243 O245 O247:O248 O251">
    <cfRule type="containsText" dxfId="9" priority="41951" operator="containsText" text="No">
      <formula>NOT(ISERROR(SEARCH(("No"),(O229))))</formula>
    </cfRule>
  </conditionalFormatting>
  <conditionalFormatting sqref="O229:O230 O234 O238 O241 O243 O245 O247:O248 O251">
    <cfRule type="containsText" dxfId="9" priority="41952" operator="containsText" text="No">
      <formula>NOT(ISERROR(SEARCH(("No"),(O229))))</formula>
    </cfRule>
  </conditionalFormatting>
  <conditionalFormatting sqref="O229:O230 O234 O238 O241 O243 O245 O247:O248 O251">
    <cfRule type="containsText" dxfId="9" priority="41953" operator="containsText" text="No">
      <formula>NOT(ISERROR(SEARCH(("No"),(O229))))</formula>
    </cfRule>
  </conditionalFormatting>
  <conditionalFormatting sqref="O229:O230 O234 O238 O241 O243 O245 O247:O248 O251">
    <cfRule type="containsText" dxfId="9" priority="41954" operator="containsText" text="No">
      <formula>NOT(ISERROR(SEARCH(("No"),(O229))))</formula>
    </cfRule>
  </conditionalFormatting>
  <conditionalFormatting sqref="O229:O230 O234 O238 O241 O243 O245 O247:O248 O251">
    <cfRule type="containsText" dxfId="9" priority="41955" operator="containsText" text="No">
      <formula>NOT(ISERROR(SEARCH(("No"),(O229))))</formula>
    </cfRule>
  </conditionalFormatting>
  <conditionalFormatting sqref="O229:O230 O234 O238 O241 O243 O245 O247:O248 O251">
    <cfRule type="containsText" dxfId="9" priority="41956" operator="containsText" text="No">
      <formula>NOT(ISERROR(SEARCH(("No"),(O229))))</formula>
    </cfRule>
  </conditionalFormatting>
  <conditionalFormatting sqref="O229:O230 O234 O238 O241 O243 O245 O247:O248 O251">
    <cfRule type="containsText" dxfId="9" priority="41957" operator="containsText" text="No">
      <formula>NOT(ISERROR(SEARCH(("No"),(O229))))</formula>
    </cfRule>
  </conditionalFormatting>
  <conditionalFormatting sqref="O229:O230 O234 O238 O241 O243 O245 O247:O248 O251">
    <cfRule type="containsText" dxfId="9" priority="41958" operator="containsText" text="No">
      <formula>NOT(ISERROR(SEARCH(("No"),(O229))))</formula>
    </cfRule>
  </conditionalFormatting>
  <conditionalFormatting sqref="O229:O230 O234 O238 O241 O243 O245 O247:O248 O251">
    <cfRule type="containsText" dxfId="9" priority="41959" operator="containsText" text="No">
      <formula>NOT(ISERROR(SEARCH(("No"),(O229))))</formula>
    </cfRule>
  </conditionalFormatting>
  <conditionalFormatting sqref="O229:O230 O234 O238 O241 O243 O245 O247:O248 O251">
    <cfRule type="containsText" dxfId="9" priority="41960" operator="containsText" text="No">
      <formula>NOT(ISERROR(SEARCH(("No"),(O229))))</formula>
    </cfRule>
  </conditionalFormatting>
  <conditionalFormatting sqref="O229:O230 O234 O238 O241 O243 O245 O247:O248 O251">
    <cfRule type="containsText" dxfId="9" priority="41961" operator="containsText" text="No">
      <formula>NOT(ISERROR(SEARCH(("No"),(O229))))</formula>
    </cfRule>
  </conditionalFormatting>
  <conditionalFormatting sqref="O229:O230 O234 O238 O241 O243 O245 O247:O248 O251">
    <cfRule type="containsText" dxfId="9" priority="41962" operator="containsText" text="No">
      <formula>NOT(ISERROR(SEARCH(("No"),(O229))))</formula>
    </cfRule>
  </conditionalFormatting>
  <conditionalFormatting sqref="O229:O230 O234 O238 O241 O243 O245 O247:O248 O251">
    <cfRule type="containsText" dxfId="9" priority="41963" operator="containsText" text="No">
      <formula>NOT(ISERROR(SEARCH(("No"),(O229))))</formula>
    </cfRule>
  </conditionalFormatting>
  <conditionalFormatting sqref="O229:O230 O234 O238 O241 O243 O245 O247:O248 O251">
    <cfRule type="containsText" dxfId="9" priority="41964" operator="containsText" text="No">
      <formula>NOT(ISERROR(SEARCH(("No"),(O229))))</formula>
    </cfRule>
  </conditionalFormatting>
  <conditionalFormatting sqref="O229:O230 O234 O238 O241 O243 O245 O247:O248 O251">
    <cfRule type="containsText" dxfId="9" priority="41965" operator="containsText" text="No">
      <formula>NOT(ISERROR(SEARCH(("No"),(O229))))</formula>
    </cfRule>
  </conditionalFormatting>
  <conditionalFormatting sqref="O229:O230 O234 O238 O241 O243 O245 O247:O248 O251">
    <cfRule type="containsText" dxfId="2" priority="41966" operator="containsText" text="Yes">
      <formula>NOT(ISERROR(SEARCH(("Yes"),(O229))))</formula>
    </cfRule>
  </conditionalFormatting>
  <conditionalFormatting sqref="O229:O230 O234 O238 O241 O243 O245 O247:O248 O251">
    <cfRule type="containsText" dxfId="2" priority="41967" operator="containsText" text="Yes">
      <formula>NOT(ISERROR(SEARCH(("Yes"),(O229))))</formula>
    </cfRule>
  </conditionalFormatting>
  <conditionalFormatting sqref="O229:O230 O234 O238 O241 O243 O245 O247:O248 O251">
    <cfRule type="containsText" dxfId="2" priority="41968" operator="containsText" text="Yes">
      <formula>NOT(ISERROR(SEARCH(("Yes"),(O229))))</formula>
    </cfRule>
  </conditionalFormatting>
  <conditionalFormatting sqref="O229:O230 O234 O238 O241 O243 O245 O247:O248 O251">
    <cfRule type="containsText" dxfId="2" priority="41969" operator="containsText" text="Yes">
      <formula>NOT(ISERROR(SEARCH(("Yes"),(O229))))</formula>
    </cfRule>
  </conditionalFormatting>
  <conditionalFormatting sqref="O229:O230 O234 O238 O241 O243 O245 O247:O248 O251">
    <cfRule type="containsText" dxfId="2" priority="41970" operator="containsText" text="Yes">
      <formula>NOT(ISERROR(SEARCH(("Yes"),(O229))))</formula>
    </cfRule>
  </conditionalFormatting>
  <conditionalFormatting sqref="O229:O230 O234 O238 O241 O243 O245 O247:O248 O251">
    <cfRule type="containsText" dxfId="2" priority="41971" operator="containsText" text="Yes">
      <formula>NOT(ISERROR(SEARCH(("Yes"),(O229))))</formula>
    </cfRule>
  </conditionalFormatting>
  <conditionalFormatting sqref="O229:O230 O234 O238 O241 O243 O245 O247:O248 O251">
    <cfRule type="containsText" dxfId="2" priority="41972" operator="containsText" text="Yes">
      <formula>NOT(ISERROR(SEARCH(("Yes"),(O229))))</formula>
    </cfRule>
  </conditionalFormatting>
  <conditionalFormatting sqref="O229:O230 O234 O238 O241 O243 O245 O247:O248 O251">
    <cfRule type="containsText" dxfId="2" priority="41973" operator="containsText" text="Yes">
      <formula>NOT(ISERROR(SEARCH(("Yes"),(O229))))</formula>
    </cfRule>
  </conditionalFormatting>
  <conditionalFormatting sqref="O229:O230 O234 O238 O241 O243 O245 O247:O248 O251">
    <cfRule type="containsText" dxfId="2" priority="41974" operator="containsText" text="Yes">
      <formula>NOT(ISERROR(SEARCH(("Yes"),(O229))))</formula>
    </cfRule>
  </conditionalFormatting>
  <conditionalFormatting sqref="O229:O230 O234 O238 O241 O243 O245 O247:O248 O251">
    <cfRule type="containsText" dxfId="2" priority="41975" operator="containsText" text="Yes">
      <formula>NOT(ISERROR(SEARCH(("Yes"),(O229))))</formula>
    </cfRule>
  </conditionalFormatting>
  <conditionalFormatting sqref="O229:O230 O234 O238 O241 O243 O245 O247:O248 O251">
    <cfRule type="containsText" dxfId="2" priority="41976" operator="containsText" text="Yes">
      <formula>NOT(ISERROR(SEARCH(("Yes"),(O229))))</formula>
    </cfRule>
  </conditionalFormatting>
  <conditionalFormatting sqref="O229:O230 O234 O238 O241 O243 O245 O247:O248 O251">
    <cfRule type="containsText" dxfId="2" priority="41977" operator="containsText" text="Yes">
      <formula>NOT(ISERROR(SEARCH(("Yes"),(O229))))</formula>
    </cfRule>
  </conditionalFormatting>
  <conditionalFormatting sqref="O229:O230 O234 O238 O241 O243 O245 O247:O248 O251">
    <cfRule type="containsText" dxfId="2" priority="41978" operator="containsText" text="Yes">
      <formula>NOT(ISERROR(SEARCH(("Yes"),(O229))))</formula>
    </cfRule>
  </conditionalFormatting>
  <conditionalFormatting sqref="O229:O230 O234 O238 O241 O243 O245 O247:O248 O251">
    <cfRule type="containsText" dxfId="2" priority="41979" operator="containsText" text="Yes">
      <formula>NOT(ISERROR(SEARCH(("Yes"),(O229))))</formula>
    </cfRule>
  </conditionalFormatting>
  <conditionalFormatting sqref="O229:O230 O234 O238 O241 O243 O245 O247:O248 O251">
    <cfRule type="containsText" dxfId="2" priority="41980" operator="containsText" text="Yes">
      <formula>NOT(ISERROR(SEARCH(("Yes"),(O229))))</formula>
    </cfRule>
  </conditionalFormatting>
  <conditionalFormatting sqref="O229:O230 O234 O238 O241 O243 O245 O247:O248 O251">
    <cfRule type="containsText" dxfId="2" priority="41981" operator="containsText" text="Yes">
      <formula>NOT(ISERROR(SEARCH(("Yes"),(O229))))</formula>
    </cfRule>
  </conditionalFormatting>
  <conditionalFormatting sqref="O229:O230 O234 O238 O241 O243 O245 O247:O248 O251">
    <cfRule type="containsText" dxfId="2" priority="41982" operator="containsText" text="Yes">
      <formula>NOT(ISERROR(SEARCH(("Yes"),(O229))))</formula>
    </cfRule>
  </conditionalFormatting>
  <conditionalFormatting sqref="O229:O230 O234 O238 O241 O243 O245 O247:O248 O251">
    <cfRule type="containsText" dxfId="2" priority="41983" operator="containsText" text="Yes">
      <formula>NOT(ISERROR(SEARCH(("Yes"),(O229))))</formula>
    </cfRule>
  </conditionalFormatting>
  <conditionalFormatting sqref="O229:O230 O234 O238 O241 O243 O245 O247:O248 O251">
    <cfRule type="containsText" dxfId="2" priority="41984" operator="containsText" text="Yes">
      <formula>NOT(ISERROR(SEARCH(("Yes"),(O229))))</formula>
    </cfRule>
  </conditionalFormatting>
  <conditionalFormatting sqref="O229:O230 O234 O238 O241 O243 O245 O247:O248 O251">
    <cfRule type="containsText" dxfId="2" priority="41985" operator="containsText" text="Yes">
      <formula>NOT(ISERROR(SEARCH(("Yes"),(O229))))</formula>
    </cfRule>
  </conditionalFormatting>
  <conditionalFormatting sqref="O229:O230 O234 O238 O241 O243 O245 O247:O248 O251">
    <cfRule type="containsText" dxfId="2" priority="41986" operator="containsText" text="Yes">
      <formula>NOT(ISERROR(SEARCH(("Yes"),(O229))))</formula>
    </cfRule>
  </conditionalFormatting>
  <conditionalFormatting sqref="O229:O230 O234 O238 O241 O243 O245 O247:O248 O251">
    <cfRule type="containsText" dxfId="2" priority="41987" operator="containsText" text="Yes">
      <formula>NOT(ISERROR(SEARCH(("Yes"),(O229))))</formula>
    </cfRule>
  </conditionalFormatting>
  <conditionalFormatting sqref="O229:O230 O234 O238 O241 O243 O245 O247:O248 O251">
    <cfRule type="containsText" dxfId="2" priority="41988" operator="containsText" text="Yes">
      <formula>NOT(ISERROR(SEARCH(("Yes"),(O229))))</formula>
    </cfRule>
  </conditionalFormatting>
  <conditionalFormatting sqref="O229:O230 O234 O238 O241 O243 O245 O247:O248 O251">
    <cfRule type="containsText" dxfId="2" priority="41989" operator="containsText" text="Yes">
      <formula>NOT(ISERROR(SEARCH(("Yes"),(O229))))</formula>
    </cfRule>
  </conditionalFormatting>
  <conditionalFormatting sqref="O229:O230 O234 O238 O241 O243 O245 O247:O248 O251">
    <cfRule type="containsText" dxfId="2" priority="41990" operator="containsText" text="Yes">
      <formula>NOT(ISERROR(SEARCH(("Yes"),(O229))))</formula>
    </cfRule>
  </conditionalFormatting>
  <conditionalFormatting sqref="O229:O230 O234 O238 O241 O243 O245 O247:O248 O251">
    <cfRule type="containsText" dxfId="2" priority="41991" operator="containsText" text="Yes">
      <formula>NOT(ISERROR(SEARCH(("Yes"),(O229))))</formula>
    </cfRule>
  </conditionalFormatting>
  <conditionalFormatting sqref="O229:O230 O234 O238 O241 O243 O245 O247:O248 O251">
    <cfRule type="containsText" dxfId="2" priority="41992" operator="containsText" text="Yes">
      <formula>NOT(ISERROR(SEARCH(("Yes"),(O229))))</formula>
    </cfRule>
  </conditionalFormatting>
  <conditionalFormatting sqref="O229:O230 O234 O238 O241 O243 O245 O247:O248 O251">
    <cfRule type="containsText" dxfId="2" priority="41993" operator="containsText" text="Yes">
      <formula>NOT(ISERROR(SEARCH(("Yes"),(O229))))</formula>
    </cfRule>
  </conditionalFormatting>
  <conditionalFormatting sqref="O229:O230 O234 O238 O241 O243 O245 O247:O248 O251">
    <cfRule type="containsText" dxfId="2" priority="41994" operator="containsText" text="Yes">
      <formula>NOT(ISERROR(SEARCH(("Yes"),(O229))))</formula>
    </cfRule>
  </conditionalFormatting>
  <conditionalFormatting sqref="O229:O230 O234 O238 O241 O243 O245 O247:O248 O251">
    <cfRule type="containsText" dxfId="2" priority="41995" operator="containsText" text="Yes">
      <formula>NOT(ISERROR(SEARCH(("Yes"),(O229))))</formula>
    </cfRule>
  </conditionalFormatting>
  <conditionalFormatting sqref="O229:O230 O234 O238 O241 O243 O245 O247:O248 O251">
    <cfRule type="containsText" dxfId="2" priority="41996" operator="containsText" text="Yes">
      <formula>NOT(ISERROR(SEARCH(("Yes"),(O229))))</formula>
    </cfRule>
  </conditionalFormatting>
  <conditionalFormatting sqref="O229:O230 O234 O238 O241 O243 O245 O247:O248 O251">
    <cfRule type="containsText" dxfId="2" priority="41997" operator="containsText" text="Yes">
      <formula>NOT(ISERROR(SEARCH(("Yes"),(O229))))</formula>
    </cfRule>
  </conditionalFormatting>
  <conditionalFormatting sqref="O229:O230 O234 O238 O241 O243 O245 O247:O248 O251">
    <cfRule type="containsText" dxfId="2" priority="41998" operator="containsText" text="Yes">
      <formula>NOT(ISERROR(SEARCH(("Yes"),(O229))))</formula>
    </cfRule>
  </conditionalFormatting>
  <conditionalFormatting sqref="O229:O230 O234 O238 O241 O243 O245 O247:O248 O251">
    <cfRule type="containsText" dxfId="2" priority="41999" operator="containsText" text="Yes">
      <formula>NOT(ISERROR(SEARCH(("Yes"),(O229))))</formula>
    </cfRule>
  </conditionalFormatting>
  <conditionalFormatting sqref="O229:O230 O234 O238 O241 O243 O245 O247:O248 O251">
    <cfRule type="containsText" dxfId="2" priority="42000" operator="containsText" text="Yes">
      <formula>NOT(ISERROR(SEARCH(("Yes"),(O229))))</formula>
    </cfRule>
  </conditionalFormatting>
  <conditionalFormatting sqref="O229:O230 O234 O238 O241 O243 O245 O247:O248 O251">
    <cfRule type="containsText" dxfId="2" priority="42001" operator="containsText" text="Yes">
      <formula>NOT(ISERROR(SEARCH(("Yes"),(O229))))</formula>
    </cfRule>
  </conditionalFormatting>
  <conditionalFormatting sqref="O229:O230 O234 O238 O241 O243 O245 O247:O248 O251">
    <cfRule type="containsText" dxfId="2" priority="42002" operator="containsText" text="Yes">
      <formula>NOT(ISERROR(SEARCH(("Yes"),(O229))))</formula>
    </cfRule>
  </conditionalFormatting>
  <conditionalFormatting sqref="O229:O230 O234 O238 O241 O243 O245 O247:O248 O251">
    <cfRule type="containsText" dxfId="2" priority="42003" operator="containsText" text="Yes">
      <formula>NOT(ISERROR(SEARCH(("Yes"),(O229))))</formula>
    </cfRule>
  </conditionalFormatting>
  <conditionalFormatting sqref="O229:O230 O234 O238 O241 O243 O245 O247:O248 O251">
    <cfRule type="containsText" dxfId="2" priority="42004" operator="containsText" text="Yes">
      <formula>NOT(ISERROR(SEARCH(("Yes"),(O229))))</formula>
    </cfRule>
  </conditionalFormatting>
  <conditionalFormatting sqref="O229:O230 O234 O238 O241 O243 O245 O247:O248 O251">
    <cfRule type="containsText" dxfId="2" priority="42005" operator="containsText" text="Yes">
      <formula>NOT(ISERROR(SEARCH(("Yes"),(O229))))</formula>
    </cfRule>
  </conditionalFormatting>
  <conditionalFormatting sqref="O229:O230 O234 O238 O241 O243 O245 O247:O248 O251">
    <cfRule type="containsText" dxfId="2" priority="42006" operator="containsText" text="Yes">
      <formula>NOT(ISERROR(SEARCH(("Yes"),(O229))))</formula>
    </cfRule>
  </conditionalFormatting>
  <conditionalFormatting sqref="O229:O230 O234 O238 O241 O243 O245 O247:O248 O251">
    <cfRule type="containsText" dxfId="2" priority="42007" operator="containsText" text="Yes">
      <formula>NOT(ISERROR(SEARCH(("Yes"),(O229))))</formula>
    </cfRule>
  </conditionalFormatting>
  <conditionalFormatting sqref="O229:O230 O234 O238 O241 O243 O245 O247:O248 O251">
    <cfRule type="containsText" dxfId="2" priority="42008" operator="containsText" text="Yes">
      <formula>NOT(ISERROR(SEARCH(("Yes"),(O229))))</formula>
    </cfRule>
  </conditionalFormatting>
  <conditionalFormatting sqref="O229:O230 O234 O238 O241 O243 O245 O247:O248 O251">
    <cfRule type="containsText" dxfId="2" priority="42009" operator="containsText" text="Yes">
      <formula>NOT(ISERROR(SEARCH(("Yes"),(O229))))</formula>
    </cfRule>
  </conditionalFormatting>
  <conditionalFormatting sqref="O229:O230 O234 O238 O241 O243 O245 O247:O248 O251">
    <cfRule type="containsText" dxfId="2" priority="42010" operator="containsText" text="Yes">
      <formula>NOT(ISERROR(SEARCH(("Yes"),(O229))))</formula>
    </cfRule>
  </conditionalFormatting>
  <conditionalFormatting sqref="O229:O230 O234 O238 O241 O243 O245 O247:O248 O251">
    <cfRule type="containsText" dxfId="2" priority="42011" operator="containsText" text="Yes">
      <formula>NOT(ISERROR(SEARCH(("Yes"),(O229))))</formula>
    </cfRule>
  </conditionalFormatting>
  <conditionalFormatting sqref="O229:O230 O234 O238 O241 O243 O245 O247:O248 O251">
    <cfRule type="containsText" dxfId="2" priority="42012" operator="containsText" text="Yes">
      <formula>NOT(ISERROR(SEARCH(("Yes"),(O229))))</formula>
    </cfRule>
  </conditionalFormatting>
  <conditionalFormatting sqref="P234:Q234 P238:Q238 P241:Q241 P243:Q243 P247:Q248">
    <cfRule type="containsText" dxfId="9" priority="42013" operator="containsText" text="No">
      <formula>NOT(ISERROR(SEARCH(("No"),(P234))))</formula>
    </cfRule>
  </conditionalFormatting>
  <conditionalFormatting sqref="P234:Q234 P238:Q238 P241:Q241 P243:Q243 P247:Q248">
    <cfRule type="containsText" dxfId="9" priority="42014" operator="containsText" text="No">
      <formula>NOT(ISERROR(SEARCH(("No"),(P234))))</formula>
    </cfRule>
  </conditionalFormatting>
  <conditionalFormatting sqref="P234:Q234 P238:Q238 P241:Q241 P243:Q243 P247:Q248">
    <cfRule type="containsText" dxfId="9" priority="42015" operator="containsText" text="No">
      <formula>NOT(ISERROR(SEARCH(("No"),(P234))))</formula>
    </cfRule>
  </conditionalFormatting>
  <conditionalFormatting sqref="P234:Q234 P238:Q238 P241:Q241 P243:Q243 P247:Q248">
    <cfRule type="containsText" dxfId="9" priority="42016" operator="containsText" text="No">
      <formula>NOT(ISERROR(SEARCH(("No"),(P234))))</formula>
    </cfRule>
  </conditionalFormatting>
  <conditionalFormatting sqref="P234:Q234 P238:Q238 P241:Q241 P243:Q243 P247:Q248">
    <cfRule type="containsText" dxfId="9" priority="42017" operator="containsText" text="No">
      <formula>NOT(ISERROR(SEARCH(("No"),(P234))))</formula>
    </cfRule>
  </conditionalFormatting>
  <conditionalFormatting sqref="P234:Q234 P238:Q238 P241:Q241 P243:Q243 P247:Q248">
    <cfRule type="containsText" dxfId="9" priority="42018" operator="containsText" text="No">
      <formula>NOT(ISERROR(SEARCH(("No"),(P234))))</formula>
    </cfRule>
  </conditionalFormatting>
  <conditionalFormatting sqref="P234:Q234 P238:Q238 P241:Q241 P243:Q243 P247:Q248">
    <cfRule type="containsText" dxfId="9" priority="42019" operator="containsText" text="No">
      <formula>NOT(ISERROR(SEARCH(("No"),(P234))))</formula>
    </cfRule>
  </conditionalFormatting>
  <conditionalFormatting sqref="P234:Q234 P238:Q238 P241:Q241 P243:Q243 P247:Q248">
    <cfRule type="containsText" dxfId="9" priority="42020" operator="containsText" text="No">
      <formula>NOT(ISERROR(SEARCH(("No"),(P234))))</formula>
    </cfRule>
  </conditionalFormatting>
  <conditionalFormatting sqref="P234:Q234 P238:Q238 P241:Q241 P243:Q243 P247:Q248">
    <cfRule type="containsText" dxfId="9" priority="42021" operator="containsText" text="No">
      <formula>NOT(ISERROR(SEARCH(("No"),(P234))))</formula>
    </cfRule>
  </conditionalFormatting>
  <conditionalFormatting sqref="P234:Q234 P238:Q238 P241:Q241 P243:Q243 P247:Q248">
    <cfRule type="containsText" dxfId="9" priority="42022" operator="containsText" text="No">
      <formula>NOT(ISERROR(SEARCH(("No"),(P234))))</formula>
    </cfRule>
  </conditionalFormatting>
  <conditionalFormatting sqref="P234:Q234 P238:Q238 P241:Q241 P243:Q243 P247:Q248">
    <cfRule type="containsText" dxfId="9" priority="42023" operator="containsText" text="No">
      <formula>NOT(ISERROR(SEARCH(("No"),(P234))))</formula>
    </cfRule>
  </conditionalFormatting>
  <conditionalFormatting sqref="P234:Q234 P238:Q238 P241:Q241 P243:Q243 P247:Q248">
    <cfRule type="containsText" dxfId="9" priority="42024" operator="containsText" text="No">
      <formula>NOT(ISERROR(SEARCH(("No"),(P234))))</formula>
    </cfRule>
  </conditionalFormatting>
  <conditionalFormatting sqref="P234:Q234 P238:Q238 P241:Q241 P243:Q243 P247:Q248">
    <cfRule type="containsText" dxfId="9" priority="42025" operator="containsText" text="No">
      <formula>NOT(ISERROR(SEARCH(("No"),(P234))))</formula>
    </cfRule>
  </conditionalFormatting>
  <conditionalFormatting sqref="P234:Q234 P238:Q238 P241:Q241 P243:Q243 P247:Q248">
    <cfRule type="containsText" dxfId="9" priority="42026" operator="containsText" text="No">
      <formula>NOT(ISERROR(SEARCH(("No"),(P234))))</formula>
    </cfRule>
  </conditionalFormatting>
  <conditionalFormatting sqref="P234:Q234 P238:Q238 P241:Q241 P243:Q243 P247:Q248">
    <cfRule type="containsText" dxfId="9" priority="42027" operator="containsText" text="No">
      <formula>NOT(ISERROR(SEARCH(("No"),(P234))))</formula>
    </cfRule>
  </conditionalFormatting>
  <conditionalFormatting sqref="P234:Q234 P238:Q238 P241:Q241 P243:Q243 P247:Q248">
    <cfRule type="containsText" dxfId="9" priority="42028" operator="containsText" text="No">
      <formula>NOT(ISERROR(SEARCH(("No"),(P234))))</formula>
    </cfRule>
  </conditionalFormatting>
  <conditionalFormatting sqref="P234:Q234 P238:Q238 P241:Q241 P243:Q243 P247:Q248">
    <cfRule type="containsText" dxfId="9" priority="42029" operator="containsText" text="No">
      <formula>NOT(ISERROR(SEARCH(("No"),(P234))))</formula>
    </cfRule>
  </conditionalFormatting>
  <conditionalFormatting sqref="P234:Q234 P238:Q238 P241:Q241 P243:Q243 P247:Q248">
    <cfRule type="containsText" dxfId="9" priority="42030" operator="containsText" text="No">
      <formula>NOT(ISERROR(SEARCH(("No"),(P234))))</formula>
    </cfRule>
  </conditionalFormatting>
  <conditionalFormatting sqref="P234:Q234 P238:Q238 P241:Q241 P243:Q243 P247:Q248">
    <cfRule type="containsText" dxfId="9" priority="42031" operator="containsText" text="No">
      <formula>NOT(ISERROR(SEARCH(("No"),(P234))))</formula>
    </cfRule>
  </conditionalFormatting>
  <conditionalFormatting sqref="P234:Q234 P238:Q238 P241:Q241 P243:Q243 P247:Q248">
    <cfRule type="containsText" dxfId="9" priority="42032" operator="containsText" text="No">
      <formula>NOT(ISERROR(SEARCH(("No"),(P234))))</formula>
    </cfRule>
  </conditionalFormatting>
  <conditionalFormatting sqref="P234:Q234 P238:Q238 P241:Q241 P243:Q243 P247:Q248">
    <cfRule type="containsText" dxfId="9" priority="42033" operator="containsText" text="No">
      <formula>NOT(ISERROR(SEARCH(("No"),(P234))))</formula>
    </cfRule>
  </conditionalFormatting>
  <conditionalFormatting sqref="P234:Q234 P238:Q238 P241:Q241 P243:Q243 P247:Q248">
    <cfRule type="containsText" dxfId="9" priority="42034" operator="containsText" text="No">
      <formula>NOT(ISERROR(SEARCH(("No"),(P234))))</formula>
    </cfRule>
  </conditionalFormatting>
  <conditionalFormatting sqref="P234:Q234 P238:Q238 P241:Q241 P243:Q243 P247:Q248">
    <cfRule type="containsText" dxfId="9" priority="42035" operator="containsText" text="No">
      <formula>NOT(ISERROR(SEARCH(("No"),(P234))))</formula>
    </cfRule>
  </conditionalFormatting>
  <conditionalFormatting sqref="P234:Q234 P238:Q238 P241:Q241 P243:Q243 P247:Q248">
    <cfRule type="containsText" dxfId="9" priority="42036" operator="containsText" text="No">
      <formula>NOT(ISERROR(SEARCH(("No"),(P234))))</formula>
    </cfRule>
  </conditionalFormatting>
  <conditionalFormatting sqref="P234:Q234 P238:Q238 P241:Q241 P243:Q243 P247:Q248">
    <cfRule type="containsText" dxfId="9" priority="42037" operator="containsText" text="No">
      <formula>NOT(ISERROR(SEARCH(("No"),(P234))))</formula>
    </cfRule>
  </conditionalFormatting>
  <conditionalFormatting sqref="P234:Q234 P238:Q238 P241:Q241 P243:Q243 P247:Q248">
    <cfRule type="containsText" dxfId="9" priority="42038" operator="containsText" text="No">
      <formula>NOT(ISERROR(SEARCH(("No"),(P234))))</formula>
    </cfRule>
  </conditionalFormatting>
  <conditionalFormatting sqref="P234:Q234 P238:Q238 P241:Q241 P243:Q243 P247:Q248">
    <cfRule type="containsText" dxfId="9" priority="42039" operator="containsText" text="No">
      <formula>NOT(ISERROR(SEARCH(("No"),(P234))))</formula>
    </cfRule>
  </conditionalFormatting>
  <conditionalFormatting sqref="P234:Q234 P238:Q238 P241:Q241 P243:Q243 P247:Q248">
    <cfRule type="containsText" dxfId="9" priority="42040" operator="containsText" text="No">
      <formula>NOT(ISERROR(SEARCH(("No"),(P234))))</formula>
    </cfRule>
  </conditionalFormatting>
  <conditionalFormatting sqref="P234:Q234 P238:Q238 P241:Q241 P243:Q243 P247:Q248">
    <cfRule type="containsText" dxfId="9" priority="42041" operator="containsText" text="No">
      <formula>NOT(ISERROR(SEARCH(("No"),(P234))))</formula>
    </cfRule>
  </conditionalFormatting>
  <conditionalFormatting sqref="P234:Q234 P238:Q238 P241:Q241 P243:Q243 P247:Q248">
    <cfRule type="containsText" dxfId="9" priority="42042" operator="containsText" text="No">
      <formula>NOT(ISERROR(SEARCH(("No"),(P234))))</formula>
    </cfRule>
  </conditionalFormatting>
  <conditionalFormatting sqref="P234:Q234 P238:Q238 P241:Q241 P243:Q243 P247:Q248">
    <cfRule type="containsText" dxfId="9" priority="42043" operator="containsText" text="No">
      <formula>NOT(ISERROR(SEARCH(("No"),(P234))))</formula>
    </cfRule>
  </conditionalFormatting>
  <conditionalFormatting sqref="P234:Q234 P238:Q238 P241:Q241 P243:Q243 P247:Q248">
    <cfRule type="containsText" dxfId="9" priority="42044" operator="containsText" text="No">
      <formula>NOT(ISERROR(SEARCH(("No"),(P234))))</formula>
    </cfRule>
  </conditionalFormatting>
  <conditionalFormatting sqref="P234:Q234 P238:Q238 P241:Q241 P243:Q243 P247:Q248">
    <cfRule type="containsText" dxfId="9" priority="42045" operator="containsText" text="No">
      <formula>NOT(ISERROR(SEARCH(("No"),(P234))))</formula>
    </cfRule>
  </conditionalFormatting>
  <conditionalFormatting sqref="P234:Q234 P238:Q238 P241:Q241 P243:Q243 P247:Q248">
    <cfRule type="containsText" dxfId="9" priority="42046" operator="containsText" text="No">
      <formula>NOT(ISERROR(SEARCH(("No"),(P234))))</formula>
    </cfRule>
  </conditionalFormatting>
  <conditionalFormatting sqref="P234:Q234 P238:Q238 P241:Q241 P243:Q243 P247:Q248">
    <cfRule type="containsText" dxfId="9" priority="42047" operator="containsText" text="No">
      <formula>NOT(ISERROR(SEARCH(("No"),(P234))))</formula>
    </cfRule>
  </conditionalFormatting>
  <conditionalFormatting sqref="P234:Q234 P238:Q238 P241:Q241 P243:Q243 P247:Q248">
    <cfRule type="containsText" dxfId="9" priority="42048" operator="containsText" text="No">
      <formula>NOT(ISERROR(SEARCH(("No"),(P234))))</formula>
    </cfRule>
  </conditionalFormatting>
  <conditionalFormatting sqref="P234:Q234 P238:Q238 P241:Q241 P243:Q243 P247:Q248">
    <cfRule type="containsText" dxfId="9" priority="42049" operator="containsText" text="No">
      <formula>NOT(ISERROR(SEARCH(("No"),(P234))))</formula>
    </cfRule>
  </conditionalFormatting>
  <conditionalFormatting sqref="P234:Q234 P238:Q238 P241:Q241 P243:Q243 P247:Q248">
    <cfRule type="containsText" dxfId="9" priority="42050" operator="containsText" text="No">
      <formula>NOT(ISERROR(SEARCH(("No"),(P234))))</formula>
    </cfRule>
  </conditionalFormatting>
  <conditionalFormatting sqref="P234:Q234 P238:Q238 P241:Q241 P243:Q243 P247:Q248">
    <cfRule type="containsText" dxfId="9" priority="42051" operator="containsText" text="No">
      <formula>NOT(ISERROR(SEARCH(("No"),(P234))))</formula>
    </cfRule>
  </conditionalFormatting>
  <conditionalFormatting sqref="P234:Q234 P238:Q238 P241:Q241 P243:Q243 P247:Q248">
    <cfRule type="containsText" dxfId="9" priority="42052" operator="containsText" text="No">
      <formula>NOT(ISERROR(SEARCH(("No"),(P234))))</formula>
    </cfRule>
  </conditionalFormatting>
  <conditionalFormatting sqref="P234:Q234 P238:Q238 P241:Q241 P243:Q243 P247:Q248">
    <cfRule type="containsText" dxfId="9" priority="42053" operator="containsText" text="No">
      <formula>NOT(ISERROR(SEARCH(("No"),(P234))))</formula>
    </cfRule>
  </conditionalFormatting>
  <conditionalFormatting sqref="P234:Q234 P238:Q238 P241:Q241 P243:Q243 P247:Q248">
    <cfRule type="containsText" dxfId="9" priority="42054" operator="containsText" text="No">
      <formula>NOT(ISERROR(SEARCH(("No"),(P234))))</formula>
    </cfRule>
  </conditionalFormatting>
  <conditionalFormatting sqref="P234:Q234 P238:Q238 P241:Q241 P243:Q243 P247:Q248">
    <cfRule type="containsText" dxfId="9" priority="42055" operator="containsText" text="No">
      <formula>NOT(ISERROR(SEARCH(("No"),(P234))))</formula>
    </cfRule>
  </conditionalFormatting>
  <conditionalFormatting sqref="P234:Q234 P238:Q238 P241:Q241 P243:Q243 P247:Q248">
    <cfRule type="containsText" dxfId="9" priority="42056" operator="containsText" text="No">
      <formula>NOT(ISERROR(SEARCH(("No"),(P234))))</formula>
    </cfRule>
  </conditionalFormatting>
  <conditionalFormatting sqref="P234:Q234 P238:Q238 P241:Q241 P243:Q243 P247:Q248">
    <cfRule type="containsText" dxfId="9" priority="42057" operator="containsText" text="No">
      <formula>NOT(ISERROR(SEARCH(("No"),(P234))))</formula>
    </cfRule>
  </conditionalFormatting>
  <conditionalFormatting sqref="P234:Q234 P238:Q238 P241:Q241 P243:Q243 P247:Q248">
    <cfRule type="containsText" dxfId="2" priority="42058" operator="containsText" text="Yes">
      <formula>NOT(ISERROR(SEARCH(("Yes"),(P234))))</formula>
    </cfRule>
  </conditionalFormatting>
  <conditionalFormatting sqref="P234:Q234 P238:Q238 P241:Q241 P243:Q243 P247:Q248">
    <cfRule type="containsText" dxfId="2" priority="42059" operator="containsText" text="Yes">
      <formula>NOT(ISERROR(SEARCH(("Yes"),(P234))))</formula>
    </cfRule>
  </conditionalFormatting>
  <conditionalFormatting sqref="P234:Q234 P238:Q238 P241:Q241 P243:Q243 P247:Q248">
    <cfRule type="containsText" dxfId="2" priority="42060" operator="containsText" text="Yes">
      <formula>NOT(ISERROR(SEARCH(("Yes"),(P234))))</formula>
    </cfRule>
  </conditionalFormatting>
  <conditionalFormatting sqref="P234:Q234 P238:Q238 P241:Q241 P243:Q243 P247:Q248">
    <cfRule type="containsText" dxfId="2" priority="42061" operator="containsText" text="Yes">
      <formula>NOT(ISERROR(SEARCH(("Yes"),(P234))))</formula>
    </cfRule>
  </conditionalFormatting>
  <conditionalFormatting sqref="P234:Q234 P238:Q238 P241:Q241 P243:Q243 P247:Q248">
    <cfRule type="containsText" dxfId="2" priority="42062" operator="containsText" text="Yes">
      <formula>NOT(ISERROR(SEARCH(("Yes"),(P234))))</formula>
    </cfRule>
  </conditionalFormatting>
  <conditionalFormatting sqref="P234:Q234 P238:Q238 P241:Q241 P243:Q243 P247:Q248">
    <cfRule type="containsText" dxfId="2" priority="42063" operator="containsText" text="Yes">
      <formula>NOT(ISERROR(SEARCH(("Yes"),(P234))))</formula>
    </cfRule>
  </conditionalFormatting>
  <conditionalFormatting sqref="P234:Q234 P238:Q238 P241:Q241 P243:Q243 P247:Q248">
    <cfRule type="containsText" dxfId="2" priority="42064" operator="containsText" text="Yes">
      <formula>NOT(ISERROR(SEARCH(("Yes"),(P234))))</formula>
    </cfRule>
  </conditionalFormatting>
  <conditionalFormatting sqref="P234:Q234 P238:Q238 P241:Q241 P243:Q243 P247:Q248">
    <cfRule type="containsText" dxfId="2" priority="42065" operator="containsText" text="Yes">
      <formula>NOT(ISERROR(SEARCH(("Yes"),(P234))))</formula>
    </cfRule>
  </conditionalFormatting>
  <conditionalFormatting sqref="P234:Q234 P238:Q238 P241:Q241 P243:Q243 P247:Q248">
    <cfRule type="containsText" dxfId="2" priority="42066" operator="containsText" text="Yes">
      <formula>NOT(ISERROR(SEARCH(("Yes"),(P234))))</formula>
    </cfRule>
  </conditionalFormatting>
  <conditionalFormatting sqref="P234:Q234 P238:Q238 P241:Q241 P243:Q243 P247:Q248">
    <cfRule type="containsText" dxfId="2" priority="42067" operator="containsText" text="Yes">
      <formula>NOT(ISERROR(SEARCH(("Yes"),(P234))))</formula>
    </cfRule>
  </conditionalFormatting>
  <conditionalFormatting sqref="P234:Q234 P238:Q238 P241:Q241 P243:Q243 P247:Q248">
    <cfRule type="containsText" dxfId="2" priority="42068" operator="containsText" text="Yes">
      <formula>NOT(ISERROR(SEARCH(("Yes"),(P234))))</formula>
    </cfRule>
  </conditionalFormatting>
  <conditionalFormatting sqref="P234:Q234 P238:Q238 P241:Q241 P243:Q243 P247:Q248">
    <cfRule type="containsText" dxfId="2" priority="42069" operator="containsText" text="Yes">
      <formula>NOT(ISERROR(SEARCH(("Yes"),(P234))))</formula>
    </cfRule>
  </conditionalFormatting>
  <conditionalFormatting sqref="P234:Q234 P238:Q238 P241:Q241 P243:Q243 P247:Q248">
    <cfRule type="containsText" dxfId="2" priority="42070" operator="containsText" text="Yes">
      <formula>NOT(ISERROR(SEARCH(("Yes"),(P234))))</formula>
    </cfRule>
  </conditionalFormatting>
  <conditionalFormatting sqref="P234:Q234 P238:Q238 P241:Q241 P243:Q243 P247:Q248">
    <cfRule type="containsText" dxfId="2" priority="42071" operator="containsText" text="Yes">
      <formula>NOT(ISERROR(SEARCH(("Yes"),(P234))))</formula>
    </cfRule>
  </conditionalFormatting>
  <conditionalFormatting sqref="P234:Q234 P238:Q238 P241:Q241 P243:Q243 P247:Q248">
    <cfRule type="containsText" dxfId="2" priority="42072" operator="containsText" text="Yes">
      <formula>NOT(ISERROR(SEARCH(("Yes"),(P234))))</formula>
    </cfRule>
  </conditionalFormatting>
  <conditionalFormatting sqref="P234:Q234 P238:Q238 P241:Q241 P243:Q243 P247:Q248">
    <cfRule type="containsText" dxfId="2" priority="42073" operator="containsText" text="Yes">
      <formula>NOT(ISERROR(SEARCH(("Yes"),(P234))))</formula>
    </cfRule>
  </conditionalFormatting>
  <conditionalFormatting sqref="P234:Q234 P238:Q238 P241:Q241 P243:Q243 P247:Q248">
    <cfRule type="containsText" dxfId="2" priority="42074" operator="containsText" text="Yes">
      <formula>NOT(ISERROR(SEARCH(("Yes"),(P234))))</formula>
    </cfRule>
  </conditionalFormatting>
  <conditionalFormatting sqref="P234:Q234 P238:Q238 P241:Q241 P243:Q243 P247:Q248">
    <cfRule type="containsText" dxfId="2" priority="42075" operator="containsText" text="Yes">
      <formula>NOT(ISERROR(SEARCH(("Yes"),(P234))))</formula>
    </cfRule>
  </conditionalFormatting>
  <conditionalFormatting sqref="P234:Q234 P238:Q238 P241:Q241 P243:Q243 P247:Q248">
    <cfRule type="containsText" dxfId="2" priority="42076" operator="containsText" text="Yes">
      <formula>NOT(ISERROR(SEARCH(("Yes"),(P234))))</formula>
    </cfRule>
  </conditionalFormatting>
  <conditionalFormatting sqref="P234:Q234 P238:Q238 P241:Q241 P243:Q243 P247:Q248">
    <cfRule type="containsText" dxfId="2" priority="42077" operator="containsText" text="Yes">
      <formula>NOT(ISERROR(SEARCH(("Yes"),(P234))))</formula>
    </cfRule>
  </conditionalFormatting>
  <conditionalFormatting sqref="P234:Q234 P238:Q238 P241:Q241 P243:Q243 P247:Q248">
    <cfRule type="containsText" dxfId="2" priority="42078" operator="containsText" text="Yes">
      <formula>NOT(ISERROR(SEARCH(("Yes"),(P234))))</formula>
    </cfRule>
  </conditionalFormatting>
  <conditionalFormatting sqref="P234:Q234 P238:Q238 P241:Q241 P243:Q243 P247:Q248">
    <cfRule type="containsText" dxfId="2" priority="42079" operator="containsText" text="Yes">
      <formula>NOT(ISERROR(SEARCH(("Yes"),(P234))))</formula>
    </cfRule>
  </conditionalFormatting>
  <conditionalFormatting sqref="P234:Q234 P238:Q238 P241:Q241 P243:Q243 P247:Q248">
    <cfRule type="containsText" dxfId="2" priority="42080" operator="containsText" text="Yes">
      <formula>NOT(ISERROR(SEARCH(("Yes"),(P234))))</formula>
    </cfRule>
  </conditionalFormatting>
  <conditionalFormatting sqref="P234:Q234 P238:Q238 P241:Q241 P243:Q243 P247:Q248">
    <cfRule type="containsText" dxfId="2" priority="42081" operator="containsText" text="Yes">
      <formula>NOT(ISERROR(SEARCH(("Yes"),(P234))))</formula>
    </cfRule>
  </conditionalFormatting>
  <conditionalFormatting sqref="P234:Q234 P238:Q238 P241:Q241 P243:Q243 P247:Q248">
    <cfRule type="containsText" dxfId="2" priority="42082" operator="containsText" text="Yes">
      <formula>NOT(ISERROR(SEARCH(("Yes"),(P234))))</formula>
    </cfRule>
  </conditionalFormatting>
  <conditionalFormatting sqref="P234:Q234 P238:Q238 P241:Q241 P243:Q243 P247:Q248">
    <cfRule type="containsText" dxfId="2" priority="42083" operator="containsText" text="Yes">
      <formula>NOT(ISERROR(SEARCH(("Yes"),(P234))))</formula>
    </cfRule>
  </conditionalFormatting>
  <conditionalFormatting sqref="P234:Q234 P238:Q238 P241:Q241 P243:Q243 P247:Q248">
    <cfRule type="containsText" dxfId="2" priority="42084" operator="containsText" text="Yes">
      <formula>NOT(ISERROR(SEARCH(("Yes"),(P234))))</formula>
    </cfRule>
  </conditionalFormatting>
  <conditionalFormatting sqref="P234:Q234 P238:Q238 P241:Q241 P243:Q243 P247:Q248">
    <cfRule type="containsText" dxfId="2" priority="42085" operator="containsText" text="Yes">
      <formula>NOT(ISERROR(SEARCH(("Yes"),(P234))))</formula>
    </cfRule>
  </conditionalFormatting>
  <conditionalFormatting sqref="P234:Q234 P238:Q238 P241:Q241 P243:Q243 P247:Q248">
    <cfRule type="containsText" dxfId="2" priority="42086" operator="containsText" text="Yes">
      <formula>NOT(ISERROR(SEARCH(("Yes"),(P234))))</formula>
    </cfRule>
  </conditionalFormatting>
  <conditionalFormatting sqref="P234:Q234 P238:Q238 P241:Q241 P243:Q243 P247:Q248">
    <cfRule type="containsText" dxfId="2" priority="42087" operator="containsText" text="Yes">
      <formula>NOT(ISERROR(SEARCH(("Yes"),(P234))))</formula>
    </cfRule>
  </conditionalFormatting>
  <conditionalFormatting sqref="P234:Q234 P238:Q238 P241:Q241 P243:Q243 P247:Q248">
    <cfRule type="containsText" dxfId="2" priority="42088" operator="containsText" text="Yes">
      <formula>NOT(ISERROR(SEARCH(("Yes"),(P234))))</formula>
    </cfRule>
  </conditionalFormatting>
  <conditionalFormatting sqref="P234:Q234 P238:Q238 P241:Q241 P243:Q243 P247:Q248">
    <cfRule type="containsText" dxfId="2" priority="42089" operator="containsText" text="Yes">
      <formula>NOT(ISERROR(SEARCH(("Yes"),(P234))))</formula>
    </cfRule>
  </conditionalFormatting>
  <conditionalFormatting sqref="P234:Q234 P238:Q238 P241:Q241 P243:Q243 P247:Q248">
    <cfRule type="containsText" dxfId="2" priority="42090" operator="containsText" text="Yes">
      <formula>NOT(ISERROR(SEARCH(("Yes"),(P234))))</formula>
    </cfRule>
  </conditionalFormatting>
  <conditionalFormatting sqref="P234:Q234 P238:Q238 P241:Q241 P243:Q243 P247:Q248">
    <cfRule type="containsText" dxfId="2" priority="42091" operator="containsText" text="Yes">
      <formula>NOT(ISERROR(SEARCH(("Yes"),(P234))))</formula>
    </cfRule>
  </conditionalFormatting>
  <conditionalFormatting sqref="P234:Q234 P238:Q238 P241:Q241 P243:Q243 P247:Q248">
    <cfRule type="containsText" dxfId="2" priority="42092" operator="containsText" text="Yes">
      <formula>NOT(ISERROR(SEARCH(("Yes"),(P234))))</formula>
    </cfRule>
  </conditionalFormatting>
  <conditionalFormatting sqref="P234:Q234 P238:Q238 P241:Q241 P243:Q243 P247:Q248">
    <cfRule type="containsText" dxfId="2" priority="42093" operator="containsText" text="Yes">
      <formula>NOT(ISERROR(SEARCH(("Yes"),(P234))))</formula>
    </cfRule>
  </conditionalFormatting>
  <conditionalFormatting sqref="P234:Q234 P238:Q238 P241:Q241 P243:Q243 P247:Q248">
    <cfRule type="containsText" dxfId="2" priority="42094" operator="containsText" text="Yes">
      <formula>NOT(ISERROR(SEARCH(("Yes"),(P234))))</formula>
    </cfRule>
  </conditionalFormatting>
  <conditionalFormatting sqref="P234:Q234 P238:Q238 P241:Q241 P243:Q243 P247:Q248">
    <cfRule type="containsText" dxfId="2" priority="42095" operator="containsText" text="Yes">
      <formula>NOT(ISERROR(SEARCH(("Yes"),(P234))))</formula>
    </cfRule>
  </conditionalFormatting>
  <conditionalFormatting sqref="P234:Q234 P238:Q238 P241:Q241 P243:Q243 P247:Q248">
    <cfRule type="containsText" dxfId="2" priority="42096" operator="containsText" text="Yes">
      <formula>NOT(ISERROR(SEARCH(("Yes"),(P234))))</formula>
    </cfRule>
  </conditionalFormatting>
  <conditionalFormatting sqref="P234:Q234 P238:Q238 P241:Q241 P243:Q243 P247:Q248">
    <cfRule type="containsText" dxfId="2" priority="42097" operator="containsText" text="Yes">
      <formula>NOT(ISERROR(SEARCH(("Yes"),(P234))))</formula>
    </cfRule>
  </conditionalFormatting>
  <conditionalFormatting sqref="P234:Q234 P238:Q238 P241:Q241 P243:Q243 P247:Q248">
    <cfRule type="containsText" dxfId="2" priority="42098" operator="containsText" text="Yes">
      <formula>NOT(ISERROR(SEARCH(("Yes"),(P234))))</formula>
    </cfRule>
  </conditionalFormatting>
  <conditionalFormatting sqref="P234:Q234 P238:Q238 P241:Q241 P243:Q243 P247:Q248">
    <cfRule type="containsText" dxfId="2" priority="42099" operator="containsText" text="Yes">
      <formula>NOT(ISERROR(SEARCH(("Yes"),(P234))))</formula>
    </cfRule>
  </conditionalFormatting>
  <conditionalFormatting sqref="P234:Q234 P238:Q238 P241:Q241 P243:Q243 P247:Q248">
    <cfRule type="containsText" dxfId="2" priority="42100" operator="containsText" text="Yes">
      <formula>NOT(ISERROR(SEARCH(("Yes"),(P234))))</formula>
    </cfRule>
  </conditionalFormatting>
  <conditionalFormatting sqref="P234:Q234 P238:Q238 P241:Q241 P243:Q243 P247:Q248">
    <cfRule type="containsText" dxfId="2" priority="42101" operator="containsText" text="Yes">
      <formula>NOT(ISERROR(SEARCH(("Yes"),(P234))))</formula>
    </cfRule>
  </conditionalFormatting>
  <conditionalFormatting sqref="P234:Q234 P238:Q238 P241:Q241 P243:Q243 P247:Q248">
    <cfRule type="containsText" dxfId="2" priority="42102" operator="containsText" text="Yes">
      <formula>NOT(ISERROR(SEARCH(("Yes"),(P234))))</formula>
    </cfRule>
  </conditionalFormatting>
  <conditionalFormatting sqref="P234:Q234 P238:Q238 P241:Q241 P243:Q243 P247:Q248">
    <cfRule type="containsText" dxfId="2" priority="42103" operator="containsText" text="Yes">
      <formula>NOT(ISERROR(SEARCH(("Yes"),(P234))))</formula>
    </cfRule>
  </conditionalFormatting>
  <conditionalFormatting sqref="P234:Q234 P238:Q238 P241:Q241 P243:Q243 P247:Q248">
    <cfRule type="containsText" dxfId="2" priority="42104" operator="containsText" text="Yes">
      <formula>NOT(ISERROR(SEARCH(("Yes"),(P234))))</formula>
    </cfRule>
  </conditionalFormatting>
  <conditionalFormatting sqref="N234:O234 N238:O238 N241:O241 N243:O243 N247:O248">
    <cfRule type="containsText" dxfId="9" priority="42105" operator="containsText" text="No">
      <formula>NOT(ISERROR(SEARCH(("No"),(N234))))</formula>
    </cfRule>
  </conditionalFormatting>
  <conditionalFormatting sqref="N234:O234 N238:O238 N241:O241 N243:O243 N247:O248">
    <cfRule type="containsText" dxfId="9" priority="42106" operator="containsText" text="No">
      <formula>NOT(ISERROR(SEARCH(("No"),(N234))))</formula>
    </cfRule>
  </conditionalFormatting>
  <conditionalFormatting sqref="N234:O234 N238:O238 N241:O241 N243:O243 N247:O248">
    <cfRule type="containsText" dxfId="9" priority="42107" operator="containsText" text="No">
      <formula>NOT(ISERROR(SEARCH(("No"),(N234))))</formula>
    </cfRule>
  </conditionalFormatting>
  <conditionalFormatting sqref="N234:O234 N238:O238 N241:O241 N243:O243 N247:O248">
    <cfRule type="containsText" dxfId="9" priority="42108" operator="containsText" text="No">
      <formula>NOT(ISERROR(SEARCH(("No"),(N234))))</formula>
    </cfRule>
  </conditionalFormatting>
  <conditionalFormatting sqref="N234:O234 N238:O238 N241:O241 N243:O243 N247:O248">
    <cfRule type="containsText" dxfId="9" priority="42109" operator="containsText" text="No">
      <formula>NOT(ISERROR(SEARCH(("No"),(N234))))</formula>
    </cfRule>
  </conditionalFormatting>
  <conditionalFormatting sqref="N234:O234 N238:O238 N241:O241 N243:O243 N247:O248">
    <cfRule type="containsText" dxfId="9" priority="42110" operator="containsText" text="No">
      <formula>NOT(ISERROR(SEARCH(("No"),(N234))))</formula>
    </cfRule>
  </conditionalFormatting>
  <conditionalFormatting sqref="N234:O234 N238:O238 N241:O241 N243:O243 N247:O248">
    <cfRule type="containsText" dxfId="9" priority="42111" operator="containsText" text="No">
      <formula>NOT(ISERROR(SEARCH(("No"),(N234))))</formula>
    </cfRule>
  </conditionalFormatting>
  <conditionalFormatting sqref="N234:O234 N238:O238 N241:O241 N243:O243 N247:O248">
    <cfRule type="containsText" dxfId="9" priority="42112" operator="containsText" text="No">
      <formula>NOT(ISERROR(SEARCH(("No"),(N234))))</formula>
    </cfRule>
  </conditionalFormatting>
  <conditionalFormatting sqref="N234:O234 N238:O238 N241:O241 N243:O243 N247:O248">
    <cfRule type="containsText" dxfId="9" priority="42113" operator="containsText" text="No">
      <formula>NOT(ISERROR(SEARCH(("No"),(N234))))</formula>
    </cfRule>
  </conditionalFormatting>
  <conditionalFormatting sqref="N234:O234 N238:O238 N241:O241 N243:O243 N247:O248">
    <cfRule type="containsText" dxfId="9" priority="42114" operator="containsText" text="No">
      <formula>NOT(ISERROR(SEARCH(("No"),(N234))))</formula>
    </cfRule>
  </conditionalFormatting>
  <conditionalFormatting sqref="N234:O234 N238:O238 N241:O241 N243:O243 N247:O248">
    <cfRule type="containsText" dxfId="9" priority="42115" operator="containsText" text="No">
      <formula>NOT(ISERROR(SEARCH(("No"),(N234))))</formula>
    </cfRule>
  </conditionalFormatting>
  <conditionalFormatting sqref="N234:O234 N238:O238 N241:O241 N243:O243 N247:O248">
    <cfRule type="containsText" dxfId="9" priority="42116" operator="containsText" text="No">
      <formula>NOT(ISERROR(SEARCH(("No"),(N234))))</formula>
    </cfRule>
  </conditionalFormatting>
  <conditionalFormatting sqref="N234:O234 N238:O238 N241:O241 N243:O243 N247:O248">
    <cfRule type="containsText" dxfId="9" priority="42117" operator="containsText" text="No">
      <formula>NOT(ISERROR(SEARCH(("No"),(N234))))</formula>
    </cfRule>
  </conditionalFormatting>
  <conditionalFormatting sqref="N234:O234 N238:O238 N241:O241 N243:O243 N247:O248">
    <cfRule type="containsText" dxfId="9" priority="42118" operator="containsText" text="No">
      <formula>NOT(ISERROR(SEARCH(("No"),(N234))))</formula>
    </cfRule>
  </conditionalFormatting>
  <conditionalFormatting sqref="N234:O234 N238:O238 N241:O241 N243:O243 N247:O248">
    <cfRule type="containsText" dxfId="9" priority="42119" operator="containsText" text="No">
      <formula>NOT(ISERROR(SEARCH(("No"),(N234))))</formula>
    </cfRule>
  </conditionalFormatting>
  <conditionalFormatting sqref="N234:O234 N238:O238 N241:O241 N243:O243 N247:O248">
    <cfRule type="containsText" dxfId="9" priority="42120" operator="containsText" text="No">
      <formula>NOT(ISERROR(SEARCH(("No"),(N234))))</formula>
    </cfRule>
  </conditionalFormatting>
  <conditionalFormatting sqref="N234:O234 N238:O238 N241:O241 N243:O243 N247:O248">
    <cfRule type="containsText" dxfId="9" priority="42121" operator="containsText" text="No">
      <formula>NOT(ISERROR(SEARCH(("No"),(N234))))</formula>
    </cfRule>
  </conditionalFormatting>
  <conditionalFormatting sqref="N234:O234 N238:O238 N241:O241 N243:O243 N247:O248">
    <cfRule type="containsText" dxfId="9" priority="42122" operator="containsText" text="No">
      <formula>NOT(ISERROR(SEARCH(("No"),(N234))))</formula>
    </cfRule>
  </conditionalFormatting>
  <conditionalFormatting sqref="N234:O234 N238:O238 N241:O241 N243:O243 N247:O248">
    <cfRule type="containsText" dxfId="9" priority="42123" operator="containsText" text="No">
      <formula>NOT(ISERROR(SEARCH(("No"),(N234))))</formula>
    </cfRule>
  </conditionalFormatting>
  <conditionalFormatting sqref="N234:O234 N238:O238 N241:O241 N243:O243 N247:O248">
    <cfRule type="containsText" dxfId="9" priority="42124" operator="containsText" text="No">
      <formula>NOT(ISERROR(SEARCH(("No"),(N234))))</formula>
    </cfRule>
  </conditionalFormatting>
  <conditionalFormatting sqref="N234:O234 N238:O238 N241:O241 N243:O243 N247:O248">
    <cfRule type="containsText" dxfId="9" priority="42125" operator="containsText" text="No">
      <formula>NOT(ISERROR(SEARCH(("No"),(N234))))</formula>
    </cfRule>
  </conditionalFormatting>
  <conditionalFormatting sqref="N234:O234 N238:O238 N241:O241 N243:O243 N247:O248">
    <cfRule type="containsText" dxfId="9" priority="42126" operator="containsText" text="No">
      <formula>NOT(ISERROR(SEARCH(("No"),(N234))))</formula>
    </cfRule>
  </conditionalFormatting>
  <conditionalFormatting sqref="N234:O234 N238:O238 N241:O241 N243:O243 N247:O248">
    <cfRule type="containsText" dxfId="9" priority="42127" operator="containsText" text="No">
      <formula>NOT(ISERROR(SEARCH(("No"),(N234))))</formula>
    </cfRule>
  </conditionalFormatting>
  <conditionalFormatting sqref="N234:O234 N238:O238 N241:O241 N243:O243 N247:O248">
    <cfRule type="containsText" dxfId="9" priority="42128" operator="containsText" text="No">
      <formula>NOT(ISERROR(SEARCH(("No"),(N234))))</formula>
    </cfRule>
  </conditionalFormatting>
  <conditionalFormatting sqref="N234:O234 N238:O238 N241:O241 N243:O243 N247:O248">
    <cfRule type="containsText" dxfId="9" priority="42129" operator="containsText" text="No">
      <formula>NOT(ISERROR(SEARCH(("No"),(N234))))</formula>
    </cfRule>
  </conditionalFormatting>
  <conditionalFormatting sqref="N234:O234 N238:O238 N241:O241 N243:O243 N247:O248">
    <cfRule type="containsText" dxfId="9" priority="42130" operator="containsText" text="No">
      <formula>NOT(ISERROR(SEARCH(("No"),(N234))))</formula>
    </cfRule>
  </conditionalFormatting>
  <conditionalFormatting sqref="N234:O234 N238:O238 N241:O241 N243:O243 N247:O248">
    <cfRule type="containsText" dxfId="9" priority="42131" operator="containsText" text="No">
      <formula>NOT(ISERROR(SEARCH(("No"),(N234))))</formula>
    </cfRule>
  </conditionalFormatting>
  <conditionalFormatting sqref="N234:O234 N238:O238 N241:O241 N243:O243 N247:O248">
    <cfRule type="containsText" dxfId="9" priority="42132" operator="containsText" text="No">
      <formula>NOT(ISERROR(SEARCH(("No"),(N234))))</formula>
    </cfRule>
  </conditionalFormatting>
  <conditionalFormatting sqref="N234:O234 N238:O238 N241:O241 N243:O243 N247:O248">
    <cfRule type="containsText" dxfId="9" priority="42133" operator="containsText" text="No">
      <formula>NOT(ISERROR(SEARCH(("No"),(N234))))</formula>
    </cfRule>
  </conditionalFormatting>
  <conditionalFormatting sqref="N234:O234 N238:O238 N241:O241 N243:O243 N247:O248">
    <cfRule type="containsText" dxfId="9" priority="42134" operator="containsText" text="No">
      <formula>NOT(ISERROR(SEARCH(("No"),(N234))))</formula>
    </cfRule>
  </conditionalFormatting>
  <conditionalFormatting sqref="N234:O234 N238:O238 N241:O241 N243:O243 N247:O248">
    <cfRule type="containsText" dxfId="9" priority="42135" operator="containsText" text="No">
      <formula>NOT(ISERROR(SEARCH(("No"),(N234))))</formula>
    </cfRule>
  </conditionalFormatting>
  <conditionalFormatting sqref="N234:O234 N238:O238 N241:O241 N243:O243 N247:O248">
    <cfRule type="containsText" dxfId="9" priority="42136" operator="containsText" text="No">
      <formula>NOT(ISERROR(SEARCH(("No"),(N234))))</formula>
    </cfRule>
  </conditionalFormatting>
  <conditionalFormatting sqref="N234:O234 N238:O238 N241:O241 N243:O243 N247:O248">
    <cfRule type="containsText" dxfId="9" priority="42137" operator="containsText" text="No">
      <formula>NOT(ISERROR(SEARCH(("No"),(N234))))</formula>
    </cfRule>
  </conditionalFormatting>
  <conditionalFormatting sqref="N234:O234 N238:O238 N241:O241 N243:O243 N247:O248">
    <cfRule type="containsText" dxfId="9" priority="42138" operator="containsText" text="No">
      <formula>NOT(ISERROR(SEARCH(("No"),(N234))))</formula>
    </cfRule>
  </conditionalFormatting>
  <conditionalFormatting sqref="N234:O234 N238:O238 N241:O241 N243:O243 N247:O248">
    <cfRule type="containsText" dxfId="9" priority="42139" operator="containsText" text="No">
      <formula>NOT(ISERROR(SEARCH(("No"),(N234))))</formula>
    </cfRule>
  </conditionalFormatting>
  <conditionalFormatting sqref="N234:O234 N238:O238 N241:O241 N243:O243 N247:O248">
    <cfRule type="containsText" dxfId="9" priority="42140" operator="containsText" text="No">
      <formula>NOT(ISERROR(SEARCH(("No"),(N234))))</formula>
    </cfRule>
  </conditionalFormatting>
  <conditionalFormatting sqref="N234:O234 N238:O238 N241:O241 N243:O243 N247:O248">
    <cfRule type="containsText" dxfId="9" priority="42141" operator="containsText" text="No">
      <formula>NOT(ISERROR(SEARCH(("No"),(N234))))</formula>
    </cfRule>
  </conditionalFormatting>
  <conditionalFormatting sqref="N234:O234 N238:O238 N241:O241 N243:O243 N247:O248">
    <cfRule type="containsText" dxfId="9" priority="42142" operator="containsText" text="No">
      <formula>NOT(ISERROR(SEARCH(("No"),(N234))))</formula>
    </cfRule>
  </conditionalFormatting>
  <conditionalFormatting sqref="N234:O234 N238:O238 N241:O241 N243:O243 N247:O248">
    <cfRule type="containsText" dxfId="9" priority="42143" operator="containsText" text="No">
      <formula>NOT(ISERROR(SEARCH(("No"),(N234))))</formula>
    </cfRule>
  </conditionalFormatting>
  <conditionalFormatting sqref="N234:O234 N238:O238 N241:O241 N243:O243 N247:O248">
    <cfRule type="containsText" dxfId="9" priority="42144" operator="containsText" text="No">
      <formula>NOT(ISERROR(SEARCH(("No"),(N234))))</formula>
    </cfRule>
  </conditionalFormatting>
  <conditionalFormatting sqref="N234:O234 N238:O238 N241:O241 N243:O243 N247:O248">
    <cfRule type="containsText" dxfId="9" priority="42145" operator="containsText" text="No">
      <formula>NOT(ISERROR(SEARCH(("No"),(N234))))</formula>
    </cfRule>
  </conditionalFormatting>
  <conditionalFormatting sqref="N234:O234 N238:O238 N241:O241 N243:O243 N247:O248">
    <cfRule type="containsText" dxfId="9" priority="42146" operator="containsText" text="No">
      <formula>NOT(ISERROR(SEARCH(("No"),(N234))))</formula>
    </cfRule>
  </conditionalFormatting>
  <conditionalFormatting sqref="N234:O234 N238:O238 N241:O241 N243:O243 N247:O248">
    <cfRule type="containsText" dxfId="9" priority="42147" operator="containsText" text="No">
      <formula>NOT(ISERROR(SEARCH(("No"),(N234))))</formula>
    </cfRule>
  </conditionalFormatting>
  <conditionalFormatting sqref="N234:O234 N238:O238 N241:O241 N243:O243 N247:O248">
    <cfRule type="containsText" dxfId="9" priority="42148" operator="containsText" text="No">
      <formula>NOT(ISERROR(SEARCH(("No"),(N234))))</formula>
    </cfRule>
  </conditionalFormatting>
  <conditionalFormatting sqref="N234:O234 N238:O238 N241:O241 N243:O243 N247:O248">
    <cfRule type="containsText" dxfId="9" priority="42149" operator="containsText" text="No">
      <formula>NOT(ISERROR(SEARCH(("No"),(N234))))</formula>
    </cfRule>
  </conditionalFormatting>
  <conditionalFormatting sqref="N234:O234 N238:O238 N241:O241 N243:O243 N247:O248">
    <cfRule type="containsText" dxfId="2" priority="42150" operator="containsText" text="Yes">
      <formula>NOT(ISERROR(SEARCH(("Yes"),(N234))))</formula>
    </cfRule>
  </conditionalFormatting>
  <conditionalFormatting sqref="N234:O234 N238:O238 N241:O241 N243:O243 N247:O248">
    <cfRule type="containsText" dxfId="2" priority="42151" operator="containsText" text="Yes">
      <formula>NOT(ISERROR(SEARCH(("Yes"),(N234))))</formula>
    </cfRule>
  </conditionalFormatting>
  <conditionalFormatting sqref="N234:O234 N238:O238 N241:O241 N243:O243 N247:O248">
    <cfRule type="containsText" dxfId="2" priority="42152" operator="containsText" text="Yes">
      <formula>NOT(ISERROR(SEARCH(("Yes"),(N234))))</formula>
    </cfRule>
  </conditionalFormatting>
  <conditionalFormatting sqref="N234:O234 N238:O238 N241:O241 N243:O243 N247:O248">
    <cfRule type="containsText" dxfId="2" priority="42153" operator="containsText" text="Yes">
      <formula>NOT(ISERROR(SEARCH(("Yes"),(N234))))</formula>
    </cfRule>
  </conditionalFormatting>
  <conditionalFormatting sqref="N234:O234 N238:O238 N241:O241 N243:O243 N247:O248">
    <cfRule type="containsText" dxfId="2" priority="42154" operator="containsText" text="Yes">
      <formula>NOT(ISERROR(SEARCH(("Yes"),(N234))))</formula>
    </cfRule>
  </conditionalFormatting>
  <conditionalFormatting sqref="N234:O234 N238:O238 N241:O241 N243:O243 N247:O248">
    <cfRule type="containsText" dxfId="2" priority="42155" operator="containsText" text="Yes">
      <formula>NOT(ISERROR(SEARCH(("Yes"),(N234))))</formula>
    </cfRule>
  </conditionalFormatting>
  <conditionalFormatting sqref="N234:O234 N238:O238 N241:O241 N243:O243 N247:O248">
    <cfRule type="containsText" dxfId="2" priority="42156" operator="containsText" text="Yes">
      <formula>NOT(ISERROR(SEARCH(("Yes"),(N234))))</formula>
    </cfRule>
  </conditionalFormatting>
  <conditionalFormatting sqref="N234:O234 N238:O238 N241:O241 N243:O243 N247:O248">
    <cfRule type="containsText" dxfId="2" priority="42157" operator="containsText" text="Yes">
      <formula>NOT(ISERROR(SEARCH(("Yes"),(N234))))</formula>
    </cfRule>
  </conditionalFormatting>
  <conditionalFormatting sqref="N234:O234 N238:O238 N241:O241 N243:O243 N247:O248">
    <cfRule type="containsText" dxfId="2" priority="42158" operator="containsText" text="Yes">
      <formula>NOT(ISERROR(SEARCH(("Yes"),(N234))))</formula>
    </cfRule>
  </conditionalFormatting>
  <conditionalFormatting sqref="N234:O234 N238:O238 N241:O241 N243:O243 N247:O248">
    <cfRule type="containsText" dxfId="2" priority="42159" operator="containsText" text="Yes">
      <formula>NOT(ISERROR(SEARCH(("Yes"),(N234))))</formula>
    </cfRule>
  </conditionalFormatting>
  <conditionalFormatting sqref="N234:O234 N238:O238 N241:O241 N243:O243 N247:O248">
    <cfRule type="containsText" dxfId="2" priority="42160" operator="containsText" text="Yes">
      <formula>NOT(ISERROR(SEARCH(("Yes"),(N234))))</formula>
    </cfRule>
  </conditionalFormatting>
  <conditionalFormatting sqref="N234:O234 N238:O238 N241:O241 N243:O243 N247:O248">
    <cfRule type="containsText" dxfId="2" priority="42161" operator="containsText" text="Yes">
      <formula>NOT(ISERROR(SEARCH(("Yes"),(N234))))</formula>
    </cfRule>
  </conditionalFormatting>
  <conditionalFormatting sqref="N234:O234 N238:O238 N241:O241 N243:O243 N247:O248">
    <cfRule type="containsText" dxfId="2" priority="42162" operator="containsText" text="Yes">
      <formula>NOT(ISERROR(SEARCH(("Yes"),(N234))))</formula>
    </cfRule>
  </conditionalFormatting>
  <conditionalFormatting sqref="N234:O234 N238:O238 N241:O241 N243:O243 N247:O248">
    <cfRule type="containsText" dxfId="2" priority="42163" operator="containsText" text="Yes">
      <formula>NOT(ISERROR(SEARCH(("Yes"),(N234))))</formula>
    </cfRule>
  </conditionalFormatting>
  <conditionalFormatting sqref="N234:O234 N238:O238 N241:O241 N243:O243 N247:O248">
    <cfRule type="containsText" dxfId="2" priority="42164" operator="containsText" text="Yes">
      <formula>NOT(ISERROR(SEARCH(("Yes"),(N234))))</formula>
    </cfRule>
  </conditionalFormatting>
  <conditionalFormatting sqref="N234:O234 N238:O238 N241:O241 N243:O243 N247:O248">
    <cfRule type="containsText" dxfId="2" priority="42165" operator="containsText" text="Yes">
      <formula>NOT(ISERROR(SEARCH(("Yes"),(N234))))</formula>
    </cfRule>
  </conditionalFormatting>
  <conditionalFormatting sqref="N234:O234 N238:O238 N241:O241 N243:O243 N247:O248">
    <cfRule type="containsText" dxfId="2" priority="42166" operator="containsText" text="Yes">
      <formula>NOT(ISERROR(SEARCH(("Yes"),(N234))))</formula>
    </cfRule>
  </conditionalFormatting>
  <conditionalFormatting sqref="N234:O234 N238:O238 N241:O241 N243:O243 N247:O248">
    <cfRule type="containsText" dxfId="2" priority="42167" operator="containsText" text="Yes">
      <formula>NOT(ISERROR(SEARCH(("Yes"),(N234))))</formula>
    </cfRule>
  </conditionalFormatting>
  <conditionalFormatting sqref="N234:O234 N238:O238 N241:O241 N243:O243 N247:O248">
    <cfRule type="containsText" dxfId="2" priority="42168" operator="containsText" text="Yes">
      <formula>NOT(ISERROR(SEARCH(("Yes"),(N234))))</formula>
    </cfRule>
  </conditionalFormatting>
  <conditionalFormatting sqref="N234:O234 N238:O238 N241:O241 N243:O243 N247:O248">
    <cfRule type="containsText" dxfId="2" priority="42169" operator="containsText" text="Yes">
      <formula>NOT(ISERROR(SEARCH(("Yes"),(N234))))</formula>
    </cfRule>
  </conditionalFormatting>
  <conditionalFormatting sqref="N234:O234 N238:O238 N241:O241 N243:O243 N247:O248">
    <cfRule type="containsText" dxfId="2" priority="42170" operator="containsText" text="Yes">
      <formula>NOT(ISERROR(SEARCH(("Yes"),(N234))))</formula>
    </cfRule>
  </conditionalFormatting>
  <conditionalFormatting sqref="N234:O234 N238:O238 N241:O241 N243:O243 N247:O248">
    <cfRule type="containsText" dxfId="2" priority="42171" operator="containsText" text="Yes">
      <formula>NOT(ISERROR(SEARCH(("Yes"),(N234))))</formula>
    </cfRule>
  </conditionalFormatting>
  <conditionalFormatting sqref="N234:O234 N238:O238 N241:O241 N243:O243 N247:O248">
    <cfRule type="containsText" dxfId="2" priority="42172" operator="containsText" text="Yes">
      <formula>NOT(ISERROR(SEARCH(("Yes"),(N234))))</formula>
    </cfRule>
  </conditionalFormatting>
  <conditionalFormatting sqref="N234:O234 N238:O238 N241:O241 N243:O243 N247:O248">
    <cfRule type="containsText" dxfId="2" priority="42173" operator="containsText" text="Yes">
      <formula>NOT(ISERROR(SEARCH(("Yes"),(N234))))</formula>
    </cfRule>
  </conditionalFormatting>
  <conditionalFormatting sqref="N234:O234 N238:O238 N241:O241 N243:O243 N247:O248">
    <cfRule type="containsText" dxfId="2" priority="42174" operator="containsText" text="Yes">
      <formula>NOT(ISERROR(SEARCH(("Yes"),(N234))))</formula>
    </cfRule>
  </conditionalFormatting>
  <conditionalFormatting sqref="N234:O234 N238:O238 N241:O241 N243:O243 N247:O248">
    <cfRule type="containsText" dxfId="2" priority="42175" operator="containsText" text="Yes">
      <formula>NOT(ISERROR(SEARCH(("Yes"),(N234))))</formula>
    </cfRule>
  </conditionalFormatting>
  <conditionalFormatting sqref="N234:O234 N238:O238 N241:O241 N243:O243 N247:O248">
    <cfRule type="containsText" dxfId="2" priority="42176" operator="containsText" text="Yes">
      <formula>NOT(ISERROR(SEARCH(("Yes"),(N234))))</formula>
    </cfRule>
  </conditionalFormatting>
  <conditionalFormatting sqref="N234:O234 N238:O238 N241:O241 N243:O243 N247:O248">
    <cfRule type="containsText" dxfId="2" priority="42177" operator="containsText" text="Yes">
      <formula>NOT(ISERROR(SEARCH(("Yes"),(N234))))</formula>
    </cfRule>
  </conditionalFormatting>
  <conditionalFormatting sqref="N234:O234 N238:O238 N241:O241 N243:O243 N247:O248">
    <cfRule type="containsText" dxfId="2" priority="42178" operator="containsText" text="Yes">
      <formula>NOT(ISERROR(SEARCH(("Yes"),(N234))))</formula>
    </cfRule>
  </conditionalFormatting>
  <conditionalFormatting sqref="N234:O234 N238:O238 N241:O241 N243:O243 N247:O248">
    <cfRule type="containsText" dxfId="2" priority="42179" operator="containsText" text="Yes">
      <formula>NOT(ISERROR(SEARCH(("Yes"),(N234))))</formula>
    </cfRule>
  </conditionalFormatting>
  <conditionalFormatting sqref="N234:O234 N238:O238 N241:O241 N243:O243 N247:O248">
    <cfRule type="containsText" dxfId="2" priority="42180" operator="containsText" text="Yes">
      <formula>NOT(ISERROR(SEARCH(("Yes"),(N234))))</formula>
    </cfRule>
  </conditionalFormatting>
  <conditionalFormatting sqref="N234:O234 N238:O238 N241:O241 N243:O243 N247:O248">
    <cfRule type="containsText" dxfId="2" priority="42181" operator="containsText" text="Yes">
      <formula>NOT(ISERROR(SEARCH(("Yes"),(N234))))</formula>
    </cfRule>
  </conditionalFormatting>
  <conditionalFormatting sqref="N234:O234 N238:O238 N241:O241 N243:O243 N247:O248">
    <cfRule type="containsText" dxfId="2" priority="42182" operator="containsText" text="Yes">
      <formula>NOT(ISERROR(SEARCH(("Yes"),(N234))))</formula>
    </cfRule>
  </conditionalFormatting>
  <conditionalFormatting sqref="N234:O234 N238:O238 N241:O241 N243:O243 N247:O248">
    <cfRule type="containsText" dxfId="2" priority="42183" operator="containsText" text="Yes">
      <formula>NOT(ISERROR(SEARCH(("Yes"),(N234))))</formula>
    </cfRule>
  </conditionalFormatting>
  <conditionalFormatting sqref="N234:O234 N238:O238 N241:O241 N243:O243 N247:O248">
    <cfRule type="containsText" dxfId="2" priority="42184" operator="containsText" text="Yes">
      <formula>NOT(ISERROR(SEARCH(("Yes"),(N234))))</formula>
    </cfRule>
  </conditionalFormatting>
  <conditionalFormatting sqref="N234:O234 N238:O238 N241:O241 N243:O243 N247:O248">
    <cfRule type="containsText" dxfId="2" priority="42185" operator="containsText" text="Yes">
      <formula>NOT(ISERROR(SEARCH(("Yes"),(N234))))</formula>
    </cfRule>
  </conditionalFormatting>
  <conditionalFormatting sqref="N234:O234 N238:O238 N241:O241 N243:O243 N247:O248">
    <cfRule type="containsText" dxfId="2" priority="42186" operator="containsText" text="Yes">
      <formula>NOT(ISERROR(SEARCH(("Yes"),(N234))))</formula>
    </cfRule>
  </conditionalFormatting>
  <conditionalFormatting sqref="N234:O234 N238:O238 N241:O241 N243:O243 N247:O248">
    <cfRule type="containsText" dxfId="2" priority="42187" operator="containsText" text="Yes">
      <formula>NOT(ISERROR(SEARCH(("Yes"),(N234))))</formula>
    </cfRule>
  </conditionalFormatting>
  <conditionalFormatting sqref="N234:O234 N238:O238 N241:O241 N243:O243 N247:O248">
    <cfRule type="containsText" dxfId="2" priority="42188" operator="containsText" text="Yes">
      <formula>NOT(ISERROR(SEARCH(("Yes"),(N234))))</formula>
    </cfRule>
  </conditionalFormatting>
  <conditionalFormatting sqref="N234:O234 N238:O238 N241:O241 N243:O243 N247:O248">
    <cfRule type="containsText" dxfId="2" priority="42189" operator="containsText" text="Yes">
      <formula>NOT(ISERROR(SEARCH(("Yes"),(N234))))</formula>
    </cfRule>
  </conditionalFormatting>
  <conditionalFormatting sqref="N234:O234 N238:O238 N241:O241 N243:O243 N247:O248">
    <cfRule type="containsText" dxfId="2" priority="42190" operator="containsText" text="Yes">
      <formula>NOT(ISERROR(SEARCH(("Yes"),(N234))))</formula>
    </cfRule>
  </conditionalFormatting>
  <conditionalFormatting sqref="N234:O234 N238:O238 N241:O241 N243:O243 N247:O248">
    <cfRule type="containsText" dxfId="2" priority="42191" operator="containsText" text="Yes">
      <formula>NOT(ISERROR(SEARCH(("Yes"),(N234))))</formula>
    </cfRule>
  </conditionalFormatting>
  <conditionalFormatting sqref="N234:O234 N238:O238 N241:O241 N243:O243 N247:O248">
    <cfRule type="containsText" dxfId="2" priority="42192" operator="containsText" text="Yes">
      <formula>NOT(ISERROR(SEARCH(("Yes"),(N234))))</formula>
    </cfRule>
  </conditionalFormatting>
  <conditionalFormatting sqref="N234:O234 N238:O238 N241:O241 N243:O243 N247:O248">
    <cfRule type="containsText" dxfId="2" priority="42193" operator="containsText" text="Yes">
      <formula>NOT(ISERROR(SEARCH(("Yes"),(N234))))</formula>
    </cfRule>
  </conditionalFormatting>
  <conditionalFormatting sqref="N234:O234 N238:O238 N241:O241 N243:O243 N247:O248">
    <cfRule type="containsText" dxfId="2" priority="42194" operator="containsText" text="Yes">
      <formula>NOT(ISERROR(SEARCH(("Yes"),(N234))))</formula>
    </cfRule>
  </conditionalFormatting>
  <conditionalFormatting sqref="N234:O234 N238:O238 N241:O241 N243:O243 N247:O248">
    <cfRule type="containsText" dxfId="2" priority="42195" operator="containsText" text="Yes">
      <formula>NOT(ISERROR(SEARCH(("Yes"),(N234))))</formula>
    </cfRule>
  </conditionalFormatting>
  <conditionalFormatting sqref="N234:O234 N238:O238 N241:O241 N243:O243 N247:O248">
    <cfRule type="containsText" dxfId="2" priority="42196" operator="containsText" text="Yes">
      <formula>NOT(ISERROR(SEARCH(("Yes"),(N234))))</formula>
    </cfRule>
  </conditionalFormatting>
  <conditionalFormatting sqref="O261:O264 O267:Q269 O275:Q275 P235:Q237 P239:Q240 P242:Q242 P244:Q246 P249:Q250 P252:Q252 P254:Q256 P258:Q264">
    <cfRule type="containsText" dxfId="9" priority="42197" operator="containsText" text="No">
      <formula>NOT(ISERROR(SEARCH(("No"),(O261))))</formula>
    </cfRule>
  </conditionalFormatting>
  <conditionalFormatting sqref="O261:O264 O267:Q269 O275:Q275 P235:Q237 P239:Q240 P242:Q242 P244:Q246 P249:Q250 P252:Q252 P254:Q256 P258:Q264">
    <cfRule type="containsText" dxfId="9" priority="42198" operator="containsText" text="No">
      <formula>NOT(ISERROR(SEARCH(("No"),(O261))))</formula>
    </cfRule>
  </conditionalFormatting>
  <conditionalFormatting sqref="O261:O264 O267:Q269 O275:Q275 P235:Q237 P239:Q240 P242:Q242 P244:Q246 P249:Q250 P252:Q252 P254:Q256 P258:Q264">
    <cfRule type="containsText" dxfId="9" priority="42199" operator="containsText" text="No">
      <formula>NOT(ISERROR(SEARCH(("No"),(O261))))</formula>
    </cfRule>
  </conditionalFormatting>
  <conditionalFormatting sqref="O261:O264 O267:Q269 O275:Q275 P235:Q237 P239:Q240 P242:Q242 P244:Q246 P249:Q250 P252:Q252 P254:Q256 P258:Q264">
    <cfRule type="containsText" dxfId="9" priority="42200" operator="containsText" text="No">
      <formula>NOT(ISERROR(SEARCH(("No"),(O261))))</formula>
    </cfRule>
  </conditionalFormatting>
  <conditionalFormatting sqref="O261:O264 O267:Q269 O275:Q275 P235:Q237 P239:Q240 P242:Q242 P244:Q246 P249:Q250 P252:Q252 P254:Q256 P258:Q264">
    <cfRule type="containsText" dxfId="9" priority="42201" operator="containsText" text="No">
      <formula>NOT(ISERROR(SEARCH(("No"),(O261))))</formula>
    </cfRule>
  </conditionalFormatting>
  <conditionalFormatting sqref="O261:O264 O267:Q269 O275:Q275 P235:Q237 P239:Q240 P242:Q242 P244:Q246 P249:Q250 P252:Q252 P254:Q256 P258:Q264">
    <cfRule type="containsText" dxfId="9" priority="42202" operator="containsText" text="No">
      <formula>NOT(ISERROR(SEARCH(("No"),(O261))))</formula>
    </cfRule>
  </conditionalFormatting>
  <conditionalFormatting sqref="O261:O264 O267:Q269 O275:Q275 P235:Q237 P239:Q240 P242:Q242 P244:Q246 P249:Q250 P252:Q252 P254:Q256 P258:Q264">
    <cfRule type="containsText" dxfId="9" priority="42203" operator="containsText" text="No">
      <formula>NOT(ISERROR(SEARCH(("No"),(O261))))</formula>
    </cfRule>
  </conditionalFormatting>
  <conditionalFormatting sqref="O261:O264 O267:Q269 O275:Q275 P235:Q237 P239:Q240 P242:Q242 P244:Q246 P249:Q250 P252:Q252 P254:Q256 P258:Q264">
    <cfRule type="containsText" dxfId="9" priority="42204" operator="containsText" text="No">
      <formula>NOT(ISERROR(SEARCH(("No"),(O261))))</formula>
    </cfRule>
  </conditionalFormatting>
  <conditionalFormatting sqref="O261:O264 O267:Q269 O275:Q275 P235:Q237 P239:Q240 P242:Q242 P244:Q246 P249:Q250 P252:Q252 P254:Q256 P258:Q264">
    <cfRule type="containsText" dxfId="9" priority="42205" operator="containsText" text="No">
      <formula>NOT(ISERROR(SEARCH(("No"),(O261))))</formula>
    </cfRule>
  </conditionalFormatting>
  <conditionalFormatting sqref="O261:O264 O267:Q269 O275:Q275 P235:Q237 P239:Q240 P242:Q242 P244:Q246 P249:Q250 P252:Q252 P254:Q256 P258:Q264">
    <cfRule type="containsText" dxfId="9" priority="42206" operator="containsText" text="No">
      <formula>NOT(ISERROR(SEARCH(("No"),(O261))))</formula>
    </cfRule>
  </conditionalFormatting>
  <conditionalFormatting sqref="O261:O264 O267:Q269 O275:Q275 P235:Q237 P239:Q240 P242:Q242 P244:Q246 P249:Q250 P252:Q252 P254:Q256 P258:Q264">
    <cfRule type="containsText" dxfId="9" priority="42207" operator="containsText" text="No">
      <formula>NOT(ISERROR(SEARCH(("No"),(O261))))</formula>
    </cfRule>
  </conditionalFormatting>
  <conditionalFormatting sqref="O261:O264 O267:Q269 O275:Q275 P235:Q237 P239:Q240 P242:Q242 P244:Q246 P249:Q250 P252:Q252 P254:Q256 P258:Q264">
    <cfRule type="containsText" dxfId="9" priority="42208" operator="containsText" text="No">
      <formula>NOT(ISERROR(SEARCH(("No"),(O261))))</formula>
    </cfRule>
  </conditionalFormatting>
  <conditionalFormatting sqref="O261:O264 O267:Q269 O275:Q275 P235:Q237 P239:Q240 P242:Q242 P244:Q246 P249:Q250 P252:Q252 P254:Q256 P258:Q264">
    <cfRule type="containsText" dxfId="9" priority="42209" operator="containsText" text="No">
      <formula>NOT(ISERROR(SEARCH(("No"),(O261))))</formula>
    </cfRule>
  </conditionalFormatting>
  <conditionalFormatting sqref="O261:O264 O267:Q269 O275:Q275 P235:Q237 P239:Q240 P242:Q242 P244:Q246 P249:Q250 P252:Q252 P254:Q256 P258:Q264">
    <cfRule type="containsText" dxfId="9" priority="42210" operator="containsText" text="No">
      <formula>NOT(ISERROR(SEARCH(("No"),(O261))))</formula>
    </cfRule>
  </conditionalFormatting>
  <conditionalFormatting sqref="O261:O264 O267:Q269 O275:Q275 P235:Q237 P239:Q240 P242:Q242 P244:Q246 P249:Q250 P252:Q252 P254:Q256 P258:Q264">
    <cfRule type="containsText" dxfId="9" priority="42211" operator="containsText" text="No">
      <formula>NOT(ISERROR(SEARCH(("No"),(O261))))</formula>
    </cfRule>
  </conditionalFormatting>
  <conditionalFormatting sqref="O261:O264 O267:Q269 O275:Q275 P235:Q237 P239:Q240 P242:Q242 P244:Q246 P249:Q250 P252:Q252 P254:Q256 P258:Q264">
    <cfRule type="containsText" dxfId="9" priority="42212" operator="containsText" text="No">
      <formula>NOT(ISERROR(SEARCH(("No"),(O261))))</formula>
    </cfRule>
  </conditionalFormatting>
  <conditionalFormatting sqref="O261:O264 O267:Q269 O275:Q275 P235:Q237 P239:Q240 P242:Q242 P244:Q246 P249:Q250 P252:Q252 P254:Q256 P258:Q264">
    <cfRule type="containsText" dxfId="9" priority="42213" operator="containsText" text="No">
      <formula>NOT(ISERROR(SEARCH(("No"),(O261))))</formula>
    </cfRule>
  </conditionalFormatting>
  <conditionalFormatting sqref="O261:O264 O267:Q269 O275:Q275 P235:Q237 P239:Q240 P242:Q242 P244:Q246 P249:Q250 P252:Q252 P254:Q256 P258:Q264">
    <cfRule type="containsText" dxfId="9" priority="42214" operator="containsText" text="No">
      <formula>NOT(ISERROR(SEARCH(("No"),(O261))))</formula>
    </cfRule>
  </conditionalFormatting>
  <conditionalFormatting sqref="O261:O264 O267:Q269 O275:Q275 P235:Q237 P239:Q240 P242:Q242 P244:Q246 P249:Q250 P252:Q252 P254:Q256 P258:Q264">
    <cfRule type="containsText" dxfId="9" priority="42215" operator="containsText" text="No">
      <formula>NOT(ISERROR(SEARCH(("No"),(O261))))</formula>
    </cfRule>
  </conditionalFormatting>
  <conditionalFormatting sqref="O261:O264 O267:Q269 O275:Q275 P235:Q237 P239:Q240 P242:Q242 P244:Q246 P249:Q250 P252:Q252 P254:Q256 P258:Q264">
    <cfRule type="containsText" dxfId="9" priority="42216" operator="containsText" text="No">
      <formula>NOT(ISERROR(SEARCH(("No"),(O261))))</formula>
    </cfRule>
  </conditionalFormatting>
  <conditionalFormatting sqref="O261:O264 O267:Q269 O275:Q275 P235:Q237 P239:Q240 P242:Q242 P244:Q246 P249:Q250 P252:Q252 P254:Q256 P258:Q264">
    <cfRule type="containsText" dxfId="9" priority="42217" operator="containsText" text="No">
      <formula>NOT(ISERROR(SEARCH(("No"),(O261))))</formula>
    </cfRule>
  </conditionalFormatting>
  <conditionalFormatting sqref="O261:O264 O267:Q269 O275:Q275 P235:Q237 P239:Q240 P242:Q242 P244:Q246 P249:Q250 P252:Q252 P254:Q256 P258:Q264">
    <cfRule type="containsText" dxfId="9" priority="42218" operator="containsText" text="No">
      <formula>NOT(ISERROR(SEARCH(("No"),(O261))))</formula>
    </cfRule>
  </conditionalFormatting>
  <conditionalFormatting sqref="O261:O264 O267:Q269 O275:Q275 P235:Q237 P239:Q240 P242:Q242 P244:Q246 P249:Q250 P252:Q252 P254:Q256 P258:Q264">
    <cfRule type="containsText" dxfId="9" priority="42219" operator="containsText" text="No">
      <formula>NOT(ISERROR(SEARCH(("No"),(O261))))</formula>
    </cfRule>
  </conditionalFormatting>
  <conditionalFormatting sqref="O261:O264 O267:Q269 O275:Q275 P235:Q237 P239:Q240 P242:Q242 P244:Q246 P249:Q250 P252:Q252 P254:Q256 P258:Q264">
    <cfRule type="containsText" dxfId="9" priority="42220" operator="containsText" text="No">
      <formula>NOT(ISERROR(SEARCH(("No"),(O261))))</formula>
    </cfRule>
  </conditionalFormatting>
  <conditionalFormatting sqref="O261:O264 O267:Q269 O275:Q275 P235:Q237 P239:Q240 P242:Q242 P244:Q246 P249:Q250 P252:Q252 P254:Q256 P258:Q264">
    <cfRule type="containsText" dxfId="9" priority="42221" operator="containsText" text="No">
      <formula>NOT(ISERROR(SEARCH(("No"),(O261))))</formula>
    </cfRule>
  </conditionalFormatting>
  <conditionalFormatting sqref="O261:O264 O267:Q269 O275:Q275 P235:Q237 P239:Q240 P242:Q242 P244:Q246 P249:Q250 P252:Q252 P254:Q256 P258:Q264">
    <cfRule type="containsText" dxfId="9" priority="42222" operator="containsText" text="No">
      <formula>NOT(ISERROR(SEARCH(("No"),(O261))))</formula>
    </cfRule>
  </conditionalFormatting>
  <conditionalFormatting sqref="O261:O264 O267:Q269 O275:Q275 P235:Q237 P239:Q240 P242:Q242 P244:Q246 P249:Q250 P252:Q252 P254:Q256 P258:Q264">
    <cfRule type="containsText" dxfId="9" priority="42223" operator="containsText" text="No">
      <formula>NOT(ISERROR(SEARCH(("No"),(O261))))</formula>
    </cfRule>
  </conditionalFormatting>
  <conditionalFormatting sqref="O261:O264 O267:Q269 O275:Q275 P235:Q237 P239:Q240 P242:Q242 P244:Q246 P249:Q250 P252:Q252 P254:Q256 P258:Q264">
    <cfRule type="containsText" dxfId="9" priority="42224" operator="containsText" text="No">
      <formula>NOT(ISERROR(SEARCH(("No"),(O261))))</formula>
    </cfRule>
  </conditionalFormatting>
  <conditionalFormatting sqref="O261:O264 O267:Q269 O275:Q275 P235:Q237 P239:Q240 P242:Q242 P244:Q246 P249:Q250 P252:Q252 P254:Q256 P258:Q264">
    <cfRule type="containsText" dxfId="9" priority="42225" operator="containsText" text="No">
      <formula>NOT(ISERROR(SEARCH(("No"),(O261))))</formula>
    </cfRule>
  </conditionalFormatting>
  <conditionalFormatting sqref="O261:O264 O267:Q269 O275:Q275 P235:Q237 P239:Q240 P242:Q242 P244:Q246 P249:Q250 P252:Q252 P254:Q256 P258:Q264">
    <cfRule type="containsText" dxfId="9" priority="42226" operator="containsText" text="No">
      <formula>NOT(ISERROR(SEARCH(("No"),(O261))))</formula>
    </cfRule>
  </conditionalFormatting>
  <conditionalFormatting sqref="O261:O264 O267:Q269 O275:Q275 P235:Q237 P239:Q240 P242:Q242 P244:Q246 P249:Q250 P252:Q252 P254:Q256 P258:Q264">
    <cfRule type="containsText" dxfId="9" priority="42227" operator="containsText" text="No">
      <formula>NOT(ISERROR(SEARCH(("No"),(O261))))</formula>
    </cfRule>
  </conditionalFormatting>
  <conditionalFormatting sqref="O261:O264 O267:Q269 O275:Q275 P235:Q237 P239:Q240 P242:Q242 P244:Q246 P249:Q250 P252:Q252 P254:Q256 P258:Q264">
    <cfRule type="containsText" dxfId="9" priority="42228" operator="containsText" text="No">
      <formula>NOT(ISERROR(SEARCH(("No"),(O261))))</formula>
    </cfRule>
  </conditionalFormatting>
  <conditionalFormatting sqref="O261:O264 O267:Q269 O275:Q275 P235:Q237 P239:Q240 P242:Q242 P244:Q246 P249:Q250 P252:Q252 P254:Q256 P258:Q264">
    <cfRule type="containsText" dxfId="9" priority="42229" operator="containsText" text="No">
      <formula>NOT(ISERROR(SEARCH(("No"),(O261))))</formula>
    </cfRule>
  </conditionalFormatting>
  <conditionalFormatting sqref="O261:O264 O267:Q269 O275:Q275 P235:Q237 P239:Q240 P242:Q242 P244:Q246 P249:Q250 P252:Q252 P254:Q256 P258:Q264">
    <cfRule type="containsText" dxfId="9" priority="42230" operator="containsText" text="No">
      <formula>NOT(ISERROR(SEARCH(("No"),(O261))))</formula>
    </cfRule>
  </conditionalFormatting>
  <conditionalFormatting sqref="O261:O264 O267:Q269 O275:Q275 P235:Q237 P239:Q240 P242:Q242 P244:Q246 P249:Q250 P252:Q252 P254:Q256 P258:Q264">
    <cfRule type="containsText" dxfId="9" priority="42231" operator="containsText" text="No">
      <formula>NOT(ISERROR(SEARCH(("No"),(O261))))</formula>
    </cfRule>
  </conditionalFormatting>
  <conditionalFormatting sqref="O261:O264 O267:Q269 O275:Q275 P235:Q237 P239:Q240 P242:Q242 P244:Q246 P249:Q250 P252:Q252 P254:Q256 P258:Q264">
    <cfRule type="containsText" dxfId="9" priority="42232" operator="containsText" text="No">
      <formula>NOT(ISERROR(SEARCH(("No"),(O261))))</formula>
    </cfRule>
  </conditionalFormatting>
  <conditionalFormatting sqref="O261:O264 O267:Q269 O275:Q275 P235:Q237 P239:Q240 P242:Q242 P244:Q246 P249:Q250 P252:Q252 P254:Q256 P258:Q264">
    <cfRule type="containsText" dxfId="9" priority="42233" operator="containsText" text="No">
      <formula>NOT(ISERROR(SEARCH(("No"),(O261))))</formula>
    </cfRule>
  </conditionalFormatting>
  <conditionalFormatting sqref="O261:O264 O267:Q269 O275:Q275 P235:Q237 P239:Q240 P242:Q242 P244:Q246 P249:Q250 P252:Q252 P254:Q256 P258:Q264">
    <cfRule type="containsText" dxfId="9" priority="42234" operator="containsText" text="No">
      <formula>NOT(ISERROR(SEARCH(("No"),(O261))))</formula>
    </cfRule>
  </conditionalFormatting>
  <conditionalFormatting sqref="O261:O264 O267:Q269 O275:Q275 P235:Q237 P239:Q240 P242:Q242 P244:Q246 P249:Q250 P252:Q252 P254:Q256 P258:Q264">
    <cfRule type="containsText" dxfId="9" priority="42235" operator="containsText" text="No">
      <formula>NOT(ISERROR(SEARCH(("No"),(O261))))</formula>
    </cfRule>
  </conditionalFormatting>
  <conditionalFormatting sqref="O261:O264 O267:Q269 O275:Q275 P235:Q237 P239:Q240 P242:Q242 P244:Q246 P249:Q250 P252:Q252 P254:Q256 P258:Q264">
    <cfRule type="containsText" dxfId="9" priority="42236" operator="containsText" text="No">
      <formula>NOT(ISERROR(SEARCH(("No"),(O261))))</formula>
    </cfRule>
  </conditionalFormatting>
  <conditionalFormatting sqref="O261:O264 O267:Q269 O275:Q275 P235:Q237 P239:Q240 P242:Q242 P244:Q246 P249:Q250 P252:Q252 P254:Q256 P258:Q264">
    <cfRule type="containsText" dxfId="9" priority="42237" operator="containsText" text="No">
      <formula>NOT(ISERROR(SEARCH(("No"),(O261))))</formula>
    </cfRule>
  </conditionalFormatting>
  <conditionalFormatting sqref="O261:O264 O267:Q269 O275:Q275 P235:Q237 P239:Q240 P242:Q242 P244:Q246 P249:Q250 P252:Q252 P254:Q256 P258:Q264">
    <cfRule type="containsText" dxfId="9" priority="42238" operator="containsText" text="No">
      <formula>NOT(ISERROR(SEARCH(("No"),(O261))))</formula>
    </cfRule>
  </conditionalFormatting>
  <conditionalFormatting sqref="O261:O264 O267:Q269 O275:Q275 P235:Q237 P239:Q240 P242:Q242 P244:Q246 P249:Q250 P252:Q252 P254:Q256 P258:Q264">
    <cfRule type="containsText" dxfId="9" priority="42239" operator="containsText" text="No">
      <formula>NOT(ISERROR(SEARCH(("No"),(O261))))</formula>
    </cfRule>
  </conditionalFormatting>
  <conditionalFormatting sqref="O261:O264 O267:Q269 O275:Q275 P235:Q237 P239:Q240 P242:Q242 P244:Q246 P249:Q250 P252:Q252 P254:Q256 P258:Q264">
    <cfRule type="containsText" dxfId="9" priority="42240" operator="containsText" text="No">
      <formula>NOT(ISERROR(SEARCH(("No"),(O261))))</formula>
    </cfRule>
  </conditionalFormatting>
  <conditionalFormatting sqref="O261:O264 O267:Q269 O275:Q275 P235:Q237 P239:Q240 P242:Q242 P244:Q246 P249:Q250 P252:Q252 P254:Q256 P258:Q264">
    <cfRule type="containsText" dxfId="9" priority="42241" operator="containsText" text="No">
      <formula>NOT(ISERROR(SEARCH(("No"),(O261))))</formula>
    </cfRule>
  </conditionalFormatting>
  <conditionalFormatting sqref="O261:O264 O267:Q269 O275:Q275 P235:Q237 P239:Q240 P242:Q242 P244:Q246 P249:Q250 P252:Q252 P254:Q256 P258:Q264">
    <cfRule type="containsText" dxfId="2" priority="42242" operator="containsText" text="Yes">
      <formula>NOT(ISERROR(SEARCH(("Yes"),(O261))))</formula>
    </cfRule>
  </conditionalFormatting>
  <conditionalFormatting sqref="O261:O264 O267:Q269 O275:Q275 P235:Q237 P239:Q240 P242:Q242 P244:Q246 P249:Q250 P252:Q252 P254:Q256 P258:Q264">
    <cfRule type="containsText" dxfId="2" priority="42243" operator="containsText" text="Yes">
      <formula>NOT(ISERROR(SEARCH(("Yes"),(O261))))</formula>
    </cfRule>
  </conditionalFormatting>
  <conditionalFormatting sqref="O261:O264 O267:Q269 O275:Q275 P235:Q237 P239:Q240 P242:Q242 P244:Q246 P249:Q250 P252:Q252 P254:Q256 P258:Q264">
    <cfRule type="containsText" dxfId="2" priority="42244" operator="containsText" text="Yes">
      <formula>NOT(ISERROR(SEARCH(("Yes"),(O261))))</formula>
    </cfRule>
  </conditionalFormatting>
  <conditionalFormatting sqref="O261:O264 O267:Q269 O275:Q275 P235:Q237 P239:Q240 P242:Q242 P244:Q246 P249:Q250 P252:Q252 P254:Q256 P258:Q264">
    <cfRule type="containsText" dxfId="2" priority="42245" operator="containsText" text="Yes">
      <formula>NOT(ISERROR(SEARCH(("Yes"),(O261))))</formula>
    </cfRule>
  </conditionalFormatting>
  <conditionalFormatting sqref="O261:O264 O267:Q269 O275:Q275 P235:Q237 P239:Q240 P242:Q242 P244:Q246 P249:Q250 P252:Q252 P254:Q256 P258:Q264">
    <cfRule type="containsText" dxfId="2" priority="42246" operator="containsText" text="Yes">
      <formula>NOT(ISERROR(SEARCH(("Yes"),(O261))))</formula>
    </cfRule>
  </conditionalFormatting>
  <conditionalFormatting sqref="O261:O264 O267:Q269 O275:Q275 P235:Q237 P239:Q240 P242:Q242 P244:Q246 P249:Q250 P252:Q252 P254:Q256 P258:Q264">
    <cfRule type="containsText" dxfId="2" priority="42247" operator="containsText" text="Yes">
      <formula>NOT(ISERROR(SEARCH(("Yes"),(O261))))</formula>
    </cfRule>
  </conditionalFormatting>
  <conditionalFormatting sqref="O261:O264 O267:Q269 O275:Q275 P235:Q237 P239:Q240 P242:Q242 P244:Q246 P249:Q250 P252:Q252 P254:Q256 P258:Q264">
    <cfRule type="containsText" dxfId="2" priority="42248" operator="containsText" text="Yes">
      <formula>NOT(ISERROR(SEARCH(("Yes"),(O261))))</formula>
    </cfRule>
  </conditionalFormatting>
  <conditionalFormatting sqref="O261:O264 O267:Q269 O275:Q275 P235:Q237 P239:Q240 P242:Q242 P244:Q246 P249:Q250 P252:Q252 P254:Q256 P258:Q264">
    <cfRule type="containsText" dxfId="2" priority="42249" operator="containsText" text="Yes">
      <formula>NOT(ISERROR(SEARCH(("Yes"),(O261))))</formula>
    </cfRule>
  </conditionalFormatting>
  <conditionalFormatting sqref="O261:O264 O267:Q269 O275:Q275 P235:Q237 P239:Q240 P242:Q242 P244:Q246 P249:Q250 P252:Q252 P254:Q256 P258:Q264">
    <cfRule type="containsText" dxfId="2" priority="42250" operator="containsText" text="Yes">
      <formula>NOT(ISERROR(SEARCH(("Yes"),(O261))))</formula>
    </cfRule>
  </conditionalFormatting>
  <conditionalFormatting sqref="O261:O264 O267:Q269 O275:Q275 P235:Q237 P239:Q240 P242:Q242 P244:Q246 P249:Q250 P252:Q252 P254:Q256 P258:Q264">
    <cfRule type="containsText" dxfId="2" priority="42251" operator="containsText" text="Yes">
      <formula>NOT(ISERROR(SEARCH(("Yes"),(O261))))</formula>
    </cfRule>
  </conditionalFormatting>
  <conditionalFormatting sqref="O261:O264 O267:Q269 O275:Q275 P235:Q237 P239:Q240 P242:Q242 P244:Q246 P249:Q250 P252:Q252 P254:Q256 P258:Q264">
    <cfRule type="containsText" dxfId="2" priority="42252" operator="containsText" text="Yes">
      <formula>NOT(ISERROR(SEARCH(("Yes"),(O261))))</formula>
    </cfRule>
  </conditionalFormatting>
  <conditionalFormatting sqref="O261:O264 O267:Q269 O275:Q275 P235:Q237 P239:Q240 P242:Q242 P244:Q246 P249:Q250 P252:Q252 P254:Q256 P258:Q264">
    <cfRule type="containsText" dxfId="2" priority="42253" operator="containsText" text="Yes">
      <formula>NOT(ISERROR(SEARCH(("Yes"),(O261))))</formula>
    </cfRule>
  </conditionalFormatting>
  <conditionalFormatting sqref="O261:O264 O267:Q269 O275:Q275 P235:Q237 P239:Q240 P242:Q242 P244:Q246 P249:Q250 P252:Q252 P254:Q256 P258:Q264">
    <cfRule type="containsText" dxfId="2" priority="42254" operator="containsText" text="Yes">
      <formula>NOT(ISERROR(SEARCH(("Yes"),(O261))))</formula>
    </cfRule>
  </conditionalFormatting>
  <conditionalFormatting sqref="O261:O264 O267:Q269 O275:Q275 P235:Q237 P239:Q240 P242:Q242 P244:Q246 P249:Q250 P252:Q252 P254:Q256 P258:Q264">
    <cfRule type="containsText" dxfId="2" priority="42255" operator="containsText" text="Yes">
      <formula>NOT(ISERROR(SEARCH(("Yes"),(O261))))</formula>
    </cfRule>
  </conditionalFormatting>
  <conditionalFormatting sqref="O261:O264 O267:Q269 O275:Q275 P235:Q237 P239:Q240 P242:Q242 P244:Q246 P249:Q250 P252:Q252 P254:Q256 P258:Q264">
    <cfRule type="containsText" dxfId="2" priority="42256" operator="containsText" text="Yes">
      <formula>NOT(ISERROR(SEARCH(("Yes"),(O261))))</formula>
    </cfRule>
  </conditionalFormatting>
  <conditionalFormatting sqref="O261:O264 O267:Q269 O275:Q275 P235:Q237 P239:Q240 P242:Q242 P244:Q246 P249:Q250 P252:Q252 P254:Q256 P258:Q264">
    <cfRule type="containsText" dxfId="2" priority="42257" operator="containsText" text="Yes">
      <formula>NOT(ISERROR(SEARCH(("Yes"),(O261))))</formula>
    </cfRule>
  </conditionalFormatting>
  <conditionalFormatting sqref="O261:O264 O267:Q269 O275:Q275 P235:Q237 P239:Q240 P242:Q242 P244:Q246 P249:Q250 P252:Q252 P254:Q256 P258:Q264">
    <cfRule type="containsText" dxfId="2" priority="42258" operator="containsText" text="Yes">
      <formula>NOT(ISERROR(SEARCH(("Yes"),(O261))))</formula>
    </cfRule>
  </conditionalFormatting>
  <conditionalFormatting sqref="O261:O264 O267:Q269 O275:Q275 P235:Q237 P239:Q240 P242:Q242 P244:Q246 P249:Q250 P252:Q252 P254:Q256 P258:Q264">
    <cfRule type="containsText" dxfId="2" priority="42259" operator="containsText" text="Yes">
      <formula>NOT(ISERROR(SEARCH(("Yes"),(O261))))</formula>
    </cfRule>
  </conditionalFormatting>
  <conditionalFormatting sqref="O261:O264 O267:Q269 O275:Q275 P235:Q237 P239:Q240 P242:Q242 P244:Q246 P249:Q250 P252:Q252 P254:Q256 P258:Q264">
    <cfRule type="containsText" dxfId="2" priority="42260" operator="containsText" text="Yes">
      <formula>NOT(ISERROR(SEARCH(("Yes"),(O261))))</formula>
    </cfRule>
  </conditionalFormatting>
  <conditionalFormatting sqref="O261:O264 O267:Q269 O275:Q275 P235:Q237 P239:Q240 P242:Q242 P244:Q246 P249:Q250 P252:Q252 P254:Q256 P258:Q264">
    <cfRule type="containsText" dxfId="2" priority="42261" operator="containsText" text="Yes">
      <formula>NOT(ISERROR(SEARCH(("Yes"),(O261))))</formula>
    </cfRule>
  </conditionalFormatting>
  <conditionalFormatting sqref="O261:O264 O267:Q269 O275:Q275 P235:Q237 P239:Q240 P242:Q242 P244:Q246 P249:Q250 P252:Q252 P254:Q256 P258:Q264">
    <cfRule type="containsText" dxfId="2" priority="42262" operator="containsText" text="Yes">
      <formula>NOT(ISERROR(SEARCH(("Yes"),(O261))))</formula>
    </cfRule>
  </conditionalFormatting>
  <conditionalFormatting sqref="O261:O264 O267:Q269 O275:Q275 P235:Q237 P239:Q240 P242:Q242 P244:Q246 P249:Q250 P252:Q252 P254:Q256 P258:Q264">
    <cfRule type="containsText" dxfId="2" priority="42263" operator="containsText" text="Yes">
      <formula>NOT(ISERROR(SEARCH(("Yes"),(O261))))</formula>
    </cfRule>
  </conditionalFormatting>
  <conditionalFormatting sqref="O261:O264 O267:Q269 O275:Q275 P235:Q237 P239:Q240 P242:Q242 P244:Q246 P249:Q250 P252:Q252 P254:Q256 P258:Q264">
    <cfRule type="containsText" dxfId="2" priority="42264" operator="containsText" text="Yes">
      <formula>NOT(ISERROR(SEARCH(("Yes"),(O261))))</formula>
    </cfRule>
  </conditionalFormatting>
  <conditionalFormatting sqref="O261:O264 O267:Q269 O275:Q275 P235:Q237 P239:Q240 P242:Q242 P244:Q246 P249:Q250 P252:Q252 P254:Q256 P258:Q264">
    <cfRule type="containsText" dxfId="2" priority="42265" operator="containsText" text="Yes">
      <formula>NOT(ISERROR(SEARCH(("Yes"),(O261))))</formula>
    </cfRule>
  </conditionalFormatting>
  <conditionalFormatting sqref="O261:O264 O267:Q269 O275:Q275 P235:Q237 P239:Q240 P242:Q242 P244:Q246 P249:Q250 P252:Q252 P254:Q256 P258:Q264">
    <cfRule type="containsText" dxfId="2" priority="42266" operator="containsText" text="Yes">
      <formula>NOT(ISERROR(SEARCH(("Yes"),(O261))))</formula>
    </cfRule>
  </conditionalFormatting>
  <conditionalFormatting sqref="O261:O264 O267:Q269 O275:Q275 P235:Q237 P239:Q240 P242:Q242 P244:Q246 P249:Q250 P252:Q252 P254:Q256 P258:Q264">
    <cfRule type="containsText" dxfId="2" priority="42267" operator="containsText" text="Yes">
      <formula>NOT(ISERROR(SEARCH(("Yes"),(O261))))</formula>
    </cfRule>
  </conditionalFormatting>
  <conditionalFormatting sqref="O261:O264 O267:Q269 O275:Q275 P235:Q237 P239:Q240 P242:Q242 P244:Q246 P249:Q250 P252:Q252 P254:Q256 P258:Q264">
    <cfRule type="containsText" dxfId="2" priority="42268" operator="containsText" text="Yes">
      <formula>NOT(ISERROR(SEARCH(("Yes"),(O261))))</formula>
    </cfRule>
  </conditionalFormatting>
  <conditionalFormatting sqref="O261:O264 O267:Q269 O275:Q275 P235:Q237 P239:Q240 P242:Q242 P244:Q246 P249:Q250 P252:Q252 P254:Q256 P258:Q264">
    <cfRule type="containsText" dxfId="2" priority="42269" operator="containsText" text="Yes">
      <formula>NOT(ISERROR(SEARCH(("Yes"),(O261))))</formula>
    </cfRule>
  </conditionalFormatting>
  <conditionalFormatting sqref="O261:O264 O267:Q269 O275:Q275 P235:Q237 P239:Q240 P242:Q242 P244:Q246 P249:Q250 P252:Q252 P254:Q256 P258:Q264">
    <cfRule type="containsText" dxfId="2" priority="42270" operator="containsText" text="Yes">
      <formula>NOT(ISERROR(SEARCH(("Yes"),(O261))))</formula>
    </cfRule>
  </conditionalFormatting>
  <conditionalFormatting sqref="O261:O264 O267:Q269 O275:Q275 P235:Q237 P239:Q240 P242:Q242 P244:Q246 P249:Q250 P252:Q252 P254:Q256 P258:Q264">
    <cfRule type="containsText" dxfId="2" priority="42271" operator="containsText" text="Yes">
      <formula>NOT(ISERROR(SEARCH(("Yes"),(O261))))</formula>
    </cfRule>
  </conditionalFormatting>
  <conditionalFormatting sqref="O261:O264 O267:Q269 O275:Q275 P235:Q237 P239:Q240 P242:Q242 P244:Q246 P249:Q250 P252:Q252 P254:Q256 P258:Q264">
    <cfRule type="containsText" dxfId="2" priority="42272" operator="containsText" text="Yes">
      <formula>NOT(ISERROR(SEARCH(("Yes"),(O261))))</formula>
    </cfRule>
  </conditionalFormatting>
  <conditionalFormatting sqref="O261:O264 O267:Q269 O275:Q275 P235:Q237 P239:Q240 P242:Q242 P244:Q246 P249:Q250 P252:Q252 P254:Q256 P258:Q264">
    <cfRule type="containsText" dxfId="2" priority="42273" operator="containsText" text="Yes">
      <formula>NOT(ISERROR(SEARCH(("Yes"),(O261))))</formula>
    </cfRule>
  </conditionalFormatting>
  <conditionalFormatting sqref="O261:O264 O267:Q269 O275:Q275 P235:Q237 P239:Q240 P242:Q242 P244:Q246 P249:Q250 P252:Q252 P254:Q256 P258:Q264">
    <cfRule type="containsText" dxfId="2" priority="42274" operator="containsText" text="Yes">
      <formula>NOT(ISERROR(SEARCH(("Yes"),(O261))))</formula>
    </cfRule>
  </conditionalFormatting>
  <conditionalFormatting sqref="O261:O264 O267:Q269 O275:Q275 P235:Q237 P239:Q240 P242:Q242 P244:Q246 P249:Q250 P252:Q252 P254:Q256 P258:Q264">
    <cfRule type="containsText" dxfId="2" priority="42275" operator="containsText" text="Yes">
      <formula>NOT(ISERROR(SEARCH(("Yes"),(O261))))</formula>
    </cfRule>
  </conditionalFormatting>
  <conditionalFormatting sqref="O261:O264 O267:Q269 O275:Q275 P235:Q237 P239:Q240 P242:Q242 P244:Q246 P249:Q250 P252:Q252 P254:Q256 P258:Q264">
    <cfRule type="containsText" dxfId="2" priority="42276" operator="containsText" text="Yes">
      <formula>NOT(ISERROR(SEARCH(("Yes"),(O261))))</formula>
    </cfRule>
  </conditionalFormatting>
  <conditionalFormatting sqref="O261:O264 O267:Q269 O275:Q275 P235:Q237 P239:Q240 P242:Q242 P244:Q246 P249:Q250 P252:Q252 P254:Q256 P258:Q264">
    <cfRule type="containsText" dxfId="2" priority="42277" operator="containsText" text="Yes">
      <formula>NOT(ISERROR(SEARCH(("Yes"),(O261))))</formula>
    </cfRule>
  </conditionalFormatting>
  <conditionalFormatting sqref="O261:O264 O267:Q269 O275:Q275 P235:Q237 P239:Q240 P242:Q242 P244:Q246 P249:Q250 P252:Q252 P254:Q256 P258:Q264">
    <cfRule type="containsText" dxfId="2" priority="42278" operator="containsText" text="Yes">
      <formula>NOT(ISERROR(SEARCH(("Yes"),(O261))))</formula>
    </cfRule>
  </conditionalFormatting>
  <conditionalFormatting sqref="O261:O264 O267:Q269 O275:Q275 P235:Q237 P239:Q240 P242:Q242 P244:Q246 P249:Q250 P252:Q252 P254:Q256 P258:Q264">
    <cfRule type="containsText" dxfId="2" priority="42279" operator="containsText" text="Yes">
      <formula>NOT(ISERROR(SEARCH(("Yes"),(O261))))</formula>
    </cfRule>
  </conditionalFormatting>
  <conditionalFormatting sqref="O261:O264 O267:Q269 O275:Q275 P235:Q237 P239:Q240 P242:Q242 P244:Q246 P249:Q250 P252:Q252 P254:Q256 P258:Q264">
    <cfRule type="containsText" dxfId="2" priority="42280" operator="containsText" text="Yes">
      <formula>NOT(ISERROR(SEARCH(("Yes"),(O261))))</formula>
    </cfRule>
  </conditionalFormatting>
  <conditionalFormatting sqref="O261:O264 O267:Q269 O275:Q275 P235:Q237 P239:Q240 P242:Q242 P244:Q246 P249:Q250 P252:Q252 P254:Q256 P258:Q264">
    <cfRule type="containsText" dxfId="2" priority="42281" operator="containsText" text="Yes">
      <formula>NOT(ISERROR(SEARCH(("Yes"),(O261))))</formula>
    </cfRule>
  </conditionalFormatting>
  <conditionalFormatting sqref="O261:O264 O267:Q269 O275:Q275 P235:Q237 P239:Q240 P242:Q242 P244:Q246 P249:Q250 P252:Q252 P254:Q256 P258:Q264">
    <cfRule type="containsText" dxfId="2" priority="42282" operator="containsText" text="Yes">
      <formula>NOT(ISERROR(SEARCH(("Yes"),(O261))))</formula>
    </cfRule>
  </conditionalFormatting>
  <conditionalFormatting sqref="O261:O264 O267:Q269 O275:Q275 P235:Q237 P239:Q240 P242:Q242 P244:Q246 P249:Q250 P252:Q252 P254:Q256 P258:Q264">
    <cfRule type="containsText" dxfId="2" priority="42283" operator="containsText" text="Yes">
      <formula>NOT(ISERROR(SEARCH(("Yes"),(O261))))</formula>
    </cfRule>
  </conditionalFormatting>
  <conditionalFormatting sqref="O261:O264 O267:Q269 O275:Q275 P235:Q237 P239:Q240 P242:Q242 P244:Q246 P249:Q250 P252:Q252 P254:Q256 P258:Q264">
    <cfRule type="containsText" dxfId="2" priority="42284" operator="containsText" text="Yes">
      <formula>NOT(ISERROR(SEARCH(("Yes"),(O261))))</formula>
    </cfRule>
  </conditionalFormatting>
  <conditionalFormatting sqref="O261:O264 O267:Q269 O275:Q275 P235:Q237 P239:Q240 P242:Q242 P244:Q246 P249:Q250 P252:Q252 P254:Q256 P258:Q264">
    <cfRule type="containsText" dxfId="2" priority="42285" operator="containsText" text="Yes">
      <formula>NOT(ISERROR(SEARCH(("Yes"),(O261))))</formula>
    </cfRule>
  </conditionalFormatting>
  <conditionalFormatting sqref="O261:O264 O267:Q269 O275:Q275 P235:Q237 P239:Q240 P242:Q242 P244:Q246 P249:Q250 P252:Q252 P254:Q256 P258:Q264">
    <cfRule type="containsText" dxfId="2" priority="42286" operator="containsText" text="Yes">
      <formula>NOT(ISERROR(SEARCH(("Yes"),(O261))))</formula>
    </cfRule>
  </conditionalFormatting>
  <conditionalFormatting sqref="O261:O264 O267:Q269 O275:Q275 P235:Q237 P239:Q240 P242:Q242 P244:Q246 P249:Q250 P252:Q252 P254:Q256 P258:Q264">
    <cfRule type="containsText" dxfId="2" priority="42287" operator="containsText" text="Yes">
      <formula>NOT(ISERROR(SEARCH(("Yes"),(O261))))</formula>
    </cfRule>
  </conditionalFormatting>
  <conditionalFormatting sqref="O261:O264 O267:Q269 O275:Q275 P235:Q237 P239:Q240 P242:Q242 P244:Q246 P249:Q250 P252:Q252 P254:Q256 P258:Q264">
    <cfRule type="containsText" dxfId="2" priority="42288" operator="containsText" text="Yes">
      <formula>NOT(ISERROR(SEARCH(("Yes"),(O261))))</formula>
    </cfRule>
  </conditionalFormatting>
  <conditionalFormatting sqref="N235:O237 N239:O240 N242:O242 N244:O246 N249:O250 N252:O252 N254:O256 N258:O264 N267:O269 N275:O275">
    <cfRule type="containsText" dxfId="9" priority="42289" operator="containsText" text="No">
      <formula>NOT(ISERROR(SEARCH(("No"),(N235))))</formula>
    </cfRule>
  </conditionalFormatting>
  <conditionalFormatting sqref="N235:O237 N239:O240 N242:O242 N244:O246 N249:O250 N252:O252 N254:O256 N258:O264 N267:O269 N275:O275">
    <cfRule type="containsText" dxfId="9" priority="42290" operator="containsText" text="No">
      <formula>NOT(ISERROR(SEARCH(("No"),(N235))))</formula>
    </cfRule>
  </conditionalFormatting>
  <conditionalFormatting sqref="N235:O237 N239:O240 N242:O242 N244:O246 N249:O250 N252:O252 N254:O256 N258:O264 N267:O269 N275:O275">
    <cfRule type="containsText" dxfId="9" priority="42291" operator="containsText" text="No">
      <formula>NOT(ISERROR(SEARCH(("No"),(N235))))</formula>
    </cfRule>
  </conditionalFormatting>
  <conditionalFormatting sqref="N235:O237 N239:O240 N242:O242 N244:O246 N249:O250 N252:O252 N254:O256 N258:O264 N267:O269 N275:O275">
    <cfRule type="containsText" dxfId="9" priority="42292" operator="containsText" text="No">
      <formula>NOT(ISERROR(SEARCH(("No"),(N235))))</formula>
    </cfRule>
  </conditionalFormatting>
  <conditionalFormatting sqref="N235:O237 N239:O240 N242:O242 N244:O246 N249:O250 N252:O252 N254:O256 N258:O264 N267:O269 N275:O275">
    <cfRule type="containsText" dxfId="9" priority="42293" operator="containsText" text="No">
      <formula>NOT(ISERROR(SEARCH(("No"),(N235))))</formula>
    </cfRule>
  </conditionalFormatting>
  <conditionalFormatting sqref="N235:O237 N239:O240 N242:O242 N244:O246 N249:O250 N252:O252 N254:O256 N258:O264 N267:O269 N275:O275">
    <cfRule type="containsText" dxfId="9" priority="42294" operator="containsText" text="No">
      <formula>NOT(ISERROR(SEARCH(("No"),(N235))))</formula>
    </cfRule>
  </conditionalFormatting>
  <conditionalFormatting sqref="N235:O237 N239:O240 N242:O242 N244:O246 N249:O250 N252:O252 N254:O256 N258:O264 N267:O269 N275:O275">
    <cfRule type="containsText" dxfId="9" priority="42295" operator="containsText" text="No">
      <formula>NOT(ISERROR(SEARCH(("No"),(N235))))</formula>
    </cfRule>
  </conditionalFormatting>
  <conditionalFormatting sqref="N235:O237 N239:O240 N242:O242 N244:O246 N249:O250 N252:O252 N254:O256 N258:O264 N267:O269 N275:O275">
    <cfRule type="containsText" dxfId="9" priority="42296" operator="containsText" text="No">
      <formula>NOT(ISERROR(SEARCH(("No"),(N235))))</formula>
    </cfRule>
  </conditionalFormatting>
  <conditionalFormatting sqref="N235:O237 N239:O240 N242:O242 N244:O246 N249:O250 N252:O252 N254:O256 N258:O264 N267:O269 N275:O275">
    <cfRule type="containsText" dxfId="9" priority="42297" operator="containsText" text="No">
      <formula>NOT(ISERROR(SEARCH(("No"),(N235))))</formula>
    </cfRule>
  </conditionalFormatting>
  <conditionalFormatting sqref="N235:O237 N239:O240 N242:O242 N244:O246 N249:O250 N252:O252 N254:O256 N258:O264 N267:O269 N275:O275">
    <cfRule type="containsText" dxfId="9" priority="42298" operator="containsText" text="No">
      <formula>NOT(ISERROR(SEARCH(("No"),(N235))))</formula>
    </cfRule>
  </conditionalFormatting>
  <conditionalFormatting sqref="N235:O237 N239:O240 N242:O242 N244:O246 N249:O250 N252:O252 N254:O256 N258:O264 N267:O269 N275:O275">
    <cfRule type="containsText" dxfId="9" priority="42299" operator="containsText" text="No">
      <formula>NOT(ISERROR(SEARCH(("No"),(N235))))</formula>
    </cfRule>
  </conditionalFormatting>
  <conditionalFormatting sqref="N235:O237 N239:O240 N242:O242 N244:O246 N249:O250 N252:O252 N254:O256 N258:O264 N267:O269 N275:O275">
    <cfRule type="containsText" dxfId="9" priority="42300" operator="containsText" text="No">
      <formula>NOT(ISERROR(SEARCH(("No"),(N235))))</formula>
    </cfRule>
  </conditionalFormatting>
  <conditionalFormatting sqref="N235:O237 N239:O240 N242:O242 N244:O246 N249:O250 N252:O252 N254:O256 N258:O264 N267:O269 N275:O275">
    <cfRule type="containsText" dxfId="9" priority="42301" operator="containsText" text="No">
      <formula>NOT(ISERROR(SEARCH(("No"),(N235))))</formula>
    </cfRule>
  </conditionalFormatting>
  <conditionalFormatting sqref="N235:O237 N239:O240 N242:O242 N244:O246 N249:O250 N252:O252 N254:O256 N258:O264 N267:O269 N275:O275">
    <cfRule type="containsText" dxfId="9" priority="42302" operator="containsText" text="No">
      <formula>NOT(ISERROR(SEARCH(("No"),(N235))))</formula>
    </cfRule>
  </conditionalFormatting>
  <conditionalFormatting sqref="N235:O237 N239:O240 N242:O242 N244:O246 N249:O250 N252:O252 N254:O256 N258:O264 N267:O269 N275:O275">
    <cfRule type="containsText" dxfId="9" priority="42303" operator="containsText" text="No">
      <formula>NOT(ISERROR(SEARCH(("No"),(N235))))</formula>
    </cfRule>
  </conditionalFormatting>
  <conditionalFormatting sqref="N235:O237 N239:O240 N242:O242 N244:O246 N249:O250 N252:O252 N254:O256 N258:O264 N267:O269 N275:O275">
    <cfRule type="containsText" dxfId="9" priority="42304" operator="containsText" text="No">
      <formula>NOT(ISERROR(SEARCH(("No"),(N235))))</formula>
    </cfRule>
  </conditionalFormatting>
  <conditionalFormatting sqref="N235:O237 N239:O240 N242:O242 N244:O246 N249:O250 N252:O252 N254:O256 N258:O264 N267:O269 N275:O275">
    <cfRule type="containsText" dxfId="9" priority="42305" operator="containsText" text="No">
      <formula>NOT(ISERROR(SEARCH(("No"),(N235))))</formula>
    </cfRule>
  </conditionalFormatting>
  <conditionalFormatting sqref="N235:O237 N239:O240 N242:O242 N244:O246 N249:O250 N252:O252 N254:O256 N258:O264 N267:O269 N275:O275">
    <cfRule type="containsText" dxfId="9" priority="42306" operator="containsText" text="No">
      <formula>NOT(ISERROR(SEARCH(("No"),(N235))))</formula>
    </cfRule>
  </conditionalFormatting>
  <conditionalFormatting sqref="N235:O237 N239:O240 N242:O242 N244:O246 N249:O250 N252:O252 N254:O256 N258:O264 N267:O269 N275:O275">
    <cfRule type="containsText" dxfId="9" priority="42307" operator="containsText" text="No">
      <formula>NOT(ISERROR(SEARCH(("No"),(N235))))</formula>
    </cfRule>
  </conditionalFormatting>
  <conditionalFormatting sqref="N235:O237 N239:O240 N242:O242 N244:O246 N249:O250 N252:O252 N254:O256 N258:O264 N267:O269 N275:O275">
    <cfRule type="containsText" dxfId="9" priority="42308" operator="containsText" text="No">
      <formula>NOT(ISERROR(SEARCH(("No"),(N235))))</formula>
    </cfRule>
  </conditionalFormatting>
  <conditionalFormatting sqref="N235:O237 N239:O240 N242:O242 N244:O246 N249:O250 N252:O252 N254:O256 N258:O264 N267:O269 N275:O275">
    <cfRule type="containsText" dxfId="9" priority="42309" operator="containsText" text="No">
      <formula>NOT(ISERROR(SEARCH(("No"),(N235))))</formula>
    </cfRule>
  </conditionalFormatting>
  <conditionalFormatting sqref="N235:O237 N239:O240 N242:O242 N244:O246 N249:O250 N252:O252 N254:O256 N258:O264 N267:O269 N275:O275">
    <cfRule type="containsText" dxfId="9" priority="42310" operator="containsText" text="No">
      <formula>NOT(ISERROR(SEARCH(("No"),(N235))))</formula>
    </cfRule>
  </conditionalFormatting>
  <conditionalFormatting sqref="N235:O237 N239:O240 N242:O242 N244:O246 N249:O250 N252:O252 N254:O256 N258:O264 N267:O269 N275:O275">
    <cfRule type="containsText" dxfId="9" priority="42311" operator="containsText" text="No">
      <formula>NOT(ISERROR(SEARCH(("No"),(N235))))</formula>
    </cfRule>
  </conditionalFormatting>
  <conditionalFormatting sqref="N235:O237 N239:O240 N242:O242 N244:O246 N249:O250 N252:O252 N254:O256 N258:O264 N267:O269 N275:O275">
    <cfRule type="containsText" dxfId="9" priority="42312" operator="containsText" text="No">
      <formula>NOT(ISERROR(SEARCH(("No"),(N235))))</formula>
    </cfRule>
  </conditionalFormatting>
  <conditionalFormatting sqref="N235:O237 N239:O240 N242:O242 N244:O246 N249:O250 N252:O252 N254:O256 N258:O264 N267:O269 N275:O275">
    <cfRule type="containsText" dxfId="9" priority="42313" operator="containsText" text="No">
      <formula>NOT(ISERROR(SEARCH(("No"),(N235))))</formula>
    </cfRule>
  </conditionalFormatting>
  <conditionalFormatting sqref="N235:O237 N239:O240 N242:O242 N244:O246 N249:O250 N252:O252 N254:O256 N258:O264 N267:O269 N275:O275">
    <cfRule type="containsText" dxfId="9" priority="42314" operator="containsText" text="No">
      <formula>NOT(ISERROR(SEARCH(("No"),(N235))))</formula>
    </cfRule>
  </conditionalFormatting>
  <conditionalFormatting sqref="N235:O237 N239:O240 N242:O242 N244:O246 N249:O250 N252:O252 N254:O256 N258:O264 N267:O269 N275:O275">
    <cfRule type="containsText" dxfId="9" priority="42315" operator="containsText" text="No">
      <formula>NOT(ISERROR(SEARCH(("No"),(N235))))</formula>
    </cfRule>
  </conditionalFormatting>
  <conditionalFormatting sqref="N235:O237 N239:O240 N242:O242 N244:O246 N249:O250 N252:O252 N254:O256 N258:O264 N267:O269 N275:O275">
    <cfRule type="containsText" dxfId="9" priority="42316" operator="containsText" text="No">
      <formula>NOT(ISERROR(SEARCH(("No"),(N235))))</formula>
    </cfRule>
  </conditionalFormatting>
  <conditionalFormatting sqref="N235:O237 N239:O240 N242:O242 N244:O246 N249:O250 N252:O252 N254:O256 N258:O264 N267:O269 N275:O275">
    <cfRule type="containsText" dxfId="9" priority="42317" operator="containsText" text="No">
      <formula>NOT(ISERROR(SEARCH(("No"),(N235))))</formula>
    </cfRule>
  </conditionalFormatting>
  <conditionalFormatting sqref="N235:O237 N239:O240 N242:O242 N244:O246 N249:O250 N252:O252 N254:O256 N258:O264 N267:O269 N275:O275">
    <cfRule type="containsText" dxfId="9" priority="42318" operator="containsText" text="No">
      <formula>NOT(ISERROR(SEARCH(("No"),(N235))))</formula>
    </cfRule>
  </conditionalFormatting>
  <conditionalFormatting sqref="N235:O237 N239:O240 N242:O242 N244:O246 N249:O250 N252:O252 N254:O256 N258:O264 N267:O269 N275:O275">
    <cfRule type="containsText" dxfId="9" priority="42319" operator="containsText" text="No">
      <formula>NOT(ISERROR(SEARCH(("No"),(N235))))</formula>
    </cfRule>
  </conditionalFormatting>
  <conditionalFormatting sqref="N235:O237 N239:O240 N242:O242 N244:O246 N249:O250 N252:O252 N254:O256 N258:O264 N267:O269 N275:O275">
    <cfRule type="containsText" dxfId="9" priority="42320" operator="containsText" text="No">
      <formula>NOT(ISERROR(SEARCH(("No"),(N235))))</formula>
    </cfRule>
  </conditionalFormatting>
  <conditionalFormatting sqref="N235:O237 N239:O240 N242:O242 N244:O246 N249:O250 N252:O252 N254:O256 N258:O264 N267:O269 N275:O275">
    <cfRule type="containsText" dxfId="9" priority="42321" operator="containsText" text="No">
      <formula>NOT(ISERROR(SEARCH(("No"),(N235))))</formula>
    </cfRule>
  </conditionalFormatting>
  <conditionalFormatting sqref="N235:O237 N239:O240 N242:O242 N244:O246 N249:O250 N252:O252 N254:O256 N258:O264 N267:O269 N275:O275">
    <cfRule type="containsText" dxfId="9" priority="42322" operator="containsText" text="No">
      <formula>NOT(ISERROR(SEARCH(("No"),(N235))))</formula>
    </cfRule>
  </conditionalFormatting>
  <conditionalFormatting sqref="N235:O237 N239:O240 N242:O242 N244:O246 N249:O250 N252:O252 N254:O256 N258:O264 N267:O269 N275:O275">
    <cfRule type="containsText" dxfId="9" priority="42323" operator="containsText" text="No">
      <formula>NOT(ISERROR(SEARCH(("No"),(N235))))</formula>
    </cfRule>
  </conditionalFormatting>
  <conditionalFormatting sqref="N235:O237 N239:O240 N242:O242 N244:O246 N249:O250 N252:O252 N254:O256 N258:O264 N267:O269 N275:O275">
    <cfRule type="containsText" dxfId="9" priority="42324" operator="containsText" text="No">
      <formula>NOT(ISERROR(SEARCH(("No"),(N235))))</formula>
    </cfRule>
  </conditionalFormatting>
  <conditionalFormatting sqref="N235:O237 N239:O240 N242:O242 N244:O246 N249:O250 N252:O252 N254:O256 N258:O264 N267:O269 N275:O275">
    <cfRule type="containsText" dxfId="9" priority="42325" operator="containsText" text="No">
      <formula>NOT(ISERROR(SEARCH(("No"),(N235))))</formula>
    </cfRule>
  </conditionalFormatting>
  <conditionalFormatting sqref="N235:O237 N239:O240 N242:O242 N244:O246 N249:O250 N252:O252 N254:O256 N258:O264 N267:O269 N275:O275">
    <cfRule type="containsText" dxfId="9" priority="42326" operator="containsText" text="No">
      <formula>NOT(ISERROR(SEARCH(("No"),(N235))))</formula>
    </cfRule>
  </conditionalFormatting>
  <conditionalFormatting sqref="N235:O237 N239:O240 N242:O242 N244:O246 N249:O250 N252:O252 N254:O256 N258:O264 N267:O269 N275:O275">
    <cfRule type="containsText" dxfId="9" priority="42327" operator="containsText" text="No">
      <formula>NOT(ISERROR(SEARCH(("No"),(N235))))</formula>
    </cfRule>
  </conditionalFormatting>
  <conditionalFormatting sqref="N235:O237 N239:O240 N242:O242 N244:O246 N249:O250 N252:O252 N254:O256 N258:O264 N267:O269 N275:O275">
    <cfRule type="containsText" dxfId="9" priority="42328" operator="containsText" text="No">
      <formula>NOT(ISERROR(SEARCH(("No"),(N235))))</formula>
    </cfRule>
  </conditionalFormatting>
  <conditionalFormatting sqref="N235:O237 N239:O240 N242:O242 N244:O246 N249:O250 N252:O252 N254:O256 N258:O264 N267:O269 N275:O275">
    <cfRule type="containsText" dxfId="9" priority="42329" operator="containsText" text="No">
      <formula>NOT(ISERROR(SEARCH(("No"),(N235))))</formula>
    </cfRule>
  </conditionalFormatting>
  <conditionalFormatting sqref="N235:O237 N239:O240 N242:O242 N244:O246 N249:O250 N252:O252 N254:O256 N258:O264 N267:O269 N275:O275">
    <cfRule type="containsText" dxfId="9" priority="42330" operator="containsText" text="No">
      <formula>NOT(ISERROR(SEARCH(("No"),(N235))))</formula>
    </cfRule>
  </conditionalFormatting>
  <conditionalFormatting sqref="N235:O237 N239:O240 N242:O242 N244:O246 N249:O250 N252:O252 N254:O256 N258:O264 N267:O269 N275:O275">
    <cfRule type="containsText" dxfId="9" priority="42331" operator="containsText" text="No">
      <formula>NOT(ISERROR(SEARCH(("No"),(N235))))</formula>
    </cfRule>
  </conditionalFormatting>
  <conditionalFormatting sqref="N235:O237 N239:O240 N242:O242 N244:O246 N249:O250 N252:O252 N254:O256 N258:O264 N267:O269 N275:O275">
    <cfRule type="containsText" dxfId="9" priority="42332" operator="containsText" text="No">
      <formula>NOT(ISERROR(SEARCH(("No"),(N235))))</formula>
    </cfRule>
  </conditionalFormatting>
  <conditionalFormatting sqref="N235:O237 N239:O240 N242:O242 N244:O246 N249:O250 N252:O252 N254:O256 N258:O264 N267:O269 N275:O275">
    <cfRule type="containsText" dxfId="9" priority="42333" operator="containsText" text="No">
      <formula>NOT(ISERROR(SEARCH(("No"),(N235))))</formula>
    </cfRule>
  </conditionalFormatting>
  <conditionalFormatting sqref="N235:O237 N239:O240 N242:O242 N244:O246 N249:O250 N252:O252 N254:O256 N258:O264 N267:O269 N275:O275">
    <cfRule type="containsText" dxfId="2" priority="42334" operator="containsText" text="Yes">
      <formula>NOT(ISERROR(SEARCH(("Yes"),(N235))))</formula>
    </cfRule>
  </conditionalFormatting>
  <conditionalFormatting sqref="N235:O237 N239:O240 N242:O242 N244:O246 N249:O250 N252:O252 N254:O256 N258:O264 N267:O269 N275:O275">
    <cfRule type="containsText" dxfId="2" priority="42335" operator="containsText" text="Yes">
      <formula>NOT(ISERROR(SEARCH(("Yes"),(N235))))</formula>
    </cfRule>
  </conditionalFormatting>
  <conditionalFormatting sqref="N235:O237 N239:O240 N242:O242 N244:O246 N249:O250 N252:O252 N254:O256 N258:O264 N267:O269 N275:O275">
    <cfRule type="containsText" dxfId="2" priority="42336" operator="containsText" text="Yes">
      <formula>NOT(ISERROR(SEARCH(("Yes"),(N235))))</formula>
    </cfRule>
  </conditionalFormatting>
  <conditionalFormatting sqref="N235:O237 N239:O240 N242:O242 N244:O246 N249:O250 N252:O252 N254:O256 N258:O264 N267:O269 N275:O275">
    <cfRule type="containsText" dxfId="2" priority="42337" operator="containsText" text="Yes">
      <formula>NOT(ISERROR(SEARCH(("Yes"),(N235))))</formula>
    </cfRule>
  </conditionalFormatting>
  <conditionalFormatting sqref="N235:O237 N239:O240 N242:O242 N244:O246 N249:O250 N252:O252 N254:O256 N258:O264 N267:O269 N275:O275">
    <cfRule type="containsText" dxfId="2" priority="42338" operator="containsText" text="Yes">
      <formula>NOT(ISERROR(SEARCH(("Yes"),(N235))))</formula>
    </cfRule>
  </conditionalFormatting>
  <conditionalFormatting sqref="N235:O237 N239:O240 N242:O242 N244:O246 N249:O250 N252:O252 N254:O256 N258:O264 N267:O269 N275:O275">
    <cfRule type="containsText" dxfId="2" priority="42339" operator="containsText" text="Yes">
      <formula>NOT(ISERROR(SEARCH(("Yes"),(N235))))</formula>
    </cfRule>
  </conditionalFormatting>
  <conditionalFormatting sqref="N235:O237 N239:O240 N242:O242 N244:O246 N249:O250 N252:O252 N254:O256 N258:O264 N267:O269 N275:O275">
    <cfRule type="containsText" dxfId="2" priority="42340" operator="containsText" text="Yes">
      <formula>NOT(ISERROR(SEARCH(("Yes"),(N235))))</formula>
    </cfRule>
  </conditionalFormatting>
  <conditionalFormatting sqref="N235:O237 N239:O240 N242:O242 N244:O246 N249:O250 N252:O252 N254:O256 N258:O264 N267:O269 N275:O275">
    <cfRule type="containsText" dxfId="2" priority="42341" operator="containsText" text="Yes">
      <formula>NOT(ISERROR(SEARCH(("Yes"),(N235))))</formula>
    </cfRule>
  </conditionalFormatting>
  <conditionalFormatting sqref="N235:O237 N239:O240 N242:O242 N244:O246 N249:O250 N252:O252 N254:O256 N258:O264 N267:O269 N275:O275">
    <cfRule type="containsText" dxfId="2" priority="42342" operator="containsText" text="Yes">
      <formula>NOT(ISERROR(SEARCH(("Yes"),(N235))))</formula>
    </cfRule>
  </conditionalFormatting>
  <conditionalFormatting sqref="N235:O237 N239:O240 N242:O242 N244:O246 N249:O250 N252:O252 N254:O256 N258:O264 N267:O269 N275:O275">
    <cfRule type="containsText" dxfId="2" priority="42343" operator="containsText" text="Yes">
      <formula>NOT(ISERROR(SEARCH(("Yes"),(N235))))</formula>
    </cfRule>
  </conditionalFormatting>
  <conditionalFormatting sqref="N235:O237 N239:O240 N242:O242 N244:O246 N249:O250 N252:O252 N254:O256 N258:O264 N267:O269 N275:O275">
    <cfRule type="containsText" dxfId="2" priority="42344" operator="containsText" text="Yes">
      <formula>NOT(ISERROR(SEARCH(("Yes"),(N235))))</formula>
    </cfRule>
  </conditionalFormatting>
  <conditionalFormatting sqref="N235:O237 N239:O240 N242:O242 N244:O246 N249:O250 N252:O252 N254:O256 N258:O264 N267:O269 N275:O275">
    <cfRule type="containsText" dxfId="2" priority="42345" operator="containsText" text="Yes">
      <formula>NOT(ISERROR(SEARCH(("Yes"),(N235))))</formula>
    </cfRule>
  </conditionalFormatting>
  <conditionalFormatting sqref="N235:O237 N239:O240 N242:O242 N244:O246 N249:O250 N252:O252 N254:O256 N258:O264 N267:O269 N275:O275">
    <cfRule type="containsText" dxfId="2" priority="42346" operator="containsText" text="Yes">
      <formula>NOT(ISERROR(SEARCH(("Yes"),(N235))))</formula>
    </cfRule>
  </conditionalFormatting>
  <conditionalFormatting sqref="N235:O237 N239:O240 N242:O242 N244:O246 N249:O250 N252:O252 N254:O256 N258:O264 N267:O269 N275:O275">
    <cfRule type="containsText" dxfId="2" priority="42347" operator="containsText" text="Yes">
      <formula>NOT(ISERROR(SEARCH(("Yes"),(N235))))</formula>
    </cfRule>
  </conditionalFormatting>
  <conditionalFormatting sqref="N235:O237 N239:O240 N242:O242 N244:O246 N249:O250 N252:O252 N254:O256 N258:O264 N267:O269 N275:O275">
    <cfRule type="containsText" dxfId="2" priority="42348" operator="containsText" text="Yes">
      <formula>NOT(ISERROR(SEARCH(("Yes"),(N235))))</formula>
    </cfRule>
  </conditionalFormatting>
  <conditionalFormatting sqref="N235:O237 N239:O240 N242:O242 N244:O246 N249:O250 N252:O252 N254:O256 N258:O264 N267:O269 N275:O275">
    <cfRule type="containsText" dxfId="2" priority="42349" operator="containsText" text="Yes">
      <formula>NOT(ISERROR(SEARCH(("Yes"),(N235))))</formula>
    </cfRule>
  </conditionalFormatting>
  <conditionalFormatting sqref="N235:O237 N239:O240 N242:O242 N244:O246 N249:O250 N252:O252 N254:O256 N258:O264 N267:O269 N275:O275">
    <cfRule type="containsText" dxfId="2" priority="42350" operator="containsText" text="Yes">
      <formula>NOT(ISERROR(SEARCH(("Yes"),(N235))))</formula>
    </cfRule>
  </conditionalFormatting>
  <conditionalFormatting sqref="N235:O237 N239:O240 N242:O242 N244:O246 N249:O250 N252:O252 N254:O256 N258:O264 N267:O269 N275:O275">
    <cfRule type="containsText" dxfId="2" priority="42351" operator="containsText" text="Yes">
      <formula>NOT(ISERROR(SEARCH(("Yes"),(N235))))</formula>
    </cfRule>
  </conditionalFormatting>
  <conditionalFormatting sqref="N235:O237 N239:O240 N242:O242 N244:O246 N249:O250 N252:O252 N254:O256 N258:O264 N267:O269 N275:O275">
    <cfRule type="containsText" dxfId="2" priority="42352" operator="containsText" text="Yes">
      <formula>NOT(ISERROR(SEARCH(("Yes"),(N235))))</formula>
    </cfRule>
  </conditionalFormatting>
  <conditionalFormatting sqref="N235:O237 N239:O240 N242:O242 N244:O246 N249:O250 N252:O252 N254:O256 N258:O264 N267:O269 N275:O275">
    <cfRule type="containsText" dxfId="2" priority="42353" operator="containsText" text="Yes">
      <formula>NOT(ISERROR(SEARCH(("Yes"),(N235))))</formula>
    </cfRule>
  </conditionalFormatting>
  <conditionalFormatting sqref="N235:O237 N239:O240 N242:O242 N244:O246 N249:O250 N252:O252 N254:O256 N258:O264 N267:O269 N275:O275">
    <cfRule type="containsText" dxfId="2" priority="42354" operator="containsText" text="Yes">
      <formula>NOT(ISERROR(SEARCH(("Yes"),(N235))))</formula>
    </cfRule>
  </conditionalFormatting>
  <conditionalFormatting sqref="N235:O237 N239:O240 N242:O242 N244:O246 N249:O250 N252:O252 N254:O256 N258:O264 N267:O269 N275:O275">
    <cfRule type="containsText" dxfId="2" priority="42355" operator="containsText" text="Yes">
      <formula>NOT(ISERROR(SEARCH(("Yes"),(N235))))</formula>
    </cfRule>
  </conditionalFormatting>
  <conditionalFormatting sqref="N235:O237 N239:O240 N242:O242 N244:O246 N249:O250 N252:O252 N254:O256 N258:O264 N267:O269 N275:O275">
    <cfRule type="containsText" dxfId="2" priority="42356" operator="containsText" text="Yes">
      <formula>NOT(ISERROR(SEARCH(("Yes"),(N235))))</formula>
    </cfRule>
  </conditionalFormatting>
  <conditionalFormatting sqref="N235:O237 N239:O240 N242:O242 N244:O246 N249:O250 N252:O252 N254:O256 N258:O264 N267:O269 N275:O275">
    <cfRule type="containsText" dxfId="2" priority="42357" operator="containsText" text="Yes">
      <formula>NOT(ISERROR(SEARCH(("Yes"),(N235))))</formula>
    </cfRule>
  </conditionalFormatting>
  <conditionalFormatting sqref="N235:O237 N239:O240 N242:O242 N244:O246 N249:O250 N252:O252 N254:O256 N258:O264 N267:O269 N275:O275">
    <cfRule type="containsText" dxfId="2" priority="42358" operator="containsText" text="Yes">
      <formula>NOT(ISERROR(SEARCH(("Yes"),(N235))))</formula>
    </cfRule>
  </conditionalFormatting>
  <conditionalFormatting sqref="N235:O237 N239:O240 N242:O242 N244:O246 N249:O250 N252:O252 N254:O256 N258:O264 N267:O269 N275:O275">
    <cfRule type="containsText" dxfId="2" priority="42359" operator="containsText" text="Yes">
      <formula>NOT(ISERROR(SEARCH(("Yes"),(N235))))</formula>
    </cfRule>
  </conditionalFormatting>
  <conditionalFormatting sqref="N235:O237 N239:O240 N242:O242 N244:O246 N249:O250 N252:O252 N254:O256 N258:O264 N267:O269 N275:O275">
    <cfRule type="containsText" dxfId="2" priority="42360" operator="containsText" text="Yes">
      <formula>NOT(ISERROR(SEARCH(("Yes"),(N235))))</formula>
    </cfRule>
  </conditionalFormatting>
  <conditionalFormatting sqref="N235:O237 N239:O240 N242:O242 N244:O246 N249:O250 N252:O252 N254:O256 N258:O264 N267:O269 N275:O275">
    <cfRule type="containsText" dxfId="2" priority="42361" operator="containsText" text="Yes">
      <formula>NOT(ISERROR(SEARCH(("Yes"),(N235))))</formula>
    </cfRule>
  </conditionalFormatting>
  <conditionalFormatting sqref="N235:O237 N239:O240 N242:O242 N244:O246 N249:O250 N252:O252 N254:O256 N258:O264 N267:O269 N275:O275">
    <cfRule type="containsText" dxfId="2" priority="42362" operator="containsText" text="Yes">
      <formula>NOT(ISERROR(SEARCH(("Yes"),(N235))))</formula>
    </cfRule>
  </conditionalFormatting>
  <conditionalFormatting sqref="N235:O237 N239:O240 N242:O242 N244:O246 N249:O250 N252:O252 N254:O256 N258:O264 N267:O269 N275:O275">
    <cfRule type="containsText" dxfId="2" priority="42363" operator="containsText" text="Yes">
      <formula>NOT(ISERROR(SEARCH(("Yes"),(N235))))</formula>
    </cfRule>
  </conditionalFormatting>
  <conditionalFormatting sqref="N235:O237 N239:O240 N242:O242 N244:O246 N249:O250 N252:O252 N254:O256 N258:O264 N267:O269 N275:O275">
    <cfRule type="containsText" dxfId="2" priority="42364" operator="containsText" text="Yes">
      <formula>NOT(ISERROR(SEARCH(("Yes"),(N235))))</formula>
    </cfRule>
  </conditionalFormatting>
  <conditionalFormatting sqref="N235:O237 N239:O240 N242:O242 N244:O246 N249:O250 N252:O252 N254:O256 N258:O264 N267:O269 N275:O275">
    <cfRule type="containsText" dxfId="2" priority="42365" operator="containsText" text="Yes">
      <formula>NOT(ISERROR(SEARCH(("Yes"),(N235))))</formula>
    </cfRule>
  </conditionalFormatting>
  <conditionalFormatting sqref="N235:O237 N239:O240 N242:O242 N244:O246 N249:O250 N252:O252 N254:O256 N258:O264 N267:O269 N275:O275">
    <cfRule type="containsText" dxfId="2" priority="42366" operator="containsText" text="Yes">
      <formula>NOT(ISERROR(SEARCH(("Yes"),(N235))))</formula>
    </cfRule>
  </conditionalFormatting>
  <conditionalFormatting sqref="N235:O237 N239:O240 N242:O242 N244:O246 N249:O250 N252:O252 N254:O256 N258:O264 N267:O269 N275:O275">
    <cfRule type="containsText" dxfId="2" priority="42367" operator="containsText" text="Yes">
      <formula>NOT(ISERROR(SEARCH(("Yes"),(N235))))</formula>
    </cfRule>
  </conditionalFormatting>
  <conditionalFormatting sqref="N235:O237 N239:O240 N242:O242 N244:O246 N249:O250 N252:O252 N254:O256 N258:O264 N267:O269 N275:O275">
    <cfRule type="containsText" dxfId="2" priority="42368" operator="containsText" text="Yes">
      <formula>NOT(ISERROR(SEARCH(("Yes"),(N235))))</formula>
    </cfRule>
  </conditionalFormatting>
  <conditionalFormatting sqref="N235:O237 N239:O240 N242:O242 N244:O246 N249:O250 N252:O252 N254:O256 N258:O264 N267:O269 N275:O275">
    <cfRule type="containsText" dxfId="2" priority="42369" operator="containsText" text="Yes">
      <formula>NOT(ISERROR(SEARCH(("Yes"),(N235))))</formula>
    </cfRule>
  </conditionalFormatting>
  <conditionalFormatting sqref="N235:O237 N239:O240 N242:O242 N244:O246 N249:O250 N252:O252 N254:O256 N258:O264 N267:O269 N275:O275">
    <cfRule type="containsText" dxfId="2" priority="42370" operator="containsText" text="Yes">
      <formula>NOT(ISERROR(SEARCH(("Yes"),(N235))))</formula>
    </cfRule>
  </conditionalFormatting>
  <conditionalFormatting sqref="N235:O237 N239:O240 N242:O242 N244:O246 N249:O250 N252:O252 N254:O256 N258:O264 N267:O269 N275:O275">
    <cfRule type="containsText" dxfId="2" priority="42371" operator="containsText" text="Yes">
      <formula>NOT(ISERROR(SEARCH(("Yes"),(N235))))</formula>
    </cfRule>
  </conditionalFormatting>
  <conditionalFormatting sqref="N235:O237 N239:O240 N242:O242 N244:O246 N249:O250 N252:O252 N254:O256 N258:O264 N267:O269 N275:O275">
    <cfRule type="containsText" dxfId="2" priority="42372" operator="containsText" text="Yes">
      <formula>NOT(ISERROR(SEARCH(("Yes"),(N235))))</formula>
    </cfRule>
  </conditionalFormatting>
  <conditionalFormatting sqref="N235:O237 N239:O240 N242:O242 N244:O246 N249:O250 N252:O252 N254:O256 N258:O264 N267:O269 N275:O275">
    <cfRule type="containsText" dxfId="2" priority="42373" operator="containsText" text="Yes">
      <formula>NOT(ISERROR(SEARCH(("Yes"),(N235))))</formula>
    </cfRule>
  </conditionalFormatting>
  <conditionalFormatting sqref="N235:O237 N239:O240 N242:O242 N244:O246 N249:O250 N252:O252 N254:O256 N258:O264 N267:O269 N275:O275">
    <cfRule type="containsText" dxfId="2" priority="42374" operator="containsText" text="Yes">
      <formula>NOT(ISERROR(SEARCH(("Yes"),(N235))))</formula>
    </cfRule>
  </conditionalFormatting>
  <conditionalFormatting sqref="N235:O237 N239:O240 N242:O242 N244:O246 N249:O250 N252:O252 N254:O256 N258:O264 N267:O269 N275:O275">
    <cfRule type="containsText" dxfId="2" priority="42375" operator="containsText" text="Yes">
      <formula>NOT(ISERROR(SEARCH(("Yes"),(N235))))</formula>
    </cfRule>
  </conditionalFormatting>
  <conditionalFormatting sqref="N235:O237 N239:O240 N242:O242 N244:O246 N249:O250 N252:O252 N254:O256 N258:O264 N267:O269 N275:O275">
    <cfRule type="containsText" dxfId="2" priority="42376" operator="containsText" text="Yes">
      <formula>NOT(ISERROR(SEARCH(("Yes"),(N235))))</formula>
    </cfRule>
  </conditionalFormatting>
  <conditionalFormatting sqref="N235:O237 N239:O240 N242:O242 N244:O246 N249:O250 N252:O252 N254:O256 N258:O264 N267:O269 N275:O275">
    <cfRule type="containsText" dxfId="2" priority="42377" operator="containsText" text="Yes">
      <formula>NOT(ISERROR(SEARCH(("Yes"),(N235))))</formula>
    </cfRule>
  </conditionalFormatting>
  <conditionalFormatting sqref="N235:O237 N239:O240 N242:O242 N244:O246 N249:O250 N252:O252 N254:O256 N258:O264 N267:O269 N275:O275">
    <cfRule type="containsText" dxfId="2" priority="42378" operator="containsText" text="Yes">
      <formula>NOT(ISERROR(SEARCH(("Yes"),(N235))))</formula>
    </cfRule>
  </conditionalFormatting>
  <conditionalFormatting sqref="N235:O237 N239:O240 N242:O242 N244:O246 N249:O250 N252:O252 N254:O256 N258:O264 N267:O269 N275:O275">
    <cfRule type="containsText" dxfId="2" priority="42379" operator="containsText" text="Yes">
      <formula>NOT(ISERROR(SEARCH(("Yes"),(N235))))</formula>
    </cfRule>
  </conditionalFormatting>
  <conditionalFormatting sqref="N235:O237 N239:O240 N242:O242 N244:O246 N249:O250 N252:O252 N254:O256 N258:O264 N267:O269 N275:O275">
    <cfRule type="containsText" dxfId="2" priority="42380" operator="containsText" text="Yes">
      <formula>NOT(ISERROR(SEARCH(("Yes"),(N235))))</formula>
    </cfRule>
  </conditionalFormatting>
  <conditionalFormatting sqref="P236:Q237 P239:Q240 P242:Q242 P244:Q246 P249:Q250 P252:Q252">
    <cfRule type="containsText" dxfId="9" priority="42381" operator="containsText" text="No">
      <formula>NOT(ISERROR(SEARCH(("No"),(P236))))</formula>
    </cfRule>
  </conditionalFormatting>
  <conditionalFormatting sqref="P236:Q237 P239:Q240 P242:Q242 P244:Q246 P249:Q250 P252:Q252">
    <cfRule type="containsText" dxfId="9" priority="42382" operator="containsText" text="No">
      <formula>NOT(ISERROR(SEARCH(("No"),(P236))))</formula>
    </cfRule>
  </conditionalFormatting>
  <conditionalFormatting sqref="P236:Q237 P239:Q240 P242:Q242 P244:Q246 P249:Q250 P252:Q252">
    <cfRule type="containsText" dxfId="9" priority="42383" operator="containsText" text="No">
      <formula>NOT(ISERROR(SEARCH(("No"),(P236))))</formula>
    </cfRule>
  </conditionalFormatting>
  <conditionalFormatting sqref="P236:Q237 P239:Q240 P242:Q242 P244:Q246 P249:Q250 P252:Q252">
    <cfRule type="containsText" dxfId="9" priority="42384" operator="containsText" text="No">
      <formula>NOT(ISERROR(SEARCH(("No"),(P236))))</formula>
    </cfRule>
  </conditionalFormatting>
  <conditionalFormatting sqref="P236:Q237 P239:Q240 P242:Q242 P244:Q246 P249:Q250 P252:Q252">
    <cfRule type="containsText" dxfId="9" priority="42385" operator="containsText" text="No">
      <formula>NOT(ISERROR(SEARCH(("No"),(P236))))</formula>
    </cfRule>
  </conditionalFormatting>
  <conditionalFormatting sqref="P236:Q237 P239:Q240 P242:Q242 P244:Q246 P249:Q250 P252:Q252">
    <cfRule type="containsText" dxfId="9" priority="42386" operator="containsText" text="No">
      <formula>NOT(ISERROR(SEARCH(("No"),(P236))))</formula>
    </cfRule>
  </conditionalFormatting>
  <conditionalFormatting sqref="P236:Q237 P239:Q240 P242:Q242 P244:Q246 P249:Q250 P252:Q252">
    <cfRule type="containsText" dxfId="9" priority="42387" operator="containsText" text="No">
      <formula>NOT(ISERROR(SEARCH(("No"),(P236))))</formula>
    </cfRule>
  </conditionalFormatting>
  <conditionalFormatting sqref="P236:Q237 P239:Q240 P242:Q242 P244:Q246 P249:Q250 P252:Q252">
    <cfRule type="containsText" dxfId="9" priority="42388" operator="containsText" text="No">
      <formula>NOT(ISERROR(SEARCH(("No"),(P236))))</formula>
    </cfRule>
  </conditionalFormatting>
  <conditionalFormatting sqref="P236:Q237 P239:Q240 P242:Q242 P244:Q246 P249:Q250 P252:Q252">
    <cfRule type="containsText" dxfId="9" priority="42389" operator="containsText" text="No">
      <formula>NOT(ISERROR(SEARCH(("No"),(P236))))</formula>
    </cfRule>
  </conditionalFormatting>
  <conditionalFormatting sqref="P236:Q237 P239:Q240 P242:Q242 P244:Q246 P249:Q250 P252:Q252">
    <cfRule type="containsText" dxfId="9" priority="42390" operator="containsText" text="No">
      <formula>NOT(ISERROR(SEARCH(("No"),(P236))))</formula>
    </cfRule>
  </conditionalFormatting>
  <conditionalFormatting sqref="P236:Q237 P239:Q240 P242:Q242 P244:Q246 P249:Q250 P252:Q252">
    <cfRule type="containsText" dxfId="9" priority="42391" operator="containsText" text="No">
      <formula>NOT(ISERROR(SEARCH(("No"),(P236))))</formula>
    </cfRule>
  </conditionalFormatting>
  <conditionalFormatting sqref="P236:Q237 P239:Q240 P242:Q242 P244:Q246 P249:Q250 P252:Q252">
    <cfRule type="containsText" dxfId="9" priority="42392" operator="containsText" text="No">
      <formula>NOT(ISERROR(SEARCH(("No"),(P236))))</formula>
    </cfRule>
  </conditionalFormatting>
  <conditionalFormatting sqref="P236:Q237 P239:Q240 P242:Q242 P244:Q246 P249:Q250 P252:Q252">
    <cfRule type="containsText" dxfId="9" priority="42393" operator="containsText" text="No">
      <formula>NOT(ISERROR(SEARCH(("No"),(P236))))</formula>
    </cfRule>
  </conditionalFormatting>
  <conditionalFormatting sqref="P236:Q237 P239:Q240 P242:Q242 P244:Q246 P249:Q250 P252:Q252">
    <cfRule type="containsText" dxfId="9" priority="42394" operator="containsText" text="No">
      <formula>NOT(ISERROR(SEARCH(("No"),(P236))))</formula>
    </cfRule>
  </conditionalFormatting>
  <conditionalFormatting sqref="P236:Q237 P239:Q240 P242:Q242 P244:Q246 P249:Q250 P252:Q252">
    <cfRule type="containsText" dxfId="9" priority="42395" operator="containsText" text="No">
      <formula>NOT(ISERROR(SEARCH(("No"),(P236))))</formula>
    </cfRule>
  </conditionalFormatting>
  <conditionalFormatting sqref="P236:Q237 P239:Q240 P242:Q242 P244:Q246 P249:Q250 P252:Q252">
    <cfRule type="containsText" dxfId="9" priority="42396" operator="containsText" text="No">
      <formula>NOT(ISERROR(SEARCH(("No"),(P236))))</formula>
    </cfRule>
  </conditionalFormatting>
  <conditionalFormatting sqref="P236:Q237 P239:Q240 P242:Q242 P244:Q246 P249:Q250 P252:Q252">
    <cfRule type="containsText" dxfId="9" priority="42397" operator="containsText" text="No">
      <formula>NOT(ISERROR(SEARCH(("No"),(P236))))</formula>
    </cfRule>
  </conditionalFormatting>
  <conditionalFormatting sqref="P236:Q237 P239:Q240 P242:Q242 P244:Q246 P249:Q250 P252:Q252">
    <cfRule type="containsText" dxfId="9" priority="42398" operator="containsText" text="No">
      <formula>NOT(ISERROR(SEARCH(("No"),(P236))))</formula>
    </cfRule>
  </conditionalFormatting>
  <conditionalFormatting sqref="P236:Q237 P239:Q240 P242:Q242 P244:Q246 P249:Q250 P252:Q252">
    <cfRule type="containsText" dxfId="9" priority="42399" operator="containsText" text="No">
      <formula>NOT(ISERROR(SEARCH(("No"),(P236))))</formula>
    </cfRule>
  </conditionalFormatting>
  <conditionalFormatting sqref="P236:Q237 P239:Q240 P242:Q242 P244:Q246 P249:Q250 P252:Q252">
    <cfRule type="containsText" dxfId="9" priority="42400" operator="containsText" text="No">
      <formula>NOT(ISERROR(SEARCH(("No"),(P236))))</formula>
    </cfRule>
  </conditionalFormatting>
  <conditionalFormatting sqref="P236:Q237 P239:Q240 P242:Q242 P244:Q246 P249:Q250 P252:Q252">
    <cfRule type="containsText" dxfId="9" priority="42401" operator="containsText" text="No">
      <formula>NOT(ISERROR(SEARCH(("No"),(P236))))</formula>
    </cfRule>
  </conditionalFormatting>
  <conditionalFormatting sqref="P236:Q237 P239:Q240 P242:Q242 P244:Q246 P249:Q250 P252:Q252">
    <cfRule type="containsText" dxfId="9" priority="42402" operator="containsText" text="No">
      <formula>NOT(ISERROR(SEARCH(("No"),(P236))))</formula>
    </cfRule>
  </conditionalFormatting>
  <conditionalFormatting sqref="P236:Q237 P239:Q240 P242:Q242 P244:Q246 P249:Q250 P252:Q252">
    <cfRule type="containsText" dxfId="9" priority="42403" operator="containsText" text="No">
      <formula>NOT(ISERROR(SEARCH(("No"),(P236))))</formula>
    </cfRule>
  </conditionalFormatting>
  <conditionalFormatting sqref="P236:Q237 P239:Q240 P242:Q242 P244:Q246 P249:Q250 P252:Q252">
    <cfRule type="containsText" dxfId="9" priority="42404" operator="containsText" text="No">
      <formula>NOT(ISERROR(SEARCH(("No"),(P236))))</formula>
    </cfRule>
  </conditionalFormatting>
  <conditionalFormatting sqref="P236:Q237 P239:Q240 P242:Q242 P244:Q246 P249:Q250 P252:Q252">
    <cfRule type="containsText" dxfId="9" priority="42405" operator="containsText" text="No">
      <formula>NOT(ISERROR(SEARCH(("No"),(P236))))</formula>
    </cfRule>
  </conditionalFormatting>
  <conditionalFormatting sqref="P236:Q237 P239:Q240 P242:Q242 P244:Q246 P249:Q250 P252:Q252">
    <cfRule type="containsText" dxfId="9" priority="42406" operator="containsText" text="No">
      <formula>NOT(ISERROR(SEARCH(("No"),(P236))))</formula>
    </cfRule>
  </conditionalFormatting>
  <conditionalFormatting sqref="P236:Q237 P239:Q240 P242:Q242 P244:Q246 P249:Q250 P252:Q252">
    <cfRule type="containsText" dxfId="9" priority="42407" operator="containsText" text="No">
      <formula>NOT(ISERROR(SEARCH(("No"),(P236))))</formula>
    </cfRule>
  </conditionalFormatting>
  <conditionalFormatting sqref="P236:Q237 P239:Q240 P242:Q242 P244:Q246 P249:Q250 P252:Q252">
    <cfRule type="containsText" dxfId="9" priority="42408" operator="containsText" text="No">
      <formula>NOT(ISERROR(SEARCH(("No"),(P236))))</formula>
    </cfRule>
  </conditionalFormatting>
  <conditionalFormatting sqref="P236:Q237 P239:Q240 P242:Q242 P244:Q246 P249:Q250 P252:Q252">
    <cfRule type="containsText" dxfId="9" priority="42409" operator="containsText" text="No">
      <formula>NOT(ISERROR(SEARCH(("No"),(P236))))</formula>
    </cfRule>
  </conditionalFormatting>
  <conditionalFormatting sqref="P236:Q237 P239:Q240 P242:Q242 P244:Q246 P249:Q250 P252:Q252">
    <cfRule type="containsText" dxfId="9" priority="42410" operator="containsText" text="No">
      <formula>NOT(ISERROR(SEARCH(("No"),(P236))))</formula>
    </cfRule>
  </conditionalFormatting>
  <conditionalFormatting sqref="P236:Q237 P239:Q240 P242:Q242 P244:Q246 P249:Q250 P252:Q252">
    <cfRule type="containsText" dxfId="9" priority="42411" operator="containsText" text="No">
      <formula>NOT(ISERROR(SEARCH(("No"),(P236))))</formula>
    </cfRule>
  </conditionalFormatting>
  <conditionalFormatting sqref="P236:Q237 P239:Q240 P242:Q242 P244:Q246 P249:Q250 P252:Q252">
    <cfRule type="containsText" dxfId="9" priority="42412" operator="containsText" text="No">
      <formula>NOT(ISERROR(SEARCH(("No"),(P236))))</formula>
    </cfRule>
  </conditionalFormatting>
  <conditionalFormatting sqref="P236:Q237 P239:Q240 P242:Q242 P244:Q246 P249:Q250 P252:Q252">
    <cfRule type="containsText" dxfId="9" priority="42413" operator="containsText" text="No">
      <formula>NOT(ISERROR(SEARCH(("No"),(P236))))</formula>
    </cfRule>
  </conditionalFormatting>
  <conditionalFormatting sqref="P236:Q237 P239:Q240 P242:Q242 P244:Q246 P249:Q250 P252:Q252">
    <cfRule type="containsText" dxfId="9" priority="42414" operator="containsText" text="No">
      <formula>NOT(ISERROR(SEARCH(("No"),(P236))))</formula>
    </cfRule>
  </conditionalFormatting>
  <conditionalFormatting sqref="P236:Q237 P239:Q240 P242:Q242 P244:Q246 P249:Q250 P252:Q252">
    <cfRule type="containsText" dxfId="9" priority="42415" operator="containsText" text="No">
      <formula>NOT(ISERROR(SEARCH(("No"),(P236))))</formula>
    </cfRule>
  </conditionalFormatting>
  <conditionalFormatting sqref="P236:Q237 P239:Q240 P242:Q242 P244:Q246 P249:Q250 P252:Q252">
    <cfRule type="containsText" dxfId="9" priority="42416" operator="containsText" text="No">
      <formula>NOT(ISERROR(SEARCH(("No"),(P236))))</formula>
    </cfRule>
  </conditionalFormatting>
  <conditionalFormatting sqref="P236:Q237 P239:Q240 P242:Q242 P244:Q246 P249:Q250 P252:Q252">
    <cfRule type="containsText" dxfId="9" priority="42417" operator="containsText" text="No">
      <formula>NOT(ISERROR(SEARCH(("No"),(P236))))</formula>
    </cfRule>
  </conditionalFormatting>
  <conditionalFormatting sqref="P236:Q237 P239:Q240 P242:Q242 P244:Q246 P249:Q250 P252:Q252">
    <cfRule type="containsText" dxfId="9" priority="42418" operator="containsText" text="No">
      <formula>NOT(ISERROR(SEARCH(("No"),(P236))))</formula>
    </cfRule>
  </conditionalFormatting>
  <conditionalFormatting sqref="P236:Q237 P239:Q240 P242:Q242 P244:Q246 P249:Q250 P252:Q252">
    <cfRule type="containsText" dxfId="9" priority="42419" operator="containsText" text="No">
      <formula>NOT(ISERROR(SEARCH(("No"),(P236))))</formula>
    </cfRule>
  </conditionalFormatting>
  <conditionalFormatting sqref="P236:Q237 P239:Q240 P242:Q242 P244:Q246 P249:Q250 P252:Q252">
    <cfRule type="containsText" dxfId="9" priority="42420" operator="containsText" text="No">
      <formula>NOT(ISERROR(SEARCH(("No"),(P236))))</formula>
    </cfRule>
  </conditionalFormatting>
  <conditionalFormatting sqref="P236:Q237 P239:Q240 P242:Q242 P244:Q246 P249:Q250 P252:Q252">
    <cfRule type="containsText" dxfId="9" priority="42421" operator="containsText" text="No">
      <formula>NOT(ISERROR(SEARCH(("No"),(P236))))</formula>
    </cfRule>
  </conditionalFormatting>
  <conditionalFormatting sqref="P236:Q237 P239:Q240 P242:Q242 P244:Q246 P249:Q250 P252:Q252">
    <cfRule type="containsText" dxfId="9" priority="42422" operator="containsText" text="No">
      <formula>NOT(ISERROR(SEARCH(("No"),(P236))))</formula>
    </cfRule>
  </conditionalFormatting>
  <conditionalFormatting sqref="P236:Q237 P239:Q240 P242:Q242 P244:Q246 P249:Q250 P252:Q252">
    <cfRule type="containsText" dxfId="9" priority="42423" operator="containsText" text="No">
      <formula>NOT(ISERROR(SEARCH(("No"),(P236))))</formula>
    </cfRule>
  </conditionalFormatting>
  <conditionalFormatting sqref="P236:Q237 P239:Q240 P242:Q242 P244:Q246 P249:Q250 P252:Q252">
    <cfRule type="containsText" dxfId="9" priority="42424" operator="containsText" text="No">
      <formula>NOT(ISERROR(SEARCH(("No"),(P236))))</formula>
    </cfRule>
  </conditionalFormatting>
  <conditionalFormatting sqref="P236:Q237 P239:Q240 P242:Q242 P244:Q246 P249:Q250 P252:Q252">
    <cfRule type="containsText" dxfId="9" priority="42425" operator="containsText" text="No">
      <formula>NOT(ISERROR(SEARCH(("No"),(P236))))</formula>
    </cfRule>
  </conditionalFormatting>
  <conditionalFormatting sqref="P236:Q237 P239:Q240 P242:Q242 P244:Q246 P249:Q250 P252:Q252">
    <cfRule type="containsText" dxfId="2" priority="42426" operator="containsText" text="Yes">
      <formula>NOT(ISERROR(SEARCH(("Yes"),(P236))))</formula>
    </cfRule>
  </conditionalFormatting>
  <conditionalFormatting sqref="P236:Q237 P239:Q240 P242:Q242 P244:Q246 P249:Q250 P252:Q252">
    <cfRule type="containsText" dxfId="2" priority="42427" operator="containsText" text="Yes">
      <formula>NOT(ISERROR(SEARCH(("Yes"),(P236))))</formula>
    </cfRule>
  </conditionalFormatting>
  <conditionalFormatting sqref="P236:Q237 P239:Q240 P242:Q242 P244:Q246 P249:Q250 P252:Q252">
    <cfRule type="containsText" dxfId="2" priority="42428" operator="containsText" text="Yes">
      <formula>NOT(ISERROR(SEARCH(("Yes"),(P236))))</formula>
    </cfRule>
  </conditionalFormatting>
  <conditionalFormatting sqref="P236:Q237 P239:Q240 P242:Q242 P244:Q246 P249:Q250 P252:Q252">
    <cfRule type="containsText" dxfId="2" priority="42429" operator="containsText" text="Yes">
      <formula>NOT(ISERROR(SEARCH(("Yes"),(P236))))</formula>
    </cfRule>
  </conditionalFormatting>
  <conditionalFormatting sqref="P236:Q237 P239:Q240 P242:Q242 P244:Q246 P249:Q250 P252:Q252">
    <cfRule type="containsText" dxfId="2" priority="42430" operator="containsText" text="Yes">
      <formula>NOT(ISERROR(SEARCH(("Yes"),(P236))))</formula>
    </cfRule>
  </conditionalFormatting>
  <conditionalFormatting sqref="P236:Q237 P239:Q240 P242:Q242 P244:Q246 P249:Q250 P252:Q252">
    <cfRule type="containsText" dxfId="2" priority="42431" operator="containsText" text="Yes">
      <formula>NOT(ISERROR(SEARCH(("Yes"),(P236))))</formula>
    </cfRule>
  </conditionalFormatting>
  <conditionalFormatting sqref="P236:Q237 P239:Q240 P242:Q242 P244:Q246 P249:Q250 P252:Q252">
    <cfRule type="containsText" dxfId="2" priority="42432" operator="containsText" text="Yes">
      <formula>NOT(ISERROR(SEARCH(("Yes"),(P236))))</formula>
    </cfRule>
  </conditionalFormatting>
  <conditionalFormatting sqref="P236:Q237 P239:Q240 P242:Q242 P244:Q246 P249:Q250 P252:Q252">
    <cfRule type="containsText" dxfId="2" priority="42433" operator="containsText" text="Yes">
      <formula>NOT(ISERROR(SEARCH(("Yes"),(P236))))</formula>
    </cfRule>
  </conditionalFormatting>
  <conditionalFormatting sqref="P236:Q237 P239:Q240 P242:Q242 P244:Q246 P249:Q250 P252:Q252">
    <cfRule type="containsText" dxfId="2" priority="42434" operator="containsText" text="Yes">
      <formula>NOT(ISERROR(SEARCH(("Yes"),(P236))))</formula>
    </cfRule>
  </conditionalFormatting>
  <conditionalFormatting sqref="P236:Q237 P239:Q240 P242:Q242 P244:Q246 P249:Q250 P252:Q252">
    <cfRule type="containsText" dxfId="2" priority="42435" operator="containsText" text="Yes">
      <formula>NOT(ISERROR(SEARCH(("Yes"),(P236))))</formula>
    </cfRule>
  </conditionalFormatting>
  <conditionalFormatting sqref="P236:Q237 P239:Q240 P242:Q242 P244:Q246 P249:Q250 P252:Q252">
    <cfRule type="containsText" dxfId="2" priority="42436" operator="containsText" text="Yes">
      <formula>NOT(ISERROR(SEARCH(("Yes"),(P236))))</formula>
    </cfRule>
  </conditionalFormatting>
  <conditionalFormatting sqref="P236:Q237 P239:Q240 P242:Q242 P244:Q246 P249:Q250 P252:Q252">
    <cfRule type="containsText" dxfId="2" priority="42437" operator="containsText" text="Yes">
      <formula>NOT(ISERROR(SEARCH(("Yes"),(P236))))</formula>
    </cfRule>
  </conditionalFormatting>
  <conditionalFormatting sqref="P236:Q237 P239:Q240 P242:Q242 P244:Q246 P249:Q250 P252:Q252">
    <cfRule type="containsText" dxfId="2" priority="42438" operator="containsText" text="Yes">
      <formula>NOT(ISERROR(SEARCH(("Yes"),(P236))))</formula>
    </cfRule>
  </conditionalFormatting>
  <conditionalFormatting sqref="P236:Q237 P239:Q240 P242:Q242 P244:Q246 P249:Q250 P252:Q252">
    <cfRule type="containsText" dxfId="2" priority="42439" operator="containsText" text="Yes">
      <formula>NOT(ISERROR(SEARCH(("Yes"),(P236))))</formula>
    </cfRule>
  </conditionalFormatting>
  <conditionalFormatting sqref="P236:Q237 P239:Q240 P242:Q242 P244:Q246 P249:Q250 P252:Q252">
    <cfRule type="containsText" dxfId="2" priority="42440" operator="containsText" text="Yes">
      <formula>NOT(ISERROR(SEARCH(("Yes"),(P236))))</formula>
    </cfRule>
  </conditionalFormatting>
  <conditionalFormatting sqref="P236:Q237 P239:Q240 P242:Q242 P244:Q246 P249:Q250 P252:Q252">
    <cfRule type="containsText" dxfId="2" priority="42441" operator="containsText" text="Yes">
      <formula>NOT(ISERROR(SEARCH(("Yes"),(P236))))</formula>
    </cfRule>
  </conditionalFormatting>
  <conditionalFormatting sqref="P236:Q237 P239:Q240 P242:Q242 P244:Q246 P249:Q250 P252:Q252">
    <cfRule type="containsText" dxfId="2" priority="42442" operator="containsText" text="Yes">
      <formula>NOT(ISERROR(SEARCH(("Yes"),(P236))))</formula>
    </cfRule>
  </conditionalFormatting>
  <conditionalFormatting sqref="P236:Q237 P239:Q240 P242:Q242 P244:Q246 P249:Q250 P252:Q252">
    <cfRule type="containsText" dxfId="2" priority="42443" operator="containsText" text="Yes">
      <formula>NOT(ISERROR(SEARCH(("Yes"),(P236))))</formula>
    </cfRule>
  </conditionalFormatting>
  <conditionalFormatting sqref="P236:Q237 P239:Q240 P242:Q242 P244:Q246 P249:Q250 P252:Q252">
    <cfRule type="containsText" dxfId="2" priority="42444" operator="containsText" text="Yes">
      <formula>NOT(ISERROR(SEARCH(("Yes"),(P236))))</formula>
    </cfRule>
  </conditionalFormatting>
  <conditionalFormatting sqref="P236:Q237 P239:Q240 P242:Q242 P244:Q246 P249:Q250 P252:Q252">
    <cfRule type="containsText" dxfId="2" priority="42445" operator="containsText" text="Yes">
      <formula>NOT(ISERROR(SEARCH(("Yes"),(P236))))</formula>
    </cfRule>
  </conditionalFormatting>
  <conditionalFormatting sqref="P236:Q237 P239:Q240 P242:Q242 P244:Q246 P249:Q250 P252:Q252">
    <cfRule type="containsText" dxfId="2" priority="42446" operator="containsText" text="Yes">
      <formula>NOT(ISERROR(SEARCH(("Yes"),(P236))))</formula>
    </cfRule>
  </conditionalFormatting>
  <conditionalFormatting sqref="P236:Q237 P239:Q240 P242:Q242 P244:Q246 P249:Q250 P252:Q252">
    <cfRule type="containsText" dxfId="2" priority="42447" operator="containsText" text="Yes">
      <formula>NOT(ISERROR(SEARCH(("Yes"),(P236))))</formula>
    </cfRule>
  </conditionalFormatting>
  <conditionalFormatting sqref="P236:Q237 P239:Q240 P242:Q242 P244:Q246 P249:Q250 P252:Q252">
    <cfRule type="containsText" dxfId="2" priority="42448" operator="containsText" text="Yes">
      <formula>NOT(ISERROR(SEARCH(("Yes"),(P236))))</formula>
    </cfRule>
  </conditionalFormatting>
  <conditionalFormatting sqref="P236:Q237 P239:Q240 P242:Q242 P244:Q246 P249:Q250 P252:Q252">
    <cfRule type="containsText" dxfId="2" priority="42449" operator="containsText" text="Yes">
      <formula>NOT(ISERROR(SEARCH(("Yes"),(P236))))</formula>
    </cfRule>
  </conditionalFormatting>
  <conditionalFormatting sqref="P236:Q237 P239:Q240 P242:Q242 P244:Q246 P249:Q250 P252:Q252">
    <cfRule type="containsText" dxfId="2" priority="42450" operator="containsText" text="Yes">
      <formula>NOT(ISERROR(SEARCH(("Yes"),(P236))))</formula>
    </cfRule>
  </conditionalFormatting>
  <conditionalFormatting sqref="P236:Q237 P239:Q240 P242:Q242 P244:Q246 P249:Q250 P252:Q252">
    <cfRule type="containsText" dxfId="2" priority="42451" operator="containsText" text="Yes">
      <formula>NOT(ISERROR(SEARCH(("Yes"),(P236))))</formula>
    </cfRule>
  </conditionalFormatting>
  <conditionalFormatting sqref="P236:Q237 P239:Q240 P242:Q242 P244:Q246 P249:Q250 P252:Q252">
    <cfRule type="containsText" dxfId="2" priority="42452" operator="containsText" text="Yes">
      <formula>NOT(ISERROR(SEARCH(("Yes"),(P236))))</formula>
    </cfRule>
  </conditionalFormatting>
  <conditionalFormatting sqref="P236:Q237 P239:Q240 P242:Q242 P244:Q246 P249:Q250 P252:Q252">
    <cfRule type="containsText" dxfId="2" priority="42453" operator="containsText" text="Yes">
      <formula>NOT(ISERROR(SEARCH(("Yes"),(P236))))</formula>
    </cfRule>
  </conditionalFormatting>
  <conditionalFormatting sqref="P236:Q237 P239:Q240 P242:Q242 P244:Q246 P249:Q250 P252:Q252">
    <cfRule type="containsText" dxfId="2" priority="42454" operator="containsText" text="Yes">
      <formula>NOT(ISERROR(SEARCH(("Yes"),(P236))))</formula>
    </cfRule>
  </conditionalFormatting>
  <conditionalFormatting sqref="P236:Q237 P239:Q240 P242:Q242 P244:Q246 P249:Q250 P252:Q252">
    <cfRule type="containsText" dxfId="2" priority="42455" operator="containsText" text="Yes">
      <formula>NOT(ISERROR(SEARCH(("Yes"),(P236))))</formula>
    </cfRule>
  </conditionalFormatting>
  <conditionalFormatting sqref="P236:Q237 P239:Q240 P242:Q242 P244:Q246 P249:Q250 P252:Q252">
    <cfRule type="containsText" dxfId="2" priority="42456" operator="containsText" text="Yes">
      <formula>NOT(ISERROR(SEARCH(("Yes"),(P236))))</formula>
    </cfRule>
  </conditionalFormatting>
  <conditionalFormatting sqref="P236:Q237 P239:Q240 P242:Q242 P244:Q246 P249:Q250 P252:Q252">
    <cfRule type="containsText" dxfId="2" priority="42457" operator="containsText" text="Yes">
      <formula>NOT(ISERROR(SEARCH(("Yes"),(P236))))</formula>
    </cfRule>
  </conditionalFormatting>
  <conditionalFormatting sqref="P236:Q237 P239:Q240 P242:Q242 P244:Q246 P249:Q250 P252:Q252">
    <cfRule type="containsText" dxfId="2" priority="42458" operator="containsText" text="Yes">
      <formula>NOT(ISERROR(SEARCH(("Yes"),(P236))))</formula>
    </cfRule>
  </conditionalFormatting>
  <conditionalFormatting sqref="P236:Q237 P239:Q240 P242:Q242 P244:Q246 P249:Q250 P252:Q252">
    <cfRule type="containsText" dxfId="2" priority="42459" operator="containsText" text="Yes">
      <formula>NOT(ISERROR(SEARCH(("Yes"),(P236))))</formula>
    </cfRule>
  </conditionalFormatting>
  <conditionalFormatting sqref="P236:Q237 P239:Q240 P242:Q242 P244:Q246 P249:Q250 P252:Q252">
    <cfRule type="containsText" dxfId="2" priority="42460" operator="containsText" text="Yes">
      <formula>NOT(ISERROR(SEARCH(("Yes"),(P236))))</formula>
    </cfRule>
  </conditionalFormatting>
  <conditionalFormatting sqref="P236:Q237 P239:Q240 P242:Q242 P244:Q246 P249:Q250 P252:Q252">
    <cfRule type="containsText" dxfId="2" priority="42461" operator="containsText" text="Yes">
      <formula>NOT(ISERROR(SEARCH(("Yes"),(P236))))</formula>
    </cfRule>
  </conditionalFormatting>
  <conditionalFormatting sqref="P236:Q237 P239:Q240 P242:Q242 P244:Q246 P249:Q250 P252:Q252">
    <cfRule type="containsText" dxfId="2" priority="42462" operator="containsText" text="Yes">
      <formula>NOT(ISERROR(SEARCH(("Yes"),(P236))))</formula>
    </cfRule>
  </conditionalFormatting>
  <conditionalFormatting sqref="P236:Q237 P239:Q240 P242:Q242 P244:Q246 P249:Q250 P252:Q252">
    <cfRule type="containsText" dxfId="2" priority="42463" operator="containsText" text="Yes">
      <formula>NOT(ISERROR(SEARCH(("Yes"),(P236))))</formula>
    </cfRule>
  </conditionalFormatting>
  <conditionalFormatting sqref="P236:Q237 P239:Q240 P242:Q242 P244:Q246 P249:Q250 P252:Q252">
    <cfRule type="containsText" dxfId="2" priority="42464" operator="containsText" text="Yes">
      <formula>NOT(ISERROR(SEARCH(("Yes"),(P236))))</formula>
    </cfRule>
  </conditionalFormatting>
  <conditionalFormatting sqref="P236:Q237 P239:Q240 P242:Q242 P244:Q246 P249:Q250 P252:Q252">
    <cfRule type="containsText" dxfId="2" priority="42465" operator="containsText" text="Yes">
      <formula>NOT(ISERROR(SEARCH(("Yes"),(P236))))</formula>
    </cfRule>
  </conditionalFormatting>
  <conditionalFormatting sqref="P236:Q237 P239:Q240 P242:Q242 P244:Q246 P249:Q250 P252:Q252">
    <cfRule type="containsText" dxfId="2" priority="42466" operator="containsText" text="Yes">
      <formula>NOT(ISERROR(SEARCH(("Yes"),(P236))))</formula>
    </cfRule>
  </conditionalFormatting>
  <conditionalFormatting sqref="P236:Q237 P239:Q240 P242:Q242 P244:Q246 P249:Q250 P252:Q252">
    <cfRule type="containsText" dxfId="2" priority="42467" operator="containsText" text="Yes">
      <formula>NOT(ISERROR(SEARCH(("Yes"),(P236))))</formula>
    </cfRule>
  </conditionalFormatting>
  <conditionalFormatting sqref="P236:Q237 P239:Q240 P242:Q242 P244:Q246 P249:Q250 P252:Q252">
    <cfRule type="containsText" dxfId="2" priority="42468" operator="containsText" text="Yes">
      <formula>NOT(ISERROR(SEARCH(("Yes"),(P236))))</formula>
    </cfRule>
  </conditionalFormatting>
  <conditionalFormatting sqref="P236:Q237 P239:Q240 P242:Q242 P244:Q246 P249:Q250 P252:Q252">
    <cfRule type="containsText" dxfId="2" priority="42469" operator="containsText" text="Yes">
      <formula>NOT(ISERROR(SEARCH(("Yes"),(P236))))</formula>
    </cfRule>
  </conditionalFormatting>
  <conditionalFormatting sqref="P236:Q237 P239:Q240 P242:Q242 P244:Q246 P249:Q250 P252:Q252">
    <cfRule type="containsText" dxfId="2" priority="42470" operator="containsText" text="Yes">
      <formula>NOT(ISERROR(SEARCH(("Yes"),(P236))))</formula>
    </cfRule>
  </conditionalFormatting>
  <conditionalFormatting sqref="P236:Q237 P239:Q240 P242:Q242 P244:Q246 P249:Q250 P252:Q252">
    <cfRule type="containsText" dxfId="2" priority="42471" operator="containsText" text="Yes">
      <formula>NOT(ISERROR(SEARCH(("Yes"),(P236))))</formula>
    </cfRule>
  </conditionalFormatting>
  <conditionalFormatting sqref="P236:Q237 P239:Q240 P242:Q242 P244:Q246 P249:Q250 P252:Q252">
    <cfRule type="containsText" dxfId="2" priority="42472" operator="containsText" text="Yes">
      <formula>NOT(ISERROR(SEARCH(("Yes"),(P236))))</formula>
    </cfRule>
  </conditionalFormatting>
  <conditionalFormatting sqref="N236:O237 N239:O240 N242:O242 N244:O246 N249:O250 N252:O252">
    <cfRule type="containsText" dxfId="9" priority="42473" operator="containsText" text="No">
      <formula>NOT(ISERROR(SEARCH(("No"),(N236))))</formula>
    </cfRule>
  </conditionalFormatting>
  <conditionalFormatting sqref="N236:O237 N239:O240 N242:O242 N244:O246 N249:O250 N252:O252">
    <cfRule type="containsText" dxfId="9" priority="42474" operator="containsText" text="No">
      <formula>NOT(ISERROR(SEARCH(("No"),(N236))))</formula>
    </cfRule>
  </conditionalFormatting>
  <conditionalFormatting sqref="N236:O237 N239:O240 N242:O242 N244:O246 N249:O250 N252:O252">
    <cfRule type="containsText" dxfId="9" priority="42475" operator="containsText" text="No">
      <formula>NOT(ISERROR(SEARCH(("No"),(N236))))</formula>
    </cfRule>
  </conditionalFormatting>
  <conditionalFormatting sqref="N236:O237 N239:O240 N242:O242 N244:O246 N249:O250 N252:O252">
    <cfRule type="containsText" dxfId="9" priority="42476" operator="containsText" text="No">
      <formula>NOT(ISERROR(SEARCH(("No"),(N236))))</formula>
    </cfRule>
  </conditionalFormatting>
  <conditionalFormatting sqref="N236:O237 N239:O240 N242:O242 N244:O246 N249:O250 N252:O252">
    <cfRule type="containsText" dxfId="9" priority="42477" operator="containsText" text="No">
      <formula>NOT(ISERROR(SEARCH(("No"),(N236))))</formula>
    </cfRule>
  </conditionalFormatting>
  <conditionalFormatting sqref="N236:O237 N239:O240 N242:O242 N244:O246 N249:O250 N252:O252">
    <cfRule type="containsText" dxfId="9" priority="42478" operator="containsText" text="No">
      <formula>NOT(ISERROR(SEARCH(("No"),(N236))))</formula>
    </cfRule>
  </conditionalFormatting>
  <conditionalFormatting sqref="N236:O237 N239:O240 N242:O242 N244:O246 N249:O250 N252:O252">
    <cfRule type="containsText" dxfId="9" priority="42479" operator="containsText" text="No">
      <formula>NOT(ISERROR(SEARCH(("No"),(N236))))</formula>
    </cfRule>
  </conditionalFormatting>
  <conditionalFormatting sqref="N236:O237 N239:O240 N242:O242 N244:O246 N249:O250 N252:O252">
    <cfRule type="containsText" dxfId="9" priority="42480" operator="containsText" text="No">
      <formula>NOT(ISERROR(SEARCH(("No"),(N236))))</formula>
    </cfRule>
  </conditionalFormatting>
  <conditionalFormatting sqref="N236:O237 N239:O240 N242:O242 N244:O246 N249:O250 N252:O252">
    <cfRule type="containsText" dxfId="9" priority="42481" operator="containsText" text="No">
      <formula>NOT(ISERROR(SEARCH(("No"),(N236))))</formula>
    </cfRule>
  </conditionalFormatting>
  <conditionalFormatting sqref="N236:O237 N239:O240 N242:O242 N244:O246 N249:O250 N252:O252">
    <cfRule type="containsText" dxfId="9" priority="42482" operator="containsText" text="No">
      <formula>NOT(ISERROR(SEARCH(("No"),(N236))))</formula>
    </cfRule>
  </conditionalFormatting>
  <conditionalFormatting sqref="N236:O237 N239:O240 N242:O242 N244:O246 N249:O250 N252:O252">
    <cfRule type="containsText" dxfId="9" priority="42483" operator="containsText" text="No">
      <formula>NOT(ISERROR(SEARCH(("No"),(N236))))</formula>
    </cfRule>
  </conditionalFormatting>
  <conditionalFormatting sqref="N236:O237 N239:O240 N242:O242 N244:O246 N249:O250 N252:O252">
    <cfRule type="containsText" dxfId="9" priority="42484" operator="containsText" text="No">
      <formula>NOT(ISERROR(SEARCH(("No"),(N236))))</formula>
    </cfRule>
  </conditionalFormatting>
  <conditionalFormatting sqref="N236:O237 N239:O240 N242:O242 N244:O246 N249:O250 N252:O252">
    <cfRule type="containsText" dxfId="9" priority="42485" operator="containsText" text="No">
      <formula>NOT(ISERROR(SEARCH(("No"),(N236))))</formula>
    </cfRule>
  </conditionalFormatting>
  <conditionalFormatting sqref="N236:O237 N239:O240 N242:O242 N244:O246 N249:O250 N252:O252">
    <cfRule type="containsText" dxfId="9" priority="42486" operator="containsText" text="No">
      <formula>NOT(ISERROR(SEARCH(("No"),(N236))))</formula>
    </cfRule>
  </conditionalFormatting>
  <conditionalFormatting sqref="N236:O237 N239:O240 N242:O242 N244:O246 N249:O250 N252:O252">
    <cfRule type="containsText" dxfId="9" priority="42487" operator="containsText" text="No">
      <formula>NOT(ISERROR(SEARCH(("No"),(N236))))</formula>
    </cfRule>
  </conditionalFormatting>
  <conditionalFormatting sqref="N236:O237 N239:O240 N242:O242 N244:O246 N249:O250 N252:O252">
    <cfRule type="containsText" dxfId="9" priority="42488" operator="containsText" text="No">
      <formula>NOT(ISERROR(SEARCH(("No"),(N236))))</formula>
    </cfRule>
  </conditionalFormatting>
  <conditionalFormatting sqref="N236:O237 N239:O240 N242:O242 N244:O246 N249:O250 N252:O252">
    <cfRule type="containsText" dxfId="9" priority="42489" operator="containsText" text="No">
      <formula>NOT(ISERROR(SEARCH(("No"),(N236))))</formula>
    </cfRule>
  </conditionalFormatting>
  <conditionalFormatting sqref="N236:O237 N239:O240 N242:O242 N244:O246 N249:O250 N252:O252">
    <cfRule type="containsText" dxfId="9" priority="42490" operator="containsText" text="No">
      <formula>NOT(ISERROR(SEARCH(("No"),(N236))))</formula>
    </cfRule>
  </conditionalFormatting>
  <conditionalFormatting sqref="N236:O237 N239:O240 N242:O242 N244:O246 N249:O250 N252:O252">
    <cfRule type="containsText" dxfId="9" priority="42491" operator="containsText" text="No">
      <formula>NOT(ISERROR(SEARCH(("No"),(N236))))</formula>
    </cfRule>
  </conditionalFormatting>
  <conditionalFormatting sqref="N236:O237 N239:O240 N242:O242 N244:O246 N249:O250 N252:O252">
    <cfRule type="containsText" dxfId="9" priority="42492" operator="containsText" text="No">
      <formula>NOT(ISERROR(SEARCH(("No"),(N236))))</formula>
    </cfRule>
  </conditionalFormatting>
  <conditionalFormatting sqref="N236:O237 N239:O240 N242:O242 N244:O246 N249:O250 N252:O252">
    <cfRule type="containsText" dxfId="9" priority="42493" operator="containsText" text="No">
      <formula>NOT(ISERROR(SEARCH(("No"),(N236))))</formula>
    </cfRule>
  </conditionalFormatting>
  <conditionalFormatting sqref="N236:O237 N239:O240 N242:O242 N244:O246 N249:O250 N252:O252">
    <cfRule type="containsText" dxfId="9" priority="42494" operator="containsText" text="No">
      <formula>NOT(ISERROR(SEARCH(("No"),(N236))))</formula>
    </cfRule>
  </conditionalFormatting>
  <conditionalFormatting sqref="N236:O237 N239:O240 N242:O242 N244:O246 N249:O250 N252:O252">
    <cfRule type="containsText" dxfId="9" priority="42495" operator="containsText" text="No">
      <formula>NOT(ISERROR(SEARCH(("No"),(N236))))</formula>
    </cfRule>
  </conditionalFormatting>
  <conditionalFormatting sqref="N236:O237 N239:O240 N242:O242 N244:O246 N249:O250 N252:O252">
    <cfRule type="containsText" dxfId="9" priority="42496" operator="containsText" text="No">
      <formula>NOT(ISERROR(SEARCH(("No"),(N236))))</formula>
    </cfRule>
  </conditionalFormatting>
  <conditionalFormatting sqref="N236:O237 N239:O240 N242:O242 N244:O246 N249:O250 N252:O252">
    <cfRule type="containsText" dxfId="9" priority="42497" operator="containsText" text="No">
      <formula>NOT(ISERROR(SEARCH(("No"),(N236))))</formula>
    </cfRule>
  </conditionalFormatting>
  <conditionalFormatting sqref="N236:O237 N239:O240 N242:O242 N244:O246 N249:O250 N252:O252">
    <cfRule type="containsText" dxfId="9" priority="42498" operator="containsText" text="No">
      <formula>NOT(ISERROR(SEARCH(("No"),(N236))))</formula>
    </cfRule>
  </conditionalFormatting>
  <conditionalFormatting sqref="N236:O237 N239:O240 N242:O242 N244:O246 N249:O250 N252:O252">
    <cfRule type="containsText" dxfId="9" priority="42499" operator="containsText" text="No">
      <formula>NOT(ISERROR(SEARCH(("No"),(N236))))</formula>
    </cfRule>
  </conditionalFormatting>
  <conditionalFormatting sqref="N236:O237 N239:O240 N242:O242 N244:O246 N249:O250 N252:O252">
    <cfRule type="containsText" dxfId="9" priority="42500" operator="containsText" text="No">
      <formula>NOT(ISERROR(SEARCH(("No"),(N236))))</formula>
    </cfRule>
  </conditionalFormatting>
  <conditionalFormatting sqref="N236:O237 N239:O240 N242:O242 N244:O246 N249:O250 N252:O252">
    <cfRule type="containsText" dxfId="9" priority="42501" operator="containsText" text="No">
      <formula>NOT(ISERROR(SEARCH(("No"),(N236))))</formula>
    </cfRule>
  </conditionalFormatting>
  <conditionalFormatting sqref="N236:O237 N239:O240 N242:O242 N244:O246 N249:O250 N252:O252">
    <cfRule type="containsText" dxfId="9" priority="42502" operator="containsText" text="No">
      <formula>NOT(ISERROR(SEARCH(("No"),(N236))))</formula>
    </cfRule>
  </conditionalFormatting>
  <conditionalFormatting sqref="N236:O237 N239:O240 N242:O242 N244:O246 N249:O250 N252:O252">
    <cfRule type="containsText" dxfId="9" priority="42503" operator="containsText" text="No">
      <formula>NOT(ISERROR(SEARCH(("No"),(N236))))</formula>
    </cfRule>
  </conditionalFormatting>
  <conditionalFormatting sqref="N236:O237 N239:O240 N242:O242 N244:O246 N249:O250 N252:O252">
    <cfRule type="containsText" dxfId="9" priority="42504" operator="containsText" text="No">
      <formula>NOT(ISERROR(SEARCH(("No"),(N236))))</formula>
    </cfRule>
  </conditionalFormatting>
  <conditionalFormatting sqref="N236:O237 N239:O240 N242:O242 N244:O246 N249:O250 N252:O252">
    <cfRule type="containsText" dxfId="9" priority="42505" operator="containsText" text="No">
      <formula>NOT(ISERROR(SEARCH(("No"),(N236))))</formula>
    </cfRule>
  </conditionalFormatting>
  <conditionalFormatting sqref="N236:O237 N239:O240 N242:O242 N244:O246 N249:O250 N252:O252">
    <cfRule type="containsText" dxfId="9" priority="42506" operator="containsText" text="No">
      <formula>NOT(ISERROR(SEARCH(("No"),(N236))))</formula>
    </cfRule>
  </conditionalFormatting>
  <conditionalFormatting sqref="N236:O237 N239:O240 N242:O242 N244:O246 N249:O250 N252:O252">
    <cfRule type="containsText" dxfId="9" priority="42507" operator="containsText" text="No">
      <formula>NOT(ISERROR(SEARCH(("No"),(N236))))</formula>
    </cfRule>
  </conditionalFormatting>
  <conditionalFormatting sqref="N236:O237 N239:O240 N242:O242 N244:O246 N249:O250 N252:O252">
    <cfRule type="containsText" dxfId="9" priority="42508" operator="containsText" text="No">
      <formula>NOT(ISERROR(SEARCH(("No"),(N236))))</formula>
    </cfRule>
  </conditionalFormatting>
  <conditionalFormatting sqref="N236:O237 N239:O240 N242:O242 N244:O246 N249:O250 N252:O252">
    <cfRule type="containsText" dxfId="9" priority="42509" operator="containsText" text="No">
      <formula>NOT(ISERROR(SEARCH(("No"),(N236))))</formula>
    </cfRule>
  </conditionalFormatting>
  <conditionalFormatting sqref="N236:O237 N239:O240 N242:O242 N244:O246 N249:O250 N252:O252">
    <cfRule type="containsText" dxfId="9" priority="42510" operator="containsText" text="No">
      <formula>NOT(ISERROR(SEARCH(("No"),(N236))))</formula>
    </cfRule>
  </conditionalFormatting>
  <conditionalFormatting sqref="N236:O237 N239:O240 N242:O242 N244:O246 N249:O250 N252:O252">
    <cfRule type="containsText" dxfId="9" priority="42511" operator="containsText" text="No">
      <formula>NOT(ISERROR(SEARCH(("No"),(N236))))</formula>
    </cfRule>
  </conditionalFormatting>
  <conditionalFormatting sqref="N236:O237 N239:O240 N242:O242 N244:O246 N249:O250 N252:O252">
    <cfRule type="containsText" dxfId="9" priority="42512" operator="containsText" text="No">
      <formula>NOT(ISERROR(SEARCH(("No"),(N236))))</formula>
    </cfRule>
  </conditionalFormatting>
  <conditionalFormatting sqref="N236:O237 N239:O240 N242:O242 N244:O246 N249:O250 N252:O252">
    <cfRule type="containsText" dxfId="9" priority="42513" operator="containsText" text="No">
      <formula>NOT(ISERROR(SEARCH(("No"),(N236))))</formula>
    </cfRule>
  </conditionalFormatting>
  <conditionalFormatting sqref="N236:O237 N239:O240 N242:O242 N244:O246 N249:O250 N252:O252">
    <cfRule type="containsText" dxfId="9" priority="42514" operator="containsText" text="No">
      <formula>NOT(ISERROR(SEARCH(("No"),(N236))))</formula>
    </cfRule>
  </conditionalFormatting>
  <conditionalFormatting sqref="N236:O237 N239:O240 N242:O242 N244:O246 N249:O250 N252:O252">
    <cfRule type="containsText" dxfId="9" priority="42515" operator="containsText" text="No">
      <formula>NOT(ISERROR(SEARCH(("No"),(N236))))</formula>
    </cfRule>
  </conditionalFormatting>
  <conditionalFormatting sqref="N236:O237 N239:O240 N242:O242 N244:O246 N249:O250 N252:O252">
    <cfRule type="containsText" dxfId="9" priority="42516" operator="containsText" text="No">
      <formula>NOT(ISERROR(SEARCH(("No"),(N236))))</formula>
    </cfRule>
  </conditionalFormatting>
  <conditionalFormatting sqref="N236:O237 N239:O240 N242:O242 N244:O246 N249:O250 N252:O252">
    <cfRule type="containsText" dxfId="9" priority="42517" operator="containsText" text="No">
      <formula>NOT(ISERROR(SEARCH(("No"),(N236))))</formula>
    </cfRule>
  </conditionalFormatting>
  <conditionalFormatting sqref="N236:O237 N239:O240 N242:O242 N244:O246 N249:O250 N252:O252">
    <cfRule type="containsText" dxfId="2" priority="42518" operator="containsText" text="Yes">
      <formula>NOT(ISERROR(SEARCH(("Yes"),(N236))))</formula>
    </cfRule>
  </conditionalFormatting>
  <conditionalFormatting sqref="N236:O237 N239:O240 N242:O242 N244:O246 N249:O250 N252:O252">
    <cfRule type="containsText" dxfId="2" priority="42519" operator="containsText" text="Yes">
      <formula>NOT(ISERROR(SEARCH(("Yes"),(N236))))</formula>
    </cfRule>
  </conditionalFormatting>
  <conditionalFormatting sqref="N236:O237 N239:O240 N242:O242 N244:O246 N249:O250 N252:O252">
    <cfRule type="containsText" dxfId="2" priority="42520" operator="containsText" text="Yes">
      <formula>NOT(ISERROR(SEARCH(("Yes"),(N236))))</formula>
    </cfRule>
  </conditionalFormatting>
  <conditionalFormatting sqref="N236:O237 N239:O240 N242:O242 N244:O246 N249:O250 N252:O252">
    <cfRule type="containsText" dxfId="2" priority="42521" operator="containsText" text="Yes">
      <formula>NOT(ISERROR(SEARCH(("Yes"),(N236))))</formula>
    </cfRule>
  </conditionalFormatting>
  <conditionalFormatting sqref="N236:O237 N239:O240 N242:O242 N244:O246 N249:O250 N252:O252">
    <cfRule type="containsText" dxfId="2" priority="42522" operator="containsText" text="Yes">
      <formula>NOT(ISERROR(SEARCH(("Yes"),(N236))))</formula>
    </cfRule>
  </conditionalFormatting>
  <conditionalFormatting sqref="N236:O237 N239:O240 N242:O242 N244:O246 N249:O250 N252:O252">
    <cfRule type="containsText" dxfId="2" priority="42523" operator="containsText" text="Yes">
      <formula>NOT(ISERROR(SEARCH(("Yes"),(N236))))</formula>
    </cfRule>
  </conditionalFormatting>
  <conditionalFormatting sqref="N236:O237 N239:O240 N242:O242 N244:O246 N249:O250 N252:O252">
    <cfRule type="containsText" dxfId="2" priority="42524" operator="containsText" text="Yes">
      <formula>NOT(ISERROR(SEARCH(("Yes"),(N236))))</formula>
    </cfRule>
  </conditionalFormatting>
  <conditionalFormatting sqref="N236:O237 N239:O240 N242:O242 N244:O246 N249:O250 N252:O252">
    <cfRule type="containsText" dxfId="2" priority="42525" operator="containsText" text="Yes">
      <formula>NOT(ISERROR(SEARCH(("Yes"),(N236))))</formula>
    </cfRule>
  </conditionalFormatting>
  <conditionalFormatting sqref="N236:O237 N239:O240 N242:O242 N244:O246 N249:O250 N252:O252">
    <cfRule type="containsText" dxfId="2" priority="42526" operator="containsText" text="Yes">
      <formula>NOT(ISERROR(SEARCH(("Yes"),(N236))))</formula>
    </cfRule>
  </conditionalFormatting>
  <conditionalFormatting sqref="N236:O237 N239:O240 N242:O242 N244:O246 N249:O250 N252:O252">
    <cfRule type="containsText" dxfId="2" priority="42527" operator="containsText" text="Yes">
      <formula>NOT(ISERROR(SEARCH(("Yes"),(N236))))</formula>
    </cfRule>
  </conditionalFormatting>
  <conditionalFormatting sqref="N236:O237 N239:O240 N242:O242 N244:O246 N249:O250 N252:O252">
    <cfRule type="containsText" dxfId="2" priority="42528" operator="containsText" text="Yes">
      <formula>NOT(ISERROR(SEARCH(("Yes"),(N236))))</formula>
    </cfRule>
  </conditionalFormatting>
  <conditionalFormatting sqref="N236:O237 N239:O240 N242:O242 N244:O246 N249:O250 N252:O252">
    <cfRule type="containsText" dxfId="2" priority="42529" operator="containsText" text="Yes">
      <formula>NOT(ISERROR(SEARCH(("Yes"),(N236))))</formula>
    </cfRule>
  </conditionalFormatting>
  <conditionalFormatting sqref="N236:O237 N239:O240 N242:O242 N244:O246 N249:O250 N252:O252">
    <cfRule type="containsText" dxfId="2" priority="42530" operator="containsText" text="Yes">
      <formula>NOT(ISERROR(SEARCH(("Yes"),(N236))))</formula>
    </cfRule>
  </conditionalFormatting>
  <conditionalFormatting sqref="N236:O237 N239:O240 N242:O242 N244:O246 N249:O250 N252:O252">
    <cfRule type="containsText" dxfId="2" priority="42531" operator="containsText" text="Yes">
      <formula>NOT(ISERROR(SEARCH(("Yes"),(N236))))</formula>
    </cfRule>
  </conditionalFormatting>
  <conditionalFormatting sqref="N236:O237 N239:O240 N242:O242 N244:O246 N249:O250 N252:O252">
    <cfRule type="containsText" dxfId="2" priority="42532" operator="containsText" text="Yes">
      <formula>NOT(ISERROR(SEARCH(("Yes"),(N236))))</formula>
    </cfRule>
  </conditionalFormatting>
  <conditionalFormatting sqref="N236:O237 N239:O240 N242:O242 N244:O246 N249:O250 N252:O252">
    <cfRule type="containsText" dxfId="2" priority="42533" operator="containsText" text="Yes">
      <formula>NOT(ISERROR(SEARCH(("Yes"),(N236))))</formula>
    </cfRule>
  </conditionalFormatting>
  <conditionalFormatting sqref="N236:O237 N239:O240 N242:O242 N244:O246 N249:O250 N252:O252">
    <cfRule type="containsText" dxfId="2" priority="42534" operator="containsText" text="Yes">
      <formula>NOT(ISERROR(SEARCH(("Yes"),(N236))))</formula>
    </cfRule>
  </conditionalFormatting>
  <conditionalFormatting sqref="N236:O237 N239:O240 N242:O242 N244:O246 N249:O250 N252:O252">
    <cfRule type="containsText" dxfId="2" priority="42535" operator="containsText" text="Yes">
      <formula>NOT(ISERROR(SEARCH(("Yes"),(N236))))</formula>
    </cfRule>
  </conditionalFormatting>
  <conditionalFormatting sqref="N236:O237 N239:O240 N242:O242 N244:O246 N249:O250 N252:O252">
    <cfRule type="containsText" dxfId="2" priority="42536" operator="containsText" text="Yes">
      <formula>NOT(ISERROR(SEARCH(("Yes"),(N236))))</formula>
    </cfRule>
  </conditionalFormatting>
  <conditionalFormatting sqref="N236:O237 N239:O240 N242:O242 N244:O246 N249:O250 N252:O252">
    <cfRule type="containsText" dxfId="2" priority="42537" operator="containsText" text="Yes">
      <formula>NOT(ISERROR(SEARCH(("Yes"),(N236))))</formula>
    </cfRule>
  </conditionalFormatting>
  <conditionalFormatting sqref="N236:O237 N239:O240 N242:O242 N244:O246 N249:O250 N252:O252">
    <cfRule type="containsText" dxfId="2" priority="42538" operator="containsText" text="Yes">
      <formula>NOT(ISERROR(SEARCH(("Yes"),(N236))))</formula>
    </cfRule>
  </conditionalFormatting>
  <conditionalFormatting sqref="N236:O237 N239:O240 N242:O242 N244:O246 N249:O250 N252:O252">
    <cfRule type="containsText" dxfId="2" priority="42539" operator="containsText" text="Yes">
      <formula>NOT(ISERROR(SEARCH(("Yes"),(N236))))</formula>
    </cfRule>
  </conditionalFormatting>
  <conditionalFormatting sqref="N236:O237 N239:O240 N242:O242 N244:O246 N249:O250 N252:O252">
    <cfRule type="containsText" dxfId="2" priority="42540" operator="containsText" text="Yes">
      <formula>NOT(ISERROR(SEARCH(("Yes"),(N236))))</formula>
    </cfRule>
  </conditionalFormatting>
  <conditionalFormatting sqref="N236:O237 N239:O240 N242:O242 N244:O246 N249:O250 N252:O252">
    <cfRule type="containsText" dxfId="2" priority="42541" operator="containsText" text="Yes">
      <formula>NOT(ISERROR(SEARCH(("Yes"),(N236))))</formula>
    </cfRule>
  </conditionalFormatting>
  <conditionalFormatting sqref="N236:O237 N239:O240 N242:O242 N244:O246 N249:O250 N252:O252">
    <cfRule type="containsText" dxfId="2" priority="42542" operator="containsText" text="Yes">
      <formula>NOT(ISERROR(SEARCH(("Yes"),(N236))))</formula>
    </cfRule>
  </conditionalFormatting>
  <conditionalFormatting sqref="N236:O237 N239:O240 N242:O242 N244:O246 N249:O250 N252:O252">
    <cfRule type="containsText" dxfId="2" priority="42543" operator="containsText" text="Yes">
      <formula>NOT(ISERROR(SEARCH(("Yes"),(N236))))</formula>
    </cfRule>
  </conditionalFormatting>
  <conditionalFormatting sqref="N236:O237 N239:O240 N242:O242 N244:O246 N249:O250 N252:O252">
    <cfRule type="containsText" dxfId="2" priority="42544" operator="containsText" text="Yes">
      <formula>NOT(ISERROR(SEARCH(("Yes"),(N236))))</formula>
    </cfRule>
  </conditionalFormatting>
  <conditionalFormatting sqref="N236:O237 N239:O240 N242:O242 N244:O246 N249:O250 N252:O252">
    <cfRule type="containsText" dxfId="2" priority="42545" operator="containsText" text="Yes">
      <formula>NOT(ISERROR(SEARCH(("Yes"),(N236))))</formula>
    </cfRule>
  </conditionalFormatting>
  <conditionalFormatting sqref="N236:O237 N239:O240 N242:O242 N244:O246 N249:O250 N252:O252">
    <cfRule type="containsText" dxfId="2" priority="42546" operator="containsText" text="Yes">
      <formula>NOT(ISERROR(SEARCH(("Yes"),(N236))))</formula>
    </cfRule>
  </conditionalFormatting>
  <conditionalFormatting sqref="N236:O237 N239:O240 N242:O242 N244:O246 N249:O250 N252:O252">
    <cfRule type="containsText" dxfId="2" priority="42547" operator="containsText" text="Yes">
      <formula>NOT(ISERROR(SEARCH(("Yes"),(N236))))</formula>
    </cfRule>
  </conditionalFormatting>
  <conditionalFormatting sqref="N236:O237 N239:O240 N242:O242 N244:O246 N249:O250 N252:O252">
    <cfRule type="containsText" dxfId="2" priority="42548" operator="containsText" text="Yes">
      <formula>NOT(ISERROR(SEARCH(("Yes"),(N236))))</formula>
    </cfRule>
  </conditionalFormatting>
  <conditionalFormatting sqref="N236:O237 N239:O240 N242:O242 N244:O246 N249:O250 N252:O252">
    <cfRule type="containsText" dxfId="2" priority="42549" operator="containsText" text="Yes">
      <formula>NOT(ISERROR(SEARCH(("Yes"),(N236))))</formula>
    </cfRule>
  </conditionalFormatting>
  <conditionalFormatting sqref="N236:O237 N239:O240 N242:O242 N244:O246 N249:O250 N252:O252">
    <cfRule type="containsText" dxfId="2" priority="42550" operator="containsText" text="Yes">
      <formula>NOT(ISERROR(SEARCH(("Yes"),(N236))))</formula>
    </cfRule>
  </conditionalFormatting>
  <conditionalFormatting sqref="N236:O237 N239:O240 N242:O242 N244:O246 N249:O250 N252:O252">
    <cfRule type="containsText" dxfId="2" priority="42551" operator="containsText" text="Yes">
      <formula>NOT(ISERROR(SEARCH(("Yes"),(N236))))</formula>
    </cfRule>
  </conditionalFormatting>
  <conditionalFormatting sqref="N236:O237 N239:O240 N242:O242 N244:O246 N249:O250 N252:O252">
    <cfRule type="containsText" dxfId="2" priority="42552" operator="containsText" text="Yes">
      <formula>NOT(ISERROR(SEARCH(("Yes"),(N236))))</formula>
    </cfRule>
  </conditionalFormatting>
  <conditionalFormatting sqref="N236:O237 N239:O240 N242:O242 N244:O246 N249:O250 N252:O252">
    <cfRule type="containsText" dxfId="2" priority="42553" operator="containsText" text="Yes">
      <formula>NOT(ISERROR(SEARCH(("Yes"),(N236))))</formula>
    </cfRule>
  </conditionalFormatting>
  <conditionalFormatting sqref="N236:O237 N239:O240 N242:O242 N244:O246 N249:O250 N252:O252">
    <cfRule type="containsText" dxfId="2" priority="42554" operator="containsText" text="Yes">
      <formula>NOT(ISERROR(SEARCH(("Yes"),(N236))))</formula>
    </cfRule>
  </conditionalFormatting>
  <conditionalFormatting sqref="N236:O237 N239:O240 N242:O242 N244:O246 N249:O250 N252:O252">
    <cfRule type="containsText" dxfId="2" priority="42555" operator="containsText" text="Yes">
      <formula>NOT(ISERROR(SEARCH(("Yes"),(N236))))</formula>
    </cfRule>
  </conditionalFormatting>
  <conditionalFormatting sqref="N236:O237 N239:O240 N242:O242 N244:O246 N249:O250 N252:O252">
    <cfRule type="containsText" dxfId="2" priority="42556" operator="containsText" text="Yes">
      <formula>NOT(ISERROR(SEARCH(("Yes"),(N236))))</formula>
    </cfRule>
  </conditionalFormatting>
  <conditionalFormatting sqref="N236:O237 N239:O240 N242:O242 N244:O246 N249:O250 N252:O252">
    <cfRule type="containsText" dxfId="2" priority="42557" operator="containsText" text="Yes">
      <formula>NOT(ISERROR(SEARCH(("Yes"),(N236))))</formula>
    </cfRule>
  </conditionalFormatting>
  <conditionalFormatting sqref="N236:O237 N239:O240 N242:O242 N244:O246 N249:O250 N252:O252">
    <cfRule type="containsText" dxfId="2" priority="42558" operator="containsText" text="Yes">
      <formula>NOT(ISERROR(SEARCH(("Yes"),(N236))))</formula>
    </cfRule>
  </conditionalFormatting>
  <conditionalFormatting sqref="N236:O237 N239:O240 N242:O242 N244:O246 N249:O250 N252:O252">
    <cfRule type="containsText" dxfId="2" priority="42559" operator="containsText" text="Yes">
      <formula>NOT(ISERROR(SEARCH(("Yes"),(N236))))</formula>
    </cfRule>
  </conditionalFormatting>
  <conditionalFormatting sqref="N236:O237 N239:O240 N242:O242 N244:O246 N249:O250 N252:O252">
    <cfRule type="containsText" dxfId="2" priority="42560" operator="containsText" text="Yes">
      <formula>NOT(ISERROR(SEARCH(("Yes"),(N236))))</formula>
    </cfRule>
  </conditionalFormatting>
  <conditionalFormatting sqref="N236:O237 N239:O240 N242:O242 N244:O246 N249:O250 N252:O252">
    <cfRule type="containsText" dxfId="2" priority="42561" operator="containsText" text="Yes">
      <formula>NOT(ISERROR(SEARCH(("Yes"),(N236))))</formula>
    </cfRule>
  </conditionalFormatting>
  <conditionalFormatting sqref="N236:O237 N239:O240 N242:O242 N244:O246 N249:O250 N252:O252">
    <cfRule type="containsText" dxfId="2" priority="42562" operator="containsText" text="Yes">
      <formula>NOT(ISERROR(SEARCH(("Yes"),(N236))))</formula>
    </cfRule>
  </conditionalFormatting>
  <conditionalFormatting sqref="N236:O237 N239:O240 N242:O242 N244:O246 N249:O250 N252:O252">
    <cfRule type="containsText" dxfId="2" priority="42563" operator="containsText" text="Yes">
      <formula>NOT(ISERROR(SEARCH(("Yes"),(N236))))</formula>
    </cfRule>
  </conditionalFormatting>
  <conditionalFormatting sqref="N236:O237 N239:O240 N242:O242 N244:O246 N249:O250 N252:O252">
    <cfRule type="containsText" dxfId="2" priority="42564" operator="containsText" text="Yes">
      <formula>NOT(ISERROR(SEARCH(("Yes"),(N236))))</formula>
    </cfRule>
  </conditionalFormatting>
  <conditionalFormatting sqref="P240:Q240">
    <cfRule type="containsText" dxfId="9" priority="42565" operator="containsText" text="No">
      <formula>NOT(ISERROR(SEARCH(("No"),(P240))))</formula>
    </cfRule>
  </conditionalFormatting>
  <conditionalFormatting sqref="P240:Q240">
    <cfRule type="containsText" dxfId="9" priority="42566" operator="containsText" text="No">
      <formula>NOT(ISERROR(SEARCH(("No"),(P240))))</formula>
    </cfRule>
  </conditionalFormatting>
  <conditionalFormatting sqref="P240:Q240">
    <cfRule type="containsText" dxfId="9" priority="42567" operator="containsText" text="No">
      <formula>NOT(ISERROR(SEARCH(("No"),(P240))))</formula>
    </cfRule>
  </conditionalFormatting>
  <conditionalFormatting sqref="P240:Q240">
    <cfRule type="containsText" dxfId="9" priority="42568" operator="containsText" text="No">
      <formula>NOT(ISERROR(SEARCH(("No"),(P240))))</formula>
    </cfRule>
  </conditionalFormatting>
  <conditionalFormatting sqref="P240:Q240">
    <cfRule type="containsText" dxfId="9" priority="42569" operator="containsText" text="No">
      <formula>NOT(ISERROR(SEARCH(("No"),(P240))))</formula>
    </cfRule>
  </conditionalFormatting>
  <conditionalFormatting sqref="P240:Q240">
    <cfRule type="containsText" dxfId="9" priority="42570" operator="containsText" text="No">
      <formula>NOT(ISERROR(SEARCH(("No"),(P240))))</formula>
    </cfRule>
  </conditionalFormatting>
  <conditionalFormatting sqref="P240:Q240">
    <cfRule type="containsText" dxfId="9" priority="42571" operator="containsText" text="No">
      <formula>NOT(ISERROR(SEARCH(("No"),(P240))))</formula>
    </cfRule>
  </conditionalFormatting>
  <conditionalFormatting sqref="P240:Q240">
    <cfRule type="containsText" dxfId="9" priority="42572" operator="containsText" text="No">
      <formula>NOT(ISERROR(SEARCH(("No"),(P240))))</formula>
    </cfRule>
  </conditionalFormatting>
  <conditionalFormatting sqref="P240:Q240">
    <cfRule type="containsText" dxfId="9" priority="42573" operator="containsText" text="No">
      <formula>NOT(ISERROR(SEARCH(("No"),(P240))))</formula>
    </cfRule>
  </conditionalFormatting>
  <conditionalFormatting sqref="P240:Q240">
    <cfRule type="containsText" dxfId="9" priority="42574" operator="containsText" text="No">
      <formula>NOT(ISERROR(SEARCH(("No"),(P240))))</formula>
    </cfRule>
  </conditionalFormatting>
  <conditionalFormatting sqref="P240:Q240">
    <cfRule type="containsText" dxfId="9" priority="42575" operator="containsText" text="No">
      <formula>NOT(ISERROR(SEARCH(("No"),(P240))))</formula>
    </cfRule>
  </conditionalFormatting>
  <conditionalFormatting sqref="P240:Q240">
    <cfRule type="containsText" dxfId="9" priority="42576" operator="containsText" text="No">
      <formula>NOT(ISERROR(SEARCH(("No"),(P240))))</formula>
    </cfRule>
  </conditionalFormatting>
  <conditionalFormatting sqref="P240:Q240">
    <cfRule type="containsText" dxfId="9" priority="42577" operator="containsText" text="No">
      <formula>NOT(ISERROR(SEARCH(("No"),(P240))))</formula>
    </cfRule>
  </conditionalFormatting>
  <conditionalFormatting sqref="P240:Q240">
    <cfRule type="containsText" dxfId="9" priority="42578" operator="containsText" text="No">
      <formula>NOT(ISERROR(SEARCH(("No"),(P240))))</formula>
    </cfRule>
  </conditionalFormatting>
  <conditionalFormatting sqref="P240:Q240">
    <cfRule type="containsText" dxfId="9" priority="42579" operator="containsText" text="No">
      <formula>NOT(ISERROR(SEARCH(("No"),(P240))))</formula>
    </cfRule>
  </conditionalFormatting>
  <conditionalFormatting sqref="P240:Q240">
    <cfRule type="containsText" dxfId="9" priority="42580" operator="containsText" text="No">
      <formula>NOT(ISERROR(SEARCH(("No"),(P240))))</formula>
    </cfRule>
  </conditionalFormatting>
  <conditionalFormatting sqref="P240:Q240">
    <cfRule type="containsText" dxfId="9" priority="42581" operator="containsText" text="No">
      <formula>NOT(ISERROR(SEARCH(("No"),(P240))))</formula>
    </cfRule>
  </conditionalFormatting>
  <conditionalFormatting sqref="P240:Q240">
    <cfRule type="containsText" dxfId="9" priority="42582" operator="containsText" text="No">
      <formula>NOT(ISERROR(SEARCH(("No"),(P240))))</formula>
    </cfRule>
  </conditionalFormatting>
  <conditionalFormatting sqref="P240:Q240">
    <cfRule type="containsText" dxfId="9" priority="42583" operator="containsText" text="No">
      <formula>NOT(ISERROR(SEARCH(("No"),(P240))))</formula>
    </cfRule>
  </conditionalFormatting>
  <conditionalFormatting sqref="P240:Q240">
    <cfRule type="containsText" dxfId="9" priority="42584" operator="containsText" text="No">
      <formula>NOT(ISERROR(SEARCH(("No"),(P240))))</formula>
    </cfRule>
  </conditionalFormatting>
  <conditionalFormatting sqref="P240:Q240">
    <cfRule type="containsText" dxfId="9" priority="42585" operator="containsText" text="No">
      <formula>NOT(ISERROR(SEARCH(("No"),(P240))))</formula>
    </cfRule>
  </conditionalFormatting>
  <conditionalFormatting sqref="P240:Q240">
    <cfRule type="containsText" dxfId="9" priority="42586" operator="containsText" text="No">
      <formula>NOT(ISERROR(SEARCH(("No"),(P240))))</formula>
    </cfRule>
  </conditionalFormatting>
  <conditionalFormatting sqref="P240:Q240">
    <cfRule type="containsText" dxfId="9" priority="42587" operator="containsText" text="No">
      <formula>NOT(ISERROR(SEARCH(("No"),(P240))))</formula>
    </cfRule>
  </conditionalFormatting>
  <conditionalFormatting sqref="P240:Q240">
    <cfRule type="containsText" dxfId="9" priority="42588" operator="containsText" text="No">
      <formula>NOT(ISERROR(SEARCH(("No"),(P240))))</formula>
    </cfRule>
  </conditionalFormatting>
  <conditionalFormatting sqref="P240:Q240">
    <cfRule type="containsText" dxfId="9" priority="42589" operator="containsText" text="No">
      <formula>NOT(ISERROR(SEARCH(("No"),(P240))))</formula>
    </cfRule>
  </conditionalFormatting>
  <conditionalFormatting sqref="P240:Q240">
    <cfRule type="containsText" dxfId="9" priority="42590" operator="containsText" text="No">
      <formula>NOT(ISERROR(SEARCH(("No"),(P240))))</formula>
    </cfRule>
  </conditionalFormatting>
  <conditionalFormatting sqref="P240:Q240">
    <cfRule type="containsText" dxfId="9" priority="42591" operator="containsText" text="No">
      <formula>NOT(ISERROR(SEARCH(("No"),(P240))))</formula>
    </cfRule>
  </conditionalFormatting>
  <conditionalFormatting sqref="P240:Q240">
    <cfRule type="containsText" dxfId="9" priority="42592" operator="containsText" text="No">
      <formula>NOT(ISERROR(SEARCH(("No"),(P240))))</formula>
    </cfRule>
  </conditionalFormatting>
  <conditionalFormatting sqref="P240:Q240">
    <cfRule type="containsText" dxfId="9" priority="42593" operator="containsText" text="No">
      <formula>NOT(ISERROR(SEARCH(("No"),(P240))))</formula>
    </cfRule>
  </conditionalFormatting>
  <conditionalFormatting sqref="P240:Q240">
    <cfRule type="containsText" dxfId="9" priority="42594" operator="containsText" text="No">
      <formula>NOT(ISERROR(SEARCH(("No"),(P240))))</formula>
    </cfRule>
  </conditionalFormatting>
  <conditionalFormatting sqref="P240:Q240">
    <cfRule type="containsText" dxfId="9" priority="42595" operator="containsText" text="No">
      <formula>NOT(ISERROR(SEARCH(("No"),(P240))))</formula>
    </cfRule>
  </conditionalFormatting>
  <conditionalFormatting sqref="P240:Q240">
    <cfRule type="containsText" dxfId="9" priority="42596" operator="containsText" text="No">
      <formula>NOT(ISERROR(SEARCH(("No"),(P240))))</formula>
    </cfRule>
  </conditionalFormatting>
  <conditionalFormatting sqref="P240:Q240">
    <cfRule type="containsText" dxfId="9" priority="42597" operator="containsText" text="No">
      <formula>NOT(ISERROR(SEARCH(("No"),(P240))))</formula>
    </cfRule>
  </conditionalFormatting>
  <conditionalFormatting sqref="P240:Q240">
    <cfRule type="containsText" dxfId="9" priority="42598" operator="containsText" text="No">
      <formula>NOT(ISERROR(SEARCH(("No"),(P240))))</formula>
    </cfRule>
  </conditionalFormatting>
  <conditionalFormatting sqref="P240:Q240">
    <cfRule type="containsText" dxfId="9" priority="42599" operator="containsText" text="No">
      <formula>NOT(ISERROR(SEARCH(("No"),(P240))))</formula>
    </cfRule>
  </conditionalFormatting>
  <conditionalFormatting sqref="P240:Q240">
    <cfRule type="containsText" dxfId="9" priority="42600" operator="containsText" text="No">
      <formula>NOT(ISERROR(SEARCH(("No"),(P240))))</formula>
    </cfRule>
  </conditionalFormatting>
  <conditionalFormatting sqref="P240:Q240">
    <cfRule type="containsText" dxfId="9" priority="42601" operator="containsText" text="No">
      <formula>NOT(ISERROR(SEARCH(("No"),(P240))))</formula>
    </cfRule>
  </conditionalFormatting>
  <conditionalFormatting sqref="P240:Q240">
    <cfRule type="containsText" dxfId="9" priority="42602" operator="containsText" text="No">
      <formula>NOT(ISERROR(SEARCH(("No"),(P240))))</formula>
    </cfRule>
  </conditionalFormatting>
  <conditionalFormatting sqref="P240:Q240">
    <cfRule type="containsText" dxfId="9" priority="42603" operator="containsText" text="No">
      <formula>NOT(ISERROR(SEARCH(("No"),(P240))))</formula>
    </cfRule>
  </conditionalFormatting>
  <conditionalFormatting sqref="P240:Q240">
    <cfRule type="containsText" dxfId="9" priority="42604" operator="containsText" text="No">
      <formula>NOT(ISERROR(SEARCH(("No"),(P240))))</formula>
    </cfRule>
  </conditionalFormatting>
  <conditionalFormatting sqref="P240:Q240">
    <cfRule type="containsText" dxfId="9" priority="42605" operator="containsText" text="No">
      <formula>NOT(ISERROR(SEARCH(("No"),(P240))))</formula>
    </cfRule>
  </conditionalFormatting>
  <conditionalFormatting sqref="P240:Q240">
    <cfRule type="containsText" dxfId="9" priority="42606" operator="containsText" text="No">
      <formula>NOT(ISERROR(SEARCH(("No"),(P240))))</formula>
    </cfRule>
  </conditionalFormatting>
  <conditionalFormatting sqref="P240:Q240">
    <cfRule type="containsText" dxfId="9" priority="42607" operator="containsText" text="No">
      <formula>NOT(ISERROR(SEARCH(("No"),(P240))))</formula>
    </cfRule>
  </conditionalFormatting>
  <conditionalFormatting sqref="P240:Q240">
    <cfRule type="containsText" dxfId="9" priority="42608" operator="containsText" text="No">
      <formula>NOT(ISERROR(SEARCH(("No"),(P240))))</formula>
    </cfRule>
  </conditionalFormatting>
  <conditionalFormatting sqref="P240:Q240">
    <cfRule type="containsText" dxfId="9" priority="42609" operator="containsText" text="No">
      <formula>NOT(ISERROR(SEARCH(("No"),(P240))))</formula>
    </cfRule>
  </conditionalFormatting>
  <conditionalFormatting sqref="P240:Q240">
    <cfRule type="containsText" dxfId="2" priority="42610" operator="containsText" text="Yes">
      <formula>NOT(ISERROR(SEARCH(("Yes"),(P240))))</formula>
    </cfRule>
  </conditionalFormatting>
  <conditionalFormatting sqref="P240:Q240">
    <cfRule type="containsText" dxfId="2" priority="42611" operator="containsText" text="Yes">
      <formula>NOT(ISERROR(SEARCH(("Yes"),(P240))))</formula>
    </cfRule>
  </conditionalFormatting>
  <conditionalFormatting sqref="P240:Q240">
    <cfRule type="containsText" dxfId="2" priority="42612" operator="containsText" text="Yes">
      <formula>NOT(ISERROR(SEARCH(("Yes"),(P240))))</formula>
    </cfRule>
  </conditionalFormatting>
  <conditionalFormatting sqref="P240:Q240">
    <cfRule type="containsText" dxfId="2" priority="42613" operator="containsText" text="Yes">
      <formula>NOT(ISERROR(SEARCH(("Yes"),(P240))))</formula>
    </cfRule>
  </conditionalFormatting>
  <conditionalFormatting sqref="P240:Q240">
    <cfRule type="containsText" dxfId="2" priority="42614" operator="containsText" text="Yes">
      <formula>NOT(ISERROR(SEARCH(("Yes"),(P240))))</formula>
    </cfRule>
  </conditionalFormatting>
  <conditionalFormatting sqref="P240:Q240">
    <cfRule type="containsText" dxfId="2" priority="42615" operator="containsText" text="Yes">
      <formula>NOT(ISERROR(SEARCH(("Yes"),(P240))))</formula>
    </cfRule>
  </conditionalFormatting>
  <conditionalFormatting sqref="P240:Q240">
    <cfRule type="containsText" dxfId="2" priority="42616" operator="containsText" text="Yes">
      <formula>NOT(ISERROR(SEARCH(("Yes"),(P240))))</formula>
    </cfRule>
  </conditionalFormatting>
  <conditionalFormatting sqref="P240:Q240">
    <cfRule type="containsText" dxfId="2" priority="42617" operator="containsText" text="Yes">
      <formula>NOT(ISERROR(SEARCH(("Yes"),(P240))))</formula>
    </cfRule>
  </conditionalFormatting>
  <conditionalFormatting sqref="P240:Q240">
    <cfRule type="containsText" dxfId="2" priority="42618" operator="containsText" text="Yes">
      <formula>NOT(ISERROR(SEARCH(("Yes"),(P240))))</formula>
    </cfRule>
  </conditionalFormatting>
  <conditionalFormatting sqref="P240:Q240">
    <cfRule type="containsText" dxfId="2" priority="42619" operator="containsText" text="Yes">
      <formula>NOT(ISERROR(SEARCH(("Yes"),(P240))))</formula>
    </cfRule>
  </conditionalFormatting>
  <conditionalFormatting sqref="P240:Q240">
    <cfRule type="containsText" dxfId="2" priority="42620" operator="containsText" text="Yes">
      <formula>NOT(ISERROR(SEARCH(("Yes"),(P240))))</formula>
    </cfRule>
  </conditionalFormatting>
  <conditionalFormatting sqref="P240:Q240">
    <cfRule type="containsText" dxfId="2" priority="42621" operator="containsText" text="Yes">
      <formula>NOT(ISERROR(SEARCH(("Yes"),(P240))))</formula>
    </cfRule>
  </conditionalFormatting>
  <conditionalFormatting sqref="P240:Q240">
    <cfRule type="containsText" dxfId="2" priority="42622" operator="containsText" text="Yes">
      <formula>NOT(ISERROR(SEARCH(("Yes"),(P240))))</formula>
    </cfRule>
  </conditionalFormatting>
  <conditionalFormatting sqref="P240:Q240">
    <cfRule type="containsText" dxfId="2" priority="42623" operator="containsText" text="Yes">
      <formula>NOT(ISERROR(SEARCH(("Yes"),(P240))))</formula>
    </cfRule>
  </conditionalFormatting>
  <conditionalFormatting sqref="P240:Q240">
    <cfRule type="containsText" dxfId="2" priority="42624" operator="containsText" text="Yes">
      <formula>NOT(ISERROR(SEARCH(("Yes"),(P240))))</formula>
    </cfRule>
  </conditionalFormatting>
  <conditionalFormatting sqref="P240:Q240">
    <cfRule type="containsText" dxfId="2" priority="42625" operator="containsText" text="Yes">
      <formula>NOT(ISERROR(SEARCH(("Yes"),(P240))))</formula>
    </cfRule>
  </conditionalFormatting>
  <conditionalFormatting sqref="P240:Q240">
    <cfRule type="containsText" dxfId="2" priority="42626" operator="containsText" text="Yes">
      <formula>NOT(ISERROR(SEARCH(("Yes"),(P240))))</formula>
    </cfRule>
  </conditionalFormatting>
  <conditionalFormatting sqref="P240:Q240">
    <cfRule type="containsText" dxfId="2" priority="42627" operator="containsText" text="Yes">
      <formula>NOT(ISERROR(SEARCH(("Yes"),(P240))))</formula>
    </cfRule>
  </conditionalFormatting>
  <conditionalFormatting sqref="P240:Q240">
    <cfRule type="containsText" dxfId="2" priority="42628" operator="containsText" text="Yes">
      <formula>NOT(ISERROR(SEARCH(("Yes"),(P240))))</formula>
    </cfRule>
  </conditionalFormatting>
  <conditionalFormatting sqref="P240:Q240">
    <cfRule type="containsText" dxfId="2" priority="42629" operator="containsText" text="Yes">
      <formula>NOT(ISERROR(SEARCH(("Yes"),(P240))))</formula>
    </cfRule>
  </conditionalFormatting>
  <conditionalFormatting sqref="P240:Q240">
    <cfRule type="containsText" dxfId="2" priority="42630" operator="containsText" text="Yes">
      <formula>NOT(ISERROR(SEARCH(("Yes"),(P240))))</formula>
    </cfRule>
  </conditionalFormatting>
  <conditionalFormatting sqref="P240:Q240">
    <cfRule type="containsText" dxfId="2" priority="42631" operator="containsText" text="Yes">
      <formula>NOT(ISERROR(SEARCH(("Yes"),(P240))))</formula>
    </cfRule>
  </conditionalFormatting>
  <conditionalFormatting sqref="P240:Q240">
    <cfRule type="containsText" dxfId="2" priority="42632" operator="containsText" text="Yes">
      <formula>NOT(ISERROR(SEARCH(("Yes"),(P240))))</formula>
    </cfRule>
  </conditionalFormatting>
  <conditionalFormatting sqref="P240:Q240">
    <cfRule type="containsText" dxfId="2" priority="42633" operator="containsText" text="Yes">
      <formula>NOT(ISERROR(SEARCH(("Yes"),(P240))))</formula>
    </cfRule>
  </conditionalFormatting>
  <conditionalFormatting sqref="P240:Q240">
    <cfRule type="containsText" dxfId="2" priority="42634" operator="containsText" text="Yes">
      <formula>NOT(ISERROR(SEARCH(("Yes"),(P240))))</formula>
    </cfRule>
  </conditionalFormatting>
  <conditionalFormatting sqref="P240:Q240">
    <cfRule type="containsText" dxfId="2" priority="42635" operator="containsText" text="Yes">
      <formula>NOT(ISERROR(SEARCH(("Yes"),(P240))))</formula>
    </cfRule>
  </conditionalFormatting>
  <conditionalFormatting sqref="P240:Q240">
    <cfRule type="containsText" dxfId="2" priority="42636" operator="containsText" text="Yes">
      <formula>NOT(ISERROR(SEARCH(("Yes"),(P240))))</formula>
    </cfRule>
  </conditionalFormatting>
  <conditionalFormatting sqref="P240:Q240">
    <cfRule type="containsText" dxfId="2" priority="42637" operator="containsText" text="Yes">
      <formula>NOT(ISERROR(SEARCH(("Yes"),(P240))))</formula>
    </cfRule>
  </conditionalFormatting>
  <conditionalFormatting sqref="P240:Q240">
    <cfRule type="containsText" dxfId="2" priority="42638" operator="containsText" text="Yes">
      <formula>NOT(ISERROR(SEARCH(("Yes"),(P240))))</formula>
    </cfRule>
  </conditionalFormatting>
  <conditionalFormatting sqref="P240:Q240">
    <cfRule type="containsText" dxfId="2" priority="42639" operator="containsText" text="Yes">
      <formula>NOT(ISERROR(SEARCH(("Yes"),(P240))))</formula>
    </cfRule>
  </conditionalFormatting>
  <conditionalFormatting sqref="P240:Q240">
    <cfRule type="containsText" dxfId="2" priority="42640" operator="containsText" text="Yes">
      <formula>NOT(ISERROR(SEARCH(("Yes"),(P240))))</formula>
    </cfRule>
  </conditionalFormatting>
  <conditionalFormatting sqref="P240:Q240">
    <cfRule type="containsText" dxfId="2" priority="42641" operator="containsText" text="Yes">
      <formula>NOT(ISERROR(SEARCH(("Yes"),(P240))))</formula>
    </cfRule>
  </conditionalFormatting>
  <conditionalFormatting sqref="P240:Q240">
    <cfRule type="containsText" dxfId="2" priority="42642" operator="containsText" text="Yes">
      <formula>NOT(ISERROR(SEARCH(("Yes"),(P240))))</formula>
    </cfRule>
  </conditionalFormatting>
  <conditionalFormatting sqref="P240:Q240">
    <cfRule type="containsText" dxfId="2" priority="42643" operator="containsText" text="Yes">
      <formula>NOT(ISERROR(SEARCH(("Yes"),(P240))))</formula>
    </cfRule>
  </conditionalFormatting>
  <conditionalFormatting sqref="P240:Q240">
    <cfRule type="containsText" dxfId="2" priority="42644" operator="containsText" text="Yes">
      <formula>NOT(ISERROR(SEARCH(("Yes"),(P240))))</formula>
    </cfRule>
  </conditionalFormatting>
  <conditionalFormatting sqref="P240:Q240">
    <cfRule type="containsText" dxfId="2" priority="42645" operator="containsText" text="Yes">
      <formula>NOT(ISERROR(SEARCH(("Yes"),(P240))))</formula>
    </cfRule>
  </conditionalFormatting>
  <conditionalFormatting sqref="P240:Q240">
    <cfRule type="containsText" dxfId="2" priority="42646" operator="containsText" text="Yes">
      <formula>NOT(ISERROR(SEARCH(("Yes"),(P240))))</formula>
    </cfRule>
  </conditionalFormatting>
  <conditionalFormatting sqref="P240:Q240">
    <cfRule type="containsText" dxfId="2" priority="42647" operator="containsText" text="Yes">
      <formula>NOT(ISERROR(SEARCH(("Yes"),(P240))))</formula>
    </cfRule>
  </conditionalFormatting>
  <conditionalFormatting sqref="P240:Q240">
    <cfRule type="containsText" dxfId="2" priority="42648" operator="containsText" text="Yes">
      <formula>NOT(ISERROR(SEARCH(("Yes"),(P240))))</formula>
    </cfRule>
  </conditionalFormatting>
  <conditionalFormatting sqref="P240:Q240">
    <cfRule type="containsText" dxfId="2" priority="42649" operator="containsText" text="Yes">
      <formula>NOT(ISERROR(SEARCH(("Yes"),(P240))))</formula>
    </cfRule>
  </conditionalFormatting>
  <conditionalFormatting sqref="P240:Q240">
    <cfRule type="containsText" dxfId="2" priority="42650" operator="containsText" text="Yes">
      <formula>NOT(ISERROR(SEARCH(("Yes"),(P240))))</formula>
    </cfRule>
  </conditionalFormatting>
  <conditionalFormatting sqref="P240:Q240">
    <cfRule type="containsText" dxfId="2" priority="42651" operator="containsText" text="Yes">
      <formula>NOT(ISERROR(SEARCH(("Yes"),(P240))))</formula>
    </cfRule>
  </conditionalFormatting>
  <conditionalFormatting sqref="P240:Q240">
    <cfRule type="containsText" dxfId="2" priority="42652" operator="containsText" text="Yes">
      <formula>NOT(ISERROR(SEARCH(("Yes"),(P240))))</formula>
    </cfRule>
  </conditionalFormatting>
  <conditionalFormatting sqref="P240:Q240">
    <cfRule type="containsText" dxfId="2" priority="42653" operator="containsText" text="Yes">
      <formula>NOT(ISERROR(SEARCH(("Yes"),(P240))))</formula>
    </cfRule>
  </conditionalFormatting>
  <conditionalFormatting sqref="P240:Q240">
    <cfRule type="containsText" dxfId="2" priority="42654" operator="containsText" text="Yes">
      <formula>NOT(ISERROR(SEARCH(("Yes"),(P240))))</formula>
    </cfRule>
  </conditionalFormatting>
  <conditionalFormatting sqref="P240:Q240">
    <cfRule type="containsText" dxfId="2" priority="42655" operator="containsText" text="Yes">
      <formula>NOT(ISERROR(SEARCH(("Yes"),(P240))))</formula>
    </cfRule>
  </conditionalFormatting>
  <conditionalFormatting sqref="P240:Q240">
    <cfRule type="containsText" dxfId="2" priority="42656" operator="containsText" text="Yes">
      <formula>NOT(ISERROR(SEARCH(("Yes"),(P240))))</formula>
    </cfRule>
  </conditionalFormatting>
  <conditionalFormatting sqref="N240:O240">
    <cfRule type="containsText" dxfId="9" priority="42657" operator="containsText" text="No">
      <formula>NOT(ISERROR(SEARCH(("No"),(N240))))</formula>
    </cfRule>
  </conditionalFormatting>
  <conditionalFormatting sqref="N240:O240">
    <cfRule type="containsText" dxfId="9" priority="42658" operator="containsText" text="No">
      <formula>NOT(ISERROR(SEARCH(("No"),(N240))))</formula>
    </cfRule>
  </conditionalFormatting>
  <conditionalFormatting sqref="N240:O240">
    <cfRule type="containsText" dxfId="9" priority="42659" operator="containsText" text="No">
      <formula>NOT(ISERROR(SEARCH(("No"),(N240))))</formula>
    </cfRule>
  </conditionalFormatting>
  <conditionalFormatting sqref="N240:O240">
    <cfRule type="containsText" dxfId="9" priority="42660" operator="containsText" text="No">
      <formula>NOT(ISERROR(SEARCH(("No"),(N240))))</formula>
    </cfRule>
  </conditionalFormatting>
  <conditionalFormatting sqref="N240:O240">
    <cfRule type="containsText" dxfId="9" priority="42661" operator="containsText" text="No">
      <formula>NOT(ISERROR(SEARCH(("No"),(N240))))</formula>
    </cfRule>
  </conditionalFormatting>
  <conditionalFormatting sqref="N240:O240">
    <cfRule type="containsText" dxfId="9" priority="42662" operator="containsText" text="No">
      <formula>NOT(ISERROR(SEARCH(("No"),(N240))))</formula>
    </cfRule>
  </conditionalFormatting>
  <conditionalFormatting sqref="N240:O240">
    <cfRule type="containsText" dxfId="9" priority="42663" operator="containsText" text="No">
      <formula>NOT(ISERROR(SEARCH(("No"),(N240))))</formula>
    </cfRule>
  </conditionalFormatting>
  <conditionalFormatting sqref="N240:O240">
    <cfRule type="containsText" dxfId="9" priority="42664" operator="containsText" text="No">
      <formula>NOT(ISERROR(SEARCH(("No"),(N240))))</formula>
    </cfRule>
  </conditionalFormatting>
  <conditionalFormatting sqref="N240:O240">
    <cfRule type="containsText" dxfId="9" priority="42665" operator="containsText" text="No">
      <formula>NOT(ISERROR(SEARCH(("No"),(N240))))</formula>
    </cfRule>
  </conditionalFormatting>
  <conditionalFormatting sqref="N240:O240">
    <cfRule type="containsText" dxfId="9" priority="42666" operator="containsText" text="No">
      <formula>NOT(ISERROR(SEARCH(("No"),(N240))))</formula>
    </cfRule>
  </conditionalFormatting>
  <conditionalFormatting sqref="N240:O240">
    <cfRule type="containsText" dxfId="9" priority="42667" operator="containsText" text="No">
      <formula>NOT(ISERROR(SEARCH(("No"),(N240))))</formula>
    </cfRule>
  </conditionalFormatting>
  <conditionalFormatting sqref="N240:O240">
    <cfRule type="containsText" dxfId="9" priority="42668" operator="containsText" text="No">
      <formula>NOT(ISERROR(SEARCH(("No"),(N240))))</formula>
    </cfRule>
  </conditionalFormatting>
  <conditionalFormatting sqref="N240:O240">
    <cfRule type="containsText" dxfId="9" priority="42669" operator="containsText" text="No">
      <formula>NOT(ISERROR(SEARCH(("No"),(N240))))</formula>
    </cfRule>
  </conditionalFormatting>
  <conditionalFormatting sqref="N240:O240">
    <cfRule type="containsText" dxfId="9" priority="42670" operator="containsText" text="No">
      <formula>NOT(ISERROR(SEARCH(("No"),(N240))))</formula>
    </cfRule>
  </conditionalFormatting>
  <conditionalFormatting sqref="N240:O240">
    <cfRule type="containsText" dxfId="9" priority="42671" operator="containsText" text="No">
      <formula>NOT(ISERROR(SEARCH(("No"),(N240))))</formula>
    </cfRule>
  </conditionalFormatting>
  <conditionalFormatting sqref="N240:O240">
    <cfRule type="containsText" dxfId="9" priority="42672" operator="containsText" text="No">
      <formula>NOT(ISERROR(SEARCH(("No"),(N240))))</formula>
    </cfRule>
  </conditionalFormatting>
  <conditionalFormatting sqref="N240:O240">
    <cfRule type="containsText" dxfId="9" priority="42673" operator="containsText" text="No">
      <formula>NOT(ISERROR(SEARCH(("No"),(N240))))</formula>
    </cfRule>
  </conditionalFormatting>
  <conditionalFormatting sqref="N240:O240">
    <cfRule type="containsText" dxfId="9" priority="42674" operator="containsText" text="No">
      <formula>NOT(ISERROR(SEARCH(("No"),(N240))))</formula>
    </cfRule>
  </conditionalFormatting>
  <conditionalFormatting sqref="N240:O240">
    <cfRule type="containsText" dxfId="9" priority="42675" operator="containsText" text="No">
      <formula>NOT(ISERROR(SEARCH(("No"),(N240))))</formula>
    </cfRule>
  </conditionalFormatting>
  <conditionalFormatting sqref="N240:O240">
    <cfRule type="containsText" dxfId="9" priority="42676" operator="containsText" text="No">
      <formula>NOT(ISERROR(SEARCH(("No"),(N240))))</formula>
    </cfRule>
  </conditionalFormatting>
  <conditionalFormatting sqref="N240:O240">
    <cfRule type="containsText" dxfId="9" priority="42677" operator="containsText" text="No">
      <formula>NOT(ISERROR(SEARCH(("No"),(N240))))</formula>
    </cfRule>
  </conditionalFormatting>
  <conditionalFormatting sqref="N240:O240">
    <cfRule type="containsText" dxfId="9" priority="42678" operator="containsText" text="No">
      <formula>NOT(ISERROR(SEARCH(("No"),(N240))))</formula>
    </cfRule>
  </conditionalFormatting>
  <conditionalFormatting sqref="N240:O240">
    <cfRule type="containsText" dxfId="9" priority="42679" operator="containsText" text="No">
      <formula>NOT(ISERROR(SEARCH(("No"),(N240))))</formula>
    </cfRule>
  </conditionalFormatting>
  <conditionalFormatting sqref="N240:O240">
    <cfRule type="containsText" dxfId="9" priority="42680" operator="containsText" text="No">
      <formula>NOT(ISERROR(SEARCH(("No"),(N240))))</formula>
    </cfRule>
  </conditionalFormatting>
  <conditionalFormatting sqref="N240:O240">
    <cfRule type="containsText" dxfId="9" priority="42681" operator="containsText" text="No">
      <formula>NOT(ISERROR(SEARCH(("No"),(N240))))</formula>
    </cfRule>
  </conditionalFormatting>
  <conditionalFormatting sqref="N240:O240">
    <cfRule type="containsText" dxfId="9" priority="42682" operator="containsText" text="No">
      <formula>NOT(ISERROR(SEARCH(("No"),(N240))))</formula>
    </cfRule>
  </conditionalFormatting>
  <conditionalFormatting sqref="N240:O240">
    <cfRule type="containsText" dxfId="9" priority="42683" operator="containsText" text="No">
      <formula>NOT(ISERROR(SEARCH(("No"),(N240))))</formula>
    </cfRule>
  </conditionalFormatting>
  <conditionalFormatting sqref="N240:O240">
    <cfRule type="containsText" dxfId="9" priority="42684" operator="containsText" text="No">
      <formula>NOT(ISERROR(SEARCH(("No"),(N240))))</formula>
    </cfRule>
  </conditionalFormatting>
  <conditionalFormatting sqref="N240:O240">
    <cfRule type="containsText" dxfId="9" priority="42685" operator="containsText" text="No">
      <formula>NOT(ISERROR(SEARCH(("No"),(N240))))</formula>
    </cfRule>
  </conditionalFormatting>
  <conditionalFormatting sqref="N240:O240">
    <cfRule type="containsText" dxfId="9" priority="42686" operator="containsText" text="No">
      <formula>NOT(ISERROR(SEARCH(("No"),(N240))))</formula>
    </cfRule>
  </conditionalFormatting>
  <conditionalFormatting sqref="N240:O240">
    <cfRule type="containsText" dxfId="9" priority="42687" operator="containsText" text="No">
      <formula>NOT(ISERROR(SEARCH(("No"),(N240))))</formula>
    </cfRule>
  </conditionalFormatting>
  <conditionalFormatting sqref="N240:O240">
    <cfRule type="containsText" dxfId="9" priority="42688" operator="containsText" text="No">
      <formula>NOT(ISERROR(SEARCH(("No"),(N240))))</formula>
    </cfRule>
  </conditionalFormatting>
  <conditionalFormatting sqref="N240:O240">
    <cfRule type="containsText" dxfId="9" priority="42689" operator="containsText" text="No">
      <formula>NOT(ISERROR(SEARCH(("No"),(N240))))</formula>
    </cfRule>
  </conditionalFormatting>
  <conditionalFormatting sqref="N240:O240">
    <cfRule type="containsText" dxfId="9" priority="42690" operator="containsText" text="No">
      <formula>NOT(ISERROR(SEARCH(("No"),(N240))))</formula>
    </cfRule>
  </conditionalFormatting>
  <conditionalFormatting sqref="N240:O240">
    <cfRule type="containsText" dxfId="9" priority="42691" operator="containsText" text="No">
      <formula>NOT(ISERROR(SEARCH(("No"),(N240))))</formula>
    </cfRule>
  </conditionalFormatting>
  <conditionalFormatting sqref="N240:O240">
    <cfRule type="containsText" dxfId="9" priority="42692" operator="containsText" text="No">
      <formula>NOT(ISERROR(SEARCH(("No"),(N240))))</formula>
    </cfRule>
  </conditionalFormatting>
  <conditionalFormatting sqref="N240:O240">
    <cfRule type="containsText" dxfId="9" priority="42693" operator="containsText" text="No">
      <formula>NOT(ISERROR(SEARCH(("No"),(N240))))</formula>
    </cfRule>
  </conditionalFormatting>
  <conditionalFormatting sqref="N240:O240">
    <cfRule type="containsText" dxfId="9" priority="42694" operator="containsText" text="No">
      <formula>NOT(ISERROR(SEARCH(("No"),(N240))))</formula>
    </cfRule>
  </conditionalFormatting>
  <conditionalFormatting sqref="N240:O240">
    <cfRule type="containsText" dxfId="9" priority="42695" operator="containsText" text="No">
      <formula>NOT(ISERROR(SEARCH(("No"),(N240))))</formula>
    </cfRule>
  </conditionalFormatting>
  <conditionalFormatting sqref="N240:O240">
    <cfRule type="containsText" dxfId="9" priority="42696" operator="containsText" text="No">
      <formula>NOT(ISERROR(SEARCH(("No"),(N240))))</formula>
    </cfRule>
  </conditionalFormatting>
  <conditionalFormatting sqref="N240:O240">
    <cfRule type="containsText" dxfId="9" priority="42697" operator="containsText" text="No">
      <formula>NOT(ISERROR(SEARCH(("No"),(N240))))</formula>
    </cfRule>
  </conditionalFormatting>
  <conditionalFormatting sqref="N240:O240">
    <cfRule type="containsText" dxfId="9" priority="42698" operator="containsText" text="No">
      <formula>NOT(ISERROR(SEARCH(("No"),(N240))))</formula>
    </cfRule>
  </conditionalFormatting>
  <conditionalFormatting sqref="N240:O240">
    <cfRule type="containsText" dxfId="9" priority="42699" operator="containsText" text="No">
      <formula>NOT(ISERROR(SEARCH(("No"),(N240))))</formula>
    </cfRule>
  </conditionalFormatting>
  <conditionalFormatting sqref="N240:O240">
    <cfRule type="containsText" dxfId="9" priority="42700" operator="containsText" text="No">
      <formula>NOT(ISERROR(SEARCH(("No"),(N240))))</formula>
    </cfRule>
  </conditionalFormatting>
  <conditionalFormatting sqref="N240:O240">
    <cfRule type="containsText" dxfId="9" priority="42701" operator="containsText" text="No">
      <formula>NOT(ISERROR(SEARCH(("No"),(N240))))</formula>
    </cfRule>
  </conditionalFormatting>
  <conditionalFormatting sqref="N240:O240">
    <cfRule type="containsText" dxfId="2" priority="42702" operator="containsText" text="Yes">
      <formula>NOT(ISERROR(SEARCH(("Yes"),(N240))))</formula>
    </cfRule>
  </conditionalFormatting>
  <conditionalFormatting sqref="N240:O240">
    <cfRule type="containsText" dxfId="2" priority="42703" operator="containsText" text="Yes">
      <formula>NOT(ISERROR(SEARCH(("Yes"),(N240))))</formula>
    </cfRule>
  </conditionalFormatting>
  <conditionalFormatting sqref="N240:O240">
    <cfRule type="containsText" dxfId="2" priority="42704" operator="containsText" text="Yes">
      <formula>NOT(ISERROR(SEARCH(("Yes"),(N240))))</formula>
    </cfRule>
  </conditionalFormatting>
  <conditionalFormatting sqref="N240:O240">
    <cfRule type="containsText" dxfId="2" priority="42705" operator="containsText" text="Yes">
      <formula>NOT(ISERROR(SEARCH(("Yes"),(N240))))</formula>
    </cfRule>
  </conditionalFormatting>
  <conditionalFormatting sqref="N240:O240">
    <cfRule type="containsText" dxfId="2" priority="42706" operator="containsText" text="Yes">
      <formula>NOT(ISERROR(SEARCH(("Yes"),(N240))))</formula>
    </cfRule>
  </conditionalFormatting>
  <conditionalFormatting sqref="N240:O240">
    <cfRule type="containsText" dxfId="2" priority="42707" operator="containsText" text="Yes">
      <formula>NOT(ISERROR(SEARCH(("Yes"),(N240))))</formula>
    </cfRule>
  </conditionalFormatting>
  <conditionalFormatting sqref="N240:O240">
    <cfRule type="containsText" dxfId="2" priority="42708" operator="containsText" text="Yes">
      <formula>NOT(ISERROR(SEARCH(("Yes"),(N240))))</formula>
    </cfRule>
  </conditionalFormatting>
  <conditionalFormatting sqref="N240:O240">
    <cfRule type="containsText" dxfId="2" priority="42709" operator="containsText" text="Yes">
      <formula>NOT(ISERROR(SEARCH(("Yes"),(N240))))</formula>
    </cfRule>
  </conditionalFormatting>
  <conditionalFormatting sqref="N240:O240">
    <cfRule type="containsText" dxfId="2" priority="42710" operator="containsText" text="Yes">
      <formula>NOT(ISERROR(SEARCH(("Yes"),(N240))))</formula>
    </cfRule>
  </conditionalFormatting>
  <conditionalFormatting sqref="N240:O240">
    <cfRule type="containsText" dxfId="2" priority="42711" operator="containsText" text="Yes">
      <formula>NOT(ISERROR(SEARCH(("Yes"),(N240))))</formula>
    </cfRule>
  </conditionalFormatting>
  <conditionalFormatting sqref="N240:O240">
    <cfRule type="containsText" dxfId="2" priority="42712" operator="containsText" text="Yes">
      <formula>NOT(ISERROR(SEARCH(("Yes"),(N240))))</formula>
    </cfRule>
  </conditionalFormatting>
  <conditionalFormatting sqref="N240:O240">
    <cfRule type="containsText" dxfId="2" priority="42713" operator="containsText" text="Yes">
      <formula>NOT(ISERROR(SEARCH(("Yes"),(N240))))</formula>
    </cfRule>
  </conditionalFormatting>
  <conditionalFormatting sqref="N240:O240">
    <cfRule type="containsText" dxfId="2" priority="42714" operator="containsText" text="Yes">
      <formula>NOT(ISERROR(SEARCH(("Yes"),(N240))))</formula>
    </cfRule>
  </conditionalFormatting>
  <conditionalFormatting sqref="N240:O240">
    <cfRule type="containsText" dxfId="2" priority="42715" operator="containsText" text="Yes">
      <formula>NOT(ISERROR(SEARCH(("Yes"),(N240))))</formula>
    </cfRule>
  </conditionalFormatting>
  <conditionalFormatting sqref="N240:O240">
    <cfRule type="containsText" dxfId="2" priority="42716" operator="containsText" text="Yes">
      <formula>NOT(ISERROR(SEARCH(("Yes"),(N240))))</formula>
    </cfRule>
  </conditionalFormatting>
  <conditionalFormatting sqref="N240:O240">
    <cfRule type="containsText" dxfId="2" priority="42717" operator="containsText" text="Yes">
      <formula>NOT(ISERROR(SEARCH(("Yes"),(N240))))</formula>
    </cfRule>
  </conditionalFormatting>
  <conditionalFormatting sqref="N240:O240">
    <cfRule type="containsText" dxfId="2" priority="42718" operator="containsText" text="Yes">
      <formula>NOT(ISERROR(SEARCH(("Yes"),(N240))))</formula>
    </cfRule>
  </conditionalFormatting>
  <conditionalFormatting sqref="N240:O240">
    <cfRule type="containsText" dxfId="2" priority="42719" operator="containsText" text="Yes">
      <formula>NOT(ISERROR(SEARCH(("Yes"),(N240))))</formula>
    </cfRule>
  </conditionalFormatting>
  <conditionalFormatting sqref="N240:O240">
    <cfRule type="containsText" dxfId="2" priority="42720" operator="containsText" text="Yes">
      <formula>NOT(ISERROR(SEARCH(("Yes"),(N240))))</formula>
    </cfRule>
  </conditionalFormatting>
  <conditionalFormatting sqref="N240:O240">
    <cfRule type="containsText" dxfId="2" priority="42721" operator="containsText" text="Yes">
      <formula>NOT(ISERROR(SEARCH(("Yes"),(N240))))</formula>
    </cfRule>
  </conditionalFormatting>
  <conditionalFormatting sqref="N240:O240">
    <cfRule type="containsText" dxfId="2" priority="42722" operator="containsText" text="Yes">
      <formula>NOT(ISERROR(SEARCH(("Yes"),(N240))))</formula>
    </cfRule>
  </conditionalFormatting>
  <conditionalFormatting sqref="N240:O240">
    <cfRule type="containsText" dxfId="2" priority="42723" operator="containsText" text="Yes">
      <formula>NOT(ISERROR(SEARCH(("Yes"),(N240))))</formula>
    </cfRule>
  </conditionalFormatting>
  <conditionalFormatting sqref="N240:O240">
    <cfRule type="containsText" dxfId="2" priority="42724" operator="containsText" text="Yes">
      <formula>NOT(ISERROR(SEARCH(("Yes"),(N240))))</formula>
    </cfRule>
  </conditionalFormatting>
  <conditionalFormatting sqref="N240:O240">
    <cfRule type="containsText" dxfId="2" priority="42725" operator="containsText" text="Yes">
      <formula>NOT(ISERROR(SEARCH(("Yes"),(N240))))</formula>
    </cfRule>
  </conditionalFormatting>
  <conditionalFormatting sqref="N240:O240">
    <cfRule type="containsText" dxfId="2" priority="42726" operator="containsText" text="Yes">
      <formula>NOT(ISERROR(SEARCH(("Yes"),(N240))))</formula>
    </cfRule>
  </conditionalFormatting>
  <conditionalFormatting sqref="N240:O240">
    <cfRule type="containsText" dxfId="2" priority="42727" operator="containsText" text="Yes">
      <formula>NOT(ISERROR(SEARCH(("Yes"),(N240))))</formula>
    </cfRule>
  </conditionalFormatting>
  <conditionalFormatting sqref="N240:O240">
    <cfRule type="containsText" dxfId="2" priority="42728" operator="containsText" text="Yes">
      <formula>NOT(ISERROR(SEARCH(("Yes"),(N240))))</formula>
    </cfRule>
  </conditionalFormatting>
  <conditionalFormatting sqref="N240:O240">
    <cfRule type="containsText" dxfId="2" priority="42729" operator="containsText" text="Yes">
      <formula>NOT(ISERROR(SEARCH(("Yes"),(N240))))</formula>
    </cfRule>
  </conditionalFormatting>
  <conditionalFormatting sqref="N240:O240">
    <cfRule type="containsText" dxfId="2" priority="42730" operator="containsText" text="Yes">
      <formula>NOT(ISERROR(SEARCH(("Yes"),(N240))))</formula>
    </cfRule>
  </conditionalFormatting>
  <conditionalFormatting sqref="N240:O240">
    <cfRule type="containsText" dxfId="2" priority="42731" operator="containsText" text="Yes">
      <formula>NOT(ISERROR(SEARCH(("Yes"),(N240))))</formula>
    </cfRule>
  </conditionalFormatting>
  <conditionalFormatting sqref="N240:O240">
    <cfRule type="containsText" dxfId="2" priority="42732" operator="containsText" text="Yes">
      <formula>NOT(ISERROR(SEARCH(("Yes"),(N240))))</formula>
    </cfRule>
  </conditionalFormatting>
  <conditionalFormatting sqref="N240:O240">
    <cfRule type="containsText" dxfId="2" priority="42733" operator="containsText" text="Yes">
      <formula>NOT(ISERROR(SEARCH(("Yes"),(N240))))</formula>
    </cfRule>
  </conditionalFormatting>
  <conditionalFormatting sqref="N240:O240">
    <cfRule type="containsText" dxfId="2" priority="42734" operator="containsText" text="Yes">
      <formula>NOT(ISERROR(SEARCH(("Yes"),(N240))))</formula>
    </cfRule>
  </conditionalFormatting>
  <conditionalFormatting sqref="N240:O240">
    <cfRule type="containsText" dxfId="2" priority="42735" operator="containsText" text="Yes">
      <formula>NOT(ISERROR(SEARCH(("Yes"),(N240))))</formula>
    </cfRule>
  </conditionalFormatting>
  <conditionalFormatting sqref="N240:O240">
    <cfRule type="containsText" dxfId="2" priority="42736" operator="containsText" text="Yes">
      <formula>NOT(ISERROR(SEARCH(("Yes"),(N240))))</formula>
    </cfRule>
  </conditionalFormatting>
  <conditionalFormatting sqref="N240:O240">
    <cfRule type="containsText" dxfId="2" priority="42737" operator="containsText" text="Yes">
      <formula>NOT(ISERROR(SEARCH(("Yes"),(N240))))</formula>
    </cfRule>
  </conditionalFormatting>
  <conditionalFormatting sqref="N240:O240">
    <cfRule type="containsText" dxfId="2" priority="42738" operator="containsText" text="Yes">
      <formula>NOT(ISERROR(SEARCH(("Yes"),(N240))))</formula>
    </cfRule>
  </conditionalFormatting>
  <conditionalFormatting sqref="N240:O240">
    <cfRule type="containsText" dxfId="2" priority="42739" operator="containsText" text="Yes">
      <formula>NOT(ISERROR(SEARCH(("Yes"),(N240))))</formula>
    </cfRule>
  </conditionalFormatting>
  <conditionalFormatting sqref="N240:O240">
    <cfRule type="containsText" dxfId="2" priority="42740" operator="containsText" text="Yes">
      <formula>NOT(ISERROR(SEARCH(("Yes"),(N240))))</formula>
    </cfRule>
  </conditionalFormatting>
  <conditionalFormatting sqref="N240:O240">
    <cfRule type="containsText" dxfId="2" priority="42741" operator="containsText" text="Yes">
      <formula>NOT(ISERROR(SEARCH(("Yes"),(N240))))</formula>
    </cfRule>
  </conditionalFormatting>
  <conditionalFormatting sqref="N240:O240">
    <cfRule type="containsText" dxfId="2" priority="42742" operator="containsText" text="Yes">
      <formula>NOT(ISERROR(SEARCH(("Yes"),(N240))))</formula>
    </cfRule>
  </conditionalFormatting>
  <conditionalFormatting sqref="N240:O240">
    <cfRule type="containsText" dxfId="2" priority="42743" operator="containsText" text="Yes">
      <formula>NOT(ISERROR(SEARCH(("Yes"),(N240))))</formula>
    </cfRule>
  </conditionalFormatting>
  <conditionalFormatting sqref="N240:O240">
    <cfRule type="containsText" dxfId="2" priority="42744" operator="containsText" text="Yes">
      <formula>NOT(ISERROR(SEARCH(("Yes"),(N240))))</formula>
    </cfRule>
  </conditionalFormatting>
  <conditionalFormatting sqref="N240:O240">
    <cfRule type="containsText" dxfId="2" priority="42745" operator="containsText" text="Yes">
      <formula>NOT(ISERROR(SEARCH(("Yes"),(N240))))</formula>
    </cfRule>
  </conditionalFormatting>
  <conditionalFormatting sqref="N240:O240">
    <cfRule type="containsText" dxfId="2" priority="42746" operator="containsText" text="Yes">
      <formula>NOT(ISERROR(SEARCH(("Yes"),(N240))))</formula>
    </cfRule>
  </conditionalFormatting>
  <conditionalFormatting sqref="N240:O240">
    <cfRule type="containsText" dxfId="2" priority="42747" operator="containsText" text="Yes">
      <formula>NOT(ISERROR(SEARCH(("Yes"),(N240))))</formula>
    </cfRule>
  </conditionalFormatting>
  <conditionalFormatting sqref="N240:O240">
    <cfRule type="containsText" dxfId="2" priority="42748" operator="containsText" text="Yes">
      <formula>NOT(ISERROR(SEARCH(("Yes"),(N240))))</formula>
    </cfRule>
  </conditionalFormatting>
  <conditionalFormatting sqref="O241 O243 O247:O248">
    <cfRule type="containsText" dxfId="2" priority="42749" operator="containsText" text="Yes">
      <formula>NOT(ISERROR(SEARCH(("Yes"),(O241))))</formula>
    </cfRule>
  </conditionalFormatting>
  <conditionalFormatting sqref="O241 O243 O247:O248">
    <cfRule type="containsText" dxfId="9" priority="42750" operator="containsText" text="No">
      <formula>NOT(ISERROR(SEARCH(("No"),(O241))))</formula>
    </cfRule>
  </conditionalFormatting>
  <conditionalFormatting sqref="O241 O243 O247:O248">
    <cfRule type="containsText" dxfId="2" priority="42751" operator="containsText" text="Yes">
      <formula>NOT(ISERROR(SEARCH(("Yes"),(O241))))</formula>
    </cfRule>
  </conditionalFormatting>
  <conditionalFormatting sqref="O241 O243 O247:O248">
    <cfRule type="containsText" dxfId="9" priority="42752" operator="containsText" text="No">
      <formula>NOT(ISERROR(SEARCH(("No"),(O241))))</formula>
    </cfRule>
  </conditionalFormatting>
  <conditionalFormatting sqref="O241 O243 O247:O248">
    <cfRule type="containsText" dxfId="2" priority="42753" operator="containsText" text="Yes">
      <formula>NOT(ISERROR(SEARCH(("Yes"),(O241))))</formula>
    </cfRule>
  </conditionalFormatting>
  <conditionalFormatting sqref="O241 O243 O247:O248">
    <cfRule type="containsText" dxfId="9" priority="42754" operator="containsText" text="No">
      <formula>NOT(ISERROR(SEARCH(("No"),(O241))))</formula>
    </cfRule>
  </conditionalFormatting>
  <conditionalFormatting sqref="O241 O243 O247:O248">
    <cfRule type="containsText" dxfId="2" priority="42755" operator="containsText" text="Yes">
      <formula>NOT(ISERROR(SEARCH(("Yes"),(O241))))</formula>
    </cfRule>
  </conditionalFormatting>
  <conditionalFormatting sqref="O241 O243 O247:O248">
    <cfRule type="containsText" dxfId="9" priority="42756" operator="containsText" text="No">
      <formula>NOT(ISERROR(SEARCH(("No"),(O241))))</formula>
    </cfRule>
  </conditionalFormatting>
  <conditionalFormatting sqref="O241 O243 O247:O248">
    <cfRule type="containsText" dxfId="2" priority="42757" operator="containsText" text="Yes">
      <formula>NOT(ISERROR(SEARCH(("Yes"),(O241))))</formula>
    </cfRule>
  </conditionalFormatting>
  <conditionalFormatting sqref="O241 O243 O247:O248">
    <cfRule type="containsText" dxfId="9" priority="42758" operator="containsText" text="No">
      <formula>NOT(ISERROR(SEARCH(("No"),(O241))))</formula>
    </cfRule>
  </conditionalFormatting>
  <conditionalFormatting sqref="O241 O243 O247:O248">
    <cfRule type="containsText" dxfId="2" priority="42759" operator="containsText" text="Yes">
      <formula>NOT(ISERROR(SEARCH(("Yes"),(O241))))</formula>
    </cfRule>
  </conditionalFormatting>
  <conditionalFormatting sqref="O241 O243 O247:O248">
    <cfRule type="containsText" dxfId="9" priority="42760" operator="containsText" text="No">
      <formula>NOT(ISERROR(SEARCH(("No"),(O241))))</formula>
    </cfRule>
  </conditionalFormatting>
  <conditionalFormatting sqref="O241 O243 O247:O248">
    <cfRule type="containsText" dxfId="2" priority="42761" operator="containsText" text="Yes">
      <formula>NOT(ISERROR(SEARCH(("Yes"),(O241))))</formula>
    </cfRule>
  </conditionalFormatting>
  <conditionalFormatting sqref="O241 O243 O247:O248">
    <cfRule type="containsText" dxfId="9" priority="42762" operator="containsText" text="No">
      <formula>NOT(ISERROR(SEARCH(("No"),(O241))))</formula>
    </cfRule>
  </conditionalFormatting>
  <conditionalFormatting sqref="O241 O243 O247:O248">
    <cfRule type="containsText" dxfId="2" priority="42763" operator="containsText" text="Yes">
      <formula>NOT(ISERROR(SEARCH(("Yes"),(O241))))</formula>
    </cfRule>
  </conditionalFormatting>
  <conditionalFormatting sqref="O241 O243 O247:O248">
    <cfRule type="containsText" dxfId="9" priority="42764" operator="containsText" text="No">
      <formula>NOT(ISERROR(SEARCH(("No"),(O241))))</formula>
    </cfRule>
  </conditionalFormatting>
  <conditionalFormatting sqref="O241 O243 O247:O248">
    <cfRule type="containsText" dxfId="2" priority="42765" operator="containsText" text="Yes">
      <formula>NOT(ISERROR(SEARCH(("Yes"),(O241))))</formula>
    </cfRule>
  </conditionalFormatting>
  <conditionalFormatting sqref="O241 O243 O247:O248">
    <cfRule type="containsText" dxfId="9" priority="42766" operator="containsText" text="No">
      <formula>NOT(ISERROR(SEARCH(("No"),(O241))))</formula>
    </cfRule>
  </conditionalFormatting>
  <conditionalFormatting sqref="O241 O243 O247:O248">
    <cfRule type="containsText" dxfId="2" priority="42767" operator="containsText" text="Yes">
      <formula>NOT(ISERROR(SEARCH(("Yes"),(O241))))</formula>
    </cfRule>
  </conditionalFormatting>
  <conditionalFormatting sqref="O241 O243 O247:O248">
    <cfRule type="containsText" dxfId="9" priority="42768" operator="containsText" text="No">
      <formula>NOT(ISERROR(SEARCH(("No"),(O241))))</formula>
    </cfRule>
  </conditionalFormatting>
  <conditionalFormatting sqref="O241 O243 O247:O248">
    <cfRule type="containsText" dxfId="2" priority="42769" operator="containsText" text="Yes">
      <formula>NOT(ISERROR(SEARCH(("Yes"),(O241))))</formula>
    </cfRule>
  </conditionalFormatting>
  <conditionalFormatting sqref="O241 O243 O247:O248">
    <cfRule type="containsText" dxfId="9" priority="42770" operator="containsText" text="No">
      <formula>NOT(ISERROR(SEARCH(("No"),(O241))))</formula>
    </cfRule>
  </conditionalFormatting>
  <conditionalFormatting sqref="O241 O243 O247:O248">
    <cfRule type="containsText" dxfId="2" priority="42771" operator="containsText" text="Yes">
      <formula>NOT(ISERROR(SEARCH(("Yes"),(O241))))</formula>
    </cfRule>
  </conditionalFormatting>
  <conditionalFormatting sqref="O241 O243 O247:O248">
    <cfRule type="containsText" dxfId="9" priority="42772" operator="containsText" text="No">
      <formula>NOT(ISERROR(SEARCH(("No"),(O241))))</formula>
    </cfRule>
  </conditionalFormatting>
  <conditionalFormatting sqref="O241 O243 O247:O248">
    <cfRule type="containsText" dxfId="2" priority="42773" operator="containsText" text="Yes">
      <formula>NOT(ISERROR(SEARCH(("Yes"),(O241))))</formula>
    </cfRule>
  </conditionalFormatting>
  <conditionalFormatting sqref="O241 O243 O247:O248">
    <cfRule type="containsText" dxfId="9" priority="42774" operator="containsText" text="No">
      <formula>NOT(ISERROR(SEARCH(("No"),(O241))))</formula>
    </cfRule>
  </conditionalFormatting>
  <conditionalFormatting sqref="O241 O243 O247:O248">
    <cfRule type="containsText" dxfId="2" priority="42775" operator="containsText" text="Yes">
      <formula>NOT(ISERROR(SEARCH(("Yes"),(O241))))</formula>
    </cfRule>
  </conditionalFormatting>
  <conditionalFormatting sqref="O241 O243 O247:O248">
    <cfRule type="containsText" dxfId="9" priority="42776" operator="containsText" text="No">
      <formula>NOT(ISERROR(SEARCH(("No"),(O241))))</formula>
    </cfRule>
  </conditionalFormatting>
  <conditionalFormatting sqref="O241 O243 O247:O248">
    <cfRule type="containsText" dxfId="2" priority="42777" operator="containsText" text="Yes">
      <formula>NOT(ISERROR(SEARCH(("Yes"),(O241))))</formula>
    </cfRule>
  </conditionalFormatting>
  <conditionalFormatting sqref="O241 O243 O247:O248">
    <cfRule type="containsText" dxfId="9" priority="42778" operator="containsText" text="No">
      <formula>NOT(ISERROR(SEARCH(("No"),(O241))))</formula>
    </cfRule>
  </conditionalFormatting>
  <conditionalFormatting sqref="O241 O243 O247:O248">
    <cfRule type="containsText" dxfId="2" priority="42779" operator="containsText" text="Yes">
      <formula>NOT(ISERROR(SEARCH(("Yes"),(O241))))</formula>
    </cfRule>
  </conditionalFormatting>
  <conditionalFormatting sqref="O241 O243 O247:O248">
    <cfRule type="containsText" dxfId="9" priority="42780" operator="containsText" text="No">
      <formula>NOT(ISERROR(SEARCH(("No"),(O241))))</formula>
    </cfRule>
  </conditionalFormatting>
  <conditionalFormatting sqref="O241 O243 O247:O248">
    <cfRule type="containsText" dxfId="2" priority="42781" operator="containsText" text="Yes">
      <formula>NOT(ISERROR(SEARCH(("Yes"),(O241))))</formula>
    </cfRule>
  </conditionalFormatting>
  <conditionalFormatting sqref="O241 O243 O247:O248">
    <cfRule type="containsText" dxfId="9" priority="42782" operator="containsText" text="No">
      <formula>NOT(ISERROR(SEARCH(("No"),(O241))))</formula>
    </cfRule>
  </conditionalFormatting>
  <conditionalFormatting sqref="O241 O243 O247:O248">
    <cfRule type="containsText" dxfId="2" priority="42783" operator="containsText" text="Yes">
      <formula>NOT(ISERROR(SEARCH(("Yes"),(O241))))</formula>
    </cfRule>
  </conditionalFormatting>
  <conditionalFormatting sqref="O241 O243 O247:O248">
    <cfRule type="containsText" dxfId="9" priority="42784" operator="containsText" text="No">
      <formula>NOT(ISERROR(SEARCH(("No"),(O241))))</formula>
    </cfRule>
  </conditionalFormatting>
  <conditionalFormatting sqref="O241 O243 O247:O248">
    <cfRule type="containsText" dxfId="2" priority="42785" operator="containsText" text="Yes">
      <formula>NOT(ISERROR(SEARCH(("Yes"),(O241))))</formula>
    </cfRule>
  </conditionalFormatting>
  <conditionalFormatting sqref="O241 O243 O247:O248">
    <cfRule type="containsText" dxfId="9" priority="42786" operator="containsText" text="No">
      <formula>NOT(ISERROR(SEARCH(("No"),(O241))))</formula>
    </cfRule>
  </conditionalFormatting>
  <conditionalFormatting sqref="O241 O243 O247:O248">
    <cfRule type="containsText" dxfId="2" priority="42787" operator="containsText" text="Yes">
      <formula>NOT(ISERROR(SEARCH(("Yes"),(O241))))</formula>
    </cfRule>
  </conditionalFormatting>
  <conditionalFormatting sqref="O241 O243 O247:O248">
    <cfRule type="containsText" dxfId="9" priority="42788" operator="containsText" text="No">
      <formula>NOT(ISERROR(SEARCH(("No"),(O241))))</formula>
    </cfRule>
  </conditionalFormatting>
  <conditionalFormatting sqref="O241 O243 O247:O248">
    <cfRule type="containsText" dxfId="2" priority="42789" operator="containsText" text="Yes">
      <formula>NOT(ISERROR(SEARCH(("Yes"),(O241))))</formula>
    </cfRule>
  </conditionalFormatting>
  <conditionalFormatting sqref="O241 O243 O247:O248">
    <cfRule type="containsText" dxfId="9" priority="42790" operator="containsText" text="No">
      <formula>NOT(ISERROR(SEARCH(("No"),(O241))))</formula>
    </cfRule>
  </conditionalFormatting>
  <conditionalFormatting sqref="O241 O243 O247:O248">
    <cfRule type="containsText" dxfId="2" priority="42791" operator="containsText" text="Yes">
      <formula>NOT(ISERROR(SEARCH(("Yes"),(O241))))</formula>
    </cfRule>
  </conditionalFormatting>
  <conditionalFormatting sqref="O241 O243 O247:O248">
    <cfRule type="containsText" dxfId="9" priority="42792" operator="containsText" text="No">
      <formula>NOT(ISERROR(SEARCH(("No"),(O241))))</formula>
    </cfRule>
  </conditionalFormatting>
  <conditionalFormatting sqref="O241 O243 O247:O248">
    <cfRule type="containsText" dxfId="2" priority="42793" operator="containsText" text="Yes">
      <formula>NOT(ISERROR(SEARCH(("Yes"),(O241))))</formula>
    </cfRule>
  </conditionalFormatting>
  <conditionalFormatting sqref="O241 O243 O247:O248">
    <cfRule type="containsText" dxfId="9" priority="42794" operator="containsText" text="No">
      <formula>NOT(ISERROR(SEARCH(("No"),(O241))))</formula>
    </cfRule>
  </conditionalFormatting>
  <conditionalFormatting sqref="O241 O243 O247:O248">
    <cfRule type="containsText" dxfId="2" priority="42795" operator="containsText" text="Yes">
      <formula>NOT(ISERROR(SEARCH(("Yes"),(O241))))</formula>
    </cfRule>
  </conditionalFormatting>
  <conditionalFormatting sqref="O241 O243 O247:O248">
    <cfRule type="containsText" dxfId="9" priority="42796" operator="containsText" text="No">
      <formula>NOT(ISERROR(SEARCH(("No"),(O241))))</formula>
    </cfRule>
  </conditionalFormatting>
  <conditionalFormatting sqref="O241 O243 O247:O248">
    <cfRule type="containsText" dxfId="2" priority="42797" operator="containsText" text="Yes">
      <formula>NOT(ISERROR(SEARCH(("Yes"),(O241))))</formula>
    </cfRule>
  </conditionalFormatting>
  <conditionalFormatting sqref="O241 O243 O247:O248">
    <cfRule type="containsText" dxfId="9" priority="42798" operator="containsText" text="No">
      <formula>NOT(ISERROR(SEARCH(("No"),(O241))))</formula>
    </cfRule>
  </conditionalFormatting>
  <conditionalFormatting sqref="O241 O243 O247:O248">
    <cfRule type="containsText" dxfId="2" priority="42799" operator="containsText" text="Yes">
      <formula>NOT(ISERROR(SEARCH(("Yes"),(O241))))</formula>
    </cfRule>
  </conditionalFormatting>
  <conditionalFormatting sqref="O241 O243 O247:O248">
    <cfRule type="containsText" dxfId="9" priority="42800" operator="containsText" text="No">
      <formula>NOT(ISERROR(SEARCH(("No"),(O241))))</formula>
    </cfRule>
  </conditionalFormatting>
  <conditionalFormatting sqref="O241 O243 O247:O248">
    <cfRule type="containsText" dxfId="2" priority="42801" operator="containsText" text="Yes">
      <formula>NOT(ISERROR(SEARCH(("Yes"),(O241))))</formula>
    </cfRule>
  </conditionalFormatting>
  <conditionalFormatting sqref="O241 O243 O247:O248">
    <cfRule type="containsText" dxfId="9" priority="42802" operator="containsText" text="No">
      <formula>NOT(ISERROR(SEARCH(("No"),(O241))))</formula>
    </cfRule>
  </conditionalFormatting>
  <conditionalFormatting sqref="O241 O243 O247:O248">
    <cfRule type="containsText" dxfId="2" priority="42803" operator="containsText" text="Yes">
      <formula>NOT(ISERROR(SEARCH(("Yes"),(O241))))</formula>
    </cfRule>
  </conditionalFormatting>
  <conditionalFormatting sqref="O241 O243 O247:O248">
    <cfRule type="containsText" dxfId="9" priority="42804" operator="containsText" text="No">
      <formula>NOT(ISERROR(SEARCH(("No"),(O241))))</formula>
    </cfRule>
  </conditionalFormatting>
  <conditionalFormatting sqref="O241 O243 O247:O248">
    <cfRule type="containsText" dxfId="2" priority="42805" operator="containsText" text="Yes">
      <formula>NOT(ISERROR(SEARCH(("Yes"),(O241))))</formula>
    </cfRule>
  </conditionalFormatting>
  <conditionalFormatting sqref="O241 O243 O247:O248">
    <cfRule type="containsText" dxfId="9" priority="42806" operator="containsText" text="No">
      <formula>NOT(ISERROR(SEARCH(("No"),(O241))))</formula>
    </cfRule>
  </conditionalFormatting>
  <conditionalFormatting sqref="O241 O243 O247:O248">
    <cfRule type="containsText" dxfId="2" priority="42807" operator="containsText" text="Yes">
      <formula>NOT(ISERROR(SEARCH(("Yes"),(O241))))</formula>
    </cfRule>
  </conditionalFormatting>
  <conditionalFormatting sqref="O241 O243 O247:O248">
    <cfRule type="containsText" dxfId="9" priority="42808" operator="containsText" text="No">
      <formula>NOT(ISERROR(SEARCH(("No"),(O241))))</formula>
    </cfRule>
  </conditionalFormatting>
  <conditionalFormatting sqref="O241 O243 O247:O248">
    <cfRule type="containsText" dxfId="2" priority="42809" operator="containsText" text="Yes">
      <formula>NOT(ISERROR(SEARCH(("Yes"),(O241))))</formula>
    </cfRule>
  </conditionalFormatting>
  <conditionalFormatting sqref="O241 O243 O247:O248">
    <cfRule type="containsText" dxfId="9" priority="42810" operator="containsText" text="No">
      <formula>NOT(ISERROR(SEARCH(("No"),(O241))))</formula>
    </cfRule>
  </conditionalFormatting>
  <conditionalFormatting sqref="O241 O243 O247:O248">
    <cfRule type="containsText" dxfId="2" priority="42811" operator="containsText" text="Yes">
      <formula>NOT(ISERROR(SEARCH(("Yes"),(O241))))</formula>
    </cfRule>
  </conditionalFormatting>
  <conditionalFormatting sqref="O241 O243 O247:O248">
    <cfRule type="containsText" dxfId="9" priority="42812" operator="containsText" text="No">
      <formula>NOT(ISERROR(SEARCH(("No"),(O241))))</formula>
    </cfRule>
  </conditionalFormatting>
  <conditionalFormatting sqref="O241 O243 O247:O248">
    <cfRule type="containsText" dxfId="2" priority="42813" operator="containsText" text="Yes">
      <formula>NOT(ISERROR(SEARCH(("Yes"),(O241))))</formula>
    </cfRule>
  </conditionalFormatting>
  <conditionalFormatting sqref="O241 O243 O247:O248">
    <cfRule type="containsText" dxfId="9" priority="42814" operator="containsText" text="No">
      <formula>NOT(ISERROR(SEARCH(("No"),(O241))))</formula>
    </cfRule>
  </conditionalFormatting>
  <conditionalFormatting sqref="O241 O243 O247:O248">
    <cfRule type="containsText" dxfId="2" priority="42815" operator="containsText" text="Yes">
      <formula>NOT(ISERROR(SEARCH(("Yes"),(O241))))</formula>
    </cfRule>
  </conditionalFormatting>
  <conditionalFormatting sqref="O241 O243 O247:O248">
    <cfRule type="containsText" dxfId="9" priority="42816" operator="containsText" text="No">
      <formula>NOT(ISERROR(SEARCH(("No"),(O241))))</formula>
    </cfRule>
  </conditionalFormatting>
  <conditionalFormatting sqref="O241 O243 O247:O248">
    <cfRule type="containsText" dxfId="2" priority="42817" operator="containsText" text="Yes">
      <formula>NOT(ISERROR(SEARCH(("Yes"),(O241))))</formula>
    </cfRule>
  </conditionalFormatting>
  <conditionalFormatting sqref="O241 O243 O247:O248">
    <cfRule type="containsText" dxfId="9" priority="42818" operator="containsText" text="No">
      <formula>NOT(ISERROR(SEARCH(("No"),(O241))))</formula>
    </cfRule>
  </conditionalFormatting>
  <conditionalFormatting sqref="O241 O243 O247:O248">
    <cfRule type="containsText" dxfId="2" priority="42819" operator="containsText" text="Yes">
      <formula>NOT(ISERROR(SEARCH(("Yes"),(O241))))</formula>
    </cfRule>
  </conditionalFormatting>
  <conditionalFormatting sqref="O241 O243 O247:O248">
    <cfRule type="containsText" dxfId="9" priority="42820" operator="containsText" text="No">
      <formula>NOT(ISERROR(SEARCH(("No"),(O241))))</formula>
    </cfRule>
  </conditionalFormatting>
  <conditionalFormatting sqref="O241 O243 O247:O248">
    <cfRule type="containsText" dxfId="2" priority="42821" operator="containsText" text="Yes">
      <formula>NOT(ISERROR(SEARCH(("Yes"),(O241))))</formula>
    </cfRule>
  </conditionalFormatting>
  <conditionalFormatting sqref="O241 O243 O247:O248">
    <cfRule type="containsText" dxfId="9" priority="42822" operator="containsText" text="No">
      <formula>NOT(ISERROR(SEARCH(("No"),(O241))))</formula>
    </cfRule>
  </conditionalFormatting>
  <conditionalFormatting sqref="O241 O243 O247:O248">
    <cfRule type="containsText" dxfId="2" priority="42823" operator="containsText" text="Yes">
      <formula>NOT(ISERROR(SEARCH(("Yes"),(O241))))</formula>
    </cfRule>
  </conditionalFormatting>
  <conditionalFormatting sqref="O241 O243 O247:O248">
    <cfRule type="containsText" dxfId="9" priority="42824" operator="containsText" text="No">
      <formula>NOT(ISERROR(SEARCH(("No"),(O241))))</formula>
    </cfRule>
  </conditionalFormatting>
  <conditionalFormatting sqref="O241 O243 O247:O248">
    <cfRule type="containsText" dxfId="2" priority="42825" operator="containsText" text="Yes">
      <formula>NOT(ISERROR(SEARCH(("Yes"),(O241))))</formula>
    </cfRule>
  </conditionalFormatting>
  <conditionalFormatting sqref="O241 O243 O247:O248">
    <cfRule type="containsText" dxfId="9" priority="42826" operator="containsText" text="No">
      <formula>NOT(ISERROR(SEARCH(("No"),(O241))))</formula>
    </cfRule>
  </conditionalFormatting>
  <conditionalFormatting sqref="O241 O243 O247:O248">
    <cfRule type="containsText" dxfId="2" priority="42827" operator="containsText" text="Yes">
      <formula>NOT(ISERROR(SEARCH(("Yes"),(O241))))</formula>
    </cfRule>
  </conditionalFormatting>
  <conditionalFormatting sqref="O241 O243 O247:O248">
    <cfRule type="containsText" dxfId="9" priority="42828" operator="containsText" text="No">
      <formula>NOT(ISERROR(SEARCH(("No"),(O241))))</formula>
    </cfRule>
  </conditionalFormatting>
  <conditionalFormatting sqref="O241 O243 O247:O248">
    <cfRule type="containsText" dxfId="2" priority="42829" operator="containsText" text="Yes">
      <formula>NOT(ISERROR(SEARCH(("Yes"),(O241))))</formula>
    </cfRule>
  </conditionalFormatting>
  <conditionalFormatting sqref="O241 O243 O247:O248">
    <cfRule type="containsText" dxfId="9" priority="42830" operator="containsText" text="No">
      <formula>NOT(ISERROR(SEARCH(("No"),(O241))))</formula>
    </cfRule>
  </conditionalFormatting>
  <conditionalFormatting sqref="O241 O243 O247:O248">
    <cfRule type="containsText" dxfId="2" priority="42831" operator="containsText" text="Yes">
      <formula>NOT(ISERROR(SEARCH(("Yes"),(O241))))</formula>
    </cfRule>
  </conditionalFormatting>
  <conditionalFormatting sqref="O241 O243 O247:O248">
    <cfRule type="containsText" dxfId="9" priority="42832" operator="containsText" text="No">
      <formula>NOT(ISERROR(SEARCH(("No"),(O241))))</formula>
    </cfRule>
  </conditionalFormatting>
  <conditionalFormatting sqref="O241 O243 O247:O248">
    <cfRule type="containsText" dxfId="2" priority="42833" operator="containsText" text="Yes">
      <formula>NOT(ISERROR(SEARCH(("Yes"),(O241))))</formula>
    </cfRule>
  </conditionalFormatting>
  <conditionalFormatting sqref="O241 O243 O247:O248">
    <cfRule type="containsText" dxfId="9" priority="42834" operator="containsText" text="No">
      <formula>NOT(ISERROR(SEARCH(("No"),(O241))))</formula>
    </cfRule>
  </conditionalFormatting>
  <conditionalFormatting sqref="O241 O243 O247:O248">
    <cfRule type="containsText" dxfId="2" priority="42835" operator="containsText" text="Yes">
      <formula>NOT(ISERROR(SEARCH(("Yes"),(O241))))</formula>
    </cfRule>
  </conditionalFormatting>
  <conditionalFormatting sqref="O241 O243 O247:O248">
    <cfRule type="containsText" dxfId="9" priority="42836" operator="containsText" text="No">
      <formula>NOT(ISERROR(SEARCH(("No"),(O241))))</formula>
    </cfRule>
  </conditionalFormatting>
  <conditionalFormatting sqref="O241 O243 O247:O248">
    <cfRule type="containsText" dxfId="2" priority="42837" operator="containsText" text="Yes">
      <formula>NOT(ISERROR(SEARCH(("Yes"),(O241))))</formula>
    </cfRule>
  </conditionalFormatting>
  <conditionalFormatting sqref="O241 O243 O247:O248">
    <cfRule type="containsText" dxfId="2" priority="42838" operator="containsText" text="Yes">
      <formula>NOT(ISERROR(SEARCH(("Yes"),(O241))))</formula>
    </cfRule>
  </conditionalFormatting>
  <conditionalFormatting sqref="O241 O243 O247:O248">
    <cfRule type="containsText" dxfId="9" priority="42839" operator="containsText" text="No">
      <formula>NOT(ISERROR(SEARCH(("No"),(O241))))</formula>
    </cfRule>
  </conditionalFormatting>
  <conditionalFormatting sqref="O241 O243 O247:O248">
    <cfRule type="containsText" dxfId="2" priority="42840" operator="containsText" text="Yes">
      <formula>NOT(ISERROR(SEARCH(("Yes"),(O241))))</formula>
    </cfRule>
  </conditionalFormatting>
  <conditionalFormatting sqref="P242:Q242 P244:Q246 P249:Q250 P252:Q252">
    <cfRule type="containsText" dxfId="9" priority="42841" operator="containsText" text="No">
      <formula>NOT(ISERROR(SEARCH(("No"),(P242))))</formula>
    </cfRule>
  </conditionalFormatting>
  <conditionalFormatting sqref="P242:Q242 P244:Q246 P249:Q250 P252:Q252">
    <cfRule type="containsText" dxfId="9" priority="42842" operator="containsText" text="No">
      <formula>NOT(ISERROR(SEARCH(("No"),(P242))))</formula>
    </cfRule>
  </conditionalFormatting>
  <conditionalFormatting sqref="P242:Q242 P244:Q246 P249:Q250 P252:Q252">
    <cfRule type="containsText" dxfId="9" priority="42843" operator="containsText" text="No">
      <formula>NOT(ISERROR(SEARCH(("No"),(P242))))</formula>
    </cfRule>
  </conditionalFormatting>
  <conditionalFormatting sqref="P242:Q242 P244:Q246 P249:Q250 P252:Q252">
    <cfRule type="containsText" dxfId="9" priority="42844" operator="containsText" text="No">
      <formula>NOT(ISERROR(SEARCH(("No"),(P242))))</formula>
    </cfRule>
  </conditionalFormatting>
  <conditionalFormatting sqref="P242:Q242 P244:Q246 P249:Q250 P252:Q252">
    <cfRule type="containsText" dxfId="9" priority="42845" operator="containsText" text="No">
      <formula>NOT(ISERROR(SEARCH(("No"),(P242))))</formula>
    </cfRule>
  </conditionalFormatting>
  <conditionalFormatting sqref="P242:Q242 P244:Q246 P249:Q250 P252:Q252">
    <cfRule type="containsText" dxfId="9" priority="42846" operator="containsText" text="No">
      <formula>NOT(ISERROR(SEARCH(("No"),(P242))))</formula>
    </cfRule>
  </conditionalFormatting>
  <conditionalFormatting sqref="P242:Q242 P244:Q246 P249:Q250 P252:Q252">
    <cfRule type="containsText" dxfId="9" priority="42847" operator="containsText" text="No">
      <formula>NOT(ISERROR(SEARCH(("No"),(P242))))</formula>
    </cfRule>
  </conditionalFormatting>
  <conditionalFormatting sqref="P242:Q242 P244:Q246 P249:Q250 P252:Q252">
    <cfRule type="containsText" dxfId="9" priority="42848" operator="containsText" text="No">
      <formula>NOT(ISERROR(SEARCH(("No"),(P242))))</formula>
    </cfRule>
  </conditionalFormatting>
  <conditionalFormatting sqref="P242:Q242 P244:Q246 P249:Q250 P252:Q252">
    <cfRule type="containsText" dxfId="9" priority="42849" operator="containsText" text="No">
      <formula>NOT(ISERROR(SEARCH(("No"),(P242))))</formula>
    </cfRule>
  </conditionalFormatting>
  <conditionalFormatting sqref="P242:Q242 P244:Q246 P249:Q250 P252:Q252">
    <cfRule type="containsText" dxfId="9" priority="42850" operator="containsText" text="No">
      <formula>NOT(ISERROR(SEARCH(("No"),(P242))))</formula>
    </cfRule>
  </conditionalFormatting>
  <conditionalFormatting sqref="P242:Q242 P244:Q246 P249:Q250 P252:Q252">
    <cfRule type="containsText" dxfId="9" priority="42851" operator="containsText" text="No">
      <formula>NOT(ISERROR(SEARCH(("No"),(P242))))</formula>
    </cfRule>
  </conditionalFormatting>
  <conditionalFormatting sqref="P242:Q242 P244:Q246 P249:Q250 P252:Q252">
    <cfRule type="containsText" dxfId="9" priority="42852" operator="containsText" text="No">
      <formula>NOT(ISERROR(SEARCH(("No"),(P242))))</formula>
    </cfRule>
  </conditionalFormatting>
  <conditionalFormatting sqref="P242:Q242 P244:Q246 P249:Q250 P252:Q252">
    <cfRule type="containsText" dxfId="9" priority="42853" operator="containsText" text="No">
      <formula>NOT(ISERROR(SEARCH(("No"),(P242))))</formula>
    </cfRule>
  </conditionalFormatting>
  <conditionalFormatting sqref="P242:Q242 P244:Q246 P249:Q250 P252:Q252">
    <cfRule type="containsText" dxfId="9" priority="42854" operator="containsText" text="No">
      <formula>NOT(ISERROR(SEARCH(("No"),(P242))))</formula>
    </cfRule>
  </conditionalFormatting>
  <conditionalFormatting sqref="P242:Q242 P244:Q246 P249:Q250 P252:Q252">
    <cfRule type="containsText" dxfId="9" priority="42855" operator="containsText" text="No">
      <formula>NOT(ISERROR(SEARCH(("No"),(P242))))</formula>
    </cfRule>
  </conditionalFormatting>
  <conditionalFormatting sqref="P242:Q242 P244:Q246 P249:Q250 P252:Q252">
    <cfRule type="containsText" dxfId="9" priority="42856" operator="containsText" text="No">
      <formula>NOT(ISERROR(SEARCH(("No"),(P242))))</formula>
    </cfRule>
  </conditionalFormatting>
  <conditionalFormatting sqref="P242:Q242 P244:Q246 P249:Q250 P252:Q252">
    <cfRule type="containsText" dxfId="9" priority="42857" operator="containsText" text="No">
      <formula>NOT(ISERROR(SEARCH(("No"),(P242))))</formula>
    </cfRule>
  </conditionalFormatting>
  <conditionalFormatting sqref="P242:Q242 P244:Q246 P249:Q250 P252:Q252">
    <cfRule type="containsText" dxfId="9" priority="42858" operator="containsText" text="No">
      <formula>NOT(ISERROR(SEARCH(("No"),(P242))))</formula>
    </cfRule>
  </conditionalFormatting>
  <conditionalFormatting sqref="P242:Q242 P244:Q246 P249:Q250 P252:Q252">
    <cfRule type="containsText" dxfId="9" priority="42859" operator="containsText" text="No">
      <formula>NOT(ISERROR(SEARCH(("No"),(P242))))</formula>
    </cfRule>
  </conditionalFormatting>
  <conditionalFormatting sqref="P242:Q242 P244:Q246 P249:Q250 P252:Q252">
    <cfRule type="containsText" dxfId="9" priority="42860" operator="containsText" text="No">
      <formula>NOT(ISERROR(SEARCH(("No"),(P242))))</formula>
    </cfRule>
  </conditionalFormatting>
  <conditionalFormatting sqref="P242:Q242 P244:Q246 P249:Q250 P252:Q252">
    <cfRule type="containsText" dxfId="9" priority="42861" operator="containsText" text="No">
      <formula>NOT(ISERROR(SEARCH(("No"),(P242))))</formula>
    </cfRule>
  </conditionalFormatting>
  <conditionalFormatting sqref="P242:Q242 P244:Q246 P249:Q250 P252:Q252">
    <cfRule type="containsText" dxfId="9" priority="42862" operator="containsText" text="No">
      <formula>NOT(ISERROR(SEARCH(("No"),(P242))))</formula>
    </cfRule>
  </conditionalFormatting>
  <conditionalFormatting sqref="P242:Q242 P244:Q246 P249:Q250 P252:Q252">
    <cfRule type="containsText" dxfId="9" priority="42863" operator="containsText" text="No">
      <formula>NOT(ISERROR(SEARCH(("No"),(P242))))</formula>
    </cfRule>
  </conditionalFormatting>
  <conditionalFormatting sqref="P242:Q242 P244:Q246 P249:Q250 P252:Q252">
    <cfRule type="containsText" dxfId="9" priority="42864" operator="containsText" text="No">
      <formula>NOT(ISERROR(SEARCH(("No"),(P242))))</formula>
    </cfRule>
  </conditionalFormatting>
  <conditionalFormatting sqref="P242:Q242 P244:Q246 P249:Q250 P252:Q252">
    <cfRule type="containsText" dxfId="9" priority="42865" operator="containsText" text="No">
      <formula>NOT(ISERROR(SEARCH(("No"),(P242))))</formula>
    </cfRule>
  </conditionalFormatting>
  <conditionalFormatting sqref="P242:Q242 P244:Q246 P249:Q250 P252:Q252">
    <cfRule type="containsText" dxfId="9" priority="42866" operator="containsText" text="No">
      <formula>NOT(ISERROR(SEARCH(("No"),(P242))))</formula>
    </cfRule>
  </conditionalFormatting>
  <conditionalFormatting sqref="P242:Q242 P244:Q246 P249:Q250 P252:Q252">
    <cfRule type="containsText" dxfId="9" priority="42867" operator="containsText" text="No">
      <formula>NOT(ISERROR(SEARCH(("No"),(P242))))</formula>
    </cfRule>
  </conditionalFormatting>
  <conditionalFormatting sqref="P242:Q242 P244:Q246 P249:Q250 P252:Q252">
    <cfRule type="containsText" dxfId="9" priority="42868" operator="containsText" text="No">
      <formula>NOT(ISERROR(SEARCH(("No"),(P242))))</formula>
    </cfRule>
  </conditionalFormatting>
  <conditionalFormatting sqref="P242:Q242 P244:Q246 P249:Q250 P252:Q252">
    <cfRule type="containsText" dxfId="9" priority="42869" operator="containsText" text="No">
      <formula>NOT(ISERROR(SEARCH(("No"),(P242))))</formula>
    </cfRule>
  </conditionalFormatting>
  <conditionalFormatting sqref="P242:Q242 P244:Q246 P249:Q250 P252:Q252">
    <cfRule type="containsText" dxfId="9" priority="42870" operator="containsText" text="No">
      <formula>NOT(ISERROR(SEARCH(("No"),(P242))))</formula>
    </cfRule>
  </conditionalFormatting>
  <conditionalFormatting sqref="P242:Q242 P244:Q246 P249:Q250 P252:Q252">
    <cfRule type="containsText" dxfId="9" priority="42871" operator="containsText" text="No">
      <formula>NOT(ISERROR(SEARCH(("No"),(P242))))</formula>
    </cfRule>
  </conditionalFormatting>
  <conditionalFormatting sqref="P242:Q242 P244:Q246 P249:Q250 P252:Q252">
    <cfRule type="containsText" dxfId="9" priority="42872" operator="containsText" text="No">
      <formula>NOT(ISERROR(SEARCH(("No"),(P242))))</formula>
    </cfRule>
  </conditionalFormatting>
  <conditionalFormatting sqref="P242:Q242 P244:Q246 P249:Q250 P252:Q252">
    <cfRule type="containsText" dxfId="9" priority="42873" operator="containsText" text="No">
      <formula>NOT(ISERROR(SEARCH(("No"),(P242))))</formula>
    </cfRule>
  </conditionalFormatting>
  <conditionalFormatting sqref="P242:Q242 P244:Q246 P249:Q250 P252:Q252">
    <cfRule type="containsText" dxfId="9" priority="42874" operator="containsText" text="No">
      <formula>NOT(ISERROR(SEARCH(("No"),(P242))))</formula>
    </cfRule>
  </conditionalFormatting>
  <conditionalFormatting sqref="P242:Q242 P244:Q246 P249:Q250 P252:Q252">
    <cfRule type="containsText" dxfId="9" priority="42875" operator="containsText" text="No">
      <formula>NOT(ISERROR(SEARCH(("No"),(P242))))</formula>
    </cfRule>
  </conditionalFormatting>
  <conditionalFormatting sqref="P242:Q242 P244:Q246 P249:Q250 P252:Q252">
    <cfRule type="containsText" dxfId="9" priority="42876" operator="containsText" text="No">
      <formula>NOT(ISERROR(SEARCH(("No"),(P242))))</formula>
    </cfRule>
  </conditionalFormatting>
  <conditionalFormatting sqref="P242:Q242 P244:Q246 P249:Q250 P252:Q252">
    <cfRule type="containsText" dxfId="9" priority="42877" operator="containsText" text="No">
      <formula>NOT(ISERROR(SEARCH(("No"),(P242))))</formula>
    </cfRule>
  </conditionalFormatting>
  <conditionalFormatting sqref="P242:Q242 P244:Q246 P249:Q250 P252:Q252">
    <cfRule type="containsText" dxfId="9" priority="42878" operator="containsText" text="No">
      <formula>NOT(ISERROR(SEARCH(("No"),(P242))))</formula>
    </cfRule>
  </conditionalFormatting>
  <conditionalFormatting sqref="P242:Q242 P244:Q246 P249:Q250 P252:Q252">
    <cfRule type="containsText" dxfId="9" priority="42879" operator="containsText" text="No">
      <formula>NOT(ISERROR(SEARCH(("No"),(P242))))</formula>
    </cfRule>
  </conditionalFormatting>
  <conditionalFormatting sqref="P242:Q242 P244:Q246 P249:Q250 P252:Q252">
    <cfRule type="containsText" dxfId="9" priority="42880" operator="containsText" text="No">
      <formula>NOT(ISERROR(SEARCH(("No"),(P242))))</formula>
    </cfRule>
  </conditionalFormatting>
  <conditionalFormatting sqref="P242:Q242 P244:Q246 P249:Q250 P252:Q252">
    <cfRule type="containsText" dxfId="9" priority="42881" operator="containsText" text="No">
      <formula>NOT(ISERROR(SEARCH(("No"),(P242))))</formula>
    </cfRule>
  </conditionalFormatting>
  <conditionalFormatting sqref="P242:Q242 P244:Q246 P249:Q250 P252:Q252">
    <cfRule type="containsText" dxfId="9" priority="42882" operator="containsText" text="No">
      <formula>NOT(ISERROR(SEARCH(("No"),(P242))))</formula>
    </cfRule>
  </conditionalFormatting>
  <conditionalFormatting sqref="P242:Q242 P244:Q246 P249:Q250 P252:Q252">
    <cfRule type="containsText" dxfId="9" priority="42883" operator="containsText" text="No">
      <formula>NOT(ISERROR(SEARCH(("No"),(P242))))</formula>
    </cfRule>
  </conditionalFormatting>
  <conditionalFormatting sqref="P242:Q242 P244:Q246 P249:Q250 P252:Q252">
    <cfRule type="containsText" dxfId="9" priority="42884" operator="containsText" text="No">
      <formula>NOT(ISERROR(SEARCH(("No"),(P242))))</formula>
    </cfRule>
  </conditionalFormatting>
  <conditionalFormatting sqref="P242:Q242 P244:Q246 P249:Q250 P252:Q252">
    <cfRule type="containsText" dxfId="9" priority="42885" operator="containsText" text="No">
      <formula>NOT(ISERROR(SEARCH(("No"),(P242))))</formula>
    </cfRule>
  </conditionalFormatting>
  <conditionalFormatting sqref="P242:Q242 P244:Q246 P249:Q250 P252:Q252">
    <cfRule type="containsText" dxfId="2" priority="42886" operator="containsText" text="Yes">
      <formula>NOT(ISERROR(SEARCH(("Yes"),(P242))))</formula>
    </cfRule>
  </conditionalFormatting>
  <conditionalFormatting sqref="P242:Q242 P244:Q246 P249:Q250 P252:Q252">
    <cfRule type="containsText" dxfId="2" priority="42887" operator="containsText" text="Yes">
      <formula>NOT(ISERROR(SEARCH(("Yes"),(P242))))</formula>
    </cfRule>
  </conditionalFormatting>
  <conditionalFormatting sqref="P242:Q242 P244:Q246 P249:Q250 P252:Q252">
    <cfRule type="containsText" dxfId="2" priority="42888" operator="containsText" text="Yes">
      <formula>NOT(ISERROR(SEARCH(("Yes"),(P242))))</formula>
    </cfRule>
  </conditionalFormatting>
  <conditionalFormatting sqref="P242:Q242 P244:Q246 P249:Q250 P252:Q252">
    <cfRule type="containsText" dxfId="2" priority="42889" operator="containsText" text="Yes">
      <formula>NOT(ISERROR(SEARCH(("Yes"),(P242))))</formula>
    </cfRule>
  </conditionalFormatting>
  <conditionalFormatting sqref="P242:Q242 P244:Q246 P249:Q250 P252:Q252">
    <cfRule type="containsText" dxfId="2" priority="42890" operator="containsText" text="Yes">
      <formula>NOT(ISERROR(SEARCH(("Yes"),(P242))))</formula>
    </cfRule>
  </conditionalFormatting>
  <conditionalFormatting sqref="P242:Q242 P244:Q246 P249:Q250 P252:Q252">
    <cfRule type="containsText" dxfId="2" priority="42891" operator="containsText" text="Yes">
      <formula>NOT(ISERROR(SEARCH(("Yes"),(P242))))</formula>
    </cfRule>
  </conditionalFormatting>
  <conditionalFormatting sqref="P242:Q242 P244:Q246 P249:Q250 P252:Q252">
    <cfRule type="containsText" dxfId="2" priority="42892" operator="containsText" text="Yes">
      <formula>NOT(ISERROR(SEARCH(("Yes"),(P242))))</formula>
    </cfRule>
  </conditionalFormatting>
  <conditionalFormatting sqref="P242:Q242 P244:Q246 P249:Q250 P252:Q252">
    <cfRule type="containsText" dxfId="2" priority="42893" operator="containsText" text="Yes">
      <formula>NOT(ISERROR(SEARCH(("Yes"),(P242))))</formula>
    </cfRule>
  </conditionalFormatting>
  <conditionalFormatting sqref="P242:Q242 P244:Q246 P249:Q250 P252:Q252">
    <cfRule type="containsText" dxfId="2" priority="42894" operator="containsText" text="Yes">
      <formula>NOT(ISERROR(SEARCH(("Yes"),(P242))))</formula>
    </cfRule>
  </conditionalFormatting>
  <conditionalFormatting sqref="P242:Q242 P244:Q246 P249:Q250 P252:Q252">
    <cfRule type="containsText" dxfId="2" priority="42895" operator="containsText" text="Yes">
      <formula>NOT(ISERROR(SEARCH(("Yes"),(P242))))</formula>
    </cfRule>
  </conditionalFormatting>
  <conditionalFormatting sqref="P242:Q242 P244:Q246 P249:Q250 P252:Q252">
    <cfRule type="containsText" dxfId="2" priority="42896" operator="containsText" text="Yes">
      <formula>NOT(ISERROR(SEARCH(("Yes"),(P242))))</formula>
    </cfRule>
  </conditionalFormatting>
  <conditionalFormatting sqref="P242:Q242 P244:Q246 P249:Q250 P252:Q252">
    <cfRule type="containsText" dxfId="2" priority="42897" operator="containsText" text="Yes">
      <formula>NOT(ISERROR(SEARCH(("Yes"),(P242))))</formula>
    </cfRule>
  </conditionalFormatting>
  <conditionalFormatting sqref="P242:Q242 P244:Q246 P249:Q250 P252:Q252">
    <cfRule type="containsText" dxfId="2" priority="42898" operator="containsText" text="Yes">
      <formula>NOT(ISERROR(SEARCH(("Yes"),(P242))))</formula>
    </cfRule>
  </conditionalFormatting>
  <conditionalFormatting sqref="P242:Q242 P244:Q246 P249:Q250 P252:Q252">
    <cfRule type="containsText" dxfId="2" priority="42899" operator="containsText" text="Yes">
      <formula>NOT(ISERROR(SEARCH(("Yes"),(P242))))</formula>
    </cfRule>
  </conditionalFormatting>
  <conditionalFormatting sqref="P242:Q242 P244:Q246 P249:Q250 P252:Q252">
    <cfRule type="containsText" dxfId="2" priority="42900" operator="containsText" text="Yes">
      <formula>NOT(ISERROR(SEARCH(("Yes"),(P242))))</formula>
    </cfRule>
  </conditionalFormatting>
  <conditionalFormatting sqref="P242:Q242 P244:Q246 P249:Q250 P252:Q252">
    <cfRule type="containsText" dxfId="2" priority="42901" operator="containsText" text="Yes">
      <formula>NOT(ISERROR(SEARCH(("Yes"),(P242))))</formula>
    </cfRule>
  </conditionalFormatting>
  <conditionalFormatting sqref="P242:Q242 P244:Q246 P249:Q250 P252:Q252">
    <cfRule type="containsText" dxfId="2" priority="42902" operator="containsText" text="Yes">
      <formula>NOT(ISERROR(SEARCH(("Yes"),(P242))))</formula>
    </cfRule>
  </conditionalFormatting>
  <conditionalFormatting sqref="P242:Q242 P244:Q246 P249:Q250 P252:Q252">
    <cfRule type="containsText" dxfId="2" priority="42903" operator="containsText" text="Yes">
      <formula>NOT(ISERROR(SEARCH(("Yes"),(P242))))</formula>
    </cfRule>
  </conditionalFormatting>
  <conditionalFormatting sqref="P242:Q242 P244:Q246 P249:Q250 P252:Q252">
    <cfRule type="containsText" dxfId="2" priority="42904" operator="containsText" text="Yes">
      <formula>NOT(ISERROR(SEARCH(("Yes"),(P242))))</formula>
    </cfRule>
  </conditionalFormatting>
  <conditionalFormatting sqref="P242:Q242 P244:Q246 P249:Q250 P252:Q252">
    <cfRule type="containsText" dxfId="2" priority="42905" operator="containsText" text="Yes">
      <formula>NOT(ISERROR(SEARCH(("Yes"),(P242))))</formula>
    </cfRule>
  </conditionalFormatting>
  <conditionalFormatting sqref="P242:Q242 P244:Q246 P249:Q250 P252:Q252">
    <cfRule type="containsText" dxfId="2" priority="42906" operator="containsText" text="Yes">
      <formula>NOT(ISERROR(SEARCH(("Yes"),(P242))))</formula>
    </cfRule>
  </conditionalFormatting>
  <conditionalFormatting sqref="P242:Q242 P244:Q246 P249:Q250 P252:Q252">
    <cfRule type="containsText" dxfId="2" priority="42907" operator="containsText" text="Yes">
      <formula>NOT(ISERROR(SEARCH(("Yes"),(P242))))</formula>
    </cfRule>
  </conditionalFormatting>
  <conditionalFormatting sqref="P242:Q242 P244:Q246 P249:Q250 P252:Q252">
    <cfRule type="containsText" dxfId="2" priority="42908" operator="containsText" text="Yes">
      <formula>NOT(ISERROR(SEARCH(("Yes"),(P242))))</formula>
    </cfRule>
  </conditionalFormatting>
  <conditionalFormatting sqref="P242:Q242 P244:Q246 P249:Q250 P252:Q252">
    <cfRule type="containsText" dxfId="2" priority="42909" operator="containsText" text="Yes">
      <formula>NOT(ISERROR(SEARCH(("Yes"),(P242))))</formula>
    </cfRule>
  </conditionalFormatting>
  <conditionalFormatting sqref="P242:Q242 P244:Q246 P249:Q250 P252:Q252">
    <cfRule type="containsText" dxfId="2" priority="42910" operator="containsText" text="Yes">
      <formula>NOT(ISERROR(SEARCH(("Yes"),(P242))))</formula>
    </cfRule>
  </conditionalFormatting>
  <conditionalFormatting sqref="P242:Q242 P244:Q246 P249:Q250 P252:Q252">
    <cfRule type="containsText" dxfId="2" priority="42911" operator="containsText" text="Yes">
      <formula>NOT(ISERROR(SEARCH(("Yes"),(P242))))</formula>
    </cfRule>
  </conditionalFormatting>
  <conditionalFormatting sqref="P242:Q242 P244:Q246 P249:Q250 P252:Q252">
    <cfRule type="containsText" dxfId="2" priority="42912" operator="containsText" text="Yes">
      <formula>NOT(ISERROR(SEARCH(("Yes"),(P242))))</formula>
    </cfRule>
  </conditionalFormatting>
  <conditionalFormatting sqref="P242:Q242 P244:Q246 P249:Q250 P252:Q252">
    <cfRule type="containsText" dxfId="2" priority="42913" operator="containsText" text="Yes">
      <formula>NOT(ISERROR(SEARCH(("Yes"),(P242))))</formula>
    </cfRule>
  </conditionalFormatting>
  <conditionalFormatting sqref="P242:Q242 P244:Q246 P249:Q250 P252:Q252">
    <cfRule type="containsText" dxfId="2" priority="42914" operator="containsText" text="Yes">
      <formula>NOT(ISERROR(SEARCH(("Yes"),(P242))))</formula>
    </cfRule>
  </conditionalFormatting>
  <conditionalFormatting sqref="P242:Q242 P244:Q246 P249:Q250 P252:Q252">
    <cfRule type="containsText" dxfId="2" priority="42915" operator="containsText" text="Yes">
      <formula>NOT(ISERROR(SEARCH(("Yes"),(P242))))</formula>
    </cfRule>
  </conditionalFormatting>
  <conditionalFormatting sqref="P242:Q242 P244:Q246 P249:Q250 P252:Q252">
    <cfRule type="containsText" dxfId="2" priority="42916" operator="containsText" text="Yes">
      <formula>NOT(ISERROR(SEARCH(("Yes"),(P242))))</formula>
    </cfRule>
  </conditionalFormatting>
  <conditionalFormatting sqref="P242:Q242 P244:Q246 P249:Q250 P252:Q252">
    <cfRule type="containsText" dxfId="2" priority="42917" operator="containsText" text="Yes">
      <formula>NOT(ISERROR(SEARCH(("Yes"),(P242))))</formula>
    </cfRule>
  </conditionalFormatting>
  <conditionalFormatting sqref="P242:Q242 P244:Q246 P249:Q250 P252:Q252">
    <cfRule type="containsText" dxfId="2" priority="42918" operator="containsText" text="Yes">
      <formula>NOT(ISERROR(SEARCH(("Yes"),(P242))))</formula>
    </cfRule>
  </conditionalFormatting>
  <conditionalFormatting sqref="P242:Q242 P244:Q246 P249:Q250 P252:Q252">
    <cfRule type="containsText" dxfId="2" priority="42919" operator="containsText" text="Yes">
      <formula>NOT(ISERROR(SEARCH(("Yes"),(P242))))</formula>
    </cfRule>
  </conditionalFormatting>
  <conditionalFormatting sqref="P242:Q242 P244:Q246 P249:Q250 P252:Q252">
    <cfRule type="containsText" dxfId="2" priority="42920" operator="containsText" text="Yes">
      <formula>NOT(ISERROR(SEARCH(("Yes"),(P242))))</formula>
    </cfRule>
  </conditionalFormatting>
  <conditionalFormatting sqref="P242:Q242 P244:Q246 P249:Q250 P252:Q252">
    <cfRule type="containsText" dxfId="2" priority="42921" operator="containsText" text="Yes">
      <formula>NOT(ISERROR(SEARCH(("Yes"),(P242))))</formula>
    </cfRule>
  </conditionalFormatting>
  <conditionalFormatting sqref="P242:Q242 P244:Q246 P249:Q250 P252:Q252">
    <cfRule type="containsText" dxfId="2" priority="42922" operator="containsText" text="Yes">
      <formula>NOT(ISERROR(SEARCH(("Yes"),(P242))))</formula>
    </cfRule>
  </conditionalFormatting>
  <conditionalFormatting sqref="P242:Q242 P244:Q246 P249:Q250 P252:Q252">
    <cfRule type="containsText" dxfId="2" priority="42923" operator="containsText" text="Yes">
      <formula>NOT(ISERROR(SEARCH(("Yes"),(P242))))</formula>
    </cfRule>
  </conditionalFormatting>
  <conditionalFormatting sqref="P242:Q242 P244:Q246 P249:Q250 P252:Q252">
    <cfRule type="containsText" dxfId="2" priority="42924" operator="containsText" text="Yes">
      <formula>NOT(ISERROR(SEARCH(("Yes"),(P242))))</formula>
    </cfRule>
  </conditionalFormatting>
  <conditionalFormatting sqref="P242:Q242 P244:Q246 P249:Q250 P252:Q252">
    <cfRule type="containsText" dxfId="2" priority="42925" operator="containsText" text="Yes">
      <formula>NOT(ISERROR(SEARCH(("Yes"),(P242))))</formula>
    </cfRule>
  </conditionalFormatting>
  <conditionalFormatting sqref="P242:Q242 P244:Q246 P249:Q250 P252:Q252">
    <cfRule type="containsText" dxfId="2" priority="42926" operator="containsText" text="Yes">
      <formula>NOT(ISERROR(SEARCH(("Yes"),(P242))))</formula>
    </cfRule>
  </conditionalFormatting>
  <conditionalFormatting sqref="P242:Q242 P244:Q246 P249:Q250 P252:Q252">
    <cfRule type="containsText" dxfId="2" priority="42927" operator="containsText" text="Yes">
      <formula>NOT(ISERROR(SEARCH(("Yes"),(P242))))</formula>
    </cfRule>
  </conditionalFormatting>
  <conditionalFormatting sqref="P242:Q242 P244:Q246 P249:Q250 P252:Q252">
    <cfRule type="containsText" dxfId="2" priority="42928" operator="containsText" text="Yes">
      <formula>NOT(ISERROR(SEARCH(("Yes"),(P242))))</formula>
    </cfRule>
  </conditionalFormatting>
  <conditionalFormatting sqref="P242:Q242 P244:Q246 P249:Q250 P252:Q252">
    <cfRule type="containsText" dxfId="2" priority="42929" operator="containsText" text="Yes">
      <formula>NOT(ISERROR(SEARCH(("Yes"),(P242))))</formula>
    </cfRule>
  </conditionalFormatting>
  <conditionalFormatting sqref="P242:Q242 P244:Q246 P249:Q250 P252:Q252">
    <cfRule type="containsText" dxfId="2" priority="42930" operator="containsText" text="Yes">
      <formula>NOT(ISERROR(SEARCH(("Yes"),(P242))))</formula>
    </cfRule>
  </conditionalFormatting>
  <conditionalFormatting sqref="P242:Q242 P244:Q246 P249:Q250 P252:Q252">
    <cfRule type="containsText" dxfId="2" priority="42931" operator="containsText" text="Yes">
      <formula>NOT(ISERROR(SEARCH(("Yes"),(P242))))</formula>
    </cfRule>
  </conditionalFormatting>
  <conditionalFormatting sqref="P242:Q242 P244:Q246 P249:Q250 P252:Q252">
    <cfRule type="containsText" dxfId="2" priority="42932" operator="containsText" text="Yes">
      <formula>NOT(ISERROR(SEARCH(("Yes"),(P242))))</formula>
    </cfRule>
  </conditionalFormatting>
  <conditionalFormatting sqref="O242 O244:O246 O249:O250 O252">
    <cfRule type="containsText" dxfId="9" priority="42933" operator="containsText" text="No">
      <formula>NOT(ISERROR(SEARCH(("No"),(O242))))</formula>
    </cfRule>
  </conditionalFormatting>
  <conditionalFormatting sqref="O242 O244:O246 O249:O250 O252">
    <cfRule type="containsText" dxfId="9" priority="42934" operator="containsText" text="No">
      <formula>NOT(ISERROR(SEARCH(("No"),(O242))))</formula>
    </cfRule>
  </conditionalFormatting>
  <conditionalFormatting sqref="O242 O244:O246 O249:O250 O252">
    <cfRule type="containsText" dxfId="9" priority="42935" operator="containsText" text="No">
      <formula>NOT(ISERROR(SEARCH(("No"),(O242))))</formula>
    </cfRule>
  </conditionalFormatting>
  <conditionalFormatting sqref="O242 O244:O246 O249:O250 O252">
    <cfRule type="containsText" dxfId="9" priority="42936" operator="containsText" text="No">
      <formula>NOT(ISERROR(SEARCH(("No"),(O242))))</formula>
    </cfRule>
  </conditionalFormatting>
  <conditionalFormatting sqref="O242 O244:O246 O249:O250 O252">
    <cfRule type="containsText" dxfId="9" priority="42937" operator="containsText" text="No">
      <formula>NOT(ISERROR(SEARCH(("No"),(O242))))</formula>
    </cfRule>
  </conditionalFormatting>
  <conditionalFormatting sqref="O242 O244:O246 O249:O250 O252">
    <cfRule type="containsText" dxfId="9" priority="42938" operator="containsText" text="No">
      <formula>NOT(ISERROR(SEARCH(("No"),(O242))))</formula>
    </cfRule>
  </conditionalFormatting>
  <conditionalFormatting sqref="O242 O244:O246 O249:O250 O252">
    <cfRule type="containsText" dxfId="9" priority="42939" operator="containsText" text="No">
      <formula>NOT(ISERROR(SEARCH(("No"),(O242))))</formula>
    </cfRule>
  </conditionalFormatting>
  <conditionalFormatting sqref="O242 O244:O246 O249:O250 O252">
    <cfRule type="containsText" dxfId="9" priority="42940" operator="containsText" text="No">
      <formula>NOT(ISERROR(SEARCH(("No"),(O242))))</formula>
    </cfRule>
  </conditionalFormatting>
  <conditionalFormatting sqref="O242 O244:O246 O249:O250 O252">
    <cfRule type="containsText" dxfId="9" priority="42941" operator="containsText" text="No">
      <formula>NOT(ISERROR(SEARCH(("No"),(O242))))</formula>
    </cfRule>
  </conditionalFormatting>
  <conditionalFormatting sqref="O242 O244:O246 O249:O250 O252">
    <cfRule type="containsText" dxfId="9" priority="42942" operator="containsText" text="No">
      <formula>NOT(ISERROR(SEARCH(("No"),(O242))))</formula>
    </cfRule>
  </conditionalFormatting>
  <conditionalFormatting sqref="O242 O244:O246 O249:O250 O252">
    <cfRule type="containsText" dxfId="9" priority="42943" operator="containsText" text="No">
      <formula>NOT(ISERROR(SEARCH(("No"),(O242))))</formula>
    </cfRule>
  </conditionalFormatting>
  <conditionalFormatting sqref="O242 O244:O246 O249:O250 O252">
    <cfRule type="containsText" dxfId="9" priority="42944" operator="containsText" text="No">
      <formula>NOT(ISERROR(SEARCH(("No"),(O242))))</formula>
    </cfRule>
  </conditionalFormatting>
  <conditionalFormatting sqref="O242 O244:O246 O249:O250 O252">
    <cfRule type="containsText" dxfId="9" priority="42945" operator="containsText" text="No">
      <formula>NOT(ISERROR(SEARCH(("No"),(O242))))</formula>
    </cfRule>
  </conditionalFormatting>
  <conditionalFormatting sqref="O242 O244:O246 O249:O250 O252">
    <cfRule type="containsText" dxfId="9" priority="42946" operator="containsText" text="No">
      <formula>NOT(ISERROR(SEARCH(("No"),(O242))))</formula>
    </cfRule>
  </conditionalFormatting>
  <conditionalFormatting sqref="O242 O244:O246 O249:O250 O252">
    <cfRule type="containsText" dxfId="9" priority="42947" operator="containsText" text="No">
      <formula>NOT(ISERROR(SEARCH(("No"),(O242))))</formula>
    </cfRule>
  </conditionalFormatting>
  <conditionalFormatting sqref="O242 O244:O246 O249:O250 O252">
    <cfRule type="containsText" dxfId="9" priority="42948" operator="containsText" text="No">
      <formula>NOT(ISERROR(SEARCH(("No"),(O242))))</formula>
    </cfRule>
  </conditionalFormatting>
  <conditionalFormatting sqref="O242 O244:O246 O249:O250 O252">
    <cfRule type="containsText" dxfId="9" priority="42949" operator="containsText" text="No">
      <formula>NOT(ISERROR(SEARCH(("No"),(O242))))</formula>
    </cfRule>
  </conditionalFormatting>
  <conditionalFormatting sqref="O242 O244:O246 O249:O250 O252">
    <cfRule type="containsText" dxfId="9" priority="42950" operator="containsText" text="No">
      <formula>NOT(ISERROR(SEARCH(("No"),(O242))))</formula>
    </cfRule>
  </conditionalFormatting>
  <conditionalFormatting sqref="O242 O244:O246 O249:O250 O252">
    <cfRule type="containsText" dxfId="9" priority="42951" operator="containsText" text="No">
      <formula>NOT(ISERROR(SEARCH(("No"),(O242))))</formula>
    </cfRule>
  </conditionalFormatting>
  <conditionalFormatting sqref="O242 O244:O246 O249:O250 O252">
    <cfRule type="containsText" dxfId="9" priority="42952" operator="containsText" text="No">
      <formula>NOT(ISERROR(SEARCH(("No"),(O242))))</formula>
    </cfRule>
  </conditionalFormatting>
  <conditionalFormatting sqref="O242 O244:O246 O249:O250 O252">
    <cfRule type="containsText" dxfId="9" priority="42953" operator="containsText" text="No">
      <formula>NOT(ISERROR(SEARCH(("No"),(O242))))</formula>
    </cfRule>
  </conditionalFormatting>
  <conditionalFormatting sqref="O242 O244:O246 O249:O250 O252">
    <cfRule type="containsText" dxfId="9" priority="42954" operator="containsText" text="No">
      <formula>NOT(ISERROR(SEARCH(("No"),(O242))))</formula>
    </cfRule>
  </conditionalFormatting>
  <conditionalFormatting sqref="O242 O244:O246 O249:O250 O252">
    <cfRule type="containsText" dxfId="9" priority="42955" operator="containsText" text="No">
      <formula>NOT(ISERROR(SEARCH(("No"),(O242))))</formula>
    </cfRule>
  </conditionalFormatting>
  <conditionalFormatting sqref="O242 O244:O246 O249:O250 O252">
    <cfRule type="containsText" dxfId="9" priority="42956" operator="containsText" text="No">
      <formula>NOT(ISERROR(SEARCH(("No"),(O242))))</formula>
    </cfRule>
  </conditionalFormatting>
  <conditionalFormatting sqref="O242 O244:O246 O249:O250 O252">
    <cfRule type="containsText" dxfId="9" priority="42957" operator="containsText" text="No">
      <formula>NOT(ISERROR(SEARCH(("No"),(O242))))</formula>
    </cfRule>
  </conditionalFormatting>
  <conditionalFormatting sqref="O242 O244:O246 O249:O250 O252">
    <cfRule type="containsText" dxfId="9" priority="42958" operator="containsText" text="No">
      <formula>NOT(ISERROR(SEARCH(("No"),(O242))))</formula>
    </cfRule>
  </conditionalFormatting>
  <conditionalFormatting sqref="O242 O244:O246 O249:O250 O252">
    <cfRule type="containsText" dxfId="9" priority="42959" operator="containsText" text="No">
      <formula>NOT(ISERROR(SEARCH(("No"),(O242))))</formula>
    </cfRule>
  </conditionalFormatting>
  <conditionalFormatting sqref="O242 O244:O246 O249:O250 O252">
    <cfRule type="containsText" dxfId="9" priority="42960" operator="containsText" text="No">
      <formula>NOT(ISERROR(SEARCH(("No"),(O242))))</formula>
    </cfRule>
  </conditionalFormatting>
  <conditionalFormatting sqref="O242 O244:O246 O249:O250 O252">
    <cfRule type="containsText" dxfId="9" priority="42961" operator="containsText" text="No">
      <formula>NOT(ISERROR(SEARCH(("No"),(O242))))</formula>
    </cfRule>
  </conditionalFormatting>
  <conditionalFormatting sqref="O242 O244:O246 O249:O250 O252">
    <cfRule type="containsText" dxfId="9" priority="42962" operator="containsText" text="No">
      <formula>NOT(ISERROR(SEARCH(("No"),(O242))))</formula>
    </cfRule>
  </conditionalFormatting>
  <conditionalFormatting sqref="O242 O244:O246 O249:O250 O252">
    <cfRule type="containsText" dxfId="9" priority="42963" operator="containsText" text="No">
      <formula>NOT(ISERROR(SEARCH(("No"),(O242))))</formula>
    </cfRule>
  </conditionalFormatting>
  <conditionalFormatting sqref="O242 O244:O246 O249:O250 O252">
    <cfRule type="containsText" dxfId="9" priority="42964" operator="containsText" text="No">
      <formula>NOT(ISERROR(SEARCH(("No"),(O242))))</formula>
    </cfRule>
  </conditionalFormatting>
  <conditionalFormatting sqref="O242 O244:O246 O249:O250 O252">
    <cfRule type="containsText" dxfId="9" priority="42965" operator="containsText" text="No">
      <formula>NOT(ISERROR(SEARCH(("No"),(O242))))</formula>
    </cfRule>
  </conditionalFormatting>
  <conditionalFormatting sqref="O242 O244:O246 O249:O250 O252">
    <cfRule type="containsText" dxfId="9" priority="42966" operator="containsText" text="No">
      <formula>NOT(ISERROR(SEARCH(("No"),(O242))))</formula>
    </cfRule>
  </conditionalFormatting>
  <conditionalFormatting sqref="O242 O244:O246 O249:O250 O252">
    <cfRule type="containsText" dxfId="9" priority="42967" operator="containsText" text="No">
      <formula>NOT(ISERROR(SEARCH(("No"),(O242))))</formula>
    </cfRule>
  </conditionalFormatting>
  <conditionalFormatting sqref="O242 O244:O246 O249:O250 O252">
    <cfRule type="containsText" dxfId="9" priority="42968" operator="containsText" text="No">
      <formula>NOT(ISERROR(SEARCH(("No"),(O242))))</formula>
    </cfRule>
  </conditionalFormatting>
  <conditionalFormatting sqref="O242 O244:O246 O249:O250 O252">
    <cfRule type="containsText" dxfId="9" priority="42969" operator="containsText" text="No">
      <formula>NOT(ISERROR(SEARCH(("No"),(O242))))</formula>
    </cfRule>
  </conditionalFormatting>
  <conditionalFormatting sqref="O242 O244:O246 O249:O250 O252">
    <cfRule type="containsText" dxfId="9" priority="42970" operator="containsText" text="No">
      <formula>NOT(ISERROR(SEARCH(("No"),(O242))))</formula>
    </cfRule>
  </conditionalFormatting>
  <conditionalFormatting sqref="O242 O244:O246 O249:O250 O252">
    <cfRule type="containsText" dxfId="9" priority="42971" operator="containsText" text="No">
      <formula>NOT(ISERROR(SEARCH(("No"),(O242))))</formula>
    </cfRule>
  </conditionalFormatting>
  <conditionalFormatting sqref="O242 O244:O246 O249:O250 O252">
    <cfRule type="containsText" dxfId="9" priority="42972" operator="containsText" text="No">
      <formula>NOT(ISERROR(SEARCH(("No"),(O242))))</formula>
    </cfRule>
  </conditionalFormatting>
  <conditionalFormatting sqref="O242 O244:O246 O249:O250 O252">
    <cfRule type="containsText" dxfId="9" priority="42973" operator="containsText" text="No">
      <formula>NOT(ISERROR(SEARCH(("No"),(O242))))</formula>
    </cfRule>
  </conditionalFormatting>
  <conditionalFormatting sqref="O242 O244:O246 O249:O250 O252">
    <cfRule type="containsText" dxfId="9" priority="42974" operator="containsText" text="No">
      <formula>NOT(ISERROR(SEARCH(("No"),(O242))))</formula>
    </cfRule>
  </conditionalFormatting>
  <conditionalFormatting sqref="O242 O244:O246 O249:O250 O252">
    <cfRule type="containsText" dxfId="9" priority="42975" operator="containsText" text="No">
      <formula>NOT(ISERROR(SEARCH(("No"),(O242))))</formula>
    </cfRule>
  </conditionalFormatting>
  <conditionalFormatting sqref="O242 O244:O246 O249:O250 O252">
    <cfRule type="containsText" dxfId="9" priority="42976" operator="containsText" text="No">
      <formula>NOT(ISERROR(SEARCH(("No"),(O242))))</formula>
    </cfRule>
  </conditionalFormatting>
  <conditionalFormatting sqref="O242 O244:O246 O249:O250 O252">
    <cfRule type="containsText" dxfId="9" priority="42977" operator="containsText" text="No">
      <formula>NOT(ISERROR(SEARCH(("No"),(O242))))</formula>
    </cfRule>
  </conditionalFormatting>
  <conditionalFormatting sqref="O242 O244:O246 O249:O250 O252">
    <cfRule type="containsText" dxfId="2" priority="42978" operator="containsText" text="Yes">
      <formula>NOT(ISERROR(SEARCH(("Yes"),(O242))))</formula>
    </cfRule>
  </conditionalFormatting>
  <conditionalFormatting sqref="O242 O244:O246 O249:O250 O252">
    <cfRule type="containsText" dxfId="2" priority="42979" operator="containsText" text="Yes">
      <formula>NOT(ISERROR(SEARCH(("Yes"),(O242))))</formula>
    </cfRule>
  </conditionalFormatting>
  <conditionalFormatting sqref="O242 O244:O246 O249:O250 O252">
    <cfRule type="containsText" dxfId="2" priority="42980" operator="containsText" text="Yes">
      <formula>NOT(ISERROR(SEARCH(("Yes"),(O242))))</formula>
    </cfRule>
  </conditionalFormatting>
  <conditionalFormatting sqref="O242 O244:O246 O249:O250 O252">
    <cfRule type="containsText" dxfId="2" priority="42981" operator="containsText" text="Yes">
      <formula>NOT(ISERROR(SEARCH(("Yes"),(O242))))</formula>
    </cfRule>
  </conditionalFormatting>
  <conditionalFormatting sqref="O242 O244:O246 O249:O250 O252">
    <cfRule type="containsText" dxfId="2" priority="42982" operator="containsText" text="Yes">
      <formula>NOT(ISERROR(SEARCH(("Yes"),(O242))))</formula>
    </cfRule>
  </conditionalFormatting>
  <conditionalFormatting sqref="O242 O244:O246 O249:O250 O252">
    <cfRule type="containsText" dxfId="2" priority="42983" operator="containsText" text="Yes">
      <formula>NOT(ISERROR(SEARCH(("Yes"),(O242))))</formula>
    </cfRule>
  </conditionalFormatting>
  <conditionalFormatting sqref="O242 O244:O246 O249:O250 O252">
    <cfRule type="containsText" dxfId="2" priority="42984" operator="containsText" text="Yes">
      <formula>NOT(ISERROR(SEARCH(("Yes"),(O242))))</formula>
    </cfRule>
  </conditionalFormatting>
  <conditionalFormatting sqref="O242 O244:O246 O249:O250 O252">
    <cfRule type="containsText" dxfId="2" priority="42985" operator="containsText" text="Yes">
      <formula>NOT(ISERROR(SEARCH(("Yes"),(O242))))</formula>
    </cfRule>
  </conditionalFormatting>
  <conditionalFormatting sqref="O242 O244:O246 O249:O250 O252">
    <cfRule type="containsText" dxfId="2" priority="42986" operator="containsText" text="Yes">
      <formula>NOT(ISERROR(SEARCH(("Yes"),(O242))))</formula>
    </cfRule>
  </conditionalFormatting>
  <conditionalFormatting sqref="O242 O244:O246 O249:O250 O252">
    <cfRule type="containsText" dxfId="2" priority="42987" operator="containsText" text="Yes">
      <formula>NOT(ISERROR(SEARCH(("Yes"),(O242))))</formula>
    </cfRule>
  </conditionalFormatting>
  <conditionalFormatting sqref="O242 O244:O246 O249:O250 O252">
    <cfRule type="containsText" dxfId="2" priority="42988" operator="containsText" text="Yes">
      <formula>NOT(ISERROR(SEARCH(("Yes"),(O242))))</formula>
    </cfRule>
  </conditionalFormatting>
  <conditionalFormatting sqref="O242 O244:O246 O249:O250 O252">
    <cfRule type="containsText" dxfId="2" priority="42989" operator="containsText" text="Yes">
      <formula>NOT(ISERROR(SEARCH(("Yes"),(O242))))</formula>
    </cfRule>
  </conditionalFormatting>
  <conditionalFormatting sqref="O242 O244:O246 O249:O250 O252">
    <cfRule type="containsText" dxfId="2" priority="42990" operator="containsText" text="Yes">
      <formula>NOT(ISERROR(SEARCH(("Yes"),(O242))))</formula>
    </cfRule>
  </conditionalFormatting>
  <conditionalFormatting sqref="O242 O244:O246 O249:O250 O252">
    <cfRule type="containsText" dxfId="2" priority="42991" operator="containsText" text="Yes">
      <formula>NOT(ISERROR(SEARCH(("Yes"),(O242))))</formula>
    </cfRule>
  </conditionalFormatting>
  <conditionalFormatting sqref="O242 O244:O246 O249:O250 O252">
    <cfRule type="containsText" dxfId="2" priority="42992" operator="containsText" text="Yes">
      <formula>NOT(ISERROR(SEARCH(("Yes"),(O242))))</formula>
    </cfRule>
  </conditionalFormatting>
  <conditionalFormatting sqref="O242 O244:O246 O249:O250 O252">
    <cfRule type="containsText" dxfId="2" priority="42993" operator="containsText" text="Yes">
      <formula>NOT(ISERROR(SEARCH(("Yes"),(O242))))</formula>
    </cfRule>
  </conditionalFormatting>
  <conditionalFormatting sqref="O242 O244:O246 O249:O250 O252">
    <cfRule type="containsText" dxfId="2" priority="42994" operator="containsText" text="Yes">
      <formula>NOT(ISERROR(SEARCH(("Yes"),(O242))))</formula>
    </cfRule>
  </conditionalFormatting>
  <conditionalFormatting sqref="O242 O244:O246 O249:O250 O252">
    <cfRule type="containsText" dxfId="2" priority="42995" operator="containsText" text="Yes">
      <formula>NOT(ISERROR(SEARCH(("Yes"),(O242))))</formula>
    </cfRule>
  </conditionalFormatting>
  <conditionalFormatting sqref="O242 O244:O246 O249:O250 O252">
    <cfRule type="containsText" dxfId="2" priority="42996" operator="containsText" text="Yes">
      <formula>NOT(ISERROR(SEARCH(("Yes"),(O242))))</formula>
    </cfRule>
  </conditionalFormatting>
  <conditionalFormatting sqref="O242 O244:O246 O249:O250 O252">
    <cfRule type="containsText" dxfId="2" priority="42997" operator="containsText" text="Yes">
      <formula>NOT(ISERROR(SEARCH(("Yes"),(O242))))</formula>
    </cfRule>
  </conditionalFormatting>
  <conditionalFormatting sqref="O242 O244:O246 O249:O250 O252">
    <cfRule type="containsText" dxfId="2" priority="42998" operator="containsText" text="Yes">
      <formula>NOT(ISERROR(SEARCH(("Yes"),(O242))))</formula>
    </cfRule>
  </conditionalFormatting>
  <conditionalFormatting sqref="O242 O244:O246 O249:O250 O252">
    <cfRule type="containsText" dxfId="2" priority="42999" operator="containsText" text="Yes">
      <formula>NOT(ISERROR(SEARCH(("Yes"),(O242))))</formula>
    </cfRule>
  </conditionalFormatting>
  <conditionalFormatting sqref="O242 O244:O246 O249:O250 O252">
    <cfRule type="containsText" dxfId="2" priority="43000" operator="containsText" text="Yes">
      <formula>NOT(ISERROR(SEARCH(("Yes"),(O242))))</formula>
    </cfRule>
  </conditionalFormatting>
  <conditionalFormatting sqref="O242 O244:O246 O249:O250 O252">
    <cfRule type="containsText" dxfId="2" priority="43001" operator="containsText" text="Yes">
      <formula>NOT(ISERROR(SEARCH(("Yes"),(O242))))</formula>
    </cfRule>
  </conditionalFormatting>
  <conditionalFormatting sqref="O242 O244:O246 O249:O250 O252">
    <cfRule type="containsText" dxfId="2" priority="43002" operator="containsText" text="Yes">
      <formula>NOT(ISERROR(SEARCH(("Yes"),(O242))))</formula>
    </cfRule>
  </conditionalFormatting>
  <conditionalFormatting sqref="O242 O244:O246 O249:O250 O252">
    <cfRule type="containsText" dxfId="2" priority="43003" operator="containsText" text="Yes">
      <formula>NOT(ISERROR(SEARCH(("Yes"),(O242))))</formula>
    </cfRule>
  </conditionalFormatting>
  <conditionalFormatting sqref="O242 O244:O246 O249:O250 O252">
    <cfRule type="containsText" dxfId="2" priority="43004" operator="containsText" text="Yes">
      <formula>NOT(ISERROR(SEARCH(("Yes"),(O242))))</formula>
    </cfRule>
  </conditionalFormatting>
  <conditionalFormatting sqref="O242 O244:O246 O249:O250 O252">
    <cfRule type="containsText" dxfId="2" priority="43005" operator="containsText" text="Yes">
      <formula>NOT(ISERROR(SEARCH(("Yes"),(O242))))</formula>
    </cfRule>
  </conditionalFormatting>
  <conditionalFormatting sqref="O242 O244:O246 O249:O250 O252">
    <cfRule type="containsText" dxfId="2" priority="43006" operator="containsText" text="Yes">
      <formula>NOT(ISERROR(SEARCH(("Yes"),(O242))))</formula>
    </cfRule>
  </conditionalFormatting>
  <conditionalFormatting sqref="O242 O244:O246 O249:O250 O252">
    <cfRule type="containsText" dxfId="2" priority="43007" operator="containsText" text="Yes">
      <formula>NOT(ISERROR(SEARCH(("Yes"),(O242))))</formula>
    </cfRule>
  </conditionalFormatting>
  <conditionalFormatting sqref="O242 O244:O246 O249:O250 O252">
    <cfRule type="containsText" dxfId="2" priority="43008" operator="containsText" text="Yes">
      <formula>NOT(ISERROR(SEARCH(("Yes"),(O242))))</formula>
    </cfRule>
  </conditionalFormatting>
  <conditionalFormatting sqref="O242 O244:O246 O249:O250 O252">
    <cfRule type="containsText" dxfId="2" priority="43009" operator="containsText" text="Yes">
      <formula>NOT(ISERROR(SEARCH(("Yes"),(O242))))</formula>
    </cfRule>
  </conditionalFormatting>
  <conditionalFormatting sqref="O242 O244:O246 O249:O250 O252">
    <cfRule type="containsText" dxfId="2" priority="43010" operator="containsText" text="Yes">
      <formula>NOT(ISERROR(SEARCH(("Yes"),(O242))))</formula>
    </cfRule>
  </conditionalFormatting>
  <conditionalFormatting sqref="O242 O244:O246 O249:O250 O252">
    <cfRule type="containsText" dxfId="2" priority="43011" operator="containsText" text="Yes">
      <formula>NOT(ISERROR(SEARCH(("Yes"),(O242))))</formula>
    </cfRule>
  </conditionalFormatting>
  <conditionalFormatting sqref="O242 O244:O246 O249:O250 O252">
    <cfRule type="containsText" dxfId="2" priority="43012" operator="containsText" text="Yes">
      <formula>NOT(ISERROR(SEARCH(("Yes"),(O242))))</formula>
    </cfRule>
  </conditionalFormatting>
  <conditionalFormatting sqref="O242 O244:O246 O249:O250 O252">
    <cfRule type="containsText" dxfId="2" priority="43013" operator="containsText" text="Yes">
      <formula>NOT(ISERROR(SEARCH(("Yes"),(O242))))</formula>
    </cfRule>
  </conditionalFormatting>
  <conditionalFormatting sqref="O242 O244:O246 O249:O250 O252">
    <cfRule type="containsText" dxfId="2" priority="43014" operator="containsText" text="Yes">
      <formula>NOT(ISERROR(SEARCH(("Yes"),(O242))))</formula>
    </cfRule>
  </conditionalFormatting>
  <conditionalFormatting sqref="O242 O244:O246 O249:O250 O252">
    <cfRule type="containsText" dxfId="2" priority="43015" operator="containsText" text="Yes">
      <formula>NOT(ISERROR(SEARCH(("Yes"),(O242))))</formula>
    </cfRule>
  </conditionalFormatting>
  <conditionalFormatting sqref="O242 O244:O246 O249:O250 O252">
    <cfRule type="containsText" dxfId="2" priority="43016" operator="containsText" text="Yes">
      <formula>NOT(ISERROR(SEARCH(("Yes"),(O242))))</formula>
    </cfRule>
  </conditionalFormatting>
  <conditionalFormatting sqref="O242 O244:O246 O249:O250 O252">
    <cfRule type="containsText" dxfId="2" priority="43017" operator="containsText" text="Yes">
      <formula>NOT(ISERROR(SEARCH(("Yes"),(O242))))</formula>
    </cfRule>
  </conditionalFormatting>
  <conditionalFormatting sqref="O242 O244:O246 O249:O250 O252">
    <cfRule type="containsText" dxfId="2" priority="43018" operator="containsText" text="Yes">
      <formula>NOT(ISERROR(SEARCH(("Yes"),(O242))))</formula>
    </cfRule>
  </conditionalFormatting>
  <conditionalFormatting sqref="O242 O244:O246 O249:O250 O252">
    <cfRule type="containsText" dxfId="2" priority="43019" operator="containsText" text="Yes">
      <formula>NOT(ISERROR(SEARCH(("Yes"),(O242))))</formula>
    </cfRule>
  </conditionalFormatting>
  <conditionalFormatting sqref="O242 O244:O246 O249:O250 O252">
    <cfRule type="containsText" dxfId="2" priority="43020" operator="containsText" text="Yes">
      <formula>NOT(ISERROR(SEARCH(("Yes"),(O242))))</formula>
    </cfRule>
  </conditionalFormatting>
  <conditionalFormatting sqref="O242 O244:O246 O249:O250 O252">
    <cfRule type="containsText" dxfId="2" priority="43021" operator="containsText" text="Yes">
      <formula>NOT(ISERROR(SEARCH(("Yes"),(O242))))</formula>
    </cfRule>
  </conditionalFormatting>
  <conditionalFormatting sqref="O242 O244:O246 O249:O250 O252">
    <cfRule type="containsText" dxfId="2" priority="43022" operator="containsText" text="Yes">
      <formula>NOT(ISERROR(SEARCH(("Yes"),(O242))))</formula>
    </cfRule>
  </conditionalFormatting>
  <conditionalFormatting sqref="O242 O244:O246 O249:O250 O252">
    <cfRule type="containsText" dxfId="2" priority="43023" operator="containsText" text="Yes">
      <formula>NOT(ISERROR(SEARCH(("Yes"),(O242))))</formula>
    </cfRule>
  </conditionalFormatting>
  <conditionalFormatting sqref="O242 O244:O246 O249:O250 O252">
    <cfRule type="containsText" dxfId="2" priority="43024" operator="containsText" text="Yes">
      <formula>NOT(ISERROR(SEARCH(("Yes"),(O242))))</formula>
    </cfRule>
  </conditionalFormatting>
  <conditionalFormatting sqref="P243:Q243 P247:Q248">
    <cfRule type="containsText" dxfId="9" priority="43025" operator="containsText" text="No">
      <formula>NOT(ISERROR(SEARCH(("No"),(P243))))</formula>
    </cfRule>
  </conditionalFormatting>
  <conditionalFormatting sqref="P243:Q243 P247:Q248">
    <cfRule type="containsText" dxfId="9" priority="43026" operator="containsText" text="No">
      <formula>NOT(ISERROR(SEARCH(("No"),(P243))))</formula>
    </cfRule>
  </conditionalFormatting>
  <conditionalFormatting sqref="P243:Q243 P247:Q248">
    <cfRule type="containsText" dxfId="9" priority="43027" operator="containsText" text="No">
      <formula>NOT(ISERROR(SEARCH(("No"),(P243))))</formula>
    </cfRule>
  </conditionalFormatting>
  <conditionalFormatting sqref="P243:Q243 P247:Q248">
    <cfRule type="containsText" dxfId="9" priority="43028" operator="containsText" text="No">
      <formula>NOT(ISERROR(SEARCH(("No"),(P243))))</formula>
    </cfRule>
  </conditionalFormatting>
  <conditionalFormatting sqref="P243:Q243 P247:Q248">
    <cfRule type="containsText" dxfId="9" priority="43029" operator="containsText" text="No">
      <formula>NOT(ISERROR(SEARCH(("No"),(P243))))</formula>
    </cfRule>
  </conditionalFormatting>
  <conditionalFormatting sqref="P243:Q243 P247:Q248">
    <cfRule type="containsText" dxfId="9" priority="43030" operator="containsText" text="No">
      <formula>NOT(ISERROR(SEARCH(("No"),(P243))))</formula>
    </cfRule>
  </conditionalFormatting>
  <conditionalFormatting sqref="P243:Q243 P247:Q248">
    <cfRule type="containsText" dxfId="9" priority="43031" operator="containsText" text="No">
      <formula>NOT(ISERROR(SEARCH(("No"),(P243))))</formula>
    </cfRule>
  </conditionalFormatting>
  <conditionalFormatting sqref="P243:Q243 P247:Q248">
    <cfRule type="containsText" dxfId="9" priority="43032" operator="containsText" text="No">
      <formula>NOT(ISERROR(SEARCH(("No"),(P243))))</formula>
    </cfRule>
  </conditionalFormatting>
  <conditionalFormatting sqref="P243:Q243 P247:Q248">
    <cfRule type="containsText" dxfId="9" priority="43033" operator="containsText" text="No">
      <formula>NOT(ISERROR(SEARCH(("No"),(P243))))</formula>
    </cfRule>
  </conditionalFormatting>
  <conditionalFormatting sqref="P243:Q243 P247:Q248">
    <cfRule type="containsText" dxfId="9" priority="43034" operator="containsText" text="No">
      <formula>NOT(ISERROR(SEARCH(("No"),(P243))))</formula>
    </cfRule>
  </conditionalFormatting>
  <conditionalFormatting sqref="P243:Q243 P247:Q248">
    <cfRule type="containsText" dxfId="9" priority="43035" operator="containsText" text="No">
      <formula>NOT(ISERROR(SEARCH(("No"),(P243))))</formula>
    </cfRule>
  </conditionalFormatting>
  <conditionalFormatting sqref="P243:Q243 P247:Q248">
    <cfRule type="containsText" dxfId="9" priority="43036" operator="containsText" text="No">
      <formula>NOT(ISERROR(SEARCH(("No"),(P243))))</formula>
    </cfRule>
  </conditionalFormatting>
  <conditionalFormatting sqref="P243:Q243 P247:Q248">
    <cfRule type="containsText" dxfId="9" priority="43037" operator="containsText" text="No">
      <formula>NOT(ISERROR(SEARCH(("No"),(P243))))</formula>
    </cfRule>
  </conditionalFormatting>
  <conditionalFormatting sqref="P243:Q243 P247:Q248">
    <cfRule type="containsText" dxfId="9" priority="43038" operator="containsText" text="No">
      <formula>NOT(ISERROR(SEARCH(("No"),(P243))))</formula>
    </cfRule>
  </conditionalFormatting>
  <conditionalFormatting sqref="P243:Q243 P247:Q248">
    <cfRule type="containsText" dxfId="9" priority="43039" operator="containsText" text="No">
      <formula>NOT(ISERROR(SEARCH(("No"),(P243))))</formula>
    </cfRule>
  </conditionalFormatting>
  <conditionalFormatting sqref="P243:Q243 P247:Q248">
    <cfRule type="containsText" dxfId="9" priority="43040" operator="containsText" text="No">
      <formula>NOT(ISERROR(SEARCH(("No"),(P243))))</formula>
    </cfRule>
  </conditionalFormatting>
  <conditionalFormatting sqref="P243:Q243 P247:Q248">
    <cfRule type="containsText" dxfId="9" priority="43041" operator="containsText" text="No">
      <formula>NOT(ISERROR(SEARCH(("No"),(P243))))</formula>
    </cfRule>
  </conditionalFormatting>
  <conditionalFormatting sqref="P243:Q243 P247:Q248">
    <cfRule type="containsText" dxfId="9" priority="43042" operator="containsText" text="No">
      <formula>NOT(ISERROR(SEARCH(("No"),(P243))))</formula>
    </cfRule>
  </conditionalFormatting>
  <conditionalFormatting sqref="P243:Q243 P247:Q248">
    <cfRule type="containsText" dxfId="9" priority="43043" operator="containsText" text="No">
      <formula>NOT(ISERROR(SEARCH(("No"),(P243))))</formula>
    </cfRule>
  </conditionalFormatting>
  <conditionalFormatting sqref="P243:Q243 P247:Q248">
    <cfRule type="containsText" dxfId="9" priority="43044" operator="containsText" text="No">
      <formula>NOT(ISERROR(SEARCH(("No"),(P243))))</formula>
    </cfRule>
  </conditionalFormatting>
  <conditionalFormatting sqref="P243:Q243 P247:Q248">
    <cfRule type="containsText" dxfId="9" priority="43045" operator="containsText" text="No">
      <formula>NOT(ISERROR(SEARCH(("No"),(P243))))</formula>
    </cfRule>
  </conditionalFormatting>
  <conditionalFormatting sqref="P243:Q243 P247:Q248">
    <cfRule type="containsText" dxfId="9" priority="43046" operator="containsText" text="No">
      <formula>NOT(ISERROR(SEARCH(("No"),(P243))))</formula>
    </cfRule>
  </conditionalFormatting>
  <conditionalFormatting sqref="P243:Q243 P247:Q248">
    <cfRule type="containsText" dxfId="9" priority="43047" operator="containsText" text="No">
      <formula>NOT(ISERROR(SEARCH(("No"),(P243))))</formula>
    </cfRule>
  </conditionalFormatting>
  <conditionalFormatting sqref="P243:Q243 P247:Q248">
    <cfRule type="containsText" dxfId="9" priority="43048" operator="containsText" text="No">
      <formula>NOT(ISERROR(SEARCH(("No"),(P243))))</formula>
    </cfRule>
  </conditionalFormatting>
  <conditionalFormatting sqref="P243:Q243 P247:Q248">
    <cfRule type="containsText" dxfId="9" priority="43049" operator="containsText" text="No">
      <formula>NOT(ISERROR(SEARCH(("No"),(P243))))</formula>
    </cfRule>
  </conditionalFormatting>
  <conditionalFormatting sqref="P243:Q243 P247:Q248">
    <cfRule type="containsText" dxfId="9" priority="43050" operator="containsText" text="No">
      <formula>NOT(ISERROR(SEARCH(("No"),(P243))))</formula>
    </cfRule>
  </conditionalFormatting>
  <conditionalFormatting sqref="P243:Q243 P247:Q248">
    <cfRule type="containsText" dxfId="9" priority="43051" operator="containsText" text="No">
      <formula>NOT(ISERROR(SEARCH(("No"),(P243))))</formula>
    </cfRule>
  </conditionalFormatting>
  <conditionalFormatting sqref="P243:Q243 P247:Q248">
    <cfRule type="containsText" dxfId="9" priority="43052" operator="containsText" text="No">
      <formula>NOT(ISERROR(SEARCH(("No"),(P243))))</formula>
    </cfRule>
  </conditionalFormatting>
  <conditionalFormatting sqref="P243:Q243 P247:Q248">
    <cfRule type="containsText" dxfId="9" priority="43053" operator="containsText" text="No">
      <formula>NOT(ISERROR(SEARCH(("No"),(P243))))</formula>
    </cfRule>
  </conditionalFormatting>
  <conditionalFormatting sqref="P243:Q243 P247:Q248">
    <cfRule type="containsText" dxfId="9" priority="43054" operator="containsText" text="No">
      <formula>NOT(ISERROR(SEARCH(("No"),(P243))))</formula>
    </cfRule>
  </conditionalFormatting>
  <conditionalFormatting sqref="P243:Q243 P247:Q248">
    <cfRule type="containsText" dxfId="9" priority="43055" operator="containsText" text="No">
      <formula>NOT(ISERROR(SEARCH(("No"),(P243))))</formula>
    </cfRule>
  </conditionalFormatting>
  <conditionalFormatting sqref="P243:Q243 P247:Q248">
    <cfRule type="containsText" dxfId="9" priority="43056" operator="containsText" text="No">
      <formula>NOT(ISERROR(SEARCH(("No"),(P243))))</formula>
    </cfRule>
  </conditionalFormatting>
  <conditionalFormatting sqref="P243:Q243 P247:Q248">
    <cfRule type="containsText" dxfId="9" priority="43057" operator="containsText" text="No">
      <formula>NOT(ISERROR(SEARCH(("No"),(P243))))</formula>
    </cfRule>
  </conditionalFormatting>
  <conditionalFormatting sqref="P243:Q243 P247:Q248">
    <cfRule type="containsText" dxfId="9" priority="43058" operator="containsText" text="No">
      <formula>NOT(ISERROR(SEARCH(("No"),(P243))))</formula>
    </cfRule>
  </conditionalFormatting>
  <conditionalFormatting sqref="P243:Q243 P247:Q248">
    <cfRule type="containsText" dxfId="9" priority="43059" operator="containsText" text="No">
      <formula>NOT(ISERROR(SEARCH(("No"),(P243))))</formula>
    </cfRule>
  </conditionalFormatting>
  <conditionalFormatting sqref="P243:Q243 P247:Q248">
    <cfRule type="containsText" dxfId="9" priority="43060" operator="containsText" text="No">
      <formula>NOT(ISERROR(SEARCH(("No"),(P243))))</formula>
    </cfRule>
  </conditionalFormatting>
  <conditionalFormatting sqref="P243:Q243 P247:Q248">
    <cfRule type="containsText" dxfId="9" priority="43061" operator="containsText" text="No">
      <formula>NOT(ISERROR(SEARCH(("No"),(P243))))</formula>
    </cfRule>
  </conditionalFormatting>
  <conditionalFormatting sqref="P243:Q243 P247:Q248">
    <cfRule type="containsText" dxfId="9" priority="43062" operator="containsText" text="No">
      <formula>NOT(ISERROR(SEARCH(("No"),(P243))))</formula>
    </cfRule>
  </conditionalFormatting>
  <conditionalFormatting sqref="P243:Q243 P247:Q248">
    <cfRule type="containsText" dxfId="9" priority="43063" operator="containsText" text="No">
      <formula>NOT(ISERROR(SEARCH(("No"),(P243))))</formula>
    </cfRule>
  </conditionalFormatting>
  <conditionalFormatting sqref="P243:Q243 P247:Q248">
    <cfRule type="containsText" dxfId="9" priority="43064" operator="containsText" text="No">
      <formula>NOT(ISERROR(SEARCH(("No"),(P243))))</formula>
    </cfRule>
  </conditionalFormatting>
  <conditionalFormatting sqref="P243:Q243 P247:Q248">
    <cfRule type="containsText" dxfId="9" priority="43065" operator="containsText" text="No">
      <formula>NOT(ISERROR(SEARCH(("No"),(P243))))</formula>
    </cfRule>
  </conditionalFormatting>
  <conditionalFormatting sqref="P243:Q243 P247:Q248">
    <cfRule type="containsText" dxfId="9" priority="43066" operator="containsText" text="No">
      <formula>NOT(ISERROR(SEARCH(("No"),(P243))))</formula>
    </cfRule>
  </conditionalFormatting>
  <conditionalFormatting sqref="P243:Q243 P247:Q248">
    <cfRule type="containsText" dxfId="9" priority="43067" operator="containsText" text="No">
      <formula>NOT(ISERROR(SEARCH(("No"),(P243))))</formula>
    </cfRule>
  </conditionalFormatting>
  <conditionalFormatting sqref="P243:Q243 P247:Q248">
    <cfRule type="containsText" dxfId="9" priority="43068" operator="containsText" text="No">
      <formula>NOT(ISERROR(SEARCH(("No"),(P243))))</formula>
    </cfRule>
  </conditionalFormatting>
  <conditionalFormatting sqref="P243:Q243 P247:Q248">
    <cfRule type="containsText" dxfId="9" priority="43069" operator="containsText" text="No">
      <formula>NOT(ISERROR(SEARCH(("No"),(P243))))</formula>
    </cfRule>
  </conditionalFormatting>
  <conditionalFormatting sqref="P243:Q243 P247:Q248">
    <cfRule type="containsText" dxfId="2" priority="43070" operator="containsText" text="Yes">
      <formula>NOT(ISERROR(SEARCH(("Yes"),(P243))))</formula>
    </cfRule>
  </conditionalFormatting>
  <conditionalFormatting sqref="P243:Q243 P247:Q248">
    <cfRule type="containsText" dxfId="2" priority="43071" operator="containsText" text="Yes">
      <formula>NOT(ISERROR(SEARCH(("Yes"),(P243))))</formula>
    </cfRule>
  </conditionalFormatting>
  <conditionalFormatting sqref="P243:Q243 P247:Q248">
    <cfRule type="containsText" dxfId="2" priority="43072" operator="containsText" text="Yes">
      <formula>NOT(ISERROR(SEARCH(("Yes"),(P243))))</formula>
    </cfRule>
  </conditionalFormatting>
  <conditionalFormatting sqref="P243:Q243 P247:Q248">
    <cfRule type="containsText" dxfId="2" priority="43073" operator="containsText" text="Yes">
      <formula>NOT(ISERROR(SEARCH(("Yes"),(P243))))</formula>
    </cfRule>
  </conditionalFormatting>
  <conditionalFormatting sqref="P243:Q243 P247:Q248">
    <cfRule type="containsText" dxfId="2" priority="43074" operator="containsText" text="Yes">
      <formula>NOT(ISERROR(SEARCH(("Yes"),(P243))))</formula>
    </cfRule>
  </conditionalFormatting>
  <conditionalFormatting sqref="P243:Q243 P247:Q248">
    <cfRule type="containsText" dxfId="2" priority="43075" operator="containsText" text="Yes">
      <formula>NOT(ISERROR(SEARCH(("Yes"),(P243))))</formula>
    </cfRule>
  </conditionalFormatting>
  <conditionalFormatting sqref="P243:Q243 P247:Q248">
    <cfRule type="containsText" dxfId="2" priority="43076" operator="containsText" text="Yes">
      <formula>NOT(ISERROR(SEARCH(("Yes"),(P243))))</formula>
    </cfRule>
  </conditionalFormatting>
  <conditionalFormatting sqref="P243:Q243 P247:Q248">
    <cfRule type="containsText" dxfId="2" priority="43077" operator="containsText" text="Yes">
      <formula>NOT(ISERROR(SEARCH(("Yes"),(P243))))</formula>
    </cfRule>
  </conditionalFormatting>
  <conditionalFormatting sqref="P243:Q243 P247:Q248">
    <cfRule type="containsText" dxfId="2" priority="43078" operator="containsText" text="Yes">
      <formula>NOT(ISERROR(SEARCH(("Yes"),(P243))))</formula>
    </cfRule>
  </conditionalFormatting>
  <conditionalFormatting sqref="P243:Q243 P247:Q248">
    <cfRule type="containsText" dxfId="2" priority="43079" operator="containsText" text="Yes">
      <formula>NOT(ISERROR(SEARCH(("Yes"),(P243))))</formula>
    </cfRule>
  </conditionalFormatting>
  <conditionalFormatting sqref="P243:Q243 P247:Q248">
    <cfRule type="containsText" dxfId="2" priority="43080" operator="containsText" text="Yes">
      <formula>NOT(ISERROR(SEARCH(("Yes"),(P243))))</formula>
    </cfRule>
  </conditionalFormatting>
  <conditionalFormatting sqref="P243:Q243 P247:Q248">
    <cfRule type="containsText" dxfId="2" priority="43081" operator="containsText" text="Yes">
      <formula>NOT(ISERROR(SEARCH(("Yes"),(P243))))</formula>
    </cfRule>
  </conditionalFormatting>
  <conditionalFormatting sqref="P243:Q243 P247:Q248">
    <cfRule type="containsText" dxfId="2" priority="43082" operator="containsText" text="Yes">
      <formula>NOT(ISERROR(SEARCH(("Yes"),(P243))))</formula>
    </cfRule>
  </conditionalFormatting>
  <conditionalFormatting sqref="P243:Q243 P247:Q248">
    <cfRule type="containsText" dxfId="2" priority="43083" operator="containsText" text="Yes">
      <formula>NOT(ISERROR(SEARCH(("Yes"),(P243))))</formula>
    </cfRule>
  </conditionalFormatting>
  <conditionalFormatting sqref="P243:Q243 P247:Q248">
    <cfRule type="containsText" dxfId="2" priority="43084" operator="containsText" text="Yes">
      <formula>NOT(ISERROR(SEARCH(("Yes"),(P243))))</formula>
    </cfRule>
  </conditionalFormatting>
  <conditionalFormatting sqref="P243:Q243 P247:Q248">
    <cfRule type="containsText" dxfId="2" priority="43085" operator="containsText" text="Yes">
      <formula>NOT(ISERROR(SEARCH(("Yes"),(P243))))</formula>
    </cfRule>
  </conditionalFormatting>
  <conditionalFormatting sqref="P243:Q243 P247:Q248">
    <cfRule type="containsText" dxfId="2" priority="43086" operator="containsText" text="Yes">
      <formula>NOT(ISERROR(SEARCH(("Yes"),(P243))))</formula>
    </cfRule>
  </conditionalFormatting>
  <conditionalFormatting sqref="P243:Q243 P247:Q248">
    <cfRule type="containsText" dxfId="2" priority="43087" operator="containsText" text="Yes">
      <formula>NOT(ISERROR(SEARCH(("Yes"),(P243))))</formula>
    </cfRule>
  </conditionalFormatting>
  <conditionalFormatting sqref="P243:Q243 P247:Q248">
    <cfRule type="containsText" dxfId="2" priority="43088" operator="containsText" text="Yes">
      <formula>NOT(ISERROR(SEARCH(("Yes"),(P243))))</formula>
    </cfRule>
  </conditionalFormatting>
  <conditionalFormatting sqref="P243:Q243 P247:Q248">
    <cfRule type="containsText" dxfId="2" priority="43089" operator="containsText" text="Yes">
      <formula>NOT(ISERROR(SEARCH(("Yes"),(P243))))</formula>
    </cfRule>
  </conditionalFormatting>
  <conditionalFormatting sqref="P243:Q243 P247:Q248">
    <cfRule type="containsText" dxfId="2" priority="43090" operator="containsText" text="Yes">
      <formula>NOT(ISERROR(SEARCH(("Yes"),(P243))))</formula>
    </cfRule>
  </conditionalFormatting>
  <conditionalFormatting sqref="P243:Q243 P247:Q248">
    <cfRule type="containsText" dxfId="2" priority="43091" operator="containsText" text="Yes">
      <formula>NOT(ISERROR(SEARCH(("Yes"),(P243))))</formula>
    </cfRule>
  </conditionalFormatting>
  <conditionalFormatting sqref="P243:Q243 P247:Q248">
    <cfRule type="containsText" dxfId="2" priority="43092" operator="containsText" text="Yes">
      <formula>NOT(ISERROR(SEARCH(("Yes"),(P243))))</formula>
    </cfRule>
  </conditionalFormatting>
  <conditionalFormatting sqref="P243:Q243 P247:Q248">
    <cfRule type="containsText" dxfId="2" priority="43093" operator="containsText" text="Yes">
      <formula>NOT(ISERROR(SEARCH(("Yes"),(P243))))</formula>
    </cfRule>
  </conditionalFormatting>
  <conditionalFormatting sqref="P243:Q243 P247:Q248">
    <cfRule type="containsText" dxfId="2" priority="43094" operator="containsText" text="Yes">
      <formula>NOT(ISERROR(SEARCH(("Yes"),(P243))))</formula>
    </cfRule>
  </conditionalFormatting>
  <conditionalFormatting sqref="P243:Q243 P247:Q248">
    <cfRule type="containsText" dxfId="2" priority="43095" operator="containsText" text="Yes">
      <formula>NOT(ISERROR(SEARCH(("Yes"),(P243))))</formula>
    </cfRule>
  </conditionalFormatting>
  <conditionalFormatting sqref="P243:Q243 P247:Q248">
    <cfRule type="containsText" dxfId="2" priority="43096" operator="containsText" text="Yes">
      <formula>NOT(ISERROR(SEARCH(("Yes"),(P243))))</formula>
    </cfRule>
  </conditionalFormatting>
  <conditionalFormatting sqref="P243:Q243 P247:Q248">
    <cfRule type="containsText" dxfId="2" priority="43097" operator="containsText" text="Yes">
      <formula>NOT(ISERROR(SEARCH(("Yes"),(P243))))</formula>
    </cfRule>
  </conditionalFormatting>
  <conditionalFormatting sqref="P243:Q243 P247:Q248">
    <cfRule type="containsText" dxfId="2" priority="43098" operator="containsText" text="Yes">
      <formula>NOT(ISERROR(SEARCH(("Yes"),(P243))))</formula>
    </cfRule>
  </conditionalFormatting>
  <conditionalFormatting sqref="P243:Q243 P247:Q248">
    <cfRule type="containsText" dxfId="2" priority="43099" operator="containsText" text="Yes">
      <formula>NOT(ISERROR(SEARCH(("Yes"),(P243))))</formula>
    </cfRule>
  </conditionalFormatting>
  <conditionalFormatting sqref="P243:Q243 P247:Q248">
    <cfRule type="containsText" dxfId="2" priority="43100" operator="containsText" text="Yes">
      <formula>NOT(ISERROR(SEARCH(("Yes"),(P243))))</formula>
    </cfRule>
  </conditionalFormatting>
  <conditionalFormatting sqref="P243:Q243 P247:Q248">
    <cfRule type="containsText" dxfId="2" priority="43101" operator="containsText" text="Yes">
      <formula>NOT(ISERROR(SEARCH(("Yes"),(P243))))</formula>
    </cfRule>
  </conditionalFormatting>
  <conditionalFormatting sqref="P243:Q243 P247:Q248">
    <cfRule type="containsText" dxfId="2" priority="43102" operator="containsText" text="Yes">
      <formula>NOT(ISERROR(SEARCH(("Yes"),(P243))))</formula>
    </cfRule>
  </conditionalFormatting>
  <conditionalFormatting sqref="P243:Q243 P247:Q248">
    <cfRule type="containsText" dxfId="2" priority="43103" operator="containsText" text="Yes">
      <formula>NOT(ISERROR(SEARCH(("Yes"),(P243))))</formula>
    </cfRule>
  </conditionalFormatting>
  <conditionalFormatting sqref="P243:Q243 P247:Q248">
    <cfRule type="containsText" dxfId="2" priority="43104" operator="containsText" text="Yes">
      <formula>NOT(ISERROR(SEARCH(("Yes"),(P243))))</formula>
    </cfRule>
  </conditionalFormatting>
  <conditionalFormatting sqref="P243:Q243 P247:Q248">
    <cfRule type="containsText" dxfId="2" priority="43105" operator="containsText" text="Yes">
      <formula>NOT(ISERROR(SEARCH(("Yes"),(P243))))</formula>
    </cfRule>
  </conditionalFormatting>
  <conditionalFormatting sqref="P243:Q243 P247:Q248">
    <cfRule type="containsText" dxfId="2" priority="43106" operator="containsText" text="Yes">
      <formula>NOT(ISERROR(SEARCH(("Yes"),(P243))))</formula>
    </cfRule>
  </conditionalFormatting>
  <conditionalFormatting sqref="P243:Q243 P247:Q248">
    <cfRule type="containsText" dxfId="2" priority="43107" operator="containsText" text="Yes">
      <formula>NOT(ISERROR(SEARCH(("Yes"),(P243))))</formula>
    </cfRule>
  </conditionalFormatting>
  <conditionalFormatting sqref="P243:Q243 P247:Q248">
    <cfRule type="containsText" dxfId="2" priority="43108" operator="containsText" text="Yes">
      <formula>NOT(ISERROR(SEARCH(("Yes"),(P243))))</formula>
    </cfRule>
  </conditionalFormatting>
  <conditionalFormatting sqref="P243:Q243 P247:Q248">
    <cfRule type="containsText" dxfId="2" priority="43109" operator="containsText" text="Yes">
      <formula>NOT(ISERROR(SEARCH(("Yes"),(P243))))</formula>
    </cfRule>
  </conditionalFormatting>
  <conditionalFormatting sqref="P243:Q243 P247:Q248">
    <cfRule type="containsText" dxfId="2" priority="43110" operator="containsText" text="Yes">
      <formula>NOT(ISERROR(SEARCH(("Yes"),(P243))))</formula>
    </cfRule>
  </conditionalFormatting>
  <conditionalFormatting sqref="P243:Q243 P247:Q248">
    <cfRule type="containsText" dxfId="2" priority="43111" operator="containsText" text="Yes">
      <formula>NOT(ISERROR(SEARCH(("Yes"),(P243))))</formula>
    </cfRule>
  </conditionalFormatting>
  <conditionalFormatting sqref="P243:Q243 P247:Q248">
    <cfRule type="containsText" dxfId="2" priority="43112" operator="containsText" text="Yes">
      <formula>NOT(ISERROR(SEARCH(("Yes"),(P243))))</formula>
    </cfRule>
  </conditionalFormatting>
  <conditionalFormatting sqref="P243:Q243 P247:Q248">
    <cfRule type="containsText" dxfId="2" priority="43113" operator="containsText" text="Yes">
      <formula>NOT(ISERROR(SEARCH(("Yes"),(P243))))</formula>
    </cfRule>
  </conditionalFormatting>
  <conditionalFormatting sqref="P243:Q243 P247:Q248">
    <cfRule type="containsText" dxfId="2" priority="43114" operator="containsText" text="Yes">
      <formula>NOT(ISERROR(SEARCH(("Yes"),(P243))))</formula>
    </cfRule>
  </conditionalFormatting>
  <conditionalFormatting sqref="P243:Q243 P247:Q248">
    <cfRule type="containsText" dxfId="2" priority="43115" operator="containsText" text="Yes">
      <formula>NOT(ISERROR(SEARCH(("Yes"),(P243))))</formula>
    </cfRule>
  </conditionalFormatting>
  <conditionalFormatting sqref="P243:Q243 P247:Q248">
    <cfRule type="containsText" dxfId="2" priority="43116" operator="containsText" text="Yes">
      <formula>NOT(ISERROR(SEARCH(("Yes"),(P243))))</formula>
    </cfRule>
  </conditionalFormatting>
  <conditionalFormatting sqref="O243:O250 O252">
    <cfRule type="containsText" dxfId="9" priority="43117" operator="containsText" text="No">
      <formula>NOT(ISERROR(SEARCH(("No"),(O243))))</formula>
    </cfRule>
  </conditionalFormatting>
  <conditionalFormatting sqref="O243:O250 O252">
    <cfRule type="containsText" dxfId="9" priority="43118" operator="containsText" text="No">
      <formula>NOT(ISERROR(SEARCH(("No"),(O243))))</formula>
    </cfRule>
  </conditionalFormatting>
  <conditionalFormatting sqref="O243:O250 O252">
    <cfRule type="containsText" dxfId="9" priority="43119" operator="containsText" text="No">
      <formula>NOT(ISERROR(SEARCH(("No"),(O243))))</formula>
    </cfRule>
  </conditionalFormatting>
  <conditionalFormatting sqref="O243:O250 O252">
    <cfRule type="containsText" dxfId="2" priority="43120" operator="containsText" text="Yes">
      <formula>NOT(ISERROR(SEARCH(("Yes"),(O243))))</formula>
    </cfRule>
  </conditionalFormatting>
  <conditionalFormatting sqref="O243:O250 O252">
    <cfRule type="containsText" dxfId="2" priority="43121" operator="containsText" text="Yes">
      <formula>NOT(ISERROR(SEARCH(("Yes"),(O243))))</formula>
    </cfRule>
  </conditionalFormatting>
  <conditionalFormatting sqref="O243:O250 O252">
    <cfRule type="containsText" dxfId="2" priority="43122" operator="containsText" text="Yes">
      <formula>NOT(ISERROR(SEARCH(("Yes"),(O243))))</formula>
    </cfRule>
  </conditionalFormatting>
  <conditionalFormatting sqref="O243:O250 O252">
    <cfRule type="containsText" dxfId="2" priority="43123" operator="containsText" text="Yes">
      <formula>NOT(ISERROR(SEARCH(("Yes"),(O243))))</formula>
    </cfRule>
  </conditionalFormatting>
  <conditionalFormatting sqref="O243:O250 O252">
    <cfRule type="containsText" dxfId="2" priority="43124" operator="containsText" text="Yes">
      <formula>NOT(ISERROR(SEARCH(("Yes"),(O243))))</formula>
    </cfRule>
  </conditionalFormatting>
  <conditionalFormatting sqref="O243:O250 O252">
    <cfRule type="containsText" dxfId="9" priority="43125" operator="containsText" text="No">
      <formula>NOT(ISERROR(SEARCH(("No"),(O243))))</formula>
    </cfRule>
  </conditionalFormatting>
  <conditionalFormatting sqref="O243:O250 O252">
    <cfRule type="containsText" dxfId="9" priority="43126" operator="containsText" text="No">
      <formula>NOT(ISERROR(SEARCH(("No"),(O243))))</formula>
    </cfRule>
  </conditionalFormatting>
  <conditionalFormatting sqref="O243:O250 O252">
    <cfRule type="containsText" dxfId="2" priority="43127" operator="containsText" text="Yes">
      <formula>NOT(ISERROR(SEARCH(("Yes"),(O243))))</formula>
    </cfRule>
  </conditionalFormatting>
  <conditionalFormatting sqref="P244:Q246 P249:Q250 P252:Q252">
    <cfRule type="containsText" dxfId="9" priority="43128" operator="containsText" text="No">
      <formula>NOT(ISERROR(SEARCH(("No"),(P244))))</formula>
    </cfRule>
  </conditionalFormatting>
  <conditionalFormatting sqref="P244:Q246 P249:Q250 P252:Q252">
    <cfRule type="containsText" dxfId="9" priority="43129" operator="containsText" text="No">
      <formula>NOT(ISERROR(SEARCH(("No"),(P244))))</formula>
    </cfRule>
  </conditionalFormatting>
  <conditionalFormatting sqref="P244:Q246 P249:Q250 P252:Q252">
    <cfRule type="containsText" dxfId="9" priority="43130" operator="containsText" text="No">
      <formula>NOT(ISERROR(SEARCH(("No"),(P244))))</formula>
    </cfRule>
  </conditionalFormatting>
  <conditionalFormatting sqref="P244:Q246 P249:Q250 P252:Q252">
    <cfRule type="containsText" dxfId="9" priority="43131" operator="containsText" text="No">
      <formula>NOT(ISERROR(SEARCH(("No"),(P244))))</formula>
    </cfRule>
  </conditionalFormatting>
  <conditionalFormatting sqref="P244:Q246 P249:Q250 P252:Q252">
    <cfRule type="containsText" dxfId="9" priority="43132" operator="containsText" text="No">
      <formula>NOT(ISERROR(SEARCH(("No"),(P244))))</formula>
    </cfRule>
  </conditionalFormatting>
  <conditionalFormatting sqref="P244:Q246 P249:Q250 P252:Q252">
    <cfRule type="containsText" dxfId="9" priority="43133" operator="containsText" text="No">
      <formula>NOT(ISERROR(SEARCH(("No"),(P244))))</formula>
    </cfRule>
  </conditionalFormatting>
  <conditionalFormatting sqref="P244:Q246 P249:Q250 P252:Q252">
    <cfRule type="containsText" dxfId="9" priority="43134" operator="containsText" text="No">
      <formula>NOT(ISERROR(SEARCH(("No"),(P244))))</formula>
    </cfRule>
  </conditionalFormatting>
  <conditionalFormatting sqref="P244:Q246 P249:Q250 P252:Q252">
    <cfRule type="containsText" dxfId="9" priority="43135" operator="containsText" text="No">
      <formula>NOT(ISERROR(SEARCH(("No"),(P244))))</formula>
    </cfRule>
  </conditionalFormatting>
  <conditionalFormatting sqref="P244:Q246 P249:Q250 P252:Q252">
    <cfRule type="containsText" dxfId="9" priority="43136" operator="containsText" text="No">
      <formula>NOT(ISERROR(SEARCH(("No"),(P244))))</formula>
    </cfRule>
  </conditionalFormatting>
  <conditionalFormatting sqref="P244:Q246 P249:Q250 P252:Q252">
    <cfRule type="containsText" dxfId="9" priority="43137" operator="containsText" text="No">
      <formula>NOT(ISERROR(SEARCH(("No"),(P244))))</formula>
    </cfRule>
  </conditionalFormatting>
  <conditionalFormatting sqref="P244:Q246 P249:Q250 P252:Q252">
    <cfRule type="containsText" dxfId="9" priority="43138" operator="containsText" text="No">
      <formula>NOT(ISERROR(SEARCH(("No"),(P244))))</formula>
    </cfRule>
  </conditionalFormatting>
  <conditionalFormatting sqref="P244:Q246 P249:Q250 P252:Q252">
    <cfRule type="containsText" dxfId="9" priority="43139" operator="containsText" text="No">
      <formula>NOT(ISERROR(SEARCH(("No"),(P244))))</formula>
    </cfRule>
  </conditionalFormatting>
  <conditionalFormatting sqref="P244:Q246 P249:Q250 P252:Q252">
    <cfRule type="containsText" dxfId="9" priority="43140" operator="containsText" text="No">
      <formula>NOT(ISERROR(SEARCH(("No"),(P244))))</formula>
    </cfRule>
  </conditionalFormatting>
  <conditionalFormatting sqref="P244:Q246 P249:Q250 P252:Q252">
    <cfRule type="containsText" dxfId="9" priority="43141" operator="containsText" text="No">
      <formula>NOT(ISERROR(SEARCH(("No"),(P244))))</formula>
    </cfRule>
  </conditionalFormatting>
  <conditionalFormatting sqref="P244:Q246 P249:Q250 P252:Q252">
    <cfRule type="containsText" dxfId="9" priority="43142" operator="containsText" text="No">
      <formula>NOT(ISERROR(SEARCH(("No"),(P244))))</formula>
    </cfRule>
  </conditionalFormatting>
  <conditionalFormatting sqref="P244:Q246 P249:Q250 P252:Q252">
    <cfRule type="containsText" dxfId="9" priority="43143" operator="containsText" text="No">
      <formula>NOT(ISERROR(SEARCH(("No"),(P244))))</formula>
    </cfRule>
  </conditionalFormatting>
  <conditionalFormatting sqref="P244:Q246 P249:Q250 P252:Q252">
    <cfRule type="containsText" dxfId="9" priority="43144" operator="containsText" text="No">
      <formula>NOT(ISERROR(SEARCH(("No"),(P244))))</formula>
    </cfRule>
  </conditionalFormatting>
  <conditionalFormatting sqref="P244:Q246 P249:Q250 P252:Q252">
    <cfRule type="containsText" dxfId="9" priority="43145" operator="containsText" text="No">
      <formula>NOT(ISERROR(SEARCH(("No"),(P244))))</formula>
    </cfRule>
  </conditionalFormatting>
  <conditionalFormatting sqref="P244:Q246 P249:Q250 P252:Q252">
    <cfRule type="containsText" dxfId="9" priority="43146" operator="containsText" text="No">
      <formula>NOT(ISERROR(SEARCH(("No"),(P244))))</formula>
    </cfRule>
  </conditionalFormatting>
  <conditionalFormatting sqref="P244:Q246 P249:Q250 P252:Q252">
    <cfRule type="containsText" dxfId="9" priority="43147" operator="containsText" text="No">
      <formula>NOT(ISERROR(SEARCH(("No"),(P244))))</formula>
    </cfRule>
  </conditionalFormatting>
  <conditionalFormatting sqref="P244:Q246 P249:Q250 P252:Q252">
    <cfRule type="containsText" dxfId="9" priority="43148" operator="containsText" text="No">
      <formula>NOT(ISERROR(SEARCH(("No"),(P244))))</formula>
    </cfRule>
  </conditionalFormatting>
  <conditionalFormatting sqref="P244:Q246 P249:Q250 P252:Q252">
    <cfRule type="containsText" dxfId="9" priority="43149" operator="containsText" text="No">
      <formula>NOT(ISERROR(SEARCH(("No"),(P244))))</formula>
    </cfRule>
  </conditionalFormatting>
  <conditionalFormatting sqref="P244:Q246 P249:Q250 P252:Q252">
    <cfRule type="containsText" dxfId="9" priority="43150" operator="containsText" text="No">
      <formula>NOT(ISERROR(SEARCH(("No"),(P244))))</formula>
    </cfRule>
  </conditionalFormatting>
  <conditionalFormatting sqref="P244:Q246 P249:Q250 P252:Q252">
    <cfRule type="containsText" dxfId="9" priority="43151" operator="containsText" text="No">
      <formula>NOT(ISERROR(SEARCH(("No"),(P244))))</formula>
    </cfRule>
  </conditionalFormatting>
  <conditionalFormatting sqref="P244:Q246 P249:Q250 P252:Q252">
    <cfRule type="containsText" dxfId="9" priority="43152" operator="containsText" text="No">
      <formula>NOT(ISERROR(SEARCH(("No"),(P244))))</formula>
    </cfRule>
  </conditionalFormatting>
  <conditionalFormatting sqref="P244:Q246 P249:Q250 P252:Q252">
    <cfRule type="containsText" dxfId="9" priority="43153" operator="containsText" text="No">
      <formula>NOT(ISERROR(SEARCH(("No"),(P244))))</formula>
    </cfRule>
  </conditionalFormatting>
  <conditionalFormatting sqref="P244:Q246 P249:Q250 P252:Q252">
    <cfRule type="containsText" dxfId="9" priority="43154" operator="containsText" text="No">
      <formula>NOT(ISERROR(SEARCH(("No"),(P244))))</formula>
    </cfRule>
  </conditionalFormatting>
  <conditionalFormatting sqref="P244:Q246 P249:Q250 P252:Q252">
    <cfRule type="containsText" dxfId="9" priority="43155" operator="containsText" text="No">
      <formula>NOT(ISERROR(SEARCH(("No"),(P244))))</formula>
    </cfRule>
  </conditionalFormatting>
  <conditionalFormatting sqref="P244:Q246 P249:Q250 P252:Q252">
    <cfRule type="containsText" dxfId="9" priority="43156" operator="containsText" text="No">
      <formula>NOT(ISERROR(SEARCH(("No"),(P244))))</formula>
    </cfRule>
  </conditionalFormatting>
  <conditionalFormatting sqref="P244:Q246 P249:Q250 P252:Q252">
    <cfRule type="containsText" dxfId="9" priority="43157" operator="containsText" text="No">
      <formula>NOT(ISERROR(SEARCH(("No"),(P244))))</formula>
    </cfRule>
  </conditionalFormatting>
  <conditionalFormatting sqref="P244:Q246 P249:Q250 P252:Q252">
    <cfRule type="containsText" dxfId="9" priority="43158" operator="containsText" text="No">
      <formula>NOT(ISERROR(SEARCH(("No"),(P244))))</formula>
    </cfRule>
  </conditionalFormatting>
  <conditionalFormatting sqref="P244:Q246 P249:Q250 P252:Q252">
    <cfRule type="containsText" dxfId="9" priority="43159" operator="containsText" text="No">
      <formula>NOT(ISERROR(SEARCH(("No"),(P244))))</formula>
    </cfRule>
  </conditionalFormatting>
  <conditionalFormatting sqref="P244:Q246 P249:Q250 P252:Q252">
    <cfRule type="containsText" dxfId="9" priority="43160" operator="containsText" text="No">
      <formula>NOT(ISERROR(SEARCH(("No"),(P244))))</formula>
    </cfRule>
  </conditionalFormatting>
  <conditionalFormatting sqref="P244:Q246 P249:Q250 P252:Q252">
    <cfRule type="containsText" dxfId="9" priority="43161" operator="containsText" text="No">
      <formula>NOT(ISERROR(SEARCH(("No"),(P244))))</formula>
    </cfRule>
  </conditionalFormatting>
  <conditionalFormatting sqref="P244:Q246 P249:Q250 P252:Q252">
    <cfRule type="containsText" dxfId="9" priority="43162" operator="containsText" text="No">
      <formula>NOT(ISERROR(SEARCH(("No"),(P244))))</formula>
    </cfRule>
  </conditionalFormatting>
  <conditionalFormatting sqref="P244:Q246 P249:Q250 P252:Q252">
    <cfRule type="containsText" dxfId="9" priority="43163" operator="containsText" text="No">
      <formula>NOT(ISERROR(SEARCH(("No"),(P244))))</formula>
    </cfRule>
  </conditionalFormatting>
  <conditionalFormatting sqref="P244:Q246 P249:Q250 P252:Q252">
    <cfRule type="containsText" dxfId="9" priority="43164" operator="containsText" text="No">
      <formula>NOT(ISERROR(SEARCH(("No"),(P244))))</formula>
    </cfRule>
  </conditionalFormatting>
  <conditionalFormatting sqref="P244:Q246 P249:Q250 P252:Q252">
    <cfRule type="containsText" dxfId="9" priority="43165" operator="containsText" text="No">
      <formula>NOT(ISERROR(SEARCH(("No"),(P244))))</formula>
    </cfRule>
  </conditionalFormatting>
  <conditionalFormatting sqref="P244:Q246 P249:Q250 P252:Q252">
    <cfRule type="containsText" dxfId="9" priority="43166" operator="containsText" text="No">
      <formula>NOT(ISERROR(SEARCH(("No"),(P244))))</formula>
    </cfRule>
  </conditionalFormatting>
  <conditionalFormatting sqref="P244:Q246 P249:Q250 P252:Q252">
    <cfRule type="containsText" dxfId="9" priority="43167" operator="containsText" text="No">
      <formula>NOT(ISERROR(SEARCH(("No"),(P244))))</formula>
    </cfRule>
  </conditionalFormatting>
  <conditionalFormatting sqref="P244:Q246 P249:Q250 P252:Q252">
    <cfRule type="containsText" dxfId="9" priority="43168" operator="containsText" text="No">
      <formula>NOT(ISERROR(SEARCH(("No"),(P244))))</formula>
    </cfRule>
  </conditionalFormatting>
  <conditionalFormatting sqref="P244:Q246 P249:Q250 P252:Q252">
    <cfRule type="containsText" dxfId="9" priority="43169" operator="containsText" text="No">
      <formula>NOT(ISERROR(SEARCH(("No"),(P244))))</formula>
    </cfRule>
  </conditionalFormatting>
  <conditionalFormatting sqref="P244:Q246 P249:Q250 P252:Q252">
    <cfRule type="containsText" dxfId="9" priority="43170" operator="containsText" text="No">
      <formula>NOT(ISERROR(SEARCH(("No"),(P244))))</formula>
    </cfRule>
  </conditionalFormatting>
  <conditionalFormatting sqref="P244:Q246 P249:Q250 P252:Q252">
    <cfRule type="containsText" dxfId="9" priority="43171" operator="containsText" text="No">
      <formula>NOT(ISERROR(SEARCH(("No"),(P244))))</formula>
    </cfRule>
  </conditionalFormatting>
  <conditionalFormatting sqref="P244:Q246 P249:Q250 P252:Q252">
    <cfRule type="containsText" dxfId="9" priority="43172" operator="containsText" text="No">
      <formula>NOT(ISERROR(SEARCH(("No"),(P244))))</formula>
    </cfRule>
  </conditionalFormatting>
  <conditionalFormatting sqref="P244:Q246 P249:Q250 P252:Q252">
    <cfRule type="containsText" dxfId="2" priority="43173" operator="containsText" text="Yes">
      <formula>NOT(ISERROR(SEARCH(("Yes"),(P244))))</formula>
    </cfRule>
  </conditionalFormatting>
  <conditionalFormatting sqref="P244:Q246 P249:Q250 P252:Q252">
    <cfRule type="containsText" dxfId="2" priority="43174" operator="containsText" text="Yes">
      <formula>NOT(ISERROR(SEARCH(("Yes"),(P244))))</formula>
    </cfRule>
  </conditionalFormatting>
  <conditionalFormatting sqref="P244:Q246 P249:Q250 P252:Q252">
    <cfRule type="containsText" dxfId="2" priority="43175" operator="containsText" text="Yes">
      <formula>NOT(ISERROR(SEARCH(("Yes"),(P244))))</formula>
    </cfRule>
  </conditionalFormatting>
  <conditionalFormatting sqref="P244:Q246 P249:Q250 P252:Q252">
    <cfRule type="containsText" dxfId="2" priority="43176" operator="containsText" text="Yes">
      <formula>NOT(ISERROR(SEARCH(("Yes"),(P244))))</formula>
    </cfRule>
  </conditionalFormatting>
  <conditionalFormatting sqref="P244:Q246 P249:Q250 P252:Q252">
    <cfRule type="containsText" dxfId="2" priority="43177" operator="containsText" text="Yes">
      <formula>NOT(ISERROR(SEARCH(("Yes"),(P244))))</formula>
    </cfRule>
  </conditionalFormatting>
  <conditionalFormatting sqref="P244:Q246 P249:Q250 P252:Q252">
    <cfRule type="containsText" dxfId="2" priority="43178" operator="containsText" text="Yes">
      <formula>NOT(ISERROR(SEARCH(("Yes"),(P244))))</formula>
    </cfRule>
  </conditionalFormatting>
  <conditionalFormatting sqref="P244:Q246 P249:Q250 P252:Q252">
    <cfRule type="containsText" dxfId="2" priority="43179" operator="containsText" text="Yes">
      <formula>NOT(ISERROR(SEARCH(("Yes"),(P244))))</formula>
    </cfRule>
  </conditionalFormatting>
  <conditionalFormatting sqref="P244:Q246 P249:Q250 P252:Q252">
    <cfRule type="containsText" dxfId="2" priority="43180" operator="containsText" text="Yes">
      <formula>NOT(ISERROR(SEARCH(("Yes"),(P244))))</formula>
    </cfRule>
  </conditionalFormatting>
  <conditionalFormatting sqref="P244:Q246 P249:Q250 P252:Q252">
    <cfRule type="containsText" dxfId="2" priority="43181" operator="containsText" text="Yes">
      <formula>NOT(ISERROR(SEARCH(("Yes"),(P244))))</formula>
    </cfRule>
  </conditionalFormatting>
  <conditionalFormatting sqref="P244:Q246 P249:Q250 P252:Q252">
    <cfRule type="containsText" dxfId="2" priority="43182" operator="containsText" text="Yes">
      <formula>NOT(ISERROR(SEARCH(("Yes"),(P244))))</formula>
    </cfRule>
  </conditionalFormatting>
  <conditionalFormatting sqref="P244:Q246 P249:Q250 P252:Q252">
    <cfRule type="containsText" dxfId="2" priority="43183" operator="containsText" text="Yes">
      <formula>NOT(ISERROR(SEARCH(("Yes"),(P244))))</formula>
    </cfRule>
  </conditionalFormatting>
  <conditionalFormatting sqref="P244:Q246 P249:Q250 P252:Q252">
    <cfRule type="containsText" dxfId="2" priority="43184" operator="containsText" text="Yes">
      <formula>NOT(ISERROR(SEARCH(("Yes"),(P244))))</formula>
    </cfRule>
  </conditionalFormatting>
  <conditionalFormatting sqref="P244:Q246 P249:Q250 P252:Q252">
    <cfRule type="containsText" dxfId="2" priority="43185" operator="containsText" text="Yes">
      <formula>NOT(ISERROR(SEARCH(("Yes"),(P244))))</formula>
    </cfRule>
  </conditionalFormatting>
  <conditionalFormatting sqref="P244:Q246 P249:Q250 P252:Q252">
    <cfRule type="containsText" dxfId="2" priority="43186" operator="containsText" text="Yes">
      <formula>NOT(ISERROR(SEARCH(("Yes"),(P244))))</formula>
    </cfRule>
  </conditionalFormatting>
  <conditionalFormatting sqref="P244:Q246 P249:Q250 P252:Q252">
    <cfRule type="containsText" dxfId="2" priority="43187" operator="containsText" text="Yes">
      <formula>NOT(ISERROR(SEARCH(("Yes"),(P244))))</formula>
    </cfRule>
  </conditionalFormatting>
  <conditionalFormatting sqref="P244:Q246 P249:Q250 P252:Q252">
    <cfRule type="containsText" dxfId="2" priority="43188" operator="containsText" text="Yes">
      <formula>NOT(ISERROR(SEARCH(("Yes"),(P244))))</formula>
    </cfRule>
  </conditionalFormatting>
  <conditionalFormatting sqref="P244:Q246 P249:Q250 P252:Q252">
    <cfRule type="containsText" dxfId="2" priority="43189" operator="containsText" text="Yes">
      <formula>NOT(ISERROR(SEARCH(("Yes"),(P244))))</formula>
    </cfRule>
  </conditionalFormatting>
  <conditionalFormatting sqref="P244:Q246 P249:Q250 P252:Q252">
    <cfRule type="containsText" dxfId="2" priority="43190" operator="containsText" text="Yes">
      <formula>NOT(ISERROR(SEARCH(("Yes"),(P244))))</formula>
    </cfRule>
  </conditionalFormatting>
  <conditionalFormatting sqref="P244:Q246 P249:Q250 P252:Q252">
    <cfRule type="containsText" dxfId="2" priority="43191" operator="containsText" text="Yes">
      <formula>NOT(ISERROR(SEARCH(("Yes"),(P244))))</formula>
    </cfRule>
  </conditionalFormatting>
  <conditionalFormatting sqref="P244:Q246 P249:Q250 P252:Q252">
    <cfRule type="containsText" dxfId="2" priority="43192" operator="containsText" text="Yes">
      <formula>NOT(ISERROR(SEARCH(("Yes"),(P244))))</formula>
    </cfRule>
  </conditionalFormatting>
  <conditionalFormatting sqref="P244:Q246 P249:Q250 P252:Q252">
    <cfRule type="containsText" dxfId="2" priority="43193" operator="containsText" text="Yes">
      <formula>NOT(ISERROR(SEARCH(("Yes"),(P244))))</formula>
    </cfRule>
  </conditionalFormatting>
  <conditionalFormatting sqref="P244:Q246 P249:Q250 P252:Q252">
    <cfRule type="containsText" dxfId="2" priority="43194" operator="containsText" text="Yes">
      <formula>NOT(ISERROR(SEARCH(("Yes"),(P244))))</formula>
    </cfRule>
  </conditionalFormatting>
  <conditionalFormatting sqref="P244:Q246 P249:Q250 P252:Q252">
    <cfRule type="containsText" dxfId="2" priority="43195" operator="containsText" text="Yes">
      <formula>NOT(ISERROR(SEARCH(("Yes"),(P244))))</formula>
    </cfRule>
  </conditionalFormatting>
  <conditionalFormatting sqref="P244:Q246 P249:Q250 P252:Q252">
    <cfRule type="containsText" dxfId="2" priority="43196" operator="containsText" text="Yes">
      <formula>NOT(ISERROR(SEARCH(("Yes"),(P244))))</formula>
    </cfRule>
  </conditionalFormatting>
  <conditionalFormatting sqref="P244:Q246 P249:Q250 P252:Q252">
    <cfRule type="containsText" dxfId="2" priority="43197" operator="containsText" text="Yes">
      <formula>NOT(ISERROR(SEARCH(("Yes"),(P244))))</formula>
    </cfRule>
  </conditionalFormatting>
  <conditionalFormatting sqref="P244:Q246 P249:Q250 P252:Q252">
    <cfRule type="containsText" dxfId="2" priority="43198" operator="containsText" text="Yes">
      <formula>NOT(ISERROR(SEARCH(("Yes"),(P244))))</formula>
    </cfRule>
  </conditionalFormatting>
  <conditionalFormatting sqref="P244:Q246 P249:Q250 P252:Q252">
    <cfRule type="containsText" dxfId="2" priority="43199" operator="containsText" text="Yes">
      <formula>NOT(ISERROR(SEARCH(("Yes"),(P244))))</formula>
    </cfRule>
  </conditionalFormatting>
  <conditionalFormatting sqref="P244:Q246 P249:Q250 P252:Q252">
    <cfRule type="containsText" dxfId="2" priority="43200" operator="containsText" text="Yes">
      <formula>NOT(ISERROR(SEARCH(("Yes"),(P244))))</formula>
    </cfRule>
  </conditionalFormatting>
  <conditionalFormatting sqref="P244:Q246 P249:Q250 P252:Q252">
    <cfRule type="containsText" dxfId="2" priority="43201" operator="containsText" text="Yes">
      <formula>NOT(ISERROR(SEARCH(("Yes"),(P244))))</formula>
    </cfRule>
  </conditionalFormatting>
  <conditionalFormatting sqref="P244:Q246 P249:Q250 P252:Q252">
    <cfRule type="containsText" dxfId="2" priority="43202" operator="containsText" text="Yes">
      <formula>NOT(ISERROR(SEARCH(("Yes"),(P244))))</formula>
    </cfRule>
  </conditionalFormatting>
  <conditionalFormatting sqref="P244:Q246 P249:Q250 P252:Q252">
    <cfRule type="containsText" dxfId="2" priority="43203" operator="containsText" text="Yes">
      <formula>NOT(ISERROR(SEARCH(("Yes"),(P244))))</formula>
    </cfRule>
  </conditionalFormatting>
  <conditionalFormatting sqref="P244:Q246 P249:Q250 P252:Q252">
    <cfRule type="containsText" dxfId="2" priority="43204" operator="containsText" text="Yes">
      <formula>NOT(ISERROR(SEARCH(("Yes"),(P244))))</formula>
    </cfRule>
  </conditionalFormatting>
  <conditionalFormatting sqref="P244:Q246 P249:Q250 P252:Q252">
    <cfRule type="containsText" dxfId="2" priority="43205" operator="containsText" text="Yes">
      <formula>NOT(ISERROR(SEARCH(("Yes"),(P244))))</formula>
    </cfRule>
  </conditionalFormatting>
  <conditionalFormatting sqref="P244:Q246 P249:Q250 P252:Q252">
    <cfRule type="containsText" dxfId="2" priority="43206" operator="containsText" text="Yes">
      <formula>NOT(ISERROR(SEARCH(("Yes"),(P244))))</formula>
    </cfRule>
  </conditionalFormatting>
  <conditionalFormatting sqref="P244:Q246 P249:Q250 P252:Q252">
    <cfRule type="containsText" dxfId="2" priority="43207" operator="containsText" text="Yes">
      <formula>NOT(ISERROR(SEARCH(("Yes"),(P244))))</formula>
    </cfRule>
  </conditionalFormatting>
  <conditionalFormatting sqref="P244:Q246 P249:Q250 P252:Q252">
    <cfRule type="containsText" dxfId="2" priority="43208" operator="containsText" text="Yes">
      <formula>NOT(ISERROR(SEARCH(("Yes"),(P244))))</formula>
    </cfRule>
  </conditionalFormatting>
  <conditionalFormatting sqref="P244:Q246 P249:Q250 P252:Q252">
    <cfRule type="containsText" dxfId="2" priority="43209" operator="containsText" text="Yes">
      <formula>NOT(ISERROR(SEARCH(("Yes"),(P244))))</formula>
    </cfRule>
  </conditionalFormatting>
  <conditionalFormatting sqref="P244:Q246 P249:Q250 P252:Q252">
    <cfRule type="containsText" dxfId="2" priority="43210" operator="containsText" text="Yes">
      <formula>NOT(ISERROR(SEARCH(("Yes"),(P244))))</formula>
    </cfRule>
  </conditionalFormatting>
  <conditionalFormatting sqref="P244:Q246 P249:Q250 P252:Q252">
    <cfRule type="containsText" dxfId="2" priority="43211" operator="containsText" text="Yes">
      <formula>NOT(ISERROR(SEARCH(("Yes"),(P244))))</formula>
    </cfRule>
  </conditionalFormatting>
  <conditionalFormatting sqref="P244:Q246 P249:Q250 P252:Q252">
    <cfRule type="containsText" dxfId="2" priority="43212" operator="containsText" text="Yes">
      <formula>NOT(ISERROR(SEARCH(("Yes"),(P244))))</formula>
    </cfRule>
  </conditionalFormatting>
  <conditionalFormatting sqref="P244:Q246 P249:Q250 P252:Q252">
    <cfRule type="containsText" dxfId="2" priority="43213" operator="containsText" text="Yes">
      <formula>NOT(ISERROR(SEARCH(("Yes"),(P244))))</formula>
    </cfRule>
  </conditionalFormatting>
  <conditionalFormatting sqref="P244:Q246 P249:Q250 P252:Q252">
    <cfRule type="containsText" dxfId="2" priority="43214" operator="containsText" text="Yes">
      <formula>NOT(ISERROR(SEARCH(("Yes"),(P244))))</formula>
    </cfRule>
  </conditionalFormatting>
  <conditionalFormatting sqref="P244:Q246 P249:Q250 P252:Q252">
    <cfRule type="containsText" dxfId="2" priority="43215" operator="containsText" text="Yes">
      <formula>NOT(ISERROR(SEARCH(("Yes"),(P244))))</formula>
    </cfRule>
  </conditionalFormatting>
  <conditionalFormatting sqref="P244:Q246 P249:Q250 P252:Q252">
    <cfRule type="containsText" dxfId="2" priority="43216" operator="containsText" text="Yes">
      <formula>NOT(ISERROR(SEARCH(("Yes"),(P244))))</formula>
    </cfRule>
  </conditionalFormatting>
  <conditionalFormatting sqref="P244:Q246 P249:Q250 P252:Q252">
    <cfRule type="containsText" dxfId="2" priority="43217" operator="containsText" text="Yes">
      <formula>NOT(ISERROR(SEARCH(("Yes"),(P244))))</formula>
    </cfRule>
  </conditionalFormatting>
  <conditionalFormatting sqref="P244:Q246 P249:Q250 P252:Q252">
    <cfRule type="containsText" dxfId="2" priority="43218" operator="containsText" text="Yes">
      <formula>NOT(ISERROR(SEARCH(("Yes"),(P244))))</formula>
    </cfRule>
  </conditionalFormatting>
  <conditionalFormatting sqref="P244:Q246 P249:Q250 P252:Q252">
    <cfRule type="containsText" dxfId="2" priority="43219" operator="containsText" text="Yes">
      <formula>NOT(ISERROR(SEARCH(("Yes"),(P244))))</formula>
    </cfRule>
  </conditionalFormatting>
  <conditionalFormatting sqref="P245 Q244:Q246 Q249:Q250 Q252">
    <cfRule type="containsText" dxfId="9" priority="43220" operator="containsText" text="No">
      <formula>NOT(ISERROR(SEARCH(("No"),(P245))))</formula>
    </cfRule>
  </conditionalFormatting>
  <conditionalFormatting sqref="P245 Q244:Q246 Q249:Q250 Q252">
    <cfRule type="containsText" dxfId="9" priority="43221" operator="containsText" text="No">
      <formula>NOT(ISERROR(SEARCH(("No"),(P245))))</formula>
    </cfRule>
  </conditionalFormatting>
  <conditionalFormatting sqref="P245 Q244:Q246 Q249:Q250 Q252">
    <cfRule type="containsText" dxfId="9" priority="43222" operator="containsText" text="No">
      <formula>NOT(ISERROR(SEARCH(("No"),(P245))))</formula>
    </cfRule>
  </conditionalFormatting>
  <conditionalFormatting sqref="P245 Q244:Q246 Q249:Q250 Q252">
    <cfRule type="containsText" dxfId="9" priority="43223" operator="containsText" text="No">
      <formula>NOT(ISERROR(SEARCH(("No"),(P245))))</formula>
    </cfRule>
  </conditionalFormatting>
  <conditionalFormatting sqref="P245 Q244:Q246 Q249:Q250 Q252">
    <cfRule type="containsText" dxfId="9" priority="43224" operator="containsText" text="No">
      <formula>NOT(ISERROR(SEARCH(("No"),(P245))))</formula>
    </cfRule>
  </conditionalFormatting>
  <conditionalFormatting sqref="P245 Q244:Q246 Q249:Q250 Q252">
    <cfRule type="containsText" dxfId="9" priority="43225" operator="containsText" text="No">
      <formula>NOT(ISERROR(SEARCH(("No"),(P245))))</formula>
    </cfRule>
  </conditionalFormatting>
  <conditionalFormatting sqref="P245 Q244:Q246 Q249:Q250 Q252">
    <cfRule type="containsText" dxfId="9" priority="43226" operator="containsText" text="No">
      <formula>NOT(ISERROR(SEARCH(("No"),(P245))))</formula>
    </cfRule>
  </conditionalFormatting>
  <conditionalFormatting sqref="P245 Q244:Q246 Q249:Q250 Q252">
    <cfRule type="containsText" dxfId="9" priority="43227" operator="containsText" text="No">
      <formula>NOT(ISERROR(SEARCH(("No"),(P245))))</formula>
    </cfRule>
  </conditionalFormatting>
  <conditionalFormatting sqref="P245 Q244:Q246 Q249:Q250 Q252">
    <cfRule type="containsText" dxfId="9" priority="43228" operator="containsText" text="No">
      <formula>NOT(ISERROR(SEARCH(("No"),(P245))))</formula>
    </cfRule>
  </conditionalFormatting>
  <conditionalFormatting sqref="P245 Q244:Q246 Q249:Q250 Q252">
    <cfRule type="containsText" dxfId="9" priority="43229" operator="containsText" text="No">
      <formula>NOT(ISERROR(SEARCH(("No"),(P245))))</formula>
    </cfRule>
  </conditionalFormatting>
  <conditionalFormatting sqref="P245 Q244:Q246 Q249:Q250 Q252">
    <cfRule type="containsText" dxfId="9" priority="43230" operator="containsText" text="No">
      <formula>NOT(ISERROR(SEARCH(("No"),(P245))))</formula>
    </cfRule>
  </conditionalFormatting>
  <conditionalFormatting sqref="P245 Q244:Q246 Q249:Q250 Q252">
    <cfRule type="containsText" dxfId="9" priority="43231" operator="containsText" text="No">
      <formula>NOT(ISERROR(SEARCH(("No"),(P245))))</formula>
    </cfRule>
  </conditionalFormatting>
  <conditionalFormatting sqref="P245 Q244:Q246 Q249:Q250 Q252">
    <cfRule type="containsText" dxfId="9" priority="43232" operator="containsText" text="No">
      <formula>NOT(ISERROR(SEARCH(("No"),(P245))))</formula>
    </cfRule>
  </conditionalFormatting>
  <conditionalFormatting sqref="P245 Q244:Q246 Q249:Q250 Q252">
    <cfRule type="containsText" dxfId="9" priority="43233" operator="containsText" text="No">
      <formula>NOT(ISERROR(SEARCH(("No"),(P245))))</formula>
    </cfRule>
  </conditionalFormatting>
  <conditionalFormatting sqref="P245 Q244:Q246 Q249:Q250 Q252">
    <cfRule type="containsText" dxfId="9" priority="43234" operator="containsText" text="No">
      <formula>NOT(ISERROR(SEARCH(("No"),(P245))))</formula>
    </cfRule>
  </conditionalFormatting>
  <conditionalFormatting sqref="P245 Q244:Q246 Q249:Q250 Q252">
    <cfRule type="containsText" dxfId="9" priority="43235" operator="containsText" text="No">
      <formula>NOT(ISERROR(SEARCH(("No"),(P245))))</formula>
    </cfRule>
  </conditionalFormatting>
  <conditionalFormatting sqref="P245 Q244:Q246 Q249:Q250 Q252">
    <cfRule type="containsText" dxfId="9" priority="43236" operator="containsText" text="No">
      <formula>NOT(ISERROR(SEARCH(("No"),(P245))))</formula>
    </cfRule>
  </conditionalFormatting>
  <conditionalFormatting sqref="P245 Q244:Q246 Q249:Q250 Q252">
    <cfRule type="containsText" dxfId="9" priority="43237" operator="containsText" text="No">
      <formula>NOT(ISERROR(SEARCH(("No"),(P245))))</formula>
    </cfRule>
  </conditionalFormatting>
  <conditionalFormatting sqref="P245 Q244:Q246 Q249:Q250 Q252">
    <cfRule type="containsText" dxfId="9" priority="43238" operator="containsText" text="No">
      <formula>NOT(ISERROR(SEARCH(("No"),(P245))))</formula>
    </cfRule>
  </conditionalFormatting>
  <conditionalFormatting sqref="P245 Q244:Q246 Q249:Q250 Q252">
    <cfRule type="containsText" dxfId="9" priority="43239" operator="containsText" text="No">
      <formula>NOT(ISERROR(SEARCH(("No"),(P245))))</formula>
    </cfRule>
  </conditionalFormatting>
  <conditionalFormatting sqref="P245 Q244:Q246 Q249:Q250 Q252">
    <cfRule type="containsText" dxfId="9" priority="43240" operator="containsText" text="No">
      <formula>NOT(ISERROR(SEARCH(("No"),(P245))))</formula>
    </cfRule>
  </conditionalFormatting>
  <conditionalFormatting sqref="P245 Q244:Q246 Q249:Q250 Q252">
    <cfRule type="containsText" dxfId="9" priority="43241" operator="containsText" text="No">
      <formula>NOT(ISERROR(SEARCH(("No"),(P245))))</formula>
    </cfRule>
  </conditionalFormatting>
  <conditionalFormatting sqref="P245 Q244:Q246 Q249:Q250 Q252">
    <cfRule type="containsText" dxfId="9" priority="43242" operator="containsText" text="No">
      <formula>NOT(ISERROR(SEARCH(("No"),(P245))))</formula>
    </cfRule>
  </conditionalFormatting>
  <conditionalFormatting sqref="P245 Q244:Q246 Q249:Q250 Q252">
    <cfRule type="containsText" dxfId="9" priority="43243" operator="containsText" text="No">
      <formula>NOT(ISERROR(SEARCH(("No"),(P245))))</formula>
    </cfRule>
  </conditionalFormatting>
  <conditionalFormatting sqref="P245 Q244:Q246 Q249:Q250 Q252">
    <cfRule type="containsText" dxfId="9" priority="43244" operator="containsText" text="No">
      <formula>NOT(ISERROR(SEARCH(("No"),(P245))))</formula>
    </cfRule>
  </conditionalFormatting>
  <conditionalFormatting sqref="P245 Q244:Q246 Q249:Q250 Q252">
    <cfRule type="containsText" dxfId="9" priority="43245" operator="containsText" text="No">
      <formula>NOT(ISERROR(SEARCH(("No"),(P245))))</formula>
    </cfRule>
  </conditionalFormatting>
  <conditionalFormatting sqref="P245 Q244:Q246 Q249:Q250 Q252">
    <cfRule type="containsText" dxfId="9" priority="43246" operator="containsText" text="No">
      <formula>NOT(ISERROR(SEARCH(("No"),(P245))))</formula>
    </cfRule>
  </conditionalFormatting>
  <conditionalFormatting sqref="P245 Q244:Q246 Q249:Q250 Q252">
    <cfRule type="containsText" dxfId="9" priority="43247" operator="containsText" text="No">
      <formula>NOT(ISERROR(SEARCH(("No"),(P245))))</formula>
    </cfRule>
  </conditionalFormatting>
  <conditionalFormatting sqref="P245 Q244:Q246 Q249:Q250 Q252">
    <cfRule type="containsText" dxfId="9" priority="43248" operator="containsText" text="No">
      <formula>NOT(ISERROR(SEARCH(("No"),(P245))))</formula>
    </cfRule>
  </conditionalFormatting>
  <conditionalFormatting sqref="P245 Q244:Q246 Q249:Q250 Q252">
    <cfRule type="containsText" dxfId="9" priority="43249" operator="containsText" text="No">
      <formula>NOT(ISERROR(SEARCH(("No"),(P245))))</formula>
    </cfRule>
  </conditionalFormatting>
  <conditionalFormatting sqref="P245 Q244:Q246 Q249:Q250 Q252">
    <cfRule type="containsText" dxfId="9" priority="43250" operator="containsText" text="No">
      <formula>NOT(ISERROR(SEARCH(("No"),(P245))))</formula>
    </cfRule>
  </conditionalFormatting>
  <conditionalFormatting sqref="P245 Q244:Q246 Q249:Q250 Q252">
    <cfRule type="containsText" dxfId="9" priority="43251" operator="containsText" text="No">
      <formula>NOT(ISERROR(SEARCH(("No"),(P245))))</formula>
    </cfRule>
  </conditionalFormatting>
  <conditionalFormatting sqref="P245 Q244:Q246 Q249:Q250 Q252">
    <cfRule type="containsText" dxfId="9" priority="43252" operator="containsText" text="No">
      <formula>NOT(ISERROR(SEARCH(("No"),(P245))))</formula>
    </cfRule>
  </conditionalFormatting>
  <conditionalFormatting sqref="P245 Q244:Q246 Q249:Q250 Q252">
    <cfRule type="containsText" dxfId="9" priority="43253" operator="containsText" text="No">
      <formula>NOT(ISERROR(SEARCH(("No"),(P245))))</formula>
    </cfRule>
  </conditionalFormatting>
  <conditionalFormatting sqref="P245 Q244:Q246 Q249:Q250 Q252">
    <cfRule type="containsText" dxfId="9" priority="43254" operator="containsText" text="No">
      <formula>NOT(ISERROR(SEARCH(("No"),(P245))))</formula>
    </cfRule>
  </conditionalFormatting>
  <conditionalFormatting sqref="P245 Q244:Q246 Q249:Q250 Q252">
    <cfRule type="containsText" dxfId="9" priority="43255" operator="containsText" text="No">
      <formula>NOT(ISERROR(SEARCH(("No"),(P245))))</formula>
    </cfRule>
  </conditionalFormatting>
  <conditionalFormatting sqref="P245 Q244:Q246 Q249:Q250 Q252">
    <cfRule type="containsText" dxfId="9" priority="43256" operator="containsText" text="No">
      <formula>NOT(ISERROR(SEARCH(("No"),(P245))))</formula>
    </cfRule>
  </conditionalFormatting>
  <conditionalFormatting sqref="P245 Q244:Q246 Q249:Q250 Q252">
    <cfRule type="containsText" dxfId="9" priority="43257" operator="containsText" text="No">
      <formula>NOT(ISERROR(SEARCH(("No"),(P245))))</formula>
    </cfRule>
  </conditionalFormatting>
  <conditionalFormatting sqref="P245 Q244:Q246 Q249:Q250 Q252">
    <cfRule type="containsText" dxfId="9" priority="43258" operator="containsText" text="No">
      <formula>NOT(ISERROR(SEARCH(("No"),(P245))))</formula>
    </cfRule>
  </conditionalFormatting>
  <conditionalFormatting sqref="P245 Q244:Q246 Q249:Q250 Q252">
    <cfRule type="containsText" dxfId="9" priority="43259" operator="containsText" text="No">
      <formula>NOT(ISERROR(SEARCH(("No"),(P245))))</formula>
    </cfRule>
  </conditionalFormatting>
  <conditionalFormatting sqref="P245 Q244:Q246 Q249:Q250 Q252">
    <cfRule type="containsText" dxfId="9" priority="43260" operator="containsText" text="No">
      <formula>NOT(ISERROR(SEARCH(("No"),(P245))))</formula>
    </cfRule>
  </conditionalFormatting>
  <conditionalFormatting sqref="P245 Q244:Q246 Q249:Q250 Q252">
    <cfRule type="containsText" dxfId="9" priority="43261" operator="containsText" text="No">
      <formula>NOT(ISERROR(SEARCH(("No"),(P245))))</formula>
    </cfRule>
  </conditionalFormatting>
  <conditionalFormatting sqref="P245 Q244:Q246 Q249:Q250 Q252">
    <cfRule type="containsText" dxfId="9" priority="43262" operator="containsText" text="No">
      <formula>NOT(ISERROR(SEARCH(("No"),(P245))))</formula>
    </cfRule>
  </conditionalFormatting>
  <conditionalFormatting sqref="P245 Q244:Q246 Q249:Q250 Q252">
    <cfRule type="containsText" dxfId="9" priority="43263" operator="containsText" text="No">
      <formula>NOT(ISERROR(SEARCH(("No"),(P245))))</formula>
    </cfRule>
  </conditionalFormatting>
  <conditionalFormatting sqref="P245 Q244:Q246 Q249:Q250 Q252">
    <cfRule type="containsText" dxfId="9" priority="43264" operator="containsText" text="No">
      <formula>NOT(ISERROR(SEARCH(("No"),(P245))))</formula>
    </cfRule>
  </conditionalFormatting>
  <conditionalFormatting sqref="P245 Q244:Q246 Q249:Q250 Q252">
    <cfRule type="containsText" dxfId="2" priority="43265" operator="containsText" text="Yes">
      <formula>NOT(ISERROR(SEARCH(("Yes"),(P245))))</formula>
    </cfRule>
  </conditionalFormatting>
  <conditionalFormatting sqref="P245 Q244:Q246 Q249:Q250 Q252">
    <cfRule type="containsText" dxfId="2" priority="43266" operator="containsText" text="Yes">
      <formula>NOT(ISERROR(SEARCH(("Yes"),(P245))))</formula>
    </cfRule>
  </conditionalFormatting>
  <conditionalFormatting sqref="P245 Q244:Q246 Q249:Q250 Q252">
    <cfRule type="containsText" dxfId="2" priority="43267" operator="containsText" text="Yes">
      <formula>NOT(ISERROR(SEARCH(("Yes"),(P245))))</formula>
    </cfRule>
  </conditionalFormatting>
  <conditionalFormatting sqref="P245 Q244:Q246 Q249:Q250 Q252">
    <cfRule type="containsText" dxfId="2" priority="43268" operator="containsText" text="Yes">
      <formula>NOT(ISERROR(SEARCH(("Yes"),(P245))))</formula>
    </cfRule>
  </conditionalFormatting>
  <conditionalFormatting sqref="P245 Q244:Q246 Q249:Q250 Q252">
    <cfRule type="containsText" dxfId="2" priority="43269" operator="containsText" text="Yes">
      <formula>NOT(ISERROR(SEARCH(("Yes"),(P245))))</formula>
    </cfRule>
  </conditionalFormatting>
  <conditionalFormatting sqref="P245 Q244:Q246 Q249:Q250 Q252">
    <cfRule type="containsText" dxfId="2" priority="43270" operator="containsText" text="Yes">
      <formula>NOT(ISERROR(SEARCH(("Yes"),(P245))))</formula>
    </cfRule>
  </conditionalFormatting>
  <conditionalFormatting sqref="P245 Q244:Q246 Q249:Q250 Q252">
    <cfRule type="containsText" dxfId="2" priority="43271" operator="containsText" text="Yes">
      <formula>NOT(ISERROR(SEARCH(("Yes"),(P245))))</formula>
    </cfRule>
  </conditionalFormatting>
  <conditionalFormatting sqref="P245 Q244:Q246 Q249:Q250 Q252">
    <cfRule type="containsText" dxfId="2" priority="43272" operator="containsText" text="Yes">
      <formula>NOT(ISERROR(SEARCH(("Yes"),(P245))))</formula>
    </cfRule>
  </conditionalFormatting>
  <conditionalFormatting sqref="P245 Q244:Q246 Q249:Q250 Q252">
    <cfRule type="containsText" dxfId="2" priority="43273" operator="containsText" text="Yes">
      <formula>NOT(ISERROR(SEARCH(("Yes"),(P245))))</formula>
    </cfRule>
  </conditionalFormatting>
  <conditionalFormatting sqref="P245 Q244:Q246 Q249:Q250 Q252">
    <cfRule type="containsText" dxfId="2" priority="43274" operator="containsText" text="Yes">
      <formula>NOT(ISERROR(SEARCH(("Yes"),(P245))))</formula>
    </cfRule>
  </conditionalFormatting>
  <conditionalFormatting sqref="P245 Q244:Q246 Q249:Q250 Q252">
    <cfRule type="containsText" dxfId="2" priority="43275" operator="containsText" text="Yes">
      <formula>NOT(ISERROR(SEARCH(("Yes"),(P245))))</formula>
    </cfRule>
  </conditionalFormatting>
  <conditionalFormatting sqref="P245 Q244:Q246 Q249:Q250 Q252">
    <cfRule type="containsText" dxfId="2" priority="43276" operator="containsText" text="Yes">
      <formula>NOT(ISERROR(SEARCH(("Yes"),(P245))))</formula>
    </cfRule>
  </conditionalFormatting>
  <conditionalFormatting sqref="P245 Q244:Q246 Q249:Q250 Q252">
    <cfRule type="containsText" dxfId="2" priority="43277" operator="containsText" text="Yes">
      <formula>NOT(ISERROR(SEARCH(("Yes"),(P245))))</formula>
    </cfRule>
  </conditionalFormatting>
  <conditionalFormatting sqref="P245 Q244:Q246 Q249:Q250 Q252">
    <cfRule type="containsText" dxfId="2" priority="43278" operator="containsText" text="Yes">
      <formula>NOT(ISERROR(SEARCH(("Yes"),(P245))))</formula>
    </cfRule>
  </conditionalFormatting>
  <conditionalFormatting sqref="P245 Q244:Q246 Q249:Q250 Q252">
    <cfRule type="containsText" dxfId="2" priority="43279" operator="containsText" text="Yes">
      <formula>NOT(ISERROR(SEARCH(("Yes"),(P245))))</formula>
    </cfRule>
  </conditionalFormatting>
  <conditionalFormatting sqref="P245 Q244:Q246 Q249:Q250 Q252">
    <cfRule type="containsText" dxfId="2" priority="43280" operator="containsText" text="Yes">
      <formula>NOT(ISERROR(SEARCH(("Yes"),(P245))))</formula>
    </cfRule>
  </conditionalFormatting>
  <conditionalFormatting sqref="P245 Q244:Q246 Q249:Q250 Q252">
    <cfRule type="containsText" dxfId="2" priority="43281" operator="containsText" text="Yes">
      <formula>NOT(ISERROR(SEARCH(("Yes"),(P245))))</formula>
    </cfRule>
  </conditionalFormatting>
  <conditionalFormatting sqref="P245 Q244:Q246 Q249:Q250 Q252">
    <cfRule type="containsText" dxfId="2" priority="43282" operator="containsText" text="Yes">
      <formula>NOT(ISERROR(SEARCH(("Yes"),(P245))))</formula>
    </cfRule>
  </conditionalFormatting>
  <conditionalFormatting sqref="P245 Q244:Q246 Q249:Q250 Q252">
    <cfRule type="containsText" dxfId="2" priority="43283" operator="containsText" text="Yes">
      <formula>NOT(ISERROR(SEARCH(("Yes"),(P245))))</formula>
    </cfRule>
  </conditionalFormatting>
  <conditionalFormatting sqref="P245 Q244:Q246 Q249:Q250 Q252">
    <cfRule type="containsText" dxfId="2" priority="43284" operator="containsText" text="Yes">
      <formula>NOT(ISERROR(SEARCH(("Yes"),(P245))))</formula>
    </cfRule>
  </conditionalFormatting>
  <conditionalFormatting sqref="P245 Q244:Q246 Q249:Q250 Q252">
    <cfRule type="containsText" dxfId="2" priority="43285" operator="containsText" text="Yes">
      <formula>NOT(ISERROR(SEARCH(("Yes"),(P245))))</formula>
    </cfRule>
  </conditionalFormatting>
  <conditionalFormatting sqref="P245 Q244:Q246 Q249:Q250 Q252">
    <cfRule type="containsText" dxfId="2" priority="43286" operator="containsText" text="Yes">
      <formula>NOT(ISERROR(SEARCH(("Yes"),(P245))))</formula>
    </cfRule>
  </conditionalFormatting>
  <conditionalFormatting sqref="P245 Q244:Q246 Q249:Q250 Q252">
    <cfRule type="containsText" dxfId="2" priority="43287" operator="containsText" text="Yes">
      <formula>NOT(ISERROR(SEARCH(("Yes"),(P245))))</formula>
    </cfRule>
  </conditionalFormatting>
  <conditionalFormatting sqref="P245 Q244:Q246 Q249:Q250 Q252">
    <cfRule type="containsText" dxfId="2" priority="43288" operator="containsText" text="Yes">
      <formula>NOT(ISERROR(SEARCH(("Yes"),(P245))))</formula>
    </cfRule>
  </conditionalFormatting>
  <conditionalFormatting sqref="P245 Q244:Q246 Q249:Q250 Q252">
    <cfRule type="containsText" dxfId="2" priority="43289" operator="containsText" text="Yes">
      <formula>NOT(ISERROR(SEARCH(("Yes"),(P245))))</formula>
    </cfRule>
  </conditionalFormatting>
  <conditionalFormatting sqref="P245 Q244:Q246 Q249:Q250 Q252">
    <cfRule type="containsText" dxfId="2" priority="43290" operator="containsText" text="Yes">
      <formula>NOT(ISERROR(SEARCH(("Yes"),(P245))))</formula>
    </cfRule>
  </conditionalFormatting>
  <conditionalFormatting sqref="P245 Q244:Q246 Q249:Q250 Q252">
    <cfRule type="containsText" dxfId="2" priority="43291" operator="containsText" text="Yes">
      <formula>NOT(ISERROR(SEARCH(("Yes"),(P245))))</formula>
    </cfRule>
  </conditionalFormatting>
  <conditionalFormatting sqref="P245 Q244:Q246 Q249:Q250 Q252">
    <cfRule type="containsText" dxfId="2" priority="43292" operator="containsText" text="Yes">
      <formula>NOT(ISERROR(SEARCH(("Yes"),(P245))))</formula>
    </cfRule>
  </conditionalFormatting>
  <conditionalFormatting sqref="P245 Q244:Q246 Q249:Q250 Q252">
    <cfRule type="containsText" dxfId="2" priority="43293" operator="containsText" text="Yes">
      <formula>NOT(ISERROR(SEARCH(("Yes"),(P245))))</formula>
    </cfRule>
  </conditionalFormatting>
  <conditionalFormatting sqref="P245 Q244:Q246 Q249:Q250 Q252">
    <cfRule type="containsText" dxfId="2" priority="43294" operator="containsText" text="Yes">
      <formula>NOT(ISERROR(SEARCH(("Yes"),(P245))))</formula>
    </cfRule>
  </conditionalFormatting>
  <conditionalFormatting sqref="P245 Q244:Q246 Q249:Q250 Q252">
    <cfRule type="containsText" dxfId="2" priority="43295" operator="containsText" text="Yes">
      <formula>NOT(ISERROR(SEARCH(("Yes"),(P245))))</formula>
    </cfRule>
  </conditionalFormatting>
  <conditionalFormatting sqref="P245 Q244:Q246 Q249:Q250 Q252">
    <cfRule type="containsText" dxfId="2" priority="43296" operator="containsText" text="Yes">
      <formula>NOT(ISERROR(SEARCH(("Yes"),(P245))))</formula>
    </cfRule>
  </conditionalFormatting>
  <conditionalFormatting sqref="P245 Q244:Q246 Q249:Q250 Q252">
    <cfRule type="containsText" dxfId="2" priority="43297" operator="containsText" text="Yes">
      <formula>NOT(ISERROR(SEARCH(("Yes"),(P245))))</formula>
    </cfRule>
  </conditionalFormatting>
  <conditionalFormatting sqref="P245 Q244:Q246 Q249:Q250 Q252">
    <cfRule type="containsText" dxfId="2" priority="43298" operator="containsText" text="Yes">
      <formula>NOT(ISERROR(SEARCH(("Yes"),(P245))))</formula>
    </cfRule>
  </conditionalFormatting>
  <conditionalFormatting sqref="P245 Q244:Q246 Q249:Q250 Q252">
    <cfRule type="containsText" dxfId="2" priority="43299" operator="containsText" text="Yes">
      <formula>NOT(ISERROR(SEARCH(("Yes"),(P245))))</formula>
    </cfRule>
  </conditionalFormatting>
  <conditionalFormatting sqref="P245 Q244:Q246 Q249:Q250 Q252">
    <cfRule type="containsText" dxfId="2" priority="43300" operator="containsText" text="Yes">
      <formula>NOT(ISERROR(SEARCH(("Yes"),(P245))))</formula>
    </cfRule>
  </conditionalFormatting>
  <conditionalFormatting sqref="P245 Q244:Q246 Q249:Q250 Q252">
    <cfRule type="containsText" dxfId="2" priority="43301" operator="containsText" text="Yes">
      <formula>NOT(ISERROR(SEARCH(("Yes"),(P245))))</formula>
    </cfRule>
  </conditionalFormatting>
  <conditionalFormatting sqref="P245 Q244:Q246 Q249:Q250 Q252">
    <cfRule type="containsText" dxfId="2" priority="43302" operator="containsText" text="Yes">
      <formula>NOT(ISERROR(SEARCH(("Yes"),(P245))))</formula>
    </cfRule>
  </conditionalFormatting>
  <conditionalFormatting sqref="P245 Q244:Q246 Q249:Q250 Q252">
    <cfRule type="containsText" dxfId="2" priority="43303" operator="containsText" text="Yes">
      <formula>NOT(ISERROR(SEARCH(("Yes"),(P245))))</formula>
    </cfRule>
  </conditionalFormatting>
  <conditionalFormatting sqref="P245 Q244:Q246 Q249:Q250 Q252">
    <cfRule type="containsText" dxfId="2" priority="43304" operator="containsText" text="Yes">
      <formula>NOT(ISERROR(SEARCH(("Yes"),(P245))))</formula>
    </cfRule>
  </conditionalFormatting>
  <conditionalFormatting sqref="P245 Q244:Q246 Q249:Q250 Q252">
    <cfRule type="containsText" dxfId="2" priority="43305" operator="containsText" text="Yes">
      <formula>NOT(ISERROR(SEARCH(("Yes"),(P245))))</formula>
    </cfRule>
  </conditionalFormatting>
  <conditionalFormatting sqref="P245 Q244:Q246 Q249:Q250 Q252">
    <cfRule type="containsText" dxfId="2" priority="43306" operator="containsText" text="Yes">
      <formula>NOT(ISERROR(SEARCH(("Yes"),(P245))))</formula>
    </cfRule>
  </conditionalFormatting>
  <conditionalFormatting sqref="P245 Q244:Q246 Q249:Q250 Q252">
    <cfRule type="containsText" dxfId="2" priority="43307" operator="containsText" text="Yes">
      <formula>NOT(ISERROR(SEARCH(("Yes"),(P245))))</formula>
    </cfRule>
  </conditionalFormatting>
  <conditionalFormatting sqref="P245 Q244:Q246 Q249:Q250 Q252">
    <cfRule type="containsText" dxfId="2" priority="43308" operator="containsText" text="Yes">
      <formula>NOT(ISERROR(SEARCH(("Yes"),(P245))))</formula>
    </cfRule>
  </conditionalFormatting>
  <conditionalFormatting sqref="P245 Q244:Q246 Q249:Q250 Q252">
    <cfRule type="containsText" dxfId="2" priority="43309" operator="containsText" text="Yes">
      <formula>NOT(ISERROR(SEARCH(("Yes"),(P245))))</formula>
    </cfRule>
  </conditionalFormatting>
  <conditionalFormatting sqref="P245 Q244:Q246 Q249:Q250 Q252">
    <cfRule type="containsText" dxfId="2" priority="43310" operator="containsText" text="Yes">
      <formula>NOT(ISERROR(SEARCH(("Yes"),(P245))))</formula>
    </cfRule>
  </conditionalFormatting>
  <conditionalFormatting sqref="P245 Q244:Q246 Q249:Q250 Q252">
    <cfRule type="containsText" dxfId="2" priority="43311" operator="containsText" text="Yes">
      <formula>NOT(ISERROR(SEARCH(("Yes"),(P245))))</formula>
    </cfRule>
  </conditionalFormatting>
  <conditionalFormatting sqref="P246:Q246 P249:Q250 P252:Q252">
    <cfRule type="containsText" dxfId="9" priority="43312" operator="containsText" text="No">
      <formula>NOT(ISERROR(SEARCH(("No"),(P246))))</formula>
    </cfRule>
  </conditionalFormatting>
  <conditionalFormatting sqref="P246:Q246 P249:Q250 P252:Q252">
    <cfRule type="containsText" dxfId="9" priority="43313" operator="containsText" text="No">
      <formula>NOT(ISERROR(SEARCH(("No"),(P246))))</formula>
    </cfRule>
  </conditionalFormatting>
  <conditionalFormatting sqref="P246:Q246 P249:Q250 P252:Q252">
    <cfRule type="containsText" dxfId="9" priority="43314" operator="containsText" text="No">
      <formula>NOT(ISERROR(SEARCH(("No"),(P246))))</formula>
    </cfRule>
  </conditionalFormatting>
  <conditionalFormatting sqref="P246:Q246 P249:Q250 P252:Q252">
    <cfRule type="containsText" dxfId="9" priority="43315" operator="containsText" text="No">
      <formula>NOT(ISERROR(SEARCH(("No"),(P246))))</formula>
    </cfRule>
  </conditionalFormatting>
  <conditionalFormatting sqref="P246:Q246 P249:Q250 P252:Q252">
    <cfRule type="containsText" dxfId="9" priority="43316" operator="containsText" text="No">
      <formula>NOT(ISERROR(SEARCH(("No"),(P246))))</formula>
    </cfRule>
  </conditionalFormatting>
  <conditionalFormatting sqref="P246:Q246 P249:Q250 P252:Q252">
    <cfRule type="containsText" dxfId="9" priority="43317" operator="containsText" text="No">
      <formula>NOT(ISERROR(SEARCH(("No"),(P246))))</formula>
    </cfRule>
  </conditionalFormatting>
  <conditionalFormatting sqref="P246:Q246 P249:Q250 P252:Q252">
    <cfRule type="containsText" dxfId="9" priority="43318" operator="containsText" text="No">
      <formula>NOT(ISERROR(SEARCH(("No"),(P246))))</formula>
    </cfRule>
  </conditionalFormatting>
  <conditionalFormatting sqref="P246:Q246 P249:Q250 P252:Q252">
    <cfRule type="containsText" dxfId="9" priority="43319" operator="containsText" text="No">
      <formula>NOT(ISERROR(SEARCH(("No"),(P246))))</formula>
    </cfRule>
  </conditionalFormatting>
  <conditionalFormatting sqref="P246:Q246 P249:Q250 P252:Q252">
    <cfRule type="containsText" dxfId="9" priority="43320" operator="containsText" text="No">
      <formula>NOT(ISERROR(SEARCH(("No"),(P246))))</formula>
    </cfRule>
  </conditionalFormatting>
  <conditionalFormatting sqref="P246:Q246 P249:Q250 P252:Q252">
    <cfRule type="containsText" dxfId="9" priority="43321" operator="containsText" text="No">
      <formula>NOT(ISERROR(SEARCH(("No"),(P246))))</formula>
    </cfRule>
  </conditionalFormatting>
  <conditionalFormatting sqref="P246:Q246 P249:Q250 P252:Q252">
    <cfRule type="containsText" dxfId="9" priority="43322" operator="containsText" text="No">
      <formula>NOT(ISERROR(SEARCH(("No"),(P246))))</formula>
    </cfRule>
  </conditionalFormatting>
  <conditionalFormatting sqref="P246:Q246 P249:Q250 P252:Q252">
    <cfRule type="containsText" dxfId="9" priority="43323" operator="containsText" text="No">
      <formula>NOT(ISERROR(SEARCH(("No"),(P246))))</formula>
    </cfRule>
  </conditionalFormatting>
  <conditionalFormatting sqref="P246:Q246 P249:Q250 P252:Q252">
    <cfRule type="containsText" dxfId="9" priority="43324" operator="containsText" text="No">
      <formula>NOT(ISERROR(SEARCH(("No"),(P246))))</formula>
    </cfRule>
  </conditionalFormatting>
  <conditionalFormatting sqref="P246:Q246 P249:Q250 P252:Q252">
    <cfRule type="containsText" dxfId="9" priority="43325" operator="containsText" text="No">
      <formula>NOT(ISERROR(SEARCH(("No"),(P246))))</formula>
    </cfRule>
  </conditionalFormatting>
  <conditionalFormatting sqref="P246:Q246 P249:Q250 P252:Q252">
    <cfRule type="containsText" dxfId="9" priority="43326" operator="containsText" text="No">
      <formula>NOT(ISERROR(SEARCH(("No"),(P246))))</formula>
    </cfRule>
  </conditionalFormatting>
  <conditionalFormatting sqref="P246:Q246 P249:Q250 P252:Q252">
    <cfRule type="containsText" dxfId="9" priority="43327" operator="containsText" text="No">
      <formula>NOT(ISERROR(SEARCH(("No"),(P246))))</formula>
    </cfRule>
  </conditionalFormatting>
  <conditionalFormatting sqref="P246:Q246 P249:Q250 P252:Q252">
    <cfRule type="containsText" dxfId="9" priority="43328" operator="containsText" text="No">
      <formula>NOT(ISERROR(SEARCH(("No"),(P246))))</formula>
    </cfRule>
  </conditionalFormatting>
  <conditionalFormatting sqref="P246:Q246 P249:Q250 P252:Q252">
    <cfRule type="containsText" dxfId="9" priority="43329" operator="containsText" text="No">
      <formula>NOT(ISERROR(SEARCH(("No"),(P246))))</formula>
    </cfRule>
  </conditionalFormatting>
  <conditionalFormatting sqref="P246:Q246 P249:Q250 P252:Q252">
    <cfRule type="containsText" dxfId="9" priority="43330" operator="containsText" text="No">
      <formula>NOT(ISERROR(SEARCH(("No"),(P246))))</formula>
    </cfRule>
  </conditionalFormatting>
  <conditionalFormatting sqref="P246:Q246 P249:Q250 P252:Q252">
    <cfRule type="containsText" dxfId="9" priority="43331" operator="containsText" text="No">
      <formula>NOT(ISERROR(SEARCH(("No"),(P246))))</formula>
    </cfRule>
  </conditionalFormatting>
  <conditionalFormatting sqref="P246:Q246 P249:Q250 P252:Q252">
    <cfRule type="containsText" dxfId="9" priority="43332" operator="containsText" text="No">
      <formula>NOT(ISERROR(SEARCH(("No"),(P246))))</formula>
    </cfRule>
  </conditionalFormatting>
  <conditionalFormatting sqref="P246:Q246 P249:Q250 P252:Q252">
    <cfRule type="containsText" dxfId="9" priority="43333" operator="containsText" text="No">
      <formula>NOT(ISERROR(SEARCH(("No"),(P246))))</formula>
    </cfRule>
  </conditionalFormatting>
  <conditionalFormatting sqref="P246:Q246 P249:Q250 P252:Q252">
    <cfRule type="containsText" dxfId="9" priority="43334" operator="containsText" text="No">
      <formula>NOT(ISERROR(SEARCH(("No"),(P246))))</formula>
    </cfRule>
  </conditionalFormatting>
  <conditionalFormatting sqref="P246:Q246 P249:Q250 P252:Q252">
    <cfRule type="containsText" dxfId="9" priority="43335" operator="containsText" text="No">
      <formula>NOT(ISERROR(SEARCH(("No"),(P246))))</formula>
    </cfRule>
  </conditionalFormatting>
  <conditionalFormatting sqref="P246:Q246 P249:Q250 P252:Q252">
    <cfRule type="containsText" dxfId="9" priority="43336" operator="containsText" text="No">
      <formula>NOT(ISERROR(SEARCH(("No"),(P246))))</formula>
    </cfRule>
  </conditionalFormatting>
  <conditionalFormatting sqref="P246:Q246 P249:Q250 P252:Q252">
    <cfRule type="containsText" dxfId="9" priority="43337" operator="containsText" text="No">
      <formula>NOT(ISERROR(SEARCH(("No"),(P246))))</formula>
    </cfRule>
  </conditionalFormatting>
  <conditionalFormatting sqref="P246:Q246 P249:Q250 P252:Q252">
    <cfRule type="containsText" dxfId="9" priority="43338" operator="containsText" text="No">
      <formula>NOT(ISERROR(SEARCH(("No"),(P246))))</formula>
    </cfRule>
  </conditionalFormatting>
  <conditionalFormatting sqref="P246:Q246 P249:Q250 P252:Q252">
    <cfRule type="containsText" dxfId="9" priority="43339" operator="containsText" text="No">
      <formula>NOT(ISERROR(SEARCH(("No"),(P246))))</formula>
    </cfRule>
  </conditionalFormatting>
  <conditionalFormatting sqref="P246:Q246 P249:Q250 P252:Q252">
    <cfRule type="containsText" dxfId="9" priority="43340" operator="containsText" text="No">
      <formula>NOT(ISERROR(SEARCH(("No"),(P246))))</formula>
    </cfRule>
  </conditionalFormatting>
  <conditionalFormatting sqref="P246:Q246 P249:Q250 P252:Q252">
    <cfRule type="containsText" dxfId="9" priority="43341" operator="containsText" text="No">
      <formula>NOT(ISERROR(SEARCH(("No"),(P246))))</formula>
    </cfRule>
  </conditionalFormatting>
  <conditionalFormatting sqref="P246:Q246 P249:Q250 P252:Q252">
    <cfRule type="containsText" dxfId="9" priority="43342" operator="containsText" text="No">
      <formula>NOT(ISERROR(SEARCH(("No"),(P246))))</formula>
    </cfRule>
  </conditionalFormatting>
  <conditionalFormatting sqref="P246:Q246 P249:Q250 P252:Q252">
    <cfRule type="containsText" dxfId="9" priority="43343" operator="containsText" text="No">
      <formula>NOT(ISERROR(SEARCH(("No"),(P246))))</formula>
    </cfRule>
  </conditionalFormatting>
  <conditionalFormatting sqref="P246:Q246 P249:Q250 P252:Q252">
    <cfRule type="containsText" dxfId="9" priority="43344" operator="containsText" text="No">
      <formula>NOT(ISERROR(SEARCH(("No"),(P246))))</formula>
    </cfRule>
  </conditionalFormatting>
  <conditionalFormatting sqref="P246:Q246 P249:Q250 P252:Q252">
    <cfRule type="containsText" dxfId="9" priority="43345" operator="containsText" text="No">
      <formula>NOT(ISERROR(SEARCH(("No"),(P246))))</formula>
    </cfRule>
  </conditionalFormatting>
  <conditionalFormatting sqref="P246:Q246 P249:Q250 P252:Q252">
    <cfRule type="containsText" dxfId="9" priority="43346" operator="containsText" text="No">
      <formula>NOT(ISERROR(SEARCH(("No"),(P246))))</formula>
    </cfRule>
  </conditionalFormatting>
  <conditionalFormatting sqref="P246:Q246 P249:Q250 P252:Q252">
    <cfRule type="containsText" dxfId="9" priority="43347" operator="containsText" text="No">
      <formula>NOT(ISERROR(SEARCH(("No"),(P246))))</formula>
    </cfRule>
  </conditionalFormatting>
  <conditionalFormatting sqref="P246:Q246 P249:Q250 P252:Q252">
    <cfRule type="containsText" dxfId="9" priority="43348" operator="containsText" text="No">
      <formula>NOT(ISERROR(SEARCH(("No"),(P246))))</formula>
    </cfRule>
  </conditionalFormatting>
  <conditionalFormatting sqref="P246:Q246 P249:Q250 P252:Q252">
    <cfRule type="containsText" dxfId="9" priority="43349" operator="containsText" text="No">
      <formula>NOT(ISERROR(SEARCH(("No"),(P246))))</formula>
    </cfRule>
  </conditionalFormatting>
  <conditionalFormatting sqref="P246:Q246 P249:Q250 P252:Q252">
    <cfRule type="containsText" dxfId="9" priority="43350" operator="containsText" text="No">
      <formula>NOT(ISERROR(SEARCH(("No"),(P246))))</formula>
    </cfRule>
  </conditionalFormatting>
  <conditionalFormatting sqref="P246:Q246 P249:Q250 P252:Q252">
    <cfRule type="containsText" dxfId="9" priority="43351" operator="containsText" text="No">
      <formula>NOT(ISERROR(SEARCH(("No"),(P246))))</formula>
    </cfRule>
  </conditionalFormatting>
  <conditionalFormatting sqref="P246:Q246 P249:Q250 P252:Q252">
    <cfRule type="containsText" dxfId="9" priority="43352" operator="containsText" text="No">
      <formula>NOT(ISERROR(SEARCH(("No"),(P246))))</formula>
    </cfRule>
  </conditionalFormatting>
  <conditionalFormatting sqref="P246:Q246 P249:Q250 P252:Q252">
    <cfRule type="containsText" dxfId="9" priority="43353" operator="containsText" text="No">
      <formula>NOT(ISERROR(SEARCH(("No"),(P246))))</formula>
    </cfRule>
  </conditionalFormatting>
  <conditionalFormatting sqref="P246:Q246 P249:Q250 P252:Q252">
    <cfRule type="containsText" dxfId="9" priority="43354" operator="containsText" text="No">
      <formula>NOT(ISERROR(SEARCH(("No"),(P246))))</formula>
    </cfRule>
  </conditionalFormatting>
  <conditionalFormatting sqref="P246:Q246 P249:Q250 P252:Q252">
    <cfRule type="containsText" dxfId="9" priority="43355" operator="containsText" text="No">
      <formula>NOT(ISERROR(SEARCH(("No"),(P246))))</formula>
    </cfRule>
  </conditionalFormatting>
  <conditionalFormatting sqref="P246:Q246 P249:Q250 P252:Q252">
    <cfRule type="containsText" dxfId="9" priority="43356" operator="containsText" text="No">
      <formula>NOT(ISERROR(SEARCH(("No"),(P246))))</formula>
    </cfRule>
  </conditionalFormatting>
  <conditionalFormatting sqref="P246:Q246 P249:Q250 P252:Q252">
    <cfRule type="containsText" dxfId="2" priority="43357" operator="containsText" text="Yes">
      <formula>NOT(ISERROR(SEARCH(("Yes"),(P246))))</formula>
    </cfRule>
  </conditionalFormatting>
  <conditionalFormatting sqref="P246:Q246 P249:Q250 P252:Q252">
    <cfRule type="containsText" dxfId="2" priority="43358" operator="containsText" text="Yes">
      <formula>NOT(ISERROR(SEARCH(("Yes"),(P246))))</formula>
    </cfRule>
  </conditionalFormatting>
  <conditionalFormatting sqref="P246:Q246 P249:Q250 P252:Q252">
    <cfRule type="containsText" dxfId="2" priority="43359" operator="containsText" text="Yes">
      <formula>NOT(ISERROR(SEARCH(("Yes"),(P246))))</formula>
    </cfRule>
  </conditionalFormatting>
  <conditionalFormatting sqref="P246:Q246 P249:Q250 P252:Q252">
    <cfRule type="containsText" dxfId="2" priority="43360" operator="containsText" text="Yes">
      <formula>NOT(ISERROR(SEARCH(("Yes"),(P246))))</formula>
    </cfRule>
  </conditionalFormatting>
  <conditionalFormatting sqref="P246:Q246 P249:Q250 P252:Q252">
    <cfRule type="containsText" dxfId="2" priority="43361" operator="containsText" text="Yes">
      <formula>NOT(ISERROR(SEARCH(("Yes"),(P246))))</formula>
    </cfRule>
  </conditionalFormatting>
  <conditionalFormatting sqref="P246:Q246 P249:Q250 P252:Q252">
    <cfRule type="containsText" dxfId="2" priority="43362" operator="containsText" text="Yes">
      <formula>NOT(ISERROR(SEARCH(("Yes"),(P246))))</formula>
    </cfRule>
  </conditionalFormatting>
  <conditionalFormatting sqref="P246:Q246 P249:Q250 P252:Q252">
    <cfRule type="containsText" dxfId="2" priority="43363" operator="containsText" text="Yes">
      <formula>NOT(ISERROR(SEARCH(("Yes"),(P246))))</formula>
    </cfRule>
  </conditionalFormatting>
  <conditionalFormatting sqref="P246:Q246 P249:Q250 P252:Q252">
    <cfRule type="containsText" dxfId="2" priority="43364" operator="containsText" text="Yes">
      <formula>NOT(ISERROR(SEARCH(("Yes"),(P246))))</formula>
    </cfRule>
  </conditionalFormatting>
  <conditionalFormatting sqref="P246:Q246 P249:Q250 P252:Q252">
    <cfRule type="containsText" dxfId="2" priority="43365" operator="containsText" text="Yes">
      <formula>NOT(ISERROR(SEARCH(("Yes"),(P246))))</formula>
    </cfRule>
  </conditionalFormatting>
  <conditionalFormatting sqref="P246:Q246 P249:Q250 P252:Q252">
    <cfRule type="containsText" dxfId="2" priority="43366" operator="containsText" text="Yes">
      <formula>NOT(ISERROR(SEARCH(("Yes"),(P246))))</formula>
    </cfRule>
  </conditionalFormatting>
  <conditionalFormatting sqref="P246:Q246 P249:Q250 P252:Q252">
    <cfRule type="containsText" dxfId="2" priority="43367" operator="containsText" text="Yes">
      <formula>NOT(ISERROR(SEARCH(("Yes"),(P246))))</formula>
    </cfRule>
  </conditionalFormatting>
  <conditionalFormatting sqref="P246:Q246 P249:Q250 P252:Q252">
    <cfRule type="containsText" dxfId="2" priority="43368" operator="containsText" text="Yes">
      <formula>NOT(ISERROR(SEARCH(("Yes"),(P246))))</formula>
    </cfRule>
  </conditionalFormatting>
  <conditionalFormatting sqref="P246:Q246 P249:Q250 P252:Q252">
    <cfRule type="containsText" dxfId="2" priority="43369" operator="containsText" text="Yes">
      <formula>NOT(ISERROR(SEARCH(("Yes"),(P246))))</formula>
    </cfRule>
  </conditionalFormatting>
  <conditionalFormatting sqref="P246:Q246 P249:Q250 P252:Q252">
    <cfRule type="containsText" dxfId="2" priority="43370" operator="containsText" text="Yes">
      <formula>NOT(ISERROR(SEARCH(("Yes"),(P246))))</formula>
    </cfRule>
  </conditionalFormatting>
  <conditionalFormatting sqref="P246:Q246 P249:Q250 P252:Q252">
    <cfRule type="containsText" dxfId="2" priority="43371" operator="containsText" text="Yes">
      <formula>NOT(ISERROR(SEARCH(("Yes"),(P246))))</formula>
    </cfRule>
  </conditionalFormatting>
  <conditionalFormatting sqref="P246:Q246 P249:Q250 P252:Q252">
    <cfRule type="containsText" dxfId="2" priority="43372" operator="containsText" text="Yes">
      <formula>NOT(ISERROR(SEARCH(("Yes"),(P246))))</formula>
    </cfRule>
  </conditionalFormatting>
  <conditionalFormatting sqref="P246:Q246 P249:Q250 P252:Q252">
    <cfRule type="containsText" dxfId="2" priority="43373" operator="containsText" text="Yes">
      <formula>NOT(ISERROR(SEARCH(("Yes"),(P246))))</formula>
    </cfRule>
  </conditionalFormatting>
  <conditionalFormatting sqref="P246:Q246 P249:Q250 P252:Q252">
    <cfRule type="containsText" dxfId="2" priority="43374" operator="containsText" text="Yes">
      <formula>NOT(ISERROR(SEARCH(("Yes"),(P246))))</formula>
    </cfRule>
  </conditionalFormatting>
  <conditionalFormatting sqref="P246:Q246 P249:Q250 P252:Q252">
    <cfRule type="containsText" dxfId="2" priority="43375" operator="containsText" text="Yes">
      <formula>NOT(ISERROR(SEARCH(("Yes"),(P246))))</formula>
    </cfRule>
  </conditionalFormatting>
  <conditionalFormatting sqref="P246:Q246 P249:Q250 P252:Q252">
    <cfRule type="containsText" dxfId="2" priority="43376" operator="containsText" text="Yes">
      <formula>NOT(ISERROR(SEARCH(("Yes"),(P246))))</formula>
    </cfRule>
  </conditionalFormatting>
  <conditionalFormatting sqref="P246:Q246 P249:Q250 P252:Q252">
    <cfRule type="containsText" dxfId="2" priority="43377" operator="containsText" text="Yes">
      <formula>NOT(ISERROR(SEARCH(("Yes"),(P246))))</formula>
    </cfRule>
  </conditionalFormatting>
  <conditionalFormatting sqref="P246:Q246 P249:Q250 P252:Q252">
    <cfRule type="containsText" dxfId="2" priority="43378" operator="containsText" text="Yes">
      <formula>NOT(ISERROR(SEARCH(("Yes"),(P246))))</formula>
    </cfRule>
  </conditionalFormatting>
  <conditionalFormatting sqref="P246:Q246 P249:Q250 P252:Q252">
    <cfRule type="containsText" dxfId="2" priority="43379" operator="containsText" text="Yes">
      <formula>NOT(ISERROR(SEARCH(("Yes"),(P246))))</formula>
    </cfRule>
  </conditionalFormatting>
  <conditionalFormatting sqref="P246:Q246 P249:Q250 P252:Q252">
    <cfRule type="containsText" dxfId="2" priority="43380" operator="containsText" text="Yes">
      <formula>NOT(ISERROR(SEARCH(("Yes"),(P246))))</formula>
    </cfRule>
  </conditionalFormatting>
  <conditionalFormatting sqref="P246:Q246 P249:Q250 P252:Q252">
    <cfRule type="containsText" dxfId="2" priority="43381" operator="containsText" text="Yes">
      <formula>NOT(ISERROR(SEARCH(("Yes"),(P246))))</formula>
    </cfRule>
  </conditionalFormatting>
  <conditionalFormatting sqref="P246:Q246 P249:Q250 P252:Q252">
    <cfRule type="containsText" dxfId="2" priority="43382" operator="containsText" text="Yes">
      <formula>NOT(ISERROR(SEARCH(("Yes"),(P246))))</formula>
    </cfRule>
  </conditionalFormatting>
  <conditionalFormatting sqref="P246:Q246 P249:Q250 P252:Q252">
    <cfRule type="containsText" dxfId="2" priority="43383" operator="containsText" text="Yes">
      <formula>NOT(ISERROR(SEARCH(("Yes"),(P246))))</formula>
    </cfRule>
  </conditionalFormatting>
  <conditionalFormatting sqref="P246:Q246 P249:Q250 P252:Q252">
    <cfRule type="containsText" dxfId="2" priority="43384" operator="containsText" text="Yes">
      <formula>NOT(ISERROR(SEARCH(("Yes"),(P246))))</formula>
    </cfRule>
  </conditionalFormatting>
  <conditionalFormatting sqref="P246:Q246 P249:Q250 P252:Q252">
    <cfRule type="containsText" dxfId="2" priority="43385" operator="containsText" text="Yes">
      <formula>NOT(ISERROR(SEARCH(("Yes"),(P246))))</formula>
    </cfRule>
  </conditionalFormatting>
  <conditionalFormatting sqref="P246:Q246 P249:Q250 P252:Q252">
    <cfRule type="containsText" dxfId="2" priority="43386" operator="containsText" text="Yes">
      <formula>NOT(ISERROR(SEARCH(("Yes"),(P246))))</formula>
    </cfRule>
  </conditionalFormatting>
  <conditionalFormatting sqref="P246:Q246 P249:Q250 P252:Q252">
    <cfRule type="containsText" dxfId="2" priority="43387" operator="containsText" text="Yes">
      <formula>NOT(ISERROR(SEARCH(("Yes"),(P246))))</formula>
    </cfRule>
  </conditionalFormatting>
  <conditionalFormatting sqref="P246:Q246 P249:Q250 P252:Q252">
    <cfRule type="containsText" dxfId="2" priority="43388" operator="containsText" text="Yes">
      <formula>NOT(ISERROR(SEARCH(("Yes"),(P246))))</formula>
    </cfRule>
  </conditionalFormatting>
  <conditionalFormatting sqref="P246:Q246 P249:Q250 P252:Q252">
    <cfRule type="containsText" dxfId="2" priority="43389" operator="containsText" text="Yes">
      <formula>NOT(ISERROR(SEARCH(("Yes"),(P246))))</formula>
    </cfRule>
  </conditionalFormatting>
  <conditionalFormatting sqref="P246:Q246 P249:Q250 P252:Q252">
    <cfRule type="containsText" dxfId="2" priority="43390" operator="containsText" text="Yes">
      <formula>NOT(ISERROR(SEARCH(("Yes"),(P246))))</formula>
    </cfRule>
  </conditionalFormatting>
  <conditionalFormatting sqref="P246:Q246 P249:Q250 P252:Q252">
    <cfRule type="containsText" dxfId="2" priority="43391" operator="containsText" text="Yes">
      <formula>NOT(ISERROR(SEARCH(("Yes"),(P246))))</formula>
    </cfRule>
  </conditionalFormatting>
  <conditionalFormatting sqref="P246:Q246 P249:Q250 P252:Q252">
    <cfRule type="containsText" dxfId="2" priority="43392" operator="containsText" text="Yes">
      <formula>NOT(ISERROR(SEARCH(("Yes"),(P246))))</formula>
    </cfRule>
  </conditionalFormatting>
  <conditionalFormatting sqref="P246:Q246 P249:Q250 P252:Q252">
    <cfRule type="containsText" dxfId="2" priority="43393" operator="containsText" text="Yes">
      <formula>NOT(ISERROR(SEARCH(("Yes"),(P246))))</formula>
    </cfRule>
  </conditionalFormatting>
  <conditionalFormatting sqref="P246:Q246 P249:Q250 P252:Q252">
    <cfRule type="containsText" dxfId="2" priority="43394" operator="containsText" text="Yes">
      <formula>NOT(ISERROR(SEARCH(("Yes"),(P246))))</formula>
    </cfRule>
  </conditionalFormatting>
  <conditionalFormatting sqref="P246:Q246 P249:Q250 P252:Q252">
    <cfRule type="containsText" dxfId="2" priority="43395" operator="containsText" text="Yes">
      <formula>NOT(ISERROR(SEARCH(("Yes"),(P246))))</formula>
    </cfRule>
  </conditionalFormatting>
  <conditionalFormatting sqref="P246:Q246 P249:Q250 P252:Q252">
    <cfRule type="containsText" dxfId="2" priority="43396" operator="containsText" text="Yes">
      <formula>NOT(ISERROR(SEARCH(("Yes"),(P246))))</formula>
    </cfRule>
  </conditionalFormatting>
  <conditionalFormatting sqref="P246:Q246 P249:Q250 P252:Q252">
    <cfRule type="containsText" dxfId="2" priority="43397" operator="containsText" text="Yes">
      <formula>NOT(ISERROR(SEARCH(("Yes"),(P246))))</formula>
    </cfRule>
  </conditionalFormatting>
  <conditionalFormatting sqref="P246:Q246 P249:Q250 P252:Q252">
    <cfRule type="containsText" dxfId="2" priority="43398" operator="containsText" text="Yes">
      <formula>NOT(ISERROR(SEARCH(("Yes"),(P246))))</formula>
    </cfRule>
  </conditionalFormatting>
  <conditionalFormatting sqref="P246:Q246 P249:Q250 P252:Q252">
    <cfRule type="containsText" dxfId="2" priority="43399" operator="containsText" text="Yes">
      <formula>NOT(ISERROR(SEARCH(("Yes"),(P246))))</formula>
    </cfRule>
  </conditionalFormatting>
  <conditionalFormatting sqref="P246:Q246 P249:Q250 P252:Q252">
    <cfRule type="containsText" dxfId="2" priority="43400" operator="containsText" text="Yes">
      <formula>NOT(ISERROR(SEARCH(("Yes"),(P246))))</formula>
    </cfRule>
  </conditionalFormatting>
  <conditionalFormatting sqref="P246:Q246 P249:Q250 P252:Q252">
    <cfRule type="containsText" dxfId="2" priority="43401" operator="containsText" text="Yes">
      <formula>NOT(ISERROR(SEARCH(("Yes"),(P246))))</formula>
    </cfRule>
  </conditionalFormatting>
  <conditionalFormatting sqref="P246:Q246 P249:Q250 P252:Q252">
    <cfRule type="containsText" dxfId="2" priority="43402" operator="containsText" text="Yes">
      <formula>NOT(ISERROR(SEARCH(("Yes"),(P246))))</formula>
    </cfRule>
  </conditionalFormatting>
  <conditionalFormatting sqref="P246:Q246 P249:Q250 P252:Q252">
    <cfRule type="containsText" dxfId="2" priority="43403" operator="containsText" text="Yes">
      <formula>NOT(ISERROR(SEARCH(("Yes"),(P246))))</formula>
    </cfRule>
  </conditionalFormatting>
  <conditionalFormatting sqref="P247:Q248">
    <cfRule type="containsText" dxfId="9" priority="43404" operator="containsText" text="No">
      <formula>NOT(ISERROR(SEARCH(("No"),(P247))))</formula>
    </cfRule>
  </conditionalFormatting>
  <conditionalFormatting sqref="P247:Q248">
    <cfRule type="containsText" dxfId="9" priority="43405" operator="containsText" text="No">
      <formula>NOT(ISERROR(SEARCH(("No"),(P247))))</formula>
    </cfRule>
  </conditionalFormatting>
  <conditionalFormatting sqref="P247:Q248">
    <cfRule type="containsText" dxfId="9" priority="43406" operator="containsText" text="No">
      <formula>NOT(ISERROR(SEARCH(("No"),(P247))))</formula>
    </cfRule>
  </conditionalFormatting>
  <conditionalFormatting sqref="P247:Q248">
    <cfRule type="containsText" dxfId="9" priority="43407" operator="containsText" text="No">
      <formula>NOT(ISERROR(SEARCH(("No"),(P247))))</formula>
    </cfRule>
  </conditionalFormatting>
  <conditionalFormatting sqref="P247:Q248">
    <cfRule type="containsText" dxfId="9" priority="43408" operator="containsText" text="No">
      <formula>NOT(ISERROR(SEARCH(("No"),(P247))))</formula>
    </cfRule>
  </conditionalFormatting>
  <conditionalFormatting sqref="P247:Q248">
    <cfRule type="containsText" dxfId="9" priority="43409" operator="containsText" text="No">
      <formula>NOT(ISERROR(SEARCH(("No"),(P247))))</formula>
    </cfRule>
  </conditionalFormatting>
  <conditionalFormatting sqref="P247:Q248">
    <cfRule type="containsText" dxfId="9" priority="43410" operator="containsText" text="No">
      <formula>NOT(ISERROR(SEARCH(("No"),(P247))))</formula>
    </cfRule>
  </conditionalFormatting>
  <conditionalFormatting sqref="P247:Q248">
    <cfRule type="containsText" dxfId="9" priority="43411" operator="containsText" text="No">
      <formula>NOT(ISERROR(SEARCH(("No"),(P247))))</formula>
    </cfRule>
  </conditionalFormatting>
  <conditionalFormatting sqref="P247:Q248">
    <cfRule type="containsText" dxfId="9" priority="43412" operator="containsText" text="No">
      <formula>NOT(ISERROR(SEARCH(("No"),(P247))))</formula>
    </cfRule>
  </conditionalFormatting>
  <conditionalFormatting sqref="P247:Q248">
    <cfRule type="containsText" dxfId="9" priority="43413" operator="containsText" text="No">
      <formula>NOT(ISERROR(SEARCH(("No"),(P247))))</formula>
    </cfRule>
  </conditionalFormatting>
  <conditionalFormatting sqref="P247:Q248">
    <cfRule type="containsText" dxfId="9" priority="43414" operator="containsText" text="No">
      <formula>NOT(ISERROR(SEARCH(("No"),(P247))))</formula>
    </cfRule>
  </conditionalFormatting>
  <conditionalFormatting sqref="P247:Q248">
    <cfRule type="containsText" dxfId="9" priority="43415" operator="containsText" text="No">
      <formula>NOT(ISERROR(SEARCH(("No"),(P247))))</formula>
    </cfRule>
  </conditionalFormatting>
  <conditionalFormatting sqref="P247:Q248">
    <cfRule type="containsText" dxfId="9" priority="43416" operator="containsText" text="No">
      <formula>NOT(ISERROR(SEARCH(("No"),(P247))))</formula>
    </cfRule>
  </conditionalFormatting>
  <conditionalFormatting sqref="P247:Q248">
    <cfRule type="containsText" dxfId="9" priority="43417" operator="containsText" text="No">
      <formula>NOT(ISERROR(SEARCH(("No"),(P247))))</formula>
    </cfRule>
  </conditionalFormatting>
  <conditionalFormatting sqref="P247:Q248">
    <cfRule type="containsText" dxfId="9" priority="43418" operator="containsText" text="No">
      <formula>NOT(ISERROR(SEARCH(("No"),(P247))))</formula>
    </cfRule>
  </conditionalFormatting>
  <conditionalFormatting sqref="P247:Q248">
    <cfRule type="containsText" dxfId="9" priority="43419" operator="containsText" text="No">
      <formula>NOT(ISERROR(SEARCH(("No"),(P247))))</formula>
    </cfRule>
  </conditionalFormatting>
  <conditionalFormatting sqref="P247:Q248">
    <cfRule type="containsText" dxfId="9" priority="43420" operator="containsText" text="No">
      <formula>NOT(ISERROR(SEARCH(("No"),(P247))))</formula>
    </cfRule>
  </conditionalFormatting>
  <conditionalFormatting sqref="P247:Q248">
    <cfRule type="containsText" dxfId="9" priority="43421" operator="containsText" text="No">
      <formula>NOT(ISERROR(SEARCH(("No"),(P247))))</formula>
    </cfRule>
  </conditionalFormatting>
  <conditionalFormatting sqref="P247:Q248">
    <cfRule type="containsText" dxfId="9" priority="43422" operator="containsText" text="No">
      <formula>NOT(ISERROR(SEARCH(("No"),(P247))))</formula>
    </cfRule>
  </conditionalFormatting>
  <conditionalFormatting sqref="P247:Q248">
    <cfRule type="containsText" dxfId="9" priority="43423" operator="containsText" text="No">
      <formula>NOT(ISERROR(SEARCH(("No"),(P247))))</formula>
    </cfRule>
  </conditionalFormatting>
  <conditionalFormatting sqref="P247:Q248">
    <cfRule type="containsText" dxfId="9" priority="43424" operator="containsText" text="No">
      <formula>NOT(ISERROR(SEARCH(("No"),(P247))))</formula>
    </cfRule>
  </conditionalFormatting>
  <conditionalFormatting sqref="P247:Q248">
    <cfRule type="containsText" dxfId="9" priority="43425" operator="containsText" text="No">
      <formula>NOT(ISERROR(SEARCH(("No"),(P247))))</formula>
    </cfRule>
  </conditionalFormatting>
  <conditionalFormatting sqref="P247:Q248">
    <cfRule type="containsText" dxfId="9" priority="43426" operator="containsText" text="No">
      <formula>NOT(ISERROR(SEARCH(("No"),(P247))))</formula>
    </cfRule>
  </conditionalFormatting>
  <conditionalFormatting sqref="P247:Q248">
    <cfRule type="containsText" dxfId="9" priority="43427" operator="containsText" text="No">
      <formula>NOT(ISERROR(SEARCH(("No"),(P247))))</formula>
    </cfRule>
  </conditionalFormatting>
  <conditionalFormatting sqref="P247:Q248">
    <cfRule type="containsText" dxfId="9" priority="43428" operator="containsText" text="No">
      <formula>NOT(ISERROR(SEARCH(("No"),(P247))))</formula>
    </cfRule>
  </conditionalFormatting>
  <conditionalFormatting sqref="P247:Q248">
    <cfRule type="containsText" dxfId="9" priority="43429" operator="containsText" text="No">
      <formula>NOT(ISERROR(SEARCH(("No"),(P247))))</formula>
    </cfRule>
  </conditionalFormatting>
  <conditionalFormatting sqref="P247:Q248">
    <cfRule type="containsText" dxfId="9" priority="43430" operator="containsText" text="No">
      <formula>NOT(ISERROR(SEARCH(("No"),(P247))))</formula>
    </cfRule>
  </conditionalFormatting>
  <conditionalFormatting sqref="P247:Q248">
    <cfRule type="containsText" dxfId="9" priority="43431" operator="containsText" text="No">
      <formula>NOT(ISERROR(SEARCH(("No"),(P247))))</formula>
    </cfRule>
  </conditionalFormatting>
  <conditionalFormatting sqref="P247:Q248">
    <cfRule type="containsText" dxfId="9" priority="43432" operator="containsText" text="No">
      <formula>NOT(ISERROR(SEARCH(("No"),(P247))))</formula>
    </cfRule>
  </conditionalFormatting>
  <conditionalFormatting sqref="P247:Q248">
    <cfRule type="containsText" dxfId="9" priority="43433" operator="containsText" text="No">
      <formula>NOT(ISERROR(SEARCH(("No"),(P247))))</formula>
    </cfRule>
  </conditionalFormatting>
  <conditionalFormatting sqref="P247:Q248">
    <cfRule type="containsText" dxfId="9" priority="43434" operator="containsText" text="No">
      <formula>NOT(ISERROR(SEARCH(("No"),(P247))))</formula>
    </cfRule>
  </conditionalFormatting>
  <conditionalFormatting sqref="P247:Q248">
    <cfRule type="containsText" dxfId="9" priority="43435" operator="containsText" text="No">
      <formula>NOT(ISERROR(SEARCH(("No"),(P247))))</formula>
    </cfRule>
  </conditionalFormatting>
  <conditionalFormatting sqref="P247:Q248">
    <cfRule type="containsText" dxfId="9" priority="43436" operator="containsText" text="No">
      <formula>NOT(ISERROR(SEARCH(("No"),(P247))))</formula>
    </cfRule>
  </conditionalFormatting>
  <conditionalFormatting sqref="P247:Q248">
    <cfRule type="containsText" dxfId="9" priority="43437" operator="containsText" text="No">
      <formula>NOT(ISERROR(SEARCH(("No"),(P247))))</formula>
    </cfRule>
  </conditionalFormatting>
  <conditionalFormatting sqref="P247:Q248">
    <cfRule type="containsText" dxfId="9" priority="43438" operator="containsText" text="No">
      <formula>NOT(ISERROR(SEARCH(("No"),(P247))))</formula>
    </cfRule>
  </conditionalFormatting>
  <conditionalFormatting sqref="P247:Q248">
    <cfRule type="containsText" dxfId="9" priority="43439" operator="containsText" text="No">
      <formula>NOT(ISERROR(SEARCH(("No"),(P247))))</formula>
    </cfRule>
  </conditionalFormatting>
  <conditionalFormatting sqref="P247:Q248">
    <cfRule type="containsText" dxfId="9" priority="43440" operator="containsText" text="No">
      <formula>NOT(ISERROR(SEARCH(("No"),(P247))))</formula>
    </cfRule>
  </conditionalFormatting>
  <conditionalFormatting sqref="P247:Q248">
    <cfRule type="containsText" dxfId="9" priority="43441" operator="containsText" text="No">
      <formula>NOT(ISERROR(SEARCH(("No"),(P247))))</formula>
    </cfRule>
  </conditionalFormatting>
  <conditionalFormatting sqref="P247:Q248">
    <cfRule type="containsText" dxfId="9" priority="43442" operator="containsText" text="No">
      <formula>NOT(ISERROR(SEARCH(("No"),(P247))))</formula>
    </cfRule>
  </conditionalFormatting>
  <conditionalFormatting sqref="P247:Q248">
    <cfRule type="containsText" dxfId="9" priority="43443" operator="containsText" text="No">
      <formula>NOT(ISERROR(SEARCH(("No"),(P247))))</formula>
    </cfRule>
  </conditionalFormatting>
  <conditionalFormatting sqref="P247:Q248">
    <cfRule type="containsText" dxfId="9" priority="43444" operator="containsText" text="No">
      <formula>NOT(ISERROR(SEARCH(("No"),(P247))))</formula>
    </cfRule>
  </conditionalFormatting>
  <conditionalFormatting sqref="P247:Q248">
    <cfRule type="containsText" dxfId="9" priority="43445" operator="containsText" text="No">
      <formula>NOT(ISERROR(SEARCH(("No"),(P247))))</formula>
    </cfRule>
  </conditionalFormatting>
  <conditionalFormatting sqref="P247:Q248">
    <cfRule type="containsText" dxfId="9" priority="43446" operator="containsText" text="No">
      <formula>NOT(ISERROR(SEARCH(("No"),(P247))))</formula>
    </cfRule>
  </conditionalFormatting>
  <conditionalFormatting sqref="P247:Q248">
    <cfRule type="containsText" dxfId="9" priority="43447" operator="containsText" text="No">
      <formula>NOT(ISERROR(SEARCH(("No"),(P247))))</formula>
    </cfRule>
  </conditionalFormatting>
  <conditionalFormatting sqref="P247:Q248">
    <cfRule type="containsText" dxfId="9" priority="43448" operator="containsText" text="No">
      <formula>NOT(ISERROR(SEARCH(("No"),(P247))))</formula>
    </cfRule>
  </conditionalFormatting>
  <conditionalFormatting sqref="P247:Q248">
    <cfRule type="containsText" dxfId="2" priority="43449" operator="containsText" text="Yes">
      <formula>NOT(ISERROR(SEARCH(("Yes"),(P247))))</formula>
    </cfRule>
  </conditionalFormatting>
  <conditionalFormatting sqref="P247:Q248">
    <cfRule type="containsText" dxfId="2" priority="43450" operator="containsText" text="Yes">
      <formula>NOT(ISERROR(SEARCH(("Yes"),(P247))))</formula>
    </cfRule>
  </conditionalFormatting>
  <conditionalFormatting sqref="P247:Q248">
    <cfRule type="containsText" dxfId="2" priority="43451" operator="containsText" text="Yes">
      <formula>NOT(ISERROR(SEARCH(("Yes"),(P247))))</formula>
    </cfRule>
  </conditionalFormatting>
  <conditionalFormatting sqref="P247:Q248">
    <cfRule type="containsText" dxfId="2" priority="43452" operator="containsText" text="Yes">
      <formula>NOT(ISERROR(SEARCH(("Yes"),(P247))))</formula>
    </cfRule>
  </conditionalFormatting>
  <conditionalFormatting sqref="P247:Q248">
    <cfRule type="containsText" dxfId="2" priority="43453" operator="containsText" text="Yes">
      <formula>NOT(ISERROR(SEARCH(("Yes"),(P247))))</formula>
    </cfRule>
  </conditionalFormatting>
  <conditionalFormatting sqref="P247:Q248">
    <cfRule type="containsText" dxfId="2" priority="43454" operator="containsText" text="Yes">
      <formula>NOT(ISERROR(SEARCH(("Yes"),(P247))))</formula>
    </cfRule>
  </conditionalFormatting>
  <conditionalFormatting sqref="P247:Q248">
    <cfRule type="containsText" dxfId="2" priority="43455" operator="containsText" text="Yes">
      <formula>NOT(ISERROR(SEARCH(("Yes"),(P247))))</formula>
    </cfRule>
  </conditionalFormatting>
  <conditionalFormatting sqref="P247:Q248">
    <cfRule type="containsText" dxfId="2" priority="43456" operator="containsText" text="Yes">
      <formula>NOT(ISERROR(SEARCH(("Yes"),(P247))))</formula>
    </cfRule>
  </conditionalFormatting>
  <conditionalFormatting sqref="P247:Q248">
    <cfRule type="containsText" dxfId="2" priority="43457" operator="containsText" text="Yes">
      <formula>NOT(ISERROR(SEARCH(("Yes"),(P247))))</formula>
    </cfRule>
  </conditionalFormatting>
  <conditionalFormatting sqref="P247:Q248">
    <cfRule type="containsText" dxfId="2" priority="43458" operator="containsText" text="Yes">
      <formula>NOT(ISERROR(SEARCH(("Yes"),(P247))))</formula>
    </cfRule>
  </conditionalFormatting>
  <conditionalFormatting sqref="P247:Q248">
    <cfRule type="containsText" dxfId="2" priority="43459" operator="containsText" text="Yes">
      <formula>NOT(ISERROR(SEARCH(("Yes"),(P247))))</formula>
    </cfRule>
  </conditionalFormatting>
  <conditionalFormatting sqref="P247:Q248">
    <cfRule type="containsText" dxfId="2" priority="43460" operator="containsText" text="Yes">
      <formula>NOT(ISERROR(SEARCH(("Yes"),(P247))))</formula>
    </cfRule>
  </conditionalFormatting>
  <conditionalFormatting sqref="P247:Q248">
    <cfRule type="containsText" dxfId="2" priority="43461" operator="containsText" text="Yes">
      <formula>NOT(ISERROR(SEARCH(("Yes"),(P247))))</formula>
    </cfRule>
  </conditionalFormatting>
  <conditionalFormatting sqref="P247:Q248">
    <cfRule type="containsText" dxfId="2" priority="43462" operator="containsText" text="Yes">
      <formula>NOT(ISERROR(SEARCH(("Yes"),(P247))))</formula>
    </cfRule>
  </conditionalFormatting>
  <conditionalFormatting sqref="P247:Q248">
    <cfRule type="containsText" dxfId="2" priority="43463" operator="containsText" text="Yes">
      <formula>NOT(ISERROR(SEARCH(("Yes"),(P247))))</formula>
    </cfRule>
  </conditionalFormatting>
  <conditionalFormatting sqref="P247:Q248">
    <cfRule type="containsText" dxfId="2" priority="43464" operator="containsText" text="Yes">
      <formula>NOT(ISERROR(SEARCH(("Yes"),(P247))))</formula>
    </cfRule>
  </conditionalFormatting>
  <conditionalFormatting sqref="P247:Q248">
    <cfRule type="containsText" dxfId="2" priority="43465" operator="containsText" text="Yes">
      <formula>NOT(ISERROR(SEARCH(("Yes"),(P247))))</formula>
    </cfRule>
  </conditionalFormatting>
  <conditionalFormatting sqref="P247:Q248">
    <cfRule type="containsText" dxfId="2" priority="43466" operator="containsText" text="Yes">
      <formula>NOT(ISERROR(SEARCH(("Yes"),(P247))))</formula>
    </cfRule>
  </conditionalFormatting>
  <conditionalFormatting sqref="P247:Q248">
    <cfRule type="containsText" dxfId="2" priority="43467" operator="containsText" text="Yes">
      <formula>NOT(ISERROR(SEARCH(("Yes"),(P247))))</formula>
    </cfRule>
  </conditionalFormatting>
  <conditionalFormatting sqref="P247:Q248">
    <cfRule type="containsText" dxfId="2" priority="43468" operator="containsText" text="Yes">
      <formula>NOT(ISERROR(SEARCH(("Yes"),(P247))))</formula>
    </cfRule>
  </conditionalFormatting>
  <conditionalFormatting sqref="P247:Q248">
    <cfRule type="containsText" dxfId="2" priority="43469" operator="containsText" text="Yes">
      <formula>NOT(ISERROR(SEARCH(("Yes"),(P247))))</formula>
    </cfRule>
  </conditionalFormatting>
  <conditionalFormatting sqref="P247:Q248">
    <cfRule type="containsText" dxfId="2" priority="43470" operator="containsText" text="Yes">
      <formula>NOT(ISERROR(SEARCH(("Yes"),(P247))))</formula>
    </cfRule>
  </conditionalFormatting>
  <conditionalFormatting sqref="P247:Q248">
    <cfRule type="containsText" dxfId="2" priority="43471" operator="containsText" text="Yes">
      <formula>NOT(ISERROR(SEARCH(("Yes"),(P247))))</formula>
    </cfRule>
  </conditionalFormatting>
  <conditionalFormatting sqref="P247:Q248">
    <cfRule type="containsText" dxfId="2" priority="43472" operator="containsText" text="Yes">
      <formula>NOT(ISERROR(SEARCH(("Yes"),(P247))))</formula>
    </cfRule>
  </conditionalFormatting>
  <conditionalFormatting sqref="P247:Q248">
    <cfRule type="containsText" dxfId="2" priority="43473" operator="containsText" text="Yes">
      <formula>NOT(ISERROR(SEARCH(("Yes"),(P247))))</formula>
    </cfRule>
  </conditionalFormatting>
  <conditionalFormatting sqref="P247:Q248">
    <cfRule type="containsText" dxfId="2" priority="43474" operator="containsText" text="Yes">
      <formula>NOT(ISERROR(SEARCH(("Yes"),(P247))))</formula>
    </cfRule>
  </conditionalFormatting>
  <conditionalFormatting sqref="P247:Q248">
    <cfRule type="containsText" dxfId="2" priority="43475" operator="containsText" text="Yes">
      <formula>NOT(ISERROR(SEARCH(("Yes"),(P247))))</formula>
    </cfRule>
  </conditionalFormatting>
  <conditionalFormatting sqref="P247:Q248">
    <cfRule type="containsText" dxfId="2" priority="43476" operator="containsText" text="Yes">
      <formula>NOT(ISERROR(SEARCH(("Yes"),(P247))))</formula>
    </cfRule>
  </conditionalFormatting>
  <conditionalFormatting sqref="P247:Q248">
    <cfRule type="containsText" dxfId="2" priority="43477" operator="containsText" text="Yes">
      <formula>NOT(ISERROR(SEARCH(("Yes"),(P247))))</formula>
    </cfRule>
  </conditionalFormatting>
  <conditionalFormatting sqref="P247:Q248">
    <cfRule type="containsText" dxfId="2" priority="43478" operator="containsText" text="Yes">
      <formula>NOT(ISERROR(SEARCH(("Yes"),(P247))))</formula>
    </cfRule>
  </conditionalFormatting>
  <conditionalFormatting sqref="P247:Q248">
    <cfRule type="containsText" dxfId="2" priority="43479" operator="containsText" text="Yes">
      <formula>NOT(ISERROR(SEARCH(("Yes"),(P247))))</formula>
    </cfRule>
  </conditionalFormatting>
  <conditionalFormatting sqref="P247:Q248">
    <cfRule type="containsText" dxfId="2" priority="43480" operator="containsText" text="Yes">
      <formula>NOT(ISERROR(SEARCH(("Yes"),(P247))))</formula>
    </cfRule>
  </conditionalFormatting>
  <conditionalFormatting sqref="P247:Q248">
    <cfRule type="containsText" dxfId="2" priority="43481" operator="containsText" text="Yes">
      <formula>NOT(ISERROR(SEARCH(("Yes"),(P247))))</formula>
    </cfRule>
  </conditionalFormatting>
  <conditionalFormatting sqref="P247:Q248">
    <cfRule type="containsText" dxfId="2" priority="43482" operator="containsText" text="Yes">
      <formula>NOT(ISERROR(SEARCH(("Yes"),(P247))))</formula>
    </cfRule>
  </conditionalFormatting>
  <conditionalFormatting sqref="P247:Q248">
    <cfRule type="containsText" dxfId="2" priority="43483" operator="containsText" text="Yes">
      <formula>NOT(ISERROR(SEARCH(("Yes"),(P247))))</formula>
    </cfRule>
  </conditionalFormatting>
  <conditionalFormatting sqref="P247:Q248">
    <cfRule type="containsText" dxfId="2" priority="43484" operator="containsText" text="Yes">
      <formula>NOT(ISERROR(SEARCH(("Yes"),(P247))))</formula>
    </cfRule>
  </conditionalFormatting>
  <conditionalFormatting sqref="P247:Q248">
    <cfRule type="containsText" dxfId="2" priority="43485" operator="containsText" text="Yes">
      <formula>NOT(ISERROR(SEARCH(("Yes"),(P247))))</formula>
    </cfRule>
  </conditionalFormatting>
  <conditionalFormatting sqref="P247:Q248">
    <cfRule type="containsText" dxfId="2" priority="43486" operator="containsText" text="Yes">
      <formula>NOT(ISERROR(SEARCH(("Yes"),(P247))))</formula>
    </cfRule>
  </conditionalFormatting>
  <conditionalFormatting sqref="P247:Q248">
    <cfRule type="containsText" dxfId="2" priority="43487" operator="containsText" text="Yes">
      <formula>NOT(ISERROR(SEARCH(("Yes"),(P247))))</formula>
    </cfRule>
  </conditionalFormatting>
  <conditionalFormatting sqref="P247:Q248">
    <cfRule type="containsText" dxfId="2" priority="43488" operator="containsText" text="Yes">
      <formula>NOT(ISERROR(SEARCH(("Yes"),(P247))))</formula>
    </cfRule>
  </conditionalFormatting>
  <conditionalFormatting sqref="P247:Q248">
    <cfRule type="containsText" dxfId="2" priority="43489" operator="containsText" text="Yes">
      <formula>NOT(ISERROR(SEARCH(("Yes"),(P247))))</formula>
    </cfRule>
  </conditionalFormatting>
  <conditionalFormatting sqref="P247:Q248">
    <cfRule type="containsText" dxfId="2" priority="43490" operator="containsText" text="Yes">
      <formula>NOT(ISERROR(SEARCH(("Yes"),(P247))))</formula>
    </cfRule>
  </conditionalFormatting>
  <conditionalFormatting sqref="P247:Q248">
    <cfRule type="containsText" dxfId="2" priority="43491" operator="containsText" text="Yes">
      <formula>NOT(ISERROR(SEARCH(("Yes"),(P247))))</formula>
    </cfRule>
  </conditionalFormatting>
  <conditionalFormatting sqref="P247:Q248">
    <cfRule type="containsText" dxfId="2" priority="43492" operator="containsText" text="Yes">
      <formula>NOT(ISERROR(SEARCH(("Yes"),(P247))))</formula>
    </cfRule>
  </conditionalFormatting>
  <conditionalFormatting sqref="P247:Q248">
    <cfRule type="containsText" dxfId="2" priority="43493" operator="containsText" text="Yes">
      <formula>NOT(ISERROR(SEARCH(("Yes"),(P247))))</formula>
    </cfRule>
  </conditionalFormatting>
  <conditionalFormatting sqref="P247:Q248">
    <cfRule type="containsText" dxfId="2" priority="43494" operator="containsText" text="Yes">
      <formula>NOT(ISERROR(SEARCH(("Yes"),(P247))))</formula>
    </cfRule>
  </conditionalFormatting>
  <conditionalFormatting sqref="P247:Q248">
    <cfRule type="containsText" dxfId="2" priority="43495" operator="containsText" text="Yes">
      <formula>NOT(ISERROR(SEARCH(("Yes"),(P247))))</formula>
    </cfRule>
  </conditionalFormatting>
  <conditionalFormatting sqref="N247:O248">
    <cfRule type="containsText" dxfId="9" priority="43496" operator="containsText" text="No">
      <formula>NOT(ISERROR(SEARCH(("No"),(N247))))</formula>
    </cfRule>
  </conditionalFormatting>
  <conditionalFormatting sqref="N247:O248">
    <cfRule type="containsText" dxfId="9" priority="43497" operator="containsText" text="No">
      <formula>NOT(ISERROR(SEARCH(("No"),(N247))))</formula>
    </cfRule>
  </conditionalFormatting>
  <conditionalFormatting sqref="N247:O248">
    <cfRule type="containsText" dxfId="9" priority="43498" operator="containsText" text="No">
      <formula>NOT(ISERROR(SEARCH(("No"),(N247))))</formula>
    </cfRule>
  </conditionalFormatting>
  <conditionalFormatting sqref="N247:O248">
    <cfRule type="containsText" dxfId="9" priority="43499" operator="containsText" text="No">
      <formula>NOT(ISERROR(SEARCH(("No"),(N247))))</formula>
    </cfRule>
  </conditionalFormatting>
  <conditionalFormatting sqref="N247:O248">
    <cfRule type="containsText" dxfId="9" priority="43500" operator="containsText" text="No">
      <formula>NOT(ISERROR(SEARCH(("No"),(N247))))</formula>
    </cfRule>
  </conditionalFormatting>
  <conditionalFormatting sqref="N247:O248">
    <cfRule type="containsText" dxfId="9" priority="43501" operator="containsText" text="No">
      <formula>NOT(ISERROR(SEARCH(("No"),(N247))))</formula>
    </cfRule>
  </conditionalFormatting>
  <conditionalFormatting sqref="N247:O248">
    <cfRule type="containsText" dxfId="9" priority="43502" operator="containsText" text="No">
      <formula>NOT(ISERROR(SEARCH(("No"),(N247))))</formula>
    </cfRule>
  </conditionalFormatting>
  <conditionalFormatting sqref="N247:O248">
    <cfRule type="containsText" dxfId="9" priority="43503" operator="containsText" text="No">
      <formula>NOT(ISERROR(SEARCH(("No"),(N247))))</formula>
    </cfRule>
  </conditionalFormatting>
  <conditionalFormatting sqref="N247:O248">
    <cfRule type="containsText" dxfId="9" priority="43504" operator="containsText" text="No">
      <formula>NOT(ISERROR(SEARCH(("No"),(N247))))</formula>
    </cfRule>
  </conditionalFormatting>
  <conditionalFormatting sqref="N247:O248">
    <cfRule type="containsText" dxfId="9" priority="43505" operator="containsText" text="No">
      <formula>NOT(ISERROR(SEARCH(("No"),(N247))))</formula>
    </cfRule>
  </conditionalFormatting>
  <conditionalFormatting sqref="N247:O248">
    <cfRule type="containsText" dxfId="9" priority="43506" operator="containsText" text="No">
      <formula>NOT(ISERROR(SEARCH(("No"),(N247))))</formula>
    </cfRule>
  </conditionalFormatting>
  <conditionalFormatting sqref="N247:O248">
    <cfRule type="containsText" dxfId="9" priority="43507" operator="containsText" text="No">
      <formula>NOT(ISERROR(SEARCH(("No"),(N247))))</formula>
    </cfRule>
  </conditionalFormatting>
  <conditionalFormatting sqref="N247:O248">
    <cfRule type="containsText" dxfId="9" priority="43508" operator="containsText" text="No">
      <formula>NOT(ISERROR(SEARCH(("No"),(N247))))</formula>
    </cfRule>
  </conditionalFormatting>
  <conditionalFormatting sqref="N247:O248">
    <cfRule type="containsText" dxfId="9" priority="43509" operator="containsText" text="No">
      <formula>NOT(ISERROR(SEARCH(("No"),(N247))))</formula>
    </cfRule>
  </conditionalFormatting>
  <conditionalFormatting sqref="N247:O248">
    <cfRule type="containsText" dxfId="9" priority="43510" operator="containsText" text="No">
      <formula>NOT(ISERROR(SEARCH(("No"),(N247))))</formula>
    </cfRule>
  </conditionalFormatting>
  <conditionalFormatting sqref="N247:O248">
    <cfRule type="containsText" dxfId="9" priority="43511" operator="containsText" text="No">
      <formula>NOT(ISERROR(SEARCH(("No"),(N247))))</formula>
    </cfRule>
  </conditionalFormatting>
  <conditionalFormatting sqref="N247:O248">
    <cfRule type="containsText" dxfId="9" priority="43512" operator="containsText" text="No">
      <formula>NOT(ISERROR(SEARCH(("No"),(N247))))</formula>
    </cfRule>
  </conditionalFormatting>
  <conditionalFormatting sqref="N247:O248">
    <cfRule type="containsText" dxfId="9" priority="43513" operator="containsText" text="No">
      <formula>NOT(ISERROR(SEARCH(("No"),(N247))))</formula>
    </cfRule>
  </conditionalFormatting>
  <conditionalFormatting sqref="N247:O248">
    <cfRule type="containsText" dxfId="9" priority="43514" operator="containsText" text="No">
      <formula>NOT(ISERROR(SEARCH(("No"),(N247))))</formula>
    </cfRule>
  </conditionalFormatting>
  <conditionalFormatting sqref="N247:O248">
    <cfRule type="containsText" dxfId="9" priority="43515" operator="containsText" text="No">
      <formula>NOT(ISERROR(SEARCH(("No"),(N247))))</formula>
    </cfRule>
  </conditionalFormatting>
  <conditionalFormatting sqref="N247:O248">
    <cfRule type="containsText" dxfId="9" priority="43516" operator="containsText" text="No">
      <formula>NOT(ISERROR(SEARCH(("No"),(N247))))</formula>
    </cfRule>
  </conditionalFormatting>
  <conditionalFormatting sqref="N247:O248">
    <cfRule type="containsText" dxfId="9" priority="43517" operator="containsText" text="No">
      <formula>NOT(ISERROR(SEARCH(("No"),(N247))))</formula>
    </cfRule>
  </conditionalFormatting>
  <conditionalFormatting sqref="N247:O248">
    <cfRule type="containsText" dxfId="9" priority="43518" operator="containsText" text="No">
      <formula>NOT(ISERROR(SEARCH(("No"),(N247))))</formula>
    </cfRule>
  </conditionalFormatting>
  <conditionalFormatting sqref="N247:O248">
    <cfRule type="containsText" dxfId="9" priority="43519" operator="containsText" text="No">
      <formula>NOT(ISERROR(SEARCH(("No"),(N247))))</formula>
    </cfRule>
  </conditionalFormatting>
  <conditionalFormatting sqref="N247:O248">
    <cfRule type="containsText" dxfId="9" priority="43520" operator="containsText" text="No">
      <formula>NOT(ISERROR(SEARCH(("No"),(N247))))</formula>
    </cfRule>
  </conditionalFormatting>
  <conditionalFormatting sqref="N247:O248">
    <cfRule type="containsText" dxfId="9" priority="43521" operator="containsText" text="No">
      <formula>NOT(ISERROR(SEARCH(("No"),(N247))))</formula>
    </cfRule>
  </conditionalFormatting>
  <conditionalFormatting sqref="N247:O248">
    <cfRule type="containsText" dxfId="9" priority="43522" operator="containsText" text="No">
      <formula>NOT(ISERROR(SEARCH(("No"),(N247))))</formula>
    </cfRule>
  </conditionalFormatting>
  <conditionalFormatting sqref="N247:O248">
    <cfRule type="containsText" dxfId="9" priority="43523" operator="containsText" text="No">
      <formula>NOT(ISERROR(SEARCH(("No"),(N247))))</formula>
    </cfRule>
  </conditionalFormatting>
  <conditionalFormatting sqref="N247:O248">
    <cfRule type="containsText" dxfId="9" priority="43524" operator="containsText" text="No">
      <formula>NOT(ISERROR(SEARCH(("No"),(N247))))</formula>
    </cfRule>
  </conditionalFormatting>
  <conditionalFormatting sqref="N247:O248">
    <cfRule type="containsText" dxfId="9" priority="43525" operator="containsText" text="No">
      <formula>NOT(ISERROR(SEARCH(("No"),(N247))))</formula>
    </cfRule>
  </conditionalFormatting>
  <conditionalFormatting sqref="N247:O248">
    <cfRule type="containsText" dxfId="9" priority="43526" operator="containsText" text="No">
      <formula>NOT(ISERROR(SEARCH(("No"),(N247))))</formula>
    </cfRule>
  </conditionalFormatting>
  <conditionalFormatting sqref="N247:O248">
    <cfRule type="containsText" dxfId="9" priority="43527" operator="containsText" text="No">
      <formula>NOT(ISERROR(SEARCH(("No"),(N247))))</formula>
    </cfRule>
  </conditionalFormatting>
  <conditionalFormatting sqref="N247:O248">
    <cfRule type="containsText" dxfId="9" priority="43528" operator="containsText" text="No">
      <formula>NOT(ISERROR(SEARCH(("No"),(N247))))</formula>
    </cfRule>
  </conditionalFormatting>
  <conditionalFormatting sqref="N247:O248">
    <cfRule type="containsText" dxfId="9" priority="43529" operator="containsText" text="No">
      <formula>NOT(ISERROR(SEARCH(("No"),(N247))))</formula>
    </cfRule>
  </conditionalFormatting>
  <conditionalFormatting sqref="N247:O248">
    <cfRule type="containsText" dxfId="9" priority="43530" operator="containsText" text="No">
      <formula>NOT(ISERROR(SEARCH(("No"),(N247))))</formula>
    </cfRule>
  </conditionalFormatting>
  <conditionalFormatting sqref="N247:O248">
    <cfRule type="containsText" dxfId="9" priority="43531" operator="containsText" text="No">
      <formula>NOT(ISERROR(SEARCH(("No"),(N247))))</formula>
    </cfRule>
  </conditionalFormatting>
  <conditionalFormatting sqref="N247:O248">
    <cfRule type="containsText" dxfId="9" priority="43532" operator="containsText" text="No">
      <formula>NOT(ISERROR(SEARCH(("No"),(N247))))</formula>
    </cfRule>
  </conditionalFormatting>
  <conditionalFormatting sqref="N247:O248">
    <cfRule type="containsText" dxfId="9" priority="43533" operator="containsText" text="No">
      <formula>NOT(ISERROR(SEARCH(("No"),(N247))))</formula>
    </cfRule>
  </conditionalFormatting>
  <conditionalFormatting sqref="N247:O248">
    <cfRule type="containsText" dxfId="9" priority="43534" operator="containsText" text="No">
      <formula>NOT(ISERROR(SEARCH(("No"),(N247))))</formula>
    </cfRule>
  </conditionalFormatting>
  <conditionalFormatting sqref="N247:O248">
    <cfRule type="containsText" dxfId="9" priority="43535" operator="containsText" text="No">
      <formula>NOT(ISERROR(SEARCH(("No"),(N247))))</formula>
    </cfRule>
  </conditionalFormatting>
  <conditionalFormatting sqref="N247:O248">
    <cfRule type="containsText" dxfId="9" priority="43536" operator="containsText" text="No">
      <formula>NOT(ISERROR(SEARCH(("No"),(N247))))</formula>
    </cfRule>
  </conditionalFormatting>
  <conditionalFormatting sqref="N247:O248">
    <cfRule type="containsText" dxfId="9" priority="43537" operator="containsText" text="No">
      <formula>NOT(ISERROR(SEARCH(("No"),(N247))))</formula>
    </cfRule>
  </conditionalFormatting>
  <conditionalFormatting sqref="N247:O248">
    <cfRule type="containsText" dxfId="9" priority="43538" operator="containsText" text="No">
      <formula>NOT(ISERROR(SEARCH(("No"),(N247))))</formula>
    </cfRule>
  </conditionalFormatting>
  <conditionalFormatting sqref="N247:O248">
    <cfRule type="containsText" dxfId="9" priority="43539" operator="containsText" text="No">
      <formula>NOT(ISERROR(SEARCH(("No"),(N247))))</formula>
    </cfRule>
  </conditionalFormatting>
  <conditionalFormatting sqref="N247:O248">
    <cfRule type="containsText" dxfId="9" priority="43540" operator="containsText" text="No">
      <formula>NOT(ISERROR(SEARCH(("No"),(N247))))</formula>
    </cfRule>
  </conditionalFormatting>
  <conditionalFormatting sqref="N247:O248">
    <cfRule type="containsText" dxfId="2" priority="43541" operator="containsText" text="Yes">
      <formula>NOT(ISERROR(SEARCH(("Yes"),(N247))))</formula>
    </cfRule>
  </conditionalFormatting>
  <conditionalFormatting sqref="N247:O248">
    <cfRule type="containsText" dxfId="2" priority="43542" operator="containsText" text="Yes">
      <formula>NOT(ISERROR(SEARCH(("Yes"),(N247))))</formula>
    </cfRule>
  </conditionalFormatting>
  <conditionalFormatting sqref="N247:O248">
    <cfRule type="containsText" dxfId="2" priority="43543" operator="containsText" text="Yes">
      <formula>NOT(ISERROR(SEARCH(("Yes"),(N247))))</formula>
    </cfRule>
  </conditionalFormatting>
  <conditionalFormatting sqref="N247:O248">
    <cfRule type="containsText" dxfId="2" priority="43544" operator="containsText" text="Yes">
      <formula>NOT(ISERROR(SEARCH(("Yes"),(N247))))</formula>
    </cfRule>
  </conditionalFormatting>
  <conditionalFormatting sqref="N247:O248">
    <cfRule type="containsText" dxfId="2" priority="43545" operator="containsText" text="Yes">
      <formula>NOT(ISERROR(SEARCH(("Yes"),(N247))))</formula>
    </cfRule>
  </conditionalFormatting>
  <conditionalFormatting sqref="N247:O248">
    <cfRule type="containsText" dxfId="2" priority="43546" operator="containsText" text="Yes">
      <formula>NOT(ISERROR(SEARCH(("Yes"),(N247))))</formula>
    </cfRule>
  </conditionalFormatting>
  <conditionalFormatting sqref="N247:O248">
    <cfRule type="containsText" dxfId="2" priority="43547" operator="containsText" text="Yes">
      <formula>NOT(ISERROR(SEARCH(("Yes"),(N247))))</formula>
    </cfRule>
  </conditionalFormatting>
  <conditionalFormatting sqref="N247:O248">
    <cfRule type="containsText" dxfId="2" priority="43548" operator="containsText" text="Yes">
      <formula>NOT(ISERROR(SEARCH(("Yes"),(N247))))</formula>
    </cfRule>
  </conditionalFormatting>
  <conditionalFormatting sqref="N247:O248">
    <cfRule type="containsText" dxfId="2" priority="43549" operator="containsText" text="Yes">
      <formula>NOT(ISERROR(SEARCH(("Yes"),(N247))))</formula>
    </cfRule>
  </conditionalFormatting>
  <conditionalFormatting sqref="N247:O248">
    <cfRule type="containsText" dxfId="2" priority="43550" operator="containsText" text="Yes">
      <formula>NOT(ISERROR(SEARCH(("Yes"),(N247))))</formula>
    </cfRule>
  </conditionalFormatting>
  <conditionalFormatting sqref="N247:O248">
    <cfRule type="containsText" dxfId="2" priority="43551" operator="containsText" text="Yes">
      <formula>NOT(ISERROR(SEARCH(("Yes"),(N247))))</formula>
    </cfRule>
  </conditionalFormatting>
  <conditionalFormatting sqref="N247:O248">
    <cfRule type="containsText" dxfId="2" priority="43552" operator="containsText" text="Yes">
      <formula>NOT(ISERROR(SEARCH(("Yes"),(N247))))</formula>
    </cfRule>
  </conditionalFormatting>
  <conditionalFormatting sqref="N247:O248">
    <cfRule type="containsText" dxfId="2" priority="43553" operator="containsText" text="Yes">
      <formula>NOT(ISERROR(SEARCH(("Yes"),(N247))))</formula>
    </cfRule>
  </conditionalFormatting>
  <conditionalFormatting sqref="N247:O248">
    <cfRule type="containsText" dxfId="2" priority="43554" operator="containsText" text="Yes">
      <formula>NOT(ISERROR(SEARCH(("Yes"),(N247))))</formula>
    </cfRule>
  </conditionalFormatting>
  <conditionalFormatting sqref="N247:O248">
    <cfRule type="containsText" dxfId="2" priority="43555" operator="containsText" text="Yes">
      <formula>NOT(ISERROR(SEARCH(("Yes"),(N247))))</formula>
    </cfRule>
  </conditionalFormatting>
  <conditionalFormatting sqref="N247:O248">
    <cfRule type="containsText" dxfId="2" priority="43556" operator="containsText" text="Yes">
      <formula>NOT(ISERROR(SEARCH(("Yes"),(N247))))</formula>
    </cfRule>
  </conditionalFormatting>
  <conditionalFormatting sqref="N247:O248">
    <cfRule type="containsText" dxfId="2" priority="43557" operator="containsText" text="Yes">
      <formula>NOT(ISERROR(SEARCH(("Yes"),(N247))))</formula>
    </cfRule>
  </conditionalFormatting>
  <conditionalFormatting sqref="N247:O248">
    <cfRule type="containsText" dxfId="2" priority="43558" operator="containsText" text="Yes">
      <formula>NOT(ISERROR(SEARCH(("Yes"),(N247))))</formula>
    </cfRule>
  </conditionalFormatting>
  <conditionalFormatting sqref="N247:O248">
    <cfRule type="containsText" dxfId="2" priority="43559" operator="containsText" text="Yes">
      <formula>NOT(ISERROR(SEARCH(("Yes"),(N247))))</formula>
    </cfRule>
  </conditionalFormatting>
  <conditionalFormatting sqref="N247:O248">
    <cfRule type="containsText" dxfId="2" priority="43560" operator="containsText" text="Yes">
      <formula>NOT(ISERROR(SEARCH(("Yes"),(N247))))</formula>
    </cfRule>
  </conditionalFormatting>
  <conditionalFormatting sqref="N247:O248">
    <cfRule type="containsText" dxfId="2" priority="43561" operator="containsText" text="Yes">
      <formula>NOT(ISERROR(SEARCH(("Yes"),(N247))))</formula>
    </cfRule>
  </conditionalFormatting>
  <conditionalFormatting sqref="N247:O248">
    <cfRule type="containsText" dxfId="2" priority="43562" operator="containsText" text="Yes">
      <formula>NOT(ISERROR(SEARCH(("Yes"),(N247))))</formula>
    </cfRule>
  </conditionalFormatting>
  <conditionalFormatting sqref="N247:O248">
    <cfRule type="containsText" dxfId="2" priority="43563" operator="containsText" text="Yes">
      <formula>NOT(ISERROR(SEARCH(("Yes"),(N247))))</formula>
    </cfRule>
  </conditionalFormatting>
  <conditionalFormatting sqref="N247:O248">
    <cfRule type="containsText" dxfId="2" priority="43564" operator="containsText" text="Yes">
      <formula>NOT(ISERROR(SEARCH(("Yes"),(N247))))</formula>
    </cfRule>
  </conditionalFormatting>
  <conditionalFormatting sqref="N247:O248">
    <cfRule type="containsText" dxfId="2" priority="43565" operator="containsText" text="Yes">
      <formula>NOT(ISERROR(SEARCH(("Yes"),(N247))))</formula>
    </cfRule>
  </conditionalFormatting>
  <conditionalFormatting sqref="N247:O248">
    <cfRule type="containsText" dxfId="2" priority="43566" operator="containsText" text="Yes">
      <formula>NOT(ISERROR(SEARCH(("Yes"),(N247))))</formula>
    </cfRule>
  </conditionalFormatting>
  <conditionalFormatting sqref="N247:O248">
    <cfRule type="containsText" dxfId="2" priority="43567" operator="containsText" text="Yes">
      <formula>NOT(ISERROR(SEARCH(("Yes"),(N247))))</formula>
    </cfRule>
  </conditionalFormatting>
  <conditionalFormatting sqref="N247:O248">
    <cfRule type="containsText" dxfId="2" priority="43568" operator="containsText" text="Yes">
      <formula>NOT(ISERROR(SEARCH(("Yes"),(N247))))</formula>
    </cfRule>
  </conditionalFormatting>
  <conditionalFormatting sqref="N247:O248">
    <cfRule type="containsText" dxfId="2" priority="43569" operator="containsText" text="Yes">
      <formula>NOT(ISERROR(SEARCH(("Yes"),(N247))))</formula>
    </cfRule>
  </conditionalFormatting>
  <conditionalFormatting sqref="N247:O248">
    <cfRule type="containsText" dxfId="2" priority="43570" operator="containsText" text="Yes">
      <formula>NOT(ISERROR(SEARCH(("Yes"),(N247))))</formula>
    </cfRule>
  </conditionalFormatting>
  <conditionalFormatting sqref="N247:O248">
    <cfRule type="containsText" dxfId="2" priority="43571" operator="containsText" text="Yes">
      <formula>NOT(ISERROR(SEARCH(("Yes"),(N247))))</formula>
    </cfRule>
  </conditionalFormatting>
  <conditionalFormatting sqref="N247:O248">
    <cfRule type="containsText" dxfId="2" priority="43572" operator="containsText" text="Yes">
      <formula>NOT(ISERROR(SEARCH(("Yes"),(N247))))</formula>
    </cfRule>
  </conditionalFormatting>
  <conditionalFormatting sqref="N247:O248">
    <cfRule type="containsText" dxfId="2" priority="43573" operator="containsText" text="Yes">
      <formula>NOT(ISERROR(SEARCH(("Yes"),(N247))))</formula>
    </cfRule>
  </conditionalFormatting>
  <conditionalFormatting sqref="N247:O248">
    <cfRule type="containsText" dxfId="2" priority="43574" operator="containsText" text="Yes">
      <formula>NOT(ISERROR(SEARCH(("Yes"),(N247))))</formula>
    </cfRule>
  </conditionalFormatting>
  <conditionalFormatting sqref="N247:O248">
    <cfRule type="containsText" dxfId="2" priority="43575" operator="containsText" text="Yes">
      <formula>NOT(ISERROR(SEARCH(("Yes"),(N247))))</formula>
    </cfRule>
  </conditionalFormatting>
  <conditionalFormatting sqref="N247:O248">
    <cfRule type="containsText" dxfId="2" priority="43576" operator="containsText" text="Yes">
      <formula>NOT(ISERROR(SEARCH(("Yes"),(N247))))</formula>
    </cfRule>
  </conditionalFormatting>
  <conditionalFormatting sqref="N247:O248">
    <cfRule type="containsText" dxfId="2" priority="43577" operator="containsText" text="Yes">
      <formula>NOT(ISERROR(SEARCH(("Yes"),(N247))))</formula>
    </cfRule>
  </conditionalFormatting>
  <conditionalFormatting sqref="N247:O248">
    <cfRule type="containsText" dxfId="2" priority="43578" operator="containsText" text="Yes">
      <formula>NOT(ISERROR(SEARCH(("Yes"),(N247))))</formula>
    </cfRule>
  </conditionalFormatting>
  <conditionalFormatting sqref="N247:O248">
    <cfRule type="containsText" dxfId="2" priority="43579" operator="containsText" text="Yes">
      <formula>NOT(ISERROR(SEARCH(("Yes"),(N247))))</formula>
    </cfRule>
  </conditionalFormatting>
  <conditionalFormatting sqref="N247:O248">
    <cfRule type="containsText" dxfId="2" priority="43580" operator="containsText" text="Yes">
      <formula>NOT(ISERROR(SEARCH(("Yes"),(N247))))</formula>
    </cfRule>
  </conditionalFormatting>
  <conditionalFormatting sqref="N247:O248">
    <cfRule type="containsText" dxfId="2" priority="43581" operator="containsText" text="Yes">
      <formula>NOT(ISERROR(SEARCH(("Yes"),(N247))))</formula>
    </cfRule>
  </conditionalFormatting>
  <conditionalFormatting sqref="N247:O248">
    <cfRule type="containsText" dxfId="2" priority="43582" operator="containsText" text="Yes">
      <formula>NOT(ISERROR(SEARCH(("Yes"),(N247))))</formula>
    </cfRule>
  </conditionalFormatting>
  <conditionalFormatting sqref="N247:O248">
    <cfRule type="containsText" dxfId="2" priority="43583" operator="containsText" text="Yes">
      <formula>NOT(ISERROR(SEARCH(("Yes"),(N247))))</formula>
    </cfRule>
  </conditionalFormatting>
  <conditionalFormatting sqref="N247:O248">
    <cfRule type="containsText" dxfId="2" priority="43584" operator="containsText" text="Yes">
      <formula>NOT(ISERROR(SEARCH(("Yes"),(N247))))</formula>
    </cfRule>
  </conditionalFormatting>
  <conditionalFormatting sqref="N247:O248">
    <cfRule type="containsText" dxfId="2" priority="43585" operator="containsText" text="Yes">
      <formula>NOT(ISERROR(SEARCH(("Yes"),(N247))))</formula>
    </cfRule>
  </conditionalFormatting>
  <conditionalFormatting sqref="N247:O248">
    <cfRule type="containsText" dxfId="2" priority="43586" operator="containsText" text="Yes">
      <formula>NOT(ISERROR(SEARCH(("Yes"),(N247))))</formula>
    </cfRule>
  </conditionalFormatting>
  <conditionalFormatting sqref="N247:O248">
    <cfRule type="containsText" dxfId="2" priority="43587" operator="containsText" text="Yes">
      <formula>NOT(ISERROR(SEARCH(("Yes"),(N247))))</formula>
    </cfRule>
  </conditionalFormatting>
  <conditionalFormatting sqref="P248:Q248">
    <cfRule type="containsText" dxfId="9" priority="43588" operator="containsText" text="No">
      <formula>NOT(ISERROR(SEARCH(("No"),(P248))))</formula>
    </cfRule>
  </conditionalFormatting>
  <conditionalFormatting sqref="P248:Q248">
    <cfRule type="containsText" dxfId="9" priority="43589" operator="containsText" text="No">
      <formula>NOT(ISERROR(SEARCH(("No"),(P248))))</formula>
    </cfRule>
  </conditionalFormatting>
  <conditionalFormatting sqref="P248:Q248">
    <cfRule type="containsText" dxfId="9" priority="43590" operator="containsText" text="No">
      <formula>NOT(ISERROR(SEARCH(("No"),(P248))))</formula>
    </cfRule>
  </conditionalFormatting>
  <conditionalFormatting sqref="P248:Q248">
    <cfRule type="containsText" dxfId="9" priority="43591" operator="containsText" text="No">
      <formula>NOT(ISERROR(SEARCH(("No"),(P248))))</formula>
    </cfRule>
  </conditionalFormatting>
  <conditionalFormatting sqref="P248:Q248">
    <cfRule type="containsText" dxfId="9" priority="43592" operator="containsText" text="No">
      <formula>NOT(ISERROR(SEARCH(("No"),(P248))))</formula>
    </cfRule>
  </conditionalFormatting>
  <conditionalFormatting sqref="P248:Q248">
    <cfRule type="containsText" dxfId="9" priority="43593" operator="containsText" text="No">
      <formula>NOT(ISERROR(SEARCH(("No"),(P248))))</formula>
    </cfRule>
  </conditionalFormatting>
  <conditionalFormatting sqref="P248:Q248">
    <cfRule type="containsText" dxfId="9" priority="43594" operator="containsText" text="No">
      <formula>NOT(ISERROR(SEARCH(("No"),(P248))))</formula>
    </cfRule>
  </conditionalFormatting>
  <conditionalFormatting sqref="P248:Q248">
    <cfRule type="containsText" dxfId="9" priority="43595" operator="containsText" text="No">
      <formula>NOT(ISERROR(SEARCH(("No"),(P248))))</formula>
    </cfRule>
  </conditionalFormatting>
  <conditionalFormatting sqref="P248:Q248">
    <cfRule type="containsText" dxfId="9" priority="43596" operator="containsText" text="No">
      <formula>NOT(ISERROR(SEARCH(("No"),(P248))))</formula>
    </cfRule>
  </conditionalFormatting>
  <conditionalFormatting sqref="P248:Q248">
    <cfRule type="containsText" dxfId="9" priority="43597" operator="containsText" text="No">
      <formula>NOT(ISERROR(SEARCH(("No"),(P248))))</formula>
    </cfRule>
  </conditionalFormatting>
  <conditionalFormatting sqref="P248:Q248">
    <cfRule type="containsText" dxfId="9" priority="43598" operator="containsText" text="No">
      <formula>NOT(ISERROR(SEARCH(("No"),(P248))))</formula>
    </cfRule>
  </conditionalFormatting>
  <conditionalFormatting sqref="P248:Q248">
    <cfRule type="containsText" dxfId="9" priority="43599" operator="containsText" text="No">
      <formula>NOT(ISERROR(SEARCH(("No"),(P248))))</formula>
    </cfRule>
  </conditionalFormatting>
  <conditionalFormatting sqref="P248:Q248">
    <cfRule type="containsText" dxfId="9" priority="43600" operator="containsText" text="No">
      <formula>NOT(ISERROR(SEARCH(("No"),(P248))))</formula>
    </cfRule>
  </conditionalFormatting>
  <conditionalFormatting sqref="P248:Q248">
    <cfRule type="containsText" dxfId="9" priority="43601" operator="containsText" text="No">
      <formula>NOT(ISERROR(SEARCH(("No"),(P248))))</formula>
    </cfRule>
  </conditionalFormatting>
  <conditionalFormatting sqref="P248:Q248">
    <cfRule type="containsText" dxfId="9" priority="43602" operator="containsText" text="No">
      <formula>NOT(ISERROR(SEARCH(("No"),(P248))))</formula>
    </cfRule>
  </conditionalFormatting>
  <conditionalFormatting sqref="P248:Q248">
    <cfRule type="containsText" dxfId="9" priority="43603" operator="containsText" text="No">
      <formula>NOT(ISERROR(SEARCH(("No"),(P248))))</formula>
    </cfRule>
  </conditionalFormatting>
  <conditionalFormatting sqref="P248:Q248">
    <cfRule type="containsText" dxfId="9" priority="43604" operator="containsText" text="No">
      <formula>NOT(ISERROR(SEARCH(("No"),(P248))))</formula>
    </cfRule>
  </conditionalFormatting>
  <conditionalFormatting sqref="P248:Q248">
    <cfRule type="containsText" dxfId="9" priority="43605" operator="containsText" text="No">
      <formula>NOT(ISERROR(SEARCH(("No"),(P248))))</formula>
    </cfRule>
  </conditionalFormatting>
  <conditionalFormatting sqref="P248:Q248">
    <cfRule type="containsText" dxfId="9" priority="43606" operator="containsText" text="No">
      <formula>NOT(ISERROR(SEARCH(("No"),(P248))))</formula>
    </cfRule>
  </conditionalFormatting>
  <conditionalFormatting sqref="P248:Q248">
    <cfRule type="containsText" dxfId="9" priority="43607" operator="containsText" text="No">
      <formula>NOT(ISERROR(SEARCH(("No"),(P248))))</formula>
    </cfRule>
  </conditionalFormatting>
  <conditionalFormatting sqref="P248:Q248">
    <cfRule type="containsText" dxfId="9" priority="43608" operator="containsText" text="No">
      <formula>NOT(ISERROR(SEARCH(("No"),(P248))))</formula>
    </cfRule>
  </conditionalFormatting>
  <conditionalFormatting sqref="P248:Q248">
    <cfRule type="containsText" dxfId="9" priority="43609" operator="containsText" text="No">
      <formula>NOT(ISERROR(SEARCH(("No"),(P248))))</formula>
    </cfRule>
  </conditionalFormatting>
  <conditionalFormatting sqref="P248:Q248">
    <cfRule type="containsText" dxfId="9" priority="43610" operator="containsText" text="No">
      <formula>NOT(ISERROR(SEARCH(("No"),(P248))))</formula>
    </cfRule>
  </conditionalFormatting>
  <conditionalFormatting sqref="P248:Q248">
    <cfRule type="containsText" dxfId="9" priority="43611" operator="containsText" text="No">
      <formula>NOT(ISERROR(SEARCH(("No"),(P248))))</formula>
    </cfRule>
  </conditionalFormatting>
  <conditionalFormatting sqref="P248:Q248">
    <cfRule type="containsText" dxfId="9" priority="43612" operator="containsText" text="No">
      <formula>NOT(ISERROR(SEARCH(("No"),(P248))))</formula>
    </cfRule>
  </conditionalFormatting>
  <conditionalFormatting sqref="P248:Q248">
    <cfRule type="containsText" dxfId="9" priority="43613" operator="containsText" text="No">
      <formula>NOT(ISERROR(SEARCH(("No"),(P248))))</formula>
    </cfRule>
  </conditionalFormatting>
  <conditionalFormatting sqref="P248:Q248">
    <cfRule type="containsText" dxfId="9" priority="43614" operator="containsText" text="No">
      <formula>NOT(ISERROR(SEARCH(("No"),(P248))))</formula>
    </cfRule>
  </conditionalFormatting>
  <conditionalFormatting sqref="P248:Q248">
    <cfRule type="containsText" dxfId="9" priority="43615" operator="containsText" text="No">
      <formula>NOT(ISERROR(SEARCH(("No"),(P248))))</formula>
    </cfRule>
  </conditionalFormatting>
  <conditionalFormatting sqref="P248:Q248">
    <cfRule type="containsText" dxfId="9" priority="43616" operator="containsText" text="No">
      <formula>NOT(ISERROR(SEARCH(("No"),(P248))))</formula>
    </cfRule>
  </conditionalFormatting>
  <conditionalFormatting sqref="P248:Q248">
    <cfRule type="containsText" dxfId="9" priority="43617" operator="containsText" text="No">
      <formula>NOT(ISERROR(SEARCH(("No"),(P248))))</formula>
    </cfRule>
  </conditionalFormatting>
  <conditionalFormatting sqref="P248:Q248">
    <cfRule type="containsText" dxfId="9" priority="43618" operator="containsText" text="No">
      <formula>NOT(ISERROR(SEARCH(("No"),(P248))))</formula>
    </cfRule>
  </conditionalFormatting>
  <conditionalFormatting sqref="P248:Q248">
    <cfRule type="containsText" dxfId="9" priority="43619" operator="containsText" text="No">
      <formula>NOT(ISERROR(SEARCH(("No"),(P248))))</formula>
    </cfRule>
  </conditionalFormatting>
  <conditionalFormatting sqref="P248:Q248">
    <cfRule type="containsText" dxfId="9" priority="43620" operator="containsText" text="No">
      <formula>NOT(ISERROR(SEARCH(("No"),(P248))))</formula>
    </cfRule>
  </conditionalFormatting>
  <conditionalFormatting sqref="P248:Q248">
    <cfRule type="containsText" dxfId="9" priority="43621" operator="containsText" text="No">
      <formula>NOT(ISERROR(SEARCH(("No"),(P248))))</formula>
    </cfRule>
  </conditionalFormatting>
  <conditionalFormatting sqref="P248:Q248">
    <cfRule type="containsText" dxfId="9" priority="43622" operator="containsText" text="No">
      <formula>NOT(ISERROR(SEARCH(("No"),(P248))))</formula>
    </cfRule>
  </conditionalFormatting>
  <conditionalFormatting sqref="P248:Q248">
    <cfRule type="containsText" dxfId="9" priority="43623" operator="containsText" text="No">
      <formula>NOT(ISERROR(SEARCH(("No"),(P248))))</formula>
    </cfRule>
  </conditionalFormatting>
  <conditionalFormatting sqref="P248:Q248">
    <cfRule type="containsText" dxfId="9" priority="43624" operator="containsText" text="No">
      <formula>NOT(ISERROR(SEARCH(("No"),(P248))))</formula>
    </cfRule>
  </conditionalFormatting>
  <conditionalFormatting sqref="P248:Q248">
    <cfRule type="containsText" dxfId="9" priority="43625" operator="containsText" text="No">
      <formula>NOT(ISERROR(SEARCH(("No"),(P248))))</formula>
    </cfRule>
  </conditionalFormatting>
  <conditionalFormatting sqref="P248:Q248">
    <cfRule type="containsText" dxfId="9" priority="43626" operator="containsText" text="No">
      <formula>NOT(ISERROR(SEARCH(("No"),(P248))))</formula>
    </cfRule>
  </conditionalFormatting>
  <conditionalFormatting sqref="P248:Q248">
    <cfRule type="containsText" dxfId="9" priority="43627" operator="containsText" text="No">
      <formula>NOT(ISERROR(SEARCH(("No"),(P248))))</formula>
    </cfRule>
  </conditionalFormatting>
  <conditionalFormatting sqref="P248:Q248">
    <cfRule type="containsText" dxfId="9" priority="43628" operator="containsText" text="No">
      <formula>NOT(ISERROR(SEARCH(("No"),(P248))))</formula>
    </cfRule>
  </conditionalFormatting>
  <conditionalFormatting sqref="P248:Q248">
    <cfRule type="containsText" dxfId="9" priority="43629" operator="containsText" text="No">
      <formula>NOT(ISERROR(SEARCH(("No"),(P248))))</formula>
    </cfRule>
  </conditionalFormatting>
  <conditionalFormatting sqref="P248:Q248">
    <cfRule type="containsText" dxfId="9" priority="43630" operator="containsText" text="No">
      <formula>NOT(ISERROR(SEARCH(("No"),(P248))))</formula>
    </cfRule>
  </conditionalFormatting>
  <conditionalFormatting sqref="P248:Q248">
    <cfRule type="containsText" dxfId="9" priority="43631" operator="containsText" text="No">
      <formula>NOT(ISERROR(SEARCH(("No"),(P248))))</formula>
    </cfRule>
  </conditionalFormatting>
  <conditionalFormatting sqref="P248:Q248">
    <cfRule type="containsText" dxfId="9" priority="43632" operator="containsText" text="No">
      <formula>NOT(ISERROR(SEARCH(("No"),(P248))))</formula>
    </cfRule>
  </conditionalFormatting>
  <conditionalFormatting sqref="P248:Q248">
    <cfRule type="containsText" dxfId="2" priority="43633" operator="containsText" text="Yes">
      <formula>NOT(ISERROR(SEARCH(("Yes"),(P248))))</formula>
    </cfRule>
  </conditionalFormatting>
  <conditionalFormatting sqref="P248:Q248">
    <cfRule type="containsText" dxfId="2" priority="43634" operator="containsText" text="Yes">
      <formula>NOT(ISERROR(SEARCH(("Yes"),(P248))))</formula>
    </cfRule>
  </conditionalFormatting>
  <conditionalFormatting sqref="P248:Q248">
    <cfRule type="containsText" dxfId="2" priority="43635" operator="containsText" text="Yes">
      <formula>NOT(ISERROR(SEARCH(("Yes"),(P248))))</formula>
    </cfRule>
  </conditionalFormatting>
  <conditionalFormatting sqref="P248:Q248">
    <cfRule type="containsText" dxfId="2" priority="43636" operator="containsText" text="Yes">
      <formula>NOT(ISERROR(SEARCH(("Yes"),(P248))))</formula>
    </cfRule>
  </conditionalFormatting>
  <conditionalFormatting sqref="P248:Q248">
    <cfRule type="containsText" dxfId="2" priority="43637" operator="containsText" text="Yes">
      <formula>NOT(ISERROR(SEARCH(("Yes"),(P248))))</formula>
    </cfRule>
  </conditionalFormatting>
  <conditionalFormatting sqref="P248:Q248">
    <cfRule type="containsText" dxfId="2" priority="43638" operator="containsText" text="Yes">
      <formula>NOT(ISERROR(SEARCH(("Yes"),(P248))))</formula>
    </cfRule>
  </conditionalFormatting>
  <conditionalFormatting sqref="P248:Q248">
    <cfRule type="containsText" dxfId="2" priority="43639" operator="containsText" text="Yes">
      <formula>NOT(ISERROR(SEARCH(("Yes"),(P248))))</formula>
    </cfRule>
  </conditionalFormatting>
  <conditionalFormatting sqref="P248:Q248">
    <cfRule type="containsText" dxfId="2" priority="43640" operator="containsText" text="Yes">
      <formula>NOT(ISERROR(SEARCH(("Yes"),(P248))))</formula>
    </cfRule>
  </conditionalFormatting>
  <conditionalFormatting sqref="P248:Q248">
    <cfRule type="containsText" dxfId="2" priority="43641" operator="containsText" text="Yes">
      <formula>NOT(ISERROR(SEARCH(("Yes"),(P248))))</formula>
    </cfRule>
  </conditionalFormatting>
  <conditionalFormatting sqref="P248:Q248">
    <cfRule type="containsText" dxfId="2" priority="43642" operator="containsText" text="Yes">
      <formula>NOT(ISERROR(SEARCH(("Yes"),(P248))))</formula>
    </cfRule>
  </conditionalFormatting>
  <conditionalFormatting sqref="P248:Q248">
    <cfRule type="containsText" dxfId="2" priority="43643" operator="containsText" text="Yes">
      <formula>NOT(ISERROR(SEARCH(("Yes"),(P248))))</formula>
    </cfRule>
  </conditionalFormatting>
  <conditionalFormatting sqref="P248:Q248">
    <cfRule type="containsText" dxfId="2" priority="43644" operator="containsText" text="Yes">
      <formula>NOT(ISERROR(SEARCH(("Yes"),(P248))))</formula>
    </cfRule>
  </conditionalFormatting>
  <conditionalFormatting sqref="P248:Q248">
    <cfRule type="containsText" dxfId="2" priority="43645" operator="containsText" text="Yes">
      <formula>NOT(ISERROR(SEARCH(("Yes"),(P248))))</formula>
    </cfRule>
  </conditionalFormatting>
  <conditionalFormatting sqref="P248:Q248">
    <cfRule type="containsText" dxfId="2" priority="43646" operator="containsText" text="Yes">
      <formula>NOT(ISERROR(SEARCH(("Yes"),(P248))))</formula>
    </cfRule>
  </conditionalFormatting>
  <conditionalFormatting sqref="P248:Q248">
    <cfRule type="containsText" dxfId="2" priority="43647" operator="containsText" text="Yes">
      <formula>NOT(ISERROR(SEARCH(("Yes"),(P248))))</formula>
    </cfRule>
  </conditionalFormatting>
  <conditionalFormatting sqref="P248:Q248">
    <cfRule type="containsText" dxfId="2" priority="43648" operator="containsText" text="Yes">
      <formula>NOT(ISERROR(SEARCH(("Yes"),(P248))))</formula>
    </cfRule>
  </conditionalFormatting>
  <conditionalFormatting sqref="P248:Q248">
    <cfRule type="containsText" dxfId="2" priority="43649" operator="containsText" text="Yes">
      <formula>NOT(ISERROR(SEARCH(("Yes"),(P248))))</formula>
    </cfRule>
  </conditionalFormatting>
  <conditionalFormatting sqref="P248:Q248">
    <cfRule type="containsText" dxfId="2" priority="43650" operator="containsText" text="Yes">
      <formula>NOT(ISERROR(SEARCH(("Yes"),(P248))))</formula>
    </cfRule>
  </conditionalFormatting>
  <conditionalFormatting sqref="P248:Q248">
    <cfRule type="containsText" dxfId="2" priority="43651" operator="containsText" text="Yes">
      <formula>NOT(ISERROR(SEARCH(("Yes"),(P248))))</formula>
    </cfRule>
  </conditionalFormatting>
  <conditionalFormatting sqref="P248:Q248">
    <cfRule type="containsText" dxfId="2" priority="43652" operator="containsText" text="Yes">
      <formula>NOT(ISERROR(SEARCH(("Yes"),(P248))))</formula>
    </cfRule>
  </conditionalFormatting>
  <conditionalFormatting sqref="P248:Q248">
    <cfRule type="containsText" dxfId="2" priority="43653" operator="containsText" text="Yes">
      <formula>NOT(ISERROR(SEARCH(("Yes"),(P248))))</formula>
    </cfRule>
  </conditionalFormatting>
  <conditionalFormatting sqref="P248:Q248">
    <cfRule type="containsText" dxfId="2" priority="43654" operator="containsText" text="Yes">
      <formula>NOT(ISERROR(SEARCH(("Yes"),(P248))))</formula>
    </cfRule>
  </conditionalFormatting>
  <conditionalFormatting sqref="P248:Q248">
    <cfRule type="containsText" dxfId="2" priority="43655" operator="containsText" text="Yes">
      <formula>NOT(ISERROR(SEARCH(("Yes"),(P248))))</formula>
    </cfRule>
  </conditionalFormatting>
  <conditionalFormatting sqref="P248:Q248">
    <cfRule type="containsText" dxfId="2" priority="43656" operator="containsText" text="Yes">
      <formula>NOT(ISERROR(SEARCH(("Yes"),(P248))))</formula>
    </cfRule>
  </conditionalFormatting>
  <conditionalFormatting sqref="P248:Q248">
    <cfRule type="containsText" dxfId="2" priority="43657" operator="containsText" text="Yes">
      <formula>NOT(ISERROR(SEARCH(("Yes"),(P248))))</formula>
    </cfRule>
  </conditionalFormatting>
  <conditionalFormatting sqref="P248:Q248">
    <cfRule type="containsText" dxfId="2" priority="43658" operator="containsText" text="Yes">
      <formula>NOT(ISERROR(SEARCH(("Yes"),(P248))))</formula>
    </cfRule>
  </conditionalFormatting>
  <conditionalFormatting sqref="P248:Q248">
    <cfRule type="containsText" dxfId="2" priority="43659" operator="containsText" text="Yes">
      <formula>NOT(ISERROR(SEARCH(("Yes"),(P248))))</formula>
    </cfRule>
  </conditionalFormatting>
  <conditionalFormatting sqref="P248:Q248">
    <cfRule type="containsText" dxfId="2" priority="43660" operator="containsText" text="Yes">
      <formula>NOT(ISERROR(SEARCH(("Yes"),(P248))))</formula>
    </cfRule>
  </conditionalFormatting>
  <conditionalFormatting sqref="P248:Q248">
    <cfRule type="containsText" dxfId="2" priority="43661" operator="containsText" text="Yes">
      <formula>NOT(ISERROR(SEARCH(("Yes"),(P248))))</formula>
    </cfRule>
  </conditionalFormatting>
  <conditionalFormatting sqref="P248:Q248">
    <cfRule type="containsText" dxfId="2" priority="43662" operator="containsText" text="Yes">
      <formula>NOT(ISERROR(SEARCH(("Yes"),(P248))))</formula>
    </cfRule>
  </conditionalFormatting>
  <conditionalFormatting sqref="P248:Q248">
    <cfRule type="containsText" dxfId="2" priority="43663" operator="containsText" text="Yes">
      <formula>NOT(ISERROR(SEARCH(("Yes"),(P248))))</formula>
    </cfRule>
  </conditionalFormatting>
  <conditionalFormatting sqref="P248:Q248">
    <cfRule type="containsText" dxfId="2" priority="43664" operator="containsText" text="Yes">
      <formula>NOT(ISERROR(SEARCH(("Yes"),(P248))))</formula>
    </cfRule>
  </conditionalFormatting>
  <conditionalFormatting sqref="P248:Q248">
    <cfRule type="containsText" dxfId="2" priority="43665" operator="containsText" text="Yes">
      <formula>NOT(ISERROR(SEARCH(("Yes"),(P248))))</formula>
    </cfRule>
  </conditionalFormatting>
  <conditionalFormatting sqref="P248:Q248">
    <cfRule type="containsText" dxfId="2" priority="43666" operator="containsText" text="Yes">
      <formula>NOT(ISERROR(SEARCH(("Yes"),(P248))))</formula>
    </cfRule>
  </conditionalFormatting>
  <conditionalFormatting sqref="P248:Q248">
    <cfRule type="containsText" dxfId="2" priority="43667" operator="containsText" text="Yes">
      <formula>NOT(ISERROR(SEARCH(("Yes"),(P248))))</formula>
    </cfRule>
  </conditionalFormatting>
  <conditionalFormatting sqref="P248:Q248">
    <cfRule type="containsText" dxfId="2" priority="43668" operator="containsText" text="Yes">
      <formula>NOT(ISERROR(SEARCH(("Yes"),(P248))))</formula>
    </cfRule>
  </conditionalFormatting>
  <conditionalFormatting sqref="P248:Q248">
    <cfRule type="containsText" dxfId="2" priority="43669" operator="containsText" text="Yes">
      <formula>NOT(ISERROR(SEARCH(("Yes"),(P248))))</formula>
    </cfRule>
  </conditionalFormatting>
  <conditionalFormatting sqref="P248:Q248">
    <cfRule type="containsText" dxfId="2" priority="43670" operator="containsText" text="Yes">
      <formula>NOT(ISERROR(SEARCH(("Yes"),(P248))))</formula>
    </cfRule>
  </conditionalFormatting>
  <conditionalFormatting sqref="P248:Q248">
    <cfRule type="containsText" dxfId="2" priority="43671" operator="containsText" text="Yes">
      <formula>NOT(ISERROR(SEARCH(("Yes"),(P248))))</formula>
    </cfRule>
  </conditionalFormatting>
  <conditionalFormatting sqref="P248:Q248">
    <cfRule type="containsText" dxfId="2" priority="43672" operator="containsText" text="Yes">
      <formula>NOT(ISERROR(SEARCH(("Yes"),(P248))))</formula>
    </cfRule>
  </conditionalFormatting>
  <conditionalFormatting sqref="P248:Q248">
    <cfRule type="containsText" dxfId="2" priority="43673" operator="containsText" text="Yes">
      <formula>NOT(ISERROR(SEARCH(("Yes"),(P248))))</formula>
    </cfRule>
  </conditionalFormatting>
  <conditionalFormatting sqref="P248:Q248">
    <cfRule type="containsText" dxfId="2" priority="43674" operator="containsText" text="Yes">
      <formula>NOT(ISERROR(SEARCH(("Yes"),(P248))))</formula>
    </cfRule>
  </conditionalFormatting>
  <conditionalFormatting sqref="P248:Q248">
    <cfRule type="containsText" dxfId="2" priority="43675" operator="containsText" text="Yes">
      <formula>NOT(ISERROR(SEARCH(("Yes"),(P248))))</formula>
    </cfRule>
  </conditionalFormatting>
  <conditionalFormatting sqref="P248:Q248">
    <cfRule type="containsText" dxfId="2" priority="43676" operator="containsText" text="Yes">
      <formula>NOT(ISERROR(SEARCH(("Yes"),(P248))))</formula>
    </cfRule>
  </conditionalFormatting>
  <conditionalFormatting sqref="P248:Q248">
    <cfRule type="containsText" dxfId="2" priority="43677" operator="containsText" text="Yes">
      <formula>NOT(ISERROR(SEARCH(("Yes"),(P248))))</formula>
    </cfRule>
  </conditionalFormatting>
  <conditionalFormatting sqref="P248:Q248">
    <cfRule type="containsText" dxfId="2" priority="43678" operator="containsText" text="Yes">
      <formula>NOT(ISERROR(SEARCH(("Yes"),(P248))))</formula>
    </cfRule>
  </conditionalFormatting>
  <conditionalFormatting sqref="P248:Q248">
    <cfRule type="containsText" dxfId="2" priority="43679" operator="containsText" text="Yes">
      <formula>NOT(ISERROR(SEARCH(("Yes"),(P248))))</formula>
    </cfRule>
  </conditionalFormatting>
  <conditionalFormatting sqref="N248:O248">
    <cfRule type="containsText" dxfId="9" priority="43680" operator="containsText" text="No">
      <formula>NOT(ISERROR(SEARCH(("No"),(N248))))</formula>
    </cfRule>
  </conditionalFormatting>
  <conditionalFormatting sqref="N248:O248">
    <cfRule type="containsText" dxfId="9" priority="43681" operator="containsText" text="No">
      <formula>NOT(ISERROR(SEARCH(("No"),(N248))))</formula>
    </cfRule>
  </conditionalFormatting>
  <conditionalFormatting sqref="N248:O248">
    <cfRule type="containsText" dxfId="9" priority="43682" operator="containsText" text="No">
      <formula>NOT(ISERROR(SEARCH(("No"),(N248))))</formula>
    </cfRule>
  </conditionalFormatting>
  <conditionalFormatting sqref="N248:O248">
    <cfRule type="containsText" dxfId="9" priority="43683" operator="containsText" text="No">
      <formula>NOT(ISERROR(SEARCH(("No"),(N248))))</formula>
    </cfRule>
  </conditionalFormatting>
  <conditionalFormatting sqref="N248:O248">
    <cfRule type="containsText" dxfId="9" priority="43684" operator="containsText" text="No">
      <formula>NOT(ISERROR(SEARCH(("No"),(N248))))</formula>
    </cfRule>
  </conditionalFormatting>
  <conditionalFormatting sqref="N248:O248">
    <cfRule type="containsText" dxfId="9" priority="43685" operator="containsText" text="No">
      <formula>NOT(ISERROR(SEARCH(("No"),(N248))))</formula>
    </cfRule>
  </conditionalFormatting>
  <conditionalFormatting sqref="N248:O248">
    <cfRule type="containsText" dxfId="9" priority="43686" operator="containsText" text="No">
      <formula>NOT(ISERROR(SEARCH(("No"),(N248))))</formula>
    </cfRule>
  </conditionalFormatting>
  <conditionalFormatting sqref="N248:O248">
    <cfRule type="containsText" dxfId="9" priority="43687" operator="containsText" text="No">
      <formula>NOT(ISERROR(SEARCH(("No"),(N248))))</formula>
    </cfRule>
  </conditionalFormatting>
  <conditionalFormatting sqref="N248:O248">
    <cfRule type="containsText" dxfId="9" priority="43688" operator="containsText" text="No">
      <formula>NOT(ISERROR(SEARCH(("No"),(N248))))</formula>
    </cfRule>
  </conditionalFormatting>
  <conditionalFormatting sqref="N248:O248">
    <cfRule type="containsText" dxfId="9" priority="43689" operator="containsText" text="No">
      <formula>NOT(ISERROR(SEARCH(("No"),(N248))))</formula>
    </cfRule>
  </conditionalFormatting>
  <conditionalFormatting sqref="N248:O248">
    <cfRule type="containsText" dxfId="9" priority="43690" operator="containsText" text="No">
      <formula>NOT(ISERROR(SEARCH(("No"),(N248))))</formula>
    </cfRule>
  </conditionalFormatting>
  <conditionalFormatting sqref="N248:O248">
    <cfRule type="containsText" dxfId="9" priority="43691" operator="containsText" text="No">
      <formula>NOT(ISERROR(SEARCH(("No"),(N248))))</formula>
    </cfRule>
  </conditionalFormatting>
  <conditionalFormatting sqref="N248:O248">
    <cfRule type="containsText" dxfId="9" priority="43692" operator="containsText" text="No">
      <formula>NOT(ISERROR(SEARCH(("No"),(N248))))</formula>
    </cfRule>
  </conditionalFormatting>
  <conditionalFormatting sqref="N248:O248">
    <cfRule type="containsText" dxfId="9" priority="43693" operator="containsText" text="No">
      <formula>NOT(ISERROR(SEARCH(("No"),(N248))))</formula>
    </cfRule>
  </conditionalFormatting>
  <conditionalFormatting sqref="N248:O248">
    <cfRule type="containsText" dxfId="9" priority="43694" operator="containsText" text="No">
      <formula>NOT(ISERROR(SEARCH(("No"),(N248))))</formula>
    </cfRule>
  </conditionalFormatting>
  <conditionalFormatting sqref="N248:O248">
    <cfRule type="containsText" dxfId="9" priority="43695" operator="containsText" text="No">
      <formula>NOT(ISERROR(SEARCH(("No"),(N248))))</formula>
    </cfRule>
  </conditionalFormatting>
  <conditionalFormatting sqref="N248:O248">
    <cfRule type="containsText" dxfId="9" priority="43696" operator="containsText" text="No">
      <formula>NOT(ISERROR(SEARCH(("No"),(N248))))</formula>
    </cfRule>
  </conditionalFormatting>
  <conditionalFormatting sqref="N248:O248">
    <cfRule type="containsText" dxfId="9" priority="43697" operator="containsText" text="No">
      <formula>NOT(ISERROR(SEARCH(("No"),(N248))))</formula>
    </cfRule>
  </conditionalFormatting>
  <conditionalFormatting sqref="N248:O248">
    <cfRule type="containsText" dxfId="9" priority="43698" operator="containsText" text="No">
      <formula>NOT(ISERROR(SEARCH(("No"),(N248))))</formula>
    </cfRule>
  </conditionalFormatting>
  <conditionalFormatting sqref="N248:O248">
    <cfRule type="containsText" dxfId="9" priority="43699" operator="containsText" text="No">
      <formula>NOT(ISERROR(SEARCH(("No"),(N248))))</formula>
    </cfRule>
  </conditionalFormatting>
  <conditionalFormatting sqref="N248:O248">
    <cfRule type="containsText" dxfId="9" priority="43700" operator="containsText" text="No">
      <formula>NOT(ISERROR(SEARCH(("No"),(N248))))</formula>
    </cfRule>
  </conditionalFormatting>
  <conditionalFormatting sqref="N248:O248">
    <cfRule type="containsText" dxfId="9" priority="43701" operator="containsText" text="No">
      <formula>NOT(ISERROR(SEARCH(("No"),(N248))))</formula>
    </cfRule>
  </conditionalFormatting>
  <conditionalFormatting sqref="N248:O248">
    <cfRule type="containsText" dxfId="9" priority="43702" operator="containsText" text="No">
      <formula>NOT(ISERROR(SEARCH(("No"),(N248))))</formula>
    </cfRule>
  </conditionalFormatting>
  <conditionalFormatting sqref="N248:O248">
    <cfRule type="containsText" dxfId="9" priority="43703" operator="containsText" text="No">
      <formula>NOT(ISERROR(SEARCH(("No"),(N248))))</formula>
    </cfRule>
  </conditionalFormatting>
  <conditionalFormatting sqref="N248:O248">
    <cfRule type="containsText" dxfId="9" priority="43704" operator="containsText" text="No">
      <formula>NOT(ISERROR(SEARCH(("No"),(N248))))</formula>
    </cfRule>
  </conditionalFormatting>
  <conditionalFormatting sqref="N248:O248">
    <cfRule type="containsText" dxfId="9" priority="43705" operator="containsText" text="No">
      <formula>NOT(ISERROR(SEARCH(("No"),(N248))))</formula>
    </cfRule>
  </conditionalFormatting>
  <conditionalFormatting sqref="N248:O248">
    <cfRule type="containsText" dxfId="9" priority="43706" operator="containsText" text="No">
      <formula>NOT(ISERROR(SEARCH(("No"),(N248))))</formula>
    </cfRule>
  </conditionalFormatting>
  <conditionalFormatting sqref="N248:O248">
    <cfRule type="containsText" dxfId="9" priority="43707" operator="containsText" text="No">
      <formula>NOT(ISERROR(SEARCH(("No"),(N248))))</formula>
    </cfRule>
  </conditionalFormatting>
  <conditionalFormatting sqref="N248:O248">
    <cfRule type="containsText" dxfId="9" priority="43708" operator="containsText" text="No">
      <formula>NOT(ISERROR(SEARCH(("No"),(N248))))</formula>
    </cfRule>
  </conditionalFormatting>
  <conditionalFormatting sqref="N248:O248">
    <cfRule type="containsText" dxfId="9" priority="43709" operator="containsText" text="No">
      <formula>NOT(ISERROR(SEARCH(("No"),(N248))))</formula>
    </cfRule>
  </conditionalFormatting>
  <conditionalFormatting sqref="N248:O248">
    <cfRule type="containsText" dxfId="9" priority="43710" operator="containsText" text="No">
      <formula>NOT(ISERROR(SEARCH(("No"),(N248))))</formula>
    </cfRule>
  </conditionalFormatting>
  <conditionalFormatting sqref="N248:O248">
    <cfRule type="containsText" dxfId="9" priority="43711" operator="containsText" text="No">
      <formula>NOT(ISERROR(SEARCH(("No"),(N248))))</formula>
    </cfRule>
  </conditionalFormatting>
  <conditionalFormatting sqref="N248:O248">
    <cfRule type="containsText" dxfId="9" priority="43712" operator="containsText" text="No">
      <formula>NOT(ISERROR(SEARCH(("No"),(N248))))</formula>
    </cfRule>
  </conditionalFormatting>
  <conditionalFormatting sqref="N248:O248">
    <cfRule type="containsText" dxfId="9" priority="43713" operator="containsText" text="No">
      <formula>NOT(ISERROR(SEARCH(("No"),(N248))))</formula>
    </cfRule>
  </conditionalFormatting>
  <conditionalFormatting sqref="N248:O248">
    <cfRule type="containsText" dxfId="9" priority="43714" operator="containsText" text="No">
      <formula>NOT(ISERROR(SEARCH(("No"),(N248))))</formula>
    </cfRule>
  </conditionalFormatting>
  <conditionalFormatting sqref="N248:O248">
    <cfRule type="containsText" dxfId="9" priority="43715" operator="containsText" text="No">
      <formula>NOT(ISERROR(SEARCH(("No"),(N248))))</formula>
    </cfRule>
  </conditionalFormatting>
  <conditionalFormatting sqref="N248:O248">
    <cfRule type="containsText" dxfId="9" priority="43716" operator="containsText" text="No">
      <formula>NOT(ISERROR(SEARCH(("No"),(N248))))</formula>
    </cfRule>
  </conditionalFormatting>
  <conditionalFormatting sqref="N248:O248">
    <cfRule type="containsText" dxfId="9" priority="43717" operator="containsText" text="No">
      <formula>NOT(ISERROR(SEARCH(("No"),(N248))))</formula>
    </cfRule>
  </conditionalFormatting>
  <conditionalFormatting sqref="N248:O248">
    <cfRule type="containsText" dxfId="9" priority="43718" operator="containsText" text="No">
      <formula>NOT(ISERROR(SEARCH(("No"),(N248))))</formula>
    </cfRule>
  </conditionalFormatting>
  <conditionalFormatting sqref="N248:O248">
    <cfRule type="containsText" dxfId="9" priority="43719" operator="containsText" text="No">
      <formula>NOT(ISERROR(SEARCH(("No"),(N248))))</formula>
    </cfRule>
  </conditionalFormatting>
  <conditionalFormatting sqref="N248:O248">
    <cfRule type="containsText" dxfId="9" priority="43720" operator="containsText" text="No">
      <formula>NOT(ISERROR(SEARCH(("No"),(N248))))</formula>
    </cfRule>
  </conditionalFormatting>
  <conditionalFormatting sqref="N248:O248">
    <cfRule type="containsText" dxfId="9" priority="43721" operator="containsText" text="No">
      <formula>NOT(ISERROR(SEARCH(("No"),(N248))))</formula>
    </cfRule>
  </conditionalFormatting>
  <conditionalFormatting sqref="N248:O248">
    <cfRule type="containsText" dxfId="9" priority="43722" operator="containsText" text="No">
      <formula>NOT(ISERROR(SEARCH(("No"),(N248))))</formula>
    </cfRule>
  </conditionalFormatting>
  <conditionalFormatting sqref="N248:O248">
    <cfRule type="containsText" dxfId="9" priority="43723" operator="containsText" text="No">
      <formula>NOT(ISERROR(SEARCH(("No"),(N248))))</formula>
    </cfRule>
  </conditionalFormatting>
  <conditionalFormatting sqref="N248:O248">
    <cfRule type="containsText" dxfId="9" priority="43724" operator="containsText" text="No">
      <formula>NOT(ISERROR(SEARCH(("No"),(N248))))</formula>
    </cfRule>
  </conditionalFormatting>
  <conditionalFormatting sqref="N248:O248">
    <cfRule type="containsText" dxfId="2" priority="43725" operator="containsText" text="Yes">
      <formula>NOT(ISERROR(SEARCH(("Yes"),(N248))))</formula>
    </cfRule>
  </conditionalFormatting>
  <conditionalFormatting sqref="N248:O248">
    <cfRule type="containsText" dxfId="2" priority="43726" operator="containsText" text="Yes">
      <formula>NOT(ISERROR(SEARCH(("Yes"),(N248))))</formula>
    </cfRule>
  </conditionalFormatting>
  <conditionalFormatting sqref="N248:O248">
    <cfRule type="containsText" dxfId="2" priority="43727" operator="containsText" text="Yes">
      <formula>NOT(ISERROR(SEARCH(("Yes"),(N248))))</formula>
    </cfRule>
  </conditionalFormatting>
  <conditionalFormatting sqref="N248:O248">
    <cfRule type="containsText" dxfId="2" priority="43728" operator="containsText" text="Yes">
      <formula>NOT(ISERROR(SEARCH(("Yes"),(N248))))</formula>
    </cfRule>
  </conditionalFormatting>
  <conditionalFormatting sqref="N248:O248">
    <cfRule type="containsText" dxfId="2" priority="43729" operator="containsText" text="Yes">
      <formula>NOT(ISERROR(SEARCH(("Yes"),(N248))))</formula>
    </cfRule>
  </conditionalFormatting>
  <conditionalFormatting sqref="N248:O248">
    <cfRule type="containsText" dxfId="2" priority="43730" operator="containsText" text="Yes">
      <formula>NOT(ISERROR(SEARCH(("Yes"),(N248))))</formula>
    </cfRule>
  </conditionalFormatting>
  <conditionalFormatting sqref="N248:O248">
    <cfRule type="containsText" dxfId="2" priority="43731" operator="containsText" text="Yes">
      <formula>NOT(ISERROR(SEARCH(("Yes"),(N248))))</formula>
    </cfRule>
  </conditionalFormatting>
  <conditionalFormatting sqref="N248:O248">
    <cfRule type="containsText" dxfId="2" priority="43732" operator="containsText" text="Yes">
      <formula>NOT(ISERROR(SEARCH(("Yes"),(N248))))</formula>
    </cfRule>
  </conditionalFormatting>
  <conditionalFormatting sqref="N248:O248">
    <cfRule type="containsText" dxfId="2" priority="43733" operator="containsText" text="Yes">
      <formula>NOT(ISERROR(SEARCH(("Yes"),(N248))))</formula>
    </cfRule>
  </conditionalFormatting>
  <conditionalFormatting sqref="N248:O248">
    <cfRule type="containsText" dxfId="2" priority="43734" operator="containsText" text="Yes">
      <formula>NOT(ISERROR(SEARCH(("Yes"),(N248))))</formula>
    </cfRule>
  </conditionalFormatting>
  <conditionalFormatting sqref="N248:O248">
    <cfRule type="containsText" dxfId="2" priority="43735" operator="containsText" text="Yes">
      <formula>NOT(ISERROR(SEARCH(("Yes"),(N248))))</formula>
    </cfRule>
  </conditionalFormatting>
  <conditionalFormatting sqref="N248:O248">
    <cfRule type="containsText" dxfId="2" priority="43736" operator="containsText" text="Yes">
      <formula>NOT(ISERROR(SEARCH(("Yes"),(N248))))</formula>
    </cfRule>
  </conditionalFormatting>
  <conditionalFormatting sqref="N248:O248">
    <cfRule type="containsText" dxfId="2" priority="43737" operator="containsText" text="Yes">
      <formula>NOT(ISERROR(SEARCH(("Yes"),(N248))))</formula>
    </cfRule>
  </conditionalFormatting>
  <conditionalFormatting sqref="N248:O248">
    <cfRule type="containsText" dxfId="2" priority="43738" operator="containsText" text="Yes">
      <formula>NOT(ISERROR(SEARCH(("Yes"),(N248))))</formula>
    </cfRule>
  </conditionalFormatting>
  <conditionalFormatting sqref="N248:O248">
    <cfRule type="containsText" dxfId="2" priority="43739" operator="containsText" text="Yes">
      <formula>NOT(ISERROR(SEARCH(("Yes"),(N248))))</formula>
    </cfRule>
  </conditionalFormatting>
  <conditionalFormatting sqref="N248:O248">
    <cfRule type="containsText" dxfId="2" priority="43740" operator="containsText" text="Yes">
      <formula>NOT(ISERROR(SEARCH(("Yes"),(N248))))</formula>
    </cfRule>
  </conditionalFormatting>
  <conditionalFormatting sqref="N248:O248">
    <cfRule type="containsText" dxfId="2" priority="43741" operator="containsText" text="Yes">
      <formula>NOT(ISERROR(SEARCH(("Yes"),(N248))))</formula>
    </cfRule>
  </conditionalFormatting>
  <conditionalFormatting sqref="N248:O248">
    <cfRule type="containsText" dxfId="2" priority="43742" operator="containsText" text="Yes">
      <formula>NOT(ISERROR(SEARCH(("Yes"),(N248))))</formula>
    </cfRule>
  </conditionalFormatting>
  <conditionalFormatting sqref="N248:O248">
    <cfRule type="containsText" dxfId="2" priority="43743" operator="containsText" text="Yes">
      <formula>NOT(ISERROR(SEARCH(("Yes"),(N248))))</formula>
    </cfRule>
  </conditionalFormatting>
  <conditionalFormatting sqref="N248:O248">
    <cfRule type="containsText" dxfId="2" priority="43744" operator="containsText" text="Yes">
      <formula>NOT(ISERROR(SEARCH(("Yes"),(N248))))</formula>
    </cfRule>
  </conditionalFormatting>
  <conditionalFormatting sqref="N248:O248">
    <cfRule type="containsText" dxfId="2" priority="43745" operator="containsText" text="Yes">
      <formula>NOT(ISERROR(SEARCH(("Yes"),(N248))))</formula>
    </cfRule>
  </conditionalFormatting>
  <conditionalFormatting sqref="N248:O248">
    <cfRule type="containsText" dxfId="2" priority="43746" operator="containsText" text="Yes">
      <formula>NOT(ISERROR(SEARCH(("Yes"),(N248))))</formula>
    </cfRule>
  </conditionalFormatting>
  <conditionalFormatting sqref="N248:O248">
    <cfRule type="containsText" dxfId="2" priority="43747" operator="containsText" text="Yes">
      <formula>NOT(ISERROR(SEARCH(("Yes"),(N248))))</formula>
    </cfRule>
  </conditionalFormatting>
  <conditionalFormatting sqref="N248:O248">
    <cfRule type="containsText" dxfId="2" priority="43748" operator="containsText" text="Yes">
      <formula>NOT(ISERROR(SEARCH(("Yes"),(N248))))</formula>
    </cfRule>
  </conditionalFormatting>
  <conditionalFormatting sqref="N248:O248">
    <cfRule type="containsText" dxfId="2" priority="43749" operator="containsText" text="Yes">
      <formula>NOT(ISERROR(SEARCH(("Yes"),(N248))))</formula>
    </cfRule>
  </conditionalFormatting>
  <conditionalFormatting sqref="N248:O248">
    <cfRule type="containsText" dxfId="2" priority="43750" operator="containsText" text="Yes">
      <formula>NOT(ISERROR(SEARCH(("Yes"),(N248))))</formula>
    </cfRule>
  </conditionalFormatting>
  <conditionalFormatting sqref="N248:O248">
    <cfRule type="containsText" dxfId="2" priority="43751" operator="containsText" text="Yes">
      <formula>NOT(ISERROR(SEARCH(("Yes"),(N248))))</formula>
    </cfRule>
  </conditionalFormatting>
  <conditionalFormatting sqref="N248:O248">
    <cfRule type="containsText" dxfId="2" priority="43752" operator="containsText" text="Yes">
      <formula>NOT(ISERROR(SEARCH(("Yes"),(N248))))</formula>
    </cfRule>
  </conditionalFormatting>
  <conditionalFormatting sqref="N248:O248">
    <cfRule type="containsText" dxfId="2" priority="43753" operator="containsText" text="Yes">
      <formula>NOT(ISERROR(SEARCH(("Yes"),(N248))))</formula>
    </cfRule>
  </conditionalFormatting>
  <conditionalFormatting sqref="N248:O248">
    <cfRule type="containsText" dxfId="2" priority="43754" operator="containsText" text="Yes">
      <formula>NOT(ISERROR(SEARCH(("Yes"),(N248))))</formula>
    </cfRule>
  </conditionalFormatting>
  <conditionalFormatting sqref="N248:O248">
    <cfRule type="containsText" dxfId="2" priority="43755" operator="containsText" text="Yes">
      <formula>NOT(ISERROR(SEARCH(("Yes"),(N248))))</formula>
    </cfRule>
  </conditionalFormatting>
  <conditionalFormatting sqref="N248:O248">
    <cfRule type="containsText" dxfId="2" priority="43756" operator="containsText" text="Yes">
      <formula>NOT(ISERROR(SEARCH(("Yes"),(N248))))</formula>
    </cfRule>
  </conditionalFormatting>
  <conditionalFormatting sqref="N248:O248">
    <cfRule type="containsText" dxfId="2" priority="43757" operator="containsText" text="Yes">
      <formula>NOT(ISERROR(SEARCH(("Yes"),(N248))))</formula>
    </cfRule>
  </conditionalFormatting>
  <conditionalFormatting sqref="N248:O248">
    <cfRule type="containsText" dxfId="2" priority="43758" operator="containsText" text="Yes">
      <formula>NOT(ISERROR(SEARCH(("Yes"),(N248))))</formula>
    </cfRule>
  </conditionalFormatting>
  <conditionalFormatting sqref="N248:O248">
    <cfRule type="containsText" dxfId="2" priority="43759" operator="containsText" text="Yes">
      <formula>NOT(ISERROR(SEARCH(("Yes"),(N248))))</formula>
    </cfRule>
  </conditionalFormatting>
  <conditionalFormatting sqref="N248:O248">
    <cfRule type="containsText" dxfId="2" priority="43760" operator="containsText" text="Yes">
      <formula>NOT(ISERROR(SEARCH(("Yes"),(N248))))</formula>
    </cfRule>
  </conditionalFormatting>
  <conditionalFormatting sqref="N248:O248">
    <cfRule type="containsText" dxfId="2" priority="43761" operator="containsText" text="Yes">
      <formula>NOT(ISERROR(SEARCH(("Yes"),(N248))))</formula>
    </cfRule>
  </conditionalFormatting>
  <conditionalFormatting sqref="N248:O248">
    <cfRule type="containsText" dxfId="2" priority="43762" operator="containsText" text="Yes">
      <formula>NOT(ISERROR(SEARCH(("Yes"),(N248))))</formula>
    </cfRule>
  </conditionalFormatting>
  <conditionalFormatting sqref="N248:O248">
    <cfRule type="containsText" dxfId="2" priority="43763" operator="containsText" text="Yes">
      <formula>NOT(ISERROR(SEARCH(("Yes"),(N248))))</formula>
    </cfRule>
  </conditionalFormatting>
  <conditionalFormatting sqref="N248:O248">
    <cfRule type="containsText" dxfId="2" priority="43764" operator="containsText" text="Yes">
      <formula>NOT(ISERROR(SEARCH(("Yes"),(N248))))</formula>
    </cfRule>
  </conditionalFormatting>
  <conditionalFormatting sqref="N248:O248">
    <cfRule type="containsText" dxfId="2" priority="43765" operator="containsText" text="Yes">
      <formula>NOT(ISERROR(SEARCH(("Yes"),(N248))))</formula>
    </cfRule>
  </conditionalFormatting>
  <conditionalFormatting sqref="N248:O248">
    <cfRule type="containsText" dxfId="2" priority="43766" operator="containsText" text="Yes">
      <formula>NOT(ISERROR(SEARCH(("Yes"),(N248))))</formula>
    </cfRule>
  </conditionalFormatting>
  <conditionalFormatting sqref="N248:O248">
    <cfRule type="containsText" dxfId="2" priority="43767" operator="containsText" text="Yes">
      <formula>NOT(ISERROR(SEARCH(("Yes"),(N248))))</formula>
    </cfRule>
  </conditionalFormatting>
  <conditionalFormatting sqref="N248:O248">
    <cfRule type="containsText" dxfId="2" priority="43768" operator="containsText" text="Yes">
      <formula>NOT(ISERROR(SEARCH(("Yes"),(N248))))</formula>
    </cfRule>
  </conditionalFormatting>
  <conditionalFormatting sqref="N248:O248">
    <cfRule type="containsText" dxfId="2" priority="43769" operator="containsText" text="Yes">
      <formula>NOT(ISERROR(SEARCH(("Yes"),(N248))))</formula>
    </cfRule>
  </conditionalFormatting>
  <conditionalFormatting sqref="N248:O248">
    <cfRule type="containsText" dxfId="2" priority="43770" operator="containsText" text="Yes">
      <formula>NOT(ISERROR(SEARCH(("Yes"),(N248))))</formula>
    </cfRule>
  </conditionalFormatting>
  <conditionalFormatting sqref="N248:O248">
    <cfRule type="containsText" dxfId="2" priority="43771" operator="containsText" text="Yes">
      <formula>NOT(ISERROR(SEARCH(("Yes"),(N248))))</formula>
    </cfRule>
  </conditionalFormatting>
  <conditionalFormatting sqref="O249:O250 O252">
    <cfRule type="containsText" dxfId="9" priority="43772" operator="containsText" text="No">
      <formula>NOT(ISERROR(SEARCH(("No"),(O249))))</formula>
    </cfRule>
  </conditionalFormatting>
  <conditionalFormatting sqref="O249:O250 O252">
    <cfRule type="containsText" dxfId="9" priority="43773" operator="containsText" text="No">
      <formula>NOT(ISERROR(SEARCH(("No"),(O249))))</formula>
    </cfRule>
  </conditionalFormatting>
  <conditionalFormatting sqref="O249:O250 O252">
    <cfRule type="containsText" dxfId="9" priority="43774" operator="containsText" text="No">
      <formula>NOT(ISERROR(SEARCH(("No"),(O249))))</formula>
    </cfRule>
  </conditionalFormatting>
  <conditionalFormatting sqref="O249:O250 O252">
    <cfRule type="containsText" dxfId="2" priority="43775" operator="containsText" text="Yes">
      <formula>NOT(ISERROR(SEARCH(("Yes"),(O249))))</formula>
    </cfRule>
  </conditionalFormatting>
  <conditionalFormatting sqref="O249:O250 O252">
    <cfRule type="containsText" dxfId="2" priority="43776" operator="containsText" text="Yes">
      <formula>NOT(ISERROR(SEARCH(("Yes"),(O249))))</formula>
    </cfRule>
  </conditionalFormatting>
  <conditionalFormatting sqref="O249:O250 O252">
    <cfRule type="containsText" dxfId="2" priority="43777" operator="containsText" text="Yes">
      <formula>NOT(ISERROR(SEARCH(("Yes"),(O249))))</formula>
    </cfRule>
  </conditionalFormatting>
  <conditionalFormatting sqref="O249:O250 O252">
    <cfRule type="containsText" dxfId="2" priority="43778" operator="containsText" text="Yes">
      <formula>NOT(ISERROR(SEARCH(("Yes"),(O249))))</formula>
    </cfRule>
  </conditionalFormatting>
  <conditionalFormatting sqref="O249:O250 O252">
    <cfRule type="containsText" dxfId="2" priority="43779" operator="containsText" text="Yes">
      <formula>NOT(ISERROR(SEARCH(("Yes"),(O249))))</formula>
    </cfRule>
  </conditionalFormatting>
  <conditionalFormatting sqref="O249:O250 O252">
    <cfRule type="containsText" dxfId="9" priority="43780" operator="containsText" text="No">
      <formula>NOT(ISERROR(SEARCH(("No"),(O249))))</formula>
    </cfRule>
  </conditionalFormatting>
  <conditionalFormatting sqref="O249:O250 O252">
    <cfRule type="containsText" dxfId="9" priority="43781" operator="containsText" text="No">
      <formula>NOT(ISERROR(SEARCH(("No"),(O249))))</formula>
    </cfRule>
  </conditionalFormatting>
  <conditionalFormatting sqref="O249:O250 O252">
    <cfRule type="containsText" dxfId="2" priority="43782" operator="containsText" text="Yes">
      <formula>NOT(ISERROR(SEARCH(("Yes"),(O249))))</formula>
    </cfRule>
  </conditionalFormatting>
  <conditionalFormatting sqref="P249:Q250 P252:Q252">
    <cfRule type="containsText" dxfId="9" priority="43783" operator="containsText" text="No">
      <formula>NOT(ISERROR(SEARCH(("No"),(P249))))</formula>
    </cfRule>
  </conditionalFormatting>
  <conditionalFormatting sqref="P249:Q250 P252:Q252">
    <cfRule type="containsText" dxfId="9" priority="43784" operator="containsText" text="No">
      <formula>NOT(ISERROR(SEARCH(("No"),(P249))))</formula>
    </cfRule>
  </conditionalFormatting>
  <conditionalFormatting sqref="P249:Q250 P252:Q252">
    <cfRule type="containsText" dxfId="9" priority="43785" operator="containsText" text="No">
      <formula>NOT(ISERROR(SEARCH(("No"),(P249))))</formula>
    </cfRule>
  </conditionalFormatting>
  <conditionalFormatting sqref="P249:Q250 P252:Q252">
    <cfRule type="containsText" dxfId="9" priority="43786" operator="containsText" text="No">
      <formula>NOT(ISERROR(SEARCH(("No"),(P249))))</formula>
    </cfRule>
  </conditionalFormatting>
  <conditionalFormatting sqref="P249:Q250 P252:Q252">
    <cfRule type="containsText" dxfId="9" priority="43787" operator="containsText" text="No">
      <formula>NOT(ISERROR(SEARCH(("No"),(P249))))</formula>
    </cfRule>
  </conditionalFormatting>
  <conditionalFormatting sqref="P249:Q250 P252:Q252">
    <cfRule type="containsText" dxfId="9" priority="43788" operator="containsText" text="No">
      <formula>NOT(ISERROR(SEARCH(("No"),(P249))))</formula>
    </cfRule>
  </conditionalFormatting>
  <conditionalFormatting sqref="P249:Q250 P252:Q252">
    <cfRule type="containsText" dxfId="9" priority="43789" operator="containsText" text="No">
      <formula>NOT(ISERROR(SEARCH(("No"),(P249))))</formula>
    </cfRule>
  </conditionalFormatting>
  <conditionalFormatting sqref="P249:Q250 P252:Q252">
    <cfRule type="containsText" dxfId="9" priority="43790" operator="containsText" text="No">
      <formula>NOT(ISERROR(SEARCH(("No"),(P249))))</formula>
    </cfRule>
  </conditionalFormatting>
  <conditionalFormatting sqref="P249:Q250 P252:Q252">
    <cfRule type="containsText" dxfId="9" priority="43791" operator="containsText" text="No">
      <formula>NOT(ISERROR(SEARCH(("No"),(P249))))</formula>
    </cfRule>
  </conditionalFormatting>
  <conditionalFormatting sqref="P249:Q250 P252:Q252">
    <cfRule type="containsText" dxfId="9" priority="43792" operator="containsText" text="No">
      <formula>NOT(ISERROR(SEARCH(("No"),(P249))))</formula>
    </cfRule>
  </conditionalFormatting>
  <conditionalFormatting sqref="P249:Q250 P252:Q252">
    <cfRule type="containsText" dxfId="9" priority="43793" operator="containsText" text="No">
      <formula>NOT(ISERROR(SEARCH(("No"),(P249))))</formula>
    </cfRule>
  </conditionalFormatting>
  <conditionalFormatting sqref="P249:Q250 P252:Q252">
    <cfRule type="containsText" dxfId="9" priority="43794" operator="containsText" text="No">
      <formula>NOT(ISERROR(SEARCH(("No"),(P249))))</formula>
    </cfRule>
  </conditionalFormatting>
  <conditionalFormatting sqref="P249:Q250 P252:Q252">
    <cfRule type="containsText" dxfId="9" priority="43795" operator="containsText" text="No">
      <formula>NOT(ISERROR(SEARCH(("No"),(P249))))</formula>
    </cfRule>
  </conditionalFormatting>
  <conditionalFormatting sqref="P249:Q250 P252:Q252">
    <cfRule type="containsText" dxfId="9" priority="43796" operator="containsText" text="No">
      <formula>NOT(ISERROR(SEARCH(("No"),(P249))))</formula>
    </cfRule>
  </conditionalFormatting>
  <conditionalFormatting sqref="P249:Q250 P252:Q252">
    <cfRule type="containsText" dxfId="9" priority="43797" operator="containsText" text="No">
      <formula>NOT(ISERROR(SEARCH(("No"),(P249))))</formula>
    </cfRule>
  </conditionalFormatting>
  <conditionalFormatting sqref="P249:Q250 P252:Q252">
    <cfRule type="containsText" dxfId="9" priority="43798" operator="containsText" text="No">
      <formula>NOT(ISERROR(SEARCH(("No"),(P249))))</formula>
    </cfRule>
  </conditionalFormatting>
  <conditionalFormatting sqref="P249:Q250 P252:Q252">
    <cfRule type="containsText" dxfId="9" priority="43799" operator="containsText" text="No">
      <formula>NOT(ISERROR(SEARCH(("No"),(P249))))</formula>
    </cfRule>
  </conditionalFormatting>
  <conditionalFormatting sqref="P249:Q250 P252:Q252">
    <cfRule type="containsText" dxfId="9" priority="43800" operator="containsText" text="No">
      <formula>NOT(ISERROR(SEARCH(("No"),(P249))))</formula>
    </cfRule>
  </conditionalFormatting>
  <conditionalFormatting sqref="P249:Q250 P252:Q252">
    <cfRule type="containsText" dxfId="9" priority="43801" operator="containsText" text="No">
      <formula>NOT(ISERROR(SEARCH(("No"),(P249))))</formula>
    </cfRule>
  </conditionalFormatting>
  <conditionalFormatting sqref="P249:Q250 P252:Q252">
    <cfRule type="containsText" dxfId="9" priority="43802" operator="containsText" text="No">
      <formula>NOT(ISERROR(SEARCH(("No"),(P249))))</formula>
    </cfRule>
  </conditionalFormatting>
  <conditionalFormatting sqref="P249:Q250 P252:Q252">
    <cfRule type="containsText" dxfId="9" priority="43803" operator="containsText" text="No">
      <formula>NOT(ISERROR(SEARCH(("No"),(P249))))</formula>
    </cfRule>
  </conditionalFormatting>
  <conditionalFormatting sqref="P249:Q250 P252:Q252">
    <cfRule type="containsText" dxfId="9" priority="43804" operator="containsText" text="No">
      <formula>NOT(ISERROR(SEARCH(("No"),(P249))))</formula>
    </cfRule>
  </conditionalFormatting>
  <conditionalFormatting sqref="P249:Q250 P252:Q252">
    <cfRule type="containsText" dxfId="9" priority="43805" operator="containsText" text="No">
      <formula>NOT(ISERROR(SEARCH(("No"),(P249))))</formula>
    </cfRule>
  </conditionalFormatting>
  <conditionalFormatting sqref="P249:Q250 P252:Q252">
    <cfRule type="containsText" dxfId="9" priority="43806" operator="containsText" text="No">
      <formula>NOT(ISERROR(SEARCH(("No"),(P249))))</formula>
    </cfRule>
  </conditionalFormatting>
  <conditionalFormatting sqref="P249:Q250 P252:Q252">
    <cfRule type="containsText" dxfId="9" priority="43807" operator="containsText" text="No">
      <formula>NOT(ISERROR(SEARCH(("No"),(P249))))</formula>
    </cfRule>
  </conditionalFormatting>
  <conditionalFormatting sqref="P249:Q250 P252:Q252">
    <cfRule type="containsText" dxfId="9" priority="43808" operator="containsText" text="No">
      <formula>NOT(ISERROR(SEARCH(("No"),(P249))))</formula>
    </cfRule>
  </conditionalFormatting>
  <conditionalFormatting sqref="P249:Q250 P252:Q252">
    <cfRule type="containsText" dxfId="9" priority="43809" operator="containsText" text="No">
      <formula>NOT(ISERROR(SEARCH(("No"),(P249))))</formula>
    </cfRule>
  </conditionalFormatting>
  <conditionalFormatting sqref="P249:Q250 P252:Q252">
    <cfRule type="containsText" dxfId="9" priority="43810" operator="containsText" text="No">
      <formula>NOT(ISERROR(SEARCH(("No"),(P249))))</formula>
    </cfRule>
  </conditionalFormatting>
  <conditionalFormatting sqref="P249:Q250 P252:Q252">
    <cfRule type="containsText" dxfId="9" priority="43811" operator="containsText" text="No">
      <formula>NOT(ISERROR(SEARCH(("No"),(P249))))</formula>
    </cfRule>
  </conditionalFormatting>
  <conditionalFormatting sqref="P249:Q250 P252:Q252">
    <cfRule type="containsText" dxfId="9" priority="43812" operator="containsText" text="No">
      <formula>NOT(ISERROR(SEARCH(("No"),(P249))))</formula>
    </cfRule>
  </conditionalFormatting>
  <conditionalFormatting sqref="P249:Q250 P252:Q252">
    <cfRule type="containsText" dxfId="9" priority="43813" operator="containsText" text="No">
      <formula>NOT(ISERROR(SEARCH(("No"),(P249))))</formula>
    </cfRule>
  </conditionalFormatting>
  <conditionalFormatting sqref="P249:Q250 P252:Q252">
    <cfRule type="containsText" dxfId="9" priority="43814" operator="containsText" text="No">
      <formula>NOT(ISERROR(SEARCH(("No"),(P249))))</formula>
    </cfRule>
  </conditionalFormatting>
  <conditionalFormatting sqref="P249:Q250 P252:Q252">
    <cfRule type="containsText" dxfId="9" priority="43815" operator="containsText" text="No">
      <formula>NOT(ISERROR(SEARCH(("No"),(P249))))</formula>
    </cfRule>
  </conditionalFormatting>
  <conditionalFormatting sqref="P249:Q250 P252:Q252">
    <cfRule type="containsText" dxfId="9" priority="43816" operator="containsText" text="No">
      <formula>NOT(ISERROR(SEARCH(("No"),(P249))))</formula>
    </cfRule>
  </conditionalFormatting>
  <conditionalFormatting sqref="P249:Q250 P252:Q252">
    <cfRule type="containsText" dxfId="9" priority="43817" operator="containsText" text="No">
      <formula>NOT(ISERROR(SEARCH(("No"),(P249))))</formula>
    </cfRule>
  </conditionalFormatting>
  <conditionalFormatting sqref="P249:Q250 P252:Q252">
    <cfRule type="containsText" dxfId="9" priority="43818" operator="containsText" text="No">
      <formula>NOT(ISERROR(SEARCH(("No"),(P249))))</formula>
    </cfRule>
  </conditionalFormatting>
  <conditionalFormatting sqref="P249:Q250 P252:Q252">
    <cfRule type="containsText" dxfId="9" priority="43819" operator="containsText" text="No">
      <formula>NOT(ISERROR(SEARCH(("No"),(P249))))</formula>
    </cfRule>
  </conditionalFormatting>
  <conditionalFormatting sqref="P249:Q250 P252:Q252">
    <cfRule type="containsText" dxfId="9" priority="43820" operator="containsText" text="No">
      <formula>NOT(ISERROR(SEARCH(("No"),(P249))))</formula>
    </cfRule>
  </conditionalFormatting>
  <conditionalFormatting sqref="P249:Q250 P252:Q252">
    <cfRule type="containsText" dxfId="9" priority="43821" operator="containsText" text="No">
      <formula>NOT(ISERROR(SEARCH(("No"),(P249))))</formula>
    </cfRule>
  </conditionalFormatting>
  <conditionalFormatting sqref="P249:Q250 P252:Q252">
    <cfRule type="containsText" dxfId="9" priority="43822" operator="containsText" text="No">
      <formula>NOT(ISERROR(SEARCH(("No"),(P249))))</formula>
    </cfRule>
  </conditionalFormatting>
  <conditionalFormatting sqref="P249:Q250 P252:Q252">
    <cfRule type="containsText" dxfId="9" priority="43823" operator="containsText" text="No">
      <formula>NOT(ISERROR(SEARCH(("No"),(P249))))</formula>
    </cfRule>
  </conditionalFormatting>
  <conditionalFormatting sqref="P249:Q250 P252:Q252">
    <cfRule type="containsText" dxfId="9" priority="43824" operator="containsText" text="No">
      <formula>NOT(ISERROR(SEARCH(("No"),(P249))))</formula>
    </cfRule>
  </conditionalFormatting>
  <conditionalFormatting sqref="P249:Q250 P252:Q252">
    <cfRule type="containsText" dxfId="9" priority="43825" operator="containsText" text="No">
      <formula>NOT(ISERROR(SEARCH(("No"),(P249))))</formula>
    </cfRule>
  </conditionalFormatting>
  <conditionalFormatting sqref="P249:Q250 P252:Q252">
    <cfRule type="containsText" dxfId="9" priority="43826" operator="containsText" text="No">
      <formula>NOT(ISERROR(SEARCH(("No"),(P249))))</formula>
    </cfRule>
  </conditionalFormatting>
  <conditionalFormatting sqref="P249:Q250 P252:Q252">
    <cfRule type="containsText" dxfId="9" priority="43827" operator="containsText" text="No">
      <formula>NOT(ISERROR(SEARCH(("No"),(P249))))</formula>
    </cfRule>
  </conditionalFormatting>
  <conditionalFormatting sqref="P249:Q250 P252:Q252">
    <cfRule type="containsText" dxfId="2" priority="43828" operator="containsText" text="Yes">
      <formula>NOT(ISERROR(SEARCH(("Yes"),(P249))))</formula>
    </cfRule>
  </conditionalFormatting>
  <conditionalFormatting sqref="P249:Q250 P252:Q252">
    <cfRule type="containsText" dxfId="2" priority="43829" operator="containsText" text="Yes">
      <formula>NOT(ISERROR(SEARCH(("Yes"),(P249))))</formula>
    </cfRule>
  </conditionalFormatting>
  <conditionalFormatting sqref="P249:Q250 P252:Q252">
    <cfRule type="containsText" dxfId="2" priority="43830" operator="containsText" text="Yes">
      <formula>NOT(ISERROR(SEARCH(("Yes"),(P249))))</formula>
    </cfRule>
  </conditionalFormatting>
  <conditionalFormatting sqref="P249:Q250 P252:Q252">
    <cfRule type="containsText" dxfId="2" priority="43831" operator="containsText" text="Yes">
      <formula>NOT(ISERROR(SEARCH(("Yes"),(P249))))</formula>
    </cfRule>
  </conditionalFormatting>
  <conditionalFormatting sqref="P249:Q250 P252:Q252">
    <cfRule type="containsText" dxfId="2" priority="43832" operator="containsText" text="Yes">
      <formula>NOT(ISERROR(SEARCH(("Yes"),(P249))))</formula>
    </cfRule>
  </conditionalFormatting>
  <conditionalFormatting sqref="P249:Q250 P252:Q252">
    <cfRule type="containsText" dxfId="2" priority="43833" operator="containsText" text="Yes">
      <formula>NOT(ISERROR(SEARCH(("Yes"),(P249))))</formula>
    </cfRule>
  </conditionalFormatting>
  <conditionalFormatting sqref="P249:Q250 P252:Q252">
    <cfRule type="containsText" dxfId="2" priority="43834" operator="containsText" text="Yes">
      <formula>NOT(ISERROR(SEARCH(("Yes"),(P249))))</formula>
    </cfRule>
  </conditionalFormatting>
  <conditionalFormatting sqref="P249:Q250 P252:Q252">
    <cfRule type="containsText" dxfId="2" priority="43835" operator="containsText" text="Yes">
      <formula>NOT(ISERROR(SEARCH(("Yes"),(P249))))</formula>
    </cfRule>
  </conditionalFormatting>
  <conditionalFormatting sqref="P249:Q250 P252:Q252">
    <cfRule type="containsText" dxfId="2" priority="43836" operator="containsText" text="Yes">
      <formula>NOT(ISERROR(SEARCH(("Yes"),(P249))))</formula>
    </cfRule>
  </conditionalFormatting>
  <conditionalFormatting sqref="P249:Q250 P252:Q252">
    <cfRule type="containsText" dxfId="2" priority="43837" operator="containsText" text="Yes">
      <formula>NOT(ISERROR(SEARCH(("Yes"),(P249))))</formula>
    </cfRule>
  </conditionalFormatting>
  <conditionalFormatting sqref="P249:Q250 P252:Q252">
    <cfRule type="containsText" dxfId="2" priority="43838" operator="containsText" text="Yes">
      <formula>NOT(ISERROR(SEARCH(("Yes"),(P249))))</formula>
    </cfRule>
  </conditionalFormatting>
  <conditionalFormatting sqref="P249:Q250 P252:Q252">
    <cfRule type="containsText" dxfId="2" priority="43839" operator="containsText" text="Yes">
      <formula>NOT(ISERROR(SEARCH(("Yes"),(P249))))</formula>
    </cfRule>
  </conditionalFormatting>
  <conditionalFormatting sqref="P249:Q250 P252:Q252">
    <cfRule type="containsText" dxfId="2" priority="43840" operator="containsText" text="Yes">
      <formula>NOT(ISERROR(SEARCH(("Yes"),(P249))))</formula>
    </cfRule>
  </conditionalFormatting>
  <conditionalFormatting sqref="P249:Q250 P252:Q252">
    <cfRule type="containsText" dxfId="2" priority="43841" operator="containsText" text="Yes">
      <formula>NOT(ISERROR(SEARCH(("Yes"),(P249))))</formula>
    </cfRule>
  </conditionalFormatting>
  <conditionalFormatting sqref="P249:Q250 P252:Q252">
    <cfRule type="containsText" dxfId="2" priority="43842" operator="containsText" text="Yes">
      <formula>NOT(ISERROR(SEARCH(("Yes"),(P249))))</formula>
    </cfRule>
  </conditionalFormatting>
  <conditionalFormatting sqref="P249:Q250 P252:Q252">
    <cfRule type="containsText" dxfId="2" priority="43843" operator="containsText" text="Yes">
      <formula>NOT(ISERROR(SEARCH(("Yes"),(P249))))</formula>
    </cfRule>
  </conditionalFormatting>
  <conditionalFormatting sqref="P249:Q250 P252:Q252">
    <cfRule type="containsText" dxfId="2" priority="43844" operator="containsText" text="Yes">
      <formula>NOT(ISERROR(SEARCH(("Yes"),(P249))))</formula>
    </cfRule>
  </conditionalFormatting>
  <conditionalFormatting sqref="P249:Q250 P252:Q252">
    <cfRule type="containsText" dxfId="2" priority="43845" operator="containsText" text="Yes">
      <formula>NOT(ISERROR(SEARCH(("Yes"),(P249))))</formula>
    </cfRule>
  </conditionalFormatting>
  <conditionalFormatting sqref="P249:Q250 P252:Q252">
    <cfRule type="containsText" dxfId="2" priority="43846" operator="containsText" text="Yes">
      <formula>NOT(ISERROR(SEARCH(("Yes"),(P249))))</formula>
    </cfRule>
  </conditionalFormatting>
  <conditionalFormatting sqref="P249:Q250 P252:Q252">
    <cfRule type="containsText" dxfId="2" priority="43847" operator="containsText" text="Yes">
      <formula>NOT(ISERROR(SEARCH(("Yes"),(P249))))</formula>
    </cfRule>
  </conditionalFormatting>
  <conditionalFormatting sqref="P249:Q250 P252:Q252">
    <cfRule type="containsText" dxfId="2" priority="43848" operator="containsText" text="Yes">
      <formula>NOT(ISERROR(SEARCH(("Yes"),(P249))))</formula>
    </cfRule>
  </conditionalFormatting>
  <conditionalFormatting sqref="P249:Q250 P252:Q252">
    <cfRule type="containsText" dxfId="2" priority="43849" operator="containsText" text="Yes">
      <formula>NOT(ISERROR(SEARCH(("Yes"),(P249))))</formula>
    </cfRule>
  </conditionalFormatting>
  <conditionalFormatting sqref="P249:Q250 P252:Q252">
    <cfRule type="containsText" dxfId="2" priority="43850" operator="containsText" text="Yes">
      <formula>NOT(ISERROR(SEARCH(("Yes"),(P249))))</formula>
    </cfRule>
  </conditionalFormatting>
  <conditionalFormatting sqref="P249:Q250 P252:Q252">
    <cfRule type="containsText" dxfId="2" priority="43851" operator="containsText" text="Yes">
      <formula>NOT(ISERROR(SEARCH(("Yes"),(P249))))</formula>
    </cfRule>
  </conditionalFormatting>
  <conditionalFormatting sqref="P249:Q250 P252:Q252">
    <cfRule type="containsText" dxfId="2" priority="43852" operator="containsText" text="Yes">
      <formula>NOT(ISERROR(SEARCH(("Yes"),(P249))))</formula>
    </cfRule>
  </conditionalFormatting>
  <conditionalFormatting sqref="P249:Q250 P252:Q252">
    <cfRule type="containsText" dxfId="2" priority="43853" operator="containsText" text="Yes">
      <formula>NOT(ISERROR(SEARCH(("Yes"),(P249))))</formula>
    </cfRule>
  </conditionalFormatting>
  <conditionalFormatting sqref="P249:Q250 P252:Q252">
    <cfRule type="containsText" dxfId="2" priority="43854" operator="containsText" text="Yes">
      <formula>NOT(ISERROR(SEARCH(("Yes"),(P249))))</formula>
    </cfRule>
  </conditionalFormatting>
  <conditionalFormatting sqref="P249:Q250 P252:Q252">
    <cfRule type="containsText" dxfId="2" priority="43855" operator="containsText" text="Yes">
      <formula>NOT(ISERROR(SEARCH(("Yes"),(P249))))</formula>
    </cfRule>
  </conditionalFormatting>
  <conditionalFormatting sqref="P249:Q250 P252:Q252">
    <cfRule type="containsText" dxfId="2" priority="43856" operator="containsText" text="Yes">
      <formula>NOT(ISERROR(SEARCH(("Yes"),(P249))))</formula>
    </cfRule>
  </conditionalFormatting>
  <conditionalFormatting sqref="P249:Q250 P252:Q252">
    <cfRule type="containsText" dxfId="2" priority="43857" operator="containsText" text="Yes">
      <formula>NOT(ISERROR(SEARCH(("Yes"),(P249))))</formula>
    </cfRule>
  </conditionalFormatting>
  <conditionalFormatting sqref="P249:Q250 P252:Q252">
    <cfRule type="containsText" dxfId="2" priority="43858" operator="containsText" text="Yes">
      <formula>NOT(ISERROR(SEARCH(("Yes"),(P249))))</formula>
    </cfRule>
  </conditionalFormatting>
  <conditionalFormatting sqref="P249:Q250 P252:Q252">
    <cfRule type="containsText" dxfId="2" priority="43859" operator="containsText" text="Yes">
      <formula>NOT(ISERROR(SEARCH(("Yes"),(P249))))</formula>
    </cfRule>
  </conditionalFormatting>
  <conditionalFormatting sqref="P249:Q250 P252:Q252">
    <cfRule type="containsText" dxfId="2" priority="43860" operator="containsText" text="Yes">
      <formula>NOT(ISERROR(SEARCH(("Yes"),(P249))))</formula>
    </cfRule>
  </conditionalFormatting>
  <conditionalFormatting sqref="P249:Q250 P252:Q252">
    <cfRule type="containsText" dxfId="2" priority="43861" operator="containsText" text="Yes">
      <formula>NOT(ISERROR(SEARCH(("Yes"),(P249))))</formula>
    </cfRule>
  </conditionalFormatting>
  <conditionalFormatting sqref="P249:Q250 P252:Q252">
    <cfRule type="containsText" dxfId="2" priority="43862" operator="containsText" text="Yes">
      <formula>NOT(ISERROR(SEARCH(("Yes"),(P249))))</formula>
    </cfRule>
  </conditionalFormatting>
  <conditionalFormatting sqref="P249:Q250 P252:Q252">
    <cfRule type="containsText" dxfId="2" priority="43863" operator="containsText" text="Yes">
      <formula>NOT(ISERROR(SEARCH(("Yes"),(P249))))</formula>
    </cfRule>
  </conditionalFormatting>
  <conditionalFormatting sqref="P249:Q250 P252:Q252">
    <cfRule type="containsText" dxfId="2" priority="43864" operator="containsText" text="Yes">
      <formula>NOT(ISERROR(SEARCH(("Yes"),(P249))))</formula>
    </cfRule>
  </conditionalFormatting>
  <conditionalFormatting sqref="P249:Q250 P252:Q252">
    <cfRule type="containsText" dxfId="2" priority="43865" operator="containsText" text="Yes">
      <formula>NOT(ISERROR(SEARCH(("Yes"),(P249))))</formula>
    </cfRule>
  </conditionalFormatting>
  <conditionalFormatting sqref="P249:Q250 P252:Q252">
    <cfRule type="containsText" dxfId="2" priority="43866" operator="containsText" text="Yes">
      <formula>NOT(ISERROR(SEARCH(("Yes"),(P249))))</formula>
    </cfRule>
  </conditionalFormatting>
  <conditionalFormatting sqref="P249:Q250 P252:Q252">
    <cfRule type="containsText" dxfId="2" priority="43867" operator="containsText" text="Yes">
      <formula>NOT(ISERROR(SEARCH(("Yes"),(P249))))</formula>
    </cfRule>
  </conditionalFormatting>
  <conditionalFormatting sqref="P249:Q250 P252:Q252">
    <cfRule type="containsText" dxfId="2" priority="43868" operator="containsText" text="Yes">
      <formula>NOT(ISERROR(SEARCH(("Yes"),(P249))))</formula>
    </cfRule>
  </conditionalFormatting>
  <conditionalFormatting sqref="P249:Q250 P252:Q252">
    <cfRule type="containsText" dxfId="2" priority="43869" operator="containsText" text="Yes">
      <formula>NOT(ISERROR(SEARCH(("Yes"),(P249))))</formula>
    </cfRule>
  </conditionalFormatting>
  <conditionalFormatting sqref="P249:Q250 P252:Q252">
    <cfRule type="containsText" dxfId="2" priority="43870" operator="containsText" text="Yes">
      <formula>NOT(ISERROR(SEARCH(("Yes"),(P249))))</formula>
    </cfRule>
  </conditionalFormatting>
  <conditionalFormatting sqref="P249:Q250 P252:Q252">
    <cfRule type="containsText" dxfId="2" priority="43871" operator="containsText" text="Yes">
      <formula>NOT(ISERROR(SEARCH(("Yes"),(P249))))</formula>
    </cfRule>
  </conditionalFormatting>
  <conditionalFormatting sqref="P249:Q250 P252:Q252">
    <cfRule type="containsText" dxfId="2" priority="43872" operator="containsText" text="Yes">
      <formula>NOT(ISERROR(SEARCH(("Yes"),(P249))))</formula>
    </cfRule>
  </conditionalFormatting>
  <conditionalFormatting sqref="P249:Q250 P252:Q252">
    <cfRule type="containsText" dxfId="2" priority="43873" operator="containsText" text="Yes">
      <formula>NOT(ISERROR(SEARCH(("Yes"),(P249))))</formula>
    </cfRule>
  </conditionalFormatting>
  <conditionalFormatting sqref="P249:Q250 P252:Q252">
    <cfRule type="containsText" dxfId="2" priority="43874" operator="containsText" text="Yes">
      <formula>NOT(ISERROR(SEARCH(("Yes"),(P249))))</formula>
    </cfRule>
  </conditionalFormatting>
  <conditionalFormatting sqref="P250:Q250">
    <cfRule type="containsText" dxfId="9" priority="43875" operator="containsText" text="No">
      <formula>NOT(ISERROR(SEARCH(("No"),(P250))))</formula>
    </cfRule>
  </conditionalFormatting>
  <conditionalFormatting sqref="P250:Q250">
    <cfRule type="containsText" dxfId="9" priority="43876" operator="containsText" text="No">
      <formula>NOT(ISERROR(SEARCH(("No"),(P250))))</formula>
    </cfRule>
  </conditionalFormatting>
  <conditionalFormatting sqref="P250:Q250">
    <cfRule type="containsText" dxfId="9" priority="43877" operator="containsText" text="No">
      <formula>NOT(ISERROR(SEARCH(("No"),(P250))))</formula>
    </cfRule>
  </conditionalFormatting>
  <conditionalFormatting sqref="P250:Q250">
    <cfRule type="containsText" dxfId="9" priority="43878" operator="containsText" text="No">
      <formula>NOT(ISERROR(SEARCH(("No"),(P250))))</formula>
    </cfRule>
  </conditionalFormatting>
  <conditionalFormatting sqref="P250:Q250">
    <cfRule type="containsText" dxfId="9" priority="43879" operator="containsText" text="No">
      <formula>NOT(ISERROR(SEARCH(("No"),(P250))))</formula>
    </cfRule>
  </conditionalFormatting>
  <conditionalFormatting sqref="P250:Q250">
    <cfRule type="containsText" dxfId="9" priority="43880" operator="containsText" text="No">
      <formula>NOT(ISERROR(SEARCH(("No"),(P250))))</formula>
    </cfRule>
  </conditionalFormatting>
  <conditionalFormatting sqref="P250:Q250">
    <cfRule type="containsText" dxfId="9" priority="43881" operator="containsText" text="No">
      <formula>NOT(ISERROR(SEARCH(("No"),(P250))))</formula>
    </cfRule>
  </conditionalFormatting>
  <conditionalFormatting sqref="P250:Q250">
    <cfRule type="containsText" dxfId="9" priority="43882" operator="containsText" text="No">
      <formula>NOT(ISERROR(SEARCH(("No"),(P250))))</formula>
    </cfRule>
  </conditionalFormatting>
  <conditionalFormatting sqref="P250:Q250">
    <cfRule type="containsText" dxfId="9" priority="43883" operator="containsText" text="No">
      <formula>NOT(ISERROR(SEARCH(("No"),(P250))))</formula>
    </cfRule>
  </conditionalFormatting>
  <conditionalFormatting sqref="P250:Q250">
    <cfRule type="containsText" dxfId="9" priority="43884" operator="containsText" text="No">
      <formula>NOT(ISERROR(SEARCH(("No"),(P250))))</formula>
    </cfRule>
  </conditionalFormatting>
  <conditionalFormatting sqref="P250:Q250">
    <cfRule type="containsText" dxfId="9" priority="43885" operator="containsText" text="No">
      <formula>NOT(ISERROR(SEARCH(("No"),(P250))))</formula>
    </cfRule>
  </conditionalFormatting>
  <conditionalFormatting sqref="P250:Q250">
    <cfRule type="containsText" dxfId="9" priority="43886" operator="containsText" text="No">
      <formula>NOT(ISERROR(SEARCH(("No"),(P250))))</formula>
    </cfRule>
  </conditionalFormatting>
  <conditionalFormatting sqref="P250:Q250">
    <cfRule type="containsText" dxfId="9" priority="43887" operator="containsText" text="No">
      <formula>NOT(ISERROR(SEARCH(("No"),(P250))))</formula>
    </cfRule>
  </conditionalFormatting>
  <conditionalFormatting sqref="P250:Q250">
    <cfRule type="containsText" dxfId="9" priority="43888" operator="containsText" text="No">
      <formula>NOT(ISERROR(SEARCH(("No"),(P250))))</formula>
    </cfRule>
  </conditionalFormatting>
  <conditionalFormatting sqref="P250:Q250">
    <cfRule type="containsText" dxfId="9" priority="43889" operator="containsText" text="No">
      <formula>NOT(ISERROR(SEARCH(("No"),(P250))))</formula>
    </cfRule>
  </conditionalFormatting>
  <conditionalFormatting sqref="P250:Q250">
    <cfRule type="containsText" dxfId="9" priority="43890" operator="containsText" text="No">
      <formula>NOT(ISERROR(SEARCH(("No"),(P250))))</formula>
    </cfRule>
  </conditionalFormatting>
  <conditionalFormatting sqref="P250:Q250">
    <cfRule type="containsText" dxfId="9" priority="43891" operator="containsText" text="No">
      <formula>NOT(ISERROR(SEARCH(("No"),(P250))))</formula>
    </cfRule>
  </conditionalFormatting>
  <conditionalFormatting sqref="P250:Q250">
    <cfRule type="containsText" dxfId="9" priority="43892" operator="containsText" text="No">
      <formula>NOT(ISERROR(SEARCH(("No"),(P250))))</formula>
    </cfRule>
  </conditionalFormatting>
  <conditionalFormatting sqref="P250:Q250">
    <cfRule type="containsText" dxfId="9" priority="43893" operator="containsText" text="No">
      <formula>NOT(ISERROR(SEARCH(("No"),(P250))))</formula>
    </cfRule>
  </conditionalFormatting>
  <conditionalFormatting sqref="P250:Q250">
    <cfRule type="containsText" dxfId="9" priority="43894" operator="containsText" text="No">
      <formula>NOT(ISERROR(SEARCH(("No"),(P250))))</formula>
    </cfRule>
  </conditionalFormatting>
  <conditionalFormatting sqref="P250:Q250">
    <cfRule type="containsText" dxfId="9" priority="43895" operator="containsText" text="No">
      <formula>NOT(ISERROR(SEARCH(("No"),(P250))))</formula>
    </cfRule>
  </conditionalFormatting>
  <conditionalFormatting sqref="P250:Q250">
    <cfRule type="containsText" dxfId="9" priority="43896" operator="containsText" text="No">
      <formula>NOT(ISERROR(SEARCH(("No"),(P250))))</formula>
    </cfRule>
  </conditionalFormatting>
  <conditionalFormatting sqref="P250:Q250">
    <cfRule type="containsText" dxfId="9" priority="43897" operator="containsText" text="No">
      <formula>NOT(ISERROR(SEARCH(("No"),(P250))))</formula>
    </cfRule>
  </conditionalFormatting>
  <conditionalFormatting sqref="P250:Q250">
    <cfRule type="containsText" dxfId="9" priority="43898" operator="containsText" text="No">
      <formula>NOT(ISERROR(SEARCH(("No"),(P250))))</formula>
    </cfRule>
  </conditionalFormatting>
  <conditionalFormatting sqref="P250:Q250">
    <cfRule type="containsText" dxfId="9" priority="43899" operator="containsText" text="No">
      <formula>NOT(ISERROR(SEARCH(("No"),(P250))))</formula>
    </cfRule>
  </conditionalFormatting>
  <conditionalFormatting sqref="P250:Q250">
    <cfRule type="containsText" dxfId="9" priority="43900" operator="containsText" text="No">
      <formula>NOT(ISERROR(SEARCH(("No"),(P250))))</formula>
    </cfRule>
  </conditionalFormatting>
  <conditionalFormatting sqref="P250:Q250">
    <cfRule type="containsText" dxfId="9" priority="43901" operator="containsText" text="No">
      <formula>NOT(ISERROR(SEARCH(("No"),(P250))))</formula>
    </cfRule>
  </conditionalFormatting>
  <conditionalFormatting sqref="P250:Q250">
    <cfRule type="containsText" dxfId="9" priority="43902" operator="containsText" text="No">
      <formula>NOT(ISERROR(SEARCH(("No"),(P250))))</formula>
    </cfRule>
  </conditionalFormatting>
  <conditionalFormatting sqref="P250:Q250">
    <cfRule type="containsText" dxfId="9" priority="43903" operator="containsText" text="No">
      <formula>NOT(ISERROR(SEARCH(("No"),(P250))))</formula>
    </cfRule>
  </conditionalFormatting>
  <conditionalFormatting sqref="P250:Q250">
    <cfRule type="containsText" dxfId="9" priority="43904" operator="containsText" text="No">
      <formula>NOT(ISERROR(SEARCH(("No"),(P250))))</formula>
    </cfRule>
  </conditionalFormatting>
  <conditionalFormatting sqref="P250:Q250">
    <cfRule type="containsText" dxfId="9" priority="43905" operator="containsText" text="No">
      <formula>NOT(ISERROR(SEARCH(("No"),(P250))))</formula>
    </cfRule>
  </conditionalFormatting>
  <conditionalFormatting sqref="P250:Q250">
    <cfRule type="containsText" dxfId="9" priority="43906" operator="containsText" text="No">
      <formula>NOT(ISERROR(SEARCH(("No"),(P250))))</formula>
    </cfRule>
  </conditionalFormatting>
  <conditionalFormatting sqref="P250:Q250">
    <cfRule type="containsText" dxfId="9" priority="43907" operator="containsText" text="No">
      <formula>NOT(ISERROR(SEARCH(("No"),(P250))))</formula>
    </cfRule>
  </conditionalFormatting>
  <conditionalFormatting sqref="P250:Q250">
    <cfRule type="containsText" dxfId="9" priority="43908" operator="containsText" text="No">
      <formula>NOT(ISERROR(SEARCH(("No"),(P250))))</formula>
    </cfRule>
  </conditionalFormatting>
  <conditionalFormatting sqref="P250:Q250">
    <cfRule type="containsText" dxfId="9" priority="43909" operator="containsText" text="No">
      <formula>NOT(ISERROR(SEARCH(("No"),(P250))))</formula>
    </cfRule>
  </conditionalFormatting>
  <conditionalFormatting sqref="P250:Q250">
    <cfRule type="containsText" dxfId="9" priority="43910" operator="containsText" text="No">
      <formula>NOT(ISERROR(SEARCH(("No"),(P250))))</formula>
    </cfRule>
  </conditionalFormatting>
  <conditionalFormatting sqref="P250:Q250">
    <cfRule type="containsText" dxfId="9" priority="43911" operator="containsText" text="No">
      <formula>NOT(ISERROR(SEARCH(("No"),(P250))))</formula>
    </cfRule>
  </conditionalFormatting>
  <conditionalFormatting sqref="P250:Q250">
    <cfRule type="containsText" dxfId="9" priority="43912" operator="containsText" text="No">
      <formula>NOT(ISERROR(SEARCH(("No"),(P250))))</formula>
    </cfRule>
  </conditionalFormatting>
  <conditionalFormatting sqref="P250:Q250">
    <cfRule type="containsText" dxfId="9" priority="43913" operator="containsText" text="No">
      <formula>NOT(ISERROR(SEARCH(("No"),(P250))))</formula>
    </cfRule>
  </conditionalFormatting>
  <conditionalFormatting sqref="P250:Q250">
    <cfRule type="containsText" dxfId="9" priority="43914" operator="containsText" text="No">
      <formula>NOT(ISERROR(SEARCH(("No"),(P250))))</formula>
    </cfRule>
  </conditionalFormatting>
  <conditionalFormatting sqref="P250:Q250">
    <cfRule type="containsText" dxfId="9" priority="43915" operator="containsText" text="No">
      <formula>NOT(ISERROR(SEARCH(("No"),(P250))))</formula>
    </cfRule>
  </conditionalFormatting>
  <conditionalFormatting sqref="P250:Q250">
    <cfRule type="containsText" dxfId="9" priority="43916" operator="containsText" text="No">
      <formula>NOT(ISERROR(SEARCH(("No"),(P250))))</formula>
    </cfRule>
  </conditionalFormatting>
  <conditionalFormatting sqref="P250:Q250">
    <cfRule type="containsText" dxfId="9" priority="43917" operator="containsText" text="No">
      <formula>NOT(ISERROR(SEARCH(("No"),(P250))))</formula>
    </cfRule>
  </conditionalFormatting>
  <conditionalFormatting sqref="P250:Q250">
    <cfRule type="containsText" dxfId="9" priority="43918" operator="containsText" text="No">
      <formula>NOT(ISERROR(SEARCH(("No"),(P250))))</formula>
    </cfRule>
  </conditionalFormatting>
  <conditionalFormatting sqref="P250:Q250">
    <cfRule type="containsText" dxfId="9" priority="43919" operator="containsText" text="No">
      <formula>NOT(ISERROR(SEARCH(("No"),(P250))))</formula>
    </cfRule>
  </conditionalFormatting>
  <conditionalFormatting sqref="P250:Q250">
    <cfRule type="containsText" dxfId="2" priority="43920" operator="containsText" text="Yes">
      <formula>NOT(ISERROR(SEARCH(("Yes"),(P250))))</formula>
    </cfRule>
  </conditionalFormatting>
  <conditionalFormatting sqref="P250:Q250">
    <cfRule type="containsText" dxfId="2" priority="43921" operator="containsText" text="Yes">
      <formula>NOT(ISERROR(SEARCH(("Yes"),(P250))))</formula>
    </cfRule>
  </conditionalFormatting>
  <conditionalFormatting sqref="P250:Q250">
    <cfRule type="containsText" dxfId="2" priority="43922" operator="containsText" text="Yes">
      <formula>NOT(ISERROR(SEARCH(("Yes"),(P250))))</formula>
    </cfRule>
  </conditionalFormatting>
  <conditionalFormatting sqref="P250:Q250">
    <cfRule type="containsText" dxfId="2" priority="43923" operator="containsText" text="Yes">
      <formula>NOT(ISERROR(SEARCH(("Yes"),(P250))))</formula>
    </cfRule>
  </conditionalFormatting>
  <conditionalFormatting sqref="P250:Q250">
    <cfRule type="containsText" dxfId="2" priority="43924" operator="containsText" text="Yes">
      <formula>NOT(ISERROR(SEARCH(("Yes"),(P250))))</formula>
    </cfRule>
  </conditionalFormatting>
  <conditionalFormatting sqref="P250:Q250">
    <cfRule type="containsText" dxfId="2" priority="43925" operator="containsText" text="Yes">
      <formula>NOT(ISERROR(SEARCH(("Yes"),(P250))))</formula>
    </cfRule>
  </conditionalFormatting>
  <conditionalFormatting sqref="P250:Q250">
    <cfRule type="containsText" dxfId="2" priority="43926" operator="containsText" text="Yes">
      <formula>NOT(ISERROR(SEARCH(("Yes"),(P250))))</formula>
    </cfRule>
  </conditionalFormatting>
  <conditionalFormatting sqref="P250:Q250">
    <cfRule type="containsText" dxfId="2" priority="43927" operator="containsText" text="Yes">
      <formula>NOT(ISERROR(SEARCH(("Yes"),(P250))))</formula>
    </cfRule>
  </conditionalFormatting>
  <conditionalFormatting sqref="P250:Q250">
    <cfRule type="containsText" dxfId="2" priority="43928" operator="containsText" text="Yes">
      <formula>NOT(ISERROR(SEARCH(("Yes"),(P250))))</formula>
    </cfRule>
  </conditionalFormatting>
  <conditionalFormatting sqref="P250:Q250">
    <cfRule type="containsText" dxfId="2" priority="43929" operator="containsText" text="Yes">
      <formula>NOT(ISERROR(SEARCH(("Yes"),(P250))))</formula>
    </cfRule>
  </conditionalFormatting>
  <conditionalFormatting sqref="P250:Q250">
    <cfRule type="containsText" dxfId="2" priority="43930" operator="containsText" text="Yes">
      <formula>NOT(ISERROR(SEARCH(("Yes"),(P250))))</formula>
    </cfRule>
  </conditionalFormatting>
  <conditionalFormatting sqref="P250:Q250">
    <cfRule type="containsText" dxfId="2" priority="43931" operator="containsText" text="Yes">
      <formula>NOT(ISERROR(SEARCH(("Yes"),(P250))))</formula>
    </cfRule>
  </conditionalFormatting>
  <conditionalFormatting sqref="P250:Q250">
    <cfRule type="containsText" dxfId="2" priority="43932" operator="containsText" text="Yes">
      <formula>NOT(ISERROR(SEARCH(("Yes"),(P250))))</formula>
    </cfRule>
  </conditionalFormatting>
  <conditionalFormatting sqref="P250:Q250">
    <cfRule type="containsText" dxfId="2" priority="43933" operator="containsText" text="Yes">
      <formula>NOT(ISERROR(SEARCH(("Yes"),(P250))))</formula>
    </cfRule>
  </conditionalFormatting>
  <conditionalFormatting sqref="P250:Q250">
    <cfRule type="containsText" dxfId="2" priority="43934" operator="containsText" text="Yes">
      <formula>NOT(ISERROR(SEARCH(("Yes"),(P250))))</formula>
    </cfRule>
  </conditionalFormatting>
  <conditionalFormatting sqref="P250:Q250">
    <cfRule type="containsText" dxfId="2" priority="43935" operator="containsText" text="Yes">
      <formula>NOT(ISERROR(SEARCH(("Yes"),(P250))))</formula>
    </cfRule>
  </conditionalFormatting>
  <conditionalFormatting sqref="P250:Q250">
    <cfRule type="containsText" dxfId="2" priority="43936" operator="containsText" text="Yes">
      <formula>NOT(ISERROR(SEARCH(("Yes"),(P250))))</formula>
    </cfRule>
  </conditionalFormatting>
  <conditionalFormatting sqref="P250:Q250">
    <cfRule type="containsText" dxfId="2" priority="43937" operator="containsText" text="Yes">
      <formula>NOT(ISERROR(SEARCH(("Yes"),(P250))))</formula>
    </cfRule>
  </conditionalFormatting>
  <conditionalFormatting sqref="P250:Q250">
    <cfRule type="containsText" dxfId="2" priority="43938" operator="containsText" text="Yes">
      <formula>NOT(ISERROR(SEARCH(("Yes"),(P250))))</formula>
    </cfRule>
  </conditionalFormatting>
  <conditionalFormatting sqref="P250:Q250">
    <cfRule type="containsText" dxfId="2" priority="43939" operator="containsText" text="Yes">
      <formula>NOT(ISERROR(SEARCH(("Yes"),(P250))))</formula>
    </cfRule>
  </conditionalFormatting>
  <conditionalFormatting sqref="P250:Q250">
    <cfRule type="containsText" dxfId="2" priority="43940" operator="containsText" text="Yes">
      <formula>NOT(ISERROR(SEARCH(("Yes"),(P250))))</formula>
    </cfRule>
  </conditionalFormatting>
  <conditionalFormatting sqref="P250:Q250">
    <cfRule type="containsText" dxfId="2" priority="43941" operator="containsText" text="Yes">
      <formula>NOT(ISERROR(SEARCH(("Yes"),(P250))))</formula>
    </cfRule>
  </conditionalFormatting>
  <conditionalFormatting sqref="P250:Q250">
    <cfRule type="containsText" dxfId="2" priority="43942" operator="containsText" text="Yes">
      <formula>NOT(ISERROR(SEARCH(("Yes"),(P250))))</formula>
    </cfRule>
  </conditionalFormatting>
  <conditionalFormatting sqref="P250:Q250">
    <cfRule type="containsText" dxfId="2" priority="43943" operator="containsText" text="Yes">
      <formula>NOT(ISERROR(SEARCH(("Yes"),(P250))))</formula>
    </cfRule>
  </conditionalFormatting>
  <conditionalFormatting sqref="P250:Q250">
    <cfRule type="containsText" dxfId="2" priority="43944" operator="containsText" text="Yes">
      <formula>NOT(ISERROR(SEARCH(("Yes"),(P250))))</formula>
    </cfRule>
  </conditionalFormatting>
  <conditionalFormatting sqref="P250:Q250">
    <cfRule type="containsText" dxfId="2" priority="43945" operator="containsText" text="Yes">
      <formula>NOT(ISERROR(SEARCH(("Yes"),(P250))))</formula>
    </cfRule>
  </conditionalFormatting>
  <conditionalFormatting sqref="P250:Q250">
    <cfRule type="containsText" dxfId="2" priority="43946" operator="containsText" text="Yes">
      <formula>NOT(ISERROR(SEARCH(("Yes"),(P250))))</formula>
    </cfRule>
  </conditionalFormatting>
  <conditionalFormatting sqref="P250:Q250">
    <cfRule type="containsText" dxfId="2" priority="43947" operator="containsText" text="Yes">
      <formula>NOT(ISERROR(SEARCH(("Yes"),(P250))))</formula>
    </cfRule>
  </conditionalFormatting>
  <conditionalFormatting sqref="P250:Q250">
    <cfRule type="containsText" dxfId="2" priority="43948" operator="containsText" text="Yes">
      <formula>NOT(ISERROR(SEARCH(("Yes"),(P250))))</formula>
    </cfRule>
  </conditionalFormatting>
  <conditionalFormatting sqref="P250:Q250">
    <cfRule type="containsText" dxfId="2" priority="43949" operator="containsText" text="Yes">
      <formula>NOT(ISERROR(SEARCH(("Yes"),(P250))))</formula>
    </cfRule>
  </conditionalFormatting>
  <conditionalFormatting sqref="P250:Q250">
    <cfRule type="containsText" dxfId="2" priority="43950" operator="containsText" text="Yes">
      <formula>NOT(ISERROR(SEARCH(("Yes"),(P250))))</formula>
    </cfRule>
  </conditionalFormatting>
  <conditionalFormatting sqref="P250:Q250">
    <cfRule type="containsText" dxfId="2" priority="43951" operator="containsText" text="Yes">
      <formula>NOT(ISERROR(SEARCH(("Yes"),(P250))))</formula>
    </cfRule>
  </conditionalFormatting>
  <conditionalFormatting sqref="P250:Q250">
    <cfRule type="containsText" dxfId="2" priority="43952" operator="containsText" text="Yes">
      <formula>NOT(ISERROR(SEARCH(("Yes"),(P250))))</formula>
    </cfRule>
  </conditionalFormatting>
  <conditionalFormatting sqref="P250:Q250">
    <cfRule type="containsText" dxfId="2" priority="43953" operator="containsText" text="Yes">
      <formula>NOT(ISERROR(SEARCH(("Yes"),(P250))))</formula>
    </cfRule>
  </conditionalFormatting>
  <conditionalFormatting sqref="P250:Q250">
    <cfRule type="containsText" dxfId="2" priority="43954" operator="containsText" text="Yes">
      <formula>NOT(ISERROR(SEARCH(("Yes"),(P250))))</formula>
    </cfRule>
  </conditionalFormatting>
  <conditionalFormatting sqref="P250:Q250">
    <cfRule type="containsText" dxfId="2" priority="43955" operator="containsText" text="Yes">
      <formula>NOT(ISERROR(SEARCH(("Yes"),(P250))))</formula>
    </cfRule>
  </conditionalFormatting>
  <conditionalFormatting sqref="P250:Q250">
    <cfRule type="containsText" dxfId="2" priority="43956" operator="containsText" text="Yes">
      <formula>NOT(ISERROR(SEARCH(("Yes"),(P250))))</formula>
    </cfRule>
  </conditionalFormatting>
  <conditionalFormatting sqref="P250:Q250">
    <cfRule type="containsText" dxfId="2" priority="43957" operator="containsText" text="Yes">
      <formula>NOT(ISERROR(SEARCH(("Yes"),(P250))))</formula>
    </cfRule>
  </conditionalFormatting>
  <conditionalFormatting sqref="P250:Q250">
    <cfRule type="containsText" dxfId="2" priority="43958" operator="containsText" text="Yes">
      <formula>NOT(ISERROR(SEARCH(("Yes"),(P250))))</formula>
    </cfRule>
  </conditionalFormatting>
  <conditionalFormatting sqref="P250:Q250">
    <cfRule type="containsText" dxfId="2" priority="43959" operator="containsText" text="Yes">
      <formula>NOT(ISERROR(SEARCH(("Yes"),(P250))))</formula>
    </cfRule>
  </conditionalFormatting>
  <conditionalFormatting sqref="P250:Q250">
    <cfRule type="containsText" dxfId="2" priority="43960" operator="containsText" text="Yes">
      <formula>NOT(ISERROR(SEARCH(("Yes"),(P250))))</formula>
    </cfRule>
  </conditionalFormatting>
  <conditionalFormatting sqref="P250:Q250">
    <cfRule type="containsText" dxfId="2" priority="43961" operator="containsText" text="Yes">
      <formula>NOT(ISERROR(SEARCH(("Yes"),(P250))))</formula>
    </cfRule>
  </conditionalFormatting>
  <conditionalFormatting sqref="P250:Q250">
    <cfRule type="containsText" dxfId="2" priority="43962" operator="containsText" text="Yes">
      <formula>NOT(ISERROR(SEARCH(("Yes"),(P250))))</formula>
    </cfRule>
  </conditionalFormatting>
  <conditionalFormatting sqref="P250:Q250">
    <cfRule type="containsText" dxfId="2" priority="43963" operator="containsText" text="Yes">
      <formula>NOT(ISERROR(SEARCH(("Yes"),(P250))))</formula>
    </cfRule>
  </conditionalFormatting>
  <conditionalFormatting sqref="P250:Q250">
    <cfRule type="containsText" dxfId="2" priority="43964" operator="containsText" text="Yes">
      <formula>NOT(ISERROR(SEARCH(("Yes"),(P250))))</formula>
    </cfRule>
  </conditionalFormatting>
  <conditionalFormatting sqref="P250:Q250">
    <cfRule type="containsText" dxfId="2" priority="43965" operator="containsText" text="Yes">
      <formula>NOT(ISERROR(SEARCH(("Yes"),(P250))))</formula>
    </cfRule>
  </conditionalFormatting>
  <conditionalFormatting sqref="P250:Q250">
    <cfRule type="containsText" dxfId="2" priority="43966" operator="containsText" text="Yes">
      <formula>NOT(ISERROR(SEARCH(("Yes"),(P250))))</formula>
    </cfRule>
  </conditionalFormatting>
  <conditionalFormatting sqref="N250:O250">
    <cfRule type="containsText" dxfId="9" priority="43967" operator="containsText" text="No">
      <formula>NOT(ISERROR(SEARCH(("No"),(N250))))</formula>
    </cfRule>
  </conditionalFormatting>
  <conditionalFormatting sqref="N250:O250">
    <cfRule type="containsText" dxfId="9" priority="43968" operator="containsText" text="No">
      <formula>NOT(ISERROR(SEARCH(("No"),(N250))))</formula>
    </cfRule>
  </conditionalFormatting>
  <conditionalFormatting sqref="N250:O250">
    <cfRule type="containsText" dxfId="9" priority="43969" operator="containsText" text="No">
      <formula>NOT(ISERROR(SEARCH(("No"),(N250))))</formula>
    </cfRule>
  </conditionalFormatting>
  <conditionalFormatting sqref="N250:O250">
    <cfRule type="containsText" dxfId="9" priority="43970" operator="containsText" text="No">
      <formula>NOT(ISERROR(SEARCH(("No"),(N250))))</formula>
    </cfRule>
  </conditionalFormatting>
  <conditionalFormatting sqref="N250:O250">
    <cfRule type="containsText" dxfId="9" priority="43971" operator="containsText" text="No">
      <formula>NOT(ISERROR(SEARCH(("No"),(N250))))</formula>
    </cfRule>
  </conditionalFormatting>
  <conditionalFormatting sqref="N250:O250">
    <cfRule type="containsText" dxfId="9" priority="43972" operator="containsText" text="No">
      <formula>NOT(ISERROR(SEARCH(("No"),(N250))))</formula>
    </cfRule>
  </conditionalFormatting>
  <conditionalFormatting sqref="N250:O250">
    <cfRule type="containsText" dxfId="9" priority="43973" operator="containsText" text="No">
      <formula>NOT(ISERROR(SEARCH(("No"),(N250))))</formula>
    </cfRule>
  </conditionalFormatting>
  <conditionalFormatting sqref="N250:O250">
    <cfRule type="containsText" dxfId="9" priority="43974" operator="containsText" text="No">
      <formula>NOT(ISERROR(SEARCH(("No"),(N250))))</formula>
    </cfRule>
  </conditionalFormatting>
  <conditionalFormatting sqref="N250:O250">
    <cfRule type="containsText" dxfId="9" priority="43975" operator="containsText" text="No">
      <formula>NOT(ISERROR(SEARCH(("No"),(N250))))</formula>
    </cfRule>
  </conditionalFormatting>
  <conditionalFormatting sqref="N250:O250">
    <cfRule type="containsText" dxfId="9" priority="43976" operator="containsText" text="No">
      <formula>NOT(ISERROR(SEARCH(("No"),(N250))))</formula>
    </cfRule>
  </conditionalFormatting>
  <conditionalFormatting sqref="N250:O250">
    <cfRule type="containsText" dxfId="9" priority="43977" operator="containsText" text="No">
      <formula>NOT(ISERROR(SEARCH(("No"),(N250))))</formula>
    </cfRule>
  </conditionalFormatting>
  <conditionalFormatting sqref="N250:O250">
    <cfRule type="containsText" dxfId="9" priority="43978" operator="containsText" text="No">
      <formula>NOT(ISERROR(SEARCH(("No"),(N250))))</formula>
    </cfRule>
  </conditionalFormatting>
  <conditionalFormatting sqref="N250:O250">
    <cfRule type="containsText" dxfId="9" priority="43979" operator="containsText" text="No">
      <formula>NOT(ISERROR(SEARCH(("No"),(N250))))</formula>
    </cfRule>
  </conditionalFormatting>
  <conditionalFormatting sqref="N250:O250">
    <cfRule type="containsText" dxfId="9" priority="43980" operator="containsText" text="No">
      <formula>NOT(ISERROR(SEARCH(("No"),(N250))))</formula>
    </cfRule>
  </conditionalFormatting>
  <conditionalFormatting sqref="N250:O250">
    <cfRule type="containsText" dxfId="9" priority="43981" operator="containsText" text="No">
      <formula>NOT(ISERROR(SEARCH(("No"),(N250))))</formula>
    </cfRule>
  </conditionalFormatting>
  <conditionalFormatting sqref="N250:O250">
    <cfRule type="containsText" dxfId="9" priority="43982" operator="containsText" text="No">
      <formula>NOT(ISERROR(SEARCH(("No"),(N250))))</formula>
    </cfRule>
  </conditionalFormatting>
  <conditionalFormatting sqref="N250:O250">
    <cfRule type="containsText" dxfId="9" priority="43983" operator="containsText" text="No">
      <formula>NOT(ISERROR(SEARCH(("No"),(N250))))</formula>
    </cfRule>
  </conditionalFormatting>
  <conditionalFormatting sqref="N250:O250">
    <cfRule type="containsText" dxfId="9" priority="43984" operator="containsText" text="No">
      <formula>NOT(ISERROR(SEARCH(("No"),(N250))))</formula>
    </cfRule>
  </conditionalFormatting>
  <conditionalFormatting sqref="N250:O250">
    <cfRule type="containsText" dxfId="9" priority="43985" operator="containsText" text="No">
      <formula>NOT(ISERROR(SEARCH(("No"),(N250))))</formula>
    </cfRule>
  </conditionalFormatting>
  <conditionalFormatting sqref="N250:O250">
    <cfRule type="containsText" dxfId="9" priority="43986" operator="containsText" text="No">
      <formula>NOT(ISERROR(SEARCH(("No"),(N250))))</formula>
    </cfRule>
  </conditionalFormatting>
  <conditionalFormatting sqref="N250:O250">
    <cfRule type="containsText" dxfId="9" priority="43987" operator="containsText" text="No">
      <formula>NOT(ISERROR(SEARCH(("No"),(N250))))</formula>
    </cfRule>
  </conditionalFormatting>
  <conditionalFormatting sqref="N250:O250">
    <cfRule type="containsText" dxfId="9" priority="43988" operator="containsText" text="No">
      <formula>NOT(ISERROR(SEARCH(("No"),(N250))))</formula>
    </cfRule>
  </conditionalFormatting>
  <conditionalFormatting sqref="N250:O250">
    <cfRule type="containsText" dxfId="9" priority="43989" operator="containsText" text="No">
      <formula>NOT(ISERROR(SEARCH(("No"),(N250))))</formula>
    </cfRule>
  </conditionalFormatting>
  <conditionalFormatting sqref="N250:O250">
    <cfRule type="containsText" dxfId="9" priority="43990" operator="containsText" text="No">
      <formula>NOT(ISERROR(SEARCH(("No"),(N250))))</formula>
    </cfRule>
  </conditionalFormatting>
  <conditionalFormatting sqref="N250:O250">
    <cfRule type="containsText" dxfId="9" priority="43991" operator="containsText" text="No">
      <formula>NOT(ISERROR(SEARCH(("No"),(N250))))</formula>
    </cfRule>
  </conditionalFormatting>
  <conditionalFormatting sqref="N250:O250">
    <cfRule type="containsText" dxfId="9" priority="43992" operator="containsText" text="No">
      <formula>NOT(ISERROR(SEARCH(("No"),(N250))))</formula>
    </cfRule>
  </conditionalFormatting>
  <conditionalFormatting sqref="N250:O250">
    <cfRule type="containsText" dxfId="9" priority="43993" operator="containsText" text="No">
      <formula>NOT(ISERROR(SEARCH(("No"),(N250))))</formula>
    </cfRule>
  </conditionalFormatting>
  <conditionalFormatting sqref="N250:O250">
    <cfRule type="containsText" dxfId="9" priority="43994" operator="containsText" text="No">
      <formula>NOT(ISERROR(SEARCH(("No"),(N250))))</formula>
    </cfRule>
  </conditionalFormatting>
  <conditionalFormatting sqref="N250:O250">
    <cfRule type="containsText" dxfId="9" priority="43995" operator="containsText" text="No">
      <formula>NOT(ISERROR(SEARCH(("No"),(N250))))</formula>
    </cfRule>
  </conditionalFormatting>
  <conditionalFormatting sqref="N250:O250">
    <cfRule type="containsText" dxfId="9" priority="43996" operator="containsText" text="No">
      <formula>NOT(ISERROR(SEARCH(("No"),(N250))))</formula>
    </cfRule>
  </conditionalFormatting>
  <conditionalFormatting sqref="N250:O250">
    <cfRule type="containsText" dxfId="9" priority="43997" operator="containsText" text="No">
      <formula>NOT(ISERROR(SEARCH(("No"),(N250))))</formula>
    </cfRule>
  </conditionalFormatting>
  <conditionalFormatting sqref="N250:O250">
    <cfRule type="containsText" dxfId="9" priority="43998" operator="containsText" text="No">
      <formula>NOT(ISERROR(SEARCH(("No"),(N250))))</formula>
    </cfRule>
  </conditionalFormatting>
  <conditionalFormatting sqref="N250:O250">
    <cfRule type="containsText" dxfId="9" priority="43999" operator="containsText" text="No">
      <formula>NOT(ISERROR(SEARCH(("No"),(N250))))</formula>
    </cfRule>
  </conditionalFormatting>
  <conditionalFormatting sqref="N250:O250">
    <cfRule type="containsText" dxfId="9" priority="44000" operator="containsText" text="No">
      <formula>NOT(ISERROR(SEARCH(("No"),(N250))))</formula>
    </cfRule>
  </conditionalFormatting>
  <conditionalFormatting sqref="N250:O250">
    <cfRule type="containsText" dxfId="9" priority="44001" operator="containsText" text="No">
      <formula>NOT(ISERROR(SEARCH(("No"),(N250))))</formula>
    </cfRule>
  </conditionalFormatting>
  <conditionalFormatting sqref="N250:O250">
    <cfRule type="containsText" dxfId="9" priority="44002" operator="containsText" text="No">
      <formula>NOT(ISERROR(SEARCH(("No"),(N250))))</formula>
    </cfRule>
  </conditionalFormatting>
  <conditionalFormatting sqref="N250:O250">
    <cfRule type="containsText" dxfId="9" priority="44003" operator="containsText" text="No">
      <formula>NOT(ISERROR(SEARCH(("No"),(N250))))</formula>
    </cfRule>
  </conditionalFormatting>
  <conditionalFormatting sqref="N250:O250">
    <cfRule type="containsText" dxfId="9" priority="44004" operator="containsText" text="No">
      <formula>NOT(ISERROR(SEARCH(("No"),(N250))))</formula>
    </cfRule>
  </conditionalFormatting>
  <conditionalFormatting sqref="N250:O250">
    <cfRule type="containsText" dxfId="9" priority="44005" operator="containsText" text="No">
      <formula>NOT(ISERROR(SEARCH(("No"),(N250))))</formula>
    </cfRule>
  </conditionalFormatting>
  <conditionalFormatting sqref="N250:O250">
    <cfRule type="containsText" dxfId="9" priority="44006" operator="containsText" text="No">
      <formula>NOT(ISERROR(SEARCH(("No"),(N250))))</formula>
    </cfRule>
  </conditionalFormatting>
  <conditionalFormatting sqref="N250:O250">
    <cfRule type="containsText" dxfId="9" priority="44007" operator="containsText" text="No">
      <formula>NOT(ISERROR(SEARCH(("No"),(N250))))</formula>
    </cfRule>
  </conditionalFormatting>
  <conditionalFormatting sqref="N250:O250">
    <cfRule type="containsText" dxfId="9" priority="44008" operator="containsText" text="No">
      <formula>NOT(ISERROR(SEARCH(("No"),(N250))))</formula>
    </cfRule>
  </conditionalFormatting>
  <conditionalFormatting sqref="N250:O250">
    <cfRule type="containsText" dxfId="9" priority="44009" operator="containsText" text="No">
      <formula>NOT(ISERROR(SEARCH(("No"),(N250))))</formula>
    </cfRule>
  </conditionalFormatting>
  <conditionalFormatting sqref="N250:O250">
    <cfRule type="containsText" dxfId="9" priority="44010" operator="containsText" text="No">
      <formula>NOT(ISERROR(SEARCH(("No"),(N250))))</formula>
    </cfRule>
  </conditionalFormatting>
  <conditionalFormatting sqref="N250:O250">
    <cfRule type="containsText" dxfId="9" priority="44011" operator="containsText" text="No">
      <formula>NOT(ISERROR(SEARCH(("No"),(N250))))</formula>
    </cfRule>
  </conditionalFormatting>
  <conditionalFormatting sqref="N250:O250">
    <cfRule type="containsText" dxfId="2" priority="44012" operator="containsText" text="Yes">
      <formula>NOT(ISERROR(SEARCH(("Yes"),(N250))))</formula>
    </cfRule>
  </conditionalFormatting>
  <conditionalFormatting sqref="N250:O250">
    <cfRule type="containsText" dxfId="2" priority="44013" operator="containsText" text="Yes">
      <formula>NOT(ISERROR(SEARCH(("Yes"),(N250))))</formula>
    </cfRule>
  </conditionalFormatting>
  <conditionalFormatting sqref="N250:O250">
    <cfRule type="containsText" dxfId="2" priority="44014" operator="containsText" text="Yes">
      <formula>NOT(ISERROR(SEARCH(("Yes"),(N250))))</formula>
    </cfRule>
  </conditionalFormatting>
  <conditionalFormatting sqref="N250:O250">
    <cfRule type="containsText" dxfId="2" priority="44015" operator="containsText" text="Yes">
      <formula>NOT(ISERROR(SEARCH(("Yes"),(N250))))</formula>
    </cfRule>
  </conditionalFormatting>
  <conditionalFormatting sqref="N250:O250">
    <cfRule type="containsText" dxfId="2" priority="44016" operator="containsText" text="Yes">
      <formula>NOT(ISERROR(SEARCH(("Yes"),(N250))))</formula>
    </cfRule>
  </conditionalFormatting>
  <conditionalFormatting sqref="N250:O250">
    <cfRule type="containsText" dxfId="2" priority="44017" operator="containsText" text="Yes">
      <formula>NOT(ISERROR(SEARCH(("Yes"),(N250))))</formula>
    </cfRule>
  </conditionalFormatting>
  <conditionalFormatting sqref="N250:O250">
    <cfRule type="containsText" dxfId="2" priority="44018" operator="containsText" text="Yes">
      <formula>NOT(ISERROR(SEARCH(("Yes"),(N250))))</formula>
    </cfRule>
  </conditionalFormatting>
  <conditionalFormatting sqref="N250:O250">
    <cfRule type="containsText" dxfId="2" priority="44019" operator="containsText" text="Yes">
      <formula>NOT(ISERROR(SEARCH(("Yes"),(N250))))</formula>
    </cfRule>
  </conditionalFormatting>
  <conditionalFormatting sqref="N250:O250">
    <cfRule type="containsText" dxfId="2" priority="44020" operator="containsText" text="Yes">
      <formula>NOT(ISERROR(SEARCH(("Yes"),(N250))))</formula>
    </cfRule>
  </conditionalFormatting>
  <conditionalFormatting sqref="N250:O250">
    <cfRule type="containsText" dxfId="2" priority="44021" operator="containsText" text="Yes">
      <formula>NOT(ISERROR(SEARCH(("Yes"),(N250))))</formula>
    </cfRule>
  </conditionalFormatting>
  <conditionalFormatting sqref="N250:O250">
    <cfRule type="containsText" dxfId="2" priority="44022" operator="containsText" text="Yes">
      <formula>NOT(ISERROR(SEARCH(("Yes"),(N250))))</formula>
    </cfRule>
  </conditionalFormatting>
  <conditionalFormatting sqref="N250:O250">
    <cfRule type="containsText" dxfId="2" priority="44023" operator="containsText" text="Yes">
      <formula>NOT(ISERROR(SEARCH(("Yes"),(N250))))</formula>
    </cfRule>
  </conditionalFormatting>
  <conditionalFormatting sqref="N250:O250">
    <cfRule type="containsText" dxfId="2" priority="44024" operator="containsText" text="Yes">
      <formula>NOT(ISERROR(SEARCH(("Yes"),(N250))))</formula>
    </cfRule>
  </conditionalFormatting>
  <conditionalFormatting sqref="N250:O250">
    <cfRule type="containsText" dxfId="2" priority="44025" operator="containsText" text="Yes">
      <formula>NOT(ISERROR(SEARCH(("Yes"),(N250))))</formula>
    </cfRule>
  </conditionalFormatting>
  <conditionalFormatting sqref="N250:O250">
    <cfRule type="containsText" dxfId="2" priority="44026" operator="containsText" text="Yes">
      <formula>NOT(ISERROR(SEARCH(("Yes"),(N250))))</formula>
    </cfRule>
  </conditionalFormatting>
  <conditionalFormatting sqref="N250:O250">
    <cfRule type="containsText" dxfId="2" priority="44027" operator="containsText" text="Yes">
      <formula>NOT(ISERROR(SEARCH(("Yes"),(N250))))</formula>
    </cfRule>
  </conditionalFormatting>
  <conditionalFormatting sqref="N250:O250">
    <cfRule type="containsText" dxfId="2" priority="44028" operator="containsText" text="Yes">
      <formula>NOT(ISERROR(SEARCH(("Yes"),(N250))))</formula>
    </cfRule>
  </conditionalFormatting>
  <conditionalFormatting sqref="N250:O250">
    <cfRule type="containsText" dxfId="2" priority="44029" operator="containsText" text="Yes">
      <formula>NOT(ISERROR(SEARCH(("Yes"),(N250))))</formula>
    </cfRule>
  </conditionalFormatting>
  <conditionalFormatting sqref="N250:O250">
    <cfRule type="containsText" dxfId="2" priority="44030" operator="containsText" text="Yes">
      <formula>NOT(ISERROR(SEARCH(("Yes"),(N250))))</formula>
    </cfRule>
  </conditionalFormatting>
  <conditionalFormatting sqref="N250:O250">
    <cfRule type="containsText" dxfId="2" priority="44031" operator="containsText" text="Yes">
      <formula>NOT(ISERROR(SEARCH(("Yes"),(N250))))</formula>
    </cfRule>
  </conditionalFormatting>
  <conditionalFormatting sqref="N250:O250">
    <cfRule type="containsText" dxfId="2" priority="44032" operator="containsText" text="Yes">
      <formula>NOT(ISERROR(SEARCH(("Yes"),(N250))))</formula>
    </cfRule>
  </conditionalFormatting>
  <conditionalFormatting sqref="N250:O250">
    <cfRule type="containsText" dxfId="2" priority="44033" operator="containsText" text="Yes">
      <formula>NOT(ISERROR(SEARCH(("Yes"),(N250))))</formula>
    </cfRule>
  </conditionalFormatting>
  <conditionalFormatting sqref="N250:O250">
    <cfRule type="containsText" dxfId="2" priority="44034" operator="containsText" text="Yes">
      <formula>NOT(ISERROR(SEARCH(("Yes"),(N250))))</formula>
    </cfRule>
  </conditionalFormatting>
  <conditionalFormatting sqref="N250:O250">
    <cfRule type="containsText" dxfId="2" priority="44035" operator="containsText" text="Yes">
      <formula>NOT(ISERROR(SEARCH(("Yes"),(N250))))</formula>
    </cfRule>
  </conditionalFormatting>
  <conditionalFormatting sqref="N250:O250">
    <cfRule type="containsText" dxfId="2" priority="44036" operator="containsText" text="Yes">
      <formula>NOT(ISERROR(SEARCH(("Yes"),(N250))))</formula>
    </cfRule>
  </conditionalFormatting>
  <conditionalFormatting sqref="N250:O250">
    <cfRule type="containsText" dxfId="2" priority="44037" operator="containsText" text="Yes">
      <formula>NOT(ISERROR(SEARCH(("Yes"),(N250))))</formula>
    </cfRule>
  </conditionalFormatting>
  <conditionalFormatting sqref="N250:O250">
    <cfRule type="containsText" dxfId="2" priority="44038" operator="containsText" text="Yes">
      <formula>NOT(ISERROR(SEARCH(("Yes"),(N250))))</formula>
    </cfRule>
  </conditionalFormatting>
  <conditionalFormatting sqref="N250:O250">
    <cfRule type="containsText" dxfId="2" priority="44039" operator="containsText" text="Yes">
      <formula>NOT(ISERROR(SEARCH(("Yes"),(N250))))</formula>
    </cfRule>
  </conditionalFormatting>
  <conditionalFormatting sqref="N250:O250">
    <cfRule type="containsText" dxfId="2" priority="44040" operator="containsText" text="Yes">
      <formula>NOT(ISERROR(SEARCH(("Yes"),(N250))))</formula>
    </cfRule>
  </conditionalFormatting>
  <conditionalFormatting sqref="N250:O250">
    <cfRule type="containsText" dxfId="2" priority="44041" operator="containsText" text="Yes">
      <formula>NOT(ISERROR(SEARCH(("Yes"),(N250))))</formula>
    </cfRule>
  </conditionalFormatting>
  <conditionalFormatting sqref="N250:O250">
    <cfRule type="containsText" dxfId="2" priority="44042" operator="containsText" text="Yes">
      <formula>NOT(ISERROR(SEARCH(("Yes"),(N250))))</formula>
    </cfRule>
  </conditionalFormatting>
  <conditionalFormatting sqref="N250:O250">
    <cfRule type="containsText" dxfId="2" priority="44043" operator="containsText" text="Yes">
      <formula>NOT(ISERROR(SEARCH(("Yes"),(N250))))</formula>
    </cfRule>
  </conditionalFormatting>
  <conditionalFormatting sqref="N250:O250">
    <cfRule type="containsText" dxfId="2" priority="44044" operator="containsText" text="Yes">
      <formula>NOT(ISERROR(SEARCH(("Yes"),(N250))))</formula>
    </cfRule>
  </conditionalFormatting>
  <conditionalFormatting sqref="N250:O250">
    <cfRule type="containsText" dxfId="2" priority="44045" operator="containsText" text="Yes">
      <formula>NOT(ISERROR(SEARCH(("Yes"),(N250))))</formula>
    </cfRule>
  </conditionalFormatting>
  <conditionalFormatting sqref="N250:O250">
    <cfRule type="containsText" dxfId="2" priority="44046" operator="containsText" text="Yes">
      <formula>NOT(ISERROR(SEARCH(("Yes"),(N250))))</formula>
    </cfRule>
  </conditionalFormatting>
  <conditionalFormatting sqref="N250:O250">
    <cfRule type="containsText" dxfId="2" priority="44047" operator="containsText" text="Yes">
      <formula>NOT(ISERROR(SEARCH(("Yes"),(N250))))</formula>
    </cfRule>
  </conditionalFormatting>
  <conditionalFormatting sqref="N250:O250">
    <cfRule type="containsText" dxfId="2" priority="44048" operator="containsText" text="Yes">
      <formula>NOT(ISERROR(SEARCH(("Yes"),(N250))))</formula>
    </cfRule>
  </conditionalFormatting>
  <conditionalFormatting sqref="N250:O250">
    <cfRule type="containsText" dxfId="2" priority="44049" operator="containsText" text="Yes">
      <formula>NOT(ISERROR(SEARCH(("Yes"),(N250))))</formula>
    </cfRule>
  </conditionalFormatting>
  <conditionalFormatting sqref="N250:O250">
    <cfRule type="containsText" dxfId="2" priority="44050" operator="containsText" text="Yes">
      <formula>NOT(ISERROR(SEARCH(("Yes"),(N250))))</formula>
    </cfRule>
  </conditionalFormatting>
  <conditionalFormatting sqref="N250:O250">
    <cfRule type="containsText" dxfId="2" priority="44051" operator="containsText" text="Yes">
      <formula>NOT(ISERROR(SEARCH(("Yes"),(N250))))</formula>
    </cfRule>
  </conditionalFormatting>
  <conditionalFormatting sqref="N250:O250">
    <cfRule type="containsText" dxfId="2" priority="44052" operator="containsText" text="Yes">
      <formula>NOT(ISERROR(SEARCH(("Yes"),(N250))))</formula>
    </cfRule>
  </conditionalFormatting>
  <conditionalFormatting sqref="N250:O250">
    <cfRule type="containsText" dxfId="2" priority="44053" operator="containsText" text="Yes">
      <formula>NOT(ISERROR(SEARCH(("Yes"),(N250))))</formula>
    </cfRule>
  </conditionalFormatting>
  <conditionalFormatting sqref="N250:O250">
    <cfRule type="containsText" dxfId="2" priority="44054" operator="containsText" text="Yes">
      <formula>NOT(ISERROR(SEARCH(("Yes"),(N250))))</formula>
    </cfRule>
  </conditionalFormatting>
  <conditionalFormatting sqref="N250:O250">
    <cfRule type="containsText" dxfId="2" priority="44055" operator="containsText" text="Yes">
      <formula>NOT(ISERROR(SEARCH(("Yes"),(N250))))</formula>
    </cfRule>
  </conditionalFormatting>
  <conditionalFormatting sqref="N250:O250">
    <cfRule type="containsText" dxfId="2" priority="44056" operator="containsText" text="Yes">
      <formula>NOT(ISERROR(SEARCH(("Yes"),(N250))))</formula>
    </cfRule>
  </conditionalFormatting>
  <conditionalFormatting sqref="N250:O250">
    <cfRule type="containsText" dxfId="2" priority="44057" operator="containsText" text="Yes">
      <formula>NOT(ISERROR(SEARCH(("Yes"),(N250))))</formula>
    </cfRule>
  </conditionalFormatting>
  <conditionalFormatting sqref="N250:O250">
    <cfRule type="containsText" dxfId="2" priority="44058" operator="containsText" text="Yes">
      <formula>NOT(ISERROR(SEARCH(("Yes"),(N250))))</formula>
    </cfRule>
  </conditionalFormatting>
  <conditionalFormatting sqref="O251">
    <cfRule type="containsText" dxfId="9" priority="44059" operator="containsText" text="No">
      <formula>NOT(ISERROR(SEARCH(("No"),(O251))))</formula>
    </cfRule>
  </conditionalFormatting>
  <conditionalFormatting sqref="O251">
    <cfRule type="containsText" dxfId="9" priority="44060" operator="containsText" text="No">
      <formula>NOT(ISERROR(SEARCH(("No"),(O251))))</formula>
    </cfRule>
  </conditionalFormatting>
  <conditionalFormatting sqref="O251">
    <cfRule type="containsText" dxfId="9" priority="44061" operator="containsText" text="No">
      <formula>NOT(ISERROR(SEARCH(("No"),(O251))))</formula>
    </cfRule>
  </conditionalFormatting>
  <conditionalFormatting sqref="O251">
    <cfRule type="containsText" dxfId="2" priority="44062" operator="containsText" text="Yes">
      <formula>NOT(ISERROR(SEARCH(("Yes"),(O251))))</formula>
    </cfRule>
  </conditionalFormatting>
  <conditionalFormatting sqref="O251">
    <cfRule type="containsText" dxfId="2" priority="44063" operator="containsText" text="Yes">
      <formula>NOT(ISERROR(SEARCH(("Yes"),(O251))))</formula>
    </cfRule>
  </conditionalFormatting>
  <conditionalFormatting sqref="O251">
    <cfRule type="containsText" dxfId="2" priority="44064" operator="containsText" text="Yes">
      <formula>NOT(ISERROR(SEARCH(("Yes"),(O251))))</formula>
    </cfRule>
  </conditionalFormatting>
  <conditionalFormatting sqref="O251">
    <cfRule type="containsText" dxfId="2" priority="44065" operator="containsText" text="Yes">
      <formula>NOT(ISERROR(SEARCH(("Yes"),(O251))))</formula>
    </cfRule>
  </conditionalFormatting>
  <conditionalFormatting sqref="O251">
    <cfRule type="containsText" dxfId="2" priority="44066" operator="containsText" text="Yes">
      <formula>NOT(ISERROR(SEARCH(("Yes"),(O251))))</formula>
    </cfRule>
  </conditionalFormatting>
  <conditionalFormatting sqref="O251">
    <cfRule type="containsText" dxfId="9" priority="44067" operator="containsText" text="No">
      <formula>NOT(ISERROR(SEARCH(("No"),(O251))))</formula>
    </cfRule>
  </conditionalFormatting>
  <conditionalFormatting sqref="O251">
    <cfRule type="containsText" dxfId="9" priority="44068" operator="containsText" text="No">
      <formula>NOT(ISERROR(SEARCH(("No"),(O251))))</formula>
    </cfRule>
  </conditionalFormatting>
  <conditionalFormatting sqref="O251">
    <cfRule type="containsText" dxfId="2" priority="44069" operator="containsText" text="Yes">
      <formula>NOT(ISERROR(SEARCH(("Yes"),(O251))))</formula>
    </cfRule>
  </conditionalFormatting>
  <conditionalFormatting sqref="P251:Q251">
    <cfRule type="containsText" dxfId="9" priority="44070" operator="containsText" text="No">
      <formula>NOT(ISERROR(SEARCH(("No"),(P251))))</formula>
    </cfRule>
  </conditionalFormatting>
  <conditionalFormatting sqref="P251:Q251">
    <cfRule type="containsText" dxfId="9" priority="44071" operator="containsText" text="No">
      <formula>NOT(ISERROR(SEARCH(("No"),(P251))))</formula>
    </cfRule>
  </conditionalFormatting>
  <conditionalFormatting sqref="P251:Q251">
    <cfRule type="containsText" dxfId="9" priority="44072" operator="containsText" text="No">
      <formula>NOT(ISERROR(SEARCH(("No"),(P251))))</formula>
    </cfRule>
  </conditionalFormatting>
  <conditionalFormatting sqref="P251:Q251">
    <cfRule type="containsText" dxfId="9" priority="44073" operator="containsText" text="No">
      <formula>NOT(ISERROR(SEARCH(("No"),(P251))))</formula>
    </cfRule>
  </conditionalFormatting>
  <conditionalFormatting sqref="P251:Q251">
    <cfRule type="containsText" dxfId="9" priority="44074" operator="containsText" text="No">
      <formula>NOT(ISERROR(SEARCH(("No"),(P251))))</formula>
    </cfRule>
  </conditionalFormatting>
  <conditionalFormatting sqref="P251:Q251">
    <cfRule type="containsText" dxfId="9" priority="44075" operator="containsText" text="No">
      <formula>NOT(ISERROR(SEARCH(("No"),(P251))))</formula>
    </cfRule>
  </conditionalFormatting>
  <conditionalFormatting sqref="P251:Q251">
    <cfRule type="containsText" dxfId="9" priority="44076" operator="containsText" text="No">
      <formula>NOT(ISERROR(SEARCH(("No"),(P251))))</formula>
    </cfRule>
  </conditionalFormatting>
  <conditionalFormatting sqref="P251:Q251">
    <cfRule type="containsText" dxfId="9" priority="44077" operator="containsText" text="No">
      <formula>NOT(ISERROR(SEARCH(("No"),(P251))))</formula>
    </cfRule>
  </conditionalFormatting>
  <conditionalFormatting sqref="P251:Q251">
    <cfRule type="containsText" dxfId="9" priority="44078" operator="containsText" text="No">
      <formula>NOT(ISERROR(SEARCH(("No"),(P251))))</formula>
    </cfRule>
  </conditionalFormatting>
  <conditionalFormatting sqref="P251:Q251">
    <cfRule type="containsText" dxfId="9" priority="44079" operator="containsText" text="No">
      <formula>NOT(ISERROR(SEARCH(("No"),(P251))))</formula>
    </cfRule>
  </conditionalFormatting>
  <conditionalFormatting sqref="P251:Q251">
    <cfRule type="containsText" dxfId="9" priority="44080" operator="containsText" text="No">
      <formula>NOT(ISERROR(SEARCH(("No"),(P251))))</formula>
    </cfRule>
  </conditionalFormatting>
  <conditionalFormatting sqref="P251:Q251">
    <cfRule type="containsText" dxfId="9" priority="44081" operator="containsText" text="No">
      <formula>NOT(ISERROR(SEARCH(("No"),(P251))))</formula>
    </cfRule>
  </conditionalFormatting>
  <conditionalFormatting sqref="P251:Q251">
    <cfRule type="containsText" dxfId="9" priority="44082" operator="containsText" text="No">
      <formula>NOT(ISERROR(SEARCH(("No"),(P251))))</formula>
    </cfRule>
  </conditionalFormatting>
  <conditionalFormatting sqref="P251:Q251">
    <cfRule type="containsText" dxfId="9" priority="44083" operator="containsText" text="No">
      <formula>NOT(ISERROR(SEARCH(("No"),(P251))))</formula>
    </cfRule>
  </conditionalFormatting>
  <conditionalFormatting sqref="P251:Q251">
    <cfRule type="containsText" dxfId="9" priority="44084" operator="containsText" text="No">
      <formula>NOT(ISERROR(SEARCH(("No"),(P251))))</formula>
    </cfRule>
  </conditionalFormatting>
  <conditionalFormatting sqref="P251:Q251">
    <cfRule type="containsText" dxfId="9" priority="44085" operator="containsText" text="No">
      <formula>NOT(ISERROR(SEARCH(("No"),(P251))))</formula>
    </cfRule>
  </conditionalFormatting>
  <conditionalFormatting sqref="P251:Q251">
    <cfRule type="containsText" dxfId="9" priority="44086" operator="containsText" text="No">
      <formula>NOT(ISERROR(SEARCH(("No"),(P251))))</formula>
    </cfRule>
  </conditionalFormatting>
  <conditionalFormatting sqref="P251:Q251">
    <cfRule type="containsText" dxfId="9" priority="44087" operator="containsText" text="No">
      <formula>NOT(ISERROR(SEARCH(("No"),(P251))))</formula>
    </cfRule>
  </conditionalFormatting>
  <conditionalFormatting sqref="P251:Q251">
    <cfRule type="containsText" dxfId="9" priority="44088" operator="containsText" text="No">
      <formula>NOT(ISERROR(SEARCH(("No"),(P251))))</formula>
    </cfRule>
  </conditionalFormatting>
  <conditionalFormatting sqref="P251:Q251">
    <cfRule type="containsText" dxfId="9" priority="44089" operator="containsText" text="No">
      <formula>NOT(ISERROR(SEARCH(("No"),(P251))))</formula>
    </cfRule>
  </conditionalFormatting>
  <conditionalFormatting sqref="P251:Q251">
    <cfRule type="containsText" dxfId="9" priority="44090" operator="containsText" text="No">
      <formula>NOT(ISERROR(SEARCH(("No"),(P251))))</formula>
    </cfRule>
  </conditionalFormatting>
  <conditionalFormatting sqref="P251:Q251">
    <cfRule type="containsText" dxfId="9" priority="44091" operator="containsText" text="No">
      <formula>NOT(ISERROR(SEARCH(("No"),(P251))))</formula>
    </cfRule>
  </conditionalFormatting>
  <conditionalFormatting sqref="P251:Q251">
    <cfRule type="containsText" dxfId="9" priority="44092" operator="containsText" text="No">
      <formula>NOT(ISERROR(SEARCH(("No"),(P251))))</formula>
    </cfRule>
  </conditionalFormatting>
  <conditionalFormatting sqref="P251:Q251">
    <cfRule type="containsText" dxfId="9" priority="44093" operator="containsText" text="No">
      <formula>NOT(ISERROR(SEARCH(("No"),(P251))))</formula>
    </cfRule>
  </conditionalFormatting>
  <conditionalFormatting sqref="P251:Q251">
    <cfRule type="containsText" dxfId="9" priority="44094" operator="containsText" text="No">
      <formula>NOT(ISERROR(SEARCH(("No"),(P251))))</formula>
    </cfRule>
  </conditionalFormatting>
  <conditionalFormatting sqref="P251:Q251">
    <cfRule type="containsText" dxfId="9" priority="44095" operator="containsText" text="No">
      <formula>NOT(ISERROR(SEARCH(("No"),(P251))))</formula>
    </cfRule>
  </conditionalFormatting>
  <conditionalFormatting sqref="P251:Q251">
    <cfRule type="containsText" dxfId="9" priority="44096" operator="containsText" text="No">
      <formula>NOT(ISERROR(SEARCH(("No"),(P251))))</formula>
    </cfRule>
  </conditionalFormatting>
  <conditionalFormatting sqref="P251:Q251">
    <cfRule type="containsText" dxfId="9" priority="44097" operator="containsText" text="No">
      <formula>NOT(ISERROR(SEARCH(("No"),(P251))))</formula>
    </cfRule>
  </conditionalFormatting>
  <conditionalFormatting sqref="P251:Q251">
    <cfRule type="containsText" dxfId="9" priority="44098" operator="containsText" text="No">
      <formula>NOT(ISERROR(SEARCH(("No"),(P251))))</formula>
    </cfRule>
  </conditionalFormatting>
  <conditionalFormatting sqref="P251:Q251">
    <cfRule type="containsText" dxfId="9" priority="44099" operator="containsText" text="No">
      <formula>NOT(ISERROR(SEARCH(("No"),(P251))))</formula>
    </cfRule>
  </conditionalFormatting>
  <conditionalFormatting sqref="P251:Q251">
    <cfRule type="containsText" dxfId="9" priority="44100" operator="containsText" text="No">
      <formula>NOT(ISERROR(SEARCH(("No"),(P251))))</formula>
    </cfRule>
  </conditionalFormatting>
  <conditionalFormatting sqref="P251:Q251">
    <cfRule type="containsText" dxfId="9" priority="44101" operator="containsText" text="No">
      <formula>NOT(ISERROR(SEARCH(("No"),(P251))))</formula>
    </cfRule>
  </conditionalFormatting>
  <conditionalFormatting sqref="P251:Q251">
    <cfRule type="containsText" dxfId="9" priority="44102" operator="containsText" text="No">
      <formula>NOT(ISERROR(SEARCH(("No"),(P251))))</formula>
    </cfRule>
  </conditionalFormatting>
  <conditionalFormatting sqref="P251:Q251">
    <cfRule type="containsText" dxfId="9" priority="44103" operator="containsText" text="No">
      <formula>NOT(ISERROR(SEARCH(("No"),(P251))))</formula>
    </cfRule>
  </conditionalFormatting>
  <conditionalFormatting sqref="P251:Q251">
    <cfRule type="containsText" dxfId="9" priority="44104" operator="containsText" text="No">
      <formula>NOT(ISERROR(SEARCH(("No"),(P251))))</formula>
    </cfRule>
  </conditionalFormatting>
  <conditionalFormatting sqref="P251:Q251">
    <cfRule type="containsText" dxfId="9" priority="44105" operator="containsText" text="No">
      <formula>NOT(ISERROR(SEARCH(("No"),(P251))))</formula>
    </cfRule>
  </conditionalFormatting>
  <conditionalFormatting sqref="P251:Q251">
    <cfRule type="containsText" dxfId="9" priority="44106" operator="containsText" text="No">
      <formula>NOT(ISERROR(SEARCH(("No"),(P251))))</formula>
    </cfRule>
  </conditionalFormatting>
  <conditionalFormatting sqref="P251:Q251">
    <cfRule type="containsText" dxfId="9" priority="44107" operator="containsText" text="No">
      <formula>NOT(ISERROR(SEARCH(("No"),(P251))))</formula>
    </cfRule>
  </conditionalFormatting>
  <conditionalFormatting sqref="P251:Q251">
    <cfRule type="containsText" dxfId="9" priority="44108" operator="containsText" text="No">
      <formula>NOT(ISERROR(SEARCH(("No"),(P251))))</formula>
    </cfRule>
  </conditionalFormatting>
  <conditionalFormatting sqref="P251:Q251">
    <cfRule type="containsText" dxfId="9" priority="44109" operator="containsText" text="No">
      <formula>NOT(ISERROR(SEARCH(("No"),(P251))))</formula>
    </cfRule>
  </conditionalFormatting>
  <conditionalFormatting sqref="P251:Q251">
    <cfRule type="containsText" dxfId="9" priority="44110" operator="containsText" text="No">
      <formula>NOT(ISERROR(SEARCH(("No"),(P251))))</formula>
    </cfRule>
  </conditionalFormatting>
  <conditionalFormatting sqref="P251:Q251">
    <cfRule type="containsText" dxfId="9" priority="44111" operator="containsText" text="No">
      <formula>NOT(ISERROR(SEARCH(("No"),(P251))))</formula>
    </cfRule>
  </conditionalFormatting>
  <conditionalFormatting sqref="P251:Q251">
    <cfRule type="containsText" dxfId="9" priority="44112" operator="containsText" text="No">
      <formula>NOT(ISERROR(SEARCH(("No"),(P251))))</formula>
    </cfRule>
  </conditionalFormatting>
  <conditionalFormatting sqref="P251:Q251">
    <cfRule type="containsText" dxfId="9" priority="44113" operator="containsText" text="No">
      <formula>NOT(ISERROR(SEARCH(("No"),(P251))))</formula>
    </cfRule>
  </conditionalFormatting>
  <conditionalFormatting sqref="P251:Q251">
    <cfRule type="containsText" dxfId="9" priority="44114" operator="containsText" text="No">
      <formula>NOT(ISERROR(SEARCH(("No"),(P251))))</formula>
    </cfRule>
  </conditionalFormatting>
  <conditionalFormatting sqref="P251:Q251">
    <cfRule type="containsText" dxfId="2" priority="44115" operator="containsText" text="Yes">
      <formula>NOT(ISERROR(SEARCH(("Yes"),(P251))))</formula>
    </cfRule>
  </conditionalFormatting>
  <conditionalFormatting sqref="P251:Q251">
    <cfRule type="containsText" dxfId="2" priority="44116" operator="containsText" text="Yes">
      <formula>NOT(ISERROR(SEARCH(("Yes"),(P251))))</formula>
    </cfRule>
  </conditionalFormatting>
  <conditionalFormatting sqref="P251:Q251">
    <cfRule type="containsText" dxfId="2" priority="44117" operator="containsText" text="Yes">
      <formula>NOT(ISERROR(SEARCH(("Yes"),(P251))))</formula>
    </cfRule>
  </conditionalFormatting>
  <conditionalFormatting sqref="P251:Q251">
    <cfRule type="containsText" dxfId="2" priority="44118" operator="containsText" text="Yes">
      <formula>NOT(ISERROR(SEARCH(("Yes"),(P251))))</formula>
    </cfRule>
  </conditionalFormatting>
  <conditionalFormatting sqref="P251:Q251">
    <cfRule type="containsText" dxfId="2" priority="44119" operator="containsText" text="Yes">
      <formula>NOT(ISERROR(SEARCH(("Yes"),(P251))))</formula>
    </cfRule>
  </conditionalFormatting>
  <conditionalFormatting sqref="P251:Q251">
    <cfRule type="containsText" dxfId="2" priority="44120" operator="containsText" text="Yes">
      <formula>NOT(ISERROR(SEARCH(("Yes"),(P251))))</formula>
    </cfRule>
  </conditionalFormatting>
  <conditionalFormatting sqref="P251:Q251">
    <cfRule type="containsText" dxfId="2" priority="44121" operator="containsText" text="Yes">
      <formula>NOT(ISERROR(SEARCH(("Yes"),(P251))))</formula>
    </cfRule>
  </conditionalFormatting>
  <conditionalFormatting sqref="P251:Q251">
    <cfRule type="containsText" dxfId="2" priority="44122" operator="containsText" text="Yes">
      <formula>NOT(ISERROR(SEARCH(("Yes"),(P251))))</formula>
    </cfRule>
  </conditionalFormatting>
  <conditionalFormatting sqref="P251:Q251">
    <cfRule type="containsText" dxfId="2" priority="44123" operator="containsText" text="Yes">
      <formula>NOT(ISERROR(SEARCH(("Yes"),(P251))))</formula>
    </cfRule>
  </conditionalFormatting>
  <conditionalFormatting sqref="P251:Q251">
    <cfRule type="containsText" dxfId="2" priority="44124" operator="containsText" text="Yes">
      <formula>NOT(ISERROR(SEARCH(("Yes"),(P251))))</formula>
    </cfRule>
  </conditionalFormatting>
  <conditionalFormatting sqref="P251:Q251">
    <cfRule type="containsText" dxfId="2" priority="44125" operator="containsText" text="Yes">
      <formula>NOT(ISERROR(SEARCH(("Yes"),(P251))))</formula>
    </cfRule>
  </conditionalFormatting>
  <conditionalFormatting sqref="P251:Q251">
    <cfRule type="containsText" dxfId="2" priority="44126" operator="containsText" text="Yes">
      <formula>NOT(ISERROR(SEARCH(("Yes"),(P251))))</formula>
    </cfRule>
  </conditionalFormatting>
  <conditionalFormatting sqref="P251:Q251">
    <cfRule type="containsText" dxfId="2" priority="44127" operator="containsText" text="Yes">
      <formula>NOT(ISERROR(SEARCH(("Yes"),(P251))))</formula>
    </cfRule>
  </conditionalFormatting>
  <conditionalFormatting sqref="P251:Q251">
    <cfRule type="containsText" dxfId="2" priority="44128" operator="containsText" text="Yes">
      <formula>NOT(ISERROR(SEARCH(("Yes"),(P251))))</formula>
    </cfRule>
  </conditionalFormatting>
  <conditionalFormatting sqref="P251:Q251">
    <cfRule type="containsText" dxfId="2" priority="44129" operator="containsText" text="Yes">
      <formula>NOT(ISERROR(SEARCH(("Yes"),(P251))))</formula>
    </cfRule>
  </conditionalFormatting>
  <conditionalFormatting sqref="P251:Q251">
    <cfRule type="containsText" dxfId="2" priority="44130" operator="containsText" text="Yes">
      <formula>NOT(ISERROR(SEARCH(("Yes"),(P251))))</formula>
    </cfRule>
  </conditionalFormatting>
  <conditionalFormatting sqref="P251:Q251">
    <cfRule type="containsText" dxfId="2" priority="44131" operator="containsText" text="Yes">
      <formula>NOT(ISERROR(SEARCH(("Yes"),(P251))))</formula>
    </cfRule>
  </conditionalFormatting>
  <conditionalFormatting sqref="P251:Q251">
    <cfRule type="containsText" dxfId="2" priority="44132" operator="containsText" text="Yes">
      <formula>NOT(ISERROR(SEARCH(("Yes"),(P251))))</formula>
    </cfRule>
  </conditionalFormatting>
  <conditionalFormatting sqref="P251:Q251">
    <cfRule type="containsText" dxfId="2" priority="44133" operator="containsText" text="Yes">
      <formula>NOT(ISERROR(SEARCH(("Yes"),(P251))))</formula>
    </cfRule>
  </conditionalFormatting>
  <conditionalFormatting sqref="P251:Q251">
    <cfRule type="containsText" dxfId="2" priority="44134" operator="containsText" text="Yes">
      <formula>NOT(ISERROR(SEARCH(("Yes"),(P251))))</formula>
    </cfRule>
  </conditionalFormatting>
  <conditionalFormatting sqref="P251:Q251">
    <cfRule type="containsText" dxfId="2" priority="44135" operator="containsText" text="Yes">
      <formula>NOT(ISERROR(SEARCH(("Yes"),(P251))))</formula>
    </cfRule>
  </conditionalFormatting>
  <conditionalFormatting sqref="P251:Q251">
    <cfRule type="containsText" dxfId="2" priority="44136" operator="containsText" text="Yes">
      <formula>NOT(ISERROR(SEARCH(("Yes"),(P251))))</formula>
    </cfRule>
  </conditionalFormatting>
  <conditionalFormatting sqref="P251:Q251">
    <cfRule type="containsText" dxfId="2" priority="44137" operator="containsText" text="Yes">
      <formula>NOT(ISERROR(SEARCH(("Yes"),(P251))))</formula>
    </cfRule>
  </conditionalFormatting>
  <conditionalFormatting sqref="P251:Q251">
    <cfRule type="containsText" dxfId="2" priority="44138" operator="containsText" text="Yes">
      <formula>NOT(ISERROR(SEARCH(("Yes"),(P251))))</formula>
    </cfRule>
  </conditionalFormatting>
  <conditionalFormatting sqref="P251:Q251">
    <cfRule type="containsText" dxfId="2" priority="44139" operator="containsText" text="Yes">
      <formula>NOT(ISERROR(SEARCH(("Yes"),(P251))))</formula>
    </cfRule>
  </conditionalFormatting>
  <conditionalFormatting sqref="P251:Q251">
    <cfRule type="containsText" dxfId="2" priority="44140" operator="containsText" text="Yes">
      <formula>NOT(ISERROR(SEARCH(("Yes"),(P251))))</formula>
    </cfRule>
  </conditionalFormatting>
  <conditionalFormatting sqref="P251:Q251">
    <cfRule type="containsText" dxfId="2" priority="44141" operator="containsText" text="Yes">
      <formula>NOT(ISERROR(SEARCH(("Yes"),(P251))))</formula>
    </cfRule>
  </conditionalFormatting>
  <conditionalFormatting sqref="P251:Q251">
    <cfRule type="containsText" dxfId="2" priority="44142" operator="containsText" text="Yes">
      <formula>NOT(ISERROR(SEARCH(("Yes"),(P251))))</formula>
    </cfRule>
  </conditionalFormatting>
  <conditionalFormatting sqref="P251:Q251">
    <cfRule type="containsText" dxfId="2" priority="44143" operator="containsText" text="Yes">
      <formula>NOT(ISERROR(SEARCH(("Yes"),(P251))))</formula>
    </cfRule>
  </conditionalFormatting>
  <conditionalFormatting sqref="P251:Q251">
    <cfRule type="containsText" dxfId="2" priority="44144" operator="containsText" text="Yes">
      <formula>NOT(ISERROR(SEARCH(("Yes"),(P251))))</formula>
    </cfRule>
  </conditionalFormatting>
  <conditionalFormatting sqref="P251:Q251">
    <cfRule type="containsText" dxfId="2" priority="44145" operator="containsText" text="Yes">
      <formula>NOT(ISERROR(SEARCH(("Yes"),(P251))))</formula>
    </cfRule>
  </conditionalFormatting>
  <conditionalFormatting sqref="P251:Q251">
    <cfRule type="containsText" dxfId="2" priority="44146" operator="containsText" text="Yes">
      <formula>NOT(ISERROR(SEARCH(("Yes"),(P251))))</formula>
    </cfRule>
  </conditionalFormatting>
  <conditionalFormatting sqref="P251:Q251">
    <cfRule type="containsText" dxfId="2" priority="44147" operator="containsText" text="Yes">
      <formula>NOT(ISERROR(SEARCH(("Yes"),(P251))))</formula>
    </cfRule>
  </conditionalFormatting>
  <conditionalFormatting sqref="P251:Q251">
    <cfRule type="containsText" dxfId="2" priority="44148" operator="containsText" text="Yes">
      <formula>NOT(ISERROR(SEARCH(("Yes"),(P251))))</formula>
    </cfRule>
  </conditionalFormatting>
  <conditionalFormatting sqref="P251:Q251">
    <cfRule type="containsText" dxfId="2" priority="44149" operator="containsText" text="Yes">
      <formula>NOT(ISERROR(SEARCH(("Yes"),(P251))))</formula>
    </cfRule>
  </conditionalFormatting>
  <conditionalFormatting sqref="P251:Q251">
    <cfRule type="containsText" dxfId="2" priority="44150" operator="containsText" text="Yes">
      <formula>NOT(ISERROR(SEARCH(("Yes"),(P251))))</formula>
    </cfRule>
  </conditionalFormatting>
  <conditionalFormatting sqref="P251:Q251">
    <cfRule type="containsText" dxfId="2" priority="44151" operator="containsText" text="Yes">
      <formula>NOT(ISERROR(SEARCH(("Yes"),(P251))))</formula>
    </cfRule>
  </conditionalFormatting>
  <conditionalFormatting sqref="P251:Q251">
    <cfRule type="containsText" dxfId="2" priority="44152" operator="containsText" text="Yes">
      <formula>NOT(ISERROR(SEARCH(("Yes"),(P251))))</formula>
    </cfRule>
  </conditionalFormatting>
  <conditionalFormatting sqref="P251:Q251">
    <cfRule type="containsText" dxfId="2" priority="44153" operator="containsText" text="Yes">
      <formula>NOT(ISERROR(SEARCH(("Yes"),(P251))))</formula>
    </cfRule>
  </conditionalFormatting>
  <conditionalFormatting sqref="P251:Q251">
    <cfRule type="containsText" dxfId="2" priority="44154" operator="containsText" text="Yes">
      <formula>NOT(ISERROR(SEARCH(("Yes"),(P251))))</formula>
    </cfRule>
  </conditionalFormatting>
  <conditionalFormatting sqref="P251:Q251">
    <cfRule type="containsText" dxfId="2" priority="44155" operator="containsText" text="Yes">
      <formula>NOT(ISERROR(SEARCH(("Yes"),(P251))))</formula>
    </cfRule>
  </conditionalFormatting>
  <conditionalFormatting sqref="P251:Q251">
    <cfRule type="containsText" dxfId="2" priority="44156" operator="containsText" text="Yes">
      <formula>NOT(ISERROR(SEARCH(("Yes"),(P251))))</formula>
    </cfRule>
  </conditionalFormatting>
  <conditionalFormatting sqref="P251:Q251">
    <cfRule type="containsText" dxfId="2" priority="44157" operator="containsText" text="Yes">
      <formula>NOT(ISERROR(SEARCH(("Yes"),(P251))))</formula>
    </cfRule>
  </conditionalFormatting>
  <conditionalFormatting sqref="P251:Q251">
    <cfRule type="containsText" dxfId="2" priority="44158" operator="containsText" text="Yes">
      <formula>NOT(ISERROR(SEARCH(("Yes"),(P251))))</formula>
    </cfRule>
  </conditionalFormatting>
  <conditionalFormatting sqref="P251:Q251">
    <cfRule type="containsText" dxfId="2" priority="44159" operator="containsText" text="Yes">
      <formula>NOT(ISERROR(SEARCH(("Yes"),(P251))))</formula>
    </cfRule>
  </conditionalFormatting>
  <conditionalFormatting sqref="P251:Q251">
    <cfRule type="containsText" dxfId="2" priority="44160" operator="containsText" text="Yes">
      <formula>NOT(ISERROR(SEARCH(("Yes"),(P251))))</formula>
    </cfRule>
  </conditionalFormatting>
  <conditionalFormatting sqref="P251:Q251">
    <cfRule type="containsText" dxfId="2" priority="44161" operator="containsText" text="Yes">
      <formula>NOT(ISERROR(SEARCH(("Yes"),(P251))))</formula>
    </cfRule>
  </conditionalFormatting>
  <conditionalFormatting sqref="O252:O271 O273:O282 O286 O295 O300 O329 P283:Q284 P287:Q292 P294:Q294 P304:Q304 P307:Q307 P310:Q311 P313:Q316 P318:Q318 P321:Q322 P343:Q346">
    <cfRule type="containsText" dxfId="9" priority="44162" operator="containsText" text="No">
      <formula>NOT(ISERROR(SEARCH(("No"),(O252))))</formula>
    </cfRule>
  </conditionalFormatting>
  <conditionalFormatting sqref="O252:O271 O273:O282 O286 O295 O300 O329 P283:Q284 P287:Q292 P294:Q294 P304:Q304 P307:Q307 P310:Q311 P313:Q316 P318:Q318 P321:Q322 P343:Q346">
    <cfRule type="containsText" dxfId="9" priority="44163" operator="containsText" text="No">
      <formula>NOT(ISERROR(SEARCH(("No"),(O252))))</formula>
    </cfRule>
  </conditionalFormatting>
  <conditionalFormatting sqref="O252:O271 O273:O282 O286 O295 O300 O329 P283:Q284 P287:Q292 P294:Q294 P304:Q304 P307:Q307 P310:Q311 P313:Q316 P318:Q318 P321:Q322 P343:Q346">
    <cfRule type="containsText" dxfId="9" priority="44164" operator="containsText" text="No">
      <formula>NOT(ISERROR(SEARCH(("No"),(O252))))</formula>
    </cfRule>
  </conditionalFormatting>
  <conditionalFormatting sqref="O252:O271 O273:O282 O286 O295 O300 O329 P283:Q284 P287:Q292 P294:Q294 P304:Q304 P307:Q307 P310:Q311 P313:Q316 P318:Q318 P321:Q322 P343:Q346">
    <cfRule type="containsText" dxfId="2" priority="44165" operator="containsText" text="Yes">
      <formula>NOT(ISERROR(SEARCH(("Yes"),(O252))))</formula>
    </cfRule>
  </conditionalFormatting>
  <conditionalFormatting sqref="O252:O271 O273:O282 O286 O295 O300 O329 P283:Q284 P287:Q292 P294:Q294 P304:Q304 P307:Q307 P310:Q311 P313:Q316 P318:Q318 P321:Q322 P343:Q346">
    <cfRule type="containsText" dxfId="2" priority="44166" operator="containsText" text="Yes">
      <formula>NOT(ISERROR(SEARCH(("Yes"),(O252))))</formula>
    </cfRule>
  </conditionalFormatting>
  <conditionalFormatting sqref="O252:O271 O273:O282 O286 O295 O300 O329 P283:Q284 P287:Q292 P294:Q294 P304:Q304 P307:Q307 P310:Q311 P313:Q316 P318:Q318 P321:Q322 P343:Q346">
    <cfRule type="containsText" dxfId="2" priority="44167" operator="containsText" text="Yes">
      <formula>NOT(ISERROR(SEARCH(("Yes"),(O252))))</formula>
    </cfRule>
  </conditionalFormatting>
  <conditionalFormatting sqref="O252:O271 O273:O282 O286 O295 O300 O329 P283:Q284 P287:Q292 P294:Q294 P304:Q304 P307:Q307 P310:Q311 P313:Q316 P318:Q318 P321:Q322 P343:Q346">
    <cfRule type="containsText" dxfId="2" priority="44168" operator="containsText" text="Yes">
      <formula>NOT(ISERROR(SEARCH(("Yes"),(O252))))</formula>
    </cfRule>
  </conditionalFormatting>
  <conditionalFormatting sqref="O252:O271 O273:O282 O286 O295 O300 O329 P283:Q284 P287:Q292 P294:Q294 P304:Q304 P307:Q307 P310:Q311 P313:Q316 P318:Q318 P321:Q322 P343:Q346">
    <cfRule type="containsText" dxfId="2" priority="44169" operator="containsText" text="Yes">
      <formula>NOT(ISERROR(SEARCH(("Yes"),(O252))))</formula>
    </cfRule>
  </conditionalFormatting>
  <conditionalFormatting sqref="O252:O271 O273:O282 O286 O295 O300 O329 P283:Q284 P287:Q292 P294:Q294 P304:Q304 P307:Q307 P310:Q311 P313:Q316 P318:Q318 P321:Q322 P343:Q346">
    <cfRule type="containsText" dxfId="9" priority="44170" operator="containsText" text="No">
      <formula>NOT(ISERROR(SEARCH(("No"),(O252))))</formula>
    </cfRule>
  </conditionalFormatting>
  <conditionalFormatting sqref="O252:O271 O273:O282 O286 O295 O300 O329 P283:Q284 P287:Q292 P294:Q294 P304:Q304 P307:Q307 P310:Q311 P313:Q316 P318:Q318 P321:Q322 P343:Q346">
    <cfRule type="containsText" dxfId="9" priority="44171" operator="containsText" text="No">
      <formula>NOT(ISERROR(SEARCH(("No"),(O252))))</formula>
    </cfRule>
  </conditionalFormatting>
  <conditionalFormatting sqref="O252:O271 O273:O282 O286 O295 O300 O329 P283:Q284 P287:Q292 P294:Q294 P304:Q304 P307:Q307 P310:Q311 P313:Q316 P318:Q318 P321:Q322 P343:Q346">
    <cfRule type="containsText" dxfId="2" priority="44172" operator="containsText" text="Yes">
      <formula>NOT(ISERROR(SEARCH(("Yes"),(O252))))</formula>
    </cfRule>
  </conditionalFormatting>
  <conditionalFormatting sqref="P252:Q252">
    <cfRule type="containsText" dxfId="9" priority="44173" operator="containsText" text="No">
      <formula>NOT(ISERROR(SEARCH(("No"),(P252))))</formula>
    </cfRule>
  </conditionalFormatting>
  <conditionalFormatting sqref="P252:Q252">
    <cfRule type="containsText" dxfId="9" priority="44174" operator="containsText" text="No">
      <formula>NOT(ISERROR(SEARCH(("No"),(P252))))</formula>
    </cfRule>
  </conditionalFormatting>
  <conditionalFormatting sqref="P252:Q252">
    <cfRule type="containsText" dxfId="9" priority="44175" operator="containsText" text="No">
      <formula>NOT(ISERROR(SEARCH(("No"),(P252))))</formula>
    </cfRule>
  </conditionalFormatting>
  <conditionalFormatting sqref="P252:Q252">
    <cfRule type="containsText" dxfId="9" priority="44176" operator="containsText" text="No">
      <formula>NOT(ISERROR(SEARCH(("No"),(P252))))</formula>
    </cfRule>
  </conditionalFormatting>
  <conditionalFormatting sqref="P252:Q252">
    <cfRule type="containsText" dxfId="9" priority="44177" operator="containsText" text="No">
      <formula>NOT(ISERROR(SEARCH(("No"),(P252))))</formula>
    </cfRule>
  </conditionalFormatting>
  <conditionalFormatting sqref="P252:Q252">
    <cfRule type="containsText" dxfId="9" priority="44178" operator="containsText" text="No">
      <formula>NOT(ISERROR(SEARCH(("No"),(P252))))</formula>
    </cfRule>
  </conditionalFormatting>
  <conditionalFormatting sqref="P252:Q252">
    <cfRule type="containsText" dxfId="9" priority="44179" operator="containsText" text="No">
      <formula>NOT(ISERROR(SEARCH(("No"),(P252))))</formula>
    </cfRule>
  </conditionalFormatting>
  <conditionalFormatting sqref="P252:Q252">
    <cfRule type="containsText" dxfId="9" priority="44180" operator="containsText" text="No">
      <formula>NOT(ISERROR(SEARCH(("No"),(P252))))</formula>
    </cfRule>
  </conditionalFormatting>
  <conditionalFormatting sqref="P252:Q252">
    <cfRule type="containsText" dxfId="9" priority="44181" operator="containsText" text="No">
      <formula>NOT(ISERROR(SEARCH(("No"),(P252))))</formula>
    </cfRule>
  </conditionalFormatting>
  <conditionalFormatting sqref="P252:Q252">
    <cfRule type="containsText" dxfId="9" priority="44182" operator="containsText" text="No">
      <formula>NOT(ISERROR(SEARCH(("No"),(P252))))</formula>
    </cfRule>
  </conditionalFormatting>
  <conditionalFormatting sqref="P252:Q252">
    <cfRule type="containsText" dxfId="9" priority="44183" operator="containsText" text="No">
      <formula>NOT(ISERROR(SEARCH(("No"),(P252))))</formula>
    </cfRule>
  </conditionalFormatting>
  <conditionalFormatting sqref="P252:Q252">
    <cfRule type="containsText" dxfId="9" priority="44184" operator="containsText" text="No">
      <formula>NOT(ISERROR(SEARCH(("No"),(P252))))</formula>
    </cfRule>
  </conditionalFormatting>
  <conditionalFormatting sqref="P252:Q252">
    <cfRule type="containsText" dxfId="9" priority="44185" operator="containsText" text="No">
      <formula>NOT(ISERROR(SEARCH(("No"),(P252))))</formula>
    </cfRule>
  </conditionalFormatting>
  <conditionalFormatting sqref="P252:Q252">
    <cfRule type="containsText" dxfId="9" priority="44186" operator="containsText" text="No">
      <formula>NOT(ISERROR(SEARCH(("No"),(P252))))</formula>
    </cfRule>
  </conditionalFormatting>
  <conditionalFormatting sqref="P252:Q252">
    <cfRule type="containsText" dxfId="9" priority="44187" operator="containsText" text="No">
      <formula>NOT(ISERROR(SEARCH(("No"),(P252))))</formula>
    </cfRule>
  </conditionalFormatting>
  <conditionalFormatting sqref="P252:Q252">
    <cfRule type="containsText" dxfId="9" priority="44188" operator="containsText" text="No">
      <formula>NOT(ISERROR(SEARCH(("No"),(P252))))</formula>
    </cfRule>
  </conditionalFormatting>
  <conditionalFormatting sqref="P252:Q252">
    <cfRule type="containsText" dxfId="9" priority="44189" operator="containsText" text="No">
      <formula>NOT(ISERROR(SEARCH(("No"),(P252))))</formula>
    </cfRule>
  </conditionalFormatting>
  <conditionalFormatting sqref="P252:Q252">
    <cfRule type="containsText" dxfId="9" priority="44190" operator="containsText" text="No">
      <formula>NOT(ISERROR(SEARCH(("No"),(P252))))</formula>
    </cfRule>
  </conditionalFormatting>
  <conditionalFormatting sqref="P252:Q252">
    <cfRule type="containsText" dxfId="9" priority="44191" operator="containsText" text="No">
      <formula>NOT(ISERROR(SEARCH(("No"),(P252))))</formula>
    </cfRule>
  </conditionalFormatting>
  <conditionalFormatting sqref="P252:Q252">
    <cfRule type="containsText" dxfId="9" priority="44192" operator="containsText" text="No">
      <formula>NOT(ISERROR(SEARCH(("No"),(P252))))</formula>
    </cfRule>
  </conditionalFormatting>
  <conditionalFormatting sqref="P252:Q252">
    <cfRule type="containsText" dxfId="9" priority="44193" operator="containsText" text="No">
      <formula>NOT(ISERROR(SEARCH(("No"),(P252))))</formula>
    </cfRule>
  </conditionalFormatting>
  <conditionalFormatting sqref="P252:Q252">
    <cfRule type="containsText" dxfId="9" priority="44194" operator="containsText" text="No">
      <formula>NOT(ISERROR(SEARCH(("No"),(P252))))</formula>
    </cfRule>
  </conditionalFormatting>
  <conditionalFormatting sqref="P252:Q252">
    <cfRule type="containsText" dxfId="9" priority="44195" operator="containsText" text="No">
      <formula>NOT(ISERROR(SEARCH(("No"),(P252))))</formula>
    </cfRule>
  </conditionalFormatting>
  <conditionalFormatting sqref="P252:Q252">
    <cfRule type="containsText" dxfId="9" priority="44196" operator="containsText" text="No">
      <formula>NOT(ISERROR(SEARCH(("No"),(P252))))</formula>
    </cfRule>
  </conditionalFormatting>
  <conditionalFormatting sqref="P252:Q252">
    <cfRule type="containsText" dxfId="9" priority="44197" operator="containsText" text="No">
      <formula>NOT(ISERROR(SEARCH(("No"),(P252))))</formula>
    </cfRule>
  </conditionalFormatting>
  <conditionalFormatting sqref="P252:Q252">
    <cfRule type="containsText" dxfId="9" priority="44198" operator="containsText" text="No">
      <formula>NOT(ISERROR(SEARCH(("No"),(P252))))</formula>
    </cfRule>
  </conditionalFormatting>
  <conditionalFormatting sqref="P252:Q252">
    <cfRule type="containsText" dxfId="9" priority="44199" operator="containsText" text="No">
      <formula>NOT(ISERROR(SEARCH(("No"),(P252))))</formula>
    </cfRule>
  </conditionalFormatting>
  <conditionalFormatting sqref="P252:Q252">
    <cfRule type="containsText" dxfId="9" priority="44200" operator="containsText" text="No">
      <formula>NOT(ISERROR(SEARCH(("No"),(P252))))</formula>
    </cfRule>
  </conditionalFormatting>
  <conditionalFormatting sqref="P252:Q252">
    <cfRule type="containsText" dxfId="9" priority="44201" operator="containsText" text="No">
      <formula>NOT(ISERROR(SEARCH(("No"),(P252))))</formula>
    </cfRule>
  </conditionalFormatting>
  <conditionalFormatting sqref="P252:Q252">
    <cfRule type="containsText" dxfId="9" priority="44202" operator="containsText" text="No">
      <formula>NOT(ISERROR(SEARCH(("No"),(P252))))</formula>
    </cfRule>
  </conditionalFormatting>
  <conditionalFormatting sqref="P252:Q252">
    <cfRule type="containsText" dxfId="9" priority="44203" operator="containsText" text="No">
      <formula>NOT(ISERROR(SEARCH(("No"),(P252))))</formula>
    </cfRule>
  </conditionalFormatting>
  <conditionalFormatting sqref="P252:Q252">
    <cfRule type="containsText" dxfId="9" priority="44204" operator="containsText" text="No">
      <formula>NOT(ISERROR(SEARCH(("No"),(P252))))</formula>
    </cfRule>
  </conditionalFormatting>
  <conditionalFormatting sqref="P252:Q252">
    <cfRule type="containsText" dxfId="9" priority="44205" operator="containsText" text="No">
      <formula>NOT(ISERROR(SEARCH(("No"),(P252))))</formula>
    </cfRule>
  </conditionalFormatting>
  <conditionalFormatting sqref="P252:Q252">
    <cfRule type="containsText" dxfId="9" priority="44206" operator="containsText" text="No">
      <formula>NOT(ISERROR(SEARCH(("No"),(P252))))</formula>
    </cfRule>
  </conditionalFormatting>
  <conditionalFormatting sqref="P252:Q252">
    <cfRule type="containsText" dxfId="9" priority="44207" operator="containsText" text="No">
      <formula>NOT(ISERROR(SEARCH(("No"),(P252))))</formula>
    </cfRule>
  </conditionalFormatting>
  <conditionalFormatting sqref="P252:Q252">
    <cfRule type="containsText" dxfId="9" priority="44208" operator="containsText" text="No">
      <formula>NOT(ISERROR(SEARCH(("No"),(P252))))</formula>
    </cfRule>
  </conditionalFormatting>
  <conditionalFormatting sqref="P252:Q252">
    <cfRule type="containsText" dxfId="9" priority="44209" operator="containsText" text="No">
      <formula>NOT(ISERROR(SEARCH(("No"),(P252))))</formula>
    </cfRule>
  </conditionalFormatting>
  <conditionalFormatting sqref="P252:Q252">
    <cfRule type="containsText" dxfId="9" priority="44210" operator="containsText" text="No">
      <formula>NOT(ISERROR(SEARCH(("No"),(P252))))</formula>
    </cfRule>
  </conditionalFormatting>
  <conditionalFormatting sqref="P252:Q252">
    <cfRule type="containsText" dxfId="9" priority="44211" operator="containsText" text="No">
      <formula>NOT(ISERROR(SEARCH(("No"),(P252))))</formula>
    </cfRule>
  </conditionalFormatting>
  <conditionalFormatting sqref="P252:Q252">
    <cfRule type="containsText" dxfId="9" priority="44212" operator="containsText" text="No">
      <formula>NOT(ISERROR(SEARCH(("No"),(P252))))</formula>
    </cfRule>
  </conditionalFormatting>
  <conditionalFormatting sqref="P252:Q252">
    <cfRule type="containsText" dxfId="9" priority="44213" operator="containsText" text="No">
      <formula>NOT(ISERROR(SEARCH(("No"),(P252))))</formula>
    </cfRule>
  </conditionalFormatting>
  <conditionalFormatting sqref="P252:Q252">
    <cfRule type="containsText" dxfId="9" priority="44214" operator="containsText" text="No">
      <formula>NOT(ISERROR(SEARCH(("No"),(P252))))</formula>
    </cfRule>
  </conditionalFormatting>
  <conditionalFormatting sqref="P252:Q252">
    <cfRule type="containsText" dxfId="9" priority="44215" operator="containsText" text="No">
      <formula>NOT(ISERROR(SEARCH(("No"),(P252))))</formula>
    </cfRule>
  </conditionalFormatting>
  <conditionalFormatting sqref="P252:Q252">
    <cfRule type="containsText" dxfId="9" priority="44216" operator="containsText" text="No">
      <formula>NOT(ISERROR(SEARCH(("No"),(P252))))</formula>
    </cfRule>
  </conditionalFormatting>
  <conditionalFormatting sqref="P252:Q252">
    <cfRule type="containsText" dxfId="9" priority="44217" operator="containsText" text="No">
      <formula>NOT(ISERROR(SEARCH(("No"),(P252))))</formula>
    </cfRule>
  </conditionalFormatting>
  <conditionalFormatting sqref="P252:Q252">
    <cfRule type="containsText" dxfId="2" priority="44218" operator="containsText" text="Yes">
      <formula>NOT(ISERROR(SEARCH(("Yes"),(P252))))</formula>
    </cfRule>
  </conditionalFormatting>
  <conditionalFormatting sqref="P252:Q252">
    <cfRule type="containsText" dxfId="2" priority="44219" operator="containsText" text="Yes">
      <formula>NOT(ISERROR(SEARCH(("Yes"),(P252))))</formula>
    </cfRule>
  </conditionalFormatting>
  <conditionalFormatting sqref="P252:Q252">
    <cfRule type="containsText" dxfId="2" priority="44220" operator="containsText" text="Yes">
      <formula>NOT(ISERROR(SEARCH(("Yes"),(P252))))</formula>
    </cfRule>
  </conditionalFormatting>
  <conditionalFormatting sqref="P252:Q252">
    <cfRule type="containsText" dxfId="2" priority="44221" operator="containsText" text="Yes">
      <formula>NOT(ISERROR(SEARCH(("Yes"),(P252))))</formula>
    </cfRule>
  </conditionalFormatting>
  <conditionalFormatting sqref="P252:Q252">
    <cfRule type="containsText" dxfId="2" priority="44222" operator="containsText" text="Yes">
      <formula>NOT(ISERROR(SEARCH(("Yes"),(P252))))</formula>
    </cfRule>
  </conditionalFormatting>
  <conditionalFormatting sqref="P252:Q252">
    <cfRule type="containsText" dxfId="2" priority="44223" operator="containsText" text="Yes">
      <formula>NOT(ISERROR(SEARCH(("Yes"),(P252))))</formula>
    </cfRule>
  </conditionalFormatting>
  <conditionalFormatting sqref="P252:Q252">
    <cfRule type="containsText" dxfId="2" priority="44224" operator="containsText" text="Yes">
      <formula>NOT(ISERROR(SEARCH(("Yes"),(P252))))</formula>
    </cfRule>
  </conditionalFormatting>
  <conditionalFormatting sqref="P252:Q252">
    <cfRule type="containsText" dxfId="2" priority="44225" operator="containsText" text="Yes">
      <formula>NOT(ISERROR(SEARCH(("Yes"),(P252))))</formula>
    </cfRule>
  </conditionalFormatting>
  <conditionalFormatting sqref="P252:Q252">
    <cfRule type="containsText" dxfId="2" priority="44226" operator="containsText" text="Yes">
      <formula>NOT(ISERROR(SEARCH(("Yes"),(P252))))</formula>
    </cfRule>
  </conditionalFormatting>
  <conditionalFormatting sqref="P252:Q252">
    <cfRule type="containsText" dxfId="2" priority="44227" operator="containsText" text="Yes">
      <formula>NOT(ISERROR(SEARCH(("Yes"),(P252))))</formula>
    </cfRule>
  </conditionalFormatting>
  <conditionalFormatting sqref="P252:Q252">
    <cfRule type="containsText" dxfId="2" priority="44228" operator="containsText" text="Yes">
      <formula>NOT(ISERROR(SEARCH(("Yes"),(P252))))</formula>
    </cfRule>
  </conditionalFormatting>
  <conditionalFormatting sqref="P252:Q252">
    <cfRule type="containsText" dxfId="2" priority="44229" operator="containsText" text="Yes">
      <formula>NOT(ISERROR(SEARCH(("Yes"),(P252))))</formula>
    </cfRule>
  </conditionalFormatting>
  <conditionalFormatting sqref="P252:Q252">
    <cfRule type="containsText" dxfId="2" priority="44230" operator="containsText" text="Yes">
      <formula>NOT(ISERROR(SEARCH(("Yes"),(P252))))</formula>
    </cfRule>
  </conditionalFormatting>
  <conditionalFormatting sqref="P252:Q252">
    <cfRule type="containsText" dxfId="2" priority="44231" operator="containsText" text="Yes">
      <formula>NOT(ISERROR(SEARCH(("Yes"),(P252))))</formula>
    </cfRule>
  </conditionalFormatting>
  <conditionalFormatting sqref="P252:Q252">
    <cfRule type="containsText" dxfId="2" priority="44232" operator="containsText" text="Yes">
      <formula>NOT(ISERROR(SEARCH(("Yes"),(P252))))</formula>
    </cfRule>
  </conditionalFormatting>
  <conditionalFormatting sqref="P252:Q252">
    <cfRule type="containsText" dxfId="2" priority="44233" operator="containsText" text="Yes">
      <formula>NOT(ISERROR(SEARCH(("Yes"),(P252))))</formula>
    </cfRule>
  </conditionalFormatting>
  <conditionalFormatting sqref="P252:Q252">
    <cfRule type="containsText" dxfId="2" priority="44234" operator="containsText" text="Yes">
      <formula>NOT(ISERROR(SEARCH(("Yes"),(P252))))</formula>
    </cfRule>
  </conditionalFormatting>
  <conditionalFormatting sqref="P252:Q252">
    <cfRule type="containsText" dxfId="2" priority="44235" operator="containsText" text="Yes">
      <formula>NOT(ISERROR(SEARCH(("Yes"),(P252))))</formula>
    </cfRule>
  </conditionalFormatting>
  <conditionalFormatting sqref="P252:Q252">
    <cfRule type="containsText" dxfId="2" priority="44236" operator="containsText" text="Yes">
      <formula>NOT(ISERROR(SEARCH(("Yes"),(P252))))</formula>
    </cfRule>
  </conditionalFormatting>
  <conditionalFormatting sqref="P252:Q252">
    <cfRule type="containsText" dxfId="2" priority="44237" operator="containsText" text="Yes">
      <formula>NOT(ISERROR(SEARCH(("Yes"),(P252))))</formula>
    </cfRule>
  </conditionalFormatting>
  <conditionalFormatting sqref="P252:Q252">
    <cfRule type="containsText" dxfId="2" priority="44238" operator="containsText" text="Yes">
      <formula>NOT(ISERROR(SEARCH(("Yes"),(P252))))</formula>
    </cfRule>
  </conditionalFormatting>
  <conditionalFormatting sqref="P252:Q252">
    <cfRule type="containsText" dxfId="2" priority="44239" operator="containsText" text="Yes">
      <formula>NOT(ISERROR(SEARCH(("Yes"),(P252))))</formula>
    </cfRule>
  </conditionalFormatting>
  <conditionalFormatting sqref="P252:Q252">
    <cfRule type="containsText" dxfId="2" priority="44240" operator="containsText" text="Yes">
      <formula>NOT(ISERROR(SEARCH(("Yes"),(P252))))</formula>
    </cfRule>
  </conditionalFormatting>
  <conditionalFormatting sqref="P252:Q252">
    <cfRule type="containsText" dxfId="2" priority="44241" operator="containsText" text="Yes">
      <formula>NOT(ISERROR(SEARCH(("Yes"),(P252))))</formula>
    </cfRule>
  </conditionalFormatting>
  <conditionalFormatting sqref="P252:Q252">
    <cfRule type="containsText" dxfId="2" priority="44242" operator="containsText" text="Yes">
      <formula>NOT(ISERROR(SEARCH(("Yes"),(P252))))</formula>
    </cfRule>
  </conditionalFormatting>
  <conditionalFormatting sqref="P252:Q252">
    <cfRule type="containsText" dxfId="2" priority="44243" operator="containsText" text="Yes">
      <formula>NOT(ISERROR(SEARCH(("Yes"),(P252))))</formula>
    </cfRule>
  </conditionalFormatting>
  <conditionalFormatting sqref="P252:Q252">
    <cfRule type="containsText" dxfId="2" priority="44244" operator="containsText" text="Yes">
      <formula>NOT(ISERROR(SEARCH(("Yes"),(P252))))</formula>
    </cfRule>
  </conditionalFormatting>
  <conditionalFormatting sqref="P252:Q252">
    <cfRule type="containsText" dxfId="2" priority="44245" operator="containsText" text="Yes">
      <formula>NOT(ISERROR(SEARCH(("Yes"),(P252))))</formula>
    </cfRule>
  </conditionalFormatting>
  <conditionalFormatting sqref="P252:Q252">
    <cfRule type="containsText" dxfId="2" priority="44246" operator="containsText" text="Yes">
      <formula>NOT(ISERROR(SEARCH(("Yes"),(P252))))</formula>
    </cfRule>
  </conditionalFormatting>
  <conditionalFormatting sqref="P252:Q252">
    <cfRule type="containsText" dxfId="2" priority="44247" operator="containsText" text="Yes">
      <formula>NOT(ISERROR(SEARCH(("Yes"),(P252))))</formula>
    </cfRule>
  </conditionalFormatting>
  <conditionalFormatting sqref="P252:Q252">
    <cfRule type="containsText" dxfId="2" priority="44248" operator="containsText" text="Yes">
      <formula>NOT(ISERROR(SEARCH(("Yes"),(P252))))</formula>
    </cfRule>
  </conditionalFormatting>
  <conditionalFormatting sqref="P252:Q252">
    <cfRule type="containsText" dxfId="2" priority="44249" operator="containsText" text="Yes">
      <formula>NOT(ISERROR(SEARCH(("Yes"),(P252))))</formula>
    </cfRule>
  </conditionalFormatting>
  <conditionalFormatting sqref="P252:Q252">
    <cfRule type="containsText" dxfId="2" priority="44250" operator="containsText" text="Yes">
      <formula>NOT(ISERROR(SEARCH(("Yes"),(P252))))</formula>
    </cfRule>
  </conditionalFormatting>
  <conditionalFormatting sqref="P252:Q252">
    <cfRule type="containsText" dxfId="2" priority="44251" operator="containsText" text="Yes">
      <formula>NOT(ISERROR(SEARCH(("Yes"),(P252))))</formula>
    </cfRule>
  </conditionalFormatting>
  <conditionalFormatting sqref="P252:Q252">
    <cfRule type="containsText" dxfId="2" priority="44252" operator="containsText" text="Yes">
      <formula>NOT(ISERROR(SEARCH(("Yes"),(P252))))</formula>
    </cfRule>
  </conditionalFormatting>
  <conditionalFormatting sqref="P252:Q252">
    <cfRule type="containsText" dxfId="2" priority="44253" operator="containsText" text="Yes">
      <formula>NOT(ISERROR(SEARCH(("Yes"),(P252))))</formula>
    </cfRule>
  </conditionalFormatting>
  <conditionalFormatting sqref="P252:Q252">
    <cfRule type="containsText" dxfId="2" priority="44254" operator="containsText" text="Yes">
      <formula>NOT(ISERROR(SEARCH(("Yes"),(P252))))</formula>
    </cfRule>
  </conditionalFormatting>
  <conditionalFormatting sqref="P252:Q252">
    <cfRule type="containsText" dxfId="2" priority="44255" operator="containsText" text="Yes">
      <formula>NOT(ISERROR(SEARCH(("Yes"),(P252))))</formula>
    </cfRule>
  </conditionalFormatting>
  <conditionalFormatting sqref="P252:Q252">
    <cfRule type="containsText" dxfId="2" priority="44256" operator="containsText" text="Yes">
      <formula>NOT(ISERROR(SEARCH(("Yes"),(P252))))</formula>
    </cfRule>
  </conditionalFormatting>
  <conditionalFormatting sqref="P252:Q252">
    <cfRule type="containsText" dxfId="2" priority="44257" operator="containsText" text="Yes">
      <formula>NOT(ISERROR(SEARCH(("Yes"),(P252))))</formula>
    </cfRule>
  </conditionalFormatting>
  <conditionalFormatting sqref="P252:Q252">
    <cfRule type="containsText" dxfId="2" priority="44258" operator="containsText" text="Yes">
      <formula>NOT(ISERROR(SEARCH(("Yes"),(P252))))</formula>
    </cfRule>
  </conditionalFormatting>
  <conditionalFormatting sqref="P252:Q252">
    <cfRule type="containsText" dxfId="2" priority="44259" operator="containsText" text="Yes">
      <formula>NOT(ISERROR(SEARCH(("Yes"),(P252))))</formula>
    </cfRule>
  </conditionalFormatting>
  <conditionalFormatting sqref="P252:Q252">
    <cfRule type="containsText" dxfId="2" priority="44260" operator="containsText" text="Yes">
      <formula>NOT(ISERROR(SEARCH(("Yes"),(P252))))</formula>
    </cfRule>
  </conditionalFormatting>
  <conditionalFormatting sqref="P252:Q252">
    <cfRule type="containsText" dxfId="2" priority="44261" operator="containsText" text="Yes">
      <formula>NOT(ISERROR(SEARCH(("Yes"),(P252))))</formula>
    </cfRule>
  </conditionalFormatting>
  <conditionalFormatting sqref="P252:Q252">
    <cfRule type="containsText" dxfId="2" priority="44262" operator="containsText" text="Yes">
      <formula>NOT(ISERROR(SEARCH(("Yes"),(P252))))</formula>
    </cfRule>
  </conditionalFormatting>
  <conditionalFormatting sqref="P252:Q252">
    <cfRule type="containsText" dxfId="2" priority="44263" operator="containsText" text="Yes">
      <formula>NOT(ISERROR(SEARCH(("Yes"),(P252))))</formula>
    </cfRule>
  </conditionalFormatting>
  <conditionalFormatting sqref="P252:Q252">
    <cfRule type="containsText" dxfId="2" priority="44264" operator="containsText" text="Yes">
      <formula>NOT(ISERROR(SEARCH(("Yes"),(P252))))</formula>
    </cfRule>
  </conditionalFormatting>
  <conditionalFormatting sqref="P253:Q253 P257:Q257 P265:Q266 P270:Q271">
    <cfRule type="containsText" dxfId="9" priority="44265" operator="containsText" text="No">
      <formula>NOT(ISERROR(SEARCH(("No"),(P253))))</formula>
    </cfRule>
  </conditionalFormatting>
  <conditionalFormatting sqref="P253:Q253 P257:Q257 P265:Q266 P270:Q271">
    <cfRule type="containsText" dxfId="9" priority="44266" operator="containsText" text="No">
      <formula>NOT(ISERROR(SEARCH(("No"),(P253))))</formula>
    </cfRule>
  </conditionalFormatting>
  <conditionalFormatting sqref="P253:Q253 P257:Q257 P265:Q266 P270:Q271">
    <cfRule type="containsText" dxfId="9" priority="44267" operator="containsText" text="No">
      <formula>NOT(ISERROR(SEARCH(("No"),(P253))))</formula>
    </cfRule>
  </conditionalFormatting>
  <conditionalFormatting sqref="P253:Q253 P257:Q257 P265:Q266 P270:Q271">
    <cfRule type="containsText" dxfId="9" priority="44268" operator="containsText" text="No">
      <formula>NOT(ISERROR(SEARCH(("No"),(P253))))</formula>
    </cfRule>
  </conditionalFormatting>
  <conditionalFormatting sqref="P253:Q253 P257:Q257 P265:Q266 P270:Q271">
    <cfRule type="containsText" dxfId="9" priority="44269" operator="containsText" text="No">
      <formula>NOT(ISERROR(SEARCH(("No"),(P253))))</formula>
    </cfRule>
  </conditionalFormatting>
  <conditionalFormatting sqref="P253:Q253 P257:Q257 P265:Q266 P270:Q271">
    <cfRule type="containsText" dxfId="9" priority="44270" operator="containsText" text="No">
      <formula>NOT(ISERROR(SEARCH(("No"),(P253))))</formula>
    </cfRule>
  </conditionalFormatting>
  <conditionalFormatting sqref="P253:Q253 P257:Q257 P265:Q266 P270:Q271">
    <cfRule type="containsText" dxfId="9" priority="44271" operator="containsText" text="No">
      <formula>NOT(ISERROR(SEARCH(("No"),(P253))))</formula>
    </cfRule>
  </conditionalFormatting>
  <conditionalFormatting sqref="P253:Q253 P257:Q257 P265:Q266 P270:Q271">
    <cfRule type="containsText" dxfId="9" priority="44272" operator="containsText" text="No">
      <formula>NOT(ISERROR(SEARCH(("No"),(P253))))</formula>
    </cfRule>
  </conditionalFormatting>
  <conditionalFormatting sqref="P253:Q253 P257:Q257 P265:Q266 P270:Q271">
    <cfRule type="containsText" dxfId="9" priority="44273" operator="containsText" text="No">
      <formula>NOT(ISERROR(SEARCH(("No"),(P253))))</formula>
    </cfRule>
  </conditionalFormatting>
  <conditionalFormatting sqref="P253:Q253 P257:Q257 P265:Q266 P270:Q271">
    <cfRule type="containsText" dxfId="9" priority="44274" operator="containsText" text="No">
      <formula>NOT(ISERROR(SEARCH(("No"),(P253))))</formula>
    </cfRule>
  </conditionalFormatting>
  <conditionalFormatting sqref="P253:Q253 P257:Q257 P265:Q266 P270:Q271">
    <cfRule type="containsText" dxfId="9" priority="44275" operator="containsText" text="No">
      <formula>NOT(ISERROR(SEARCH(("No"),(P253))))</formula>
    </cfRule>
  </conditionalFormatting>
  <conditionalFormatting sqref="P253:Q253 P257:Q257 P265:Q266 P270:Q271">
    <cfRule type="containsText" dxfId="9" priority="44276" operator="containsText" text="No">
      <formula>NOT(ISERROR(SEARCH(("No"),(P253))))</formula>
    </cfRule>
  </conditionalFormatting>
  <conditionalFormatting sqref="P253:Q253 P257:Q257 P265:Q266 P270:Q271">
    <cfRule type="containsText" dxfId="9" priority="44277" operator="containsText" text="No">
      <formula>NOT(ISERROR(SEARCH(("No"),(P253))))</formula>
    </cfRule>
  </conditionalFormatting>
  <conditionalFormatting sqref="P253:Q253 P257:Q257 P265:Q266 P270:Q271">
    <cfRule type="containsText" dxfId="9" priority="44278" operator="containsText" text="No">
      <formula>NOT(ISERROR(SEARCH(("No"),(P253))))</formula>
    </cfRule>
  </conditionalFormatting>
  <conditionalFormatting sqref="P253:Q253 P257:Q257 P265:Q266 P270:Q271">
    <cfRule type="containsText" dxfId="9" priority="44279" operator="containsText" text="No">
      <formula>NOT(ISERROR(SEARCH(("No"),(P253))))</formula>
    </cfRule>
  </conditionalFormatting>
  <conditionalFormatting sqref="P253:Q253 P257:Q257 P265:Q266 P270:Q271">
    <cfRule type="containsText" dxfId="9" priority="44280" operator="containsText" text="No">
      <formula>NOT(ISERROR(SEARCH(("No"),(P253))))</formula>
    </cfRule>
  </conditionalFormatting>
  <conditionalFormatting sqref="P253:Q253 P257:Q257 P265:Q266 P270:Q271">
    <cfRule type="containsText" dxfId="9" priority="44281" operator="containsText" text="No">
      <formula>NOT(ISERROR(SEARCH(("No"),(P253))))</formula>
    </cfRule>
  </conditionalFormatting>
  <conditionalFormatting sqref="P253:Q253 P257:Q257 P265:Q266 P270:Q271">
    <cfRule type="containsText" dxfId="9" priority="44282" operator="containsText" text="No">
      <formula>NOT(ISERROR(SEARCH(("No"),(P253))))</formula>
    </cfRule>
  </conditionalFormatting>
  <conditionalFormatting sqref="P253:Q253 P257:Q257 P265:Q266 P270:Q271">
    <cfRule type="containsText" dxfId="9" priority="44283" operator="containsText" text="No">
      <formula>NOT(ISERROR(SEARCH(("No"),(P253))))</formula>
    </cfRule>
  </conditionalFormatting>
  <conditionalFormatting sqref="P253:Q253 P257:Q257 P265:Q266 P270:Q271">
    <cfRule type="containsText" dxfId="9" priority="44284" operator="containsText" text="No">
      <formula>NOT(ISERROR(SEARCH(("No"),(P253))))</formula>
    </cfRule>
  </conditionalFormatting>
  <conditionalFormatting sqref="P253:Q253 P257:Q257 P265:Q266 P270:Q271">
    <cfRule type="containsText" dxfId="9" priority="44285" operator="containsText" text="No">
      <formula>NOT(ISERROR(SEARCH(("No"),(P253))))</formula>
    </cfRule>
  </conditionalFormatting>
  <conditionalFormatting sqref="P253:Q253 P257:Q257 P265:Q266 P270:Q271">
    <cfRule type="containsText" dxfId="9" priority="44286" operator="containsText" text="No">
      <formula>NOT(ISERROR(SEARCH(("No"),(P253))))</formula>
    </cfRule>
  </conditionalFormatting>
  <conditionalFormatting sqref="P253:Q253 P257:Q257 P265:Q266 P270:Q271">
    <cfRule type="containsText" dxfId="9" priority="44287" operator="containsText" text="No">
      <formula>NOT(ISERROR(SEARCH(("No"),(P253))))</formula>
    </cfRule>
  </conditionalFormatting>
  <conditionalFormatting sqref="P253:Q253 P257:Q257 P265:Q266 P270:Q271">
    <cfRule type="containsText" dxfId="9" priority="44288" operator="containsText" text="No">
      <formula>NOT(ISERROR(SEARCH(("No"),(P253))))</formula>
    </cfRule>
  </conditionalFormatting>
  <conditionalFormatting sqref="P253:Q253 P257:Q257 P265:Q266 P270:Q271">
    <cfRule type="containsText" dxfId="9" priority="44289" operator="containsText" text="No">
      <formula>NOT(ISERROR(SEARCH(("No"),(P253))))</formula>
    </cfRule>
  </conditionalFormatting>
  <conditionalFormatting sqref="P253:Q253 P257:Q257 P265:Q266 P270:Q271">
    <cfRule type="containsText" dxfId="9" priority="44290" operator="containsText" text="No">
      <formula>NOT(ISERROR(SEARCH(("No"),(P253))))</formula>
    </cfRule>
  </conditionalFormatting>
  <conditionalFormatting sqref="P253:Q253 P257:Q257 P265:Q266 P270:Q271">
    <cfRule type="containsText" dxfId="9" priority="44291" operator="containsText" text="No">
      <formula>NOT(ISERROR(SEARCH(("No"),(P253))))</formula>
    </cfRule>
  </conditionalFormatting>
  <conditionalFormatting sqref="P253:Q253 P257:Q257 P265:Q266 P270:Q271">
    <cfRule type="containsText" dxfId="9" priority="44292" operator="containsText" text="No">
      <formula>NOT(ISERROR(SEARCH(("No"),(P253))))</formula>
    </cfRule>
  </conditionalFormatting>
  <conditionalFormatting sqref="P253:Q253 P257:Q257 P265:Q266 P270:Q271">
    <cfRule type="containsText" dxfId="9" priority="44293" operator="containsText" text="No">
      <formula>NOT(ISERROR(SEARCH(("No"),(P253))))</formula>
    </cfRule>
  </conditionalFormatting>
  <conditionalFormatting sqref="P253:Q253 P257:Q257 P265:Q266 P270:Q271">
    <cfRule type="containsText" dxfId="9" priority="44294" operator="containsText" text="No">
      <formula>NOT(ISERROR(SEARCH(("No"),(P253))))</formula>
    </cfRule>
  </conditionalFormatting>
  <conditionalFormatting sqref="P253:Q253 P257:Q257 P265:Q266 P270:Q271">
    <cfRule type="containsText" dxfId="9" priority="44295" operator="containsText" text="No">
      <formula>NOT(ISERROR(SEARCH(("No"),(P253))))</formula>
    </cfRule>
  </conditionalFormatting>
  <conditionalFormatting sqref="P253:Q253 P257:Q257 P265:Q266 P270:Q271">
    <cfRule type="containsText" dxfId="9" priority="44296" operator="containsText" text="No">
      <formula>NOT(ISERROR(SEARCH(("No"),(P253))))</formula>
    </cfRule>
  </conditionalFormatting>
  <conditionalFormatting sqref="P253:Q253 P257:Q257 P265:Q266 P270:Q271">
    <cfRule type="containsText" dxfId="9" priority="44297" operator="containsText" text="No">
      <formula>NOT(ISERROR(SEARCH(("No"),(P253))))</formula>
    </cfRule>
  </conditionalFormatting>
  <conditionalFormatting sqref="P253:Q253 P257:Q257 P265:Q266 P270:Q271">
    <cfRule type="containsText" dxfId="9" priority="44298" operator="containsText" text="No">
      <formula>NOT(ISERROR(SEARCH(("No"),(P253))))</formula>
    </cfRule>
  </conditionalFormatting>
  <conditionalFormatting sqref="P253:Q253 P257:Q257 P265:Q266 P270:Q271">
    <cfRule type="containsText" dxfId="9" priority="44299" operator="containsText" text="No">
      <formula>NOT(ISERROR(SEARCH(("No"),(P253))))</formula>
    </cfRule>
  </conditionalFormatting>
  <conditionalFormatting sqref="P253:Q253 P257:Q257 P265:Q266 P270:Q271">
    <cfRule type="containsText" dxfId="9" priority="44300" operator="containsText" text="No">
      <formula>NOT(ISERROR(SEARCH(("No"),(P253))))</formula>
    </cfRule>
  </conditionalFormatting>
  <conditionalFormatting sqref="P253:Q253 P257:Q257 P265:Q266 P270:Q271">
    <cfRule type="containsText" dxfId="9" priority="44301" operator="containsText" text="No">
      <formula>NOT(ISERROR(SEARCH(("No"),(P253))))</formula>
    </cfRule>
  </conditionalFormatting>
  <conditionalFormatting sqref="P253:Q253 P257:Q257 P265:Q266 P270:Q271">
    <cfRule type="containsText" dxfId="9" priority="44302" operator="containsText" text="No">
      <formula>NOT(ISERROR(SEARCH(("No"),(P253))))</formula>
    </cfRule>
  </conditionalFormatting>
  <conditionalFormatting sqref="P253:Q253 P257:Q257 P265:Q266 P270:Q271">
    <cfRule type="containsText" dxfId="9" priority="44303" operator="containsText" text="No">
      <formula>NOT(ISERROR(SEARCH(("No"),(P253))))</formula>
    </cfRule>
  </conditionalFormatting>
  <conditionalFormatting sqref="P253:Q253 P257:Q257 P265:Q266 P270:Q271">
    <cfRule type="containsText" dxfId="9" priority="44304" operator="containsText" text="No">
      <formula>NOT(ISERROR(SEARCH(("No"),(P253))))</formula>
    </cfRule>
  </conditionalFormatting>
  <conditionalFormatting sqref="P253:Q253 P257:Q257 P265:Q266 P270:Q271">
    <cfRule type="containsText" dxfId="9" priority="44305" operator="containsText" text="No">
      <formula>NOT(ISERROR(SEARCH(("No"),(P253))))</formula>
    </cfRule>
  </conditionalFormatting>
  <conditionalFormatting sqref="P253:Q253 P257:Q257 P265:Q266 P270:Q271">
    <cfRule type="containsText" dxfId="9" priority="44306" operator="containsText" text="No">
      <formula>NOT(ISERROR(SEARCH(("No"),(P253))))</formula>
    </cfRule>
  </conditionalFormatting>
  <conditionalFormatting sqref="P253:Q253 P257:Q257 P265:Q266 P270:Q271">
    <cfRule type="containsText" dxfId="9" priority="44307" operator="containsText" text="No">
      <formula>NOT(ISERROR(SEARCH(("No"),(P253))))</formula>
    </cfRule>
  </conditionalFormatting>
  <conditionalFormatting sqref="P253:Q253 P257:Q257 P265:Q266 P270:Q271">
    <cfRule type="containsText" dxfId="9" priority="44308" operator="containsText" text="No">
      <formula>NOT(ISERROR(SEARCH(("No"),(P253))))</formula>
    </cfRule>
  </conditionalFormatting>
  <conditionalFormatting sqref="P253:Q253 P257:Q257 P265:Q266 P270:Q271">
    <cfRule type="containsText" dxfId="9" priority="44309" operator="containsText" text="No">
      <formula>NOT(ISERROR(SEARCH(("No"),(P253))))</formula>
    </cfRule>
  </conditionalFormatting>
  <conditionalFormatting sqref="P253:Q253 P257:Q257 P265:Q266 P270:Q271">
    <cfRule type="containsText" dxfId="2" priority="44310" operator="containsText" text="Yes">
      <formula>NOT(ISERROR(SEARCH(("Yes"),(P253))))</formula>
    </cfRule>
  </conditionalFormatting>
  <conditionalFormatting sqref="P253:Q253 P257:Q257 P265:Q266 P270:Q271">
    <cfRule type="containsText" dxfId="2" priority="44311" operator="containsText" text="Yes">
      <formula>NOT(ISERROR(SEARCH(("Yes"),(P253))))</formula>
    </cfRule>
  </conditionalFormatting>
  <conditionalFormatting sqref="P253:Q253 P257:Q257 P265:Q266 P270:Q271">
    <cfRule type="containsText" dxfId="2" priority="44312" operator="containsText" text="Yes">
      <formula>NOT(ISERROR(SEARCH(("Yes"),(P253))))</formula>
    </cfRule>
  </conditionalFormatting>
  <conditionalFormatting sqref="P253:Q253 P257:Q257 P265:Q266 P270:Q271">
    <cfRule type="containsText" dxfId="2" priority="44313" operator="containsText" text="Yes">
      <formula>NOT(ISERROR(SEARCH(("Yes"),(P253))))</formula>
    </cfRule>
  </conditionalFormatting>
  <conditionalFormatting sqref="P253:Q253 P257:Q257 P265:Q266 P270:Q271">
    <cfRule type="containsText" dxfId="2" priority="44314" operator="containsText" text="Yes">
      <formula>NOT(ISERROR(SEARCH(("Yes"),(P253))))</formula>
    </cfRule>
  </conditionalFormatting>
  <conditionalFormatting sqref="P253:Q253 P257:Q257 P265:Q266 P270:Q271">
    <cfRule type="containsText" dxfId="2" priority="44315" operator="containsText" text="Yes">
      <formula>NOT(ISERROR(SEARCH(("Yes"),(P253))))</formula>
    </cfRule>
  </conditionalFormatting>
  <conditionalFormatting sqref="P253:Q253 P257:Q257 P265:Q266 P270:Q271">
    <cfRule type="containsText" dxfId="2" priority="44316" operator="containsText" text="Yes">
      <formula>NOT(ISERROR(SEARCH(("Yes"),(P253))))</formula>
    </cfRule>
  </conditionalFormatting>
  <conditionalFormatting sqref="P253:Q253 P257:Q257 P265:Q266 P270:Q271">
    <cfRule type="containsText" dxfId="2" priority="44317" operator="containsText" text="Yes">
      <formula>NOT(ISERROR(SEARCH(("Yes"),(P253))))</formula>
    </cfRule>
  </conditionalFormatting>
  <conditionalFormatting sqref="P253:Q253 P257:Q257 P265:Q266 P270:Q271">
    <cfRule type="containsText" dxfId="2" priority="44318" operator="containsText" text="Yes">
      <formula>NOT(ISERROR(SEARCH(("Yes"),(P253))))</formula>
    </cfRule>
  </conditionalFormatting>
  <conditionalFormatting sqref="P253:Q253 P257:Q257 P265:Q266 P270:Q271">
    <cfRule type="containsText" dxfId="2" priority="44319" operator="containsText" text="Yes">
      <formula>NOT(ISERROR(SEARCH(("Yes"),(P253))))</formula>
    </cfRule>
  </conditionalFormatting>
  <conditionalFormatting sqref="P253:Q253 P257:Q257 P265:Q266 P270:Q271">
    <cfRule type="containsText" dxfId="2" priority="44320" operator="containsText" text="Yes">
      <formula>NOT(ISERROR(SEARCH(("Yes"),(P253))))</formula>
    </cfRule>
  </conditionalFormatting>
  <conditionalFormatting sqref="P253:Q253 P257:Q257 P265:Q266 P270:Q271">
    <cfRule type="containsText" dxfId="2" priority="44321" operator="containsText" text="Yes">
      <formula>NOT(ISERROR(SEARCH(("Yes"),(P253))))</formula>
    </cfRule>
  </conditionalFormatting>
  <conditionalFormatting sqref="P253:Q253 P257:Q257 P265:Q266 P270:Q271">
    <cfRule type="containsText" dxfId="2" priority="44322" operator="containsText" text="Yes">
      <formula>NOT(ISERROR(SEARCH(("Yes"),(P253))))</formula>
    </cfRule>
  </conditionalFormatting>
  <conditionalFormatting sqref="P253:Q253 P257:Q257 P265:Q266 P270:Q271">
    <cfRule type="containsText" dxfId="2" priority="44323" operator="containsText" text="Yes">
      <formula>NOT(ISERROR(SEARCH(("Yes"),(P253))))</formula>
    </cfRule>
  </conditionalFormatting>
  <conditionalFormatting sqref="P253:Q253 P257:Q257 P265:Q266 P270:Q271">
    <cfRule type="containsText" dxfId="2" priority="44324" operator="containsText" text="Yes">
      <formula>NOT(ISERROR(SEARCH(("Yes"),(P253))))</formula>
    </cfRule>
  </conditionalFormatting>
  <conditionalFormatting sqref="P253:Q253 P257:Q257 P265:Q266 P270:Q271">
    <cfRule type="containsText" dxfId="2" priority="44325" operator="containsText" text="Yes">
      <formula>NOT(ISERROR(SEARCH(("Yes"),(P253))))</formula>
    </cfRule>
  </conditionalFormatting>
  <conditionalFormatting sqref="P253:Q253 P257:Q257 P265:Q266 P270:Q271">
    <cfRule type="containsText" dxfId="2" priority="44326" operator="containsText" text="Yes">
      <formula>NOT(ISERROR(SEARCH(("Yes"),(P253))))</formula>
    </cfRule>
  </conditionalFormatting>
  <conditionalFormatting sqref="P253:Q253 P257:Q257 P265:Q266 P270:Q271">
    <cfRule type="containsText" dxfId="2" priority="44327" operator="containsText" text="Yes">
      <formula>NOT(ISERROR(SEARCH(("Yes"),(P253))))</formula>
    </cfRule>
  </conditionalFormatting>
  <conditionalFormatting sqref="P253:Q253 P257:Q257 P265:Q266 P270:Q271">
    <cfRule type="containsText" dxfId="2" priority="44328" operator="containsText" text="Yes">
      <formula>NOT(ISERROR(SEARCH(("Yes"),(P253))))</formula>
    </cfRule>
  </conditionalFormatting>
  <conditionalFormatting sqref="P253:Q253 P257:Q257 P265:Q266 P270:Q271">
    <cfRule type="containsText" dxfId="2" priority="44329" operator="containsText" text="Yes">
      <formula>NOT(ISERROR(SEARCH(("Yes"),(P253))))</formula>
    </cfRule>
  </conditionalFormatting>
  <conditionalFormatting sqref="P253:Q253 P257:Q257 P265:Q266 P270:Q271">
    <cfRule type="containsText" dxfId="2" priority="44330" operator="containsText" text="Yes">
      <formula>NOT(ISERROR(SEARCH(("Yes"),(P253))))</formula>
    </cfRule>
  </conditionalFormatting>
  <conditionalFormatting sqref="P253:Q253 P257:Q257 P265:Q266 P270:Q271">
    <cfRule type="containsText" dxfId="2" priority="44331" operator="containsText" text="Yes">
      <formula>NOT(ISERROR(SEARCH(("Yes"),(P253))))</formula>
    </cfRule>
  </conditionalFormatting>
  <conditionalFormatting sqref="P253:Q253 P257:Q257 P265:Q266 P270:Q271">
    <cfRule type="containsText" dxfId="2" priority="44332" operator="containsText" text="Yes">
      <formula>NOT(ISERROR(SEARCH(("Yes"),(P253))))</formula>
    </cfRule>
  </conditionalFormatting>
  <conditionalFormatting sqref="P253:Q253 P257:Q257 P265:Q266 P270:Q271">
    <cfRule type="containsText" dxfId="2" priority="44333" operator="containsText" text="Yes">
      <formula>NOT(ISERROR(SEARCH(("Yes"),(P253))))</formula>
    </cfRule>
  </conditionalFormatting>
  <conditionalFormatting sqref="P253:Q253 P257:Q257 P265:Q266 P270:Q271">
    <cfRule type="containsText" dxfId="2" priority="44334" operator="containsText" text="Yes">
      <formula>NOT(ISERROR(SEARCH(("Yes"),(P253))))</formula>
    </cfRule>
  </conditionalFormatting>
  <conditionalFormatting sqref="P253:Q253 P257:Q257 P265:Q266 P270:Q271">
    <cfRule type="containsText" dxfId="2" priority="44335" operator="containsText" text="Yes">
      <formula>NOT(ISERROR(SEARCH(("Yes"),(P253))))</formula>
    </cfRule>
  </conditionalFormatting>
  <conditionalFormatting sqref="P253:Q253 P257:Q257 P265:Q266 P270:Q271">
    <cfRule type="containsText" dxfId="2" priority="44336" operator="containsText" text="Yes">
      <formula>NOT(ISERROR(SEARCH(("Yes"),(P253))))</formula>
    </cfRule>
  </conditionalFormatting>
  <conditionalFormatting sqref="P253:Q253 P257:Q257 P265:Q266 P270:Q271">
    <cfRule type="containsText" dxfId="2" priority="44337" operator="containsText" text="Yes">
      <formula>NOT(ISERROR(SEARCH(("Yes"),(P253))))</formula>
    </cfRule>
  </conditionalFormatting>
  <conditionalFormatting sqref="P253:Q253 P257:Q257 P265:Q266 P270:Q271">
    <cfRule type="containsText" dxfId="2" priority="44338" operator="containsText" text="Yes">
      <formula>NOT(ISERROR(SEARCH(("Yes"),(P253))))</formula>
    </cfRule>
  </conditionalFormatting>
  <conditionalFormatting sqref="P253:Q253 P257:Q257 P265:Q266 P270:Q271">
    <cfRule type="containsText" dxfId="2" priority="44339" operator="containsText" text="Yes">
      <formula>NOT(ISERROR(SEARCH(("Yes"),(P253))))</formula>
    </cfRule>
  </conditionalFormatting>
  <conditionalFormatting sqref="P253:Q253 P257:Q257 P265:Q266 P270:Q271">
    <cfRule type="containsText" dxfId="2" priority="44340" operator="containsText" text="Yes">
      <formula>NOT(ISERROR(SEARCH(("Yes"),(P253))))</formula>
    </cfRule>
  </conditionalFormatting>
  <conditionalFormatting sqref="P253:Q253 P257:Q257 P265:Q266 P270:Q271">
    <cfRule type="containsText" dxfId="2" priority="44341" operator="containsText" text="Yes">
      <formula>NOT(ISERROR(SEARCH(("Yes"),(P253))))</formula>
    </cfRule>
  </conditionalFormatting>
  <conditionalFormatting sqref="P253:Q253 P257:Q257 P265:Q266 P270:Q271">
    <cfRule type="containsText" dxfId="2" priority="44342" operator="containsText" text="Yes">
      <formula>NOT(ISERROR(SEARCH(("Yes"),(P253))))</formula>
    </cfRule>
  </conditionalFormatting>
  <conditionalFormatting sqref="P253:Q253 P257:Q257 P265:Q266 P270:Q271">
    <cfRule type="containsText" dxfId="2" priority="44343" operator="containsText" text="Yes">
      <formula>NOT(ISERROR(SEARCH(("Yes"),(P253))))</formula>
    </cfRule>
  </conditionalFormatting>
  <conditionalFormatting sqref="P253:Q253 P257:Q257 P265:Q266 P270:Q271">
    <cfRule type="containsText" dxfId="2" priority="44344" operator="containsText" text="Yes">
      <formula>NOT(ISERROR(SEARCH(("Yes"),(P253))))</formula>
    </cfRule>
  </conditionalFormatting>
  <conditionalFormatting sqref="P253:Q253 P257:Q257 P265:Q266 P270:Q271">
    <cfRule type="containsText" dxfId="2" priority="44345" operator="containsText" text="Yes">
      <formula>NOT(ISERROR(SEARCH(("Yes"),(P253))))</formula>
    </cfRule>
  </conditionalFormatting>
  <conditionalFormatting sqref="P253:Q253 P257:Q257 P265:Q266 P270:Q271">
    <cfRule type="containsText" dxfId="2" priority="44346" operator="containsText" text="Yes">
      <formula>NOT(ISERROR(SEARCH(("Yes"),(P253))))</formula>
    </cfRule>
  </conditionalFormatting>
  <conditionalFormatting sqref="P253:Q253 P257:Q257 P265:Q266 P270:Q271">
    <cfRule type="containsText" dxfId="2" priority="44347" operator="containsText" text="Yes">
      <formula>NOT(ISERROR(SEARCH(("Yes"),(P253))))</formula>
    </cfRule>
  </conditionalFormatting>
  <conditionalFormatting sqref="P253:Q253 P257:Q257 P265:Q266 P270:Q271">
    <cfRule type="containsText" dxfId="2" priority="44348" operator="containsText" text="Yes">
      <formula>NOT(ISERROR(SEARCH(("Yes"),(P253))))</formula>
    </cfRule>
  </conditionalFormatting>
  <conditionalFormatting sqref="P253:Q253 P257:Q257 P265:Q266 P270:Q271">
    <cfRule type="containsText" dxfId="2" priority="44349" operator="containsText" text="Yes">
      <formula>NOT(ISERROR(SEARCH(("Yes"),(P253))))</formula>
    </cfRule>
  </conditionalFormatting>
  <conditionalFormatting sqref="P253:Q253 P257:Q257 P265:Q266 P270:Q271">
    <cfRule type="containsText" dxfId="2" priority="44350" operator="containsText" text="Yes">
      <formula>NOT(ISERROR(SEARCH(("Yes"),(P253))))</formula>
    </cfRule>
  </conditionalFormatting>
  <conditionalFormatting sqref="P253:Q253 P257:Q257 P265:Q266 P270:Q271">
    <cfRule type="containsText" dxfId="2" priority="44351" operator="containsText" text="Yes">
      <formula>NOT(ISERROR(SEARCH(("Yes"),(P253))))</formula>
    </cfRule>
  </conditionalFormatting>
  <conditionalFormatting sqref="P253:Q253 P257:Q257 P265:Q266 P270:Q271">
    <cfRule type="containsText" dxfId="2" priority="44352" operator="containsText" text="Yes">
      <formula>NOT(ISERROR(SEARCH(("Yes"),(P253))))</formula>
    </cfRule>
  </conditionalFormatting>
  <conditionalFormatting sqref="P253:Q253 P257:Q257 P265:Q266 P270:Q271">
    <cfRule type="containsText" dxfId="2" priority="44353" operator="containsText" text="Yes">
      <formula>NOT(ISERROR(SEARCH(("Yes"),(P253))))</formula>
    </cfRule>
  </conditionalFormatting>
  <conditionalFormatting sqref="P253:Q253 P257:Q257 P265:Q266 P270:Q271">
    <cfRule type="containsText" dxfId="2" priority="44354" operator="containsText" text="Yes">
      <formula>NOT(ISERROR(SEARCH(("Yes"),(P253))))</formula>
    </cfRule>
  </conditionalFormatting>
  <conditionalFormatting sqref="P253:Q253 P257:Q257 P265:Q266 P270:Q271">
    <cfRule type="containsText" dxfId="2" priority="44355" operator="containsText" text="Yes">
      <formula>NOT(ISERROR(SEARCH(("Yes"),(P253))))</formula>
    </cfRule>
  </conditionalFormatting>
  <conditionalFormatting sqref="P253:Q253 P257:Q257 P265:Q266 P270:Q271">
    <cfRule type="containsText" dxfId="2" priority="44356" operator="containsText" text="Yes">
      <formula>NOT(ISERROR(SEARCH(("Yes"),(P253))))</formula>
    </cfRule>
  </conditionalFormatting>
  <conditionalFormatting sqref="O261:O264 O267:Q269 O275:Q275 P254:Q256 P258:Q264">
    <cfRule type="containsText" dxfId="9" priority="44357" operator="containsText" text="No">
      <formula>NOT(ISERROR(SEARCH(("No"),(O261))))</formula>
    </cfRule>
  </conditionalFormatting>
  <conditionalFormatting sqref="O261:O264 O267:Q269 O275:Q275 P254:Q256 P258:Q264">
    <cfRule type="containsText" dxfId="9" priority="44358" operator="containsText" text="No">
      <formula>NOT(ISERROR(SEARCH(("No"),(O261))))</formula>
    </cfRule>
  </conditionalFormatting>
  <conditionalFormatting sqref="O261:O264 O267:Q269 O275:Q275 P254:Q256 P258:Q264">
    <cfRule type="containsText" dxfId="9" priority="44359" operator="containsText" text="No">
      <formula>NOT(ISERROR(SEARCH(("No"),(O261))))</formula>
    </cfRule>
  </conditionalFormatting>
  <conditionalFormatting sqref="O261:O264 O267:Q269 O275:Q275 P254:Q256 P258:Q264">
    <cfRule type="containsText" dxfId="9" priority="44360" operator="containsText" text="No">
      <formula>NOT(ISERROR(SEARCH(("No"),(O261))))</formula>
    </cfRule>
  </conditionalFormatting>
  <conditionalFormatting sqref="O261:O264 O267:Q269 O275:Q275 P254:Q256 P258:Q264">
    <cfRule type="containsText" dxfId="9" priority="44361" operator="containsText" text="No">
      <formula>NOT(ISERROR(SEARCH(("No"),(O261))))</formula>
    </cfRule>
  </conditionalFormatting>
  <conditionalFormatting sqref="O261:O264 O267:Q269 O275:Q275 P254:Q256 P258:Q264">
    <cfRule type="containsText" dxfId="9" priority="44362" operator="containsText" text="No">
      <formula>NOT(ISERROR(SEARCH(("No"),(O261))))</formula>
    </cfRule>
  </conditionalFormatting>
  <conditionalFormatting sqref="O261:O264 O267:Q269 O275:Q275 P254:Q256 P258:Q264">
    <cfRule type="containsText" dxfId="9" priority="44363" operator="containsText" text="No">
      <formula>NOT(ISERROR(SEARCH(("No"),(O261))))</formula>
    </cfRule>
  </conditionalFormatting>
  <conditionalFormatting sqref="O261:O264 O267:Q269 O275:Q275 P254:Q256 P258:Q264">
    <cfRule type="containsText" dxfId="9" priority="44364" operator="containsText" text="No">
      <formula>NOT(ISERROR(SEARCH(("No"),(O261))))</formula>
    </cfRule>
  </conditionalFormatting>
  <conditionalFormatting sqref="O261:O264 O267:Q269 O275:Q275 P254:Q256 P258:Q264">
    <cfRule type="containsText" dxfId="9" priority="44365" operator="containsText" text="No">
      <formula>NOT(ISERROR(SEARCH(("No"),(O261))))</formula>
    </cfRule>
  </conditionalFormatting>
  <conditionalFormatting sqref="O261:O264 O267:Q269 O275:Q275 P254:Q256 P258:Q264">
    <cfRule type="containsText" dxfId="9" priority="44366" operator="containsText" text="No">
      <formula>NOT(ISERROR(SEARCH(("No"),(O261))))</formula>
    </cfRule>
  </conditionalFormatting>
  <conditionalFormatting sqref="O261:O264 O267:Q269 O275:Q275 P254:Q256 P258:Q264">
    <cfRule type="containsText" dxfId="9" priority="44367" operator="containsText" text="No">
      <formula>NOT(ISERROR(SEARCH(("No"),(O261))))</formula>
    </cfRule>
  </conditionalFormatting>
  <conditionalFormatting sqref="O261:O264 O267:Q269 O275:Q275 P254:Q256 P258:Q264">
    <cfRule type="containsText" dxfId="9" priority="44368" operator="containsText" text="No">
      <formula>NOT(ISERROR(SEARCH(("No"),(O261))))</formula>
    </cfRule>
  </conditionalFormatting>
  <conditionalFormatting sqref="O261:O264 O267:Q269 O275:Q275 P254:Q256 P258:Q264">
    <cfRule type="containsText" dxfId="9" priority="44369" operator="containsText" text="No">
      <formula>NOT(ISERROR(SEARCH(("No"),(O261))))</formula>
    </cfRule>
  </conditionalFormatting>
  <conditionalFormatting sqref="O261:O264 O267:Q269 O275:Q275 P254:Q256 P258:Q264">
    <cfRule type="containsText" dxfId="9" priority="44370" operator="containsText" text="No">
      <formula>NOT(ISERROR(SEARCH(("No"),(O261))))</formula>
    </cfRule>
  </conditionalFormatting>
  <conditionalFormatting sqref="O261:O264 O267:Q269 O275:Q275 P254:Q256 P258:Q264">
    <cfRule type="containsText" dxfId="9" priority="44371" operator="containsText" text="No">
      <formula>NOT(ISERROR(SEARCH(("No"),(O261))))</formula>
    </cfRule>
  </conditionalFormatting>
  <conditionalFormatting sqref="O261:O264 O267:Q269 O275:Q275 P254:Q256 P258:Q264">
    <cfRule type="containsText" dxfId="9" priority="44372" operator="containsText" text="No">
      <formula>NOT(ISERROR(SEARCH(("No"),(O261))))</formula>
    </cfRule>
  </conditionalFormatting>
  <conditionalFormatting sqref="O261:O264 O267:Q269 O275:Q275 P254:Q256 P258:Q264">
    <cfRule type="containsText" dxfId="9" priority="44373" operator="containsText" text="No">
      <formula>NOT(ISERROR(SEARCH(("No"),(O261))))</formula>
    </cfRule>
  </conditionalFormatting>
  <conditionalFormatting sqref="O261:O264 O267:Q269 O275:Q275 P254:Q256 P258:Q264">
    <cfRule type="containsText" dxfId="9" priority="44374" operator="containsText" text="No">
      <formula>NOT(ISERROR(SEARCH(("No"),(O261))))</formula>
    </cfRule>
  </conditionalFormatting>
  <conditionalFormatting sqref="O261:O264 O267:Q269 O275:Q275 P254:Q256 P258:Q264">
    <cfRule type="containsText" dxfId="9" priority="44375" operator="containsText" text="No">
      <formula>NOT(ISERROR(SEARCH(("No"),(O261))))</formula>
    </cfRule>
  </conditionalFormatting>
  <conditionalFormatting sqref="O261:O264 O267:Q269 O275:Q275 P254:Q256 P258:Q264">
    <cfRule type="containsText" dxfId="9" priority="44376" operator="containsText" text="No">
      <formula>NOT(ISERROR(SEARCH(("No"),(O261))))</formula>
    </cfRule>
  </conditionalFormatting>
  <conditionalFormatting sqref="O261:O264 O267:Q269 O275:Q275 P254:Q256 P258:Q264">
    <cfRule type="containsText" dxfId="9" priority="44377" operator="containsText" text="No">
      <formula>NOT(ISERROR(SEARCH(("No"),(O261))))</formula>
    </cfRule>
  </conditionalFormatting>
  <conditionalFormatting sqref="O261:O264 O267:Q269 O275:Q275 P254:Q256 P258:Q264">
    <cfRule type="containsText" dxfId="9" priority="44378" operator="containsText" text="No">
      <formula>NOT(ISERROR(SEARCH(("No"),(O261))))</formula>
    </cfRule>
  </conditionalFormatting>
  <conditionalFormatting sqref="O261:O264 O267:Q269 O275:Q275 P254:Q256 P258:Q264">
    <cfRule type="containsText" dxfId="9" priority="44379" operator="containsText" text="No">
      <formula>NOT(ISERROR(SEARCH(("No"),(O261))))</formula>
    </cfRule>
  </conditionalFormatting>
  <conditionalFormatting sqref="O261:O264 O267:Q269 O275:Q275 P254:Q256 P258:Q264">
    <cfRule type="containsText" dxfId="9" priority="44380" operator="containsText" text="No">
      <formula>NOT(ISERROR(SEARCH(("No"),(O261))))</formula>
    </cfRule>
  </conditionalFormatting>
  <conditionalFormatting sqref="O261:O264 O267:Q269 O275:Q275 P254:Q256 P258:Q264">
    <cfRule type="containsText" dxfId="9" priority="44381" operator="containsText" text="No">
      <formula>NOT(ISERROR(SEARCH(("No"),(O261))))</formula>
    </cfRule>
  </conditionalFormatting>
  <conditionalFormatting sqref="O261:O264 O267:Q269 O275:Q275 P254:Q256 P258:Q264">
    <cfRule type="containsText" dxfId="9" priority="44382" operator="containsText" text="No">
      <formula>NOT(ISERROR(SEARCH(("No"),(O261))))</formula>
    </cfRule>
  </conditionalFormatting>
  <conditionalFormatting sqref="O261:O264 O267:Q269 O275:Q275 P254:Q256 P258:Q264">
    <cfRule type="containsText" dxfId="9" priority="44383" operator="containsText" text="No">
      <formula>NOT(ISERROR(SEARCH(("No"),(O261))))</formula>
    </cfRule>
  </conditionalFormatting>
  <conditionalFormatting sqref="O261:O264 O267:Q269 O275:Q275 P254:Q256 P258:Q264">
    <cfRule type="containsText" dxfId="9" priority="44384" operator="containsText" text="No">
      <formula>NOT(ISERROR(SEARCH(("No"),(O261))))</formula>
    </cfRule>
  </conditionalFormatting>
  <conditionalFormatting sqref="O261:O264 O267:Q269 O275:Q275 P254:Q256 P258:Q264">
    <cfRule type="containsText" dxfId="9" priority="44385" operator="containsText" text="No">
      <formula>NOT(ISERROR(SEARCH(("No"),(O261))))</formula>
    </cfRule>
  </conditionalFormatting>
  <conditionalFormatting sqref="O261:O264 O267:Q269 O275:Q275 P254:Q256 P258:Q264">
    <cfRule type="containsText" dxfId="9" priority="44386" operator="containsText" text="No">
      <formula>NOT(ISERROR(SEARCH(("No"),(O261))))</formula>
    </cfRule>
  </conditionalFormatting>
  <conditionalFormatting sqref="O261:O264 O267:Q269 O275:Q275 P254:Q256 P258:Q264">
    <cfRule type="containsText" dxfId="9" priority="44387" operator="containsText" text="No">
      <formula>NOT(ISERROR(SEARCH(("No"),(O261))))</formula>
    </cfRule>
  </conditionalFormatting>
  <conditionalFormatting sqref="O261:O264 O267:Q269 O275:Q275 P254:Q256 P258:Q264">
    <cfRule type="containsText" dxfId="9" priority="44388" operator="containsText" text="No">
      <formula>NOT(ISERROR(SEARCH(("No"),(O261))))</formula>
    </cfRule>
  </conditionalFormatting>
  <conditionalFormatting sqref="O261:O264 O267:Q269 O275:Q275 P254:Q256 P258:Q264">
    <cfRule type="containsText" dxfId="9" priority="44389" operator="containsText" text="No">
      <formula>NOT(ISERROR(SEARCH(("No"),(O261))))</formula>
    </cfRule>
  </conditionalFormatting>
  <conditionalFormatting sqref="O261:O264 O267:Q269 O275:Q275 P254:Q256 P258:Q264">
    <cfRule type="containsText" dxfId="9" priority="44390" operator="containsText" text="No">
      <formula>NOT(ISERROR(SEARCH(("No"),(O261))))</formula>
    </cfRule>
  </conditionalFormatting>
  <conditionalFormatting sqref="O261:O264 O267:Q269 O275:Q275 P254:Q256 P258:Q264">
    <cfRule type="containsText" dxfId="9" priority="44391" operator="containsText" text="No">
      <formula>NOT(ISERROR(SEARCH(("No"),(O261))))</formula>
    </cfRule>
  </conditionalFormatting>
  <conditionalFormatting sqref="O261:O264 O267:Q269 O275:Q275 P254:Q256 P258:Q264">
    <cfRule type="containsText" dxfId="9" priority="44392" operator="containsText" text="No">
      <formula>NOT(ISERROR(SEARCH(("No"),(O261))))</formula>
    </cfRule>
  </conditionalFormatting>
  <conditionalFormatting sqref="O261:O264 O267:Q269 O275:Q275 P254:Q256 P258:Q264">
    <cfRule type="containsText" dxfId="9" priority="44393" operator="containsText" text="No">
      <formula>NOT(ISERROR(SEARCH(("No"),(O261))))</formula>
    </cfRule>
  </conditionalFormatting>
  <conditionalFormatting sqref="O261:O264 O267:Q269 O275:Q275 P254:Q256 P258:Q264">
    <cfRule type="containsText" dxfId="9" priority="44394" operator="containsText" text="No">
      <formula>NOT(ISERROR(SEARCH(("No"),(O261))))</formula>
    </cfRule>
  </conditionalFormatting>
  <conditionalFormatting sqref="O261:O264 O267:Q269 O275:Q275 P254:Q256 P258:Q264">
    <cfRule type="containsText" dxfId="9" priority="44395" operator="containsText" text="No">
      <formula>NOT(ISERROR(SEARCH(("No"),(O261))))</formula>
    </cfRule>
  </conditionalFormatting>
  <conditionalFormatting sqref="O261:O264 O267:Q269 O275:Q275 P254:Q256 P258:Q264">
    <cfRule type="containsText" dxfId="9" priority="44396" operator="containsText" text="No">
      <formula>NOT(ISERROR(SEARCH(("No"),(O261))))</formula>
    </cfRule>
  </conditionalFormatting>
  <conditionalFormatting sqref="O261:O264 O267:Q269 O275:Q275 P254:Q256 P258:Q264">
    <cfRule type="containsText" dxfId="9" priority="44397" operator="containsText" text="No">
      <formula>NOT(ISERROR(SEARCH(("No"),(O261))))</formula>
    </cfRule>
  </conditionalFormatting>
  <conditionalFormatting sqref="O261:O264 O267:Q269 O275:Q275 P254:Q256 P258:Q264">
    <cfRule type="containsText" dxfId="9" priority="44398" operator="containsText" text="No">
      <formula>NOT(ISERROR(SEARCH(("No"),(O261))))</formula>
    </cfRule>
  </conditionalFormatting>
  <conditionalFormatting sqref="O261:O264 O267:Q269 O275:Q275 P254:Q256 P258:Q264">
    <cfRule type="containsText" dxfId="9" priority="44399" operator="containsText" text="No">
      <formula>NOT(ISERROR(SEARCH(("No"),(O261))))</formula>
    </cfRule>
  </conditionalFormatting>
  <conditionalFormatting sqref="O261:O264 O267:Q269 O275:Q275 P254:Q256 P258:Q264">
    <cfRule type="containsText" dxfId="9" priority="44400" operator="containsText" text="No">
      <formula>NOT(ISERROR(SEARCH(("No"),(O261))))</formula>
    </cfRule>
  </conditionalFormatting>
  <conditionalFormatting sqref="O261:O264 O267:Q269 O275:Q275 P254:Q256 P258:Q264">
    <cfRule type="containsText" dxfId="9" priority="44401" operator="containsText" text="No">
      <formula>NOT(ISERROR(SEARCH(("No"),(O261))))</formula>
    </cfRule>
  </conditionalFormatting>
  <conditionalFormatting sqref="O261:O264 O267:Q269 O275:Q275 P254:Q256 P258:Q264">
    <cfRule type="containsText" dxfId="2" priority="44402" operator="containsText" text="Yes">
      <formula>NOT(ISERROR(SEARCH(("Yes"),(O261))))</formula>
    </cfRule>
  </conditionalFormatting>
  <conditionalFormatting sqref="O261:O264 O267:Q269 O275:Q275 P254:Q256 P258:Q264">
    <cfRule type="containsText" dxfId="2" priority="44403" operator="containsText" text="Yes">
      <formula>NOT(ISERROR(SEARCH(("Yes"),(O261))))</formula>
    </cfRule>
  </conditionalFormatting>
  <conditionalFormatting sqref="O261:O264 O267:Q269 O275:Q275 P254:Q256 P258:Q264">
    <cfRule type="containsText" dxfId="2" priority="44404" operator="containsText" text="Yes">
      <formula>NOT(ISERROR(SEARCH(("Yes"),(O261))))</formula>
    </cfRule>
  </conditionalFormatting>
  <conditionalFormatting sqref="O261:O264 O267:Q269 O275:Q275 P254:Q256 P258:Q264">
    <cfRule type="containsText" dxfId="2" priority="44405" operator="containsText" text="Yes">
      <formula>NOT(ISERROR(SEARCH(("Yes"),(O261))))</formula>
    </cfRule>
  </conditionalFormatting>
  <conditionalFormatting sqref="O261:O264 O267:Q269 O275:Q275 P254:Q256 P258:Q264">
    <cfRule type="containsText" dxfId="2" priority="44406" operator="containsText" text="Yes">
      <formula>NOT(ISERROR(SEARCH(("Yes"),(O261))))</formula>
    </cfRule>
  </conditionalFormatting>
  <conditionalFormatting sqref="O261:O264 O267:Q269 O275:Q275 P254:Q256 P258:Q264">
    <cfRule type="containsText" dxfId="2" priority="44407" operator="containsText" text="Yes">
      <formula>NOT(ISERROR(SEARCH(("Yes"),(O261))))</formula>
    </cfRule>
  </conditionalFormatting>
  <conditionalFormatting sqref="O261:O264 O267:Q269 O275:Q275 P254:Q256 P258:Q264">
    <cfRule type="containsText" dxfId="2" priority="44408" operator="containsText" text="Yes">
      <formula>NOT(ISERROR(SEARCH(("Yes"),(O261))))</formula>
    </cfRule>
  </conditionalFormatting>
  <conditionalFormatting sqref="O261:O264 O267:Q269 O275:Q275 P254:Q256 P258:Q264">
    <cfRule type="containsText" dxfId="2" priority="44409" operator="containsText" text="Yes">
      <formula>NOT(ISERROR(SEARCH(("Yes"),(O261))))</formula>
    </cfRule>
  </conditionalFormatting>
  <conditionalFormatting sqref="O261:O264 O267:Q269 O275:Q275 P254:Q256 P258:Q264">
    <cfRule type="containsText" dxfId="2" priority="44410" operator="containsText" text="Yes">
      <formula>NOT(ISERROR(SEARCH(("Yes"),(O261))))</formula>
    </cfRule>
  </conditionalFormatting>
  <conditionalFormatting sqref="O261:O264 O267:Q269 O275:Q275 P254:Q256 P258:Q264">
    <cfRule type="containsText" dxfId="2" priority="44411" operator="containsText" text="Yes">
      <formula>NOT(ISERROR(SEARCH(("Yes"),(O261))))</formula>
    </cfRule>
  </conditionalFormatting>
  <conditionalFormatting sqref="O261:O264 O267:Q269 O275:Q275 P254:Q256 P258:Q264">
    <cfRule type="containsText" dxfId="2" priority="44412" operator="containsText" text="Yes">
      <formula>NOT(ISERROR(SEARCH(("Yes"),(O261))))</formula>
    </cfRule>
  </conditionalFormatting>
  <conditionalFormatting sqref="O261:O264 O267:Q269 O275:Q275 P254:Q256 P258:Q264">
    <cfRule type="containsText" dxfId="2" priority="44413" operator="containsText" text="Yes">
      <formula>NOT(ISERROR(SEARCH(("Yes"),(O261))))</formula>
    </cfRule>
  </conditionalFormatting>
  <conditionalFormatting sqref="O261:O264 O267:Q269 O275:Q275 P254:Q256 P258:Q264">
    <cfRule type="containsText" dxfId="2" priority="44414" operator="containsText" text="Yes">
      <formula>NOT(ISERROR(SEARCH(("Yes"),(O261))))</formula>
    </cfRule>
  </conditionalFormatting>
  <conditionalFormatting sqref="O261:O264 O267:Q269 O275:Q275 P254:Q256 P258:Q264">
    <cfRule type="containsText" dxfId="2" priority="44415" operator="containsText" text="Yes">
      <formula>NOT(ISERROR(SEARCH(("Yes"),(O261))))</formula>
    </cfRule>
  </conditionalFormatting>
  <conditionalFormatting sqref="O261:O264 O267:Q269 O275:Q275 P254:Q256 P258:Q264">
    <cfRule type="containsText" dxfId="2" priority="44416" operator="containsText" text="Yes">
      <formula>NOT(ISERROR(SEARCH(("Yes"),(O261))))</formula>
    </cfRule>
  </conditionalFormatting>
  <conditionalFormatting sqref="O261:O264 O267:Q269 O275:Q275 P254:Q256 P258:Q264">
    <cfRule type="containsText" dxfId="2" priority="44417" operator="containsText" text="Yes">
      <formula>NOT(ISERROR(SEARCH(("Yes"),(O261))))</formula>
    </cfRule>
  </conditionalFormatting>
  <conditionalFormatting sqref="O261:O264 O267:Q269 O275:Q275 P254:Q256 P258:Q264">
    <cfRule type="containsText" dxfId="2" priority="44418" operator="containsText" text="Yes">
      <formula>NOT(ISERROR(SEARCH(("Yes"),(O261))))</formula>
    </cfRule>
  </conditionalFormatting>
  <conditionalFormatting sqref="O261:O264 O267:Q269 O275:Q275 P254:Q256 P258:Q264">
    <cfRule type="containsText" dxfId="2" priority="44419" operator="containsText" text="Yes">
      <formula>NOT(ISERROR(SEARCH(("Yes"),(O261))))</formula>
    </cfRule>
  </conditionalFormatting>
  <conditionalFormatting sqref="O261:O264 O267:Q269 O275:Q275 P254:Q256 P258:Q264">
    <cfRule type="containsText" dxfId="2" priority="44420" operator="containsText" text="Yes">
      <formula>NOT(ISERROR(SEARCH(("Yes"),(O261))))</formula>
    </cfRule>
  </conditionalFormatting>
  <conditionalFormatting sqref="O261:O264 O267:Q269 O275:Q275 P254:Q256 P258:Q264">
    <cfRule type="containsText" dxfId="2" priority="44421" operator="containsText" text="Yes">
      <formula>NOT(ISERROR(SEARCH(("Yes"),(O261))))</formula>
    </cfRule>
  </conditionalFormatting>
  <conditionalFormatting sqref="O261:O264 O267:Q269 O275:Q275 P254:Q256 P258:Q264">
    <cfRule type="containsText" dxfId="2" priority="44422" operator="containsText" text="Yes">
      <formula>NOT(ISERROR(SEARCH(("Yes"),(O261))))</formula>
    </cfRule>
  </conditionalFormatting>
  <conditionalFormatting sqref="O261:O264 O267:Q269 O275:Q275 P254:Q256 P258:Q264">
    <cfRule type="containsText" dxfId="2" priority="44423" operator="containsText" text="Yes">
      <formula>NOT(ISERROR(SEARCH(("Yes"),(O261))))</formula>
    </cfRule>
  </conditionalFormatting>
  <conditionalFormatting sqref="O261:O264 O267:Q269 O275:Q275 P254:Q256 P258:Q264">
    <cfRule type="containsText" dxfId="2" priority="44424" operator="containsText" text="Yes">
      <formula>NOT(ISERROR(SEARCH(("Yes"),(O261))))</formula>
    </cfRule>
  </conditionalFormatting>
  <conditionalFormatting sqref="O261:O264 O267:Q269 O275:Q275 P254:Q256 P258:Q264">
    <cfRule type="containsText" dxfId="2" priority="44425" operator="containsText" text="Yes">
      <formula>NOT(ISERROR(SEARCH(("Yes"),(O261))))</formula>
    </cfRule>
  </conditionalFormatting>
  <conditionalFormatting sqref="O261:O264 O267:Q269 O275:Q275 P254:Q256 P258:Q264">
    <cfRule type="containsText" dxfId="2" priority="44426" operator="containsText" text="Yes">
      <formula>NOT(ISERROR(SEARCH(("Yes"),(O261))))</formula>
    </cfRule>
  </conditionalFormatting>
  <conditionalFormatting sqref="O261:O264 O267:Q269 O275:Q275 P254:Q256 P258:Q264">
    <cfRule type="containsText" dxfId="2" priority="44427" operator="containsText" text="Yes">
      <formula>NOT(ISERROR(SEARCH(("Yes"),(O261))))</formula>
    </cfRule>
  </conditionalFormatting>
  <conditionalFormatting sqref="O261:O264 O267:Q269 O275:Q275 P254:Q256 P258:Q264">
    <cfRule type="containsText" dxfId="2" priority="44428" operator="containsText" text="Yes">
      <formula>NOT(ISERROR(SEARCH(("Yes"),(O261))))</formula>
    </cfRule>
  </conditionalFormatting>
  <conditionalFormatting sqref="O261:O264 O267:Q269 O275:Q275 P254:Q256 P258:Q264">
    <cfRule type="containsText" dxfId="2" priority="44429" operator="containsText" text="Yes">
      <formula>NOT(ISERROR(SEARCH(("Yes"),(O261))))</formula>
    </cfRule>
  </conditionalFormatting>
  <conditionalFormatting sqref="O261:O264 O267:Q269 O275:Q275 P254:Q256 P258:Q264">
    <cfRule type="containsText" dxfId="2" priority="44430" operator="containsText" text="Yes">
      <formula>NOT(ISERROR(SEARCH(("Yes"),(O261))))</formula>
    </cfRule>
  </conditionalFormatting>
  <conditionalFormatting sqref="O261:O264 O267:Q269 O275:Q275 P254:Q256 P258:Q264">
    <cfRule type="containsText" dxfId="2" priority="44431" operator="containsText" text="Yes">
      <formula>NOT(ISERROR(SEARCH(("Yes"),(O261))))</formula>
    </cfRule>
  </conditionalFormatting>
  <conditionalFormatting sqref="O261:O264 O267:Q269 O275:Q275 P254:Q256 P258:Q264">
    <cfRule type="containsText" dxfId="2" priority="44432" operator="containsText" text="Yes">
      <formula>NOT(ISERROR(SEARCH(("Yes"),(O261))))</formula>
    </cfRule>
  </conditionalFormatting>
  <conditionalFormatting sqref="O261:O264 O267:Q269 O275:Q275 P254:Q256 P258:Q264">
    <cfRule type="containsText" dxfId="2" priority="44433" operator="containsText" text="Yes">
      <formula>NOT(ISERROR(SEARCH(("Yes"),(O261))))</formula>
    </cfRule>
  </conditionalFormatting>
  <conditionalFormatting sqref="O261:O264 O267:Q269 O275:Q275 P254:Q256 P258:Q264">
    <cfRule type="containsText" dxfId="2" priority="44434" operator="containsText" text="Yes">
      <formula>NOT(ISERROR(SEARCH(("Yes"),(O261))))</formula>
    </cfRule>
  </conditionalFormatting>
  <conditionalFormatting sqref="O261:O264 O267:Q269 O275:Q275 P254:Q256 P258:Q264">
    <cfRule type="containsText" dxfId="2" priority="44435" operator="containsText" text="Yes">
      <formula>NOT(ISERROR(SEARCH(("Yes"),(O261))))</formula>
    </cfRule>
  </conditionalFormatting>
  <conditionalFormatting sqref="O261:O264 O267:Q269 O275:Q275 P254:Q256 P258:Q264">
    <cfRule type="containsText" dxfId="2" priority="44436" operator="containsText" text="Yes">
      <formula>NOT(ISERROR(SEARCH(("Yes"),(O261))))</formula>
    </cfRule>
  </conditionalFormatting>
  <conditionalFormatting sqref="O261:O264 O267:Q269 O275:Q275 P254:Q256 P258:Q264">
    <cfRule type="containsText" dxfId="2" priority="44437" operator="containsText" text="Yes">
      <formula>NOT(ISERROR(SEARCH(("Yes"),(O261))))</formula>
    </cfRule>
  </conditionalFormatting>
  <conditionalFormatting sqref="O261:O264 O267:Q269 O275:Q275 P254:Q256 P258:Q264">
    <cfRule type="containsText" dxfId="2" priority="44438" operator="containsText" text="Yes">
      <formula>NOT(ISERROR(SEARCH(("Yes"),(O261))))</formula>
    </cfRule>
  </conditionalFormatting>
  <conditionalFormatting sqref="O261:O264 O267:Q269 O275:Q275 P254:Q256 P258:Q264">
    <cfRule type="containsText" dxfId="2" priority="44439" operator="containsText" text="Yes">
      <formula>NOT(ISERROR(SEARCH(("Yes"),(O261))))</formula>
    </cfRule>
  </conditionalFormatting>
  <conditionalFormatting sqref="O261:O264 O267:Q269 O275:Q275 P254:Q256 P258:Q264">
    <cfRule type="containsText" dxfId="2" priority="44440" operator="containsText" text="Yes">
      <formula>NOT(ISERROR(SEARCH(("Yes"),(O261))))</formula>
    </cfRule>
  </conditionalFormatting>
  <conditionalFormatting sqref="O261:O264 O267:Q269 O275:Q275 P254:Q256 P258:Q264">
    <cfRule type="containsText" dxfId="2" priority="44441" operator="containsText" text="Yes">
      <formula>NOT(ISERROR(SEARCH(("Yes"),(O261))))</formula>
    </cfRule>
  </conditionalFormatting>
  <conditionalFormatting sqref="O261:O264 O267:Q269 O275:Q275 P254:Q256 P258:Q264">
    <cfRule type="containsText" dxfId="2" priority="44442" operator="containsText" text="Yes">
      <formula>NOT(ISERROR(SEARCH(("Yes"),(O261))))</formula>
    </cfRule>
  </conditionalFormatting>
  <conditionalFormatting sqref="O261:O264 O267:Q269 O275:Q275 P254:Q256 P258:Q264">
    <cfRule type="containsText" dxfId="2" priority="44443" operator="containsText" text="Yes">
      <formula>NOT(ISERROR(SEARCH(("Yes"),(O261))))</formula>
    </cfRule>
  </conditionalFormatting>
  <conditionalFormatting sqref="O261:O264 O267:Q269 O275:Q275 P254:Q256 P258:Q264">
    <cfRule type="containsText" dxfId="2" priority="44444" operator="containsText" text="Yes">
      <formula>NOT(ISERROR(SEARCH(("Yes"),(O261))))</formula>
    </cfRule>
  </conditionalFormatting>
  <conditionalFormatting sqref="O261:O264 O267:Q269 O275:Q275 P254:Q256 P258:Q264">
    <cfRule type="containsText" dxfId="2" priority="44445" operator="containsText" text="Yes">
      <formula>NOT(ISERROR(SEARCH(("Yes"),(O261))))</formula>
    </cfRule>
  </conditionalFormatting>
  <conditionalFormatting sqref="O261:O264 O267:Q269 O275:Q275 P254:Q256 P258:Q264">
    <cfRule type="containsText" dxfId="2" priority="44446" operator="containsText" text="Yes">
      <formula>NOT(ISERROR(SEARCH(("Yes"),(O261))))</formula>
    </cfRule>
  </conditionalFormatting>
  <conditionalFormatting sqref="O261:O264 O267:Q269 O275:Q275 P254:Q256 P258:Q264">
    <cfRule type="containsText" dxfId="2" priority="44447" operator="containsText" text="Yes">
      <formula>NOT(ISERROR(SEARCH(("Yes"),(O261))))</formula>
    </cfRule>
  </conditionalFormatting>
  <conditionalFormatting sqref="O261:O264 O267:Q269 O275:Q275 P254:Q256 P258:Q264">
    <cfRule type="containsText" dxfId="2" priority="44448" operator="containsText" text="Yes">
      <formula>NOT(ISERROR(SEARCH(("Yes"),(O261))))</formula>
    </cfRule>
  </conditionalFormatting>
  <conditionalFormatting sqref="P255:Q255">
    <cfRule type="containsText" dxfId="9" priority="44449" operator="containsText" text="No">
      <formula>NOT(ISERROR(SEARCH(("No"),(P255))))</formula>
    </cfRule>
  </conditionalFormatting>
  <conditionalFormatting sqref="P255:Q255">
    <cfRule type="containsText" dxfId="9" priority="44450" operator="containsText" text="No">
      <formula>NOT(ISERROR(SEARCH(("No"),(P255))))</formula>
    </cfRule>
  </conditionalFormatting>
  <conditionalFormatting sqref="P255:Q255">
    <cfRule type="containsText" dxfId="9" priority="44451" operator="containsText" text="No">
      <formula>NOT(ISERROR(SEARCH(("No"),(P255))))</formula>
    </cfRule>
  </conditionalFormatting>
  <conditionalFormatting sqref="P255:Q255">
    <cfRule type="containsText" dxfId="9" priority="44452" operator="containsText" text="No">
      <formula>NOT(ISERROR(SEARCH(("No"),(P255))))</formula>
    </cfRule>
  </conditionalFormatting>
  <conditionalFormatting sqref="P255:Q255">
    <cfRule type="containsText" dxfId="9" priority="44453" operator="containsText" text="No">
      <formula>NOT(ISERROR(SEARCH(("No"),(P255))))</formula>
    </cfRule>
  </conditionalFormatting>
  <conditionalFormatting sqref="P255:Q255">
    <cfRule type="containsText" dxfId="9" priority="44454" operator="containsText" text="No">
      <formula>NOT(ISERROR(SEARCH(("No"),(P255))))</formula>
    </cfRule>
  </conditionalFormatting>
  <conditionalFormatting sqref="P255:Q255">
    <cfRule type="containsText" dxfId="9" priority="44455" operator="containsText" text="No">
      <formula>NOT(ISERROR(SEARCH(("No"),(P255))))</formula>
    </cfRule>
  </conditionalFormatting>
  <conditionalFormatting sqref="P255:Q255">
    <cfRule type="containsText" dxfId="9" priority="44456" operator="containsText" text="No">
      <formula>NOT(ISERROR(SEARCH(("No"),(P255))))</formula>
    </cfRule>
  </conditionalFormatting>
  <conditionalFormatting sqref="P255:Q255">
    <cfRule type="containsText" dxfId="9" priority="44457" operator="containsText" text="No">
      <formula>NOT(ISERROR(SEARCH(("No"),(P255))))</formula>
    </cfRule>
  </conditionalFormatting>
  <conditionalFormatting sqref="P255:Q255">
    <cfRule type="containsText" dxfId="9" priority="44458" operator="containsText" text="No">
      <formula>NOT(ISERROR(SEARCH(("No"),(P255))))</formula>
    </cfRule>
  </conditionalFormatting>
  <conditionalFormatting sqref="P255:Q255">
    <cfRule type="containsText" dxfId="9" priority="44459" operator="containsText" text="No">
      <formula>NOT(ISERROR(SEARCH(("No"),(P255))))</formula>
    </cfRule>
  </conditionalFormatting>
  <conditionalFormatting sqref="P255:Q255">
    <cfRule type="containsText" dxfId="9" priority="44460" operator="containsText" text="No">
      <formula>NOT(ISERROR(SEARCH(("No"),(P255))))</formula>
    </cfRule>
  </conditionalFormatting>
  <conditionalFormatting sqref="P255:Q255">
    <cfRule type="containsText" dxfId="9" priority="44461" operator="containsText" text="No">
      <formula>NOT(ISERROR(SEARCH(("No"),(P255))))</formula>
    </cfRule>
  </conditionalFormatting>
  <conditionalFormatting sqref="P255:Q255">
    <cfRule type="containsText" dxfId="9" priority="44462" operator="containsText" text="No">
      <formula>NOT(ISERROR(SEARCH(("No"),(P255))))</formula>
    </cfRule>
  </conditionalFormatting>
  <conditionalFormatting sqref="P255:Q255">
    <cfRule type="containsText" dxfId="9" priority="44463" operator="containsText" text="No">
      <formula>NOT(ISERROR(SEARCH(("No"),(P255))))</formula>
    </cfRule>
  </conditionalFormatting>
  <conditionalFormatting sqref="P255:Q255">
    <cfRule type="containsText" dxfId="9" priority="44464" operator="containsText" text="No">
      <formula>NOT(ISERROR(SEARCH(("No"),(P255))))</formula>
    </cfRule>
  </conditionalFormatting>
  <conditionalFormatting sqref="P255:Q255">
    <cfRule type="containsText" dxfId="9" priority="44465" operator="containsText" text="No">
      <formula>NOT(ISERROR(SEARCH(("No"),(P255))))</formula>
    </cfRule>
  </conditionalFormatting>
  <conditionalFormatting sqref="P255:Q255">
    <cfRule type="containsText" dxfId="9" priority="44466" operator="containsText" text="No">
      <formula>NOT(ISERROR(SEARCH(("No"),(P255))))</formula>
    </cfRule>
  </conditionalFormatting>
  <conditionalFormatting sqref="P255:Q255">
    <cfRule type="containsText" dxfId="9" priority="44467" operator="containsText" text="No">
      <formula>NOT(ISERROR(SEARCH(("No"),(P255))))</formula>
    </cfRule>
  </conditionalFormatting>
  <conditionalFormatting sqref="P255:Q255">
    <cfRule type="containsText" dxfId="9" priority="44468" operator="containsText" text="No">
      <formula>NOT(ISERROR(SEARCH(("No"),(P255))))</formula>
    </cfRule>
  </conditionalFormatting>
  <conditionalFormatting sqref="P255:Q255">
    <cfRule type="containsText" dxfId="9" priority="44469" operator="containsText" text="No">
      <formula>NOT(ISERROR(SEARCH(("No"),(P255))))</formula>
    </cfRule>
  </conditionalFormatting>
  <conditionalFormatting sqref="P255:Q255">
    <cfRule type="containsText" dxfId="9" priority="44470" operator="containsText" text="No">
      <formula>NOT(ISERROR(SEARCH(("No"),(P255))))</formula>
    </cfRule>
  </conditionalFormatting>
  <conditionalFormatting sqref="P255:Q255">
    <cfRule type="containsText" dxfId="9" priority="44471" operator="containsText" text="No">
      <formula>NOT(ISERROR(SEARCH(("No"),(P255))))</formula>
    </cfRule>
  </conditionalFormatting>
  <conditionalFormatting sqref="P255:Q255">
    <cfRule type="containsText" dxfId="9" priority="44472" operator="containsText" text="No">
      <formula>NOT(ISERROR(SEARCH(("No"),(P255))))</formula>
    </cfRule>
  </conditionalFormatting>
  <conditionalFormatting sqref="P255:Q255">
    <cfRule type="containsText" dxfId="9" priority="44473" operator="containsText" text="No">
      <formula>NOT(ISERROR(SEARCH(("No"),(P255))))</formula>
    </cfRule>
  </conditionalFormatting>
  <conditionalFormatting sqref="P255:Q255">
    <cfRule type="containsText" dxfId="9" priority="44474" operator="containsText" text="No">
      <formula>NOT(ISERROR(SEARCH(("No"),(P255))))</formula>
    </cfRule>
  </conditionalFormatting>
  <conditionalFormatting sqref="P255:Q255">
    <cfRule type="containsText" dxfId="9" priority="44475" operator="containsText" text="No">
      <formula>NOT(ISERROR(SEARCH(("No"),(P255))))</formula>
    </cfRule>
  </conditionalFormatting>
  <conditionalFormatting sqref="P255:Q255">
    <cfRule type="containsText" dxfId="9" priority="44476" operator="containsText" text="No">
      <formula>NOT(ISERROR(SEARCH(("No"),(P255))))</formula>
    </cfRule>
  </conditionalFormatting>
  <conditionalFormatting sqref="P255:Q255">
    <cfRule type="containsText" dxfId="9" priority="44477" operator="containsText" text="No">
      <formula>NOT(ISERROR(SEARCH(("No"),(P255))))</formula>
    </cfRule>
  </conditionalFormatting>
  <conditionalFormatting sqref="P255:Q255">
    <cfRule type="containsText" dxfId="9" priority="44478" operator="containsText" text="No">
      <formula>NOT(ISERROR(SEARCH(("No"),(P255))))</formula>
    </cfRule>
  </conditionalFormatting>
  <conditionalFormatting sqref="P255:Q255">
    <cfRule type="containsText" dxfId="9" priority="44479" operator="containsText" text="No">
      <formula>NOT(ISERROR(SEARCH(("No"),(P255))))</formula>
    </cfRule>
  </conditionalFormatting>
  <conditionalFormatting sqref="P255:Q255">
    <cfRule type="containsText" dxfId="9" priority="44480" operator="containsText" text="No">
      <formula>NOT(ISERROR(SEARCH(("No"),(P255))))</formula>
    </cfRule>
  </conditionalFormatting>
  <conditionalFormatting sqref="P255:Q255">
    <cfRule type="containsText" dxfId="9" priority="44481" operator="containsText" text="No">
      <formula>NOT(ISERROR(SEARCH(("No"),(P255))))</formula>
    </cfRule>
  </conditionalFormatting>
  <conditionalFormatting sqref="P255:Q255">
    <cfRule type="containsText" dxfId="9" priority="44482" operator="containsText" text="No">
      <formula>NOT(ISERROR(SEARCH(("No"),(P255))))</formula>
    </cfRule>
  </conditionalFormatting>
  <conditionalFormatting sqref="P255:Q255">
    <cfRule type="containsText" dxfId="9" priority="44483" operator="containsText" text="No">
      <formula>NOT(ISERROR(SEARCH(("No"),(P255))))</formula>
    </cfRule>
  </conditionalFormatting>
  <conditionalFormatting sqref="P255:Q255">
    <cfRule type="containsText" dxfId="9" priority="44484" operator="containsText" text="No">
      <formula>NOT(ISERROR(SEARCH(("No"),(P255))))</formula>
    </cfRule>
  </conditionalFormatting>
  <conditionalFormatting sqref="P255:Q255">
    <cfRule type="containsText" dxfId="9" priority="44485" operator="containsText" text="No">
      <formula>NOT(ISERROR(SEARCH(("No"),(P255))))</formula>
    </cfRule>
  </conditionalFormatting>
  <conditionalFormatting sqref="P255:Q255">
    <cfRule type="containsText" dxfId="9" priority="44486" operator="containsText" text="No">
      <formula>NOT(ISERROR(SEARCH(("No"),(P255))))</formula>
    </cfRule>
  </conditionalFormatting>
  <conditionalFormatting sqref="P255:Q255">
    <cfRule type="containsText" dxfId="9" priority="44487" operator="containsText" text="No">
      <formula>NOT(ISERROR(SEARCH(("No"),(P255))))</formula>
    </cfRule>
  </conditionalFormatting>
  <conditionalFormatting sqref="P255:Q255">
    <cfRule type="containsText" dxfId="9" priority="44488" operator="containsText" text="No">
      <formula>NOT(ISERROR(SEARCH(("No"),(P255))))</formula>
    </cfRule>
  </conditionalFormatting>
  <conditionalFormatting sqref="P255:Q255">
    <cfRule type="containsText" dxfId="9" priority="44489" operator="containsText" text="No">
      <formula>NOT(ISERROR(SEARCH(("No"),(P255))))</formula>
    </cfRule>
  </conditionalFormatting>
  <conditionalFormatting sqref="P255:Q255">
    <cfRule type="containsText" dxfId="9" priority="44490" operator="containsText" text="No">
      <formula>NOT(ISERROR(SEARCH(("No"),(P255))))</formula>
    </cfRule>
  </conditionalFormatting>
  <conditionalFormatting sqref="P255:Q255">
    <cfRule type="containsText" dxfId="9" priority="44491" operator="containsText" text="No">
      <formula>NOT(ISERROR(SEARCH(("No"),(P255))))</formula>
    </cfRule>
  </conditionalFormatting>
  <conditionalFormatting sqref="P255:Q255">
    <cfRule type="containsText" dxfId="9" priority="44492" operator="containsText" text="No">
      <formula>NOT(ISERROR(SEARCH(("No"),(P255))))</formula>
    </cfRule>
  </conditionalFormatting>
  <conditionalFormatting sqref="P255:Q255">
    <cfRule type="containsText" dxfId="9" priority="44493" operator="containsText" text="No">
      <formula>NOT(ISERROR(SEARCH(("No"),(P255))))</formula>
    </cfRule>
  </conditionalFormatting>
  <conditionalFormatting sqref="P255:Q255">
    <cfRule type="containsText" dxfId="2" priority="44494" operator="containsText" text="Yes">
      <formula>NOT(ISERROR(SEARCH(("Yes"),(P255))))</formula>
    </cfRule>
  </conditionalFormatting>
  <conditionalFormatting sqref="P255:Q255">
    <cfRule type="containsText" dxfId="2" priority="44495" operator="containsText" text="Yes">
      <formula>NOT(ISERROR(SEARCH(("Yes"),(P255))))</formula>
    </cfRule>
  </conditionalFormatting>
  <conditionalFormatting sqref="P255:Q255">
    <cfRule type="containsText" dxfId="2" priority="44496" operator="containsText" text="Yes">
      <formula>NOT(ISERROR(SEARCH(("Yes"),(P255))))</formula>
    </cfRule>
  </conditionalFormatting>
  <conditionalFormatting sqref="P255:Q255">
    <cfRule type="containsText" dxfId="2" priority="44497" operator="containsText" text="Yes">
      <formula>NOT(ISERROR(SEARCH(("Yes"),(P255))))</formula>
    </cfRule>
  </conditionalFormatting>
  <conditionalFormatting sqref="P255:Q255">
    <cfRule type="containsText" dxfId="2" priority="44498" operator="containsText" text="Yes">
      <formula>NOT(ISERROR(SEARCH(("Yes"),(P255))))</formula>
    </cfRule>
  </conditionalFormatting>
  <conditionalFormatting sqref="P255:Q255">
    <cfRule type="containsText" dxfId="2" priority="44499" operator="containsText" text="Yes">
      <formula>NOT(ISERROR(SEARCH(("Yes"),(P255))))</formula>
    </cfRule>
  </conditionalFormatting>
  <conditionalFormatting sqref="P255:Q255">
    <cfRule type="containsText" dxfId="2" priority="44500" operator="containsText" text="Yes">
      <formula>NOT(ISERROR(SEARCH(("Yes"),(P255))))</formula>
    </cfRule>
  </conditionalFormatting>
  <conditionalFormatting sqref="P255:Q255">
    <cfRule type="containsText" dxfId="2" priority="44501" operator="containsText" text="Yes">
      <formula>NOT(ISERROR(SEARCH(("Yes"),(P255))))</formula>
    </cfRule>
  </conditionalFormatting>
  <conditionalFormatting sqref="P255:Q255">
    <cfRule type="containsText" dxfId="2" priority="44502" operator="containsText" text="Yes">
      <formula>NOT(ISERROR(SEARCH(("Yes"),(P255))))</formula>
    </cfRule>
  </conditionalFormatting>
  <conditionalFormatting sqref="P255:Q255">
    <cfRule type="containsText" dxfId="2" priority="44503" operator="containsText" text="Yes">
      <formula>NOT(ISERROR(SEARCH(("Yes"),(P255))))</formula>
    </cfRule>
  </conditionalFormatting>
  <conditionalFormatting sqref="P255:Q255">
    <cfRule type="containsText" dxfId="2" priority="44504" operator="containsText" text="Yes">
      <formula>NOT(ISERROR(SEARCH(("Yes"),(P255))))</formula>
    </cfRule>
  </conditionalFormatting>
  <conditionalFormatting sqref="P255:Q255">
    <cfRule type="containsText" dxfId="2" priority="44505" operator="containsText" text="Yes">
      <formula>NOT(ISERROR(SEARCH(("Yes"),(P255))))</formula>
    </cfRule>
  </conditionalFormatting>
  <conditionalFormatting sqref="P255:Q255">
    <cfRule type="containsText" dxfId="2" priority="44506" operator="containsText" text="Yes">
      <formula>NOT(ISERROR(SEARCH(("Yes"),(P255))))</formula>
    </cfRule>
  </conditionalFormatting>
  <conditionalFormatting sqref="P255:Q255">
    <cfRule type="containsText" dxfId="2" priority="44507" operator="containsText" text="Yes">
      <formula>NOT(ISERROR(SEARCH(("Yes"),(P255))))</formula>
    </cfRule>
  </conditionalFormatting>
  <conditionalFormatting sqref="P255:Q255">
    <cfRule type="containsText" dxfId="2" priority="44508" operator="containsText" text="Yes">
      <formula>NOT(ISERROR(SEARCH(("Yes"),(P255))))</formula>
    </cfRule>
  </conditionalFormatting>
  <conditionalFormatting sqref="P255:Q255">
    <cfRule type="containsText" dxfId="2" priority="44509" operator="containsText" text="Yes">
      <formula>NOT(ISERROR(SEARCH(("Yes"),(P255))))</formula>
    </cfRule>
  </conditionalFormatting>
  <conditionalFormatting sqref="P255:Q255">
    <cfRule type="containsText" dxfId="2" priority="44510" operator="containsText" text="Yes">
      <formula>NOT(ISERROR(SEARCH(("Yes"),(P255))))</formula>
    </cfRule>
  </conditionalFormatting>
  <conditionalFormatting sqref="P255:Q255">
    <cfRule type="containsText" dxfId="2" priority="44511" operator="containsText" text="Yes">
      <formula>NOT(ISERROR(SEARCH(("Yes"),(P255))))</formula>
    </cfRule>
  </conditionalFormatting>
  <conditionalFormatting sqref="P255:Q255">
    <cfRule type="containsText" dxfId="2" priority="44512" operator="containsText" text="Yes">
      <formula>NOT(ISERROR(SEARCH(("Yes"),(P255))))</formula>
    </cfRule>
  </conditionalFormatting>
  <conditionalFormatting sqref="P255:Q255">
    <cfRule type="containsText" dxfId="2" priority="44513" operator="containsText" text="Yes">
      <formula>NOT(ISERROR(SEARCH(("Yes"),(P255))))</formula>
    </cfRule>
  </conditionalFormatting>
  <conditionalFormatting sqref="P255:Q255">
    <cfRule type="containsText" dxfId="2" priority="44514" operator="containsText" text="Yes">
      <formula>NOT(ISERROR(SEARCH(("Yes"),(P255))))</formula>
    </cfRule>
  </conditionalFormatting>
  <conditionalFormatting sqref="P255:Q255">
    <cfRule type="containsText" dxfId="2" priority="44515" operator="containsText" text="Yes">
      <formula>NOT(ISERROR(SEARCH(("Yes"),(P255))))</formula>
    </cfRule>
  </conditionalFormatting>
  <conditionalFormatting sqref="P255:Q255">
    <cfRule type="containsText" dxfId="2" priority="44516" operator="containsText" text="Yes">
      <formula>NOT(ISERROR(SEARCH(("Yes"),(P255))))</formula>
    </cfRule>
  </conditionalFormatting>
  <conditionalFormatting sqref="P255:Q255">
    <cfRule type="containsText" dxfId="2" priority="44517" operator="containsText" text="Yes">
      <formula>NOT(ISERROR(SEARCH(("Yes"),(P255))))</formula>
    </cfRule>
  </conditionalFormatting>
  <conditionalFormatting sqref="P255:Q255">
    <cfRule type="containsText" dxfId="2" priority="44518" operator="containsText" text="Yes">
      <formula>NOT(ISERROR(SEARCH(("Yes"),(P255))))</formula>
    </cfRule>
  </conditionalFormatting>
  <conditionalFormatting sqref="P255:Q255">
    <cfRule type="containsText" dxfId="2" priority="44519" operator="containsText" text="Yes">
      <formula>NOT(ISERROR(SEARCH(("Yes"),(P255))))</formula>
    </cfRule>
  </conditionalFormatting>
  <conditionalFormatting sqref="P255:Q255">
    <cfRule type="containsText" dxfId="2" priority="44520" operator="containsText" text="Yes">
      <formula>NOT(ISERROR(SEARCH(("Yes"),(P255))))</formula>
    </cfRule>
  </conditionalFormatting>
  <conditionalFormatting sqref="P255:Q255">
    <cfRule type="containsText" dxfId="2" priority="44521" operator="containsText" text="Yes">
      <formula>NOT(ISERROR(SEARCH(("Yes"),(P255))))</formula>
    </cfRule>
  </conditionalFormatting>
  <conditionalFormatting sqref="P255:Q255">
    <cfRule type="containsText" dxfId="2" priority="44522" operator="containsText" text="Yes">
      <formula>NOT(ISERROR(SEARCH(("Yes"),(P255))))</formula>
    </cfRule>
  </conditionalFormatting>
  <conditionalFormatting sqref="P255:Q255">
    <cfRule type="containsText" dxfId="2" priority="44523" operator="containsText" text="Yes">
      <formula>NOT(ISERROR(SEARCH(("Yes"),(P255))))</formula>
    </cfRule>
  </conditionalFormatting>
  <conditionalFormatting sqref="P255:Q255">
    <cfRule type="containsText" dxfId="2" priority="44524" operator="containsText" text="Yes">
      <formula>NOT(ISERROR(SEARCH(("Yes"),(P255))))</formula>
    </cfRule>
  </conditionalFormatting>
  <conditionalFormatting sqref="P255:Q255">
    <cfRule type="containsText" dxfId="2" priority="44525" operator="containsText" text="Yes">
      <formula>NOT(ISERROR(SEARCH(("Yes"),(P255))))</formula>
    </cfRule>
  </conditionalFormatting>
  <conditionalFormatting sqref="P255:Q255">
    <cfRule type="containsText" dxfId="2" priority="44526" operator="containsText" text="Yes">
      <formula>NOT(ISERROR(SEARCH(("Yes"),(P255))))</formula>
    </cfRule>
  </conditionalFormatting>
  <conditionalFormatting sqref="P255:Q255">
    <cfRule type="containsText" dxfId="2" priority="44527" operator="containsText" text="Yes">
      <formula>NOT(ISERROR(SEARCH(("Yes"),(P255))))</formula>
    </cfRule>
  </conditionalFormatting>
  <conditionalFormatting sqref="P255:Q255">
    <cfRule type="containsText" dxfId="2" priority="44528" operator="containsText" text="Yes">
      <formula>NOT(ISERROR(SEARCH(("Yes"),(P255))))</formula>
    </cfRule>
  </conditionalFormatting>
  <conditionalFormatting sqref="P255:Q255">
    <cfRule type="containsText" dxfId="2" priority="44529" operator="containsText" text="Yes">
      <formula>NOT(ISERROR(SEARCH(("Yes"),(P255))))</formula>
    </cfRule>
  </conditionalFormatting>
  <conditionalFormatting sqref="P255:Q255">
    <cfRule type="containsText" dxfId="2" priority="44530" operator="containsText" text="Yes">
      <formula>NOT(ISERROR(SEARCH(("Yes"),(P255))))</formula>
    </cfRule>
  </conditionalFormatting>
  <conditionalFormatting sqref="P255:Q255">
    <cfRule type="containsText" dxfId="2" priority="44531" operator="containsText" text="Yes">
      <formula>NOT(ISERROR(SEARCH(("Yes"),(P255))))</formula>
    </cfRule>
  </conditionalFormatting>
  <conditionalFormatting sqref="P255:Q255">
    <cfRule type="containsText" dxfId="2" priority="44532" operator="containsText" text="Yes">
      <formula>NOT(ISERROR(SEARCH(("Yes"),(P255))))</formula>
    </cfRule>
  </conditionalFormatting>
  <conditionalFormatting sqref="P255:Q255">
    <cfRule type="containsText" dxfId="2" priority="44533" operator="containsText" text="Yes">
      <formula>NOT(ISERROR(SEARCH(("Yes"),(P255))))</formula>
    </cfRule>
  </conditionalFormatting>
  <conditionalFormatting sqref="P255:Q255">
    <cfRule type="containsText" dxfId="2" priority="44534" operator="containsText" text="Yes">
      <formula>NOT(ISERROR(SEARCH(("Yes"),(P255))))</formula>
    </cfRule>
  </conditionalFormatting>
  <conditionalFormatting sqref="P255:Q255">
    <cfRule type="containsText" dxfId="2" priority="44535" operator="containsText" text="Yes">
      <formula>NOT(ISERROR(SEARCH(("Yes"),(P255))))</formula>
    </cfRule>
  </conditionalFormatting>
  <conditionalFormatting sqref="P255:Q255">
    <cfRule type="containsText" dxfId="2" priority="44536" operator="containsText" text="Yes">
      <formula>NOT(ISERROR(SEARCH(("Yes"),(P255))))</formula>
    </cfRule>
  </conditionalFormatting>
  <conditionalFormatting sqref="P255:Q255">
    <cfRule type="containsText" dxfId="2" priority="44537" operator="containsText" text="Yes">
      <formula>NOT(ISERROR(SEARCH(("Yes"),(P255))))</formula>
    </cfRule>
  </conditionalFormatting>
  <conditionalFormatting sqref="P255:Q255">
    <cfRule type="containsText" dxfId="2" priority="44538" operator="containsText" text="Yes">
      <formula>NOT(ISERROR(SEARCH(("Yes"),(P255))))</formula>
    </cfRule>
  </conditionalFormatting>
  <conditionalFormatting sqref="P255:Q255">
    <cfRule type="containsText" dxfId="2" priority="44539" operator="containsText" text="Yes">
      <formula>NOT(ISERROR(SEARCH(("Yes"),(P255))))</formula>
    </cfRule>
  </conditionalFormatting>
  <conditionalFormatting sqref="P255:Q255">
    <cfRule type="containsText" dxfId="2" priority="44540" operator="containsText" text="Yes">
      <formula>NOT(ISERROR(SEARCH(("Yes"),(P255))))</formula>
    </cfRule>
  </conditionalFormatting>
  <conditionalFormatting sqref="O261:O264 O267:Q269 O275:Q275 P256:Q256 P258:Q264">
    <cfRule type="containsText" dxfId="9" priority="44541" operator="containsText" text="No">
      <formula>NOT(ISERROR(SEARCH(("No"),(O261))))</formula>
    </cfRule>
  </conditionalFormatting>
  <conditionalFormatting sqref="O261:O264 O267:Q269 O275:Q275 P256:Q256 P258:Q264">
    <cfRule type="containsText" dxfId="9" priority="44542" operator="containsText" text="No">
      <formula>NOT(ISERROR(SEARCH(("No"),(O261))))</formula>
    </cfRule>
  </conditionalFormatting>
  <conditionalFormatting sqref="O261:O264 O267:Q269 O275:Q275 P256:Q256 P258:Q264">
    <cfRule type="containsText" dxfId="9" priority="44543" operator="containsText" text="No">
      <formula>NOT(ISERROR(SEARCH(("No"),(O261))))</formula>
    </cfRule>
  </conditionalFormatting>
  <conditionalFormatting sqref="O261:O264 O267:Q269 O275:Q275 P256:Q256 P258:Q264">
    <cfRule type="containsText" dxfId="9" priority="44544" operator="containsText" text="No">
      <formula>NOT(ISERROR(SEARCH(("No"),(O261))))</formula>
    </cfRule>
  </conditionalFormatting>
  <conditionalFormatting sqref="O261:O264 O267:Q269 O275:Q275 P256:Q256 P258:Q264">
    <cfRule type="containsText" dxfId="9" priority="44545" operator="containsText" text="No">
      <formula>NOT(ISERROR(SEARCH(("No"),(O261))))</formula>
    </cfRule>
  </conditionalFormatting>
  <conditionalFormatting sqref="O261:O264 O267:Q269 O275:Q275 P256:Q256 P258:Q264">
    <cfRule type="containsText" dxfId="9" priority="44546" operator="containsText" text="No">
      <formula>NOT(ISERROR(SEARCH(("No"),(O261))))</formula>
    </cfRule>
  </conditionalFormatting>
  <conditionalFormatting sqref="O261:O264 O267:Q269 O275:Q275 P256:Q256 P258:Q264">
    <cfRule type="containsText" dxfId="9" priority="44547" operator="containsText" text="No">
      <formula>NOT(ISERROR(SEARCH(("No"),(O261))))</formula>
    </cfRule>
  </conditionalFormatting>
  <conditionalFormatting sqref="O261:O264 O267:Q269 O275:Q275 P256:Q256 P258:Q264">
    <cfRule type="containsText" dxfId="9" priority="44548" operator="containsText" text="No">
      <formula>NOT(ISERROR(SEARCH(("No"),(O261))))</formula>
    </cfRule>
  </conditionalFormatting>
  <conditionalFormatting sqref="O261:O264 O267:Q269 O275:Q275 P256:Q256 P258:Q264">
    <cfRule type="containsText" dxfId="9" priority="44549" operator="containsText" text="No">
      <formula>NOT(ISERROR(SEARCH(("No"),(O261))))</formula>
    </cfRule>
  </conditionalFormatting>
  <conditionalFormatting sqref="O261:O264 O267:Q269 O275:Q275 P256:Q256 P258:Q264">
    <cfRule type="containsText" dxfId="9" priority="44550" operator="containsText" text="No">
      <formula>NOT(ISERROR(SEARCH(("No"),(O261))))</formula>
    </cfRule>
  </conditionalFormatting>
  <conditionalFormatting sqref="O261:O264 O267:Q269 O275:Q275 P256:Q256 P258:Q264">
    <cfRule type="containsText" dxfId="9" priority="44551" operator="containsText" text="No">
      <formula>NOT(ISERROR(SEARCH(("No"),(O261))))</formula>
    </cfRule>
  </conditionalFormatting>
  <conditionalFormatting sqref="O261:O264 O267:Q269 O275:Q275 P256:Q256 P258:Q264">
    <cfRule type="containsText" dxfId="9" priority="44552" operator="containsText" text="No">
      <formula>NOT(ISERROR(SEARCH(("No"),(O261))))</formula>
    </cfRule>
  </conditionalFormatting>
  <conditionalFormatting sqref="O261:O264 O267:Q269 O275:Q275 P256:Q256 P258:Q264">
    <cfRule type="containsText" dxfId="9" priority="44553" operator="containsText" text="No">
      <formula>NOT(ISERROR(SEARCH(("No"),(O261))))</formula>
    </cfRule>
  </conditionalFormatting>
  <conditionalFormatting sqref="O261:O264 O267:Q269 O275:Q275 P256:Q256 P258:Q264">
    <cfRule type="containsText" dxfId="9" priority="44554" operator="containsText" text="No">
      <formula>NOT(ISERROR(SEARCH(("No"),(O261))))</formula>
    </cfRule>
  </conditionalFormatting>
  <conditionalFormatting sqref="O261:O264 O267:Q269 O275:Q275 P256:Q256 P258:Q264">
    <cfRule type="containsText" dxfId="9" priority="44555" operator="containsText" text="No">
      <formula>NOT(ISERROR(SEARCH(("No"),(O261))))</formula>
    </cfRule>
  </conditionalFormatting>
  <conditionalFormatting sqref="O261:O264 O267:Q269 O275:Q275 P256:Q256 P258:Q264">
    <cfRule type="containsText" dxfId="9" priority="44556" operator="containsText" text="No">
      <formula>NOT(ISERROR(SEARCH(("No"),(O261))))</formula>
    </cfRule>
  </conditionalFormatting>
  <conditionalFormatting sqref="O261:O264 O267:Q269 O275:Q275 P256:Q256 P258:Q264">
    <cfRule type="containsText" dxfId="9" priority="44557" operator="containsText" text="No">
      <formula>NOT(ISERROR(SEARCH(("No"),(O261))))</formula>
    </cfRule>
  </conditionalFormatting>
  <conditionalFormatting sqref="O261:O264 O267:Q269 O275:Q275 P256:Q256 P258:Q264">
    <cfRule type="containsText" dxfId="9" priority="44558" operator="containsText" text="No">
      <formula>NOT(ISERROR(SEARCH(("No"),(O261))))</formula>
    </cfRule>
  </conditionalFormatting>
  <conditionalFormatting sqref="O261:O264 O267:Q269 O275:Q275 P256:Q256 P258:Q264">
    <cfRule type="containsText" dxfId="9" priority="44559" operator="containsText" text="No">
      <formula>NOT(ISERROR(SEARCH(("No"),(O261))))</formula>
    </cfRule>
  </conditionalFormatting>
  <conditionalFormatting sqref="O261:O264 O267:Q269 O275:Q275 P256:Q256 P258:Q264">
    <cfRule type="containsText" dxfId="9" priority="44560" operator="containsText" text="No">
      <formula>NOT(ISERROR(SEARCH(("No"),(O261))))</formula>
    </cfRule>
  </conditionalFormatting>
  <conditionalFormatting sqref="O261:O264 O267:Q269 O275:Q275 P256:Q256 P258:Q264">
    <cfRule type="containsText" dxfId="9" priority="44561" operator="containsText" text="No">
      <formula>NOT(ISERROR(SEARCH(("No"),(O261))))</formula>
    </cfRule>
  </conditionalFormatting>
  <conditionalFormatting sqref="O261:O264 O267:Q269 O275:Q275 P256:Q256 P258:Q264">
    <cfRule type="containsText" dxfId="9" priority="44562" operator="containsText" text="No">
      <formula>NOT(ISERROR(SEARCH(("No"),(O261))))</formula>
    </cfRule>
  </conditionalFormatting>
  <conditionalFormatting sqref="O261:O264 O267:Q269 O275:Q275 P256:Q256 P258:Q264">
    <cfRule type="containsText" dxfId="9" priority="44563" operator="containsText" text="No">
      <formula>NOT(ISERROR(SEARCH(("No"),(O261))))</formula>
    </cfRule>
  </conditionalFormatting>
  <conditionalFormatting sqref="O261:O264 O267:Q269 O275:Q275 P256:Q256 P258:Q264">
    <cfRule type="containsText" dxfId="9" priority="44564" operator="containsText" text="No">
      <formula>NOT(ISERROR(SEARCH(("No"),(O261))))</formula>
    </cfRule>
  </conditionalFormatting>
  <conditionalFormatting sqref="O261:O264 O267:Q269 O275:Q275 P256:Q256 P258:Q264">
    <cfRule type="containsText" dxfId="9" priority="44565" operator="containsText" text="No">
      <formula>NOT(ISERROR(SEARCH(("No"),(O261))))</formula>
    </cfRule>
  </conditionalFormatting>
  <conditionalFormatting sqref="O261:O264 O267:Q269 O275:Q275 P256:Q256 P258:Q264">
    <cfRule type="containsText" dxfId="9" priority="44566" operator="containsText" text="No">
      <formula>NOT(ISERROR(SEARCH(("No"),(O261))))</formula>
    </cfRule>
  </conditionalFormatting>
  <conditionalFormatting sqref="O261:O264 O267:Q269 O275:Q275 P256:Q256 P258:Q264">
    <cfRule type="containsText" dxfId="9" priority="44567" operator="containsText" text="No">
      <formula>NOT(ISERROR(SEARCH(("No"),(O261))))</formula>
    </cfRule>
  </conditionalFormatting>
  <conditionalFormatting sqref="O261:O264 O267:Q269 O275:Q275 P256:Q256 P258:Q264">
    <cfRule type="containsText" dxfId="9" priority="44568" operator="containsText" text="No">
      <formula>NOT(ISERROR(SEARCH(("No"),(O261))))</formula>
    </cfRule>
  </conditionalFormatting>
  <conditionalFormatting sqref="O261:O264 O267:Q269 O275:Q275 P256:Q256 P258:Q264">
    <cfRule type="containsText" dxfId="9" priority="44569" operator="containsText" text="No">
      <formula>NOT(ISERROR(SEARCH(("No"),(O261))))</formula>
    </cfRule>
  </conditionalFormatting>
  <conditionalFormatting sqref="O261:O264 O267:Q269 O275:Q275 P256:Q256 P258:Q264">
    <cfRule type="containsText" dxfId="9" priority="44570" operator="containsText" text="No">
      <formula>NOT(ISERROR(SEARCH(("No"),(O261))))</formula>
    </cfRule>
  </conditionalFormatting>
  <conditionalFormatting sqref="O261:O264 O267:Q269 O275:Q275 P256:Q256 P258:Q264">
    <cfRule type="containsText" dxfId="9" priority="44571" operator="containsText" text="No">
      <formula>NOT(ISERROR(SEARCH(("No"),(O261))))</formula>
    </cfRule>
  </conditionalFormatting>
  <conditionalFormatting sqref="O261:O264 O267:Q269 O275:Q275 P256:Q256 P258:Q264">
    <cfRule type="containsText" dxfId="9" priority="44572" operator="containsText" text="No">
      <formula>NOT(ISERROR(SEARCH(("No"),(O261))))</formula>
    </cfRule>
  </conditionalFormatting>
  <conditionalFormatting sqref="O261:O264 O267:Q269 O275:Q275 P256:Q256 P258:Q264">
    <cfRule type="containsText" dxfId="9" priority="44573" operator="containsText" text="No">
      <formula>NOT(ISERROR(SEARCH(("No"),(O261))))</formula>
    </cfRule>
  </conditionalFormatting>
  <conditionalFormatting sqref="O261:O264 O267:Q269 O275:Q275 P256:Q256 P258:Q264">
    <cfRule type="containsText" dxfId="9" priority="44574" operator="containsText" text="No">
      <formula>NOT(ISERROR(SEARCH(("No"),(O261))))</formula>
    </cfRule>
  </conditionalFormatting>
  <conditionalFormatting sqref="O261:O264 O267:Q269 O275:Q275 P256:Q256 P258:Q264">
    <cfRule type="containsText" dxfId="9" priority="44575" operator="containsText" text="No">
      <formula>NOT(ISERROR(SEARCH(("No"),(O261))))</formula>
    </cfRule>
  </conditionalFormatting>
  <conditionalFormatting sqref="O261:O264 O267:Q269 O275:Q275 P256:Q256 P258:Q264">
    <cfRule type="containsText" dxfId="9" priority="44576" operator="containsText" text="No">
      <formula>NOT(ISERROR(SEARCH(("No"),(O261))))</formula>
    </cfRule>
  </conditionalFormatting>
  <conditionalFormatting sqref="O261:O264 O267:Q269 O275:Q275 P256:Q256 P258:Q264">
    <cfRule type="containsText" dxfId="9" priority="44577" operator="containsText" text="No">
      <formula>NOT(ISERROR(SEARCH(("No"),(O261))))</formula>
    </cfRule>
  </conditionalFormatting>
  <conditionalFormatting sqref="O261:O264 O267:Q269 O275:Q275 P256:Q256 P258:Q264">
    <cfRule type="containsText" dxfId="9" priority="44578" operator="containsText" text="No">
      <formula>NOT(ISERROR(SEARCH(("No"),(O261))))</formula>
    </cfRule>
  </conditionalFormatting>
  <conditionalFormatting sqref="O261:O264 O267:Q269 O275:Q275 P256:Q256 P258:Q264">
    <cfRule type="containsText" dxfId="9" priority="44579" operator="containsText" text="No">
      <formula>NOT(ISERROR(SEARCH(("No"),(O261))))</formula>
    </cfRule>
  </conditionalFormatting>
  <conditionalFormatting sqref="O261:O264 O267:Q269 O275:Q275 P256:Q256 P258:Q264">
    <cfRule type="containsText" dxfId="9" priority="44580" operator="containsText" text="No">
      <formula>NOT(ISERROR(SEARCH(("No"),(O261))))</formula>
    </cfRule>
  </conditionalFormatting>
  <conditionalFormatting sqref="O261:O264 O267:Q269 O275:Q275 P256:Q256 P258:Q264">
    <cfRule type="containsText" dxfId="9" priority="44581" operator="containsText" text="No">
      <formula>NOT(ISERROR(SEARCH(("No"),(O261))))</formula>
    </cfRule>
  </conditionalFormatting>
  <conditionalFormatting sqref="O261:O264 O267:Q269 O275:Q275 P256:Q256 P258:Q264">
    <cfRule type="containsText" dxfId="9" priority="44582" operator="containsText" text="No">
      <formula>NOT(ISERROR(SEARCH(("No"),(O261))))</formula>
    </cfRule>
  </conditionalFormatting>
  <conditionalFormatting sqref="O261:O264 O267:Q269 O275:Q275 P256:Q256 P258:Q264">
    <cfRule type="containsText" dxfId="9" priority="44583" operator="containsText" text="No">
      <formula>NOT(ISERROR(SEARCH(("No"),(O261))))</formula>
    </cfRule>
  </conditionalFormatting>
  <conditionalFormatting sqref="O261:O264 O267:Q269 O275:Q275 P256:Q256 P258:Q264">
    <cfRule type="containsText" dxfId="9" priority="44584" operator="containsText" text="No">
      <formula>NOT(ISERROR(SEARCH(("No"),(O261))))</formula>
    </cfRule>
  </conditionalFormatting>
  <conditionalFormatting sqref="O261:O264 O267:Q269 O275:Q275 P256:Q256 P258:Q264">
    <cfRule type="containsText" dxfId="9" priority="44585" operator="containsText" text="No">
      <formula>NOT(ISERROR(SEARCH(("No"),(O261))))</formula>
    </cfRule>
  </conditionalFormatting>
  <conditionalFormatting sqref="O261:O264 O267:Q269 O275:Q275 P256:Q256 P258:Q264">
    <cfRule type="containsText" dxfId="2" priority="44586" operator="containsText" text="Yes">
      <formula>NOT(ISERROR(SEARCH(("Yes"),(O261))))</formula>
    </cfRule>
  </conditionalFormatting>
  <conditionalFormatting sqref="O261:O264 O267:Q269 O275:Q275 P256:Q256 P258:Q264">
    <cfRule type="containsText" dxfId="2" priority="44587" operator="containsText" text="Yes">
      <formula>NOT(ISERROR(SEARCH(("Yes"),(O261))))</formula>
    </cfRule>
  </conditionalFormatting>
  <conditionalFormatting sqref="O261:O264 O267:Q269 O275:Q275 P256:Q256 P258:Q264">
    <cfRule type="containsText" dxfId="2" priority="44588" operator="containsText" text="Yes">
      <formula>NOT(ISERROR(SEARCH(("Yes"),(O261))))</formula>
    </cfRule>
  </conditionalFormatting>
  <conditionalFormatting sqref="O261:O264 O267:Q269 O275:Q275 P256:Q256 P258:Q264">
    <cfRule type="containsText" dxfId="2" priority="44589" operator="containsText" text="Yes">
      <formula>NOT(ISERROR(SEARCH(("Yes"),(O261))))</formula>
    </cfRule>
  </conditionalFormatting>
  <conditionalFormatting sqref="O261:O264 O267:Q269 O275:Q275 P256:Q256 P258:Q264">
    <cfRule type="containsText" dxfId="2" priority="44590" operator="containsText" text="Yes">
      <formula>NOT(ISERROR(SEARCH(("Yes"),(O261))))</formula>
    </cfRule>
  </conditionalFormatting>
  <conditionalFormatting sqref="O261:O264 O267:Q269 O275:Q275 P256:Q256 P258:Q264">
    <cfRule type="containsText" dxfId="2" priority="44591" operator="containsText" text="Yes">
      <formula>NOT(ISERROR(SEARCH(("Yes"),(O261))))</formula>
    </cfRule>
  </conditionalFormatting>
  <conditionalFormatting sqref="O261:O264 O267:Q269 O275:Q275 P256:Q256 P258:Q264">
    <cfRule type="containsText" dxfId="2" priority="44592" operator="containsText" text="Yes">
      <formula>NOT(ISERROR(SEARCH(("Yes"),(O261))))</formula>
    </cfRule>
  </conditionalFormatting>
  <conditionalFormatting sqref="O261:O264 O267:Q269 O275:Q275 P256:Q256 P258:Q264">
    <cfRule type="containsText" dxfId="2" priority="44593" operator="containsText" text="Yes">
      <formula>NOT(ISERROR(SEARCH(("Yes"),(O261))))</formula>
    </cfRule>
  </conditionalFormatting>
  <conditionalFormatting sqref="O261:O264 O267:Q269 O275:Q275 P256:Q256 P258:Q264">
    <cfRule type="containsText" dxfId="2" priority="44594" operator="containsText" text="Yes">
      <formula>NOT(ISERROR(SEARCH(("Yes"),(O261))))</formula>
    </cfRule>
  </conditionalFormatting>
  <conditionalFormatting sqref="O261:O264 O267:Q269 O275:Q275 P256:Q256 P258:Q264">
    <cfRule type="containsText" dxfId="2" priority="44595" operator="containsText" text="Yes">
      <formula>NOT(ISERROR(SEARCH(("Yes"),(O261))))</formula>
    </cfRule>
  </conditionalFormatting>
  <conditionalFormatting sqref="O261:O264 O267:Q269 O275:Q275 P256:Q256 P258:Q264">
    <cfRule type="containsText" dxfId="2" priority="44596" operator="containsText" text="Yes">
      <formula>NOT(ISERROR(SEARCH(("Yes"),(O261))))</formula>
    </cfRule>
  </conditionalFormatting>
  <conditionalFormatting sqref="O261:O264 O267:Q269 O275:Q275 P256:Q256 P258:Q264">
    <cfRule type="containsText" dxfId="2" priority="44597" operator="containsText" text="Yes">
      <formula>NOT(ISERROR(SEARCH(("Yes"),(O261))))</formula>
    </cfRule>
  </conditionalFormatting>
  <conditionalFormatting sqref="O261:O264 O267:Q269 O275:Q275 P256:Q256 P258:Q264">
    <cfRule type="containsText" dxfId="2" priority="44598" operator="containsText" text="Yes">
      <formula>NOT(ISERROR(SEARCH(("Yes"),(O261))))</formula>
    </cfRule>
  </conditionalFormatting>
  <conditionalFormatting sqref="O261:O264 O267:Q269 O275:Q275 P256:Q256 P258:Q264">
    <cfRule type="containsText" dxfId="2" priority="44599" operator="containsText" text="Yes">
      <formula>NOT(ISERROR(SEARCH(("Yes"),(O261))))</formula>
    </cfRule>
  </conditionalFormatting>
  <conditionalFormatting sqref="O261:O264 O267:Q269 O275:Q275 P256:Q256 P258:Q264">
    <cfRule type="containsText" dxfId="2" priority="44600" operator="containsText" text="Yes">
      <formula>NOT(ISERROR(SEARCH(("Yes"),(O261))))</formula>
    </cfRule>
  </conditionalFormatting>
  <conditionalFormatting sqref="O261:O264 O267:Q269 O275:Q275 P256:Q256 P258:Q264">
    <cfRule type="containsText" dxfId="2" priority="44601" operator="containsText" text="Yes">
      <formula>NOT(ISERROR(SEARCH(("Yes"),(O261))))</formula>
    </cfRule>
  </conditionalFormatting>
  <conditionalFormatting sqref="O261:O264 O267:Q269 O275:Q275 P256:Q256 P258:Q264">
    <cfRule type="containsText" dxfId="2" priority="44602" operator="containsText" text="Yes">
      <formula>NOT(ISERROR(SEARCH(("Yes"),(O261))))</formula>
    </cfRule>
  </conditionalFormatting>
  <conditionalFormatting sqref="O261:O264 O267:Q269 O275:Q275 P256:Q256 P258:Q264">
    <cfRule type="containsText" dxfId="2" priority="44603" operator="containsText" text="Yes">
      <formula>NOT(ISERROR(SEARCH(("Yes"),(O261))))</formula>
    </cfRule>
  </conditionalFormatting>
  <conditionalFormatting sqref="O261:O264 O267:Q269 O275:Q275 P256:Q256 P258:Q264">
    <cfRule type="containsText" dxfId="2" priority="44604" operator="containsText" text="Yes">
      <formula>NOT(ISERROR(SEARCH(("Yes"),(O261))))</formula>
    </cfRule>
  </conditionalFormatting>
  <conditionalFormatting sqref="O261:O264 O267:Q269 O275:Q275 P256:Q256 P258:Q264">
    <cfRule type="containsText" dxfId="2" priority="44605" operator="containsText" text="Yes">
      <formula>NOT(ISERROR(SEARCH(("Yes"),(O261))))</formula>
    </cfRule>
  </conditionalFormatting>
  <conditionalFormatting sqref="O261:O264 O267:Q269 O275:Q275 P256:Q256 P258:Q264">
    <cfRule type="containsText" dxfId="2" priority="44606" operator="containsText" text="Yes">
      <formula>NOT(ISERROR(SEARCH(("Yes"),(O261))))</formula>
    </cfRule>
  </conditionalFormatting>
  <conditionalFormatting sqref="O261:O264 O267:Q269 O275:Q275 P256:Q256 P258:Q264">
    <cfRule type="containsText" dxfId="2" priority="44607" operator="containsText" text="Yes">
      <formula>NOT(ISERROR(SEARCH(("Yes"),(O261))))</formula>
    </cfRule>
  </conditionalFormatting>
  <conditionalFormatting sqref="O261:O264 O267:Q269 O275:Q275 P256:Q256 P258:Q264">
    <cfRule type="containsText" dxfId="2" priority="44608" operator="containsText" text="Yes">
      <formula>NOT(ISERROR(SEARCH(("Yes"),(O261))))</formula>
    </cfRule>
  </conditionalFormatting>
  <conditionalFormatting sqref="O261:O264 O267:Q269 O275:Q275 P256:Q256 P258:Q264">
    <cfRule type="containsText" dxfId="2" priority="44609" operator="containsText" text="Yes">
      <formula>NOT(ISERROR(SEARCH(("Yes"),(O261))))</formula>
    </cfRule>
  </conditionalFormatting>
  <conditionalFormatting sqref="O261:O264 O267:Q269 O275:Q275 P256:Q256 P258:Q264">
    <cfRule type="containsText" dxfId="2" priority="44610" operator="containsText" text="Yes">
      <formula>NOT(ISERROR(SEARCH(("Yes"),(O261))))</formula>
    </cfRule>
  </conditionalFormatting>
  <conditionalFormatting sqref="O261:O264 O267:Q269 O275:Q275 P256:Q256 P258:Q264">
    <cfRule type="containsText" dxfId="2" priority="44611" operator="containsText" text="Yes">
      <formula>NOT(ISERROR(SEARCH(("Yes"),(O261))))</formula>
    </cfRule>
  </conditionalFormatting>
  <conditionalFormatting sqref="O261:O264 O267:Q269 O275:Q275 P256:Q256 P258:Q264">
    <cfRule type="containsText" dxfId="2" priority="44612" operator="containsText" text="Yes">
      <formula>NOT(ISERROR(SEARCH(("Yes"),(O261))))</formula>
    </cfRule>
  </conditionalFormatting>
  <conditionalFormatting sqref="O261:O264 O267:Q269 O275:Q275 P256:Q256 P258:Q264">
    <cfRule type="containsText" dxfId="2" priority="44613" operator="containsText" text="Yes">
      <formula>NOT(ISERROR(SEARCH(("Yes"),(O261))))</formula>
    </cfRule>
  </conditionalFormatting>
  <conditionalFormatting sqref="O261:O264 O267:Q269 O275:Q275 P256:Q256 P258:Q264">
    <cfRule type="containsText" dxfId="2" priority="44614" operator="containsText" text="Yes">
      <formula>NOT(ISERROR(SEARCH(("Yes"),(O261))))</formula>
    </cfRule>
  </conditionalFormatting>
  <conditionalFormatting sqref="O261:O264 O267:Q269 O275:Q275 P256:Q256 P258:Q264">
    <cfRule type="containsText" dxfId="2" priority="44615" operator="containsText" text="Yes">
      <formula>NOT(ISERROR(SEARCH(("Yes"),(O261))))</formula>
    </cfRule>
  </conditionalFormatting>
  <conditionalFormatting sqref="O261:O264 O267:Q269 O275:Q275 P256:Q256 P258:Q264">
    <cfRule type="containsText" dxfId="2" priority="44616" operator="containsText" text="Yes">
      <formula>NOT(ISERROR(SEARCH(("Yes"),(O261))))</formula>
    </cfRule>
  </conditionalFormatting>
  <conditionalFormatting sqref="O261:O264 O267:Q269 O275:Q275 P256:Q256 P258:Q264">
    <cfRule type="containsText" dxfId="2" priority="44617" operator="containsText" text="Yes">
      <formula>NOT(ISERROR(SEARCH(("Yes"),(O261))))</formula>
    </cfRule>
  </conditionalFormatting>
  <conditionalFormatting sqref="O261:O264 O267:Q269 O275:Q275 P256:Q256 P258:Q264">
    <cfRule type="containsText" dxfId="2" priority="44618" operator="containsText" text="Yes">
      <formula>NOT(ISERROR(SEARCH(("Yes"),(O261))))</formula>
    </cfRule>
  </conditionalFormatting>
  <conditionalFormatting sqref="O261:O264 O267:Q269 O275:Q275 P256:Q256 P258:Q264">
    <cfRule type="containsText" dxfId="2" priority="44619" operator="containsText" text="Yes">
      <formula>NOT(ISERROR(SEARCH(("Yes"),(O261))))</formula>
    </cfRule>
  </conditionalFormatting>
  <conditionalFormatting sqref="O261:O264 O267:Q269 O275:Q275 P256:Q256 P258:Q264">
    <cfRule type="containsText" dxfId="2" priority="44620" operator="containsText" text="Yes">
      <formula>NOT(ISERROR(SEARCH(("Yes"),(O261))))</formula>
    </cfRule>
  </conditionalFormatting>
  <conditionalFormatting sqref="O261:O264 O267:Q269 O275:Q275 P256:Q256 P258:Q264">
    <cfRule type="containsText" dxfId="2" priority="44621" operator="containsText" text="Yes">
      <formula>NOT(ISERROR(SEARCH(("Yes"),(O261))))</formula>
    </cfRule>
  </conditionalFormatting>
  <conditionalFormatting sqref="O261:O264 O267:Q269 O275:Q275 P256:Q256 P258:Q264">
    <cfRule type="containsText" dxfId="2" priority="44622" operator="containsText" text="Yes">
      <formula>NOT(ISERROR(SEARCH(("Yes"),(O261))))</formula>
    </cfRule>
  </conditionalFormatting>
  <conditionalFormatting sqref="O261:O264 O267:Q269 O275:Q275 P256:Q256 P258:Q264">
    <cfRule type="containsText" dxfId="2" priority="44623" operator="containsText" text="Yes">
      <formula>NOT(ISERROR(SEARCH(("Yes"),(O261))))</formula>
    </cfRule>
  </conditionalFormatting>
  <conditionalFormatting sqref="O261:O264 O267:Q269 O275:Q275 P256:Q256 P258:Q264">
    <cfRule type="containsText" dxfId="2" priority="44624" operator="containsText" text="Yes">
      <formula>NOT(ISERROR(SEARCH(("Yes"),(O261))))</formula>
    </cfRule>
  </conditionalFormatting>
  <conditionalFormatting sqref="O261:O264 O267:Q269 O275:Q275 P256:Q256 P258:Q264">
    <cfRule type="containsText" dxfId="2" priority="44625" operator="containsText" text="Yes">
      <formula>NOT(ISERROR(SEARCH(("Yes"),(O261))))</formula>
    </cfRule>
  </conditionalFormatting>
  <conditionalFormatting sqref="O261:O264 O267:Q269 O275:Q275 P256:Q256 P258:Q264">
    <cfRule type="containsText" dxfId="2" priority="44626" operator="containsText" text="Yes">
      <formula>NOT(ISERROR(SEARCH(("Yes"),(O261))))</formula>
    </cfRule>
  </conditionalFormatting>
  <conditionalFormatting sqref="O261:O264 O267:Q269 O275:Q275 P256:Q256 P258:Q264">
    <cfRule type="containsText" dxfId="2" priority="44627" operator="containsText" text="Yes">
      <formula>NOT(ISERROR(SEARCH(("Yes"),(O261))))</formula>
    </cfRule>
  </conditionalFormatting>
  <conditionalFormatting sqref="O261:O264 O267:Q269 O275:Q275 P256:Q256 P258:Q264">
    <cfRule type="containsText" dxfId="2" priority="44628" operator="containsText" text="Yes">
      <formula>NOT(ISERROR(SEARCH(("Yes"),(O261))))</formula>
    </cfRule>
  </conditionalFormatting>
  <conditionalFormatting sqref="O261:O264 O267:Q269 O275:Q275 P256:Q256 P258:Q264">
    <cfRule type="containsText" dxfId="2" priority="44629" operator="containsText" text="Yes">
      <formula>NOT(ISERROR(SEARCH(("Yes"),(O261))))</formula>
    </cfRule>
  </conditionalFormatting>
  <conditionalFormatting sqref="O261:O264 O267:Q269 O275:Q275 P256:Q256 P258:Q264">
    <cfRule type="containsText" dxfId="2" priority="44630" operator="containsText" text="Yes">
      <formula>NOT(ISERROR(SEARCH(("Yes"),(O261))))</formula>
    </cfRule>
  </conditionalFormatting>
  <conditionalFormatting sqref="O261:O264 O267:Q269 O275:Q275 P256:Q256 P258:Q264">
    <cfRule type="containsText" dxfId="2" priority="44631" operator="containsText" text="Yes">
      <formula>NOT(ISERROR(SEARCH(("Yes"),(O261))))</formula>
    </cfRule>
  </conditionalFormatting>
  <conditionalFormatting sqref="O261:O264 O267:Q269 O275:Q275 P256:Q256 P258:Q264">
    <cfRule type="containsText" dxfId="2" priority="44632" operator="containsText" text="Yes">
      <formula>NOT(ISERROR(SEARCH(("Yes"),(O261))))</formula>
    </cfRule>
  </conditionalFormatting>
  <conditionalFormatting sqref="P257:Q257">
    <cfRule type="containsText" dxfId="9" priority="44633" operator="containsText" text="No">
      <formula>NOT(ISERROR(SEARCH(("No"),(P257))))</formula>
    </cfRule>
  </conditionalFormatting>
  <conditionalFormatting sqref="P257:Q257">
    <cfRule type="containsText" dxfId="9" priority="44634" operator="containsText" text="No">
      <formula>NOT(ISERROR(SEARCH(("No"),(P257))))</formula>
    </cfRule>
  </conditionalFormatting>
  <conditionalFormatting sqref="P257:Q257">
    <cfRule type="containsText" dxfId="9" priority="44635" operator="containsText" text="No">
      <formula>NOT(ISERROR(SEARCH(("No"),(P257))))</formula>
    </cfRule>
  </conditionalFormatting>
  <conditionalFormatting sqref="P257:Q257">
    <cfRule type="containsText" dxfId="9" priority="44636" operator="containsText" text="No">
      <formula>NOT(ISERROR(SEARCH(("No"),(P257))))</formula>
    </cfRule>
  </conditionalFormatting>
  <conditionalFormatting sqref="P257:Q257">
    <cfRule type="containsText" dxfId="9" priority="44637" operator="containsText" text="No">
      <formula>NOT(ISERROR(SEARCH(("No"),(P257))))</formula>
    </cfRule>
  </conditionalFormatting>
  <conditionalFormatting sqref="P257:Q257">
    <cfRule type="containsText" dxfId="9" priority="44638" operator="containsText" text="No">
      <formula>NOT(ISERROR(SEARCH(("No"),(P257))))</formula>
    </cfRule>
  </conditionalFormatting>
  <conditionalFormatting sqref="P257:Q257">
    <cfRule type="containsText" dxfId="9" priority="44639" operator="containsText" text="No">
      <formula>NOT(ISERROR(SEARCH(("No"),(P257))))</formula>
    </cfRule>
  </conditionalFormatting>
  <conditionalFormatting sqref="P257:Q257">
    <cfRule type="containsText" dxfId="9" priority="44640" operator="containsText" text="No">
      <formula>NOT(ISERROR(SEARCH(("No"),(P257))))</formula>
    </cfRule>
  </conditionalFormatting>
  <conditionalFormatting sqref="P257:Q257">
    <cfRule type="containsText" dxfId="9" priority="44641" operator="containsText" text="No">
      <formula>NOT(ISERROR(SEARCH(("No"),(P257))))</formula>
    </cfRule>
  </conditionalFormatting>
  <conditionalFormatting sqref="P257:Q257">
    <cfRule type="containsText" dxfId="9" priority="44642" operator="containsText" text="No">
      <formula>NOT(ISERROR(SEARCH(("No"),(P257))))</formula>
    </cfRule>
  </conditionalFormatting>
  <conditionalFormatting sqref="P257:Q257">
    <cfRule type="containsText" dxfId="9" priority="44643" operator="containsText" text="No">
      <formula>NOT(ISERROR(SEARCH(("No"),(P257))))</formula>
    </cfRule>
  </conditionalFormatting>
  <conditionalFormatting sqref="P257:Q257">
    <cfRule type="containsText" dxfId="9" priority="44644" operator="containsText" text="No">
      <formula>NOT(ISERROR(SEARCH(("No"),(P257))))</formula>
    </cfRule>
  </conditionalFormatting>
  <conditionalFormatting sqref="P257:Q257">
    <cfRule type="containsText" dxfId="9" priority="44645" operator="containsText" text="No">
      <formula>NOT(ISERROR(SEARCH(("No"),(P257))))</formula>
    </cfRule>
  </conditionalFormatting>
  <conditionalFormatting sqref="P257:Q257">
    <cfRule type="containsText" dxfId="9" priority="44646" operator="containsText" text="No">
      <formula>NOT(ISERROR(SEARCH(("No"),(P257))))</formula>
    </cfRule>
  </conditionalFormatting>
  <conditionalFormatting sqref="P257:Q257">
    <cfRule type="containsText" dxfId="9" priority="44647" operator="containsText" text="No">
      <formula>NOT(ISERROR(SEARCH(("No"),(P257))))</formula>
    </cfRule>
  </conditionalFormatting>
  <conditionalFormatting sqref="P257:Q257">
    <cfRule type="containsText" dxfId="9" priority="44648" operator="containsText" text="No">
      <formula>NOT(ISERROR(SEARCH(("No"),(P257))))</formula>
    </cfRule>
  </conditionalFormatting>
  <conditionalFormatting sqref="P257:Q257">
    <cfRule type="containsText" dxfId="9" priority="44649" operator="containsText" text="No">
      <formula>NOT(ISERROR(SEARCH(("No"),(P257))))</formula>
    </cfRule>
  </conditionalFormatting>
  <conditionalFormatting sqref="P257:Q257">
    <cfRule type="containsText" dxfId="9" priority="44650" operator="containsText" text="No">
      <formula>NOT(ISERROR(SEARCH(("No"),(P257))))</formula>
    </cfRule>
  </conditionalFormatting>
  <conditionalFormatting sqref="P257:Q257">
    <cfRule type="containsText" dxfId="9" priority="44651" operator="containsText" text="No">
      <formula>NOT(ISERROR(SEARCH(("No"),(P257))))</formula>
    </cfRule>
  </conditionalFormatting>
  <conditionalFormatting sqref="P257:Q257">
    <cfRule type="containsText" dxfId="9" priority="44652" operator="containsText" text="No">
      <formula>NOT(ISERROR(SEARCH(("No"),(P257))))</formula>
    </cfRule>
  </conditionalFormatting>
  <conditionalFormatting sqref="P257:Q257">
    <cfRule type="containsText" dxfId="9" priority="44653" operator="containsText" text="No">
      <formula>NOT(ISERROR(SEARCH(("No"),(P257))))</formula>
    </cfRule>
  </conditionalFormatting>
  <conditionalFormatting sqref="P257:Q257">
    <cfRule type="containsText" dxfId="9" priority="44654" operator="containsText" text="No">
      <formula>NOT(ISERROR(SEARCH(("No"),(P257))))</formula>
    </cfRule>
  </conditionalFormatting>
  <conditionalFormatting sqref="P257:Q257">
    <cfRule type="containsText" dxfId="9" priority="44655" operator="containsText" text="No">
      <formula>NOT(ISERROR(SEARCH(("No"),(P257))))</formula>
    </cfRule>
  </conditionalFormatting>
  <conditionalFormatting sqref="P257:Q257">
    <cfRule type="containsText" dxfId="9" priority="44656" operator="containsText" text="No">
      <formula>NOT(ISERROR(SEARCH(("No"),(P257))))</formula>
    </cfRule>
  </conditionalFormatting>
  <conditionalFormatting sqref="P257:Q257">
    <cfRule type="containsText" dxfId="9" priority="44657" operator="containsText" text="No">
      <formula>NOT(ISERROR(SEARCH(("No"),(P257))))</formula>
    </cfRule>
  </conditionalFormatting>
  <conditionalFormatting sqref="P257:Q257">
    <cfRule type="containsText" dxfId="9" priority="44658" operator="containsText" text="No">
      <formula>NOT(ISERROR(SEARCH(("No"),(P257))))</formula>
    </cfRule>
  </conditionalFormatting>
  <conditionalFormatting sqref="P257:Q257">
    <cfRule type="containsText" dxfId="9" priority="44659" operator="containsText" text="No">
      <formula>NOT(ISERROR(SEARCH(("No"),(P257))))</formula>
    </cfRule>
  </conditionalFormatting>
  <conditionalFormatting sqref="P257:Q257">
    <cfRule type="containsText" dxfId="9" priority="44660" operator="containsText" text="No">
      <formula>NOT(ISERROR(SEARCH(("No"),(P257))))</formula>
    </cfRule>
  </conditionalFormatting>
  <conditionalFormatting sqref="P257:Q257">
    <cfRule type="containsText" dxfId="9" priority="44661" operator="containsText" text="No">
      <formula>NOT(ISERROR(SEARCH(("No"),(P257))))</formula>
    </cfRule>
  </conditionalFormatting>
  <conditionalFormatting sqref="P257:Q257">
    <cfRule type="containsText" dxfId="9" priority="44662" operator="containsText" text="No">
      <formula>NOT(ISERROR(SEARCH(("No"),(P257))))</formula>
    </cfRule>
  </conditionalFormatting>
  <conditionalFormatting sqref="P257:Q257">
    <cfRule type="containsText" dxfId="9" priority="44663" operator="containsText" text="No">
      <formula>NOT(ISERROR(SEARCH(("No"),(P257))))</formula>
    </cfRule>
  </conditionalFormatting>
  <conditionalFormatting sqref="P257:Q257">
    <cfRule type="containsText" dxfId="9" priority="44664" operator="containsText" text="No">
      <formula>NOT(ISERROR(SEARCH(("No"),(P257))))</formula>
    </cfRule>
  </conditionalFormatting>
  <conditionalFormatting sqref="P257:Q257">
    <cfRule type="containsText" dxfId="9" priority="44665" operator="containsText" text="No">
      <formula>NOT(ISERROR(SEARCH(("No"),(P257))))</formula>
    </cfRule>
  </conditionalFormatting>
  <conditionalFormatting sqref="P257:Q257">
    <cfRule type="containsText" dxfId="9" priority="44666" operator="containsText" text="No">
      <formula>NOT(ISERROR(SEARCH(("No"),(P257))))</formula>
    </cfRule>
  </conditionalFormatting>
  <conditionalFormatting sqref="P257:Q257">
    <cfRule type="containsText" dxfId="9" priority="44667" operator="containsText" text="No">
      <formula>NOT(ISERROR(SEARCH(("No"),(P257))))</formula>
    </cfRule>
  </conditionalFormatting>
  <conditionalFormatting sqref="P257:Q257">
    <cfRule type="containsText" dxfId="9" priority="44668" operator="containsText" text="No">
      <formula>NOT(ISERROR(SEARCH(("No"),(P257))))</formula>
    </cfRule>
  </conditionalFormatting>
  <conditionalFormatting sqref="P257:Q257">
    <cfRule type="containsText" dxfId="9" priority="44669" operator="containsText" text="No">
      <formula>NOT(ISERROR(SEARCH(("No"),(P257))))</formula>
    </cfRule>
  </conditionalFormatting>
  <conditionalFormatting sqref="P257:Q257">
    <cfRule type="containsText" dxfId="9" priority="44670" operator="containsText" text="No">
      <formula>NOT(ISERROR(SEARCH(("No"),(P257))))</formula>
    </cfRule>
  </conditionalFormatting>
  <conditionalFormatting sqref="P257:Q257">
    <cfRule type="containsText" dxfId="9" priority="44671" operator="containsText" text="No">
      <formula>NOT(ISERROR(SEARCH(("No"),(P257))))</formula>
    </cfRule>
  </conditionalFormatting>
  <conditionalFormatting sqref="P257:Q257">
    <cfRule type="containsText" dxfId="9" priority="44672" operator="containsText" text="No">
      <formula>NOT(ISERROR(SEARCH(("No"),(P257))))</formula>
    </cfRule>
  </conditionalFormatting>
  <conditionalFormatting sqref="P257:Q257">
    <cfRule type="containsText" dxfId="9" priority="44673" operator="containsText" text="No">
      <formula>NOT(ISERROR(SEARCH(("No"),(P257))))</formula>
    </cfRule>
  </conditionalFormatting>
  <conditionalFormatting sqref="P257:Q257">
    <cfRule type="containsText" dxfId="9" priority="44674" operator="containsText" text="No">
      <formula>NOT(ISERROR(SEARCH(("No"),(P257))))</formula>
    </cfRule>
  </conditionalFormatting>
  <conditionalFormatting sqref="P257:Q257">
    <cfRule type="containsText" dxfId="9" priority="44675" operator="containsText" text="No">
      <formula>NOT(ISERROR(SEARCH(("No"),(P257))))</formula>
    </cfRule>
  </conditionalFormatting>
  <conditionalFormatting sqref="P257:Q257">
    <cfRule type="containsText" dxfId="9" priority="44676" operator="containsText" text="No">
      <formula>NOT(ISERROR(SEARCH(("No"),(P257))))</formula>
    </cfRule>
  </conditionalFormatting>
  <conditionalFormatting sqref="P257:Q257">
    <cfRule type="containsText" dxfId="9" priority="44677" operator="containsText" text="No">
      <formula>NOT(ISERROR(SEARCH(("No"),(P257))))</formula>
    </cfRule>
  </conditionalFormatting>
  <conditionalFormatting sqref="P257:Q257">
    <cfRule type="containsText" dxfId="2" priority="44678" operator="containsText" text="Yes">
      <formula>NOT(ISERROR(SEARCH(("Yes"),(P257))))</formula>
    </cfRule>
  </conditionalFormatting>
  <conditionalFormatting sqref="P257:Q257">
    <cfRule type="containsText" dxfId="2" priority="44679" operator="containsText" text="Yes">
      <formula>NOT(ISERROR(SEARCH(("Yes"),(P257))))</formula>
    </cfRule>
  </conditionalFormatting>
  <conditionalFormatting sqref="P257:Q257">
    <cfRule type="containsText" dxfId="2" priority="44680" operator="containsText" text="Yes">
      <formula>NOT(ISERROR(SEARCH(("Yes"),(P257))))</formula>
    </cfRule>
  </conditionalFormatting>
  <conditionalFormatting sqref="P257:Q257">
    <cfRule type="containsText" dxfId="2" priority="44681" operator="containsText" text="Yes">
      <formula>NOT(ISERROR(SEARCH(("Yes"),(P257))))</formula>
    </cfRule>
  </conditionalFormatting>
  <conditionalFormatting sqref="P257:Q257">
    <cfRule type="containsText" dxfId="2" priority="44682" operator="containsText" text="Yes">
      <formula>NOT(ISERROR(SEARCH(("Yes"),(P257))))</formula>
    </cfRule>
  </conditionalFormatting>
  <conditionalFormatting sqref="P257:Q257">
    <cfRule type="containsText" dxfId="2" priority="44683" operator="containsText" text="Yes">
      <formula>NOT(ISERROR(SEARCH(("Yes"),(P257))))</formula>
    </cfRule>
  </conditionalFormatting>
  <conditionalFormatting sqref="P257:Q257">
    <cfRule type="containsText" dxfId="2" priority="44684" operator="containsText" text="Yes">
      <formula>NOT(ISERROR(SEARCH(("Yes"),(P257))))</formula>
    </cfRule>
  </conditionalFormatting>
  <conditionalFormatting sqref="P257:Q257">
    <cfRule type="containsText" dxfId="2" priority="44685" operator="containsText" text="Yes">
      <formula>NOT(ISERROR(SEARCH(("Yes"),(P257))))</formula>
    </cfRule>
  </conditionalFormatting>
  <conditionalFormatting sqref="P257:Q257">
    <cfRule type="containsText" dxfId="2" priority="44686" operator="containsText" text="Yes">
      <formula>NOT(ISERROR(SEARCH(("Yes"),(P257))))</formula>
    </cfRule>
  </conditionalFormatting>
  <conditionalFormatting sqref="P257:Q257">
    <cfRule type="containsText" dxfId="2" priority="44687" operator="containsText" text="Yes">
      <formula>NOT(ISERROR(SEARCH(("Yes"),(P257))))</formula>
    </cfRule>
  </conditionalFormatting>
  <conditionalFormatting sqref="P257:Q257">
    <cfRule type="containsText" dxfId="2" priority="44688" operator="containsText" text="Yes">
      <formula>NOT(ISERROR(SEARCH(("Yes"),(P257))))</formula>
    </cfRule>
  </conditionalFormatting>
  <conditionalFormatting sqref="P257:Q257">
    <cfRule type="containsText" dxfId="2" priority="44689" operator="containsText" text="Yes">
      <formula>NOT(ISERROR(SEARCH(("Yes"),(P257))))</formula>
    </cfRule>
  </conditionalFormatting>
  <conditionalFormatting sqref="P257:Q257">
    <cfRule type="containsText" dxfId="2" priority="44690" operator="containsText" text="Yes">
      <formula>NOT(ISERROR(SEARCH(("Yes"),(P257))))</formula>
    </cfRule>
  </conditionalFormatting>
  <conditionalFormatting sqref="P257:Q257">
    <cfRule type="containsText" dxfId="2" priority="44691" operator="containsText" text="Yes">
      <formula>NOT(ISERROR(SEARCH(("Yes"),(P257))))</formula>
    </cfRule>
  </conditionalFormatting>
  <conditionalFormatting sqref="P257:Q257">
    <cfRule type="containsText" dxfId="2" priority="44692" operator="containsText" text="Yes">
      <formula>NOT(ISERROR(SEARCH(("Yes"),(P257))))</formula>
    </cfRule>
  </conditionalFormatting>
  <conditionalFormatting sqref="P257:Q257">
    <cfRule type="containsText" dxfId="2" priority="44693" operator="containsText" text="Yes">
      <formula>NOT(ISERROR(SEARCH(("Yes"),(P257))))</formula>
    </cfRule>
  </conditionalFormatting>
  <conditionalFormatting sqref="P257:Q257">
    <cfRule type="containsText" dxfId="2" priority="44694" operator="containsText" text="Yes">
      <formula>NOT(ISERROR(SEARCH(("Yes"),(P257))))</formula>
    </cfRule>
  </conditionalFormatting>
  <conditionalFormatting sqref="P257:Q257">
    <cfRule type="containsText" dxfId="2" priority="44695" operator="containsText" text="Yes">
      <formula>NOT(ISERROR(SEARCH(("Yes"),(P257))))</formula>
    </cfRule>
  </conditionalFormatting>
  <conditionalFormatting sqref="P257:Q257">
    <cfRule type="containsText" dxfId="2" priority="44696" operator="containsText" text="Yes">
      <formula>NOT(ISERROR(SEARCH(("Yes"),(P257))))</formula>
    </cfRule>
  </conditionalFormatting>
  <conditionalFormatting sqref="P257:Q257">
    <cfRule type="containsText" dxfId="2" priority="44697" operator="containsText" text="Yes">
      <formula>NOT(ISERROR(SEARCH(("Yes"),(P257))))</formula>
    </cfRule>
  </conditionalFormatting>
  <conditionalFormatting sqref="P257:Q257">
    <cfRule type="containsText" dxfId="2" priority="44698" operator="containsText" text="Yes">
      <formula>NOT(ISERROR(SEARCH(("Yes"),(P257))))</formula>
    </cfRule>
  </conditionalFormatting>
  <conditionalFormatting sqref="P257:Q257">
    <cfRule type="containsText" dxfId="2" priority="44699" operator="containsText" text="Yes">
      <formula>NOT(ISERROR(SEARCH(("Yes"),(P257))))</formula>
    </cfRule>
  </conditionalFormatting>
  <conditionalFormatting sqref="P257:Q257">
    <cfRule type="containsText" dxfId="2" priority="44700" operator="containsText" text="Yes">
      <formula>NOT(ISERROR(SEARCH(("Yes"),(P257))))</formula>
    </cfRule>
  </conditionalFormatting>
  <conditionalFormatting sqref="P257:Q257">
    <cfRule type="containsText" dxfId="2" priority="44701" operator="containsText" text="Yes">
      <formula>NOT(ISERROR(SEARCH(("Yes"),(P257))))</formula>
    </cfRule>
  </conditionalFormatting>
  <conditionalFormatting sqref="P257:Q257">
    <cfRule type="containsText" dxfId="2" priority="44702" operator="containsText" text="Yes">
      <formula>NOT(ISERROR(SEARCH(("Yes"),(P257))))</formula>
    </cfRule>
  </conditionalFormatting>
  <conditionalFormatting sqref="P257:Q257">
    <cfRule type="containsText" dxfId="2" priority="44703" operator="containsText" text="Yes">
      <formula>NOT(ISERROR(SEARCH(("Yes"),(P257))))</formula>
    </cfRule>
  </conditionalFormatting>
  <conditionalFormatting sqref="P257:Q257">
    <cfRule type="containsText" dxfId="2" priority="44704" operator="containsText" text="Yes">
      <formula>NOT(ISERROR(SEARCH(("Yes"),(P257))))</formula>
    </cfRule>
  </conditionalFormatting>
  <conditionalFormatting sqref="P257:Q257">
    <cfRule type="containsText" dxfId="2" priority="44705" operator="containsText" text="Yes">
      <formula>NOT(ISERROR(SEARCH(("Yes"),(P257))))</formula>
    </cfRule>
  </conditionalFormatting>
  <conditionalFormatting sqref="P257:Q257">
    <cfRule type="containsText" dxfId="2" priority="44706" operator="containsText" text="Yes">
      <formula>NOT(ISERROR(SEARCH(("Yes"),(P257))))</formula>
    </cfRule>
  </conditionalFormatting>
  <conditionalFormatting sqref="P257:Q257">
    <cfRule type="containsText" dxfId="2" priority="44707" operator="containsText" text="Yes">
      <formula>NOT(ISERROR(SEARCH(("Yes"),(P257))))</formula>
    </cfRule>
  </conditionalFormatting>
  <conditionalFormatting sqref="P257:Q257">
    <cfRule type="containsText" dxfId="2" priority="44708" operator="containsText" text="Yes">
      <formula>NOT(ISERROR(SEARCH(("Yes"),(P257))))</formula>
    </cfRule>
  </conditionalFormatting>
  <conditionalFormatting sqref="P257:Q257">
    <cfRule type="containsText" dxfId="2" priority="44709" operator="containsText" text="Yes">
      <formula>NOT(ISERROR(SEARCH(("Yes"),(P257))))</formula>
    </cfRule>
  </conditionalFormatting>
  <conditionalFormatting sqref="P257:Q257">
    <cfRule type="containsText" dxfId="2" priority="44710" operator="containsText" text="Yes">
      <formula>NOT(ISERROR(SEARCH(("Yes"),(P257))))</formula>
    </cfRule>
  </conditionalFormatting>
  <conditionalFormatting sqref="P257:Q257">
    <cfRule type="containsText" dxfId="2" priority="44711" operator="containsText" text="Yes">
      <formula>NOT(ISERROR(SEARCH(("Yes"),(P257))))</formula>
    </cfRule>
  </conditionalFormatting>
  <conditionalFormatting sqref="P257:Q257">
    <cfRule type="containsText" dxfId="2" priority="44712" operator="containsText" text="Yes">
      <formula>NOT(ISERROR(SEARCH(("Yes"),(P257))))</formula>
    </cfRule>
  </conditionalFormatting>
  <conditionalFormatting sqref="P257:Q257">
    <cfRule type="containsText" dxfId="2" priority="44713" operator="containsText" text="Yes">
      <formula>NOT(ISERROR(SEARCH(("Yes"),(P257))))</formula>
    </cfRule>
  </conditionalFormatting>
  <conditionalFormatting sqref="P257:Q257">
    <cfRule type="containsText" dxfId="2" priority="44714" operator="containsText" text="Yes">
      <formula>NOT(ISERROR(SEARCH(("Yes"),(P257))))</formula>
    </cfRule>
  </conditionalFormatting>
  <conditionalFormatting sqref="P257:Q257">
    <cfRule type="containsText" dxfId="2" priority="44715" operator="containsText" text="Yes">
      <formula>NOT(ISERROR(SEARCH(("Yes"),(P257))))</formula>
    </cfRule>
  </conditionalFormatting>
  <conditionalFormatting sqref="P257:Q257">
    <cfRule type="containsText" dxfId="2" priority="44716" operator="containsText" text="Yes">
      <formula>NOT(ISERROR(SEARCH(("Yes"),(P257))))</formula>
    </cfRule>
  </conditionalFormatting>
  <conditionalFormatting sqref="P257:Q257">
    <cfRule type="containsText" dxfId="2" priority="44717" operator="containsText" text="Yes">
      <formula>NOT(ISERROR(SEARCH(("Yes"),(P257))))</formula>
    </cfRule>
  </conditionalFormatting>
  <conditionalFormatting sqref="P257:Q257">
    <cfRule type="containsText" dxfId="2" priority="44718" operator="containsText" text="Yes">
      <formula>NOT(ISERROR(SEARCH(("Yes"),(P257))))</formula>
    </cfRule>
  </conditionalFormatting>
  <conditionalFormatting sqref="P257:Q257">
    <cfRule type="containsText" dxfId="2" priority="44719" operator="containsText" text="Yes">
      <formula>NOT(ISERROR(SEARCH(("Yes"),(P257))))</formula>
    </cfRule>
  </conditionalFormatting>
  <conditionalFormatting sqref="P257:Q257">
    <cfRule type="containsText" dxfId="2" priority="44720" operator="containsText" text="Yes">
      <formula>NOT(ISERROR(SEARCH(("Yes"),(P257))))</formula>
    </cfRule>
  </conditionalFormatting>
  <conditionalFormatting sqref="P257:Q257">
    <cfRule type="containsText" dxfId="2" priority="44721" operator="containsText" text="Yes">
      <formula>NOT(ISERROR(SEARCH(("Yes"),(P257))))</formula>
    </cfRule>
  </conditionalFormatting>
  <conditionalFormatting sqref="P257:Q257">
    <cfRule type="containsText" dxfId="2" priority="44722" operator="containsText" text="Yes">
      <formula>NOT(ISERROR(SEARCH(("Yes"),(P257))))</formula>
    </cfRule>
  </conditionalFormatting>
  <conditionalFormatting sqref="P257:Q257">
    <cfRule type="containsText" dxfId="2" priority="44723" operator="containsText" text="Yes">
      <formula>NOT(ISERROR(SEARCH(("Yes"),(P257))))</formula>
    </cfRule>
  </conditionalFormatting>
  <conditionalFormatting sqref="P257:Q257">
    <cfRule type="containsText" dxfId="2" priority="44724" operator="containsText" text="Yes">
      <formula>NOT(ISERROR(SEARCH(("Yes"),(P257))))</formula>
    </cfRule>
  </conditionalFormatting>
  <conditionalFormatting sqref="O261:O264 O267:Q269 O275:Q275 P258:Q264">
    <cfRule type="containsText" dxfId="9" priority="44725" operator="containsText" text="No">
      <formula>NOT(ISERROR(SEARCH(("No"),(O261))))</formula>
    </cfRule>
  </conditionalFormatting>
  <conditionalFormatting sqref="O261:O264 O267:Q269 O275:Q275 P258:Q264">
    <cfRule type="containsText" dxfId="9" priority="44726" operator="containsText" text="No">
      <formula>NOT(ISERROR(SEARCH(("No"),(O261))))</formula>
    </cfRule>
  </conditionalFormatting>
  <conditionalFormatting sqref="O261:O264 O267:Q269 O275:Q275 P258:Q264">
    <cfRule type="containsText" dxfId="9" priority="44727" operator="containsText" text="No">
      <formula>NOT(ISERROR(SEARCH(("No"),(O261))))</formula>
    </cfRule>
  </conditionalFormatting>
  <conditionalFormatting sqref="O261:O264 O267:Q269 O275:Q275 P258:Q264">
    <cfRule type="containsText" dxfId="9" priority="44728" operator="containsText" text="No">
      <formula>NOT(ISERROR(SEARCH(("No"),(O261))))</formula>
    </cfRule>
  </conditionalFormatting>
  <conditionalFormatting sqref="O261:O264 O267:Q269 O275:Q275 P258:Q264">
    <cfRule type="containsText" dxfId="9" priority="44729" operator="containsText" text="No">
      <formula>NOT(ISERROR(SEARCH(("No"),(O261))))</formula>
    </cfRule>
  </conditionalFormatting>
  <conditionalFormatting sqref="O261:O264 O267:Q269 O275:Q275 P258:Q264">
    <cfRule type="containsText" dxfId="9" priority="44730" operator="containsText" text="No">
      <formula>NOT(ISERROR(SEARCH(("No"),(O261))))</formula>
    </cfRule>
  </conditionalFormatting>
  <conditionalFormatting sqref="O261:O264 O267:Q269 O275:Q275 P258:Q264">
    <cfRule type="containsText" dxfId="9" priority="44731" operator="containsText" text="No">
      <formula>NOT(ISERROR(SEARCH(("No"),(O261))))</formula>
    </cfRule>
  </conditionalFormatting>
  <conditionalFormatting sqref="O261:O264 O267:Q269 O275:Q275 P258:Q264">
    <cfRule type="containsText" dxfId="9" priority="44732" operator="containsText" text="No">
      <formula>NOT(ISERROR(SEARCH(("No"),(O261))))</formula>
    </cfRule>
  </conditionalFormatting>
  <conditionalFormatting sqref="O261:O264 O267:Q269 O275:Q275 P258:Q264">
    <cfRule type="containsText" dxfId="9" priority="44733" operator="containsText" text="No">
      <formula>NOT(ISERROR(SEARCH(("No"),(O261))))</formula>
    </cfRule>
  </conditionalFormatting>
  <conditionalFormatting sqref="O261:O264 O267:Q269 O275:Q275 P258:Q264">
    <cfRule type="containsText" dxfId="9" priority="44734" operator="containsText" text="No">
      <formula>NOT(ISERROR(SEARCH(("No"),(O261))))</formula>
    </cfRule>
  </conditionalFormatting>
  <conditionalFormatting sqref="O261:O264 O267:Q269 O275:Q275 P258:Q264">
    <cfRule type="containsText" dxfId="9" priority="44735" operator="containsText" text="No">
      <formula>NOT(ISERROR(SEARCH(("No"),(O261))))</formula>
    </cfRule>
  </conditionalFormatting>
  <conditionalFormatting sqref="O261:O264 O267:Q269 O275:Q275 P258:Q264">
    <cfRule type="containsText" dxfId="9" priority="44736" operator="containsText" text="No">
      <formula>NOT(ISERROR(SEARCH(("No"),(O261))))</formula>
    </cfRule>
  </conditionalFormatting>
  <conditionalFormatting sqref="O261:O264 O267:Q269 O275:Q275 P258:Q264">
    <cfRule type="containsText" dxfId="9" priority="44737" operator="containsText" text="No">
      <formula>NOT(ISERROR(SEARCH(("No"),(O261))))</formula>
    </cfRule>
  </conditionalFormatting>
  <conditionalFormatting sqref="O261:O264 O267:Q269 O275:Q275 P258:Q264">
    <cfRule type="containsText" dxfId="9" priority="44738" operator="containsText" text="No">
      <formula>NOT(ISERROR(SEARCH(("No"),(O261))))</formula>
    </cfRule>
  </conditionalFormatting>
  <conditionalFormatting sqref="O261:O264 O267:Q269 O275:Q275 P258:Q264">
    <cfRule type="containsText" dxfId="9" priority="44739" operator="containsText" text="No">
      <formula>NOT(ISERROR(SEARCH(("No"),(O261))))</formula>
    </cfRule>
  </conditionalFormatting>
  <conditionalFormatting sqref="O261:O264 O267:Q269 O275:Q275 P258:Q264">
    <cfRule type="containsText" dxfId="9" priority="44740" operator="containsText" text="No">
      <formula>NOT(ISERROR(SEARCH(("No"),(O261))))</formula>
    </cfRule>
  </conditionalFormatting>
  <conditionalFormatting sqref="O261:O264 O267:Q269 O275:Q275 P258:Q264">
    <cfRule type="containsText" dxfId="9" priority="44741" operator="containsText" text="No">
      <formula>NOT(ISERROR(SEARCH(("No"),(O261))))</formula>
    </cfRule>
  </conditionalFormatting>
  <conditionalFormatting sqref="O261:O264 O267:Q269 O275:Q275 P258:Q264">
    <cfRule type="containsText" dxfId="9" priority="44742" operator="containsText" text="No">
      <formula>NOT(ISERROR(SEARCH(("No"),(O261))))</formula>
    </cfRule>
  </conditionalFormatting>
  <conditionalFormatting sqref="O261:O264 O267:Q269 O275:Q275 P258:Q264">
    <cfRule type="containsText" dxfId="9" priority="44743" operator="containsText" text="No">
      <formula>NOT(ISERROR(SEARCH(("No"),(O261))))</formula>
    </cfRule>
  </conditionalFormatting>
  <conditionalFormatting sqref="O261:O264 O267:Q269 O275:Q275 P258:Q264">
    <cfRule type="containsText" dxfId="9" priority="44744" operator="containsText" text="No">
      <formula>NOT(ISERROR(SEARCH(("No"),(O261))))</formula>
    </cfRule>
  </conditionalFormatting>
  <conditionalFormatting sqref="O261:O264 O267:Q269 O275:Q275 P258:Q264">
    <cfRule type="containsText" dxfId="9" priority="44745" operator="containsText" text="No">
      <formula>NOT(ISERROR(SEARCH(("No"),(O261))))</formula>
    </cfRule>
  </conditionalFormatting>
  <conditionalFormatting sqref="O261:O264 O267:Q269 O275:Q275 P258:Q264">
    <cfRule type="containsText" dxfId="9" priority="44746" operator="containsText" text="No">
      <formula>NOT(ISERROR(SEARCH(("No"),(O261))))</formula>
    </cfRule>
  </conditionalFormatting>
  <conditionalFormatting sqref="O261:O264 O267:Q269 O275:Q275 P258:Q264">
    <cfRule type="containsText" dxfId="9" priority="44747" operator="containsText" text="No">
      <formula>NOT(ISERROR(SEARCH(("No"),(O261))))</formula>
    </cfRule>
  </conditionalFormatting>
  <conditionalFormatting sqref="O261:O264 O267:Q269 O275:Q275 P258:Q264">
    <cfRule type="containsText" dxfId="9" priority="44748" operator="containsText" text="No">
      <formula>NOT(ISERROR(SEARCH(("No"),(O261))))</formula>
    </cfRule>
  </conditionalFormatting>
  <conditionalFormatting sqref="O261:O264 O267:Q269 O275:Q275 P258:Q264">
    <cfRule type="containsText" dxfId="9" priority="44749" operator="containsText" text="No">
      <formula>NOT(ISERROR(SEARCH(("No"),(O261))))</formula>
    </cfRule>
  </conditionalFormatting>
  <conditionalFormatting sqref="O261:O264 O267:Q269 O275:Q275 P258:Q264">
    <cfRule type="containsText" dxfId="9" priority="44750" operator="containsText" text="No">
      <formula>NOT(ISERROR(SEARCH(("No"),(O261))))</formula>
    </cfRule>
  </conditionalFormatting>
  <conditionalFormatting sqref="O261:O264 O267:Q269 O275:Q275 P258:Q264">
    <cfRule type="containsText" dxfId="9" priority="44751" operator="containsText" text="No">
      <formula>NOT(ISERROR(SEARCH(("No"),(O261))))</formula>
    </cfRule>
  </conditionalFormatting>
  <conditionalFormatting sqref="O261:O264 O267:Q269 O275:Q275 P258:Q264">
    <cfRule type="containsText" dxfId="9" priority="44752" operator="containsText" text="No">
      <formula>NOT(ISERROR(SEARCH(("No"),(O261))))</formula>
    </cfRule>
  </conditionalFormatting>
  <conditionalFormatting sqref="O261:O264 O267:Q269 O275:Q275 P258:Q264">
    <cfRule type="containsText" dxfId="9" priority="44753" operator="containsText" text="No">
      <formula>NOT(ISERROR(SEARCH(("No"),(O261))))</formula>
    </cfRule>
  </conditionalFormatting>
  <conditionalFormatting sqref="O261:O264 O267:Q269 O275:Q275 P258:Q264">
    <cfRule type="containsText" dxfId="9" priority="44754" operator="containsText" text="No">
      <formula>NOT(ISERROR(SEARCH(("No"),(O261))))</formula>
    </cfRule>
  </conditionalFormatting>
  <conditionalFormatting sqref="O261:O264 O267:Q269 O275:Q275 P258:Q264">
    <cfRule type="containsText" dxfId="9" priority="44755" operator="containsText" text="No">
      <formula>NOT(ISERROR(SEARCH(("No"),(O261))))</formula>
    </cfRule>
  </conditionalFormatting>
  <conditionalFormatting sqref="O261:O264 O267:Q269 O275:Q275 P258:Q264">
    <cfRule type="containsText" dxfId="9" priority="44756" operator="containsText" text="No">
      <formula>NOT(ISERROR(SEARCH(("No"),(O261))))</formula>
    </cfRule>
  </conditionalFormatting>
  <conditionalFormatting sqref="O261:O264 O267:Q269 O275:Q275 P258:Q264">
    <cfRule type="containsText" dxfId="9" priority="44757" operator="containsText" text="No">
      <formula>NOT(ISERROR(SEARCH(("No"),(O261))))</formula>
    </cfRule>
  </conditionalFormatting>
  <conditionalFormatting sqref="O261:O264 O267:Q269 O275:Q275 P258:Q264">
    <cfRule type="containsText" dxfId="9" priority="44758" operator="containsText" text="No">
      <formula>NOT(ISERROR(SEARCH(("No"),(O261))))</formula>
    </cfRule>
  </conditionalFormatting>
  <conditionalFormatting sqref="O261:O264 O267:Q269 O275:Q275 P258:Q264">
    <cfRule type="containsText" dxfId="9" priority="44759" operator="containsText" text="No">
      <formula>NOT(ISERROR(SEARCH(("No"),(O261))))</formula>
    </cfRule>
  </conditionalFormatting>
  <conditionalFormatting sqref="O261:O264 O267:Q269 O275:Q275 P258:Q264">
    <cfRule type="containsText" dxfId="9" priority="44760" operator="containsText" text="No">
      <formula>NOT(ISERROR(SEARCH(("No"),(O261))))</formula>
    </cfRule>
  </conditionalFormatting>
  <conditionalFormatting sqref="O261:O264 O267:Q269 O275:Q275 P258:Q264">
    <cfRule type="containsText" dxfId="9" priority="44761" operator="containsText" text="No">
      <formula>NOT(ISERROR(SEARCH(("No"),(O261))))</formula>
    </cfRule>
  </conditionalFormatting>
  <conditionalFormatting sqref="O261:O264 O267:Q269 O275:Q275 P258:Q264">
    <cfRule type="containsText" dxfId="9" priority="44762" operator="containsText" text="No">
      <formula>NOT(ISERROR(SEARCH(("No"),(O261))))</formula>
    </cfRule>
  </conditionalFormatting>
  <conditionalFormatting sqref="O261:O264 O267:Q269 O275:Q275 P258:Q264">
    <cfRule type="containsText" dxfId="9" priority="44763" operator="containsText" text="No">
      <formula>NOT(ISERROR(SEARCH(("No"),(O261))))</formula>
    </cfRule>
  </conditionalFormatting>
  <conditionalFormatting sqref="O261:O264 O267:Q269 O275:Q275 P258:Q264">
    <cfRule type="containsText" dxfId="9" priority="44764" operator="containsText" text="No">
      <formula>NOT(ISERROR(SEARCH(("No"),(O261))))</formula>
    </cfRule>
  </conditionalFormatting>
  <conditionalFormatting sqref="O261:O264 O267:Q269 O275:Q275 P258:Q264">
    <cfRule type="containsText" dxfId="9" priority="44765" operator="containsText" text="No">
      <formula>NOT(ISERROR(SEARCH(("No"),(O261))))</formula>
    </cfRule>
  </conditionalFormatting>
  <conditionalFormatting sqref="O261:O264 O267:Q269 O275:Q275 P258:Q264">
    <cfRule type="containsText" dxfId="9" priority="44766" operator="containsText" text="No">
      <formula>NOT(ISERROR(SEARCH(("No"),(O261))))</formula>
    </cfRule>
  </conditionalFormatting>
  <conditionalFormatting sqref="O261:O264 O267:Q269 O275:Q275 P258:Q264">
    <cfRule type="containsText" dxfId="9" priority="44767" operator="containsText" text="No">
      <formula>NOT(ISERROR(SEARCH(("No"),(O261))))</formula>
    </cfRule>
  </conditionalFormatting>
  <conditionalFormatting sqref="O261:O264 O267:Q269 O275:Q275 P258:Q264">
    <cfRule type="containsText" dxfId="9" priority="44768" operator="containsText" text="No">
      <formula>NOT(ISERROR(SEARCH(("No"),(O261))))</formula>
    </cfRule>
  </conditionalFormatting>
  <conditionalFormatting sqref="O261:O264 O267:Q269 O275:Q275 P258:Q264">
    <cfRule type="containsText" dxfId="9" priority="44769" operator="containsText" text="No">
      <formula>NOT(ISERROR(SEARCH(("No"),(O261))))</formula>
    </cfRule>
  </conditionalFormatting>
  <conditionalFormatting sqref="O261:O264 O267:Q269 O275:Q275 P258:Q264">
    <cfRule type="containsText" dxfId="2" priority="44770" operator="containsText" text="Yes">
      <formula>NOT(ISERROR(SEARCH(("Yes"),(O261))))</formula>
    </cfRule>
  </conditionalFormatting>
  <conditionalFormatting sqref="O261:O264 O267:Q269 O275:Q275 P258:Q264">
    <cfRule type="containsText" dxfId="2" priority="44771" operator="containsText" text="Yes">
      <formula>NOT(ISERROR(SEARCH(("Yes"),(O261))))</formula>
    </cfRule>
  </conditionalFormatting>
  <conditionalFormatting sqref="O261:O264 O267:Q269 O275:Q275 P258:Q264">
    <cfRule type="containsText" dxfId="2" priority="44772" operator="containsText" text="Yes">
      <formula>NOT(ISERROR(SEARCH(("Yes"),(O261))))</formula>
    </cfRule>
  </conditionalFormatting>
  <conditionalFormatting sqref="O261:O264 O267:Q269 O275:Q275 P258:Q264">
    <cfRule type="containsText" dxfId="2" priority="44773" operator="containsText" text="Yes">
      <formula>NOT(ISERROR(SEARCH(("Yes"),(O261))))</formula>
    </cfRule>
  </conditionalFormatting>
  <conditionalFormatting sqref="O261:O264 O267:Q269 O275:Q275 P258:Q264">
    <cfRule type="containsText" dxfId="2" priority="44774" operator="containsText" text="Yes">
      <formula>NOT(ISERROR(SEARCH(("Yes"),(O261))))</formula>
    </cfRule>
  </conditionalFormatting>
  <conditionalFormatting sqref="O261:O264 O267:Q269 O275:Q275 P258:Q264">
    <cfRule type="containsText" dxfId="2" priority="44775" operator="containsText" text="Yes">
      <formula>NOT(ISERROR(SEARCH(("Yes"),(O261))))</formula>
    </cfRule>
  </conditionalFormatting>
  <conditionalFormatting sqref="O261:O264 O267:Q269 O275:Q275 P258:Q264">
    <cfRule type="containsText" dxfId="2" priority="44776" operator="containsText" text="Yes">
      <formula>NOT(ISERROR(SEARCH(("Yes"),(O261))))</formula>
    </cfRule>
  </conditionalFormatting>
  <conditionalFormatting sqref="O261:O264 O267:Q269 O275:Q275 P258:Q264">
    <cfRule type="containsText" dxfId="2" priority="44777" operator="containsText" text="Yes">
      <formula>NOT(ISERROR(SEARCH(("Yes"),(O261))))</formula>
    </cfRule>
  </conditionalFormatting>
  <conditionalFormatting sqref="O261:O264 O267:Q269 O275:Q275 P258:Q264">
    <cfRule type="containsText" dxfId="2" priority="44778" operator="containsText" text="Yes">
      <formula>NOT(ISERROR(SEARCH(("Yes"),(O261))))</formula>
    </cfRule>
  </conditionalFormatting>
  <conditionalFormatting sqref="O261:O264 O267:Q269 O275:Q275 P258:Q264">
    <cfRule type="containsText" dxfId="2" priority="44779" operator="containsText" text="Yes">
      <formula>NOT(ISERROR(SEARCH(("Yes"),(O261))))</formula>
    </cfRule>
  </conditionalFormatting>
  <conditionalFormatting sqref="O261:O264 O267:Q269 O275:Q275 P258:Q264">
    <cfRule type="containsText" dxfId="2" priority="44780" operator="containsText" text="Yes">
      <formula>NOT(ISERROR(SEARCH(("Yes"),(O261))))</formula>
    </cfRule>
  </conditionalFormatting>
  <conditionalFormatting sqref="O261:O264 O267:Q269 O275:Q275 P258:Q264">
    <cfRule type="containsText" dxfId="2" priority="44781" operator="containsText" text="Yes">
      <formula>NOT(ISERROR(SEARCH(("Yes"),(O261))))</formula>
    </cfRule>
  </conditionalFormatting>
  <conditionalFormatting sqref="O261:O264 O267:Q269 O275:Q275 P258:Q264">
    <cfRule type="containsText" dxfId="2" priority="44782" operator="containsText" text="Yes">
      <formula>NOT(ISERROR(SEARCH(("Yes"),(O261))))</formula>
    </cfRule>
  </conditionalFormatting>
  <conditionalFormatting sqref="O261:O264 O267:Q269 O275:Q275 P258:Q264">
    <cfRule type="containsText" dxfId="2" priority="44783" operator="containsText" text="Yes">
      <formula>NOT(ISERROR(SEARCH(("Yes"),(O261))))</formula>
    </cfRule>
  </conditionalFormatting>
  <conditionalFormatting sqref="O261:O264 O267:Q269 O275:Q275 P258:Q264">
    <cfRule type="containsText" dxfId="2" priority="44784" operator="containsText" text="Yes">
      <formula>NOT(ISERROR(SEARCH(("Yes"),(O261))))</formula>
    </cfRule>
  </conditionalFormatting>
  <conditionalFormatting sqref="O261:O264 O267:Q269 O275:Q275 P258:Q264">
    <cfRule type="containsText" dxfId="2" priority="44785" operator="containsText" text="Yes">
      <formula>NOT(ISERROR(SEARCH(("Yes"),(O261))))</formula>
    </cfRule>
  </conditionalFormatting>
  <conditionalFormatting sqref="O261:O264 O267:Q269 O275:Q275 P258:Q264">
    <cfRule type="containsText" dxfId="2" priority="44786" operator="containsText" text="Yes">
      <formula>NOT(ISERROR(SEARCH(("Yes"),(O261))))</formula>
    </cfRule>
  </conditionalFormatting>
  <conditionalFormatting sqref="O261:O264 O267:Q269 O275:Q275 P258:Q264">
    <cfRule type="containsText" dxfId="2" priority="44787" operator="containsText" text="Yes">
      <formula>NOT(ISERROR(SEARCH(("Yes"),(O261))))</formula>
    </cfRule>
  </conditionalFormatting>
  <conditionalFormatting sqref="O261:O264 O267:Q269 O275:Q275 P258:Q264">
    <cfRule type="containsText" dxfId="2" priority="44788" operator="containsText" text="Yes">
      <formula>NOT(ISERROR(SEARCH(("Yes"),(O261))))</formula>
    </cfRule>
  </conditionalFormatting>
  <conditionalFormatting sqref="O261:O264 O267:Q269 O275:Q275 P258:Q264">
    <cfRule type="containsText" dxfId="2" priority="44789" operator="containsText" text="Yes">
      <formula>NOT(ISERROR(SEARCH(("Yes"),(O261))))</formula>
    </cfRule>
  </conditionalFormatting>
  <conditionalFormatting sqref="O261:O264 O267:Q269 O275:Q275 P258:Q264">
    <cfRule type="containsText" dxfId="2" priority="44790" operator="containsText" text="Yes">
      <formula>NOT(ISERROR(SEARCH(("Yes"),(O261))))</formula>
    </cfRule>
  </conditionalFormatting>
  <conditionalFormatting sqref="O261:O264 O267:Q269 O275:Q275 P258:Q264">
    <cfRule type="containsText" dxfId="2" priority="44791" operator="containsText" text="Yes">
      <formula>NOT(ISERROR(SEARCH(("Yes"),(O261))))</formula>
    </cfRule>
  </conditionalFormatting>
  <conditionalFormatting sqref="O261:O264 O267:Q269 O275:Q275 P258:Q264">
    <cfRule type="containsText" dxfId="2" priority="44792" operator="containsText" text="Yes">
      <formula>NOT(ISERROR(SEARCH(("Yes"),(O261))))</formula>
    </cfRule>
  </conditionalFormatting>
  <conditionalFormatting sqref="O261:O264 O267:Q269 O275:Q275 P258:Q264">
    <cfRule type="containsText" dxfId="2" priority="44793" operator="containsText" text="Yes">
      <formula>NOT(ISERROR(SEARCH(("Yes"),(O261))))</formula>
    </cfRule>
  </conditionalFormatting>
  <conditionalFormatting sqref="O261:O264 O267:Q269 O275:Q275 P258:Q264">
    <cfRule type="containsText" dxfId="2" priority="44794" operator="containsText" text="Yes">
      <formula>NOT(ISERROR(SEARCH(("Yes"),(O261))))</formula>
    </cfRule>
  </conditionalFormatting>
  <conditionalFormatting sqref="O261:O264 O267:Q269 O275:Q275 P258:Q264">
    <cfRule type="containsText" dxfId="2" priority="44795" operator="containsText" text="Yes">
      <formula>NOT(ISERROR(SEARCH(("Yes"),(O261))))</formula>
    </cfRule>
  </conditionalFormatting>
  <conditionalFormatting sqref="O261:O264 O267:Q269 O275:Q275 P258:Q264">
    <cfRule type="containsText" dxfId="2" priority="44796" operator="containsText" text="Yes">
      <formula>NOT(ISERROR(SEARCH(("Yes"),(O261))))</formula>
    </cfRule>
  </conditionalFormatting>
  <conditionalFormatting sqref="O261:O264 O267:Q269 O275:Q275 P258:Q264">
    <cfRule type="containsText" dxfId="2" priority="44797" operator="containsText" text="Yes">
      <formula>NOT(ISERROR(SEARCH(("Yes"),(O261))))</formula>
    </cfRule>
  </conditionalFormatting>
  <conditionalFormatting sqref="O261:O264 O267:Q269 O275:Q275 P258:Q264">
    <cfRule type="containsText" dxfId="2" priority="44798" operator="containsText" text="Yes">
      <formula>NOT(ISERROR(SEARCH(("Yes"),(O261))))</formula>
    </cfRule>
  </conditionalFormatting>
  <conditionalFormatting sqref="O261:O264 O267:Q269 O275:Q275 P258:Q264">
    <cfRule type="containsText" dxfId="2" priority="44799" operator="containsText" text="Yes">
      <formula>NOT(ISERROR(SEARCH(("Yes"),(O261))))</formula>
    </cfRule>
  </conditionalFormatting>
  <conditionalFormatting sqref="O261:O264 O267:Q269 O275:Q275 P258:Q264">
    <cfRule type="containsText" dxfId="2" priority="44800" operator="containsText" text="Yes">
      <formula>NOT(ISERROR(SEARCH(("Yes"),(O261))))</formula>
    </cfRule>
  </conditionalFormatting>
  <conditionalFormatting sqref="O261:O264 O267:Q269 O275:Q275 P258:Q264">
    <cfRule type="containsText" dxfId="2" priority="44801" operator="containsText" text="Yes">
      <formula>NOT(ISERROR(SEARCH(("Yes"),(O261))))</formula>
    </cfRule>
  </conditionalFormatting>
  <conditionalFormatting sqref="O261:O264 O267:Q269 O275:Q275 P258:Q264">
    <cfRule type="containsText" dxfId="2" priority="44802" operator="containsText" text="Yes">
      <formula>NOT(ISERROR(SEARCH(("Yes"),(O261))))</formula>
    </cfRule>
  </conditionalFormatting>
  <conditionalFormatting sqref="O261:O264 O267:Q269 O275:Q275 P258:Q264">
    <cfRule type="containsText" dxfId="2" priority="44803" operator="containsText" text="Yes">
      <formula>NOT(ISERROR(SEARCH(("Yes"),(O261))))</formula>
    </cfRule>
  </conditionalFormatting>
  <conditionalFormatting sqref="O261:O264 O267:Q269 O275:Q275 P258:Q264">
    <cfRule type="containsText" dxfId="2" priority="44804" operator="containsText" text="Yes">
      <formula>NOT(ISERROR(SEARCH(("Yes"),(O261))))</formula>
    </cfRule>
  </conditionalFormatting>
  <conditionalFormatting sqref="O261:O264 O267:Q269 O275:Q275 P258:Q264">
    <cfRule type="containsText" dxfId="2" priority="44805" operator="containsText" text="Yes">
      <formula>NOT(ISERROR(SEARCH(("Yes"),(O261))))</formula>
    </cfRule>
  </conditionalFormatting>
  <conditionalFormatting sqref="O261:O264 O267:Q269 O275:Q275 P258:Q264">
    <cfRule type="containsText" dxfId="2" priority="44806" operator="containsText" text="Yes">
      <formula>NOT(ISERROR(SEARCH(("Yes"),(O261))))</formula>
    </cfRule>
  </conditionalFormatting>
  <conditionalFormatting sqref="O261:O264 O267:Q269 O275:Q275 P258:Q264">
    <cfRule type="containsText" dxfId="2" priority="44807" operator="containsText" text="Yes">
      <formula>NOT(ISERROR(SEARCH(("Yes"),(O261))))</formula>
    </cfRule>
  </conditionalFormatting>
  <conditionalFormatting sqref="O261:O264 O267:Q269 O275:Q275 P258:Q264">
    <cfRule type="containsText" dxfId="2" priority="44808" operator="containsText" text="Yes">
      <formula>NOT(ISERROR(SEARCH(("Yes"),(O261))))</formula>
    </cfRule>
  </conditionalFormatting>
  <conditionalFormatting sqref="O261:O264 O267:Q269 O275:Q275 P258:Q264">
    <cfRule type="containsText" dxfId="2" priority="44809" operator="containsText" text="Yes">
      <formula>NOT(ISERROR(SEARCH(("Yes"),(O261))))</formula>
    </cfRule>
  </conditionalFormatting>
  <conditionalFormatting sqref="O261:O264 O267:Q269 O275:Q275 P258:Q264">
    <cfRule type="containsText" dxfId="2" priority="44810" operator="containsText" text="Yes">
      <formula>NOT(ISERROR(SEARCH(("Yes"),(O261))))</formula>
    </cfRule>
  </conditionalFormatting>
  <conditionalFormatting sqref="O261:O264 O267:Q269 O275:Q275 P258:Q264">
    <cfRule type="containsText" dxfId="2" priority="44811" operator="containsText" text="Yes">
      <formula>NOT(ISERROR(SEARCH(("Yes"),(O261))))</formula>
    </cfRule>
  </conditionalFormatting>
  <conditionalFormatting sqref="O261:O264 O267:Q269 O275:Q275 P258:Q264">
    <cfRule type="containsText" dxfId="2" priority="44812" operator="containsText" text="Yes">
      <formula>NOT(ISERROR(SEARCH(("Yes"),(O261))))</formula>
    </cfRule>
  </conditionalFormatting>
  <conditionalFormatting sqref="O261:O264 O267:Q269 O275:Q275 P258:Q264">
    <cfRule type="containsText" dxfId="2" priority="44813" operator="containsText" text="Yes">
      <formula>NOT(ISERROR(SEARCH(("Yes"),(O261))))</formula>
    </cfRule>
  </conditionalFormatting>
  <conditionalFormatting sqref="O261:O264 O267:Q269 O275:Q275 P258:Q264">
    <cfRule type="containsText" dxfId="2" priority="44814" operator="containsText" text="Yes">
      <formula>NOT(ISERROR(SEARCH(("Yes"),(O261))))</formula>
    </cfRule>
  </conditionalFormatting>
  <conditionalFormatting sqref="O261:O264 O267:Q269 O275:Q275 P258:Q264">
    <cfRule type="containsText" dxfId="2" priority="44815" operator="containsText" text="Yes">
      <formula>NOT(ISERROR(SEARCH(("Yes"),(O261))))</formula>
    </cfRule>
  </conditionalFormatting>
  <conditionalFormatting sqref="O261:O264 O267:Q269 O275:Q275 P258:Q264">
    <cfRule type="containsText" dxfId="2" priority="44816" operator="containsText" text="Yes">
      <formula>NOT(ISERROR(SEARCH(("Yes"),(O261))))</formula>
    </cfRule>
  </conditionalFormatting>
  <conditionalFormatting sqref="O261:O264 O267:Q269 O275:Q275 P259:Q264">
    <cfRule type="containsText" dxfId="9" priority="44817" operator="containsText" text="No">
      <formula>NOT(ISERROR(SEARCH(("No"),(O261))))</formula>
    </cfRule>
  </conditionalFormatting>
  <conditionalFormatting sqref="O261:O264 O267:Q269 O275:Q275 P259:Q264">
    <cfRule type="containsText" dxfId="9" priority="44818" operator="containsText" text="No">
      <formula>NOT(ISERROR(SEARCH(("No"),(O261))))</formula>
    </cfRule>
  </conditionalFormatting>
  <conditionalFormatting sqref="O261:O264 O267:Q269 O275:Q275 P259:Q264">
    <cfRule type="containsText" dxfId="9" priority="44819" operator="containsText" text="No">
      <formula>NOT(ISERROR(SEARCH(("No"),(O261))))</formula>
    </cfRule>
  </conditionalFormatting>
  <conditionalFormatting sqref="O261:O264 O267:Q269 O275:Q275 P259:Q264">
    <cfRule type="containsText" dxfId="9" priority="44820" operator="containsText" text="No">
      <formula>NOT(ISERROR(SEARCH(("No"),(O261))))</formula>
    </cfRule>
  </conditionalFormatting>
  <conditionalFormatting sqref="O261:O264 O267:Q269 O275:Q275 P259:Q264">
    <cfRule type="containsText" dxfId="9" priority="44821" operator="containsText" text="No">
      <formula>NOT(ISERROR(SEARCH(("No"),(O261))))</formula>
    </cfRule>
  </conditionalFormatting>
  <conditionalFormatting sqref="O261:O264 O267:Q269 O275:Q275 P259:Q264">
    <cfRule type="containsText" dxfId="9" priority="44822" operator="containsText" text="No">
      <formula>NOT(ISERROR(SEARCH(("No"),(O261))))</formula>
    </cfRule>
  </conditionalFormatting>
  <conditionalFormatting sqref="O261:O264 O267:Q269 O275:Q275 P259:Q264">
    <cfRule type="containsText" dxfId="9" priority="44823" operator="containsText" text="No">
      <formula>NOT(ISERROR(SEARCH(("No"),(O261))))</formula>
    </cfRule>
  </conditionalFormatting>
  <conditionalFormatting sqref="O261:O264 O267:Q269 O275:Q275 P259:Q264">
    <cfRule type="containsText" dxfId="9" priority="44824" operator="containsText" text="No">
      <formula>NOT(ISERROR(SEARCH(("No"),(O261))))</formula>
    </cfRule>
  </conditionalFormatting>
  <conditionalFormatting sqref="O261:O264 O267:Q269 O275:Q275 P259:Q264">
    <cfRule type="containsText" dxfId="9" priority="44825" operator="containsText" text="No">
      <formula>NOT(ISERROR(SEARCH(("No"),(O261))))</formula>
    </cfRule>
  </conditionalFormatting>
  <conditionalFormatting sqref="O261:O264 O267:Q269 O275:Q275 P259:Q264">
    <cfRule type="containsText" dxfId="9" priority="44826" operator="containsText" text="No">
      <formula>NOT(ISERROR(SEARCH(("No"),(O261))))</formula>
    </cfRule>
  </conditionalFormatting>
  <conditionalFormatting sqref="O261:O264 O267:Q269 O275:Q275 P259:Q264">
    <cfRule type="containsText" dxfId="9" priority="44827" operator="containsText" text="No">
      <formula>NOT(ISERROR(SEARCH(("No"),(O261))))</formula>
    </cfRule>
  </conditionalFormatting>
  <conditionalFormatting sqref="O261:O264 O267:Q269 O275:Q275 P259:Q264">
    <cfRule type="containsText" dxfId="9" priority="44828" operator="containsText" text="No">
      <formula>NOT(ISERROR(SEARCH(("No"),(O261))))</formula>
    </cfRule>
  </conditionalFormatting>
  <conditionalFormatting sqref="O261:O264 O267:Q269 O275:Q275 P259:Q264">
    <cfRule type="containsText" dxfId="9" priority="44829" operator="containsText" text="No">
      <formula>NOT(ISERROR(SEARCH(("No"),(O261))))</formula>
    </cfRule>
  </conditionalFormatting>
  <conditionalFormatting sqref="O261:O264 O267:Q269 O275:Q275 P259:Q264">
    <cfRule type="containsText" dxfId="9" priority="44830" operator="containsText" text="No">
      <formula>NOT(ISERROR(SEARCH(("No"),(O261))))</formula>
    </cfRule>
  </conditionalFormatting>
  <conditionalFormatting sqref="O261:O264 O267:Q269 O275:Q275 P259:Q264">
    <cfRule type="containsText" dxfId="9" priority="44831" operator="containsText" text="No">
      <formula>NOT(ISERROR(SEARCH(("No"),(O261))))</formula>
    </cfRule>
  </conditionalFormatting>
  <conditionalFormatting sqref="O261:O264 O267:Q269 O275:Q275 P259:Q264">
    <cfRule type="containsText" dxfId="9" priority="44832" operator="containsText" text="No">
      <formula>NOT(ISERROR(SEARCH(("No"),(O261))))</formula>
    </cfRule>
  </conditionalFormatting>
  <conditionalFormatting sqref="O261:O264 O267:Q269 O275:Q275 P259:Q264">
    <cfRule type="containsText" dxfId="9" priority="44833" operator="containsText" text="No">
      <formula>NOT(ISERROR(SEARCH(("No"),(O261))))</formula>
    </cfRule>
  </conditionalFormatting>
  <conditionalFormatting sqref="O261:O264 O267:Q269 O275:Q275 P259:Q264">
    <cfRule type="containsText" dxfId="9" priority="44834" operator="containsText" text="No">
      <formula>NOT(ISERROR(SEARCH(("No"),(O261))))</formula>
    </cfRule>
  </conditionalFormatting>
  <conditionalFormatting sqref="O261:O264 O267:Q269 O275:Q275 P259:Q264">
    <cfRule type="containsText" dxfId="9" priority="44835" operator="containsText" text="No">
      <formula>NOT(ISERROR(SEARCH(("No"),(O261))))</formula>
    </cfRule>
  </conditionalFormatting>
  <conditionalFormatting sqref="O261:O264 O267:Q269 O275:Q275 P259:Q264">
    <cfRule type="containsText" dxfId="9" priority="44836" operator="containsText" text="No">
      <formula>NOT(ISERROR(SEARCH(("No"),(O261))))</formula>
    </cfRule>
  </conditionalFormatting>
  <conditionalFormatting sqref="O261:O264 O267:Q269 O275:Q275 P259:Q264">
    <cfRule type="containsText" dxfId="9" priority="44837" operator="containsText" text="No">
      <formula>NOT(ISERROR(SEARCH(("No"),(O261))))</formula>
    </cfRule>
  </conditionalFormatting>
  <conditionalFormatting sqref="O261:O264 O267:Q269 O275:Q275 P259:Q264">
    <cfRule type="containsText" dxfId="9" priority="44838" operator="containsText" text="No">
      <formula>NOT(ISERROR(SEARCH(("No"),(O261))))</formula>
    </cfRule>
  </conditionalFormatting>
  <conditionalFormatting sqref="O261:O264 O267:Q269 O275:Q275 P259:Q264">
    <cfRule type="containsText" dxfId="9" priority="44839" operator="containsText" text="No">
      <formula>NOT(ISERROR(SEARCH(("No"),(O261))))</formula>
    </cfRule>
  </conditionalFormatting>
  <conditionalFormatting sqref="O261:O264 O267:Q269 O275:Q275 P259:Q264">
    <cfRule type="containsText" dxfId="9" priority="44840" operator="containsText" text="No">
      <formula>NOT(ISERROR(SEARCH(("No"),(O261))))</formula>
    </cfRule>
  </conditionalFormatting>
  <conditionalFormatting sqref="O261:O264 O267:Q269 O275:Q275 P259:Q264">
    <cfRule type="containsText" dxfId="9" priority="44841" operator="containsText" text="No">
      <formula>NOT(ISERROR(SEARCH(("No"),(O261))))</formula>
    </cfRule>
  </conditionalFormatting>
  <conditionalFormatting sqref="O261:O264 O267:Q269 O275:Q275 P259:Q264">
    <cfRule type="containsText" dxfId="9" priority="44842" operator="containsText" text="No">
      <formula>NOT(ISERROR(SEARCH(("No"),(O261))))</formula>
    </cfRule>
  </conditionalFormatting>
  <conditionalFormatting sqref="O261:O264 O267:Q269 O275:Q275 P259:Q264">
    <cfRule type="containsText" dxfId="9" priority="44843" operator="containsText" text="No">
      <formula>NOT(ISERROR(SEARCH(("No"),(O261))))</formula>
    </cfRule>
  </conditionalFormatting>
  <conditionalFormatting sqref="O261:O264 O267:Q269 O275:Q275 P259:Q264">
    <cfRule type="containsText" dxfId="9" priority="44844" operator="containsText" text="No">
      <formula>NOT(ISERROR(SEARCH(("No"),(O261))))</formula>
    </cfRule>
  </conditionalFormatting>
  <conditionalFormatting sqref="O261:O264 O267:Q269 O275:Q275 P259:Q264">
    <cfRule type="containsText" dxfId="9" priority="44845" operator="containsText" text="No">
      <formula>NOT(ISERROR(SEARCH(("No"),(O261))))</formula>
    </cfRule>
  </conditionalFormatting>
  <conditionalFormatting sqref="O261:O264 O267:Q269 O275:Q275 P259:Q264">
    <cfRule type="containsText" dxfId="9" priority="44846" operator="containsText" text="No">
      <formula>NOT(ISERROR(SEARCH(("No"),(O261))))</formula>
    </cfRule>
  </conditionalFormatting>
  <conditionalFormatting sqref="O261:O264 O267:Q269 O275:Q275 P259:Q264">
    <cfRule type="containsText" dxfId="9" priority="44847" operator="containsText" text="No">
      <formula>NOT(ISERROR(SEARCH(("No"),(O261))))</formula>
    </cfRule>
  </conditionalFormatting>
  <conditionalFormatting sqref="O261:O264 O267:Q269 O275:Q275 P259:Q264">
    <cfRule type="containsText" dxfId="9" priority="44848" operator="containsText" text="No">
      <formula>NOT(ISERROR(SEARCH(("No"),(O261))))</formula>
    </cfRule>
  </conditionalFormatting>
  <conditionalFormatting sqref="O261:O264 O267:Q269 O275:Q275 P259:Q264">
    <cfRule type="containsText" dxfId="9" priority="44849" operator="containsText" text="No">
      <formula>NOT(ISERROR(SEARCH(("No"),(O261))))</formula>
    </cfRule>
  </conditionalFormatting>
  <conditionalFormatting sqref="O261:O264 O267:Q269 O275:Q275 P259:Q264">
    <cfRule type="containsText" dxfId="9" priority="44850" operator="containsText" text="No">
      <formula>NOT(ISERROR(SEARCH(("No"),(O261))))</formula>
    </cfRule>
  </conditionalFormatting>
  <conditionalFormatting sqref="O261:O264 O267:Q269 O275:Q275 P259:Q264">
    <cfRule type="containsText" dxfId="9" priority="44851" operator="containsText" text="No">
      <formula>NOT(ISERROR(SEARCH(("No"),(O261))))</formula>
    </cfRule>
  </conditionalFormatting>
  <conditionalFormatting sqref="O261:O264 O267:Q269 O275:Q275 P259:Q264">
    <cfRule type="containsText" dxfId="9" priority="44852" operator="containsText" text="No">
      <formula>NOT(ISERROR(SEARCH(("No"),(O261))))</formula>
    </cfRule>
  </conditionalFormatting>
  <conditionalFormatting sqref="O261:O264 O267:Q269 O275:Q275 P259:Q264">
    <cfRule type="containsText" dxfId="9" priority="44853" operator="containsText" text="No">
      <formula>NOT(ISERROR(SEARCH(("No"),(O261))))</formula>
    </cfRule>
  </conditionalFormatting>
  <conditionalFormatting sqref="O261:O264 O267:Q269 O275:Q275 P259:Q264">
    <cfRule type="containsText" dxfId="9" priority="44854" operator="containsText" text="No">
      <formula>NOT(ISERROR(SEARCH(("No"),(O261))))</formula>
    </cfRule>
  </conditionalFormatting>
  <conditionalFormatting sqref="O261:O264 O267:Q269 O275:Q275 P259:Q264">
    <cfRule type="containsText" dxfId="9" priority="44855" operator="containsText" text="No">
      <formula>NOT(ISERROR(SEARCH(("No"),(O261))))</formula>
    </cfRule>
  </conditionalFormatting>
  <conditionalFormatting sqref="O261:O264 O267:Q269 O275:Q275 P259:Q264">
    <cfRule type="containsText" dxfId="9" priority="44856" operator="containsText" text="No">
      <formula>NOT(ISERROR(SEARCH(("No"),(O261))))</formula>
    </cfRule>
  </conditionalFormatting>
  <conditionalFormatting sqref="O261:O264 O267:Q269 O275:Q275 P259:Q264">
    <cfRule type="containsText" dxfId="9" priority="44857" operator="containsText" text="No">
      <formula>NOT(ISERROR(SEARCH(("No"),(O261))))</formula>
    </cfRule>
  </conditionalFormatting>
  <conditionalFormatting sqref="O261:O264 O267:Q269 O275:Q275 P259:Q264">
    <cfRule type="containsText" dxfId="9" priority="44858" operator="containsText" text="No">
      <formula>NOT(ISERROR(SEARCH(("No"),(O261))))</formula>
    </cfRule>
  </conditionalFormatting>
  <conditionalFormatting sqref="O261:O264 O267:Q269 O275:Q275 P259:Q264">
    <cfRule type="containsText" dxfId="9" priority="44859" operator="containsText" text="No">
      <formula>NOT(ISERROR(SEARCH(("No"),(O261))))</formula>
    </cfRule>
  </conditionalFormatting>
  <conditionalFormatting sqref="O261:O264 O267:Q269 O275:Q275 P259:Q264">
    <cfRule type="containsText" dxfId="9" priority="44860" operator="containsText" text="No">
      <formula>NOT(ISERROR(SEARCH(("No"),(O261))))</formula>
    </cfRule>
  </conditionalFormatting>
  <conditionalFormatting sqref="O261:O264 O267:Q269 O275:Q275 P259:Q264">
    <cfRule type="containsText" dxfId="9" priority="44861" operator="containsText" text="No">
      <formula>NOT(ISERROR(SEARCH(("No"),(O261))))</formula>
    </cfRule>
  </conditionalFormatting>
  <conditionalFormatting sqref="O261:O264 O267:Q269 O275:Q275 P259:Q264">
    <cfRule type="containsText" dxfId="2" priority="44862" operator="containsText" text="Yes">
      <formula>NOT(ISERROR(SEARCH(("Yes"),(O261))))</formula>
    </cfRule>
  </conditionalFormatting>
  <conditionalFormatting sqref="O261:O264 O267:Q269 O275:Q275 P259:Q264">
    <cfRule type="containsText" dxfId="2" priority="44863" operator="containsText" text="Yes">
      <formula>NOT(ISERROR(SEARCH(("Yes"),(O261))))</formula>
    </cfRule>
  </conditionalFormatting>
  <conditionalFormatting sqref="O261:O264 O267:Q269 O275:Q275 P259:Q264">
    <cfRule type="containsText" dxfId="2" priority="44864" operator="containsText" text="Yes">
      <formula>NOT(ISERROR(SEARCH(("Yes"),(O261))))</formula>
    </cfRule>
  </conditionalFormatting>
  <conditionalFormatting sqref="O261:O264 O267:Q269 O275:Q275 P259:Q264">
    <cfRule type="containsText" dxfId="2" priority="44865" operator="containsText" text="Yes">
      <formula>NOT(ISERROR(SEARCH(("Yes"),(O261))))</formula>
    </cfRule>
  </conditionalFormatting>
  <conditionalFormatting sqref="O261:O264 O267:Q269 O275:Q275 P259:Q264">
    <cfRule type="containsText" dxfId="2" priority="44866" operator="containsText" text="Yes">
      <formula>NOT(ISERROR(SEARCH(("Yes"),(O261))))</formula>
    </cfRule>
  </conditionalFormatting>
  <conditionalFormatting sqref="O261:O264 O267:Q269 O275:Q275 P259:Q264">
    <cfRule type="containsText" dxfId="2" priority="44867" operator="containsText" text="Yes">
      <formula>NOT(ISERROR(SEARCH(("Yes"),(O261))))</formula>
    </cfRule>
  </conditionalFormatting>
  <conditionalFormatting sqref="O261:O264 O267:Q269 O275:Q275 P259:Q264">
    <cfRule type="containsText" dxfId="2" priority="44868" operator="containsText" text="Yes">
      <formula>NOT(ISERROR(SEARCH(("Yes"),(O261))))</formula>
    </cfRule>
  </conditionalFormatting>
  <conditionalFormatting sqref="O261:O264 O267:Q269 O275:Q275 P259:Q264">
    <cfRule type="containsText" dxfId="2" priority="44869" operator="containsText" text="Yes">
      <formula>NOT(ISERROR(SEARCH(("Yes"),(O261))))</formula>
    </cfRule>
  </conditionalFormatting>
  <conditionalFormatting sqref="O261:O264 O267:Q269 O275:Q275 P259:Q264">
    <cfRule type="containsText" dxfId="2" priority="44870" operator="containsText" text="Yes">
      <formula>NOT(ISERROR(SEARCH(("Yes"),(O261))))</formula>
    </cfRule>
  </conditionalFormatting>
  <conditionalFormatting sqref="O261:O264 O267:Q269 O275:Q275 P259:Q264">
    <cfRule type="containsText" dxfId="2" priority="44871" operator="containsText" text="Yes">
      <formula>NOT(ISERROR(SEARCH(("Yes"),(O261))))</formula>
    </cfRule>
  </conditionalFormatting>
  <conditionalFormatting sqref="O261:O264 O267:Q269 O275:Q275 P259:Q264">
    <cfRule type="containsText" dxfId="2" priority="44872" operator="containsText" text="Yes">
      <formula>NOT(ISERROR(SEARCH(("Yes"),(O261))))</formula>
    </cfRule>
  </conditionalFormatting>
  <conditionalFormatting sqref="O261:O264 O267:Q269 O275:Q275 P259:Q264">
    <cfRule type="containsText" dxfId="2" priority="44873" operator="containsText" text="Yes">
      <formula>NOT(ISERROR(SEARCH(("Yes"),(O261))))</formula>
    </cfRule>
  </conditionalFormatting>
  <conditionalFormatting sqref="O261:O264 O267:Q269 O275:Q275 P259:Q264">
    <cfRule type="containsText" dxfId="2" priority="44874" operator="containsText" text="Yes">
      <formula>NOT(ISERROR(SEARCH(("Yes"),(O261))))</formula>
    </cfRule>
  </conditionalFormatting>
  <conditionalFormatting sqref="O261:O264 O267:Q269 O275:Q275 P259:Q264">
    <cfRule type="containsText" dxfId="2" priority="44875" operator="containsText" text="Yes">
      <formula>NOT(ISERROR(SEARCH(("Yes"),(O261))))</formula>
    </cfRule>
  </conditionalFormatting>
  <conditionalFormatting sqref="O261:O264 O267:Q269 O275:Q275 P259:Q264">
    <cfRule type="containsText" dxfId="2" priority="44876" operator="containsText" text="Yes">
      <formula>NOT(ISERROR(SEARCH(("Yes"),(O261))))</formula>
    </cfRule>
  </conditionalFormatting>
  <conditionalFormatting sqref="O261:O264 O267:Q269 O275:Q275 P259:Q264">
    <cfRule type="containsText" dxfId="2" priority="44877" operator="containsText" text="Yes">
      <formula>NOT(ISERROR(SEARCH(("Yes"),(O261))))</formula>
    </cfRule>
  </conditionalFormatting>
  <conditionalFormatting sqref="O261:O264 O267:Q269 O275:Q275 P259:Q264">
    <cfRule type="containsText" dxfId="2" priority="44878" operator="containsText" text="Yes">
      <formula>NOT(ISERROR(SEARCH(("Yes"),(O261))))</formula>
    </cfRule>
  </conditionalFormatting>
  <conditionalFormatting sqref="O261:O264 O267:Q269 O275:Q275 P259:Q264">
    <cfRule type="containsText" dxfId="2" priority="44879" operator="containsText" text="Yes">
      <formula>NOT(ISERROR(SEARCH(("Yes"),(O261))))</formula>
    </cfRule>
  </conditionalFormatting>
  <conditionalFormatting sqref="O261:O264 O267:Q269 O275:Q275 P259:Q264">
    <cfRule type="containsText" dxfId="2" priority="44880" operator="containsText" text="Yes">
      <formula>NOT(ISERROR(SEARCH(("Yes"),(O261))))</formula>
    </cfRule>
  </conditionalFormatting>
  <conditionalFormatting sqref="O261:O264 O267:Q269 O275:Q275 P259:Q264">
    <cfRule type="containsText" dxfId="2" priority="44881" operator="containsText" text="Yes">
      <formula>NOT(ISERROR(SEARCH(("Yes"),(O261))))</formula>
    </cfRule>
  </conditionalFormatting>
  <conditionalFormatting sqref="O261:O264 O267:Q269 O275:Q275 P259:Q264">
    <cfRule type="containsText" dxfId="2" priority="44882" operator="containsText" text="Yes">
      <formula>NOT(ISERROR(SEARCH(("Yes"),(O261))))</formula>
    </cfRule>
  </conditionalFormatting>
  <conditionalFormatting sqref="O261:O264 O267:Q269 O275:Q275 P259:Q264">
    <cfRule type="containsText" dxfId="2" priority="44883" operator="containsText" text="Yes">
      <formula>NOT(ISERROR(SEARCH(("Yes"),(O261))))</formula>
    </cfRule>
  </conditionalFormatting>
  <conditionalFormatting sqref="O261:O264 O267:Q269 O275:Q275 P259:Q264">
    <cfRule type="containsText" dxfId="2" priority="44884" operator="containsText" text="Yes">
      <formula>NOT(ISERROR(SEARCH(("Yes"),(O261))))</formula>
    </cfRule>
  </conditionalFormatting>
  <conditionalFormatting sqref="O261:O264 O267:Q269 O275:Q275 P259:Q264">
    <cfRule type="containsText" dxfId="2" priority="44885" operator="containsText" text="Yes">
      <formula>NOT(ISERROR(SEARCH(("Yes"),(O261))))</formula>
    </cfRule>
  </conditionalFormatting>
  <conditionalFormatting sqref="O261:O264 O267:Q269 O275:Q275 P259:Q264">
    <cfRule type="containsText" dxfId="2" priority="44886" operator="containsText" text="Yes">
      <formula>NOT(ISERROR(SEARCH(("Yes"),(O261))))</formula>
    </cfRule>
  </conditionalFormatting>
  <conditionalFormatting sqref="O261:O264 O267:Q269 O275:Q275 P259:Q264">
    <cfRule type="containsText" dxfId="2" priority="44887" operator="containsText" text="Yes">
      <formula>NOT(ISERROR(SEARCH(("Yes"),(O261))))</formula>
    </cfRule>
  </conditionalFormatting>
  <conditionalFormatting sqref="O261:O264 O267:Q269 O275:Q275 P259:Q264">
    <cfRule type="containsText" dxfId="2" priority="44888" operator="containsText" text="Yes">
      <formula>NOT(ISERROR(SEARCH(("Yes"),(O261))))</formula>
    </cfRule>
  </conditionalFormatting>
  <conditionalFormatting sqref="O261:O264 O267:Q269 O275:Q275 P259:Q264">
    <cfRule type="containsText" dxfId="2" priority="44889" operator="containsText" text="Yes">
      <formula>NOT(ISERROR(SEARCH(("Yes"),(O261))))</formula>
    </cfRule>
  </conditionalFormatting>
  <conditionalFormatting sqref="O261:O264 O267:Q269 O275:Q275 P259:Q264">
    <cfRule type="containsText" dxfId="2" priority="44890" operator="containsText" text="Yes">
      <formula>NOT(ISERROR(SEARCH(("Yes"),(O261))))</formula>
    </cfRule>
  </conditionalFormatting>
  <conditionalFormatting sqref="O261:O264 O267:Q269 O275:Q275 P259:Q264">
    <cfRule type="containsText" dxfId="2" priority="44891" operator="containsText" text="Yes">
      <formula>NOT(ISERROR(SEARCH(("Yes"),(O261))))</formula>
    </cfRule>
  </conditionalFormatting>
  <conditionalFormatting sqref="O261:O264 O267:Q269 O275:Q275 P259:Q264">
    <cfRule type="containsText" dxfId="2" priority="44892" operator="containsText" text="Yes">
      <formula>NOT(ISERROR(SEARCH(("Yes"),(O261))))</formula>
    </cfRule>
  </conditionalFormatting>
  <conditionalFormatting sqref="O261:O264 O267:Q269 O275:Q275 P259:Q264">
    <cfRule type="containsText" dxfId="2" priority="44893" operator="containsText" text="Yes">
      <formula>NOT(ISERROR(SEARCH(("Yes"),(O261))))</formula>
    </cfRule>
  </conditionalFormatting>
  <conditionalFormatting sqref="O261:O264 O267:Q269 O275:Q275 P259:Q264">
    <cfRule type="containsText" dxfId="2" priority="44894" operator="containsText" text="Yes">
      <formula>NOT(ISERROR(SEARCH(("Yes"),(O261))))</formula>
    </cfRule>
  </conditionalFormatting>
  <conditionalFormatting sqref="O261:O264 O267:Q269 O275:Q275 P259:Q264">
    <cfRule type="containsText" dxfId="2" priority="44895" operator="containsText" text="Yes">
      <formula>NOT(ISERROR(SEARCH(("Yes"),(O261))))</formula>
    </cfRule>
  </conditionalFormatting>
  <conditionalFormatting sqref="O261:O264 O267:Q269 O275:Q275 P259:Q264">
    <cfRule type="containsText" dxfId="2" priority="44896" operator="containsText" text="Yes">
      <formula>NOT(ISERROR(SEARCH(("Yes"),(O261))))</formula>
    </cfRule>
  </conditionalFormatting>
  <conditionalFormatting sqref="O261:O264 O267:Q269 O275:Q275 P259:Q264">
    <cfRule type="containsText" dxfId="2" priority="44897" operator="containsText" text="Yes">
      <formula>NOT(ISERROR(SEARCH(("Yes"),(O261))))</formula>
    </cfRule>
  </conditionalFormatting>
  <conditionalFormatting sqref="O261:O264 O267:Q269 O275:Q275 P259:Q264">
    <cfRule type="containsText" dxfId="2" priority="44898" operator="containsText" text="Yes">
      <formula>NOT(ISERROR(SEARCH(("Yes"),(O261))))</formula>
    </cfRule>
  </conditionalFormatting>
  <conditionalFormatting sqref="O261:O264 O267:Q269 O275:Q275 P259:Q264">
    <cfRule type="containsText" dxfId="2" priority="44899" operator="containsText" text="Yes">
      <formula>NOT(ISERROR(SEARCH(("Yes"),(O261))))</formula>
    </cfRule>
  </conditionalFormatting>
  <conditionalFormatting sqref="O261:O264 O267:Q269 O275:Q275 P259:Q264">
    <cfRule type="containsText" dxfId="2" priority="44900" operator="containsText" text="Yes">
      <formula>NOT(ISERROR(SEARCH(("Yes"),(O261))))</formula>
    </cfRule>
  </conditionalFormatting>
  <conditionalFormatting sqref="O261:O264 O267:Q269 O275:Q275 P259:Q264">
    <cfRule type="containsText" dxfId="2" priority="44901" operator="containsText" text="Yes">
      <formula>NOT(ISERROR(SEARCH(("Yes"),(O261))))</formula>
    </cfRule>
  </conditionalFormatting>
  <conditionalFormatting sqref="O261:O264 O267:Q269 O275:Q275 P259:Q264">
    <cfRule type="containsText" dxfId="2" priority="44902" operator="containsText" text="Yes">
      <formula>NOT(ISERROR(SEARCH(("Yes"),(O261))))</formula>
    </cfRule>
  </conditionalFormatting>
  <conditionalFormatting sqref="O261:O264 O267:Q269 O275:Q275 P259:Q264">
    <cfRule type="containsText" dxfId="2" priority="44903" operator="containsText" text="Yes">
      <formula>NOT(ISERROR(SEARCH(("Yes"),(O261))))</formula>
    </cfRule>
  </conditionalFormatting>
  <conditionalFormatting sqref="O261:O264 O267:Q269 O275:Q275 P259:Q264">
    <cfRule type="containsText" dxfId="2" priority="44904" operator="containsText" text="Yes">
      <formula>NOT(ISERROR(SEARCH(("Yes"),(O261))))</formula>
    </cfRule>
  </conditionalFormatting>
  <conditionalFormatting sqref="O261:O264 O267:Q269 O275:Q275 P259:Q264">
    <cfRule type="containsText" dxfId="2" priority="44905" operator="containsText" text="Yes">
      <formula>NOT(ISERROR(SEARCH(("Yes"),(O261))))</formula>
    </cfRule>
  </conditionalFormatting>
  <conditionalFormatting sqref="O261:O264 O267:Q269 O275:Q275 P259:Q264">
    <cfRule type="containsText" dxfId="2" priority="44906" operator="containsText" text="Yes">
      <formula>NOT(ISERROR(SEARCH(("Yes"),(O261))))</formula>
    </cfRule>
  </conditionalFormatting>
  <conditionalFormatting sqref="O261:O264 O267:Q269 O275:Q275 P259:Q264">
    <cfRule type="containsText" dxfId="2" priority="44907" operator="containsText" text="Yes">
      <formula>NOT(ISERROR(SEARCH(("Yes"),(O261))))</formula>
    </cfRule>
  </conditionalFormatting>
  <conditionalFormatting sqref="O261:O264 O267:Q269 O275:Q275 P259:Q264">
    <cfRule type="containsText" dxfId="2" priority="44908" operator="containsText" text="Yes">
      <formula>NOT(ISERROR(SEARCH(("Yes"),(O261))))</formula>
    </cfRule>
  </conditionalFormatting>
  <conditionalFormatting sqref="O259:O264 O267:O269 O275">
    <cfRule type="containsText" dxfId="9" priority="44909" operator="containsText" text="No">
      <formula>NOT(ISERROR(SEARCH(("No"),(O259))))</formula>
    </cfRule>
  </conditionalFormatting>
  <conditionalFormatting sqref="O259:O264 O267:O269 O275">
    <cfRule type="containsText" dxfId="9" priority="44910" operator="containsText" text="No">
      <formula>NOT(ISERROR(SEARCH(("No"),(O259))))</formula>
    </cfRule>
  </conditionalFormatting>
  <conditionalFormatting sqref="O259:O264 O267:O269 O275">
    <cfRule type="containsText" dxfId="9" priority="44911" operator="containsText" text="No">
      <formula>NOT(ISERROR(SEARCH(("No"),(O259))))</formula>
    </cfRule>
  </conditionalFormatting>
  <conditionalFormatting sqref="O259:O264 O267:O269 O275">
    <cfRule type="containsText" dxfId="9" priority="44912" operator="containsText" text="No">
      <formula>NOT(ISERROR(SEARCH(("No"),(O259))))</formula>
    </cfRule>
  </conditionalFormatting>
  <conditionalFormatting sqref="O259:O264 O267:O269 O275">
    <cfRule type="containsText" dxfId="9" priority="44913" operator="containsText" text="No">
      <formula>NOT(ISERROR(SEARCH(("No"),(O259))))</formula>
    </cfRule>
  </conditionalFormatting>
  <conditionalFormatting sqref="O259:O264 O267:O269 O275">
    <cfRule type="containsText" dxfId="9" priority="44914" operator="containsText" text="No">
      <formula>NOT(ISERROR(SEARCH(("No"),(O259))))</formula>
    </cfRule>
  </conditionalFormatting>
  <conditionalFormatting sqref="O259:O264 O267:O269 O275">
    <cfRule type="containsText" dxfId="9" priority="44915" operator="containsText" text="No">
      <formula>NOT(ISERROR(SEARCH(("No"),(O259))))</formula>
    </cfRule>
  </conditionalFormatting>
  <conditionalFormatting sqref="O259:O264 O267:O269 O275">
    <cfRule type="containsText" dxfId="9" priority="44916" operator="containsText" text="No">
      <formula>NOT(ISERROR(SEARCH(("No"),(O259))))</formula>
    </cfRule>
  </conditionalFormatting>
  <conditionalFormatting sqref="O259:O264 O267:O269 O275">
    <cfRule type="containsText" dxfId="9" priority="44917" operator="containsText" text="No">
      <formula>NOT(ISERROR(SEARCH(("No"),(O259))))</formula>
    </cfRule>
  </conditionalFormatting>
  <conditionalFormatting sqref="O259:O264 O267:O269 O275">
    <cfRule type="containsText" dxfId="9" priority="44918" operator="containsText" text="No">
      <formula>NOT(ISERROR(SEARCH(("No"),(O259))))</formula>
    </cfRule>
  </conditionalFormatting>
  <conditionalFormatting sqref="O259:O264 O267:O269 O275">
    <cfRule type="containsText" dxfId="9" priority="44919" operator="containsText" text="No">
      <formula>NOT(ISERROR(SEARCH(("No"),(O259))))</formula>
    </cfRule>
  </conditionalFormatting>
  <conditionalFormatting sqref="O259:O264 O267:O269 O275">
    <cfRule type="containsText" dxfId="9" priority="44920" operator="containsText" text="No">
      <formula>NOT(ISERROR(SEARCH(("No"),(O259))))</formula>
    </cfRule>
  </conditionalFormatting>
  <conditionalFormatting sqref="O259:O264 O267:O269 O275">
    <cfRule type="containsText" dxfId="9" priority="44921" operator="containsText" text="No">
      <formula>NOT(ISERROR(SEARCH(("No"),(O259))))</formula>
    </cfRule>
  </conditionalFormatting>
  <conditionalFormatting sqref="O259:O264 O267:O269 O275">
    <cfRule type="containsText" dxfId="9" priority="44922" operator="containsText" text="No">
      <formula>NOT(ISERROR(SEARCH(("No"),(O259))))</formula>
    </cfRule>
  </conditionalFormatting>
  <conditionalFormatting sqref="O259:O264 O267:O269 O275">
    <cfRule type="containsText" dxfId="9" priority="44923" operator="containsText" text="No">
      <formula>NOT(ISERROR(SEARCH(("No"),(O259))))</formula>
    </cfRule>
  </conditionalFormatting>
  <conditionalFormatting sqref="O259:O264 O267:O269 O275">
    <cfRule type="containsText" dxfId="9" priority="44924" operator="containsText" text="No">
      <formula>NOT(ISERROR(SEARCH(("No"),(O259))))</formula>
    </cfRule>
  </conditionalFormatting>
  <conditionalFormatting sqref="O259:O264 O267:O269 O275">
    <cfRule type="containsText" dxfId="9" priority="44925" operator="containsText" text="No">
      <formula>NOT(ISERROR(SEARCH(("No"),(O259))))</formula>
    </cfRule>
  </conditionalFormatting>
  <conditionalFormatting sqref="O259:O264 O267:O269 O275">
    <cfRule type="containsText" dxfId="9" priority="44926" operator="containsText" text="No">
      <formula>NOT(ISERROR(SEARCH(("No"),(O259))))</formula>
    </cfRule>
  </conditionalFormatting>
  <conditionalFormatting sqref="O259:O264 O267:O269 O275">
    <cfRule type="containsText" dxfId="9" priority="44927" operator="containsText" text="No">
      <formula>NOT(ISERROR(SEARCH(("No"),(O259))))</formula>
    </cfRule>
  </conditionalFormatting>
  <conditionalFormatting sqref="O259:O264 O267:O269 O275">
    <cfRule type="containsText" dxfId="9" priority="44928" operator="containsText" text="No">
      <formula>NOT(ISERROR(SEARCH(("No"),(O259))))</formula>
    </cfRule>
  </conditionalFormatting>
  <conditionalFormatting sqref="O259:O264 O267:O269 O275">
    <cfRule type="containsText" dxfId="9" priority="44929" operator="containsText" text="No">
      <formula>NOT(ISERROR(SEARCH(("No"),(O259))))</formula>
    </cfRule>
  </conditionalFormatting>
  <conditionalFormatting sqref="O259:O264 O267:O269 O275">
    <cfRule type="containsText" dxfId="9" priority="44930" operator="containsText" text="No">
      <formula>NOT(ISERROR(SEARCH(("No"),(O259))))</formula>
    </cfRule>
  </conditionalFormatting>
  <conditionalFormatting sqref="O259:O264 O267:O269 O275">
    <cfRule type="containsText" dxfId="9" priority="44931" operator="containsText" text="No">
      <formula>NOT(ISERROR(SEARCH(("No"),(O259))))</formula>
    </cfRule>
  </conditionalFormatting>
  <conditionalFormatting sqref="O259:O264 O267:O269 O275">
    <cfRule type="containsText" dxfId="9" priority="44932" operator="containsText" text="No">
      <formula>NOT(ISERROR(SEARCH(("No"),(O259))))</formula>
    </cfRule>
  </conditionalFormatting>
  <conditionalFormatting sqref="O259:O264 O267:O269 O275">
    <cfRule type="containsText" dxfId="9" priority="44933" operator="containsText" text="No">
      <formula>NOT(ISERROR(SEARCH(("No"),(O259))))</formula>
    </cfRule>
  </conditionalFormatting>
  <conditionalFormatting sqref="O259:O264 O267:O269 O275">
    <cfRule type="containsText" dxfId="9" priority="44934" operator="containsText" text="No">
      <formula>NOT(ISERROR(SEARCH(("No"),(O259))))</formula>
    </cfRule>
  </conditionalFormatting>
  <conditionalFormatting sqref="O259:O264 O267:O269 O275">
    <cfRule type="containsText" dxfId="9" priority="44935" operator="containsText" text="No">
      <formula>NOT(ISERROR(SEARCH(("No"),(O259))))</formula>
    </cfRule>
  </conditionalFormatting>
  <conditionalFormatting sqref="O259:O264 O267:O269 O275">
    <cfRule type="containsText" dxfId="9" priority="44936" operator="containsText" text="No">
      <formula>NOT(ISERROR(SEARCH(("No"),(O259))))</formula>
    </cfRule>
  </conditionalFormatting>
  <conditionalFormatting sqref="O259:O264 O267:O269 O275">
    <cfRule type="containsText" dxfId="9" priority="44937" operator="containsText" text="No">
      <formula>NOT(ISERROR(SEARCH(("No"),(O259))))</formula>
    </cfRule>
  </conditionalFormatting>
  <conditionalFormatting sqref="O259:O264 O267:O269 O275">
    <cfRule type="containsText" dxfId="9" priority="44938" operator="containsText" text="No">
      <formula>NOT(ISERROR(SEARCH(("No"),(O259))))</formula>
    </cfRule>
  </conditionalFormatting>
  <conditionalFormatting sqref="O259:O264 O267:O269 O275">
    <cfRule type="containsText" dxfId="9" priority="44939" operator="containsText" text="No">
      <formula>NOT(ISERROR(SEARCH(("No"),(O259))))</formula>
    </cfRule>
  </conditionalFormatting>
  <conditionalFormatting sqref="O259:O264 O267:O269 O275">
    <cfRule type="containsText" dxfId="9" priority="44940" operator="containsText" text="No">
      <formula>NOT(ISERROR(SEARCH(("No"),(O259))))</formula>
    </cfRule>
  </conditionalFormatting>
  <conditionalFormatting sqref="O259:O264 O267:O269 O275">
    <cfRule type="containsText" dxfId="9" priority="44941" operator="containsText" text="No">
      <formula>NOT(ISERROR(SEARCH(("No"),(O259))))</formula>
    </cfRule>
  </conditionalFormatting>
  <conditionalFormatting sqref="O259:O264 O267:O269 O275">
    <cfRule type="containsText" dxfId="9" priority="44942" operator="containsText" text="No">
      <formula>NOT(ISERROR(SEARCH(("No"),(O259))))</formula>
    </cfRule>
  </conditionalFormatting>
  <conditionalFormatting sqref="O259:O264 O267:O269 O275">
    <cfRule type="containsText" dxfId="9" priority="44943" operator="containsText" text="No">
      <formula>NOT(ISERROR(SEARCH(("No"),(O259))))</formula>
    </cfRule>
  </conditionalFormatting>
  <conditionalFormatting sqref="O259:O264 O267:O269 O275">
    <cfRule type="containsText" dxfId="9" priority="44944" operator="containsText" text="No">
      <formula>NOT(ISERROR(SEARCH(("No"),(O259))))</formula>
    </cfRule>
  </conditionalFormatting>
  <conditionalFormatting sqref="O259:O264 O267:O269 O275">
    <cfRule type="containsText" dxfId="9" priority="44945" operator="containsText" text="No">
      <formula>NOT(ISERROR(SEARCH(("No"),(O259))))</formula>
    </cfRule>
  </conditionalFormatting>
  <conditionalFormatting sqref="O259:O264 O267:O269 O275">
    <cfRule type="containsText" dxfId="9" priority="44946" operator="containsText" text="No">
      <formula>NOT(ISERROR(SEARCH(("No"),(O259))))</formula>
    </cfRule>
  </conditionalFormatting>
  <conditionalFormatting sqref="O259:O264 O267:O269 O275">
    <cfRule type="containsText" dxfId="9" priority="44947" operator="containsText" text="No">
      <formula>NOT(ISERROR(SEARCH(("No"),(O259))))</formula>
    </cfRule>
  </conditionalFormatting>
  <conditionalFormatting sqref="O259:O264 O267:O269 O275">
    <cfRule type="containsText" dxfId="9" priority="44948" operator="containsText" text="No">
      <formula>NOT(ISERROR(SEARCH(("No"),(O259))))</formula>
    </cfRule>
  </conditionalFormatting>
  <conditionalFormatting sqref="O259:O264 O267:O269 O275">
    <cfRule type="containsText" dxfId="9" priority="44949" operator="containsText" text="No">
      <formula>NOT(ISERROR(SEARCH(("No"),(O259))))</formula>
    </cfRule>
  </conditionalFormatting>
  <conditionalFormatting sqref="O259:O264 O267:O269 O275">
    <cfRule type="containsText" dxfId="9" priority="44950" operator="containsText" text="No">
      <formula>NOT(ISERROR(SEARCH(("No"),(O259))))</formula>
    </cfRule>
  </conditionalFormatting>
  <conditionalFormatting sqref="O259:O264 O267:O269 O275">
    <cfRule type="containsText" dxfId="9" priority="44951" operator="containsText" text="No">
      <formula>NOT(ISERROR(SEARCH(("No"),(O259))))</formula>
    </cfRule>
  </conditionalFormatting>
  <conditionalFormatting sqref="O259:O264 O267:O269 O275">
    <cfRule type="containsText" dxfId="9" priority="44952" operator="containsText" text="No">
      <formula>NOT(ISERROR(SEARCH(("No"),(O259))))</formula>
    </cfRule>
  </conditionalFormatting>
  <conditionalFormatting sqref="O259:O264 O267:O269 O275">
    <cfRule type="containsText" dxfId="9" priority="44953" operator="containsText" text="No">
      <formula>NOT(ISERROR(SEARCH(("No"),(O259))))</formula>
    </cfRule>
  </conditionalFormatting>
  <conditionalFormatting sqref="O259:O264 O267:O269 O275">
    <cfRule type="containsText" dxfId="2" priority="44954" operator="containsText" text="Yes">
      <formula>NOT(ISERROR(SEARCH(("Yes"),(O259))))</formula>
    </cfRule>
  </conditionalFormatting>
  <conditionalFormatting sqref="O259:O264 O267:O269 O275">
    <cfRule type="containsText" dxfId="2" priority="44955" operator="containsText" text="Yes">
      <formula>NOT(ISERROR(SEARCH(("Yes"),(O259))))</formula>
    </cfRule>
  </conditionalFormatting>
  <conditionalFormatting sqref="O259:O264 O267:O269 O275">
    <cfRule type="containsText" dxfId="2" priority="44956" operator="containsText" text="Yes">
      <formula>NOT(ISERROR(SEARCH(("Yes"),(O259))))</formula>
    </cfRule>
  </conditionalFormatting>
  <conditionalFormatting sqref="O259:O264 O267:O269 O275">
    <cfRule type="containsText" dxfId="2" priority="44957" operator="containsText" text="Yes">
      <formula>NOT(ISERROR(SEARCH(("Yes"),(O259))))</formula>
    </cfRule>
  </conditionalFormatting>
  <conditionalFormatting sqref="O259:O264 O267:O269 O275">
    <cfRule type="containsText" dxfId="2" priority="44958" operator="containsText" text="Yes">
      <formula>NOT(ISERROR(SEARCH(("Yes"),(O259))))</formula>
    </cfRule>
  </conditionalFormatting>
  <conditionalFormatting sqref="O259:O264 O267:O269 O275">
    <cfRule type="containsText" dxfId="2" priority="44959" operator="containsText" text="Yes">
      <formula>NOT(ISERROR(SEARCH(("Yes"),(O259))))</formula>
    </cfRule>
  </conditionalFormatting>
  <conditionalFormatting sqref="O259:O264 O267:O269 O275">
    <cfRule type="containsText" dxfId="2" priority="44960" operator="containsText" text="Yes">
      <formula>NOT(ISERROR(SEARCH(("Yes"),(O259))))</formula>
    </cfRule>
  </conditionalFormatting>
  <conditionalFormatting sqref="O259:O264 O267:O269 O275">
    <cfRule type="containsText" dxfId="2" priority="44961" operator="containsText" text="Yes">
      <formula>NOT(ISERROR(SEARCH(("Yes"),(O259))))</formula>
    </cfRule>
  </conditionalFormatting>
  <conditionalFormatting sqref="O259:O264 O267:O269 O275">
    <cfRule type="containsText" dxfId="2" priority="44962" operator="containsText" text="Yes">
      <formula>NOT(ISERROR(SEARCH(("Yes"),(O259))))</formula>
    </cfRule>
  </conditionalFormatting>
  <conditionalFormatting sqref="O259:O264 O267:O269 O275">
    <cfRule type="containsText" dxfId="2" priority="44963" operator="containsText" text="Yes">
      <formula>NOT(ISERROR(SEARCH(("Yes"),(O259))))</formula>
    </cfRule>
  </conditionalFormatting>
  <conditionalFormatting sqref="O259:O264 O267:O269 O275">
    <cfRule type="containsText" dxfId="2" priority="44964" operator="containsText" text="Yes">
      <formula>NOT(ISERROR(SEARCH(("Yes"),(O259))))</formula>
    </cfRule>
  </conditionalFormatting>
  <conditionalFormatting sqref="O259:O264 O267:O269 O275">
    <cfRule type="containsText" dxfId="2" priority="44965" operator="containsText" text="Yes">
      <formula>NOT(ISERROR(SEARCH(("Yes"),(O259))))</formula>
    </cfRule>
  </conditionalFormatting>
  <conditionalFormatting sqref="O259:O264 O267:O269 O275">
    <cfRule type="containsText" dxfId="2" priority="44966" operator="containsText" text="Yes">
      <formula>NOT(ISERROR(SEARCH(("Yes"),(O259))))</formula>
    </cfRule>
  </conditionalFormatting>
  <conditionalFormatting sqref="O259:O264 O267:O269 O275">
    <cfRule type="containsText" dxfId="2" priority="44967" operator="containsText" text="Yes">
      <formula>NOT(ISERROR(SEARCH(("Yes"),(O259))))</formula>
    </cfRule>
  </conditionalFormatting>
  <conditionalFormatting sqref="O259:O264 O267:O269 O275">
    <cfRule type="containsText" dxfId="2" priority="44968" operator="containsText" text="Yes">
      <formula>NOT(ISERROR(SEARCH(("Yes"),(O259))))</formula>
    </cfRule>
  </conditionalFormatting>
  <conditionalFormatting sqref="O259:O264 O267:O269 O275">
    <cfRule type="containsText" dxfId="2" priority="44969" operator="containsText" text="Yes">
      <formula>NOT(ISERROR(SEARCH(("Yes"),(O259))))</formula>
    </cfRule>
  </conditionalFormatting>
  <conditionalFormatting sqref="O259:O264 O267:O269 O275">
    <cfRule type="containsText" dxfId="2" priority="44970" operator="containsText" text="Yes">
      <formula>NOT(ISERROR(SEARCH(("Yes"),(O259))))</formula>
    </cfRule>
  </conditionalFormatting>
  <conditionalFormatting sqref="O259:O264 O267:O269 O275">
    <cfRule type="containsText" dxfId="2" priority="44971" operator="containsText" text="Yes">
      <formula>NOT(ISERROR(SEARCH(("Yes"),(O259))))</formula>
    </cfRule>
  </conditionalFormatting>
  <conditionalFormatting sqref="O259:O264 O267:O269 O275">
    <cfRule type="containsText" dxfId="2" priority="44972" operator="containsText" text="Yes">
      <formula>NOT(ISERROR(SEARCH(("Yes"),(O259))))</formula>
    </cfRule>
  </conditionalFormatting>
  <conditionalFormatting sqref="O259:O264 O267:O269 O275">
    <cfRule type="containsText" dxfId="2" priority="44973" operator="containsText" text="Yes">
      <formula>NOT(ISERROR(SEARCH(("Yes"),(O259))))</formula>
    </cfRule>
  </conditionalFormatting>
  <conditionalFormatting sqref="O259:O264 O267:O269 O275">
    <cfRule type="containsText" dxfId="2" priority="44974" operator="containsText" text="Yes">
      <formula>NOT(ISERROR(SEARCH(("Yes"),(O259))))</formula>
    </cfRule>
  </conditionalFormatting>
  <conditionalFormatting sqref="O259:O264 O267:O269 O275">
    <cfRule type="containsText" dxfId="2" priority="44975" operator="containsText" text="Yes">
      <formula>NOT(ISERROR(SEARCH(("Yes"),(O259))))</formula>
    </cfRule>
  </conditionalFormatting>
  <conditionalFormatting sqref="O259:O264 O267:O269 O275">
    <cfRule type="containsText" dxfId="2" priority="44976" operator="containsText" text="Yes">
      <formula>NOT(ISERROR(SEARCH(("Yes"),(O259))))</formula>
    </cfRule>
  </conditionalFormatting>
  <conditionalFormatting sqref="O259:O264 O267:O269 O275">
    <cfRule type="containsText" dxfId="2" priority="44977" operator="containsText" text="Yes">
      <formula>NOT(ISERROR(SEARCH(("Yes"),(O259))))</formula>
    </cfRule>
  </conditionalFormatting>
  <conditionalFormatting sqref="O259:O264 O267:O269 O275">
    <cfRule type="containsText" dxfId="2" priority="44978" operator="containsText" text="Yes">
      <formula>NOT(ISERROR(SEARCH(("Yes"),(O259))))</formula>
    </cfRule>
  </conditionalFormatting>
  <conditionalFormatting sqref="O259:O264 O267:O269 O275">
    <cfRule type="containsText" dxfId="2" priority="44979" operator="containsText" text="Yes">
      <formula>NOT(ISERROR(SEARCH(("Yes"),(O259))))</formula>
    </cfRule>
  </conditionalFormatting>
  <conditionalFormatting sqref="O259:O264 O267:O269 O275">
    <cfRule type="containsText" dxfId="2" priority="44980" operator="containsText" text="Yes">
      <formula>NOT(ISERROR(SEARCH(("Yes"),(O259))))</formula>
    </cfRule>
  </conditionalFormatting>
  <conditionalFormatting sqref="O259:O264 O267:O269 O275">
    <cfRule type="containsText" dxfId="2" priority="44981" operator="containsText" text="Yes">
      <formula>NOT(ISERROR(SEARCH(("Yes"),(O259))))</formula>
    </cfRule>
  </conditionalFormatting>
  <conditionalFormatting sqref="O259:O264 O267:O269 O275">
    <cfRule type="containsText" dxfId="2" priority="44982" operator="containsText" text="Yes">
      <formula>NOT(ISERROR(SEARCH(("Yes"),(O259))))</formula>
    </cfRule>
  </conditionalFormatting>
  <conditionalFormatting sqref="O259:O264 O267:O269 O275">
    <cfRule type="containsText" dxfId="2" priority="44983" operator="containsText" text="Yes">
      <formula>NOT(ISERROR(SEARCH(("Yes"),(O259))))</formula>
    </cfRule>
  </conditionalFormatting>
  <conditionalFormatting sqref="O259:O264 O267:O269 O275">
    <cfRule type="containsText" dxfId="2" priority="44984" operator="containsText" text="Yes">
      <formula>NOT(ISERROR(SEARCH(("Yes"),(O259))))</formula>
    </cfRule>
  </conditionalFormatting>
  <conditionalFormatting sqref="O259:O264 O267:O269 O275">
    <cfRule type="containsText" dxfId="2" priority="44985" operator="containsText" text="Yes">
      <formula>NOT(ISERROR(SEARCH(("Yes"),(O259))))</formula>
    </cfRule>
  </conditionalFormatting>
  <conditionalFormatting sqref="O259:O264 O267:O269 O275">
    <cfRule type="containsText" dxfId="2" priority="44986" operator="containsText" text="Yes">
      <formula>NOT(ISERROR(SEARCH(("Yes"),(O259))))</formula>
    </cfRule>
  </conditionalFormatting>
  <conditionalFormatting sqref="O259:O264 O267:O269 O275">
    <cfRule type="containsText" dxfId="2" priority="44987" operator="containsText" text="Yes">
      <formula>NOT(ISERROR(SEARCH(("Yes"),(O259))))</formula>
    </cfRule>
  </conditionalFormatting>
  <conditionalFormatting sqref="O259:O264 O267:O269 O275">
    <cfRule type="containsText" dxfId="2" priority="44988" operator="containsText" text="Yes">
      <formula>NOT(ISERROR(SEARCH(("Yes"),(O259))))</formula>
    </cfRule>
  </conditionalFormatting>
  <conditionalFormatting sqref="O259:O264 O267:O269 O275">
    <cfRule type="containsText" dxfId="2" priority="44989" operator="containsText" text="Yes">
      <formula>NOT(ISERROR(SEARCH(("Yes"),(O259))))</formula>
    </cfRule>
  </conditionalFormatting>
  <conditionalFormatting sqref="O259:O264 O267:O269 O275">
    <cfRule type="containsText" dxfId="2" priority="44990" operator="containsText" text="Yes">
      <formula>NOT(ISERROR(SEARCH(("Yes"),(O259))))</formula>
    </cfRule>
  </conditionalFormatting>
  <conditionalFormatting sqref="O259:O264 O267:O269 O275">
    <cfRule type="containsText" dxfId="2" priority="44991" operator="containsText" text="Yes">
      <formula>NOT(ISERROR(SEARCH(("Yes"),(O259))))</formula>
    </cfRule>
  </conditionalFormatting>
  <conditionalFormatting sqref="O259:O264 O267:O269 O275">
    <cfRule type="containsText" dxfId="2" priority="44992" operator="containsText" text="Yes">
      <formula>NOT(ISERROR(SEARCH(("Yes"),(O259))))</formula>
    </cfRule>
  </conditionalFormatting>
  <conditionalFormatting sqref="O259:O264 O267:O269 O275">
    <cfRule type="containsText" dxfId="2" priority="44993" operator="containsText" text="Yes">
      <formula>NOT(ISERROR(SEARCH(("Yes"),(O259))))</formula>
    </cfRule>
  </conditionalFormatting>
  <conditionalFormatting sqref="O259:O264 O267:O269 O275">
    <cfRule type="containsText" dxfId="2" priority="44994" operator="containsText" text="Yes">
      <formula>NOT(ISERROR(SEARCH(("Yes"),(O259))))</formula>
    </cfRule>
  </conditionalFormatting>
  <conditionalFormatting sqref="O259:O264 O267:O269 O275">
    <cfRule type="containsText" dxfId="2" priority="44995" operator="containsText" text="Yes">
      <formula>NOT(ISERROR(SEARCH(("Yes"),(O259))))</formula>
    </cfRule>
  </conditionalFormatting>
  <conditionalFormatting sqref="O259:O264 O267:O269 O275">
    <cfRule type="containsText" dxfId="2" priority="44996" operator="containsText" text="Yes">
      <formula>NOT(ISERROR(SEARCH(("Yes"),(O259))))</formula>
    </cfRule>
  </conditionalFormatting>
  <conditionalFormatting sqref="O259:O264 O267:O269 O275">
    <cfRule type="containsText" dxfId="2" priority="44997" operator="containsText" text="Yes">
      <formula>NOT(ISERROR(SEARCH(("Yes"),(O259))))</formula>
    </cfRule>
  </conditionalFormatting>
  <conditionalFormatting sqref="O259:O264 O267:O269 O275">
    <cfRule type="containsText" dxfId="2" priority="44998" operator="containsText" text="Yes">
      <formula>NOT(ISERROR(SEARCH(("Yes"),(O259))))</formula>
    </cfRule>
  </conditionalFormatting>
  <conditionalFormatting sqref="O259:O264 O267:O269 O275">
    <cfRule type="containsText" dxfId="2" priority="44999" operator="containsText" text="Yes">
      <formula>NOT(ISERROR(SEARCH(("Yes"),(O259))))</formula>
    </cfRule>
  </conditionalFormatting>
  <conditionalFormatting sqref="O259:O264 O267:O269 O275">
    <cfRule type="containsText" dxfId="2" priority="45000" operator="containsText" text="Yes">
      <formula>NOT(ISERROR(SEARCH(("Yes"),(O259))))</formula>
    </cfRule>
  </conditionalFormatting>
  <conditionalFormatting sqref="O261:O264 O267:Q269 O275:Q275 P260:Q264">
    <cfRule type="containsText" dxfId="9" priority="45001" operator="containsText" text="No">
      <formula>NOT(ISERROR(SEARCH(("No"),(O261))))</formula>
    </cfRule>
  </conditionalFormatting>
  <conditionalFormatting sqref="O261:O264 O267:Q269 O275:Q275 P260:Q264">
    <cfRule type="containsText" dxfId="9" priority="45002" operator="containsText" text="No">
      <formula>NOT(ISERROR(SEARCH(("No"),(O261))))</formula>
    </cfRule>
  </conditionalFormatting>
  <conditionalFormatting sqref="O261:O264 O267:Q269 O275:Q275 P260:Q264">
    <cfRule type="containsText" dxfId="9" priority="45003" operator="containsText" text="No">
      <formula>NOT(ISERROR(SEARCH(("No"),(O261))))</formula>
    </cfRule>
  </conditionalFormatting>
  <conditionalFormatting sqref="O261:O264 O267:Q269 O275:Q275 P260:Q264">
    <cfRule type="containsText" dxfId="9" priority="45004" operator="containsText" text="No">
      <formula>NOT(ISERROR(SEARCH(("No"),(O261))))</formula>
    </cfRule>
  </conditionalFormatting>
  <conditionalFormatting sqref="O261:O264 O267:Q269 O275:Q275 P260:Q264">
    <cfRule type="containsText" dxfId="9" priority="45005" operator="containsText" text="No">
      <formula>NOT(ISERROR(SEARCH(("No"),(O261))))</formula>
    </cfRule>
  </conditionalFormatting>
  <conditionalFormatting sqref="O261:O264 O267:Q269 O275:Q275 P260:Q264">
    <cfRule type="containsText" dxfId="9" priority="45006" operator="containsText" text="No">
      <formula>NOT(ISERROR(SEARCH(("No"),(O261))))</formula>
    </cfRule>
  </conditionalFormatting>
  <conditionalFormatting sqref="O261:O264 O267:Q269 O275:Q275 P260:Q264">
    <cfRule type="containsText" dxfId="9" priority="45007" operator="containsText" text="No">
      <formula>NOT(ISERROR(SEARCH(("No"),(O261))))</formula>
    </cfRule>
  </conditionalFormatting>
  <conditionalFormatting sqref="O261:O264 O267:Q269 O275:Q275 P260:Q264">
    <cfRule type="containsText" dxfId="9" priority="45008" operator="containsText" text="No">
      <formula>NOT(ISERROR(SEARCH(("No"),(O261))))</formula>
    </cfRule>
  </conditionalFormatting>
  <conditionalFormatting sqref="O261:O264 O267:Q269 O275:Q275 P260:Q264">
    <cfRule type="containsText" dxfId="9" priority="45009" operator="containsText" text="No">
      <formula>NOT(ISERROR(SEARCH(("No"),(O261))))</formula>
    </cfRule>
  </conditionalFormatting>
  <conditionalFormatting sqref="O261:O264 O267:Q269 O275:Q275 P260:Q264">
    <cfRule type="containsText" dxfId="9" priority="45010" operator="containsText" text="No">
      <formula>NOT(ISERROR(SEARCH(("No"),(O261))))</formula>
    </cfRule>
  </conditionalFormatting>
  <conditionalFormatting sqref="O261:O264 O267:Q269 O275:Q275 P260:Q264">
    <cfRule type="containsText" dxfId="9" priority="45011" operator="containsText" text="No">
      <formula>NOT(ISERROR(SEARCH(("No"),(O261))))</formula>
    </cfRule>
  </conditionalFormatting>
  <conditionalFormatting sqref="O261:O264 O267:Q269 O275:Q275 P260:Q264">
    <cfRule type="containsText" dxfId="9" priority="45012" operator="containsText" text="No">
      <formula>NOT(ISERROR(SEARCH(("No"),(O261))))</formula>
    </cfRule>
  </conditionalFormatting>
  <conditionalFormatting sqref="O261:O264 O267:Q269 O275:Q275 P260:Q264">
    <cfRule type="containsText" dxfId="9" priority="45013" operator="containsText" text="No">
      <formula>NOT(ISERROR(SEARCH(("No"),(O261))))</formula>
    </cfRule>
  </conditionalFormatting>
  <conditionalFormatting sqref="O261:O264 O267:Q269 O275:Q275 P260:Q264">
    <cfRule type="containsText" dxfId="9" priority="45014" operator="containsText" text="No">
      <formula>NOT(ISERROR(SEARCH(("No"),(O261))))</formula>
    </cfRule>
  </conditionalFormatting>
  <conditionalFormatting sqref="O261:O264 O267:Q269 O275:Q275 P260:Q264">
    <cfRule type="containsText" dxfId="9" priority="45015" operator="containsText" text="No">
      <formula>NOT(ISERROR(SEARCH(("No"),(O261))))</formula>
    </cfRule>
  </conditionalFormatting>
  <conditionalFormatting sqref="O261:O264 O267:Q269 O275:Q275 P260:Q264">
    <cfRule type="containsText" dxfId="9" priority="45016" operator="containsText" text="No">
      <formula>NOT(ISERROR(SEARCH(("No"),(O261))))</formula>
    </cfRule>
  </conditionalFormatting>
  <conditionalFormatting sqref="O261:O264 O267:Q269 O275:Q275 P260:Q264">
    <cfRule type="containsText" dxfId="9" priority="45017" operator="containsText" text="No">
      <formula>NOT(ISERROR(SEARCH(("No"),(O261))))</formula>
    </cfRule>
  </conditionalFormatting>
  <conditionalFormatting sqref="O261:O264 O267:Q269 O275:Q275 P260:Q264">
    <cfRule type="containsText" dxfId="9" priority="45018" operator="containsText" text="No">
      <formula>NOT(ISERROR(SEARCH(("No"),(O261))))</formula>
    </cfRule>
  </conditionalFormatting>
  <conditionalFormatting sqref="O261:O264 O267:Q269 O275:Q275 P260:Q264">
    <cfRule type="containsText" dxfId="9" priority="45019" operator="containsText" text="No">
      <formula>NOT(ISERROR(SEARCH(("No"),(O261))))</formula>
    </cfRule>
  </conditionalFormatting>
  <conditionalFormatting sqref="O261:O264 O267:Q269 O275:Q275 P260:Q264">
    <cfRule type="containsText" dxfId="9" priority="45020" operator="containsText" text="No">
      <formula>NOT(ISERROR(SEARCH(("No"),(O261))))</formula>
    </cfRule>
  </conditionalFormatting>
  <conditionalFormatting sqref="O261:O264 O267:Q269 O275:Q275 P260:Q264">
    <cfRule type="containsText" dxfId="9" priority="45021" operator="containsText" text="No">
      <formula>NOT(ISERROR(SEARCH(("No"),(O261))))</formula>
    </cfRule>
  </conditionalFormatting>
  <conditionalFormatting sqref="O261:O264 O267:Q269 O275:Q275 P260:Q264">
    <cfRule type="containsText" dxfId="9" priority="45022" operator="containsText" text="No">
      <formula>NOT(ISERROR(SEARCH(("No"),(O261))))</formula>
    </cfRule>
  </conditionalFormatting>
  <conditionalFormatting sqref="O261:O264 O267:Q269 O275:Q275 P260:Q264">
    <cfRule type="containsText" dxfId="9" priority="45023" operator="containsText" text="No">
      <formula>NOT(ISERROR(SEARCH(("No"),(O261))))</formula>
    </cfRule>
  </conditionalFormatting>
  <conditionalFormatting sqref="O261:O264 O267:Q269 O275:Q275 P260:Q264">
    <cfRule type="containsText" dxfId="9" priority="45024" operator="containsText" text="No">
      <formula>NOT(ISERROR(SEARCH(("No"),(O261))))</formula>
    </cfRule>
  </conditionalFormatting>
  <conditionalFormatting sqref="O261:O264 O267:Q269 O275:Q275 P260:Q264">
    <cfRule type="containsText" dxfId="9" priority="45025" operator="containsText" text="No">
      <formula>NOT(ISERROR(SEARCH(("No"),(O261))))</formula>
    </cfRule>
  </conditionalFormatting>
  <conditionalFormatting sqref="O261:O264 O267:Q269 O275:Q275 P260:Q264">
    <cfRule type="containsText" dxfId="9" priority="45026" operator="containsText" text="No">
      <formula>NOT(ISERROR(SEARCH(("No"),(O261))))</formula>
    </cfRule>
  </conditionalFormatting>
  <conditionalFormatting sqref="O261:O264 O267:Q269 O275:Q275 P260:Q264">
    <cfRule type="containsText" dxfId="9" priority="45027" operator="containsText" text="No">
      <formula>NOT(ISERROR(SEARCH(("No"),(O261))))</formula>
    </cfRule>
  </conditionalFormatting>
  <conditionalFormatting sqref="O261:O264 O267:Q269 O275:Q275 P260:Q264">
    <cfRule type="containsText" dxfId="9" priority="45028" operator="containsText" text="No">
      <formula>NOT(ISERROR(SEARCH(("No"),(O261))))</formula>
    </cfRule>
  </conditionalFormatting>
  <conditionalFormatting sqref="O261:O264 O267:Q269 O275:Q275 P260:Q264">
    <cfRule type="containsText" dxfId="9" priority="45029" operator="containsText" text="No">
      <formula>NOT(ISERROR(SEARCH(("No"),(O261))))</formula>
    </cfRule>
  </conditionalFormatting>
  <conditionalFormatting sqref="O261:O264 O267:Q269 O275:Q275 P260:Q264">
    <cfRule type="containsText" dxfId="9" priority="45030" operator="containsText" text="No">
      <formula>NOT(ISERROR(SEARCH(("No"),(O261))))</formula>
    </cfRule>
  </conditionalFormatting>
  <conditionalFormatting sqref="O261:O264 O267:Q269 O275:Q275 P260:Q264">
    <cfRule type="containsText" dxfId="9" priority="45031" operator="containsText" text="No">
      <formula>NOT(ISERROR(SEARCH(("No"),(O261))))</formula>
    </cfRule>
  </conditionalFormatting>
  <conditionalFormatting sqref="O261:O264 O267:Q269 O275:Q275 P260:Q264">
    <cfRule type="containsText" dxfId="9" priority="45032" operator="containsText" text="No">
      <formula>NOT(ISERROR(SEARCH(("No"),(O261))))</formula>
    </cfRule>
  </conditionalFormatting>
  <conditionalFormatting sqref="O261:O264 O267:Q269 O275:Q275 P260:Q264">
    <cfRule type="containsText" dxfId="9" priority="45033" operator="containsText" text="No">
      <formula>NOT(ISERROR(SEARCH(("No"),(O261))))</formula>
    </cfRule>
  </conditionalFormatting>
  <conditionalFormatting sqref="O261:O264 O267:Q269 O275:Q275 P260:Q264">
    <cfRule type="containsText" dxfId="9" priority="45034" operator="containsText" text="No">
      <formula>NOT(ISERROR(SEARCH(("No"),(O261))))</formula>
    </cfRule>
  </conditionalFormatting>
  <conditionalFormatting sqref="O261:O264 O267:Q269 O275:Q275 P260:Q264">
    <cfRule type="containsText" dxfId="9" priority="45035" operator="containsText" text="No">
      <formula>NOT(ISERROR(SEARCH(("No"),(O261))))</formula>
    </cfRule>
  </conditionalFormatting>
  <conditionalFormatting sqref="O261:O264 O267:Q269 O275:Q275 P260:Q264">
    <cfRule type="containsText" dxfId="9" priority="45036" operator="containsText" text="No">
      <formula>NOT(ISERROR(SEARCH(("No"),(O261))))</formula>
    </cfRule>
  </conditionalFormatting>
  <conditionalFormatting sqref="O261:O264 O267:Q269 O275:Q275 P260:Q264">
    <cfRule type="containsText" dxfId="9" priority="45037" operator="containsText" text="No">
      <formula>NOT(ISERROR(SEARCH(("No"),(O261))))</formula>
    </cfRule>
  </conditionalFormatting>
  <conditionalFormatting sqref="O261:O264 O267:Q269 O275:Q275 P260:Q264">
    <cfRule type="containsText" dxfId="9" priority="45038" operator="containsText" text="No">
      <formula>NOT(ISERROR(SEARCH(("No"),(O261))))</formula>
    </cfRule>
  </conditionalFormatting>
  <conditionalFormatting sqref="O261:O264 O267:Q269 O275:Q275 P260:Q264">
    <cfRule type="containsText" dxfId="9" priority="45039" operator="containsText" text="No">
      <formula>NOT(ISERROR(SEARCH(("No"),(O261))))</formula>
    </cfRule>
  </conditionalFormatting>
  <conditionalFormatting sqref="O261:O264 O267:Q269 O275:Q275 P260:Q264">
    <cfRule type="containsText" dxfId="9" priority="45040" operator="containsText" text="No">
      <formula>NOT(ISERROR(SEARCH(("No"),(O261))))</formula>
    </cfRule>
  </conditionalFormatting>
  <conditionalFormatting sqref="O261:O264 O267:Q269 O275:Q275 P260:Q264">
    <cfRule type="containsText" dxfId="9" priority="45041" operator="containsText" text="No">
      <formula>NOT(ISERROR(SEARCH(("No"),(O261))))</formula>
    </cfRule>
  </conditionalFormatting>
  <conditionalFormatting sqref="O261:O264 O267:Q269 O275:Q275 P260:Q264">
    <cfRule type="containsText" dxfId="9" priority="45042" operator="containsText" text="No">
      <formula>NOT(ISERROR(SEARCH(("No"),(O261))))</formula>
    </cfRule>
  </conditionalFormatting>
  <conditionalFormatting sqref="O261:O264 O267:Q269 O275:Q275 P260:Q264">
    <cfRule type="containsText" dxfId="9" priority="45043" operator="containsText" text="No">
      <formula>NOT(ISERROR(SEARCH(("No"),(O261))))</formula>
    </cfRule>
  </conditionalFormatting>
  <conditionalFormatting sqref="O261:O264 O267:Q269 O275:Q275 P260:Q264">
    <cfRule type="containsText" dxfId="9" priority="45044" operator="containsText" text="No">
      <formula>NOT(ISERROR(SEARCH(("No"),(O261))))</formula>
    </cfRule>
  </conditionalFormatting>
  <conditionalFormatting sqref="O261:O264 O267:Q269 O275:Q275 P260:Q264">
    <cfRule type="containsText" dxfId="9" priority="45045" operator="containsText" text="No">
      <formula>NOT(ISERROR(SEARCH(("No"),(O261))))</formula>
    </cfRule>
  </conditionalFormatting>
  <conditionalFormatting sqref="O261:O264 O267:Q269 O275:Q275 P260:Q264">
    <cfRule type="containsText" dxfId="2" priority="45046" operator="containsText" text="Yes">
      <formula>NOT(ISERROR(SEARCH(("Yes"),(O261))))</formula>
    </cfRule>
  </conditionalFormatting>
  <conditionalFormatting sqref="O261:O264 O267:Q269 O275:Q275 P260:Q264">
    <cfRule type="containsText" dxfId="2" priority="45047" operator="containsText" text="Yes">
      <formula>NOT(ISERROR(SEARCH(("Yes"),(O261))))</formula>
    </cfRule>
  </conditionalFormatting>
  <conditionalFormatting sqref="O261:O264 O267:Q269 O275:Q275 P260:Q264">
    <cfRule type="containsText" dxfId="2" priority="45048" operator="containsText" text="Yes">
      <formula>NOT(ISERROR(SEARCH(("Yes"),(O261))))</formula>
    </cfRule>
  </conditionalFormatting>
  <conditionalFormatting sqref="O261:O264 O267:Q269 O275:Q275 P260:Q264">
    <cfRule type="containsText" dxfId="2" priority="45049" operator="containsText" text="Yes">
      <formula>NOT(ISERROR(SEARCH(("Yes"),(O261))))</formula>
    </cfRule>
  </conditionalFormatting>
  <conditionalFormatting sqref="O261:O264 O267:Q269 O275:Q275 P260:Q264">
    <cfRule type="containsText" dxfId="2" priority="45050" operator="containsText" text="Yes">
      <formula>NOT(ISERROR(SEARCH(("Yes"),(O261))))</formula>
    </cfRule>
  </conditionalFormatting>
  <conditionalFormatting sqref="O261:O264 O267:Q269 O275:Q275 P260:Q264">
    <cfRule type="containsText" dxfId="2" priority="45051" operator="containsText" text="Yes">
      <formula>NOT(ISERROR(SEARCH(("Yes"),(O261))))</formula>
    </cfRule>
  </conditionalFormatting>
  <conditionalFormatting sqref="O261:O264 O267:Q269 O275:Q275 P260:Q264">
    <cfRule type="containsText" dxfId="2" priority="45052" operator="containsText" text="Yes">
      <formula>NOT(ISERROR(SEARCH(("Yes"),(O261))))</formula>
    </cfRule>
  </conditionalFormatting>
  <conditionalFormatting sqref="O261:O264 O267:Q269 O275:Q275 P260:Q264">
    <cfRule type="containsText" dxfId="2" priority="45053" operator="containsText" text="Yes">
      <formula>NOT(ISERROR(SEARCH(("Yes"),(O261))))</formula>
    </cfRule>
  </conditionalFormatting>
  <conditionalFormatting sqref="O261:O264 O267:Q269 O275:Q275 P260:Q264">
    <cfRule type="containsText" dxfId="2" priority="45054" operator="containsText" text="Yes">
      <formula>NOT(ISERROR(SEARCH(("Yes"),(O261))))</formula>
    </cfRule>
  </conditionalFormatting>
  <conditionalFormatting sqref="O261:O264 O267:Q269 O275:Q275 P260:Q264">
    <cfRule type="containsText" dxfId="2" priority="45055" operator="containsText" text="Yes">
      <formula>NOT(ISERROR(SEARCH(("Yes"),(O261))))</formula>
    </cfRule>
  </conditionalFormatting>
  <conditionalFormatting sqref="O261:O264 O267:Q269 O275:Q275 P260:Q264">
    <cfRule type="containsText" dxfId="2" priority="45056" operator="containsText" text="Yes">
      <formula>NOT(ISERROR(SEARCH(("Yes"),(O261))))</formula>
    </cfRule>
  </conditionalFormatting>
  <conditionalFormatting sqref="O261:O264 O267:Q269 O275:Q275 P260:Q264">
    <cfRule type="containsText" dxfId="2" priority="45057" operator="containsText" text="Yes">
      <formula>NOT(ISERROR(SEARCH(("Yes"),(O261))))</formula>
    </cfRule>
  </conditionalFormatting>
  <conditionalFormatting sqref="O261:O264 O267:Q269 O275:Q275 P260:Q264">
    <cfRule type="containsText" dxfId="2" priority="45058" operator="containsText" text="Yes">
      <formula>NOT(ISERROR(SEARCH(("Yes"),(O261))))</formula>
    </cfRule>
  </conditionalFormatting>
  <conditionalFormatting sqref="O261:O264 O267:Q269 O275:Q275 P260:Q264">
    <cfRule type="containsText" dxfId="2" priority="45059" operator="containsText" text="Yes">
      <formula>NOT(ISERROR(SEARCH(("Yes"),(O261))))</formula>
    </cfRule>
  </conditionalFormatting>
  <conditionalFormatting sqref="O261:O264 O267:Q269 O275:Q275 P260:Q264">
    <cfRule type="containsText" dxfId="2" priority="45060" operator="containsText" text="Yes">
      <formula>NOT(ISERROR(SEARCH(("Yes"),(O261))))</formula>
    </cfRule>
  </conditionalFormatting>
  <conditionalFormatting sqref="O261:O264 O267:Q269 O275:Q275 P260:Q264">
    <cfRule type="containsText" dxfId="2" priority="45061" operator="containsText" text="Yes">
      <formula>NOT(ISERROR(SEARCH(("Yes"),(O261))))</formula>
    </cfRule>
  </conditionalFormatting>
  <conditionalFormatting sqref="O261:O264 O267:Q269 O275:Q275 P260:Q264">
    <cfRule type="containsText" dxfId="2" priority="45062" operator="containsText" text="Yes">
      <formula>NOT(ISERROR(SEARCH(("Yes"),(O261))))</formula>
    </cfRule>
  </conditionalFormatting>
  <conditionalFormatting sqref="O261:O264 O267:Q269 O275:Q275 P260:Q264">
    <cfRule type="containsText" dxfId="2" priority="45063" operator="containsText" text="Yes">
      <formula>NOT(ISERROR(SEARCH(("Yes"),(O261))))</formula>
    </cfRule>
  </conditionalFormatting>
  <conditionalFormatting sqref="O261:O264 O267:Q269 O275:Q275 P260:Q264">
    <cfRule type="containsText" dxfId="2" priority="45064" operator="containsText" text="Yes">
      <formula>NOT(ISERROR(SEARCH(("Yes"),(O261))))</formula>
    </cfRule>
  </conditionalFormatting>
  <conditionalFormatting sqref="O261:O264 O267:Q269 O275:Q275 P260:Q264">
    <cfRule type="containsText" dxfId="2" priority="45065" operator="containsText" text="Yes">
      <formula>NOT(ISERROR(SEARCH(("Yes"),(O261))))</formula>
    </cfRule>
  </conditionalFormatting>
  <conditionalFormatting sqref="O261:O264 O267:Q269 O275:Q275 P260:Q264">
    <cfRule type="containsText" dxfId="2" priority="45066" operator="containsText" text="Yes">
      <formula>NOT(ISERROR(SEARCH(("Yes"),(O261))))</formula>
    </cfRule>
  </conditionalFormatting>
  <conditionalFormatting sqref="O261:O264 O267:Q269 O275:Q275 P260:Q264">
    <cfRule type="containsText" dxfId="2" priority="45067" operator="containsText" text="Yes">
      <formula>NOT(ISERROR(SEARCH(("Yes"),(O261))))</formula>
    </cfRule>
  </conditionalFormatting>
  <conditionalFormatting sqref="O261:O264 O267:Q269 O275:Q275 P260:Q264">
    <cfRule type="containsText" dxfId="2" priority="45068" operator="containsText" text="Yes">
      <formula>NOT(ISERROR(SEARCH(("Yes"),(O261))))</formula>
    </cfRule>
  </conditionalFormatting>
  <conditionalFormatting sqref="O261:O264 O267:Q269 O275:Q275 P260:Q264">
    <cfRule type="containsText" dxfId="2" priority="45069" operator="containsText" text="Yes">
      <formula>NOT(ISERROR(SEARCH(("Yes"),(O261))))</formula>
    </cfRule>
  </conditionalFormatting>
  <conditionalFormatting sqref="O261:O264 O267:Q269 O275:Q275 P260:Q264">
    <cfRule type="containsText" dxfId="2" priority="45070" operator="containsText" text="Yes">
      <formula>NOT(ISERROR(SEARCH(("Yes"),(O261))))</formula>
    </cfRule>
  </conditionalFormatting>
  <conditionalFormatting sqref="O261:O264 O267:Q269 O275:Q275 P260:Q264">
    <cfRule type="containsText" dxfId="2" priority="45071" operator="containsText" text="Yes">
      <formula>NOT(ISERROR(SEARCH(("Yes"),(O261))))</formula>
    </cfRule>
  </conditionalFormatting>
  <conditionalFormatting sqref="O261:O264 O267:Q269 O275:Q275 P260:Q264">
    <cfRule type="containsText" dxfId="2" priority="45072" operator="containsText" text="Yes">
      <formula>NOT(ISERROR(SEARCH(("Yes"),(O261))))</formula>
    </cfRule>
  </conditionalFormatting>
  <conditionalFormatting sqref="O261:O264 O267:Q269 O275:Q275 P260:Q264">
    <cfRule type="containsText" dxfId="2" priority="45073" operator="containsText" text="Yes">
      <formula>NOT(ISERROR(SEARCH(("Yes"),(O261))))</formula>
    </cfRule>
  </conditionalFormatting>
  <conditionalFormatting sqref="O261:O264 O267:Q269 O275:Q275 P260:Q264">
    <cfRule type="containsText" dxfId="2" priority="45074" operator="containsText" text="Yes">
      <formula>NOT(ISERROR(SEARCH(("Yes"),(O261))))</formula>
    </cfRule>
  </conditionalFormatting>
  <conditionalFormatting sqref="O261:O264 O267:Q269 O275:Q275 P260:Q264">
    <cfRule type="containsText" dxfId="2" priority="45075" operator="containsText" text="Yes">
      <formula>NOT(ISERROR(SEARCH(("Yes"),(O261))))</formula>
    </cfRule>
  </conditionalFormatting>
  <conditionalFormatting sqref="O261:O264 O267:Q269 O275:Q275 P260:Q264">
    <cfRule type="containsText" dxfId="2" priority="45076" operator="containsText" text="Yes">
      <formula>NOT(ISERROR(SEARCH(("Yes"),(O261))))</formula>
    </cfRule>
  </conditionalFormatting>
  <conditionalFormatting sqref="O261:O264 O267:Q269 O275:Q275 P260:Q264">
    <cfRule type="containsText" dxfId="2" priority="45077" operator="containsText" text="Yes">
      <formula>NOT(ISERROR(SEARCH(("Yes"),(O261))))</formula>
    </cfRule>
  </conditionalFormatting>
  <conditionalFormatting sqref="O261:O264 O267:Q269 O275:Q275 P260:Q264">
    <cfRule type="containsText" dxfId="2" priority="45078" operator="containsText" text="Yes">
      <formula>NOT(ISERROR(SEARCH(("Yes"),(O261))))</formula>
    </cfRule>
  </conditionalFormatting>
  <conditionalFormatting sqref="O261:O264 O267:Q269 O275:Q275 P260:Q264">
    <cfRule type="containsText" dxfId="2" priority="45079" operator="containsText" text="Yes">
      <formula>NOT(ISERROR(SEARCH(("Yes"),(O261))))</formula>
    </cfRule>
  </conditionalFormatting>
  <conditionalFormatting sqref="O261:O264 O267:Q269 O275:Q275 P260:Q264">
    <cfRule type="containsText" dxfId="2" priority="45080" operator="containsText" text="Yes">
      <formula>NOT(ISERROR(SEARCH(("Yes"),(O261))))</formula>
    </cfRule>
  </conditionalFormatting>
  <conditionalFormatting sqref="O261:O264 O267:Q269 O275:Q275 P260:Q264">
    <cfRule type="containsText" dxfId="2" priority="45081" operator="containsText" text="Yes">
      <formula>NOT(ISERROR(SEARCH(("Yes"),(O261))))</formula>
    </cfRule>
  </conditionalFormatting>
  <conditionalFormatting sqref="O261:O264 O267:Q269 O275:Q275 P260:Q264">
    <cfRule type="containsText" dxfId="2" priority="45082" operator="containsText" text="Yes">
      <formula>NOT(ISERROR(SEARCH(("Yes"),(O261))))</formula>
    </cfRule>
  </conditionalFormatting>
  <conditionalFormatting sqref="O261:O264 O267:Q269 O275:Q275 P260:Q264">
    <cfRule type="containsText" dxfId="2" priority="45083" operator="containsText" text="Yes">
      <formula>NOT(ISERROR(SEARCH(("Yes"),(O261))))</formula>
    </cfRule>
  </conditionalFormatting>
  <conditionalFormatting sqref="O261:O264 O267:Q269 O275:Q275 P260:Q264">
    <cfRule type="containsText" dxfId="2" priority="45084" operator="containsText" text="Yes">
      <formula>NOT(ISERROR(SEARCH(("Yes"),(O261))))</formula>
    </cfRule>
  </conditionalFormatting>
  <conditionalFormatting sqref="O261:O264 O267:Q269 O275:Q275 P260:Q264">
    <cfRule type="containsText" dxfId="2" priority="45085" operator="containsText" text="Yes">
      <formula>NOT(ISERROR(SEARCH(("Yes"),(O261))))</formula>
    </cfRule>
  </conditionalFormatting>
  <conditionalFormatting sqref="O261:O264 O267:Q269 O275:Q275 P260:Q264">
    <cfRule type="containsText" dxfId="2" priority="45086" operator="containsText" text="Yes">
      <formula>NOT(ISERROR(SEARCH(("Yes"),(O261))))</formula>
    </cfRule>
  </conditionalFormatting>
  <conditionalFormatting sqref="O261:O264 O267:Q269 O275:Q275 P260:Q264">
    <cfRule type="containsText" dxfId="2" priority="45087" operator="containsText" text="Yes">
      <formula>NOT(ISERROR(SEARCH(("Yes"),(O261))))</formula>
    </cfRule>
  </conditionalFormatting>
  <conditionalFormatting sqref="O261:O264 O267:Q269 O275:Q275 P260:Q264">
    <cfRule type="containsText" dxfId="2" priority="45088" operator="containsText" text="Yes">
      <formula>NOT(ISERROR(SEARCH(("Yes"),(O261))))</formula>
    </cfRule>
  </conditionalFormatting>
  <conditionalFormatting sqref="O261:O264 O267:Q269 O275:Q275 P260:Q264">
    <cfRule type="containsText" dxfId="2" priority="45089" operator="containsText" text="Yes">
      <formula>NOT(ISERROR(SEARCH(("Yes"),(O261))))</formula>
    </cfRule>
  </conditionalFormatting>
  <conditionalFormatting sqref="O261:O264 O267:Q269 O275:Q275 P260:Q264">
    <cfRule type="containsText" dxfId="2" priority="45090" operator="containsText" text="Yes">
      <formula>NOT(ISERROR(SEARCH(("Yes"),(O261))))</formula>
    </cfRule>
  </conditionalFormatting>
  <conditionalFormatting sqref="O261:O264 O267:Q269 O275:Q275 P260:Q264">
    <cfRule type="containsText" dxfId="2" priority="45091" operator="containsText" text="Yes">
      <formula>NOT(ISERROR(SEARCH(("Yes"),(O261))))</formula>
    </cfRule>
  </conditionalFormatting>
  <conditionalFormatting sqref="O261:O264 O267:Q269 O275:Q275 P260:Q264">
    <cfRule type="containsText" dxfId="2" priority="45092" operator="containsText" text="Yes">
      <formula>NOT(ISERROR(SEARCH(("Yes"),(O261))))</formula>
    </cfRule>
  </conditionalFormatting>
  <conditionalFormatting sqref="O261:O264 O267:O269 O275">
    <cfRule type="containsText" dxfId="9" priority="45093" operator="containsText" text="No">
      <formula>NOT(ISERROR(SEARCH(("No"),(O261))))</formula>
    </cfRule>
  </conditionalFormatting>
  <conditionalFormatting sqref="O261:O264 O267:O269 O275">
    <cfRule type="containsText" dxfId="9" priority="45094" operator="containsText" text="No">
      <formula>NOT(ISERROR(SEARCH(("No"),(O261))))</formula>
    </cfRule>
  </conditionalFormatting>
  <conditionalFormatting sqref="O261:O264 O267:O269 O275">
    <cfRule type="containsText" dxfId="9" priority="45095" operator="containsText" text="No">
      <formula>NOT(ISERROR(SEARCH(("No"),(O261))))</formula>
    </cfRule>
  </conditionalFormatting>
  <conditionalFormatting sqref="O261:O264 O267:O269 O275">
    <cfRule type="containsText" dxfId="2" priority="45096" operator="containsText" text="Yes">
      <formula>NOT(ISERROR(SEARCH(("Yes"),(O261))))</formula>
    </cfRule>
  </conditionalFormatting>
  <conditionalFormatting sqref="O261:O264 O267:O269 O275">
    <cfRule type="containsText" dxfId="2" priority="45097" operator="containsText" text="Yes">
      <formula>NOT(ISERROR(SEARCH(("Yes"),(O261))))</formula>
    </cfRule>
  </conditionalFormatting>
  <conditionalFormatting sqref="O261:O264 O267:O269 O275">
    <cfRule type="containsText" dxfId="2" priority="45098" operator="containsText" text="Yes">
      <formula>NOT(ISERROR(SEARCH(("Yes"),(O261))))</formula>
    </cfRule>
  </conditionalFormatting>
  <conditionalFormatting sqref="O261:O264 O267:O269 O275">
    <cfRule type="containsText" dxfId="2" priority="45099" operator="containsText" text="Yes">
      <formula>NOT(ISERROR(SEARCH(("Yes"),(O261))))</formula>
    </cfRule>
  </conditionalFormatting>
  <conditionalFormatting sqref="O261:O264 O267:O269 O275">
    <cfRule type="containsText" dxfId="2" priority="45100" operator="containsText" text="Yes">
      <formula>NOT(ISERROR(SEARCH(("Yes"),(O261))))</formula>
    </cfRule>
  </conditionalFormatting>
  <conditionalFormatting sqref="O261:O264 O267:O269 O275">
    <cfRule type="containsText" dxfId="9" priority="45101" operator="containsText" text="No">
      <formula>NOT(ISERROR(SEARCH(("No"),(O261))))</formula>
    </cfRule>
  </conditionalFormatting>
  <conditionalFormatting sqref="O261:O264 O267:O269 O275">
    <cfRule type="containsText" dxfId="9" priority="45102" operator="containsText" text="No">
      <formula>NOT(ISERROR(SEARCH(("No"),(O261))))</formula>
    </cfRule>
  </conditionalFormatting>
  <conditionalFormatting sqref="O261:O264 O267:O269 O275">
    <cfRule type="containsText" dxfId="2" priority="45103" operator="containsText" text="Yes">
      <formula>NOT(ISERROR(SEARCH(("Yes"),(O261))))</formula>
    </cfRule>
  </conditionalFormatting>
  <conditionalFormatting sqref="O261:Q264 O267:Q269 O275:Q275">
    <cfRule type="containsText" dxfId="9" priority="45104" operator="containsText" text="No">
      <formula>NOT(ISERROR(SEARCH(("No"),(O261))))</formula>
    </cfRule>
  </conditionalFormatting>
  <conditionalFormatting sqref="O261:Q264 O267:Q269 O275:Q275">
    <cfRule type="containsText" dxfId="9" priority="45105" operator="containsText" text="No">
      <formula>NOT(ISERROR(SEARCH(("No"),(O261))))</formula>
    </cfRule>
  </conditionalFormatting>
  <conditionalFormatting sqref="O261:Q264 O267:Q269 O275:Q275">
    <cfRule type="containsText" dxfId="9" priority="45106" operator="containsText" text="No">
      <formula>NOT(ISERROR(SEARCH(("No"),(O261))))</formula>
    </cfRule>
  </conditionalFormatting>
  <conditionalFormatting sqref="O261:Q264 O267:Q269 O275:Q275">
    <cfRule type="containsText" dxfId="9" priority="45107" operator="containsText" text="No">
      <formula>NOT(ISERROR(SEARCH(("No"),(O261))))</formula>
    </cfRule>
  </conditionalFormatting>
  <conditionalFormatting sqref="O261:Q264 O267:Q269 O275:Q275">
    <cfRule type="containsText" dxfId="9" priority="45108" operator="containsText" text="No">
      <formula>NOT(ISERROR(SEARCH(("No"),(O261))))</formula>
    </cfRule>
  </conditionalFormatting>
  <conditionalFormatting sqref="O261:Q264 O267:Q269 O275:Q275">
    <cfRule type="containsText" dxfId="9" priority="45109" operator="containsText" text="No">
      <formula>NOT(ISERROR(SEARCH(("No"),(O261))))</formula>
    </cfRule>
  </conditionalFormatting>
  <conditionalFormatting sqref="O261:Q264 O267:Q269 O275:Q275">
    <cfRule type="containsText" dxfId="9" priority="45110" operator="containsText" text="No">
      <formula>NOT(ISERROR(SEARCH(("No"),(O261))))</formula>
    </cfRule>
  </conditionalFormatting>
  <conditionalFormatting sqref="O261:Q264 O267:Q269 O275:Q275">
    <cfRule type="containsText" dxfId="9" priority="45111" operator="containsText" text="No">
      <formula>NOT(ISERROR(SEARCH(("No"),(O261))))</formula>
    </cfRule>
  </conditionalFormatting>
  <conditionalFormatting sqref="O261:Q264 O267:Q269 O275:Q275">
    <cfRule type="containsText" dxfId="9" priority="45112" operator="containsText" text="No">
      <formula>NOT(ISERROR(SEARCH(("No"),(O261))))</formula>
    </cfRule>
  </conditionalFormatting>
  <conditionalFormatting sqref="O261:Q264 O267:Q269 O275:Q275">
    <cfRule type="containsText" dxfId="9" priority="45113" operator="containsText" text="No">
      <formula>NOT(ISERROR(SEARCH(("No"),(O261))))</formula>
    </cfRule>
  </conditionalFormatting>
  <conditionalFormatting sqref="O261:Q264 O267:Q269 O275:Q275">
    <cfRule type="containsText" dxfId="9" priority="45114" operator="containsText" text="No">
      <formula>NOT(ISERROR(SEARCH(("No"),(O261))))</formula>
    </cfRule>
  </conditionalFormatting>
  <conditionalFormatting sqref="O261:Q264 O267:Q269 O275:Q275">
    <cfRule type="containsText" dxfId="9" priority="45115" operator="containsText" text="No">
      <formula>NOT(ISERROR(SEARCH(("No"),(O261))))</formula>
    </cfRule>
  </conditionalFormatting>
  <conditionalFormatting sqref="O261:Q264 O267:Q269 O275:Q275">
    <cfRule type="containsText" dxfId="9" priority="45116" operator="containsText" text="No">
      <formula>NOT(ISERROR(SEARCH(("No"),(O261))))</formula>
    </cfRule>
  </conditionalFormatting>
  <conditionalFormatting sqref="O261:Q264 O267:Q269 O275:Q275">
    <cfRule type="containsText" dxfId="9" priority="45117" operator="containsText" text="No">
      <formula>NOT(ISERROR(SEARCH(("No"),(O261))))</formula>
    </cfRule>
  </conditionalFormatting>
  <conditionalFormatting sqref="O261:Q264 O267:Q269 O275:Q275">
    <cfRule type="containsText" dxfId="9" priority="45118" operator="containsText" text="No">
      <formula>NOT(ISERROR(SEARCH(("No"),(O261))))</formula>
    </cfRule>
  </conditionalFormatting>
  <conditionalFormatting sqref="O261:Q264 O267:Q269 O275:Q275">
    <cfRule type="containsText" dxfId="9" priority="45119" operator="containsText" text="No">
      <formula>NOT(ISERROR(SEARCH(("No"),(O261))))</formula>
    </cfRule>
  </conditionalFormatting>
  <conditionalFormatting sqref="O261:Q264 O267:Q269 O275:Q275">
    <cfRule type="containsText" dxfId="9" priority="45120" operator="containsText" text="No">
      <formula>NOT(ISERROR(SEARCH(("No"),(O261))))</formula>
    </cfRule>
  </conditionalFormatting>
  <conditionalFormatting sqref="O261:Q264 O267:Q269 O275:Q275">
    <cfRule type="containsText" dxfId="9" priority="45121" operator="containsText" text="No">
      <formula>NOT(ISERROR(SEARCH(("No"),(O261))))</formula>
    </cfRule>
  </conditionalFormatting>
  <conditionalFormatting sqref="O261:Q264 O267:Q269 O275:Q275">
    <cfRule type="containsText" dxfId="9" priority="45122" operator="containsText" text="No">
      <formula>NOT(ISERROR(SEARCH(("No"),(O261))))</formula>
    </cfRule>
  </conditionalFormatting>
  <conditionalFormatting sqref="O261:Q264 O267:Q269 O275:Q275">
    <cfRule type="containsText" dxfId="9" priority="45123" operator="containsText" text="No">
      <formula>NOT(ISERROR(SEARCH(("No"),(O261))))</formula>
    </cfRule>
  </conditionalFormatting>
  <conditionalFormatting sqref="O261:Q264 O267:Q269 O275:Q275">
    <cfRule type="containsText" dxfId="9" priority="45124" operator="containsText" text="No">
      <formula>NOT(ISERROR(SEARCH(("No"),(O261))))</formula>
    </cfRule>
  </conditionalFormatting>
  <conditionalFormatting sqref="O261:Q264 O267:Q269 O275:Q275">
    <cfRule type="containsText" dxfId="9" priority="45125" operator="containsText" text="No">
      <formula>NOT(ISERROR(SEARCH(("No"),(O261))))</formula>
    </cfRule>
  </conditionalFormatting>
  <conditionalFormatting sqref="O261:Q264 O267:Q269 O275:Q275">
    <cfRule type="containsText" dxfId="9" priority="45126" operator="containsText" text="No">
      <formula>NOT(ISERROR(SEARCH(("No"),(O261))))</formula>
    </cfRule>
  </conditionalFormatting>
  <conditionalFormatting sqref="O261:Q264 O267:Q269 O275:Q275">
    <cfRule type="containsText" dxfId="9" priority="45127" operator="containsText" text="No">
      <formula>NOT(ISERROR(SEARCH(("No"),(O261))))</formula>
    </cfRule>
  </conditionalFormatting>
  <conditionalFormatting sqref="O261:Q264 O267:Q269 O275:Q275">
    <cfRule type="containsText" dxfId="9" priority="45128" operator="containsText" text="No">
      <formula>NOT(ISERROR(SEARCH(("No"),(O261))))</formula>
    </cfRule>
  </conditionalFormatting>
  <conditionalFormatting sqref="O261:Q264 O267:Q269 O275:Q275">
    <cfRule type="containsText" dxfId="9" priority="45129" operator="containsText" text="No">
      <formula>NOT(ISERROR(SEARCH(("No"),(O261))))</formula>
    </cfRule>
  </conditionalFormatting>
  <conditionalFormatting sqref="O261:Q264 O267:Q269 O275:Q275">
    <cfRule type="containsText" dxfId="9" priority="45130" operator="containsText" text="No">
      <formula>NOT(ISERROR(SEARCH(("No"),(O261))))</formula>
    </cfRule>
  </conditionalFormatting>
  <conditionalFormatting sqref="O261:Q264 O267:Q269 O275:Q275">
    <cfRule type="containsText" dxfId="9" priority="45131" operator="containsText" text="No">
      <formula>NOT(ISERROR(SEARCH(("No"),(O261))))</formula>
    </cfRule>
  </conditionalFormatting>
  <conditionalFormatting sqref="O261:Q264 O267:Q269 O275:Q275">
    <cfRule type="containsText" dxfId="9" priority="45132" operator="containsText" text="No">
      <formula>NOT(ISERROR(SEARCH(("No"),(O261))))</formula>
    </cfRule>
  </conditionalFormatting>
  <conditionalFormatting sqref="O261:Q264 O267:Q269 O275:Q275">
    <cfRule type="containsText" dxfId="9" priority="45133" operator="containsText" text="No">
      <formula>NOT(ISERROR(SEARCH(("No"),(O261))))</formula>
    </cfRule>
  </conditionalFormatting>
  <conditionalFormatting sqref="O261:Q264 O267:Q269 O275:Q275">
    <cfRule type="containsText" dxfId="9" priority="45134" operator="containsText" text="No">
      <formula>NOT(ISERROR(SEARCH(("No"),(O261))))</formula>
    </cfRule>
  </conditionalFormatting>
  <conditionalFormatting sqref="O261:Q264 O267:Q269 O275:Q275">
    <cfRule type="containsText" dxfId="9" priority="45135" operator="containsText" text="No">
      <formula>NOT(ISERROR(SEARCH(("No"),(O261))))</formula>
    </cfRule>
  </conditionalFormatting>
  <conditionalFormatting sqref="O261:Q264 O267:Q269 O275:Q275">
    <cfRule type="containsText" dxfId="9" priority="45136" operator="containsText" text="No">
      <formula>NOT(ISERROR(SEARCH(("No"),(O261))))</formula>
    </cfRule>
  </conditionalFormatting>
  <conditionalFormatting sqref="O261:Q264 O267:Q269 O275:Q275">
    <cfRule type="containsText" dxfId="9" priority="45137" operator="containsText" text="No">
      <formula>NOT(ISERROR(SEARCH(("No"),(O261))))</formula>
    </cfRule>
  </conditionalFormatting>
  <conditionalFormatting sqref="O261:Q264 O267:Q269 O275:Q275">
    <cfRule type="containsText" dxfId="9" priority="45138" operator="containsText" text="No">
      <formula>NOT(ISERROR(SEARCH(("No"),(O261))))</formula>
    </cfRule>
  </conditionalFormatting>
  <conditionalFormatting sqref="O261:Q264 O267:Q269 O275:Q275">
    <cfRule type="containsText" dxfId="9" priority="45139" operator="containsText" text="No">
      <formula>NOT(ISERROR(SEARCH(("No"),(O261))))</formula>
    </cfRule>
  </conditionalFormatting>
  <conditionalFormatting sqref="O261:Q264 O267:Q269 O275:Q275">
    <cfRule type="containsText" dxfId="9" priority="45140" operator="containsText" text="No">
      <formula>NOT(ISERROR(SEARCH(("No"),(O261))))</formula>
    </cfRule>
  </conditionalFormatting>
  <conditionalFormatting sqref="O261:Q264 O267:Q269 O275:Q275">
    <cfRule type="containsText" dxfId="9" priority="45141" operator="containsText" text="No">
      <formula>NOT(ISERROR(SEARCH(("No"),(O261))))</formula>
    </cfRule>
  </conditionalFormatting>
  <conditionalFormatting sqref="O261:Q264 O267:Q269 O275:Q275">
    <cfRule type="containsText" dxfId="9" priority="45142" operator="containsText" text="No">
      <formula>NOT(ISERROR(SEARCH(("No"),(O261))))</formula>
    </cfRule>
  </conditionalFormatting>
  <conditionalFormatting sqref="O261:Q264 O267:Q269 O275:Q275">
    <cfRule type="containsText" dxfId="9" priority="45143" operator="containsText" text="No">
      <formula>NOT(ISERROR(SEARCH(("No"),(O261))))</formula>
    </cfRule>
  </conditionalFormatting>
  <conditionalFormatting sqref="O261:Q264 O267:Q269 O275:Q275">
    <cfRule type="containsText" dxfId="9" priority="45144" operator="containsText" text="No">
      <formula>NOT(ISERROR(SEARCH(("No"),(O261))))</formula>
    </cfRule>
  </conditionalFormatting>
  <conditionalFormatting sqref="O261:Q264 O267:Q269 O275:Q275">
    <cfRule type="containsText" dxfId="9" priority="45145" operator="containsText" text="No">
      <formula>NOT(ISERROR(SEARCH(("No"),(O261))))</formula>
    </cfRule>
  </conditionalFormatting>
  <conditionalFormatting sqref="O261:Q264 O267:Q269 O275:Q275">
    <cfRule type="containsText" dxfId="9" priority="45146" operator="containsText" text="No">
      <formula>NOT(ISERROR(SEARCH(("No"),(O261))))</formula>
    </cfRule>
  </conditionalFormatting>
  <conditionalFormatting sqref="O261:Q264 O267:Q269 O275:Q275">
    <cfRule type="containsText" dxfId="9" priority="45147" operator="containsText" text="No">
      <formula>NOT(ISERROR(SEARCH(("No"),(O261))))</formula>
    </cfRule>
  </conditionalFormatting>
  <conditionalFormatting sqref="O261:Q264 O267:Q269 O275:Q275">
    <cfRule type="containsText" dxfId="9" priority="45148" operator="containsText" text="No">
      <formula>NOT(ISERROR(SEARCH(("No"),(O261))))</formula>
    </cfRule>
  </conditionalFormatting>
  <conditionalFormatting sqref="O261:Q264 O267:Q269 O275:Q275">
    <cfRule type="containsText" dxfId="2" priority="45149" operator="containsText" text="Yes">
      <formula>NOT(ISERROR(SEARCH(("Yes"),(O261))))</formula>
    </cfRule>
  </conditionalFormatting>
  <conditionalFormatting sqref="O261:Q264 O267:Q269 O275:Q275">
    <cfRule type="containsText" dxfId="2" priority="45150" operator="containsText" text="Yes">
      <formula>NOT(ISERROR(SEARCH(("Yes"),(O261))))</formula>
    </cfRule>
  </conditionalFormatting>
  <conditionalFormatting sqref="O261:Q264 O267:Q269 O275:Q275">
    <cfRule type="containsText" dxfId="2" priority="45151" operator="containsText" text="Yes">
      <formula>NOT(ISERROR(SEARCH(("Yes"),(O261))))</formula>
    </cfRule>
  </conditionalFormatting>
  <conditionalFormatting sqref="O261:Q264 O267:Q269 O275:Q275">
    <cfRule type="containsText" dxfId="2" priority="45152" operator="containsText" text="Yes">
      <formula>NOT(ISERROR(SEARCH(("Yes"),(O261))))</formula>
    </cfRule>
  </conditionalFormatting>
  <conditionalFormatting sqref="O261:Q264 O267:Q269 O275:Q275">
    <cfRule type="containsText" dxfId="2" priority="45153" operator="containsText" text="Yes">
      <formula>NOT(ISERROR(SEARCH(("Yes"),(O261))))</formula>
    </cfRule>
  </conditionalFormatting>
  <conditionalFormatting sqref="O261:Q264 O267:Q269 O275:Q275">
    <cfRule type="containsText" dxfId="2" priority="45154" operator="containsText" text="Yes">
      <formula>NOT(ISERROR(SEARCH(("Yes"),(O261))))</formula>
    </cfRule>
  </conditionalFormatting>
  <conditionalFormatting sqref="O261:Q264 O267:Q269 O275:Q275">
    <cfRule type="containsText" dxfId="2" priority="45155" operator="containsText" text="Yes">
      <formula>NOT(ISERROR(SEARCH(("Yes"),(O261))))</formula>
    </cfRule>
  </conditionalFormatting>
  <conditionalFormatting sqref="O261:Q264 O267:Q269 O275:Q275">
    <cfRule type="containsText" dxfId="2" priority="45156" operator="containsText" text="Yes">
      <formula>NOT(ISERROR(SEARCH(("Yes"),(O261))))</formula>
    </cfRule>
  </conditionalFormatting>
  <conditionalFormatting sqref="O261:Q264 O267:Q269 O275:Q275">
    <cfRule type="containsText" dxfId="2" priority="45157" operator="containsText" text="Yes">
      <formula>NOT(ISERROR(SEARCH(("Yes"),(O261))))</formula>
    </cfRule>
  </conditionalFormatting>
  <conditionalFormatting sqref="O261:Q264 O267:Q269 O275:Q275">
    <cfRule type="containsText" dxfId="2" priority="45158" operator="containsText" text="Yes">
      <formula>NOT(ISERROR(SEARCH(("Yes"),(O261))))</formula>
    </cfRule>
  </conditionalFormatting>
  <conditionalFormatting sqref="O261:Q264 O267:Q269 O275:Q275">
    <cfRule type="containsText" dxfId="2" priority="45159" operator="containsText" text="Yes">
      <formula>NOT(ISERROR(SEARCH(("Yes"),(O261))))</formula>
    </cfRule>
  </conditionalFormatting>
  <conditionalFormatting sqref="O261:Q264 O267:Q269 O275:Q275">
    <cfRule type="containsText" dxfId="2" priority="45160" operator="containsText" text="Yes">
      <formula>NOT(ISERROR(SEARCH(("Yes"),(O261))))</formula>
    </cfRule>
  </conditionalFormatting>
  <conditionalFormatting sqref="O261:Q264 O267:Q269 O275:Q275">
    <cfRule type="containsText" dxfId="2" priority="45161" operator="containsText" text="Yes">
      <formula>NOT(ISERROR(SEARCH(("Yes"),(O261))))</formula>
    </cfRule>
  </conditionalFormatting>
  <conditionalFormatting sqref="O261:Q264 O267:Q269 O275:Q275">
    <cfRule type="containsText" dxfId="2" priority="45162" operator="containsText" text="Yes">
      <formula>NOT(ISERROR(SEARCH(("Yes"),(O261))))</formula>
    </cfRule>
  </conditionalFormatting>
  <conditionalFormatting sqref="O261:Q264 O267:Q269 O275:Q275">
    <cfRule type="containsText" dxfId="2" priority="45163" operator="containsText" text="Yes">
      <formula>NOT(ISERROR(SEARCH(("Yes"),(O261))))</formula>
    </cfRule>
  </conditionalFormatting>
  <conditionalFormatting sqref="O261:Q264 O267:Q269 O275:Q275">
    <cfRule type="containsText" dxfId="2" priority="45164" operator="containsText" text="Yes">
      <formula>NOT(ISERROR(SEARCH(("Yes"),(O261))))</formula>
    </cfRule>
  </conditionalFormatting>
  <conditionalFormatting sqref="O261:Q264 O267:Q269 O275:Q275">
    <cfRule type="containsText" dxfId="2" priority="45165" operator="containsText" text="Yes">
      <formula>NOT(ISERROR(SEARCH(("Yes"),(O261))))</formula>
    </cfRule>
  </conditionalFormatting>
  <conditionalFormatting sqref="O261:Q264 O267:Q269 O275:Q275">
    <cfRule type="containsText" dxfId="2" priority="45166" operator="containsText" text="Yes">
      <formula>NOT(ISERROR(SEARCH(("Yes"),(O261))))</formula>
    </cfRule>
  </conditionalFormatting>
  <conditionalFormatting sqref="O261:Q264 O267:Q269 O275:Q275">
    <cfRule type="containsText" dxfId="2" priority="45167" operator="containsText" text="Yes">
      <formula>NOT(ISERROR(SEARCH(("Yes"),(O261))))</formula>
    </cfRule>
  </conditionalFormatting>
  <conditionalFormatting sqref="O261:Q264 O267:Q269 O275:Q275">
    <cfRule type="containsText" dxfId="2" priority="45168" operator="containsText" text="Yes">
      <formula>NOT(ISERROR(SEARCH(("Yes"),(O261))))</formula>
    </cfRule>
  </conditionalFormatting>
  <conditionalFormatting sqref="O261:Q264 O267:Q269 O275:Q275">
    <cfRule type="containsText" dxfId="2" priority="45169" operator="containsText" text="Yes">
      <formula>NOT(ISERROR(SEARCH(("Yes"),(O261))))</formula>
    </cfRule>
  </conditionalFormatting>
  <conditionalFormatting sqref="O261:Q264 O267:Q269 O275:Q275">
    <cfRule type="containsText" dxfId="2" priority="45170" operator="containsText" text="Yes">
      <formula>NOT(ISERROR(SEARCH(("Yes"),(O261))))</formula>
    </cfRule>
  </conditionalFormatting>
  <conditionalFormatting sqref="O261:Q264 O267:Q269 O275:Q275">
    <cfRule type="containsText" dxfId="2" priority="45171" operator="containsText" text="Yes">
      <formula>NOT(ISERROR(SEARCH(("Yes"),(O261))))</formula>
    </cfRule>
  </conditionalFormatting>
  <conditionalFormatting sqref="O261:Q264 O267:Q269 O275:Q275">
    <cfRule type="containsText" dxfId="2" priority="45172" operator="containsText" text="Yes">
      <formula>NOT(ISERROR(SEARCH(("Yes"),(O261))))</formula>
    </cfRule>
  </conditionalFormatting>
  <conditionalFormatting sqref="O261:Q264 O267:Q269 O275:Q275">
    <cfRule type="containsText" dxfId="2" priority="45173" operator="containsText" text="Yes">
      <formula>NOT(ISERROR(SEARCH(("Yes"),(O261))))</formula>
    </cfRule>
  </conditionalFormatting>
  <conditionalFormatting sqref="O261:Q264 O267:Q269 O275:Q275">
    <cfRule type="containsText" dxfId="2" priority="45174" operator="containsText" text="Yes">
      <formula>NOT(ISERROR(SEARCH(("Yes"),(O261))))</formula>
    </cfRule>
  </conditionalFormatting>
  <conditionalFormatting sqref="O261:Q264 O267:Q269 O275:Q275">
    <cfRule type="containsText" dxfId="2" priority="45175" operator="containsText" text="Yes">
      <formula>NOT(ISERROR(SEARCH(("Yes"),(O261))))</formula>
    </cfRule>
  </conditionalFormatting>
  <conditionalFormatting sqref="O261:Q264 O267:Q269 O275:Q275">
    <cfRule type="containsText" dxfId="2" priority="45176" operator="containsText" text="Yes">
      <formula>NOT(ISERROR(SEARCH(("Yes"),(O261))))</formula>
    </cfRule>
  </conditionalFormatting>
  <conditionalFormatting sqref="O261:Q264 O267:Q269 O275:Q275">
    <cfRule type="containsText" dxfId="2" priority="45177" operator="containsText" text="Yes">
      <formula>NOT(ISERROR(SEARCH(("Yes"),(O261))))</formula>
    </cfRule>
  </conditionalFormatting>
  <conditionalFormatting sqref="O261:Q264 O267:Q269 O275:Q275">
    <cfRule type="containsText" dxfId="2" priority="45178" operator="containsText" text="Yes">
      <formula>NOT(ISERROR(SEARCH(("Yes"),(O261))))</formula>
    </cfRule>
  </conditionalFormatting>
  <conditionalFormatting sqref="O261:Q264 O267:Q269 O275:Q275">
    <cfRule type="containsText" dxfId="2" priority="45179" operator="containsText" text="Yes">
      <formula>NOT(ISERROR(SEARCH(("Yes"),(O261))))</formula>
    </cfRule>
  </conditionalFormatting>
  <conditionalFormatting sqref="O261:Q264 O267:Q269 O275:Q275">
    <cfRule type="containsText" dxfId="2" priority="45180" operator="containsText" text="Yes">
      <formula>NOT(ISERROR(SEARCH(("Yes"),(O261))))</formula>
    </cfRule>
  </conditionalFormatting>
  <conditionalFormatting sqref="O261:Q264 O267:Q269 O275:Q275">
    <cfRule type="containsText" dxfId="2" priority="45181" operator="containsText" text="Yes">
      <formula>NOT(ISERROR(SEARCH(("Yes"),(O261))))</formula>
    </cfRule>
  </conditionalFormatting>
  <conditionalFormatting sqref="O261:Q264 O267:Q269 O275:Q275">
    <cfRule type="containsText" dxfId="2" priority="45182" operator="containsText" text="Yes">
      <formula>NOT(ISERROR(SEARCH(("Yes"),(O261))))</formula>
    </cfRule>
  </conditionalFormatting>
  <conditionalFormatting sqref="O261:Q264 O267:Q269 O275:Q275">
    <cfRule type="containsText" dxfId="2" priority="45183" operator="containsText" text="Yes">
      <formula>NOT(ISERROR(SEARCH(("Yes"),(O261))))</formula>
    </cfRule>
  </conditionalFormatting>
  <conditionalFormatting sqref="O261:Q264 O267:Q269 O275:Q275">
    <cfRule type="containsText" dxfId="2" priority="45184" operator="containsText" text="Yes">
      <formula>NOT(ISERROR(SEARCH(("Yes"),(O261))))</formula>
    </cfRule>
  </conditionalFormatting>
  <conditionalFormatting sqref="O261:Q264 O267:Q269 O275:Q275">
    <cfRule type="containsText" dxfId="2" priority="45185" operator="containsText" text="Yes">
      <formula>NOT(ISERROR(SEARCH(("Yes"),(O261))))</formula>
    </cfRule>
  </conditionalFormatting>
  <conditionalFormatting sqref="O261:Q264 O267:Q269 O275:Q275">
    <cfRule type="containsText" dxfId="2" priority="45186" operator="containsText" text="Yes">
      <formula>NOT(ISERROR(SEARCH(("Yes"),(O261))))</formula>
    </cfRule>
  </conditionalFormatting>
  <conditionalFormatting sqref="O261:Q264 O267:Q269 O275:Q275">
    <cfRule type="containsText" dxfId="2" priority="45187" operator="containsText" text="Yes">
      <formula>NOT(ISERROR(SEARCH(("Yes"),(O261))))</formula>
    </cfRule>
  </conditionalFormatting>
  <conditionalFormatting sqref="O261:Q264 O267:Q269 O275:Q275">
    <cfRule type="containsText" dxfId="2" priority="45188" operator="containsText" text="Yes">
      <formula>NOT(ISERROR(SEARCH(("Yes"),(O261))))</formula>
    </cfRule>
  </conditionalFormatting>
  <conditionalFormatting sqref="O261:Q264 O267:Q269 O275:Q275">
    <cfRule type="containsText" dxfId="2" priority="45189" operator="containsText" text="Yes">
      <formula>NOT(ISERROR(SEARCH(("Yes"),(O261))))</formula>
    </cfRule>
  </conditionalFormatting>
  <conditionalFormatting sqref="O261:Q264 O267:Q269 O275:Q275">
    <cfRule type="containsText" dxfId="2" priority="45190" operator="containsText" text="Yes">
      <formula>NOT(ISERROR(SEARCH(("Yes"),(O261))))</formula>
    </cfRule>
  </conditionalFormatting>
  <conditionalFormatting sqref="O261:Q264 O267:Q269 O275:Q275">
    <cfRule type="containsText" dxfId="2" priority="45191" operator="containsText" text="Yes">
      <formula>NOT(ISERROR(SEARCH(("Yes"),(O261))))</formula>
    </cfRule>
  </conditionalFormatting>
  <conditionalFormatting sqref="O261:Q264 O267:Q269 O275:Q275">
    <cfRule type="containsText" dxfId="2" priority="45192" operator="containsText" text="Yes">
      <formula>NOT(ISERROR(SEARCH(("Yes"),(O261))))</formula>
    </cfRule>
  </conditionalFormatting>
  <conditionalFormatting sqref="O261:Q264 O267:Q269 O275:Q275">
    <cfRule type="containsText" dxfId="2" priority="45193" operator="containsText" text="Yes">
      <formula>NOT(ISERROR(SEARCH(("Yes"),(O261))))</formula>
    </cfRule>
  </conditionalFormatting>
  <conditionalFormatting sqref="O261:Q264 O267:Q269 O275:Q275">
    <cfRule type="containsText" dxfId="2" priority="45194" operator="containsText" text="Yes">
      <formula>NOT(ISERROR(SEARCH(("Yes"),(O261))))</formula>
    </cfRule>
  </conditionalFormatting>
  <conditionalFormatting sqref="O261:Q264 O267:Q269 O275:Q275">
    <cfRule type="containsText" dxfId="2" priority="45195" operator="containsText" text="Yes">
      <formula>NOT(ISERROR(SEARCH(("Yes"),(O261))))</formula>
    </cfRule>
  </conditionalFormatting>
  <conditionalFormatting sqref="P262:Q263">
    <cfRule type="containsText" dxfId="9" priority="45196" operator="containsText" text="No">
      <formula>NOT(ISERROR(SEARCH(("No"),(P262))))</formula>
    </cfRule>
  </conditionalFormatting>
  <conditionalFormatting sqref="P262:Q263">
    <cfRule type="containsText" dxfId="9" priority="45197" operator="containsText" text="No">
      <formula>NOT(ISERROR(SEARCH(("No"),(P262))))</formula>
    </cfRule>
  </conditionalFormatting>
  <conditionalFormatting sqref="P262:Q263">
    <cfRule type="containsText" dxfId="9" priority="45198" operator="containsText" text="No">
      <formula>NOT(ISERROR(SEARCH(("No"),(P262))))</formula>
    </cfRule>
  </conditionalFormatting>
  <conditionalFormatting sqref="P262:Q263">
    <cfRule type="containsText" dxfId="9" priority="45199" operator="containsText" text="No">
      <formula>NOT(ISERROR(SEARCH(("No"),(P262))))</formula>
    </cfRule>
  </conditionalFormatting>
  <conditionalFormatting sqref="P262:Q263">
    <cfRule type="containsText" dxfId="9" priority="45200" operator="containsText" text="No">
      <formula>NOT(ISERROR(SEARCH(("No"),(P262))))</formula>
    </cfRule>
  </conditionalFormatting>
  <conditionalFormatting sqref="P262:Q263">
    <cfRule type="containsText" dxfId="9" priority="45201" operator="containsText" text="No">
      <formula>NOT(ISERROR(SEARCH(("No"),(P262))))</formula>
    </cfRule>
  </conditionalFormatting>
  <conditionalFormatting sqref="P262:Q263">
    <cfRule type="containsText" dxfId="9" priority="45202" operator="containsText" text="No">
      <formula>NOT(ISERROR(SEARCH(("No"),(P262))))</formula>
    </cfRule>
  </conditionalFormatting>
  <conditionalFormatting sqref="P262:Q263">
    <cfRule type="containsText" dxfId="9" priority="45203" operator="containsText" text="No">
      <formula>NOT(ISERROR(SEARCH(("No"),(P262))))</formula>
    </cfRule>
  </conditionalFormatting>
  <conditionalFormatting sqref="P262:Q263">
    <cfRule type="containsText" dxfId="9" priority="45204" operator="containsText" text="No">
      <formula>NOT(ISERROR(SEARCH(("No"),(P262))))</formula>
    </cfRule>
  </conditionalFormatting>
  <conditionalFormatting sqref="P262:Q263">
    <cfRule type="containsText" dxfId="9" priority="45205" operator="containsText" text="No">
      <formula>NOT(ISERROR(SEARCH(("No"),(P262))))</formula>
    </cfRule>
  </conditionalFormatting>
  <conditionalFormatting sqref="P262:Q263">
    <cfRule type="containsText" dxfId="9" priority="45206" operator="containsText" text="No">
      <formula>NOT(ISERROR(SEARCH(("No"),(P262))))</formula>
    </cfRule>
  </conditionalFormatting>
  <conditionalFormatting sqref="P262:Q263">
    <cfRule type="containsText" dxfId="9" priority="45207" operator="containsText" text="No">
      <formula>NOT(ISERROR(SEARCH(("No"),(P262))))</formula>
    </cfRule>
  </conditionalFormatting>
  <conditionalFormatting sqref="P262:Q263">
    <cfRule type="containsText" dxfId="9" priority="45208" operator="containsText" text="No">
      <formula>NOT(ISERROR(SEARCH(("No"),(P262))))</formula>
    </cfRule>
  </conditionalFormatting>
  <conditionalFormatting sqref="P262:Q263">
    <cfRule type="containsText" dxfId="9" priority="45209" operator="containsText" text="No">
      <formula>NOT(ISERROR(SEARCH(("No"),(P262))))</formula>
    </cfRule>
  </conditionalFormatting>
  <conditionalFormatting sqref="P262:Q263">
    <cfRule type="containsText" dxfId="9" priority="45210" operator="containsText" text="No">
      <formula>NOT(ISERROR(SEARCH(("No"),(P262))))</formula>
    </cfRule>
  </conditionalFormatting>
  <conditionalFormatting sqref="P262:Q263">
    <cfRule type="containsText" dxfId="9" priority="45211" operator="containsText" text="No">
      <formula>NOT(ISERROR(SEARCH(("No"),(P262))))</formula>
    </cfRule>
  </conditionalFormatting>
  <conditionalFormatting sqref="P262:Q263">
    <cfRule type="containsText" dxfId="9" priority="45212" operator="containsText" text="No">
      <formula>NOT(ISERROR(SEARCH(("No"),(P262))))</formula>
    </cfRule>
  </conditionalFormatting>
  <conditionalFormatting sqref="P262:Q263">
    <cfRule type="containsText" dxfId="9" priority="45213" operator="containsText" text="No">
      <formula>NOT(ISERROR(SEARCH(("No"),(P262))))</formula>
    </cfRule>
  </conditionalFormatting>
  <conditionalFormatting sqref="P262:Q263">
    <cfRule type="containsText" dxfId="9" priority="45214" operator="containsText" text="No">
      <formula>NOT(ISERROR(SEARCH(("No"),(P262))))</formula>
    </cfRule>
  </conditionalFormatting>
  <conditionalFormatting sqref="P262:Q263">
    <cfRule type="containsText" dxfId="9" priority="45215" operator="containsText" text="No">
      <formula>NOT(ISERROR(SEARCH(("No"),(P262))))</formula>
    </cfRule>
  </conditionalFormatting>
  <conditionalFormatting sqref="P262:Q263">
    <cfRule type="containsText" dxfId="9" priority="45216" operator="containsText" text="No">
      <formula>NOT(ISERROR(SEARCH(("No"),(P262))))</formula>
    </cfRule>
  </conditionalFormatting>
  <conditionalFormatting sqref="P262:Q263">
    <cfRule type="containsText" dxfId="9" priority="45217" operator="containsText" text="No">
      <formula>NOT(ISERROR(SEARCH(("No"),(P262))))</formula>
    </cfRule>
  </conditionalFormatting>
  <conditionalFormatting sqref="P262:Q263">
    <cfRule type="containsText" dxfId="9" priority="45218" operator="containsText" text="No">
      <formula>NOT(ISERROR(SEARCH(("No"),(P262))))</formula>
    </cfRule>
  </conditionalFormatting>
  <conditionalFormatting sqref="P262:Q263">
    <cfRule type="containsText" dxfId="9" priority="45219" operator="containsText" text="No">
      <formula>NOT(ISERROR(SEARCH(("No"),(P262))))</formula>
    </cfRule>
  </conditionalFormatting>
  <conditionalFormatting sqref="P262:Q263">
    <cfRule type="containsText" dxfId="9" priority="45220" operator="containsText" text="No">
      <formula>NOT(ISERROR(SEARCH(("No"),(P262))))</formula>
    </cfRule>
  </conditionalFormatting>
  <conditionalFormatting sqref="P262:Q263">
    <cfRule type="containsText" dxfId="9" priority="45221" operator="containsText" text="No">
      <formula>NOT(ISERROR(SEARCH(("No"),(P262))))</formula>
    </cfRule>
  </conditionalFormatting>
  <conditionalFormatting sqref="P262:Q263">
    <cfRule type="containsText" dxfId="9" priority="45222" operator="containsText" text="No">
      <formula>NOT(ISERROR(SEARCH(("No"),(P262))))</formula>
    </cfRule>
  </conditionalFormatting>
  <conditionalFormatting sqref="P262:Q263">
    <cfRule type="containsText" dxfId="9" priority="45223" operator="containsText" text="No">
      <formula>NOT(ISERROR(SEARCH(("No"),(P262))))</formula>
    </cfRule>
  </conditionalFormatting>
  <conditionalFormatting sqref="P262:Q263">
    <cfRule type="containsText" dxfId="9" priority="45224" operator="containsText" text="No">
      <formula>NOT(ISERROR(SEARCH(("No"),(P262))))</formula>
    </cfRule>
  </conditionalFormatting>
  <conditionalFormatting sqref="P262:Q263">
    <cfRule type="containsText" dxfId="9" priority="45225" operator="containsText" text="No">
      <formula>NOT(ISERROR(SEARCH(("No"),(P262))))</formula>
    </cfRule>
  </conditionalFormatting>
  <conditionalFormatting sqref="P262:Q263">
    <cfRule type="containsText" dxfId="9" priority="45226" operator="containsText" text="No">
      <formula>NOT(ISERROR(SEARCH(("No"),(P262))))</formula>
    </cfRule>
  </conditionalFormatting>
  <conditionalFormatting sqref="P262:Q263">
    <cfRule type="containsText" dxfId="9" priority="45227" operator="containsText" text="No">
      <formula>NOT(ISERROR(SEARCH(("No"),(P262))))</formula>
    </cfRule>
  </conditionalFormatting>
  <conditionalFormatting sqref="P262:Q263">
    <cfRule type="containsText" dxfId="9" priority="45228" operator="containsText" text="No">
      <formula>NOT(ISERROR(SEARCH(("No"),(P262))))</formula>
    </cfRule>
  </conditionalFormatting>
  <conditionalFormatting sqref="P262:Q263">
    <cfRule type="containsText" dxfId="9" priority="45229" operator="containsText" text="No">
      <formula>NOT(ISERROR(SEARCH(("No"),(P262))))</formula>
    </cfRule>
  </conditionalFormatting>
  <conditionalFormatting sqref="P262:Q263">
    <cfRule type="containsText" dxfId="9" priority="45230" operator="containsText" text="No">
      <formula>NOT(ISERROR(SEARCH(("No"),(P262))))</formula>
    </cfRule>
  </conditionalFormatting>
  <conditionalFormatting sqref="P262:Q263">
    <cfRule type="containsText" dxfId="9" priority="45231" operator="containsText" text="No">
      <formula>NOT(ISERROR(SEARCH(("No"),(P262))))</formula>
    </cfRule>
  </conditionalFormatting>
  <conditionalFormatting sqref="P262:Q263">
    <cfRule type="containsText" dxfId="9" priority="45232" operator="containsText" text="No">
      <formula>NOT(ISERROR(SEARCH(("No"),(P262))))</formula>
    </cfRule>
  </conditionalFormatting>
  <conditionalFormatting sqref="P262:Q263">
    <cfRule type="containsText" dxfId="9" priority="45233" operator="containsText" text="No">
      <formula>NOT(ISERROR(SEARCH(("No"),(P262))))</formula>
    </cfRule>
  </conditionalFormatting>
  <conditionalFormatting sqref="P262:Q263">
    <cfRule type="containsText" dxfId="9" priority="45234" operator="containsText" text="No">
      <formula>NOT(ISERROR(SEARCH(("No"),(P262))))</formula>
    </cfRule>
  </conditionalFormatting>
  <conditionalFormatting sqref="P262:Q263">
    <cfRule type="containsText" dxfId="9" priority="45235" operator="containsText" text="No">
      <formula>NOT(ISERROR(SEARCH(("No"),(P262))))</formula>
    </cfRule>
  </conditionalFormatting>
  <conditionalFormatting sqref="P262:Q263">
    <cfRule type="containsText" dxfId="9" priority="45236" operator="containsText" text="No">
      <formula>NOT(ISERROR(SEARCH(("No"),(P262))))</formula>
    </cfRule>
  </conditionalFormatting>
  <conditionalFormatting sqref="P262:Q263">
    <cfRule type="containsText" dxfId="9" priority="45237" operator="containsText" text="No">
      <formula>NOT(ISERROR(SEARCH(("No"),(P262))))</formula>
    </cfRule>
  </conditionalFormatting>
  <conditionalFormatting sqref="P262:Q263">
    <cfRule type="containsText" dxfId="9" priority="45238" operator="containsText" text="No">
      <formula>NOT(ISERROR(SEARCH(("No"),(P262))))</formula>
    </cfRule>
  </conditionalFormatting>
  <conditionalFormatting sqref="P262:Q263">
    <cfRule type="containsText" dxfId="9" priority="45239" operator="containsText" text="No">
      <formula>NOT(ISERROR(SEARCH(("No"),(P262))))</formula>
    </cfRule>
  </conditionalFormatting>
  <conditionalFormatting sqref="P262:Q263">
    <cfRule type="containsText" dxfId="9" priority="45240" operator="containsText" text="No">
      <formula>NOT(ISERROR(SEARCH(("No"),(P262))))</formula>
    </cfRule>
  </conditionalFormatting>
  <conditionalFormatting sqref="P262:Q263">
    <cfRule type="containsText" dxfId="2" priority="45241" operator="containsText" text="Yes">
      <formula>NOT(ISERROR(SEARCH(("Yes"),(P262))))</formula>
    </cfRule>
  </conditionalFormatting>
  <conditionalFormatting sqref="P262:Q263">
    <cfRule type="containsText" dxfId="2" priority="45242" operator="containsText" text="Yes">
      <formula>NOT(ISERROR(SEARCH(("Yes"),(P262))))</formula>
    </cfRule>
  </conditionalFormatting>
  <conditionalFormatting sqref="P262:Q263">
    <cfRule type="containsText" dxfId="2" priority="45243" operator="containsText" text="Yes">
      <formula>NOT(ISERROR(SEARCH(("Yes"),(P262))))</formula>
    </cfRule>
  </conditionalFormatting>
  <conditionalFormatting sqref="P262:Q263">
    <cfRule type="containsText" dxfId="2" priority="45244" operator="containsText" text="Yes">
      <formula>NOT(ISERROR(SEARCH(("Yes"),(P262))))</formula>
    </cfRule>
  </conditionalFormatting>
  <conditionalFormatting sqref="P262:Q263">
    <cfRule type="containsText" dxfId="2" priority="45245" operator="containsText" text="Yes">
      <formula>NOT(ISERROR(SEARCH(("Yes"),(P262))))</formula>
    </cfRule>
  </conditionalFormatting>
  <conditionalFormatting sqref="P262:Q263">
    <cfRule type="containsText" dxfId="2" priority="45246" operator="containsText" text="Yes">
      <formula>NOT(ISERROR(SEARCH(("Yes"),(P262))))</formula>
    </cfRule>
  </conditionalFormatting>
  <conditionalFormatting sqref="P262:Q263">
    <cfRule type="containsText" dxfId="2" priority="45247" operator="containsText" text="Yes">
      <formula>NOT(ISERROR(SEARCH(("Yes"),(P262))))</formula>
    </cfRule>
  </conditionalFormatting>
  <conditionalFormatting sqref="P262:Q263">
    <cfRule type="containsText" dxfId="2" priority="45248" operator="containsText" text="Yes">
      <formula>NOT(ISERROR(SEARCH(("Yes"),(P262))))</formula>
    </cfRule>
  </conditionalFormatting>
  <conditionalFormatting sqref="P262:Q263">
    <cfRule type="containsText" dxfId="2" priority="45249" operator="containsText" text="Yes">
      <formula>NOT(ISERROR(SEARCH(("Yes"),(P262))))</formula>
    </cfRule>
  </conditionalFormatting>
  <conditionalFormatting sqref="P262:Q263">
    <cfRule type="containsText" dxfId="2" priority="45250" operator="containsText" text="Yes">
      <formula>NOT(ISERROR(SEARCH(("Yes"),(P262))))</formula>
    </cfRule>
  </conditionalFormatting>
  <conditionalFormatting sqref="P262:Q263">
    <cfRule type="containsText" dxfId="2" priority="45251" operator="containsText" text="Yes">
      <formula>NOT(ISERROR(SEARCH(("Yes"),(P262))))</formula>
    </cfRule>
  </conditionalFormatting>
  <conditionalFormatting sqref="P262:Q263">
    <cfRule type="containsText" dxfId="2" priority="45252" operator="containsText" text="Yes">
      <formula>NOT(ISERROR(SEARCH(("Yes"),(P262))))</formula>
    </cfRule>
  </conditionalFormatting>
  <conditionalFormatting sqref="P262:Q263">
    <cfRule type="containsText" dxfId="2" priority="45253" operator="containsText" text="Yes">
      <formula>NOT(ISERROR(SEARCH(("Yes"),(P262))))</formula>
    </cfRule>
  </conditionalFormatting>
  <conditionalFormatting sqref="P262:Q263">
    <cfRule type="containsText" dxfId="2" priority="45254" operator="containsText" text="Yes">
      <formula>NOT(ISERROR(SEARCH(("Yes"),(P262))))</formula>
    </cfRule>
  </conditionalFormatting>
  <conditionalFormatting sqref="P262:Q263">
    <cfRule type="containsText" dxfId="2" priority="45255" operator="containsText" text="Yes">
      <formula>NOT(ISERROR(SEARCH(("Yes"),(P262))))</formula>
    </cfRule>
  </conditionalFormatting>
  <conditionalFormatting sqref="P262:Q263">
    <cfRule type="containsText" dxfId="2" priority="45256" operator="containsText" text="Yes">
      <formula>NOT(ISERROR(SEARCH(("Yes"),(P262))))</formula>
    </cfRule>
  </conditionalFormatting>
  <conditionalFormatting sqref="P262:Q263">
    <cfRule type="containsText" dxfId="2" priority="45257" operator="containsText" text="Yes">
      <formula>NOT(ISERROR(SEARCH(("Yes"),(P262))))</formula>
    </cfRule>
  </conditionalFormatting>
  <conditionalFormatting sqref="P262:Q263">
    <cfRule type="containsText" dxfId="2" priority="45258" operator="containsText" text="Yes">
      <formula>NOT(ISERROR(SEARCH(("Yes"),(P262))))</formula>
    </cfRule>
  </conditionalFormatting>
  <conditionalFormatting sqref="P262:Q263">
    <cfRule type="containsText" dxfId="2" priority="45259" operator="containsText" text="Yes">
      <formula>NOT(ISERROR(SEARCH(("Yes"),(P262))))</formula>
    </cfRule>
  </conditionalFormatting>
  <conditionalFormatting sqref="P262:Q263">
    <cfRule type="containsText" dxfId="2" priority="45260" operator="containsText" text="Yes">
      <formula>NOT(ISERROR(SEARCH(("Yes"),(P262))))</formula>
    </cfRule>
  </conditionalFormatting>
  <conditionalFormatting sqref="P262:Q263">
    <cfRule type="containsText" dxfId="2" priority="45261" operator="containsText" text="Yes">
      <formula>NOT(ISERROR(SEARCH(("Yes"),(P262))))</formula>
    </cfRule>
  </conditionalFormatting>
  <conditionalFormatting sqref="P262:Q263">
    <cfRule type="containsText" dxfId="2" priority="45262" operator="containsText" text="Yes">
      <formula>NOT(ISERROR(SEARCH(("Yes"),(P262))))</formula>
    </cfRule>
  </conditionalFormatting>
  <conditionalFormatting sqref="P262:Q263">
    <cfRule type="containsText" dxfId="2" priority="45263" operator="containsText" text="Yes">
      <formula>NOT(ISERROR(SEARCH(("Yes"),(P262))))</formula>
    </cfRule>
  </conditionalFormatting>
  <conditionalFormatting sqref="P262:Q263">
    <cfRule type="containsText" dxfId="2" priority="45264" operator="containsText" text="Yes">
      <formula>NOT(ISERROR(SEARCH(("Yes"),(P262))))</formula>
    </cfRule>
  </conditionalFormatting>
  <conditionalFormatting sqref="P262:Q263">
    <cfRule type="containsText" dxfId="2" priority="45265" operator="containsText" text="Yes">
      <formula>NOT(ISERROR(SEARCH(("Yes"),(P262))))</formula>
    </cfRule>
  </conditionalFormatting>
  <conditionalFormatting sqref="P262:Q263">
    <cfRule type="containsText" dxfId="2" priority="45266" operator="containsText" text="Yes">
      <formula>NOT(ISERROR(SEARCH(("Yes"),(P262))))</formula>
    </cfRule>
  </conditionalFormatting>
  <conditionalFormatting sqref="P262:Q263">
    <cfRule type="containsText" dxfId="2" priority="45267" operator="containsText" text="Yes">
      <formula>NOT(ISERROR(SEARCH(("Yes"),(P262))))</formula>
    </cfRule>
  </conditionalFormatting>
  <conditionalFormatting sqref="P262:Q263">
    <cfRule type="containsText" dxfId="2" priority="45268" operator="containsText" text="Yes">
      <formula>NOT(ISERROR(SEARCH(("Yes"),(P262))))</formula>
    </cfRule>
  </conditionalFormatting>
  <conditionalFormatting sqref="P262:Q263">
    <cfRule type="containsText" dxfId="2" priority="45269" operator="containsText" text="Yes">
      <formula>NOT(ISERROR(SEARCH(("Yes"),(P262))))</formula>
    </cfRule>
  </conditionalFormatting>
  <conditionalFormatting sqref="P262:Q263">
    <cfRule type="containsText" dxfId="2" priority="45270" operator="containsText" text="Yes">
      <formula>NOT(ISERROR(SEARCH(("Yes"),(P262))))</formula>
    </cfRule>
  </conditionalFormatting>
  <conditionalFormatting sqref="P262:Q263">
    <cfRule type="containsText" dxfId="2" priority="45271" operator="containsText" text="Yes">
      <formula>NOT(ISERROR(SEARCH(("Yes"),(P262))))</formula>
    </cfRule>
  </conditionalFormatting>
  <conditionalFormatting sqref="P262:Q263">
    <cfRule type="containsText" dxfId="2" priority="45272" operator="containsText" text="Yes">
      <formula>NOT(ISERROR(SEARCH(("Yes"),(P262))))</formula>
    </cfRule>
  </conditionalFormatting>
  <conditionalFormatting sqref="P262:Q263">
    <cfRule type="containsText" dxfId="2" priority="45273" operator="containsText" text="Yes">
      <formula>NOT(ISERROR(SEARCH(("Yes"),(P262))))</formula>
    </cfRule>
  </conditionalFormatting>
  <conditionalFormatting sqref="P262:Q263">
    <cfRule type="containsText" dxfId="2" priority="45274" operator="containsText" text="Yes">
      <formula>NOT(ISERROR(SEARCH(("Yes"),(P262))))</formula>
    </cfRule>
  </conditionalFormatting>
  <conditionalFormatting sqref="P262:Q263">
    <cfRule type="containsText" dxfId="2" priority="45275" operator="containsText" text="Yes">
      <formula>NOT(ISERROR(SEARCH(("Yes"),(P262))))</formula>
    </cfRule>
  </conditionalFormatting>
  <conditionalFormatting sqref="P262:Q263">
    <cfRule type="containsText" dxfId="2" priority="45276" operator="containsText" text="Yes">
      <formula>NOT(ISERROR(SEARCH(("Yes"),(P262))))</formula>
    </cfRule>
  </conditionalFormatting>
  <conditionalFormatting sqref="P262:Q263">
    <cfRule type="containsText" dxfId="2" priority="45277" operator="containsText" text="Yes">
      <formula>NOT(ISERROR(SEARCH(("Yes"),(P262))))</formula>
    </cfRule>
  </conditionalFormatting>
  <conditionalFormatting sqref="P262:Q263">
    <cfRule type="containsText" dxfId="2" priority="45278" operator="containsText" text="Yes">
      <formula>NOT(ISERROR(SEARCH(("Yes"),(P262))))</formula>
    </cfRule>
  </conditionalFormatting>
  <conditionalFormatting sqref="P262:Q263">
    <cfRule type="containsText" dxfId="2" priority="45279" operator="containsText" text="Yes">
      <formula>NOT(ISERROR(SEARCH(("Yes"),(P262))))</formula>
    </cfRule>
  </conditionalFormatting>
  <conditionalFormatting sqref="P262:Q263">
    <cfRule type="containsText" dxfId="2" priority="45280" operator="containsText" text="Yes">
      <formula>NOT(ISERROR(SEARCH(("Yes"),(P262))))</formula>
    </cfRule>
  </conditionalFormatting>
  <conditionalFormatting sqref="P262:Q263">
    <cfRule type="containsText" dxfId="2" priority="45281" operator="containsText" text="Yes">
      <formula>NOT(ISERROR(SEARCH(("Yes"),(P262))))</formula>
    </cfRule>
  </conditionalFormatting>
  <conditionalFormatting sqref="P262:Q263">
    <cfRule type="containsText" dxfId="2" priority="45282" operator="containsText" text="Yes">
      <formula>NOT(ISERROR(SEARCH(("Yes"),(P262))))</formula>
    </cfRule>
  </conditionalFormatting>
  <conditionalFormatting sqref="P262:Q263">
    <cfRule type="containsText" dxfId="2" priority="45283" operator="containsText" text="Yes">
      <formula>NOT(ISERROR(SEARCH(("Yes"),(P262))))</formula>
    </cfRule>
  </conditionalFormatting>
  <conditionalFormatting sqref="P262:Q263">
    <cfRule type="containsText" dxfId="2" priority="45284" operator="containsText" text="Yes">
      <formula>NOT(ISERROR(SEARCH(("Yes"),(P262))))</formula>
    </cfRule>
  </conditionalFormatting>
  <conditionalFormatting sqref="P262:Q263">
    <cfRule type="containsText" dxfId="2" priority="45285" operator="containsText" text="Yes">
      <formula>NOT(ISERROR(SEARCH(("Yes"),(P262))))</formula>
    </cfRule>
  </conditionalFormatting>
  <conditionalFormatting sqref="P262:Q263">
    <cfRule type="containsText" dxfId="2" priority="45286" operator="containsText" text="Yes">
      <formula>NOT(ISERROR(SEARCH(("Yes"),(P262))))</formula>
    </cfRule>
  </conditionalFormatting>
  <conditionalFormatting sqref="P262:Q263">
    <cfRule type="containsText" dxfId="2" priority="45287" operator="containsText" text="Yes">
      <formula>NOT(ISERROR(SEARCH(("Yes"),(P262))))</formula>
    </cfRule>
  </conditionalFormatting>
  <conditionalFormatting sqref="Q263">
    <cfRule type="containsText" dxfId="9" priority="45288" operator="containsText" text="No">
      <formula>NOT(ISERROR(SEARCH(("No"),(Q263))))</formula>
    </cfRule>
  </conditionalFormatting>
  <conditionalFormatting sqref="Q263">
    <cfRule type="containsText" dxfId="9" priority="45289" operator="containsText" text="No">
      <formula>NOT(ISERROR(SEARCH(("No"),(Q263))))</formula>
    </cfRule>
  </conditionalFormatting>
  <conditionalFormatting sqref="Q263">
    <cfRule type="containsText" dxfId="9" priority="45290" operator="containsText" text="No">
      <formula>NOT(ISERROR(SEARCH(("No"),(Q263))))</formula>
    </cfRule>
  </conditionalFormatting>
  <conditionalFormatting sqref="Q263">
    <cfRule type="containsText" dxfId="9" priority="45291" operator="containsText" text="No">
      <formula>NOT(ISERROR(SEARCH(("No"),(Q263))))</formula>
    </cfRule>
  </conditionalFormatting>
  <conditionalFormatting sqref="Q263">
    <cfRule type="containsText" dxfId="9" priority="45292" operator="containsText" text="No">
      <formula>NOT(ISERROR(SEARCH(("No"),(Q263))))</formula>
    </cfRule>
  </conditionalFormatting>
  <conditionalFormatting sqref="Q263">
    <cfRule type="containsText" dxfId="9" priority="45293" operator="containsText" text="No">
      <formula>NOT(ISERROR(SEARCH(("No"),(Q263))))</formula>
    </cfRule>
  </conditionalFormatting>
  <conditionalFormatting sqref="Q263">
    <cfRule type="containsText" dxfId="9" priority="45294" operator="containsText" text="No">
      <formula>NOT(ISERROR(SEARCH(("No"),(Q263))))</formula>
    </cfRule>
  </conditionalFormatting>
  <conditionalFormatting sqref="Q263">
    <cfRule type="containsText" dxfId="9" priority="45295" operator="containsText" text="No">
      <formula>NOT(ISERROR(SEARCH(("No"),(Q263))))</formula>
    </cfRule>
  </conditionalFormatting>
  <conditionalFormatting sqref="Q263">
    <cfRule type="containsText" dxfId="9" priority="45296" operator="containsText" text="No">
      <formula>NOT(ISERROR(SEARCH(("No"),(Q263))))</formula>
    </cfRule>
  </conditionalFormatting>
  <conditionalFormatting sqref="Q263">
    <cfRule type="containsText" dxfId="9" priority="45297" operator="containsText" text="No">
      <formula>NOT(ISERROR(SEARCH(("No"),(Q263))))</formula>
    </cfRule>
  </conditionalFormatting>
  <conditionalFormatting sqref="Q263">
    <cfRule type="containsText" dxfId="9" priority="45298" operator="containsText" text="No">
      <formula>NOT(ISERROR(SEARCH(("No"),(Q263))))</formula>
    </cfRule>
  </conditionalFormatting>
  <conditionalFormatting sqref="Q263">
    <cfRule type="containsText" dxfId="9" priority="45299" operator="containsText" text="No">
      <formula>NOT(ISERROR(SEARCH(("No"),(Q263))))</formula>
    </cfRule>
  </conditionalFormatting>
  <conditionalFormatting sqref="Q263">
    <cfRule type="containsText" dxfId="9" priority="45300" operator="containsText" text="No">
      <formula>NOT(ISERROR(SEARCH(("No"),(Q263))))</formula>
    </cfRule>
  </conditionalFormatting>
  <conditionalFormatting sqref="Q263">
    <cfRule type="containsText" dxfId="9" priority="45301" operator="containsText" text="No">
      <formula>NOT(ISERROR(SEARCH(("No"),(Q263))))</formula>
    </cfRule>
  </conditionalFormatting>
  <conditionalFormatting sqref="Q263">
    <cfRule type="containsText" dxfId="9" priority="45302" operator="containsText" text="No">
      <formula>NOT(ISERROR(SEARCH(("No"),(Q263))))</formula>
    </cfRule>
  </conditionalFormatting>
  <conditionalFormatting sqref="Q263">
    <cfRule type="containsText" dxfId="9" priority="45303" operator="containsText" text="No">
      <formula>NOT(ISERROR(SEARCH(("No"),(Q263))))</formula>
    </cfRule>
  </conditionalFormatting>
  <conditionalFormatting sqref="Q263">
    <cfRule type="containsText" dxfId="9" priority="45304" operator="containsText" text="No">
      <formula>NOT(ISERROR(SEARCH(("No"),(Q263))))</formula>
    </cfRule>
  </conditionalFormatting>
  <conditionalFormatting sqref="Q263">
    <cfRule type="containsText" dxfId="9" priority="45305" operator="containsText" text="No">
      <formula>NOT(ISERROR(SEARCH(("No"),(Q263))))</formula>
    </cfRule>
  </conditionalFormatting>
  <conditionalFormatting sqref="Q263">
    <cfRule type="containsText" dxfId="9" priority="45306" operator="containsText" text="No">
      <formula>NOT(ISERROR(SEARCH(("No"),(Q263))))</formula>
    </cfRule>
  </conditionalFormatting>
  <conditionalFormatting sqref="Q263">
    <cfRule type="containsText" dxfId="9" priority="45307" operator="containsText" text="No">
      <formula>NOT(ISERROR(SEARCH(("No"),(Q263))))</formula>
    </cfRule>
  </conditionalFormatting>
  <conditionalFormatting sqref="Q263">
    <cfRule type="containsText" dxfId="9" priority="45308" operator="containsText" text="No">
      <formula>NOT(ISERROR(SEARCH(("No"),(Q263))))</formula>
    </cfRule>
  </conditionalFormatting>
  <conditionalFormatting sqref="Q263">
    <cfRule type="containsText" dxfId="9" priority="45309" operator="containsText" text="No">
      <formula>NOT(ISERROR(SEARCH(("No"),(Q263))))</formula>
    </cfRule>
  </conditionalFormatting>
  <conditionalFormatting sqref="Q263">
    <cfRule type="containsText" dxfId="9" priority="45310" operator="containsText" text="No">
      <formula>NOT(ISERROR(SEARCH(("No"),(Q263))))</formula>
    </cfRule>
  </conditionalFormatting>
  <conditionalFormatting sqref="Q263">
    <cfRule type="containsText" dxfId="9" priority="45311" operator="containsText" text="No">
      <formula>NOT(ISERROR(SEARCH(("No"),(Q263))))</formula>
    </cfRule>
  </conditionalFormatting>
  <conditionalFormatting sqref="Q263">
    <cfRule type="containsText" dxfId="9" priority="45312" operator="containsText" text="No">
      <formula>NOT(ISERROR(SEARCH(("No"),(Q263))))</formula>
    </cfRule>
  </conditionalFormatting>
  <conditionalFormatting sqref="Q263">
    <cfRule type="containsText" dxfId="9" priority="45313" operator="containsText" text="No">
      <formula>NOT(ISERROR(SEARCH(("No"),(Q263))))</formula>
    </cfRule>
  </conditionalFormatting>
  <conditionalFormatting sqref="Q263">
    <cfRule type="containsText" dxfId="9" priority="45314" operator="containsText" text="No">
      <formula>NOT(ISERROR(SEARCH(("No"),(Q263))))</formula>
    </cfRule>
  </conditionalFormatting>
  <conditionalFormatting sqref="Q263">
    <cfRule type="containsText" dxfId="9" priority="45315" operator="containsText" text="No">
      <formula>NOT(ISERROR(SEARCH(("No"),(Q263))))</formula>
    </cfRule>
  </conditionalFormatting>
  <conditionalFormatting sqref="Q263">
    <cfRule type="containsText" dxfId="9" priority="45316" operator="containsText" text="No">
      <formula>NOT(ISERROR(SEARCH(("No"),(Q263))))</formula>
    </cfRule>
  </conditionalFormatting>
  <conditionalFormatting sqref="Q263">
    <cfRule type="containsText" dxfId="9" priority="45317" operator="containsText" text="No">
      <formula>NOT(ISERROR(SEARCH(("No"),(Q263))))</formula>
    </cfRule>
  </conditionalFormatting>
  <conditionalFormatting sqref="Q263">
    <cfRule type="containsText" dxfId="9" priority="45318" operator="containsText" text="No">
      <formula>NOT(ISERROR(SEARCH(("No"),(Q263))))</formula>
    </cfRule>
  </conditionalFormatting>
  <conditionalFormatting sqref="Q263">
    <cfRule type="containsText" dxfId="9" priority="45319" operator="containsText" text="No">
      <formula>NOT(ISERROR(SEARCH(("No"),(Q263))))</formula>
    </cfRule>
  </conditionalFormatting>
  <conditionalFormatting sqref="Q263">
    <cfRule type="containsText" dxfId="9" priority="45320" operator="containsText" text="No">
      <formula>NOT(ISERROR(SEARCH(("No"),(Q263))))</formula>
    </cfRule>
  </conditionalFormatting>
  <conditionalFormatting sqref="Q263">
    <cfRule type="containsText" dxfId="9" priority="45321" operator="containsText" text="No">
      <formula>NOT(ISERROR(SEARCH(("No"),(Q263))))</formula>
    </cfRule>
  </conditionalFormatting>
  <conditionalFormatting sqref="Q263">
    <cfRule type="containsText" dxfId="9" priority="45322" operator="containsText" text="No">
      <formula>NOT(ISERROR(SEARCH(("No"),(Q263))))</formula>
    </cfRule>
  </conditionalFormatting>
  <conditionalFormatting sqref="Q263">
    <cfRule type="containsText" dxfId="9" priority="45323" operator="containsText" text="No">
      <formula>NOT(ISERROR(SEARCH(("No"),(Q263))))</formula>
    </cfRule>
  </conditionalFormatting>
  <conditionalFormatting sqref="Q263">
    <cfRule type="containsText" dxfId="9" priority="45324" operator="containsText" text="No">
      <formula>NOT(ISERROR(SEARCH(("No"),(Q263))))</formula>
    </cfRule>
  </conditionalFormatting>
  <conditionalFormatting sqref="Q263">
    <cfRule type="containsText" dxfId="9" priority="45325" operator="containsText" text="No">
      <formula>NOT(ISERROR(SEARCH(("No"),(Q263))))</formula>
    </cfRule>
  </conditionalFormatting>
  <conditionalFormatting sqref="Q263">
    <cfRule type="containsText" dxfId="9" priority="45326" operator="containsText" text="No">
      <formula>NOT(ISERROR(SEARCH(("No"),(Q263))))</formula>
    </cfRule>
  </conditionalFormatting>
  <conditionalFormatting sqref="Q263">
    <cfRule type="containsText" dxfId="9" priority="45327" operator="containsText" text="No">
      <formula>NOT(ISERROR(SEARCH(("No"),(Q263))))</formula>
    </cfRule>
  </conditionalFormatting>
  <conditionalFormatting sqref="Q263">
    <cfRule type="containsText" dxfId="9" priority="45328" operator="containsText" text="No">
      <formula>NOT(ISERROR(SEARCH(("No"),(Q263))))</formula>
    </cfRule>
  </conditionalFormatting>
  <conditionalFormatting sqref="Q263">
    <cfRule type="containsText" dxfId="9" priority="45329" operator="containsText" text="No">
      <formula>NOT(ISERROR(SEARCH(("No"),(Q263))))</formula>
    </cfRule>
  </conditionalFormatting>
  <conditionalFormatting sqref="Q263">
    <cfRule type="containsText" dxfId="9" priority="45330" operator="containsText" text="No">
      <formula>NOT(ISERROR(SEARCH(("No"),(Q263))))</formula>
    </cfRule>
  </conditionalFormatting>
  <conditionalFormatting sqref="Q263">
    <cfRule type="containsText" dxfId="9" priority="45331" operator="containsText" text="No">
      <formula>NOT(ISERROR(SEARCH(("No"),(Q263))))</formula>
    </cfRule>
  </conditionalFormatting>
  <conditionalFormatting sqref="Q263">
    <cfRule type="containsText" dxfId="9" priority="45332" operator="containsText" text="No">
      <formula>NOT(ISERROR(SEARCH(("No"),(Q263))))</formula>
    </cfRule>
  </conditionalFormatting>
  <conditionalFormatting sqref="Q263">
    <cfRule type="containsText" dxfId="2" priority="45333" operator="containsText" text="Yes">
      <formula>NOT(ISERROR(SEARCH(("Yes"),(Q263))))</formula>
    </cfRule>
  </conditionalFormatting>
  <conditionalFormatting sqref="Q263">
    <cfRule type="containsText" dxfId="2" priority="45334" operator="containsText" text="Yes">
      <formula>NOT(ISERROR(SEARCH(("Yes"),(Q263))))</formula>
    </cfRule>
  </conditionalFormatting>
  <conditionalFormatting sqref="Q263">
    <cfRule type="containsText" dxfId="2" priority="45335" operator="containsText" text="Yes">
      <formula>NOT(ISERROR(SEARCH(("Yes"),(Q263))))</formula>
    </cfRule>
  </conditionalFormatting>
  <conditionalFormatting sqref="Q263">
    <cfRule type="containsText" dxfId="2" priority="45336" operator="containsText" text="Yes">
      <formula>NOT(ISERROR(SEARCH(("Yes"),(Q263))))</formula>
    </cfRule>
  </conditionalFormatting>
  <conditionalFormatting sqref="Q263">
    <cfRule type="containsText" dxfId="2" priority="45337" operator="containsText" text="Yes">
      <formula>NOT(ISERROR(SEARCH(("Yes"),(Q263))))</formula>
    </cfRule>
  </conditionalFormatting>
  <conditionalFormatting sqref="Q263">
    <cfRule type="containsText" dxfId="2" priority="45338" operator="containsText" text="Yes">
      <formula>NOT(ISERROR(SEARCH(("Yes"),(Q263))))</formula>
    </cfRule>
  </conditionalFormatting>
  <conditionalFormatting sqref="Q263">
    <cfRule type="containsText" dxfId="2" priority="45339" operator="containsText" text="Yes">
      <formula>NOT(ISERROR(SEARCH(("Yes"),(Q263))))</formula>
    </cfRule>
  </conditionalFormatting>
  <conditionalFormatting sqref="Q263">
    <cfRule type="containsText" dxfId="2" priority="45340" operator="containsText" text="Yes">
      <formula>NOT(ISERROR(SEARCH(("Yes"),(Q263))))</formula>
    </cfRule>
  </conditionalFormatting>
  <conditionalFormatting sqref="Q263">
    <cfRule type="containsText" dxfId="2" priority="45341" operator="containsText" text="Yes">
      <formula>NOT(ISERROR(SEARCH(("Yes"),(Q263))))</formula>
    </cfRule>
  </conditionalFormatting>
  <conditionalFormatting sqref="Q263">
    <cfRule type="containsText" dxfId="2" priority="45342" operator="containsText" text="Yes">
      <formula>NOT(ISERROR(SEARCH(("Yes"),(Q263))))</formula>
    </cfRule>
  </conditionalFormatting>
  <conditionalFormatting sqref="Q263">
    <cfRule type="containsText" dxfId="2" priority="45343" operator="containsText" text="Yes">
      <formula>NOT(ISERROR(SEARCH(("Yes"),(Q263))))</formula>
    </cfRule>
  </conditionalFormatting>
  <conditionalFormatting sqref="Q263">
    <cfRule type="containsText" dxfId="2" priority="45344" operator="containsText" text="Yes">
      <formula>NOT(ISERROR(SEARCH(("Yes"),(Q263))))</formula>
    </cfRule>
  </conditionalFormatting>
  <conditionalFormatting sqref="Q263">
    <cfRule type="containsText" dxfId="2" priority="45345" operator="containsText" text="Yes">
      <formula>NOT(ISERROR(SEARCH(("Yes"),(Q263))))</formula>
    </cfRule>
  </conditionalFormatting>
  <conditionalFormatting sqref="Q263">
    <cfRule type="containsText" dxfId="2" priority="45346" operator="containsText" text="Yes">
      <formula>NOT(ISERROR(SEARCH(("Yes"),(Q263))))</formula>
    </cfRule>
  </conditionalFormatting>
  <conditionalFormatting sqref="Q263">
    <cfRule type="containsText" dxfId="2" priority="45347" operator="containsText" text="Yes">
      <formula>NOT(ISERROR(SEARCH(("Yes"),(Q263))))</formula>
    </cfRule>
  </conditionalFormatting>
  <conditionalFormatting sqref="Q263">
    <cfRule type="containsText" dxfId="2" priority="45348" operator="containsText" text="Yes">
      <formula>NOT(ISERROR(SEARCH(("Yes"),(Q263))))</formula>
    </cfRule>
  </conditionalFormatting>
  <conditionalFormatting sqref="Q263">
    <cfRule type="containsText" dxfId="2" priority="45349" operator="containsText" text="Yes">
      <formula>NOT(ISERROR(SEARCH(("Yes"),(Q263))))</formula>
    </cfRule>
  </conditionalFormatting>
  <conditionalFormatting sqref="Q263">
    <cfRule type="containsText" dxfId="2" priority="45350" operator="containsText" text="Yes">
      <formula>NOT(ISERROR(SEARCH(("Yes"),(Q263))))</formula>
    </cfRule>
  </conditionalFormatting>
  <conditionalFormatting sqref="Q263">
    <cfRule type="containsText" dxfId="2" priority="45351" operator="containsText" text="Yes">
      <formula>NOT(ISERROR(SEARCH(("Yes"),(Q263))))</formula>
    </cfRule>
  </conditionalFormatting>
  <conditionalFormatting sqref="Q263">
    <cfRule type="containsText" dxfId="2" priority="45352" operator="containsText" text="Yes">
      <formula>NOT(ISERROR(SEARCH(("Yes"),(Q263))))</formula>
    </cfRule>
  </conditionalFormatting>
  <conditionalFormatting sqref="Q263">
    <cfRule type="containsText" dxfId="2" priority="45353" operator="containsText" text="Yes">
      <formula>NOT(ISERROR(SEARCH(("Yes"),(Q263))))</formula>
    </cfRule>
  </conditionalFormatting>
  <conditionalFormatting sqref="Q263">
    <cfRule type="containsText" dxfId="2" priority="45354" operator="containsText" text="Yes">
      <formula>NOT(ISERROR(SEARCH(("Yes"),(Q263))))</formula>
    </cfRule>
  </conditionalFormatting>
  <conditionalFormatting sqref="Q263">
    <cfRule type="containsText" dxfId="2" priority="45355" operator="containsText" text="Yes">
      <formula>NOT(ISERROR(SEARCH(("Yes"),(Q263))))</formula>
    </cfRule>
  </conditionalFormatting>
  <conditionalFormatting sqref="Q263">
    <cfRule type="containsText" dxfId="2" priority="45356" operator="containsText" text="Yes">
      <formula>NOT(ISERROR(SEARCH(("Yes"),(Q263))))</formula>
    </cfRule>
  </conditionalFormatting>
  <conditionalFormatting sqref="Q263">
    <cfRule type="containsText" dxfId="2" priority="45357" operator="containsText" text="Yes">
      <formula>NOT(ISERROR(SEARCH(("Yes"),(Q263))))</formula>
    </cfRule>
  </conditionalFormatting>
  <conditionalFormatting sqref="Q263">
    <cfRule type="containsText" dxfId="2" priority="45358" operator="containsText" text="Yes">
      <formula>NOT(ISERROR(SEARCH(("Yes"),(Q263))))</formula>
    </cfRule>
  </conditionalFormatting>
  <conditionalFormatting sqref="Q263">
    <cfRule type="containsText" dxfId="2" priority="45359" operator="containsText" text="Yes">
      <formula>NOT(ISERROR(SEARCH(("Yes"),(Q263))))</formula>
    </cfRule>
  </conditionalFormatting>
  <conditionalFormatting sqref="Q263">
    <cfRule type="containsText" dxfId="2" priority="45360" operator="containsText" text="Yes">
      <formula>NOT(ISERROR(SEARCH(("Yes"),(Q263))))</formula>
    </cfRule>
  </conditionalFormatting>
  <conditionalFormatting sqref="Q263">
    <cfRule type="containsText" dxfId="2" priority="45361" operator="containsText" text="Yes">
      <formula>NOT(ISERROR(SEARCH(("Yes"),(Q263))))</formula>
    </cfRule>
  </conditionalFormatting>
  <conditionalFormatting sqref="Q263">
    <cfRule type="containsText" dxfId="2" priority="45362" operator="containsText" text="Yes">
      <formula>NOT(ISERROR(SEARCH(("Yes"),(Q263))))</formula>
    </cfRule>
  </conditionalFormatting>
  <conditionalFormatting sqref="Q263">
    <cfRule type="containsText" dxfId="2" priority="45363" operator="containsText" text="Yes">
      <formula>NOT(ISERROR(SEARCH(("Yes"),(Q263))))</formula>
    </cfRule>
  </conditionalFormatting>
  <conditionalFormatting sqref="Q263">
    <cfRule type="containsText" dxfId="2" priority="45364" operator="containsText" text="Yes">
      <formula>NOT(ISERROR(SEARCH(("Yes"),(Q263))))</formula>
    </cfRule>
  </conditionalFormatting>
  <conditionalFormatting sqref="Q263">
    <cfRule type="containsText" dxfId="2" priority="45365" operator="containsText" text="Yes">
      <formula>NOT(ISERROR(SEARCH(("Yes"),(Q263))))</formula>
    </cfRule>
  </conditionalFormatting>
  <conditionalFormatting sqref="Q263">
    <cfRule type="containsText" dxfId="2" priority="45366" operator="containsText" text="Yes">
      <formula>NOT(ISERROR(SEARCH(("Yes"),(Q263))))</formula>
    </cfRule>
  </conditionalFormatting>
  <conditionalFormatting sqref="Q263">
    <cfRule type="containsText" dxfId="2" priority="45367" operator="containsText" text="Yes">
      <formula>NOT(ISERROR(SEARCH(("Yes"),(Q263))))</formula>
    </cfRule>
  </conditionalFormatting>
  <conditionalFormatting sqref="Q263">
    <cfRule type="containsText" dxfId="2" priority="45368" operator="containsText" text="Yes">
      <formula>NOT(ISERROR(SEARCH(("Yes"),(Q263))))</formula>
    </cfRule>
  </conditionalFormatting>
  <conditionalFormatting sqref="Q263">
    <cfRule type="containsText" dxfId="2" priority="45369" operator="containsText" text="Yes">
      <formula>NOT(ISERROR(SEARCH(("Yes"),(Q263))))</formula>
    </cfRule>
  </conditionalFormatting>
  <conditionalFormatting sqref="Q263">
    <cfRule type="containsText" dxfId="2" priority="45370" operator="containsText" text="Yes">
      <formula>NOT(ISERROR(SEARCH(("Yes"),(Q263))))</formula>
    </cfRule>
  </conditionalFormatting>
  <conditionalFormatting sqref="Q263">
    <cfRule type="containsText" dxfId="2" priority="45371" operator="containsText" text="Yes">
      <formula>NOT(ISERROR(SEARCH(("Yes"),(Q263))))</formula>
    </cfRule>
  </conditionalFormatting>
  <conditionalFormatting sqref="Q263">
    <cfRule type="containsText" dxfId="2" priority="45372" operator="containsText" text="Yes">
      <formula>NOT(ISERROR(SEARCH(("Yes"),(Q263))))</formula>
    </cfRule>
  </conditionalFormatting>
  <conditionalFormatting sqref="Q263">
    <cfRule type="containsText" dxfId="2" priority="45373" operator="containsText" text="Yes">
      <formula>NOT(ISERROR(SEARCH(("Yes"),(Q263))))</formula>
    </cfRule>
  </conditionalFormatting>
  <conditionalFormatting sqref="Q263">
    <cfRule type="containsText" dxfId="2" priority="45374" operator="containsText" text="Yes">
      <formula>NOT(ISERROR(SEARCH(("Yes"),(Q263))))</formula>
    </cfRule>
  </conditionalFormatting>
  <conditionalFormatting sqref="Q263">
    <cfRule type="containsText" dxfId="2" priority="45375" operator="containsText" text="Yes">
      <formula>NOT(ISERROR(SEARCH(("Yes"),(Q263))))</formula>
    </cfRule>
  </conditionalFormatting>
  <conditionalFormatting sqref="Q263">
    <cfRule type="containsText" dxfId="2" priority="45376" operator="containsText" text="Yes">
      <formula>NOT(ISERROR(SEARCH(("Yes"),(Q263))))</formula>
    </cfRule>
  </conditionalFormatting>
  <conditionalFormatting sqref="Q263">
    <cfRule type="containsText" dxfId="2" priority="45377" operator="containsText" text="Yes">
      <formula>NOT(ISERROR(SEARCH(("Yes"),(Q263))))</formula>
    </cfRule>
  </conditionalFormatting>
  <conditionalFormatting sqref="Q263">
    <cfRule type="containsText" dxfId="2" priority="45378" operator="containsText" text="Yes">
      <formula>NOT(ISERROR(SEARCH(("Yes"),(Q263))))</formula>
    </cfRule>
  </conditionalFormatting>
  <conditionalFormatting sqref="Q263">
    <cfRule type="containsText" dxfId="2" priority="45379" operator="containsText" text="Yes">
      <formula>NOT(ISERROR(SEARCH(("Yes"),(Q263))))</formula>
    </cfRule>
  </conditionalFormatting>
  <conditionalFormatting sqref="O263:O264 O267:O269 O275">
    <cfRule type="containsText" dxfId="9" priority="45380" operator="containsText" text="No">
      <formula>NOT(ISERROR(SEARCH(("No"),(O263))))</formula>
    </cfRule>
  </conditionalFormatting>
  <conditionalFormatting sqref="O263:O264 O267:O269 O275">
    <cfRule type="containsText" dxfId="9" priority="45381" operator="containsText" text="No">
      <formula>NOT(ISERROR(SEARCH(("No"),(O263))))</formula>
    </cfRule>
  </conditionalFormatting>
  <conditionalFormatting sqref="O263:O264 O267:O269 O275">
    <cfRule type="containsText" dxfId="9" priority="45382" operator="containsText" text="No">
      <formula>NOT(ISERROR(SEARCH(("No"),(O263))))</formula>
    </cfRule>
  </conditionalFormatting>
  <conditionalFormatting sqref="O263:O264 O267:O269 O275">
    <cfRule type="containsText" dxfId="2" priority="45383" operator="containsText" text="Yes">
      <formula>NOT(ISERROR(SEARCH(("Yes"),(O263))))</formula>
    </cfRule>
  </conditionalFormatting>
  <conditionalFormatting sqref="O263:O264 O267:O269 O275">
    <cfRule type="containsText" dxfId="2" priority="45384" operator="containsText" text="Yes">
      <formula>NOT(ISERROR(SEARCH(("Yes"),(O263))))</formula>
    </cfRule>
  </conditionalFormatting>
  <conditionalFormatting sqref="O263:O264 O267:O269 O275">
    <cfRule type="containsText" dxfId="2" priority="45385" operator="containsText" text="Yes">
      <formula>NOT(ISERROR(SEARCH(("Yes"),(O263))))</formula>
    </cfRule>
  </conditionalFormatting>
  <conditionalFormatting sqref="O263:O264 O267:O269 O275">
    <cfRule type="containsText" dxfId="2" priority="45386" operator="containsText" text="Yes">
      <formula>NOT(ISERROR(SEARCH(("Yes"),(O263))))</formula>
    </cfRule>
  </conditionalFormatting>
  <conditionalFormatting sqref="O263:O264 O267:O269 O275">
    <cfRule type="containsText" dxfId="2" priority="45387" operator="containsText" text="Yes">
      <formula>NOT(ISERROR(SEARCH(("Yes"),(O263))))</formula>
    </cfRule>
  </conditionalFormatting>
  <conditionalFormatting sqref="O263:O264 O267:O269 O275">
    <cfRule type="containsText" dxfId="9" priority="45388" operator="containsText" text="No">
      <formula>NOT(ISERROR(SEARCH(("No"),(O263))))</formula>
    </cfRule>
  </conditionalFormatting>
  <conditionalFormatting sqref="O263:O264 O267:O269 O275">
    <cfRule type="containsText" dxfId="9" priority="45389" operator="containsText" text="No">
      <formula>NOT(ISERROR(SEARCH(("No"),(O263))))</formula>
    </cfRule>
  </conditionalFormatting>
  <conditionalFormatting sqref="O263:O264 O267:O269 O275">
    <cfRule type="containsText" dxfId="2" priority="45390" operator="containsText" text="Yes">
      <formula>NOT(ISERROR(SEARCH(("Yes"),(O263))))</formula>
    </cfRule>
  </conditionalFormatting>
  <conditionalFormatting sqref="P264:Q264 P267:Q269 P275:Q275">
    <cfRule type="containsText" dxfId="9" priority="45391" operator="containsText" text="No">
      <formula>NOT(ISERROR(SEARCH(("No"),(P264))))</formula>
    </cfRule>
  </conditionalFormatting>
  <conditionalFormatting sqref="P264:Q264 P267:Q269 P275:Q275">
    <cfRule type="containsText" dxfId="9" priority="45392" operator="containsText" text="No">
      <formula>NOT(ISERROR(SEARCH(("No"),(P264))))</formula>
    </cfRule>
  </conditionalFormatting>
  <conditionalFormatting sqref="P264:Q264 P267:Q269 P275:Q275">
    <cfRule type="containsText" dxfId="9" priority="45393" operator="containsText" text="No">
      <formula>NOT(ISERROR(SEARCH(("No"),(P264))))</formula>
    </cfRule>
  </conditionalFormatting>
  <conditionalFormatting sqref="P264:Q264 P267:Q269 P275:Q275">
    <cfRule type="containsText" dxfId="9" priority="45394" operator="containsText" text="No">
      <formula>NOT(ISERROR(SEARCH(("No"),(P264))))</formula>
    </cfRule>
  </conditionalFormatting>
  <conditionalFormatting sqref="P264:Q264 P267:Q269 P275:Q275">
    <cfRule type="containsText" dxfId="9" priority="45395" operator="containsText" text="No">
      <formula>NOT(ISERROR(SEARCH(("No"),(P264))))</formula>
    </cfRule>
  </conditionalFormatting>
  <conditionalFormatting sqref="P264:Q264 P267:Q269 P275:Q275">
    <cfRule type="containsText" dxfId="9" priority="45396" operator="containsText" text="No">
      <formula>NOT(ISERROR(SEARCH(("No"),(P264))))</formula>
    </cfRule>
  </conditionalFormatting>
  <conditionalFormatting sqref="P264:Q264 P267:Q269 P275:Q275">
    <cfRule type="containsText" dxfId="9" priority="45397" operator="containsText" text="No">
      <formula>NOT(ISERROR(SEARCH(("No"),(P264))))</formula>
    </cfRule>
  </conditionalFormatting>
  <conditionalFormatting sqref="P264:Q264 P267:Q269 P275:Q275">
    <cfRule type="containsText" dxfId="9" priority="45398" operator="containsText" text="No">
      <formula>NOT(ISERROR(SEARCH(("No"),(P264))))</formula>
    </cfRule>
  </conditionalFormatting>
  <conditionalFormatting sqref="P264:Q264 P267:Q269 P275:Q275">
    <cfRule type="containsText" dxfId="9" priority="45399" operator="containsText" text="No">
      <formula>NOT(ISERROR(SEARCH(("No"),(P264))))</formula>
    </cfRule>
  </conditionalFormatting>
  <conditionalFormatting sqref="P264:Q264 P267:Q269 P275:Q275">
    <cfRule type="containsText" dxfId="9" priority="45400" operator="containsText" text="No">
      <formula>NOT(ISERROR(SEARCH(("No"),(P264))))</formula>
    </cfRule>
  </conditionalFormatting>
  <conditionalFormatting sqref="P264:Q264 P267:Q269 P275:Q275">
    <cfRule type="containsText" dxfId="9" priority="45401" operator="containsText" text="No">
      <formula>NOT(ISERROR(SEARCH(("No"),(P264))))</formula>
    </cfRule>
  </conditionalFormatting>
  <conditionalFormatting sqref="P264:Q264 P267:Q269 P275:Q275">
    <cfRule type="containsText" dxfId="9" priority="45402" operator="containsText" text="No">
      <formula>NOT(ISERROR(SEARCH(("No"),(P264))))</formula>
    </cfRule>
  </conditionalFormatting>
  <conditionalFormatting sqref="P264:Q264 P267:Q269 P275:Q275">
    <cfRule type="containsText" dxfId="9" priority="45403" operator="containsText" text="No">
      <formula>NOT(ISERROR(SEARCH(("No"),(P264))))</formula>
    </cfRule>
  </conditionalFormatting>
  <conditionalFormatting sqref="P264:Q264 P267:Q269 P275:Q275">
    <cfRule type="containsText" dxfId="9" priority="45404" operator="containsText" text="No">
      <formula>NOT(ISERROR(SEARCH(("No"),(P264))))</formula>
    </cfRule>
  </conditionalFormatting>
  <conditionalFormatting sqref="P264:Q264 P267:Q269 P275:Q275">
    <cfRule type="containsText" dxfId="9" priority="45405" operator="containsText" text="No">
      <formula>NOT(ISERROR(SEARCH(("No"),(P264))))</formula>
    </cfRule>
  </conditionalFormatting>
  <conditionalFormatting sqref="P264:Q264 P267:Q269 P275:Q275">
    <cfRule type="containsText" dxfId="9" priority="45406" operator="containsText" text="No">
      <formula>NOT(ISERROR(SEARCH(("No"),(P264))))</formula>
    </cfRule>
  </conditionalFormatting>
  <conditionalFormatting sqref="P264:Q264 P267:Q269 P275:Q275">
    <cfRule type="containsText" dxfId="9" priority="45407" operator="containsText" text="No">
      <formula>NOT(ISERROR(SEARCH(("No"),(P264))))</formula>
    </cfRule>
  </conditionalFormatting>
  <conditionalFormatting sqref="P264:Q264 P267:Q269 P275:Q275">
    <cfRule type="containsText" dxfId="9" priority="45408" operator="containsText" text="No">
      <formula>NOT(ISERROR(SEARCH(("No"),(P264))))</formula>
    </cfRule>
  </conditionalFormatting>
  <conditionalFormatting sqref="P264:Q264 P267:Q269 P275:Q275">
    <cfRule type="containsText" dxfId="9" priority="45409" operator="containsText" text="No">
      <formula>NOT(ISERROR(SEARCH(("No"),(P264))))</formula>
    </cfRule>
  </conditionalFormatting>
  <conditionalFormatting sqref="P264:Q264 P267:Q269 P275:Q275">
    <cfRule type="containsText" dxfId="9" priority="45410" operator="containsText" text="No">
      <formula>NOT(ISERROR(SEARCH(("No"),(P264))))</formula>
    </cfRule>
  </conditionalFormatting>
  <conditionalFormatting sqref="P264:Q264 P267:Q269 P275:Q275">
    <cfRule type="containsText" dxfId="9" priority="45411" operator="containsText" text="No">
      <formula>NOT(ISERROR(SEARCH(("No"),(P264))))</formula>
    </cfRule>
  </conditionalFormatting>
  <conditionalFormatting sqref="P264:Q264 P267:Q269 P275:Q275">
    <cfRule type="containsText" dxfId="9" priority="45412" operator="containsText" text="No">
      <formula>NOT(ISERROR(SEARCH(("No"),(P264))))</formula>
    </cfRule>
  </conditionalFormatting>
  <conditionalFormatting sqref="P264:Q264 P267:Q269 P275:Q275">
    <cfRule type="containsText" dxfId="9" priority="45413" operator="containsText" text="No">
      <formula>NOT(ISERROR(SEARCH(("No"),(P264))))</formula>
    </cfRule>
  </conditionalFormatting>
  <conditionalFormatting sqref="P264:Q264 P267:Q269 P275:Q275">
    <cfRule type="containsText" dxfId="9" priority="45414" operator="containsText" text="No">
      <formula>NOT(ISERROR(SEARCH(("No"),(P264))))</formula>
    </cfRule>
  </conditionalFormatting>
  <conditionalFormatting sqref="P264:Q264 P267:Q269 P275:Q275">
    <cfRule type="containsText" dxfId="9" priority="45415" operator="containsText" text="No">
      <formula>NOT(ISERROR(SEARCH(("No"),(P264))))</formula>
    </cfRule>
  </conditionalFormatting>
  <conditionalFormatting sqref="P264:Q264 P267:Q269 P275:Q275">
    <cfRule type="containsText" dxfId="9" priority="45416" operator="containsText" text="No">
      <formula>NOT(ISERROR(SEARCH(("No"),(P264))))</formula>
    </cfRule>
  </conditionalFormatting>
  <conditionalFormatting sqref="P264:Q264 P267:Q269 P275:Q275">
    <cfRule type="containsText" dxfId="9" priority="45417" operator="containsText" text="No">
      <formula>NOT(ISERROR(SEARCH(("No"),(P264))))</formula>
    </cfRule>
  </conditionalFormatting>
  <conditionalFormatting sqref="P264:Q264 P267:Q269 P275:Q275">
    <cfRule type="containsText" dxfId="9" priority="45418" operator="containsText" text="No">
      <formula>NOT(ISERROR(SEARCH(("No"),(P264))))</formula>
    </cfRule>
  </conditionalFormatting>
  <conditionalFormatting sqref="P264:Q264 P267:Q269 P275:Q275">
    <cfRule type="containsText" dxfId="9" priority="45419" operator="containsText" text="No">
      <formula>NOT(ISERROR(SEARCH(("No"),(P264))))</formula>
    </cfRule>
  </conditionalFormatting>
  <conditionalFormatting sqref="P264:Q264 P267:Q269 P275:Q275">
    <cfRule type="containsText" dxfId="9" priority="45420" operator="containsText" text="No">
      <formula>NOT(ISERROR(SEARCH(("No"),(P264))))</formula>
    </cfRule>
  </conditionalFormatting>
  <conditionalFormatting sqref="P264:Q264 P267:Q269 P275:Q275">
    <cfRule type="containsText" dxfId="9" priority="45421" operator="containsText" text="No">
      <formula>NOT(ISERROR(SEARCH(("No"),(P264))))</formula>
    </cfRule>
  </conditionalFormatting>
  <conditionalFormatting sqref="P264:Q264 P267:Q269 P275:Q275">
    <cfRule type="containsText" dxfId="9" priority="45422" operator="containsText" text="No">
      <formula>NOT(ISERROR(SEARCH(("No"),(P264))))</formula>
    </cfRule>
  </conditionalFormatting>
  <conditionalFormatting sqref="P264:Q264 P267:Q269 P275:Q275">
    <cfRule type="containsText" dxfId="9" priority="45423" operator="containsText" text="No">
      <formula>NOT(ISERROR(SEARCH(("No"),(P264))))</formula>
    </cfRule>
  </conditionalFormatting>
  <conditionalFormatting sqref="P264:Q264 P267:Q269 P275:Q275">
    <cfRule type="containsText" dxfId="9" priority="45424" operator="containsText" text="No">
      <formula>NOT(ISERROR(SEARCH(("No"),(P264))))</formula>
    </cfRule>
  </conditionalFormatting>
  <conditionalFormatting sqref="P264:Q264 P267:Q269 P275:Q275">
    <cfRule type="containsText" dxfId="9" priority="45425" operator="containsText" text="No">
      <formula>NOT(ISERROR(SEARCH(("No"),(P264))))</formula>
    </cfRule>
  </conditionalFormatting>
  <conditionalFormatting sqref="P264:Q264 P267:Q269 P275:Q275">
    <cfRule type="containsText" dxfId="9" priority="45426" operator="containsText" text="No">
      <formula>NOT(ISERROR(SEARCH(("No"),(P264))))</formula>
    </cfRule>
  </conditionalFormatting>
  <conditionalFormatting sqref="P264:Q264 P267:Q269 P275:Q275">
    <cfRule type="containsText" dxfId="9" priority="45427" operator="containsText" text="No">
      <formula>NOT(ISERROR(SEARCH(("No"),(P264))))</formula>
    </cfRule>
  </conditionalFormatting>
  <conditionalFormatting sqref="P264:Q264 P267:Q269 P275:Q275">
    <cfRule type="containsText" dxfId="9" priority="45428" operator="containsText" text="No">
      <formula>NOT(ISERROR(SEARCH(("No"),(P264))))</formula>
    </cfRule>
  </conditionalFormatting>
  <conditionalFormatting sqref="P264:Q264 P267:Q269 P275:Q275">
    <cfRule type="containsText" dxfId="9" priority="45429" operator="containsText" text="No">
      <formula>NOT(ISERROR(SEARCH(("No"),(P264))))</formula>
    </cfRule>
  </conditionalFormatting>
  <conditionalFormatting sqref="P264:Q264 P267:Q269 P275:Q275">
    <cfRule type="containsText" dxfId="9" priority="45430" operator="containsText" text="No">
      <formula>NOT(ISERROR(SEARCH(("No"),(P264))))</formula>
    </cfRule>
  </conditionalFormatting>
  <conditionalFormatting sqref="P264:Q264 P267:Q269 P275:Q275">
    <cfRule type="containsText" dxfId="9" priority="45431" operator="containsText" text="No">
      <formula>NOT(ISERROR(SEARCH(("No"),(P264))))</formula>
    </cfRule>
  </conditionalFormatting>
  <conditionalFormatting sqref="P264:Q264 P267:Q269 P275:Q275">
    <cfRule type="containsText" dxfId="9" priority="45432" operator="containsText" text="No">
      <formula>NOT(ISERROR(SEARCH(("No"),(P264))))</formula>
    </cfRule>
  </conditionalFormatting>
  <conditionalFormatting sqref="P264:Q264 P267:Q269 P275:Q275">
    <cfRule type="containsText" dxfId="9" priority="45433" operator="containsText" text="No">
      <formula>NOT(ISERROR(SEARCH(("No"),(P264))))</formula>
    </cfRule>
  </conditionalFormatting>
  <conditionalFormatting sqref="P264:Q264 P267:Q269 P275:Q275">
    <cfRule type="containsText" dxfId="9" priority="45434" operator="containsText" text="No">
      <formula>NOT(ISERROR(SEARCH(("No"),(P264))))</formula>
    </cfRule>
  </conditionalFormatting>
  <conditionalFormatting sqref="P264:Q264 P267:Q269 P275:Q275">
    <cfRule type="containsText" dxfId="9" priority="45435" operator="containsText" text="No">
      <formula>NOT(ISERROR(SEARCH(("No"),(P264))))</formula>
    </cfRule>
  </conditionalFormatting>
  <conditionalFormatting sqref="P264:Q264 P267:Q269 P275:Q275">
    <cfRule type="containsText" dxfId="2" priority="45436" operator="containsText" text="Yes">
      <formula>NOT(ISERROR(SEARCH(("Yes"),(P264))))</formula>
    </cfRule>
  </conditionalFormatting>
  <conditionalFormatting sqref="P264:Q264 P267:Q269 P275:Q275">
    <cfRule type="containsText" dxfId="2" priority="45437" operator="containsText" text="Yes">
      <formula>NOT(ISERROR(SEARCH(("Yes"),(P264))))</formula>
    </cfRule>
  </conditionalFormatting>
  <conditionalFormatting sqref="P264:Q264 P267:Q269 P275:Q275">
    <cfRule type="containsText" dxfId="2" priority="45438" operator="containsText" text="Yes">
      <formula>NOT(ISERROR(SEARCH(("Yes"),(P264))))</formula>
    </cfRule>
  </conditionalFormatting>
  <conditionalFormatting sqref="P264:Q264 P267:Q269 P275:Q275">
    <cfRule type="containsText" dxfId="2" priority="45439" operator="containsText" text="Yes">
      <formula>NOT(ISERROR(SEARCH(("Yes"),(P264))))</formula>
    </cfRule>
  </conditionalFormatting>
  <conditionalFormatting sqref="P264:Q264 P267:Q269 P275:Q275">
    <cfRule type="containsText" dxfId="2" priority="45440" operator="containsText" text="Yes">
      <formula>NOT(ISERROR(SEARCH(("Yes"),(P264))))</formula>
    </cfRule>
  </conditionalFormatting>
  <conditionalFormatting sqref="P264:Q264 P267:Q269 P275:Q275">
    <cfRule type="containsText" dxfId="2" priority="45441" operator="containsText" text="Yes">
      <formula>NOT(ISERROR(SEARCH(("Yes"),(P264))))</formula>
    </cfRule>
  </conditionalFormatting>
  <conditionalFormatting sqref="P264:Q264 P267:Q269 P275:Q275">
    <cfRule type="containsText" dxfId="2" priority="45442" operator="containsText" text="Yes">
      <formula>NOT(ISERROR(SEARCH(("Yes"),(P264))))</formula>
    </cfRule>
  </conditionalFormatting>
  <conditionalFormatting sqref="P264:Q264 P267:Q269 P275:Q275">
    <cfRule type="containsText" dxfId="2" priority="45443" operator="containsText" text="Yes">
      <formula>NOT(ISERROR(SEARCH(("Yes"),(P264))))</formula>
    </cfRule>
  </conditionalFormatting>
  <conditionalFormatting sqref="P264:Q264 P267:Q269 P275:Q275">
    <cfRule type="containsText" dxfId="2" priority="45444" operator="containsText" text="Yes">
      <formula>NOT(ISERROR(SEARCH(("Yes"),(P264))))</formula>
    </cfRule>
  </conditionalFormatting>
  <conditionalFormatting sqref="P264:Q264 P267:Q269 P275:Q275">
    <cfRule type="containsText" dxfId="2" priority="45445" operator="containsText" text="Yes">
      <formula>NOT(ISERROR(SEARCH(("Yes"),(P264))))</formula>
    </cfRule>
  </conditionalFormatting>
  <conditionalFormatting sqref="P264:Q264 P267:Q269 P275:Q275">
    <cfRule type="containsText" dxfId="2" priority="45446" operator="containsText" text="Yes">
      <formula>NOT(ISERROR(SEARCH(("Yes"),(P264))))</formula>
    </cfRule>
  </conditionalFormatting>
  <conditionalFormatting sqref="P264:Q264 P267:Q269 P275:Q275">
    <cfRule type="containsText" dxfId="2" priority="45447" operator="containsText" text="Yes">
      <formula>NOT(ISERROR(SEARCH(("Yes"),(P264))))</formula>
    </cfRule>
  </conditionalFormatting>
  <conditionalFormatting sqref="P264:Q264 P267:Q269 P275:Q275">
    <cfRule type="containsText" dxfId="2" priority="45448" operator="containsText" text="Yes">
      <formula>NOT(ISERROR(SEARCH(("Yes"),(P264))))</formula>
    </cfRule>
  </conditionalFormatting>
  <conditionalFormatting sqref="P264:Q264 P267:Q269 P275:Q275">
    <cfRule type="containsText" dxfId="2" priority="45449" operator="containsText" text="Yes">
      <formula>NOT(ISERROR(SEARCH(("Yes"),(P264))))</formula>
    </cfRule>
  </conditionalFormatting>
  <conditionalFormatting sqref="P264:Q264 P267:Q269 P275:Q275">
    <cfRule type="containsText" dxfId="2" priority="45450" operator="containsText" text="Yes">
      <formula>NOT(ISERROR(SEARCH(("Yes"),(P264))))</formula>
    </cfRule>
  </conditionalFormatting>
  <conditionalFormatting sqref="P264:Q264 P267:Q269 P275:Q275">
    <cfRule type="containsText" dxfId="2" priority="45451" operator="containsText" text="Yes">
      <formula>NOT(ISERROR(SEARCH(("Yes"),(P264))))</formula>
    </cfRule>
  </conditionalFormatting>
  <conditionalFormatting sqref="P264:Q264 P267:Q269 P275:Q275">
    <cfRule type="containsText" dxfId="2" priority="45452" operator="containsText" text="Yes">
      <formula>NOT(ISERROR(SEARCH(("Yes"),(P264))))</formula>
    </cfRule>
  </conditionalFormatting>
  <conditionalFormatting sqref="P264:Q264 P267:Q269 P275:Q275">
    <cfRule type="containsText" dxfId="2" priority="45453" operator="containsText" text="Yes">
      <formula>NOT(ISERROR(SEARCH(("Yes"),(P264))))</formula>
    </cfRule>
  </conditionalFormatting>
  <conditionalFormatting sqref="P264:Q264 P267:Q269 P275:Q275">
    <cfRule type="containsText" dxfId="2" priority="45454" operator="containsText" text="Yes">
      <formula>NOT(ISERROR(SEARCH(("Yes"),(P264))))</formula>
    </cfRule>
  </conditionalFormatting>
  <conditionalFormatting sqref="P264:Q264 P267:Q269 P275:Q275">
    <cfRule type="containsText" dxfId="2" priority="45455" operator="containsText" text="Yes">
      <formula>NOT(ISERROR(SEARCH(("Yes"),(P264))))</formula>
    </cfRule>
  </conditionalFormatting>
  <conditionalFormatting sqref="P264:Q264 P267:Q269 P275:Q275">
    <cfRule type="containsText" dxfId="2" priority="45456" operator="containsText" text="Yes">
      <formula>NOT(ISERROR(SEARCH(("Yes"),(P264))))</formula>
    </cfRule>
  </conditionalFormatting>
  <conditionalFormatting sqref="P264:Q264 P267:Q269 P275:Q275">
    <cfRule type="containsText" dxfId="2" priority="45457" operator="containsText" text="Yes">
      <formula>NOT(ISERROR(SEARCH(("Yes"),(P264))))</formula>
    </cfRule>
  </conditionalFormatting>
  <conditionalFormatting sqref="P264:Q264 P267:Q269 P275:Q275">
    <cfRule type="containsText" dxfId="2" priority="45458" operator="containsText" text="Yes">
      <formula>NOT(ISERROR(SEARCH(("Yes"),(P264))))</formula>
    </cfRule>
  </conditionalFormatting>
  <conditionalFormatting sqref="P264:Q264 P267:Q269 P275:Q275">
    <cfRule type="containsText" dxfId="2" priority="45459" operator="containsText" text="Yes">
      <formula>NOT(ISERROR(SEARCH(("Yes"),(P264))))</formula>
    </cfRule>
  </conditionalFormatting>
  <conditionalFormatting sqref="P264:Q264 P267:Q269 P275:Q275">
    <cfRule type="containsText" dxfId="2" priority="45460" operator="containsText" text="Yes">
      <formula>NOT(ISERROR(SEARCH(("Yes"),(P264))))</formula>
    </cfRule>
  </conditionalFormatting>
  <conditionalFormatting sqref="P264:Q264 P267:Q269 P275:Q275">
    <cfRule type="containsText" dxfId="2" priority="45461" operator="containsText" text="Yes">
      <formula>NOT(ISERROR(SEARCH(("Yes"),(P264))))</formula>
    </cfRule>
  </conditionalFormatting>
  <conditionalFormatting sqref="P264:Q264 P267:Q269 P275:Q275">
    <cfRule type="containsText" dxfId="2" priority="45462" operator="containsText" text="Yes">
      <formula>NOT(ISERROR(SEARCH(("Yes"),(P264))))</formula>
    </cfRule>
  </conditionalFormatting>
  <conditionalFormatting sqref="P264:Q264 P267:Q269 P275:Q275">
    <cfRule type="containsText" dxfId="2" priority="45463" operator="containsText" text="Yes">
      <formula>NOT(ISERROR(SEARCH(("Yes"),(P264))))</formula>
    </cfRule>
  </conditionalFormatting>
  <conditionalFormatting sqref="P264:Q264 P267:Q269 P275:Q275">
    <cfRule type="containsText" dxfId="2" priority="45464" operator="containsText" text="Yes">
      <formula>NOT(ISERROR(SEARCH(("Yes"),(P264))))</formula>
    </cfRule>
  </conditionalFormatting>
  <conditionalFormatting sqref="P264:Q264 P267:Q269 P275:Q275">
    <cfRule type="containsText" dxfId="2" priority="45465" operator="containsText" text="Yes">
      <formula>NOT(ISERROR(SEARCH(("Yes"),(P264))))</formula>
    </cfRule>
  </conditionalFormatting>
  <conditionalFormatting sqref="P264:Q264 P267:Q269 P275:Q275">
    <cfRule type="containsText" dxfId="2" priority="45466" operator="containsText" text="Yes">
      <formula>NOT(ISERROR(SEARCH(("Yes"),(P264))))</formula>
    </cfRule>
  </conditionalFormatting>
  <conditionalFormatting sqref="P264:Q264 P267:Q269 P275:Q275">
    <cfRule type="containsText" dxfId="2" priority="45467" operator="containsText" text="Yes">
      <formula>NOT(ISERROR(SEARCH(("Yes"),(P264))))</formula>
    </cfRule>
  </conditionalFormatting>
  <conditionalFormatting sqref="P264:Q264 P267:Q269 P275:Q275">
    <cfRule type="containsText" dxfId="2" priority="45468" operator="containsText" text="Yes">
      <formula>NOT(ISERROR(SEARCH(("Yes"),(P264))))</formula>
    </cfRule>
  </conditionalFormatting>
  <conditionalFormatting sqref="P264:Q264 P267:Q269 P275:Q275">
    <cfRule type="containsText" dxfId="2" priority="45469" operator="containsText" text="Yes">
      <formula>NOT(ISERROR(SEARCH(("Yes"),(P264))))</formula>
    </cfRule>
  </conditionalFormatting>
  <conditionalFormatting sqref="P264:Q264 P267:Q269 P275:Q275">
    <cfRule type="containsText" dxfId="2" priority="45470" operator="containsText" text="Yes">
      <formula>NOT(ISERROR(SEARCH(("Yes"),(P264))))</formula>
    </cfRule>
  </conditionalFormatting>
  <conditionalFormatting sqref="P264:Q264 P267:Q269 P275:Q275">
    <cfRule type="containsText" dxfId="2" priority="45471" operator="containsText" text="Yes">
      <formula>NOT(ISERROR(SEARCH(("Yes"),(P264))))</formula>
    </cfRule>
  </conditionalFormatting>
  <conditionalFormatting sqref="P264:Q264 P267:Q269 P275:Q275">
    <cfRule type="containsText" dxfId="2" priority="45472" operator="containsText" text="Yes">
      <formula>NOT(ISERROR(SEARCH(("Yes"),(P264))))</formula>
    </cfRule>
  </conditionalFormatting>
  <conditionalFormatting sqref="P264:Q264 P267:Q269 P275:Q275">
    <cfRule type="containsText" dxfId="2" priority="45473" operator="containsText" text="Yes">
      <formula>NOT(ISERROR(SEARCH(("Yes"),(P264))))</formula>
    </cfRule>
  </conditionalFormatting>
  <conditionalFormatting sqref="P264:Q264 P267:Q269 P275:Q275">
    <cfRule type="containsText" dxfId="2" priority="45474" operator="containsText" text="Yes">
      <formula>NOT(ISERROR(SEARCH(("Yes"),(P264))))</formula>
    </cfRule>
  </conditionalFormatting>
  <conditionalFormatting sqref="P264:Q264 P267:Q269 P275:Q275">
    <cfRule type="containsText" dxfId="2" priority="45475" operator="containsText" text="Yes">
      <formula>NOT(ISERROR(SEARCH(("Yes"),(P264))))</formula>
    </cfRule>
  </conditionalFormatting>
  <conditionalFormatting sqref="P264:Q264 P267:Q269 P275:Q275">
    <cfRule type="containsText" dxfId="2" priority="45476" operator="containsText" text="Yes">
      <formula>NOT(ISERROR(SEARCH(("Yes"),(P264))))</formula>
    </cfRule>
  </conditionalFormatting>
  <conditionalFormatting sqref="P264:Q264 P267:Q269 P275:Q275">
    <cfRule type="containsText" dxfId="2" priority="45477" operator="containsText" text="Yes">
      <formula>NOT(ISERROR(SEARCH(("Yes"),(P264))))</formula>
    </cfRule>
  </conditionalFormatting>
  <conditionalFormatting sqref="P264:Q264 P267:Q269 P275:Q275">
    <cfRule type="containsText" dxfId="2" priority="45478" operator="containsText" text="Yes">
      <formula>NOT(ISERROR(SEARCH(("Yes"),(P264))))</formula>
    </cfRule>
  </conditionalFormatting>
  <conditionalFormatting sqref="P264:Q264 P267:Q269 P275:Q275">
    <cfRule type="containsText" dxfId="2" priority="45479" operator="containsText" text="Yes">
      <formula>NOT(ISERROR(SEARCH(("Yes"),(P264))))</formula>
    </cfRule>
  </conditionalFormatting>
  <conditionalFormatting sqref="P264:Q264 P267:Q269 P275:Q275">
    <cfRule type="containsText" dxfId="2" priority="45480" operator="containsText" text="Yes">
      <formula>NOT(ISERROR(SEARCH(("Yes"),(P264))))</formula>
    </cfRule>
  </conditionalFormatting>
  <conditionalFormatting sqref="P264:Q264 P267:Q269 P275:Q275">
    <cfRule type="containsText" dxfId="2" priority="45481" operator="containsText" text="Yes">
      <formula>NOT(ISERROR(SEARCH(("Yes"),(P264))))</formula>
    </cfRule>
  </conditionalFormatting>
  <conditionalFormatting sqref="P264:Q264 P267:Q269 P275:Q275">
    <cfRule type="containsText" dxfId="2" priority="45482" operator="containsText" text="Yes">
      <formula>NOT(ISERROR(SEARCH(("Yes"),(P264))))</formula>
    </cfRule>
  </conditionalFormatting>
  <conditionalFormatting sqref="P265:Q266 P270:Q271">
    <cfRule type="containsText" dxfId="9" priority="45483" operator="containsText" text="No">
      <formula>NOT(ISERROR(SEARCH(("No"),(P265))))</formula>
    </cfRule>
  </conditionalFormatting>
  <conditionalFormatting sqref="P265:Q266 P270:Q271">
    <cfRule type="containsText" dxfId="9" priority="45484" operator="containsText" text="No">
      <formula>NOT(ISERROR(SEARCH(("No"),(P265))))</formula>
    </cfRule>
  </conditionalFormatting>
  <conditionalFormatting sqref="P265:Q266 P270:Q271">
    <cfRule type="containsText" dxfId="9" priority="45485" operator="containsText" text="No">
      <formula>NOT(ISERROR(SEARCH(("No"),(P265))))</formula>
    </cfRule>
  </conditionalFormatting>
  <conditionalFormatting sqref="P265:Q266 P270:Q271">
    <cfRule type="containsText" dxfId="2" priority="45486" operator="containsText" text="Yes">
      <formula>NOT(ISERROR(SEARCH(("Yes"),(P265))))</formula>
    </cfRule>
  </conditionalFormatting>
  <conditionalFormatting sqref="P265:Q266 P270:Q271">
    <cfRule type="containsText" dxfId="2" priority="45487" operator="containsText" text="Yes">
      <formula>NOT(ISERROR(SEARCH(("Yes"),(P265))))</formula>
    </cfRule>
  </conditionalFormatting>
  <conditionalFormatting sqref="P265:Q266 P270:Q271">
    <cfRule type="containsText" dxfId="2" priority="45488" operator="containsText" text="Yes">
      <formula>NOT(ISERROR(SEARCH(("Yes"),(P265))))</formula>
    </cfRule>
  </conditionalFormatting>
  <conditionalFormatting sqref="P265:Q266 P270:Q271">
    <cfRule type="containsText" dxfId="2" priority="45489" operator="containsText" text="Yes">
      <formula>NOT(ISERROR(SEARCH(("Yes"),(P265))))</formula>
    </cfRule>
  </conditionalFormatting>
  <conditionalFormatting sqref="P265:Q266 P270:Q271">
    <cfRule type="containsText" dxfId="2" priority="45490" operator="containsText" text="Yes">
      <formula>NOT(ISERROR(SEARCH(("Yes"),(P265))))</formula>
    </cfRule>
  </conditionalFormatting>
  <conditionalFormatting sqref="P265:Q266 P270:Q271">
    <cfRule type="containsText" dxfId="9" priority="45491" operator="containsText" text="No">
      <formula>NOT(ISERROR(SEARCH(("No"),(P265))))</formula>
    </cfRule>
  </conditionalFormatting>
  <conditionalFormatting sqref="P265:Q266 P270:Q271">
    <cfRule type="containsText" dxfId="9" priority="45492" operator="containsText" text="No">
      <formula>NOT(ISERROR(SEARCH(("No"),(P265))))</formula>
    </cfRule>
  </conditionalFormatting>
  <conditionalFormatting sqref="P265:Q266 P270:Q271">
    <cfRule type="containsText" dxfId="2" priority="45493" operator="containsText" text="Yes">
      <formula>NOT(ISERROR(SEARCH(("Yes"),(P265))))</formula>
    </cfRule>
  </conditionalFormatting>
  <conditionalFormatting sqref="O265:O266 O270:O271 O273:O274 O276:O282 O286 O295 O300 O329 P283:Q284 P287:Q292 P294:Q294 P304:Q304 P307:Q307 P310:Q311 P313:Q316 P318:Q318 P321:Q322 P343:Q346">
    <cfRule type="containsText" dxfId="9" priority="45494"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495"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496"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497"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498"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499"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00"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01"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02"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03"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04"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05"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06"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07"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08"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09"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10"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11"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12"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13"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14"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15"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16"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17"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18"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19"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20"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21"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22"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23"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24"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25"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26"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27"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28"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29"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30"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31"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32"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33"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34"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35"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36"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37"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9" priority="45538" operator="containsText" text="No">
      <formula>NOT(ISERROR(SEARCH(("No"),(O265))))</formula>
    </cfRule>
  </conditionalFormatting>
  <conditionalFormatting sqref="O265:O266 O270:O271 O273:O274 O276:O282 O286 O295 O300 O329 P283:Q284 P287:Q292 P294:Q294 P304:Q304 P307:Q307 P310:Q311 P313:Q316 P318:Q318 P321:Q322 P343:Q346">
    <cfRule type="containsText" dxfId="2" priority="45539"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40"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41"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42"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43"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44"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45"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46"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47"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48"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49"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50"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51"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52"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53"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54"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55"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56"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57"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58"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59"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60"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61"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62"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63"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64"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65"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66"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67"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68"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69"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70"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71"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72"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73"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74"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75"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76"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77"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78"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79"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80"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81"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82"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83"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84" operator="containsText" text="Yes">
      <formula>NOT(ISERROR(SEARCH(("Yes"),(O265))))</formula>
    </cfRule>
  </conditionalFormatting>
  <conditionalFormatting sqref="O265:O266 O270:O271 O273:O274 O276:O282 O286 O295 O300 O329 P283:Q284 P287:Q292 P294:Q294 P304:Q304 P307:Q307 P310:Q311 P313:Q316 P318:Q318 P321:Q322 P343:Q346">
    <cfRule type="containsText" dxfId="2" priority="45585" operator="containsText" text="Yes">
      <formula>NOT(ISERROR(SEARCH(("Yes"),(O265))))</formula>
    </cfRule>
  </conditionalFormatting>
  <conditionalFormatting sqref="O266:O271 O273:O274 O276:O282 O286 O295 O300 O329 P283:Q284 P287:Q292 P294:Q294 P304:Q304 P307:Q307 P310:Q311 P313:Q316 P318:Q318 P321:Q322 P343:Q346">
    <cfRule type="containsText" dxfId="9" priority="45586" operator="containsText" text="No">
      <formula>NOT(ISERROR(SEARCH(("No"),(O266))))</formula>
    </cfRule>
  </conditionalFormatting>
  <conditionalFormatting sqref="O266:O271 O273:O274 O276:O282 O286 O295 O300 O329 P283:Q284 P287:Q292 P294:Q294 P304:Q304 P307:Q307 P310:Q311 P313:Q316 P318:Q318 P321:Q322 P343:Q346">
    <cfRule type="containsText" dxfId="9" priority="45587" operator="containsText" text="No">
      <formula>NOT(ISERROR(SEARCH(("No"),(O266))))</formula>
    </cfRule>
  </conditionalFormatting>
  <conditionalFormatting sqref="O266:O271 O273:O274 O276:O282 O286 O295 O300 O329 P283:Q284 P287:Q292 P294:Q294 P304:Q304 P307:Q307 P310:Q311 P313:Q316 P318:Q318 P321:Q322 P343:Q346">
    <cfRule type="containsText" dxfId="9" priority="45588" operator="containsText" text="No">
      <formula>NOT(ISERROR(SEARCH(("No"),(O266))))</formula>
    </cfRule>
  </conditionalFormatting>
  <conditionalFormatting sqref="O266:O271 O273:O274 O276:O282 O286 O295 O300 O329 P283:Q284 P287:Q292 P294:Q294 P304:Q304 P307:Q307 P310:Q311 P313:Q316 P318:Q318 P321:Q322 P343:Q346">
    <cfRule type="containsText" dxfId="2" priority="45589" operator="containsText" text="Yes">
      <formula>NOT(ISERROR(SEARCH(("Yes"),(O266))))</formula>
    </cfRule>
  </conditionalFormatting>
  <conditionalFormatting sqref="O266:O271 O273:O274 O276:O282 O286 O295 O300 O329 P283:Q284 P287:Q292 P294:Q294 P304:Q304 P307:Q307 P310:Q311 P313:Q316 P318:Q318 P321:Q322 P343:Q346">
    <cfRule type="containsText" dxfId="2" priority="45590" operator="containsText" text="Yes">
      <formula>NOT(ISERROR(SEARCH(("Yes"),(O266))))</formula>
    </cfRule>
  </conditionalFormatting>
  <conditionalFormatting sqref="O266:O271 O273:O274 O276:O282 O286 O295 O300 O329 P283:Q284 P287:Q292 P294:Q294 P304:Q304 P307:Q307 P310:Q311 P313:Q316 P318:Q318 P321:Q322 P343:Q346">
    <cfRule type="containsText" dxfId="2" priority="45591" operator="containsText" text="Yes">
      <formula>NOT(ISERROR(SEARCH(("Yes"),(O266))))</formula>
    </cfRule>
  </conditionalFormatting>
  <conditionalFormatting sqref="O266:O271 O273:O274 O276:O282 O286 O295 O300 O329 P283:Q284 P287:Q292 P294:Q294 P304:Q304 P307:Q307 P310:Q311 P313:Q316 P318:Q318 P321:Q322 P343:Q346">
    <cfRule type="containsText" dxfId="2" priority="45592" operator="containsText" text="Yes">
      <formula>NOT(ISERROR(SEARCH(("Yes"),(O266))))</formula>
    </cfRule>
  </conditionalFormatting>
  <conditionalFormatting sqref="O266:O271 O273:O274 O276:O282 O286 O295 O300 O329 P283:Q284 P287:Q292 P294:Q294 P304:Q304 P307:Q307 P310:Q311 P313:Q316 P318:Q318 P321:Q322 P343:Q346">
    <cfRule type="containsText" dxfId="2" priority="45593" operator="containsText" text="Yes">
      <formula>NOT(ISERROR(SEARCH(("Yes"),(O266))))</formula>
    </cfRule>
  </conditionalFormatting>
  <conditionalFormatting sqref="O266:O271 O273:O274 O276:O282 O286 O295 O300 O329 P283:Q284 P287:Q292 P294:Q294 P304:Q304 P307:Q307 P310:Q311 P313:Q316 P318:Q318 P321:Q322 P343:Q346">
    <cfRule type="containsText" dxfId="9" priority="45594" operator="containsText" text="No">
      <formula>NOT(ISERROR(SEARCH(("No"),(O266))))</formula>
    </cfRule>
  </conditionalFormatting>
  <conditionalFormatting sqref="O266:O271 O273:O274 O276:O282 O286 O295 O300 O329 P283:Q284 P287:Q292 P294:Q294 P304:Q304 P307:Q307 P310:Q311 P313:Q316 P318:Q318 P321:Q322 P343:Q346">
    <cfRule type="containsText" dxfId="9" priority="45595" operator="containsText" text="No">
      <formula>NOT(ISERROR(SEARCH(("No"),(O266))))</formula>
    </cfRule>
  </conditionalFormatting>
  <conditionalFormatting sqref="O266:O271 O273:O274 O276:O282 O286 O295 O300 O329 P283:Q284 P287:Q292 P294:Q294 P304:Q304 P307:Q307 P310:Q311 P313:Q316 P318:Q318 P321:Q322 P343:Q346">
    <cfRule type="containsText" dxfId="2" priority="45596" operator="containsText" text="Yes">
      <formula>NOT(ISERROR(SEARCH(("Yes"),(O266))))</formula>
    </cfRule>
  </conditionalFormatting>
  <conditionalFormatting sqref="P266:Q266 P270:Q271">
    <cfRule type="containsText" dxfId="9" priority="45597" operator="containsText" text="No">
      <formula>NOT(ISERROR(SEARCH(("No"),(P266))))</formula>
    </cfRule>
  </conditionalFormatting>
  <conditionalFormatting sqref="P266:Q266 P270:Q271">
    <cfRule type="containsText" dxfId="9" priority="45598" operator="containsText" text="No">
      <formula>NOT(ISERROR(SEARCH(("No"),(P266))))</formula>
    </cfRule>
  </conditionalFormatting>
  <conditionalFormatting sqref="P266:Q266 P270:Q271">
    <cfRule type="containsText" dxfId="9" priority="45599" operator="containsText" text="No">
      <formula>NOT(ISERROR(SEARCH(("No"),(P266))))</formula>
    </cfRule>
  </conditionalFormatting>
  <conditionalFormatting sqref="P266:Q266 P270:Q271">
    <cfRule type="containsText" dxfId="9" priority="45600" operator="containsText" text="No">
      <formula>NOT(ISERROR(SEARCH(("No"),(P266))))</formula>
    </cfRule>
  </conditionalFormatting>
  <conditionalFormatting sqref="P266:Q266 P270:Q271">
    <cfRule type="containsText" dxfId="9" priority="45601" operator="containsText" text="No">
      <formula>NOT(ISERROR(SEARCH(("No"),(P266))))</formula>
    </cfRule>
  </conditionalFormatting>
  <conditionalFormatting sqref="P266:Q266 P270:Q271">
    <cfRule type="containsText" dxfId="9" priority="45602" operator="containsText" text="No">
      <formula>NOT(ISERROR(SEARCH(("No"),(P266))))</formula>
    </cfRule>
  </conditionalFormatting>
  <conditionalFormatting sqref="P266:Q266 P270:Q271">
    <cfRule type="containsText" dxfId="9" priority="45603" operator="containsText" text="No">
      <formula>NOT(ISERROR(SEARCH(("No"),(P266))))</formula>
    </cfRule>
  </conditionalFormatting>
  <conditionalFormatting sqref="P266:Q266 P270:Q271">
    <cfRule type="containsText" dxfId="9" priority="45604" operator="containsText" text="No">
      <formula>NOT(ISERROR(SEARCH(("No"),(P266))))</formula>
    </cfRule>
  </conditionalFormatting>
  <conditionalFormatting sqref="P266:Q266 P270:Q271">
    <cfRule type="containsText" dxfId="9" priority="45605" operator="containsText" text="No">
      <formula>NOT(ISERROR(SEARCH(("No"),(P266))))</formula>
    </cfRule>
  </conditionalFormatting>
  <conditionalFormatting sqref="P266:Q266 P270:Q271">
    <cfRule type="containsText" dxfId="9" priority="45606" operator="containsText" text="No">
      <formula>NOT(ISERROR(SEARCH(("No"),(P266))))</formula>
    </cfRule>
  </conditionalFormatting>
  <conditionalFormatting sqref="P266:Q266 P270:Q271">
    <cfRule type="containsText" dxfId="9" priority="45607" operator="containsText" text="No">
      <formula>NOT(ISERROR(SEARCH(("No"),(P266))))</formula>
    </cfRule>
  </conditionalFormatting>
  <conditionalFormatting sqref="P266:Q266 P270:Q271">
    <cfRule type="containsText" dxfId="9" priority="45608" operator="containsText" text="No">
      <formula>NOT(ISERROR(SEARCH(("No"),(P266))))</formula>
    </cfRule>
  </conditionalFormatting>
  <conditionalFormatting sqref="P266:Q266 P270:Q271">
    <cfRule type="containsText" dxfId="9" priority="45609" operator="containsText" text="No">
      <formula>NOT(ISERROR(SEARCH(("No"),(P266))))</formula>
    </cfRule>
  </conditionalFormatting>
  <conditionalFormatting sqref="P266:Q266 P270:Q271">
    <cfRule type="containsText" dxfId="9" priority="45610" operator="containsText" text="No">
      <formula>NOT(ISERROR(SEARCH(("No"),(P266))))</formula>
    </cfRule>
  </conditionalFormatting>
  <conditionalFormatting sqref="P266:Q266 P270:Q271">
    <cfRule type="containsText" dxfId="9" priority="45611" operator="containsText" text="No">
      <formula>NOT(ISERROR(SEARCH(("No"),(P266))))</formula>
    </cfRule>
  </conditionalFormatting>
  <conditionalFormatting sqref="P266:Q266 P270:Q271">
    <cfRule type="containsText" dxfId="9" priority="45612" operator="containsText" text="No">
      <formula>NOT(ISERROR(SEARCH(("No"),(P266))))</formula>
    </cfRule>
  </conditionalFormatting>
  <conditionalFormatting sqref="P266:Q266 P270:Q271">
    <cfRule type="containsText" dxfId="9" priority="45613" operator="containsText" text="No">
      <formula>NOT(ISERROR(SEARCH(("No"),(P266))))</formula>
    </cfRule>
  </conditionalFormatting>
  <conditionalFormatting sqref="P266:Q266 P270:Q271">
    <cfRule type="containsText" dxfId="9" priority="45614" operator="containsText" text="No">
      <formula>NOT(ISERROR(SEARCH(("No"),(P266))))</formula>
    </cfRule>
  </conditionalFormatting>
  <conditionalFormatting sqref="P266:Q266 P270:Q271">
    <cfRule type="containsText" dxfId="9" priority="45615" operator="containsText" text="No">
      <formula>NOT(ISERROR(SEARCH(("No"),(P266))))</formula>
    </cfRule>
  </conditionalFormatting>
  <conditionalFormatting sqref="P266:Q266 P270:Q271">
    <cfRule type="containsText" dxfId="9" priority="45616" operator="containsText" text="No">
      <formula>NOT(ISERROR(SEARCH(("No"),(P266))))</formula>
    </cfRule>
  </conditionalFormatting>
  <conditionalFormatting sqref="P266:Q266 P270:Q271">
    <cfRule type="containsText" dxfId="9" priority="45617" operator="containsText" text="No">
      <formula>NOT(ISERROR(SEARCH(("No"),(P266))))</formula>
    </cfRule>
  </conditionalFormatting>
  <conditionalFormatting sqref="P266:Q266 P270:Q271">
    <cfRule type="containsText" dxfId="9" priority="45618" operator="containsText" text="No">
      <formula>NOT(ISERROR(SEARCH(("No"),(P266))))</formula>
    </cfRule>
  </conditionalFormatting>
  <conditionalFormatting sqref="P266:Q266 P270:Q271">
    <cfRule type="containsText" dxfId="9" priority="45619" operator="containsText" text="No">
      <formula>NOT(ISERROR(SEARCH(("No"),(P266))))</formula>
    </cfRule>
  </conditionalFormatting>
  <conditionalFormatting sqref="P266:Q266 P270:Q271">
    <cfRule type="containsText" dxfId="9" priority="45620" operator="containsText" text="No">
      <formula>NOT(ISERROR(SEARCH(("No"),(P266))))</formula>
    </cfRule>
  </conditionalFormatting>
  <conditionalFormatting sqref="P266:Q266 P270:Q271">
    <cfRule type="containsText" dxfId="9" priority="45621" operator="containsText" text="No">
      <formula>NOT(ISERROR(SEARCH(("No"),(P266))))</formula>
    </cfRule>
  </conditionalFormatting>
  <conditionalFormatting sqref="P266:Q266 P270:Q271">
    <cfRule type="containsText" dxfId="9" priority="45622" operator="containsText" text="No">
      <formula>NOT(ISERROR(SEARCH(("No"),(P266))))</formula>
    </cfRule>
  </conditionalFormatting>
  <conditionalFormatting sqref="P266:Q266 P270:Q271">
    <cfRule type="containsText" dxfId="9" priority="45623" operator="containsText" text="No">
      <formula>NOT(ISERROR(SEARCH(("No"),(P266))))</formula>
    </cfRule>
  </conditionalFormatting>
  <conditionalFormatting sqref="P266:Q266 P270:Q271">
    <cfRule type="containsText" dxfId="9" priority="45624" operator="containsText" text="No">
      <formula>NOT(ISERROR(SEARCH(("No"),(P266))))</formula>
    </cfRule>
  </conditionalFormatting>
  <conditionalFormatting sqref="P266:Q266 P270:Q271">
    <cfRule type="containsText" dxfId="9" priority="45625" operator="containsText" text="No">
      <formula>NOT(ISERROR(SEARCH(("No"),(P266))))</formula>
    </cfRule>
  </conditionalFormatting>
  <conditionalFormatting sqref="P266:Q266 P270:Q271">
    <cfRule type="containsText" dxfId="9" priority="45626" operator="containsText" text="No">
      <formula>NOT(ISERROR(SEARCH(("No"),(P266))))</formula>
    </cfRule>
  </conditionalFormatting>
  <conditionalFormatting sqref="P266:Q266 P270:Q271">
    <cfRule type="containsText" dxfId="9" priority="45627" operator="containsText" text="No">
      <formula>NOT(ISERROR(SEARCH(("No"),(P266))))</formula>
    </cfRule>
  </conditionalFormatting>
  <conditionalFormatting sqref="P266:Q266 P270:Q271">
    <cfRule type="containsText" dxfId="9" priority="45628" operator="containsText" text="No">
      <formula>NOT(ISERROR(SEARCH(("No"),(P266))))</formula>
    </cfRule>
  </conditionalFormatting>
  <conditionalFormatting sqref="P266:Q266 P270:Q271">
    <cfRule type="containsText" dxfId="9" priority="45629" operator="containsText" text="No">
      <formula>NOT(ISERROR(SEARCH(("No"),(P266))))</formula>
    </cfRule>
  </conditionalFormatting>
  <conditionalFormatting sqref="P266:Q266 P270:Q271">
    <cfRule type="containsText" dxfId="9" priority="45630" operator="containsText" text="No">
      <formula>NOT(ISERROR(SEARCH(("No"),(P266))))</formula>
    </cfRule>
  </conditionalFormatting>
  <conditionalFormatting sqref="P266:Q266 P270:Q271">
    <cfRule type="containsText" dxfId="9" priority="45631" operator="containsText" text="No">
      <formula>NOT(ISERROR(SEARCH(("No"),(P266))))</formula>
    </cfRule>
  </conditionalFormatting>
  <conditionalFormatting sqref="P266:Q266 P270:Q271">
    <cfRule type="containsText" dxfId="9" priority="45632" operator="containsText" text="No">
      <formula>NOT(ISERROR(SEARCH(("No"),(P266))))</formula>
    </cfRule>
  </conditionalFormatting>
  <conditionalFormatting sqref="P266:Q266 P270:Q271">
    <cfRule type="containsText" dxfId="9" priority="45633" operator="containsText" text="No">
      <formula>NOT(ISERROR(SEARCH(("No"),(P266))))</formula>
    </cfRule>
  </conditionalFormatting>
  <conditionalFormatting sqref="P266:Q266 P270:Q271">
    <cfRule type="containsText" dxfId="9" priority="45634" operator="containsText" text="No">
      <formula>NOT(ISERROR(SEARCH(("No"),(P266))))</formula>
    </cfRule>
  </conditionalFormatting>
  <conditionalFormatting sqref="P266:Q266 P270:Q271">
    <cfRule type="containsText" dxfId="9" priority="45635" operator="containsText" text="No">
      <formula>NOT(ISERROR(SEARCH(("No"),(P266))))</formula>
    </cfRule>
  </conditionalFormatting>
  <conditionalFormatting sqref="P266:Q266 P270:Q271">
    <cfRule type="containsText" dxfId="9" priority="45636" operator="containsText" text="No">
      <formula>NOT(ISERROR(SEARCH(("No"),(P266))))</formula>
    </cfRule>
  </conditionalFormatting>
  <conditionalFormatting sqref="P266:Q266 P270:Q271">
    <cfRule type="containsText" dxfId="9" priority="45637" operator="containsText" text="No">
      <formula>NOT(ISERROR(SEARCH(("No"),(P266))))</formula>
    </cfRule>
  </conditionalFormatting>
  <conditionalFormatting sqref="P266:Q266 P270:Q271">
    <cfRule type="containsText" dxfId="9" priority="45638" operator="containsText" text="No">
      <formula>NOT(ISERROR(SEARCH(("No"),(P266))))</formula>
    </cfRule>
  </conditionalFormatting>
  <conditionalFormatting sqref="P266:Q266 P270:Q271">
    <cfRule type="containsText" dxfId="9" priority="45639" operator="containsText" text="No">
      <formula>NOT(ISERROR(SEARCH(("No"),(P266))))</formula>
    </cfRule>
  </conditionalFormatting>
  <conditionalFormatting sqref="P266:Q266 P270:Q271">
    <cfRule type="containsText" dxfId="9" priority="45640" operator="containsText" text="No">
      <formula>NOT(ISERROR(SEARCH(("No"),(P266))))</formula>
    </cfRule>
  </conditionalFormatting>
  <conditionalFormatting sqref="P266:Q266 P270:Q271">
    <cfRule type="containsText" dxfId="9" priority="45641" operator="containsText" text="No">
      <formula>NOT(ISERROR(SEARCH(("No"),(P266))))</formula>
    </cfRule>
  </conditionalFormatting>
  <conditionalFormatting sqref="P266:Q266 P270:Q271">
    <cfRule type="containsText" dxfId="2" priority="45642" operator="containsText" text="Yes">
      <formula>NOT(ISERROR(SEARCH(("Yes"),(P266))))</formula>
    </cfRule>
  </conditionalFormatting>
  <conditionalFormatting sqref="P266:Q266 P270:Q271">
    <cfRule type="containsText" dxfId="2" priority="45643" operator="containsText" text="Yes">
      <formula>NOT(ISERROR(SEARCH(("Yes"),(P266))))</formula>
    </cfRule>
  </conditionalFormatting>
  <conditionalFormatting sqref="P266:Q266 P270:Q271">
    <cfRule type="containsText" dxfId="2" priority="45644" operator="containsText" text="Yes">
      <formula>NOT(ISERROR(SEARCH(("Yes"),(P266))))</formula>
    </cfRule>
  </conditionalFormatting>
  <conditionalFormatting sqref="P266:Q266 P270:Q271">
    <cfRule type="containsText" dxfId="2" priority="45645" operator="containsText" text="Yes">
      <formula>NOT(ISERROR(SEARCH(("Yes"),(P266))))</formula>
    </cfRule>
  </conditionalFormatting>
  <conditionalFormatting sqref="P266:Q266 P270:Q271">
    <cfRule type="containsText" dxfId="2" priority="45646" operator="containsText" text="Yes">
      <formula>NOT(ISERROR(SEARCH(("Yes"),(P266))))</formula>
    </cfRule>
  </conditionalFormatting>
  <conditionalFormatting sqref="P266:Q266 P270:Q271">
    <cfRule type="containsText" dxfId="2" priority="45647" operator="containsText" text="Yes">
      <formula>NOT(ISERROR(SEARCH(("Yes"),(P266))))</formula>
    </cfRule>
  </conditionalFormatting>
  <conditionalFormatting sqref="P266:Q266 P270:Q271">
    <cfRule type="containsText" dxfId="2" priority="45648" operator="containsText" text="Yes">
      <formula>NOT(ISERROR(SEARCH(("Yes"),(P266))))</formula>
    </cfRule>
  </conditionalFormatting>
  <conditionalFormatting sqref="P266:Q266 P270:Q271">
    <cfRule type="containsText" dxfId="2" priority="45649" operator="containsText" text="Yes">
      <formula>NOT(ISERROR(SEARCH(("Yes"),(P266))))</formula>
    </cfRule>
  </conditionalFormatting>
  <conditionalFormatting sqref="P266:Q266 P270:Q271">
    <cfRule type="containsText" dxfId="2" priority="45650" operator="containsText" text="Yes">
      <formula>NOT(ISERROR(SEARCH(("Yes"),(P266))))</formula>
    </cfRule>
  </conditionalFormatting>
  <conditionalFormatting sqref="P266:Q266 P270:Q271">
    <cfRule type="containsText" dxfId="2" priority="45651" operator="containsText" text="Yes">
      <formula>NOT(ISERROR(SEARCH(("Yes"),(P266))))</formula>
    </cfRule>
  </conditionalFormatting>
  <conditionalFormatting sqref="P266:Q266 P270:Q271">
    <cfRule type="containsText" dxfId="2" priority="45652" operator="containsText" text="Yes">
      <formula>NOT(ISERROR(SEARCH(("Yes"),(P266))))</formula>
    </cfRule>
  </conditionalFormatting>
  <conditionalFormatting sqref="P266:Q266 P270:Q271">
    <cfRule type="containsText" dxfId="2" priority="45653" operator="containsText" text="Yes">
      <formula>NOT(ISERROR(SEARCH(("Yes"),(P266))))</formula>
    </cfRule>
  </conditionalFormatting>
  <conditionalFormatting sqref="P266:Q266 P270:Q271">
    <cfRule type="containsText" dxfId="2" priority="45654" operator="containsText" text="Yes">
      <formula>NOT(ISERROR(SEARCH(("Yes"),(P266))))</formula>
    </cfRule>
  </conditionalFormatting>
  <conditionalFormatting sqref="P266:Q266 P270:Q271">
    <cfRule type="containsText" dxfId="2" priority="45655" operator="containsText" text="Yes">
      <formula>NOT(ISERROR(SEARCH(("Yes"),(P266))))</formula>
    </cfRule>
  </conditionalFormatting>
  <conditionalFormatting sqref="P266:Q266 P270:Q271">
    <cfRule type="containsText" dxfId="2" priority="45656" operator="containsText" text="Yes">
      <formula>NOT(ISERROR(SEARCH(("Yes"),(P266))))</formula>
    </cfRule>
  </conditionalFormatting>
  <conditionalFormatting sqref="P266:Q266 P270:Q271">
    <cfRule type="containsText" dxfId="2" priority="45657" operator="containsText" text="Yes">
      <formula>NOT(ISERROR(SEARCH(("Yes"),(P266))))</formula>
    </cfRule>
  </conditionalFormatting>
  <conditionalFormatting sqref="P266:Q266 P270:Q271">
    <cfRule type="containsText" dxfId="2" priority="45658" operator="containsText" text="Yes">
      <formula>NOT(ISERROR(SEARCH(("Yes"),(P266))))</formula>
    </cfRule>
  </conditionalFormatting>
  <conditionalFormatting sqref="P266:Q266 P270:Q271">
    <cfRule type="containsText" dxfId="2" priority="45659" operator="containsText" text="Yes">
      <formula>NOT(ISERROR(SEARCH(("Yes"),(P266))))</formula>
    </cfRule>
  </conditionalFormatting>
  <conditionalFormatting sqref="P266:Q266 P270:Q271">
    <cfRule type="containsText" dxfId="2" priority="45660" operator="containsText" text="Yes">
      <formula>NOT(ISERROR(SEARCH(("Yes"),(P266))))</formula>
    </cfRule>
  </conditionalFormatting>
  <conditionalFormatting sqref="P266:Q266 P270:Q271">
    <cfRule type="containsText" dxfId="2" priority="45661" operator="containsText" text="Yes">
      <formula>NOT(ISERROR(SEARCH(("Yes"),(P266))))</formula>
    </cfRule>
  </conditionalFormatting>
  <conditionalFormatting sqref="P266:Q266 P270:Q271">
    <cfRule type="containsText" dxfId="2" priority="45662" operator="containsText" text="Yes">
      <formula>NOT(ISERROR(SEARCH(("Yes"),(P266))))</formula>
    </cfRule>
  </conditionalFormatting>
  <conditionalFormatting sqref="P266:Q266 P270:Q271">
    <cfRule type="containsText" dxfId="2" priority="45663" operator="containsText" text="Yes">
      <formula>NOT(ISERROR(SEARCH(("Yes"),(P266))))</formula>
    </cfRule>
  </conditionalFormatting>
  <conditionalFormatting sqref="P266:Q266 P270:Q271">
    <cfRule type="containsText" dxfId="2" priority="45664" operator="containsText" text="Yes">
      <formula>NOT(ISERROR(SEARCH(("Yes"),(P266))))</formula>
    </cfRule>
  </conditionalFormatting>
  <conditionalFormatting sqref="P266:Q266 P270:Q271">
    <cfRule type="containsText" dxfId="2" priority="45665" operator="containsText" text="Yes">
      <formula>NOT(ISERROR(SEARCH(("Yes"),(P266))))</formula>
    </cfRule>
  </conditionalFormatting>
  <conditionalFormatting sqref="P266:Q266 P270:Q271">
    <cfRule type="containsText" dxfId="2" priority="45666" operator="containsText" text="Yes">
      <formula>NOT(ISERROR(SEARCH(("Yes"),(P266))))</formula>
    </cfRule>
  </conditionalFormatting>
  <conditionalFormatting sqref="P266:Q266 P270:Q271">
    <cfRule type="containsText" dxfId="2" priority="45667" operator="containsText" text="Yes">
      <formula>NOT(ISERROR(SEARCH(("Yes"),(P266))))</formula>
    </cfRule>
  </conditionalFormatting>
  <conditionalFormatting sqref="P266:Q266 P270:Q271">
    <cfRule type="containsText" dxfId="2" priority="45668" operator="containsText" text="Yes">
      <formula>NOT(ISERROR(SEARCH(("Yes"),(P266))))</formula>
    </cfRule>
  </conditionalFormatting>
  <conditionalFormatting sqref="P266:Q266 P270:Q271">
    <cfRule type="containsText" dxfId="2" priority="45669" operator="containsText" text="Yes">
      <formula>NOT(ISERROR(SEARCH(("Yes"),(P266))))</formula>
    </cfRule>
  </conditionalFormatting>
  <conditionalFormatting sqref="P266:Q266 P270:Q271">
    <cfRule type="containsText" dxfId="2" priority="45670" operator="containsText" text="Yes">
      <formula>NOT(ISERROR(SEARCH(("Yes"),(P266))))</formula>
    </cfRule>
  </conditionalFormatting>
  <conditionalFormatting sqref="P266:Q266 P270:Q271">
    <cfRule type="containsText" dxfId="2" priority="45671" operator="containsText" text="Yes">
      <formula>NOT(ISERROR(SEARCH(("Yes"),(P266))))</formula>
    </cfRule>
  </conditionalFormatting>
  <conditionalFormatting sqref="P266:Q266 P270:Q271">
    <cfRule type="containsText" dxfId="2" priority="45672" operator="containsText" text="Yes">
      <formula>NOT(ISERROR(SEARCH(("Yes"),(P266))))</formula>
    </cfRule>
  </conditionalFormatting>
  <conditionalFormatting sqref="P266:Q266 P270:Q271">
    <cfRule type="containsText" dxfId="2" priority="45673" operator="containsText" text="Yes">
      <formula>NOT(ISERROR(SEARCH(("Yes"),(P266))))</formula>
    </cfRule>
  </conditionalFormatting>
  <conditionalFormatting sqref="P266:Q266 P270:Q271">
    <cfRule type="containsText" dxfId="2" priority="45674" operator="containsText" text="Yes">
      <formula>NOT(ISERROR(SEARCH(("Yes"),(P266))))</formula>
    </cfRule>
  </conditionalFormatting>
  <conditionalFormatting sqref="P266:Q266 P270:Q271">
    <cfRule type="containsText" dxfId="2" priority="45675" operator="containsText" text="Yes">
      <formula>NOT(ISERROR(SEARCH(("Yes"),(P266))))</formula>
    </cfRule>
  </conditionalFormatting>
  <conditionalFormatting sqref="P266:Q266 P270:Q271">
    <cfRule type="containsText" dxfId="2" priority="45676" operator="containsText" text="Yes">
      <formula>NOT(ISERROR(SEARCH(("Yes"),(P266))))</formula>
    </cfRule>
  </conditionalFormatting>
  <conditionalFormatting sqref="P266:Q266 P270:Q271">
    <cfRule type="containsText" dxfId="2" priority="45677" operator="containsText" text="Yes">
      <formula>NOT(ISERROR(SEARCH(("Yes"),(P266))))</formula>
    </cfRule>
  </conditionalFormatting>
  <conditionalFormatting sqref="P266:Q266 P270:Q271">
    <cfRule type="containsText" dxfId="2" priority="45678" operator="containsText" text="Yes">
      <formula>NOT(ISERROR(SEARCH(("Yes"),(P266))))</formula>
    </cfRule>
  </conditionalFormatting>
  <conditionalFormatting sqref="P266:Q266 P270:Q271">
    <cfRule type="containsText" dxfId="2" priority="45679" operator="containsText" text="Yes">
      <formula>NOT(ISERROR(SEARCH(("Yes"),(P266))))</formula>
    </cfRule>
  </conditionalFormatting>
  <conditionalFormatting sqref="P266:Q266 P270:Q271">
    <cfRule type="containsText" dxfId="2" priority="45680" operator="containsText" text="Yes">
      <formula>NOT(ISERROR(SEARCH(("Yes"),(P266))))</formula>
    </cfRule>
  </conditionalFormatting>
  <conditionalFormatting sqref="P266:Q266 P270:Q271">
    <cfRule type="containsText" dxfId="2" priority="45681" operator="containsText" text="Yes">
      <formula>NOT(ISERROR(SEARCH(("Yes"),(P266))))</formula>
    </cfRule>
  </conditionalFormatting>
  <conditionalFormatting sqref="P266:Q266 P270:Q271">
    <cfRule type="containsText" dxfId="2" priority="45682" operator="containsText" text="Yes">
      <formula>NOT(ISERROR(SEARCH(("Yes"),(P266))))</formula>
    </cfRule>
  </conditionalFormatting>
  <conditionalFormatting sqref="P266:Q266 P270:Q271">
    <cfRule type="containsText" dxfId="2" priority="45683" operator="containsText" text="Yes">
      <formula>NOT(ISERROR(SEARCH(("Yes"),(P266))))</formula>
    </cfRule>
  </conditionalFormatting>
  <conditionalFormatting sqref="P266:Q266 P270:Q271">
    <cfRule type="containsText" dxfId="2" priority="45684" operator="containsText" text="Yes">
      <formula>NOT(ISERROR(SEARCH(("Yes"),(P266))))</formula>
    </cfRule>
  </conditionalFormatting>
  <conditionalFormatting sqref="P266:Q266 P270:Q271">
    <cfRule type="containsText" dxfId="2" priority="45685" operator="containsText" text="Yes">
      <formula>NOT(ISERROR(SEARCH(("Yes"),(P266))))</formula>
    </cfRule>
  </conditionalFormatting>
  <conditionalFormatting sqref="P266:Q266 P270:Q271">
    <cfRule type="containsText" dxfId="2" priority="45686" operator="containsText" text="Yes">
      <formula>NOT(ISERROR(SEARCH(("Yes"),(P266))))</formula>
    </cfRule>
  </conditionalFormatting>
  <conditionalFormatting sqref="P266:Q266 P270:Q271">
    <cfRule type="containsText" dxfId="2" priority="45687" operator="containsText" text="Yes">
      <formula>NOT(ISERROR(SEARCH(("Yes"),(P266))))</formula>
    </cfRule>
  </conditionalFormatting>
  <conditionalFormatting sqref="P266:Q266 P270:Q271">
    <cfRule type="containsText" dxfId="2" priority="45688" operator="containsText" text="Yes">
      <formula>NOT(ISERROR(SEARCH(("Yes"),(P266))))</formula>
    </cfRule>
  </conditionalFormatting>
  <conditionalFormatting sqref="P267:Q269">
    <cfRule type="containsText" dxfId="9" priority="45689" operator="containsText" text="No">
      <formula>NOT(ISERROR(SEARCH(("No"),(P267))))</formula>
    </cfRule>
  </conditionalFormatting>
  <conditionalFormatting sqref="P267:Q269">
    <cfRule type="containsText" dxfId="9" priority="45690" operator="containsText" text="No">
      <formula>NOT(ISERROR(SEARCH(("No"),(P267))))</formula>
    </cfRule>
  </conditionalFormatting>
  <conditionalFormatting sqref="P267:Q269">
    <cfRule type="containsText" dxfId="9" priority="45691" operator="containsText" text="No">
      <formula>NOT(ISERROR(SEARCH(("No"),(P267))))</formula>
    </cfRule>
  </conditionalFormatting>
  <conditionalFormatting sqref="P267:Q269">
    <cfRule type="containsText" dxfId="9" priority="45692" operator="containsText" text="No">
      <formula>NOT(ISERROR(SEARCH(("No"),(P267))))</formula>
    </cfRule>
  </conditionalFormatting>
  <conditionalFormatting sqref="P267:Q269">
    <cfRule type="containsText" dxfId="9" priority="45693" operator="containsText" text="No">
      <formula>NOT(ISERROR(SEARCH(("No"),(P267))))</formula>
    </cfRule>
  </conditionalFormatting>
  <conditionalFormatting sqref="P267:Q269">
    <cfRule type="containsText" dxfId="9" priority="45694" operator="containsText" text="No">
      <formula>NOT(ISERROR(SEARCH(("No"),(P267))))</formula>
    </cfRule>
  </conditionalFormatting>
  <conditionalFormatting sqref="P267:Q269">
    <cfRule type="containsText" dxfId="9" priority="45695" operator="containsText" text="No">
      <formula>NOT(ISERROR(SEARCH(("No"),(P267))))</formula>
    </cfRule>
  </conditionalFormatting>
  <conditionalFormatting sqref="P267:Q269">
    <cfRule type="containsText" dxfId="9" priority="45696" operator="containsText" text="No">
      <formula>NOT(ISERROR(SEARCH(("No"),(P267))))</formula>
    </cfRule>
  </conditionalFormatting>
  <conditionalFormatting sqref="P267:Q269">
    <cfRule type="containsText" dxfId="9" priority="45697" operator="containsText" text="No">
      <formula>NOT(ISERROR(SEARCH(("No"),(P267))))</formula>
    </cfRule>
  </conditionalFormatting>
  <conditionalFormatting sqref="P267:Q269">
    <cfRule type="containsText" dxfId="9" priority="45698" operator="containsText" text="No">
      <formula>NOT(ISERROR(SEARCH(("No"),(P267))))</formula>
    </cfRule>
  </conditionalFormatting>
  <conditionalFormatting sqref="P267:Q269">
    <cfRule type="containsText" dxfId="9" priority="45699" operator="containsText" text="No">
      <formula>NOT(ISERROR(SEARCH(("No"),(P267))))</formula>
    </cfRule>
  </conditionalFormatting>
  <conditionalFormatting sqref="P267:Q269">
    <cfRule type="containsText" dxfId="9" priority="45700" operator="containsText" text="No">
      <formula>NOT(ISERROR(SEARCH(("No"),(P267))))</formula>
    </cfRule>
  </conditionalFormatting>
  <conditionalFormatting sqref="P267:Q269">
    <cfRule type="containsText" dxfId="9" priority="45701" operator="containsText" text="No">
      <formula>NOT(ISERROR(SEARCH(("No"),(P267))))</formula>
    </cfRule>
  </conditionalFormatting>
  <conditionalFormatting sqref="P267:Q269">
    <cfRule type="containsText" dxfId="9" priority="45702" operator="containsText" text="No">
      <formula>NOT(ISERROR(SEARCH(("No"),(P267))))</formula>
    </cfRule>
  </conditionalFormatting>
  <conditionalFormatting sqref="P267:Q269">
    <cfRule type="containsText" dxfId="9" priority="45703" operator="containsText" text="No">
      <formula>NOT(ISERROR(SEARCH(("No"),(P267))))</formula>
    </cfRule>
  </conditionalFormatting>
  <conditionalFormatting sqref="P267:Q269">
    <cfRule type="containsText" dxfId="9" priority="45704" operator="containsText" text="No">
      <formula>NOT(ISERROR(SEARCH(("No"),(P267))))</formula>
    </cfRule>
  </conditionalFormatting>
  <conditionalFormatting sqref="P267:Q269">
    <cfRule type="containsText" dxfId="9" priority="45705" operator="containsText" text="No">
      <formula>NOT(ISERROR(SEARCH(("No"),(P267))))</formula>
    </cfRule>
  </conditionalFormatting>
  <conditionalFormatting sqref="P267:Q269">
    <cfRule type="containsText" dxfId="9" priority="45706" operator="containsText" text="No">
      <formula>NOT(ISERROR(SEARCH(("No"),(P267))))</formula>
    </cfRule>
  </conditionalFormatting>
  <conditionalFormatting sqref="P267:Q269">
    <cfRule type="containsText" dxfId="9" priority="45707" operator="containsText" text="No">
      <formula>NOT(ISERROR(SEARCH(("No"),(P267))))</formula>
    </cfRule>
  </conditionalFormatting>
  <conditionalFormatting sqref="P267:Q269">
    <cfRule type="containsText" dxfId="9" priority="45708" operator="containsText" text="No">
      <formula>NOT(ISERROR(SEARCH(("No"),(P267))))</formula>
    </cfRule>
  </conditionalFormatting>
  <conditionalFormatting sqref="P267:Q269">
    <cfRule type="containsText" dxfId="9" priority="45709" operator="containsText" text="No">
      <formula>NOT(ISERROR(SEARCH(("No"),(P267))))</formula>
    </cfRule>
  </conditionalFormatting>
  <conditionalFormatting sqref="P267:Q269">
    <cfRule type="containsText" dxfId="9" priority="45710" operator="containsText" text="No">
      <formula>NOT(ISERROR(SEARCH(("No"),(P267))))</formula>
    </cfRule>
  </conditionalFormatting>
  <conditionalFormatting sqref="P267:Q269">
    <cfRule type="containsText" dxfId="9" priority="45711" operator="containsText" text="No">
      <formula>NOT(ISERROR(SEARCH(("No"),(P267))))</formula>
    </cfRule>
  </conditionalFormatting>
  <conditionalFormatting sqref="P267:Q269">
    <cfRule type="containsText" dxfId="9" priority="45712" operator="containsText" text="No">
      <formula>NOT(ISERROR(SEARCH(("No"),(P267))))</formula>
    </cfRule>
  </conditionalFormatting>
  <conditionalFormatting sqref="P267:Q269">
    <cfRule type="containsText" dxfId="9" priority="45713" operator="containsText" text="No">
      <formula>NOT(ISERROR(SEARCH(("No"),(P267))))</formula>
    </cfRule>
  </conditionalFormatting>
  <conditionalFormatting sqref="P267:Q269">
    <cfRule type="containsText" dxfId="9" priority="45714" operator="containsText" text="No">
      <formula>NOT(ISERROR(SEARCH(("No"),(P267))))</formula>
    </cfRule>
  </conditionalFormatting>
  <conditionalFormatting sqref="P267:Q269">
    <cfRule type="containsText" dxfId="9" priority="45715" operator="containsText" text="No">
      <formula>NOT(ISERROR(SEARCH(("No"),(P267))))</formula>
    </cfRule>
  </conditionalFormatting>
  <conditionalFormatting sqref="P267:Q269">
    <cfRule type="containsText" dxfId="9" priority="45716" operator="containsText" text="No">
      <formula>NOT(ISERROR(SEARCH(("No"),(P267))))</formula>
    </cfRule>
  </conditionalFormatting>
  <conditionalFormatting sqref="P267:Q269">
    <cfRule type="containsText" dxfId="9" priority="45717" operator="containsText" text="No">
      <formula>NOT(ISERROR(SEARCH(("No"),(P267))))</formula>
    </cfRule>
  </conditionalFormatting>
  <conditionalFormatting sqref="P267:Q269">
    <cfRule type="containsText" dxfId="9" priority="45718" operator="containsText" text="No">
      <formula>NOT(ISERROR(SEARCH(("No"),(P267))))</formula>
    </cfRule>
  </conditionalFormatting>
  <conditionalFormatting sqref="P267:Q269">
    <cfRule type="containsText" dxfId="9" priority="45719" operator="containsText" text="No">
      <formula>NOT(ISERROR(SEARCH(("No"),(P267))))</formula>
    </cfRule>
  </conditionalFormatting>
  <conditionalFormatting sqref="P267:Q269">
    <cfRule type="containsText" dxfId="9" priority="45720" operator="containsText" text="No">
      <formula>NOT(ISERROR(SEARCH(("No"),(P267))))</formula>
    </cfRule>
  </conditionalFormatting>
  <conditionalFormatting sqref="P267:Q269">
    <cfRule type="containsText" dxfId="9" priority="45721" operator="containsText" text="No">
      <formula>NOT(ISERROR(SEARCH(("No"),(P267))))</formula>
    </cfRule>
  </conditionalFormatting>
  <conditionalFormatting sqref="P267:Q269">
    <cfRule type="containsText" dxfId="9" priority="45722" operator="containsText" text="No">
      <formula>NOT(ISERROR(SEARCH(("No"),(P267))))</formula>
    </cfRule>
  </conditionalFormatting>
  <conditionalFormatting sqref="P267:Q269">
    <cfRule type="containsText" dxfId="9" priority="45723" operator="containsText" text="No">
      <formula>NOT(ISERROR(SEARCH(("No"),(P267))))</formula>
    </cfRule>
  </conditionalFormatting>
  <conditionalFormatting sqref="P267:Q269">
    <cfRule type="containsText" dxfId="9" priority="45724" operator="containsText" text="No">
      <formula>NOT(ISERROR(SEARCH(("No"),(P267))))</formula>
    </cfRule>
  </conditionalFormatting>
  <conditionalFormatting sqref="P267:Q269">
    <cfRule type="containsText" dxfId="9" priority="45725" operator="containsText" text="No">
      <formula>NOT(ISERROR(SEARCH(("No"),(P267))))</formula>
    </cfRule>
  </conditionalFormatting>
  <conditionalFormatting sqref="P267:Q269">
    <cfRule type="containsText" dxfId="9" priority="45726" operator="containsText" text="No">
      <formula>NOT(ISERROR(SEARCH(("No"),(P267))))</formula>
    </cfRule>
  </conditionalFormatting>
  <conditionalFormatting sqref="P267:Q269">
    <cfRule type="containsText" dxfId="9" priority="45727" operator="containsText" text="No">
      <formula>NOT(ISERROR(SEARCH(("No"),(P267))))</formula>
    </cfRule>
  </conditionalFormatting>
  <conditionalFormatting sqref="P267:Q269">
    <cfRule type="containsText" dxfId="9" priority="45728" operator="containsText" text="No">
      <formula>NOT(ISERROR(SEARCH(("No"),(P267))))</formula>
    </cfRule>
  </conditionalFormatting>
  <conditionalFormatting sqref="P267:Q269">
    <cfRule type="containsText" dxfId="9" priority="45729" operator="containsText" text="No">
      <formula>NOT(ISERROR(SEARCH(("No"),(P267))))</formula>
    </cfRule>
  </conditionalFormatting>
  <conditionalFormatting sqref="P267:Q269">
    <cfRule type="containsText" dxfId="9" priority="45730" operator="containsText" text="No">
      <formula>NOT(ISERROR(SEARCH(("No"),(P267))))</formula>
    </cfRule>
  </conditionalFormatting>
  <conditionalFormatting sqref="P267:Q269">
    <cfRule type="containsText" dxfId="9" priority="45731" operator="containsText" text="No">
      <formula>NOT(ISERROR(SEARCH(("No"),(P267))))</formula>
    </cfRule>
  </conditionalFormatting>
  <conditionalFormatting sqref="P267:Q269">
    <cfRule type="containsText" dxfId="9" priority="45732" operator="containsText" text="No">
      <formula>NOT(ISERROR(SEARCH(("No"),(P267))))</formula>
    </cfRule>
  </conditionalFormatting>
  <conditionalFormatting sqref="P267:Q269">
    <cfRule type="containsText" dxfId="9" priority="45733" operator="containsText" text="No">
      <formula>NOT(ISERROR(SEARCH(("No"),(P267))))</formula>
    </cfRule>
  </conditionalFormatting>
  <conditionalFormatting sqref="P267:Q269">
    <cfRule type="containsText" dxfId="2" priority="45734" operator="containsText" text="Yes">
      <formula>NOT(ISERROR(SEARCH(("Yes"),(P267))))</formula>
    </cfRule>
  </conditionalFormatting>
  <conditionalFormatting sqref="P267:Q269">
    <cfRule type="containsText" dxfId="2" priority="45735" operator="containsText" text="Yes">
      <formula>NOT(ISERROR(SEARCH(("Yes"),(P267))))</formula>
    </cfRule>
  </conditionalFormatting>
  <conditionalFormatting sqref="P267:Q269">
    <cfRule type="containsText" dxfId="2" priority="45736" operator="containsText" text="Yes">
      <formula>NOT(ISERROR(SEARCH(("Yes"),(P267))))</formula>
    </cfRule>
  </conditionalFormatting>
  <conditionalFormatting sqref="P267:Q269">
    <cfRule type="containsText" dxfId="2" priority="45737" operator="containsText" text="Yes">
      <formula>NOT(ISERROR(SEARCH(("Yes"),(P267))))</formula>
    </cfRule>
  </conditionalFormatting>
  <conditionalFormatting sqref="P267:Q269">
    <cfRule type="containsText" dxfId="2" priority="45738" operator="containsText" text="Yes">
      <formula>NOT(ISERROR(SEARCH(("Yes"),(P267))))</formula>
    </cfRule>
  </conditionalFormatting>
  <conditionalFormatting sqref="P267:Q269">
    <cfRule type="containsText" dxfId="2" priority="45739" operator="containsText" text="Yes">
      <formula>NOT(ISERROR(SEARCH(("Yes"),(P267))))</formula>
    </cfRule>
  </conditionalFormatting>
  <conditionalFormatting sqref="P267:Q269">
    <cfRule type="containsText" dxfId="2" priority="45740" operator="containsText" text="Yes">
      <formula>NOT(ISERROR(SEARCH(("Yes"),(P267))))</formula>
    </cfRule>
  </conditionalFormatting>
  <conditionalFormatting sqref="P267:Q269">
    <cfRule type="containsText" dxfId="2" priority="45741" operator="containsText" text="Yes">
      <formula>NOT(ISERROR(SEARCH(("Yes"),(P267))))</formula>
    </cfRule>
  </conditionalFormatting>
  <conditionalFormatting sqref="P267:Q269">
    <cfRule type="containsText" dxfId="2" priority="45742" operator="containsText" text="Yes">
      <formula>NOT(ISERROR(SEARCH(("Yes"),(P267))))</formula>
    </cfRule>
  </conditionalFormatting>
  <conditionalFormatting sqref="P267:Q269">
    <cfRule type="containsText" dxfId="2" priority="45743" operator="containsText" text="Yes">
      <formula>NOT(ISERROR(SEARCH(("Yes"),(P267))))</formula>
    </cfRule>
  </conditionalFormatting>
  <conditionalFormatting sqref="P267:Q269">
    <cfRule type="containsText" dxfId="2" priority="45744" operator="containsText" text="Yes">
      <formula>NOT(ISERROR(SEARCH(("Yes"),(P267))))</formula>
    </cfRule>
  </conditionalFormatting>
  <conditionalFormatting sqref="P267:Q269">
    <cfRule type="containsText" dxfId="2" priority="45745" operator="containsText" text="Yes">
      <formula>NOT(ISERROR(SEARCH(("Yes"),(P267))))</formula>
    </cfRule>
  </conditionalFormatting>
  <conditionalFormatting sqref="P267:Q269">
    <cfRule type="containsText" dxfId="2" priority="45746" operator="containsText" text="Yes">
      <formula>NOT(ISERROR(SEARCH(("Yes"),(P267))))</formula>
    </cfRule>
  </conditionalFormatting>
  <conditionalFormatting sqref="P267:Q269">
    <cfRule type="containsText" dxfId="2" priority="45747" operator="containsText" text="Yes">
      <formula>NOT(ISERROR(SEARCH(("Yes"),(P267))))</formula>
    </cfRule>
  </conditionalFormatting>
  <conditionalFormatting sqref="P267:Q269">
    <cfRule type="containsText" dxfId="2" priority="45748" operator="containsText" text="Yes">
      <formula>NOT(ISERROR(SEARCH(("Yes"),(P267))))</formula>
    </cfRule>
  </conditionalFormatting>
  <conditionalFormatting sqref="P267:Q269">
    <cfRule type="containsText" dxfId="2" priority="45749" operator="containsText" text="Yes">
      <formula>NOT(ISERROR(SEARCH(("Yes"),(P267))))</formula>
    </cfRule>
  </conditionalFormatting>
  <conditionalFormatting sqref="P267:Q269">
    <cfRule type="containsText" dxfId="2" priority="45750" operator="containsText" text="Yes">
      <formula>NOT(ISERROR(SEARCH(("Yes"),(P267))))</formula>
    </cfRule>
  </conditionalFormatting>
  <conditionalFormatting sqref="P267:Q269">
    <cfRule type="containsText" dxfId="2" priority="45751" operator="containsText" text="Yes">
      <formula>NOT(ISERROR(SEARCH(("Yes"),(P267))))</formula>
    </cfRule>
  </conditionalFormatting>
  <conditionalFormatting sqref="P267:Q269">
    <cfRule type="containsText" dxfId="2" priority="45752" operator="containsText" text="Yes">
      <formula>NOT(ISERROR(SEARCH(("Yes"),(P267))))</formula>
    </cfRule>
  </conditionalFormatting>
  <conditionalFormatting sqref="P267:Q269">
    <cfRule type="containsText" dxfId="2" priority="45753" operator="containsText" text="Yes">
      <formula>NOT(ISERROR(SEARCH(("Yes"),(P267))))</formula>
    </cfRule>
  </conditionalFormatting>
  <conditionalFormatting sqref="P267:Q269">
    <cfRule type="containsText" dxfId="2" priority="45754" operator="containsText" text="Yes">
      <formula>NOT(ISERROR(SEARCH(("Yes"),(P267))))</formula>
    </cfRule>
  </conditionalFormatting>
  <conditionalFormatting sqref="P267:Q269">
    <cfRule type="containsText" dxfId="2" priority="45755" operator="containsText" text="Yes">
      <formula>NOT(ISERROR(SEARCH(("Yes"),(P267))))</formula>
    </cfRule>
  </conditionalFormatting>
  <conditionalFormatting sqref="P267:Q269">
    <cfRule type="containsText" dxfId="2" priority="45756" operator="containsText" text="Yes">
      <formula>NOT(ISERROR(SEARCH(("Yes"),(P267))))</formula>
    </cfRule>
  </conditionalFormatting>
  <conditionalFormatting sqref="P267:Q269">
    <cfRule type="containsText" dxfId="2" priority="45757" operator="containsText" text="Yes">
      <formula>NOT(ISERROR(SEARCH(("Yes"),(P267))))</formula>
    </cfRule>
  </conditionalFormatting>
  <conditionalFormatting sqref="P267:Q269">
    <cfRule type="containsText" dxfId="2" priority="45758" operator="containsText" text="Yes">
      <formula>NOT(ISERROR(SEARCH(("Yes"),(P267))))</formula>
    </cfRule>
  </conditionalFormatting>
  <conditionalFormatting sqref="P267:Q269">
    <cfRule type="containsText" dxfId="2" priority="45759" operator="containsText" text="Yes">
      <formula>NOT(ISERROR(SEARCH(("Yes"),(P267))))</formula>
    </cfRule>
  </conditionalFormatting>
  <conditionalFormatting sqref="P267:Q269">
    <cfRule type="containsText" dxfId="2" priority="45760" operator="containsText" text="Yes">
      <formula>NOT(ISERROR(SEARCH(("Yes"),(P267))))</formula>
    </cfRule>
  </conditionalFormatting>
  <conditionalFormatting sqref="P267:Q269">
    <cfRule type="containsText" dxfId="2" priority="45761" operator="containsText" text="Yes">
      <formula>NOT(ISERROR(SEARCH(("Yes"),(P267))))</formula>
    </cfRule>
  </conditionalFormatting>
  <conditionalFormatting sqref="P267:Q269">
    <cfRule type="containsText" dxfId="2" priority="45762" operator="containsText" text="Yes">
      <formula>NOT(ISERROR(SEARCH(("Yes"),(P267))))</formula>
    </cfRule>
  </conditionalFormatting>
  <conditionalFormatting sqref="P267:Q269">
    <cfRule type="containsText" dxfId="2" priority="45763" operator="containsText" text="Yes">
      <formula>NOT(ISERROR(SEARCH(("Yes"),(P267))))</formula>
    </cfRule>
  </conditionalFormatting>
  <conditionalFormatting sqref="P267:Q269">
    <cfRule type="containsText" dxfId="2" priority="45764" operator="containsText" text="Yes">
      <formula>NOT(ISERROR(SEARCH(("Yes"),(P267))))</formula>
    </cfRule>
  </conditionalFormatting>
  <conditionalFormatting sqref="P267:Q269">
    <cfRule type="containsText" dxfId="2" priority="45765" operator="containsText" text="Yes">
      <formula>NOT(ISERROR(SEARCH(("Yes"),(P267))))</formula>
    </cfRule>
  </conditionalFormatting>
  <conditionalFormatting sqref="P267:Q269">
    <cfRule type="containsText" dxfId="2" priority="45766" operator="containsText" text="Yes">
      <formula>NOT(ISERROR(SEARCH(("Yes"),(P267))))</formula>
    </cfRule>
  </conditionalFormatting>
  <conditionalFormatting sqref="P267:Q269">
    <cfRule type="containsText" dxfId="2" priority="45767" operator="containsText" text="Yes">
      <formula>NOT(ISERROR(SEARCH(("Yes"),(P267))))</formula>
    </cfRule>
  </conditionalFormatting>
  <conditionalFormatting sqref="P267:Q269">
    <cfRule type="containsText" dxfId="2" priority="45768" operator="containsText" text="Yes">
      <formula>NOT(ISERROR(SEARCH(("Yes"),(P267))))</formula>
    </cfRule>
  </conditionalFormatting>
  <conditionalFormatting sqref="P267:Q269">
    <cfRule type="containsText" dxfId="2" priority="45769" operator="containsText" text="Yes">
      <formula>NOT(ISERROR(SEARCH(("Yes"),(P267))))</formula>
    </cfRule>
  </conditionalFormatting>
  <conditionalFormatting sqref="P267:Q269">
    <cfRule type="containsText" dxfId="2" priority="45770" operator="containsText" text="Yes">
      <formula>NOT(ISERROR(SEARCH(("Yes"),(P267))))</formula>
    </cfRule>
  </conditionalFormatting>
  <conditionalFormatting sqref="P267:Q269">
    <cfRule type="containsText" dxfId="2" priority="45771" operator="containsText" text="Yes">
      <formula>NOT(ISERROR(SEARCH(("Yes"),(P267))))</formula>
    </cfRule>
  </conditionalFormatting>
  <conditionalFormatting sqref="P267:Q269">
    <cfRule type="containsText" dxfId="2" priority="45772" operator="containsText" text="Yes">
      <formula>NOT(ISERROR(SEARCH(("Yes"),(P267))))</formula>
    </cfRule>
  </conditionalFormatting>
  <conditionalFormatting sqref="P267:Q269">
    <cfRule type="containsText" dxfId="2" priority="45773" operator="containsText" text="Yes">
      <formula>NOT(ISERROR(SEARCH(("Yes"),(P267))))</formula>
    </cfRule>
  </conditionalFormatting>
  <conditionalFormatting sqref="P267:Q269">
    <cfRule type="containsText" dxfId="2" priority="45774" operator="containsText" text="Yes">
      <formula>NOT(ISERROR(SEARCH(("Yes"),(P267))))</formula>
    </cfRule>
  </conditionalFormatting>
  <conditionalFormatting sqref="P267:Q269">
    <cfRule type="containsText" dxfId="2" priority="45775" operator="containsText" text="Yes">
      <formula>NOT(ISERROR(SEARCH(("Yes"),(P267))))</formula>
    </cfRule>
  </conditionalFormatting>
  <conditionalFormatting sqref="P267:Q269">
    <cfRule type="containsText" dxfId="2" priority="45776" operator="containsText" text="Yes">
      <formula>NOT(ISERROR(SEARCH(("Yes"),(P267))))</formula>
    </cfRule>
  </conditionalFormatting>
  <conditionalFormatting sqref="P267:Q269">
    <cfRule type="containsText" dxfId="2" priority="45777" operator="containsText" text="Yes">
      <formula>NOT(ISERROR(SEARCH(("Yes"),(P267))))</formula>
    </cfRule>
  </conditionalFormatting>
  <conditionalFormatting sqref="P267:Q269">
    <cfRule type="containsText" dxfId="2" priority="45778" operator="containsText" text="Yes">
      <formula>NOT(ISERROR(SEARCH(("Yes"),(P267))))</formula>
    </cfRule>
  </conditionalFormatting>
  <conditionalFormatting sqref="P267:Q269">
    <cfRule type="containsText" dxfId="2" priority="45779" operator="containsText" text="Yes">
      <formula>NOT(ISERROR(SEARCH(("Yes"),(P267))))</formula>
    </cfRule>
  </conditionalFormatting>
  <conditionalFormatting sqref="P267:Q269">
    <cfRule type="containsText" dxfId="2" priority="45780" operator="containsText" text="Yes">
      <formula>NOT(ISERROR(SEARCH(("Yes"),(P267))))</formula>
    </cfRule>
  </conditionalFormatting>
  <conditionalFormatting sqref="P268:Q268">
    <cfRule type="containsText" dxfId="9" priority="45781" operator="containsText" text="No">
      <formula>NOT(ISERROR(SEARCH(("No"),(P268))))</formula>
    </cfRule>
  </conditionalFormatting>
  <conditionalFormatting sqref="P268:Q268">
    <cfRule type="containsText" dxfId="9" priority="45782" operator="containsText" text="No">
      <formula>NOT(ISERROR(SEARCH(("No"),(P268))))</formula>
    </cfRule>
  </conditionalFormatting>
  <conditionalFormatting sqref="P268:Q268">
    <cfRule type="containsText" dxfId="9" priority="45783" operator="containsText" text="No">
      <formula>NOT(ISERROR(SEARCH(("No"),(P268))))</formula>
    </cfRule>
  </conditionalFormatting>
  <conditionalFormatting sqref="P268:Q268">
    <cfRule type="containsText" dxfId="9" priority="45784" operator="containsText" text="No">
      <formula>NOT(ISERROR(SEARCH(("No"),(P268))))</formula>
    </cfRule>
  </conditionalFormatting>
  <conditionalFormatting sqref="P268:Q268">
    <cfRule type="containsText" dxfId="9" priority="45785" operator="containsText" text="No">
      <formula>NOT(ISERROR(SEARCH(("No"),(P268))))</formula>
    </cfRule>
  </conditionalFormatting>
  <conditionalFormatting sqref="P268:Q268">
    <cfRule type="containsText" dxfId="9" priority="45786" operator="containsText" text="No">
      <formula>NOT(ISERROR(SEARCH(("No"),(P268))))</formula>
    </cfRule>
  </conditionalFormatting>
  <conditionalFormatting sqref="P268:Q268">
    <cfRule type="containsText" dxfId="9" priority="45787" operator="containsText" text="No">
      <formula>NOT(ISERROR(SEARCH(("No"),(P268))))</formula>
    </cfRule>
  </conditionalFormatting>
  <conditionalFormatting sqref="P268:Q268">
    <cfRule type="containsText" dxfId="9" priority="45788" operator="containsText" text="No">
      <formula>NOT(ISERROR(SEARCH(("No"),(P268))))</formula>
    </cfRule>
  </conditionalFormatting>
  <conditionalFormatting sqref="P268:Q268">
    <cfRule type="containsText" dxfId="9" priority="45789" operator="containsText" text="No">
      <formula>NOT(ISERROR(SEARCH(("No"),(P268))))</formula>
    </cfRule>
  </conditionalFormatting>
  <conditionalFormatting sqref="P268:Q268">
    <cfRule type="containsText" dxfId="9" priority="45790" operator="containsText" text="No">
      <formula>NOT(ISERROR(SEARCH(("No"),(P268))))</formula>
    </cfRule>
  </conditionalFormatting>
  <conditionalFormatting sqref="P268:Q268">
    <cfRule type="containsText" dxfId="9" priority="45791" operator="containsText" text="No">
      <formula>NOT(ISERROR(SEARCH(("No"),(P268))))</formula>
    </cfRule>
  </conditionalFormatting>
  <conditionalFormatting sqref="P268:Q268">
    <cfRule type="containsText" dxfId="9" priority="45792" operator="containsText" text="No">
      <formula>NOT(ISERROR(SEARCH(("No"),(P268))))</formula>
    </cfRule>
  </conditionalFormatting>
  <conditionalFormatting sqref="P268:Q268">
    <cfRule type="containsText" dxfId="9" priority="45793" operator="containsText" text="No">
      <formula>NOT(ISERROR(SEARCH(("No"),(P268))))</formula>
    </cfRule>
  </conditionalFormatting>
  <conditionalFormatting sqref="P268:Q268">
    <cfRule type="containsText" dxfId="9" priority="45794" operator="containsText" text="No">
      <formula>NOT(ISERROR(SEARCH(("No"),(P268))))</formula>
    </cfRule>
  </conditionalFormatting>
  <conditionalFormatting sqref="P268:Q268">
    <cfRule type="containsText" dxfId="9" priority="45795" operator="containsText" text="No">
      <formula>NOT(ISERROR(SEARCH(("No"),(P268))))</formula>
    </cfRule>
  </conditionalFormatting>
  <conditionalFormatting sqref="P268:Q268">
    <cfRule type="containsText" dxfId="9" priority="45796" operator="containsText" text="No">
      <formula>NOT(ISERROR(SEARCH(("No"),(P268))))</formula>
    </cfRule>
  </conditionalFormatting>
  <conditionalFormatting sqref="P268:Q268">
    <cfRule type="containsText" dxfId="9" priority="45797" operator="containsText" text="No">
      <formula>NOT(ISERROR(SEARCH(("No"),(P268))))</formula>
    </cfRule>
  </conditionalFormatting>
  <conditionalFormatting sqref="P268:Q268">
    <cfRule type="containsText" dxfId="9" priority="45798" operator="containsText" text="No">
      <formula>NOT(ISERROR(SEARCH(("No"),(P268))))</formula>
    </cfRule>
  </conditionalFormatting>
  <conditionalFormatting sqref="P268:Q268">
    <cfRule type="containsText" dxfId="9" priority="45799" operator="containsText" text="No">
      <formula>NOT(ISERROR(SEARCH(("No"),(P268))))</formula>
    </cfRule>
  </conditionalFormatting>
  <conditionalFormatting sqref="P268:Q268">
    <cfRule type="containsText" dxfId="9" priority="45800" operator="containsText" text="No">
      <formula>NOT(ISERROR(SEARCH(("No"),(P268))))</formula>
    </cfRule>
  </conditionalFormatting>
  <conditionalFormatting sqref="P268:Q268">
    <cfRule type="containsText" dxfId="9" priority="45801" operator="containsText" text="No">
      <formula>NOT(ISERROR(SEARCH(("No"),(P268))))</formula>
    </cfRule>
  </conditionalFormatting>
  <conditionalFormatting sqref="P268:Q268">
    <cfRule type="containsText" dxfId="9" priority="45802" operator="containsText" text="No">
      <formula>NOT(ISERROR(SEARCH(("No"),(P268))))</formula>
    </cfRule>
  </conditionalFormatting>
  <conditionalFormatting sqref="P268:Q268">
    <cfRule type="containsText" dxfId="9" priority="45803" operator="containsText" text="No">
      <formula>NOT(ISERROR(SEARCH(("No"),(P268))))</formula>
    </cfRule>
  </conditionalFormatting>
  <conditionalFormatting sqref="P268:Q268">
    <cfRule type="containsText" dxfId="9" priority="45804" operator="containsText" text="No">
      <formula>NOT(ISERROR(SEARCH(("No"),(P268))))</formula>
    </cfRule>
  </conditionalFormatting>
  <conditionalFormatting sqref="P268:Q268">
    <cfRule type="containsText" dxfId="9" priority="45805" operator="containsText" text="No">
      <formula>NOT(ISERROR(SEARCH(("No"),(P268))))</formula>
    </cfRule>
  </conditionalFormatting>
  <conditionalFormatting sqref="P268:Q268">
    <cfRule type="containsText" dxfId="9" priority="45806" operator="containsText" text="No">
      <formula>NOT(ISERROR(SEARCH(("No"),(P268))))</formula>
    </cfRule>
  </conditionalFormatting>
  <conditionalFormatting sqref="P268:Q268">
    <cfRule type="containsText" dxfId="9" priority="45807" operator="containsText" text="No">
      <formula>NOT(ISERROR(SEARCH(("No"),(P268))))</formula>
    </cfRule>
  </conditionalFormatting>
  <conditionalFormatting sqref="P268:Q268">
    <cfRule type="containsText" dxfId="9" priority="45808" operator="containsText" text="No">
      <formula>NOT(ISERROR(SEARCH(("No"),(P268))))</formula>
    </cfRule>
  </conditionalFormatting>
  <conditionalFormatting sqref="P268:Q268">
    <cfRule type="containsText" dxfId="9" priority="45809" operator="containsText" text="No">
      <formula>NOT(ISERROR(SEARCH(("No"),(P268))))</formula>
    </cfRule>
  </conditionalFormatting>
  <conditionalFormatting sqref="P268:Q268">
    <cfRule type="containsText" dxfId="9" priority="45810" operator="containsText" text="No">
      <formula>NOT(ISERROR(SEARCH(("No"),(P268))))</formula>
    </cfRule>
  </conditionalFormatting>
  <conditionalFormatting sqref="P268:Q268">
    <cfRule type="containsText" dxfId="9" priority="45811" operator="containsText" text="No">
      <formula>NOT(ISERROR(SEARCH(("No"),(P268))))</formula>
    </cfRule>
  </conditionalFormatting>
  <conditionalFormatting sqref="P268:Q268">
    <cfRule type="containsText" dxfId="9" priority="45812" operator="containsText" text="No">
      <formula>NOT(ISERROR(SEARCH(("No"),(P268))))</formula>
    </cfRule>
  </conditionalFormatting>
  <conditionalFormatting sqref="P268:Q268">
    <cfRule type="containsText" dxfId="9" priority="45813" operator="containsText" text="No">
      <formula>NOT(ISERROR(SEARCH(("No"),(P268))))</formula>
    </cfRule>
  </conditionalFormatting>
  <conditionalFormatting sqref="P268:Q268">
    <cfRule type="containsText" dxfId="9" priority="45814" operator="containsText" text="No">
      <formula>NOT(ISERROR(SEARCH(("No"),(P268))))</formula>
    </cfRule>
  </conditionalFormatting>
  <conditionalFormatting sqref="P268:Q268">
    <cfRule type="containsText" dxfId="9" priority="45815" operator="containsText" text="No">
      <formula>NOT(ISERROR(SEARCH(("No"),(P268))))</formula>
    </cfRule>
  </conditionalFormatting>
  <conditionalFormatting sqref="P268:Q268">
    <cfRule type="containsText" dxfId="9" priority="45816" operator="containsText" text="No">
      <formula>NOT(ISERROR(SEARCH(("No"),(P268))))</formula>
    </cfRule>
  </conditionalFormatting>
  <conditionalFormatting sqref="P268:Q268">
    <cfRule type="containsText" dxfId="9" priority="45817" operator="containsText" text="No">
      <formula>NOT(ISERROR(SEARCH(("No"),(P268))))</formula>
    </cfRule>
  </conditionalFormatting>
  <conditionalFormatting sqref="P268:Q268">
    <cfRule type="containsText" dxfId="9" priority="45818" operator="containsText" text="No">
      <formula>NOT(ISERROR(SEARCH(("No"),(P268))))</formula>
    </cfRule>
  </conditionalFormatting>
  <conditionalFormatting sqref="P268:Q268">
    <cfRule type="containsText" dxfId="9" priority="45819" operator="containsText" text="No">
      <formula>NOT(ISERROR(SEARCH(("No"),(P268))))</formula>
    </cfRule>
  </conditionalFormatting>
  <conditionalFormatting sqref="P268:Q268">
    <cfRule type="containsText" dxfId="9" priority="45820" operator="containsText" text="No">
      <formula>NOT(ISERROR(SEARCH(("No"),(P268))))</formula>
    </cfRule>
  </conditionalFormatting>
  <conditionalFormatting sqref="P268:Q268">
    <cfRule type="containsText" dxfId="9" priority="45821" operator="containsText" text="No">
      <formula>NOT(ISERROR(SEARCH(("No"),(P268))))</formula>
    </cfRule>
  </conditionalFormatting>
  <conditionalFormatting sqref="P268:Q268">
    <cfRule type="containsText" dxfId="9" priority="45822" operator="containsText" text="No">
      <formula>NOT(ISERROR(SEARCH(("No"),(P268))))</formula>
    </cfRule>
  </conditionalFormatting>
  <conditionalFormatting sqref="P268:Q268">
    <cfRule type="containsText" dxfId="9" priority="45823" operator="containsText" text="No">
      <formula>NOT(ISERROR(SEARCH(("No"),(P268))))</formula>
    </cfRule>
  </conditionalFormatting>
  <conditionalFormatting sqref="P268:Q268">
    <cfRule type="containsText" dxfId="9" priority="45824" operator="containsText" text="No">
      <formula>NOT(ISERROR(SEARCH(("No"),(P268))))</formula>
    </cfRule>
  </conditionalFormatting>
  <conditionalFormatting sqref="P268:Q268">
    <cfRule type="containsText" dxfId="9" priority="45825" operator="containsText" text="No">
      <formula>NOT(ISERROR(SEARCH(("No"),(P268))))</formula>
    </cfRule>
  </conditionalFormatting>
  <conditionalFormatting sqref="P268:Q268">
    <cfRule type="containsText" dxfId="2" priority="45826" operator="containsText" text="Yes">
      <formula>NOT(ISERROR(SEARCH(("Yes"),(P268))))</formula>
    </cfRule>
  </conditionalFormatting>
  <conditionalFormatting sqref="P268:Q268">
    <cfRule type="containsText" dxfId="2" priority="45827" operator="containsText" text="Yes">
      <formula>NOT(ISERROR(SEARCH(("Yes"),(P268))))</formula>
    </cfRule>
  </conditionalFormatting>
  <conditionalFormatting sqref="P268:Q268">
    <cfRule type="containsText" dxfId="2" priority="45828" operator="containsText" text="Yes">
      <formula>NOT(ISERROR(SEARCH(("Yes"),(P268))))</formula>
    </cfRule>
  </conditionalFormatting>
  <conditionalFormatting sqref="P268:Q268">
    <cfRule type="containsText" dxfId="2" priority="45829" operator="containsText" text="Yes">
      <formula>NOT(ISERROR(SEARCH(("Yes"),(P268))))</formula>
    </cfRule>
  </conditionalFormatting>
  <conditionalFormatting sqref="P268:Q268">
    <cfRule type="containsText" dxfId="2" priority="45830" operator="containsText" text="Yes">
      <formula>NOT(ISERROR(SEARCH(("Yes"),(P268))))</formula>
    </cfRule>
  </conditionalFormatting>
  <conditionalFormatting sqref="P268:Q268">
    <cfRule type="containsText" dxfId="2" priority="45831" operator="containsText" text="Yes">
      <formula>NOT(ISERROR(SEARCH(("Yes"),(P268))))</formula>
    </cfRule>
  </conditionalFormatting>
  <conditionalFormatting sqref="P268:Q268">
    <cfRule type="containsText" dxfId="2" priority="45832" operator="containsText" text="Yes">
      <formula>NOT(ISERROR(SEARCH(("Yes"),(P268))))</formula>
    </cfRule>
  </conditionalFormatting>
  <conditionalFormatting sqref="P268:Q268">
    <cfRule type="containsText" dxfId="2" priority="45833" operator="containsText" text="Yes">
      <formula>NOT(ISERROR(SEARCH(("Yes"),(P268))))</formula>
    </cfRule>
  </conditionalFormatting>
  <conditionalFormatting sqref="P268:Q268">
    <cfRule type="containsText" dxfId="2" priority="45834" operator="containsText" text="Yes">
      <formula>NOT(ISERROR(SEARCH(("Yes"),(P268))))</formula>
    </cfRule>
  </conditionalFormatting>
  <conditionalFormatting sqref="P268:Q268">
    <cfRule type="containsText" dxfId="2" priority="45835" operator="containsText" text="Yes">
      <formula>NOT(ISERROR(SEARCH(("Yes"),(P268))))</formula>
    </cfRule>
  </conditionalFormatting>
  <conditionalFormatting sqref="P268:Q268">
    <cfRule type="containsText" dxfId="2" priority="45836" operator="containsText" text="Yes">
      <formula>NOT(ISERROR(SEARCH(("Yes"),(P268))))</formula>
    </cfRule>
  </conditionalFormatting>
  <conditionalFormatting sqref="P268:Q268">
    <cfRule type="containsText" dxfId="2" priority="45837" operator="containsText" text="Yes">
      <formula>NOT(ISERROR(SEARCH(("Yes"),(P268))))</formula>
    </cfRule>
  </conditionalFormatting>
  <conditionalFormatting sqref="P268:Q268">
    <cfRule type="containsText" dxfId="2" priority="45838" operator="containsText" text="Yes">
      <formula>NOT(ISERROR(SEARCH(("Yes"),(P268))))</formula>
    </cfRule>
  </conditionalFormatting>
  <conditionalFormatting sqref="P268:Q268">
    <cfRule type="containsText" dxfId="2" priority="45839" operator="containsText" text="Yes">
      <formula>NOT(ISERROR(SEARCH(("Yes"),(P268))))</formula>
    </cfRule>
  </conditionalFormatting>
  <conditionalFormatting sqref="P268:Q268">
    <cfRule type="containsText" dxfId="2" priority="45840" operator="containsText" text="Yes">
      <formula>NOT(ISERROR(SEARCH(("Yes"),(P268))))</formula>
    </cfRule>
  </conditionalFormatting>
  <conditionalFormatting sqref="P268:Q268">
    <cfRule type="containsText" dxfId="2" priority="45841" operator="containsText" text="Yes">
      <formula>NOT(ISERROR(SEARCH(("Yes"),(P268))))</formula>
    </cfRule>
  </conditionalFormatting>
  <conditionalFormatting sqref="P268:Q268">
    <cfRule type="containsText" dxfId="2" priority="45842" operator="containsText" text="Yes">
      <formula>NOT(ISERROR(SEARCH(("Yes"),(P268))))</formula>
    </cfRule>
  </conditionalFormatting>
  <conditionalFormatting sqref="P268:Q268">
    <cfRule type="containsText" dxfId="2" priority="45843" operator="containsText" text="Yes">
      <formula>NOT(ISERROR(SEARCH(("Yes"),(P268))))</formula>
    </cfRule>
  </conditionalFormatting>
  <conditionalFormatting sqref="P268:Q268">
    <cfRule type="containsText" dxfId="2" priority="45844" operator="containsText" text="Yes">
      <formula>NOT(ISERROR(SEARCH(("Yes"),(P268))))</formula>
    </cfRule>
  </conditionalFormatting>
  <conditionalFormatting sqref="P268:Q268">
    <cfRule type="containsText" dxfId="2" priority="45845" operator="containsText" text="Yes">
      <formula>NOT(ISERROR(SEARCH(("Yes"),(P268))))</formula>
    </cfRule>
  </conditionalFormatting>
  <conditionalFormatting sqref="P268:Q268">
    <cfRule type="containsText" dxfId="2" priority="45846" operator="containsText" text="Yes">
      <formula>NOT(ISERROR(SEARCH(("Yes"),(P268))))</formula>
    </cfRule>
  </conditionalFormatting>
  <conditionalFormatting sqref="P268:Q268">
    <cfRule type="containsText" dxfId="2" priority="45847" operator="containsText" text="Yes">
      <formula>NOT(ISERROR(SEARCH(("Yes"),(P268))))</formula>
    </cfRule>
  </conditionalFormatting>
  <conditionalFormatting sqref="P268:Q268">
    <cfRule type="containsText" dxfId="2" priority="45848" operator="containsText" text="Yes">
      <formula>NOT(ISERROR(SEARCH(("Yes"),(P268))))</formula>
    </cfRule>
  </conditionalFormatting>
  <conditionalFormatting sqref="P268:Q268">
    <cfRule type="containsText" dxfId="2" priority="45849" operator="containsText" text="Yes">
      <formula>NOT(ISERROR(SEARCH(("Yes"),(P268))))</formula>
    </cfRule>
  </conditionalFormatting>
  <conditionalFormatting sqref="P268:Q268">
    <cfRule type="containsText" dxfId="2" priority="45850" operator="containsText" text="Yes">
      <formula>NOT(ISERROR(SEARCH(("Yes"),(P268))))</formula>
    </cfRule>
  </conditionalFormatting>
  <conditionalFormatting sqref="P268:Q268">
    <cfRule type="containsText" dxfId="2" priority="45851" operator="containsText" text="Yes">
      <formula>NOT(ISERROR(SEARCH(("Yes"),(P268))))</formula>
    </cfRule>
  </conditionalFormatting>
  <conditionalFormatting sqref="P268:Q268">
    <cfRule type="containsText" dxfId="2" priority="45852" operator="containsText" text="Yes">
      <formula>NOT(ISERROR(SEARCH(("Yes"),(P268))))</formula>
    </cfRule>
  </conditionalFormatting>
  <conditionalFormatting sqref="P268:Q268">
    <cfRule type="containsText" dxfId="2" priority="45853" operator="containsText" text="Yes">
      <formula>NOT(ISERROR(SEARCH(("Yes"),(P268))))</formula>
    </cfRule>
  </conditionalFormatting>
  <conditionalFormatting sqref="P268:Q268">
    <cfRule type="containsText" dxfId="2" priority="45854" operator="containsText" text="Yes">
      <formula>NOT(ISERROR(SEARCH(("Yes"),(P268))))</formula>
    </cfRule>
  </conditionalFormatting>
  <conditionalFormatting sqref="P268:Q268">
    <cfRule type="containsText" dxfId="2" priority="45855" operator="containsText" text="Yes">
      <formula>NOT(ISERROR(SEARCH(("Yes"),(P268))))</formula>
    </cfRule>
  </conditionalFormatting>
  <conditionalFormatting sqref="P268:Q268">
    <cfRule type="containsText" dxfId="2" priority="45856" operator="containsText" text="Yes">
      <formula>NOT(ISERROR(SEARCH(("Yes"),(P268))))</formula>
    </cfRule>
  </conditionalFormatting>
  <conditionalFormatting sqref="P268:Q268">
    <cfRule type="containsText" dxfId="2" priority="45857" operator="containsText" text="Yes">
      <formula>NOT(ISERROR(SEARCH(("Yes"),(P268))))</formula>
    </cfRule>
  </conditionalFormatting>
  <conditionalFormatting sqref="P268:Q268">
    <cfRule type="containsText" dxfId="2" priority="45858" operator="containsText" text="Yes">
      <formula>NOT(ISERROR(SEARCH(("Yes"),(P268))))</formula>
    </cfRule>
  </conditionalFormatting>
  <conditionalFormatting sqref="P268:Q268">
    <cfRule type="containsText" dxfId="2" priority="45859" operator="containsText" text="Yes">
      <formula>NOT(ISERROR(SEARCH(("Yes"),(P268))))</formula>
    </cfRule>
  </conditionalFormatting>
  <conditionalFormatting sqref="P268:Q268">
    <cfRule type="containsText" dxfId="2" priority="45860" operator="containsText" text="Yes">
      <formula>NOT(ISERROR(SEARCH(("Yes"),(P268))))</formula>
    </cfRule>
  </conditionalFormatting>
  <conditionalFormatting sqref="P268:Q268">
    <cfRule type="containsText" dxfId="2" priority="45861" operator="containsText" text="Yes">
      <formula>NOT(ISERROR(SEARCH(("Yes"),(P268))))</formula>
    </cfRule>
  </conditionalFormatting>
  <conditionalFormatting sqref="P268:Q268">
    <cfRule type="containsText" dxfId="2" priority="45862" operator="containsText" text="Yes">
      <formula>NOT(ISERROR(SEARCH(("Yes"),(P268))))</formula>
    </cfRule>
  </conditionalFormatting>
  <conditionalFormatting sqref="P268:Q268">
    <cfRule type="containsText" dxfId="2" priority="45863" operator="containsText" text="Yes">
      <formula>NOT(ISERROR(SEARCH(("Yes"),(P268))))</formula>
    </cfRule>
  </conditionalFormatting>
  <conditionalFormatting sqref="P268:Q268">
    <cfRule type="containsText" dxfId="2" priority="45864" operator="containsText" text="Yes">
      <formula>NOT(ISERROR(SEARCH(("Yes"),(P268))))</formula>
    </cfRule>
  </conditionalFormatting>
  <conditionalFormatting sqref="P268:Q268">
    <cfRule type="containsText" dxfId="2" priority="45865" operator="containsText" text="Yes">
      <formula>NOT(ISERROR(SEARCH(("Yes"),(P268))))</formula>
    </cfRule>
  </conditionalFormatting>
  <conditionalFormatting sqref="P268:Q268">
    <cfRule type="containsText" dxfId="2" priority="45866" operator="containsText" text="Yes">
      <formula>NOT(ISERROR(SEARCH(("Yes"),(P268))))</formula>
    </cfRule>
  </conditionalFormatting>
  <conditionalFormatting sqref="P268:Q268">
    <cfRule type="containsText" dxfId="2" priority="45867" operator="containsText" text="Yes">
      <formula>NOT(ISERROR(SEARCH(("Yes"),(P268))))</formula>
    </cfRule>
  </conditionalFormatting>
  <conditionalFormatting sqref="P268:Q268">
    <cfRule type="containsText" dxfId="2" priority="45868" operator="containsText" text="Yes">
      <formula>NOT(ISERROR(SEARCH(("Yes"),(P268))))</formula>
    </cfRule>
  </conditionalFormatting>
  <conditionalFormatting sqref="P268:Q268">
    <cfRule type="containsText" dxfId="2" priority="45869" operator="containsText" text="Yes">
      <formula>NOT(ISERROR(SEARCH(("Yes"),(P268))))</formula>
    </cfRule>
  </conditionalFormatting>
  <conditionalFormatting sqref="P268:Q268">
    <cfRule type="containsText" dxfId="2" priority="45870" operator="containsText" text="Yes">
      <formula>NOT(ISERROR(SEARCH(("Yes"),(P268))))</formula>
    </cfRule>
  </conditionalFormatting>
  <conditionalFormatting sqref="P268:Q268">
    <cfRule type="containsText" dxfId="2" priority="45871" operator="containsText" text="Yes">
      <formula>NOT(ISERROR(SEARCH(("Yes"),(P268))))</formula>
    </cfRule>
  </conditionalFormatting>
  <conditionalFormatting sqref="P268:Q268">
    <cfRule type="containsText" dxfId="2" priority="45872" operator="containsText" text="Yes">
      <formula>NOT(ISERROR(SEARCH(("Yes"),(P268))))</formula>
    </cfRule>
  </conditionalFormatting>
  <conditionalFormatting sqref="O269:O271 O273:O274 O276:O282 O286 O295 O300 O329 P283:Q284 P287:Q292 P294:Q294 P304:Q304 P307:Q307 P310:Q311 P313:Q316 P318:Q318 P321:Q322 P343:Q346">
    <cfRule type="containsText" dxfId="9" priority="45873" operator="containsText" text="No">
      <formula>NOT(ISERROR(SEARCH(("No"),(O269))))</formula>
    </cfRule>
  </conditionalFormatting>
  <conditionalFormatting sqref="O269:O271 O273:O274 O276:O282 O286 O295 O300 O329 P283:Q284 P287:Q292 P294:Q294 P304:Q304 P307:Q307 P310:Q311 P313:Q316 P318:Q318 P321:Q322 P343:Q346">
    <cfRule type="containsText" dxfId="9" priority="45874" operator="containsText" text="No">
      <formula>NOT(ISERROR(SEARCH(("No"),(O269))))</formula>
    </cfRule>
  </conditionalFormatting>
  <conditionalFormatting sqref="O269:O271 O273:O274 O276:O282 O286 O295 O300 O329 P283:Q284 P287:Q292 P294:Q294 P304:Q304 P307:Q307 P310:Q311 P313:Q316 P318:Q318 P321:Q322 P343:Q346">
    <cfRule type="containsText" dxfId="9" priority="45875" operator="containsText" text="No">
      <formula>NOT(ISERROR(SEARCH(("No"),(O269))))</formula>
    </cfRule>
  </conditionalFormatting>
  <conditionalFormatting sqref="O269:O271 O273:O274 O276:O282 O286 O295 O300 O329 P283:Q284 P287:Q292 P294:Q294 P304:Q304 P307:Q307 P310:Q311 P313:Q316 P318:Q318 P321:Q322 P343:Q346">
    <cfRule type="containsText" dxfId="2" priority="45876" operator="containsText" text="Yes">
      <formula>NOT(ISERROR(SEARCH(("Yes"),(O269))))</formula>
    </cfRule>
  </conditionalFormatting>
  <conditionalFormatting sqref="O269:O271 O273:O274 O276:O282 O286 O295 O300 O329 P283:Q284 P287:Q292 P294:Q294 P304:Q304 P307:Q307 P310:Q311 P313:Q316 P318:Q318 P321:Q322 P343:Q346">
    <cfRule type="containsText" dxfId="2" priority="45877" operator="containsText" text="Yes">
      <formula>NOT(ISERROR(SEARCH(("Yes"),(O269))))</formula>
    </cfRule>
  </conditionalFormatting>
  <conditionalFormatting sqref="O269:O271 O273:O274 O276:O282 O286 O295 O300 O329 P283:Q284 P287:Q292 P294:Q294 P304:Q304 P307:Q307 P310:Q311 P313:Q316 P318:Q318 P321:Q322 P343:Q346">
    <cfRule type="containsText" dxfId="2" priority="45878" operator="containsText" text="Yes">
      <formula>NOT(ISERROR(SEARCH(("Yes"),(O269))))</formula>
    </cfRule>
  </conditionalFormatting>
  <conditionalFormatting sqref="O269:O271 O273:O274 O276:O282 O286 O295 O300 O329 P283:Q284 P287:Q292 P294:Q294 P304:Q304 P307:Q307 P310:Q311 P313:Q316 P318:Q318 P321:Q322 P343:Q346">
    <cfRule type="containsText" dxfId="2" priority="45879" operator="containsText" text="Yes">
      <formula>NOT(ISERROR(SEARCH(("Yes"),(O269))))</formula>
    </cfRule>
  </conditionalFormatting>
  <conditionalFormatting sqref="O269:O271 O273:O274 O276:O282 O286 O295 O300 O329 P283:Q284 P287:Q292 P294:Q294 P304:Q304 P307:Q307 P310:Q311 P313:Q316 P318:Q318 P321:Q322 P343:Q346">
    <cfRule type="containsText" dxfId="2" priority="45880" operator="containsText" text="Yes">
      <formula>NOT(ISERROR(SEARCH(("Yes"),(O269))))</formula>
    </cfRule>
  </conditionalFormatting>
  <conditionalFormatting sqref="O269:O271 O273:O274 O276:O282 O286 O295 O300 O329 P283:Q284 P287:Q292 P294:Q294 P304:Q304 P307:Q307 P310:Q311 P313:Q316 P318:Q318 P321:Q322 P343:Q346">
    <cfRule type="containsText" dxfId="9" priority="45881" operator="containsText" text="No">
      <formula>NOT(ISERROR(SEARCH(("No"),(O269))))</formula>
    </cfRule>
  </conditionalFormatting>
  <conditionalFormatting sqref="O269:O271 O273:O274 O276:O282 O286 O295 O300 O329 P283:Q284 P287:Q292 P294:Q294 P304:Q304 P307:Q307 P310:Q311 P313:Q316 P318:Q318 P321:Q322 P343:Q346">
    <cfRule type="containsText" dxfId="9" priority="45882" operator="containsText" text="No">
      <formula>NOT(ISERROR(SEARCH(("No"),(O269))))</formula>
    </cfRule>
  </conditionalFormatting>
  <conditionalFormatting sqref="O269:O271 O273:O274 O276:O282 O286 O295 O300 O329 P283:Q284 P287:Q292 P294:Q294 P304:Q304 P307:Q307 P310:Q311 P313:Q316 P318:Q318 P321:Q322 P343:Q346">
    <cfRule type="containsText" dxfId="2" priority="45883" operator="containsText" text="Yes">
      <formula>NOT(ISERROR(SEARCH(("Yes"),(O269))))</formula>
    </cfRule>
  </conditionalFormatting>
  <conditionalFormatting sqref="P269:Q269">
    <cfRule type="containsText" dxfId="9" priority="45884" operator="containsText" text="No">
      <formula>NOT(ISERROR(SEARCH(("No"),(P269))))</formula>
    </cfRule>
  </conditionalFormatting>
  <conditionalFormatting sqref="P269:Q269">
    <cfRule type="containsText" dxfId="9" priority="45885" operator="containsText" text="No">
      <formula>NOT(ISERROR(SEARCH(("No"),(P269))))</formula>
    </cfRule>
  </conditionalFormatting>
  <conditionalFormatting sqref="P269:Q269">
    <cfRule type="containsText" dxfId="9" priority="45886" operator="containsText" text="No">
      <formula>NOT(ISERROR(SEARCH(("No"),(P269))))</formula>
    </cfRule>
  </conditionalFormatting>
  <conditionalFormatting sqref="P269:Q269">
    <cfRule type="containsText" dxfId="9" priority="45887" operator="containsText" text="No">
      <formula>NOT(ISERROR(SEARCH(("No"),(P269))))</formula>
    </cfRule>
  </conditionalFormatting>
  <conditionalFormatting sqref="P269:Q269">
    <cfRule type="containsText" dxfId="9" priority="45888" operator="containsText" text="No">
      <formula>NOT(ISERROR(SEARCH(("No"),(P269))))</formula>
    </cfRule>
  </conditionalFormatting>
  <conditionalFormatting sqref="P269:Q269">
    <cfRule type="containsText" dxfId="9" priority="45889" operator="containsText" text="No">
      <formula>NOT(ISERROR(SEARCH(("No"),(P269))))</formula>
    </cfRule>
  </conditionalFormatting>
  <conditionalFormatting sqref="P269:Q269">
    <cfRule type="containsText" dxfId="9" priority="45890" operator="containsText" text="No">
      <formula>NOT(ISERROR(SEARCH(("No"),(P269))))</formula>
    </cfRule>
  </conditionalFormatting>
  <conditionalFormatting sqref="P269:Q269">
    <cfRule type="containsText" dxfId="9" priority="45891" operator="containsText" text="No">
      <formula>NOT(ISERROR(SEARCH(("No"),(P269))))</formula>
    </cfRule>
  </conditionalFormatting>
  <conditionalFormatting sqref="P269:Q269">
    <cfRule type="containsText" dxfId="9" priority="45892" operator="containsText" text="No">
      <formula>NOT(ISERROR(SEARCH(("No"),(P269))))</formula>
    </cfRule>
  </conditionalFormatting>
  <conditionalFormatting sqref="P269:Q269">
    <cfRule type="containsText" dxfId="9" priority="45893" operator="containsText" text="No">
      <formula>NOT(ISERROR(SEARCH(("No"),(P269))))</formula>
    </cfRule>
  </conditionalFormatting>
  <conditionalFormatting sqref="P269:Q269">
    <cfRule type="containsText" dxfId="9" priority="45894" operator="containsText" text="No">
      <formula>NOT(ISERROR(SEARCH(("No"),(P269))))</formula>
    </cfRule>
  </conditionalFormatting>
  <conditionalFormatting sqref="P269:Q269">
    <cfRule type="containsText" dxfId="9" priority="45895" operator="containsText" text="No">
      <formula>NOT(ISERROR(SEARCH(("No"),(P269))))</formula>
    </cfRule>
  </conditionalFormatting>
  <conditionalFormatting sqref="P269:Q269">
    <cfRule type="containsText" dxfId="9" priority="45896" operator="containsText" text="No">
      <formula>NOT(ISERROR(SEARCH(("No"),(P269))))</formula>
    </cfRule>
  </conditionalFormatting>
  <conditionalFormatting sqref="P269:Q269">
    <cfRule type="containsText" dxfId="9" priority="45897" operator="containsText" text="No">
      <formula>NOT(ISERROR(SEARCH(("No"),(P269))))</formula>
    </cfRule>
  </conditionalFormatting>
  <conditionalFormatting sqref="P269:Q269">
    <cfRule type="containsText" dxfId="9" priority="45898" operator="containsText" text="No">
      <formula>NOT(ISERROR(SEARCH(("No"),(P269))))</formula>
    </cfRule>
  </conditionalFormatting>
  <conditionalFormatting sqref="P269:Q269">
    <cfRule type="containsText" dxfId="9" priority="45899" operator="containsText" text="No">
      <formula>NOT(ISERROR(SEARCH(("No"),(P269))))</formula>
    </cfRule>
  </conditionalFormatting>
  <conditionalFormatting sqref="P269:Q269">
    <cfRule type="containsText" dxfId="9" priority="45900" operator="containsText" text="No">
      <formula>NOT(ISERROR(SEARCH(("No"),(P269))))</formula>
    </cfRule>
  </conditionalFormatting>
  <conditionalFormatting sqref="P269:Q269">
    <cfRule type="containsText" dxfId="9" priority="45901" operator="containsText" text="No">
      <formula>NOT(ISERROR(SEARCH(("No"),(P269))))</formula>
    </cfRule>
  </conditionalFormatting>
  <conditionalFormatting sqref="P269:Q269">
    <cfRule type="containsText" dxfId="9" priority="45902" operator="containsText" text="No">
      <formula>NOT(ISERROR(SEARCH(("No"),(P269))))</formula>
    </cfRule>
  </conditionalFormatting>
  <conditionalFormatting sqref="P269:Q269">
    <cfRule type="containsText" dxfId="9" priority="45903" operator="containsText" text="No">
      <formula>NOT(ISERROR(SEARCH(("No"),(P269))))</formula>
    </cfRule>
  </conditionalFormatting>
  <conditionalFormatting sqref="P269:Q269">
    <cfRule type="containsText" dxfId="9" priority="45904" operator="containsText" text="No">
      <formula>NOT(ISERROR(SEARCH(("No"),(P269))))</formula>
    </cfRule>
  </conditionalFormatting>
  <conditionalFormatting sqref="P269:Q269">
    <cfRule type="containsText" dxfId="9" priority="45905" operator="containsText" text="No">
      <formula>NOT(ISERROR(SEARCH(("No"),(P269))))</formula>
    </cfRule>
  </conditionalFormatting>
  <conditionalFormatting sqref="P269:Q269">
    <cfRule type="containsText" dxfId="9" priority="45906" operator="containsText" text="No">
      <formula>NOT(ISERROR(SEARCH(("No"),(P269))))</formula>
    </cfRule>
  </conditionalFormatting>
  <conditionalFormatting sqref="P269:Q269">
    <cfRule type="containsText" dxfId="9" priority="45907" operator="containsText" text="No">
      <formula>NOT(ISERROR(SEARCH(("No"),(P269))))</formula>
    </cfRule>
  </conditionalFormatting>
  <conditionalFormatting sqref="P269:Q269">
    <cfRule type="containsText" dxfId="9" priority="45908" operator="containsText" text="No">
      <formula>NOT(ISERROR(SEARCH(("No"),(P269))))</formula>
    </cfRule>
  </conditionalFormatting>
  <conditionalFormatting sqref="P269:Q269">
    <cfRule type="containsText" dxfId="9" priority="45909" operator="containsText" text="No">
      <formula>NOT(ISERROR(SEARCH(("No"),(P269))))</formula>
    </cfRule>
  </conditionalFormatting>
  <conditionalFormatting sqref="P269:Q269">
    <cfRule type="containsText" dxfId="9" priority="45910" operator="containsText" text="No">
      <formula>NOT(ISERROR(SEARCH(("No"),(P269))))</formula>
    </cfRule>
  </conditionalFormatting>
  <conditionalFormatting sqref="P269:Q269">
    <cfRule type="containsText" dxfId="9" priority="45911" operator="containsText" text="No">
      <formula>NOT(ISERROR(SEARCH(("No"),(P269))))</formula>
    </cfRule>
  </conditionalFormatting>
  <conditionalFormatting sqref="P269:Q269">
    <cfRule type="containsText" dxfId="9" priority="45912" operator="containsText" text="No">
      <formula>NOT(ISERROR(SEARCH(("No"),(P269))))</formula>
    </cfRule>
  </conditionalFormatting>
  <conditionalFormatting sqref="P269:Q269">
    <cfRule type="containsText" dxfId="9" priority="45913" operator="containsText" text="No">
      <formula>NOT(ISERROR(SEARCH(("No"),(P269))))</formula>
    </cfRule>
  </conditionalFormatting>
  <conditionalFormatting sqref="P269:Q269">
    <cfRule type="containsText" dxfId="9" priority="45914" operator="containsText" text="No">
      <formula>NOT(ISERROR(SEARCH(("No"),(P269))))</formula>
    </cfRule>
  </conditionalFormatting>
  <conditionalFormatting sqref="P269:Q269">
    <cfRule type="containsText" dxfId="9" priority="45915" operator="containsText" text="No">
      <formula>NOT(ISERROR(SEARCH(("No"),(P269))))</formula>
    </cfRule>
  </conditionalFormatting>
  <conditionalFormatting sqref="P269:Q269">
    <cfRule type="containsText" dxfId="9" priority="45916" operator="containsText" text="No">
      <formula>NOT(ISERROR(SEARCH(("No"),(P269))))</formula>
    </cfRule>
  </conditionalFormatting>
  <conditionalFormatting sqref="P269:Q269">
    <cfRule type="containsText" dxfId="9" priority="45917" operator="containsText" text="No">
      <formula>NOT(ISERROR(SEARCH(("No"),(P269))))</formula>
    </cfRule>
  </conditionalFormatting>
  <conditionalFormatting sqref="P269:Q269">
    <cfRule type="containsText" dxfId="9" priority="45918" operator="containsText" text="No">
      <formula>NOT(ISERROR(SEARCH(("No"),(P269))))</formula>
    </cfRule>
  </conditionalFormatting>
  <conditionalFormatting sqref="P269:Q269">
    <cfRule type="containsText" dxfId="9" priority="45919" operator="containsText" text="No">
      <formula>NOT(ISERROR(SEARCH(("No"),(P269))))</formula>
    </cfRule>
  </conditionalFormatting>
  <conditionalFormatting sqref="P269:Q269">
    <cfRule type="containsText" dxfId="9" priority="45920" operator="containsText" text="No">
      <formula>NOT(ISERROR(SEARCH(("No"),(P269))))</formula>
    </cfRule>
  </conditionalFormatting>
  <conditionalFormatting sqref="P269:Q269">
    <cfRule type="containsText" dxfId="9" priority="45921" operator="containsText" text="No">
      <formula>NOT(ISERROR(SEARCH(("No"),(P269))))</formula>
    </cfRule>
  </conditionalFormatting>
  <conditionalFormatting sqref="P269:Q269">
    <cfRule type="containsText" dxfId="9" priority="45922" operator="containsText" text="No">
      <formula>NOT(ISERROR(SEARCH(("No"),(P269))))</formula>
    </cfRule>
  </conditionalFormatting>
  <conditionalFormatting sqref="P269:Q269">
    <cfRule type="containsText" dxfId="9" priority="45923" operator="containsText" text="No">
      <formula>NOT(ISERROR(SEARCH(("No"),(P269))))</formula>
    </cfRule>
  </conditionalFormatting>
  <conditionalFormatting sqref="P269:Q269">
    <cfRule type="containsText" dxfId="9" priority="45924" operator="containsText" text="No">
      <formula>NOT(ISERROR(SEARCH(("No"),(P269))))</formula>
    </cfRule>
  </conditionalFormatting>
  <conditionalFormatting sqref="P269:Q269">
    <cfRule type="containsText" dxfId="9" priority="45925" operator="containsText" text="No">
      <formula>NOT(ISERROR(SEARCH(("No"),(P269))))</formula>
    </cfRule>
  </conditionalFormatting>
  <conditionalFormatting sqref="P269:Q269">
    <cfRule type="containsText" dxfId="9" priority="45926" operator="containsText" text="No">
      <formula>NOT(ISERROR(SEARCH(("No"),(P269))))</formula>
    </cfRule>
  </conditionalFormatting>
  <conditionalFormatting sqref="P269:Q269">
    <cfRule type="containsText" dxfId="9" priority="45927" operator="containsText" text="No">
      <formula>NOT(ISERROR(SEARCH(("No"),(P269))))</formula>
    </cfRule>
  </conditionalFormatting>
  <conditionalFormatting sqref="P269:Q269">
    <cfRule type="containsText" dxfId="9" priority="45928" operator="containsText" text="No">
      <formula>NOT(ISERROR(SEARCH(("No"),(P269))))</formula>
    </cfRule>
  </conditionalFormatting>
  <conditionalFormatting sqref="P269:Q269">
    <cfRule type="containsText" dxfId="2" priority="45929" operator="containsText" text="Yes">
      <formula>NOT(ISERROR(SEARCH(("Yes"),(P269))))</formula>
    </cfRule>
  </conditionalFormatting>
  <conditionalFormatting sqref="P269:Q269">
    <cfRule type="containsText" dxfId="2" priority="45930" operator="containsText" text="Yes">
      <formula>NOT(ISERROR(SEARCH(("Yes"),(P269))))</formula>
    </cfRule>
  </conditionalFormatting>
  <conditionalFormatting sqref="P269:Q269">
    <cfRule type="containsText" dxfId="2" priority="45931" operator="containsText" text="Yes">
      <formula>NOT(ISERROR(SEARCH(("Yes"),(P269))))</formula>
    </cfRule>
  </conditionalFormatting>
  <conditionalFormatting sqref="P269:Q269">
    <cfRule type="containsText" dxfId="2" priority="45932" operator="containsText" text="Yes">
      <formula>NOT(ISERROR(SEARCH(("Yes"),(P269))))</formula>
    </cfRule>
  </conditionalFormatting>
  <conditionalFormatting sqref="P269:Q269">
    <cfRule type="containsText" dxfId="2" priority="45933" operator="containsText" text="Yes">
      <formula>NOT(ISERROR(SEARCH(("Yes"),(P269))))</formula>
    </cfRule>
  </conditionalFormatting>
  <conditionalFormatting sqref="P269:Q269">
    <cfRule type="containsText" dxfId="2" priority="45934" operator="containsText" text="Yes">
      <formula>NOT(ISERROR(SEARCH(("Yes"),(P269))))</formula>
    </cfRule>
  </conditionalFormatting>
  <conditionalFormatting sqref="P269:Q269">
    <cfRule type="containsText" dxfId="2" priority="45935" operator="containsText" text="Yes">
      <formula>NOT(ISERROR(SEARCH(("Yes"),(P269))))</formula>
    </cfRule>
  </conditionalFormatting>
  <conditionalFormatting sqref="P269:Q269">
    <cfRule type="containsText" dxfId="2" priority="45936" operator="containsText" text="Yes">
      <formula>NOT(ISERROR(SEARCH(("Yes"),(P269))))</formula>
    </cfRule>
  </conditionalFormatting>
  <conditionalFormatting sqref="P269:Q269">
    <cfRule type="containsText" dxfId="2" priority="45937" operator="containsText" text="Yes">
      <formula>NOT(ISERROR(SEARCH(("Yes"),(P269))))</formula>
    </cfRule>
  </conditionalFormatting>
  <conditionalFormatting sqref="P269:Q269">
    <cfRule type="containsText" dxfId="2" priority="45938" operator="containsText" text="Yes">
      <formula>NOT(ISERROR(SEARCH(("Yes"),(P269))))</formula>
    </cfRule>
  </conditionalFormatting>
  <conditionalFormatting sqref="P269:Q269">
    <cfRule type="containsText" dxfId="2" priority="45939" operator="containsText" text="Yes">
      <formula>NOT(ISERROR(SEARCH(("Yes"),(P269))))</formula>
    </cfRule>
  </conditionalFormatting>
  <conditionalFormatting sqref="P269:Q269">
    <cfRule type="containsText" dxfId="2" priority="45940" operator="containsText" text="Yes">
      <formula>NOT(ISERROR(SEARCH(("Yes"),(P269))))</formula>
    </cfRule>
  </conditionalFormatting>
  <conditionalFormatting sqref="P269:Q269">
    <cfRule type="containsText" dxfId="2" priority="45941" operator="containsText" text="Yes">
      <formula>NOT(ISERROR(SEARCH(("Yes"),(P269))))</formula>
    </cfRule>
  </conditionalFormatting>
  <conditionalFormatting sqref="P269:Q269">
    <cfRule type="containsText" dxfId="2" priority="45942" operator="containsText" text="Yes">
      <formula>NOT(ISERROR(SEARCH(("Yes"),(P269))))</formula>
    </cfRule>
  </conditionalFormatting>
  <conditionalFormatting sqref="P269:Q269">
    <cfRule type="containsText" dxfId="2" priority="45943" operator="containsText" text="Yes">
      <formula>NOT(ISERROR(SEARCH(("Yes"),(P269))))</formula>
    </cfRule>
  </conditionalFormatting>
  <conditionalFormatting sqref="P269:Q269">
    <cfRule type="containsText" dxfId="2" priority="45944" operator="containsText" text="Yes">
      <formula>NOT(ISERROR(SEARCH(("Yes"),(P269))))</formula>
    </cfRule>
  </conditionalFormatting>
  <conditionalFormatting sqref="P269:Q269">
    <cfRule type="containsText" dxfId="2" priority="45945" operator="containsText" text="Yes">
      <formula>NOT(ISERROR(SEARCH(("Yes"),(P269))))</formula>
    </cfRule>
  </conditionalFormatting>
  <conditionalFormatting sqref="P269:Q269">
    <cfRule type="containsText" dxfId="2" priority="45946" operator="containsText" text="Yes">
      <formula>NOT(ISERROR(SEARCH(("Yes"),(P269))))</formula>
    </cfRule>
  </conditionalFormatting>
  <conditionalFormatting sqref="P269:Q269">
    <cfRule type="containsText" dxfId="2" priority="45947" operator="containsText" text="Yes">
      <formula>NOT(ISERROR(SEARCH(("Yes"),(P269))))</formula>
    </cfRule>
  </conditionalFormatting>
  <conditionalFormatting sqref="P269:Q269">
    <cfRule type="containsText" dxfId="2" priority="45948" operator="containsText" text="Yes">
      <formula>NOT(ISERROR(SEARCH(("Yes"),(P269))))</formula>
    </cfRule>
  </conditionalFormatting>
  <conditionalFormatting sqref="P269:Q269">
    <cfRule type="containsText" dxfId="2" priority="45949" operator="containsText" text="Yes">
      <formula>NOT(ISERROR(SEARCH(("Yes"),(P269))))</formula>
    </cfRule>
  </conditionalFormatting>
  <conditionalFormatting sqref="P269:Q269">
    <cfRule type="containsText" dxfId="2" priority="45950" operator="containsText" text="Yes">
      <formula>NOT(ISERROR(SEARCH(("Yes"),(P269))))</formula>
    </cfRule>
  </conditionalFormatting>
  <conditionalFormatting sqref="P269:Q269">
    <cfRule type="containsText" dxfId="2" priority="45951" operator="containsText" text="Yes">
      <formula>NOT(ISERROR(SEARCH(("Yes"),(P269))))</formula>
    </cfRule>
  </conditionalFormatting>
  <conditionalFormatting sqref="P269:Q269">
    <cfRule type="containsText" dxfId="2" priority="45952" operator="containsText" text="Yes">
      <formula>NOT(ISERROR(SEARCH(("Yes"),(P269))))</formula>
    </cfRule>
  </conditionalFormatting>
  <conditionalFormatting sqref="P269:Q269">
    <cfRule type="containsText" dxfId="2" priority="45953" operator="containsText" text="Yes">
      <formula>NOT(ISERROR(SEARCH(("Yes"),(P269))))</formula>
    </cfRule>
  </conditionalFormatting>
  <conditionalFormatting sqref="P269:Q269">
    <cfRule type="containsText" dxfId="2" priority="45954" operator="containsText" text="Yes">
      <formula>NOT(ISERROR(SEARCH(("Yes"),(P269))))</formula>
    </cfRule>
  </conditionalFormatting>
  <conditionalFormatting sqref="P269:Q269">
    <cfRule type="containsText" dxfId="2" priority="45955" operator="containsText" text="Yes">
      <formula>NOT(ISERROR(SEARCH(("Yes"),(P269))))</formula>
    </cfRule>
  </conditionalFormatting>
  <conditionalFormatting sqref="P269:Q269">
    <cfRule type="containsText" dxfId="2" priority="45956" operator="containsText" text="Yes">
      <formula>NOT(ISERROR(SEARCH(("Yes"),(P269))))</formula>
    </cfRule>
  </conditionalFormatting>
  <conditionalFormatting sqref="P269:Q269">
    <cfRule type="containsText" dxfId="2" priority="45957" operator="containsText" text="Yes">
      <formula>NOT(ISERROR(SEARCH(("Yes"),(P269))))</formula>
    </cfRule>
  </conditionalFormatting>
  <conditionalFormatting sqref="P269:Q269">
    <cfRule type="containsText" dxfId="2" priority="45958" operator="containsText" text="Yes">
      <formula>NOT(ISERROR(SEARCH(("Yes"),(P269))))</formula>
    </cfRule>
  </conditionalFormatting>
  <conditionalFormatting sqref="P269:Q269">
    <cfRule type="containsText" dxfId="2" priority="45959" operator="containsText" text="Yes">
      <formula>NOT(ISERROR(SEARCH(("Yes"),(P269))))</formula>
    </cfRule>
  </conditionalFormatting>
  <conditionalFormatting sqref="P269:Q269">
    <cfRule type="containsText" dxfId="2" priority="45960" operator="containsText" text="Yes">
      <formula>NOT(ISERROR(SEARCH(("Yes"),(P269))))</formula>
    </cfRule>
  </conditionalFormatting>
  <conditionalFormatting sqref="P269:Q269">
    <cfRule type="containsText" dxfId="2" priority="45961" operator="containsText" text="Yes">
      <formula>NOT(ISERROR(SEARCH(("Yes"),(P269))))</formula>
    </cfRule>
  </conditionalFormatting>
  <conditionalFormatting sqref="P269:Q269">
    <cfRule type="containsText" dxfId="2" priority="45962" operator="containsText" text="Yes">
      <formula>NOT(ISERROR(SEARCH(("Yes"),(P269))))</formula>
    </cfRule>
  </conditionalFormatting>
  <conditionalFormatting sqref="P269:Q269">
    <cfRule type="containsText" dxfId="2" priority="45963" operator="containsText" text="Yes">
      <formula>NOT(ISERROR(SEARCH(("Yes"),(P269))))</formula>
    </cfRule>
  </conditionalFormatting>
  <conditionalFormatting sqref="P269:Q269">
    <cfRule type="containsText" dxfId="2" priority="45964" operator="containsText" text="Yes">
      <formula>NOT(ISERROR(SEARCH(("Yes"),(P269))))</formula>
    </cfRule>
  </conditionalFormatting>
  <conditionalFormatting sqref="P269:Q269">
    <cfRule type="containsText" dxfId="2" priority="45965" operator="containsText" text="Yes">
      <formula>NOT(ISERROR(SEARCH(("Yes"),(P269))))</formula>
    </cfRule>
  </conditionalFormatting>
  <conditionalFormatting sqref="P269:Q269">
    <cfRule type="containsText" dxfId="2" priority="45966" operator="containsText" text="Yes">
      <formula>NOT(ISERROR(SEARCH(("Yes"),(P269))))</formula>
    </cfRule>
  </conditionalFormatting>
  <conditionalFormatting sqref="P269:Q269">
    <cfRule type="containsText" dxfId="2" priority="45967" operator="containsText" text="Yes">
      <formula>NOT(ISERROR(SEARCH(("Yes"),(P269))))</formula>
    </cfRule>
  </conditionalFormatting>
  <conditionalFormatting sqref="P269:Q269">
    <cfRule type="containsText" dxfId="2" priority="45968" operator="containsText" text="Yes">
      <formula>NOT(ISERROR(SEARCH(("Yes"),(P269))))</formula>
    </cfRule>
  </conditionalFormatting>
  <conditionalFormatting sqref="P269:Q269">
    <cfRule type="containsText" dxfId="2" priority="45969" operator="containsText" text="Yes">
      <formula>NOT(ISERROR(SEARCH(("Yes"),(P269))))</formula>
    </cfRule>
  </conditionalFormatting>
  <conditionalFormatting sqref="P269:Q269">
    <cfRule type="containsText" dxfId="2" priority="45970" operator="containsText" text="Yes">
      <formula>NOT(ISERROR(SEARCH(("Yes"),(P269))))</formula>
    </cfRule>
  </conditionalFormatting>
  <conditionalFormatting sqref="P269:Q269">
    <cfRule type="containsText" dxfId="2" priority="45971" operator="containsText" text="Yes">
      <formula>NOT(ISERROR(SEARCH(("Yes"),(P269))))</formula>
    </cfRule>
  </conditionalFormatting>
  <conditionalFormatting sqref="P269:Q269">
    <cfRule type="containsText" dxfId="2" priority="45972" operator="containsText" text="Yes">
      <formula>NOT(ISERROR(SEARCH(("Yes"),(P269))))</formula>
    </cfRule>
  </conditionalFormatting>
  <conditionalFormatting sqref="P269:Q269">
    <cfRule type="containsText" dxfId="2" priority="45973" operator="containsText" text="Yes">
      <formula>NOT(ISERROR(SEARCH(("Yes"),(P269))))</formula>
    </cfRule>
  </conditionalFormatting>
  <conditionalFormatting sqref="P269:Q269">
    <cfRule type="containsText" dxfId="2" priority="45974" operator="containsText" text="Yes">
      <formula>NOT(ISERROR(SEARCH(("Yes"),(P269))))</formula>
    </cfRule>
  </conditionalFormatting>
  <conditionalFormatting sqref="P269:Q269">
    <cfRule type="containsText" dxfId="2" priority="45975" operator="containsText" text="Yes">
      <formula>NOT(ISERROR(SEARCH(("Yes"),(P269))))</formula>
    </cfRule>
  </conditionalFormatting>
  <conditionalFormatting sqref="P270:Q271">
    <cfRule type="containsText" dxfId="9" priority="45976" operator="containsText" text="No">
      <formula>NOT(ISERROR(SEARCH(("No"),(P270))))</formula>
    </cfRule>
  </conditionalFormatting>
  <conditionalFormatting sqref="P270:Q271">
    <cfRule type="containsText" dxfId="9" priority="45977" operator="containsText" text="No">
      <formula>NOT(ISERROR(SEARCH(("No"),(P270))))</formula>
    </cfRule>
  </conditionalFormatting>
  <conditionalFormatting sqref="P270:Q271">
    <cfRule type="containsText" dxfId="9" priority="45978" operator="containsText" text="No">
      <formula>NOT(ISERROR(SEARCH(("No"),(P270))))</formula>
    </cfRule>
  </conditionalFormatting>
  <conditionalFormatting sqref="P270:Q271">
    <cfRule type="containsText" dxfId="9" priority="45979" operator="containsText" text="No">
      <formula>NOT(ISERROR(SEARCH(("No"),(P270))))</formula>
    </cfRule>
  </conditionalFormatting>
  <conditionalFormatting sqref="P270:Q271">
    <cfRule type="containsText" dxfId="9" priority="45980" operator="containsText" text="No">
      <formula>NOT(ISERROR(SEARCH(("No"),(P270))))</formula>
    </cfRule>
  </conditionalFormatting>
  <conditionalFormatting sqref="P270:Q271">
    <cfRule type="containsText" dxfId="9" priority="45981" operator="containsText" text="No">
      <formula>NOT(ISERROR(SEARCH(("No"),(P270))))</formula>
    </cfRule>
  </conditionalFormatting>
  <conditionalFormatting sqref="P270:Q271">
    <cfRule type="containsText" dxfId="9" priority="45982" operator="containsText" text="No">
      <formula>NOT(ISERROR(SEARCH(("No"),(P270))))</formula>
    </cfRule>
  </conditionalFormatting>
  <conditionalFormatting sqref="P270:Q271">
    <cfRule type="containsText" dxfId="9" priority="45983" operator="containsText" text="No">
      <formula>NOT(ISERROR(SEARCH(("No"),(P270))))</formula>
    </cfRule>
  </conditionalFormatting>
  <conditionalFormatting sqref="P270:Q271">
    <cfRule type="containsText" dxfId="9" priority="45984" operator="containsText" text="No">
      <formula>NOT(ISERROR(SEARCH(("No"),(P270))))</formula>
    </cfRule>
  </conditionalFormatting>
  <conditionalFormatting sqref="P270:Q271">
    <cfRule type="containsText" dxfId="9" priority="45985" operator="containsText" text="No">
      <formula>NOT(ISERROR(SEARCH(("No"),(P270))))</formula>
    </cfRule>
  </conditionalFormatting>
  <conditionalFormatting sqref="P270:Q271">
    <cfRule type="containsText" dxfId="9" priority="45986" operator="containsText" text="No">
      <formula>NOT(ISERROR(SEARCH(("No"),(P270))))</formula>
    </cfRule>
  </conditionalFormatting>
  <conditionalFormatting sqref="P270:Q271">
    <cfRule type="containsText" dxfId="9" priority="45987" operator="containsText" text="No">
      <formula>NOT(ISERROR(SEARCH(("No"),(P270))))</formula>
    </cfRule>
  </conditionalFormatting>
  <conditionalFormatting sqref="P270:Q271">
    <cfRule type="containsText" dxfId="9" priority="45988" operator="containsText" text="No">
      <formula>NOT(ISERROR(SEARCH(("No"),(P270))))</formula>
    </cfRule>
  </conditionalFormatting>
  <conditionalFormatting sqref="P270:Q271">
    <cfRule type="containsText" dxfId="9" priority="45989" operator="containsText" text="No">
      <formula>NOT(ISERROR(SEARCH(("No"),(P270))))</formula>
    </cfRule>
  </conditionalFormatting>
  <conditionalFormatting sqref="P270:Q271">
    <cfRule type="containsText" dxfId="9" priority="45990" operator="containsText" text="No">
      <formula>NOT(ISERROR(SEARCH(("No"),(P270))))</formula>
    </cfRule>
  </conditionalFormatting>
  <conditionalFormatting sqref="P270:Q271">
    <cfRule type="containsText" dxfId="9" priority="45991" operator="containsText" text="No">
      <formula>NOT(ISERROR(SEARCH(("No"),(P270))))</formula>
    </cfRule>
  </conditionalFormatting>
  <conditionalFormatting sqref="P270:Q271">
    <cfRule type="containsText" dxfId="9" priority="45992" operator="containsText" text="No">
      <formula>NOT(ISERROR(SEARCH(("No"),(P270))))</formula>
    </cfRule>
  </conditionalFormatting>
  <conditionalFormatting sqref="P270:Q271">
    <cfRule type="containsText" dxfId="9" priority="45993" operator="containsText" text="No">
      <formula>NOT(ISERROR(SEARCH(("No"),(P270))))</formula>
    </cfRule>
  </conditionalFormatting>
  <conditionalFormatting sqref="P270:Q271">
    <cfRule type="containsText" dxfId="9" priority="45994" operator="containsText" text="No">
      <formula>NOT(ISERROR(SEARCH(("No"),(P270))))</formula>
    </cfRule>
  </conditionalFormatting>
  <conditionalFormatting sqref="P270:Q271">
    <cfRule type="containsText" dxfId="9" priority="45995" operator="containsText" text="No">
      <formula>NOT(ISERROR(SEARCH(("No"),(P270))))</formula>
    </cfRule>
  </conditionalFormatting>
  <conditionalFormatting sqref="P270:Q271">
    <cfRule type="containsText" dxfId="9" priority="45996" operator="containsText" text="No">
      <formula>NOT(ISERROR(SEARCH(("No"),(P270))))</formula>
    </cfRule>
  </conditionalFormatting>
  <conditionalFormatting sqref="P270:Q271">
    <cfRule type="containsText" dxfId="9" priority="45997" operator="containsText" text="No">
      <formula>NOT(ISERROR(SEARCH(("No"),(P270))))</formula>
    </cfRule>
  </conditionalFormatting>
  <conditionalFormatting sqref="P270:Q271">
    <cfRule type="containsText" dxfId="9" priority="45998" operator="containsText" text="No">
      <formula>NOT(ISERROR(SEARCH(("No"),(P270))))</formula>
    </cfRule>
  </conditionalFormatting>
  <conditionalFormatting sqref="P270:Q271">
    <cfRule type="containsText" dxfId="9" priority="45999" operator="containsText" text="No">
      <formula>NOT(ISERROR(SEARCH(("No"),(P270))))</formula>
    </cfRule>
  </conditionalFormatting>
  <conditionalFormatting sqref="P270:Q271">
    <cfRule type="containsText" dxfId="9" priority="46000" operator="containsText" text="No">
      <formula>NOT(ISERROR(SEARCH(("No"),(P270))))</formula>
    </cfRule>
  </conditionalFormatting>
  <conditionalFormatting sqref="P270:Q271">
    <cfRule type="containsText" dxfId="9" priority="46001" operator="containsText" text="No">
      <formula>NOT(ISERROR(SEARCH(("No"),(P270))))</formula>
    </cfRule>
  </conditionalFormatting>
  <conditionalFormatting sqref="P270:Q271">
    <cfRule type="containsText" dxfId="9" priority="46002" operator="containsText" text="No">
      <formula>NOT(ISERROR(SEARCH(("No"),(P270))))</formula>
    </cfRule>
  </conditionalFormatting>
  <conditionalFormatting sqref="P270:Q271">
    <cfRule type="containsText" dxfId="9" priority="46003" operator="containsText" text="No">
      <formula>NOT(ISERROR(SEARCH(("No"),(P270))))</formula>
    </cfRule>
  </conditionalFormatting>
  <conditionalFormatting sqref="P270:Q271">
    <cfRule type="containsText" dxfId="9" priority="46004" operator="containsText" text="No">
      <formula>NOT(ISERROR(SEARCH(("No"),(P270))))</formula>
    </cfRule>
  </conditionalFormatting>
  <conditionalFormatting sqref="P270:Q271">
    <cfRule type="containsText" dxfId="9" priority="46005" operator="containsText" text="No">
      <formula>NOT(ISERROR(SEARCH(("No"),(P270))))</formula>
    </cfRule>
  </conditionalFormatting>
  <conditionalFormatting sqref="P270:Q271">
    <cfRule type="containsText" dxfId="9" priority="46006" operator="containsText" text="No">
      <formula>NOT(ISERROR(SEARCH(("No"),(P270))))</formula>
    </cfRule>
  </conditionalFormatting>
  <conditionalFormatting sqref="P270:Q271">
    <cfRule type="containsText" dxfId="9" priority="46007" operator="containsText" text="No">
      <formula>NOT(ISERROR(SEARCH(("No"),(P270))))</formula>
    </cfRule>
  </conditionalFormatting>
  <conditionalFormatting sqref="P270:Q271">
    <cfRule type="containsText" dxfId="9" priority="46008" operator="containsText" text="No">
      <formula>NOT(ISERROR(SEARCH(("No"),(P270))))</formula>
    </cfRule>
  </conditionalFormatting>
  <conditionalFormatting sqref="P270:Q271">
    <cfRule type="containsText" dxfId="9" priority="46009" operator="containsText" text="No">
      <formula>NOT(ISERROR(SEARCH(("No"),(P270))))</formula>
    </cfRule>
  </conditionalFormatting>
  <conditionalFormatting sqref="P270:Q271">
    <cfRule type="containsText" dxfId="9" priority="46010" operator="containsText" text="No">
      <formula>NOT(ISERROR(SEARCH(("No"),(P270))))</formula>
    </cfRule>
  </conditionalFormatting>
  <conditionalFormatting sqref="P270:Q271">
    <cfRule type="containsText" dxfId="9" priority="46011" operator="containsText" text="No">
      <formula>NOT(ISERROR(SEARCH(("No"),(P270))))</formula>
    </cfRule>
  </conditionalFormatting>
  <conditionalFormatting sqref="P270:Q271">
    <cfRule type="containsText" dxfId="9" priority="46012" operator="containsText" text="No">
      <formula>NOT(ISERROR(SEARCH(("No"),(P270))))</formula>
    </cfRule>
  </conditionalFormatting>
  <conditionalFormatting sqref="P270:Q271">
    <cfRule type="containsText" dxfId="9" priority="46013" operator="containsText" text="No">
      <formula>NOT(ISERROR(SEARCH(("No"),(P270))))</formula>
    </cfRule>
  </conditionalFormatting>
  <conditionalFormatting sqref="P270:Q271">
    <cfRule type="containsText" dxfId="9" priority="46014" operator="containsText" text="No">
      <formula>NOT(ISERROR(SEARCH(("No"),(P270))))</formula>
    </cfRule>
  </conditionalFormatting>
  <conditionalFormatting sqref="P270:Q271">
    <cfRule type="containsText" dxfId="9" priority="46015" operator="containsText" text="No">
      <formula>NOT(ISERROR(SEARCH(("No"),(P270))))</formula>
    </cfRule>
  </conditionalFormatting>
  <conditionalFormatting sqref="P270:Q271">
    <cfRule type="containsText" dxfId="9" priority="46016" operator="containsText" text="No">
      <formula>NOT(ISERROR(SEARCH(("No"),(P270))))</formula>
    </cfRule>
  </conditionalFormatting>
  <conditionalFormatting sqref="P270:Q271">
    <cfRule type="containsText" dxfId="9" priority="46017" operator="containsText" text="No">
      <formula>NOT(ISERROR(SEARCH(("No"),(P270))))</formula>
    </cfRule>
  </conditionalFormatting>
  <conditionalFormatting sqref="P270:Q271">
    <cfRule type="containsText" dxfId="9" priority="46018" operator="containsText" text="No">
      <formula>NOT(ISERROR(SEARCH(("No"),(P270))))</formula>
    </cfRule>
  </conditionalFormatting>
  <conditionalFormatting sqref="P270:Q271">
    <cfRule type="containsText" dxfId="9" priority="46019" operator="containsText" text="No">
      <formula>NOT(ISERROR(SEARCH(("No"),(P270))))</formula>
    </cfRule>
  </conditionalFormatting>
  <conditionalFormatting sqref="P270:Q271">
    <cfRule type="containsText" dxfId="9" priority="46020" operator="containsText" text="No">
      <formula>NOT(ISERROR(SEARCH(("No"),(P270))))</formula>
    </cfRule>
  </conditionalFormatting>
  <conditionalFormatting sqref="P270:Q271">
    <cfRule type="containsText" dxfId="2" priority="46021" operator="containsText" text="Yes">
      <formula>NOT(ISERROR(SEARCH(("Yes"),(P270))))</formula>
    </cfRule>
  </conditionalFormatting>
  <conditionalFormatting sqref="P270:Q271">
    <cfRule type="containsText" dxfId="2" priority="46022" operator="containsText" text="Yes">
      <formula>NOT(ISERROR(SEARCH(("Yes"),(P270))))</formula>
    </cfRule>
  </conditionalFormatting>
  <conditionalFormatting sqref="P270:Q271">
    <cfRule type="containsText" dxfId="2" priority="46023" operator="containsText" text="Yes">
      <formula>NOT(ISERROR(SEARCH(("Yes"),(P270))))</formula>
    </cfRule>
  </conditionalFormatting>
  <conditionalFormatting sqref="P270:Q271">
    <cfRule type="containsText" dxfId="2" priority="46024" operator="containsText" text="Yes">
      <formula>NOT(ISERROR(SEARCH(("Yes"),(P270))))</formula>
    </cfRule>
  </conditionalFormatting>
  <conditionalFormatting sqref="P270:Q271">
    <cfRule type="containsText" dxfId="2" priority="46025" operator="containsText" text="Yes">
      <formula>NOT(ISERROR(SEARCH(("Yes"),(P270))))</formula>
    </cfRule>
  </conditionalFormatting>
  <conditionalFormatting sqref="P270:Q271">
    <cfRule type="containsText" dxfId="2" priority="46026" operator="containsText" text="Yes">
      <formula>NOT(ISERROR(SEARCH(("Yes"),(P270))))</formula>
    </cfRule>
  </conditionalFormatting>
  <conditionalFormatting sqref="P270:Q271">
    <cfRule type="containsText" dxfId="2" priority="46027" operator="containsText" text="Yes">
      <formula>NOT(ISERROR(SEARCH(("Yes"),(P270))))</formula>
    </cfRule>
  </conditionalFormatting>
  <conditionalFormatting sqref="P270:Q271">
    <cfRule type="containsText" dxfId="2" priority="46028" operator="containsText" text="Yes">
      <formula>NOT(ISERROR(SEARCH(("Yes"),(P270))))</formula>
    </cfRule>
  </conditionalFormatting>
  <conditionalFormatting sqref="P270:Q271">
    <cfRule type="containsText" dxfId="2" priority="46029" operator="containsText" text="Yes">
      <formula>NOT(ISERROR(SEARCH(("Yes"),(P270))))</formula>
    </cfRule>
  </conditionalFormatting>
  <conditionalFormatting sqref="P270:Q271">
    <cfRule type="containsText" dxfId="2" priority="46030" operator="containsText" text="Yes">
      <formula>NOT(ISERROR(SEARCH(("Yes"),(P270))))</formula>
    </cfRule>
  </conditionalFormatting>
  <conditionalFormatting sqref="P270:Q271">
    <cfRule type="containsText" dxfId="2" priority="46031" operator="containsText" text="Yes">
      <formula>NOT(ISERROR(SEARCH(("Yes"),(P270))))</formula>
    </cfRule>
  </conditionalFormatting>
  <conditionalFormatting sqref="P270:Q271">
    <cfRule type="containsText" dxfId="2" priority="46032" operator="containsText" text="Yes">
      <formula>NOT(ISERROR(SEARCH(("Yes"),(P270))))</formula>
    </cfRule>
  </conditionalFormatting>
  <conditionalFormatting sqref="P270:Q271">
    <cfRule type="containsText" dxfId="2" priority="46033" operator="containsText" text="Yes">
      <formula>NOT(ISERROR(SEARCH(("Yes"),(P270))))</formula>
    </cfRule>
  </conditionalFormatting>
  <conditionalFormatting sqref="P270:Q271">
    <cfRule type="containsText" dxfId="2" priority="46034" operator="containsText" text="Yes">
      <formula>NOT(ISERROR(SEARCH(("Yes"),(P270))))</formula>
    </cfRule>
  </conditionalFormatting>
  <conditionalFormatting sqref="P270:Q271">
    <cfRule type="containsText" dxfId="2" priority="46035" operator="containsText" text="Yes">
      <formula>NOT(ISERROR(SEARCH(("Yes"),(P270))))</formula>
    </cfRule>
  </conditionalFormatting>
  <conditionalFormatting sqref="P270:Q271">
    <cfRule type="containsText" dxfId="2" priority="46036" operator="containsText" text="Yes">
      <formula>NOT(ISERROR(SEARCH(("Yes"),(P270))))</formula>
    </cfRule>
  </conditionalFormatting>
  <conditionalFormatting sqref="P270:Q271">
    <cfRule type="containsText" dxfId="2" priority="46037" operator="containsText" text="Yes">
      <formula>NOT(ISERROR(SEARCH(("Yes"),(P270))))</formula>
    </cfRule>
  </conditionalFormatting>
  <conditionalFormatting sqref="P270:Q271">
    <cfRule type="containsText" dxfId="2" priority="46038" operator="containsText" text="Yes">
      <formula>NOT(ISERROR(SEARCH(("Yes"),(P270))))</formula>
    </cfRule>
  </conditionalFormatting>
  <conditionalFormatting sqref="P270:Q271">
    <cfRule type="containsText" dxfId="2" priority="46039" operator="containsText" text="Yes">
      <formula>NOT(ISERROR(SEARCH(("Yes"),(P270))))</formula>
    </cfRule>
  </conditionalFormatting>
  <conditionalFormatting sqref="P270:Q271">
    <cfRule type="containsText" dxfId="2" priority="46040" operator="containsText" text="Yes">
      <formula>NOT(ISERROR(SEARCH(("Yes"),(P270))))</formula>
    </cfRule>
  </conditionalFormatting>
  <conditionalFormatting sqref="P270:Q271">
    <cfRule type="containsText" dxfId="2" priority="46041" operator="containsText" text="Yes">
      <formula>NOT(ISERROR(SEARCH(("Yes"),(P270))))</formula>
    </cfRule>
  </conditionalFormatting>
  <conditionalFormatting sqref="P270:Q271">
    <cfRule type="containsText" dxfId="2" priority="46042" operator="containsText" text="Yes">
      <formula>NOT(ISERROR(SEARCH(("Yes"),(P270))))</formula>
    </cfRule>
  </conditionalFormatting>
  <conditionalFormatting sqref="P270:Q271">
    <cfRule type="containsText" dxfId="2" priority="46043" operator="containsText" text="Yes">
      <formula>NOT(ISERROR(SEARCH(("Yes"),(P270))))</formula>
    </cfRule>
  </conditionalFormatting>
  <conditionalFormatting sqref="P270:Q271">
    <cfRule type="containsText" dxfId="2" priority="46044" operator="containsText" text="Yes">
      <formula>NOT(ISERROR(SEARCH(("Yes"),(P270))))</formula>
    </cfRule>
  </conditionalFormatting>
  <conditionalFormatting sqref="P270:Q271">
    <cfRule type="containsText" dxfId="2" priority="46045" operator="containsText" text="Yes">
      <formula>NOT(ISERROR(SEARCH(("Yes"),(P270))))</formula>
    </cfRule>
  </conditionalFormatting>
  <conditionalFormatting sqref="P270:Q271">
    <cfRule type="containsText" dxfId="2" priority="46046" operator="containsText" text="Yes">
      <formula>NOT(ISERROR(SEARCH(("Yes"),(P270))))</formula>
    </cfRule>
  </conditionalFormatting>
  <conditionalFormatting sqref="P270:Q271">
    <cfRule type="containsText" dxfId="2" priority="46047" operator="containsText" text="Yes">
      <formula>NOT(ISERROR(SEARCH(("Yes"),(P270))))</formula>
    </cfRule>
  </conditionalFormatting>
  <conditionalFormatting sqref="P270:Q271">
    <cfRule type="containsText" dxfId="2" priority="46048" operator="containsText" text="Yes">
      <formula>NOT(ISERROR(SEARCH(("Yes"),(P270))))</formula>
    </cfRule>
  </conditionalFormatting>
  <conditionalFormatting sqref="P270:Q271">
    <cfRule type="containsText" dxfId="2" priority="46049" operator="containsText" text="Yes">
      <formula>NOT(ISERROR(SEARCH(("Yes"),(P270))))</formula>
    </cfRule>
  </conditionalFormatting>
  <conditionalFormatting sqref="P270:Q271">
    <cfRule type="containsText" dxfId="2" priority="46050" operator="containsText" text="Yes">
      <formula>NOT(ISERROR(SEARCH(("Yes"),(P270))))</formula>
    </cfRule>
  </conditionalFormatting>
  <conditionalFormatting sqref="P270:Q271">
    <cfRule type="containsText" dxfId="2" priority="46051" operator="containsText" text="Yes">
      <formula>NOT(ISERROR(SEARCH(("Yes"),(P270))))</formula>
    </cfRule>
  </conditionalFormatting>
  <conditionalFormatting sqref="P270:Q271">
    <cfRule type="containsText" dxfId="2" priority="46052" operator="containsText" text="Yes">
      <formula>NOT(ISERROR(SEARCH(("Yes"),(P270))))</formula>
    </cfRule>
  </conditionalFormatting>
  <conditionalFormatting sqref="P270:Q271">
    <cfRule type="containsText" dxfId="2" priority="46053" operator="containsText" text="Yes">
      <formula>NOT(ISERROR(SEARCH(("Yes"),(P270))))</formula>
    </cfRule>
  </conditionalFormatting>
  <conditionalFormatting sqref="P270:Q271">
    <cfRule type="containsText" dxfId="2" priority="46054" operator="containsText" text="Yes">
      <formula>NOT(ISERROR(SEARCH(("Yes"),(P270))))</formula>
    </cfRule>
  </conditionalFormatting>
  <conditionalFormatting sqref="P270:Q271">
    <cfRule type="containsText" dxfId="2" priority="46055" operator="containsText" text="Yes">
      <formula>NOT(ISERROR(SEARCH(("Yes"),(P270))))</formula>
    </cfRule>
  </conditionalFormatting>
  <conditionalFormatting sqref="P270:Q271">
    <cfRule type="containsText" dxfId="2" priority="46056" operator="containsText" text="Yes">
      <formula>NOT(ISERROR(SEARCH(("Yes"),(P270))))</formula>
    </cfRule>
  </conditionalFormatting>
  <conditionalFormatting sqref="P270:Q271">
    <cfRule type="containsText" dxfId="2" priority="46057" operator="containsText" text="Yes">
      <formula>NOT(ISERROR(SEARCH(("Yes"),(P270))))</formula>
    </cfRule>
  </conditionalFormatting>
  <conditionalFormatting sqref="P270:Q271">
    <cfRule type="containsText" dxfId="2" priority="46058" operator="containsText" text="Yes">
      <formula>NOT(ISERROR(SEARCH(("Yes"),(P270))))</formula>
    </cfRule>
  </conditionalFormatting>
  <conditionalFormatting sqref="P270:Q271">
    <cfRule type="containsText" dxfId="2" priority="46059" operator="containsText" text="Yes">
      <formula>NOT(ISERROR(SEARCH(("Yes"),(P270))))</formula>
    </cfRule>
  </conditionalFormatting>
  <conditionalFormatting sqref="P270:Q271">
    <cfRule type="containsText" dxfId="2" priority="46060" operator="containsText" text="Yes">
      <formula>NOT(ISERROR(SEARCH(("Yes"),(P270))))</formula>
    </cfRule>
  </conditionalFormatting>
  <conditionalFormatting sqref="P270:Q271">
    <cfRule type="containsText" dxfId="2" priority="46061" operator="containsText" text="Yes">
      <formula>NOT(ISERROR(SEARCH(("Yes"),(P270))))</formula>
    </cfRule>
  </conditionalFormatting>
  <conditionalFormatting sqref="P270:Q271">
    <cfRule type="containsText" dxfId="2" priority="46062" operator="containsText" text="Yes">
      <formula>NOT(ISERROR(SEARCH(("Yes"),(P270))))</formula>
    </cfRule>
  </conditionalFormatting>
  <conditionalFormatting sqref="P270:Q271">
    <cfRule type="containsText" dxfId="2" priority="46063" operator="containsText" text="Yes">
      <formula>NOT(ISERROR(SEARCH(("Yes"),(P270))))</formula>
    </cfRule>
  </conditionalFormatting>
  <conditionalFormatting sqref="P270:Q271">
    <cfRule type="containsText" dxfId="2" priority="46064" operator="containsText" text="Yes">
      <formula>NOT(ISERROR(SEARCH(("Yes"),(P270))))</formula>
    </cfRule>
  </conditionalFormatting>
  <conditionalFormatting sqref="P270:Q271">
    <cfRule type="containsText" dxfId="2" priority="46065" operator="containsText" text="Yes">
      <formula>NOT(ISERROR(SEARCH(("Yes"),(P270))))</formula>
    </cfRule>
  </conditionalFormatting>
  <conditionalFormatting sqref="P270:Q271">
    <cfRule type="containsText" dxfId="2" priority="46066" operator="containsText" text="Yes">
      <formula>NOT(ISERROR(SEARCH(("Yes"),(P270))))</formula>
    </cfRule>
  </conditionalFormatting>
  <conditionalFormatting sqref="P270:Q271">
    <cfRule type="containsText" dxfId="2" priority="46067" operator="containsText" text="Yes">
      <formula>NOT(ISERROR(SEARCH(("Yes"),(P270))))</formula>
    </cfRule>
  </conditionalFormatting>
  <conditionalFormatting sqref="P263">
    <cfRule type="containsText" dxfId="9" priority="46068" operator="containsText" text="No">
      <formula>NOT(ISERROR(SEARCH(("No"),(P263))))</formula>
    </cfRule>
  </conditionalFormatting>
  <conditionalFormatting sqref="P263">
    <cfRule type="containsText" dxfId="9" priority="46069" operator="containsText" text="No">
      <formula>NOT(ISERROR(SEARCH(("No"),(P263))))</formula>
    </cfRule>
  </conditionalFormatting>
  <conditionalFormatting sqref="P263">
    <cfRule type="containsText" dxfId="9" priority="46070" operator="containsText" text="No">
      <formula>NOT(ISERROR(SEARCH(("No"),(P263))))</formula>
    </cfRule>
  </conditionalFormatting>
  <conditionalFormatting sqref="P263">
    <cfRule type="containsText" dxfId="9" priority="46071" operator="containsText" text="No">
      <formula>NOT(ISERROR(SEARCH(("No"),(P263))))</formula>
    </cfRule>
  </conditionalFormatting>
  <conditionalFormatting sqref="P263">
    <cfRule type="containsText" dxfId="9" priority="46072" operator="containsText" text="No">
      <formula>NOT(ISERROR(SEARCH(("No"),(P263))))</formula>
    </cfRule>
  </conditionalFormatting>
  <conditionalFormatting sqref="P263">
    <cfRule type="containsText" dxfId="9" priority="46073" operator="containsText" text="No">
      <formula>NOT(ISERROR(SEARCH(("No"),(P263))))</formula>
    </cfRule>
  </conditionalFormatting>
  <conditionalFormatting sqref="P263">
    <cfRule type="containsText" dxfId="9" priority="46074" operator="containsText" text="No">
      <formula>NOT(ISERROR(SEARCH(("No"),(P263))))</formula>
    </cfRule>
  </conditionalFormatting>
  <conditionalFormatting sqref="P263">
    <cfRule type="containsText" dxfId="9" priority="46075" operator="containsText" text="No">
      <formula>NOT(ISERROR(SEARCH(("No"),(P263))))</formula>
    </cfRule>
  </conditionalFormatting>
  <conditionalFormatting sqref="P263">
    <cfRule type="containsText" dxfId="9" priority="46076" operator="containsText" text="No">
      <formula>NOT(ISERROR(SEARCH(("No"),(P263))))</formula>
    </cfRule>
  </conditionalFormatting>
  <conditionalFormatting sqref="P263">
    <cfRule type="containsText" dxfId="9" priority="46077" operator="containsText" text="No">
      <formula>NOT(ISERROR(SEARCH(("No"),(P263))))</formula>
    </cfRule>
  </conditionalFormatting>
  <conditionalFormatting sqref="P263">
    <cfRule type="containsText" dxfId="9" priority="46078" operator="containsText" text="No">
      <formula>NOT(ISERROR(SEARCH(("No"),(P263))))</formula>
    </cfRule>
  </conditionalFormatting>
  <conditionalFormatting sqref="P263">
    <cfRule type="containsText" dxfId="9" priority="46079" operator="containsText" text="No">
      <formula>NOT(ISERROR(SEARCH(("No"),(P263))))</formula>
    </cfRule>
  </conditionalFormatting>
  <conditionalFormatting sqref="P263">
    <cfRule type="containsText" dxfId="9" priority="46080" operator="containsText" text="No">
      <formula>NOT(ISERROR(SEARCH(("No"),(P263))))</formula>
    </cfRule>
  </conditionalFormatting>
  <conditionalFormatting sqref="P263">
    <cfRule type="containsText" dxfId="9" priority="46081" operator="containsText" text="No">
      <formula>NOT(ISERROR(SEARCH(("No"),(P263))))</formula>
    </cfRule>
  </conditionalFormatting>
  <conditionalFormatting sqref="P263">
    <cfRule type="containsText" dxfId="9" priority="46082" operator="containsText" text="No">
      <formula>NOT(ISERROR(SEARCH(("No"),(P263))))</formula>
    </cfRule>
  </conditionalFormatting>
  <conditionalFormatting sqref="P263">
    <cfRule type="containsText" dxfId="9" priority="46083" operator="containsText" text="No">
      <formula>NOT(ISERROR(SEARCH(("No"),(P263))))</formula>
    </cfRule>
  </conditionalFormatting>
  <conditionalFormatting sqref="P263">
    <cfRule type="containsText" dxfId="9" priority="46084" operator="containsText" text="No">
      <formula>NOT(ISERROR(SEARCH(("No"),(P263))))</formula>
    </cfRule>
  </conditionalFormatting>
  <conditionalFormatting sqref="P263">
    <cfRule type="containsText" dxfId="9" priority="46085" operator="containsText" text="No">
      <formula>NOT(ISERROR(SEARCH(("No"),(P263))))</formula>
    </cfRule>
  </conditionalFormatting>
  <conditionalFormatting sqref="P263">
    <cfRule type="containsText" dxfId="9" priority="46086" operator="containsText" text="No">
      <formula>NOT(ISERROR(SEARCH(("No"),(P263))))</formula>
    </cfRule>
  </conditionalFormatting>
  <conditionalFormatting sqref="P263">
    <cfRule type="containsText" dxfId="9" priority="46087" operator="containsText" text="No">
      <formula>NOT(ISERROR(SEARCH(("No"),(P263))))</formula>
    </cfRule>
  </conditionalFormatting>
  <conditionalFormatting sqref="P263">
    <cfRule type="containsText" dxfId="9" priority="46088" operator="containsText" text="No">
      <formula>NOT(ISERROR(SEARCH(("No"),(P263))))</formula>
    </cfRule>
  </conditionalFormatting>
  <conditionalFormatting sqref="P263">
    <cfRule type="containsText" dxfId="9" priority="46089" operator="containsText" text="No">
      <formula>NOT(ISERROR(SEARCH(("No"),(P263))))</formula>
    </cfRule>
  </conditionalFormatting>
  <conditionalFormatting sqref="P263">
    <cfRule type="containsText" dxfId="9" priority="46090" operator="containsText" text="No">
      <formula>NOT(ISERROR(SEARCH(("No"),(P263))))</formula>
    </cfRule>
  </conditionalFormatting>
  <conditionalFormatting sqref="P263">
    <cfRule type="containsText" dxfId="9" priority="46091" operator="containsText" text="No">
      <formula>NOT(ISERROR(SEARCH(("No"),(P263))))</formula>
    </cfRule>
  </conditionalFormatting>
  <conditionalFormatting sqref="P263">
    <cfRule type="containsText" dxfId="9" priority="46092" operator="containsText" text="No">
      <formula>NOT(ISERROR(SEARCH(("No"),(P263))))</formula>
    </cfRule>
  </conditionalFormatting>
  <conditionalFormatting sqref="P263">
    <cfRule type="containsText" dxfId="9" priority="46093" operator="containsText" text="No">
      <formula>NOT(ISERROR(SEARCH(("No"),(P263))))</formula>
    </cfRule>
  </conditionalFormatting>
  <conditionalFormatting sqref="P263">
    <cfRule type="containsText" dxfId="9" priority="46094" operator="containsText" text="No">
      <formula>NOT(ISERROR(SEARCH(("No"),(P263))))</formula>
    </cfRule>
  </conditionalFormatting>
  <conditionalFormatting sqref="P263">
    <cfRule type="containsText" dxfId="9" priority="46095" operator="containsText" text="No">
      <formula>NOT(ISERROR(SEARCH(("No"),(P263))))</formula>
    </cfRule>
  </conditionalFormatting>
  <conditionalFormatting sqref="P263">
    <cfRule type="containsText" dxfId="9" priority="46096" operator="containsText" text="No">
      <formula>NOT(ISERROR(SEARCH(("No"),(P263))))</formula>
    </cfRule>
  </conditionalFormatting>
  <conditionalFormatting sqref="P263">
    <cfRule type="containsText" dxfId="9" priority="46097" operator="containsText" text="No">
      <formula>NOT(ISERROR(SEARCH(("No"),(P263))))</formula>
    </cfRule>
  </conditionalFormatting>
  <conditionalFormatting sqref="P263">
    <cfRule type="containsText" dxfId="9" priority="46098" operator="containsText" text="No">
      <formula>NOT(ISERROR(SEARCH(("No"),(P263))))</formula>
    </cfRule>
  </conditionalFormatting>
  <conditionalFormatting sqref="P263">
    <cfRule type="containsText" dxfId="9" priority="46099" operator="containsText" text="No">
      <formula>NOT(ISERROR(SEARCH(("No"),(P263))))</formula>
    </cfRule>
  </conditionalFormatting>
  <conditionalFormatting sqref="P263">
    <cfRule type="containsText" dxfId="9" priority="46100" operator="containsText" text="No">
      <formula>NOT(ISERROR(SEARCH(("No"),(P263))))</formula>
    </cfRule>
  </conditionalFormatting>
  <conditionalFormatting sqref="P263">
    <cfRule type="containsText" dxfId="9" priority="46101" operator="containsText" text="No">
      <formula>NOT(ISERROR(SEARCH(("No"),(P263))))</formula>
    </cfRule>
  </conditionalFormatting>
  <conditionalFormatting sqref="P263">
    <cfRule type="containsText" dxfId="9" priority="46102" operator="containsText" text="No">
      <formula>NOT(ISERROR(SEARCH(("No"),(P263))))</formula>
    </cfRule>
  </conditionalFormatting>
  <conditionalFormatting sqref="P263">
    <cfRule type="containsText" dxfId="9" priority="46103" operator="containsText" text="No">
      <formula>NOT(ISERROR(SEARCH(("No"),(P263))))</formula>
    </cfRule>
  </conditionalFormatting>
  <conditionalFormatting sqref="P263">
    <cfRule type="containsText" dxfId="9" priority="46104" operator="containsText" text="No">
      <formula>NOT(ISERROR(SEARCH(("No"),(P263))))</formula>
    </cfRule>
  </conditionalFormatting>
  <conditionalFormatting sqref="P263">
    <cfRule type="containsText" dxfId="9" priority="46105" operator="containsText" text="No">
      <formula>NOT(ISERROR(SEARCH(("No"),(P263))))</formula>
    </cfRule>
  </conditionalFormatting>
  <conditionalFormatting sqref="P263">
    <cfRule type="containsText" dxfId="9" priority="46106" operator="containsText" text="No">
      <formula>NOT(ISERROR(SEARCH(("No"),(P263))))</formula>
    </cfRule>
  </conditionalFormatting>
  <conditionalFormatting sqref="P263">
    <cfRule type="containsText" dxfId="9" priority="46107" operator="containsText" text="No">
      <formula>NOT(ISERROR(SEARCH(("No"),(P263))))</formula>
    </cfRule>
  </conditionalFormatting>
  <conditionalFormatting sqref="P263">
    <cfRule type="containsText" dxfId="9" priority="46108" operator="containsText" text="No">
      <formula>NOT(ISERROR(SEARCH(("No"),(P263))))</formula>
    </cfRule>
  </conditionalFormatting>
  <conditionalFormatting sqref="P263">
    <cfRule type="containsText" dxfId="9" priority="46109" operator="containsText" text="No">
      <formula>NOT(ISERROR(SEARCH(("No"),(P263))))</formula>
    </cfRule>
  </conditionalFormatting>
  <conditionalFormatting sqref="P263">
    <cfRule type="containsText" dxfId="9" priority="46110" operator="containsText" text="No">
      <formula>NOT(ISERROR(SEARCH(("No"),(P263))))</formula>
    </cfRule>
  </conditionalFormatting>
  <conditionalFormatting sqref="P263">
    <cfRule type="containsText" dxfId="9" priority="46111" operator="containsText" text="No">
      <formula>NOT(ISERROR(SEARCH(("No"),(P263))))</formula>
    </cfRule>
  </conditionalFormatting>
  <conditionalFormatting sqref="P263">
    <cfRule type="containsText" dxfId="9" priority="46112" operator="containsText" text="No">
      <formula>NOT(ISERROR(SEARCH(("No"),(P263))))</formula>
    </cfRule>
  </conditionalFormatting>
  <conditionalFormatting sqref="P263">
    <cfRule type="containsText" dxfId="2" priority="46113" operator="containsText" text="Yes">
      <formula>NOT(ISERROR(SEARCH(("Yes"),(P263))))</formula>
    </cfRule>
  </conditionalFormatting>
  <conditionalFormatting sqref="P263">
    <cfRule type="containsText" dxfId="2" priority="46114" operator="containsText" text="Yes">
      <formula>NOT(ISERROR(SEARCH(("Yes"),(P263))))</formula>
    </cfRule>
  </conditionalFormatting>
  <conditionalFormatting sqref="P263">
    <cfRule type="containsText" dxfId="2" priority="46115" operator="containsText" text="Yes">
      <formula>NOT(ISERROR(SEARCH(("Yes"),(P263))))</formula>
    </cfRule>
  </conditionalFormatting>
  <conditionalFormatting sqref="P263">
    <cfRule type="containsText" dxfId="2" priority="46116" operator="containsText" text="Yes">
      <formula>NOT(ISERROR(SEARCH(("Yes"),(P263))))</formula>
    </cfRule>
  </conditionalFormatting>
  <conditionalFormatting sqref="P263">
    <cfRule type="containsText" dxfId="2" priority="46117" operator="containsText" text="Yes">
      <formula>NOT(ISERROR(SEARCH(("Yes"),(P263))))</formula>
    </cfRule>
  </conditionalFormatting>
  <conditionalFormatting sqref="P263">
    <cfRule type="containsText" dxfId="2" priority="46118" operator="containsText" text="Yes">
      <formula>NOT(ISERROR(SEARCH(("Yes"),(P263))))</formula>
    </cfRule>
  </conditionalFormatting>
  <conditionalFormatting sqref="P263">
    <cfRule type="containsText" dxfId="2" priority="46119" operator="containsText" text="Yes">
      <formula>NOT(ISERROR(SEARCH(("Yes"),(P263))))</formula>
    </cfRule>
  </conditionalFormatting>
  <conditionalFormatting sqref="P263">
    <cfRule type="containsText" dxfId="2" priority="46120" operator="containsText" text="Yes">
      <formula>NOT(ISERROR(SEARCH(("Yes"),(P263))))</formula>
    </cfRule>
  </conditionalFormatting>
  <conditionalFormatting sqref="P263">
    <cfRule type="containsText" dxfId="2" priority="46121" operator="containsText" text="Yes">
      <formula>NOT(ISERROR(SEARCH(("Yes"),(P263))))</formula>
    </cfRule>
  </conditionalFormatting>
  <conditionalFormatting sqref="P263">
    <cfRule type="containsText" dxfId="2" priority="46122" operator="containsText" text="Yes">
      <formula>NOT(ISERROR(SEARCH(("Yes"),(P263))))</formula>
    </cfRule>
  </conditionalFormatting>
  <conditionalFormatting sqref="P263">
    <cfRule type="containsText" dxfId="2" priority="46123" operator="containsText" text="Yes">
      <formula>NOT(ISERROR(SEARCH(("Yes"),(P263))))</formula>
    </cfRule>
  </conditionalFormatting>
  <conditionalFormatting sqref="P263">
    <cfRule type="containsText" dxfId="2" priority="46124" operator="containsText" text="Yes">
      <formula>NOT(ISERROR(SEARCH(("Yes"),(P263))))</formula>
    </cfRule>
  </conditionalFormatting>
  <conditionalFormatting sqref="P263">
    <cfRule type="containsText" dxfId="2" priority="46125" operator="containsText" text="Yes">
      <formula>NOT(ISERROR(SEARCH(("Yes"),(P263))))</formula>
    </cfRule>
  </conditionalFormatting>
  <conditionalFormatting sqref="P263">
    <cfRule type="containsText" dxfId="2" priority="46126" operator="containsText" text="Yes">
      <formula>NOT(ISERROR(SEARCH(("Yes"),(P263))))</formula>
    </cfRule>
  </conditionalFormatting>
  <conditionalFormatting sqref="P263">
    <cfRule type="containsText" dxfId="2" priority="46127" operator="containsText" text="Yes">
      <formula>NOT(ISERROR(SEARCH(("Yes"),(P263))))</formula>
    </cfRule>
  </conditionalFormatting>
  <conditionalFormatting sqref="P263">
    <cfRule type="containsText" dxfId="2" priority="46128" operator="containsText" text="Yes">
      <formula>NOT(ISERROR(SEARCH(("Yes"),(P263))))</formula>
    </cfRule>
  </conditionalFormatting>
  <conditionalFormatting sqref="P263">
    <cfRule type="containsText" dxfId="2" priority="46129" operator="containsText" text="Yes">
      <formula>NOT(ISERROR(SEARCH(("Yes"),(P263))))</formula>
    </cfRule>
  </conditionalFormatting>
  <conditionalFormatting sqref="P263">
    <cfRule type="containsText" dxfId="2" priority="46130" operator="containsText" text="Yes">
      <formula>NOT(ISERROR(SEARCH(("Yes"),(P263))))</formula>
    </cfRule>
  </conditionalFormatting>
  <conditionalFormatting sqref="P263">
    <cfRule type="containsText" dxfId="2" priority="46131" operator="containsText" text="Yes">
      <formula>NOT(ISERROR(SEARCH(("Yes"),(P263))))</formula>
    </cfRule>
  </conditionalFormatting>
  <conditionalFormatting sqref="P263">
    <cfRule type="containsText" dxfId="2" priority="46132" operator="containsText" text="Yes">
      <formula>NOT(ISERROR(SEARCH(("Yes"),(P263))))</formula>
    </cfRule>
  </conditionalFormatting>
  <conditionalFormatting sqref="P263">
    <cfRule type="containsText" dxfId="2" priority="46133" operator="containsText" text="Yes">
      <formula>NOT(ISERROR(SEARCH(("Yes"),(P263))))</formula>
    </cfRule>
  </conditionalFormatting>
  <conditionalFormatting sqref="P263">
    <cfRule type="containsText" dxfId="2" priority="46134" operator="containsText" text="Yes">
      <formula>NOT(ISERROR(SEARCH(("Yes"),(P263))))</formula>
    </cfRule>
  </conditionalFormatting>
  <conditionalFormatting sqref="P263">
    <cfRule type="containsText" dxfId="2" priority="46135" operator="containsText" text="Yes">
      <formula>NOT(ISERROR(SEARCH(("Yes"),(P263))))</formula>
    </cfRule>
  </conditionalFormatting>
  <conditionalFormatting sqref="P263">
    <cfRule type="containsText" dxfId="2" priority="46136" operator="containsText" text="Yes">
      <formula>NOT(ISERROR(SEARCH(("Yes"),(P263))))</formula>
    </cfRule>
  </conditionalFormatting>
  <conditionalFormatting sqref="P263">
    <cfRule type="containsText" dxfId="2" priority="46137" operator="containsText" text="Yes">
      <formula>NOT(ISERROR(SEARCH(("Yes"),(P263))))</formula>
    </cfRule>
  </conditionalFormatting>
  <conditionalFormatting sqref="P263">
    <cfRule type="containsText" dxfId="2" priority="46138" operator="containsText" text="Yes">
      <formula>NOT(ISERROR(SEARCH(("Yes"),(P263))))</formula>
    </cfRule>
  </conditionalFormatting>
  <conditionalFormatting sqref="P263">
    <cfRule type="containsText" dxfId="2" priority="46139" operator="containsText" text="Yes">
      <formula>NOT(ISERROR(SEARCH(("Yes"),(P263))))</formula>
    </cfRule>
  </conditionalFormatting>
  <conditionalFormatting sqref="P263">
    <cfRule type="containsText" dxfId="2" priority="46140" operator="containsText" text="Yes">
      <formula>NOT(ISERROR(SEARCH(("Yes"),(P263))))</formula>
    </cfRule>
  </conditionalFormatting>
  <conditionalFormatting sqref="P263">
    <cfRule type="containsText" dxfId="2" priority="46141" operator="containsText" text="Yes">
      <formula>NOT(ISERROR(SEARCH(("Yes"),(P263))))</formula>
    </cfRule>
  </conditionalFormatting>
  <conditionalFormatting sqref="P263">
    <cfRule type="containsText" dxfId="2" priority="46142" operator="containsText" text="Yes">
      <formula>NOT(ISERROR(SEARCH(("Yes"),(P263))))</formula>
    </cfRule>
  </conditionalFormatting>
  <conditionalFormatting sqref="P263">
    <cfRule type="containsText" dxfId="2" priority="46143" operator="containsText" text="Yes">
      <formula>NOT(ISERROR(SEARCH(("Yes"),(P263))))</formula>
    </cfRule>
  </conditionalFormatting>
  <conditionalFormatting sqref="P263">
    <cfRule type="containsText" dxfId="2" priority="46144" operator="containsText" text="Yes">
      <formula>NOT(ISERROR(SEARCH(("Yes"),(P263))))</formula>
    </cfRule>
  </conditionalFormatting>
  <conditionalFormatting sqref="P263">
    <cfRule type="containsText" dxfId="2" priority="46145" operator="containsText" text="Yes">
      <formula>NOT(ISERROR(SEARCH(("Yes"),(P263))))</formula>
    </cfRule>
  </conditionalFormatting>
  <conditionalFormatting sqref="P263">
    <cfRule type="containsText" dxfId="2" priority="46146" operator="containsText" text="Yes">
      <formula>NOT(ISERROR(SEARCH(("Yes"),(P263))))</formula>
    </cfRule>
  </conditionalFormatting>
  <conditionalFormatting sqref="P263">
    <cfRule type="containsText" dxfId="2" priority="46147" operator="containsText" text="Yes">
      <formula>NOT(ISERROR(SEARCH(("Yes"),(P263))))</formula>
    </cfRule>
  </conditionalFormatting>
  <conditionalFormatting sqref="P263">
    <cfRule type="containsText" dxfId="2" priority="46148" operator="containsText" text="Yes">
      <formula>NOT(ISERROR(SEARCH(("Yes"),(P263))))</formula>
    </cfRule>
  </conditionalFormatting>
  <conditionalFormatting sqref="P263">
    <cfRule type="containsText" dxfId="2" priority="46149" operator="containsText" text="Yes">
      <formula>NOT(ISERROR(SEARCH(("Yes"),(P263))))</formula>
    </cfRule>
  </conditionalFormatting>
  <conditionalFormatting sqref="P263">
    <cfRule type="containsText" dxfId="2" priority="46150" operator="containsText" text="Yes">
      <formula>NOT(ISERROR(SEARCH(("Yes"),(P263))))</formula>
    </cfRule>
  </conditionalFormatting>
  <conditionalFormatting sqref="P263">
    <cfRule type="containsText" dxfId="2" priority="46151" operator="containsText" text="Yes">
      <formula>NOT(ISERROR(SEARCH(("Yes"),(P263))))</formula>
    </cfRule>
  </conditionalFormatting>
  <conditionalFormatting sqref="P263">
    <cfRule type="containsText" dxfId="2" priority="46152" operator="containsText" text="Yes">
      <formula>NOT(ISERROR(SEARCH(("Yes"),(P263))))</formula>
    </cfRule>
  </conditionalFormatting>
  <conditionalFormatting sqref="P263">
    <cfRule type="containsText" dxfId="2" priority="46153" operator="containsText" text="Yes">
      <formula>NOT(ISERROR(SEARCH(("Yes"),(P263))))</formula>
    </cfRule>
  </conditionalFormatting>
  <conditionalFormatting sqref="P263">
    <cfRule type="containsText" dxfId="2" priority="46154" operator="containsText" text="Yes">
      <formula>NOT(ISERROR(SEARCH(("Yes"),(P263))))</formula>
    </cfRule>
  </conditionalFormatting>
  <conditionalFormatting sqref="P263">
    <cfRule type="containsText" dxfId="2" priority="46155" operator="containsText" text="Yes">
      <formula>NOT(ISERROR(SEARCH(("Yes"),(P263))))</formula>
    </cfRule>
  </conditionalFormatting>
  <conditionalFormatting sqref="P263">
    <cfRule type="containsText" dxfId="2" priority="46156" operator="containsText" text="Yes">
      <formula>NOT(ISERROR(SEARCH(("Yes"),(P263))))</formula>
    </cfRule>
  </conditionalFormatting>
  <conditionalFormatting sqref="P263">
    <cfRule type="containsText" dxfId="2" priority="46157" operator="containsText" text="Yes">
      <formula>NOT(ISERROR(SEARCH(("Yes"),(P263))))</formula>
    </cfRule>
  </conditionalFormatting>
  <conditionalFormatting sqref="P263">
    <cfRule type="containsText" dxfId="2" priority="46158" operator="containsText" text="Yes">
      <formula>NOT(ISERROR(SEARCH(("Yes"),(P263))))</formula>
    </cfRule>
  </conditionalFormatting>
  <conditionalFormatting sqref="P263">
    <cfRule type="containsText" dxfId="2" priority="46159" operator="containsText" text="Yes">
      <formula>NOT(ISERROR(SEARCH(("Yes"),(P263))))</formula>
    </cfRule>
  </conditionalFormatting>
  <conditionalFormatting sqref="O271:O274 O276:O282 O286 O295 O300 O329 P283:Q284 P287:Q292 P294:Q294 P304:Q304 P307:Q307 P310:Q311 P313:Q316 P318:Q318 P321:Q322 P343:Q346">
    <cfRule type="containsText" dxfId="9" priority="46160" operator="containsText" text="No">
      <formula>NOT(ISERROR(SEARCH(("No"),(O271))))</formula>
    </cfRule>
  </conditionalFormatting>
  <conditionalFormatting sqref="O271:O274 O276:O282 O286 O295 O300 O329 P283:Q284 P287:Q292 P294:Q294 P304:Q304 P307:Q307 P310:Q311 P313:Q316 P318:Q318 P321:Q322 P343:Q346">
    <cfRule type="containsText" dxfId="9" priority="46161" operator="containsText" text="No">
      <formula>NOT(ISERROR(SEARCH(("No"),(O271))))</formula>
    </cfRule>
  </conditionalFormatting>
  <conditionalFormatting sqref="O271:O274 O276:O282 O286 O295 O300 O329 P283:Q284 P287:Q292 P294:Q294 P304:Q304 P307:Q307 P310:Q311 P313:Q316 P318:Q318 P321:Q322 P343:Q346">
    <cfRule type="containsText" dxfId="9" priority="46162" operator="containsText" text="No">
      <formula>NOT(ISERROR(SEARCH(("No"),(O271))))</formula>
    </cfRule>
  </conditionalFormatting>
  <conditionalFormatting sqref="O271:O274 O276:O282 O286 O295 O300 O329 P283:Q284 P287:Q292 P294:Q294 P304:Q304 P307:Q307 P310:Q311 P313:Q316 P318:Q318 P321:Q322 P343:Q346">
    <cfRule type="containsText" dxfId="2" priority="46163" operator="containsText" text="Yes">
      <formula>NOT(ISERROR(SEARCH(("Yes"),(O271))))</formula>
    </cfRule>
  </conditionalFormatting>
  <conditionalFormatting sqref="O271:O274 O276:O282 O286 O295 O300 O329 P283:Q284 P287:Q292 P294:Q294 P304:Q304 P307:Q307 P310:Q311 P313:Q316 P318:Q318 P321:Q322 P343:Q346">
    <cfRule type="containsText" dxfId="2" priority="46164" operator="containsText" text="Yes">
      <formula>NOT(ISERROR(SEARCH(("Yes"),(O271))))</formula>
    </cfRule>
  </conditionalFormatting>
  <conditionalFormatting sqref="O271:O274 O276:O282 O286 O295 O300 O329 P283:Q284 P287:Q292 P294:Q294 P304:Q304 P307:Q307 P310:Q311 P313:Q316 P318:Q318 P321:Q322 P343:Q346">
    <cfRule type="containsText" dxfId="2" priority="46165" operator="containsText" text="Yes">
      <formula>NOT(ISERROR(SEARCH(("Yes"),(O271))))</formula>
    </cfRule>
  </conditionalFormatting>
  <conditionalFormatting sqref="O271:O274 O276:O282 O286 O295 O300 O329 P283:Q284 P287:Q292 P294:Q294 P304:Q304 P307:Q307 P310:Q311 P313:Q316 P318:Q318 P321:Q322 P343:Q346">
    <cfRule type="containsText" dxfId="2" priority="46166" operator="containsText" text="Yes">
      <formula>NOT(ISERROR(SEARCH(("Yes"),(O271))))</formula>
    </cfRule>
  </conditionalFormatting>
  <conditionalFormatting sqref="O271:O274 O276:O282 O286 O295 O300 O329 P283:Q284 P287:Q292 P294:Q294 P304:Q304 P307:Q307 P310:Q311 P313:Q316 P318:Q318 P321:Q322 P343:Q346">
    <cfRule type="containsText" dxfId="2" priority="46167" operator="containsText" text="Yes">
      <formula>NOT(ISERROR(SEARCH(("Yes"),(O271))))</formula>
    </cfRule>
  </conditionalFormatting>
  <conditionalFormatting sqref="O271:O274 O276:O282 O286 O295 O300 O329 P283:Q284 P287:Q292 P294:Q294 P304:Q304 P307:Q307 P310:Q311 P313:Q316 P318:Q318 P321:Q322 P343:Q346">
    <cfRule type="containsText" dxfId="9" priority="46168" operator="containsText" text="No">
      <formula>NOT(ISERROR(SEARCH(("No"),(O271))))</formula>
    </cfRule>
  </conditionalFormatting>
  <conditionalFormatting sqref="O271:O274 O276:O282 O286 O295 O300 O329 P283:Q284 P287:Q292 P294:Q294 P304:Q304 P307:Q307 P310:Q311 P313:Q316 P318:Q318 P321:Q322 P343:Q346">
    <cfRule type="containsText" dxfId="9" priority="46169" operator="containsText" text="No">
      <formula>NOT(ISERROR(SEARCH(("No"),(O271))))</formula>
    </cfRule>
  </conditionalFormatting>
  <conditionalFormatting sqref="O271:O274 O276:O282 O286 O295 O300 O329 P283:Q284 P287:Q292 P294:Q294 P304:Q304 P307:Q307 P310:Q311 P313:Q316 P318:Q318 P321:Q322 P343:Q346">
    <cfRule type="containsText" dxfId="2" priority="46170" operator="containsText" text="Yes">
      <formula>NOT(ISERROR(SEARCH(("Yes"),(O271))))</formula>
    </cfRule>
  </conditionalFormatting>
  <conditionalFormatting sqref="P271:Q271">
    <cfRule type="containsText" dxfId="9" priority="46171" operator="containsText" text="No">
      <formula>NOT(ISERROR(SEARCH(("No"),(P271))))</formula>
    </cfRule>
  </conditionalFormatting>
  <conditionalFormatting sqref="P271:Q271">
    <cfRule type="containsText" dxfId="9" priority="46172" operator="containsText" text="No">
      <formula>NOT(ISERROR(SEARCH(("No"),(P271))))</formula>
    </cfRule>
  </conditionalFormatting>
  <conditionalFormatting sqref="P271:Q271">
    <cfRule type="containsText" dxfId="9" priority="46173" operator="containsText" text="No">
      <formula>NOT(ISERROR(SEARCH(("No"),(P271))))</formula>
    </cfRule>
  </conditionalFormatting>
  <conditionalFormatting sqref="P271:Q271">
    <cfRule type="containsText" dxfId="9" priority="46174" operator="containsText" text="No">
      <formula>NOT(ISERROR(SEARCH(("No"),(P271))))</formula>
    </cfRule>
  </conditionalFormatting>
  <conditionalFormatting sqref="P271:Q271">
    <cfRule type="containsText" dxfId="9" priority="46175" operator="containsText" text="No">
      <formula>NOT(ISERROR(SEARCH(("No"),(P271))))</formula>
    </cfRule>
  </conditionalFormatting>
  <conditionalFormatting sqref="P271:Q271">
    <cfRule type="containsText" dxfId="9" priority="46176" operator="containsText" text="No">
      <formula>NOT(ISERROR(SEARCH(("No"),(P271))))</formula>
    </cfRule>
  </conditionalFormatting>
  <conditionalFormatting sqref="P271:Q271">
    <cfRule type="containsText" dxfId="9" priority="46177" operator="containsText" text="No">
      <formula>NOT(ISERROR(SEARCH(("No"),(P271))))</formula>
    </cfRule>
  </conditionalFormatting>
  <conditionalFormatting sqref="P271:Q271">
    <cfRule type="containsText" dxfId="9" priority="46178" operator="containsText" text="No">
      <formula>NOT(ISERROR(SEARCH(("No"),(P271))))</formula>
    </cfRule>
  </conditionalFormatting>
  <conditionalFormatting sqref="P271:Q271">
    <cfRule type="containsText" dxfId="9" priority="46179" operator="containsText" text="No">
      <formula>NOT(ISERROR(SEARCH(("No"),(P271))))</formula>
    </cfRule>
  </conditionalFormatting>
  <conditionalFormatting sqref="P271:Q271">
    <cfRule type="containsText" dxfId="9" priority="46180" operator="containsText" text="No">
      <formula>NOT(ISERROR(SEARCH(("No"),(P271))))</formula>
    </cfRule>
  </conditionalFormatting>
  <conditionalFormatting sqref="P271:Q271">
    <cfRule type="containsText" dxfId="9" priority="46181" operator="containsText" text="No">
      <formula>NOT(ISERROR(SEARCH(("No"),(P271))))</formula>
    </cfRule>
  </conditionalFormatting>
  <conditionalFormatting sqref="P271:Q271">
    <cfRule type="containsText" dxfId="9" priority="46182" operator="containsText" text="No">
      <formula>NOT(ISERROR(SEARCH(("No"),(P271))))</formula>
    </cfRule>
  </conditionalFormatting>
  <conditionalFormatting sqref="P271:Q271">
    <cfRule type="containsText" dxfId="9" priority="46183" operator="containsText" text="No">
      <formula>NOT(ISERROR(SEARCH(("No"),(P271))))</formula>
    </cfRule>
  </conditionalFormatting>
  <conditionalFormatting sqref="P271:Q271">
    <cfRule type="containsText" dxfId="9" priority="46184" operator="containsText" text="No">
      <formula>NOT(ISERROR(SEARCH(("No"),(P271))))</formula>
    </cfRule>
  </conditionalFormatting>
  <conditionalFormatting sqref="P271:Q271">
    <cfRule type="containsText" dxfId="9" priority="46185" operator="containsText" text="No">
      <formula>NOT(ISERROR(SEARCH(("No"),(P271))))</formula>
    </cfRule>
  </conditionalFormatting>
  <conditionalFormatting sqref="P271:Q271">
    <cfRule type="containsText" dxfId="9" priority="46186" operator="containsText" text="No">
      <formula>NOT(ISERROR(SEARCH(("No"),(P271))))</formula>
    </cfRule>
  </conditionalFormatting>
  <conditionalFormatting sqref="P271:Q271">
    <cfRule type="containsText" dxfId="9" priority="46187" operator="containsText" text="No">
      <formula>NOT(ISERROR(SEARCH(("No"),(P271))))</formula>
    </cfRule>
  </conditionalFormatting>
  <conditionalFormatting sqref="P271:Q271">
    <cfRule type="containsText" dxfId="9" priority="46188" operator="containsText" text="No">
      <formula>NOT(ISERROR(SEARCH(("No"),(P271))))</formula>
    </cfRule>
  </conditionalFormatting>
  <conditionalFormatting sqref="P271:Q271">
    <cfRule type="containsText" dxfId="9" priority="46189" operator="containsText" text="No">
      <formula>NOT(ISERROR(SEARCH(("No"),(P271))))</formula>
    </cfRule>
  </conditionalFormatting>
  <conditionalFormatting sqref="P271:Q271">
    <cfRule type="containsText" dxfId="9" priority="46190" operator="containsText" text="No">
      <formula>NOT(ISERROR(SEARCH(("No"),(P271))))</formula>
    </cfRule>
  </conditionalFormatting>
  <conditionalFormatting sqref="P271:Q271">
    <cfRule type="containsText" dxfId="9" priority="46191" operator="containsText" text="No">
      <formula>NOT(ISERROR(SEARCH(("No"),(P271))))</formula>
    </cfRule>
  </conditionalFormatting>
  <conditionalFormatting sqref="P271:Q271">
    <cfRule type="containsText" dxfId="9" priority="46192" operator="containsText" text="No">
      <formula>NOT(ISERROR(SEARCH(("No"),(P271))))</formula>
    </cfRule>
  </conditionalFormatting>
  <conditionalFormatting sqref="P271:Q271">
    <cfRule type="containsText" dxfId="9" priority="46193" operator="containsText" text="No">
      <formula>NOT(ISERROR(SEARCH(("No"),(P271))))</formula>
    </cfRule>
  </conditionalFormatting>
  <conditionalFormatting sqref="P271:Q271">
    <cfRule type="containsText" dxfId="9" priority="46194" operator="containsText" text="No">
      <formula>NOT(ISERROR(SEARCH(("No"),(P271))))</formula>
    </cfRule>
  </conditionalFormatting>
  <conditionalFormatting sqref="P271:Q271">
    <cfRule type="containsText" dxfId="9" priority="46195" operator="containsText" text="No">
      <formula>NOT(ISERROR(SEARCH(("No"),(P271))))</formula>
    </cfRule>
  </conditionalFormatting>
  <conditionalFormatting sqref="P271:Q271">
    <cfRule type="containsText" dxfId="9" priority="46196" operator="containsText" text="No">
      <formula>NOT(ISERROR(SEARCH(("No"),(P271))))</formula>
    </cfRule>
  </conditionalFormatting>
  <conditionalFormatting sqref="P271:Q271">
    <cfRule type="containsText" dxfId="9" priority="46197" operator="containsText" text="No">
      <formula>NOT(ISERROR(SEARCH(("No"),(P271))))</formula>
    </cfRule>
  </conditionalFormatting>
  <conditionalFormatting sqref="P271:Q271">
    <cfRule type="containsText" dxfId="9" priority="46198" operator="containsText" text="No">
      <formula>NOT(ISERROR(SEARCH(("No"),(P271))))</formula>
    </cfRule>
  </conditionalFormatting>
  <conditionalFormatting sqref="P271:Q271">
    <cfRule type="containsText" dxfId="9" priority="46199" operator="containsText" text="No">
      <formula>NOT(ISERROR(SEARCH(("No"),(P271))))</formula>
    </cfRule>
  </conditionalFormatting>
  <conditionalFormatting sqref="P271:Q271">
    <cfRule type="containsText" dxfId="9" priority="46200" operator="containsText" text="No">
      <formula>NOT(ISERROR(SEARCH(("No"),(P271))))</formula>
    </cfRule>
  </conditionalFormatting>
  <conditionalFormatting sqref="P271:Q271">
    <cfRule type="containsText" dxfId="9" priority="46201" operator="containsText" text="No">
      <formula>NOT(ISERROR(SEARCH(("No"),(P271))))</formula>
    </cfRule>
  </conditionalFormatting>
  <conditionalFormatting sqref="P271:Q271">
    <cfRule type="containsText" dxfId="9" priority="46202" operator="containsText" text="No">
      <formula>NOT(ISERROR(SEARCH(("No"),(P271))))</formula>
    </cfRule>
  </conditionalFormatting>
  <conditionalFormatting sqref="P271:Q271">
    <cfRule type="containsText" dxfId="9" priority="46203" operator="containsText" text="No">
      <formula>NOT(ISERROR(SEARCH(("No"),(P271))))</formula>
    </cfRule>
  </conditionalFormatting>
  <conditionalFormatting sqref="P271:Q271">
    <cfRule type="containsText" dxfId="9" priority="46204" operator="containsText" text="No">
      <formula>NOT(ISERROR(SEARCH(("No"),(P271))))</formula>
    </cfRule>
  </conditionalFormatting>
  <conditionalFormatting sqref="P271:Q271">
    <cfRule type="containsText" dxfId="9" priority="46205" operator="containsText" text="No">
      <formula>NOT(ISERROR(SEARCH(("No"),(P271))))</formula>
    </cfRule>
  </conditionalFormatting>
  <conditionalFormatting sqref="P271:Q271">
    <cfRule type="containsText" dxfId="9" priority="46206" operator="containsText" text="No">
      <formula>NOT(ISERROR(SEARCH(("No"),(P271))))</formula>
    </cfRule>
  </conditionalFormatting>
  <conditionalFormatting sqref="P271:Q271">
    <cfRule type="containsText" dxfId="9" priority="46207" operator="containsText" text="No">
      <formula>NOT(ISERROR(SEARCH(("No"),(P271))))</formula>
    </cfRule>
  </conditionalFormatting>
  <conditionalFormatting sqref="P271:Q271">
    <cfRule type="containsText" dxfId="9" priority="46208" operator="containsText" text="No">
      <formula>NOT(ISERROR(SEARCH(("No"),(P271))))</formula>
    </cfRule>
  </conditionalFormatting>
  <conditionalFormatting sqref="P271:Q271">
    <cfRule type="containsText" dxfId="9" priority="46209" operator="containsText" text="No">
      <formula>NOT(ISERROR(SEARCH(("No"),(P271))))</formula>
    </cfRule>
  </conditionalFormatting>
  <conditionalFormatting sqref="P271:Q271">
    <cfRule type="containsText" dxfId="9" priority="46210" operator="containsText" text="No">
      <formula>NOT(ISERROR(SEARCH(("No"),(P271))))</formula>
    </cfRule>
  </conditionalFormatting>
  <conditionalFormatting sqref="P271:Q271">
    <cfRule type="containsText" dxfId="9" priority="46211" operator="containsText" text="No">
      <formula>NOT(ISERROR(SEARCH(("No"),(P271))))</formula>
    </cfRule>
  </conditionalFormatting>
  <conditionalFormatting sqref="P271:Q271">
    <cfRule type="containsText" dxfId="9" priority="46212" operator="containsText" text="No">
      <formula>NOT(ISERROR(SEARCH(("No"),(P271))))</formula>
    </cfRule>
  </conditionalFormatting>
  <conditionalFormatting sqref="P271:Q271">
    <cfRule type="containsText" dxfId="9" priority="46213" operator="containsText" text="No">
      <formula>NOT(ISERROR(SEARCH(("No"),(P271))))</formula>
    </cfRule>
  </conditionalFormatting>
  <conditionalFormatting sqref="P271:Q271">
    <cfRule type="containsText" dxfId="9" priority="46214" operator="containsText" text="No">
      <formula>NOT(ISERROR(SEARCH(("No"),(P271))))</formula>
    </cfRule>
  </conditionalFormatting>
  <conditionalFormatting sqref="P271:Q271">
    <cfRule type="containsText" dxfId="9" priority="46215" operator="containsText" text="No">
      <formula>NOT(ISERROR(SEARCH(("No"),(P271))))</formula>
    </cfRule>
  </conditionalFormatting>
  <conditionalFormatting sqref="P271:Q271">
    <cfRule type="containsText" dxfId="2" priority="46216" operator="containsText" text="Yes">
      <formula>NOT(ISERROR(SEARCH(("Yes"),(P271))))</formula>
    </cfRule>
  </conditionalFormatting>
  <conditionalFormatting sqref="P271:Q271">
    <cfRule type="containsText" dxfId="2" priority="46217" operator="containsText" text="Yes">
      <formula>NOT(ISERROR(SEARCH(("Yes"),(P271))))</formula>
    </cfRule>
  </conditionalFormatting>
  <conditionalFormatting sqref="P271:Q271">
    <cfRule type="containsText" dxfId="2" priority="46218" operator="containsText" text="Yes">
      <formula>NOT(ISERROR(SEARCH(("Yes"),(P271))))</formula>
    </cfRule>
  </conditionalFormatting>
  <conditionalFormatting sqref="P271:Q271">
    <cfRule type="containsText" dxfId="2" priority="46219" operator="containsText" text="Yes">
      <formula>NOT(ISERROR(SEARCH(("Yes"),(P271))))</formula>
    </cfRule>
  </conditionalFormatting>
  <conditionalFormatting sqref="P271:Q271">
    <cfRule type="containsText" dxfId="2" priority="46220" operator="containsText" text="Yes">
      <formula>NOT(ISERROR(SEARCH(("Yes"),(P271))))</formula>
    </cfRule>
  </conditionalFormatting>
  <conditionalFormatting sqref="P271:Q271">
    <cfRule type="containsText" dxfId="2" priority="46221" operator="containsText" text="Yes">
      <formula>NOT(ISERROR(SEARCH(("Yes"),(P271))))</formula>
    </cfRule>
  </conditionalFormatting>
  <conditionalFormatting sqref="P271:Q271">
    <cfRule type="containsText" dxfId="2" priority="46222" operator="containsText" text="Yes">
      <formula>NOT(ISERROR(SEARCH(("Yes"),(P271))))</formula>
    </cfRule>
  </conditionalFormatting>
  <conditionalFormatting sqref="P271:Q271">
    <cfRule type="containsText" dxfId="2" priority="46223" operator="containsText" text="Yes">
      <formula>NOT(ISERROR(SEARCH(("Yes"),(P271))))</formula>
    </cfRule>
  </conditionalFormatting>
  <conditionalFormatting sqref="P271:Q271">
    <cfRule type="containsText" dxfId="2" priority="46224" operator="containsText" text="Yes">
      <formula>NOT(ISERROR(SEARCH(("Yes"),(P271))))</formula>
    </cfRule>
  </conditionalFormatting>
  <conditionalFormatting sqref="P271:Q271">
    <cfRule type="containsText" dxfId="2" priority="46225" operator="containsText" text="Yes">
      <formula>NOT(ISERROR(SEARCH(("Yes"),(P271))))</formula>
    </cfRule>
  </conditionalFormatting>
  <conditionalFormatting sqref="P271:Q271">
    <cfRule type="containsText" dxfId="2" priority="46226" operator="containsText" text="Yes">
      <formula>NOT(ISERROR(SEARCH(("Yes"),(P271))))</formula>
    </cfRule>
  </conditionalFormatting>
  <conditionalFormatting sqref="P271:Q271">
    <cfRule type="containsText" dxfId="2" priority="46227" operator="containsText" text="Yes">
      <formula>NOT(ISERROR(SEARCH(("Yes"),(P271))))</formula>
    </cfRule>
  </conditionalFormatting>
  <conditionalFormatting sqref="P271:Q271">
    <cfRule type="containsText" dxfId="2" priority="46228" operator="containsText" text="Yes">
      <formula>NOT(ISERROR(SEARCH(("Yes"),(P271))))</formula>
    </cfRule>
  </conditionalFormatting>
  <conditionalFormatting sqref="P271:Q271">
    <cfRule type="containsText" dxfId="2" priority="46229" operator="containsText" text="Yes">
      <formula>NOT(ISERROR(SEARCH(("Yes"),(P271))))</formula>
    </cfRule>
  </conditionalFormatting>
  <conditionalFormatting sqref="P271:Q271">
    <cfRule type="containsText" dxfId="2" priority="46230" operator="containsText" text="Yes">
      <formula>NOT(ISERROR(SEARCH(("Yes"),(P271))))</formula>
    </cfRule>
  </conditionalFormatting>
  <conditionalFormatting sqref="P271:Q271">
    <cfRule type="containsText" dxfId="2" priority="46231" operator="containsText" text="Yes">
      <formula>NOT(ISERROR(SEARCH(("Yes"),(P271))))</formula>
    </cfRule>
  </conditionalFormatting>
  <conditionalFormatting sqref="P271:Q271">
    <cfRule type="containsText" dxfId="2" priority="46232" operator="containsText" text="Yes">
      <formula>NOT(ISERROR(SEARCH(("Yes"),(P271))))</formula>
    </cfRule>
  </conditionalFormatting>
  <conditionalFormatting sqref="P271:Q271">
    <cfRule type="containsText" dxfId="2" priority="46233" operator="containsText" text="Yes">
      <formula>NOT(ISERROR(SEARCH(("Yes"),(P271))))</formula>
    </cfRule>
  </conditionalFormatting>
  <conditionalFormatting sqref="P271:Q271">
    <cfRule type="containsText" dxfId="2" priority="46234" operator="containsText" text="Yes">
      <formula>NOT(ISERROR(SEARCH(("Yes"),(P271))))</formula>
    </cfRule>
  </conditionalFormatting>
  <conditionalFormatting sqref="P271:Q271">
    <cfRule type="containsText" dxfId="2" priority="46235" operator="containsText" text="Yes">
      <formula>NOT(ISERROR(SEARCH(("Yes"),(P271))))</formula>
    </cfRule>
  </conditionalFormatting>
  <conditionalFormatting sqref="P271:Q271">
    <cfRule type="containsText" dxfId="2" priority="46236" operator="containsText" text="Yes">
      <formula>NOT(ISERROR(SEARCH(("Yes"),(P271))))</formula>
    </cfRule>
  </conditionalFormatting>
  <conditionalFormatting sqref="P271:Q271">
    <cfRule type="containsText" dxfId="2" priority="46237" operator="containsText" text="Yes">
      <formula>NOT(ISERROR(SEARCH(("Yes"),(P271))))</formula>
    </cfRule>
  </conditionalFormatting>
  <conditionalFormatting sqref="P271:Q271">
    <cfRule type="containsText" dxfId="2" priority="46238" operator="containsText" text="Yes">
      <formula>NOT(ISERROR(SEARCH(("Yes"),(P271))))</formula>
    </cfRule>
  </conditionalFormatting>
  <conditionalFormatting sqref="P271:Q271">
    <cfRule type="containsText" dxfId="2" priority="46239" operator="containsText" text="Yes">
      <formula>NOT(ISERROR(SEARCH(("Yes"),(P271))))</formula>
    </cfRule>
  </conditionalFormatting>
  <conditionalFormatting sqref="P271:Q271">
    <cfRule type="containsText" dxfId="2" priority="46240" operator="containsText" text="Yes">
      <formula>NOT(ISERROR(SEARCH(("Yes"),(P271))))</formula>
    </cfRule>
  </conditionalFormatting>
  <conditionalFormatting sqref="P271:Q271">
    <cfRule type="containsText" dxfId="2" priority="46241" operator="containsText" text="Yes">
      <formula>NOT(ISERROR(SEARCH(("Yes"),(P271))))</formula>
    </cfRule>
  </conditionalFormatting>
  <conditionalFormatting sqref="P271:Q271">
    <cfRule type="containsText" dxfId="2" priority="46242" operator="containsText" text="Yes">
      <formula>NOT(ISERROR(SEARCH(("Yes"),(P271))))</formula>
    </cfRule>
  </conditionalFormatting>
  <conditionalFormatting sqref="P271:Q271">
    <cfRule type="containsText" dxfId="2" priority="46243" operator="containsText" text="Yes">
      <formula>NOT(ISERROR(SEARCH(("Yes"),(P271))))</formula>
    </cfRule>
  </conditionalFormatting>
  <conditionalFormatting sqref="P271:Q271">
    <cfRule type="containsText" dxfId="2" priority="46244" operator="containsText" text="Yes">
      <formula>NOT(ISERROR(SEARCH(("Yes"),(P271))))</formula>
    </cfRule>
  </conditionalFormatting>
  <conditionalFormatting sqref="P271:Q271">
    <cfRule type="containsText" dxfId="2" priority="46245" operator="containsText" text="Yes">
      <formula>NOT(ISERROR(SEARCH(("Yes"),(P271))))</formula>
    </cfRule>
  </conditionalFormatting>
  <conditionalFormatting sqref="P271:Q271">
    <cfRule type="containsText" dxfId="2" priority="46246" operator="containsText" text="Yes">
      <formula>NOT(ISERROR(SEARCH(("Yes"),(P271))))</formula>
    </cfRule>
  </conditionalFormatting>
  <conditionalFormatting sqref="P271:Q271">
    <cfRule type="containsText" dxfId="2" priority="46247" operator="containsText" text="Yes">
      <formula>NOT(ISERROR(SEARCH(("Yes"),(P271))))</formula>
    </cfRule>
  </conditionalFormatting>
  <conditionalFormatting sqref="P271:Q271">
    <cfRule type="containsText" dxfId="2" priority="46248" operator="containsText" text="Yes">
      <formula>NOT(ISERROR(SEARCH(("Yes"),(P271))))</formula>
    </cfRule>
  </conditionalFormatting>
  <conditionalFormatting sqref="P271:Q271">
    <cfRule type="containsText" dxfId="2" priority="46249" operator="containsText" text="Yes">
      <formula>NOT(ISERROR(SEARCH(("Yes"),(P271))))</formula>
    </cfRule>
  </conditionalFormatting>
  <conditionalFormatting sqref="P271:Q271">
    <cfRule type="containsText" dxfId="2" priority="46250" operator="containsText" text="Yes">
      <formula>NOT(ISERROR(SEARCH(("Yes"),(P271))))</formula>
    </cfRule>
  </conditionalFormatting>
  <conditionalFormatting sqref="P271:Q271">
    <cfRule type="containsText" dxfId="2" priority="46251" operator="containsText" text="Yes">
      <formula>NOT(ISERROR(SEARCH(("Yes"),(P271))))</formula>
    </cfRule>
  </conditionalFormatting>
  <conditionalFormatting sqref="P271:Q271">
    <cfRule type="containsText" dxfId="2" priority="46252" operator="containsText" text="Yes">
      <formula>NOT(ISERROR(SEARCH(("Yes"),(P271))))</formula>
    </cfRule>
  </conditionalFormatting>
  <conditionalFormatting sqref="P271:Q271">
    <cfRule type="containsText" dxfId="2" priority="46253" operator="containsText" text="Yes">
      <formula>NOT(ISERROR(SEARCH(("Yes"),(P271))))</formula>
    </cfRule>
  </conditionalFormatting>
  <conditionalFormatting sqref="P271:Q271">
    <cfRule type="containsText" dxfId="2" priority="46254" operator="containsText" text="Yes">
      <formula>NOT(ISERROR(SEARCH(("Yes"),(P271))))</formula>
    </cfRule>
  </conditionalFormatting>
  <conditionalFormatting sqref="P271:Q271">
    <cfRule type="containsText" dxfId="2" priority="46255" operator="containsText" text="Yes">
      <formula>NOT(ISERROR(SEARCH(("Yes"),(P271))))</formula>
    </cfRule>
  </conditionalFormatting>
  <conditionalFormatting sqref="P271:Q271">
    <cfRule type="containsText" dxfId="2" priority="46256" operator="containsText" text="Yes">
      <formula>NOT(ISERROR(SEARCH(("Yes"),(P271))))</formula>
    </cfRule>
  </conditionalFormatting>
  <conditionalFormatting sqref="P271:Q271">
    <cfRule type="containsText" dxfId="2" priority="46257" operator="containsText" text="Yes">
      <formula>NOT(ISERROR(SEARCH(("Yes"),(P271))))</formula>
    </cfRule>
  </conditionalFormatting>
  <conditionalFormatting sqref="P271:Q271">
    <cfRule type="containsText" dxfId="2" priority="46258" operator="containsText" text="Yes">
      <formula>NOT(ISERROR(SEARCH(("Yes"),(P271))))</formula>
    </cfRule>
  </conditionalFormatting>
  <conditionalFormatting sqref="P271:Q271">
    <cfRule type="containsText" dxfId="2" priority="46259" operator="containsText" text="Yes">
      <formula>NOT(ISERROR(SEARCH(("Yes"),(P271))))</formula>
    </cfRule>
  </conditionalFormatting>
  <conditionalFormatting sqref="P271:Q271">
    <cfRule type="containsText" dxfId="2" priority="46260" operator="containsText" text="Yes">
      <formula>NOT(ISERROR(SEARCH(("Yes"),(P271))))</formula>
    </cfRule>
  </conditionalFormatting>
  <conditionalFormatting sqref="P271:Q271">
    <cfRule type="containsText" dxfId="2" priority="46261" operator="containsText" text="Yes">
      <formula>NOT(ISERROR(SEARCH(("Yes"),(P271))))</formula>
    </cfRule>
  </conditionalFormatting>
  <conditionalFormatting sqref="P271:Q271">
    <cfRule type="containsText" dxfId="2" priority="46262" operator="containsText" text="Yes">
      <formula>NOT(ISERROR(SEARCH(("Yes"),(P271))))</formula>
    </cfRule>
  </conditionalFormatting>
  <conditionalFormatting sqref="N269">
    <cfRule type="containsText" dxfId="9" priority="46263" operator="containsText" text="No">
      <formula>NOT(ISERROR(SEARCH(("No"),(N269))))</formula>
    </cfRule>
  </conditionalFormatting>
  <conditionalFormatting sqref="N269">
    <cfRule type="containsText" dxfId="9" priority="46264" operator="containsText" text="No">
      <formula>NOT(ISERROR(SEARCH(("No"),(N269))))</formula>
    </cfRule>
  </conditionalFormatting>
  <conditionalFormatting sqref="N269">
    <cfRule type="containsText" dxfId="9" priority="46265" operator="containsText" text="No">
      <formula>NOT(ISERROR(SEARCH(("No"),(N269))))</formula>
    </cfRule>
  </conditionalFormatting>
  <conditionalFormatting sqref="N269">
    <cfRule type="containsText" dxfId="2" priority="46266" operator="containsText" text="Yes">
      <formula>NOT(ISERROR(SEARCH(("Yes"),(N269))))</formula>
    </cfRule>
  </conditionalFormatting>
  <conditionalFormatting sqref="N269">
    <cfRule type="containsText" dxfId="2" priority="46267" operator="containsText" text="Yes">
      <formula>NOT(ISERROR(SEARCH(("Yes"),(N269))))</formula>
    </cfRule>
  </conditionalFormatting>
  <conditionalFormatting sqref="N269">
    <cfRule type="containsText" dxfId="2" priority="46268" operator="containsText" text="Yes">
      <formula>NOT(ISERROR(SEARCH(("Yes"),(N269))))</formula>
    </cfRule>
  </conditionalFormatting>
  <conditionalFormatting sqref="N269">
    <cfRule type="containsText" dxfId="2" priority="46269" operator="containsText" text="Yes">
      <formula>NOT(ISERROR(SEARCH(("Yes"),(N269))))</formula>
    </cfRule>
  </conditionalFormatting>
  <conditionalFormatting sqref="N269">
    <cfRule type="containsText" dxfId="2" priority="46270" operator="containsText" text="Yes">
      <formula>NOT(ISERROR(SEARCH(("Yes"),(N269))))</formula>
    </cfRule>
  </conditionalFormatting>
  <conditionalFormatting sqref="N269">
    <cfRule type="containsText" dxfId="9" priority="46271" operator="containsText" text="No">
      <formula>NOT(ISERROR(SEARCH(("No"),(N269))))</formula>
    </cfRule>
  </conditionalFormatting>
  <conditionalFormatting sqref="N269">
    <cfRule type="containsText" dxfId="9" priority="46272" operator="containsText" text="No">
      <formula>NOT(ISERROR(SEARCH(("No"),(N269))))</formula>
    </cfRule>
  </conditionalFormatting>
  <conditionalFormatting sqref="N269">
    <cfRule type="containsText" dxfId="2" priority="46273" operator="containsText" text="Yes">
      <formula>NOT(ISERROR(SEARCH(("Yes"),(N269))))</formula>
    </cfRule>
  </conditionalFormatting>
  <conditionalFormatting sqref="P272:Q274">
    <cfRule type="containsText" dxfId="9" priority="46274" operator="containsText" text="No">
      <formula>NOT(ISERROR(SEARCH(("No"),(P272))))</formula>
    </cfRule>
  </conditionalFormatting>
  <conditionalFormatting sqref="P272:Q274">
    <cfRule type="containsText" dxfId="9" priority="46275" operator="containsText" text="No">
      <formula>NOT(ISERROR(SEARCH(("No"),(P272))))</formula>
    </cfRule>
  </conditionalFormatting>
  <conditionalFormatting sqref="P272:Q274">
    <cfRule type="containsText" dxfId="9" priority="46276" operator="containsText" text="No">
      <formula>NOT(ISERROR(SEARCH(("No"),(P272))))</formula>
    </cfRule>
  </conditionalFormatting>
  <conditionalFormatting sqref="P272:Q274">
    <cfRule type="containsText" dxfId="9" priority="46277" operator="containsText" text="No">
      <formula>NOT(ISERROR(SEARCH(("No"),(P272))))</formula>
    </cfRule>
  </conditionalFormatting>
  <conditionalFormatting sqref="P272:Q274">
    <cfRule type="containsText" dxfId="9" priority="46278" operator="containsText" text="No">
      <formula>NOT(ISERROR(SEARCH(("No"),(P272))))</formula>
    </cfRule>
  </conditionalFormatting>
  <conditionalFormatting sqref="P272:Q274">
    <cfRule type="containsText" dxfId="9" priority="46279" operator="containsText" text="No">
      <formula>NOT(ISERROR(SEARCH(("No"),(P272))))</formula>
    </cfRule>
  </conditionalFormatting>
  <conditionalFormatting sqref="P272:Q274">
    <cfRule type="containsText" dxfId="9" priority="46280" operator="containsText" text="No">
      <formula>NOT(ISERROR(SEARCH(("No"),(P272))))</formula>
    </cfRule>
  </conditionalFormatting>
  <conditionalFormatting sqref="P272:Q274">
    <cfRule type="containsText" dxfId="9" priority="46281" operator="containsText" text="No">
      <formula>NOT(ISERROR(SEARCH(("No"),(P272))))</formula>
    </cfRule>
  </conditionalFormatting>
  <conditionalFormatting sqref="P272:Q274">
    <cfRule type="containsText" dxfId="9" priority="46282" operator="containsText" text="No">
      <formula>NOT(ISERROR(SEARCH(("No"),(P272))))</formula>
    </cfRule>
  </conditionalFormatting>
  <conditionalFormatting sqref="P272:Q274">
    <cfRule type="containsText" dxfId="9" priority="46283" operator="containsText" text="No">
      <formula>NOT(ISERROR(SEARCH(("No"),(P272))))</formula>
    </cfRule>
  </conditionalFormatting>
  <conditionalFormatting sqref="P272:Q274">
    <cfRule type="containsText" dxfId="9" priority="46284" operator="containsText" text="No">
      <formula>NOT(ISERROR(SEARCH(("No"),(P272))))</formula>
    </cfRule>
  </conditionalFormatting>
  <conditionalFormatting sqref="P272:Q274">
    <cfRule type="containsText" dxfId="9" priority="46285" operator="containsText" text="No">
      <formula>NOT(ISERROR(SEARCH(("No"),(P272))))</formula>
    </cfRule>
  </conditionalFormatting>
  <conditionalFormatting sqref="P272:Q274">
    <cfRule type="containsText" dxfId="9" priority="46286" operator="containsText" text="No">
      <formula>NOT(ISERROR(SEARCH(("No"),(P272))))</formula>
    </cfRule>
  </conditionalFormatting>
  <conditionalFormatting sqref="P272:Q274">
    <cfRule type="containsText" dxfId="9" priority="46287" operator="containsText" text="No">
      <formula>NOT(ISERROR(SEARCH(("No"),(P272))))</formula>
    </cfRule>
  </conditionalFormatting>
  <conditionalFormatting sqref="P272:Q274">
    <cfRule type="containsText" dxfId="9" priority="46288" operator="containsText" text="No">
      <formula>NOT(ISERROR(SEARCH(("No"),(P272))))</formula>
    </cfRule>
  </conditionalFormatting>
  <conditionalFormatting sqref="P272:Q274">
    <cfRule type="containsText" dxfId="9" priority="46289" operator="containsText" text="No">
      <formula>NOT(ISERROR(SEARCH(("No"),(P272))))</formula>
    </cfRule>
  </conditionalFormatting>
  <conditionalFormatting sqref="P272:Q274">
    <cfRule type="containsText" dxfId="9" priority="46290" operator="containsText" text="No">
      <formula>NOT(ISERROR(SEARCH(("No"),(P272))))</formula>
    </cfRule>
  </conditionalFormatting>
  <conditionalFormatting sqref="P272:Q274">
    <cfRule type="containsText" dxfId="9" priority="46291" operator="containsText" text="No">
      <formula>NOT(ISERROR(SEARCH(("No"),(P272))))</formula>
    </cfRule>
  </conditionalFormatting>
  <conditionalFormatting sqref="P272:Q274">
    <cfRule type="containsText" dxfId="9" priority="46292" operator="containsText" text="No">
      <formula>NOT(ISERROR(SEARCH(("No"),(P272))))</formula>
    </cfRule>
  </conditionalFormatting>
  <conditionalFormatting sqref="P272:Q274">
    <cfRule type="containsText" dxfId="9" priority="46293" operator="containsText" text="No">
      <formula>NOT(ISERROR(SEARCH(("No"),(P272))))</formula>
    </cfRule>
  </conditionalFormatting>
  <conditionalFormatting sqref="P272:Q274">
    <cfRule type="containsText" dxfId="9" priority="46294" operator="containsText" text="No">
      <formula>NOT(ISERROR(SEARCH(("No"),(P272))))</formula>
    </cfRule>
  </conditionalFormatting>
  <conditionalFormatting sqref="P272:Q274">
    <cfRule type="containsText" dxfId="9" priority="46295" operator="containsText" text="No">
      <formula>NOT(ISERROR(SEARCH(("No"),(P272))))</formula>
    </cfRule>
  </conditionalFormatting>
  <conditionalFormatting sqref="P272:Q274">
    <cfRule type="containsText" dxfId="9" priority="46296" operator="containsText" text="No">
      <formula>NOT(ISERROR(SEARCH(("No"),(P272))))</formula>
    </cfRule>
  </conditionalFormatting>
  <conditionalFormatting sqref="P272:Q274">
    <cfRule type="containsText" dxfId="9" priority="46297" operator="containsText" text="No">
      <formula>NOT(ISERROR(SEARCH(("No"),(P272))))</formula>
    </cfRule>
  </conditionalFormatting>
  <conditionalFormatting sqref="P272:Q274">
    <cfRule type="containsText" dxfId="9" priority="46298" operator="containsText" text="No">
      <formula>NOT(ISERROR(SEARCH(("No"),(P272))))</formula>
    </cfRule>
  </conditionalFormatting>
  <conditionalFormatting sqref="P272:Q274">
    <cfRule type="containsText" dxfId="9" priority="46299" operator="containsText" text="No">
      <formula>NOT(ISERROR(SEARCH(("No"),(P272))))</formula>
    </cfRule>
  </conditionalFormatting>
  <conditionalFormatting sqref="P272:Q274">
    <cfRule type="containsText" dxfId="9" priority="46300" operator="containsText" text="No">
      <formula>NOT(ISERROR(SEARCH(("No"),(P272))))</formula>
    </cfRule>
  </conditionalFormatting>
  <conditionalFormatting sqref="P272:Q274">
    <cfRule type="containsText" dxfId="9" priority="46301" operator="containsText" text="No">
      <formula>NOT(ISERROR(SEARCH(("No"),(P272))))</formula>
    </cfRule>
  </conditionalFormatting>
  <conditionalFormatting sqref="P272:Q274">
    <cfRule type="containsText" dxfId="9" priority="46302" operator="containsText" text="No">
      <formula>NOT(ISERROR(SEARCH(("No"),(P272))))</formula>
    </cfRule>
  </conditionalFormatting>
  <conditionalFormatting sqref="P272:Q274">
    <cfRule type="containsText" dxfId="9" priority="46303" operator="containsText" text="No">
      <formula>NOT(ISERROR(SEARCH(("No"),(P272))))</formula>
    </cfRule>
  </conditionalFormatting>
  <conditionalFormatting sqref="P272:Q274">
    <cfRule type="containsText" dxfId="9" priority="46304" operator="containsText" text="No">
      <formula>NOT(ISERROR(SEARCH(("No"),(P272))))</formula>
    </cfRule>
  </conditionalFormatting>
  <conditionalFormatting sqref="P272:Q274">
    <cfRule type="containsText" dxfId="9" priority="46305" operator="containsText" text="No">
      <formula>NOT(ISERROR(SEARCH(("No"),(P272))))</formula>
    </cfRule>
  </conditionalFormatting>
  <conditionalFormatting sqref="P272:Q274">
    <cfRule type="containsText" dxfId="9" priority="46306" operator="containsText" text="No">
      <formula>NOT(ISERROR(SEARCH(("No"),(P272))))</formula>
    </cfRule>
  </conditionalFormatting>
  <conditionalFormatting sqref="P272:Q274">
    <cfRule type="containsText" dxfId="9" priority="46307" operator="containsText" text="No">
      <formula>NOT(ISERROR(SEARCH(("No"),(P272))))</formula>
    </cfRule>
  </conditionalFormatting>
  <conditionalFormatting sqref="P272:Q274">
    <cfRule type="containsText" dxfId="9" priority="46308" operator="containsText" text="No">
      <formula>NOT(ISERROR(SEARCH(("No"),(P272))))</formula>
    </cfRule>
  </conditionalFormatting>
  <conditionalFormatting sqref="P272:Q274">
    <cfRule type="containsText" dxfId="9" priority="46309" operator="containsText" text="No">
      <formula>NOT(ISERROR(SEARCH(("No"),(P272))))</formula>
    </cfRule>
  </conditionalFormatting>
  <conditionalFormatting sqref="P272:Q274">
    <cfRule type="containsText" dxfId="9" priority="46310" operator="containsText" text="No">
      <formula>NOT(ISERROR(SEARCH(("No"),(P272))))</formula>
    </cfRule>
  </conditionalFormatting>
  <conditionalFormatting sqref="P272:Q274">
    <cfRule type="containsText" dxfId="9" priority="46311" operator="containsText" text="No">
      <formula>NOT(ISERROR(SEARCH(("No"),(P272))))</formula>
    </cfRule>
  </conditionalFormatting>
  <conditionalFormatting sqref="P272:Q274">
    <cfRule type="containsText" dxfId="9" priority="46312" operator="containsText" text="No">
      <formula>NOT(ISERROR(SEARCH(("No"),(P272))))</formula>
    </cfRule>
  </conditionalFormatting>
  <conditionalFormatting sqref="P272:Q274">
    <cfRule type="containsText" dxfId="9" priority="46313" operator="containsText" text="No">
      <formula>NOT(ISERROR(SEARCH(("No"),(P272))))</formula>
    </cfRule>
  </conditionalFormatting>
  <conditionalFormatting sqref="P272:Q274">
    <cfRule type="containsText" dxfId="9" priority="46314" operator="containsText" text="No">
      <formula>NOT(ISERROR(SEARCH(("No"),(P272))))</formula>
    </cfRule>
  </conditionalFormatting>
  <conditionalFormatting sqref="P272:Q274">
    <cfRule type="containsText" dxfId="9" priority="46315" operator="containsText" text="No">
      <formula>NOT(ISERROR(SEARCH(("No"),(P272))))</formula>
    </cfRule>
  </conditionalFormatting>
  <conditionalFormatting sqref="P272:Q274">
    <cfRule type="containsText" dxfId="9" priority="46316" operator="containsText" text="No">
      <formula>NOT(ISERROR(SEARCH(("No"),(P272))))</formula>
    </cfRule>
  </conditionalFormatting>
  <conditionalFormatting sqref="P272:Q274">
    <cfRule type="containsText" dxfId="9" priority="46317" operator="containsText" text="No">
      <formula>NOT(ISERROR(SEARCH(("No"),(P272))))</formula>
    </cfRule>
  </conditionalFormatting>
  <conditionalFormatting sqref="P272:Q274">
    <cfRule type="containsText" dxfId="9" priority="46318" operator="containsText" text="No">
      <formula>NOT(ISERROR(SEARCH(("No"),(P272))))</formula>
    </cfRule>
  </conditionalFormatting>
  <conditionalFormatting sqref="P272:Q274">
    <cfRule type="containsText" dxfId="2" priority="46319" operator="containsText" text="Yes">
      <formula>NOT(ISERROR(SEARCH(("Yes"),(P272))))</formula>
    </cfRule>
  </conditionalFormatting>
  <conditionalFormatting sqref="P272:Q274">
    <cfRule type="containsText" dxfId="2" priority="46320" operator="containsText" text="Yes">
      <formula>NOT(ISERROR(SEARCH(("Yes"),(P272))))</formula>
    </cfRule>
  </conditionalFormatting>
  <conditionalFormatting sqref="P272:Q274">
    <cfRule type="containsText" dxfId="2" priority="46321" operator="containsText" text="Yes">
      <formula>NOT(ISERROR(SEARCH(("Yes"),(P272))))</formula>
    </cfRule>
  </conditionalFormatting>
  <conditionalFormatting sqref="P272:Q274">
    <cfRule type="containsText" dxfId="2" priority="46322" operator="containsText" text="Yes">
      <formula>NOT(ISERROR(SEARCH(("Yes"),(P272))))</formula>
    </cfRule>
  </conditionalFormatting>
  <conditionalFormatting sqref="P272:Q274">
    <cfRule type="containsText" dxfId="2" priority="46323" operator="containsText" text="Yes">
      <formula>NOT(ISERROR(SEARCH(("Yes"),(P272))))</formula>
    </cfRule>
  </conditionalFormatting>
  <conditionalFormatting sqref="P272:Q274">
    <cfRule type="containsText" dxfId="2" priority="46324" operator="containsText" text="Yes">
      <formula>NOT(ISERROR(SEARCH(("Yes"),(P272))))</formula>
    </cfRule>
  </conditionalFormatting>
  <conditionalFormatting sqref="P272:Q274">
    <cfRule type="containsText" dxfId="2" priority="46325" operator="containsText" text="Yes">
      <formula>NOT(ISERROR(SEARCH(("Yes"),(P272))))</formula>
    </cfRule>
  </conditionalFormatting>
  <conditionalFormatting sqref="P272:Q274">
    <cfRule type="containsText" dxfId="2" priority="46326" operator="containsText" text="Yes">
      <formula>NOT(ISERROR(SEARCH(("Yes"),(P272))))</formula>
    </cfRule>
  </conditionalFormatting>
  <conditionalFormatting sqref="P272:Q274">
    <cfRule type="containsText" dxfId="2" priority="46327" operator="containsText" text="Yes">
      <formula>NOT(ISERROR(SEARCH(("Yes"),(P272))))</formula>
    </cfRule>
  </conditionalFormatting>
  <conditionalFormatting sqref="P272:Q274">
    <cfRule type="containsText" dxfId="2" priority="46328" operator="containsText" text="Yes">
      <formula>NOT(ISERROR(SEARCH(("Yes"),(P272))))</formula>
    </cfRule>
  </conditionalFormatting>
  <conditionalFormatting sqref="P272:Q274">
    <cfRule type="containsText" dxfId="2" priority="46329" operator="containsText" text="Yes">
      <formula>NOT(ISERROR(SEARCH(("Yes"),(P272))))</formula>
    </cfRule>
  </conditionalFormatting>
  <conditionalFormatting sqref="P272:Q274">
    <cfRule type="containsText" dxfId="2" priority="46330" operator="containsText" text="Yes">
      <formula>NOT(ISERROR(SEARCH(("Yes"),(P272))))</formula>
    </cfRule>
  </conditionalFormatting>
  <conditionalFormatting sqref="P272:Q274">
    <cfRule type="containsText" dxfId="2" priority="46331" operator="containsText" text="Yes">
      <formula>NOT(ISERROR(SEARCH(("Yes"),(P272))))</formula>
    </cfRule>
  </conditionalFormatting>
  <conditionalFormatting sqref="P272:Q274">
    <cfRule type="containsText" dxfId="2" priority="46332" operator="containsText" text="Yes">
      <formula>NOT(ISERROR(SEARCH(("Yes"),(P272))))</formula>
    </cfRule>
  </conditionalFormatting>
  <conditionalFormatting sqref="P272:Q274">
    <cfRule type="containsText" dxfId="2" priority="46333" operator="containsText" text="Yes">
      <formula>NOT(ISERROR(SEARCH(("Yes"),(P272))))</formula>
    </cfRule>
  </conditionalFormatting>
  <conditionalFormatting sqref="P272:Q274">
    <cfRule type="containsText" dxfId="2" priority="46334" operator="containsText" text="Yes">
      <formula>NOT(ISERROR(SEARCH(("Yes"),(P272))))</formula>
    </cfRule>
  </conditionalFormatting>
  <conditionalFormatting sqref="P272:Q274">
    <cfRule type="containsText" dxfId="2" priority="46335" operator="containsText" text="Yes">
      <formula>NOT(ISERROR(SEARCH(("Yes"),(P272))))</formula>
    </cfRule>
  </conditionalFormatting>
  <conditionalFormatting sqref="P272:Q274">
    <cfRule type="containsText" dxfId="2" priority="46336" operator="containsText" text="Yes">
      <formula>NOT(ISERROR(SEARCH(("Yes"),(P272))))</formula>
    </cfRule>
  </conditionalFormatting>
  <conditionalFormatting sqref="P272:Q274">
    <cfRule type="containsText" dxfId="2" priority="46337" operator="containsText" text="Yes">
      <formula>NOT(ISERROR(SEARCH(("Yes"),(P272))))</formula>
    </cfRule>
  </conditionalFormatting>
  <conditionalFormatting sqref="P272:Q274">
    <cfRule type="containsText" dxfId="2" priority="46338" operator="containsText" text="Yes">
      <formula>NOT(ISERROR(SEARCH(("Yes"),(P272))))</formula>
    </cfRule>
  </conditionalFormatting>
  <conditionalFormatting sqref="P272:Q274">
    <cfRule type="containsText" dxfId="2" priority="46339" operator="containsText" text="Yes">
      <formula>NOT(ISERROR(SEARCH(("Yes"),(P272))))</formula>
    </cfRule>
  </conditionalFormatting>
  <conditionalFormatting sqref="P272:Q274">
    <cfRule type="containsText" dxfId="2" priority="46340" operator="containsText" text="Yes">
      <formula>NOT(ISERROR(SEARCH(("Yes"),(P272))))</formula>
    </cfRule>
  </conditionalFormatting>
  <conditionalFormatting sqref="P272:Q274">
    <cfRule type="containsText" dxfId="2" priority="46341" operator="containsText" text="Yes">
      <formula>NOT(ISERROR(SEARCH(("Yes"),(P272))))</formula>
    </cfRule>
  </conditionalFormatting>
  <conditionalFormatting sqref="P272:Q274">
    <cfRule type="containsText" dxfId="2" priority="46342" operator="containsText" text="Yes">
      <formula>NOT(ISERROR(SEARCH(("Yes"),(P272))))</formula>
    </cfRule>
  </conditionalFormatting>
  <conditionalFormatting sqref="P272:Q274">
    <cfRule type="containsText" dxfId="2" priority="46343" operator="containsText" text="Yes">
      <formula>NOT(ISERROR(SEARCH(("Yes"),(P272))))</formula>
    </cfRule>
  </conditionalFormatting>
  <conditionalFormatting sqref="P272:Q274">
    <cfRule type="containsText" dxfId="2" priority="46344" operator="containsText" text="Yes">
      <formula>NOT(ISERROR(SEARCH(("Yes"),(P272))))</formula>
    </cfRule>
  </conditionalFormatting>
  <conditionalFormatting sqref="P272:Q274">
    <cfRule type="containsText" dxfId="2" priority="46345" operator="containsText" text="Yes">
      <formula>NOT(ISERROR(SEARCH(("Yes"),(P272))))</formula>
    </cfRule>
  </conditionalFormatting>
  <conditionalFormatting sqref="P272:Q274">
    <cfRule type="containsText" dxfId="2" priority="46346" operator="containsText" text="Yes">
      <formula>NOT(ISERROR(SEARCH(("Yes"),(P272))))</formula>
    </cfRule>
  </conditionalFormatting>
  <conditionalFormatting sqref="P272:Q274">
    <cfRule type="containsText" dxfId="2" priority="46347" operator="containsText" text="Yes">
      <formula>NOT(ISERROR(SEARCH(("Yes"),(P272))))</formula>
    </cfRule>
  </conditionalFormatting>
  <conditionalFormatting sqref="P272:Q274">
    <cfRule type="containsText" dxfId="2" priority="46348" operator="containsText" text="Yes">
      <formula>NOT(ISERROR(SEARCH(("Yes"),(P272))))</formula>
    </cfRule>
  </conditionalFormatting>
  <conditionalFormatting sqref="P272:Q274">
    <cfRule type="containsText" dxfId="2" priority="46349" operator="containsText" text="Yes">
      <formula>NOT(ISERROR(SEARCH(("Yes"),(P272))))</formula>
    </cfRule>
  </conditionalFormatting>
  <conditionalFormatting sqref="P272:Q274">
    <cfRule type="containsText" dxfId="2" priority="46350" operator="containsText" text="Yes">
      <formula>NOT(ISERROR(SEARCH(("Yes"),(P272))))</formula>
    </cfRule>
  </conditionalFormatting>
  <conditionalFormatting sqref="P272:Q274">
    <cfRule type="containsText" dxfId="2" priority="46351" operator="containsText" text="Yes">
      <formula>NOT(ISERROR(SEARCH(("Yes"),(P272))))</formula>
    </cfRule>
  </conditionalFormatting>
  <conditionalFormatting sqref="P272:Q274">
    <cfRule type="containsText" dxfId="2" priority="46352" operator="containsText" text="Yes">
      <formula>NOT(ISERROR(SEARCH(("Yes"),(P272))))</formula>
    </cfRule>
  </conditionalFormatting>
  <conditionalFormatting sqref="P272:Q274">
    <cfRule type="containsText" dxfId="2" priority="46353" operator="containsText" text="Yes">
      <formula>NOT(ISERROR(SEARCH(("Yes"),(P272))))</formula>
    </cfRule>
  </conditionalFormatting>
  <conditionalFormatting sqref="P272:Q274">
    <cfRule type="containsText" dxfId="2" priority="46354" operator="containsText" text="Yes">
      <formula>NOT(ISERROR(SEARCH(("Yes"),(P272))))</formula>
    </cfRule>
  </conditionalFormatting>
  <conditionalFormatting sqref="P272:Q274">
    <cfRule type="containsText" dxfId="2" priority="46355" operator="containsText" text="Yes">
      <formula>NOT(ISERROR(SEARCH(("Yes"),(P272))))</formula>
    </cfRule>
  </conditionalFormatting>
  <conditionalFormatting sqref="P272:Q274">
    <cfRule type="containsText" dxfId="2" priority="46356" operator="containsText" text="Yes">
      <formula>NOT(ISERROR(SEARCH(("Yes"),(P272))))</formula>
    </cfRule>
  </conditionalFormatting>
  <conditionalFormatting sqref="P272:Q274">
    <cfRule type="containsText" dxfId="2" priority="46357" operator="containsText" text="Yes">
      <formula>NOT(ISERROR(SEARCH(("Yes"),(P272))))</formula>
    </cfRule>
  </conditionalFormatting>
  <conditionalFormatting sqref="P272:Q274">
    <cfRule type="containsText" dxfId="2" priority="46358" operator="containsText" text="Yes">
      <formula>NOT(ISERROR(SEARCH(("Yes"),(P272))))</formula>
    </cfRule>
  </conditionalFormatting>
  <conditionalFormatting sqref="P272:Q274">
    <cfRule type="containsText" dxfId="2" priority="46359" operator="containsText" text="Yes">
      <formula>NOT(ISERROR(SEARCH(("Yes"),(P272))))</formula>
    </cfRule>
  </conditionalFormatting>
  <conditionalFormatting sqref="P272:Q274">
    <cfRule type="containsText" dxfId="2" priority="46360" operator="containsText" text="Yes">
      <formula>NOT(ISERROR(SEARCH(("Yes"),(P272))))</formula>
    </cfRule>
  </conditionalFormatting>
  <conditionalFormatting sqref="P272:Q274">
    <cfRule type="containsText" dxfId="2" priority="46361" operator="containsText" text="Yes">
      <formula>NOT(ISERROR(SEARCH(("Yes"),(P272))))</formula>
    </cfRule>
  </conditionalFormatting>
  <conditionalFormatting sqref="P272:Q274">
    <cfRule type="containsText" dxfId="2" priority="46362" operator="containsText" text="Yes">
      <formula>NOT(ISERROR(SEARCH(("Yes"),(P272))))</formula>
    </cfRule>
  </conditionalFormatting>
  <conditionalFormatting sqref="P272:Q274">
    <cfRule type="containsText" dxfId="2" priority="46363" operator="containsText" text="Yes">
      <formula>NOT(ISERROR(SEARCH(("Yes"),(P272))))</formula>
    </cfRule>
  </conditionalFormatting>
  <conditionalFormatting sqref="P272:Q274">
    <cfRule type="containsText" dxfId="2" priority="46364" operator="containsText" text="Yes">
      <formula>NOT(ISERROR(SEARCH(("Yes"),(P272))))</formula>
    </cfRule>
  </conditionalFormatting>
  <conditionalFormatting sqref="P272:Q274">
    <cfRule type="containsText" dxfId="2" priority="46365" operator="containsText" text="Yes">
      <formula>NOT(ISERROR(SEARCH(("Yes"),(P272))))</formula>
    </cfRule>
  </conditionalFormatting>
  <conditionalFormatting sqref="O273">
    <cfRule type="containsText" dxfId="9" priority="46366" operator="containsText" text="No">
      <formula>NOT(ISERROR(SEARCH(("No"),(O273))))</formula>
    </cfRule>
  </conditionalFormatting>
  <conditionalFormatting sqref="O273">
    <cfRule type="containsText" dxfId="9" priority="46367" operator="containsText" text="No">
      <formula>NOT(ISERROR(SEARCH(("No"),(O273))))</formula>
    </cfRule>
  </conditionalFormatting>
  <conditionalFormatting sqref="O273">
    <cfRule type="containsText" dxfId="9" priority="46368" operator="containsText" text="No">
      <formula>NOT(ISERROR(SEARCH(("No"),(O273))))</formula>
    </cfRule>
  </conditionalFormatting>
  <conditionalFormatting sqref="O273">
    <cfRule type="containsText" dxfId="2" priority="46369" operator="containsText" text="Yes">
      <formula>NOT(ISERROR(SEARCH(("Yes"),(O273))))</formula>
    </cfRule>
  </conditionalFormatting>
  <conditionalFormatting sqref="O273">
    <cfRule type="containsText" dxfId="2" priority="46370" operator="containsText" text="Yes">
      <formula>NOT(ISERROR(SEARCH(("Yes"),(O273))))</formula>
    </cfRule>
  </conditionalFormatting>
  <conditionalFormatting sqref="O273">
    <cfRule type="containsText" dxfId="2" priority="46371" operator="containsText" text="Yes">
      <formula>NOT(ISERROR(SEARCH(("Yes"),(O273))))</formula>
    </cfRule>
  </conditionalFormatting>
  <conditionalFormatting sqref="O273">
    <cfRule type="containsText" dxfId="2" priority="46372" operator="containsText" text="Yes">
      <formula>NOT(ISERROR(SEARCH(("Yes"),(O273))))</formula>
    </cfRule>
  </conditionalFormatting>
  <conditionalFormatting sqref="O273">
    <cfRule type="containsText" dxfId="2" priority="46373" operator="containsText" text="Yes">
      <formula>NOT(ISERROR(SEARCH(("Yes"),(O273))))</formula>
    </cfRule>
  </conditionalFormatting>
  <conditionalFormatting sqref="O273">
    <cfRule type="containsText" dxfId="9" priority="46374" operator="containsText" text="No">
      <formula>NOT(ISERROR(SEARCH(("No"),(O273))))</formula>
    </cfRule>
  </conditionalFormatting>
  <conditionalFormatting sqref="O273">
    <cfRule type="containsText" dxfId="9" priority="46375" operator="containsText" text="No">
      <formula>NOT(ISERROR(SEARCH(("No"),(O273))))</formula>
    </cfRule>
  </conditionalFormatting>
  <conditionalFormatting sqref="O273">
    <cfRule type="containsText" dxfId="2" priority="46376" operator="containsText" text="Yes">
      <formula>NOT(ISERROR(SEARCH(("Yes"),(O273))))</formula>
    </cfRule>
  </conditionalFormatting>
  <conditionalFormatting sqref="P273:Q274">
    <cfRule type="containsText" dxfId="9" priority="46377" operator="containsText" text="No">
      <formula>NOT(ISERROR(SEARCH(("No"),(P273))))</formula>
    </cfRule>
  </conditionalFormatting>
  <conditionalFormatting sqref="P273:Q274">
    <cfRule type="containsText" dxfId="9" priority="46378" operator="containsText" text="No">
      <formula>NOT(ISERROR(SEARCH(("No"),(P273))))</formula>
    </cfRule>
  </conditionalFormatting>
  <conditionalFormatting sqref="P273:Q274">
    <cfRule type="containsText" dxfId="9" priority="46379" operator="containsText" text="No">
      <formula>NOT(ISERROR(SEARCH(("No"),(P273))))</formula>
    </cfRule>
  </conditionalFormatting>
  <conditionalFormatting sqref="P273:Q274">
    <cfRule type="containsText" dxfId="9" priority="46380" operator="containsText" text="No">
      <formula>NOT(ISERROR(SEARCH(("No"),(P273))))</formula>
    </cfRule>
  </conditionalFormatting>
  <conditionalFormatting sqref="P273:Q274">
    <cfRule type="containsText" dxfId="9" priority="46381" operator="containsText" text="No">
      <formula>NOT(ISERROR(SEARCH(("No"),(P273))))</formula>
    </cfRule>
  </conditionalFormatting>
  <conditionalFormatting sqref="P273:Q274">
    <cfRule type="containsText" dxfId="9" priority="46382" operator="containsText" text="No">
      <formula>NOT(ISERROR(SEARCH(("No"),(P273))))</formula>
    </cfRule>
  </conditionalFormatting>
  <conditionalFormatting sqref="P273:Q274">
    <cfRule type="containsText" dxfId="9" priority="46383" operator="containsText" text="No">
      <formula>NOT(ISERROR(SEARCH(("No"),(P273))))</formula>
    </cfRule>
  </conditionalFormatting>
  <conditionalFormatting sqref="P273:Q274">
    <cfRule type="containsText" dxfId="9" priority="46384" operator="containsText" text="No">
      <formula>NOT(ISERROR(SEARCH(("No"),(P273))))</formula>
    </cfRule>
  </conditionalFormatting>
  <conditionalFormatting sqref="P273:Q274">
    <cfRule type="containsText" dxfId="9" priority="46385" operator="containsText" text="No">
      <formula>NOT(ISERROR(SEARCH(("No"),(P273))))</formula>
    </cfRule>
  </conditionalFormatting>
  <conditionalFormatting sqref="P273:Q274">
    <cfRule type="containsText" dxfId="9" priority="46386" operator="containsText" text="No">
      <formula>NOT(ISERROR(SEARCH(("No"),(P273))))</formula>
    </cfRule>
  </conditionalFormatting>
  <conditionalFormatting sqref="P273:Q274">
    <cfRule type="containsText" dxfId="9" priority="46387" operator="containsText" text="No">
      <formula>NOT(ISERROR(SEARCH(("No"),(P273))))</formula>
    </cfRule>
  </conditionalFormatting>
  <conditionalFormatting sqref="P273:Q274">
    <cfRule type="containsText" dxfId="9" priority="46388" operator="containsText" text="No">
      <formula>NOT(ISERROR(SEARCH(("No"),(P273))))</formula>
    </cfRule>
  </conditionalFormatting>
  <conditionalFormatting sqref="P273:Q274">
    <cfRule type="containsText" dxfId="9" priority="46389" operator="containsText" text="No">
      <formula>NOT(ISERROR(SEARCH(("No"),(P273))))</formula>
    </cfRule>
  </conditionalFormatting>
  <conditionalFormatting sqref="P273:Q274">
    <cfRule type="containsText" dxfId="9" priority="46390" operator="containsText" text="No">
      <formula>NOT(ISERROR(SEARCH(("No"),(P273))))</formula>
    </cfRule>
  </conditionalFormatting>
  <conditionalFormatting sqref="P273:Q274">
    <cfRule type="containsText" dxfId="9" priority="46391" operator="containsText" text="No">
      <formula>NOT(ISERROR(SEARCH(("No"),(P273))))</formula>
    </cfRule>
  </conditionalFormatting>
  <conditionalFormatting sqref="P273:Q274">
    <cfRule type="containsText" dxfId="9" priority="46392" operator="containsText" text="No">
      <formula>NOT(ISERROR(SEARCH(("No"),(P273))))</formula>
    </cfRule>
  </conditionalFormatting>
  <conditionalFormatting sqref="P273:Q274">
    <cfRule type="containsText" dxfId="9" priority="46393" operator="containsText" text="No">
      <formula>NOT(ISERROR(SEARCH(("No"),(P273))))</formula>
    </cfRule>
  </conditionalFormatting>
  <conditionalFormatting sqref="P273:Q274">
    <cfRule type="containsText" dxfId="9" priority="46394" operator="containsText" text="No">
      <formula>NOT(ISERROR(SEARCH(("No"),(P273))))</formula>
    </cfRule>
  </conditionalFormatting>
  <conditionalFormatting sqref="P273:Q274">
    <cfRule type="containsText" dxfId="9" priority="46395" operator="containsText" text="No">
      <formula>NOT(ISERROR(SEARCH(("No"),(P273))))</formula>
    </cfRule>
  </conditionalFormatting>
  <conditionalFormatting sqref="P273:Q274">
    <cfRule type="containsText" dxfId="9" priority="46396" operator="containsText" text="No">
      <formula>NOT(ISERROR(SEARCH(("No"),(P273))))</formula>
    </cfRule>
  </conditionalFormatting>
  <conditionalFormatting sqref="P273:Q274">
    <cfRule type="containsText" dxfId="9" priority="46397" operator="containsText" text="No">
      <formula>NOT(ISERROR(SEARCH(("No"),(P273))))</formula>
    </cfRule>
  </conditionalFormatting>
  <conditionalFormatting sqref="P273:Q274">
    <cfRule type="containsText" dxfId="9" priority="46398" operator="containsText" text="No">
      <formula>NOT(ISERROR(SEARCH(("No"),(P273))))</formula>
    </cfRule>
  </conditionalFormatting>
  <conditionalFormatting sqref="P273:Q274">
    <cfRule type="containsText" dxfId="9" priority="46399" operator="containsText" text="No">
      <formula>NOT(ISERROR(SEARCH(("No"),(P273))))</formula>
    </cfRule>
  </conditionalFormatting>
  <conditionalFormatting sqref="P273:Q274">
    <cfRule type="containsText" dxfId="9" priority="46400" operator="containsText" text="No">
      <formula>NOT(ISERROR(SEARCH(("No"),(P273))))</formula>
    </cfRule>
  </conditionalFormatting>
  <conditionalFormatting sqref="P273:Q274">
    <cfRule type="containsText" dxfId="9" priority="46401" operator="containsText" text="No">
      <formula>NOT(ISERROR(SEARCH(("No"),(P273))))</formula>
    </cfRule>
  </conditionalFormatting>
  <conditionalFormatting sqref="P273:Q274">
    <cfRule type="containsText" dxfId="9" priority="46402" operator="containsText" text="No">
      <formula>NOT(ISERROR(SEARCH(("No"),(P273))))</formula>
    </cfRule>
  </conditionalFormatting>
  <conditionalFormatting sqref="P273:Q274">
    <cfRule type="containsText" dxfId="9" priority="46403" operator="containsText" text="No">
      <formula>NOT(ISERROR(SEARCH(("No"),(P273))))</formula>
    </cfRule>
  </conditionalFormatting>
  <conditionalFormatting sqref="P273:Q274">
    <cfRule type="containsText" dxfId="9" priority="46404" operator="containsText" text="No">
      <formula>NOT(ISERROR(SEARCH(("No"),(P273))))</formula>
    </cfRule>
  </conditionalFormatting>
  <conditionalFormatting sqref="P273:Q274">
    <cfRule type="containsText" dxfId="9" priority="46405" operator="containsText" text="No">
      <formula>NOT(ISERROR(SEARCH(("No"),(P273))))</formula>
    </cfRule>
  </conditionalFormatting>
  <conditionalFormatting sqref="P273:Q274">
    <cfRule type="containsText" dxfId="9" priority="46406" operator="containsText" text="No">
      <formula>NOT(ISERROR(SEARCH(("No"),(P273))))</formula>
    </cfRule>
  </conditionalFormatting>
  <conditionalFormatting sqref="P273:Q274">
    <cfRule type="containsText" dxfId="9" priority="46407" operator="containsText" text="No">
      <formula>NOT(ISERROR(SEARCH(("No"),(P273))))</formula>
    </cfRule>
  </conditionalFormatting>
  <conditionalFormatting sqref="P273:Q274">
    <cfRule type="containsText" dxfId="9" priority="46408" operator="containsText" text="No">
      <formula>NOT(ISERROR(SEARCH(("No"),(P273))))</formula>
    </cfRule>
  </conditionalFormatting>
  <conditionalFormatting sqref="P273:Q274">
    <cfRule type="containsText" dxfId="9" priority="46409" operator="containsText" text="No">
      <formula>NOT(ISERROR(SEARCH(("No"),(P273))))</formula>
    </cfRule>
  </conditionalFormatting>
  <conditionalFormatting sqref="P273:Q274">
    <cfRule type="containsText" dxfId="9" priority="46410" operator="containsText" text="No">
      <formula>NOT(ISERROR(SEARCH(("No"),(P273))))</formula>
    </cfRule>
  </conditionalFormatting>
  <conditionalFormatting sqref="P273:Q274">
    <cfRule type="containsText" dxfId="9" priority="46411" operator="containsText" text="No">
      <formula>NOT(ISERROR(SEARCH(("No"),(P273))))</formula>
    </cfRule>
  </conditionalFormatting>
  <conditionalFormatting sqref="P273:Q274">
    <cfRule type="containsText" dxfId="9" priority="46412" operator="containsText" text="No">
      <formula>NOT(ISERROR(SEARCH(("No"),(P273))))</formula>
    </cfRule>
  </conditionalFormatting>
  <conditionalFormatting sqref="P273:Q274">
    <cfRule type="containsText" dxfId="9" priority="46413" operator="containsText" text="No">
      <formula>NOT(ISERROR(SEARCH(("No"),(P273))))</formula>
    </cfRule>
  </conditionalFormatting>
  <conditionalFormatting sqref="P273:Q274">
    <cfRule type="containsText" dxfId="9" priority="46414" operator="containsText" text="No">
      <formula>NOT(ISERROR(SEARCH(("No"),(P273))))</formula>
    </cfRule>
  </conditionalFormatting>
  <conditionalFormatting sqref="P273:Q274">
    <cfRule type="containsText" dxfId="9" priority="46415" operator="containsText" text="No">
      <formula>NOT(ISERROR(SEARCH(("No"),(P273))))</formula>
    </cfRule>
  </conditionalFormatting>
  <conditionalFormatting sqref="P273:Q274">
    <cfRule type="containsText" dxfId="9" priority="46416" operator="containsText" text="No">
      <formula>NOT(ISERROR(SEARCH(("No"),(P273))))</formula>
    </cfRule>
  </conditionalFormatting>
  <conditionalFormatting sqref="P273:Q274">
    <cfRule type="containsText" dxfId="9" priority="46417" operator="containsText" text="No">
      <formula>NOT(ISERROR(SEARCH(("No"),(P273))))</formula>
    </cfRule>
  </conditionalFormatting>
  <conditionalFormatting sqref="P273:Q274">
    <cfRule type="containsText" dxfId="9" priority="46418" operator="containsText" text="No">
      <formula>NOT(ISERROR(SEARCH(("No"),(P273))))</formula>
    </cfRule>
  </conditionalFormatting>
  <conditionalFormatting sqref="P273:Q274">
    <cfRule type="containsText" dxfId="9" priority="46419" operator="containsText" text="No">
      <formula>NOT(ISERROR(SEARCH(("No"),(P273))))</formula>
    </cfRule>
  </conditionalFormatting>
  <conditionalFormatting sqref="P273:Q274">
    <cfRule type="containsText" dxfId="9" priority="46420" operator="containsText" text="No">
      <formula>NOT(ISERROR(SEARCH(("No"),(P273))))</formula>
    </cfRule>
  </conditionalFormatting>
  <conditionalFormatting sqref="P273:Q274">
    <cfRule type="containsText" dxfId="9" priority="46421" operator="containsText" text="No">
      <formula>NOT(ISERROR(SEARCH(("No"),(P273))))</formula>
    </cfRule>
  </conditionalFormatting>
  <conditionalFormatting sqref="P273:Q274">
    <cfRule type="containsText" dxfId="2" priority="46422" operator="containsText" text="Yes">
      <formula>NOT(ISERROR(SEARCH(("Yes"),(P273))))</formula>
    </cfRule>
  </conditionalFormatting>
  <conditionalFormatting sqref="P273:Q274">
    <cfRule type="containsText" dxfId="2" priority="46423" operator="containsText" text="Yes">
      <formula>NOT(ISERROR(SEARCH(("Yes"),(P273))))</formula>
    </cfRule>
  </conditionalFormatting>
  <conditionalFormatting sqref="P273:Q274">
    <cfRule type="containsText" dxfId="2" priority="46424" operator="containsText" text="Yes">
      <formula>NOT(ISERROR(SEARCH(("Yes"),(P273))))</formula>
    </cfRule>
  </conditionalFormatting>
  <conditionalFormatting sqref="P273:Q274">
    <cfRule type="containsText" dxfId="2" priority="46425" operator="containsText" text="Yes">
      <formula>NOT(ISERROR(SEARCH(("Yes"),(P273))))</formula>
    </cfRule>
  </conditionalFormatting>
  <conditionalFormatting sqref="P273:Q274">
    <cfRule type="containsText" dxfId="2" priority="46426" operator="containsText" text="Yes">
      <formula>NOT(ISERROR(SEARCH(("Yes"),(P273))))</formula>
    </cfRule>
  </conditionalFormatting>
  <conditionalFormatting sqref="P273:Q274">
    <cfRule type="containsText" dxfId="2" priority="46427" operator="containsText" text="Yes">
      <formula>NOT(ISERROR(SEARCH(("Yes"),(P273))))</formula>
    </cfRule>
  </conditionalFormatting>
  <conditionalFormatting sqref="P273:Q274">
    <cfRule type="containsText" dxfId="2" priority="46428" operator="containsText" text="Yes">
      <formula>NOT(ISERROR(SEARCH(("Yes"),(P273))))</formula>
    </cfRule>
  </conditionalFormatting>
  <conditionalFormatting sqref="P273:Q274">
    <cfRule type="containsText" dxfId="2" priority="46429" operator="containsText" text="Yes">
      <formula>NOT(ISERROR(SEARCH(("Yes"),(P273))))</formula>
    </cfRule>
  </conditionalFormatting>
  <conditionalFormatting sqref="P273:Q274">
    <cfRule type="containsText" dxfId="2" priority="46430" operator="containsText" text="Yes">
      <formula>NOT(ISERROR(SEARCH(("Yes"),(P273))))</formula>
    </cfRule>
  </conditionalFormatting>
  <conditionalFormatting sqref="P273:Q274">
    <cfRule type="containsText" dxfId="2" priority="46431" operator="containsText" text="Yes">
      <formula>NOT(ISERROR(SEARCH(("Yes"),(P273))))</formula>
    </cfRule>
  </conditionalFormatting>
  <conditionalFormatting sqref="P273:Q274">
    <cfRule type="containsText" dxfId="2" priority="46432" operator="containsText" text="Yes">
      <formula>NOT(ISERROR(SEARCH(("Yes"),(P273))))</formula>
    </cfRule>
  </conditionalFormatting>
  <conditionalFormatting sqref="P273:Q274">
    <cfRule type="containsText" dxfId="2" priority="46433" operator="containsText" text="Yes">
      <formula>NOT(ISERROR(SEARCH(("Yes"),(P273))))</formula>
    </cfRule>
  </conditionalFormatting>
  <conditionalFormatting sqref="P273:Q274">
    <cfRule type="containsText" dxfId="2" priority="46434" operator="containsText" text="Yes">
      <formula>NOT(ISERROR(SEARCH(("Yes"),(P273))))</formula>
    </cfRule>
  </conditionalFormatting>
  <conditionalFormatting sqref="P273:Q274">
    <cfRule type="containsText" dxfId="2" priority="46435" operator="containsText" text="Yes">
      <formula>NOT(ISERROR(SEARCH(("Yes"),(P273))))</formula>
    </cfRule>
  </conditionalFormatting>
  <conditionalFormatting sqref="P273:Q274">
    <cfRule type="containsText" dxfId="2" priority="46436" operator="containsText" text="Yes">
      <formula>NOT(ISERROR(SEARCH(("Yes"),(P273))))</formula>
    </cfRule>
  </conditionalFormatting>
  <conditionalFormatting sqref="P273:Q274">
    <cfRule type="containsText" dxfId="2" priority="46437" operator="containsText" text="Yes">
      <formula>NOT(ISERROR(SEARCH(("Yes"),(P273))))</formula>
    </cfRule>
  </conditionalFormatting>
  <conditionalFormatting sqref="P273:Q274">
    <cfRule type="containsText" dxfId="2" priority="46438" operator="containsText" text="Yes">
      <formula>NOT(ISERROR(SEARCH(("Yes"),(P273))))</formula>
    </cfRule>
  </conditionalFormatting>
  <conditionalFormatting sqref="P273:Q274">
    <cfRule type="containsText" dxfId="2" priority="46439" operator="containsText" text="Yes">
      <formula>NOT(ISERROR(SEARCH(("Yes"),(P273))))</formula>
    </cfRule>
  </conditionalFormatting>
  <conditionalFormatting sqref="P273:Q274">
    <cfRule type="containsText" dxfId="2" priority="46440" operator="containsText" text="Yes">
      <formula>NOT(ISERROR(SEARCH(("Yes"),(P273))))</formula>
    </cfRule>
  </conditionalFormatting>
  <conditionalFormatting sqref="P273:Q274">
    <cfRule type="containsText" dxfId="2" priority="46441" operator="containsText" text="Yes">
      <formula>NOT(ISERROR(SEARCH(("Yes"),(P273))))</formula>
    </cfRule>
  </conditionalFormatting>
  <conditionalFormatting sqref="P273:Q274">
    <cfRule type="containsText" dxfId="2" priority="46442" operator="containsText" text="Yes">
      <formula>NOT(ISERROR(SEARCH(("Yes"),(P273))))</formula>
    </cfRule>
  </conditionalFormatting>
  <conditionalFormatting sqref="P273:Q274">
    <cfRule type="containsText" dxfId="2" priority="46443" operator="containsText" text="Yes">
      <formula>NOT(ISERROR(SEARCH(("Yes"),(P273))))</formula>
    </cfRule>
  </conditionalFormatting>
  <conditionalFormatting sqref="P273:Q274">
    <cfRule type="containsText" dxfId="2" priority="46444" operator="containsText" text="Yes">
      <formula>NOT(ISERROR(SEARCH(("Yes"),(P273))))</formula>
    </cfRule>
  </conditionalFormatting>
  <conditionalFormatting sqref="P273:Q274">
    <cfRule type="containsText" dxfId="2" priority="46445" operator="containsText" text="Yes">
      <formula>NOT(ISERROR(SEARCH(("Yes"),(P273))))</formula>
    </cfRule>
  </conditionalFormatting>
  <conditionalFormatting sqref="P273:Q274">
    <cfRule type="containsText" dxfId="2" priority="46446" operator="containsText" text="Yes">
      <formula>NOT(ISERROR(SEARCH(("Yes"),(P273))))</formula>
    </cfRule>
  </conditionalFormatting>
  <conditionalFormatting sqref="P273:Q274">
    <cfRule type="containsText" dxfId="2" priority="46447" operator="containsText" text="Yes">
      <formula>NOT(ISERROR(SEARCH(("Yes"),(P273))))</formula>
    </cfRule>
  </conditionalFormatting>
  <conditionalFormatting sqref="P273:Q274">
    <cfRule type="containsText" dxfId="2" priority="46448" operator="containsText" text="Yes">
      <formula>NOT(ISERROR(SEARCH(("Yes"),(P273))))</formula>
    </cfRule>
  </conditionalFormatting>
  <conditionalFormatting sqref="P273:Q274">
    <cfRule type="containsText" dxfId="2" priority="46449" operator="containsText" text="Yes">
      <formula>NOT(ISERROR(SEARCH(("Yes"),(P273))))</formula>
    </cfRule>
  </conditionalFormatting>
  <conditionalFormatting sqref="P273:Q274">
    <cfRule type="containsText" dxfId="2" priority="46450" operator="containsText" text="Yes">
      <formula>NOT(ISERROR(SEARCH(("Yes"),(P273))))</formula>
    </cfRule>
  </conditionalFormatting>
  <conditionalFormatting sqref="P273:Q274">
    <cfRule type="containsText" dxfId="2" priority="46451" operator="containsText" text="Yes">
      <formula>NOT(ISERROR(SEARCH(("Yes"),(P273))))</formula>
    </cfRule>
  </conditionalFormatting>
  <conditionalFormatting sqref="P273:Q274">
    <cfRule type="containsText" dxfId="2" priority="46452" operator="containsText" text="Yes">
      <formula>NOT(ISERROR(SEARCH(("Yes"),(P273))))</formula>
    </cfRule>
  </conditionalFormatting>
  <conditionalFormatting sqref="P273:Q274">
    <cfRule type="containsText" dxfId="2" priority="46453" operator="containsText" text="Yes">
      <formula>NOT(ISERROR(SEARCH(("Yes"),(P273))))</formula>
    </cfRule>
  </conditionalFormatting>
  <conditionalFormatting sqref="P273:Q274">
    <cfRule type="containsText" dxfId="2" priority="46454" operator="containsText" text="Yes">
      <formula>NOT(ISERROR(SEARCH(("Yes"),(P273))))</formula>
    </cfRule>
  </conditionalFormatting>
  <conditionalFormatting sqref="P273:Q274">
    <cfRule type="containsText" dxfId="2" priority="46455" operator="containsText" text="Yes">
      <formula>NOT(ISERROR(SEARCH(("Yes"),(P273))))</formula>
    </cfRule>
  </conditionalFormatting>
  <conditionalFormatting sqref="P273:Q274">
    <cfRule type="containsText" dxfId="2" priority="46456" operator="containsText" text="Yes">
      <formula>NOT(ISERROR(SEARCH(("Yes"),(P273))))</formula>
    </cfRule>
  </conditionalFormatting>
  <conditionalFormatting sqref="P273:Q274">
    <cfRule type="containsText" dxfId="2" priority="46457" operator="containsText" text="Yes">
      <formula>NOT(ISERROR(SEARCH(("Yes"),(P273))))</formula>
    </cfRule>
  </conditionalFormatting>
  <conditionalFormatting sqref="P273:Q274">
    <cfRule type="containsText" dxfId="2" priority="46458" operator="containsText" text="Yes">
      <formula>NOT(ISERROR(SEARCH(("Yes"),(P273))))</formula>
    </cfRule>
  </conditionalFormatting>
  <conditionalFormatting sqref="P273:Q274">
    <cfRule type="containsText" dxfId="2" priority="46459" operator="containsText" text="Yes">
      <formula>NOT(ISERROR(SEARCH(("Yes"),(P273))))</formula>
    </cfRule>
  </conditionalFormatting>
  <conditionalFormatting sqref="P273:Q274">
    <cfRule type="containsText" dxfId="2" priority="46460" operator="containsText" text="Yes">
      <formula>NOT(ISERROR(SEARCH(("Yes"),(P273))))</formula>
    </cfRule>
  </conditionalFormatting>
  <conditionalFormatting sqref="P273:Q274">
    <cfRule type="containsText" dxfId="2" priority="46461" operator="containsText" text="Yes">
      <formula>NOT(ISERROR(SEARCH(("Yes"),(P273))))</formula>
    </cfRule>
  </conditionalFormatting>
  <conditionalFormatting sqref="P273:Q274">
    <cfRule type="containsText" dxfId="2" priority="46462" operator="containsText" text="Yes">
      <formula>NOT(ISERROR(SEARCH(("Yes"),(P273))))</formula>
    </cfRule>
  </conditionalFormatting>
  <conditionalFormatting sqref="P273:Q274">
    <cfRule type="containsText" dxfId="2" priority="46463" operator="containsText" text="Yes">
      <formula>NOT(ISERROR(SEARCH(("Yes"),(P273))))</formula>
    </cfRule>
  </conditionalFormatting>
  <conditionalFormatting sqref="P273:Q274">
    <cfRule type="containsText" dxfId="2" priority="46464" operator="containsText" text="Yes">
      <formula>NOT(ISERROR(SEARCH(("Yes"),(P273))))</formula>
    </cfRule>
  </conditionalFormatting>
  <conditionalFormatting sqref="P273:Q274">
    <cfRule type="containsText" dxfId="2" priority="46465" operator="containsText" text="Yes">
      <formula>NOT(ISERROR(SEARCH(("Yes"),(P273))))</formula>
    </cfRule>
  </conditionalFormatting>
  <conditionalFormatting sqref="P273:Q274">
    <cfRule type="containsText" dxfId="2" priority="46466" operator="containsText" text="Yes">
      <formula>NOT(ISERROR(SEARCH(("Yes"),(P273))))</formula>
    </cfRule>
  </conditionalFormatting>
  <conditionalFormatting sqref="P273:Q274">
    <cfRule type="containsText" dxfId="2" priority="46467" operator="containsText" text="Yes">
      <formula>NOT(ISERROR(SEARCH(("Yes"),(P273))))</formula>
    </cfRule>
  </conditionalFormatting>
  <conditionalFormatting sqref="P273:Q274">
    <cfRule type="containsText" dxfId="2" priority="46468" operator="containsText" text="Yes">
      <formula>NOT(ISERROR(SEARCH(("Yes"),(P273))))</formula>
    </cfRule>
  </conditionalFormatting>
  <conditionalFormatting sqref="N273">
    <cfRule type="containsText" dxfId="9" priority="46469" operator="containsText" text="No">
      <formula>NOT(ISERROR(SEARCH(("No"),(N273))))</formula>
    </cfRule>
  </conditionalFormatting>
  <conditionalFormatting sqref="N273">
    <cfRule type="containsText" dxfId="9" priority="46470" operator="containsText" text="No">
      <formula>NOT(ISERROR(SEARCH(("No"),(N273))))</formula>
    </cfRule>
  </conditionalFormatting>
  <conditionalFormatting sqref="N273">
    <cfRule type="containsText" dxfId="9" priority="46471" operator="containsText" text="No">
      <formula>NOT(ISERROR(SEARCH(("No"),(N273))))</formula>
    </cfRule>
  </conditionalFormatting>
  <conditionalFormatting sqref="N273">
    <cfRule type="containsText" dxfId="2" priority="46472" operator="containsText" text="Yes">
      <formula>NOT(ISERROR(SEARCH(("Yes"),(N273))))</formula>
    </cfRule>
  </conditionalFormatting>
  <conditionalFormatting sqref="N273">
    <cfRule type="containsText" dxfId="2" priority="46473" operator="containsText" text="Yes">
      <formula>NOT(ISERROR(SEARCH(("Yes"),(N273))))</formula>
    </cfRule>
  </conditionalFormatting>
  <conditionalFormatting sqref="N273">
    <cfRule type="containsText" dxfId="2" priority="46474" operator="containsText" text="Yes">
      <formula>NOT(ISERROR(SEARCH(("Yes"),(N273))))</formula>
    </cfRule>
  </conditionalFormatting>
  <conditionalFormatting sqref="N273">
    <cfRule type="containsText" dxfId="2" priority="46475" operator="containsText" text="Yes">
      <formula>NOT(ISERROR(SEARCH(("Yes"),(N273))))</formula>
    </cfRule>
  </conditionalFormatting>
  <conditionalFormatting sqref="N273">
    <cfRule type="containsText" dxfId="2" priority="46476" operator="containsText" text="Yes">
      <formula>NOT(ISERROR(SEARCH(("Yes"),(N273))))</formula>
    </cfRule>
  </conditionalFormatting>
  <conditionalFormatting sqref="N273">
    <cfRule type="containsText" dxfId="9" priority="46477" operator="containsText" text="No">
      <formula>NOT(ISERROR(SEARCH(("No"),(N273))))</formula>
    </cfRule>
  </conditionalFormatting>
  <conditionalFormatting sqref="N273">
    <cfRule type="containsText" dxfId="9" priority="46478" operator="containsText" text="No">
      <formula>NOT(ISERROR(SEARCH(("No"),(N273))))</formula>
    </cfRule>
  </conditionalFormatting>
  <conditionalFormatting sqref="N273">
    <cfRule type="containsText" dxfId="2" priority="46479" operator="containsText" text="Yes">
      <formula>NOT(ISERROR(SEARCH(("Yes"),(N273))))</formula>
    </cfRule>
  </conditionalFormatting>
  <conditionalFormatting sqref="O274 O276:O282 O286 O295 O300 O329 P283:Q284 P287:Q292 P294:Q294 P304:Q304 P307:Q307 P310:Q311 P313:Q316 P318:Q318 P321:Q322 P343:Q346">
    <cfRule type="containsText" dxfId="9" priority="46480" operator="containsText" text="No">
      <formula>NOT(ISERROR(SEARCH(("No"),(O274))))</formula>
    </cfRule>
  </conditionalFormatting>
  <conditionalFormatting sqref="O274 O276:O282 O286 O295 O300 O329 P283:Q284 P287:Q292 P294:Q294 P304:Q304 P307:Q307 P310:Q311 P313:Q316 P318:Q318 P321:Q322 P343:Q346">
    <cfRule type="containsText" dxfId="9" priority="46481" operator="containsText" text="No">
      <formula>NOT(ISERROR(SEARCH(("No"),(O274))))</formula>
    </cfRule>
  </conditionalFormatting>
  <conditionalFormatting sqref="O274 O276:O282 O286 O295 O300 O329 P283:Q284 P287:Q292 P294:Q294 P304:Q304 P307:Q307 P310:Q311 P313:Q316 P318:Q318 P321:Q322 P343:Q346">
    <cfRule type="containsText" dxfId="9" priority="46482" operator="containsText" text="No">
      <formula>NOT(ISERROR(SEARCH(("No"),(O274))))</formula>
    </cfRule>
  </conditionalFormatting>
  <conditionalFormatting sqref="O274 O276:O282 O286 O295 O300 O329 P283:Q284 P287:Q292 P294:Q294 P304:Q304 P307:Q307 P310:Q311 P313:Q316 P318:Q318 P321:Q322 P343:Q346">
    <cfRule type="containsText" dxfId="2" priority="46483" operator="containsText" text="Yes">
      <formula>NOT(ISERROR(SEARCH(("Yes"),(O274))))</formula>
    </cfRule>
  </conditionalFormatting>
  <conditionalFormatting sqref="O274 O276:O282 O286 O295 O300 O329 P283:Q284 P287:Q292 P294:Q294 P304:Q304 P307:Q307 P310:Q311 P313:Q316 P318:Q318 P321:Q322 P343:Q346">
    <cfRule type="containsText" dxfId="2" priority="46484" operator="containsText" text="Yes">
      <formula>NOT(ISERROR(SEARCH(("Yes"),(O274))))</formula>
    </cfRule>
  </conditionalFormatting>
  <conditionalFormatting sqref="O274 O276:O282 O286 O295 O300 O329 P283:Q284 P287:Q292 P294:Q294 P304:Q304 P307:Q307 P310:Q311 P313:Q316 P318:Q318 P321:Q322 P343:Q346">
    <cfRule type="containsText" dxfId="2" priority="46485" operator="containsText" text="Yes">
      <formula>NOT(ISERROR(SEARCH(("Yes"),(O274))))</formula>
    </cfRule>
  </conditionalFormatting>
  <conditionalFormatting sqref="O274 O276:O282 O286 O295 O300 O329 P283:Q284 P287:Q292 P294:Q294 P304:Q304 P307:Q307 P310:Q311 P313:Q316 P318:Q318 P321:Q322 P343:Q346">
    <cfRule type="containsText" dxfId="2" priority="46486" operator="containsText" text="Yes">
      <formula>NOT(ISERROR(SEARCH(("Yes"),(O274))))</formula>
    </cfRule>
  </conditionalFormatting>
  <conditionalFormatting sqref="O274 O276:O282 O286 O295 O300 O329 P283:Q284 P287:Q292 P294:Q294 P304:Q304 P307:Q307 P310:Q311 P313:Q316 P318:Q318 P321:Q322 P343:Q346">
    <cfRule type="containsText" dxfId="2" priority="46487" operator="containsText" text="Yes">
      <formula>NOT(ISERROR(SEARCH(("Yes"),(O274))))</formula>
    </cfRule>
  </conditionalFormatting>
  <conditionalFormatting sqref="O274 O276:O282 O286 O295 O300 O329 P283:Q284 P287:Q292 P294:Q294 P304:Q304 P307:Q307 P310:Q311 P313:Q316 P318:Q318 P321:Q322 P343:Q346">
    <cfRule type="containsText" dxfId="9" priority="46488" operator="containsText" text="No">
      <formula>NOT(ISERROR(SEARCH(("No"),(O274))))</formula>
    </cfRule>
  </conditionalFormatting>
  <conditionalFormatting sqref="O274 O276:O282 O286 O295 O300 O329 P283:Q284 P287:Q292 P294:Q294 P304:Q304 P307:Q307 P310:Q311 P313:Q316 P318:Q318 P321:Q322 P343:Q346">
    <cfRule type="containsText" dxfId="9" priority="46489" operator="containsText" text="No">
      <formula>NOT(ISERROR(SEARCH(("No"),(O274))))</formula>
    </cfRule>
  </conditionalFormatting>
  <conditionalFormatting sqref="O274 O276:O282 O286 O295 O300 O329 P283:Q284 P287:Q292 P294:Q294 P304:Q304 P307:Q307 P310:Q311 P313:Q316 P318:Q318 P321:Q322 P343:Q346">
    <cfRule type="containsText" dxfId="2" priority="46490" operator="containsText" text="Yes">
      <formula>NOT(ISERROR(SEARCH(("Yes"),(O274))))</formula>
    </cfRule>
  </conditionalFormatting>
  <conditionalFormatting sqref="P274:Q274">
    <cfRule type="containsText" dxfId="9" priority="46491" operator="containsText" text="No">
      <formula>NOT(ISERROR(SEARCH(("No"),(P274))))</formula>
    </cfRule>
  </conditionalFormatting>
  <conditionalFormatting sqref="P274:Q274">
    <cfRule type="containsText" dxfId="9" priority="46492" operator="containsText" text="No">
      <formula>NOT(ISERROR(SEARCH(("No"),(P274))))</formula>
    </cfRule>
  </conditionalFormatting>
  <conditionalFormatting sqref="P274:Q274">
    <cfRule type="containsText" dxfId="9" priority="46493" operator="containsText" text="No">
      <formula>NOT(ISERROR(SEARCH(("No"),(P274))))</formula>
    </cfRule>
  </conditionalFormatting>
  <conditionalFormatting sqref="P274:Q274">
    <cfRule type="containsText" dxfId="9" priority="46494" operator="containsText" text="No">
      <formula>NOT(ISERROR(SEARCH(("No"),(P274))))</formula>
    </cfRule>
  </conditionalFormatting>
  <conditionalFormatting sqref="P274:Q274">
    <cfRule type="containsText" dxfId="9" priority="46495" operator="containsText" text="No">
      <formula>NOT(ISERROR(SEARCH(("No"),(P274))))</formula>
    </cfRule>
  </conditionalFormatting>
  <conditionalFormatting sqref="P274:Q274">
    <cfRule type="containsText" dxfId="9" priority="46496" operator="containsText" text="No">
      <formula>NOT(ISERROR(SEARCH(("No"),(P274))))</formula>
    </cfRule>
  </conditionalFormatting>
  <conditionalFormatting sqref="P274:Q274">
    <cfRule type="containsText" dxfId="9" priority="46497" operator="containsText" text="No">
      <formula>NOT(ISERROR(SEARCH(("No"),(P274))))</formula>
    </cfRule>
  </conditionalFormatting>
  <conditionalFormatting sqref="P274:Q274">
    <cfRule type="containsText" dxfId="9" priority="46498" operator="containsText" text="No">
      <formula>NOT(ISERROR(SEARCH(("No"),(P274))))</formula>
    </cfRule>
  </conditionalFormatting>
  <conditionalFormatting sqref="P274:Q274">
    <cfRule type="containsText" dxfId="9" priority="46499" operator="containsText" text="No">
      <formula>NOT(ISERROR(SEARCH(("No"),(P274))))</formula>
    </cfRule>
  </conditionalFormatting>
  <conditionalFormatting sqref="P274:Q274">
    <cfRule type="containsText" dxfId="9" priority="46500" operator="containsText" text="No">
      <formula>NOT(ISERROR(SEARCH(("No"),(P274))))</formula>
    </cfRule>
  </conditionalFormatting>
  <conditionalFormatting sqref="P274:Q274">
    <cfRule type="containsText" dxfId="9" priority="46501" operator="containsText" text="No">
      <formula>NOT(ISERROR(SEARCH(("No"),(P274))))</formula>
    </cfRule>
  </conditionalFormatting>
  <conditionalFormatting sqref="P274:Q274">
    <cfRule type="containsText" dxfId="9" priority="46502" operator="containsText" text="No">
      <formula>NOT(ISERROR(SEARCH(("No"),(P274))))</formula>
    </cfRule>
  </conditionalFormatting>
  <conditionalFormatting sqref="P274:Q274">
    <cfRule type="containsText" dxfId="9" priority="46503" operator="containsText" text="No">
      <formula>NOT(ISERROR(SEARCH(("No"),(P274))))</formula>
    </cfRule>
  </conditionalFormatting>
  <conditionalFormatting sqref="P274:Q274">
    <cfRule type="containsText" dxfId="9" priority="46504" operator="containsText" text="No">
      <formula>NOT(ISERROR(SEARCH(("No"),(P274))))</formula>
    </cfRule>
  </conditionalFormatting>
  <conditionalFormatting sqref="P274:Q274">
    <cfRule type="containsText" dxfId="9" priority="46505" operator="containsText" text="No">
      <formula>NOT(ISERROR(SEARCH(("No"),(P274))))</formula>
    </cfRule>
  </conditionalFormatting>
  <conditionalFormatting sqref="P274:Q274">
    <cfRule type="containsText" dxfId="9" priority="46506" operator="containsText" text="No">
      <formula>NOT(ISERROR(SEARCH(("No"),(P274))))</formula>
    </cfRule>
  </conditionalFormatting>
  <conditionalFormatting sqref="P274:Q274">
    <cfRule type="containsText" dxfId="9" priority="46507" operator="containsText" text="No">
      <formula>NOT(ISERROR(SEARCH(("No"),(P274))))</formula>
    </cfRule>
  </conditionalFormatting>
  <conditionalFormatting sqref="P274:Q274">
    <cfRule type="containsText" dxfId="9" priority="46508" operator="containsText" text="No">
      <formula>NOT(ISERROR(SEARCH(("No"),(P274))))</formula>
    </cfRule>
  </conditionalFormatting>
  <conditionalFormatting sqref="P274:Q274">
    <cfRule type="containsText" dxfId="9" priority="46509" operator="containsText" text="No">
      <formula>NOT(ISERROR(SEARCH(("No"),(P274))))</formula>
    </cfRule>
  </conditionalFormatting>
  <conditionalFormatting sqref="P274:Q274">
    <cfRule type="containsText" dxfId="9" priority="46510" operator="containsText" text="No">
      <formula>NOT(ISERROR(SEARCH(("No"),(P274))))</formula>
    </cfRule>
  </conditionalFormatting>
  <conditionalFormatting sqref="P274:Q274">
    <cfRule type="containsText" dxfId="9" priority="46511" operator="containsText" text="No">
      <formula>NOT(ISERROR(SEARCH(("No"),(P274))))</formula>
    </cfRule>
  </conditionalFormatting>
  <conditionalFormatting sqref="P274:Q274">
    <cfRule type="containsText" dxfId="9" priority="46512" operator="containsText" text="No">
      <formula>NOT(ISERROR(SEARCH(("No"),(P274))))</formula>
    </cfRule>
  </conditionalFormatting>
  <conditionalFormatting sqref="P274:Q274">
    <cfRule type="containsText" dxfId="9" priority="46513" operator="containsText" text="No">
      <formula>NOT(ISERROR(SEARCH(("No"),(P274))))</formula>
    </cfRule>
  </conditionalFormatting>
  <conditionalFormatting sqref="P274:Q274">
    <cfRule type="containsText" dxfId="9" priority="46514" operator="containsText" text="No">
      <formula>NOT(ISERROR(SEARCH(("No"),(P274))))</formula>
    </cfRule>
  </conditionalFormatting>
  <conditionalFormatting sqref="P274:Q274">
    <cfRule type="containsText" dxfId="9" priority="46515" operator="containsText" text="No">
      <formula>NOT(ISERROR(SEARCH(("No"),(P274))))</formula>
    </cfRule>
  </conditionalFormatting>
  <conditionalFormatting sqref="P274:Q274">
    <cfRule type="containsText" dxfId="9" priority="46516" operator="containsText" text="No">
      <formula>NOT(ISERROR(SEARCH(("No"),(P274))))</formula>
    </cfRule>
  </conditionalFormatting>
  <conditionalFormatting sqref="P274:Q274">
    <cfRule type="containsText" dxfId="9" priority="46517" operator="containsText" text="No">
      <formula>NOT(ISERROR(SEARCH(("No"),(P274))))</formula>
    </cfRule>
  </conditionalFormatting>
  <conditionalFormatting sqref="P274:Q274">
    <cfRule type="containsText" dxfId="9" priority="46518" operator="containsText" text="No">
      <formula>NOT(ISERROR(SEARCH(("No"),(P274))))</formula>
    </cfRule>
  </conditionalFormatting>
  <conditionalFormatting sqref="P274:Q274">
    <cfRule type="containsText" dxfId="9" priority="46519" operator="containsText" text="No">
      <formula>NOT(ISERROR(SEARCH(("No"),(P274))))</formula>
    </cfRule>
  </conditionalFormatting>
  <conditionalFormatting sqref="P274:Q274">
    <cfRule type="containsText" dxfId="9" priority="46520" operator="containsText" text="No">
      <formula>NOT(ISERROR(SEARCH(("No"),(P274))))</formula>
    </cfRule>
  </conditionalFormatting>
  <conditionalFormatting sqref="P274:Q274">
    <cfRule type="containsText" dxfId="9" priority="46521" operator="containsText" text="No">
      <formula>NOT(ISERROR(SEARCH(("No"),(P274))))</formula>
    </cfRule>
  </conditionalFormatting>
  <conditionalFormatting sqref="P274:Q274">
    <cfRule type="containsText" dxfId="9" priority="46522" operator="containsText" text="No">
      <formula>NOT(ISERROR(SEARCH(("No"),(P274))))</formula>
    </cfRule>
  </conditionalFormatting>
  <conditionalFormatting sqref="P274:Q274">
    <cfRule type="containsText" dxfId="9" priority="46523" operator="containsText" text="No">
      <formula>NOT(ISERROR(SEARCH(("No"),(P274))))</formula>
    </cfRule>
  </conditionalFormatting>
  <conditionalFormatting sqref="P274:Q274">
    <cfRule type="containsText" dxfId="9" priority="46524" operator="containsText" text="No">
      <formula>NOT(ISERROR(SEARCH(("No"),(P274))))</formula>
    </cfRule>
  </conditionalFormatting>
  <conditionalFormatting sqref="P274:Q274">
    <cfRule type="containsText" dxfId="9" priority="46525" operator="containsText" text="No">
      <formula>NOT(ISERROR(SEARCH(("No"),(P274))))</formula>
    </cfRule>
  </conditionalFormatting>
  <conditionalFormatting sqref="P274:Q274">
    <cfRule type="containsText" dxfId="9" priority="46526" operator="containsText" text="No">
      <formula>NOT(ISERROR(SEARCH(("No"),(P274))))</formula>
    </cfRule>
  </conditionalFormatting>
  <conditionalFormatting sqref="P274:Q274">
    <cfRule type="containsText" dxfId="9" priority="46527" operator="containsText" text="No">
      <formula>NOT(ISERROR(SEARCH(("No"),(P274))))</formula>
    </cfRule>
  </conditionalFormatting>
  <conditionalFormatting sqref="P274:Q274">
    <cfRule type="containsText" dxfId="9" priority="46528" operator="containsText" text="No">
      <formula>NOT(ISERROR(SEARCH(("No"),(P274))))</formula>
    </cfRule>
  </conditionalFormatting>
  <conditionalFormatting sqref="P274:Q274">
    <cfRule type="containsText" dxfId="9" priority="46529" operator="containsText" text="No">
      <formula>NOT(ISERROR(SEARCH(("No"),(P274))))</formula>
    </cfRule>
  </conditionalFormatting>
  <conditionalFormatting sqref="P274:Q274">
    <cfRule type="containsText" dxfId="9" priority="46530" operator="containsText" text="No">
      <formula>NOT(ISERROR(SEARCH(("No"),(P274))))</formula>
    </cfRule>
  </conditionalFormatting>
  <conditionalFormatting sqref="P274:Q274">
    <cfRule type="containsText" dxfId="9" priority="46531" operator="containsText" text="No">
      <formula>NOT(ISERROR(SEARCH(("No"),(P274))))</formula>
    </cfRule>
  </conditionalFormatting>
  <conditionalFormatting sqref="P274:Q274">
    <cfRule type="containsText" dxfId="9" priority="46532" operator="containsText" text="No">
      <formula>NOT(ISERROR(SEARCH(("No"),(P274))))</formula>
    </cfRule>
  </conditionalFormatting>
  <conditionalFormatting sqref="P274:Q274">
    <cfRule type="containsText" dxfId="9" priority="46533" operator="containsText" text="No">
      <formula>NOT(ISERROR(SEARCH(("No"),(P274))))</formula>
    </cfRule>
  </conditionalFormatting>
  <conditionalFormatting sqref="P274:Q274">
    <cfRule type="containsText" dxfId="9" priority="46534" operator="containsText" text="No">
      <formula>NOT(ISERROR(SEARCH(("No"),(P274))))</formula>
    </cfRule>
  </conditionalFormatting>
  <conditionalFormatting sqref="P274:Q274">
    <cfRule type="containsText" dxfId="9" priority="46535" operator="containsText" text="No">
      <formula>NOT(ISERROR(SEARCH(("No"),(P274))))</formula>
    </cfRule>
  </conditionalFormatting>
  <conditionalFormatting sqref="P274:Q274">
    <cfRule type="containsText" dxfId="2" priority="46536" operator="containsText" text="Yes">
      <formula>NOT(ISERROR(SEARCH(("Yes"),(P274))))</formula>
    </cfRule>
  </conditionalFormatting>
  <conditionalFormatting sqref="P274:Q274">
    <cfRule type="containsText" dxfId="2" priority="46537" operator="containsText" text="Yes">
      <formula>NOT(ISERROR(SEARCH(("Yes"),(P274))))</formula>
    </cfRule>
  </conditionalFormatting>
  <conditionalFormatting sqref="P274:Q274">
    <cfRule type="containsText" dxfId="2" priority="46538" operator="containsText" text="Yes">
      <formula>NOT(ISERROR(SEARCH(("Yes"),(P274))))</formula>
    </cfRule>
  </conditionalFormatting>
  <conditionalFormatting sqref="P274:Q274">
    <cfRule type="containsText" dxfId="2" priority="46539" operator="containsText" text="Yes">
      <formula>NOT(ISERROR(SEARCH(("Yes"),(P274))))</formula>
    </cfRule>
  </conditionalFormatting>
  <conditionalFormatting sqref="P274:Q274">
    <cfRule type="containsText" dxfId="2" priority="46540" operator="containsText" text="Yes">
      <formula>NOT(ISERROR(SEARCH(("Yes"),(P274))))</formula>
    </cfRule>
  </conditionalFormatting>
  <conditionalFormatting sqref="P274:Q274">
    <cfRule type="containsText" dxfId="2" priority="46541" operator="containsText" text="Yes">
      <formula>NOT(ISERROR(SEARCH(("Yes"),(P274))))</formula>
    </cfRule>
  </conditionalFormatting>
  <conditionalFormatting sqref="P274:Q274">
    <cfRule type="containsText" dxfId="2" priority="46542" operator="containsText" text="Yes">
      <formula>NOT(ISERROR(SEARCH(("Yes"),(P274))))</formula>
    </cfRule>
  </conditionalFormatting>
  <conditionalFormatting sqref="P274:Q274">
    <cfRule type="containsText" dxfId="2" priority="46543" operator="containsText" text="Yes">
      <formula>NOT(ISERROR(SEARCH(("Yes"),(P274))))</formula>
    </cfRule>
  </conditionalFormatting>
  <conditionalFormatting sqref="P274:Q274">
    <cfRule type="containsText" dxfId="2" priority="46544" operator="containsText" text="Yes">
      <formula>NOT(ISERROR(SEARCH(("Yes"),(P274))))</formula>
    </cfRule>
  </conditionalFormatting>
  <conditionalFormatting sqref="P274:Q274">
    <cfRule type="containsText" dxfId="2" priority="46545" operator="containsText" text="Yes">
      <formula>NOT(ISERROR(SEARCH(("Yes"),(P274))))</formula>
    </cfRule>
  </conditionalFormatting>
  <conditionalFormatting sqref="P274:Q274">
    <cfRule type="containsText" dxfId="2" priority="46546" operator="containsText" text="Yes">
      <formula>NOT(ISERROR(SEARCH(("Yes"),(P274))))</formula>
    </cfRule>
  </conditionalFormatting>
  <conditionalFormatting sqref="P274:Q274">
    <cfRule type="containsText" dxfId="2" priority="46547" operator="containsText" text="Yes">
      <formula>NOT(ISERROR(SEARCH(("Yes"),(P274))))</formula>
    </cfRule>
  </conditionalFormatting>
  <conditionalFormatting sqref="P274:Q274">
    <cfRule type="containsText" dxfId="2" priority="46548" operator="containsText" text="Yes">
      <formula>NOT(ISERROR(SEARCH(("Yes"),(P274))))</formula>
    </cfRule>
  </conditionalFormatting>
  <conditionalFormatting sqref="P274:Q274">
    <cfRule type="containsText" dxfId="2" priority="46549" operator="containsText" text="Yes">
      <formula>NOT(ISERROR(SEARCH(("Yes"),(P274))))</formula>
    </cfRule>
  </conditionalFormatting>
  <conditionalFormatting sqref="P274:Q274">
    <cfRule type="containsText" dxfId="2" priority="46550" operator="containsText" text="Yes">
      <formula>NOT(ISERROR(SEARCH(("Yes"),(P274))))</formula>
    </cfRule>
  </conditionalFormatting>
  <conditionalFormatting sqref="P274:Q274">
    <cfRule type="containsText" dxfId="2" priority="46551" operator="containsText" text="Yes">
      <formula>NOT(ISERROR(SEARCH(("Yes"),(P274))))</formula>
    </cfRule>
  </conditionalFormatting>
  <conditionalFormatting sqref="P274:Q274">
    <cfRule type="containsText" dxfId="2" priority="46552" operator="containsText" text="Yes">
      <formula>NOT(ISERROR(SEARCH(("Yes"),(P274))))</formula>
    </cfRule>
  </conditionalFormatting>
  <conditionalFormatting sqref="P274:Q274">
    <cfRule type="containsText" dxfId="2" priority="46553" operator="containsText" text="Yes">
      <formula>NOT(ISERROR(SEARCH(("Yes"),(P274))))</formula>
    </cfRule>
  </conditionalFormatting>
  <conditionalFormatting sqref="P274:Q274">
    <cfRule type="containsText" dxfId="2" priority="46554" operator="containsText" text="Yes">
      <formula>NOT(ISERROR(SEARCH(("Yes"),(P274))))</formula>
    </cfRule>
  </conditionalFormatting>
  <conditionalFormatting sqref="P274:Q274">
    <cfRule type="containsText" dxfId="2" priority="46555" operator="containsText" text="Yes">
      <formula>NOT(ISERROR(SEARCH(("Yes"),(P274))))</formula>
    </cfRule>
  </conditionalFormatting>
  <conditionalFormatting sqref="P274:Q274">
    <cfRule type="containsText" dxfId="2" priority="46556" operator="containsText" text="Yes">
      <formula>NOT(ISERROR(SEARCH(("Yes"),(P274))))</formula>
    </cfRule>
  </conditionalFormatting>
  <conditionalFormatting sqref="P274:Q274">
    <cfRule type="containsText" dxfId="2" priority="46557" operator="containsText" text="Yes">
      <formula>NOT(ISERROR(SEARCH(("Yes"),(P274))))</formula>
    </cfRule>
  </conditionalFormatting>
  <conditionalFormatting sqref="P274:Q274">
    <cfRule type="containsText" dxfId="2" priority="46558" operator="containsText" text="Yes">
      <formula>NOT(ISERROR(SEARCH(("Yes"),(P274))))</formula>
    </cfRule>
  </conditionalFormatting>
  <conditionalFormatting sqref="P274:Q274">
    <cfRule type="containsText" dxfId="2" priority="46559" operator="containsText" text="Yes">
      <formula>NOT(ISERROR(SEARCH(("Yes"),(P274))))</formula>
    </cfRule>
  </conditionalFormatting>
  <conditionalFormatting sqref="P274:Q274">
    <cfRule type="containsText" dxfId="2" priority="46560" operator="containsText" text="Yes">
      <formula>NOT(ISERROR(SEARCH(("Yes"),(P274))))</formula>
    </cfRule>
  </conditionalFormatting>
  <conditionalFormatting sqref="P274:Q274">
    <cfRule type="containsText" dxfId="2" priority="46561" operator="containsText" text="Yes">
      <formula>NOT(ISERROR(SEARCH(("Yes"),(P274))))</formula>
    </cfRule>
  </conditionalFormatting>
  <conditionalFormatting sqref="P274:Q274">
    <cfRule type="containsText" dxfId="2" priority="46562" operator="containsText" text="Yes">
      <formula>NOT(ISERROR(SEARCH(("Yes"),(P274))))</formula>
    </cfRule>
  </conditionalFormatting>
  <conditionalFormatting sqref="P274:Q274">
    <cfRule type="containsText" dxfId="2" priority="46563" operator="containsText" text="Yes">
      <formula>NOT(ISERROR(SEARCH(("Yes"),(P274))))</formula>
    </cfRule>
  </conditionalFormatting>
  <conditionalFormatting sqref="P274:Q274">
    <cfRule type="containsText" dxfId="2" priority="46564" operator="containsText" text="Yes">
      <formula>NOT(ISERROR(SEARCH(("Yes"),(P274))))</formula>
    </cfRule>
  </conditionalFormatting>
  <conditionalFormatting sqref="P274:Q274">
    <cfRule type="containsText" dxfId="2" priority="46565" operator="containsText" text="Yes">
      <formula>NOT(ISERROR(SEARCH(("Yes"),(P274))))</formula>
    </cfRule>
  </conditionalFormatting>
  <conditionalFormatting sqref="P274:Q274">
    <cfRule type="containsText" dxfId="2" priority="46566" operator="containsText" text="Yes">
      <formula>NOT(ISERROR(SEARCH(("Yes"),(P274))))</formula>
    </cfRule>
  </conditionalFormatting>
  <conditionalFormatting sqref="P274:Q274">
    <cfRule type="containsText" dxfId="2" priority="46567" operator="containsText" text="Yes">
      <formula>NOT(ISERROR(SEARCH(("Yes"),(P274))))</formula>
    </cfRule>
  </conditionalFormatting>
  <conditionalFormatting sqref="P274:Q274">
    <cfRule type="containsText" dxfId="2" priority="46568" operator="containsText" text="Yes">
      <formula>NOT(ISERROR(SEARCH(("Yes"),(P274))))</formula>
    </cfRule>
  </conditionalFormatting>
  <conditionalFormatting sqref="P274:Q274">
    <cfRule type="containsText" dxfId="2" priority="46569" operator="containsText" text="Yes">
      <formula>NOT(ISERROR(SEARCH(("Yes"),(P274))))</formula>
    </cfRule>
  </conditionalFormatting>
  <conditionalFormatting sqref="P274:Q274">
    <cfRule type="containsText" dxfId="2" priority="46570" operator="containsText" text="Yes">
      <formula>NOT(ISERROR(SEARCH(("Yes"),(P274))))</formula>
    </cfRule>
  </conditionalFormatting>
  <conditionalFormatting sqref="P274:Q274">
    <cfRule type="containsText" dxfId="2" priority="46571" operator="containsText" text="Yes">
      <formula>NOT(ISERROR(SEARCH(("Yes"),(P274))))</formula>
    </cfRule>
  </conditionalFormatting>
  <conditionalFormatting sqref="P274:Q274">
    <cfRule type="containsText" dxfId="2" priority="46572" operator="containsText" text="Yes">
      <formula>NOT(ISERROR(SEARCH(("Yes"),(P274))))</formula>
    </cfRule>
  </conditionalFormatting>
  <conditionalFormatting sqref="P274:Q274">
    <cfRule type="containsText" dxfId="2" priority="46573" operator="containsText" text="Yes">
      <formula>NOT(ISERROR(SEARCH(("Yes"),(P274))))</formula>
    </cfRule>
  </conditionalFormatting>
  <conditionalFormatting sqref="P274:Q274">
    <cfRule type="containsText" dxfId="2" priority="46574" operator="containsText" text="Yes">
      <formula>NOT(ISERROR(SEARCH(("Yes"),(P274))))</formula>
    </cfRule>
  </conditionalFormatting>
  <conditionalFormatting sqref="P274:Q274">
    <cfRule type="containsText" dxfId="2" priority="46575" operator="containsText" text="Yes">
      <formula>NOT(ISERROR(SEARCH(("Yes"),(P274))))</formula>
    </cfRule>
  </conditionalFormatting>
  <conditionalFormatting sqref="P274:Q274">
    <cfRule type="containsText" dxfId="2" priority="46576" operator="containsText" text="Yes">
      <formula>NOT(ISERROR(SEARCH(("Yes"),(P274))))</formula>
    </cfRule>
  </conditionalFormatting>
  <conditionalFormatting sqref="P274:Q274">
    <cfRule type="containsText" dxfId="2" priority="46577" operator="containsText" text="Yes">
      <formula>NOT(ISERROR(SEARCH(("Yes"),(P274))))</formula>
    </cfRule>
  </conditionalFormatting>
  <conditionalFormatting sqref="P274:Q274">
    <cfRule type="containsText" dxfId="2" priority="46578" operator="containsText" text="Yes">
      <formula>NOT(ISERROR(SEARCH(("Yes"),(P274))))</formula>
    </cfRule>
  </conditionalFormatting>
  <conditionalFormatting sqref="P274:Q274">
    <cfRule type="containsText" dxfId="2" priority="46579" operator="containsText" text="Yes">
      <formula>NOT(ISERROR(SEARCH(("Yes"),(P274))))</formula>
    </cfRule>
  </conditionalFormatting>
  <conditionalFormatting sqref="P274:Q274">
    <cfRule type="containsText" dxfId="2" priority="46580" operator="containsText" text="Yes">
      <formula>NOT(ISERROR(SEARCH(("Yes"),(P274))))</formula>
    </cfRule>
  </conditionalFormatting>
  <conditionalFormatting sqref="P274:Q274">
    <cfRule type="containsText" dxfId="2" priority="46581" operator="containsText" text="Yes">
      <formula>NOT(ISERROR(SEARCH(("Yes"),(P274))))</formula>
    </cfRule>
  </conditionalFormatting>
  <conditionalFormatting sqref="P274:Q274">
    <cfRule type="containsText" dxfId="2" priority="46582" operator="containsText" text="Yes">
      <formula>NOT(ISERROR(SEARCH(("Yes"),(P274))))</formula>
    </cfRule>
  </conditionalFormatting>
  <conditionalFormatting sqref="N276:N282 N286 N300 O275:O295 O297:O300 O304:Q304 O307:Q307 O310:Q311 O313:Q316 O318:Q318 O321:Q322 O324 O327:O329 O333 O335 O338 O343:Q346 P276:Q284 P286:Q292 P294:Q295 P300:Q300 P329:Q329">
    <cfRule type="containsText" dxfId="9" priority="46583" operator="containsText" text="No">
      <formula>NOT(ISERROR(SEARCH(("No"),(N276))))</formula>
    </cfRule>
  </conditionalFormatting>
  <conditionalFormatting sqref="N276:N282 N286 N300 O275:O295 O297:O300 O304:Q304 O307:Q307 O310:Q311 O313:Q316 O318:Q318 O321:Q322 O324 O327:O329 O333 O335 O338 O343:Q346 P276:Q284 P286:Q292 P294:Q295 P300:Q300 P329:Q329">
    <cfRule type="containsText" dxfId="9" priority="46584" operator="containsText" text="No">
      <formula>NOT(ISERROR(SEARCH(("No"),(N276))))</formula>
    </cfRule>
  </conditionalFormatting>
  <conditionalFormatting sqref="N276:N282 N286 N300 O275:O295 O297:O300 O304:Q304 O307:Q307 O310:Q311 O313:Q316 O318:Q318 O321:Q322 O324 O327:O329 O333 O335 O338 O343:Q346 P276:Q284 P286:Q292 P294:Q295 P300:Q300 P329:Q329">
    <cfRule type="containsText" dxfId="9" priority="46585" operator="containsText" text="No">
      <formula>NOT(ISERROR(SEARCH(("No"),(N276))))</formula>
    </cfRule>
  </conditionalFormatting>
  <conditionalFormatting sqref="N276:N282 N286 N300 O275:O295 O297:O300 O304:Q304 O307:Q307 O310:Q311 O313:Q316 O318:Q318 O321:Q322 O324 O327:O329 O333 O335 O338 O343:Q346 P276:Q284 P286:Q292 P294:Q295 P300:Q300 P329:Q329">
    <cfRule type="containsText" dxfId="2" priority="46586" operator="containsText" text="Yes">
      <formula>NOT(ISERROR(SEARCH(("Yes"),(N276))))</formula>
    </cfRule>
  </conditionalFormatting>
  <conditionalFormatting sqref="N276:N282 N286 N300 O275:O295 O297:O300 O304:Q304 O307:Q307 O310:Q311 O313:Q316 O318:Q318 O321:Q322 O324 O327:O329 O333 O335 O338 O343:Q346 P276:Q284 P286:Q292 P294:Q295 P300:Q300 P329:Q329">
    <cfRule type="containsText" dxfId="2" priority="46587" operator="containsText" text="Yes">
      <formula>NOT(ISERROR(SEARCH(("Yes"),(N276))))</formula>
    </cfRule>
  </conditionalFormatting>
  <conditionalFormatting sqref="N276:N282 N286 N300 O275:O295 O297:O300 O304:Q304 O307:Q307 O310:Q311 O313:Q316 O318:Q318 O321:Q322 O324 O327:O329 O333 O335 O338 O343:Q346 P276:Q284 P286:Q292 P294:Q295 P300:Q300 P329:Q329">
    <cfRule type="containsText" dxfId="2" priority="46588" operator="containsText" text="Yes">
      <formula>NOT(ISERROR(SEARCH(("Yes"),(N276))))</formula>
    </cfRule>
  </conditionalFormatting>
  <conditionalFormatting sqref="N276:N282 N286 N300 O275:O295 O297:O300 O304:Q304 O307:Q307 O310:Q311 O313:Q316 O318:Q318 O321:Q322 O324 O327:O329 O333 O335 O338 O343:Q346 P276:Q284 P286:Q292 P294:Q295 P300:Q300 P329:Q329">
    <cfRule type="containsText" dxfId="2" priority="46589" operator="containsText" text="Yes">
      <formula>NOT(ISERROR(SEARCH(("Yes"),(N276))))</formula>
    </cfRule>
  </conditionalFormatting>
  <conditionalFormatting sqref="N276:N282 N286 N300 O275:O295 O297:O300 O304:Q304 O307:Q307 O310:Q311 O313:Q316 O318:Q318 O321:Q322 O324 O327:O329 O333 O335 O338 O343:Q346 P276:Q284 P286:Q292 P294:Q295 P300:Q300 P329:Q329">
    <cfRule type="containsText" dxfId="2" priority="46590" operator="containsText" text="Yes">
      <formula>NOT(ISERROR(SEARCH(("Yes"),(N276))))</formula>
    </cfRule>
  </conditionalFormatting>
  <conditionalFormatting sqref="N276:N282 N286 N300 O275:O295 O297:O300 O304:Q304 O307:Q307 O310:Q311 O313:Q316 O318:Q318 O321:Q322 O324 O327:O329 O333 O335 O338 O343:Q346 P276:Q284 P286:Q292 P294:Q295 P300:Q300 P329:Q329">
    <cfRule type="containsText" dxfId="9" priority="46591" operator="containsText" text="No">
      <formula>NOT(ISERROR(SEARCH(("No"),(N276))))</formula>
    </cfRule>
  </conditionalFormatting>
  <conditionalFormatting sqref="N276:N282 N286 N300 O275:O295 O297:O300 O304:Q304 O307:Q307 O310:Q311 O313:Q316 O318:Q318 O321:Q322 O324 O327:O329 O333 O335 O338 O343:Q346 P276:Q284 P286:Q292 P294:Q295 P300:Q300 P329:Q329">
    <cfRule type="containsText" dxfId="9" priority="46592" operator="containsText" text="No">
      <formula>NOT(ISERROR(SEARCH(("No"),(N276))))</formula>
    </cfRule>
  </conditionalFormatting>
  <conditionalFormatting sqref="N276:N282 N286 N300 O275:O295 O297:O300 O304:Q304 O307:Q307 O310:Q311 O313:Q316 O318:Q318 O321:Q322 O324 O327:O329 O333 O335 O338 O343:Q346 P276:Q284 P286:Q292 P294:Q295 P300:Q300 P329:Q329">
    <cfRule type="containsText" dxfId="2" priority="46593" operator="containsText" text="Yes">
      <formula>NOT(ISERROR(SEARCH(("Yes"),(N276))))</formula>
    </cfRule>
  </conditionalFormatting>
  <conditionalFormatting sqref="P275:Q279 P300:Q300 P329:Q329">
    <cfRule type="containsText" dxfId="9" priority="46594" operator="containsText" text="No">
      <formula>NOT(ISERROR(SEARCH(("No"),(P275))))</formula>
    </cfRule>
  </conditionalFormatting>
  <conditionalFormatting sqref="P275:Q279 P300:Q300 P329:Q329">
    <cfRule type="containsText" dxfId="9" priority="46595" operator="containsText" text="No">
      <formula>NOT(ISERROR(SEARCH(("No"),(P275))))</formula>
    </cfRule>
  </conditionalFormatting>
  <conditionalFormatting sqref="P275:Q279 P300:Q300 P329:Q329">
    <cfRule type="containsText" dxfId="9" priority="46596" operator="containsText" text="No">
      <formula>NOT(ISERROR(SEARCH(("No"),(P275))))</formula>
    </cfRule>
  </conditionalFormatting>
  <conditionalFormatting sqref="P275:Q279 P300:Q300 P329:Q329">
    <cfRule type="containsText" dxfId="9" priority="46597" operator="containsText" text="No">
      <formula>NOT(ISERROR(SEARCH(("No"),(P275))))</formula>
    </cfRule>
  </conditionalFormatting>
  <conditionalFormatting sqref="P275:Q279 P300:Q300 P329:Q329">
    <cfRule type="containsText" dxfId="9" priority="46598" operator="containsText" text="No">
      <formula>NOT(ISERROR(SEARCH(("No"),(P275))))</formula>
    </cfRule>
  </conditionalFormatting>
  <conditionalFormatting sqref="P275:Q279 P300:Q300 P329:Q329">
    <cfRule type="containsText" dxfId="9" priority="46599" operator="containsText" text="No">
      <formula>NOT(ISERROR(SEARCH(("No"),(P275))))</formula>
    </cfRule>
  </conditionalFormatting>
  <conditionalFormatting sqref="P275:Q279 P300:Q300 P329:Q329">
    <cfRule type="containsText" dxfId="9" priority="46600" operator="containsText" text="No">
      <formula>NOT(ISERROR(SEARCH(("No"),(P275))))</formula>
    </cfRule>
  </conditionalFormatting>
  <conditionalFormatting sqref="P275:Q279 P300:Q300 P329:Q329">
    <cfRule type="containsText" dxfId="9" priority="46601" operator="containsText" text="No">
      <formula>NOT(ISERROR(SEARCH(("No"),(P275))))</formula>
    </cfRule>
  </conditionalFormatting>
  <conditionalFormatting sqref="P275:Q279 P300:Q300 P329:Q329">
    <cfRule type="containsText" dxfId="9" priority="46602" operator="containsText" text="No">
      <formula>NOT(ISERROR(SEARCH(("No"),(P275))))</formula>
    </cfRule>
  </conditionalFormatting>
  <conditionalFormatting sqref="P275:Q279 P300:Q300 P329:Q329">
    <cfRule type="containsText" dxfId="9" priority="46603" operator="containsText" text="No">
      <formula>NOT(ISERROR(SEARCH(("No"),(P275))))</formula>
    </cfRule>
  </conditionalFormatting>
  <conditionalFormatting sqref="P275:Q279 P300:Q300 P329:Q329">
    <cfRule type="containsText" dxfId="9" priority="46604" operator="containsText" text="No">
      <formula>NOT(ISERROR(SEARCH(("No"),(P275))))</formula>
    </cfRule>
  </conditionalFormatting>
  <conditionalFormatting sqref="P275:Q279 P300:Q300 P329:Q329">
    <cfRule type="containsText" dxfId="9" priority="46605" operator="containsText" text="No">
      <formula>NOT(ISERROR(SEARCH(("No"),(P275))))</formula>
    </cfRule>
  </conditionalFormatting>
  <conditionalFormatting sqref="P275:Q279 P300:Q300 P329:Q329">
    <cfRule type="containsText" dxfId="9" priority="46606" operator="containsText" text="No">
      <formula>NOT(ISERROR(SEARCH(("No"),(P275))))</formula>
    </cfRule>
  </conditionalFormatting>
  <conditionalFormatting sqref="P275:Q279 P300:Q300 P329:Q329">
    <cfRule type="containsText" dxfId="9" priority="46607" operator="containsText" text="No">
      <formula>NOT(ISERROR(SEARCH(("No"),(P275))))</formula>
    </cfRule>
  </conditionalFormatting>
  <conditionalFormatting sqref="P275:Q279 P300:Q300 P329:Q329">
    <cfRule type="containsText" dxfId="9" priority="46608" operator="containsText" text="No">
      <formula>NOT(ISERROR(SEARCH(("No"),(P275))))</formula>
    </cfRule>
  </conditionalFormatting>
  <conditionalFormatting sqref="P275:Q279 P300:Q300 P329:Q329">
    <cfRule type="containsText" dxfId="9" priority="46609" operator="containsText" text="No">
      <formula>NOT(ISERROR(SEARCH(("No"),(P275))))</formula>
    </cfRule>
  </conditionalFormatting>
  <conditionalFormatting sqref="P275:Q279 P300:Q300 P329:Q329">
    <cfRule type="containsText" dxfId="9" priority="46610" operator="containsText" text="No">
      <formula>NOT(ISERROR(SEARCH(("No"),(P275))))</formula>
    </cfRule>
  </conditionalFormatting>
  <conditionalFormatting sqref="P275:Q279 P300:Q300 P329:Q329">
    <cfRule type="containsText" dxfId="9" priority="46611" operator="containsText" text="No">
      <formula>NOT(ISERROR(SEARCH(("No"),(P275))))</formula>
    </cfRule>
  </conditionalFormatting>
  <conditionalFormatting sqref="P275:Q279 P300:Q300 P329:Q329">
    <cfRule type="containsText" dxfId="9" priority="46612" operator="containsText" text="No">
      <formula>NOT(ISERROR(SEARCH(("No"),(P275))))</formula>
    </cfRule>
  </conditionalFormatting>
  <conditionalFormatting sqref="P275:Q279 P300:Q300 P329:Q329">
    <cfRule type="containsText" dxfId="9" priority="46613" operator="containsText" text="No">
      <formula>NOT(ISERROR(SEARCH(("No"),(P275))))</formula>
    </cfRule>
  </conditionalFormatting>
  <conditionalFormatting sqref="P275:Q279 P300:Q300 P329:Q329">
    <cfRule type="containsText" dxfId="9" priority="46614" operator="containsText" text="No">
      <formula>NOT(ISERROR(SEARCH(("No"),(P275))))</formula>
    </cfRule>
  </conditionalFormatting>
  <conditionalFormatting sqref="P275:Q279 P300:Q300 P329:Q329">
    <cfRule type="containsText" dxfId="9" priority="46615" operator="containsText" text="No">
      <formula>NOT(ISERROR(SEARCH(("No"),(P275))))</formula>
    </cfRule>
  </conditionalFormatting>
  <conditionalFormatting sqref="P275:Q279 P300:Q300 P329:Q329">
    <cfRule type="containsText" dxfId="9" priority="46616" operator="containsText" text="No">
      <formula>NOT(ISERROR(SEARCH(("No"),(P275))))</formula>
    </cfRule>
  </conditionalFormatting>
  <conditionalFormatting sqref="P275:Q279 P300:Q300 P329:Q329">
    <cfRule type="containsText" dxfId="9" priority="46617" operator="containsText" text="No">
      <formula>NOT(ISERROR(SEARCH(("No"),(P275))))</formula>
    </cfRule>
  </conditionalFormatting>
  <conditionalFormatting sqref="P275:Q279 P300:Q300 P329:Q329">
    <cfRule type="containsText" dxfId="9" priority="46618" operator="containsText" text="No">
      <formula>NOT(ISERROR(SEARCH(("No"),(P275))))</formula>
    </cfRule>
  </conditionalFormatting>
  <conditionalFormatting sqref="P275:Q279 P300:Q300 P329:Q329">
    <cfRule type="containsText" dxfId="9" priority="46619" operator="containsText" text="No">
      <formula>NOT(ISERROR(SEARCH(("No"),(P275))))</formula>
    </cfRule>
  </conditionalFormatting>
  <conditionalFormatting sqref="P275:Q279 P300:Q300 P329:Q329">
    <cfRule type="containsText" dxfId="9" priority="46620" operator="containsText" text="No">
      <formula>NOT(ISERROR(SEARCH(("No"),(P275))))</formula>
    </cfRule>
  </conditionalFormatting>
  <conditionalFormatting sqref="P275:Q279 P300:Q300 P329:Q329">
    <cfRule type="containsText" dxfId="9" priority="46621" operator="containsText" text="No">
      <formula>NOT(ISERROR(SEARCH(("No"),(P275))))</formula>
    </cfRule>
  </conditionalFormatting>
  <conditionalFormatting sqref="P275:Q279 P300:Q300 P329:Q329">
    <cfRule type="containsText" dxfId="9" priority="46622" operator="containsText" text="No">
      <formula>NOT(ISERROR(SEARCH(("No"),(P275))))</formula>
    </cfRule>
  </conditionalFormatting>
  <conditionalFormatting sqref="P275:Q279 P300:Q300 P329:Q329">
    <cfRule type="containsText" dxfId="9" priority="46623" operator="containsText" text="No">
      <formula>NOT(ISERROR(SEARCH(("No"),(P275))))</formula>
    </cfRule>
  </conditionalFormatting>
  <conditionalFormatting sqref="P275:Q279 P300:Q300 P329:Q329">
    <cfRule type="containsText" dxfId="9" priority="46624" operator="containsText" text="No">
      <formula>NOT(ISERROR(SEARCH(("No"),(P275))))</formula>
    </cfRule>
  </conditionalFormatting>
  <conditionalFormatting sqref="P275:Q279 P300:Q300 P329:Q329">
    <cfRule type="containsText" dxfId="9" priority="46625" operator="containsText" text="No">
      <formula>NOT(ISERROR(SEARCH(("No"),(P275))))</formula>
    </cfRule>
  </conditionalFormatting>
  <conditionalFormatting sqref="P275:Q279 P300:Q300 P329:Q329">
    <cfRule type="containsText" dxfId="9" priority="46626" operator="containsText" text="No">
      <formula>NOT(ISERROR(SEARCH(("No"),(P275))))</formula>
    </cfRule>
  </conditionalFormatting>
  <conditionalFormatting sqref="P275:Q279 P300:Q300 P329:Q329">
    <cfRule type="containsText" dxfId="9" priority="46627" operator="containsText" text="No">
      <formula>NOT(ISERROR(SEARCH(("No"),(P275))))</formula>
    </cfRule>
  </conditionalFormatting>
  <conditionalFormatting sqref="P275:Q279 P300:Q300 P329:Q329">
    <cfRule type="containsText" dxfId="9" priority="46628" operator="containsText" text="No">
      <formula>NOT(ISERROR(SEARCH(("No"),(P275))))</formula>
    </cfRule>
  </conditionalFormatting>
  <conditionalFormatting sqref="P275:Q279 P300:Q300 P329:Q329">
    <cfRule type="containsText" dxfId="9" priority="46629" operator="containsText" text="No">
      <formula>NOT(ISERROR(SEARCH(("No"),(P275))))</formula>
    </cfRule>
  </conditionalFormatting>
  <conditionalFormatting sqref="P275:Q279 P300:Q300 P329:Q329">
    <cfRule type="containsText" dxfId="9" priority="46630" operator="containsText" text="No">
      <formula>NOT(ISERROR(SEARCH(("No"),(P275))))</formula>
    </cfRule>
  </conditionalFormatting>
  <conditionalFormatting sqref="P275:Q279 P300:Q300 P329:Q329">
    <cfRule type="containsText" dxfId="9" priority="46631" operator="containsText" text="No">
      <formula>NOT(ISERROR(SEARCH(("No"),(P275))))</formula>
    </cfRule>
  </conditionalFormatting>
  <conditionalFormatting sqref="P275:Q279 P300:Q300 P329:Q329">
    <cfRule type="containsText" dxfId="9" priority="46632" operator="containsText" text="No">
      <formula>NOT(ISERROR(SEARCH(("No"),(P275))))</formula>
    </cfRule>
  </conditionalFormatting>
  <conditionalFormatting sqref="P275:Q279 P300:Q300 P329:Q329">
    <cfRule type="containsText" dxfId="9" priority="46633" operator="containsText" text="No">
      <formula>NOT(ISERROR(SEARCH(("No"),(P275))))</formula>
    </cfRule>
  </conditionalFormatting>
  <conditionalFormatting sqref="P275:Q279 P300:Q300 P329:Q329">
    <cfRule type="containsText" dxfId="9" priority="46634" operator="containsText" text="No">
      <formula>NOT(ISERROR(SEARCH(("No"),(P275))))</formula>
    </cfRule>
  </conditionalFormatting>
  <conditionalFormatting sqref="P275:Q279 P300:Q300 P329:Q329">
    <cfRule type="containsText" dxfId="9" priority="46635" operator="containsText" text="No">
      <formula>NOT(ISERROR(SEARCH(("No"),(P275))))</formula>
    </cfRule>
  </conditionalFormatting>
  <conditionalFormatting sqref="P275:Q279 P300:Q300 P329:Q329">
    <cfRule type="containsText" dxfId="9" priority="46636" operator="containsText" text="No">
      <formula>NOT(ISERROR(SEARCH(("No"),(P275))))</formula>
    </cfRule>
  </conditionalFormatting>
  <conditionalFormatting sqref="P275:Q279 P300:Q300 P329:Q329">
    <cfRule type="containsText" dxfId="9" priority="46637" operator="containsText" text="No">
      <formula>NOT(ISERROR(SEARCH(("No"),(P275))))</formula>
    </cfRule>
  </conditionalFormatting>
  <conditionalFormatting sqref="P275:Q279 P300:Q300 P329:Q329">
    <cfRule type="containsText" dxfId="9" priority="46638" operator="containsText" text="No">
      <formula>NOT(ISERROR(SEARCH(("No"),(P275))))</formula>
    </cfRule>
  </conditionalFormatting>
  <conditionalFormatting sqref="P275:Q279 P300:Q300 P329:Q329">
    <cfRule type="containsText" dxfId="2" priority="46639" operator="containsText" text="Yes">
      <formula>NOT(ISERROR(SEARCH(("Yes"),(P275))))</formula>
    </cfRule>
  </conditionalFormatting>
  <conditionalFormatting sqref="P275:Q279 P300:Q300 P329:Q329">
    <cfRule type="containsText" dxfId="2" priority="46640" operator="containsText" text="Yes">
      <formula>NOT(ISERROR(SEARCH(("Yes"),(P275))))</formula>
    </cfRule>
  </conditionalFormatting>
  <conditionalFormatting sqref="P275:Q279 P300:Q300 P329:Q329">
    <cfRule type="containsText" dxfId="2" priority="46641" operator="containsText" text="Yes">
      <formula>NOT(ISERROR(SEARCH(("Yes"),(P275))))</formula>
    </cfRule>
  </conditionalFormatting>
  <conditionalFormatting sqref="P275:Q279 P300:Q300 P329:Q329">
    <cfRule type="containsText" dxfId="2" priority="46642" operator="containsText" text="Yes">
      <formula>NOT(ISERROR(SEARCH(("Yes"),(P275))))</formula>
    </cfRule>
  </conditionalFormatting>
  <conditionalFormatting sqref="P275:Q279 P300:Q300 P329:Q329">
    <cfRule type="containsText" dxfId="2" priority="46643" operator="containsText" text="Yes">
      <formula>NOT(ISERROR(SEARCH(("Yes"),(P275))))</formula>
    </cfRule>
  </conditionalFormatting>
  <conditionalFormatting sqref="P275:Q279 P300:Q300 P329:Q329">
    <cfRule type="containsText" dxfId="2" priority="46644" operator="containsText" text="Yes">
      <formula>NOT(ISERROR(SEARCH(("Yes"),(P275))))</formula>
    </cfRule>
  </conditionalFormatting>
  <conditionalFormatting sqref="P275:Q279 P300:Q300 P329:Q329">
    <cfRule type="containsText" dxfId="2" priority="46645" operator="containsText" text="Yes">
      <formula>NOT(ISERROR(SEARCH(("Yes"),(P275))))</formula>
    </cfRule>
  </conditionalFormatting>
  <conditionalFormatting sqref="P275:Q279 P300:Q300 P329:Q329">
    <cfRule type="containsText" dxfId="2" priority="46646" operator="containsText" text="Yes">
      <formula>NOT(ISERROR(SEARCH(("Yes"),(P275))))</formula>
    </cfRule>
  </conditionalFormatting>
  <conditionalFormatting sqref="P275:Q279 P300:Q300 P329:Q329">
    <cfRule type="containsText" dxfId="2" priority="46647" operator="containsText" text="Yes">
      <formula>NOT(ISERROR(SEARCH(("Yes"),(P275))))</formula>
    </cfRule>
  </conditionalFormatting>
  <conditionalFormatting sqref="P275:Q279 P300:Q300 P329:Q329">
    <cfRule type="containsText" dxfId="2" priority="46648" operator="containsText" text="Yes">
      <formula>NOT(ISERROR(SEARCH(("Yes"),(P275))))</formula>
    </cfRule>
  </conditionalFormatting>
  <conditionalFormatting sqref="P275:Q279 P300:Q300 P329:Q329">
    <cfRule type="containsText" dxfId="2" priority="46649" operator="containsText" text="Yes">
      <formula>NOT(ISERROR(SEARCH(("Yes"),(P275))))</formula>
    </cfRule>
  </conditionalFormatting>
  <conditionalFormatting sqref="P275:Q279 P300:Q300 P329:Q329">
    <cfRule type="containsText" dxfId="2" priority="46650" operator="containsText" text="Yes">
      <formula>NOT(ISERROR(SEARCH(("Yes"),(P275))))</formula>
    </cfRule>
  </conditionalFormatting>
  <conditionalFormatting sqref="P275:Q279 P300:Q300 P329:Q329">
    <cfRule type="containsText" dxfId="2" priority="46651" operator="containsText" text="Yes">
      <formula>NOT(ISERROR(SEARCH(("Yes"),(P275))))</formula>
    </cfRule>
  </conditionalFormatting>
  <conditionalFormatting sqref="P275:Q279 P300:Q300 P329:Q329">
    <cfRule type="containsText" dxfId="2" priority="46652" operator="containsText" text="Yes">
      <formula>NOT(ISERROR(SEARCH(("Yes"),(P275))))</formula>
    </cfRule>
  </conditionalFormatting>
  <conditionalFormatting sqref="P275:Q279 P300:Q300 P329:Q329">
    <cfRule type="containsText" dxfId="2" priority="46653" operator="containsText" text="Yes">
      <formula>NOT(ISERROR(SEARCH(("Yes"),(P275))))</formula>
    </cfRule>
  </conditionalFormatting>
  <conditionalFormatting sqref="P275:Q279 P300:Q300 P329:Q329">
    <cfRule type="containsText" dxfId="2" priority="46654" operator="containsText" text="Yes">
      <formula>NOT(ISERROR(SEARCH(("Yes"),(P275))))</formula>
    </cfRule>
  </conditionalFormatting>
  <conditionalFormatting sqref="P275:Q279 P300:Q300 P329:Q329">
    <cfRule type="containsText" dxfId="2" priority="46655" operator="containsText" text="Yes">
      <formula>NOT(ISERROR(SEARCH(("Yes"),(P275))))</formula>
    </cfRule>
  </conditionalFormatting>
  <conditionalFormatting sqref="P275:Q279 P300:Q300 P329:Q329">
    <cfRule type="containsText" dxfId="2" priority="46656" operator="containsText" text="Yes">
      <formula>NOT(ISERROR(SEARCH(("Yes"),(P275))))</formula>
    </cfRule>
  </conditionalFormatting>
  <conditionalFormatting sqref="P275:Q279 P300:Q300 P329:Q329">
    <cfRule type="containsText" dxfId="2" priority="46657" operator="containsText" text="Yes">
      <formula>NOT(ISERROR(SEARCH(("Yes"),(P275))))</formula>
    </cfRule>
  </conditionalFormatting>
  <conditionalFormatting sqref="P275:Q279 P300:Q300 P329:Q329">
    <cfRule type="containsText" dxfId="2" priority="46658" operator="containsText" text="Yes">
      <formula>NOT(ISERROR(SEARCH(("Yes"),(P275))))</formula>
    </cfRule>
  </conditionalFormatting>
  <conditionalFormatting sqref="P275:Q279 P300:Q300 P329:Q329">
    <cfRule type="containsText" dxfId="2" priority="46659" operator="containsText" text="Yes">
      <formula>NOT(ISERROR(SEARCH(("Yes"),(P275))))</formula>
    </cfRule>
  </conditionalFormatting>
  <conditionalFormatting sqref="P275:Q279 P300:Q300 P329:Q329">
    <cfRule type="containsText" dxfId="2" priority="46660" operator="containsText" text="Yes">
      <formula>NOT(ISERROR(SEARCH(("Yes"),(P275))))</formula>
    </cfRule>
  </conditionalFormatting>
  <conditionalFormatting sqref="P275:Q279 P300:Q300 P329:Q329">
    <cfRule type="containsText" dxfId="2" priority="46661" operator="containsText" text="Yes">
      <formula>NOT(ISERROR(SEARCH(("Yes"),(P275))))</formula>
    </cfRule>
  </conditionalFormatting>
  <conditionalFormatting sqref="P275:Q279 P300:Q300 P329:Q329">
    <cfRule type="containsText" dxfId="2" priority="46662" operator="containsText" text="Yes">
      <formula>NOT(ISERROR(SEARCH(("Yes"),(P275))))</formula>
    </cfRule>
  </conditionalFormatting>
  <conditionalFormatting sqref="P275:Q279 P300:Q300 P329:Q329">
    <cfRule type="containsText" dxfId="2" priority="46663" operator="containsText" text="Yes">
      <formula>NOT(ISERROR(SEARCH(("Yes"),(P275))))</formula>
    </cfRule>
  </conditionalFormatting>
  <conditionalFormatting sqref="P275:Q279 P300:Q300 P329:Q329">
    <cfRule type="containsText" dxfId="2" priority="46664" operator="containsText" text="Yes">
      <formula>NOT(ISERROR(SEARCH(("Yes"),(P275))))</formula>
    </cfRule>
  </conditionalFormatting>
  <conditionalFormatting sqref="P275:Q279 P300:Q300 P329:Q329">
    <cfRule type="containsText" dxfId="2" priority="46665" operator="containsText" text="Yes">
      <formula>NOT(ISERROR(SEARCH(("Yes"),(P275))))</formula>
    </cfRule>
  </conditionalFormatting>
  <conditionalFormatting sqref="P275:Q279 P300:Q300 P329:Q329">
    <cfRule type="containsText" dxfId="2" priority="46666" operator="containsText" text="Yes">
      <formula>NOT(ISERROR(SEARCH(("Yes"),(P275))))</formula>
    </cfRule>
  </conditionalFormatting>
  <conditionalFormatting sqref="P275:Q279 P300:Q300 P329:Q329">
    <cfRule type="containsText" dxfId="2" priority="46667" operator="containsText" text="Yes">
      <formula>NOT(ISERROR(SEARCH(("Yes"),(P275))))</formula>
    </cfRule>
  </conditionalFormatting>
  <conditionalFormatting sqref="P275:Q279 P300:Q300 P329:Q329">
    <cfRule type="containsText" dxfId="2" priority="46668" operator="containsText" text="Yes">
      <formula>NOT(ISERROR(SEARCH(("Yes"),(P275))))</formula>
    </cfRule>
  </conditionalFormatting>
  <conditionalFormatting sqref="P275:Q279 P300:Q300 P329:Q329">
    <cfRule type="containsText" dxfId="2" priority="46669" operator="containsText" text="Yes">
      <formula>NOT(ISERROR(SEARCH(("Yes"),(P275))))</formula>
    </cfRule>
  </conditionalFormatting>
  <conditionalFormatting sqref="P275:Q279 P300:Q300 P329:Q329">
    <cfRule type="containsText" dxfId="2" priority="46670" operator="containsText" text="Yes">
      <formula>NOT(ISERROR(SEARCH(("Yes"),(P275))))</formula>
    </cfRule>
  </conditionalFormatting>
  <conditionalFormatting sqref="P275:Q279 P300:Q300 P329:Q329">
    <cfRule type="containsText" dxfId="2" priority="46671" operator="containsText" text="Yes">
      <formula>NOT(ISERROR(SEARCH(("Yes"),(P275))))</formula>
    </cfRule>
  </conditionalFormatting>
  <conditionalFormatting sqref="P275:Q279 P300:Q300 P329:Q329">
    <cfRule type="containsText" dxfId="2" priority="46672" operator="containsText" text="Yes">
      <formula>NOT(ISERROR(SEARCH(("Yes"),(P275))))</formula>
    </cfRule>
  </conditionalFormatting>
  <conditionalFormatting sqref="P275:Q279 P300:Q300 P329:Q329">
    <cfRule type="containsText" dxfId="2" priority="46673" operator="containsText" text="Yes">
      <formula>NOT(ISERROR(SEARCH(("Yes"),(P275))))</formula>
    </cfRule>
  </conditionalFormatting>
  <conditionalFormatting sqref="P275:Q279 P300:Q300 P329:Q329">
    <cfRule type="containsText" dxfId="2" priority="46674" operator="containsText" text="Yes">
      <formula>NOT(ISERROR(SEARCH(("Yes"),(P275))))</formula>
    </cfRule>
  </conditionalFormatting>
  <conditionalFormatting sqref="P275:Q279 P300:Q300 P329:Q329">
    <cfRule type="containsText" dxfId="2" priority="46675" operator="containsText" text="Yes">
      <formula>NOT(ISERROR(SEARCH(("Yes"),(P275))))</formula>
    </cfRule>
  </conditionalFormatting>
  <conditionalFormatting sqref="P275:Q279 P300:Q300 P329:Q329">
    <cfRule type="containsText" dxfId="2" priority="46676" operator="containsText" text="Yes">
      <formula>NOT(ISERROR(SEARCH(("Yes"),(P275))))</formula>
    </cfRule>
  </conditionalFormatting>
  <conditionalFormatting sqref="P275:Q279 P300:Q300 P329:Q329">
    <cfRule type="containsText" dxfId="2" priority="46677" operator="containsText" text="Yes">
      <formula>NOT(ISERROR(SEARCH(("Yes"),(P275))))</formula>
    </cfRule>
  </conditionalFormatting>
  <conditionalFormatting sqref="P275:Q279 P300:Q300 P329:Q329">
    <cfRule type="containsText" dxfId="2" priority="46678" operator="containsText" text="Yes">
      <formula>NOT(ISERROR(SEARCH(("Yes"),(P275))))</formula>
    </cfRule>
  </conditionalFormatting>
  <conditionalFormatting sqref="P275:Q279 P300:Q300 P329:Q329">
    <cfRule type="containsText" dxfId="2" priority="46679" operator="containsText" text="Yes">
      <formula>NOT(ISERROR(SEARCH(("Yes"),(P275))))</formula>
    </cfRule>
  </conditionalFormatting>
  <conditionalFormatting sqref="P275:Q279 P300:Q300 P329:Q329">
    <cfRule type="containsText" dxfId="2" priority="46680" operator="containsText" text="Yes">
      <formula>NOT(ISERROR(SEARCH(("Yes"),(P275))))</formula>
    </cfRule>
  </conditionalFormatting>
  <conditionalFormatting sqref="P275:Q279 P300:Q300 P329:Q329">
    <cfRule type="containsText" dxfId="2" priority="46681" operator="containsText" text="Yes">
      <formula>NOT(ISERROR(SEARCH(("Yes"),(P275))))</formula>
    </cfRule>
  </conditionalFormatting>
  <conditionalFormatting sqref="P275:Q279 P300:Q300 P329:Q329">
    <cfRule type="containsText" dxfId="2" priority="46682" operator="containsText" text="Yes">
      <formula>NOT(ISERROR(SEARCH(("Yes"),(P275))))</formula>
    </cfRule>
  </conditionalFormatting>
  <conditionalFormatting sqref="P275:Q279 P300:Q300 P329:Q329">
    <cfRule type="containsText" dxfId="2" priority="46683" operator="containsText" text="Yes">
      <formula>NOT(ISERROR(SEARCH(("Yes"),(P275))))</formula>
    </cfRule>
  </conditionalFormatting>
  <conditionalFormatting sqref="P275:Q279 P300:Q300 P329:Q329">
    <cfRule type="containsText" dxfId="2" priority="46684" operator="containsText" text="Yes">
      <formula>NOT(ISERROR(SEARCH(("Yes"),(P275))))</formula>
    </cfRule>
  </conditionalFormatting>
  <conditionalFormatting sqref="P275:Q279 P300:Q300 P329:Q329">
    <cfRule type="containsText" dxfId="2" priority="46685" operator="containsText" text="Yes">
      <formula>NOT(ISERROR(SEARCH(("Yes"),(P275))))</formula>
    </cfRule>
  </conditionalFormatting>
  <conditionalFormatting sqref="N275:N300 N304 N307 N310:N311 N313:N316 N318 N321:N322 N324 N327:N329 N333 N335 N338 N343:N346 O296">
    <cfRule type="containsText" dxfId="9" priority="46686" operator="containsText" text="No">
      <formula>NOT(ISERROR(SEARCH(("No"),(N275))))</formula>
    </cfRule>
  </conditionalFormatting>
  <conditionalFormatting sqref="N275:N300 N304 N307 N310:N311 N313:N316 N318 N321:N322 N324 N327:N329 N333 N335 N338 N343:N346 O296">
    <cfRule type="containsText" dxfId="9" priority="46687" operator="containsText" text="No">
      <formula>NOT(ISERROR(SEARCH(("No"),(N275))))</formula>
    </cfRule>
  </conditionalFormatting>
  <conditionalFormatting sqref="N275:N300 N304 N307 N310:N311 N313:N316 N318 N321:N322 N324 N327:N329 N333 N335 N338 N343:N346 O296">
    <cfRule type="containsText" dxfId="9" priority="46688" operator="containsText" text="No">
      <formula>NOT(ISERROR(SEARCH(("No"),(N275))))</formula>
    </cfRule>
  </conditionalFormatting>
  <conditionalFormatting sqref="N275:N300 N304 N307 N310:N311 N313:N316 N318 N321:N322 N324 N327:N329 N333 N335 N338 N343:N346 O296">
    <cfRule type="containsText" dxfId="2" priority="46689" operator="containsText" text="Yes">
      <formula>NOT(ISERROR(SEARCH(("Yes"),(N275))))</formula>
    </cfRule>
  </conditionalFormatting>
  <conditionalFormatting sqref="N275:N300 N304 N307 N310:N311 N313:N316 N318 N321:N322 N324 N327:N329 N333 N335 N338 N343:N346 O296">
    <cfRule type="containsText" dxfId="2" priority="46690" operator="containsText" text="Yes">
      <formula>NOT(ISERROR(SEARCH(("Yes"),(N275))))</formula>
    </cfRule>
  </conditionalFormatting>
  <conditionalFormatting sqref="N275:N300 N304 N307 N310:N311 N313:N316 N318 N321:N322 N324 N327:N329 N333 N335 N338 N343:N346 O296">
    <cfRule type="containsText" dxfId="2" priority="46691" operator="containsText" text="Yes">
      <formula>NOT(ISERROR(SEARCH(("Yes"),(N275))))</formula>
    </cfRule>
  </conditionalFormatting>
  <conditionalFormatting sqref="N275:N300 N304 N307 N310:N311 N313:N316 N318 N321:N322 N324 N327:N329 N333 N335 N338 N343:N346 O296">
    <cfRule type="containsText" dxfId="2" priority="46692" operator="containsText" text="Yes">
      <formula>NOT(ISERROR(SEARCH(("Yes"),(N275))))</formula>
    </cfRule>
  </conditionalFormatting>
  <conditionalFormatting sqref="N275:N300 N304 N307 N310:N311 N313:N316 N318 N321:N322 N324 N327:N329 N333 N335 N338 N343:N346 O296">
    <cfRule type="containsText" dxfId="2" priority="46693" operator="containsText" text="Yes">
      <formula>NOT(ISERROR(SEARCH(("Yes"),(N275))))</formula>
    </cfRule>
  </conditionalFormatting>
  <conditionalFormatting sqref="N275:N300 N304 N307 N310:N311 N313:N316 N318 N321:N322 N324 N327:N329 N333 N335 N338 N343:N346 O296">
    <cfRule type="containsText" dxfId="9" priority="46694" operator="containsText" text="No">
      <formula>NOT(ISERROR(SEARCH(("No"),(N275))))</formula>
    </cfRule>
  </conditionalFormatting>
  <conditionalFormatting sqref="N275:N300 N304 N307 N310:N311 N313:N316 N318 N321:N322 N324 N327:N329 N333 N335 N338 N343:N346 O296">
    <cfRule type="containsText" dxfId="9" priority="46695" operator="containsText" text="No">
      <formula>NOT(ISERROR(SEARCH(("No"),(N275))))</formula>
    </cfRule>
  </conditionalFormatting>
  <conditionalFormatting sqref="N275:N300 N304 N307 N310:N311 N313:N316 N318 N321:N322 N324 N327:N329 N333 N335 N338 N343:N346 O296">
    <cfRule type="containsText" dxfId="2" priority="46696" operator="containsText" text="Yes">
      <formula>NOT(ISERROR(SEARCH(("Yes"),(N275))))</formula>
    </cfRule>
  </conditionalFormatting>
  <conditionalFormatting sqref="P280:Q280">
    <cfRule type="containsText" dxfId="9" priority="46697" operator="containsText" text="No">
      <formula>NOT(ISERROR(SEARCH(("No"),(P280))))</formula>
    </cfRule>
  </conditionalFormatting>
  <conditionalFormatting sqref="P280:Q280">
    <cfRule type="containsText" dxfId="9" priority="46698" operator="containsText" text="No">
      <formula>NOT(ISERROR(SEARCH(("No"),(P280))))</formula>
    </cfRule>
  </conditionalFormatting>
  <conditionalFormatting sqref="P280:Q280">
    <cfRule type="containsText" dxfId="9" priority="46699" operator="containsText" text="No">
      <formula>NOT(ISERROR(SEARCH(("No"),(P280))))</formula>
    </cfRule>
  </conditionalFormatting>
  <conditionalFormatting sqref="P280:Q280">
    <cfRule type="containsText" dxfId="9" priority="46700" operator="containsText" text="No">
      <formula>NOT(ISERROR(SEARCH(("No"),(P280))))</formula>
    </cfRule>
  </conditionalFormatting>
  <conditionalFormatting sqref="P280:Q280">
    <cfRule type="containsText" dxfId="9" priority="46701" operator="containsText" text="No">
      <formula>NOT(ISERROR(SEARCH(("No"),(P280))))</formula>
    </cfRule>
  </conditionalFormatting>
  <conditionalFormatting sqref="P280:Q280">
    <cfRule type="containsText" dxfId="9" priority="46702" operator="containsText" text="No">
      <formula>NOT(ISERROR(SEARCH(("No"),(P280))))</formula>
    </cfRule>
  </conditionalFormatting>
  <conditionalFormatting sqref="P280:Q280">
    <cfRule type="containsText" dxfId="9" priority="46703" operator="containsText" text="No">
      <formula>NOT(ISERROR(SEARCH(("No"),(P280))))</formula>
    </cfRule>
  </conditionalFormatting>
  <conditionalFormatting sqref="P280:Q280">
    <cfRule type="containsText" dxfId="9" priority="46704" operator="containsText" text="No">
      <formula>NOT(ISERROR(SEARCH(("No"),(P280))))</formula>
    </cfRule>
  </conditionalFormatting>
  <conditionalFormatting sqref="P280:Q280">
    <cfRule type="containsText" dxfId="9" priority="46705" operator="containsText" text="No">
      <formula>NOT(ISERROR(SEARCH(("No"),(P280))))</formula>
    </cfRule>
  </conditionalFormatting>
  <conditionalFormatting sqref="P280:Q280">
    <cfRule type="containsText" dxfId="9" priority="46706" operator="containsText" text="No">
      <formula>NOT(ISERROR(SEARCH(("No"),(P280))))</formula>
    </cfRule>
  </conditionalFormatting>
  <conditionalFormatting sqref="P280:Q280">
    <cfRule type="containsText" dxfId="9" priority="46707" operator="containsText" text="No">
      <formula>NOT(ISERROR(SEARCH(("No"),(P280))))</formula>
    </cfRule>
  </conditionalFormatting>
  <conditionalFormatting sqref="P280:Q280">
    <cfRule type="containsText" dxfId="9" priority="46708" operator="containsText" text="No">
      <formula>NOT(ISERROR(SEARCH(("No"),(P280))))</formula>
    </cfRule>
  </conditionalFormatting>
  <conditionalFormatting sqref="P280:Q280">
    <cfRule type="containsText" dxfId="9" priority="46709" operator="containsText" text="No">
      <formula>NOT(ISERROR(SEARCH(("No"),(P280))))</formula>
    </cfRule>
  </conditionalFormatting>
  <conditionalFormatting sqref="P280:Q280">
    <cfRule type="containsText" dxfId="9" priority="46710" operator="containsText" text="No">
      <formula>NOT(ISERROR(SEARCH(("No"),(P280))))</formula>
    </cfRule>
  </conditionalFormatting>
  <conditionalFormatting sqref="P280:Q280">
    <cfRule type="containsText" dxfId="9" priority="46711" operator="containsText" text="No">
      <formula>NOT(ISERROR(SEARCH(("No"),(P280))))</formula>
    </cfRule>
  </conditionalFormatting>
  <conditionalFormatting sqref="P280:Q280">
    <cfRule type="containsText" dxfId="9" priority="46712" operator="containsText" text="No">
      <formula>NOT(ISERROR(SEARCH(("No"),(P280))))</formula>
    </cfRule>
  </conditionalFormatting>
  <conditionalFormatting sqref="P280:Q280">
    <cfRule type="containsText" dxfId="9" priority="46713" operator="containsText" text="No">
      <formula>NOT(ISERROR(SEARCH(("No"),(P280))))</formula>
    </cfRule>
  </conditionalFormatting>
  <conditionalFormatting sqref="P280:Q280">
    <cfRule type="containsText" dxfId="9" priority="46714" operator="containsText" text="No">
      <formula>NOT(ISERROR(SEARCH(("No"),(P280))))</formula>
    </cfRule>
  </conditionalFormatting>
  <conditionalFormatting sqref="P280:Q280">
    <cfRule type="containsText" dxfId="9" priority="46715" operator="containsText" text="No">
      <formula>NOT(ISERROR(SEARCH(("No"),(P280))))</formula>
    </cfRule>
  </conditionalFormatting>
  <conditionalFormatting sqref="P280:Q280">
    <cfRule type="containsText" dxfId="9" priority="46716" operator="containsText" text="No">
      <formula>NOT(ISERROR(SEARCH(("No"),(P280))))</formula>
    </cfRule>
  </conditionalFormatting>
  <conditionalFormatting sqref="P280:Q280">
    <cfRule type="containsText" dxfId="9" priority="46717" operator="containsText" text="No">
      <formula>NOT(ISERROR(SEARCH(("No"),(P280))))</formula>
    </cfRule>
  </conditionalFormatting>
  <conditionalFormatting sqref="P280:Q280">
    <cfRule type="containsText" dxfId="9" priority="46718" operator="containsText" text="No">
      <formula>NOT(ISERROR(SEARCH(("No"),(P280))))</formula>
    </cfRule>
  </conditionalFormatting>
  <conditionalFormatting sqref="P280:Q280">
    <cfRule type="containsText" dxfId="9" priority="46719" operator="containsText" text="No">
      <formula>NOT(ISERROR(SEARCH(("No"),(P280))))</formula>
    </cfRule>
  </conditionalFormatting>
  <conditionalFormatting sqref="P280:Q280">
    <cfRule type="containsText" dxfId="9" priority="46720" operator="containsText" text="No">
      <formula>NOT(ISERROR(SEARCH(("No"),(P280))))</formula>
    </cfRule>
  </conditionalFormatting>
  <conditionalFormatting sqref="P280:Q280">
    <cfRule type="containsText" dxfId="9" priority="46721" operator="containsText" text="No">
      <formula>NOT(ISERROR(SEARCH(("No"),(P280))))</formula>
    </cfRule>
  </conditionalFormatting>
  <conditionalFormatting sqref="P280:Q280">
    <cfRule type="containsText" dxfId="9" priority="46722" operator="containsText" text="No">
      <formula>NOT(ISERROR(SEARCH(("No"),(P280))))</formula>
    </cfRule>
  </conditionalFormatting>
  <conditionalFormatting sqref="P280:Q280">
    <cfRule type="containsText" dxfId="9" priority="46723" operator="containsText" text="No">
      <formula>NOT(ISERROR(SEARCH(("No"),(P280))))</formula>
    </cfRule>
  </conditionalFormatting>
  <conditionalFormatting sqref="P280:Q280">
    <cfRule type="containsText" dxfId="9" priority="46724" operator="containsText" text="No">
      <formula>NOT(ISERROR(SEARCH(("No"),(P280))))</formula>
    </cfRule>
  </conditionalFormatting>
  <conditionalFormatting sqref="P280:Q280">
    <cfRule type="containsText" dxfId="9" priority="46725" operator="containsText" text="No">
      <formula>NOT(ISERROR(SEARCH(("No"),(P280))))</formula>
    </cfRule>
  </conditionalFormatting>
  <conditionalFormatting sqref="P280:Q280">
    <cfRule type="containsText" dxfId="9" priority="46726" operator="containsText" text="No">
      <formula>NOT(ISERROR(SEARCH(("No"),(P280))))</formula>
    </cfRule>
  </conditionalFormatting>
  <conditionalFormatting sqref="P280:Q280">
    <cfRule type="containsText" dxfId="9" priority="46727" operator="containsText" text="No">
      <formula>NOT(ISERROR(SEARCH(("No"),(P280))))</formula>
    </cfRule>
  </conditionalFormatting>
  <conditionalFormatting sqref="P280:Q280">
    <cfRule type="containsText" dxfId="9" priority="46728" operator="containsText" text="No">
      <formula>NOT(ISERROR(SEARCH(("No"),(P280))))</formula>
    </cfRule>
  </conditionalFormatting>
  <conditionalFormatting sqref="P280:Q280">
    <cfRule type="containsText" dxfId="9" priority="46729" operator="containsText" text="No">
      <formula>NOT(ISERROR(SEARCH(("No"),(P280))))</formula>
    </cfRule>
  </conditionalFormatting>
  <conditionalFormatting sqref="P280:Q280">
    <cfRule type="containsText" dxfId="9" priority="46730" operator="containsText" text="No">
      <formula>NOT(ISERROR(SEARCH(("No"),(P280))))</formula>
    </cfRule>
  </conditionalFormatting>
  <conditionalFormatting sqref="P280:Q280">
    <cfRule type="containsText" dxfId="9" priority="46731" operator="containsText" text="No">
      <formula>NOT(ISERROR(SEARCH(("No"),(P280))))</formula>
    </cfRule>
  </conditionalFormatting>
  <conditionalFormatting sqref="P280:Q280">
    <cfRule type="containsText" dxfId="9" priority="46732" operator="containsText" text="No">
      <formula>NOT(ISERROR(SEARCH(("No"),(P280))))</formula>
    </cfRule>
  </conditionalFormatting>
  <conditionalFormatting sqref="P280:Q280">
    <cfRule type="containsText" dxfId="9" priority="46733" operator="containsText" text="No">
      <formula>NOT(ISERROR(SEARCH(("No"),(P280))))</formula>
    </cfRule>
  </conditionalFormatting>
  <conditionalFormatting sqref="P280:Q280">
    <cfRule type="containsText" dxfId="9" priority="46734" operator="containsText" text="No">
      <formula>NOT(ISERROR(SEARCH(("No"),(P280))))</formula>
    </cfRule>
  </conditionalFormatting>
  <conditionalFormatting sqref="P280:Q280">
    <cfRule type="containsText" dxfId="9" priority="46735" operator="containsText" text="No">
      <formula>NOT(ISERROR(SEARCH(("No"),(P280))))</formula>
    </cfRule>
  </conditionalFormatting>
  <conditionalFormatting sqref="P280:Q280">
    <cfRule type="containsText" dxfId="9" priority="46736" operator="containsText" text="No">
      <formula>NOT(ISERROR(SEARCH(("No"),(P280))))</formula>
    </cfRule>
  </conditionalFormatting>
  <conditionalFormatting sqref="P280:Q280">
    <cfRule type="containsText" dxfId="9" priority="46737" operator="containsText" text="No">
      <formula>NOT(ISERROR(SEARCH(("No"),(P280))))</formula>
    </cfRule>
  </conditionalFormatting>
  <conditionalFormatting sqref="P280:Q280">
    <cfRule type="containsText" dxfId="9" priority="46738" operator="containsText" text="No">
      <formula>NOT(ISERROR(SEARCH(("No"),(P280))))</formula>
    </cfRule>
  </conditionalFormatting>
  <conditionalFormatting sqref="P280:Q280">
    <cfRule type="containsText" dxfId="9" priority="46739" operator="containsText" text="No">
      <formula>NOT(ISERROR(SEARCH(("No"),(P280))))</formula>
    </cfRule>
  </conditionalFormatting>
  <conditionalFormatting sqref="P280:Q280">
    <cfRule type="containsText" dxfId="9" priority="46740" operator="containsText" text="No">
      <formula>NOT(ISERROR(SEARCH(("No"),(P280))))</formula>
    </cfRule>
  </conditionalFormatting>
  <conditionalFormatting sqref="P280:Q280">
    <cfRule type="containsText" dxfId="9" priority="46741" operator="containsText" text="No">
      <formula>NOT(ISERROR(SEARCH(("No"),(P280))))</formula>
    </cfRule>
  </conditionalFormatting>
  <conditionalFormatting sqref="P280:Q280">
    <cfRule type="containsText" dxfId="2" priority="46742" operator="containsText" text="Yes">
      <formula>NOT(ISERROR(SEARCH(("Yes"),(P280))))</formula>
    </cfRule>
  </conditionalFormatting>
  <conditionalFormatting sqref="P280:Q280">
    <cfRule type="containsText" dxfId="2" priority="46743" operator="containsText" text="Yes">
      <formula>NOT(ISERROR(SEARCH(("Yes"),(P280))))</formula>
    </cfRule>
  </conditionalFormatting>
  <conditionalFormatting sqref="P280:Q280">
    <cfRule type="containsText" dxfId="2" priority="46744" operator="containsText" text="Yes">
      <formula>NOT(ISERROR(SEARCH(("Yes"),(P280))))</formula>
    </cfRule>
  </conditionalFormatting>
  <conditionalFormatting sqref="P280:Q280">
    <cfRule type="containsText" dxfId="2" priority="46745" operator="containsText" text="Yes">
      <formula>NOT(ISERROR(SEARCH(("Yes"),(P280))))</formula>
    </cfRule>
  </conditionalFormatting>
  <conditionalFormatting sqref="P280:Q280">
    <cfRule type="containsText" dxfId="2" priority="46746" operator="containsText" text="Yes">
      <formula>NOT(ISERROR(SEARCH(("Yes"),(P280))))</formula>
    </cfRule>
  </conditionalFormatting>
  <conditionalFormatting sqref="P280:Q280">
    <cfRule type="containsText" dxfId="2" priority="46747" operator="containsText" text="Yes">
      <formula>NOT(ISERROR(SEARCH(("Yes"),(P280))))</formula>
    </cfRule>
  </conditionalFormatting>
  <conditionalFormatting sqref="P280:Q280">
    <cfRule type="containsText" dxfId="2" priority="46748" operator="containsText" text="Yes">
      <formula>NOT(ISERROR(SEARCH(("Yes"),(P280))))</formula>
    </cfRule>
  </conditionalFormatting>
  <conditionalFormatting sqref="P280:Q280">
    <cfRule type="containsText" dxfId="2" priority="46749" operator="containsText" text="Yes">
      <formula>NOT(ISERROR(SEARCH(("Yes"),(P280))))</formula>
    </cfRule>
  </conditionalFormatting>
  <conditionalFormatting sqref="P280:Q280">
    <cfRule type="containsText" dxfId="2" priority="46750" operator="containsText" text="Yes">
      <formula>NOT(ISERROR(SEARCH(("Yes"),(P280))))</formula>
    </cfRule>
  </conditionalFormatting>
  <conditionalFormatting sqref="P280:Q280">
    <cfRule type="containsText" dxfId="2" priority="46751" operator="containsText" text="Yes">
      <formula>NOT(ISERROR(SEARCH(("Yes"),(P280))))</formula>
    </cfRule>
  </conditionalFormatting>
  <conditionalFormatting sqref="P280:Q280">
    <cfRule type="containsText" dxfId="2" priority="46752" operator="containsText" text="Yes">
      <formula>NOT(ISERROR(SEARCH(("Yes"),(P280))))</formula>
    </cfRule>
  </conditionalFormatting>
  <conditionalFormatting sqref="P280:Q280">
    <cfRule type="containsText" dxfId="2" priority="46753" operator="containsText" text="Yes">
      <formula>NOT(ISERROR(SEARCH(("Yes"),(P280))))</formula>
    </cfRule>
  </conditionalFormatting>
  <conditionalFormatting sqref="P280:Q280">
    <cfRule type="containsText" dxfId="2" priority="46754" operator="containsText" text="Yes">
      <formula>NOT(ISERROR(SEARCH(("Yes"),(P280))))</formula>
    </cfRule>
  </conditionalFormatting>
  <conditionalFormatting sqref="P280:Q280">
    <cfRule type="containsText" dxfId="2" priority="46755" operator="containsText" text="Yes">
      <formula>NOT(ISERROR(SEARCH(("Yes"),(P280))))</formula>
    </cfRule>
  </conditionalFormatting>
  <conditionalFormatting sqref="P280:Q280">
    <cfRule type="containsText" dxfId="2" priority="46756" operator="containsText" text="Yes">
      <formula>NOT(ISERROR(SEARCH(("Yes"),(P280))))</formula>
    </cfRule>
  </conditionalFormatting>
  <conditionalFormatting sqref="P280:Q280">
    <cfRule type="containsText" dxfId="2" priority="46757" operator="containsText" text="Yes">
      <formula>NOT(ISERROR(SEARCH(("Yes"),(P280))))</formula>
    </cfRule>
  </conditionalFormatting>
  <conditionalFormatting sqref="P280:Q280">
    <cfRule type="containsText" dxfId="2" priority="46758" operator="containsText" text="Yes">
      <formula>NOT(ISERROR(SEARCH(("Yes"),(P280))))</formula>
    </cfRule>
  </conditionalFormatting>
  <conditionalFormatting sqref="P280:Q280">
    <cfRule type="containsText" dxfId="2" priority="46759" operator="containsText" text="Yes">
      <formula>NOT(ISERROR(SEARCH(("Yes"),(P280))))</formula>
    </cfRule>
  </conditionalFormatting>
  <conditionalFormatting sqref="P280:Q280">
    <cfRule type="containsText" dxfId="2" priority="46760" operator="containsText" text="Yes">
      <formula>NOT(ISERROR(SEARCH(("Yes"),(P280))))</formula>
    </cfRule>
  </conditionalFormatting>
  <conditionalFormatting sqref="P280:Q280">
    <cfRule type="containsText" dxfId="2" priority="46761" operator="containsText" text="Yes">
      <formula>NOT(ISERROR(SEARCH(("Yes"),(P280))))</formula>
    </cfRule>
  </conditionalFormatting>
  <conditionalFormatting sqref="P280:Q280">
    <cfRule type="containsText" dxfId="2" priority="46762" operator="containsText" text="Yes">
      <formula>NOT(ISERROR(SEARCH(("Yes"),(P280))))</formula>
    </cfRule>
  </conditionalFormatting>
  <conditionalFormatting sqref="P280:Q280">
    <cfRule type="containsText" dxfId="2" priority="46763" operator="containsText" text="Yes">
      <formula>NOT(ISERROR(SEARCH(("Yes"),(P280))))</formula>
    </cfRule>
  </conditionalFormatting>
  <conditionalFormatting sqref="P280:Q280">
    <cfRule type="containsText" dxfId="2" priority="46764" operator="containsText" text="Yes">
      <formula>NOT(ISERROR(SEARCH(("Yes"),(P280))))</formula>
    </cfRule>
  </conditionalFormatting>
  <conditionalFormatting sqref="P280:Q280">
    <cfRule type="containsText" dxfId="2" priority="46765" operator="containsText" text="Yes">
      <formula>NOT(ISERROR(SEARCH(("Yes"),(P280))))</formula>
    </cfRule>
  </conditionalFormatting>
  <conditionalFormatting sqref="P280:Q280">
    <cfRule type="containsText" dxfId="2" priority="46766" operator="containsText" text="Yes">
      <formula>NOT(ISERROR(SEARCH(("Yes"),(P280))))</formula>
    </cfRule>
  </conditionalFormatting>
  <conditionalFormatting sqref="P280:Q280">
    <cfRule type="containsText" dxfId="2" priority="46767" operator="containsText" text="Yes">
      <formula>NOT(ISERROR(SEARCH(("Yes"),(P280))))</formula>
    </cfRule>
  </conditionalFormatting>
  <conditionalFormatting sqref="P280:Q280">
    <cfRule type="containsText" dxfId="2" priority="46768" operator="containsText" text="Yes">
      <formula>NOT(ISERROR(SEARCH(("Yes"),(P280))))</formula>
    </cfRule>
  </conditionalFormatting>
  <conditionalFormatting sqref="P280:Q280">
    <cfRule type="containsText" dxfId="2" priority="46769" operator="containsText" text="Yes">
      <formula>NOT(ISERROR(SEARCH(("Yes"),(P280))))</formula>
    </cfRule>
  </conditionalFormatting>
  <conditionalFormatting sqref="P280:Q280">
    <cfRule type="containsText" dxfId="2" priority="46770" operator="containsText" text="Yes">
      <formula>NOT(ISERROR(SEARCH(("Yes"),(P280))))</formula>
    </cfRule>
  </conditionalFormatting>
  <conditionalFormatting sqref="P280:Q280">
    <cfRule type="containsText" dxfId="2" priority="46771" operator="containsText" text="Yes">
      <formula>NOT(ISERROR(SEARCH(("Yes"),(P280))))</formula>
    </cfRule>
  </conditionalFormatting>
  <conditionalFormatting sqref="P280:Q280">
    <cfRule type="containsText" dxfId="2" priority="46772" operator="containsText" text="Yes">
      <formula>NOT(ISERROR(SEARCH(("Yes"),(P280))))</formula>
    </cfRule>
  </conditionalFormatting>
  <conditionalFormatting sqref="P280:Q280">
    <cfRule type="containsText" dxfId="2" priority="46773" operator="containsText" text="Yes">
      <formula>NOT(ISERROR(SEARCH(("Yes"),(P280))))</formula>
    </cfRule>
  </conditionalFormatting>
  <conditionalFormatting sqref="P280:Q280">
    <cfRule type="containsText" dxfId="2" priority="46774" operator="containsText" text="Yes">
      <formula>NOT(ISERROR(SEARCH(("Yes"),(P280))))</formula>
    </cfRule>
  </conditionalFormatting>
  <conditionalFormatting sqref="P280:Q280">
    <cfRule type="containsText" dxfId="2" priority="46775" operator="containsText" text="Yes">
      <formula>NOT(ISERROR(SEARCH(("Yes"),(P280))))</formula>
    </cfRule>
  </conditionalFormatting>
  <conditionalFormatting sqref="P280:Q280">
    <cfRule type="containsText" dxfId="2" priority="46776" operator="containsText" text="Yes">
      <formula>NOT(ISERROR(SEARCH(("Yes"),(P280))))</formula>
    </cfRule>
  </conditionalFormatting>
  <conditionalFormatting sqref="P280:Q280">
    <cfRule type="containsText" dxfId="2" priority="46777" operator="containsText" text="Yes">
      <formula>NOT(ISERROR(SEARCH(("Yes"),(P280))))</formula>
    </cfRule>
  </conditionalFormatting>
  <conditionalFormatting sqref="P280:Q280">
    <cfRule type="containsText" dxfId="2" priority="46778" operator="containsText" text="Yes">
      <formula>NOT(ISERROR(SEARCH(("Yes"),(P280))))</formula>
    </cfRule>
  </conditionalFormatting>
  <conditionalFormatting sqref="P280:Q280">
    <cfRule type="containsText" dxfId="2" priority="46779" operator="containsText" text="Yes">
      <formula>NOT(ISERROR(SEARCH(("Yes"),(P280))))</formula>
    </cfRule>
  </conditionalFormatting>
  <conditionalFormatting sqref="P280:Q280">
    <cfRule type="containsText" dxfId="2" priority="46780" operator="containsText" text="Yes">
      <formula>NOT(ISERROR(SEARCH(("Yes"),(P280))))</formula>
    </cfRule>
  </conditionalFormatting>
  <conditionalFormatting sqref="P280:Q280">
    <cfRule type="containsText" dxfId="2" priority="46781" operator="containsText" text="Yes">
      <formula>NOT(ISERROR(SEARCH(("Yes"),(P280))))</formula>
    </cfRule>
  </conditionalFormatting>
  <conditionalFormatting sqref="P280:Q280">
    <cfRule type="containsText" dxfId="2" priority="46782" operator="containsText" text="Yes">
      <formula>NOT(ISERROR(SEARCH(("Yes"),(P280))))</formula>
    </cfRule>
  </conditionalFormatting>
  <conditionalFormatting sqref="P280:Q280">
    <cfRule type="containsText" dxfId="2" priority="46783" operator="containsText" text="Yes">
      <formula>NOT(ISERROR(SEARCH(("Yes"),(P280))))</formula>
    </cfRule>
  </conditionalFormatting>
  <conditionalFormatting sqref="P280:Q280">
    <cfRule type="containsText" dxfId="2" priority="46784" operator="containsText" text="Yes">
      <formula>NOT(ISERROR(SEARCH(("Yes"),(P280))))</formula>
    </cfRule>
  </conditionalFormatting>
  <conditionalFormatting sqref="P280:Q280">
    <cfRule type="containsText" dxfId="2" priority="46785" operator="containsText" text="Yes">
      <formula>NOT(ISERROR(SEARCH(("Yes"),(P280))))</formula>
    </cfRule>
  </conditionalFormatting>
  <conditionalFormatting sqref="P280:Q280">
    <cfRule type="containsText" dxfId="2" priority="46786" operator="containsText" text="Yes">
      <formula>NOT(ISERROR(SEARCH(("Yes"),(P280))))</formula>
    </cfRule>
  </conditionalFormatting>
  <conditionalFormatting sqref="P280:Q280">
    <cfRule type="containsText" dxfId="2" priority="46787" operator="containsText" text="Yes">
      <formula>NOT(ISERROR(SEARCH(("Yes"),(P280))))</formula>
    </cfRule>
  </conditionalFormatting>
  <conditionalFormatting sqref="P280:Q280">
    <cfRule type="containsText" dxfId="2" priority="46788" operator="containsText" text="Yes">
      <formula>NOT(ISERROR(SEARCH(("Yes"),(P280))))</formula>
    </cfRule>
  </conditionalFormatting>
  <conditionalFormatting sqref="O295 P281:Q294 P296:Q299 P304:Q304 P307:Q307 P310:Q311 P313:Q316 P318:Q318 P321:Q322 P343:Q346">
    <cfRule type="containsText" dxfId="9" priority="46789" operator="containsText" text="No">
      <formula>NOT(ISERROR(SEARCH(("No"),(O295))))</formula>
    </cfRule>
  </conditionalFormatting>
  <conditionalFormatting sqref="O295 P281:Q294 P296:Q299 P304:Q304 P307:Q307 P310:Q311 P313:Q316 P318:Q318 P321:Q322 P343:Q346">
    <cfRule type="containsText" dxfId="9" priority="46790" operator="containsText" text="No">
      <formula>NOT(ISERROR(SEARCH(("No"),(O295))))</formula>
    </cfRule>
  </conditionalFormatting>
  <conditionalFormatting sqref="O295 P281:Q294 P296:Q299 P304:Q304 P307:Q307 P310:Q311 P313:Q316 P318:Q318 P321:Q322 P343:Q346">
    <cfRule type="containsText" dxfId="9" priority="46791" operator="containsText" text="No">
      <formula>NOT(ISERROR(SEARCH(("No"),(O295))))</formula>
    </cfRule>
  </conditionalFormatting>
  <conditionalFormatting sqref="O295 P281:Q294 P296:Q299 P304:Q304 P307:Q307 P310:Q311 P313:Q316 P318:Q318 P321:Q322 P343:Q346">
    <cfRule type="containsText" dxfId="9" priority="46792" operator="containsText" text="No">
      <formula>NOT(ISERROR(SEARCH(("No"),(O295))))</formula>
    </cfRule>
  </conditionalFormatting>
  <conditionalFormatting sqref="O295 P281:Q294 P296:Q299 P304:Q304 P307:Q307 P310:Q311 P313:Q316 P318:Q318 P321:Q322 P343:Q346">
    <cfRule type="containsText" dxfId="9" priority="46793" operator="containsText" text="No">
      <formula>NOT(ISERROR(SEARCH(("No"),(O295))))</formula>
    </cfRule>
  </conditionalFormatting>
  <conditionalFormatting sqref="O295 P281:Q294 P296:Q299 P304:Q304 P307:Q307 P310:Q311 P313:Q316 P318:Q318 P321:Q322 P343:Q346">
    <cfRule type="containsText" dxfId="9" priority="46794" operator="containsText" text="No">
      <formula>NOT(ISERROR(SEARCH(("No"),(O295))))</formula>
    </cfRule>
  </conditionalFormatting>
  <conditionalFormatting sqref="O295 P281:Q294 P296:Q299 P304:Q304 P307:Q307 P310:Q311 P313:Q316 P318:Q318 P321:Q322 P343:Q346">
    <cfRule type="containsText" dxfId="9" priority="46795" operator="containsText" text="No">
      <formula>NOT(ISERROR(SEARCH(("No"),(O295))))</formula>
    </cfRule>
  </conditionalFormatting>
  <conditionalFormatting sqref="O295 P281:Q294 P296:Q299 P304:Q304 P307:Q307 P310:Q311 P313:Q316 P318:Q318 P321:Q322 P343:Q346">
    <cfRule type="containsText" dxfId="9" priority="46796" operator="containsText" text="No">
      <formula>NOT(ISERROR(SEARCH(("No"),(O295))))</formula>
    </cfRule>
  </conditionalFormatting>
  <conditionalFormatting sqref="O295 P281:Q294 P296:Q299 P304:Q304 P307:Q307 P310:Q311 P313:Q316 P318:Q318 P321:Q322 P343:Q346">
    <cfRule type="containsText" dxfId="9" priority="46797" operator="containsText" text="No">
      <formula>NOT(ISERROR(SEARCH(("No"),(O295))))</formula>
    </cfRule>
  </conditionalFormatting>
  <conditionalFormatting sqref="O295 P281:Q294 P296:Q299 P304:Q304 P307:Q307 P310:Q311 P313:Q316 P318:Q318 P321:Q322 P343:Q346">
    <cfRule type="containsText" dxfId="9" priority="46798" operator="containsText" text="No">
      <formula>NOT(ISERROR(SEARCH(("No"),(O295))))</formula>
    </cfRule>
  </conditionalFormatting>
  <conditionalFormatting sqref="O295 P281:Q294 P296:Q299 P304:Q304 P307:Q307 P310:Q311 P313:Q316 P318:Q318 P321:Q322 P343:Q346">
    <cfRule type="containsText" dxfId="9" priority="46799" operator="containsText" text="No">
      <formula>NOT(ISERROR(SEARCH(("No"),(O295))))</formula>
    </cfRule>
  </conditionalFormatting>
  <conditionalFormatting sqref="O295 P281:Q294 P296:Q299 P304:Q304 P307:Q307 P310:Q311 P313:Q316 P318:Q318 P321:Q322 P343:Q346">
    <cfRule type="containsText" dxfId="9" priority="46800" operator="containsText" text="No">
      <formula>NOT(ISERROR(SEARCH(("No"),(O295))))</formula>
    </cfRule>
  </conditionalFormatting>
  <conditionalFormatting sqref="O295 P281:Q294 P296:Q299 P304:Q304 P307:Q307 P310:Q311 P313:Q316 P318:Q318 P321:Q322 P343:Q346">
    <cfRule type="containsText" dxfId="9" priority="46801" operator="containsText" text="No">
      <formula>NOT(ISERROR(SEARCH(("No"),(O295))))</formula>
    </cfRule>
  </conditionalFormatting>
  <conditionalFormatting sqref="O295 P281:Q294 P296:Q299 P304:Q304 P307:Q307 P310:Q311 P313:Q316 P318:Q318 P321:Q322 P343:Q346">
    <cfRule type="containsText" dxfId="9" priority="46802" operator="containsText" text="No">
      <formula>NOT(ISERROR(SEARCH(("No"),(O295))))</formula>
    </cfRule>
  </conditionalFormatting>
  <conditionalFormatting sqref="O295 P281:Q294 P296:Q299 P304:Q304 P307:Q307 P310:Q311 P313:Q316 P318:Q318 P321:Q322 P343:Q346">
    <cfRule type="containsText" dxfId="9" priority="46803" operator="containsText" text="No">
      <formula>NOT(ISERROR(SEARCH(("No"),(O295))))</formula>
    </cfRule>
  </conditionalFormatting>
  <conditionalFormatting sqref="O295 P281:Q294 P296:Q299 P304:Q304 P307:Q307 P310:Q311 P313:Q316 P318:Q318 P321:Q322 P343:Q346">
    <cfRule type="containsText" dxfId="9" priority="46804" operator="containsText" text="No">
      <formula>NOT(ISERROR(SEARCH(("No"),(O295))))</formula>
    </cfRule>
  </conditionalFormatting>
  <conditionalFormatting sqref="O295 P281:Q294 P296:Q299 P304:Q304 P307:Q307 P310:Q311 P313:Q316 P318:Q318 P321:Q322 P343:Q346">
    <cfRule type="containsText" dxfId="9" priority="46805" operator="containsText" text="No">
      <formula>NOT(ISERROR(SEARCH(("No"),(O295))))</formula>
    </cfRule>
  </conditionalFormatting>
  <conditionalFormatting sqref="O295 P281:Q294 P296:Q299 P304:Q304 P307:Q307 P310:Q311 P313:Q316 P318:Q318 P321:Q322 P343:Q346">
    <cfRule type="containsText" dxfId="9" priority="46806" operator="containsText" text="No">
      <formula>NOT(ISERROR(SEARCH(("No"),(O295))))</formula>
    </cfRule>
  </conditionalFormatting>
  <conditionalFormatting sqref="O295 P281:Q294 P296:Q299 P304:Q304 P307:Q307 P310:Q311 P313:Q316 P318:Q318 P321:Q322 P343:Q346">
    <cfRule type="containsText" dxfId="9" priority="46807" operator="containsText" text="No">
      <formula>NOT(ISERROR(SEARCH(("No"),(O295))))</formula>
    </cfRule>
  </conditionalFormatting>
  <conditionalFormatting sqref="O295 P281:Q294 P296:Q299 P304:Q304 P307:Q307 P310:Q311 P313:Q316 P318:Q318 P321:Q322 P343:Q346">
    <cfRule type="containsText" dxfId="9" priority="46808" operator="containsText" text="No">
      <formula>NOT(ISERROR(SEARCH(("No"),(O295))))</formula>
    </cfRule>
  </conditionalFormatting>
  <conditionalFormatting sqref="O295 P281:Q294 P296:Q299 P304:Q304 P307:Q307 P310:Q311 P313:Q316 P318:Q318 P321:Q322 P343:Q346">
    <cfRule type="containsText" dxfId="9" priority="46809" operator="containsText" text="No">
      <formula>NOT(ISERROR(SEARCH(("No"),(O295))))</formula>
    </cfRule>
  </conditionalFormatting>
  <conditionalFormatting sqref="O295 P281:Q294 P296:Q299 P304:Q304 P307:Q307 P310:Q311 P313:Q316 P318:Q318 P321:Q322 P343:Q346">
    <cfRule type="containsText" dxfId="9" priority="46810" operator="containsText" text="No">
      <formula>NOT(ISERROR(SEARCH(("No"),(O295))))</formula>
    </cfRule>
  </conditionalFormatting>
  <conditionalFormatting sqref="O295 P281:Q294 P296:Q299 P304:Q304 P307:Q307 P310:Q311 P313:Q316 P318:Q318 P321:Q322 P343:Q346">
    <cfRule type="containsText" dxfId="9" priority="46811" operator="containsText" text="No">
      <formula>NOT(ISERROR(SEARCH(("No"),(O295))))</formula>
    </cfRule>
  </conditionalFormatting>
  <conditionalFormatting sqref="O295 P281:Q294 P296:Q299 P304:Q304 P307:Q307 P310:Q311 P313:Q316 P318:Q318 P321:Q322 P343:Q346">
    <cfRule type="containsText" dxfId="9" priority="46812" operator="containsText" text="No">
      <formula>NOT(ISERROR(SEARCH(("No"),(O295))))</formula>
    </cfRule>
  </conditionalFormatting>
  <conditionalFormatting sqref="O295 P281:Q294 P296:Q299 P304:Q304 P307:Q307 P310:Q311 P313:Q316 P318:Q318 P321:Q322 P343:Q346">
    <cfRule type="containsText" dxfId="9" priority="46813" operator="containsText" text="No">
      <formula>NOT(ISERROR(SEARCH(("No"),(O295))))</formula>
    </cfRule>
  </conditionalFormatting>
  <conditionalFormatting sqref="O295 P281:Q294 P296:Q299 P304:Q304 P307:Q307 P310:Q311 P313:Q316 P318:Q318 P321:Q322 P343:Q346">
    <cfRule type="containsText" dxfId="9" priority="46814" operator="containsText" text="No">
      <formula>NOT(ISERROR(SEARCH(("No"),(O295))))</formula>
    </cfRule>
  </conditionalFormatting>
  <conditionalFormatting sqref="O295 P281:Q294 P296:Q299 P304:Q304 P307:Q307 P310:Q311 P313:Q316 P318:Q318 P321:Q322 P343:Q346">
    <cfRule type="containsText" dxfId="9" priority="46815" operator="containsText" text="No">
      <formula>NOT(ISERROR(SEARCH(("No"),(O295))))</formula>
    </cfRule>
  </conditionalFormatting>
  <conditionalFormatting sqref="O295 P281:Q294 P296:Q299 P304:Q304 P307:Q307 P310:Q311 P313:Q316 P318:Q318 P321:Q322 P343:Q346">
    <cfRule type="containsText" dxfId="9" priority="46816" operator="containsText" text="No">
      <formula>NOT(ISERROR(SEARCH(("No"),(O295))))</formula>
    </cfRule>
  </conditionalFormatting>
  <conditionalFormatting sqref="O295 P281:Q294 P296:Q299 P304:Q304 P307:Q307 P310:Q311 P313:Q316 P318:Q318 P321:Q322 P343:Q346">
    <cfRule type="containsText" dxfId="9" priority="46817" operator="containsText" text="No">
      <formula>NOT(ISERROR(SEARCH(("No"),(O295))))</formula>
    </cfRule>
  </conditionalFormatting>
  <conditionalFormatting sqref="O295 P281:Q294 P296:Q299 P304:Q304 P307:Q307 P310:Q311 P313:Q316 P318:Q318 P321:Q322 P343:Q346">
    <cfRule type="containsText" dxfId="9" priority="46818" operator="containsText" text="No">
      <formula>NOT(ISERROR(SEARCH(("No"),(O295))))</formula>
    </cfRule>
  </conditionalFormatting>
  <conditionalFormatting sqref="O295 P281:Q294 P296:Q299 P304:Q304 P307:Q307 P310:Q311 P313:Q316 P318:Q318 P321:Q322 P343:Q346">
    <cfRule type="containsText" dxfId="9" priority="46819" operator="containsText" text="No">
      <formula>NOT(ISERROR(SEARCH(("No"),(O295))))</formula>
    </cfRule>
  </conditionalFormatting>
  <conditionalFormatting sqref="O295 P281:Q294 P296:Q299 P304:Q304 P307:Q307 P310:Q311 P313:Q316 P318:Q318 P321:Q322 P343:Q346">
    <cfRule type="containsText" dxfId="9" priority="46820" operator="containsText" text="No">
      <formula>NOT(ISERROR(SEARCH(("No"),(O295))))</formula>
    </cfRule>
  </conditionalFormatting>
  <conditionalFormatting sqref="O295 P281:Q294 P296:Q299 P304:Q304 P307:Q307 P310:Q311 P313:Q316 P318:Q318 P321:Q322 P343:Q346">
    <cfRule type="containsText" dxfId="9" priority="46821" operator="containsText" text="No">
      <formula>NOT(ISERROR(SEARCH(("No"),(O295))))</formula>
    </cfRule>
  </conditionalFormatting>
  <conditionalFormatting sqref="O295 P281:Q294 P296:Q299 P304:Q304 P307:Q307 P310:Q311 P313:Q316 P318:Q318 P321:Q322 P343:Q346">
    <cfRule type="containsText" dxfId="9" priority="46822" operator="containsText" text="No">
      <formula>NOT(ISERROR(SEARCH(("No"),(O295))))</formula>
    </cfRule>
  </conditionalFormatting>
  <conditionalFormatting sqref="O295 P281:Q294 P296:Q299 P304:Q304 P307:Q307 P310:Q311 P313:Q316 P318:Q318 P321:Q322 P343:Q346">
    <cfRule type="containsText" dxfId="9" priority="46823" operator="containsText" text="No">
      <formula>NOT(ISERROR(SEARCH(("No"),(O295))))</formula>
    </cfRule>
  </conditionalFormatting>
  <conditionalFormatting sqref="O295 P281:Q294 P296:Q299 P304:Q304 P307:Q307 P310:Q311 P313:Q316 P318:Q318 P321:Q322 P343:Q346">
    <cfRule type="containsText" dxfId="9" priority="46824" operator="containsText" text="No">
      <formula>NOT(ISERROR(SEARCH(("No"),(O295))))</formula>
    </cfRule>
  </conditionalFormatting>
  <conditionalFormatting sqref="O295 P281:Q294 P296:Q299 P304:Q304 P307:Q307 P310:Q311 P313:Q316 P318:Q318 P321:Q322 P343:Q346">
    <cfRule type="containsText" dxfId="9" priority="46825" operator="containsText" text="No">
      <formula>NOT(ISERROR(SEARCH(("No"),(O295))))</formula>
    </cfRule>
  </conditionalFormatting>
  <conditionalFormatting sqref="O295 P281:Q294 P296:Q299 P304:Q304 P307:Q307 P310:Q311 P313:Q316 P318:Q318 P321:Q322 P343:Q346">
    <cfRule type="containsText" dxfId="9" priority="46826" operator="containsText" text="No">
      <formula>NOT(ISERROR(SEARCH(("No"),(O295))))</formula>
    </cfRule>
  </conditionalFormatting>
  <conditionalFormatting sqref="O295 P281:Q294 P296:Q299 P304:Q304 P307:Q307 P310:Q311 P313:Q316 P318:Q318 P321:Q322 P343:Q346">
    <cfRule type="containsText" dxfId="9" priority="46827" operator="containsText" text="No">
      <formula>NOT(ISERROR(SEARCH(("No"),(O295))))</formula>
    </cfRule>
  </conditionalFormatting>
  <conditionalFormatting sqref="O295 P281:Q294 P296:Q299 P304:Q304 P307:Q307 P310:Q311 P313:Q316 P318:Q318 P321:Q322 P343:Q346">
    <cfRule type="containsText" dxfId="9" priority="46828" operator="containsText" text="No">
      <formula>NOT(ISERROR(SEARCH(("No"),(O295))))</formula>
    </cfRule>
  </conditionalFormatting>
  <conditionalFormatting sqref="O295 P281:Q294 P296:Q299 P304:Q304 P307:Q307 P310:Q311 P313:Q316 P318:Q318 P321:Q322 P343:Q346">
    <cfRule type="containsText" dxfId="9" priority="46829" operator="containsText" text="No">
      <formula>NOT(ISERROR(SEARCH(("No"),(O295))))</formula>
    </cfRule>
  </conditionalFormatting>
  <conditionalFormatting sqref="O295 P281:Q294 P296:Q299 P304:Q304 P307:Q307 P310:Q311 P313:Q316 P318:Q318 P321:Q322 P343:Q346">
    <cfRule type="containsText" dxfId="9" priority="46830" operator="containsText" text="No">
      <formula>NOT(ISERROR(SEARCH(("No"),(O295))))</formula>
    </cfRule>
  </conditionalFormatting>
  <conditionalFormatting sqref="O295 P281:Q294 P296:Q299 P304:Q304 P307:Q307 P310:Q311 P313:Q316 P318:Q318 P321:Q322 P343:Q346">
    <cfRule type="containsText" dxfId="9" priority="46831" operator="containsText" text="No">
      <formula>NOT(ISERROR(SEARCH(("No"),(O295))))</formula>
    </cfRule>
  </conditionalFormatting>
  <conditionalFormatting sqref="O295 P281:Q294 P296:Q299 P304:Q304 P307:Q307 P310:Q311 P313:Q316 P318:Q318 P321:Q322 P343:Q346">
    <cfRule type="containsText" dxfId="9" priority="46832" operator="containsText" text="No">
      <formula>NOT(ISERROR(SEARCH(("No"),(O295))))</formula>
    </cfRule>
  </conditionalFormatting>
  <conditionalFormatting sqref="O295 P281:Q294 P296:Q299 P304:Q304 P307:Q307 P310:Q311 P313:Q316 P318:Q318 P321:Q322 P343:Q346">
    <cfRule type="containsText" dxfId="9" priority="46833" operator="containsText" text="No">
      <formula>NOT(ISERROR(SEARCH(("No"),(O295))))</formula>
    </cfRule>
  </conditionalFormatting>
  <conditionalFormatting sqref="O295 P281:Q294 P296:Q299 P304:Q304 P307:Q307 P310:Q311 P313:Q316 P318:Q318 P321:Q322 P343:Q346">
    <cfRule type="containsText" dxfId="2" priority="46834" operator="containsText" text="Yes">
      <formula>NOT(ISERROR(SEARCH(("Yes"),(O295))))</formula>
    </cfRule>
  </conditionalFormatting>
  <conditionalFormatting sqref="O295 P281:Q294 P296:Q299 P304:Q304 P307:Q307 P310:Q311 P313:Q316 P318:Q318 P321:Q322 P343:Q346">
    <cfRule type="containsText" dxfId="2" priority="46835" operator="containsText" text="Yes">
      <formula>NOT(ISERROR(SEARCH(("Yes"),(O295))))</formula>
    </cfRule>
  </conditionalFormatting>
  <conditionalFormatting sqref="O295 P281:Q294 P296:Q299 P304:Q304 P307:Q307 P310:Q311 P313:Q316 P318:Q318 P321:Q322 P343:Q346">
    <cfRule type="containsText" dxfId="2" priority="46836" operator="containsText" text="Yes">
      <formula>NOT(ISERROR(SEARCH(("Yes"),(O295))))</formula>
    </cfRule>
  </conditionalFormatting>
  <conditionalFormatting sqref="O295 P281:Q294 P296:Q299 P304:Q304 P307:Q307 P310:Q311 P313:Q316 P318:Q318 P321:Q322 P343:Q346">
    <cfRule type="containsText" dxfId="2" priority="46837" operator="containsText" text="Yes">
      <formula>NOT(ISERROR(SEARCH(("Yes"),(O295))))</formula>
    </cfRule>
  </conditionalFormatting>
  <conditionalFormatting sqref="O295 P281:Q294 P296:Q299 P304:Q304 P307:Q307 P310:Q311 P313:Q316 P318:Q318 P321:Q322 P343:Q346">
    <cfRule type="containsText" dxfId="2" priority="46838" operator="containsText" text="Yes">
      <formula>NOT(ISERROR(SEARCH(("Yes"),(O295))))</formula>
    </cfRule>
  </conditionalFormatting>
  <conditionalFormatting sqref="O295 P281:Q294 P296:Q299 P304:Q304 P307:Q307 P310:Q311 P313:Q316 P318:Q318 P321:Q322 P343:Q346">
    <cfRule type="containsText" dxfId="2" priority="46839" operator="containsText" text="Yes">
      <formula>NOT(ISERROR(SEARCH(("Yes"),(O295))))</formula>
    </cfRule>
  </conditionalFormatting>
  <conditionalFormatting sqref="O295 P281:Q294 P296:Q299 P304:Q304 P307:Q307 P310:Q311 P313:Q316 P318:Q318 P321:Q322 P343:Q346">
    <cfRule type="containsText" dxfId="2" priority="46840" operator="containsText" text="Yes">
      <formula>NOT(ISERROR(SEARCH(("Yes"),(O295))))</formula>
    </cfRule>
  </conditionalFormatting>
  <conditionalFormatting sqref="O295 P281:Q294 P296:Q299 P304:Q304 P307:Q307 P310:Q311 P313:Q316 P318:Q318 P321:Q322 P343:Q346">
    <cfRule type="containsText" dxfId="2" priority="46841" operator="containsText" text="Yes">
      <formula>NOT(ISERROR(SEARCH(("Yes"),(O295))))</formula>
    </cfRule>
  </conditionalFormatting>
  <conditionalFormatting sqref="O295 P281:Q294 P296:Q299 P304:Q304 P307:Q307 P310:Q311 P313:Q316 P318:Q318 P321:Q322 P343:Q346">
    <cfRule type="containsText" dxfId="2" priority="46842" operator="containsText" text="Yes">
      <formula>NOT(ISERROR(SEARCH(("Yes"),(O295))))</formula>
    </cfRule>
  </conditionalFormatting>
  <conditionalFormatting sqref="O295 P281:Q294 P296:Q299 P304:Q304 P307:Q307 P310:Q311 P313:Q316 P318:Q318 P321:Q322 P343:Q346">
    <cfRule type="containsText" dxfId="2" priority="46843" operator="containsText" text="Yes">
      <formula>NOT(ISERROR(SEARCH(("Yes"),(O295))))</formula>
    </cfRule>
  </conditionalFormatting>
  <conditionalFormatting sqref="O295 P281:Q294 P296:Q299 P304:Q304 P307:Q307 P310:Q311 P313:Q316 P318:Q318 P321:Q322 P343:Q346">
    <cfRule type="containsText" dxfId="2" priority="46844" operator="containsText" text="Yes">
      <formula>NOT(ISERROR(SEARCH(("Yes"),(O295))))</formula>
    </cfRule>
  </conditionalFormatting>
  <conditionalFormatting sqref="O295 P281:Q294 P296:Q299 P304:Q304 P307:Q307 P310:Q311 P313:Q316 P318:Q318 P321:Q322 P343:Q346">
    <cfRule type="containsText" dxfId="2" priority="46845" operator="containsText" text="Yes">
      <formula>NOT(ISERROR(SEARCH(("Yes"),(O295))))</formula>
    </cfRule>
  </conditionalFormatting>
  <conditionalFormatting sqref="O295 P281:Q294 P296:Q299 P304:Q304 P307:Q307 P310:Q311 P313:Q316 P318:Q318 P321:Q322 P343:Q346">
    <cfRule type="containsText" dxfId="2" priority="46846" operator="containsText" text="Yes">
      <formula>NOT(ISERROR(SEARCH(("Yes"),(O295))))</formula>
    </cfRule>
  </conditionalFormatting>
  <conditionalFormatting sqref="O295 P281:Q294 P296:Q299 P304:Q304 P307:Q307 P310:Q311 P313:Q316 P318:Q318 P321:Q322 P343:Q346">
    <cfRule type="containsText" dxfId="2" priority="46847" operator="containsText" text="Yes">
      <formula>NOT(ISERROR(SEARCH(("Yes"),(O295))))</formula>
    </cfRule>
  </conditionalFormatting>
  <conditionalFormatting sqref="O295 P281:Q294 P296:Q299 P304:Q304 P307:Q307 P310:Q311 P313:Q316 P318:Q318 P321:Q322 P343:Q346">
    <cfRule type="containsText" dxfId="2" priority="46848" operator="containsText" text="Yes">
      <formula>NOT(ISERROR(SEARCH(("Yes"),(O295))))</formula>
    </cfRule>
  </conditionalFormatting>
  <conditionalFormatting sqref="O295 P281:Q294 P296:Q299 P304:Q304 P307:Q307 P310:Q311 P313:Q316 P318:Q318 P321:Q322 P343:Q346">
    <cfRule type="containsText" dxfId="2" priority="46849" operator="containsText" text="Yes">
      <formula>NOT(ISERROR(SEARCH(("Yes"),(O295))))</formula>
    </cfRule>
  </conditionalFormatting>
  <conditionalFormatting sqref="O295 P281:Q294 P296:Q299 P304:Q304 P307:Q307 P310:Q311 P313:Q316 P318:Q318 P321:Q322 P343:Q346">
    <cfRule type="containsText" dxfId="2" priority="46850" operator="containsText" text="Yes">
      <formula>NOT(ISERROR(SEARCH(("Yes"),(O295))))</formula>
    </cfRule>
  </conditionalFormatting>
  <conditionalFormatting sqref="O295 P281:Q294 P296:Q299 P304:Q304 P307:Q307 P310:Q311 P313:Q316 P318:Q318 P321:Q322 P343:Q346">
    <cfRule type="containsText" dxfId="2" priority="46851" operator="containsText" text="Yes">
      <formula>NOT(ISERROR(SEARCH(("Yes"),(O295))))</formula>
    </cfRule>
  </conditionalFormatting>
  <conditionalFormatting sqref="O295 P281:Q294 P296:Q299 P304:Q304 P307:Q307 P310:Q311 P313:Q316 P318:Q318 P321:Q322 P343:Q346">
    <cfRule type="containsText" dxfId="2" priority="46852" operator="containsText" text="Yes">
      <formula>NOT(ISERROR(SEARCH(("Yes"),(O295))))</formula>
    </cfRule>
  </conditionalFormatting>
  <conditionalFormatting sqref="O295 P281:Q294 P296:Q299 P304:Q304 P307:Q307 P310:Q311 P313:Q316 P318:Q318 P321:Q322 P343:Q346">
    <cfRule type="containsText" dxfId="2" priority="46853" operator="containsText" text="Yes">
      <formula>NOT(ISERROR(SEARCH(("Yes"),(O295))))</formula>
    </cfRule>
  </conditionalFormatting>
  <conditionalFormatting sqref="O295 P281:Q294 P296:Q299 P304:Q304 P307:Q307 P310:Q311 P313:Q316 P318:Q318 P321:Q322 P343:Q346">
    <cfRule type="containsText" dxfId="2" priority="46854" operator="containsText" text="Yes">
      <formula>NOT(ISERROR(SEARCH(("Yes"),(O295))))</formula>
    </cfRule>
  </conditionalFormatting>
  <conditionalFormatting sqref="O295 P281:Q294 P296:Q299 P304:Q304 P307:Q307 P310:Q311 P313:Q316 P318:Q318 P321:Q322 P343:Q346">
    <cfRule type="containsText" dxfId="2" priority="46855" operator="containsText" text="Yes">
      <formula>NOT(ISERROR(SEARCH(("Yes"),(O295))))</formula>
    </cfRule>
  </conditionalFormatting>
  <conditionalFormatting sqref="O295 P281:Q294 P296:Q299 P304:Q304 P307:Q307 P310:Q311 P313:Q316 P318:Q318 P321:Q322 P343:Q346">
    <cfRule type="containsText" dxfId="2" priority="46856" operator="containsText" text="Yes">
      <formula>NOT(ISERROR(SEARCH(("Yes"),(O295))))</formula>
    </cfRule>
  </conditionalFormatting>
  <conditionalFormatting sqref="O295 P281:Q294 P296:Q299 P304:Q304 P307:Q307 P310:Q311 P313:Q316 P318:Q318 P321:Q322 P343:Q346">
    <cfRule type="containsText" dxfId="2" priority="46857" operator="containsText" text="Yes">
      <formula>NOT(ISERROR(SEARCH(("Yes"),(O295))))</formula>
    </cfRule>
  </conditionalFormatting>
  <conditionalFormatting sqref="O295 P281:Q294 P296:Q299 P304:Q304 P307:Q307 P310:Q311 P313:Q316 P318:Q318 P321:Q322 P343:Q346">
    <cfRule type="containsText" dxfId="2" priority="46858" operator="containsText" text="Yes">
      <formula>NOT(ISERROR(SEARCH(("Yes"),(O295))))</formula>
    </cfRule>
  </conditionalFormatting>
  <conditionalFormatting sqref="O295 P281:Q294 P296:Q299 P304:Q304 P307:Q307 P310:Q311 P313:Q316 P318:Q318 P321:Q322 P343:Q346">
    <cfRule type="containsText" dxfId="2" priority="46859" operator="containsText" text="Yes">
      <formula>NOT(ISERROR(SEARCH(("Yes"),(O295))))</formula>
    </cfRule>
  </conditionalFormatting>
  <conditionalFormatting sqref="O295 P281:Q294 P296:Q299 P304:Q304 P307:Q307 P310:Q311 P313:Q316 P318:Q318 P321:Q322 P343:Q346">
    <cfRule type="containsText" dxfId="2" priority="46860" operator="containsText" text="Yes">
      <formula>NOT(ISERROR(SEARCH(("Yes"),(O295))))</formula>
    </cfRule>
  </conditionalFormatting>
  <conditionalFormatting sqref="O295 P281:Q294 P296:Q299 P304:Q304 P307:Q307 P310:Q311 P313:Q316 P318:Q318 P321:Q322 P343:Q346">
    <cfRule type="containsText" dxfId="2" priority="46861" operator="containsText" text="Yes">
      <formula>NOT(ISERROR(SEARCH(("Yes"),(O295))))</formula>
    </cfRule>
  </conditionalFormatting>
  <conditionalFormatting sqref="O295 P281:Q294 P296:Q299 P304:Q304 P307:Q307 P310:Q311 P313:Q316 P318:Q318 P321:Q322 P343:Q346">
    <cfRule type="containsText" dxfId="2" priority="46862" operator="containsText" text="Yes">
      <formula>NOT(ISERROR(SEARCH(("Yes"),(O295))))</formula>
    </cfRule>
  </conditionalFormatting>
  <conditionalFormatting sqref="O295 P281:Q294 P296:Q299 P304:Q304 P307:Q307 P310:Q311 P313:Q316 P318:Q318 P321:Q322 P343:Q346">
    <cfRule type="containsText" dxfId="2" priority="46863" operator="containsText" text="Yes">
      <formula>NOT(ISERROR(SEARCH(("Yes"),(O295))))</formula>
    </cfRule>
  </conditionalFormatting>
  <conditionalFormatting sqref="O295 P281:Q294 P296:Q299 P304:Q304 P307:Q307 P310:Q311 P313:Q316 P318:Q318 P321:Q322 P343:Q346">
    <cfRule type="containsText" dxfId="2" priority="46864" operator="containsText" text="Yes">
      <formula>NOT(ISERROR(SEARCH(("Yes"),(O295))))</formula>
    </cfRule>
  </conditionalFormatting>
  <conditionalFormatting sqref="O295 P281:Q294 P296:Q299 P304:Q304 P307:Q307 P310:Q311 P313:Q316 P318:Q318 P321:Q322 P343:Q346">
    <cfRule type="containsText" dxfId="2" priority="46865" operator="containsText" text="Yes">
      <formula>NOT(ISERROR(SEARCH(("Yes"),(O295))))</formula>
    </cfRule>
  </conditionalFormatting>
  <conditionalFormatting sqref="O295 P281:Q294 P296:Q299 P304:Q304 P307:Q307 P310:Q311 P313:Q316 P318:Q318 P321:Q322 P343:Q346">
    <cfRule type="containsText" dxfId="2" priority="46866" operator="containsText" text="Yes">
      <formula>NOT(ISERROR(SEARCH(("Yes"),(O295))))</formula>
    </cfRule>
  </conditionalFormatting>
  <conditionalFormatting sqref="O295 P281:Q294 P296:Q299 P304:Q304 P307:Q307 P310:Q311 P313:Q316 P318:Q318 P321:Q322 P343:Q346">
    <cfRule type="containsText" dxfId="2" priority="46867" operator="containsText" text="Yes">
      <formula>NOT(ISERROR(SEARCH(("Yes"),(O295))))</formula>
    </cfRule>
  </conditionalFormatting>
  <conditionalFormatting sqref="O295 P281:Q294 P296:Q299 P304:Q304 P307:Q307 P310:Q311 P313:Q316 P318:Q318 P321:Q322 P343:Q346">
    <cfRule type="containsText" dxfId="2" priority="46868" operator="containsText" text="Yes">
      <formula>NOT(ISERROR(SEARCH(("Yes"),(O295))))</formula>
    </cfRule>
  </conditionalFormatting>
  <conditionalFormatting sqref="O295 P281:Q294 P296:Q299 P304:Q304 P307:Q307 P310:Q311 P313:Q316 P318:Q318 P321:Q322 P343:Q346">
    <cfRule type="containsText" dxfId="2" priority="46869" operator="containsText" text="Yes">
      <formula>NOT(ISERROR(SEARCH(("Yes"),(O295))))</formula>
    </cfRule>
  </conditionalFormatting>
  <conditionalFormatting sqref="O295 P281:Q294 P296:Q299 P304:Q304 P307:Q307 P310:Q311 P313:Q316 P318:Q318 P321:Q322 P343:Q346">
    <cfRule type="containsText" dxfId="2" priority="46870" operator="containsText" text="Yes">
      <formula>NOT(ISERROR(SEARCH(("Yes"),(O295))))</formula>
    </cfRule>
  </conditionalFormatting>
  <conditionalFormatting sqref="O295 P281:Q294 P296:Q299 P304:Q304 P307:Q307 P310:Q311 P313:Q316 P318:Q318 P321:Q322 P343:Q346">
    <cfRule type="containsText" dxfId="2" priority="46871" operator="containsText" text="Yes">
      <formula>NOT(ISERROR(SEARCH(("Yes"),(O295))))</formula>
    </cfRule>
  </conditionalFormatting>
  <conditionalFormatting sqref="O295 P281:Q294 P296:Q299 P304:Q304 P307:Q307 P310:Q311 P313:Q316 P318:Q318 P321:Q322 P343:Q346">
    <cfRule type="containsText" dxfId="2" priority="46872" operator="containsText" text="Yes">
      <formula>NOT(ISERROR(SEARCH(("Yes"),(O295))))</formula>
    </cfRule>
  </conditionalFormatting>
  <conditionalFormatting sqref="O295 P281:Q294 P296:Q299 P304:Q304 P307:Q307 P310:Q311 P313:Q316 P318:Q318 P321:Q322 P343:Q346">
    <cfRule type="containsText" dxfId="2" priority="46873" operator="containsText" text="Yes">
      <formula>NOT(ISERROR(SEARCH(("Yes"),(O295))))</formula>
    </cfRule>
  </conditionalFormatting>
  <conditionalFormatting sqref="O295 P281:Q294 P296:Q299 P304:Q304 P307:Q307 P310:Q311 P313:Q316 P318:Q318 P321:Q322 P343:Q346">
    <cfRule type="containsText" dxfId="2" priority="46874" operator="containsText" text="Yes">
      <formula>NOT(ISERROR(SEARCH(("Yes"),(O295))))</formula>
    </cfRule>
  </conditionalFormatting>
  <conditionalFormatting sqref="O295 P281:Q294 P296:Q299 P304:Q304 P307:Q307 P310:Q311 P313:Q316 P318:Q318 P321:Q322 P343:Q346">
    <cfRule type="containsText" dxfId="2" priority="46875" operator="containsText" text="Yes">
      <formula>NOT(ISERROR(SEARCH(("Yes"),(O295))))</formula>
    </cfRule>
  </conditionalFormatting>
  <conditionalFormatting sqref="O295 P281:Q294 P296:Q299 P304:Q304 P307:Q307 P310:Q311 P313:Q316 P318:Q318 P321:Q322 P343:Q346">
    <cfRule type="containsText" dxfId="2" priority="46876" operator="containsText" text="Yes">
      <formula>NOT(ISERROR(SEARCH(("Yes"),(O295))))</formula>
    </cfRule>
  </conditionalFormatting>
  <conditionalFormatting sqref="O295 P281:Q294 P296:Q299 P304:Q304 P307:Q307 P310:Q311 P313:Q316 P318:Q318 P321:Q322 P343:Q346">
    <cfRule type="containsText" dxfId="2" priority="46877" operator="containsText" text="Yes">
      <formula>NOT(ISERROR(SEARCH(("Yes"),(O295))))</formula>
    </cfRule>
  </conditionalFormatting>
  <conditionalFormatting sqref="O295 P281:Q294 P296:Q299 P304:Q304 P307:Q307 P310:Q311 P313:Q316 P318:Q318 P321:Q322 P343:Q346">
    <cfRule type="containsText" dxfId="2" priority="46878" operator="containsText" text="Yes">
      <formula>NOT(ISERROR(SEARCH(("Yes"),(O295))))</formula>
    </cfRule>
  </conditionalFormatting>
  <conditionalFormatting sqref="O295 P281:Q294 P296:Q299 P304:Q304 P307:Q307 P310:Q311 P313:Q316 P318:Q318 P321:Q322 P343:Q346">
    <cfRule type="containsText" dxfId="2" priority="46879" operator="containsText" text="Yes">
      <formula>NOT(ISERROR(SEARCH(("Yes"),(O295))))</formula>
    </cfRule>
  </conditionalFormatting>
  <conditionalFormatting sqref="O295 P281:Q294 P296:Q299 P304:Q304 P307:Q307 P310:Q311 P313:Q316 P318:Q318 P321:Q322 P343:Q346">
    <cfRule type="containsText" dxfId="2" priority="46880" operator="containsText" text="Yes">
      <formula>NOT(ISERROR(SEARCH(("Yes"),(O295))))</formula>
    </cfRule>
  </conditionalFormatting>
  <conditionalFormatting sqref="P286:Q286">
    <cfRule type="containsText" dxfId="9" priority="46881" operator="containsText" text="No">
      <formula>NOT(ISERROR(SEARCH(("No"),(P286))))</formula>
    </cfRule>
  </conditionalFormatting>
  <conditionalFormatting sqref="P286:Q286">
    <cfRule type="containsText" dxfId="9" priority="46882" operator="containsText" text="No">
      <formula>NOT(ISERROR(SEARCH(("No"),(P286))))</formula>
    </cfRule>
  </conditionalFormatting>
  <conditionalFormatting sqref="P286:Q286">
    <cfRule type="containsText" dxfId="9" priority="46883" operator="containsText" text="No">
      <formula>NOT(ISERROR(SEARCH(("No"),(P286))))</formula>
    </cfRule>
  </conditionalFormatting>
  <conditionalFormatting sqref="P286:Q286">
    <cfRule type="containsText" dxfId="9" priority="46884" operator="containsText" text="No">
      <formula>NOT(ISERROR(SEARCH(("No"),(P286))))</formula>
    </cfRule>
  </conditionalFormatting>
  <conditionalFormatting sqref="P286:Q286">
    <cfRule type="containsText" dxfId="9" priority="46885" operator="containsText" text="No">
      <formula>NOT(ISERROR(SEARCH(("No"),(P286))))</formula>
    </cfRule>
  </conditionalFormatting>
  <conditionalFormatting sqref="P286:Q286">
    <cfRule type="containsText" dxfId="9" priority="46886" operator="containsText" text="No">
      <formula>NOT(ISERROR(SEARCH(("No"),(P286))))</formula>
    </cfRule>
  </conditionalFormatting>
  <conditionalFormatting sqref="P286:Q286">
    <cfRule type="containsText" dxfId="9" priority="46887" operator="containsText" text="No">
      <formula>NOT(ISERROR(SEARCH(("No"),(P286))))</formula>
    </cfRule>
  </conditionalFormatting>
  <conditionalFormatting sqref="P286:Q286">
    <cfRule type="containsText" dxfId="9" priority="46888" operator="containsText" text="No">
      <formula>NOT(ISERROR(SEARCH(("No"),(P286))))</formula>
    </cfRule>
  </conditionalFormatting>
  <conditionalFormatting sqref="P286:Q286">
    <cfRule type="containsText" dxfId="9" priority="46889" operator="containsText" text="No">
      <formula>NOT(ISERROR(SEARCH(("No"),(P286))))</formula>
    </cfRule>
  </conditionalFormatting>
  <conditionalFormatting sqref="P286:Q286">
    <cfRule type="containsText" dxfId="9" priority="46890" operator="containsText" text="No">
      <formula>NOT(ISERROR(SEARCH(("No"),(P286))))</formula>
    </cfRule>
  </conditionalFormatting>
  <conditionalFormatting sqref="P286:Q286">
    <cfRule type="containsText" dxfId="9" priority="46891" operator="containsText" text="No">
      <formula>NOT(ISERROR(SEARCH(("No"),(P286))))</formula>
    </cfRule>
  </conditionalFormatting>
  <conditionalFormatting sqref="P286:Q286">
    <cfRule type="containsText" dxfId="9" priority="46892" operator="containsText" text="No">
      <formula>NOT(ISERROR(SEARCH(("No"),(P286))))</formula>
    </cfRule>
  </conditionalFormatting>
  <conditionalFormatting sqref="P286:Q286">
    <cfRule type="containsText" dxfId="9" priority="46893" operator="containsText" text="No">
      <formula>NOT(ISERROR(SEARCH(("No"),(P286))))</formula>
    </cfRule>
  </conditionalFormatting>
  <conditionalFormatting sqref="P286:Q286">
    <cfRule type="containsText" dxfId="9" priority="46894" operator="containsText" text="No">
      <formula>NOT(ISERROR(SEARCH(("No"),(P286))))</formula>
    </cfRule>
  </conditionalFormatting>
  <conditionalFormatting sqref="P286:Q286">
    <cfRule type="containsText" dxfId="9" priority="46895" operator="containsText" text="No">
      <formula>NOT(ISERROR(SEARCH(("No"),(P286))))</formula>
    </cfRule>
  </conditionalFormatting>
  <conditionalFormatting sqref="P286:Q286">
    <cfRule type="containsText" dxfId="9" priority="46896" operator="containsText" text="No">
      <formula>NOT(ISERROR(SEARCH(("No"),(P286))))</formula>
    </cfRule>
  </conditionalFormatting>
  <conditionalFormatting sqref="P286:Q286">
    <cfRule type="containsText" dxfId="9" priority="46897" operator="containsText" text="No">
      <formula>NOT(ISERROR(SEARCH(("No"),(P286))))</formula>
    </cfRule>
  </conditionalFormatting>
  <conditionalFormatting sqref="P286:Q286">
    <cfRule type="containsText" dxfId="9" priority="46898" operator="containsText" text="No">
      <formula>NOT(ISERROR(SEARCH(("No"),(P286))))</formula>
    </cfRule>
  </conditionalFormatting>
  <conditionalFormatting sqref="P286:Q286">
    <cfRule type="containsText" dxfId="9" priority="46899" operator="containsText" text="No">
      <formula>NOT(ISERROR(SEARCH(("No"),(P286))))</formula>
    </cfRule>
  </conditionalFormatting>
  <conditionalFormatting sqref="P286:Q286">
    <cfRule type="containsText" dxfId="9" priority="46900" operator="containsText" text="No">
      <formula>NOT(ISERROR(SEARCH(("No"),(P286))))</formula>
    </cfRule>
  </conditionalFormatting>
  <conditionalFormatting sqref="P286:Q286">
    <cfRule type="containsText" dxfId="9" priority="46901" operator="containsText" text="No">
      <formula>NOT(ISERROR(SEARCH(("No"),(P286))))</formula>
    </cfRule>
  </conditionalFormatting>
  <conditionalFormatting sqref="P286:Q286">
    <cfRule type="containsText" dxfId="9" priority="46902" operator="containsText" text="No">
      <formula>NOT(ISERROR(SEARCH(("No"),(P286))))</formula>
    </cfRule>
  </conditionalFormatting>
  <conditionalFormatting sqref="P286:Q286">
    <cfRule type="containsText" dxfId="9" priority="46903" operator="containsText" text="No">
      <formula>NOT(ISERROR(SEARCH(("No"),(P286))))</formula>
    </cfRule>
  </conditionalFormatting>
  <conditionalFormatting sqref="P286:Q286">
    <cfRule type="containsText" dxfId="9" priority="46904" operator="containsText" text="No">
      <formula>NOT(ISERROR(SEARCH(("No"),(P286))))</formula>
    </cfRule>
  </conditionalFormatting>
  <conditionalFormatting sqref="P286:Q286">
    <cfRule type="containsText" dxfId="9" priority="46905" operator="containsText" text="No">
      <formula>NOT(ISERROR(SEARCH(("No"),(P286))))</formula>
    </cfRule>
  </conditionalFormatting>
  <conditionalFormatting sqref="P286:Q286">
    <cfRule type="containsText" dxfId="9" priority="46906" operator="containsText" text="No">
      <formula>NOT(ISERROR(SEARCH(("No"),(P286))))</formula>
    </cfRule>
  </conditionalFormatting>
  <conditionalFormatting sqref="P286:Q286">
    <cfRule type="containsText" dxfId="9" priority="46907" operator="containsText" text="No">
      <formula>NOT(ISERROR(SEARCH(("No"),(P286))))</formula>
    </cfRule>
  </conditionalFormatting>
  <conditionalFormatting sqref="P286:Q286">
    <cfRule type="containsText" dxfId="9" priority="46908" operator="containsText" text="No">
      <formula>NOT(ISERROR(SEARCH(("No"),(P286))))</formula>
    </cfRule>
  </conditionalFormatting>
  <conditionalFormatting sqref="P286:Q286">
    <cfRule type="containsText" dxfId="9" priority="46909" operator="containsText" text="No">
      <formula>NOT(ISERROR(SEARCH(("No"),(P286))))</formula>
    </cfRule>
  </conditionalFormatting>
  <conditionalFormatting sqref="P286:Q286">
    <cfRule type="containsText" dxfId="9" priority="46910" operator="containsText" text="No">
      <formula>NOT(ISERROR(SEARCH(("No"),(P286))))</formula>
    </cfRule>
  </conditionalFormatting>
  <conditionalFormatting sqref="P286:Q286">
    <cfRule type="containsText" dxfId="9" priority="46911" operator="containsText" text="No">
      <formula>NOT(ISERROR(SEARCH(("No"),(P286))))</formula>
    </cfRule>
  </conditionalFormatting>
  <conditionalFormatting sqref="P286:Q286">
    <cfRule type="containsText" dxfId="9" priority="46912" operator="containsText" text="No">
      <formula>NOT(ISERROR(SEARCH(("No"),(P286))))</formula>
    </cfRule>
  </conditionalFormatting>
  <conditionalFormatting sqref="P286:Q286">
    <cfRule type="containsText" dxfId="9" priority="46913" operator="containsText" text="No">
      <formula>NOT(ISERROR(SEARCH(("No"),(P286))))</formula>
    </cfRule>
  </conditionalFormatting>
  <conditionalFormatting sqref="P286:Q286">
    <cfRule type="containsText" dxfId="9" priority="46914" operator="containsText" text="No">
      <formula>NOT(ISERROR(SEARCH(("No"),(P286))))</formula>
    </cfRule>
  </conditionalFormatting>
  <conditionalFormatting sqref="P286:Q286">
    <cfRule type="containsText" dxfId="9" priority="46915" operator="containsText" text="No">
      <formula>NOT(ISERROR(SEARCH(("No"),(P286))))</formula>
    </cfRule>
  </conditionalFormatting>
  <conditionalFormatting sqref="P286:Q286">
    <cfRule type="containsText" dxfId="9" priority="46916" operator="containsText" text="No">
      <formula>NOT(ISERROR(SEARCH(("No"),(P286))))</formula>
    </cfRule>
  </conditionalFormatting>
  <conditionalFormatting sqref="P286:Q286">
    <cfRule type="containsText" dxfId="9" priority="46917" operator="containsText" text="No">
      <formula>NOT(ISERROR(SEARCH(("No"),(P286))))</formula>
    </cfRule>
  </conditionalFormatting>
  <conditionalFormatting sqref="P286:Q286">
    <cfRule type="containsText" dxfId="9" priority="46918" operator="containsText" text="No">
      <formula>NOT(ISERROR(SEARCH(("No"),(P286))))</formula>
    </cfRule>
  </conditionalFormatting>
  <conditionalFormatting sqref="P286:Q286">
    <cfRule type="containsText" dxfId="9" priority="46919" operator="containsText" text="No">
      <formula>NOT(ISERROR(SEARCH(("No"),(P286))))</formula>
    </cfRule>
  </conditionalFormatting>
  <conditionalFormatting sqref="P286:Q286">
    <cfRule type="containsText" dxfId="9" priority="46920" operator="containsText" text="No">
      <formula>NOT(ISERROR(SEARCH(("No"),(P286))))</formula>
    </cfRule>
  </conditionalFormatting>
  <conditionalFormatting sqref="P286:Q286">
    <cfRule type="containsText" dxfId="9" priority="46921" operator="containsText" text="No">
      <formula>NOT(ISERROR(SEARCH(("No"),(P286))))</formula>
    </cfRule>
  </conditionalFormatting>
  <conditionalFormatting sqref="P286:Q286">
    <cfRule type="containsText" dxfId="9" priority="46922" operator="containsText" text="No">
      <formula>NOT(ISERROR(SEARCH(("No"),(P286))))</formula>
    </cfRule>
  </conditionalFormatting>
  <conditionalFormatting sqref="P286:Q286">
    <cfRule type="containsText" dxfId="9" priority="46923" operator="containsText" text="No">
      <formula>NOT(ISERROR(SEARCH(("No"),(P286))))</formula>
    </cfRule>
  </conditionalFormatting>
  <conditionalFormatting sqref="P286:Q286">
    <cfRule type="containsText" dxfId="9" priority="46924" operator="containsText" text="No">
      <formula>NOT(ISERROR(SEARCH(("No"),(P286))))</formula>
    </cfRule>
  </conditionalFormatting>
  <conditionalFormatting sqref="P286:Q286">
    <cfRule type="containsText" dxfId="9" priority="46925" operator="containsText" text="No">
      <formula>NOT(ISERROR(SEARCH(("No"),(P286))))</formula>
    </cfRule>
  </conditionalFormatting>
  <conditionalFormatting sqref="P286:Q286">
    <cfRule type="containsText" dxfId="2" priority="46926" operator="containsText" text="Yes">
      <formula>NOT(ISERROR(SEARCH(("Yes"),(P286))))</formula>
    </cfRule>
  </conditionalFormatting>
  <conditionalFormatting sqref="P286:Q286">
    <cfRule type="containsText" dxfId="2" priority="46927" operator="containsText" text="Yes">
      <formula>NOT(ISERROR(SEARCH(("Yes"),(P286))))</formula>
    </cfRule>
  </conditionalFormatting>
  <conditionalFormatting sqref="P286:Q286">
    <cfRule type="containsText" dxfId="2" priority="46928" operator="containsText" text="Yes">
      <formula>NOT(ISERROR(SEARCH(("Yes"),(P286))))</formula>
    </cfRule>
  </conditionalFormatting>
  <conditionalFormatting sqref="P286:Q286">
    <cfRule type="containsText" dxfId="2" priority="46929" operator="containsText" text="Yes">
      <formula>NOT(ISERROR(SEARCH(("Yes"),(P286))))</formula>
    </cfRule>
  </conditionalFormatting>
  <conditionalFormatting sqref="P286:Q286">
    <cfRule type="containsText" dxfId="2" priority="46930" operator="containsText" text="Yes">
      <formula>NOT(ISERROR(SEARCH(("Yes"),(P286))))</formula>
    </cfRule>
  </conditionalFormatting>
  <conditionalFormatting sqref="P286:Q286">
    <cfRule type="containsText" dxfId="2" priority="46931" operator="containsText" text="Yes">
      <formula>NOT(ISERROR(SEARCH(("Yes"),(P286))))</formula>
    </cfRule>
  </conditionalFormatting>
  <conditionalFormatting sqref="P286:Q286">
    <cfRule type="containsText" dxfId="2" priority="46932" operator="containsText" text="Yes">
      <formula>NOT(ISERROR(SEARCH(("Yes"),(P286))))</formula>
    </cfRule>
  </conditionalFormatting>
  <conditionalFormatting sqref="P286:Q286">
    <cfRule type="containsText" dxfId="2" priority="46933" operator="containsText" text="Yes">
      <formula>NOT(ISERROR(SEARCH(("Yes"),(P286))))</formula>
    </cfRule>
  </conditionalFormatting>
  <conditionalFormatting sqref="P286:Q286">
    <cfRule type="containsText" dxfId="2" priority="46934" operator="containsText" text="Yes">
      <formula>NOT(ISERROR(SEARCH(("Yes"),(P286))))</formula>
    </cfRule>
  </conditionalFormatting>
  <conditionalFormatting sqref="P286:Q286">
    <cfRule type="containsText" dxfId="2" priority="46935" operator="containsText" text="Yes">
      <formula>NOT(ISERROR(SEARCH(("Yes"),(P286))))</formula>
    </cfRule>
  </conditionalFormatting>
  <conditionalFormatting sqref="P286:Q286">
    <cfRule type="containsText" dxfId="2" priority="46936" operator="containsText" text="Yes">
      <formula>NOT(ISERROR(SEARCH(("Yes"),(P286))))</formula>
    </cfRule>
  </conditionalFormatting>
  <conditionalFormatting sqref="P286:Q286">
    <cfRule type="containsText" dxfId="2" priority="46937" operator="containsText" text="Yes">
      <formula>NOT(ISERROR(SEARCH(("Yes"),(P286))))</formula>
    </cfRule>
  </conditionalFormatting>
  <conditionalFormatting sqref="P286:Q286">
    <cfRule type="containsText" dxfId="2" priority="46938" operator="containsText" text="Yes">
      <formula>NOT(ISERROR(SEARCH(("Yes"),(P286))))</formula>
    </cfRule>
  </conditionalFormatting>
  <conditionalFormatting sqref="P286:Q286">
    <cfRule type="containsText" dxfId="2" priority="46939" operator="containsText" text="Yes">
      <formula>NOT(ISERROR(SEARCH(("Yes"),(P286))))</formula>
    </cfRule>
  </conditionalFormatting>
  <conditionalFormatting sqref="P286:Q286">
    <cfRule type="containsText" dxfId="2" priority="46940" operator="containsText" text="Yes">
      <formula>NOT(ISERROR(SEARCH(("Yes"),(P286))))</formula>
    </cfRule>
  </conditionalFormatting>
  <conditionalFormatting sqref="P286:Q286">
    <cfRule type="containsText" dxfId="2" priority="46941" operator="containsText" text="Yes">
      <formula>NOT(ISERROR(SEARCH(("Yes"),(P286))))</formula>
    </cfRule>
  </conditionalFormatting>
  <conditionalFormatting sqref="P286:Q286">
    <cfRule type="containsText" dxfId="2" priority="46942" operator="containsText" text="Yes">
      <formula>NOT(ISERROR(SEARCH(("Yes"),(P286))))</formula>
    </cfRule>
  </conditionalFormatting>
  <conditionalFormatting sqref="P286:Q286">
    <cfRule type="containsText" dxfId="2" priority="46943" operator="containsText" text="Yes">
      <formula>NOT(ISERROR(SEARCH(("Yes"),(P286))))</formula>
    </cfRule>
  </conditionalFormatting>
  <conditionalFormatting sqref="P286:Q286">
    <cfRule type="containsText" dxfId="2" priority="46944" operator="containsText" text="Yes">
      <formula>NOT(ISERROR(SEARCH(("Yes"),(P286))))</formula>
    </cfRule>
  </conditionalFormatting>
  <conditionalFormatting sqref="P286:Q286">
    <cfRule type="containsText" dxfId="2" priority="46945" operator="containsText" text="Yes">
      <formula>NOT(ISERROR(SEARCH(("Yes"),(P286))))</formula>
    </cfRule>
  </conditionalFormatting>
  <conditionalFormatting sqref="P286:Q286">
    <cfRule type="containsText" dxfId="2" priority="46946" operator="containsText" text="Yes">
      <formula>NOT(ISERROR(SEARCH(("Yes"),(P286))))</formula>
    </cfRule>
  </conditionalFormatting>
  <conditionalFormatting sqref="P286:Q286">
    <cfRule type="containsText" dxfId="2" priority="46947" operator="containsText" text="Yes">
      <formula>NOT(ISERROR(SEARCH(("Yes"),(P286))))</formula>
    </cfRule>
  </conditionalFormatting>
  <conditionalFormatting sqref="P286:Q286">
    <cfRule type="containsText" dxfId="2" priority="46948" operator="containsText" text="Yes">
      <formula>NOT(ISERROR(SEARCH(("Yes"),(P286))))</formula>
    </cfRule>
  </conditionalFormatting>
  <conditionalFormatting sqref="P286:Q286">
    <cfRule type="containsText" dxfId="2" priority="46949" operator="containsText" text="Yes">
      <formula>NOT(ISERROR(SEARCH(("Yes"),(P286))))</formula>
    </cfRule>
  </conditionalFormatting>
  <conditionalFormatting sqref="P286:Q286">
    <cfRule type="containsText" dxfId="2" priority="46950" operator="containsText" text="Yes">
      <formula>NOT(ISERROR(SEARCH(("Yes"),(P286))))</formula>
    </cfRule>
  </conditionalFormatting>
  <conditionalFormatting sqref="P286:Q286">
    <cfRule type="containsText" dxfId="2" priority="46951" operator="containsText" text="Yes">
      <formula>NOT(ISERROR(SEARCH(("Yes"),(P286))))</formula>
    </cfRule>
  </conditionalFormatting>
  <conditionalFormatting sqref="P286:Q286">
    <cfRule type="containsText" dxfId="2" priority="46952" operator="containsText" text="Yes">
      <formula>NOT(ISERROR(SEARCH(("Yes"),(P286))))</formula>
    </cfRule>
  </conditionalFormatting>
  <conditionalFormatting sqref="P286:Q286">
    <cfRule type="containsText" dxfId="2" priority="46953" operator="containsText" text="Yes">
      <formula>NOT(ISERROR(SEARCH(("Yes"),(P286))))</formula>
    </cfRule>
  </conditionalFormatting>
  <conditionalFormatting sqref="P286:Q286">
    <cfRule type="containsText" dxfId="2" priority="46954" operator="containsText" text="Yes">
      <formula>NOT(ISERROR(SEARCH(("Yes"),(P286))))</formula>
    </cfRule>
  </conditionalFormatting>
  <conditionalFormatting sqref="P286:Q286">
    <cfRule type="containsText" dxfId="2" priority="46955" operator="containsText" text="Yes">
      <formula>NOT(ISERROR(SEARCH(("Yes"),(P286))))</formula>
    </cfRule>
  </conditionalFormatting>
  <conditionalFormatting sqref="P286:Q286">
    <cfRule type="containsText" dxfId="2" priority="46956" operator="containsText" text="Yes">
      <formula>NOT(ISERROR(SEARCH(("Yes"),(P286))))</formula>
    </cfRule>
  </conditionalFormatting>
  <conditionalFormatting sqref="P286:Q286">
    <cfRule type="containsText" dxfId="2" priority="46957" operator="containsText" text="Yes">
      <formula>NOT(ISERROR(SEARCH(("Yes"),(P286))))</formula>
    </cfRule>
  </conditionalFormatting>
  <conditionalFormatting sqref="P286:Q286">
    <cfRule type="containsText" dxfId="2" priority="46958" operator="containsText" text="Yes">
      <formula>NOT(ISERROR(SEARCH(("Yes"),(P286))))</formula>
    </cfRule>
  </conditionalFormatting>
  <conditionalFormatting sqref="P286:Q286">
    <cfRule type="containsText" dxfId="2" priority="46959" operator="containsText" text="Yes">
      <formula>NOT(ISERROR(SEARCH(("Yes"),(P286))))</formula>
    </cfRule>
  </conditionalFormatting>
  <conditionalFormatting sqref="P286:Q286">
    <cfRule type="containsText" dxfId="2" priority="46960" operator="containsText" text="Yes">
      <formula>NOT(ISERROR(SEARCH(("Yes"),(P286))))</formula>
    </cfRule>
  </conditionalFormatting>
  <conditionalFormatting sqref="P286:Q286">
    <cfRule type="containsText" dxfId="2" priority="46961" operator="containsText" text="Yes">
      <formula>NOT(ISERROR(SEARCH(("Yes"),(P286))))</formula>
    </cfRule>
  </conditionalFormatting>
  <conditionalFormatting sqref="P286:Q286">
    <cfRule type="containsText" dxfId="2" priority="46962" operator="containsText" text="Yes">
      <formula>NOT(ISERROR(SEARCH(("Yes"),(P286))))</formula>
    </cfRule>
  </conditionalFormatting>
  <conditionalFormatting sqref="P286:Q286">
    <cfRule type="containsText" dxfId="2" priority="46963" operator="containsText" text="Yes">
      <formula>NOT(ISERROR(SEARCH(("Yes"),(P286))))</formula>
    </cfRule>
  </conditionalFormatting>
  <conditionalFormatting sqref="P286:Q286">
    <cfRule type="containsText" dxfId="2" priority="46964" operator="containsText" text="Yes">
      <formula>NOT(ISERROR(SEARCH(("Yes"),(P286))))</formula>
    </cfRule>
  </conditionalFormatting>
  <conditionalFormatting sqref="P286:Q286">
    <cfRule type="containsText" dxfId="2" priority="46965" operator="containsText" text="Yes">
      <formula>NOT(ISERROR(SEARCH(("Yes"),(P286))))</formula>
    </cfRule>
  </conditionalFormatting>
  <conditionalFormatting sqref="P286:Q286">
    <cfRule type="containsText" dxfId="2" priority="46966" operator="containsText" text="Yes">
      <formula>NOT(ISERROR(SEARCH(("Yes"),(P286))))</formula>
    </cfRule>
  </conditionalFormatting>
  <conditionalFormatting sqref="P286:Q286">
    <cfRule type="containsText" dxfId="2" priority="46967" operator="containsText" text="Yes">
      <formula>NOT(ISERROR(SEARCH(("Yes"),(P286))))</formula>
    </cfRule>
  </conditionalFormatting>
  <conditionalFormatting sqref="P286:Q286">
    <cfRule type="containsText" dxfId="2" priority="46968" operator="containsText" text="Yes">
      <formula>NOT(ISERROR(SEARCH(("Yes"),(P286))))</formula>
    </cfRule>
  </conditionalFormatting>
  <conditionalFormatting sqref="P286:Q286">
    <cfRule type="containsText" dxfId="2" priority="46969" operator="containsText" text="Yes">
      <formula>NOT(ISERROR(SEARCH(("Yes"),(P286))))</formula>
    </cfRule>
  </conditionalFormatting>
  <conditionalFormatting sqref="P286:Q286">
    <cfRule type="containsText" dxfId="2" priority="46970" operator="containsText" text="Yes">
      <formula>NOT(ISERROR(SEARCH(("Yes"),(P286))))</formula>
    </cfRule>
  </conditionalFormatting>
  <conditionalFormatting sqref="P286:Q286">
    <cfRule type="containsText" dxfId="2" priority="46971" operator="containsText" text="Yes">
      <formula>NOT(ISERROR(SEARCH(("Yes"),(P286))))</formula>
    </cfRule>
  </conditionalFormatting>
  <conditionalFormatting sqref="P286:Q286">
    <cfRule type="containsText" dxfId="2" priority="46972" operator="containsText" text="Yes">
      <formula>NOT(ISERROR(SEARCH(("Yes"),(P286))))</formula>
    </cfRule>
  </conditionalFormatting>
  <conditionalFormatting sqref="N286">
    <cfRule type="containsText" dxfId="9" priority="46973" operator="containsText" text="No">
      <formula>NOT(ISERROR(SEARCH(("No"),(N286))))</formula>
    </cfRule>
  </conditionalFormatting>
  <conditionalFormatting sqref="N286">
    <cfRule type="containsText" dxfId="2" priority="46974" operator="containsText" text="Yes">
      <formula>NOT(ISERROR(SEARCH(("Yes"),(N286))))</formula>
    </cfRule>
  </conditionalFormatting>
  <conditionalFormatting sqref="O287:O292 O294 O304 O307 O310:O311 O313:O316 O318 O321:O322 O324 O327:O328 O333 O335 O338 O343:O346 P295:Q295">
    <cfRule type="containsText" dxfId="9" priority="46975" operator="containsText" text="No">
      <formula>NOT(ISERROR(SEARCH(("No"),(O287))))</formula>
    </cfRule>
  </conditionalFormatting>
  <conditionalFormatting sqref="O287:O292 O294 O304 O307 O310:O311 O313:O316 O318 O321:O322 O324 O327:O328 O333 O335 O338 O343:O346 P295:Q295">
    <cfRule type="containsText" dxfId="9" priority="46976" operator="containsText" text="No">
      <formula>NOT(ISERROR(SEARCH(("No"),(O287))))</formula>
    </cfRule>
  </conditionalFormatting>
  <conditionalFormatting sqref="O287:O292 O294 O304 O307 O310:O311 O313:O316 O318 O321:O322 O324 O327:O328 O333 O335 O338 O343:O346 P295:Q295">
    <cfRule type="containsText" dxfId="9" priority="46977" operator="containsText" text="No">
      <formula>NOT(ISERROR(SEARCH(("No"),(O287))))</formula>
    </cfRule>
  </conditionalFormatting>
  <conditionalFormatting sqref="O287:O292 O294 O304 O307 O310:O311 O313:O316 O318 O321:O322 O324 O327:O328 O333 O335 O338 O343:O346 P295:Q295">
    <cfRule type="containsText" dxfId="2" priority="46978" operator="containsText" text="Yes">
      <formula>NOT(ISERROR(SEARCH(("Yes"),(O287))))</formula>
    </cfRule>
  </conditionalFormatting>
  <conditionalFormatting sqref="O287:O292 O294 O304 O307 O310:O311 O313:O316 O318 O321:O322 O324 O327:O328 O333 O335 O338 O343:O346 P295:Q295">
    <cfRule type="containsText" dxfId="2" priority="46979" operator="containsText" text="Yes">
      <formula>NOT(ISERROR(SEARCH(("Yes"),(O287))))</formula>
    </cfRule>
  </conditionalFormatting>
  <conditionalFormatting sqref="O287:O292 O294 O304 O307 O310:O311 O313:O316 O318 O321:O322 O324 O327:O328 O333 O335 O338 O343:O346 P295:Q295">
    <cfRule type="containsText" dxfId="2" priority="46980" operator="containsText" text="Yes">
      <formula>NOT(ISERROR(SEARCH(("Yes"),(O287))))</formula>
    </cfRule>
  </conditionalFormatting>
  <conditionalFormatting sqref="O287:O292 O294 O304 O307 O310:O311 O313:O316 O318 O321:O322 O324 O327:O328 O333 O335 O338 O343:O346 P295:Q295">
    <cfRule type="containsText" dxfId="2" priority="46981" operator="containsText" text="Yes">
      <formula>NOT(ISERROR(SEARCH(("Yes"),(O287))))</formula>
    </cfRule>
  </conditionalFormatting>
  <conditionalFormatting sqref="O287:O292 O294 O304 O307 O310:O311 O313:O316 O318 O321:O322 O324 O327:O328 O333 O335 O338 O343:O346 P295:Q295">
    <cfRule type="containsText" dxfId="2" priority="46982" operator="containsText" text="Yes">
      <formula>NOT(ISERROR(SEARCH(("Yes"),(O287))))</formula>
    </cfRule>
  </conditionalFormatting>
  <conditionalFormatting sqref="O287:O292 O294 O304 O307 O310:O311 O313:O316 O318 O321:O322 O324 O327:O328 O333 O335 O338 O343:O346 P295:Q295">
    <cfRule type="containsText" dxfId="9" priority="46983" operator="containsText" text="No">
      <formula>NOT(ISERROR(SEARCH(("No"),(O287))))</formula>
    </cfRule>
  </conditionalFormatting>
  <conditionalFormatting sqref="O287:O292 O294 O304 O307 O310:O311 O313:O316 O318 O321:O322 O324 O327:O328 O333 O335 O338 O343:O346 P295:Q295">
    <cfRule type="containsText" dxfId="9" priority="46984" operator="containsText" text="No">
      <formula>NOT(ISERROR(SEARCH(("No"),(O287))))</formula>
    </cfRule>
  </conditionalFormatting>
  <conditionalFormatting sqref="O287:O292 O294 O304 O307 O310:O311 O313:O316 O318 O321:O322 O324 O327:O328 O333 O335 O338 O343:O346 P295:Q295">
    <cfRule type="containsText" dxfId="2" priority="46985" operator="containsText" text="Yes">
      <formula>NOT(ISERROR(SEARCH(("Yes"),(O287))))</formula>
    </cfRule>
  </conditionalFormatting>
  <conditionalFormatting sqref="O295 P287:Q292 P294:Q294 P304:Q304 P307:Q307 P310:Q311 P313:Q316 P318:Q318 P321:Q322 P343:Q346">
    <cfRule type="containsText" dxfId="9" priority="46986" operator="containsText" text="No">
      <formula>NOT(ISERROR(SEARCH(("No"),(O295))))</formula>
    </cfRule>
  </conditionalFormatting>
  <conditionalFormatting sqref="O295 P287:Q292 P294:Q294 P304:Q304 P307:Q307 P310:Q311 P313:Q316 P318:Q318 P321:Q322 P343:Q346">
    <cfRule type="containsText" dxfId="9" priority="46987" operator="containsText" text="No">
      <formula>NOT(ISERROR(SEARCH(("No"),(O295))))</formula>
    </cfRule>
  </conditionalFormatting>
  <conditionalFormatting sqref="O295 P287:Q292 P294:Q294 P304:Q304 P307:Q307 P310:Q311 P313:Q316 P318:Q318 P321:Q322 P343:Q346">
    <cfRule type="containsText" dxfId="9" priority="46988" operator="containsText" text="No">
      <formula>NOT(ISERROR(SEARCH(("No"),(O295))))</formula>
    </cfRule>
  </conditionalFormatting>
  <conditionalFormatting sqref="O295 P287:Q292 P294:Q294 P304:Q304 P307:Q307 P310:Q311 P313:Q316 P318:Q318 P321:Q322 P343:Q346">
    <cfRule type="containsText" dxfId="9" priority="46989" operator="containsText" text="No">
      <formula>NOT(ISERROR(SEARCH(("No"),(O295))))</formula>
    </cfRule>
  </conditionalFormatting>
  <conditionalFormatting sqref="O295 P287:Q292 P294:Q294 P304:Q304 P307:Q307 P310:Q311 P313:Q316 P318:Q318 P321:Q322 P343:Q346">
    <cfRule type="containsText" dxfId="9" priority="46990" operator="containsText" text="No">
      <formula>NOT(ISERROR(SEARCH(("No"),(O295))))</formula>
    </cfRule>
  </conditionalFormatting>
  <conditionalFormatting sqref="O295 P287:Q292 P294:Q294 P304:Q304 P307:Q307 P310:Q311 P313:Q316 P318:Q318 P321:Q322 P343:Q346">
    <cfRule type="containsText" dxfId="9" priority="46991" operator="containsText" text="No">
      <formula>NOT(ISERROR(SEARCH(("No"),(O295))))</formula>
    </cfRule>
  </conditionalFormatting>
  <conditionalFormatting sqref="O295 P287:Q292 P294:Q294 P304:Q304 P307:Q307 P310:Q311 P313:Q316 P318:Q318 P321:Q322 P343:Q346">
    <cfRule type="containsText" dxfId="9" priority="46992" operator="containsText" text="No">
      <formula>NOT(ISERROR(SEARCH(("No"),(O295))))</formula>
    </cfRule>
  </conditionalFormatting>
  <conditionalFormatting sqref="O295 P287:Q292 P294:Q294 P304:Q304 P307:Q307 P310:Q311 P313:Q316 P318:Q318 P321:Q322 P343:Q346">
    <cfRule type="containsText" dxfId="9" priority="46993" operator="containsText" text="No">
      <formula>NOT(ISERROR(SEARCH(("No"),(O295))))</formula>
    </cfRule>
  </conditionalFormatting>
  <conditionalFormatting sqref="O295 P287:Q292 P294:Q294 P304:Q304 P307:Q307 P310:Q311 P313:Q316 P318:Q318 P321:Q322 P343:Q346">
    <cfRule type="containsText" dxfId="9" priority="46994" operator="containsText" text="No">
      <formula>NOT(ISERROR(SEARCH(("No"),(O295))))</formula>
    </cfRule>
  </conditionalFormatting>
  <conditionalFormatting sqref="O295 P287:Q292 P294:Q294 P304:Q304 P307:Q307 P310:Q311 P313:Q316 P318:Q318 P321:Q322 P343:Q346">
    <cfRule type="containsText" dxfId="9" priority="46995" operator="containsText" text="No">
      <formula>NOT(ISERROR(SEARCH(("No"),(O295))))</formula>
    </cfRule>
  </conditionalFormatting>
  <conditionalFormatting sqref="O295 P287:Q292 P294:Q294 P304:Q304 P307:Q307 P310:Q311 P313:Q316 P318:Q318 P321:Q322 P343:Q346">
    <cfRule type="containsText" dxfId="9" priority="46996" operator="containsText" text="No">
      <formula>NOT(ISERROR(SEARCH(("No"),(O295))))</formula>
    </cfRule>
  </conditionalFormatting>
  <conditionalFormatting sqref="O295 P287:Q292 P294:Q294 P304:Q304 P307:Q307 P310:Q311 P313:Q316 P318:Q318 P321:Q322 P343:Q346">
    <cfRule type="containsText" dxfId="9" priority="46997" operator="containsText" text="No">
      <formula>NOT(ISERROR(SEARCH(("No"),(O295))))</formula>
    </cfRule>
  </conditionalFormatting>
  <conditionalFormatting sqref="O295 P287:Q292 P294:Q294 P304:Q304 P307:Q307 P310:Q311 P313:Q316 P318:Q318 P321:Q322 P343:Q346">
    <cfRule type="containsText" dxfId="9" priority="46998" operator="containsText" text="No">
      <formula>NOT(ISERROR(SEARCH(("No"),(O295))))</formula>
    </cfRule>
  </conditionalFormatting>
  <conditionalFormatting sqref="O295 P287:Q292 P294:Q294 P304:Q304 P307:Q307 P310:Q311 P313:Q316 P318:Q318 P321:Q322 P343:Q346">
    <cfRule type="containsText" dxfId="9" priority="46999" operator="containsText" text="No">
      <formula>NOT(ISERROR(SEARCH(("No"),(O295))))</formula>
    </cfRule>
  </conditionalFormatting>
  <conditionalFormatting sqref="O295 P287:Q292 P294:Q294 P304:Q304 P307:Q307 P310:Q311 P313:Q316 P318:Q318 P321:Q322 P343:Q346">
    <cfRule type="containsText" dxfId="9" priority="47000" operator="containsText" text="No">
      <formula>NOT(ISERROR(SEARCH(("No"),(O295))))</formula>
    </cfRule>
  </conditionalFormatting>
  <conditionalFormatting sqref="O295 P287:Q292 P294:Q294 P304:Q304 P307:Q307 P310:Q311 P313:Q316 P318:Q318 P321:Q322 P343:Q346">
    <cfRule type="containsText" dxfId="9" priority="47001" operator="containsText" text="No">
      <formula>NOT(ISERROR(SEARCH(("No"),(O295))))</formula>
    </cfRule>
  </conditionalFormatting>
  <conditionalFormatting sqref="O295 P287:Q292 P294:Q294 P304:Q304 P307:Q307 P310:Q311 P313:Q316 P318:Q318 P321:Q322 P343:Q346">
    <cfRule type="containsText" dxfId="9" priority="47002" operator="containsText" text="No">
      <formula>NOT(ISERROR(SEARCH(("No"),(O295))))</formula>
    </cfRule>
  </conditionalFormatting>
  <conditionalFormatting sqref="O295 P287:Q292 P294:Q294 P304:Q304 P307:Q307 P310:Q311 P313:Q316 P318:Q318 P321:Q322 P343:Q346">
    <cfRule type="containsText" dxfId="9" priority="47003" operator="containsText" text="No">
      <formula>NOT(ISERROR(SEARCH(("No"),(O295))))</formula>
    </cfRule>
  </conditionalFormatting>
  <conditionalFormatting sqref="O295 P287:Q292 P294:Q294 P304:Q304 P307:Q307 P310:Q311 P313:Q316 P318:Q318 P321:Q322 P343:Q346">
    <cfRule type="containsText" dxfId="9" priority="47004" operator="containsText" text="No">
      <formula>NOT(ISERROR(SEARCH(("No"),(O295))))</formula>
    </cfRule>
  </conditionalFormatting>
  <conditionalFormatting sqref="O295 P287:Q292 P294:Q294 P304:Q304 P307:Q307 P310:Q311 P313:Q316 P318:Q318 P321:Q322 P343:Q346">
    <cfRule type="containsText" dxfId="9" priority="47005" operator="containsText" text="No">
      <formula>NOT(ISERROR(SEARCH(("No"),(O295))))</formula>
    </cfRule>
  </conditionalFormatting>
  <conditionalFormatting sqref="O295 P287:Q292 P294:Q294 P304:Q304 P307:Q307 P310:Q311 P313:Q316 P318:Q318 P321:Q322 P343:Q346">
    <cfRule type="containsText" dxfId="9" priority="47006" operator="containsText" text="No">
      <formula>NOT(ISERROR(SEARCH(("No"),(O295))))</formula>
    </cfRule>
  </conditionalFormatting>
  <conditionalFormatting sqref="O295 P287:Q292 P294:Q294 P304:Q304 P307:Q307 P310:Q311 P313:Q316 P318:Q318 P321:Q322 P343:Q346">
    <cfRule type="containsText" dxfId="9" priority="47007" operator="containsText" text="No">
      <formula>NOT(ISERROR(SEARCH(("No"),(O295))))</formula>
    </cfRule>
  </conditionalFormatting>
  <conditionalFormatting sqref="O295 P287:Q292 P294:Q294 P304:Q304 P307:Q307 P310:Q311 P313:Q316 P318:Q318 P321:Q322 P343:Q346">
    <cfRule type="containsText" dxfId="9" priority="47008" operator="containsText" text="No">
      <formula>NOT(ISERROR(SEARCH(("No"),(O295))))</formula>
    </cfRule>
  </conditionalFormatting>
  <conditionalFormatting sqref="O295 P287:Q292 P294:Q294 P304:Q304 P307:Q307 P310:Q311 P313:Q316 P318:Q318 P321:Q322 P343:Q346">
    <cfRule type="containsText" dxfId="9" priority="47009" operator="containsText" text="No">
      <formula>NOT(ISERROR(SEARCH(("No"),(O295))))</formula>
    </cfRule>
  </conditionalFormatting>
  <conditionalFormatting sqref="O295 P287:Q292 P294:Q294 P304:Q304 P307:Q307 P310:Q311 P313:Q316 P318:Q318 P321:Q322 P343:Q346">
    <cfRule type="containsText" dxfId="9" priority="47010" operator="containsText" text="No">
      <formula>NOT(ISERROR(SEARCH(("No"),(O295))))</formula>
    </cfRule>
  </conditionalFormatting>
  <conditionalFormatting sqref="O295 P287:Q292 P294:Q294 P304:Q304 P307:Q307 P310:Q311 P313:Q316 P318:Q318 P321:Q322 P343:Q346">
    <cfRule type="containsText" dxfId="9" priority="47011" operator="containsText" text="No">
      <formula>NOT(ISERROR(SEARCH(("No"),(O295))))</formula>
    </cfRule>
  </conditionalFormatting>
  <conditionalFormatting sqref="O295 P287:Q292 P294:Q294 P304:Q304 P307:Q307 P310:Q311 P313:Q316 P318:Q318 P321:Q322 P343:Q346">
    <cfRule type="containsText" dxfId="9" priority="47012" operator="containsText" text="No">
      <formula>NOT(ISERROR(SEARCH(("No"),(O295))))</formula>
    </cfRule>
  </conditionalFormatting>
  <conditionalFormatting sqref="O295 P287:Q292 P294:Q294 P304:Q304 P307:Q307 P310:Q311 P313:Q316 P318:Q318 P321:Q322 P343:Q346">
    <cfRule type="containsText" dxfId="9" priority="47013" operator="containsText" text="No">
      <formula>NOT(ISERROR(SEARCH(("No"),(O295))))</formula>
    </cfRule>
  </conditionalFormatting>
  <conditionalFormatting sqref="O295 P287:Q292 P294:Q294 P304:Q304 P307:Q307 P310:Q311 P313:Q316 P318:Q318 P321:Q322 P343:Q346">
    <cfRule type="containsText" dxfId="9" priority="47014" operator="containsText" text="No">
      <formula>NOT(ISERROR(SEARCH(("No"),(O295))))</formula>
    </cfRule>
  </conditionalFormatting>
  <conditionalFormatting sqref="O295 P287:Q292 P294:Q294 P304:Q304 P307:Q307 P310:Q311 P313:Q316 P318:Q318 P321:Q322 P343:Q346">
    <cfRule type="containsText" dxfId="9" priority="47015" operator="containsText" text="No">
      <formula>NOT(ISERROR(SEARCH(("No"),(O295))))</formula>
    </cfRule>
  </conditionalFormatting>
  <conditionalFormatting sqref="O295 P287:Q292 P294:Q294 P304:Q304 P307:Q307 P310:Q311 P313:Q316 P318:Q318 P321:Q322 P343:Q346">
    <cfRule type="containsText" dxfId="9" priority="47016" operator="containsText" text="No">
      <formula>NOT(ISERROR(SEARCH(("No"),(O295))))</formula>
    </cfRule>
  </conditionalFormatting>
  <conditionalFormatting sqref="O295 P287:Q292 P294:Q294 P304:Q304 P307:Q307 P310:Q311 P313:Q316 P318:Q318 P321:Q322 P343:Q346">
    <cfRule type="containsText" dxfId="9" priority="47017" operator="containsText" text="No">
      <formula>NOT(ISERROR(SEARCH(("No"),(O295))))</formula>
    </cfRule>
  </conditionalFormatting>
  <conditionalFormatting sqref="O295 P287:Q292 P294:Q294 P304:Q304 P307:Q307 P310:Q311 P313:Q316 P318:Q318 P321:Q322 P343:Q346">
    <cfRule type="containsText" dxfId="9" priority="47018" operator="containsText" text="No">
      <formula>NOT(ISERROR(SEARCH(("No"),(O295))))</formula>
    </cfRule>
  </conditionalFormatting>
  <conditionalFormatting sqref="O295 P287:Q292 P294:Q294 P304:Q304 P307:Q307 P310:Q311 P313:Q316 P318:Q318 P321:Q322 P343:Q346">
    <cfRule type="containsText" dxfId="9" priority="47019" operator="containsText" text="No">
      <formula>NOT(ISERROR(SEARCH(("No"),(O295))))</formula>
    </cfRule>
  </conditionalFormatting>
  <conditionalFormatting sqref="O295 P287:Q292 P294:Q294 P304:Q304 P307:Q307 P310:Q311 P313:Q316 P318:Q318 P321:Q322 P343:Q346">
    <cfRule type="containsText" dxfId="9" priority="47020" operator="containsText" text="No">
      <formula>NOT(ISERROR(SEARCH(("No"),(O295))))</formula>
    </cfRule>
  </conditionalFormatting>
  <conditionalFormatting sqref="O295 P287:Q292 P294:Q294 P304:Q304 P307:Q307 P310:Q311 P313:Q316 P318:Q318 P321:Q322 P343:Q346">
    <cfRule type="containsText" dxfId="9" priority="47021" operator="containsText" text="No">
      <formula>NOT(ISERROR(SEARCH(("No"),(O295))))</formula>
    </cfRule>
  </conditionalFormatting>
  <conditionalFormatting sqref="O295 P287:Q292 P294:Q294 P304:Q304 P307:Q307 P310:Q311 P313:Q316 P318:Q318 P321:Q322 P343:Q346">
    <cfRule type="containsText" dxfId="9" priority="47022" operator="containsText" text="No">
      <formula>NOT(ISERROR(SEARCH(("No"),(O295))))</formula>
    </cfRule>
  </conditionalFormatting>
  <conditionalFormatting sqref="O295 P287:Q292 P294:Q294 P304:Q304 P307:Q307 P310:Q311 P313:Q316 P318:Q318 P321:Q322 P343:Q346">
    <cfRule type="containsText" dxfId="9" priority="47023" operator="containsText" text="No">
      <formula>NOT(ISERROR(SEARCH(("No"),(O295))))</formula>
    </cfRule>
  </conditionalFormatting>
  <conditionalFormatting sqref="O295 P287:Q292 P294:Q294 P304:Q304 P307:Q307 P310:Q311 P313:Q316 P318:Q318 P321:Q322 P343:Q346">
    <cfRule type="containsText" dxfId="9" priority="47024" operator="containsText" text="No">
      <formula>NOT(ISERROR(SEARCH(("No"),(O295))))</formula>
    </cfRule>
  </conditionalFormatting>
  <conditionalFormatting sqref="O295 P287:Q292 P294:Q294 P304:Q304 P307:Q307 P310:Q311 P313:Q316 P318:Q318 P321:Q322 P343:Q346">
    <cfRule type="containsText" dxfId="9" priority="47025" operator="containsText" text="No">
      <formula>NOT(ISERROR(SEARCH(("No"),(O295))))</formula>
    </cfRule>
  </conditionalFormatting>
  <conditionalFormatting sqref="O295 P287:Q292 P294:Q294 P304:Q304 P307:Q307 P310:Q311 P313:Q316 P318:Q318 P321:Q322 P343:Q346">
    <cfRule type="containsText" dxfId="9" priority="47026" operator="containsText" text="No">
      <formula>NOT(ISERROR(SEARCH(("No"),(O295))))</formula>
    </cfRule>
  </conditionalFormatting>
  <conditionalFormatting sqref="O295 P287:Q292 P294:Q294 P304:Q304 P307:Q307 P310:Q311 P313:Q316 P318:Q318 P321:Q322 P343:Q346">
    <cfRule type="containsText" dxfId="9" priority="47027" operator="containsText" text="No">
      <formula>NOT(ISERROR(SEARCH(("No"),(O295))))</formula>
    </cfRule>
  </conditionalFormatting>
  <conditionalFormatting sqref="O295 P287:Q292 P294:Q294 P304:Q304 P307:Q307 P310:Q311 P313:Q316 P318:Q318 P321:Q322 P343:Q346">
    <cfRule type="containsText" dxfId="9" priority="47028" operator="containsText" text="No">
      <formula>NOT(ISERROR(SEARCH(("No"),(O295))))</formula>
    </cfRule>
  </conditionalFormatting>
  <conditionalFormatting sqref="O295 P287:Q292 P294:Q294 P304:Q304 P307:Q307 P310:Q311 P313:Q316 P318:Q318 P321:Q322 P343:Q346">
    <cfRule type="containsText" dxfId="9" priority="47029" operator="containsText" text="No">
      <formula>NOT(ISERROR(SEARCH(("No"),(O295))))</formula>
    </cfRule>
  </conditionalFormatting>
  <conditionalFormatting sqref="O295 P287:Q292 P294:Q294 P304:Q304 P307:Q307 P310:Q311 P313:Q316 P318:Q318 P321:Q322 P343:Q346">
    <cfRule type="containsText" dxfId="9" priority="47030" operator="containsText" text="No">
      <formula>NOT(ISERROR(SEARCH(("No"),(O295))))</formula>
    </cfRule>
  </conditionalFormatting>
  <conditionalFormatting sqref="O295 P287:Q292 P294:Q294 P304:Q304 P307:Q307 P310:Q311 P313:Q316 P318:Q318 P321:Q322 P343:Q346">
    <cfRule type="containsText" dxfId="2" priority="47031" operator="containsText" text="Yes">
      <formula>NOT(ISERROR(SEARCH(("Yes"),(O295))))</formula>
    </cfRule>
  </conditionalFormatting>
  <conditionalFormatting sqref="O295 P287:Q292 P294:Q294 P304:Q304 P307:Q307 P310:Q311 P313:Q316 P318:Q318 P321:Q322 P343:Q346">
    <cfRule type="containsText" dxfId="2" priority="47032" operator="containsText" text="Yes">
      <formula>NOT(ISERROR(SEARCH(("Yes"),(O295))))</formula>
    </cfRule>
  </conditionalFormatting>
  <conditionalFormatting sqref="O295 P287:Q292 P294:Q294 P304:Q304 P307:Q307 P310:Q311 P313:Q316 P318:Q318 P321:Q322 P343:Q346">
    <cfRule type="containsText" dxfId="2" priority="47033" operator="containsText" text="Yes">
      <formula>NOT(ISERROR(SEARCH(("Yes"),(O295))))</formula>
    </cfRule>
  </conditionalFormatting>
  <conditionalFormatting sqref="O295 P287:Q292 P294:Q294 P304:Q304 P307:Q307 P310:Q311 P313:Q316 P318:Q318 P321:Q322 P343:Q346">
    <cfRule type="containsText" dxfId="2" priority="47034" operator="containsText" text="Yes">
      <formula>NOT(ISERROR(SEARCH(("Yes"),(O295))))</formula>
    </cfRule>
  </conditionalFormatting>
  <conditionalFormatting sqref="O295 P287:Q292 P294:Q294 P304:Q304 P307:Q307 P310:Q311 P313:Q316 P318:Q318 P321:Q322 P343:Q346">
    <cfRule type="containsText" dxfId="2" priority="47035" operator="containsText" text="Yes">
      <formula>NOT(ISERROR(SEARCH(("Yes"),(O295))))</formula>
    </cfRule>
  </conditionalFormatting>
  <conditionalFormatting sqref="O295 P287:Q292 P294:Q294 P304:Q304 P307:Q307 P310:Q311 P313:Q316 P318:Q318 P321:Q322 P343:Q346">
    <cfRule type="containsText" dxfId="2" priority="47036" operator="containsText" text="Yes">
      <formula>NOT(ISERROR(SEARCH(("Yes"),(O295))))</formula>
    </cfRule>
  </conditionalFormatting>
  <conditionalFormatting sqref="O295 P287:Q292 P294:Q294 P304:Q304 P307:Q307 P310:Q311 P313:Q316 P318:Q318 P321:Q322 P343:Q346">
    <cfRule type="containsText" dxfId="2" priority="47037" operator="containsText" text="Yes">
      <formula>NOT(ISERROR(SEARCH(("Yes"),(O295))))</formula>
    </cfRule>
  </conditionalFormatting>
  <conditionalFormatting sqref="O295 P287:Q292 P294:Q294 P304:Q304 P307:Q307 P310:Q311 P313:Q316 P318:Q318 P321:Q322 P343:Q346">
    <cfRule type="containsText" dxfId="2" priority="47038" operator="containsText" text="Yes">
      <formula>NOT(ISERROR(SEARCH(("Yes"),(O295))))</formula>
    </cfRule>
  </conditionalFormatting>
  <conditionalFormatting sqref="O295 P287:Q292 P294:Q294 P304:Q304 P307:Q307 P310:Q311 P313:Q316 P318:Q318 P321:Q322 P343:Q346">
    <cfRule type="containsText" dxfId="2" priority="47039" operator="containsText" text="Yes">
      <formula>NOT(ISERROR(SEARCH(("Yes"),(O295))))</formula>
    </cfRule>
  </conditionalFormatting>
  <conditionalFormatting sqref="O295 P287:Q292 P294:Q294 P304:Q304 P307:Q307 P310:Q311 P313:Q316 P318:Q318 P321:Q322 P343:Q346">
    <cfRule type="containsText" dxfId="2" priority="47040" operator="containsText" text="Yes">
      <formula>NOT(ISERROR(SEARCH(("Yes"),(O295))))</formula>
    </cfRule>
  </conditionalFormatting>
  <conditionalFormatting sqref="O295 P287:Q292 P294:Q294 P304:Q304 P307:Q307 P310:Q311 P313:Q316 P318:Q318 P321:Q322 P343:Q346">
    <cfRule type="containsText" dxfId="2" priority="47041" operator="containsText" text="Yes">
      <formula>NOT(ISERROR(SEARCH(("Yes"),(O295))))</formula>
    </cfRule>
  </conditionalFormatting>
  <conditionalFormatting sqref="O295 P287:Q292 P294:Q294 P304:Q304 P307:Q307 P310:Q311 P313:Q316 P318:Q318 P321:Q322 P343:Q346">
    <cfRule type="containsText" dxfId="2" priority="47042" operator="containsText" text="Yes">
      <formula>NOT(ISERROR(SEARCH(("Yes"),(O295))))</formula>
    </cfRule>
  </conditionalFormatting>
  <conditionalFormatting sqref="O295 P287:Q292 P294:Q294 P304:Q304 P307:Q307 P310:Q311 P313:Q316 P318:Q318 P321:Q322 P343:Q346">
    <cfRule type="containsText" dxfId="2" priority="47043" operator="containsText" text="Yes">
      <formula>NOT(ISERROR(SEARCH(("Yes"),(O295))))</formula>
    </cfRule>
  </conditionalFormatting>
  <conditionalFormatting sqref="O295 P287:Q292 P294:Q294 P304:Q304 P307:Q307 P310:Q311 P313:Q316 P318:Q318 P321:Q322 P343:Q346">
    <cfRule type="containsText" dxfId="2" priority="47044" operator="containsText" text="Yes">
      <formula>NOT(ISERROR(SEARCH(("Yes"),(O295))))</formula>
    </cfRule>
  </conditionalFormatting>
  <conditionalFormatting sqref="O295 P287:Q292 P294:Q294 P304:Q304 P307:Q307 P310:Q311 P313:Q316 P318:Q318 P321:Q322 P343:Q346">
    <cfRule type="containsText" dxfId="2" priority="47045" operator="containsText" text="Yes">
      <formula>NOT(ISERROR(SEARCH(("Yes"),(O295))))</formula>
    </cfRule>
  </conditionalFormatting>
  <conditionalFormatting sqref="O295 P287:Q292 P294:Q294 P304:Q304 P307:Q307 P310:Q311 P313:Q316 P318:Q318 P321:Q322 P343:Q346">
    <cfRule type="containsText" dxfId="2" priority="47046" operator="containsText" text="Yes">
      <formula>NOT(ISERROR(SEARCH(("Yes"),(O295))))</formula>
    </cfRule>
  </conditionalFormatting>
  <conditionalFormatting sqref="O295 P287:Q292 P294:Q294 P304:Q304 P307:Q307 P310:Q311 P313:Q316 P318:Q318 P321:Q322 P343:Q346">
    <cfRule type="containsText" dxfId="2" priority="47047" operator="containsText" text="Yes">
      <formula>NOT(ISERROR(SEARCH(("Yes"),(O295))))</formula>
    </cfRule>
  </conditionalFormatting>
  <conditionalFormatting sqref="O295 P287:Q292 P294:Q294 P304:Q304 P307:Q307 P310:Q311 P313:Q316 P318:Q318 P321:Q322 P343:Q346">
    <cfRule type="containsText" dxfId="2" priority="47048" operator="containsText" text="Yes">
      <formula>NOT(ISERROR(SEARCH(("Yes"),(O295))))</formula>
    </cfRule>
  </conditionalFormatting>
  <conditionalFormatting sqref="O295 P287:Q292 P294:Q294 P304:Q304 P307:Q307 P310:Q311 P313:Q316 P318:Q318 P321:Q322 P343:Q346">
    <cfRule type="containsText" dxfId="2" priority="47049" operator="containsText" text="Yes">
      <formula>NOT(ISERROR(SEARCH(("Yes"),(O295))))</formula>
    </cfRule>
  </conditionalFormatting>
  <conditionalFormatting sqref="O295 P287:Q292 P294:Q294 P304:Q304 P307:Q307 P310:Q311 P313:Q316 P318:Q318 P321:Q322 P343:Q346">
    <cfRule type="containsText" dxfId="2" priority="47050" operator="containsText" text="Yes">
      <formula>NOT(ISERROR(SEARCH(("Yes"),(O295))))</formula>
    </cfRule>
  </conditionalFormatting>
  <conditionalFormatting sqref="O295 P287:Q292 P294:Q294 P304:Q304 P307:Q307 P310:Q311 P313:Q316 P318:Q318 P321:Q322 P343:Q346">
    <cfRule type="containsText" dxfId="2" priority="47051" operator="containsText" text="Yes">
      <formula>NOT(ISERROR(SEARCH(("Yes"),(O295))))</formula>
    </cfRule>
  </conditionalFormatting>
  <conditionalFormatting sqref="O295 P287:Q292 P294:Q294 P304:Q304 P307:Q307 P310:Q311 P313:Q316 P318:Q318 P321:Q322 P343:Q346">
    <cfRule type="containsText" dxfId="2" priority="47052" operator="containsText" text="Yes">
      <formula>NOT(ISERROR(SEARCH(("Yes"),(O295))))</formula>
    </cfRule>
  </conditionalFormatting>
  <conditionalFormatting sqref="O295 P287:Q292 P294:Q294 P304:Q304 P307:Q307 P310:Q311 P313:Q316 P318:Q318 P321:Q322 P343:Q346">
    <cfRule type="containsText" dxfId="2" priority="47053" operator="containsText" text="Yes">
      <formula>NOT(ISERROR(SEARCH(("Yes"),(O295))))</formula>
    </cfRule>
  </conditionalFormatting>
  <conditionalFormatting sqref="O295 P287:Q292 P294:Q294 P304:Q304 P307:Q307 P310:Q311 P313:Q316 P318:Q318 P321:Q322 P343:Q346">
    <cfRule type="containsText" dxfId="2" priority="47054" operator="containsText" text="Yes">
      <formula>NOT(ISERROR(SEARCH(("Yes"),(O295))))</formula>
    </cfRule>
  </conditionalFormatting>
  <conditionalFormatting sqref="O295 P287:Q292 P294:Q294 P304:Q304 P307:Q307 P310:Q311 P313:Q316 P318:Q318 P321:Q322 P343:Q346">
    <cfRule type="containsText" dxfId="2" priority="47055" operator="containsText" text="Yes">
      <formula>NOT(ISERROR(SEARCH(("Yes"),(O295))))</formula>
    </cfRule>
  </conditionalFormatting>
  <conditionalFormatting sqref="O295 P287:Q292 P294:Q294 P304:Q304 P307:Q307 P310:Q311 P313:Q316 P318:Q318 P321:Q322 P343:Q346">
    <cfRule type="containsText" dxfId="2" priority="47056" operator="containsText" text="Yes">
      <formula>NOT(ISERROR(SEARCH(("Yes"),(O295))))</formula>
    </cfRule>
  </conditionalFormatting>
  <conditionalFormatting sqref="O295 P287:Q292 P294:Q294 P304:Q304 P307:Q307 P310:Q311 P313:Q316 P318:Q318 P321:Q322 P343:Q346">
    <cfRule type="containsText" dxfId="2" priority="47057" operator="containsText" text="Yes">
      <formula>NOT(ISERROR(SEARCH(("Yes"),(O295))))</formula>
    </cfRule>
  </conditionalFormatting>
  <conditionalFormatting sqref="O295 P287:Q292 P294:Q294 P304:Q304 P307:Q307 P310:Q311 P313:Q316 P318:Q318 P321:Q322 P343:Q346">
    <cfRule type="containsText" dxfId="2" priority="47058" operator="containsText" text="Yes">
      <formula>NOT(ISERROR(SEARCH(("Yes"),(O295))))</formula>
    </cfRule>
  </conditionalFormatting>
  <conditionalFormatting sqref="O295 P287:Q292 P294:Q294 P304:Q304 P307:Q307 P310:Q311 P313:Q316 P318:Q318 P321:Q322 P343:Q346">
    <cfRule type="containsText" dxfId="2" priority="47059" operator="containsText" text="Yes">
      <formula>NOT(ISERROR(SEARCH(("Yes"),(O295))))</formula>
    </cfRule>
  </conditionalFormatting>
  <conditionalFormatting sqref="O295 P287:Q292 P294:Q294 P304:Q304 P307:Q307 P310:Q311 P313:Q316 P318:Q318 P321:Q322 P343:Q346">
    <cfRule type="containsText" dxfId="2" priority="47060" operator="containsText" text="Yes">
      <formula>NOT(ISERROR(SEARCH(("Yes"),(O295))))</formula>
    </cfRule>
  </conditionalFormatting>
  <conditionalFormatting sqref="O295 P287:Q292 P294:Q294 P304:Q304 P307:Q307 P310:Q311 P313:Q316 P318:Q318 P321:Q322 P343:Q346">
    <cfRule type="containsText" dxfId="2" priority="47061" operator="containsText" text="Yes">
      <formula>NOT(ISERROR(SEARCH(("Yes"),(O295))))</formula>
    </cfRule>
  </conditionalFormatting>
  <conditionalFormatting sqref="O295 P287:Q292 P294:Q294 P304:Q304 P307:Q307 P310:Q311 P313:Q316 P318:Q318 P321:Q322 P343:Q346">
    <cfRule type="containsText" dxfId="2" priority="47062" operator="containsText" text="Yes">
      <formula>NOT(ISERROR(SEARCH(("Yes"),(O295))))</formula>
    </cfRule>
  </conditionalFormatting>
  <conditionalFormatting sqref="O295 P287:Q292 P294:Q294 P304:Q304 P307:Q307 P310:Q311 P313:Q316 P318:Q318 P321:Q322 P343:Q346">
    <cfRule type="containsText" dxfId="2" priority="47063" operator="containsText" text="Yes">
      <formula>NOT(ISERROR(SEARCH(("Yes"),(O295))))</formula>
    </cfRule>
  </conditionalFormatting>
  <conditionalFormatting sqref="O295 P287:Q292 P294:Q294 P304:Q304 P307:Q307 P310:Q311 P313:Q316 P318:Q318 P321:Q322 P343:Q346">
    <cfRule type="containsText" dxfId="2" priority="47064" operator="containsText" text="Yes">
      <formula>NOT(ISERROR(SEARCH(("Yes"),(O295))))</formula>
    </cfRule>
  </conditionalFormatting>
  <conditionalFormatting sqref="O295 P287:Q292 P294:Q294 P304:Q304 P307:Q307 P310:Q311 P313:Q316 P318:Q318 P321:Q322 P343:Q346">
    <cfRule type="containsText" dxfId="2" priority="47065" operator="containsText" text="Yes">
      <formula>NOT(ISERROR(SEARCH(("Yes"),(O295))))</formula>
    </cfRule>
  </conditionalFormatting>
  <conditionalFormatting sqref="O295 P287:Q292 P294:Q294 P304:Q304 P307:Q307 P310:Q311 P313:Q316 P318:Q318 P321:Q322 P343:Q346">
    <cfRule type="containsText" dxfId="2" priority="47066" operator="containsText" text="Yes">
      <formula>NOT(ISERROR(SEARCH(("Yes"),(O295))))</formula>
    </cfRule>
  </conditionalFormatting>
  <conditionalFormatting sqref="O295 P287:Q292 P294:Q294 P304:Q304 P307:Q307 P310:Q311 P313:Q316 P318:Q318 P321:Q322 P343:Q346">
    <cfRule type="containsText" dxfId="2" priority="47067" operator="containsText" text="Yes">
      <formula>NOT(ISERROR(SEARCH(("Yes"),(O295))))</formula>
    </cfRule>
  </conditionalFormatting>
  <conditionalFormatting sqref="O295 P287:Q292 P294:Q294 P304:Q304 P307:Q307 P310:Q311 P313:Q316 P318:Q318 P321:Q322 P343:Q346">
    <cfRule type="containsText" dxfId="2" priority="47068" operator="containsText" text="Yes">
      <formula>NOT(ISERROR(SEARCH(("Yes"),(O295))))</formula>
    </cfRule>
  </conditionalFormatting>
  <conditionalFormatting sqref="O295 P287:Q292 P294:Q294 P304:Q304 P307:Q307 P310:Q311 P313:Q316 P318:Q318 P321:Q322 P343:Q346">
    <cfRule type="containsText" dxfId="2" priority="47069" operator="containsText" text="Yes">
      <formula>NOT(ISERROR(SEARCH(("Yes"),(O295))))</formula>
    </cfRule>
  </conditionalFormatting>
  <conditionalFormatting sqref="O295 P287:Q292 P294:Q294 P304:Q304 P307:Q307 P310:Q311 P313:Q316 P318:Q318 P321:Q322 P343:Q346">
    <cfRule type="containsText" dxfId="2" priority="47070" operator="containsText" text="Yes">
      <formula>NOT(ISERROR(SEARCH(("Yes"),(O295))))</formula>
    </cfRule>
  </conditionalFormatting>
  <conditionalFormatting sqref="O295 P287:Q292 P294:Q294 P304:Q304 P307:Q307 P310:Q311 P313:Q316 P318:Q318 P321:Q322 P343:Q346">
    <cfRule type="containsText" dxfId="2" priority="47071" operator="containsText" text="Yes">
      <formula>NOT(ISERROR(SEARCH(("Yes"),(O295))))</formula>
    </cfRule>
  </conditionalFormatting>
  <conditionalFormatting sqref="O295 P287:Q292 P294:Q294 P304:Q304 P307:Q307 P310:Q311 P313:Q316 P318:Q318 P321:Q322 P343:Q346">
    <cfRule type="containsText" dxfId="2" priority="47072" operator="containsText" text="Yes">
      <formula>NOT(ISERROR(SEARCH(("Yes"),(O295))))</formula>
    </cfRule>
  </conditionalFormatting>
  <conditionalFormatting sqref="O295 P287:Q292 P294:Q294 P304:Q304 P307:Q307 P310:Q311 P313:Q316 P318:Q318 P321:Q322 P343:Q346">
    <cfRule type="containsText" dxfId="2" priority="47073" operator="containsText" text="Yes">
      <formula>NOT(ISERROR(SEARCH(("Yes"),(O295))))</formula>
    </cfRule>
  </conditionalFormatting>
  <conditionalFormatting sqref="O295 P287:Q292 P294:Q294 P304:Q304 P307:Q307 P310:Q311 P313:Q316 P318:Q318 P321:Q322 P343:Q346">
    <cfRule type="containsText" dxfId="2" priority="47074" operator="containsText" text="Yes">
      <formula>NOT(ISERROR(SEARCH(("Yes"),(O295))))</formula>
    </cfRule>
  </conditionalFormatting>
  <conditionalFormatting sqref="O295 P287:Q292 P294:Q294 P304:Q304 P307:Q307 P310:Q311 P313:Q316 P318:Q318 P321:Q322 P343:Q346">
    <cfRule type="containsText" dxfId="2" priority="47075" operator="containsText" text="Yes">
      <formula>NOT(ISERROR(SEARCH(("Yes"),(O295))))</formula>
    </cfRule>
  </conditionalFormatting>
  <conditionalFormatting sqref="O295 P287:Q292 P294:Q294 P304:Q304 P307:Q307 P310:Q311 P313:Q316 P318:Q318 P321:Q322 P343:Q346">
    <cfRule type="containsText" dxfId="2" priority="47076" operator="containsText" text="Yes">
      <formula>NOT(ISERROR(SEARCH(("Yes"),(O295))))</formula>
    </cfRule>
  </conditionalFormatting>
  <conditionalFormatting sqref="O295 P287:Q292 P294:Q294 P304:Q304 P307:Q307 P310:Q311 P313:Q316 P318:Q318 P321:Q322 P343:Q346">
    <cfRule type="containsText" dxfId="2" priority="47077" operator="containsText" text="Yes">
      <formula>NOT(ISERROR(SEARCH(("Yes"),(O295))))</formula>
    </cfRule>
  </conditionalFormatting>
  <conditionalFormatting sqref="P288:Q288">
    <cfRule type="containsText" dxfId="9" priority="47078" operator="containsText" text="No">
      <formula>NOT(ISERROR(SEARCH(("No"),(P288))))</formula>
    </cfRule>
  </conditionalFormatting>
  <conditionalFormatting sqref="P288:Q288">
    <cfRule type="containsText" dxfId="9" priority="47079" operator="containsText" text="No">
      <formula>NOT(ISERROR(SEARCH(("No"),(P288))))</formula>
    </cfRule>
  </conditionalFormatting>
  <conditionalFormatting sqref="P288:Q288">
    <cfRule type="containsText" dxfId="9" priority="47080" operator="containsText" text="No">
      <formula>NOT(ISERROR(SEARCH(("No"),(P288))))</formula>
    </cfRule>
  </conditionalFormatting>
  <conditionalFormatting sqref="P288:Q288">
    <cfRule type="containsText" dxfId="9" priority="47081" operator="containsText" text="No">
      <formula>NOT(ISERROR(SEARCH(("No"),(P288))))</formula>
    </cfRule>
  </conditionalFormatting>
  <conditionalFormatting sqref="P288:Q288">
    <cfRule type="containsText" dxfId="9" priority="47082" operator="containsText" text="No">
      <formula>NOT(ISERROR(SEARCH(("No"),(P288))))</formula>
    </cfRule>
  </conditionalFormatting>
  <conditionalFormatting sqref="P288:Q288">
    <cfRule type="containsText" dxfId="9" priority="47083" operator="containsText" text="No">
      <formula>NOT(ISERROR(SEARCH(("No"),(P288))))</formula>
    </cfRule>
  </conditionalFormatting>
  <conditionalFormatting sqref="P288:Q288">
    <cfRule type="containsText" dxfId="9" priority="47084" operator="containsText" text="No">
      <formula>NOT(ISERROR(SEARCH(("No"),(P288))))</formula>
    </cfRule>
  </conditionalFormatting>
  <conditionalFormatting sqref="P288:Q288">
    <cfRule type="containsText" dxfId="9" priority="47085" operator="containsText" text="No">
      <formula>NOT(ISERROR(SEARCH(("No"),(P288))))</formula>
    </cfRule>
  </conditionalFormatting>
  <conditionalFormatting sqref="P288:Q288">
    <cfRule type="containsText" dxfId="9" priority="47086" operator="containsText" text="No">
      <formula>NOT(ISERROR(SEARCH(("No"),(P288))))</formula>
    </cfRule>
  </conditionalFormatting>
  <conditionalFormatting sqref="P288:Q288">
    <cfRule type="containsText" dxfId="9" priority="47087" operator="containsText" text="No">
      <formula>NOT(ISERROR(SEARCH(("No"),(P288))))</formula>
    </cfRule>
  </conditionalFormatting>
  <conditionalFormatting sqref="P288:Q288">
    <cfRule type="containsText" dxfId="9" priority="47088" operator="containsText" text="No">
      <formula>NOT(ISERROR(SEARCH(("No"),(P288))))</formula>
    </cfRule>
  </conditionalFormatting>
  <conditionalFormatting sqref="P288:Q288">
    <cfRule type="containsText" dxfId="9" priority="47089" operator="containsText" text="No">
      <formula>NOT(ISERROR(SEARCH(("No"),(P288))))</formula>
    </cfRule>
  </conditionalFormatting>
  <conditionalFormatting sqref="P288:Q288">
    <cfRule type="containsText" dxfId="9" priority="47090" operator="containsText" text="No">
      <formula>NOT(ISERROR(SEARCH(("No"),(P288))))</formula>
    </cfRule>
  </conditionalFormatting>
  <conditionalFormatting sqref="P288:Q288">
    <cfRule type="containsText" dxfId="9" priority="47091" operator="containsText" text="No">
      <formula>NOT(ISERROR(SEARCH(("No"),(P288))))</formula>
    </cfRule>
  </conditionalFormatting>
  <conditionalFormatting sqref="P288:Q288">
    <cfRule type="containsText" dxfId="9" priority="47092" operator="containsText" text="No">
      <formula>NOT(ISERROR(SEARCH(("No"),(P288))))</formula>
    </cfRule>
  </conditionalFormatting>
  <conditionalFormatting sqref="P288:Q288">
    <cfRule type="containsText" dxfId="9" priority="47093" operator="containsText" text="No">
      <formula>NOT(ISERROR(SEARCH(("No"),(P288))))</formula>
    </cfRule>
  </conditionalFormatting>
  <conditionalFormatting sqref="P288:Q288">
    <cfRule type="containsText" dxfId="9" priority="47094" operator="containsText" text="No">
      <formula>NOT(ISERROR(SEARCH(("No"),(P288))))</formula>
    </cfRule>
  </conditionalFormatting>
  <conditionalFormatting sqref="P288:Q288">
    <cfRule type="containsText" dxfId="9" priority="47095" operator="containsText" text="No">
      <formula>NOT(ISERROR(SEARCH(("No"),(P288))))</formula>
    </cfRule>
  </conditionalFormatting>
  <conditionalFormatting sqref="P288:Q288">
    <cfRule type="containsText" dxfId="9" priority="47096" operator="containsText" text="No">
      <formula>NOT(ISERROR(SEARCH(("No"),(P288))))</formula>
    </cfRule>
  </conditionalFormatting>
  <conditionalFormatting sqref="P288:Q288">
    <cfRule type="containsText" dxfId="9" priority="47097" operator="containsText" text="No">
      <formula>NOT(ISERROR(SEARCH(("No"),(P288))))</formula>
    </cfRule>
  </conditionalFormatting>
  <conditionalFormatting sqref="P288:Q288">
    <cfRule type="containsText" dxfId="9" priority="47098" operator="containsText" text="No">
      <formula>NOT(ISERROR(SEARCH(("No"),(P288))))</formula>
    </cfRule>
  </conditionalFormatting>
  <conditionalFormatting sqref="P288:Q288">
    <cfRule type="containsText" dxfId="9" priority="47099" operator="containsText" text="No">
      <formula>NOT(ISERROR(SEARCH(("No"),(P288))))</formula>
    </cfRule>
  </conditionalFormatting>
  <conditionalFormatting sqref="P288:Q288">
    <cfRule type="containsText" dxfId="9" priority="47100" operator="containsText" text="No">
      <formula>NOT(ISERROR(SEARCH(("No"),(P288))))</formula>
    </cfRule>
  </conditionalFormatting>
  <conditionalFormatting sqref="P288:Q288">
    <cfRule type="containsText" dxfId="9" priority="47101" operator="containsText" text="No">
      <formula>NOT(ISERROR(SEARCH(("No"),(P288))))</formula>
    </cfRule>
  </conditionalFormatting>
  <conditionalFormatting sqref="P288:Q288">
    <cfRule type="containsText" dxfId="9" priority="47102" operator="containsText" text="No">
      <formula>NOT(ISERROR(SEARCH(("No"),(P288))))</formula>
    </cfRule>
  </conditionalFormatting>
  <conditionalFormatting sqref="P288:Q288">
    <cfRule type="containsText" dxfId="9" priority="47103" operator="containsText" text="No">
      <formula>NOT(ISERROR(SEARCH(("No"),(P288))))</formula>
    </cfRule>
  </conditionalFormatting>
  <conditionalFormatting sqref="P288:Q288">
    <cfRule type="containsText" dxfId="9" priority="47104" operator="containsText" text="No">
      <formula>NOT(ISERROR(SEARCH(("No"),(P288))))</formula>
    </cfRule>
  </conditionalFormatting>
  <conditionalFormatting sqref="P288:Q288">
    <cfRule type="containsText" dxfId="9" priority="47105" operator="containsText" text="No">
      <formula>NOT(ISERROR(SEARCH(("No"),(P288))))</formula>
    </cfRule>
  </conditionalFormatting>
  <conditionalFormatting sqref="P288:Q288">
    <cfRule type="containsText" dxfId="9" priority="47106" operator="containsText" text="No">
      <formula>NOT(ISERROR(SEARCH(("No"),(P288))))</formula>
    </cfRule>
  </conditionalFormatting>
  <conditionalFormatting sqref="P288:Q288">
    <cfRule type="containsText" dxfId="9" priority="47107" operator="containsText" text="No">
      <formula>NOT(ISERROR(SEARCH(("No"),(P288))))</formula>
    </cfRule>
  </conditionalFormatting>
  <conditionalFormatting sqref="P288:Q288">
    <cfRule type="containsText" dxfId="9" priority="47108" operator="containsText" text="No">
      <formula>NOT(ISERROR(SEARCH(("No"),(P288))))</formula>
    </cfRule>
  </conditionalFormatting>
  <conditionalFormatting sqref="P288:Q288">
    <cfRule type="containsText" dxfId="9" priority="47109" operator="containsText" text="No">
      <formula>NOT(ISERROR(SEARCH(("No"),(P288))))</formula>
    </cfRule>
  </conditionalFormatting>
  <conditionalFormatting sqref="P288:Q288">
    <cfRule type="containsText" dxfId="9" priority="47110" operator="containsText" text="No">
      <formula>NOT(ISERROR(SEARCH(("No"),(P288))))</formula>
    </cfRule>
  </conditionalFormatting>
  <conditionalFormatting sqref="P288:Q288">
    <cfRule type="containsText" dxfId="9" priority="47111" operator="containsText" text="No">
      <formula>NOT(ISERROR(SEARCH(("No"),(P288))))</formula>
    </cfRule>
  </conditionalFormatting>
  <conditionalFormatting sqref="P288:Q288">
    <cfRule type="containsText" dxfId="9" priority="47112" operator="containsText" text="No">
      <formula>NOT(ISERROR(SEARCH(("No"),(P288))))</formula>
    </cfRule>
  </conditionalFormatting>
  <conditionalFormatting sqref="P288:Q288">
    <cfRule type="containsText" dxfId="9" priority="47113" operator="containsText" text="No">
      <formula>NOT(ISERROR(SEARCH(("No"),(P288))))</formula>
    </cfRule>
  </conditionalFormatting>
  <conditionalFormatting sqref="P288:Q288">
    <cfRule type="containsText" dxfId="9" priority="47114" operator="containsText" text="No">
      <formula>NOT(ISERROR(SEARCH(("No"),(P288))))</formula>
    </cfRule>
  </conditionalFormatting>
  <conditionalFormatting sqref="P288:Q288">
    <cfRule type="containsText" dxfId="9" priority="47115" operator="containsText" text="No">
      <formula>NOT(ISERROR(SEARCH(("No"),(P288))))</formula>
    </cfRule>
  </conditionalFormatting>
  <conditionalFormatting sqref="P288:Q288">
    <cfRule type="containsText" dxfId="9" priority="47116" operator="containsText" text="No">
      <formula>NOT(ISERROR(SEARCH(("No"),(P288))))</formula>
    </cfRule>
  </conditionalFormatting>
  <conditionalFormatting sqref="P288:Q288">
    <cfRule type="containsText" dxfId="9" priority="47117" operator="containsText" text="No">
      <formula>NOT(ISERROR(SEARCH(("No"),(P288))))</formula>
    </cfRule>
  </conditionalFormatting>
  <conditionalFormatting sqref="P288:Q288">
    <cfRule type="containsText" dxfId="9" priority="47118" operator="containsText" text="No">
      <formula>NOT(ISERROR(SEARCH(("No"),(P288))))</formula>
    </cfRule>
  </conditionalFormatting>
  <conditionalFormatting sqref="P288:Q288">
    <cfRule type="containsText" dxfId="9" priority="47119" operator="containsText" text="No">
      <formula>NOT(ISERROR(SEARCH(("No"),(P288))))</formula>
    </cfRule>
  </conditionalFormatting>
  <conditionalFormatting sqref="P288:Q288">
    <cfRule type="containsText" dxfId="9" priority="47120" operator="containsText" text="No">
      <formula>NOT(ISERROR(SEARCH(("No"),(P288))))</formula>
    </cfRule>
  </conditionalFormatting>
  <conditionalFormatting sqref="P288:Q288">
    <cfRule type="containsText" dxfId="9" priority="47121" operator="containsText" text="No">
      <formula>NOT(ISERROR(SEARCH(("No"),(P288))))</formula>
    </cfRule>
  </conditionalFormatting>
  <conditionalFormatting sqref="P288:Q288">
    <cfRule type="containsText" dxfId="9" priority="47122" operator="containsText" text="No">
      <formula>NOT(ISERROR(SEARCH(("No"),(P288))))</formula>
    </cfRule>
  </conditionalFormatting>
  <conditionalFormatting sqref="P288:Q288">
    <cfRule type="containsText" dxfId="2" priority="47123" operator="containsText" text="Yes">
      <formula>NOT(ISERROR(SEARCH(("Yes"),(P288))))</formula>
    </cfRule>
  </conditionalFormatting>
  <conditionalFormatting sqref="P288:Q288">
    <cfRule type="containsText" dxfId="2" priority="47124" operator="containsText" text="Yes">
      <formula>NOT(ISERROR(SEARCH(("Yes"),(P288))))</formula>
    </cfRule>
  </conditionalFormatting>
  <conditionalFormatting sqref="P288:Q288">
    <cfRule type="containsText" dxfId="2" priority="47125" operator="containsText" text="Yes">
      <formula>NOT(ISERROR(SEARCH(("Yes"),(P288))))</formula>
    </cfRule>
  </conditionalFormatting>
  <conditionalFormatting sqref="P288:Q288">
    <cfRule type="containsText" dxfId="2" priority="47126" operator="containsText" text="Yes">
      <formula>NOT(ISERROR(SEARCH(("Yes"),(P288))))</formula>
    </cfRule>
  </conditionalFormatting>
  <conditionalFormatting sqref="P288:Q288">
    <cfRule type="containsText" dxfId="2" priority="47127" operator="containsText" text="Yes">
      <formula>NOT(ISERROR(SEARCH(("Yes"),(P288))))</formula>
    </cfRule>
  </conditionalFormatting>
  <conditionalFormatting sqref="P288:Q288">
    <cfRule type="containsText" dxfId="2" priority="47128" operator="containsText" text="Yes">
      <formula>NOT(ISERROR(SEARCH(("Yes"),(P288))))</formula>
    </cfRule>
  </conditionalFormatting>
  <conditionalFormatting sqref="P288:Q288">
    <cfRule type="containsText" dxfId="2" priority="47129" operator="containsText" text="Yes">
      <formula>NOT(ISERROR(SEARCH(("Yes"),(P288))))</formula>
    </cfRule>
  </conditionalFormatting>
  <conditionalFormatting sqref="P288:Q288">
    <cfRule type="containsText" dxfId="2" priority="47130" operator="containsText" text="Yes">
      <formula>NOT(ISERROR(SEARCH(("Yes"),(P288))))</formula>
    </cfRule>
  </conditionalFormatting>
  <conditionalFormatting sqref="P288:Q288">
    <cfRule type="containsText" dxfId="2" priority="47131" operator="containsText" text="Yes">
      <formula>NOT(ISERROR(SEARCH(("Yes"),(P288))))</formula>
    </cfRule>
  </conditionalFormatting>
  <conditionalFormatting sqref="P288:Q288">
    <cfRule type="containsText" dxfId="2" priority="47132" operator="containsText" text="Yes">
      <formula>NOT(ISERROR(SEARCH(("Yes"),(P288))))</formula>
    </cfRule>
  </conditionalFormatting>
  <conditionalFormatting sqref="P288:Q288">
    <cfRule type="containsText" dxfId="2" priority="47133" operator="containsText" text="Yes">
      <formula>NOT(ISERROR(SEARCH(("Yes"),(P288))))</formula>
    </cfRule>
  </conditionalFormatting>
  <conditionalFormatting sqref="P288:Q288">
    <cfRule type="containsText" dxfId="2" priority="47134" operator="containsText" text="Yes">
      <formula>NOT(ISERROR(SEARCH(("Yes"),(P288))))</formula>
    </cfRule>
  </conditionalFormatting>
  <conditionalFormatting sqref="P288:Q288">
    <cfRule type="containsText" dxfId="2" priority="47135" operator="containsText" text="Yes">
      <formula>NOT(ISERROR(SEARCH(("Yes"),(P288))))</formula>
    </cfRule>
  </conditionalFormatting>
  <conditionalFormatting sqref="P288:Q288">
    <cfRule type="containsText" dxfId="2" priority="47136" operator="containsText" text="Yes">
      <formula>NOT(ISERROR(SEARCH(("Yes"),(P288))))</formula>
    </cfRule>
  </conditionalFormatting>
  <conditionalFormatting sqref="P288:Q288">
    <cfRule type="containsText" dxfId="2" priority="47137" operator="containsText" text="Yes">
      <formula>NOT(ISERROR(SEARCH(("Yes"),(P288))))</formula>
    </cfRule>
  </conditionalFormatting>
  <conditionalFormatting sqref="P288:Q288">
    <cfRule type="containsText" dxfId="2" priority="47138" operator="containsText" text="Yes">
      <formula>NOT(ISERROR(SEARCH(("Yes"),(P288))))</formula>
    </cfRule>
  </conditionalFormatting>
  <conditionalFormatting sqref="P288:Q288">
    <cfRule type="containsText" dxfId="2" priority="47139" operator="containsText" text="Yes">
      <formula>NOT(ISERROR(SEARCH(("Yes"),(P288))))</formula>
    </cfRule>
  </conditionalFormatting>
  <conditionalFormatting sqref="P288:Q288">
    <cfRule type="containsText" dxfId="2" priority="47140" operator="containsText" text="Yes">
      <formula>NOT(ISERROR(SEARCH(("Yes"),(P288))))</formula>
    </cfRule>
  </conditionalFormatting>
  <conditionalFormatting sqref="P288:Q288">
    <cfRule type="containsText" dxfId="2" priority="47141" operator="containsText" text="Yes">
      <formula>NOT(ISERROR(SEARCH(("Yes"),(P288))))</formula>
    </cfRule>
  </conditionalFormatting>
  <conditionalFormatting sqref="P288:Q288">
    <cfRule type="containsText" dxfId="2" priority="47142" operator="containsText" text="Yes">
      <formula>NOT(ISERROR(SEARCH(("Yes"),(P288))))</formula>
    </cfRule>
  </conditionalFormatting>
  <conditionalFormatting sqref="P288:Q288">
    <cfRule type="containsText" dxfId="2" priority="47143" operator="containsText" text="Yes">
      <formula>NOT(ISERROR(SEARCH(("Yes"),(P288))))</formula>
    </cfRule>
  </conditionalFormatting>
  <conditionalFormatting sqref="P288:Q288">
    <cfRule type="containsText" dxfId="2" priority="47144" operator="containsText" text="Yes">
      <formula>NOT(ISERROR(SEARCH(("Yes"),(P288))))</formula>
    </cfRule>
  </conditionalFormatting>
  <conditionalFormatting sqref="P288:Q288">
    <cfRule type="containsText" dxfId="2" priority="47145" operator="containsText" text="Yes">
      <formula>NOT(ISERROR(SEARCH(("Yes"),(P288))))</formula>
    </cfRule>
  </conditionalFormatting>
  <conditionalFormatting sqref="P288:Q288">
    <cfRule type="containsText" dxfId="2" priority="47146" operator="containsText" text="Yes">
      <formula>NOT(ISERROR(SEARCH(("Yes"),(P288))))</formula>
    </cfRule>
  </conditionalFormatting>
  <conditionalFormatting sqref="P288:Q288">
    <cfRule type="containsText" dxfId="2" priority="47147" operator="containsText" text="Yes">
      <formula>NOT(ISERROR(SEARCH(("Yes"),(P288))))</formula>
    </cfRule>
  </conditionalFormatting>
  <conditionalFormatting sqref="P288:Q288">
    <cfRule type="containsText" dxfId="2" priority="47148" operator="containsText" text="Yes">
      <formula>NOT(ISERROR(SEARCH(("Yes"),(P288))))</formula>
    </cfRule>
  </conditionalFormatting>
  <conditionalFormatting sqref="P288:Q288">
    <cfRule type="containsText" dxfId="2" priority="47149" operator="containsText" text="Yes">
      <formula>NOT(ISERROR(SEARCH(("Yes"),(P288))))</formula>
    </cfRule>
  </conditionalFormatting>
  <conditionalFormatting sqref="P288:Q288">
    <cfRule type="containsText" dxfId="2" priority="47150" operator="containsText" text="Yes">
      <formula>NOT(ISERROR(SEARCH(("Yes"),(P288))))</formula>
    </cfRule>
  </conditionalFormatting>
  <conditionalFormatting sqref="P288:Q288">
    <cfRule type="containsText" dxfId="2" priority="47151" operator="containsText" text="Yes">
      <formula>NOT(ISERROR(SEARCH(("Yes"),(P288))))</formula>
    </cfRule>
  </conditionalFormatting>
  <conditionalFormatting sqref="P288:Q288">
    <cfRule type="containsText" dxfId="2" priority="47152" operator="containsText" text="Yes">
      <formula>NOT(ISERROR(SEARCH(("Yes"),(P288))))</formula>
    </cfRule>
  </conditionalFormatting>
  <conditionalFormatting sqref="P288:Q288">
    <cfRule type="containsText" dxfId="2" priority="47153" operator="containsText" text="Yes">
      <formula>NOT(ISERROR(SEARCH(("Yes"),(P288))))</formula>
    </cfRule>
  </conditionalFormatting>
  <conditionalFormatting sqref="P288:Q288">
    <cfRule type="containsText" dxfId="2" priority="47154" operator="containsText" text="Yes">
      <formula>NOT(ISERROR(SEARCH(("Yes"),(P288))))</formula>
    </cfRule>
  </conditionalFormatting>
  <conditionalFormatting sqref="P288:Q288">
    <cfRule type="containsText" dxfId="2" priority="47155" operator="containsText" text="Yes">
      <formula>NOT(ISERROR(SEARCH(("Yes"),(P288))))</formula>
    </cfRule>
  </conditionalFormatting>
  <conditionalFormatting sqref="P288:Q288">
    <cfRule type="containsText" dxfId="2" priority="47156" operator="containsText" text="Yes">
      <formula>NOT(ISERROR(SEARCH(("Yes"),(P288))))</formula>
    </cfRule>
  </conditionalFormatting>
  <conditionalFormatting sqref="P288:Q288">
    <cfRule type="containsText" dxfId="2" priority="47157" operator="containsText" text="Yes">
      <formula>NOT(ISERROR(SEARCH(("Yes"),(P288))))</formula>
    </cfRule>
  </conditionalFormatting>
  <conditionalFormatting sqref="P288:Q288">
    <cfRule type="containsText" dxfId="2" priority="47158" operator="containsText" text="Yes">
      <formula>NOT(ISERROR(SEARCH(("Yes"),(P288))))</formula>
    </cfRule>
  </conditionalFormatting>
  <conditionalFormatting sqref="P288:Q288">
    <cfRule type="containsText" dxfId="2" priority="47159" operator="containsText" text="Yes">
      <formula>NOT(ISERROR(SEARCH(("Yes"),(P288))))</formula>
    </cfRule>
  </conditionalFormatting>
  <conditionalFormatting sqref="P288:Q288">
    <cfRule type="containsText" dxfId="2" priority="47160" operator="containsText" text="Yes">
      <formula>NOT(ISERROR(SEARCH(("Yes"),(P288))))</formula>
    </cfRule>
  </conditionalFormatting>
  <conditionalFormatting sqref="P288:Q288">
    <cfRule type="containsText" dxfId="2" priority="47161" operator="containsText" text="Yes">
      <formula>NOT(ISERROR(SEARCH(("Yes"),(P288))))</formula>
    </cfRule>
  </conditionalFormatting>
  <conditionalFormatting sqref="P288:Q288">
    <cfRule type="containsText" dxfId="2" priority="47162" operator="containsText" text="Yes">
      <formula>NOT(ISERROR(SEARCH(("Yes"),(P288))))</formula>
    </cfRule>
  </conditionalFormatting>
  <conditionalFormatting sqref="P288:Q288">
    <cfRule type="containsText" dxfId="2" priority="47163" operator="containsText" text="Yes">
      <formula>NOT(ISERROR(SEARCH(("Yes"),(P288))))</formula>
    </cfRule>
  </conditionalFormatting>
  <conditionalFormatting sqref="P288:Q288">
    <cfRule type="containsText" dxfId="2" priority="47164" operator="containsText" text="Yes">
      <formula>NOT(ISERROR(SEARCH(("Yes"),(P288))))</formula>
    </cfRule>
  </conditionalFormatting>
  <conditionalFormatting sqref="P288:Q288">
    <cfRule type="containsText" dxfId="2" priority="47165" operator="containsText" text="Yes">
      <formula>NOT(ISERROR(SEARCH(("Yes"),(P288))))</formula>
    </cfRule>
  </conditionalFormatting>
  <conditionalFormatting sqref="P288:Q288">
    <cfRule type="containsText" dxfId="2" priority="47166" operator="containsText" text="Yes">
      <formula>NOT(ISERROR(SEARCH(("Yes"),(P288))))</formula>
    </cfRule>
  </conditionalFormatting>
  <conditionalFormatting sqref="P288:Q288">
    <cfRule type="containsText" dxfId="2" priority="47167" operator="containsText" text="Yes">
      <formula>NOT(ISERROR(SEARCH(("Yes"),(P288))))</formula>
    </cfRule>
  </conditionalFormatting>
  <conditionalFormatting sqref="P288:Q288">
    <cfRule type="containsText" dxfId="2" priority="47168" operator="containsText" text="Yes">
      <formula>NOT(ISERROR(SEARCH(("Yes"),(P288))))</formula>
    </cfRule>
  </conditionalFormatting>
  <conditionalFormatting sqref="P288:Q288">
    <cfRule type="containsText" dxfId="2" priority="47169" operator="containsText" text="Yes">
      <formula>NOT(ISERROR(SEARCH(("Yes"),(P288))))</formula>
    </cfRule>
  </conditionalFormatting>
  <conditionalFormatting sqref="O289:O292 O294 O304 O307 O310:O311 O313:O316 O318 O321:O322 O324 O327:O328 O333 O335 O338 O343:O346 P295:Q295">
    <cfRule type="containsText" dxfId="9" priority="47170" operator="containsText" text="No">
      <formula>NOT(ISERROR(SEARCH(("No"),(O289))))</formula>
    </cfRule>
  </conditionalFormatting>
  <conditionalFormatting sqref="O289:O292 O294 O304 O307 O310:O311 O313:O316 O318 O321:O322 O324 O327:O328 O333 O335 O338 O343:O346 P295:Q295">
    <cfRule type="containsText" dxfId="9" priority="47171" operator="containsText" text="No">
      <formula>NOT(ISERROR(SEARCH(("No"),(O289))))</formula>
    </cfRule>
  </conditionalFormatting>
  <conditionalFormatting sqref="O289:O292 O294 O304 O307 O310:O311 O313:O316 O318 O321:O322 O324 O327:O328 O333 O335 O338 O343:O346 P295:Q295">
    <cfRule type="containsText" dxfId="9" priority="47172" operator="containsText" text="No">
      <formula>NOT(ISERROR(SEARCH(("No"),(O289))))</formula>
    </cfRule>
  </conditionalFormatting>
  <conditionalFormatting sqref="O289:O292 O294 O304 O307 O310:O311 O313:O316 O318 O321:O322 O324 O327:O328 O333 O335 O338 O343:O346 P295:Q295">
    <cfRule type="containsText" dxfId="2" priority="47173" operator="containsText" text="Yes">
      <formula>NOT(ISERROR(SEARCH(("Yes"),(O289))))</formula>
    </cfRule>
  </conditionalFormatting>
  <conditionalFormatting sqref="O289:O292 O294 O304 O307 O310:O311 O313:O316 O318 O321:O322 O324 O327:O328 O333 O335 O338 O343:O346 P295:Q295">
    <cfRule type="containsText" dxfId="2" priority="47174" operator="containsText" text="Yes">
      <formula>NOT(ISERROR(SEARCH(("Yes"),(O289))))</formula>
    </cfRule>
  </conditionalFormatting>
  <conditionalFormatting sqref="O289:O292 O294 O304 O307 O310:O311 O313:O316 O318 O321:O322 O324 O327:O328 O333 O335 O338 O343:O346 P295:Q295">
    <cfRule type="containsText" dxfId="2" priority="47175" operator="containsText" text="Yes">
      <formula>NOT(ISERROR(SEARCH(("Yes"),(O289))))</formula>
    </cfRule>
  </conditionalFormatting>
  <conditionalFormatting sqref="O289:O292 O294 O304 O307 O310:O311 O313:O316 O318 O321:O322 O324 O327:O328 O333 O335 O338 O343:O346 P295:Q295">
    <cfRule type="containsText" dxfId="2" priority="47176" operator="containsText" text="Yes">
      <formula>NOT(ISERROR(SEARCH(("Yes"),(O289))))</formula>
    </cfRule>
  </conditionalFormatting>
  <conditionalFormatting sqref="O289:O292 O294 O304 O307 O310:O311 O313:O316 O318 O321:O322 O324 O327:O328 O333 O335 O338 O343:O346 P295:Q295">
    <cfRule type="containsText" dxfId="2" priority="47177" operator="containsText" text="Yes">
      <formula>NOT(ISERROR(SEARCH(("Yes"),(O289))))</formula>
    </cfRule>
  </conditionalFormatting>
  <conditionalFormatting sqref="O289:O292 O294 O304 O307 O310:O311 O313:O316 O318 O321:O322 O324 O327:O328 O333 O335 O338 O343:O346 P295:Q295">
    <cfRule type="containsText" dxfId="9" priority="47178" operator="containsText" text="No">
      <formula>NOT(ISERROR(SEARCH(("No"),(O289))))</formula>
    </cfRule>
  </conditionalFormatting>
  <conditionalFormatting sqref="O289:O292 O294 O304 O307 O310:O311 O313:O316 O318 O321:O322 O324 O327:O328 O333 O335 O338 O343:O346 P295:Q295">
    <cfRule type="containsText" dxfId="9" priority="47179" operator="containsText" text="No">
      <formula>NOT(ISERROR(SEARCH(("No"),(O289))))</formula>
    </cfRule>
  </conditionalFormatting>
  <conditionalFormatting sqref="O289:O292 O294 O304 O307 O310:O311 O313:O316 O318 O321:O322 O324 O327:O328 O333 O335 O338 O343:O346 P295:Q295">
    <cfRule type="containsText" dxfId="2" priority="47180" operator="containsText" text="Yes">
      <formula>NOT(ISERROR(SEARCH(("Yes"),(O289))))</formula>
    </cfRule>
  </conditionalFormatting>
  <conditionalFormatting sqref="O295 P289:Q292 P294:Q294 P304:Q304 P307:Q307 P310:Q311 P313:Q316 P318:Q318 P321:Q322 P343:Q346">
    <cfRule type="containsText" dxfId="9" priority="47181" operator="containsText" text="No">
      <formula>NOT(ISERROR(SEARCH(("No"),(O295))))</formula>
    </cfRule>
  </conditionalFormatting>
  <conditionalFormatting sqref="O295 P289:Q292 P294:Q294 P304:Q304 P307:Q307 P310:Q311 P313:Q316 P318:Q318 P321:Q322 P343:Q346">
    <cfRule type="containsText" dxfId="9" priority="47182" operator="containsText" text="No">
      <formula>NOT(ISERROR(SEARCH(("No"),(O295))))</formula>
    </cfRule>
  </conditionalFormatting>
  <conditionalFormatting sqref="O295 P289:Q292 P294:Q294 P304:Q304 P307:Q307 P310:Q311 P313:Q316 P318:Q318 P321:Q322 P343:Q346">
    <cfRule type="containsText" dxfId="9" priority="47183" operator="containsText" text="No">
      <formula>NOT(ISERROR(SEARCH(("No"),(O295))))</formula>
    </cfRule>
  </conditionalFormatting>
  <conditionalFormatting sqref="O295 P289:Q292 P294:Q294 P304:Q304 P307:Q307 P310:Q311 P313:Q316 P318:Q318 P321:Q322 P343:Q346">
    <cfRule type="containsText" dxfId="9" priority="47184" operator="containsText" text="No">
      <formula>NOT(ISERROR(SEARCH(("No"),(O295))))</formula>
    </cfRule>
  </conditionalFormatting>
  <conditionalFormatting sqref="O295 P289:Q292 P294:Q294 P304:Q304 P307:Q307 P310:Q311 P313:Q316 P318:Q318 P321:Q322 P343:Q346">
    <cfRule type="containsText" dxfId="9" priority="47185" operator="containsText" text="No">
      <formula>NOT(ISERROR(SEARCH(("No"),(O295))))</formula>
    </cfRule>
  </conditionalFormatting>
  <conditionalFormatting sqref="O295 P289:Q292 P294:Q294 P304:Q304 P307:Q307 P310:Q311 P313:Q316 P318:Q318 P321:Q322 P343:Q346">
    <cfRule type="containsText" dxfId="9" priority="47186" operator="containsText" text="No">
      <formula>NOT(ISERROR(SEARCH(("No"),(O295))))</formula>
    </cfRule>
  </conditionalFormatting>
  <conditionalFormatting sqref="O295 P289:Q292 P294:Q294 P304:Q304 P307:Q307 P310:Q311 P313:Q316 P318:Q318 P321:Q322 P343:Q346">
    <cfRule type="containsText" dxfId="9" priority="47187" operator="containsText" text="No">
      <formula>NOT(ISERROR(SEARCH(("No"),(O295))))</formula>
    </cfRule>
  </conditionalFormatting>
  <conditionalFormatting sqref="O295 P289:Q292 P294:Q294 P304:Q304 P307:Q307 P310:Q311 P313:Q316 P318:Q318 P321:Q322 P343:Q346">
    <cfRule type="containsText" dxfId="9" priority="47188" operator="containsText" text="No">
      <formula>NOT(ISERROR(SEARCH(("No"),(O295))))</formula>
    </cfRule>
  </conditionalFormatting>
  <conditionalFormatting sqref="O295 P289:Q292 P294:Q294 P304:Q304 P307:Q307 P310:Q311 P313:Q316 P318:Q318 P321:Q322 P343:Q346">
    <cfRule type="containsText" dxfId="9" priority="47189" operator="containsText" text="No">
      <formula>NOT(ISERROR(SEARCH(("No"),(O295))))</formula>
    </cfRule>
  </conditionalFormatting>
  <conditionalFormatting sqref="O295 P289:Q292 P294:Q294 P304:Q304 P307:Q307 P310:Q311 P313:Q316 P318:Q318 P321:Q322 P343:Q346">
    <cfRule type="containsText" dxfId="9" priority="47190" operator="containsText" text="No">
      <formula>NOT(ISERROR(SEARCH(("No"),(O295))))</formula>
    </cfRule>
  </conditionalFormatting>
  <conditionalFormatting sqref="O295 P289:Q292 P294:Q294 P304:Q304 P307:Q307 P310:Q311 P313:Q316 P318:Q318 P321:Q322 P343:Q346">
    <cfRule type="containsText" dxfId="9" priority="47191" operator="containsText" text="No">
      <formula>NOT(ISERROR(SEARCH(("No"),(O295))))</formula>
    </cfRule>
  </conditionalFormatting>
  <conditionalFormatting sqref="O295 P289:Q292 P294:Q294 P304:Q304 P307:Q307 P310:Q311 P313:Q316 P318:Q318 P321:Q322 P343:Q346">
    <cfRule type="containsText" dxfId="9" priority="47192" operator="containsText" text="No">
      <formula>NOT(ISERROR(SEARCH(("No"),(O295))))</formula>
    </cfRule>
  </conditionalFormatting>
  <conditionalFormatting sqref="O295 P289:Q292 P294:Q294 P304:Q304 P307:Q307 P310:Q311 P313:Q316 P318:Q318 P321:Q322 P343:Q346">
    <cfRule type="containsText" dxfId="9" priority="47193" operator="containsText" text="No">
      <formula>NOT(ISERROR(SEARCH(("No"),(O295))))</formula>
    </cfRule>
  </conditionalFormatting>
  <conditionalFormatting sqref="O295 P289:Q292 P294:Q294 P304:Q304 P307:Q307 P310:Q311 P313:Q316 P318:Q318 P321:Q322 P343:Q346">
    <cfRule type="containsText" dxfId="9" priority="47194" operator="containsText" text="No">
      <formula>NOT(ISERROR(SEARCH(("No"),(O295))))</formula>
    </cfRule>
  </conditionalFormatting>
  <conditionalFormatting sqref="O295 P289:Q292 P294:Q294 P304:Q304 P307:Q307 P310:Q311 P313:Q316 P318:Q318 P321:Q322 P343:Q346">
    <cfRule type="containsText" dxfId="9" priority="47195" operator="containsText" text="No">
      <formula>NOT(ISERROR(SEARCH(("No"),(O295))))</formula>
    </cfRule>
  </conditionalFormatting>
  <conditionalFormatting sqref="O295 P289:Q292 P294:Q294 P304:Q304 P307:Q307 P310:Q311 P313:Q316 P318:Q318 P321:Q322 P343:Q346">
    <cfRule type="containsText" dxfId="9" priority="47196" operator="containsText" text="No">
      <formula>NOT(ISERROR(SEARCH(("No"),(O295))))</formula>
    </cfRule>
  </conditionalFormatting>
  <conditionalFormatting sqref="O295 P289:Q292 P294:Q294 P304:Q304 P307:Q307 P310:Q311 P313:Q316 P318:Q318 P321:Q322 P343:Q346">
    <cfRule type="containsText" dxfId="9" priority="47197" operator="containsText" text="No">
      <formula>NOT(ISERROR(SEARCH(("No"),(O295))))</formula>
    </cfRule>
  </conditionalFormatting>
  <conditionalFormatting sqref="O295 P289:Q292 P294:Q294 P304:Q304 P307:Q307 P310:Q311 P313:Q316 P318:Q318 P321:Q322 P343:Q346">
    <cfRule type="containsText" dxfId="9" priority="47198" operator="containsText" text="No">
      <formula>NOT(ISERROR(SEARCH(("No"),(O295))))</formula>
    </cfRule>
  </conditionalFormatting>
  <conditionalFormatting sqref="O295 P289:Q292 P294:Q294 P304:Q304 P307:Q307 P310:Q311 P313:Q316 P318:Q318 P321:Q322 P343:Q346">
    <cfRule type="containsText" dxfId="9" priority="47199" operator="containsText" text="No">
      <formula>NOT(ISERROR(SEARCH(("No"),(O295))))</formula>
    </cfRule>
  </conditionalFormatting>
  <conditionalFormatting sqref="O295 P289:Q292 P294:Q294 P304:Q304 P307:Q307 P310:Q311 P313:Q316 P318:Q318 P321:Q322 P343:Q346">
    <cfRule type="containsText" dxfId="9" priority="47200" operator="containsText" text="No">
      <formula>NOT(ISERROR(SEARCH(("No"),(O295))))</formula>
    </cfRule>
  </conditionalFormatting>
  <conditionalFormatting sqref="O295 P289:Q292 P294:Q294 P304:Q304 P307:Q307 P310:Q311 P313:Q316 P318:Q318 P321:Q322 P343:Q346">
    <cfRule type="containsText" dxfId="9" priority="47201" operator="containsText" text="No">
      <formula>NOT(ISERROR(SEARCH(("No"),(O295))))</formula>
    </cfRule>
  </conditionalFormatting>
  <conditionalFormatting sqref="O295 P289:Q292 P294:Q294 P304:Q304 P307:Q307 P310:Q311 P313:Q316 P318:Q318 P321:Q322 P343:Q346">
    <cfRule type="containsText" dxfId="9" priority="47202" operator="containsText" text="No">
      <formula>NOT(ISERROR(SEARCH(("No"),(O295))))</formula>
    </cfRule>
  </conditionalFormatting>
  <conditionalFormatting sqref="O295 P289:Q292 P294:Q294 P304:Q304 P307:Q307 P310:Q311 P313:Q316 P318:Q318 P321:Q322 P343:Q346">
    <cfRule type="containsText" dxfId="9" priority="47203" operator="containsText" text="No">
      <formula>NOT(ISERROR(SEARCH(("No"),(O295))))</formula>
    </cfRule>
  </conditionalFormatting>
  <conditionalFormatting sqref="O295 P289:Q292 P294:Q294 P304:Q304 P307:Q307 P310:Q311 P313:Q316 P318:Q318 P321:Q322 P343:Q346">
    <cfRule type="containsText" dxfId="9" priority="47204" operator="containsText" text="No">
      <formula>NOT(ISERROR(SEARCH(("No"),(O295))))</formula>
    </cfRule>
  </conditionalFormatting>
  <conditionalFormatting sqref="O295 P289:Q292 P294:Q294 P304:Q304 P307:Q307 P310:Q311 P313:Q316 P318:Q318 P321:Q322 P343:Q346">
    <cfRule type="containsText" dxfId="9" priority="47205" operator="containsText" text="No">
      <formula>NOT(ISERROR(SEARCH(("No"),(O295))))</formula>
    </cfRule>
  </conditionalFormatting>
  <conditionalFormatting sqref="O295 P289:Q292 P294:Q294 P304:Q304 P307:Q307 P310:Q311 P313:Q316 P318:Q318 P321:Q322 P343:Q346">
    <cfRule type="containsText" dxfId="9" priority="47206" operator="containsText" text="No">
      <formula>NOT(ISERROR(SEARCH(("No"),(O295))))</formula>
    </cfRule>
  </conditionalFormatting>
  <conditionalFormatting sqref="O295 P289:Q292 P294:Q294 P304:Q304 P307:Q307 P310:Q311 P313:Q316 P318:Q318 P321:Q322 P343:Q346">
    <cfRule type="containsText" dxfId="9" priority="47207" operator="containsText" text="No">
      <formula>NOT(ISERROR(SEARCH(("No"),(O295))))</formula>
    </cfRule>
  </conditionalFormatting>
  <conditionalFormatting sqref="O295 P289:Q292 P294:Q294 P304:Q304 P307:Q307 P310:Q311 P313:Q316 P318:Q318 P321:Q322 P343:Q346">
    <cfRule type="containsText" dxfId="9" priority="47208" operator="containsText" text="No">
      <formula>NOT(ISERROR(SEARCH(("No"),(O295))))</formula>
    </cfRule>
  </conditionalFormatting>
  <conditionalFormatting sqref="O295 P289:Q292 P294:Q294 P304:Q304 P307:Q307 P310:Q311 P313:Q316 P318:Q318 P321:Q322 P343:Q346">
    <cfRule type="containsText" dxfId="9" priority="47209" operator="containsText" text="No">
      <formula>NOT(ISERROR(SEARCH(("No"),(O295))))</formula>
    </cfRule>
  </conditionalFormatting>
  <conditionalFormatting sqref="O295 P289:Q292 P294:Q294 P304:Q304 P307:Q307 P310:Q311 P313:Q316 P318:Q318 P321:Q322 P343:Q346">
    <cfRule type="containsText" dxfId="9" priority="47210" operator="containsText" text="No">
      <formula>NOT(ISERROR(SEARCH(("No"),(O295))))</formula>
    </cfRule>
  </conditionalFormatting>
  <conditionalFormatting sqref="O295 P289:Q292 P294:Q294 P304:Q304 P307:Q307 P310:Q311 P313:Q316 P318:Q318 P321:Q322 P343:Q346">
    <cfRule type="containsText" dxfId="9" priority="47211" operator="containsText" text="No">
      <formula>NOT(ISERROR(SEARCH(("No"),(O295))))</formula>
    </cfRule>
  </conditionalFormatting>
  <conditionalFormatting sqref="O295 P289:Q292 P294:Q294 P304:Q304 P307:Q307 P310:Q311 P313:Q316 P318:Q318 P321:Q322 P343:Q346">
    <cfRule type="containsText" dxfId="9" priority="47212" operator="containsText" text="No">
      <formula>NOT(ISERROR(SEARCH(("No"),(O295))))</formula>
    </cfRule>
  </conditionalFormatting>
  <conditionalFormatting sqref="O295 P289:Q292 P294:Q294 P304:Q304 P307:Q307 P310:Q311 P313:Q316 P318:Q318 P321:Q322 P343:Q346">
    <cfRule type="containsText" dxfId="9" priority="47213" operator="containsText" text="No">
      <formula>NOT(ISERROR(SEARCH(("No"),(O295))))</formula>
    </cfRule>
  </conditionalFormatting>
  <conditionalFormatting sqref="O295 P289:Q292 P294:Q294 P304:Q304 P307:Q307 P310:Q311 P313:Q316 P318:Q318 P321:Q322 P343:Q346">
    <cfRule type="containsText" dxfId="9" priority="47214" operator="containsText" text="No">
      <formula>NOT(ISERROR(SEARCH(("No"),(O295))))</formula>
    </cfRule>
  </conditionalFormatting>
  <conditionalFormatting sqref="O295 P289:Q292 P294:Q294 P304:Q304 P307:Q307 P310:Q311 P313:Q316 P318:Q318 P321:Q322 P343:Q346">
    <cfRule type="containsText" dxfId="9" priority="47215" operator="containsText" text="No">
      <formula>NOT(ISERROR(SEARCH(("No"),(O295))))</formula>
    </cfRule>
  </conditionalFormatting>
  <conditionalFormatting sqref="O295 P289:Q292 P294:Q294 P304:Q304 P307:Q307 P310:Q311 P313:Q316 P318:Q318 P321:Q322 P343:Q346">
    <cfRule type="containsText" dxfId="9" priority="47216" operator="containsText" text="No">
      <formula>NOT(ISERROR(SEARCH(("No"),(O295))))</formula>
    </cfRule>
  </conditionalFormatting>
  <conditionalFormatting sqref="O295 P289:Q292 P294:Q294 P304:Q304 P307:Q307 P310:Q311 P313:Q316 P318:Q318 P321:Q322 P343:Q346">
    <cfRule type="containsText" dxfId="9" priority="47217" operator="containsText" text="No">
      <formula>NOT(ISERROR(SEARCH(("No"),(O295))))</formula>
    </cfRule>
  </conditionalFormatting>
  <conditionalFormatting sqref="O295 P289:Q292 P294:Q294 P304:Q304 P307:Q307 P310:Q311 P313:Q316 P318:Q318 P321:Q322 P343:Q346">
    <cfRule type="containsText" dxfId="9" priority="47218" operator="containsText" text="No">
      <formula>NOT(ISERROR(SEARCH(("No"),(O295))))</formula>
    </cfRule>
  </conditionalFormatting>
  <conditionalFormatting sqref="O295 P289:Q292 P294:Q294 P304:Q304 P307:Q307 P310:Q311 P313:Q316 P318:Q318 P321:Q322 P343:Q346">
    <cfRule type="containsText" dxfId="9" priority="47219" operator="containsText" text="No">
      <formula>NOT(ISERROR(SEARCH(("No"),(O295))))</formula>
    </cfRule>
  </conditionalFormatting>
  <conditionalFormatting sqref="O295 P289:Q292 P294:Q294 P304:Q304 P307:Q307 P310:Q311 P313:Q316 P318:Q318 P321:Q322 P343:Q346">
    <cfRule type="containsText" dxfId="9" priority="47220" operator="containsText" text="No">
      <formula>NOT(ISERROR(SEARCH(("No"),(O295))))</formula>
    </cfRule>
  </conditionalFormatting>
  <conditionalFormatting sqref="O295 P289:Q292 P294:Q294 P304:Q304 P307:Q307 P310:Q311 P313:Q316 P318:Q318 P321:Q322 P343:Q346">
    <cfRule type="containsText" dxfId="9" priority="47221" operator="containsText" text="No">
      <formula>NOT(ISERROR(SEARCH(("No"),(O295))))</formula>
    </cfRule>
  </conditionalFormatting>
  <conditionalFormatting sqref="O295 P289:Q292 P294:Q294 P304:Q304 P307:Q307 P310:Q311 P313:Q316 P318:Q318 P321:Q322 P343:Q346">
    <cfRule type="containsText" dxfId="9" priority="47222" operator="containsText" text="No">
      <formula>NOT(ISERROR(SEARCH(("No"),(O295))))</formula>
    </cfRule>
  </conditionalFormatting>
  <conditionalFormatting sqref="O295 P289:Q292 P294:Q294 P304:Q304 P307:Q307 P310:Q311 P313:Q316 P318:Q318 P321:Q322 P343:Q346">
    <cfRule type="containsText" dxfId="9" priority="47223" operator="containsText" text="No">
      <formula>NOT(ISERROR(SEARCH(("No"),(O295))))</formula>
    </cfRule>
  </conditionalFormatting>
  <conditionalFormatting sqref="O295 P289:Q292 P294:Q294 P304:Q304 P307:Q307 P310:Q311 P313:Q316 P318:Q318 P321:Q322 P343:Q346">
    <cfRule type="containsText" dxfId="9" priority="47224" operator="containsText" text="No">
      <formula>NOT(ISERROR(SEARCH(("No"),(O295))))</formula>
    </cfRule>
  </conditionalFormatting>
  <conditionalFormatting sqref="O295 P289:Q292 P294:Q294 P304:Q304 P307:Q307 P310:Q311 P313:Q316 P318:Q318 P321:Q322 P343:Q346">
    <cfRule type="containsText" dxfId="9" priority="47225" operator="containsText" text="No">
      <formula>NOT(ISERROR(SEARCH(("No"),(O295))))</formula>
    </cfRule>
  </conditionalFormatting>
  <conditionalFormatting sqref="O295 P289:Q292 P294:Q294 P304:Q304 P307:Q307 P310:Q311 P313:Q316 P318:Q318 P321:Q322 P343:Q346">
    <cfRule type="containsText" dxfId="2" priority="47226" operator="containsText" text="Yes">
      <formula>NOT(ISERROR(SEARCH(("Yes"),(O295))))</formula>
    </cfRule>
  </conditionalFormatting>
  <conditionalFormatting sqref="O295 P289:Q292 P294:Q294 P304:Q304 P307:Q307 P310:Q311 P313:Q316 P318:Q318 P321:Q322 P343:Q346">
    <cfRule type="containsText" dxfId="2" priority="47227" operator="containsText" text="Yes">
      <formula>NOT(ISERROR(SEARCH(("Yes"),(O295))))</formula>
    </cfRule>
  </conditionalFormatting>
  <conditionalFormatting sqref="O295 P289:Q292 P294:Q294 P304:Q304 P307:Q307 P310:Q311 P313:Q316 P318:Q318 P321:Q322 P343:Q346">
    <cfRule type="containsText" dxfId="2" priority="47228" operator="containsText" text="Yes">
      <formula>NOT(ISERROR(SEARCH(("Yes"),(O295))))</formula>
    </cfRule>
  </conditionalFormatting>
  <conditionalFormatting sqref="O295 P289:Q292 P294:Q294 P304:Q304 P307:Q307 P310:Q311 P313:Q316 P318:Q318 P321:Q322 P343:Q346">
    <cfRule type="containsText" dxfId="2" priority="47229" operator="containsText" text="Yes">
      <formula>NOT(ISERROR(SEARCH(("Yes"),(O295))))</formula>
    </cfRule>
  </conditionalFormatting>
  <conditionalFormatting sqref="O295 P289:Q292 P294:Q294 P304:Q304 P307:Q307 P310:Q311 P313:Q316 P318:Q318 P321:Q322 P343:Q346">
    <cfRule type="containsText" dxfId="2" priority="47230" operator="containsText" text="Yes">
      <formula>NOT(ISERROR(SEARCH(("Yes"),(O295))))</formula>
    </cfRule>
  </conditionalFormatting>
  <conditionalFormatting sqref="O295 P289:Q292 P294:Q294 P304:Q304 P307:Q307 P310:Q311 P313:Q316 P318:Q318 P321:Q322 P343:Q346">
    <cfRule type="containsText" dxfId="2" priority="47231" operator="containsText" text="Yes">
      <formula>NOT(ISERROR(SEARCH(("Yes"),(O295))))</formula>
    </cfRule>
  </conditionalFormatting>
  <conditionalFormatting sqref="O295 P289:Q292 P294:Q294 P304:Q304 P307:Q307 P310:Q311 P313:Q316 P318:Q318 P321:Q322 P343:Q346">
    <cfRule type="containsText" dxfId="2" priority="47232" operator="containsText" text="Yes">
      <formula>NOT(ISERROR(SEARCH(("Yes"),(O295))))</formula>
    </cfRule>
  </conditionalFormatting>
  <conditionalFormatting sqref="O295 P289:Q292 P294:Q294 P304:Q304 P307:Q307 P310:Q311 P313:Q316 P318:Q318 P321:Q322 P343:Q346">
    <cfRule type="containsText" dxfId="2" priority="47233" operator="containsText" text="Yes">
      <formula>NOT(ISERROR(SEARCH(("Yes"),(O295))))</formula>
    </cfRule>
  </conditionalFormatting>
  <conditionalFormatting sqref="O295 P289:Q292 P294:Q294 P304:Q304 P307:Q307 P310:Q311 P313:Q316 P318:Q318 P321:Q322 P343:Q346">
    <cfRule type="containsText" dxfId="2" priority="47234" operator="containsText" text="Yes">
      <formula>NOT(ISERROR(SEARCH(("Yes"),(O295))))</formula>
    </cfRule>
  </conditionalFormatting>
  <conditionalFormatting sqref="O295 P289:Q292 P294:Q294 P304:Q304 P307:Q307 P310:Q311 P313:Q316 P318:Q318 P321:Q322 P343:Q346">
    <cfRule type="containsText" dxfId="2" priority="47235" operator="containsText" text="Yes">
      <formula>NOT(ISERROR(SEARCH(("Yes"),(O295))))</formula>
    </cfRule>
  </conditionalFormatting>
  <conditionalFormatting sqref="O295 P289:Q292 P294:Q294 P304:Q304 P307:Q307 P310:Q311 P313:Q316 P318:Q318 P321:Q322 P343:Q346">
    <cfRule type="containsText" dxfId="2" priority="47236" operator="containsText" text="Yes">
      <formula>NOT(ISERROR(SEARCH(("Yes"),(O295))))</formula>
    </cfRule>
  </conditionalFormatting>
  <conditionalFormatting sqref="O295 P289:Q292 P294:Q294 P304:Q304 P307:Q307 P310:Q311 P313:Q316 P318:Q318 P321:Q322 P343:Q346">
    <cfRule type="containsText" dxfId="2" priority="47237" operator="containsText" text="Yes">
      <formula>NOT(ISERROR(SEARCH(("Yes"),(O295))))</formula>
    </cfRule>
  </conditionalFormatting>
  <conditionalFormatting sqref="O295 P289:Q292 P294:Q294 P304:Q304 P307:Q307 P310:Q311 P313:Q316 P318:Q318 P321:Q322 P343:Q346">
    <cfRule type="containsText" dxfId="2" priority="47238" operator="containsText" text="Yes">
      <formula>NOT(ISERROR(SEARCH(("Yes"),(O295))))</formula>
    </cfRule>
  </conditionalFormatting>
  <conditionalFormatting sqref="O295 P289:Q292 P294:Q294 P304:Q304 P307:Q307 P310:Q311 P313:Q316 P318:Q318 P321:Q322 P343:Q346">
    <cfRule type="containsText" dxfId="2" priority="47239" operator="containsText" text="Yes">
      <formula>NOT(ISERROR(SEARCH(("Yes"),(O295))))</formula>
    </cfRule>
  </conditionalFormatting>
  <conditionalFormatting sqref="O295 P289:Q292 P294:Q294 P304:Q304 P307:Q307 P310:Q311 P313:Q316 P318:Q318 P321:Q322 P343:Q346">
    <cfRule type="containsText" dxfId="2" priority="47240" operator="containsText" text="Yes">
      <formula>NOT(ISERROR(SEARCH(("Yes"),(O295))))</formula>
    </cfRule>
  </conditionalFormatting>
  <conditionalFormatting sqref="O295 P289:Q292 P294:Q294 P304:Q304 P307:Q307 P310:Q311 P313:Q316 P318:Q318 P321:Q322 P343:Q346">
    <cfRule type="containsText" dxfId="2" priority="47241" operator="containsText" text="Yes">
      <formula>NOT(ISERROR(SEARCH(("Yes"),(O295))))</formula>
    </cfRule>
  </conditionalFormatting>
  <conditionalFormatting sqref="O295 P289:Q292 P294:Q294 P304:Q304 P307:Q307 P310:Q311 P313:Q316 P318:Q318 P321:Q322 P343:Q346">
    <cfRule type="containsText" dxfId="2" priority="47242" operator="containsText" text="Yes">
      <formula>NOT(ISERROR(SEARCH(("Yes"),(O295))))</formula>
    </cfRule>
  </conditionalFormatting>
  <conditionalFormatting sqref="O295 P289:Q292 P294:Q294 P304:Q304 P307:Q307 P310:Q311 P313:Q316 P318:Q318 P321:Q322 P343:Q346">
    <cfRule type="containsText" dxfId="2" priority="47243" operator="containsText" text="Yes">
      <formula>NOT(ISERROR(SEARCH(("Yes"),(O295))))</formula>
    </cfRule>
  </conditionalFormatting>
  <conditionalFormatting sqref="O295 P289:Q292 P294:Q294 P304:Q304 P307:Q307 P310:Q311 P313:Q316 P318:Q318 P321:Q322 P343:Q346">
    <cfRule type="containsText" dxfId="2" priority="47244" operator="containsText" text="Yes">
      <formula>NOT(ISERROR(SEARCH(("Yes"),(O295))))</formula>
    </cfRule>
  </conditionalFormatting>
  <conditionalFormatting sqref="O295 P289:Q292 P294:Q294 P304:Q304 P307:Q307 P310:Q311 P313:Q316 P318:Q318 P321:Q322 P343:Q346">
    <cfRule type="containsText" dxfId="2" priority="47245" operator="containsText" text="Yes">
      <formula>NOT(ISERROR(SEARCH(("Yes"),(O295))))</formula>
    </cfRule>
  </conditionalFormatting>
  <conditionalFormatting sqref="O295 P289:Q292 P294:Q294 P304:Q304 P307:Q307 P310:Q311 P313:Q316 P318:Q318 P321:Q322 P343:Q346">
    <cfRule type="containsText" dxfId="2" priority="47246" operator="containsText" text="Yes">
      <formula>NOT(ISERROR(SEARCH(("Yes"),(O295))))</formula>
    </cfRule>
  </conditionalFormatting>
  <conditionalFormatting sqref="O295 P289:Q292 P294:Q294 P304:Q304 P307:Q307 P310:Q311 P313:Q316 P318:Q318 P321:Q322 P343:Q346">
    <cfRule type="containsText" dxfId="2" priority="47247" operator="containsText" text="Yes">
      <formula>NOT(ISERROR(SEARCH(("Yes"),(O295))))</formula>
    </cfRule>
  </conditionalFormatting>
  <conditionalFormatting sqref="O295 P289:Q292 P294:Q294 P304:Q304 P307:Q307 P310:Q311 P313:Q316 P318:Q318 P321:Q322 P343:Q346">
    <cfRule type="containsText" dxfId="2" priority="47248" operator="containsText" text="Yes">
      <formula>NOT(ISERROR(SEARCH(("Yes"),(O295))))</formula>
    </cfRule>
  </conditionalFormatting>
  <conditionalFormatting sqref="O295 P289:Q292 P294:Q294 P304:Q304 P307:Q307 P310:Q311 P313:Q316 P318:Q318 P321:Q322 P343:Q346">
    <cfRule type="containsText" dxfId="2" priority="47249" operator="containsText" text="Yes">
      <formula>NOT(ISERROR(SEARCH(("Yes"),(O295))))</formula>
    </cfRule>
  </conditionalFormatting>
  <conditionalFormatting sqref="O295 P289:Q292 P294:Q294 P304:Q304 P307:Q307 P310:Q311 P313:Q316 P318:Q318 P321:Q322 P343:Q346">
    <cfRule type="containsText" dxfId="2" priority="47250" operator="containsText" text="Yes">
      <formula>NOT(ISERROR(SEARCH(("Yes"),(O295))))</formula>
    </cfRule>
  </conditionalFormatting>
  <conditionalFormatting sqref="O295 P289:Q292 P294:Q294 P304:Q304 P307:Q307 P310:Q311 P313:Q316 P318:Q318 P321:Q322 P343:Q346">
    <cfRule type="containsText" dxfId="2" priority="47251" operator="containsText" text="Yes">
      <formula>NOT(ISERROR(SEARCH(("Yes"),(O295))))</formula>
    </cfRule>
  </conditionalFormatting>
  <conditionalFormatting sqref="O295 P289:Q292 P294:Q294 P304:Q304 P307:Q307 P310:Q311 P313:Q316 P318:Q318 P321:Q322 P343:Q346">
    <cfRule type="containsText" dxfId="2" priority="47252" operator="containsText" text="Yes">
      <formula>NOT(ISERROR(SEARCH(("Yes"),(O295))))</formula>
    </cfRule>
  </conditionalFormatting>
  <conditionalFormatting sqref="O295 P289:Q292 P294:Q294 P304:Q304 P307:Q307 P310:Q311 P313:Q316 P318:Q318 P321:Q322 P343:Q346">
    <cfRule type="containsText" dxfId="2" priority="47253" operator="containsText" text="Yes">
      <formula>NOT(ISERROR(SEARCH(("Yes"),(O295))))</formula>
    </cfRule>
  </conditionalFormatting>
  <conditionalFormatting sqref="O295 P289:Q292 P294:Q294 P304:Q304 P307:Q307 P310:Q311 P313:Q316 P318:Q318 P321:Q322 P343:Q346">
    <cfRule type="containsText" dxfId="2" priority="47254" operator="containsText" text="Yes">
      <formula>NOT(ISERROR(SEARCH(("Yes"),(O295))))</formula>
    </cfRule>
  </conditionalFormatting>
  <conditionalFormatting sqref="O295 P289:Q292 P294:Q294 P304:Q304 P307:Q307 P310:Q311 P313:Q316 P318:Q318 P321:Q322 P343:Q346">
    <cfRule type="containsText" dxfId="2" priority="47255" operator="containsText" text="Yes">
      <formula>NOT(ISERROR(SEARCH(("Yes"),(O295))))</formula>
    </cfRule>
  </conditionalFormatting>
  <conditionalFormatting sqref="O295 P289:Q292 P294:Q294 P304:Q304 P307:Q307 P310:Q311 P313:Q316 P318:Q318 P321:Q322 P343:Q346">
    <cfRule type="containsText" dxfId="2" priority="47256" operator="containsText" text="Yes">
      <formula>NOT(ISERROR(SEARCH(("Yes"),(O295))))</formula>
    </cfRule>
  </conditionalFormatting>
  <conditionalFormatting sqref="O295 P289:Q292 P294:Q294 P304:Q304 P307:Q307 P310:Q311 P313:Q316 P318:Q318 P321:Q322 P343:Q346">
    <cfRule type="containsText" dxfId="2" priority="47257" operator="containsText" text="Yes">
      <formula>NOT(ISERROR(SEARCH(("Yes"),(O295))))</formula>
    </cfRule>
  </conditionalFormatting>
  <conditionalFormatting sqref="O295 P289:Q292 P294:Q294 P304:Q304 P307:Q307 P310:Q311 P313:Q316 P318:Q318 P321:Q322 P343:Q346">
    <cfRule type="containsText" dxfId="2" priority="47258" operator="containsText" text="Yes">
      <formula>NOT(ISERROR(SEARCH(("Yes"),(O295))))</formula>
    </cfRule>
  </conditionalFormatting>
  <conditionalFormatting sqref="O295 P289:Q292 P294:Q294 P304:Q304 P307:Q307 P310:Q311 P313:Q316 P318:Q318 P321:Q322 P343:Q346">
    <cfRule type="containsText" dxfId="2" priority="47259" operator="containsText" text="Yes">
      <formula>NOT(ISERROR(SEARCH(("Yes"),(O295))))</formula>
    </cfRule>
  </conditionalFormatting>
  <conditionalFormatting sqref="O295 P289:Q292 P294:Q294 P304:Q304 P307:Q307 P310:Q311 P313:Q316 P318:Q318 P321:Q322 P343:Q346">
    <cfRule type="containsText" dxfId="2" priority="47260" operator="containsText" text="Yes">
      <formula>NOT(ISERROR(SEARCH(("Yes"),(O295))))</formula>
    </cfRule>
  </conditionalFormatting>
  <conditionalFormatting sqref="O295 P289:Q292 P294:Q294 P304:Q304 P307:Q307 P310:Q311 P313:Q316 P318:Q318 P321:Q322 P343:Q346">
    <cfRule type="containsText" dxfId="2" priority="47261" operator="containsText" text="Yes">
      <formula>NOT(ISERROR(SEARCH(("Yes"),(O295))))</formula>
    </cfRule>
  </conditionalFormatting>
  <conditionalFormatting sqref="O295 P289:Q292 P294:Q294 P304:Q304 P307:Q307 P310:Q311 P313:Q316 P318:Q318 P321:Q322 P343:Q346">
    <cfRule type="containsText" dxfId="2" priority="47262" operator="containsText" text="Yes">
      <formula>NOT(ISERROR(SEARCH(("Yes"),(O295))))</formula>
    </cfRule>
  </conditionalFormatting>
  <conditionalFormatting sqref="O295 P289:Q292 P294:Q294 P304:Q304 P307:Q307 P310:Q311 P313:Q316 P318:Q318 P321:Q322 P343:Q346">
    <cfRule type="containsText" dxfId="2" priority="47263" operator="containsText" text="Yes">
      <formula>NOT(ISERROR(SEARCH(("Yes"),(O295))))</formula>
    </cfRule>
  </conditionalFormatting>
  <conditionalFormatting sqref="O295 P289:Q292 P294:Q294 P304:Q304 P307:Q307 P310:Q311 P313:Q316 P318:Q318 P321:Q322 P343:Q346">
    <cfRule type="containsText" dxfId="2" priority="47264" operator="containsText" text="Yes">
      <formula>NOT(ISERROR(SEARCH(("Yes"),(O295))))</formula>
    </cfRule>
  </conditionalFormatting>
  <conditionalFormatting sqref="O295 P289:Q292 P294:Q294 P304:Q304 P307:Q307 P310:Q311 P313:Q316 P318:Q318 P321:Q322 P343:Q346">
    <cfRule type="containsText" dxfId="2" priority="47265" operator="containsText" text="Yes">
      <formula>NOT(ISERROR(SEARCH(("Yes"),(O295))))</formula>
    </cfRule>
  </conditionalFormatting>
  <conditionalFormatting sqref="O295 P289:Q292 P294:Q294 P304:Q304 P307:Q307 P310:Q311 P313:Q316 P318:Q318 P321:Q322 P343:Q346">
    <cfRule type="containsText" dxfId="2" priority="47266" operator="containsText" text="Yes">
      <formula>NOT(ISERROR(SEARCH(("Yes"),(O295))))</formula>
    </cfRule>
  </conditionalFormatting>
  <conditionalFormatting sqref="O295 P289:Q292 P294:Q294 P304:Q304 P307:Q307 P310:Q311 P313:Q316 P318:Q318 P321:Q322 P343:Q346">
    <cfRule type="containsText" dxfId="2" priority="47267" operator="containsText" text="Yes">
      <formula>NOT(ISERROR(SEARCH(("Yes"),(O295))))</formula>
    </cfRule>
  </conditionalFormatting>
  <conditionalFormatting sqref="O295 P289:Q292 P294:Q294 P304:Q304 P307:Q307 P310:Q311 P313:Q316 P318:Q318 P321:Q322 P343:Q346">
    <cfRule type="containsText" dxfId="2" priority="47268" operator="containsText" text="Yes">
      <formula>NOT(ISERROR(SEARCH(("Yes"),(O295))))</formula>
    </cfRule>
  </conditionalFormatting>
  <conditionalFormatting sqref="O295 P289:Q292 P294:Q294 P304:Q304 P307:Q307 P310:Q311 P313:Q316 P318:Q318 P321:Q322 P343:Q346">
    <cfRule type="containsText" dxfId="2" priority="47269" operator="containsText" text="Yes">
      <formula>NOT(ISERROR(SEARCH(("Yes"),(O295))))</formula>
    </cfRule>
  </conditionalFormatting>
  <conditionalFormatting sqref="O295 P289:Q292 P294:Q294 P304:Q304 P307:Q307 P310:Q311 P313:Q316 P318:Q318 P321:Q322 P343:Q346">
    <cfRule type="containsText" dxfId="2" priority="47270" operator="containsText" text="Yes">
      <formula>NOT(ISERROR(SEARCH(("Yes"),(O295))))</formula>
    </cfRule>
  </conditionalFormatting>
  <conditionalFormatting sqref="O295 P289:Q292 P294:Q294 P304:Q304 P307:Q307 P310:Q311 P313:Q316 P318:Q318 P321:Q322 P343:Q346">
    <cfRule type="containsText" dxfId="2" priority="47271" operator="containsText" text="Yes">
      <formula>NOT(ISERROR(SEARCH(("Yes"),(O295))))</formula>
    </cfRule>
  </conditionalFormatting>
  <conditionalFormatting sqref="O295 P289:Q292 P294:Q294 P304:Q304 P307:Q307 P310:Q311 P313:Q316 P318:Q318 P321:Q322 P343:Q346">
    <cfRule type="containsText" dxfId="2" priority="47272" operator="containsText" text="Yes">
      <formula>NOT(ISERROR(SEARCH(("Yes"),(O295))))</formula>
    </cfRule>
  </conditionalFormatting>
  <conditionalFormatting sqref="N289:N292 N294:N296 N304 N307 N310:N311 N313:N316 N318 N321:N322 N324 N327:N329 N333 N335 N338 N343:N346 O296">
    <cfRule type="containsText" dxfId="9" priority="47273" operator="containsText" text="No">
      <formula>NOT(ISERROR(SEARCH(("No"),(N289))))</formula>
    </cfRule>
  </conditionalFormatting>
  <conditionalFormatting sqref="N289:N292 N294:N296 N304 N307 N310:N311 N313:N316 N318 N321:N322 N324 N327:N329 N333 N335 N338 N343:N346 O296">
    <cfRule type="containsText" dxfId="2" priority="47274" operator="containsText" text="Yes">
      <formula>NOT(ISERROR(SEARCH(("Yes"),(N289))))</formula>
    </cfRule>
  </conditionalFormatting>
  <conditionalFormatting sqref="O295 P285:Q285 P290:Q292 P294:Q339 P342:Q346 P348:Q349 P397:Q398">
    <cfRule type="containsText" dxfId="9" priority="47275" operator="containsText" text="No">
      <formula>NOT(ISERROR(SEARCH(("No"),(O295))))</formula>
    </cfRule>
  </conditionalFormatting>
  <conditionalFormatting sqref="O295 P285:Q285 P290:Q292 P294:Q339 P342:Q346 P348:Q349 P397:Q398">
    <cfRule type="containsText" dxfId="9" priority="47276" operator="containsText" text="No">
      <formula>NOT(ISERROR(SEARCH(("No"),(O295))))</formula>
    </cfRule>
  </conditionalFormatting>
  <conditionalFormatting sqref="O295 P285:Q285 P290:Q292 P294:Q339 P342:Q346 P348:Q349 P397:Q398">
    <cfRule type="containsText" dxfId="9" priority="47277" operator="containsText" text="No">
      <formula>NOT(ISERROR(SEARCH(("No"),(O295))))</formula>
    </cfRule>
  </conditionalFormatting>
  <conditionalFormatting sqref="O295 P285:Q285 P290:Q292 P294:Q339 P342:Q346 P348:Q349 P397:Q398">
    <cfRule type="containsText" dxfId="2" priority="47278" operator="containsText" text="Yes">
      <formula>NOT(ISERROR(SEARCH(("Yes"),(O295))))</formula>
    </cfRule>
  </conditionalFormatting>
  <conditionalFormatting sqref="O295 P285:Q285 P290:Q292 P294:Q339 P342:Q346 P348:Q349 P397:Q398">
    <cfRule type="containsText" dxfId="2" priority="47279" operator="containsText" text="Yes">
      <formula>NOT(ISERROR(SEARCH(("Yes"),(O295))))</formula>
    </cfRule>
  </conditionalFormatting>
  <conditionalFormatting sqref="O295 P285:Q285 P290:Q292 P294:Q339 P342:Q346 P348:Q349 P397:Q398">
    <cfRule type="containsText" dxfId="2" priority="47280" operator="containsText" text="Yes">
      <formula>NOT(ISERROR(SEARCH(("Yes"),(O295))))</formula>
    </cfRule>
  </conditionalFormatting>
  <conditionalFormatting sqref="O295 P285:Q285 P290:Q292 P294:Q339 P342:Q346 P348:Q349 P397:Q398">
    <cfRule type="containsText" dxfId="2" priority="47281" operator="containsText" text="Yes">
      <formula>NOT(ISERROR(SEARCH(("Yes"),(O295))))</formula>
    </cfRule>
  </conditionalFormatting>
  <conditionalFormatting sqref="O295 P285:Q285 P290:Q292 P294:Q339 P342:Q346 P348:Q349 P397:Q398">
    <cfRule type="containsText" dxfId="2" priority="47282" operator="containsText" text="Yes">
      <formula>NOT(ISERROR(SEARCH(("Yes"),(O295))))</formula>
    </cfRule>
  </conditionalFormatting>
  <conditionalFormatting sqref="O295 P285:Q285 P290:Q292 P294:Q339 P342:Q346 P348:Q349 P397:Q398">
    <cfRule type="containsText" dxfId="9" priority="47283" operator="containsText" text="No">
      <formula>NOT(ISERROR(SEARCH(("No"),(O295))))</formula>
    </cfRule>
  </conditionalFormatting>
  <conditionalFormatting sqref="O295 P285:Q285 P290:Q292 P294:Q339 P342:Q346 P348:Q349 P397:Q398">
    <cfRule type="containsText" dxfId="9" priority="47284" operator="containsText" text="No">
      <formula>NOT(ISERROR(SEARCH(("No"),(O295))))</formula>
    </cfRule>
  </conditionalFormatting>
  <conditionalFormatting sqref="O295 P285:Q285 P290:Q292 P294:Q339 P342:Q346 P348:Q349 P397:Q398">
    <cfRule type="containsText" dxfId="2" priority="47285" operator="containsText" text="Yes">
      <formula>NOT(ISERROR(SEARCH(("Yes"),(O295))))</formula>
    </cfRule>
  </conditionalFormatting>
  <conditionalFormatting sqref="N296 O285 O290:O292 O294:O339 O342:O346 O348:O349 O397:O398 P295:Q295">
    <cfRule type="containsText" dxfId="9" priority="47286" operator="containsText" text="No">
      <formula>NOT(ISERROR(SEARCH(("No"),(N296))))</formula>
    </cfRule>
  </conditionalFormatting>
  <conditionalFormatting sqref="N296 O285 O290:O292 O294:O339 O342:O346 O348:O349 O397:O398 P295:Q295">
    <cfRule type="containsText" dxfId="9" priority="47287" operator="containsText" text="No">
      <formula>NOT(ISERROR(SEARCH(("No"),(N296))))</formula>
    </cfRule>
  </conditionalFormatting>
  <conditionalFormatting sqref="N296 O285 O290:O292 O294:O339 O342:O346 O348:O349 O397:O398 P295:Q295">
    <cfRule type="containsText" dxfId="9" priority="47288" operator="containsText" text="No">
      <formula>NOT(ISERROR(SEARCH(("No"),(N296))))</formula>
    </cfRule>
  </conditionalFormatting>
  <conditionalFormatting sqref="N296 O285 O290:O292 O294:O339 O342:O346 O348:O349 O397:O398 P295:Q295">
    <cfRule type="containsText" dxfId="9" priority="47289" operator="containsText" text="No">
      <formula>NOT(ISERROR(SEARCH(("No"),(N296))))</formula>
    </cfRule>
  </conditionalFormatting>
  <conditionalFormatting sqref="N296 O285 O290:O292 O294:O339 O342:O346 O348:O349 O397:O398 P295:Q295">
    <cfRule type="containsText" dxfId="9" priority="47290" operator="containsText" text="No">
      <formula>NOT(ISERROR(SEARCH(("No"),(N296))))</formula>
    </cfRule>
  </conditionalFormatting>
  <conditionalFormatting sqref="N296 O285 O290:O292 O294:O339 O342:O346 O348:O349 O397:O398 P295:Q295">
    <cfRule type="containsText" dxfId="9" priority="47291" operator="containsText" text="No">
      <formula>NOT(ISERROR(SEARCH(("No"),(N296))))</formula>
    </cfRule>
  </conditionalFormatting>
  <conditionalFormatting sqref="N296 O285 O290:O292 O294:O339 O342:O346 O348:O349 O397:O398 P295:Q295">
    <cfRule type="containsText" dxfId="9" priority="47292" operator="containsText" text="No">
      <formula>NOT(ISERROR(SEARCH(("No"),(N296))))</formula>
    </cfRule>
  </conditionalFormatting>
  <conditionalFormatting sqref="N296 O285 O290:O292 O294:O339 O342:O346 O348:O349 O397:O398 P295:Q295">
    <cfRule type="containsText" dxfId="9" priority="47293" operator="containsText" text="No">
      <formula>NOT(ISERROR(SEARCH(("No"),(N296))))</formula>
    </cfRule>
  </conditionalFormatting>
  <conditionalFormatting sqref="N296 O285 O290:O292 O294:O339 O342:O346 O348:O349 O397:O398 P295:Q295">
    <cfRule type="containsText" dxfId="9" priority="47294" operator="containsText" text="No">
      <formula>NOT(ISERROR(SEARCH(("No"),(N296))))</formula>
    </cfRule>
  </conditionalFormatting>
  <conditionalFormatting sqref="N296 O285 O290:O292 O294:O339 O342:O346 O348:O349 O397:O398 P295:Q295">
    <cfRule type="containsText" dxfId="9" priority="47295" operator="containsText" text="No">
      <formula>NOT(ISERROR(SEARCH(("No"),(N296))))</formula>
    </cfRule>
  </conditionalFormatting>
  <conditionalFormatting sqref="N296 O285 O290:O292 O294:O339 O342:O346 O348:O349 O397:O398 P295:Q295">
    <cfRule type="containsText" dxfId="9" priority="47296" operator="containsText" text="No">
      <formula>NOT(ISERROR(SEARCH(("No"),(N296))))</formula>
    </cfRule>
  </conditionalFormatting>
  <conditionalFormatting sqref="N296 O285 O290:O292 O294:O339 O342:O346 O348:O349 O397:O398 P295:Q295">
    <cfRule type="containsText" dxfId="9" priority="47297" operator="containsText" text="No">
      <formula>NOT(ISERROR(SEARCH(("No"),(N296))))</formula>
    </cfRule>
  </conditionalFormatting>
  <conditionalFormatting sqref="N296 O285 O290:O292 O294:O339 O342:O346 O348:O349 O397:O398 P295:Q295">
    <cfRule type="containsText" dxfId="9" priority="47298" operator="containsText" text="No">
      <formula>NOT(ISERROR(SEARCH(("No"),(N296))))</formula>
    </cfRule>
  </conditionalFormatting>
  <conditionalFormatting sqref="N296 O285 O290:O292 O294:O339 O342:O346 O348:O349 O397:O398 P295:Q295">
    <cfRule type="containsText" dxfId="9" priority="47299" operator="containsText" text="No">
      <formula>NOT(ISERROR(SEARCH(("No"),(N296))))</formula>
    </cfRule>
  </conditionalFormatting>
  <conditionalFormatting sqref="N296 O285 O290:O292 O294:O339 O342:O346 O348:O349 O397:O398 P295:Q295">
    <cfRule type="containsText" dxfId="9" priority="47300" operator="containsText" text="No">
      <formula>NOT(ISERROR(SEARCH(("No"),(N296))))</formula>
    </cfRule>
  </conditionalFormatting>
  <conditionalFormatting sqref="N296 O285 O290:O292 O294:O339 O342:O346 O348:O349 O397:O398 P295:Q295">
    <cfRule type="containsText" dxfId="9" priority="47301" operator="containsText" text="No">
      <formula>NOT(ISERROR(SEARCH(("No"),(N296))))</formula>
    </cfRule>
  </conditionalFormatting>
  <conditionalFormatting sqref="N296 O285 O290:O292 O294:O339 O342:O346 O348:O349 O397:O398 P295:Q295">
    <cfRule type="containsText" dxfId="9" priority="47302" operator="containsText" text="No">
      <formula>NOT(ISERROR(SEARCH(("No"),(N296))))</formula>
    </cfRule>
  </conditionalFormatting>
  <conditionalFormatting sqref="N296 O285 O290:O292 O294:O339 O342:O346 O348:O349 O397:O398 P295:Q295">
    <cfRule type="containsText" dxfId="9" priority="47303" operator="containsText" text="No">
      <formula>NOT(ISERROR(SEARCH(("No"),(N296))))</formula>
    </cfRule>
  </conditionalFormatting>
  <conditionalFormatting sqref="N296 O285 O290:O292 O294:O339 O342:O346 O348:O349 O397:O398 P295:Q295">
    <cfRule type="containsText" dxfId="9" priority="47304" operator="containsText" text="No">
      <formula>NOT(ISERROR(SEARCH(("No"),(N296))))</formula>
    </cfRule>
  </conditionalFormatting>
  <conditionalFormatting sqref="N296 O285 O290:O292 O294:O339 O342:O346 O348:O349 O397:O398 P295:Q295">
    <cfRule type="containsText" dxfId="9" priority="47305" operator="containsText" text="No">
      <formula>NOT(ISERROR(SEARCH(("No"),(N296))))</formula>
    </cfRule>
  </conditionalFormatting>
  <conditionalFormatting sqref="N296 O285 O290:O292 O294:O339 O342:O346 O348:O349 O397:O398 P295:Q295">
    <cfRule type="containsText" dxfId="9" priority="47306" operator="containsText" text="No">
      <formula>NOT(ISERROR(SEARCH(("No"),(N296))))</formula>
    </cfRule>
  </conditionalFormatting>
  <conditionalFormatting sqref="N296 O285 O290:O292 O294:O339 O342:O346 O348:O349 O397:O398 P295:Q295">
    <cfRule type="containsText" dxfId="9" priority="47307" operator="containsText" text="No">
      <formula>NOT(ISERROR(SEARCH(("No"),(N296))))</formula>
    </cfRule>
  </conditionalFormatting>
  <conditionalFormatting sqref="N296 O285 O290:O292 O294:O339 O342:O346 O348:O349 O397:O398 P295:Q295">
    <cfRule type="containsText" dxfId="9" priority="47308" operator="containsText" text="No">
      <formula>NOT(ISERROR(SEARCH(("No"),(N296))))</formula>
    </cfRule>
  </conditionalFormatting>
  <conditionalFormatting sqref="N296 O285 O290:O292 O294:O339 O342:O346 O348:O349 O397:O398 P295:Q295">
    <cfRule type="containsText" dxfId="9" priority="47309" operator="containsText" text="No">
      <formula>NOT(ISERROR(SEARCH(("No"),(N296))))</formula>
    </cfRule>
  </conditionalFormatting>
  <conditionalFormatting sqref="N296 O285 O290:O292 O294:O339 O342:O346 O348:O349 O397:O398 P295:Q295">
    <cfRule type="containsText" dxfId="9" priority="47310" operator="containsText" text="No">
      <formula>NOT(ISERROR(SEARCH(("No"),(N296))))</formula>
    </cfRule>
  </conditionalFormatting>
  <conditionalFormatting sqref="N296 O285 O290:O292 O294:O339 O342:O346 O348:O349 O397:O398 P295:Q295">
    <cfRule type="containsText" dxfId="9" priority="47311" operator="containsText" text="No">
      <formula>NOT(ISERROR(SEARCH(("No"),(N296))))</formula>
    </cfRule>
  </conditionalFormatting>
  <conditionalFormatting sqref="N296 O285 O290:O292 O294:O339 O342:O346 O348:O349 O397:O398 P295:Q295">
    <cfRule type="containsText" dxfId="9" priority="47312" operator="containsText" text="No">
      <formula>NOT(ISERROR(SEARCH(("No"),(N296))))</formula>
    </cfRule>
  </conditionalFormatting>
  <conditionalFormatting sqref="N296 O285 O290:O292 O294:O339 O342:O346 O348:O349 O397:O398 P295:Q295">
    <cfRule type="containsText" dxfId="9" priority="47313" operator="containsText" text="No">
      <formula>NOT(ISERROR(SEARCH(("No"),(N296))))</formula>
    </cfRule>
  </conditionalFormatting>
  <conditionalFormatting sqref="N296 O285 O290:O292 O294:O339 O342:O346 O348:O349 O397:O398 P295:Q295">
    <cfRule type="containsText" dxfId="9" priority="47314" operator="containsText" text="No">
      <formula>NOT(ISERROR(SEARCH(("No"),(N296))))</formula>
    </cfRule>
  </conditionalFormatting>
  <conditionalFormatting sqref="N296 O285 O290:O292 O294:O339 O342:O346 O348:O349 O397:O398 P295:Q295">
    <cfRule type="containsText" dxfId="9" priority="47315" operator="containsText" text="No">
      <formula>NOT(ISERROR(SEARCH(("No"),(N296))))</formula>
    </cfRule>
  </conditionalFormatting>
  <conditionalFormatting sqref="N296 O285 O290:O292 O294:O339 O342:O346 O348:O349 O397:O398 P295:Q295">
    <cfRule type="containsText" dxfId="9" priority="47316" operator="containsText" text="No">
      <formula>NOT(ISERROR(SEARCH(("No"),(N296))))</formula>
    </cfRule>
  </conditionalFormatting>
  <conditionalFormatting sqref="N296 O285 O290:O292 O294:O339 O342:O346 O348:O349 O397:O398 P295:Q295">
    <cfRule type="containsText" dxfId="9" priority="47317" operator="containsText" text="No">
      <formula>NOT(ISERROR(SEARCH(("No"),(N296))))</formula>
    </cfRule>
  </conditionalFormatting>
  <conditionalFormatting sqref="N296 O285 O290:O292 O294:O339 O342:O346 O348:O349 O397:O398 P295:Q295">
    <cfRule type="containsText" dxfId="9" priority="47318" operator="containsText" text="No">
      <formula>NOT(ISERROR(SEARCH(("No"),(N296))))</formula>
    </cfRule>
  </conditionalFormatting>
  <conditionalFormatting sqref="N296 O285 O290:O292 O294:O339 O342:O346 O348:O349 O397:O398 P295:Q295">
    <cfRule type="containsText" dxfId="9" priority="47319" operator="containsText" text="No">
      <formula>NOT(ISERROR(SEARCH(("No"),(N296))))</formula>
    </cfRule>
  </conditionalFormatting>
  <conditionalFormatting sqref="N296 O285 O290:O292 O294:O339 O342:O346 O348:O349 O397:O398 P295:Q295">
    <cfRule type="containsText" dxfId="9" priority="47320" operator="containsText" text="No">
      <formula>NOT(ISERROR(SEARCH(("No"),(N296))))</formula>
    </cfRule>
  </conditionalFormatting>
  <conditionalFormatting sqref="N296 O285 O290:O292 O294:O339 O342:O346 O348:O349 O397:O398 P295:Q295">
    <cfRule type="containsText" dxfId="9" priority="47321" operator="containsText" text="No">
      <formula>NOT(ISERROR(SEARCH(("No"),(N296))))</formula>
    </cfRule>
  </conditionalFormatting>
  <conditionalFormatting sqref="N296 O285 O290:O292 O294:O339 O342:O346 O348:O349 O397:O398 P295:Q295">
    <cfRule type="containsText" dxfId="9" priority="47322" operator="containsText" text="No">
      <formula>NOT(ISERROR(SEARCH(("No"),(N296))))</formula>
    </cfRule>
  </conditionalFormatting>
  <conditionalFormatting sqref="N296 O285 O290:O292 O294:O339 O342:O346 O348:O349 O397:O398 P295:Q295">
    <cfRule type="containsText" dxfId="9" priority="47323" operator="containsText" text="No">
      <formula>NOT(ISERROR(SEARCH(("No"),(N296))))</formula>
    </cfRule>
  </conditionalFormatting>
  <conditionalFormatting sqref="N296 O285 O290:O292 O294:O339 O342:O346 O348:O349 O397:O398 P295:Q295">
    <cfRule type="containsText" dxfId="9" priority="47324" operator="containsText" text="No">
      <formula>NOT(ISERROR(SEARCH(("No"),(N296))))</formula>
    </cfRule>
  </conditionalFormatting>
  <conditionalFormatting sqref="N296 O285 O290:O292 O294:O339 O342:O346 O348:O349 O397:O398 P295:Q295">
    <cfRule type="containsText" dxfId="9" priority="47325" operator="containsText" text="No">
      <formula>NOT(ISERROR(SEARCH(("No"),(N296))))</formula>
    </cfRule>
  </conditionalFormatting>
  <conditionalFormatting sqref="N296 O285 O290:O292 O294:O339 O342:O346 O348:O349 O397:O398 P295:Q295">
    <cfRule type="containsText" dxfId="9" priority="47326" operator="containsText" text="No">
      <formula>NOT(ISERROR(SEARCH(("No"),(N296))))</formula>
    </cfRule>
  </conditionalFormatting>
  <conditionalFormatting sqref="N296 O285 O290:O292 O294:O339 O342:O346 O348:O349 O397:O398 P295:Q295">
    <cfRule type="containsText" dxfId="9" priority="47327" operator="containsText" text="No">
      <formula>NOT(ISERROR(SEARCH(("No"),(N296))))</formula>
    </cfRule>
  </conditionalFormatting>
  <conditionalFormatting sqref="N296 O285 O290:O292 O294:O339 O342:O346 O348:O349 O397:O398 P295:Q295">
    <cfRule type="containsText" dxfId="9" priority="47328" operator="containsText" text="No">
      <formula>NOT(ISERROR(SEARCH(("No"),(N296))))</formula>
    </cfRule>
  </conditionalFormatting>
  <conditionalFormatting sqref="N296 O285 O290:O292 O294:O339 O342:O346 O348:O349 O397:O398 P295:Q295">
    <cfRule type="containsText" dxfId="9" priority="47329" operator="containsText" text="No">
      <formula>NOT(ISERROR(SEARCH(("No"),(N296))))</formula>
    </cfRule>
  </conditionalFormatting>
  <conditionalFormatting sqref="N296 O285 O290:O292 O294:O339 O342:O346 O348:O349 O397:O398 P295:Q295">
    <cfRule type="containsText" dxfId="9" priority="47330" operator="containsText" text="No">
      <formula>NOT(ISERROR(SEARCH(("No"),(N296))))</formula>
    </cfRule>
  </conditionalFormatting>
  <conditionalFormatting sqref="N296 O285 O290:O292 O294:O339 O342:O346 O348:O349 O397:O398 P295:Q295">
    <cfRule type="containsText" dxfId="2" priority="47331" operator="containsText" text="Yes">
      <formula>NOT(ISERROR(SEARCH(("Yes"),(N296))))</formula>
    </cfRule>
  </conditionalFormatting>
  <conditionalFormatting sqref="N296 O285 O290:O292 O294:O339 O342:O346 O348:O349 O397:O398 P295:Q295">
    <cfRule type="containsText" dxfId="2" priority="47332" operator="containsText" text="Yes">
      <formula>NOT(ISERROR(SEARCH(("Yes"),(N296))))</formula>
    </cfRule>
  </conditionalFormatting>
  <conditionalFormatting sqref="N296 O285 O290:O292 O294:O339 O342:O346 O348:O349 O397:O398 P295:Q295">
    <cfRule type="containsText" dxfId="2" priority="47333" operator="containsText" text="Yes">
      <formula>NOT(ISERROR(SEARCH(("Yes"),(N296))))</formula>
    </cfRule>
  </conditionalFormatting>
  <conditionalFormatting sqref="N296 O285 O290:O292 O294:O339 O342:O346 O348:O349 O397:O398 P295:Q295">
    <cfRule type="containsText" dxfId="2" priority="47334" operator="containsText" text="Yes">
      <formula>NOT(ISERROR(SEARCH(("Yes"),(N296))))</formula>
    </cfRule>
  </conditionalFormatting>
  <conditionalFormatting sqref="N296 O285 O290:O292 O294:O339 O342:O346 O348:O349 O397:O398 P295:Q295">
    <cfRule type="containsText" dxfId="2" priority="47335" operator="containsText" text="Yes">
      <formula>NOT(ISERROR(SEARCH(("Yes"),(N296))))</formula>
    </cfRule>
  </conditionalFormatting>
  <conditionalFormatting sqref="N296 O285 O290:O292 O294:O339 O342:O346 O348:O349 O397:O398 P295:Q295">
    <cfRule type="containsText" dxfId="2" priority="47336" operator="containsText" text="Yes">
      <formula>NOT(ISERROR(SEARCH(("Yes"),(N296))))</formula>
    </cfRule>
  </conditionalFormatting>
  <conditionalFormatting sqref="N296 O285 O290:O292 O294:O339 O342:O346 O348:O349 O397:O398 P295:Q295">
    <cfRule type="containsText" dxfId="2" priority="47337" operator="containsText" text="Yes">
      <formula>NOT(ISERROR(SEARCH(("Yes"),(N296))))</formula>
    </cfRule>
  </conditionalFormatting>
  <conditionalFormatting sqref="N296 O285 O290:O292 O294:O339 O342:O346 O348:O349 O397:O398 P295:Q295">
    <cfRule type="containsText" dxfId="2" priority="47338" operator="containsText" text="Yes">
      <formula>NOT(ISERROR(SEARCH(("Yes"),(N296))))</formula>
    </cfRule>
  </conditionalFormatting>
  <conditionalFormatting sqref="N296 O285 O290:O292 O294:O339 O342:O346 O348:O349 O397:O398 P295:Q295">
    <cfRule type="containsText" dxfId="2" priority="47339" operator="containsText" text="Yes">
      <formula>NOT(ISERROR(SEARCH(("Yes"),(N296))))</formula>
    </cfRule>
  </conditionalFormatting>
  <conditionalFormatting sqref="N296 O285 O290:O292 O294:O339 O342:O346 O348:O349 O397:O398 P295:Q295">
    <cfRule type="containsText" dxfId="2" priority="47340" operator="containsText" text="Yes">
      <formula>NOT(ISERROR(SEARCH(("Yes"),(N296))))</formula>
    </cfRule>
  </conditionalFormatting>
  <conditionalFormatting sqref="N296 O285 O290:O292 O294:O339 O342:O346 O348:O349 O397:O398 P295:Q295">
    <cfRule type="containsText" dxfId="2" priority="47341" operator="containsText" text="Yes">
      <formula>NOT(ISERROR(SEARCH(("Yes"),(N296))))</formula>
    </cfRule>
  </conditionalFormatting>
  <conditionalFormatting sqref="N296 O285 O290:O292 O294:O339 O342:O346 O348:O349 O397:O398 P295:Q295">
    <cfRule type="containsText" dxfId="2" priority="47342" operator="containsText" text="Yes">
      <formula>NOT(ISERROR(SEARCH(("Yes"),(N296))))</formula>
    </cfRule>
  </conditionalFormatting>
  <conditionalFormatting sqref="N296 O285 O290:O292 O294:O339 O342:O346 O348:O349 O397:O398 P295:Q295">
    <cfRule type="containsText" dxfId="2" priority="47343" operator="containsText" text="Yes">
      <formula>NOT(ISERROR(SEARCH(("Yes"),(N296))))</formula>
    </cfRule>
  </conditionalFormatting>
  <conditionalFormatting sqref="N296 O285 O290:O292 O294:O339 O342:O346 O348:O349 O397:O398 P295:Q295">
    <cfRule type="containsText" dxfId="2" priority="47344" operator="containsText" text="Yes">
      <formula>NOT(ISERROR(SEARCH(("Yes"),(N296))))</formula>
    </cfRule>
  </conditionalFormatting>
  <conditionalFormatting sqref="N296 O285 O290:O292 O294:O339 O342:O346 O348:O349 O397:O398 P295:Q295">
    <cfRule type="containsText" dxfId="2" priority="47345" operator="containsText" text="Yes">
      <formula>NOT(ISERROR(SEARCH(("Yes"),(N296))))</formula>
    </cfRule>
  </conditionalFormatting>
  <conditionalFormatting sqref="N296 O285 O290:O292 O294:O339 O342:O346 O348:O349 O397:O398 P295:Q295">
    <cfRule type="containsText" dxfId="2" priority="47346" operator="containsText" text="Yes">
      <formula>NOT(ISERROR(SEARCH(("Yes"),(N296))))</formula>
    </cfRule>
  </conditionalFormatting>
  <conditionalFormatting sqref="N296 O285 O290:O292 O294:O339 O342:O346 O348:O349 O397:O398 P295:Q295">
    <cfRule type="containsText" dxfId="2" priority="47347" operator="containsText" text="Yes">
      <formula>NOT(ISERROR(SEARCH(("Yes"),(N296))))</formula>
    </cfRule>
  </conditionalFormatting>
  <conditionalFormatting sqref="N296 O285 O290:O292 O294:O339 O342:O346 O348:O349 O397:O398 P295:Q295">
    <cfRule type="containsText" dxfId="2" priority="47348" operator="containsText" text="Yes">
      <formula>NOT(ISERROR(SEARCH(("Yes"),(N296))))</formula>
    </cfRule>
  </conditionalFormatting>
  <conditionalFormatting sqref="N296 O285 O290:O292 O294:O339 O342:O346 O348:O349 O397:O398 P295:Q295">
    <cfRule type="containsText" dxfId="2" priority="47349" operator="containsText" text="Yes">
      <formula>NOT(ISERROR(SEARCH(("Yes"),(N296))))</formula>
    </cfRule>
  </conditionalFormatting>
  <conditionalFormatting sqref="N296 O285 O290:O292 O294:O339 O342:O346 O348:O349 O397:O398 P295:Q295">
    <cfRule type="containsText" dxfId="2" priority="47350" operator="containsText" text="Yes">
      <formula>NOT(ISERROR(SEARCH(("Yes"),(N296))))</formula>
    </cfRule>
  </conditionalFormatting>
  <conditionalFormatting sqref="N296 O285 O290:O292 O294:O339 O342:O346 O348:O349 O397:O398 P295:Q295">
    <cfRule type="containsText" dxfId="2" priority="47351" operator="containsText" text="Yes">
      <formula>NOT(ISERROR(SEARCH(("Yes"),(N296))))</formula>
    </cfRule>
  </conditionalFormatting>
  <conditionalFormatting sqref="N296 O285 O290:O292 O294:O339 O342:O346 O348:O349 O397:O398 P295:Q295">
    <cfRule type="containsText" dxfId="2" priority="47352" operator="containsText" text="Yes">
      <formula>NOT(ISERROR(SEARCH(("Yes"),(N296))))</formula>
    </cfRule>
  </conditionalFormatting>
  <conditionalFormatting sqref="N296 O285 O290:O292 O294:O339 O342:O346 O348:O349 O397:O398 P295:Q295">
    <cfRule type="containsText" dxfId="2" priority="47353" operator="containsText" text="Yes">
      <formula>NOT(ISERROR(SEARCH(("Yes"),(N296))))</formula>
    </cfRule>
  </conditionalFormatting>
  <conditionalFormatting sqref="N296 O285 O290:O292 O294:O339 O342:O346 O348:O349 O397:O398 P295:Q295">
    <cfRule type="containsText" dxfId="2" priority="47354" operator="containsText" text="Yes">
      <formula>NOT(ISERROR(SEARCH(("Yes"),(N296))))</formula>
    </cfRule>
  </conditionalFormatting>
  <conditionalFormatting sqref="N296 O285 O290:O292 O294:O339 O342:O346 O348:O349 O397:O398 P295:Q295">
    <cfRule type="containsText" dxfId="2" priority="47355" operator="containsText" text="Yes">
      <formula>NOT(ISERROR(SEARCH(("Yes"),(N296))))</formula>
    </cfRule>
  </conditionalFormatting>
  <conditionalFormatting sqref="N296 O285 O290:O292 O294:O339 O342:O346 O348:O349 O397:O398 P295:Q295">
    <cfRule type="containsText" dxfId="2" priority="47356" operator="containsText" text="Yes">
      <formula>NOT(ISERROR(SEARCH(("Yes"),(N296))))</formula>
    </cfRule>
  </conditionalFormatting>
  <conditionalFormatting sqref="N296 O285 O290:O292 O294:O339 O342:O346 O348:O349 O397:O398 P295:Q295">
    <cfRule type="containsText" dxfId="2" priority="47357" operator="containsText" text="Yes">
      <formula>NOT(ISERROR(SEARCH(("Yes"),(N296))))</formula>
    </cfRule>
  </conditionalFormatting>
  <conditionalFormatting sqref="N296 O285 O290:O292 O294:O339 O342:O346 O348:O349 O397:O398 P295:Q295">
    <cfRule type="containsText" dxfId="2" priority="47358" operator="containsText" text="Yes">
      <formula>NOT(ISERROR(SEARCH(("Yes"),(N296))))</formula>
    </cfRule>
  </conditionalFormatting>
  <conditionalFormatting sqref="N296 O285 O290:O292 O294:O339 O342:O346 O348:O349 O397:O398 P295:Q295">
    <cfRule type="containsText" dxfId="2" priority="47359" operator="containsText" text="Yes">
      <formula>NOT(ISERROR(SEARCH(("Yes"),(N296))))</formula>
    </cfRule>
  </conditionalFormatting>
  <conditionalFormatting sqref="N296 O285 O290:O292 O294:O339 O342:O346 O348:O349 O397:O398 P295:Q295">
    <cfRule type="containsText" dxfId="2" priority="47360" operator="containsText" text="Yes">
      <formula>NOT(ISERROR(SEARCH(("Yes"),(N296))))</formula>
    </cfRule>
  </conditionalFormatting>
  <conditionalFormatting sqref="N296 O285 O290:O292 O294:O339 O342:O346 O348:O349 O397:O398 P295:Q295">
    <cfRule type="containsText" dxfId="2" priority="47361" operator="containsText" text="Yes">
      <formula>NOT(ISERROR(SEARCH(("Yes"),(N296))))</formula>
    </cfRule>
  </conditionalFormatting>
  <conditionalFormatting sqref="N296 O285 O290:O292 O294:O339 O342:O346 O348:O349 O397:O398 P295:Q295">
    <cfRule type="containsText" dxfId="2" priority="47362" operator="containsText" text="Yes">
      <formula>NOT(ISERROR(SEARCH(("Yes"),(N296))))</formula>
    </cfRule>
  </conditionalFormatting>
  <conditionalFormatting sqref="N296 O285 O290:O292 O294:O339 O342:O346 O348:O349 O397:O398 P295:Q295">
    <cfRule type="containsText" dxfId="2" priority="47363" operator="containsText" text="Yes">
      <formula>NOT(ISERROR(SEARCH(("Yes"),(N296))))</formula>
    </cfRule>
  </conditionalFormatting>
  <conditionalFormatting sqref="N296 O285 O290:O292 O294:O339 O342:O346 O348:O349 O397:O398 P295:Q295">
    <cfRule type="containsText" dxfId="2" priority="47364" operator="containsText" text="Yes">
      <formula>NOT(ISERROR(SEARCH(("Yes"),(N296))))</formula>
    </cfRule>
  </conditionalFormatting>
  <conditionalFormatting sqref="N296 O285 O290:O292 O294:O339 O342:O346 O348:O349 O397:O398 P295:Q295">
    <cfRule type="containsText" dxfId="2" priority="47365" operator="containsText" text="Yes">
      <formula>NOT(ISERROR(SEARCH(("Yes"),(N296))))</formula>
    </cfRule>
  </conditionalFormatting>
  <conditionalFormatting sqref="N296 O285 O290:O292 O294:O339 O342:O346 O348:O349 O397:O398 P295:Q295">
    <cfRule type="containsText" dxfId="2" priority="47366" operator="containsText" text="Yes">
      <formula>NOT(ISERROR(SEARCH(("Yes"),(N296))))</formula>
    </cfRule>
  </conditionalFormatting>
  <conditionalFormatting sqref="N296 O285 O290:O292 O294:O339 O342:O346 O348:O349 O397:O398 P295:Q295">
    <cfRule type="containsText" dxfId="2" priority="47367" operator="containsText" text="Yes">
      <formula>NOT(ISERROR(SEARCH(("Yes"),(N296))))</formula>
    </cfRule>
  </conditionalFormatting>
  <conditionalFormatting sqref="N296 O285 O290:O292 O294:O339 O342:O346 O348:O349 O397:O398 P295:Q295">
    <cfRule type="containsText" dxfId="2" priority="47368" operator="containsText" text="Yes">
      <formula>NOT(ISERROR(SEARCH(("Yes"),(N296))))</formula>
    </cfRule>
  </conditionalFormatting>
  <conditionalFormatting sqref="N296 O285 O290:O292 O294:O339 O342:O346 O348:O349 O397:O398 P295:Q295">
    <cfRule type="containsText" dxfId="2" priority="47369" operator="containsText" text="Yes">
      <formula>NOT(ISERROR(SEARCH(("Yes"),(N296))))</formula>
    </cfRule>
  </conditionalFormatting>
  <conditionalFormatting sqref="N296 O285 O290:O292 O294:O339 O342:O346 O348:O349 O397:O398 P295:Q295">
    <cfRule type="containsText" dxfId="2" priority="47370" operator="containsText" text="Yes">
      <formula>NOT(ISERROR(SEARCH(("Yes"),(N296))))</formula>
    </cfRule>
  </conditionalFormatting>
  <conditionalFormatting sqref="N296 O285 O290:O292 O294:O339 O342:O346 O348:O349 O397:O398 P295:Q295">
    <cfRule type="containsText" dxfId="2" priority="47371" operator="containsText" text="Yes">
      <formula>NOT(ISERROR(SEARCH(("Yes"),(N296))))</formula>
    </cfRule>
  </conditionalFormatting>
  <conditionalFormatting sqref="N296 O285 O290:O292 O294:O339 O342:O346 O348:O349 O397:O398 P295:Q295">
    <cfRule type="containsText" dxfId="2" priority="47372" operator="containsText" text="Yes">
      <formula>NOT(ISERROR(SEARCH(("Yes"),(N296))))</formula>
    </cfRule>
  </conditionalFormatting>
  <conditionalFormatting sqref="N296 O285 O290:O292 O294:O339 O342:O346 O348:O349 O397:O398 P295:Q295">
    <cfRule type="containsText" dxfId="2" priority="47373" operator="containsText" text="Yes">
      <formula>NOT(ISERROR(SEARCH(("Yes"),(N296))))</formula>
    </cfRule>
  </conditionalFormatting>
  <conditionalFormatting sqref="N296 O285 O290:O292 O294:O339 O342:O346 O348:O349 O397:O398 P295:Q295">
    <cfRule type="containsText" dxfId="2" priority="47374" operator="containsText" text="Yes">
      <formula>NOT(ISERROR(SEARCH(("Yes"),(N296))))</formula>
    </cfRule>
  </conditionalFormatting>
  <conditionalFormatting sqref="N296 O285 O290:O292 O294:O339 O342:O346 O348:O349 O397:O398 P295:Q295">
    <cfRule type="containsText" dxfId="2" priority="47375" operator="containsText" text="Yes">
      <formula>NOT(ISERROR(SEARCH(("Yes"),(N296))))</formula>
    </cfRule>
  </conditionalFormatting>
  <conditionalFormatting sqref="N296 O285 O290:O292 O294:O339 O342:O346 O348:O349 O397:O398 P295:Q295">
    <cfRule type="containsText" dxfId="2" priority="47376" operator="containsText" text="Yes">
      <formula>NOT(ISERROR(SEARCH(("Yes"),(N296))))</formula>
    </cfRule>
  </conditionalFormatting>
  <conditionalFormatting sqref="N296 O285 O290:O292 O294:O339 O342:O346 O348:O349 O397:O398 P295:Q295">
    <cfRule type="containsText" dxfId="2" priority="47377" operator="containsText" text="Yes">
      <formula>NOT(ISERROR(SEARCH(("Yes"),(N296))))</formula>
    </cfRule>
  </conditionalFormatting>
  <conditionalFormatting sqref="O362 P335:Q361 P363:Q409">
    <cfRule type="containsText" dxfId="9" priority="47378" operator="containsText" text="No">
      <formula>NOT(ISERROR(SEARCH(("No"),(O362))))</formula>
    </cfRule>
  </conditionalFormatting>
  <conditionalFormatting sqref="O362 P335:Q361 P363:Q409">
    <cfRule type="containsText" dxfId="9" priority="47379" operator="containsText" text="No">
      <formula>NOT(ISERROR(SEARCH(("No"),(O362))))</formula>
    </cfRule>
  </conditionalFormatting>
  <conditionalFormatting sqref="O362 P335:Q361 P363:Q409">
    <cfRule type="containsText" dxfId="9" priority="47380" operator="containsText" text="No">
      <formula>NOT(ISERROR(SEARCH(("No"),(O362))))</formula>
    </cfRule>
  </conditionalFormatting>
  <conditionalFormatting sqref="O362 P335:Q361 P363:Q409">
    <cfRule type="containsText" dxfId="2" priority="47381" operator="containsText" text="Yes">
      <formula>NOT(ISERROR(SEARCH(("Yes"),(O362))))</formula>
    </cfRule>
  </conditionalFormatting>
  <conditionalFormatting sqref="O362 P335:Q361 P363:Q409">
    <cfRule type="containsText" dxfId="2" priority="47382" operator="containsText" text="Yes">
      <formula>NOT(ISERROR(SEARCH(("Yes"),(O362))))</formula>
    </cfRule>
  </conditionalFormatting>
  <conditionalFormatting sqref="O362 P335:Q361 P363:Q409">
    <cfRule type="containsText" dxfId="2" priority="47383" operator="containsText" text="Yes">
      <formula>NOT(ISERROR(SEARCH(("Yes"),(O362))))</formula>
    </cfRule>
  </conditionalFormatting>
  <conditionalFormatting sqref="O362 P335:Q361 P363:Q409">
    <cfRule type="containsText" dxfId="2" priority="47384" operator="containsText" text="Yes">
      <formula>NOT(ISERROR(SEARCH(("Yes"),(O362))))</formula>
    </cfRule>
  </conditionalFormatting>
  <conditionalFormatting sqref="O362 P335:Q361 P363:Q409">
    <cfRule type="containsText" dxfId="2" priority="47385" operator="containsText" text="Yes">
      <formula>NOT(ISERROR(SEARCH(("Yes"),(O362))))</formula>
    </cfRule>
  </conditionalFormatting>
  <conditionalFormatting sqref="O362 P335:Q361 P363:Q409">
    <cfRule type="containsText" dxfId="9" priority="47386" operator="containsText" text="No">
      <formula>NOT(ISERROR(SEARCH(("No"),(O362))))</formula>
    </cfRule>
  </conditionalFormatting>
  <conditionalFormatting sqref="O362 P335:Q361 P363:Q409">
    <cfRule type="containsText" dxfId="9" priority="47387" operator="containsText" text="No">
      <formula>NOT(ISERROR(SEARCH(("No"),(O362))))</formula>
    </cfRule>
  </conditionalFormatting>
  <conditionalFormatting sqref="O362 P335:Q361 P363:Q409">
    <cfRule type="containsText" dxfId="2" priority="47388" operator="containsText" text="Yes">
      <formula>NOT(ISERROR(SEARCH(("Yes"),(O362))))</formula>
    </cfRule>
  </conditionalFormatting>
  <conditionalFormatting sqref="N395 O335:O361 O363:O409">
    <cfRule type="containsText" dxfId="9" priority="47389" operator="containsText" text="No">
      <formula>NOT(ISERROR(SEARCH(("No"),(N395))))</formula>
    </cfRule>
  </conditionalFormatting>
  <conditionalFormatting sqref="N395 O335:O361 O363:O409">
    <cfRule type="containsText" dxfId="9" priority="47390" operator="containsText" text="No">
      <formula>NOT(ISERROR(SEARCH(("No"),(N395))))</formula>
    </cfRule>
  </conditionalFormatting>
  <conditionalFormatting sqref="N395 O335:O361 O363:O409">
    <cfRule type="containsText" dxfId="9" priority="47391" operator="containsText" text="No">
      <formula>NOT(ISERROR(SEARCH(("No"),(N395))))</formula>
    </cfRule>
  </conditionalFormatting>
  <conditionalFormatting sqref="N395 O335:O361 O363:O409">
    <cfRule type="containsText" dxfId="9" priority="47392" operator="containsText" text="No">
      <formula>NOT(ISERROR(SEARCH(("No"),(N395))))</formula>
    </cfRule>
  </conditionalFormatting>
  <conditionalFormatting sqref="N395 O335:O361 O363:O409">
    <cfRule type="containsText" dxfId="9" priority="47393" operator="containsText" text="No">
      <formula>NOT(ISERROR(SEARCH(("No"),(N395))))</formula>
    </cfRule>
  </conditionalFormatting>
  <conditionalFormatting sqref="N395 O335:O361 O363:O409">
    <cfRule type="containsText" dxfId="9" priority="47394" operator="containsText" text="No">
      <formula>NOT(ISERROR(SEARCH(("No"),(N395))))</formula>
    </cfRule>
  </conditionalFormatting>
  <conditionalFormatting sqref="N395 O335:O361 O363:O409">
    <cfRule type="containsText" dxfId="9" priority="47395" operator="containsText" text="No">
      <formula>NOT(ISERROR(SEARCH(("No"),(N395))))</formula>
    </cfRule>
  </conditionalFormatting>
  <conditionalFormatting sqref="N395 O335:O361 O363:O409">
    <cfRule type="containsText" dxfId="9" priority="47396" operator="containsText" text="No">
      <formula>NOT(ISERROR(SEARCH(("No"),(N395))))</formula>
    </cfRule>
  </conditionalFormatting>
  <conditionalFormatting sqref="N395 O335:O361 O363:O409">
    <cfRule type="containsText" dxfId="9" priority="47397" operator="containsText" text="No">
      <formula>NOT(ISERROR(SEARCH(("No"),(N395))))</formula>
    </cfRule>
  </conditionalFormatting>
  <conditionalFormatting sqref="N395 O335:O361 O363:O409">
    <cfRule type="containsText" dxfId="9" priority="47398" operator="containsText" text="No">
      <formula>NOT(ISERROR(SEARCH(("No"),(N395))))</formula>
    </cfRule>
  </conditionalFormatting>
  <conditionalFormatting sqref="N395 O335:O361 O363:O409">
    <cfRule type="containsText" dxfId="9" priority="47399" operator="containsText" text="No">
      <formula>NOT(ISERROR(SEARCH(("No"),(N395))))</formula>
    </cfRule>
  </conditionalFormatting>
  <conditionalFormatting sqref="N395 O335:O361 O363:O409">
    <cfRule type="containsText" dxfId="9" priority="47400" operator="containsText" text="No">
      <formula>NOT(ISERROR(SEARCH(("No"),(N395))))</formula>
    </cfRule>
  </conditionalFormatting>
  <conditionalFormatting sqref="N395 O335:O361 O363:O409">
    <cfRule type="containsText" dxfId="9" priority="47401" operator="containsText" text="No">
      <formula>NOT(ISERROR(SEARCH(("No"),(N395))))</formula>
    </cfRule>
  </conditionalFormatting>
  <conditionalFormatting sqref="N395 O335:O361 O363:O409">
    <cfRule type="containsText" dxfId="9" priority="47402" operator="containsText" text="No">
      <formula>NOT(ISERROR(SEARCH(("No"),(N395))))</formula>
    </cfRule>
  </conditionalFormatting>
  <conditionalFormatting sqref="N395 O335:O361 O363:O409">
    <cfRule type="containsText" dxfId="9" priority="47403" operator="containsText" text="No">
      <formula>NOT(ISERROR(SEARCH(("No"),(N395))))</formula>
    </cfRule>
  </conditionalFormatting>
  <conditionalFormatting sqref="N395 O335:O361 O363:O409">
    <cfRule type="containsText" dxfId="9" priority="47404" operator="containsText" text="No">
      <formula>NOT(ISERROR(SEARCH(("No"),(N395))))</formula>
    </cfRule>
  </conditionalFormatting>
  <conditionalFormatting sqref="N395 O335:O361 O363:O409">
    <cfRule type="containsText" dxfId="9" priority="47405" operator="containsText" text="No">
      <formula>NOT(ISERROR(SEARCH(("No"),(N395))))</formula>
    </cfRule>
  </conditionalFormatting>
  <conditionalFormatting sqref="N395 O335:O361 O363:O409">
    <cfRule type="containsText" dxfId="9" priority="47406" operator="containsText" text="No">
      <formula>NOT(ISERROR(SEARCH(("No"),(N395))))</formula>
    </cfRule>
  </conditionalFormatting>
  <conditionalFormatting sqref="N395 O335:O361 O363:O409">
    <cfRule type="containsText" dxfId="9" priority="47407" operator="containsText" text="No">
      <formula>NOT(ISERROR(SEARCH(("No"),(N395))))</formula>
    </cfRule>
  </conditionalFormatting>
  <conditionalFormatting sqref="N395 O335:O361 O363:O409">
    <cfRule type="containsText" dxfId="9" priority="47408" operator="containsText" text="No">
      <formula>NOT(ISERROR(SEARCH(("No"),(N395))))</formula>
    </cfRule>
  </conditionalFormatting>
  <conditionalFormatting sqref="N395 O335:O361 O363:O409">
    <cfRule type="containsText" dxfId="9" priority="47409" operator="containsText" text="No">
      <formula>NOT(ISERROR(SEARCH(("No"),(N395))))</formula>
    </cfRule>
  </conditionalFormatting>
  <conditionalFormatting sqref="N395 O335:O361 O363:O409">
    <cfRule type="containsText" dxfId="9" priority="47410" operator="containsText" text="No">
      <formula>NOT(ISERROR(SEARCH(("No"),(N395))))</formula>
    </cfRule>
  </conditionalFormatting>
  <conditionalFormatting sqref="N395 O335:O361 O363:O409">
    <cfRule type="containsText" dxfId="9" priority="47411" operator="containsText" text="No">
      <formula>NOT(ISERROR(SEARCH(("No"),(N395))))</formula>
    </cfRule>
  </conditionalFormatting>
  <conditionalFormatting sqref="N395 O335:O361 O363:O409">
    <cfRule type="containsText" dxfId="9" priority="47412" operator="containsText" text="No">
      <formula>NOT(ISERROR(SEARCH(("No"),(N395))))</formula>
    </cfRule>
  </conditionalFormatting>
  <conditionalFormatting sqref="N395 O335:O361 O363:O409">
    <cfRule type="containsText" dxfId="9" priority="47413" operator="containsText" text="No">
      <formula>NOT(ISERROR(SEARCH(("No"),(N395))))</formula>
    </cfRule>
  </conditionalFormatting>
  <conditionalFormatting sqref="N395 O335:O361 O363:O409">
    <cfRule type="containsText" dxfId="9" priority="47414" operator="containsText" text="No">
      <formula>NOT(ISERROR(SEARCH(("No"),(N395))))</formula>
    </cfRule>
  </conditionalFormatting>
  <conditionalFormatting sqref="N395 O335:O361 O363:O409">
    <cfRule type="containsText" dxfId="9" priority="47415" operator="containsText" text="No">
      <formula>NOT(ISERROR(SEARCH(("No"),(N395))))</formula>
    </cfRule>
  </conditionalFormatting>
  <conditionalFormatting sqref="N395 O335:O361 O363:O409">
    <cfRule type="containsText" dxfId="9" priority="47416" operator="containsText" text="No">
      <formula>NOT(ISERROR(SEARCH(("No"),(N395))))</formula>
    </cfRule>
  </conditionalFormatting>
  <conditionalFormatting sqref="N395 O335:O361 O363:O409">
    <cfRule type="containsText" dxfId="9" priority="47417" operator="containsText" text="No">
      <formula>NOT(ISERROR(SEARCH(("No"),(N395))))</formula>
    </cfRule>
  </conditionalFormatting>
  <conditionalFormatting sqref="N395 O335:O361 O363:O409">
    <cfRule type="containsText" dxfId="9" priority="47418" operator="containsText" text="No">
      <formula>NOT(ISERROR(SEARCH(("No"),(N395))))</formula>
    </cfRule>
  </conditionalFormatting>
  <conditionalFormatting sqref="N395 O335:O361 O363:O409">
    <cfRule type="containsText" dxfId="9" priority="47419" operator="containsText" text="No">
      <formula>NOT(ISERROR(SEARCH(("No"),(N395))))</formula>
    </cfRule>
  </conditionalFormatting>
  <conditionalFormatting sqref="N395 O335:O361 O363:O409">
    <cfRule type="containsText" dxfId="9" priority="47420" operator="containsText" text="No">
      <formula>NOT(ISERROR(SEARCH(("No"),(N395))))</formula>
    </cfRule>
  </conditionalFormatting>
  <conditionalFormatting sqref="N395 O335:O361 O363:O409">
    <cfRule type="containsText" dxfId="9" priority="47421" operator="containsText" text="No">
      <formula>NOT(ISERROR(SEARCH(("No"),(N395))))</formula>
    </cfRule>
  </conditionalFormatting>
  <conditionalFormatting sqref="N395 O335:O361 O363:O409">
    <cfRule type="containsText" dxfId="9" priority="47422" operator="containsText" text="No">
      <formula>NOT(ISERROR(SEARCH(("No"),(N395))))</formula>
    </cfRule>
  </conditionalFormatting>
  <conditionalFormatting sqref="N395 O335:O361 O363:O409">
    <cfRule type="containsText" dxfId="9" priority="47423" operator="containsText" text="No">
      <formula>NOT(ISERROR(SEARCH(("No"),(N395))))</formula>
    </cfRule>
  </conditionalFormatting>
  <conditionalFormatting sqref="N395 O335:O361 O363:O409">
    <cfRule type="containsText" dxfId="9" priority="47424" operator="containsText" text="No">
      <formula>NOT(ISERROR(SEARCH(("No"),(N395))))</formula>
    </cfRule>
  </conditionalFormatting>
  <conditionalFormatting sqref="N395 O335:O361 O363:O409">
    <cfRule type="containsText" dxfId="9" priority="47425" operator="containsText" text="No">
      <formula>NOT(ISERROR(SEARCH(("No"),(N395))))</formula>
    </cfRule>
  </conditionalFormatting>
  <conditionalFormatting sqref="N395 O335:O361 O363:O409">
    <cfRule type="containsText" dxfId="9" priority="47426" operator="containsText" text="No">
      <formula>NOT(ISERROR(SEARCH(("No"),(N395))))</formula>
    </cfRule>
  </conditionalFormatting>
  <conditionalFormatting sqref="N395 O335:O361 O363:O409">
    <cfRule type="containsText" dxfId="9" priority="47427" operator="containsText" text="No">
      <formula>NOT(ISERROR(SEARCH(("No"),(N395))))</formula>
    </cfRule>
  </conditionalFormatting>
  <conditionalFormatting sqref="N395 O335:O361 O363:O409">
    <cfRule type="containsText" dxfId="9" priority="47428" operator="containsText" text="No">
      <formula>NOT(ISERROR(SEARCH(("No"),(N395))))</formula>
    </cfRule>
  </conditionalFormatting>
  <conditionalFormatting sqref="N395 O335:O361 O363:O409">
    <cfRule type="containsText" dxfId="9" priority="47429" operator="containsText" text="No">
      <formula>NOT(ISERROR(SEARCH(("No"),(N395))))</formula>
    </cfRule>
  </conditionalFormatting>
  <conditionalFormatting sqref="N395 O335:O361 O363:O409">
    <cfRule type="containsText" dxfId="9" priority="47430" operator="containsText" text="No">
      <formula>NOT(ISERROR(SEARCH(("No"),(N395))))</formula>
    </cfRule>
  </conditionalFormatting>
  <conditionalFormatting sqref="N395 O335:O361 O363:O409">
    <cfRule type="containsText" dxfId="9" priority="47431" operator="containsText" text="No">
      <formula>NOT(ISERROR(SEARCH(("No"),(N395))))</formula>
    </cfRule>
  </conditionalFormatting>
  <conditionalFormatting sqref="N395 O335:O361 O363:O409">
    <cfRule type="containsText" dxfId="9" priority="47432" operator="containsText" text="No">
      <formula>NOT(ISERROR(SEARCH(("No"),(N395))))</formula>
    </cfRule>
  </conditionalFormatting>
  <conditionalFormatting sqref="N395 O335:O361 O363:O409">
    <cfRule type="containsText" dxfId="9" priority="47433" operator="containsText" text="No">
      <formula>NOT(ISERROR(SEARCH(("No"),(N395))))</formula>
    </cfRule>
  </conditionalFormatting>
  <conditionalFormatting sqref="N395 O335:O361 O363:O409">
    <cfRule type="containsText" dxfId="2" priority="47434" operator="containsText" text="Yes">
      <formula>NOT(ISERROR(SEARCH(("Yes"),(N395))))</formula>
    </cfRule>
  </conditionalFormatting>
  <conditionalFormatting sqref="N395 O335:O361 O363:O409">
    <cfRule type="containsText" dxfId="2" priority="47435" operator="containsText" text="Yes">
      <formula>NOT(ISERROR(SEARCH(("Yes"),(N395))))</formula>
    </cfRule>
  </conditionalFormatting>
  <conditionalFormatting sqref="N395 O335:O361 O363:O409">
    <cfRule type="containsText" dxfId="2" priority="47436" operator="containsText" text="Yes">
      <formula>NOT(ISERROR(SEARCH(("Yes"),(N395))))</formula>
    </cfRule>
  </conditionalFormatting>
  <conditionalFormatting sqref="N395 O335:O361 O363:O409">
    <cfRule type="containsText" dxfId="2" priority="47437" operator="containsText" text="Yes">
      <formula>NOT(ISERROR(SEARCH(("Yes"),(N395))))</formula>
    </cfRule>
  </conditionalFormatting>
  <conditionalFormatting sqref="N395 O335:O361 O363:O409">
    <cfRule type="containsText" dxfId="2" priority="47438" operator="containsText" text="Yes">
      <formula>NOT(ISERROR(SEARCH(("Yes"),(N395))))</formula>
    </cfRule>
  </conditionalFormatting>
  <conditionalFormatting sqref="N395 O335:O361 O363:O409">
    <cfRule type="containsText" dxfId="2" priority="47439" operator="containsText" text="Yes">
      <formula>NOT(ISERROR(SEARCH(("Yes"),(N395))))</formula>
    </cfRule>
  </conditionalFormatting>
  <conditionalFormatting sqref="N395 O335:O361 O363:O409">
    <cfRule type="containsText" dxfId="2" priority="47440" operator="containsText" text="Yes">
      <formula>NOT(ISERROR(SEARCH(("Yes"),(N395))))</formula>
    </cfRule>
  </conditionalFormatting>
  <conditionalFormatting sqref="N395 O335:O361 O363:O409">
    <cfRule type="containsText" dxfId="2" priority="47441" operator="containsText" text="Yes">
      <formula>NOT(ISERROR(SEARCH(("Yes"),(N395))))</formula>
    </cfRule>
  </conditionalFormatting>
  <conditionalFormatting sqref="N395 O335:O361 O363:O409">
    <cfRule type="containsText" dxfId="2" priority="47442" operator="containsText" text="Yes">
      <formula>NOT(ISERROR(SEARCH(("Yes"),(N395))))</formula>
    </cfRule>
  </conditionalFormatting>
  <conditionalFormatting sqref="N395 O335:O361 O363:O409">
    <cfRule type="containsText" dxfId="2" priority="47443" operator="containsText" text="Yes">
      <formula>NOT(ISERROR(SEARCH(("Yes"),(N395))))</formula>
    </cfRule>
  </conditionalFormatting>
  <conditionalFormatting sqref="N395 O335:O361 O363:O409">
    <cfRule type="containsText" dxfId="2" priority="47444" operator="containsText" text="Yes">
      <formula>NOT(ISERROR(SEARCH(("Yes"),(N395))))</formula>
    </cfRule>
  </conditionalFormatting>
  <conditionalFormatting sqref="N395 O335:O361 O363:O409">
    <cfRule type="containsText" dxfId="2" priority="47445" operator="containsText" text="Yes">
      <formula>NOT(ISERROR(SEARCH(("Yes"),(N395))))</formula>
    </cfRule>
  </conditionalFormatting>
  <conditionalFormatting sqref="N395 O335:O361 O363:O409">
    <cfRule type="containsText" dxfId="2" priority="47446" operator="containsText" text="Yes">
      <formula>NOT(ISERROR(SEARCH(("Yes"),(N395))))</formula>
    </cfRule>
  </conditionalFormatting>
  <conditionalFormatting sqref="N395 O335:O361 O363:O409">
    <cfRule type="containsText" dxfId="2" priority="47447" operator="containsText" text="Yes">
      <formula>NOT(ISERROR(SEARCH(("Yes"),(N395))))</formula>
    </cfRule>
  </conditionalFormatting>
  <conditionalFormatting sqref="N395 O335:O361 O363:O409">
    <cfRule type="containsText" dxfId="2" priority="47448" operator="containsText" text="Yes">
      <formula>NOT(ISERROR(SEARCH(("Yes"),(N395))))</formula>
    </cfRule>
  </conditionalFormatting>
  <conditionalFormatting sqref="N395 O335:O361 O363:O409">
    <cfRule type="containsText" dxfId="2" priority="47449" operator="containsText" text="Yes">
      <formula>NOT(ISERROR(SEARCH(("Yes"),(N395))))</formula>
    </cfRule>
  </conditionalFormatting>
  <conditionalFormatting sqref="N395 O335:O361 O363:O409">
    <cfRule type="containsText" dxfId="2" priority="47450" operator="containsText" text="Yes">
      <formula>NOT(ISERROR(SEARCH(("Yes"),(N395))))</formula>
    </cfRule>
  </conditionalFormatting>
  <conditionalFormatting sqref="N395 O335:O361 O363:O409">
    <cfRule type="containsText" dxfId="2" priority="47451" operator="containsText" text="Yes">
      <formula>NOT(ISERROR(SEARCH(("Yes"),(N395))))</formula>
    </cfRule>
  </conditionalFormatting>
  <conditionalFormatting sqref="N395 O335:O361 O363:O409">
    <cfRule type="containsText" dxfId="2" priority="47452" operator="containsText" text="Yes">
      <formula>NOT(ISERROR(SEARCH(("Yes"),(N395))))</formula>
    </cfRule>
  </conditionalFormatting>
  <conditionalFormatting sqref="N395 O335:O361 O363:O409">
    <cfRule type="containsText" dxfId="2" priority="47453" operator="containsText" text="Yes">
      <formula>NOT(ISERROR(SEARCH(("Yes"),(N395))))</formula>
    </cfRule>
  </conditionalFormatting>
  <conditionalFormatting sqref="N395 O335:O361 O363:O409">
    <cfRule type="containsText" dxfId="2" priority="47454" operator="containsText" text="Yes">
      <formula>NOT(ISERROR(SEARCH(("Yes"),(N395))))</formula>
    </cfRule>
  </conditionalFormatting>
  <conditionalFormatting sqref="N395 O335:O361 O363:O409">
    <cfRule type="containsText" dxfId="2" priority="47455" operator="containsText" text="Yes">
      <formula>NOT(ISERROR(SEARCH(("Yes"),(N395))))</formula>
    </cfRule>
  </conditionalFormatting>
  <conditionalFormatting sqref="N395 O335:O361 O363:O409">
    <cfRule type="containsText" dxfId="2" priority="47456" operator="containsText" text="Yes">
      <formula>NOT(ISERROR(SEARCH(("Yes"),(N395))))</formula>
    </cfRule>
  </conditionalFormatting>
  <conditionalFormatting sqref="N395 O335:O361 O363:O409">
    <cfRule type="containsText" dxfId="2" priority="47457" operator="containsText" text="Yes">
      <formula>NOT(ISERROR(SEARCH(("Yes"),(N395))))</formula>
    </cfRule>
  </conditionalFormatting>
  <conditionalFormatting sqref="N395 O335:O361 O363:O409">
    <cfRule type="containsText" dxfId="2" priority="47458" operator="containsText" text="Yes">
      <formula>NOT(ISERROR(SEARCH(("Yes"),(N395))))</formula>
    </cfRule>
  </conditionalFormatting>
  <conditionalFormatting sqref="N395 O335:O361 O363:O409">
    <cfRule type="containsText" dxfId="2" priority="47459" operator="containsText" text="Yes">
      <formula>NOT(ISERROR(SEARCH(("Yes"),(N395))))</formula>
    </cfRule>
  </conditionalFormatting>
  <conditionalFormatting sqref="N395 O335:O361 O363:O409">
    <cfRule type="containsText" dxfId="2" priority="47460" operator="containsText" text="Yes">
      <formula>NOT(ISERROR(SEARCH(("Yes"),(N395))))</formula>
    </cfRule>
  </conditionalFormatting>
  <conditionalFormatting sqref="N395 O335:O361 O363:O409">
    <cfRule type="containsText" dxfId="2" priority="47461" operator="containsText" text="Yes">
      <formula>NOT(ISERROR(SEARCH(("Yes"),(N395))))</formula>
    </cfRule>
  </conditionalFormatting>
  <conditionalFormatting sqref="N395 O335:O361 O363:O409">
    <cfRule type="containsText" dxfId="2" priority="47462" operator="containsText" text="Yes">
      <formula>NOT(ISERROR(SEARCH(("Yes"),(N395))))</formula>
    </cfRule>
  </conditionalFormatting>
  <conditionalFormatting sqref="N395 O335:O361 O363:O409">
    <cfRule type="containsText" dxfId="2" priority="47463" operator="containsText" text="Yes">
      <formula>NOT(ISERROR(SEARCH(("Yes"),(N395))))</formula>
    </cfRule>
  </conditionalFormatting>
  <conditionalFormatting sqref="N395 O335:O361 O363:O409">
    <cfRule type="containsText" dxfId="2" priority="47464" operator="containsText" text="Yes">
      <formula>NOT(ISERROR(SEARCH(("Yes"),(N395))))</formula>
    </cfRule>
  </conditionalFormatting>
  <conditionalFormatting sqref="N395 O335:O361 O363:O409">
    <cfRule type="containsText" dxfId="2" priority="47465" operator="containsText" text="Yes">
      <formula>NOT(ISERROR(SEARCH(("Yes"),(N395))))</formula>
    </cfRule>
  </conditionalFormatting>
  <conditionalFormatting sqref="N395 O335:O361 O363:O409">
    <cfRule type="containsText" dxfId="2" priority="47466" operator="containsText" text="Yes">
      <formula>NOT(ISERROR(SEARCH(("Yes"),(N395))))</formula>
    </cfRule>
  </conditionalFormatting>
  <conditionalFormatting sqref="N395 O335:O361 O363:O409">
    <cfRule type="containsText" dxfId="2" priority="47467" operator="containsText" text="Yes">
      <formula>NOT(ISERROR(SEARCH(("Yes"),(N395))))</formula>
    </cfRule>
  </conditionalFormatting>
  <conditionalFormatting sqref="N395 O335:O361 O363:O409">
    <cfRule type="containsText" dxfId="2" priority="47468" operator="containsText" text="Yes">
      <formula>NOT(ISERROR(SEARCH(("Yes"),(N395))))</formula>
    </cfRule>
  </conditionalFormatting>
  <conditionalFormatting sqref="N395 O335:O361 O363:O409">
    <cfRule type="containsText" dxfId="2" priority="47469" operator="containsText" text="Yes">
      <formula>NOT(ISERROR(SEARCH(("Yes"),(N395))))</formula>
    </cfRule>
  </conditionalFormatting>
  <conditionalFormatting sqref="N395 O335:O361 O363:O409">
    <cfRule type="containsText" dxfId="2" priority="47470" operator="containsText" text="Yes">
      <formula>NOT(ISERROR(SEARCH(("Yes"),(N395))))</formula>
    </cfRule>
  </conditionalFormatting>
  <conditionalFormatting sqref="N395 O335:O361 O363:O409">
    <cfRule type="containsText" dxfId="2" priority="47471" operator="containsText" text="Yes">
      <formula>NOT(ISERROR(SEARCH(("Yes"),(N395))))</formula>
    </cfRule>
  </conditionalFormatting>
  <conditionalFormatting sqref="N395 O335:O361 O363:O409">
    <cfRule type="containsText" dxfId="2" priority="47472" operator="containsText" text="Yes">
      <formula>NOT(ISERROR(SEARCH(("Yes"),(N395))))</formula>
    </cfRule>
  </conditionalFormatting>
  <conditionalFormatting sqref="N395 O335:O361 O363:O409">
    <cfRule type="containsText" dxfId="2" priority="47473" operator="containsText" text="Yes">
      <formula>NOT(ISERROR(SEARCH(("Yes"),(N395))))</formula>
    </cfRule>
  </conditionalFormatting>
  <conditionalFormatting sqref="N395 O335:O361 O363:O409">
    <cfRule type="containsText" dxfId="2" priority="47474" operator="containsText" text="Yes">
      <formula>NOT(ISERROR(SEARCH(("Yes"),(N395))))</formula>
    </cfRule>
  </conditionalFormatting>
  <conditionalFormatting sqref="N395 O335:O361 O363:O409">
    <cfRule type="containsText" dxfId="2" priority="47475" operator="containsText" text="Yes">
      <formula>NOT(ISERROR(SEARCH(("Yes"),(N395))))</formula>
    </cfRule>
  </conditionalFormatting>
  <conditionalFormatting sqref="N395 O335:O361 O363:O409">
    <cfRule type="containsText" dxfId="2" priority="47476" operator="containsText" text="Yes">
      <formula>NOT(ISERROR(SEARCH(("Yes"),(N395))))</formula>
    </cfRule>
  </conditionalFormatting>
  <conditionalFormatting sqref="N395 O335:O361 O363:O409">
    <cfRule type="containsText" dxfId="2" priority="47477" operator="containsText" text="Yes">
      <formula>NOT(ISERROR(SEARCH(("Yes"),(N395))))</formula>
    </cfRule>
  </conditionalFormatting>
  <conditionalFormatting sqref="N395 O335:O361 O363:O409">
    <cfRule type="containsText" dxfId="2" priority="47478" operator="containsText" text="Yes">
      <formula>NOT(ISERROR(SEARCH(("Yes"),(N395))))</formula>
    </cfRule>
  </conditionalFormatting>
  <conditionalFormatting sqref="N395 O335:O361 O363:O409">
    <cfRule type="containsText" dxfId="2" priority="47479" operator="containsText" text="Yes">
      <formula>NOT(ISERROR(SEARCH(("Yes"),(N395))))</formula>
    </cfRule>
  </conditionalFormatting>
  <conditionalFormatting sqref="N395 O335:O361 O363:O409">
    <cfRule type="containsText" dxfId="2" priority="47480" operator="containsText" text="Yes">
      <formula>NOT(ISERROR(SEARCH(("Yes"),(N395))))</formula>
    </cfRule>
  </conditionalFormatting>
  <conditionalFormatting sqref="O361 O363 O365:O366 O372 O374 O376 O379 O381:O382 O384:O385 O389:O390 O393:O394 O396 O399:O409">
    <cfRule type="containsText" dxfId="9" priority="47481" operator="containsText" text="No">
      <formula>NOT(ISERROR(SEARCH(("No"),(O361))))</formula>
    </cfRule>
  </conditionalFormatting>
  <conditionalFormatting sqref="O361 O363 O365:O366 O372 O374 O376 O379 O381:O382 O384:O385 O389:O390 O393:O394 O396 O399:O409">
    <cfRule type="containsText" dxfId="9" priority="47482" operator="containsText" text="No">
      <formula>NOT(ISERROR(SEARCH(("No"),(O361))))</formula>
    </cfRule>
  </conditionalFormatting>
  <conditionalFormatting sqref="O361 O363 O365:O366 O372 O374 O376 O379 O381:O382 O384:O385 O389:O390 O393:O394 O396 O399:O409">
    <cfRule type="containsText" dxfId="9" priority="47483" operator="containsText" text="No">
      <formula>NOT(ISERROR(SEARCH(("No"),(O361))))</formula>
    </cfRule>
  </conditionalFormatting>
  <conditionalFormatting sqref="O361 O363 O365:O366 O372 O374 O376 O379 O381:O382 O384:O385 O389:O390 O393:O394 O396 O399:O409">
    <cfRule type="containsText" dxfId="2" priority="47484" operator="containsText" text="Yes">
      <formula>NOT(ISERROR(SEARCH(("Yes"),(O361))))</formula>
    </cfRule>
  </conditionalFormatting>
  <conditionalFormatting sqref="O361 O363 O365:O366 O372 O374 O376 O379 O381:O382 O384:O385 O389:O390 O393:O394 O396 O399:O409">
    <cfRule type="containsText" dxfId="2" priority="47485" operator="containsText" text="Yes">
      <formula>NOT(ISERROR(SEARCH(("Yes"),(O361))))</formula>
    </cfRule>
  </conditionalFormatting>
  <conditionalFormatting sqref="O361 O363 O365:O366 O372 O374 O376 O379 O381:O382 O384:O385 O389:O390 O393:O394 O396 O399:O409">
    <cfRule type="containsText" dxfId="2" priority="47486" operator="containsText" text="Yes">
      <formula>NOT(ISERROR(SEARCH(("Yes"),(O361))))</formula>
    </cfRule>
  </conditionalFormatting>
  <conditionalFormatting sqref="O361 O363 O365:O366 O372 O374 O376 O379 O381:O382 O384:O385 O389:O390 O393:O394 O396 O399:O409">
    <cfRule type="containsText" dxfId="2" priority="47487" operator="containsText" text="Yes">
      <formula>NOT(ISERROR(SEARCH(("Yes"),(O361))))</formula>
    </cfRule>
  </conditionalFormatting>
  <conditionalFormatting sqref="O361 O363 O365:O366 O372 O374 O376 O379 O381:O382 O384:O385 O389:O390 O393:O394 O396 O399:O409">
    <cfRule type="containsText" dxfId="2" priority="47488" operator="containsText" text="Yes">
      <formula>NOT(ISERROR(SEARCH(("Yes"),(O361))))</formula>
    </cfRule>
  </conditionalFormatting>
  <conditionalFormatting sqref="O361 O363 O365:O366 O372 O374 O376 O379 O381:O382 O384:O385 O389:O390 O393:O394 O396 O399:O409">
    <cfRule type="containsText" dxfId="9" priority="47489" operator="containsText" text="No">
      <formula>NOT(ISERROR(SEARCH(("No"),(O361))))</formula>
    </cfRule>
  </conditionalFormatting>
  <conditionalFormatting sqref="O361 O363 O365:O366 O372 O374 O376 O379 O381:O382 O384:O385 O389:O390 O393:O394 O396 O399:O409">
    <cfRule type="containsText" dxfId="9" priority="47490" operator="containsText" text="No">
      <formula>NOT(ISERROR(SEARCH(("No"),(O361))))</formula>
    </cfRule>
  </conditionalFormatting>
  <conditionalFormatting sqref="O361 O363 O365:O366 O372 O374 O376 O379 O381:O382 O384:O385 O389:O390 O393:O394 O396 O399:O409">
    <cfRule type="containsText" dxfId="2" priority="47491" operator="containsText" text="Yes">
      <formula>NOT(ISERROR(SEARCH(("Yes"),(O361))))</formula>
    </cfRule>
  </conditionalFormatting>
  <conditionalFormatting sqref="O362 P361:Q361 P363:Q363 P365:Q366 P372:Q372 P374:Q374 P376:Q376 P381:Q382 P384:Q385 P389:Q390 P393:Q394 P396:Q396 P399:Q409">
    <cfRule type="containsText" dxfId="9" priority="47492" operator="containsText" text="No">
      <formula>NOT(ISERROR(SEARCH(("No"),(O362))))</formula>
    </cfRule>
  </conditionalFormatting>
  <conditionalFormatting sqref="O362 P361:Q361 P363:Q363 P365:Q366 P372:Q372 P374:Q374 P376:Q376 P381:Q382 P384:Q385 P389:Q390 P393:Q394 P396:Q396 P399:Q409">
    <cfRule type="containsText" dxfId="9" priority="47493" operator="containsText" text="No">
      <formula>NOT(ISERROR(SEARCH(("No"),(O362))))</formula>
    </cfRule>
  </conditionalFormatting>
  <conditionalFormatting sqref="O362 P361:Q361 P363:Q363 P365:Q366 P372:Q372 P374:Q374 P376:Q376 P381:Q382 P384:Q385 P389:Q390 P393:Q394 P396:Q396 P399:Q409">
    <cfRule type="containsText" dxfId="9" priority="47494" operator="containsText" text="No">
      <formula>NOT(ISERROR(SEARCH(("No"),(O362))))</formula>
    </cfRule>
  </conditionalFormatting>
  <conditionalFormatting sqref="O362 P361:Q361 P363:Q363 P365:Q366 P372:Q372 P374:Q374 P376:Q376 P381:Q382 P384:Q385 P389:Q390 P393:Q394 P396:Q396 P399:Q409">
    <cfRule type="containsText" dxfId="9" priority="47495" operator="containsText" text="No">
      <formula>NOT(ISERROR(SEARCH(("No"),(O362))))</formula>
    </cfRule>
  </conditionalFormatting>
  <conditionalFormatting sqref="O362 P361:Q361 P363:Q363 P365:Q366 P372:Q372 P374:Q374 P376:Q376 P381:Q382 P384:Q385 P389:Q390 P393:Q394 P396:Q396 P399:Q409">
    <cfRule type="containsText" dxfId="9" priority="47496" operator="containsText" text="No">
      <formula>NOT(ISERROR(SEARCH(("No"),(O362))))</formula>
    </cfRule>
  </conditionalFormatting>
  <conditionalFormatting sqref="O362 P361:Q361 P363:Q363 P365:Q366 P372:Q372 P374:Q374 P376:Q376 P381:Q382 P384:Q385 P389:Q390 P393:Q394 P396:Q396 P399:Q409">
    <cfRule type="containsText" dxfId="9" priority="47497" operator="containsText" text="No">
      <formula>NOT(ISERROR(SEARCH(("No"),(O362))))</formula>
    </cfRule>
  </conditionalFormatting>
  <conditionalFormatting sqref="O362 P361:Q361 P363:Q363 P365:Q366 P372:Q372 P374:Q374 P376:Q376 P381:Q382 P384:Q385 P389:Q390 P393:Q394 P396:Q396 P399:Q409">
    <cfRule type="containsText" dxfId="9" priority="47498" operator="containsText" text="No">
      <formula>NOT(ISERROR(SEARCH(("No"),(O362))))</formula>
    </cfRule>
  </conditionalFormatting>
  <conditionalFormatting sqref="O362 P361:Q361 P363:Q363 P365:Q366 P372:Q372 P374:Q374 P376:Q376 P381:Q382 P384:Q385 P389:Q390 P393:Q394 P396:Q396 P399:Q409">
    <cfRule type="containsText" dxfId="9" priority="47499" operator="containsText" text="No">
      <formula>NOT(ISERROR(SEARCH(("No"),(O362))))</formula>
    </cfRule>
  </conditionalFormatting>
  <conditionalFormatting sqref="O362 P361:Q361 P363:Q363 P365:Q366 P372:Q372 P374:Q374 P376:Q376 P381:Q382 P384:Q385 P389:Q390 P393:Q394 P396:Q396 P399:Q409">
    <cfRule type="containsText" dxfId="9" priority="47500" operator="containsText" text="No">
      <formula>NOT(ISERROR(SEARCH(("No"),(O362))))</formula>
    </cfRule>
  </conditionalFormatting>
  <conditionalFormatting sqref="O362 P361:Q361 P363:Q363 P365:Q366 P372:Q372 P374:Q374 P376:Q376 P381:Q382 P384:Q385 P389:Q390 P393:Q394 P396:Q396 P399:Q409">
    <cfRule type="containsText" dxfId="9" priority="47501" operator="containsText" text="No">
      <formula>NOT(ISERROR(SEARCH(("No"),(O362))))</formula>
    </cfRule>
  </conditionalFormatting>
  <conditionalFormatting sqref="O362 P361:Q361 P363:Q363 P365:Q366 P372:Q372 P374:Q374 P376:Q376 P381:Q382 P384:Q385 P389:Q390 P393:Q394 P396:Q396 P399:Q409">
    <cfRule type="containsText" dxfId="9" priority="47502" operator="containsText" text="No">
      <formula>NOT(ISERROR(SEARCH(("No"),(O362))))</formula>
    </cfRule>
  </conditionalFormatting>
  <conditionalFormatting sqref="O362 P361:Q361 P363:Q363 P365:Q366 P372:Q372 P374:Q374 P376:Q376 P381:Q382 P384:Q385 P389:Q390 P393:Q394 P396:Q396 P399:Q409">
    <cfRule type="containsText" dxfId="9" priority="47503" operator="containsText" text="No">
      <formula>NOT(ISERROR(SEARCH(("No"),(O362))))</formula>
    </cfRule>
  </conditionalFormatting>
  <conditionalFormatting sqref="O362 P361:Q361 P363:Q363 P365:Q366 P372:Q372 P374:Q374 P376:Q376 P381:Q382 P384:Q385 P389:Q390 P393:Q394 P396:Q396 P399:Q409">
    <cfRule type="containsText" dxfId="9" priority="47504" operator="containsText" text="No">
      <formula>NOT(ISERROR(SEARCH(("No"),(O362))))</formula>
    </cfRule>
  </conditionalFormatting>
  <conditionalFormatting sqref="O362 P361:Q361 P363:Q363 P365:Q366 P372:Q372 P374:Q374 P376:Q376 P381:Q382 P384:Q385 P389:Q390 P393:Q394 P396:Q396 P399:Q409">
    <cfRule type="containsText" dxfId="9" priority="47505" operator="containsText" text="No">
      <formula>NOT(ISERROR(SEARCH(("No"),(O362))))</formula>
    </cfRule>
  </conditionalFormatting>
  <conditionalFormatting sqref="O362 P361:Q361 P363:Q363 P365:Q366 P372:Q372 P374:Q374 P376:Q376 P381:Q382 P384:Q385 P389:Q390 P393:Q394 P396:Q396 P399:Q409">
    <cfRule type="containsText" dxfId="9" priority="47506" operator="containsText" text="No">
      <formula>NOT(ISERROR(SEARCH(("No"),(O362))))</formula>
    </cfRule>
  </conditionalFormatting>
  <conditionalFormatting sqref="O362 P361:Q361 P363:Q363 P365:Q366 P372:Q372 P374:Q374 P376:Q376 P381:Q382 P384:Q385 P389:Q390 P393:Q394 P396:Q396 P399:Q409">
    <cfRule type="containsText" dxfId="9" priority="47507" operator="containsText" text="No">
      <formula>NOT(ISERROR(SEARCH(("No"),(O362))))</formula>
    </cfRule>
  </conditionalFormatting>
  <conditionalFormatting sqref="O362 P361:Q361 P363:Q363 P365:Q366 P372:Q372 P374:Q374 P376:Q376 P381:Q382 P384:Q385 P389:Q390 P393:Q394 P396:Q396 P399:Q409">
    <cfRule type="containsText" dxfId="9" priority="47508" operator="containsText" text="No">
      <formula>NOT(ISERROR(SEARCH(("No"),(O362))))</formula>
    </cfRule>
  </conditionalFormatting>
  <conditionalFormatting sqref="O362 P361:Q361 P363:Q363 P365:Q366 P372:Q372 P374:Q374 P376:Q376 P381:Q382 P384:Q385 P389:Q390 P393:Q394 P396:Q396 P399:Q409">
    <cfRule type="containsText" dxfId="9" priority="47509" operator="containsText" text="No">
      <formula>NOT(ISERROR(SEARCH(("No"),(O362))))</formula>
    </cfRule>
  </conditionalFormatting>
  <conditionalFormatting sqref="O362 P361:Q361 P363:Q363 P365:Q366 P372:Q372 P374:Q374 P376:Q376 P381:Q382 P384:Q385 P389:Q390 P393:Q394 P396:Q396 P399:Q409">
    <cfRule type="containsText" dxfId="9" priority="47510" operator="containsText" text="No">
      <formula>NOT(ISERROR(SEARCH(("No"),(O362))))</formula>
    </cfRule>
  </conditionalFormatting>
  <conditionalFormatting sqref="O362 P361:Q361 P363:Q363 P365:Q366 P372:Q372 P374:Q374 P376:Q376 P381:Q382 P384:Q385 P389:Q390 P393:Q394 P396:Q396 P399:Q409">
    <cfRule type="containsText" dxfId="9" priority="47511" operator="containsText" text="No">
      <formula>NOT(ISERROR(SEARCH(("No"),(O362))))</formula>
    </cfRule>
  </conditionalFormatting>
  <conditionalFormatting sqref="O362 P361:Q361 P363:Q363 P365:Q366 P372:Q372 P374:Q374 P376:Q376 P381:Q382 P384:Q385 P389:Q390 P393:Q394 P396:Q396 P399:Q409">
    <cfRule type="containsText" dxfId="9" priority="47512" operator="containsText" text="No">
      <formula>NOT(ISERROR(SEARCH(("No"),(O362))))</formula>
    </cfRule>
  </conditionalFormatting>
  <conditionalFormatting sqref="O362 P361:Q361 P363:Q363 P365:Q366 P372:Q372 P374:Q374 P376:Q376 P381:Q382 P384:Q385 P389:Q390 P393:Q394 P396:Q396 P399:Q409">
    <cfRule type="containsText" dxfId="9" priority="47513" operator="containsText" text="No">
      <formula>NOT(ISERROR(SEARCH(("No"),(O362))))</formula>
    </cfRule>
  </conditionalFormatting>
  <conditionalFormatting sqref="O362 P361:Q361 P363:Q363 P365:Q366 P372:Q372 P374:Q374 P376:Q376 P381:Q382 P384:Q385 P389:Q390 P393:Q394 P396:Q396 P399:Q409">
    <cfRule type="containsText" dxfId="9" priority="47514" operator="containsText" text="No">
      <formula>NOT(ISERROR(SEARCH(("No"),(O362))))</formula>
    </cfRule>
  </conditionalFormatting>
  <conditionalFormatting sqref="O362 P361:Q361 P363:Q363 P365:Q366 P372:Q372 P374:Q374 P376:Q376 P381:Q382 P384:Q385 P389:Q390 P393:Q394 P396:Q396 P399:Q409">
    <cfRule type="containsText" dxfId="9" priority="47515" operator="containsText" text="No">
      <formula>NOT(ISERROR(SEARCH(("No"),(O362))))</formula>
    </cfRule>
  </conditionalFormatting>
  <conditionalFormatting sqref="O362 P361:Q361 P363:Q363 P365:Q366 P372:Q372 P374:Q374 P376:Q376 P381:Q382 P384:Q385 P389:Q390 P393:Q394 P396:Q396 P399:Q409">
    <cfRule type="containsText" dxfId="9" priority="47516" operator="containsText" text="No">
      <formula>NOT(ISERROR(SEARCH(("No"),(O362))))</formula>
    </cfRule>
  </conditionalFormatting>
  <conditionalFormatting sqref="O362 P361:Q361 P363:Q363 P365:Q366 P372:Q372 P374:Q374 P376:Q376 P381:Q382 P384:Q385 P389:Q390 P393:Q394 P396:Q396 P399:Q409">
    <cfRule type="containsText" dxfId="9" priority="47517" operator="containsText" text="No">
      <formula>NOT(ISERROR(SEARCH(("No"),(O362))))</formula>
    </cfRule>
  </conditionalFormatting>
  <conditionalFormatting sqref="O362 P361:Q361 P363:Q363 P365:Q366 P372:Q372 P374:Q374 P376:Q376 P381:Q382 P384:Q385 P389:Q390 P393:Q394 P396:Q396 P399:Q409">
    <cfRule type="containsText" dxfId="9" priority="47518" operator="containsText" text="No">
      <formula>NOT(ISERROR(SEARCH(("No"),(O362))))</formula>
    </cfRule>
  </conditionalFormatting>
  <conditionalFormatting sqref="O362 P361:Q361 P363:Q363 P365:Q366 P372:Q372 P374:Q374 P376:Q376 P381:Q382 P384:Q385 P389:Q390 P393:Q394 P396:Q396 P399:Q409">
    <cfRule type="containsText" dxfId="9" priority="47519" operator="containsText" text="No">
      <formula>NOT(ISERROR(SEARCH(("No"),(O362))))</formula>
    </cfRule>
  </conditionalFormatting>
  <conditionalFormatting sqref="O362 P361:Q361 P363:Q363 P365:Q366 P372:Q372 P374:Q374 P376:Q376 P381:Q382 P384:Q385 P389:Q390 P393:Q394 P396:Q396 P399:Q409">
    <cfRule type="containsText" dxfId="9" priority="47520" operator="containsText" text="No">
      <formula>NOT(ISERROR(SEARCH(("No"),(O362))))</formula>
    </cfRule>
  </conditionalFormatting>
  <conditionalFormatting sqref="O362 P361:Q361 P363:Q363 P365:Q366 P372:Q372 P374:Q374 P376:Q376 P381:Q382 P384:Q385 P389:Q390 P393:Q394 P396:Q396 P399:Q409">
    <cfRule type="containsText" dxfId="9" priority="47521" operator="containsText" text="No">
      <formula>NOT(ISERROR(SEARCH(("No"),(O362))))</formula>
    </cfRule>
  </conditionalFormatting>
  <conditionalFormatting sqref="O362 P361:Q361 P363:Q363 P365:Q366 P372:Q372 P374:Q374 P376:Q376 P381:Q382 P384:Q385 P389:Q390 P393:Q394 P396:Q396 P399:Q409">
    <cfRule type="containsText" dxfId="9" priority="47522" operator="containsText" text="No">
      <formula>NOT(ISERROR(SEARCH(("No"),(O362))))</formula>
    </cfRule>
  </conditionalFormatting>
  <conditionalFormatting sqref="O362 P361:Q361 P363:Q363 P365:Q366 P372:Q372 P374:Q374 P376:Q376 P381:Q382 P384:Q385 P389:Q390 P393:Q394 P396:Q396 P399:Q409">
    <cfRule type="containsText" dxfId="9" priority="47523" operator="containsText" text="No">
      <formula>NOT(ISERROR(SEARCH(("No"),(O362))))</formula>
    </cfRule>
  </conditionalFormatting>
  <conditionalFormatting sqref="O362 P361:Q361 P363:Q363 P365:Q366 P372:Q372 P374:Q374 P376:Q376 P381:Q382 P384:Q385 P389:Q390 P393:Q394 P396:Q396 P399:Q409">
    <cfRule type="containsText" dxfId="9" priority="47524" operator="containsText" text="No">
      <formula>NOT(ISERROR(SEARCH(("No"),(O362))))</formula>
    </cfRule>
  </conditionalFormatting>
  <conditionalFormatting sqref="O362 P361:Q361 P363:Q363 P365:Q366 P372:Q372 P374:Q374 P376:Q376 P381:Q382 P384:Q385 P389:Q390 P393:Q394 P396:Q396 P399:Q409">
    <cfRule type="containsText" dxfId="9" priority="47525" operator="containsText" text="No">
      <formula>NOT(ISERROR(SEARCH(("No"),(O362))))</formula>
    </cfRule>
  </conditionalFormatting>
  <conditionalFormatting sqref="O362 P361:Q361 P363:Q363 P365:Q366 P372:Q372 P374:Q374 P376:Q376 P381:Q382 P384:Q385 P389:Q390 P393:Q394 P396:Q396 P399:Q409">
    <cfRule type="containsText" dxfId="9" priority="47526" operator="containsText" text="No">
      <formula>NOT(ISERROR(SEARCH(("No"),(O362))))</formula>
    </cfRule>
  </conditionalFormatting>
  <conditionalFormatting sqref="O362 P361:Q361 P363:Q363 P365:Q366 P372:Q372 P374:Q374 P376:Q376 P381:Q382 P384:Q385 P389:Q390 P393:Q394 P396:Q396 P399:Q409">
    <cfRule type="containsText" dxfId="9" priority="47527" operator="containsText" text="No">
      <formula>NOT(ISERROR(SEARCH(("No"),(O362))))</formula>
    </cfRule>
  </conditionalFormatting>
  <conditionalFormatting sqref="O362 P361:Q361 P363:Q363 P365:Q366 P372:Q372 P374:Q374 P376:Q376 P381:Q382 P384:Q385 P389:Q390 P393:Q394 P396:Q396 P399:Q409">
    <cfRule type="containsText" dxfId="9" priority="47528" operator="containsText" text="No">
      <formula>NOT(ISERROR(SEARCH(("No"),(O362))))</formula>
    </cfRule>
  </conditionalFormatting>
  <conditionalFormatting sqref="O362 P361:Q361 P363:Q363 P365:Q366 P372:Q372 P374:Q374 P376:Q376 P381:Q382 P384:Q385 P389:Q390 P393:Q394 P396:Q396 P399:Q409">
    <cfRule type="containsText" dxfId="9" priority="47529" operator="containsText" text="No">
      <formula>NOT(ISERROR(SEARCH(("No"),(O362))))</formula>
    </cfRule>
  </conditionalFormatting>
  <conditionalFormatting sqref="O362 P361:Q361 P363:Q363 P365:Q366 P372:Q372 P374:Q374 P376:Q376 P381:Q382 P384:Q385 P389:Q390 P393:Q394 P396:Q396 P399:Q409">
    <cfRule type="containsText" dxfId="9" priority="47530" operator="containsText" text="No">
      <formula>NOT(ISERROR(SEARCH(("No"),(O362))))</formula>
    </cfRule>
  </conditionalFormatting>
  <conditionalFormatting sqref="O362 P361:Q361 P363:Q363 P365:Q366 P372:Q372 P374:Q374 P376:Q376 P381:Q382 P384:Q385 P389:Q390 P393:Q394 P396:Q396 P399:Q409">
    <cfRule type="containsText" dxfId="9" priority="47531" operator="containsText" text="No">
      <formula>NOT(ISERROR(SEARCH(("No"),(O362))))</formula>
    </cfRule>
  </conditionalFormatting>
  <conditionalFormatting sqref="O362 P361:Q361 P363:Q363 P365:Q366 P372:Q372 P374:Q374 P376:Q376 P381:Q382 P384:Q385 P389:Q390 P393:Q394 P396:Q396 P399:Q409">
    <cfRule type="containsText" dxfId="9" priority="47532" operator="containsText" text="No">
      <formula>NOT(ISERROR(SEARCH(("No"),(O362))))</formula>
    </cfRule>
  </conditionalFormatting>
  <conditionalFormatting sqref="O362 P361:Q361 P363:Q363 P365:Q366 P372:Q372 P374:Q374 P376:Q376 P381:Q382 P384:Q385 P389:Q390 P393:Q394 P396:Q396 P399:Q409">
    <cfRule type="containsText" dxfId="9" priority="47533" operator="containsText" text="No">
      <formula>NOT(ISERROR(SEARCH(("No"),(O362))))</formula>
    </cfRule>
  </conditionalFormatting>
  <conditionalFormatting sqref="O362 P361:Q361 P363:Q363 P365:Q366 P372:Q372 P374:Q374 P376:Q376 P381:Q382 P384:Q385 P389:Q390 P393:Q394 P396:Q396 P399:Q409">
    <cfRule type="containsText" dxfId="9" priority="47534" operator="containsText" text="No">
      <formula>NOT(ISERROR(SEARCH(("No"),(O362))))</formula>
    </cfRule>
  </conditionalFormatting>
  <conditionalFormatting sqref="O362 P361:Q361 P363:Q363 P365:Q366 P372:Q372 P374:Q374 P376:Q376 P381:Q382 P384:Q385 P389:Q390 P393:Q394 P396:Q396 P399:Q409">
    <cfRule type="containsText" dxfId="9" priority="47535" operator="containsText" text="No">
      <formula>NOT(ISERROR(SEARCH(("No"),(O362))))</formula>
    </cfRule>
  </conditionalFormatting>
  <conditionalFormatting sqref="O362 P361:Q361 P363:Q363 P365:Q366 P372:Q372 P374:Q374 P376:Q376 P381:Q382 P384:Q385 P389:Q390 P393:Q394 P396:Q396 P399:Q409">
    <cfRule type="containsText" dxfId="9" priority="47536" operator="containsText" text="No">
      <formula>NOT(ISERROR(SEARCH(("No"),(O362))))</formula>
    </cfRule>
  </conditionalFormatting>
  <conditionalFormatting sqref="O362 P361:Q361 P363:Q363 P365:Q366 P372:Q372 P374:Q374 P376:Q376 P381:Q382 P384:Q385 P389:Q390 P393:Q394 P396:Q396 P399:Q409">
    <cfRule type="containsText" dxfId="2" priority="47537" operator="containsText" text="Yes">
      <formula>NOT(ISERROR(SEARCH(("Yes"),(O362))))</formula>
    </cfRule>
  </conditionalFormatting>
  <conditionalFormatting sqref="O362 P361:Q361 P363:Q363 P365:Q366 P372:Q372 P374:Q374 P376:Q376 P381:Q382 P384:Q385 P389:Q390 P393:Q394 P396:Q396 P399:Q409">
    <cfRule type="containsText" dxfId="2" priority="47538" operator="containsText" text="Yes">
      <formula>NOT(ISERROR(SEARCH(("Yes"),(O362))))</formula>
    </cfRule>
  </conditionalFormatting>
  <conditionalFormatting sqref="O362 P361:Q361 P363:Q363 P365:Q366 P372:Q372 P374:Q374 P376:Q376 P381:Q382 P384:Q385 P389:Q390 P393:Q394 P396:Q396 P399:Q409">
    <cfRule type="containsText" dxfId="2" priority="47539" operator="containsText" text="Yes">
      <formula>NOT(ISERROR(SEARCH(("Yes"),(O362))))</formula>
    </cfRule>
  </conditionalFormatting>
  <conditionalFormatting sqref="O362 P361:Q361 P363:Q363 P365:Q366 P372:Q372 P374:Q374 P376:Q376 P381:Q382 P384:Q385 P389:Q390 P393:Q394 P396:Q396 P399:Q409">
    <cfRule type="containsText" dxfId="2" priority="47540" operator="containsText" text="Yes">
      <formula>NOT(ISERROR(SEARCH(("Yes"),(O362))))</formula>
    </cfRule>
  </conditionalFormatting>
  <conditionalFormatting sqref="O362 P361:Q361 P363:Q363 P365:Q366 P372:Q372 P374:Q374 P376:Q376 P381:Q382 P384:Q385 P389:Q390 P393:Q394 P396:Q396 P399:Q409">
    <cfRule type="containsText" dxfId="2" priority="47541" operator="containsText" text="Yes">
      <formula>NOT(ISERROR(SEARCH(("Yes"),(O362))))</formula>
    </cfRule>
  </conditionalFormatting>
  <conditionalFormatting sqref="O362 P361:Q361 P363:Q363 P365:Q366 P372:Q372 P374:Q374 P376:Q376 P381:Q382 P384:Q385 P389:Q390 P393:Q394 P396:Q396 P399:Q409">
    <cfRule type="containsText" dxfId="2" priority="47542" operator="containsText" text="Yes">
      <formula>NOT(ISERROR(SEARCH(("Yes"),(O362))))</formula>
    </cfRule>
  </conditionalFormatting>
  <conditionalFormatting sqref="O362 P361:Q361 P363:Q363 P365:Q366 P372:Q372 P374:Q374 P376:Q376 P381:Q382 P384:Q385 P389:Q390 P393:Q394 P396:Q396 P399:Q409">
    <cfRule type="containsText" dxfId="2" priority="47543" operator="containsText" text="Yes">
      <formula>NOT(ISERROR(SEARCH(("Yes"),(O362))))</formula>
    </cfRule>
  </conditionalFormatting>
  <conditionalFormatting sqref="O362 P361:Q361 P363:Q363 P365:Q366 P372:Q372 P374:Q374 P376:Q376 P381:Q382 P384:Q385 P389:Q390 P393:Q394 P396:Q396 P399:Q409">
    <cfRule type="containsText" dxfId="2" priority="47544" operator="containsText" text="Yes">
      <formula>NOT(ISERROR(SEARCH(("Yes"),(O362))))</formula>
    </cfRule>
  </conditionalFormatting>
  <conditionalFormatting sqref="O362 P361:Q361 P363:Q363 P365:Q366 P372:Q372 P374:Q374 P376:Q376 P381:Q382 P384:Q385 P389:Q390 P393:Q394 P396:Q396 P399:Q409">
    <cfRule type="containsText" dxfId="2" priority="47545" operator="containsText" text="Yes">
      <formula>NOT(ISERROR(SEARCH(("Yes"),(O362))))</formula>
    </cfRule>
  </conditionalFormatting>
  <conditionalFormatting sqref="O362 P361:Q361 P363:Q363 P365:Q366 P372:Q372 P374:Q374 P376:Q376 P381:Q382 P384:Q385 P389:Q390 P393:Q394 P396:Q396 P399:Q409">
    <cfRule type="containsText" dxfId="2" priority="47546" operator="containsText" text="Yes">
      <formula>NOT(ISERROR(SEARCH(("Yes"),(O362))))</formula>
    </cfRule>
  </conditionalFormatting>
  <conditionalFormatting sqref="O362 P361:Q361 P363:Q363 P365:Q366 P372:Q372 P374:Q374 P376:Q376 P381:Q382 P384:Q385 P389:Q390 P393:Q394 P396:Q396 P399:Q409">
    <cfRule type="containsText" dxfId="2" priority="47547" operator="containsText" text="Yes">
      <formula>NOT(ISERROR(SEARCH(("Yes"),(O362))))</formula>
    </cfRule>
  </conditionalFormatting>
  <conditionalFormatting sqref="O362 P361:Q361 P363:Q363 P365:Q366 P372:Q372 P374:Q374 P376:Q376 P381:Q382 P384:Q385 P389:Q390 P393:Q394 P396:Q396 P399:Q409">
    <cfRule type="containsText" dxfId="2" priority="47548" operator="containsText" text="Yes">
      <formula>NOT(ISERROR(SEARCH(("Yes"),(O362))))</formula>
    </cfRule>
  </conditionalFormatting>
  <conditionalFormatting sqref="O362 P361:Q361 P363:Q363 P365:Q366 P372:Q372 P374:Q374 P376:Q376 P381:Q382 P384:Q385 P389:Q390 P393:Q394 P396:Q396 P399:Q409">
    <cfRule type="containsText" dxfId="2" priority="47549" operator="containsText" text="Yes">
      <formula>NOT(ISERROR(SEARCH(("Yes"),(O362))))</formula>
    </cfRule>
  </conditionalFormatting>
  <conditionalFormatting sqref="O362 P361:Q361 P363:Q363 P365:Q366 P372:Q372 P374:Q374 P376:Q376 P381:Q382 P384:Q385 P389:Q390 P393:Q394 P396:Q396 P399:Q409">
    <cfRule type="containsText" dxfId="2" priority="47550" operator="containsText" text="Yes">
      <formula>NOT(ISERROR(SEARCH(("Yes"),(O362))))</formula>
    </cfRule>
  </conditionalFormatting>
  <conditionalFormatting sqref="O362 P361:Q361 P363:Q363 P365:Q366 P372:Q372 P374:Q374 P376:Q376 P381:Q382 P384:Q385 P389:Q390 P393:Q394 P396:Q396 P399:Q409">
    <cfRule type="containsText" dxfId="2" priority="47551" operator="containsText" text="Yes">
      <formula>NOT(ISERROR(SEARCH(("Yes"),(O362))))</formula>
    </cfRule>
  </conditionalFormatting>
  <conditionalFormatting sqref="O362 P361:Q361 P363:Q363 P365:Q366 P372:Q372 P374:Q374 P376:Q376 P381:Q382 P384:Q385 P389:Q390 P393:Q394 P396:Q396 P399:Q409">
    <cfRule type="containsText" dxfId="2" priority="47552" operator="containsText" text="Yes">
      <formula>NOT(ISERROR(SEARCH(("Yes"),(O362))))</formula>
    </cfRule>
  </conditionalFormatting>
  <conditionalFormatting sqref="O362 P361:Q361 P363:Q363 P365:Q366 P372:Q372 P374:Q374 P376:Q376 P381:Q382 P384:Q385 P389:Q390 P393:Q394 P396:Q396 P399:Q409">
    <cfRule type="containsText" dxfId="2" priority="47553" operator="containsText" text="Yes">
      <formula>NOT(ISERROR(SEARCH(("Yes"),(O362))))</formula>
    </cfRule>
  </conditionalFormatting>
  <conditionalFormatting sqref="O362 P361:Q361 P363:Q363 P365:Q366 P372:Q372 P374:Q374 P376:Q376 P381:Q382 P384:Q385 P389:Q390 P393:Q394 P396:Q396 P399:Q409">
    <cfRule type="containsText" dxfId="2" priority="47554" operator="containsText" text="Yes">
      <formula>NOT(ISERROR(SEARCH(("Yes"),(O362))))</formula>
    </cfRule>
  </conditionalFormatting>
  <conditionalFormatting sqref="O362 P361:Q361 P363:Q363 P365:Q366 P372:Q372 P374:Q374 P376:Q376 P381:Q382 P384:Q385 P389:Q390 P393:Q394 P396:Q396 P399:Q409">
    <cfRule type="containsText" dxfId="2" priority="47555" operator="containsText" text="Yes">
      <formula>NOT(ISERROR(SEARCH(("Yes"),(O362))))</formula>
    </cfRule>
  </conditionalFormatting>
  <conditionalFormatting sqref="O362 P361:Q361 P363:Q363 P365:Q366 P372:Q372 P374:Q374 P376:Q376 P381:Q382 P384:Q385 P389:Q390 P393:Q394 P396:Q396 P399:Q409">
    <cfRule type="containsText" dxfId="2" priority="47556" operator="containsText" text="Yes">
      <formula>NOT(ISERROR(SEARCH(("Yes"),(O362))))</formula>
    </cfRule>
  </conditionalFormatting>
  <conditionalFormatting sqref="O362 P361:Q361 P363:Q363 P365:Q366 P372:Q372 P374:Q374 P376:Q376 P381:Q382 P384:Q385 P389:Q390 P393:Q394 P396:Q396 P399:Q409">
    <cfRule type="containsText" dxfId="2" priority="47557" operator="containsText" text="Yes">
      <formula>NOT(ISERROR(SEARCH(("Yes"),(O362))))</formula>
    </cfRule>
  </conditionalFormatting>
  <conditionalFormatting sqref="O362 P361:Q361 P363:Q363 P365:Q366 P372:Q372 P374:Q374 P376:Q376 P381:Q382 P384:Q385 P389:Q390 P393:Q394 P396:Q396 P399:Q409">
    <cfRule type="containsText" dxfId="2" priority="47558" operator="containsText" text="Yes">
      <formula>NOT(ISERROR(SEARCH(("Yes"),(O362))))</formula>
    </cfRule>
  </conditionalFormatting>
  <conditionalFormatting sqref="O362 P361:Q361 P363:Q363 P365:Q366 P372:Q372 P374:Q374 P376:Q376 P381:Q382 P384:Q385 P389:Q390 P393:Q394 P396:Q396 P399:Q409">
    <cfRule type="containsText" dxfId="2" priority="47559" operator="containsText" text="Yes">
      <formula>NOT(ISERROR(SEARCH(("Yes"),(O362))))</formula>
    </cfRule>
  </conditionalFormatting>
  <conditionalFormatting sqref="O362 P361:Q361 P363:Q363 P365:Q366 P372:Q372 P374:Q374 P376:Q376 P381:Q382 P384:Q385 P389:Q390 P393:Q394 P396:Q396 P399:Q409">
    <cfRule type="containsText" dxfId="2" priority="47560" operator="containsText" text="Yes">
      <formula>NOT(ISERROR(SEARCH(("Yes"),(O362))))</formula>
    </cfRule>
  </conditionalFormatting>
  <conditionalFormatting sqref="O362 P361:Q361 P363:Q363 P365:Q366 P372:Q372 P374:Q374 P376:Q376 P381:Q382 P384:Q385 P389:Q390 P393:Q394 P396:Q396 P399:Q409">
    <cfRule type="containsText" dxfId="2" priority="47561" operator="containsText" text="Yes">
      <formula>NOT(ISERROR(SEARCH(("Yes"),(O362))))</formula>
    </cfRule>
  </conditionalFormatting>
  <conditionalFormatting sqref="O362 P361:Q361 P363:Q363 P365:Q366 P372:Q372 P374:Q374 P376:Q376 P381:Q382 P384:Q385 P389:Q390 P393:Q394 P396:Q396 P399:Q409">
    <cfRule type="containsText" dxfId="2" priority="47562" operator="containsText" text="Yes">
      <formula>NOT(ISERROR(SEARCH(("Yes"),(O362))))</formula>
    </cfRule>
  </conditionalFormatting>
  <conditionalFormatting sqref="O362 P361:Q361 P363:Q363 P365:Q366 P372:Q372 P374:Q374 P376:Q376 P381:Q382 P384:Q385 P389:Q390 P393:Q394 P396:Q396 P399:Q409">
    <cfRule type="containsText" dxfId="2" priority="47563" operator="containsText" text="Yes">
      <formula>NOT(ISERROR(SEARCH(("Yes"),(O362))))</formula>
    </cfRule>
  </conditionalFormatting>
  <conditionalFormatting sqref="O362 P361:Q361 P363:Q363 P365:Q366 P372:Q372 P374:Q374 P376:Q376 P381:Q382 P384:Q385 P389:Q390 P393:Q394 P396:Q396 P399:Q409">
    <cfRule type="containsText" dxfId="2" priority="47564" operator="containsText" text="Yes">
      <formula>NOT(ISERROR(SEARCH(("Yes"),(O362))))</formula>
    </cfRule>
  </conditionalFormatting>
  <conditionalFormatting sqref="O362 P361:Q361 P363:Q363 P365:Q366 P372:Q372 P374:Q374 P376:Q376 P381:Q382 P384:Q385 P389:Q390 P393:Q394 P396:Q396 P399:Q409">
    <cfRule type="containsText" dxfId="2" priority="47565" operator="containsText" text="Yes">
      <formula>NOT(ISERROR(SEARCH(("Yes"),(O362))))</formula>
    </cfRule>
  </conditionalFormatting>
  <conditionalFormatting sqref="O362 P361:Q361 P363:Q363 P365:Q366 P372:Q372 P374:Q374 P376:Q376 P381:Q382 P384:Q385 P389:Q390 P393:Q394 P396:Q396 P399:Q409">
    <cfRule type="containsText" dxfId="2" priority="47566" operator="containsText" text="Yes">
      <formula>NOT(ISERROR(SEARCH(("Yes"),(O362))))</formula>
    </cfRule>
  </conditionalFormatting>
  <conditionalFormatting sqref="O362 P361:Q361 P363:Q363 P365:Q366 P372:Q372 P374:Q374 P376:Q376 P381:Q382 P384:Q385 P389:Q390 P393:Q394 P396:Q396 P399:Q409">
    <cfRule type="containsText" dxfId="2" priority="47567" operator="containsText" text="Yes">
      <formula>NOT(ISERROR(SEARCH(("Yes"),(O362))))</formula>
    </cfRule>
  </conditionalFormatting>
  <conditionalFormatting sqref="O362 P361:Q361 P363:Q363 P365:Q366 P372:Q372 P374:Q374 P376:Q376 P381:Q382 P384:Q385 P389:Q390 P393:Q394 P396:Q396 P399:Q409">
    <cfRule type="containsText" dxfId="2" priority="47568" operator="containsText" text="Yes">
      <formula>NOT(ISERROR(SEARCH(("Yes"),(O362))))</formula>
    </cfRule>
  </conditionalFormatting>
  <conditionalFormatting sqref="O362 P361:Q361 P363:Q363 P365:Q366 P372:Q372 P374:Q374 P376:Q376 P381:Q382 P384:Q385 P389:Q390 P393:Q394 P396:Q396 P399:Q409">
    <cfRule type="containsText" dxfId="2" priority="47569" operator="containsText" text="Yes">
      <formula>NOT(ISERROR(SEARCH(("Yes"),(O362))))</formula>
    </cfRule>
  </conditionalFormatting>
  <conditionalFormatting sqref="O362 P361:Q361 P363:Q363 P365:Q366 P372:Q372 P374:Q374 P376:Q376 P381:Q382 P384:Q385 P389:Q390 P393:Q394 P396:Q396 P399:Q409">
    <cfRule type="containsText" dxfId="2" priority="47570" operator="containsText" text="Yes">
      <formula>NOT(ISERROR(SEARCH(("Yes"),(O362))))</formula>
    </cfRule>
  </conditionalFormatting>
  <conditionalFormatting sqref="O362 P361:Q361 P363:Q363 P365:Q366 P372:Q372 P374:Q374 P376:Q376 P381:Q382 P384:Q385 P389:Q390 P393:Q394 P396:Q396 P399:Q409">
    <cfRule type="containsText" dxfId="2" priority="47571" operator="containsText" text="Yes">
      <formula>NOT(ISERROR(SEARCH(("Yes"),(O362))))</formula>
    </cfRule>
  </conditionalFormatting>
  <conditionalFormatting sqref="O362 P361:Q361 P363:Q363 P365:Q366 P372:Q372 P374:Q374 P376:Q376 P381:Q382 P384:Q385 P389:Q390 P393:Q394 P396:Q396 P399:Q409">
    <cfRule type="containsText" dxfId="2" priority="47572" operator="containsText" text="Yes">
      <formula>NOT(ISERROR(SEARCH(("Yes"),(O362))))</formula>
    </cfRule>
  </conditionalFormatting>
  <conditionalFormatting sqref="O362 P361:Q361 P363:Q363 P365:Q366 P372:Q372 P374:Q374 P376:Q376 P381:Q382 P384:Q385 P389:Q390 P393:Q394 P396:Q396 P399:Q409">
    <cfRule type="containsText" dxfId="2" priority="47573" operator="containsText" text="Yes">
      <formula>NOT(ISERROR(SEARCH(("Yes"),(O362))))</formula>
    </cfRule>
  </conditionalFormatting>
  <conditionalFormatting sqref="O362 P361:Q361 P363:Q363 P365:Q366 P372:Q372 P374:Q374 P376:Q376 P381:Q382 P384:Q385 P389:Q390 P393:Q394 P396:Q396 P399:Q409">
    <cfRule type="containsText" dxfId="2" priority="47574" operator="containsText" text="Yes">
      <formula>NOT(ISERROR(SEARCH(("Yes"),(O362))))</formula>
    </cfRule>
  </conditionalFormatting>
  <conditionalFormatting sqref="O362 P361:Q361 P363:Q363 P365:Q366 P372:Q372 P374:Q374 P376:Q376 P381:Q382 P384:Q385 P389:Q390 P393:Q394 P396:Q396 P399:Q409">
    <cfRule type="containsText" dxfId="2" priority="47575" operator="containsText" text="Yes">
      <formula>NOT(ISERROR(SEARCH(("Yes"),(O362))))</formula>
    </cfRule>
  </conditionalFormatting>
  <conditionalFormatting sqref="O362 P361:Q361 P363:Q363 P365:Q366 P372:Q372 P374:Q374 P376:Q376 P381:Q382 P384:Q385 P389:Q390 P393:Q394 P396:Q396 P399:Q409">
    <cfRule type="containsText" dxfId="2" priority="47576" operator="containsText" text="Yes">
      <formula>NOT(ISERROR(SEARCH(("Yes"),(O362))))</formula>
    </cfRule>
  </conditionalFormatting>
  <conditionalFormatting sqref="O362 P361:Q361 P363:Q363 P365:Q366 P372:Q372 P374:Q374 P376:Q376 P381:Q382 P384:Q385 P389:Q390 P393:Q394 P396:Q396 P399:Q409">
    <cfRule type="containsText" dxfId="2" priority="47577" operator="containsText" text="Yes">
      <formula>NOT(ISERROR(SEARCH(("Yes"),(O362))))</formula>
    </cfRule>
  </conditionalFormatting>
  <conditionalFormatting sqref="O362 P361:Q361 P363:Q363 P365:Q366 P372:Q372 P374:Q374 P376:Q376 P381:Q382 P384:Q385 P389:Q390 P393:Q394 P396:Q396 P399:Q409">
    <cfRule type="containsText" dxfId="2" priority="47578" operator="containsText" text="Yes">
      <formula>NOT(ISERROR(SEARCH(("Yes"),(O362))))</formula>
    </cfRule>
  </conditionalFormatting>
  <conditionalFormatting sqref="O362 P361:Q361 P363:Q363 P365:Q366 P372:Q372 P374:Q374 P376:Q376 P381:Q382 P384:Q385 P389:Q390 P393:Q394 P396:Q396 P399:Q409">
    <cfRule type="containsText" dxfId="2" priority="47579" operator="containsText" text="Yes">
      <formula>NOT(ISERROR(SEARCH(("Yes"),(O362))))</formula>
    </cfRule>
  </conditionalFormatting>
  <conditionalFormatting sqref="O362 P361:Q361 P363:Q363 P365:Q366 P372:Q372 P374:Q374 P376:Q376 P381:Q382 P384:Q385 P389:Q390 P393:Q394 P396:Q396 P399:Q409">
    <cfRule type="containsText" dxfId="2" priority="47580" operator="containsText" text="Yes">
      <formula>NOT(ISERROR(SEARCH(("Yes"),(O362))))</formula>
    </cfRule>
  </conditionalFormatting>
  <conditionalFormatting sqref="O362 P361:Q361 P363:Q363 P365:Q366 P372:Q372 P374:Q374 P376:Q376 P381:Q382 P384:Q385 P389:Q390 P393:Q394 P396:Q396 P399:Q409">
    <cfRule type="containsText" dxfId="2" priority="47581" operator="containsText" text="Yes">
      <formula>NOT(ISERROR(SEARCH(("Yes"),(O362))))</formula>
    </cfRule>
  </conditionalFormatting>
  <conditionalFormatting sqref="O362 P361:Q361 P363:Q363 P365:Q366 P372:Q372 P374:Q374 P376:Q376 P381:Q382 P384:Q385 P389:Q390 P393:Q394 P396:Q396 P399:Q409">
    <cfRule type="containsText" dxfId="2" priority="47582" operator="containsText" text="Yes">
      <formula>NOT(ISERROR(SEARCH(("Yes"),(O362))))</formula>
    </cfRule>
  </conditionalFormatting>
  <conditionalFormatting sqref="O362 P361:Q361 P363:Q363 P365:Q366 P372:Q372 P374:Q374 P376:Q376 P381:Q382 P384:Q385 P389:Q390 P393:Q394 P396:Q396 P399:Q409">
    <cfRule type="containsText" dxfId="2" priority="47583" operator="containsText" text="Yes">
      <formula>NOT(ISERROR(SEARCH(("Yes"),(O362))))</formula>
    </cfRule>
  </conditionalFormatting>
  <conditionalFormatting sqref="N395 O362:O367 O372 O374 O376 O379 O381:O382 O384:O396 O399:O409">
    <cfRule type="containsText" dxfId="9" priority="47584" operator="containsText" text="No">
      <formula>NOT(ISERROR(SEARCH(("No"),(N395))))</formula>
    </cfRule>
  </conditionalFormatting>
  <conditionalFormatting sqref="N395 O362:O367 O372 O374 O376 O379 O381:O382 O384:O396 O399:O409">
    <cfRule type="containsText" dxfId="9" priority="47585" operator="containsText" text="No">
      <formula>NOT(ISERROR(SEARCH(("No"),(N395))))</formula>
    </cfRule>
  </conditionalFormatting>
  <conditionalFormatting sqref="N395 O362:O367 O372 O374 O376 O379 O381:O382 O384:O396 O399:O409">
    <cfRule type="containsText" dxfId="9" priority="47586" operator="containsText" text="No">
      <formula>NOT(ISERROR(SEARCH(("No"),(N395))))</formula>
    </cfRule>
  </conditionalFormatting>
  <conditionalFormatting sqref="N395 O362:O367 O372 O374 O376 O379 O381:O382 O384:O396 O399:O409">
    <cfRule type="containsText" dxfId="2" priority="47587" operator="containsText" text="Yes">
      <formula>NOT(ISERROR(SEARCH(("Yes"),(N395))))</formula>
    </cfRule>
  </conditionalFormatting>
  <conditionalFormatting sqref="N395 O362:O367 O372 O374 O376 O379 O381:O382 O384:O396 O399:O409">
    <cfRule type="containsText" dxfId="2" priority="47588" operator="containsText" text="Yes">
      <formula>NOT(ISERROR(SEARCH(("Yes"),(N395))))</formula>
    </cfRule>
  </conditionalFormatting>
  <conditionalFormatting sqref="N395 O362:O367 O372 O374 O376 O379 O381:O382 O384:O396 O399:O409">
    <cfRule type="containsText" dxfId="2" priority="47589" operator="containsText" text="Yes">
      <formula>NOT(ISERROR(SEARCH(("Yes"),(N395))))</formula>
    </cfRule>
  </conditionalFormatting>
  <conditionalFormatting sqref="N395 O362:O367 O372 O374 O376 O379 O381:O382 O384:O396 O399:O409">
    <cfRule type="containsText" dxfId="2" priority="47590" operator="containsText" text="Yes">
      <formula>NOT(ISERROR(SEARCH(("Yes"),(N395))))</formula>
    </cfRule>
  </conditionalFormatting>
  <conditionalFormatting sqref="N395 O362:O367 O372 O374 O376 O379 O381:O382 O384:O396 O399:O409">
    <cfRule type="containsText" dxfId="2" priority="47591" operator="containsText" text="Yes">
      <formula>NOT(ISERROR(SEARCH(("Yes"),(N395))))</formula>
    </cfRule>
  </conditionalFormatting>
  <conditionalFormatting sqref="N395 O362:O367 O372 O374 O376 O379 O381:O382 O384:O396 O399:O409">
    <cfRule type="containsText" dxfId="9" priority="47592" operator="containsText" text="No">
      <formula>NOT(ISERROR(SEARCH(("No"),(N395))))</formula>
    </cfRule>
  </conditionalFormatting>
  <conditionalFormatting sqref="N395 O362:O367 O372 O374 O376 O379 O381:O382 O384:O396 O399:O409">
    <cfRule type="containsText" dxfId="9" priority="47593" operator="containsText" text="No">
      <formula>NOT(ISERROR(SEARCH(("No"),(N395))))</formula>
    </cfRule>
  </conditionalFormatting>
  <conditionalFormatting sqref="N395 O362:O367 O372 O374 O376 O379 O381:O382 O384:O396 O399:O409">
    <cfRule type="containsText" dxfId="2" priority="47594" operator="containsText" text="Yes">
      <formula>NOT(ISERROR(SEARCH(("Yes"),(N395))))</formula>
    </cfRule>
  </conditionalFormatting>
  <conditionalFormatting sqref="P362:Q362">
    <cfRule type="containsText" dxfId="9" priority="47595" operator="containsText" text="No">
      <formula>NOT(ISERROR(SEARCH(("No"),(P362))))</formula>
    </cfRule>
  </conditionalFormatting>
  <conditionalFormatting sqref="P362:Q362">
    <cfRule type="containsText" dxfId="9" priority="47596" operator="containsText" text="No">
      <formula>NOT(ISERROR(SEARCH(("No"),(P362))))</formula>
    </cfRule>
  </conditionalFormatting>
  <conditionalFormatting sqref="P362:Q362">
    <cfRule type="containsText" dxfId="9" priority="47597" operator="containsText" text="No">
      <formula>NOT(ISERROR(SEARCH(("No"),(P362))))</formula>
    </cfRule>
  </conditionalFormatting>
  <conditionalFormatting sqref="P362:Q362">
    <cfRule type="containsText" dxfId="9" priority="47598" operator="containsText" text="No">
      <formula>NOT(ISERROR(SEARCH(("No"),(P362))))</formula>
    </cfRule>
  </conditionalFormatting>
  <conditionalFormatting sqref="P362:Q362">
    <cfRule type="containsText" dxfId="9" priority="47599" operator="containsText" text="No">
      <formula>NOT(ISERROR(SEARCH(("No"),(P362))))</formula>
    </cfRule>
  </conditionalFormatting>
  <conditionalFormatting sqref="P362:Q362">
    <cfRule type="containsText" dxfId="9" priority="47600" operator="containsText" text="No">
      <formula>NOT(ISERROR(SEARCH(("No"),(P362))))</formula>
    </cfRule>
  </conditionalFormatting>
  <conditionalFormatting sqref="P362:Q362">
    <cfRule type="containsText" dxfId="9" priority="47601" operator="containsText" text="No">
      <formula>NOT(ISERROR(SEARCH(("No"),(P362))))</formula>
    </cfRule>
  </conditionalFormatting>
  <conditionalFormatting sqref="P362:Q362">
    <cfRule type="containsText" dxfId="9" priority="47602" operator="containsText" text="No">
      <formula>NOT(ISERROR(SEARCH(("No"),(P362))))</formula>
    </cfRule>
  </conditionalFormatting>
  <conditionalFormatting sqref="P362:Q362">
    <cfRule type="containsText" dxfId="9" priority="47603" operator="containsText" text="No">
      <formula>NOT(ISERROR(SEARCH(("No"),(P362))))</formula>
    </cfRule>
  </conditionalFormatting>
  <conditionalFormatting sqref="P362:Q362">
    <cfRule type="containsText" dxfId="9" priority="47604" operator="containsText" text="No">
      <formula>NOT(ISERROR(SEARCH(("No"),(P362))))</formula>
    </cfRule>
  </conditionalFormatting>
  <conditionalFormatting sqref="P362:Q362">
    <cfRule type="containsText" dxfId="9" priority="47605" operator="containsText" text="No">
      <formula>NOT(ISERROR(SEARCH(("No"),(P362))))</formula>
    </cfRule>
  </conditionalFormatting>
  <conditionalFormatting sqref="P362:Q362">
    <cfRule type="containsText" dxfId="9" priority="47606" operator="containsText" text="No">
      <formula>NOT(ISERROR(SEARCH(("No"),(P362))))</formula>
    </cfRule>
  </conditionalFormatting>
  <conditionalFormatting sqref="P362:Q362">
    <cfRule type="containsText" dxfId="9" priority="47607" operator="containsText" text="No">
      <formula>NOT(ISERROR(SEARCH(("No"),(P362))))</formula>
    </cfRule>
  </conditionalFormatting>
  <conditionalFormatting sqref="P362:Q362">
    <cfRule type="containsText" dxfId="9" priority="47608" operator="containsText" text="No">
      <formula>NOT(ISERROR(SEARCH(("No"),(P362))))</formula>
    </cfRule>
  </conditionalFormatting>
  <conditionalFormatting sqref="P362:Q362">
    <cfRule type="containsText" dxfId="9" priority="47609" operator="containsText" text="No">
      <formula>NOT(ISERROR(SEARCH(("No"),(P362))))</formula>
    </cfRule>
  </conditionalFormatting>
  <conditionalFormatting sqref="P362:Q362">
    <cfRule type="containsText" dxfId="9" priority="47610" operator="containsText" text="No">
      <formula>NOT(ISERROR(SEARCH(("No"),(P362))))</formula>
    </cfRule>
  </conditionalFormatting>
  <conditionalFormatting sqref="P362:Q362">
    <cfRule type="containsText" dxfId="9" priority="47611" operator="containsText" text="No">
      <formula>NOT(ISERROR(SEARCH(("No"),(P362))))</formula>
    </cfRule>
  </conditionalFormatting>
  <conditionalFormatting sqref="P362:Q362">
    <cfRule type="containsText" dxfId="9" priority="47612" operator="containsText" text="No">
      <formula>NOT(ISERROR(SEARCH(("No"),(P362))))</formula>
    </cfRule>
  </conditionalFormatting>
  <conditionalFormatting sqref="P362:Q362">
    <cfRule type="containsText" dxfId="9" priority="47613" operator="containsText" text="No">
      <formula>NOT(ISERROR(SEARCH(("No"),(P362))))</formula>
    </cfRule>
  </conditionalFormatting>
  <conditionalFormatting sqref="P362:Q362">
    <cfRule type="containsText" dxfId="9" priority="47614" operator="containsText" text="No">
      <formula>NOT(ISERROR(SEARCH(("No"),(P362))))</formula>
    </cfRule>
  </conditionalFormatting>
  <conditionalFormatting sqref="P362:Q362">
    <cfRule type="containsText" dxfId="9" priority="47615" operator="containsText" text="No">
      <formula>NOT(ISERROR(SEARCH(("No"),(P362))))</formula>
    </cfRule>
  </conditionalFormatting>
  <conditionalFormatting sqref="P362:Q362">
    <cfRule type="containsText" dxfId="9" priority="47616" operator="containsText" text="No">
      <formula>NOT(ISERROR(SEARCH(("No"),(P362))))</formula>
    </cfRule>
  </conditionalFormatting>
  <conditionalFormatting sqref="P362:Q362">
    <cfRule type="containsText" dxfId="9" priority="47617" operator="containsText" text="No">
      <formula>NOT(ISERROR(SEARCH(("No"),(P362))))</formula>
    </cfRule>
  </conditionalFormatting>
  <conditionalFormatting sqref="P362:Q362">
    <cfRule type="containsText" dxfId="9" priority="47618" operator="containsText" text="No">
      <formula>NOT(ISERROR(SEARCH(("No"),(P362))))</formula>
    </cfRule>
  </conditionalFormatting>
  <conditionalFormatting sqref="P362:Q362">
    <cfRule type="containsText" dxfId="9" priority="47619" operator="containsText" text="No">
      <formula>NOT(ISERROR(SEARCH(("No"),(P362))))</formula>
    </cfRule>
  </conditionalFormatting>
  <conditionalFormatting sqref="P362:Q362">
    <cfRule type="containsText" dxfId="9" priority="47620" operator="containsText" text="No">
      <formula>NOT(ISERROR(SEARCH(("No"),(P362))))</formula>
    </cfRule>
  </conditionalFormatting>
  <conditionalFormatting sqref="P362:Q362">
    <cfRule type="containsText" dxfId="9" priority="47621" operator="containsText" text="No">
      <formula>NOT(ISERROR(SEARCH(("No"),(P362))))</formula>
    </cfRule>
  </conditionalFormatting>
  <conditionalFormatting sqref="P362:Q362">
    <cfRule type="containsText" dxfId="9" priority="47622" operator="containsText" text="No">
      <formula>NOT(ISERROR(SEARCH(("No"),(P362))))</formula>
    </cfRule>
  </conditionalFormatting>
  <conditionalFormatting sqref="P362:Q362">
    <cfRule type="containsText" dxfId="9" priority="47623" operator="containsText" text="No">
      <formula>NOT(ISERROR(SEARCH(("No"),(P362))))</formula>
    </cfRule>
  </conditionalFormatting>
  <conditionalFormatting sqref="P362:Q362">
    <cfRule type="containsText" dxfId="9" priority="47624" operator="containsText" text="No">
      <formula>NOT(ISERROR(SEARCH(("No"),(P362))))</formula>
    </cfRule>
  </conditionalFormatting>
  <conditionalFormatting sqref="P362:Q362">
    <cfRule type="containsText" dxfId="9" priority="47625" operator="containsText" text="No">
      <formula>NOT(ISERROR(SEARCH(("No"),(P362))))</formula>
    </cfRule>
  </conditionalFormatting>
  <conditionalFormatting sqref="P362:Q362">
    <cfRule type="containsText" dxfId="9" priority="47626" operator="containsText" text="No">
      <formula>NOT(ISERROR(SEARCH(("No"),(P362))))</formula>
    </cfRule>
  </conditionalFormatting>
  <conditionalFormatting sqref="P362:Q362">
    <cfRule type="containsText" dxfId="9" priority="47627" operator="containsText" text="No">
      <formula>NOT(ISERROR(SEARCH(("No"),(P362))))</formula>
    </cfRule>
  </conditionalFormatting>
  <conditionalFormatting sqref="P362:Q362">
    <cfRule type="containsText" dxfId="9" priority="47628" operator="containsText" text="No">
      <formula>NOT(ISERROR(SEARCH(("No"),(P362))))</formula>
    </cfRule>
  </conditionalFormatting>
  <conditionalFormatting sqref="P362:Q362">
    <cfRule type="containsText" dxfId="9" priority="47629" operator="containsText" text="No">
      <formula>NOT(ISERROR(SEARCH(("No"),(P362))))</formula>
    </cfRule>
  </conditionalFormatting>
  <conditionalFormatting sqref="P362:Q362">
    <cfRule type="containsText" dxfId="9" priority="47630" operator="containsText" text="No">
      <formula>NOT(ISERROR(SEARCH(("No"),(P362))))</formula>
    </cfRule>
  </conditionalFormatting>
  <conditionalFormatting sqref="P362:Q362">
    <cfRule type="containsText" dxfId="9" priority="47631" operator="containsText" text="No">
      <formula>NOT(ISERROR(SEARCH(("No"),(P362))))</formula>
    </cfRule>
  </conditionalFormatting>
  <conditionalFormatting sqref="P362:Q362">
    <cfRule type="containsText" dxfId="9" priority="47632" operator="containsText" text="No">
      <formula>NOT(ISERROR(SEARCH(("No"),(P362))))</formula>
    </cfRule>
  </conditionalFormatting>
  <conditionalFormatting sqref="P362:Q362">
    <cfRule type="containsText" dxfId="9" priority="47633" operator="containsText" text="No">
      <formula>NOT(ISERROR(SEARCH(("No"),(P362))))</formula>
    </cfRule>
  </conditionalFormatting>
  <conditionalFormatting sqref="P362:Q362">
    <cfRule type="containsText" dxfId="9" priority="47634" operator="containsText" text="No">
      <formula>NOT(ISERROR(SEARCH(("No"),(P362))))</formula>
    </cfRule>
  </conditionalFormatting>
  <conditionalFormatting sqref="P362:Q362">
    <cfRule type="containsText" dxfId="9" priority="47635" operator="containsText" text="No">
      <formula>NOT(ISERROR(SEARCH(("No"),(P362))))</formula>
    </cfRule>
  </conditionalFormatting>
  <conditionalFormatting sqref="P362:Q362">
    <cfRule type="containsText" dxfId="9" priority="47636" operator="containsText" text="No">
      <formula>NOT(ISERROR(SEARCH(("No"),(P362))))</formula>
    </cfRule>
  </conditionalFormatting>
  <conditionalFormatting sqref="P362:Q362">
    <cfRule type="containsText" dxfId="9" priority="47637" operator="containsText" text="No">
      <formula>NOT(ISERROR(SEARCH(("No"),(P362))))</formula>
    </cfRule>
  </conditionalFormatting>
  <conditionalFormatting sqref="P362:Q362">
    <cfRule type="containsText" dxfId="9" priority="47638" operator="containsText" text="No">
      <formula>NOT(ISERROR(SEARCH(("No"),(P362))))</formula>
    </cfRule>
  </conditionalFormatting>
  <conditionalFormatting sqref="P362:Q362">
    <cfRule type="containsText" dxfId="9" priority="47639" operator="containsText" text="No">
      <formula>NOT(ISERROR(SEARCH(("No"),(P362))))</formula>
    </cfRule>
  </conditionalFormatting>
  <conditionalFormatting sqref="P362:Q362">
    <cfRule type="containsText" dxfId="2" priority="47640" operator="containsText" text="Yes">
      <formula>NOT(ISERROR(SEARCH(("Yes"),(P362))))</formula>
    </cfRule>
  </conditionalFormatting>
  <conditionalFormatting sqref="P362:Q362">
    <cfRule type="containsText" dxfId="2" priority="47641" operator="containsText" text="Yes">
      <formula>NOT(ISERROR(SEARCH(("Yes"),(P362))))</formula>
    </cfRule>
  </conditionalFormatting>
  <conditionalFormatting sqref="P362:Q362">
    <cfRule type="containsText" dxfId="2" priority="47642" operator="containsText" text="Yes">
      <formula>NOT(ISERROR(SEARCH(("Yes"),(P362))))</formula>
    </cfRule>
  </conditionalFormatting>
  <conditionalFormatting sqref="P362:Q362">
    <cfRule type="containsText" dxfId="2" priority="47643" operator="containsText" text="Yes">
      <formula>NOT(ISERROR(SEARCH(("Yes"),(P362))))</formula>
    </cfRule>
  </conditionalFormatting>
  <conditionalFormatting sqref="P362:Q362">
    <cfRule type="containsText" dxfId="2" priority="47644" operator="containsText" text="Yes">
      <formula>NOT(ISERROR(SEARCH(("Yes"),(P362))))</formula>
    </cfRule>
  </conditionalFormatting>
  <conditionalFormatting sqref="P362:Q362">
    <cfRule type="containsText" dxfId="2" priority="47645" operator="containsText" text="Yes">
      <formula>NOT(ISERROR(SEARCH(("Yes"),(P362))))</formula>
    </cfRule>
  </conditionalFormatting>
  <conditionalFormatting sqref="P362:Q362">
    <cfRule type="containsText" dxfId="2" priority="47646" operator="containsText" text="Yes">
      <formula>NOT(ISERROR(SEARCH(("Yes"),(P362))))</formula>
    </cfRule>
  </conditionalFormatting>
  <conditionalFormatting sqref="P362:Q362">
    <cfRule type="containsText" dxfId="2" priority="47647" operator="containsText" text="Yes">
      <formula>NOT(ISERROR(SEARCH(("Yes"),(P362))))</formula>
    </cfRule>
  </conditionalFormatting>
  <conditionalFormatting sqref="P362:Q362">
    <cfRule type="containsText" dxfId="2" priority="47648" operator="containsText" text="Yes">
      <formula>NOT(ISERROR(SEARCH(("Yes"),(P362))))</formula>
    </cfRule>
  </conditionalFormatting>
  <conditionalFormatting sqref="P362:Q362">
    <cfRule type="containsText" dxfId="2" priority="47649" operator="containsText" text="Yes">
      <formula>NOT(ISERROR(SEARCH(("Yes"),(P362))))</formula>
    </cfRule>
  </conditionalFormatting>
  <conditionalFormatting sqref="P362:Q362">
    <cfRule type="containsText" dxfId="2" priority="47650" operator="containsText" text="Yes">
      <formula>NOT(ISERROR(SEARCH(("Yes"),(P362))))</formula>
    </cfRule>
  </conditionalFormatting>
  <conditionalFormatting sqref="P362:Q362">
    <cfRule type="containsText" dxfId="2" priority="47651" operator="containsText" text="Yes">
      <formula>NOT(ISERROR(SEARCH(("Yes"),(P362))))</formula>
    </cfRule>
  </conditionalFormatting>
  <conditionalFormatting sqref="P362:Q362">
    <cfRule type="containsText" dxfId="2" priority="47652" operator="containsText" text="Yes">
      <formula>NOT(ISERROR(SEARCH(("Yes"),(P362))))</formula>
    </cfRule>
  </conditionalFormatting>
  <conditionalFormatting sqref="P362:Q362">
    <cfRule type="containsText" dxfId="2" priority="47653" operator="containsText" text="Yes">
      <formula>NOT(ISERROR(SEARCH(("Yes"),(P362))))</formula>
    </cfRule>
  </conditionalFormatting>
  <conditionalFormatting sqref="P362:Q362">
    <cfRule type="containsText" dxfId="2" priority="47654" operator="containsText" text="Yes">
      <formula>NOT(ISERROR(SEARCH(("Yes"),(P362))))</formula>
    </cfRule>
  </conditionalFormatting>
  <conditionalFormatting sqref="P362:Q362">
    <cfRule type="containsText" dxfId="2" priority="47655" operator="containsText" text="Yes">
      <formula>NOT(ISERROR(SEARCH(("Yes"),(P362))))</formula>
    </cfRule>
  </conditionalFormatting>
  <conditionalFormatting sqref="P362:Q362">
    <cfRule type="containsText" dxfId="2" priority="47656" operator="containsText" text="Yes">
      <formula>NOT(ISERROR(SEARCH(("Yes"),(P362))))</formula>
    </cfRule>
  </conditionalFormatting>
  <conditionalFormatting sqref="P362:Q362">
    <cfRule type="containsText" dxfId="2" priority="47657" operator="containsText" text="Yes">
      <formula>NOT(ISERROR(SEARCH(("Yes"),(P362))))</formula>
    </cfRule>
  </conditionalFormatting>
  <conditionalFormatting sqref="P362:Q362">
    <cfRule type="containsText" dxfId="2" priority="47658" operator="containsText" text="Yes">
      <formula>NOT(ISERROR(SEARCH(("Yes"),(P362))))</formula>
    </cfRule>
  </conditionalFormatting>
  <conditionalFormatting sqref="P362:Q362">
    <cfRule type="containsText" dxfId="2" priority="47659" operator="containsText" text="Yes">
      <formula>NOT(ISERROR(SEARCH(("Yes"),(P362))))</formula>
    </cfRule>
  </conditionalFormatting>
  <conditionalFormatting sqref="P362:Q362">
    <cfRule type="containsText" dxfId="2" priority="47660" operator="containsText" text="Yes">
      <formula>NOT(ISERROR(SEARCH(("Yes"),(P362))))</formula>
    </cfRule>
  </conditionalFormatting>
  <conditionalFormatting sqref="P362:Q362">
    <cfRule type="containsText" dxfId="2" priority="47661" operator="containsText" text="Yes">
      <formula>NOT(ISERROR(SEARCH(("Yes"),(P362))))</formula>
    </cfRule>
  </conditionalFormatting>
  <conditionalFormatting sqref="P362:Q362">
    <cfRule type="containsText" dxfId="2" priority="47662" operator="containsText" text="Yes">
      <formula>NOT(ISERROR(SEARCH(("Yes"),(P362))))</formula>
    </cfRule>
  </conditionalFormatting>
  <conditionalFormatting sqref="P362:Q362">
    <cfRule type="containsText" dxfId="2" priority="47663" operator="containsText" text="Yes">
      <formula>NOT(ISERROR(SEARCH(("Yes"),(P362))))</formula>
    </cfRule>
  </conditionalFormatting>
  <conditionalFormatting sqref="P362:Q362">
    <cfRule type="containsText" dxfId="2" priority="47664" operator="containsText" text="Yes">
      <formula>NOT(ISERROR(SEARCH(("Yes"),(P362))))</formula>
    </cfRule>
  </conditionalFormatting>
  <conditionalFormatting sqref="P362:Q362">
    <cfRule type="containsText" dxfId="2" priority="47665" operator="containsText" text="Yes">
      <formula>NOT(ISERROR(SEARCH(("Yes"),(P362))))</formula>
    </cfRule>
  </conditionalFormatting>
  <conditionalFormatting sqref="P362:Q362">
    <cfRule type="containsText" dxfId="2" priority="47666" operator="containsText" text="Yes">
      <formula>NOT(ISERROR(SEARCH(("Yes"),(P362))))</formula>
    </cfRule>
  </conditionalFormatting>
  <conditionalFormatting sqref="P362:Q362">
    <cfRule type="containsText" dxfId="2" priority="47667" operator="containsText" text="Yes">
      <formula>NOT(ISERROR(SEARCH(("Yes"),(P362))))</formula>
    </cfRule>
  </conditionalFormatting>
  <conditionalFormatting sqref="P362:Q362">
    <cfRule type="containsText" dxfId="2" priority="47668" operator="containsText" text="Yes">
      <formula>NOT(ISERROR(SEARCH(("Yes"),(P362))))</formula>
    </cfRule>
  </conditionalFormatting>
  <conditionalFormatting sqref="P362:Q362">
    <cfRule type="containsText" dxfId="2" priority="47669" operator="containsText" text="Yes">
      <formula>NOT(ISERROR(SEARCH(("Yes"),(P362))))</formula>
    </cfRule>
  </conditionalFormatting>
  <conditionalFormatting sqref="P362:Q362">
    <cfRule type="containsText" dxfId="2" priority="47670" operator="containsText" text="Yes">
      <formula>NOT(ISERROR(SEARCH(("Yes"),(P362))))</formula>
    </cfRule>
  </conditionalFormatting>
  <conditionalFormatting sqref="P362:Q362">
    <cfRule type="containsText" dxfId="2" priority="47671" operator="containsText" text="Yes">
      <formula>NOT(ISERROR(SEARCH(("Yes"),(P362))))</formula>
    </cfRule>
  </conditionalFormatting>
  <conditionalFormatting sqref="P362:Q362">
    <cfRule type="containsText" dxfId="2" priority="47672" operator="containsText" text="Yes">
      <formula>NOT(ISERROR(SEARCH(("Yes"),(P362))))</formula>
    </cfRule>
  </conditionalFormatting>
  <conditionalFormatting sqref="P362:Q362">
    <cfRule type="containsText" dxfId="2" priority="47673" operator="containsText" text="Yes">
      <formula>NOT(ISERROR(SEARCH(("Yes"),(P362))))</formula>
    </cfRule>
  </conditionalFormatting>
  <conditionalFormatting sqref="P362:Q362">
    <cfRule type="containsText" dxfId="2" priority="47674" operator="containsText" text="Yes">
      <formula>NOT(ISERROR(SEARCH(("Yes"),(P362))))</formula>
    </cfRule>
  </conditionalFormatting>
  <conditionalFormatting sqref="P362:Q362">
    <cfRule type="containsText" dxfId="2" priority="47675" operator="containsText" text="Yes">
      <formula>NOT(ISERROR(SEARCH(("Yes"),(P362))))</formula>
    </cfRule>
  </conditionalFormatting>
  <conditionalFormatting sqref="P362:Q362">
    <cfRule type="containsText" dxfId="2" priority="47676" operator="containsText" text="Yes">
      <formula>NOT(ISERROR(SEARCH(("Yes"),(P362))))</formula>
    </cfRule>
  </conditionalFormatting>
  <conditionalFormatting sqref="P362:Q362">
    <cfRule type="containsText" dxfId="2" priority="47677" operator="containsText" text="Yes">
      <formula>NOT(ISERROR(SEARCH(("Yes"),(P362))))</formula>
    </cfRule>
  </conditionalFormatting>
  <conditionalFormatting sqref="P362:Q362">
    <cfRule type="containsText" dxfId="2" priority="47678" operator="containsText" text="Yes">
      <formula>NOT(ISERROR(SEARCH(("Yes"),(P362))))</formula>
    </cfRule>
  </conditionalFormatting>
  <conditionalFormatting sqref="P362:Q362">
    <cfRule type="containsText" dxfId="2" priority="47679" operator="containsText" text="Yes">
      <formula>NOT(ISERROR(SEARCH(("Yes"),(P362))))</formula>
    </cfRule>
  </conditionalFormatting>
  <conditionalFormatting sqref="P362:Q362">
    <cfRule type="containsText" dxfId="2" priority="47680" operator="containsText" text="Yes">
      <formula>NOT(ISERROR(SEARCH(("Yes"),(P362))))</formula>
    </cfRule>
  </conditionalFormatting>
  <conditionalFormatting sqref="P362:Q362">
    <cfRule type="containsText" dxfId="2" priority="47681" operator="containsText" text="Yes">
      <formula>NOT(ISERROR(SEARCH(("Yes"),(P362))))</formula>
    </cfRule>
  </conditionalFormatting>
  <conditionalFormatting sqref="P362:Q362">
    <cfRule type="containsText" dxfId="2" priority="47682" operator="containsText" text="Yes">
      <formula>NOT(ISERROR(SEARCH(("Yes"),(P362))))</formula>
    </cfRule>
  </conditionalFormatting>
  <conditionalFormatting sqref="P362:Q362">
    <cfRule type="containsText" dxfId="2" priority="47683" operator="containsText" text="Yes">
      <formula>NOT(ISERROR(SEARCH(("Yes"),(P362))))</formula>
    </cfRule>
  </conditionalFormatting>
  <conditionalFormatting sqref="P362:Q362">
    <cfRule type="containsText" dxfId="2" priority="47684" operator="containsText" text="Yes">
      <formula>NOT(ISERROR(SEARCH(("Yes"),(P362))))</formula>
    </cfRule>
  </conditionalFormatting>
  <conditionalFormatting sqref="P362:Q362">
    <cfRule type="containsText" dxfId="2" priority="47685" operator="containsText" text="Yes">
      <formula>NOT(ISERROR(SEARCH(("Yes"),(P362))))</formula>
    </cfRule>
  </conditionalFormatting>
  <conditionalFormatting sqref="P362:Q362">
    <cfRule type="containsText" dxfId="2" priority="47686" operator="containsText" text="Yes">
      <formula>NOT(ISERROR(SEARCH(("Yes"),(P362))))</formula>
    </cfRule>
  </conditionalFormatting>
  <conditionalFormatting sqref="N362:N363 N365:N366 N372 N374 N376 N379 N381:N382 N384:N385 N389:N390 N393:N396 N399:N409">
    <cfRule type="containsText" dxfId="9" priority="47687" operator="containsText" text="No">
      <formula>NOT(ISERROR(SEARCH(("No"),(N362))))</formula>
    </cfRule>
  </conditionalFormatting>
  <conditionalFormatting sqref="N362:N363 N365:N366 N372 N374 N376 N379 N381:N382 N384:N385 N389:N390 N393:N396 N399:N409">
    <cfRule type="containsText" dxfId="9" priority="47688" operator="containsText" text="No">
      <formula>NOT(ISERROR(SEARCH(("No"),(N362))))</formula>
    </cfRule>
  </conditionalFormatting>
  <conditionalFormatting sqref="N362:N363 N365:N366 N372 N374 N376 N379 N381:N382 N384:N385 N389:N390 N393:N396 N399:N409">
    <cfRule type="containsText" dxfId="9" priority="47689" operator="containsText" text="No">
      <formula>NOT(ISERROR(SEARCH(("No"),(N362))))</formula>
    </cfRule>
  </conditionalFormatting>
  <conditionalFormatting sqref="N362:N363 N365:N366 N372 N374 N376 N379 N381:N382 N384:N385 N389:N390 N393:N396 N399:N409">
    <cfRule type="containsText" dxfId="2" priority="47690" operator="containsText" text="Yes">
      <formula>NOT(ISERROR(SEARCH(("Yes"),(N362))))</formula>
    </cfRule>
  </conditionalFormatting>
  <conditionalFormatting sqref="N362:N363 N365:N366 N372 N374 N376 N379 N381:N382 N384:N385 N389:N390 N393:N396 N399:N409">
    <cfRule type="containsText" dxfId="2" priority="47691" operator="containsText" text="Yes">
      <formula>NOT(ISERROR(SEARCH(("Yes"),(N362))))</formula>
    </cfRule>
  </conditionalFormatting>
  <conditionalFormatting sqref="N362:N363 N365:N366 N372 N374 N376 N379 N381:N382 N384:N385 N389:N390 N393:N396 N399:N409">
    <cfRule type="containsText" dxfId="2" priority="47692" operator="containsText" text="Yes">
      <formula>NOT(ISERROR(SEARCH(("Yes"),(N362))))</formula>
    </cfRule>
  </conditionalFormatting>
  <conditionalFormatting sqref="N362:N363 N365:N366 N372 N374 N376 N379 N381:N382 N384:N385 N389:N390 N393:N396 N399:N409">
    <cfRule type="containsText" dxfId="2" priority="47693" operator="containsText" text="Yes">
      <formula>NOT(ISERROR(SEARCH(("Yes"),(N362))))</formula>
    </cfRule>
  </conditionalFormatting>
  <conditionalFormatting sqref="N362:N363 N365:N366 N372 N374 N376 N379 N381:N382 N384:N385 N389:N390 N393:N396 N399:N409">
    <cfRule type="containsText" dxfId="2" priority="47694" operator="containsText" text="Yes">
      <formula>NOT(ISERROR(SEARCH(("Yes"),(N362))))</formula>
    </cfRule>
  </conditionalFormatting>
  <conditionalFormatting sqref="N362:N363 N365:N366 N372 N374 N376 N379 N381:N382 N384:N385 N389:N390 N393:N396 N399:N409">
    <cfRule type="containsText" dxfId="9" priority="47695" operator="containsText" text="No">
      <formula>NOT(ISERROR(SEARCH(("No"),(N362))))</formula>
    </cfRule>
  </conditionalFormatting>
  <conditionalFormatting sqref="N362:N363 N365:N366 N372 N374 N376 N379 N381:N382 N384:N385 N389:N390 N393:N396 N399:N409">
    <cfRule type="containsText" dxfId="9" priority="47696" operator="containsText" text="No">
      <formula>NOT(ISERROR(SEARCH(("No"),(N362))))</formula>
    </cfRule>
  </conditionalFormatting>
  <conditionalFormatting sqref="N362:N363 N365:N366 N372 N374 N376 N379 N381:N382 N384:N385 N389:N390 N393:N396 N399:N409">
    <cfRule type="containsText" dxfId="2" priority="47697" operator="containsText" text="Yes">
      <formula>NOT(ISERROR(SEARCH(("Yes"),(N362))))</formula>
    </cfRule>
  </conditionalFormatting>
  <conditionalFormatting sqref="P363:Q363 P365:Q366 P372:Q372 P374:Q374 P376:Q376 P381:Q382 P384:Q385 P389:Q390 P393:Q394 P396:Q396 P399:Q409">
    <cfRule type="containsText" dxfId="9" priority="47698" operator="containsText" text="No">
      <formula>NOT(ISERROR(SEARCH(("No"),(P363))))</formula>
    </cfRule>
  </conditionalFormatting>
  <conditionalFormatting sqref="P363:Q363 P365:Q366 P372:Q372 P374:Q374 P376:Q376 P381:Q382 P384:Q385 P389:Q390 P393:Q394 P396:Q396 P399:Q409">
    <cfRule type="containsText" dxfId="9" priority="47699" operator="containsText" text="No">
      <formula>NOT(ISERROR(SEARCH(("No"),(P363))))</formula>
    </cfRule>
  </conditionalFormatting>
  <conditionalFormatting sqref="P363:Q363 P365:Q366 P372:Q372 P374:Q374 P376:Q376 P381:Q382 P384:Q385 P389:Q390 P393:Q394 P396:Q396 P399:Q409">
    <cfRule type="containsText" dxfId="9" priority="47700" operator="containsText" text="No">
      <formula>NOT(ISERROR(SEARCH(("No"),(P363))))</formula>
    </cfRule>
  </conditionalFormatting>
  <conditionalFormatting sqref="P363:Q363 P365:Q366 P372:Q372 P374:Q374 P376:Q376 P381:Q382 P384:Q385 P389:Q390 P393:Q394 P396:Q396 P399:Q409">
    <cfRule type="containsText" dxfId="9" priority="47701" operator="containsText" text="No">
      <formula>NOT(ISERROR(SEARCH(("No"),(P363))))</formula>
    </cfRule>
  </conditionalFormatting>
  <conditionalFormatting sqref="P363:Q363 P365:Q366 P372:Q372 P374:Q374 P376:Q376 P381:Q382 P384:Q385 P389:Q390 P393:Q394 P396:Q396 P399:Q409">
    <cfRule type="containsText" dxfId="9" priority="47702" operator="containsText" text="No">
      <formula>NOT(ISERROR(SEARCH(("No"),(P363))))</formula>
    </cfRule>
  </conditionalFormatting>
  <conditionalFormatting sqref="P363:Q363 P365:Q366 P372:Q372 P374:Q374 P376:Q376 P381:Q382 P384:Q385 P389:Q390 P393:Q394 P396:Q396 P399:Q409">
    <cfRule type="containsText" dxfId="9" priority="47703" operator="containsText" text="No">
      <formula>NOT(ISERROR(SEARCH(("No"),(P363))))</formula>
    </cfRule>
  </conditionalFormatting>
  <conditionalFormatting sqref="P363:Q363 P365:Q366 P372:Q372 P374:Q374 P376:Q376 P381:Q382 P384:Q385 P389:Q390 P393:Q394 P396:Q396 P399:Q409">
    <cfRule type="containsText" dxfId="9" priority="47704" operator="containsText" text="No">
      <formula>NOT(ISERROR(SEARCH(("No"),(P363))))</formula>
    </cfRule>
  </conditionalFormatting>
  <conditionalFormatting sqref="P363:Q363 P365:Q366 P372:Q372 P374:Q374 P376:Q376 P381:Q382 P384:Q385 P389:Q390 P393:Q394 P396:Q396 P399:Q409">
    <cfRule type="containsText" dxfId="9" priority="47705" operator="containsText" text="No">
      <formula>NOT(ISERROR(SEARCH(("No"),(P363))))</formula>
    </cfRule>
  </conditionalFormatting>
  <conditionalFormatting sqref="P363:Q363 P365:Q366 P372:Q372 P374:Q374 P376:Q376 P381:Q382 P384:Q385 P389:Q390 P393:Q394 P396:Q396 P399:Q409">
    <cfRule type="containsText" dxfId="9" priority="47706" operator="containsText" text="No">
      <formula>NOT(ISERROR(SEARCH(("No"),(P363))))</formula>
    </cfRule>
  </conditionalFormatting>
  <conditionalFormatting sqref="P363:Q363 P365:Q366 P372:Q372 P374:Q374 P376:Q376 P381:Q382 P384:Q385 P389:Q390 P393:Q394 P396:Q396 P399:Q409">
    <cfRule type="containsText" dxfId="9" priority="47707" operator="containsText" text="No">
      <formula>NOT(ISERROR(SEARCH(("No"),(P363))))</formula>
    </cfRule>
  </conditionalFormatting>
  <conditionalFormatting sqref="P363:Q363 P365:Q366 P372:Q372 P374:Q374 P376:Q376 P381:Q382 P384:Q385 P389:Q390 P393:Q394 P396:Q396 P399:Q409">
    <cfRule type="containsText" dxfId="9" priority="47708" operator="containsText" text="No">
      <formula>NOT(ISERROR(SEARCH(("No"),(P363))))</formula>
    </cfRule>
  </conditionalFormatting>
  <conditionalFormatting sqref="P363:Q363 P365:Q366 P372:Q372 P374:Q374 P376:Q376 P381:Q382 P384:Q385 P389:Q390 P393:Q394 P396:Q396 P399:Q409">
    <cfRule type="containsText" dxfId="9" priority="47709" operator="containsText" text="No">
      <formula>NOT(ISERROR(SEARCH(("No"),(P363))))</formula>
    </cfRule>
  </conditionalFormatting>
  <conditionalFormatting sqref="P363:Q363 P365:Q366 P372:Q372 P374:Q374 P376:Q376 P381:Q382 P384:Q385 P389:Q390 P393:Q394 P396:Q396 P399:Q409">
    <cfRule type="containsText" dxfId="9" priority="47710" operator="containsText" text="No">
      <formula>NOT(ISERROR(SEARCH(("No"),(P363))))</formula>
    </cfRule>
  </conditionalFormatting>
  <conditionalFormatting sqref="P363:Q363 P365:Q366 P372:Q372 P374:Q374 P376:Q376 P381:Q382 P384:Q385 P389:Q390 P393:Q394 P396:Q396 P399:Q409">
    <cfRule type="containsText" dxfId="9" priority="47711" operator="containsText" text="No">
      <formula>NOT(ISERROR(SEARCH(("No"),(P363))))</formula>
    </cfRule>
  </conditionalFormatting>
  <conditionalFormatting sqref="P363:Q363 P365:Q366 P372:Q372 P374:Q374 P376:Q376 P381:Q382 P384:Q385 P389:Q390 P393:Q394 P396:Q396 P399:Q409">
    <cfRule type="containsText" dxfId="9" priority="47712" operator="containsText" text="No">
      <formula>NOT(ISERROR(SEARCH(("No"),(P363))))</formula>
    </cfRule>
  </conditionalFormatting>
  <conditionalFormatting sqref="P363:Q363 P365:Q366 P372:Q372 P374:Q374 P376:Q376 P381:Q382 P384:Q385 P389:Q390 P393:Q394 P396:Q396 P399:Q409">
    <cfRule type="containsText" dxfId="9" priority="47713" operator="containsText" text="No">
      <formula>NOT(ISERROR(SEARCH(("No"),(P363))))</formula>
    </cfRule>
  </conditionalFormatting>
  <conditionalFormatting sqref="P363:Q363 P365:Q366 P372:Q372 P374:Q374 P376:Q376 P381:Q382 P384:Q385 P389:Q390 P393:Q394 P396:Q396 P399:Q409">
    <cfRule type="containsText" dxfId="9" priority="47714" operator="containsText" text="No">
      <formula>NOT(ISERROR(SEARCH(("No"),(P363))))</formula>
    </cfRule>
  </conditionalFormatting>
  <conditionalFormatting sqref="P363:Q363 P365:Q366 P372:Q372 P374:Q374 P376:Q376 P381:Q382 P384:Q385 P389:Q390 P393:Q394 P396:Q396 P399:Q409">
    <cfRule type="containsText" dxfId="9" priority="47715" operator="containsText" text="No">
      <formula>NOT(ISERROR(SEARCH(("No"),(P363))))</formula>
    </cfRule>
  </conditionalFormatting>
  <conditionalFormatting sqref="P363:Q363 P365:Q366 P372:Q372 P374:Q374 P376:Q376 P381:Q382 P384:Q385 P389:Q390 P393:Q394 P396:Q396 P399:Q409">
    <cfRule type="containsText" dxfId="9" priority="47716" operator="containsText" text="No">
      <formula>NOT(ISERROR(SEARCH(("No"),(P363))))</formula>
    </cfRule>
  </conditionalFormatting>
  <conditionalFormatting sqref="P363:Q363 P365:Q366 P372:Q372 P374:Q374 P376:Q376 P381:Q382 P384:Q385 P389:Q390 P393:Q394 P396:Q396 P399:Q409">
    <cfRule type="containsText" dxfId="9" priority="47717" operator="containsText" text="No">
      <formula>NOT(ISERROR(SEARCH(("No"),(P363))))</formula>
    </cfRule>
  </conditionalFormatting>
  <conditionalFormatting sqref="P363:Q363 P365:Q366 P372:Q372 P374:Q374 P376:Q376 P381:Q382 P384:Q385 P389:Q390 P393:Q394 P396:Q396 P399:Q409">
    <cfRule type="containsText" dxfId="9" priority="47718" operator="containsText" text="No">
      <formula>NOT(ISERROR(SEARCH(("No"),(P363))))</formula>
    </cfRule>
  </conditionalFormatting>
  <conditionalFormatting sqref="P363:Q363 P365:Q366 P372:Q372 P374:Q374 P376:Q376 P381:Q382 P384:Q385 P389:Q390 P393:Q394 P396:Q396 P399:Q409">
    <cfRule type="containsText" dxfId="9" priority="47719" operator="containsText" text="No">
      <formula>NOT(ISERROR(SEARCH(("No"),(P363))))</formula>
    </cfRule>
  </conditionalFormatting>
  <conditionalFormatting sqref="P363:Q363 P365:Q366 P372:Q372 P374:Q374 P376:Q376 P381:Q382 P384:Q385 P389:Q390 P393:Q394 P396:Q396 P399:Q409">
    <cfRule type="containsText" dxfId="9" priority="47720" operator="containsText" text="No">
      <formula>NOT(ISERROR(SEARCH(("No"),(P363))))</formula>
    </cfRule>
  </conditionalFormatting>
  <conditionalFormatting sqref="P363:Q363 P365:Q366 P372:Q372 P374:Q374 P376:Q376 P381:Q382 P384:Q385 P389:Q390 P393:Q394 P396:Q396 P399:Q409">
    <cfRule type="containsText" dxfId="9" priority="47721" operator="containsText" text="No">
      <formula>NOT(ISERROR(SEARCH(("No"),(P363))))</formula>
    </cfRule>
  </conditionalFormatting>
  <conditionalFormatting sqref="P363:Q363 P365:Q366 P372:Q372 P374:Q374 P376:Q376 P381:Q382 P384:Q385 P389:Q390 P393:Q394 P396:Q396 P399:Q409">
    <cfRule type="containsText" dxfId="9" priority="47722" operator="containsText" text="No">
      <formula>NOT(ISERROR(SEARCH(("No"),(P363))))</formula>
    </cfRule>
  </conditionalFormatting>
  <conditionalFormatting sqref="P363:Q363 P365:Q366 P372:Q372 P374:Q374 P376:Q376 P381:Q382 P384:Q385 P389:Q390 P393:Q394 P396:Q396 P399:Q409">
    <cfRule type="containsText" dxfId="9" priority="47723" operator="containsText" text="No">
      <formula>NOT(ISERROR(SEARCH(("No"),(P363))))</formula>
    </cfRule>
  </conditionalFormatting>
  <conditionalFormatting sqref="P363:Q363 P365:Q366 P372:Q372 P374:Q374 P376:Q376 P381:Q382 P384:Q385 P389:Q390 P393:Q394 P396:Q396 P399:Q409">
    <cfRule type="containsText" dxfId="9" priority="47724" operator="containsText" text="No">
      <formula>NOT(ISERROR(SEARCH(("No"),(P363))))</formula>
    </cfRule>
  </conditionalFormatting>
  <conditionalFormatting sqref="P363:Q363 P365:Q366 P372:Q372 P374:Q374 P376:Q376 P381:Q382 P384:Q385 P389:Q390 P393:Q394 P396:Q396 P399:Q409">
    <cfRule type="containsText" dxfId="9" priority="47725" operator="containsText" text="No">
      <formula>NOT(ISERROR(SEARCH(("No"),(P363))))</formula>
    </cfRule>
  </conditionalFormatting>
  <conditionalFormatting sqref="P363:Q363 P365:Q366 P372:Q372 P374:Q374 P376:Q376 P381:Q382 P384:Q385 P389:Q390 P393:Q394 P396:Q396 P399:Q409">
    <cfRule type="containsText" dxfId="9" priority="47726" operator="containsText" text="No">
      <formula>NOT(ISERROR(SEARCH(("No"),(P363))))</formula>
    </cfRule>
  </conditionalFormatting>
  <conditionalFormatting sqref="P363:Q363 P365:Q366 P372:Q372 P374:Q374 P376:Q376 P381:Q382 P384:Q385 P389:Q390 P393:Q394 P396:Q396 P399:Q409">
    <cfRule type="containsText" dxfId="9" priority="47727" operator="containsText" text="No">
      <formula>NOT(ISERROR(SEARCH(("No"),(P363))))</formula>
    </cfRule>
  </conditionalFormatting>
  <conditionalFormatting sqref="P363:Q363 P365:Q366 P372:Q372 P374:Q374 P376:Q376 P381:Q382 P384:Q385 P389:Q390 P393:Q394 P396:Q396 P399:Q409">
    <cfRule type="containsText" dxfId="9" priority="47728" operator="containsText" text="No">
      <formula>NOT(ISERROR(SEARCH(("No"),(P363))))</formula>
    </cfRule>
  </conditionalFormatting>
  <conditionalFormatting sqref="P363:Q363 P365:Q366 P372:Q372 P374:Q374 P376:Q376 P381:Q382 P384:Q385 P389:Q390 P393:Q394 P396:Q396 P399:Q409">
    <cfRule type="containsText" dxfId="9" priority="47729" operator="containsText" text="No">
      <formula>NOT(ISERROR(SEARCH(("No"),(P363))))</formula>
    </cfRule>
  </conditionalFormatting>
  <conditionalFormatting sqref="P363:Q363 P365:Q366 P372:Q372 P374:Q374 P376:Q376 P381:Q382 P384:Q385 P389:Q390 P393:Q394 P396:Q396 P399:Q409">
    <cfRule type="containsText" dxfId="9" priority="47730" operator="containsText" text="No">
      <formula>NOT(ISERROR(SEARCH(("No"),(P363))))</formula>
    </cfRule>
  </conditionalFormatting>
  <conditionalFormatting sqref="P363:Q363 P365:Q366 P372:Q372 P374:Q374 P376:Q376 P381:Q382 P384:Q385 P389:Q390 P393:Q394 P396:Q396 P399:Q409">
    <cfRule type="containsText" dxfId="9" priority="47731" operator="containsText" text="No">
      <formula>NOT(ISERROR(SEARCH(("No"),(P363))))</formula>
    </cfRule>
  </conditionalFormatting>
  <conditionalFormatting sqref="P363:Q363 P365:Q366 P372:Q372 P374:Q374 P376:Q376 P381:Q382 P384:Q385 P389:Q390 P393:Q394 P396:Q396 P399:Q409">
    <cfRule type="containsText" dxfId="9" priority="47732" operator="containsText" text="No">
      <formula>NOT(ISERROR(SEARCH(("No"),(P363))))</formula>
    </cfRule>
  </conditionalFormatting>
  <conditionalFormatting sqref="P363:Q363 P365:Q366 P372:Q372 P374:Q374 P376:Q376 P381:Q382 P384:Q385 P389:Q390 P393:Q394 P396:Q396 P399:Q409">
    <cfRule type="containsText" dxfId="9" priority="47733" operator="containsText" text="No">
      <formula>NOT(ISERROR(SEARCH(("No"),(P363))))</formula>
    </cfRule>
  </conditionalFormatting>
  <conditionalFormatting sqref="P363:Q363 P365:Q366 P372:Q372 P374:Q374 P376:Q376 P381:Q382 P384:Q385 P389:Q390 P393:Q394 P396:Q396 P399:Q409">
    <cfRule type="containsText" dxfId="9" priority="47734" operator="containsText" text="No">
      <formula>NOT(ISERROR(SEARCH(("No"),(P363))))</formula>
    </cfRule>
  </conditionalFormatting>
  <conditionalFormatting sqref="P363:Q363 P365:Q366 P372:Q372 P374:Q374 P376:Q376 P381:Q382 P384:Q385 P389:Q390 P393:Q394 P396:Q396 P399:Q409">
    <cfRule type="containsText" dxfId="9" priority="47735" operator="containsText" text="No">
      <formula>NOT(ISERROR(SEARCH(("No"),(P363))))</formula>
    </cfRule>
  </conditionalFormatting>
  <conditionalFormatting sqref="P363:Q363 P365:Q366 P372:Q372 P374:Q374 P376:Q376 P381:Q382 P384:Q385 P389:Q390 P393:Q394 P396:Q396 P399:Q409">
    <cfRule type="containsText" dxfId="9" priority="47736" operator="containsText" text="No">
      <formula>NOT(ISERROR(SEARCH(("No"),(P363))))</formula>
    </cfRule>
  </conditionalFormatting>
  <conditionalFormatting sqref="P363:Q363 P365:Q366 P372:Q372 P374:Q374 P376:Q376 P381:Q382 P384:Q385 P389:Q390 P393:Q394 P396:Q396 P399:Q409">
    <cfRule type="containsText" dxfId="9" priority="47737" operator="containsText" text="No">
      <formula>NOT(ISERROR(SEARCH(("No"),(P363))))</formula>
    </cfRule>
  </conditionalFormatting>
  <conditionalFormatting sqref="P363:Q363 P365:Q366 P372:Q372 P374:Q374 P376:Q376 P381:Q382 P384:Q385 P389:Q390 P393:Q394 P396:Q396 P399:Q409">
    <cfRule type="containsText" dxfId="9" priority="47738" operator="containsText" text="No">
      <formula>NOT(ISERROR(SEARCH(("No"),(P363))))</formula>
    </cfRule>
  </conditionalFormatting>
  <conditionalFormatting sqref="P363:Q363 P365:Q366 P372:Q372 P374:Q374 P376:Q376 P381:Q382 P384:Q385 P389:Q390 P393:Q394 P396:Q396 P399:Q409">
    <cfRule type="containsText" dxfId="9" priority="47739" operator="containsText" text="No">
      <formula>NOT(ISERROR(SEARCH(("No"),(P363))))</formula>
    </cfRule>
  </conditionalFormatting>
  <conditionalFormatting sqref="P363:Q363 P365:Q366 P372:Q372 P374:Q374 P376:Q376 P381:Q382 P384:Q385 P389:Q390 P393:Q394 P396:Q396 P399:Q409">
    <cfRule type="containsText" dxfId="9" priority="47740" operator="containsText" text="No">
      <formula>NOT(ISERROR(SEARCH(("No"),(P363))))</formula>
    </cfRule>
  </conditionalFormatting>
  <conditionalFormatting sqref="P363:Q363 P365:Q366 P372:Q372 P374:Q374 P376:Q376 P381:Q382 P384:Q385 P389:Q390 P393:Q394 P396:Q396 P399:Q409">
    <cfRule type="containsText" dxfId="9" priority="47741" operator="containsText" text="No">
      <formula>NOT(ISERROR(SEARCH(("No"),(P363))))</formula>
    </cfRule>
  </conditionalFormatting>
  <conditionalFormatting sqref="P363:Q363 P365:Q366 P372:Q372 P374:Q374 P376:Q376 P381:Q382 P384:Q385 P389:Q390 P393:Q394 P396:Q396 P399:Q409">
    <cfRule type="containsText" dxfId="9" priority="47742" operator="containsText" text="No">
      <formula>NOT(ISERROR(SEARCH(("No"),(P363))))</formula>
    </cfRule>
  </conditionalFormatting>
  <conditionalFormatting sqref="P363:Q363 P365:Q366 P372:Q372 P374:Q374 P376:Q376 P381:Q382 P384:Q385 P389:Q390 P393:Q394 P396:Q396 P399:Q409">
    <cfRule type="containsText" dxfId="2" priority="47743" operator="containsText" text="Yes">
      <formula>NOT(ISERROR(SEARCH(("Yes"),(P363))))</formula>
    </cfRule>
  </conditionalFormatting>
  <conditionalFormatting sqref="P363:Q363 P365:Q366 P372:Q372 P374:Q374 P376:Q376 P381:Q382 P384:Q385 P389:Q390 P393:Q394 P396:Q396 P399:Q409">
    <cfRule type="containsText" dxfId="2" priority="47744" operator="containsText" text="Yes">
      <formula>NOT(ISERROR(SEARCH(("Yes"),(P363))))</formula>
    </cfRule>
  </conditionalFormatting>
  <conditionalFormatting sqref="P363:Q363 P365:Q366 P372:Q372 P374:Q374 P376:Q376 P381:Q382 P384:Q385 P389:Q390 P393:Q394 P396:Q396 P399:Q409">
    <cfRule type="containsText" dxfId="2" priority="47745" operator="containsText" text="Yes">
      <formula>NOT(ISERROR(SEARCH(("Yes"),(P363))))</formula>
    </cfRule>
  </conditionalFormatting>
  <conditionalFormatting sqref="P363:Q363 P365:Q366 P372:Q372 P374:Q374 P376:Q376 P381:Q382 P384:Q385 P389:Q390 P393:Q394 P396:Q396 P399:Q409">
    <cfRule type="containsText" dxfId="2" priority="47746" operator="containsText" text="Yes">
      <formula>NOT(ISERROR(SEARCH(("Yes"),(P363))))</formula>
    </cfRule>
  </conditionalFormatting>
  <conditionalFormatting sqref="P363:Q363 P365:Q366 P372:Q372 P374:Q374 P376:Q376 P381:Q382 P384:Q385 P389:Q390 P393:Q394 P396:Q396 P399:Q409">
    <cfRule type="containsText" dxfId="2" priority="47747" operator="containsText" text="Yes">
      <formula>NOT(ISERROR(SEARCH(("Yes"),(P363))))</formula>
    </cfRule>
  </conditionalFormatting>
  <conditionalFormatting sqref="P363:Q363 P365:Q366 P372:Q372 P374:Q374 P376:Q376 P381:Q382 P384:Q385 P389:Q390 P393:Q394 P396:Q396 P399:Q409">
    <cfRule type="containsText" dxfId="2" priority="47748" operator="containsText" text="Yes">
      <formula>NOT(ISERROR(SEARCH(("Yes"),(P363))))</formula>
    </cfRule>
  </conditionalFormatting>
  <conditionalFormatting sqref="P363:Q363 P365:Q366 P372:Q372 P374:Q374 P376:Q376 P381:Q382 P384:Q385 P389:Q390 P393:Q394 P396:Q396 P399:Q409">
    <cfRule type="containsText" dxfId="2" priority="47749" operator="containsText" text="Yes">
      <formula>NOT(ISERROR(SEARCH(("Yes"),(P363))))</formula>
    </cfRule>
  </conditionalFormatting>
  <conditionalFormatting sqref="P363:Q363 P365:Q366 P372:Q372 P374:Q374 P376:Q376 P381:Q382 P384:Q385 P389:Q390 P393:Q394 P396:Q396 P399:Q409">
    <cfRule type="containsText" dxfId="2" priority="47750" operator="containsText" text="Yes">
      <formula>NOT(ISERROR(SEARCH(("Yes"),(P363))))</formula>
    </cfRule>
  </conditionalFormatting>
  <conditionalFormatting sqref="P363:Q363 P365:Q366 P372:Q372 P374:Q374 P376:Q376 P381:Q382 P384:Q385 P389:Q390 P393:Q394 P396:Q396 P399:Q409">
    <cfRule type="containsText" dxfId="2" priority="47751" operator="containsText" text="Yes">
      <formula>NOT(ISERROR(SEARCH(("Yes"),(P363))))</formula>
    </cfRule>
  </conditionalFormatting>
  <conditionalFormatting sqref="P363:Q363 P365:Q366 P372:Q372 P374:Q374 P376:Q376 P381:Q382 P384:Q385 P389:Q390 P393:Q394 P396:Q396 P399:Q409">
    <cfRule type="containsText" dxfId="2" priority="47752" operator="containsText" text="Yes">
      <formula>NOT(ISERROR(SEARCH(("Yes"),(P363))))</formula>
    </cfRule>
  </conditionalFormatting>
  <conditionalFormatting sqref="P363:Q363 P365:Q366 P372:Q372 P374:Q374 P376:Q376 P381:Q382 P384:Q385 P389:Q390 P393:Q394 P396:Q396 P399:Q409">
    <cfRule type="containsText" dxfId="2" priority="47753" operator="containsText" text="Yes">
      <formula>NOT(ISERROR(SEARCH(("Yes"),(P363))))</formula>
    </cfRule>
  </conditionalFormatting>
  <conditionalFormatting sqref="P363:Q363 P365:Q366 P372:Q372 P374:Q374 P376:Q376 P381:Q382 P384:Q385 P389:Q390 P393:Q394 P396:Q396 P399:Q409">
    <cfRule type="containsText" dxfId="2" priority="47754" operator="containsText" text="Yes">
      <formula>NOT(ISERROR(SEARCH(("Yes"),(P363))))</formula>
    </cfRule>
  </conditionalFormatting>
  <conditionalFormatting sqref="P363:Q363 P365:Q366 P372:Q372 P374:Q374 P376:Q376 P381:Q382 P384:Q385 P389:Q390 P393:Q394 P396:Q396 P399:Q409">
    <cfRule type="containsText" dxfId="2" priority="47755" operator="containsText" text="Yes">
      <formula>NOT(ISERROR(SEARCH(("Yes"),(P363))))</formula>
    </cfRule>
  </conditionalFormatting>
  <conditionalFormatting sqref="P363:Q363 P365:Q366 P372:Q372 P374:Q374 P376:Q376 P381:Q382 P384:Q385 P389:Q390 P393:Q394 P396:Q396 P399:Q409">
    <cfRule type="containsText" dxfId="2" priority="47756" operator="containsText" text="Yes">
      <formula>NOT(ISERROR(SEARCH(("Yes"),(P363))))</formula>
    </cfRule>
  </conditionalFormatting>
  <conditionalFormatting sqref="P363:Q363 P365:Q366 P372:Q372 P374:Q374 P376:Q376 P381:Q382 P384:Q385 P389:Q390 P393:Q394 P396:Q396 P399:Q409">
    <cfRule type="containsText" dxfId="2" priority="47757" operator="containsText" text="Yes">
      <formula>NOT(ISERROR(SEARCH(("Yes"),(P363))))</formula>
    </cfRule>
  </conditionalFormatting>
  <conditionalFormatting sqref="P363:Q363 P365:Q366 P372:Q372 P374:Q374 P376:Q376 P381:Q382 P384:Q385 P389:Q390 P393:Q394 P396:Q396 P399:Q409">
    <cfRule type="containsText" dxfId="2" priority="47758" operator="containsText" text="Yes">
      <formula>NOT(ISERROR(SEARCH(("Yes"),(P363))))</formula>
    </cfRule>
  </conditionalFormatting>
  <conditionalFormatting sqref="P363:Q363 P365:Q366 P372:Q372 P374:Q374 P376:Q376 P381:Q382 P384:Q385 P389:Q390 P393:Q394 P396:Q396 P399:Q409">
    <cfRule type="containsText" dxfId="2" priority="47759" operator="containsText" text="Yes">
      <formula>NOT(ISERROR(SEARCH(("Yes"),(P363))))</formula>
    </cfRule>
  </conditionalFormatting>
  <conditionalFormatting sqref="P363:Q363 P365:Q366 P372:Q372 P374:Q374 P376:Q376 P381:Q382 P384:Q385 P389:Q390 P393:Q394 P396:Q396 P399:Q409">
    <cfRule type="containsText" dxfId="2" priority="47760" operator="containsText" text="Yes">
      <formula>NOT(ISERROR(SEARCH(("Yes"),(P363))))</formula>
    </cfRule>
  </conditionalFormatting>
  <conditionalFormatting sqref="P363:Q363 P365:Q366 P372:Q372 P374:Q374 P376:Q376 P381:Q382 P384:Q385 P389:Q390 P393:Q394 P396:Q396 P399:Q409">
    <cfRule type="containsText" dxfId="2" priority="47761" operator="containsText" text="Yes">
      <formula>NOT(ISERROR(SEARCH(("Yes"),(P363))))</formula>
    </cfRule>
  </conditionalFormatting>
  <conditionalFormatting sqref="P363:Q363 P365:Q366 P372:Q372 P374:Q374 P376:Q376 P381:Q382 P384:Q385 P389:Q390 P393:Q394 P396:Q396 P399:Q409">
    <cfRule type="containsText" dxfId="2" priority="47762" operator="containsText" text="Yes">
      <formula>NOT(ISERROR(SEARCH(("Yes"),(P363))))</formula>
    </cfRule>
  </conditionalFormatting>
  <conditionalFormatting sqref="P363:Q363 P365:Q366 P372:Q372 P374:Q374 P376:Q376 P381:Q382 P384:Q385 P389:Q390 P393:Q394 P396:Q396 P399:Q409">
    <cfRule type="containsText" dxfId="2" priority="47763" operator="containsText" text="Yes">
      <formula>NOT(ISERROR(SEARCH(("Yes"),(P363))))</formula>
    </cfRule>
  </conditionalFormatting>
  <conditionalFormatting sqref="P363:Q363 P365:Q366 P372:Q372 P374:Q374 P376:Q376 P381:Q382 P384:Q385 P389:Q390 P393:Q394 P396:Q396 P399:Q409">
    <cfRule type="containsText" dxfId="2" priority="47764" operator="containsText" text="Yes">
      <formula>NOT(ISERROR(SEARCH(("Yes"),(P363))))</formula>
    </cfRule>
  </conditionalFormatting>
  <conditionalFormatting sqref="P363:Q363 P365:Q366 P372:Q372 P374:Q374 P376:Q376 P381:Q382 P384:Q385 P389:Q390 P393:Q394 P396:Q396 P399:Q409">
    <cfRule type="containsText" dxfId="2" priority="47765" operator="containsText" text="Yes">
      <formula>NOT(ISERROR(SEARCH(("Yes"),(P363))))</formula>
    </cfRule>
  </conditionalFormatting>
  <conditionalFormatting sqref="P363:Q363 P365:Q366 P372:Q372 P374:Q374 P376:Q376 P381:Q382 P384:Q385 P389:Q390 P393:Q394 P396:Q396 P399:Q409">
    <cfRule type="containsText" dxfId="2" priority="47766" operator="containsText" text="Yes">
      <formula>NOT(ISERROR(SEARCH(("Yes"),(P363))))</formula>
    </cfRule>
  </conditionalFormatting>
  <conditionalFormatting sqref="P363:Q363 P365:Q366 P372:Q372 P374:Q374 P376:Q376 P381:Q382 P384:Q385 P389:Q390 P393:Q394 P396:Q396 P399:Q409">
    <cfRule type="containsText" dxfId="2" priority="47767" operator="containsText" text="Yes">
      <formula>NOT(ISERROR(SEARCH(("Yes"),(P363))))</formula>
    </cfRule>
  </conditionalFormatting>
  <conditionalFormatting sqref="P363:Q363 P365:Q366 P372:Q372 P374:Q374 P376:Q376 P381:Q382 P384:Q385 P389:Q390 P393:Q394 P396:Q396 P399:Q409">
    <cfRule type="containsText" dxfId="2" priority="47768" operator="containsText" text="Yes">
      <formula>NOT(ISERROR(SEARCH(("Yes"),(P363))))</formula>
    </cfRule>
  </conditionalFormatting>
  <conditionalFormatting sqref="P363:Q363 P365:Q366 P372:Q372 P374:Q374 P376:Q376 P381:Q382 P384:Q385 P389:Q390 P393:Q394 P396:Q396 P399:Q409">
    <cfRule type="containsText" dxfId="2" priority="47769" operator="containsText" text="Yes">
      <formula>NOT(ISERROR(SEARCH(("Yes"),(P363))))</formula>
    </cfRule>
  </conditionalFormatting>
  <conditionalFormatting sqref="P363:Q363 P365:Q366 P372:Q372 P374:Q374 P376:Q376 P381:Q382 P384:Q385 P389:Q390 P393:Q394 P396:Q396 P399:Q409">
    <cfRule type="containsText" dxfId="2" priority="47770" operator="containsText" text="Yes">
      <formula>NOT(ISERROR(SEARCH(("Yes"),(P363))))</formula>
    </cfRule>
  </conditionalFormatting>
  <conditionalFormatting sqref="P363:Q363 P365:Q366 P372:Q372 P374:Q374 P376:Q376 P381:Q382 P384:Q385 P389:Q390 P393:Q394 P396:Q396 P399:Q409">
    <cfRule type="containsText" dxfId="2" priority="47771" operator="containsText" text="Yes">
      <formula>NOT(ISERROR(SEARCH(("Yes"),(P363))))</formula>
    </cfRule>
  </conditionalFormatting>
  <conditionalFormatting sqref="P363:Q363 P365:Q366 P372:Q372 P374:Q374 P376:Q376 P381:Q382 P384:Q385 P389:Q390 P393:Q394 P396:Q396 P399:Q409">
    <cfRule type="containsText" dxfId="2" priority="47772" operator="containsText" text="Yes">
      <formula>NOT(ISERROR(SEARCH(("Yes"),(P363))))</formula>
    </cfRule>
  </conditionalFormatting>
  <conditionalFormatting sqref="P363:Q363 P365:Q366 P372:Q372 P374:Q374 P376:Q376 P381:Q382 P384:Q385 P389:Q390 P393:Q394 P396:Q396 P399:Q409">
    <cfRule type="containsText" dxfId="2" priority="47773" operator="containsText" text="Yes">
      <formula>NOT(ISERROR(SEARCH(("Yes"),(P363))))</formula>
    </cfRule>
  </conditionalFormatting>
  <conditionalFormatting sqref="P363:Q363 P365:Q366 P372:Q372 P374:Q374 P376:Q376 P381:Q382 P384:Q385 P389:Q390 P393:Q394 P396:Q396 P399:Q409">
    <cfRule type="containsText" dxfId="2" priority="47774" operator="containsText" text="Yes">
      <formula>NOT(ISERROR(SEARCH(("Yes"),(P363))))</formula>
    </cfRule>
  </conditionalFormatting>
  <conditionalFormatting sqref="P363:Q363 P365:Q366 P372:Q372 P374:Q374 P376:Q376 P381:Q382 P384:Q385 P389:Q390 P393:Q394 P396:Q396 P399:Q409">
    <cfRule type="containsText" dxfId="2" priority="47775" operator="containsText" text="Yes">
      <formula>NOT(ISERROR(SEARCH(("Yes"),(P363))))</formula>
    </cfRule>
  </conditionalFormatting>
  <conditionalFormatting sqref="P363:Q363 P365:Q366 P372:Q372 P374:Q374 P376:Q376 P381:Q382 P384:Q385 P389:Q390 P393:Q394 P396:Q396 P399:Q409">
    <cfRule type="containsText" dxfId="2" priority="47776" operator="containsText" text="Yes">
      <formula>NOT(ISERROR(SEARCH(("Yes"),(P363))))</formula>
    </cfRule>
  </conditionalFormatting>
  <conditionalFormatting sqref="P363:Q363 P365:Q366 P372:Q372 P374:Q374 P376:Q376 P381:Q382 P384:Q385 P389:Q390 P393:Q394 P396:Q396 P399:Q409">
    <cfRule type="containsText" dxfId="2" priority="47777" operator="containsText" text="Yes">
      <formula>NOT(ISERROR(SEARCH(("Yes"),(P363))))</formula>
    </cfRule>
  </conditionalFormatting>
  <conditionalFormatting sqref="P363:Q363 P365:Q366 P372:Q372 P374:Q374 P376:Q376 P381:Q382 P384:Q385 P389:Q390 P393:Q394 P396:Q396 P399:Q409">
    <cfRule type="containsText" dxfId="2" priority="47778" operator="containsText" text="Yes">
      <formula>NOT(ISERROR(SEARCH(("Yes"),(P363))))</formula>
    </cfRule>
  </conditionalFormatting>
  <conditionalFormatting sqref="P363:Q363 P365:Q366 P372:Q372 P374:Q374 P376:Q376 P381:Q382 P384:Q385 P389:Q390 P393:Q394 P396:Q396 P399:Q409">
    <cfRule type="containsText" dxfId="2" priority="47779" operator="containsText" text="Yes">
      <formula>NOT(ISERROR(SEARCH(("Yes"),(P363))))</formula>
    </cfRule>
  </conditionalFormatting>
  <conditionalFormatting sqref="P363:Q363 P365:Q366 P372:Q372 P374:Q374 P376:Q376 P381:Q382 P384:Q385 P389:Q390 P393:Q394 P396:Q396 P399:Q409">
    <cfRule type="containsText" dxfId="2" priority="47780" operator="containsText" text="Yes">
      <formula>NOT(ISERROR(SEARCH(("Yes"),(P363))))</formula>
    </cfRule>
  </conditionalFormatting>
  <conditionalFormatting sqref="P363:Q363 P365:Q366 P372:Q372 P374:Q374 P376:Q376 P381:Q382 P384:Q385 P389:Q390 P393:Q394 P396:Q396 P399:Q409">
    <cfRule type="containsText" dxfId="2" priority="47781" operator="containsText" text="Yes">
      <formula>NOT(ISERROR(SEARCH(("Yes"),(P363))))</formula>
    </cfRule>
  </conditionalFormatting>
  <conditionalFormatting sqref="P363:Q363 P365:Q366 P372:Q372 P374:Q374 P376:Q376 P381:Q382 P384:Q385 P389:Q390 P393:Q394 P396:Q396 P399:Q409">
    <cfRule type="containsText" dxfId="2" priority="47782" operator="containsText" text="Yes">
      <formula>NOT(ISERROR(SEARCH(("Yes"),(P363))))</formula>
    </cfRule>
  </conditionalFormatting>
  <conditionalFormatting sqref="P363:Q363 P365:Q366 P372:Q372 P374:Q374 P376:Q376 P381:Q382 P384:Q385 P389:Q390 P393:Q394 P396:Q396 P399:Q409">
    <cfRule type="containsText" dxfId="2" priority="47783" operator="containsText" text="Yes">
      <formula>NOT(ISERROR(SEARCH(("Yes"),(P363))))</formula>
    </cfRule>
  </conditionalFormatting>
  <conditionalFormatting sqref="P363:Q363 P365:Q366 P372:Q372 P374:Q374 P376:Q376 P381:Q382 P384:Q385 P389:Q390 P393:Q394 P396:Q396 P399:Q409">
    <cfRule type="containsText" dxfId="2" priority="47784" operator="containsText" text="Yes">
      <formula>NOT(ISERROR(SEARCH(("Yes"),(P363))))</formula>
    </cfRule>
  </conditionalFormatting>
  <conditionalFormatting sqref="P363:Q363 P365:Q366 P372:Q372 P374:Q374 P376:Q376 P381:Q382 P384:Q385 P389:Q390 P393:Q394 P396:Q396 P399:Q409">
    <cfRule type="containsText" dxfId="2" priority="47785" operator="containsText" text="Yes">
      <formula>NOT(ISERROR(SEARCH(("Yes"),(P363))))</formula>
    </cfRule>
  </conditionalFormatting>
  <conditionalFormatting sqref="P363:Q363 P365:Q366 P372:Q372 P374:Q374 P376:Q376 P381:Q382 P384:Q385 P389:Q390 P393:Q394 P396:Q396 P399:Q409">
    <cfRule type="containsText" dxfId="2" priority="47786" operator="containsText" text="Yes">
      <formula>NOT(ISERROR(SEARCH(("Yes"),(P363))))</formula>
    </cfRule>
  </conditionalFormatting>
  <conditionalFormatting sqref="P363:Q363 P365:Q366 P372:Q372 P374:Q374 P376:Q376 P381:Q382 P384:Q385 P389:Q390 P393:Q394 P396:Q396 P399:Q409">
    <cfRule type="containsText" dxfId="2" priority="47787" operator="containsText" text="Yes">
      <formula>NOT(ISERROR(SEARCH(("Yes"),(P363))))</formula>
    </cfRule>
  </conditionalFormatting>
  <conditionalFormatting sqref="P363:Q363 P365:Q366 P372:Q372 P374:Q374 P376:Q376 P381:Q382 P384:Q385 P389:Q390 P393:Q394 P396:Q396 P399:Q409">
    <cfRule type="containsText" dxfId="2" priority="47788" operator="containsText" text="Yes">
      <formula>NOT(ISERROR(SEARCH(("Yes"),(P363))))</formula>
    </cfRule>
  </conditionalFormatting>
  <conditionalFormatting sqref="P363:Q363 P365:Q366 P372:Q372 P374:Q374 P376:Q376 P381:Q382 P384:Q385 P389:Q390 P393:Q394 P396:Q396 P399:Q409">
    <cfRule type="containsText" dxfId="2" priority="47789" operator="containsText" text="Yes">
      <formula>NOT(ISERROR(SEARCH(("Yes"),(P363))))</formula>
    </cfRule>
  </conditionalFormatting>
  <conditionalFormatting sqref="P364 P367 P386:P388 P391:P392 P395">
    <cfRule type="containsText" dxfId="9" priority="47790" operator="containsText" text="No">
      <formula>NOT(ISERROR(SEARCH(("No"),(P364))))</formula>
    </cfRule>
  </conditionalFormatting>
  <conditionalFormatting sqref="P364 P367 P386:P388 P391:P392 P395">
    <cfRule type="containsText" dxfId="9" priority="47791" operator="containsText" text="No">
      <formula>NOT(ISERROR(SEARCH(("No"),(P364))))</formula>
    </cfRule>
  </conditionalFormatting>
  <conditionalFormatting sqref="P364 P367 P386:P388 P391:P392 P395">
    <cfRule type="containsText" dxfId="9" priority="47792" operator="containsText" text="No">
      <formula>NOT(ISERROR(SEARCH(("No"),(P364))))</formula>
    </cfRule>
  </conditionalFormatting>
  <conditionalFormatting sqref="P364 P367 P386:P388 P391:P392 P395">
    <cfRule type="containsText" dxfId="2" priority="47793" operator="containsText" text="Yes">
      <formula>NOT(ISERROR(SEARCH(("Yes"),(P364))))</formula>
    </cfRule>
  </conditionalFormatting>
  <conditionalFormatting sqref="P364 P367 P386:P388 P391:P392 P395">
    <cfRule type="containsText" dxfId="2" priority="47794" operator="containsText" text="Yes">
      <formula>NOT(ISERROR(SEARCH(("Yes"),(P364))))</formula>
    </cfRule>
  </conditionalFormatting>
  <conditionalFormatting sqref="P364 P367 P386:P388 P391:P392 P395">
    <cfRule type="containsText" dxfId="2" priority="47795" operator="containsText" text="Yes">
      <formula>NOT(ISERROR(SEARCH(("Yes"),(P364))))</formula>
    </cfRule>
  </conditionalFormatting>
  <conditionalFormatting sqref="P364 P367 P386:P388 P391:P392 P395">
    <cfRule type="containsText" dxfId="2" priority="47796" operator="containsText" text="Yes">
      <formula>NOT(ISERROR(SEARCH(("Yes"),(P364))))</formula>
    </cfRule>
  </conditionalFormatting>
  <conditionalFormatting sqref="P364 P367 P386:P388 P391:P392 P395">
    <cfRule type="containsText" dxfId="2" priority="47797" operator="containsText" text="Yes">
      <formula>NOT(ISERROR(SEARCH(("Yes"),(P364))))</formula>
    </cfRule>
  </conditionalFormatting>
  <conditionalFormatting sqref="P364 P367 P386:P388 P391:P392 P395">
    <cfRule type="containsText" dxfId="9" priority="47798" operator="containsText" text="No">
      <formula>NOT(ISERROR(SEARCH(("No"),(P364))))</formula>
    </cfRule>
  </conditionalFormatting>
  <conditionalFormatting sqref="P364 P367 P386:P388 P391:P392 P395">
    <cfRule type="containsText" dxfId="9" priority="47799" operator="containsText" text="No">
      <formula>NOT(ISERROR(SEARCH(("No"),(P364))))</formula>
    </cfRule>
  </conditionalFormatting>
  <conditionalFormatting sqref="P364 P367 P386:P388 P391:P392 P395">
    <cfRule type="containsText" dxfId="2" priority="47800" operator="containsText" text="Yes">
      <formula>NOT(ISERROR(SEARCH(("Yes"),(P364))))</formula>
    </cfRule>
  </conditionalFormatting>
  <conditionalFormatting sqref="Q364 Q367 Q386:Q388 Q391:Q392 Q395">
    <cfRule type="containsText" dxfId="9" priority="47801" operator="containsText" text="No">
      <formula>NOT(ISERROR(SEARCH(("No"),(Q364))))</formula>
    </cfRule>
  </conditionalFormatting>
  <conditionalFormatting sqref="Q364 Q367 Q386:Q388 Q391:Q392 Q395">
    <cfRule type="containsText" dxfId="9" priority="47802" operator="containsText" text="No">
      <formula>NOT(ISERROR(SEARCH(("No"),(Q364))))</formula>
    </cfRule>
  </conditionalFormatting>
  <conditionalFormatting sqref="Q364 Q367 Q386:Q388 Q391:Q392 Q395">
    <cfRule type="containsText" dxfId="9" priority="47803" operator="containsText" text="No">
      <formula>NOT(ISERROR(SEARCH(("No"),(Q364))))</formula>
    </cfRule>
  </conditionalFormatting>
  <conditionalFormatting sqref="Q364 Q367 Q386:Q388 Q391:Q392 Q395">
    <cfRule type="containsText" dxfId="2" priority="47804" operator="containsText" text="Yes">
      <formula>NOT(ISERROR(SEARCH(("Yes"),(Q364))))</formula>
    </cfRule>
  </conditionalFormatting>
  <conditionalFormatting sqref="Q364 Q367 Q386:Q388 Q391:Q392 Q395">
    <cfRule type="containsText" dxfId="2" priority="47805" operator="containsText" text="Yes">
      <formula>NOT(ISERROR(SEARCH(("Yes"),(Q364))))</formula>
    </cfRule>
  </conditionalFormatting>
  <conditionalFormatting sqref="Q364 Q367 Q386:Q388 Q391:Q392 Q395">
    <cfRule type="containsText" dxfId="2" priority="47806" operator="containsText" text="Yes">
      <formula>NOT(ISERROR(SEARCH(("Yes"),(Q364))))</formula>
    </cfRule>
  </conditionalFormatting>
  <conditionalFormatting sqref="Q364 Q367 Q386:Q388 Q391:Q392 Q395">
    <cfRule type="containsText" dxfId="2" priority="47807" operator="containsText" text="Yes">
      <formula>NOT(ISERROR(SEARCH(("Yes"),(Q364))))</formula>
    </cfRule>
  </conditionalFormatting>
  <conditionalFormatting sqref="Q364 Q367 Q386:Q388 Q391:Q392 Q395">
    <cfRule type="containsText" dxfId="2" priority="47808" operator="containsText" text="Yes">
      <formula>NOT(ISERROR(SEARCH(("Yes"),(Q364))))</formula>
    </cfRule>
  </conditionalFormatting>
  <conditionalFormatting sqref="Q364 Q367 Q386:Q388 Q391:Q392 Q395">
    <cfRule type="containsText" dxfId="9" priority="47809" operator="containsText" text="No">
      <formula>NOT(ISERROR(SEARCH(("No"),(Q364))))</formula>
    </cfRule>
  </conditionalFormatting>
  <conditionalFormatting sqref="O365:O366 O372 O374 O376 O379 O381:O382 O384:O385 O389:O390 O393:O394 O396 O399:O409">
    <cfRule type="containsText" dxfId="9" priority="47810" operator="containsText" text="No">
      <formula>NOT(ISERROR(SEARCH(("No"),(O365))))</formula>
    </cfRule>
  </conditionalFormatting>
  <conditionalFormatting sqref="O365:O366 O372 O374 O376 O379 O381:O382 O384:O385 O389:O390 O393:O394 O396 O399:O409">
    <cfRule type="containsText" dxfId="9" priority="47811" operator="containsText" text="No">
      <formula>NOT(ISERROR(SEARCH(("No"),(O365))))</formula>
    </cfRule>
  </conditionalFormatting>
  <conditionalFormatting sqref="O365:O366 O372 O374 O376 O379 O381:O382 O384:O385 O389:O390 O393:O394 O396 O399:O409">
    <cfRule type="containsText" dxfId="9" priority="47812" operator="containsText" text="No">
      <formula>NOT(ISERROR(SEARCH(("No"),(O365))))</formula>
    </cfRule>
  </conditionalFormatting>
  <conditionalFormatting sqref="O365:O366 O372 O374 O376 O379 O381:O382 O384:O385 O389:O390 O393:O394 O396 O399:O409">
    <cfRule type="containsText" dxfId="2" priority="47813" operator="containsText" text="Yes">
      <formula>NOT(ISERROR(SEARCH(("Yes"),(O365))))</formula>
    </cfRule>
  </conditionalFormatting>
  <conditionalFormatting sqref="O365:O366 O372 O374 O376 O379 O381:O382 O384:O385 O389:O390 O393:O394 O396 O399:O409">
    <cfRule type="containsText" dxfId="2" priority="47814" operator="containsText" text="Yes">
      <formula>NOT(ISERROR(SEARCH(("Yes"),(O365))))</formula>
    </cfRule>
  </conditionalFormatting>
  <conditionalFormatting sqref="O365:O366 O372 O374 O376 O379 O381:O382 O384:O385 O389:O390 O393:O394 O396 O399:O409">
    <cfRule type="containsText" dxfId="2" priority="47815" operator="containsText" text="Yes">
      <formula>NOT(ISERROR(SEARCH(("Yes"),(O365))))</formula>
    </cfRule>
  </conditionalFormatting>
  <conditionalFormatting sqref="O365:O366 O372 O374 O376 O379 O381:O382 O384:O385 O389:O390 O393:O394 O396 O399:O409">
    <cfRule type="containsText" dxfId="2" priority="47816" operator="containsText" text="Yes">
      <formula>NOT(ISERROR(SEARCH(("Yes"),(O365))))</formula>
    </cfRule>
  </conditionalFormatting>
  <conditionalFormatting sqref="O365:O366 O372 O374 O376 O379 O381:O382 O384:O385 O389:O390 O393:O394 O396 O399:O409">
    <cfRule type="containsText" dxfId="2" priority="47817" operator="containsText" text="Yes">
      <formula>NOT(ISERROR(SEARCH(("Yes"),(O365))))</formula>
    </cfRule>
  </conditionalFormatting>
  <conditionalFormatting sqref="O365:O366 O372 O374 O376 O379 O381:O382 O384:O385 O389:O390 O393:O394 O396 O399:O409">
    <cfRule type="containsText" dxfId="9" priority="47818" operator="containsText" text="No">
      <formula>NOT(ISERROR(SEARCH(("No"),(O365))))</formula>
    </cfRule>
  </conditionalFormatting>
  <conditionalFormatting sqref="O365:O366 O372 O374 O376 O379 O381:O382 O384:O385 O389:O390 O393:O394 O396 O399:O409">
    <cfRule type="containsText" dxfId="9" priority="47819" operator="containsText" text="No">
      <formula>NOT(ISERROR(SEARCH(("No"),(O365))))</formula>
    </cfRule>
  </conditionalFormatting>
  <conditionalFormatting sqref="O365:O366 O372 O374 O376 O379 O381:O382 O384:O385 O389:O390 O393:O394 O396 O399:O409">
    <cfRule type="containsText" dxfId="2" priority="47820" operator="containsText" text="Yes">
      <formula>NOT(ISERROR(SEARCH(("Yes"),(O365))))</formula>
    </cfRule>
  </conditionalFormatting>
  <conditionalFormatting sqref="P365:Q366 P372:Q372 P374:Q374 P376:Q376 P381:Q382 P384:Q385 P389:Q390 P393:Q394 P396:Q396 P399:Q409">
    <cfRule type="containsText" dxfId="9" priority="47821" operator="containsText" text="No">
      <formula>NOT(ISERROR(SEARCH(("No"),(P365))))</formula>
    </cfRule>
  </conditionalFormatting>
  <conditionalFormatting sqref="P365:Q366 P372:Q372 P374:Q374 P376:Q376 P381:Q382 P384:Q385 P389:Q390 P393:Q394 P396:Q396 P399:Q409">
    <cfRule type="containsText" dxfId="9" priority="47822" operator="containsText" text="No">
      <formula>NOT(ISERROR(SEARCH(("No"),(P365))))</formula>
    </cfRule>
  </conditionalFormatting>
  <conditionalFormatting sqref="P365:Q366 P372:Q372 P374:Q374 P376:Q376 P381:Q382 P384:Q385 P389:Q390 P393:Q394 P396:Q396 P399:Q409">
    <cfRule type="containsText" dxfId="9" priority="47823" operator="containsText" text="No">
      <formula>NOT(ISERROR(SEARCH(("No"),(P365))))</formula>
    </cfRule>
  </conditionalFormatting>
  <conditionalFormatting sqref="P365:Q366 P372:Q372 P374:Q374 P376:Q376 P381:Q382 P384:Q385 P389:Q390 P393:Q394 P396:Q396 P399:Q409">
    <cfRule type="containsText" dxfId="9" priority="47824" operator="containsText" text="No">
      <formula>NOT(ISERROR(SEARCH(("No"),(P365))))</formula>
    </cfRule>
  </conditionalFormatting>
  <conditionalFormatting sqref="P365:Q366 P372:Q372 P374:Q374 P376:Q376 P381:Q382 P384:Q385 P389:Q390 P393:Q394 P396:Q396 P399:Q409">
    <cfRule type="containsText" dxfId="9" priority="47825" operator="containsText" text="No">
      <formula>NOT(ISERROR(SEARCH(("No"),(P365))))</formula>
    </cfRule>
  </conditionalFormatting>
  <conditionalFormatting sqref="P365:Q366 P372:Q372 P374:Q374 P376:Q376 P381:Q382 P384:Q385 P389:Q390 P393:Q394 P396:Q396 P399:Q409">
    <cfRule type="containsText" dxfId="9" priority="47826" operator="containsText" text="No">
      <formula>NOT(ISERROR(SEARCH(("No"),(P365))))</formula>
    </cfRule>
  </conditionalFormatting>
  <conditionalFormatting sqref="P365:Q366 P372:Q372 P374:Q374 P376:Q376 P381:Q382 P384:Q385 P389:Q390 P393:Q394 P396:Q396 P399:Q409">
    <cfRule type="containsText" dxfId="9" priority="47827" operator="containsText" text="No">
      <formula>NOT(ISERROR(SEARCH(("No"),(P365))))</formula>
    </cfRule>
  </conditionalFormatting>
  <conditionalFormatting sqref="P365:Q366 P372:Q372 P374:Q374 P376:Q376 P381:Q382 P384:Q385 P389:Q390 P393:Q394 P396:Q396 P399:Q409">
    <cfRule type="containsText" dxfId="9" priority="47828" operator="containsText" text="No">
      <formula>NOT(ISERROR(SEARCH(("No"),(P365))))</formula>
    </cfRule>
  </conditionalFormatting>
  <conditionalFormatting sqref="P365:Q366 P372:Q372 P374:Q374 P376:Q376 P381:Q382 P384:Q385 P389:Q390 P393:Q394 P396:Q396 P399:Q409">
    <cfRule type="containsText" dxfId="9" priority="47829" operator="containsText" text="No">
      <formula>NOT(ISERROR(SEARCH(("No"),(P365))))</formula>
    </cfRule>
  </conditionalFormatting>
  <conditionalFormatting sqref="P365:Q366 P372:Q372 P374:Q374 P376:Q376 P381:Q382 P384:Q385 P389:Q390 P393:Q394 P396:Q396 P399:Q409">
    <cfRule type="containsText" dxfId="9" priority="47830" operator="containsText" text="No">
      <formula>NOT(ISERROR(SEARCH(("No"),(P365))))</formula>
    </cfRule>
  </conditionalFormatting>
  <conditionalFormatting sqref="P365:Q366 P372:Q372 P374:Q374 P376:Q376 P381:Q382 P384:Q385 P389:Q390 P393:Q394 P396:Q396 P399:Q409">
    <cfRule type="containsText" dxfId="9" priority="47831" operator="containsText" text="No">
      <formula>NOT(ISERROR(SEARCH(("No"),(P365))))</formula>
    </cfRule>
  </conditionalFormatting>
  <conditionalFormatting sqref="P365:Q366 P372:Q372 P374:Q374 P376:Q376 P381:Q382 P384:Q385 P389:Q390 P393:Q394 P396:Q396 P399:Q409">
    <cfRule type="containsText" dxfId="9" priority="47832" operator="containsText" text="No">
      <formula>NOT(ISERROR(SEARCH(("No"),(P365))))</formula>
    </cfRule>
  </conditionalFormatting>
  <conditionalFormatting sqref="P365:Q366 P372:Q372 P374:Q374 P376:Q376 P381:Q382 P384:Q385 P389:Q390 P393:Q394 P396:Q396 P399:Q409">
    <cfRule type="containsText" dxfId="9" priority="47833" operator="containsText" text="No">
      <formula>NOT(ISERROR(SEARCH(("No"),(P365))))</formula>
    </cfRule>
  </conditionalFormatting>
  <conditionalFormatting sqref="P365:Q366 P372:Q372 P374:Q374 P376:Q376 P381:Q382 P384:Q385 P389:Q390 P393:Q394 P396:Q396 P399:Q409">
    <cfRule type="containsText" dxfId="9" priority="47834" operator="containsText" text="No">
      <formula>NOT(ISERROR(SEARCH(("No"),(P365))))</formula>
    </cfRule>
  </conditionalFormatting>
  <conditionalFormatting sqref="P365:Q366 P372:Q372 P374:Q374 P376:Q376 P381:Q382 P384:Q385 P389:Q390 P393:Q394 P396:Q396 P399:Q409">
    <cfRule type="containsText" dxfId="9" priority="47835" operator="containsText" text="No">
      <formula>NOT(ISERROR(SEARCH(("No"),(P365))))</formula>
    </cfRule>
  </conditionalFormatting>
  <conditionalFormatting sqref="P365:Q366 P372:Q372 P374:Q374 P376:Q376 P381:Q382 P384:Q385 P389:Q390 P393:Q394 P396:Q396 P399:Q409">
    <cfRule type="containsText" dxfId="9" priority="47836" operator="containsText" text="No">
      <formula>NOT(ISERROR(SEARCH(("No"),(P365))))</formula>
    </cfRule>
  </conditionalFormatting>
  <conditionalFormatting sqref="P365:Q366 P372:Q372 P374:Q374 P376:Q376 P381:Q382 P384:Q385 P389:Q390 P393:Q394 P396:Q396 P399:Q409">
    <cfRule type="containsText" dxfId="9" priority="47837" operator="containsText" text="No">
      <formula>NOT(ISERROR(SEARCH(("No"),(P365))))</formula>
    </cfRule>
  </conditionalFormatting>
  <conditionalFormatting sqref="P365:Q366 P372:Q372 P374:Q374 P376:Q376 P381:Q382 P384:Q385 P389:Q390 P393:Q394 P396:Q396 P399:Q409">
    <cfRule type="containsText" dxfId="9" priority="47838" operator="containsText" text="No">
      <formula>NOT(ISERROR(SEARCH(("No"),(P365))))</formula>
    </cfRule>
  </conditionalFormatting>
  <conditionalFormatting sqref="P365:Q366 P372:Q372 P374:Q374 P376:Q376 P381:Q382 P384:Q385 P389:Q390 P393:Q394 P396:Q396 P399:Q409">
    <cfRule type="containsText" dxfId="9" priority="47839" operator="containsText" text="No">
      <formula>NOT(ISERROR(SEARCH(("No"),(P365))))</formula>
    </cfRule>
  </conditionalFormatting>
  <conditionalFormatting sqref="P365:Q366 P372:Q372 P374:Q374 P376:Q376 P381:Q382 P384:Q385 P389:Q390 P393:Q394 P396:Q396 P399:Q409">
    <cfRule type="containsText" dxfId="9" priority="47840" operator="containsText" text="No">
      <formula>NOT(ISERROR(SEARCH(("No"),(P365))))</formula>
    </cfRule>
  </conditionalFormatting>
  <conditionalFormatting sqref="P365:Q366 P372:Q372 P374:Q374 P376:Q376 P381:Q382 P384:Q385 P389:Q390 P393:Q394 P396:Q396 P399:Q409">
    <cfRule type="containsText" dxfId="9" priority="47841" operator="containsText" text="No">
      <formula>NOT(ISERROR(SEARCH(("No"),(P365))))</formula>
    </cfRule>
  </conditionalFormatting>
  <conditionalFormatting sqref="P365:Q366 P372:Q372 P374:Q374 P376:Q376 P381:Q382 P384:Q385 P389:Q390 P393:Q394 P396:Q396 P399:Q409">
    <cfRule type="containsText" dxfId="9" priority="47842" operator="containsText" text="No">
      <formula>NOT(ISERROR(SEARCH(("No"),(P365))))</formula>
    </cfRule>
  </conditionalFormatting>
  <conditionalFormatting sqref="P365:Q366 P372:Q372 P374:Q374 P376:Q376 P381:Q382 P384:Q385 P389:Q390 P393:Q394 P396:Q396 P399:Q409">
    <cfRule type="containsText" dxfId="9" priority="47843" operator="containsText" text="No">
      <formula>NOT(ISERROR(SEARCH(("No"),(P365))))</formula>
    </cfRule>
  </conditionalFormatting>
  <conditionalFormatting sqref="P365:Q366 P372:Q372 P374:Q374 P376:Q376 P381:Q382 P384:Q385 P389:Q390 P393:Q394 P396:Q396 P399:Q409">
    <cfRule type="containsText" dxfId="9" priority="47844" operator="containsText" text="No">
      <formula>NOT(ISERROR(SEARCH(("No"),(P365))))</formula>
    </cfRule>
  </conditionalFormatting>
  <conditionalFormatting sqref="P365:Q366 P372:Q372 P374:Q374 P376:Q376 P381:Q382 P384:Q385 P389:Q390 P393:Q394 P396:Q396 P399:Q409">
    <cfRule type="containsText" dxfId="9" priority="47845" operator="containsText" text="No">
      <formula>NOT(ISERROR(SEARCH(("No"),(P365))))</formula>
    </cfRule>
  </conditionalFormatting>
  <conditionalFormatting sqref="P365:Q366 P372:Q372 P374:Q374 P376:Q376 P381:Q382 P384:Q385 P389:Q390 P393:Q394 P396:Q396 P399:Q409">
    <cfRule type="containsText" dxfId="9" priority="47846" operator="containsText" text="No">
      <formula>NOT(ISERROR(SEARCH(("No"),(P365))))</formula>
    </cfRule>
  </conditionalFormatting>
  <conditionalFormatting sqref="P365:Q366 P372:Q372 P374:Q374 P376:Q376 P381:Q382 P384:Q385 P389:Q390 P393:Q394 P396:Q396 P399:Q409">
    <cfRule type="containsText" dxfId="9" priority="47847" operator="containsText" text="No">
      <formula>NOT(ISERROR(SEARCH(("No"),(P365))))</formula>
    </cfRule>
  </conditionalFormatting>
  <conditionalFormatting sqref="P365:Q366 P372:Q372 P374:Q374 P376:Q376 P381:Q382 P384:Q385 P389:Q390 P393:Q394 P396:Q396 P399:Q409">
    <cfRule type="containsText" dxfId="9" priority="47848" operator="containsText" text="No">
      <formula>NOT(ISERROR(SEARCH(("No"),(P365))))</formula>
    </cfRule>
  </conditionalFormatting>
  <conditionalFormatting sqref="P365:Q366 P372:Q372 P374:Q374 P376:Q376 P381:Q382 P384:Q385 P389:Q390 P393:Q394 P396:Q396 P399:Q409">
    <cfRule type="containsText" dxfId="9" priority="47849" operator="containsText" text="No">
      <formula>NOT(ISERROR(SEARCH(("No"),(P365))))</formula>
    </cfRule>
  </conditionalFormatting>
  <conditionalFormatting sqref="P365:Q366 P372:Q372 P374:Q374 P376:Q376 P381:Q382 P384:Q385 P389:Q390 P393:Q394 P396:Q396 P399:Q409">
    <cfRule type="containsText" dxfId="9" priority="47850" operator="containsText" text="No">
      <formula>NOT(ISERROR(SEARCH(("No"),(P365))))</formula>
    </cfRule>
  </conditionalFormatting>
  <conditionalFormatting sqref="P365:Q366 P372:Q372 P374:Q374 P376:Q376 P381:Q382 P384:Q385 P389:Q390 P393:Q394 P396:Q396 P399:Q409">
    <cfRule type="containsText" dxfId="9" priority="47851" operator="containsText" text="No">
      <formula>NOT(ISERROR(SEARCH(("No"),(P365))))</formula>
    </cfRule>
  </conditionalFormatting>
  <conditionalFormatting sqref="P365:Q366 P372:Q372 P374:Q374 P376:Q376 P381:Q382 P384:Q385 P389:Q390 P393:Q394 P396:Q396 P399:Q409">
    <cfRule type="containsText" dxfId="9" priority="47852" operator="containsText" text="No">
      <formula>NOT(ISERROR(SEARCH(("No"),(P365))))</formula>
    </cfRule>
  </conditionalFormatting>
  <conditionalFormatting sqref="P365:Q366 P372:Q372 P374:Q374 P376:Q376 P381:Q382 P384:Q385 P389:Q390 P393:Q394 P396:Q396 P399:Q409">
    <cfRule type="containsText" dxfId="9" priority="47853" operator="containsText" text="No">
      <formula>NOT(ISERROR(SEARCH(("No"),(P365))))</formula>
    </cfRule>
  </conditionalFormatting>
  <conditionalFormatting sqref="P365:Q366 P372:Q372 P374:Q374 P376:Q376 P381:Q382 P384:Q385 P389:Q390 P393:Q394 P396:Q396 P399:Q409">
    <cfRule type="containsText" dxfId="9" priority="47854" operator="containsText" text="No">
      <formula>NOT(ISERROR(SEARCH(("No"),(P365))))</formula>
    </cfRule>
  </conditionalFormatting>
  <conditionalFormatting sqref="P365:Q366 P372:Q372 P374:Q374 P376:Q376 P381:Q382 P384:Q385 P389:Q390 P393:Q394 P396:Q396 P399:Q409">
    <cfRule type="containsText" dxfId="9" priority="47855" operator="containsText" text="No">
      <formula>NOT(ISERROR(SEARCH(("No"),(P365))))</formula>
    </cfRule>
  </conditionalFormatting>
  <conditionalFormatting sqref="P365:Q366 P372:Q372 P374:Q374 P376:Q376 P381:Q382 P384:Q385 P389:Q390 P393:Q394 P396:Q396 P399:Q409">
    <cfRule type="containsText" dxfId="9" priority="47856" operator="containsText" text="No">
      <formula>NOT(ISERROR(SEARCH(("No"),(P365))))</formula>
    </cfRule>
  </conditionalFormatting>
  <conditionalFormatting sqref="P365:Q366 P372:Q372 P374:Q374 P376:Q376 P381:Q382 P384:Q385 P389:Q390 P393:Q394 P396:Q396 P399:Q409">
    <cfRule type="containsText" dxfId="9" priority="47857" operator="containsText" text="No">
      <formula>NOT(ISERROR(SEARCH(("No"),(P365))))</formula>
    </cfRule>
  </conditionalFormatting>
  <conditionalFormatting sqref="P365:Q366 P372:Q372 P374:Q374 P376:Q376 P381:Q382 P384:Q385 P389:Q390 P393:Q394 P396:Q396 P399:Q409">
    <cfRule type="containsText" dxfId="9" priority="47858" operator="containsText" text="No">
      <formula>NOT(ISERROR(SEARCH(("No"),(P365))))</formula>
    </cfRule>
  </conditionalFormatting>
  <conditionalFormatting sqref="P365:Q366 P372:Q372 P374:Q374 P376:Q376 P381:Q382 P384:Q385 P389:Q390 P393:Q394 P396:Q396 P399:Q409">
    <cfRule type="containsText" dxfId="9" priority="47859" operator="containsText" text="No">
      <formula>NOT(ISERROR(SEARCH(("No"),(P365))))</formula>
    </cfRule>
  </conditionalFormatting>
  <conditionalFormatting sqref="P365:Q366 P372:Q372 P374:Q374 P376:Q376 P381:Q382 P384:Q385 P389:Q390 P393:Q394 P396:Q396 P399:Q409">
    <cfRule type="containsText" dxfId="9" priority="47860" operator="containsText" text="No">
      <formula>NOT(ISERROR(SEARCH(("No"),(P365))))</formula>
    </cfRule>
  </conditionalFormatting>
  <conditionalFormatting sqref="P365:Q366 P372:Q372 P374:Q374 P376:Q376 P381:Q382 P384:Q385 P389:Q390 P393:Q394 P396:Q396 P399:Q409">
    <cfRule type="containsText" dxfId="9" priority="47861" operator="containsText" text="No">
      <formula>NOT(ISERROR(SEARCH(("No"),(P365))))</formula>
    </cfRule>
  </conditionalFormatting>
  <conditionalFormatting sqref="P365:Q366 P372:Q372 P374:Q374 P376:Q376 P381:Q382 P384:Q385 P389:Q390 P393:Q394 P396:Q396 P399:Q409">
    <cfRule type="containsText" dxfId="9" priority="47862" operator="containsText" text="No">
      <formula>NOT(ISERROR(SEARCH(("No"),(P365))))</formula>
    </cfRule>
  </conditionalFormatting>
  <conditionalFormatting sqref="P365:Q366 P372:Q372 P374:Q374 P376:Q376 P381:Q382 P384:Q385 P389:Q390 P393:Q394 P396:Q396 P399:Q409">
    <cfRule type="containsText" dxfId="9" priority="47863" operator="containsText" text="No">
      <formula>NOT(ISERROR(SEARCH(("No"),(P365))))</formula>
    </cfRule>
  </conditionalFormatting>
  <conditionalFormatting sqref="P365:Q366 P372:Q372 P374:Q374 P376:Q376 P381:Q382 P384:Q385 P389:Q390 P393:Q394 P396:Q396 P399:Q409">
    <cfRule type="containsText" dxfId="9" priority="47864" operator="containsText" text="No">
      <formula>NOT(ISERROR(SEARCH(("No"),(P365))))</formula>
    </cfRule>
  </conditionalFormatting>
  <conditionalFormatting sqref="P365:Q366 P372:Q372 P374:Q374 P376:Q376 P381:Q382 P384:Q385 P389:Q390 P393:Q394 P396:Q396 P399:Q409">
    <cfRule type="containsText" dxfId="9" priority="47865" operator="containsText" text="No">
      <formula>NOT(ISERROR(SEARCH(("No"),(P365))))</formula>
    </cfRule>
  </conditionalFormatting>
  <conditionalFormatting sqref="P365:Q366 P372:Q372 P374:Q374 P376:Q376 P381:Q382 P384:Q385 P389:Q390 P393:Q394 P396:Q396 P399:Q409">
    <cfRule type="containsText" dxfId="2" priority="47866" operator="containsText" text="Yes">
      <formula>NOT(ISERROR(SEARCH(("Yes"),(P365))))</formula>
    </cfRule>
  </conditionalFormatting>
  <conditionalFormatting sqref="P365:Q366 P372:Q372 P374:Q374 P376:Q376 P381:Q382 P384:Q385 P389:Q390 P393:Q394 P396:Q396 P399:Q409">
    <cfRule type="containsText" dxfId="2" priority="47867" operator="containsText" text="Yes">
      <formula>NOT(ISERROR(SEARCH(("Yes"),(P365))))</formula>
    </cfRule>
  </conditionalFormatting>
  <conditionalFormatting sqref="P365:Q366 P372:Q372 P374:Q374 P376:Q376 P381:Q382 P384:Q385 P389:Q390 P393:Q394 P396:Q396 P399:Q409">
    <cfRule type="containsText" dxfId="2" priority="47868" operator="containsText" text="Yes">
      <formula>NOT(ISERROR(SEARCH(("Yes"),(P365))))</formula>
    </cfRule>
  </conditionalFormatting>
  <conditionalFormatting sqref="P365:Q366 P372:Q372 P374:Q374 P376:Q376 P381:Q382 P384:Q385 P389:Q390 P393:Q394 P396:Q396 P399:Q409">
    <cfRule type="containsText" dxfId="2" priority="47869" operator="containsText" text="Yes">
      <formula>NOT(ISERROR(SEARCH(("Yes"),(P365))))</formula>
    </cfRule>
  </conditionalFormatting>
  <conditionalFormatting sqref="P365:Q366 P372:Q372 P374:Q374 P376:Q376 P381:Q382 P384:Q385 P389:Q390 P393:Q394 P396:Q396 P399:Q409">
    <cfRule type="containsText" dxfId="2" priority="47870" operator="containsText" text="Yes">
      <formula>NOT(ISERROR(SEARCH(("Yes"),(P365))))</formula>
    </cfRule>
  </conditionalFormatting>
  <conditionalFormatting sqref="P365:Q366 P372:Q372 P374:Q374 P376:Q376 P381:Q382 P384:Q385 P389:Q390 P393:Q394 P396:Q396 P399:Q409">
    <cfRule type="containsText" dxfId="2" priority="47871" operator="containsText" text="Yes">
      <formula>NOT(ISERROR(SEARCH(("Yes"),(P365))))</formula>
    </cfRule>
  </conditionalFormatting>
  <conditionalFormatting sqref="P365:Q366 P372:Q372 P374:Q374 P376:Q376 P381:Q382 P384:Q385 P389:Q390 P393:Q394 P396:Q396 P399:Q409">
    <cfRule type="containsText" dxfId="2" priority="47872" operator="containsText" text="Yes">
      <formula>NOT(ISERROR(SEARCH(("Yes"),(P365))))</formula>
    </cfRule>
  </conditionalFormatting>
  <conditionalFormatting sqref="P365:Q366 P372:Q372 P374:Q374 P376:Q376 P381:Q382 P384:Q385 P389:Q390 P393:Q394 P396:Q396 P399:Q409">
    <cfRule type="containsText" dxfId="2" priority="47873" operator="containsText" text="Yes">
      <formula>NOT(ISERROR(SEARCH(("Yes"),(P365))))</formula>
    </cfRule>
  </conditionalFormatting>
  <conditionalFormatting sqref="P365:Q366 P372:Q372 P374:Q374 P376:Q376 P381:Q382 P384:Q385 P389:Q390 P393:Q394 P396:Q396 P399:Q409">
    <cfRule type="containsText" dxfId="2" priority="47874" operator="containsText" text="Yes">
      <formula>NOT(ISERROR(SEARCH(("Yes"),(P365))))</formula>
    </cfRule>
  </conditionalFormatting>
  <conditionalFormatting sqref="P365:Q366 P372:Q372 P374:Q374 P376:Q376 P381:Q382 P384:Q385 P389:Q390 P393:Q394 P396:Q396 P399:Q409">
    <cfRule type="containsText" dxfId="2" priority="47875" operator="containsText" text="Yes">
      <formula>NOT(ISERROR(SEARCH(("Yes"),(P365))))</formula>
    </cfRule>
  </conditionalFormatting>
  <conditionalFormatting sqref="P365:Q366 P372:Q372 P374:Q374 P376:Q376 P381:Q382 P384:Q385 P389:Q390 P393:Q394 P396:Q396 P399:Q409">
    <cfRule type="containsText" dxfId="2" priority="47876" operator="containsText" text="Yes">
      <formula>NOT(ISERROR(SEARCH(("Yes"),(P365))))</formula>
    </cfRule>
  </conditionalFormatting>
  <conditionalFormatting sqref="P365:Q366 P372:Q372 P374:Q374 P376:Q376 P381:Q382 P384:Q385 P389:Q390 P393:Q394 P396:Q396 P399:Q409">
    <cfRule type="containsText" dxfId="2" priority="47877" operator="containsText" text="Yes">
      <formula>NOT(ISERROR(SEARCH(("Yes"),(P365))))</formula>
    </cfRule>
  </conditionalFormatting>
  <conditionalFormatting sqref="P365:Q366 P372:Q372 P374:Q374 P376:Q376 P381:Q382 P384:Q385 P389:Q390 P393:Q394 P396:Q396 P399:Q409">
    <cfRule type="containsText" dxfId="2" priority="47878" operator="containsText" text="Yes">
      <formula>NOT(ISERROR(SEARCH(("Yes"),(P365))))</formula>
    </cfRule>
  </conditionalFormatting>
  <conditionalFormatting sqref="P365:Q366 P372:Q372 P374:Q374 P376:Q376 P381:Q382 P384:Q385 P389:Q390 P393:Q394 P396:Q396 P399:Q409">
    <cfRule type="containsText" dxfId="2" priority="47879" operator="containsText" text="Yes">
      <formula>NOT(ISERROR(SEARCH(("Yes"),(P365))))</formula>
    </cfRule>
  </conditionalFormatting>
  <conditionalFormatting sqref="P365:Q366 P372:Q372 P374:Q374 P376:Q376 P381:Q382 P384:Q385 P389:Q390 P393:Q394 P396:Q396 P399:Q409">
    <cfRule type="containsText" dxfId="2" priority="47880" operator="containsText" text="Yes">
      <formula>NOT(ISERROR(SEARCH(("Yes"),(P365))))</formula>
    </cfRule>
  </conditionalFormatting>
  <conditionalFormatting sqref="P365:Q366 P372:Q372 P374:Q374 P376:Q376 P381:Q382 P384:Q385 P389:Q390 P393:Q394 P396:Q396 P399:Q409">
    <cfRule type="containsText" dxfId="2" priority="47881" operator="containsText" text="Yes">
      <formula>NOT(ISERROR(SEARCH(("Yes"),(P365))))</formula>
    </cfRule>
  </conditionalFormatting>
  <conditionalFormatting sqref="P365:Q366 P372:Q372 P374:Q374 P376:Q376 P381:Q382 P384:Q385 P389:Q390 P393:Q394 P396:Q396 P399:Q409">
    <cfRule type="containsText" dxfId="2" priority="47882" operator="containsText" text="Yes">
      <formula>NOT(ISERROR(SEARCH(("Yes"),(P365))))</formula>
    </cfRule>
  </conditionalFormatting>
  <conditionalFormatting sqref="P365:Q366 P372:Q372 P374:Q374 P376:Q376 P381:Q382 P384:Q385 P389:Q390 P393:Q394 P396:Q396 P399:Q409">
    <cfRule type="containsText" dxfId="2" priority="47883" operator="containsText" text="Yes">
      <formula>NOT(ISERROR(SEARCH(("Yes"),(P365))))</formula>
    </cfRule>
  </conditionalFormatting>
  <conditionalFormatting sqref="P365:Q366 P372:Q372 P374:Q374 P376:Q376 P381:Q382 P384:Q385 P389:Q390 P393:Q394 P396:Q396 P399:Q409">
    <cfRule type="containsText" dxfId="2" priority="47884" operator="containsText" text="Yes">
      <formula>NOT(ISERROR(SEARCH(("Yes"),(P365))))</formula>
    </cfRule>
  </conditionalFormatting>
  <conditionalFormatting sqref="P365:Q366 P372:Q372 P374:Q374 P376:Q376 P381:Q382 P384:Q385 P389:Q390 P393:Q394 P396:Q396 P399:Q409">
    <cfRule type="containsText" dxfId="2" priority="47885" operator="containsText" text="Yes">
      <formula>NOT(ISERROR(SEARCH(("Yes"),(P365))))</formula>
    </cfRule>
  </conditionalFormatting>
  <conditionalFormatting sqref="P365:Q366 P372:Q372 P374:Q374 P376:Q376 P381:Q382 P384:Q385 P389:Q390 P393:Q394 P396:Q396 P399:Q409">
    <cfRule type="containsText" dxfId="2" priority="47886" operator="containsText" text="Yes">
      <formula>NOT(ISERROR(SEARCH(("Yes"),(P365))))</formula>
    </cfRule>
  </conditionalFormatting>
  <conditionalFormatting sqref="P365:Q366 P372:Q372 P374:Q374 P376:Q376 P381:Q382 P384:Q385 P389:Q390 P393:Q394 P396:Q396 P399:Q409">
    <cfRule type="containsText" dxfId="2" priority="47887" operator="containsText" text="Yes">
      <formula>NOT(ISERROR(SEARCH(("Yes"),(P365))))</formula>
    </cfRule>
  </conditionalFormatting>
  <conditionalFormatting sqref="P365:Q366 P372:Q372 P374:Q374 P376:Q376 P381:Q382 P384:Q385 P389:Q390 P393:Q394 P396:Q396 P399:Q409">
    <cfRule type="containsText" dxfId="2" priority="47888" operator="containsText" text="Yes">
      <formula>NOT(ISERROR(SEARCH(("Yes"),(P365))))</formula>
    </cfRule>
  </conditionalFormatting>
  <conditionalFormatting sqref="P365:Q366 P372:Q372 P374:Q374 P376:Q376 P381:Q382 P384:Q385 P389:Q390 P393:Q394 P396:Q396 P399:Q409">
    <cfRule type="containsText" dxfId="2" priority="47889" operator="containsText" text="Yes">
      <formula>NOT(ISERROR(SEARCH(("Yes"),(P365))))</formula>
    </cfRule>
  </conditionalFormatting>
  <conditionalFormatting sqref="P365:Q366 P372:Q372 P374:Q374 P376:Q376 P381:Q382 P384:Q385 P389:Q390 P393:Q394 P396:Q396 P399:Q409">
    <cfRule type="containsText" dxfId="2" priority="47890" operator="containsText" text="Yes">
      <formula>NOT(ISERROR(SEARCH(("Yes"),(P365))))</formula>
    </cfRule>
  </conditionalFormatting>
  <conditionalFormatting sqref="P365:Q366 P372:Q372 P374:Q374 P376:Q376 P381:Q382 P384:Q385 P389:Q390 P393:Q394 P396:Q396 P399:Q409">
    <cfRule type="containsText" dxfId="2" priority="47891" operator="containsText" text="Yes">
      <formula>NOT(ISERROR(SEARCH(("Yes"),(P365))))</formula>
    </cfRule>
  </conditionalFormatting>
  <conditionalFormatting sqref="P365:Q366 P372:Q372 P374:Q374 P376:Q376 P381:Q382 P384:Q385 P389:Q390 P393:Q394 P396:Q396 P399:Q409">
    <cfRule type="containsText" dxfId="2" priority="47892" operator="containsText" text="Yes">
      <formula>NOT(ISERROR(SEARCH(("Yes"),(P365))))</formula>
    </cfRule>
  </conditionalFormatting>
  <conditionalFormatting sqref="P365:Q366 P372:Q372 P374:Q374 P376:Q376 P381:Q382 P384:Q385 P389:Q390 P393:Q394 P396:Q396 P399:Q409">
    <cfRule type="containsText" dxfId="2" priority="47893" operator="containsText" text="Yes">
      <formula>NOT(ISERROR(SEARCH(("Yes"),(P365))))</formula>
    </cfRule>
  </conditionalFormatting>
  <conditionalFormatting sqref="P365:Q366 P372:Q372 P374:Q374 P376:Q376 P381:Q382 P384:Q385 P389:Q390 P393:Q394 P396:Q396 P399:Q409">
    <cfRule type="containsText" dxfId="2" priority="47894" operator="containsText" text="Yes">
      <formula>NOT(ISERROR(SEARCH(("Yes"),(P365))))</formula>
    </cfRule>
  </conditionalFormatting>
  <conditionalFormatting sqref="P365:Q366 P372:Q372 P374:Q374 P376:Q376 P381:Q382 P384:Q385 P389:Q390 P393:Q394 P396:Q396 P399:Q409">
    <cfRule type="containsText" dxfId="2" priority="47895" operator="containsText" text="Yes">
      <formula>NOT(ISERROR(SEARCH(("Yes"),(P365))))</formula>
    </cfRule>
  </conditionalFormatting>
  <conditionalFormatting sqref="P365:Q366 P372:Q372 P374:Q374 P376:Q376 P381:Q382 P384:Q385 P389:Q390 P393:Q394 P396:Q396 P399:Q409">
    <cfRule type="containsText" dxfId="2" priority="47896" operator="containsText" text="Yes">
      <formula>NOT(ISERROR(SEARCH(("Yes"),(P365))))</formula>
    </cfRule>
  </conditionalFormatting>
  <conditionalFormatting sqref="P365:Q366 P372:Q372 P374:Q374 P376:Q376 P381:Q382 P384:Q385 P389:Q390 P393:Q394 P396:Q396 P399:Q409">
    <cfRule type="containsText" dxfId="2" priority="47897" operator="containsText" text="Yes">
      <formula>NOT(ISERROR(SEARCH(("Yes"),(P365))))</formula>
    </cfRule>
  </conditionalFormatting>
  <conditionalFormatting sqref="P365:Q366 P372:Q372 P374:Q374 P376:Q376 P381:Q382 P384:Q385 P389:Q390 P393:Q394 P396:Q396 P399:Q409">
    <cfRule type="containsText" dxfId="2" priority="47898" operator="containsText" text="Yes">
      <formula>NOT(ISERROR(SEARCH(("Yes"),(P365))))</formula>
    </cfRule>
  </conditionalFormatting>
  <conditionalFormatting sqref="P365:Q366 P372:Q372 P374:Q374 P376:Q376 P381:Q382 P384:Q385 P389:Q390 P393:Q394 P396:Q396 P399:Q409">
    <cfRule type="containsText" dxfId="2" priority="47899" operator="containsText" text="Yes">
      <formula>NOT(ISERROR(SEARCH(("Yes"),(P365))))</formula>
    </cfRule>
  </conditionalFormatting>
  <conditionalFormatting sqref="P365:Q366 P372:Q372 P374:Q374 P376:Q376 P381:Q382 P384:Q385 P389:Q390 P393:Q394 P396:Q396 P399:Q409">
    <cfRule type="containsText" dxfId="2" priority="47900" operator="containsText" text="Yes">
      <formula>NOT(ISERROR(SEARCH(("Yes"),(P365))))</formula>
    </cfRule>
  </conditionalFormatting>
  <conditionalFormatting sqref="P365:Q366 P372:Q372 P374:Q374 P376:Q376 P381:Q382 P384:Q385 P389:Q390 P393:Q394 P396:Q396 P399:Q409">
    <cfRule type="containsText" dxfId="2" priority="47901" operator="containsText" text="Yes">
      <formula>NOT(ISERROR(SEARCH(("Yes"),(P365))))</formula>
    </cfRule>
  </conditionalFormatting>
  <conditionalFormatting sqref="P365:Q366 P372:Q372 P374:Q374 P376:Q376 P381:Q382 P384:Q385 P389:Q390 P393:Q394 P396:Q396 P399:Q409">
    <cfRule type="containsText" dxfId="2" priority="47902" operator="containsText" text="Yes">
      <formula>NOT(ISERROR(SEARCH(("Yes"),(P365))))</formula>
    </cfRule>
  </conditionalFormatting>
  <conditionalFormatting sqref="P365:Q366 P372:Q372 P374:Q374 P376:Q376 P381:Q382 P384:Q385 P389:Q390 P393:Q394 P396:Q396 P399:Q409">
    <cfRule type="containsText" dxfId="2" priority="47903" operator="containsText" text="Yes">
      <formula>NOT(ISERROR(SEARCH(("Yes"),(P365))))</formula>
    </cfRule>
  </conditionalFormatting>
  <conditionalFormatting sqref="P365:Q366 P372:Q372 P374:Q374 P376:Q376 P381:Q382 P384:Q385 P389:Q390 P393:Q394 P396:Q396 P399:Q409">
    <cfRule type="containsText" dxfId="2" priority="47904" operator="containsText" text="Yes">
      <formula>NOT(ISERROR(SEARCH(("Yes"),(P365))))</formula>
    </cfRule>
  </conditionalFormatting>
  <conditionalFormatting sqref="P365:Q366 P372:Q372 P374:Q374 P376:Q376 P381:Q382 P384:Q385 P389:Q390 P393:Q394 P396:Q396 P399:Q409">
    <cfRule type="containsText" dxfId="2" priority="47905" operator="containsText" text="Yes">
      <formula>NOT(ISERROR(SEARCH(("Yes"),(P365))))</formula>
    </cfRule>
  </conditionalFormatting>
  <conditionalFormatting sqref="P365:Q366 P372:Q372 P374:Q374 P376:Q376 P381:Q382 P384:Q385 P389:Q390 P393:Q394 P396:Q396 P399:Q409">
    <cfRule type="containsText" dxfId="2" priority="47906" operator="containsText" text="Yes">
      <formula>NOT(ISERROR(SEARCH(("Yes"),(P365))))</formula>
    </cfRule>
  </conditionalFormatting>
  <conditionalFormatting sqref="P365:Q366 P372:Q372 P374:Q374 P376:Q376 P381:Q382 P384:Q385 P389:Q390 P393:Q394 P396:Q396 P399:Q409">
    <cfRule type="containsText" dxfId="2" priority="47907" operator="containsText" text="Yes">
      <formula>NOT(ISERROR(SEARCH(("Yes"),(P365))))</formula>
    </cfRule>
  </conditionalFormatting>
  <conditionalFormatting sqref="P365:Q366 P372:Q372 P374:Q374 P376:Q376 P381:Q382 P384:Q385 P389:Q390 P393:Q394 P396:Q396 P399:Q409">
    <cfRule type="containsText" dxfId="2" priority="47908" operator="containsText" text="Yes">
      <formula>NOT(ISERROR(SEARCH(("Yes"),(P365))))</formula>
    </cfRule>
  </conditionalFormatting>
  <conditionalFormatting sqref="P365:Q366 P372:Q372 P374:Q374 P376:Q376 P381:Q382 P384:Q385 P389:Q390 P393:Q394 P396:Q396 P399:Q409">
    <cfRule type="containsText" dxfId="2" priority="47909" operator="containsText" text="Yes">
      <formula>NOT(ISERROR(SEARCH(("Yes"),(P365))))</formula>
    </cfRule>
  </conditionalFormatting>
  <conditionalFormatting sqref="P365:Q366 P372:Q372 P374:Q374 P376:Q376 P381:Q382 P384:Q385 P389:Q390 P393:Q394 P396:Q396 P399:Q409">
    <cfRule type="containsText" dxfId="2" priority="47910" operator="containsText" text="Yes">
      <formula>NOT(ISERROR(SEARCH(("Yes"),(P365))))</formula>
    </cfRule>
  </conditionalFormatting>
  <conditionalFormatting sqref="P365:Q366 P372:Q372 P374:Q374 P376:Q376 P381:Q382 P384:Q385 P389:Q390 P393:Q394 P396:Q396 P399:Q409">
    <cfRule type="containsText" dxfId="2" priority="47911" operator="containsText" text="Yes">
      <formula>NOT(ISERROR(SEARCH(("Yes"),(P365))))</formula>
    </cfRule>
  </conditionalFormatting>
  <conditionalFormatting sqref="P365:Q366 P372:Q372 P374:Q374 P376:Q376 P381:Q382 P384:Q385 P389:Q390 P393:Q394 P396:Q396 P399:Q409">
    <cfRule type="containsText" dxfId="2" priority="47912" operator="containsText" text="Yes">
      <formula>NOT(ISERROR(SEARCH(("Yes"),(P365))))</formula>
    </cfRule>
  </conditionalFormatting>
  <conditionalFormatting sqref="O366 O372 O374 O376 O379 O381:O382 O384:O385 O389:O390 O393:O394 O396 O399:O409">
    <cfRule type="containsText" dxfId="9" priority="47913" operator="containsText" text="No">
      <formula>NOT(ISERROR(SEARCH(("No"),(O366))))</formula>
    </cfRule>
  </conditionalFormatting>
  <conditionalFormatting sqref="O366 O372 O374 O376 O379 O381:O382 O384:O385 O389:O390 O393:O394 O396 O399:O409">
    <cfRule type="containsText" dxfId="9" priority="47914" operator="containsText" text="No">
      <formula>NOT(ISERROR(SEARCH(("No"),(O366))))</formula>
    </cfRule>
  </conditionalFormatting>
  <conditionalFormatting sqref="O366 O372 O374 O376 O379 O381:O382 O384:O385 O389:O390 O393:O394 O396 O399:O409">
    <cfRule type="containsText" dxfId="9" priority="47915" operator="containsText" text="No">
      <formula>NOT(ISERROR(SEARCH(("No"),(O366))))</formula>
    </cfRule>
  </conditionalFormatting>
  <conditionalFormatting sqref="O366 O372 O374 O376 O379 O381:O382 O384:O385 O389:O390 O393:O394 O396 O399:O409">
    <cfRule type="containsText" dxfId="2" priority="47916" operator="containsText" text="Yes">
      <formula>NOT(ISERROR(SEARCH(("Yes"),(O366))))</formula>
    </cfRule>
  </conditionalFormatting>
  <conditionalFormatting sqref="O366 O372 O374 O376 O379 O381:O382 O384:O385 O389:O390 O393:O394 O396 O399:O409">
    <cfRule type="containsText" dxfId="2" priority="47917" operator="containsText" text="Yes">
      <formula>NOT(ISERROR(SEARCH(("Yes"),(O366))))</formula>
    </cfRule>
  </conditionalFormatting>
  <conditionalFormatting sqref="O366 O372 O374 O376 O379 O381:O382 O384:O385 O389:O390 O393:O394 O396 O399:O409">
    <cfRule type="containsText" dxfId="2" priority="47918" operator="containsText" text="Yes">
      <formula>NOT(ISERROR(SEARCH(("Yes"),(O366))))</formula>
    </cfRule>
  </conditionalFormatting>
  <conditionalFormatting sqref="O366 O372 O374 O376 O379 O381:O382 O384:O385 O389:O390 O393:O394 O396 O399:O409">
    <cfRule type="containsText" dxfId="2" priority="47919" operator="containsText" text="Yes">
      <formula>NOT(ISERROR(SEARCH(("Yes"),(O366))))</formula>
    </cfRule>
  </conditionalFormatting>
  <conditionalFormatting sqref="O366 O372 O374 O376 O379 O381:O382 O384:O385 O389:O390 O393:O394 O396 O399:O409">
    <cfRule type="containsText" dxfId="2" priority="47920" operator="containsText" text="Yes">
      <formula>NOT(ISERROR(SEARCH(("Yes"),(O366))))</formula>
    </cfRule>
  </conditionalFormatting>
  <conditionalFormatting sqref="O366 O372 O374 O376 O379 O381:O382 O384:O385 O389:O390 O393:O394 O396 O399:O409">
    <cfRule type="containsText" dxfId="9" priority="47921" operator="containsText" text="No">
      <formula>NOT(ISERROR(SEARCH(("No"),(O366))))</formula>
    </cfRule>
  </conditionalFormatting>
  <conditionalFormatting sqref="O366 O372 O374 O376 O379 O381:O382 O384:O385 O389:O390 O393:O394 O396 O399:O409">
    <cfRule type="containsText" dxfId="9" priority="47922" operator="containsText" text="No">
      <formula>NOT(ISERROR(SEARCH(("No"),(O366))))</formula>
    </cfRule>
  </conditionalFormatting>
  <conditionalFormatting sqref="O366 O372 O374 O376 O379 O381:O382 O384:O385 O389:O390 O393:O394 O396 O399:O409">
    <cfRule type="containsText" dxfId="2" priority="47923" operator="containsText" text="Yes">
      <formula>NOT(ISERROR(SEARCH(("Yes"),(O366))))</formula>
    </cfRule>
  </conditionalFormatting>
  <conditionalFormatting sqref="N366 N372 N374 N376 N379 N381:N382 N384:N385 N389:N390 N393:N396 N399:N409">
    <cfRule type="containsText" dxfId="9" priority="47924" operator="containsText" text="No">
      <formula>NOT(ISERROR(SEARCH(("No"),(N366))))</formula>
    </cfRule>
  </conditionalFormatting>
  <conditionalFormatting sqref="N366 N372 N374 N376 N379 N381:N382 N384:N385 N389:N390 N393:N396 N399:N409">
    <cfRule type="containsText" dxfId="9" priority="47925" operator="containsText" text="No">
      <formula>NOT(ISERROR(SEARCH(("No"),(N366))))</formula>
    </cfRule>
  </conditionalFormatting>
  <conditionalFormatting sqref="N366 N372 N374 N376 N379 N381:N382 N384:N385 N389:N390 N393:N396 N399:N409">
    <cfRule type="containsText" dxfId="9" priority="47926" operator="containsText" text="No">
      <formula>NOT(ISERROR(SEARCH(("No"),(N366))))</formula>
    </cfRule>
  </conditionalFormatting>
  <conditionalFormatting sqref="N366 N372 N374 N376 N379 N381:N382 N384:N385 N389:N390 N393:N396 N399:N409">
    <cfRule type="containsText" dxfId="2" priority="47927" operator="containsText" text="Yes">
      <formula>NOT(ISERROR(SEARCH(("Yes"),(N366))))</formula>
    </cfRule>
  </conditionalFormatting>
  <conditionalFormatting sqref="N366 N372 N374 N376 N379 N381:N382 N384:N385 N389:N390 N393:N396 N399:N409">
    <cfRule type="containsText" dxfId="2" priority="47928" operator="containsText" text="Yes">
      <formula>NOT(ISERROR(SEARCH(("Yes"),(N366))))</formula>
    </cfRule>
  </conditionalFormatting>
  <conditionalFormatting sqref="N366 N372 N374 N376 N379 N381:N382 N384:N385 N389:N390 N393:N396 N399:N409">
    <cfRule type="containsText" dxfId="2" priority="47929" operator="containsText" text="Yes">
      <formula>NOT(ISERROR(SEARCH(("Yes"),(N366))))</formula>
    </cfRule>
  </conditionalFormatting>
  <conditionalFormatting sqref="N366 N372 N374 N376 N379 N381:N382 N384:N385 N389:N390 N393:N396 N399:N409">
    <cfRule type="containsText" dxfId="2" priority="47930" operator="containsText" text="Yes">
      <formula>NOT(ISERROR(SEARCH(("Yes"),(N366))))</formula>
    </cfRule>
  </conditionalFormatting>
  <conditionalFormatting sqref="N366 N372 N374 N376 N379 N381:N382 N384:N385 N389:N390 N393:N396 N399:N409">
    <cfRule type="containsText" dxfId="2" priority="47931" operator="containsText" text="Yes">
      <formula>NOT(ISERROR(SEARCH(("Yes"),(N366))))</formula>
    </cfRule>
  </conditionalFormatting>
  <conditionalFormatting sqref="N366 N372 N374 N376 N379 N381:N382 N384:N385 N389:N390 N393:N396 N399:N409">
    <cfRule type="containsText" dxfId="9" priority="47932" operator="containsText" text="No">
      <formula>NOT(ISERROR(SEARCH(("No"),(N366))))</formula>
    </cfRule>
  </conditionalFormatting>
  <conditionalFormatting sqref="N366 N372 N374 N376 N379 N381:N382 N384:N385 N389:N390 N393:N396 N399:N409">
    <cfRule type="containsText" dxfId="9" priority="47933" operator="containsText" text="No">
      <formula>NOT(ISERROR(SEARCH(("No"),(N366))))</formula>
    </cfRule>
  </conditionalFormatting>
  <conditionalFormatting sqref="N366 N372 N374 N376 N379 N381:N382 N384:N385 N389:N390 N393:N396 N399:N409">
    <cfRule type="containsText" dxfId="2" priority="47934" operator="containsText" text="Yes">
      <formula>NOT(ISERROR(SEARCH(("Yes"),(N366))))</formula>
    </cfRule>
  </conditionalFormatting>
  <conditionalFormatting sqref="P366:Q366 P372:Q372 P374:Q374 P376:Q376 P381:Q382 P384:Q385 P389:Q390 P393:Q394 P396:Q396 P399:Q409">
    <cfRule type="containsText" dxfId="9" priority="47935" operator="containsText" text="No">
      <formula>NOT(ISERROR(SEARCH(("No"),(P366))))</formula>
    </cfRule>
  </conditionalFormatting>
  <conditionalFormatting sqref="P366:Q366 P372:Q372 P374:Q374 P376:Q376 P381:Q382 P384:Q385 P389:Q390 P393:Q394 P396:Q396 P399:Q409">
    <cfRule type="containsText" dxfId="9" priority="47936" operator="containsText" text="No">
      <formula>NOT(ISERROR(SEARCH(("No"),(P366))))</formula>
    </cfRule>
  </conditionalFormatting>
  <conditionalFormatting sqref="P366:Q366 P372:Q372 P374:Q374 P376:Q376 P381:Q382 P384:Q385 P389:Q390 P393:Q394 P396:Q396 P399:Q409">
    <cfRule type="containsText" dxfId="9" priority="47937" operator="containsText" text="No">
      <formula>NOT(ISERROR(SEARCH(("No"),(P366))))</formula>
    </cfRule>
  </conditionalFormatting>
  <conditionalFormatting sqref="P366:Q366 P372:Q372 P374:Q374 P376:Q376 P381:Q382 P384:Q385 P389:Q390 P393:Q394 P396:Q396 P399:Q409">
    <cfRule type="containsText" dxfId="9" priority="47938" operator="containsText" text="No">
      <formula>NOT(ISERROR(SEARCH(("No"),(P366))))</formula>
    </cfRule>
  </conditionalFormatting>
  <conditionalFormatting sqref="P366:Q366 P372:Q372 P374:Q374 P376:Q376 P381:Q382 P384:Q385 P389:Q390 P393:Q394 P396:Q396 P399:Q409">
    <cfRule type="containsText" dxfId="9" priority="47939" operator="containsText" text="No">
      <formula>NOT(ISERROR(SEARCH(("No"),(P366))))</formula>
    </cfRule>
  </conditionalFormatting>
  <conditionalFormatting sqref="P366:Q366 P372:Q372 P374:Q374 P376:Q376 P381:Q382 P384:Q385 P389:Q390 P393:Q394 P396:Q396 P399:Q409">
    <cfRule type="containsText" dxfId="9" priority="47940" operator="containsText" text="No">
      <formula>NOT(ISERROR(SEARCH(("No"),(P366))))</formula>
    </cfRule>
  </conditionalFormatting>
  <conditionalFormatting sqref="P366:Q366 P372:Q372 P374:Q374 P376:Q376 P381:Q382 P384:Q385 P389:Q390 P393:Q394 P396:Q396 P399:Q409">
    <cfRule type="containsText" dxfId="9" priority="47941" operator="containsText" text="No">
      <formula>NOT(ISERROR(SEARCH(("No"),(P366))))</formula>
    </cfRule>
  </conditionalFormatting>
  <conditionalFormatting sqref="P366:Q366 P372:Q372 P374:Q374 P376:Q376 P381:Q382 P384:Q385 P389:Q390 P393:Q394 P396:Q396 P399:Q409">
    <cfRule type="containsText" dxfId="9" priority="47942" operator="containsText" text="No">
      <formula>NOT(ISERROR(SEARCH(("No"),(P366))))</formula>
    </cfRule>
  </conditionalFormatting>
  <conditionalFormatting sqref="P366:Q366 P372:Q372 P374:Q374 P376:Q376 P381:Q382 P384:Q385 P389:Q390 P393:Q394 P396:Q396 P399:Q409">
    <cfRule type="containsText" dxfId="9" priority="47943" operator="containsText" text="No">
      <formula>NOT(ISERROR(SEARCH(("No"),(P366))))</formula>
    </cfRule>
  </conditionalFormatting>
  <conditionalFormatting sqref="P366:Q366 P372:Q372 P374:Q374 P376:Q376 P381:Q382 P384:Q385 P389:Q390 P393:Q394 P396:Q396 P399:Q409">
    <cfRule type="containsText" dxfId="9" priority="47944" operator="containsText" text="No">
      <formula>NOT(ISERROR(SEARCH(("No"),(P366))))</formula>
    </cfRule>
  </conditionalFormatting>
  <conditionalFormatting sqref="P366:Q366 P372:Q372 P374:Q374 P376:Q376 P381:Q382 P384:Q385 P389:Q390 P393:Q394 P396:Q396 P399:Q409">
    <cfRule type="containsText" dxfId="9" priority="47945" operator="containsText" text="No">
      <formula>NOT(ISERROR(SEARCH(("No"),(P366))))</formula>
    </cfRule>
  </conditionalFormatting>
  <conditionalFormatting sqref="P366:Q366 P372:Q372 P374:Q374 P376:Q376 P381:Q382 P384:Q385 P389:Q390 P393:Q394 P396:Q396 P399:Q409">
    <cfRule type="containsText" dxfId="9" priority="47946" operator="containsText" text="No">
      <formula>NOT(ISERROR(SEARCH(("No"),(P366))))</formula>
    </cfRule>
  </conditionalFormatting>
  <conditionalFormatting sqref="P366:Q366 P372:Q372 P374:Q374 P376:Q376 P381:Q382 P384:Q385 P389:Q390 P393:Q394 P396:Q396 P399:Q409">
    <cfRule type="containsText" dxfId="9" priority="47947" operator="containsText" text="No">
      <formula>NOT(ISERROR(SEARCH(("No"),(P366))))</formula>
    </cfRule>
  </conditionalFormatting>
  <conditionalFormatting sqref="P366:Q366 P372:Q372 P374:Q374 P376:Q376 P381:Q382 P384:Q385 P389:Q390 P393:Q394 P396:Q396 P399:Q409">
    <cfRule type="containsText" dxfId="9" priority="47948" operator="containsText" text="No">
      <formula>NOT(ISERROR(SEARCH(("No"),(P366))))</formula>
    </cfRule>
  </conditionalFormatting>
  <conditionalFormatting sqref="P366:Q366 P372:Q372 P374:Q374 P376:Q376 P381:Q382 P384:Q385 P389:Q390 P393:Q394 P396:Q396 P399:Q409">
    <cfRule type="containsText" dxfId="9" priority="47949" operator="containsText" text="No">
      <formula>NOT(ISERROR(SEARCH(("No"),(P366))))</formula>
    </cfRule>
  </conditionalFormatting>
  <conditionalFormatting sqref="P366:Q366 P372:Q372 P374:Q374 P376:Q376 P381:Q382 P384:Q385 P389:Q390 P393:Q394 P396:Q396 P399:Q409">
    <cfRule type="containsText" dxfId="9" priority="47950" operator="containsText" text="No">
      <formula>NOT(ISERROR(SEARCH(("No"),(P366))))</formula>
    </cfRule>
  </conditionalFormatting>
  <conditionalFormatting sqref="P366:Q366 P372:Q372 P374:Q374 P376:Q376 P381:Q382 P384:Q385 P389:Q390 P393:Q394 P396:Q396 P399:Q409">
    <cfRule type="containsText" dxfId="9" priority="47951" operator="containsText" text="No">
      <formula>NOT(ISERROR(SEARCH(("No"),(P366))))</formula>
    </cfRule>
  </conditionalFormatting>
  <conditionalFormatting sqref="P366:Q366 P372:Q372 P374:Q374 P376:Q376 P381:Q382 P384:Q385 P389:Q390 P393:Q394 P396:Q396 P399:Q409">
    <cfRule type="containsText" dxfId="9" priority="47952" operator="containsText" text="No">
      <formula>NOT(ISERROR(SEARCH(("No"),(P366))))</formula>
    </cfRule>
  </conditionalFormatting>
  <conditionalFormatting sqref="P366:Q366 P372:Q372 P374:Q374 P376:Q376 P381:Q382 P384:Q385 P389:Q390 P393:Q394 P396:Q396 P399:Q409">
    <cfRule type="containsText" dxfId="9" priority="47953" operator="containsText" text="No">
      <formula>NOT(ISERROR(SEARCH(("No"),(P366))))</formula>
    </cfRule>
  </conditionalFormatting>
  <conditionalFormatting sqref="P366:Q366 P372:Q372 P374:Q374 P376:Q376 P381:Q382 P384:Q385 P389:Q390 P393:Q394 P396:Q396 P399:Q409">
    <cfRule type="containsText" dxfId="9" priority="47954" operator="containsText" text="No">
      <formula>NOT(ISERROR(SEARCH(("No"),(P366))))</formula>
    </cfRule>
  </conditionalFormatting>
  <conditionalFormatting sqref="P366:Q366 P372:Q372 P374:Q374 P376:Q376 P381:Q382 P384:Q385 P389:Q390 P393:Q394 P396:Q396 P399:Q409">
    <cfRule type="containsText" dxfId="9" priority="47955" operator="containsText" text="No">
      <formula>NOT(ISERROR(SEARCH(("No"),(P366))))</formula>
    </cfRule>
  </conditionalFormatting>
  <conditionalFormatting sqref="P366:Q366 P372:Q372 P374:Q374 P376:Q376 P381:Q382 P384:Q385 P389:Q390 P393:Q394 P396:Q396 P399:Q409">
    <cfRule type="containsText" dxfId="9" priority="47956" operator="containsText" text="No">
      <formula>NOT(ISERROR(SEARCH(("No"),(P366))))</formula>
    </cfRule>
  </conditionalFormatting>
  <conditionalFormatting sqref="P366:Q366 P372:Q372 P374:Q374 P376:Q376 P381:Q382 P384:Q385 P389:Q390 P393:Q394 P396:Q396 P399:Q409">
    <cfRule type="containsText" dxfId="9" priority="47957" operator="containsText" text="No">
      <formula>NOT(ISERROR(SEARCH(("No"),(P366))))</formula>
    </cfRule>
  </conditionalFormatting>
  <conditionalFormatting sqref="P366:Q366 P372:Q372 P374:Q374 P376:Q376 P381:Q382 P384:Q385 P389:Q390 P393:Q394 P396:Q396 P399:Q409">
    <cfRule type="containsText" dxfId="9" priority="47958" operator="containsText" text="No">
      <formula>NOT(ISERROR(SEARCH(("No"),(P366))))</formula>
    </cfRule>
  </conditionalFormatting>
  <conditionalFormatting sqref="P366:Q366 P372:Q372 P374:Q374 P376:Q376 P381:Q382 P384:Q385 P389:Q390 P393:Q394 P396:Q396 P399:Q409">
    <cfRule type="containsText" dxfId="9" priority="47959" operator="containsText" text="No">
      <formula>NOT(ISERROR(SEARCH(("No"),(P366))))</formula>
    </cfRule>
  </conditionalFormatting>
  <conditionalFormatting sqref="P366:Q366 P372:Q372 P374:Q374 P376:Q376 P381:Q382 P384:Q385 P389:Q390 P393:Q394 P396:Q396 P399:Q409">
    <cfRule type="containsText" dxfId="9" priority="47960" operator="containsText" text="No">
      <formula>NOT(ISERROR(SEARCH(("No"),(P366))))</formula>
    </cfRule>
  </conditionalFormatting>
  <conditionalFormatting sqref="P366:Q366 P372:Q372 P374:Q374 P376:Q376 P381:Q382 P384:Q385 P389:Q390 P393:Q394 P396:Q396 P399:Q409">
    <cfRule type="containsText" dxfId="9" priority="47961" operator="containsText" text="No">
      <formula>NOT(ISERROR(SEARCH(("No"),(P366))))</formula>
    </cfRule>
  </conditionalFormatting>
  <conditionalFormatting sqref="P366:Q366 P372:Q372 P374:Q374 P376:Q376 P381:Q382 P384:Q385 P389:Q390 P393:Q394 P396:Q396 P399:Q409">
    <cfRule type="containsText" dxfId="9" priority="47962" operator="containsText" text="No">
      <formula>NOT(ISERROR(SEARCH(("No"),(P366))))</formula>
    </cfRule>
  </conditionalFormatting>
  <conditionalFormatting sqref="P366:Q366 P372:Q372 P374:Q374 P376:Q376 P381:Q382 P384:Q385 P389:Q390 P393:Q394 P396:Q396 P399:Q409">
    <cfRule type="containsText" dxfId="9" priority="47963" operator="containsText" text="No">
      <formula>NOT(ISERROR(SEARCH(("No"),(P366))))</formula>
    </cfRule>
  </conditionalFormatting>
  <conditionalFormatting sqref="P366:Q366 P372:Q372 P374:Q374 P376:Q376 P381:Q382 P384:Q385 P389:Q390 P393:Q394 P396:Q396 P399:Q409">
    <cfRule type="containsText" dxfId="9" priority="47964" operator="containsText" text="No">
      <formula>NOT(ISERROR(SEARCH(("No"),(P366))))</formula>
    </cfRule>
  </conditionalFormatting>
  <conditionalFormatting sqref="P366:Q366 P372:Q372 P374:Q374 P376:Q376 P381:Q382 P384:Q385 P389:Q390 P393:Q394 P396:Q396 P399:Q409">
    <cfRule type="containsText" dxfId="9" priority="47965" operator="containsText" text="No">
      <formula>NOT(ISERROR(SEARCH(("No"),(P366))))</formula>
    </cfRule>
  </conditionalFormatting>
  <conditionalFormatting sqref="P366:Q366 P372:Q372 P374:Q374 P376:Q376 P381:Q382 P384:Q385 P389:Q390 P393:Q394 P396:Q396 P399:Q409">
    <cfRule type="containsText" dxfId="9" priority="47966" operator="containsText" text="No">
      <formula>NOT(ISERROR(SEARCH(("No"),(P366))))</formula>
    </cfRule>
  </conditionalFormatting>
  <conditionalFormatting sqref="P366:Q366 P372:Q372 P374:Q374 P376:Q376 P381:Q382 P384:Q385 P389:Q390 P393:Q394 P396:Q396 P399:Q409">
    <cfRule type="containsText" dxfId="9" priority="47967" operator="containsText" text="No">
      <formula>NOT(ISERROR(SEARCH(("No"),(P366))))</formula>
    </cfRule>
  </conditionalFormatting>
  <conditionalFormatting sqref="P366:Q366 P372:Q372 P374:Q374 P376:Q376 P381:Q382 P384:Q385 P389:Q390 P393:Q394 P396:Q396 P399:Q409">
    <cfRule type="containsText" dxfId="9" priority="47968" operator="containsText" text="No">
      <formula>NOT(ISERROR(SEARCH(("No"),(P366))))</formula>
    </cfRule>
  </conditionalFormatting>
  <conditionalFormatting sqref="P366:Q366 P372:Q372 P374:Q374 P376:Q376 P381:Q382 P384:Q385 P389:Q390 P393:Q394 P396:Q396 P399:Q409">
    <cfRule type="containsText" dxfId="9" priority="47969" operator="containsText" text="No">
      <formula>NOT(ISERROR(SEARCH(("No"),(P366))))</formula>
    </cfRule>
  </conditionalFormatting>
  <conditionalFormatting sqref="P366:Q366 P372:Q372 P374:Q374 P376:Q376 P381:Q382 P384:Q385 P389:Q390 P393:Q394 P396:Q396 P399:Q409">
    <cfRule type="containsText" dxfId="9" priority="47970" operator="containsText" text="No">
      <formula>NOT(ISERROR(SEARCH(("No"),(P366))))</formula>
    </cfRule>
  </conditionalFormatting>
  <conditionalFormatting sqref="P366:Q366 P372:Q372 P374:Q374 P376:Q376 P381:Q382 P384:Q385 P389:Q390 P393:Q394 P396:Q396 P399:Q409">
    <cfRule type="containsText" dxfId="9" priority="47971" operator="containsText" text="No">
      <formula>NOT(ISERROR(SEARCH(("No"),(P366))))</formula>
    </cfRule>
  </conditionalFormatting>
  <conditionalFormatting sqref="P366:Q366 P372:Q372 P374:Q374 P376:Q376 P381:Q382 P384:Q385 P389:Q390 P393:Q394 P396:Q396 P399:Q409">
    <cfRule type="containsText" dxfId="9" priority="47972" operator="containsText" text="No">
      <formula>NOT(ISERROR(SEARCH(("No"),(P366))))</formula>
    </cfRule>
  </conditionalFormatting>
  <conditionalFormatting sqref="P366:Q366 P372:Q372 P374:Q374 P376:Q376 P381:Q382 P384:Q385 P389:Q390 P393:Q394 P396:Q396 P399:Q409">
    <cfRule type="containsText" dxfId="9" priority="47973" operator="containsText" text="No">
      <formula>NOT(ISERROR(SEARCH(("No"),(P366))))</formula>
    </cfRule>
  </conditionalFormatting>
  <conditionalFormatting sqref="P366:Q366 P372:Q372 P374:Q374 P376:Q376 P381:Q382 P384:Q385 P389:Q390 P393:Q394 P396:Q396 P399:Q409">
    <cfRule type="containsText" dxfId="9" priority="47974" operator="containsText" text="No">
      <formula>NOT(ISERROR(SEARCH(("No"),(P366))))</formula>
    </cfRule>
  </conditionalFormatting>
  <conditionalFormatting sqref="P366:Q366 P372:Q372 P374:Q374 P376:Q376 P381:Q382 P384:Q385 P389:Q390 P393:Q394 P396:Q396 P399:Q409">
    <cfRule type="containsText" dxfId="9" priority="47975" operator="containsText" text="No">
      <formula>NOT(ISERROR(SEARCH(("No"),(P366))))</formula>
    </cfRule>
  </conditionalFormatting>
  <conditionalFormatting sqref="P366:Q366 P372:Q372 P374:Q374 P376:Q376 P381:Q382 P384:Q385 P389:Q390 P393:Q394 P396:Q396 P399:Q409">
    <cfRule type="containsText" dxfId="9" priority="47976" operator="containsText" text="No">
      <formula>NOT(ISERROR(SEARCH(("No"),(P366))))</formula>
    </cfRule>
  </conditionalFormatting>
  <conditionalFormatting sqref="P366:Q366 P372:Q372 P374:Q374 P376:Q376 P381:Q382 P384:Q385 P389:Q390 P393:Q394 P396:Q396 P399:Q409">
    <cfRule type="containsText" dxfId="9" priority="47977" operator="containsText" text="No">
      <formula>NOT(ISERROR(SEARCH(("No"),(P366))))</formula>
    </cfRule>
  </conditionalFormatting>
  <conditionalFormatting sqref="P366:Q366 P372:Q372 P374:Q374 P376:Q376 P381:Q382 P384:Q385 P389:Q390 P393:Q394 P396:Q396 P399:Q409">
    <cfRule type="containsText" dxfId="9" priority="47978" operator="containsText" text="No">
      <formula>NOT(ISERROR(SEARCH(("No"),(P366))))</formula>
    </cfRule>
  </conditionalFormatting>
  <conditionalFormatting sqref="P366:Q366 P372:Q372 P374:Q374 P376:Q376 P381:Q382 P384:Q385 P389:Q390 P393:Q394 P396:Q396 P399:Q409">
    <cfRule type="containsText" dxfId="9" priority="47979" operator="containsText" text="No">
      <formula>NOT(ISERROR(SEARCH(("No"),(P366))))</formula>
    </cfRule>
  </conditionalFormatting>
  <conditionalFormatting sqref="P366:Q366 P372:Q372 P374:Q374 P376:Q376 P381:Q382 P384:Q385 P389:Q390 P393:Q394 P396:Q396 P399:Q409">
    <cfRule type="containsText" dxfId="2" priority="47980" operator="containsText" text="Yes">
      <formula>NOT(ISERROR(SEARCH(("Yes"),(P366))))</formula>
    </cfRule>
  </conditionalFormatting>
  <conditionalFormatting sqref="P366:Q366 P372:Q372 P374:Q374 P376:Q376 P381:Q382 P384:Q385 P389:Q390 P393:Q394 P396:Q396 P399:Q409">
    <cfRule type="containsText" dxfId="2" priority="47981" operator="containsText" text="Yes">
      <formula>NOT(ISERROR(SEARCH(("Yes"),(P366))))</formula>
    </cfRule>
  </conditionalFormatting>
  <conditionalFormatting sqref="P366:Q366 P372:Q372 P374:Q374 P376:Q376 P381:Q382 P384:Q385 P389:Q390 P393:Q394 P396:Q396 P399:Q409">
    <cfRule type="containsText" dxfId="2" priority="47982" operator="containsText" text="Yes">
      <formula>NOT(ISERROR(SEARCH(("Yes"),(P366))))</formula>
    </cfRule>
  </conditionalFormatting>
  <conditionalFormatting sqref="P366:Q366 P372:Q372 P374:Q374 P376:Q376 P381:Q382 P384:Q385 P389:Q390 P393:Q394 P396:Q396 P399:Q409">
    <cfRule type="containsText" dxfId="2" priority="47983" operator="containsText" text="Yes">
      <formula>NOT(ISERROR(SEARCH(("Yes"),(P366))))</formula>
    </cfRule>
  </conditionalFormatting>
  <conditionalFormatting sqref="P366:Q366 P372:Q372 P374:Q374 P376:Q376 P381:Q382 P384:Q385 P389:Q390 P393:Q394 P396:Q396 P399:Q409">
    <cfRule type="containsText" dxfId="2" priority="47984" operator="containsText" text="Yes">
      <formula>NOT(ISERROR(SEARCH(("Yes"),(P366))))</formula>
    </cfRule>
  </conditionalFormatting>
  <conditionalFormatting sqref="P366:Q366 P372:Q372 P374:Q374 P376:Q376 P381:Q382 P384:Q385 P389:Q390 P393:Q394 P396:Q396 P399:Q409">
    <cfRule type="containsText" dxfId="2" priority="47985" operator="containsText" text="Yes">
      <formula>NOT(ISERROR(SEARCH(("Yes"),(P366))))</formula>
    </cfRule>
  </conditionalFormatting>
  <conditionalFormatting sqref="P366:Q366 P372:Q372 P374:Q374 P376:Q376 P381:Q382 P384:Q385 P389:Q390 P393:Q394 P396:Q396 P399:Q409">
    <cfRule type="containsText" dxfId="2" priority="47986" operator="containsText" text="Yes">
      <formula>NOT(ISERROR(SEARCH(("Yes"),(P366))))</formula>
    </cfRule>
  </conditionalFormatting>
  <conditionalFormatting sqref="P366:Q366 P372:Q372 P374:Q374 P376:Q376 P381:Q382 P384:Q385 P389:Q390 P393:Q394 P396:Q396 P399:Q409">
    <cfRule type="containsText" dxfId="2" priority="47987" operator="containsText" text="Yes">
      <formula>NOT(ISERROR(SEARCH(("Yes"),(P366))))</formula>
    </cfRule>
  </conditionalFormatting>
  <conditionalFormatting sqref="P366:Q366 P372:Q372 P374:Q374 P376:Q376 P381:Q382 P384:Q385 P389:Q390 P393:Q394 P396:Q396 P399:Q409">
    <cfRule type="containsText" dxfId="2" priority="47988" operator="containsText" text="Yes">
      <formula>NOT(ISERROR(SEARCH(("Yes"),(P366))))</formula>
    </cfRule>
  </conditionalFormatting>
  <conditionalFormatting sqref="P366:Q366 P372:Q372 P374:Q374 P376:Q376 P381:Q382 P384:Q385 P389:Q390 P393:Q394 P396:Q396 P399:Q409">
    <cfRule type="containsText" dxfId="2" priority="47989" operator="containsText" text="Yes">
      <formula>NOT(ISERROR(SEARCH(("Yes"),(P366))))</formula>
    </cfRule>
  </conditionalFormatting>
  <conditionalFormatting sqref="P366:Q366 P372:Q372 P374:Q374 P376:Q376 P381:Q382 P384:Q385 P389:Q390 P393:Q394 P396:Q396 P399:Q409">
    <cfRule type="containsText" dxfId="2" priority="47990" operator="containsText" text="Yes">
      <formula>NOT(ISERROR(SEARCH(("Yes"),(P366))))</formula>
    </cfRule>
  </conditionalFormatting>
  <conditionalFormatting sqref="P366:Q366 P372:Q372 P374:Q374 P376:Q376 P381:Q382 P384:Q385 P389:Q390 P393:Q394 P396:Q396 P399:Q409">
    <cfRule type="containsText" dxfId="2" priority="47991" operator="containsText" text="Yes">
      <formula>NOT(ISERROR(SEARCH(("Yes"),(P366))))</formula>
    </cfRule>
  </conditionalFormatting>
  <conditionalFormatting sqref="P366:Q366 P372:Q372 P374:Q374 P376:Q376 P381:Q382 P384:Q385 P389:Q390 P393:Q394 P396:Q396 P399:Q409">
    <cfRule type="containsText" dxfId="2" priority="47992" operator="containsText" text="Yes">
      <formula>NOT(ISERROR(SEARCH(("Yes"),(P366))))</formula>
    </cfRule>
  </conditionalFormatting>
  <conditionalFormatting sqref="P366:Q366 P372:Q372 P374:Q374 P376:Q376 P381:Q382 P384:Q385 P389:Q390 P393:Q394 P396:Q396 P399:Q409">
    <cfRule type="containsText" dxfId="2" priority="47993" operator="containsText" text="Yes">
      <formula>NOT(ISERROR(SEARCH(("Yes"),(P366))))</formula>
    </cfRule>
  </conditionalFormatting>
  <conditionalFormatting sqref="P366:Q366 P372:Q372 P374:Q374 P376:Q376 P381:Q382 P384:Q385 P389:Q390 P393:Q394 P396:Q396 P399:Q409">
    <cfRule type="containsText" dxfId="2" priority="47994" operator="containsText" text="Yes">
      <formula>NOT(ISERROR(SEARCH(("Yes"),(P366))))</formula>
    </cfRule>
  </conditionalFormatting>
  <conditionalFormatting sqref="P366:Q366 P372:Q372 P374:Q374 P376:Q376 P381:Q382 P384:Q385 P389:Q390 P393:Q394 P396:Q396 P399:Q409">
    <cfRule type="containsText" dxfId="2" priority="47995" operator="containsText" text="Yes">
      <formula>NOT(ISERROR(SEARCH(("Yes"),(P366))))</formula>
    </cfRule>
  </conditionalFormatting>
  <conditionalFormatting sqref="P366:Q366 P372:Q372 P374:Q374 P376:Q376 P381:Q382 P384:Q385 P389:Q390 P393:Q394 P396:Q396 P399:Q409">
    <cfRule type="containsText" dxfId="2" priority="47996" operator="containsText" text="Yes">
      <formula>NOT(ISERROR(SEARCH(("Yes"),(P366))))</formula>
    </cfRule>
  </conditionalFormatting>
  <conditionalFormatting sqref="P366:Q366 P372:Q372 P374:Q374 P376:Q376 P381:Q382 P384:Q385 P389:Q390 P393:Q394 P396:Q396 P399:Q409">
    <cfRule type="containsText" dxfId="2" priority="47997" operator="containsText" text="Yes">
      <formula>NOT(ISERROR(SEARCH(("Yes"),(P366))))</formula>
    </cfRule>
  </conditionalFormatting>
  <conditionalFormatting sqref="P366:Q366 P372:Q372 P374:Q374 P376:Q376 P381:Q382 P384:Q385 P389:Q390 P393:Q394 P396:Q396 P399:Q409">
    <cfRule type="containsText" dxfId="2" priority="47998" operator="containsText" text="Yes">
      <formula>NOT(ISERROR(SEARCH(("Yes"),(P366))))</formula>
    </cfRule>
  </conditionalFormatting>
  <conditionalFormatting sqref="P366:Q366 P372:Q372 P374:Q374 P376:Q376 P381:Q382 P384:Q385 P389:Q390 P393:Q394 P396:Q396 P399:Q409">
    <cfRule type="containsText" dxfId="2" priority="47999" operator="containsText" text="Yes">
      <formula>NOT(ISERROR(SEARCH(("Yes"),(P366))))</formula>
    </cfRule>
  </conditionalFormatting>
  <conditionalFormatting sqref="P366:Q366 P372:Q372 P374:Q374 P376:Q376 P381:Q382 P384:Q385 P389:Q390 P393:Q394 P396:Q396 P399:Q409">
    <cfRule type="containsText" dxfId="2" priority="48000" operator="containsText" text="Yes">
      <formula>NOT(ISERROR(SEARCH(("Yes"),(P366))))</formula>
    </cfRule>
  </conditionalFormatting>
  <conditionalFormatting sqref="P366:Q366 P372:Q372 P374:Q374 P376:Q376 P381:Q382 P384:Q385 P389:Q390 P393:Q394 P396:Q396 P399:Q409">
    <cfRule type="containsText" dxfId="2" priority="48001" operator="containsText" text="Yes">
      <formula>NOT(ISERROR(SEARCH(("Yes"),(P366))))</formula>
    </cfRule>
  </conditionalFormatting>
  <conditionalFormatting sqref="P366:Q366 P372:Q372 P374:Q374 P376:Q376 P381:Q382 P384:Q385 P389:Q390 P393:Q394 P396:Q396 P399:Q409">
    <cfRule type="containsText" dxfId="2" priority="48002" operator="containsText" text="Yes">
      <formula>NOT(ISERROR(SEARCH(("Yes"),(P366))))</formula>
    </cfRule>
  </conditionalFormatting>
  <conditionalFormatting sqref="P366:Q366 P372:Q372 P374:Q374 P376:Q376 P381:Q382 P384:Q385 P389:Q390 P393:Q394 P396:Q396 P399:Q409">
    <cfRule type="containsText" dxfId="2" priority="48003" operator="containsText" text="Yes">
      <formula>NOT(ISERROR(SEARCH(("Yes"),(P366))))</formula>
    </cfRule>
  </conditionalFormatting>
  <conditionalFormatting sqref="P366:Q366 P372:Q372 P374:Q374 P376:Q376 P381:Q382 P384:Q385 P389:Q390 P393:Q394 P396:Q396 P399:Q409">
    <cfRule type="containsText" dxfId="2" priority="48004" operator="containsText" text="Yes">
      <formula>NOT(ISERROR(SEARCH(("Yes"),(P366))))</formula>
    </cfRule>
  </conditionalFormatting>
  <conditionalFormatting sqref="P366:Q366 P372:Q372 P374:Q374 P376:Q376 P381:Q382 P384:Q385 P389:Q390 P393:Q394 P396:Q396 P399:Q409">
    <cfRule type="containsText" dxfId="2" priority="48005" operator="containsText" text="Yes">
      <formula>NOT(ISERROR(SEARCH(("Yes"),(P366))))</formula>
    </cfRule>
  </conditionalFormatting>
  <conditionalFormatting sqref="P366:Q366 P372:Q372 P374:Q374 P376:Q376 P381:Q382 P384:Q385 P389:Q390 P393:Q394 P396:Q396 P399:Q409">
    <cfRule type="containsText" dxfId="2" priority="48006" operator="containsText" text="Yes">
      <formula>NOT(ISERROR(SEARCH(("Yes"),(P366))))</formula>
    </cfRule>
  </conditionalFormatting>
  <conditionalFormatting sqref="P366:Q366 P372:Q372 P374:Q374 P376:Q376 P381:Q382 P384:Q385 P389:Q390 P393:Q394 P396:Q396 P399:Q409">
    <cfRule type="containsText" dxfId="2" priority="48007" operator="containsText" text="Yes">
      <formula>NOT(ISERROR(SEARCH(("Yes"),(P366))))</formula>
    </cfRule>
  </conditionalFormatting>
  <conditionalFormatting sqref="P366:Q366 P372:Q372 P374:Q374 P376:Q376 P381:Q382 P384:Q385 P389:Q390 P393:Q394 P396:Q396 P399:Q409">
    <cfRule type="containsText" dxfId="2" priority="48008" operator="containsText" text="Yes">
      <formula>NOT(ISERROR(SEARCH(("Yes"),(P366))))</formula>
    </cfRule>
  </conditionalFormatting>
  <conditionalFormatting sqref="P366:Q366 P372:Q372 P374:Q374 P376:Q376 P381:Q382 P384:Q385 P389:Q390 P393:Q394 P396:Q396 P399:Q409">
    <cfRule type="containsText" dxfId="2" priority="48009" operator="containsText" text="Yes">
      <formula>NOT(ISERROR(SEARCH(("Yes"),(P366))))</formula>
    </cfRule>
  </conditionalFormatting>
  <conditionalFormatting sqref="P366:Q366 P372:Q372 P374:Q374 P376:Q376 P381:Q382 P384:Q385 P389:Q390 P393:Q394 P396:Q396 P399:Q409">
    <cfRule type="containsText" dxfId="2" priority="48010" operator="containsText" text="Yes">
      <formula>NOT(ISERROR(SEARCH(("Yes"),(P366))))</formula>
    </cfRule>
  </conditionalFormatting>
  <conditionalFormatting sqref="P366:Q366 P372:Q372 P374:Q374 P376:Q376 P381:Q382 P384:Q385 P389:Q390 P393:Q394 P396:Q396 P399:Q409">
    <cfRule type="containsText" dxfId="2" priority="48011" operator="containsText" text="Yes">
      <formula>NOT(ISERROR(SEARCH(("Yes"),(P366))))</formula>
    </cfRule>
  </conditionalFormatting>
  <conditionalFormatting sqref="P366:Q366 P372:Q372 P374:Q374 P376:Q376 P381:Q382 P384:Q385 P389:Q390 P393:Q394 P396:Q396 P399:Q409">
    <cfRule type="containsText" dxfId="2" priority="48012" operator="containsText" text="Yes">
      <formula>NOT(ISERROR(SEARCH(("Yes"),(P366))))</formula>
    </cfRule>
  </conditionalFormatting>
  <conditionalFormatting sqref="P366:Q366 P372:Q372 P374:Q374 P376:Q376 P381:Q382 P384:Q385 P389:Q390 P393:Q394 P396:Q396 P399:Q409">
    <cfRule type="containsText" dxfId="2" priority="48013" operator="containsText" text="Yes">
      <formula>NOT(ISERROR(SEARCH(("Yes"),(P366))))</formula>
    </cfRule>
  </conditionalFormatting>
  <conditionalFormatting sqref="P366:Q366 P372:Q372 P374:Q374 P376:Q376 P381:Q382 P384:Q385 P389:Q390 P393:Q394 P396:Q396 P399:Q409">
    <cfRule type="containsText" dxfId="2" priority="48014" operator="containsText" text="Yes">
      <formula>NOT(ISERROR(SEARCH(("Yes"),(P366))))</formula>
    </cfRule>
  </conditionalFormatting>
  <conditionalFormatting sqref="P366:Q366 P372:Q372 P374:Q374 P376:Q376 P381:Q382 P384:Q385 P389:Q390 P393:Q394 P396:Q396 P399:Q409">
    <cfRule type="containsText" dxfId="2" priority="48015" operator="containsText" text="Yes">
      <formula>NOT(ISERROR(SEARCH(("Yes"),(P366))))</formula>
    </cfRule>
  </conditionalFormatting>
  <conditionalFormatting sqref="P366:Q366 P372:Q372 P374:Q374 P376:Q376 P381:Q382 P384:Q385 P389:Q390 P393:Q394 P396:Q396 P399:Q409">
    <cfRule type="containsText" dxfId="2" priority="48016" operator="containsText" text="Yes">
      <formula>NOT(ISERROR(SEARCH(("Yes"),(P366))))</formula>
    </cfRule>
  </conditionalFormatting>
  <conditionalFormatting sqref="P366:Q366 P372:Q372 P374:Q374 P376:Q376 P381:Q382 P384:Q385 P389:Q390 P393:Q394 P396:Q396 P399:Q409">
    <cfRule type="containsText" dxfId="2" priority="48017" operator="containsText" text="Yes">
      <formula>NOT(ISERROR(SEARCH(("Yes"),(P366))))</formula>
    </cfRule>
  </conditionalFormatting>
  <conditionalFormatting sqref="P366:Q366 P372:Q372 P374:Q374 P376:Q376 P381:Q382 P384:Q385 P389:Q390 P393:Q394 P396:Q396 P399:Q409">
    <cfRule type="containsText" dxfId="2" priority="48018" operator="containsText" text="Yes">
      <formula>NOT(ISERROR(SEARCH(("Yes"),(P366))))</formula>
    </cfRule>
  </conditionalFormatting>
  <conditionalFormatting sqref="P366:Q366 P372:Q372 P374:Q374 P376:Q376 P381:Q382 P384:Q385 P389:Q390 P393:Q394 P396:Q396 P399:Q409">
    <cfRule type="containsText" dxfId="2" priority="48019" operator="containsText" text="Yes">
      <formula>NOT(ISERROR(SEARCH(("Yes"),(P366))))</formula>
    </cfRule>
  </conditionalFormatting>
  <conditionalFormatting sqref="P366:Q366 P372:Q372 P374:Q374 P376:Q376 P381:Q382 P384:Q385 P389:Q390 P393:Q394 P396:Q396 P399:Q409">
    <cfRule type="containsText" dxfId="2" priority="48020" operator="containsText" text="Yes">
      <formula>NOT(ISERROR(SEARCH(("Yes"),(P366))))</formula>
    </cfRule>
  </conditionalFormatting>
  <conditionalFormatting sqref="P366:Q366 P372:Q372 P374:Q374 P376:Q376 P381:Q382 P384:Q385 P389:Q390 P393:Q394 P396:Q396 P399:Q409">
    <cfRule type="containsText" dxfId="2" priority="48021" operator="containsText" text="Yes">
      <formula>NOT(ISERROR(SEARCH(("Yes"),(P366))))</formula>
    </cfRule>
  </conditionalFormatting>
  <conditionalFormatting sqref="P366:Q366 P372:Q372 P374:Q374 P376:Q376 P381:Q382 P384:Q385 P389:Q390 P393:Q394 P396:Q396 P399:Q409">
    <cfRule type="containsText" dxfId="2" priority="48022" operator="containsText" text="Yes">
      <formula>NOT(ISERROR(SEARCH(("Yes"),(P366))))</formula>
    </cfRule>
  </conditionalFormatting>
  <conditionalFormatting sqref="P366:Q366 P372:Q372 P374:Q374 P376:Q376 P381:Q382 P384:Q385 P389:Q390 P393:Q394 P396:Q396 P399:Q409">
    <cfRule type="containsText" dxfId="2" priority="48023" operator="containsText" text="Yes">
      <formula>NOT(ISERROR(SEARCH(("Yes"),(P366))))</formula>
    </cfRule>
  </conditionalFormatting>
  <conditionalFormatting sqref="P366:Q366 P372:Q372 P374:Q374 P376:Q376 P381:Q382 P384:Q385 P389:Q390 P393:Q394 P396:Q396 P399:Q409">
    <cfRule type="containsText" dxfId="2" priority="48024" operator="containsText" text="Yes">
      <formula>NOT(ISERROR(SEARCH(("Yes"),(P366))))</formula>
    </cfRule>
  </conditionalFormatting>
  <conditionalFormatting sqref="P366:Q366 P372:Q372 P374:Q374 P376:Q376 P381:Q382 P384:Q385 P389:Q390 P393:Q394 P396:Q396 P399:Q409">
    <cfRule type="containsText" dxfId="2" priority="48025" operator="containsText" text="Yes">
      <formula>NOT(ISERROR(SEARCH(("Yes"),(P366))))</formula>
    </cfRule>
  </conditionalFormatting>
  <conditionalFormatting sqref="P366:Q366 P372:Q372 P374:Q374 P376:Q376 P381:Q382 P384:Q385 P389:Q390 P393:Q394 P396:Q396 P399:Q409">
    <cfRule type="containsText" dxfId="2" priority="48026" operator="containsText" text="Yes">
      <formula>NOT(ISERROR(SEARCH(("Yes"),(P366))))</formula>
    </cfRule>
  </conditionalFormatting>
  <conditionalFormatting sqref="N395:O395 O367 O386:O388 O391:O392">
    <cfRule type="containsText" dxfId="9" priority="48027" operator="containsText" text="No">
      <formula>NOT(ISERROR(SEARCH(("No"),(N395))))</formula>
    </cfRule>
  </conditionalFormatting>
  <conditionalFormatting sqref="N395:O395 O367 O386:O388 O391:O392">
    <cfRule type="containsText" dxfId="9" priority="48028" operator="containsText" text="No">
      <formula>NOT(ISERROR(SEARCH(("No"),(N395))))</formula>
    </cfRule>
  </conditionalFormatting>
  <conditionalFormatting sqref="N395:O395 O367 O386:O388 O391:O392">
    <cfRule type="containsText" dxfId="9" priority="48029" operator="containsText" text="No">
      <formula>NOT(ISERROR(SEARCH(("No"),(N395))))</formula>
    </cfRule>
  </conditionalFormatting>
  <conditionalFormatting sqref="N395:O395 O367 O386:O388 O391:O392">
    <cfRule type="containsText" dxfId="2" priority="48030" operator="containsText" text="Yes">
      <formula>NOT(ISERROR(SEARCH(("Yes"),(N395))))</formula>
    </cfRule>
  </conditionalFormatting>
  <conditionalFormatting sqref="N395:O395 O367 O386:O388 O391:O392">
    <cfRule type="containsText" dxfId="2" priority="48031" operator="containsText" text="Yes">
      <formula>NOT(ISERROR(SEARCH(("Yes"),(N395))))</formula>
    </cfRule>
  </conditionalFormatting>
  <conditionalFormatting sqref="N395:O395 O367 O386:O388 O391:O392">
    <cfRule type="containsText" dxfId="2" priority="48032" operator="containsText" text="Yes">
      <formula>NOT(ISERROR(SEARCH(("Yes"),(N395))))</formula>
    </cfRule>
  </conditionalFormatting>
  <conditionalFormatting sqref="N395:O395 O367 O386:O388 O391:O392">
    <cfRule type="containsText" dxfId="2" priority="48033" operator="containsText" text="Yes">
      <formula>NOT(ISERROR(SEARCH(("Yes"),(N395))))</formula>
    </cfRule>
  </conditionalFormatting>
  <conditionalFormatting sqref="N395:O395 O367 O386:O388 O391:O392">
    <cfRule type="containsText" dxfId="2" priority="48034" operator="containsText" text="Yes">
      <formula>NOT(ISERROR(SEARCH(("Yes"),(N395))))</formula>
    </cfRule>
  </conditionalFormatting>
  <conditionalFormatting sqref="N395:O395 O367 O386:O388 O391:O392">
    <cfRule type="containsText" dxfId="9" priority="48035" operator="containsText" text="No">
      <formula>NOT(ISERROR(SEARCH(("No"),(N395))))</formula>
    </cfRule>
  </conditionalFormatting>
  <conditionalFormatting sqref="N395:O395 O367 O386:O388 O391:O392">
    <cfRule type="containsText" dxfId="9" priority="48036" operator="containsText" text="No">
      <formula>NOT(ISERROR(SEARCH(("No"),(N395))))</formula>
    </cfRule>
  </conditionalFormatting>
  <conditionalFormatting sqref="N395:O395 O367 O386:O388 O391:O392">
    <cfRule type="containsText" dxfId="2" priority="48037" operator="containsText" text="Yes">
      <formula>NOT(ISERROR(SEARCH(("Yes"),(N395))))</formula>
    </cfRule>
  </conditionalFormatting>
  <conditionalFormatting sqref="P367:Q367 P386:Q388 P391:Q392 P395:Q395">
    <cfRule type="containsText" dxfId="9" priority="48038" operator="containsText" text="No">
      <formula>NOT(ISERROR(SEARCH(("No"),(P367))))</formula>
    </cfRule>
  </conditionalFormatting>
  <conditionalFormatting sqref="P367:Q367 P386:Q388 P391:Q392 P395:Q395">
    <cfRule type="containsText" dxfId="9" priority="48039" operator="containsText" text="No">
      <formula>NOT(ISERROR(SEARCH(("No"),(P367))))</formula>
    </cfRule>
  </conditionalFormatting>
  <conditionalFormatting sqref="P367:Q367 P386:Q388 P391:Q392 P395:Q395">
    <cfRule type="containsText" dxfId="9" priority="48040" operator="containsText" text="No">
      <formula>NOT(ISERROR(SEARCH(("No"),(P367))))</formula>
    </cfRule>
  </conditionalFormatting>
  <conditionalFormatting sqref="P367:Q367 P386:Q388 P391:Q392 P395:Q395">
    <cfRule type="containsText" dxfId="9" priority="48041" operator="containsText" text="No">
      <formula>NOT(ISERROR(SEARCH(("No"),(P367))))</formula>
    </cfRule>
  </conditionalFormatting>
  <conditionalFormatting sqref="P367:Q367 P386:Q388 P391:Q392 P395:Q395">
    <cfRule type="containsText" dxfId="9" priority="48042" operator="containsText" text="No">
      <formula>NOT(ISERROR(SEARCH(("No"),(P367))))</formula>
    </cfRule>
  </conditionalFormatting>
  <conditionalFormatting sqref="P367:Q367 P386:Q388 P391:Q392 P395:Q395">
    <cfRule type="containsText" dxfId="9" priority="48043" operator="containsText" text="No">
      <formula>NOT(ISERROR(SEARCH(("No"),(P367))))</formula>
    </cfRule>
  </conditionalFormatting>
  <conditionalFormatting sqref="P367:Q367 P386:Q388 P391:Q392 P395:Q395">
    <cfRule type="containsText" dxfId="9" priority="48044" operator="containsText" text="No">
      <formula>NOT(ISERROR(SEARCH(("No"),(P367))))</formula>
    </cfRule>
  </conditionalFormatting>
  <conditionalFormatting sqref="P367:Q367 P386:Q388 P391:Q392 P395:Q395">
    <cfRule type="containsText" dxfId="9" priority="48045" operator="containsText" text="No">
      <formula>NOT(ISERROR(SEARCH(("No"),(P367))))</formula>
    </cfRule>
  </conditionalFormatting>
  <conditionalFormatting sqref="P367:Q367 P386:Q388 P391:Q392 P395:Q395">
    <cfRule type="containsText" dxfId="9" priority="48046" operator="containsText" text="No">
      <formula>NOT(ISERROR(SEARCH(("No"),(P367))))</formula>
    </cfRule>
  </conditionalFormatting>
  <conditionalFormatting sqref="P367:Q367 P386:Q388 P391:Q392 P395:Q395">
    <cfRule type="containsText" dxfId="9" priority="48047" operator="containsText" text="No">
      <formula>NOT(ISERROR(SEARCH(("No"),(P367))))</formula>
    </cfRule>
  </conditionalFormatting>
  <conditionalFormatting sqref="P367:Q367 P386:Q388 P391:Q392 P395:Q395">
    <cfRule type="containsText" dxfId="9" priority="48048" operator="containsText" text="No">
      <formula>NOT(ISERROR(SEARCH(("No"),(P367))))</formula>
    </cfRule>
  </conditionalFormatting>
  <conditionalFormatting sqref="P367:Q367 P386:Q388 P391:Q392 P395:Q395">
    <cfRule type="containsText" dxfId="9" priority="48049" operator="containsText" text="No">
      <formula>NOT(ISERROR(SEARCH(("No"),(P367))))</formula>
    </cfRule>
  </conditionalFormatting>
  <conditionalFormatting sqref="P367:Q367 P386:Q388 P391:Q392 P395:Q395">
    <cfRule type="containsText" dxfId="9" priority="48050" operator="containsText" text="No">
      <formula>NOT(ISERROR(SEARCH(("No"),(P367))))</formula>
    </cfRule>
  </conditionalFormatting>
  <conditionalFormatting sqref="P367:Q367 P386:Q388 P391:Q392 P395:Q395">
    <cfRule type="containsText" dxfId="9" priority="48051" operator="containsText" text="No">
      <formula>NOT(ISERROR(SEARCH(("No"),(P367))))</formula>
    </cfRule>
  </conditionalFormatting>
  <conditionalFormatting sqref="P367:Q367 P386:Q388 P391:Q392 P395:Q395">
    <cfRule type="containsText" dxfId="9" priority="48052" operator="containsText" text="No">
      <formula>NOT(ISERROR(SEARCH(("No"),(P367))))</formula>
    </cfRule>
  </conditionalFormatting>
  <conditionalFormatting sqref="P367:Q367 P386:Q388 P391:Q392 P395:Q395">
    <cfRule type="containsText" dxfId="9" priority="48053" operator="containsText" text="No">
      <formula>NOT(ISERROR(SEARCH(("No"),(P367))))</formula>
    </cfRule>
  </conditionalFormatting>
  <conditionalFormatting sqref="P367:Q367 P386:Q388 P391:Q392 P395:Q395">
    <cfRule type="containsText" dxfId="9" priority="48054" operator="containsText" text="No">
      <formula>NOT(ISERROR(SEARCH(("No"),(P367))))</formula>
    </cfRule>
  </conditionalFormatting>
  <conditionalFormatting sqref="P367:Q367 P386:Q388 P391:Q392 P395:Q395">
    <cfRule type="containsText" dxfId="9" priority="48055" operator="containsText" text="No">
      <formula>NOT(ISERROR(SEARCH(("No"),(P367))))</formula>
    </cfRule>
  </conditionalFormatting>
  <conditionalFormatting sqref="P367:Q367 P386:Q388 P391:Q392 P395:Q395">
    <cfRule type="containsText" dxfId="9" priority="48056" operator="containsText" text="No">
      <formula>NOT(ISERROR(SEARCH(("No"),(P367))))</formula>
    </cfRule>
  </conditionalFormatting>
  <conditionalFormatting sqref="P367:Q367 P386:Q388 P391:Q392 P395:Q395">
    <cfRule type="containsText" dxfId="9" priority="48057" operator="containsText" text="No">
      <formula>NOT(ISERROR(SEARCH(("No"),(P367))))</formula>
    </cfRule>
  </conditionalFormatting>
  <conditionalFormatting sqref="P367:Q367 P386:Q388 P391:Q392 P395:Q395">
    <cfRule type="containsText" dxfId="9" priority="48058" operator="containsText" text="No">
      <formula>NOT(ISERROR(SEARCH(("No"),(P367))))</formula>
    </cfRule>
  </conditionalFormatting>
  <conditionalFormatting sqref="P367:Q367 P386:Q388 P391:Q392 P395:Q395">
    <cfRule type="containsText" dxfId="9" priority="48059" operator="containsText" text="No">
      <formula>NOT(ISERROR(SEARCH(("No"),(P367))))</formula>
    </cfRule>
  </conditionalFormatting>
  <conditionalFormatting sqref="P367:Q367 P386:Q388 P391:Q392 P395:Q395">
    <cfRule type="containsText" dxfId="9" priority="48060" operator="containsText" text="No">
      <formula>NOT(ISERROR(SEARCH(("No"),(P367))))</formula>
    </cfRule>
  </conditionalFormatting>
  <conditionalFormatting sqref="P367:Q367 P386:Q388 P391:Q392 P395:Q395">
    <cfRule type="containsText" dxfId="9" priority="48061" operator="containsText" text="No">
      <formula>NOT(ISERROR(SEARCH(("No"),(P367))))</formula>
    </cfRule>
  </conditionalFormatting>
  <conditionalFormatting sqref="P367:Q367 P386:Q388 P391:Q392 P395:Q395">
    <cfRule type="containsText" dxfId="9" priority="48062" operator="containsText" text="No">
      <formula>NOT(ISERROR(SEARCH(("No"),(P367))))</formula>
    </cfRule>
  </conditionalFormatting>
  <conditionalFormatting sqref="P367:Q367 P386:Q388 P391:Q392 P395:Q395">
    <cfRule type="containsText" dxfId="9" priority="48063" operator="containsText" text="No">
      <formula>NOT(ISERROR(SEARCH(("No"),(P367))))</formula>
    </cfRule>
  </conditionalFormatting>
  <conditionalFormatting sqref="P367:Q367 P386:Q388 P391:Q392 P395:Q395">
    <cfRule type="containsText" dxfId="9" priority="48064" operator="containsText" text="No">
      <formula>NOT(ISERROR(SEARCH(("No"),(P367))))</formula>
    </cfRule>
  </conditionalFormatting>
  <conditionalFormatting sqref="P367:Q367 P386:Q388 P391:Q392 P395:Q395">
    <cfRule type="containsText" dxfId="9" priority="48065" operator="containsText" text="No">
      <formula>NOT(ISERROR(SEARCH(("No"),(P367))))</formula>
    </cfRule>
  </conditionalFormatting>
  <conditionalFormatting sqref="P367:Q367 P386:Q388 P391:Q392 P395:Q395">
    <cfRule type="containsText" dxfId="9" priority="48066" operator="containsText" text="No">
      <formula>NOT(ISERROR(SEARCH(("No"),(P367))))</formula>
    </cfRule>
  </conditionalFormatting>
  <conditionalFormatting sqref="P367:Q367 P386:Q388 P391:Q392 P395:Q395">
    <cfRule type="containsText" dxfId="9" priority="48067" operator="containsText" text="No">
      <formula>NOT(ISERROR(SEARCH(("No"),(P367))))</formula>
    </cfRule>
  </conditionalFormatting>
  <conditionalFormatting sqref="P367:Q367 P386:Q388 P391:Q392 P395:Q395">
    <cfRule type="containsText" dxfId="9" priority="48068" operator="containsText" text="No">
      <formula>NOT(ISERROR(SEARCH(("No"),(P367))))</formula>
    </cfRule>
  </conditionalFormatting>
  <conditionalFormatting sqref="P367:Q367 P386:Q388 P391:Q392 P395:Q395">
    <cfRule type="containsText" dxfId="9" priority="48069" operator="containsText" text="No">
      <formula>NOT(ISERROR(SEARCH(("No"),(P367))))</formula>
    </cfRule>
  </conditionalFormatting>
  <conditionalFormatting sqref="P367:Q367 P386:Q388 P391:Q392 P395:Q395">
    <cfRule type="containsText" dxfId="9" priority="48070" operator="containsText" text="No">
      <formula>NOT(ISERROR(SEARCH(("No"),(P367))))</formula>
    </cfRule>
  </conditionalFormatting>
  <conditionalFormatting sqref="P367:Q367 P386:Q388 P391:Q392 P395:Q395">
    <cfRule type="containsText" dxfId="9" priority="48071" operator="containsText" text="No">
      <formula>NOT(ISERROR(SEARCH(("No"),(P367))))</formula>
    </cfRule>
  </conditionalFormatting>
  <conditionalFormatting sqref="P367:Q367 P386:Q388 P391:Q392 P395:Q395">
    <cfRule type="containsText" dxfId="9" priority="48072" operator="containsText" text="No">
      <formula>NOT(ISERROR(SEARCH(("No"),(P367))))</formula>
    </cfRule>
  </conditionalFormatting>
  <conditionalFormatting sqref="P367:Q367 P386:Q388 P391:Q392 P395:Q395">
    <cfRule type="containsText" dxfId="9" priority="48073" operator="containsText" text="No">
      <formula>NOT(ISERROR(SEARCH(("No"),(P367))))</formula>
    </cfRule>
  </conditionalFormatting>
  <conditionalFormatting sqref="P367:Q367 P386:Q388 P391:Q392 P395:Q395">
    <cfRule type="containsText" dxfId="9" priority="48074" operator="containsText" text="No">
      <formula>NOT(ISERROR(SEARCH(("No"),(P367))))</formula>
    </cfRule>
  </conditionalFormatting>
  <conditionalFormatting sqref="P367:Q367 P386:Q388 P391:Q392 P395:Q395">
    <cfRule type="containsText" dxfId="9" priority="48075" operator="containsText" text="No">
      <formula>NOT(ISERROR(SEARCH(("No"),(P367))))</formula>
    </cfRule>
  </conditionalFormatting>
  <conditionalFormatting sqref="P367:Q367 P386:Q388 P391:Q392 P395:Q395">
    <cfRule type="containsText" dxfId="9" priority="48076" operator="containsText" text="No">
      <formula>NOT(ISERROR(SEARCH(("No"),(P367))))</formula>
    </cfRule>
  </conditionalFormatting>
  <conditionalFormatting sqref="P367:Q367 P386:Q388 P391:Q392 P395:Q395">
    <cfRule type="containsText" dxfId="9" priority="48077" operator="containsText" text="No">
      <formula>NOT(ISERROR(SEARCH(("No"),(P367))))</formula>
    </cfRule>
  </conditionalFormatting>
  <conditionalFormatting sqref="P367:Q367 P386:Q388 P391:Q392 P395:Q395">
    <cfRule type="containsText" dxfId="9" priority="48078" operator="containsText" text="No">
      <formula>NOT(ISERROR(SEARCH(("No"),(P367))))</formula>
    </cfRule>
  </conditionalFormatting>
  <conditionalFormatting sqref="P367:Q367 P386:Q388 P391:Q392 P395:Q395">
    <cfRule type="containsText" dxfId="9" priority="48079" operator="containsText" text="No">
      <formula>NOT(ISERROR(SEARCH(("No"),(P367))))</formula>
    </cfRule>
  </conditionalFormatting>
  <conditionalFormatting sqref="P367:Q367 P386:Q388 P391:Q392 P395:Q395">
    <cfRule type="containsText" dxfId="9" priority="48080" operator="containsText" text="No">
      <formula>NOT(ISERROR(SEARCH(("No"),(P367))))</formula>
    </cfRule>
  </conditionalFormatting>
  <conditionalFormatting sqref="P367:Q367 P386:Q388 P391:Q392 P395:Q395">
    <cfRule type="containsText" dxfId="9" priority="48081" operator="containsText" text="No">
      <formula>NOT(ISERROR(SEARCH(("No"),(P367))))</formula>
    </cfRule>
  </conditionalFormatting>
  <conditionalFormatting sqref="P367:Q367 P386:Q388 P391:Q392 P395:Q395">
    <cfRule type="containsText" dxfId="9" priority="48082" operator="containsText" text="No">
      <formula>NOT(ISERROR(SEARCH(("No"),(P367))))</formula>
    </cfRule>
  </conditionalFormatting>
  <conditionalFormatting sqref="P367:Q367 P386:Q388 P391:Q392 P395:Q395">
    <cfRule type="containsText" dxfId="2" priority="48083" operator="containsText" text="Yes">
      <formula>NOT(ISERROR(SEARCH(("Yes"),(P367))))</formula>
    </cfRule>
  </conditionalFormatting>
  <conditionalFormatting sqref="P367:Q367 P386:Q388 P391:Q392 P395:Q395">
    <cfRule type="containsText" dxfId="2" priority="48084" operator="containsText" text="Yes">
      <formula>NOT(ISERROR(SEARCH(("Yes"),(P367))))</formula>
    </cfRule>
  </conditionalFormatting>
  <conditionalFormatting sqref="P367:Q367 P386:Q388 P391:Q392 P395:Q395">
    <cfRule type="containsText" dxfId="2" priority="48085" operator="containsText" text="Yes">
      <formula>NOT(ISERROR(SEARCH(("Yes"),(P367))))</formula>
    </cfRule>
  </conditionalFormatting>
  <conditionalFormatting sqref="P367:Q367 P386:Q388 P391:Q392 P395:Q395">
    <cfRule type="containsText" dxfId="2" priority="48086" operator="containsText" text="Yes">
      <formula>NOT(ISERROR(SEARCH(("Yes"),(P367))))</formula>
    </cfRule>
  </conditionalFormatting>
  <conditionalFormatting sqref="P367:Q367 P386:Q388 P391:Q392 P395:Q395">
    <cfRule type="containsText" dxfId="2" priority="48087" operator="containsText" text="Yes">
      <formula>NOT(ISERROR(SEARCH(("Yes"),(P367))))</formula>
    </cfRule>
  </conditionalFormatting>
  <conditionalFormatting sqref="P367:Q367 P386:Q388 P391:Q392 P395:Q395">
    <cfRule type="containsText" dxfId="2" priority="48088" operator="containsText" text="Yes">
      <formula>NOT(ISERROR(SEARCH(("Yes"),(P367))))</formula>
    </cfRule>
  </conditionalFormatting>
  <conditionalFormatting sqref="P367:Q367 P386:Q388 P391:Q392 P395:Q395">
    <cfRule type="containsText" dxfId="2" priority="48089" operator="containsText" text="Yes">
      <formula>NOT(ISERROR(SEARCH(("Yes"),(P367))))</formula>
    </cfRule>
  </conditionalFormatting>
  <conditionalFormatting sqref="P367:Q367 P386:Q388 P391:Q392 P395:Q395">
    <cfRule type="containsText" dxfId="2" priority="48090" operator="containsText" text="Yes">
      <formula>NOT(ISERROR(SEARCH(("Yes"),(P367))))</formula>
    </cfRule>
  </conditionalFormatting>
  <conditionalFormatting sqref="P367:Q367 P386:Q388 P391:Q392 P395:Q395">
    <cfRule type="containsText" dxfId="2" priority="48091" operator="containsText" text="Yes">
      <formula>NOT(ISERROR(SEARCH(("Yes"),(P367))))</formula>
    </cfRule>
  </conditionalFormatting>
  <conditionalFormatting sqref="P367:Q367 P386:Q388 P391:Q392 P395:Q395">
    <cfRule type="containsText" dxfId="2" priority="48092" operator="containsText" text="Yes">
      <formula>NOT(ISERROR(SEARCH(("Yes"),(P367))))</formula>
    </cfRule>
  </conditionalFormatting>
  <conditionalFormatting sqref="P367:Q367 P386:Q388 P391:Q392 P395:Q395">
    <cfRule type="containsText" dxfId="2" priority="48093" operator="containsText" text="Yes">
      <formula>NOT(ISERROR(SEARCH(("Yes"),(P367))))</formula>
    </cfRule>
  </conditionalFormatting>
  <conditionalFormatting sqref="P367:Q367 P386:Q388 P391:Q392 P395:Q395">
    <cfRule type="containsText" dxfId="2" priority="48094" operator="containsText" text="Yes">
      <formula>NOT(ISERROR(SEARCH(("Yes"),(P367))))</formula>
    </cfRule>
  </conditionalFormatting>
  <conditionalFormatting sqref="P367:Q367 P386:Q388 P391:Q392 P395:Q395">
    <cfRule type="containsText" dxfId="2" priority="48095" operator="containsText" text="Yes">
      <formula>NOT(ISERROR(SEARCH(("Yes"),(P367))))</formula>
    </cfRule>
  </conditionalFormatting>
  <conditionalFormatting sqref="P367:Q367 P386:Q388 P391:Q392 P395:Q395">
    <cfRule type="containsText" dxfId="2" priority="48096" operator="containsText" text="Yes">
      <formula>NOT(ISERROR(SEARCH(("Yes"),(P367))))</formula>
    </cfRule>
  </conditionalFormatting>
  <conditionalFormatting sqref="P367:Q367 P386:Q388 P391:Q392 P395:Q395">
    <cfRule type="containsText" dxfId="2" priority="48097" operator="containsText" text="Yes">
      <formula>NOT(ISERROR(SEARCH(("Yes"),(P367))))</formula>
    </cfRule>
  </conditionalFormatting>
  <conditionalFormatting sqref="P367:Q367 P386:Q388 P391:Q392 P395:Q395">
    <cfRule type="containsText" dxfId="2" priority="48098" operator="containsText" text="Yes">
      <formula>NOT(ISERROR(SEARCH(("Yes"),(P367))))</formula>
    </cfRule>
  </conditionalFormatting>
  <conditionalFormatting sqref="P367:Q367 P386:Q388 P391:Q392 P395:Q395">
    <cfRule type="containsText" dxfId="2" priority="48099" operator="containsText" text="Yes">
      <formula>NOT(ISERROR(SEARCH(("Yes"),(P367))))</formula>
    </cfRule>
  </conditionalFormatting>
  <conditionalFormatting sqref="P367:Q367 P386:Q388 P391:Q392 P395:Q395">
    <cfRule type="containsText" dxfId="2" priority="48100" operator="containsText" text="Yes">
      <formula>NOT(ISERROR(SEARCH(("Yes"),(P367))))</formula>
    </cfRule>
  </conditionalFormatting>
  <conditionalFormatting sqref="P367:Q367 P386:Q388 P391:Q392 P395:Q395">
    <cfRule type="containsText" dxfId="2" priority="48101" operator="containsText" text="Yes">
      <formula>NOT(ISERROR(SEARCH(("Yes"),(P367))))</formula>
    </cfRule>
  </conditionalFormatting>
  <conditionalFormatting sqref="P367:Q367 P386:Q388 P391:Q392 P395:Q395">
    <cfRule type="containsText" dxfId="2" priority="48102" operator="containsText" text="Yes">
      <formula>NOT(ISERROR(SEARCH(("Yes"),(P367))))</formula>
    </cfRule>
  </conditionalFormatting>
  <conditionalFormatting sqref="P367:Q367 P386:Q388 P391:Q392 P395:Q395">
    <cfRule type="containsText" dxfId="2" priority="48103" operator="containsText" text="Yes">
      <formula>NOT(ISERROR(SEARCH(("Yes"),(P367))))</formula>
    </cfRule>
  </conditionalFormatting>
  <conditionalFormatting sqref="P367:Q367 P386:Q388 P391:Q392 P395:Q395">
    <cfRule type="containsText" dxfId="2" priority="48104" operator="containsText" text="Yes">
      <formula>NOT(ISERROR(SEARCH(("Yes"),(P367))))</formula>
    </cfRule>
  </conditionalFormatting>
  <conditionalFormatting sqref="P367:Q367 P386:Q388 P391:Q392 P395:Q395">
    <cfRule type="containsText" dxfId="2" priority="48105" operator="containsText" text="Yes">
      <formula>NOT(ISERROR(SEARCH(("Yes"),(P367))))</formula>
    </cfRule>
  </conditionalFormatting>
  <conditionalFormatting sqref="P367:Q367 P386:Q388 P391:Q392 P395:Q395">
    <cfRule type="containsText" dxfId="2" priority="48106" operator="containsText" text="Yes">
      <formula>NOT(ISERROR(SEARCH(("Yes"),(P367))))</formula>
    </cfRule>
  </conditionalFormatting>
  <conditionalFormatting sqref="P367:Q367 P386:Q388 P391:Q392 P395:Q395">
    <cfRule type="containsText" dxfId="2" priority="48107" operator="containsText" text="Yes">
      <formula>NOT(ISERROR(SEARCH(("Yes"),(P367))))</formula>
    </cfRule>
  </conditionalFormatting>
  <conditionalFormatting sqref="P367:Q367 P386:Q388 P391:Q392 P395:Q395">
    <cfRule type="containsText" dxfId="2" priority="48108" operator="containsText" text="Yes">
      <formula>NOT(ISERROR(SEARCH(("Yes"),(P367))))</formula>
    </cfRule>
  </conditionalFormatting>
  <conditionalFormatting sqref="P367:Q367 P386:Q388 P391:Q392 P395:Q395">
    <cfRule type="containsText" dxfId="2" priority="48109" operator="containsText" text="Yes">
      <formula>NOT(ISERROR(SEARCH(("Yes"),(P367))))</formula>
    </cfRule>
  </conditionalFormatting>
  <conditionalFormatting sqref="P367:Q367 P386:Q388 P391:Q392 P395:Q395">
    <cfRule type="containsText" dxfId="2" priority="48110" operator="containsText" text="Yes">
      <formula>NOT(ISERROR(SEARCH(("Yes"),(P367))))</formula>
    </cfRule>
  </conditionalFormatting>
  <conditionalFormatting sqref="P367:Q367 P386:Q388 P391:Q392 P395:Q395">
    <cfRule type="containsText" dxfId="2" priority="48111" operator="containsText" text="Yes">
      <formula>NOT(ISERROR(SEARCH(("Yes"),(P367))))</formula>
    </cfRule>
  </conditionalFormatting>
  <conditionalFormatting sqref="P367:Q367 P386:Q388 P391:Q392 P395:Q395">
    <cfRule type="containsText" dxfId="2" priority="48112" operator="containsText" text="Yes">
      <formula>NOT(ISERROR(SEARCH(("Yes"),(P367))))</formula>
    </cfRule>
  </conditionalFormatting>
  <conditionalFormatting sqref="P367:Q367 P386:Q388 P391:Q392 P395:Q395">
    <cfRule type="containsText" dxfId="2" priority="48113" operator="containsText" text="Yes">
      <formula>NOT(ISERROR(SEARCH(("Yes"),(P367))))</formula>
    </cfRule>
  </conditionalFormatting>
  <conditionalFormatting sqref="P367:Q367 P386:Q388 P391:Q392 P395:Q395">
    <cfRule type="containsText" dxfId="2" priority="48114" operator="containsText" text="Yes">
      <formula>NOT(ISERROR(SEARCH(("Yes"),(P367))))</formula>
    </cfRule>
  </conditionalFormatting>
  <conditionalFormatting sqref="P367:Q367 P386:Q388 P391:Q392 P395:Q395">
    <cfRule type="containsText" dxfId="2" priority="48115" operator="containsText" text="Yes">
      <formula>NOT(ISERROR(SEARCH(("Yes"),(P367))))</formula>
    </cfRule>
  </conditionalFormatting>
  <conditionalFormatting sqref="P367:Q367 P386:Q388 P391:Q392 P395:Q395">
    <cfRule type="containsText" dxfId="2" priority="48116" operator="containsText" text="Yes">
      <formula>NOT(ISERROR(SEARCH(("Yes"),(P367))))</formula>
    </cfRule>
  </conditionalFormatting>
  <conditionalFormatting sqref="P367:Q367 P386:Q388 P391:Q392 P395:Q395">
    <cfRule type="containsText" dxfId="2" priority="48117" operator="containsText" text="Yes">
      <formula>NOT(ISERROR(SEARCH(("Yes"),(P367))))</formula>
    </cfRule>
  </conditionalFormatting>
  <conditionalFormatting sqref="P367:Q367 P386:Q388 P391:Q392 P395:Q395">
    <cfRule type="containsText" dxfId="2" priority="48118" operator="containsText" text="Yes">
      <formula>NOT(ISERROR(SEARCH(("Yes"),(P367))))</formula>
    </cfRule>
  </conditionalFormatting>
  <conditionalFormatting sqref="P367:Q367 P386:Q388 P391:Q392 P395:Q395">
    <cfRule type="containsText" dxfId="2" priority="48119" operator="containsText" text="Yes">
      <formula>NOT(ISERROR(SEARCH(("Yes"),(P367))))</formula>
    </cfRule>
  </conditionalFormatting>
  <conditionalFormatting sqref="P367:Q367 P386:Q388 P391:Q392 P395:Q395">
    <cfRule type="containsText" dxfId="2" priority="48120" operator="containsText" text="Yes">
      <formula>NOT(ISERROR(SEARCH(("Yes"),(P367))))</formula>
    </cfRule>
  </conditionalFormatting>
  <conditionalFormatting sqref="P367:Q367 P386:Q388 P391:Q392 P395:Q395">
    <cfRule type="containsText" dxfId="2" priority="48121" operator="containsText" text="Yes">
      <formula>NOT(ISERROR(SEARCH(("Yes"),(P367))))</formula>
    </cfRule>
  </conditionalFormatting>
  <conditionalFormatting sqref="P367:Q367 P386:Q388 P391:Q392 P395:Q395">
    <cfRule type="containsText" dxfId="2" priority="48122" operator="containsText" text="Yes">
      <formula>NOT(ISERROR(SEARCH(("Yes"),(P367))))</formula>
    </cfRule>
  </conditionalFormatting>
  <conditionalFormatting sqref="P367:Q367 P386:Q388 P391:Q392 P395:Q395">
    <cfRule type="containsText" dxfId="2" priority="48123" operator="containsText" text="Yes">
      <formula>NOT(ISERROR(SEARCH(("Yes"),(P367))))</formula>
    </cfRule>
  </conditionalFormatting>
  <conditionalFormatting sqref="P367:Q367 P386:Q388 P391:Q392 P395:Q395">
    <cfRule type="containsText" dxfId="2" priority="48124" operator="containsText" text="Yes">
      <formula>NOT(ISERROR(SEARCH(("Yes"),(P367))))</formula>
    </cfRule>
  </conditionalFormatting>
  <conditionalFormatting sqref="P367:Q367 P386:Q388 P391:Q392 P395:Q395">
    <cfRule type="containsText" dxfId="2" priority="48125" operator="containsText" text="Yes">
      <formula>NOT(ISERROR(SEARCH(("Yes"),(P367))))</formula>
    </cfRule>
  </conditionalFormatting>
  <conditionalFormatting sqref="P367:Q367 P386:Q388 P391:Q392 P395:Q395">
    <cfRule type="containsText" dxfId="2" priority="48126" operator="containsText" text="Yes">
      <formula>NOT(ISERROR(SEARCH(("Yes"),(P367))))</formula>
    </cfRule>
  </conditionalFormatting>
  <conditionalFormatting sqref="P367:Q367 P386:Q388 P391:Q392 P395:Q395">
    <cfRule type="containsText" dxfId="2" priority="48127" operator="containsText" text="Yes">
      <formula>NOT(ISERROR(SEARCH(("Yes"),(P367))))</formula>
    </cfRule>
  </conditionalFormatting>
  <conditionalFormatting sqref="P367:Q367 P386:Q388 P391:Q392 P395:Q395">
    <cfRule type="containsText" dxfId="2" priority="48128" operator="containsText" text="Yes">
      <formula>NOT(ISERROR(SEARCH(("Yes"),(P367))))</formula>
    </cfRule>
  </conditionalFormatting>
  <conditionalFormatting sqref="P367:Q367 P386:Q388 P391:Q392 P395:Q395">
    <cfRule type="containsText" dxfId="2" priority="48129" operator="containsText" text="Yes">
      <formula>NOT(ISERROR(SEARCH(("Yes"),(P367))))</formula>
    </cfRule>
  </conditionalFormatting>
  <conditionalFormatting sqref="O368:O371 O373 O375 O377:O378 O380 O383">
    <cfRule type="containsText" dxfId="9" priority="48130" operator="containsText" text="No">
      <formula>NOT(ISERROR(SEARCH(("No"),(O368))))</formula>
    </cfRule>
  </conditionalFormatting>
  <conditionalFormatting sqref="O368:O371 O373 O375 O377:O378 O380 O383">
    <cfRule type="containsText" dxfId="9" priority="48131" operator="containsText" text="No">
      <formula>NOT(ISERROR(SEARCH(("No"),(O368))))</formula>
    </cfRule>
  </conditionalFormatting>
  <conditionalFormatting sqref="O368:O371 O373 O375 O377:O378 O380 O383">
    <cfRule type="containsText" dxfId="9" priority="48132" operator="containsText" text="No">
      <formula>NOT(ISERROR(SEARCH(("No"),(O368))))</formula>
    </cfRule>
  </conditionalFormatting>
  <conditionalFormatting sqref="O368:O371 O373 O375 O377:O378 O380 O383">
    <cfRule type="containsText" dxfId="2" priority="48133" operator="containsText" text="Yes">
      <formula>NOT(ISERROR(SEARCH(("Yes"),(O368))))</formula>
    </cfRule>
  </conditionalFormatting>
  <conditionalFormatting sqref="O368:O371 O373 O375 O377:O378 O380 O383">
    <cfRule type="containsText" dxfId="2" priority="48134" operator="containsText" text="Yes">
      <formula>NOT(ISERROR(SEARCH(("Yes"),(O368))))</formula>
    </cfRule>
  </conditionalFormatting>
  <conditionalFormatting sqref="O368:O371 O373 O375 O377:O378 O380 O383">
    <cfRule type="containsText" dxfId="2" priority="48135" operator="containsText" text="Yes">
      <formula>NOT(ISERROR(SEARCH(("Yes"),(O368))))</formula>
    </cfRule>
  </conditionalFormatting>
  <conditionalFormatting sqref="O368:O371 O373 O375 O377:O378 O380 O383">
    <cfRule type="containsText" dxfId="2" priority="48136" operator="containsText" text="Yes">
      <formula>NOT(ISERROR(SEARCH(("Yes"),(O368))))</formula>
    </cfRule>
  </conditionalFormatting>
  <conditionalFormatting sqref="O368:O371 O373 O375 O377:O378 O380 O383">
    <cfRule type="containsText" dxfId="2" priority="48137" operator="containsText" text="Yes">
      <formula>NOT(ISERROR(SEARCH(("Yes"),(O368))))</formula>
    </cfRule>
  </conditionalFormatting>
  <conditionalFormatting sqref="O368:O371 O373 O375 O377:O378 O380 O383">
    <cfRule type="containsText" dxfId="9" priority="48138" operator="containsText" text="No">
      <formula>NOT(ISERROR(SEARCH(("No"),(O368))))</formula>
    </cfRule>
  </conditionalFormatting>
  <conditionalFormatting sqref="O368:O371 O373 O375 O377:O378 O380 O383">
    <cfRule type="containsText" dxfId="9" priority="48139" operator="containsText" text="No">
      <formula>NOT(ISERROR(SEARCH(("No"),(O368))))</formula>
    </cfRule>
  </conditionalFormatting>
  <conditionalFormatting sqref="O368:O371 O373 O375 O377:O378 O380 O383">
    <cfRule type="containsText" dxfId="2" priority="48140" operator="containsText" text="Yes">
      <formula>NOT(ISERROR(SEARCH(("Yes"),(O368))))</formula>
    </cfRule>
  </conditionalFormatting>
  <conditionalFormatting sqref="N368:N371 N373 N375 N377:N378 N380 N383">
    <cfRule type="containsText" dxfId="9" priority="48141" operator="containsText" text="No">
      <formula>NOT(ISERROR(SEARCH(("No"),(N368))))</formula>
    </cfRule>
  </conditionalFormatting>
  <conditionalFormatting sqref="N368:N371 N373 N375 N377:N378 N380 N383">
    <cfRule type="containsText" dxfId="9" priority="48142" operator="containsText" text="No">
      <formula>NOT(ISERROR(SEARCH(("No"),(N368))))</formula>
    </cfRule>
  </conditionalFormatting>
  <conditionalFormatting sqref="N368:N371 N373 N375 N377:N378 N380 N383">
    <cfRule type="containsText" dxfId="9" priority="48143" operator="containsText" text="No">
      <formula>NOT(ISERROR(SEARCH(("No"),(N368))))</formula>
    </cfRule>
  </conditionalFormatting>
  <conditionalFormatting sqref="N368:N371 N373 N375 N377:N378 N380 N383">
    <cfRule type="containsText" dxfId="2" priority="48144" operator="containsText" text="Yes">
      <formula>NOT(ISERROR(SEARCH(("Yes"),(N368))))</formula>
    </cfRule>
  </conditionalFormatting>
  <conditionalFormatting sqref="N368:N371 N373 N375 N377:N378 N380 N383">
    <cfRule type="containsText" dxfId="2" priority="48145" operator="containsText" text="Yes">
      <formula>NOT(ISERROR(SEARCH(("Yes"),(N368))))</formula>
    </cfRule>
  </conditionalFormatting>
  <conditionalFormatting sqref="N368:N371 N373 N375 N377:N378 N380 N383">
    <cfRule type="containsText" dxfId="2" priority="48146" operator="containsText" text="Yes">
      <formula>NOT(ISERROR(SEARCH(("Yes"),(N368))))</formula>
    </cfRule>
  </conditionalFormatting>
  <conditionalFormatting sqref="N368:N371 N373 N375 N377:N378 N380 N383">
    <cfRule type="containsText" dxfId="2" priority="48147" operator="containsText" text="Yes">
      <formula>NOT(ISERROR(SEARCH(("Yes"),(N368))))</formula>
    </cfRule>
  </conditionalFormatting>
  <conditionalFormatting sqref="N368:N371 N373 N375 N377:N378 N380 N383">
    <cfRule type="containsText" dxfId="2" priority="48148" operator="containsText" text="Yes">
      <formula>NOT(ISERROR(SEARCH(("Yes"),(N368))))</formula>
    </cfRule>
  </conditionalFormatting>
  <conditionalFormatting sqref="N368:N371 N373 N375 N377:N378 N380 N383">
    <cfRule type="containsText" dxfId="9" priority="48149" operator="containsText" text="No">
      <formula>NOT(ISERROR(SEARCH(("No"),(N368))))</formula>
    </cfRule>
  </conditionalFormatting>
  <conditionalFormatting sqref="N368:N371 N373 N375 N377:N378 N380 N383">
    <cfRule type="containsText" dxfId="9" priority="48150" operator="containsText" text="No">
      <formula>NOT(ISERROR(SEARCH(("No"),(N368))))</formula>
    </cfRule>
  </conditionalFormatting>
  <conditionalFormatting sqref="N368:N371 N373 N375 N377:N378 N380 N383">
    <cfRule type="containsText" dxfId="2" priority="48151" operator="containsText" text="Yes">
      <formula>NOT(ISERROR(SEARCH(("Yes"),(N368))))</formula>
    </cfRule>
  </conditionalFormatting>
  <conditionalFormatting sqref="P368:Q371 P373:Q373 P375:Q375 P377:Q380 P383:Q383">
    <cfRule type="containsText" dxfId="9" priority="48152" operator="containsText" text="No">
      <formula>NOT(ISERROR(SEARCH(("No"),(P368))))</formula>
    </cfRule>
  </conditionalFormatting>
  <conditionalFormatting sqref="P368:Q371 P373:Q373 P375:Q375 P377:Q380 P383:Q383">
    <cfRule type="containsText" dxfId="9" priority="48153" operator="containsText" text="No">
      <formula>NOT(ISERROR(SEARCH(("No"),(P368))))</formula>
    </cfRule>
  </conditionalFormatting>
  <conditionalFormatting sqref="P368:Q371 P373:Q373 P375:Q375 P377:Q380 P383:Q383">
    <cfRule type="containsText" dxfId="9" priority="48154" operator="containsText" text="No">
      <formula>NOT(ISERROR(SEARCH(("No"),(P368))))</formula>
    </cfRule>
  </conditionalFormatting>
  <conditionalFormatting sqref="P368:Q371 P373:Q373 P375:Q375 P377:Q380 P383:Q383">
    <cfRule type="containsText" dxfId="9" priority="48155" operator="containsText" text="No">
      <formula>NOT(ISERROR(SEARCH(("No"),(P368))))</formula>
    </cfRule>
  </conditionalFormatting>
  <conditionalFormatting sqref="P368:Q371 P373:Q373 P375:Q375 P377:Q380 P383:Q383">
    <cfRule type="containsText" dxfId="9" priority="48156" operator="containsText" text="No">
      <formula>NOT(ISERROR(SEARCH(("No"),(P368))))</formula>
    </cfRule>
  </conditionalFormatting>
  <conditionalFormatting sqref="P368:Q371 P373:Q373 P375:Q375 P377:Q380 P383:Q383">
    <cfRule type="containsText" dxfId="9" priority="48157" operator="containsText" text="No">
      <formula>NOT(ISERROR(SEARCH(("No"),(P368))))</formula>
    </cfRule>
  </conditionalFormatting>
  <conditionalFormatting sqref="P368:Q371 P373:Q373 P375:Q375 P377:Q380 P383:Q383">
    <cfRule type="containsText" dxfId="9" priority="48158" operator="containsText" text="No">
      <formula>NOT(ISERROR(SEARCH(("No"),(P368))))</formula>
    </cfRule>
  </conditionalFormatting>
  <conditionalFormatting sqref="P368:Q371 P373:Q373 P375:Q375 P377:Q380 P383:Q383">
    <cfRule type="containsText" dxfId="9" priority="48159" operator="containsText" text="No">
      <formula>NOT(ISERROR(SEARCH(("No"),(P368))))</formula>
    </cfRule>
  </conditionalFormatting>
  <conditionalFormatting sqref="P368:Q371 P373:Q373 P375:Q375 P377:Q380 P383:Q383">
    <cfRule type="containsText" dxfId="9" priority="48160" operator="containsText" text="No">
      <formula>NOT(ISERROR(SEARCH(("No"),(P368))))</formula>
    </cfRule>
  </conditionalFormatting>
  <conditionalFormatting sqref="P368:Q371 P373:Q373 P375:Q375 P377:Q380 P383:Q383">
    <cfRule type="containsText" dxfId="9" priority="48161" operator="containsText" text="No">
      <formula>NOT(ISERROR(SEARCH(("No"),(P368))))</formula>
    </cfRule>
  </conditionalFormatting>
  <conditionalFormatting sqref="P368:Q371 P373:Q373 P375:Q375 P377:Q380 P383:Q383">
    <cfRule type="containsText" dxfId="9" priority="48162" operator="containsText" text="No">
      <formula>NOT(ISERROR(SEARCH(("No"),(P368))))</formula>
    </cfRule>
  </conditionalFormatting>
  <conditionalFormatting sqref="P368:Q371 P373:Q373 P375:Q375 P377:Q380 P383:Q383">
    <cfRule type="containsText" dxfId="9" priority="48163" operator="containsText" text="No">
      <formula>NOT(ISERROR(SEARCH(("No"),(P368))))</formula>
    </cfRule>
  </conditionalFormatting>
  <conditionalFormatting sqref="P368:Q371 P373:Q373 P375:Q375 P377:Q380 P383:Q383">
    <cfRule type="containsText" dxfId="9" priority="48164" operator="containsText" text="No">
      <formula>NOT(ISERROR(SEARCH(("No"),(P368))))</formula>
    </cfRule>
  </conditionalFormatting>
  <conditionalFormatting sqref="P368:Q371 P373:Q373 P375:Q375 P377:Q380 P383:Q383">
    <cfRule type="containsText" dxfId="9" priority="48165" operator="containsText" text="No">
      <formula>NOT(ISERROR(SEARCH(("No"),(P368))))</formula>
    </cfRule>
  </conditionalFormatting>
  <conditionalFormatting sqref="P368:Q371 P373:Q373 P375:Q375 P377:Q380 P383:Q383">
    <cfRule type="containsText" dxfId="9" priority="48166" operator="containsText" text="No">
      <formula>NOT(ISERROR(SEARCH(("No"),(P368))))</formula>
    </cfRule>
  </conditionalFormatting>
  <conditionalFormatting sqref="P368:Q371 P373:Q373 P375:Q375 P377:Q380 P383:Q383">
    <cfRule type="containsText" dxfId="9" priority="48167" operator="containsText" text="No">
      <formula>NOT(ISERROR(SEARCH(("No"),(P368))))</formula>
    </cfRule>
  </conditionalFormatting>
  <conditionalFormatting sqref="P368:Q371 P373:Q373 P375:Q375 P377:Q380 P383:Q383">
    <cfRule type="containsText" dxfId="9" priority="48168" operator="containsText" text="No">
      <formula>NOT(ISERROR(SEARCH(("No"),(P368))))</formula>
    </cfRule>
  </conditionalFormatting>
  <conditionalFormatting sqref="P368:Q371 P373:Q373 P375:Q375 P377:Q380 P383:Q383">
    <cfRule type="containsText" dxfId="9" priority="48169" operator="containsText" text="No">
      <formula>NOT(ISERROR(SEARCH(("No"),(P368))))</formula>
    </cfRule>
  </conditionalFormatting>
  <conditionalFormatting sqref="P368:Q371 P373:Q373 P375:Q375 P377:Q380 P383:Q383">
    <cfRule type="containsText" dxfId="9" priority="48170" operator="containsText" text="No">
      <formula>NOT(ISERROR(SEARCH(("No"),(P368))))</formula>
    </cfRule>
  </conditionalFormatting>
  <conditionalFormatting sqref="P368:Q371 P373:Q373 P375:Q375 P377:Q380 P383:Q383">
    <cfRule type="containsText" dxfId="9" priority="48171" operator="containsText" text="No">
      <formula>NOT(ISERROR(SEARCH(("No"),(P368))))</formula>
    </cfRule>
  </conditionalFormatting>
  <conditionalFormatting sqref="P368:Q371 P373:Q373 P375:Q375 P377:Q380 P383:Q383">
    <cfRule type="containsText" dxfId="9" priority="48172" operator="containsText" text="No">
      <formula>NOT(ISERROR(SEARCH(("No"),(P368))))</formula>
    </cfRule>
  </conditionalFormatting>
  <conditionalFormatting sqref="P368:Q371 P373:Q373 P375:Q375 P377:Q380 P383:Q383">
    <cfRule type="containsText" dxfId="9" priority="48173" operator="containsText" text="No">
      <formula>NOT(ISERROR(SEARCH(("No"),(P368))))</formula>
    </cfRule>
  </conditionalFormatting>
  <conditionalFormatting sqref="P368:Q371 P373:Q373 P375:Q375 P377:Q380 P383:Q383">
    <cfRule type="containsText" dxfId="9" priority="48174" operator="containsText" text="No">
      <formula>NOT(ISERROR(SEARCH(("No"),(P368))))</formula>
    </cfRule>
  </conditionalFormatting>
  <conditionalFormatting sqref="P368:Q371 P373:Q373 P375:Q375 P377:Q380 P383:Q383">
    <cfRule type="containsText" dxfId="9" priority="48175" operator="containsText" text="No">
      <formula>NOT(ISERROR(SEARCH(("No"),(P368))))</formula>
    </cfRule>
  </conditionalFormatting>
  <conditionalFormatting sqref="P368:Q371 P373:Q373 P375:Q375 P377:Q380 P383:Q383">
    <cfRule type="containsText" dxfId="9" priority="48176" operator="containsText" text="No">
      <formula>NOT(ISERROR(SEARCH(("No"),(P368))))</formula>
    </cfRule>
  </conditionalFormatting>
  <conditionalFormatting sqref="P368:Q371 P373:Q373 P375:Q375 P377:Q380 P383:Q383">
    <cfRule type="containsText" dxfId="9" priority="48177" operator="containsText" text="No">
      <formula>NOT(ISERROR(SEARCH(("No"),(P368))))</formula>
    </cfRule>
  </conditionalFormatting>
  <conditionalFormatting sqref="P368:Q371 P373:Q373 P375:Q375 P377:Q380 P383:Q383">
    <cfRule type="containsText" dxfId="9" priority="48178" operator="containsText" text="No">
      <formula>NOT(ISERROR(SEARCH(("No"),(P368))))</formula>
    </cfRule>
  </conditionalFormatting>
  <conditionalFormatting sqref="P368:Q371 P373:Q373 P375:Q375 P377:Q380 P383:Q383">
    <cfRule type="containsText" dxfId="9" priority="48179" operator="containsText" text="No">
      <formula>NOT(ISERROR(SEARCH(("No"),(P368))))</formula>
    </cfRule>
  </conditionalFormatting>
  <conditionalFormatting sqref="P368:Q371 P373:Q373 P375:Q375 P377:Q380 P383:Q383">
    <cfRule type="containsText" dxfId="9" priority="48180" operator="containsText" text="No">
      <formula>NOT(ISERROR(SEARCH(("No"),(P368))))</formula>
    </cfRule>
  </conditionalFormatting>
  <conditionalFormatting sqref="P368:Q371 P373:Q373 P375:Q375 P377:Q380 P383:Q383">
    <cfRule type="containsText" dxfId="9" priority="48181" operator="containsText" text="No">
      <formula>NOT(ISERROR(SEARCH(("No"),(P368))))</formula>
    </cfRule>
  </conditionalFormatting>
  <conditionalFormatting sqref="P368:Q371 P373:Q373 P375:Q375 P377:Q380 P383:Q383">
    <cfRule type="containsText" dxfId="9" priority="48182" operator="containsText" text="No">
      <formula>NOT(ISERROR(SEARCH(("No"),(P368))))</formula>
    </cfRule>
  </conditionalFormatting>
  <conditionalFormatting sqref="P368:Q371 P373:Q373 P375:Q375 P377:Q380 P383:Q383">
    <cfRule type="containsText" dxfId="9" priority="48183" operator="containsText" text="No">
      <formula>NOT(ISERROR(SEARCH(("No"),(P368))))</formula>
    </cfRule>
  </conditionalFormatting>
  <conditionalFormatting sqref="P368:Q371 P373:Q373 P375:Q375 P377:Q380 P383:Q383">
    <cfRule type="containsText" dxfId="9" priority="48184" operator="containsText" text="No">
      <formula>NOT(ISERROR(SEARCH(("No"),(P368))))</formula>
    </cfRule>
  </conditionalFormatting>
  <conditionalFormatting sqref="P368:Q371 P373:Q373 P375:Q375 P377:Q380 P383:Q383">
    <cfRule type="containsText" dxfId="9" priority="48185" operator="containsText" text="No">
      <formula>NOT(ISERROR(SEARCH(("No"),(P368))))</formula>
    </cfRule>
  </conditionalFormatting>
  <conditionalFormatting sqref="P368:Q371 P373:Q373 P375:Q375 P377:Q380 P383:Q383">
    <cfRule type="containsText" dxfId="9" priority="48186" operator="containsText" text="No">
      <formula>NOT(ISERROR(SEARCH(("No"),(P368))))</formula>
    </cfRule>
  </conditionalFormatting>
  <conditionalFormatting sqref="P368:Q371 P373:Q373 P375:Q375 P377:Q380 P383:Q383">
    <cfRule type="containsText" dxfId="9" priority="48187" operator="containsText" text="No">
      <formula>NOT(ISERROR(SEARCH(("No"),(P368))))</formula>
    </cfRule>
  </conditionalFormatting>
  <conditionalFormatting sqref="P368:Q371 P373:Q373 P375:Q375 P377:Q380 P383:Q383">
    <cfRule type="containsText" dxfId="9" priority="48188" operator="containsText" text="No">
      <formula>NOT(ISERROR(SEARCH(("No"),(P368))))</formula>
    </cfRule>
  </conditionalFormatting>
  <conditionalFormatting sqref="P368:Q371 P373:Q373 P375:Q375 P377:Q380 P383:Q383">
    <cfRule type="containsText" dxfId="9" priority="48189" operator="containsText" text="No">
      <formula>NOT(ISERROR(SEARCH(("No"),(P368))))</formula>
    </cfRule>
  </conditionalFormatting>
  <conditionalFormatting sqref="P368:Q371 P373:Q373 P375:Q375 P377:Q380 P383:Q383">
    <cfRule type="containsText" dxfId="9" priority="48190" operator="containsText" text="No">
      <formula>NOT(ISERROR(SEARCH(("No"),(P368))))</formula>
    </cfRule>
  </conditionalFormatting>
  <conditionalFormatting sqref="P368:Q371 P373:Q373 P375:Q375 P377:Q380 P383:Q383">
    <cfRule type="containsText" dxfId="9" priority="48191" operator="containsText" text="No">
      <formula>NOT(ISERROR(SEARCH(("No"),(P368))))</formula>
    </cfRule>
  </conditionalFormatting>
  <conditionalFormatting sqref="P368:Q371 P373:Q373 P375:Q375 P377:Q380 P383:Q383">
    <cfRule type="containsText" dxfId="9" priority="48192" operator="containsText" text="No">
      <formula>NOT(ISERROR(SEARCH(("No"),(P368))))</formula>
    </cfRule>
  </conditionalFormatting>
  <conditionalFormatting sqref="P368:Q371 P373:Q373 P375:Q375 P377:Q380 P383:Q383">
    <cfRule type="containsText" dxfId="9" priority="48193" operator="containsText" text="No">
      <formula>NOT(ISERROR(SEARCH(("No"),(P368))))</formula>
    </cfRule>
  </conditionalFormatting>
  <conditionalFormatting sqref="P368:Q371 P373:Q373 P375:Q375 P377:Q380 P383:Q383">
    <cfRule type="containsText" dxfId="9" priority="48194" operator="containsText" text="No">
      <formula>NOT(ISERROR(SEARCH(("No"),(P368))))</formula>
    </cfRule>
  </conditionalFormatting>
  <conditionalFormatting sqref="P368:Q371 P373:Q373 P375:Q375 P377:Q380 P383:Q383">
    <cfRule type="containsText" dxfId="9" priority="48195" operator="containsText" text="No">
      <formula>NOT(ISERROR(SEARCH(("No"),(P368))))</formula>
    </cfRule>
  </conditionalFormatting>
  <conditionalFormatting sqref="P368:Q371 P373:Q373 P375:Q375 P377:Q380 P383:Q383">
    <cfRule type="containsText" dxfId="9" priority="48196" operator="containsText" text="No">
      <formula>NOT(ISERROR(SEARCH(("No"),(P368))))</formula>
    </cfRule>
  </conditionalFormatting>
  <conditionalFormatting sqref="P368:Q371 P373:Q373 P375:Q375 P377:Q380 P383:Q383">
    <cfRule type="containsText" dxfId="2" priority="48197" operator="containsText" text="Yes">
      <formula>NOT(ISERROR(SEARCH(("Yes"),(P368))))</formula>
    </cfRule>
  </conditionalFormatting>
  <conditionalFormatting sqref="P368:Q371 P373:Q373 P375:Q375 P377:Q380 P383:Q383">
    <cfRule type="containsText" dxfId="2" priority="48198" operator="containsText" text="Yes">
      <formula>NOT(ISERROR(SEARCH(("Yes"),(P368))))</formula>
    </cfRule>
  </conditionalFormatting>
  <conditionalFormatting sqref="P368:Q371 P373:Q373 P375:Q375 P377:Q380 P383:Q383">
    <cfRule type="containsText" dxfId="2" priority="48199" operator="containsText" text="Yes">
      <formula>NOT(ISERROR(SEARCH(("Yes"),(P368))))</formula>
    </cfRule>
  </conditionalFormatting>
  <conditionalFormatting sqref="P368:Q371 P373:Q373 P375:Q375 P377:Q380 P383:Q383">
    <cfRule type="containsText" dxfId="2" priority="48200" operator="containsText" text="Yes">
      <formula>NOT(ISERROR(SEARCH(("Yes"),(P368))))</formula>
    </cfRule>
  </conditionalFormatting>
  <conditionalFormatting sqref="P368:Q371 P373:Q373 P375:Q375 P377:Q380 P383:Q383">
    <cfRule type="containsText" dxfId="2" priority="48201" operator="containsText" text="Yes">
      <formula>NOT(ISERROR(SEARCH(("Yes"),(P368))))</formula>
    </cfRule>
  </conditionalFormatting>
  <conditionalFormatting sqref="P368:Q371 P373:Q373 P375:Q375 P377:Q380 P383:Q383">
    <cfRule type="containsText" dxfId="2" priority="48202" operator="containsText" text="Yes">
      <formula>NOT(ISERROR(SEARCH(("Yes"),(P368))))</formula>
    </cfRule>
  </conditionalFormatting>
  <conditionalFormatting sqref="P368:Q371 P373:Q373 P375:Q375 P377:Q380 P383:Q383">
    <cfRule type="containsText" dxfId="2" priority="48203" operator="containsText" text="Yes">
      <formula>NOT(ISERROR(SEARCH(("Yes"),(P368))))</formula>
    </cfRule>
  </conditionalFormatting>
  <conditionalFormatting sqref="P368:Q371 P373:Q373 P375:Q375 P377:Q380 P383:Q383">
    <cfRule type="containsText" dxfId="2" priority="48204" operator="containsText" text="Yes">
      <formula>NOT(ISERROR(SEARCH(("Yes"),(P368))))</formula>
    </cfRule>
  </conditionalFormatting>
  <conditionalFormatting sqref="P368:Q371 P373:Q373 P375:Q375 P377:Q380 P383:Q383">
    <cfRule type="containsText" dxfId="2" priority="48205" operator="containsText" text="Yes">
      <formula>NOT(ISERROR(SEARCH(("Yes"),(P368))))</formula>
    </cfRule>
  </conditionalFormatting>
  <conditionalFormatting sqref="P368:Q371 P373:Q373 P375:Q375 P377:Q380 P383:Q383">
    <cfRule type="containsText" dxfId="2" priority="48206" operator="containsText" text="Yes">
      <formula>NOT(ISERROR(SEARCH(("Yes"),(P368))))</formula>
    </cfRule>
  </conditionalFormatting>
  <conditionalFormatting sqref="P368:Q371 P373:Q373 P375:Q375 P377:Q380 P383:Q383">
    <cfRule type="containsText" dxfId="2" priority="48207" operator="containsText" text="Yes">
      <formula>NOT(ISERROR(SEARCH(("Yes"),(P368))))</formula>
    </cfRule>
  </conditionalFormatting>
  <conditionalFormatting sqref="P368:Q371 P373:Q373 P375:Q375 P377:Q380 P383:Q383">
    <cfRule type="containsText" dxfId="2" priority="48208" operator="containsText" text="Yes">
      <formula>NOT(ISERROR(SEARCH(("Yes"),(P368))))</formula>
    </cfRule>
  </conditionalFormatting>
  <conditionalFormatting sqref="P368:Q371 P373:Q373 P375:Q375 P377:Q380 P383:Q383">
    <cfRule type="containsText" dxfId="2" priority="48209" operator="containsText" text="Yes">
      <formula>NOT(ISERROR(SEARCH(("Yes"),(P368))))</formula>
    </cfRule>
  </conditionalFormatting>
  <conditionalFormatting sqref="P368:Q371 P373:Q373 P375:Q375 P377:Q380 P383:Q383">
    <cfRule type="containsText" dxfId="2" priority="48210" operator="containsText" text="Yes">
      <formula>NOT(ISERROR(SEARCH(("Yes"),(P368))))</formula>
    </cfRule>
  </conditionalFormatting>
  <conditionalFormatting sqref="P368:Q371 P373:Q373 P375:Q375 P377:Q380 P383:Q383">
    <cfRule type="containsText" dxfId="2" priority="48211" operator="containsText" text="Yes">
      <formula>NOT(ISERROR(SEARCH(("Yes"),(P368))))</formula>
    </cfRule>
  </conditionalFormatting>
  <conditionalFormatting sqref="P368:Q371 P373:Q373 P375:Q375 P377:Q380 P383:Q383">
    <cfRule type="containsText" dxfId="2" priority="48212" operator="containsText" text="Yes">
      <formula>NOT(ISERROR(SEARCH(("Yes"),(P368))))</formula>
    </cfRule>
  </conditionalFormatting>
  <conditionalFormatting sqref="P368:Q371 P373:Q373 P375:Q375 P377:Q380 P383:Q383">
    <cfRule type="containsText" dxfId="2" priority="48213" operator="containsText" text="Yes">
      <formula>NOT(ISERROR(SEARCH(("Yes"),(P368))))</formula>
    </cfRule>
  </conditionalFormatting>
  <conditionalFormatting sqref="P368:Q371 P373:Q373 P375:Q375 P377:Q380 P383:Q383">
    <cfRule type="containsText" dxfId="2" priority="48214" operator="containsText" text="Yes">
      <formula>NOT(ISERROR(SEARCH(("Yes"),(P368))))</formula>
    </cfRule>
  </conditionalFormatting>
  <conditionalFormatting sqref="P368:Q371 P373:Q373 P375:Q375 P377:Q380 P383:Q383">
    <cfRule type="containsText" dxfId="2" priority="48215" operator="containsText" text="Yes">
      <formula>NOT(ISERROR(SEARCH(("Yes"),(P368))))</formula>
    </cfRule>
  </conditionalFormatting>
  <conditionalFormatting sqref="P368:Q371 P373:Q373 P375:Q375 P377:Q380 P383:Q383">
    <cfRule type="containsText" dxfId="2" priority="48216" operator="containsText" text="Yes">
      <formula>NOT(ISERROR(SEARCH(("Yes"),(P368))))</formula>
    </cfRule>
  </conditionalFormatting>
  <conditionalFormatting sqref="P368:Q371 P373:Q373 P375:Q375 P377:Q380 P383:Q383">
    <cfRule type="containsText" dxfId="2" priority="48217" operator="containsText" text="Yes">
      <formula>NOT(ISERROR(SEARCH(("Yes"),(P368))))</formula>
    </cfRule>
  </conditionalFormatting>
  <conditionalFormatting sqref="P368:Q371 P373:Q373 P375:Q375 P377:Q380 P383:Q383">
    <cfRule type="containsText" dxfId="2" priority="48218" operator="containsText" text="Yes">
      <formula>NOT(ISERROR(SEARCH(("Yes"),(P368))))</formula>
    </cfRule>
  </conditionalFormatting>
  <conditionalFormatting sqref="P368:Q371 P373:Q373 P375:Q375 P377:Q380 P383:Q383">
    <cfRule type="containsText" dxfId="2" priority="48219" operator="containsText" text="Yes">
      <formula>NOT(ISERROR(SEARCH(("Yes"),(P368))))</formula>
    </cfRule>
  </conditionalFormatting>
  <conditionalFormatting sqref="P368:Q371 P373:Q373 P375:Q375 P377:Q380 P383:Q383">
    <cfRule type="containsText" dxfId="2" priority="48220" operator="containsText" text="Yes">
      <formula>NOT(ISERROR(SEARCH(("Yes"),(P368))))</formula>
    </cfRule>
  </conditionalFormatting>
  <conditionalFormatting sqref="P368:Q371 P373:Q373 P375:Q375 P377:Q380 P383:Q383">
    <cfRule type="containsText" dxfId="2" priority="48221" operator="containsText" text="Yes">
      <formula>NOT(ISERROR(SEARCH(("Yes"),(P368))))</formula>
    </cfRule>
  </conditionalFormatting>
  <conditionalFormatting sqref="P368:Q371 P373:Q373 P375:Q375 P377:Q380 P383:Q383">
    <cfRule type="containsText" dxfId="2" priority="48222" operator="containsText" text="Yes">
      <formula>NOT(ISERROR(SEARCH(("Yes"),(P368))))</formula>
    </cfRule>
  </conditionalFormatting>
  <conditionalFormatting sqref="P368:Q371 P373:Q373 P375:Q375 P377:Q380 P383:Q383">
    <cfRule type="containsText" dxfId="2" priority="48223" operator="containsText" text="Yes">
      <formula>NOT(ISERROR(SEARCH(("Yes"),(P368))))</formula>
    </cfRule>
  </conditionalFormatting>
  <conditionalFormatting sqref="P368:Q371 P373:Q373 P375:Q375 P377:Q380 P383:Q383">
    <cfRule type="containsText" dxfId="2" priority="48224" operator="containsText" text="Yes">
      <formula>NOT(ISERROR(SEARCH(("Yes"),(P368))))</formula>
    </cfRule>
  </conditionalFormatting>
  <conditionalFormatting sqref="P368:Q371 P373:Q373 P375:Q375 P377:Q380 P383:Q383">
    <cfRule type="containsText" dxfId="2" priority="48225" operator="containsText" text="Yes">
      <formula>NOT(ISERROR(SEARCH(("Yes"),(P368))))</formula>
    </cfRule>
  </conditionalFormatting>
  <conditionalFormatting sqref="P368:Q371 P373:Q373 P375:Q375 P377:Q380 P383:Q383">
    <cfRule type="containsText" dxfId="2" priority="48226" operator="containsText" text="Yes">
      <formula>NOT(ISERROR(SEARCH(("Yes"),(P368))))</formula>
    </cfRule>
  </conditionalFormatting>
  <conditionalFormatting sqref="P368:Q371 P373:Q373 P375:Q375 P377:Q380 P383:Q383">
    <cfRule type="containsText" dxfId="2" priority="48227" operator="containsText" text="Yes">
      <formula>NOT(ISERROR(SEARCH(("Yes"),(P368))))</formula>
    </cfRule>
  </conditionalFormatting>
  <conditionalFormatting sqref="P368:Q371 P373:Q373 P375:Q375 P377:Q380 P383:Q383">
    <cfRule type="containsText" dxfId="2" priority="48228" operator="containsText" text="Yes">
      <formula>NOT(ISERROR(SEARCH(("Yes"),(P368))))</formula>
    </cfRule>
  </conditionalFormatting>
  <conditionalFormatting sqref="P368:Q371 P373:Q373 P375:Q375 P377:Q380 P383:Q383">
    <cfRule type="containsText" dxfId="2" priority="48229" operator="containsText" text="Yes">
      <formula>NOT(ISERROR(SEARCH(("Yes"),(P368))))</formula>
    </cfRule>
  </conditionalFormatting>
  <conditionalFormatting sqref="P368:Q371 P373:Q373 P375:Q375 P377:Q380 P383:Q383">
    <cfRule type="containsText" dxfId="2" priority="48230" operator="containsText" text="Yes">
      <formula>NOT(ISERROR(SEARCH(("Yes"),(P368))))</formula>
    </cfRule>
  </conditionalFormatting>
  <conditionalFormatting sqref="P368:Q371 P373:Q373 P375:Q375 P377:Q380 P383:Q383">
    <cfRule type="containsText" dxfId="2" priority="48231" operator="containsText" text="Yes">
      <formula>NOT(ISERROR(SEARCH(("Yes"),(P368))))</formula>
    </cfRule>
  </conditionalFormatting>
  <conditionalFormatting sqref="P368:Q371 P373:Q373 P375:Q375 P377:Q380 P383:Q383">
    <cfRule type="containsText" dxfId="2" priority="48232" operator="containsText" text="Yes">
      <formula>NOT(ISERROR(SEARCH(("Yes"),(P368))))</formula>
    </cfRule>
  </conditionalFormatting>
  <conditionalFormatting sqref="P368:Q371 P373:Q373 P375:Q375 P377:Q380 P383:Q383">
    <cfRule type="containsText" dxfId="2" priority="48233" operator="containsText" text="Yes">
      <formula>NOT(ISERROR(SEARCH(("Yes"),(P368))))</formula>
    </cfRule>
  </conditionalFormatting>
  <conditionalFormatting sqref="P368:Q371 P373:Q373 P375:Q375 P377:Q380 P383:Q383">
    <cfRule type="containsText" dxfId="2" priority="48234" operator="containsText" text="Yes">
      <formula>NOT(ISERROR(SEARCH(("Yes"),(P368))))</formula>
    </cfRule>
  </conditionalFormatting>
  <conditionalFormatting sqref="P368:Q371 P373:Q373 P375:Q375 P377:Q380 P383:Q383">
    <cfRule type="containsText" dxfId="2" priority="48235" operator="containsText" text="Yes">
      <formula>NOT(ISERROR(SEARCH(("Yes"),(P368))))</formula>
    </cfRule>
  </conditionalFormatting>
  <conditionalFormatting sqref="P368:Q371 P373:Q373 P375:Q375 P377:Q380 P383:Q383">
    <cfRule type="containsText" dxfId="2" priority="48236" operator="containsText" text="Yes">
      <formula>NOT(ISERROR(SEARCH(("Yes"),(P368))))</formula>
    </cfRule>
  </conditionalFormatting>
  <conditionalFormatting sqref="P368:Q371 P373:Q373 P375:Q375 P377:Q380 P383:Q383">
    <cfRule type="containsText" dxfId="2" priority="48237" operator="containsText" text="Yes">
      <formula>NOT(ISERROR(SEARCH(("Yes"),(P368))))</formula>
    </cfRule>
  </conditionalFormatting>
  <conditionalFormatting sqref="P368:Q371 P373:Q373 P375:Q375 P377:Q380 P383:Q383">
    <cfRule type="containsText" dxfId="2" priority="48238" operator="containsText" text="Yes">
      <formula>NOT(ISERROR(SEARCH(("Yes"),(P368))))</formula>
    </cfRule>
  </conditionalFormatting>
  <conditionalFormatting sqref="P368:Q371 P373:Q373 P375:Q375 P377:Q380 P383:Q383">
    <cfRule type="containsText" dxfId="2" priority="48239" operator="containsText" text="Yes">
      <formula>NOT(ISERROR(SEARCH(("Yes"),(P368))))</formula>
    </cfRule>
  </conditionalFormatting>
  <conditionalFormatting sqref="P368:Q371 P373:Q373 P375:Q375 P377:Q380 P383:Q383">
    <cfRule type="containsText" dxfId="2" priority="48240" operator="containsText" text="Yes">
      <formula>NOT(ISERROR(SEARCH(("Yes"),(P368))))</formula>
    </cfRule>
  </conditionalFormatting>
  <conditionalFormatting sqref="P368:Q371 P373:Q373 P375:Q375 P377:Q380 P383:Q383">
    <cfRule type="containsText" dxfId="2" priority="48241" operator="containsText" text="Yes">
      <formula>NOT(ISERROR(SEARCH(("Yes"),(P368))))</formula>
    </cfRule>
  </conditionalFormatting>
  <conditionalFormatting sqref="P368:Q371 P373:Q373 P375:Q375 P377:Q380 P383:Q383">
    <cfRule type="containsText" dxfId="2" priority="48242" operator="containsText" text="Yes">
      <formula>NOT(ISERROR(SEARCH(("Yes"),(P368))))</formula>
    </cfRule>
  </conditionalFormatting>
  <conditionalFormatting sqref="P368:Q371 P373:Q373 P375:Q375 P377:Q380 P383:Q383">
    <cfRule type="containsText" dxfId="2" priority="48243" operator="containsText" text="Yes">
      <formula>NOT(ISERROR(SEARCH(("Yes"),(P368))))</formula>
    </cfRule>
  </conditionalFormatting>
  <conditionalFormatting sqref="O369:O371">
    <cfRule type="containsText" dxfId="9" priority="48244" operator="containsText" text="No">
      <formula>NOT(ISERROR(SEARCH(("No"),(O369))))</formula>
    </cfRule>
  </conditionalFormatting>
  <conditionalFormatting sqref="O369:O371">
    <cfRule type="containsText" dxfId="9" priority="48245" operator="containsText" text="No">
      <formula>NOT(ISERROR(SEARCH(("No"),(O369))))</formula>
    </cfRule>
  </conditionalFormatting>
  <conditionalFormatting sqref="O369:O371">
    <cfRule type="containsText" dxfId="9" priority="48246" operator="containsText" text="No">
      <formula>NOT(ISERROR(SEARCH(("No"),(O369))))</formula>
    </cfRule>
  </conditionalFormatting>
  <conditionalFormatting sqref="O369:O371">
    <cfRule type="containsText" dxfId="2" priority="48247" operator="containsText" text="Yes">
      <formula>NOT(ISERROR(SEARCH(("Yes"),(O369))))</formula>
    </cfRule>
  </conditionalFormatting>
  <conditionalFormatting sqref="O369:O371">
    <cfRule type="containsText" dxfId="2" priority="48248" operator="containsText" text="Yes">
      <formula>NOT(ISERROR(SEARCH(("Yes"),(O369))))</formula>
    </cfRule>
  </conditionalFormatting>
  <conditionalFormatting sqref="O369:O371">
    <cfRule type="containsText" dxfId="2" priority="48249" operator="containsText" text="Yes">
      <formula>NOT(ISERROR(SEARCH(("Yes"),(O369))))</formula>
    </cfRule>
  </conditionalFormatting>
  <conditionalFormatting sqref="O369:O371">
    <cfRule type="containsText" dxfId="2" priority="48250" operator="containsText" text="Yes">
      <formula>NOT(ISERROR(SEARCH(("Yes"),(O369))))</formula>
    </cfRule>
  </conditionalFormatting>
  <conditionalFormatting sqref="O369:O371">
    <cfRule type="containsText" dxfId="2" priority="48251" operator="containsText" text="Yes">
      <formula>NOT(ISERROR(SEARCH(("Yes"),(O369))))</formula>
    </cfRule>
  </conditionalFormatting>
  <conditionalFormatting sqref="O369:O371">
    <cfRule type="containsText" dxfId="9" priority="48252" operator="containsText" text="No">
      <formula>NOT(ISERROR(SEARCH(("No"),(O369))))</formula>
    </cfRule>
  </conditionalFormatting>
  <conditionalFormatting sqref="O369:O371">
    <cfRule type="containsText" dxfId="9" priority="48253" operator="containsText" text="No">
      <formula>NOT(ISERROR(SEARCH(("No"),(O369))))</formula>
    </cfRule>
  </conditionalFormatting>
  <conditionalFormatting sqref="O369:O371">
    <cfRule type="containsText" dxfId="2" priority="48254" operator="containsText" text="Yes">
      <formula>NOT(ISERROR(SEARCH(("Yes"),(O369))))</formula>
    </cfRule>
  </conditionalFormatting>
  <conditionalFormatting sqref="P369:Q371">
    <cfRule type="containsText" dxfId="9" priority="48255" operator="containsText" text="No">
      <formula>NOT(ISERROR(SEARCH(("No"),(P369))))</formula>
    </cfRule>
  </conditionalFormatting>
  <conditionalFormatting sqref="P369:Q371">
    <cfRule type="containsText" dxfId="9" priority="48256" operator="containsText" text="No">
      <formula>NOT(ISERROR(SEARCH(("No"),(P369))))</formula>
    </cfRule>
  </conditionalFormatting>
  <conditionalFormatting sqref="P369:Q371">
    <cfRule type="containsText" dxfId="9" priority="48257" operator="containsText" text="No">
      <formula>NOT(ISERROR(SEARCH(("No"),(P369))))</formula>
    </cfRule>
  </conditionalFormatting>
  <conditionalFormatting sqref="P369:Q371">
    <cfRule type="containsText" dxfId="9" priority="48258" operator="containsText" text="No">
      <formula>NOT(ISERROR(SEARCH(("No"),(P369))))</formula>
    </cfRule>
  </conditionalFormatting>
  <conditionalFormatting sqref="P369:Q371">
    <cfRule type="containsText" dxfId="9" priority="48259" operator="containsText" text="No">
      <formula>NOT(ISERROR(SEARCH(("No"),(P369))))</formula>
    </cfRule>
  </conditionalFormatting>
  <conditionalFormatting sqref="P369:Q371">
    <cfRule type="containsText" dxfId="9" priority="48260" operator="containsText" text="No">
      <formula>NOT(ISERROR(SEARCH(("No"),(P369))))</formula>
    </cfRule>
  </conditionalFormatting>
  <conditionalFormatting sqref="P369:Q371">
    <cfRule type="containsText" dxfId="9" priority="48261" operator="containsText" text="No">
      <formula>NOT(ISERROR(SEARCH(("No"),(P369))))</formula>
    </cfRule>
  </conditionalFormatting>
  <conditionalFormatting sqref="P369:Q371">
    <cfRule type="containsText" dxfId="9" priority="48262" operator="containsText" text="No">
      <formula>NOT(ISERROR(SEARCH(("No"),(P369))))</formula>
    </cfRule>
  </conditionalFormatting>
  <conditionalFormatting sqref="P369:Q371">
    <cfRule type="containsText" dxfId="9" priority="48263" operator="containsText" text="No">
      <formula>NOT(ISERROR(SEARCH(("No"),(P369))))</formula>
    </cfRule>
  </conditionalFormatting>
  <conditionalFormatting sqref="P369:Q371">
    <cfRule type="containsText" dxfId="9" priority="48264" operator="containsText" text="No">
      <formula>NOT(ISERROR(SEARCH(("No"),(P369))))</formula>
    </cfRule>
  </conditionalFormatting>
  <conditionalFormatting sqref="P369:Q371">
    <cfRule type="containsText" dxfId="9" priority="48265" operator="containsText" text="No">
      <formula>NOT(ISERROR(SEARCH(("No"),(P369))))</formula>
    </cfRule>
  </conditionalFormatting>
  <conditionalFormatting sqref="P369:Q371">
    <cfRule type="containsText" dxfId="9" priority="48266" operator="containsText" text="No">
      <formula>NOT(ISERROR(SEARCH(("No"),(P369))))</formula>
    </cfRule>
  </conditionalFormatting>
  <conditionalFormatting sqref="P369:Q371">
    <cfRule type="containsText" dxfId="9" priority="48267" operator="containsText" text="No">
      <formula>NOT(ISERROR(SEARCH(("No"),(P369))))</formula>
    </cfRule>
  </conditionalFormatting>
  <conditionalFormatting sqref="P369:Q371">
    <cfRule type="containsText" dxfId="9" priority="48268" operator="containsText" text="No">
      <formula>NOT(ISERROR(SEARCH(("No"),(P369))))</formula>
    </cfRule>
  </conditionalFormatting>
  <conditionalFormatting sqref="P369:Q371">
    <cfRule type="containsText" dxfId="9" priority="48269" operator="containsText" text="No">
      <formula>NOT(ISERROR(SEARCH(("No"),(P369))))</formula>
    </cfRule>
  </conditionalFormatting>
  <conditionalFormatting sqref="P369:Q371">
    <cfRule type="containsText" dxfId="9" priority="48270" operator="containsText" text="No">
      <formula>NOT(ISERROR(SEARCH(("No"),(P369))))</formula>
    </cfRule>
  </conditionalFormatting>
  <conditionalFormatting sqref="P369:Q371">
    <cfRule type="containsText" dxfId="9" priority="48271" operator="containsText" text="No">
      <formula>NOT(ISERROR(SEARCH(("No"),(P369))))</formula>
    </cfRule>
  </conditionalFormatting>
  <conditionalFormatting sqref="P369:Q371">
    <cfRule type="containsText" dxfId="9" priority="48272" operator="containsText" text="No">
      <formula>NOT(ISERROR(SEARCH(("No"),(P369))))</formula>
    </cfRule>
  </conditionalFormatting>
  <conditionalFormatting sqref="P369:Q371">
    <cfRule type="containsText" dxfId="9" priority="48273" operator="containsText" text="No">
      <formula>NOT(ISERROR(SEARCH(("No"),(P369))))</formula>
    </cfRule>
  </conditionalFormatting>
  <conditionalFormatting sqref="P369:Q371">
    <cfRule type="containsText" dxfId="9" priority="48274" operator="containsText" text="No">
      <formula>NOT(ISERROR(SEARCH(("No"),(P369))))</formula>
    </cfRule>
  </conditionalFormatting>
  <conditionalFormatting sqref="P369:Q371">
    <cfRule type="containsText" dxfId="9" priority="48275" operator="containsText" text="No">
      <formula>NOT(ISERROR(SEARCH(("No"),(P369))))</formula>
    </cfRule>
  </conditionalFormatting>
  <conditionalFormatting sqref="P369:Q371">
    <cfRule type="containsText" dxfId="9" priority="48276" operator="containsText" text="No">
      <formula>NOT(ISERROR(SEARCH(("No"),(P369))))</formula>
    </cfRule>
  </conditionalFormatting>
  <conditionalFormatting sqref="P369:Q371">
    <cfRule type="containsText" dxfId="9" priority="48277" operator="containsText" text="No">
      <formula>NOT(ISERROR(SEARCH(("No"),(P369))))</formula>
    </cfRule>
  </conditionalFormatting>
  <conditionalFormatting sqref="P369:Q371">
    <cfRule type="containsText" dxfId="9" priority="48278" operator="containsText" text="No">
      <formula>NOT(ISERROR(SEARCH(("No"),(P369))))</formula>
    </cfRule>
  </conditionalFormatting>
  <conditionalFormatting sqref="P369:Q371">
    <cfRule type="containsText" dxfId="9" priority="48279" operator="containsText" text="No">
      <formula>NOT(ISERROR(SEARCH(("No"),(P369))))</formula>
    </cfRule>
  </conditionalFormatting>
  <conditionalFormatting sqref="P369:Q371">
    <cfRule type="containsText" dxfId="9" priority="48280" operator="containsText" text="No">
      <formula>NOT(ISERROR(SEARCH(("No"),(P369))))</formula>
    </cfRule>
  </conditionalFormatting>
  <conditionalFormatting sqref="P369:Q371">
    <cfRule type="containsText" dxfId="9" priority="48281" operator="containsText" text="No">
      <formula>NOT(ISERROR(SEARCH(("No"),(P369))))</formula>
    </cfRule>
  </conditionalFormatting>
  <conditionalFormatting sqref="P369:Q371">
    <cfRule type="containsText" dxfId="9" priority="48282" operator="containsText" text="No">
      <formula>NOT(ISERROR(SEARCH(("No"),(P369))))</formula>
    </cfRule>
  </conditionalFormatting>
  <conditionalFormatting sqref="P369:Q371">
    <cfRule type="containsText" dxfId="9" priority="48283" operator="containsText" text="No">
      <formula>NOT(ISERROR(SEARCH(("No"),(P369))))</formula>
    </cfRule>
  </conditionalFormatting>
  <conditionalFormatting sqref="P369:Q371">
    <cfRule type="containsText" dxfId="9" priority="48284" operator="containsText" text="No">
      <formula>NOT(ISERROR(SEARCH(("No"),(P369))))</formula>
    </cfRule>
  </conditionalFormatting>
  <conditionalFormatting sqref="P369:Q371">
    <cfRule type="containsText" dxfId="9" priority="48285" operator="containsText" text="No">
      <formula>NOT(ISERROR(SEARCH(("No"),(P369))))</formula>
    </cfRule>
  </conditionalFormatting>
  <conditionalFormatting sqref="P369:Q371">
    <cfRule type="containsText" dxfId="9" priority="48286" operator="containsText" text="No">
      <formula>NOT(ISERROR(SEARCH(("No"),(P369))))</formula>
    </cfRule>
  </conditionalFormatting>
  <conditionalFormatting sqref="P369:Q371">
    <cfRule type="containsText" dxfId="9" priority="48287" operator="containsText" text="No">
      <formula>NOT(ISERROR(SEARCH(("No"),(P369))))</formula>
    </cfRule>
  </conditionalFormatting>
  <conditionalFormatting sqref="P369:Q371">
    <cfRule type="containsText" dxfId="9" priority="48288" operator="containsText" text="No">
      <formula>NOT(ISERROR(SEARCH(("No"),(P369))))</formula>
    </cfRule>
  </conditionalFormatting>
  <conditionalFormatting sqref="P369:Q371">
    <cfRule type="containsText" dxfId="9" priority="48289" operator="containsText" text="No">
      <formula>NOT(ISERROR(SEARCH(("No"),(P369))))</formula>
    </cfRule>
  </conditionalFormatting>
  <conditionalFormatting sqref="P369:Q371">
    <cfRule type="containsText" dxfId="9" priority="48290" operator="containsText" text="No">
      <formula>NOT(ISERROR(SEARCH(("No"),(P369))))</formula>
    </cfRule>
  </conditionalFormatting>
  <conditionalFormatting sqref="P369:Q371">
    <cfRule type="containsText" dxfId="9" priority="48291" operator="containsText" text="No">
      <formula>NOT(ISERROR(SEARCH(("No"),(P369))))</formula>
    </cfRule>
  </conditionalFormatting>
  <conditionalFormatting sqref="P369:Q371">
    <cfRule type="containsText" dxfId="9" priority="48292" operator="containsText" text="No">
      <formula>NOT(ISERROR(SEARCH(("No"),(P369))))</formula>
    </cfRule>
  </conditionalFormatting>
  <conditionalFormatting sqref="P369:Q371">
    <cfRule type="containsText" dxfId="9" priority="48293" operator="containsText" text="No">
      <formula>NOT(ISERROR(SEARCH(("No"),(P369))))</formula>
    </cfRule>
  </conditionalFormatting>
  <conditionalFormatting sqref="P369:Q371">
    <cfRule type="containsText" dxfId="9" priority="48294" operator="containsText" text="No">
      <formula>NOT(ISERROR(SEARCH(("No"),(P369))))</formula>
    </cfRule>
  </conditionalFormatting>
  <conditionalFormatting sqref="P369:Q371">
    <cfRule type="containsText" dxfId="9" priority="48295" operator="containsText" text="No">
      <formula>NOT(ISERROR(SEARCH(("No"),(P369))))</formula>
    </cfRule>
  </conditionalFormatting>
  <conditionalFormatting sqref="P369:Q371">
    <cfRule type="containsText" dxfId="9" priority="48296" operator="containsText" text="No">
      <formula>NOT(ISERROR(SEARCH(("No"),(P369))))</formula>
    </cfRule>
  </conditionalFormatting>
  <conditionalFormatting sqref="P369:Q371">
    <cfRule type="containsText" dxfId="9" priority="48297" operator="containsText" text="No">
      <formula>NOT(ISERROR(SEARCH(("No"),(P369))))</formula>
    </cfRule>
  </conditionalFormatting>
  <conditionalFormatting sqref="P369:Q371">
    <cfRule type="containsText" dxfId="9" priority="48298" operator="containsText" text="No">
      <formula>NOT(ISERROR(SEARCH(("No"),(P369))))</formula>
    </cfRule>
  </conditionalFormatting>
  <conditionalFormatting sqref="P369:Q371">
    <cfRule type="containsText" dxfId="9" priority="48299" operator="containsText" text="No">
      <formula>NOT(ISERROR(SEARCH(("No"),(P369))))</formula>
    </cfRule>
  </conditionalFormatting>
  <conditionalFormatting sqref="P369:Q371">
    <cfRule type="containsText" dxfId="2" priority="48300" operator="containsText" text="Yes">
      <formula>NOT(ISERROR(SEARCH(("Yes"),(P369))))</formula>
    </cfRule>
  </conditionalFormatting>
  <conditionalFormatting sqref="P369:Q371">
    <cfRule type="containsText" dxfId="2" priority="48301" operator="containsText" text="Yes">
      <formula>NOT(ISERROR(SEARCH(("Yes"),(P369))))</formula>
    </cfRule>
  </conditionalFormatting>
  <conditionalFormatting sqref="P369:Q371">
    <cfRule type="containsText" dxfId="2" priority="48302" operator="containsText" text="Yes">
      <formula>NOT(ISERROR(SEARCH(("Yes"),(P369))))</formula>
    </cfRule>
  </conditionalFormatting>
  <conditionalFormatting sqref="P369:Q371">
    <cfRule type="containsText" dxfId="2" priority="48303" operator="containsText" text="Yes">
      <formula>NOT(ISERROR(SEARCH(("Yes"),(P369))))</formula>
    </cfRule>
  </conditionalFormatting>
  <conditionalFormatting sqref="P369:Q371">
    <cfRule type="containsText" dxfId="2" priority="48304" operator="containsText" text="Yes">
      <formula>NOT(ISERROR(SEARCH(("Yes"),(P369))))</formula>
    </cfRule>
  </conditionalFormatting>
  <conditionalFormatting sqref="P369:Q371">
    <cfRule type="containsText" dxfId="2" priority="48305" operator="containsText" text="Yes">
      <formula>NOT(ISERROR(SEARCH(("Yes"),(P369))))</formula>
    </cfRule>
  </conditionalFormatting>
  <conditionalFormatting sqref="P369:Q371">
    <cfRule type="containsText" dxfId="2" priority="48306" operator="containsText" text="Yes">
      <formula>NOT(ISERROR(SEARCH(("Yes"),(P369))))</formula>
    </cfRule>
  </conditionalFormatting>
  <conditionalFormatting sqref="P369:Q371">
    <cfRule type="containsText" dxfId="2" priority="48307" operator="containsText" text="Yes">
      <formula>NOT(ISERROR(SEARCH(("Yes"),(P369))))</formula>
    </cfRule>
  </conditionalFormatting>
  <conditionalFormatting sqref="P369:Q371">
    <cfRule type="containsText" dxfId="2" priority="48308" operator="containsText" text="Yes">
      <formula>NOT(ISERROR(SEARCH(("Yes"),(P369))))</formula>
    </cfRule>
  </conditionalFormatting>
  <conditionalFormatting sqref="P369:Q371">
    <cfRule type="containsText" dxfId="2" priority="48309" operator="containsText" text="Yes">
      <formula>NOT(ISERROR(SEARCH(("Yes"),(P369))))</formula>
    </cfRule>
  </conditionalFormatting>
  <conditionalFormatting sqref="P369:Q371">
    <cfRule type="containsText" dxfId="2" priority="48310" operator="containsText" text="Yes">
      <formula>NOT(ISERROR(SEARCH(("Yes"),(P369))))</formula>
    </cfRule>
  </conditionalFormatting>
  <conditionalFormatting sqref="P369:Q371">
    <cfRule type="containsText" dxfId="2" priority="48311" operator="containsText" text="Yes">
      <formula>NOT(ISERROR(SEARCH(("Yes"),(P369))))</formula>
    </cfRule>
  </conditionalFormatting>
  <conditionalFormatting sqref="P369:Q371">
    <cfRule type="containsText" dxfId="2" priority="48312" operator="containsText" text="Yes">
      <formula>NOT(ISERROR(SEARCH(("Yes"),(P369))))</formula>
    </cfRule>
  </conditionalFormatting>
  <conditionalFormatting sqref="P369:Q371">
    <cfRule type="containsText" dxfId="2" priority="48313" operator="containsText" text="Yes">
      <formula>NOT(ISERROR(SEARCH(("Yes"),(P369))))</formula>
    </cfRule>
  </conditionalFormatting>
  <conditionalFormatting sqref="P369:Q371">
    <cfRule type="containsText" dxfId="2" priority="48314" operator="containsText" text="Yes">
      <formula>NOT(ISERROR(SEARCH(("Yes"),(P369))))</formula>
    </cfRule>
  </conditionalFormatting>
  <conditionalFormatting sqref="P369:Q371">
    <cfRule type="containsText" dxfId="2" priority="48315" operator="containsText" text="Yes">
      <formula>NOT(ISERROR(SEARCH(("Yes"),(P369))))</formula>
    </cfRule>
  </conditionalFormatting>
  <conditionalFormatting sqref="P369:Q371">
    <cfRule type="containsText" dxfId="2" priority="48316" operator="containsText" text="Yes">
      <formula>NOT(ISERROR(SEARCH(("Yes"),(P369))))</formula>
    </cfRule>
  </conditionalFormatting>
  <conditionalFormatting sqref="P369:Q371">
    <cfRule type="containsText" dxfId="2" priority="48317" operator="containsText" text="Yes">
      <formula>NOT(ISERROR(SEARCH(("Yes"),(P369))))</formula>
    </cfRule>
  </conditionalFormatting>
  <conditionalFormatting sqref="P369:Q371">
    <cfRule type="containsText" dxfId="2" priority="48318" operator="containsText" text="Yes">
      <formula>NOT(ISERROR(SEARCH(("Yes"),(P369))))</formula>
    </cfRule>
  </conditionalFormatting>
  <conditionalFormatting sqref="P369:Q371">
    <cfRule type="containsText" dxfId="2" priority="48319" operator="containsText" text="Yes">
      <formula>NOT(ISERROR(SEARCH(("Yes"),(P369))))</formula>
    </cfRule>
  </conditionalFormatting>
  <conditionalFormatting sqref="P369:Q371">
    <cfRule type="containsText" dxfId="2" priority="48320" operator="containsText" text="Yes">
      <formula>NOT(ISERROR(SEARCH(("Yes"),(P369))))</formula>
    </cfRule>
  </conditionalFormatting>
  <conditionalFormatting sqref="P369:Q371">
    <cfRule type="containsText" dxfId="2" priority="48321" operator="containsText" text="Yes">
      <formula>NOT(ISERROR(SEARCH(("Yes"),(P369))))</formula>
    </cfRule>
  </conditionalFormatting>
  <conditionalFormatting sqref="P369:Q371">
    <cfRule type="containsText" dxfId="2" priority="48322" operator="containsText" text="Yes">
      <formula>NOT(ISERROR(SEARCH(("Yes"),(P369))))</formula>
    </cfRule>
  </conditionalFormatting>
  <conditionalFormatting sqref="P369:Q371">
    <cfRule type="containsText" dxfId="2" priority="48323" operator="containsText" text="Yes">
      <formula>NOT(ISERROR(SEARCH(("Yes"),(P369))))</formula>
    </cfRule>
  </conditionalFormatting>
  <conditionalFormatting sqref="P369:Q371">
    <cfRule type="containsText" dxfId="2" priority="48324" operator="containsText" text="Yes">
      <formula>NOT(ISERROR(SEARCH(("Yes"),(P369))))</formula>
    </cfRule>
  </conditionalFormatting>
  <conditionalFormatting sqref="P369:Q371">
    <cfRule type="containsText" dxfId="2" priority="48325" operator="containsText" text="Yes">
      <formula>NOT(ISERROR(SEARCH(("Yes"),(P369))))</formula>
    </cfRule>
  </conditionalFormatting>
  <conditionalFormatting sqref="P369:Q371">
    <cfRule type="containsText" dxfId="2" priority="48326" operator="containsText" text="Yes">
      <formula>NOT(ISERROR(SEARCH(("Yes"),(P369))))</formula>
    </cfRule>
  </conditionalFormatting>
  <conditionalFormatting sqref="P369:Q371">
    <cfRule type="containsText" dxfId="2" priority="48327" operator="containsText" text="Yes">
      <formula>NOT(ISERROR(SEARCH(("Yes"),(P369))))</formula>
    </cfRule>
  </conditionalFormatting>
  <conditionalFormatting sqref="P369:Q371">
    <cfRule type="containsText" dxfId="2" priority="48328" operator="containsText" text="Yes">
      <formula>NOT(ISERROR(SEARCH(("Yes"),(P369))))</formula>
    </cfRule>
  </conditionalFormatting>
  <conditionalFormatting sqref="P369:Q371">
    <cfRule type="containsText" dxfId="2" priority="48329" operator="containsText" text="Yes">
      <formula>NOT(ISERROR(SEARCH(("Yes"),(P369))))</formula>
    </cfRule>
  </conditionalFormatting>
  <conditionalFormatting sqref="P369:Q371">
    <cfRule type="containsText" dxfId="2" priority="48330" operator="containsText" text="Yes">
      <formula>NOT(ISERROR(SEARCH(("Yes"),(P369))))</formula>
    </cfRule>
  </conditionalFormatting>
  <conditionalFormatting sqref="P369:Q371">
    <cfRule type="containsText" dxfId="2" priority="48331" operator="containsText" text="Yes">
      <formula>NOT(ISERROR(SEARCH(("Yes"),(P369))))</formula>
    </cfRule>
  </conditionalFormatting>
  <conditionalFormatting sqref="P369:Q371">
    <cfRule type="containsText" dxfId="2" priority="48332" operator="containsText" text="Yes">
      <formula>NOT(ISERROR(SEARCH(("Yes"),(P369))))</formula>
    </cfRule>
  </conditionalFormatting>
  <conditionalFormatting sqref="P369:Q371">
    <cfRule type="containsText" dxfId="2" priority="48333" operator="containsText" text="Yes">
      <formula>NOT(ISERROR(SEARCH(("Yes"),(P369))))</formula>
    </cfRule>
  </conditionalFormatting>
  <conditionalFormatting sqref="P369:Q371">
    <cfRule type="containsText" dxfId="2" priority="48334" operator="containsText" text="Yes">
      <formula>NOT(ISERROR(SEARCH(("Yes"),(P369))))</formula>
    </cfRule>
  </conditionalFormatting>
  <conditionalFormatting sqref="P369:Q371">
    <cfRule type="containsText" dxfId="2" priority="48335" operator="containsText" text="Yes">
      <formula>NOT(ISERROR(SEARCH(("Yes"),(P369))))</formula>
    </cfRule>
  </conditionalFormatting>
  <conditionalFormatting sqref="P369:Q371">
    <cfRule type="containsText" dxfId="2" priority="48336" operator="containsText" text="Yes">
      <formula>NOT(ISERROR(SEARCH(("Yes"),(P369))))</formula>
    </cfRule>
  </conditionalFormatting>
  <conditionalFormatting sqref="P369:Q371">
    <cfRule type="containsText" dxfId="2" priority="48337" operator="containsText" text="Yes">
      <formula>NOT(ISERROR(SEARCH(("Yes"),(P369))))</formula>
    </cfRule>
  </conditionalFormatting>
  <conditionalFormatting sqref="P369:Q371">
    <cfRule type="containsText" dxfId="2" priority="48338" operator="containsText" text="Yes">
      <formula>NOT(ISERROR(SEARCH(("Yes"),(P369))))</formula>
    </cfRule>
  </conditionalFormatting>
  <conditionalFormatting sqref="P369:Q371">
    <cfRule type="containsText" dxfId="2" priority="48339" operator="containsText" text="Yes">
      <formula>NOT(ISERROR(SEARCH(("Yes"),(P369))))</formula>
    </cfRule>
  </conditionalFormatting>
  <conditionalFormatting sqref="P369:Q371">
    <cfRule type="containsText" dxfId="2" priority="48340" operator="containsText" text="Yes">
      <formula>NOT(ISERROR(SEARCH(("Yes"),(P369))))</formula>
    </cfRule>
  </conditionalFormatting>
  <conditionalFormatting sqref="P369:Q371">
    <cfRule type="containsText" dxfId="2" priority="48341" operator="containsText" text="Yes">
      <formula>NOT(ISERROR(SEARCH(("Yes"),(P369))))</formula>
    </cfRule>
  </conditionalFormatting>
  <conditionalFormatting sqref="P369:Q371">
    <cfRule type="containsText" dxfId="2" priority="48342" operator="containsText" text="Yes">
      <formula>NOT(ISERROR(SEARCH(("Yes"),(P369))))</formula>
    </cfRule>
  </conditionalFormatting>
  <conditionalFormatting sqref="P369:Q371">
    <cfRule type="containsText" dxfId="2" priority="48343" operator="containsText" text="Yes">
      <formula>NOT(ISERROR(SEARCH(("Yes"),(P369))))</formula>
    </cfRule>
  </conditionalFormatting>
  <conditionalFormatting sqref="P369:Q371">
    <cfRule type="containsText" dxfId="2" priority="48344" operator="containsText" text="Yes">
      <formula>NOT(ISERROR(SEARCH(("Yes"),(P369))))</formula>
    </cfRule>
  </conditionalFormatting>
  <conditionalFormatting sqref="P369:Q371">
    <cfRule type="containsText" dxfId="2" priority="48345" operator="containsText" text="Yes">
      <formula>NOT(ISERROR(SEARCH(("Yes"),(P369))))</formula>
    </cfRule>
  </conditionalFormatting>
  <conditionalFormatting sqref="P369:Q371">
    <cfRule type="containsText" dxfId="2" priority="48346" operator="containsText" text="Yes">
      <formula>NOT(ISERROR(SEARCH(("Yes"),(P369))))</formula>
    </cfRule>
  </conditionalFormatting>
  <conditionalFormatting sqref="P370:Q371">
    <cfRule type="containsText" dxfId="9" priority="48347" operator="containsText" text="No">
      <formula>NOT(ISERROR(SEARCH(("No"),(P370))))</formula>
    </cfRule>
  </conditionalFormatting>
  <conditionalFormatting sqref="P370:Q371">
    <cfRule type="containsText" dxfId="9" priority="48348" operator="containsText" text="No">
      <formula>NOT(ISERROR(SEARCH(("No"),(P370))))</formula>
    </cfRule>
  </conditionalFormatting>
  <conditionalFormatting sqref="P370:Q371">
    <cfRule type="containsText" dxfId="9" priority="48349" operator="containsText" text="No">
      <formula>NOT(ISERROR(SEARCH(("No"),(P370))))</formula>
    </cfRule>
  </conditionalFormatting>
  <conditionalFormatting sqref="P370:Q371">
    <cfRule type="containsText" dxfId="9" priority="48350" operator="containsText" text="No">
      <formula>NOT(ISERROR(SEARCH(("No"),(P370))))</formula>
    </cfRule>
  </conditionalFormatting>
  <conditionalFormatting sqref="P370:Q371">
    <cfRule type="containsText" dxfId="9" priority="48351" operator="containsText" text="No">
      <formula>NOT(ISERROR(SEARCH(("No"),(P370))))</formula>
    </cfRule>
  </conditionalFormatting>
  <conditionalFormatting sqref="P370:Q371">
    <cfRule type="containsText" dxfId="9" priority="48352" operator="containsText" text="No">
      <formula>NOT(ISERROR(SEARCH(("No"),(P370))))</formula>
    </cfRule>
  </conditionalFormatting>
  <conditionalFormatting sqref="P370:Q371">
    <cfRule type="containsText" dxfId="9" priority="48353" operator="containsText" text="No">
      <formula>NOT(ISERROR(SEARCH(("No"),(P370))))</formula>
    </cfRule>
  </conditionalFormatting>
  <conditionalFormatting sqref="P370:Q371">
    <cfRule type="containsText" dxfId="9" priority="48354" operator="containsText" text="No">
      <formula>NOT(ISERROR(SEARCH(("No"),(P370))))</formula>
    </cfRule>
  </conditionalFormatting>
  <conditionalFormatting sqref="P370:Q371">
    <cfRule type="containsText" dxfId="9" priority="48355" operator="containsText" text="No">
      <formula>NOT(ISERROR(SEARCH(("No"),(P370))))</formula>
    </cfRule>
  </conditionalFormatting>
  <conditionalFormatting sqref="P370:Q371">
    <cfRule type="containsText" dxfId="9" priority="48356" operator="containsText" text="No">
      <formula>NOT(ISERROR(SEARCH(("No"),(P370))))</formula>
    </cfRule>
  </conditionalFormatting>
  <conditionalFormatting sqref="P370:Q371">
    <cfRule type="containsText" dxfId="9" priority="48357" operator="containsText" text="No">
      <formula>NOT(ISERROR(SEARCH(("No"),(P370))))</formula>
    </cfRule>
  </conditionalFormatting>
  <conditionalFormatting sqref="P370:Q371">
    <cfRule type="containsText" dxfId="9" priority="48358" operator="containsText" text="No">
      <formula>NOT(ISERROR(SEARCH(("No"),(P370))))</formula>
    </cfRule>
  </conditionalFormatting>
  <conditionalFormatting sqref="P370:Q371">
    <cfRule type="containsText" dxfId="9" priority="48359" operator="containsText" text="No">
      <formula>NOT(ISERROR(SEARCH(("No"),(P370))))</formula>
    </cfRule>
  </conditionalFormatting>
  <conditionalFormatting sqref="P370:Q371">
    <cfRule type="containsText" dxfId="9" priority="48360" operator="containsText" text="No">
      <formula>NOT(ISERROR(SEARCH(("No"),(P370))))</formula>
    </cfRule>
  </conditionalFormatting>
  <conditionalFormatting sqref="P370:Q371">
    <cfRule type="containsText" dxfId="9" priority="48361" operator="containsText" text="No">
      <formula>NOT(ISERROR(SEARCH(("No"),(P370))))</formula>
    </cfRule>
  </conditionalFormatting>
  <conditionalFormatting sqref="P370:Q371">
    <cfRule type="containsText" dxfId="9" priority="48362" operator="containsText" text="No">
      <formula>NOT(ISERROR(SEARCH(("No"),(P370))))</formula>
    </cfRule>
  </conditionalFormatting>
  <conditionalFormatting sqref="P370:Q371">
    <cfRule type="containsText" dxfId="9" priority="48363" operator="containsText" text="No">
      <formula>NOT(ISERROR(SEARCH(("No"),(P370))))</formula>
    </cfRule>
  </conditionalFormatting>
  <conditionalFormatting sqref="P370:Q371">
    <cfRule type="containsText" dxfId="9" priority="48364" operator="containsText" text="No">
      <formula>NOT(ISERROR(SEARCH(("No"),(P370))))</formula>
    </cfRule>
  </conditionalFormatting>
  <conditionalFormatting sqref="P370:Q371">
    <cfRule type="containsText" dxfId="9" priority="48365" operator="containsText" text="No">
      <formula>NOT(ISERROR(SEARCH(("No"),(P370))))</formula>
    </cfRule>
  </conditionalFormatting>
  <conditionalFormatting sqref="P370:Q371">
    <cfRule type="containsText" dxfId="9" priority="48366" operator="containsText" text="No">
      <formula>NOT(ISERROR(SEARCH(("No"),(P370))))</formula>
    </cfRule>
  </conditionalFormatting>
  <conditionalFormatting sqref="P370:Q371">
    <cfRule type="containsText" dxfId="9" priority="48367" operator="containsText" text="No">
      <formula>NOT(ISERROR(SEARCH(("No"),(P370))))</formula>
    </cfRule>
  </conditionalFormatting>
  <conditionalFormatting sqref="P370:Q371">
    <cfRule type="containsText" dxfId="9" priority="48368" operator="containsText" text="No">
      <formula>NOT(ISERROR(SEARCH(("No"),(P370))))</formula>
    </cfRule>
  </conditionalFormatting>
  <conditionalFormatting sqref="P370:Q371">
    <cfRule type="containsText" dxfId="9" priority="48369" operator="containsText" text="No">
      <formula>NOT(ISERROR(SEARCH(("No"),(P370))))</formula>
    </cfRule>
  </conditionalFormatting>
  <conditionalFormatting sqref="P370:Q371">
    <cfRule type="containsText" dxfId="9" priority="48370" operator="containsText" text="No">
      <formula>NOT(ISERROR(SEARCH(("No"),(P370))))</formula>
    </cfRule>
  </conditionalFormatting>
  <conditionalFormatting sqref="P370:Q371">
    <cfRule type="containsText" dxfId="9" priority="48371" operator="containsText" text="No">
      <formula>NOT(ISERROR(SEARCH(("No"),(P370))))</formula>
    </cfRule>
  </conditionalFormatting>
  <conditionalFormatting sqref="P370:Q371">
    <cfRule type="containsText" dxfId="9" priority="48372" operator="containsText" text="No">
      <formula>NOT(ISERROR(SEARCH(("No"),(P370))))</formula>
    </cfRule>
  </conditionalFormatting>
  <conditionalFormatting sqref="P370:Q371">
    <cfRule type="containsText" dxfId="9" priority="48373" operator="containsText" text="No">
      <formula>NOT(ISERROR(SEARCH(("No"),(P370))))</formula>
    </cfRule>
  </conditionalFormatting>
  <conditionalFormatting sqref="P370:Q371">
    <cfRule type="containsText" dxfId="9" priority="48374" operator="containsText" text="No">
      <formula>NOT(ISERROR(SEARCH(("No"),(P370))))</formula>
    </cfRule>
  </conditionalFormatting>
  <conditionalFormatting sqref="P370:Q371">
    <cfRule type="containsText" dxfId="9" priority="48375" operator="containsText" text="No">
      <formula>NOT(ISERROR(SEARCH(("No"),(P370))))</formula>
    </cfRule>
  </conditionalFormatting>
  <conditionalFormatting sqref="P370:Q371">
    <cfRule type="containsText" dxfId="9" priority="48376" operator="containsText" text="No">
      <formula>NOT(ISERROR(SEARCH(("No"),(P370))))</formula>
    </cfRule>
  </conditionalFormatting>
  <conditionalFormatting sqref="P370:Q371">
    <cfRule type="containsText" dxfId="9" priority="48377" operator="containsText" text="No">
      <formula>NOT(ISERROR(SEARCH(("No"),(P370))))</formula>
    </cfRule>
  </conditionalFormatting>
  <conditionalFormatting sqref="P370:Q371">
    <cfRule type="containsText" dxfId="9" priority="48378" operator="containsText" text="No">
      <formula>NOT(ISERROR(SEARCH(("No"),(P370))))</formula>
    </cfRule>
  </conditionalFormatting>
  <conditionalFormatting sqref="P370:Q371">
    <cfRule type="containsText" dxfId="9" priority="48379" operator="containsText" text="No">
      <formula>NOT(ISERROR(SEARCH(("No"),(P370))))</formula>
    </cfRule>
  </conditionalFormatting>
  <conditionalFormatting sqref="P370:Q371">
    <cfRule type="containsText" dxfId="9" priority="48380" operator="containsText" text="No">
      <formula>NOT(ISERROR(SEARCH(("No"),(P370))))</formula>
    </cfRule>
  </conditionalFormatting>
  <conditionalFormatting sqref="P370:Q371">
    <cfRule type="containsText" dxfId="9" priority="48381" operator="containsText" text="No">
      <formula>NOT(ISERROR(SEARCH(("No"),(P370))))</formula>
    </cfRule>
  </conditionalFormatting>
  <conditionalFormatting sqref="P370:Q371">
    <cfRule type="containsText" dxfId="9" priority="48382" operator="containsText" text="No">
      <formula>NOT(ISERROR(SEARCH(("No"),(P370))))</formula>
    </cfRule>
  </conditionalFormatting>
  <conditionalFormatting sqref="P370:Q371">
    <cfRule type="containsText" dxfId="9" priority="48383" operator="containsText" text="No">
      <formula>NOT(ISERROR(SEARCH(("No"),(P370))))</formula>
    </cfRule>
  </conditionalFormatting>
  <conditionalFormatting sqref="P370:Q371">
    <cfRule type="containsText" dxfId="9" priority="48384" operator="containsText" text="No">
      <formula>NOT(ISERROR(SEARCH(("No"),(P370))))</formula>
    </cfRule>
  </conditionalFormatting>
  <conditionalFormatting sqref="P370:Q371">
    <cfRule type="containsText" dxfId="9" priority="48385" operator="containsText" text="No">
      <formula>NOT(ISERROR(SEARCH(("No"),(P370))))</formula>
    </cfRule>
  </conditionalFormatting>
  <conditionalFormatting sqref="P370:Q371">
    <cfRule type="containsText" dxfId="9" priority="48386" operator="containsText" text="No">
      <formula>NOT(ISERROR(SEARCH(("No"),(P370))))</formula>
    </cfRule>
  </conditionalFormatting>
  <conditionalFormatting sqref="P370:Q371">
    <cfRule type="containsText" dxfId="9" priority="48387" operator="containsText" text="No">
      <formula>NOT(ISERROR(SEARCH(("No"),(P370))))</formula>
    </cfRule>
  </conditionalFormatting>
  <conditionalFormatting sqref="P370:Q371">
    <cfRule type="containsText" dxfId="9" priority="48388" operator="containsText" text="No">
      <formula>NOT(ISERROR(SEARCH(("No"),(P370))))</formula>
    </cfRule>
  </conditionalFormatting>
  <conditionalFormatting sqref="P370:Q371">
    <cfRule type="containsText" dxfId="9" priority="48389" operator="containsText" text="No">
      <formula>NOT(ISERROR(SEARCH(("No"),(P370))))</formula>
    </cfRule>
  </conditionalFormatting>
  <conditionalFormatting sqref="P370:Q371">
    <cfRule type="containsText" dxfId="9" priority="48390" operator="containsText" text="No">
      <formula>NOT(ISERROR(SEARCH(("No"),(P370))))</formula>
    </cfRule>
  </conditionalFormatting>
  <conditionalFormatting sqref="P370:Q371">
    <cfRule type="containsText" dxfId="9" priority="48391" operator="containsText" text="No">
      <formula>NOT(ISERROR(SEARCH(("No"),(P370))))</formula>
    </cfRule>
  </conditionalFormatting>
  <conditionalFormatting sqref="P370:Q371">
    <cfRule type="containsText" dxfId="2" priority="48392" operator="containsText" text="Yes">
      <formula>NOT(ISERROR(SEARCH(("Yes"),(P370))))</formula>
    </cfRule>
  </conditionalFormatting>
  <conditionalFormatting sqref="P370:Q371">
    <cfRule type="containsText" dxfId="2" priority="48393" operator="containsText" text="Yes">
      <formula>NOT(ISERROR(SEARCH(("Yes"),(P370))))</formula>
    </cfRule>
  </conditionalFormatting>
  <conditionalFormatting sqref="P370:Q371">
    <cfRule type="containsText" dxfId="2" priority="48394" operator="containsText" text="Yes">
      <formula>NOT(ISERROR(SEARCH(("Yes"),(P370))))</formula>
    </cfRule>
  </conditionalFormatting>
  <conditionalFormatting sqref="P370:Q371">
    <cfRule type="containsText" dxfId="2" priority="48395" operator="containsText" text="Yes">
      <formula>NOT(ISERROR(SEARCH(("Yes"),(P370))))</formula>
    </cfRule>
  </conditionalFormatting>
  <conditionalFormatting sqref="P370:Q371">
    <cfRule type="containsText" dxfId="2" priority="48396" operator="containsText" text="Yes">
      <formula>NOT(ISERROR(SEARCH(("Yes"),(P370))))</formula>
    </cfRule>
  </conditionalFormatting>
  <conditionalFormatting sqref="P370:Q371">
    <cfRule type="containsText" dxfId="2" priority="48397" operator="containsText" text="Yes">
      <formula>NOT(ISERROR(SEARCH(("Yes"),(P370))))</formula>
    </cfRule>
  </conditionalFormatting>
  <conditionalFormatting sqref="P370:Q371">
    <cfRule type="containsText" dxfId="2" priority="48398" operator="containsText" text="Yes">
      <formula>NOT(ISERROR(SEARCH(("Yes"),(P370))))</formula>
    </cfRule>
  </conditionalFormatting>
  <conditionalFormatting sqref="P370:Q371">
    <cfRule type="containsText" dxfId="2" priority="48399" operator="containsText" text="Yes">
      <formula>NOT(ISERROR(SEARCH(("Yes"),(P370))))</formula>
    </cfRule>
  </conditionalFormatting>
  <conditionalFormatting sqref="P370:Q371">
    <cfRule type="containsText" dxfId="2" priority="48400" operator="containsText" text="Yes">
      <formula>NOT(ISERROR(SEARCH(("Yes"),(P370))))</formula>
    </cfRule>
  </conditionalFormatting>
  <conditionalFormatting sqref="P370:Q371">
    <cfRule type="containsText" dxfId="2" priority="48401" operator="containsText" text="Yes">
      <formula>NOT(ISERROR(SEARCH(("Yes"),(P370))))</formula>
    </cfRule>
  </conditionalFormatting>
  <conditionalFormatting sqref="P370:Q371">
    <cfRule type="containsText" dxfId="2" priority="48402" operator="containsText" text="Yes">
      <formula>NOT(ISERROR(SEARCH(("Yes"),(P370))))</formula>
    </cfRule>
  </conditionalFormatting>
  <conditionalFormatting sqref="P370:Q371">
    <cfRule type="containsText" dxfId="2" priority="48403" operator="containsText" text="Yes">
      <formula>NOT(ISERROR(SEARCH(("Yes"),(P370))))</formula>
    </cfRule>
  </conditionalFormatting>
  <conditionalFormatting sqref="P370:Q371">
    <cfRule type="containsText" dxfId="2" priority="48404" operator="containsText" text="Yes">
      <formula>NOT(ISERROR(SEARCH(("Yes"),(P370))))</formula>
    </cfRule>
  </conditionalFormatting>
  <conditionalFormatting sqref="P370:Q371">
    <cfRule type="containsText" dxfId="2" priority="48405" operator="containsText" text="Yes">
      <formula>NOT(ISERROR(SEARCH(("Yes"),(P370))))</formula>
    </cfRule>
  </conditionalFormatting>
  <conditionalFormatting sqref="P370:Q371">
    <cfRule type="containsText" dxfId="2" priority="48406" operator="containsText" text="Yes">
      <formula>NOT(ISERROR(SEARCH(("Yes"),(P370))))</formula>
    </cfRule>
  </conditionalFormatting>
  <conditionalFormatting sqref="P370:Q371">
    <cfRule type="containsText" dxfId="2" priority="48407" operator="containsText" text="Yes">
      <formula>NOT(ISERROR(SEARCH(("Yes"),(P370))))</formula>
    </cfRule>
  </conditionalFormatting>
  <conditionalFormatting sqref="P370:Q371">
    <cfRule type="containsText" dxfId="2" priority="48408" operator="containsText" text="Yes">
      <formula>NOT(ISERROR(SEARCH(("Yes"),(P370))))</formula>
    </cfRule>
  </conditionalFormatting>
  <conditionalFormatting sqref="P370:Q371">
    <cfRule type="containsText" dxfId="2" priority="48409" operator="containsText" text="Yes">
      <formula>NOT(ISERROR(SEARCH(("Yes"),(P370))))</formula>
    </cfRule>
  </conditionalFormatting>
  <conditionalFormatting sqref="P370:Q371">
    <cfRule type="containsText" dxfId="2" priority="48410" operator="containsText" text="Yes">
      <formula>NOT(ISERROR(SEARCH(("Yes"),(P370))))</formula>
    </cfRule>
  </conditionalFormatting>
  <conditionalFormatting sqref="P370:Q371">
    <cfRule type="containsText" dxfId="2" priority="48411" operator="containsText" text="Yes">
      <formula>NOT(ISERROR(SEARCH(("Yes"),(P370))))</formula>
    </cfRule>
  </conditionalFormatting>
  <conditionalFormatting sqref="P370:Q371">
    <cfRule type="containsText" dxfId="2" priority="48412" operator="containsText" text="Yes">
      <formula>NOT(ISERROR(SEARCH(("Yes"),(P370))))</formula>
    </cfRule>
  </conditionalFormatting>
  <conditionalFormatting sqref="P370:Q371">
    <cfRule type="containsText" dxfId="2" priority="48413" operator="containsText" text="Yes">
      <formula>NOT(ISERROR(SEARCH(("Yes"),(P370))))</formula>
    </cfRule>
  </conditionalFormatting>
  <conditionalFormatting sqref="P370:Q371">
    <cfRule type="containsText" dxfId="2" priority="48414" operator="containsText" text="Yes">
      <formula>NOT(ISERROR(SEARCH(("Yes"),(P370))))</formula>
    </cfRule>
  </conditionalFormatting>
  <conditionalFormatting sqref="P370:Q371">
    <cfRule type="containsText" dxfId="2" priority="48415" operator="containsText" text="Yes">
      <formula>NOT(ISERROR(SEARCH(("Yes"),(P370))))</formula>
    </cfRule>
  </conditionalFormatting>
  <conditionalFormatting sqref="P370:Q371">
    <cfRule type="containsText" dxfId="2" priority="48416" operator="containsText" text="Yes">
      <formula>NOT(ISERROR(SEARCH(("Yes"),(P370))))</formula>
    </cfRule>
  </conditionalFormatting>
  <conditionalFormatting sqref="P370:Q371">
    <cfRule type="containsText" dxfId="2" priority="48417" operator="containsText" text="Yes">
      <formula>NOT(ISERROR(SEARCH(("Yes"),(P370))))</formula>
    </cfRule>
  </conditionalFormatting>
  <conditionalFormatting sqref="P370:Q371">
    <cfRule type="containsText" dxfId="2" priority="48418" operator="containsText" text="Yes">
      <formula>NOT(ISERROR(SEARCH(("Yes"),(P370))))</formula>
    </cfRule>
  </conditionalFormatting>
  <conditionalFormatting sqref="P370:Q371">
    <cfRule type="containsText" dxfId="2" priority="48419" operator="containsText" text="Yes">
      <formula>NOT(ISERROR(SEARCH(("Yes"),(P370))))</formula>
    </cfRule>
  </conditionalFormatting>
  <conditionalFormatting sqref="P370:Q371">
    <cfRule type="containsText" dxfId="2" priority="48420" operator="containsText" text="Yes">
      <formula>NOT(ISERROR(SEARCH(("Yes"),(P370))))</formula>
    </cfRule>
  </conditionalFormatting>
  <conditionalFormatting sqref="P370:Q371">
    <cfRule type="containsText" dxfId="2" priority="48421" operator="containsText" text="Yes">
      <formula>NOT(ISERROR(SEARCH(("Yes"),(P370))))</formula>
    </cfRule>
  </conditionalFormatting>
  <conditionalFormatting sqref="P370:Q371">
    <cfRule type="containsText" dxfId="2" priority="48422" operator="containsText" text="Yes">
      <formula>NOT(ISERROR(SEARCH(("Yes"),(P370))))</formula>
    </cfRule>
  </conditionalFormatting>
  <conditionalFormatting sqref="P370:Q371">
    <cfRule type="containsText" dxfId="2" priority="48423" operator="containsText" text="Yes">
      <formula>NOT(ISERROR(SEARCH(("Yes"),(P370))))</formula>
    </cfRule>
  </conditionalFormatting>
  <conditionalFormatting sqref="P370:Q371">
    <cfRule type="containsText" dxfId="2" priority="48424" operator="containsText" text="Yes">
      <formula>NOT(ISERROR(SEARCH(("Yes"),(P370))))</formula>
    </cfRule>
  </conditionalFormatting>
  <conditionalFormatting sqref="P370:Q371">
    <cfRule type="containsText" dxfId="2" priority="48425" operator="containsText" text="Yes">
      <formula>NOT(ISERROR(SEARCH(("Yes"),(P370))))</formula>
    </cfRule>
  </conditionalFormatting>
  <conditionalFormatting sqref="P370:Q371">
    <cfRule type="containsText" dxfId="2" priority="48426" operator="containsText" text="Yes">
      <formula>NOT(ISERROR(SEARCH(("Yes"),(P370))))</formula>
    </cfRule>
  </conditionalFormatting>
  <conditionalFormatting sqref="P370:Q371">
    <cfRule type="containsText" dxfId="2" priority="48427" operator="containsText" text="Yes">
      <formula>NOT(ISERROR(SEARCH(("Yes"),(P370))))</formula>
    </cfRule>
  </conditionalFormatting>
  <conditionalFormatting sqref="P370:Q371">
    <cfRule type="containsText" dxfId="2" priority="48428" operator="containsText" text="Yes">
      <formula>NOT(ISERROR(SEARCH(("Yes"),(P370))))</formula>
    </cfRule>
  </conditionalFormatting>
  <conditionalFormatting sqref="P370:Q371">
    <cfRule type="containsText" dxfId="2" priority="48429" operator="containsText" text="Yes">
      <formula>NOT(ISERROR(SEARCH(("Yes"),(P370))))</formula>
    </cfRule>
  </conditionalFormatting>
  <conditionalFormatting sqref="P370:Q371">
    <cfRule type="containsText" dxfId="2" priority="48430" operator="containsText" text="Yes">
      <formula>NOT(ISERROR(SEARCH(("Yes"),(P370))))</formula>
    </cfRule>
  </conditionalFormatting>
  <conditionalFormatting sqref="P370:Q371">
    <cfRule type="containsText" dxfId="2" priority="48431" operator="containsText" text="Yes">
      <formula>NOT(ISERROR(SEARCH(("Yes"),(P370))))</formula>
    </cfRule>
  </conditionalFormatting>
  <conditionalFormatting sqref="P370:Q371">
    <cfRule type="containsText" dxfId="2" priority="48432" operator="containsText" text="Yes">
      <formula>NOT(ISERROR(SEARCH(("Yes"),(P370))))</formula>
    </cfRule>
  </conditionalFormatting>
  <conditionalFormatting sqref="P370:Q371">
    <cfRule type="containsText" dxfId="2" priority="48433" operator="containsText" text="Yes">
      <formula>NOT(ISERROR(SEARCH(("Yes"),(P370))))</formula>
    </cfRule>
  </conditionalFormatting>
  <conditionalFormatting sqref="P370:Q371">
    <cfRule type="containsText" dxfId="2" priority="48434" operator="containsText" text="Yes">
      <formula>NOT(ISERROR(SEARCH(("Yes"),(P370))))</formula>
    </cfRule>
  </conditionalFormatting>
  <conditionalFormatting sqref="P370:Q371">
    <cfRule type="containsText" dxfId="2" priority="48435" operator="containsText" text="Yes">
      <formula>NOT(ISERROR(SEARCH(("Yes"),(P370))))</formula>
    </cfRule>
  </conditionalFormatting>
  <conditionalFormatting sqref="P370:Q371">
    <cfRule type="containsText" dxfId="2" priority="48436" operator="containsText" text="Yes">
      <formula>NOT(ISERROR(SEARCH(("Yes"),(P370))))</formula>
    </cfRule>
  </conditionalFormatting>
  <conditionalFormatting sqref="P370:Q371">
    <cfRule type="containsText" dxfId="2" priority="48437" operator="containsText" text="Yes">
      <formula>NOT(ISERROR(SEARCH(("Yes"),(P370))))</formula>
    </cfRule>
  </conditionalFormatting>
  <conditionalFormatting sqref="P370:Q371">
    <cfRule type="containsText" dxfId="2" priority="48438" operator="containsText" text="Yes">
      <formula>NOT(ISERROR(SEARCH(("Yes"),(P370))))</formula>
    </cfRule>
  </conditionalFormatting>
  <conditionalFormatting sqref="P371:Q371">
    <cfRule type="containsText" dxfId="9" priority="48439" operator="containsText" text="No">
      <formula>NOT(ISERROR(SEARCH(("No"),(P371))))</formula>
    </cfRule>
  </conditionalFormatting>
  <conditionalFormatting sqref="P371:Q371">
    <cfRule type="containsText" dxfId="9" priority="48440" operator="containsText" text="No">
      <formula>NOT(ISERROR(SEARCH(("No"),(P371))))</formula>
    </cfRule>
  </conditionalFormatting>
  <conditionalFormatting sqref="P371:Q371">
    <cfRule type="containsText" dxfId="9" priority="48441" operator="containsText" text="No">
      <formula>NOT(ISERROR(SEARCH(("No"),(P371))))</formula>
    </cfRule>
  </conditionalFormatting>
  <conditionalFormatting sqref="P371:Q371">
    <cfRule type="containsText" dxfId="9" priority="48442" operator="containsText" text="No">
      <formula>NOT(ISERROR(SEARCH(("No"),(P371))))</formula>
    </cfRule>
  </conditionalFormatting>
  <conditionalFormatting sqref="P371:Q371">
    <cfRule type="containsText" dxfId="9" priority="48443" operator="containsText" text="No">
      <formula>NOT(ISERROR(SEARCH(("No"),(P371))))</formula>
    </cfRule>
  </conditionalFormatting>
  <conditionalFormatting sqref="P371:Q371">
    <cfRule type="containsText" dxfId="9" priority="48444" operator="containsText" text="No">
      <formula>NOT(ISERROR(SEARCH(("No"),(P371))))</formula>
    </cfRule>
  </conditionalFormatting>
  <conditionalFormatting sqref="P371:Q371">
    <cfRule type="containsText" dxfId="9" priority="48445" operator="containsText" text="No">
      <formula>NOT(ISERROR(SEARCH(("No"),(P371))))</formula>
    </cfRule>
  </conditionalFormatting>
  <conditionalFormatting sqref="P371:Q371">
    <cfRule type="containsText" dxfId="9" priority="48446" operator="containsText" text="No">
      <formula>NOT(ISERROR(SEARCH(("No"),(P371))))</formula>
    </cfRule>
  </conditionalFormatting>
  <conditionalFormatting sqref="P371:Q371">
    <cfRule type="containsText" dxfId="9" priority="48447" operator="containsText" text="No">
      <formula>NOT(ISERROR(SEARCH(("No"),(P371))))</formula>
    </cfRule>
  </conditionalFormatting>
  <conditionalFormatting sqref="P371:Q371">
    <cfRule type="containsText" dxfId="9" priority="48448" operator="containsText" text="No">
      <formula>NOT(ISERROR(SEARCH(("No"),(P371))))</formula>
    </cfRule>
  </conditionalFormatting>
  <conditionalFormatting sqref="P371:Q371">
    <cfRule type="containsText" dxfId="9" priority="48449" operator="containsText" text="No">
      <formula>NOT(ISERROR(SEARCH(("No"),(P371))))</formula>
    </cfRule>
  </conditionalFormatting>
  <conditionalFormatting sqref="P371:Q371">
    <cfRule type="containsText" dxfId="9" priority="48450" operator="containsText" text="No">
      <formula>NOT(ISERROR(SEARCH(("No"),(P371))))</formula>
    </cfRule>
  </conditionalFormatting>
  <conditionalFormatting sqref="P371:Q371">
    <cfRule type="containsText" dxfId="9" priority="48451" operator="containsText" text="No">
      <formula>NOT(ISERROR(SEARCH(("No"),(P371))))</formula>
    </cfRule>
  </conditionalFormatting>
  <conditionalFormatting sqref="P371:Q371">
    <cfRule type="containsText" dxfId="9" priority="48452" operator="containsText" text="No">
      <formula>NOT(ISERROR(SEARCH(("No"),(P371))))</formula>
    </cfRule>
  </conditionalFormatting>
  <conditionalFormatting sqref="P371:Q371">
    <cfRule type="containsText" dxfId="9" priority="48453" operator="containsText" text="No">
      <formula>NOT(ISERROR(SEARCH(("No"),(P371))))</formula>
    </cfRule>
  </conditionalFormatting>
  <conditionalFormatting sqref="P371:Q371">
    <cfRule type="containsText" dxfId="9" priority="48454" operator="containsText" text="No">
      <formula>NOT(ISERROR(SEARCH(("No"),(P371))))</formula>
    </cfRule>
  </conditionalFormatting>
  <conditionalFormatting sqref="P371:Q371">
    <cfRule type="containsText" dxfId="9" priority="48455" operator="containsText" text="No">
      <formula>NOT(ISERROR(SEARCH(("No"),(P371))))</formula>
    </cfRule>
  </conditionalFormatting>
  <conditionalFormatting sqref="P371:Q371">
    <cfRule type="containsText" dxfId="9" priority="48456" operator="containsText" text="No">
      <formula>NOT(ISERROR(SEARCH(("No"),(P371))))</formula>
    </cfRule>
  </conditionalFormatting>
  <conditionalFormatting sqref="P371:Q371">
    <cfRule type="containsText" dxfId="9" priority="48457" operator="containsText" text="No">
      <formula>NOT(ISERROR(SEARCH(("No"),(P371))))</formula>
    </cfRule>
  </conditionalFormatting>
  <conditionalFormatting sqref="P371:Q371">
    <cfRule type="containsText" dxfId="9" priority="48458" operator="containsText" text="No">
      <formula>NOT(ISERROR(SEARCH(("No"),(P371))))</formula>
    </cfRule>
  </conditionalFormatting>
  <conditionalFormatting sqref="P371:Q371">
    <cfRule type="containsText" dxfId="9" priority="48459" operator="containsText" text="No">
      <formula>NOT(ISERROR(SEARCH(("No"),(P371))))</formula>
    </cfRule>
  </conditionalFormatting>
  <conditionalFormatting sqref="P371:Q371">
    <cfRule type="containsText" dxfId="9" priority="48460" operator="containsText" text="No">
      <formula>NOT(ISERROR(SEARCH(("No"),(P371))))</formula>
    </cfRule>
  </conditionalFormatting>
  <conditionalFormatting sqref="P371:Q371">
    <cfRule type="containsText" dxfId="9" priority="48461" operator="containsText" text="No">
      <formula>NOT(ISERROR(SEARCH(("No"),(P371))))</formula>
    </cfRule>
  </conditionalFormatting>
  <conditionalFormatting sqref="P371:Q371">
    <cfRule type="containsText" dxfId="9" priority="48462" operator="containsText" text="No">
      <formula>NOT(ISERROR(SEARCH(("No"),(P371))))</formula>
    </cfRule>
  </conditionalFormatting>
  <conditionalFormatting sqref="P371:Q371">
    <cfRule type="containsText" dxfId="9" priority="48463" operator="containsText" text="No">
      <formula>NOT(ISERROR(SEARCH(("No"),(P371))))</formula>
    </cfRule>
  </conditionalFormatting>
  <conditionalFormatting sqref="P371:Q371">
    <cfRule type="containsText" dxfId="9" priority="48464" operator="containsText" text="No">
      <formula>NOT(ISERROR(SEARCH(("No"),(P371))))</formula>
    </cfRule>
  </conditionalFormatting>
  <conditionalFormatting sqref="P371:Q371">
    <cfRule type="containsText" dxfId="9" priority="48465" operator="containsText" text="No">
      <formula>NOT(ISERROR(SEARCH(("No"),(P371))))</formula>
    </cfRule>
  </conditionalFormatting>
  <conditionalFormatting sqref="P371:Q371">
    <cfRule type="containsText" dxfId="9" priority="48466" operator="containsText" text="No">
      <formula>NOT(ISERROR(SEARCH(("No"),(P371))))</formula>
    </cfRule>
  </conditionalFormatting>
  <conditionalFormatting sqref="P371:Q371">
    <cfRule type="containsText" dxfId="9" priority="48467" operator="containsText" text="No">
      <formula>NOT(ISERROR(SEARCH(("No"),(P371))))</formula>
    </cfRule>
  </conditionalFormatting>
  <conditionalFormatting sqref="P371:Q371">
    <cfRule type="containsText" dxfId="9" priority="48468" operator="containsText" text="No">
      <formula>NOT(ISERROR(SEARCH(("No"),(P371))))</formula>
    </cfRule>
  </conditionalFormatting>
  <conditionalFormatting sqref="P371:Q371">
    <cfRule type="containsText" dxfId="9" priority="48469" operator="containsText" text="No">
      <formula>NOT(ISERROR(SEARCH(("No"),(P371))))</formula>
    </cfRule>
  </conditionalFormatting>
  <conditionalFormatting sqref="P371:Q371">
    <cfRule type="containsText" dxfId="9" priority="48470" operator="containsText" text="No">
      <formula>NOT(ISERROR(SEARCH(("No"),(P371))))</formula>
    </cfRule>
  </conditionalFormatting>
  <conditionalFormatting sqref="P371:Q371">
    <cfRule type="containsText" dxfId="9" priority="48471" operator="containsText" text="No">
      <formula>NOT(ISERROR(SEARCH(("No"),(P371))))</formula>
    </cfRule>
  </conditionalFormatting>
  <conditionalFormatting sqref="P371:Q371">
    <cfRule type="containsText" dxfId="9" priority="48472" operator="containsText" text="No">
      <formula>NOT(ISERROR(SEARCH(("No"),(P371))))</formula>
    </cfRule>
  </conditionalFormatting>
  <conditionalFormatting sqref="P371:Q371">
    <cfRule type="containsText" dxfId="9" priority="48473" operator="containsText" text="No">
      <formula>NOT(ISERROR(SEARCH(("No"),(P371))))</formula>
    </cfRule>
  </conditionalFormatting>
  <conditionalFormatting sqref="P371:Q371">
    <cfRule type="containsText" dxfId="9" priority="48474" operator="containsText" text="No">
      <formula>NOT(ISERROR(SEARCH(("No"),(P371))))</formula>
    </cfRule>
  </conditionalFormatting>
  <conditionalFormatting sqref="P371:Q371">
    <cfRule type="containsText" dxfId="9" priority="48475" operator="containsText" text="No">
      <formula>NOT(ISERROR(SEARCH(("No"),(P371))))</formula>
    </cfRule>
  </conditionalFormatting>
  <conditionalFormatting sqref="P371:Q371">
    <cfRule type="containsText" dxfId="9" priority="48476" operator="containsText" text="No">
      <formula>NOT(ISERROR(SEARCH(("No"),(P371))))</formula>
    </cfRule>
  </conditionalFormatting>
  <conditionalFormatting sqref="P371:Q371">
    <cfRule type="containsText" dxfId="9" priority="48477" operator="containsText" text="No">
      <formula>NOT(ISERROR(SEARCH(("No"),(P371))))</formula>
    </cfRule>
  </conditionalFormatting>
  <conditionalFormatting sqref="P371:Q371">
    <cfRule type="containsText" dxfId="9" priority="48478" operator="containsText" text="No">
      <formula>NOT(ISERROR(SEARCH(("No"),(P371))))</formula>
    </cfRule>
  </conditionalFormatting>
  <conditionalFormatting sqref="P371:Q371">
    <cfRule type="containsText" dxfId="9" priority="48479" operator="containsText" text="No">
      <formula>NOT(ISERROR(SEARCH(("No"),(P371))))</formula>
    </cfRule>
  </conditionalFormatting>
  <conditionalFormatting sqref="P371:Q371">
    <cfRule type="containsText" dxfId="9" priority="48480" operator="containsText" text="No">
      <formula>NOT(ISERROR(SEARCH(("No"),(P371))))</formula>
    </cfRule>
  </conditionalFormatting>
  <conditionalFormatting sqref="P371:Q371">
    <cfRule type="containsText" dxfId="9" priority="48481" operator="containsText" text="No">
      <formula>NOT(ISERROR(SEARCH(("No"),(P371))))</formula>
    </cfRule>
  </conditionalFormatting>
  <conditionalFormatting sqref="P371:Q371">
    <cfRule type="containsText" dxfId="9" priority="48482" operator="containsText" text="No">
      <formula>NOT(ISERROR(SEARCH(("No"),(P371))))</formula>
    </cfRule>
  </conditionalFormatting>
  <conditionalFormatting sqref="P371:Q371">
    <cfRule type="containsText" dxfId="9" priority="48483" operator="containsText" text="No">
      <formula>NOT(ISERROR(SEARCH(("No"),(P371))))</formula>
    </cfRule>
  </conditionalFormatting>
  <conditionalFormatting sqref="P371:Q371">
    <cfRule type="containsText" dxfId="2" priority="48484" operator="containsText" text="Yes">
      <formula>NOT(ISERROR(SEARCH(("Yes"),(P371))))</formula>
    </cfRule>
  </conditionalFormatting>
  <conditionalFormatting sqref="P371:Q371">
    <cfRule type="containsText" dxfId="2" priority="48485" operator="containsText" text="Yes">
      <formula>NOT(ISERROR(SEARCH(("Yes"),(P371))))</formula>
    </cfRule>
  </conditionalFormatting>
  <conditionalFormatting sqref="P371:Q371">
    <cfRule type="containsText" dxfId="2" priority="48486" operator="containsText" text="Yes">
      <formula>NOT(ISERROR(SEARCH(("Yes"),(P371))))</formula>
    </cfRule>
  </conditionalFormatting>
  <conditionalFormatting sqref="P371:Q371">
    <cfRule type="containsText" dxfId="2" priority="48487" operator="containsText" text="Yes">
      <formula>NOT(ISERROR(SEARCH(("Yes"),(P371))))</formula>
    </cfRule>
  </conditionalFormatting>
  <conditionalFormatting sqref="P371:Q371">
    <cfRule type="containsText" dxfId="2" priority="48488" operator="containsText" text="Yes">
      <formula>NOT(ISERROR(SEARCH(("Yes"),(P371))))</formula>
    </cfRule>
  </conditionalFormatting>
  <conditionalFormatting sqref="P371:Q371">
    <cfRule type="containsText" dxfId="2" priority="48489" operator="containsText" text="Yes">
      <formula>NOT(ISERROR(SEARCH(("Yes"),(P371))))</formula>
    </cfRule>
  </conditionalFormatting>
  <conditionalFormatting sqref="P371:Q371">
    <cfRule type="containsText" dxfId="2" priority="48490" operator="containsText" text="Yes">
      <formula>NOT(ISERROR(SEARCH(("Yes"),(P371))))</formula>
    </cfRule>
  </conditionalFormatting>
  <conditionalFormatting sqref="P371:Q371">
    <cfRule type="containsText" dxfId="2" priority="48491" operator="containsText" text="Yes">
      <formula>NOT(ISERROR(SEARCH(("Yes"),(P371))))</formula>
    </cfRule>
  </conditionalFormatting>
  <conditionalFormatting sqref="P371:Q371">
    <cfRule type="containsText" dxfId="2" priority="48492" operator="containsText" text="Yes">
      <formula>NOT(ISERROR(SEARCH(("Yes"),(P371))))</formula>
    </cfRule>
  </conditionalFormatting>
  <conditionalFormatting sqref="P371:Q371">
    <cfRule type="containsText" dxfId="2" priority="48493" operator="containsText" text="Yes">
      <formula>NOT(ISERROR(SEARCH(("Yes"),(P371))))</formula>
    </cfRule>
  </conditionalFormatting>
  <conditionalFormatting sqref="P371:Q371">
    <cfRule type="containsText" dxfId="2" priority="48494" operator="containsText" text="Yes">
      <formula>NOT(ISERROR(SEARCH(("Yes"),(P371))))</formula>
    </cfRule>
  </conditionalFormatting>
  <conditionalFormatting sqref="P371:Q371">
    <cfRule type="containsText" dxfId="2" priority="48495" operator="containsText" text="Yes">
      <formula>NOT(ISERROR(SEARCH(("Yes"),(P371))))</formula>
    </cfRule>
  </conditionalFormatting>
  <conditionalFormatting sqref="P371:Q371">
    <cfRule type="containsText" dxfId="2" priority="48496" operator="containsText" text="Yes">
      <formula>NOT(ISERROR(SEARCH(("Yes"),(P371))))</formula>
    </cfRule>
  </conditionalFormatting>
  <conditionalFormatting sqref="P371:Q371">
    <cfRule type="containsText" dxfId="2" priority="48497" operator="containsText" text="Yes">
      <formula>NOT(ISERROR(SEARCH(("Yes"),(P371))))</formula>
    </cfRule>
  </conditionalFormatting>
  <conditionalFormatting sqref="P371:Q371">
    <cfRule type="containsText" dxfId="2" priority="48498" operator="containsText" text="Yes">
      <formula>NOT(ISERROR(SEARCH(("Yes"),(P371))))</formula>
    </cfRule>
  </conditionalFormatting>
  <conditionalFormatting sqref="P371:Q371">
    <cfRule type="containsText" dxfId="2" priority="48499" operator="containsText" text="Yes">
      <formula>NOT(ISERROR(SEARCH(("Yes"),(P371))))</formula>
    </cfRule>
  </conditionalFormatting>
  <conditionalFormatting sqref="P371:Q371">
    <cfRule type="containsText" dxfId="2" priority="48500" operator="containsText" text="Yes">
      <formula>NOT(ISERROR(SEARCH(("Yes"),(P371))))</formula>
    </cfRule>
  </conditionalFormatting>
  <conditionalFormatting sqref="P371:Q371">
    <cfRule type="containsText" dxfId="2" priority="48501" operator="containsText" text="Yes">
      <formula>NOT(ISERROR(SEARCH(("Yes"),(P371))))</formula>
    </cfRule>
  </conditionalFormatting>
  <conditionalFormatting sqref="P371:Q371">
    <cfRule type="containsText" dxfId="2" priority="48502" operator="containsText" text="Yes">
      <formula>NOT(ISERROR(SEARCH(("Yes"),(P371))))</formula>
    </cfRule>
  </conditionalFormatting>
  <conditionalFormatting sqref="P371:Q371">
    <cfRule type="containsText" dxfId="2" priority="48503" operator="containsText" text="Yes">
      <formula>NOT(ISERROR(SEARCH(("Yes"),(P371))))</formula>
    </cfRule>
  </conditionalFormatting>
  <conditionalFormatting sqref="P371:Q371">
    <cfRule type="containsText" dxfId="2" priority="48504" operator="containsText" text="Yes">
      <formula>NOT(ISERROR(SEARCH(("Yes"),(P371))))</formula>
    </cfRule>
  </conditionalFormatting>
  <conditionalFormatting sqref="P371:Q371">
    <cfRule type="containsText" dxfId="2" priority="48505" operator="containsText" text="Yes">
      <formula>NOT(ISERROR(SEARCH(("Yes"),(P371))))</formula>
    </cfRule>
  </conditionalFormatting>
  <conditionalFormatting sqref="P371:Q371">
    <cfRule type="containsText" dxfId="2" priority="48506" operator="containsText" text="Yes">
      <formula>NOT(ISERROR(SEARCH(("Yes"),(P371))))</formula>
    </cfRule>
  </conditionalFormatting>
  <conditionalFormatting sqref="P371:Q371">
    <cfRule type="containsText" dxfId="2" priority="48507" operator="containsText" text="Yes">
      <formula>NOT(ISERROR(SEARCH(("Yes"),(P371))))</formula>
    </cfRule>
  </conditionalFormatting>
  <conditionalFormatting sqref="P371:Q371">
    <cfRule type="containsText" dxfId="2" priority="48508" operator="containsText" text="Yes">
      <formula>NOT(ISERROR(SEARCH(("Yes"),(P371))))</formula>
    </cfRule>
  </conditionalFormatting>
  <conditionalFormatting sqref="P371:Q371">
    <cfRule type="containsText" dxfId="2" priority="48509" operator="containsText" text="Yes">
      <formula>NOT(ISERROR(SEARCH(("Yes"),(P371))))</formula>
    </cfRule>
  </conditionalFormatting>
  <conditionalFormatting sqref="P371:Q371">
    <cfRule type="containsText" dxfId="2" priority="48510" operator="containsText" text="Yes">
      <formula>NOT(ISERROR(SEARCH(("Yes"),(P371))))</formula>
    </cfRule>
  </conditionalFormatting>
  <conditionalFormatting sqref="P371:Q371">
    <cfRule type="containsText" dxfId="2" priority="48511" operator="containsText" text="Yes">
      <formula>NOT(ISERROR(SEARCH(("Yes"),(P371))))</formula>
    </cfRule>
  </conditionalFormatting>
  <conditionalFormatting sqref="P371:Q371">
    <cfRule type="containsText" dxfId="2" priority="48512" operator="containsText" text="Yes">
      <formula>NOT(ISERROR(SEARCH(("Yes"),(P371))))</formula>
    </cfRule>
  </conditionalFormatting>
  <conditionalFormatting sqref="P371:Q371">
    <cfRule type="containsText" dxfId="2" priority="48513" operator="containsText" text="Yes">
      <formula>NOT(ISERROR(SEARCH(("Yes"),(P371))))</formula>
    </cfRule>
  </conditionalFormatting>
  <conditionalFormatting sqref="P371:Q371">
    <cfRule type="containsText" dxfId="2" priority="48514" operator="containsText" text="Yes">
      <formula>NOT(ISERROR(SEARCH(("Yes"),(P371))))</formula>
    </cfRule>
  </conditionalFormatting>
  <conditionalFormatting sqref="P371:Q371">
    <cfRule type="containsText" dxfId="2" priority="48515" operator="containsText" text="Yes">
      <formula>NOT(ISERROR(SEARCH(("Yes"),(P371))))</formula>
    </cfRule>
  </conditionalFormatting>
  <conditionalFormatting sqref="P371:Q371">
    <cfRule type="containsText" dxfId="2" priority="48516" operator="containsText" text="Yes">
      <formula>NOT(ISERROR(SEARCH(("Yes"),(P371))))</formula>
    </cfRule>
  </conditionalFormatting>
  <conditionalFormatting sqref="P371:Q371">
    <cfRule type="containsText" dxfId="2" priority="48517" operator="containsText" text="Yes">
      <formula>NOT(ISERROR(SEARCH(("Yes"),(P371))))</formula>
    </cfRule>
  </conditionalFormatting>
  <conditionalFormatting sqref="P371:Q371">
    <cfRule type="containsText" dxfId="2" priority="48518" operator="containsText" text="Yes">
      <formula>NOT(ISERROR(SEARCH(("Yes"),(P371))))</formula>
    </cfRule>
  </conditionalFormatting>
  <conditionalFormatting sqref="P371:Q371">
    <cfRule type="containsText" dxfId="2" priority="48519" operator="containsText" text="Yes">
      <formula>NOT(ISERROR(SEARCH(("Yes"),(P371))))</formula>
    </cfRule>
  </conditionalFormatting>
  <conditionalFormatting sqref="P371:Q371">
    <cfRule type="containsText" dxfId="2" priority="48520" operator="containsText" text="Yes">
      <formula>NOT(ISERROR(SEARCH(("Yes"),(P371))))</formula>
    </cfRule>
  </conditionalFormatting>
  <conditionalFormatting sqref="P371:Q371">
    <cfRule type="containsText" dxfId="2" priority="48521" operator="containsText" text="Yes">
      <formula>NOT(ISERROR(SEARCH(("Yes"),(P371))))</formula>
    </cfRule>
  </conditionalFormatting>
  <conditionalFormatting sqref="P371:Q371">
    <cfRule type="containsText" dxfId="2" priority="48522" operator="containsText" text="Yes">
      <formula>NOT(ISERROR(SEARCH(("Yes"),(P371))))</formula>
    </cfRule>
  </conditionalFormatting>
  <conditionalFormatting sqref="P371:Q371">
    <cfRule type="containsText" dxfId="2" priority="48523" operator="containsText" text="Yes">
      <formula>NOT(ISERROR(SEARCH(("Yes"),(P371))))</formula>
    </cfRule>
  </conditionalFormatting>
  <conditionalFormatting sqref="P371:Q371">
    <cfRule type="containsText" dxfId="2" priority="48524" operator="containsText" text="Yes">
      <formula>NOT(ISERROR(SEARCH(("Yes"),(P371))))</formula>
    </cfRule>
  </conditionalFormatting>
  <conditionalFormatting sqref="P371:Q371">
    <cfRule type="containsText" dxfId="2" priority="48525" operator="containsText" text="Yes">
      <formula>NOT(ISERROR(SEARCH(("Yes"),(P371))))</formula>
    </cfRule>
  </conditionalFormatting>
  <conditionalFormatting sqref="P371:Q371">
    <cfRule type="containsText" dxfId="2" priority="48526" operator="containsText" text="Yes">
      <formula>NOT(ISERROR(SEARCH(("Yes"),(P371))))</formula>
    </cfRule>
  </conditionalFormatting>
  <conditionalFormatting sqref="P371:Q371">
    <cfRule type="containsText" dxfId="2" priority="48527" operator="containsText" text="Yes">
      <formula>NOT(ISERROR(SEARCH(("Yes"),(P371))))</formula>
    </cfRule>
  </conditionalFormatting>
  <conditionalFormatting sqref="P371:Q371">
    <cfRule type="containsText" dxfId="2" priority="48528" operator="containsText" text="Yes">
      <formula>NOT(ISERROR(SEARCH(("Yes"),(P371))))</formula>
    </cfRule>
  </conditionalFormatting>
  <conditionalFormatting sqref="P371:Q371">
    <cfRule type="containsText" dxfId="2" priority="48529" operator="containsText" text="Yes">
      <formula>NOT(ISERROR(SEARCH(("Yes"),(P371))))</formula>
    </cfRule>
  </conditionalFormatting>
  <conditionalFormatting sqref="P371:Q371">
    <cfRule type="containsText" dxfId="2" priority="48530" operator="containsText" text="Yes">
      <formula>NOT(ISERROR(SEARCH(("Yes"),(P371))))</formula>
    </cfRule>
  </conditionalFormatting>
  <conditionalFormatting sqref="N371:O371">
    <cfRule type="containsText" dxfId="9" priority="48531" operator="containsText" text="No">
      <formula>NOT(ISERROR(SEARCH(("No"),(N371))))</formula>
    </cfRule>
  </conditionalFormatting>
  <conditionalFormatting sqref="N371:O371">
    <cfRule type="containsText" dxfId="9" priority="48532" operator="containsText" text="No">
      <formula>NOT(ISERROR(SEARCH(("No"),(N371))))</formula>
    </cfRule>
  </conditionalFormatting>
  <conditionalFormatting sqref="N371:O371">
    <cfRule type="containsText" dxfId="9" priority="48533" operator="containsText" text="No">
      <formula>NOT(ISERROR(SEARCH(("No"),(N371))))</formula>
    </cfRule>
  </conditionalFormatting>
  <conditionalFormatting sqref="N371:O371">
    <cfRule type="containsText" dxfId="9" priority="48534" operator="containsText" text="No">
      <formula>NOT(ISERROR(SEARCH(("No"),(N371))))</formula>
    </cfRule>
  </conditionalFormatting>
  <conditionalFormatting sqref="N371:O371">
    <cfRule type="containsText" dxfId="9" priority="48535" operator="containsText" text="No">
      <formula>NOT(ISERROR(SEARCH(("No"),(N371))))</formula>
    </cfRule>
  </conditionalFormatting>
  <conditionalFormatting sqref="N371:O371">
    <cfRule type="containsText" dxfId="9" priority="48536" operator="containsText" text="No">
      <formula>NOT(ISERROR(SEARCH(("No"),(N371))))</formula>
    </cfRule>
  </conditionalFormatting>
  <conditionalFormatting sqref="N371:O371">
    <cfRule type="containsText" dxfId="9" priority="48537" operator="containsText" text="No">
      <formula>NOT(ISERROR(SEARCH(("No"),(N371))))</formula>
    </cfRule>
  </conditionalFormatting>
  <conditionalFormatting sqref="N371:O371">
    <cfRule type="containsText" dxfId="9" priority="48538" operator="containsText" text="No">
      <formula>NOT(ISERROR(SEARCH(("No"),(N371))))</formula>
    </cfRule>
  </conditionalFormatting>
  <conditionalFormatting sqref="N371:O371">
    <cfRule type="containsText" dxfId="9" priority="48539" operator="containsText" text="No">
      <formula>NOT(ISERROR(SEARCH(("No"),(N371))))</formula>
    </cfRule>
  </conditionalFormatting>
  <conditionalFormatting sqref="N371:O371">
    <cfRule type="containsText" dxfId="9" priority="48540" operator="containsText" text="No">
      <formula>NOT(ISERROR(SEARCH(("No"),(N371))))</formula>
    </cfRule>
  </conditionalFormatting>
  <conditionalFormatting sqref="N371:O371">
    <cfRule type="containsText" dxfId="9" priority="48541" operator="containsText" text="No">
      <formula>NOT(ISERROR(SEARCH(("No"),(N371))))</formula>
    </cfRule>
  </conditionalFormatting>
  <conditionalFormatting sqref="N371:O371">
    <cfRule type="containsText" dxfId="9" priority="48542" operator="containsText" text="No">
      <formula>NOT(ISERROR(SEARCH(("No"),(N371))))</formula>
    </cfRule>
  </conditionalFormatting>
  <conditionalFormatting sqref="N371:O371">
    <cfRule type="containsText" dxfId="9" priority="48543" operator="containsText" text="No">
      <formula>NOT(ISERROR(SEARCH(("No"),(N371))))</formula>
    </cfRule>
  </conditionalFormatting>
  <conditionalFormatting sqref="N371:O371">
    <cfRule type="containsText" dxfId="9" priority="48544" operator="containsText" text="No">
      <formula>NOT(ISERROR(SEARCH(("No"),(N371))))</formula>
    </cfRule>
  </conditionalFormatting>
  <conditionalFormatting sqref="N371:O371">
    <cfRule type="containsText" dxfId="9" priority="48545" operator="containsText" text="No">
      <formula>NOT(ISERROR(SEARCH(("No"),(N371))))</formula>
    </cfRule>
  </conditionalFormatting>
  <conditionalFormatting sqref="N371:O371">
    <cfRule type="containsText" dxfId="9" priority="48546" operator="containsText" text="No">
      <formula>NOT(ISERROR(SEARCH(("No"),(N371))))</formula>
    </cfRule>
  </conditionalFormatting>
  <conditionalFormatting sqref="N371:O371">
    <cfRule type="containsText" dxfId="9" priority="48547" operator="containsText" text="No">
      <formula>NOT(ISERROR(SEARCH(("No"),(N371))))</formula>
    </cfRule>
  </conditionalFormatting>
  <conditionalFormatting sqref="N371:O371">
    <cfRule type="containsText" dxfId="9" priority="48548" operator="containsText" text="No">
      <formula>NOT(ISERROR(SEARCH(("No"),(N371))))</formula>
    </cfRule>
  </conditionalFormatting>
  <conditionalFormatting sqref="N371:O371">
    <cfRule type="containsText" dxfId="9" priority="48549" operator="containsText" text="No">
      <formula>NOT(ISERROR(SEARCH(("No"),(N371))))</formula>
    </cfRule>
  </conditionalFormatting>
  <conditionalFormatting sqref="N371:O371">
    <cfRule type="containsText" dxfId="9" priority="48550" operator="containsText" text="No">
      <formula>NOT(ISERROR(SEARCH(("No"),(N371))))</formula>
    </cfRule>
  </conditionalFormatting>
  <conditionalFormatting sqref="N371:O371">
    <cfRule type="containsText" dxfId="9" priority="48551" operator="containsText" text="No">
      <formula>NOT(ISERROR(SEARCH(("No"),(N371))))</formula>
    </cfRule>
  </conditionalFormatting>
  <conditionalFormatting sqref="N371:O371">
    <cfRule type="containsText" dxfId="9" priority="48552" operator="containsText" text="No">
      <formula>NOT(ISERROR(SEARCH(("No"),(N371))))</formula>
    </cfRule>
  </conditionalFormatting>
  <conditionalFormatting sqref="N371:O371">
    <cfRule type="containsText" dxfId="9" priority="48553" operator="containsText" text="No">
      <formula>NOT(ISERROR(SEARCH(("No"),(N371))))</formula>
    </cfRule>
  </conditionalFormatting>
  <conditionalFormatting sqref="N371:O371">
    <cfRule type="containsText" dxfId="9" priority="48554" operator="containsText" text="No">
      <formula>NOT(ISERROR(SEARCH(("No"),(N371))))</formula>
    </cfRule>
  </conditionalFormatting>
  <conditionalFormatting sqref="N371:O371">
    <cfRule type="containsText" dxfId="9" priority="48555" operator="containsText" text="No">
      <formula>NOT(ISERROR(SEARCH(("No"),(N371))))</formula>
    </cfRule>
  </conditionalFormatting>
  <conditionalFormatting sqref="N371:O371">
    <cfRule type="containsText" dxfId="9" priority="48556" operator="containsText" text="No">
      <formula>NOT(ISERROR(SEARCH(("No"),(N371))))</formula>
    </cfRule>
  </conditionalFormatting>
  <conditionalFormatting sqref="N371:O371">
    <cfRule type="containsText" dxfId="9" priority="48557" operator="containsText" text="No">
      <formula>NOT(ISERROR(SEARCH(("No"),(N371))))</formula>
    </cfRule>
  </conditionalFormatting>
  <conditionalFormatting sqref="N371:O371">
    <cfRule type="containsText" dxfId="9" priority="48558" operator="containsText" text="No">
      <formula>NOT(ISERROR(SEARCH(("No"),(N371))))</formula>
    </cfRule>
  </conditionalFormatting>
  <conditionalFormatting sqref="N371:O371">
    <cfRule type="containsText" dxfId="9" priority="48559" operator="containsText" text="No">
      <formula>NOT(ISERROR(SEARCH(("No"),(N371))))</formula>
    </cfRule>
  </conditionalFormatting>
  <conditionalFormatting sqref="N371:O371">
    <cfRule type="containsText" dxfId="9" priority="48560" operator="containsText" text="No">
      <formula>NOT(ISERROR(SEARCH(("No"),(N371))))</formula>
    </cfRule>
  </conditionalFormatting>
  <conditionalFormatting sqref="N371:O371">
    <cfRule type="containsText" dxfId="9" priority="48561" operator="containsText" text="No">
      <formula>NOT(ISERROR(SEARCH(("No"),(N371))))</formula>
    </cfRule>
  </conditionalFormatting>
  <conditionalFormatting sqref="N371:O371">
    <cfRule type="containsText" dxfId="9" priority="48562" operator="containsText" text="No">
      <formula>NOT(ISERROR(SEARCH(("No"),(N371))))</formula>
    </cfRule>
  </conditionalFormatting>
  <conditionalFormatting sqref="N371:O371">
    <cfRule type="containsText" dxfId="9" priority="48563" operator="containsText" text="No">
      <formula>NOT(ISERROR(SEARCH(("No"),(N371))))</formula>
    </cfRule>
  </conditionalFormatting>
  <conditionalFormatting sqref="N371:O371">
    <cfRule type="containsText" dxfId="9" priority="48564" operator="containsText" text="No">
      <formula>NOT(ISERROR(SEARCH(("No"),(N371))))</formula>
    </cfRule>
  </conditionalFormatting>
  <conditionalFormatting sqref="N371:O371">
    <cfRule type="containsText" dxfId="9" priority="48565" operator="containsText" text="No">
      <formula>NOT(ISERROR(SEARCH(("No"),(N371))))</formula>
    </cfRule>
  </conditionalFormatting>
  <conditionalFormatting sqref="N371:O371">
    <cfRule type="containsText" dxfId="9" priority="48566" operator="containsText" text="No">
      <formula>NOT(ISERROR(SEARCH(("No"),(N371))))</formula>
    </cfRule>
  </conditionalFormatting>
  <conditionalFormatting sqref="N371:O371">
    <cfRule type="containsText" dxfId="9" priority="48567" operator="containsText" text="No">
      <formula>NOT(ISERROR(SEARCH(("No"),(N371))))</formula>
    </cfRule>
  </conditionalFormatting>
  <conditionalFormatting sqref="N371:O371">
    <cfRule type="containsText" dxfId="9" priority="48568" operator="containsText" text="No">
      <formula>NOT(ISERROR(SEARCH(("No"),(N371))))</formula>
    </cfRule>
  </conditionalFormatting>
  <conditionalFormatting sqref="N371:O371">
    <cfRule type="containsText" dxfId="9" priority="48569" operator="containsText" text="No">
      <formula>NOT(ISERROR(SEARCH(("No"),(N371))))</formula>
    </cfRule>
  </conditionalFormatting>
  <conditionalFormatting sqref="N371:O371">
    <cfRule type="containsText" dxfId="9" priority="48570" operator="containsText" text="No">
      <formula>NOT(ISERROR(SEARCH(("No"),(N371))))</formula>
    </cfRule>
  </conditionalFormatting>
  <conditionalFormatting sqref="N371:O371">
    <cfRule type="containsText" dxfId="9" priority="48571" operator="containsText" text="No">
      <formula>NOT(ISERROR(SEARCH(("No"),(N371))))</formula>
    </cfRule>
  </conditionalFormatting>
  <conditionalFormatting sqref="N371:O371">
    <cfRule type="containsText" dxfId="9" priority="48572" operator="containsText" text="No">
      <formula>NOT(ISERROR(SEARCH(("No"),(N371))))</formula>
    </cfRule>
  </conditionalFormatting>
  <conditionalFormatting sqref="N371:O371">
    <cfRule type="containsText" dxfId="9" priority="48573" operator="containsText" text="No">
      <formula>NOT(ISERROR(SEARCH(("No"),(N371))))</formula>
    </cfRule>
  </conditionalFormatting>
  <conditionalFormatting sqref="N371:O371">
    <cfRule type="containsText" dxfId="9" priority="48574" operator="containsText" text="No">
      <formula>NOT(ISERROR(SEARCH(("No"),(N371))))</formula>
    </cfRule>
  </conditionalFormatting>
  <conditionalFormatting sqref="N371:O371">
    <cfRule type="containsText" dxfId="9" priority="48575" operator="containsText" text="No">
      <formula>NOT(ISERROR(SEARCH(("No"),(N371))))</formula>
    </cfRule>
  </conditionalFormatting>
  <conditionalFormatting sqref="N371:O371">
    <cfRule type="containsText" dxfId="2" priority="48576" operator="containsText" text="Yes">
      <formula>NOT(ISERROR(SEARCH(("Yes"),(N371))))</formula>
    </cfRule>
  </conditionalFormatting>
  <conditionalFormatting sqref="N371:O371">
    <cfRule type="containsText" dxfId="2" priority="48577" operator="containsText" text="Yes">
      <formula>NOT(ISERROR(SEARCH(("Yes"),(N371))))</formula>
    </cfRule>
  </conditionalFormatting>
  <conditionalFormatting sqref="N371:O371">
    <cfRule type="containsText" dxfId="2" priority="48578" operator="containsText" text="Yes">
      <formula>NOT(ISERROR(SEARCH(("Yes"),(N371))))</formula>
    </cfRule>
  </conditionalFormatting>
  <conditionalFormatting sqref="N371:O371">
    <cfRule type="containsText" dxfId="2" priority="48579" operator="containsText" text="Yes">
      <formula>NOT(ISERROR(SEARCH(("Yes"),(N371))))</formula>
    </cfRule>
  </conditionalFormatting>
  <conditionalFormatting sqref="N371:O371">
    <cfRule type="containsText" dxfId="2" priority="48580" operator="containsText" text="Yes">
      <formula>NOT(ISERROR(SEARCH(("Yes"),(N371))))</formula>
    </cfRule>
  </conditionalFormatting>
  <conditionalFormatting sqref="N371:O371">
    <cfRule type="containsText" dxfId="2" priority="48581" operator="containsText" text="Yes">
      <formula>NOT(ISERROR(SEARCH(("Yes"),(N371))))</formula>
    </cfRule>
  </conditionalFormatting>
  <conditionalFormatting sqref="N371:O371">
    <cfRule type="containsText" dxfId="2" priority="48582" operator="containsText" text="Yes">
      <formula>NOT(ISERROR(SEARCH(("Yes"),(N371))))</formula>
    </cfRule>
  </conditionalFormatting>
  <conditionalFormatting sqref="N371:O371">
    <cfRule type="containsText" dxfId="2" priority="48583" operator="containsText" text="Yes">
      <formula>NOT(ISERROR(SEARCH(("Yes"),(N371))))</formula>
    </cfRule>
  </conditionalFormatting>
  <conditionalFormatting sqref="N371:O371">
    <cfRule type="containsText" dxfId="2" priority="48584" operator="containsText" text="Yes">
      <formula>NOT(ISERROR(SEARCH(("Yes"),(N371))))</formula>
    </cfRule>
  </conditionalFormatting>
  <conditionalFormatting sqref="N371:O371">
    <cfRule type="containsText" dxfId="2" priority="48585" operator="containsText" text="Yes">
      <formula>NOT(ISERROR(SEARCH(("Yes"),(N371))))</formula>
    </cfRule>
  </conditionalFormatting>
  <conditionalFormatting sqref="N371:O371">
    <cfRule type="containsText" dxfId="2" priority="48586" operator="containsText" text="Yes">
      <formula>NOT(ISERROR(SEARCH(("Yes"),(N371))))</formula>
    </cfRule>
  </conditionalFormatting>
  <conditionalFormatting sqref="N371:O371">
    <cfRule type="containsText" dxfId="2" priority="48587" operator="containsText" text="Yes">
      <formula>NOT(ISERROR(SEARCH(("Yes"),(N371))))</formula>
    </cfRule>
  </conditionalFormatting>
  <conditionalFormatting sqref="N371:O371">
    <cfRule type="containsText" dxfId="2" priority="48588" operator="containsText" text="Yes">
      <formula>NOT(ISERROR(SEARCH(("Yes"),(N371))))</formula>
    </cfRule>
  </conditionalFormatting>
  <conditionalFormatting sqref="N371:O371">
    <cfRule type="containsText" dxfId="2" priority="48589" operator="containsText" text="Yes">
      <formula>NOT(ISERROR(SEARCH(("Yes"),(N371))))</formula>
    </cfRule>
  </conditionalFormatting>
  <conditionalFormatting sqref="N371:O371">
    <cfRule type="containsText" dxfId="2" priority="48590" operator="containsText" text="Yes">
      <formula>NOT(ISERROR(SEARCH(("Yes"),(N371))))</formula>
    </cfRule>
  </conditionalFormatting>
  <conditionalFormatting sqref="N371:O371">
    <cfRule type="containsText" dxfId="2" priority="48591" operator="containsText" text="Yes">
      <formula>NOT(ISERROR(SEARCH(("Yes"),(N371))))</formula>
    </cfRule>
  </conditionalFormatting>
  <conditionalFormatting sqref="N371:O371">
    <cfRule type="containsText" dxfId="2" priority="48592" operator="containsText" text="Yes">
      <formula>NOT(ISERROR(SEARCH(("Yes"),(N371))))</formula>
    </cfRule>
  </conditionalFormatting>
  <conditionalFormatting sqref="N371:O371">
    <cfRule type="containsText" dxfId="2" priority="48593" operator="containsText" text="Yes">
      <formula>NOT(ISERROR(SEARCH(("Yes"),(N371))))</formula>
    </cfRule>
  </conditionalFormatting>
  <conditionalFormatting sqref="N371:O371">
    <cfRule type="containsText" dxfId="2" priority="48594" operator="containsText" text="Yes">
      <formula>NOT(ISERROR(SEARCH(("Yes"),(N371))))</formula>
    </cfRule>
  </conditionalFormatting>
  <conditionalFormatting sqref="N371:O371">
    <cfRule type="containsText" dxfId="2" priority="48595" operator="containsText" text="Yes">
      <formula>NOT(ISERROR(SEARCH(("Yes"),(N371))))</formula>
    </cfRule>
  </conditionalFormatting>
  <conditionalFormatting sqref="N371:O371">
    <cfRule type="containsText" dxfId="2" priority="48596" operator="containsText" text="Yes">
      <formula>NOT(ISERROR(SEARCH(("Yes"),(N371))))</formula>
    </cfRule>
  </conditionalFormatting>
  <conditionalFormatting sqref="N371:O371">
    <cfRule type="containsText" dxfId="2" priority="48597" operator="containsText" text="Yes">
      <formula>NOT(ISERROR(SEARCH(("Yes"),(N371))))</formula>
    </cfRule>
  </conditionalFormatting>
  <conditionalFormatting sqref="N371:O371">
    <cfRule type="containsText" dxfId="2" priority="48598" operator="containsText" text="Yes">
      <formula>NOT(ISERROR(SEARCH(("Yes"),(N371))))</formula>
    </cfRule>
  </conditionalFormatting>
  <conditionalFormatting sqref="N371:O371">
    <cfRule type="containsText" dxfId="2" priority="48599" operator="containsText" text="Yes">
      <formula>NOT(ISERROR(SEARCH(("Yes"),(N371))))</formula>
    </cfRule>
  </conditionalFormatting>
  <conditionalFormatting sqref="N371:O371">
    <cfRule type="containsText" dxfId="2" priority="48600" operator="containsText" text="Yes">
      <formula>NOT(ISERROR(SEARCH(("Yes"),(N371))))</formula>
    </cfRule>
  </conditionalFormatting>
  <conditionalFormatting sqref="N371:O371">
    <cfRule type="containsText" dxfId="2" priority="48601" operator="containsText" text="Yes">
      <formula>NOT(ISERROR(SEARCH(("Yes"),(N371))))</formula>
    </cfRule>
  </conditionalFormatting>
  <conditionalFormatting sqref="N371:O371">
    <cfRule type="containsText" dxfId="2" priority="48602" operator="containsText" text="Yes">
      <formula>NOT(ISERROR(SEARCH(("Yes"),(N371))))</formula>
    </cfRule>
  </conditionalFormatting>
  <conditionalFormatting sqref="N371:O371">
    <cfRule type="containsText" dxfId="2" priority="48603" operator="containsText" text="Yes">
      <formula>NOT(ISERROR(SEARCH(("Yes"),(N371))))</formula>
    </cfRule>
  </conditionalFormatting>
  <conditionalFormatting sqref="N371:O371">
    <cfRule type="containsText" dxfId="2" priority="48604" operator="containsText" text="Yes">
      <formula>NOT(ISERROR(SEARCH(("Yes"),(N371))))</formula>
    </cfRule>
  </conditionalFormatting>
  <conditionalFormatting sqref="N371:O371">
    <cfRule type="containsText" dxfId="2" priority="48605" operator="containsText" text="Yes">
      <formula>NOT(ISERROR(SEARCH(("Yes"),(N371))))</formula>
    </cfRule>
  </conditionalFormatting>
  <conditionalFormatting sqref="N371:O371">
    <cfRule type="containsText" dxfId="2" priority="48606" operator="containsText" text="Yes">
      <formula>NOT(ISERROR(SEARCH(("Yes"),(N371))))</formula>
    </cfRule>
  </conditionalFormatting>
  <conditionalFormatting sqref="N371:O371">
    <cfRule type="containsText" dxfId="2" priority="48607" operator="containsText" text="Yes">
      <formula>NOT(ISERROR(SEARCH(("Yes"),(N371))))</formula>
    </cfRule>
  </conditionalFormatting>
  <conditionalFormatting sqref="N371:O371">
    <cfRule type="containsText" dxfId="2" priority="48608" operator="containsText" text="Yes">
      <formula>NOT(ISERROR(SEARCH(("Yes"),(N371))))</formula>
    </cfRule>
  </conditionalFormatting>
  <conditionalFormatting sqref="N371:O371">
    <cfRule type="containsText" dxfId="2" priority="48609" operator="containsText" text="Yes">
      <formula>NOT(ISERROR(SEARCH(("Yes"),(N371))))</formula>
    </cfRule>
  </conditionalFormatting>
  <conditionalFormatting sqref="N371:O371">
    <cfRule type="containsText" dxfId="2" priority="48610" operator="containsText" text="Yes">
      <formula>NOT(ISERROR(SEARCH(("Yes"),(N371))))</formula>
    </cfRule>
  </conditionalFormatting>
  <conditionalFormatting sqref="N371:O371">
    <cfRule type="containsText" dxfId="2" priority="48611" operator="containsText" text="Yes">
      <formula>NOT(ISERROR(SEARCH(("Yes"),(N371))))</formula>
    </cfRule>
  </conditionalFormatting>
  <conditionalFormatting sqref="N371:O371">
    <cfRule type="containsText" dxfId="2" priority="48612" operator="containsText" text="Yes">
      <formula>NOT(ISERROR(SEARCH(("Yes"),(N371))))</formula>
    </cfRule>
  </conditionalFormatting>
  <conditionalFormatting sqref="N371:O371">
    <cfRule type="containsText" dxfId="2" priority="48613" operator="containsText" text="Yes">
      <formula>NOT(ISERROR(SEARCH(("Yes"),(N371))))</formula>
    </cfRule>
  </conditionalFormatting>
  <conditionalFormatting sqref="N371:O371">
    <cfRule type="containsText" dxfId="2" priority="48614" operator="containsText" text="Yes">
      <formula>NOT(ISERROR(SEARCH(("Yes"),(N371))))</formula>
    </cfRule>
  </conditionalFormatting>
  <conditionalFormatting sqref="N371:O371">
    <cfRule type="containsText" dxfId="2" priority="48615" operator="containsText" text="Yes">
      <formula>NOT(ISERROR(SEARCH(("Yes"),(N371))))</formula>
    </cfRule>
  </conditionalFormatting>
  <conditionalFormatting sqref="N371:O371">
    <cfRule type="containsText" dxfId="2" priority="48616" operator="containsText" text="Yes">
      <formula>NOT(ISERROR(SEARCH(("Yes"),(N371))))</formula>
    </cfRule>
  </conditionalFormatting>
  <conditionalFormatting sqref="N371:O371">
    <cfRule type="containsText" dxfId="2" priority="48617" operator="containsText" text="Yes">
      <formula>NOT(ISERROR(SEARCH(("Yes"),(N371))))</formula>
    </cfRule>
  </conditionalFormatting>
  <conditionalFormatting sqref="N371:O371">
    <cfRule type="containsText" dxfId="2" priority="48618" operator="containsText" text="Yes">
      <formula>NOT(ISERROR(SEARCH(("Yes"),(N371))))</formula>
    </cfRule>
  </conditionalFormatting>
  <conditionalFormatting sqref="N371:O371">
    <cfRule type="containsText" dxfId="2" priority="48619" operator="containsText" text="Yes">
      <formula>NOT(ISERROR(SEARCH(("Yes"),(N371))))</formula>
    </cfRule>
  </conditionalFormatting>
  <conditionalFormatting sqref="N371:O371">
    <cfRule type="containsText" dxfId="2" priority="48620" operator="containsText" text="Yes">
      <formula>NOT(ISERROR(SEARCH(("Yes"),(N371))))</formula>
    </cfRule>
  </conditionalFormatting>
  <conditionalFormatting sqref="N371:O371">
    <cfRule type="containsText" dxfId="2" priority="48621" operator="containsText" text="Yes">
      <formula>NOT(ISERROR(SEARCH(("Yes"),(N371))))</formula>
    </cfRule>
  </conditionalFormatting>
  <conditionalFormatting sqref="N371:O371">
    <cfRule type="containsText" dxfId="2" priority="48622" operator="containsText" text="Yes">
      <formula>NOT(ISERROR(SEARCH(("Yes"),(N371))))</formula>
    </cfRule>
  </conditionalFormatting>
  <conditionalFormatting sqref="O372:O373 O375 O377:O378 O380 O383">
    <cfRule type="containsText" dxfId="9" priority="48623" operator="containsText" text="No">
      <formula>NOT(ISERROR(SEARCH(("No"),(O372))))</formula>
    </cfRule>
  </conditionalFormatting>
  <conditionalFormatting sqref="O372:O373 O375 O377:O378 O380 O383">
    <cfRule type="containsText" dxfId="9" priority="48624" operator="containsText" text="No">
      <formula>NOT(ISERROR(SEARCH(("No"),(O372))))</formula>
    </cfRule>
  </conditionalFormatting>
  <conditionalFormatting sqref="O372:O373 O375 O377:O378 O380 O383">
    <cfRule type="containsText" dxfId="9" priority="48625" operator="containsText" text="No">
      <formula>NOT(ISERROR(SEARCH(("No"),(O372))))</formula>
    </cfRule>
  </conditionalFormatting>
  <conditionalFormatting sqref="O372:O373 O375 O377:O378 O380 O383">
    <cfRule type="containsText" dxfId="2" priority="48626" operator="containsText" text="Yes">
      <formula>NOT(ISERROR(SEARCH(("Yes"),(O372))))</formula>
    </cfRule>
  </conditionalFormatting>
  <conditionalFormatting sqref="O372:O373 O375 O377:O378 O380 O383">
    <cfRule type="containsText" dxfId="2" priority="48627" operator="containsText" text="Yes">
      <formula>NOT(ISERROR(SEARCH(("Yes"),(O372))))</formula>
    </cfRule>
  </conditionalFormatting>
  <conditionalFormatting sqref="O372:O373 O375 O377:O378 O380 O383">
    <cfRule type="containsText" dxfId="2" priority="48628" operator="containsText" text="Yes">
      <formula>NOT(ISERROR(SEARCH(("Yes"),(O372))))</formula>
    </cfRule>
  </conditionalFormatting>
  <conditionalFormatting sqref="O372:O373 O375 O377:O378 O380 O383">
    <cfRule type="containsText" dxfId="2" priority="48629" operator="containsText" text="Yes">
      <formula>NOT(ISERROR(SEARCH(("Yes"),(O372))))</formula>
    </cfRule>
  </conditionalFormatting>
  <conditionalFormatting sqref="O372:O373 O375 O377:O378 O380 O383">
    <cfRule type="containsText" dxfId="2" priority="48630" operator="containsText" text="Yes">
      <formula>NOT(ISERROR(SEARCH(("Yes"),(O372))))</formula>
    </cfRule>
  </conditionalFormatting>
  <conditionalFormatting sqref="O372:O373 O375 O377:O378 O380 O383">
    <cfRule type="containsText" dxfId="9" priority="48631" operator="containsText" text="No">
      <formula>NOT(ISERROR(SEARCH(("No"),(O372))))</formula>
    </cfRule>
  </conditionalFormatting>
  <conditionalFormatting sqref="O372:O373 O375 O377:O378 O380 O383">
    <cfRule type="containsText" dxfId="9" priority="48632" operator="containsText" text="No">
      <formula>NOT(ISERROR(SEARCH(("No"),(O372))))</formula>
    </cfRule>
  </conditionalFormatting>
  <conditionalFormatting sqref="O372:O373 O375 O377:O378 O380 O383">
    <cfRule type="containsText" dxfId="2" priority="48633" operator="containsText" text="Yes">
      <formula>NOT(ISERROR(SEARCH(("Yes"),(O372))))</formula>
    </cfRule>
  </conditionalFormatting>
  <conditionalFormatting sqref="P372:Q372">
    <cfRule type="containsText" dxfId="9" priority="48634" operator="containsText" text="No">
      <formula>NOT(ISERROR(SEARCH(("No"),(P372))))</formula>
    </cfRule>
  </conditionalFormatting>
  <conditionalFormatting sqref="P372:Q372">
    <cfRule type="containsText" dxfId="9" priority="48635" operator="containsText" text="No">
      <formula>NOT(ISERROR(SEARCH(("No"),(P372))))</formula>
    </cfRule>
  </conditionalFormatting>
  <conditionalFormatting sqref="P372:Q372">
    <cfRule type="containsText" dxfId="9" priority="48636" operator="containsText" text="No">
      <formula>NOT(ISERROR(SEARCH(("No"),(P372))))</formula>
    </cfRule>
  </conditionalFormatting>
  <conditionalFormatting sqref="P372:Q372">
    <cfRule type="containsText" dxfId="9" priority="48637" operator="containsText" text="No">
      <formula>NOT(ISERROR(SEARCH(("No"),(P372))))</formula>
    </cfRule>
  </conditionalFormatting>
  <conditionalFormatting sqref="P372:Q372">
    <cfRule type="containsText" dxfId="9" priority="48638" operator="containsText" text="No">
      <formula>NOT(ISERROR(SEARCH(("No"),(P372))))</formula>
    </cfRule>
  </conditionalFormatting>
  <conditionalFormatting sqref="P372:Q372">
    <cfRule type="containsText" dxfId="9" priority="48639" operator="containsText" text="No">
      <formula>NOT(ISERROR(SEARCH(("No"),(P372))))</formula>
    </cfRule>
  </conditionalFormatting>
  <conditionalFormatting sqref="P372:Q372">
    <cfRule type="containsText" dxfId="9" priority="48640" operator="containsText" text="No">
      <formula>NOT(ISERROR(SEARCH(("No"),(P372))))</formula>
    </cfRule>
  </conditionalFormatting>
  <conditionalFormatting sqref="P372:Q372">
    <cfRule type="containsText" dxfId="9" priority="48641" operator="containsText" text="No">
      <formula>NOT(ISERROR(SEARCH(("No"),(P372))))</formula>
    </cfRule>
  </conditionalFormatting>
  <conditionalFormatting sqref="P372:Q372">
    <cfRule type="containsText" dxfId="9" priority="48642" operator="containsText" text="No">
      <formula>NOT(ISERROR(SEARCH(("No"),(P372))))</formula>
    </cfRule>
  </conditionalFormatting>
  <conditionalFormatting sqref="P372:Q372">
    <cfRule type="containsText" dxfId="9" priority="48643" operator="containsText" text="No">
      <formula>NOT(ISERROR(SEARCH(("No"),(P372))))</formula>
    </cfRule>
  </conditionalFormatting>
  <conditionalFormatting sqref="P372:Q372">
    <cfRule type="containsText" dxfId="9" priority="48644" operator="containsText" text="No">
      <formula>NOT(ISERROR(SEARCH(("No"),(P372))))</formula>
    </cfRule>
  </conditionalFormatting>
  <conditionalFormatting sqref="P372:Q372">
    <cfRule type="containsText" dxfId="9" priority="48645" operator="containsText" text="No">
      <formula>NOT(ISERROR(SEARCH(("No"),(P372))))</formula>
    </cfRule>
  </conditionalFormatting>
  <conditionalFormatting sqref="P372:Q372">
    <cfRule type="containsText" dxfId="9" priority="48646" operator="containsText" text="No">
      <formula>NOT(ISERROR(SEARCH(("No"),(P372))))</formula>
    </cfRule>
  </conditionalFormatting>
  <conditionalFormatting sqref="P372:Q372">
    <cfRule type="containsText" dxfId="9" priority="48647" operator="containsText" text="No">
      <formula>NOT(ISERROR(SEARCH(("No"),(P372))))</formula>
    </cfRule>
  </conditionalFormatting>
  <conditionalFormatting sqref="P372:Q372">
    <cfRule type="containsText" dxfId="9" priority="48648" operator="containsText" text="No">
      <formula>NOT(ISERROR(SEARCH(("No"),(P372))))</formula>
    </cfRule>
  </conditionalFormatting>
  <conditionalFormatting sqref="P372:Q372">
    <cfRule type="containsText" dxfId="9" priority="48649" operator="containsText" text="No">
      <formula>NOT(ISERROR(SEARCH(("No"),(P372))))</formula>
    </cfRule>
  </conditionalFormatting>
  <conditionalFormatting sqref="P372:Q372">
    <cfRule type="containsText" dxfId="9" priority="48650" operator="containsText" text="No">
      <formula>NOT(ISERROR(SEARCH(("No"),(P372))))</formula>
    </cfRule>
  </conditionalFormatting>
  <conditionalFormatting sqref="P372:Q372">
    <cfRule type="containsText" dxfId="9" priority="48651" operator="containsText" text="No">
      <formula>NOT(ISERROR(SEARCH(("No"),(P372))))</formula>
    </cfRule>
  </conditionalFormatting>
  <conditionalFormatting sqref="P372:Q372">
    <cfRule type="containsText" dxfId="9" priority="48652" operator="containsText" text="No">
      <formula>NOT(ISERROR(SEARCH(("No"),(P372))))</formula>
    </cfRule>
  </conditionalFormatting>
  <conditionalFormatting sqref="P372:Q372">
    <cfRule type="containsText" dxfId="9" priority="48653" operator="containsText" text="No">
      <formula>NOT(ISERROR(SEARCH(("No"),(P372))))</formula>
    </cfRule>
  </conditionalFormatting>
  <conditionalFormatting sqref="P372:Q372">
    <cfRule type="containsText" dxfId="9" priority="48654" operator="containsText" text="No">
      <formula>NOT(ISERROR(SEARCH(("No"),(P372))))</formula>
    </cfRule>
  </conditionalFormatting>
  <conditionalFormatting sqref="P372:Q372">
    <cfRule type="containsText" dxfId="9" priority="48655" operator="containsText" text="No">
      <formula>NOT(ISERROR(SEARCH(("No"),(P372))))</formula>
    </cfRule>
  </conditionalFormatting>
  <conditionalFormatting sqref="P372:Q372">
    <cfRule type="containsText" dxfId="9" priority="48656" operator="containsText" text="No">
      <formula>NOT(ISERROR(SEARCH(("No"),(P372))))</formula>
    </cfRule>
  </conditionalFormatting>
  <conditionalFormatting sqref="P372:Q372">
    <cfRule type="containsText" dxfId="9" priority="48657" operator="containsText" text="No">
      <formula>NOT(ISERROR(SEARCH(("No"),(P372))))</formula>
    </cfRule>
  </conditionalFormatting>
  <conditionalFormatting sqref="P372:Q372">
    <cfRule type="containsText" dxfId="9" priority="48658" operator="containsText" text="No">
      <formula>NOT(ISERROR(SEARCH(("No"),(P372))))</formula>
    </cfRule>
  </conditionalFormatting>
  <conditionalFormatting sqref="P372:Q372">
    <cfRule type="containsText" dxfId="9" priority="48659" operator="containsText" text="No">
      <formula>NOT(ISERROR(SEARCH(("No"),(P372))))</formula>
    </cfRule>
  </conditionalFormatting>
  <conditionalFormatting sqref="P372:Q372">
    <cfRule type="containsText" dxfId="9" priority="48660" operator="containsText" text="No">
      <formula>NOT(ISERROR(SEARCH(("No"),(P372))))</formula>
    </cfRule>
  </conditionalFormatting>
  <conditionalFormatting sqref="P372:Q372">
    <cfRule type="containsText" dxfId="9" priority="48661" operator="containsText" text="No">
      <formula>NOT(ISERROR(SEARCH(("No"),(P372))))</formula>
    </cfRule>
  </conditionalFormatting>
  <conditionalFormatting sqref="P372:Q372">
    <cfRule type="containsText" dxfId="9" priority="48662" operator="containsText" text="No">
      <formula>NOT(ISERROR(SEARCH(("No"),(P372))))</formula>
    </cfRule>
  </conditionalFormatting>
  <conditionalFormatting sqref="P372:Q372">
    <cfRule type="containsText" dxfId="9" priority="48663" operator="containsText" text="No">
      <formula>NOT(ISERROR(SEARCH(("No"),(P372))))</formula>
    </cfRule>
  </conditionalFormatting>
  <conditionalFormatting sqref="P372:Q372">
    <cfRule type="containsText" dxfId="9" priority="48664" operator="containsText" text="No">
      <formula>NOT(ISERROR(SEARCH(("No"),(P372))))</formula>
    </cfRule>
  </conditionalFormatting>
  <conditionalFormatting sqref="P372:Q372">
    <cfRule type="containsText" dxfId="9" priority="48665" operator="containsText" text="No">
      <formula>NOT(ISERROR(SEARCH(("No"),(P372))))</formula>
    </cfRule>
  </conditionalFormatting>
  <conditionalFormatting sqref="P372:Q372">
    <cfRule type="containsText" dxfId="9" priority="48666" operator="containsText" text="No">
      <formula>NOT(ISERROR(SEARCH(("No"),(P372))))</formula>
    </cfRule>
  </conditionalFormatting>
  <conditionalFormatting sqref="P372:Q372">
    <cfRule type="containsText" dxfId="9" priority="48667" operator="containsText" text="No">
      <formula>NOT(ISERROR(SEARCH(("No"),(P372))))</formula>
    </cfRule>
  </conditionalFormatting>
  <conditionalFormatting sqref="P372:Q372">
    <cfRule type="containsText" dxfId="9" priority="48668" operator="containsText" text="No">
      <formula>NOT(ISERROR(SEARCH(("No"),(P372))))</formula>
    </cfRule>
  </conditionalFormatting>
  <conditionalFormatting sqref="P372:Q372">
    <cfRule type="containsText" dxfId="9" priority="48669" operator="containsText" text="No">
      <formula>NOT(ISERROR(SEARCH(("No"),(P372))))</formula>
    </cfRule>
  </conditionalFormatting>
  <conditionalFormatting sqref="P372:Q372">
    <cfRule type="containsText" dxfId="9" priority="48670" operator="containsText" text="No">
      <formula>NOT(ISERROR(SEARCH(("No"),(P372))))</formula>
    </cfRule>
  </conditionalFormatting>
  <conditionalFormatting sqref="P372:Q372">
    <cfRule type="containsText" dxfId="9" priority="48671" operator="containsText" text="No">
      <formula>NOT(ISERROR(SEARCH(("No"),(P372))))</formula>
    </cfRule>
  </conditionalFormatting>
  <conditionalFormatting sqref="P372:Q372">
    <cfRule type="containsText" dxfId="9" priority="48672" operator="containsText" text="No">
      <formula>NOT(ISERROR(SEARCH(("No"),(P372))))</formula>
    </cfRule>
  </conditionalFormatting>
  <conditionalFormatting sqref="P372:Q372">
    <cfRule type="containsText" dxfId="9" priority="48673" operator="containsText" text="No">
      <formula>NOT(ISERROR(SEARCH(("No"),(P372))))</formula>
    </cfRule>
  </conditionalFormatting>
  <conditionalFormatting sqref="P372:Q372">
    <cfRule type="containsText" dxfId="9" priority="48674" operator="containsText" text="No">
      <formula>NOT(ISERROR(SEARCH(("No"),(P372))))</formula>
    </cfRule>
  </conditionalFormatting>
  <conditionalFormatting sqref="P372:Q372">
    <cfRule type="containsText" dxfId="9" priority="48675" operator="containsText" text="No">
      <formula>NOT(ISERROR(SEARCH(("No"),(P372))))</formula>
    </cfRule>
  </conditionalFormatting>
  <conditionalFormatting sqref="P372:Q372">
    <cfRule type="containsText" dxfId="9" priority="48676" operator="containsText" text="No">
      <formula>NOT(ISERROR(SEARCH(("No"),(P372))))</formula>
    </cfRule>
  </conditionalFormatting>
  <conditionalFormatting sqref="P372:Q372">
    <cfRule type="containsText" dxfId="9" priority="48677" operator="containsText" text="No">
      <formula>NOT(ISERROR(SEARCH(("No"),(P372))))</formula>
    </cfRule>
  </conditionalFormatting>
  <conditionalFormatting sqref="P372:Q372">
    <cfRule type="containsText" dxfId="9" priority="48678" operator="containsText" text="No">
      <formula>NOT(ISERROR(SEARCH(("No"),(P372))))</formula>
    </cfRule>
  </conditionalFormatting>
  <conditionalFormatting sqref="P372:Q372">
    <cfRule type="containsText" dxfId="2" priority="48679" operator="containsText" text="Yes">
      <formula>NOT(ISERROR(SEARCH(("Yes"),(P372))))</formula>
    </cfRule>
  </conditionalFormatting>
  <conditionalFormatting sqref="P372:Q372">
    <cfRule type="containsText" dxfId="2" priority="48680" operator="containsText" text="Yes">
      <formula>NOT(ISERROR(SEARCH(("Yes"),(P372))))</formula>
    </cfRule>
  </conditionalFormatting>
  <conditionalFormatting sqref="P372:Q372">
    <cfRule type="containsText" dxfId="2" priority="48681" operator="containsText" text="Yes">
      <formula>NOT(ISERROR(SEARCH(("Yes"),(P372))))</formula>
    </cfRule>
  </conditionalFormatting>
  <conditionalFormatting sqref="P372:Q372">
    <cfRule type="containsText" dxfId="2" priority="48682" operator="containsText" text="Yes">
      <formula>NOT(ISERROR(SEARCH(("Yes"),(P372))))</formula>
    </cfRule>
  </conditionalFormatting>
  <conditionalFormatting sqref="P372:Q372">
    <cfRule type="containsText" dxfId="2" priority="48683" operator="containsText" text="Yes">
      <formula>NOT(ISERROR(SEARCH(("Yes"),(P372))))</formula>
    </cfRule>
  </conditionalFormatting>
  <conditionalFormatting sqref="P372:Q372">
    <cfRule type="containsText" dxfId="2" priority="48684" operator="containsText" text="Yes">
      <formula>NOT(ISERROR(SEARCH(("Yes"),(P372))))</formula>
    </cfRule>
  </conditionalFormatting>
  <conditionalFormatting sqref="P372:Q372">
    <cfRule type="containsText" dxfId="2" priority="48685" operator="containsText" text="Yes">
      <formula>NOT(ISERROR(SEARCH(("Yes"),(P372))))</formula>
    </cfRule>
  </conditionalFormatting>
  <conditionalFormatting sqref="P372:Q372">
    <cfRule type="containsText" dxfId="2" priority="48686" operator="containsText" text="Yes">
      <formula>NOT(ISERROR(SEARCH(("Yes"),(P372))))</formula>
    </cfRule>
  </conditionalFormatting>
  <conditionalFormatting sqref="P372:Q372">
    <cfRule type="containsText" dxfId="2" priority="48687" operator="containsText" text="Yes">
      <formula>NOT(ISERROR(SEARCH(("Yes"),(P372))))</formula>
    </cfRule>
  </conditionalFormatting>
  <conditionalFormatting sqref="P372:Q372">
    <cfRule type="containsText" dxfId="2" priority="48688" operator="containsText" text="Yes">
      <formula>NOT(ISERROR(SEARCH(("Yes"),(P372))))</formula>
    </cfRule>
  </conditionalFormatting>
  <conditionalFormatting sqref="P372:Q372">
    <cfRule type="containsText" dxfId="2" priority="48689" operator="containsText" text="Yes">
      <formula>NOT(ISERROR(SEARCH(("Yes"),(P372))))</formula>
    </cfRule>
  </conditionalFormatting>
  <conditionalFormatting sqref="P372:Q372">
    <cfRule type="containsText" dxfId="2" priority="48690" operator="containsText" text="Yes">
      <formula>NOT(ISERROR(SEARCH(("Yes"),(P372))))</formula>
    </cfRule>
  </conditionalFormatting>
  <conditionalFormatting sqref="P372:Q372">
    <cfRule type="containsText" dxfId="2" priority="48691" operator="containsText" text="Yes">
      <formula>NOT(ISERROR(SEARCH(("Yes"),(P372))))</formula>
    </cfRule>
  </conditionalFormatting>
  <conditionalFormatting sqref="P372:Q372">
    <cfRule type="containsText" dxfId="2" priority="48692" operator="containsText" text="Yes">
      <formula>NOT(ISERROR(SEARCH(("Yes"),(P372))))</formula>
    </cfRule>
  </conditionalFormatting>
  <conditionalFormatting sqref="P372:Q372">
    <cfRule type="containsText" dxfId="2" priority="48693" operator="containsText" text="Yes">
      <formula>NOT(ISERROR(SEARCH(("Yes"),(P372))))</formula>
    </cfRule>
  </conditionalFormatting>
  <conditionalFormatting sqref="P372:Q372">
    <cfRule type="containsText" dxfId="2" priority="48694" operator="containsText" text="Yes">
      <formula>NOT(ISERROR(SEARCH(("Yes"),(P372))))</formula>
    </cfRule>
  </conditionalFormatting>
  <conditionalFormatting sqref="P372:Q372">
    <cfRule type="containsText" dxfId="2" priority="48695" operator="containsText" text="Yes">
      <formula>NOT(ISERROR(SEARCH(("Yes"),(P372))))</formula>
    </cfRule>
  </conditionalFormatting>
  <conditionalFormatting sqref="P372:Q372">
    <cfRule type="containsText" dxfId="2" priority="48696" operator="containsText" text="Yes">
      <formula>NOT(ISERROR(SEARCH(("Yes"),(P372))))</formula>
    </cfRule>
  </conditionalFormatting>
  <conditionalFormatting sqref="P372:Q372">
    <cfRule type="containsText" dxfId="2" priority="48697" operator="containsText" text="Yes">
      <formula>NOT(ISERROR(SEARCH(("Yes"),(P372))))</formula>
    </cfRule>
  </conditionalFormatting>
  <conditionalFormatting sqref="P372:Q372">
    <cfRule type="containsText" dxfId="2" priority="48698" operator="containsText" text="Yes">
      <formula>NOT(ISERROR(SEARCH(("Yes"),(P372))))</formula>
    </cfRule>
  </conditionalFormatting>
  <conditionalFormatting sqref="P372:Q372">
    <cfRule type="containsText" dxfId="2" priority="48699" operator="containsText" text="Yes">
      <formula>NOT(ISERROR(SEARCH(("Yes"),(P372))))</formula>
    </cfRule>
  </conditionalFormatting>
  <conditionalFormatting sqref="P372:Q372">
    <cfRule type="containsText" dxfId="2" priority="48700" operator="containsText" text="Yes">
      <formula>NOT(ISERROR(SEARCH(("Yes"),(P372))))</formula>
    </cfRule>
  </conditionalFormatting>
  <conditionalFormatting sqref="P372:Q372">
    <cfRule type="containsText" dxfId="2" priority="48701" operator="containsText" text="Yes">
      <formula>NOT(ISERROR(SEARCH(("Yes"),(P372))))</formula>
    </cfRule>
  </conditionalFormatting>
  <conditionalFormatting sqref="P372:Q372">
    <cfRule type="containsText" dxfId="2" priority="48702" operator="containsText" text="Yes">
      <formula>NOT(ISERROR(SEARCH(("Yes"),(P372))))</formula>
    </cfRule>
  </conditionalFormatting>
  <conditionalFormatting sqref="P372:Q372">
    <cfRule type="containsText" dxfId="2" priority="48703" operator="containsText" text="Yes">
      <formula>NOT(ISERROR(SEARCH(("Yes"),(P372))))</formula>
    </cfRule>
  </conditionalFormatting>
  <conditionalFormatting sqref="P372:Q372">
    <cfRule type="containsText" dxfId="2" priority="48704" operator="containsText" text="Yes">
      <formula>NOT(ISERROR(SEARCH(("Yes"),(P372))))</formula>
    </cfRule>
  </conditionalFormatting>
  <conditionalFormatting sqref="P372:Q372">
    <cfRule type="containsText" dxfId="2" priority="48705" operator="containsText" text="Yes">
      <formula>NOT(ISERROR(SEARCH(("Yes"),(P372))))</formula>
    </cfRule>
  </conditionalFormatting>
  <conditionalFormatting sqref="P372:Q372">
    <cfRule type="containsText" dxfId="2" priority="48706" operator="containsText" text="Yes">
      <formula>NOT(ISERROR(SEARCH(("Yes"),(P372))))</formula>
    </cfRule>
  </conditionalFormatting>
  <conditionalFormatting sqref="P372:Q372">
    <cfRule type="containsText" dxfId="2" priority="48707" operator="containsText" text="Yes">
      <formula>NOT(ISERROR(SEARCH(("Yes"),(P372))))</formula>
    </cfRule>
  </conditionalFormatting>
  <conditionalFormatting sqref="P372:Q372">
    <cfRule type="containsText" dxfId="2" priority="48708" operator="containsText" text="Yes">
      <formula>NOT(ISERROR(SEARCH(("Yes"),(P372))))</formula>
    </cfRule>
  </conditionalFormatting>
  <conditionalFormatting sqref="P372:Q372">
    <cfRule type="containsText" dxfId="2" priority="48709" operator="containsText" text="Yes">
      <formula>NOT(ISERROR(SEARCH(("Yes"),(P372))))</formula>
    </cfRule>
  </conditionalFormatting>
  <conditionalFormatting sqref="P372:Q372">
    <cfRule type="containsText" dxfId="2" priority="48710" operator="containsText" text="Yes">
      <formula>NOT(ISERROR(SEARCH(("Yes"),(P372))))</formula>
    </cfRule>
  </conditionalFormatting>
  <conditionalFormatting sqref="P372:Q372">
    <cfRule type="containsText" dxfId="2" priority="48711" operator="containsText" text="Yes">
      <formula>NOT(ISERROR(SEARCH(("Yes"),(P372))))</formula>
    </cfRule>
  </conditionalFormatting>
  <conditionalFormatting sqref="P372:Q372">
    <cfRule type="containsText" dxfId="2" priority="48712" operator="containsText" text="Yes">
      <formula>NOT(ISERROR(SEARCH(("Yes"),(P372))))</formula>
    </cfRule>
  </conditionalFormatting>
  <conditionalFormatting sqref="P372:Q372">
    <cfRule type="containsText" dxfId="2" priority="48713" operator="containsText" text="Yes">
      <formula>NOT(ISERROR(SEARCH(("Yes"),(P372))))</formula>
    </cfRule>
  </conditionalFormatting>
  <conditionalFormatting sqref="P372:Q372">
    <cfRule type="containsText" dxfId="2" priority="48714" operator="containsText" text="Yes">
      <formula>NOT(ISERROR(SEARCH(("Yes"),(P372))))</formula>
    </cfRule>
  </conditionalFormatting>
  <conditionalFormatting sqref="P372:Q372">
    <cfRule type="containsText" dxfId="2" priority="48715" operator="containsText" text="Yes">
      <formula>NOT(ISERROR(SEARCH(("Yes"),(P372))))</formula>
    </cfRule>
  </conditionalFormatting>
  <conditionalFormatting sqref="P372:Q372">
    <cfRule type="containsText" dxfId="2" priority="48716" operator="containsText" text="Yes">
      <formula>NOT(ISERROR(SEARCH(("Yes"),(P372))))</formula>
    </cfRule>
  </conditionalFormatting>
  <conditionalFormatting sqref="P372:Q372">
    <cfRule type="containsText" dxfId="2" priority="48717" operator="containsText" text="Yes">
      <formula>NOT(ISERROR(SEARCH(("Yes"),(P372))))</formula>
    </cfRule>
  </conditionalFormatting>
  <conditionalFormatting sqref="P372:Q372">
    <cfRule type="containsText" dxfId="2" priority="48718" operator="containsText" text="Yes">
      <formula>NOT(ISERROR(SEARCH(("Yes"),(P372))))</formula>
    </cfRule>
  </conditionalFormatting>
  <conditionalFormatting sqref="P372:Q372">
    <cfRule type="containsText" dxfId="2" priority="48719" operator="containsText" text="Yes">
      <formula>NOT(ISERROR(SEARCH(("Yes"),(P372))))</formula>
    </cfRule>
  </conditionalFormatting>
  <conditionalFormatting sqref="P372:Q372">
    <cfRule type="containsText" dxfId="2" priority="48720" operator="containsText" text="Yes">
      <formula>NOT(ISERROR(SEARCH(("Yes"),(P372))))</formula>
    </cfRule>
  </conditionalFormatting>
  <conditionalFormatting sqref="P372:Q372">
    <cfRule type="containsText" dxfId="2" priority="48721" operator="containsText" text="Yes">
      <formula>NOT(ISERROR(SEARCH(("Yes"),(P372))))</formula>
    </cfRule>
  </conditionalFormatting>
  <conditionalFormatting sqref="P372:Q372">
    <cfRule type="containsText" dxfId="2" priority="48722" operator="containsText" text="Yes">
      <formula>NOT(ISERROR(SEARCH(("Yes"),(P372))))</formula>
    </cfRule>
  </conditionalFormatting>
  <conditionalFormatting sqref="P372:Q372">
    <cfRule type="containsText" dxfId="2" priority="48723" operator="containsText" text="Yes">
      <formula>NOT(ISERROR(SEARCH(("Yes"),(P372))))</formula>
    </cfRule>
  </conditionalFormatting>
  <conditionalFormatting sqref="P372:Q372">
    <cfRule type="containsText" dxfId="2" priority="48724" operator="containsText" text="Yes">
      <formula>NOT(ISERROR(SEARCH(("Yes"),(P372))))</formula>
    </cfRule>
  </conditionalFormatting>
  <conditionalFormatting sqref="P372:Q372">
    <cfRule type="containsText" dxfId="2" priority="48725" operator="containsText" text="Yes">
      <formula>NOT(ISERROR(SEARCH(("Yes"),(P372))))</formula>
    </cfRule>
  </conditionalFormatting>
  <conditionalFormatting sqref="P373:Q373 P375:Q375 P377:Q380 P383:Q383">
    <cfRule type="containsText" dxfId="9" priority="48726" operator="containsText" text="No">
      <formula>NOT(ISERROR(SEARCH(("No"),(P373))))</formula>
    </cfRule>
  </conditionalFormatting>
  <conditionalFormatting sqref="P373:Q373 P375:Q375 P377:Q380 P383:Q383">
    <cfRule type="containsText" dxfId="9" priority="48727" operator="containsText" text="No">
      <formula>NOT(ISERROR(SEARCH(("No"),(P373))))</formula>
    </cfRule>
  </conditionalFormatting>
  <conditionalFormatting sqref="P373:Q373 P375:Q375 P377:Q380 P383:Q383">
    <cfRule type="containsText" dxfId="9" priority="48728" operator="containsText" text="No">
      <formula>NOT(ISERROR(SEARCH(("No"),(P373))))</formula>
    </cfRule>
  </conditionalFormatting>
  <conditionalFormatting sqref="P373:Q373 P375:Q375 P377:Q380 P383:Q383">
    <cfRule type="containsText" dxfId="9" priority="48729" operator="containsText" text="No">
      <formula>NOT(ISERROR(SEARCH(("No"),(P373))))</formula>
    </cfRule>
  </conditionalFormatting>
  <conditionalFormatting sqref="P373:Q373 P375:Q375 P377:Q380 P383:Q383">
    <cfRule type="containsText" dxfId="9" priority="48730" operator="containsText" text="No">
      <formula>NOT(ISERROR(SEARCH(("No"),(P373))))</formula>
    </cfRule>
  </conditionalFormatting>
  <conditionalFormatting sqref="P373:Q373 P375:Q375 P377:Q380 P383:Q383">
    <cfRule type="containsText" dxfId="9" priority="48731" operator="containsText" text="No">
      <formula>NOT(ISERROR(SEARCH(("No"),(P373))))</formula>
    </cfRule>
  </conditionalFormatting>
  <conditionalFormatting sqref="P373:Q373 P375:Q375 P377:Q380 P383:Q383">
    <cfRule type="containsText" dxfId="9" priority="48732" operator="containsText" text="No">
      <formula>NOT(ISERROR(SEARCH(("No"),(P373))))</formula>
    </cfRule>
  </conditionalFormatting>
  <conditionalFormatting sqref="P373:Q373 P375:Q375 P377:Q380 P383:Q383">
    <cfRule type="containsText" dxfId="9" priority="48733" operator="containsText" text="No">
      <formula>NOT(ISERROR(SEARCH(("No"),(P373))))</formula>
    </cfRule>
  </conditionalFormatting>
  <conditionalFormatting sqref="P373:Q373 P375:Q375 P377:Q380 P383:Q383">
    <cfRule type="containsText" dxfId="9" priority="48734" operator="containsText" text="No">
      <formula>NOT(ISERROR(SEARCH(("No"),(P373))))</formula>
    </cfRule>
  </conditionalFormatting>
  <conditionalFormatting sqref="P373:Q373 P375:Q375 P377:Q380 P383:Q383">
    <cfRule type="containsText" dxfId="9" priority="48735" operator="containsText" text="No">
      <formula>NOT(ISERROR(SEARCH(("No"),(P373))))</formula>
    </cfRule>
  </conditionalFormatting>
  <conditionalFormatting sqref="P373:Q373 P375:Q375 P377:Q380 P383:Q383">
    <cfRule type="containsText" dxfId="9" priority="48736" operator="containsText" text="No">
      <formula>NOT(ISERROR(SEARCH(("No"),(P373))))</formula>
    </cfRule>
  </conditionalFormatting>
  <conditionalFormatting sqref="P373:Q373 P375:Q375 P377:Q380 P383:Q383">
    <cfRule type="containsText" dxfId="9" priority="48737" operator="containsText" text="No">
      <formula>NOT(ISERROR(SEARCH(("No"),(P373))))</formula>
    </cfRule>
  </conditionalFormatting>
  <conditionalFormatting sqref="P373:Q373 P375:Q375 P377:Q380 P383:Q383">
    <cfRule type="containsText" dxfId="9" priority="48738" operator="containsText" text="No">
      <formula>NOT(ISERROR(SEARCH(("No"),(P373))))</formula>
    </cfRule>
  </conditionalFormatting>
  <conditionalFormatting sqref="P373:Q373 P375:Q375 P377:Q380 P383:Q383">
    <cfRule type="containsText" dxfId="9" priority="48739" operator="containsText" text="No">
      <formula>NOT(ISERROR(SEARCH(("No"),(P373))))</formula>
    </cfRule>
  </conditionalFormatting>
  <conditionalFormatting sqref="P373:Q373 P375:Q375 P377:Q380 P383:Q383">
    <cfRule type="containsText" dxfId="9" priority="48740" operator="containsText" text="No">
      <formula>NOT(ISERROR(SEARCH(("No"),(P373))))</formula>
    </cfRule>
  </conditionalFormatting>
  <conditionalFormatting sqref="P373:Q373 P375:Q375 P377:Q380 P383:Q383">
    <cfRule type="containsText" dxfId="9" priority="48741" operator="containsText" text="No">
      <formula>NOT(ISERROR(SEARCH(("No"),(P373))))</formula>
    </cfRule>
  </conditionalFormatting>
  <conditionalFormatting sqref="P373:Q373 P375:Q375 P377:Q380 P383:Q383">
    <cfRule type="containsText" dxfId="9" priority="48742" operator="containsText" text="No">
      <formula>NOT(ISERROR(SEARCH(("No"),(P373))))</formula>
    </cfRule>
  </conditionalFormatting>
  <conditionalFormatting sqref="P373:Q373 P375:Q375 P377:Q380 P383:Q383">
    <cfRule type="containsText" dxfId="9" priority="48743" operator="containsText" text="No">
      <formula>NOT(ISERROR(SEARCH(("No"),(P373))))</formula>
    </cfRule>
  </conditionalFormatting>
  <conditionalFormatting sqref="P373:Q373 P375:Q375 P377:Q380 P383:Q383">
    <cfRule type="containsText" dxfId="9" priority="48744" operator="containsText" text="No">
      <formula>NOT(ISERROR(SEARCH(("No"),(P373))))</formula>
    </cfRule>
  </conditionalFormatting>
  <conditionalFormatting sqref="P373:Q373 P375:Q375 P377:Q380 P383:Q383">
    <cfRule type="containsText" dxfId="9" priority="48745" operator="containsText" text="No">
      <formula>NOT(ISERROR(SEARCH(("No"),(P373))))</formula>
    </cfRule>
  </conditionalFormatting>
  <conditionalFormatting sqref="P373:Q373 P375:Q375 P377:Q380 P383:Q383">
    <cfRule type="containsText" dxfId="9" priority="48746" operator="containsText" text="No">
      <formula>NOT(ISERROR(SEARCH(("No"),(P373))))</formula>
    </cfRule>
  </conditionalFormatting>
  <conditionalFormatting sqref="P373:Q373 P375:Q375 P377:Q380 P383:Q383">
    <cfRule type="containsText" dxfId="9" priority="48747" operator="containsText" text="No">
      <formula>NOT(ISERROR(SEARCH(("No"),(P373))))</formula>
    </cfRule>
  </conditionalFormatting>
  <conditionalFormatting sqref="P373:Q373 P375:Q375 P377:Q380 P383:Q383">
    <cfRule type="containsText" dxfId="9" priority="48748" operator="containsText" text="No">
      <formula>NOT(ISERROR(SEARCH(("No"),(P373))))</formula>
    </cfRule>
  </conditionalFormatting>
  <conditionalFormatting sqref="P373:Q373 P375:Q375 P377:Q380 P383:Q383">
    <cfRule type="containsText" dxfId="9" priority="48749" operator="containsText" text="No">
      <formula>NOT(ISERROR(SEARCH(("No"),(P373))))</formula>
    </cfRule>
  </conditionalFormatting>
  <conditionalFormatting sqref="P373:Q373 P375:Q375 P377:Q380 P383:Q383">
    <cfRule type="containsText" dxfId="9" priority="48750" operator="containsText" text="No">
      <formula>NOT(ISERROR(SEARCH(("No"),(P373))))</formula>
    </cfRule>
  </conditionalFormatting>
  <conditionalFormatting sqref="P373:Q373 P375:Q375 P377:Q380 P383:Q383">
    <cfRule type="containsText" dxfId="9" priority="48751" operator="containsText" text="No">
      <formula>NOT(ISERROR(SEARCH(("No"),(P373))))</formula>
    </cfRule>
  </conditionalFormatting>
  <conditionalFormatting sqref="P373:Q373 P375:Q375 P377:Q380 P383:Q383">
    <cfRule type="containsText" dxfId="9" priority="48752" operator="containsText" text="No">
      <formula>NOT(ISERROR(SEARCH(("No"),(P373))))</formula>
    </cfRule>
  </conditionalFormatting>
  <conditionalFormatting sqref="P373:Q373 P375:Q375 P377:Q380 P383:Q383">
    <cfRule type="containsText" dxfId="9" priority="48753" operator="containsText" text="No">
      <formula>NOT(ISERROR(SEARCH(("No"),(P373))))</formula>
    </cfRule>
  </conditionalFormatting>
  <conditionalFormatting sqref="P373:Q373 P375:Q375 P377:Q380 P383:Q383">
    <cfRule type="containsText" dxfId="9" priority="48754" operator="containsText" text="No">
      <formula>NOT(ISERROR(SEARCH(("No"),(P373))))</formula>
    </cfRule>
  </conditionalFormatting>
  <conditionalFormatting sqref="P373:Q373 P375:Q375 P377:Q380 P383:Q383">
    <cfRule type="containsText" dxfId="9" priority="48755" operator="containsText" text="No">
      <formula>NOT(ISERROR(SEARCH(("No"),(P373))))</formula>
    </cfRule>
  </conditionalFormatting>
  <conditionalFormatting sqref="P373:Q373 P375:Q375 P377:Q380 P383:Q383">
    <cfRule type="containsText" dxfId="9" priority="48756" operator="containsText" text="No">
      <formula>NOT(ISERROR(SEARCH(("No"),(P373))))</formula>
    </cfRule>
  </conditionalFormatting>
  <conditionalFormatting sqref="P373:Q373 P375:Q375 P377:Q380 P383:Q383">
    <cfRule type="containsText" dxfId="9" priority="48757" operator="containsText" text="No">
      <formula>NOT(ISERROR(SEARCH(("No"),(P373))))</formula>
    </cfRule>
  </conditionalFormatting>
  <conditionalFormatting sqref="P373:Q373 P375:Q375 P377:Q380 P383:Q383">
    <cfRule type="containsText" dxfId="9" priority="48758" operator="containsText" text="No">
      <formula>NOT(ISERROR(SEARCH(("No"),(P373))))</formula>
    </cfRule>
  </conditionalFormatting>
  <conditionalFormatting sqref="P373:Q373 P375:Q375 P377:Q380 P383:Q383">
    <cfRule type="containsText" dxfId="9" priority="48759" operator="containsText" text="No">
      <formula>NOT(ISERROR(SEARCH(("No"),(P373))))</formula>
    </cfRule>
  </conditionalFormatting>
  <conditionalFormatting sqref="P373:Q373 P375:Q375 P377:Q380 P383:Q383">
    <cfRule type="containsText" dxfId="9" priority="48760" operator="containsText" text="No">
      <formula>NOT(ISERROR(SEARCH(("No"),(P373))))</formula>
    </cfRule>
  </conditionalFormatting>
  <conditionalFormatting sqref="P373:Q373 P375:Q375 P377:Q380 P383:Q383">
    <cfRule type="containsText" dxfId="9" priority="48761" operator="containsText" text="No">
      <formula>NOT(ISERROR(SEARCH(("No"),(P373))))</formula>
    </cfRule>
  </conditionalFormatting>
  <conditionalFormatting sqref="P373:Q373 P375:Q375 P377:Q380 P383:Q383">
    <cfRule type="containsText" dxfId="9" priority="48762" operator="containsText" text="No">
      <formula>NOT(ISERROR(SEARCH(("No"),(P373))))</formula>
    </cfRule>
  </conditionalFormatting>
  <conditionalFormatting sqref="P373:Q373 P375:Q375 P377:Q380 P383:Q383">
    <cfRule type="containsText" dxfId="9" priority="48763" operator="containsText" text="No">
      <formula>NOT(ISERROR(SEARCH(("No"),(P373))))</formula>
    </cfRule>
  </conditionalFormatting>
  <conditionalFormatting sqref="P373:Q373 P375:Q375 P377:Q380 P383:Q383">
    <cfRule type="containsText" dxfId="9" priority="48764" operator="containsText" text="No">
      <formula>NOT(ISERROR(SEARCH(("No"),(P373))))</formula>
    </cfRule>
  </conditionalFormatting>
  <conditionalFormatting sqref="P373:Q373 P375:Q375 P377:Q380 P383:Q383">
    <cfRule type="containsText" dxfId="9" priority="48765" operator="containsText" text="No">
      <formula>NOT(ISERROR(SEARCH(("No"),(P373))))</formula>
    </cfRule>
  </conditionalFormatting>
  <conditionalFormatting sqref="P373:Q373 P375:Q375 P377:Q380 P383:Q383">
    <cfRule type="containsText" dxfId="9" priority="48766" operator="containsText" text="No">
      <formula>NOT(ISERROR(SEARCH(("No"),(P373))))</formula>
    </cfRule>
  </conditionalFormatting>
  <conditionalFormatting sqref="P373:Q373 P375:Q375 P377:Q380 P383:Q383">
    <cfRule type="containsText" dxfId="9" priority="48767" operator="containsText" text="No">
      <formula>NOT(ISERROR(SEARCH(("No"),(P373))))</formula>
    </cfRule>
  </conditionalFormatting>
  <conditionalFormatting sqref="P373:Q373 P375:Q375 P377:Q380 P383:Q383">
    <cfRule type="containsText" dxfId="9" priority="48768" operator="containsText" text="No">
      <formula>NOT(ISERROR(SEARCH(("No"),(P373))))</formula>
    </cfRule>
  </conditionalFormatting>
  <conditionalFormatting sqref="P373:Q373 P375:Q375 P377:Q380 P383:Q383">
    <cfRule type="containsText" dxfId="9" priority="48769" operator="containsText" text="No">
      <formula>NOT(ISERROR(SEARCH(("No"),(P373))))</formula>
    </cfRule>
  </conditionalFormatting>
  <conditionalFormatting sqref="P373:Q373 P375:Q375 P377:Q380 P383:Q383">
    <cfRule type="containsText" dxfId="9" priority="48770" operator="containsText" text="No">
      <formula>NOT(ISERROR(SEARCH(("No"),(P373))))</formula>
    </cfRule>
  </conditionalFormatting>
  <conditionalFormatting sqref="P373:Q373 P375:Q375 P377:Q380 P383:Q383">
    <cfRule type="containsText" dxfId="2" priority="48771" operator="containsText" text="Yes">
      <formula>NOT(ISERROR(SEARCH(("Yes"),(P373))))</formula>
    </cfRule>
  </conditionalFormatting>
  <conditionalFormatting sqref="P373:Q373 P375:Q375 P377:Q380 P383:Q383">
    <cfRule type="containsText" dxfId="2" priority="48772" operator="containsText" text="Yes">
      <formula>NOT(ISERROR(SEARCH(("Yes"),(P373))))</formula>
    </cfRule>
  </conditionalFormatting>
  <conditionalFormatting sqref="P373:Q373 P375:Q375 P377:Q380 P383:Q383">
    <cfRule type="containsText" dxfId="2" priority="48773" operator="containsText" text="Yes">
      <formula>NOT(ISERROR(SEARCH(("Yes"),(P373))))</formula>
    </cfRule>
  </conditionalFormatting>
  <conditionalFormatting sqref="P373:Q373 P375:Q375 P377:Q380 P383:Q383">
    <cfRule type="containsText" dxfId="2" priority="48774" operator="containsText" text="Yes">
      <formula>NOT(ISERROR(SEARCH(("Yes"),(P373))))</formula>
    </cfRule>
  </conditionalFormatting>
  <conditionalFormatting sqref="P373:Q373 P375:Q375 P377:Q380 P383:Q383">
    <cfRule type="containsText" dxfId="2" priority="48775" operator="containsText" text="Yes">
      <formula>NOT(ISERROR(SEARCH(("Yes"),(P373))))</formula>
    </cfRule>
  </conditionalFormatting>
  <conditionalFormatting sqref="P373:Q373 P375:Q375 P377:Q380 P383:Q383">
    <cfRule type="containsText" dxfId="2" priority="48776" operator="containsText" text="Yes">
      <formula>NOT(ISERROR(SEARCH(("Yes"),(P373))))</formula>
    </cfRule>
  </conditionalFormatting>
  <conditionalFormatting sqref="P373:Q373 P375:Q375 P377:Q380 P383:Q383">
    <cfRule type="containsText" dxfId="2" priority="48777" operator="containsText" text="Yes">
      <formula>NOT(ISERROR(SEARCH(("Yes"),(P373))))</formula>
    </cfRule>
  </conditionalFormatting>
  <conditionalFormatting sqref="P373:Q373 P375:Q375 P377:Q380 P383:Q383">
    <cfRule type="containsText" dxfId="2" priority="48778" operator="containsText" text="Yes">
      <formula>NOT(ISERROR(SEARCH(("Yes"),(P373))))</formula>
    </cfRule>
  </conditionalFormatting>
  <conditionalFormatting sqref="P373:Q373 P375:Q375 P377:Q380 P383:Q383">
    <cfRule type="containsText" dxfId="2" priority="48779" operator="containsText" text="Yes">
      <formula>NOT(ISERROR(SEARCH(("Yes"),(P373))))</formula>
    </cfRule>
  </conditionalFormatting>
  <conditionalFormatting sqref="P373:Q373 P375:Q375 P377:Q380 P383:Q383">
    <cfRule type="containsText" dxfId="2" priority="48780" operator="containsText" text="Yes">
      <formula>NOT(ISERROR(SEARCH(("Yes"),(P373))))</formula>
    </cfRule>
  </conditionalFormatting>
  <conditionalFormatting sqref="P373:Q373 P375:Q375 P377:Q380 P383:Q383">
    <cfRule type="containsText" dxfId="2" priority="48781" operator="containsText" text="Yes">
      <formula>NOT(ISERROR(SEARCH(("Yes"),(P373))))</formula>
    </cfRule>
  </conditionalFormatting>
  <conditionalFormatting sqref="P373:Q373 P375:Q375 P377:Q380 P383:Q383">
    <cfRule type="containsText" dxfId="2" priority="48782" operator="containsText" text="Yes">
      <formula>NOT(ISERROR(SEARCH(("Yes"),(P373))))</formula>
    </cfRule>
  </conditionalFormatting>
  <conditionalFormatting sqref="P373:Q373 P375:Q375 P377:Q380 P383:Q383">
    <cfRule type="containsText" dxfId="2" priority="48783" operator="containsText" text="Yes">
      <formula>NOT(ISERROR(SEARCH(("Yes"),(P373))))</formula>
    </cfRule>
  </conditionalFormatting>
  <conditionalFormatting sqref="P373:Q373 P375:Q375 P377:Q380 P383:Q383">
    <cfRule type="containsText" dxfId="2" priority="48784" operator="containsText" text="Yes">
      <formula>NOT(ISERROR(SEARCH(("Yes"),(P373))))</formula>
    </cfRule>
  </conditionalFormatting>
  <conditionalFormatting sqref="P373:Q373 P375:Q375 P377:Q380 P383:Q383">
    <cfRule type="containsText" dxfId="2" priority="48785" operator="containsText" text="Yes">
      <formula>NOT(ISERROR(SEARCH(("Yes"),(P373))))</formula>
    </cfRule>
  </conditionalFormatting>
  <conditionalFormatting sqref="P373:Q373 P375:Q375 P377:Q380 P383:Q383">
    <cfRule type="containsText" dxfId="2" priority="48786" operator="containsText" text="Yes">
      <formula>NOT(ISERROR(SEARCH(("Yes"),(P373))))</formula>
    </cfRule>
  </conditionalFormatting>
  <conditionalFormatting sqref="P373:Q373 P375:Q375 P377:Q380 P383:Q383">
    <cfRule type="containsText" dxfId="2" priority="48787" operator="containsText" text="Yes">
      <formula>NOT(ISERROR(SEARCH(("Yes"),(P373))))</formula>
    </cfRule>
  </conditionalFormatting>
  <conditionalFormatting sqref="P373:Q373 P375:Q375 P377:Q380 P383:Q383">
    <cfRule type="containsText" dxfId="2" priority="48788" operator="containsText" text="Yes">
      <formula>NOT(ISERROR(SEARCH(("Yes"),(P373))))</formula>
    </cfRule>
  </conditionalFormatting>
  <conditionalFormatting sqref="P373:Q373 P375:Q375 P377:Q380 P383:Q383">
    <cfRule type="containsText" dxfId="2" priority="48789" operator="containsText" text="Yes">
      <formula>NOT(ISERROR(SEARCH(("Yes"),(P373))))</formula>
    </cfRule>
  </conditionalFormatting>
  <conditionalFormatting sqref="P373:Q373 P375:Q375 P377:Q380 P383:Q383">
    <cfRule type="containsText" dxfId="2" priority="48790" operator="containsText" text="Yes">
      <formula>NOT(ISERROR(SEARCH(("Yes"),(P373))))</formula>
    </cfRule>
  </conditionalFormatting>
  <conditionalFormatting sqref="P373:Q373 P375:Q375 P377:Q380 P383:Q383">
    <cfRule type="containsText" dxfId="2" priority="48791" operator="containsText" text="Yes">
      <formula>NOT(ISERROR(SEARCH(("Yes"),(P373))))</formula>
    </cfRule>
  </conditionalFormatting>
  <conditionalFormatting sqref="P373:Q373 P375:Q375 P377:Q380 P383:Q383">
    <cfRule type="containsText" dxfId="2" priority="48792" operator="containsText" text="Yes">
      <formula>NOT(ISERROR(SEARCH(("Yes"),(P373))))</formula>
    </cfRule>
  </conditionalFormatting>
  <conditionalFormatting sqref="P373:Q373 P375:Q375 P377:Q380 P383:Q383">
    <cfRule type="containsText" dxfId="2" priority="48793" operator="containsText" text="Yes">
      <formula>NOT(ISERROR(SEARCH(("Yes"),(P373))))</formula>
    </cfRule>
  </conditionalFormatting>
  <conditionalFormatting sqref="P373:Q373 P375:Q375 P377:Q380 P383:Q383">
    <cfRule type="containsText" dxfId="2" priority="48794" operator="containsText" text="Yes">
      <formula>NOT(ISERROR(SEARCH(("Yes"),(P373))))</formula>
    </cfRule>
  </conditionalFormatting>
  <conditionalFormatting sqref="P373:Q373 P375:Q375 P377:Q380 P383:Q383">
    <cfRule type="containsText" dxfId="2" priority="48795" operator="containsText" text="Yes">
      <formula>NOT(ISERROR(SEARCH(("Yes"),(P373))))</formula>
    </cfRule>
  </conditionalFormatting>
  <conditionalFormatting sqref="P373:Q373 P375:Q375 P377:Q380 P383:Q383">
    <cfRule type="containsText" dxfId="2" priority="48796" operator="containsText" text="Yes">
      <formula>NOT(ISERROR(SEARCH(("Yes"),(P373))))</formula>
    </cfRule>
  </conditionalFormatting>
  <conditionalFormatting sqref="P373:Q373 P375:Q375 P377:Q380 P383:Q383">
    <cfRule type="containsText" dxfId="2" priority="48797" operator="containsText" text="Yes">
      <formula>NOT(ISERROR(SEARCH(("Yes"),(P373))))</formula>
    </cfRule>
  </conditionalFormatting>
  <conditionalFormatting sqref="P373:Q373 P375:Q375 P377:Q380 P383:Q383">
    <cfRule type="containsText" dxfId="2" priority="48798" operator="containsText" text="Yes">
      <formula>NOT(ISERROR(SEARCH(("Yes"),(P373))))</formula>
    </cfRule>
  </conditionalFormatting>
  <conditionalFormatting sqref="P373:Q373 P375:Q375 P377:Q380 P383:Q383">
    <cfRule type="containsText" dxfId="2" priority="48799" operator="containsText" text="Yes">
      <formula>NOT(ISERROR(SEARCH(("Yes"),(P373))))</formula>
    </cfRule>
  </conditionalFormatting>
  <conditionalFormatting sqref="P373:Q373 P375:Q375 P377:Q380 P383:Q383">
    <cfRule type="containsText" dxfId="2" priority="48800" operator="containsText" text="Yes">
      <formula>NOT(ISERROR(SEARCH(("Yes"),(P373))))</formula>
    </cfRule>
  </conditionalFormatting>
  <conditionalFormatting sqref="P373:Q373 P375:Q375 P377:Q380 P383:Q383">
    <cfRule type="containsText" dxfId="2" priority="48801" operator="containsText" text="Yes">
      <formula>NOT(ISERROR(SEARCH(("Yes"),(P373))))</formula>
    </cfRule>
  </conditionalFormatting>
  <conditionalFormatting sqref="P373:Q373 P375:Q375 P377:Q380 P383:Q383">
    <cfRule type="containsText" dxfId="2" priority="48802" operator="containsText" text="Yes">
      <formula>NOT(ISERROR(SEARCH(("Yes"),(P373))))</formula>
    </cfRule>
  </conditionalFormatting>
  <conditionalFormatting sqref="P373:Q373 P375:Q375 P377:Q380 P383:Q383">
    <cfRule type="containsText" dxfId="2" priority="48803" operator="containsText" text="Yes">
      <formula>NOT(ISERROR(SEARCH(("Yes"),(P373))))</formula>
    </cfRule>
  </conditionalFormatting>
  <conditionalFormatting sqref="P373:Q373 P375:Q375 P377:Q380 P383:Q383">
    <cfRule type="containsText" dxfId="2" priority="48804" operator="containsText" text="Yes">
      <formula>NOT(ISERROR(SEARCH(("Yes"),(P373))))</formula>
    </cfRule>
  </conditionalFormatting>
  <conditionalFormatting sqref="P373:Q373 P375:Q375 P377:Q380 P383:Q383">
    <cfRule type="containsText" dxfId="2" priority="48805" operator="containsText" text="Yes">
      <formula>NOT(ISERROR(SEARCH(("Yes"),(P373))))</formula>
    </cfRule>
  </conditionalFormatting>
  <conditionalFormatting sqref="P373:Q373 P375:Q375 P377:Q380 P383:Q383">
    <cfRule type="containsText" dxfId="2" priority="48806" operator="containsText" text="Yes">
      <formula>NOT(ISERROR(SEARCH(("Yes"),(P373))))</formula>
    </cfRule>
  </conditionalFormatting>
  <conditionalFormatting sqref="P373:Q373 P375:Q375 P377:Q380 P383:Q383">
    <cfRule type="containsText" dxfId="2" priority="48807" operator="containsText" text="Yes">
      <formula>NOT(ISERROR(SEARCH(("Yes"),(P373))))</formula>
    </cfRule>
  </conditionalFormatting>
  <conditionalFormatting sqref="P373:Q373 P375:Q375 P377:Q380 P383:Q383">
    <cfRule type="containsText" dxfId="2" priority="48808" operator="containsText" text="Yes">
      <formula>NOT(ISERROR(SEARCH(("Yes"),(P373))))</formula>
    </cfRule>
  </conditionalFormatting>
  <conditionalFormatting sqref="P373:Q373 P375:Q375 P377:Q380 P383:Q383">
    <cfRule type="containsText" dxfId="2" priority="48809" operator="containsText" text="Yes">
      <formula>NOT(ISERROR(SEARCH(("Yes"),(P373))))</formula>
    </cfRule>
  </conditionalFormatting>
  <conditionalFormatting sqref="P373:Q373 P375:Q375 P377:Q380 P383:Q383">
    <cfRule type="containsText" dxfId="2" priority="48810" operator="containsText" text="Yes">
      <formula>NOT(ISERROR(SEARCH(("Yes"),(P373))))</formula>
    </cfRule>
  </conditionalFormatting>
  <conditionalFormatting sqref="P373:Q373 P375:Q375 P377:Q380 P383:Q383">
    <cfRule type="containsText" dxfId="2" priority="48811" operator="containsText" text="Yes">
      <formula>NOT(ISERROR(SEARCH(("Yes"),(P373))))</formula>
    </cfRule>
  </conditionalFormatting>
  <conditionalFormatting sqref="P373:Q373 P375:Q375 P377:Q380 P383:Q383">
    <cfRule type="containsText" dxfId="2" priority="48812" operator="containsText" text="Yes">
      <formula>NOT(ISERROR(SEARCH(("Yes"),(P373))))</formula>
    </cfRule>
  </conditionalFormatting>
  <conditionalFormatting sqref="P373:Q373 P375:Q375 P377:Q380 P383:Q383">
    <cfRule type="containsText" dxfId="2" priority="48813" operator="containsText" text="Yes">
      <formula>NOT(ISERROR(SEARCH(("Yes"),(P373))))</formula>
    </cfRule>
  </conditionalFormatting>
  <conditionalFormatting sqref="P373:Q373 P375:Q375 P377:Q380 P383:Q383">
    <cfRule type="containsText" dxfId="2" priority="48814" operator="containsText" text="Yes">
      <formula>NOT(ISERROR(SEARCH(("Yes"),(P373))))</formula>
    </cfRule>
  </conditionalFormatting>
  <conditionalFormatting sqref="P373:Q373 P375:Q375 P377:Q380 P383:Q383">
    <cfRule type="containsText" dxfId="2" priority="48815" operator="containsText" text="Yes">
      <formula>NOT(ISERROR(SEARCH(("Yes"),(P373))))</formula>
    </cfRule>
  </conditionalFormatting>
  <conditionalFormatting sqref="P373:Q373 P375:Q375 P377:Q380 P383:Q383">
    <cfRule type="containsText" dxfId="2" priority="48816" operator="containsText" text="Yes">
      <formula>NOT(ISERROR(SEARCH(("Yes"),(P373))))</formula>
    </cfRule>
  </conditionalFormatting>
  <conditionalFormatting sqref="P373:Q373 P375:Q375 P377:Q380 P383:Q383">
    <cfRule type="containsText" dxfId="2" priority="48817" operator="containsText" text="Yes">
      <formula>NOT(ISERROR(SEARCH(("Yes"),(P373))))</formula>
    </cfRule>
  </conditionalFormatting>
  <conditionalFormatting sqref="P374:Q374 P376:Q376 P381:Q382 P384:Q385 P389:Q390 P393:Q394 P396:Q396 P399:Q409">
    <cfRule type="containsText" dxfId="9" priority="48818" operator="containsText" text="No">
      <formula>NOT(ISERROR(SEARCH(("No"),(P374))))</formula>
    </cfRule>
  </conditionalFormatting>
  <conditionalFormatting sqref="P374:Q374 P376:Q376 P381:Q382 P384:Q385 P389:Q390 P393:Q394 P396:Q396 P399:Q409">
    <cfRule type="containsText" dxfId="9" priority="48819" operator="containsText" text="No">
      <formula>NOT(ISERROR(SEARCH(("No"),(P374))))</formula>
    </cfRule>
  </conditionalFormatting>
  <conditionalFormatting sqref="P374:Q374 P376:Q376 P381:Q382 P384:Q385 P389:Q390 P393:Q394 P396:Q396 P399:Q409">
    <cfRule type="containsText" dxfId="9" priority="48820" operator="containsText" text="No">
      <formula>NOT(ISERROR(SEARCH(("No"),(P374))))</formula>
    </cfRule>
  </conditionalFormatting>
  <conditionalFormatting sqref="P374:Q374 P376:Q376 P381:Q382 P384:Q385 P389:Q390 P393:Q394 P396:Q396 P399:Q409">
    <cfRule type="containsText" dxfId="9" priority="48821" operator="containsText" text="No">
      <formula>NOT(ISERROR(SEARCH(("No"),(P374))))</formula>
    </cfRule>
  </conditionalFormatting>
  <conditionalFormatting sqref="P374:Q374 P376:Q376 P381:Q382 P384:Q385 P389:Q390 P393:Q394 P396:Q396 P399:Q409">
    <cfRule type="containsText" dxfId="9" priority="48822" operator="containsText" text="No">
      <formula>NOT(ISERROR(SEARCH(("No"),(P374))))</formula>
    </cfRule>
  </conditionalFormatting>
  <conditionalFormatting sqref="P374:Q374 P376:Q376 P381:Q382 P384:Q385 P389:Q390 P393:Q394 P396:Q396 P399:Q409">
    <cfRule type="containsText" dxfId="9" priority="48823" operator="containsText" text="No">
      <formula>NOT(ISERROR(SEARCH(("No"),(P374))))</formula>
    </cfRule>
  </conditionalFormatting>
  <conditionalFormatting sqref="P374:Q374 P376:Q376 P381:Q382 P384:Q385 P389:Q390 P393:Q394 P396:Q396 P399:Q409">
    <cfRule type="containsText" dxfId="9" priority="48824" operator="containsText" text="No">
      <formula>NOT(ISERROR(SEARCH(("No"),(P374))))</formula>
    </cfRule>
  </conditionalFormatting>
  <conditionalFormatting sqref="P374:Q374 P376:Q376 P381:Q382 P384:Q385 P389:Q390 P393:Q394 P396:Q396 P399:Q409">
    <cfRule type="containsText" dxfId="9" priority="48825" operator="containsText" text="No">
      <formula>NOT(ISERROR(SEARCH(("No"),(P374))))</formula>
    </cfRule>
  </conditionalFormatting>
  <conditionalFormatting sqref="P374:Q374 P376:Q376 P381:Q382 P384:Q385 P389:Q390 P393:Q394 P396:Q396 P399:Q409">
    <cfRule type="containsText" dxfId="9" priority="48826" operator="containsText" text="No">
      <formula>NOT(ISERROR(SEARCH(("No"),(P374))))</formula>
    </cfRule>
  </conditionalFormatting>
  <conditionalFormatting sqref="P374:Q374 P376:Q376 P381:Q382 P384:Q385 P389:Q390 P393:Q394 P396:Q396 P399:Q409">
    <cfRule type="containsText" dxfId="9" priority="48827" operator="containsText" text="No">
      <formula>NOT(ISERROR(SEARCH(("No"),(P374))))</formula>
    </cfRule>
  </conditionalFormatting>
  <conditionalFormatting sqref="P374:Q374 P376:Q376 P381:Q382 P384:Q385 P389:Q390 P393:Q394 P396:Q396 P399:Q409">
    <cfRule type="containsText" dxfId="9" priority="48828" operator="containsText" text="No">
      <formula>NOT(ISERROR(SEARCH(("No"),(P374))))</formula>
    </cfRule>
  </conditionalFormatting>
  <conditionalFormatting sqref="P374:Q374 P376:Q376 P381:Q382 P384:Q385 P389:Q390 P393:Q394 P396:Q396 P399:Q409">
    <cfRule type="containsText" dxfId="9" priority="48829" operator="containsText" text="No">
      <formula>NOT(ISERROR(SEARCH(("No"),(P374))))</formula>
    </cfRule>
  </conditionalFormatting>
  <conditionalFormatting sqref="P374:Q374 P376:Q376 P381:Q382 P384:Q385 P389:Q390 P393:Q394 P396:Q396 P399:Q409">
    <cfRule type="containsText" dxfId="9" priority="48830" operator="containsText" text="No">
      <formula>NOT(ISERROR(SEARCH(("No"),(P374))))</formula>
    </cfRule>
  </conditionalFormatting>
  <conditionalFormatting sqref="P374:Q374 P376:Q376 P381:Q382 P384:Q385 P389:Q390 P393:Q394 P396:Q396 P399:Q409">
    <cfRule type="containsText" dxfId="9" priority="48831" operator="containsText" text="No">
      <formula>NOT(ISERROR(SEARCH(("No"),(P374))))</formula>
    </cfRule>
  </conditionalFormatting>
  <conditionalFormatting sqref="P374:Q374 P376:Q376 P381:Q382 P384:Q385 P389:Q390 P393:Q394 P396:Q396 P399:Q409">
    <cfRule type="containsText" dxfId="9" priority="48832" operator="containsText" text="No">
      <formula>NOT(ISERROR(SEARCH(("No"),(P374))))</formula>
    </cfRule>
  </conditionalFormatting>
  <conditionalFormatting sqref="P374:Q374 P376:Q376 P381:Q382 P384:Q385 P389:Q390 P393:Q394 P396:Q396 P399:Q409">
    <cfRule type="containsText" dxfId="9" priority="48833" operator="containsText" text="No">
      <formula>NOT(ISERROR(SEARCH(("No"),(P374))))</formula>
    </cfRule>
  </conditionalFormatting>
  <conditionalFormatting sqref="P374:Q374 P376:Q376 P381:Q382 P384:Q385 P389:Q390 P393:Q394 P396:Q396 P399:Q409">
    <cfRule type="containsText" dxfId="9" priority="48834" operator="containsText" text="No">
      <formula>NOT(ISERROR(SEARCH(("No"),(P374))))</formula>
    </cfRule>
  </conditionalFormatting>
  <conditionalFormatting sqref="P374:Q374 P376:Q376 P381:Q382 P384:Q385 P389:Q390 P393:Q394 P396:Q396 P399:Q409">
    <cfRule type="containsText" dxfId="9" priority="48835" operator="containsText" text="No">
      <formula>NOT(ISERROR(SEARCH(("No"),(P374))))</formula>
    </cfRule>
  </conditionalFormatting>
  <conditionalFormatting sqref="P374:Q374 P376:Q376 P381:Q382 P384:Q385 P389:Q390 P393:Q394 P396:Q396 P399:Q409">
    <cfRule type="containsText" dxfId="9" priority="48836" operator="containsText" text="No">
      <formula>NOT(ISERROR(SEARCH(("No"),(P374))))</formula>
    </cfRule>
  </conditionalFormatting>
  <conditionalFormatting sqref="P374:Q374 P376:Q376 P381:Q382 P384:Q385 P389:Q390 P393:Q394 P396:Q396 P399:Q409">
    <cfRule type="containsText" dxfId="9" priority="48837" operator="containsText" text="No">
      <formula>NOT(ISERROR(SEARCH(("No"),(P374))))</formula>
    </cfRule>
  </conditionalFormatting>
  <conditionalFormatting sqref="P374:Q374 P376:Q376 P381:Q382 P384:Q385 P389:Q390 P393:Q394 P396:Q396 P399:Q409">
    <cfRule type="containsText" dxfId="9" priority="48838" operator="containsText" text="No">
      <formula>NOT(ISERROR(SEARCH(("No"),(P374))))</formula>
    </cfRule>
  </conditionalFormatting>
  <conditionalFormatting sqref="P374:Q374 P376:Q376 P381:Q382 P384:Q385 P389:Q390 P393:Q394 P396:Q396 P399:Q409">
    <cfRule type="containsText" dxfId="9" priority="48839" operator="containsText" text="No">
      <formula>NOT(ISERROR(SEARCH(("No"),(P374))))</formula>
    </cfRule>
  </conditionalFormatting>
  <conditionalFormatting sqref="P374:Q374 P376:Q376 P381:Q382 P384:Q385 P389:Q390 P393:Q394 P396:Q396 P399:Q409">
    <cfRule type="containsText" dxfId="9" priority="48840" operator="containsText" text="No">
      <formula>NOT(ISERROR(SEARCH(("No"),(P374))))</formula>
    </cfRule>
  </conditionalFormatting>
  <conditionalFormatting sqref="P374:Q374 P376:Q376 P381:Q382 P384:Q385 P389:Q390 P393:Q394 P396:Q396 P399:Q409">
    <cfRule type="containsText" dxfId="9" priority="48841" operator="containsText" text="No">
      <formula>NOT(ISERROR(SEARCH(("No"),(P374))))</formula>
    </cfRule>
  </conditionalFormatting>
  <conditionalFormatting sqref="P374:Q374 P376:Q376 P381:Q382 P384:Q385 P389:Q390 P393:Q394 P396:Q396 P399:Q409">
    <cfRule type="containsText" dxfId="9" priority="48842" operator="containsText" text="No">
      <formula>NOT(ISERROR(SEARCH(("No"),(P374))))</formula>
    </cfRule>
  </conditionalFormatting>
  <conditionalFormatting sqref="P374:Q374 P376:Q376 P381:Q382 P384:Q385 P389:Q390 P393:Q394 P396:Q396 P399:Q409">
    <cfRule type="containsText" dxfId="9" priority="48843" operator="containsText" text="No">
      <formula>NOT(ISERROR(SEARCH(("No"),(P374))))</formula>
    </cfRule>
  </conditionalFormatting>
  <conditionalFormatting sqref="P374:Q374 P376:Q376 P381:Q382 P384:Q385 P389:Q390 P393:Q394 P396:Q396 P399:Q409">
    <cfRule type="containsText" dxfId="9" priority="48844" operator="containsText" text="No">
      <formula>NOT(ISERROR(SEARCH(("No"),(P374))))</formula>
    </cfRule>
  </conditionalFormatting>
  <conditionalFormatting sqref="P374:Q374 P376:Q376 P381:Q382 P384:Q385 P389:Q390 P393:Q394 P396:Q396 P399:Q409">
    <cfRule type="containsText" dxfId="9" priority="48845" operator="containsText" text="No">
      <formula>NOT(ISERROR(SEARCH(("No"),(P374))))</formula>
    </cfRule>
  </conditionalFormatting>
  <conditionalFormatting sqref="P374:Q374 P376:Q376 P381:Q382 P384:Q385 P389:Q390 P393:Q394 P396:Q396 P399:Q409">
    <cfRule type="containsText" dxfId="9" priority="48846" operator="containsText" text="No">
      <formula>NOT(ISERROR(SEARCH(("No"),(P374))))</formula>
    </cfRule>
  </conditionalFormatting>
  <conditionalFormatting sqref="P374:Q374 P376:Q376 P381:Q382 P384:Q385 P389:Q390 P393:Q394 P396:Q396 P399:Q409">
    <cfRule type="containsText" dxfId="9" priority="48847" operator="containsText" text="No">
      <formula>NOT(ISERROR(SEARCH(("No"),(P374))))</formula>
    </cfRule>
  </conditionalFormatting>
  <conditionalFormatting sqref="P374:Q374 P376:Q376 P381:Q382 P384:Q385 P389:Q390 P393:Q394 P396:Q396 P399:Q409">
    <cfRule type="containsText" dxfId="9" priority="48848" operator="containsText" text="No">
      <formula>NOT(ISERROR(SEARCH(("No"),(P374))))</formula>
    </cfRule>
  </conditionalFormatting>
  <conditionalFormatting sqref="P374:Q374 P376:Q376 P381:Q382 P384:Q385 P389:Q390 P393:Q394 P396:Q396 P399:Q409">
    <cfRule type="containsText" dxfId="9" priority="48849" operator="containsText" text="No">
      <formula>NOT(ISERROR(SEARCH(("No"),(P374))))</formula>
    </cfRule>
  </conditionalFormatting>
  <conditionalFormatting sqref="P374:Q374 P376:Q376 P381:Q382 P384:Q385 P389:Q390 P393:Q394 P396:Q396 P399:Q409">
    <cfRule type="containsText" dxfId="9" priority="48850" operator="containsText" text="No">
      <formula>NOT(ISERROR(SEARCH(("No"),(P374))))</formula>
    </cfRule>
  </conditionalFormatting>
  <conditionalFormatting sqref="P374:Q374 P376:Q376 P381:Q382 P384:Q385 P389:Q390 P393:Q394 P396:Q396 P399:Q409">
    <cfRule type="containsText" dxfId="9" priority="48851" operator="containsText" text="No">
      <formula>NOT(ISERROR(SEARCH(("No"),(P374))))</formula>
    </cfRule>
  </conditionalFormatting>
  <conditionalFormatting sqref="P374:Q374 P376:Q376 P381:Q382 P384:Q385 P389:Q390 P393:Q394 P396:Q396 P399:Q409">
    <cfRule type="containsText" dxfId="9" priority="48852" operator="containsText" text="No">
      <formula>NOT(ISERROR(SEARCH(("No"),(P374))))</formula>
    </cfRule>
  </conditionalFormatting>
  <conditionalFormatting sqref="P374:Q374 P376:Q376 P381:Q382 P384:Q385 P389:Q390 P393:Q394 P396:Q396 P399:Q409">
    <cfRule type="containsText" dxfId="9" priority="48853" operator="containsText" text="No">
      <formula>NOT(ISERROR(SEARCH(("No"),(P374))))</formula>
    </cfRule>
  </conditionalFormatting>
  <conditionalFormatting sqref="P374:Q374 P376:Q376 P381:Q382 P384:Q385 P389:Q390 P393:Q394 P396:Q396 P399:Q409">
    <cfRule type="containsText" dxfId="9" priority="48854" operator="containsText" text="No">
      <formula>NOT(ISERROR(SEARCH(("No"),(P374))))</formula>
    </cfRule>
  </conditionalFormatting>
  <conditionalFormatting sqref="P374:Q374 P376:Q376 P381:Q382 P384:Q385 P389:Q390 P393:Q394 P396:Q396 P399:Q409">
    <cfRule type="containsText" dxfId="9" priority="48855" operator="containsText" text="No">
      <formula>NOT(ISERROR(SEARCH(("No"),(P374))))</formula>
    </cfRule>
  </conditionalFormatting>
  <conditionalFormatting sqref="P374:Q374 P376:Q376 P381:Q382 P384:Q385 P389:Q390 P393:Q394 P396:Q396 P399:Q409">
    <cfRule type="containsText" dxfId="9" priority="48856" operator="containsText" text="No">
      <formula>NOT(ISERROR(SEARCH(("No"),(P374))))</formula>
    </cfRule>
  </conditionalFormatting>
  <conditionalFormatting sqref="P374:Q374 P376:Q376 P381:Q382 P384:Q385 P389:Q390 P393:Q394 P396:Q396 P399:Q409">
    <cfRule type="containsText" dxfId="9" priority="48857" operator="containsText" text="No">
      <formula>NOT(ISERROR(SEARCH(("No"),(P374))))</formula>
    </cfRule>
  </conditionalFormatting>
  <conditionalFormatting sqref="P374:Q374 P376:Q376 P381:Q382 P384:Q385 P389:Q390 P393:Q394 P396:Q396 P399:Q409">
    <cfRule type="containsText" dxfId="9" priority="48858" operator="containsText" text="No">
      <formula>NOT(ISERROR(SEARCH(("No"),(P374))))</formula>
    </cfRule>
  </conditionalFormatting>
  <conditionalFormatting sqref="P374:Q374 P376:Q376 P381:Q382 P384:Q385 P389:Q390 P393:Q394 P396:Q396 P399:Q409">
    <cfRule type="containsText" dxfId="9" priority="48859" operator="containsText" text="No">
      <formula>NOT(ISERROR(SEARCH(("No"),(P374))))</formula>
    </cfRule>
  </conditionalFormatting>
  <conditionalFormatting sqref="P374:Q374 P376:Q376 P381:Q382 P384:Q385 P389:Q390 P393:Q394 P396:Q396 P399:Q409">
    <cfRule type="containsText" dxfId="9" priority="48860" operator="containsText" text="No">
      <formula>NOT(ISERROR(SEARCH(("No"),(P374))))</formula>
    </cfRule>
  </conditionalFormatting>
  <conditionalFormatting sqref="P374:Q374 P376:Q376 P381:Q382 P384:Q385 P389:Q390 P393:Q394 P396:Q396 P399:Q409">
    <cfRule type="containsText" dxfId="9" priority="48861" operator="containsText" text="No">
      <formula>NOT(ISERROR(SEARCH(("No"),(P374))))</formula>
    </cfRule>
  </conditionalFormatting>
  <conditionalFormatting sqref="P374:Q374 P376:Q376 P381:Q382 P384:Q385 P389:Q390 P393:Q394 P396:Q396 P399:Q409">
    <cfRule type="containsText" dxfId="9" priority="48862" operator="containsText" text="No">
      <formula>NOT(ISERROR(SEARCH(("No"),(P374))))</formula>
    </cfRule>
  </conditionalFormatting>
  <conditionalFormatting sqref="P374:Q374 P376:Q376 P381:Q382 P384:Q385 P389:Q390 P393:Q394 P396:Q396 P399:Q409">
    <cfRule type="containsText" dxfId="2" priority="48863" operator="containsText" text="Yes">
      <formula>NOT(ISERROR(SEARCH(("Yes"),(P374))))</formula>
    </cfRule>
  </conditionalFormatting>
  <conditionalFormatting sqref="P374:Q374 P376:Q376 P381:Q382 P384:Q385 P389:Q390 P393:Q394 P396:Q396 P399:Q409">
    <cfRule type="containsText" dxfId="2" priority="48864" operator="containsText" text="Yes">
      <formula>NOT(ISERROR(SEARCH(("Yes"),(P374))))</formula>
    </cfRule>
  </conditionalFormatting>
  <conditionalFormatting sqref="P374:Q374 P376:Q376 P381:Q382 P384:Q385 P389:Q390 P393:Q394 P396:Q396 P399:Q409">
    <cfRule type="containsText" dxfId="2" priority="48865" operator="containsText" text="Yes">
      <formula>NOT(ISERROR(SEARCH(("Yes"),(P374))))</formula>
    </cfRule>
  </conditionalFormatting>
  <conditionalFormatting sqref="P374:Q374 P376:Q376 P381:Q382 P384:Q385 P389:Q390 P393:Q394 P396:Q396 P399:Q409">
    <cfRule type="containsText" dxfId="2" priority="48866" operator="containsText" text="Yes">
      <formula>NOT(ISERROR(SEARCH(("Yes"),(P374))))</formula>
    </cfRule>
  </conditionalFormatting>
  <conditionalFormatting sqref="P374:Q374 P376:Q376 P381:Q382 P384:Q385 P389:Q390 P393:Q394 P396:Q396 P399:Q409">
    <cfRule type="containsText" dxfId="2" priority="48867" operator="containsText" text="Yes">
      <formula>NOT(ISERROR(SEARCH(("Yes"),(P374))))</formula>
    </cfRule>
  </conditionalFormatting>
  <conditionalFormatting sqref="P374:Q374 P376:Q376 P381:Q382 P384:Q385 P389:Q390 P393:Q394 P396:Q396 P399:Q409">
    <cfRule type="containsText" dxfId="2" priority="48868" operator="containsText" text="Yes">
      <formula>NOT(ISERROR(SEARCH(("Yes"),(P374))))</formula>
    </cfRule>
  </conditionalFormatting>
  <conditionalFormatting sqref="P374:Q374 P376:Q376 P381:Q382 P384:Q385 P389:Q390 P393:Q394 P396:Q396 P399:Q409">
    <cfRule type="containsText" dxfId="2" priority="48869" operator="containsText" text="Yes">
      <formula>NOT(ISERROR(SEARCH(("Yes"),(P374))))</formula>
    </cfRule>
  </conditionalFormatting>
  <conditionalFormatting sqref="P374:Q374 P376:Q376 P381:Q382 P384:Q385 P389:Q390 P393:Q394 P396:Q396 P399:Q409">
    <cfRule type="containsText" dxfId="2" priority="48870" operator="containsText" text="Yes">
      <formula>NOT(ISERROR(SEARCH(("Yes"),(P374))))</formula>
    </cfRule>
  </conditionalFormatting>
  <conditionalFormatting sqref="P374:Q374 P376:Q376 P381:Q382 P384:Q385 P389:Q390 P393:Q394 P396:Q396 P399:Q409">
    <cfRule type="containsText" dxfId="2" priority="48871" operator="containsText" text="Yes">
      <formula>NOT(ISERROR(SEARCH(("Yes"),(P374))))</formula>
    </cfRule>
  </conditionalFormatting>
  <conditionalFormatting sqref="P374:Q374 P376:Q376 P381:Q382 P384:Q385 P389:Q390 P393:Q394 P396:Q396 P399:Q409">
    <cfRule type="containsText" dxfId="2" priority="48872" operator="containsText" text="Yes">
      <formula>NOT(ISERROR(SEARCH(("Yes"),(P374))))</formula>
    </cfRule>
  </conditionalFormatting>
  <conditionalFormatting sqref="P374:Q374 P376:Q376 P381:Q382 P384:Q385 P389:Q390 P393:Q394 P396:Q396 P399:Q409">
    <cfRule type="containsText" dxfId="2" priority="48873" operator="containsText" text="Yes">
      <formula>NOT(ISERROR(SEARCH(("Yes"),(P374))))</formula>
    </cfRule>
  </conditionalFormatting>
  <conditionalFormatting sqref="P374:Q374 P376:Q376 P381:Q382 P384:Q385 P389:Q390 P393:Q394 P396:Q396 P399:Q409">
    <cfRule type="containsText" dxfId="2" priority="48874" operator="containsText" text="Yes">
      <formula>NOT(ISERROR(SEARCH(("Yes"),(P374))))</formula>
    </cfRule>
  </conditionalFormatting>
  <conditionalFormatting sqref="P374:Q374 P376:Q376 P381:Q382 P384:Q385 P389:Q390 P393:Q394 P396:Q396 P399:Q409">
    <cfRule type="containsText" dxfId="2" priority="48875" operator="containsText" text="Yes">
      <formula>NOT(ISERROR(SEARCH(("Yes"),(P374))))</formula>
    </cfRule>
  </conditionalFormatting>
  <conditionalFormatting sqref="P374:Q374 P376:Q376 P381:Q382 P384:Q385 P389:Q390 P393:Q394 P396:Q396 P399:Q409">
    <cfRule type="containsText" dxfId="2" priority="48876" operator="containsText" text="Yes">
      <formula>NOT(ISERROR(SEARCH(("Yes"),(P374))))</formula>
    </cfRule>
  </conditionalFormatting>
  <conditionalFormatting sqref="P374:Q374 P376:Q376 P381:Q382 P384:Q385 P389:Q390 P393:Q394 P396:Q396 P399:Q409">
    <cfRule type="containsText" dxfId="2" priority="48877" operator="containsText" text="Yes">
      <formula>NOT(ISERROR(SEARCH(("Yes"),(P374))))</formula>
    </cfRule>
  </conditionalFormatting>
  <conditionalFormatting sqref="P374:Q374 P376:Q376 P381:Q382 P384:Q385 P389:Q390 P393:Q394 P396:Q396 P399:Q409">
    <cfRule type="containsText" dxfId="2" priority="48878" operator="containsText" text="Yes">
      <formula>NOT(ISERROR(SEARCH(("Yes"),(P374))))</formula>
    </cfRule>
  </conditionalFormatting>
  <conditionalFormatting sqref="P374:Q374 P376:Q376 P381:Q382 P384:Q385 P389:Q390 P393:Q394 P396:Q396 P399:Q409">
    <cfRule type="containsText" dxfId="2" priority="48879" operator="containsText" text="Yes">
      <formula>NOT(ISERROR(SEARCH(("Yes"),(P374))))</formula>
    </cfRule>
  </conditionalFormatting>
  <conditionalFormatting sqref="P374:Q374 P376:Q376 P381:Q382 P384:Q385 P389:Q390 P393:Q394 P396:Q396 P399:Q409">
    <cfRule type="containsText" dxfId="2" priority="48880" operator="containsText" text="Yes">
      <formula>NOT(ISERROR(SEARCH(("Yes"),(P374))))</formula>
    </cfRule>
  </conditionalFormatting>
  <conditionalFormatting sqref="P374:Q374 P376:Q376 P381:Q382 P384:Q385 P389:Q390 P393:Q394 P396:Q396 P399:Q409">
    <cfRule type="containsText" dxfId="2" priority="48881" operator="containsText" text="Yes">
      <formula>NOT(ISERROR(SEARCH(("Yes"),(P374))))</formula>
    </cfRule>
  </conditionalFormatting>
  <conditionalFormatting sqref="P374:Q374 P376:Q376 P381:Q382 P384:Q385 P389:Q390 P393:Q394 P396:Q396 P399:Q409">
    <cfRule type="containsText" dxfId="2" priority="48882" operator="containsText" text="Yes">
      <formula>NOT(ISERROR(SEARCH(("Yes"),(P374))))</formula>
    </cfRule>
  </conditionalFormatting>
  <conditionalFormatting sqref="P374:Q374 P376:Q376 P381:Q382 P384:Q385 P389:Q390 P393:Q394 P396:Q396 P399:Q409">
    <cfRule type="containsText" dxfId="2" priority="48883" operator="containsText" text="Yes">
      <formula>NOT(ISERROR(SEARCH(("Yes"),(P374))))</formula>
    </cfRule>
  </conditionalFormatting>
  <conditionalFormatting sqref="P374:Q374 P376:Q376 P381:Q382 P384:Q385 P389:Q390 P393:Q394 P396:Q396 P399:Q409">
    <cfRule type="containsText" dxfId="2" priority="48884" operator="containsText" text="Yes">
      <formula>NOT(ISERROR(SEARCH(("Yes"),(P374))))</formula>
    </cfRule>
  </conditionalFormatting>
  <conditionalFormatting sqref="P374:Q374 P376:Q376 P381:Q382 P384:Q385 P389:Q390 P393:Q394 P396:Q396 P399:Q409">
    <cfRule type="containsText" dxfId="2" priority="48885" operator="containsText" text="Yes">
      <formula>NOT(ISERROR(SEARCH(("Yes"),(P374))))</formula>
    </cfRule>
  </conditionalFormatting>
  <conditionalFormatting sqref="P374:Q374 P376:Q376 P381:Q382 P384:Q385 P389:Q390 P393:Q394 P396:Q396 P399:Q409">
    <cfRule type="containsText" dxfId="2" priority="48886" operator="containsText" text="Yes">
      <formula>NOT(ISERROR(SEARCH(("Yes"),(P374))))</formula>
    </cfRule>
  </conditionalFormatting>
  <conditionalFormatting sqref="P374:Q374 P376:Q376 P381:Q382 P384:Q385 P389:Q390 P393:Q394 P396:Q396 P399:Q409">
    <cfRule type="containsText" dxfId="2" priority="48887" operator="containsText" text="Yes">
      <formula>NOT(ISERROR(SEARCH(("Yes"),(P374))))</formula>
    </cfRule>
  </conditionalFormatting>
  <conditionalFormatting sqref="P374:Q374 P376:Q376 P381:Q382 P384:Q385 P389:Q390 P393:Q394 P396:Q396 P399:Q409">
    <cfRule type="containsText" dxfId="2" priority="48888" operator="containsText" text="Yes">
      <formula>NOT(ISERROR(SEARCH(("Yes"),(P374))))</formula>
    </cfRule>
  </conditionalFormatting>
  <conditionalFormatting sqref="P374:Q374 P376:Q376 P381:Q382 P384:Q385 P389:Q390 P393:Q394 P396:Q396 P399:Q409">
    <cfRule type="containsText" dxfId="2" priority="48889" operator="containsText" text="Yes">
      <formula>NOT(ISERROR(SEARCH(("Yes"),(P374))))</formula>
    </cfRule>
  </conditionalFormatting>
  <conditionalFormatting sqref="P374:Q374 P376:Q376 P381:Q382 P384:Q385 P389:Q390 P393:Q394 P396:Q396 P399:Q409">
    <cfRule type="containsText" dxfId="2" priority="48890" operator="containsText" text="Yes">
      <formula>NOT(ISERROR(SEARCH(("Yes"),(P374))))</formula>
    </cfRule>
  </conditionalFormatting>
  <conditionalFormatting sqref="P374:Q374 P376:Q376 P381:Q382 P384:Q385 P389:Q390 P393:Q394 P396:Q396 P399:Q409">
    <cfRule type="containsText" dxfId="2" priority="48891" operator="containsText" text="Yes">
      <formula>NOT(ISERROR(SEARCH(("Yes"),(P374))))</formula>
    </cfRule>
  </conditionalFormatting>
  <conditionalFormatting sqref="P374:Q374 P376:Q376 P381:Q382 P384:Q385 P389:Q390 P393:Q394 P396:Q396 P399:Q409">
    <cfRule type="containsText" dxfId="2" priority="48892" operator="containsText" text="Yes">
      <formula>NOT(ISERROR(SEARCH(("Yes"),(P374))))</formula>
    </cfRule>
  </conditionalFormatting>
  <conditionalFormatting sqref="P374:Q374 P376:Q376 P381:Q382 P384:Q385 P389:Q390 P393:Q394 P396:Q396 P399:Q409">
    <cfRule type="containsText" dxfId="2" priority="48893" operator="containsText" text="Yes">
      <formula>NOT(ISERROR(SEARCH(("Yes"),(P374))))</formula>
    </cfRule>
  </conditionalFormatting>
  <conditionalFormatting sqref="P374:Q374 P376:Q376 P381:Q382 P384:Q385 P389:Q390 P393:Q394 P396:Q396 P399:Q409">
    <cfRule type="containsText" dxfId="2" priority="48894" operator="containsText" text="Yes">
      <formula>NOT(ISERROR(SEARCH(("Yes"),(P374))))</formula>
    </cfRule>
  </conditionalFormatting>
  <conditionalFormatting sqref="P374:Q374 P376:Q376 P381:Q382 P384:Q385 P389:Q390 P393:Q394 P396:Q396 P399:Q409">
    <cfRule type="containsText" dxfId="2" priority="48895" operator="containsText" text="Yes">
      <formula>NOT(ISERROR(SEARCH(("Yes"),(P374))))</formula>
    </cfRule>
  </conditionalFormatting>
  <conditionalFormatting sqref="P374:Q374 P376:Q376 P381:Q382 P384:Q385 P389:Q390 P393:Q394 P396:Q396 P399:Q409">
    <cfRule type="containsText" dxfId="2" priority="48896" operator="containsText" text="Yes">
      <formula>NOT(ISERROR(SEARCH(("Yes"),(P374))))</formula>
    </cfRule>
  </conditionalFormatting>
  <conditionalFormatting sqref="P374:Q374 P376:Q376 P381:Q382 P384:Q385 P389:Q390 P393:Q394 P396:Q396 P399:Q409">
    <cfRule type="containsText" dxfId="2" priority="48897" operator="containsText" text="Yes">
      <formula>NOT(ISERROR(SEARCH(("Yes"),(P374))))</formula>
    </cfRule>
  </conditionalFormatting>
  <conditionalFormatting sqref="P374:Q374 P376:Q376 P381:Q382 P384:Q385 P389:Q390 P393:Q394 P396:Q396 P399:Q409">
    <cfRule type="containsText" dxfId="2" priority="48898" operator="containsText" text="Yes">
      <formula>NOT(ISERROR(SEARCH(("Yes"),(P374))))</formula>
    </cfRule>
  </conditionalFormatting>
  <conditionalFormatting sqref="P374:Q374 P376:Q376 P381:Q382 P384:Q385 P389:Q390 P393:Q394 P396:Q396 P399:Q409">
    <cfRule type="containsText" dxfId="2" priority="48899" operator="containsText" text="Yes">
      <formula>NOT(ISERROR(SEARCH(("Yes"),(P374))))</formula>
    </cfRule>
  </conditionalFormatting>
  <conditionalFormatting sqref="P374:Q374 P376:Q376 P381:Q382 P384:Q385 P389:Q390 P393:Q394 P396:Q396 P399:Q409">
    <cfRule type="containsText" dxfId="2" priority="48900" operator="containsText" text="Yes">
      <formula>NOT(ISERROR(SEARCH(("Yes"),(P374))))</formula>
    </cfRule>
  </conditionalFormatting>
  <conditionalFormatting sqref="P374:Q374 P376:Q376 P381:Q382 P384:Q385 P389:Q390 P393:Q394 P396:Q396 P399:Q409">
    <cfRule type="containsText" dxfId="2" priority="48901" operator="containsText" text="Yes">
      <formula>NOT(ISERROR(SEARCH(("Yes"),(P374))))</formula>
    </cfRule>
  </conditionalFormatting>
  <conditionalFormatting sqref="P374:Q374 P376:Q376 P381:Q382 P384:Q385 P389:Q390 P393:Q394 P396:Q396 P399:Q409">
    <cfRule type="containsText" dxfId="2" priority="48902" operator="containsText" text="Yes">
      <formula>NOT(ISERROR(SEARCH(("Yes"),(P374))))</formula>
    </cfRule>
  </conditionalFormatting>
  <conditionalFormatting sqref="P374:Q374 P376:Q376 P381:Q382 P384:Q385 P389:Q390 P393:Q394 P396:Q396 P399:Q409">
    <cfRule type="containsText" dxfId="2" priority="48903" operator="containsText" text="Yes">
      <formula>NOT(ISERROR(SEARCH(("Yes"),(P374))))</formula>
    </cfRule>
  </conditionalFormatting>
  <conditionalFormatting sqref="P374:Q374 P376:Q376 P381:Q382 P384:Q385 P389:Q390 P393:Q394 P396:Q396 P399:Q409">
    <cfRule type="containsText" dxfId="2" priority="48904" operator="containsText" text="Yes">
      <formula>NOT(ISERROR(SEARCH(("Yes"),(P374))))</formula>
    </cfRule>
  </conditionalFormatting>
  <conditionalFormatting sqref="P374:Q374 P376:Q376 P381:Q382 P384:Q385 P389:Q390 P393:Q394 P396:Q396 P399:Q409">
    <cfRule type="containsText" dxfId="2" priority="48905" operator="containsText" text="Yes">
      <formula>NOT(ISERROR(SEARCH(("Yes"),(P374))))</formula>
    </cfRule>
  </conditionalFormatting>
  <conditionalFormatting sqref="P374:Q374 P376:Q376 P381:Q382 P384:Q385 P389:Q390 P393:Q394 P396:Q396 P399:Q409">
    <cfRule type="containsText" dxfId="2" priority="48906" operator="containsText" text="Yes">
      <formula>NOT(ISERROR(SEARCH(("Yes"),(P374))))</formula>
    </cfRule>
  </conditionalFormatting>
  <conditionalFormatting sqref="P374:Q374 P376:Q376 P381:Q382 P384:Q385 P389:Q390 P393:Q394 P396:Q396 P399:Q409">
    <cfRule type="containsText" dxfId="2" priority="48907" operator="containsText" text="Yes">
      <formula>NOT(ISERROR(SEARCH(("Yes"),(P374))))</formula>
    </cfRule>
  </conditionalFormatting>
  <conditionalFormatting sqref="P374:Q374 P376:Q376 P381:Q382 P384:Q385 P389:Q390 P393:Q394 P396:Q396 P399:Q409">
    <cfRule type="containsText" dxfId="2" priority="48908" operator="containsText" text="Yes">
      <formula>NOT(ISERROR(SEARCH(("Yes"),(P374))))</formula>
    </cfRule>
  </conditionalFormatting>
  <conditionalFormatting sqref="P374:Q374 P376:Q376 P381:Q382 P384:Q385 P389:Q390 P393:Q394 P396:Q396 P399:Q409">
    <cfRule type="containsText" dxfId="2" priority="48909" operator="containsText" text="Yes">
      <formula>NOT(ISERROR(SEARCH(("Yes"),(P374))))</formula>
    </cfRule>
  </conditionalFormatting>
  <conditionalFormatting sqref="N374:O374 N376:O376 N379:O379 N381:O382 N384:O385 N389:O390 N393:N396 N399:O409 O393:O394 O396">
    <cfRule type="containsText" dxfId="9" priority="48910" operator="containsText" text="No">
      <formula>NOT(ISERROR(SEARCH(("No"),(N374))))</formula>
    </cfRule>
  </conditionalFormatting>
  <conditionalFormatting sqref="N374:O374 N376:O376 N379:O379 N381:O382 N384:O385 N389:O390 N393:N396 N399:O409 O393:O394 O396">
    <cfRule type="containsText" dxfId="9" priority="48911" operator="containsText" text="No">
      <formula>NOT(ISERROR(SEARCH(("No"),(N374))))</formula>
    </cfRule>
  </conditionalFormatting>
  <conditionalFormatting sqref="N374:O374 N376:O376 N379:O379 N381:O382 N384:O385 N389:O390 N393:N396 N399:O409 O393:O394 O396">
    <cfRule type="containsText" dxfId="9" priority="48912" operator="containsText" text="No">
      <formula>NOT(ISERROR(SEARCH(("No"),(N374))))</formula>
    </cfRule>
  </conditionalFormatting>
  <conditionalFormatting sqref="N374:O374 N376:O376 N379:O379 N381:O382 N384:O385 N389:O390 N393:N396 N399:O409 O393:O394 O396">
    <cfRule type="containsText" dxfId="9" priority="48913" operator="containsText" text="No">
      <formula>NOT(ISERROR(SEARCH(("No"),(N374))))</formula>
    </cfRule>
  </conditionalFormatting>
  <conditionalFormatting sqref="N374:O374 N376:O376 N379:O379 N381:O382 N384:O385 N389:O390 N393:N396 N399:O409 O393:O394 O396">
    <cfRule type="containsText" dxfId="9" priority="48914" operator="containsText" text="No">
      <formula>NOT(ISERROR(SEARCH(("No"),(N374))))</formula>
    </cfRule>
  </conditionalFormatting>
  <conditionalFormatting sqref="N374:O374 N376:O376 N379:O379 N381:O382 N384:O385 N389:O390 N393:N396 N399:O409 O393:O394 O396">
    <cfRule type="containsText" dxfId="9" priority="48915" operator="containsText" text="No">
      <formula>NOT(ISERROR(SEARCH(("No"),(N374))))</formula>
    </cfRule>
  </conditionalFormatting>
  <conditionalFormatting sqref="N374:O374 N376:O376 N379:O379 N381:O382 N384:O385 N389:O390 N393:N396 N399:O409 O393:O394 O396">
    <cfRule type="containsText" dxfId="9" priority="48916" operator="containsText" text="No">
      <formula>NOT(ISERROR(SEARCH(("No"),(N374))))</formula>
    </cfRule>
  </conditionalFormatting>
  <conditionalFormatting sqref="N374:O374 N376:O376 N379:O379 N381:O382 N384:O385 N389:O390 N393:N396 N399:O409 O393:O394 O396">
    <cfRule type="containsText" dxfId="9" priority="48917" operator="containsText" text="No">
      <formula>NOT(ISERROR(SEARCH(("No"),(N374))))</formula>
    </cfRule>
  </conditionalFormatting>
  <conditionalFormatting sqref="N374:O374 N376:O376 N379:O379 N381:O382 N384:O385 N389:O390 N393:N396 N399:O409 O393:O394 O396">
    <cfRule type="containsText" dxfId="9" priority="48918" operator="containsText" text="No">
      <formula>NOT(ISERROR(SEARCH(("No"),(N374))))</formula>
    </cfRule>
  </conditionalFormatting>
  <conditionalFormatting sqref="N374:O374 N376:O376 N379:O379 N381:O382 N384:O385 N389:O390 N393:N396 N399:O409 O393:O394 O396">
    <cfRule type="containsText" dxfId="9" priority="48919" operator="containsText" text="No">
      <formula>NOT(ISERROR(SEARCH(("No"),(N374))))</formula>
    </cfRule>
  </conditionalFormatting>
  <conditionalFormatting sqref="N374:O374 N376:O376 N379:O379 N381:O382 N384:O385 N389:O390 N393:N396 N399:O409 O393:O394 O396">
    <cfRule type="containsText" dxfId="9" priority="48920" operator="containsText" text="No">
      <formula>NOT(ISERROR(SEARCH(("No"),(N374))))</formula>
    </cfRule>
  </conditionalFormatting>
  <conditionalFormatting sqref="N374:O374 N376:O376 N379:O379 N381:O382 N384:O385 N389:O390 N393:N396 N399:O409 O393:O394 O396">
    <cfRule type="containsText" dxfId="9" priority="48921" operator="containsText" text="No">
      <formula>NOT(ISERROR(SEARCH(("No"),(N374))))</formula>
    </cfRule>
  </conditionalFormatting>
  <conditionalFormatting sqref="N374:O374 N376:O376 N379:O379 N381:O382 N384:O385 N389:O390 N393:N396 N399:O409 O393:O394 O396">
    <cfRule type="containsText" dxfId="9" priority="48922" operator="containsText" text="No">
      <formula>NOT(ISERROR(SEARCH(("No"),(N374))))</formula>
    </cfRule>
  </conditionalFormatting>
  <conditionalFormatting sqref="N374:O374 N376:O376 N379:O379 N381:O382 N384:O385 N389:O390 N393:N396 N399:O409 O393:O394 O396">
    <cfRule type="containsText" dxfId="9" priority="48923" operator="containsText" text="No">
      <formula>NOT(ISERROR(SEARCH(("No"),(N374))))</formula>
    </cfRule>
  </conditionalFormatting>
  <conditionalFormatting sqref="N374:O374 N376:O376 N379:O379 N381:O382 N384:O385 N389:O390 N393:N396 N399:O409 O393:O394 O396">
    <cfRule type="containsText" dxfId="9" priority="48924" operator="containsText" text="No">
      <formula>NOT(ISERROR(SEARCH(("No"),(N374))))</formula>
    </cfRule>
  </conditionalFormatting>
  <conditionalFormatting sqref="N374:O374 N376:O376 N379:O379 N381:O382 N384:O385 N389:O390 N393:N396 N399:O409 O393:O394 O396">
    <cfRule type="containsText" dxfId="9" priority="48925" operator="containsText" text="No">
      <formula>NOT(ISERROR(SEARCH(("No"),(N374))))</formula>
    </cfRule>
  </conditionalFormatting>
  <conditionalFormatting sqref="N374:O374 N376:O376 N379:O379 N381:O382 N384:O385 N389:O390 N393:N396 N399:O409 O393:O394 O396">
    <cfRule type="containsText" dxfId="9" priority="48926" operator="containsText" text="No">
      <formula>NOT(ISERROR(SEARCH(("No"),(N374))))</formula>
    </cfRule>
  </conditionalFormatting>
  <conditionalFormatting sqref="N374:O374 N376:O376 N379:O379 N381:O382 N384:O385 N389:O390 N393:N396 N399:O409 O393:O394 O396">
    <cfRule type="containsText" dxfId="9" priority="48927" operator="containsText" text="No">
      <formula>NOT(ISERROR(SEARCH(("No"),(N374))))</formula>
    </cfRule>
  </conditionalFormatting>
  <conditionalFormatting sqref="N374:O374 N376:O376 N379:O379 N381:O382 N384:O385 N389:O390 N393:N396 N399:O409 O393:O394 O396">
    <cfRule type="containsText" dxfId="9" priority="48928" operator="containsText" text="No">
      <formula>NOT(ISERROR(SEARCH(("No"),(N374))))</formula>
    </cfRule>
  </conditionalFormatting>
  <conditionalFormatting sqref="N374:O374 N376:O376 N379:O379 N381:O382 N384:O385 N389:O390 N393:N396 N399:O409 O393:O394 O396">
    <cfRule type="containsText" dxfId="9" priority="48929" operator="containsText" text="No">
      <formula>NOT(ISERROR(SEARCH(("No"),(N374))))</formula>
    </cfRule>
  </conditionalFormatting>
  <conditionalFormatting sqref="N374:O374 N376:O376 N379:O379 N381:O382 N384:O385 N389:O390 N393:N396 N399:O409 O393:O394 O396">
    <cfRule type="containsText" dxfId="9" priority="48930" operator="containsText" text="No">
      <formula>NOT(ISERROR(SEARCH(("No"),(N374))))</formula>
    </cfRule>
  </conditionalFormatting>
  <conditionalFormatting sqref="N374:O374 N376:O376 N379:O379 N381:O382 N384:O385 N389:O390 N393:N396 N399:O409 O393:O394 O396">
    <cfRule type="containsText" dxfId="9" priority="48931" operator="containsText" text="No">
      <formula>NOT(ISERROR(SEARCH(("No"),(N374))))</formula>
    </cfRule>
  </conditionalFormatting>
  <conditionalFormatting sqref="N374:O374 N376:O376 N379:O379 N381:O382 N384:O385 N389:O390 N393:N396 N399:O409 O393:O394 O396">
    <cfRule type="containsText" dxfId="9" priority="48932" operator="containsText" text="No">
      <formula>NOT(ISERROR(SEARCH(("No"),(N374))))</formula>
    </cfRule>
  </conditionalFormatting>
  <conditionalFormatting sqref="N374:O374 N376:O376 N379:O379 N381:O382 N384:O385 N389:O390 N393:N396 N399:O409 O393:O394 O396">
    <cfRule type="containsText" dxfId="9" priority="48933" operator="containsText" text="No">
      <formula>NOT(ISERROR(SEARCH(("No"),(N374))))</formula>
    </cfRule>
  </conditionalFormatting>
  <conditionalFormatting sqref="N374:O374 N376:O376 N379:O379 N381:O382 N384:O385 N389:O390 N393:N396 N399:O409 O393:O394 O396">
    <cfRule type="containsText" dxfId="9" priority="48934" operator="containsText" text="No">
      <formula>NOT(ISERROR(SEARCH(("No"),(N374))))</formula>
    </cfRule>
  </conditionalFormatting>
  <conditionalFormatting sqref="N374:O374 N376:O376 N379:O379 N381:O382 N384:O385 N389:O390 N393:N396 N399:O409 O393:O394 O396">
    <cfRule type="containsText" dxfId="9" priority="48935" operator="containsText" text="No">
      <formula>NOT(ISERROR(SEARCH(("No"),(N374))))</formula>
    </cfRule>
  </conditionalFormatting>
  <conditionalFormatting sqref="N374:O374 N376:O376 N379:O379 N381:O382 N384:O385 N389:O390 N393:N396 N399:O409 O393:O394 O396">
    <cfRule type="containsText" dxfId="9" priority="48936" operator="containsText" text="No">
      <formula>NOT(ISERROR(SEARCH(("No"),(N374))))</formula>
    </cfRule>
  </conditionalFormatting>
  <conditionalFormatting sqref="N374:O374 N376:O376 N379:O379 N381:O382 N384:O385 N389:O390 N393:N396 N399:O409 O393:O394 O396">
    <cfRule type="containsText" dxfId="9" priority="48937" operator="containsText" text="No">
      <formula>NOT(ISERROR(SEARCH(("No"),(N374))))</formula>
    </cfRule>
  </conditionalFormatting>
  <conditionalFormatting sqref="N374:O374 N376:O376 N379:O379 N381:O382 N384:O385 N389:O390 N393:N396 N399:O409 O393:O394 O396">
    <cfRule type="containsText" dxfId="9" priority="48938" operator="containsText" text="No">
      <formula>NOT(ISERROR(SEARCH(("No"),(N374))))</formula>
    </cfRule>
  </conditionalFormatting>
  <conditionalFormatting sqref="N374:O374 N376:O376 N379:O379 N381:O382 N384:O385 N389:O390 N393:N396 N399:O409 O393:O394 O396">
    <cfRule type="containsText" dxfId="9" priority="48939" operator="containsText" text="No">
      <formula>NOT(ISERROR(SEARCH(("No"),(N374))))</formula>
    </cfRule>
  </conditionalFormatting>
  <conditionalFormatting sqref="N374:O374 N376:O376 N379:O379 N381:O382 N384:O385 N389:O390 N393:N396 N399:O409 O393:O394 O396">
    <cfRule type="containsText" dxfId="9" priority="48940" operator="containsText" text="No">
      <formula>NOT(ISERROR(SEARCH(("No"),(N374))))</formula>
    </cfRule>
  </conditionalFormatting>
  <conditionalFormatting sqref="N374:O374 N376:O376 N379:O379 N381:O382 N384:O385 N389:O390 N393:N396 N399:O409 O393:O394 O396">
    <cfRule type="containsText" dxfId="9" priority="48941" operator="containsText" text="No">
      <formula>NOT(ISERROR(SEARCH(("No"),(N374))))</formula>
    </cfRule>
  </conditionalFormatting>
  <conditionalFormatting sqref="N374:O374 N376:O376 N379:O379 N381:O382 N384:O385 N389:O390 N393:N396 N399:O409 O393:O394 O396">
    <cfRule type="containsText" dxfId="9" priority="48942" operator="containsText" text="No">
      <formula>NOT(ISERROR(SEARCH(("No"),(N374))))</formula>
    </cfRule>
  </conditionalFormatting>
  <conditionalFormatting sqref="N374:O374 N376:O376 N379:O379 N381:O382 N384:O385 N389:O390 N393:N396 N399:O409 O393:O394 O396">
    <cfRule type="containsText" dxfId="9" priority="48943" operator="containsText" text="No">
      <formula>NOT(ISERROR(SEARCH(("No"),(N374))))</formula>
    </cfRule>
  </conditionalFormatting>
  <conditionalFormatting sqref="N374:O374 N376:O376 N379:O379 N381:O382 N384:O385 N389:O390 N393:N396 N399:O409 O393:O394 O396">
    <cfRule type="containsText" dxfId="9" priority="48944" operator="containsText" text="No">
      <formula>NOT(ISERROR(SEARCH(("No"),(N374))))</formula>
    </cfRule>
  </conditionalFormatting>
  <conditionalFormatting sqref="N374:O374 N376:O376 N379:O379 N381:O382 N384:O385 N389:O390 N393:N396 N399:O409 O393:O394 O396">
    <cfRule type="containsText" dxfId="9" priority="48945" operator="containsText" text="No">
      <formula>NOT(ISERROR(SEARCH(("No"),(N374))))</formula>
    </cfRule>
  </conditionalFormatting>
  <conditionalFormatting sqref="N374:O374 N376:O376 N379:O379 N381:O382 N384:O385 N389:O390 N393:N396 N399:O409 O393:O394 O396">
    <cfRule type="containsText" dxfId="9" priority="48946" operator="containsText" text="No">
      <formula>NOT(ISERROR(SEARCH(("No"),(N374))))</formula>
    </cfRule>
  </conditionalFormatting>
  <conditionalFormatting sqref="N374:O374 N376:O376 N379:O379 N381:O382 N384:O385 N389:O390 N393:N396 N399:O409 O393:O394 O396">
    <cfRule type="containsText" dxfId="9" priority="48947" operator="containsText" text="No">
      <formula>NOT(ISERROR(SEARCH(("No"),(N374))))</formula>
    </cfRule>
  </conditionalFormatting>
  <conditionalFormatting sqref="N374:O374 N376:O376 N379:O379 N381:O382 N384:O385 N389:O390 N393:N396 N399:O409 O393:O394 O396">
    <cfRule type="containsText" dxfId="9" priority="48948" operator="containsText" text="No">
      <formula>NOT(ISERROR(SEARCH(("No"),(N374))))</formula>
    </cfRule>
  </conditionalFormatting>
  <conditionalFormatting sqref="N374:O374 N376:O376 N379:O379 N381:O382 N384:O385 N389:O390 N393:N396 N399:O409 O393:O394 O396">
    <cfRule type="containsText" dxfId="9" priority="48949" operator="containsText" text="No">
      <formula>NOT(ISERROR(SEARCH(("No"),(N374))))</formula>
    </cfRule>
  </conditionalFormatting>
  <conditionalFormatting sqref="N374:O374 N376:O376 N379:O379 N381:O382 N384:O385 N389:O390 N393:N396 N399:O409 O393:O394 O396">
    <cfRule type="containsText" dxfId="9" priority="48950" operator="containsText" text="No">
      <formula>NOT(ISERROR(SEARCH(("No"),(N374))))</formula>
    </cfRule>
  </conditionalFormatting>
  <conditionalFormatting sqref="N374:O374 N376:O376 N379:O379 N381:O382 N384:O385 N389:O390 N393:N396 N399:O409 O393:O394 O396">
    <cfRule type="containsText" dxfId="9" priority="48951" operator="containsText" text="No">
      <formula>NOT(ISERROR(SEARCH(("No"),(N374))))</formula>
    </cfRule>
  </conditionalFormatting>
  <conditionalFormatting sqref="N374:O374 N376:O376 N379:O379 N381:O382 N384:O385 N389:O390 N393:N396 N399:O409 O393:O394 O396">
    <cfRule type="containsText" dxfId="9" priority="48952" operator="containsText" text="No">
      <formula>NOT(ISERROR(SEARCH(("No"),(N374))))</formula>
    </cfRule>
  </conditionalFormatting>
  <conditionalFormatting sqref="N374:O374 N376:O376 N379:O379 N381:O382 N384:O385 N389:O390 N393:N396 N399:O409 O393:O394 O396">
    <cfRule type="containsText" dxfId="9" priority="48953" operator="containsText" text="No">
      <formula>NOT(ISERROR(SEARCH(("No"),(N374))))</formula>
    </cfRule>
  </conditionalFormatting>
  <conditionalFormatting sqref="N374:O374 N376:O376 N379:O379 N381:O382 N384:O385 N389:O390 N393:N396 N399:O409 O393:O394 O396">
    <cfRule type="containsText" dxfId="9" priority="48954" operator="containsText" text="No">
      <formula>NOT(ISERROR(SEARCH(("No"),(N374))))</formula>
    </cfRule>
  </conditionalFormatting>
  <conditionalFormatting sqref="N374:O374 N376:O376 N379:O379 N381:O382 N384:O385 N389:O390 N393:N396 N399:O409 O393:O394 O396">
    <cfRule type="containsText" dxfId="2" priority="48955" operator="containsText" text="Yes">
      <formula>NOT(ISERROR(SEARCH(("Yes"),(N374))))</formula>
    </cfRule>
  </conditionalFormatting>
  <conditionalFormatting sqref="N374:O374 N376:O376 N379:O379 N381:O382 N384:O385 N389:O390 N393:N396 N399:O409 O393:O394 O396">
    <cfRule type="containsText" dxfId="2" priority="48956" operator="containsText" text="Yes">
      <formula>NOT(ISERROR(SEARCH(("Yes"),(N374))))</formula>
    </cfRule>
  </conditionalFormatting>
  <conditionalFormatting sqref="N374:O374 N376:O376 N379:O379 N381:O382 N384:O385 N389:O390 N393:N396 N399:O409 O393:O394 O396">
    <cfRule type="containsText" dxfId="2" priority="48957" operator="containsText" text="Yes">
      <formula>NOT(ISERROR(SEARCH(("Yes"),(N374))))</formula>
    </cfRule>
  </conditionalFormatting>
  <conditionalFormatting sqref="N374:O374 N376:O376 N379:O379 N381:O382 N384:O385 N389:O390 N393:N396 N399:O409 O393:O394 O396">
    <cfRule type="containsText" dxfId="2" priority="48958" operator="containsText" text="Yes">
      <formula>NOT(ISERROR(SEARCH(("Yes"),(N374))))</formula>
    </cfRule>
  </conditionalFormatting>
  <conditionalFormatting sqref="N374:O374 N376:O376 N379:O379 N381:O382 N384:O385 N389:O390 N393:N396 N399:O409 O393:O394 O396">
    <cfRule type="containsText" dxfId="2" priority="48959" operator="containsText" text="Yes">
      <formula>NOT(ISERROR(SEARCH(("Yes"),(N374))))</formula>
    </cfRule>
  </conditionalFormatting>
  <conditionalFormatting sqref="N374:O374 N376:O376 N379:O379 N381:O382 N384:O385 N389:O390 N393:N396 N399:O409 O393:O394 O396">
    <cfRule type="containsText" dxfId="2" priority="48960" operator="containsText" text="Yes">
      <formula>NOT(ISERROR(SEARCH(("Yes"),(N374))))</formula>
    </cfRule>
  </conditionalFormatting>
  <conditionalFormatting sqref="N374:O374 N376:O376 N379:O379 N381:O382 N384:O385 N389:O390 N393:N396 N399:O409 O393:O394 O396">
    <cfRule type="containsText" dxfId="2" priority="48961" operator="containsText" text="Yes">
      <formula>NOT(ISERROR(SEARCH(("Yes"),(N374))))</formula>
    </cfRule>
  </conditionalFormatting>
  <conditionalFormatting sqref="N374:O374 N376:O376 N379:O379 N381:O382 N384:O385 N389:O390 N393:N396 N399:O409 O393:O394 O396">
    <cfRule type="containsText" dxfId="2" priority="48962" operator="containsText" text="Yes">
      <formula>NOT(ISERROR(SEARCH(("Yes"),(N374))))</formula>
    </cfRule>
  </conditionalFormatting>
  <conditionalFormatting sqref="N374:O374 N376:O376 N379:O379 N381:O382 N384:O385 N389:O390 N393:N396 N399:O409 O393:O394 O396">
    <cfRule type="containsText" dxfId="2" priority="48963" operator="containsText" text="Yes">
      <formula>NOT(ISERROR(SEARCH(("Yes"),(N374))))</formula>
    </cfRule>
  </conditionalFormatting>
  <conditionalFormatting sqref="N374:O374 N376:O376 N379:O379 N381:O382 N384:O385 N389:O390 N393:N396 N399:O409 O393:O394 O396">
    <cfRule type="containsText" dxfId="2" priority="48964" operator="containsText" text="Yes">
      <formula>NOT(ISERROR(SEARCH(("Yes"),(N374))))</formula>
    </cfRule>
  </conditionalFormatting>
  <conditionalFormatting sqref="N374:O374 N376:O376 N379:O379 N381:O382 N384:O385 N389:O390 N393:N396 N399:O409 O393:O394 O396">
    <cfRule type="containsText" dxfId="2" priority="48965" operator="containsText" text="Yes">
      <formula>NOT(ISERROR(SEARCH(("Yes"),(N374))))</formula>
    </cfRule>
  </conditionalFormatting>
  <conditionalFormatting sqref="N374:O374 N376:O376 N379:O379 N381:O382 N384:O385 N389:O390 N393:N396 N399:O409 O393:O394 O396">
    <cfRule type="containsText" dxfId="2" priority="48966" operator="containsText" text="Yes">
      <formula>NOT(ISERROR(SEARCH(("Yes"),(N374))))</formula>
    </cfRule>
  </conditionalFormatting>
  <conditionalFormatting sqref="N374:O374 N376:O376 N379:O379 N381:O382 N384:O385 N389:O390 N393:N396 N399:O409 O393:O394 O396">
    <cfRule type="containsText" dxfId="2" priority="48967" operator="containsText" text="Yes">
      <formula>NOT(ISERROR(SEARCH(("Yes"),(N374))))</formula>
    </cfRule>
  </conditionalFormatting>
  <conditionalFormatting sqref="N374:O374 N376:O376 N379:O379 N381:O382 N384:O385 N389:O390 N393:N396 N399:O409 O393:O394 O396">
    <cfRule type="containsText" dxfId="2" priority="48968" operator="containsText" text="Yes">
      <formula>NOT(ISERROR(SEARCH(("Yes"),(N374))))</formula>
    </cfRule>
  </conditionalFormatting>
  <conditionalFormatting sqref="N374:O374 N376:O376 N379:O379 N381:O382 N384:O385 N389:O390 N393:N396 N399:O409 O393:O394 O396">
    <cfRule type="containsText" dxfId="2" priority="48969" operator="containsText" text="Yes">
      <formula>NOT(ISERROR(SEARCH(("Yes"),(N374))))</formula>
    </cfRule>
  </conditionalFormatting>
  <conditionalFormatting sqref="N374:O374 N376:O376 N379:O379 N381:O382 N384:O385 N389:O390 N393:N396 N399:O409 O393:O394 O396">
    <cfRule type="containsText" dxfId="2" priority="48970" operator="containsText" text="Yes">
      <formula>NOT(ISERROR(SEARCH(("Yes"),(N374))))</formula>
    </cfRule>
  </conditionalFormatting>
  <conditionalFormatting sqref="N374:O374 N376:O376 N379:O379 N381:O382 N384:O385 N389:O390 N393:N396 N399:O409 O393:O394 O396">
    <cfRule type="containsText" dxfId="2" priority="48971" operator="containsText" text="Yes">
      <formula>NOT(ISERROR(SEARCH(("Yes"),(N374))))</formula>
    </cfRule>
  </conditionalFormatting>
  <conditionalFormatting sqref="N374:O374 N376:O376 N379:O379 N381:O382 N384:O385 N389:O390 N393:N396 N399:O409 O393:O394 O396">
    <cfRule type="containsText" dxfId="2" priority="48972" operator="containsText" text="Yes">
      <formula>NOT(ISERROR(SEARCH(("Yes"),(N374))))</formula>
    </cfRule>
  </conditionalFormatting>
  <conditionalFormatting sqref="N374:O374 N376:O376 N379:O379 N381:O382 N384:O385 N389:O390 N393:N396 N399:O409 O393:O394 O396">
    <cfRule type="containsText" dxfId="2" priority="48973" operator="containsText" text="Yes">
      <formula>NOT(ISERROR(SEARCH(("Yes"),(N374))))</formula>
    </cfRule>
  </conditionalFormatting>
  <conditionalFormatting sqref="N374:O374 N376:O376 N379:O379 N381:O382 N384:O385 N389:O390 N393:N396 N399:O409 O393:O394 O396">
    <cfRule type="containsText" dxfId="2" priority="48974" operator="containsText" text="Yes">
      <formula>NOT(ISERROR(SEARCH(("Yes"),(N374))))</formula>
    </cfRule>
  </conditionalFormatting>
  <conditionalFormatting sqref="N374:O374 N376:O376 N379:O379 N381:O382 N384:O385 N389:O390 N393:N396 N399:O409 O393:O394 O396">
    <cfRule type="containsText" dxfId="2" priority="48975" operator="containsText" text="Yes">
      <formula>NOT(ISERROR(SEARCH(("Yes"),(N374))))</formula>
    </cfRule>
  </conditionalFormatting>
  <conditionalFormatting sqref="N374:O374 N376:O376 N379:O379 N381:O382 N384:O385 N389:O390 N393:N396 N399:O409 O393:O394 O396">
    <cfRule type="containsText" dxfId="2" priority="48976" operator="containsText" text="Yes">
      <formula>NOT(ISERROR(SEARCH(("Yes"),(N374))))</formula>
    </cfRule>
  </conditionalFormatting>
  <conditionalFormatting sqref="N374:O374 N376:O376 N379:O379 N381:O382 N384:O385 N389:O390 N393:N396 N399:O409 O393:O394 O396">
    <cfRule type="containsText" dxfId="2" priority="48977" operator="containsText" text="Yes">
      <formula>NOT(ISERROR(SEARCH(("Yes"),(N374))))</formula>
    </cfRule>
  </conditionalFormatting>
  <conditionalFormatting sqref="N374:O374 N376:O376 N379:O379 N381:O382 N384:O385 N389:O390 N393:N396 N399:O409 O393:O394 O396">
    <cfRule type="containsText" dxfId="2" priority="48978" operator="containsText" text="Yes">
      <formula>NOT(ISERROR(SEARCH(("Yes"),(N374))))</formula>
    </cfRule>
  </conditionalFormatting>
  <conditionalFormatting sqref="N374:O374 N376:O376 N379:O379 N381:O382 N384:O385 N389:O390 N393:N396 N399:O409 O393:O394 O396">
    <cfRule type="containsText" dxfId="2" priority="48979" operator="containsText" text="Yes">
      <formula>NOT(ISERROR(SEARCH(("Yes"),(N374))))</formula>
    </cfRule>
  </conditionalFormatting>
  <conditionalFormatting sqref="N374:O374 N376:O376 N379:O379 N381:O382 N384:O385 N389:O390 N393:N396 N399:O409 O393:O394 O396">
    <cfRule type="containsText" dxfId="2" priority="48980" operator="containsText" text="Yes">
      <formula>NOT(ISERROR(SEARCH(("Yes"),(N374))))</formula>
    </cfRule>
  </conditionalFormatting>
  <conditionalFormatting sqref="N374:O374 N376:O376 N379:O379 N381:O382 N384:O385 N389:O390 N393:N396 N399:O409 O393:O394 O396">
    <cfRule type="containsText" dxfId="2" priority="48981" operator="containsText" text="Yes">
      <formula>NOT(ISERROR(SEARCH(("Yes"),(N374))))</formula>
    </cfRule>
  </conditionalFormatting>
  <conditionalFormatting sqref="N374:O374 N376:O376 N379:O379 N381:O382 N384:O385 N389:O390 N393:N396 N399:O409 O393:O394 O396">
    <cfRule type="containsText" dxfId="2" priority="48982" operator="containsText" text="Yes">
      <formula>NOT(ISERROR(SEARCH(("Yes"),(N374))))</formula>
    </cfRule>
  </conditionalFormatting>
  <conditionalFormatting sqref="N374:O374 N376:O376 N379:O379 N381:O382 N384:O385 N389:O390 N393:N396 N399:O409 O393:O394 O396">
    <cfRule type="containsText" dxfId="2" priority="48983" operator="containsText" text="Yes">
      <formula>NOT(ISERROR(SEARCH(("Yes"),(N374))))</formula>
    </cfRule>
  </conditionalFormatting>
  <conditionalFormatting sqref="N374:O374 N376:O376 N379:O379 N381:O382 N384:O385 N389:O390 N393:N396 N399:O409 O393:O394 O396">
    <cfRule type="containsText" dxfId="2" priority="48984" operator="containsText" text="Yes">
      <formula>NOT(ISERROR(SEARCH(("Yes"),(N374))))</formula>
    </cfRule>
  </conditionalFormatting>
  <conditionalFormatting sqref="N374:O374 N376:O376 N379:O379 N381:O382 N384:O385 N389:O390 N393:N396 N399:O409 O393:O394 O396">
    <cfRule type="containsText" dxfId="2" priority="48985" operator="containsText" text="Yes">
      <formula>NOT(ISERROR(SEARCH(("Yes"),(N374))))</formula>
    </cfRule>
  </conditionalFormatting>
  <conditionalFormatting sqref="N374:O374 N376:O376 N379:O379 N381:O382 N384:O385 N389:O390 N393:N396 N399:O409 O393:O394 O396">
    <cfRule type="containsText" dxfId="2" priority="48986" operator="containsText" text="Yes">
      <formula>NOT(ISERROR(SEARCH(("Yes"),(N374))))</formula>
    </cfRule>
  </conditionalFormatting>
  <conditionalFormatting sqref="N374:O374 N376:O376 N379:O379 N381:O382 N384:O385 N389:O390 N393:N396 N399:O409 O393:O394 O396">
    <cfRule type="containsText" dxfId="2" priority="48987" operator="containsText" text="Yes">
      <formula>NOT(ISERROR(SEARCH(("Yes"),(N374))))</formula>
    </cfRule>
  </conditionalFormatting>
  <conditionalFormatting sqref="N374:O374 N376:O376 N379:O379 N381:O382 N384:O385 N389:O390 N393:N396 N399:O409 O393:O394 O396">
    <cfRule type="containsText" dxfId="2" priority="48988" operator="containsText" text="Yes">
      <formula>NOT(ISERROR(SEARCH(("Yes"),(N374))))</formula>
    </cfRule>
  </conditionalFormatting>
  <conditionalFormatting sqref="N374:O374 N376:O376 N379:O379 N381:O382 N384:O385 N389:O390 N393:N396 N399:O409 O393:O394 O396">
    <cfRule type="containsText" dxfId="2" priority="48989" operator="containsText" text="Yes">
      <formula>NOT(ISERROR(SEARCH(("Yes"),(N374))))</formula>
    </cfRule>
  </conditionalFormatting>
  <conditionalFormatting sqref="N374:O374 N376:O376 N379:O379 N381:O382 N384:O385 N389:O390 N393:N396 N399:O409 O393:O394 O396">
    <cfRule type="containsText" dxfId="2" priority="48990" operator="containsText" text="Yes">
      <formula>NOT(ISERROR(SEARCH(("Yes"),(N374))))</formula>
    </cfRule>
  </conditionalFormatting>
  <conditionalFormatting sqref="N374:O374 N376:O376 N379:O379 N381:O382 N384:O385 N389:O390 N393:N396 N399:O409 O393:O394 O396">
    <cfRule type="containsText" dxfId="2" priority="48991" operator="containsText" text="Yes">
      <formula>NOT(ISERROR(SEARCH(("Yes"),(N374))))</formula>
    </cfRule>
  </conditionalFormatting>
  <conditionalFormatting sqref="N374:O374 N376:O376 N379:O379 N381:O382 N384:O385 N389:O390 N393:N396 N399:O409 O393:O394 O396">
    <cfRule type="containsText" dxfId="2" priority="48992" operator="containsText" text="Yes">
      <formula>NOT(ISERROR(SEARCH(("Yes"),(N374))))</formula>
    </cfRule>
  </conditionalFormatting>
  <conditionalFormatting sqref="N374:O374 N376:O376 N379:O379 N381:O382 N384:O385 N389:O390 N393:N396 N399:O409 O393:O394 O396">
    <cfRule type="containsText" dxfId="2" priority="48993" operator="containsText" text="Yes">
      <formula>NOT(ISERROR(SEARCH(("Yes"),(N374))))</formula>
    </cfRule>
  </conditionalFormatting>
  <conditionalFormatting sqref="N374:O374 N376:O376 N379:O379 N381:O382 N384:O385 N389:O390 N393:N396 N399:O409 O393:O394 O396">
    <cfRule type="containsText" dxfId="2" priority="48994" operator="containsText" text="Yes">
      <formula>NOT(ISERROR(SEARCH(("Yes"),(N374))))</formula>
    </cfRule>
  </conditionalFormatting>
  <conditionalFormatting sqref="N374:O374 N376:O376 N379:O379 N381:O382 N384:O385 N389:O390 N393:N396 N399:O409 O393:O394 O396">
    <cfRule type="containsText" dxfId="2" priority="48995" operator="containsText" text="Yes">
      <formula>NOT(ISERROR(SEARCH(("Yes"),(N374))))</formula>
    </cfRule>
  </conditionalFormatting>
  <conditionalFormatting sqref="N374:O374 N376:O376 N379:O379 N381:O382 N384:O385 N389:O390 N393:N396 N399:O409 O393:O394 O396">
    <cfRule type="containsText" dxfId="2" priority="48996" operator="containsText" text="Yes">
      <formula>NOT(ISERROR(SEARCH(("Yes"),(N374))))</formula>
    </cfRule>
  </conditionalFormatting>
  <conditionalFormatting sqref="N374:O374 N376:O376 N379:O379 N381:O382 N384:O385 N389:O390 N393:N396 N399:O409 O393:O394 O396">
    <cfRule type="containsText" dxfId="2" priority="48997" operator="containsText" text="Yes">
      <formula>NOT(ISERROR(SEARCH(("Yes"),(N374))))</formula>
    </cfRule>
  </conditionalFormatting>
  <conditionalFormatting sqref="N374:O374 N376:O376 N379:O379 N381:O382 N384:O385 N389:O390 N393:N396 N399:O409 O393:O394 O396">
    <cfRule type="containsText" dxfId="2" priority="48998" operator="containsText" text="Yes">
      <formula>NOT(ISERROR(SEARCH(("Yes"),(N374))))</formula>
    </cfRule>
  </conditionalFormatting>
  <conditionalFormatting sqref="N374:O374 N376:O376 N379:O379 N381:O382 N384:O385 N389:O390 N393:N396 N399:O409 O393:O394 O396">
    <cfRule type="containsText" dxfId="2" priority="48999" operator="containsText" text="Yes">
      <formula>NOT(ISERROR(SEARCH(("Yes"),(N374))))</formula>
    </cfRule>
  </conditionalFormatting>
  <conditionalFormatting sqref="N374:O374 N376:O376 N379:O379 N381:O382 N384:O385 N389:O390 N393:N396 N399:O409 O393:O394 O396">
    <cfRule type="containsText" dxfId="2" priority="49000" operator="containsText" text="Yes">
      <formula>NOT(ISERROR(SEARCH(("Yes"),(N374))))</formula>
    </cfRule>
  </conditionalFormatting>
  <conditionalFormatting sqref="N374:O374 N376:O376 N379:O379 N381:O382 N384:O385 N389:O390 N393:N396 N399:O409 O393:O394 O396">
    <cfRule type="containsText" dxfId="2" priority="49001" operator="containsText" text="Yes">
      <formula>NOT(ISERROR(SEARCH(("Yes"),(N374))))</formula>
    </cfRule>
  </conditionalFormatting>
  <conditionalFormatting sqref="P375:Q375">
    <cfRule type="containsText" dxfId="9" priority="49002" operator="containsText" text="No">
      <formula>NOT(ISERROR(SEARCH(("No"),(P375))))</formula>
    </cfRule>
  </conditionalFormatting>
  <conditionalFormatting sqref="P375:Q375">
    <cfRule type="containsText" dxfId="9" priority="49003" operator="containsText" text="No">
      <formula>NOT(ISERROR(SEARCH(("No"),(P375))))</formula>
    </cfRule>
  </conditionalFormatting>
  <conditionalFormatting sqref="P375:Q375">
    <cfRule type="containsText" dxfId="9" priority="49004" operator="containsText" text="No">
      <formula>NOT(ISERROR(SEARCH(("No"),(P375))))</formula>
    </cfRule>
  </conditionalFormatting>
  <conditionalFormatting sqref="P375:Q375">
    <cfRule type="containsText" dxfId="9" priority="49005" operator="containsText" text="No">
      <formula>NOT(ISERROR(SEARCH(("No"),(P375))))</formula>
    </cfRule>
  </conditionalFormatting>
  <conditionalFormatting sqref="P375:Q375">
    <cfRule type="containsText" dxfId="9" priority="49006" operator="containsText" text="No">
      <formula>NOT(ISERROR(SEARCH(("No"),(P375))))</formula>
    </cfRule>
  </conditionalFormatting>
  <conditionalFormatting sqref="P375:Q375">
    <cfRule type="containsText" dxfId="9" priority="49007" operator="containsText" text="No">
      <formula>NOT(ISERROR(SEARCH(("No"),(P375))))</formula>
    </cfRule>
  </conditionalFormatting>
  <conditionalFormatting sqref="P375:Q375">
    <cfRule type="containsText" dxfId="9" priority="49008" operator="containsText" text="No">
      <formula>NOT(ISERROR(SEARCH(("No"),(P375))))</formula>
    </cfRule>
  </conditionalFormatting>
  <conditionalFormatting sqref="P375:Q375">
    <cfRule type="containsText" dxfId="9" priority="49009" operator="containsText" text="No">
      <formula>NOT(ISERROR(SEARCH(("No"),(P375))))</formula>
    </cfRule>
  </conditionalFormatting>
  <conditionalFormatting sqref="P375:Q375">
    <cfRule type="containsText" dxfId="9" priority="49010" operator="containsText" text="No">
      <formula>NOT(ISERROR(SEARCH(("No"),(P375))))</formula>
    </cfRule>
  </conditionalFormatting>
  <conditionalFormatting sqref="P375:Q375">
    <cfRule type="containsText" dxfId="9" priority="49011" operator="containsText" text="No">
      <formula>NOT(ISERROR(SEARCH(("No"),(P375))))</formula>
    </cfRule>
  </conditionalFormatting>
  <conditionalFormatting sqref="P375:Q375">
    <cfRule type="containsText" dxfId="9" priority="49012" operator="containsText" text="No">
      <formula>NOT(ISERROR(SEARCH(("No"),(P375))))</formula>
    </cfRule>
  </conditionalFormatting>
  <conditionalFormatting sqref="P375:Q375">
    <cfRule type="containsText" dxfId="9" priority="49013" operator="containsText" text="No">
      <formula>NOT(ISERROR(SEARCH(("No"),(P375))))</formula>
    </cfRule>
  </conditionalFormatting>
  <conditionalFormatting sqref="P375:Q375">
    <cfRule type="containsText" dxfId="9" priority="49014" operator="containsText" text="No">
      <formula>NOT(ISERROR(SEARCH(("No"),(P375))))</formula>
    </cfRule>
  </conditionalFormatting>
  <conditionalFormatting sqref="P375:Q375">
    <cfRule type="containsText" dxfId="9" priority="49015" operator="containsText" text="No">
      <formula>NOT(ISERROR(SEARCH(("No"),(P375))))</formula>
    </cfRule>
  </conditionalFormatting>
  <conditionalFormatting sqref="P375:Q375">
    <cfRule type="containsText" dxfId="9" priority="49016" operator="containsText" text="No">
      <formula>NOT(ISERROR(SEARCH(("No"),(P375))))</formula>
    </cfRule>
  </conditionalFormatting>
  <conditionalFormatting sqref="P375:Q375">
    <cfRule type="containsText" dxfId="9" priority="49017" operator="containsText" text="No">
      <formula>NOT(ISERROR(SEARCH(("No"),(P375))))</formula>
    </cfRule>
  </conditionalFormatting>
  <conditionalFormatting sqref="P375:Q375">
    <cfRule type="containsText" dxfId="9" priority="49018" operator="containsText" text="No">
      <formula>NOT(ISERROR(SEARCH(("No"),(P375))))</formula>
    </cfRule>
  </conditionalFormatting>
  <conditionalFormatting sqref="P375:Q375">
    <cfRule type="containsText" dxfId="9" priority="49019" operator="containsText" text="No">
      <formula>NOT(ISERROR(SEARCH(("No"),(P375))))</formula>
    </cfRule>
  </conditionalFormatting>
  <conditionalFormatting sqref="P375:Q375">
    <cfRule type="containsText" dxfId="9" priority="49020" operator="containsText" text="No">
      <formula>NOT(ISERROR(SEARCH(("No"),(P375))))</formula>
    </cfRule>
  </conditionalFormatting>
  <conditionalFormatting sqref="P375:Q375">
    <cfRule type="containsText" dxfId="9" priority="49021" operator="containsText" text="No">
      <formula>NOT(ISERROR(SEARCH(("No"),(P375))))</formula>
    </cfRule>
  </conditionalFormatting>
  <conditionalFormatting sqref="P375:Q375">
    <cfRule type="containsText" dxfId="9" priority="49022" operator="containsText" text="No">
      <formula>NOT(ISERROR(SEARCH(("No"),(P375))))</formula>
    </cfRule>
  </conditionalFormatting>
  <conditionalFormatting sqref="P375:Q375">
    <cfRule type="containsText" dxfId="9" priority="49023" operator="containsText" text="No">
      <formula>NOT(ISERROR(SEARCH(("No"),(P375))))</formula>
    </cfRule>
  </conditionalFormatting>
  <conditionalFormatting sqref="P375:Q375">
    <cfRule type="containsText" dxfId="9" priority="49024" operator="containsText" text="No">
      <formula>NOT(ISERROR(SEARCH(("No"),(P375))))</formula>
    </cfRule>
  </conditionalFormatting>
  <conditionalFormatting sqref="P375:Q375">
    <cfRule type="containsText" dxfId="9" priority="49025" operator="containsText" text="No">
      <formula>NOT(ISERROR(SEARCH(("No"),(P375))))</formula>
    </cfRule>
  </conditionalFormatting>
  <conditionalFormatting sqref="P375:Q375">
    <cfRule type="containsText" dxfId="9" priority="49026" operator="containsText" text="No">
      <formula>NOT(ISERROR(SEARCH(("No"),(P375))))</formula>
    </cfRule>
  </conditionalFormatting>
  <conditionalFormatting sqref="P375:Q375">
    <cfRule type="containsText" dxfId="9" priority="49027" operator="containsText" text="No">
      <formula>NOT(ISERROR(SEARCH(("No"),(P375))))</formula>
    </cfRule>
  </conditionalFormatting>
  <conditionalFormatting sqref="P375:Q375">
    <cfRule type="containsText" dxfId="9" priority="49028" operator="containsText" text="No">
      <formula>NOT(ISERROR(SEARCH(("No"),(P375))))</formula>
    </cfRule>
  </conditionalFormatting>
  <conditionalFormatting sqref="P375:Q375">
    <cfRule type="containsText" dxfId="9" priority="49029" operator="containsText" text="No">
      <formula>NOT(ISERROR(SEARCH(("No"),(P375))))</formula>
    </cfRule>
  </conditionalFormatting>
  <conditionalFormatting sqref="P375:Q375">
    <cfRule type="containsText" dxfId="9" priority="49030" operator="containsText" text="No">
      <formula>NOT(ISERROR(SEARCH(("No"),(P375))))</formula>
    </cfRule>
  </conditionalFormatting>
  <conditionalFormatting sqref="P375:Q375">
    <cfRule type="containsText" dxfId="9" priority="49031" operator="containsText" text="No">
      <formula>NOT(ISERROR(SEARCH(("No"),(P375))))</formula>
    </cfRule>
  </conditionalFormatting>
  <conditionalFormatting sqref="P375:Q375">
    <cfRule type="containsText" dxfId="9" priority="49032" operator="containsText" text="No">
      <formula>NOT(ISERROR(SEARCH(("No"),(P375))))</formula>
    </cfRule>
  </conditionalFormatting>
  <conditionalFormatting sqref="P375:Q375">
    <cfRule type="containsText" dxfId="9" priority="49033" operator="containsText" text="No">
      <formula>NOT(ISERROR(SEARCH(("No"),(P375))))</formula>
    </cfRule>
  </conditionalFormatting>
  <conditionalFormatting sqref="P375:Q375">
    <cfRule type="containsText" dxfId="9" priority="49034" operator="containsText" text="No">
      <formula>NOT(ISERROR(SEARCH(("No"),(P375))))</formula>
    </cfRule>
  </conditionalFormatting>
  <conditionalFormatting sqref="P375:Q375">
    <cfRule type="containsText" dxfId="9" priority="49035" operator="containsText" text="No">
      <formula>NOT(ISERROR(SEARCH(("No"),(P375))))</formula>
    </cfRule>
  </conditionalFormatting>
  <conditionalFormatting sqref="P375:Q375">
    <cfRule type="containsText" dxfId="9" priority="49036" operator="containsText" text="No">
      <formula>NOT(ISERROR(SEARCH(("No"),(P375))))</formula>
    </cfRule>
  </conditionalFormatting>
  <conditionalFormatting sqref="P375:Q375">
    <cfRule type="containsText" dxfId="9" priority="49037" operator="containsText" text="No">
      <formula>NOT(ISERROR(SEARCH(("No"),(P375))))</formula>
    </cfRule>
  </conditionalFormatting>
  <conditionalFormatting sqref="P375:Q375">
    <cfRule type="containsText" dxfId="9" priority="49038" operator="containsText" text="No">
      <formula>NOT(ISERROR(SEARCH(("No"),(P375))))</formula>
    </cfRule>
  </conditionalFormatting>
  <conditionalFormatting sqref="P375:Q375">
    <cfRule type="containsText" dxfId="9" priority="49039" operator="containsText" text="No">
      <formula>NOT(ISERROR(SEARCH(("No"),(P375))))</formula>
    </cfRule>
  </conditionalFormatting>
  <conditionalFormatting sqref="P375:Q375">
    <cfRule type="containsText" dxfId="9" priority="49040" operator="containsText" text="No">
      <formula>NOT(ISERROR(SEARCH(("No"),(P375))))</formula>
    </cfRule>
  </conditionalFormatting>
  <conditionalFormatting sqref="P375:Q375">
    <cfRule type="containsText" dxfId="9" priority="49041" operator="containsText" text="No">
      <formula>NOT(ISERROR(SEARCH(("No"),(P375))))</formula>
    </cfRule>
  </conditionalFormatting>
  <conditionalFormatting sqref="P375:Q375">
    <cfRule type="containsText" dxfId="9" priority="49042" operator="containsText" text="No">
      <formula>NOT(ISERROR(SEARCH(("No"),(P375))))</formula>
    </cfRule>
  </conditionalFormatting>
  <conditionalFormatting sqref="P375:Q375">
    <cfRule type="containsText" dxfId="9" priority="49043" operator="containsText" text="No">
      <formula>NOT(ISERROR(SEARCH(("No"),(P375))))</formula>
    </cfRule>
  </conditionalFormatting>
  <conditionalFormatting sqref="P375:Q375">
    <cfRule type="containsText" dxfId="9" priority="49044" operator="containsText" text="No">
      <formula>NOT(ISERROR(SEARCH(("No"),(P375))))</formula>
    </cfRule>
  </conditionalFormatting>
  <conditionalFormatting sqref="P375:Q375">
    <cfRule type="containsText" dxfId="9" priority="49045" operator="containsText" text="No">
      <formula>NOT(ISERROR(SEARCH(("No"),(P375))))</formula>
    </cfRule>
  </conditionalFormatting>
  <conditionalFormatting sqref="P375:Q375">
    <cfRule type="containsText" dxfId="9" priority="49046" operator="containsText" text="No">
      <formula>NOT(ISERROR(SEARCH(("No"),(P375))))</formula>
    </cfRule>
  </conditionalFormatting>
  <conditionalFormatting sqref="P375:Q375">
    <cfRule type="containsText" dxfId="2" priority="49047" operator="containsText" text="Yes">
      <formula>NOT(ISERROR(SEARCH(("Yes"),(P375))))</formula>
    </cfRule>
  </conditionalFormatting>
  <conditionalFormatting sqref="P375:Q375">
    <cfRule type="containsText" dxfId="2" priority="49048" operator="containsText" text="Yes">
      <formula>NOT(ISERROR(SEARCH(("Yes"),(P375))))</formula>
    </cfRule>
  </conditionalFormatting>
  <conditionalFormatting sqref="P375:Q375">
    <cfRule type="containsText" dxfId="2" priority="49049" operator="containsText" text="Yes">
      <formula>NOT(ISERROR(SEARCH(("Yes"),(P375))))</formula>
    </cfRule>
  </conditionalFormatting>
  <conditionalFormatting sqref="P375:Q375">
    <cfRule type="containsText" dxfId="2" priority="49050" operator="containsText" text="Yes">
      <formula>NOT(ISERROR(SEARCH(("Yes"),(P375))))</formula>
    </cfRule>
  </conditionalFormatting>
  <conditionalFormatting sqref="P375:Q375">
    <cfRule type="containsText" dxfId="2" priority="49051" operator="containsText" text="Yes">
      <formula>NOT(ISERROR(SEARCH(("Yes"),(P375))))</formula>
    </cfRule>
  </conditionalFormatting>
  <conditionalFormatting sqref="P375:Q375">
    <cfRule type="containsText" dxfId="2" priority="49052" operator="containsText" text="Yes">
      <formula>NOT(ISERROR(SEARCH(("Yes"),(P375))))</formula>
    </cfRule>
  </conditionalFormatting>
  <conditionalFormatting sqref="P375:Q375">
    <cfRule type="containsText" dxfId="2" priority="49053" operator="containsText" text="Yes">
      <formula>NOT(ISERROR(SEARCH(("Yes"),(P375))))</formula>
    </cfRule>
  </conditionalFormatting>
  <conditionalFormatting sqref="P375:Q375">
    <cfRule type="containsText" dxfId="2" priority="49054" operator="containsText" text="Yes">
      <formula>NOT(ISERROR(SEARCH(("Yes"),(P375))))</formula>
    </cfRule>
  </conditionalFormatting>
  <conditionalFormatting sqref="P375:Q375">
    <cfRule type="containsText" dxfId="2" priority="49055" operator="containsText" text="Yes">
      <formula>NOT(ISERROR(SEARCH(("Yes"),(P375))))</formula>
    </cfRule>
  </conditionalFormatting>
  <conditionalFormatting sqref="P375:Q375">
    <cfRule type="containsText" dxfId="2" priority="49056" operator="containsText" text="Yes">
      <formula>NOT(ISERROR(SEARCH(("Yes"),(P375))))</formula>
    </cfRule>
  </conditionalFormatting>
  <conditionalFormatting sqref="P375:Q375">
    <cfRule type="containsText" dxfId="2" priority="49057" operator="containsText" text="Yes">
      <formula>NOT(ISERROR(SEARCH(("Yes"),(P375))))</formula>
    </cfRule>
  </conditionalFormatting>
  <conditionalFormatting sqref="P375:Q375">
    <cfRule type="containsText" dxfId="2" priority="49058" operator="containsText" text="Yes">
      <formula>NOT(ISERROR(SEARCH(("Yes"),(P375))))</formula>
    </cfRule>
  </conditionalFormatting>
  <conditionalFormatting sqref="P375:Q375">
    <cfRule type="containsText" dxfId="2" priority="49059" operator="containsText" text="Yes">
      <formula>NOT(ISERROR(SEARCH(("Yes"),(P375))))</formula>
    </cfRule>
  </conditionalFormatting>
  <conditionalFormatting sqref="P375:Q375">
    <cfRule type="containsText" dxfId="2" priority="49060" operator="containsText" text="Yes">
      <formula>NOT(ISERROR(SEARCH(("Yes"),(P375))))</formula>
    </cfRule>
  </conditionalFormatting>
  <conditionalFormatting sqref="P375:Q375">
    <cfRule type="containsText" dxfId="2" priority="49061" operator="containsText" text="Yes">
      <formula>NOT(ISERROR(SEARCH(("Yes"),(P375))))</formula>
    </cfRule>
  </conditionalFormatting>
  <conditionalFormatting sqref="P375:Q375">
    <cfRule type="containsText" dxfId="2" priority="49062" operator="containsText" text="Yes">
      <formula>NOT(ISERROR(SEARCH(("Yes"),(P375))))</formula>
    </cfRule>
  </conditionalFormatting>
  <conditionalFormatting sqref="P375:Q375">
    <cfRule type="containsText" dxfId="2" priority="49063" operator="containsText" text="Yes">
      <formula>NOT(ISERROR(SEARCH(("Yes"),(P375))))</formula>
    </cfRule>
  </conditionalFormatting>
  <conditionalFormatting sqref="P375:Q375">
    <cfRule type="containsText" dxfId="2" priority="49064" operator="containsText" text="Yes">
      <formula>NOT(ISERROR(SEARCH(("Yes"),(P375))))</formula>
    </cfRule>
  </conditionalFormatting>
  <conditionalFormatting sqref="P375:Q375">
    <cfRule type="containsText" dxfId="2" priority="49065" operator="containsText" text="Yes">
      <formula>NOT(ISERROR(SEARCH(("Yes"),(P375))))</formula>
    </cfRule>
  </conditionalFormatting>
  <conditionalFormatting sqref="P375:Q375">
    <cfRule type="containsText" dxfId="2" priority="49066" operator="containsText" text="Yes">
      <formula>NOT(ISERROR(SEARCH(("Yes"),(P375))))</formula>
    </cfRule>
  </conditionalFormatting>
  <conditionalFormatting sqref="P375:Q375">
    <cfRule type="containsText" dxfId="2" priority="49067" operator="containsText" text="Yes">
      <formula>NOT(ISERROR(SEARCH(("Yes"),(P375))))</formula>
    </cfRule>
  </conditionalFormatting>
  <conditionalFormatting sqref="P375:Q375">
    <cfRule type="containsText" dxfId="2" priority="49068" operator="containsText" text="Yes">
      <formula>NOT(ISERROR(SEARCH(("Yes"),(P375))))</formula>
    </cfRule>
  </conditionalFormatting>
  <conditionalFormatting sqref="P375:Q375">
    <cfRule type="containsText" dxfId="2" priority="49069" operator="containsText" text="Yes">
      <formula>NOT(ISERROR(SEARCH(("Yes"),(P375))))</formula>
    </cfRule>
  </conditionalFormatting>
  <conditionalFormatting sqref="P375:Q375">
    <cfRule type="containsText" dxfId="2" priority="49070" operator="containsText" text="Yes">
      <formula>NOT(ISERROR(SEARCH(("Yes"),(P375))))</formula>
    </cfRule>
  </conditionalFormatting>
  <conditionalFormatting sqref="P375:Q375">
    <cfRule type="containsText" dxfId="2" priority="49071" operator="containsText" text="Yes">
      <formula>NOT(ISERROR(SEARCH(("Yes"),(P375))))</formula>
    </cfRule>
  </conditionalFormatting>
  <conditionalFormatting sqref="P375:Q375">
    <cfRule type="containsText" dxfId="2" priority="49072" operator="containsText" text="Yes">
      <formula>NOT(ISERROR(SEARCH(("Yes"),(P375))))</formula>
    </cfRule>
  </conditionalFormatting>
  <conditionalFormatting sqref="P375:Q375">
    <cfRule type="containsText" dxfId="2" priority="49073" operator="containsText" text="Yes">
      <formula>NOT(ISERROR(SEARCH(("Yes"),(P375))))</formula>
    </cfRule>
  </conditionalFormatting>
  <conditionalFormatting sqref="P375:Q375">
    <cfRule type="containsText" dxfId="2" priority="49074" operator="containsText" text="Yes">
      <formula>NOT(ISERROR(SEARCH(("Yes"),(P375))))</formula>
    </cfRule>
  </conditionalFormatting>
  <conditionalFormatting sqref="P375:Q375">
    <cfRule type="containsText" dxfId="2" priority="49075" operator="containsText" text="Yes">
      <formula>NOT(ISERROR(SEARCH(("Yes"),(P375))))</formula>
    </cfRule>
  </conditionalFormatting>
  <conditionalFormatting sqref="P375:Q375">
    <cfRule type="containsText" dxfId="2" priority="49076" operator="containsText" text="Yes">
      <formula>NOT(ISERROR(SEARCH(("Yes"),(P375))))</formula>
    </cfRule>
  </conditionalFormatting>
  <conditionalFormatting sqref="P375:Q375">
    <cfRule type="containsText" dxfId="2" priority="49077" operator="containsText" text="Yes">
      <formula>NOT(ISERROR(SEARCH(("Yes"),(P375))))</formula>
    </cfRule>
  </conditionalFormatting>
  <conditionalFormatting sqref="P375:Q375">
    <cfRule type="containsText" dxfId="2" priority="49078" operator="containsText" text="Yes">
      <formula>NOT(ISERROR(SEARCH(("Yes"),(P375))))</formula>
    </cfRule>
  </conditionalFormatting>
  <conditionalFormatting sqref="P375:Q375">
    <cfRule type="containsText" dxfId="2" priority="49079" operator="containsText" text="Yes">
      <formula>NOT(ISERROR(SEARCH(("Yes"),(P375))))</formula>
    </cfRule>
  </conditionalFormatting>
  <conditionalFormatting sqref="P375:Q375">
    <cfRule type="containsText" dxfId="2" priority="49080" operator="containsText" text="Yes">
      <formula>NOT(ISERROR(SEARCH(("Yes"),(P375))))</formula>
    </cfRule>
  </conditionalFormatting>
  <conditionalFormatting sqref="P375:Q375">
    <cfRule type="containsText" dxfId="2" priority="49081" operator="containsText" text="Yes">
      <formula>NOT(ISERROR(SEARCH(("Yes"),(P375))))</formula>
    </cfRule>
  </conditionalFormatting>
  <conditionalFormatting sqref="P375:Q375">
    <cfRule type="containsText" dxfId="2" priority="49082" operator="containsText" text="Yes">
      <formula>NOT(ISERROR(SEARCH(("Yes"),(P375))))</formula>
    </cfRule>
  </conditionalFormatting>
  <conditionalFormatting sqref="P375:Q375">
    <cfRule type="containsText" dxfId="2" priority="49083" operator="containsText" text="Yes">
      <formula>NOT(ISERROR(SEARCH(("Yes"),(P375))))</formula>
    </cfRule>
  </conditionalFormatting>
  <conditionalFormatting sqref="P375:Q375">
    <cfRule type="containsText" dxfId="2" priority="49084" operator="containsText" text="Yes">
      <formula>NOT(ISERROR(SEARCH(("Yes"),(P375))))</formula>
    </cfRule>
  </conditionalFormatting>
  <conditionalFormatting sqref="P375:Q375">
    <cfRule type="containsText" dxfId="2" priority="49085" operator="containsText" text="Yes">
      <formula>NOT(ISERROR(SEARCH(("Yes"),(P375))))</formula>
    </cfRule>
  </conditionalFormatting>
  <conditionalFormatting sqref="P375:Q375">
    <cfRule type="containsText" dxfId="2" priority="49086" operator="containsText" text="Yes">
      <formula>NOT(ISERROR(SEARCH(("Yes"),(P375))))</formula>
    </cfRule>
  </conditionalFormatting>
  <conditionalFormatting sqref="P375:Q375">
    <cfRule type="containsText" dxfId="2" priority="49087" operator="containsText" text="Yes">
      <formula>NOT(ISERROR(SEARCH(("Yes"),(P375))))</formula>
    </cfRule>
  </conditionalFormatting>
  <conditionalFormatting sqref="P375:Q375">
    <cfRule type="containsText" dxfId="2" priority="49088" operator="containsText" text="Yes">
      <formula>NOT(ISERROR(SEARCH(("Yes"),(P375))))</formula>
    </cfRule>
  </conditionalFormatting>
  <conditionalFormatting sqref="P375:Q375">
    <cfRule type="containsText" dxfId="2" priority="49089" operator="containsText" text="Yes">
      <formula>NOT(ISERROR(SEARCH(("Yes"),(P375))))</formula>
    </cfRule>
  </conditionalFormatting>
  <conditionalFormatting sqref="P375:Q375">
    <cfRule type="containsText" dxfId="2" priority="49090" operator="containsText" text="Yes">
      <formula>NOT(ISERROR(SEARCH(("Yes"),(P375))))</formula>
    </cfRule>
  </conditionalFormatting>
  <conditionalFormatting sqref="P375:Q375">
    <cfRule type="containsText" dxfId="2" priority="49091" operator="containsText" text="Yes">
      <formula>NOT(ISERROR(SEARCH(("Yes"),(P375))))</formula>
    </cfRule>
  </conditionalFormatting>
  <conditionalFormatting sqref="P375:Q375">
    <cfRule type="containsText" dxfId="2" priority="49092" operator="containsText" text="Yes">
      <formula>NOT(ISERROR(SEARCH(("Yes"),(P375))))</formula>
    </cfRule>
  </conditionalFormatting>
  <conditionalFormatting sqref="P375:Q375">
    <cfRule type="containsText" dxfId="2" priority="49093" operator="containsText" text="Yes">
      <formula>NOT(ISERROR(SEARCH(("Yes"),(P375))))</formula>
    </cfRule>
  </conditionalFormatting>
  <conditionalFormatting sqref="N375:O375">
    <cfRule type="containsText" dxfId="9" priority="49094" operator="containsText" text="No">
      <formula>NOT(ISERROR(SEARCH(("No"),(N375))))</formula>
    </cfRule>
  </conditionalFormatting>
  <conditionalFormatting sqref="N375:O375">
    <cfRule type="containsText" dxfId="9" priority="49095" operator="containsText" text="No">
      <formula>NOT(ISERROR(SEARCH(("No"),(N375))))</formula>
    </cfRule>
  </conditionalFormatting>
  <conditionalFormatting sqref="N375:O375">
    <cfRule type="containsText" dxfId="9" priority="49096" operator="containsText" text="No">
      <formula>NOT(ISERROR(SEARCH(("No"),(N375))))</formula>
    </cfRule>
  </conditionalFormatting>
  <conditionalFormatting sqref="N375:O375">
    <cfRule type="containsText" dxfId="9" priority="49097" operator="containsText" text="No">
      <formula>NOT(ISERROR(SEARCH(("No"),(N375))))</formula>
    </cfRule>
  </conditionalFormatting>
  <conditionalFormatting sqref="N375:O375">
    <cfRule type="containsText" dxfId="9" priority="49098" operator="containsText" text="No">
      <formula>NOT(ISERROR(SEARCH(("No"),(N375))))</formula>
    </cfRule>
  </conditionalFormatting>
  <conditionalFormatting sqref="N375:O375">
    <cfRule type="containsText" dxfId="9" priority="49099" operator="containsText" text="No">
      <formula>NOT(ISERROR(SEARCH(("No"),(N375))))</formula>
    </cfRule>
  </conditionalFormatting>
  <conditionalFormatting sqref="N375:O375">
    <cfRule type="containsText" dxfId="9" priority="49100" operator="containsText" text="No">
      <formula>NOT(ISERROR(SEARCH(("No"),(N375))))</formula>
    </cfRule>
  </conditionalFormatting>
  <conditionalFormatting sqref="N375:O375">
    <cfRule type="containsText" dxfId="9" priority="49101" operator="containsText" text="No">
      <formula>NOT(ISERROR(SEARCH(("No"),(N375))))</formula>
    </cfRule>
  </conditionalFormatting>
  <conditionalFormatting sqref="N375:O375">
    <cfRule type="containsText" dxfId="9" priority="49102" operator="containsText" text="No">
      <formula>NOT(ISERROR(SEARCH(("No"),(N375))))</formula>
    </cfRule>
  </conditionalFormatting>
  <conditionalFormatting sqref="N375:O375">
    <cfRule type="containsText" dxfId="9" priority="49103" operator="containsText" text="No">
      <formula>NOT(ISERROR(SEARCH(("No"),(N375))))</formula>
    </cfRule>
  </conditionalFormatting>
  <conditionalFormatting sqref="N375:O375">
    <cfRule type="containsText" dxfId="9" priority="49104" operator="containsText" text="No">
      <formula>NOT(ISERROR(SEARCH(("No"),(N375))))</formula>
    </cfRule>
  </conditionalFormatting>
  <conditionalFormatting sqref="N375:O375">
    <cfRule type="containsText" dxfId="9" priority="49105" operator="containsText" text="No">
      <formula>NOT(ISERROR(SEARCH(("No"),(N375))))</formula>
    </cfRule>
  </conditionalFormatting>
  <conditionalFormatting sqref="N375:O375">
    <cfRule type="containsText" dxfId="9" priority="49106" operator="containsText" text="No">
      <formula>NOT(ISERROR(SEARCH(("No"),(N375))))</formula>
    </cfRule>
  </conditionalFormatting>
  <conditionalFormatting sqref="N375:O375">
    <cfRule type="containsText" dxfId="9" priority="49107" operator="containsText" text="No">
      <formula>NOT(ISERROR(SEARCH(("No"),(N375))))</formula>
    </cfRule>
  </conditionalFormatting>
  <conditionalFormatting sqref="N375:O375">
    <cfRule type="containsText" dxfId="9" priority="49108" operator="containsText" text="No">
      <formula>NOT(ISERROR(SEARCH(("No"),(N375))))</formula>
    </cfRule>
  </conditionalFormatting>
  <conditionalFormatting sqref="N375:O375">
    <cfRule type="containsText" dxfId="9" priority="49109" operator="containsText" text="No">
      <formula>NOT(ISERROR(SEARCH(("No"),(N375))))</formula>
    </cfRule>
  </conditionalFormatting>
  <conditionalFormatting sqref="N375:O375">
    <cfRule type="containsText" dxfId="9" priority="49110" operator="containsText" text="No">
      <formula>NOT(ISERROR(SEARCH(("No"),(N375))))</formula>
    </cfRule>
  </conditionalFormatting>
  <conditionalFormatting sqref="N375:O375">
    <cfRule type="containsText" dxfId="9" priority="49111" operator="containsText" text="No">
      <formula>NOT(ISERROR(SEARCH(("No"),(N375))))</formula>
    </cfRule>
  </conditionalFormatting>
  <conditionalFormatting sqref="N375:O375">
    <cfRule type="containsText" dxfId="9" priority="49112" operator="containsText" text="No">
      <formula>NOT(ISERROR(SEARCH(("No"),(N375))))</formula>
    </cfRule>
  </conditionalFormatting>
  <conditionalFormatting sqref="N375:O375">
    <cfRule type="containsText" dxfId="9" priority="49113" operator="containsText" text="No">
      <formula>NOT(ISERROR(SEARCH(("No"),(N375))))</formula>
    </cfRule>
  </conditionalFormatting>
  <conditionalFormatting sqref="N375:O375">
    <cfRule type="containsText" dxfId="9" priority="49114" operator="containsText" text="No">
      <formula>NOT(ISERROR(SEARCH(("No"),(N375))))</formula>
    </cfRule>
  </conditionalFormatting>
  <conditionalFormatting sqref="N375:O375">
    <cfRule type="containsText" dxfId="9" priority="49115" operator="containsText" text="No">
      <formula>NOT(ISERROR(SEARCH(("No"),(N375))))</formula>
    </cfRule>
  </conditionalFormatting>
  <conditionalFormatting sqref="N375:O375">
    <cfRule type="containsText" dxfId="9" priority="49116" operator="containsText" text="No">
      <formula>NOT(ISERROR(SEARCH(("No"),(N375))))</formula>
    </cfRule>
  </conditionalFormatting>
  <conditionalFormatting sqref="N375:O375">
    <cfRule type="containsText" dxfId="9" priority="49117" operator="containsText" text="No">
      <formula>NOT(ISERROR(SEARCH(("No"),(N375))))</formula>
    </cfRule>
  </conditionalFormatting>
  <conditionalFormatting sqref="N375:O375">
    <cfRule type="containsText" dxfId="9" priority="49118" operator="containsText" text="No">
      <formula>NOT(ISERROR(SEARCH(("No"),(N375))))</formula>
    </cfRule>
  </conditionalFormatting>
  <conditionalFormatting sqref="N375:O375">
    <cfRule type="containsText" dxfId="9" priority="49119" operator="containsText" text="No">
      <formula>NOT(ISERROR(SEARCH(("No"),(N375))))</formula>
    </cfRule>
  </conditionalFormatting>
  <conditionalFormatting sqref="N375:O375">
    <cfRule type="containsText" dxfId="9" priority="49120" operator="containsText" text="No">
      <formula>NOT(ISERROR(SEARCH(("No"),(N375))))</formula>
    </cfRule>
  </conditionalFormatting>
  <conditionalFormatting sqref="N375:O375">
    <cfRule type="containsText" dxfId="9" priority="49121" operator="containsText" text="No">
      <formula>NOT(ISERROR(SEARCH(("No"),(N375))))</formula>
    </cfRule>
  </conditionalFormatting>
  <conditionalFormatting sqref="N375:O375">
    <cfRule type="containsText" dxfId="9" priority="49122" operator="containsText" text="No">
      <formula>NOT(ISERROR(SEARCH(("No"),(N375))))</formula>
    </cfRule>
  </conditionalFormatting>
  <conditionalFormatting sqref="N375:O375">
    <cfRule type="containsText" dxfId="9" priority="49123" operator="containsText" text="No">
      <formula>NOT(ISERROR(SEARCH(("No"),(N375))))</formula>
    </cfRule>
  </conditionalFormatting>
  <conditionalFormatting sqref="N375:O375">
    <cfRule type="containsText" dxfId="9" priority="49124" operator="containsText" text="No">
      <formula>NOT(ISERROR(SEARCH(("No"),(N375))))</formula>
    </cfRule>
  </conditionalFormatting>
  <conditionalFormatting sqref="N375:O375">
    <cfRule type="containsText" dxfId="9" priority="49125" operator="containsText" text="No">
      <formula>NOT(ISERROR(SEARCH(("No"),(N375))))</formula>
    </cfRule>
  </conditionalFormatting>
  <conditionalFormatting sqref="N375:O375">
    <cfRule type="containsText" dxfId="9" priority="49126" operator="containsText" text="No">
      <formula>NOT(ISERROR(SEARCH(("No"),(N375))))</formula>
    </cfRule>
  </conditionalFormatting>
  <conditionalFormatting sqref="N375:O375">
    <cfRule type="containsText" dxfId="9" priority="49127" operator="containsText" text="No">
      <formula>NOT(ISERROR(SEARCH(("No"),(N375))))</formula>
    </cfRule>
  </conditionalFormatting>
  <conditionalFormatting sqref="N375:O375">
    <cfRule type="containsText" dxfId="9" priority="49128" operator="containsText" text="No">
      <formula>NOT(ISERROR(SEARCH(("No"),(N375))))</formula>
    </cfRule>
  </conditionalFormatting>
  <conditionalFormatting sqref="N375:O375">
    <cfRule type="containsText" dxfId="9" priority="49129" operator="containsText" text="No">
      <formula>NOT(ISERROR(SEARCH(("No"),(N375))))</formula>
    </cfRule>
  </conditionalFormatting>
  <conditionalFormatting sqref="N375:O375">
    <cfRule type="containsText" dxfId="9" priority="49130" operator="containsText" text="No">
      <formula>NOT(ISERROR(SEARCH(("No"),(N375))))</formula>
    </cfRule>
  </conditionalFormatting>
  <conditionalFormatting sqref="N375:O375">
    <cfRule type="containsText" dxfId="9" priority="49131" operator="containsText" text="No">
      <formula>NOT(ISERROR(SEARCH(("No"),(N375))))</formula>
    </cfRule>
  </conditionalFormatting>
  <conditionalFormatting sqref="N375:O375">
    <cfRule type="containsText" dxfId="9" priority="49132" operator="containsText" text="No">
      <formula>NOT(ISERROR(SEARCH(("No"),(N375))))</formula>
    </cfRule>
  </conditionalFormatting>
  <conditionalFormatting sqref="N375:O375">
    <cfRule type="containsText" dxfId="9" priority="49133" operator="containsText" text="No">
      <formula>NOT(ISERROR(SEARCH(("No"),(N375))))</formula>
    </cfRule>
  </conditionalFormatting>
  <conditionalFormatting sqref="N375:O375">
    <cfRule type="containsText" dxfId="9" priority="49134" operator="containsText" text="No">
      <formula>NOT(ISERROR(SEARCH(("No"),(N375))))</formula>
    </cfRule>
  </conditionalFormatting>
  <conditionalFormatting sqref="N375:O375">
    <cfRule type="containsText" dxfId="9" priority="49135" operator="containsText" text="No">
      <formula>NOT(ISERROR(SEARCH(("No"),(N375))))</formula>
    </cfRule>
  </conditionalFormatting>
  <conditionalFormatting sqref="N375:O375">
    <cfRule type="containsText" dxfId="9" priority="49136" operator="containsText" text="No">
      <formula>NOT(ISERROR(SEARCH(("No"),(N375))))</formula>
    </cfRule>
  </conditionalFormatting>
  <conditionalFormatting sqref="N375:O375">
    <cfRule type="containsText" dxfId="9" priority="49137" operator="containsText" text="No">
      <formula>NOT(ISERROR(SEARCH(("No"),(N375))))</formula>
    </cfRule>
  </conditionalFormatting>
  <conditionalFormatting sqref="N375:O375">
    <cfRule type="containsText" dxfId="9" priority="49138" operator="containsText" text="No">
      <formula>NOT(ISERROR(SEARCH(("No"),(N375))))</formula>
    </cfRule>
  </conditionalFormatting>
  <conditionalFormatting sqref="N375:O375">
    <cfRule type="containsText" dxfId="2" priority="49139" operator="containsText" text="Yes">
      <formula>NOT(ISERROR(SEARCH(("Yes"),(N375))))</formula>
    </cfRule>
  </conditionalFormatting>
  <conditionalFormatting sqref="N375:O375">
    <cfRule type="containsText" dxfId="2" priority="49140" operator="containsText" text="Yes">
      <formula>NOT(ISERROR(SEARCH(("Yes"),(N375))))</formula>
    </cfRule>
  </conditionalFormatting>
  <conditionalFormatting sqref="N375:O375">
    <cfRule type="containsText" dxfId="2" priority="49141" operator="containsText" text="Yes">
      <formula>NOT(ISERROR(SEARCH(("Yes"),(N375))))</formula>
    </cfRule>
  </conditionalFormatting>
  <conditionalFormatting sqref="N375:O375">
    <cfRule type="containsText" dxfId="2" priority="49142" operator="containsText" text="Yes">
      <formula>NOT(ISERROR(SEARCH(("Yes"),(N375))))</formula>
    </cfRule>
  </conditionalFormatting>
  <conditionalFormatting sqref="N375:O375">
    <cfRule type="containsText" dxfId="2" priority="49143" operator="containsText" text="Yes">
      <formula>NOT(ISERROR(SEARCH(("Yes"),(N375))))</formula>
    </cfRule>
  </conditionalFormatting>
  <conditionalFormatting sqref="N375:O375">
    <cfRule type="containsText" dxfId="2" priority="49144" operator="containsText" text="Yes">
      <formula>NOT(ISERROR(SEARCH(("Yes"),(N375))))</formula>
    </cfRule>
  </conditionalFormatting>
  <conditionalFormatting sqref="N375:O375">
    <cfRule type="containsText" dxfId="2" priority="49145" operator="containsText" text="Yes">
      <formula>NOT(ISERROR(SEARCH(("Yes"),(N375))))</formula>
    </cfRule>
  </conditionalFormatting>
  <conditionalFormatting sqref="N375:O375">
    <cfRule type="containsText" dxfId="2" priority="49146" operator="containsText" text="Yes">
      <formula>NOT(ISERROR(SEARCH(("Yes"),(N375))))</formula>
    </cfRule>
  </conditionalFormatting>
  <conditionalFormatting sqref="N375:O375">
    <cfRule type="containsText" dxfId="2" priority="49147" operator="containsText" text="Yes">
      <formula>NOT(ISERROR(SEARCH(("Yes"),(N375))))</formula>
    </cfRule>
  </conditionalFormatting>
  <conditionalFormatting sqref="N375:O375">
    <cfRule type="containsText" dxfId="2" priority="49148" operator="containsText" text="Yes">
      <formula>NOT(ISERROR(SEARCH(("Yes"),(N375))))</formula>
    </cfRule>
  </conditionalFormatting>
  <conditionalFormatting sqref="N375:O375">
    <cfRule type="containsText" dxfId="2" priority="49149" operator="containsText" text="Yes">
      <formula>NOT(ISERROR(SEARCH(("Yes"),(N375))))</formula>
    </cfRule>
  </conditionalFormatting>
  <conditionalFormatting sqref="N375:O375">
    <cfRule type="containsText" dxfId="2" priority="49150" operator="containsText" text="Yes">
      <formula>NOT(ISERROR(SEARCH(("Yes"),(N375))))</formula>
    </cfRule>
  </conditionalFormatting>
  <conditionalFormatting sqref="N375:O375">
    <cfRule type="containsText" dxfId="2" priority="49151" operator="containsText" text="Yes">
      <formula>NOT(ISERROR(SEARCH(("Yes"),(N375))))</formula>
    </cfRule>
  </conditionalFormatting>
  <conditionalFormatting sqref="N375:O375">
    <cfRule type="containsText" dxfId="2" priority="49152" operator="containsText" text="Yes">
      <formula>NOT(ISERROR(SEARCH(("Yes"),(N375))))</formula>
    </cfRule>
  </conditionalFormatting>
  <conditionalFormatting sqref="N375:O375">
    <cfRule type="containsText" dxfId="2" priority="49153" operator="containsText" text="Yes">
      <formula>NOT(ISERROR(SEARCH(("Yes"),(N375))))</formula>
    </cfRule>
  </conditionalFormatting>
  <conditionalFormatting sqref="N375:O375">
    <cfRule type="containsText" dxfId="2" priority="49154" operator="containsText" text="Yes">
      <formula>NOT(ISERROR(SEARCH(("Yes"),(N375))))</formula>
    </cfRule>
  </conditionalFormatting>
  <conditionalFormatting sqref="N375:O375">
    <cfRule type="containsText" dxfId="2" priority="49155" operator="containsText" text="Yes">
      <formula>NOT(ISERROR(SEARCH(("Yes"),(N375))))</formula>
    </cfRule>
  </conditionalFormatting>
  <conditionalFormatting sqref="N375:O375">
    <cfRule type="containsText" dxfId="2" priority="49156" operator="containsText" text="Yes">
      <formula>NOT(ISERROR(SEARCH(("Yes"),(N375))))</formula>
    </cfRule>
  </conditionalFormatting>
  <conditionalFormatting sqref="N375:O375">
    <cfRule type="containsText" dxfId="2" priority="49157" operator="containsText" text="Yes">
      <formula>NOT(ISERROR(SEARCH(("Yes"),(N375))))</formula>
    </cfRule>
  </conditionalFormatting>
  <conditionalFormatting sqref="N375:O375">
    <cfRule type="containsText" dxfId="2" priority="49158" operator="containsText" text="Yes">
      <formula>NOT(ISERROR(SEARCH(("Yes"),(N375))))</formula>
    </cfRule>
  </conditionalFormatting>
  <conditionalFormatting sqref="N375:O375">
    <cfRule type="containsText" dxfId="2" priority="49159" operator="containsText" text="Yes">
      <formula>NOT(ISERROR(SEARCH(("Yes"),(N375))))</formula>
    </cfRule>
  </conditionalFormatting>
  <conditionalFormatting sqref="N375:O375">
    <cfRule type="containsText" dxfId="2" priority="49160" operator="containsText" text="Yes">
      <formula>NOT(ISERROR(SEARCH(("Yes"),(N375))))</formula>
    </cfRule>
  </conditionalFormatting>
  <conditionalFormatting sqref="N375:O375">
    <cfRule type="containsText" dxfId="2" priority="49161" operator="containsText" text="Yes">
      <formula>NOT(ISERROR(SEARCH(("Yes"),(N375))))</formula>
    </cfRule>
  </conditionalFormatting>
  <conditionalFormatting sqref="N375:O375">
    <cfRule type="containsText" dxfId="2" priority="49162" operator="containsText" text="Yes">
      <formula>NOT(ISERROR(SEARCH(("Yes"),(N375))))</formula>
    </cfRule>
  </conditionalFormatting>
  <conditionalFormatting sqref="N375:O375">
    <cfRule type="containsText" dxfId="2" priority="49163" operator="containsText" text="Yes">
      <formula>NOT(ISERROR(SEARCH(("Yes"),(N375))))</formula>
    </cfRule>
  </conditionalFormatting>
  <conditionalFormatting sqref="N375:O375">
    <cfRule type="containsText" dxfId="2" priority="49164" operator="containsText" text="Yes">
      <formula>NOT(ISERROR(SEARCH(("Yes"),(N375))))</formula>
    </cfRule>
  </conditionalFormatting>
  <conditionalFormatting sqref="N375:O375">
    <cfRule type="containsText" dxfId="2" priority="49165" operator="containsText" text="Yes">
      <formula>NOT(ISERROR(SEARCH(("Yes"),(N375))))</formula>
    </cfRule>
  </conditionalFormatting>
  <conditionalFormatting sqref="N375:O375">
    <cfRule type="containsText" dxfId="2" priority="49166" operator="containsText" text="Yes">
      <formula>NOT(ISERROR(SEARCH(("Yes"),(N375))))</formula>
    </cfRule>
  </conditionalFormatting>
  <conditionalFormatting sqref="N375:O375">
    <cfRule type="containsText" dxfId="2" priority="49167" operator="containsText" text="Yes">
      <formula>NOT(ISERROR(SEARCH(("Yes"),(N375))))</formula>
    </cfRule>
  </conditionalFormatting>
  <conditionalFormatting sqref="N375:O375">
    <cfRule type="containsText" dxfId="2" priority="49168" operator="containsText" text="Yes">
      <formula>NOT(ISERROR(SEARCH(("Yes"),(N375))))</formula>
    </cfRule>
  </conditionalFormatting>
  <conditionalFormatting sqref="N375:O375">
    <cfRule type="containsText" dxfId="2" priority="49169" operator="containsText" text="Yes">
      <formula>NOT(ISERROR(SEARCH(("Yes"),(N375))))</formula>
    </cfRule>
  </conditionalFormatting>
  <conditionalFormatting sqref="N375:O375">
    <cfRule type="containsText" dxfId="2" priority="49170" operator="containsText" text="Yes">
      <formula>NOT(ISERROR(SEARCH(("Yes"),(N375))))</formula>
    </cfRule>
  </conditionalFormatting>
  <conditionalFormatting sqref="N375:O375">
    <cfRule type="containsText" dxfId="2" priority="49171" operator="containsText" text="Yes">
      <formula>NOT(ISERROR(SEARCH(("Yes"),(N375))))</formula>
    </cfRule>
  </conditionalFormatting>
  <conditionalFormatting sqref="N375:O375">
    <cfRule type="containsText" dxfId="2" priority="49172" operator="containsText" text="Yes">
      <formula>NOT(ISERROR(SEARCH(("Yes"),(N375))))</formula>
    </cfRule>
  </conditionalFormatting>
  <conditionalFormatting sqref="N375:O375">
    <cfRule type="containsText" dxfId="2" priority="49173" operator="containsText" text="Yes">
      <formula>NOT(ISERROR(SEARCH(("Yes"),(N375))))</formula>
    </cfRule>
  </conditionalFormatting>
  <conditionalFormatting sqref="N375:O375">
    <cfRule type="containsText" dxfId="2" priority="49174" operator="containsText" text="Yes">
      <formula>NOT(ISERROR(SEARCH(("Yes"),(N375))))</formula>
    </cfRule>
  </conditionalFormatting>
  <conditionalFormatting sqref="N375:O375">
    <cfRule type="containsText" dxfId="2" priority="49175" operator="containsText" text="Yes">
      <formula>NOT(ISERROR(SEARCH(("Yes"),(N375))))</formula>
    </cfRule>
  </conditionalFormatting>
  <conditionalFormatting sqref="N375:O375">
    <cfRule type="containsText" dxfId="2" priority="49176" operator="containsText" text="Yes">
      <formula>NOT(ISERROR(SEARCH(("Yes"),(N375))))</formula>
    </cfRule>
  </conditionalFormatting>
  <conditionalFormatting sqref="N375:O375">
    <cfRule type="containsText" dxfId="2" priority="49177" operator="containsText" text="Yes">
      <formula>NOT(ISERROR(SEARCH(("Yes"),(N375))))</formula>
    </cfRule>
  </conditionalFormatting>
  <conditionalFormatting sqref="N375:O375">
    <cfRule type="containsText" dxfId="2" priority="49178" operator="containsText" text="Yes">
      <formula>NOT(ISERROR(SEARCH(("Yes"),(N375))))</formula>
    </cfRule>
  </conditionalFormatting>
  <conditionalFormatting sqref="N375:O375">
    <cfRule type="containsText" dxfId="2" priority="49179" operator="containsText" text="Yes">
      <formula>NOT(ISERROR(SEARCH(("Yes"),(N375))))</formula>
    </cfRule>
  </conditionalFormatting>
  <conditionalFormatting sqref="N375:O375">
    <cfRule type="containsText" dxfId="2" priority="49180" operator="containsText" text="Yes">
      <formula>NOT(ISERROR(SEARCH(("Yes"),(N375))))</formula>
    </cfRule>
  </conditionalFormatting>
  <conditionalFormatting sqref="N375:O375">
    <cfRule type="containsText" dxfId="2" priority="49181" operator="containsText" text="Yes">
      <formula>NOT(ISERROR(SEARCH(("Yes"),(N375))))</formula>
    </cfRule>
  </conditionalFormatting>
  <conditionalFormatting sqref="N375:O375">
    <cfRule type="containsText" dxfId="2" priority="49182" operator="containsText" text="Yes">
      <formula>NOT(ISERROR(SEARCH(("Yes"),(N375))))</formula>
    </cfRule>
  </conditionalFormatting>
  <conditionalFormatting sqref="N375:O375">
    <cfRule type="containsText" dxfId="2" priority="49183" operator="containsText" text="Yes">
      <formula>NOT(ISERROR(SEARCH(("Yes"),(N375))))</formula>
    </cfRule>
  </conditionalFormatting>
  <conditionalFormatting sqref="N375:O375">
    <cfRule type="containsText" dxfId="2" priority="49184" operator="containsText" text="Yes">
      <formula>NOT(ISERROR(SEARCH(("Yes"),(N375))))</formula>
    </cfRule>
  </conditionalFormatting>
  <conditionalFormatting sqref="N375:O375">
    <cfRule type="containsText" dxfId="2" priority="49185" operator="containsText" text="Yes">
      <formula>NOT(ISERROR(SEARCH(("Yes"),(N375))))</formula>
    </cfRule>
  </conditionalFormatting>
  <conditionalFormatting sqref="N376 N379 N381:N382 N384:N385 N389:N390 N393:N396 N399:N409">
    <cfRule type="containsText" dxfId="9" priority="49186" operator="containsText" text="No">
      <formula>NOT(ISERROR(SEARCH(("No"),(N376))))</formula>
    </cfRule>
  </conditionalFormatting>
  <conditionalFormatting sqref="N376 N379 N381:N382 N384:N385 N389:N390 N393:N396 N399:N409">
    <cfRule type="containsText" dxfId="9" priority="49187" operator="containsText" text="No">
      <formula>NOT(ISERROR(SEARCH(("No"),(N376))))</formula>
    </cfRule>
  </conditionalFormatting>
  <conditionalFormatting sqref="N376 N379 N381:N382 N384:N385 N389:N390 N393:N396 N399:N409">
    <cfRule type="containsText" dxfId="9" priority="49188" operator="containsText" text="No">
      <formula>NOT(ISERROR(SEARCH(("No"),(N376))))</formula>
    </cfRule>
  </conditionalFormatting>
  <conditionalFormatting sqref="N376 N379 N381:N382 N384:N385 N389:N390 N393:N396 N399:N409">
    <cfRule type="containsText" dxfId="9" priority="49189" operator="containsText" text="No">
      <formula>NOT(ISERROR(SEARCH(("No"),(N376))))</formula>
    </cfRule>
  </conditionalFormatting>
  <conditionalFormatting sqref="N376 N379 N381:N382 N384:N385 N389:N390 N393:N396 N399:N409">
    <cfRule type="containsText" dxfId="9" priority="49190" operator="containsText" text="No">
      <formula>NOT(ISERROR(SEARCH(("No"),(N376))))</formula>
    </cfRule>
  </conditionalFormatting>
  <conditionalFormatting sqref="N376 N379 N381:N382 N384:N385 N389:N390 N393:N396 N399:N409">
    <cfRule type="containsText" dxfId="9" priority="49191" operator="containsText" text="No">
      <formula>NOT(ISERROR(SEARCH(("No"),(N376))))</formula>
    </cfRule>
  </conditionalFormatting>
  <conditionalFormatting sqref="N376 N379 N381:N382 N384:N385 N389:N390 N393:N396 N399:N409">
    <cfRule type="containsText" dxfId="9" priority="49192" operator="containsText" text="No">
      <formula>NOT(ISERROR(SEARCH(("No"),(N376))))</formula>
    </cfRule>
  </conditionalFormatting>
  <conditionalFormatting sqref="N376 N379 N381:N382 N384:N385 N389:N390 N393:N396 N399:N409">
    <cfRule type="containsText" dxfId="9" priority="49193" operator="containsText" text="No">
      <formula>NOT(ISERROR(SEARCH(("No"),(N376))))</formula>
    </cfRule>
  </conditionalFormatting>
  <conditionalFormatting sqref="N376 N379 N381:N382 N384:N385 N389:N390 N393:N396 N399:N409">
    <cfRule type="containsText" dxfId="9" priority="49194" operator="containsText" text="No">
      <formula>NOT(ISERROR(SEARCH(("No"),(N376))))</formula>
    </cfRule>
  </conditionalFormatting>
  <conditionalFormatting sqref="N376 N379 N381:N382 N384:N385 N389:N390 N393:N396 N399:N409">
    <cfRule type="containsText" dxfId="9" priority="49195" operator="containsText" text="No">
      <formula>NOT(ISERROR(SEARCH(("No"),(N376))))</formula>
    </cfRule>
  </conditionalFormatting>
  <conditionalFormatting sqref="N376 N379 N381:N382 N384:N385 N389:N390 N393:N396 N399:N409">
    <cfRule type="containsText" dxfId="9" priority="49196" operator="containsText" text="No">
      <formula>NOT(ISERROR(SEARCH(("No"),(N376))))</formula>
    </cfRule>
  </conditionalFormatting>
  <conditionalFormatting sqref="N376 N379 N381:N382 N384:N385 N389:N390 N393:N396 N399:N409">
    <cfRule type="containsText" dxfId="9" priority="49197" operator="containsText" text="No">
      <formula>NOT(ISERROR(SEARCH(("No"),(N376))))</formula>
    </cfRule>
  </conditionalFormatting>
  <conditionalFormatting sqref="N376 N379 N381:N382 N384:N385 N389:N390 N393:N396 N399:N409">
    <cfRule type="containsText" dxfId="9" priority="49198" operator="containsText" text="No">
      <formula>NOT(ISERROR(SEARCH(("No"),(N376))))</formula>
    </cfRule>
  </conditionalFormatting>
  <conditionalFormatting sqref="N376 N379 N381:N382 N384:N385 N389:N390 N393:N396 N399:N409">
    <cfRule type="containsText" dxfId="9" priority="49199" operator="containsText" text="No">
      <formula>NOT(ISERROR(SEARCH(("No"),(N376))))</formula>
    </cfRule>
  </conditionalFormatting>
  <conditionalFormatting sqref="N376 N379 N381:N382 N384:N385 N389:N390 N393:N396 N399:N409">
    <cfRule type="containsText" dxfId="9" priority="49200" operator="containsText" text="No">
      <formula>NOT(ISERROR(SEARCH(("No"),(N376))))</formula>
    </cfRule>
  </conditionalFormatting>
  <conditionalFormatting sqref="N376 N379 N381:N382 N384:N385 N389:N390 N393:N396 N399:N409">
    <cfRule type="containsText" dxfId="9" priority="49201" operator="containsText" text="No">
      <formula>NOT(ISERROR(SEARCH(("No"),(N376))))</formula>
    </cfRule>
  </conditionalFormatting>
  <conditionalFormatting sqref="N376 N379 N381:N382 N384:N385 N389:N390 N393:N396 N399:N409">
    <cfRule type="containsText" dxfId="9" priority="49202" operator="containsText" text="No">
      <formula>NOT(ISERROR(SEARCH(("No"),(N376))))</formula>
    </cfRule>
  </conditionalFormatting>
  <conditionalFormatting sqref="N376 N379 N381:N382 N384:N385 N389:N390 N393:N396 N399:N409">
    <cfRule type="containsText" dxfId="9" priority="49203" operator="containsText" text="No">
      <formula>NOT(ISERROR(SEARCH(("No"),(N376))))</formula>
    </cfRule>
  </conditionalFormatting>
  <conditionalFormatting sqref="N376 N379 N381:N382 N384:N385 N389:N390 N393:N396 N399:N409">
    <cfRule type="containsText" dxfId="9" priority="49204" operator="containsText" text="No">
      <formula>NOT(ISERROR(SEARCH(("No"),(N376))))</formula>
    </cfRule>
  </conditionalFormatting>
  <conditionalFormatting sqref="N376 N379 N381:N382 N384:N385 N389:N390 N393:N396 N399:N409">
    <cfRule type="containsText" dxfId="9" priority="49205" operator="containsText" text="No">
      <formula>NOT(ISERROR(SEARCH(("No"),(N376))))</formula>
    </cfRule>
  </conditionalFormatting>
  <conditionalFormatting sqref="N376 N379 N381:N382 N384:N385 N389:N390 N393:N396 N399:N409">
    <cfRule type="containsText" dxfId="9" priority="49206" operator="containsText" text="No">
      <formula>NOT(ISERROR(SEARCH(("No"),(N376))))</formula>
    </cfRule>
  </conditionalFormatting>
  <conditionalFormatting sqref="N376 N379 N381:N382 N384:N385 N389:N390 N393:N396 N399:N409">
    <cfRule type="containsText" dxfId="9" priority="49207" operator="containsText" text="No">
      <formula>NOT(ISERROR(SEARCH(("No"),(N376))))</formula>
    </cfRule>
  </conditionalFormatting>
  <conditionalFormatting sqref="N376 N379 N381:N382 N384:N385 N389:N390 N393:N396 N399:N409">
    <cfRule type="containsText" dxfId="9" priority="49208" operator="containsText" text="No">
      <formula>NOT(ISERROR(SEARCH(("No"),(N376))))</formula>
    </cfRule>
  </conditionalFormatting>
  <conditionalFormatting sqref="N376 N379 N381:N382 N384:N385 N389:N390 N393:N396 N399:N409">
    <cfRule type="containsText" dxfId="9" priority="49209" operator="containsText" text="No">
      <formula>NOT(ISERROR(SEARCH(("No"),(N376))))</formula>
    </cfRule>
  </conditionalFormatting>
  <conditionalFormatting sqref="N376 N379 N381:N382 N384:N385 N389:N390 N393:N396 N399:N409">
    <cfRule type="containsText" dxfId="9" priority="49210" operator="containsText" text="No">
      <formula>NOT(ISERROR(SEARCH(("No"),(N376))))</formula>
    </cfRule>
  </conditionalFormatting>
  <conditionalFormatting sqref="N376 N379 N381:N382 N384:N385 N389:N390 N393:N396 N399:N409">
    <cfRule type="containsText" dxfId="9" priority="49211" operator="containsText" text="No">
      <formula>NOT(ISERROR(SEARCH(("No"),(N376))))</formula>
    </cfRule>
  </conditionalFormatting>
  <conditionalFormatting sqref="N376 N379 N381:N382 N384:N385 N389:N390 N393:N396 N399:N409">
    <cfRule type="containsText" dxfId="9" priority="49212" operator="containsText" text="No">
      <formula>NOT(ISERROR(SEARCH(("No"),(N376))))</formula>
    </cfRule>
  </conditionalFormatting>
  <conditionalFormatting sqref="N376 N379 N381:N382 N384:N385 N389:N390 N393:N396 N399:N409">
    <cfRule type="containsText" dxfId="9" priority="49213" operator="containsText" text="No">
      <formula>NOT(ISERROR(SEARCH(("No"),(N376))))</formula>
    </cfRule>
  </conditionalFormatting>
  <conditionalFormatting sqref="N376 N379 N381:N382 N384:N385 N389:N390 N393:N396 N399:N409">
    <cfRule type="containsText" dxfId="9" priority="49214" operator="containsText" text="No">
      <formula>NOT(ISERROR(SEARCH(("No"),(N376))))</formula>
    </cfRule>
  </conditionalFormatting>
  <conditionalFormatting sqref="N376 N379 N381:N382 N384:N385 N389:N390 N393:N396 N399:N409">
    <cfRule type="containsText" dxfId="9" priority="49215" operator="containsText" text="No">
      <formula>NOT(ISERROR(SEARCH(("No"),(N376))))</formula>
    </cfRule>
  </conditionalFormatting>
  <conditionalFormatting sqref="N376 N379 N381:N382 N384:N385 N389:N390 N393:N396 N399:N409">
    <cfRule type="containsText" dxfId="9" priority="49216" operator="containsText" text="No">
      <formula>NOT(ISERROR(SEARCH(("No"),(N376))))</formula>
    </cfRule>
  </conditionalFormatting>
  <conditionalFormatting sqref="N376 N379 N381:N382 N384:N385 N389:N390 N393:N396 N399:N409">
    <cfRule type="containsText" dxfId="9" priority="49217" operator="containsText" text="No">
      <formula>NOT(ISERROR(SEARCH(("No"),(N376))))</formula>
    </cfRule>
  </conditionalFormatting>
  <conditionalFormatting sqref="N376 N379 N381:N382 N384:N385 N389:N390 N393:N396 N399:N409">
    <cfRule type="containsText" dxfId="9" priority="49218" operator="containsText" text="No">
      <formula>NOT(ISERROR(SEARCH(("No"),(N376))))</formula>
    </cfRule>
  </conditionalFormatting>
  <conditionalFormatting sqref="N376 N379 N381:N382 N384:N385 N389:N390 N393:N396 N399:N409">
    <cfRule type="containsText" dxfId="9" priority="49219" operator="containsText" text="No">
      <formula>NOT(ISERROR(SEARCH(("No"),(N376))))</formula>
    </cfRule>
  </conditionalFormatting>
  <conditionalFormatting sqref="N376 N379 N381:N382 N384:N385 N389:N390 N393:N396 N399:N409">
    <cfRule type="containsText" dxfId="9" priority="49220" operator="containsText" text="No">
      <formula>NOT(ISERROR(SEARCH(("No"),(N376))))</formula>
    </cfRule>
  </conditionalFormatting>
  <conditionalFormatting sqref="N376 N379 N381:N382 N384:N385 N389:N390 N393:N396 N399:N409">
    <cfRule type="containsText" dxfId="9" priority="49221" operator="containsText" text="No">
      <formula>NOT(ISERROR(SEARCH(("No"),(N376))))</formula>
    </cfRule>
  </conditionalFormatting>
  <conditionalFormatting sqref="N376 N379 N381:N382 N384:N385 N389:N390 N393:N396 N399:N409">
    <cfRule type="containsText" dxfId="9" priority="49222" operator="containsText" text="No">
      <formula>NOT(ISERROR(SEARCH(("No"),(N376))))</formula>
    </cfRule>
  </conditionalFormatting>
  <conditionalFormatting sqref="N376 N379 N381:N382 N384:N385 N389:N390 N393:N396 N399:N409">
    <cfRule type="containsText" dxfId="9" priority="49223" operator="containsText" text="No">
      <formula>NOT(ISERROR(SEARCH(("No"),(N376))))</formula>
    </cfRule>
  </conditionalFormatting>
  <conditionalFormatting sqref="N376 N379 N381:N382 N384:N385 N389:N390 N393:N396 N399:N409">
    <cfRule type="containsText" dxfId="9" priority="49224" operator="containsText" text="No">
      <formula>NOT(ISERROR(SEARCH(("No"),(N376))))</formula>
    </cfRule>
  </conditionalFormatting>
  <conditionalFormatting sqref="N376 N379 N381:N382 N384:N385 N389:N390 N393:N396 N399:N409">
    <cfRule type="containsText" dxfId="9" priority="49225" operator="containsText" text="No">
      <formula>NOT(ISERROR(SEARCH(("No"),(N376))))</formula>
    </cfRule>
  </conditionalFormatting>
  <conditionalFormatting sqref="N376 N379 N381:N382 N384:N385 N389:N390 N393:N396 N399:N409">
    <cfRule type="containsText" dxfId="9" priority="49226" operator="containsText" text="No">
      <formula>NOT(ISERROR(SEARCH(("No"),(N376))))</formula>
    </cfRule>
  </conditionalFormatting>
  <conditionalFormatting sqref="N376 N379 N381:N382 N384:N385 N389:N390 N393:N396 N399:N409">
    <cfRule type="containsText" dxfId="9" priority="49227" operator="containsText" text="No">
      <formula>NOT(ISERROR(SEARCH(("No"),(N376))))</formula>
    </cfRule>
  </conditionalFormatting>
  <conditionalFormatting sqref="N376 N379 N381:N382 N384:N385 N389:N390 N393:N396 N399:N409">
    <cfRule type="containsText" dxfId="9" priority="49228" operator="containsText" text="No">
      <formula>NOT(ISERROR(SEARCH(("No"),(N376))))</formula>
    </cfRule>
  </conditionalFormatting>
  <conditionalFormatting sqref="N376 N379 N381:N382 N384:N385 N389:N390 N393:N396 N399:N409">
    <cfRule type="containsText" dxfId="9" priority="49229" operator="containsText" text="No">
      <formula>NOT(ISERROR(SEARCH(("No"),(N376))))</formula>
    </cfRule>
  </conditionalFormatting>
  <conditionalFormatting sqref="N376 N379 N381:N382 N384:N385 N389:N390 N393:N396 N399:N409">
    <cfRule type="containsText" dxfId="9" priority="49230" operator="containsText" text="No">
      <formula>NOT(ISERROR(SEARCH(("No"),(N376))))</formula>
    </cfRule>
  </conditionalFormatting>
  <conditionalFormatting sqref="N376 N379 N381:N382 N384:N385 N389:N390 N393:N396 N399:N409">
    <cfRule type="containsText" dxfId="2" priority="49231" operator="containsText" text="Yes">
      <formula>NOT(ISERROR(SEARCH(("Yes"),(N376))))</formula>
    </cfRule>
  </conditionalFormatting>
  <conditionalFormatting sqref="N376 N379 N381:N382 N384:N385 N389:N390 N393:N396 N399:N409">
    <cfRule type="containsText" dxfId="2" priority="49232" operator="containsText" text="Yes">
      <formula>NOT(ISERROR(SEARCH(("Yes"),(N376))))</formula>
    </cfRule>
  </conditionalFormatting>
  <conditionalFormatting sqref="N376 N379 N381:N382 N384:N385 N389:N390 N393:N396 N399:N409">
    <cfRule type="containsText" dxfId="2" priority="49233" operator="containsText" text="Yes">
      <formula>NOT(ISERROR(SEARCH(("Yes"),(N376))))</formula>
    </cfRule>
  </conditionalFormatting>
  <conditionalFormatting sqref="N376 N379 N381:N382 N384:N385 N389:N390 N393:N396 N399:N409">
    <cfRule type="containsText" dxfId="2" priority="49234" operator="containsText" text="Yes">
      <formula>NOT(ISERROR(SEARCH(("Yes"),(N376))))</formula>
    </cfRule>
  </conditionalFormatting>
  <conditionalFormatting sqref="N376 N379 N381:N382 N384:N385 N389:N390 N393:N396 N399:N409">
    <cfRule type="containsText" dxfId="2" priority="49235" operator="containsText" text="Yes">
      <formula>NOT(ISERROR(SEARCH(("Yes"),(N376))))</formula>
    </cfRule>
  </conditionalFormatting>
  <conditionalFormatting sqref="N376 N379 N381:N382 N384:N385 N389:N390 N393:N396 N399:N409">
    <cfRule type="containsText" dxfId="2" priority="49236" operator="containsText" text="Yes">
      <formula>NOT(ISERROR(SEARCH(("Yes"),(N376))))</formula>
    </cfRule>
  </conditionalFormatting>
  <conditionalFormatting sqref="N376 N379 N381:N382 N384:N385 N389:N390 N393:N396 N399:N409">
    <cfRule type="containsText" dxfId="2" priority="49237" operator="containsText" text="Yes">
      <formula>NOT(ISERROR(SEARCH(("Yes"),(N376))))</formula>
    </cfRule>
  </conditionalFormatting>
  <conditionalFormatting sqref="N376 N379 N381:N382 N384:N385 N389:N390 N393:N396 N399:N409">
    <cfRule type="containsText" dxfId="2" priority="49238" operator="containsText" text="Yes">
      <formula>NOT(ISERROR(SEARCH(("Yes"),(N376))))</formula>
    </cfRule>
  </conditionalFormatting>
  <conditionalFormatting sqref="N376 N379 N381:N382 N384:N385 N389:N390 N393:N396 N399:N409">
    <cfRule type="containsText" dxfId="2" priority="49239" operator="containsText" text="Yes">
      <formula>NOT(ISERROR(SEARCH(("Yes"),(N376))))</formula>
    </cfRule>
  </conditionalFormatting>
  <conditionalFormatting sqref="N376 N379 N381:N382 N384:N385 N389:N390 N393:N396 N399:N409">
    <cfRule type="containsText" dxfId="2" priority="49240" operator="containsText" text="Yes">
      <formula>NOT(ISERROR(SEARCH(("Yes"),(N376))))</formula>
    </cfRule>
  </conditionalFormatting>
  <conditionalFormatting sqref="N376 N379 N381:N382 N384:N385 N389:N390 N393:N396 N399:N409">
    <cfRule type="containsText" dxfId="2" priority="49241" operator="containsText" text="Yes">
      <formula>NOT(ISERROR(SEARCH(("Yes"),(N376))))</formula>
    </cfRule>
  </conditionalFormatting>
  <conditionalFormatting sqref="N376 N379 N381:N382 N384:N385 N389:N390 N393:N396 N399:N409">
    <cfRule type="containsText" dxfId="2" priority="49242" operator="containsText" text="Yes">
      <formula>NOT(ISERROR(SEARCH(("Yes"),(N376))))</formula>
    </cfRule>
  </conditionalFormatting>
  <conditionalFormatting sqref="N376 N379 N381:N382 N384:N385 N389:N390 N393:N396 N399:N409">
    <cfRule type="containsText" dxfId="2" priority="49243" operator="containsText" text="Yes">
      <formula>NOT(ISERROR(SEARCH(("Yes"),(N376))))</formula>
    </cfRule>
  </conditionalFormatting>
  <conditionalFormatting sqref="N376 N379 N381:N382 N384:N385 N389:N390 N393:N396 N399:N409">
    <cfRule type="containsText" dxfId="2" priority="49244" operator="containsText" text="Yes">
      <formula>NOT(ISERROR(SEARCH(("Yes"),(N376))))</formula>
    </cfRule>
  </conditionalFormatting>
  <conditionalFormatting sqref="N376 N379 N381:N382 N384:N385 N389:N390 N393:N396 N399:N409">
    <cfRule type="containsText" dxfId="2" priority="49245" operator="containsText" text="Yes">
      <formula>NOT(ISERROR(SEARCH(("Yes"),(N376))))</formula>
    </cfRule>
  </conditionalFormatting>
  <conditionalFormatting sqref="N376 N379 N381:N382 N384:N385 N389:N390 N393:N396 N399:N409">
    <cfRule type="containsText" dxfId="2" priority="49246" operator="containsText" text="Yes">
      <formula>NOT(ISERROR(SEARCH(("Yes"),(N376))))</formula>
    </cfRule>
  </conditionalFormatting>
  <conditionalFormatting sqref="N376 N379 N381:N382 N384:N385 N389:N390 N393:N396 N399:N409">
    <cfRule type="containsText" dxfId="2" priority="49247" operator="containsText" text="Yes">
      <formula>NOT(ISERROR(SEARCH(("Yes"),(N376))))</formula>
    </cfRule>
  </conditionalFormatting>
  <conditionalFormatting sqref="N376 N379 N381:N382 N384:N385 N389:N390 N393:N396 N399:N409">
    <cfRule type="containsText" dxfId="2" priority="49248" operator="containsText" text="Yes">
      <formula>NOT(ISERROR(SEARCH(("Yes"),(N376))))</formula>
    </cfRule>
  </conditionalFormatting>
  <conditionalFormatting sqref="N376 N379 N381:N382 N384:N385 N389:N390 N393:N396 N399:N409">
    <cfRule type="containsText" dxfId="2" priority="49249" operator="containsText" text="Yes">
      <formula>NOT(ISERROR(SEARCH(("Yes"),(N376))))</formula>
    </cfRule>
  </conditionalFormatting>
  <conditionalFormatting sqref="N376 N379 N381:N382 N384:N385 N389:N390 N393:N396 N399:N409">
    <cfRule type="containsText" dxfId="2" priority="49250" operator="containsText" text="Yes">
      <formula>NOT(ISERROR(SEARCH(("Yes"),(N376))))</formula>
    </cfRule>
  </conditionalFormatting>
  <conditionalFormatting sqref="N376 N379 N381:N382 N384:N385 N389:N390 N393:N396 N399:N409">
    <cfRule type="containsText" dxfId="2" priority="49251" operator="containsText" text="Yes">
      <formula>NOT(ISERROR(SEARCH(("Yes"),(N376))))</formula>
    </cfRule>
  </conditionalFormatting>
  <conditionalFormatting sqref="N376 N379 N381:N382 N384:N385 N389:N390 N393:N396 N399:N409">
    <cfRule type="containsText" dxfId="2" priority="49252" operator="containsText" text="Yes">
      <formula>NOT(ISERROR(SEARCH(("Yes"),(N376))))</formula>
    </cfRule>
  </conditionalFormatting>
  <conditionalFormatting sqref="N376 N379 N381:N382 N384:N385 N389:N390 N393:N396 N399:N409">
    <cfRule type="containsText" dxfId="2" priority="49253" operator="containsText" text="Yes">
      <formula>NOT(ISERROR(SEARCH(("Yes"),(N376))))</formula>
    </cfRule>
  </conditionalFormatting>
  <conditionalFormatting sqref="N376 N379 N381:N382 N384:N385 N389:N390 N393:N396 N399:N409">
    <cfRule type="containsText" dxfId="2" priority="49254" operator="containsText" text="Yes">
      <formula>NOT(ISERROR(SEARCH(("Yes"),(N376))))</formula>
    </cfRule>
  </conditionalFormatting>
  <conditionalFormatting sqref="N376 N379 N381:N382 N384:N385 N389:N390 N393:N396 N399:N409">
    <cfRule type="containsText" dxfId="2" priority="49255" operator="containsText" text="Yes">
      <formula>NOT(ISERROR(SEARCH(("Yes"),(N376))))</formula>
    </cfRule>
  </conditionalFormatting>
  <conditionalFormatting sqref="N376 N379 N381:N382 N384:N385 N389:N390 N393:N396 N399:N409">
    <cfRule type="containsText" dxfId="2" priority="49256" operator="containsText" text="Yes">
      <formula>NOT(ISERROR(SEARCH(("Yes"),(N376))))</formula>
    </cfRule>
  </conditionalFormatting>
  <conditionalFormatting sqref="N376 N379 N381:N382 N384:N385 N389:N390 N393:N396 N399:N409">
    <cfRule type="containsText" dxfId="2" priority="49257" operator="containsText" text="Yes">
      <formula>NOT(ISERROR(SEARCH(("Yes"),(N376))))</formula>
    </cfRule>
  </conditionalFormatting>
  <conditionalFormatting sqref="N376 N379 N381:N382 N384:N385 N389:N390 N393:N396 N399:N409">
    <cfRule type="containsText" dxfId="2" priority="49258" operator="containsText" text="Yes">
      <formula>NOT(ISERROR(SEARCH(("Yes"),(N376))))</formula>
    </cfRule>
  </conditionalFormatting>
  <conditionalFormatting sqref="N376 N379 N381:N382 N384:N385 N389:N390 N393:N396 N399:N409">
    <cfRule type="containsText" dxfId="2" priority="49259" operator="containsText" text="Yes">
      <formula>NOT(ISERROR(SEARCH(("Yes"),(N376))))</formula>
    </cfRule>
  </conditionalFormatting>
  <conditionalFormatting sqref="N376 N379 N381:N382 N384:N385 N389:N390 N393:N396 N399:N409">
    <cfRule type="containsText" dxfId="2" priority="49260" operator="containsText" text="Yes">
      <formula>NOT(ISERROR(SEARCH(("Yes"),(N376))))</formula>
    </cfRule>
  </conditionalFormatting>
  <conditionalFormatting sqref="N376 N379 N381:N382 N384:N385 N389:N390 N393:N396 N399:N409">
    <cfRule type="containsText" dxfId="2" priority="49261" operator="containsText" text="Yes">
      <formula>NOT(ISERROR(SEARCH(("Yes"),(N376))))</formula>
    </cfRule>
  </conditionalFormatting>
  <conditionalFormatting sqref="N376 N379 N381:N382 N384:N385 N389:N390 N393:N396 N399:N409">
    <cfRule type="containsText" dxfId="2" priority="49262" operator="containsText" text="Yes">
      <formula>NOT(ISERROR(SEARCH(("Yes"),(N376))))</formula>
    </cfRule>
  </conditionalFormatting>
  <conditionalFormatting sqref="N376 N379 N381:N382 N384:N385 N389:N390 N393:N396 N399:N409">
    <cfRule type="containsText" dxfId="2" priority="49263" operator="containsText" text="Yes">
      <formula>NOT(ISERROR(SEARCH(("Yes"),(N376))))</formula>
    </cfRule>
  </conditionalFormatting>
  <conditionalFormatting sqref="N376 N379 N381:N382 N384:N385 N389:N390 N393:N396 N399:N409">
    <cfRule type="containsText" dxfId="2" priority="49264" operator="containsText" text="Yes">
      <formula>NOT(ISERROR(SEARCH(("Yes"),(N376))))</formula>
    </cfRule>
  </conditionalFormatting>
  <conditionalFormatting sqref="N376 N379 N381:N382 N384:N385 N389:N390 N393:N396 N399:N409">
    <cfRule type="containsText" dxfId="2" priority="49265" operator="containsText" text="Yes">
      <formula>NOT(ISERROR(SEARCH(("Yes"),(N376))))</formula>
    </cfRule>
  </conditionalFormatting>
  <conditionalFormatting sqref="N376 N379 N381:N382 N384:N385 N389:N390 N393:N396 N399:N409">
    <cfRule type="containsText" dxfId="2" priority="49266" operator="containsText" text="Yes">
      <formula>NOT(ISERROR(SEARCH(("Yes"),(N376))))</formula>
    </cfRule>
  </conditionalFormatting>
  <conditionalFormatting sqref="N376 N379 N381:N382 N384:N385 N389:N390 N393:N396 N399:N409">
    <cfRule type="containsText" dxfId="2" priority="49267" operator="containsText" text="Yes">
      <formula>NOT(ISERROR(SEARCH(("Yes"),(N376))))</formula>
    </cfRule>
  </conditionalFormatting>
  <conditionalFormatting sqref="N376 N379 N381:N382 N384:N385 N389:N390 N393:N396 N399:N409">
    <cfRule type="containsText" dxfId="2" priority="49268" operator="containsText" text="Yes">
      <formula>NOT(ISERROR(SEARCH(("Yes"),(N376))))</formula>
    </cfRule>
  </conditionalFormatting>
  <conditionalFormatting sqref="N376 N379 N381:N382 N384:N385 N389:N390 N393:N396 N399:N409">
    <cfRule type="containsText" dxfId="2" priority="49269" operator="containsText" text="Yes">
      <formula>NOT(ISERROR(SEARCH(("Yes"),(N376))))</formula>
    </cfRule>
  </conditionalFormatting>
  <conditionalFormatting sqref="N376 N379 N381:N382 N384:N385 N389:N390 N393:N396 N399:N409">
    <cfRule type="containsText" dxfId="2" priority="49270" operator="containsText" text="Yes">
      <formula>NOT(ISERROR(SEARCH(("Yes"),(N376))))</formula>
    </cfRule>
  </conditionalFormatting>
  <conditionalFormatting sqref="N376 N379 N381:N382 N384:N385 N389:N390 N393:N396 N399:N409">
    <cfRule type="containsText" dxfId="2" priority="49271" operator="containsText" text="Yes">
      <formula>NOT(ISERROR(SEARCH(("Yes"),(N376))))</formula>
    </cfRule>
  </conditionalFormatting>
  <conditionalFormatting sqref="N376 N379 N381:N382 N384:N385 N389:N390 N393:N396 N399:N409">
    <cfRule type="containsText" dxfId="2" priority="49272" operator="containsText" text="Yes">
      <formula>NOT(ISERROR(SEARCH(("Yes"),(N376))))</formula>
    </cfRule>
  </conditionalFormatting>
  <conditionalFormatting sqref="N376 N379 N381:N382 N384:N385 N389:N390 N393:N396 N399:N409">
    <cfRule type="containsText" dxfId="2" priority="49273" operator="containsText" text="Yes">
      <formula>NOT(ISERROR(SEARCH(("Yes"),(N376))))</formula>
    </cfRule>
  </conditionalFormatting>
  <conditionalFormatting sqref="N376 N379 N381:N382 N384:N385 N389:N390 N393:N396 N399:N409">
    <cfRule type="containsText" dxfId="2" priority="49274" operator="containsText" text="Yes">
      <formula>NOT(ISERROR(SEARCH(("Yes"),(N376))))</formula>
    </cfRule>
  </conditionalFormatting>
  <conditionalFormatting sqref="N376 N379 N381:N382 N384:N385 N389:N390 N393:N396 N399:N409">
    <cfRule type="containsText" dxfId="2" priority="49275" operator="containsText" text="Yes">
      <formula>NOT(ISERROR(SEARCH(("Yes"),(N376))))</formula>
    </cfRule>
  </conditionalFormatting>
  <conditionalFormatting sqref="N376 N379 N381:N382 N384:N385 N389:N390 N393:N396 N399:N409">
    <cfRule type="containsText" dxfId="2" priority="49276" operator="containsText" text="Yes">
      <formula>NOT(ISERROR(SEARCH(("Yes"),(N376))))</formula>
    </cfRule>
  </conditionalFormatting>
  <conditionalFormatting sqref="N376 N379 N381:N382 N384:N385 N389:N390 N393:N396 N399:N409">
    <cfRule type="containsText" dxfId="2" priority="49277" operator="containsText" text="Yes">
      <formula>NOT(ISERROR(SEARCH(("Yes"),(N376))))</formula>
    </cfRule>
  </conditionalFormatting>
  <conditionalFormatting sqref="O376 O379 O381:O382 O384:O385 O389:O390 O393:O394 O396 O399:O409">
    <cfRule type="containsText" dxfId="9" priority="49278" operator="containsText" text="No">
      <formula>NOT(ISERROR(SEARCH(("No"),(O376))))</formula>
    </cfRule>
  </conditionalFormatting>
  <conditionalFormatting sqref="O376 O379 O381:O382 O384:O385 O389:O390 O393:O394 O396 O399:O409">
    <cfRule type="containsText" dxfId="9" priority="49279" operator="containsText" text="No">
      <formula>NOT(ISERROR(SEARCH(("No"),(O376))))</formula>
    </cfRule>
  </conditionalFormatting>
  <conditionalFormatting sqref="O376 O379 O381:O382 O384:O385 O389:O390 O393:O394 O396 O399:O409">
    <cfRule type="containsText" dxfId="9" priority="49280" operator="containsText" text="No">
      <formula>NOT(ISERROR(SEARCH(("No"),(O376))))</formula>
    </cfRule>
  </conditionalFormatting>
  <conditionalFormatting sqref="O376 O379 O381:O382 O384:O385 O389:O390 O393:O394 O396 O399:O409">
    <cfRule type="containsText" dxfId="9" priority="49281" operator="containsText" text="No">
      <formula>NOT(ISERROR(SEARCH(("No"),(O376))))</formula>
    </cfRule>
  </conditionalFormatting>
  <conditionalFormatting sqref="O376 O379 O381:O382 O384:O385 O389:O390 O393:O394 O396 O399:O409">
    <cfRule type="containsText" dxfId="9" priority="49282" operator="containsText" text="No">
      <formula>NOT(ISERROR(SEARCH(("No"),(O376))))</formula>
    </cfRule>
  </conditionalFormatting>
  <conditionalFormatting sqref="O376 O379 O381:O382 O384:O385 O389:O390 O393:O394 O396 O399:O409">
    <cfRule type="containsText" dxfId="9" priority="49283" operator="containsText" text="No">
      <formula>NOT(ISERROR(SEARCH(("No"),(O376))))</formula>
    </cfRule>
  </conditionalFormatting>
  <conditionalFormatting sqref="O376 O379 O381:O382 O384:O385 O389:O390 O393:O394 O396 O399:O409">
    <cfRule type="containsText" dxfId="9" priority="49284" operator="containsText" text="No">
      <formula>NOT(ISERROR(SEARCH(("No"),(O376))))</formula>
    </cfRule>
  </conditionalFormatting>
  <conditionalFormatting sqref="O376 O379 O381:O382 O384:O385 O389:O390 O393:O394 O396 O399:O409">
    <cfRule type="containsText" dxfId="9" priority="49285" operator="containsText" text="No">
      <formula>NOT(ISERROR(SEARCH(("No"),(O376))))</formula>
    </cfRule>
  </conditionalFormatting>
  <conditionalFormatting sqref="O376 O379 O381:O382 O384:O385 O389:O390 O393:O394 O396 O399:O409">
    <cfRule type="containsText" dxfId="9" priority="49286" operator="containsText" text="No">
      <formula>NOT(ISERROR(SEARCH(("No"),(O376))))</formula>
    </cfRule>
  </conditionalFormatting>
  <conditionalFormatting sqref="O376 O379 O381:O382 O384:O385 O389:O390 O393:O394 O396 O399:O409">
    <cfRule type="containsText" dxfId="9" priority="49287" operator="containsText" text="No">
      <formula>NOT(ISERROR(SEARCH(("No"),(O376))))</formula>
    </cfRule>
  </conditionalFormatting>
  <conditionalFormatting sqref="O376 O379 O381:O382 O384:O385 O389:O390 O393:O394 O396 O399:O409">
    <cfRule type="containsText" dxfId="9" priority="49288" operator="containsText" text="No">
      <formula>NOT(ISERROR(SEARCH(("No"),(O376))))</formula>
    </cfRule>
  </conditionalFormatting>
  <conditionalFormatting sqref="O376 O379 O381:O382 O384:O385 O389:O390 O393:O394 O396 O399:O409">
    <cfRule type="containsText" dxfId="9" priority="49289" operator="containsText" text="No">
      <formula>NOT(ISERROR(SEARCH(("No"),(O376))))</formula>
    </cfRule>
  </conditionalFormatting>
  <conditionalFormatting sqref="O376 O379 O381:O382 O384:O385 O389:O390 O393:O394 O396 O399:O409">
    <cfRule type="containsText" dxfId="9" priority="49290" operator="containsText" text="No">
      <formula>NOT(ISERROR(SEARCH(("No"),(O376))))</formula>
    </cfRule>
  </conditionalFormatting>
  <conditionalFormatting sqref="O376 O379 O381:O382 O384:O385 O389:O390 O393:O394 O396 O399:O409">
    <cfRule type="containsText" dxfId="9" priority="49291" operator="containsText" text="No">
      <formula>NOT(ISERROR(SEARCH(("No"),(O376))))</formula>
    </cfRule>
  </conditionalFormatting>
  <conditionalFormatting sqref="O376 O379 O381:O382 O384:O385 O389:O390 O393:O394 O396 O399:O409">
    <cfRule type="containsText" dxfId="9" priority="49292" operator="containsText" text="No">
      <formula>NOT(ISERROR(SEARCH(("No"),(O376))))</formula>
    </cfRule>
  </conditionalFormatting>
  <conditionalFormatting sqref="O376 O379 O381:O382 O384:O385 O389:O390 O393:O394 O396 O399:O409">
    <cfRule type="containsText" dxfId="9" priority="49293" operator="containsText" text="No">
      <formula>NOT(ISERROR(SEARCH(("No"),(O376))))</formula>
    </cfRule>
  </conditionalFormatting>
  <conditionalFormatting sqref="O376 O379 O381:O382 O384:O385 O389:O390 O393:O394 O396 O399:O409">
    <cfRule type="containsText" dxfId="9" priority="49294" operator="containsText" text="No">
      <formula>NOT(ISERROR(SEARCH(("No"),(O376))))</formula>
    </cfRule>
  </conditionalFormatting>
  <conditionalFormatting sqref="O376 O379 O381:O382 O384:O385 O389:O390 O393:O394 O396 O399:O409">
    <cfRule type="containsText" dxfId="9" priority="49295" operator="containsText" text="No">
      <formula>NOT(ISERROR(SEARCH(("No"),(O376))))</formula>
    </cfRule>
  </conditionalFormatting>
  <conditionalFormatting sqref="O376 O379 O381:O382 O384:O385 O389:O390 O393:O394 O396 O399:O409">
    <cfRule type="containsText" dxfId="9" priority="49296" operator="containsText" text="No">
      <formula>NOT(ISERROR(SEARCH(("No"),(O376))))</formula>
    </cfRule>
  </conditionalFormatting>
  <conditionalFormatting sqref="O376 O379 O381:O382 O384:O385 O389:O390 O393:O394 O396 O399:O409">
    <cfRule type="containsText" dxfId="9" priority="49297" operator="containsText" text="No">
      <formula>NOT(ISERROR(SEARCH(("No"),(O376))))</formula>
    </cfRule>
  </conditionalFormatting>
  <conditionalFormatting sqref="O376 O379 O381:O382 O384:O385 O389:O390 O393:O394 O396 O399:O409">
    <cfRule type="containsText" dxfId="9" priority="49298" operator="containsText" text="No">
      <formula>NOT(ISERROR(SEARCH(("No"),(O376))))</formula>
    </cfRule>
  </conditionalFormatting>
  <conditionalFormatting sqref="O376 O379 O381:O382 O384:O385 O389:O390 O393:O394 O396 O399:O409">
    <cfRule type="containsText" dxfId="9" priority="49299" operator="containsText" text="No">
      <formula>NOT(ISERROR(SEARCH(("No"),(O376))))</formula>
    </cfRule>
  </conditionalFormatting>
  <conditionalFormatting sqref="O376 O379 O381:O382 O384:O385 O389:O390 O393:O394 O396 O399:O409">
    <cfRule type="containsText" dxfId="9" priority="49300" operator="containsText" text="No">
      <formula>NOT(ISERROR(SEARCH(("No"),(O376))))</formula>
    </cfRule>
  </conditionalFormatting>
  <conditionalFormatting sqref="O376 O379 O381:O382 O384:O385 O389:O390 O393:O394 O396 O399:O409">
    <cfRule type="containsText" dxfId="9" priority="49301" operator="containsText" text="No">
      <formula>NOT(ISERROR(SEARCH(("No"),(O376))))</formula>
    </cfRule>
  </conditionalFormatting>
  <conditionalFormatting sqref="O376 O379 O381:O382 O384:O385 O389:O390 O393:O394 O396 O399:O409">
    <cfRule type="containsText" dxfId="9" priority="49302" operator="containsText" text="No">
      <formula>NOT(ISERROR(SEARCH(("No"),(O376))))</formula>
    </cfRule>
  </conditionalFormatting>
  <conditionalFormatting sqref="O376 O379 O381:O382 O384:O385 O389:O390 O393:O394 O396 O399:O409">
    <cfRule type="containsText" dxfId="9" priority="49303" operator="containsText" text="No">
      <formula>NOT(ISERROR(SEARCH(("No"),(O376))))</formula>
    </cfRule>
  </conditionalFormatting>
  <conditionalFormatting sqref="O376 O379 O381:O382 O384:O385 O389:O390 O393:O394 O396 O399:O409">
    <cfRule type="containsText" dxfId="9" priority="49304" operator="containsText" text="No">
      <formula>NOT(ISERROR(SEARCH(("No"),(O376))))</formula>
    </cfRule>
  </conditionalFormatting>
  <conditionalFormatting sqref="O376 O379 O381:O382 O384:O385 O389:O390 O393:O394 O396 O399:O409">
    <cfRule type="containsText" dxfId="9" priority="49305" operator="containsText" text="No">
      <formula>NOT(ISERROR(SEARCH(("No"),(O376))))</formula>
    </cfRule>
  </conditionalFormatting>
  <conditionalFormatting sqref="O376 O379 O381:O382 O384:O385 O389:O390 O393:O394 O396 O399:O409">
    <cfRule type="containsText" dxfId="9" priority="49306" operator="containsText" text="No">
      <formula>NOT(ISERROR(SEARCH(("No"),(O376))))</formula>
    </cfRule>
  </conditionalFormatting>
  <conditionalFormatting sqref="O376 O379 O381:O382 O384:O385 O389:O390 O393:O394 O396 O399:O409">
    <cfRule type="containsText" dxfId="9" priority="49307" operator="containsText" text="No">
      <formula>NOT(ISERROR(SEARCH(("No"),(O376))))</formula>
    </cfRule>
  </conditionalFormatting>
  <conditionalFormatting sqref="O376 O379 O381:O382 O384:O385 O389:O390 O393:O394 O396 O399:O409">
    <cfRule type="containsText" dxfId="9" priority="49308" operator="containsText" text="No">
      <formula>NOT(ISERROR(SEARCH(("No"),(O376))))</formula>
    </cfRule>
  </conditionalFormatting>
  <conditionalFormatting sqref="O376 O379 O381:O382 O384:O385 O389:O390 O393:O394 O396 O399:O409">
    <cfRule type="containsText" dxfId="9" priority="49309" operator="containsText" text="No">
      <formula>NOT(ISERROR(SEARCH(("No"),(O376))))</formula>
    </cfRule>
  </conditionalFormatting>
  <conditionalFormatting sqref="O376 O379 O381:O382 O384:O385 O389:O390 O393:O394 O396 O399:O409">
    <cfRule type="containsText" dxfId="9" priority="49310" operator="containsText" text="No">
      <formula>NOT(ISERROR(SEARCH(("No"),(O376))))</formula>
    </cfRule>
  </conditionalFormatting>
  <conditionalFormatting sqref="O376 O379 O381:O382 O384:O385 O389:O390 O393:O394 O396 O399:O409">
    <cfRule type="containsText" dxfId="9" priority="49311" operator="containsText" text="No">
      <formula>NOT(ISERROR(SEARCH(("No"),(O376))))</formula>
    </cfRule>
  </conditionalFormatting>
  <conditionalFormatting sqref="O376 O379 O381:O382 O384:O385 O389:O390 O393:O394 O396 O399:O409">
    <cfRule type="containsText" dxfId="9" priority="49312" operator="containsText" text="No">
      <formula>NOT(ISERROR(SEARCH(("No"),(O376))))</formula>
    </cfRule>
  </conditionalFormatting>
  <conditionalFormatting sqref="O376 O379 O381:O382 O384:O385 O389:O390 O393:O394 O396 O399:O409">
    <cfRule type="containsText" dxfId="9" priority="49313" operator="containsText" text="No">
      <formula>NOT(ISERROR(SEARCH(("No"),(O376))))</formula>
    </cfRule>
  </conditionalFormatting>
  <conditionalFormatting sqref="O376 O379 O381:O382 O384:O385 O389:O390 O393:O394 O396 O399:O409">
    <cfRule type="containsText" dxfId="9" priority="49314" operator="containsText" text="No">
      <formula>NOT(ISERROR(SEARCH(("No"),(O376))))</formula>
    </cfRule>
  </conditionalFormatting>
  <conditionalFormatting sqref="O376 O379 O381:O382 O384:O385 O389:O390 O393:O394 O396 O399:O409">
    <cfRule type="containsText" dxfId="9" priority="49315" operator="containsText" text="No">
      <formula>NOT(ISERROR(SEARCH(("No"),(O376))))</formula>
    </cfRule>
  </conditionalFormatting>
  <conditionalFormatting sqref="O376 O379 O381:O382 O384:O385 O389:O390 O393:O394 O396 O399:O409">
    <cfRule type="containsText" dxfId="9" priority="49316" operator="containsText" text="No">
      <formula>NOT(ISERROR(SEARCH(("No"),(O376))))</formula>
    </cfRule>
  </conditionalFormatting>
  <conditionalFormatting sqref="O376 O379 O381:O382 O384:O385 O389:O390 O393:O394 O396 O399:O409">
    <cfRule type="containsText" dxfId="9" priority="49317" operator="containsText" text="No">
      <formula>NOT(ISERROR(SEARCH(("No"),(O376))))</formula>
    </cfRule>
  </conditionalFormatting>
  <conditionalFormatting sqref="O376 O379 O381:O382 O384:O385 O389:O390 O393:O394 O396 O399:O409">
    <cfRule type="containsText" dxfId="9" priority="49318" operator="containsText" text="No">
      <formula>NOT(ISERROR(SEARCH(("No"),(O376))))</formula>
    </cfRule>
  </conditionalFormatting>
  <conditionalFormatting sqref="O376 O379 O381:O382 O384:O385 O389:O390 O393:O394 O396 O399:O409">
    <cfRule type="containsText" dxfId="9" priority="49319" operator="containsText" text="No">
      <formula>NOT(ISERROR(SEARCH(("No"),(O376))))</formula>
    </cfRule>
  </conditionalFormatting>
  <conditionalFormatting sqref="O376 O379 O381:O382 O384:O385 O389:O390 O393:O394 O396 O399:O409">
    <cfRule type="containsText" dxfId="9" priority="49320" operator="containsText" text="No">
      <formula>NOT(ISERROR(SEARCH(("No"),(O376))))</formula>
    </cfRule>
  </conditionalFormatting>
  <conditionalFormatting sqref="O376 O379 O381:O382 O384:O385 O389:O390 O393:O394 O396 O399:O409">
    <cfRule type="containsText" dxfId="9" priority="49321" operator="containsText" text="No">
      <formula>NOT(ISERROR(SEARCH(("No"),(O376))))</formula>
    </cfRule>
  </conditionalFormatting>
  <conditionalFormatting sqref="O376 O379 O381:O382 O384:O385 O389:O390 O393:O394 O396 O399:O409">
    <cfRule type="containsText" dxfId="9" priority="49322" operator="containsText" text="No">
      <formula>NOT(ISERROR(SEARCH(("No"),(O376))))</formula>
    </cfRule>
  </conditionalFormatting>
  <conditionalFormatting sqref="O376 O379 O381:O382 O384:O385 O389:O390 O393:O394 O396 O399:O409">
    <cfRule type="containsText" dxfId="2" priority="49323" operator="containsText" text="Yes">
      <formula>NOT(ISERROR(SEARCH(("Yes"),(O376))))</formula>
    </cfRule>
  </conditionalFormatting>
  <conditionalFormatting sqref="O376 O379 O381:O382 O384:O385 O389:O390 O393:O394 O396 O399:O409">
    <cfRule type="containsText" dxfId="2" priority="49324" operator="containsText" text="Yes">
      <formula>NOT(ISERROR(SEARCH(("Yes"),(O376))))</formula>
    </cfRule>
  </conditionalFormatting>
  <conditionalFormatting sqref="O376 O379 O381:O382 O384:O385 O389:O390 O393:O394 O396 O399:O409">
    <cfRule type="containsText" dxfId="2" priority="49325" operator="containsText" text="Yes">
      <formula>NOT(ISERROR(SEARCH(("Yes"),(O376))))</formula>
    </cfRule>
  </conditionalFormatting>
  <conditionalFormatting sqref="O376 O379 O381:O382 O384:O385 O389:O390 O393:O394 O396 O399:O409">
    <cfRule type="containsText" dxfId="2" priority="49326" operator="containsText" text="Yes">
      <formula>NOT(ISERROR(SEARCH(("Yes"),(O376))))</formula>
    </cfRule>
  </conditionalFormatting>
  <conditionalFormatting sqref="O376 O379 O381:O382 O384:O385 O389:O390 O393:O394 O396 O399:O409">
    <cfRule type="containsText" dxfId="2" priority="49327" operator="containsText" text="Yes">
      <formula>NOT(ISERROR(SEARCH(("Yes"),(O376))))</formula>
    </cfRule>
  </conditionalFormatting>
  <conditionalFormatting sqref="O376 O379 O381:O382 O384:O385 O389:O390 O393:O394 O396 O399:O409">
    <cfRule type="containsText" dxfId="2" priority="49328" operator="containsText" text="Yes">
      <formula>NOT(ISERROR(SEARCH(("Yes"),(O376))))</formula>
    </cfRule>
  </conditionalFormatting>
  <conditionalFormatting sqref="O376 O379 O381:O382 O384:O385 O389:O390 O393:O394 O396 O399:O409">
    <cfRule type="containsText" dxfId="2" priority="49329" operator="containsText" text="Yes">
      <formula>NOT(ISERROR(SEARCH(("Yes"),(O376))))</formula>
    </cfRule>
  </conditionalFormatting>
  <conditionalFormatting sqref="O376 O379 O381:O382 O384:O385 O389:O390 O393:O394 O396 O399:O409">
    <cfRule type="containsText" dxfId="2" priority="49330" operator="containsText" text="Yes">
      <formula>NOT(ISERROR(SEARCH(("Yes"),(O376))))</formula>
    </cfRule>
  </conditionalFormatting>
  <conditionalFormatting sqref="O376 O379 O381:O382 O384:O385 O389:O390 O393:O394 O396 O399:O409">
    <cfRule type="containsText" dxfId="2" priority="49331" operator="containsText" text="Yes">
      <formula>NOT(ISERROR(SEARCH(("Yes"),(O376))))</formula>
    </cfRule>
  </conditionalFormatting>
  <conditionalFormatting sqref="O376 O379 O381:O382 O384:O385 O389:O390 O393:O394 O396 O399:O409">
    <cfRule type="containsText" dxfId="2" priority="49332" operator="containsText" text="Yes">
      <formula>NOT(ISERROR(SEARCH(("Yes"),(O376))))</formula>
    </cfRule>
  </conditionalFormatting>
  <conditionalFormatting sqref="O376 O379 O381:O382 O384:O385 O389:O390 O393:O394 O396 O399:O409">
    <cfRule type="containsText" dxfId="2" priority="49333" operator="containsText" text="Yes">
      <formula>NOT(ISERROR(SEARCH(("Yes"),(O376))))</formula>
    </cfRule>
  </conditionalFormatting>
  <conditionalFormatting sqref="O376 O379 O381:O382 O384:O385 O389:O390 O393:O394 O396 O399:O409">
    <cfRule type="containsText" dxfId="2" priority="49334" operator="containsText" text="Yes">
      <formula>NOT(ISERROR(SEARCH(("Yes"),(O376))))</formula>
    </cfRule>
  </conditionalFormatting>
  <conditionalFormatting sqref="O376 O379 O381:O382 O384:O385 O389:O390 O393:O394 O396 O399:O409">
    <cfRule type="containsText" dxfId="2" priority="49335" operator="containsText" text="Yes">
      <formula>NOT(ISERROR(SEARCH(("Yes"),(O376))))</formula>
    </cfRule>
  </conditionalFormatting>
  <conditionalFormatting sqref="O376 O379 O381:O382 O384:O385 O389:O390 O393:O394 O396 O399:O409">
    <cfRule type="containsText" dxfId="2" priority="49336" operator="containsText" text="Yes">
      <formula>NOT(ISERROR(SEARCH(("Yes"),(O376))))</formula>
    </cfRule>
  </conditionalFormatting>
  <conditionalFormatting sqref="O376 O379 O381:O382 O384:O385 O389:O390 O393:O394 O396 O399:O409">
    <cfRule type="containsText" dxfId="2" priority="49337" operator="containsText" text="Yes">
      <formula>NOT(ISERROR(SEARCH(("Yes"),(O376))))</formula>
    </cfRule>
  </conditionalFormatting>
  <conditionalFormatting sqref="O376 O379 O381:O382 O384:O385 O389:O390 O393:O394 O396 O399:O409">
    <cfRule type="containsText" dxfId="2" priority="49338" operator="containsText" text="Yes">
      <formula>NOT(ISERROR(SEARCH(("Yes"),(O376))))</formula>
    </cfRule>
  </conditionalFormatting>
  <conditionalFormatting sqref="O376 O379 O381:O382 O384:O385 O389:O390 O393:O394 O396 O399:O409">
    <cfRule type="containsText" dxfId="2" priority="49339" operator="containsText" text="Yes">
      <formula>NOT(ISERROR(SEARCH(("Yes"),(O376))))</formula>
    </cfRule>
  </conditionalFormatting>
  <conditionalFormatting sqref="O376 O379 O381:O382 O384:O385 O389:O390 O393:O394 O396 O399:O409">
    <cfRule type="containsText" dxfId="2" priority="49340" operator="containsText" text="Yes">
      <formula>NOT(ISERROR(SEARCH(("Yes"),(O376))))</formula>
    </cfRule>
  </conditionalFormatting>
  <conditionalFormatting sqref="O376 O379 O381:O382 O384:O385 O389:O390 O393:O394 O396 O399:O409">
    <cfRule type="containsText" dxfId="2" priority="49341" operator="containsText" text="Yes">
      <formula>NOT(ISERROR(SEARCH(("Yes"),(O376))))</formula>
    </cfRule>
  </conditionalFormatting>
  <conditionalFormatting sqref="O376 O379 O381:O382 O384:O385 O389:O390 O393:O394 O396 O399:O409">
    <cfRule type="containsText" dxfId="2" priority="49342" operator="containsText" text="Yes">
      <formula>NOT(ISERROR(SEARCH(("Yes"),(O376))))</formula>
    </cfRule>
  </conditionalFormatting>
  <conditionalFormatting sqref="O376 O379 O381:O382 O384:O385 O389:O390 O393:O394 O396 O399:O409">
    <cfRule type="containsText" dxfId="2" priority="49343" operator="containsText" text="Yes">
      <formula>NOT(ISERROR(SEARCH(("Yes"),(O376))))</formula>
    </cfRule>
  </conditionalFormatting>
  <conditionalFormatting sqref="O376 O379 O381:O382 O384:O385 O389:O390 O393:O394 O396 O399:O409">
    <cfRule type="containsText" dxfId="2" priority="49344" operator="containsText" text="Yes">
      <formula>NOT(ISERROR(SEARCH(("Yes"),(O376))))</formula>
    </cfRule>
  </conditionalFormatting>
  <conditionalFormatting sqref="O376 O379 O381:O382 O384:O385 O389:O390 O393:O394 O396 O399:O409">
    <cfRule type="containsText" dxfId="2" priority="49345" operator="containsText" text="Yes">
      <formula>NOT(ISERROR(SEARCH(("Yes"),(O376))))</formula>
    </cfRule>
  </conditionalFormatting>
  <conditionalFormatting sqref="O376 O379 O381:O382 O384:O385 O389:O390 O393:O394 O396 O399:O409">
    <cfRule type="containsText" dxfId="2" priority="49346" operator="containsText" text="Yes">
      <formula>NOT(ISERROR(SEARCH(("Yes"),(O376))))</formula>
    </cfRule>
  </conditionalFormatting>
  <conditionalFormatting sqref="O376 O379 O381:O382 O384:O385 O389:O390 O393:O394 O396 O399:O409">
    <cfRule type="containsText" dxfId="2" priority="49347" operator="containsText" text="Yes">
      <formula>NOT(ISERROR(SEARCH(("Yes"),(O376))))</formula>
    </cfRule>
  </conditionalFormatting>
  <conditionalFormatting sqref="O376 O379 O381:O382 O384:O385 O389:O390 O393:O394 O396 O399:O409">
    <cfRule type="containsText" dxfId="2" priority="49348" operator="containsText" text="Yes">
      <formula>NOT(ISERROR(SEARCH(("Yes"),(O376))))</formula>
    </cfRule>
  </conditionalFormatting>
  <conditionalFormatting sqref="O376 O379 O381:O382 O384:O385 O389:O390 O393:O394 O396 O399:O409">
    <cfRule type="containsText" dxfId="2" priority="49349" operator="containsText" text="Yes">
      <formula>NOT(ISERROR(SEARCH(("Yes"),(O376))))</formula>
    </cfRule>
  </conditionalFormatting>
  <conditionalFormatting sqref="O376 O379 O381:O382 O384:O385 O389:O390 O393:O394 O396 O399:O409">
    <cfRule type="containsText" dxfId="2" priority="49350" operator="containsText" text="Yes">
      <formula>NOT(ISERROR(SEARCH(("Yes"),(O376))))</formula>
    </cfRule>
  </conditionalFormatting>
  <conditionalFormatting sqref="O376 O379 O381:O382 O384:O385 O389:O390 O393:O394 O396 O399:O409">
    <cfRule type="containsText" dxfId="2" priority="49351" operator="containsText" text="Yes">
      <formula>NOT(ISERROR(SEARCH(("Yes"),(O376))))</formula>
    </cfRule>
  </conditionalFormatting>
  <conditionalFormatting sqref="O376 O379 O381:O382 O384:O385 O389:O390 O393:O394 O396 O399:O409">
    <cfRule type="containsText" dxfId="2" priority="49352" operator="containsText" text="Yes">
      <formula>NOT(ISERROR(SEARCH(("Yes"),(O376))))</formula>
    </cfRule>
  </conditionalFormatting>
  <conditionalFormatting sqref="O376 O379 O381:O382 O384:O385 O389:O390 O393:O394 O396 O399:O409">
    <cfRule type="containsText" dxfId="2" priority="49353" operator="containsText" text="Yes">
      <formula>NOT(ISERROR(SEARCH(("Yes"),(O376))))</formula>
    </cfRule>
  </conditionalFormatting>
  <conditionalFormatting sqref="O376 O379 O381:O382 O384:O385 O389:O390 O393:O394 O396 O399:O409">
    <cfRule type="containsText" dxfId="2" priority="49354" operator="containsText" text="Yes">
      <formula>NOT(ISERROR(SEARCH(("Yes"),(O376))))</formula>
    </cfRule>
  </conditionalFormatting>
  <conditionalFormatting sqref="O376 O379 O381:O382 O384:O385 O389:O390 O393:O394 O396 O399:O409">
    <cfRule type="containsText" dxfId="2" priority="49355" operator="containsText" text="Yes">
      <formula>NOT(ISERROR(SEARCH(("Yes"),(O376))))</formula>
    </cfRule>
  </conditionalFormatting>
  <conditionalFormatting sqref="O376 O379 O381:O382 O384:O385 O389:O390 O393:O394 O396 O399:O409">
    <cfRule type="containsText" dxfId="2" priority="49356" operator="containsText" text="Yes">
      <formula>NOT(ISERROR(SEARCH(("Yes"),(O376))))</formula>
    </cfRule>
  </conditionalFormatting>
  <conditionalFormatting sqref="O376 O379 O381:O382 O384:O385 O389:O390 O393:O394 O396 O399:O409">
    <cfRule type="containsText" dxfId="2" priority="49357" operator="containsText" text="Yes">
      <formula>NOT(ISERROR(SEARCH(("Yes"),(O376))))</formula>
    </cfRule>
  </conditionalFormatting>
  <conditionalFormatting sqref="O376 O379 O381:O382 O384:O385 O389:O390 O393:O394 O396 O399:O409">
    <cfRule type="containsText" dxfId="2" priority="49358" operator="containsText" text="Yes">
      <formula>NOT(ISERROR(SEARCH(("Yes"),(O376))))</formula>
    </cfRule>
  </conditionalFormatting>
  <conditionalFormatting sqref="O376 O379 O381:O382 O384:O385 O389:O390 O393:O394 O396 O399:O409">
    <cfRule type="containsText" dxfId="2" priority="49359" operator="containsText" text="Yes">
      <formula>NOT(ISERROR(SEARCH(("Yes"),(O376))))</formula>
    </cfRule>
  </conditionalFormatting>
  <conditionalFormatting sqref="O376 O379 O381:O382 O384:O385 O389:O390 O393:O394 O396 O399:O409">
    <cfRule type="containsText" dxfId="2" priority="49360" operator="containsText" text="Yes">
      <formula>NOT(ISERROR(SEARCH(("Yes"),(O376))))</formula>
    </cfRule>
  </conditionalFormatting>
  <conditionalFormatting sqref="O376 O379 O381:O382 O384:O385 O389:O390 O393:O394 O396 O399:O409">
    <cfRule type="containsText" dxfId="2" priority="49361" operator="containsText" text="Yes">
      <formula>NOT(ISERROR(SEARCH(("Yes"),(O376))))</formula>
    </cfRule>
  </conditionalFormatting>
  <conditionalFormatting sqref="O376 O379 O381:O382 O384:O385 O389:O390 O393:O394 O396 O399:O409">
    <cfRule type="containsText" dxfId="2" priority="49362" operator="containsText" text="Yes">
      <formula>NOT(ISERROR(SEARCH(("Yes"),(O376))))</formula>
    </cfRule>
  </conditionalFormatting>
  <conditionalFormatting sqref="O376 O379 O381:O382 O384:O385 O389:O390 O393:O394 O396 O399:O409">
    <cfRule type="containsText" dxfId="2" priority="49363" operator="containsText" text="Yes">
      <formula>NOT(ISERROR(SEARCH(("Yes"),(O376))))</formula>
    </cfRule>
  </conditionalFormatting>
  <conditionalFormatting sqref="O376 O379 O381:O382 O384:O385 O389:O390 O393:O394 O396 O399:O409">
    <cfRule type="containsText" dxfId="2" priority="49364" operator="containsText" text="Yes">
      <formula>NOT(ISERROR(SEARCH(("Yes"),(O376))))</formula>
    </cfRule>
  </conditionalFormatting>
  <conditionalFormatting sqref="O376 O379 O381:O382 O384:O385 O389:O390 O393:O394 O396 O399:O409">
    <cfRule type="containsText" dxfId="2" priority="49365" operator="containsText" text="Yes">
      <formula>NOT(ISERROR(SEARCH(("Yes"),(O376))))</formula>
    </cfRule>
  </conditionalFormatting>
  <conditionalFormatting sqref="O376 O379 O381:O382 O384:O385 O389:O390 O393:O394 O396 O399:O409">
    <cfRule type="containsText" dxfId="2" priority="49366" operator="containsText" text="Yes">
      <formula>NOT(ISERROR(SEARCH(("Yes"),(O376))))</formula>
    </cfRule>
  </conditionalFormatting>
  <conditionalFormatting sqref="O376 O379 O381:O382 O384:O385 O389:O390 O393:O394 O396 O399:O409">
    <cfRule type="containsText" dxfId="2" priority="49367" operator="containsText" text="Yes">
      <formula>NOT(ISERROR(SEARCH(("Yes"),(O376))))</formula>
    </cfRule>
  </conditionalFormatting>
  <conditionalFormatting sqref="O376 O379 O381:O382 O384:O385 O389:O390 O393:O394 O396 O399:O409">
    <cfRule type="containsText" dxfId="2" priority="49368" operator="containsText" text="Yes">
      <formula>NOT(ISERROR(SEARCH(("Yes"),(O376))))</formula>
    </cfRule>
  </conditionalFormatting>
  <conditionalFormatting sqref="O376 O379 O381:O382 O384:O385 O389:O390 O393:O394 O396 O399:O409">
    <cfRule type="containsText" dxfId="2" priority="49369" operator="containsText" text="Yes">
      <formula>NOT(ISERROR(SEARCH(("Yes"),(O376))))</formula>
    </cfRule>
  </conditionalFormatting>
  <conditionalFormatting sqref="P376 P381:P382 P384:P385 P389:P390 P393:P394 P396 P399:P409">
    <cfRule type="containsText" dxfId="9" priority="49370" operator="containsText" text="No">
      <formula>NOT(ISERROR(SEARCH(("No"),(P376))))</formula>
    </cfRule>
  </conditionalFormatting>
  <conditionalFormatting sqref="P376 P381:P382 P384:P385 P389:P390 P393:P394 P396 P399:P409">
    <cfRule type="containsText" dxfId="9" priority="49371" operator="containsText" text="No">
      <formula>NOT(ISERROR(SEARCH(("No"),(P376))))</formula>
    </cfRule>
  </conditionalFormatting>
  <conditionalFormatting sqref="P376 P381:P382 P384:P385 P389:P390 P393:P394 P396 P399:P409">
    <cfRule type="containsText" dxfId="9" priority="49372" operator="containsText" text="No">
      <formula>NOT(ISERROR(SEARCH(("No"),(P376))))</formula>
    </cfRule>
  </conditionalFormatting>
  <conditionalFormatting sqref="P376 P381:P382 P384:P385 P389:P390 P393:P394 P396 P399:P409">
    <cfRule type="containsText" dxfId="9" priority="49373" operator="containsText" text="No">
      <formula>NOT(ISERROR(SEARCH(("No"),(P376))))</formula>
    </cfRule>
  </conditionalFormatting>
  <conditionalFormatting sqref="P376 P381:P382 P384:P385 P389:P390 P393:P394 P396 P399:P409">
    <cfRule type="containsText" dxfId="9" priority="49374" operator="containsText" text="No">
      <formula>NOT(ISERROR(SEARCH(("No"),(P376))))</formula>
    </cfRule>
  </conditionalFormatting>
  <conditionalFormatting sqref="P376 P381:P382 P384:P385 P389:P390 P393:P394 P396 P399:P409">
    <cfRule type="containsText" dxfId="9" priority="49375" operator="containsText" text="No">
      <formula>NOT(ISERROR(SEARCH(("No"),(P376))))</formula>
    </cfRule>
  </conditionalFormatting>
  <conditionalFormatting sqref="P376 P381:P382 P384:P385 P389:P390 P393:P394 P396 P399:P409">
    <cfRule type="containsText" dxfId="9" priority="49376" operator="containsText" text="No">
      <formula>NOT(ISERROR(SEARCH(("No"),(P376))))</formula>
    </cfRule>
  </conditionalFormatting>
  <conditionalFormatting sqref="P376 P381:P382 P384:P385 P389:P390 P393:P394 P396 P399:P409">
    <cfRule type="containsText" dxfId="9" priority="49377" operator="containsText" text="No">
      <formula>NOT(ISERROR(SEARCH(("No"),(P376))))</formula>
    </cfRule>
  </conditionalFormatting>
  <conditionalFormatting sqref="P376 P381:P382 P384:P385 P389:P390 P393:P394 P396 P399:P409">
    <cfRule type="containsText" dxfId="9" priority="49378" operator="containsText" text="No">
      <formula>NOT(ISERROR(SEARCH(("No"),(P376))))</formula>
    </cfRule>
  </conditionalFormatting>
  <conditionalFormatting sqref="P376 P381:P382 P384:P385 P389:P390 P393:P394 P396 P399:P409">
    <cfRule type="containsText" dxfId="9" priority="49379" operator="containsText" text="No">
      <formula>NOT(ISERROR(SEARCH(("No"),(P376))))</formula>
    </cfRule>
  </conditionalFormatting>
  <conditionalFormatting sqref="P376 P381:P382 P384:P385 P389:P390 P393:P394 P396 P399:P409">
    <cfRule type="containsText" dxfId="9" priority="49380" operator="containsText" text="No">
      <formula>NOT(ISERROR(SEARCH(("No"),(P376))))</formula>
    </cfRule>
  </conditionalFormatting>
  <conditionalFormatting sqref="P376 P381:P382 P384:P385 P389:P390 P393:P394 P396 P399:P409">
    <cfRule type="containsText" dxfId="9" priority="49381" operator="containsText" text="No">
      <formula>NOT(ISERROR(SEARCH(("No"),(P376))))</formula>
    </cfRule>
  </conditionalFormatting>
  <conditionalFormatting sqref="P376 P381:P382 P384:P385 P389:P390 P393:P394 P396 P399:P409">
    <cfRule type="containsText" dxfId="9" priority="49382" operator="containsText" text="No">
      <formula>NOT(ISERROR(SEARCH(("No"),(P376))))</formula>
    </cfRule>
  </conditionalFormatting>
  <conditionalFormatting sqref="P376 P381:P382 P384:P385 P389:P390 P393:P394 P396 P399:P409">
    <cfRule type="containsText" dxfId="9" priority="49383" operator="containsText" text="No">
      <formula>NOT(ISERROR(SEARCH(("No"),(P376))))</formula>
    </cfRule>
  </conditionalFormatting>
  <conditionalFormatting sqref="P376 P381:P382 P384:P385 P389:P390 P393:P394 P396 P399:P409">
    <cfRule type="containsText" dxfId="9" priority="49384" operator="containsText" text="No">
      <formula>NOT(ISERROR(SEARCH(("No"),(P376))))</formula>
    </cfRule>
  </conditionalFormatting>
  <conditionalFormatting sqref="P376 P381:P382 P384:P385 P389:P390 P393:P394 P396 P399:P409">
    <cfRule type="containsText" dxfId="9" priority="49385" operator="containsText" text="No">
      <formula>NOT(ISERROR(SEARCH(("No"),(P376))))</formula>
    </cfRule>
  </conditionalFormatting>
  <conditionalFormatting sqref="P376 P381:P382 P384:P385 P389:P390 P393:P394 P396 P399:P409">
    <cfRule type="containsText" dxfId="9" priority="49386" operator="containsText" text="No">
      <formula>NOT(ISERROR(SEARCH(("No"),(P376))))</formula>
    </cfRule>
  </conditionalFormatting>
  <conditionalFormatting sqref="P376 P381:P382 P384:P385 P389:P390 P393:P394 P396 P399:P409">
    <cfRule type="containsText" dxfId="9" priority="49387" operator="containsText" text="No">
      <formula>NOT(ISERROR(SEARCH(("No"),(P376))))</formula>
    </cfRule>
  </conditionalFormatting>
  <conditionalFormatting sqref="P376 P381:P382 P384:P385 P389:P390 P393:P394 P396 P399:P409">
    <cfRule type="containsText" dxfId="9" priority="49388" operator="containsText" text="No">
      <formula>NOT(ISERROR(SEARCH(("No"),(P376))))</formula>
    </cfRule>
  </conditionalFormatting>
  <conditionalFormatting sqref="P376 P381:P382 P384:P385 P389:P390 P393:P394 P396 P399:P409">
    <cfRule type="containsText" dxfId="9" priority="49389" operator="containsText" text="No">
      <formula>NOT(ISERROR(SEARCH(("No"),(P376))))</formula>
    </cfRule>
  </conditionalFormatting>
  <conditionalFormatting sqref="P376 P381:P382 P384:P385 P389:P390 P393:P394 P396 P399:P409">
    <cfRule type="containsText" dxfId="9" priority="49390" operator="containsText" text="No">
      <formula>NOT(ISERROR(SEARCH(("No"),(P376))))</formula>
    </cfRule>
  </conditionalFormatting>
  <conditionalFormatting sqref="P376 P381:P382 P384:P385 P389:P390 P393:P394 P396 P399:P409">
    <cfRule type="containsText" dxfId="9" priority="49391" operator="containsText" text="No">
      <formula>NOT(ISERROR(SEARCH(("No"),(P376))))</formula>
    </cfRule>
  </conditionalFormatting>
  <conditionalFormatting sqref="P376 P381:P382 P384:P385 P389:P390 P393:P394 P396 P399:P409">
    <cfRule type="containsText" dxfId="9" priority="49392" operator="containsText" text="No">
      <formula>NOT(ISERROR(SEARCH(("No"),(P376))))</formula>
    </cfRule>
  </conditionalFormatting>
  <conditionalFormatting sqref="P376 P381:P382 P384:P385 P389:P390 P393:P394 P396 P399:P409">
    <cfRule type="containsText" dxfId="9" priority="49393" operator="containsText" text="No">
      <formula>NOT(ISERROR(SEARCH(("No"),(P376))))</formula>
    </cfRule>
  </conditionalFormatting>
  <conditionalFormatting sqref="P376 P381:P382 P384:P385 P389:P390 P393:P394 P396 P399:P409">
    <cfRule type="containsText" dxfId="9" priority="49394" operator="containsText" text="No">
      <formula>NOT(ISERROR(SEARCH(("No"),(P376))))</formula>
    </cfRule>
  </conditionalFormatting>
  <conditionalFormatting sqref="P376 P381:P382 P384:P385 P389:P390 P393:P394 P396 P399:P409">
    <cfRule type="containsText" dxfId="9" priority="49395" operator="containsText" text="No">
      <formula>NOT(ISERROR(SEARCH(("No"),(P376))))</formula>
    </cfRule>
  </conditionalFormatting>
  <conditionalFormatting sqref="P376 P381:P382 P384:P385 P389:P390 P393:P394 P396 P399:P409">
    <cfRule type="containsText" dxfId="9" priority="49396" operator="containsText" text="No">
      <formula>NOT(ISERROR(SEARCH(("No"),(P376))))</formula>
    </cfRule>
  </conditionalFormatting>
  <conditionalFormatting sqref="P376 P381:P382 P384:P385 P389:P390 P393:P394 P396 P399:P409">
    <cfRule type="containsText" dxfId="9" priority="49397" operator="containsText" text="No">
      <formula>NOT(ISERROR(SEARCH(("No"),(P376))))</formula>
    </cfRule>
  </conditionalFormatting>
  <conditionalFormatting sqref="P376 P381:P382 P384:P385 P389:P390 P393:P394 P396 P399:P409">
    <cfRule type="containsText" dxfId="9" priority="49398" operator="containsText" text="No">
      <formula>NOT(ISERROR(SEARCH(("No"),(P376))))</formula>
    </cfRule>
  </conditionalFormatting>
  <conditionalFormatting sqref="P376 P381:P382 P384:P385 P389:P390 P393:P394 P396 P399:P409">
    <cfRule type="containsText" dxfId="9" priority="49399" operator="containsText" text="No">
      <formula>NOT(ISERROR(SEARCH(("No"),(P376))))</formula>
    </cfRule>
  </conditionalFormatting>
  <conditionalFormatting sqref="P376 P381:P382 P384:P385 P389:P390 P393:P394 P396 P399:P409">
    <cfRule type="containsText" dxfId="9" priority="49400" operator="containsText" text="No">
      <formula>NOT(ISERROR(SEARCH(("No"),(P376))))</formula>
    </cfRule>
  </conditionalFormatting>
  <conditionalFormatting sqref="P376 P381:P382 P384:P385 P389:P390 P393:P394 P396 P399:P409">
    <cfRule type="containsText" dxfId="9" priority="49401" operator="containsText" text="No">
      <formula>NOT(ISERROR(SEARCH(("No"),(P376))))</formula>
    </cfRule>
  </conditionalFormatting>
  <conditionalFormatting sqref="P376 P381:P382 P384:P385 P389:P390 P393:P394 P396 P399:P409">
    <cfRule type="containsText" dxfId="9" priority="49402" operator="containsText" text="No">
      <formula>NOT(ISERROR(SEARCH(("No"),(P376))))</formula>
    </cfRule>
  </conditionalFormatting>
  <conditionalFormatting sqref="P376 P381:P382 P384:P385 P389:P390 P393:P394 P396 P399:P409">
    <cfRule type="containsText" dxfId="9" priority="49403" operator="containsText" text="No">
      <formula>NOT(ISERROR(SEARCH(("No"),(P376))))</formula>
    </cfRule>
  </conditionalFormatting>
  <conditionalFormatting sqref="P376 P381:P382 P384:P385 P389:P390 P393:P394 P396 P399:P409">
    <cfRule type="containsText" dxfId="9" priority="49404" operator="containsText" text="No">
      <formula>NOT(ISERROR(SEARCH(("No"),(P376))))</formula>
    </cfRule>
  </conditionalFormatting>
  <conditionalFormatting sqref="P376 P381:P382 P384:P385 P389:P390 P393:P394 P396 P399:P409">
    <cfRule type="containsText" dxfId="9" priority="49405" operator="containsText" text="No">
      <formula>NOT(ISERROR(SEARCH(("No"),(P376))))</formula>
    </cfRule>
  </conditionalFormatting>
  <conditionalFormatting sqref="P376 P381:P382 P384:P385 P389:P390 P393:P394 P396 P399:P409">
    <cfRule type="containsText" dxfId="9" priority="49406" operator="containsText" text="No">
      <formula>NOT(ISERROR(SEARCH(("No"),(P376))))</formula>
    </cfRule>
  </conditionalFormatting>
  <conditionalFormatting sqref="P376 P381:P382 P384:P385 P389:P390 P393:P394 P396 P399:P409">
    <cfRule type="containsText" dxfId="9" priority="49407" operator="containsText" text="No">
      <formula>NOT(ISERROR(SEARCH(("No"),(P376))))</formula>
    </cfRule>
  </conditionalFormatting>
  <conditionalFormatting sqref="P376 P381:P382 P384:P385 P389:P390 P393:P394 P396 P399:P409">
    <cfRule type="containsText" dxfId="9" priority="49408" operator="containsText" text="No">
      <formula>NOT(ISERROR(SEARCH(("No"),(P376))))</formula>
    </cfRule>
  </conditionalFormatting>
  <conditionalFormatting sqref="P376 P381:P382 P384:P385 P389:P390 P393:P394 P396 P399:P409">
    <cfRule type="containsText" dxfId="9" priority="49409" operator="containsText" text="No">
      <formula>NOT(ISERROR(SEARCH(("No"),(P376))))</formula>
    </cfRule>
  </conditionalFormatting>
  <conditionalFormatting sqref="P376 P381:P382 P384:P385 P389:P390 P393:P394 P396 P399:P409">
    <cfRule type="containsText" dxfId="9" priority="49410" operator="containsText" text="No">
      <formula>NOT(ISERROR(SEARCH(("No"),(P376))))</formula>
    </cfRule>
  </conditionalFormatting>
  <conditionalFormatting sqref="P376 P381:P382 P384:P385 P389:P390 P393:P394 P396 P399:P409">
    <cfRule type="containsText" dxfId="9" priority="49411" operator="containsText" text="No">
      <formula>NOT(ISERROR(SEARCH(("No"),(P376))))</formula>
    </cfRule>
  </conditionalFormatting>
  <conditionalFormatting sqref="P376 P381:P382 P384:P385 P389:P390 P393:P394 P396 P399:P409">
    <cfRule type="containsText" dxfId="9" priority="49412" operator="containsText" text="No">
      <formula>NOT(ISERROR(SEARCH(("No"),(P376))))</formula>
    </cfRule>
  </conditionalFormatting>
  <conditionalFormatting sqref="P376 P381:P382 P384:P385 P389:P390 P393:P394 P396 P399:P409">
    <cfRule type="containsText" dxfId="9" priority="49413" operator="containsText" text="No">
      <formula>NOT(ISERROR(SEARCH(("No"),(P376))))</formula>
    </cfRule>
  </conditionalFormatting>
  <conditionalFormatting sqref="P376 P381:P382 P384:P385 P389:P390 P393:P394 P396 P399:P409">
    <cfRule type="containsText" dxfId="9" priority="49414" operator="containsText" text="No">
      <formula>NOT(ISERROR(SEARCH(("No"),(P376))))</formula>
    </cfRule>
  </conditionalFormatting>
  <conditionalFormatting sqref="P376 P381:P382 P384:P385 P389:P390 P393:P394 P396 P399:P409">
    <cfRule type="containsText" dxfId="2" priority="49415" operator="containsText" text="Yes">
      <formula>NOT(ISERROR(SEARCH(("Yes"),(P376))))</formula>
    </cfRule>
  </conditionalFormatting>
  <conditionalFormatting sqref="P376 P381:P382 P384:P385 P389:P390 P393:P394 P396 P399:P409">
    <cfRule type="containsText" dxfId="2" priority="49416" operator="containsText" text="Yes">
      <formula>NOT(ISERROR(SEARCH(("Yes"),(P376))))</formula>
    </cfRule>
  </conditionalFormatting>
  <conditionalFormatting sqref="P376 P381:P382 P384:P385 P389:P390 P393:P394 P396 P399:P409">
    <cfRule type="containsText" dxfId="2" priority="49417" operator="containsText" text="Yes">
      <formula>NOT(ISERROR(SEARCH(("Yes"),(P376))))</formula>
    </cfRule>
  </conditionalFormatting>
  <conditionalFormatting sqref="P376 P381:P382 P384:P385 P389:P390 P393:P394 P396 P399:P409">
    <cfRule type="containsText" dxfId="2" priority="49418" operator="containsText" text="Yes">
      <formula>NOT(ISERROR(SEARCH(("Yes"),(P376))))</formula>
    </cfRule>
  </conditionalFormatting>
  <conditionalFormatting sqref="P376 P381:P382 P384:P385 P389:P390 P393:P394 P396 P399:P409">
    <cfRule type="containsText" dxfId="2" priority="49419" operator="containsText" text="Yes">
      <formula>NOT(ISERROR(SEARCH(("Yes"),(P376))))</formula>
    </cfRule>
  </conditionalFormatting>
  <conditionalFormatting sqref="P376 P381:P382 P384:P385 P389:P390 P393:P394 P396 P399:P409">
    <cfRule type="containsText" dxfId="2" priority="49420" operator="containsText" text="Yes">
      <formula>NOT(ISERROR(SEARCH(("Yes"),(P376))))</formula>
    </cfRule>
  </conditionalFormatting>
  <conditionalFormatting sqref="P376 P381:P382 P384:P385 P389:P390 P393:P394 P396 P399:P409">
    <cfRule type="containsText" dxfId="2" priority="49421" operator="containsText" text="Yes">
      <formula>NOT(ISERROR(SEARCH(("Yes"),(P376))))</formula>
    </cfRule>
  </conditionalFormatting>
  <conditionalFormatting sqref="P376 P381:P382 P384:P385 P389:P390 P393:P394 P396 P399:P409">
    <cfRule type="containsText" dxfId="2" priority="49422" operator="containsText" text="Yes">
      <formula>NOT(ISERROR(SEARCH(("Yes"),(P376))))</formula>
    </cfRule>
  </conditionalFormatting>
  <conditionalFormatting sqref="P376 P381:P382 P384:P385 P389:P390 P393:P394 P396 P399:P409">
    <cfRule type="containsText" dxfId="2" priority="49423" operator="containsText" text="Yes">
      <formula>NOT(ISERROR(SEARCH(("Yes"),(P376))))</formula>
    </cfRule>
  </conditionalFormatting>
  <conditionalFormatting sqref="P376 P381:P382 P384:P385 P389:P390 P393:P394 P396 P399:P409">
    <cfRule type="containsText" dxfId="2" priority="49424" operator="containsText" text="Yes">
      <formula>NOT(ISERROR(SEARCH(("Yes"),(P376))))</formula>
    </cfRule>
  </conditionalFormatting>
  <conditionalFormatting sqref="P376 P381:P382 P384:P385 P389:P390 P393:P394 P396 P399:P409">
    <cfRule type="containsText" dxfId="2" priority="49425" operator="containsText" text="Yes">
      <formula>NOT(ISERROR(SEARCH(("Yes"),(P376))))</formula>
    </cfRule>
  </conditionalFormatting>
  <conditionalFormatting sqref="P376 P381:P382 P384:P385 P389:P390 P393:P394 P396 P399:P409">
    <cfRule type="containsText" dxfId="2" priority="49426" operator="containsText" text="Yes">
      <formula>NOT(ISERROR(SEARCH(("Yes"),(P376))))</formula>
    </cfRule>
  </conditionalFormatting>
  <conditionalFormatting sqref="P376 P381:P382 P384:P385 P389:P390 P393:P394 P396 P399:P409">
    <cfRule type="containsText" dxfId="2" priority="49427" operator="containsText" text="Yes">
      <formula>NOT(ISERROR(SEARCH(("Yes"),(P376))))</formula>
    </cfRule>
  </conditionalFormatting>
  <conditionalFormatting sqref="P376 P381:P382 P384:P385 P389:P390 P393:P394 P396 P399:P409">
    <cfRule type="containsText" dxfId="2" priority="49428" operator="containsText" text="Yes">
      <formula>NOT(ISERROR(SEARCH(("Yes"),(P376))))</formula>
    </cfRule>
  </conditionalFormatting>
  <conditionalFormatting sqref="P376 P381:P382 P384:P385 P389:P390 P393:P394 P396 P399:P409">
    <cfRule type="containsText" dxfId="2" priority="49429" operator="containsText" text="Yes">
      <formula>NOT(ISERROR(SEARCH(("Yes"),(P376))))</formula>
    </cfRule>
  </conditionalFormatting>
  <conditionalFormatting sqref="P376 P381:P382 P384:P385 P389:P390 P393:P394 P396 P399:P409">
    <cfRule type="containsText" dxfId="2" priority="49430" operator="containsText" text="Yes">
      <formula>NOT(ISERROR(SEARCH(("Yes"),(P376))))</formula>
    </cfRule>
  </conditionalFormatting>
  <conditionalFormatting sqref="P376 P381:P382 P384:P385 P389:P390 P393:P394 P396 P399:P409">
    <cfRule type="containsText" dxfId="2" priority="49431" operator="containsText" text="Yes">
      <formula>NOT(ISERROR(SEARCH(("Yes"),(P376))))</formula>
    </cfRule>
  </conditionalFormatting>
  <conditionalFormatting sqref="P376 P381:P382 P384:P385 P389:P390 P393:P394 P396 P399:P409">
    <cfRule type="containsText" dxfId="2" priority="49432" operator="containsText" text="Yes">
      <formula>NOT(ISERROR(SEARCH(("Yes"),(P376))))</formula>
    </cfRule>
  </conditionalFormatting>
  <conditionalFormatting sqref="P376 P381:P382 P384:P385 P389:P390 P393:P394 P396 P399:P409">
    <cfRule type="containsText" dxfId="2" priority="49433" operator="containsText" text="Yes">
      <formula>NOT(ISERROR(SEARCH(("Yes"),(P376))))</formula>
    </cfRule>
  </conditionalFormatting>
  <conditionalFormatting sqref="P376 P381:P382 P384:P385 P389:P390 P393:P394 P396 P399:P409">
    <cfRule type="containsText" dxfId="2" priority="49434" operator="containsText" text="Yes">
      <formula>NOT(ISERROR(SEARCH(("Yes"),(P376))))</formula>
    </cfRule>
  </conditionalFormatting>
  <conditionalFormatting sqref="P376 P381:P382 P384:P385 P389:P390 P393:P394 P396 P399:P409">
    <cfRule type="containsText" dxfId="2" priority="49435" operator="containsText" text="Yes">
      <formula>NOT(ISERROR(SEARCH(("Yes"),(P376))))</formula>
    </cfRule>
  </conditionalFormatting>
  <conditionalFormatting sqref="P376 P381:P382 P384:P385 P389:P390 P393:P394 P396 P399:P409">
    <cfRule type="containsText" dxfId="2" priority="49436" operator="containsText" text="Yes">
      <formula>NOT(ISERROR(SEARCH(("Yes"),(P376))))</formula>
    </cfRule>
  </conditionalFormatting>
  <conditionalFormatting sqref="P376 P381:P382 P384:P385 P389:P390 P393:P394 P396 P399:P409">
    <cfRule type="containsText" dxfId="2" priority="49437" operator="containsText" text="Yes">
      <formula>NOT(ISERROR(SEARCH(("Yes"),(P376))))</formula>
    </cfRule>
  </conditionalFormatting>
  <conditionalFormatting sqref="P376 P381:P382 P384:P385 P389:P390 P393:P394 P396 P399:P409">
    <cfRule type="containsText" dxfId="2" priority="49438" operator="containsText" text="Yes">
      <formula>NOT(ISERROR(SEARCH(("Yes"),(P376))))</formula>
    </cfRule>
  </conditionalFormatting>
  <conditionalFormatting sqref="P376 P381:P382 P384:P385 P389:P390 P393:P394 P396 P399:P409">
    <cfRule type="containsText" dxfId="2" priority="49439" operator="containsText" text="Yes">
      <formula>NOT(ISERROR(SEARCH(("Yes"),(P376))))</formula>
    </cfRule>
  </conditionalFormatting>
  <conditionalFormatting sqref="P376 P381:P382 P384:P385 P389:P390 P393:P394 P396 P399:P409">
    <cfRule type="containsText" dxfId="2" priority="49440" operator="containsText" text="Yes">
      <formula>NOT(ISERROR(SEARCH(("Yes"),(P376))))</formula>
    </cfRule>
  </conditionalFormatting>
  <conditionalFormatting sqref="P376 P381:P382 P384:P385 P389:P390 P393:P394 P396 P399:P409">
    <cfRule type="containsText" dxfId="2" priority="49441" operator="containsText" text="Yes">
      <formula>NOT(ISERROR(SEARCH(("Yes"),(P376))))</formula>
    </cfRule>
  </conditionalFormatting>
  <conditionalFormatting sqref="P376 P381:P382 P384:P385 P389:P390 P393:P394 P396 P399:P409">
    <cfRule type="containsText" dxfId="2" priority="49442" operator="containsText" text="Yes">
      <formula>NOT(ISERROR(SEARCH(("Yes"),(P376))))</formula>
    </cfRule>
  </conditionalFormatting>
  <conditionalFormatting sqref="P376 P381:P382 P384:P385 P389:P390 P393:P394 P396 P399:P409">
    <cfRule type="containsText" dxfId="2" priority="49443" operator="containsText" text="Yes">
      <formula>NOT(ISERROR(SEARCH(("Yes"),(P376))))</formula>
    </cfRule>
  </conditionalFormatting>
  <conditionalFormatting sqref="P376 P381:P382 P384:P385 P389:P390 P393:P394 P396 P399:P409">
    <cfRule type="containsText" dxfId="2" priority="49444" operator="containsText" text="Yes">
      <formula>NOT(ISERROR(SEARCH(("Yes"),(P376))))</formula>
    </cfRule>
  </conditionalFormatting>
  <conditionalFormatting sqref="P376 P381:P382 P384:P385 P389:P390 P393:P394 P396 P399:P409">
    <cfRule type="containsText" dxfId="2" priority="49445" operator="containsText" text="Yes">
      <formula>NOT(ISERROR(SEARCH(("Yes"),(P376))))</formula>
    </cfRule>
  </conditionalFormatting>
  <conditionalFormatting sqref="P376 P381:P382 P384:P385 P389:P390 P393:P394 P396 P399:P409">
    <cfRule type="containsText" dxfId="2" priority="49446" operator="containsText" text="Yes">
      <formula>NOT(ISERROR(SEARCH(("Yes"),(P376))))</formula>
    </cfRule>
  </conditionalFormatting>
  <conditionalFormatting sqref="P376 P381:P382 P384:P385 P389:P390 P393:P394 P396 P399:P409">
    <cfRule type="containsText" dxfId="2" priority="49447" operator="containsText" text="Yes">
      <formula>NOT(ISERROR(SEARCH(("Yes"),(P376))))</formula>
    </cfRule>
  </conditionalFormatting>
  <conditionalFormatting sqref="P376 P381:P382 P384:P385 P389:P390 P393:P394 P396 P399:P409">
    <cfRule type="containsText" dxfId="2" priority="49448" operator="containsText" text="Yes">
      <formula>NOT(ISERROR(SEARCH(("Yes"),(P376))))</formula>
    </cfRule>
  </conditionalFormatting>
  <conditionalFormatting sqref="P376 P381:P382 P384:P385 P389:P390 P393:P394 P396 P399:P409">
    <cfRule type="containsText" dxfId="2" priority="49449" operator="containsText" text="Yes">
      <formula>NOT(ISERROR(SEARCH(("Yes"),(P376))))</formula>
    </cfRule>
  </conditionalFormatting>
  <conditionalFormatting sqref="P376 P381:P382 P384:P385 P389:P390 P393:P394 P396 P399:P409">
    <cfRule type="containsText" dxfId="2" priority="49450" operator="containsText" text="Yes">
      <formula>NOT(ISERROR(SEARCH(("Yes"),(P376))))</formula>
    </cfRule>
  </conditionalFormatting>
  <conditionalFormatting sqref="P376 P381:P382 P384:P385 P389:P390 P393:P394 P396 P399:P409">
    <cfRule type="containsText" dxfId="2" priority="49451" operator="containsText" text="Yes">
      <formula>NOT(ISERROR(SEARCH(("Yes"),(P376))))</formula>
    </cfRule>
  </conditionalFormatting>
  <conditionalFormatting sqref="P376 P381:P382 P384:P385 P389:P390 P393:P394 P396 P399:P409">
    <cfRule type="containsText" dxfId="2" priority="49452" operator="containsText" text="Yes">
      <formula>NOT(ISERROR(SEARCH(("Yes"),(P376))))</formula>
    </cfRule>
  </conditionalFormatting>
  <conditionalFormatting sqref="P376 P381:P382 P384:P385 P389:P390 P393:P394 P396 P399:P409">
    <cfRule type="containsText" dxfId="2" priority="49453" operator="containsText" text="Yes">
      <formula>NOT(ISERROR(SEARCH(("Yes"),(P376))))</formula>
    </cfRule>
  </conditionalFormatting>
  <conditionalFormatting sqref="P376 P381:P382 P384:P385 P389:P390 P393:P394 P396 P399:P409">
    <cfRule type="containsText" dxfId="2" priority="49454" operator="containsText" text="Yes">
      <formula>NOT(ISERROR(SEARCH(("Yes"),(P376))))</formula>
    </cfRule>
  </conditionalFormatting>
  <conditionalFormatting sqref="P376 P381:P382 P384:P385 P389:P390 P393:P394 P396 P399:P409">
    <cfRule type="containsText" dxfId="2" priority="49455" operator="containsText" text="Yes">
      <formula>NOT(ISERROR(SEARCH(("Yes"),(P376))))</formula>
    </cfRule>
  </conditionalFormatting>
  <conditionalFormatting sqref="P376 P381:P382 P384:P385 P389:P390 P393:P394 P396 P399:P409">
    <cfRule type="containsText" dxfId="2" priority="49456" operator="containsText" text="Yes">
      <formula>NOT(ISERROR(SEARCH(("Yes"),(P376))))</formula>
    </cfRule>
  </conditionalFormatting>
  <conditionalFormatting sqref="P376 P381:P382 P384:P385 P389:P390 P393:P394 P396 P399:P409">
    <cfRule type="containsText" dxfId="2" priority="49457" operator="containsText" text="Yes">
      <formula>NOT(ISERROR(SEARCH(("Yes"),(P376))))</formula>
    </cfRule>
  </conditionalFormatting>
  <conditionalFormatting sqref="P376 P381:P382 P384:P385 P389:P390 P393:P394 P396 P399:P409">
    <cfRule type="containsText" dxfId="2" priority="49458" operator="containsText" text="Yes">
      <formula>NOT(ISERROR(SEARCH(("Yes"),(P376))))</formula>
    </cfRule>
  </conditionalFormatting>
  <conditionalFormatting sqref="P376 P381:P382 P384:P385 P389:P390 P393:P394 P396 P399:P409">
    <cfRule type="containsText" dxfId="2" priority="49459" operator="containsText" text="Yes">
      <formula>NOT(ISERROR(SEARCH(("Yes"),(P376))))</formula>
    </cfRule>
  </conditionalFormatting>
  <conditionalFormatting sqref="P376 P381:P382 P384:P385 P389:P390 P393:P394 P396 P399:P409">
    <cfRule type="containsText" dxfId="2" priority="49460" operator="containsText" text="Yes">
      <formula>NOT(ISERROR(SEARCH(("Yes"),(P376))))</formula>
    </cfRule>
  </conditionalFormatting>
  <conditionalFormatting sqref="P376 P381:P382 P384:P385 P389:P390 P393:P394 P396 P399:P409">
    <cfRule type="containsText" dxfId="2" priority="49461" operator="containsText" text="Yes">
      <formula>NOT(ISERROR(SEARCH(("Yes"),(P376))))</formula>
    </cfRule>
  </conditionalFormatting>
  <conditionalFormatting sqref="Q376 Q381:Q382 Q384:Q385 Q389:Q390 Q393:Q394 Q396 Q399:Q409">
    <cfRule type="containsText" dxfId="9" priority="49462" operator="containsText" text="No">
      <formula>NOT(ISERROR(SEARCH(("No"),(Q376))))</formula>
    </cfRule>
  </conditionalFormatting>
  <conditionalFormatting sqref="Q376 Q381:Q382 Q384:Q385 Q389:Q390 Q393:Q394 Q396 Q399:Q409">
    <cfRule type="containsText" dxfId="9" priority="49463" operator="containsText" text="No">
      <formula>NOT(ISERROR(SEARCH(("No"),(Q376))))</formula>
    </cfRule>
  </conditionalFormatting>
  <conditionalFormatting sqref="Q376 Q381:Q382 Q384:Q385 Q389:Q390 Q393:Q394 Q396 Q399:Q409">
    <cfRule type="containsText" dxfId="9" priority="49464" operator="containsText" text="No">
      <formula>NOT(ISERROR(SEARCH(("No"),(Q376))))</formula>
    </cfRule>
  </conditionalFormatting>
  <conditionalFormatting sqref="Q376 Q381:Q382 Q384:Q385 Q389:Q390 Q393:Q394 Q396 Q399:Q409">
    <cfRule type="containsText" dxfId="9" priority="49465" operator="containsText" text="No">
      <formula>NOT(ISERROR(SEARCH(("No"),(Q376))))</formula>
    </cfRule>
  </conditionalFormatting>
  <conditionalFormatting sqref="Q376 Q381:Q382 Q384:Q385 Q389:Q390 Q393:Q394 Q396 Q399:Q409">
    <cfRule type="containsText" dxfId="9" priority="49466" operator="containsText" text="No">
      <formula>NOT(ISERROR(SEARCH(("No"),(Q376))))</formula>
    </cfRule>
  </conditionalFormatting>
  <conditionalFormatting sqref="Q376 Q381:Q382 Q384:Q385 Q389:Q390 Q393:Q394 Q396 Q399:Q409">
    <cfRule type="containsText" dxfId="9" priority="49467" operator="containsText" text="No">
      <formula>NOT(ISERROR(SEARCH(("No"),(Q376))))</formula>
    </cfRule>
  </conditionalFormatting>
  <conditionalFormatting sqref="Q376 Q381:Q382 Q384:Q385 Q389:Q390 Q393:Q394 Q396 Q399:Q409">
    <cfRule type="containsText" dxfId="9" priority="49468" operator="containsText" text="No">
      <formula>NOT(ISERROR(SEARCH(("No"),(Q376))))</formula>
    </cfRule>
  </conditionalFormatting>
  <conditionalFormatting sqref="Q376 Q381:Q382 Q384:Q385 Q389:Q390 Q393:Q394 Q396 Q399:Q409">
    <cfRule type="containsText" dxfId="9" priority="49469" operator="containsText" text="No">
      <formula>NOT(ISERROR(SEARCH(("No"),(Q376))))</formula>
    </cfRule>
  </conditionalFormatting>
  <conditionalFormatting sqref="Q376 Q381:Q382 Q384:Q385 Q389:Q390 Q393:Q394 Q396 Q399:Q409">
    <cfRule type="containsText" dxfId="9" priority="49470" operator="containsText" text="No">
      <formula>NOT(ISERROR(SEARCH(("No"),(Q376))))</formula>
    </cfRule>
  </conditionalFormatting>
  <conditionalFormatting sqref="Q376 Q381:Q382 Q384:Q385 Q389:Q390 Q393:Q394 Q396 Q399:Q409">
    <cfRule type="containsText" dxfId="9" priority="49471" operator="containsText" text="No">
      <formula>NOT(ISERROR(SEARCH(("No"),(Q376))))</formula>
    </cfRule>
  </conditionalFormatting>
  <conditionalFormatting sqref="Q376 Q381:Q382 Q384:Q385 Q389:Q390 Q393:Q394 Q396 Q399:Q409">
    <cfRule type="containsText" dxfId="9" priority="49472" operator="containsText" text="No">
      <formula>NOT(ISERROR(SEARCH(("No"),(Q376))))</formula>
    </cfRule>
  </conditionalFormatting>
  <conditionalFormatting sqref="Q376 Q381:Q382 Q384:Q385 Q389:Q390 Q393:Q394 Q396 Q399:Q409">
    <cfRule type="containsText" dxfId="9" priority="49473" operator="containsText" text="No">
      <formula>NOT(ISERROR(SEARCH(("No"),(Q376))))</formula>
    </cfRule>
  </conditionalFormatting>
  <conditionalFormatting sqref="Q376 Q381:Q382 Q384:Q385 Q389:Q390 Q393:Q394 Q396 Q399:Q409">
    <cfRule type="containsText" dxfId="9" priority="49474" operator="containsText" text="No">
      <formula>NOT(ISERROR(SEARCH(("No"),(Q376))))</formula>
    </cfRule>
  </conditionalFormatting>
  <conditionalFormatting sqref="Q376 Q381:Q382 Q384:Q385 Q389:Q390 Q393:Q394 Q396 Q399:Q409">
    <cfRule type="containsText" dxfId="9" priority="49475" operator="containsText" text="No">
      <formula>NOT(ISERROR(SEARCH(("No"),(Q376))))</formula>
    </cfRule>
  </conditionalFormatting>
  <conditionalFormatting sqref="Q376 Q381:Q382 Q384:Q385 Q389:Q390 Q393:Q394 Q396 Q399:Q409">
    <cfRule type="containsText" dxfId="9" priority="49476" operator="containsText" text="No">
      <formula>NOT(ISERROR(SEARCH(("No"),(Q376))))</formula>
    </cfRule>
  </conditionalFormatting>
  <conditionalFormatting sqref="Q376 Q381:Q382 Q384:Q385 Q389:Q390 Q393:Q394 Q396 Q399:Q409">
    <cfRule type="containsText" dxfId="9" priority="49477" operator="containsText" text="No">
      <formula>NOT(ISERROR(SEARCH(("No"),(Q376))))</formula>
    </cfRule>
  </conditionalFormatting>
  <conditionalFormatting sqref="Q376 Q381:Q382 Q384:Q385 Q389:Q390 Q393:Q394 Q396 Q399:Q409">
    <cfRule type="containsText" dxfId="9" priority="49478" operator="containsText" text="No">
      <formula>NOT(ISERROR(SEARCH(("No"),(Q376))))</formula>
    </cfRule>
  </conditionalFormatting>
  <conditionalFormatting sqref="Q376 Q381:Q382 Q384:Q385 Q389:Q390 Q393:Q394 Q396 Q399:Q409">
    <cfRule type="containsText" dxfId="9" priority="49479" operator="containsText" text="No">
      <formula>NOT(ISERROR(SEARCH(("No"),(Q376))))</formula>
    </cfRule>
  </conditionalFormatting>
  <conditionalFormatting sqref="Q376 Q381:Q382 Q384:Q385 Q389:Q390 Q393:Q394 Q396 Q399:Q409">
    <cfRule type="containsText" dxfId="9" priority="49480" operator="containsText" text="No">
      <formula>NOT(ISERROR(SEARCH(("No"),(Q376))))</formula>
    </cfRule>
  </conditionalFormatting>
  <conditionalFormatting sqref="Q376 Q381:Q382 Q384:Q385 Q389:Q390 Q393:Q394 Q396 Q399:Q409">
    <cfRule type="containsText" dxfId="9" priority="49481" operator="containsText" text="No">
      <formula>NOT(ISERROR(SEARCH(("No"),(Q376))))</formula>
    </cfRule>
  </conditionalFormatting>
  <conditionalFormatting sqref="Q376 Q381:Q382 Q384:Q385 Q389:Q390 Q393:Q394 Q396 Q399:Q409">
    <cfRule type="containsText" dxfId="9" priority="49482" operator="containsText" text="No">
      <formula>NOT(ISERROR(SEARCH(("No"),(Q376))))</formula>
    </cfRule>
  </conditionalFormatting>
  <conditionalFormatting sqref="Q376 Q381:Q382 Q384:Q385 Q389:Q390 Q393:Q394 Q396 Q399:Q409">
    <cfRule type="containsText" dxfId="9" priority="49483" operator="containsText" text="No">
      <formula>NOT(ISERROR(SEARCH(("No"),(Q376))))</formula>
    </cfRule>
  </conditionalFormatting>
  <conditionalFormatting sqref="Q376 Q381:Q382 Q384:Q385 Q389:Q390 Q393:Q394 Q396 Q399:Q409">
    <cfRule type="containsText" dxfId="9" priority="49484" operator="containsText" text="No">
      <formula>NOT(ISERROR(SEARCH(("No"),(Q376))))</formula>
    </cfRule>
  </conditionalFormatting>
  <conditionalFormatting sqref="Q376 Q381:Q382 Q384:Q385 Q389:Q390 Q393:Q394 Q396 Q399:Q409">
    <cfRule type="containsText" dxfId="9" priority="49485" operator="containsText" text="No">
      <formula>NOT(ISERROR(SEARCH(("No"),(Q376))))</formula>
    </cfRule>
  </conditionalFormatting>
  <conditionalFormatting sqref="Q376 Q381:Q382 Q384:Q385 Q389:Q390 Q393:Q394 Q396 Q399:Q409">
    <cfRule type="containsText" dxfId="9" priority="49486" operator="containsText" text="No">
      <formula>NOT(ISERROR(SEARCH(("No"),(Q376))))</formula>
    </cfRule>
  </conditionalFormatting>
  <conditionalFormatting sqref="Q376 Q381:Q382 Q384:Q385 Q389:Q390 Q393:Q394 Q396 Q399:Q409">
    <cfRule type="containsText" dxfId="9" priority="49487" operator="containsText" text="No">
      <formula>NOT(ISERROR(SEARCH(("No"),(Q376))))</formula>
    </cfRule>
  </conditionalFormatting>
  <conditionalFormatting sqref="Q376 Q381:Q382 Q384:Q385 Q389:Q390 Q393:Q394 Q396 Q399:Q409">
    <cfRule type="containsText" dxfId="9" priority="49488" operator="containsText" text="No">
      <formula>NOT(ISERROR(SEARCH(("No"),(Q376))))</formula>
    </cfRule>
  </conditionalFormatting>
  <conditionalFormatting sqref="Q376 Q381:Q382 Q384:Q385 Q389:Q390 Q393:Q394 Q396 Q399:Q409">
    <cfRule type="containsText" dxfId="9" priority="49489" operator="containsText" text="No">
      <formula>NOT(ISERROR(SEARCH(("No"),(Q376))))</formula>
    </cfRule>
  </conditionalFormatting>
  <conditionalFormatting sqref="Q376 Q381:Q382 Q384:Q385 Q389:Q390 Q393:Q394 Q396 Q399:Q409">
    <cfRule type="containsText" dxfId="9" priority="49490" operator="containsText" text="No">
      <formula>NOT(ISERROR(SEARCH(("No"),(Q376))))</formula>
    </cfRule>
  </conditionalFormatting>
  <conditionalFormatting sqref="Q376 Q381:Q382 Q384:Q385 Q389:Q390 Q393:Q394 Q396 Q399:Q409">
    <cfRule type="containsText" dxfId="9" priority="49491" operator="containsText" text="No">
      <formula>NOT(ISERROR(SEARCH(("No"),(Q376))))</formula>
    </cfRule>
  </conditionalFormatting>
  <conditionalFormatting sqref="Q376 Q381:Q382 Q384:Q385 Q389:Q390 Q393:Q394 Q396 Q399:Q409">
    <cfRule type="containsText" dxfId="9" priority="49492" operator="containsText" text="No">
      <formula>NOT(ISERROR(SEARCH(("No"),(Q376))))</formula>
    </cfRule>
  </conditionalFormatting>
  <conditionalFormatting sqref="Q376 Q381:Q382 Q384:Q385 Q389:Q390 Q393:Q394 Q396 Q399:Q409">
    <cfRule type="containsText" dxfId="9" priority="49493" operator="containsText" text="No">
      <formula>NOT(ISERROR(SEARCH(("No"),(Q376))))</formula>
    </cfRule>
  </conditionalFormatting>
  <conditionalFormatting sqref="Q376 Q381:Q382 Q384:Q385 Q389:Q390 Q393:Q394 Q396 Q399:Q409">
    <cfRule type="containsText" dxfId="9" priority="49494" operator="containsText" text="No">
      <formula>NOT(ISERROR(SEARCH(("No"),(Q376))))</formula>
    </cfRule>
  </conditionalFormatting>
  <conditionalFormatting sqref="Q376 Q381:Q382 Q384:Q385 Q389:Q390 Q393:Q394 Q396 Q399:Q409">
    <cfRule type="containsText" dxfId="9" priority="49495" operator="containsText" text="No">
      <formula>NOT(ISERROR(SEARCH(("No"),(Q376))))</formula>
    </cfRule>
  </conditionalFormatting>
  <conditionalFormatting sqref="Q376 Q381:Q382 Q384:Q385 Q389:Q390 Q393:Q394 Q396 Q399:Q409">
    <cfRule type="containsText" dxfId="9" priority="49496" operator="containsText" text="No">
      <formula>NOT(ISERROR(SEARCH(("No"),(Q376))))</formula>
    </cfRule>
  </conditionalFormatting>
  <conditionalFormatting sqref="Q376 Q381:Q382 Q384:Q385 Q389:Q390 Q393:Q394 Q396 Q399:Q409">
    <cfRule type="containsText" dxfId="9" priority="49497" operator="containsText" text="No">
      <formula>NOT(ISERROR(SEARCH(("No"),(Q376))))</formula>
    </cfRule>
  </conditionalFormatting>
  <conditionalFormatting sqref="Q376 Q381:Q382 Q384:Q385 Q389:Q390 Q393:Q394 Q396 Q399:Q409">
    <cfRule type="containsText" dxfId="9" priority="49498" operator="containsText" text="No">
      <formula>NOT(ISERROR(SEARCH(("No"),(Q376))))</formula>
    </cfRule>
  </conditionalFormatting>
  <conditionalFormatting sqref="Q376 Q381:Q382 Q384:Q385 Q389:Q390 Q393:Q394 Q396 Q399:Q409">
    <cfRule type="containsText" dxfId="9" priority="49499" operator="containsText" text="No">
      <formula>NOT(ISERROR(SEARCH(("No"),(Q376))))</formula>
    </cfRule>
  </conditionalFormatting>
  <conditionalFormatting sqref="Q376 Q381:Q382 Q384:Q385 Q389:Q390 Q393:Q394 Q396 Q399:Q409">
    <cfRule type="containsText" dxfId="9" priority="49500" operator="containsText" text="No">
      <formula>NOT(ISERROR(SEARCH(("No"),(Q376))))</formula>
    </cfRule>
  </conditionalFormatting>
  <conditionalFormatting sqref="Q376 Q381:Q382 Q384:Q385 Q389:Q390 Q393:Q394 Q396 Q399:Q409">
    <cfRule type="containsText" dxfId="9" priority="49501" operator="containsText" text="No">
      <formula>NOT(ISERROR(SEARCH(("No"),(Q376))))</formula>
    </cfRule>
  </conditionalFormatting>
  <conditionalFormatting sqref="Q376 Q381:Q382 Q384:Q385 Q389:Q390 Q393:Q394 Q396 Q399:Q409">
    <cfRule type="containsText" dxfId="9" priority="49502" operator="containsText" text="No">
      <formula>NOT(ISERROR(SEARCH(("No"),(Q376))))</formula>
    </cfRule>
  </conditionalFormatting>
  <conditionalFormatting sqref="Q376 Q381:Q382 Q384:Q385 Q389:Q390 Q393:Q394 Q396 Q399:Q409">
    <cfRule type="containsText" dxfId="9" priority="49503" operator="containsText" text="No">
      <formula>NOT(ISERROR(SEARCH(("No"),(Q376))))</formula>
    </cfRule>
  </conditionalFormatting>
  <conditionalFormatting sqref="Q376 Q381:Q382 Q384:Q385 Q389:Q390 Q393:Q394 Q396 Q399:Q409">
    <cfRule type="containsText" dxfId="9" priority="49504" operator="containsText" text="No">
      <formula>NOT(ISERROR(SEARCH(("No"),(Q376))))</formula>
    </cfRule>
  </conditionalFormatting>
  <conditionalFormatting sqref="Q376 Q381:Q382 Q384:Q385 Q389:Q390 Q393:Q394 Q396 Q399:Q409">
    <cfRule type="containsText" dxfId="9" priority="49505" operator="containsText" text="No">
      <formula>NOT(ISERROR(SEARCH(("No"),(Q376))))</formula>
    </cfRule>
  </conditionalFormatting>
  <conditionalFormatting sqref="Q376 Q381:Q382 Q384:Q385 Q389:Q390 Q393:Q394 Q396 Q399:Q409">
    <cfRule type="containsText" dxfId="9" priority="49506" operator="containsText" text="No">
      <formula>NOT(ISERROR(SEARCH(("No"),(Q376))))</formula>
    </cfRule>
  </conditionalFormatting>
  <conditionalFormatting sqref="Q376 Q381:Q382 Q384:Q385 Q389:Q390 Q393:Q394 Q396 Q399:Q409">
    <cfRule type="containsText" dxfId="2" priority="49507" operator="containsText" text="Yes">
      <formula>NOT(ISERROR(SEARCH(("Yes"),(Q376))))</formula>
    </cfRule>
  </conditionalFormatting>
  <conditionalFormatting sqref="Q376 Q381:Q382 Q384:Q385 Q389:Q390 Q393:Q394 Q396 Q399:Q409">
    <cfRule type="containsText" dxfId="2" priority="49508" operator="containsText" text="Yes">
      <formula>NOT(ISERROR(SEARCH(("Yes"),(Q376))))</formula>
    </cfRule>
  </conditionalFormatting>
  <conditionalFormatting sqref="Q376 Q381:Q382 Q384:Q385 Q389:Q390 Q393:Q394 Q396 Q399:Q409">
    <cfRule type="containsText" dxfId="2" priority="49509" operator="containsText" text="Yes">
      <formula>NOT(ISERROR(SEARCH(("Yes"),(Q376))))</formula>
    </cfRule>
  </conditionalFormatting>
  <conditionalFormatting sqref="Q376 Q381:Q382 Q384:Q385 Q389:Q390 Q393:Q394 Q396 Q399:Q409">
    <cfRule type="containsText" dxfId="2" priority="49510" operator="containsText" text="Yes">
      <formula>NOT(ISERROR(SEARCH(("Yes"),(Q376))))</formula>
    </cfRule>
  </conditionalFormatting>
  <conditionalFormatting sqref="Q376 Q381:Q382 Q384:Q385 Q389:Q390 Q393:Q394 Q396 Q399:Q409">
    <cfRule type="containsText" dxfId="2" priority="49511" operator="containsText" text="Yes">
      <formula>NOT(ISERROR(SEARCH(("Yes"),(Q376))))</formula>
    </cfRule>
  </conditionalFormatting>
  <conditionalFormatting sqref="Q376 Q381:Q382 Q384:Q385 Q389:Q390 Q393:Q394 Q396 Q399:Q409">
    <cfRule type="containsText" dxfId="2" priority="49512" operator="containsText" text="Yes">
      <formula>NOT(ISERROR(SEARCH(("Yes"),(Q376))))</formula>
    </cfRule>
  </conditionalFormatting>
  <conditionalFormatting sqref="Q376 Q381:Q382 Q384:Q385 Q389:Q390 Q393:Q394 Q396 Q399:Q409">
    <cfRule type="containsText" dxfId="2" priority="49513" operator="containsText" text="Yes">
      <formula>NOT(ISERROR(SEARCH(("Yes"),(Q376))))</formula>
    </cfRule>
  </conditionalFormatting>
  <conditionalFormatting sqref="Q376 Q381:Q382 Q384:Q385 Q389:Q390 Q393:Q394 Q396 Q399:Q409">
    <cfRule type="containsText" dxfId="2" priority="49514" operator="containsText" text="Yes">
      <formula>NOT(ISERROR(SEARCH(("Yes"),(Q376))))</formula>
    </cfRule>
  </conditionalFormatting>
  <conditionalFormatting sqref="Q376 Q381:Q382 Q384:Q385 Q389:Q390 Q393:Q394 Q396 Q399:Q409">
    <cfRule type="containsText" dxfId="2" priority="49515" operator="containsText" text="Yes">
      <formula>NOT(ISERROR(SEARCH(("Yes"),(Q376))))</formula>
    </cfRule>
  </conditionalFormatting>
  <conditionalFormatting sqref="Q376 Q381:Q382 Q384:Q385 Q389:Q390 Q393:Q394 Q396 Q399:Q409">
    <cfRule type="containsText" dxfId="2" priority="49516" operator="containsText" text="Yes">
      <formula>NOT(ISERROR(SEARCH(("Yes"),(Q376))))</formula>
    </cfRule>
  </conditionalFormatting>
  <conditionalFormatting sqref="Q376 Q381:Q382 Q384:Q385 Q389:Q390 Q393:Q394 Q396 Q399:Q409">
    <cfRule type="containsText" dxfId="2" priority="49517" operator="containsText" text="Yes">
      <formula>NOT(ISERROR(SEARCH(("Yes"),(Q376))))</formula>
    </cfRule>
  </conditionalFormatting>
  <conditionalFormatting sqref="Q376 Q381:Q382 Q384:Q385 Q389:Q390 Q393:Q394 Q396 Q399:Q409">
    <cfRule type="containsText" dxfId="2" priority="49518" operator="containsText" text="Yes">
      <formula>NOT(ISERROR(SEARCH(("Yes"),(Q376))))</formula>
    </cfRule>
  </conditionalFormatting>
  <conditionalFormatting sqref="Q376 Q381:Q382 Q384:Q385 Q389:Q390 Q393:Q394 Q396 Q399:Q409">
    <cfRule type="containsText" dxfId="2" priority="49519" operator="containsText" text="Yes">
      <formula>NOT(ISERROR(SEARCH(("Yes"),(Q376))))</formula>
    </cfRule>
  </conditionalFormatting>
  <conditionalFormatting sqref="Q376 Q381:Q382 Q384:Q385 Q389:Q390 Q393:Q394 Q396 Q399:Q409">
    <cfRule type="containsText" dxfId="2" priority="49520" operator="containsText" text="Yes">
      <formula>NOT(ISERROR(SEARCH(("Yes"),(Q376))))</formula>
    </cfRule>
  </conditionalFormatting>
  <conditionalFormatting sqref="Q376 Q381:Q382 Q384:Q385 Q389:Q390 Q393:Q394 Q396 Q399:Q409">
    <cfRule type="containsText" dxfId="2" priority="49521" operator="containsText" text="Yes">
      <formula>NOT(ISERROR(SEARCH(("Yes"),(Q376))))</formula>
    </cfRule>
  </conditionalFormatting>
  <conditionalFormatting sqref="Q376 Q381:Q382 Q384:Q385 Q389:Q390 Q393:Q394 Q396 Q399:Q409">
    <cfRule type="containsText" dxfId="2" priority="49522" operator="containsText" text="Yes">
      <formula>NOT(ISERROR(SEARCH(("Yes"),(Q376))))</formula>
    </cfRule>
  </conditionalFormatting>
  <conditionalFormatting sqref="Q376 Q381:Q382 Q384:Q385 Q389:Q390 Q393:Q394 Q396 Q399:Q409">
    <cfRule type="containsText" dxfId="2" priority="49523" operator="containsText" text="Yes">
      <formula>NOT(ISERROR(SEARCH(("Yes"),(Q376))))</formula>
    </cfRule>
  </conditionalFormatting>
  <conditionalFormatting sqref="Q376 Q381:Q382 Q384:Q385 Q389:Q390 Q393:Q394 Q396 Q399:Q409">
    <cfRule type="containsText" dxfId="2" priority="49524" operator="containsText" text="Yes">
      <formula>NOT(ISERROR(SEARCH(("Yes"),(Q376))))</formula>
    </cfRule>
  </conditionalFormatting>
  <conditionalFormatting sqref="Q376 Q381:Q382 Q384:Q385 Q389:Q390 Q393:Q394 Q396 Q399:Q409">
    <cfRule type="containsText" dxfId="2" priority="49525" operator="containsText" text="Yes">
      <formula>NOT(ISERROR(SEARCH(("Yes"),(Q376))))</formula>
    </cfRule>
  </conditionalFormatting>
  <conditionalFormatting sqref="Q376 Q381:Q382 Q384:Q385 Q389:Q390 Q393:Q394 Q396 Q399:Q409">
    <cfRule type="containsText" dxfId="2" priority="49526" operator="containsText" text="Yes">
      <formula>NOT(ISERROR(SEARCH(("Yes"),(Q376))))</formula>
    </cfRule>
  </conditionalFormatting>
  <conditionalFormatting sqref="Q376 Q381:Q382 Q384:Q385 Q389:Q390 Q393:Q394 Q396 Q399:Q409">
    <cfRule type="containsText" dxfId="2" priority="49527" operator="containsText" text="Yes">
      <formula>NOT(ISERROR(SEARCH(("Yes"),(Q376))))</formula>
    </cfRule>
  </conditionalFormatting>
  <conditionalFormatting sqref="Q376 Q381:Q382 Q384:Q385 Q389:Q390 Q393:Q394 Q396 Q399:Q409">
    <cfRule type="containsText" dxfId="2" priority="49528" operator="containsText" text="Yes">
      <formula>NOT(ISERROR(SEARCH(("Yes"),(Q376))))</formula>
    </cfRule>
  </conditionalFormatting>
  <conditionalFormatting sqref="Q376 Q381:Q382 Q384:Q385 Q389:Q390 Q393:Q394 Q396 Q399:Q409">
    <cfRule type="containsText" dxfId="2" priority="49529" operator="containsText" text="Yes">
      <formula>NOT(ISERROR(SEARCH(("Yes"),(Q376))))</formula>
    </cfRule>
  </conditionalFormatting>
  <conditionalFormatting sqref="Q376 Q381:Q382 Q384:Q385 Q389:Q390 Q393:Q394 Q396 Q399:Q409">
    <cfRule type="containsText" dxfId="2" priority="49530" operator="containsText" text="Yes">
      <formula>NOT(ISERROR(SEARCH(("Yes"),(Q376))))</formula>
    </cfRule>
  </conditionalFormatting>
  <conditionalFormatting sqref="Q376 Q381:Q382 Q384:Q385 Q389:Q390 Q393:Q394 Q396 Q399:Q409">
    <cfRule type="containsText" dxfId="2" priority="49531" operator="containsText" text="Yes">
      <formula>NOT(ISERROR(SEARCH(("Yes"),(Q376))))</formula>
    </cfRule>
  </conditionalFormatting>
  <conditionalFormatting sqref="Q376 Q381:Q382 Q384:Q385 Q389:Q390 Q393:Q394 Q396 Q399:Q409">
    <cfRule type="containsText" dxfId="2" priority="49532" operator="containsText" text="Yes">
      <formula>NOT(ISERROR(SEARCH(("Yes"),(Q376))))</formula>
    </cfRule>
  </conditionalFormatting>
  <conditionalFormatting sqref="Q376 Q381:Q382 Q384:Q385 Q389:Q390 Q393:Q394 Q396 Q399:Q409">
    <cfRule type="containsText" dxfId="2" priority="49533" operator="containsText" text="Yes">
      <formula>NOT(ISERROR(SEARCH(("Yes"),(Q376))))</formula>
    </cfRule>
  </conditionalFormatting>
  <conditionalFormatting sqref="Q376 Q381:Q382 Q384:Q385 Q389:Q390 Q393:Q394 Q396 Q399:Q409">
    <cfRule type="containsText" dxfId="2" priority="49534" operator="containsText" text="Yes">
      <formula>NOT(ISERROR(SEARCH(("Yes"),(Q376))))</formula>
    </cfRule>
  </conditionalFormatting>
  <conditionalFormatting sqref="Q376 Q381:Q382 Q384:Q385 Q389:Q390 Q393:Q394 Q396 Q399:Q409">
    <cfRule type="containsText" dxfId="2" priority="49535" operator="containsText" text="Yes">
      <formula>NOT(ISERROR(SEARCH(("Yes"),(Q376))))</formula>
    </cfRule>
  </conditionalFormatting>
  <conditionalFormatting sqref="Q376 Q381:Q382 Q384:Q385 Q389:Q390 Q393:Q394 Q396 Q399:Q409">
    <cfRule type="containsText" dxfId="2" priority="49536" operator="containsText" text="Yes">
      <formula>NOT(ISERROR(SEARCH(("Yes"),(Q376))))</formula>
    </cfRule>
  </conditionalFormatting>
  <conditionalFormatting sqref="Q376 Q381:Q382 Q384:Q385 Q389:Q390 Q393:Q394 Q396 Q399:Q409">
    <cfRule type="containsText" dxfId="2" priority="49537" operator="containsText" text="Yes">
      <formula>NOT(ISERROR(SEARCH(("Yes"),(Q376))))</formula>
    </cfRule>
  </conditionalFormatting>
  <conditionalFormatting sqref="Q376 Q381:Q382 Q384:Q385 Q389:Q390 Q393:Q394 Q396 Q399:Q409">
    <cfRule type="containsText" dxfId="2" priority="49538" operator="containsText" text="Yes">
      <formula>NOT(ISERROR(SEARCH(("Yes"),(Q376))))</formula>
    </cfRule>
  </conditionalFormatting>
  <conditionalFormatting sqref="Q376 Q381:Q382 Q384:Q385 Q389:Q390 Q393:Q394 Q396 Q399:Q409">
    <cfRule type="containsText" dxfId="2" priority="49539" operator="containsText" text="Yes">
      <formula>NOT(ISERROR(SEARCH(("Yes"),(Q376))))</formula>
    </cfRule>
  </conditionalFormatting>
  <conditionalFormatting sqref="Q376 Q381:Q382 Q384:Q385 Q389:Q390 Q393:Q394 Q396 Q399:Q409">
    <cfRule type="containsText" dxfId="2" priority="49540" operator="containsText" text="Yes">
      <formula>NOT(ISERROR(SEARCH(("Yes"),(Q376))))</formula>
    </cfRule>
  </conditionalFormatting>
  <conditionalFormatting sqref="Q376 Q381:Q382 Q384:Q385 Q389:Q390 Q393:Q394 Q396 Q399:Q409">
    <cfRule type="containsText" dxfId="2" priority="49541" operator="containsText" text="Yes">
      <formula>NOT(ISERROR(SEARCH(("Yes"),(Q376))))</formula>
    </cfRule>
  </conditionalFormatting>
  <conditionalFormatting sqref="Q376 Q381:Q382 Q384:Q385 Q389:Q390 Q393:Q394 Q396 Q399:Q409">
    <cfRule type="containsText" dxfId="2" priority="49542" operator="containsText" text="Yes">
      <formula>NOT(ISERROR(SEARCH(("Yes"),(Q376))))</formula>
    </cfRule>
  </conditionalFormatting>
  <conditionalFormatting sqref="Q376 Q381:Q382 Q384:Q385 Q389:Q390 Q393:Q394 Q396 Q399:Q409">
    <cfRule type="containsText" dxfId="2" priority="49543" operator="containsText" text="Yes">
      <formula>NOT(ISERROR(SEARCH(("Yes"),(Q376))))</formula>
    </cfRule>
  </conditionalFormatting>
  <conditionalFormatting sqref="Q376 Q381:Q382 Q384:Q385 Q389:Q390 Q393:Q394 Q396 Q399:Q409">
    <cfRule type="containsText" dxfId="2" priority="49544" operator="containsText" text="Yes">
      <formula>NOT(ISERROR(SEARCH(("Yes"),(Q376))))</formula>
    </cfRule>
  </conditionalFormatting>
  <conditionalFormatting sqref="Q376 Q381:Q382 Q384:Q385 Q389:Q390 Q393:Q394 Q396 Q399:Q409">
    <cfRule type="containsText" dxfId="2" priority="49545" operator="containsText" text="Yes">
      <formula>NOT(ISERROR(SEARCH(("Yes"),(Q376))))</formula>
    </cfRule>
  </conditionalFormatting>
  <conditionalFormatting sqref="Q376 Q381:Q382 Q384:Q385 Q389:Q390 Q393:Q394 Q396 Q399:Q409">
    <cfRule type="containsText" dxfId="2" priority="49546" operator="containsText" text="Yes">
      <formula>NOT(ISERROR(SEARCH(("Yes"),(Q376))))</formula>
    </cfRule>
  </conditionalFormatting>
  <conditionalFormatting sqref="Q376 Q381:Q382 Q384:Q385 Q389:Q390 Q393:Q394 Q396 Q399:Q409">
    <cfRule type="containsText" dxfId="2" priority="49547" operator="containsText" text="Yes">
      <formula>NOT(ISERROR(SEARCH(("Yes"),(Q376))))</formula>
    </cfRule>
  </conditionalFormatting>
  <conditionalFormatting sqref="Q376 Q381:Q382 Q384:Q385 Q389:Q390 Q393:Q394 Q396 Q399:Q409">
    <cfRule type="containsText" dxfId="2" priority="49548" operator="containsText" text="Yes">
      <formula>NOT(ISERROR(SEARCH(("Yes"),(Q376))))</formula>
    </cfRule>
  </conditionalFormatting>
  <conditionalFormatting sqref="Q376 Q381:Q382 Q384:Q385 Q389:Q390 Q393:Q394 Q396 Q399:Q409">
    <cfRule type="containsText" dxfId="2" priority="49549" operator="containsText" text="Yes">
      <formula>NOT(ISERROR(SEARCH(("Yes"),(Q376))))</formula>
    </cfRule>
  </conditionalFormatting>
  <conditionalFormatting sqref="Q376 Q381:Q382 Q384:Q385 Q389:Q390 Q393:Q394 Q396 Q399:Q409">
    <cfRule type="containsText" dxfId="2" priority="49550" operator="containsText" text="Yes">
      <formula>NOT(ISERROR(SEARCH(("Yes"),(Q376))))</formula>
    </cfRule>
  </conditionalFormatting>
  <conditionalFormatting sqref="Q376 Q381:Q382 Q384:Q385 Q389:Q390 Q393:Q394 Q396 Q399:Q409">
    <cfRule type="containsText" dxfId="2" priority="49551" operator="containsText" text="Yes">
      <formula>NOT(ISERROR(SEARCH(("Yes"),(Q376))))</formula>
    </cfRule>
  </conditionalFormatting>
  <conditionalFormatting sqref="Q376 Q381:Q382 Q384:Q385 Q389:Q390 Q393:Q394 Q396 Q399:Q409">
    <cfRule type="containsText" dxfId="2" priority="49552" operator="containsText" text="Yes">
      <formula>NOT(ISERROR(SEARCH(("Yes"),(Q376))))</formula>
    </cfRule>
  </conditionalFormatting>
  <conditionalFormatting sqref="Q376 Q381:Q382 Q384:Q385 Q389:Q390 Q393:Q394 Q396 Q399:Q409">
    <cfRule type="containsText" dxfId="2" priority="49553" operator="containsText" text="Yes">
      <formula>NOT(ISERROR(SEARCH(("Yes"),(Q376))))</formula>
    </cfRule>
  </conditionalFormatting>
  <conditionalFormatting sqref="O377:O378 O380 O383">
    <cfRule type="containsText" dxfId="9" priority="49554" operator="containsText" text="No">
      <formula>NOT(ISERROR(SEARCH(("No"),(O377))))</formula>
    </cfRule>
  </conditionalFormatting>
  <conditionalFormatting sqref="O377:O378 O380 O383">
    <cfRule type="containsText" dxfId="9" priority="49555" operator="containsText" text="No">
      <formula>NOT(ISERROR(SEARCH(("No"),(O377))))</formula>
    </cfRule>
  </conditionalFormatting>
  <conditionalFormatting sqref="O377:O378 O380 O383">
    <cfRule type="containsText" dxfId="9" priority="49556" operator="containsText" text="No">
      <formula>NOT(ISERROR(SEARCH(("No"),(O377))))</formula>
    </cfRule>
  </conditionalFormatting>
  <conditionalFormatting sqref="O377:O378 O380 O383">
    <cfRule type="containsText" dxfId="2" priority="49557" operator="containsText" text="Yes">
      <formula>NOT(ISERROR(SEARCH(("Yes"),(O377))))</formula>
    </cfRule>
  </conditionalFormatting>
  <conditionalFormatting sqref="O377:O378 O380 O383">
    <cfRule type="containsText" dxfId="2" priority="49558" operator="containsText" text="Yes">
      <formula>NOT(ISERROR(SEARCH(("Yes"),(O377))))</formula>
    </cfRule>
  </conditionalFormatting>
  <conditionalFormatting sqref="O377:O378 O380 O383">
    <cfRule type="containsText" dxfId="2" priority="49559" operator="containsText" text="Yes">
      <formula>NOT(ISERROR(SEARCH(("Yes"),(O377))))</formula>
    </cfRule>
  </conditionalFormatting>
  <conditionalFormatting sqref="O377:O378 O380 O383">
    <cfRule type="containsText" dxfId="2" priority="49560" operator="containsText" text="Yes">
      <formula>NOT(ISERROR(SEARCH(("Yes"),(O377))))</formula>
    </cfRule>
  </conditionalFormatting>
  <conditionalFormatting sqref="O377:O378 O380 O383">
    <cfRule type="containsText" dxfId="2" priority="49561" operator="containsText" text="Yes">
      <formula>NOT(ISERROR(SEARCH(("Yes"),(O377))))</formula>
    </cfRule>
  </conditionalFormatting>
  <conditionalFormatting sqref="O377:O378 O380 O383">
    <cfRule type="containsText" dxfId="9" priority="49562" operator="containsText" text="No">
      <formula>NOT(ISERROR(SEARCH(("No"),(O377))))</formula>
    </cfRule>
  </conditionalFormatting>
  <conditionalFormatting sqref="O377:O378 O380 O383">
    <cfRule type="containsText" dxfId="9" priority="49563" operator="containsText" text="No">
      <formula>NOT(ISERROR(SEARCH(("No"),(O377))))</formula>
    </cfRule>
  </conditionalFormatting>
  <conditionalFormatting sqref="O377:O378 O380 O383">
    <cfRule type="containsText" dxfId="2" priority="49564" operator="containsText" text="Yes">
      <formula>NOT(ISERROR(SEARCH(("Yes"),(O377))))</formula>
    </cfRule>
  </conditionalFormatting>
  <conditionalFormatting sqref="P377:Q380 P383:Q383">
    <cfRule type="containsText" dxfId="9" priority="49565" operator="containsText" text="No">
      <formula>NOT(ISERROR(SEARCH(("No"),(P377))))</formula>
    </cfRule>
  </conditionalFormatting>
  <conditionalFormatting sqref="P377:Q380 P383:Q383">
    <cfRule type="containsText" dxfId="9" priority="49566" operator="containsText" text="No">
      <formula>NOT(ISERROR(SEARCH(("No"),(P377))))</formula>
    </cfRule>
  </conditionalFormatting>
  <conditionalFormatting sqref="P377:Q380 P383:Q383">
    <cfRule type="containsText" dxfId="9" priority="49567" operator="containsText" text="No">
      <formula>NOT(ISERROR(SEARCH(("No"),(P377))))</formula>
    </cfRule>
  </conditionalFormatting>
  <conditionalFormatting sqref="P377:Q380 P383:Q383">
    <cfRule type="containsText" dxfId="9" priority="49568" operator="containsText" text="No">
      <formula>NOT(ISERROR(SEARCH(("No"),(P377))))</formula>
    </cfRule>
  </conditionalFormatting>
  <conditionalFormatting sqref="P377:Q380 P383:Q383">
    <cfRule type="containsText" dxfId="9" priority="49569" operator="containsText" text="No">
      <formula>NOT(ISERROR(SEARCH(("No"),(P377))))</formula>
    </cfRule>
  </conditionalFormatting>
  <conditionalFormatting sqref="P377:Q380 P383:Q383">
    <cfRule type="containsText" dxfId="9" priority="49570" operator="containsText" text="No">
      <formula>NOT(ISERROR(SEARCH(("No"),(P377))))</formula>
    </cfRule>
  </conditionalFormatting>
  <conditionalFormatting sqref="P377:Q380 P383:Q383">
    <cfRule type="containsText" dxfId="9" priority="49571" operator="containsText" text="No">
      <formula>NOT(ISERROR(SEARCH(("No"),(P377))))</formula>
    </cfRule>
  </conditionalFormatting>
  <conditionalFormatting sqref="P377:Q380 P383:Q383">
    <cfRule type="containsText" dxfId="9" priority="49572" operator="containsText" text="No">
      <formula>NOT(ISERROR(SEARCH(("No"),(P377))))</formula>
    </cfRule>
  </conditionalFormatting>
  <conditionalFormatting sqref="P377:Q380 P383:Q383">
    <cfRule type="containsText" dxfId="9" priority="49573" operator="containsText" text="No">
      <formula>NOT(ISERROR(SEARCH(("No"),(P377))))</formula>
    </cfRule>
  </conditionalFormatting>
  <conditionalFormatting sqref="P377:Q380 P383:Q383">
    <cfRule type="containsText" dxfId="9" priority="49574" operator="containsText" text="No">
      <formula>NOT(ISERROR(SEARCH(("No"),(P377))))</formula>
    </cfRule>
  </conditionalFormatting>
  <conditionalFormatting sqref="P377:Q380 P383:Q383">
    <cfRule type="containsText" dxfId="9" priority="49575" operator="containsText" text="No">
      <formula>NOT(ISERROR(SEARCH(("No"),(P377))))</formula>
    </cfRule>
  </conditionalFormatting>
  <conditionalFormatting sqref="P377:Q380 P383:Q383">
    <cfRule type="containsText" dxfId="9" priority="49576" operator="containsText" text="No">
      <formula>NOT(ISERROR(SEARCH(("No"),(P377))))</formula>
    </cfRule>
  </conditionalFormatting>
  <conditionalFormatting sqref="P377:Q380 P383:Q383">
    <cfRule type="containsText" dxfId="9" priority="49577" operator="containsText" text="No">
      <formula>NOT(ISERROR(SEARCH(("No"),(P377))))</formula>
    </cfRule>
  </conditionalFormatting>
  <conditionalFormatting sqref="P377:Q380 P383:Q383">
    <cfRule type="containsText" dxfId="9" priority="49578" operator="containsText" text="No">
      <formula>NOT(ISERROR(SEARCH(("No"),(P377))))</formula>
    </cfRule>
  </conditionalFormatting>
  <conditionalFormatting sqref="P377:Q380 P383:Q383">
    <cfRule type="containsText" dxfId="9" priority="49579" operator="containsText" text="No">
      <formula>NOT(ISERROR(SEARCH(("No"),(P377))))</formula>
    </cfRule>
  </conditionalFormatting>
  <conditionalFormatting sqref="P377:Q380 P383:Q383">
    <cfRule type="containsText" dxfId="9" priority="49580" operator="containsText" text="No">
      <formula>NOT(ISERROR(SEARCH(("No"),(P377))))</formula>
    </cfRule>
  </conditionalFormatting>
  <conditionalFormatting sqref="P377:Q380 P383:Q383">
    <cfRule type="containsText" dxfId="9" priority="49581" operator="containsText" text="No">
      <formula>NOT(ISERROR(SEARCH(("No"),(P377))))</formula>
    </cfRule>
  </conditionalFormatting>
  <conditionalFormatting sqref="P377:Q380 P383:Q383">
    <cfRule type="containsText" dxfId="9" priority="49582" operator="containsText" text="No">
      <formula>NOT(ISERROR(SEARCH(("No"),(P377))))</formula>
    </cfRule>
  </conditionalFormatting>
  <conditionalFormatting sqref="P377:Q380 P383:Q383">
    <cfRule type="containsText" dxfId="9" priority="49583" operator="containsText" text="No">
      <formula>NOT(ISERROR(SEARCH(("No"),(P377))))</formula>
    </cfRule>
  </conditionalFormatting>
  <conditionalFormatting sqref="P377:Q380 P383:Q383">
    <cfRule type="containsText" dxfId="9" priority="49584" operator="containsText" text="No">
      <formula>NOT(ISERROR(SEARCH(("No"),(P377))))</formula>
    </cfRule>
  </conditionalFormatting>
  <conditionalFormatting sqref="P377:Q380 P383:Q383">
    <cfRule type="containsText" dxfId="9" priority="49585" operator="containsText" text="No">
      <formula>NOT(ISERROR(SEARCH(("No"),(P377))))</formula>
    </cfRule>
  </conditionalFormatting>
  <conditionalFormatting sqref="P377:Q380 P383:Q383">
    <cfRule type="containsText" dxfId="9" priority="49586" operator="containsText" text="No">
      <formula>NOT(ISERROR(SEARCH(("No"),(P377))))</formula>
    </cfRule>
  </conditionalFormatting>
  <conditionalFormatting sqref="P377:Q380 P383:Q383">
    <cfRule type="containsText" dxfId="9" priority="49587" operator="containsText" text="No">
      <formula>NOT(ISERROR(SEARCH(("No"),(P377))))</formula>
    </cfRule>
  </conditionalFormatting>
  <conditionalFormatting sqref="P377:Q380 P383:Q383">
    <cfRule type="containsText" dxfId="9" priority="49588" operator="containsText" text="No">
      <formula>NOT(ISERROR(SEARCH(("No"),(P377))))</formula>
    </cfRule>
  </conditionalFormatting>
  <conditionalFormatting sqref="P377:Q380 P383:Q383">
    <cfRule type="containsText" dxfId="9" priority="49589" operator="containsText" text="No">
      <formula>NOT(ISERROR(SEARCH(("No"),(P377))))</formula>
    </cfRule>
  </conditionalFormatting>
  <conditionalFormatting sqref="P377:Q380 P383:Q383">
    <cfRule type="containsText" dxfId="9" priority="49590" operator="containsText" text="No">
      <formula>NOT(ISERROR(SEARCH(("No"),(P377))))</formula>
    </cfRule>
  </conditionalFormatting>
  <conditionalFormatting sqref="P377:Q380 P383:Q383">
    <cfRule type="containsText" dxfId="9" priority="49591" operator="containsText" text="No">
      <formula>NOT(ISERROR(SEARCH(("No"),(P377))))</formula>
    </cfRule>
  </conditionalFormatting>
  <conditionalFormatting sqref="P377:Q380 P383:Q383">
    <cfRule type="containsText" dxfId="9" priority="49592" operator="containsText" text="No">
      <formula>NOT(ISERROR(SEARCH(("No"),(P377))))</formula>
    </cfRule>
  </conditionalFormatting>
  <conditionalFormatting sqref="P377:Q380 P383:Q383">
    <cfRule type="containsText" dxfId="9" priority="49593" operator="containsText" text="No">
      <formula>NOT(ISERROR(SEARCH(("No"),(P377))))</formula>
    </cfRule>
  </conditionalFormatting>
  <conditionalFormatting sqref="P377:Q380 P383:Q383">
    <cfRule type="containsText" dxfId="9" priority="49594" operator="containsText" text="No">
      <formula>NOT(ISERROR(SEARCH(("No"),(P377))))</formula>
    </cfRule>
  </conditionalFormatting>
  <conditionalFormatting sqref="P377:Q380 P383:Q383">
    <cfRule type="containsText" dxfId="9" priority="49595" operator="containsText" text="No">
      <formula>NOT(ISERROR(SEARCH(("No"),(P377))))</formula>
    </cfRule>
  </conditionalFormatting>
  <conditionalFormatting sqref="P377:Q380 P383:Q383">
    <cfRule type="containsText" dxfId="9" priority="49596" operator="containsText" text="No">
      <formula>NOT(ISERROR(SEARCH(("No"),(P377))))</formula>
    </cfRule>
  </conditionalFormatting>
  <conditionalFormatting sqref="P377:Q380 P383:Q383">
    <cfRule type="containsText" dxfId="9" priority="49597" operator="containsText" text="No">
      <formula>NOT(ISERROR(SEARCH(("No"),(P377))))</formula>
    </cfRule>
  </conditionalFormatting>
  <conditionalFormatting sqref="P377:Q380 P383:Q383">
    <cfRule type="containsText" dxfId="9" priority="49598" operator="containsText" text="No">
      <formula>NOT(ISERROR(SEARCH(("No"),(P377))))</formula>
    </cfRule>
  </conditionalFormatting>
  <conditionalFormatting sqref="P377:Q380 P383:Q383">
    <cfRule type="containsText" dxfId="9" priority="49599" operator="containsText" text="No">
      <formula>NOT(ISERROR(SEARCH(("No"),(P377))))</formula>
    </cfRule>
  </conditionalFormatting>
  <conditionalFormatting sqref="P377:Q380 P383:Q383">
    <cfRule type="containsText" dxfId="9" priority="49600" operator="containsText" text="No">
      <formula>NOT(ISERROR(SEARCH(("No"),(P377))))</formula>
    </cfRule>
  </conditionalFormatting>
  <conditionalFormatting sqref="P377:Q380 P383:Q383">
    <cfRule type="containsText" dxfId="9" priority="49601" operator="containsText" text="No">
      <formula>NOT(ISERROR(SEARCH(("No"),(P377))))</formula>
    </cfRule>
  </conditionalFormatting>
  <conditionalFormatting sqref="P377:Q380 P383:Q383">
    <cfRule type="containsText" dxfId="9" priority="49602" operator="containsText" text="No">
      <formula>NOT(ISERROR(SEARCH(("No"),(P377))))</formula>
    </cfRule>
  </conditionalFormatting>
  <conditionalFormatting sqref="P377:Q380 P383:Q383">
    <cfRule type="containsText" dxfId="9" priority="49603" operator="containsText" text="No">
      <formula>NOT(ISERROR(SEARCH(("No"),(P377))))</formula>
    </cfRule>
  </conditionalFormatting>
  <conditionalFormatting sqref="P377:Q380 P383:Q383">
    <cfRule type="containsText" dxfId="9" priority="49604" operator="containsText" text="No">
      <formula>NOT(ISERROR(SEARCH(("No"),(P377))))</formula>
    </cfRule>
  </conditionalFormatting>
  <conditionalFormatting sqref="P377:Q380 P383:Q383">
    <cfRule type="containsText" dxfId="9" priority="49605" operator="containsText" text="No">
      <formula>NOT(ISERROR(SEARCH(("No"),(P377))))</formula>
    </cfRule>
  </conditionalFormatting>
  <conditionalFormatting sqref="P377:Q380 P383:Q383">
    <cfRule type="containsText" dxfId="9" priority="49606" operator="containsText" text="No">
      <formula>NOT(ISERROR(SEARCH(("No"),(P377))))</formula>
    </cfRule>
  </conditionalFormatting>
  <conditionalFormatting sqref="P377:Q380 P383:Q383">
    <cfRule type="containsText" dxfId="9" priority="49607" operator="containsText" text="No">
      <formula>NOT(ISERROR(SEARCH(("No"),(P377))))</formula>
    </cfRule>
  </conditionalFormatting>
  <conditionalFormatting sqref="P377:Q380 P383:Q383">
    <cfRule type="containsText" dxfId="9" priority="49608" operator="containsText" text="No">
      <formula>NOT(ISERROR(SEARCH(("No"),(P377))))</formula>
    </cfRule>
  </conditionalFormatting>
  <conditionalFormatting sqref="P377:Q380 P383:Q383">
    <cfRule type="containsText" dxfId="9" priority="49609" operator="containsText" text="No">
      <formula>NOT(ISERROR(SEARCH(("No"),(P377))))</formula>
    </cfRule>
  </conditionalFormatting>
  <conditionalFormatting sqref="P377:Q380 P383:Q383">
    <cfRule type="containsText" dxfId="2" priority="49610" operator="containsText" text="Yes">
      <formula>NOT(ISERROR(SEARCH(("Yes"),(P377))))</formula>
    </cfRule>
  </conditionalFormatting>
  <conditionalFormatting sqref="P377:Q380 P383:Q383">
    <cfRule type="containsText" dxfId="2" priority="49611" operator="containsText" text="Yes">
      <formula>NOT(ISERROR(SEARCH(("Yes"),(P377))))</formula>
    </cfRule>
  </conditionalFormatting>
  <conditionalFormatting sqref="P377:Q380 P383:Q383">
    <cfRule type="containsText" dxfId="2" priority="49612" operator="containsText" text="Yes">
      <formula>NOT(ISERROR(SEARCH(("Yes"),(P377))))</formula>
    </cfRule>
  </conditionalFormatting>
  <conditionalFormatting sqref="P377:Q380 P383:Q383">
    <cfRule type="containsText" dxfId="2" priority="49613" operator="containsText" text="Yes">
      <formula>NOT(ISERROR(SEARCH(("Yes"),(P377))))</formula>
    </cfRule>
  </conditionalFormatting>
  <conditionalFormatting sqref="P377:Q380 P383:Q383">
    <cfRule type="containsText" dxfId="2" priority="49614" operator="containsText" text="Yes">
      <formula>NOT(ISERROR(SEARCH(("Yes"),(P377))))</formula>
    </cfRule>
  </conditionalFormatting>
  <conditionalFormatting sqref="P377:Q380 P383:Q383">
    <cfRule type="containsText" dxfId="2" priority="49615" operator="containsText" text="Yes">
      <formula>NOT(ISERROR(SEARCH(("Yes"),(P377))))</formula>
    </cfRule>
  </conditionalFormatting>
  <conditionalFormatting sqref="P377:Q380 P383:Q383">
    <cfRule type="containsText" dxfId="2" priority="49616" operator="containsText" text="Yes">
      <formula>NOT(ISERROR(SEARCH(("Yes"),(P377))))</formula>
    </cfRule>
  </conditionalFormatting>
  <conditionalFormatting sqref="P377:Q380 P383:Q383">
    <cfRule type="containsText" dxfId="2" priority="49617" operator="containsText" text="Yes">
      <formula>NOT(ISERROR(SEARCH(("Yes"),(P377))))</formula>
    </cfRule>
  </conditionalFormatting>
  <conditionalFormatting sqref="P377:Q380 P383:Q383">
    <cfRule type="containsText" dxfId="2" priority="49618" operator="containsText" text="Yes">
      <formula>NOT(ISERROR(SEARCH(("Yes"),(P377))))</formula>
    </cfRule>
  </conditionalFormatting>
  <conditionalFormatting sqref="P377:Q380 P383:Q383">
    <cfRule type="containsText" dxfId="2" priority="49619" operator="containsText" text="Yes">
      <formula>NOT(ISERROR(SEARCH(("Yes"),(P377))))</formula>
    </cfRule>
  </conditionalFormatting>
  <conditionalFormatting sqref="P377:Q380 P383:Q383">
    <cfRule type="containsText" dxfId="2" priority="49620" operator="containsText" text="Yes">
      <formula>NOT(ISERROR(SEARCH(("Yes"),(P377))))</formula>
    </cfRule>
  </conditionalFormatting>
  <conditionalFormatting sqref="P377:Q380 P383:Q383">
    <cfRule type="containsText" dxfId="2" priority="49621" operator="containsText" text="Yes">
      <formula>NOT(ISERROR(SEARCH(("Yes"),(P377))))</formula>
    </cfRule>
  </conditionalFormatting>
  <conditionalFormatting sqref="P377:Q380 P383:Q383">
    <cfRule type="containsText" dxfId="2" priority="49622" operator="containsText" text="Yes">
      <formula>NOT(ISERROR(SEARCH(("Yes"),(P377))))</formula>
    </cfRule>
  </conditionalFormatting>
  <conditionalFormatting sqref="P377:Q380 P383:Q383">
    <cfRule type="containsText" dxfId="2" priority="49623" operator="containsText" text="Yes">
      <formula>NOT(ISERROR(SEARCH(("Yes"),(P377))))</formula>
    </cfRule>
  </conditionalFormatting>
  <conditionalFormatting sqref="P377:Q380 P383:Q383">
    <cfRule type="containsText" dxfId="2" priority="49624" operator="containsText" text="Yes">
      <formula>NOT(ISERROR(SEARCH(("Yes"),(P377))))</formula>
    </cfRule>
  </conditionalFormatting>
  <conditionalFormatting sqref="P377:Q380 P383:Q383">
    <cfRule type="containsText" dxfId="2" priority="49625" operator="containsText" text="Yes">
      <formula>NOT(ISERROR(SEARCH(("Yes"),(P377))))</formula>
    </cfRule>
  </conditionalFormatting>
  <conditionalFormatting sqref="P377:Q380 P383:Q383">
    <cfRule type="containsText" dxfId="2" priority="49626" operator="containsText" text="Yes">
      <formula>NOT(ISERROR(SEARCH(("Yes"),(P377))))</formula>
    </cfRule>
  </conditionalFormatting>
  <conditionalFormatting sqref="P377:Q380 P383:Q383">
    <cfRule type="containsText" dxfId="2" priority="49627" operator="containsText" text="Yes">
      <formula>NOT(ISERROR(SEARCH(("Yes"),(P377))))</formula>
    </cfRule>
  </conditionalFormatting>
  <conditionalFormatting sqref="P377:Q380 P383:Q383">
    <cfRule type="containsText" dxfId="2" priority="49628" operator="containsText" text="Yes">
      <formula>NOT(ISERROR(SEARCH(("Yes"),(P377))))</formula>
    </cfRule>
  </conditionalFormatting>
  <conditionalFormatting sqref="P377:Q380 P383:Q383">
    <cfRule type="containsText" dxfId="2" priority="49629" operator="containsText" text="Yes">
      <formula>NOT(ISERROR(SEARCH(("Yes"),(P377))))</formula>
    </cfRule>
  </conditionalFormatting>
  <conditionalFormatting sqref="P377:Q380 P383:Q383">
    <cfRule type="containsText" dxfId="2" priority="49630" operator="containsText" text="Yes">
      <formula>NOT(ISERROR(SEARCH(("Yes"),(P377))))</formula>
    </cfRule>
  </conditionalFormatting>
  <conditionalFormatting sqref="P377:Q380 P383:Q383">
    <cfRule type="containsText" dxfId="2" priority="49631" operator="containsText" text="Yes">
      <formula>NOT(ISERROR(SEARCH(("Yes"),(P377))))</formula>
    </cfRule>
  </conditionalFormatting>
  <conditionalFormatting sqref="P377:Q380 P383:Q383">
    <cfRule type="containsText" dxfId="2" priority="49632" operator="containsText" text="Yes">
      <formula>NOT(ISERROR(SEARCH(("Yes"),(P377))))</formula>
    </cfRule>
  </conditionalFormatting>
  <conditionalFormatting sqref="P377:Q380 P383:Q383">
    <cfRule type="containsText" dxfId="2" priority="49633" operator="containsText" text="Yes">
      <formula>NOT(ISERROR(SEARCH(("Yes"),(P377))))</formula>
    </cfRule>
  </conditionalFormatting>
  <conditionalFormatting sqref="P377:Q380 P383:Q383">
    <cfRule type="containsText" dxfId="2" priority="49634" operator="containsText" text="Yes">
      <formula>NOT(ISERROR(SEARCH(("Yes"),(P377))))</formula>
    </cfRule>
  </conditionalFormatting>
  <conditionalFormatting sqref="P377:Q380 P383:Q383">
    <cfRule type="containsText" dxfId="2" priority="49635" operator="containsText" text="Yes">
      <formula>NOT(ISERROR(SEARCH(("Yes"),(P377))))</formula>
    </cfRule>
  </conditionalFormatting>
  <conditionalFormatting sqref="P377:Q380 P383:Q383">
    <cfRule type="containsText" dxfId="2" priority="49636" operator="containsText" text="Yes">
      <formula>NOT(ISERROR(SEARCH(("Yes"),(P377))))</formula>
    </cfRule>
  </conditionalFormatting>
  <conditionalFormatting sqref="P377:Q380 P383:Q383">
    <cfRule type="containsText" dxfId="2" priority="49637" operator="containsText" text="Yes">
      <formula>NOT(ISERROR(SEARCH(("Yes"),(P377))))</formula>
    </cfRule>
  </conditionalFormatting>
  <conditionalFormatting sqref="P377:Q380 P383:Q383">
    <cfRule type="containsText" dxfId="2" priority="49638" operator="containsText" text="Yes">
      <formula>NOT(ISERROR(SEARCH(("Yes"),(P377))))</formula>
    </cfRule>
  </conditionalFormatting>
  <conditionalFormatting sqref="P377:Q380 P383:Q383">
    <cfRule type="containsText" dxfId="2" priority="49639" operator="containsText" text="Yes">
      <formula>NOT(ISERROR(SEARCH(("Yes"),(P377))))</formula>
    </cfRule>
  </conditionalFormatting>
  <conditionalFormatting sqref="P377:Q380 P383:Q383">
    <cfRule type="containsText" dxfId="2" priority="49640" operator="containsText" text="Yes">
      <formula>NOT(ISERROR(SEARCH(("Yes"),(P377))))</formula>
    </cfRule>
  </conditionalFormatting>
  <conditionalFormatting sqref="P377:Q380 P383:Q383">
    <cfRule type="containsText" dxfId="2" priority="49641" operator="containsText" text="Yes">
      <formula>NOT(ISERROR(SEARCH(("Yes"),(P377))))</formula>
    </cfRule>
  </conditionalFormatting>
  <conditionalFormatting sqref="P377:Q380 P383:Q383">
    <cfRule type="containsText" dxfId="2" priority="49642" operator="containsText" text="Yes">
      <formula>NOT(ISERROR(SEARCH(("Yes"),(P377))))</formula>
    </cfRule>
  </conditionalFormatting>
  <conditionalFormatting sqref="P377:Q380 P383:Q383">
    <cfRule type="containsText" dxfId="2" priority="49643" operator="containsText" text="Yes">
      <formula>NOT(ISERROR(SEARCH(("Yes"),(P377))))</formula>
    </cfRule>
  </conditionalFormatting>
  <conditionalFormatting sqref="P377:Q380 P383:Q383">
    <cfRule type="containsText" dxfId="2" priority="49644" operator="containsText" text="Yes">
      <formula>NOT(ISERROR(SEARCH(("Yes"),(P377))))</formula>
    </cfRule>
  </conditionalFormatting>
  <conditionalFormatting sqref="P377:Q380 P383:Q383">
    <cfRule type="containsText" dxfId="2" priority="49645" operator="containsText" text="Yes">
      <formula>NOT(ISERROR(SEARCH(("Yes"),(P377))))</formula>
    </cfRule>
  </conditionalFormatting>
  <conditionalFormatting sqref="P377:Q380 P383:Q383">
    <cfRule type="containsText" dxfId="2" priority="49646" operator="containsText" text="Yes">
      <formula>NOT(ISERROR(SEARCH(("Yes"),(P377))))</formula>
    </cfRule>
  </conditionalFormatting>
  <conditionalFormatting sqref="P377:Q380 P383:Q383">
    <cfRule type="containsText" dxfId="2" priority="49647" operator="containsText" text="Yes">
      <formula>NOT(ISERROR(SEARCH(("Yes"),(P377))))</formula>
    </cfRule>
  </conditionalFormatting>
  <conditionalFormatting sqref="P377:Q380 P383:Q383">
    <cfRule type="containsText" dxfId="2" priority="49648" operator="containsText" text="Yes">
      <formula>NOT(ISERROR(SEARCH(("Yes"),(P377))))</formula>
    </cfRule>
  </conditionalFormatting>
  <conditionalFormatting sqref="P377:Q380 P383:Q383">
    <cfRule type="containsText" dxfId="2" priority="49649" operator="containsText" text="Yes">
      <formula>NOT(ISERROR(SEARCH(("Yes"),(P377))))</formula>
    </cfRule>
  </conditionalFormatting>
  <conditionalFormatting sqref="P377:Q380 P383:Q383">
    <cfRule type="containsText" dxfId="2" priority="49650" operator="containsText" text="Yes">
      <formula>NOT(ISERROR(SEARCH(("Yes"),(P377))))</formula>
    </cfRule>
  </conditionalFormatting>
  <conditionalFormatting sqref="P377:Q380 P383:Q383">
    <cfRule type="containsText" dxfId="2" priority="49651" operator="containsText" text="Yes">
      <formula>NOT(ISERROR(SEARCH(("Yes"),(P377))))</formula>
    </cfRule>
  </conditionalFormatting>
  <conditionalFormatting sqref="P377:Q380 P383:Q383">
    <cfRule type="containsText" dxfId="2" priority="49652" operator="containsText" text="Yes">
      <formula>NOT(ISERROR(SEARCH(("Yes"),(P377))))</formula>
    </cfRule>
  </conditionalFormatting>
  <conditionalFormatting sqref="P377:Q380 P383:Q383">
    <cfRule type="containsText" dxfId="2" priority="49653" operator="containsText" text="Yes">
      <formula>NOT(ISERROR(SEARCH(("Yes"),(P377))))</formula>
    </cfRule>
  </conditionalFormatting>
  <conditionalFormatting sqref="P377:Q380 P383:Q383">
    <cfRule type="containsText" dxfId="2" priority="49654" operator="containsText" text="Yes">
      <formula>NOT(ISERROR(SEARCH(("Yes"),(P377))))</formula>
    </cfRule>
  </conditionalFormatting>
  <conditionalFormatting sqref="P377:Q380 P383:Q383">
    <cfRule type="containsText" dxfId="2" priority="49655" operator="containsText" text="Yes">
      <formula>NOT(ISERROR(SEARCH(("Yes"),(P377))))</formula>
    </cfRule>
  </conditionalFormatting>
  <conditionalFormatting sqref="P377:Q380 P383:Q383">
    <cfRule type="containsText" dxfId="2" priority="49656" operator="containsText" text="Yes">
      <formula>NOT(ISERROR(SEARCH(("Yes"),(P377))))</formula>
    </cfRule>
  </conditionalFormatting>
  <conditionalFormatting sqref="O379">
    <cfRule type="containsText" dxfId="9" priority="49657" operator="containsText" text="No">
      <formula>NOT(ISERROR(SEARCH(("No"),(O379))))</formula>
    </cfRule>
  </conditionalFormatting>
  <conditionalFormatting sqref="O379">
    <cfRule type="containsText" dxfId="9" priority="49658" operator="containsText" text="No">
      <formula>NOT(ISERROR(SEARCH(("No"),(O379))))</formula>
    </cfRule>
  </conditionalFormatting>
  <conditionalFormatting sqref="O379">
    <cfRule type="containsText" dxfId="9" priority="49659" operator="containsText" text="No">
      <formula>NOT(ISERROR(SEARCH(("No"),(O379))))</formula>
    </cfRule>
  </conditionalFormatting>
  <conditionalFormatting sqref="O379">
    <cfRule type="containsText" dxfId="9" priority="49660" operator="containsText" text="No">
      <formula>NOT(ISERROR(SEARCH(("No"),(O379))))</formula>
    </cfRule>
  </conditionalFormatting>
  <conditionalFormatting sqref="O379">
    <cfRule type="containsText" dxfId="9" priority="49661" operator="containsText" text="No">
      <formula>NOT(ISERROR(SEARCH(("No"),(O379))))</formula>
    </cfRule>
  </conditionalFormatting>
  <conditionalFormatting sqref="O379">
    <cfRule type="containsText" dxfId="9" priority="49662" operator="containsText" text="No">
      <formula>NOT(ISERROR(SEARCH(("No"),(O379))))</formula>
    </cfRule>
  </conditionalFormatting>
  <conditionalFormatting sqref="O379">
    <cfRule type="containsText" dxfId="9" priority="49663" operator="containsText" text="No">
      <formula>NOT(ISERROR(SEARCH(("No"),(O379))))</formula>
    </cfRule>
  </conditionalFormatting>
  <conditionalFormatting sqref="O379">
    <cfRule type="containsText" dxfId="9" priority="49664" operator="containsText" text="No">
      <formula>NOT(ISERROR(SEARCH(("No"),(O379))))</formula>
    </cfRule>
  </conditionalFormatting>
  <conditionalFormatting sqref="O379">
    <cfRule type="containsText" dxfId="9" priority="49665" operator="containsText" text="No">
      <formula>NOT(ISERROR(SEARCH(("No"),(O379))))</formula>
    </cfRule>
  </conditionalFormatting>
  <conditionalFormatting sqref="O379">
    <cfRule type="containsText" dxfId="9" priority="49666" operator="containsText" text="No">
      <formula>NOT(ISERROR(SEARCH(("No"),(O379))))</formula>
    </cfRule>
  </conditionalFormatting>
  <conditionalFormatting sqref="O379">
    <cfRule type="containsText" dxfId="9" priority="49667" operator="containsText" text="No">
      <formula>NOT(ISERROR(SEARCH(("No"),(O379))))</formula>
    </cfRule>
  </conditionalFormatting>
  <conditionalFormatting sqref="O379">
    <cfRule type="containsText" dxfId="9" priority="49668" operator="containsText" text="No">
      <formula>NOT(ISERROR(SEARCH(("No"),(O379))))</formula>
    </cfRule>
  </conditionalFormatting>
  <conditionalFormatting sqref="O379">
    <cfRule type="containsText" dxfId="9" priority="49669" operator="containsText" text="No">
      <formula>NOT(ISERROR(SEARCH(("No"),(O379))))</formula>
    </cfRule>
  </conditionalFormatting>
  <conditionalFormatting sqref="O379">
    <cfRule type="containsText" dxfId="9" priority="49670" operator="containsText" text="No">
      <formula>NOT(ISERROR(SEARCH(("No"),(O379))))</formula>
    </cfRule>
  </conditionalFormatting>
  <conditionalFormatting sqref="O379">
    <cfRule type="containsText" dxfId="9" priority="49671" operator="containsText" text="No">
      <formula>NOT(ISERROR(SEARCH(("No"),(O379))))</formula>
    </cfRule>
  </conditionalFormatting>
  <conditionalFormatting sqref="O379">
    <cfRule type="containsText" dxfId="9" priority="49672" operator="containsText" text="No">
      <formula>NOT(ISERROR(SEARCH(("No"),(O379))))</formula>
    </cfRule>
  </conditionalFormatting>
  <conditionalFormatting sqref="O379">
    <cfRule type="containsText" dxfId="9" priority="49673" operator="containsText" text="No">
      <formula>NOT(ISERROR(SEARCH(("No"),(O379))))</formula>
    </cfRule>
  </conditionalFormatting>
  <conditionalFormatting sqref="O379">
    <cfRule type="containsText" dxfId="9" priority="49674" operator="containsText" text="No">
      <formula>NOT(ISERROR(SEARCH(("No"),(O379))))</formula>
    </cfRule>
  </conditionalFormatting>
  <conditionalFormatting sqref="O379">
    <cfRule type="containsText" dxfId="9" priority="49675" operator="containsText" text="No">
      <formula>NOT(ISERROR(SEARCH(("No"),(O379))))</formula>
    </cfRule>
  </conditionalFormatting>
  <conditionalFormatting sqref="O379">
    <cfRule type="containsText" dxfId="9" priority="49676" operator="containsText" text="No">
      <formula>NOT(ISERROR(SEARCH(("No"),(O379))))</formula>
    </cfRule>
  </conditionalFormatting>
  <conditionalFormatting sqref="O379">
    <cfRule type="containsText" dxfId="9" priority="49677" operator="containsText" text="No">
      <formula>NOT(ISERROR(SEARCH(("No"),(O379))))</formula>
    </cfRule>
  </conditionalFormatting>
  <conditionalFormatting sqref="O379">
    <cfRule type="containsText" dxfId="9" priority="49678" operator="containsText" text="No">
      <formula>NOT(ISERROR(SEARCH(("No"),(O379))))</formula>
    </cfRule>
  </conditionalFormatting>
  <conditionalFormatting sqref="O379">
    <cfRule type="containsText" dxfId="9" priority="49679" operator="containsText" text="No">
      <formula>NOT(ISERROR(SEARCH(("No"),(O379))))</formula>
    </cfRule>
  </conditionalFormatting>
  <conditionalFormatting sqref="O379">
    <cfRule type="containsText" dxfId="9" priority="49680" operator="containsText" text="No">
      <formula>NOT(ISERROR(SEARCH(("No"),(O379))))</formula>
    </cfRule>
  </conditionalFormatting>
  <conditionalFormatting sqref="O379">
    <cfRule type="containsText" dxfId="9" priority="49681" operator="containsText" text="No">
      <formula>NOT(ISERROR(SEARCH(("No"),(O379))))</formula>
    </cfRule>
  </conditionalFormatting>
  <conditionalFormatting sqref="O379">
    <cfRule type="containsText" dxfId="9" priority="49682" operator="containsText" text="No">
      <formula>NOT(ISERROR(SEARCH(("No"),(O379))))</formula>
    </cfRule>
  </conditionalFormatting>
  <conditionalFormatting sqref="O379">
    <cfRule type="containsText" dxfId="9" priority="49683" operator="containsText" text="No">
      <formula>NOT(ISERROR(SEARCH(("No"),(O379))))</formula>
    </cfRule>
  </conditionalFormatting>
  <conditionalFormatting sqref="O379">
    <cfRule type="containsText" dxfId="9" priority="49684" operator="containsText" text="No">
      <formula>NOT(ISERROR(SEARCH(("No"),(O379))))</formula>
    </cfRule>
  </conditionalFormatting>
  <conditionalFormatting sqref="O379">
    <cfRule type="containsText" dxfId="9" priority="49685" operator="containsText" text="No">
      <formula>NOT(ISERROR(SEARCH(("No"),(O379))))</formula>
    </cfRule>
  </conditionalFormatting>
  <conditionalFormatting sqref="O379">
    <cfRule type="containsText" dxfId="9" priority="49686" operator="containsText" text="No">
      <formula>NOT(ISERROR(SEARCH(("No"),(O379))))</formula>
    </cfRule>
  </conditionalFormatting>
  <conditionalFormatting sqref="O379">
    <cfRule type="containsText" dxfId="9" priority="49687" operator="containsText" text="No">
      <formula>NOT(ISERROR(SEARCH(("No"),(O379))))</formula>
    </cfRule>
  </conditionalFormatting>
  <conditionalFormatting sqref="O379">
    <cfRule type="containsText" dxfId="9" priority="49688" operator="containsText" text="No">
      <formula>NOT(ISERROR(SEARCH(("No"),(O379))))</formula>
    </cfRule>
  </conditionalFormatting>
  <conditionalFormatting sqref="O379">
    <cfRule type="containsText" dxfId="9" priority="49689" operator="containsText" text="No">
      <formula>NOT(ISERROR(SEARCH(("No"),(O379))))</formula>
    </cfRule>
  </conditionalFormatting>
  <conditionalFormatting sqref="O379">
    <cfRule type="containsText" dxfId="9" priority="49690" operator="containsText" text="No">
      <formula>NOT(ISERROR(SEARCH(("No"),(O379))))</formula>
    </cfRule>
  </conditionalFormatting>
  <conditionalFormatting sqref="O379">
    <cfRule type="containsText" dxfId="9" priority="49691" operator="containsText" text="No">
      <formula>NOT(ISERROR(SEARCH(("No"),(O379))))</formula>
    </cfRule>
  </conditionalFormatting>
  <conditionalFormatting sqref="O379">
    <cfRule type="containsText" dxfId="9" priority="49692" operator="containsText" text="No">
      <formula>NOT(ISERROR(SEARCH(("No"),(O379))))</formula>
    </cfRule>
  </conditionalFormatting>
  <conditionalFormatting sqref="O379">
    <cfRule type="containsText" dxfId="9" priority="49693" operator="containsText" text="No">
      <formula>NOT(ISERROR(SEARCH(("No"),(O379))))</formula>
    </cfRule>
  </conditionalFormatting>
  <conditionalFormatting sqref="O379">
    <cfRule type="containsText" dxfId="9" priority="49694" operator="containsText" text="No">
      <formula>NOT(ISERROR(SEARCH(("No"),(O379))))</formula>
    </cfRule>
  </conditionalFormatting>
  <conditionalFormatting sqref="O379">
    <cfRule type="containsText" dxfId="9" priority="49695" operator="containsText" text="No">
      <formula>NOT(ISERROR(SEARCH(("No"),(O379))))</formula>
    </cfRule>
  </conditionalFormatting>
  <conditionalFormatting sqref="O379">
    <cfRule type="containsText" dxfId="9" priority="49696" operator="containsText" text="No">
      <formula>NOT(ISERROR(SEARCH(("No"),(O379))))</formula>
    </cfRule>
  </conditionalFormatting>
  <conditionalFormatting sqref="O379">
    <cfRule type="containsText" dxfId="9" priority="49697" operator="containsText" text="No">
      <formula>NOT(ISERROR(SEARCH(("No"),(O379))))</formula>
    </cfRule>
  </conditionalFormatting>
  <conditionalFormatting sqref="O379">
    <cfRule type="containsText" dxfId="9" priority="49698" operator="containsText" text="No">
      <formula>NOT(ISERROR(SEARCH(("No"),(O379))))</formula>
    </cfRule>
  </conditionalFormatting>
  <conditionalFormatting sqref="O379">
    <cfRule type="containsText" dxfId="9" priority="49699" operator="containsText" text="No">
      <formula>NOT(ISERROR(SEARCH(("No"),(O379))))</formula>
    </cfRule>
  </conditionalFormatting>
  <conditionalFormatting sqref="O379">
    <cfRule type="containsText" dxfId="9" priority="49700" operator="containsText" text="No">
      <formula>NOT(ISERROR(SEARCH(("No"),(O379))))</formula>
    </cfRule>
  </conditionalFormatting>
  <conditionalFormatting sqref="O379">
    <cfRule type="containsText" dxfId="9" priority="49701" operator="containsText" text="No">
      <formula>NOT(ISERROR(SEARCH(("No"),(O379))))</formula>
    </cfRule>
  </conditionalFormatting>
  <conditionalFormatting sqref="O379">
    <cfRule type="containsText" dxfId="2" priority="49702" operator="containsText" text="Yes">
      <formula>NOT(ISERROR(SEARCH(("Yes"),(O379))))</formula>
    </cfRule>
  </conditionalFormatting>
  <conditionalFormatting sqref="O379">
    <cfRule type="containsText" dxfId="2" priority="49703" operator="containsText" text="Yes">
      <formula>NOT(ISERROR(SEARCH(("Yes"),(O379))))</formula>
    </cfRule>
  </conditionalFormatting>
  <conditionalFormatting sqref="O379">
    <cfRule type="containsText" dxfId="2" priority="49704" operator="containsText" text="Yes">
      <formula>NOT(ISERROR(SEARCH(("Yes"),(O379))))</formula>
    </cfRule>
  </conditionalFormatting>
  <conditionalFormatting sqref="O379">
    <cfRule type="containsText" dxfId="2" priority="49705" operator="containsText" text="Yes">
      <formula>NOT(ISERROR(SEARCH(("Yes"),(O379))))</formula>
    </cfRule>
  </conditionalFormatting>
  <conditionalFormatting sqref="O379">
    <cfRule type="containsText" dxfId="2" priority="49706" operator="containsText" text="Yes">
      <formula>NOT(ISERROR(SEARCH(("Yes"),(O379))))</formula>
    </cfRule>
  </conditionalFormatting>
  <conditionalFormatting sqref="O379">
    <cfRule type="containsText" dxfId="2" priority="49707" operator="containsText" text="Yes">
      <formula>NOT(ISERROR(SEARCH(("Yes"),(O379))))</formula>
    </cfRule>
  </conditionalFormatting>
  <conditionalFormatting sqref="O379">
    <cfRule type="containsText" dxfId="2" priority="49708" operator="containsText" text="Yes">
      <formula>NOT(ISERROR(SEARCH(("Yes"),(O379))))</formula>
    </cfRule>
  </conditionalFormatting>
  <conditionalFormatting sqref="O379">
    <cfRule type="containsText" dxfId="2" priority="49709" operator="containsText" text="Yes">
      <formula>NOT(ISERROR(SEARCH(("Yes"),(O379))))</formula>
    </cfRule>
  </conditionalFormatting>
  <conditionalFormatting sqref="O379">
    <cfRule type="containsText" dxfId="2" priority="49710" operator="containsText" text="Yes">
      <formula>NOT(ISERROR(SEARCH(("Yes"),(O379))))</formula>
    </cfRule>
  </conditionalFormatting>
  <conditionalFormatting sqref="O379">
    <cfRule type="containsText" dxfId="2" priority="49711" operator="containsText" text="Yes">
      <formula>NOT(ISERROR(SEARCH(("Yes"),(O379))))</formula>
    </cfRule>
  </conditionalFormatting>
  <conditionalFormatting sqref="O379">
    <cfRule type="containsText" dxfId="2" priority="49712" operator="containsText" text="Yes">
      <formula>NOT(ISERROR(SEARCH(("Yes"),(O379))))</formula>
    </cfRule>
  </conditionalFormatting>
  <conditionalFormatting sqref="O379">
    <cfRule type="containsText" dxfId="2" priority="49713" operator="containsText" text="Yes">
      <formula>NOT(ISERROR(SEARCH(("Yes"),(O379))))</formula>
    </cfRule>
  </conditionalFormatting>
  <conditionalFormatting sqref="O379">
    <cfRule type="containsText" dxfId="2" priority="49714" operator="containsText" text="Yes">
      <formula>NOT(ISERROR(SEARCH(("Yes"),(O379))))</formula>
    </cfRule>
  </conditionalFormatting>
  <conditionalFormatting sqref="O379">
    <cfRule type="containsText" dxfId="2" priority="49715" operator="containsText" text="Yes">
      <formula>NOT(ISERROR(SEARCH(("Yes"),(O379))))</formula>
    </cfRule>
  </conditionalFormatting>
  <conditionalFormatting sqref="O379">
    <cfRule type="containsText" dxfId="2" priority="49716" operator="containsText" text="Yes">
      <formula>NOT(ISERROR(SEARCH(("Yes"),(O379))))</formula>
    </cfRule>
  </conditionalFormatting>
  <conditionalFormatting sqref="O379">
    <cfRule type="containsText" dxfId="2" priority="49717" operator="containsText" text="Yes">
      <formula>NOT(ISERROR(SEARCH(("Yes"),(O379))))</formula>
    </cfRule>
  </conditionalFormatting>
  <conditionalFormatting sqref="O379">
    <cfRule type="containsText" dxfId="2" priority="49718" operator="containsText" text="Yes">
      <formula>NOT(ISERROR(SEARCH(("Yes"),(O379))))</formula>
    </cfRule>
  </conditionalFormatting>
  <conditionalFormatting sqref="O379">
    <cfRule type="containsText" dxfId="2" priority="49719" operator="containsText" text="Yes">
      <formula>NOT(ISERROR(SEARCH(("Yes"),(O379))))</formula>
    </cfRule>
  </conditionalFormatting>
  <conditionalFormatting sqref="O379">
    <cfRule type="containsText" dxfId="2" priority="49720" operator="containsText" text="Yes">
      <formula>NOT(ISERROR(SEARCH(("Yes"),(O379))))</formula>
    </cfRule>
  </conditionalFormatting>
  <conditionalFormatting sqref="O379">
    <cfRule type="containsText" dxfId="2" priority="49721" operator="containsText" text="Yes">
      <formula>NOT(ISERROR(SEARCH(("Yes"),(O379))))</formula>
    </cfRule>
  </conditionalFormatting>
  <conditionalFormatting sqref="O379">
    <cfRule type="containsText" dxfId="2" priority="49722" operator="containsText" text="Yes">
      <formula>NOT(ISERROR(SEARCH(("Yes"),(O379))))</formula>
    </cfRule>
  </conditionalFormatting>
  <conditionalFormatting sqref="O379">
    <cfRule type="containsText" dxfId="2" priority="49723" operator="containsText" text="Yes">
      <formula>NOT(ISERROR(SEARCH(("Yes"),(O379))))</formula>
    </cfRule>
  </conditionalFormatting>
  <conditionalFormatting sqref="O379">
    <cfRule type="containsText" dxfId="2" priority="49724" operator="containsText" text="Yes">
      <formula>NOT(ISERROR(SEARCH(("Yes"),(O379))))</formula>
    </cfRule>
  </conditionalFormatting>
  <conditionalFormatting sqref="O379">
    <cfRule type="containsText" dxfId="2" priority="49725" operator="containsText" text="Yes">
      <formula>NOT(ISERROR(SEARCH(("Yes"),(O379))))</formula>
    </cfRule>
  </conditionalFormatting>
  <conditionalFormatting sqref="O379">
    <cfRule type="containsText" dxfId="2" priority="49726" operator="containsText" text="Yes">
      <formula>NOT(ISERROR(SEARCH(("Yes"),(O379))))</formula>
    </cfRule>
  </conditionalFormatting>
  <conditionalFormatting sqref="O379">
    <cfRule type="containsText" dxfId="2" priority="49727" operator="containsText" text="Yes">
      <formula>NOT(ISERROR(SEARCH(("Yes"),(O379))))</formula>
    </cfRule>
  </conditionalFormatting>
  <conditionalFormatting sqref="O379">
    <cfRule type="containsText" dxfId="2" priority="49728" operator="containsText" text="Yes">
      <formula>NOT(ISERROR(SEARCH(("Yes"),(O379))))</formula>
    </cfRule>
  </conditionalFormatting>
  <conditionalFormatting sqref="O379">
    <cfRule type="containsText" dxfId="2" priority="49729" operator="containsText" text="Yes">
      <formula>NOT(ISERROR(SEARCH(("Yes"),(O379))))</formula>
    </cfRule>
  </conditionalFormatting>
  <conditionalFormatting sqref="O379">
    <cfRule type="containsText" dxfId="2" priority="49730" operator="containsText" text="Yes">
      <formula>NOT(ISERROR(SEARCH(("Yes"),(O379))))</formula>
    </cfRule>
  </conditionalFormatting>
  <conditionalFormatting sqref="O379">
    <cfRule type="containsText" dxfId="2" priority="49731" operator="containsText" text="Yes">
      <formula>NOT(ISERROR(SEARCH(("Yes"),(O379))))</formula>
    </cfRule>
  </conditionalFormatting>
  <conditionalFormatting sqref="O379">
    <cfRule type="containsText" dxfId="2" priority="49732" operator="containsText" text="Yes">
      <formula>NOT(ISERROR(SEARCH(("Yes"),(O379))))</formula>
    </cfRule>
  </conditionalFormatting>
  <conditionalFormatting sqref="O379">
    <cfRule type="containsText" dxfId="2" priority="49733" operator="containsText" text="Yes">
      <formula>NOT(ISERROR(SEARCH(("Yes"),(O379))))</formula>
    </cfRule>
  </conditionalFormatting>
  <conditionalFormatting sqref="O379">
    <cfRule type="containsText" dxfId="2" priority="49734" operator="containsText" text="Yes">
      <formula>NOT(ISERROR(SEARCH(("Yes"),(O379))))</formula>
    </cfRule>
  </conditionalFormatting>
  <conditionalFormatting sqref="O379">
    <cfRule type="containsText" dxfId="2" priority="49735" operator="containsText" text="Yes">
      <formula>NOT(ISERROR(SEARCH(("Yes"),(O379))))</formula>
    </cfRule>
  </conditionalFormatting>
  <conditionalFormatting sqref="O379">
    <cfRule type="containsText" dxfId="2" priority="49736" operator="containsText" text="Yes">
      <formula>NOT(ISERROR(SEARCH(("Yes"),(O379))))</formula>
    </cfRule>
  </conditionalFormatting>
  <conditionalFormatting sqref="O379">
    <cfRule type="containsText" dxfId="2" priority="49737" operator="containsText" text="Yes">
      <formula>NOT(ISERROR(SEARCH(("Yes"),(O379))))</formula>
    </cfRule>
  </conditionalFormatting>
  <conditionalFormatting sqref="O379">
    <cfRule type="containsText" dxfId="2" priority="49738" operator="containsText" text="Yes">
      <formula>NOT(ISERROR(SEARCH(("Yes"),(O379))))</formula>
    </cfRule>
  </conditionalFormatting>
  <conditionalFormatting sqref="O379">
    <cfRule type="containsText" dxfId="2" priority="49739" operator="containsText" text="Yes">
      <formula>NOT(ISERROR(SEARCH(("Yes"),(O379))))</formula>
    </cfRule>
  </conditionalFormatting>
  <conditionalFormatting sqref="O379">
    <cfRule type="containsText" dxfId="2" priority="49740" operator="containsText" text="Yes">
      <formula>NOT(ISERROR(SEARCH(("Yes"),(O379))))</formula>
    </cfRule>
  </conditionalFormatting>
  <conditionalFormatting sqref="O379">
    <cfRule type="containsText" dxfId="2" priority="49741" operator="containsText" text="Yes">
      <formula>NOT(ISERROR(SEARCH(("Yes"),(O379))))</formula>
    </cfRule>
  </conditionalFormatting>
  <conditionalFormatting sqref="O379">
    <cfRule type="containsText" dxfId="2" priority="49742" operator="containsText" text="Yes">
      <formula>NOT(ISERROR(SEARCH(("Yes"),(O379))))</formula>
    </cfRule>
  </conditionalFormatting>
  <conditionalFormatting sqref="O379">
    <cfRule type="containsText" dxfId="2" priority="49743" operator="containsText" text="Yes">
      <formula>NOT(ISERROR(SEARCH(("Yes"),(O379))))</formula>
    </cfRule>
  </conditionalFormatting>
  <conditionalFormatting sqref="O379">
    <cfRule type="containsText" dxfId="2" priority="49744" operator="containsText" text="Yes">
      <formula>NOT(ISERROR(SEARCH(("Yes"),(O379))))</formula>
    </cfRule>
  </conditionalFormatting>
  <conditionalFormatting sqref="O379">
    <cfRule type="containsText" dxfId="2" priority="49745" operator="containsText" text="Yes">
      <formula>NOT(ISERROR(SEARCH(("Yes"),(O379))))</formula>
    </cfRule>
  </conditionalFormatting>
  <conditionalFormatting sqref="O379">
    <cfRule type="containsText" dxfId="2" priority="49746" operator="containsText" text="Yes">
      <formula>NOT(ISERROR(SEARCH(("Yes"),(O379))))</formula>
    </cfRule>
  </conditionalFormatting>
  <conditionalFormatting sqref="O379">
    <cfRule type="containsText" dxfId="2" priority="49747" operator="containsText" text="Yes">
      <formula>NOT(ISERROR(SEARCH(("Yes"),(O379))))</formula>
    </cfRule>
  </conditionalFormatting>
  <conditionalFormatting sqref="O379">
    <cfRule type="containsText" dxfId="2" priority="49748" operator="containsText" text="Yes">
      <formula>NOT(ISERROR(SEARCH(("Yes"),(O379))))</formula>
    </cfRule>
  </conditionalFormatting>
  <conditionalFormatting sqref="P379">
    <cfRule type="containsText" dxfId="9" priority="49749" operator="containsText" text="No">
      <formula>NOT(ISERROR(SEARCH(("No"),(P379))))</formula>
    </cfRule>
  </conditionalFormatting>
  <conditionalFormatting sqref="P379">
    <cfRule type="containsText" dxfId="9" priority="49750" operator="containsText" text="No">
      <formula>NOT(ISERROR(SEARCH(("No"),(P379))))</formula>
    </cfRule>
  </conditionalFormatting>
  <conditionalFormatting sqref="P379">
    <cfRule type="containsText" dxfId="9" priority="49751" operator="containsText" text="No">
      <formula>NOT(ISERROR(SEARCH(("No"),(P379))))</formula>
    </cfRule>
  </conditionalFormatting>
  <conditionalFormatting sqref="P379">
    <cfRule type="containsText" dxfId="9" priority="49752" operator="containsText" text="No">
      <formula>NOT(ISERROR(SEARCH(("No"),(P379))))</formula>
    </cfRule>
  </conditionalFormatting>
  <conditionalFormatting sqref="P379">
    <cfRule type="containsText" dxfId="9" priority="49753" operator="containsText" text="No">
      <formula>NOT(ISERROR(SEARCH(("No"),(P379))))</formula>
    </cfRule>
  </conditionalFormatting>
  <conditionalFormatting sqref="P379">
    <cfRule type="containsText" dxfId="9" priority="49754" operator="containsText" text="No">
      <formula>NOT(ISERROR(SEARCH(("No"),(P379))))</formula>
    </cfRule>
  </conditionalFormatting>
  <conditionalFormatting sqref="P379">
    <cfRule type="containsText" dxfId="9" priority="49755" operator="containsText" text="No">
      <formula>NOT(ISERROR(SEARCH(("No"),(P379))))</formula>
    </cfRule>
  </conditionalFormatting>
  <conditionalFormatting sqref="P379">
    <cfRule type="containsText" dxfId="9" priority="49756" operator="containsText" text="No">
      <formula>NOT(ISERROR(SEARCH(("No"),(P379))))</formula>
    </cfRule>
  </conditionalFormatting>
  <conditionalFormatting sqref="P379">
    <cfRule type="containsText" dxfId="9" priority="49757" operator="containsText" text="No">
      <formula>NOT(ISERROR(SEARCH(("No"),(P379))))</formula>
    </cfRule>
  </conditionalFormatting>
  <conditionalFormatting sqref="P379">
    <cfRule type="containsText" dxfId="9" priority="49758" operator="containsText" text="No">
      <formula>NOT(ISERROR(SEARCH(("No"),(P379))))</formula>
    </cfRule>
  </conditionalFormatting>
  <conditionalFormatting sqref="P379">
    <cfRule type="containsText" dxfId="9" priority="49759" operator="containsText" text="No">
      <formula>NOT(ISERROR(SEARCH(("No"),(P379))))</formula>
    </cfRule>
  </conditionalFormatting>
  <conditionalFormatting sqref="P379">
    <cfRule type="containsText" dxfId="9" priority="49760" operator="containsText" text="No">
      <formula>NOT(ISERROR(SEARCH(("No"),(P379))))</formula>
    </cfRule>
  </conditionalFormatting>
  <conditionalFormatting sqref="P379">
    <cfRule type="containsText" dxfId="9" priority="49761" operator="containsText" text="No">
      <formula>NOT(ISERROR(SEARCH(("No"),(P379))))</formula>
    </cfRule>
  </conditionalFormatting>
  <conditionalFormatting sqref="P379">
    <cfRule type="containsText" dxfId="9" priority="49762" operator="containsText" text="No">
      <formula>NOT(ISERROR(SEARCH(("No"),(P379))))</formula>
    </cfRule>
  </conditionalFormatting>
  <conditionalFormatting sqref="P379">
    <cfRule type="containsText" dxfId="9" priority="49763" operator="containsText" text="No">
      <formula>NOT(ISERROR(SEARCH(("No"),(P379))))</formula>
    </cfRule>
  </conditionalFormatting>
  <conditionalFormatting sqref="P379">
    <cfRule type="containsText" dxfId="9" priority="49764" operator="containsText" text="No">
      <formula>NOT(ISERROR(SEARCH(("No"),(P379))))</formula>
    </cfRule>
  </conditionalFormatting>
  <conditionalFormatting sqref="P379">
    <cfRule type="containsText" dxfId="9" priority="49765" operator="containsText" text="No">
      <formula>NOT(ISERROR(SEARCH(("No"),(P379))))</formula>
    </cfRule>
  </conditionalFormatting>
  <conditionalFormatting sqref="P379">
    <cfRule type="containsText" dxfId="9" priority="49766" operator="containsText" text="No">
      <formula>NOT(ISERROR(SEARCH(("No"),(P379))))</formula>
    </cfRule>
  </conditionalFormatting>
  <conditionalFormatting sqref="P379">
    <cfRule type="containsText" dxfId="9" priority="49767" operator="containsText" text="No">
      <formula>NOT(ISERROR(SEARCH(("No"),(P379))))</formula>
    </cfRule>
  </conditionalFormatting>
  <conditionalFormatting sqref="P379">
    <cfRule type="containsText" dxfId="9" priority="49768" operator="containsText" text="No">
      <formula>NOT(ISERROR(SEARCH(("No"),(P379))))</formula>
    </cfRule>
  </conditionalFormatting>
  <conditionalFormatting sqref="P379">
    <cfRule type="containsText" dxfId="9" priority="49769" operator="containsText" text="No">
      <formula>NOT(ISERROR(SEARCH(("No"),(P379))))</formula>
    </cfRule>
  </conditionalFormatting>
  <conditionalFormatting sqref="P379">
    <cfRule type="containsText" dxfId="9" priority="49770" operator="containsText" text="No">
      <formula>NOT(ISERROR(SEARCH(("No"),(P379))))</formula>
    </cfRule>
  </conditionalFormatting>
  <conditionalFormatting sqref="P379">
    <cfRule type="containsText" dxfId="9" priority="49771" operator="containsText" text="No">
      <formula>NOT(ISERROR(SEARCH(("No"),(P379))))</formula>
    </cfRule>
  </conditionalFormatting>
  <conditionalFormatting sqref="P379">
    <cfRule type="containsText" dxfId="9" priority="49772" operator="containsText" text="No">
      <formula>NOT(ISERROR(SEARCH(("No"),(P379))))</formula>
    </cfRule>
  </conditionalFormatting>
  <conditionalFormatting sqref="P379">
    <cfRule type="containsText" dxfId="9" priority="49773" operator="containsText" text="No">
      <formula>NOT(ISERROR(SEARCH(("No"),(P379))))</formula>
    </cfRule>
  </conditionalFormatting>
  <conditionalFormatting sqref="P379">
    <cfRule type="containsText" dxfId="9" priority="49774" operator="containsText" text="No">
      <formula>NOT(ISERROR(SEARCH(("No"),(P379))))</formula>
    </cfRule>
  </conditionalFormatting>
  <conditionalFormatting sqref="P379">
    <cfRule type="containsText" dxfId="9" priority="49775" operator="containsText" text="No">
      <formula>NOT(ISERROR(SEARCH(("No"),(P379))))</formula>
    </cfRule>
  </conditionalFormatting>
  <conditionalFormatting sqref="P379">
    <cfRule type="containsText" dxfId="9" priority="49776" operator="containsText" text="No">
      <formula>NOT(ISERROR(SEARCH(("No"),(P379))))</formula>
    </cfRule>
  </conditionalFormatting>
  <conditionalFormatting sqref="P379">
    <cfRule type="containsText" dxfId="9" priority="49777" operator="containsText" text="No">
      <formula>NOT(ISERROR(SEARCH(("No"),(P379))))</formula>
    </cfRule>
  </conditionalFormatting>
  <conditionalFormatting sqref="P379">
    <cfRule type="containsText" dxfId="9" priority="49778" operator="containsText" text="No">
      <formula>NOT(ISERROR(SEARCH(("No"),(P379))))</formula>
    </cfRule>
  </conditionalFormatting>
  <conditionalFormatting sqref="P379">
    <cfRule type="containsText" dxfId="9" priority="49779" operator="containsText" text="No">
      <formula>NOT(ISERROR(SEARCH(("No"),(P379))))</formula>
    </cfRule>
  </conditionalFormatting>
  <conditionalFormatting sqref="P379">
    <cfRule type="containsText" dxfId="9" priority="49780" operator="containsText" text="No">
      <formula>NOT(ISERROR(SEARCH(("No"),(P379))))</formula>
    </cfRule>
  </conditionalFormatting>
  <conditionalFormatting sqref="P379">
    <cfRule type="containsText" dxfId="9" priority="49781" operator="containsText" text="No">
      <formula>NOT(ISERROR(SEARCH(("No"),(P379))))</formula>
    </cfRule>
  </conditionalFormatting>
  <conditionalFormatting sqref="P379">
    <cfRule type="containsText" dxfId="9" priority="49782" operator="containsText" text="No">
      <formula>NOT(ISERROR(SEARCH(("No"),(P379))))</formula>
    </cfRule>
  </conditionalFormatting>
  <conditionalFormatting sqref="P379">
    <cfRule type="containsText" dxfId="9" priority="49783" operator="containsText" text="No">
      <formula>NOT(ISERROR(SEARCH(("No"),(P379))))</formula>
    </cfRule>
  </conditionalFormatting>
  <conditionalFormatting sqref="P379">
    <cfRule type="containsText" dxfId="9" priority="49784" operator="containsText" text="No">
      <formula>NOT(ISERROR(SEARCH(("No"),(P379))))</formula>
    </cfRule>
  </conditionalFormatting>
  <conditionalFormatting sqref="P379">
    <cfRule type="containsText" dxfId="9" priority="49785" operator="containsText" text="No">
      <formula>NOT(ISERROR(SEARCH(("No"),(P379))))</formula>
    </cfRule>
  </conditionalFormatting>
  <conditionalFormatting sqref="P379">
    <cfRule type="containsText" dxfId="9" priority="49786" operator="containsText" text="No">
      <formula>NOT(ISERROR(SEARCH(("No"),(P379))))</formula>
    </cfRule>
  </conditionalFormatting>
  <conditionalFormatting sqref="P379">
    <cfRule type="containsText" dxfId="9" priority="49787" operator="containsText" text="No">
      <formula>NOT(ISERROR(SEARCH(("No"),(P379))))</formula>
    </cfRule>
  </conditionalFormatting>
  <conditionalFormatting sqref="P379">
    <cfRule type="containsText" dxfId="9" priority="49788" operator="containsText" text="No">
      <formula>NOT(ISERROR(SEARCH(("No"),(P379))))</formula>
    </cfRule>
  </conditionalFormatting>
  <conditionalFormatting sqref="P379">
    <cfRule type="containsText" dxfId="9" priority="49789" operator="containsText" text="No">
      <formula>NOT(ISERROR(SEARCH(("No"),(P379))))</formula>
    </cfRule>
  </conditionalFormatting>
  <conditionalFormatting sqref="P379">
    <cfRule type="containsText" dxfId="9" priority="49790" operator="containsText" text="No">
      <formula>NOT(ISERROR(SEARCH(("No"),(P379))))</formula>
    </cfRule>
  </conditionalFormatting>
  <conditionalFormatting sqref="P379">
    <cfRule type="containsText" dxfId="9" priority="49791" operator="containsText" text="No">
      <formula>NOT(ISERROR(SEARCH(("No"),(P379))))</formula>
    </cfRule>
  </conditionalFormatting>
  <conditionalFormatting sqref="P379">
    <cfRule type="containsText" dxfId="9" priority="49792" operator="containsText" text="No">
      <formula>NOT(ISERROR(SEARCH(("No"),(P379))))</formula>
    </cfRule>
  </conditionalFormatting>
  <conditionalFormatting sqref="P379">
    <cfRule type="containsText" dxfId="9" priority="49793" operator="containsText" text="No">
      <formula>NOT(ISERROR(SEARCH(("No"),(P379))))</formula>
    </cfRule>
  </conditionalFormatting>
  <conditionalFormatting sqref="P379">
    <cfRule type="containsText" dxfId="2" priority="49794" operator="containsText" text="Yes">
      <formula>NOT(ISERROR(SEARCH(("Yes"),(P379))))</formula>
    </cfRule>
  </conditionalFormatting>
  <conditionalFormatting sqref="P379">
    <cfRule type="containsText" dxfId="2" priority="49795" operator="containsText" text="Yes">
      <formula>NOT(ISERROR(SEARCH(("Yes"),(P379))))</formula>
    </cfRule>
  </conditionalFormatting>
  <conditionalFormatting sqref="P379">
    <cfRule type="containsText" dxfId="2" priority="49796" operator="containsText" text="Yes">
      <formula>NOT(ISERROR(SEARCH(("Yes"),(P379))))</formula>
    </cfRule>
  </conditionalFormatting>
  <conditionalFormatting sqref="P379">
    <cfRule type="containsText" dxfId="2" priority="49797" operator="containsText" text="Yes">
      <formula>NOT(ISERROR(SEARCH(("Yes"),(P379))))</formula>
    </cfRule>
  </conditionalFormatting>
  <conditionalFormatting sqref="P379">
    <cfRule type="containsText" dxfId="2" priority="49798" operator="containsText" text="Yes">
      <formula>NOT(ISERROR(SEARCH(("Yes"),(P379))))</formula>
    </cfRule>
  </conditionalFormatting>
  <conditionalFormatting sqref="P379">
    <cfRule type="containsText" dxfId="2" priority="49799" operator="containsText" text="Yes">
      <formula>NOT(ISERROR(SEARCH(("Yes"),(P379))))</formula>
    </cfRule>
  </conditionalFormatting>
  <conditionalFormatting sqref="P379">
    <cfRule type="containsText" dxfId="2" priority="49800" operator="containsText" text="Yes">
      <formula>NOT(ISERROR(SEARCH(("Yes"),(P379))))</formula>
    </cfRule>
  </conditionalFormatting>
  <conditionalFormatting sqref="P379">
    <cfRule type="containsText" dxfId="2" priority="49801" operator="containsText" text="Yes">
      <formula>NOT(ISERROR(SEARCH(("Yes"),(P379))))</formula>
    </cfRule>
  </conditionalFormatting>
  <conditionalFormatting sqref="P379">
    <cfRule type="containsText" dxfId="2" priority="49802" operator="containsText" text="Yes">
      <formula>NOT(ISERROR(SEARCH(("Yes"),(P379))))</formula>
    </cfRule>
  </conditionalFormatting>
  <conditionalFormatting sqref="P379">
    <cfRule type="containsText" dxfId="2" priority="49803" operator="containsText" text="Yes">
      <formula>NOT(ISERROR(SEARCH(("Yes"),(P379))))</formula>
    </cfRule>
  </conditionalFormatting>
  <conditionalFormatting sqref="P379">
    <cfRule type="containsText" dxfId="2" priority="49804" operator="containsText" text="Yes">
      <formula>NOT(ISERROR(SEARCH(("Yes"),(P379))))</formula>
    </cfRule>
  </conditionalFormatting>
  <conditionalFormatting sqref="P379">
    <cfRule type="containsText" dxfId="2" priority="49805" operator="containsText" text="Yes">
      <formula>NOT(ISERROR(SEARCH(("Yes"),(P379))))</formula>
    </cfRule>
  </conditionalFormatting>
  <conditionalFormatting sqref="P379">
    <cfRule type="containsText" dxfId="2" priority="49806" operator="containsText" text="Yes">
      <formula>NOT(ISERROR(SEARCH(("Yes"),(P379))))</formula>
    </cfRule>
  </conditionalFormatting>
  <conditionalFormatting sqref="P379">
    <cfRule type="containsText" dxfId="2" priority="49807" operator="containsText" text="Yes">
      <formula>NOT(ISERROR(SEARCH(("Yes"),(P379))))</formula>
    </cfRule>
  </conditionalFormatting>
  <conditionalFormatting sqref="P379">
    <cfRule type="containsText" dxfId="2" priority="49808" operator="containsText" text="Yes">
      <formula>NOT(ISERROR(SEARCH(("Yes"),(P379))))</formula>
    </cfRule>
  </conditionalFormatting>
  <conditionalFormatting sqref="P379">
    <cfRule type="containsText" dxfId="2" priority="49809" operator="containsText" text="Yes">
      <formula>NOT(ISERROR(SEARCH(("Yes"),(P379))))</formula>
    </cfRule>
  </conditionalFormatting>
  <conditionalFormatting sqref="P379">
    <cfRule type="containsText" dxfId="2" priority="49810" operator="containsText" text="Yes">
      <formula>NOT(ISERROR(SEARCH(("Yes"),(P379))))</formula>
    </cfRule>
  </conditionalFormatting>
  <conditionalFormatting sqref="P379">
    <cfRule type="containsText" dxfId="2" priority="49811" operator="containsText" text="Yes">
      <formula>NOT(ISERROR(SEARCH(("Yes"),(P379))))</formula>
    </cfRule>
  </conditionalFormatting>
  <conditionalFormatting sqref="P379">
    <cfRule type="containsText" dxfId="2" priority="49812" operator="containsText" text="Yes">
      <formula>NOT(ISERROR(SEARCH(("Yes"),(P379))))</formula>
    </cfRule>
  </conditionalFormatting>
  <conditionalFormatting sqref="P379">
    <cfRule type="containsText" dxfId="2" priority="49813" operator="containsText" text="Yes">
      <formula>NOT(ISERROR(SEARCH(("Yes"),(P379))))</formula>
    </cfRule>
  </conditionalFormatting>
  <conditionalFormatting sqref="P379">
    <cfRule type="containsText" dxfId="2" priority="49814" operator="containsText" text="Yes">
      <formula>NOT(ISERROR(SEARCH(("Yes"),(P379))))</formula>
    </cfRule>
  </conditionalFormatting>
  <conditionalFormatting sqref="P379">
    <cfRule type="containsText" dxfId="2" priority="49815" operator="containsText" text="Yes">
      <formula>NOT(ISERROR(SEARCH(("Yes"),(P379))))</formula>
    </cfRule>
  </conditionalFormatting>
  <conditionalFormatting sqref="P379">
    <cfRule type="containsText" dxfId="2" priority="49816" operator="containsText" text="Yes">
      <formula>NOT(ISERROR(SEARCH(("Yes"),(P379))))</formula>
    </cfRule>
  </conditionalFormatting>
  <conditionalFormatting sqref="P379">
    <cfRule type="containsText" dxfId="2" priority="49817" operator="containsText" text="Yes">
      <formula>NOT(ISERROR(SEARCH(("Yes"),(P379))))</formula>
    </cfRule>
  </conditionalFormatting>
  <conditionalFormatting sqref="P379">
    <cfRule type="containsText" dxfId="2" priority="49818" operator="containsText" text="Yes">
      <formula>NOT(ISERROR(SEARCH(("Yes"),(P379))))</formula>
    </cfRule>
  </conditionalFormatting>
  <conditionalFormatting sqref="P379">
    <cfRule type="containsText" dxfId="2" priority="49819" operator="containsText" text="Yes">
      <formula>NOT(ISERROR(SEARCH(("Yes"),(P379))))</formula>
    </cfRule>
  </conditionalFormatting>
  <conditionalFormatting sqref="P379">
    <cfRule type="containsText" dxfId="2" priority="49820" operator="containsText" text="Yes">
      <formula>NOT(ISERROR(SEARCH(("Yes"),(P379))))</formula>
    </cfRule>
  </conditionalFormatting>
  <conditionalFormatting sqref="P379">
    <cfRule type="containsText" dxfId="2" priority="49821" operator="containsText" text="Yes">
      <formula>NOT(ISERROR(SEARCH(("Yes"),(P379))))</formula>
    </cfRule>
  </conditionalFormatting>
  <conditionalFormatting sqref="P379">
    <cfRule type="containsText" dxfId="2" priority="49822" operator="containsText" text="Yes">
      <formula>NOT(ISERROR(SEARCH(("Yes"),(P379))))</formula>
    </cfRule>
  </conditionalFormatting>
  <conditionalFormatting sqref="P379">
    <cfRule type="containsText" dxfId="2" priority="49823" operator="containsText" text="Yes">
      <formula>NOT(ISERROR(SEARCH(("Yes"),(P379))))</formula>
    </cfRule>
  </conditionalFormatting>
  <conditionalFormatting sqref="P379">
    <cfRule type="containsText" dxfId="2" priority="49824" operator="containsText" text="Yes">
      <formula>NOT(ISERROR(SEARCH(("Yes"),(P379))))</formula>
    </cfRule>
  </conditionalFormatting>
  <conditionalFormatting sqref="P379">
    <cfRule type="containsText" dxfId="2" priority="49825" operator="containsText" text="Yes">
      <formula>NOT(ISERROR(SEARCH(("Yes"),(P379))))</formula>
    </cfRule>
  </conditionalFormatting>
  <conditionalFormatting sqref="P379">
    <cfRule type="containsText" dxfId="2" priority="49826" operator="containsText" text="Yes">
      <formula>NOT(ISERROR(SEARCH(("Yes"),(P379))))</formula>
    </cfRule>
  </conditionalFormatting>
  <conditionalFormatting sqref="P379">
    <cfRule type="containsText" dxfId="2" priority="49827" operator="containsText" text="Yes">
      <formula>NOT(ISERROR(SEARCH(("Yes"),(P379))))</formula>
    </cfRule>
  </conditionalFormatting>
  <conditionalFormatting sqref="P379">
    <cfRule type="containsText" dxfId="2" priority="49828" operator="containsText" text="Yes">
      <formula>NOT(ISERROR(SEARCH(("Yes"),(P379))))</formula>
    </cfRule>
  </conditionalFormatting>
  <conditionalFormatting sqref="P379">
    <cfRule type="containsText" dxfId="2" priority="49829" operator="containsText" text="Yes">
      <formula>NOT(ISERROR(SEARCH(("Yes"),(P379))))</formula>
    </cfRule>
  </conditionalFormatting>
  <conditionalFormatting sqref="P379">
    <cfRule type="containsText" dxfId="2" priority="49830" operator="containsText" text="Yes">
      <formula>NOT(ISERROR(SEARCH(("Yes"),(P379))))</formula>
    </cfRule>
  </conditionalFormatting>
  <conditionalFormatting sqref="P379">
    <cfRule type="containsText" dxfId="2" priority="49831" operator="containsText" text="Yes">
      <formula>NOT(ISERROR(SEARCH(("Yes"),(P379))))</formula>
    </cfRule>
  </conditionalFormatting>
  <conditionalFormatting sqref="P379">
    <cfRule type="containsText" dxfId="2" priority="49832" operator="containsText" text="Yes">
      <formula>NOT(ISERROR(SEARCH(("Yes"),(P379))))</formula>
    </cfRule>
  </conditionalFormatting>
  <conditionalFormatting sqref="P379">
    <cfRule type="containsText" dxfId="2" priority="49833" operator="containsText" text="Yes">
      <formula>NOT(ISERROR(SEARCH(("Yes"),(P379))))</formula>
    </cfRule>
  </conditionalFormatting>
  <conditionalFormatting sqref="P379">
    <cfRule type="containsText" dxfId="2" priority="49834" operator="containsText" text="Yes">
      <formula>NOT(ISERROR(SEARCH(("Yes"),(P379))))</formula>
    </cfRule>
  </conditionalFormatting>
  <conditionalFormatting sqref="P379">
    <cfRule type="containsText" dxfId="2" priority="49835" operator="containsText" text="Yes">
      <formula>NOT(ISERROR(SEARCH(("Yes"),(P379))))</formula>
    </cfRule>
  </conditionalFormatting>
  <conditionalFormatting sqref="P379">
    <cfRule type="containsText" dxfId="2" priority="49836" operator="containsText" text="Yes">
      <formula>NOT(ISERROR(SEARCH(("Yes"),(P379))))</formula>
    </cfRule>
  </conditionalFormatting>
  <conditionalFormatting sqref="P379">
    <cfRule type="containsText" dxfId="2" priority="49837" operator="containsText" text="Yes">
      <formula>NOT(ISERROR(SEARCH(("Yes"),(P379))))</formula>
    </cfRule>
  </conditionalFormatting>
  <conditionalFormatting sqref="P379">
    <cfRule type="containsText" dxfId="2" priority="49838" operator="containsText" text="Yes">
      <formula>NOT(ISERROR(SEARCH(("Yes"),(P379))))</formula>
    </cfRule>
  </conditionalFormatting>
  <conditionalFormatting sqref="P379">
    <cfRule type="containsText" dxfId="2" priority="49839" operator="containsText" text="Yes">
      <formula>NOT(ISERROR(SEARCH(("Yes"),(P379))))</formula>
    </cfRule>
  </conditionalFormatting>
  <conditionalFormatting sqref="P379">
    <cfRule type="containsText" dxfId="2" priority="49840" operator="containsText" text="Yes">
      <formula>NOT(ISERROR(SEARCH(("Yes"),(P379))))</formula>
    </cfRule>
  </conditionalFormatting>
  <conditionalFormatting sqref="Q379">
    <cfRule type="containsText" dxfId="9" priority="49841" operator="containsText" text="No">
      <formula>NOT(ISERROR(SEARCH(("No"),(Q379))))</formula>
    </cfRule>
  </conditionalFormatting>
  <conditionalFormatting sqref="Q379">
    <cfRule type="containsText" dxfId="9" priority="49842" operator="containsText" text="No">
      <formula>NOT(ISERROR(SEARCH(("No"),(Q379))))</formula>
    </cfRule>
  </conditionalFormatting>
  <conditionalFormatting sqref="Q379">
    <cfRule type="containsText" dxfId="9" priority="49843" operator="containsText" text="No">
      <formula>NOT(ISERROR(SEARCH(("No"),(Q379))))</formula>
    </cfRule>
  </conditionalFormatting>
  <conditionalFormatting sqref="Q379">
    <cfRule type="containsText" dxfId="9" priority="49844" operator="containsText" text="No">
      <formula>NOT(ISERROR(SEARCH(("No"),(Q379))))</formula>
    </cfRule>
  </conditionalFormatting>
  <conditionalFormatting sqref="Q379">
    <cfRule type="containsText" dxfId="9" priority="49845" operator="containsText" text="No">
      <formula>NOT(ISERROR(SEARCH(("No"),(Q379))))</formula>
    </cfRule>
  </conditionalFormatting>
  <conditionalFormatting sqref="Q379">
    <cfRule type="containsText" dxfId="9" priority="49846" operator="containsText" text="No">
      <formula>NOT(ISERROR(SEARCH(("No"),(Q379))))</formula>
    </cfRule>
  </conditionalFormatting>
  <conditionalFormatting sqref="Q379">
    <cfRule type="containsText" dxfId="9" priority="49847" operator="containsText" text="No">
      <formula>NOT(ISERROR(SEARCH(("No"),(Q379))))</formula>
    </cfRule>
  </conditionalFormatting>
  <conditionalFormatting sqref="Q379">
    <cfRule type="containsText" dxfId="9" priority="49848" operator="containsText" text="No">
      <formula>NOT(ISERROR(SEARCH(("No"),(Q379))))</formula>
    </cfRule>
  </conditionalFormatting>
  <conditionalFormatting sqref="Q379">
    <cfRule type="containsText" dxfId="9" priority="49849" operator="containsText" text="No">
      <formula>NOT(ISERROR(SEARCH(("No"),(Q379))))</formula>
    </cfRule>
  </conditionalFormatting>
  <conditionalFormatting sqref="Q379">
    <cfRule type="containsText" dxfId="9" priority="49850" operator="containsText" text="No">
      <formula>NOT(ISERROR(SEARCH(("No"),(Q379))))</formula>
    </cfRule>
  </conditionalFormatting>
  <conditionalFormatting sqref="Q379">
    <cfRule type="containsText" dxfId="9" priority="49851" operator="containsText" text="No">
      <formula>NOT(ISERROR(SEARCH(("No"),(Q379))))</formula>
    </cfRule>
  </conditionalFormatting>
  <conditionalFormatting sqref="Q379">
    <cfRule type="containsText" dxfId="9" priority="49852" operator="containsText" text="No">
      <formula>NOT(ISERROR(SEARCH(("No"),(Q379))))</formula>
    </cfRule>
  </conditionalFormatting>
  <conditionalFormatting sqref="Q379">
    <cfRule type="containsText" dxfId="9" priority="49853" operator="containsText" text="No">
      <formula>NOT(ISERROR(SEARCH(("No"),(Q379))))</formula>
    </cfRule>
  </conditionalFormatting>
  <conditionalFormatting sqref="Q379">
    <cfRule type="containsText" dxfId="9" priority="49854" operator="containsText" text="No">
      <formula>NOT(ISERROR(SEARCH(("No"),(Q379))))</formula>
    </cfRule>
  </conditionalFormatting>
  <conditionalFormatting sqref="Q379">
    <cfRule type="containsText" dxfId="9" priority="49855" operator="containsText" text="No">
      <formula>NOT(ISERROR(SEARCH(("No"),(Q379))))</formula>
    </cfRule>
  </conditionalFormatting>
  <conditionalFormatting sqref="Q379">
    <cfRule type="containsText" dxfId="9" priority="49856" operator="containsText" text="No">
      <formula>NOT(ISERROR(SEARCH(("No"),(Q379))))</formula>
    </cfRule>
  </conditionalFormatting>
  <conditionalFormatting sqref="Q379">
    <cfRule type="containsText" dxfId="9" priority="49857" operator="containsText" text="No">
      <formula>NOT(ISERROR(SEARCH(("No"),(Q379))))</formula>
    </cfRule>
  </conditionalFormatting>
  <conditionalFormatting sqref="Q379">
    <cfRule type="containsText" dxfId="9" priority="49858" operator="containsText" text="No">
      <formula>NOT(ISERROR(SEARCH(("No"),(Q379))))</formula>
    </cfRule>
  </conditionalFormatting>
  <conditionalFormatting sqref="Q379">
    <cfRule type="containsText" dxfId="9" priority="49859" operator="containsText" text="No">
      <formula>NOT(ISERROR(SEARCH(("No"),(Q379))))</formula>
    </cfRule>
  </conditionalFormatting>
  <conditionalFormatting sqref="Q379">
    <cfRule type="containsText" dxfId="9" priority="49860" operator="containsText" text="No">
      <formula>NOT(ISERROR(SEARCH(("No"),(Q379))))</formula>
    </cfRule>
  </conditionalFormatting>
  <conditionalFormatting sqref="Q379">
    <cfRule type="containsText" dxfId="9" priority="49861" operator="containsText" text="No">
      <formula>NOT(ISERROR(SEARCH(("No"),(Q379))))</formula>
    </cfRule>
  </conditionalFormatting>
  <conditionalFormatting sqref="Q379">
    <cfRule type="containsText" dxfId="9" priority="49862" operator="containsText" text="No">
      <formula>NOT(ISERROR(SEARCH(("No"),(Q379))))</formula>
    </cfRule>
  </conditionalFormatting>
  <conditionalFormatting sqref="Q379">
    <cfRule type="containsText" dxfId="9" priority="49863" operator="containsText" text="No">
      <formula>NOT(ISERROR(SEARCH(("No"),(Q379))))</formula>
    </cfRule>
  </conditionalFormatting>
  <conditionalFormatting sqref="Q379">
    <cfRule type="containsText" dxfId="9" priority="49864" operator="containsText" text="No">
      <formula>NOT(ISERROR(SEARCH(("No"),(Q379))))</formula>
    </cfRule>
  </conditionalFormatting>
  <conditionalFormatting sqref="Q379">
    <cfRule type="containsText" dxfId="9" priority="49865" operator="containsText" text="No">
      <formula>NOT(ISERROR(SEARCH(("No"),(Q379))))</formula>
    </cfRule>
  </conditionalFormatting>
  <conditionalFormatting sqref="Q379">
    <cfRule type="containsText" dxfId="9" priority="49866" operator="containsText" text="No">
      <formula>NOT(ISERROR(SEARCH(("No"),(Q379))))</formula>
    </cfRule>
  </conditionalFormatting>
  <conditionalFormatting sqref="Q379">
    <cfRule type="containsText" dxfId="9" priority="49867" operator="containsText" text="No">
      <formula>NOT(ISERROR(SEARCH(("No"),(Q379))))</formula>
    </cfRule>
  </conditionalFormatting>
  <conditionalFormatting sqref="Q379">
    <cfRule type="containsText" dxfId="9" priority="49868" operator="containsText" text="No">
      <formula>NOT(ISERROR(SEARCH(("No"),(Q379))))</formula>
    </cfRule>
  </conditionalFormatting>
  <conditionalFormatting sqref="Q379">
    <cfRule type="containsText" dxfId="9" priority="49869" operator="containsText" text="No">
      <formula>NOT(ISERROR(SEARCH(("No"),(Q379))))</formula>
    </cfRule>
  </conditionalFormatting>
  <conditionalFormatting sqref="Q379">
    <cfRule type="containsText" dxfId="9" priority="49870" operator="containsText" text="No">
      <formula>NOT(ISERROR(SEARCH(("No"),(Q379))))</formula>
    </cfRule>
  </conditionalFormatting>
  <conditionalFormatting sqref="Q379">
    <cfRule type="containsText" dxfId="9" priority="49871" operator="containsText" text="No">
      <formula>NOT(ISERROR(SEARCH(("No"),(Q379))))</formula>
    </cfRule>
  </conditionalFormatting>
  <conditionalFormatting sqref="Q379">
    <cfRule type="containsText" dxfId="9" priority="49872" operator="containsText" text="No">
      <formula>NOT(ISERROR(SEARCH(("No"),(Q379))))</formula>
    </cfRule>
  </conditionalFormatting>
  <conditionalFormatting sqref="Q379">
    <cfRule type="containsText" dxfId="9" priority="49873" operator="containsText" text="No">
      <formula>NOT(ISERROR(SEARCH(("No"),(Q379))))</formula>
    </cfRule>
  </conditionalFormatting>
  <conditionalFormatting sqref="Q379">
    <cfRule type="containsText" dxfId="9" priority="49874" operator="containsText" text="No">
      <formula>NOT(ISERROR(SEARCH(("No"),(Q379))))</formula>
    </cfRule>
  </conditionalFormatting>
  <conditionalFormatting sqref="Q379">
    <cfRule type="containsText" dxfId="9" priority="49875" operator="containsText" text="No">
      <formula>NOT(ISERROR(SEARCH(("No"),(Q379))))</formula>
    </cfRule>
  </conditionalFormatting>
  <conditionalFormatting sqref="Q379">
    <cfRule type="containsText" dxfId="9" priority="49876" operator="containsText" text="No">
      <formula>NOT(ISERROR(SEARCH(("No"),(Q379))))</formula>
    </cfRule>
  </conditionalFormatting>
  <conditionalFormatting sqref="Q379">
    <cfRule type="containsText" dxfId="9" priority="49877" operator="containsText" text="No">
      <formula>NOT(ISERROR(SEARCH(("No"),(Q379))))</formula>
    </cfRule>
  </conditionalFormatting>
  <conditionalFormatting sqref="Q379">
    <cfRule type="containsText" dxfId="9" priority="49878" operator="containsText" text="No">
      <formula>NOT(ISERROR(SEARCH(("No"),(Q379))))</formula>
    </cfRule>
  </conditionalFormatting>
  <conditionalFormatting sqref="Q379">
    <cfRule type="containsText" dxfId="9" priority="49879" operator="containsText" text="No">
      <formula>NOT(ISERROR(SEARCH(("No"),(Q379))))</formula>
    </cfRule>
  </conditionalFormatting>
  <conditionalFormatting sqref="Q379">
    <cfRule type="containsText" dxfId="9" priority="49880" operator="containsText" text="No">
      <formula>NOT(ISERROR(SEARCH(("No"),(Q379))))</formula>
    </cfRule>
  </conditionalFormatting>
  <conditionalFormatting sqref="Q379">
    <cfRule type="containsText" dxfId="9" priority="49881" operator="containsText" text="No">
      <formula>NOT(ISERROR(SEARCH(("No"),(Q379))))</formula>
    </cfRule>
  </conditionalFormatting>
  <conditionalFormatting sqref="Q379">
    <cfRule type="containsText" dxfId="9" priority="49882" operator="containsText" text="No">
      <formula>NOT(ISERROR(SEARCH(("No"),(Q379))))</formula>
    </cfRule>
  </conditionalFormatting>
  <conditionalFormatting sqref="Q379">
    <cfRule type="containsText" dxfId="9" priority="49883" operator="containsText" text="No">
      <formula>NOT(ISERROR(SEARCH(("No"),(Q379))))</formula>
    </cfRule>
  </conditionalFormatting>
  <conditionalFormatting sqref="Q379">
    <cfRule type="containsText" dxfId="9" priority="49884" operator="containsText" text="No">
      <formula>NOT(ISERROR(SEARCH(("No"),(Q379))))</formula>
    </cfRule>
  </conditionalFormatting>
  <conditionalFormatting sqref="Q379">
    <cfRule type="containsText" dxfId="9" priority="49885" operator="containsText" text="No">
      <formula>NOT(ISERROR(SEARCH(("No"),(Q379))))</formula>
    </cfRule>
  </conditionalFormatting>
  <conditionalFormatting sqref="Q379">
    <cfRule type="containsText" dxfId="2" priority="49886" operator="containsText" text="Yes">
      <formula>NOT(ISERROR(SEARCH(("Yes"),(Q379))))</formula>
    </cfRule>
  </conditionalFormatting>
  <conditionalFormatting sqref="Q379">
    <cfRule type="containsText" dxfId="2" priority="49887" operator="containsText" text="Yes">
      <formula>NOT(ISERROR(SEARCH(("Yes"),(Q379))))</formula>
    </cfRule>
  </conditionalFormatting>
  <conditionalFormatting sqref="Q379">
    <cfRule type="containsText" dxfId="2" priority="49888" operator="containsText" text="Yes">
      <formula>NOT(ISERROR(SEARCH(("Yes"),(Q379))))</formula>
    </cfRule>
  </conditionalFormatting>
  <conditionalFormatting sqref="Q379">
    <cfRule type="containsText" dxfId="2" priority="49889" operator="containsText" text="Yes">
      <formula>NOT(ISERROR(SEARCH(("Yes"),(Q379))))</formula>
    </cfRule>
  </conditionalFormatting>
  <conditionalFormatting sqref="Q379">
    <cfRule type="containsText" dxfId="2" priority="49890" operator="containsText" text="Yes">
      <formula>NOT(ISERROR(SEARCH(("Yes"),(Q379))))</formula>
    </cfRule>
  </conditionalFormatting>
  <conditionalFormatting sqref="Q379">
    <cfRule type="containsText" dxfId="2" priority="49891" operator="containsText" text="Yes">
      <formula>NOT(ISERROR(SEARCH(("Yes"),(Q379))))</formula>
    </cfRule>
  </conditionalFormatting>
  <conditionalFormatting sqref="Q379">
    <cfRule type="containsText" dxfId="2" priority="49892" operator="containsText" text="Yes">
      <formula>NOT(ISERROR(SEARCH(("Yes"),(Q379))))</formula>
    </cfRule>
  </conditionalFormatting>
  <conditionalFormatting sqref="Q379">
    <cfRule type="containsText" dxfId="2" priority="49893" operator="containsText" text="Yes">
      <formula>NOT(ISERROR(SEARCH(("Yes"),(Q379))))</formula>
    </cfRule>
  </conditionalFormatting>
  <conditionalFormatting sqref="Q379">
    <cfRule type="containsText" dxfId="2" priority="49894" operator="containsText" text="Yes">
      <formula>NOT(ISERROR(SEARCH(("Yes"),(Q379))))</formula>
    </cfRule>
  </conditionalFormatting>
  <conditionalFormatting sqref="Q379">
    <cfRule type="containsText" dxfId="2" priority="49895" operator="containsText" text="Yes">
      <formula>NOT(ISERROR(SEARCH(("Yes"),(Q379))))</formula>
    </cfRule>
  </conditionalFormatting>
  <conditionalFormatting sqref="Q379">
    <cfRule type="containsText" dxfId="2" priority="49896" operator="containsText" text="Yes">
      <formula>NOT(ISERROR(SEARCH(("Yes"),(Q379))))</formula>
    </cfRule>
  </conditionalFormatting>
  <conditionalFormatting sqref="Q379">
    <cfRule type="containsText" dxfId="2" priority="49897" operator="containsText" text="Yes">
      <formula>NOT(ISERROR(SEARCH(("Yes"),(Q379))))</formula>
    </cfRule>
  </conditionalFormatting>
  <conditionalFormatting sqref="Q379">
    <cfRule type="containsText" dxfId="2" priority="49898" operator="containsText" text="Yes">
      <formula>NOT(ISERROR(SEARCH(("Yes"),(Q379))))</formula>
    </cfRule>
  </conditionalFormatting>
  <conditionalFormatting sqref="Q379">
    <cfRule type="containsText" dxfId="2" priority="49899" operator="containsText" text="Yes">
      <formula>NOT(ISERROR(SEARCH(("Yes"),(Q379))))</formula>
    </cfRule>
  </conditionalFormatting>
  <conditionalFormatting sqref="Q379">
    <cfRule type="containsText" dxfId="2" priority="49900" operator="containsText" text="Yes">
      <formula>NOT(ISERROR(SEARCH(("Yes"),(Q379))))</formula>
    </cfRule>
  </conditionalFormatting>
  <conditionalFormatting sqref="Q379">
    <cfRule type="containsText" dxfId="2" priority="49901" operator="containsText" text="Yes">
      <formula>NOT(ISERROR(SEARCH(("Yes"),(Q379))))</formula>
    </cfRule>
  </conditionalFormatting>
  <conditionalFormatting sqref="Q379">
    <cfRule type="containsText" dxfId="2" priority="49902" operator="containsText" text="Yes">
      <formula>NOT(ISERROR(SEARCH(("Yes"),(Q379))))</formula>
    </cfRule>
  </conditionalFormatting>
  <conditionalFormatting sqref="Q379">
    <cfRule type="containsText" dxfId="2" priority="49903" operator="containsText" text="Yes">
      <formula>NOT(ISERROR(SEARCH(("Yes"),(Q379))))</formula>
    </cfRule>
  </conditionalFormatting>
  <conditionalFormatting sqref="Q379">
    <cfRule type="containsText" dxfId="2" priority="49904" operator="containsText" text="Yes">
      <formula>NOT(ISERROR(SEARCH(("Yes"),(Q379))))</formula>
    </cfRule>
  </conditionalFormatting>
  <conditionalFormatting sqref="Q379">
    <cfRule type="containsText" dxfId="2" priority="49905" operator="containsText" text="Yes">
      <formula>NOT(ISERROR(SEARCH(("Yes"),(Q379))))</formula>
    </cfRule>
  </conditionalFormatting>
  <conditionalFormatting sqref="Q379">
    <cfRule type="containsText" dxfId="2" priority="49906" operator="containsText" text="Yes">
      <formula>NOT(ISERROR(SEARCH(("Yes"),(Q379))))</formula>
    </cfRule>
  </conditionalFormatting>
  <conditionalFormatting sqref="Q379">
    <cfRule type="containsText" dxfId="2" priority="49907" operator="containsText" text="Yes">
      <formula>NOT(ISERROR(SEARCH(("Yes"),(Q379))))</formula>
    </cfRule>
  </conditionalFormatting>
  <conditionalFormatting sqref="Q379">
    <cfRule type="containsText" dxfId="2" priority="49908" operator="containsText" text="Yes">
      <formula>NOT(ISERROR(SEARCH(("Yes"),(Q379))))</formula>
    </cfRule>
  </conditionalFormatting>
  <conditionalFormatting sqref="Q379">
    <cfRule type="containsText" dxfId="2" priority="49909" operator="containsText" text="Yes">
      <formula>NOT(ISERROR(SEARCH(("Yes"),(Q379))))</formula>
    </cfRule>
  </conditionalFormatting>
  <conditionalFormatting sqref="Q379">
    <cfRule type="containsText" dxfId="2" priority="49910" operator="containsText" text="Yes">
      <formula>NOT(ISERROR(SEARCH(("Yes"),(Q379))))</formula>
    </cfRule>
  </conditionalFormatting>
  <conditionalFormatting sqref="Q379">
    <cfRule type="containsText" dxfId="2" priority="49911" operator="containsText" text="Yes">
      <formula>NOT(ISERROR(SEARCH(("Yes"),(Q379))))</formula>
    </cfRule>
  </conditionalFormatting>
  <conditionalFormatting sqref="Q379">
    <cfRule type="containsText" dxfId="2" priority="49912" operator="containsText" text="Yes">
      <formula>NOT(ISERROR(SEARCH(("Yes"),(Q379))))</formula>
    </cfRule>
  </conditionalFormatting>
  <conditionalFormatting sqref="Q379">
    <cfRule type="containsText" dxfId="2" priority="49913" operator="containsText" text="Yes">
      <formula>NOT(ISERROR(SEARCH(("Yes"),(Q379))))</formula>
    </cfRule>
  </conditionalFormatting>
  <conditionalFormatting sqref="Q379">
    <cfRule type="containsText" dxfId="2" priority="49914" operator="containsText" text="Yes">
      <formula>NOT(ISERROR(SEARCH(("Yes"),(Q379))))</formula>
    </cfRule>
  </conditionalFormatting>
  <conditionalFormatting sqref="Q379">
    <cfRule type="containsText" dxfId="2" priority="49915" operator="containsText" text="Yes">
      <formula>NOT(ISERROR(SEARCH(("Yes"),(Q379))))</formula>
    </cfRule>
  </conditionalFormatting>
  <conditionalFormatting sqref="Q379">
    <cfRule type="containsText" dxfId="2" priority="49916" operator="containsText" text="Yes">
      <formula>NOT(ISERROR(SEARCH(("Yes"),(Q379))))</formula>
    </cfRule>
  </conditionalFormatting>
  <conditionalFormatting sqref="Q379">
    <cfRule type="containsText" dxfId="2" priority="49917" operator="containsText" text="Yes">
      <formula>NOT(ISERROR(SEARCH(("Yes"),(Q379))))</formula>
    </cfRule>
  </conditionalFormatting>
  <conditionalFormatting sqref="Q379">
    <cfRule type="containsText" dxfId="2" priority="49918" operator="containsText" text="Yes">
      <formula>NOT(ISERROR(SEARCH(("Yes"),(Q379))))</formula>
    </cfRule>
  </conditionalFormatting>
  <conditionalFormatting sqref="Q379">
    <cfRule type="containsText" dxfId="2" priority="49919" operator="containsText" text="Yes">
      <formula>NOT(ISERROR(SEARCH(("Yes"),(Q379))))</formula>
    </cfRule>
  </conditionalFormatting>
  <conditionalFormatting sqref="Q379">
    <cfRule type="containsText" dxfId="2" priority="49920" operator="containsText" text="Yes">
      <formula>NOT(ISERROR(SEARCH(("Yes"),(Q379))))</formula>
    </cfRule>
  </conditionalFormatting>
  <conditionalFormatting sqref="Q379">
    <cfRule type="containsText" dxfId="2" priority="49921" operator="containsText" text="Yes">
      <formula>NOT(ISERROR(SEARCH(("Yes"),(Q379))))</formula>
    </cfRule>
  </conditionalFormatting>
  <conditionalFormatting sqref="Q379">
    <cfRule type="containsText" dxfId="2" priority="49922" operator="containsText" text="Yes">
      <formula>NOT(ISERROR(SEARCH(("Yes"),(Q379))))</formula>
    </cfRule>
  </conditionalFormatting>
  <conditionalFormatting sqref="Q379">
    <cfRule type="containsText" dxfId="2" priority="49923" operator="containsText" text="Yes">
      <formula>NOT(ISERROR(SEARCH(("Yes"),(Q379))))</formula>
    </cfRule>
  </conditionalFormatting>
  <conditionalFormatting sqref="Q379">
    <cfRule type="containsText" dxfId="2" priority="49924" operator="containsText" text="Yes">
      <formula>NOT(ISERROR(SEARCH(("Yes"),(Q379))))</formula>
    </cfRule>
  </conditionalFormatting>
  <conditionalFormatting sqref="Q379">
    <cfRule type="containsText" dxfId="2" priority="49925" operator="containsText" text="Yes">
      <formula>NOT(ISERROR(SEARCH(("Yes"),(Q379))))</formula>
    </cfRule>
  </conditionalFormatting>
  <conditionalFormatting sqref="Q379">
    <cfRule type="containsText" dxfId="2" priority="49926" operator="containsText" text="Yes">
      <formula>NOT(ISERROR(SEARCH(("Yes"),(Q379))))</formula>
    </cfRule>
  </conditionalFormatting>
  <conditionalFormatting sqref="Q379">
    <cfRule type="containsText" dxfId="2" priority="49927" operator="containsText" text="Yes">
      <formula>NOT(ISERROR(SEARCH(("Yes"),(Q379))))</formula>
    </cfRule>
  </conditionalFormatting>
  <conditionalFormatting sqref="Q379">
    <cfRule type="containsText" dxfId="2" priority="49928" operator="containsText" text="Yes">
      <formula>NOT(ISERROR(SEARCH(("Yes"),(Q379))))</formula>
    </cfRule>
  </conditionalFormatting>
  <conditionalFormatting sqref="Q379">
    <cfRule type="containsText" dxfId="2" priority="49929" operator="containsText" text="Yes">
      <formula>NOT(ISERROR(SEARCH(("Yes"),(Q379))))</formula>
    </cfRule>
  </conditionalFormatting>
  <conditionalFormatting sqref="Q379">
    <cfRule type="containsText" dxfId="2" priority="49930" operator="containsText" text="Yes">
      <formula>NOT(ISERROR(SEARCH(("Yes"),(Q379))))</formula>
    </cfRule>
  </conditionalFormatting>
  <conditionalFormatting sqref="Q379">
    <cfRule type="containsText" dxfId="2" priority="49931" operator="containsText" text="Yes">
      <formula>NOT(ISERROR(SEARCH(("Yes"),(Q379))))</formula>
    </cfRule>
  </conditionalFormatting>
  <conditionalFormatting sqref="Q379">
    <cfRule type="containsText" dxfId="2" priority="49932" operator="containsText" text="Yes">
      <formula>NOT(ISERROR(SEARCH(("Yes"),(Q379))))</formula>
    </cfRule>
  </conditionalFormatting>
  <conditionalFormatting sqref="N380 N383">
    <cfRule type="containsText" dxfId="9" priority="49933" operator="containsText" text="No">
      <formula>NOT(ISERROR(SEARCH(("No"),(N380))))</formula>
    </cfRule>
  </conditionalFormatting>
  <conditionalFormatting sqref="N380 N383">
    <cfRule type="containsText" dxfId="9" priority="49934" operator="containsText" text="No">
      <formula>NOT(ISERROR(SEARCH(("No"),(N380))))</formula>
    </cfRule>
  </conditionalFormatting>
  <conditionalFormatting sqref="N380 N383">
    <cfRule type="containsText" dxfId="9" priority="49935" operator="containsText" text="No">
      <formula>NOT(ISERROR(SEARCH(("No"),(N380))))</formula>
    </cfRule>
  </conditionalFormatting>
  <conditionalFormatting sqref="N380 N383">
    <cfRule type="containsText" dxfId="9" priority="49936" operator="containsText" text="No">
      <formula>NOT(ISERROR(SEARCH(("No"),(N380))))</formula>
    </cfRule>
  </conditionalFormatting>
  <conditionalFormatting sqref="N380 N383">
    <cfRule type="containsText" dxfId="9" priority="49937" operator="containsText" text="No">
      <formula>NOT(ISERROR(SEARCH(("No"),(N380))))</formula>
    </cfRule>
  </conditionalFormatting>
  <conditionalFormatting sqref="N380 N383">
    <cfRule type="containsText" dxfId="9" priority="49938" operator="containsText" text="No">
      <formula>NOT(ISERROR(SEARCH(("No"),(N380))))</formula>
    </cfRule>
  </conditionalFormatting>
  <conditionalFormatting sqref="N380 N383">
    <cfRule type="containsText" dxfId="9" priority="49939" operator="containsText" text="No">
      <formula>NOT(ISERROR(SEARCH(("No"),(N380))))</formula>
    </cfRule>
  </conditionalFormatting>
  <conditionalFormatting sqref="N380 N383">
    <cfRule type="containsText" dxfId="9" priority="49940" operator="containsText" text="No">
      <formula>NOT(ISERROR(SEARCH(("No"),(N380))))</formula>
    </cfRule>
  </conditionalFormatting>
  <conditionalFormatting sqref="N380 N383">
    <cfRule type="containsText" dxfId="9" priority="49941" operator="containsText" text="No">
      <formula>NOT(ISERROR(SEARCH(("No"),(N380))))</formula>
    </cfRule>
  </conditionalFormatting>
  <conditionalFormatting sqref="N380 N383">
    <cfRule type="containsText" dxfId="9" priority="49942" operator="containsText" text="No">
      <formula>NOT(ISERROR(SEARCH(("No"),(N380))))</formula>
    </cfRule>
  </conditionalFormatting>
  <conditionalFormatting sqref="N380 N383">
    <cfRule type="containsText" dxfId="9" priority="49943" operator="containsText" text="No">
      <formula>NOT(ISERROR(SEARCH(("No"),(N380))))</formula>
    </cfRule>
  </conditionalFormatting>
  <conditionalFormatting sqref="N380 N383">
    <cfRule type="containsText" dxfId="9" priority="49944" operator="containsText" text="No">
      <formula>NOT(ISERROR(SEARCH(("No"),(N380))))</formula>
    </cfRule>
  </conditionalFormatting>
  <conditionalFormatting sqref="N380 N383">
    <cfRule type="containsText" dxfId="9" priority="49945" operator="containsText" text="No">
      <formula>NOT(ISERROR(SEARCH(("No"),(N380))))</formula>
    </cfRule>
  </conditionalFormatting>
  <conditionalFormatting sqref="N380 N383">
    <cfRule type="containsText" dxfId="9" priority="49946" operator="containsText" text="No">
      <formula>NOT(ISERROR(SEARCH(("No"),(N380))))</formula>
    </cfRule>
  </conditionalFormatting>
  <conditionalFormatting sqref="N380 N383">
    <cfRule type="containsText" dxfId="9" priority="49947" operator="containsText" text="No">
      <formula>NOT(ISERROR(SEARCH(("No"),(N380))))</formula>
    </cfRule>
  </conditionalFormatting>
  <conditionalFormatting sqref="N380 N383">
    <cfRule type="containsText" dxfId="9" priority="49948" operator="containsText" text="No">
      <formula>NOT(ISERROR(SEARCH(("No"),(N380))))</formula>
    </cfRule>
  </conditionalFormatting>
  <conditionalFormatting sqref="N380 N383">
    <cfRule type="containsText" dxfId="9" priority="49949" operator="containsText" text="No">
      <formula>NOT(ISERROR(SEARCH(("No"),(N380))))</formula>
    </cfRule>
  </conditionalFormatting>
  <conditionalFormatting sqref="N380 N383">
    <cfRule type="containsText" dxfId="9" priority="49950" operator="containsText" text="No">
      <formula>NOT(ISERROR(SEARCH(("No"),(N380))))</formula>
    </cfRule>
  </conditionalFormatting>
  <conditionalFormatting sqref="N380 N383">
    <cfRule type="containsText" dxfId="9" priority="49951" operator="containsText" text="No">
      <formula>NOT(ISERROR(SEARCH(("No"),(N380))))</formula>
    </cfRule>
  </conditionalFormatting>
  <conditionalFormatting sqref="N380 N383">
    <cfRule type="containsText" dxfId="9" priority="49952" operator="containsText" text="No">
      <formula>NOT(ISERROR(SEARCH(("No"),(N380))))</formula>
    </cfRule>
  </conditionalFormatting>
  <conditionalFormatting sqref="N380 N383">
    <cfRule type="containsText" dxfId="9" priority="49953" operator="containsText" text="No">
      <formula>NOT(ISERROR(SEARCH(("No"),(N380))))</formula>
    </cfRule>
  </conditionalFormatting>
  <conditionalFormatting sqref="N380 N383">
    <cfRule type="containsText" dxfId="9" priority="49954" operator="containsText" text="No">
      <formula>NOT(ISERROR(SEARCH(("No"),(N380))))</formula>
    </cfRule>
  </conditionalFormatting>
  <conditionalFormatting sqref="N380 N383">
    <cfRule type="containsText" dxfId="9" priority="49955" operator="containsText" text="No">
      <formula>NOT(ISERROR(SEARCH(("No"),(N380))))</formula>
    </cfRule>
  </conditionalFormatting>
  <conditionalFormatting sqref="N380 N383">
    <cfRule type="containsText" dxfId="9" priority="49956" operator="containsText" text="No">
      <formula>NOT(ISERROR(SEARCH(("No"),(N380))))</formula>
    </cfRule>
  </conditionalFormatting>
  <conditionalFormatting sqref="N380 N383">
    <cfRule type="containsText" dxfId="9" priority="49957" operator="containsText" text="No">
      <formula>NOT(ISERROR(SEARCH(("No"),(N380))))</formula>
    </cfRule>
  </conditionalFormatting>
  <conditionalFormatting sqref="N380 N383">
    <cfRule type="containsText" dxfId="9" priority="49958" operator="containsText" text="No">
      <formula>NOT(ISERROR(SEARCH(("No"),(N380))))</formula>
    </cfRule>
  </conditionalFormatting>
  <conditionalFormatting sqref="N380 N383">
    <cfRule type="containsText" dxfId="9" priority="49959" operator="containsText" text="No">
      <formula>NOT(ISERROR(SEARCH(("No"),(N380))))</formula>
    </cfRule>
  </conditionalFormatting>
  <conditionalFormatting sqref="N380 N383">
    <cfRule type="containsText" dxfId="9" priority="49960" operator="containsText" text="No">
      <formula>NOT(ISERROR(SEARCH(("No"),(N380))))</formula>
    </cfRule>
  </conditionalFormatting>
  <conditionalFormatting sqref="N380 N383">
    <cfRule type="containsText" dxfId="9" priority="49961" operator="containsText" text="No">
      <formula>NOT(ISERROR(SEARCH(("No"),(N380))))</formula>
    </cfRule>
  </conditionalFormatting>
  <conditionalFormatting sqref="N380 N383">
    <cfRule type="containsText" dxfId="9" priority="49962" operator="containsText" text="No">
      <formula>NOT(ISERROR(SEARCH(("No"),(N380))))</formula>
    </cfRule>
  </conditionalFormatting>
  <conditionalFormatting sqref="N380 N383">
    <cfRule type="containsText" dxfId="9" priority="49963" operator="containsText" text="No">
      <formula>NOT(ISERROR(SEARCH(("No"),(N380))))</formula>
    </cfRule>
  </conditionalFormatting>
  <conditionalFormatting sqref="N380 N383">
    <cfRule type="containsText" dxfId="9" priority="49964" operator="containsText" text="No">
      <formula>NOT(ISERROR(SEARCH(("No"),(N380))))</formula>
    </cfRule>
  </conditionalFormatting>
  <conditionalFormatting sqref="N380 N383">
    <cfRule type="containsText" dxfId="9" priority="49965" operator="containsText" text="No">
      <formula>NOT(ISERROR(SEARCH(("No"),(N380))))</formula>
    </cfRule>
  </conditionalFormatting>
  <conditionalFormatting sqref="N380 N383">
    <cfRule type="containsText" dxfId="9" priority="49966" operator="containsText" text="No">
      <formula>NOT(ISERROR(SEARCH(("No"),(N380))))</formula>
    </cfRule>
  </conditionalFormatting>
  <conditionalFormatting sqref="N380 N383">
    <cfRule type="containsText" dxfId="9" priority="49967" operator="containsText" text="No">
      <formula>NOT(ISERROR(SEARCH(("No"),(N380))))</formula>
    </cfRule>
  </conditionalFormatting>
  <conditionalFormatting sqref="N380 N383">
    <cfRule type="containsText" dxfId="9" priority="49968" operator="containsText" text="No">
      <formula>NOT(ISERROR(SEARCH(("No"),(N380))))</formula>
    </cfRule>
  </conditionalFormatting>
  <conditionalFormatting sqref="N380 N383">
    <cfRule type="containsText" dxfId="9" priority="49969" operator="containsText" text="No">
      <formula>NOT(ISERROR(SEARCH(("No"),(N380))))</formula>
    </cfRule>
  </conditionalFormatting>
  <conditionalFormatting sqref="N380 N383">
    <cfRule type="containsText" dxfId="9" priority="49970" operator="containsText" text="No">
      <formula>NOT(ISERROR(SEARCH(("No"),(N380))))</formula>
    </cfRule>
  </conditionalFormatting>
  <conditionalFormatting sqref="N380 N383">
    <cfRule type="containsText" dxfId="9" priority="49971" operator="containsText" text="No">
      <formula>NOT(ISERROR(SEARCH(("No"),(N380))))</formula>
    </cfRule>
  </conditionalFormatting>
  <conditionalFormatting sqref="N380 N383">
    <cfRule type="containsText" dxfId="9" priority="49972" operator="containsText" text="No">
      <formula>NOT(ISERROR(SEARCH(("No"),(N380))))</formula>
    </cfRule>
  </conditionalFormatting>
  <conditionalFormatting sqref="N380 N383">
    <cfRule type="containsText" dxfId="9" priority="49973" operator="containsText" text="No">
      <formula>NOT(ISERROR(SEARCH(("No"),(N380))))</formula>
    </cfRule>
  </conditionalFormatting>
  <conditionalFormatting sqref="N380 N383">
    <cfRule type="containsText" dxfId="9" priority="49974" operator="containsText" text="No">
      <formula>NOT(ISERROR(SEARCH(("No"),(N380))))</formula>
    </cfRule>
  </conditionalFormatting>
  <conditionalFormatting sqref="N380 N383">
    <cfRule type="containsText" dxfId="9" priority="49975" operator="containsText" text="No">
      <formula>NOT(ISERROR(SEARCH(("No"),(N380))))</formula>
    </cfRule>
  </conditionalFormatting>
  <conditionalFormatting sqref="N380 N383">
    <cfRule type="containsText" dxfId="9" priority="49976" operator="containsText" text="No">
      <formula>NOT(ISERROR(SEARCH(("No"),(N380))))</formula>
    </cfRule>
  </conditionalFormatting>
  <conditionalFormatting sqref="N380 N383">
    <cfRule type="containsText" dxfId="9" priority="49977" operator="containsText" text="No">
      <formula>NOT(ISERROR(SEARCH(("No"),(N380))))</formula>
    </cfRule>
  </conditionalFormatting>
  <conditionalFormatting sqref="N380 N383">
    <cfRule type="containsText" dxfId="2" priority="49978" operator="containsText" text="Yes">
      <formula>NOT(ISERROR(SEARCH(("Yes"),(N380))))</formula>
    </cfRule>
  </conditionalFormatting>
  <conditionalFormatting sqref="N380 N383">
    <cfRule type="containsText" dxfId="2" priority="49979" operator="containsText" text="Yes">
      <formula>NOT(ISERROR(SEARCH(("Yes"),(N380))))</formula>
    </cfRule>
  </conditionalFormatting>
  <conditionalFormatting sqref="N380 N383">
    <cfRule type="containsText" dxfId="2" priority="49980" operator="containsText" text="Yes">
      <formula>NOT(ISERROR(SEARCH(("Yes"),(N380))))</formula>
    </cfRule>
  </conditionalFormatting>
  <conditionalFormatting sqref="N380 N383">
    <cfRule type="containsText" dxfId="2" priority="49981" operator="containsText" text="Yes">
      <formula>NOT(ISERROR(SEARCH(("Yes"),(N380))))</formula>
    </cfRule>
  </conditionalFormatting>
  <conditionalFormatting sqref="N380 N383">
    <cfRule type="containsText" dxfId="2" priority="49982" operator="containsText" text="Yes">
      <formula>NOT(ISERROR(SEARCH(("Yes"),(N380))))</formula>
    </cfRule>
  </conditionalFormatting>
  <conditionalFormatting sqref="N380 N383">
    <cfRule type="containsText" dxfId="2" priority="49983" operator="containsText" text="Yes">
      <formula>NOT(ISERROR(SEARCH(("Yes"),(N380))))</formula>
    </cfRule>
  </conditionalFormatting>
  <conditionalFormatting sqref="N380 N383">
    <cfRule type="containsText" dxfId="2" priority="49984" operator="containsText" text="Yes">
      <formula>NOT(ISERROR(SEARCH(("Yes"),(N380))))</formula>
    </cfRule>
  </conditionalFormatting>
  <conditionalFormatting sqref="N380 N383">
    <cfRule type="containsText" dxfId="2" priority="49985" operator="containsText" text="Yes">
      <formula>NOT(ISERROR(SEARCH(("Yes"),(N380))))</formula>
    </cfRule>
  </conditionalFormatting>
  <conditionalFormatting sqref="N380 N383">
    <cfRule type="containsText" dxfId="2" priority="49986" operator="containsText" text="Yes">
      <formula>NOT(ISERROR(SEARCH(("Yes"),(N380))))</formula>
    </cfRule>
  </conditionalFormatting>
  <conditionalFormatting sqref="N380 N383">
    <cfRule type="containsText" dxfId="2" priority="49987" operator="containsText" text="Yes">
      <formula>NOT(ISERROR(SEARCH(("Yes"),(N380))))</formula>
    </cfRule>
  </conditionalFormatting>
  <conditionalFormatting sqref="N380 N383">
    <cfRule type="containsText" dxfId="2" priority="49988" operator="containsText" text="Yes">
      <formula>NOT(ISERROR(SEARCH(("Yes"),(N380))))</formula>
    </cfRule>
  </conditionalFormatting>
  <conditionalFormatting sqref="N380 N383">
    <cfRule type="containsText" dxfId="2" priority="49989" operator="containsText" text="Yes">
      <formula>NOT(ISERROR(SEARCH(("Yes"),(N380))))</formula>
    </cfRule>
  </conditionalFormatting>
  <conditionalFormatting sqref="N380 N383">
    <cfRule type="containsText" dxfId="2" priority="49990" operator="containsText" text="Yes">
      <formula>NOT(ISERROR(SEARCH(("Yes"),(N380))))</formula>
    </cfRule>
  </conditionalFormatting>
  <conditionalFormatting sqref="N380 N383">
    <cfRule type="containsText" dxfId="2" priority="49991" operator="containsText" text="Yes">
      <formula>NOT(ISERROR(SEARCH(("Yes"),(N380))))</formula>
    </cfRule>
  </conditionalFormatting>
  <conditionalFormatting sqref="N380 N383">
    <cfRule type="containsText" dxfId="2" priority="49992" operator="containsText" text="Yes">
      <formula>NOT(ISERROR(SEARCH(("Yes"),(N380))))</formula>
    </cfRule>
  </conditionalFormatting>
  <conditionalFormatting sqref="N380 N383">
    <cfRule type="containsText" dxfId="2" priority="49993" operator="containsText" text="Yes">
      <formula>NOT(ISERROR(SEARCH(("Yes"),(N380))))</formula>
    </cfRule>
  </conditionalFormatting>
  <conditionalFormatting sqref="N380 N383">
    <cfRule type="containsText" dxfId="2" priority="49994" operator="containsText" text="Yes">
      <formula>NOT(ISERROR(SEARCH(("Yes"),(N380))))</formula>
    </cfRule>
  </conditionalFormatting>
  <conditionalFormatting sqref="N380 N383">
    <cfRule type="containsText" dxfId="2" priority="49995" operator="containsText" text="Yes">
      <formula>NOT(ISERROR(SEARCH(("Yes"),(N380))))</formula>
    </cfRule>
  </conditionalFormatting>
  <conditionalFormatting sqref="N380 N383">
    <cfRule type="containsText" dxfId="2" priority="49996" operator="containsText" text="Yes">
      <formula>NOT(ISERROR(SEARCH(("Yes"),(N380))))</formula>
    </cfRule>
  </conditionalFormatting>
  <conditionalFormatting sqref="N380 N383">
    <cfRule type="containsText" dxfId="2" priority="49997" operator="containsText" text="Yes">
      <formula>NOT(ISERROR(SEARCH(("Yes"),(N380))))</formula>
    </cfRule>
  </conditionalFormatting>
  <conditionalFormatting sqref="N380 N383">
    <cfRule type="containsText" dxfId="2" priority="49998" operator="containsText" text="Yes">
      <formula>NOT(ISERROR(SEARCH(("Yes"),(N380))))</formula>
    </cfRule>
  </conditionalFormatting>
  <conditionalFormatting sqref="N380 N383">
    <cfRule type="containsText" dxfId="2" priority="49999" operator="containsText" text="Yes">
      <formula>NOT(ISERROR(SEARCH(("Yes"),(N380))))</formula>
    </cfRule>
  </conditionalFormatting>
  <conditionalFormatting sqref="N380 N383">
    <cfRule type="containsText" dxfId="2" priority="50000" operator="containsText" text="Yes">
      <formula>NOT(ISERROR(SEARCH(("Yes"),(N380))))</formula>
    </cfRule>
  </conditionalFormatting>
  <conditionalFormatting sqref="N380 N383">
    <cfRule type="containsText" dxfId="2" priority="50001" operator="containsText" text="Yes">
      <formula>NOT(ISERROR(SEARCH(("Yes"),(N380))))</formula>
    </cfRule>
  </conditionalFormatting>
  <conditionalFormatting sqref="N380 N383">
    <cfRule type="containsText" dxfId="2" priority="50002" operator="containsText" text="Yes">
      <formula>NOT(ISERROR(SEARCH(("Yes"),(N380))))</formula>
    </cfRule>
  </conditionalFormatting>
  <conditionalFormatting sqref="N380 N383">
    <cfRule type="containsText" dxfId="2" priority="50003" operator="containsText" text="Yes">
      <formula>NOT(ISERROR(SEARCH(("Yes"),(N380))))</formula>
    </cfRule>
  </conditionalFormatting>
  <conditionalFormatting sqref="N380 N383">
    <cfRule type="containsText" dxfId="2" priority="50004" operator="containsText" text="Yes">
      <formula>NOT(ISERROR(SEARCH(("Yes"),(N380))))</formula>
    </cfRule>
  </conditionalFormatting>
  <conditionalFormatting sqref="N380 N383">
    <cfRule type="containsText" dxfId="2" priority="50005" operator="containsText" text="Yes">
      <formula>NOT(ISERROR(SEARCH(("Yes"),(N380))))</formula>
    </cfRule>
  </conditionalFormatting>
  <conditionalFormatting sqref="N380 N383">
    <cfRule type="containsText" dxfId="2" priority="50006" operator="containsText" text="Yes">
      <formula>NOT(ISERROR(SEARCH(("Yes"),(N380))))</formula>
    </cfRule>
  </conditionalFormatting>
  <conditionalFormatting sqref="N380 N383">
    <cfRule type="containsText" dxfId="2" priority="50007" operator="containsText" text="Yes">
      <formula>NOT(ISERROR(SEARCH(("Yes"),(N380))))</formula>
    </cfRule>
  </conditionalFormatting>
  <conditionalFormatting sqref="N380 N383">
    <cfRule type="containsText" dxfId="2" priority="50008" operator="containsText" text="Yes">
      <formula>NOT(ISERROR(SEARCH(("Yes"),(N380))))</formula>
    </cfRule>
  </conditionalFormatting>
  <conditionalFormatting sqref="N380 N383">
    <cfRule type="containsText" dxfId="2" priority="50009" operator="containsText" text="Yes">
      <formula>NOT(ISERROR(SEARCH(("Yes"),(N380))))</formula>
    </cfRule>
  </conditionalFormatting>
  <conditionalFormatting sqref="N380 N383">
    <cfRule type="containsText" dxfId="2" priority="50010" operator="containsText" text="Yes">
      <formula>NOT(ISERROR(SEARCH(("Yes"),(N380))))</formula>
    </cfRule>
  </conditionalFormatting>
  <conditionalFormatting sqref="N380 N383">
    <cfRule type="containsText" dxfId="2" priority="50011" operator="containsText" text="Yes">
      <formula>NOT(ISERROR(SEARCH(("Yes"),(N380))))</formula>
    </cfRule>
  </conditionalFormatting>
  <conditionalFormatting sqref="N380 N383">
    <cfRule type="containsText" dxfId="2" priority="50012" operator="containsText" text="Yes">
      <formula>NOT(ISERROR(SEARCH(("Yes"),(N380))))</formula>
    </cfRule>
  </conditionalFormatting>
  <conditionalFormatting sqref="N380 N383">
    <cfRule type="containsText" dxfId="2" priority="50013" operator="containsText" text="Yes">
      <formula>NOT(ISERROR(SEARCH(("Yes"),(N380))))</formula>
    </cfRule>
  </conditionalFormatting>
  <conditionalFormatting sqref="N380 N383">
    <cfRule type="containsText" dxfId="2" priority="50014" operator="containsText" text="Yes">
      <formula>NOT(ISERROR(SEARCH(("Yes"),(N380))))</formula>
    </cfRule>
  </conditionalFormatting>
  <conditionalFormatting sqref="N380 N383">
    <cfRule type="containsText" dxfId="2" priority="50015" operator="containsText" text="Yes">
      <formula>NOT(ISERROR(SEARCH(("Yes"),(N380))))</formula>
    </cfRule>
  </conditionalFormatting>
  <conditionalFormatting sqref="N380 N383">
    <cfRule type="containsText" dxfId="2" priority="50016" operator="containsText" text="Yes">
      <formula>NOT(ISERROR(SEARCH(("Yes"),(N380))))</formula>
    </cfRule>
  </conditionalFormatting>
  <conditionalFormatting sqref="N380 N383">
    <cfRule type="containsText" dxfId="2" priority="50017" operator="containsText" text="Yes">
      <formula>NOT(ISERROR(SEARCH(("Yes"),(N380))))</formula>
    </cfRule>
  </conditionalFormatting>
  <conditionalFormatting sqref="N380 N383">
    <cfRule type="containsText" dxfId="2" priority="50018" operator="containsText" text="Yes">
      <formula>NOT(ISERROR(SEARCH(("Yes"),(N380))))</formula>
    </cfRule>
  </conditionalFormatting>
  <conditionalFormatting sqref="N380 N383">
    <cfRule type="containsText" dxfId="2" priority="50019" operator="containsText" text="Yes">
      <formula>NOT(ISERROR(SEARCH(("Yes"),(N380))))</formula>
    </cfRule>
  </conditionalFormatting>
  <conditionalFormatting sqref="N380 N383">
    <cfRule type="containsText" dxfId="2" priority="50020" operator="containsText" text="Yes">
      <formula>NOT(ISERROR(SEARCH(("Yes"),(N380))))</formula>
    </cfRule>
  </conditionalFormatting>
  <conditionalFormatting sqref="N380 N383">
    <cfRule type="containsText" dxfId="2" priority="50021" operator="containsText" text="Yes">
      <formula>NOT(ISERROR(SEARCH(("Yes"),(N380))))</formula>
    </cfRule>
  </conditionalFormatting>
  <conditionalFormatting sqref="N380 N383">
    <cfRule type="containsText" dxfId="2" priority="50022" operator="containsText" text="Yes">
      <formula>NOT(ISERROR(SEARCH(("Yes"),(N380))))</formula>
    </cfRule>
  </conditionalFormatting>
  <conditionalFormatting sqref="N380 N383">
    <cfRule type="containsText" dxfId="2" priority="50023" operator="containsText" text="Yes">
      <formula>NOT(ISERROR(SEARCH(("Yes"),(N380))))</formula>
    </cfRule>
  </conditionalFormatting>
  <conditionalFormatting sqref="N380 N383">
    <cfRule type="containsText" dxfId="2" priority="50024" operator="containsText" text="Yes">
      <formula>NOT(ISERROR(SEARCH(("Yes"),(N380))))</formula>
    </cfRule>
  </conditionalFormatting>
  <conditionalFormatting sqref="O380 O383">
    <cfRule type="containsText" dxfId="9" priority="50025" operator="containsText" text="No">
      <formula>NOT(ISERROR(SEARCH(("No"),(O380))))</formula>
    </cfRule>
  </conditionalFormatting>
  <conditionalFormatting sqref="O380 O383">
    <cfRule type="containsText" dxfId="9" priority="50026" operator="containsText" text="No">
      <formula>NOT(ISERROR(SEARCH(("No"),(O380))))</formula>
    </cfRule>
  </conditionalFormatting>
  <conditionalFormatting sqref="O380 O383">
    <cfRule type="containsText" dxfId="9" priority="50027" operator="containsText" text="No">
      <formula>NOT(ISERROR(SEARCH(("No"),(O380))))</formula>
    </cfRule>
  </conditionalFormatting>
  <conditionalFormatting sqref="O380 O383">
    <cfRule type="containsText" dxfId="9" priority="50028" operator="containsText" text="No">
      <formula>NOT(ISERROR(SEARCH(("No"),(O380))))</formula>
    </cfRule>
  </conditionalFormatting>
  <conditionalFormatting sqref="O380 O383">
    <cfRule type="containsText" dxfId="9" priority="50029" operator="containsText" text="No">
      <formula>NOT(ISERROR(SEARCH(("No"),(O380))))</formula>
    </cfRule>
  </conditionalFormatting>
  <conditionalFormatting sqref="O380 O383">
    <cfRule type="containsText" dxfId="9" priority="50030" operator="containsText" text="No">
      <formula>NOT(ISERROR(SEARCH(("No"),(O380))))</formula>
    </cfRule>
  </conditionalFormatting>
  <conditionalFormatting sqref="O380 O383">
    <cfRule type="containsText" dxfId="9" priority="50031" operator="containsText" text="No">
      <formula>NOT(ISERROR(SEARCH(("No"),(O380))))</formula>
    </cfRule>
  </conditionalFormatting>
  <conditionalFormatting sqref="O380 O383">
    <cfRule type="containsText" dxfId="9" priority="50032" operator="containsText" text="No">
      <formula>NOT(ISERROR(SEARCH(("No"),(O380))))</formula>
    </cfRule>
  </conditionalFormatting>
  <conditionalFormatting sqref="O380 O383">
    <cfRule type="containsText" dxfId="9" priority="50033" operator="containsText" text="No">
      <formula>NOT(ISERROR(SEARCH(("No"),(O380))))</formula>
    </cfRule>
  </conditionalFormatting>
  <conditionalFormatting sqref="O380 O383">
    <cfRule type="containsText" dxfId="9" priority="50034" operator="containsText" text="No">
      <formula>NOT(ISERROR(SEARCH(("No"),(O380))))</formula>
    </cfRule>
  </conditionalFormatting>
  <conditionalFormatting sqref="O380 O383">
    <cfRule type="containsText" dxfId="9" priority="50035" operator="containsText" text="No">
      <formula>NOT(ISERROR(SEARCH(("No"),(O380))))</formula>
    </cfRule>
  </conditionalFormatting>
  <conditionalFormatting sqref="O380 O383">
    <cfRule type="containsText" dxfId="9" priority="50036" operator="containsText" text="No">
      <formula>NOT(ISERROR(SEARCH(("No"),(O380))))</formula>
    </cfRule>
  </conditionalFormatting>
  <conditionalFormatting sqref="O380 O383">
    <cfRule type="containsText" dxfId="9" priority="50037" operator="containsText" text="No">
      <formula>NOT(ISERROR(SEARCH(("No"),(O380))))</formula>
    </cfRule>
  </conditionalFormatting>
  <conditionalFormatting sqref="O380 O383">
    <cfRule type="containsText" dxfId="9" priority="50038" operator="containsText" text="No">
      <formula>NOT(ISERROR(SEARCH(("No"),(O380))))</formula>
    </cfRule>
  </conditionalFormatting>
  <conditionalFormatting sqref="O380 O383">
    <cfRule type="containsText" dxfId="9" priority="50039" operator="containsText" text="No">
      <formula>NOT(ISERROR(SEARCH(("No"),(O380))))</formula>
    </cfRule>
  </conditionalFormatting>
  <conditionalFormatting sqref="O380 O383">
    <cfRule type="containsText" dxfId="9" priority="50040" operator="containsText" text="No">
      <formula>NOT(ISERROR(SEARCH(("No"),(O380))))</formula>
    </cfRule>
  </conditionalFormatting>
  <conditionalFormatting sqref="O380 O383">
    <cfRule type="containsText" dxfId="9" priority="50041" operator="containsText" text="No">
      <formula>NOT(ISERROR(SEARCH(("No"),(O380))))</formula>
    </cfRule>
  </conditionalFormatting>
  <conditionalFormatting sqref="O380 O383">
    <cfRule type="containsText" dxfId="9" priority="50042" operator="containsText" text="No">
      <formula>NOT(ISERROR(SEARCH(("No"),(O380))))</formula>
    </cfRule>
  </conditionalFormatting>
  <conditionalFormatting sqref="O380 O383">
    <cfRule type="containsText" dxfId="9" priority="50043" operator="containsText" text="No">
      <formula>NOT(ISERROR(SEARCH(("No"),(O380))))</formula>
    </cfRule>
  </conditionalFormatting>
  <conditionalFormatting sqref="O380 O383">
    <cfRule type="containsText" dxfId="9" priority="50044" operator="containsText" text="No">
      <formula>NOT(ISERROR(SEARCH(("No"),(O380))))</formula>
    </cfRule>
  </conditionalFormatting>
  <conditionalFormatting sqref="O380 O383">
    <cfRule type="containsText" dxfId="9" priority="50045" operator="containsText" text="No">
      <formula>NOT(ISERROR(SEARCH(("No"),(O380))))</formula>
    </cfRule>
  </conditionalFormatting>
  <conditionalFormatting sqref="O380 O383">
    <cfRule type="containsText" dxfId="9" priority="50046" operator="containsText" text="No">
      <formula>NOT(ISERROR(SEARCH(("No"),(O380))))</formula>
    </cfRule>
  </conditionalFormatting>
  <conditionalFormatting sqref="O380 O383">
    <cfRule type="containsText" dxfId="9" priority="50047" operator="containsText" text="No">
      <formula>NOT(ISERROR(SEARCH(("No"),(O380))))</formula>
    </cfRule>
  </conditionalFormatting>
  <conditionalFormatting sqref="O380 O383">
    <cfRule type="containsText" dxfId="9" priority="50048" operator="containsText" text="No">
      <formula>NOT(ISERROR(SEARCH(("No"),(O380))))</formula>
    </cfRule>
  </conditionalFormatting>
  <conditionalFormatting sqref="O380 O383">
    <cfRule type="containsText" dxfId="9" priority="50049" operator="containsText" text="No">
      <formula>NOT(ISERROR(SEARCH(("No"),(O380))))</formula>
    </cfRule>
  </conditionalFormatting>
  <conditionalFormatting sqref="O380 O383">
    <cfRule type="containsText" dxfId="9" priority="50050" operator="containsText" text="No">
      <formula>NOT(ISERROR(SEARCH(("No"),(O380))))</formula>
    </cfRule>
  </conditionalFormatting>
  <conditionalFormatting sqref="O380 O383">
    <cfRule type="containsText" dxfId="9" priority="50051" operator="containsText" text="No">
      <formula>NOT(ISERROR(SEARCH(("No"),(O380))))</formula>
    </cfRule>
  </conditionalFormatting>
  <conditionalFormatting sqref="O380 O383">
    <cfRule type="containsText" dxfId="9" priority="50052" operator="containsText" text="No">
      <formula>NOT(ISERROR(SEARCH(("No"),(O380))))</formula>
    </cfRule>
  </conditionalFormatting>
  <conditionalFormatting sqref="O380 O383">
    <cfRule type="containsText" dxfId="9" priority="50053" operator="containsText" text="No">
      <formula>NOT(ISERROR(SEARCH(("No"),(O380))))</formula>
    </cfRule>
  </conditionalFormatting>
  <conditionalFormatting sqref="O380 O383">
    <cfRule type="containsText" dxfId="9" priority="50054" operator="containsText" text="No">
      <formula>NOT(ISERROR(SEARCH(("No"),(O380))))</formula>
    </cfRule>
  </conditionalFormatting>
  <conditionalFormatting sqref="O380 O383">
    <cfRule type="containsText" dxfId="9" priority="50055" operator="containsText" text="No">
      <formula>NOT(ISERROR(SEARCH(("No"),(O380))))</formula>
    </cfRule>
  </conditionalFormatting>
  <conditionalFormatting sqref="O380 O383">
    <cfRule type="containsText" dxfId="9" priority="50056" operator="containsText" text="No">
      <formula>NOT(ISERROR(SEARCH(("No"),(O380))))</formula>
    </cfRule>
  </conditionalFormatting>
  <conditionalFormatting sqref="O380 O383">
    <cfRule type="containsText" dxfId="9" priority="50057" operator="containsText" text="No">
      <formula>NOT(ISERROR(SEARCH(("No"),(O380))))</formula>
    </cfRule>
  </conditionalFormatting>
  <conditionalFormatting sqref="O380 O383">
    <cfRule type="containsText" dxfId="9" priority="50058" operator="containsText" text="No">
      <formula>NOT(ISERROR(SEARCH(("No"),(O380))))</formula>
    </cfRule>
  </conditionalFormatting>
  <conditionalFormatting sqref="O380 O383">
    <cfRule type="containsText" dxfId="9" priority="50059" operator="containsText" text="No">
      <formula>NOT(ISERROR(SEARCH(("No"),(O380))))</formula>
    </cfRule>
  </conditionalFormatting>
  <conditionalFormatting sqref="O380 O383">
    <cfRule type="containsText" dxfId="9" priority="50060" operator="containsText" text="No">
      <formula>NOT(ISERROR(SEARCH(("No"),(O380))))</formula>
    </cfRule>
  </conditionalFormatting>
  <conditionalFormatting sqref="O380 O383">
    <cfRule type="containsText" dxfId="9" priority="50061" operator="containsText" text="No">
      <formula>NOT(ISERROR(SEARCH(("No"),(O380))))</formula>
    </cfRule>
  </conditionalFormatting>
  <conditionalFormatting sqref="O380 O383">
    <cfRule type="containsText" dxfId="9" priority="50062" operator="containsText" text="No">
      <formula>NOT(ISERROR(SEARCH(("No"),(O380))))</formula>
    </cfRule>
  </conditionalFormatting>
  <conditionalFormatting sqref="O380 O383">
    <cfRule type="containsText" dxfId="9" priority="50063" operator="containsText" text="No">
      <formula>NOT(ISERROR(SEARCH(("No"),(O380))))</formula>
    </cfRule>
  </conditionalFormatting>
  <conditionalFormatting sqref="O380 O383">
    <cfRule type="containsText" dxfId="9" priority="50064" operator="containsText" text="No">
      <formula>NOT(ISERROR(SEARCH(("No"),(O380))))</formula>
    </cfRule>
  </conditionalFormatting>
  <conditionalFormatting sqref="O380 O383">
    <cfRule type="containsText" dxfId="9" priority="50065" operator="containsText" text="No">
      <formula>NOT(ISERROR(SEARCH(("No"),(O380))))</formula>
    </cfRule>
  </conditionalFormatting>
  <conditionalFormatting sqref="O380 O383">
    <cfRule type="containsText" dxfId="9" priority="50066" operator="containsText" text="No">
      <formula>NOT(ISERROR(SEARCH(("No"),(O380))))</formula>
    </cfRule>
  </conditionalFormatting>
  <conditionalFormatting sqref="O380 O383">
    <cfRule type="containsText" dxfId="9" priority="50067" operator="containsText" text="No">
      <formula>NOT(ISERROR(SEARCH(("No"),(O380))))</formula>
    </cfRule>
  </conditionalFormatting>
  <conditionalFormatting sqref="O380 O383">
    <cfRule type="containsText" dxfId="9" priority="50068" operator="containsText" text="No">
      <formula>NOT(ISERROR(SEARCH(("No"),(O380))))</formula>
    </cfRule>
  </conditionalFormatting>
  <conditionalFormatting sqref="O380 O383">
    <cfRule type="containsText" dxfId="9" priority="50069" operator="containsText" text="No">
      <formula>NOT(ISERROR(SEARCH(("No"),(O380))))</formula>
    </cfRule>
  </conditionalFormatting>
  <conditionalFormatting sqref="O380 O383">
    <cfRule type="containsText" dxfId="2" priority="50070" operator="containsText" text="Yes">
      <formula>NOT(ISERROR(SEARCH(("Yes"),(O380))))</formula>
    </cfRule>
  </conditionalFormatting>
  <conditionalFormatting sqref="O380 O383">
    <cfRule type="containsText" dxfId="2" priority="50071" operator="containsText" text="Yes">
      <formula>NOT(ISERROR(SEARCH(("Yes"),(O380))))</formula>
    </cfRule>
  </conditionalFormatting>
  <conditionalFormatting sqref="O380 O383">
    <cfRule type="containsText" dxfId="2" priority="50072" operator="containsText" text="Yes">
      <formula>NOT(ISERROR(SEARCH(("Yes"),(O380))))</formula>
    </cfRule>
  </conditionalFormatting>
  <conditionalFormatting sqref="O380 O383">
    <cfRule type="containsText" dxfId="2" priority="50073" operator="containsText" text="Yes">
      <formula>NOT(ISERROR(SEARCH(("Yes"),(O380))))</formula>
    </cfRule>
  </conditionalFormatting>
  <conditionalFormatting sqref="O380 O383">
    <cfRule type="containsText" dxfId="2" priority="50074" operator="containsText" text="Yes">
      <formula>NOT(ISERROR(SEARCH(("Yes"),(O380))))</formula>
    </cfRule>
  </conditionalFormatting>
  <conditionalFormatting sqref="O380 O383">
    <cfRule type="containsText" dxfId="2" priority="50075" operator="containsText" text="Yes">
      <formula>NOT(ISERROR(SEARCH(("Yes"),(O380))))</formula>
    </cfRule>
  </conditionalFormatting>
  <conditionalFormatting sqref="O380 O383">
    <cfRule type="containsText" dxfId="2" priority="50076" operator="containsText" text="Yes">
      <formula>NOT(ISERROR(SEARCH(("Yes"),(O380))))</formula>
    </cfRule>
  </conditionalFormatting>
  <conditionalFormatting sqref="O380 O383">
    <cfRule type="containsText" dxfId="2" priority="50077" operator="containsText" text="Yes">
      <formula>NOT(ISERROR(SEARCH(("Yes"),(O380))))</formula>
    </cfRule>
  </conditionalFormatting>
  <conditionalFormatting sqref="O380 O383">
    <cfRule type="containsText" dxfId="2" priority="50078" operator="containsText" text="Yes">
      <formula>NOT(ISERROR(SEARCH(("Yes"),(O380))))</formula>
    </cfRule>
  </conditionalFormatting>
  <conditionalFormatting sqref="O380 O383">
    <cfRule type="containsText" dxfId="2" priority="50079" operator="containsText" text="Yes">
      <formula>NOT(ISERROR(SEARCH(("Yes"),(O380))))</formula>
    </cfRule>
  </conditionalFormatting>
  <conditionalFormatting sqref="O380 O383">
    <cfRule type="containsText" dxfId="2" priority="50080" operator="containsText" text="Yes">
      <formula>NOT(ISERROR(SEARCH(("Yes"),(O380))))</formula>
    </cfRule>
  </conditionalFormatting>
  <conditionalFormatting sqref="O380 O383">
    <cfRule type="containsText" dxfId="2" priority="50081" operator="containsText" text="Yes">
      <formula>NOT(ISERROR(SEARCH(("Yes"),(O380))))</formula>
    </cfRule>
  </conditionalFormatting>
  <conditionalFormatting sqref="O380 O383">
    <cfRule type="containsText" dxfId="2" priority="50082" operator="containsText" text="Yes">
      <formula>NOT(ISERROR(SEARCH(("Yes"),(O380))))</formula>
    </cfRule>
  </conditionalFormatting>
  <conditionalFormatting sqref="O380 O383">
    <cfRule type="containsText" dxfId="2" priority="50083" operator="containsText" text="Yes">
      <formula>NOT(ISERROR(SEARCH(("Yes"),(O380))))</formula>
    </cfRule>
  </conditionalFormatting>
  <conditionalFormatting sqref="O380 O383">
    <cfRule type="containsText" dxfId="2" priority="50084" operator="containsText" text="Yes">
      <formula>NOT(ISERROR(SEARCH(("Yes"),(O380))))</formula>
    </cfRule>
  </conditionalFormatting>
  <conditionalFormatting sqref="O380 O383">
    <cfRule type="containsText" dxfId="2" priority="50085" operator="containsText" text="Yes">
      <formula>NOT(ISERROR(SEARCH(("Yes"),(O380))))</formula>
    </cfRule>
  </conditionalFormatting>
  <conditionalFormatting sqref="O380 O383">
    <cfRule type="containsText" dxfId="2" priority="50086" operator="containsText" text="Yes">
      <formula>NOT(ISERROR(SEARCH(("Yes"),(O380))))</formula>
    </cfRule>
  </conditionalFormatting>
  <conditionalFormatting sqref="O380 O383">
    <cfRule type="containsText" dxfId="2" priority="50087" operator="containsText" text="Yes">
      <formula>NOT(ISERROR(SEARCH(("Yes"),(O380))))</formula>
    </cfRule>
  </conditionalFormatting>
  <conditionalFormatting sqref="O380 O383">
    <cfRule type="containsText" dxfId="2" priority="50088" operator="containsText" text="Yes">
      <formula>NOT(ISERROR(SEARCH(("Yes"),(O380))))</formula>
    </cfRule>
  </conditionalFormatting>
  <conditionalFormatting sqref="O380 O383">
    <cfRule type="containsText" dxfId="2" priority="50089" operator="containsText" text="Yes">
      <formula>NOT(ISERROR(SEARCH(("Yes"),(O380))))</formula>
    </cfRule>
  </conditionalFormatting>
  <conditionalFormatting sqref="O380 O383">
    <cfRule type="containsText" dxfId="2" priority="50090" operator="containsText" text="Yes">
      <formula>NOT(ISERROR(SEARCH(("Yes"),(O380))))</formula>
    </cfRule>
  </conditionalFormatting>
  <conditionalFormatting sqref="O380 O383">
    <cfRule type="containsText" dxfId="2" priority="50091" operator="containsText" text="Yes">
      <formula>NOT(ISERROR(SEARCH(("Yes"),(O380))))</formula>
    </cfRule>
  </conditionalFormatting>
  <conditionalFormatting sqref="O380 O383">
    <cfRule type="containsText" dxfId="2" priority="50092" operator="containsText" text="Yes">
      <formula>NOT(ISERROR(SEARCH(("Yes"),(O380))))</formula>
    </cfRule>
  </conditionalFormatting>
  <conditionalFormatting sqref="O380 O383">
    <cfRule type="containsText" dxfId="2" priority="50093" operator="containsText" text="Yes">
      <formula>NOT(ISERROR(SEARCH(("Yes"),(O380))))</formula>
    </cfRule>
  </conditionalFormatting>
  <conditionalFormatting sqref="O380 O383">
    <cfRule type="containsText" dxfId="2" priority="50094" operator="containsText" text="Yes">
      <formula>NOT(ISERROR(SEARCH(("Yes"),(O380))))</formula>
    </cfRule>
  </conditionalFormatting>
  <conditionalFormatting sqref="O380 O383">
    <cfRule type="containsText" dxfId="2" priority="50095" operator="containsText" text="Yes">
      <formula>NOT(ISERROR(SEARCH(("Yes"),(O380))))</formula>
    </cfRule>
  </conditionalFormatting>
  <conditionalFormatting sqref="O380 O383">
    <cfRule type="containsText" dxfId="2" priority="50096" operator="containsText" text="Yes">
      <formula>NOT(ISERROR(SEARCH(("Yes"),(O380))))</formula>
    </cfRule>
  </conditionalFormatting>
  <conditionalFormatting sqref="O380 O383">
    <cfRule type="containsText" dxfId="2" priority="50097" operator="containsText" text="Yes">
      <formula>NOT(ISERROR(SEARCH(("Yes"),(O380))))</formula>
    </cfRule>
  </conditionalFormatting>
  <conditionalFormatting sqref="O380 O383">
    <cfRule type="containsText" dxfId="2" priority="50098" operator="containsText" text="Yes">
      <formula>NOT(ISERROR(SEARCH(("Yes"),(O380))))</formula>
    </cfRule>
  </conditionalFormatting>
  <conditionalFormatting sqref="O380 O383">
    <cfRule type="containsText" dxfId="2" priority="50099" operator="containsText" text="Yes">
      <formula>NOT(ISERROR(SEARCH(("Yes"),(O380))))</formula>
    </cfRule>
  </conditionalFormatting>
  <conditionalFormatting sqref="O380 O383">
    <cfRule type="containsText" dxfId="2" priority="50100" operator="containsText" text="Yes">
      <formula>NOT(ISERROR(SEARCH(("Yes"),(O380))))</formula>
    </cfRule>
  </conditionalFormatting>
  <conditionalFormatting sqref="O380 O383">
    <cfRule type="containsText" dxfId="2" priority="50101" operator="containsText" text="Yes">
      <formula>NOT(ISERROR(SEARCH(("Yes"),(O380))))</formula>
    </cfRule>
  </conditionalFormatting>
  <conditionalFormatting sqref="O380 O383">
    <cfRule type="containsText" dxfId="2" priority="50102" operator="containsText" text="Yes">
      <formula>NOT(ISERROR(SEARCH(("Yes"),(O380))))</formula>
    </cfRule>
  </conditionalFormatting>
  <conditionalFormatting sqref="O380 O383">
    <cfRule type="containsText" dxfId="2" priority="50103" operator="containsText" text="Yes">
      <formula>NOT(ISERROR(SEARCH(("Yes"),(O380))))</formula>
    </cfRule>
  </conditionalFormatting>
  <conditionalFormatting sqref="O380 O383">
    <cfRule type="containsText" dxfId="2" priority="50104" operator="containsText" text="Yes">
      <formula>NOT(ISERROR(SEARCH(("Yes"),(O380))))</formula>
    </cfRule>
  </conditionalFormatting>
  <conditionalFormatting sqref="O380 O383">
    <cfRule type="containsText" dxfId="2" priority="50105" operator="containsText" text="Yes">
      <formula>NOT(ISERROR(SEARCH(("Yes"),(O380))))</formula>
    </cfRule>
  </conditionalFormatting>
  <conditionalFormatting sqref="O380 O383">
    <cfRule type="containsText" dxfId="2" priority="50106" operator="containsText" text="Yes">
      <formula>NOT(ISERROR(SEARCH(("Yes"),(O380))))</formula>
    </cfRule>
  </conditionalFormatting>
  <conditionalFormatting sqref="O380 O383">
    <cfRule type="containsText" dxfId="2" priority="50107" operator="containsText" text="Yes">
      <formula>NOT(ISERROR(SEARCH(("Yes"),(O380))))</formula>
    </cfRule>
  </conditionalFormatting>
  <conditionalFormatting sqref="O380 O383">
    <cfRule type="containsText" dxfId="2" priority="50108" operator="containsText" text="Yes">
      <formula>NOT(ISERROR(SEARCH(("Yes"),(O380))))</formula>
    </cfRule>
  </conditionalFormatting>
  <conditionalFormatting sqref="O380 O383">
    <cfRule type="containsText" dxfId="2" priority="50109" operator="containsText" text="Yes">
      <formula>NOT(ISERROR(SEARCH(("Yes"),(O380))))</formula>
    </cfRule>
  </conditionalFormatting>
  <conditionalFormatting sqref="O380 O383">
    <cfRule type="containsText" dxfId="2" priority="50110" operator="containsText" text="Yes">
      <formula>NOT(ISERROR(SEARCH(("Yes"),(O380))))</formula>
    </cfRule>
  </conditionalFormatting>
  <conditionalFormatting sqref="O380 O383">
    <cfRule type="containsText" dxfId="2" priority="50111" operator="containsText" text="Yes">
      <formula>NOT(ISERROR(SEARCH(("Yes"),(O380))))</formula>
    </cfRule>
  </conditionalFormatting>
  <conditionalFormatting sqref="O380 O383">
    <cfRule type="containsText" dxfId="2" priority="50112" operator="containsText" text="Yes">
      <formula>NOT(ISERROR(SEARCH(("Yes"),(O380))))</formula>
    </cfRule>
  </conditionalFormatting>
  <conditionalFormatting sqref="O380 O383">
    <cfRule type="containsText" dxfId="2" priority="50113" operator="containsText" text="Yes">
      <formula>NOT(ISERROR(SEARCH(("Yes"),(O380))))</formula>
    </cfRule>
  </conditionalFormatting>
  <conditionalFormatting sqref="O380 O383">
    <cfRule type="containsText" dxfId="2" priority="50114" operator="containsText" text="Yes">
      <formula>NOT(ISERROR(SEARCH(("Yes"),(O380))))</formula>
    </cfRule>
  </conditionalFormatting>
  <conditionalFormatting sqref="O380 O383">
    <cfRule type="containsText" dxfId="2" priority="50115" operator="containsText" text="Yes">
      <formula>NOT(ISERROR(SEARCH(("Yes"),(O380))))</formula>
    </cfRule>
  </conditionalFormatting>
  <conditionalFormatting sqref="O380 O383">
    <cfRule type="containsText" dxfId="2" priority="50116" operator="containsText" text="Yes">
      <formula>NOT(ISERROR(SEARCH(("Yes"),(O380))))</formula>
    </cfRule>
  </conditionalFormatting>
  <conditionalFormatting sqref="P380 P383">
    <cfRule type="containsText" dxfId="9" priority="50117" operator="containsText" text="No">
      <formula>NOT(ISERROR(SEARCH(("No"),(P380))))</formula>
    </cfRule>
  </conditionalFormatting>
  <conditionalFormatting sqref="P380 P383">
    <cfRule type="containsText" dxfId="9" priority="50118" operator="containsText" text="No">
      <formula>NOT(ISERROR(SEARCH(("No"),(P380))))</formula>
    </cfRule>
  </conditionalFormatting>
  <conditionalFormatting sqref="P380 P383">
    <cfRule type="containsText" dxfId="9" priority="50119" operator="containsText" text="No">
      <formula>NOT(ISERROR(SEARCH(("No"),(P380))))</formula>
    </cfRule>
  </conditionalFormatting>
  <conditionalFormatting sqref="P380 P383">
    <cfRule type="containsText" dxfId="9" priority="50120" operator="containsText" text="No">
      <formula>NOT(ISERROR(SEARCH(("No"),(P380))))</formula>
    </cfRule>
  </conditionalFormatting>
  <conditionalFormatting sqref="P380 P383">
    <cfRule type="containsText" dxfId="9" priority="50121" operator="containsText" text="No">
      <formula>NOT(ISERROR(SEARCH(("No"),(P380))))</formula>
    </cfRule>
  </conditionalFormatting>
  <conditionalFormatting sqref="P380 P383">
    <cfRule type="containsText" dxfId="9" priority="50122" operator="containsText" text="No">
      <formula>NOT(ISERROR(SEARCH(("No"),(P380))))</formula>
    </cfRule>
  </conditionalFormatting>
  <conditionalFormatting sqref="P380 P383">
    <cfRule type="containsText" dxfId="9" priority="50123" operator="containsText" text="No">
      <formula>NOT(ISERROR(SEARCH(("No"),(P380))))</formula>
    </cfRule>
  </conditionalFormatting>
  <conditionalFormatting sqref="P380 P383">
    <cfRule type="containsText" dxfId="9" priority="50124" operator="containsText" text="No">
      <formula>NOT(ISERROR(SEARCH(("No"),(P380))))</formula>
    </cfRule>
  </conditionalFormatting>
  <conditionalFormatting sqref="P380 P383">
    <cfRule type="containsText" dxfId="9" priority="50125" operator="containsText" text="No">
      <formula>NOT(ISERROR(SEARCH(("No"),(P380))))</formula>
    </cfRule>
  </conditionalFormatting>
  <conditionalFormatting sqref="P380 P383">
    <cfRule type="containsText" dxfId="9" priority="50126" operator="containsText" text="No">
      <formula>NOT(ISERROR(SEARCH(("No"),(P380))))</formula>
    </cfRule>
  </conditionalFormatting>
  <conditionalFormatting sqref="P380 P383">
    <cfRule type="containsText" dxfId="9" priority="50127" operator="containsText" text="No">
      <formula>NOT(ISERROR(SEARCH(("No"),(P380))))</formula>
    </cfRule>
  </conditionalFormatting>
  <conditionalFormatting sqref="P380 P383">
    <cfRule type="containsText" dxfId="9" priority="50128" operator="containsText" text="No">
      <formula>NOT(ISERROR(SEARCH(("No"),(P380))))</formula>
    </cfRule>
  </conditionalFormatting>
  <conditionalFormatting sqref="P380 P383">
    <cfRule type="containsText" dxfId="9" priority="50129" operator="containsText" text="No">
      <formula>NOT(ISERROR(SEARCH(("No"),(P380))))</formula>
    </cfRule>
  </conditionalFormatting>
  <conditionalFormatting sqref="P380 P383">
    <cfRule type="containsText" dxfId="9" priority="50130" operator="containsText" text="No">
      <formula>NOT(ISERROR(SEARCH(("No"),(P380))))</formula>
    </cfRule>
  </conditionalFormatting>
  <conditionalFormatting sqref="P380 P383">
    <cfRule type="containsText" dxfId="9" priority="50131" operator="containsText" text="No">
      <formula>NOT(ISERROR(SEARCH(("No"),(P380))))</formula>
    </cfRule>
  </conditionalFormatting>
  <conditionalFormatting sqref="P380 P383">
    <cfRule type="containsText" dxfId="9" priority="50132" operator="containsText" text="No">
      <formula>NOT(ISERROR(SEARCH(("No"),(P380))))</formula>
    </cfRule>
  </conditionalFormatting>
  <conditionalFormatting sqref="P380 P383">
    <cfRule type="containsText" dxfId="9" priority="50133" operator="containsText" text="No">
      <formula>NOT(ISERROR(SEARCH(("No"),(P380))))</formula>
    </cfRule>
  </conditionalFormatting>
  <conditionalFormatting sqref="P380 P383">
    <cfRule type="containsText" dxfId="9" priority="50134" operator="containsText" text="No">
      <formula>NOT(ISERROR(SEARCH(("No"),(P380))))</formula>
    </cfRule>
  </conditionalFormatting>
  <conditionalFormatting sqref="P380 P383">
    <cfRule type="containsText" dxfId="9" priority="50135" operator="containsText" text="No">
      <formula>NOT(ISERROR(SEARCH(("No"),(P380))))</formula>
    </cfRule>
  </conditionalFormatting>
  <conditionalFormatting sqref="P380 P383">
    <cfRule type="containsText" dxfId="9" priority="50136" operator="containsText" text="No">
      <formula>NOT(ISERROR(SEARCH(("No"),(P380))))</formula>
    </cfRule>
  </conditionalFormatting>
  <conditionalFormatting sqref="P380 P383">
    <cfRule type="containsText" dxfId="9" priority="50137" operator="containsText" text="No">
      <formula>NOT(ISERROR(SEARCH(("No"),(P380))))</formula>
    </cfRule>
  </conditionalFormatting>
  <conditionalFormatting sqref="P380 P383">
    <cfRule type="containsText" dxfId="9" priority="50138" operator="containsText" text="No">
      <formula>NOT(ISERROR(SEARCH(("No"),(P380))))</formula>
    </cfRule>
  </conditionalFormatting>
  <conditionalFormatting sqref="P380 P383">
    <cfRule type="containsText" dxfId="9" priority="50139" operator="containsText" text="No">
      <formula>NOT(ISERROR(SEARCH(("No"),(P380))))</formula>
    </cfRule>
  </conditionalFormatting>
  <conditionalFormatting sqref="P380 P383">
    <cfRule type="containsText" dxfId="9" priority="50140" operator="containsText" text="No">
      <formula>NOT(ISERROR(SEARCH(("No"),(P380))))</formula>
    </cfRule>
  </conditionalFormatting>
  <conditionalFormatting sqref="P380 P383">
    <cfRule type="containsText" dxfId="9" priority="50141" operator="containsText" text="No">
      <formula>NOT(ISERROR(SEARCH(("No"),(P380))))</formula>
    </cfRule>
  </conditionalFormatting>
  <conditionalFormatting sqref="P380 P383">
    <cfRule type="containsText" dxfId="9" priority="50142" operator="containsText" text="No">
      <formula>NOT(ISERROR(SEARCH(("No"),(P380))))</formula>
    </cfRule>
  </conditionalFormatting>
  <conditionalFormatting sqref="P380 P383">
    <cfRule type="containsText" dxfId="9" priority="50143" operator="containsText" text="No">
      <formula>NOT(ISERROR(SEARCH(("No"),(P380))))</formula>
    </cfRule>
  </conditionalFormatting>
  <conditionalFormatting sqref="P380 P383">
    <cfRule type="containsText" dxfId="9" priority="50144" operator="containsText" text="No">
      <formula>NOT(ISERROR(SEARCH(("No"),(P380))))</formula>
    </cfRule>
  </conditionalFormatting>
  <conditionalFormatting sqref="P380 P383">
    <cfRule type="containsText" dxfId="9" priority="50145" operator="containsText" text="No">
      <formula>NOT(ISERROR(SEARCH(("No"),(P380))))</formula>
    </cfRule>
  </conditionalFormatting>
  <conditionalFormatting sqref="P380 P383">
    <cfRule type="containsText" dxfId="9" priority="50146" operator="containsText" text="No">
      <formula>NOT(ISERROR(SEARCH(("No"),(P380))))</formula>
    </cfRule>
  </conditionalFormatting>
  <conditionalFormatting sqref="P380 P383">
    <cfRule type="containsText" dxfId="9" priority="50147" operator="containsText" text="No">
      <formula>NOT(ISERROR(SEARCH(("No"),(P380))))</formula>
    </cfRule>
  </conditionalFormatting>
  <conditionalFormatting sqref="P380 P383">
    <cfRule type="containsText" dxfId="9" priority="50148" operator="containsText" text="No">
      <formula>NOT(ISERROR(SEARCH(("No"),(P380))))</formula>
    </cfRule>
  </conditionalFormatting>
  <conditionalFormatting sqref="P380 P383">
    <cfRule type="containsText" dxfId="9" priority="50149" operator="containsText" text="No">
      <formula>NOT(ISERROR(SEARCH(("No"),(P380))))</formula>
    </cfRule>
  </conditionalFormatting>
  <conditionalFormatting sqref="P380 P383">
    <cfRule type="containsText" dxfId="9" priority="50150" operator="containsText" text="No">
      <formula>NOT(ISERROR(SEARCH(("No"),(P380))))</formula>
    </cfRule>
  </conditionalFormatting>
  <conditionalFormatting sqref="P380 P383">
    <cfRule type="containsText" dxfId="9" priority="50151" operator="containsText" text="No">
      <formula>NOT(ISERROR(SEARCH(("No"),(P380))))</formula>
    </cfRule>
  </conditionalFormatting>
  <conditionalFormatting sqref="P380 P383">
    <cfRule type="containsText" dxfId="9" priority="50152" operator="containsText" text="No">
      <formula>NOT(ISERROR(SEARCH(("No"),(P380))))</formula>
    </cfRule>
  </conditionalFormatting>
  <conditionalFormatting sqref="P380 P383">
    <cfRule type="containsText" dxfId="9" priority="50153" operator="containsText" text="No">
      <formula>NOT(ISERROR(SEARCH(("No"),(P380))))</formula>
    </cfRule>
  </conditionalFormatting>
  <conditionalFormatting sqref="P380 P383">
    <cfRule type="containsText" dxfId="9" priority="50154" operator="containsText" text="No">
      <formula>NOT(ISERROR(SEARCH(("No"),(P380))))</formula>
    </cfRule>
  </conditionalFormatting>
  <conditionalFormatting sqref="P380 P383">
    <cfRule type="containsText" dxfId="9" priority="50155" operator="containsText" text="No">
      <formula>NOT(ISERROR(SEARCH(("No"),(P380))))</formula>
    </cfRule>
  </conditionalFormatting>
  <conditionalFormatting sqref="P380 P383">
    <cfRule type="containsText" dxfId="9" priority="50156" operator="containsText" text="No">
      <formula>NOT(ISERROR(SEARCH(("No"),(P380))))</formula>
    </cfRule>
  </conditionalFormatting>
  <conditionalFormatting sqref="P380 P383">
    <cfRule type="containsText" dxfId="9" priority="50157" operator="containsText" text="No">
      <formula>NOT(ISERROR(SEARCH(("No"),(P380))))</formula>
    </cfRule>
  </conditionalFormatting>
  <conditionalFormatting sqref="P380 P383">
    <cfRule type="containsText" dxfId="9" priority="50158" operator="containsText" text="No">
      <formula>NOT(ISERROR(SEARCH(("No"),(P380))))</formula>
    </cfRule>
  </conditionalFormatting>
  <conditionalFormatting sqref="P380 P383">
    <cfRule type="containsText" dxfId="9" priority="50159" operator="containsText" text="No">
      <formula>NOT(ISERROR(SEARCH(("No"),(P380))))</formula>
    </cfRule>
  </conditionalFormatting>
  <conditionalFormatting sqref="P380 P383">
    <cfRule type="containsText" dxfId="9" priority="50160" operator="containsText" text="No">
      <formula>NOT(ISERROR(SEARCH(("No"),(P380))))</formula>
    </cfRule>
  </conditionalFormatting>
  <conditionalFormatting sqref="P380 P383">
    <cfRule type="containsText" dxfId="9" priority="50161" operator="containsText" text="No">
      <formula>NOT(ISERROR(SEARCH(("No"),(P380))))</formula>
    </cfRule>
  </conditionalFormatting>
  <conditionalFormatting sqref="P380 P383">
    <cfRule type="containsText" dxfId="2" priority="50162" operator="containsText" text="Yes">
      <formula>NOT(ISERROR(SEARCH(("Yes"),(P380))))</formula>
    </cfRule>
  </conditionalFormatting>
  <conditionalFormatting sqref="P380 P383">
    <cfRule type="containsText" dxfId="2" priority="50163" operator="containsText" text="Yes">
      <formula>NOT(ISERROR(SEARCH(("Yes"),(P380))))</formula>
    </cfRule>
  </conditionalFormatting>
  <conditionalFormatting sqref="P380 P383">
    <cfRule type="containsText" dxfId="2" priority="50164" operator="containsText" text="Yes">
      <formula>NOT(ISERROR(SEARCH(("Yes"),(P380))))</formula>
    </cfRule>
  </conditionalFormatting>
  <conditionalFormatting sqref="P380 P383">
    <cfRule type="containsText" dxfId="2" priority="50165" operator="containsText" text="Yes">
      <formula>NOT(ISERROR(SEARCH(("Yes"),(P380))))</formula>
    </cfRule>
  </conditionalFormatting>
  <conditionalFormatting sqref="P380 P383">
    <cfRule type="containsText" dxfId="2" priority="50166" operator="containsText" text="Yes">
      <formula>NOT(ISERROR(SEARCH(("Yes"),(P380))))</formula>
    </cfRule>
  </conditionalFormatting>
  <conditionalFormatting sqref="P380 P383">
    <cfRule type="containsText" dxfId="2" priority="50167" operator="containsText" text="Yes">
      <formula>NOT(ISERROR(SEARCH(("Yes"),(P380))))</formula>
    </cfRule>
  </conditionalFormatting>
  <conditionalFormatting sqref="P380 P383">
    <cfRule type="containsText" dxfId="2" priority="50168" operator="containsText" text="Yes">
      <formula>NOT(ISERROR(SEARCH(("Yes"),(P380))))</formula>
    </cfRule>
  </conditionalFormatting>
  <conditionalFormatting sqref="P380 P383">
    <cfRule type="containsText" dxfId="2" priority="50169" operator="containsText" text="Yes">
      <formula>NOT(ISERROR(SEARCH(("Yes"),(P380))))</formula>
    </cfRule>
  </conditionalFormatting>
  <conditionalFormatting sqref="P380 P383">
    <cfRule type="containsText" dxfId="2" priority="50170" operator="containsText" text="Yes">
      <formula>NOT(ISERROR(SEARCH(("Yes"),(P380))))</formula>
    </cfRule>
  </conditionalFormatting>
  <conditionalFormatting sqref="P380 P383">
    <cfRule type="containsText" dxfId="2" priority="50171" operator="containsText" text="Yes">
      <formula>NOT(ISERROR(SEARCH(("Yes"),(P380))))</formula>
    </cfRule>
  </conditionalFormatting>
  <conditionalFormatting sqref="P380 P383">
    <cfRule type="containsText" dxfId="2" priority="50172" operator="containsText" text="Yes">
      <formula>NOT(ISERROR(SEARCH(("Yes"),(P380))))</formula>
    </cfRule>
  </conditionalFormatting>
  <conditionalFormatting sqref="P380 P383">
    <cfRule type="containsText" dxfId="2" priority="50173" operator="containsText" text="Yes">
      <formula>NOT(ISERROR(SEARCH(("Yes"),(P380))))</formula>
    </cfRule>
  </conditionalFormatting>
  <conditionalFormatting sqref="P380 P383">
    <cfRule type="containsText" dxfId="2" priority="50174" operator="containsText" text="Yes">
      <formula>NOT(ISERROR(SEARCH(("Yes"),(P380))))</formula>
    </cfRule>
  </conditionalFormatting>
  <conditionalFormatting sqref="P380 P383">
    <cfRule type="containsText" dxfId="2" priority="50175" operator="containsText" text="Yes">
      <formula>NOT(ISERROR(SEARCH(("Yes"),(P380))))</formula>
    </cfRule>
  </conditionalFormatting>
  <conditionalFormatting sqref="P380 P383">
    <cfRule type="containsText" dxfId="2" priority="50176" operator="containsText" text="Yes">
      <formula>NOT(ISERROR(SEARCH(("Yes"),(P380))))</formula>
    </cfRule>
  </conditionalFormatting>
  <conditionalFormatting sqref="P380 P383">
    <cfRule type="containsText" dxfId="2" priority="50177" operator="containsText" text="Yes">
      <formula>NOT(ISERROR(SEARCH(("Yes"),(P380))))</formula>
    </cfRule>
  </conditionalFormatting>
  <conditionalFormatting sqref="P380 P383">
    <cfRule type="containsText" dxfId="2" priority="50178" operator="containsText" text="Yes">
      <formula>NOT(ISERROR(SEARCH(("Yes"),(P380))))</formula>
    </cfRule>
  </conditionalFormatting>
  <conditionalFormatting sqref="P380 P383">
    <cfRule type="containsText" dxfId="2" priority="50179" operator="containsText" text="Yes">
      <formula>NOT(ISERROR(SEARCH(("Yes"),(P380))))</formula>
    </cfRule>
  </conditionalFormatting>
  <conditionalFormatting sqref="P380 P383">
    <cfRule type="containsText" dxfId="2" priority="50180" operator="containsText" text="Yes">
      <formula>NOT(ISERROR(SEARCH(("Yes"),(P380))))</formula>
    </cfRule>
  </conditionalFormatting>
  <conditionalFormatting sqref="P380 P383">
    <cfRule type="containsText" dxfId="2" priority="50181" operator="containsText" text="Yes">
      <formula>NOT(ISERROR(SEARCH(("Yes"),(P380))))</formula>
    </cfRule>
  </conditionalFormatting>
  <conditionalFormatting sqref="P380 P383">
    <cfRule type="containsText" dxfId="2" priority="50182" operator="containsText" text="Yes">
      <formula>NOT(ISERROR(SEARCH(("Yes"),(P380))))</formula>
    </cfRule>
  </conditionalFormatting>
  <conditionalFormatting sqref="P380 P383">
    <cfRule type="containsText" dxfId="2" priority="50183" operator="containsText" text="Yes">
      <formula>NOT(ISERROR(SEARCH(("Yes"),(P380))))</formula>
    </cfRule>
  </conditionalFormatting>
  <conditionalFormatting sqref="P380 P383">
    <cfRule type="containsText" dxfId="2" priority="50184" operator="containsText" text="Yes">
      <formula>NOT(ISERROR(SEARCH(("Yes"),(P380))))</formula>
    </cfRule>
  </conditionalFormatting>
  <conditionalFormatting sqref="P380 P383">
    <cfRule type="containsText" dxfId="2" priority="50185" operator="containsText" text="Yes">
      <formula>NOT(ISERROR(SEARCH(("Yes"),(P380))))</formula>
    </cfRule>
  </conditionalFormatting>
  <conditionalFormatting sqref="P380 P383">
    <cfRule type="containsText" dxfId="2" priority="50186" operator="containsText" text="Yes">
      <formula>NOT(ISERROR(SEARCH(("Yes"),(P380))))</formula>
    </cfRule>
  </conditionalFormatting>
  <conditionalFormatting sqref="P380 P383">
    <cfRule type="containsText" dxfId="2" priority="50187" operator="containsText" text="Yes">
      <formula>NOT(ISERROR(SEARCH(("Yes"),(P380))))</formula>
    </cfRule>
  </conditionalFormatting>
  <conditionalFormatting sqref="P380 P383">
    <cfRule type="containsText" dxfId="2" priority="50188" operator="containsText" text="Yes">
      <formula>NOT(ISERROR(SEARCH(("Yes"),(P380))))</formula>
    </cfRule>
  </conditionalFormatting>
  <conditionalFormatting sqref="P380 P383">
    <cfRule type="containsText" dxfId="2" priority="50189" operator="containsText" text="Yes">
      <formula>NOT(ISERROR(SEARCH(("Yes"),(P380))))</formula>
    </cfRule>
  </conditionalFormatting>
  <conditionalFormatting sqref="P380 P383">
    <cfRule type="containsText" dxfId="2" priority="50190" operator="containsText" text="Yes">
      <formula>NOT(ISERROR(SEARCH(("Yes"),(P380))))</formula>
    </cfRule>
  </conditionalFormatting>
  <conditionalFormatting sqref="P380 P383">
    <cfRule type="containsText" dxfId="2" priority="50191" operator="containsText" text="Yes">
      <formula>NOT(ISERROR(SEARCH(("Yes"),(P380))))</formula>
    </cfRule>
  </conditionalFormatting>
  <conditionalFormatting sqref="P380 P383">
    <cfRule type="containsText" dxfId="2" priority="50192" operator="containsText" text="Yes">
      <formula>NOT(ISERROR(SEARCH(("Yes"),(P380))))</formula>
    </cfRule>
  </conditionalFormatting>
  <conditionalFormatting sqref="P380 P383">
    <cfRule type="containsText" dxfId="2" priority="50193" operator="containsText" text="Yes">
      <formula>NOT(ISERROR(SEARCH(("Yes"),(P380))))</formula>
    </cfRule>
  </conditionalFormatting>
  <conditionalFormatting sqref="P380 P383">
    <cfRule type="containsText" dxfId="2" priority="50194" operator="containsText" text="Yes">
      <formula>NOT(ISERROR(SEARCH(("Yes"),(P380))))</formula>
    </cfRule>
  </conditionalFormatting>
  <conditionalFormatting sqref="P380 P383">
    <cfRule type="containsText" dxfId="2" priority="50195" operator="containsText" text="Yes">
      <formula>NOT(ISERROR(SEARCH(("Yes"),(P380))))</formula>
    </cfRule>
  </conditionalFormatting>
  <conditionalFormatting sqref="P380 P383">
    <cfRule type="containsText" dxfId="2" priority="50196" operator="containsText" text="Yes">
      <formula>NOT(ISERROR(SEARCH(("Yes"),(P380))))</formula>
    </cfRule>
  </conditionalFormatting>
  <conditionalFormatting sqref="P380 P383">
    <cfRule type="containsText" dxfId="2" priority="50197" operator="containsText" text="Yes">
      <formula>NOT(ISERROR(SEARCH(("Yes"),(P380))))</formula>
    </cfRule>
  </conditionalFormatting>
  <conditionalFormatting sqref="P380 P383">
    <cfRule type="containsText" dxfId="2" priority="50198" operator="containsText" text="Yes">
      <formula>NOT(ISERROR(SEARCH(("Yes"),(P380))))</formula>
    </cfRule>
  </conditionalFormatting>
  <conditionalFormatting sqref="P380 P383">
    <cfRule type="containsText" dxfId="2" priority="50199" operator="containsText" text="Yes">
      <formula>NOT(ISERROR(SEARCH(("Yes"),(P380))))</formula>
    </cfRule>
  </conditionalFormatting>
  <conditionalFormatting sqref="P380 P383">
    <cfRule type="containsText" dxfId="2" priority="50200" operator="containsText" text="Yes">
      <formula>NOT(ISERROR(SEARCH(("Yes"),(P380))))</formula>
    </cfRule>
  </conditionalFormatting>
  <conditionalFormatting sqref="P380 P383">
    <cfRule type="containsText" dxfId="2" priority="50201" operator="containsText" text="Yes">
      <formula>NOT(ISERROR(SEARCH(("Yes"),(P380))))</formula>
    </cfRule>
  </conditionalFormatting>
  <conditionalFormatting sqref="P380 P383">
    <cfRule type="containsText" dxfId="2" priority="50202" operator="containsText" text="Yes">
      <formula>NOT(ISERROR(SEARCH(("Yes"),(P380))))</formula>
    </cfRule>
  </conditionalFormatting>
  <conditionalFormatting sqref="P380 P383">
    <cfRule type="containsText" dxfId="2" priority="50203" operator="containsText" text="Yes">
      <formula>NOT(ISERROR(SEARCH(("Yes"),(P380))))</formula>
    </cfRule>
  </conditionalFormatting>
  <conditionalFormatting sqref="P380 P383">
    <cfRule type="containsText" dxfId="2" priority="50204" operator="containsText" text="Yes">
      <formula>NOT(ISERROR(SEARCH(("Yes"),(P380))))</formula>
    </cfRule>
  </conditionalFormatting>
  <conditionalFormatting sqref="P380 P383">
    <cfRule type="containsText" dxfId="2" priority="50205" operator="containsText" text="Yes">
      <formula>NOT(ISERROR(SEARCH(("Yes"),(P380))))</formula>
    </cfRule>
  </conditionalFormatting>
  <conditionalFormatting sqref="P380 P383">
    <cfRule type="containsText" dxfId="2" priority="50206" operator="containsText" text="Yes">
      <formula>NOT(ISERROR(SEARCH(("Yes"),(P380))))</formula>
    </cfRule>
  </conditionalFormatting>
  <conditionalFormatting sqref="P380 P383">
    <cfRule type="containsText" dxfId="2" priority="50207" operator="containsText" text="Yes">
      <formula>NOT(ISERROR(SEARCH(("Yes"),(P380))))</formula>
    </cfRule>
  </conditionalFormatting>
  <conditionalFormatting sqref="P380 P383">
    <cfRule type="containsText" dxfId="2" priority="50208" operator="containsText" text="Yes">
      <formula>NOT(ISERROR(SEARCH(("Yes"),(P380))))</formula>
    </cfRule>
  </conditionalFormatting>
  <conditionalFormatting sqref="Q380 Q383">
    <cfRule type="containsText" dxfId="9" priority="50209" operator="containsText" text="No">
      <formula>NOT(ISERROR(SEARCH(("No"),(Q380))))</formula>
    </cfRule>
  </conditionalFormatting>
  <conditionalFormatting sqref="Q380 Q383">
    <cfRule type="containsText" dxfId="9" priority="50210" operator="containsText" text="No">
      <formula>NOT(ISERROR(SEARCH(("No"),(Q380))))</formula>
    </cfRule>
  </conditionalFormatting>
  <conditionalFormatting sqref="Q380 Q383">
    <cfRule type="containsText" dxfId="9" priority="50211" operator="containsText" text="No">
      <formula>NOT(ISERROR(SEARCH(("No"),(Q380))))</formula>
    </cfRule>
  </conditionalFormatting>
  <conditionalFormatting sqref="Q380 Q383">
    <cfRule type="containsText" dxfId="9" priority="50212" operator="containsText" text="No">
      <formula>NOT(ISERROR(SEARCH(("No"),(Q380))))</formula>
    </cfRule>
  </conditionalFormatting>
  <conditionalFormatting sqref="Q380 Q383">
    <cfRule type="containsText" dxfId="9" priority="50213" operator="containsText" text="No">
      <formula>NOT(ISERROR(SEARCH(("No"),(Q380))))</formula>
    </cfRule>
  </conditionalFormatting>
  <conditionalFormatting sqref="Q380 Q383">
    <cfRule type="containsText" dxfId="9" priority="50214" operator="containsText" text="No">
      <formula>NOT(ISERROR(SEARCH(("No"),(Q380))))</formula>
    </cfRule>
  </conditionalFormatting>
  <conditionalFormatting sqref="Q380 Q383">
    <cfRule type="containsText" dxfId="9" priority="50215" operator="containsText" text="No">
      <formula>NOT(ISERROR(SEARCH(("No"),(Q380))))</formula>
    </cfRule>
  </conditionalFormatting>
  <conditionalFormatting sqref="Q380 Q383">
    <cfRule type="containsText" dxfId="9" priority="50216" operator="containsText" text="No">
      <formula>NOT(ISERROR(SEARCH(("No"),(Q380))))</formula>
    </cfRule>
  </conditionalFormatting>
  <conditionalFormatting sqref="Q380 Q383">
    <cfRule type="containsText" dxfId="9" priority="50217" operator="containsText" text="No">
      <formula>NOT(ISERROR(SEARCH(("No"),(Q380))))</formula>
    </cfRule>
  </conditionalFormatting>
  <conditionalFormatting sqref="Q380 Q383">
    <cfRule type="containsText" dxfId="9" priority="50218" operator="containsText" text="No">
      <formula>NOT(ISERROR(SEARCH(("No"),(Q380))))</formula>
    </cfRule>
  </conditionalFormatting>
  <conditionalFormatting sqref="Q380 Q383">
    <cfRule type="containsText" dxfId="9" priority="50219" operator="containsText" text="No">
      <formula>NOT(ISERROR(SEARCH(("No"),(Q380))))</formula>
    </cfRule>
  </conditionalFormatting>
  <conditionalFormatting sqref="Q380 Q383">
    <cfRule type="containsText" dxfId="9" priority="50220" operator="containsText" text="No">
      <formula>NOT(ISERROR(SEARCH(("No"),(Q380))))</formula>
    </cfRule>
  </conditionalFormatting>
  <conditionalFormatting sqref="Q380 Q383">
    <cfRule type="containsText" dxfId="9" priority="50221" operator="containsText" text="No">
      <formula>NOT(ISERROR(SEARCH(("No"),(Q380))))</formula>
    </cfRule>
  </conditionalFormatting>
  <conditionalFormatting sqref="Q380 Q383">
    <cfRule type="containsText" dxfId="9" priority="50222" operator="containsText" text="No">
      <formula>NOT(ISERROR(SEARCH(("No"),(Q380))))</formula>
    </cfRule>
  </conditionalFormatting>
  <conditionalFormatting sqref="Q380 Q383">
    <cfRule type="containsText" dxfId="9" priority="50223" operator="containsText" text="No">
      <formula>NOT(ISERROR(SEARCH(("No"),(Q380))))</formula>
    </cfRule>
  </conditionalFormatting>
  <conditionalFormatting sqref="Q380 Q383">
    <cfRule type="containsText" dxfId="9" priority="50224" operator="containsText" text="No">
      <formula>NOT(ISERROR(SEARCH(("No"),(Q380))))</formula>
    </cfRule>
  </conditionalFormatting>
  <conditionalFormatting sqref="Q380 Q383">
    <cfRule type="containsText" dxfId="9" priority="50225" operator="containsText" text="No">
      <formula>NOT(ISERROR(SEARCH(("No"),(Q380))))</formula>
    </cfRule>
  </conditionalFormatting>
  <conditionalFormatting sqref="Q380 Q383">
    <cfRule type="containsText" dxfId="9" priority="50226" operator="containsText" text="No">
      <formula>NOT(ISERROR(SEARCH(("No"),(Q380))))</formula>
    </cfRule>
  </conditionalFormatting>
  <conditionalFormatting sqref="Q380 Q383">
    <cfRule type="containsText" dxfId="9" priority="50227" operator="containsText" text="No">
      <formula>NOT(ISERROR(SEARCH(("No"),(Q380))))</formula>
    </cfRule>
  </conditionalFormatting>
  <conditionalFormatting sqref="Q380 Q383">
    <cfRule type="containsText" dxfId="9" priority="50228" operator="containsText" text="No">
      <formula>NOT(ISERROR(SEARCH(("No"),(Q380))))</formula>
    </cfRule>
  </conditionalFormatting>
  <conditionalFormatting sqref="Q380 Q383">
    <cfRule type="containsText" dxfId="9" priority="50229" operator="containsText" text="No">
      <formula>NOT(ISERROR(SEARCH(("No"),(Q380))))</formula>
    </cfRule>
  </conditionalFormatting>
  <conditionalFormatting sqref="Q380 Q383">
    <cfRule type="containsText" dxfId="9" priority="50230" operator="containsText" text="No">
      <formula>NOT(ISERROR(SEARCH(("No"),(Q380))))</formula>
    </cfRule>
  </conditionalFormatting>
  <conditionalFormatting sqref="Q380 Q383">
    <cfRule type="containsText" dxfId="9" priority="50231" operator="containsText" text="No">
      <formula>NOT(ISERROR(SEARCH(("No"),(Q380))))</formula>
    </cfRule>
  </conditionalFormatting>
  <conditionalFormatting sqref="Q380 Q383">
    <cfRule type="containsText" dxfId="9" priority="50232" operator="containsText" text="No">
      <formula>NOT(ISERROR(SEARCH(("No"),(Q380))))</formula>
    </cfRule>
  </conditionalFormatting>
  <conditionalFormatting sqref="Q380 Q383">
    <cfRule type="containsText" dxfId="9" priority="50233" operator="containsText" text="No">
      <formula>NOT(ISERROR(SEARCH(("No"),(Q380))))</formula>
    </cfRule>
  </conditionalFormatting>
  <conditionalFormatting sqref="Q380 Q383">
    <cfRule type="containsText" dxfId="9" priority="50234" operator="containsText" text="No">
      <formula>NOT(ISERROR(SEARCH(("No"),(Q380))))</formula>
    </cfRule>
  </conditionalFormatting>
  <conditionalFormatting sqref="Q380 Q383">
    <cfRule type="containsText" dxfId="9" priority="50235" operator="containsText" text="No">
      <formula>NOT(ISERROR(SEARCH(("No"),(Q380))))</formula>
    </cfRule>
  </conditionalFormatting>
  <conditionalFormatting sqref="Q380 Q383">
    <cfRule type="containsText" dxfId="9" priority="50236" operator="containsText" text="No">
      <formula>NOT(ISERROR(SEARCH(("No"),(Q380))))</formula>
    </cfRule>
  </conditionalFormatting>
  <conditionalFormatting sqref="Q380 Q383">
    <cfRule type="containsText" dxfId="9" priority="50237" operator="containsText" text="No">
      <formula>NOT(ISERROR(SEARCH(("No"),(Q380))))</formula>
    </cfRule>
  </conditionalFormatting>
  <conditionalFormatting sqref="Q380 Q383">
    <cfRule type="containsText" dxfId="9" priority="50238" operator="containsText" text="No">
      <formula>NOT(ISERROR(SEARCH(("No"),(Q380))))</formula>
    </cfRule>
  </conditionalFormatting>
  <conditionalFormatting sqref="Q380 Q383">
    <cfRule type="containsText" dxfId="9" priority="50239" operator="containsText" text="No">
      <formula>NOT(ISERROR(SEARCH(("No"),(Q380))))</formula>
    </cfRule>
  </conditionalFormatting>
  <conditionalFormatting sqref="Q380 Q383">
    <cfRule type="containsText" dxfId="9" priority="50240" operator="containsText" text="No">
      <formula>NOT(ISERROR(SEARCH(("No"),(Q380))))</formula>
    </cfRule>
  </conditionalFormatting>
  <conditionalFormatting sqref="Q380 Q383">
    <cfRule type="containsText" dxfId="9" priority="50241" operator="containsText" text="No">
      <formula>NOT(ISERROR(SEARCH(("No"),(Q380))))</formula>
    </cfRule>
  </conditionalFormatting>
  <conditionalFormatting sqref="Q380 Q383">
    <cfRule type="containsText" dxfId="9" priority="50242" operator="containsText" text="No">
      <formula>NOT(ISERROR(SEARCH(("No"),(Q380))))</formula>
    </cfRule>
  </conditionalFormatting>
  <conditionalFormatting sqref="Q380 Q383">
    <cfRule type="containsText" dxfId="9" priority="50243" operator="containsText" text="No">
      <formula>NOT(ISERROR(SEARCH(("No"),(Q380))))</formula>
    </cfRule>
  </conditionalFormatting>
  <conditionalFormatting sqref="Q380 Q383">
    <cfRule type="containsText" dxfId="9" priority="50244" operator="containsText" text="No">
      <formula>NOT(ISERROR(SEARCH(("No"),(Q380))))</formula>
    </cfRule>
  </conditionalFormatting>
  <conditionalFormatting sqref="Q380 Q383">
    <cfRule type="containsText" dxfId="9" priority="50245" operator="containsText" text="No">
      <formula>NOT(ISERROR(SEARCH(("No"),(Q380))))</formula>
    </cfRule>
  </conditionalFormatting>
  <conditionalFormatting sqref="Q380 Q383">
    <cfRule type="containsText" dxfId="9" priority="50246" operator="containsText" text="No">
      <formula>NOT(ISERROR(SEARCH(("No"),(Q380))))</formula>
    </cfRule>
  </conditionalFormatting>
  <conditionalFormatting sqref="Q380 Q383">
    <cfRule type="containsText" dxfId="9" priority="50247" operator="containsText" text="No">
      <formula>NOT(ISERROR(SEARCH(("No"),(Q380))))</formula>
    </cfRule>
  </conditionalFormatting>
  <conditionalFormatting sqref="Q380 Q383">
    <cfRule type="containsText" dxfId="9" priority="50248" operator="containsText" text="No">
      <formula>NOT(ISERROR(SEARCH(("No"),(Q380))))</formula>
    </cfRule>
  </conditionalFormatting>
  <conditionalFormatting sqref="Q380 Q383">
    <cfRule type="containsText" dxfId="9" priority="50249" operator="containsText" text="No">
      <formula>NOT(ISERROR(SEARCH(("No"),(Q380))))</formula>
    </cfRule>
  </conditionalFormatting>
  <conditionalFormatting sqref="Q380 Q383">
    <cfRule type="containsText" dxfId="9" priority="50250" operator="containsText" text="No">
      <formula>NOT(ISERROR(SEARCH(("No"),(Q380))))</formula>
    </cfRule>
  </conditionalFormatting>
  <conditionalFormatting sqref="Q380 Q383">
    <cfRule type="containsText" dxfId="9" priority="50251" operator="containsText" text="No">
      <formula>NOT(ISERROR(SEARCH(("No"),(Q380))))</formula>
    </cfRule>
  </conditionalFormatting>
  <conditionalFormatting sqref="Q380 Q383">
    <cfRule type="containsText" dxfId="9" priority="50252" operator="containsText" text="No">
      <formula>NOT(ISERROR(SEARCH(("No"),(Q380))))</formula>
    </cfRule>
  </conditionalFormatting>
  <conditionalFormatting sqref="Q380 Q383">
    <cfRule type="containsText" dxfId="9" priority="50253" operator="containsText" text="No">
      <formula>NOT(ISERROR(SEARCH(("No"),(Q380))))</formula>
    </cfRule>
  </conditionalFormatting>
  <conditionalFormatting sqref="Q380 Q383">
    <cfRule type="containsText" dxfId="2" priority="50254" operator="containsText" text="Yes">
      <formula>NOT(ISERROR(SEARCH(("Yes"),(Q380))))</formula>
    </cfRule>
  </conditionalFormatting>
  <conditionalFormatting sqref="Q380 Q383">
    <cfRule type="containsText" dxfId="2" priority="50255" operator="containsText" text="Yes">
      <formula>NOT(ISERROR(SEARCH(("Yes"),(Q380))))</formula>
    </cfRule>
  </conditionalFormatting>
  <conditionalFormatting sqref="Q380 Q383">
    <cfRule type="containsText" dxfId="2" priority="50256" operator="containsText" text="Yes">
      <formula>NOT(ISERROR(SEARCH(("Yes"),(Q380))))</formula>
    </cfRule>
  </conditionalFormatting>
  <conditionalFormatting sqref="Q380 Q383">
    <cfRule type="containsText" dxfId="2" priority="50257" operator="containsText" text="Yes">
      <formula>NOT(ISERROR(SEARCH(("Yes"),(Q380))))</formula>
    </cfRule>
  </conditionalFormatting>
  <conditionalFormatting sqref="Q380 Q383">
    <cfRule type="containsText" dxfId="2" priority="50258" operator="containsText" text="Yes">
      <formula>NOT(ISERROR(SEARCH(("Yes"),(Q380))))</formula>
    </cfRule>
  </conditionalFormatting>
  <conditionalFormatting sqref="Q380 Q383">
    <cfRule type="containsText" dxfId="2" priority="50259" operator="containsText" text="Yes">
      <formula>NOT(ISERROR(SEARCH(("Yes"),(Q380))))</formula>
    </cfRule>
  </conditionalFormatting>
  <conditionalFormatting sqref="Q380 Q383">
    <cfRule type="containsText" dxfId="2" priority="50260" operator="containsText" text="Yes">
      <formula>NOT(ISERROR(SEARCH(("Yes"),(Q380))))</formula>
    </cfRule>
  </conditionalFormatting>
  <conditionalFormatting sqref="Q380 Q383">
    <cfRule type="containsText" dxfId="2" priority="50261" operator="containsText" text="Yes">
      <formula>NOT(ISERROR(SEARCH(("Yes"),(Q380))))</formula>
    </cfRule>
  </conditionalFormatting>
  <conditionalFormatting sqref="Q380 Q383">
    <cfRule type="containsText" dxfId="2" priority="50262" operator="containsText" text="Yes">
      <formula>NOT(ISERROR(SEARCH(("Yes"),(Q380))))</formula>
    </cfRule>
  </conditionalFormatting>
  <conditionalFormatting sqref="Q380 Q383">
    <cfRule type="containsText" dxfId="2" priority="50263" operator="containsText" text="Yes">
      <formula>NOT(ISERROR(SEARCH(("Yes"),(Q380))))</formula>
    </cfRule>
  </conditionalFormatting>
  <conditionalFormatting sqref="Q380 Q383">
    <cfRule type="containsText" dxfId="2" priority="50264" operator="containsText" text="Yes">
      <formula>NOT(ISERROR(SEARCH(("Yes"),(Q380))))</formula>
    </cfRule>
  </conditionalFormatting>
  <conditionalFormatting sqref="Q380 Q383">
    <cfRule type="containsText" dxfId="2" priority="50265" operator="containsText" text="Yes">
      <formula>NOT(ISERROR(SEARCH(("Yes"),(Q380))))</formula>
    </cfRule>
  </conditionalFormatting>
  <conditionalFormatting sqref="Q380 Q383">
    <cfRule type="containsText" dxfId="2" priority="50266" operator="containsText" text="Yes">
      <formula>NOT(ISERROR(SEARCH(("Yes"),(Q380))))</formula>
    </cfRule>
  </conditionalFormatting>
  <conditionalFormatting sqref="Q380 Q383">
    <cfRule type="containsText" dxfId="2" priority="50267" operator="containsText" text="Yes">
      <formula>NOT(ISERROR(SEARCH(("Yes"),(Q380))))</formula>
    </cfRule>
  </conditionalFormatting>
  <conditionalFormatting sqref="Q380 Q383">
    <cfRule type="containsText" dxfId="2" priority="50268" operator="containsText" text="Yes">
      <formula>NOT(ISERROR(SEARCH(("Yes"),(Q380))))</formula>
    </cfRule>
  </conditionalFormatting>
  <conditionalFormatting sqref="Q380 Q383">
    <cfRule type="containsText" dxfId="2" priority="50269" operator="containsText" text="Yes">
      <formula>NOT(ISERROR(SEARCH(("Yes"),(Q380))))</formula>
    </cfRule>
  </conditionalFormatting>
  <conditionalFormatting sqref="Q380 Q383">
    <cfRule type="containsText" dxfId="2" priority="50270" operator="containsText" text="Yes">
      <formula>NOT(ISERROR(SEARCH(("Yes"),(Q380))))</formula>
    </cfRule>
  </conditionalFormatting>
  <conditionalFormatting sqref="Q380 Q383">
    <cfRule type="containsText" dxfId="2" priority="50271" operator="containsText" text="Yes">
      <formula>NOT(ISERROR(SEARCH(("Yes"),(Q380))))</formula>
    </cfRule>
  </conditionalFormatting>
  <conditionalFormatting sqref="Q380 Q383">
    <cfRule type="containsText" dxfId="2" priority="50272" operator="containsText" text="Yes">
      <formula>NOT(ISERROR(SEARCH(("Yes"),(Q380))))</formula>
    </cfRule>
  </conditionalFormatting>
  <conditionalFormatting sqref="Q380 Q383">
    <cfRule type="containsText" dxfId="2" priority="50273" operator="containsText" text="Yes">
      <formula>NOT(ISERROR(SEARCH(("Yes"),(Q380))))</formula>
    </cfRule>
  </conditionalFormatting>
  <conditionalFormatting sqref="Q380 Q383">
    <cfRule type="containsText" dxfId="2" priority="50274" operator="containsText" text="Yes">
      <formula>NOT(ISERROR(SEARCH(("Yes"),(Q380))))</formula>
    </cfRule>
  </conditionalFormatting>
  <conditionalFormatting sqref="Q380 Q383">
    <cfRule type="containsText" dxfId="2" priority="50275" operator="containsText" text="Yes">
      <formula>NOT(ISERROR(SEARCH(("Yes"),(Q380))))</formula>
    </cfRule>
  </conditionalFormatting>
  <conditionalFormatting sqref="Q380 Q383">
    <cfRule type="containsText" dxfId="2" priority="50276" operator="containsText" text="Yes">
      <formula>NOT(ISERROR(SEARCH(("Yes"),(Q380))))</formula>
    </cfRule>
  </conditionalFormatting>
  <conditionalFormatting sqref="Q380 Q383">
    <cfRule type="containsText" dxfId="2" priority="50277" operator="containsText" text="Yes">
      <formula>NOT(ISERROR(SEARCH(("Yes"),(Q380))))</formula>
    </cfRule>
  </conditionalFormatting>
  <conditionalFormatting sqref="Q380 Q383">
    <cfRule type="containsText" dxfId="2" priority="50278" operator="containsText" text="Yes">
      <formula>NOT(ISERROR(SEARCH(("Yes"),(Q380))))</formula>
    </cfRule>
  </conditionalFormatting>
  <conditionalFormatting sqref="Q380 Q383">
    <cfRule type="containsText" dxfId="2" priority="50279" operator="containsText" text="Yes">
      <formula>NOT(ISERROR(SEARCH(("Yes"),(Q380))))</formula>
    </cfRule>
  </conditionalFormatting>
  <conditionalFormatting sqref="Q380 Q383">
    <cfRule type="containsText" dxfId="2" priority="50280" operator="containsText" text="Yes">
      <formula>NOT(ISERROR(SEARCH(("Yes"),(Q380))))</formula>
    </cfRule>
  </conditionalFormatting>
  <conditionalFormatting sqref="Q380 Q383">
    <cfRule type="containsText" dxfId="2" priority="50281" operator="containsText" text="Yes">
      <formula>NOT(ISERROR(SEARCH(("Yes"),(Q380))))</formula>
    </cfRule>
  </conditionalFormatting>
  <conditionalFormatting sqref="Q380 Q383">
    <cfRule type="containsText" dxfId="2" priority="50282" operator="containsText" text="Yes">
      <formula>NOT(ISERROR(SEARCH(("Yes"),(Q380))))</formula>
    </cfRule>
  </conditionalFormatting>
  <conditionalFormatting sqref="Q380 Q383">
    <cfRule type="containsText" dxfId="2" priority="50283" operator="containsText" text="Yes">
      <formula>NOT(ISERROR(SEARCH(("Yes"),(Q380))))</formula>
    </cfRule>
  </conditionalFormatting>
  <conditionalFormatting sqref="Q380 Q383">
    <cfRule type="containsText" dxfId="2" priority="50284" operator="containsText" text="Yes">
      <formula>NOT(ISERROR(SEARCH(("Yes"),(Q380))))</formula>
    </cfRule>
  </conditionalFormatting>
  <conditionalFormatting sqref="Q380 Q383">
    <cfRule type="containsText" dxfId="2" priority="50285" operator="containsText" text="Yes">
      <formula>NOT(ISERROR(SEARCH(("Yes"),(Q380))))</formula>
    </cfRule>
  </conditionalFormatting>
  <conditionalFormatting sqref="Q380 Q383">
    <cfRule type="containsText" dxfId="2" priority="50286" operator="containsText" text="Yes">
      <formula>NOT(ISERROR(SEARCH(("Yes"),(Q380))))</formula>
    </cfRule>
  </conditionalFormatting>
  <conditionalFormatting sqref="Q380 Q383">
    <cfRule type="containsText" dxfId="2" priority="50287" operator="containsText" text="Yes">
      <formula>NOT(ISERROR(SEARCH(("Yes"),(Q380))))</formula>
    </cfRule>
  </conditionalFormatting>
  <conditionalFormatting sqref="Q380 Q383">
    <cfRule type="containsText" dxfId="2" priority="50288" operator="containsText" text="Yes">
      <formula>NOT(ISERROR(SEARCH(("Yes"),(Q380))))</formula>
    </cfRule>
  </conditionalFormatting>
  <conditionalFormatting sqref="Q380 Q383">
    <cfRule type="containsText" dxfId="2" priority="50289" operator="containsText" text="Yes">
      <formula>NOT(ISERROR(SEARCH(("Yes"),(Q380))))</formula>
    </cfRule>
  </conditionalFormatting>
  <conditionalFormatting sqref="Q380 Q383">
    <cfRule type="containsText" dxfId="2" priority="50290" operator="containsText" text="Yes">
      <formula>NOT(ISERROR(SEARCH(("Yes"),(Q380))))</formula>
    </cfRule>
  </conditionalFormatting>
  <conditionalFormatting sqref="Q380 Q383">
    <cfRule type="containsText" dxfId="2" priority="50291" operator="containsText" text="Yes">
      <formula>NOT(ISERROR(SEARCH(("Yes"),(Q380))))</formula>
    </cfRule>
  </conditionalFormatting>
  <conditionalFormatting sqref="Q380 Q383">
    <cfRule type="containsText" dxfId="2" priority="50292" operator="containsText" text="Yes">
      <formula>NOT(ISERROR(SEARCH(("Yes"),(Q380))))</formula>
    </cfRule>
  </conditionalFormatting>
  <conditionalFormatting sqref="Q380 Q383">
    <cfRule type="containsText" dxfId="2" priority="50293" operator="containsText" text="Yes">
      <formula>NOT(ISERROR(SEARCH(("Yes"),(Q380))))</formula>
    </cfRule>
  </conditionalFormatting>
  <conditionalFormatting sqref="Q380 Q383">
    <cfRule type="containsText" dxfId="2" priority="50294" operator="containsText" text="Yes">
      <formula>NOT(ISERROR(SEARCH(("Yes"),(Q380))))</formula>
    </cfRule>
  </conditionalFormatting>
  <conditionalFormatting sqref="Q380 Q383">
    <cfRule type="containsText" dxfId="2" priority="50295" operator="containsText" text="Yes">
      <formula>NOT(ISERROR(SEARCH(("Yes"),(Q380))))</formula>
    </cfRule>
  </conditionalFormatting>
  <conditionalFormatting sqref="Q380 Q383">
    <cfRule type="containsText" dxfId="2" priority="50296" operator="containsText" text="Yes">
      <formula>NOT(ISERROR(SEARCH(("Yes"),(Q380))))</formula>
    </cfRule>
  </conditionalFormatting>
  <conditionalFormatting sqref="Q380 Q383">
    <cfRule type="containsText" dxfId="2" priority="50297" operator="containsText" text="Yes">
      <formula>NOT(ISERROR(SEARCH(("Yes"),(Q380))))</formula>
    </cfRule>
  </conditionalFormatting>
  <conditionalFormatting sqref="Q380 Q383">
    <cfRule type="containsText" dxfId="2" priority="50298" operator="containsText" text="Yes">
      <formula>NOT(ISERROR(SEARCH(("Yes"),(Q380))))</formula>
    </cfRule>
  </conditionalFormatting>
  <conditionalFormatting sqref="Q380 Q383">
    <cfRule type="containsText" dxfId="2" priority="50299" operator="containsText" text="Yes">
      <formula>NOT(ISERROR(SEARCH(("Yes"),(Q380))))</formula>
    </cfRule>
  </conditionalFormatting>
  <conditionalFormatting sqref="Q380 Q383">
    <cfRule type="containsText" dxfId="2" priority="50300" operator="containsText" text="Yes">
      <formula>NOT(ISERROR(SEARCH(("Yes"),(Q380))))</formula>
    </cfRule>
  </conditionalFormatting>
  <conditionalFormatting sqref="N381:N382 N384:N385 N389:N390 N393:N396 N399:N409">
    <cfRule type="containsText" dxfId="9" priority="50301" operator="containsText" text="No">
      <formula>NOT(ISERROR(SEARCH(("No"),(N381))))</formula>
    </cfRule>
  </conditionalFormatting>
  <conditionalFormatting sqref="N381:N382 N384:N385 N389:N390 N393:N396 N399:N409">
    <cfRule type="containsText" dxfId="9" priority="50302" operator="containsText" text="No">
      <formula>NOT(ISERROR(SEARCH(("No"),(N381))))</formula>
    </cfRule>
  </conditionalFormatting>
  <conditionalFormatting sqref="N381:N382 N384:N385 N389:N390 N393:N396 N399:N409">
    <cfRule type="containsText" dxfId="9" priority="50303" operator="containsText" text="No">
      <formula>NOT(ISERROR(SEARCH(("No"),(N381))))</formula>
    </cfRule>
  </conditionalFormatting>
  <conditionalFormatting sqref="N381:N382 N384:N385 N389:N390 N393:N396 N399:N409">
    <cfRule type="containsText" dxfId="2" priority="50304" operator="containsText" text="Yes">
      <formula>NOT(ISERROR(SEARCH(("Yes"),(N381))))</formula>
    </cfRule>
  </conditionalFormatting>
  <conditionalFormatting sqref="N381:N382 N384:N385 N389:N390 N393:N396 N399:N409">
    <cfRule type="containsText" dxfId="2" priority="50305" operator="containsText" text="Yes">
      <formula>NOT(ISERROR(SEARCH(("Yes"),(N381))))</formula>
    </cfRule>
  </conditionalFormatting>
  <conditionalFormatting sqref="N381:N382 N384:N385 N389:N390 N393:N396 N399:N409">
    <cfRule type="containsText" dxfId="2" priority="50306" operator="containsText" text="Yes">
      <formula>NOT(ISERROR(SEARCH(("Yes"),(N381))))</formula>
    </cfRule>
  </conditionalFormatting>
  <conditionalFormatting sqref="N381:N382 N384:N385 N389:N390 N393:N396 N399:N409">
    <cfRule type="containsText" dxfId="2" priority="50307" operator="containsText" text="Yes">
      <formula>NOT(ISERROR(SEARCH(("Yes"),(N381))))</formula>
    </cfRule>
  </conditionalFormatting>
  <conditionalFormatting sqref="N381:N382 N384:N385 N389:N390 N393:N396 N399:N409">
    <cfRule type="containsText" dxfId="2" priority="50308" operator="containsText" text="Yes">
      <formula>NOT(ISERROR(SEARCH(("Yes"),(N381))))</formula>
    </cfRule>
  </conditionalFormatting>
  <conditionalFormatting sqref="N381:N382 N384:N385 N389:N390 N393:N396 N399:N409">
    <cfRule type="containsText" dxfId="9" priority="50309" operator="containsText" text="No">
      <formula>NOT(ISERROR(SEARCH(("No"),(N381))))</formula>
    </cfRule>
  </conditionalFormatting>
  <conditionalFormatting sqref="O381:O382 O384:O385 O389:O390 O393:O394 O396 O399:O409">
    <cfRule type="containsText" dxfId="9" priority="50310" operator="containsText" text="No">
      <formula>NOT(ISERROR(SEARCH(("No"),(O381))))</formula>
    </cfRule>
  </conditionalFormatting>
  <conditionalFormatting sqref="O381:O382 O384:O385 O389:O390 O393:O394 O396 O399:O409">
    <cfRule type="containsText" dxfId="9" priority="50311" operator="containsText" text="No">
      <formula>NOT(ISERROR(SEARCH(("No"),(O381))))</formula>
    </cfRule>
  </conditionalFormatting>
  <conditionalFormatting sqref="O381:O382 O384:O385 O389:O390 O393:O394 O396 O399:O409">
    <cfRule type="containsText" dxfId="9" priority="50312" operator="containsText" text="No">
      <formula>NOT(ISERROR(SEARCH(("No"),(O381))))</formula>
    </cfRule>
  </conditionalFormatting>
  <conditionalFormatting sqref="O381:O382 O384:O385 O389:O390 O393:O394 O396 O399:O409">
    <cfRule type="containsText" dxfId="2" priority="50313" operator="containsText" text="Yes">
      <formula>NOT(ISERROR(SEARCH(("Yes"),(O381))))</formula>
    </cfRule>
  </conditionalFormatting>
  <conditionalFormatting sqref="O381:O382 O384:O385 O389:O390 O393:O394 O396 O399:O409">
    <cfRule type="containsText" dxfId="2" priority="50314" operator="containsText" text="Yes">
      <formula>NOT(ISERROR(SEARCH(("Yes"),(O381))))</formula>
    </cfRule>
  </conditionalFormatting>
  <conditionalFormatting sqref="O381:O382 O384:O385 O389:O390 O393:O394 O396 O399:O409">
    <cfRule type="containsText" dxfId="2" priority="50315" operator="containsText" text="Yes">
      <formula>NOT(ISERROR(SEARCH(("Yes"),(O381))))</formula>
    </cfRule>
  </conditionalFormatting>
  <conditionalFormatting sqref="O381:O382 O384:O385 O389:O390 O393:O394 O396 O399:O409">
    <cfRule type="containsText" dxfId="2" priority="50316" operator="containsText" text="Yes">
      <formula>NOT(ISERROR(SEARCH(("Yes"),(O381))))</formula>
    </cfRule>
  </conditionalFormatting>
  <conditionalFormatting sqref="O381:O382 O384:O385 O389:O390 O393:O394 O396 O399:O409">
    <cfRule type="containsText" dxfId="2" priority="50317" operator="containsText" text="Yes">
      <formula>NOT(ISERROR(SEARCH(("Yes"),(O381))))</formula>
    </cfRule>
  </conditionalFormatting>
  <conditionalFormatting sqref="O381:O382 O384:O385 O389:O390 O393:O394 O396 O399:O409">
    <cfRule type="containsText" dxfId="9" priority="50318" operator="containsText" text="No">
      <formula>NOT(ISERROR(SEARCH(("No"),(O381))))</formula>
    </cfRule>
  </conditionalFormatting>
  <conditionalFormatting sqref="O381:O382 O384:O385 O389:O390 O393:O394 O396 O399:O409">
    <cfRule type="containsText" dxfId="9" priority="50319" operator="containsText" text="No">
      <formula>NOT(ISERROR(SEARCH(("No"),(O381))))</formula>
    </cfRule>
  </conditionalFormatting>
  <conditionalFormatting sqref="O381:O382 O384:O385 O389:O390 O393:O394 O396 O399:O409">
    <cfRule type="containsText" dxfId="2" priority="50320" operator="containsText" text="Yes">
      <formula>NOT(ISERROR(SEARCH(("Yes"),(O381))))</formula>
    </cfRule>
  </conditionalFormatting>
  <conditionalFormatting sqref="P381:Q382 P384:Q385 P389:Q390 P393:Q394 P396:Q396 P399:Q409">
    <cfRule type="containsText" dxfId="9" priority="50321" operator="containsText" text="No">
      <formula>NOT(ISERROR(SEARCH(("No"),(P381))))</formula>
    </cfRule>
  </conditionalFormatting>
  <conditionalFormatting sqref="P381:Q382 P384:Q385 P389:Q390 P393:Q394 P396:Q396 P399:Q409">
    <cfRule type="containsText" dxfId="9" priority="50322" operator="containsText" text="No">
      <formula>NOT(ISERROR(SEARCH(("No"),(P381))))</formula>
    </cfRule>
  </conditionalFormatting>
  <conditionalFormatting sqref="P381:Q382 P384:Q385 P389:Q390 P393:Q394 P396:Q396 P399:Q409">
    <cfRule type="containsText" dxfId="9" priority="50323" operator="containsText" text="No">
      <formula>NOT(ISERROR(SEARCH(("No"),(P381))))</formula>
    </cfRule>
  </conditionalFormatting>
  <conditionalFormatting sqref="P381:Q382 P384:Q385 P389:Q390 P393:Q394 P396:Q396 P399:Q409">
    <cfRule type="containsText" dxfId="9" priority="50324" operator="containsText" text="No">
      <formula>NOT(ISERROR(SEARCH(("No"),(P381))))</formula>
    </cfRule>
  </conditionalFormatting>
  <conditionalFormatting sqref="P381:Q382 P384:Q385 P389:Q390 P393:Q394 P396:Q396 P399:Q409">
    <cfRule type="containsText" dxfId="9" priority="50325" operator="containsText" text="No">
      <formula>NOT(ISERROR(SEARCH(("No"),(P381))))</formula>
    </cfRule>
  </conditionalFormatting>
  <conditionalFormatting sqref="P381:Q382 P384:Q385 P389:Q390 P393:Q394 P396:Q396 P399:Q409">
    <cfRule type="containsText" dxfId="9" priority="50326" operator="containsText" text="No">
      <formula>NOT(ISERROR(SEARCH(("No"),(P381))))</formula>
    </cfRule>
  </conditionalFormatting>
  <conditionalFormatting sqref="P381:Q382 P384:Q385 P389:Q390 P393:Q394 P396:Q396 P399:Q409">
    <cfRule type="containsText" dxfId="9" priority="50327" operator="containsText" text="No">
      <formula>NOT(ISERROR(SEARCH(("No"),(P381))))</formula>
    </cfRule>
  </conditionalFormatting>
  <conditionalFormatting sqref="P381:Q382 P384:Q385 P389:Q390 P393:Q394 P396:Q396 P399:Q409">
    <cfRule type="containsText" dxfId="9" priority="50328" operator="containsText" text="No">
      <formula>NOT(ISERROR(SEARCH(("No"),(P381))))</formula>
    </cfRule>
  </conditionalFormatting>
  <conditionalFormatting sqref="P381:Q382 P384:Q385 P389:Q390 P393:Q394 P396:Q396 P399:Q409">
    <cfRule type="containsText" dxfId="9" priority="50329" operator="containsText" text="No">
      <formula>NOT(ISERROR(SEARCH(("No"),(P381))))</formula>
    </cfRule>
  </conditionalFormatting>
  <conditionalFormatting sqref="P381:Q382 P384:Q385 P389:Q390 P393:Q394 P396:Q396 P399:Q409">
    <cfRule type="containsText" dxfId="9" priority="50330" operator="containsText" text="No">
      <formula>NOT(ISERROR(SEARCH(("No"),(P381))))</formula>
    </cfRule>
  </conditionalFormatting>
  <conditionalFormatting sqref="P381:Q382 P384:Q385 P389:Q390 P393:Q394 P396:Q396 P399:Q409">
    <cfRule type="containsText" dxfId="9" priority="50331" operator="containsText" text="No">
      <formula>NOT(ISERROR(SEARCH(("No"),(P381))))</formula>
    </cfRule>
  </conditionalFormatting>
  <conditionalFormatting sqref="P381:Q382 P384:Q385 P389:Q390 P393:Q394 P396:Q396 P399:Q409">
    <cfRule type="containsText" dxfId="9" priority="50332" operator="containsText" text="No">
      <formula>NOT(ISERROR(SEARCH(("No"),(P381))))</formula>
    </cfRule>
  </conditionalFormatting>
  <conditionalFormatting sqref="P381:Q382 P384:Q385 P389:Q390 P393:Q394 P396:Q396 P399:Q409">
    <cfRule type="containsText" dxfId="9" priority="50333" operator="containsText" text="No">
      <formula>NOT(ISERROR(SEARCH(("No"),(P381))))</formula>
    </cfRule>
  </conditionalFormatting>
  <conditionalFormatting sqref="P381:Q382 P384:Q385 P389:Q390 P393:Q394 P396:Q396 P399:Q409">
    <cfRule type="containsText" dxfId="9" priority="50334" operator="containsText" text="No">
      <formula>NOT(ISERROR(SEARCH(("No"),(P381))))</formula>
    </cfRule>
  </conditionalFormatting>
  <conditionalFormatting sqref="P381:Q382 P384:Q385 P389:Q390 P393:Q394 P396:Q396 P399:Q409">
    <cfRule type="containsText" dxfId="9" priority="50335" operator="containsText" text="No">
      <formula>NOT(ISERROR(SEARCH(("No"),(P381))))</formula>
    </cfRule>
  </conditionalFormatting>
  <conditionalFormatting sqref="P381:Q382 P384:Q385 P389:Q390 P393:Q394 P396:Q396 P399:Q409">
    <cfRule type="containsText" dxfId="9" priority="50336" operator="containsText" text="No">
      <formula>NOT(ISERROR(SEARCH(("No"),(P381))))</formula>
    </cfRule>
  </conditionalFormatting>
  <conditionalFormatting sqref="P381:Q382 P384:Q385 P389:Q390 P393:Q394 P396:Q396 P399:Q409">
    <cfRule type="containsText" dxfId="9" priority="50337" operator="containsText" text="No">
      <formula>NOT(ISERROR(SEARCH(("No"),(P381))))</formula>
    </cfRule>
  </conditionalFormatting>
  <conditionalFormatting sqref="P381:Q382 P384:Q385 P389:Q390 P393:Q394 P396:Q396 P399:Q409">
    <cfRule type="containsText" dxfId="9" priority="50338" operator="containsText" text="No">
      <formula>NOT(ISERROR(SEARCH(("No"),(P381))))</formula>
    </cfRule>
  </conditionalFormatting>
  <conditionalFormatting sqref="P381:Q382 P384:Q385 P389:Q390 P393:Q394 P396:Q396 P399:Q409">
    <cfRule type="containsText" dxfId="9" priority="50339" operator="containsText" text="No">
      <formula>NOT(ISERROR(SEARCH(("No"),(P381))))</formula>
    </cfRule>
  </conditionalFormatting>
  <conditionalFormatting sqref="P381:Q382 P384:Q385 P389:Q390 P393:Q394 P396:Q396 P399:Q409">
    <cfRule type="containsText" dxfId="9" priority="50340" operator="containsText" text="No">
      <formula>NOT(ISERROR(SEARCH(("No"),(P381))))</formula>
    </cfRule>
  </conditionalFormatting>
  <conditionalFormatting sqref="P381:Q382 P384:Q385 P389:Q390 P393:Q394 P396:Q396 P399:Q409">
    <cfRule type="containsText" dxfId="9" priority="50341" operator="containsText" text="No">
      <formula>NOT(ISERROR(SEARCH(("No"),(P381))))</formula>
    </cfRule>
  </conditionalFormatting>
  <conditionalFormatting sqref="P381:Q382 P384:Q385 P389:Q390 P393:Q394 P396:Q396 P399:Q409">
    <cfRule type="containsText" dxfId="9" priority="50342" operator="containsText" text="No">
      <formula>NOT(ISERROR(SEARCH(("No"),(P381))))</formula>
    </cfRule>
  </conditionalFormatting>
  <conditionalFormatting sqref="P381:Q382 P384:Q385 P389:Q390 P393:Q394 P396:Q396 P399:Q409">
    <cfRule type="containsText" dxfId="9" priority="50343" operator="containsText" text="No">
      <formula>NOT(ISERROR(SEARCH(("No"),(P381))))</formula>
    </cfRule>
  </conditionalFormatting>
  <conditionalFormatting sqref="P381:Q382 P384:Q385 P389:Q390 P393:Q394 P396:Q396 P399:Q409">
    <cfRule type="containsText" dxfId="9" priority="50344" operator="containsText" text="No">
      <formula>NOT(ISERROR(SEARCH(("No"),(P381))))</formula>
    </cfRule>
  </conditionalFormatting>
  <conditionalFormatting sqref="P381:Q382 P384:Q385 P389:Q390 P393:Q394 P396:Q396 P399:Q409">
    <cfRule type="containsText" dxfId="9" priority="50345" operator="containsText" text="No">
      <formula>NOT(ISERROR(SEARCH(("No"),(P381))))</formula>
    </cfRule>
  </conditionalFormatting>
  <conditionalFormatting sqref="P381:Q382 P384:Q385 P389:Q390 P393:Q394 P396:Q396 P399:Q409">
    <cfRule type="containsText" dxfId="9" priority="50346" operator="containsText" text="No">
      <formula>NOT(ISERROR(SEARCH(("No"),(P381))))</formula>
    </cfRule>
  </conditionalFormatting>
  <conditionalFormatting sqref="P381:Q382 P384:Q385 P389:Q390 P393:Q394 P396:Q396 P399:Q409">
    <cfRule type="containsText" dxfId="9" priority="50347" operator="containsText" text="No">
      <formula>NOT(ISERROR(SEARCH(("No"),(P381))))</formula>
    </cfRule>
  </conditionalFormatting>
  <conditionalFormatting sqref="P381:Q382 P384:Q385 P389:Q390 P393:Q394 P396:Q396 P399:Q409">
    <cfRule type="containsText" dxfId="9" priority="50348" operator="containsText" text="No">
      <formula>NOT(ISERROR(SEARCH(("No"),(P381))))</formula>
    </cfRule>
  </conditionalFormatting>
  <conditionalFormatting sqref="P381:Q382 P384:Q385 P389:Q390 P393:Q394 P396:Q396 P399:Q409">
    <cfRule type="containsText" dxfId="9" priority="50349" operator="containsText" text="No">
      <formula>NOT(ISERROR(SEARCH(("No"),(P381))))</formula>
    </cfRule>
  </conditionalFormatting>
  <conditionalFormatting sqref="P381:Q382 P384:Q385 P389:Q390 P393:Q394 P396:Q396 P399:Q409">
    <cfRule type="containsText" dxfId="9" priority="50350" operator="containsText" text="No">
      <formula>NOT(ISERROR(SEARCH(("No"),(P381))))</formula>
    </cfRule>
  </conditionalFormatting>
  <conditionalFormatting sqref="P381:Q382 P384:Q385 P389:Q390 P393:Q394 P396:Q396 P399:Q409">
    <cfRule type="containsText" dxfId="9" priority="50351" operator="containsText" text="No">
      <formula>NOT(ISERROR(SEARCH(("No"),(P381))))</formula>
    </cfRule>
  </conditionalFormatting>
  <conditionalFormatting sqref="P381:Q382 P384:Q385 P389:Q390 P393:Q394 P396:Q396 P399:Q409">
    <cfRule type="containsText" dxfId="9" priority="50352" operator="containsText" text="No">
      <formula>NOT(ISERROR(SEARCH(("No"),(P381))))</formula>
    </cfRule>
  </conditionalFormatting>
  <conditionalFormatting sqref="P381:Q382 P384:Q385 P389:Q390 P393:Q394 P396:Q396 P399:Q409">
    <cfRule type="containsText" dxfId="9" priority="50353" operator="containsText" text="No">
      <formula>NOT(ISERROR(SEARCH(("No"),(P381))))</formula>
    </cfRule>
  </conditionalFormatting>
  <conditionalFormatting sqref="P381:Q382 P384:Q385 P389:Q390 P393:Q394 P396:Q396 P399:Q409">
    <cfRule type="containsText" dxfId="9" priority="50354" operator="containsText" text="No">
      <formula>NOT(ISERROR(SEARCH(("No"),(P381))))</formula>
    </cfRule>
  </conditionalFormatting>
  <conditionalFormatting sqref="P381:Q382 P384:Q385 P389:Q390 P393:Q394 P396:Q396 P399:Q409">
    <cfRule type="containsText" dxfId="9" priority="50355" operator="containsText" text="No">
      <formula>NOT(ISERROR(SEARCH(("No"),(P381))))</formula>
    </cfRule>
  </conditionalFormatting>
  <conditionalFormatting sqref="P381:Q382 P384:Q385 P389:Q390 P393:Q394 P396:Q396 P399:Q409">
    <cfRule type="containsText" dxfId="9" priority="50356" operator="containsText" text="No">
      <formula>NOT(ISERROR(SEARCH(("No"),(P381))))</formula>
    </cfRule>
  </conditionalFormatting>
  <conditionalFormatting sqref="P381:Q382 P384:Q385 P389:Q390 P393:Q394 P396:Q396 P399:Q409">
    <cfRule type="containsText" dxfId="9" priority="50357" operator="containsText" text="No">
      <formula>NOT(ISERROR(SEARCH(("No"),(P381))))</formula>
    </cfRule>
  </conditionalFormatting>
  <conditionalFormatting sqref="P381:Q382 P384:Q385 P389:Q390 P393:Q394 P396:Q396 P399:Q409">
    <cfRule type="containsText" dxfId="9" priority="50358" operator="containsText" text="No">
      <formula>NOT(ISERROR(SEARCH(("No"),(P381))))</formula>
    </cfRule>
  </conditionalFormatting>
  <conditionalFormatting sqref="P381:Q382 P384:Q385 P389:Q390 P393:Q394 P396:Q396 P399:Q409">
    <cfRule type="containsText" dxfId="9" priority="50359" operator="containsText" text="No">
      <formula>NOT(ISERROR(SEARCH(("No"),(P381))))</formula>
    </cfRule>
  </conditionalFormatting>
  <conditionalFormatting sqref="P381:Q382 P384:Q385 P389:Q390 P393:Q394 P396:Q396 P399:Q409">
    <cfRule type="containsText" dxfId="9" priority="50360" operator="containsText" text="No">
      <formula>NOT(ISERROR(SEARCH(("No"),(P381))))</formula>
    </cfRule>
  </conditionalFormatting>
  <conditionalFormatting sqref="P381:Q382 P384:Q385 P389:Q390 P393:Q394 P396:Q396 P399:Q409">
    <cfRule type="containsText" dxfId="9" priority="50361" operator="containsText" text="No">
      <formula>NOT(ISERROR(SEARCH(("No"),(P381))))</formula>
    </cfRule>
  </conditionalFormatting>
  <conditionalFormatting sqref="P381:Q382 P384:Q385 P389:Q390 P393:Q394 P396:Q396 P399:Q409">
    <cfRule type="containsText" dxfId="9" priority="50362" operator="containsText" text="No">
      <formula>NOT(ISERROR(SEARCH(("No"),(P381))))</formula>
    </cfRule>
  </conditionalFormatting>
  <conditionalFormatting sqref="P381:Q382 P384:Q385 P389:Q390 P393:Q394 P396:Q396 P399:Q409">
    <cfRule type="containsText" dxfId="9" priority="50363" operator="containsText" text="No">
      <formula>NOT(ISERROR(SEARCH(("No"),(P381))))</formula>
    </cfRule>
  </conditionalFormatting>
  <conditionalFormatting sqref="P381:Q382 P384:Q385 P389:Q390 P393:Q394 P396:Q396 P399:Q409">
    <cfRule type="containsText" dxfId="9" priority="50364" operator="containsText" text="No">
      <formula>NOT(ISERROR(SEARCH(("No"),(P381))))</formula>
    </cfRule>
  </conditionalFormatting>
  <conditionalFormatting sqref="P381:Q382 P384:Q385 P389:Q390 P393:Q394 P396:Q396 P399:Q409">
    <cfRule type="containsText" dxfId="9" priority="50365" operator="containsText" text="No">
      <formula>NOT(ISERROR(SEARCH(("No"),(P381))))</formula>
    </cfRule>
  </conditionalFormatting>
  <conditionalFormatting sqref="P381:Q382 P384:Q385 P389:Q390 P393:Q394 P396:Q396 P399:Q409">
    <cfRule type="containsText" dxfId="2" priority="50366" operator="containsText" text="Yes">
      <formula>NOT(ISERROR(SEARCH(("Yes"),(P381))))</formula>
    </cfRule>
  </conditionalFormatting>
  <conditionalFormatting sqref="P381:Q382 P384:Q385 P389:Q390 P393:Q394 P396:Q396 P399:Q409">
    <cfRule type="containsText" dxfId="2" priority="50367" operator="containsText" text="Yes">
      <formula>NOT(ISERROR(SEARCH(("Yes"),(P381))))</formula>
    </cfRule>
  </conditionalFormatting>
  <conditionalFormatting sqref="P381:Q382 P384:Q385 P389:Q390 P393:Q394 P396:Q396 P399:Q409">
    <cfRule type="containsText" dxfId="2" priority="50368" operator="containsText" text="Yes">
      <formula>NOT(ISERROR(SEARCH(("Yes"),(P381))))</formula>
    </cfRule>
  </conditionalFormatting>
  <conditionalFormatting sqref="P381:Q382 P384:Q385 P389:Q390 P393:Q394 P396:Q396 P399:Q409">
    <cfRule type="containsText" dxfId="2" priority="50369" operator="containsText" text="Yes">
      <formula>NOT(ISERROR(SEARCH(("Yes"),(P381))))</formula>
    </cfRule>
  </conditionalFormatting>
  <conditionalFormatting sqref="P381:Q382 P384:Q385 P389:Q390 P393:Q394 P396:Q396 P399:Q409">
    <cfRule type="containsText" dxfId="2" priority="50370" operator="containsText" text="Yes">
      <formula>NOT(ISERROR(SEARCH(("Yes"),(P381))))</formula>
    </cfRule>
  </conditionalFormatting>
  <conditionalFormatting sqref="P381:Q382 P384:Q385 P389:Q390 P393:Q394 P396:Q396 P399:Q409">
    <cfRule type="containsText" dxfId="2" priority="50371" operator="containsText" text="Yes">
      <formula>NOT(ISERROR(SEARCH(("Yes"),(P381))))</formula>
    </cfRule>
  </conditionalFormatting>
  <conditionalFormatting sqref="P381:Q382 P384:Q385 P389:Q390 P393:Q394 P396:Q396 P399:Q409">
    <cfRule type="containsText" dxfId="2" priority="50372" operator="containsText" text="Yes">
      <formula>NOT(ISERROR(SEARCH(("Yes"),(P381))))</formula>
    </cfRule>
  </conditionalFormatting>
  <conditionalFormatting sqref="P381:Q382 P384:Q385 P389:Q390 P393:Q394 P396:Q396 P399:Q409">
    <cfRule type="containsText" dxfId="2" priority="50373" operator="containsText" text="Yes">
      <formula>NOT(ISERROR(SEARCH(("Yes"),(P381))))</formula>
    </cfRule>
  </conditionalFormatting>
  <conditionalFormatting sqref="P381:Q382 P384:Q385 P389:Q390 P393:Q394 P396:Q396 P399:Q409">
    <cfRule type="containsText" dxfId="2" priority="50374" operator="containsText" text="Yes">
      <formula>NOT(ISERROR(SEARCH(("Yes"),(P381))))</formula>
    </cfRule>
  </conditionalFormatting>
  <conditionalFormatting sqref="P381:Q382 P384:Q385 P389:Q390 P393:Q394 P396:Q396 P399:Q409">
    <cfRule type="containsText" dxfId="2" priority="50375" operator="containsText" text="Yes">
      <formula>NOT(ISERROR(SEARCH(("Yes"),(P381))))</formula>
    </cfRule>
  </conditionalFormatting>
  <conditionalFormatting sqref="P381:Q382 P384:Q385 P389:Q390 P393:Q394 P396:Q396 P399:Q409">
    <cfRule type="containsText" dxfId="2" priority="50376" operator="containsText" text="Yes">
      <formula>NOT(ISERROR(SEARCH(("Yes"),(P381))))</formula>
    </cfRule>
  </conditionalFormatting>
  <conditionalFormatting sqref="P381:Q382 P384:Q385 P389:Q390 P393:Q394 P396:Q396 P399:Q409">
    <cfRule type="containsText" dxfId="2" priority="50377" operator="containsText" text="Yes">
      <formula>NOT(ISERROR(SEARCH(("Yes"),(P381))))</formula>
    </cfRule>
  </conditionalFormatting>
  <conditionalFormatting sqref="P381:Q382 P384:Q385 P389:Q390 P393:Q394 P396:Q396 P399:Q409">
    <cfRule type="containsText" dxfId="2" priority="50378" operator="containsText" text="Yes">
      <formula>NOT(ISERROR(SEARCH(("Yes"),(P381))))</formula>
    </cfRule>
  </conditionalFormatting>
  <conditionalFormatting sqref="P381:Q382 P384:Q385 P389:Q390 P393:Q394 P396:Q396 P399:Q409">
    <cfRule type="containsText" dxfId="2" priority="50379" operator="containsText" text="Yes">
      <formula>NOT(ISERROR(SEARCH(("Yes"),(P381))))</formula>
    </cfRule>
  </conditionalFormatting>
  <conditionalFormatting sqref="P381:Q382 P384:Q385 P389:Q390 P393:Q394 P396:Q396 P399:Q409">
    <cfRule type="containsText" dxfId="2" priority="50380" operator="containsText" text="Yes">
      <formula>NOT(ISERROR(SEARCH(("Yes"),(P381))))</formula>
    </cfRule>
  </conditionalFormatting>
  <conditionalFormatting sqref="P381:Q382 P384:Q385 P389:Q390 P393:Q394 P396:Q396 P399:Q409">
    <cfRule type="containsText" dxfId="2" priority="50381" operator="containsText" text="Yes">
      <formula>NOT(ISERROR(SEARCH(("Yes"),(P381))))</formula>
    </cfRule>
  </conditionalFormatting>
  <conditionalFormatting sqref="P381:Q382 P384:Q385 P389:Q390 P393:Q394 P396:Q396 P399:Q409">
    <cfRule type="containsText" dxfId="2" priority="50382" operator="containsText" text="Yes">
      <formula>NOT(ISERROR(SEARCH(("Yes"),(P381))))</formula>
    </cfRule>
  </conditionalFormatting>
  <conditionalFormatting sqref="P381:Q382 P384:Q385 P389:Q390 P393:Q394 P396:Q396 P399:Q409">
    <cfRule type="containsText" dxfId="2" priority="50383" operator="containsText" text="Yes">
      <formula>NOT(ISERROR(SEARCH(("Yes"),(P381))))</formula>
    </cfRule>
  </conditionalFormatting>
  <conditionalFormatting sqref="P381:Q382 P384:Q385 P389:Q390 P393:Q394 P396:Q396 P399:Q409">
    <cfRule type="containsText" dxfId="2" priority="50384" operator="containsText" text="Yes">
      <formula>NOT(ISERROR(SEARCH(("Yes"),(P381))))</formula>
    </cfRule>
  </conditionalFormatting>
  <conditionalFormatting sqref="P381:Q382 P384:Q385 P389:Q390 P393:Q394 P396:Q396 P399:Q409">
    <cfRule type="containsText" dxfId="2" priority="50385" operator="containsText" text="Yes">
      <formula>NOT(ISERROR(SEARCH(("Yes"),(P381))))</formula>
    </cfRule>
  </conditionalFormatting>
  <conditionalFormatting sqref="P381:Q382 P384:Q385 P389:Q390 P393:Q394 P396:Q396 P399:Q409">
    <cfRule type="containsText" dxfId="2" priority="50386" operator="containsText" text="Yes">
      <formula>NOT(ISERROR(SEARCH(("Yes"),(P381))))</formula>
    </cfRule>
  </conditionalFormatting>
  <conditionalFormatting sqref="P381:Q382 P384:Q385 P389:Q390 P393:Q394 P396:Q396 P399:Q409">
    <cfRule type="containsText" dxfId="2" priority="50387" operator="containsText" text="Yes">
      <formula>NOT(ISERROR(SEARCH(("Yes"),(P381))))</formula>
    </cfRule>
  </conditionalFormatting>
  <conditionalFormatting sqref="P381:Q382 P384:Q385 P389:Q390 P393:Q394 P396:Q396 P399:Q409">
    <cfRule type="containsText" dxfId="2" priority="50388" operator="containsText" text="Yes">
      <formula>NOT(ISERROR(SEARCH(("Yes"),(P381))))</formula>
    </cfRule>
  </conditionalFormatting>
  <conditionalFormatting sqref="P381:Q382 P384:Q385 P389:Q390 P393:Q394 P396:Q396 P399:Q409">
    <cfRule type="containsText" dxfId="2" priority="50389" operator="containsText" text="Yes">
      <formula>NOT(ISERROR(SEARCH(("Yes"),(P381))))</formula>
    </cfRule>
  </conditionalFormatting>
  <conditionalFormatting sqref="P381:Q382 P384:Q385 P389:Q390 P393:Q394 P396:Q396 P399:Q409">
    <cfRule type="containsText" dxfId="2" priority="50390" operator="containsText" text="Yes">
      <formula>NOT(ISERROR(SEARCH(("Yes"),(P381))))</formula>
    </cfRule>
  </conditionalFormatting>
  <conditionalFormatting sqref="P381:Q382 P384:Q385 P389:Q390 P393:Q394 P396:Q396 P399:Q409">
    <cfRule type="containsText" dxfId="2" priority="50391" operator="containsText" text="Yes">
      <formula>NOT(ISERROR(SEARCH(("Yes"),(P381))))</formula>
    </cfRule>
  </conditionalFormatting>
  <conditionalFormatting sqref="P381:Q382 P384:Q385 P389:Q390 P393:Q394 P396:Q396 P399:Q409">
    <cfRule type="containsText" dxfId="2" priority="50392" operator="containsText" text="Yes">
      <formula>NOT(ISERROR(SEARCH(("Yes"),(P381))))</formula>
    </cfRule>
  </conditionalFormatting>
  <conditionalFormatting sqref="P381:Q382 P384:Q385 P389:Q390 P393:Q394 P396:Q396 P399:Q409">
    <cfRule type="containsText" dxfId="2" priority="50393" operator="containsText" text="Yes">
      <formula>NOT(ISERROR(SEARCH(("Yes"),(P381))))</formula>
    </cfRule>
  </conditionalFormatting>
  <conditionalFormatting sqref="P381:Q382 P384:Q385 P389:Q390 P393:Q394 P396:Q396 P399:Q409">
    <cfRule type="containsText" dxfId="2" priority="50394" operator="containsText" text="Yes">
      <formula>NOT(ISERROR(SEARCH(("Yes"),(P381))))</formula>
    </cfRule>
  </conditionalFormatting>
  <conditionalFormatting sqref="P381:Q382 P384:Q385 P389:Q390 P393:Q394 P396:Q396 P399:Q409">
    <cfRule type="containsText" dxfId="2" priority="50395" operator="containsText" text="Yes">
      <formula>NOT(ISERROR(SEARCH(("Yes"),(P381))))</formula>
    </cfRule>
  </conditionalFormatting>
  <conditionalFormatting sqref="P381:Q382 P384:Q385 P389:Q390 P393:Q394 P396:Q396 P399:Q409">
    <cfRule type="containsText" dxfId="2" priority="50396" operator="containsText" text="Yes">
      <formula>NOT(ISERROR(SEARCH(("Yes"),(P381))))</formula>
    </cfRule>
  </conditionalFormatting>
  <conditionalFormatting sqref="P381:Q382 P384:Q385 P389:Q390 P393:Q394 P396:Q396 P399:Q409">
    <cfRule type="containsText" dxfId="2" priority="50397" operator="containsText" text="Yes">
      <formula>NOT(ISERROR(SEARCH(("Yes"),(P381))))</formula>
    </cfRule>
  </conditionalFormatting>
  <conditionalFormatting sqref="P381:Q382 P384:Q385 P389:Q390 P393:Q394 P396:Q396 P399:Q409">
    <cfRule type="containsText" dxfId="2" priority="50398" operator="containsText" text="Yes">
      <formula>NOT(ISERROR(SEARCH(("Yes"),(P381))))</formula>
    </cfRule>
  </conditionalFormatting>
  <conditionalFormatting sqref="P381:Q382 P384:Q385 P389:Q390 P393:Q394 P396:Q396 P399:Q409">
    <cfRule type="containsText" dxfId="2" priority="50399" operator="containsText" text="Yes">
      <formula>NOT(ISERROR(SEARCH(("Yes"),(P381))))</formula>
    </cfRule>
  </conditionalFormatting>
  <conditionalFormatting sqref="P381:Q382 P384:Q385 P389:Q390 P393:Q394 P396:Q396 P399:Q409">
    <cfRule type="containsText" dxfId="2" priority="50400" operator="containsText" text="Yes">
      <formula>NOT(ISERROR(SEARCH(("Yes"),(P381))))</formula>
    </cfRule>
  </conditionalFormatting>
  <conditionalFormatting sqref="P381:Q382 P384:Q385 P389:Q390 P393:Q394 P396:Q396 P399:Q409">
    <cfRule type="containsText" dxfId="2" priority="50401" operator="containsText" text="Yes">
      <formula>NOT(ISERROR(SEARCH(("Yes"),(P381))))</formula>
    </cfRule>
  </conditionalFormatting>
  <conditionalFormatting sqref="P381:Q382 P384:Q385 P389:Q390 P393:Q394 P396:Q396 P399:Q409">
    <cfRule type="containsText" dxfId="2" priority="50402" operator="containsText" text="Yes">
      <formula>NOT(ISERROR(SEARCH(("Yes"),(P381))))</formula>
    </cfRule>
  </conditionalFormatting>
  <conditionalFormatting sqref="P381:Q382 P384:Q385 P389:Q390 P393:Q394 P396:Q396 P399:Q409">
    <cfRule type="containsText" dxfId="2" priority="50403" operator="containsText" text="Yes">
      <formula>NOT(ISERROR(SEARCH(("Yes"),(P381))))</formula>
    </cfRule>
  </conditionalFormatting>
  <conditionalFormatting sqref="P381:Q382 P384:Q385 P389:Q390 P393:Q394 P396:Q396 P399:Q409">
    <cfRule type="containsText" dxfId="2" priority="50404" operator="containsText" text="Yes">
      <formula>NOT(ISERROR(SEARCH(("Yes"),(P381))))</formula>
    </cfRule>
  </conditionalFormatting>
  <conditionalFormatting sqref="P381:Q382 P384:Q385 P389:Q390 P393:Q394 P396:Q396 P399:Q409">
    <cfRule type="containsText" dxfId="2" priority="50405" operator="containsText" text="Yes">
      <formula>NOT(ISERROR(SEARCH(("Yes"),(P381))))</formula>
    </cfRule>
  </conditionalFormatting>
  <conditionalFormatting sqref="P381:Q382 P384:Q385 P389:Q390 P393:Q394 P396:Q396 P399:Q409">
    <cfRule type="containsText" dxfId="2" priority="50406" operator="containsText" text="Yes">
      <formula>NOT(ISERROR(SEARCH(("Yes"),(P381))))</formula>
    </cfRule>
  </conditionalFormatting>
  <conditionalFormatting sqref="P381:Q382 P384:Q385 P389:Q390 P393:Q394 P396:Q396 P399:Q409">
    <cfRule type="containsText" dxfId="2" priority="50407" operator="containsText" text="Yes">
      <formula>NOT(ISERROR(SEARCH(("Yes"),(P381))))</formula>
    </cfRule>
  </conditionalFormatting>
  <conditionalFormatting sqref="P381:Q382 P384:Q385 P389:Q390 P393:Q394 P396:Q396 P399:Q409">
    <cfRule type="containsText" dxfId="2" priority="50408" operator="containsText" text="Yes">
      <formula>NOT(ISERROR(SEARCH(("Yes"),(P381))))</formula>
    </cfRule>
  </conditionalFormatting>
  <conditionalFormatting sqref="P381:Q382 P384:Q385 P389:Q390 P393:Q394 P396:Q396 P399:Q409">
    <cfRule type="containsText" dxfId="2" priority="50409" operator="containsText" text="Yes">
      <formula>NOT(ISERROR(SEARCH(("Yes"),(P381))))</formula>
    </cfRule>
  </conditionalFormatting>
  <conditionalFormatting sqref="P381:Q382 P384:Q385 P389:Q390 P393:Q394 P396:Q396 P399:Q409">
    <cfRule type="containsText" dxfId="2" priority="50410" operator="containsText" text="Yes">
      <formula>NOT(ISERROR(SEARCH(("Yes"),(P381))))</formula>
    </cfRule>
  </conditionalFormatting>
  <conditionalFormatting sqref="P381:Q382 P384:Q385 P389:Q390 P393:Q394 P396:Q396 P399:Q409">
    <cfRule type="containsText" dxfId="2" priority="50411" operator="containsText" text="Yes">
      <formula>NOT(ISERROR(SEARCH(("Yes"),(P381))))</formula>
    </cfRule>
  </conditionalFormatting>
  <conditionalFormatting sqref="P381:Q382 P384:Q385 P389:Q390 P393:Q394 P396:Q396 P399:Q409">
    <cfRule type="containsText" dxfId="2" priority="50412" operator="containsText" text="Yes">
      <formula>NOT(ISERROR(SEARCH(("Yes"),(P381))))</formula>
    </cfRule>
  </conditionalFormatting>
  <conditionalFormatting sqref="N382 N384:N385 N389:N390 N393:N396 N399:N409">
    <cfRule type="containsText" dxfId="9" priority="50413" operator="containsText" text="No">
      <formula>NOT(ISERROR(SEARCH(("No"),(N382))))</formula>
    </cfRule>
  </conditionalFormatting>
  <conditionalFormatting sqref="N382 N384:N385 N389:N390 N393:N396 N399:N409">
    <cfRule type="containsText" dxfId="9" priority="50414" operator="containsText" text="No">
      <formula>NOT(ISERROR(SEARCH(("No"),(N382))))</formula>
    </cfRule>
  </conditionalFormatting>
  <conditionalFormatting sqref="N382 N384:N385 N389:N390 N393:N396 N399:N409">
    <cfRule type="containsText" dxfId="9" priority="50415" operator="containsText" text="No">
      <formula>NOT(ISERROR(SEARCH(("No"),(N382))))</formula>
    </cfRule>
  </conditionalFormatting>
  <conditionalFormatting sqref="N382 N384:N385 N389:N390 N393:N396 N399:N409">
    <cfRule type="containsText" dxfId="9" priority="50416" operator="containsText" text="No">
      <formula>NOT(ISERROR(SEARCH(("No"),(N382))))</formula>
    </cfRule>
  </conditionalFormatting>
  <conditionalFormatting sqref="N382 N384:N385 N389:N390 N393:N396 N399:N409">
    <cfRule type="containsText" dxfId="9" priority="50417" operator="containsText" text="No">
      <formula>NOT(ISERROR(SEARCH(("No"),(N382))))</formula>
    </cfRule>
  </conditionalFormatting>
  <conditionalFormatting sqref="N382 N384:N385 N389:N390 N393:N396 N399:N409">
    <cfRule type="containsText" dxfId="9" priority="50418" operator="containsText" text="No">
      <formula>NOT(ISERROR(SEARCH(("No"),(N382))))</formula>
    </cfRule>
  </conditionalFormatting>
  <conditionalFormatting sqref="N382 N384:N385 N389:N390 N393:N396 N399:N409">
    <cfRule type="containsText" dxfId="9" priority="50419" operator="containsText" text="No">
      <formula>NOT(ISERROR(SEARCH(("No"),(N382))))</formula>
    </cfRule>
  </conditionalFormatting>
  <conditionalFormatting sqref="N382 N384:N385 N389:N390 N393:N396 N399:N409">
    <cfRule type="containsText" dxfId="9" priority="50420" operator="containsText" text="No">
      <formula>NOT(ISERROR(SEARCH(("No"),(N382))))</formula>
    </cfRule>
  </conditionalFormatting>
  <conditionalFormatting sqref="N382 N384:N385 N389:N390 N393:N396 N399:N409">
    <cfRule type="containsText" dxfId="9" priority="50421" operator="containsText" text="No">
      <formula>NOT(ISERROR(SEARCH(("No"),(N382))))</formula>
    </cfRule>
  </conditionalFormatting>
  <conditionalFormatting sqref="N382 N384:N385 N389:N390 N393:N396 N399:N409">
    <cfRule type="containsText" dxfId="9" priority="50422" operator="containsText" text="No">
      <formula>NOT(ISERROR(SEARCH(("No"),(N382))))</formula>
    </cfRule>
  </conditionalFormatting>
  <conditionalFormatting sqref="N382 N384:N385 N389:N390 N393:N396 N399:N409">
    <cfRule type="containsText" dxfId="9" priority="50423" operator="containsText" text="No">
      <formula>NOT(ISERROR(SEARCH(("No"),(N382))))</formula>
    </cfRule>
  </conditionalFormatting>
  <conditionalFormatting sqref="N382 N384:N385 N389:N390 N393:N396 N399:N409">
    <cfRule type="containsText" dxfId="9" priority="50424" operator="containsText" text="No">
      <formula>NOT(ISERROR(SEARCH(("No"),(N382))))</formula>
    </cfRule>
  </conditionalFormatting>
  <conditionalFormatting sqref="N382 N384:N385 N389:N390 N393:N396 N399:N409">
    <cfRule type="containsText" dxfId="9" priority="50425" operator="containsText" text="No">
      <formula>NOT(ISERROR(SEARCH(("No"),(N382))))</formula>
    </cfRule>
  </conditionalFormatting>
  <conditionalFormatting sqref="N382 N384:N385 N389:N390 N393:N396 N399:N409">
    <cfRule type="containsText" dxfId="9" priority="50426" operator="containsText" text="No">
      <formula>NOT(ISERROR(SEARCH(("No"),(N382))))</formula>
    </cfRule>
  </conditionalFormatting>
  <conditionalFormatting sqref="N382 N384:N385 N389:N390 N393:N396 N399:N409">
    <cfRule type="containsText" dxfId="9" priority="50427" operator="containsText" text="No">
      <formula>NOT(ISERROR(SEARCH(("No"),(N382))))</formula>
    </cfRule>
  </conditionalFormatting>
  <conditionalFormatting sqref="N382 N384:N385 N389:N390 N393:N396 N399:N409">
    <cfRule type="containsText" dxfId="9" priority="50428" operator="containsText" text="No">
      <formula>NOT(ISERROR(SEARCH(("No"),(N382))))</formula>
    </cfRule>
  </conditionalFormatting>
  <conditionalFormatting sqref="N382 N384:N385 N389:N390 N393:N396 N399:N409">
    <cfRule type="containsText" dxfId="9" priority="50429" operator="containsText" text="No">
      <formula>NOT(ISERROR(SEARCH(("No"),(N382))))</formula>
    </cfRule>
  </conditionalFormatting>
  <conditionalFormatting sqref="N382 N384:N385 N389:N390 N393:N396 N399:N409">
    <cfRule type="containsText" dxfId="9" priority="50430" operator="containsText" text="No">
      <formula>NOT(ISERROR(SEARCH(("No"),(N382))))</formula>
    </cfRule>
  </conditionalFormatting>
  <conditionalFormatting sqref="N382 N384:N385 N389:N390 N393:N396 N399:N409">
    <cfRule type="containsText" dxfId="9" priority="50431" operator="containsText" text="No">
      <formula>NOT(ISERROR(SEARCH(("No"),(N382))))</formula>
    </cfRule>
  </conditionalFormatting>
  <conditionalFormatting sqref="N382 N384:N385 N389:N390 N393:N396 N399:N409">
    <cfRule type="containsText" dxfId="9" priority="50432" operator="containsText" text="No">
      <formula>NOT(ISERROR(SEARCH(("No"),(N382))))</formula>
    </cfRule>
  </conditionalFormatting>
  <conditionalFormatting sqref="N382 N384:N385 N389:N390 N393:N396 N399:N409">
    <cfRule type="containsText" dxfId="9" priority="50433" operator="containsText" text="No">
      <formula>NOT(ISERROR(SEARCH(("No"),(N382))))</formula>
    </cfRule>
  </conditionalFormatting>
  <conditionalFormatting sqref="N382 N384:N385 N389:N390 N393:N396 N399:N409">
    <cfRule type="containsText" dxfId="9" priority="50434" operator="containsText" text="No">
      <formula>NOT(ISERROR(SEARCH(("No"),(N382))))</formula>
    </cfRule>
  </conditionalFormatting>
  <conditionalFormatting sqref="N382 N384:N385 N389:N390 N393:N396 N399:N409">
    <cfRule type="containsText" dxfId="9" priority="50435" operator="containsText" text="No">
      <formula>NOT(ISERROR(SEARCH(("No"),(N382))))</formula>
    </cfRule>
  </conditionalFormatting>
  <conditionalFormatting sqref="N382 N384:N385 N389:N390 N393:N396 N399:N409">
    <cfRule type="containsText" dxfId="9" priority="50436" operator="containsText" text="No">
      <formula>NOT(ISERROR(SEARCH(("No"),(N382))))</formula>
    </cfRule>
  </conditionalFormatting>
  <conditionalFormatting sqref="N382 N384:N385 N389:N390 N393:N396 N399:N409">
    <cfRule type="containsText" dxfId="9" priority="50437" operator="containsText" text="No">
      <formula>NOT(ISERROR(SEARCH(("No"),(N382))))</formula>
    </cfRule>
  </conditionalFormatting>
  <conditionalFormatting sqref="N382 N384:N385 N389:N390 N393:N396 N399:N409">
    <cfRule type="containsText" dxfId="9" priority="50438" operator="containsText" text="No">
      <formula>NOT(ISERROR(SEARCH(("No"),(N382))))</formula>
    </cfRule>
  </conditionalFormatting>
  <conditionalFormatting sqref="N382 N384:N385 N389:N390 N393:N396 N399:N409">
    <cfRule type="containsText" dxfId="9" priority="50439" operator="containsText" text="No">
      <formula>NOT(ISERROR(SEARCH(("No"),(N382))))</formula>
    </cfRule>
  </conditionalFormatting>
  <conditionalFormatting sqref="N382 N384:N385 N389:N390 N393:N396 N399:N409">
    <cfRule type="containsText" dxfId="9" priority="50440" operator="containsText" text="No">
      <formula>NOT(ISERROR(SEARCH(("No"),(N382))))</formula>
    </cfRule>
  </conditionalFormatting>
  <conditionalFormatting sqref="N382 N384:N385 N389:N390 N393:N396 N399:N409">
    <cfRule type="containsText" dxfId="9" priority="50441" operator="containsText" text="No">
      <formula>NOT(ISERROR(SEARCH(("No"),(N382))))</formula>
    </cfRule>
  </conditionalFormatting>
  <conditionalFormatting sqref="N382 N384:N385 N389:N390 N393:N396 N399:N409">
    <cfRule type="containsText" dxfId="9" priority="50442" operator="containsText" text="No">
      <formula>NOT(ISERROR(SEARCH(("No"),(N382))))</formula>
    </cfRule>
  </conditionalFormatting>
  <conditionalFormatting sqref="N382 N384:N385 N389:N390 N393:N396 N399:N409">
    <cfRule type="containsText" dxfId="9" priority="50443" operator="containsText" text="No">
      <formula>NOT(ISERROR(SEARCH(("No"),(N382))))</formula>
    </cfRule>
  </conditionalFormatting>
  <conditionalFormatting sqref="N382 N384:N385 N389:N390 N393:N396 N399:N409">
    <cfRule type="containsText" dxfId="9" priority="50444" operator="containsText" text="No">
      <formula>NOT(ISERROR(SEARCH(("No"),(N382))))</formula>
    </cfRule>
  </conditionalFormatting>
  <conditionalFormatting sqref="N382 N384:N385 N389:N390 N393:N396 N399:N409">
    <cfRule type="containsText" dxfId="9" priority="50445" operator="containsText" text="No">
      <formula>NOT(ISERROR(SEARCH(("No"),(N382))))</formula>
    </cfRule>
  </conditionalFormatting>
  <conditionalFormatting sqref="N382 N384:N385 N389:N390 N393:N396 N399:N409">
    <cfRule type="containsText" dxfId="9" priority="50446" operator="containsText" text="No">
      <formula>NOT(ISERROR(SEARCH(("No"),(N382))))</formula>
    </cfRule>
  </conditionalFormatting>
  <conditionalFormatting sqref="N382 N384:N385 N389:N390 N393:N396 N399:N409">
    <cfRule type="containsText" dxfId="9" priority="50447" operator="containsText" text="No">
      <formula>NOT(ISERROR(SEARCH(("No"),(N382))))</formula>
    </cfRule>
  </conditionalFormatting>
  <conditionalFormatting sqref="N382 N384:N385 N389:N390 N393:N396 N399:N409">
    <cfRule type="containsText" dxfId="9" priority="50448" operator="containsText" text="No">
      <formula>NOT(ISERROR(SEARCH(("No"),(N382))))</formula>
    </cfRule>
  </conditionalFormatting>
  <conditionalFormatting sqref="N382 N384:N385 N389:N390 N393:N396 N399:N409">
    <cfRule type="containsText" dxfId="9" priority="50449" operator="containsText" text="No">
      <formula>NOT(ISERROR(SEARCH(("No"),(N382))))</formula>
    </cfRule>
  </conditionalFormatting>
  <conditionalFormatting sqref="N382 N384:N385 N389:N390 N393:N396 N399:N409">
    <cfRule type="containsText" dxfId="9" priority="50450" operator="containsText" text="No">
      <formula>NOT(ISERROR(SEARCH(("No"),(N382))))</formula>
    </cfRule>
  </conditionalFormatting>
  <conditionalFormatting sqref="N382 N384:N385 N389:N390 N393:N396 N399:N409">
    <cfRule type="containsText" dxfId="9" priority="50451" operator="containsText" text="No">
      <formula>NOT(ISERROR(SEARCH(("No"),(N382))))</formula>
    </cfRule>
  </conditionalFormatting>
  <conditionalFormatting sqref="N382 N384:N385 N389:N390 N393:N396 N399:N409">
    <cfRule type="containsText" dxfId="9" priority="50452" operator="containsText" text="No">
      <formula>NOT(ISERROR(SEARCH(("No"),(N382))))</formula>
    </cfRule>
  </conditionalFormatting>
  <conditionalFormatting sqref="N382 N384:N385 N389:N390 N393:N396 N399:N409">
    <cfRule type="containsText" dxfId="9" priority="50453" operator="containsText" text="No">
      <formula>NOT(ISERROR(SEARCH(("No"),(N382))))</formula>
    </cfRule>
  </conditionalFormatting>
  <conditionalFormatting sqref="N382 N384:N385 N389:N390 N393:N396 N399:N409">
    <cfRule type="containsText" dxfId="9" priority="50454" operator="containsText" text="No">
      <formula>NOT(ISERROR(SEARCH(("No"),(N382))))</formula>
    </cfRule>
  </conditionalFormatting>
  <conditionalFormatting sqref="N382 N384:N385 N389:N390 N393:N396 N399:N409">
    <cfRule type="containsText" dxfId="9" priority="50455" operator="containsText" text="No">
      <formula>NOT(ISERROR(SEARCH(("No"),(N382))))</formula>
    </cfRule>
  </conditionalFormatting>
  <conditionalFormatting sqref="N382 N384:N385 N389:N390 N393:N396 N399:N409">
    <cfRule type="containsText" dxfId="9" priority="50456" operator="containsText" text="No">
      <formula>NOT(ISERROR(SEARCH(("No"),(N382))))</formula>
    </cfRule>
  </conditionalFormatting>
  <conditionalFormatting sqref="N382 N384:N385 N389:N390 N393:N396 N399:N409">
    <cfRule type="containsText" dxfId="9" priority="50457" operator="containsText" text="No">
      <formula>NOT(ISERROR(SEARCH(("No"),(N382))))</formula>
    </cfRule>
  </conditionalFormatting>
  <conditionalFormatting sqref="N382 N384:N385 N389:N390 N393:N396 N399:N409">
    <cfRule type="containsText" dxfId="2" priority="50458" operator="containsText" text="Yes">
      <formula>NOT(ISERROR(SEARCH(("Yes"),(N382))))</formula>
    </cfRule>
  </conditionalFormatting>
  <conditionalFormatting sqref="N382 N384:N385 N389:N390 N393:N396 N399:N409">
    <cfRule type="containsText" dxfId="2" priority="50459" operator="containsText" text="Yes">
      <formula>NOT(ISERROR(SEARCH(("Yes"),(N382))))</formula>
    </cfRule>
  </conditionalFormatting>
  <conditionalFormatting sqref="N382 N384:N385 N389:N390 N393:N396 N399:N409">
    <cfRule type="containsText" dxfId="2" priority="50460" operator="containsText" text="Yes">
      <formula>NOT(ISERROR(SEARCH(("Yes"),(N382))))</formula>
    </cfRule>
  </conditionalFormatting>
  <conditionalFormatting sqref="N382 N384:N385 N389:N390 N393:N396 N399:N409">
    <cfRule type="containsText" dxfId="2" priority="50461" operator="containsText" text="Yes">
      <formula>NOT(ISERROR(SEARCH(("Yes"),(N382))))</formula>
    </cfRule>
  </conditionalFormatting>
  <conditionalFormatting sqref="N382 N384:N385 N389:N390 N393:N396 N399:N409">
    <cfRule type="containsText" dxfId="2" priority="50462" operator="containsText" text="Yes">
      <formula>NOT(ISERROR(SEARCH(("Yes"),(N382))))</formula>
    </cfRule>
  </conditionalFormatting>
  <conditionalFormatting sqref="N382 N384:N385 N389:N390 N393:N396 N399:N409">
    <cfRule type="containsText" dxfId="2" priority="50463" operator="containsText" text="Yes">
      <formula>NOT(ISERROR(SEARCH(("Yes"),(N382))))</formula>
    </cfRule>
  </conditionalFormatting>
  <conditionalFormatting sqref="N382 N384:N385 N389:N390 N393:N396 N399:N409">
    <cfRule type="containsText" dxfId="2" priority="50464" operator="containsText" text="Yes">
      <formula>NOT(ISERROR(SEARCH(("Yes"),(N382))))</formula>
    </cfRule>
  </conditionalFormatting>
  <conditionalFormatting sqref="N382 N384:N385 N389:N390 N393:N396 N399:N409">
    <cfRule type="containsText" dxfId="2" priority="50465" operator="containsText" text="Yes">
      <formula>NOT(ISERROR(SEARCH(("Yes"),(N382))))</formula>
    </cfRule>
  </conditionalFormatting>
  <conditionalFormatting sqref="N382 N384:N385 N389:N390 N393:N396 N399:N409">
    <cfRule type="containsText" dxfId="2" priority="50466" operator="containsText" text="Yes">
      <formula>NOT(ISERROR(SEARCH(("Yes"),(N382))))</formula>
    </cfRule>
  </conditionalFormatting>
  <conditionalFormatting sqref="N382 N384:N385 N389:N390 N393:N396 N399:N409">
    <cfRule type="containsText" dxfId="2" priority="50467" operator="containsText" text="Yes">
      <formula>NOT(ISERROR(SEARCH(("Yes"),(N382))))</formula>
    </cfRule>
  </conditionalFormatting>
  <conditionalFormatting sqref="N382 N384:N385 N389:N390 N393:N396 N399:N409">
    <cfRule type="containsText" dxfId="2" priority="50468" operator="containsText" text="Yes">
      <formula>NOT(ISERROR(SEARCH(("Yes"),(N382))))</formula>
    </cfRule>
  </conditionalFormatting>
  <conditionalFormatting sqref="N382 N384:N385 N389:N390 N393:N396 N399:N409">
    <cfRule type="containsText" dxfId="2" priority="50469" operator="containsText" text="Yes">
      <formula>NOT(ISERROR(SEARCH(("Yes"),(N382))))</formula>
    </cfRule>
  </conditionalFormatting>
  <conditionalFormatting sqref="N382 N384:N385 N389:N390 N393:N396 N399:N409">
    <cfRule type="containsText" dxfId="2" priority="50470" operator="containsText" text="Yes">
      <formula>NOT(ISERROR(SEARCH(("Yes"),(N382))))</formula>
    </cfRule>
  </conditionalFormatting>
  <conditionalFormatting sqref="N382 N384:N385 N389:N390 N393:N396 N399:N409">
    <cfRule type="containsText" dxfId="2" priority="50471" operator="containsText" text="Yes">
      <formula>NOT(ISERROR(SEARCH(("Yes"),(N382))))</formula>
    </cfRule>
  </conditionalFormatting>
  <conditionalFormatting sqref="N382 N384:N385 N389:N390 N393:N396 N399:N409">
    <cfRule type="containsText" dxfId="2" priority="50472" operator="containsText" text="Yes">
      <formula>NOT(ISERROR(SEARCH(("Yes"),(N382))))</formula>
    </cfRule>
  </conditionalFormatting>
  <conditionalFormatting sqref="N382 N384:N385 N389:N390 N393:N396 N399:N409">
    <cfRule type="containsText" dxfId="2" priority="50473" operator="containsText" text="Yes">
      <formula>NOT(ISERROR(SEARCH(("Yes"),(N382))))</formula>
    </cfRule>
  </conditionalFormatting>
  <conditionalFormatting sqref="N382 N384:N385 N389:N390 N393:N396 N399:N409">
    <cfRule type="containsText" dxfId="2" priority="50474" operator="containsText" text="Yes">
      <formula>NOT(ISERROR(SEARCH(("Yes"),(N382))))</formula>
    </cfRule>
  </conditionalFormatting>
  <conditionalFormatting sqref="N382 N384:N385 N389:N390 N393:N396 N399:N409">
    <cfRule type="containsText" dxfId="2" priority="50475" operator="containsText" text="Yes">
      <formula>NOT(ISERROR(SEARCH(("Yes"),(N382))))</formula>
    </cfRule>
  </conditionalFormatting>
  <conditionalFormatting sqref="N382 N384:N385 N389:N390 N393:N396 N399:N409">
    <cfRule type="containsText" dxfId="2" priority="50476" operator="containsText" text="Yes">
      <formula>NOT(ISERROR(SEARCH(("Yes"),(N382))))</formula>
    </cfRule>
  </conditionalFormatting>
  <conditionalFormatting sqref="N382 N384:N385 N389:N390 N393:N396 N399:N409">
    <cfRule type="containsText" dxfId="2" priority="50477" operator="containsText" text="Yes">
      <formula>NOT(ISERROR(SEARCH(("Yes"),(N382))))</formula>
    </cfRule>
  </conditionalFormatting>
  <conditionalFormatting sqref="N382 N384:N385 N389:N390 N393:N396 N399:N409">
    <cfRule type="containsText" dxfId="2" priority="50478" operator="containsText" text="Yes">
      <formula>NOT(ISERROR(SEARCH(("Yes"),(N382))))</formula>
    </cfRule>
  </conditionalFormatting>
  <conditionalFormatting sqref="N382 N384:N385 N389:N390 N393:N396 N399:N409">
    <cfRule type="containsText" dxfId="2" priority="50479" operator="containsText" text="Yes">
      <formula>NOT(ISERROR(SEARCH(("Yes"),(N382))))</formula>
    </cfRule>
  </conditionalFormatting>
  <conditionalFormatting sqref="N382 N384:N385 N389:N390 N393:N396 N399:N409">
    <cfRule type="containsText" dxfId="2" priority="50480" operator="containsText" text="Yes">
      <formula>NOT(ISERROR(SEARCH(("Yes"),(N382))))</formula>
    </cfRule>
  </conditionalFormatting>
  <conditionalFormatting sqref="N382 N384:N385 N389:N390 N393:N396 N399:N409">
    <cfRule type="containsText" dxfId="2" priority="50481" operator="containsText" text="Yes">
      <formula>NOT(ISERROR(SEARCH(("Yes"),(N382))))</formula>
    </cfRule>
  </conditionalFormatting>
  <conditionalFormatting sqref="N382 N384:N385 N389:N390 N393:N396 N399:N409">
    <cfRule type="containsText" dxfId="2" priority="50482" operator="containsText" text="Yes">
      <formula>NOT(ISERROR(SEARCH(("Yes"),(N382))))</formula>
    </cfRule>
  </conditionalFormatting>
  <conditionalFormatting sqref="N382 N384:N385 N389:N390 N393:N396 N399:N409">
    <cfRule type="containsText" dxfId="2" priority="50483" operator="containsText" text="Yes">
      <formula>NOT(ISERROR(SEARCH(("Yes"),(N382))))</formula>
    </cfRule>
  </conditionalFormatting>
  <conditionalFormatting sqref="N382 N384:N385 N389:N390 N393:N396 N399:N409">
    <cfRule type="containsText" dxfId="2" priority="50484" operator="containsText" text="Yes">
      <formula>NOT(ISERROR(SEARCH(("Yes"),(N382))))</formula>
    </cfRule>
  </conditionalFormatting>
  <conditionalFormatting sqref="N382 N384:N385 N389:N390 N393:N396 N399:N409">
    <cfRule type="containsText" dxfId="2" priority="50485" operator="containsText" text="Yes">
      <formula>NOT(ISERROR(SEARCH(("Yes"),(N382))))</formula>
    </cfRule>
  </conditionalFormatting>
  <conditionalFormatting sqref="N382 N384:N385 N389:N390 N393:N396 N399:N409">
    <cfRule type="containsText" dxfId="2" priority="50486" operator="containsText" text="Yes">
      <formula>NOT(ISERROR(SEARCH(("Yes"),(N382))))</formula>
    </cfRule>
  </conditionalFormatting>
  <conditionalFormatting sqref="N382 N384:N385 N389:N390 N393:N396 N399:N409">
    <cfRule type="containsText" dxfId="2" priority="50487" operator="containsText" text="Yes">
      <formula>NOT(ISERROR(SEARCH(("Yes"),(N382))))</formula>
    </cfRule>
  </conditionalFormatting>
  <conditionalFormatting sqref="N382 N384:N385 N389:N390 N393:N396 N399:N409">
    <cfRule type="containsText" dxfId="2" priority="50488" operator="containsText" text="Yes">
      <formula>NOT(ISERROR(SEARCH(("Yes"),(N382))))</formula>
    </cfRule>
  </conditionalFormatting>
  <conditionalFormatting sqref="N382 N384:N385 N389:N390 N393:N396 N399:N409">
    <cfRule type="containsText" dxfId="2" priority="50489" operator="containsText" text="Yes">
      <formula>NOT(ISERROR(SEARCH(("Yes"),(N382))))</formula>
    </cfRule>
  </conditionalFormatting>
  <conditionalFormatting sqref="N382 N384:N385 N389:N390 N393:N396 N399:N409">
    <cfRule type="containsText" dxfId="2" priority="50490" operator="containsText" text="Yes">
      <formula>NOT(ISERROR(SEARCH(("Yes"),(N382))))</formula>
    </cfRule>
  </conditionalFormatting>
  <conditionalFormatting sqref="N382 N384:N385 N389:N390 N393:N396 N399:N409">
    <cfRule type="containsText" dxfId="2" priority="50491" operator="containsText" text="Yes">
      <formula>NOT(ISERROR(SEARCH(("Yes"),(N382))))</formula>
    </cfRule>
  </conditionalFormatting>
  <conditionalFormatting sqref="N382 N384:N385 N389:N390 N393:N396 N399:N409">
    <cfRule type="containsText" dxfId="2" priority="50492" operator="containsText" text="Yes">
      <formula>NOT(ISERROR(SEARCH(("Yes"),(N382))))</formula>
    </cfRule>
  </conditionalFormatting>
  <conditionalFormatting sqref="N382 N384:N385 N389:N390 N393:N396 N399:N409">
    <cfRule type="containsText" dxfId="2" priority="50493" operator="containsText" text="Yes">
      <formula>NOT(ISERROR(SEARCH(("Yes"),(N382))))</formula>
    </cfRule>
  </conditionalFormatting>
  <conditionalFormatting sqref="N382 N384:N385 N389:N390 N393:N396 N399:N409">
    <cfRule type="containsText" dxfId="2" priority="50494" operator="containsText" text="Yes">
      <formula>NOT(ISERROR(SEARCH(("Yes"),(N382))))</formula>
    </cfRule>
  </conditionalFormatting>
  <conditionalFormatting sqref="N382 N384:N385 N389:N390 N393:N396 N399:N409">
    <cfRule type="containsText" dxfId="2" priority="50495" operator="containsText" text="Yes">
      <formula>NOT(ISERROR(SEARCH(("Yes"),(N382))))</formula>
    </cfRule>
  </conditionalFormatting>
  <conditionalFormatting sqref="N382 N384:N385 N389:N390 N393:N396 N399:N409">
    <cfRule type="containsText" dxfId="2" priority="50496" operator="containsText" text="Yes">
      <formula>NOT(ISERROR(SEARCH(("Yes"),(N382))))</formula>
    </cfRule>
  </conditionalFormatting>
  <conditionalFormatting sqref="N382 N384:N385 N389:N390 N393:N396 N399:N409">
    <cfRule type="containsText" dxfId="2" priority="50497" operator="containsText" text="Yes">
      <formula>NOT(ISERROR(SEARCH(("Yes"),(N382))))</formula>
    </cfRule>
  </conditionalFormatting>
  <conditionalFormatting sqref="N382 N384:N385 N389:N390 N393:N396 N399:N409">
    <cfRule type="containsText" dxfId="2" priority="50498" operator="containsText" text="Yes">
      <formula>NOT(ISERROR(SEARCH(("Yes"),(N382))))</formula>
    </cfRule>
  </conditionalFormatting>
  <conditionalFormatting sqref="N382 N384:N385 N389:N390 N393:N396 N399:N409">
    <cfRule type="containsText" dxfId="2" priority="50499" operator="containsText" text="Yes">
      <formula>NOT(ISERROR(SEARCH(("Yes"),(N382))))</formula>
    </cfRule>
  </conditionalFormatting>
  <conditionalFormatting sqref="N382 N384:N385 N389:N390 N393:N396 N399:N409">
    <cfRule type="containsText" dxfId="2" priority="50500" operator="containsText" text="Yes">
      <formula>NOT(ISERROR(SEARCH(("Yes"),(N382))))</formula>
    </cfRule>
  </conditionalFormatting>
  <conditionalFormatting sqref="N382 N384:N385 N389:N390 N393:N396 N399:N409">
    <cfRule type="containsText" dxfId="2" priority="50501" operator="containsText" text="Yes">
      <formula>NOT(ISERROR(SEARCH(("Yes"),(N382))))</formula>
    </cfRule>
  </conditionalFormatting>
  <conditionalFormatting sqref="N382 N384:N385 N389:N390 N393:N396 N399:N409">
    <cfRule type="containsText" dxfId="2" priority="50502" operator="containsText" text="Yes">
      <formula>NOT(ISERROR(SEARCH(("Yes"),(N382))))</formula>
    </cfRule>
  </conditionalFormatting>
  <conditionalFormatting sqref="N382 N384:N385 N389:N390 N393:N396 N399:N409">
    <cfRule type="containsText" dxfId="2" priority="50503" operator="containsText" text="Yes">
      <formula>NOT(ISERROR(SEARCH(("Yes"),(N382))))</formula>
    </cfRule>
  </conditionalFormatting>
  <conditionalFormatting sqref="N382 N384:N385 N389:N390 N393:N396 N399:N409">
    <cfRule type="containsText" dxfId="2" priority="50504" operator="containsText" text="Yes">
      <formula>NOT(ISERROR(SEARCH(("Yes"),(N382))))</formula>
    </cfRule>
  </conditionalFormatting>
  <conditionalFormatting sqref="O382 O384:O385 O389:O390 O393:O394 O396 O399:O409">
    <cfRule type="containsText" dxfId="9" priority="50505" operator="containsText" text="No">
      <formula>NOT(ISERROR(SEARCH(("No"),(O382))))</formula>
    </cfRule>
  </conditionalFormatting>
  <conditionalFormatting sqref="O382 O384:O385 O389:O390 O393:O394 O396 O399:O409">
    <cfRule type="containsText" dxfId="9" priority="50506" operator="containsText" text="No">
      <formula>NOT(ISERROR(SEARCH(("No"),(O382))))</formula>
    </cfRule>
  </conditionalFormatting>
  <conditionalFormatting sqref="O382 O384:O385 O389:O390 O393:O394 O396 O399:O409">
    <cfRule type="containsText" dxfId="9" priority="50507" operator="containsText" text="No">
      <formula>NOT(ISERROR(SEARCH(("No"),(O382))))</formula>
    </cfRule>
  </conditionalFormatting>
  <conditionalFormatting sqref="O382 O384:O385 O389:O390 O393:O394 O396 O399:O409">
    <cfRule type="containsText" dxfId="9" priority="50508" operator="containsText" text="No">
      <formula>NOT(ISERROR(SEARCH(("No"),(O382))))</formula>
    </cfRule>
  </conditionalFormatting>
  <conditionalFormatting sqref="O382 O384:O385 O389:O390 O393:O394 O396 O399:O409">
    <cfRule type="containsText" dxfId="9" priority="50509" operator="containsText" text="No">
      <formula>NOT(ISERROR(SEARCH(("No"),(O382))))</formula>
    </cfRule>
  </conditionalFormatting>
  <conditionalFormatting sqref="O382 O384:O385 O389:O390 O393:O394 O396 O399:O409">
    <cfRule type="containsText" dxfId="9" priority="50510" operator="containsText" text="No">
      <formula>NOT(ISERROR(SEARCH(("No"),(O382))))</formula>
    </cfRule>
  </conditionalFormatting>
  <conditionalFormatting sqref="O382 O384:O385 O389:O390 O393:O394 O396 O399:O409">
    <cfRule type="containsText" dxfId="9" priority="50511" operator="containsText" text="No">
      <formula>NOT(ISERROR(SEARCH(("No"),(O382))))</formula>
    </cfRule>
  </conditionalFormatting>
  <conditionalFormatting sqref="O382 O384:O385 O389:O390 O393:O394 O396 O399:O409">
    <cfRule type="containsText" dxfId="9" priority="50512" operator="containsText" text="No">
      <formula>NOT(ISERROR(SEARCH(("No"),(O382))))</formula>
    </cfRule>
  </conditionalFormatting>
  <conditionalFormatting sqref="O382 O384:O385 O389:O390 O393:O394 O396 O399:O409">
    <cfRule type="containsText" dxfId="9" priority="50513" operator="containsText" text="No">
      <formula>NOT(ISERROR(SEARCH(("No"),(O382))))</formula>
    </cfRule>
  </conditionalFormatting>
  <conditionalFormatting sqref="O382 O384:O385 O389:O390 O393:O394 O396 O399:O409">
    <cfRule type="containsText" dxfId="9" priority="50514" operator="containsText" text="No">
      <formula>NOT(ISERROR(SEARCH(("No"),(O382))))</formula>
    </cfRule>
  </conditionalFormatting>
  <conditionalFormatting sqref="O382 O384:O385 O389:O390 O393:O394 O396 O399:O409">
    <cfRule type="containsText" dxfId="9" priority="50515" operator="containsText" text="No">
      <formula>NOT(ISERROR(SEARCH(("No"),(O382))))</formula>
    </cfRule>
  </conditionalFormatting>
  <conditionalFormatting sqref="O382 O384:O385 O389:O390 O393:O394 O396 O399:O409">
    <cfRule type="containsText" dxfId="9" priority="50516" operator="containsText" text="No">
      <formula>NOT(ISERROR(SEARCH(("No"),(O382))))</formula>
    </cfRule>
  </conditionalFormatting>
  <conditionalFormatting sqref="O382 O384:O385 O389:O390 O393:O394 O396 O399:O409">
    <cfRule type="containsText" dxfId="9" priority="50517" operator="containsText" text="No">
      <formula>NOT(ISERROR(SEARCH(("No"),(O382))))</formula>
    </cfRule>
  </conditionalFormatting>
  <conditionalFormatting sqref="O382 O384:O385 O389:O390 O393:O394 O396 O399:O409">
    <cfRule type="containsText" dxfId="9" priority="50518" operator="containsText" text="No">
      <formula>NOT(ISERROR(SEARCH(("No"),(O382))))</formula>
    </cfRule>
  </conditionalFormatting>
  <conditionalFormatting sqref="O382 O384:O385 O389:O390 O393:O394 O396 O399:O409">
    <cfRule type="containsText" dxfId="9" priority="50519" operator="containsText" text="No">
      <formula>NOT(ISERROR(SEARCH(("No"),(O382))))</formula>
    </cfRule>
  </conditionalFormatting>
  <conditionalFormatting sqref="O382 O384:O385 O389:O390 O393:O394 O396 O399:O409">
    <cfRule type="containsText" dxfId="9" priority="50520" operator="containsText" text="No">
      <formula>NOT(ISERROR(SEARCH(("No"),(O382))))</formula>
    </cfRule>
  </conditionalFormatting>
  <conditionalFormatting sqref="O382 O384:O385 O389:O390 O393:O394 O396 O399:O409">
    <cfRule type="containsText" dxfId="9" priority="50521" operator="containsText" text="No">
      <formula>NOT(ISERROR(SEARCH(("No"),(O382))))</formula>
    </cfRule>
  </conditionalFormatting>
  <conditionalFormatting sqref="O382 O384:O385 O389:O390 O393:O394 O396 O399:O409">
    <cfRule type="containsText" dxfId="9" priority="50522" operator="containsText" text="No">
      <formula>NOT(ISERROR(SEARCH(("No"),(O382))))</formula>
    </cfRule>
  </conditionalFormatting>
  <conditionalFormatting sqref="O382 O384:O385 O389:O390 O393:O394 O396 O399:O409">
    <cfRule type="containsText" dxfId="9" priority="50523" operator="containsText" text="No">
      <formula>NOT(ISERROR(SEARCH(("No"),(O382))))</formula>
    </cfRule>
  </conditionalFormatting>
  <conditionalFormatting sqref="O382 O384:O385 O389:O390 O393:O394 O396 O399:O409">
    <cfRule type="containsText" dxfId="9" priority="50524" operator="containsText" text="No">
      <formula>NOT(ISERROR(SEARCH(("No"),(O382))))</formula>
    </cfRule>
  </conditionalFormatting>
  <conditionalFormatting sqref="O382 O384:O385 O389:O390 O393:O394 O396 O399:O409">
    <cfRule type="containsText" dxfId="9" priority="50525" operator="containsText" text="No">
      <formula>NOT(ISERROR(SEARCH(("No"),(O382))))</formula>
    </cfRule>
  </conditionalFormatting>
  <conditionalFormatting sqref="O382 O384:O385 O389:O390 O393:O394 O396 O399:O409">
    <cfRule type="containsText" dxfId="9" priority="50526" operator="containsText" text="No">
      <formula>NOT(ISERROR(SEARCH(("No"),(O382))))</formula>
    </cfRule>
  </conditionalFormatting>
  <conditionalFormatting sqref="O382 O384:O385 O389:O390 O393:O394 O396 O399:O409">
    <cfRule type="containsText" dxfId="9" priority="50527" operator="containsText" text="No">
      <formula>NOT(ISERROR(SEARCH(("No"),(O382))))</formula>
    </cfRule>
  </conditionalFormatting>
  <conditionalFormatting sqref="O382 O384:O385 O389:O390 O393:O394 O396 O399:O409">
    <cfRule type="containsText" dxfId="9" priority="50528" operator="containsText" text="No">
      <formula>NOT(ISERROR(SEARCH(("No"),(O382))))</formula>
    </cfRule>
  </conditionalFormatting>
  <conditionalFormatting sqref="O382 O384:O385 O389:O390 O393:O394 O396 O399:O409">
    <cfRule type="containsText" dxfId="9" priority="50529" operator="containsText" text="No">
      <formula>NOT(ISERROR(SEARCH(("No"),(O382))))</formula>
    </cfRule>
  </conditionalFormatting>
  <conditionalFormatting sqref="O382 O384:O385 O389:O390 O393:O394 O396 O399:O409">
    <cfRule type="containsText" dxfId="9" priority="50530" operator="containsText" text="No">
      <formula>NOT(ISERROR(SEARCH(("No"),(O382))))</formula>
    </cfRule>
  </conditionalFormatting>
  <conditionalFormatting sqref="O382 O384:O385 O389:O390 O393:O394 O396 O399:O409">
    <cfRule type="containsText" dxfId="9" priority="50531" operator="containsText" text="No">
      <formula>NOT(ISERROR(SEARCH(("No"),(O382))))</formula>
    </cfRule>
  </conditionalFormatting>
  <conditionalFormatting sqref="O382 O384:O385 O389:O390 O393:O394 O396 O399:O409">
    <cfRule type="containsText" dxfId="9" priority="50532" operator="containsText" text="No">
      <formula>NOT(ISERROR(SEARCH(("No"),(O382))))</formula>
    </cfRule>
  </conditionalFormatting>
  <conditionalFormatting sqref="O382 O384:O385 O389:O390 O393:O394 O396 O399:O409">
    <cfRule type="containsText" dxfId="9" priority="50533" operator="containsText" text="No">
      <formula>NOT(ISERROR(SEARCH(("No"),(O382))))</formula>
    </cfRule>
  </conditionalFormatting>
  <conditionalFormatting sqref="O382 O384:O385 O389:O390 O393:O394 O396 O399:O409">
    <cfRule type="containsText" dxfId="9" priority="50534" operator="containsText" text="No">
      <formula>NOT(ISERROR(SEARCH(("No"),(O382))))</formula>
    </cfRule>
  </conditionalFormatting>
  <conditionalFormatting sqref="O382 O384:O385 O389:O390 O393:O394 O396 O399:O409">
    <cfRule type="containsText" dxfId="9" priority="50535" operator="containsText" text="No">
      <formula>NOT(ISERROR(SEARCH(("No"),(O382))))</formula>
    </cfRule>
  </conditionalFormatting>
  <conditionalFormatting sqref="O382 O384:O385 O389:O390 O393:O394 O396 O399:O409">
    <cfRule type="containsText" dxfId="9" priority="50536" operator="containsText" text="No">
      <formula>NOT(ISERROR(SEARCH(("No"),(O382))))</formula>
    </cfRule>
  </conditionalFormatting>
  <conditionalFormatting sqref="O382 O384:O385 O389:O390 O393:O394 O396 O399:O409">
    <cfRule type="containsText" dxfId="9" priority="50537" operator="containsText" text="No">
      <formula>NOT(ISERROR(SEARCH(("No"),(O382))))</formula>
    </cfRule>
  </conditionalFormatting>
  <conditionalFormatting sqref="O382 O384:O385 O389:O390 O393:O394 O396 O399:O409">
    <cfRule type="containsText" dxfId="9" priority="50538" operator="containsText" text="No">
      <formula>NOT(ISERROR(SEARCH(("No"),(O382))))</formula>
    </cfRule>
  </conditionalFormatting>
  <conditionalFormatting sqref="O382 O384:O385 O389:O390 O393:O394 O396 O399:O409">
    <cfRule type="containsText" dxfId="9" priority="50539" operator="containsText" text="No">
      <formula>NOT(ISERROR(SEARCH(("No"),(O382))))</formula>
    </cfRule>
  </conditionalFormatting>
  <conditionalFormatting sqref="O382 O384:O385 O389:O390 O393:O394 O396 O399:O409">
    <cfRule type="containsText" dxfId="9" priority="50540" operator="containsText" text="No">
      <formula>NOT(ISERROR(SEARCH(("No"),(O382))))</formula>
    </cfRule>
  </conditionalFormatting>
  <conditionalFormatting sqref="O382 O384:O385 O389:O390 O393:O394 O396 O399:O409">
    <cfRule type="containsText" dxfId="9" priority="50541" operator="containsText" text="No">
      <formula>NOT(ISERROR(SEARCH(("No"),(O382))))</formula>
    </cfRule>
  </conditionalFormatting>
  <conditionalFormatting sqref="O382 O384:O385 O389:O390 O393:O394 O396 O399:O409">
    <cfRule type="containsText" dxfId="9" priority="50542" operator="containsText" text="No">
      <formula>NOT(ISERROR(SEARCH(("No"),(O382))))</formula>
    </cfRule>
  </conditionalFormatting>
  <conditionalFormatting sqref="O382 O384:O385 O389:O390 O393:O394 O396 O399:O409">
    <cfRule type="containsText" dxfId="9" priority="50543" operator="containsText" text="No">
      <formula>NOT(ISERROR(SEARCH(("No"),(O382))))</formula>
    </cfRule>
  </conditionalFormatting>
  <conditionalFormatting sqref="O382 O384:O385 O389:O390 O393:O394 O396 O399:O409">
    <cfRule type="containsText" dxfId="9" priority="50544" operator="containsText" text="No">
      <formula>NOT(ISERROR(SEARCH(("No"),(O382))))</formula>
    </cfRule>
  </conditionalFormatting>
  <conditionalFormatting sqref="O382 O384:O385 O389:O390 O393:O394 O396 O399:O409">
    <cfRule type="containsText" dxfId="9" priority="50545" operator="containsText" text="No">
      <formula>NOT(ISERROR(SEARCH(("No"),(O382))))</formula>
    </cfRule>
  </conditionalFormatting>
  <conditionalFormatting sqref="O382 O384:O385 O389:O390 O393:O394 O396 O399:O409">
    <cfRule type="containsText" dxfId="9" priority="50546" operator="containsText" text="No">
      <formula>NOT(ISERROR(SEARCH(("No"),(O382))))</formula>
    </cfRule>
  </conditionalFormatting>
  <conditionalFormatting sqref="O382 O384:O385 O389:O390 O393:O394 O396 O399:O409">
    <cfRule type="containsText" dxfId="9" priority="50547" operator="containsText" text="No">
      <formula>NOT(ISERROR(SEARCH(("No"),(O382))))</formula>
    </cfRule>
  </conditionalFormatting>
  <conditionalFormatting sqref="O382 O384:O385 O389:O390 O393:O394 O396 O399:O409">
    <cfRule type="containsText" dxfId="9" priority="50548" operator="containsText" text="No">
      <formula>NOT(ISERROR(SEARCH(("No"),(O382))))</formula>
    </cfRule>
  </conditionalFormatting>
  <conditionalFormatting sqref="O382 O384:O385 O389:O390 O393:O394 O396 O399:O409">
    <cfRule type="containsText" dxfId="9" priority="50549" operator="containsText" text="No">
      <formula>NOT(ISERROR(SEARCH(("No"),(O382))))</formula>
    </cfRule>
  </conditionalFormatting>
  <conditionalFormatting sqref="O382 O384:O385 O389:O390 O393:O394 O396 O399:O409">
    <cfRule type="containsText" dxfId="2" priority="50550" operator="containsText" text="Yes">
      <formula>NOT(ISERROR(SEARCH(("Yes"),(O382))))</formula>
    </cfRule>
  </conditionalFormatting>
  <conditionalFormatting sqref="O382 O384:O385 O389:O390 O393:O394 O396 O399:O409">
    <cfRule type="containsText" dxfId="2" priority="50551" operator="containsText" text="Yes">
      <formula>NOT(ISERROR(SEARCH(("Yes"),(O382))))</formula>
    </cfRule>
  </conditionalFormatting>
  <conditionalFormatting sqref="O382 O384:O385 O389:O390 O393:O394 O396 O399:O409">
    <cfRule type="containsText" dxfId="2" priority="50552" operator="containsText" text="Yes">
      <formula>NOT(ISERROR(SEARCH(("Yes"),(O382))))</formula>
    </cfRule>
  </conditionalFormatting>
  <conditionalFormatting sqref="O382 O384:O385 O389:O390 O393:O394 O396 O399:O409">
    <cfRule type="containsText" dxfId="2" priority="50553" operator="containsText" text="Yes">
      <formula>NOT(ISERROR(SEARCH(("Yes"),(O382))))</formula>
    </cfRule>
  </conditionalFormatting>
  <conditionalFormatting sqref="O382 O384:O385 O389:O390 O393:O394 O396 O399:O409">
    <cfRule type="containsText" dxfId="2" priority="50554" operator="containsText" text="Yes">
      <formula>NOT(ISERROR(SEARCH(("Yes"),(O382))))</formula>
    </cfRule>
  </conditionalFormatting>
  <conditionalFormatting sqref="O382 O384:O385 O389:O390 O393:O394 O396 O399:O409">
    <cfRule type="containsText" dxfId="2" priority="50555" operator="containsText" text="Yes">
      <formula>NOT(ISERROR(SEARCH(("Yes"),(O382))))</formula>
    </cfRule>
  </conditionalFormatting>
  <conditionalFormatting sqref="O382 O384:O385 O389:O390 O393:O394 O396 O399:O409">
    <cfRule type="containsText" dxfId="2" priority="50556" operator="containsText" text="Yes">
      <formula>NOT(ISERROR(SEARCH(("Yes"),(O382))))</formula>
    </cfRule>
  </conditionalFormatting>
  <conditionalFormatting sqref="O382 O384:O385 O389:O390 O393:O394 O396 O399:O409">
    <cfRule type="containsText" dxfId="2" priority="50557" operator="containsText" text="Yes">
      <formula>NOT(ISERROR(SEARCH(("Yes"),(O382))))</formula>
    </cfRule>
  </conditionalFormatting>
  <conditionalFormatting sqref="O382 O384:O385 O389:O390 O393:O394 O396 O399:O409">
    <cfRule type="containsText" dxfId="2" priority="50558" operator="containsText" text="Yes">
      <formula>NOT(ISERROR(SEARCH(("Yes"),(O382))))</formula>
    </cfRule>
  </conditionalFormatting>
  <conditionalFormatting sqref="O382 O384:O385 O389:O390 O393:O394 O396 O399:O409">
    <cfRule type="containsText" dxfId="2" priority="50559" operator="containsText" text="Yes">
      <formula>NOT(ISERROR(SEARCH(("Yes"),(O382))))</formula>
    </cfRule>
  </conditionalFormatting>
  <conditionalFormatting sqref="O382 O384:O385 O389:O390 O393:O394 O396 O399:O409">
    <cfRule type="containsText" dxfId="2" priority="50560" operator="containsText" text="Yes">
      <formula>NOT(ISERROR(SEARCH(("Yes"),(O382))))</formula>
    </cfRule>
  </conditionalFormatting>
  <conditionalFormatting sqref="O382 O384:O385 O389:O390 O393:O394 O396 O399:O409">
    <cfRule type="containsText" dxfId="2" priority="50561" operator="containsText" text="Yes">
      <formula>NOT(ISERROR(SEARCH(("Yes"),(O382))))</formula>
    </cfRule>
  </conditionalFormatting>
  <conditionalFormatting sqref="O382 O384:O385 O389:O390 O393:O394 O396 O399:O409">
    <cfRule type="containsText" dxfId="2" priority="50562" operator="containsText" text="Yes">
      <formula>NOT(ISERROR(SEARCH(("Yes"),(O382))))</formula>
    </cfRule>
  </conditionalFormatting>
  <conditionalFormatting sqref="O382 O384:O385 O389:O390 O393:O394 O396 O399:O409">
    <cfRule type="containsText" dxfId="2" priority="50563" operator="containsText" text="Yes">
      <formula>NOT(ISERROR(SEARCH(("Yes"),(O382))))</formula>
    </cfRule>
  </conditionalFormatting>
  <conditionalFormatting sqref="O382 O384:O385 O389:O390 O393:O394 O396 O399:O409">
    <cfRule type="containsText" dxfId="2" priority="50564" operator="containsText" text="Yes">
      <formula>NOT(ISERROR(SEARCH(("Yes"),(O382))))</formula>
    </cfRule>
  </conditionalFormatting>
  <conditionalFormatting sqref="O382 O384:O385 O389:O390 O393:O394 O396 O399:O409">
    <cfRule type="containsText" dxfId="2" priority="50565" operator="containsText" text="Yes">
      <formula>NOT(ISERROR(SEARCH(("Yes"),(O382))))</formula>
    </cfRule>
  </conditionalFormatting>
  <conditionalFormatting sqref="O382 O384:O385 O389:O390 O393:O394 O396 O399:O409">
    <cfRule type="containsText" dxfId="2" priority="50566" operator="containsText" text="Yes">
      <formula>NOT(ISERROR(SEARCH(("Yes"),(O382))))</formula>
    </cfRule>
  </conditionalFormatting>
  <conditionalFormatting sqref="O382 O384:O385 O389:O390 O393:O394 O396 O399:O409">
    <cfRule type="containsText" dxfId="2" priority="50567" operator="containsText" text="Yes">
      <formula>NOT(ISERROR(SEARCH(("Yes"),(O382))))</formula>
    </cfRule>
  </conditionalFormatting>
  <conditionalFormatting sqref="O382 O384:O385 O389:O390 O393:O394 O396 O399:O409">
    <cfRule type="containsText" dxfId="2" priority="50568" operator="containsText" text="Yes">
      <formula>NOT(ISERROR(SEARCH(("Yes"),(O382))))</formula>
    </cfRule>
  </conditionalFormatting>
  <conditionalFormatting sqref="O382 O384:O385 O389:O390 O393:O394 O396 O399:O409">
    <cfRule type="containsText" dxfId="2" priority="50569" operator="containsText" text="Yes">
      <formula>NOT(ISERROR(SEARCH(("Yes"),(O382))))</formula>
    </cfRule>
  </conditionalFormatting>
  <conditionalFormatting sqref="O382 O384:O385 O389:O390 O393:O394 O396 O399:O409">
    <cfRule type="containsText" dxfId="2" priority="50570" operator="containsText" text="Yes">
      <formula>NOT(ISERROR(SEARCH(("Yes"),(O382))))</formula>
    </cfRule>
  </conditionalFormatting>
  <conditionalFormatting sqref="O382 O384:O385 O389:O390 O393:O394 O396 O399:O409">
    <cfRule type="containsText" dxfId="2" priority="50571" operator="containsText" text="Yes">
      <formula>NOT(ISERROR(SEARCH(("Yes"),(O382))))</formula>
    </cfRule>
  </conditionalFormatting>
  <conditionalFormatting sqref="O382 O384:O385 O389:O390 O393:O394 O396 O399:O409">
    <cfRule type="containsText" dxfId="2" priority="50572" operator="containsText" text="Yes">
      <formula>NOT(ISERROR(SEARCH(("Yes"),(O382))))</formula>
    </cfRule>
  </conditionalFormatting>
  <conditionalFormatting sqref="O382 O384:O385 O389:O390 O393:O394 O396 O399:O409">
    <cfRule type="containsText" dxfId="2" priority="50573" operator="containsText" text="Yes">
      <formula>NOT(ISERROR(SEARCH(("Yes"),(O382))))</formula>
    </cfRule>
  </conditionalFormatting>
  <conditionalFormatting sqref="O382 O384:O385 O389:O390 O393:O394 O396 O399:O409">
    <cfRule type="containsText" dxfId="2" priority="50574" operator="containsText" text="Yes">
      <formula>NOT(ISERROR(SEARCH(("Yes"),(O382))))</formula>
    </cfRule>
  </conditionalFormatting>
  <conditionalFormatting sqref="O382 O384:O385 O389:O390 O393:O394 O396 O399:O409">
    <cfRule type="containsText" dxfId="2" priority="50575" operator="containsText" text="Yes">
      <formula>NOT(ISERROR(SEARCH(("Yes"),(O382))))</formula>
    </cfRule>
  </conditionalFormatting>
  <conditionalFormatting sqref="O382 O384:O385 O389:O390 O393:O394 O396 O399:O409">
    <cfRule type="containsText" dxfId="2" priority="50576" operator="containsText" text="Yes">
      <formula>NOT(ISERROR(SEARCH(("Yes"),(O382))))</formula>
    </cfRule>
  </conditionalFormatting>
  <conditionalFormatting sqref="O382 O384:O385 O389:O390 O393:O394 O396 O399:O409">
    <cfRule type="containsText" dxfId="2" priority="50577" operator="containsText" text="Yes">
      <formula>NOT(ISERROR(SEARCH(("Yes"),(O382))))</formula>
    </cfRule>
  </conditionalFormatting>
  <conditionalFormatting sqref="O382 O384:O385 O389:O390 O393:O394 O396 O399:O409">
    <cfRule type="containsText" dxfId="2" priority="50578" operator="containsText" text="Yes">
      <formula>NOT(ISERROR(SEARCH(("Yes"),(O382))))</formula>
    </cfRule>
  </conditionalFormatting>
  <conditionalFormatting sqref="O382 O384:O385 O389:O390 O393:O394 O396 O399:O409">
    <cfRule type="containsText" dxfId="2" priority="50579" operator="containsText" text="Yes">
      <formula>NOT(ISERROR(SEARCH(("Yes"),(O382))))</formula>
    </cfRule>
  </conditionalFormatting>
  <conditionalFormatting sqref="O382 O384:O385 O389:O390 O393:O394 O396 O399:O409">
    <cfRule type="containsText" dxfId="2" priority="50580" operator="containsText" text="Yes">
      <formula>NOT(ISERROR(SEARCH(("Yes"),(O382))))</formula>
    </cfRule>
  </conditionalFormatting>
  <conditionalFormatting sqref="O382 O384:O385 O389:O390 O393:O394 O396 O399:O409">
    <cfRule type="containsText" dxfId="2" priority="50581" operator="containsText" text="Yes">
      <formula>NOT(ISERROR(SEARCH(("Yes"),(O382))))</formula>
    </cfRule>
  </conditionalFormatting>
  <conditionalFormatting sqref="O382 O384:O385 O389:O390 O393:O394 O396 O399:O409">
    <cfRule type="containsText" dxfId="2" priority="50582" operator="containsText" text="Yes">
      <formula>NOT(ISERROR(SEARCH(("Yes"),(O382))))</formula>
    </cfRule>
  </conditionalFormatting>
  <conditionalFormatting sqref="O382 O384:O385 O389:O390 O393:O394 O396 O399:O409">
    <cfRule type="containsText" dxfId="2" priority="50583" operator="containsText" text="Yes">
      <formula>NOT(ISERROR(SEARCH(("Yes"),(O382))))</formula>
    </cfRule>
  </conditionalFormatting>
  <conditionalFormatting sqref="O382 O384:O385 O389:O390 O393:O394 O396 O399:O409">
    <cfRule type="containsText" dxfId="2" priority="50584" operator="containsText" text="Yes">
      <formula>NOT(ISERROR(SEARCH(("Yes"),(O382))))</formula>
    </cfRule>
  </conditionalFormatting>
  <conditionalFormatting sqref="O382 O384:O385 O389:O390 O393:O394 O396 O399:O409">
    <cfRule type="containsText" dxfId="2" priority="50585" operator="containsText" text="Yes">
      <formula>NOT(ISERROR(SEARCH(("Yes"),(O382))))</formula>
    </cfRule>
  </conditionalFormatting>
  <conditionalFormatting sqref="O382 O384:O385 O389:O390 O393:O394 O396 O399:O409">
    <cfRule type="containsText" dxfId="2" priority="50586" operator="containsText" text="Yes">
      <formula>NOT(ISERROR(SEARCH(("Yes"),(O382))))</formula>
    </cfRule>
  </conditionalFormatting>
  <conditionalFormatting sqref="O382 O384:O385 O389:O390 O393:O394 O396 O399:O409">
    <cfRule type="containsText" dxfId="2" priority="50587" operator="containsText" text="Yes">
      <formula>NOT(ISERROR(SEARCH(("Yes"),(O382))))</formula>
    </cfRule>
  </conditionalFormatting>
  <conditionalFormatting sqref="O382 O384:O385 O389:O390 O393:O394 O396 O399:O409">
    <cfRule type="containsText" dxfId="2" priority="50588" operator="containsText" text="Yes">
      <formula>NOT(ISERROR(SEARCH(("Yes"),(O382))))</formula>
    </cfRule>
  </conditionalFormatting>
  <conditionalFormatting sqref="O382 O384:O385 O389:O390 O393:O394 O396 O399:O409">
    <cfRule type="containsText" dxfId="2" priority="50589" operator="containsText" text="Yes">
      <formula>NOT(ISERROR(SEARCH(("Yes"),(O382))))</formula>
    </cfRule>
  </conditionalFormatting>
  <conditionalFormatting sqref="O382 O384:O385 O389:O390 O393:O394 O396 O399:O409">
    <cfRule type="containsText" dxfId="2" priority="50590" operator="containsText" text="Yes">
      <formula>NOT(ISERROR(SEARCH(("Yes"),(O382))))</formula>
    </cfRule>
  </conditionalFormatting>
  <conditionalFormatting sqref="O382 O384:O385 O389:O390 O393:O394 O396 O399:O409">
    <cfRule type="containsText" dxfId="2" priority="50591" operator="containsText" text="Yes">
      <formula>NOT(ISERROR(SEARCH(("Yes"),(O382))))</formula>
    </cfRule>
  </conditionalFormatting>
  <conditionalFormatting sqref="O382 O384:O385 O389:O390 O393:O394 O396 O399:O409">
    <cfRule type="containsText" dxfId="2" priority="50592" operator="containsText" text="Yes">
      <formula>NOT(ISERROR(SEARCH(("Yes"),(O382))))</formula>
    </cfRule>
  </conditionalFormatting>
  <conditionalFormatting sqref="O382 O384:O385 O389:O390 O393:O394 O396 O399:O409">
    <cfRule type="containsText" dxfId="2" priority="50593" operator="containsText" text="Yes">
      <formula>NOT(ISERROR(SEARCH(("Yes"),(O382))))</formula>
    </cfRule>
  </conditionalFormatting>
  <conditionalFormatting sqref="O382 O384:O385 O389:O390 O393:O394 O396 O399:O409">
    <cfRule type="containsText" dxfId="2" priority="50594" operator="containsText" text="Yes">
      <formula>NOT(ISERROR(SEARCH(("Yes"),(O382))))</formula>
    </cfRule>
  </conditionalFormatting>
  <conditionalFormatting sqref="O382 O384:O385 O389:O390 O393:O394 O396 O399:O409">
    <cfRule type="containsText" dxfId="2" priority="50595" operator="containsText" text="Yes">
      <formula>NOT(ISERROR(SEARCH(("Yes"),(O382))))</formula>
    </cfRule>
  </conditionalFormatting>
  <conditionalFormatting sqref="O382 O384:O385 O389:O390 O393:O394 O396 O399:O409">
    <cfRule type="containsText" dxfId="2" priority="50596" operator="containsText" text="Yes">
      <formula>NOT(ISERROR(SEARCH(("Yes"),(O382))))</formula>
    </cfRule>
  </conditionalFormatting>
  <conditionalFormatting sqref="P382 P384:P385 P389:P390 P393:P394 P396 P399:P409">
    <cfRule type="containsText" dxfId="9" priority="50597" operator="containsText" text="No">
      <formula>NOT(ISERROR(SEARCH(("No"),(P382))))</formula>
    </cfRule>
  </conditionalFormatting>
  <conditionalFormatting sqref="P382 P384:P385 P389:P390 P393:P394 P396 P399:P409">
    <cfRule type="containsText" dxfId="9" priority="50598" operator="containsText" text="No">
      <formula>NOT(ISERROR(SEARCH(("No"),(P382))))</formula>
    </cfRule>
  </conditionalFormatting>
  <conditionalFormatting sqref="P382 P384:P385 P389:P390 P393:P394 P396 P399:P409">
    <cfRule type="containsText" dxfId="9" priority="50599" operator="containsText" text="No">
      <formula>NOT(ISERROR(SEARCH(("No"),(P382))))</formula>
    </cfRule>
  </conditionalFormatting>
  <conditionalFormatting sqref="P382 P384:P385 P389:P390 P393:P394 P396 P399:P409">
    <cfRule type="containsText" dxfId="9" priority="50600" operator="containsText" text="No">
      <formula>NOT(ISERROR(SEARCH(("No"),(P382))))</formula>
    </cfRule>
  </conditionalFormatting>
  <conditionalFormatting sqref="P382 P384:P385 P389:P390 P393:P394 P396 P399:P409">
    <cfRule type="containsText" dxfId="9" priority="50601" operator="containsText" text="No">
      <formula>NOT(ISERROR(SEARCH(("No"),(P382))))</formula>
    </cfRule>
  </conditionalFormatting>
  <conditionalFormatting sqref="P382 P384:P385 P389:P390 P393:P394 P396 P399:P409">
    <cfRule type="containsText" dxfId="9" priority="50602" operator="containsText" text="No">
      <formula>NOT(ISERROR(SEARCH(("No"),(P382))))</formula>
    </cfRule>
  </conditionalFormatting>
  <conditionalFormatting sqref="P382 P384:P385 P389:P390 P393:P394 P396 P399:P409">
    <cfRule type="containsText" dxfId="9" priority="50603" operator="containsText" text="No">
      <formula>NOT(ISERROR(SEARCH(("No"),(P382))))</formula>
    </cfRule>
  </conditionalFormatting>
  <conditionalFormatting sqref="P382 P384:P385 P389:P390 P393:P394 P396 P399:P409">
    <cfRule type="containsText" dxfId="9" priority="50604" operator="containsText" text="No">
      <formula>NOT(ISERROR(SEARCH(("No"),(P382))))</formula>
    </cfRule>
  </conditionalFormatting>
  <conditionalFormatting sqref="P382 P384:P385 P389:P390 P393:P394 P396 P399:P409">
    <cfRule type="containsText" dxfId="9" priority="50605" operator="containsText" text="No">
      <formula>NOT(ISERROR(SEARCH(("No"),(P382))))</formula>
    </cfRule>
  </conditionalFormatting>
  <conditionalFormatting sqref="P382 P384:P385 P389:P390 P393:P394 P396 P399:P409">
    <cfRule type="containsText" dxfId="9" priority="50606" operator="containsText" text="No">
      <formula>NOT(ISERROR(SEARCH(("No"),(P382))))</formula>
    </cfRule>
  </conditionalFormatting>
  <conditionalFormatting sqref="P382 P384:P385 P389:P390 P393:P394 P396 P399:P409">
    <cfRule type="containsText" dxfId="9" priority="50607" operator="containsText" text="No">
      <formula>NOT(ISERROR(SEARCH(("No"),(P382))))</formula>
    </cfRule>
  </conditionalFormatting>
  <conditionalFormatting sqref="P382 P384:P385 P389:P390 P393:P394 P396 P399:P409">
    <cfRule type="containsText" dxfId="9" priority="50608" operator="containsText" text="No">
      <formula>NOT(ISERROR(SEARCH(("No"),(P382))))</formula>
    </cfRule>
  </conditionalFormatting>
  <conditionalFormatting sqref="P382 P384:P385 P389:P390 P393:P394 P396 P399:P409">
    <cfRule type="containsText" dxfId="9" priority="50609" operator="containsText" text="No">
      <formula>NOT(ISERROR(SEARCH(("No"),(P382))))</formula>
    </cfRule>
  </conditionalFormatting>
  <conditionalFormatting sqref="P382 P384:P385 P389:P390 P393:P394 P396 P399:P409">
    <cfRule type="containsText" dxfId="9" priority="50610" operator="containsText" text="No">
      <formula>NOT(ISERROR(SEARCH(("No"),(P382))))</formula>
    </cfRule>
  </conditionalFormatting>
  <conditionalFormatting sqref="P382 P384:P385 P389:P390 P393:P394 P396 P399:P409">
    <cfRule type="containsText" dxfId="9" priority="50611" operator="containsText" text="No">
      <formula>NOT(ISERROR(SEARCH(("No"),(P382))))</formula>
    </cfRule>
  </conditionalFormatting>
  <conditionalFormatting sqref="P382 P384:P385 P389:P390 P393:P394 P396 P399:P409">
    <cfRule type="containsText" dxfId="9" priority="50612" operator="containsText" text="No">
      <formula>NOT(ISERROR(SEARCH(("No"),(P382))))</formula>
    </cfRule>
  </conditionalFormatting>
  <conditionalFormatting sqref="P382 P384:P385 P389:P390 P393:P394 P396 P399:P409">
    <cfRule type="containsText" dxfId="9" priority="50613" operator="containsText" text="No">
      <formula>NOT(ISERROR(SEARCH(("No"),(P382))))</formula>
    </cfRule>
  </conditionalFormatting>
  <conditionalFormatting sqref="P382 P384:P385 P389:P390 P393:P394 P396 P399:P409">
    <cfRule type="containsText" dxfId="9" priority="50614" operator="containsText" text="No">
      <formula>NOT(ISERROR(SEARCH(("No"),(P382))))</formula>
    </cfRule>
  </conditionalFormatting>
  <conditionalFormatting sqref="P382 P384:P385 P389:P390 P393:P394 P396 P399:P409">
    <cfRule type="containsText" dxfId="9" priority="50615" operator="containsText" text="No">
      <formula>NOT(ISERROR(SEARCH(("No"),(P382))))</formula>
    </cfRule>
  </conditionalFormatting>
  <conditionalFormatting sqref="P382 P384:P385 P389:P390 P393:P394 P396 P399:P409">
    <cfRule type="containsText" dxfId="9" priority="50616" operator="containsText" text="No">
      <formula>NOT(ISERROR(SEARCH(("No"),(P382))))</formula>
    </cfRule>
  </conditionalFormatting>
  <conditionalFormatting sqref="P382 P384:P385 P389:P390 P393:P394 P396 P399:P409">
    <cfRule type="containsText" dxfId="9" priority="50617" operator="containsText" text="No">
      <formula>NOT(ISERROR(SEARCH(("No"),(P382))))</formula>
    </cfRule>
  </conditionalFormatting>
  <conditionalFormatting sqref="P382 P384:P385 P389:P390 P393:P394 P396 P399:P409">
    <cfRule type="containsText" dxfId="9" priority="50618" operator="containsText" text="No">
      <formula>NOT(ISERROR(SEARCH(("No"),(P382))))</formula>
    </cfRule>
  </conditionalFormatting>
  <conditionalFormatting sqref="P382 P384:P385 P389:P390 P393:P394 P396 P399:P409">
    <cfRule type="containsText" dxfId="9" priority="50619" operator="containsText" text="No">
      <formula>NOT(ISERROR(SEARCH(("No"),(P382))))</formula>
    </cfRule>
  </conditionalFormatting>
  <conditionalFormatting sqref="P382 P384:P385 P389:P390 P393:P394 P396 P399:P409">
    <cfRule type="containsText" dxfId="9" priority="50620" operator="containsText" text="No">
      <formula>NOT(ISERROR(SEARCH(("No"),(P382))))</formula>
    </cfRule>
  </conditionalFormatting>
  <conditionalFormatting sqref="P382 P384:P385 P389:P390 P393:P394 P396 P399:P409">
    <cfRule type="containsText" dxfId="9" priority="50621" operator="containsText" text="No">
      <formula>NOT(ISERROR(SEARCH(("No"),(P382))))</formula>
    </cfRule>
  </conditionalFormatting>
  <conditionalFormatting sqref="P382 P384:P385 P389:P390 P393:P394 P396 P399:P409">
    <cfRule type="containsText" dxfId="9" priority="50622" operator="containsText" text="No">
      <formula>NOT(ISERROR(SEARCH(("No"),(P382))))</formula>
    </cfRule>
  </conditionalFormatting>
  <conditionalFormatting sqref="P382 P384:P385 P389:P390 P393:P394 P396 P399:P409">
    <cfRule type="containsText" dxfId="9" priority="50623" operator="containsText" text="No">
      <formula>NOT(ISERROR(SEARCH(("No"),(P382))))</formula>
    </cfRule>
  </conditionalFormatting>
  <conditionalFormatting sqref="P382 P384:P385 P389:P390 P393:P394 P396 P399:P409">
    <cfRule type="containsText" dxfId="9" priority="50624" operator="containsText" text="No">
      <formula>NOT(ISERROR(SEARCH(("No"),(P382))))</formula>
    </cfRule>
  </conditionalFormatting>
  <conditionalFormatting sqref="P382 P384:P385 P389:P390 P393:P394 P396 P399:P409">
    <cfRule type="containsText" dxfId="9" priority="50625" operator="containsText" text="No">
      <formula>NOT(ISERROR(SEARCH(("No"),(P382))))</formula>
    </cfRule>
  </conditionalFormatting>
  <conditionalFormatting sqref="P382 P384:P385 P389:P390 P393:P394 P396 P399:P409">
    <cfRule type="containsText" dxfId="9" priority="50626" operator="containsText" text="No">
      <formula>NOT(ISERROR(SEARCH(("No"),(P382))))</formula>
    </cfRule>
  </conditionalFormatting>
  <conditionalFormatting sqref="P382 P384:P385 P389:P390 P393:P394 P396 P399:P409">
    <cfRule type="containsText" dxfId="9" priority="50627" operator="containsText" text="No">
      <formula>NOT(ISERROR(SEARCH(("No"),(P382))))</formula>
    </cfRule>
  </conditionalFormatting>
  <conditionalFormatting sqref="P382 P384:P385 P389:P390 P393:P394 P396 P399:P409">
    <cfRule type="containsText" dxfId="9" priority="50628" operator="containsText" text="No">
      <formula>NOT(ISERROR(SEARCH(("No"),(P382))))</formula>
    </cfRule>
  </conditionalFormatting>
  <conditionalFormatting sqref="P382 P384:P385 P389:P390 P393:P394 P396 P399:P409">
    <cfRule type="containsText" dxfId="9" priority="50629" operator="containsText" text="No">
      <formula>NOT(ISERROR(SEARCH(("No"),(P382))))</formula>
    </cfRule>
  </conditionalFormatting>
  <conditionalFormatting sqref="P382 P384:P385 P389:P390 P393:P394 P396 P399:P409">
    <cfRule type="containsText" dxfId="9" priority="50630" operator="containsText" text="No">
      <formula>NOT(ISERROR(SEARCH(("No"),(P382))))</formula>
    </cfRule>
  </conditionalFormatting>
  <conditionalFormatting sqref="P382 P384:P385 P389:P390 P393:P394 P396 P399:P409">
    <cfRule type="containsText" dxfId="9" priority="50631" operator="containsText" text="No">
      <formula>NOT(ISERROR(SEARCH(("No"),(P382))))</formula>
    </cfRule>
  </conditionalFormatting>
  <conditionalFormatting sqref="P382 P384:P385 P389:P390 P393:P394 P396 P399:P409">
    <cfRule type="containsText" dxfId="9" priority="50632" operator="containsText" text="No">
      <formula>NOT(ISERROR(SEARCH(("No"),(P382))))</formula>
    </cfRule>
  </conditionalFormatting>
  <conditionalFormatting sqref="P382 P384:P385 P389:P390 P393:P394 P396 P399:P409">
    <cfRule type="containsText" dxfId="9" priority="50633" operator="containsText" text="No">
      <formula>NOT(ISERROR(SEARCH(("No"),(P382))))</formula>
    </cfRule>
  </conditionalFormatting>
  <conditionalFormatting sqref="P382 P384:P385 P389:P390 P393:P394 P396 P399:P409">
    <cfRule type="containsText" dxfId="9" priority="50634" operator="containsText" text="No">
      <formula>NOT(ISERROR(SEARCH(("No"),(P382))))</formula>
    </cfRule>
  </conditionalFormatting>
  <conditionalFormatting sqref="P382 P384:P385 P389:P390 P393:P394 P396 P399:P409">
    <cfRule type="containsText" dxfId="9" priority="50635" operator="containsText" text="No">
      <formula>NOT(ISERROR(SEARCH(("No"),(P382))))</formula>
    </cfRule>
  </conditionalFormatting>
  <conditionalFormatting sqref="P382 P384:P385 P389:P390 P393:P394 P396 P399:P409">
    <cfRule type="containsText" dxfId="9" priority="50636" operator="containsText" text="No">
      <formula>NOT(ISERROR(SEARCH(("No"),(P382))))</formula>
    </cfRule>
  </conditionalFormatting>
  <conditionalFormatting sqref="P382 P384:P385 P389:P390 P393:P394 P396 P399:P409">
    <cfRule type="containsText" dxfId="9" priority="50637" operator="containsText" text="No">
      <formula>NOT(ISERROR(SEARCH(("No"),(P382))))</formula>
    </cfRule>
  </conditionalFormatting>
  <conditionalFormatting sqref="P382 P384:P385 P389:P390 P393:P394 P396 P399:P409">
    <cfRule type="containsText" dxfId="9" priority="50638" operator="containsText" text="No">
      <formula>NOT(ISERROR(SEARCH(("No"),(P382))))</formula>
    </cfRule>
  </conditionalFormatting>
  <conditionalFormatting sqref="P382 P384:P385 P389:P390 P393:P394 P396 P399:P409">
    <cfRule type="containsText" dxfId="9" priority="50639" operator="containsText" text="No">
      <formula>NOT(ISERROR(SEARCH(("No"),(P382))))</formula>
    </cfRule>
  </conditionalFormatting>
  <conditionalFormatting sqref="P382 P384:P385 P389:P390 P393:P394 P396 P399:P409">
    <cfRule type="containsText" dxfId="9" priority="50640" operator="containsText" text="No">
      <formula>NOT(ISERROR(SEARCH(("No"),(P382))))</formula>
    </cfRule>
  </conditionalFormatting>
  <conditionalFormatting sqref="P382 P384:P385 P389:P390 P393:P394 P396 P399:P409">
    <cfRule type="containsText" dxfId="9" priority="50641" operator="containsText" text="No">
      <formula>NOT(ISERROR(SEARCH(("No"),(P382))))</formula>
    </cfRule>
  </conditionalFormatting>
  <conditionalFormatting sqref="P382 P384:P385 P389:P390 P393:P394 P396 P399:P409">
    <cfRule type="containsText" dxfId="2" priority="50642" operator="containsText" text="Yes">
      <formula>NOT(ISERROR(SEARCH(("Yes"),(P382))))</formula>
    </cfRule>
  </conditionalFormatting>
  <conditionalFormatting sqref="P382 P384:P385 P389:P390 P393:P394 P396 P399:P409">
    <cfRule type="containsText" dxfId="2" priority="50643" operator="containsText" text="Yes">
      <formula>NOT(ISERROR(SEARCH(("Yes"),(P382))))</formula>
    </cfRule>
  </conditionalFormatting>
  <conditionalFormatting sqref="P382 P384:P385 P389:P390 P393:P394 P396 P399:P409">
    <cfRule type="containsText" dxfId="2" priority="50644" operator="containsText" text="Yes">
      <formula>NOT(ISERROR(SEARCH(("Yes"),(P382))))</formula>
    </cfRule>
  </conditionalFormatting>
  <conditionalFormatting sqref="P382 P384:P385 P389:P390 P393:P394 P396 P399:P409">
    <cfRule type="containsText" dxfId="2" priority="50645" operator="containsText" text="Yes">
      <formula>NOT(ISERROR(SEARCH(("Yes"),(P382))))</formula>
    </cfRule>
  </conditionalFormatting>
  <conditionalFormatting sqref="P382 P384:P385 P389:P390 P393:P394 P396 P399:P409">
    <cfRule type="containsText" dxfId="2" priority="50646" operator="containsText" text="Yes">
      <formula>NOT(ISERROR(SEARCH(("Yes"),(P382))))</formula>
    </cfRule>
  </conditionalFormatting>
  <conditionalFormatting sqref="P382 P384:P385 P389:P390 P393:P394 P396 P399:P409">
    <cfRule type="containsText" dxfId="2" priority="50647" operator="containsText" text="Yes">
      <formula>NOT(ISERROR(SEARCH(("Yes"),(P382))))</formula>
    </cfRule>
  </conditionalFormatting>
  <conditionalFormatting sqref="P382 P384:P385 P389:P390 P393:P394 P396 P399:P409">
    <cfRule type="containsText" dxfId="2" priority="50648" operator="containsText" text="Yes">
      <formula>NOT(ISERROR(SEARCH(("Yes"),(P382))))</formula>
    </cfRule>
  </conditionalFormatting>
  <conditionalFormatting sqref="P382 P384:P385 P389:P390 P393:P394 P396 P399:P409">
    <cfRule type="containsText" dxfId="2" priority="50649" operator="containsText" text="Yes">
      <formula>NOT(ISERROR(SEARCH(("Yes"),(P382))))</formula>
    </cfRule>
  </conditionalFormatting>
  <conditionalFormatting sqref="P382 P384:P385 P389:P390 P393:P394 P396 P399:P409">
    <cfRule type="containsText" dxfId="2" priority="50650" operator="containsText" text="Yes">
      <formula>NOT(ISERROR(SEARCH(("Yes"),(P382))))</formula>
    </cfRule>
  </conditionalFormatting>
  <conditionalFormatting sqref="P382 P384:P385 P389:P390 P393:P394 P396 P399:P409">
    <cfRule type="containsText" dxfId="2" priority="50651" operator="containsText" text="Yes">
      <formula>NOT(ISERROR(SEARCH(("Yes"),(P382))))</formula>
    </cfRule>
  </conditionalFormatting>
  <conditionalFormatting sqref="P382 P384:P385 P389:P390 P393:P394 P396 P399:P409">
    <cfRule type="containsText" dxfId="2" priority="50652" operator="containsText" text="Yes">
      <formula>NOT(ISERROR(SEARCH(("Yes"),(P382))))</formula>
    </cfRule>
  </conditionalFormatting>
  <conditionalFormatting sqref="P382 P384:P385 P389:P390 P393:P394 P396 P399:P409">
    <cfRule type="containsText" dxfId="2" priority="50653" operator="containsText" text="Yes">
      <formula>NOT(ISERROR(SEARCH(("Yes"),(P382))))</formula>
    </cfRule>
  </conditionalFormatting>
  <conditionalFormatting sqref="P382 P384:P385 P389:P390 P393:P394 P396 P399:P409">
    <cfRule type="containsText" dxfId="2" priority="50654" operator="containsText" text="Yes">
      <formula>NOT(ISERROR(SEARCH(("Yes"),(P382))))</formula>
    </cfRule>
  </conditionalFormatting>
  <conditionalFormatting sqref="P382 P384:P385 P389:P390 P393:P394 P396 P399:P409">
    <cfRule type="containsText" dxfId="2" priority="50655" operator="containsText" text="Yes">
      <formula>NOT(ISERROR(SEARCH(("Yes"),(P382))))</formula>
    </cfRule>
  </conditionalFormatting>
  <conditionalFormatting sqref="P382 P384:P385 P389:P390 P393:P394 P396 P399:P409">
    <cfRule type="containsText" dxfId="2" priority="50656" operator="containsText" text="Yes">
      <formula>NOT(ISERROR(SEARCH(("Yes"),(P382))))</formula>
    </cfRule>
  </conditionalFormatting>
  <conditionalFormatting sqref="P382 P384:P385 P389:P390 P393:P394 P396 P399:P409">
    <cfRule type="containsText" dxfId="2" priority="50657" operator="containsText" text="Yes">
      <formula>NOT(ISERROR(SEARCH(("Yes"),(P382))))</formula>
    </cfRule>
  </conditionalFormatting>
  <conditionalFormatting sqref="P382 P384:P385 P389:P390 P393:P394 P396 P399:P409">
    <cfRule type="containsText" dxfId="2" priority="50658" operator="containsText" text="Yes">
      <formula>NOT(ISERROR(SEARCH(("Yes"),(P382))))</formula>
    </cfRule>
  </conditionalFormatting>
  <conditionalFormatting sqref="P382 P384:P385 P389:P390 P393:P394 P396 P399:P409">
    <cfRule type="containsText" dxfId="2" priority="50659" operator="containsText" text="Yes">
      <formula>NOT(ISERROR(SEARCH(("Yes"),(P382))))</formula>
    </cfRule>
  </conditionalFormatting>
  <conditionalFormatting sqref="P382 P384:P385 P389:P390 P393:P394 P396 P399:P409">
    <cfRule type="containsText" dxfId="2" priority="50660" operator="containsText" text="Yes">
      <formula>NOT(ISERROR(SEARCH(("Yes"),(P382))))</formula>
    </cfRule>
  </conditionalFormatting>
  <conditionalFormatting sqref="P382 P384:P385 P389:P390 P393:P394 P396 P399:P409">
    <cfRule type="containsText" dxfId="2" priority="50661" operator="containsText" text="Yes">
      <formula>NOT(ISERROR(SEARCH(("Yes"),(P382))))</formula>
    </cfRule>
  </conditionalFormatting>
  <conditionalFormatting sqref="P382 P384:P385 P389:P390 P393:P394 P396 P399:P409">
    <cfRule type="containsText" dxfId="2" priority="50662" operator="containsText" text="Yes">
      <formula>NOT(ISERROR(SEARCH(("Yes"),(P382))))</formula>
    </cfRule>
  </conditionalFormatting>
  <conditionalFormatting sqref="P382 P384:P385 P389:P390 P393:P394 P396 P399:P409">
    <cfRule type="containsText" dxfId="2" priority="50663" operator="containsText" text="Yes">
      <formula>NOT(ISERROR(SEARCH(("Yes"),(P382))))</formula>
    </cfRule>
  </conditionalFormatting>
  <conditionalFormatting sqref="P382 P384:P385 P389:P390 P393:P394 P396 P399:P409">
    <cfRule type="containsText" dxfId="2" priority="50664" operator="containsText" text="Yes">
      <formula>NOT(ISERROR(SEARCH(("Yes"),(P382))))</formula>
    </cfRule>
  </conditionalFormatting>
  <conditionalFormatting sqref="P382 P384:P385 P389:P390 P393:P394 P396 P399:P409">
    <cfRule type="containsText" dxfId="2" priority="50665" operator="containsText" text="Yes">
      <formula>NOT(ISERROR(SEARCH(("Yes"),(P382))))</formula>
    </cfRule>
  </conditionalFormatting>
  <conditionalFormatting sqref="P382 P384:P385 P389:P390 P393:P394 P396 P399:P409">
    <cfRule type="containsText" dxfId="2" priority="50666" operator="containsText" text="Yes">
      <formula>NOT(ISERROR(SEARCH(("Yes"),(P382))))</formula>
    </cfRule>
  </conditionalFormatting>
  <conditionalFormatting sqref="P382 P384:P385 P389:P390 P393:P394 P396 P399:P409">
    <cfRule type="containsText" dxfId="2" priority="50667" operator="containsText" text="Yes">
      <formula>NOT(ISERROR(SEARCH(("Yes"),(P382))))</formula>
    </cfRule>
  </conditionalFormatting>
  <conditionalFormatting sqref="P382 P384:P385 P389:P390 P393:P394 P396 P399:P409">
    <cfRule type="containsText" dxfId="2" priority="50668" operator="containsText" text="Yes">
      <formula>NOT(ISERROR(SEARCH(("Yes"),(P382))))</formula>
    </cfRule>
  </conditionalFormatting>
  <conditionalFormatting sqref="P382 P384:P385 P389:P390 P393:P394 P396 P399:P409">
    <cfRule type="containsText" dxfId="2" priority="50669" operator="containsText" text="Yes">
      <formula>NOT(ISERROR(SEARCH(("Yes"),(P382))))</formula>
    </cfRule>
  </conditionalFormatting>
  <conditionalFormatting sqref="P382 P384:P385 P389:P390 P393:P394 P396 P399:P409">
    <cfRule type="containsText" dxfId="2" priority="50670" operator="containsText" text="Yes">
      <formula>NOT(ISERROR(SEARCH(("Yes"),(P382))))</formula>
    </cfRule>
  </conditionalFormatting>
  <conditionalFormatting sqref="P382 P384:P385 P389:P390 P393:P394 P396 P399:P409">
    <cfRule type="containsText" dxfId="2" priority="50671" operator="containsText" text="Yes">
      <formula>NOT(ISERROR(SEARCH(("Yes"),(P382))))</formula>
    </cfRule>
  </conditionalFormatting>
  <conditionalFormatting sqref="P382 P384:P385 P389:P390 P393:P394 P396 P399:P409">
    <cfRule type="containsText" dxfId="2" priority="50672" operator="containsText" text="Yes">
      <formula>NOT(ISERROR(SEARCH(("Yes"),(P382))))</formula>
    </cfRule>
  </conditionalFormatting>
  <conditionalFormatting sqref="P382 P384:P385 P389:P390 P393:P394 P396 P399:P409">
    <cfRule type="containsText" dxfId="2" priority="50673" operator="containsText" text="Yes">
      <formula>NOT(ISERROR(SEARCH(("Yes"),(P382))))</formula>
    </cfRule>
  </conditionalFormatting>
  <conditionalFormatting sqref="P382 P384:P385 P389:P390 P393:P394 P396 P399:P409">
    <cfRule type="containsText" dxfId="2" priority="50674" operator="containsText" text="Yes">
      <formula>NOT(ISERROR(SEARCH(("Yes"),(P382))))</formula>
    </cfRule>
  </conditionalFormatting>
  <conditionalFormatting sqref="P382 P384:P385 P389:P390 P393:P394 P396 P399:P409">
    <cfRule type="containsText" dxfId="2" priority="50675" operator="containsText" text="Yes">
      <formula>NOT(ISERROR(SEARCH(("Yes"),(P382))))</formula>
    </cfRule>
  </conditionalFormatting>
  <conditionalFormatting sqref="P382 P384:P385 P389:P390 P393:P394 P396 P399:P409">
    <cfRule type="containsText" dxfId="2" priority="50676" operator="containsText" text="Yes">
      <formula>NOT(ISERROR(SEARCH(("Yes"),(P382))))</formula>
    </cfRule>
  </conditionalFormatting>
  <conditionalFormatting sqref="P382 P384:P385 P389:P390 P393:P394 P396 P399:P409">
    <cfRule type="containsText" dxfId="2" priority="50677" operator="containsText" text="Yes">
      <formula>NOT(ISERROR(SEARCH(("Yes"),(P382))))</formula>
    </cfRule>
  </conditionalFormatting>
  <conditionalFormatting sqref="P382 P384:P385 P389:P390 P393:P394 P396 P399:P409">
    <cfRule type="containsText" dxfId="2" priority="50678" operator="containsText" text="Yes">
      <formula>NOT(ISERROR(SEARCH(("Yes"),(P382))))</formula>
    </cfRule>
  </conditionalFormatting>
  <conditionalFormatting sqref="P382 P384:P385 P389:P390 P393:P394 P396 P399:P409">
    <cfRule type="containsText" dxfId="2" priority="50679" operator="containsText" text="Yes">
      <formula>NOT(ISERROR(SEARCH(("Yes"),(P382))))</formula>
    </cfRule>
  </conditionalFormatting>
  <conditionalFormatting sqref="P382 P384:P385 P389:P390 P393:P394 P396 P399:P409">
    <cfRule type="containsText" dxfId="2" priority="50680" operator="containsText" text="Yes">
      <formula>NOT(ISERROR(SEARCH(("Yes"),(P382))))</formula>
    </cfRule>
  </conditionalFormatting>
  <conditionalFormatting sqref="P382 P384:P385 P389:P390 P393:P394 P396 P399:P409">
    <cfRule type="containsText" dxfId="2" priority="50681" operator="containsText" text="Yes">
      <formula>NOT(ISERROR(SEARCH(("Yes"),(P382))))</formula>
    </cfRule>
  </conditionalFormatting>
  <conditionalFormatting sqref="P382 P384:P385 P389:P390 P393:P394 P396 P399:P409">
    <cfRule type="containsText" dxfId="2" priority="50682" operator="containsText" text="Yes">
      <formula>NOT(ISERROR(SEARCH(("Yes"),(P382))))</formula>
    </cfRule>
  </conditionalFormatting>
  <conditionalFormatting sqref="P382 P384:P385 P389:P390 P393:P394 P396 P399:P409">
    <cfRule type="containsText" dxfId="2" priority="50683" operator="containsText" text="Yes">
      <formula>NOT(ISERROR(SEARCH(("Yes"),(P382))))</formula>
    </cfRule>
  </conditionalFormatting>
  <conditionalFormatting sqref="P382 P384:P385 P389:P390 P393:P394 P396 P399:P409">
    <cfRule type="containsText" dxfId="2" priority="50684" operator="containsText" text="Yes">
      <formula>NOT(ISERROR(SEARCH(("Yes"),(P382))))</formula>
    </cfRule>
  </conditionalFormatting>
  <conditionalFormatting sqref="P382 P384:P385 P389:P390 P393:P394 P396 P399:P409">
    <cfRule type="containsText" dxfId="2" priority="50685" operator="containsText" text="Yes">
      <formula>NOT(ISERROR(SEARCH(("Yes"),(P382))))</formula>
    </cfRule>
  </conditionalFormatting>
  <conditionalFormatting sqref="P382 P384:P385 P389:P390 P393:P394 P396 P399:P409">
    <cfRule type="containsText" dxfId="2" priority="50686" operator="containsText" text="Yes">
      <formula>NOT(ISERROR(SEARCH(("Yes"),(P382))))</formula>
    </cfRule>
  </conditionalFormatting>
  <conditionalFormatting sqref="P382 P384:P385 P389:P390 P393:P394 P396 P399:P409">
    <cfRule type="containsText" dxfId="2" priority="50687" operator="containsText" text="Yes">
      <formula>NOT(ISERROR(SEARCH(("Yes"),(P382))))</formula>
    </cfRule>
  </conditionalFormatting>
  <conditionalFormatting sqref="P382 P384:P385 P389:P390 P393:P394 P396 P399:P409">
    <cfRule type="containsText" dxfId="2" priority="50688" operator="containsText" text="Yes">
      <formula>NOT(ISERROR(SEARCH(("Yes"),(P382))))</formula>
    </cfRule>
  </conditionalFormatting>
  <conditionalFormatting sqref="Q382 Q384:Q385 Q389:Q390 Q393:Q394 Q396 Q399:Q409">
    <cfRule type="containsText" dxfId="9" priority="50689" operator="containsText" text="No">
      <formula>NOT(ISERROR(SEARCH(("No"),(Q382))))</formula>
    </cfRule>
  </conditionalFormatting>
  <conditionalFormatting sqref="Q382 Q384:Q385 Q389:Q390 Q393:Q394 Q396 Q399:Q409">
    <cfRule type="containsText" dxfId="9" priority="50690" operator="containsText" text="No">
      <formula>NOT(ISERROR(SEARCH(("No"),(Q382))))</formula>
    </cfRule>
  </conditionalFormatting>
  <conditionalFormatting sqref="Q382 Q384:Q385 Q389:Q390 Q393:Q394 Q396 Q399:Q409">
    <cfRule type="containsText" dxfId="9" priority="50691" operator="containsText" text="No">
      <formula>NOT(ISERROR(SEARCH(("No"),(Q382))))</formula>
    </cfRule>
  </conditionalFormatting>
  <conditionalFormatting sqref="Q382 Q384:Q385 Q389:Q390 Q393:Q394 Q396 Q399:Q409">
    <cfRule type="containsText" dxfId="9" priority="50692" operator="containsText" text="No">
      <formula>NOT(ISERROR(SEARCH(("No"),(Q382))))</formula>
    </cfRule>
  </conditionalFormatting>
  <conditionalFormatting sqref="Q382 Q384:Q385 Q389:Q390 Q393:Q394 Q396 Q399:Q409">
    <cfRule type="containsText" dxfId="9" priority="50693" operator="containsText" text="No">
      <formula>NOT(ISERROR(SEARCH(("No"),(Q382))))</formula>
    </cfRule>
  </conditionalFormatting>
  <conditionalFormatting sqref="Q382 Q384:Q385 Q389:Q390 Q393:Q394 Q396 Q399:Q409">
    <cfRule type="containsText" dxfId="9" priority="50694" operator="containsText" text="No">
      <formula>NOT(ISERROR(SEARCH(("No"),(Q382))))</formula>
    </cfRule>
  </conditionalFormatting>
  <conditionalFormatting sqref="Q382 Q384:Q385 Q389:Q390 Q393:Q394 Q396 Q399:Q409">
    <cfRule type="containsText" dxfId="9" priority="50695" operator="containsText" text="No">
      <formula>NOT(ISERROR(SEARCH(("No"),(Q382))))</formula>
    </cfRule>
  </conditionalFormatting>
  <conditionalFormatting sqref="Q382 Q384:Q385 Q389:Q390 Q393:Q394 Q396 Q399:Q409">
    <cfRule type="containsText" dxfId="9" priority="50696" operator="containsText" text="No">
      <formula>NOT(ISERROR(SEARCH(("No"),(Q382))))</formula>
    </cfRule>
  </conditionalFormatting>
  <conditionalFormatting sqref="Q382 Q384:Q385 Q389:Q390 Q393:Q394 Q396 Q399:Q409">
    <cfRule type="containsText" dxfId="9" priority="50697" operator="containsText" text="No">
      <formula>NOT(ISERROR(SEARCH(("No"),(Q382))))</formula>
    </cfRule>
  </conditionalFormatting>
  <conditionalFormatting sqref="Q382 Q384:Q385 Q389:Q390 Q393:Q394 Q396 Q399:Q409">
    <cfRule type="containsText" dxfId="9" priority="50698" operator="containsText" text="No">
      <formula>NOT(ISERROR(SEARCH(("No"),(Q382))))</formula>
    </cfRule>
  </conditionalFormatting>
  <conditionalFormatting sqref="Q382 Q384:Q385 Q389:Q390 Q393:Q394 Q396 Q399:Q409">
    <cfRule type="containsText" dxfId="9" priority="50699" operator="containsText" text="No">
      <formula>NOT(ISERROR(SEARCH(("No"),(Q382))))</formula>
    </cfRule>
  </conditionalFormatting>
  <conditionalFormatting sqref="Q382 Q384:Q385 Q389:Q390 Q393:Q394 Q396 Q399:Q409">
    <cfRule type="containsText" dxfId="9" priority="50700" operator="containsText" text="No">
      <formula>NOT(ISERROR(SEARCH(("No"),(Q382))))</formula>
    </cfRule>
  </conditionalFormatting>
  <conditionalFormatting sqref="Q382 Q384:Q385 Q389:Q390 Q393:Q394 Q396 Q399:Q409">
    <cfRule type="containsText" dxfId="9" priority="50701" operator="containsText" text="No">
      <formula>NOT(ISERROR(SEARCH(("No"),(Q382))))</formula>
    </cfRule>
  </conditionalFormatting>
  <conditionalFormatting sqref="Q382 Q384:Q385 Q389:Q390 Q393:Q394 Q396 Q399:Q409">
    <cfRule type="containsText" dxfId="9" priority="50702" operator="containsText" text="No">
      <formula>NOT(ISERROR(SEARCH(("No"),(Q382))))</formula>
    </cfRule>
  </conditionalFormatting>
  <conditionalFormatting sqref="Q382 Q384:Q385 Q389:Q390 Q393:Q394 Q396 Q399:Q409">
    <cfRule type="containsText" dxfId="9" priority="50703" operator="containsText" text="No">
      <formula>NOT(ISERROR(SEARCH(("No"),(Q382))))</formula>
    </cfRule>
  </conditionalFormatting>
  <conditionalFormatting sqref="Q382 Q384:Q385 Q389:Q390 Q393:Q394 Q396 Q399:Q409">
    <cfRule type="containsText" dxfId="9" priority="50704" operator="containsText" text="No">
      <formula>NOT(ISERROR(SEARCH(("No"),(Q382))))</formula>
    </cfRule>
  </conditionalFormatting>
  <conditionalFormatting sqref="Q382 Q384:Q385 Q389:Q390 Q393:Q394 Q396 Q399:Q409">
    <cfRule type="containsText" dxfId="9" priority="50705" operator="containsText" text="No">
      <formula>NOT(ISERROR(SEARCH(("No"),(Q382))))</formula>
    </cfRule>
  </conditionalFormatting>
  <conditionalFormatting sqref="Q382 Q384:Q385 Q389:Q390 Q393:Q394 Q396 Q399:Q409">
    <cfRule type="containsText" dxfId="9" priority="50706" operator="containsText" text="No">
      <formula>NOT(ISERROR(SEARCH(("No"),(Q382))))</formula>
    </cfRule>
  </conditionalFormatting>
  <conditionalFormatting sqref="Q382 Q384:Q385 Q389:Q390 Q393:Q394 Q396 Q399:Q409">
    <cfRule type="containsText" dxfId="9" priority="50707" operator="containsText" text="No">
      <formula>NOT(ISERROR(SEARCH(("No"),(Q382))))</formula>
    </cfRule>
  </conditionalFormatting>
  <conditionalFormatting sqref="Q382 Q384:Q385 Q389:Q390 Q393:Q394 Q396 Q399:Q409">
    <cfRule type="containsText" dxfId="9" priority="50708" operator="containsText" text="No">
      <formula>NOT(ISERROR(SEARCH(("No"),(Q382))))</formula>
    </cfRule>
  </conditionalFormatting>
  <conditionalFormatting sqref="Q382 Q384:Q385 Q389:Q390 Q393:Q394 Q396 Q399:Q409">
    <cfRule type="containsText" dxfId="9" priority="50709" operator="containsText" text="No">
      <formula>NOT(ISERROR(SEARCH(("No"),(Q382))))</formula>
    </cfRule>
  </conditionalFormatting>
  <conditionalFormatting sqref="Q382 Q384:Q385 Q389:Q390 Q393:Q394 Q396 Q399:Q409">
    <cfRule type="containsText" dxfId="9" priority="50710" operator="containsText" text="No">
      <formula>NOT(ISERROR(SEARCH(("No"),(Q382))))</formula>
    </cfRule>
  </conditionalFormatting>
  <conditionalFormatting sqref="Q382 Q384:Q385 Q389:Q390 Q393:Q394 Q396 Q399:Q409">
    <cfRule type="containsText" dxfId="9" priority="50711" operator="containsText" text="No">
      <formula>NOT(ISERROR(SEARCH(("No"),(Q382))))</formula>
    </cfRule>
  </conditionalFormatting>
  <conditionalFormatting sqref="Q382 Q384:Q385 Q389:Q390 Q393:Q394 Q396 Q399:Q409">
    <cfRule type="containsText" dxfId="9" priority="50712" operator="containsText" text="No">
      <formula>NOT(ISERROR(SEARCH(("No"),(Q382))))</formula>
    </cfRule>
  </conditionalFormatting>
  <conditionalFormatting sqref="Q382 Q384:Q385 Q389:Q390 Q393:Q394 Q396 Q399:Q409">
    <cfRule type="containsText" dxfId="9" priority="50713" operator="containsText" text="No">
      <formula>NOT(ISERROR(SEARCH(("No"),(Q382))))</formula>
    </cfRule>
  </conditionalFormatting>
  <conditionalFormatting sqref="Q382 Q384:Q385 Q389:Q390 Q393:Q394 Q396 Q399:Q409">
    <cfRule type="containsText" dxfId="9" priority="50714" operator="containsText" text="No">
      <formula>NOT(ISERROR(SEARCH(("No"),(Q382))))</formula>
    </cfRule>
  </conditionalFormatting>
  <conditionalFormatting sqref="Q382 Q384:Q385 Q389:Q390 Q393:Q394 Q396 Q399:Q409">
    <cfRule type="containsText" dxfId="9" priority="50715" operator="containsText" text="No">
      <formula>NOT(ISERROR(SEARCH(("No"),(Q382))))</formula>
    </cfRule>
  </conditionalFormatting>
  <conditionalFormatting sqref="Q382 Q384:Q385 Q389:Q390 Q393:Q394 Q396 Q399:Q409">
    <cfRule type="containsText" dxfId="9" priority="50716" operator="containsText" text="No">
      <formula>NOT(ISERROR(SEARCH(("No"),(Q382))))</formula>
    </cfRule>
  </conditionalFormatting>
  <conditionalFormatting sqref="Q382 Q384:Q385 Q389:Q390 Q393:Q394 Q396 Q399:Q409">
    <cfRule type="containsText" dxfId="9" priority="50717" operator="containsText" text="No">
      <formula>NOT(ISERROR(SEARCH(("No"),(Q382))))</formula>
    </cfRule>
  </conditionalFormatting>
  <conditionalFormatting sqref="Q382 Q384:Q385 Q389:Q390 Q393:Q394 Q396 Q399:Q409">
    <cfRule type="containsText" dxfId="9" priority="50718" operator="containsText" text="No">
      <formula>NOT(ISERROR(SEARCH(("No"),(Q382))))</formula>
    </cfRule>
  </conditionalFormatting>
  <conditionalFormatting sqref="Q382 Q384:Q385 Q389:Q390 Q393:Q394 Q396 Q399:Q409">
    <cfRule type="containsText" dxfId="9" priority="50719" operator="containsText" text="No">
      <formula>NOT(ISERROR(SEARCH(("No"),(Q382))))</formula>
    </cfRule>
  </conditionalFormatting>
  <conditionalFormatting sqref="Q382 Q384:Q385 Q389:Q390 Q393:Q394 Q396 Q399:Q409">
    <cfRule type="containsText" dxfId="9" priority="50720" operator="containsText" text="No">
      <formula>NOT(ISERROR(SEARCH(("No"),(Q382))))</formula>
    </cfRule>
  </conditionalFormatting>
  <conditionalFormatting sqref="Q382 Q384:Q385 Q389:Q390 Q393:Q394 Q396 Q399:Q409">
    <cfRule type="containsText" dxfId="9" priority="50721" operator="containsText" text="No">
      <formula>NOT(ISERROR(SEARCH(("No"),(Q382))))</formula>
    </cfRule>
  </conditionalFormatting>
  <conditionalFormatting sqref="Q382 Q384:Q385 Q389:Q390 Q393:Q394 Q396 Q399:Q409">
    <cfRule type="containsText" dxfId="9" priority="50722" operator="containsText" text="No">
      <formula>NOT(ISERROR(SEARCH(("No"),(Q382))))</formula>
    </cfRule>
  </conditionalFormatting>
  <conditionalFormatting sqref="Q382 Q384:Q385 Q389:Q390 Q393:Q394 Q396 Q399:Q409">
    <cfRule type="containsText" dxfId="9" priority="50723" operator="containsText" text="No">
      <formula>NOT(ISERROR(SEARCH(("No"),(Q382))))</formula>
    </cfRule>
  </conditionalFormatting>
  <conditionalFormatting sqref="Q382 Q384:Q385 Q389:Q390 Q393:Q394 Q396 Q399:Q409">
    <cfRule type="containsText" dxfId="9" priority="50724" operator="containsText" text="No">
      <formula>NOT(ISERROR(SEARCH(("No"),(Q382))))</formula>
    </cfRule>
  </conditionalFormatting>
  <conditionalFormatting sqref="Q382 Q384:Q385 Q389:Q390 Q393:Q394 Q396 Q399:Q409">
    <cfRule type="containsText" dxfId="9" priority="50725" operator="containsText" text="No">
      <formula>NOT(ISERROR(SEARCH(("No"),(Q382))))</formula>
    </cfRule>
  </conditionalFormatting>
  <conditionalFormatting sqref="Q382 Q384:Q385 Q389:Q390 Q393:Q394 Q396 Q399:Q409">
    <cfRule type="containsText" dxfId="9" priority="50726" operator="containsText" text="No">
      <formula>NOT(ISERROR(SEARCH(("No"),(Q382))))</formula>
    </cfRule>
  </conditionalFormatting>
  <conditionalFormatting sqref="Q382 Q384:Q385 Q389:Q390 Q393:Q394 Q396 Q399:Q409">
    <cfRule type="containsText" dxfId="9" priority="50727" operator="containsText" text="No">
      <formula>NOT(ISERROR(SEARCH(("No"),(Q382))))</formula>
    </cfRule>
  </conditionalFormatting>
  <conditionalFormatting sqref="Q382 Q384:Q385 Q389:Q390 Q393:Q394 Q396 Q399:Q409">
    <cfRule type="containsText" dxfId="9" priority="50728" operator="containsText" text="No">
      <formula>NOT(ISERROR(SEARCH(("No"),(Q382))))</formula>
    </cfRule>
  </conditionalFormatting>
  <conditionalFormatting sqref="Q382 Q384:Q385 Q389:Q390 Q393:Q394 Q396 Q399:Q409">
    <cfRule type="containsText" dxfId="9" priority="50729" operator="containsText" text="No">
      <formula>NOT(ISERROR(SEARCH(("No"),(Q382))))</formula>
    </cfRule>
  </conditionalFormatting>
  <conditionalFormatting sqref="Q382 Q384:Q385 Q389:Q390 Q393:Q394 Q396 Q399:Q409">
    <cfRule type="containsText" dxfId="9" priority="50730" operator="containsText" text="No">
      <formula>NOT(ISERROR(SEARCH(("No"),(Q382))))</formula>
    </cfRule>
  </conditionalFormatting>
  <conditionalFormatting sqref="Q382 Q384:Q385 Q389:Q390 Q393:Q394 Q396 Q399:Q409">
    <cfRule type="containsText" dxfId="9" priority="50731" operator="containsText" text="No">
      <formula>NOT(ISERROR(SEARCH(("No"),(Q382))))</formula>
    </cfRule>
  </conditionalFormatting>
  <conditionalFormatting sqref="Q382 Q384:Q385 Q389:Q390 Q393:Q394 Q396 Q399:Q409">
    <cfRule type="containsText" dxfId="9" priority="50732" operator="containsText" text="No">
      <formula>NOT(ISERROR(SEARCH(("No"),(Q382))))</formula>
    </cfRule>
  </conditionalFormatting>
  <conditionalFormatting sqref="Q382 Q384:Q385 Q389:Q390 Q393:Q394 Q396 Q399:Q409">
    <cfRule type="containsText" dxfId="9" priority="50733" operator="containsText" text="No">
      <formula>NOT(ISERROR(SEARCH(("No"),(Q382))))</formula>
    </cfRule>
  </conditionalFormatting>
  <conditionalFormatting sqref="Q382 Q384:Q385 Q389:Q390 Q393:Q394 Q396 Q399:Q409">
    <cfRule type="containsText" dxfId="2" priority="50734" operator="containsText" text="Yes">
      <formula>NOT(ISERROR(SEARCH(("Yes"),(Q382))))</formula>
    </cfRule>
  </conditionalFormatting>
  <conditionalFormatting sqref="Q382 Q384:Q385 Q389:Q390 Q393:Q394 Q396 Q399:Q409">
    <cfRule type="containsText" dxfId="2" priority="50735" operator="containsText" text="Yes">
      <formula>NOT(ISERROR(SEARCH(("Yes"),(Q382))))</formula>
    </cfRule>
  </conditionalFormatting>
  <conditionalFormatting sqref="Q382 Q384:Q385 Q389:Q390 Q393:Q394 Q396 Q399:Q409">
    <cfRule type="containsText" dxfId="2" priority="50736" operator="containsText" text="Yes">
      <formula>NOT(ISERROR(SEARCH(("Yes"),(Q382))))</formula>
    </cfRule>
  </conditionalFormatting>
  <conditionalFormatting sqref="Q382 Q384:Q385 Q389:Q390 Q393:Q394 Q396 Q399:Q409">
    <cfRule type="containsText" dxfId="2" priority="50737" operator="containsText" text="Yes">
      <formula>NOT(ISERROR(SEARCH(("Yes"),(Q382))))</formula>
    </cfRule>
  </conditionalFormatting>
  <conditionalFormatting sqref="Q382 Q384:Q385 Q389:Q390 Q393:Q394 Q396 Q399:Q409">
    <cfRule type="containsText" dxfId="2" priority="50738" operator="containsText" text="Yes">
      <formula>NOT(ISERROR(SEARCH(("Yes"),(Q382))))</formula>
    </cfRule>
  </conditionalFormatting>
  <conditionalFormatting sqref="Q382 Q384:Q385 Q389:Q390 Q393:Q394 Q396 Q399:Q409">
    <cfRule type="containsText" dxfId="2" priority="50739" operator="containsText" text="Yes">
      <formula>NOT(ISERROR(SEARCH(("Yes"),(Q382))))</formula>
    </cfRule>
  </conditionalFormatting>
  <conditionalFormatting sqref="Q382 Q384:Q385 Q389:Q390 Q393:Q394 Q396 Q399:Q409">
    <cfRule type="containsText" dxfId="2" priority="50740" operator="containsText" text="Yes">
      <formula>NOT(ISERROR(SEARCH(("Yes"),(Q382))))</formula>
    </cfRule>
  </conditionalFormatting>
  <conditionalFormatting sqref="Q382 Q384:Q385 Q389:Q390 Q393:Q394 Q396 Q399:Q409">
    <cfRule type="containsText" dxfId="2" priority="50741" operator="containsText" text="Yes">
      <formula>NOT(ISERROR(SEARCH(("Yes"),(Q382))))</formula>
    </cfRule>
  </conditionalFormatting>
  <conditionalFormatting sqref="Q382 Q384:Q385 Q389:Q390 Q393:Q394 Q396 Q399:Q409">
    <cfRule type="containsText" dxfId="2" priority="50742" operator="containsText" text="Yes">
      <formula>NOT(ISERROR(SEARCH(("Yes"),(Q382))))</formula>
    </cfRule>
  </conditionalFormatting>
  <conditionalFormatting sqref="Q382 Q384:Q385 Q389:Q390 Q393:Q394 Q396 Q399:Q409">
    <cfRule type="containsText" dxfId="2" priority="50743" operator="containsText" text="Yes">
      <formula>NOT(ISERROR(SEARCH(("Yes"),(Q382))))</formula>
    </cfRule>
  </conditionalFormatting>
  <conditionalFormatting sqref="Q382 Q384:Q385 Q389:Q390 Q393:Q394 Q396 Q399:Q409">
    <cfRule type="containsText" dxfId="2" priority="50744" operator="containsText" text="Yes">
      <formula>NOT(ISERROR(SEARCH(("Yes"),(Q382))))</formula>
    </cfRule>
  </conditionalFormatting>
  <conditionalFormatting sqref="Q382 Q384:Q385 Q389:Q390 Q393:Q394 Q396 Q399:Q409">
    <cfRule type="containsText" dxfId="2" priority="50745" operator="containsText" text="Yes">
      <formula>NOT(ISERROR(SEARCH(("Yes"),(Q382))))</formula>
    </cfRule>
  </conditionalFormatting>
  <conditionalFormatting sqref="Q382 Q384:Q385 Q389:Q390 Q393:Q394 Q396 Q399:Q409">
    <cfRule type="containsText" dxfId="2" priority="50746" operator="containsText" text="Yes">
      <formula>NOT(ISERROR(SEARCH(("Yes"),(Q382))))</formula>
    </cfRule>
  </conditionalFormatting>
  <conditionalFormatting sqref="Q382 Q384:Q385 Q389:Q390 Q393:Q394 Q396 Q399:Q409">
    <cfRule type="containsText" dxfId="2" priority="50747" operator="containsText" text="Yes">
      <formula>NOT(ISERROR(SEARCH(("Yes"),(Q382))))</formula>
    </cfRule>
  </conditionalFormatting>
  <conditionalFormatting sqref="Q382 Q384:Q385 Q389:Q390 Q393:Q394 Q396 Q399:Q409">
    <cfRule type="containsText" dxfId="2" priority="50748" operator="containsText" text="Yes">
      <formula>NOT(ISERROR(SEARCH(("Yes"),(Q382))))</formula>
    </cfRule>
  </conditionalFormatting>
  <conditionalFormatting sqref="Q382 Q384:Q385 Q389:Q390 Q393:Q394 Q396 Q399:Q409">
    <cfRule type="containsText" dxfId="2" priority="50749" operator="containsText" text="Yes">
      <formula>NOT(ISERROR(SEARCH(("Yes"),(Q382))))</formula>
    </cfRule>
  </conditionalFormatting>
  <conditionalFormatting sqref="Q382 Q384:Q385 Q389:Q390 Q393:Q394 Q396 Q399:Q409">
    <cfRule type="containsText" dxfId="2" priority="50750" operator="containsText" text="Yes">
      <formula>NOT(ISERROR(SEARCH(("Yes"),(Q382))))</formula>
    </cfRule>
  </conditionalFormatting>
  <conditionalFormatting sqref="Q382 Q384:Q385 Q389:Q390 Q393:Q394 Q396 Q399:Q409">
    <cfRule type="containsText" dxfId="2" priority="50751" operator="containsText" text="Yes">
      <formula>NOT(ISERROR(SEARCH(("Yes"),(Q382))))</formula>
    </cfRule>
  </conditionalFormatting>
  <conditionalFormatting sqref="Q382 Q384:Q385 Q389:Q390 Q393:Q394 Q396 Q399:Q409">
    <cfRule type="containsText" dxfId="2" priority="50752" operator="containsText" text="Yes">
      <formula>NOT(ISERROR(SEARCH(("Yes"),(Q382))))</formula>
    </cfRule>
  </conditionalFormatting>
  <conditionalFormatting sqref="Q382 Q384:Q385 Q389:Q390 Q393:Q394 Q396 Q399:Q409">
    <cfRule type="containsText" dxfId="2" priority="50753" operator="containsText" text="Yes">
      <formula>NOT(ISERROR(SEARCH(("Yes"),(Q382))))</formula>
    </cfRule>
  </conditionalFormatting>
  <conditionalFormatting sqref="Q382 Q384:Q385 Q389:Q390 Q393:Q394 Q396 Q399:Q409">
    <cfRule type="containsText" dxfId="2" priority="50754" operator="containsText" text="Yes">
      <formula>NOT(ISERROR(SEARCH(("Yes"),(Q382))))</formula>
    </cfRule>
  </conditionalFormatting>
  <conditionalFormatting sqref="Q382 Q384:Q385 Q389:Q390 Q393:Q394 Q396 Q399:Q409">
    <cfRule type="containsText" dxfId="2" priority="50755" operator="containsText" text="Yes">
      <formula>NOT(ISERROR(SEARCH(("Yes"),(Q382))))</formula>
    </cfRule>
  </conditionalFormatting>
  <conditionalFormatting sqref="Q382 Q384:Q385 Q389:Q390 Q393:Q394 Q396 Q399:Q409">
    <cfRule type="containsText" dxfId="2" priority="50756" operator="containsText" text="Yes">
      <formula>NOT(ISERROR(SEARCH(("Yes"),(Q382))))</formula>
    </cfRule>
  </conditionalFormatting>
  <conditionalFormatting sqref="Q382 Q384:Q385 Q389:Q390 Q393:Q394 Q396 Q399:Q409">
    <cfRule type="containsText" dxfId="2" priority="50757" operator="containsText" text="Yes">
      <formula>NOT(ISERROR(SEARCH(("Yes"),(Q382))))</formula>
    </cfRule>
  </conditionalFormatting>
  <conditionalFormatting sqref="Q382 Q384:Q385 Q389:Q390 Q393:Q394 Q396 Q399:Q409">
    <cfRule type="containsText" dxfId="2" priority="50758" operator="containsText" text="Yes">
      <formula>NOT(ISERROR(SEARCH(("Yes"),(Q382))))</formula>
    </cfRule>
  </conditionalFormatting>
  <conditionalFormatting sqref="Q382 Q384:Q385 Q389:Q390 Q393:Q394 Q396 Q399:Q409">
    <cfRule type="containsText" dxfId="2" priority="50759" operator="containsText" text="Yes">
      <formula>NOT(ISERROR(SEARCH(("Yes"),(Q382))))</formula>
    </cfRule>
  </conditionalFormatting>
  <conditionalFormatting sqref="Q382 Q384:Q385 Q389:Q390 Q393:Q394 Q396 Q399:Q409">
    <cfRule type="containsText" dxfId="2" priority="50760" operator="containsText" text="Yes">
      <formula>NOT(ISERROR(SEARCH(("Yes"),(Q382))))</formula>
    </cfRule>
  </conditionalFormatting>
  <conditionalFormatting sqref="Q382 Q384:Q385 Q389:Q390 Q393:Q394 Q396 Q399:Q409">
    <cfRule type="containsText" dxfId="2" priority="50761" operator="containsText" text="Yes">
      <formula>NOT(ISERROR(SEARCH(("Yes"),(Q382))))</formula>
    </cfRule>
  </conditionalFormatting>
  <conditionalFormatting sqref="Q382 Q384:Q385 Q389:Q390 Q393:Q394 Q396 Q399:Q409">
    <cfRule type="containsText" dxfId="2" priority="50762" operator="containsText" text="Yes">
      <formula>NOT(ISERROR(SEARCH(("Yes"),(Q382))))</formula>
    </cfRule>
  </conditionalFormatting>
  <conditionalFormatting sqref="Q382 Q384:Q385 Q389:Q390 Q393:Q394 Q396 Q399:Q409">
    <cfRule type="containsText" dxfId="2" priority="50763" operator="containsText" text="Yes">
      <formula>NOT(ISERROR(SEARCH(("Yes"),(Q382))))</formula>
    </cfRule>
  </conditionalFormatting>
  <conditionalFormatting sqref="Q382 Q384:Q385 Q389:Q390 Q393:Q394 Q396 Q399:Q409">
    <cfRule type="containsText" dxfId="2" priority="50764" operator="containsText" text="Yes">
      <formula>NOT(ISERROR(SEARCH(("Yes"),(Q382))))</formula>
    </cfRule>
  </conditionalFormatting>
  <conditionalFormatting sqref="Q382 Q384:Q385 Q389:Q390 Q393:Q394 Q396 Q399:Q409">
    <cfRule type="containsText" dxfId="2" priority="50765" operator="containsText" text="Yes">
      <formula>NOT(ISERROR(SEARCH(("Yes"),(Q382))))</formula>
    </cfRule>
  </conditionalFormatting>
  <conditionalFormatting sqref="Q382 Q384:Q385 Q389:Q390 Q393:Q394 Q396 Q399:Q409">
    <cfRule type="containsText" dxfId="2" priority="50766" operator="containsText" text="Yes">
      <formula>NOT(ISERROR(SEARCH(("Yes"),(Q382))))</formula>
    </cfRule>
  </conditionalFormatting>
  <conditionalFormatting sqref="Q382 Q384:Q385 Q389:Q390 Q393:Q394 Q396 Q399:Q409">
    <cfRule type="containsText" dxfId="2" priority="50767" operator="containsText" text="Yes">
      <formula>NOT(ISERROR(SEARCH(("Yes"),(Q382))))</formula>
    </cfRule>
  </conditionalFormatting>
  <conditionalFormatting sqref="Q382 Q384:Q385 Q389:Q390 Q393:Q394 Q396 Q399:Q409">
    <cfRule type="containsText" dxfId="2" priority="50768" operator="containsText" text="Yes">
      <formula>NOT(ISERROR(SEARCH(("Yes"),(Q382))))</formula>
    </cfRule>
  </conditionalFormatting>
  <conditionalFormatting sqref="Q382 Q384:Q385 Q389:Q390 Q393:Q394 Q396 Q399:Q409">
    <cfRule type="containsText" dxfId="2" priority="50769" operator="containsText" text="Yes">
      <formula>NOT(ISERROR(SEARCH(("Yes"),(Q382))))</formula>
    </cfRule>
  </conditionalFormatting>
  <conditionalFormatting sqref="Q382 Q384:Q385 Q389:Q390 Q393:Q394 Q396 Q399:Q409">
    <cfRule type="containsText" dxfId="2" priority="50770" operator="containsText" text="Yes">
      <formula>NOT(ISERROR(SEARCH(("Yes"),(Q382))))</formula>
    </cfRule>
  </conditionalFormatting>
  <conditionalFormatting sqref="Q382 Q384:Q385 Q389:Q390 Q393:Q394 Q396 Q399:Q409">
    <cfRule type="containsText" dxfId="2" priority="50771" operator="containsText" text="Yes">
      <formula>NOT(ISERROR(SEARCH(("Yes"),(Q382))))</formula>
    </cfRule>
  </conditionalFormatting>
  <conditionalFormatting sqref="Q382 Q384:Q385 Q389:Q390 Q393:Q394 Q396 Q399:Q409">
    <cfRule type="containsText" dxfId="2" priority="50772" operator="containsText" text="Yes">
      <formula>NOT(ISERROR(SEARCH(("Yes"),(Q382))))</formula>
    </cfRule>
  </conditionalFormatting>
  <conditionalFormatting sqref="Q382 Q384:Q385 Q389:Q390 Q393:Q394 Q396 Q399:Q409">
    <cfRule type="containsText" dxfId="2" priority="50773" operator="containsText" text="Yes">
      <formula>NOT(ISERROR(SEARCH(("Yes"),(Q382))))</formula>
    </cfRule>
  </conditionalFormatting>
  <conditionalFormatting sqref="Q382 Q384:Q385 Q389:Q390 Q393:Q394 Q396 Q399:Q409">
    <cfRule type="containsText" dxfId="2" priority="50774" operator="containsText" text="Yes">
      <formula>NOT(ISERROR(SEARCH(("Yes"),(Q382))))</formula>
    </cfRule>
  </conditionalFormatting>
  <conditionalFormatting sqref="Q382 Q384:Q385 Q389:Q390 Q393:Q394 Q396 Q399:Q409">
    <cfRule type="containsText" dxfId="2" priority="50775" operator="containsText" text="Yes">
      <formula>NOT(ISERROR(SEARCH(("Yes"),(Q382))))</formula>
    </cfRule>
  </conditionalFormatting>
  <conditionalFormatting sqref="Q382 Q384:Q385 Q389:Q390 Q393:Q394 Q396 Q399:Q409">
    <cfRule type="containsText" dxfId="2" priority="50776" operator="containsText" text="Yes">
      <formula>NOT(ISERROR(SEARCH(("Yes"),(Q382))))</formula>
    </cfRule>
  </conditionalFormatting>
  <conditionalFormatting sqref="Q382 Q384:Q385 Q389:Q390 Q393:Q394 Q396 Q399:Q409">
    <cfRule type="containsText" dxfId="2" priority="50777" operator="containsText" text="Yes">
      <formula>NOT(ISERROR(SEARCH(("Yes"),(Q382))))</formula>
    </cfRule>
  </conditionalFormatting>
  <conditionalFormatting sqref="Q382 Q384:Q385 Q389:Q390 Q393:Q394 Q396 Q399:Q409">
    <cfRule type="containsText" dxfId="2" priority="50778" operator="containsText" text="Yes">
      <formula>NOT(ISERROR(SEARCH(("Yes"),(Q382))))</formula>
    </cfRule>
  </conditionalFormatting>
  <conditionalFormatting sqref="Q382 Q384:Q385 Q389:Q390 Q393:Q394 Q396 Q399:Q409">
    <cfRule type="containsText" dxfId="2" priority="50779" operator="containsText" text="Yes">
      <formula>NOT(ISERROR(SEARCH(("Yes"),(Q382))))</formula>
    </cfRule>
  </conditionalFormatting>
  <conditionalFormatting sqref="Q382 Q384:Q385 Q389:Q390 Q393:Q394 Q396 Q399:Q409">
    <cfRule type="containsText" dxfId="2" priority="50780" operator="containsText" text="Yes">
      <formula>NOT(ISERROR(SEARCH(("Yes"),(Q382))))</formula>
    </cfRule>
  </conditionalFormatting>
  <conditionalFormatting sqref="P383:P384">
    <cfRule type="containsText" dxfId="9" priority="50781" operator="containsText" text="No">
      <formula>NOT(ISERROR(SEARCH(("No"),(P383))))</formula>
    </cfRule>
  </conditionalFormatting>
  <conditionalFormatting sqref="P383:P384">
    <cfRule type="containsText" dxfId="9" priority="50782" operator="containsText" text="No">
      <formula>NOT(ISERROR(SEARCH(("No"),(P383))))</formula>
    </cfRule>
  </conditionalFormatting>
  <conditionalFormatting sqref="P383:P384">
    <cfRule type="containsText" dxfId="9" priority="50783" operator="containsText" text="No">
      <formula>NOT(ISERROR(SEARCH(("No"),(P383))))</formula>
    </cfRule>
  </conditionalFormatting>
  <conditionalFormatting sqref="P383:P384">
    <cfRule type="containsText" dxfId="9" priority="50784" operator="containsText" text="No">
      <formula>NOT(ISERROR(SEARCH(("No"),(P383))))</formula>
    </cfRule>
  </conditionalFormatting>
  <conditionalFormatting sqref="P383:P384">
    <cfRule type="containsText" dxfId="9" priority="50785" operator="containsText" text="No">
      <formula>NOT(ISERROR(SEARCH(("No"),(P383))))</formula>
    </cfRule>
  </conditionalFormatting>
  <conditionalFormatting sqref="P383:P384">
    <cfRule type="containsText" dxfId="9" priority="50786" operator="containsText" text="No">
      <formula>NOT(ISERROR(SEARCH(("No"),(P383))))</formula>
    </cfRule>
  </conditionalFormatting>
  <conditionalFormatting sqref="P383:P384">
    <cfRule type="containsText" dxfId="9" priority="50787" operator="containsText" text="No">
      <formula>NOT(ISERROR(SEARCH(("No"),(P383))))</formula>
    </cfRule>
  </conditionalFormatting>
  <conditionalFormatting sqref="P383:P384">
    <cfRule type="containsText" dxfId="9" priority="50788" operator="containsText" text="No">
      <formula>NOT(ISERROR(SEARCH(("No"),(P383))))</formula>
    </cfRule>
  </conditionalFormatting>
  <conditionalFormatting sqref="P383:P384">
    <cfRule type="containsText" dxfId="9" priority="50789" operator="containsText" text="No">
      <formula>NOT(ISERROR(SEARCH(("No"),(P383))))</formula>
    </cfRule>
  </conditionalFormatting>
  <conditionalFormatting sqref="P383:P384">
    <cfRule type="containsText" dxfId="9" priority="50790" operator="containsText" text="No">
      <formula>NOT(ISERROR(SEARCH(("No"),(P383))))</formula>
    </cfRule>
  </conditionalFormatting>
  <conditionalFormatting sqref="P383:P384">
    <cfRule type="containsText" dxfId="9" priority="50791" operator="containsText" text="No">
      <formula>NOT(ISERROR(SEARCH(("No"),(P383))))</formula>
    </cfRule>
  </conditionalFormatting>
  <conditionalFormatting sqref="P383:P384">
    <cfRule type="containsText" dxfId="9" priority="50792" operator="containsText" text="No">
      <formula>NOT(ISERROR(SEARCH(("No"),(P383))))</formula>
    </cfRule>
  </conditionalFormatting>
  <conditionalFormatting sqref="P383:P384">
    <cfRule type="containsText" dxfId="9" priority="50793" operator="containsText" text="No">
      <formula>NOT(ISERROR(SEARCH(("No"),(P383))))</formula>
    </cfRule>
  </conditionalFormatting>
  <conditionalFormatting sqref="P383:P384">
    <cfRule type="containsText" dxfId="9" priority="50794" operator="containsText" text="No">
      <formula>NOT(ISERROR(SEARCH(("No"),(P383))))</formula>
    </cfRule>
  </conditionalFormatting>
  <conditionalFormatting sqref="P383:P384">
    <cfRule type="containsText" dxfId="9" priority="50795" operator="containsText" text="No">
      <formula>NOT(ISERROR(SEARCH(("No"),(P383))))</formula>
    </cfRule>
  </conditionalFormatting>
  <conditionalFormatting sqref="P383:P384">
    <cfRule type="containsText" dxfId="9" priority="50796" operator="containsText" text="No">
      <formula>NOT(ISERROR(SEARCH(("No"),(P383))))</formula>
    </cfRule>
  </conditionalFormatting>
  <conditionalFormatting sqref="P383:P384">
    <cfRule type="containsText" dxfId="9" priority="50797" operator="containsText" text="No">
      <formula>NOT(ISERROR(SEARCH(("No"),(P383))))</formula>
    </cfRule>
  </conditionalFormatting>
  <conditionalFormatting sqref="P383:P384">
    <cfRule type="containsText" dxfId="9" priority="50798" operator="containsText" text="No">
      <formula>NOT(ISERROR(SEARCH(("No"),(P383))))</formula>
    </cfRule>
  </conditionalFormatting>
  <conditionalFormatting sqref="P383:P384">
    <cfRule type="containsText" dxfId="9" priority="50799" operator="containsText" text="No">
      <formula>NOT(ISERROR(SEARCH(("No"),(P383))))</formula>
    </cfRule>
  </conditionalFormatting>
  <conditionalFormatting sqref="P383:P384">
    <cfRule type="containsText" dxfId="9" priority="50800" operator="containsText" text="No">
      <formula>NOT(ISERROR(SEARCH(("No"),(P383))))</formula>
    </cfRule>
  </conditionalFormatting>
  <conditionalFormatting sqref="P383:P384">
    <cfRule type="containsText" dxfId="9" priority="50801" operator="containsText" text="No">
      <formula>NOT(ISERROR(SEARCH(("No"),(P383))))</formula>
    </cfRule>
  </conditionalFormatting>
  <conditionalFormatting sqref="P383:P384">
    <cfRule type="containsText" dxfId="9" priority="50802" operator="containsText" text="No">
      <formula>NOT(ISERROR(SEARCH(("No"),(P383))))</formula>
    </cfRule>
  </conditionalFormatting>
  <conditionalFormatting sqref="P383:P384">
    <cfRule type="containsText" dxfId="9" priority="50803" operator="containsText" text="No">
      <formula>NOT(ISERROR(SEARCH(("No"),(P383))))</formula>
    </cfRule>
  </conditionalFormatting>
  <conditionalFormatting sqref="P383:P384">
    <cfRule type="containsText" dxfId="9" priority="50804" operator="containsText" text="No">
      <formula>NOT(ISERROR(SEARCH(("No"),(P383))))</formula>
    </cfRule>
  </conditionalFormatting>
  <conditionalFormatting sqref="P383:P384">
    <cfRule type="containsText" dxfId="9" priority="50805" operator="containsText" text="No">
      <formula>NOT(ISERROR(SEARCH(("No"),(P383))))</formula>
    </cfRule>
  </conditionalFormatting>
  <conditionalFormatting sqref="P383:P384">
    <cfRule type="containsText" dxfId="9" priority="50806" operator="containsText" text="No">
      <formula>NOT(ISERROR(SEARCH(("No"),(P383))))</formula>
    </cfRule>
  </conditionalFormatting>
  <conditionalFormatting sqref="P383:P384">
    <cfRule type="containsText" dxfId="9" priority="50807" operator="containsText" text="No">
      <formula>NOT(ISERROR(SEARCH(("No"),(P383))))</formula>
    </cfRule>
  </conditionalFormatting>
  <conditionalFormatting sqref="P383:P384">
    <cfRule type="containsText" dxfId="9" priority="50808" operator="containsText" text="No">
      <formula>NOT(ISERROR(SEARCH(("No"),(P383))))</formula>
    </cfRule>
  </conditionalFormatting>
  <conditionalFormatting sqref="P383:P384">
    <cfRule type="containsText" dxfId="9" priority="50809" operator="containsText" text="No">
      <formula>NOT(ISERROR(SEARCH(("No"),(P383))))</formula>
    </cfRule>
  </conditionalFormatting>
  <conditionalFormatting sqref="P383:P384">
    <cfRule type="containsText" dxfId="9" priority="50810" operator="containsText" text="No">
      <formula>NOT(ISERROR(SEARCH(("No"),(P383))))</formula>
    </cfRule>
  </conditionalFormatting>
  <conditionalFormatting sqref="P383:P384">
    <cfRule type="containsText" dxfId="9" priority="50811" operator="containsText" text="No">
      <formula>NOT(ISERROR(SEARCH(("No"),(P383))))</formula>
    </cfRule>
  </conditionalFormatting>
  <conditionalFormatting sqref="P383:P384">
    <cfRule type="containsText" dxfId="9" priority="50812" operator="containsText" text="No">
      <formula>NOT(ISERROR(SEARCH(("No"),(P383))))</formula>
    </cfRule>
  </conditionalFormatting>
  <conditionalFormatting sqref="P383:P384">
    <cfRule type="containsText" dxfId="9" priority="50813" operator="containsText" text="No">
      <formula>NOT(ISERROR(SEARCH(("No"),(P383))))</formula>
    </cfRule>
  </conditionalFormatting>
  <conditionalFormatting sqref="P383:P384">
    <cfRule type="containsText" dxfId="9" priority="50814" operator="containsText" text="No">
      <formula>NOT(ISERROR(SEARCH(("No"),(P383))))</formula>
    </cfRule>
  </conditionalFormatting>
  <conditionalFormatting sqref="P383:P384">
    <cfRule type="containsText" dxfId="9" priority="50815" operator="containsText" text="No">
      <formula>NOT(ISERROR(SEARCH(("No"),(P383))))</formula>
    </cfRule>
  </conditionalFormatting>
  <conditionalFormatting sqref="P383:P384">
    <cfRule type="containsText" dxfId="9" priority="50816" operator="containsText" text="No">
      <formula>NOT(ISERROR(SEARCH(("No"),(P383))))</formula>
    </cfRule>
  </conditionalFormatting>
  <conditionalFormatting sqref="P383:P384">
    <cfRule type="containsText" dxfId="9" priority="50817" operator="containsText" text="No">
      <formula>NOT(ISERROR(SEARCH(("No"),(P383))))</formula>
    </cfRule>
  </conditionalFormatting>
  <conditionalFormatting sqref="P383:P384">
    <cfRule type="containsText" dxfId="9" priority="50818" operator="containsText" text="No">
      <formula>NOT(ISERROR(SEARCH(("No"),(P383))))</formula>
    </cfRule>
  </conditionalFormatting>
  <conditionalFormatting sqref="P383:P384">
    <cfRule type="containsText" dxfId="9" priority="50819" operator="containsText" text="No">
      <formula>NOT(ISERROR(SEARCH(("No"),(P383))))</formula>
    </cfRule>
  </conditionalFormatting>
  <conditionalFormatting sqref="P383:P384">
    <cfRule type="containsText" dxfId="9" priority="50820" operator="containsText" text="No">
      <formula>NOT(ISERROR(SEARCH(("No"),(P383))))</formula>
    </cfRule>
  </conditionalFormatting>
  <conditionalFormatting sqref="P383:P384">
    <cfRule type="containsText" dxfId="9" priority="50821" operator="containsText" text="No">
      <formula>NOT(ISERROR(SEARCH(("No"),(P383))))</formula>
    </cfRule>
  </conditionalFormatting>
  <conditionalFormatting sqref="P383:P384">
    <cfRule type="containsText" dxfId="9" priority="50822" operator="containsText" text="No">
      <formula>NOT(ISERROR(SEARCH(("No"),(P383))))</formula>
    </cfRule>
  </conditionalFormatting>
  <conditionalFormatting sqref="P383:P384">
    <cfRule type="containsText" dxfId="9" priority="50823" operator="containsText" text="No">
      <formula>NOT(ISERROR(SEARCH(("No"),(P383))))</formula>
    </cfRule>
  </conditionalFormatting>
  <conditionalFormatting sqref="P383:P384">
    <cfRule type="containsText" dxfId="9" priority="50824" operator="containsText" text="No">
      <formula>NOT(ISERROR(SEARCH(("No"),(P383))))</formula>
    </cfRule>
  </conditionalFormatting>
  <conditionalFormatting sqref="P383:P384">
    <cfRule type="containsText" dxfId="9" priority="50825" operator="containsText" text="No">
      <formula>NOT(ISERROR(SEARCH(("No"),(P383))))</formula>
    </cfRule>
  </conditionalFormatting>
  <conditionalFormatting sqref="P383:P384">
    <cfRule type="containsText" dxfId="2" priority="50826" operator="containsText" text="Yes">
      <formula>NOT(ISERROR(SEARCH(("Yes"),(P383))))</formula>
    </cfRule>
  </conditionalFormatting>
  <conditionalFormatting sqref="P383:P384">
    <cfRule type="containsText" dxfId="2" priority="50827" operator="containsText" text="Yes">
      <formula>NOT(ISERROR(SEARCH(("Yes"),(P383))))</formula>
    </cfRule>
  </conditionalFormatting>
  <conditionalFormatting sqref="P383:P384">
    <cfRule type="containsText" dxfId="2" priority="50828" operator="containsText" text="Yes">
      <formula>NOT(ISERROR(SEARCH(("Yes"),(P383))))</formula>
    </cfRule>
  </conditionalFormatting>
  <conditionalFormatting sqref="P383:P384">
    <cfRule type="containsText" dxfId="2" priority="50829" operator="containsText" text="Yes">
      <formula>NOT(ISERROR(SEARCH(("Yes"),(P383))))</formula>
    </cfRule>
  </conditionalFormatting>
  <conditionalFormatting sqref="P383:P384">
    <cfRule type="containsText" dxfId="2" priority="50830" operator="containsText" text="Yes">
      <formula>NOT(ISERROR(SEARCH(("Yes"),(P383))))</formula>
    </cfRule>
  </conditionalFormatting>
  <conditionalFormatting sqref="P383:P384">
    <cfRule type="containsText" dxfId="2" priority="50831" operator="containsText" text="Yes">
      <formula>NOT(ISERROR(SEARCH(("Yes"),(P383))))</formula>
    </cfRule>
  </conditionalFormatting>
  <conditionalFormatting sqref="P383:P384">
    <cfRule type="containsText" dxfId="2" priority="50832" operator="containsText" text="Yes">
      <formula>NOT(ISERROR(SEARCH(("Yes"),(P383))))</formula>
    </cfRule>
  </conditionalFormatting>
  <conditionalFormatting sqref="P383:P384">
    <cfRule type="containsText" dxfId="2" priority="50833" operator="containsText" text="Yes">
      <formula>NOT(ISERROR(SEARCH(("Yes"),(P383))))</formula>
    </cfRule>
  </conditionalFormatting>
  <conditionalFormatting sqref="P383:P384">
    <cfRule type="containsText" dxfId="2" priority="50834" operator="containsText" text="Yes">
      <formula>NOT(ISERROR(SEARCH(("Yes"),(P383))))</formula>
    </cfRule>
  </conditionalFormatting>
  <conditionalFormatting sqref="P383:P384">
    <cfRule type="containsText" dxfId="2" priority="50835" operator="containsText" text="Yes">
      <formula>NOT(ISERROR(SEARCH(("Yes"),(P383))))</formula>
    </cfRule>
  </conditionalFormatting>
  <conditionalFormatting sqref="P383:P384">
    <cfRule type="containsText" dxfId="2" priority="50836" operator="containsText" text="Yes">
      <formula>NOT(ISERROR(SEARCH(("Yes"),(P383))))</formula>
    </cfRule>
  </conditionalFormatting>
  <conditionalFormatting sqref="P383:P384">
    <cfRule type="containsText" dxfId="2" priority="50837" operator="containsText" text="Yes">
      <formula>NOT(ISERROR(SEARCH(("Yes"),(P383))))</formula>
    </cfRule>
  </conditionalFormatting>
  <conditionalFormatting sqref="P383:P384">
    <cfRule type="containsText" dxfId="2" priority="50838" operator="containsText" text="Yes">
      <formula>NOT(ISERROR(SEARCH(("Yes"),(P383))))</formula>
    </cfRule>
  </conditionalFormatting>
  <conditionalFormatting sqref="P383:P384">
    <cfRule type="containsText" dxfId="2" priority="50839" operator="containsText" text="Yes">
      <formula>NOT(ISERROR(SEARCH(("Yes"),(P383))))</formula>
    </cfRule>
  </conditionalFormatting>
  <conditionalFormatting sqref="P383:P384">
    <cfRule type="containsText" dxfId="2" priority="50840" operator="containsText" text="Yes">
      <formula>NOT(ISERROR(SEARCH(("Yes"),(P383))))</formula>
    </cfRule>
  </conditionalFormatting>
  <conditionalFormatting sqref="P383:P384">
    <cfRule type="containsText" dxfId="2" priority="50841" operator="containsText" text="Yes">
      <formula>NOT(ISERROR(SEARCH(("Yes"),(P383))))</formula>
    </cfRule>
  </conditionalFormatting>
  <conditionalFormatting sqref="P383:P384">
    <cfRule type="containsText" dxfId="2" priority="50842" operator="containsText" text="Yes">
      <formula>NOT(ISERROR(SEARCH(("Yes"),(P383))))</formula>
    </cfRule>
  </conditionalFormatting>
  <conditionalFormatting sqref="P383:P384">
    <cfRule type="containsText" dxfId="2" priority="50843" operator="containsText" text="Yes">
      <formula>NOT(ISERROR(SEARCH(("Yes"),(P383))))</formula>
    </cfRule>
  </conditionalFormatting>
  <conditionalFormatting sqref="P383:P384">
    <cfRule type="containsText" dxfId="2" priority="50844" operator="containsText" text="Yes">
      <formula>NOT(ISERROR(SEARCH(("Yes"),(P383))))</formula>
    </cfRule>
  </conditionalFormatting>
  <conditionalFormatting sqref="P383:P384">
    <cfRule type="containsText" dxfId="2" priority="50845" operator="containsText" text="Yes">
      <formula>NOT(ISERROR(SEARCH(("Yes"),(P383))))</formula>
    </cfRule>
  </conditionalFormatting>
  <conditionalFormatting sqref="P383:P384">
    <cfRule type="containsText" dxfId="2" priority="50846" operator="containsText" text="Yes">
      <formula>NOT(ISERROR(SEARCH(("Yes"),(P383))))</formula>
    </cfRule>
  </conditionalFormatting>
  <conditionalFormatting sqref="P383:P384">
    <cfRule type="containsText" dxfId="2" priority="50847" operator="containsText" text="Yes">
      <formula>NOT(ISERROR(SEARCH(("Yes"),(P383))))</formula>
    </cfRule>
  </conditionalFormatting>
  <conditionalFormatting sqref="P383:P384">
    <cfRule type="containsText" dxfId="2" priority="50848" operator="containsText" text="Yes">
      <formula>NOT(ISERROR(SEARCH(("Yes"),(P383))))</formula>
    </cfRule>
  </conditionalFormatting>
  <conditionalFormatting sqref="P383:P384">
    <cfRule type="containsText" dxfId="2" priority="50849" operator="containsText" text="Yes">
      <formula>NOT(ISERROR(SEARCH(("Yes"),(P383))))</formula>
    </cfRule>
  </conditionalFormatting>
  <conditionalFormatting sqref="P383:P384">
    <cfRule type="containsText" dxfId="2" priority="50850" operator="containsText" text="Yes">
      <formula>NOT(ISERROR(SEARCH(("Yes"),(P383))))</formula>
    </cfRule>
  </conditionalFormatting>
  <conditionalFormatting sqref="P383:P384">
    <cfRule type="containsText" dxfId="2" priority="50851" operator="containsText" text="Yes">
      <formula>NOT(ISERROR(SEARCH(("Yes"),(P383))))</formula>
    </cfRule>
  </conditionalFormatting>
  <conditionalFormatting sqref="P383:P384">
    <cfRule type="containsText" dxfId="2" priority="50852" operator="containsText" text="Yes">
      <formula>NOT(ISERROR(SEARCH(("Yes"),(P383))))</formula>
    </cfRule>
  </conditionalFormatting>
  <conditionalFormatting sqref="P383:P384">
    <cfRule type="containsText" dxfId="2" priority="50853" operator="containsText" text="Yes">
      <formula>NOT(ISERROR(SEARCH(("Yes"),(P383))))</formula>
    </cfRule>
  </conditionalFormatting>
  <conditionalFormatting sqref="P383:P384">
    <cfRule type="containsText" dxfId="2" priority="50854" operator="containsText" text="Yes">
      <formula>NOT(ISERROR(SEARCH(("Yes"),(P383))))</formula>
    </cfRule>
  </conditionalFormatting>
  <conditionalFormatting sqref="P383:P384">
    <cfRule type="containsText" dxfId="2" priority="50855" operator="containsText" text="Yes">
      <formula>NOT(ISERROR(SEARCH(("Yes"),(P383))))</formula>
    </cfRule>
  </conditionalFormatting>
  <conditionalFormatting sqref="P383:P384">
    <cfRule type="containsText" dxfId="2" priority="50856" operator="containsText" text="Yes">
      <formula>NOT(ISERROR(SEARCH(("Yes"),(P383))))</formula>
    </cfRule>
  </conditionalFormatting>
  <conditionalFormatting sqref="P383:P384">
    <cfRule type="containsText" dxfId="2" priority="50857" operator="containsText" text="Yes">
      <formula>NOT(ISERROR(SEARCH(("Yes"),(P383))))</formula>
    </cfRule>
  </conditionalFormatting>
  <conditionalFormatting sqref="P383:P384">
    <cfRule type="containsText" dxfId="2" priority="50858" operator="containsText" text="Yes">
      <formula>NOT(ISERROR(SEARCH(("Yes"),(P383))))</formula>
    </cfRule>
  </conditionalFormatting>
  <conditionalFormatting sqref="P383:P384">
    <cfRule type="containsText" dxfId="2" priority="50859" operator="containsText" text="Yes">
      <formula>NOT(ISERROR(SEARCH(("Yes"),(P383))))</formula>
    </cfRule>
  </conditionalFormatting>
  <conditionalFormatting sqref="P383:P384">
    <cfRule type="containsText" dxfId="2" priority="50860" operator="containsText" text="Yes">
      <formula>NOT(ISERROR(SEARCH(("Yes"),(P383))))</formula>
    </cfRule>
  </conditionalFormatting>
  <conditionalFormatting sqref="P383:P384">
    <cfRule type="containsText" dxfId="2" priority="50861" operator="containsText" text="Yes">
      <formula>NOT(ISERROR(SEARCH(("Yes"),(P383))))</formula>
    </cfRule>
  </conditionalFormatting>
  <conditionalFormatting sqref="P383:P384">
    <cfRule type="containsText" dxfId="2" priority="50862" operator="containsText" text="Yes">
      <formula>NOT(ISERROR(SEARCH(("Yes"),(P383))))</formula>
    </cfRule>
  </conditionalFormatting>
  <conditionalFormatting sqref="P383:P384">
    <cfRule type="containsText" dxfId="2" priority="50863" operator="containsText" text="Yes">
      <formula>NOT(ISERROR(SEARCH(("Yes"),(P383))))</formula>
    </cfRule>
  </conditionalFormatting>
  <conditionalFormatting sqref="P383:P384">
    <cfRule type="containsText" dxfId="2" priority="50864" operator="containsText" text="Yes">
      <formula>NOT(ISERROR(SEARCH(("Yes"),(P383))))</formula>
    </cfRule>
  </conditionalFormatting>
  <conditionalFormatting sqref="P383:P384">
    <cfRule type="containsText" dxfId="2" priority="50865" operator="containsText" text="Yes">
      <formula>NOT(ISERROR(SEARCH(("Yes"),(P383))))</formula>
    </cfRule>
  </conditionalFormatting>
  <conditionalFormatting sqref="P383:P384">
    <cfRule type="containsText" dxfId="2" priority="50866" operator="containsText" text="Yes">
      <formula>NOT(ISERROR(SEARCH(("Yes"),(P383))))</formula>
    </cfRule>
  </conditionalFormatting>
  <conditionalFormatting sqref="P383:P384">
    <cfRule type="containsText" dxfId="2" priority="50867" operator="containsText" text="Yes">
      <formula>NOT(ISERROR(SEARCH(("Yes"),(P383))))</formula>
    </cfRule>
  </conditionalFormatting>
  <conditionalFormatting sqref="P383:P384">
    <cfRule type="containsText" dxfId="2" priority="50868" operator="containsText" text="Yes">
      <formula>NOT(ISERROR(SEARCH(("Yes"),(P383))))</formula>
    </cfRule>
  </conditionalFormatting>
  <conditionalFormatting sqref="P383:P384">
    <cfRule type="containsText" dxfId="2" priority="50869" operator="containsText" text="Yes">
      <formula>NOT(ISERROR(SEARCH(("Yes"),(P383))))</formula>
    </cfRule>
  </conditionalFormatting>
  <conditionalFormatting sqref="P383:P384">
    <cfRule type="containsText" dxfId="2" priority="50870" operator="containsText" text="Yes">
      <formula>NOT(ISERROR(SEARCH(("Yes"),(P383))))</formula>
    </cfRule>
  </conditionalFormatting>
  <conditionalFormatting sqref="P383:P384">
    <cfRule type="containsText" dxfId="2" priority="50871" operator="containsText" text="Yes">
      <formula>NOT(ISERROR(SEARCH(("Yes"),(P383))))</formula>
    </cfRule>
  </conditionalFormatting>
  <conditionalFormatting sqref="P383:P384">
    <cfRule type="containsText" dxfId="2" priority="50872" operator="containsText" text="Yes">
      <formula>NOT(ISERROR(SEARCH(("Yes"),(P383))))</formula>
    </cfRule>
  </conditionalFormatting>
  <conditionalFormatting sqref="Q383:Q384">
    <cfRule type="containsText" dxfId="9" priority="50873" operator="containsText" text="No">
      <formula>NOT(ISERROR(SEARCH(("No"),(Q383))))</formula>
    </cfRule>
  </conditionalFormatting>
  <conditionalFormatting sqref="Q383:Q384">
    <cfRule type="containsText" dxfId="9" priority="50874" operator="containsText" text="No">
      <formula>NOT(ISERROR(SEARCH(("No"),(Q383))))</formula>
    </cfRule>
  </conditionalFormatting>
  <conditionalFormatting sqref="Q383:Q384">
    <cfRule type="containsText" dxfId="9" priority="50875" operator="containsText" text="No">
      <formula>NOT(ISERROR(SEARCH(("No"),(Q383))))</formula>
    </cfRule>
  </conditionalFormatting>
  <conditionalFormatting sqref="Q383:Q384">
    <cfRule type="containsText" dxfId="9" priority="50876" operator="containsText" text="No">
      <formula>NOT(ISERROR(SEARCH(("No"),(Q383))))</formula>
    </cfRule>
  </conditionalFormatting>
  <conditionalFormatting sqref="Q383:Q384">
    <cfRule type="containsText" dxfId="9" priority="50877" operator="containsText" text="No">
      <formula>NOT(ISERROR(SEARCH(("No"),(Q383))))</formula>
    </cfRule>
  </conditionalFormatting>
  <conditionalFormatting sqref="Q383:Q384">
    <cfRule type="containsText" dxfId="9" priority="50878" operator="containsText" text="No">
      <formula>NOT(ISERROR(SEARCH(("No"),(Q383))))</formula>
    </cfRule>
  </conditionalFormatting>
  <conditionalFormatting sqref="Q383:Q384">
    <cfRule type="containsText" dxfId="9" priority="50879" operator="containsText" text="No">
      <formula>NOT(ISERROR(SEARCH(("No"),(Q383))))</formula>
    </cfRule>
  </conditionalFormatting>
  <conditionalFormatting sqref="Q383:Q384">
    <cfRule type="containsText" dxfId="9" priority="50880" operator="containsText" text="No">
      <formula>NOT(ISERROR(SEARCH(("No"),(Q383))))</formula>
    </cfRule>
  </conditionalFormatting>
  <conditionalFormatting sqref="Q383:Q384">
    <cfRule type="containsText" dxfId="9" priority="50881" operator="containsText" text="No">
      <formula>NOT(ISERROR(SEARCH(("No"),(Q383))))</formula>
    </cfRule>
  </conditionalFormatting>
  <conditionalFormatting sqref="Q383:Q384">
    <cfRule type="containsText" dxfId="9" priority="50882" operator="containsText" text="No">
      <formula>NOT(ISERROR(SEARCH(("No"),(Q383))))</formula>
    </cfRule>
  </conditionalFormatting>
  <conditionalFormatting sqref="Q383:Q384">
    <cfRule type="containsText" dxfId="9" priority="50883" operator="containsText" text="No">
      <formula>NOT(ISERROR(SEARCH(("No"),(Q383))))</formula>
    </cfRule>
  </conditionalFormatting>
  <conditionalFormatting sqref="Q383:Q384">
    <cfRule type="containsText" dxfId="9" priority="50884" operator="containsText" text="No">
      <formula>NOT(ISERROR(SEARCH(("No"),(Q383))))</formula>
    </cfRule>
  </conditionalFormatting>
  <conditionalFormatting sqref="Q383:Q384">
    <cfRule type="containsText" dxfId="9" priority="50885" operator="containsText" text="No">
      <formula>NOT(ISERROR(SEARCH(("No"),(Q383))))</formula>
    </cfRule>
  </conditionalFormatting>
  <conditionalFormatting sqref="Q383:Q384">
    <cfRule type="containsText" dxfId="9" priority="50886" operator="containsText" text="No">
      <formula>NOT(ISERROR(SEARCH(("No"),(Q383))))</formula>
    </cfRule>
  </conditionalFormatting>
  <conditionalFormatting sqref="Q383:Q384">
    <cfRule type="containsText" dxfId="9" priority="50887" operator="containsText" text="No">
      <formula>NOT(ISERROR(SEARCH(("No"),(Q383))))</formula>
    </cfRule>
  </conditionalFormatting>
  <conditionalFormatting sqref="Q383:Q384">
    <cfRule type="containsText" dxfId="9" priority="50888" operator="containsText" text="No">
      <formula>NOT(ISERROR(SEARCH(("No"),(Q383))))</formula>
    </cfRule>
  </conditionalFormatting>
  <conditionalFormatting sqref="Q383:Q384">
    <cfRule type="containsText" dxfId="9" priority="50889" operator="containsText" text="No">
      <formula>NOT(ISERROR(SEARCH(("No"),(Q383))))</formula>
    </cfRule>
  </conditionalFormatting>
  <conditionalFormatting sqref="Q383:Q384">
    <cfRule type="containsText" dxfId="9" priority="50890" operator="containsText" text="No">
      <formula>NOT(ISERROR(SEARCH(("No"),(Q383))))</formula>
    </cfRule>
  </conditionalFormatting>
  <conditionalFormatting sqref="Q383:Q384">
    <cfRule type="containsText" dxfId="9" priority="50891" operator="containsText" text="No">
      <formula>NOT(ISERROR(SEARCH(("No"),(Q383))))</formula>
    </cfRule>
  </conditionalFormatting>
  <conditionalFormatting sqref="Q383:Q384">
    <cfRule type="containsText" dxfId="9" priority="50892" operator="containsText" text="No">
      <formula>NOT(ISERROR(SEARCH(("No"),(Q383))))</formula>
    </cfRule>
  </conditionalFormatting>
  <conditionalFormatting sqref="Q383:Q384">
    <cfRule type="containsText" dxfId="9" priority="50893" operator="containsText" text="No">
      <formula>NOT(ISERROR(SEARCH(("No"),(Q383))))</formula>
    </cfRule>
  </conditionalFormatting>
  <conditionalFormatting sqref="Q383:Q384">
    <cfRule type="containsText" dxfId="9" priority="50894" operator="containsText" text="No">
      <formula>NOT(ISERROR(SEARCH(("No"),(Q383))))</formula>
    </cfRule>
  </conditionalFormatting>
  <conditionalFormatting sqref="Q383:Q384">
    <cfRule type="containsText" dxfId="9" priority="50895" operator="containsText" text="No">
      <formula>NOT(ISERROR(SEARCH(("No"),(Q383))))</formula>
    </cfRule>
  </conditionalFormatting>
  <conditionalFormatting sqref="Q383:Q384">
    <cfRule type="containsText" dxfId="9" priority="50896" operator="containsText" text="No">
      <formula>NOT(ISERROR(SEARCH(("No"),(Q383))))</formula>
    </cfRule>
  </conditionalFormatting>
  <conditionalFormatting sqref="Q383:Q384">
    <cfRule type="containsText" dxfId="9" priority="50897" operator="containsText" text="No">
      <formula>NOT(ISERROR(SEARCH(("No"),(Q383))))</formula>
    </cfRule>
  </conditionalFormatting>
  <conditionalFormatting sqref="Q383:Q384">
    <cfRule type="containsText" dxfId="9" priority="50898" operator="containsText" text="No">
      <formula>NOT(ISERROR(SEARCH(("No"),(Q383))))</formula>
    </cfRule>
  </conditionalFormatting>
  <conditionalFormatting sqref="Q383:Q384">
    <cfRule type="containsText" dxfId="9" priority="50899" operator="containsText" text="No">
      <formula>NOT(ISERROR(SEARCH(("No"),(Q383))))</formula>
    </cfRule>
  </conditionalFormatting>
  <conditionalFormatting sqref="Q383:Q384">
    <cfRule type="containsText" dxfId="9" priority="50900" operator="containsText" text="No">
      <formula>NOT(ISERROR(SEARCH(("No"),(Q383))))</formula>
    </cfRule>
  </conditionalFormatting>
  <conditionalFormatting sqref="Q383:Q384">
    <cfRule type="containsText" dxfId="9" priority="50901" operator="containsText" text="No">
      <formula>NOT(ISERROR(SEARCH(("No"),(Q383))))</formula>
    </cfRule>
  </conditionalFormatting>
  <conditionalFormatting sqref="Q383:Q384">
    <cfRule type="containsText" dxfId="9" priority="50902" operator="containsText" text="No">
      <formula>NOT(ISERROR(SEARCH(("No"),(Q383))))</formula>
    </cfRule>
  </conditionalFormatting>
  <conditionalFormatting sqref="Q383:Q384">
    <cfRule type="containsText" dxfId="9" priority="50903" operator="containsText" text="No">
      <formula>NOT(ISERROR(SEARCH(("No"),(Q383))))</formula>
    </cfRule>
  </conditionalFormatting>
  <conditionalFormatting sqref="Q383:Q384">
    <cfRule type="containsText" dxfId="9" priority="50904" operator="containsText" text="No">
      <formula>NOT(ISERROR(SEARCH(("No"),(Q383))))</formula>
    </cfRule>
  </conditionalFormatting>
  <conditionalFormatting sqref="Q383:Q384">
    <cfRule type="containsText" dxfId="9" priority="50905" operator="containsText" text="No">
      <formula>NOT(ISERROR(SEARCH(("No"),(Q383))))</formula>
    </cfRule>
  </conditionalFormatting>
  <conditionalFormatting sqref="Q383:Q384">
    <cfRule type="containsText" dxfId="9" priority="50906" operator="containsText" text="No">
      <formula>NOT(ISERROR(SEARCH(("No"),(Q383))))</formula>
    </cfRule>
  </conditionalFormatting>
  <conditionalFormatting sqref="Q383:Q384">
    <cfRule type="containsText" dxfId="9" priority="50907" operator="containsText" text="No">
      <formula>NOT(ISERROR(SEARCH(("No"),(Q383))))</formula>
    </cfRule>
  </conditionalFormatting>
  <conditionalFormatting sqref="Q383:Q384">
    <cfRule type="containsText" dxfId="9" priority="50908" operator="containsText" text="No">
      <formula>NOT(ISERROR(SEARCH(("No"),(Q383))))</formula>
    </cfRule>
  </conditionalFormatting>
  <conditionalFormatting sqref="Q383:Q384">
    <cfRule type="containsText" dxfId="9" priority="50909" operator="containsText" text="No">
      <formula>NOT(ISERROR(SEARCH(("No"),(Q383))))</formula>
    </cfRule>
  </conditionalFormatting>
  <conditionalFormatting sqref="Q383:Q384">
    <cfRule type="containsText" dxfId="9" priority="50910" operator="containsText" text="No">
      <formula>NOT(ISERROR(SEARCH(("No"),(Q383))))</formula>
    </cfRule>
  </conditionalFormatting>
  <conditionalFormatting sqref="Q383:Q384">
    <cfRule type="containsText" dxfId="9" priority="50911" operator="containsText" text="No">
      <formula>NOT(ISERROR(SEARCH(("No"),(Q383))))</formula>
    </cfRule>
  </conditionalFormatting>
  <conditionalFormatting sqref="Q383:Q384">
    <cfRule type="containsText" dxfId="9" priority="50912" operator="containsText" text="No">
      <formula>NOT(ISERROR(SEARCH(("No"),(Q383))))</formula>
    </cfRule>
  </conditionalFormatting>
  <conditionalFormatting sqref="Q383:Q384">
    <cfRule type="containsText" dxfId="9" priority="50913" operator="containsText" text="No">
      <formula>NOT(ISERROR(SEARCH(("No"),(Q383))))</formula>
    </cfRule>
  </conditionalFormatting>
  <conditionalFormatting sqref="Q383:Q384">
    <cfRule type="containsText" dxfId="9" priority="50914" operator="containsText" text="No">
      <formula>NOT(ISERROR(SEARCH(("No"),(Q383))))</formula>
    </cfRule>
  </conditionalFormatting>
  <conditionalFormatting sqref="Q383:Q384">
    <cfRule type="containsText" dxfId="9" priority="50915" operator="containsText" text="No">
      <formula>NOT(ISERROR(SEARCH(("No"),(Q383))))</formula>
    </cfRule>
  </conditionalFormatting>
  <conditionalFormatting sqref="Q383:Q384">
    <cfRule type="containsText" dxfId="9" priority="50916" operator="containsText" text="No">
      <formula>NOT(ISERROR(SEARCH(("No"),(Q383))))</formula>
    </cfRule>
  </conditionalFormatting>
  <conditionalFormatting sqref="Q383:Q384">
    <cfRule type="containsText" dxfId="9" priority="50917" operator="containsText" text="No">
      <formula>NOT(ISERROR(SEARCH(("No"),(Q383))))</formula>
    </cfRule>
  </conditionalFormatting>
  <conditionalFormatting sqref="Q383:Q384">
    <cfRule type="containsText" dxfId="2" priority="50918" operator="containsText" text="Yes">
      <formula>NOT(ISERROR(SEARCH(("Yes"),(Q383))))</formula>
    </cfRule>
  </conditionalFormatting>
  <conditionalFormatting sqref="Q383:Q384">
    <cfRule type="containsText" dxfId="2" priority="50919" operator="containsText" text="Yes">
      <formula>NOT(ISERROR(SEARCH(("Yes"),(Q383))))</formula>
    </cfRule>
  </conditionalFormatting>
  <conditionalFormatting sqref="Q383:Q384">
    <cfRule type="containsText" dxfId="2" priority="50920" operator="containsText" text="Yes">
      <formula>NOT(ISERROR(SEARCH(("Yes"),(Q383))))</formula>
    </cfRule>
  </conditionalFormatting>
  <conditionalFormatting sqref="Q383:Q384">
    <cfRule type="containsText" dxfId="2" priority="50921" operator="containsText" text="Yes">
      <formula>NOT(ISERROR(SEARCH(("Yes"),(Q383))))</formula>
    </cfRule>
  </conditionalFormatting>
  <conditionalFormatting sqref="Q383:Q384">
    <cfRule type="containsText" dxfId="2" priority="50922" operator="containsText" text="Yes">
      <formula>NOT(ISERROR(SEARCH(("Yes"),(Q383))))</formula>
    </cfRule>
  </conditionalFormatting>
  <conditionalFormatting sqref="Q383:Q384">
    <cfRule type="containsText" dxfId="2" priority="50923" operator="containsText" text="Yes">
      <formula>NOT(ISERROR(SEARCH(("Yes"),(Q383))))</formula>
    </cfRule>
  </conditionalFormatting>
  <conditionalFormatting sqref="Q383:Q384">
    <cfRule type="containsText" dxfId="2" priority="50924" operator="containsText" text="Yes">
      <formula>NOT(ISERROR(SEARCH(("Yes"),(Q383))))</formula>
    </cfRule>
  </conditionalFormatting>
  <conditionalFormatting sqref="Q383:Q384">
    <cfRule type="containsText" dxfId="2" priority="50925" operator="containsText" text="Yes">
      <formula>NOT(ISERROR(SEARCH(("Yes"),(Q383))))</formula>
    </cfRule>
  </conditionalFormatting>
  <conditionalFormatting sqref="Q383:Q384">
    <cfRule type="containsText" dxfId="2" priority="50926" operator="containsText" text="Yes">
      <formula>NOT(ISERROR(SEARCH(("Yes"),(Q383))))</formula>
    </cfRule>
  </conditionalFormatting>
  <conditionalFormatting sqref="Q383:Q384">
    <cfRule type="containsText" dxfId="2" priority="50927" operator="containsText" text="Yes">
      <formula>NOT(ISERROR(SEARCH(("Yes"),(Q383))))</formula>
    </cfRule>
  </conditionalFormatting>
  <conditionalFormatting sqref="Q383:Q384">
    <cfRule type="containsText" dxfId="2" priority="50928" operator="containsText" text="Yes">
      <formula>NOT(ISERROR(SEARCH(("Yes"),(Q383))))</formula>
    </cfRule>
  </conditionalFormatting>
  <conditionalFormatting sqref="Q383:Q384">
    <cfRule type="containsText" dxfId="2" priority="50929" operator="containsText" text="Yes">
      <formula>NOT(ISERROR(SEARCH(("Yes"),(Q383))))</formula>
    </cfRule>
  </conditionalFormatting>
  <conditionalFormatting sqref="Q383:Q384">
    <cfRule type="containsText" dxfId="2" priority="50930" operator="containsText" text="Yes">
      <formula>NOT(ISERROR(SEARCH(("Yes"),(Q383))))</formula>
    </cfRule>
  </conditionalFormatting>
  <conditionalFormatting sqref="Q383:Q384">
    <cfRule type="containsText" dxfId="2" priority="50931" operator="containsText" text="Yes">
      <formula>NOT(ISERROR(SEARCH(("Yes"),(Q383))))</formula>
    </cfRule>
  </conditionalFormatting>
  <conditionalFormatting sqref="Q383:Q384">
    <cfRule type="containsText" dxfId="2" priority="50932" operator="containsText" text="Yes">
      <formula>NOT(ISERROR(SEARCH(("Yes"),(Q383))))</formula>
    </cfRule>
  </conditionalFormatting>
  <conditionalFormatting sqref="Q383:Q384">
    <cfRule type="containsText" dxfId="2" priority="50933" operator="containsText" text="Yes">
      <formula>NOT(ISERROR(SEARCH(("Yes"),(Q383))))</formula>
    </cfRule>
  </conditionalFormatting>
  <conditionalFormatting sqref="Q383:Q384">
    <cfRule type="containsText" dxfId="2" priority="50934" operator="containsText" text="Yes">
      <formula>NOT(ISERROR(SEARCH(("Yes"),(Q383))))</formula>
    </cfRule>
  </conditionalFormatting>
  <conditionalFormatting sqref="Q383:Q384">
    <cfRule type="containsText" dxfId="2" priority="50935" operator="containsText" text="Yes">
      <formula>NOT(ISERROR(SEARCH(("Yes"),(Q383))))</formula>
    </cfRule>
  </conditionalFormatting>
  <conditionalFormatting sqref="Q383:Q384">
    <cfRule type="containsText" dxfId="2" priority="50936" operator="containsText" text="Yes">
      <formula>NOT(ISERROR(SEARCH(("Yes"),(Q383))))</formula>
    </cfRule>
  </conditionalFormatting>
  <conditionalFormatting sqref="Q383:Q384">
    <cfRule type="containsText" dxfId="2" priority="50937" operator="containsText" text="Yes">
      <formula>NOT(ISERROR(SEARCH(("Yes"),(Q383))))</formula>
    </cfRule>
  </conditionalFormatting>
  <conditionalFormatting sqref="Q383:Q384">
    <cfRule type="containsText" dxfId="2" priority="50938" operator="containsText" text="Yes">
      <formula>NOT(ISERROR(SEARCH(("Yes"),(Q383))))</formula>
    </cfRule>
  </conditionalFormatting>
  <conditionalFormatting sqref="Q383:Q384">
    <cfRule type="containsText" dxfId="2" priority="50939" operator="containsText" text="Yes">
      <formula>NOT(ISERROR(SEARCH(("Yes"),(Q383))))</formula>
    </cfRule>
  </conditionalFormatting>
  <conditionalFormatting sqref="Q383:Q384">
    <cfRule type="containsText" dxfId="2" priority="50940" operator="containsText" text="Yes">
      <formula>NOT(ISERROR(SEARCH(("Yes"),(Q383))))</formula>
    </cfRule>
  </conditionalFormatting>
  <conditionalFormatting sqref="Q383:Q384">
    <cfRule type="containsText" dxfId="2" priority="50941" operator="containsText" text="Yes">
      <formula>NOT(ISERROR(SEARCH(("Yes"),(Q383))))</formula>
    </cfRule>
  </conditionalFormatting>
  <conditionalFormatting sqref="Q383:Q384">
    <cfRule type="containsText" dxfId="2" priority="50942" operator="containsText" text="Yes">
      <formula>NOT(ISERROR(SEARCH(("Yes"),(Q383))))</formula>
    </cfRule>
  </conditionalFormatting>
  <conditionalFormatting sqref="Q383:Q384">
    <cfRule type="containsText" dxfId="2" priority="50943" operator="containsText" text="Yes">
      <formula>NOT(ISERROR(SEARCH(("Yes"),(Q383))))</formula>
    </cfRule>
  </conditionalFormatting>
  <conditionalFormatting sqref="Q383:Q384">
    <cfRule type="containsText" dxfId="2" priority="50944" operator="containsText" text="Yes">
      <formula>NOT(ISERROR(SEARCH(("Yes"),(Q383))))</formula>
    </cfRule>
  </conditionalFormatting>
  <conditionalFormatting sqref="Q383:Q384">
    <cfRule type="containsText" dxfId="2" priority="50945" operator="containsText" text="Yes">
      <formula>NOT(ISERROR(SEARCH(("Yes"),(Q383))))</formula>
    </cfRule>
  </conditionalFormatting>
  <conditionalFormatting sqref="Q383:Q384">
    <cfRule type="containsText" dxfId="2" priority="50946" operator="containsText" text="Yes">
      <formula>NOT(ISERROR(SEARCH(("Yes"),(Q383))))</formula>
    </cfRule>
  </conditionalFormatting>
  <conditionalFormatting sqref="Q383:Q384">
    <cfRule type="containsText" dxfId="2" priority="50947" operator="containsText" text="Yes">
      <formula>NOT(ISERROR(SEARCH(("Yes"),(Q383))))</formula>
    </cfRule>
  </conditionalFormatting>
  <conditionalFormatting sqref="Q383:Q384">
    <cfRule type="containsText" dxfId="2" priority="50948" operator="containsText" text="Yes">
      <formula>NOT(ISERROR(SEARCH(("Yes"),(Q383))))</formula>
    </cfRule>
  </conditionalFormatting>
  <conditionalFormatting sqref="Q383:Q384">
    <cfRule type="containsText" dxfId="2" priority="50949" operator="containsText" text="Yes">
      <formula>NOT(ISERROR(SEARCH(("Yes"),(Q383))))</formula>
    </cfRule>
  </conditionalFormatting>
  <conditionalFormatting sqref="Q383:Q384">
    <cfRule type="containsText" dxfId="2" priority="50950" operator="containsText" text="Yes">
      <formula>NOT(ISERROR(SEARCH(("Yes"),(Q383))))</formula>
    </cfRule>
  </conditionalFormatting>
  <conditionalFormatting sqref="Q383:Q384">
    <cfRule type="containsText" dxfId="2" priority="50951" operator="containsText" text="Yes">
      <formula>NOT(ISERROR(SEARCH(("Yes"),(Q383))))</formula>
    </cfRule>
  </conditionalFormatting>
  <conditionalFormatting sqref="Q383:Q384">
    <cfRule type="containsText" dxfId="2" priority="50952" operator="containsText" text="Yes">
      <formula>NOT(ISERROR(SEARCH(("Yes"),(Q383))))</formula>
    </cfRule>
  </conditionalFormatting>
  <conditionalFormatting sqref="Q383:Q384">
    <cfRule type="containsText" dxfId="2" priority="50953" operator="containsText" text="Yes">
      <formula>NOT(ISERROR(SEARCH(("Yes"),(Q383))))</formula>
    </cfRule>
  </conditionalFormatting>
  <conditionalFormatting sqref="Q383:Q384">
    <cfRule type="containsText" dxfId="2" priority="50954" operator="containsText" text="Yes">
      <formula>NOT(ISERROR(SEARCH(("Yes"),(Q383))))</formula>
    </cfRule>
  </conditionalFormatting>
  <conditionalFormatting sqref="Q383:Q384">
    <cfRule type="containsText" dxfId="2" priority="50955" operator="containsText" text="Yes">
      <formula>NOT(ISERROR(SEARCH(("Yes"),(Q383))))</formula>
    </cfRule>
  </conditionalFormatting>
  <conditionalFormatting sqref="Q383:Q384">
    <cfRule type="containsText" dxfId="2" priority="50956" operator="containsText" text="Yes">
      <formula>NOT(ISERROR(SEARCH(("Yes"),(Q383))))</formula>
    </cfRule>
  </conditionalFormatting>
  <conditionalFormatting sqref="Q383:Q384">
    <cfRule type="containsText" dxfId="2" priority="50957" operator="containsText" text="Yes">
      <formula>NOT(ISERROR(SEARCH(("Yes"),(Q383))))</formula>
    </cfRule>
  </conditionalFormatting>
  <conditionalFormatting sqref="Q383:Q384">
    <cfRule type="containsText" dxfId="2" priority="50958" operator="containsText" text="Yes">
      <formula>NOT(ISERROR(SEARCH(("Yes"),(Q383))))</formula>
    </cfRule>
  </conditionalFormatting>
  <conditionalFormatting sqref="Q383:Q384">
    <cfRule type="containsText" dxfId="2" priority="50959" operator="containsText" text="Yes">
      <formula>NOT(ISERROR(SEARCH(("Yes"),(Q383))))</formula>
    </cfRule>
  </conditionalFormatting>
  <conditionalFormatting sqref="Q383:Q384">
    <cfRule type="containsText" dxfId="2" priority="50960" operator="containsText" text="Yes">
      <formula>NOT(ISERROR(SEARCH(("Yes"),(Q383))))</formula>
    </cfRule>
  </conditionalFormatting>
  <conditionalFormatting sqref="Q383:Q384">
    <cfRule type="containsText" dxfId="2" priority="50961" operator="containsText" text="Yes">
      <formula>NOT(ISERROR(SEARCH(("Yes"),(Q383))))</formula>
    </cfRule>
  </conditionalFormatting>
  <conditionalFormatting sqref="Q383:Q384">
    <cfRule type="containsText" dxfId="2" priority="50962" operator="containsText" text="Yes">
      <formula>NOT(ISERROR(SEARCH(("Yes"),(Q383))))</formula>
    </cfRule>
  </conditionalFormatting>
  <conditionalFormatting sqref="Q383:Q384">
    <cfRule type="containsText" dxfId="2" priority="50963" operator="containsText" text="Yes">
      <formula>NOT(ISERROR(SEARCH(("Yes"),(Q383))))</formula>
    </cfRule>
  </conditionalFormatting>
  <conditionalFormatting sqref="Q383:Q384">
    <cfRule type="containsText" dxfId="2" priority="50964" operator="containsText" text="Yes">
      <formula>NOT(ISERROR(SEARCH(("Yes"),(Q383))))</formula>
    </cfRule>
  </conditionalFormatting>
  <conditionalFormatting sqref="O383">
    <cfRule type="containsText" dxfId="9" priority="50965" operator="containsText" text="No">
      <formula>NOT(ISERROR(SEARCH(("No"),(O383))))</formula>
    </cfRule>
  </conditionalFormatting>
  <conditionalFormatting sqref="O383">
    <cfRule type="containsText" dxfId="9" priority="50966" operator="containsText" text="No">
      <formula>NOT(ISERROR(SEARCH(("No"),(O383))))</formula>
    </cfRule>
  </conditionalFormatting>
  <conditionalFormatting sqref="O383">
    <cfRule type="containsText" dxfId="9" priority="50967" operator="containsText" text="No">
      <formula>NOT(ISERROR(SEARCH(("No"),(O383))))</formula>
    </cfRule>
  </conditionalFormatting>
  <conditionalFormatting sqref="O383">
    <cfRule type="containsText" dxfId="2" priority="50968" operator="containsText" text="Yes">
      <formula>NOT(ISERROR(SEARCH(("Yes"),(O383))))</formula>
    </cfRule>
  </conditionalFormatting>
  <conditionalFormatting sqref="O383">
    <cfRule type="containsText" dxfId="2" priority="50969" operator="containsText" text="Yes">
      <formula>NOT(ISERROR(SEARCH(("Yes"),(O383))))</formula>
    </cfRule>
  </conditionalFormatting>
  <conditionalFormatting sqref="O383">
    <cfRule type="containsText" dxfId="2" priority="50970" operator="containsText" text="Yes">
      <formula>NOT(ISERROR(SEARCH(("Yes"),(O383))))</formula>
    </cfRule>
  </conditionalFormatting>
  <conditionalFormatting sqref="O383">
    <cfRule type="containsText" dxfId="2" priority="50971" operator="containsText" text="Yes">
      <formula>NOT(ISERROR(SEARCH(("Yes"),(O383))))</formula>
    </cfRule>
  </conditionalFormatting>
  <conditionalFormatting sqref="O383">
    <cfRule type="containsText" dxfId="2" priority="50972" operator="containsText" text="Yes">
      <formula>NOT(ISERROR(SEARCH(("Yes"),(O383))))</formula>
    </cfRule>
  </conditionalFormatting>
  <conditionalFormatting sqref="O383">
    <cfRule type="containsText" dxfId="9" priority="50973" operator="containsText" text="No">
      <formula>NOT(ISERROR(SEARCH(("No"),(O383))))</formula>
    </cfRule>
  </conditionalFormatting>
  <conditionalFormatting sqref="P385:Q385 P389:Q390 P393:Q394 P396:Q396 P399:Q409">
    <cfRule type="containsText" dxfId="9" priority="50974" operator="containsText" text="No">
      <formula>NOT(ISERROR(SEARCH(("No"),(P385))))</formula>
    </cfRule>
  </conditionalFormatting>
  <conditionalFormatting sqref="P385:Q385 P389:Q390 P393:Q394 P396:Q396 P399:Q409">
    <cfRule type="containsText" dxfId="9" priority="50975" operator="containsText" text="No">
      <formula>NOT(ISERROR(SEARCH(("No"),(P385))))</formula>
    </cfRule>
  </conditionalFormatting>
  <conditionalFormatting sqref="P385:Q385 P389:Q390 P393:Q394 P396:Q396 P399:Q409">
    <cfRule type="containsText" dxfId="9" priority="50976" operator="containsText" text="No">
      <formula>NOT(ISERROR(SEARCH(("No"),(P385))))</formula>
    </cfRule>
  </conditionalFormatting>
  <conditionalFormatting sqref="P385:Q385 P389:Q390 P393:Q394 P396:Q396 P399:Q409">
    <cfRule type="containsText" dxfId="9" priority="50977" operator="containsText" text="No">
      <formula>NOT(ISERROR(SEARCH(("No"),(P385))))</formula>
    </cfRule>
  </conditionalFormatting>
  <conditionalFormatting sqref="P385:Q385 P389:Q390 P393:Q394 P396:Q396 P399:Q409">
    <cfRule type="containsText" dxfId="9" priority="50978" operator="containsText" text="No">
      <formula>NOT(ISERROR(SEARCH(("No"),(P385))))</formula>
    </cfRule>
  </conditionalFormatting>
  <conditionalFormatting sqref="P385:Q385 P389:Q390 P393:Q394 P396:Q396 P399:Q409">
    <cfRule type="containsText" dxfId="9" priority="50979" operator="containsText" text="No">
      <formula>NOT(ISERROR(SEARCH(("No"),(P385))))</formula>
    </cfRule>
  </conditionalFormatting>
  <conditionalFormatting sqref="P385:Q385 P389:Q390 P393:Q394 P396:Q396 P399:Q409">
    <cfRule type="containsText" dxfId="9" priority="50980" operator="containsText" text="No">
      <formula>NOT(ISERROR(SEARCH(("No"),(P385))))</formula>
    </cfRule>
  </conditionalFormatting>
  <conditionalFormatting sqref="P385:Q385 P389:Q390 P393:Q394 P396:Q396 P399:Q409">
    <cfRule type="containsText" dxfId="9" priority="50981" operator="containsText" text="No">
      <formula>NOT(ISERROR(SEARCH(("No"),(P385))))</formula>
    </cfRule>
  </conditionalFormatting>
  <conditionalFormatting sqref="P385:Q385 P389:Q390 P393:Q394 P396:Q396 P399:Q409">
    <cfRule type="containsText" dxfId="9" priority="50982" operator="containsText" text="No">
      <formula>NOT(ISERROR(SEARCH(("No"),(P385))))</formula>
    </cfRule>
  </conditionalFormatting>
  <conditionalFormatting sqref="P385:Q385 P389:Q390 P393:Q394 P396:Q396 P399:Q409">
    <cfRule type="containsText" dxfId="9" priority="50983" operator="containsText" text="No">
      <formula>NOT(ISERROR(SEARCH(("No"),(P385))))</formula>
    </cfRule>
  </conditionalFormatting>
  <conditionalFormatting sqref="P385:Q385 P389:Q390 P393:Q394 P396:Q396 P399:Q409">
    <cfRule type="containsText" dxfId="9" priority="50984" operator="containsText" text="No">
      <formula>NOT(ISERROR(SEARCH(("No"),(P385))))</formula>
    </cfRule>
  </conditionalFormatting>
  <conditionalFormatting sqref="P385:Q385 P389:Q390 P393:Q394 P396:Q396 P399:Q409">
    <cfRule type="containsText" dxfId="9" priority="50985" operator="containsText" text="No">
      <formula>NOT(ISERROR(SEARCH(("No"),(P385))))</formula>
    </cfRule>
  </conditionalFormatting>
  <conditionalFormatting sqref="P385:Q385 P389:Q390 P393:Q394 P396:Q396 P399:Q409">
    <cfRule type="containsText" dxfId="9" priority="50986" operator="containsText" text="No">
      <formula>NOT(ISERROR(SEARCH(("No"),(P385))))</formula>
    </cfRule>
  </conditionalFormatting>
  <conditionalFormatting sqref="P385:Q385 P389:Q390 P393:Q394 P396:Q396 P399:Q409">
    <cfRule type="containsText" dxfId="9" priority="50987" operator="containsText" text="No">
      <formula>NOT(ISERROR(SEARCH(("No"),(P385))))</formula>
    </cfRule>
  </conditionalFormatting>
  <conditionalFormatting sqref="P385:Q385 P389:Q390 P393:Q394 P396:Q396 P399:Q409">
    <cfRule type="containsText" dxfId="9" priority="50988" operator="containsText" text="No">
      <formula>NOT(ISERROR(SEARCH(("No"),(P385))))</formula>
    </cfRule>
  </conditionalFormatting>
  <conditionalFormatting sqref="P385:Q385 P389:Q390 P393:Q394 P396:Q396 P399:Q409">
    <cfRule type="containsText" dxfId="9" priority="50989" operator="containsText" text="No">
      <formula>NOT(ISERROR(SEARCH(("No"),(P385))))</formula>
    </cfRule>
  </conditionalFormatting>
  <conditionalFormatting sqref="P385:Q385 P389:Q390 P393:Q394 P396:Q396 P399:Q409">
    <cfRule type="containsText" dxfId="9" priority="50990" operator="containsText" text="No">
      <formula>NOT(ISERROR(SEARCH(("No"),(P385))))</formula>
    </cfRule>
  </conditionalFormatting>
  <conditionalFormatting sqref="P385:Q385 P389:Q390 P393:Q394 P396:Q396 P399:Q409">
    <cfRule type="containsText" dxfId="9" priority="50991" operator="containsText" text="No">
      <formula>NOT(ISERROR(SEARCH(("No"),(P385))))</formula>
    </cfRule>
  </conditionalFormatting>
  <conditionalFormatting sqref="P385:Q385 P389:Q390 P393:Q394 P396:Q396 P399:Q409">
    <cfRule type="containsText" dxfId="9" priority="50992" operator="containsText" text="No">
      <formula>NOT(ISERROR(SEARCH(("No"),(P385))))</formula>
    </cfRule>
  </conditionalFormatting>
  <conditionalFormatting sqref="P385:Q385 P389:Q390 P393:Q394 P396:Q396 P399:Q409">
    <cfRule type="containsText" dxfId="9" priority="50993" operator="containsText" text="No">
      <formula>NOT(ISERROR(SEARCH(("No"),(P385))))</formula>
    </cfRule>
  </conditionalFormatting>
  <conditionalFormatting sqref="P385:Q385 P389:Q390 P393:Q394 P396:Q396 P399:Q409">
    <cfRule type="containsText" dxfId="9" priority="50994" operator="containsText" text="No">
      <formula>NOT(ISERROR(SEARCH(("No"),(P385))))</formula>
    </cfRule>
  </conditionalFormatting>
  <conditionalFormatting sqref="P385:Q385 P389:Q390 P393:Q394 P396:Q396 P399:Q409">
    <cfRule type="containsText" dxfId="9" priority="50995" operator="containsText" text="No">
      <formula>NOT(ISERROR(SEARCH(("No"),(P385))))</formula>
    </cfRule>
  </conditionalFormatting>
  <conditionalFormatting sqref="P385:Q385 P389:Q390 P393:Q394 P396:Q396 P399:Q409">
    <cfRule type="containsText" dxfId="9" priority="50996" operator="containsText" text="No">
      <formula>NOT(ISERROR(SEARCH(("No"),(P385))))</formula>
    </cfRule>
  </conditionalFormatting>
  <conditionalFormatting sqref="P385:Q385 P389:Q390 P393:Q394 P396:Q396 P399:Q409">
    <cfRule type="containsText" dxfId="9" priority="50997" operator="containsText" text="No">
      <formula>NOT(ISERROR(SEARCH(("No"),(P385))))</formula>
    </cfRule>
  </conditionalFormatting>
  <conditionalFormatting sqref="P385:Q385 P389:Q390 P393:Q394 P396:Q396 P399:Q409">
    <cfRule type="containsText" dxfId="9" priority="50998" operator="containsText" text="No">
      <formula>NOT(ISERROR(SEARCH(("No"),(P385))))</formula>
    </cfRule>
  </conditionalFormatting>
  <conditionalFormatting sqref="P385:Q385 P389:Q390 P393:Q394 P396:Q396 P399:Q409">
    <cfRule type="containsText" dxfId="9" priority="50999" operator="containsText" text="No">
      <formula>NOT(ISERROR(SEARCH(("No"),(P385))))</formula>
    </cfRule>
  </conditionalFormatting>
  <conditionalFormatting sqref="P385:Q385 P389:Q390 P393:Q394 P396:Q396 P399:Q409">
    <cfRule type="containsText" dxfId="9" priority="51000" operator="containsText" text="No">
      <formula>NOT(ISERROR(SEARCH(("No"),(P385))))</formula>
    </cfRule>
  </conditionalFormatting>
  <conditionalFormatting sqref="P385:Q385 P389:Q390 P393:Q394 P396:Q396 P399:Q409">
    <cfRule type="containsText" dxfId="9" priority="51001" operator="containsText" text="No">
      <formula>NOT(ISERROR(SEARCH(("No"),(P385))))</formula>
    </cfRule>
  </conditionalFormatting>
  <conditionalFormatting sqref="P385:Q385 P389:Q390 P393:Q394 P396:Q396 P399:Q409">
    <cfRule type="containsText" dxfId="9" priority="51002" operator="containsText" text="No">
      <formula>NOT(ISERROR(SEARCH(("No"),(P385))))</formula>
    </cfRule>
  </conditionalFormatting>
  <conditionalFormatting sqref="P385:Q385 P389:Q390 P393:Q394 P396:Q396 P399:Q409">
    <cfRule type="containsText" dxfId="9" priority="51003" operator="containsText" text="No">
      <formula>NOT(ISERROR(SEARCH(("No"),(P385))))</formula>
    </cfRule>
  </conditionalFormatting>
  <conditionalFormatting sqref="P385:Q385 P389:Q390 P393:Q394 P396:Q396 P399:Q409">
    <cfRule type="containsText" dxfId="9" priority="51004" operator="containsText" text="No">
      <formula>NOT(ISERROR(SEARCH(("No"),(P385))))</formula>
    </cfRule>
  </conditionalFormatting>
  <conditionalFormatting sqref="P385:Q385 P389:Q390 P393:Q394 P396:Q396 P399:Q409">
    <cfRule type="containsText" dxfId="9" priority="51005" operator="containsText" text="No">
      <formula>NOT(ISERROR(SEARCH(("No"),(P385))))</formula>
    </cfRule>
  </conditionalFormatting>
  <conditionalFormatting sqref="P385:Q385 P389:Q390 P393:Q394 P396:Q396 P399:Q409">
    <cfRule type="containsText" dxfId="9" priority="51006" operator="containsText" text="No">
      <formula>NOT(ISERROR(SEARCH(("No"),(P385))))</formula>
    </cfRule>
  </conditionalFormatting>
  <conditionalFormatting sqref="P385:Q385 P389:Q390 P393:Q394 P396:Q396 P399:Q409">
    <cfRule type="containsText" dxfId="9" priority="51007" operator="containsText" text="No">
      <formula>NOT(ISERROR(SEARCH(("No"),(P385))))</formula>
    </cfRule>
  </conditionalFormatting>
  <conditionalFormatting sqref="P385:Q385 P389:Q390 P393:Q394 P396:Q396 P399:Q409">
    <cfRule type="containsText" dxfId="9" priority="51008" operator="containsText" text="No">
      <formula>NOT(ISERROR(SEARCH(("No"),(P385))))</formula>
    </cfRule>
  </conditionalFormatting>
  <conditionalFormatting sqref="P385:Q385 P389:Q390 P393:Q394 P396:Q396 P399:Q409">
    <cfRule type="containsText" dxfId="9" priority="51009" operator="containsText" text="No">
      <formula>NOT(ISERROR(SEARCH(("No"),(P385))))</formula>
    </cfRule>
  </conditionalFormatting>
  <conditionalFormatting sqref="P385:Q385 P389:Q390 P393:Q394 P396:Q396 P399:Q409">
    <cfRule type="containsText" dxfId="9" priority="51010" operator="containsText" text="No">
      <formula>NOT(ISERROR(SEARCH(("No"),(P385))))</formula>
    </cfRule>
  </conditionalFormatting>
  <conditionalFormatting sqref="P385:Q385 P389:Q390 P393:Q394 P396:Q396 P399:Q409">
    <cfRule type="containsText" dxfId="9" priority="51011" operator="containsText" text="No">
      <formula>NOT(ISERROR(SEARCH(("No"),(P385))))</formula>
    </cfRule>
  </conditionalFormatting>
  <conditionalFormatting sqref="P385:Q385 P389:Q390 P393:Q394 P396:Q396 P399:Q409">
    <cfRule type="containsText" dxfId="9" priority="51012" operator="containsText" text="No">
      <formula>NOT(ISERROR(SEARCH(("No"),(P385))))</formula>
    </cfRule>
  </conditionalFormatting>
  <conditionalFormatting sqref="P385:Q385 P389:Q390 P393:Q394 P396:Q396 P399:Q409">
    <cfRule type="containsText" dxfId="9" priority="51013" operator="containsText" text="No">
      <formula>NOT(ISERROR(SEARCH(("No"),(P385))))</formula>
    </cfRule>
  </conditionalFormatting>
  <conditionalFormatting sqref="P385:Q385 P389:Q390 P393:Q394 P396:Q396 P399:Q409">
    <cfRule type="containsText" dxfId="9" priority="51014" operator="containsText" text="No">
      <formula>NOT(ISERROR(SEARCH(("No"),(P385))))</formula>
    </cfRule>
  </conditionalFormatting>
  <conditionalFormatting sqref="P385:Q385 P389:Q390 P393:Q394 P396:Q396 P399:Q409">
    <cfRule type="containsText" dxfId="9" priority="51015" operator="containsText" text="No">
      <formula>NOT(ISERROR(SEARCH(("No"),(P385))))</formula>
    </cfRule>
  </conditionalFormatting>
  <conditionalFormatting sqref="P385:Q385 P389:Q390 P393:Q394 P396:Q396 P399:Q409">
    <cfRule type="containsText" dxfId="9" priority="51016" operator="containsText" text="No">
      <formula>NOT(ISERROR(SEARCH(("No"),(P385))))</formula>
    </cfRule>
  </conditionalFormatting>
  <conditionalFormatting sqref="P385:Q385 P389:Q390 P393:Q394 P396:Q396 P399:Q409">
    <cfRule type="containsText" dxfId="9" priority="51017" operator="containsText" text="No">
      <formula>NOT(ISERROR(SEARCH(("No"),(P385))))</formula>
    </cfRule>
  </conditionalFormatting>
  <conditionalFormatting sqref="P385:Q385 P389:Q390 P393:Q394 P396:Q396 P399:Q409">
    <cfRule type="containsText" dxfId="9" priority="51018" operator="containsText" text="No">
      <formula>NOT(ISERROR(SEARCH(("No"),(P385))))</formula>
    </cfRule>
  </conditionalFormatting>
  <conditionalFormatting sqref="P385:Q385 P389:Q390 P393:Q394 P396:Q396 P399:Q409">
    <cfRule type="containsText" dxfId="2" priority="51019" operator="containsText" text="Yes">
      <formula>NOT(ISERROR(SEARCH(("Yes"),(P385))))</formula>
    </cfRule>
  </conditionalFormatting>
  <conditionalFormatting sqref="P385:Q385 P389:Q390 P393:Q394 P396:Q396 P399:Q409">
    <cfRule type="containsText" dxfId="2" priority="51020" operator="containsText" text="Yes">
      <formula>NOT(ISERROR(SEARCH(("Yes"),(P385))))</formula>
    </cfRule>
  </conditionalFormatting>
  <conditionalFormatting sqref="P385:Q385 P389:Q390 P393:Q394 P396:Q396 P399:Q409">
    <cfRule type="containsText" dxfId="2" priority="51021" operator="containsText" text="Yes">
      <formula>NOT(ISERROR(SEARCH(("Yes"),(P385))))</formula>
    </cfRule>
  </conditionalFormatting>
  <conditionalFormatting sqref="P385:Q385 P389:Q390 P393:Q394 P396:Q396 P399:Q409">
    <cfRule type="containsText" dxfId="2" priority="51022" operator="containsText" text="Yes">
      <formula>NOT(ISERROR(SEARCH(("Yes"),(P385))))</formula>
    </cfRule>
  </conditionalFormatting>
  <conditionalFormatting sqref="P385:Q385 P389:Q390 P393:Q394 P396:Q396 P399:Q409">
    <cfRule type="containsText" dxfId="2" priority="51023" operator="containsText" text="Yes">
      <formula>NOT(ISERROR(SEARCH(("Yes"),(P385))))</formula>
    </cfRule>
  </conditionalFormatting>
  <conditionalFormatting sqref="P385:Q385 P389:Q390 P393:Q394 P396:Q396 P399:Q409">
    <cfRule type="containsText" dxfId="2" priority="51024" operator="containsText" text="Yes">
      <formula>NOT(ISERROR(SEARCH(("Yes"),(P385))))</formula>
    </cfRule>
  </conditionalFormatting>
  <conditionalFormatting sqref="P385:Q385 P389:Q390 P393:Q394 P396:Q396 P399:Q409">
    <cfRule type="containsText" dxfId="2" priority="51025" operator="containsText" text="Yes">
      <formula>NOT(ISERROR(SEARCH(("Yes"),(P385))))</formula>
    </cfRule>
  </conditionalFormatting>
  <conditionalFormatting sqref="P385:Q385 P389:Q390 P393:Q394 P396:Q396 P399:Q409">
    <cfRule type="containsText" dxfId="2" priority="51026" operator="containsText" text="Yes">
      <formula>NOT(ISERROR(SEARCH(("Yes"),(P385))))</formula>
    </cfRule>
  </conditionalFormatting>
  <conditionalFormatting sqref="P385:Q385 P389:Q390 P393:Q394 P396:Q396 P399:Q409">
    <cfRule type="containsText" dxfId="2" priority="51027" operator="containsText" text="Yes">
      <formula>NOT(ISERROR(SEARCH(("Yes"),(P385))))</formula>
    </cfRule>
  </conditionalFormatting>
  <conditionalFormatting sqref="P385:Q385 P389:Q390 P393:Q394 P396:Q396 P399:Q409">
    <cfRule type="containsText" dxfId="2" priority="51028" operator="containsText" text="Yes">
      <formula>NOT(ISERROR(SEARCH(("Yes"),(P385))))</formula>
    </cfRule>
  </conditionalFormatting>
  <conditionalFormatting sqref="P385:Q385 P389:Q390 P393:Q394 P396:Q396 P399:Q409">
    <cfRule type="containsText" dxfId="2" priority="51029" operator="containsText" text="Yes">
      <formula>NOT(ISERROR(SEARCH(("Yes"),(P385))))</formula>
    </cfRule>
  </conditionalFormatting>
  <conditionalFormatting sqref="P385:Q385 P389:Q390 P393:Q394 P396:Q396 P399:Q409">
    <cfRule type="containsText" dxfId="2" priority="51030" operator="containsText" text="Yes">
      <formula>NOT(ISERROR(SEARCH(("Yes"),(P385))))</formula>
    </cfRule>
  </conditionalFormatting>
  <conditionalFormatting sqref="P385:Q385 P389:Q390 P393:Q394 P396:Q396 P399:Q409">
    <cfRule type="containsText" dxfId="2" priority="51031" operator="containsText" text="Yes">
      <formula>NOT(ISERROR(SEARCH(("Yes"),(P385))))</formula>
    </cfRule>
  </conditionalFormatting>
  <conditionalFormatting sqref="P385:Q385 P389:Q390 P393:Q394 P396:Q396 P399:Q409">
    <cfRule type="containsText" dxfId="2" priority="51032" operator="containsText" text="Yes">
      <formula>NOT(ISERROR(SEARCH(("Yes"),(P385))))</formula>
    </cfRule>
  </conditionalFormatting>
  <conditionalFormatting sqref="P385:Q385 P389:Q390 P393:Q394 P396:Q396 P399:Q409">
    <cfRule type="containsText" dxfId="2" priority="51033" operator="containsText" text="Yes">
      <formula>NOT(ISERROR(SEARCH(("Yes"),(P385))))</formula>
    </cfRule>
  </conditionalFormatting>
  <conditionalFormatting sqref="P385:Q385 P389:Q390 P393:Q394 P396:Q396 P399:Q409">
    <cfRule type="containsText" dxfId="2" priority="51034" operator="containsText" text="Yes">
      <formula>NOT(ISERROR(SEARCH(("Yes"),(P385))))</formula>
    </cfRule>
  </conditionalFormatting>
  <conditionalFormatting sqref="P385:Q385 P389:Q390 P393:Q394 P396:Q396 P399:Q409">
    <cfRule type="containsText" dxfId="2" priority="51035" operator="containsText" text="Yes">
      <formula>NOT(ISERROR(SEARCH(("Yes"),(P385))))</formula>
    </cfRule>
  </conditionalFormatting>
  <conditionalFormatting sqref="P385:Q385 P389:Q390 P393:Q394 P396:Q396 P399:Q409">
    <cfRule type="containsText" dxfId="2" priority="51036" operator="containsText" text="Yes">
      <formula>NOT(ISERROR(SEARCH(("Yes"),(P385))))</formula>
    </cfRule>
  </conditionalFormatting>
  <conditionalFormatting sqref="P385:Q385 P389:Q390 P393:Q394 P396:Q396 P399:Q409">
    <cfRule type="containsText" dxfId="2" priority="51037" operator="containsText" text="Yes">
      <formula>NOT(ISERROR(SEARCH(("Yes"),(P385))))</formula>
    </cfRule>
  </conditionalFormatting>
  <conditionalFormatting sqref="P385:Q385 P389:Q390 P393:Q394 P396:Q396 P399:Q409">
    <cfRule type="containsText" dxfId="2" priority="51038" operator="containsText" text="Yes">
      <formula>NOT(ISERROR(SEARCH(("Yes"),(P385))))</formula>
    </cfRule>
  </conditionalFormatting>
  <conditionalFormatting sqref="P385:Q385 P389:Q390 P393:Q394 P396:Q396 P399:Q409">
    <cfRule type="containsText" dxfId="2" priority="51039" operator="containsText" text="Yes">
      <formula>NOT(ISERROR(SEARCH(("Yes"),(P385))))</formula>
    </cfRule>
  </conditionalFormatting>
  <conditionalFormatting sqref="P385:Q385 P389:Q390 P393:Q394 P396:Q396 P399:Q409">
    <cfRule type="containsText" dxfId="2" priority="51040" operator="containsText" text="Yes">
      <formula>NOT(ISERROR(SEARCH(("Yes"),(P385))))</formula>
    </cfRule>
  </conditionalFormatting>
  <conditionalFormatting sqref="P385:Q385 P389:Q390 P393:Q394 P396:Q396 P399:Q409">
    <cfRule type="containsText" dxfId="2" priority="51041" operator="containsText" text="Yes">
      <formula>NOT(ISERROR(SEARCH(("Yes"),(P385))))</formula>
    </cfRule>
  </conditionalFormatting>
  <conditionalFormatting sqref="P385:Q385 P389:Q390 P393:Q394 P396:Q396 P399:Q409">
    <cfRule type="containsText" dxfId="2" priority="51042" operator="containsText" text="Yes">
      <formula>NOT(ISERROR(SEARCH(("Yes"),(P385))))</formula>
    </cfRule>
  </conditionalFormatting>
  <conditionalFormatting sqref="P385:Q385 P389:Q390 P393:Q394 P396:Q396 P399:Q409">
    <cfRule type="containsText" dxfId="2" priority="51043" operator="containsText" text="Yes">
      <formula>NOT(ISERROR(SEARCH(("Yes"),(P385))))</formula>
    </cfRule>
  </conditionalFormatting>
  <conditionalFormatting sqref="P385:Q385 P389:Q390 P393:Q394 P396:Q396 P399:Q409">
    <cfRule type="containsText" dxfId="2" priority="51044" operator="containsText" text="Yes">
      <formula>NOT(ISERROR(SEARCH(("Yes"),(P385))))</formula>
    </cfRule>
  </conditionalFormatting>
  <conditionalFormatting sqref="P385:Q385 P389:Q390 P393:Q394 P396:Q396 P399:Q409">
    <cfRule type="containsText" dxfId="2" priority="51045" operator="containsText" text="Yes">
      <formula>NOT(ISERROR(SEARCH(("Yes"),(P385))))</formula>
    </cfRule>
  </conditionalFormatting>
  <conditionalFormatting sqref="P385:Q385 P389:Q390 P393:Q394 P396:Q396 P399:Q409">
    <cfRule type="containsText" dxfId="2" priority="51046" operator="containsText" text="Yes">
      <formula>NOT(ISERROR(SEARCH(("Yes"),(P385))))</formula>
    </cfRule>
  </conditionalFormatting>
  <conditionalFormatting sqref="P385:Q385 P389:Q390 P393:Q394 P396:Q396 P399:Q409">
    <cfRule type="containsText" dxfId="2" priority="51047" operator="containsText" text="Yes">
      <formula>NOT(ISERROR(SEARCH(("Yes"),(P385))))</formula>
    </cfRule>
  </conditionalFormatting>
  <conditionalFormatting sqref="P385:Q385 P389:Q390 P393:Q394 P396:Q396 P399:Q409">
    <cfRule type="containsText" dxfId="2" priority="51048" operator="containsText" text="Yes">
      <formula>NOT(ISERROR(SEARCH(("Yes"),(P385))))</formula>
    </cfRule>
  </conditionalFormatting>
  <conditionalFormatting sqref="P385:Q385 P389:Q390 P393:Q394 P396:Q396 P399:Q409">
    <cfRule type="containsText" dxfId="2" priority="51049" operator="containsText" text="Yes">
      <formula>NOT(ISERROR(SEARCH(("Yes"),(P385))))</formula>
    </cfRule>
  </conditionalFormatting>
  <conditionalFormatting sqref="P385:Q385 P389:Q390 P393:Q394 P396:Q396 P399:Q409">
    <cfRule type="containsText" dxfId="2" priority="51050" operator="containsText" text="Yes">
      <formula>NOT(ISERROR(SEARCH(("Yes"),(P385))))</formula>
    </cfRule>
  </conditionalFormatting>
  <conditionalFormatting sqref="P385:Q385 P389:Q390 P393:Q394 P396:Q396 P399:Q409">
    <cfRule type="containsText" dxfId="2" priority="51051" operator="containsText" text="Yes">
      <formula>NOT(ISERROR(SEARCH(("Yes"),(P385))))</formula>
    </cfRule>
  </conditionalFormatting>
  <conditionalFormatting sqref="P385:Q385 P389:Q390 P393:Q394 P396:Q396 P399:Q409">
    <cfRule type="containsText" dxfId="2" priority="51052" operator="containsText" text="Yes">
      <formula>NOT(ISERROR(SEARCH(("Yes"),(P385))))</formula>
    </cfRule>
  </conditionalFormatting>
  <conditionalFormatting sqref="P385:Q385 P389:Q390 P393:Q394 P396:Q396 P399:Q409">
    <cfRule type="containsText" dxfId="2" priority="51053" operator="containsText" text="Yes">
      <formula>NOT(ISERROR(SEARCH(("Yes"),(P385))))</formula>
    </cfRule>
  </conditionalFormatting>
  <conditionalFormatting sqref="P385:Q385 P389:Q390 P393:Q394 P396:Q396 P399:Q409">
    <cfRule type="containsText" dxfId="2" priority="51054" operator="containsText" text="Yes">
      <formula>NOT(ISERROR(SEARCH(("Yes"),(P385))))</formula>
    </cfRule>
  </conditionalFormatting>
  <conditionalFormatting sqref="P385:Q385 P389:Q390 P393:Q394 P396:Q396 P399:Q409">
    <cfRule type="containsText" dxfId="2" priority="51055" operator="containsText" text="Yes">
      <formula>NOT(ISERROR(SEARCH(("Yes"),(P385))))</formula>
    </cfRule>
  </conditionalFormatting>
  <conditionalFormatting sqref="P385:Q385 P389:Q390 P393:Q394 P396:Q396 P399:Q409">
    <cfRule type="containsText" dxfId="2" priority="51056" operator="containsText" text="Yes">
      <formula>NOT(ISERROR(SEARCH(("Yes"),(P385))))</formula>
    </cfRule>
  </conditionalFormatting>
  <conditionalFormatting sqref="P385:Q385 P389:Q390 P393:Q394 P396:Q396 P399:Q409">
    <cfRule type="containsText" dxfId="2" priority="51057" operator="containsText" text="Yes">
      <formula>NOT(ISERROR(SEARCH(("Yes"),(P385))))</formula>
    </cfRule>
  </conditionalFormatting>
  <conditionalFormatting sqref="P385:Q385 P389:Q390 P393:Q394 P396:Q396 P399:Q409">
    <cfRule type="containsText" dxfId="2" priority="51058" operator="containsText" text="Yes">
      <formula>NOT(ISERROR(SEARCH(("Yes"),(P385))))</formula>
    </cfRule>
  </conditionalFormatting>
  <conditionalFormatting sqref="P385:Q385 P389:Q390 P393:Q394 P396:Q396 P399:Q409">
    <cfRule type="containsText" dxfId="2" priority="51059" operator="containsText" text="Yes">
      <formula>NOT(ISERROR(SEARCH(("Yes"),(P385))))</formula>
    </cfRule>
  </conditionalFormatting>
  <conditionalFormatting sqref="P385:Q385 P389:Q390 P393:Q394 P396:Q396 P399:Q409">
    <cfRule type="containsText" dxfId="2" priority="51060" operator="containsText" text="Yes">
      <formula>NOT(ISERROR(SEARCH(("Yes"),(P385))))</formula>
    </cfRule>
  </conditionalFormatting>
  <conditionalFormatting sqref="P385:Q385 P389:Q390 P393:Q394 P396:Q396 P399:Q409">
    <cfRule type="containsText" dxfId="2" priority="51061" operator="containsText" text="Yes">
      <formula>NOT(ISERROR(SEARCH(("Yes"),(P385))))</formula>
    </cfRule>
  </conditionalFormatting>
  <conditionalFormatting sqref="P385:Q385 P389:Q390 P393:Q394 P396:Q396 P399:Q409">
    <cfRule type="containsText" dxfId="2" priority="51062" operator="containsText" text="Yes">
      <formula>NOT(ISERROR(SEARCH(("Yes"),(P385))))</formula>
    </cfRule>
  </conditionalFormatting>
  <conditionalFormatting sqref="P385:Q385 P389:Q390 P393:Q394 P396:Q396 P399:Q409">
    <cfRule type="containsText" dxfId="2" priority="51063" operator="containsText" text="Yes">
      <formula>NOT(ISERROR(SEARCH(("Yes"),(P385))))</formula>
    </cfRule>
  </conditionalFormatting>
  <conditionalFormatting sqref="P385:Q385 P389:Q390 P393:Q394 P396:Q396 P399:Q409">
    <cfRule type="containsText" dxfId="2" priority="51064" operator="containsText" text="Yes">
      <formula>NOT(ISERROR(SEARCH(("Yes"),(P385))))</formula>
    </cfRule>
  </conditionalFormatting>
  <conditionalFormatting sqref="P385:Q385 P389:Q390 P393:Q394 P396:Q396 P399:Q409">
    <cfRule type="containsText" dxfId="2" priority="51065" operator="containsText" text="Yes">
      <formula>NOT(ISERROR(SEARCH(("Yes"),(P385))))</formula>
    </cfRule>
  </conditionalFormatting>
  <conditionalFormatting sqref="N385:O385 N389:O390 N393:N396 N399:O409 O393:O394 O396">
    <cfRule type="containsText" dxfId="9" priority="51066" operator="containsText" text="No">
      <formula>NOT(ISERROR(SEARCH(("No"),(N385))))</formula>
    </cfRule>
  </conditionalFormatting>
  <conditionalFormatting sqref="N385:O385 N389:O390 N393:N396 N399:O409 O393:O394 O396">
    <cfRule type="containsText" dxfId="9" priority="51067" operator="containsText" text="No">
      <formula>NOT(ISERROR(SEARCH(("No"),(N385))))</formula>
    </cfRule>
  </conditionalFormatting>
  <conditionalFormatting sqref="N385:O385 N389:O390 N393:N396 N399:O409 O393:O394 O396">
    <cfRule type="containsText" dxfId="9" priority="51068" operator="containsText" text="No">
      <formula>NOT(ISERROR(SEARCH(("No"),(N385))))</formula>
    </cfRule>
  </conditionalFormatting>
  <conditionalFormatting sqref="N385:O385 N389:O390 N393:N396 N399:O409 O393:O394 O396">
    <cfRule type="containsText" dxfId="9" priority="51069" operator="containsText" text="No">
      <formula>NOT(ISERROR(SEARCH(("No"),(N385))))</formula>
    </cfRule>
  </conditionalFormatting>
  <conditionalFormatting sqref="N385:O385 N389:O390 N393:N396 N399:O409 O393:O394 O396">
    <cfRule type="containsText" dxfId="9" priority="51070" operator="containsText" text="No">
      <formula>NOT(ISERROR(SEARCH(("No"),(N385))))</formula>
    </cfRule>
  </conditionalFormatting>
  <conditionalFormatting sqref="N385:O385 N389:O390 N393:N396 N399:O409 O393:O394 O396">
    <cfRule type="containsText" dxfId="9" priority="51071" operator="containsText" text="No">
      <formula>NOT(ISERROR(SEARCH(("No"),(N385))))</formula>
    </cfRule>
  </conditionalFormatting>
  <conditionalFormatting sqref="N385:O385 N389:O390 N393:N396 N399:O409 O393:O394 O396">
    <cfRule type="containsText" dxfId="9" priority="51072" operator="containsText" text="No">
      <formula>NOT(ISERROR(SEARCH(("No"),(N385))))</formula>
    </cfRule>
  </conditionalFormatting>
  <conditionalFormatting sqref="N385:O385 N389:O390 N393:N396 N399:O409 O393:O394 O396">
    <cfRule type="containsText" dxfId="9" priority="51073" operator="containsText" text="No">
      <formula>NOT(ISERROR(SEARCH(("No"),(N385))))</formula>
    </cfRule>
  </conditionalFormatting>
  <conditionalFormatting sqref="N385:O385 N389:O390 N393:N396 N399:O409 O393:O394 O396">
    <cfRule type="containsText" dxfId="9" priority="51074" operator="containsText" text="No">
      <formula>NOT(ISERROR(SEARCH(("No"),(N385))))</formula>
    </cfRule>
  </conditionalFormatting>
  <conditionalFormatting sqref="N385:O385 N389:O390 N393:N396 N399:O409 O393:O394 O396">
    <cfRule type="containsText" dxfId="9" priority="51075" operator="containsText" text="No">
      <formula>NOT(ISERROR(SEARCH(("No"),(N385))))</formula>
    </cfRule>
  </conditionalFormatting>
  <conditionalFormatting sqref="N385:O385 N389:O390 N393:N396 N399:O409 O393:O394 O396">
    <cfRule type="containsText" dxfId="9" priority="51076" operator="containsText" text="No">
      <formula>NOT(ISERROR(SEARCH(("No"),(N385))))</formula>
    </cfRule>
  </conditionalFormatting>
  <conditionalFormatting sqref="N385:O385 N389:O390 N393:N396 N399:O409 O393:O394 O396">
    <cfRule type="containsText" dxfId="9" priority="51077" operator="containsText" text="No">
      <formula>NOT(ISERROR(SEARCH(("No"),(N385))))</formula>
    </cfRule>
  </conditionalFormatting>
  <conditionalFormatting sqref="N385:O385 N389:O390 N393:N396 N399:O409 O393:O394 O396">
    <cfRule type="containsText" dxfId="9" priority="51078" operator="containsText" text="No">
      <formula>NOT(ISERROR(SEARCH(("No"),(N385))))</formula>
    </cfRule>
  </conditionalFormatting>
  <conditionalFormatting sqref="N385:O385 N389:O390 N393:N396 N399:O409 O393:O394 O396">
    <cfRule type="containsText" dxfId="9" priority="51079" operator="containsText" text="No">
      <formula>NOT(ISERROR(SEARCH(("No"),(N385))))</formula>
    </cfRule>
  </conditionalFormatting>
  <conditionalFormatting sqref="N385:O385 N389:O390 N393:N396 N399:O409 O393:O394 O396">
    <cfRule type="containsText" dxfId="9" priority="51080" operator="containsText" text="No">
      <formula>NOT(ISERROR(SEARCH(("No"),(N385))))</formula>
    </cfRule>
  </conditionalFormatting>
  <conditionalFormatting sqref="N385:O385 N389:O390 N393:N396 N399:O409 O393:O394 O396">
    <cfRule type="containsText" dxfId="9" priority="51081" operator="containsText" text="No">
      <formula>NOT(ISERROR(SEARCH(("No"),(N385))))</formula>
    </cfRule>
  </conditionalFormatting>
  <conditionalFormatting sqref="N385:O385 N389:O390 N393:N396 N399:O409 O393:O394 O396">
    <cfRule type="containsText" dxfId="9" priority="51082" operator="containsText" text="No">
      <formula>NOT(ISERROR(SEARCH(("No"),(N385))))</formula>
    </cfRule>
  </conditionalFormatting>
  <conditionalFormatting sqref="N385:O385 N389:O390 N393:N396 N399:O409 O393:O394 O396">
    <cfRule type="containsText" dxfId="9" priority="51083" operator="containsText" text="No">
      <formula>NOT(ISERROR(SEARCH(("No"),(N385))))</formula>
    </cfRule>
  </conditionalFormatting>
  <conditionalFormatting sqref="N385:O385 N389:O390 N393:N396 N399:O409 O393:O394 O396">
    <cfRule type="containsText" dxfId="9" priority="51084" operator="containsText" text="No">
      <formula>NOT(ISERROR(SEARCH(("No"),(N385))))</formula>
    </cfRule>
  </conditionalFormatting>
  <conditionalFormatting sqref="N385:O385 N389:O390 N393:N396 N399:O409 O393:O394 O396">
    <cfRule type="containsText" dxfId="9" priority="51085" operator="containsText" text="No">
      <formula>NOT(ISERROR(SEARCH(("No"),(N385))))</formula>
    </cfRule>
  </conditionalFormatting>
  <conditionalFormatting sqref="N385:O385 N389:O390 N393:N396 N399:O409 O393:O394 O396">
    <cfRule type="containsText" dxfId="9" priority="51086" operator="containsText" text="No">
      <formula>NOT(ISERROR(SEARCH(("No"),(N385))))</formula>
    </cfRule>
  </conditionalFormatting>
  <conditionalFormatting sqref="N385:O385 N389:O390 N393:N396 N399:O409 O393:O394 O396">
    <cfRule type="containsText" dxfId="9" priority="51087" operator="containsText" text="No">
      <formula>NOT(ISERROR(SEARCH(("No"),(N385))))</formula>
    </cfRule>
  </conditionalFormatting>
  <conditionalFormatting sqref="N385:O385 N389:O390 N393:N396 N399:O409 O393:O394 O396">
    <cfRule type="containsText" dxfId="9" priority="51088" operator="containsText" text="No">
      <formula>NOT(ISERROR(SEARCH(("No"),(N385))))</formula>
    </cfRule>
  </conditionalFormatting>
  <conditionalFormatting sqref="N385:O385 N389:O390 N393:N396 N399:O409 O393:O394 O396">
    <cfRule type="containsText" dxfId="9" priority="51089" operator="containsText" text="No">
      <formula>NOT(ISERROR(SEARCH(("No"),(N385))))</formula>
    </cfRule>
  </conditionalFormatting>
  <conditionalFormatting sqref="N385:O385 N389:O390 N393:N396 N399:O409 O393:O394 O396">
    <cfRule type="containsText" dxfId="9" priority="51090" operator="containsText" text="No">
      <formula>NOT(ISERROR(SEARCH(("No"),(N385))))</formula>
    </cfRule>
  </conditionalFormatting>
  <conditionalFormatting sqref="N385:O385 N389:O390 N393:N396 N399:O409 O393:O394 O396">
    <cfRule type="containsText" dxfId="9" priority="51091" operator="containsText" text="No">
      <formula>NOT(ISERROR(SEARCH(("No"),(N385))))</formula>
    </cfRule>
  </conditionalFormatting>
  <conditionalFormatting sqref="N385:O385 N389:O390 N393:N396 N399:O409 O393:O394 O396">
    <cfRule type="containsText" dxfId="9" priority="51092" operator="containsText" text="No">
      <formula>NOT(ISERROR(SEARCH(("No"),(N385))))</formula>
    </cfRule>
  </conditionalFormatting>
  <conditionalFormatting sqref="N385:O385 N389:O390 N393:N396 N399:O409 O393:O394 O396">
    <cfRule type="containsText" dxfId="9" priority="51093" operator="containsText" text="No">
      <formula>NOT(ISERROR(SEARCH(("No"),(N385))))</formula>
    </cfRule>
  </conditionalFormatting>
  <conditionalFormatting sqref="N385:O385 N389:O390 N393:N396 N399:O409 O393:O394 O396">
    <cfRule type="containsText" dxfId="9" priority="51094" operator="containsText" text="No">
      <formula>NOT(ISERROR(SEARCH(("No"),(N385))))</formula>
    </cfRule>
  </conditionalFormatting>
  <conditionalFormatting sqref="N385:O385 N389:O390 N393:N396 N399:O409 O393:O394 O396">
    <cfRule type="containsText" dxfId="9" priority="51095" operator="containsText" text="No">
      <formula>NOT(ISERROR(SEARCH(("No"),(N385))))</formula>
    </cfRule>
  </conditionalFormatting>
  <conditionalFormatting sqref="N385:O385 N389:O390 N393:N396 N399:O409 O393:O394 O396">
    <cfRule type="containsText" dxfId="9" priority="51096" operator="containsText" text="No">
      <formula>NOT(ISERROR(SEARCH(("No"),(N385))))</formula>
    </cfRule>
  </conditionalFormatting>
  <conditionalFormatting sqref="N385:O385 N389:O390 N393:N396 N399:O409 O393:O394 O396">
    <cfRule type="containsText" dxfId="9" priority="51097" operator="containsText" text="No">
      <formula>NOT(ISERROR(SEARCH(("No"),(N385))))</formula>
    </cfRule>
  </conditionalFormatting>
  <conditionalFormatting sqref="N385:O385 N389:O390 N393:N396 N399:O409 O393:O394 O396">
    <cfRule type="containsText" dxfId="9" priority="51098" operator="containsText" text="No">
      <formula>NOT(ISERROR(SEARCH(("No"),(N385))))</formula>
    </cfRule>
  </conditionalFormatting>
  <conditionalFormatting sqref="N385:O385 N389:O390 N393:N396 N399:O409 O393:O394 O396">
    <cfRule type="containsText" dxfId="9" priority="51099" operator="containsText" text="No">
      <formula>NOT(ISERROR(SEARCH(("No"),(N385))))</formula>
    </cfRule>
  </conditionalFormatting>
  <conditionalFormatting sqref="N385:O385 N389:O390 N393:N396 N399:O409 O393:O394 O396">
    <cfRule type="containsText" dxfId="9" priority="51100" operator="containsText" text="No">
      <formula>NOT(ISERROR(SEARCH(("No"),(N385))))</formula>
    </cfRule>
  </conditionalFormatting>
  <conditionalFormatting sqref="N385:O385 N389:O390 N393:N396 N399:O409 O393:O394 O396">
    <cfRule type="containsText" dxfId="9" priority="51101" operator="containsText" text="No">
      <formula>NOT(ISERROR(SEARCH(("No"),(N385))))</formula>
    </cfRule>
  </conditionalFormatting>
  <conditionalFormatting sqref="N385:O385 N389:O390 N393:N396 N399:O409 O393:O394 O396">
    <cfRule type="containsText" dxfId="9" priority="51102" operator="containsText" text="No">
      <formula>NOT(ISERROR(SEARCH(("No"),(N385))))</formula>
    </cfRule>
  </conditionalFormatting>
  <conditionalFormatting sqref="N385:O385 N389:O390 N393:N396 N399:O409 O393:O394 O396">
    <cfRule type="containsText" dxfId="9" priority="51103" operator="containsText" text="No">
      <formula>NOT(ISERROR(SEARCH(("No"),(N385))))</formula>
    </cfRule>
  </conditionalFormatting>
  <conditionalFormatting sqref="N385:O385 N389:O390 N393:N396 N399:O409 O393:O394 O396">
    <cfRule type="containsText" dxfId="9" priority="51104" operator="containsText" text="No">
      <formula>NOT(ISERROR(SEARCH(("No"),(N385))))</formula>
    </cfRule>
  </conditionalFormatting>
  <conditionalFormatting sqref="N385:O385 N389:O390 N393:N396 N399:O409 O393:O394 O396">
    <cfRule type="containsText" dxfId="9" priority="51105" operator="containsText" text="No">
      <formula>NOT(ISERROR(SEARCH(("No"),(N385))))</formula>
    </cfRule>
  </conditionalFormatting>
  <conditionalFormatting sqref="N385:O385 N389:O390 N393:N396 N399:O409 O393:O394 O396">
    <cfRule type="containsText" dxfId="9" priority="51106" operator="containsText" text="No">
      <formula>NOT(ISERROR(SEARCH(("No"),(N385))))</formula>
    </cfRule>
  </conditionalFormatting>
  <conditionalFormatting sqref="N385:O385 N389:O390 N393:N396 N399:O409 O393:O394 O396">
    <cfRule type="containsText" dxfId="9" priority="51107" operator="containsText" text="No">
      <formula>NOT(ISERROR(SEARCH(("No"),(N385))))</formula>
    </cfRule>
  </conditionalFormatting>
  <conditionalFormatting sqref="N385:O385 N389:O390 N393:N396 N399:O409 O393:O394 O396">
    <cfRule type="containsText" dxfId="9" priority="51108" operator="containsText" text="No">
      <formula>NOT(ISERROR(SEARCH(("No"),(N385))))</formula>
    </cfRule>
  </conditionalFormatting>
  <conditionalFormatting sqref="N385:O385 N389:O390 N393:N396 N399:O409 O393:O394 O396">
    <cfRule type="containsText" dxfId="9" priority="51109" operator="containsText" text="No">
      <formula>NOT(ISERROR(SEARCH(("No"),(N385))))</formula>
    </cfRule>
  </conditionalFormatting>
  <conditionalFormatting sqref="N385:O385 N389:O390 N393:N396 N399:O409 O393:O394 O396">
    <cfRule type="containsText" dxfId="9" priority="51110" operator="containsText" text="No">
      <formula>NOT(ISERROR(SEARCH(("No"),(N385))))</formula>
    </cfRule>
  </conditionalFormatting>
  <conditionalFormatting sqref="N385:O385 N389:O390 N393:N396 N399:O409 O393:O394 O396">
    <cfRule type="containsText" dxfId="2" priority="51111" operator="containsText" text="Yes">
      <formula>NOT(ISERROR(SEARCH(("Yes"),(N385))))</formula>
    </cfRule>
  </conditionalFormatting>
  <conditionalFormatting sqref="N385:O385 N389:O390 N393:N396 N399:O409 O393:O394 O396">
    <cfRule type="containsText" dxfId="2" priority="51112" operator="containsText" text="Yes">
      <formula>NOT(ISERROR(SEARCH(("Yes"),(N385))))</formula>
    </cfRule>
  </conditionalFormatting>
  <conditionalFormatting sqref="N385:O385 N389:O390 N393:N396 N399:O409 O393:O394 O396">
    <cfRule type="containsText" dxfId="2" priority="51113" operator="containsText" text="Yes">
      <formula>NOT(ISERROR(SEARCH(("Yes"),(N385))))</formula>
    </cfRule>
  </conditionalFormatting>
  <conditionalFormatting sqref="N385:O385 N389:O390 N393:N396 N399:O409 O393:O394 O396">
    <cfRule type="containsText" dxfId="2" priority="51114" operator="containsText" text="Yes">
      <formula>NOT(ISERROR(SEARCH(("Yes"),(N385))))</formula>
    </cfRule>
  </conditionalFormatting>
  <conditionalFormatting sqref="N385:O385 N389:O390 N393:N396 N399:O409 O393:O394 O396">
    <cfRule type="containsText" dxfId="2" priority="51115" operator="containsText" text="Yes">
      <formula>NOT(ISERROR(SEARCH(("Yes"),(N385))))</formula>
    </cfRule>
  </conditionalFormatting>
  <conditionalFormatting sqref="N385:O385 N389:O390 N393:N396 N399:O409 O393:O394 O396">
    <cfRule type="containsText" dxfId="2" priority="51116" operator="containsText" text="Yes">
      <formula>NOT(ISERROR(SEARCH(("Yes"),(N385))))</formula>
    </cfRule>
  </conditionalFormatting>
  <conditionalFormatting sqref="N385:O385 N389:O390 N393:N396 N399:O409 O393:O394 O396">
    <cfRule type="containsText" dxfId="2" priority="51117" operator="containsText" text="Yes">
      <formula>NOT(ISERROR(SEARCH(("Yes"),(N385))))</formula>
    </cfRule>
  </conditionalFormatting>
  <conditionalFormatting sqref="N385:O385 N389:O390 N393:N396 N399:O409 O393:O394 O396">
    <cfRule type="containsText" dxfId="2" priority="51118" operator="containsText" text="Yes">
      <formula>NOT(ISERROR(SEARCH(("Yes"),(N385))))</formula>
    </cfRule>
  </conditionalFormatting>
  <conditionalFormatting sqref="N385:O385 N389:O390 N393:N396 N399:O409 O393:O394 O396">
    <cfRule type="containsText" dxfId="2" priority="51119" operator="containsText" text="Yes">
      <formula>NOT(ISERROR(SEARCH(("Yes"),(N385))))</formula>
    </cfRule>
  </conditionalFormatting>
  <conditionalFormatting sqref="N385:O385 N389:O390 N393:N396 N399:O409 O393:O394 O396">
    <cfRule type="containsText" dxfId="2" priority="51120" operator="containsText" text="Yes">
      <formula>NOT(ISERROR(SEARCH(("Yes"),(N385))))</formula>
    </cfRule>
  </conditionalFormatting>
  <conditionalFormatting sqref="N385:O385 N389:O390 N393:N396 N399:O409 O393:O394 O396">
    <cfRule type="containsText" dxfId="2" priority="51121" operator="containsText" text="Yes">
      <formula>NOT(ISERROR(SEARCH(("Yes"),(N385))))</formula>
    </cfRule>
  </conditionalFormatting>
  <conditionalFormatting sqref="N385:O385 N389:O390 N393:N396 N399:O409 O393:O394 O396">
    <cfRule type="containsText" dxfId="2" priority="51122" operator="containsText" text="Yes">
      <formula>NOT(ISERROR(SEARCH(("Yes"),(N385))))</formula>
    </cfRule>
  </conditionalFormatting>
  <conditionalFormatting sqref="N385:O385 N389:O390 N393:N396 N399:O409 O393:O394 O396">
    <cfRule type="containsText" dxfId="2" priority="51123" operator="containsText" text="Yes">
      <formula>NOT(ISERROR(SEARCH(("Yes"),(N385))))</formula>
    </cfRule>
  </conditionalFormatting>
  <conditionalFormatting sqref="N385:O385 N389:O390 N393:N396 N399:O409 O393:O394 O396">
    <cfRule type="containsText" dxfId="2" priority="51124" operator="containsText" text="Yes">
      <formula>NOT(ISERROR(SEARCH(("Yes"),(N385))))</formula>
    </cfRule>
  </conditionalFormatting>
  <conditionalFormatting sqref="N385:O385 N389:O390 N393:N396 N399:O409 O393:O394 O396">
    <cfRule type="containsText" dxfId="2" priority="51125" operator="containsText" text="Yes">
      <formula>NOT(ISERROR(SEARCH(("Yes"),(N385))))</formula>
    </cfRule>
  </conditionalFormatting>
  <conditionalFormatting sqref="N385:O385 N389:O390 N393:N396 N399:O409 O393:O394 O396">
    <cfRule type="containsText" dxfId="2" priority="51126" operator="containsText" text="Yes">
      <formula>NOT(ISERROR(SEARCH(("Yes"),(N385))))</formula>
    </cfRule>
  </conditionalFormatting>
  <conditionalFormatting sqref="N385:O385 N389:O390 N393:N396 N399:O409 O393:O394 O396">
    <cfRule type="containsText" dxfId="2" priority="51127" operator="containsText" text="Yes">
      <formula>NOT(ISERROR(SEARCH(("Yes"),(N385))))</formula>
    </cfRule>
  </conditionalFormatting>
  <conditionalFormatting sqref="N385:O385 N389:O390 N393:N396 N399:O409 O393:O394 O396">
    <cfRule type="containsText" dxfId="2" priority="51128" operator="containsText" text="Yes">
      <formula>NOT(ISERROR(SEARCH(("Yes"),(N385))))</formula>
    </cfRule>
  </conditionalFormatting>
  <conditionalFormatting sqref="N385:O385 N389:O390 N393:N396 N399:O409 O393:O394 O396">
    <cfRule type="containsText" dxfId="2" priority="51129" operator="containsText" text="Yes">
      <formula>NOT(ISERROR(SEARCH(("Yes"),(N385))))</formula>
    </cfRule>
  </conditionalFormatting>
  <conditionalFormatting sqref="N385:O385 N389:O390 N393:N396 N399:O409 O393:O394 O396">
    <cfRule type="containsText" dxfId="2" priority="51130" operator="containsText" text="Yes">
      <formula>NOT(ISERROR(SEARCH(("Yes"),(N385))))</formula>
    </cfRule>
  </conditionalFormatting>
  <conditionalFormatting sqref="N385:O385 N389:O390 N393:N396 N399:O409 O393:O394 O396">
    <cfRule type="containsText" dxfId="2" priority="51131" operator="containsText" text="Yes">
      <formula>NOT(ISERROR(SEARCH(("Yes"),(N385))))</formula>
    </cfRule>
  </conditionalFormatting>
  <conditionalFormatting sqref="N385:O385 N389:O390 N393:N396 N399:O409 O393:O394 O396">
    <cfRule type="containsText" dxfId="2" priority="51132" operator="containsText" text="Yes">
      <formula>NOT(ISERROR(SEARCH(("Yes"),(N385))))</formula>
    </cfRule>
  </conditionalFormatting>
  <conditionalFormatting sqref="N385:O385 N389:O390 N393:N396 N399:O409 O393:O394 O396">
    <cfRule type="containsText" dxfId="2" priority="51133" operator="containsText" text="Yes">
      <formula>NOT(ISERROR(SEARCH(("Yes"),(N385))))</formula>
    </cfRule>
  </conditionalFormatting>
  <conditionalFormatting sqref="N385:O385 N389:O390 N393:N396 N399:O409 O393:O394 O396">
    <cfRule type="containsText" dxfId="2" priority="51134" operator="containsText" text="Yes">
      <formula>NOT(ISERROR(SEARCH(("Yes"),(N385))))</formula>
    </cfRule>
  </conditionalFormatting>
  <conditionalFormatting sqref="N385:O385 N389:O390 N393:N396 N399:O409 O393:O394 O396">
    <cfRule type="containsText" dxfId="2" priority="51135" operator="containsText" text="Yes">
      <formula>NOT(ISERROR(SEARCH(("Yes"),(N385))))</formula>
    </cfRule>
  </conditionalFormatting>
  <conditionalFormatting sqref="N385:O385 N389:O390 N393:N396 N399:O409 O393:O394 O396">
    <cfRule type="containsText" dxfId="2" priority="51136" operator="containsText" text="Yes">
      <formula>NOT(ISERROR(SEARCH(("Yes"),(N385))))</formula>
    </cfRule>
  </conditionalFormatting>
  <conditionalFormatting sqref="N385:O385 N389:O390 N393:N396 N399:O409 O393:O394 O396">
    <cfRule type="containsText" dxfId="2" priority="51137" operator="containsText" text="Yes">
      <formula>NOT(ISERROR(SEARCH(("Yes"),(N385))))</formula>
    </cfRule>
  </conditionalFormatting>
  <conditionalFormatting sqref="N385:O385 N389:O390 N393:N396 N399:O409 O393:O394 O396">
    <cfRule type="containsText" dxfId="2" priority="51138" operator="containsText" text="Yes">
      <formula>NOT(ISERROR(SEARCH(("Yes"),(N385))))</formula>
    </cfRule>
  </conditionalFormatting>
  <conditionalFormatting sqref="N385:O385 N389:O390 N393:N396 N399:O409 O393:O394 O396">
    <cfRule type="containsText" dxfId="2" priority="51139" operator="containsText" text="Yes">
      <formula>NOT(ISERROR(SEARCH(("Yes"),(N385))))</formula>
    </cfRule>
  </conditionalFormatting>
  <conditionalFormatting sqref="N385:O385 N389:O390 N393:N396 N399:O409 O393:O394 O396">
    <cfRule type="containsText" dxfId="2" priority="51140" operator="containsText" text="Yes">
      <formula>NOT(ISERROR(SEARCH(("Yes"),(N385))))</formula>
    </cfRule>
  </conditionalFormatting>
  <conditionalFormatting sqref="N385:O385 N389:O390 N393:N396 N399:O409 O393:O394 O396">
    <cfRule type="containsText" dxfId="2" priority="51141" operator="containsText" text="Yes">
      <formula>NOT(ISERROR(SEARCH(("Yes"),(N385))))</formula>
    </cfRule>
  </conditionalFormatting>
  <conditionalFormatting sqref="N385:O385 N389:O390 N393:N396 N399:O409 O393:O394 O396">
    <cfRule type="containsText" dxfId="2" priority="51142" operator="containsText" text="Yes">
      <formula>NOT(ISERROR(SEARCH(("Yes"),(N385))))</formula>
    </cfRule>
  </conditionalFormatting>
  <conditionalFormatting sqref="N385:O385 N389:O390 N393:N396 N399:O409 O393:O394 O396">
    <cfRule type="containsText" dxfId="2" priority="51143" operator="containsText" text="Yes">
      <formula>NOT(ISERROR(SEARCH(("Yes"),(N385))))</formula>
    </cfRule>
  </conditionalFormatting>
  <conditionalFormatting sqref="N385:O385 N389:O390 N393:N396 N399:O409 O393:O394 O396">
    <cfRule type="containsText" dxfId="2" priority="51144" operator="containsText" text="Yes">
      <formula>NOT(ISERROR(SEARCH(("Yes"),(N385))))</formula>
    </cfRule>
  </conditionalFormatting>
  <conditionalFormatting sqref="N385:O385 N389:O390 N393:N396 N399:O409 O393:O394 O396">
    <cfRule type="containsText" dxfId="2" priority="51145" operator="containsText" text="Yes">
      <formula>NOT(ISERROR(SEARCH(("Yes"),(N385))))</formula>
    </cfRule>
  </conditionalFormatting>
  <conditionalFormatting sqref="N385:O385 N389:O390 N393:N396 N399:O409 O393:O394 O396">
    <cfRule type="containsText" dxfId="2" priority="51146" operator="containsText" text="Yes">
      <formula>NOT(ISERROR(SEARCH(("Yes"),(N385))))</formula>
    </cfRule>
  </conditionalFormatting>
  <conditionalFormatting sqref="N385:O385 N389:O390 N393:N396 N399:O409 O393:O394 O396">
    <cfRule type="containsText" dxfId="2" priority="51147" operator="containsText" text="Yes">
      <formula>NOT(ISERROR(SEARCH(("Yes"),(N385))))</formula>
    </cfRule>
  </conditionalFormatting>
  <conditionalFormatting sqref="N385:O385 N389:O390 N393:N396 N399:O409 O393:O394 O396">
    <cfRule type="containsText" dxfId="2" priority="51148" operator="containsText" text="Yes">
      <formula>NOT(ISERROR(SEARCH(("Yes"),(N385))))</formula>
    </cfRule>
  </conditionalFormatting>
  <conditionalFormatting sqref="N385:O385 N389:O390 N393:N396 N399:O409 O393:O394 O396">
    <cfRule type="containsText" dxfId="2" priority="51149" operator="containsText" text="Yes">
      <formula>NOT(ISERROR(SEARCH(("Yes"),(N385))))</formula>
    </cfRule>
  </conditionalFormatting>
  <conditionalFormatting sqref="N385:O385 N389:O390 N393:N396 N399:O409 O393:O394 O396">
    <cfRule type="containsText" dxfId="2" priority="51150" operator="containsText" text="Yes">
      <formula>NOT(ISERROR(SEARCH(("Yes"),(N385))))</formula>
    </cfRule>
  </conditionalFormatting>
  <conditionalFormatting sqref="N385:O385 N389:O390 N393:N396 N399:O409 O393:O394 O396">
    <cfRule type="containsText" dxfId="2" priority="51151" operator="containsText" text="Yes">
      <formula>NOT(ISERROR(SEARCH(("Yes"),(N385))))</formula>
    </cfRule>
  </conditionalFormatting>
  <conditionalFormatting sqref="N385:O385 N389:O390 N393:N396 N399:O409 O393:O394 O396">
    <cfRule type="containsText" dxfId="2" priority="51152" operator="containsText" text="Yes">
      <formula>NOT(ISERROR(SEARCH(("Yes"),(N385))))</formula>
    </cfRule>
  </conditionalFormatting>
  <conditionalFormatting sqref="N385:O385 N389:O390 N393:N396 N399:O409 O393:O394 O396">
    <cfRule type="containsText" dxfId="2" priority="51153" operator="containsText" text="Yes">
      <formula>NOT(ISERROR(SEARCH(("Yes"),(N385))))</formula>
    </cfRule>
  </conditionalFormatting>
  <conditionalFormatting sqref="N385:O385 N389:O390 N393:N396 N399:O409 O393:O394 O396">
    <cfRule type="containsText" dxfId="2" priority="51154" operator="containsText" text="Yes">
      <formula>NOT(ISERROR(SEARCH(("Yes"),(N385))))</formula>
    </cfRule>
  </conditionalFormatting>
  <conditionalFormatting sqref="N385:O385 N389:O390 N393:N396 N399:O409 O393:O394 O396">
    <cfRule type="containsText" dxfId="2" priority="51155" operator="containsText" text="Yes">
      <formula>NOT(ISERROR(SEARCH(("Yes"),(N385))))</formula>
    </cfRule>
  </conditionalFormatting>
  <conditionalFormatting sqref="N385:O385 N389:O390 N393:N396 N399:O409 O393:O394 O396">
    <cfRule type="containsText" dxfId="2" priority="51156" operator="containsText" text="Yes">
      <formula>NOT(ISERROR(SEARCH(("Yes"),(N385))))</formula>
    </cfRule>
  </conditionalFormatting>
  <conditionalFormatting sqref="N385:O385 N389:O390 N393:N396 N399:O409 O393:O394 O396">
    <cfRule type="containsText" dxfId="2" priority="51157" operator="containsText" text="Yes">
      <formula>NOT(ISERROR(SEARCH(("Yes"),(N385))))</formula>
    </cfRule>
  </conditionalFormatting>
  <conditionalFormatting sqref="N386:N396 N399:N409">
    <cfRule type="containsText" dxfId="9" priority="51158" operator="containsText" text="No">
      <formula>NOT(ISERROR(SEARCH(("No"),(N386))))</formula>
    </cfRule>
  </conditionalFormatting>
  <conditionalFormatting sqref="N386:N396 N399:N409">
    <cfRule type="containsText" dxfId="9" priority="51159" operator="containsText" text="No">
      <formula>NOT(ISERROR(SEARCH(("No"),(N386))))</formula>
    </cfRule>
  </conditionalFormatting>
  <conditionalFormatting sqref="N386:N396 N399:N409">
    <cfRule type="containsText" dxfId="9" priority="51160" operator="containsText" text="No">
      <formula>NOT(ISERROR(SEARCH(("No"),(N386))))</formula>
    </cfRule>
  </conditionalFormatting>
  <conditionalFormatting sqref="N386:N396 N399:N409">
    <cfRule type="containsText" dxfId="2" priority="51161" operator="containsText" text="Yes">
      <formula>NOT(ISERROR(SEARCH(("Yes"),(N386))))</formula>
    </cfRule>
  </conditionalFormatting>
  <conditionalFormatting sqref="N386:N396 N399:N409">
    <cfRule type="containsText" dxfId="2" priority="51162" operator="containsText" text="Yes">
      <formula>NOT(ISERROR(SEARCH(("Yes"),(N386))))</formula>
    </cfRule>
  </conditionalFormatting>
  <conditionalFormatting sqref="N386:N396 N399:N409">
    <cfRule type="containsText" dxfId="2" priority="51163" operator="containsText" text="Yes">
      <formula>NOT(ISERROR(SEARCH(("Yes"),(N386))))</formula>
    </cfRule>
  </conditionalFormatting>
  <conditionalFormatting sqref="N386:N396 N399:N409">
    <cfRule type="containsText" dxfId="2" priority="51164" operator="containsText" text="Yes">
      <formula>NOT(ISERROR(SEARCH(("Yes"),(N386))))</formula>
    </cfRule>
  </conditionalFormatting>
  <conditionalFormatting sqref="N386:N396 N399:N409">
    <cfRule type="containsText" dxfId="2" priority="51165" operator="containsText" text="Yes">
      <formula>NOT(ISERROR(SEARCH(("Yes"),(N386))))</formula>
    </cfRule>
  </conditionalFormatting>
  <conditionalFormatting sqref="N386:N396 N399:N409">
    <cfRule type="containsText" dxfId="9" priority="51166" operator="containsText" text="No">
      <formula>NOT(ISERROR(SEARCH(("No"),(N386))))</formula>
    </cfRule>
  </conditionalFormatting>
  <conditionalFormatting sqref="N395:O395 O386:O388 O391:O392">
    <cfRule type="containsText" dxfId="9" priority="51167" operator="containsText" text="No">
      <formula>NOT(ISERROR(SEARCH(("No"),(N395))))</formula>
    </cfRule>
  </conditionalFormatting>
  <conditionalFormatting sqref="N395:O395 O386:O388 O391:O392">
    <cfRule type="containsText" dxfId="9" priority="51168" operator="containsText" text="No">
      <formula>NOT(ISERROR(SEARCH(("No"),(N395))))</formula>
    </cfRule>
  </conditionalFormatting>
  <conditionalFormatting sqref="N395:O395 O386:O388 O391:O392">
    <cfRule type="containsText" dxfId="9" priority="51169" operator="containsText" text="No">
      <formula>NOT(ISERROR(SEARCH(("No"),(N395))))</formula>
    </cfRule>
  </conditionalFormatting>
  <conditionalFormatting sqref="N395:O395 O386:O388 O391:O392">
    <cfRule type="containsText" dxfId="2" priority="51170" operator="containsText" text="Yes">
      <formula>NOT(ISERROR(SEARCH(("Yes"),(N395))))</formula>
    </cfRule>
  </conditionalFormatting>
  <conditionalFormatting sqref="N395:O395 O386:O388 O391:O392">
    <cfRule type="containsText" dxfId="2" priority="51171" operator="containsText" text="Yes">
      <formula>NOT(ISERROR(SEARCH(("Yes"),(N395))))</formula>
    </cfRule>
  </conditionalFormatting>
  <conditionalFormatting sqref="N395:O395 O386:O388 O391:O392">
    <cfRule type="containsText" dxfId="2" priority="51172" operator="containsText" text="Yes">
      <formula>NOT(ISERROR(SEARCH(("Yes"),(N395))))</formula>
    </cfRule>
  </conditionalFormatting>
  <conditionalFormatting sqref="N395:O395 O386:O388 O391:O392">
    <cfRule type="containsText" dxfId="2" priority="51173" operator="containsText" text="Yes">
      <formula>NOT(ISERROR(SEARCH(("Yes"),(N395))))</formula>
    </cfRule>
  </conditionalFormatting>
  <conditionalFormatting sqref="N395:O395 O386:O388 O391:O392">
    <cfRule type="containsText" dxfId="2" priority="51174" operator="containsText" text="Yes">
      <formula>NOT(ISERROR(SEARCH(("Yes"),(N395))))</formula>
    </cfRule>
  </conditionalFormatting>
  <conditionalFormatting sqref="N395:O395 O386:O388 O391:O392">
    <cfRule type="containsText" dxfId="9" priority="51175" operator="containsText" text="No">
      <formula>NOT(ISERROR(SEARCH(("No"),(N395))))</formula>
    </cfRule>
  </conditionalFormatting>
  <conditionalFormatting sqref="N395:O395 O386:O388 O391:O392">
    <cfRule type="containsText" dxfId="9" priority="51176" operator="containsText" text="No">
      <formula>NOT(ISERROR(SEARCH(("No"),(N395))))</formula>
    </cfRule>
  </conditionalFormatting>
  <conditionalFormatting sqref="N395:O395 O386:O388 O391:O392">
    <cfRule type="containsText" dxfId="2" priority="51177" operator="containsText" text="Yes">
      <formula>NOT(ISERROR(SEARCH(("Yes"),(N395))))</formula>
    </cfRule>
  </conditionalFormatting>
  <conditionalFormatting sqref="P386:Q388 P391:Q392 P395:Q395">
    <cfRule type="containsText" dxfId="9" priority="51178" operator="containsText" text="No">
      <formula>NOT(ISERROR(SEARCH(("No"),(P386))))</formula>
    </cfRule>
  </conditionalFormatting>
  <conditionalFormatting sqref="P386:Q388 P391:Q392 P395:Q395">
    <cfRule type="containsText" dxfId="9" priority="51179" operator="containsText" text="No">
      <formula>NOT(ISERROR(SEARCH(("No"),(P386))))</formula>
    </cfRule>
  </conditionalFormatting>
  <conditionalFormatting sqref="P386:Q388 P391:Q392 P395:Q395">
    <cfRule type="containsText" dxfId="9" priority="51180" operator="containsText" text="No">
      <formula>NOT(ISERROR(SEARCH(("No"),(P386))))</formula>
    </cfRule>
  </conditionalFormatting>
  <conditionalFormatting sqref="P386:Q388 P391:Q392 P395:Q395">
    <cfRule type="containsText" dxfId="9" priority="51181" operator="containsText" text="No">
      <formula>NOT(ISERROR(SEARCH(("No"),(P386))))</formula>
    </cfRule>
  </conditionalFormatting>
  <conditionalFormatting sqref="P386:Q388 P391:Q392 P395:Q395">
    <cfRule type="containsText" dxfId="9" priority="51182" operator="containsText" text="No">
      <formula>NOT(ISERROR(SEARCH(("No"),(P386))))</formula>
    </cfRule>
  </conditionalFormatting>
  <conditionalFormatting sqref="P386:Q388 P391:Q392 P395:Q395">
    <cfRule type="containsText" dxfId="9" priority="51183" operator="containsText" text="No">
      <formula>NOT(ISERROR(SEARCH(("No"),(P386))))</formula>
    </cfRule>
  </conditionalFormatting>
  <conditionalFormatting sqref="P386:Q388 P391:Q392 P395:Q395">
    <cfRule type="containsText" dxfId="9" priority="51184" operator="containsText" text="No">
      <formula>NOT(ISERROR(SEARCH(("No"),(P386))))</formula>
    </cfRule>
  </conditionalFormatting>
  <conditionalFormatting sqref="P386:Q388 P391:Q392 P395:Q395">
    <cfRule type="containsText" dxfId="9" priority="51185" operator="containsText" text="No">
      <formula>NOT(ISERROR(SEARCH(("No"),(P386))))</formula>
    </cfRule>
  </conditionalFormatting>
  <conditionalFormatting sqref="P386:Q388 P391:Q392 P395:Q395">
    <cfRule type="containsText" dxfId="9" priority="51186" operator="containsText" text="No">
      <formula>NOT(ISERROR(SEARCH(("No"),(P386))))</formula>
    </cfRule>
  </conditionalFormatting>
  <conditionalFormatting sqref="P386:Q388 P391:Q392 P395:Q395">
    <cfRule type="containsText" dxfId="9" priority="51187" operator="containsText" text="No">
      <formula>NOT(ISERROR(SEARCH(("No"),(P386))))</formula>
    </cfRule>
  </conditionalFormatting>
  <conditionalFormatting sqref="P386:Q388 P391:Q392 P395:Q395">
    <cfRule type="containsText" dxfId="9" priority="51188" operator="containsText" text="No">
      <formula>NOT(ISERROR(SEARCH(("No"),(P386))))</formula>
    </cfRule>
  </conditionalFormatting>
  <conditionalFormatting sqref="P386:Q388 P391:Q392 P395:Q395">
    <cfRule type="containsText" dxfId="9" priority="51189" operator="containsText" text="No">
      <formula>NOT(ISERROR(SEARCH(("No"),(P386))))</formula>
    </cfRule>
  </conditionalFormatting>
  <conditionalFormatting sqref="P386:Q388 P391:Q392 P395:Q395">
    <cfRule type="containsText" dxfId="9" priority="51190" operator="containsText" text="No">
      <formula>NOT(ISERROR(SEARCH(("No"),(P386))))</formula>
    </cfRule>
  </conditionalFormatting>
  <conditionalFormatting sqref="P386:Q388 P391:Q392 P395:Q395">
    <cfRule type="containsText" dxfId="9" priority="51191" operator="containsText" text="No">
      <formula>NOT(ISERROR(SEARCH(("No"),(P386))))</formula>
    </cfRule>
  </conditionalFormatting>
  <conditionalFormatting sqref="P386:Q388 P391:Q392 P395:Q395">
    <cfRule type="containsText" dxfId="9" priority="51192" operator="containsText" text="No">
      <formula>NOT(ISERROR(SEARCH(("No"),(P386))))</formula>
    </cfRule>
  </conditionalFormatting>
  <conditionalFormatting sqref="P386:Q388 P391:Q392 P395:Q395">
    <cfRule type="containsText" dxfId="9" priority="51193" operator="containsText" text="No">
      <formula>NOT(ISERROR(SEARCH(("No"),(P386))))</formula>
    </cfRule>
  </conditionalFormatting>
  <conditionalFormatting sqref="P386:Q388 P391:Q392 P395:Q395">
    <cfRule type="containsText" dxfId="9" priority="51194" operator="containsText" text="No">
      <formula>NOT(ISERROR(SEARCH(("No"),(P386))))</formula>
    </cfRule>
  </conditionalFormatting>
  <conditionalFormatting sqref="P386:Q388 P391:Q392 P395:Q395">
    <cfRule type="containsText" dxfId="9" priority="51195" operator="containsText" text="No">
      <formula>NOT(ISERROR(SEARCH(("No"),(P386))))</formula>
    </cfRule>
  </conditionalFormatting>
  <conditionalFormatting sqref="P386:Q388 P391:Q392 P395:Q395">
    <cfRule type="containsText" dxfId="9" priority="51196" operator="containsText" text="No">
      <formula>NOT(ISERROR(SEARCH(("No"),(P386))))</formula>
    </cfRule>
  </conditionalFormatting>
  <conditionalFormatting sqref="P386:Q388 P391:Q392 P395:Q395">
    <cfRule type="containsText" dxfId="9" priority="51197" operator="containsText" text="No">
      <formula>NOT(ISERROR(SEARCH(("No"),(P386))))</formula>
    </cfRule>
  </conditionalFormatting>
  <conditionalFormatting sqref="P386:Q388 P391:Q392 P395:Q395">
    <cfRule type="containsText" dxfId="9" priority="51198" operator="containsText" text="No">
      <formula>NOT(ISERROR(SEARCH(("No"),(P386))))</formula>
    </cfRule>
  </conditionalFormatting>
  <conditionalFormatting sqref="P386:Q388 P391:Q392 P395:Q395">
    <cfRule type="containsText" dxfId="9" priority="51199" operator="containsText" text="No">
      <formula>NOT(ISERROR(SEARCH(("No"),(P386))))</formula>
    </cfRule>
  </conditionalFormatting>
  <conditionalFormatting sqref="P386:Q388 P391:Q392 P395:Q395">
    <cfRule type="containsText" dxfId="9" priority="51200" operator="containsText" text="No">
      <formula>NOT(ISERROR(SEARCH(("No"),(P386))))</formula>
    </cfRule>
  </conditionalFormatting>
  <conditionalFormatting sqref="P386:Q388 P391:Q392 P395:Q395">
    <cfRule type="containsText" dxfId="9" priority="51201" operator="containsText" text="No">
      <formula>NOT(ISERROR(SEARCH(("No"),(P386))))</formula>
    </cfRule>
  </conditionalFormatting>
  <conditionalFormatting sqref="P386:Q388 P391:Q392 P395:Q395">
    <cfRule type="containsText" dxfId="9" priority="51202" operator="containsText" text="No">
      <formula>NOT(ISERROR(SEARCH(("No"),(P386))))</formula>
    </cfRule>
  </conditionalFormatting>
  <conditionalFormatting sqref="P386:Q388 P391:Q392 P395:Q395">
    <cfRule type="containsText" dxfId="9" priority="51203" operator="containsText" text="No">
      <formula>NOT(ISERROR(SEARCH(("No"),(P386))))</formula>
    </cfRule>
  </conditionalFormatting>
  <conditionalFormatting sqref="P386:Q388 P391:Q392 P395:Q395">
    <cfRule type="containsText" dxfId="9" priority="51204" operator="containsText" text="No">
      <formula>NOT(ISERROR(SEARCH(("No"),(P386))))</formula>
    </cfRule>
  </conditionalFormatting>
  <conditionalFormatting sqref="P386:Q388 P391:Q392 P395:Q395">
    <cfRule type="containsText" dxfId="9" priority="51205" operator="containsText" text="No">
      <formula>NOT(ISERROR(SEARCH(("No"),(P386))))</formula>
    </cfRule>
  </conditionalFormatting>
  <conditionalFormatting sqref="P386:Q388 P391:Q392 P395:Q395">
    <cfRule type="containsText" dxfId="9" priority="51206" operator="containsText" text="No">
      <formula>NOT(ISERROR(SEARCH(("No"),(P386))))</formula>
    </cfRule>
  </conditionalFormatting>
  <conditionalFormatting sqref="P386:Q388 P391:Q392 P395:Q395">
    <cfRule type="containsText" dxfId="9" priority="51207" operator="containsText" text="No">
      <formula>NOT(ISERROR(SEARCH(("No"),(P386))))</formula>
    </cfRule>
  </conditionalFormatting>
  <conditionalFormatting sqref="P386:Q388 P391:Q392 P395:Q395">
    <cfRule type="containsText" dxfId="9" priority="51208" operator="containsText" text="No">
      <formula>NOT(ISERROR(SEARCH(("No"),(P386))))</formula>
    </cfRule>
  </conditionalFormatting>
  <conditionalFormatting sqref="P386:Q388 P391:Q392 P395:Q395">
    <cfRule type="containsText" dxfId="9" priority="51209" operator="containsText" text="No">
      <formula>NOT(ISERROR(SEARCH(("No"),(P386))))</formula>
    </cfRule>
  </conditionalFormatting>
  <conditionalFormatting sqref="P386:Q388 P391:Q392 P395:Q395">
    <cfRule type="containsText" dxfId="9" priority="51210" operator="containsText" text="No">
      <formula>NOT(ISERROR(SEARCH(("No"),(P386))))</formula>
    </cfRule>
  </conditionalFormatting>
  <conditionalFormatting sqref="P386:Q388 P391:Q392 P395:Q395">
    <cfRule type="containsText" dxfId="9" priority="51211" operator="containsText" text="No">
      <formula>NOT(ISERROR(SEARCH(("No"),(P386))))</formula>
    </cfRule>
  </conditionalFormatting>
  <conditionalFormatting sqref="P386:Q388 P391:Q392 P395:Q395">
    <cfRule type="containsText" dxfId="9" priority="51212" operator="containsText" text="No">
      <formula>NOT(ISERROR(SEARCH(("No"),(P386))))</formula>
    </cfRule>
  </conditionalFormatting>
  <conditionalFormatting sqref="P386:Q388 P391:Q392 P395:Q395">
    <cfRule type="containsText" dxfId="9" priority="51213" operator="containsText" text="No">
      <formula>NOT(ISERROR(SEARCH(("No"),(P386))))</formula>
    </cfRule>
  </conditionalFormatting>
  <conditionalFormatting sqref="P386:Q388 P391:Q392 P395:Q395">
    <cfRule type="containsText" dxfId="9" priority="51214" operator="containsText" text="No">
      <formula>NOT(ISERROR(SEARCH(("No"),(P386))))</formula>
    </cfRule>
  </conditionalFormatting>
  <conditionalFormatting sqref="P386:Q388 P391:Q392 P395:Q395">
    <cfRule type="containsText" dxfId="9" priority="51215" operator="containsText" text="No">
      <formula>NOT(ISERROR(SEARCH(("No"),(P386))))</formula>
    </cfRule>
  </conditionalFormatting>
  <conditionalFormatting sqref="P386:Q388 P391:Q392 P395:Q395">
    <cfRule type="containsText" dxfId="9" priority="51216" operator="containsText" text="No">
      <formula>NOT(ISERROR(SEARCH(("No"),(P386))))</formula>
    </cfRule>
  </conditionalFormatting>
  <conditionalFormatting sqref="P386:Q388 P391:Q392 P395:Q395">
    <cfRule type="containsText" dxfId="9" priority="51217" operator="containsText" text="No">
      <formula>NOT(ISERROR(SEARCH(("No"),(P386))))</formula>
    </cfRule>
  </conditionalFormatting>
  <conditionalFormatting sqref="P386:Q388 P391:Q392 P395:Q395">
    <cfRule type="containsText" dxfId="9" priority="51218" operator="containsText" text="No">
      <formula>NOT(ISERROR(SEARCH(("No"),(P386))))</formula>
    </cfRule>
  </conditionalFormatting>
  <conditionalFormatting sqref="P386:Q388 P391:Q392 P395:Q395">
    <cfRule type="containsText" dxfId="9" priority="51219" operator="containsText" text="No">
      <formula>NOT(ISERROR(SEARCH(("No"),(P386))))</formula>
    </cfRule>
  </conditionalFormatting>
  <conditionalFormatting sqref="P386:Q388 P391:Q392 P395:Q395">
    <cfRule type="containsText" dxfId="9" priority="51220" operator="containsText" text="No">
      <formula>NOT(ISERROR(SEARCH(("No"),(P386))))</formula>
    </cfRule>
  </conditionalFormatting>
  <conditionalFormatting sqref="P386:Q388 P391:Q392 P395:Q395">
    <cfRule type="containsText" dxfId="9" priority="51221" operator="containsText" text="No">
      <formula>NOT(ISERROR(SEARCH(("No"),(P386))))</formula>
    </cfRule>
  </conditionalFormatting>
  <conditionalFormatting sqref="P386:Q388 P391:Q392 P395:Q395">
    <cfRule type="containsText" dxfId="9" priority="51222" operator="containsText" text="No">
      <formula>NOT(ISERROR(SEARCH(("No"),(P386))))</formula>
    </cfRule>
  </conditionalFormatting>
  <conditionalFormatting sqref="P386:Q388 P391:Q392 P395:Q395">
    <cfRule type="containsText" dxfId="2" priority="51223" operator="containsText" text="Yes">
      <formula>NOT(ISERROR(SEARCH(("Yes"),(P386))))</formula>
    </cfRule>
  </conditionalFormatting>
  <conditionalFormatting sqref="P386:Q388 P391:Q392 P395:Q395">
    <cfRule type="containsText" dxfId="2" priority="51224" operator="containsText" text="Yes">
      <formula>NOT(ISERROR(SEARCH(("Yes"),(P386))))</formula>
    </cfRule>
  </conditionalFormatting>
  <conditionalFormatting sqref="P386:Q388 P391:Q392 P395:Q395">
    <cfRule type="containsText" dxfId="2" priority="51225" operator="containsText" text="Yes">
      <formula>NOT(ISERROR(SEARCH(("Yes"),(P386))))</formula>
    </cfRule>
  </conditionalFormatting>
  <conditionalFormatting sqref="P386:Q388 P391:Q392 P395:Q395">
    <cfRule type="containsText" dxfId="2" priority="51226" operator="containsText" text="Yes">
      <formula>NOT(ISERROR(SEARCH(("Yes"),(P386))))</formula>
    </cfRule>
  </conditionalFormatting>
  <conditionalFormatting sqref="P386:Q388 P391:Q392 P395:Q395">
    <cfRule type="containsText" dxfId="2" priority="51227" operator="containsText" text="Yes">
      <formula>NOT(ISERROR(SEARCH(("Yes"),(P386))))</formula>
    </cfRule>
  </conditionalFormatting>
  <conditionalFormatting sqref="P386:Q388 P391:Q392 P395:Q395">
    <cfRule type="containsText" dxfId="2" priority="51228" operator="containsText" text="Yes">
      <formula>NOT(ISERROR(SEARCH(("Yes"),(P386))))</formula>
    </cfRule>
  </conditionalFormatting>
  <conditionalFormatting sqref="P386:Q388 P391:Q392 P395:Q395">
    <cfRule type="containsText" dxfId="2" priority="51229" operator="containsText" text="Yes">
      <formula>NOT(ISERROR(SEARCH(("Yes"),(P386))))</formula>
    </cfRule>
  </conditionalFormatting>
  <conditionalFormatting sqref="P386:Q388 P391:Q392 P395:Q395">
    <cfRule type="containsText" dxfId="2" priority="51230" operator="containsText" text="Yes">
      <formula>NOT(ISERROR(SEARCH(("Yes"),(P386))))</formula>
    </cfRule>
  </conditionalFormatting>
  <conditionalFormatting sqref="P386:Q388 P391:Q392 P395:Q395">
    <cfRule type="containsText" dxfId="2" priority="51231" operator="containsText" text="Yes">
      <formula>NOT(ISERROR(SEARCH(("Yes"),(P386))))</formula>
    </cfRule>
  </conditionalFormatting>
  <conditionalFormatting sqref="P386:Q388 P391:Q392 P395:Q395">
    <cfRule type="containsText" dxfId="2" priority="51232" operator="containsText" text="Yes">
      <formula>NOT(ISERROR(SEARCH(("Yes"),(P386))))</formula>
    </cfRule>
  </conditionalFormatting>
  <conditionalFormatting sqref="P386:Q388 P391:Q392 P395:Q395">
    <cfRule type="containsText" dxfId="2" priority="51233" operator="containsText" text="Yes">
      <formula>NOT(ISERROR(SEARCH(("Yes"),(P386))))</formula>
    </cfRule>
  </conditionalFormatting>
  <conditionalFormatting sqref="P386:Q388 P391:Q392 P395:Q395">
    <cfRule type="containsText" dxfId="2" priority="51234" operator="containsText" text="Yes">
      <formula>NOT(ISERROR(SEARCH(("Yes"),(P386))))</formula>
    </cfRule>
  </conditionalFormatting>
  <conditionalFormatting sqref="P386:Q388 P391:Q392 P395:Q395">
    <cfRule type="containsText" dxfId="2" priority="51235" operator="containsText" text="Yes">
      <formula>NOT(ISERROR(SEARCH(("Yes"),(P386))))</formula>
    </cfRule>
  </conditionalFormatting>
  <conditionalFormatting sqref="P386:Q388 P391:Q392 P395:Q395">
    <cfRule type="containsText" dxfId="2" priority="51236" operator="containsText" text="Yes">
      <formula>NOT(ISERROR(SEARCH(("Yes"),(P386))))</formula>
    </cfRule>
  </conditionalFormatting>
  <conditionalFormatting sqref="P386:Q388 P391:Q392 P395:Q395">
    <cfRule type="containsText" dxfId="2" priority="51237" operator="containsText" text="Yes">
      <formula>NOT(ISERROR(SEARCH(("Yes"),(P386))))</formula>
    </cfRule>
  </conditionalFormatting>
  <conditionalFormatting sqref="P386:Q388 P391:Q392 P395:Q395">
    <cfRule type="containsText" dxfId="2" priority="51238" operator="containsText" text="Yes">
      <formula>NOT(ISERROR(SEARCH(("Yes"),(P386))))</formula>
    </cfRule>
  </conditionalFormatting>
  <conditionalFormatting sqref="P386:Q388 P391:Q392 P395:Q395">
    <cfRule type="containsText" dxfId="2" priority="51239" operator="containsText" text="Yes">
      <formula>NOT(ISERROR(SEARCH(("Yes"),(P386))))</formula>
    </cfRule>
  </conditionalFormatting>
  <conditionalFormatting sqref="P386:Q388 P391:Q392 P395:Q395">
    <cfRule type="containsText" dxfId="2" priority="51240" operator="containsText" text="Yes">
      <formula>NOT(ISERROR(SEARCH(("Yes"),(P386))))</formula>
    </cfRule>
  </conditionalFormatting>
  <conditionalFormatting sqref="P386:Q388 P391:Q392 P395:Q395">
    <cfRule type="containsText" dxfId="2" priority="51241" operator="containsText" text="Yes">
      <formula>NOT(ISERROR(SEARCH(("Yes"),(P386))))</formula>
    </cfRule>
  </conditionalFormatting>
  <conditionalFormatting sqref="P386:Q388 P391:Q392 P395:Q395">
    <cfRule type="containsText" dxfId="2" priority="51242" operator="containsText" text="Yes">
      <formula>NOT(ISERROR(SEARCH(("Yes"),(P386))))</formula>
    </cfRule>
  </conditionalFormatting>
  <conditionalFormatting sqref="P386:Q388 P391:Q392 P395:Q395">
    <cfRule type="containsText" dxfId="2" priority="51243" operator="containsText" text="Yes">
      <formula>NOT(ISERROR(SEARCH(("Yes"),(P386))))</formula>
    </cfRule>
  </conditionalFormatting>
  <conditionalFormatting sqref="P386:Q388 P391:Q392 P395:Q395">
    <cfRule type="containsText" dxfId="2" priority="51244" operator="containsText" text="Yes">
      <formula>NOT(ISERROR(SEARCH(("Yes"),(P386))))</formula>
    </cfRule>
  </conditionalFormatting>
  <conditionalFormatting sqref="P386:Q388 P391:Q392 P395:Q395">
    <cfRule type="containsText" dxfId="2" priority="51245" operator="containsText" text="Yes">
      <formula>NOT(ISERROR(SEARCH(("Yes"),(P386))))</formula>
    </cfRule>
  </conditionalFormatting>
  <conditionalFormatting sqref="P386:Q388 P391:Q392 P395:Q395">
    <cfRule type="containsText" dxfId="2" priority="51246" operator="containsText" text="Yes">
      <formula>NOT(ISERROR(SEARCH(("Yes"),(P386))))</formula>
    </cfRule>
  </conditionalFormatting>
  <conditionalFormatting sqref="P386:Q388 P391:Q392 P395:Q395">
    <cfRule type="containsText" dxfId="2" priority="51247" operator="containsText" text="Yes">
      <formula>NOT(ISERROR(SEARCH(("Yes"),(P386))))</formula>
    </cfRule>
  </conditionalFormatting>
  <conditionalFormatting sqref="P386:Q388 P391:Q392 P395:Q395">
    <cfRule type="containsText" dxfId="2" priority="51248" operator="containsText" text="Yes">
      <formula>NOT(ISERROR(SEARCH(("Yes"),(P386))))</formula>
    </cfRule>
  </conditionalFormatting>
  <conditionalFormatting sqref="P386:Q388 P391:Q392 P395:Q395">
    <cfRule type="containsText" dxfId="2" priority="51249" operator="containsText" text="Yes">
      <formula>NOT(ISERROR(SEARCH(("Yes"),(P386))))</formula>
    </cfRule>
  </conditionalFormatting>
  <conditionalFormatting sqref="P386:Q388 P391:Q392 P395:Q395">
    <cfRule type="containsText" dxfId="2" priority="51250" operator="containsText" text="Yes">
      <formula>NOT(ISERROR(SEARCH(("Yes"),(P386))))</formula>
    </cfRule>
  </conditionalFormatting>
  <conditionalFormatting sqref="P386:Q388 P391:Q392 P395:Q395">
    <cfRule type="containsText" dxfId="2" priority="51251" operator="containsText" text="Yes">
      <formula>NOT(ISERROR(SEARCH(("Yes"),(P386))))</formula>
    </cfRule>
  </conditionalFormatting>
  <conditionalFormatting sqref="P386:Q388 P391:Q392 P395:Q395">
    <cfRule type="containsText" dxfId="2" priority="51252" operator="containsText" text="Yes">
      <formula>NOT(ISERROR(SEARCH(("Yes"),(P386))))</formula>
    </cfRule>
  </conditionalFormatting>
  <conditionalFormatting sqref="P386:Q388 P391:Q392 P395:Q395">
    <cfRule type="containsText" dxfId="2" priority="51253" operator="containsText" text="Yes">
      <formula>NOT(ISERROR(SEARCH(("Yes"),(P386))))</formula>
    </cfRule>
  </conditionalFormatting>
  <conditionalFormatting sqref="P386:Q388 P391:Q392 P395:Q395">
    <cfRule type="containsText" dxfId="2" priority="51254" operator="containsText" text="Yes">
      <formula>NOT(ISERROR(SEARCH(("Yes"),(P386))))</formula>
    </cfRule>
  </conditionalFormatting>
  <conditionalFormatting sqref="P386:Q388 P391:Q392 P395:Q395">
    <cfRule type="containsText" dxfId="2" priority="51255" operator="containsText" text="Yes">
      <formula>NOT(ISERROR(SEARCH(("Yes"),(P386))))</formula>
    </cfRule>
  </conditionalFormatting>
  <conditionalFormatting sqref="P386:Q388 P391:Q392 P395:Q395">
    <cfRule type="containsText" dxfId="2" priority="51256" operator="containsText" text="Yes">
      <formula>NOT(ISERROR(SEARCH(("Yes"),(P386))))</formula>
    </cfRule>
  </conditionalFormatting>
  <conditionalFormatting sqref="P386:Q388 P391:Q392 P395:Q395">
    <cfRule type="containsText" dxfId="2" priority="51257" operator="containsText" text="Yes">
      <formula>NOT(ISERROR(SEARCH(("Yes"),(P386))))</formula>
    </cfRule>
  </conditionalFormatting>
  <conditionalFormatting sqref="P386:Q388 P391:Q392 P395:Q395">
    <cfRule type="containsText" dxfId="2" priority="51258" operator="containsText" text="Yes">
      <formula>NOT(ISERROR(SEARCH(("Yes"),(P386))))</formula>
    </cfRule>
  </conditionalFormatting>
  <conditionalFormatting sqref="P386:Q388 P391:Q392 P395:Q395">
    <cfRule type="containsText" dxfId="2" priority="51259" operator="containsText" text="Yes">
      <formula>NOT(ISERROR(SEARCH(("Yes"),(P386))))</formula>
    </cfRule>
  </conditionalFormatting>
  <conditionalFormatting sqref="P386:Q388 P391:Q392 P395:Q395">
    <cfRule type="containsText" dxfId="2" priority="51260" operator="containsText" text="Yes">
      <formula>NOT(ISERROR(SEARCH(("Yes"),(P386))))</formula>
    </cfRule>
  </conditionalFormatting>
  <conditionalFormatting sqref="P386:Q388 P391:Q392 P395:Q395">
    <cfRule type="containsText" dxfId="2" priority="51261" operator="containsText" text="Yes">
      <formula>NOT(ISERROR(SEARCH(("Yes"),(P386))))</formula>
    </cfRule>
  </conditionalFormatting>
  <conditionalFormatting sqref="P386:Q388 P391:Q392 P395:Q395">
    <cfRule type="containsText" dxfId="2" priority="51262" operator="containsText" text="Yes">
      <formula>NOT(ISERROR(SEARCH(("Yes"),(P386))))</formula>
    </cfRule>
  </conditionalFormatting>
  <conditionalFormatting sqref="P386:Q388 P391:Q392 P395:Q395">
    <cfRule type="containsText" dxfId="2" priority="51263" operator="containsText" text="Yes">
      <formula>NOT(ISERROR(SEARCH(("Yes"),(P386))))</formula>
    </cfRule>
  </conditionalFormatting>
  <conditionalFormatting sqref="P386:Q388 P391:Q392 P395:Q395">
    <cfRule type="containsText" dxfId="2" priority="51264" operator="containsText" text="Yes">
      <formula>NOT(ISERROR(SEARCH(("Yes"),(P386))))</formula>
    </cfRule>
  </conditionalFormatting>
  <conditionalFormatting sqref="P386:Q388 P391:Q392 P395:Q395">
    <cfRule type="containsText" dxfId="2" priority="51265" operator="containsText" text="Yes">
      <formula>NOT(ISERROR(SEARCH(("Yes"),(P386))))</formula>
    </cfRule>
  </conditionalFormatting>
  <conditionalFormatting sqref="P386:Q388 P391:Q392 P395:Q395">
    <cfRule type="containsText" dxfId="2" priority="51266" operator="containsText" text="Yes">
      <formula>NOT(ISERROR(SEARCH(("Yes"),(P386))))</formula>
    </cfRule>
  </conditionalFormatting>
  <conditionalFormatting sqref="P386:Q388 P391:Q392 P395:Q395">
    <cfRule type="containsText" dxfId="2" priority="51267" operator="containsText" text="Yes">
      <formula>NOT(ISERROR(SEARCH(("Yes"),(P386))))</formula>
    </cfRule>
  </conditionalFormatting>
  <conditionalFormatting sqref="P386:Q388 P391:Q392 P395:Q395">
    <cfRule type="containsText" dxfId="2" priority="51268" operator="containsText" text="Yes">
      <formula>NOT(ISERROR(SEARCH(("Yes"),(P386))))</formula>
    </cfRule>
  </conditionalFormatting>
  <conditionalFormatting sqref="P386:Q388 P391:Q392 P395:Q395">
    <cfRule type="containsText" dxfId="2" priority="51269" operator="containsText" text="Yes">
      <formula>NOT(ISERROR(SEARCH(("Yes"),(P386))))</formula>
    </cfRule>
  </conditionalFormatting>
  <conditionalFormatting sqref="P387:Q388 P391:Q392 P395:Q395">
    <cfRule type="containsText" dxfId="9" priority="51270" operator="containsText" text="No">
      <formula>NOT(ISERROR(SEARCH(("No"),(P387))))</formula>
    </cfRule>
  </conditionalFormatting>
  <conditionalFormatting sqref="P387:Q388 P391:Q392 P395:Q395">
    <cfRule type="containsText" dxfId="9" priority="51271" operator="containsText" text="No">
      <formula>NOT(ISERROR(SEARCH(("No"),(P387))))</formula>
    </cfRule>
  </conditionalFormatting>
  <conditionalFormatting sqref="P387:Q388 P391:Q392 P395:Q395">
    <cfRule type="containsText" dxfId="9" priority="51272" operator="containsText" text="No">
      <formula>NOT(ISERROR(SEARCH(("No"),(P387))))</formula>
    </cfRule>
  </conditionalFormatting>
  <conditionalFormatting sqref="P387:Q388 P391:Q392 P395:Q395">
    <cfRule type="containsText" dxfId="9" priority="51273" operator="containsText" text="No">
      <formula>NOT(ISERROR(SEARCH(("No"),(P387))))</formula>
    </cfRule>
  </conditionalFormatting>
  <conditionalFormatting sqref="P387:Q388 P391:Q392 P395:Q395">
    <cfRule type="containsText" dxfId="9" priority="51274" operator="containsText" text="No">
      <formula>NOT(ISERROR(SEARCH(("No"),(P387))))</formula>
    </cfRule>
  </conditionalFormatting>
  <conditionalFormatting sqref="P387:Q388 P391:Q392 P395:Q395">
    <cfRule type="containsText" dxfId="9" priority="51275" operator="containsText" text="No">
      <formula>NOT(ISERROR(SEARCH(("No"),(P387))))</formula>
    </cfRule>
  </conditionalFormatting>
  <conditionalFormatting sqref="P387:Q388 P391:Q392 P395:Q395">
    <cfRule type="containsText" dxfId="9" priority="51276" operator="containsText" text="No">
      <formula>NOT(ISERROR(SEARCH(("No"),(P387))))</formula>
    </cfRule>
  </conditionalFormatting>
  <conditionalFormatting sqref="P387:Q388 P391:Q392 P395:Q395">
    <cfRule type="containsText" dxfId="9" priority="51277" operator="containsText" text="No">
      <formula>NOT(ISERROR(SEARCH(("No"),(P387))))</formula>
    </cfRule>
  </conditionalFormatting>
  <conditionalFormatting sqref="P387:Q388 P391:Q392 P395:Q395">
    <cfRule type="containsText" dxfId="9" priority="51278" operator="containsText" text="No">
      <formula>NOT(ISERROR(SEARCH(("No"),(P387))))</formula>
    </cfRule>
  </conditionalFormatting>
  <conditionalFormatting sqref="P387:Q388 P391:Q392 P395:Q395">
    <cfRule type="containsText" dxfId="9" priority="51279" operator="containsText" text="No">
      <formula>NOT(ISERROR(SEARCH(("No"),(P387))))</formula>
    </cfRule>
  </conditionalFormatting>
  <conditionalFormatting sqref="P387:Q388 P391:Q392 P395:Q395">
    <cfRule type="containsText" dxfId="9" priority="51280" operator="containsText" text="No">
      <formula>NOT(ISERROR(SEARCH(("No"),(P387))))</formula>
    </cfRule>
  </conditionalFormatting>
  <conditionalFormatting sqref="P387:Q388 P391:Q392 P395:Q395">
    <cfRule type="containsText" dxfId="9" priority="51281" operator="containsText" text="No">
      <formula>NOT(ISERROR(SEARCH(("No"),(P387))))</formula>
    </cfRule>
  </conditionalFormatting>
  <conditionalFormatting sqref="P387:Q388 P391:Q392 P395:Q395">
    <cfRule type="containsText" dxfId="9" priority="51282" operator="containsText" text="No">
      <formula>NOT(ISERROR(SEARCH(("No"),(P387))))</formula>
    </cfRule>
  </conditionalFormatting>
  <conditionalFormatting sqref="P387:Q388 P391:Q392 P395:Q395">
    <cfRule type="containsText" dxfId="9" priority="51283" operator="containsText" text="No">
      <formula>NOT(ISERROR(SEARCH(("No"),(P387))))</formula>
    </cfRule>
  </conditionalFormatting>
  <conditionalFormatting sqref="P387:Q388 P391:Q392 P395:Q395">
    <cfRule type="containsText" dxfId="9" priority="51284" operator="containsText" text="No">
      <formula>NOT(ISERROR(SEARCH(("No"),(P387))))</formula>
    </cfRule>
  </conditionalFormatting>
  <conditionalFormatting sqref="P387:Q388 P391:Q392 P395:Q395">
    <cfRule type="containsText" dxfId="9" priority="51285" operator="containsText" text="No">
      <formula>NOT(ISERROR(SEARCH(("No"),(P387))))</formula>
    </cfRule>
  </conditionalFormatting>
  <conditionalFormatting sqref="P387:Q388 P391:Q392 P395:Q395">
    <cfRule type="containsText" dxfId="9" priority="51286" operator="containsText" text="No">
      <formula>NOT(ISERROR(SEARCH(("No"),(P387))))</formula>
    </cfRule>
  </conditionalFormatting>
  <conditionalFormatting sqref="P387:Q388 P391:Q392 P395:Q395">
    <cfRule type="containsText" dxfId="9" priority="51287" operator="containsText" text="No">
      <formula>NOT(ISERROR(SEARCH(("No"),(P387))))</formula>
    </cfRule>
  </conditionalFormatting>
  <conditionalFormatting sqref="P387:Q388 P391:Q392 P395:Q395">
    <cfRule type="containsText" dxfId="9" priority="51288" operator="containsText" text="No">
      <formula>NOT(ISERROR(SEARCH(("No"),(P387))))</formula>
    </cfRule>
  </conditionalFormatting>
  <conditionalFormatting sqref="P387:Q388 P391:Q392 P395:Q395">
    <cfRule type="containsText" dxfId="9" priority="51289" operator="containsText" text="No">
      <formula>NOT(ISERROR(SEARCH(("No"),(P387))))</formula>
    </cfRule>
  </conditionalFormatting>
  <conditionalFormatting sqref="P387:Q388 P391:Q392 P395:Q395">
    <cfRule type="containsText" dxfId="9" priority="51290" operator="containsText" text="No">
      <formula>NOT(ISERROR(SEARCH(("No"),(P387))))</formula>
    </cfRule>
  </conditionalFormatting>
  <conditionalFormatting sqref="P387:Q388 P391:Q392 P395:Q395">
    <cfRule type="containsText" dxfId="9" priority="51291" operator="containsText" text="No">
      <formula>NOT(ISERROR(SEARCH(("No"),(P387))))</formula>
    </cfRule>
  </conditionalFormatting>
  <conditionalFormatting sqref="P387:Q388 P391:Q392 P395:Q395">
    <cfRule type="containsText" dxfId="9" priority="51292" operator="containsText" text="No">
      <formula>NOT(ISERROR(SEARCH(("No"),(P387))))</formula>
    </cfRule>
  </conditionalFormatting>
  <conditionalFormatting sqref="P387:Q388 P391:Q392 P395:Q395">
    <cfRule type="containsText" dxfId="9" priority="51293" operator="containsText" text="No">
      <formula>NOT(ISERROR(SEARCH(("No"),(P387))))</formula>
    </cfRule>
  </conditionalFormatting>
  <conditionalFormatting sqref="P387:Q388 P391:Q392 P395:Q395">
    <cfRule type="containsText" dxfId="9" priority="51294" operator="containsText" text="No">
      <formula>NOT(ISERROR(SEARCH(("No"),(P387))))</formula>
    </cfRule>
  </conditionalFormatting>
  <conditionalFormatting sqref="P387:Q388 P391:Q392 P395:Q395">
    <cfRule type="containsText" dxfId="9" priority="51295" operator="containsText" text="No">
      <formula>NOT(ISERROR(SEARCH(("No"),(P387))))</formula>
    </cfRule>
  </conditionalFormatting>
  <conditionalFormatting sqref="P387:Q388 P391:Q392 P395:Q395">
    <cfRule type="containsText" dxfId="9" priority="51296" operator="containsText" text="No">
      <formula>NOT(ISERROR(SEARCH(("No"),(P387))))</formula>
    </cfRule>
  </conditionalFormatting>
  <conditionalFormatting sqref="P387:Q388 P391:Q392 P395:Q395">
    <cfRule type="containsText" dxfId="9" priority="51297" operator="containsText" text="No">
      <formula>NOT(ISERROR(SEARCH(("No"),(P387))))</formula>
    </cfRule>
  </conditionalFormatting>
  <conditionalFormatting sqref="P387:Q388 P391:Q392 P395:Q395">
    <cfRule type="containsText" dxfId="9" priority="51298" operator="containsText" text="No">
      <formula>NOT(ISERROR(SEARCH(("No"),(P387))))</formula>
    </cfRule>
  </conditionalFormatting>
  <conditionalFormatting sqref="P387:Q388 P391:Q392 P395:Q395">
    <cfRule type="containsText" dxfId="9" priority="51299" operator="containsText" text="No">
      <formula>NOT(ISERROR(SEARCH(("No"),(P387))))</formula>
    </cfRule>
  </conditionalFormatting>
  <conditionalFormatting sqref="P387:Q388 P391:Q392 P395:Q395">
    <cfRule type="containsText" dxfId="9" priority="51300" operator="containsText" text="No">
      <formula>NOT(ISERROR(SEARCH(("No"),(P387))))</formula>
    </cfRule>
  </conditionalFormatting>
  <conditionalFormatting sqref="P387:Q388 P391:Q392 P395:Q395">
    <cfRule type="containsText" dxfId="9" priority="51301" operator="containsText" text="No">
      <formula>NOT(ISERROR(SEARCH(("No"),(P387))))</formula>
    </cfRule>
  </conditionalFormatting>
  <conditionalFormatting sqref="P387:Q388 P391:Q392 P395:Q395">
    <cfRule type="containsText" dxfId="9" priority="51302" operator="containsText" text="No">
      <formula>NOT(ISERROR(SEARCH(("No"),(P387))))</formula>
    </cfRule>
  </conditionalFormatting>
  <conditionalFormatting sqref="P387:Q388 P391:Q392 P395:Q395">
    <cfRule type="containsText" dxfId="9" priority="51303" operator="containsText" text="No">
      <formula>NOT(ISERROR(SEARCH(("No"),(P387))))</formula>
    </cfRule>
  </conditionalFormatting>
  <conditionalFormatting sqref="P387:Q388 P391:Q392 P395:Q395">
    <cfRule type="containsText" dxfId="9" priority="51304" operator="containsText" text="No">
      <formula>NOT(ISERROR(SEARCH(("No"),(P387))))</formula>
    </cfRule>
  </conditionalFormatting>
  <conditionalFormatting sqref="P387:Q388 P391:Q392 P395:Q395">
    <cfRule type="containsText" dxfId="9" priority="51305" operator="containsText" text="No">
      <formula>NOT(ISERROR(SEARCH(("No"),(P387))))</formula>
    </cfRule>
  </conditionalFormatting>
  <conditionalFormatting sqref="P387:Q388 P391:Q392 P395:Q395">
    <cfRule type="containsText" dxfId="9" priority="51306" operator="containsText" text="No">
      <formula>NOT(ISERROR(SEARCH(("No"),(P387))))</formula>
    </cfRule>
  </conditionalFormatting>
  <conditionalFormatting sqref="P387:Q388 P391:Q392 P395:Q395">
    <cfRule type="containsText" dxfId="9" priority="51307" operator="containsText" text="No">
      <formula>NOT(ISERROR(SEARCH(("No"),(P387))))</formula>
    </cfRule>
  </conditionalFormatting>
  <conditionalFormatting sqref="P387:Q388 P391:Q392 P395:Q395">
    <cfRule type="containsText" dxfId="9" priority="51308" operator="containsText" text="No">
      <formula>NOT(ISERROR(SEARCH(("No"),(P387))))</formula>
    </cfRule>
  </conditionalFormatting>
  <conditionalFormatting sqref="P387:Q388 P391:Q392 P395:Q395">
    <cfRule type="containsText" dxfId="9" priority="51309" operator="containsText" text="No">
      <formula>NOT(ISERROR(SEARCH(("No"),(P387))))</formula>
    </cfRule>
  </conditionalFormatting>
  <conditionalFormatting sqref="P387:Q388 P391:Q392 P395:Q395">
    <cfRule type="containsText" dxfId="9" priority="51310" operator="containsText" text="No">
      <formula>NOT(ISERROR(SEARCH(("No"),(P387))))</formula>
    </cfRule>
  </conditionalFormatting>
  <conditionalFormatting sqref="P387:Q388 P391:Q392 P395:Q395">
    <cfRule type="containsText" dxfId="9" priority="51311" operator="containsText" text="No">
      <formula>NOT(ISERROR(SEARCH(("No"),(P387))))</formula>
    </cfRule>
  </conditionalFormatting>
  <conditionalFormatting sqref="P387:Q388 P391:Q392 P395:Q395">
    <cfRule type="containsText" dxfId="9" priority="51312" operator="containsText" text="No">
      <formula>NOT(ISERROR(SEARCH(("No"),(P387))))</formula>
    </cfRule>
  </conditionalFormatting>
  <conditionalFormatting sqref="P387:Q388 P391:Q392 P395:Q395">
    <cfRule type="containsText" dxfId="9" priority="51313" operator="containsText" text="No">
      <formula>NOT(ISERROR(SEARCH(("No"),(P387))))</formula>
    </cfRule>
  </conditionalFormatting>
  <conditionalFormatting sqref="P387:Q388 P391:Q392 P395:Q395">
    <cfRule type="containsText" dxfId="9" priority="51314" operator="containsText" text="No">
      <formula>NOT(ISERROR(SEARCH(("No"),(P387))))</formula>
    </cfRule>
  </conditionalFormatting>
  <conditionalFormatting sqref="P387:Q388 P391:Q392 P395:Q395">
    <cfRule type="containsText" dxfId="2" priority="51315" operator="containsText" text="Yes">
      <formula>NOT(ISERROR(SEARCH(("Yes"),(P387))))</formula>
    </cfRule>
  </conditionalFormatting>
  <conditionalFormatting sqref="P387:Q388 P391:Q392 P395:Q395">
    <cfRule type="containsText" dxfId="2" priority="51316" operator="containsText" text="Yes">
      <formula>NOT(ISERROR(SEARCH(("Yes"),(P387))))</formula>
    </cfRule>
  </conditionalFormatting>
  <conditionalFormatting sqref="P387:Q388 P391:Q392 P395:Q395">
    <cfRule type="containsText" dxfId="2" priority="51317" operator="containsText" text="Yes">
      <formula>NOT(ISERROR(SEARCH(("Yes"),(P387))))</formula>
    </cfRule>
  </conditionalFormatting>
  <conditionalFormatting sqref="P387:Q388 P391:Q392 P395:Q395">
    <cfRule type="containsText" dxfId="2" priority="51318" operator="containsText" text="Yes">
      <formula>NOT(ISERROR(SEARCH(("Yes"),(P387))))</formula>
    </cfRule>
  </conditionalFormatting>
  <conditionalFormatting sqref="P387:Q388 P391:Q392 P395:Q395">
    <cfRule type="containsText" dxfId="2" priority="51319" operator="containsText" text="Yes">
      <formula>NOT(ISERROR(SEARCH(("Yes"),(P387))))</formula>
    </cfRule>
  </conditionalFormatting>
  <conditionalFormatting sqref="P387:Q388 P391:Q392 P395:Q395">
    <cfRule type="containsText" dxfId="2" priority="51320" operator="containsText" text="Yes">
      <formula>NOT(ISERROR(SEARCH(("Yes"),(P387))))</formula>
    </cfRule>
  </conditionalFormatting>
  <conditionalFormatting sqref="P387:Q388 P391:Q392 P395:Q395">
    <cfRule type="containsText" dxfId="2" priority="51321" operator="containsText" text="Yes">
      <formula>NOT(ISERROR(SEARCH(("Yes"),(P387))))</formula>
    </cfRule>
  </conditionalFormatting>
  <conditionalFormatting sqref="P387:Q388 P391:Q392 P395:Q395">
    <cfRule type="containsText" dxfId="2" priority="51322" operator="containsText" text="Yes">
      <formula>NOT(ISERROR(SEARCH(("Yes"),(P387))))</formula>
    </cfRule>
  </conditionalFormatting>
  <conditionalFormatting sqref="P387:Q388 P391:Q392 P395:Q395">
    <cfRule type="containsText" dxfId="2" priority="51323" operator="containsText" text="Yes">
      <formula>NOT(ISERROR(SEARCH(("Yes"),(P387))))</formula>
    </cfRule>
  </conditionalFormatting>
  <conditionalFormatting sqref="P387:Q388 P391:Q392 P395:Q395">
    <cfRule type="containsText" dxfId="2" priority="51324" operator="containsText" text="Yes">
      <formula>NOT(ISERROR(SEARCH(("Yes"),(P387))))</formula>
    </cfRule>
  </conditionalFormatting>
  <conditionalFormatting sqref="P387:Q388 P391:Q392 P395:Q395">
    <cfRule type="containsText" dxfId="2" priority="51325" operator="containsText" text="Yes">
      <formula>NOT(ISERROR(SEARCH(("Yes"),(P387))))</formula>
    </cfRule>
  </conditionalFormatting>
  <conditionalFormatting sqref="P387:Q388 P391:Q392 P395:Q395">
    <cfRule type="containsText" dxfId="2" priority="51326" operator="containsText" text="Yes">
      <formula>NOT(ISERROR(SEARCH(("Yes"),(P387))))</formula>
    </cfRule>
  </conditionalFormatting>
  <conditionalFormatting sqref="P387:Q388 P391:Q392 P395:Q395">
    <cfRule type="containsText" dxfId="2" priority="51327" operator="containsText" text="Yes">
      <formula>NOT(ISERROR(SEARCH(("Yes"),(P387))))</formula>
    </cfRule>
  </conditionalFormatting>
  <conditionalFormatting sqref="P387:Q388 P391:Q392 P395:Q395">
    <cfRule type="containsText" dxfId="2" priority="51328" operator="containsText" text="Yes">
      <formula>NOT(ISERROR(SEARCH(("Yes"),(P387))))</formula>
    </cfRule>
  </conditionalFormatting>
  <conditionalFormatting sqref="P387:Q388 P391:Q392 P395:Q395">
    <cfRule type="containsText" dxfId="2" priority="51329" operator="containsText" text="Yes">
      <formula>NOT(ISERROR(SEARCH(("Yes"),(P387))))</formula>
    </cfRule>
  </conditionalFormatting>
  <conditionalFormatting sqref="P387:Q388 P391:Q392 P395:Q395">
    <cfRule type="containsText" dxfId="2" priority="51330" operator="containsText" text="Yes">
      <formula>NOT(ISERROR(SEARCH(("Yes"),(P387))))</formula>
    </cfRule>
  </conditionalFormatting>
  <conditionalFormatting sqref="P387:Q388 P391:Q392 P395:Q395">
    <cfRule type="containsText" dxfId="2" priority="51331" operator="containsText" text="Yes">
      <formula>NOT(ISERROR(SEARCH(("Yes"),(P387))))</formula>
    </cfRule>
  </conditionalFormatting>
  <conditionalFormatting sqref="P387:Q388 P391:Q392 P395:Q395">
    <cfRule type="containsText" dxfId="2" priority="51332" operator="containsText" text="Yes">
      <formula>NOT(ISERROR(SEARCH(("Yes"),(P387))))</formula>
    </cfRule>
  </conditionalFormatting>
  <conditionalFormatting sqref="P387:Q388 P391:Q392 P395:Q395">
    <cfRule type="containsText" dxfId="2" priority="51333" operator="containsText" text="Yes">
      <formula>NOT(ISERROR(SEARCH(("Yes"),(P387))))</formula>
    </cfRule>
  </conditionalFormatting>
  <conditionalFormatting sqref="P387:Q388 P391:Q392 P395:Q395">
    <cfRule type="containsText" dxfId="2" priority="51334" operator="containsText" text="Yes">
      <formula>NOT(ISERROR(SEARCH(("Yes"),(P387))))</formula>
    </cfRule>
  </conditionalFormatting>
  <conditionalFormatting sqref="P387:Q388 P391:Q392 P395:Q395">
    <cfRule type="containsText" dxfId="2" priority="51335" operator="containsText" text="Yes">
      <formula>NOT(ISERROR(SEARCH(("Yes"),(P387))))</formula>
    </cfRule>
  </conditionalFormatting>
  <conditionalFormatting sqref="P387:Q388 P391:Q392 P395:Q395">
    <cfRule type="containsText" dxfId="2" priority="51336" operator="containsText" text="Yes">
      <formula>NOT(ISERROR(SEARCH(("Yes"),(P387))))</formula>
    </cfRule>
  </conditionalFormatting>
  <conditionalFormatting sqref="P387:Q388 P391:Q392 P395:Q395">
    <cfRule type="containsText" dxfId="2" priority="51337" operator="containsText" text="Yes">
      <formula>NOT(ISERROR(SEARCH(("Yes"),(P387))))</formula>
    </cfRule>
  </conditionalFormatting>
  <conditionalFormatting sqref="P387:Q388 P391:Q392 P395:Q395">
    <cfRule type="containsText" dxfId="2" priority="51338" operator="containsText" text="Yes">
      <formula>NOT(ISERROR(SEARCH(("Yes"),(P387))))</formula>
    </cfRule>
  </conditionalFormatting>
  <conditionalFormatting sqref="P387:Q388 P391:Q392 P395:Q395">
    <cfRule type="containsText" dxfId="2" priority="51339" operator="containsText" text="Yes">
      <formula>NOT(ISERROR(SEARCH(("Yes"),(P387))))</formula>
    </cfRule>
  </conditionalFormatting>
  <conditionalFormatting sqref="P387:Q388 P391:Q392 P395:Q395">
    <cfRule type="containsText" dxfId="2" priority="51340" operator="containsText" text="Yes">
      <formula>NOT(ISERROR(SEARCH(("Yes"),(P387))))</formula>
    </cfRule>
  </conditionalFormatting>
  <conditionalFormatting sqref="P387:Q388 P391:Q392 P395:Q395">
    <cfRule type="containsText" dxfId="2" priority="51341" operator="containsText" text="Yes">
      <formula>NOT(ISERROR(SEARCH(("Yes"),(P387))))</formula>
    </cfRule>
  </conditionalFormatting>
  <conditionalFormatting sqref="P387:Q388 P391:Q392 P395:Q395">
    <cfRule type="containsText" dxfId="2" priority="51342" operator="containsText" text="Yes">
      <formula>NOT(ISERROR(SEARCH(("Yes"),(P387))))</formula>
    </cfRule>
  </conditionalFormatting>
  <conditionalFormatting sqref="P387:Q388 P391:Q392 P395:Q395">
    <cfRule type="containsText" dxfId="2" priority="51343" operator="containsText" text="Yes">
      <formula>NOT(ISERROR(SEARCH(("Yes"),(P387))))</formula>
    </cfRule>
  </conditionalFormatting>
  <conditionalFormatting sqref="P387:Q388 P391:Q392 P395:Q395">
    <cfRule type="containsText" dxfId="2" priority="51344" operator="containsText" text="Yes">
      <formula>NOT(ISERROR(SEARCH(("Yes"),(P387))))</formula>
    </cfRule>
  </conditionalFormatting>
  <conditionalFormatting sqref="P387:Q388 P391:Q392 P395:Q395">
    <cfRule type="containsText" dxfId="2" priority="51345" operator="containsText" text="Yes">
      <formula>NOT(ISERROR(SEARCH(("Yes"),(P387))))</formula>
    </cfRule>
  </conditionalFormatting>
  <conditionalFormatting sqref="P387:Q388 P391:Q392 P395:Q395">
    <cfRule type="containsText" dxfId="2" priority="51346" operator="containsText" text="Yes">
      <formula>NOT(ISERROR(SEARCH(("Yes"),(P387))))</formula>
    </cfRule>
  </conditionalFormatting>
  <conditionalFormatting sqref="P387:Q388 P391:Q392 P395:Q395">
    <cfRule type="containsText" dxfId="2" priority="51347" operator="containsText" text="Yes">
      <formula>NOT(ISERROR(SEARCH(("Yes"),(P387))))</formula>
    </cfRule>
  </conditionalFormatting>
  <conditionalFormatting sqref="P387:Q388 P391:Q392 P395:Q395">
    <cfRule type="containsText" dxfId="2" priority="51348" operator="containsText" text="Yes">
      <formula>NOT(ISERROR(SEARCH(("Yes"),(P387))))</formula>
    </cfRule>
  </conditionalFormatting>
  <conditionalFormatting sqref="P387:Q388 P391:Q392 P395:Q395">
    <cfRule type="containsText" dxfId="2" priority="51349" operator="containsText" text="Yes">
      <formula>NOT(ISERROR(SEARCH(("Yes"),(P387))))</formula>
    </cfRule>
  </conditionalFormatting>
  <conditionalFormatting sqref="P387:Q388 P391:Q392 P395:Q395">
    <cfRule type="containsText" dxfId="2" priority="51350" operator="containsText" text="Yes">
      <formula>NOT(ISERROR(SEARCH(("Yes"),(P387))))</formula>
    </cfRule>
  </conditionalFormatting>
  <conditionalFormatting sqref="P387:Q388 P391:Q392 P395:Q395">
    <cfRule type="containsText" dxfId="2" priority="51351" operator="containsText" text="Yes">
      <formula>NOT(ISERROR(SEARCH(("Yes"),(P387))))</formula>
    </cfRule>
  </conditionalFormatting>
  <conditionalFormatting sqref="P387:Q388 P391:Q392 P395:Q395">
    <cfRule type="containsText" dxfId="2" priority="51352" operator="containsText" text="Yes">
      <formula>NOT(ISERROR(SEARCH(("Yes"),(P387))))</formula>
    </cfRule>
  </conditionalFormatting>
  <conditionalFormatting sqref="P387:Q388 P391:Q392 P395:Q395">
    <cfRule type="containsText" dxfId="2" priority="51353" operator="containsText" text="Yes">
      <formula>NOT(ISERROR(SEARCH(("Yes"),(P387))))</formula>
    </cfRule>
  </conditionalFormatting>
  <conditionalFormatting sqref="P387:Q388 P391:Q392 P395:Q395">
    <cfRule type="containsText" dxfId="2" priority="51354" operator="containsText" text="Yes">
      <formula>NOT(ISERROR(SEARCH(("Yes"),(P387))))</formula>
    </cfRule>
  </conditionalFormatting>
  <conditionalFormatting sqref="P387:Q388 P391:Q392 P395:Q395">
    <cfRule type="containsText" dxfId="2" priority="51355" operator="containsText" text="Yes">
      <formula>NOT(ISERROR(SEARCH(("Yes"),(P387))))</formula>
    </cfRule>
  </conditionalFormatting>
  <conditionalFormatting sqref="P387:Q388 P391:Q392 P395:Q395">
    <cfRule type="containsText" dxfId="2" priority="51356" operator="containsText" text="Yes">
      <formula>NOT(ISERROR(SEARCH(("Yes"),(P387))))</formula>
    </cfRule>
  </conditionalFormatting>
  <conditionalFormatting sqref="P387:Q388 P391:Q392 P395:Q395">
    <cfRule type="containsText" dxfId="2" priority="51357" operator="containsText" text="Yes">
      <formula>NOT(ISERROR(SEARCH(("Yes"),(P387))))</formula>
    </cfRule>
  </conditionalFormatting>
  <conditionalFormatting sqref="P387:Q388 P391:Q392 P395:Q395">
    <cfRule type="containsText" dxfId="2" priority="51358" operator="containsText" text="Yes">
      <formula>NOT(ISERROR(SEARCH(("Yes"),(P387))))</formula>
    </cfRule>
  </conditionalFormatting>
  <conditionalFormatting sqref="P387:Q388 P391:Q392 P395:Q395">
    <cfRule type="containsText" dxfId="2" priority="51359" operator="containsText" text="Yes">
      <formula>NOT(ISERROR(SEARCH(("Yes"),(P387))))</formula>
    </cfRule>
  </conditionalFormatting>
  <conditionalFormatting sqref="P387:Q388 P391:Q392 P395:Q395">
    <cfRule type="containsText" dxfId="2" priority="51360" operator="containsText" text="Yes">
      <formula>NOT(ISERROR(SEARCH(("Yes"),(P387))))</formula>
    </cfRule>
  </conditionalFormatting>
  <conditionalFormatting sqref="P387:Q388 P391:Q392 P395:Q395">
    <cfRule type="containsText" dxfId="2" priority="51361" operator="containsText" text="Yes">
      <formula>NOT(ISERROR(SEARCH(("Yes"),(P387))))</formula>
    </cfRule>
  </conditionalFormatting>
  <conditionalFormatting sqref="N395:Q395 O388:Q388 O391:Q392">
    <cfRule type="containsText" dxfId="9" priority="51362" operator="containsText" text="No">
      <formula>NOT(ISERROR(SEARCH(("No"),(N395))))</formula>
    </cfRule>
  </conditionalFormatting>
  <conditionalFormatting sqref="N395:Q395 O388:Q388 O391:Q392">
    <cfRule type="containsText" dxfId="9" priority="51363" operator="containsText" text="No">
      <formula>NOT(ISERROR(SEARCH(("No"),(N395))))</formula>
    </cfRule>
  </conditionalFormatting>
  <conditionalFormatting sqref="N395:Q395 O388:Q388 O391:Q392">
    <cfRule type="containsText" dxfId="9" priority="51364" operator="containsText" text="No">
      <formula>NOT(ISERROR(SEARCH(("No"),(N395))))</formula>
    </cfRule>
  </conditionalFormatting>
  <conditionalFormatting sqref="N395:Q395 O388:Q388 O391:Q392">
    <cfRule type="containsText" dxfId="9" priority="51365" operator="containsText" text="No">
      <formula>NOT(ISERROR(SEARCH(("No"),(N395))))</formula>
    </cfRule>
  </conditionalFormatting>
  <conditionalFormatting sqref="N395:Q395 O388:Q388 O391:Q392">
    <cfRule type="containsText" dxfId="9" priority="51366" operator="containsText" text="No">
      <formula>NOT(ISERROR(SEARCH(("No"),(N395))))</formula>
    </cfRule>
  </conditionalFormatting>
  <conditionalFormatting sqref="N395:Q395 O388:Q388 O391:Q392">
    <cfRule type="containsText" dxfId="9" priority="51367" operator="containsText" text="No">
      <formula>NOT(ISERROR(SEARCH(("No"),(N395))))</formula>
    </cfRule>
  </conditionalFormatting>
  <conditionalFormatting sqref="N395:Q395 O388:Q388 O391:Q392">
    <cfRule type="containsText" dxfId="9" priority="51368" operator="containsText" text="No">
      <formula>NOT(ISERROR(SEARCH(("No"),(N395))))</formula>
    </cfRule>
  </conditionalFormatting>
  <conditionalFormatting sqref="N395:Q395 O388:Q388 O391:Q392">
    <cfRule type="containsText" dxfId="9" priority="51369" operator="containsText" text="No">
      <formula>NOT(ISERROR(SEARCH(("No"),(N395))))</formula>
    </cfRule>
  </conditionalFormatting>
  <conditionalFormatting sqref="N395:Q395 O388:Q388 O391:Q392">
    <cfRule type="containsText" dxfId="9" priority="51370" operator="containsText" text="No">
      <formula>NOT(ISERROR(SEARCH(("No"),(N395))))</formula>
    </cfRule>
  </conditionalFormatting>
  <conditionalFormatting sqref="N395:Q395 O388:Q388 O391:Q392">
    <cfRule type="containsText" dxfId="9" priority="51371" operator="containsText" text="No">
      <formula>NOT(ISERROR(SEARCH(("No"),(N395))))</formula>
    </cfRule>
  </conditionalFormatting>
  <conditionalFormatting sqref="N395:Q395 O388:Q388 O391:Q392">
    <cfRule type="containsText" dxfId="9" priority="51372" operator="containsText" text="No">
      <formula>NOT(ISERROR(SEARCH(("No"),(N395))))</formula>
    </cfRule>
  </conditionalFormatting>
  <conditionalFormatting sqref="N395:Q395 O388:Q388 O391:Q392">
    <cfRule type="containsText" dxfId="9" priority="51373" operator="containsText" text="No">
      <formula>NOT(ISERROR(SEARCH(("No"),(N395))))</formula>
    </cfRule>
  </conditionalFormatting>
  <conditionalFormatting sqref="N395:Q395 O388:Q388 O391:Q392">
    <cfRule type="containsText" dxfId="9" priority="51374" operator="containsText" text="No">
      <formula>NOT(ISERROR(SEARCH(("No"),(N395))))</formula>
    </cfRule>
  </conditionalFormatting>
  <conditionalFormatting sqref="N395:Q395 O388:Q388 O391:Q392">
    <cfRule type="containsText" dxfId="9" priority="51375" operator="containsText" text="No">
      <formula>NOT(ISERROR(SEARCH(("No"),(N395))))</formula>
    </cfRule>
  </conditionalFormatting>
  <conditionalFormatting sqref="N395:Q395 O388:Q388 O391:Q392">
    <cfRule type="containsText" dxfId="9" priority="51376" operator="containsText" text="No">
      <formula>NOT(ISERROR(SEARCH(("No"),(N395))))</formula>
    </cfRule>
  </conditionalFormatting>
  <conditionalFormatting sqref="N395:Q395 O388:Q388 O391:Q392">
    <cfRule type="containsText" dxfId="9" priority="51377" operator="containsText" text="No">
      <formula>NOT(ISERROR(SEARCH(("No"),(N395))))</formula>
    </cfRule>
  </conditionalFormatting>
  <conditionalFormatting sqref="N395:Q395 O388:Q388 O391:Q392">
    <cfRule type="containsText" dxfId="9" priority="51378" operator="containsText" text="No">
      <formula>NOT(ISERROR(SEARCH(("No"),(N395))))</formula>
    </cfRule>
  </conditionalFormatting>
  <conditionalFormatting sqref="N395:Q395 O388:Q388 O391:Q392">
    <cfRule type="containsText" dxfId="9" priority="51379" operator="containsText" text="No">
      <formula>NOT(ISERROR(SEARCH(("No"),(N395))))</formula>
    </cfRule>
  </conditionalFormatting>
  <conditionalFormatting sqref="N395:Q395 O388:Q388 O391:Q392">
    <cfRule type="containsText" dxfId="9" priority="51380" operator="containsText" text="No">
      <formula>NOT(ISERROR(SEARCH(("No"),(N395))))</formula>
    </cfRule>
  </conditionalFormatting>
  <conditionalFormatting sqref="N395:Q395 O388:Q388 O391:Q392">
    <cfRule type="containsText" dxfId="9" priority="51381" operator="containsText" text="No">
      <formula>NOT(ISERROR(SEARCH(("No"),(N395))))</formula>
    </cfRule>
  </conditionalFormatting>
  <conditionalFormatting sqref="N395:Q395 O388:Q388 O391:Q392">
    <cfRule type="containsText" dxfId="9" priority="51382" operator="containsText" text="No">
      <formula>NOT(ISERROR(SEARCH(("No"),(N395))))</formula>
    </cfRule>
  </conditionalFormatting>
  <conditionalFormatting sqref="N395:Q395 O388:Q388 O391:Q392">
    <cfRule type="containsText" dxfId="9" priority="51383" operator="containsText" text="No">
      <formula>NOT(ISERROR(SEARCH(("No"),(N395))))</formula>
    </cfRule>
  </conditionalFormatting>
  <conditionalFormatting sqref="N395:Q395 O388:Q388 O391:Q392">
    <cfRule type="containsText" dxfId="9" priority="51384" operator="containsText" text="No">
      <formula>NOT(ISERROR(SEARCH(("No"),(N395))))</formula>
    </cfRule>
  </conditionalFormatting>
  <conditionalFormatting sqref="N395:Q395 O388:Q388 O391:Q392">
    <cfRule type="containsText" dxfId="9" priority="51385" operator="containsText" text="No">
      <formula>NOT(ISERROR(SEARCH(("No"),(N395))))</formula>
    </cfRule>
  </conditionalFormatting>
  <conditionalFormatting sqref="N395:Q395 O388:Q388 O391:Q392">
    <cfRule type="containsText" dxfId="9" priority="51386" operator="containsText" text="No">
      <formula>NOT(ISERROR(SEARCH(("No"),(N395))))</formula>
    </cfRule>
  </conditionalFormatting>
  <conditionalFormatting sqref="N395:Q395 O388:Q388 O391:Q392">
    <cfRule type="containsText" dxfId="9" priority="51387" operator="containsText" text="No">
      <formula>NOT(ISERROR(SEARCH(("No"),(N395))))</formula>
    </cfRule>
  </conditionalFormatting>
  <conditionalFormatting sqref="N395:Q395 O388:Q388 O391:Q392">
    <cfRule type="containsText" dxfId="9" priority="51388" operator="containsText" text="No">
      <formula>NOT(ISERROR(SEARCH(("No"),(N395))))</formula>
    </cfRule>
  </conditionalFormatting>
  <conditionalFormatting sqref="N395:Q395 O388:Q388 O391:Q392">
    <cfRule type="containsText" dxfId="9" priority="51389" operator="containsText" text="No">
      <formula>NOT(ISERROR(SEARCH(("No"),(N395))))</formula>
    </cfRule>
  </conditionalFormatting>
  <conditionalFormatting sqref="N395:Q395 O388:Q388 O391:Q392">
    <cfRule type="containsText" dxfId="9" priority="51390" operator="containsText" text="No">
      <formula>NOT(ISERROR(SEARCH(("No"),(N395))))</formula>
    </cfRule>
  </conditionalFormatting>
  <conditionalFormatting sqref="N395:Q395 O388:Q388 O391:Q392">
    <cfRule type="containsText" dxfId="9" priority="51391" operator="containsText" text="No">
      <formula>NOT(ISERROR(SEARCH(("No"),(N395))))</formula>
    </cfRule>
  </conditionalFormatting>
  <conditionalFormatting sqref="N395:Q395 O388:Q388 O391:Q392">
    <cfRule type="containsText" dxfId="9" priority="51392" operator="containsText" text="No">
      <formula>NOT(ISERROR(SEARCH(("No"),(N395))))</formula>
    </cfRule>
  </conditionalFormatting>
  <conditionalFormatting sqref="N395:Q395 O388:Q388 O391:Q392">
    <cfRule type="containsText" dxfId="9" priority="51393" operator="containsText" text="No">
      <formula>NOT(ISERROR(SEARCH(("No"),(N395))))</formula>
    </cfRule>
  </conditionalFormatting>
  <conditionalFormatting sqref="N395:Q395 O388:Q388 O391:Q392">
    <cfRule type="containsText" dxfId="9" priority="51394" operator="containsText" text="No">
      <formula>NOT(ISERROR(SEARCH(("No"),(N395))))</formula>
    </cfRule>
  </conditionalFormatting>
  <conditionalFormatting sqref="N395:Q395 O388:Q388 O391:Q392">
    <cfRule type="containsText" dxfId="9" priority="51395" operator="containsText" text="No">
      <formula>NOT(ISERROR(SEARCH(("No"),(N395))))</formula>
    </cfRule>
  </conditionalFormatting>
  <conditionalFormatting sqref="N395:Q395 O388:Q388 O391:Q392">
    <cfRule type="containsText" dxfId="9" priority="51396" operator="containsText" text="No">
      <formula>NOT(ISERROR(SEARCH(("No"),(N395))))</formula>
    </cfRule>
  </conditionalFormatting>
  <conditionalFormatting sqref="N395:Q395 O388:Q388 O391:Q392">
    <cfRule type="containsText" dxfId="9" priority="51397" operator="containsText" text="No">
      <formula>NOT(ISERROR(SEARCH(("No"),(N395))))</formula>
    </cfRule>
  </conditionalFormatting>
  <conditionalFormatting sqref="N395:Q395 O388:Q388 O391:Q392">
    <cfRule type="containsText" dxfId="9" priority="51398" operator="containsText" text="No">
      <formula>NOT(ISERROR(SEARCH(("No"),(N395))))</formula>
    </cfRule>
  </conditionalFormatting>
  <conditionalFormatting sqref="N395:Q395 O388:Q388 O391:Q392">
    <cfRule type="containsText" dxfId="9" priority="51399" operator="containsText" text="No">
      <formula>NOT(ISERROR(SEARCH(("No"),(N395))))</formula>
    </cfRule>
  </conditionalFormatting>
  <conditionalFormatting sqref="N395:Q395 O388:Q388 O391:Q392">
    <cfRule type="containsText" dxfId="9" priority="51400" operator="containsText" text="No">
      <formula>NOT(ISERROR(SEARCH(("No"),(N395))))</formula>
    </cfRule>
  </conditionalFormatting>
  <conditionalFormatting sqref="N395:Q395 O388:Q388 O391:Q392">
    <cfRule type="containsText" dxfId="9" priority="51401" operator="containsText" text="No">
      <formula>NOT(ISERROR(SEARCH(("No"),(N395))))</formula>
    </cfRule>
  </conditionalFormatting>
  <conditionalFormatting sqref="N395:Q395 O388:Q388 O391:Q392">
    <cfRule type="containsText" dxfId="9" priority="51402" operator="containsText" text="No">
      <formula>NOT(ISERROR(SEARCH(("No"),(N395))))</formula>
    </cfRule>
  </conditionalFormatting>
  <conditionalFormatting sqref="N395:Q395 O388:Q388 O391:Q392">
    <cfRule type="containsText" dxfId="9" priority="51403" operator="containsText" text="No">
      <formula>NOT(ISERROR(SEARCH(("No"),(N395))))</formula>
    </cfRule>
  </conditionalFormatting>
  <conditionalFormatting sqref="N395:Q395 O388:Q388 O391:Q392">
    <cfRule type="containsText" dxfId="9" priority="51404" operator="containsText" text="No">
      <formula>NOT(ISERROR(SEARCH(("No"),(N395))))</formula>
    </cfRule>
  </conditionalFormatting>
  <conditionalFormatting sqref="N395:Q395 O388:Q388 O391:Q392">
    <cfRule type="containsText" dxfId="9" priority="51405" operator="containsText" text="No">
      <formula>NOT(ISERROR(SEARCH(("No"),(N395))))</formula>
    </cfRule>
  </conditionalFormatting>
  <conditionalFormatting sqref="N395:Q395 O388:Q388 O391:Q392">
    <cfRule type="containsText" dxfId="9" priority="51406" operator="containsText" text="No">
      <formula>NOT(ISERROR(SEARCH(("No"),(N395))))</formula>
    </cfRule>
  </conditionalFormatting>
  <conditionalFormatting sqref="N395:Q395 O388:Q388 O391:Q392">
    <cfRule type="containsText" dxfId="2" priority="51407" operator="containsText" text="Yes">
      <formula>NOT(ISERROR(SEARCH(("Yes"),(N395))))</formula>
    </cfRule>
  </conditionalFormatting>
  <conditionalFormatting sqref="N395:Q395 O388:Q388 O391:Q392">
    <cfRule type="containsText" dxfId="2" priority="51408" operator="containsText" text="Yes">
      <formula>NOT(ISERROR(SEARCH(("Yes"),(N395))))</formula>
    </cfRule>
  </conditionalFormatting>
  <conditionalFormatting sqref="N395:Q395 O388:Q388 O391:Q392">
    <cfRule type="containsText" dxfId="2" priority="51409" operator="containsText" text="Yes">
      <formula>NOT(ISERROR(SEARCH(("Yes"),(N395))))</formula>
    </cfRule>
  </conditionalFormatting>
  <conditionalFormatting sqref="N395:Q395 O388:Q388 O391:Q392">
    <cfRule type="containsText" dxfId="2" priority="51410" operator="containsText" text="Yes">
      <formula>NOT(ISERROR(SEARCH(("Yes"),(N395))))</formula>
    </cfRule>
  </conditionalFormatting>
  <conditionalFormatting sqref="N395:Q395 O388:Q388 O391:Q392">
    <cfRule type="containsText" dxfId="2" priority="51411" operator="containsText" text="Yes">
      <formula>NOT(ISERROR(SEARCH(("Yes"),(N395))))</formula>
    </cfRule>
  </conditionalFormatting>
  <conditionalFormatting sqref="N395:Q395 O388:Q388 O391:Q392">
    <cfRule type="containsText" dxfId="2" priority="51412" operator="containsText" text="Yes">
      <formula>NOT(ISERROR(SEARCH(("Yes"),(N395))))</formula>
    </cfRule>
  </conditionalFormatting>
  <conditionalFormatting sqref="N395:Q395 O388:Q388 O391:Q392">
    <cfRule type="containsText" dxfId="2" priority="51413" operator="containsText" text="Yes">
      <formula>NOT(ISERROR(SEARCH(("Yes"),(N395))))</formula>
    </cfRule>
  </conditionalFormatting>
  <conditionalFormatting sqref="N395:Q395 O388:Q388 O391:Q392">
    <cfRule type="containsText" dxfId="2" priority="51414" operator="containsText" text="Yes">
      <formula>NOT(ISERROR(SEARCH(("Yes"),(N395))))</formula>
    </cfRule>
  </conditionalFormatting>
  <conditionalFormatting sqref="N395:Q395 O388:Q388 O391:Q392">
    <cfRule type="containsText" dxfId="2" priority="51415" operator="containsText" text="Yes">
      <formula>NOT(ISERROR(SEARCH(("Yes"),(N395))))</formula>
    </cfRule>
  </conditionalFormatting>
  <conditionalFormatting sqref="N395:Q395 O388:Q388 O391:Q392">
    <cfRule type="containsText" dxfId="2" priority="51416" operator="containsText" text="Yes">
      <formula>NOT(ISERROR(SEARCH(("Yes"),(N395))))</formula>
    </cfRule>
  </conditionalFormatting>
  <conditionalFormatting sqref="N395:Q395 O388:Q388 O391:Q392">
    <cfRule type="containsText" dxfId="2" priority="51417" operator="containsText" text="Yes">
      <formula>NOT(ISERROR(SEARCH(("Yes"),(N395))))</formula>
    </cfRule>
  </conditionalFormatting>
  <conditionalFormatting sqref="N395:Q395 O388:Q388 O391:Q392">
    <cfRule type="containsText" dxfId="2" priority="51418" operator="containsText" text="Yes">
      <formula>NOT(ISERROR(SEARCH(("Yes"),(N395))))</formula>
    </cfRule>
  </conditionalFormatting>
  <conditionalFormatting sqref="N395:Q395 O388:Q388 O391:Q392">
    <cfRule type="containsText" dxfId="2" priority="51419" operator="containsText" text="Yes">
      <formula>NOT(ISERROR(SEARCH(("Yes"),(N395))))</formula>
    </cfRule>
  </conditionalFormatting>
  <conditionalFormatting sqref="N395:Q395 O388:Q388 O391:Q392">
    <cfRule type="containsText" dxfId="2" priority="51420" operator="containsText" text="Yes">
      <formula>NOT(ISERROR(SEARCH(("Yes"),(N395))))</formula>
    </cfRule>
  </conditionalFormatting>
  <conditionalFormatting sqref="N395:Q395 O388:Q388 O391:Q392">
    <cfRule type="containsText" dxfId="2" priority="51421" operator="containsText" text="Yes">
      <formula>NOT(ISERROR(SEARCH(("Yes"),(N395))))</formula>
    </cfRule>
  </conditionalFormatting>
  <conditionalFormatting sqref="N395:Q395 O388:Q388 O391:Q392">
    <cfRule type="containsText" dxfId="2" priority="51422" operator="containsText" text="Yes">
      <formula>NOT(ISERROR(SEARCH(("Yes"),(N395))))</formula>
    </cfRule>
  </conditionalFormatting>
  <conditionalFormatting sqref="N395:Q395 O388:Q388 O391:Q392">
    <cfRule type="containsText" dxfId="2" priority="51423" operator="containsText" text="Yes">
      <formula>NOT(ISERROR(SEARCH(("Yes"),(N395))))</formula>
    </cfRule>
  </conditionalFormatting>
  <conditionalFormatting sqref="N395:Q395 O388:Q388 O391:Q392">
    <cfRule type="containsText" dxfId="2" priority="51424" operator="containsText" text="Yes">
      <formula>NOT(ISERROR(SEARCH(("Yes"),(N395))))</formula>
    </cfRule>
  </conditionalFormatting>
  <conditionalFormatting sqref="N395:Q395 O388:Q388 O391:Q392">
    <cfRule type="containsText" dxfId="2" priority="51425" operator="containsText" text="Yes">
      <formula>NOT(ISERROR(SEARCH(("Yes"),(N395))))</formula>
    </cfRule>
  </conditionalFormatting>
  <conditionalFormatting sqref="N395:Q395 O388:Q388 O391:Q392">
    <cfRule type="containsText" dxfId="2" priority="51426" operator="containsText" text="Yes">
      <formula>NOT(ISERROR(SEARCH(("Yes"),(N395))))</formula>
    </cfRule>
  </conditionalFormatting>
  <conditionalFormatting sqref="N395:Q395 O388:Q388 O391:Q392">
    <cfRule type="containsText" dxfId="2" priority="51427" operator="containsText" text="Yes">
      <formula>NOT(ISERROR(SEARCH(("Yes"),(N395))))</formula>
    </cfRule>
  </conditionalFormatting>
  <conditionalFormatting sqref="N395:Q395 O388:Q388 O391:Q392">
    <cfRule type="containsText" dxfId="2" priority="51428" operator="containsText" text="Yes">
      <formula>NOT(ISERROR(SEARCH(("Yes"),(N395))))</formula>
    </cfRule>
  </conditionalFormatting>
  <conditionalFormatting sqref="N395:Q395 O388:Q388 O391:Q392">
    <cfRule type="containsText" dxfId="2" priority="51429" operator="containsText" text="Yes">
      <formula>NOT(ISERROR(SEARCH(("Yes"),(N395))))</formula>
    </cfRule>
  </conditionalFormatting>
  <conditionalFormatting sqref="N395:Q395 O388:Q388 O391:Q392">
    <cfRule type="containsText" dxfId="2" priority="51430" operator="containsText" text="Yes">
      <formula>NOT(ISERROR(SEARCH(("Yes"),(N395))))</formula>
    </cfRule>
  </conditionalFormatting>
  <conditionalFormatting sqref="N395:Q395 O388:Q388 O391:Q392">
    <cfRule type="containsText" dxfId="2" priority="51431" operator="containsText" text="Yes">
      <formula>NOT(ISERROR(SEARCH(("Yes"),(N395))))</formula>
    </cfRule>
  </conditionalFormatting>
  <conditionalFormatting sqref="N395:Q395 O388:Q388 O391:Q392">
    <cfRule type="containsText" dxfId="2" priority="51432" operator="containsText" text="Yes">
      <formula>NOT(ISERROR(SEARCH(("Yes"),(N395))))</formula>
    </cfRule>
  </conditionalFormatting>
  <conditionalFormatting sqref="N395:Q395 O388:Q388 O391:Q392">
    <cfRule type="containsText" dxfId="2" priority="51433" operator="containsText" text="Yes">
      <formula>NOT(ISERROR(SEARCH(("Yes"),(N395))))</formula>
    </cfRule>
  </conditionalFormatting>
  <conditionalFormatting sqref="N395:Q395 O388:Q388 O391:Q392">
    <cfRule type="containsText" dxfId="2" priority="51434" operator="containsText" text="Yes">
      <formula>NOT(ISERROR(SEARCH(("Yes"),(N395))))</formula>
    </cfRule>
  </conditionalFormatting>
  <conditionalFormatting sqref="N395:Q395 O388:Q388 O391:Q392">
    <cfRule type="containsText" dxfId="2" priority="51435" operator="containsText" text="Yes">
      <formula>NOT(ISERROR(SEARCH(("Yes"),(N395))))</formula>
    </cfRule>
  </conditionalFormatting>
  <conditionalFormatting sqref="N395:Q395 O388:Q388 O391:Q392">
    <cfRule type="containsText" dxfId="2" priority="51436" operator="containsText" text="Yes">
      <formula>NOT(ISERROR(SEARCH(("Yes"),(N395))))</formula>
    </cfRule>
  </conditionalFormatting>
  <conditionalFormatting sqref="N395:Q395 O388:Q388 O391:Q392">
    <cfRule type="containsText" dxfId="2" priority="51437" operator="containsText" text="Yes">
      <formula>NOT(ISERROR(SEARCH(("Yes"),(N395))))</formula>
    </cfRule>
  </conditionalFormatting>
  <conditionalFormatting sqref="N395:Q395 O388:Q388 O391:Q392">
    <cfRule type="containsText" dxfId="2" priority="51438" operator="containsText" text="Yes">
      <formula>NOT(ISERROR(SEARCH(("Yes"),(N395))))</formula>
    </cfRule>
  </conditionalFormatting>
  <conditionalFormatting sqref="N395:Q395 O388:Q388 O391:Q392">
    <cfRule type="containsText" dxfId="2" priority="51439" operator="containsText" text="Yes">
      <formula>NOT(ISERROR(SEARCH(("Yes"),(N395))))</formula>
    </cfRule>
  </conditionalFormatting>
  <conditionalFormatting sqref="N395:Q395 O388:Q388 O391:Q392">
    <cfRule type="containsText" dxfId="2" priority="51440" operator="containsText" text="Yes">
      <formula>NOT(ISERROR(SEARCH(("Yes"),(N395))))</formula>
    </cfRule>
  </conditionalFormatting>
  <conditionalFormatting sqref="N395:Q395 O388:Q388 O391:Q392">
    <cfRule type="containsText" dxfId="2" priority="51441" operator="containsText" text="Yes">
      <formula>NOT(ISERROR(SEARCH(("Yes"),(N395))))</formula>
    </cfRule>
  </conditionalFormatting>
  <conditionalFormatting sqref="N395:Q395 O388:Q388 O391:Q392">
    <cfRule type="containsText" dxfId="2" priority="51442" operator="containsText" text="Yes">
      <formula>NOT(ISERROR(SEARCH(("Yes"),(N395))))</formula>
    </cfRule>
  </conditionalFormatting>
  <conditionalFormatting sqref="N395:Q395 O388:Q388 O391:Q392">
    <cfRule type="containsText" dxfId="2" priority="51443" operator="containsText" text="Yes">
      <formula>NOT(ISERROR(SEARCH(("Yes"),(N395))))</formula>
    </cfRule>
  </conditionalFormatting>
  <conditionalFormatting sqref="N395:Q395 O388:Q388 O391:Q392">
    <cfRule type="containsText" dxfId="2" priority="51444" operator="containsText" text="Yes">
      <formula>NOT(ISERROR(SEARCH(("Yes"),(N395))))</formula>
    </cfRule>
  </conditionalFormatting>
  <conditionalFormatting sqref="N395:Q395 O388:Q388 O391:Q392">
    <cfRule type="containsText" dxfId="2" priority="51445" operator="containsText" text="Yes">
      <formula>NOT(ISERROR(SEARCH(("Yes"),(N395))))</formula>
    </cfRule>
  </conditionalFormatting>
  <conditionalFormatting sqref="N395:Q395 O388:Q388 O391:Q392">
    <cfRule type="containsText" dxfId="2" priority="51446" operator="containsText" text="Yes">
      <formula>NOT(ISERROR(SEARCH(("Yes"),(N395))))</formula>
    </cfRule>
  </conditionalFormatting>
  <conditionalFormatting sqref="N395:Q395 O388:Q388 O391:Q392">
    <cfRule type="containsText" dxfId="2" priority="51447" operator="containsText" text="Yes">
      <formula>NOT(ISERROR(SEARCH(("Yes"),(N395))))</formula>
    </cfRule>
  </conditionalFormatting>
  <conditionalFormatting sqref="N395:Q395 O388:Q388 O391:Q392">
    <cfRule type="containsText" dxfId="2" priority="51448" operator="containsText" text="Yes">
      <formula>NOT(ISERROR(SEARCH(("Yes"),(N395))))</formula>
    </cfRule>
  </conditionalFormatting>
  <conditionalFormatting sqref="N395:Q395 O388:Q388 O391:Q392">
    <cfRule type="containsText" dxfId="2" priority="51449" operator="containsText" text="Yes">
      <formula>NOT(ISERROR(SEARCH(("Yes"),(N395))))</formula>
    </cfRule>
  </conditionalFormatting>
  <conditionalFormatting sqref="N395:Q395 O388:Q388 O391:Q392">
    <cfRule type="containsText" dxfId="2" priority="51450" operator="containsText" text="Yes">
      <formula>NOT(ISERROR(SEARCH(("Yes"),(N395))))</formula>
    </cfRule>
  </conditionalFormatting>
  <conditionalFormatting sqref="N395:Q395 O388:Q388 O391:Q392">
    <cfRule type="containsText" dxfId="2" priority="51451" operator="containsText" text="Yes">
      <formula>NOT(ISERROR(SEARCH(("Yes"),(N395))))</formula>
    </cfRule>
  </conditionalFormatting>
  <conditionalFormatting sqref="N395:Q395 O388:Q388 O391:Q392">
    <cfRule type="containsText" dxfId="2" priority="51452" operator="containsText" text="Yes">
      <formula>NOT(ISERROR(SEARCH(("Yes"),(N395))))</formula>
    </cfRule>
  </conditionalFormatting>
  <conditionalFormatting sqref="N395:Q395 O388:Q388 O391:Q392">
    <cfRule type="containsText" dxfId="2" priority="51453" operator="containsText" text="Yes">
      <formula>NOT(ISERROR(SEARCH(("Yes"),(N395))))</formula>
    </cfRule>
  </conditionalFormatting>
  <conditionalFormatting sqref="O389:O390 O393:O394 O396 O399:O409">
    <cfRule type="containsText" dxfId="9" priority="51454" operator="containsText" text="No">
      <formula>NOT(ISERROR(SEARCH(("No"),(O389))))</formula>
    </cfRule>
  </conditionalFormatting>
  <conditionalFormatting sqref="O389:O390 O393:O394 O396 O399:O409">
    <cfRule type="containsText" dxfId="9" priority="51455" operator="containsText" text="No">
      <formula>NOT(ISERROR(SEARCH(("No"),(O389))))</formula>
    </cfRule>
  </conditionalFormatting>
  <conditionalFormatting sqref="O389:O390 O393:O394 O396 O399:O409">
    <cfRule type="containsText" dxfId="9" priority="51456" operator="containsText" text="No">
      <formula>NOT(ISERROR(SEARCH(("No"),(O389))))</formula>
    </cfRule>
  </conditionalFormatting>
  <conditionalFormatting sqref="O389:O390 O393:O394 O396 O399:O409">
    <cfRule type="containsText" dxfId="2" priority="51457" operator="containsText" text="Yes">
      <formula>NOT(ISERROR(SEARCH(("Yes"),(O389))))</formula>
    </cfRule>
  </conditionalFormatting>
  <conditionalFormatting sqref="O389:O390 O393:O394 O396 O399:O409">
    <cfRule type="containsText" dxfId="2" priority="51458" operator="containsText" text="Yes">
      <formula>NOT(ISERROR(SEARCH(("Yes"),(O389))))</formula>
    </cfRule>
  </conditionalFormatting>
  <conditionalFormatting sqref="O389:O390 O393:O394 O396 O399:O409">
    <cfRule type="containsText" dxfId="2" priority="51459" operator="containsText" text="Yes">
      <formula>NOT(ISERROR(SEARCH(("Yes"),(O389))))</formula>
    </cfRule>
  </conditionalFormatting>
  <conditionalFormatting sqref="O389:O390 O393:O394 O396 O399:O409">
    <cfRule type="containsText" dxfId="2" priority="51460" operator="containsText" text="Yes">
      <formula>NOT(ISERROR(SEARCH(("Yes"),(O389))))</formula>
    </cfRule>
  </conditionalFormatting>
  <conditionalFormatting sqref="O389:O390 O393:O394 O396 O399:O409">
    <cfRule type="containsText" dxfId="2" priority="51461" operator="containsText" text="Yes">
      <formula>NOT(ISERROR(SEARCH(("Yes"),(O389))))</formula>
    </cfRule>
  </conditionalFormatting>
  <conditionalFormatting sqref="O389:O390 O393:O394 O396 O399:O409">
    <cfRule type="containsText" dxfId="9" priority="51462" operator="containsText" text="No">
      <formula>NOT(ISERROR(SEARCH(("No"),(O389))))</formula>
    </cfRule>
  </conditionalFormatting>
  <conditionalFormatting sqref="O389:O390 O393:O394 O396 O399:O409">
    <cfRule type="containsText" dxfId="9" priority="51463" operator="containsText" text="No">
      <formula>NOT(ISERROR(SEARCH(("No"),(O389))))</formula>
    </cfRule>
  </conditionalFormatting>
  <conditionalFormatting sqref="O389:O390 O393:O394 O396 O399:O409">
    <cfRule type="containsText" dxfId="2" priority="51464" operator="containsText" text="Yes">
      <formula>NOT(ISERROR(SEARCH(("Yes"),(O389))))</formula>
    </cfRule>
  </conditionalFormatting>
  <conditionalFormatting sqref="P389:Q390 P393:Q394 P396:Q396 P399:Q409">
    <cfRule type="containsText" dxfId="9" priority="51465" operator="containsText" text="No">
      <formula>NOT(ISERROR(SEARCH(("No"),(P389))))</formula>
    </cfRule>
  </conditionalFormatting>
  <conditionalFormatting sqref="P389:Q390 P393:Q394 P396:Q396 P399:Q409">
    <cfRule type="containsText" dxfId="9" priority="51466" operator="containsText" text="No">
      <formula>NOT(ISERROR(SEARCH(("No"),(P389))))</formula>
    </cfRule>
  </conditionalFormatting>
  <conditionalFormatting sqref="P389:Q390 P393:Q394 P396:Q396 P399:Q409">
    <cfRule type="containsText" dxfId="9" priority="51467" operator="containsText" text="No">
      <formula>NOT(ISERROR(SEARCH(("No"),(P389))))</formula>
    </cfRule>
  </conditionalFormatting>
  <conditionalFormatting sqref="P389:Q390 P393:Q394 P396:Q396 P399:Q409">
    <cfRule type="containsText" dxfId="9" priority="51468" operator="containsText" text="No">
      <formula>NOT(ISERROR(SEARCH(("No"),(P389))))</formula>
    </cfRule>
  </conditionalFormatting>
  <conditionalFormatting sqref="P389:Q390 P393:Q394 P396:Q396 P399:Q409">
    <cfRule type="containsText" dxfId="9" priority="51469" operator="containsText" text="No">
      <formula>NOT(ISERROR(SEARCH(("No"),(P389))))</formula>
    </cfRule>
  </conditionalFormatting>
  <conditionalFormatting sqref="P389:Q390 P393:Q394 P396:Q396 P399:Q409">
    <cfRule type="containsText" dxfId="9" priority="51470" operator="containsText" text="No">
      <formula>NOT(ISERROR(SEARCH(("No"),(P389))))</formula>
    </cfRule>
  </conditionalFormatting>
  <conditionalFormatting sqref="P389:Q390 P393:Q394 P396:Q396 P399:Q409">
    <cfRule type="containsText" dxfId="9" priority="51471" operator="containsText" text="No">
      <formula>NOT(ISERROR(SEARCH(("No"),(P389))))</formula>
    </cfRule>
  </conditionalFormatting>
  <conditionalFormatting sqref="P389:Q390 P393:Q394 P396:Q396 P399:Q409">
    <cfRule type="containsText" dxfId="9" priority="51472" operator="containsText" text="No">
      <formula>NOT(ISERROR(SEARCH(("No"),(P389))))</formula>
    </cfRule>
  </conditionalFormatting>
  <conditionalFormatting sqref="P389:Q390 P393:Q394 P396:Q396 P399:Q409">
    <cfRule type="containsText" dxfId="9" priority="51473" operator="containsText" text="No">
      <formula>NOT(ISERROR(SEARCH(("No"),(P389))))</formula>
    </cfRule>
  </conditionalFormatting>
  <conditionalFormatting sqref="P389:Q390 P393:Q394 P396:Q396 P399:Q409">
    <cfRule type="containsText" dxfId="9" priority="51474" operator="containsText" text="No">
      <formula>NOT(ISERROR(SEARCH(("No"),(P389))))</formula>
    </cfRule>
  </conditionalFormatting>
  <conditionalFormatting sqref="P389:Q390 P393:Q394 P396:Q396 P399:Q409">
    <cfRule type="containsText" dxfId="9" priority="51475" operator="containsText" text="No">
      <formula>NOT(ISERROR(SEARCH(("No"),(P389))))</formula>
    </cfRule>
  </conditionalFormatting>
  <conditionalFormatting sqref="P389:Q390 P393:Q394 P396:Q396 P399:Q409">
    <cfRule type="containsText" dxfId="9" priority="51476" operator="containsText" text="No">
      <formula>NOT(ISERROR(SEARCH(("No"),(P389))))</formula>
    </cfRule>
  </conditionalFormatting>
  <conditionalFormatting sqref="P389:Q390 P393:Q394 P396:Q396 P399:Q409">
    <cfRule type="containsText" dxfId="9" priority="51477" operator="containsText" text="No">
      <formula>NOT(ISERROR(SEARCH(("No"),(P389))))</formula>
    </cfRule>
  </conditionalFormatting>
  <conditionalFormatting sqref="P389:Q390 P393:Q394 P396:Q396 P399:Q409">
    <cfRule type="containsText" dxfId="9" priority="51478" operator="containsText" text="No">
      <formula>NOT(ISERROR(SEARCH(("No"),(P389))))</formula>
    </cfRule>
  </conditionalFormatting>
  <conditionalFormatting sqref="P389:Q390 P393:Q394 P396:Q396 P399:Q409">
    <cfRule type="containsText" dxfId="9" priority="51479" operator="containsText" text="No">
      <formula>NOT(ISERROR(SEARCH(("No"),(P389))))</formula>
    </cfRule>
  </conditionalFormatting>
  <conditionalFormatting sqref="P389:Q390 P393:Q394 P396:Q396 P399:Q409">
    <cfRule type="containsText" dxfId="9" priority="51480" operator="containsText" text="No">
      <formula>NOT(ISERROR(SEARCH(("No"),(P389))))</formula>
    </cfRule>
  </conditionalFormatting>
  <conditionalFormatting sqref="P389:Q390 P393:Q394 P396:Q396 P399:Q409">
    <cfRule type="containsText" dxfId="9" priority="51481" operator="containsText" text="No">
      <formula>NOT(ISERROR(SEARCH(("No"),(P389))))</formula>
    </cfRule>
  </conditionalFormatting>
  <conditionalFormatting sqref="P389:Q390 P393:Q394 P396:Q396 P399:Q409">
    <cfRule type="containsText" dxfId="9" priority="51482" operator="containsText" text="No">
      <formula>NOT(ISERROR(SEARCH(("No"),(P389))))</formula>
    </cfRule>
  </conditionalFormatting>
  <conditionalFormatting sqref="P389:Q390 P393:Q394 P396:Q396 P399:Q409">
    <cfRule type="containsText" dxfId="9" priority="51483" operator="containsText" text="No">
      <formula>NOT(ISERROR(SEARCH(("No"),(P389))))</formula>
    </cfRule>
  </conditionalFormatting>
  <conditionalFormatting sqref="P389:Q390 P393:Q394 P396:Q396 P399:Q409">
    <cfRule type="containsText" dxfId="9" priority="51484" operator="containsText" text="No">
      <formula>NOT(ISERROR(SEARCH(("No"),(P389))))</formula>
    </cfRule>
  </conditionalFormatting>
  <conditionalFormatting sqref="P389:Q390 P393:Q394 P396:Q396 P399:Q409">
    <cfRule type="containsText" dxfId="9" priority="51485" operator="containsText" text="No">
      <formula>NOT(ISERROR(SEARCH(("No"),(P389))))</formula>
    </cfRule>
  </conditionalFormatting>
  <conditionalFormatting sqref="P389:Q390 P393:Q394 P396:Q396 P399:Q409">
    <cfRule type="containsText" dxfId="9" priority="51486" operator="containsText" text="No">
      <formula>NOT(ISERROR(SEARCH(("No"),(P389))))</formula>
    </cfRule>
  </conditionalFormatting>
  <conditionalFormatting sqref="P389:Q390 P393:Q394 P396:Q396 P399:Q409">
    <cfRule type="containsText" dxfId="9" priority="51487" operator="containsText" text="No">
      <formula>NOT(ISERROR(SEARCH(("No"),(P389))))</formula>
    </cfRule>
  </conditionalFormatting>
  <conditionalFormatting sqref="P389:Q390 P393:Q394 P396:Q396 P399:Q409">
    <cfRule type="containsText" dxfId="9" priority="51488" operator="containsText" text="No">
      <formula>NOT(ISERROR(SEARCH(("No"),(P389))))</formula>
    </cfRule>
  </conditionalFormatting>
  <conditionalFormatting sqref="P389:Q390 P393:Q394 P396:Q396 P399:Q409">
    <cfRule type="containsText" dxfId="9" priority="51489" operator="containsText" text="No">
      <formula>NOT(ISERROR(SEARCH(("No"),(P389))))</formula>
    </cfRule>
  </conditionalFormatting>
  <conditionalFormatting sqref="P389:Q390 P393:Q394 P396:Q396 P399:Q409">
    <cfRule type="containsText" dxfId="9" priority="51490" operator="containsText" text="No">
      <formula>NOT(ISERROR(SEARCH(("No"),(P389))))</formula>
    </cfRule>
  </conditionalFormatting>
  <conditionalFormatting sqref="P389:Q390 P393:Q394 P396:Q396 P399:Q409">
    <cfRule type="containsText" dxfId="9" priority="51491" operator="containsText" text="No">
      <formula>NOT(ISERROR(SEARCH(("No"),(P389))))</formula>
    </cfRule>
  </conditionalFormatting>
  <conditionalFormatting sqref="P389:Q390 P393:Q394 P396:Q396 P399:Q409">
    <cfRule type="containsText" dxfId="9" priority="51492" operator="containsText" text="No">
      <formula>NOT(ISERROR(SEARCH(("No"),(P389))))</formula>
    </cfRule>
  </conditionalFormatting>
  <conditionalFormatting sqref="P389:Q390 P393:Q394 P396:Q396 P399:Q409">
    <cfRule type="containsText" dxfId="9" priority="51493" operator="containsText" text="No">
      <formula>NOT(ISERROR(SEARCH(("No"),(P389))))</formula>
    </cfRule>
  </conditionalFormatting>
  <conditionalFormatting sqref="P389:Q390 P393:Q394 P396:Q396 P399:Q409">
    <cfRule type="containsText" dxfId="9" priority="51494" operator="containsText" text="No">
      <formula>NOT(ISERROR(SEARCH(("No"),(P389))))</formula>
    </cfRule>
  </conditionalFormatting>
  <conditionalFormatting sqref="P389:Q390 P393:Q394 P396:Q396 P399:Q409">
    <cfRule type="containsText" dxfId="9" priority="51495" operator="containsText" text="No">
      <formula>NOT(ISERROR(SEARCH(("No"),(P389))))</formula>
    </cfRule>
  </conditionalFormatting>
  <conditionalFormatting sqref="P389:Q390 P393:Q394 P396:Q396 P399:Q409">
    <cfRule type="containsText" dxfId="9" priority="51496" operator="containsText" text="No">
      <formula>NOT(ISERROR(SEARCH(("No"),(P389))))</formula>
    </cfRule>
  </conditionalFormatting>
  <conditionalFormatting sqref="P389:Q390 P393:Q394 P396:Q396 P399:Q409">
    <cfRule type="containsText" dxfId="9" priority="51497" operator="containsText" text="No">
      <formula>NOT(ISERROR(SEARCH(("No"),(P389))))</formula>
    </cfRule>
  </conditionalFormatting>
  <conditionalFormatting sqref="P389:Q390 P393:Q394 P396:Q396 P399:Q409">
    <cfRule type="containsText" dxfId="9" priority="51498" operator="containsText" text="No">
      <formula>NOT(ISERROR(SEARCH(("No"),(P389))))</formula>
    </cfRule>
  </conditionalFormatting>
  <conditionalFormatting sqref="P389:Q390 P393:Q394 P396:Q396 P399:Q409">
    <cfRule type="containsText" dxfId="9" priority="51499" operator="containsText" text="No">
      <formula>NOT(ISERROR(SEARCH(("No"),(P389))))</formula>
    </cfRule>
  </conditionalFormatting>
  <conditionalFormatting sqref="P389:Q390 P393:Q394 P396:Q396 P399:Q409">
    <cfRule type="containsText" dxfId="9" priority="51500" operator="containsText" text="No">
      <formula>NOT(ISERROR(SEARCH(("No"),(P389))))</formula>
    </cfRule>
  </conditionalFormatting>
  <conditionalFormatting sqref="P389:Q390 P393:Q394 P396:Q396 P399:Q409">
    <cfRule type="containsText" dxfId="9" priority="51501" operator="containsText" text="No">
      <formula>NOT(ISERROR(SEARCH(("No"),(P389))))</formula>
    </cfRule>
  </conditionalFormatting>
  <conditionalFormatting sqref="P389:Q390 P393:Q394 P396:Q396 P399:Q409">
    <cfRule type="containsText" dxfId="9" priority="51502" operator="containsText" text="No">
      <formula>NOT(ISERROR(SEARCH(("No"),(P389))))</formula>
    </cfRule>
  </conditionalFormatting>
  <conditionalFormatting sqref="P389:Q390 P393:Q394 P396:Q396 P399:Q409">
    <cfRule type="containsText" dxfId="9" priority="51503" operator="containsText" text="No">
      <formula>NOT(ISERROR(SEARCH(("No"),(P389))))</formula>
    </cfRule>
  </conditionalFormatting>
  <conditionalFormatting sqref="P389:Q390 P393:Q394 P396:Q396 P399:Q409">
    <cfRule type="containsText" dxfId="9" priority="51504" operator="containsText" text="No">
      <formula>NOT(ISERROR(SEARCH(("No"),(P389))))</formula>
    </cfRule>
  </conditionalFormatting>
  <conditionalFormatting sqref="P389:Q390 P393:Q394 P396:Q396 P399:Q409">
    <cfRule type="containsText" dxfId="9" priority="51505" operator="containsText" text="No">
      <formula>NOT(ISERROR(SEARCH(("No"),(P389))))</formula>
    </cfRule>
  </conditionalFormatting>
  <conditionalFormatting sqref="P389:Q390 P393:Q394 P396:Q396 P399:Q409">
    <cfRule type="containsText" dxfId="9" priority="51506" operator="containsText" text="No">
      <formula>NOT(ISERROR(SEARCH(("No"),(P389))))</formula>
    </cfRule>
  </conditionalFormatting>
  <conditionalFormatting sqref="P389:Q390 P393:Q394 P396:Q396 P399:Q409">
    <cfRule type="containsText" dxfId="9" priority="51507" operator="containsText" text="No">
      <formula>NOT(ISERROR(SEARCH(("No"),(P389))))</formula>
    </cfRule>
  </conditionalFormatting>
  <conditionalFormatting sqref="P389:Q390 P393:Q394 P396:Q396 P399:Q409">
    <cfRule type="containsText" dxfId="9" priority="51508" operator="containsText" text="No">
      <formula>NOT(ISERROR(SEARCH(("No"),(P389))))</formula>
    </cfRule>
  </conditionalFormatting>
  <conditionalFormatting sqref="P389:Q390 P393:Q394 P396:Q396 P399:Q409">
    <cfRule type="containsText" dxfId="9" priority="51509" operator="containsText" text="No">
      <formula>NOT(ISERROR(SEARCH(("No"),(P389))))</formula>
    </cfRule>
  </conditionalFormatting>
  <conditionalFormatting sqref="P389:Q390 P393:Q394 P396:Q396 P399:Q409">
    <cfRule type="containsText" dxfId="2" priority="51510" operator="containsText" text="Yes">
      <formula>NOT(ISERROR(SEARCH(("Yes"),(P389))))</formula>
    </cfRule>
  </conditionalFormatting>
  <conditionalFormatting sqref="P389:Q390 P393:Q394 P396:Q396 P399:Q409">
    <cfRule type="containsText" dxfId="2" priority="51511" operator="containsText" text="Yes">
      <formula>NOT(ISERROR(SEARCH(("Yes"),(P389))))</formula>
    </cfRule>
  </conditionalFormatting>
  <conditionalFormatting sqref="P389:Q390 P393:Q394 P396:Q396 P399:Q409">
    <cfRule type="containsText" dxfId="2" priority="51512" operator="containsText" text="Yes">
      <formula>NOT(ISERROR(SEARCH(("Yes"),(P389))))</formula>
    </cfRule>
  </conditionalFormatting>
  <conditionalFormatting sqref="P389:Q390 P393:Q394 P396:Q396 P399:Q409">
    <cfRule type="containsText" dxfId="2" priority="51513" operator="containsText" text="Yes">
      <formula>NOT(ISERROR(SEARCH(("Yes"),(P389))))</formula>
    </cfRule>
  </conditionalFormatting>
  <conditionalFormatting sqref="P389:Q390 P393:Q394 P396:Q396 P399:Q409">
    <cfRule type="containsText" dxfId="2" priority="51514" operator="containsText" text="Yes">
      <formula>NOT(ISERROR(SEARCH(("Yes"),(P389))))</formula>
    </cfRule>
  </conditionalFormatting>
  <conditionalFormatting sqref="P389:Q390 P393:Q394 P396:Q396 P399:Q409">
    <cfRule type="containsText" dxfId="2" priority="51515" operator="containsText" text="Yes">
      <formula>NOT(ISERROR(SEARCH(("Yes"),(P389))))</formula>
    </cfRule>
  </conditionalFormatting>
  <conditionalFormatting sqref="P389:Q390 P393:Q394 P396:Q396 P399:Q409">
    <cfRule type="containsText" dxfId="2" priority="51516" operator="containsText" text="Yes">
      <formula>NOT(ISERROR(SEARCH(("Yes"),(P389))))</formula>
    </cfRule>
  </conditionalFormatting>
  <conditionalFormatting sqref="P389:Q390 P393:Q394 P396:Q396 P399:Q409">
    <cfRule type="containsText" dxfId="2" priority="51517" operator="containsText" text="Yes">
      <formula>NOT(ISERROR(SEARCH(("Yes"),(P389))))</formula>
    </cfRule>
  </conditionalFormatting>
  <conditionalFormatting sqref="P389:Q390 P393:Q394 P396:Q396 P399:Q409">
    <cfRule type="containsText" dxfId="2" priority="51518" operator="containsText" text="Yes">
      <formula>NOT(ISERROR(SEARCH(("Yes"),(P389))))</formula>
    </cfRule>
  </conditionalFormatting>
  <conditionalFormatting sqref="P389:Q390 P393:Q394 P396:Q396 P399:Q409">
    <cfRule type="containsText" dxfId="2" priority="51519" operator="containsText" text="Yes">
      <formula>NOT(ISERROR(SEARCH(("Yes"),(P389))))</formula>
    </cfRule>
  </conditionalFormatting>
  <conditionalFormatting sqref="P389:Q390 P393:Q394 P396:Q396 P399:Q409">
    <cfRule type="containsText" dxfId="2" priority="51520" operator="containsText" text="Yes">
      <formula>NOT(ISERROR(SEARCH(("Yes"),(P389))))</formula>
    </cfRule>
  </conditionalFormatting>
  <conditionalFormatting sqref="P389:Q390 P393:Q394 P396:Q396 P399:Q409">
    <cfRule type="containsText" dxfId="2" priority="51521" operator="containsText" text="Yes">
      <formula>NOT(ISERROR(SEARCH(("Yes"),(P389))))</formula>
    </cfRule>
  </conditionalFormatting>
  <conditionalFormatting sqref="P389:Q390 P393:Q394 P396:Q396 P399:Q409">
    <cfRule type="containsText" dxfId="2" priority="51522" operator="containsText" text="Yes">
      <formula>NOT(ISERROR(SEARCH(("Yes"),(P389))))</formula>
    </cfRule>
  </conditionalFormatting>
  <conditionalFormatting sqref="P389:Q390 P393:Q394 P396:Q396 P399:Q409">
    <cfRule type="containsText" dxfId="2" priority="51523" operator="containsText" text="Yes">
      <formula>NOT(ISERROR(SEARCH(("Yes"),(P389))))</formula>
    </cfRule>
  </conditionalFormatting>
  <conditionalFormatting sqref="P389:Q390 P393:Q394 P396:Q396 P399:Q409">
    <cfRule type="containsText" dxfId="2" priority="51524" operator="containsText" text="Yes">
      <formula>NOT(ISERROR(SEARCH(("Yes"),(P389))))</formula>
    </cfRule>
  </conditionalFormatting>
  <conditionalFormatting sqref="P389:Q390 P393:Q394 P396:Q396 P399:Q409">
    <cfRule type="containsText" dxfId="2" priority="51525" operator="containsText" text="Yes">
      <formula>NOT(ISERROR(SEARCH(("Yes"),(P389))))</formula>
    </cfRule>
  </conditionalFormatting>
  <conditionalFormatting sqref="P389:Q390 P393:Q394 P396:Q396 P399:Q409">
    <cfRule type="containsText" dxfId="2" priority="51526" operator="containsText" text="Yes">
      <formula>NOT(ISERROR(SEARCH(("Yes"),(P389))))</formula>
    </cfRule>
  </conditionalFormatting>
  <conditionalFormatting sqref="P389:Q390 P393:Q394 P396:Q396 P399:Q409">
    <cfRule type="containsText" dxfId="2" priority="51527" operator="containsText" text="Yes">
      <formula>NOT(ISERROR(SEARCH(("Yes"),(P389))))</formula>
    </cfRule>
  </conditionalFormatting>
  <conditionalFormatting sqref="P389:Q390 P393:Q394 P396:Q396 P399:Q409">
    <cfRule type="containsText" dxfId="2" priority="51528" operator="containsText" text="Yes">
      <formula>NOT(ISERROR(SEARCH(("Yes"),(P389))))</formula>
    </cfRule>
  </conditionalFormatting>
  <conditionalFormatting sqref="P389:Q390 P393:Q394 P396:Q396 P399:Q409">
    <cfRule type="containsText" dxfId="2" priority="51529" operator="containsText" text="Yes">
      <formula>NOT(ISERROR(SEARCH(("Yes"),(P389))))</formula>
    </cfRule>
  </conditionalFormatting>
  <conditionalFormatting sqref="P389:Q390 P393:Q394 P396:Q396 P399:Q409">
    <cfRule type="containsText" dxfId="2" priority="51530" operator="containsText" text="Yes">
      <formula>NOT(ISERROR(SEARCH(("Yes"),(P389))))</formula>
    </cfRule>
  </conditionalFormatting>
  <conditionalFormatting sqref="P389:Q390 P393:Q394 P396:Q396 P399:Q409">
    <cfRule type="containsText" dxfId="2" priority="51531" operator="containsText" text="Yes">
      <formula>NOT(ISERROR(SEARCH(("Yes"),(P389))))</formula>
    </cfRule>
  </conditionalFormatting>
  <conditionalFormatting sqref="P389:Q390 P393:Q394 P396:Q396 P399:Q409">
    <cfRule type="containsText" dxfId="2" priority="51532" operator="containsText" text="Yes">
      <formula>NOT(ISERROR(SEARCH(("Yes"),(P389))))</formula>
    </cfRule>
  </conditionalFormatting>
  <conditionalFormatting sqref="P389:Q390 P393:Q394 P396:Q396 P399:Q409">
    <cfRule type="containsText" dxfId="2" priority="51533" operator="containsText" text="Yes">
      <formula>NOT(ISERROR(SEARCH(("Yes"),(P389))))</formula>
    </cfRule>
  </conditionalFormatting>
  <conditionalFormatting sqref="P389:Q390 P393:Q394 P396:Q396 P399:Q409">
    <cfRule type="containsText" dxfId="2" priority="51534" operator="containsText" text="Yes">
      <formula>NOT(ISERROR(SEARCH(("Yes"),(P389))))</formula>
    </cfRule>
  </conditionalFormatting>
  <conditionalFormatting sqref="P389:Q390 P393:Q394 P396:Q396 P399:Q409">
    <cfRule type="containsText" dxfId="2" priority="51535" operator="containsText" text="Yes">
      <formula>NOT(ISERROR(SEARCH(("Yes"),(P389))))</formula>
    </cfRule>
  </conditionalFormatting>
  <conditionalFormatting sqref="P389:Q390 P393:Q394 P396:Q396 P399:Q409">
    <cfRule type="containsText" dxfId="2" priority="51536" operator="containsText" text="Yes">
      <formula>NOT(ISERROR(SEARCH(("Yes"),(P389))))</formula>
    </cfRule>
  </conditionalFormatting>
  <conditionalFormatting sqref="P389:Q390 P393:Q394 P396:Q396 P399:Q409">
    <cfRule type="containsText" dxfId="2" priority="51537" operator="containsText" text="Yes">
      <formula>NOT(ISERROR(SEARCH(("Yes"),(P389))))</formula>
    </cfRule>
  </conditionalFormatting>
  <conditionalFormatting sqref="P389:Q390 P393:Q394 P396:Q396 P399:Q409">
    <cfRule type="containsText" dxfId="2" priority="51538" operator="containsText" text="Yes">
      <formula>NOT(ISERROR(SEARCH(("Yes"),(P389))))</formula>
    </cfRule>
  </conditionalFormatting>
  <conditionalFormatting sqref="P389:Q390 P393:Q394 P396:Q396 P399:Q409">
    <cfRule type="containsText" dxfId="2" priority="51539" operator="containsText" text="Yes">
      <formula>NOT(ISERROR(SEARCH(("Yes"),(P389))))</formula>
    </cfRule>
  </conditionalFormatting>
  <conditionalFormatting sqref="P389:Q390 P393:Q394 P396:Q396 P399:Q409">
    <cfRule type="containsText" dxfId="2" priority="51540" operator="containsText" text="Yes">
      <formula>NOT(ISERROR(SEARCH(("Yes"),(P389))))</formula>
    </cfRule>
  </conditionalFormatting>
  <conditionalFormatting sqref="P389:Q390 P393:Q394 P396:Q396 P399:Q409">
    <cfRule type="containsText" dxfId="2" priority="51541" operator="containsText" text="Yes">
      <formula>NOT(ISERROR(SEARCH(("Yes"),(P389))))</formula>
    </cfRule>
  </conditionalFormatting>
  <conditionalFormatting sqref="P389:Q390 P393:Q394 P396:Q396 P399:Q409">
    <cfRule type="containsText" dxfId="2" priority="51542" operator="containsText" text="Yes">
      <formula>NOT(ISERROR(SEARCH(("Yes"),(P389))))</formula>
    </cfRule>
  </conditionalFormatting>
  <conditionalFormatting sqref="P389:Q390 P393:Q394 P396:Q396 P399:Q409">
    <cfRule type="containsText" dxfId="2" priority="51543" operator="containsText" text="Yes">
      <formula>NOT(ISERROR(SEARCH(("Yes"),(P389))))</formula>
    </cfRule>
  </conditionalFormatting>
  <conditionalFormatting sqref="P389:Q390 P393:Q394 P396:Q396 P399:Q409">
    <cfRule type="containsText" dxfId="2" priority="51544" operator="containsText" text="Yes">
      <formula>NOT(ISERROR(SEARCH(("Yes"),(P389))))</formula>
    </cfRule>
  </conditionalFormatting>
  <conditionalFormatting sqref="P389:Q390 P393:Q394 P396:Q396 P399:Q409">
    <cfRule type="containsText" dxfId="2" priority="51545" operator="containsText" text="Yes">
      <formula>NOT(ISERROR(SEARCH(("Yes"),(P389))))</formula>
    </cfRule>
  </conditionalFormatting>
  <conditionalFormatting sqref="P389:Q390 P393:Q394 P396:Q396 P399:Q409">
    <cfRule type="containsText" dxfId="2" priority="51546" operator="containsText" text="Yes">
      <formula>NOT(ISERROR(SEARCH(("Yes"),(P389))))</formula>
    </cfRule>
  </conditionalFormatting>
  <conditionalFormatting sqref="P389:Q390 P393:Q394 P396:Q396 P399:Q409">
    <cfRule type="containsText" dxfId="2" priority="51547" operator="containsText" text="Yes">
      <formula>NOT(ISERROR(SEARCH(("Yes"),(P389))))</formula>
    </cfRule>
  </conditionalFormatting>
  <conditionalFormatting sqref="P389:Q390 P393:Q394 P396:Q396 P399:Q409">
    <cfRule type="containsText" dxfId="2" priority="51548" operator="containsText" text="Yes">
      <formula>NOT(ISERROR(SEARCH(("Yes"),(P389))))</formula>
    </cfRule>
  </conditionalFormatting>
  <conditionalFormatting sqref="P389:Q390 P393:Q394 P396:Q396 P399:Q409">
    <cfRule type="containsText" dxfId="2" priority="51549" operator="containsText" text="Yes">
      <formula>NOT(ISERROR(SEARCH(("Yes"),(P389))))</formula>
    </cfRule>
  </conditionalFormatting>
  <conditionalFormatting sqref="P389:Q390 P393:Q394 P396:Q396 P399:Q409">
    <cfRule type="containsText" dxfId="2" priority="51550" operator="containsText" text="Yes">
      <formula>NOT(ISERROR(SEARCH(("Yes"),(P389))))</formula>
    </cfRule>
  </conditionalFormatting>
  <conditionalFormatting sqref="P389:Q390 P393:Q394 P396:Q396 P399:Q409">
    <cfRule type="containsText" dxfId="2" priority="51551" operator="containsText" text="Yes">
      <formula>NOT(ISERROR(SEARCH(("Yes"),(P389))))</formula>
    </cfRule>
  </conditionalFormatting>
  <conditionalFormatting sqref="P389:Q390 P393:Q394 P396:Q396 P399:Q409">
    <cfRule type="containsText" dxfId="2" priority="51552" operator="containsText" text="Yes">
      <formula>NOT(ISERROR(SEARCH(("Yes"),(P389))))</formula>
    </cfRule>
  </conditionalFormatting>
  <conditionalFormatting sqref="P389:Q390 P393:Q394 P396:Q396 P399:Q409">
    <cfRule type="containsText" dxfId="2" priority="51553" operator="containsText" text="Yes">
      <formula>NOT(ISERROR(SEARCH(("Yes"),(P389))))</formula>
    </cfRule>
  </conditionalFormatting>
  <conditionalFormatting sqref="P389:Q390 P393:Q394 P396:Q396 P399:Q409">
    <cfRule type="containsText" dxfId="2" priority="51554" operator="containsText" text="Yes">
      <formula>NOT(ISERROR(SEARCH(("Yes"),(P389))))</formula>
    </cfRule>
  </conditionalFormatting>
  <conditionalFormatting sqref="P389:Q390 P393:Q394 P396:Q396 P399:Q409">
    <cfRule type="containsText" dxfId="2" priority="51555" operator="containsText" text="Yes">
      <formula>NOT(ISERROR(SEARCH(("Yes"),(P389))))</formula>
    </cfRule>
  </conditionalFormatting>
  <conditionalFormatting sqref="P389:Q390 P393:Q394 P396:Q396 P399:Q409">
    <cfRule type="containsText" dxfId="2" priority="51556" operator="containsText" text="Yes">
      <formula>NOT(ISERROR(SEARCH(("Yes"),(P389))))</formula>
    </cfRule>
  </conditionalFormatting>
  <conditionalFormatting sqref="P390:Q390">
    <cfRule type="containsText" dxfId="9" priority="51557" operator="containsText" text="No">
      <formula>NOT(ISERROR(SEARCH(("No"),(P390))))</formula>
    </cfRule>
  </conditionalFormatting>
  <conditionalFormatting sqref="P390:Q390">
    <cfRule type="containsText" dxfId="9" priority="51558" operator="containsText" text="No">
      <formula>NOT(ISERROR(SEARCH(("No"),(P390))))</formula>
    </cfRule>
  </conditionalFormatting>
  <conditionalFormatting sqref="P390:Q390">
    <cfRule type="containsText" dxfId="9" priority="51559" operator="containsText" text="No">
      <formula>NOT(ISERROR(SEARCH(("No"),(P390))))</formula>
    </cfRule>
  </conditionalFormatting>
  <conditionalFormatting sqref="P390:Q390">
    <cfRule type="containsText" dxfId="9" priority="51560" operator="containsText" text="No">
      <formula>NOT(ISERROR(SEARCH(("No"),(P390))))</formula>
    </cfRule>
  </conditionalFormatting>
  <conditionalFormatting sqref="P390:Q390">
    <cfRule type="containsText" dxfId="9" priority="51561" operator="containsText" text="No">
      <formula>NOT(ISERROR(SEARCH(("No"),(P390))))</formula>
    </cfRule>
  </conditionalFormatting>
  <conditionalFormatting sqref="P390:Q390">
    <cfRule type="containsText" dxfId="9" priority="51562" operator="containsText" text="No">
      <formula>NOT(ISERROR(SEARCH(("No"),(P390))))</formula>
    </cfRule>
  </conditionalFormatting>
  <conditionalFormatting sqref="P390:Q390">
    <cfRule type="containsText" dxfId="9" priority="51563" operator="containsText" text="No">
      <formula>NOT(ISERROR(SEARCH(("No"),(P390))))</formula>
    </cfRule>
  </conditionalFormatting>
  <conditionalFormatting sqref="P390:Q390">
    <cfRule type="containsText" dxfId="9" priority="51564" operator="containsText" text="No">
      <formula>NOT(ISERROR(SEARCH(("No"),(P390))))</formula>
    </cfRule>
  </conditionalFormatting>
  <conditionalFormatting sqref="P390:Q390">
    <cfRule type="containsText" dxfId="9" priority="51565" operator="containsText" text="No">
      <formula>NOT(ISERROR(SEARCH(("No"),(P390))))</formula>
    </cfRule>
  </conditionalFormatting>
  <conditionalFormatting sqref="P390:Q390">
    <cfRule type="containsText" dxfId="9" priority="51566" operator="containsText" text="No">
      <formula>NOT(ISERROR(SEARCH(("No"),(P390))))</formula>
    </cfRule>
  </conditionalFormatting>
  <conditionalFormatting sqref="P390:Q390">
    <cfRule type="containsText" dxfId="9" priority="51567" operator="containsText" text="No">
      <formula>NOT(ISERROR(SEARCH(("No"),(P390))))</formula>
    </cfRule>
  </conditionalFormatting>
  <conditionalFormatting sqref="P390:Q390">
    <cfRule type="containsText" dxfId="9" priority="51568" operator="containsText" text="No">
      <formula>NOT(ISERROR(SEARCH(("No"),(P390))))</formula>
    </cfRule>
  </conditionalFormatting>
  <conditionalFormatting sqref="P390:Q390">
    <cfRule type="containsText" dxfId="9" priority="51569" operator="containsText" text="No">
      <formula>NOT(ISERROR(SEARCH(("No"),(P390))))</formula>
    </cfRule>
  </conditionalFormatting>
  <conditionalFormatting sqref="P390:Q390">
    <cfRule type="containsText" dxfId="9" priority="51570" operator="containsText" text="No">
      <formula>NOT(ISERROR(SEARCH(("No"),(P390))))</formula>
    </cfRule>
  </conditionalFormatting>
  <conditionalFormatting sqref="P390:Q390">
    <cfRule type="containsText" dxfId="9" priority="51571" operator="containsText" text="No">
      <formula>NOT(ISERROR(SEARCH(("No"),(P390))))</formula>
    </cfRule>
  </conditionalFormatting>
  <conditionalFormatting sqref="P390:Q390">
    <cfRule type="containsText" dxfId="9" priority="51572" operator="containsText" text="No">
      <formula>NOT(ISERROR(SEARCH(("No"),(P390))))</formula>
    </cfRule>
  </conditionalFormatting>
  <conditionalFormatting sqref="P390:Q390">
    <cfRule type="containsText" dxfId="9" priority="51573" operator="containsText" text="No">
      <formula>NOT(ISERROR(SEARCH(("No"),(P390))))</formula>
    </cfRule>
  </conditionalFormatting>
  <conditionalFormatting sqref="P390:Q390">
    <cfRule type="containsText" dxfId="9" priority="51574" operator="containsText" text="No">
      <formula>NOT(ISERROR(SEARCH(("No"),(P390))))</formula>
    </cfRule>
  </conditionalFormatting>
  <conditionalFormatting sqref="P390:Q390">
    <cfRule type="containsText" dxfId="9" priority="51575" operator="containsText" text="No">
      <formula>NOT(ISERROR(SEARCH(("No"),(P390))))</formula>
    </cfRule>
  </conditionalFormatting>
  <conditionalFormatting sqref="P390:Q390">
    <cfRule type="containsText" dxfId="9" priority="51576" operator="containsText" text="No">
      <formula>NOT(ISERROR(SEARCH(("No"),(P390))))</formula>
    </cfRule>
  </conditionalFormatting>
  <conditionalFormatting sqref="P390:Q390">
    <cfRule type="containsText" dxfId="9" priority="51577" operator="containsText" text="No">
      <formula>NOT(ISERROR(SEARCH(("No"),(P390))))</formula>
    </cfRule>
  </conditionalFormatting>
  <conditionalFormatting sqref="P390:Q390">
    <cfRule type="containsText" dxfId="9" priority="51578" operator="containsText" text="No">
      <formula>NOT(ISERROR(SEARCH(("No"),(P390))))</formula>
    </cfRule>
  </conditionalFormatting>
  <conditionalFormatting sqref="P390:Q390">
    <cfRule type="containsText" dxfId="9" priority="51579" operator="containsText" text="No">
      <formula>NOT(ISERROR(SEARCH(("No"),(P390))))</formula>
    </cfRule>
  </conditionalFormatting>
  <conditionalFormatting sqref="P390:Q390">
    <cfRule type="containsText" dxfId="9" priority="51580" operator="containsText" text="No">
      <formula>NOT(ISERROR(SEARCH(("No"),(P390))))</formula>
    </cfRule>
  </conditionalFormatting>
  <conditionalFormatting sqref="P390:Q390">
    <cfRule type="containsText" dxfId="9" priority="51581" operator="containsText" text="No">
      <formula>NOT(ISERROR(SEARCH(("No"),(P390))))</formula>
    </cfRule>
  </conditionalFormatting>
  <conditionalFormatting sqref="P390:Q390">
    <cfRule type="containsText" dxfId="9" priority="51582" operator="containsText" text="No">
      <formula>NOT(ISERROR(SEARCH(("No"),(P390))))</formula>
    </cfRule>
  </conditionalFormatting>
  <conditionalFormatting sqref="P390:Q390">
    <cfRule type="containsText" dxfId="9" priority="51583" operator="containsText" text="No">
      <formula>NOT(ISERROR(SEARCH(("No"),(P390))))</formula>
    </cfRule>
  </conditionalFormatting>
  <conditionalFormatting sqref="P390:Q390">
    <cfRule type="containsText" dxfId="9" priority="51584" operator="containsText" text="No">
      <formula>NOT(ISERROR(SEARCH(("No"),(P390))))</formula>
    </cfRule>
  </conditionalFormatting>
  <conditionalFormatting sqref="P390:Q390">
    <cfRule type="containsText" dxfId="9" priority="51585" operator="containsText" text="No">
      <formula>NOT(ISERROR(SEARCH(("No"),(P390))))</formula>
    </cfRule>
  </conditionalFormatting>
  <conditionalFormatting sqref="P390:Q390">
    <cfRule type="containsText" dxfId="9" priority="51586" operator="containsText" text="No">
      <formula>NOT(ISERROR(SEARCH(("No"),(P390))))</formula>
    </cfRule>
  </conditionalFormatting>
  <conditionalFormatting sqref="P390:Q390">
    <cfRule type="containsText" dxfId="9" priority="51587" operator="containsText" text="No">
      <formula>NOT(ISERROR(SEARCH(("No"),(P390))))</formula>
    </cfRule>
  </conditionalFormatting>
  <conditionalFormatting sqref="P390:Q390">
    <cfRule type="containsText" dxfId="9" priority="51588" operator="containsText" text="No">
      <formula>NOT(ISERROR(SEARCH(("No"),(P390))))</formula>
    </cfRule>
  </conditionalFormatting>
  <conditionalFormatting sqref="P390:Q390">
    <cfRule type="containsText" dxfId="9" priority="51589" operator="containsText" text="No">
      <formula>NOT(ISERROR(SEARCH(("No"),(P390))))</formula>
    </cfRule>
  </conditionalFormatting>
  <conditionalFormatting sqref="P390:Q390">
    <cfRule type="containsText" dxfId="9" priority="51590" operator="containsText" text="No">
      <formula>NOT(ISERROR(SEARCH(("No"),(P390))))</formula>
    </cfRule>
  </conditionalFormatting>
  <conditionalFormatting sqref="P390:Q390">
    <cfRule type="containsText" dxfId="9" priority="51591" operator="containsText" text="No">
      <formula>NOT(ISERROR(SEARCH(("No"),(P390))))</formula>
    </cfRule>
  </conditionalFormatting>
  <conditionalFormatting sqref="P390:Q390">
    <cfRule type="containsText" dxfId="9" priority="51592" operator="containsText" text="No">
      <formula>NOT(ISERROR(SEARCH(("No"),(P390))))</formula>
    </cfRule>
  </conditionalFormatting>
  <conditionalFormatting sqref="P390:Q390">
    <cfRule type="containsText" dxfId="9" priority="51593" operator="containsText" text="No">
      <formula>NOT(ISERROR(SEARCH(("No"),(P390))))</formula>
    </cfRule>
  </conditionalFormatting>
  <conditionalFormatting sqref="P390:Q390">
    <cfRule type="containsText" dxfId="9" priority="51594" operator="containsText" text="No">
      <formula>NOT(ISERROR(SEARCH(("No"),(P390))))</formula>
    </cfRule>
  </conditionalFormatting>
  <conditionalFormatting sqref="P390:Q390">
    <cfRule type="containsText" dxfId="9" priority="51595" operator="containsText" text="No">
      <formula>NOT(ISERROR(SEARCH(("No"),(P390))))</formula>
    </cfRule>
  </conditionalFormatting>
  <conditionalFormatting sqref="P390:Q390">
    <cfRule type="containsText" dxfId="9" priority="51596" operator="containsText" text="No">
      <formula>NOT(ISERROR(SEARCH(("No"),(P390))))</formula>
    </cfRule>
  </conditionalFormatting>
  <conditionalFormatting sqref="P390:Q390">
    <cfRule type="containsText" dxfId="9" priority="51597" operator="containsText" text="No">
      <formula>NOT(ISERROR(SEARCH(("No"),(P390))))</formula>
    </cfRule>
  </conditionalFormatting>
  <conditionalFormatting sqref="P390:Q390">
    <cfRule type="containsText" dxfId="9" priority="51598" operator="containsText" text="No">
      <formula>NOT(ISERROR(SEARCH(("No"),(P390))))</formula>
    </cfRule>
  </conditionalFormatting>
  <conditionalFormatting sqref="P390:Q390">
    <cfRule type="containsText" dxfId="9" priority="51599" operator="containsText" text="No">
      <formula>NOT(ISERROR(SEARCH(("No"),(P390))))</formula>
    </cfRule>
  </conditionalFormatting>
  <conditionalFormatting sqref="P390:Q390">
    <cfRule type="containsText" dxfId="9" priority="51600" operator="containsText" text="No">
      <formula>NOT(ISERROR(SEARCH(("No"),(P390))))</formula>
    </cfRule>
  </conditionalFormatting>
  <conditionalFormatting sqref="P390:Q390">
    <cfRule type="containsText" dxfId="9" priority="51601" operator="containsText" text="No">
      <formula>NOT(ISERROR(SEARCH(("No"),(P390))))</formula>
    </cfRule>
  </conditionalFormatting>
  <conditionalFormatting sqref="P390:Q390">
    <cfRule type="containsText" dxfId="2" priority="51602" operator="containsText" text="Yes">
      <formula>NOT(ISERROR(SEARCH(("Yes"),(P390))))</formula>
    </cfRule>
  </conditionalFormatting>
  <conditionalFormatting sqref="P390:Q390">
    <cfRule type="containsText" dxfId="2" priority="51603" operator="containsText" text="Yes">
      <formula>NOT(ISERROR(SEARCH(("Yes"),(P390))))</formula>
    </cfRule>
  </conditionalFormatting>
  <conditionalFormatting sqref="P390:Q390">
    <cfRule type="containsText" dxfId="2" priority="51604" operator="containsText" text="Yes">
      <formula>NOT(ISERROR(SEARCH(("Yes"),(P390))))</formula>
    </cfRule>
  </conditionalFormatting>
  <conditionalFormatting sqref="P390:Q390">
    <cfRule type="containsText" dxfId="2" priority="51605" operator="containsText" text="Yes">
      <formula>NOT(ISERROR(SEARCH(("Yes"),(P390))))</formula>
    </cfRule>
  </conditionalFormatting>
  <conditionalFormatting sqref="P390:Q390">
    <cfRule type="containsText" dxfId="2" priority="51606" operator="containsText" text="Yes">
      <formula>NOT(ISERROR(SEARCH(("Yes"),(P390))))</formula>
    </cfRule>
  </conditionalFormatting>
  <conditionalFormatting sqref="P390:Q390">
    <cfRule type="containsText" dxfId="2" priority="51607" operator="containsText" text="Yes">
      <formula>NOT(ISERROR(SEARCH(("Yes"),(P390))))</formula>
    </cfRule>
  </conditionalFormatting>
  <conditionalFormatting sqref="P390:Q390">
    <cfRule type="containsText" dxfId="2" priority="51608" operator="containsText" text="Yes">
      <formula>NOT(ISERROR(SEARCH(("Yes"),(P390))))</formula>
    </cfRule>
  </conditionalFormatting>
  <conditionalFormatting sqref="P390:Q390">
    <cfRule type="containsText" dxfId="2" priority="51609" operator="containsText" text="Yes">
      <formula>NOT(ISERROR(SEARCH(("Yes"),(P390))))</formula>
    </cfRule>
  </conditionalFormatting>
  <conditionalFormatting sqref="P390:Q390">
    <cfRule type="containsText" dxfId="2" priority="51610" operator="containsText" text="Yes">
      <formula>NOT(ISERROR(SEARCH(("Yes"),(P390))))</formula>
    </cfRule>
  </conditionalFormatting>
  <conditionalFormatting sqref="P390:Q390">
    <cfRule type="containsText" dxfId="2" priority="51611" operator="containsText" text="Yes">
      <formula>NOT(ISERROR(SEARCH(("Yes"),(P390))))</formula>
    </cfRule>
  </conditionalFormatting>
  <conditionalFormatting sqref="P390:Q390">
    <cfRule type="containsText" dxfId="2" priority="51612" operator="containsText" text="Yes">
      <formula>NOT(ISERROR(SEARCH(("Yes"),(P390))))</formula>
    </cfRule>
  </conditionalFormatting>
  <conditionalFormatting sqref="P390:Q390">
    <cfRule type="containsText" dxfId="2" priority="51613" operator="containsText" text="Yes">
      <formula>NOT(ISERROR(SEARCH(("Yes"),(P390))))</formula>
    </cfRule>
  </conditionalFormatting>
  <conditionalFormatting sqref="P390:Q390">
    <cfRule type="containsText" dxfId="2" priority="51614" operator="containsText" text="Yes">
      <formula>NOT(ISERROR(SEARCH(("Yes"),(P390))))</formula>
    </cfRule>
  </conditionalFormatting>
  <conditionalFormatting sqref="P390:Q390">
    <cfRule type="containsText" dxfId="2" priority="51615" operator="containsText" text="Yes">
      <formula>NOT(ISERROR(SEARCH(("Yes"),(P390))))</formula>
    </cfRule>
  </conditionalFormatting>
  <conditionalFormatting sqref="P390:Q390">
    <cfRule type="containsText" dxfId="2" priority="51616" operator="containsText" text="Yes">
      <formula>NOT(ISERROR(SEARCH(("Yes"),(P390))))</formula>
    </cfRule>
  </conditionalFormatting>
  <conditionalFormatting sqref="P390:Q390">
    <cfRule type="containsText" dxfId="2" priority="51617" operator="containsText" text="Yes">
      <formula>NOT(ISERROR(SEARCH(("Yes"),(P390))))</formula>
    </cfRule>
  </conditionalFormatting>
  <conditionalFormatting sqref="P390:Q390">
    <cfRule type="containsText" dxfId="2" priority="51618" operator="containsText" text="Yes">
      <formula>NOT(ISERROR(SEARCH(("Yes"),(P390))))</formula>
    </cfRule>
  </conditionalFormatting>
  <conditionalFormatting sqref="P390:Q390">
    <cfRule type="containsText" dxfId="2" priority="51619" operator="containsText" text="Yes">
      <formula>NOT(ISERROR(SEARCH(("Yes"),(P390))))</formula>
    </cfRule>
  </conditionalFormatting>
  <conditionalFormatting sqref="P390:Q390">
    <cfRule type="containsText" dxfId="2" priority="51620" operator="containsText" text="Yes">
      <formula>NOT(ISERROR(SEARCH(("Yes"),(P390))))</formula>
    </cfRule>
  </conditionalFormatting>
  <conditionalFormatting sqref="P390:Q390">
    <cfRule type="containsText" dxfId="2" priority="51621" operator="containsText" text="Yes">
      <formula>NOT(ISERROR(SEARCH(("Yes"),(P390))))</formula>
    </cfRule>
  </conditionalFormatting>
  <conditionalFormatting sqref="P390:Q390">
    <cfRule type="containsText" dxfId="2" priority="51622" operator="containsText" text="Yes">
      <formula>NOT(ISERROR(SEARCH(("Yes"),(P390))))</formula>
    </cfRule>
  </conditionalFormatting>
  <conditionalFormatting sqref="P390:Q390">
    <cfRule type="containsText" dxfId="2" priority="51623" operator="containsText" text="Yes">
      <formula>NOT(ISERROR(SEARCH(("Yes"),(P390))))</formula>
    </cfRule>
  </conditionalFormatting>
  <conditionalFormatting sqref="P390:Q390">
    <cfRule type="containsText" dxfId="2" priority="51624" operator="containsText" text="Yes">
      <formula>NOT(ISERROR(SEARCH(("Yes"),(P390))))</formula>
    </cfRule>
  </conditionalFormatting>
  <conditionalFormatting sqref="P390:Q390">
    <cfRule type="containsText" dxfId="2" priority="51625" operator="containsText" text="Yes">
      <formula>NOT(ISERROR(SEARCH(("Yes"),(P390))))</formula>
    </cfRule>
  </conditionalFormatting>
  <conditionalFormatting sqref="P390:Q390">
    <cfRule type="containsText" dxfId="2" priority="51626" operator="containsText" text="Yes">
      <formula>NOT(ISERROR(SEARCH(("Yes"),(P390))))</formula>
    </cfRule>
  </conditionalFormatting>
  <conditionalFormatting sqref="P390:Q390">
    <cfRule type="containsText" dxfId="2" priority="51627" operator="containsText" text="Yes">
      <formula>NOT(ISERROR(SEARCH(("Yes"),(P390))))</formula>
    </cfRule>
  </conditionalFormatting>
  <conditionalFormatting sqref="P390:Q390">
    <cfRule type="containsText" dxfId="2" priority="51628" operator="containsText" text="Yes">
      <formula>NOT(ISERROR(SEARCH(("Yes"),(P390))))</formula>
    </cfRule>
  </conditionalFormatting>
  <conditionalFormatting sqref="P390:Q390">
    <cfRule type="containsText" dxfId="2" priority="51629" operator="containsText" text="Yes">
      <formula>NOT(ISERROR(SEARCH(("Yes"),(P390))))</formula>
    </cfRule>
  </conditionalFormatting>
  <conditionalFormatting sqref="P390:Q390">
    <cfRule type="containsText" dxfId="2" priority="51630" operator="containsText" text="Yes">
      <formula>NOT(ISERROR(SEARCH(("Yes"),(P390))))</formula>
    </cfRule>
  </conditionalFormatting>
  <conditionalFormatting sqref="P390:Q390">
    <cfRule type="containsText" dxfId="2" priority="51631" operator="containsText" text="Yes">
      <formula>NOT(ISERROR(SEARCH(("Yes"),(P390))))</formula>
    </cfRule>
  </conditionalFormatting>
  <conditionalFormatting sqref="P390:Q390">
    <cfRule type="containsText" dxfId="2" priority="51632" operator="containsText" text="Yes">
      <formula>NOT(ISERROR(SEARCH(("Yes"),(P390))))</formula>
    </cfRule>
  </conditionalFormatting>
  <conditionalFormatting sqref="P390:Q390">
    <cfRule type="containsText" dxfId="2" priority="51633" operator="containsText" text="Yes">
      <formula>NOT(ISERROR(SEARCH(("Yes"),(P390))))</formula>
    </cfRule>
  </conditionalFormatting>
  <conditionalFormatting sqref="P390:Q390">
    <cfRule type="containsText" dxfId="2" priority="51634" operator="containsText" text="Yes">
      <formula>NOT(ISERROR(SEARCH(("Yes"),(P390))))</formula>
    </cfRule>
  </conditionalFormatting>
  <conditionalFormatting sqref="P390:Q390">
    <cfRule type="containsText" dxfId="2" priority="51635" operator="containsText" text="Yes">
      <formula>NOT(ISERROR(SEARCH(("Yes"),(P390))))</formula>
    </cfRule>
  </conditionalFormatting>
  <conditionalFormatting sqref="P390:Q390">
    <cfRule type="containsText" dxfId="2" priority="51636" operator="containsText" text="Yes">
      <formula>NOT(ISERROR(SEARCH(("Yes"),(P390))))</formula>
    </cfRule>
  </conditionalFormatting>
  <conditionalFormatting sqref="P390:Q390">
    <cfRule type="containsText" dxfId="2" priority="51637" operator="containsText" text="Yes">
      <formula>NOT(ISERROR(SEARCH(("Yes"),(P390))))</formula>
    </cfRule>
  </conditionalFormatting>
  <conditionalFormatting sqref="P390:Q390">
    <cfRule type="containsText" dxfId="2" priority="51638" operator="containsText" text="Yes">
      <formula>NOT(ISERROR(SEARCH(("Yes"),(P390))))</formula>
    </cfRule>
  </conditionalFormatting>
  <conditionalFormatting sqref="P390:Q390">
    <cfRule type="containsText" dxfId="2" priority="51639" operator="containsText" text="Yes">
      <formula>NOT(ISERROR(SEARCH(("Yes"),(P390))))</formula>
    </cfRule>
  </conditionalFormatting>
  <conditionalFormatting sqref="P390:Q390">
    <cfRule type="containsText" dxfId="2" priority="51640" operator="containsText" text="Yes">
      <formula>NOT(ISERROR(SEARCH(("Yes"),(P390))))</formula>
    </cfRule>
  </conditionalFormatting>
  <conditionalFormatting sqref="P390:Q390">
    <cfRule type="containsText" dxfId="2" priority="51641" operator="containsText" text="Yes">
      <formula>NOT(ISERROR(SEARCH(("Yes"),(P390))))</formula>
    </cfRule>
  </conditionalFormatting>
  <conditionalFormatting sqref="P390:Q390">
    <cfRule type="containsText" dxfId="2" priority="51642" operator="containsText" text="Yes">
      <formula>NOT(ISERROR(SEARCH(("Yes"),(P390))))</formula>
    </cfRule>
  </conditionalFormatting>
  <conditionalFormatting sqref="P390:Q390">
    <cfRule type="containsText" dxfId="2" priority="51643" operator="containsText" text="Yes">
      <formula>NOT(ISERROR(SEARCH(("Yes"),(P390))))</formula>
    </cfRule>
  </conditionalFormatting>
  <conditionalFormatting sqref="P390:Q390">
    <cfRule type="containsText" dxfId="2" priority="51644" operator="containsText" text="Yes">
      <formula>NOT(ISERROR(SEARCH(("Yes"),(P390))))</formula>
    </cfRule>
  </conditionalFormatting>
  <conditionalFormatting sqref="P390:Q390">
    <cfRule type="containsText" dxfId="2" priority="51645" operator="containsText" text="Yes">
      <formula>NOT(ISERROR(SEARCH(("Yes"),(P390))))</formula>
    </cfRule>
  </conditionalFormatting>
  <conditionalFormatting sqref="P390:Q390">
    <cfRule type="containsText" dxfId="2" priority="51646" operator="containsText" text="Yes">
      <formula>NOT(ISERROR(SEARCH(("Yes"),(P390))))</formula>
    </cfRule>
  </conditionalFormatting>
  <conditionalFormatting sqref="P390:Q390">
    <cfRule type="containsText" dxfId="2" priority="51647" operator="containsText" text="Yes">
      <formula>NOT(ISERROR(SEARCH(("Yes"),(P390))))</formula>
    </cfRule>
  </conditionalFormatting>
  <conditionalFormatting sqref="P390:Q390">
    <cfRule type="containsText" dxfId="2" priority="51648" operator="containsText" text="Yes">
      <formula>NOT(ISERROR(SEARCH(("Yes"),(P390))))</formula>
    </cfRule>
  </conditionalFormatting>
  <conditionalFormatting sqref="N390:O390">
    <cfRule type="containsText" dxfId="9" priority="51649" operator="containsText" text="No">
      <formula>NOT(ISERROR(SEARCH(("No"),(N390))))</formula>
    </cfRule>
  </conditionalFormatting>
  <conditionalFormatting sqref="N390:O390">
    <cfRule type="containsText" dxfId="9" priority="51650" operator="containsText" text="No">
      <formula>NOT(ISERROR(SEARCH(("No"),(N390))))</formula>
    </cfRule>
  </conditionalFormatting>
  <conditionalFormatting sqref="N390:O390">
    <cfRule type="containsText" dxfId="9" priority="51651" operator="containsText" text="No">
      <formula>NOT(ISERROR(SEARCH(("No"),(N390))))</formula>
    </cfRule>
  </conditionalFormatting>
  <conditionalFormatting sqref="N390:O390">
    <cfRule type="containsText" dxfId="9" priority="51652" operator="containsText" text="No">
      <formula>NOT(ISERROR(SEARCH(("No"),(N390))))</formula>
    </cfRule>
  </conditionalFormatting>
  <conditionalFormatting sqref="N390:O390">
    <cfRule type="containsText" dxfId="9" priority="51653" operator="containsText" text="No">
      <formula>NOT(ISERROR(SEARCH(("No"),(N390))))</formula>
    </cfRule>
  </conditionalFormatting>
  <conditionalFormatting sqref="N390:O390">
    <cfRule type="containsText" dxfId="9" priority="51654" operator="containsText" text="No">
      <formula>NOT(ISERROR(SEARCH(("No"),(N390))))</formula>
    </cfRule>
  </conditionalFormatting>
  <conditionalFormatting sqref="N390:O390">
    <cfRule type="containsText" dxfId="9" priority="51655" operator="containsText" text="No">
      <formula>NOT(ISERROR(SEARCH(("No"),(N390))))</formula>
    </cfRule>
  </conditionalFormatting>
  <conditionalFormatting sqref="N390:O390">
    <cfRule type="containsText" dxfId="9" priority="51656" operator="containsText" text="No">
      <formula>NOT(ISERROR(SEARCH(("No"),(N390))))</formula>
    </cfRule>
  </conditionalFormatting>
  <conditionalFormatting sqref="N390:O390">
    <cfRule type="containsText" dxfId="9" priority="51657" operator="containsText" text="No">
      <formula>NOT(ISERROR(SEARCH(("No"),(N390))))</formula>
    </cfRule>
  </conditionalFormatting>
  <conditionalFormatting sqref="N390:O390">
    <cfRule type="containsText" dxfId="9" priority="51658" operator="containsText" text="No">
      <formula>NOT(ISERROR(SEARCH(("No"),(N390))))</formula>
    </cfRule>
  </conditionalFormatting>
  <conditionalFormatting sqref="N390:O390">
    <cfRule type="containsText" dxfId="9" priority="51659" operator="containsText" text="No">
      <formula>NOT(ISERROR(SEARCH(("No"),(N390))))</formula>
    </cfRule>
  </conditionalFormatting>
  <conditionalFormatting sqref="N390:O390">
    <cfRule type="containsText" dxfId="9" priority="51660" operator="containsText" text="No">
      <formula>NOT(ISERROR(SEARCH(("No"),(N390))))</formula>
    </cfRule>
  </conditionalFormatting>
  <conditionalFormatting sqref="N390:O390">
    <cfRule type="containsText" dxfId="9" priority="51661" operator="containsText" text="No">
      <formula>NOT(ISERROR(SEARCH(("No"),(N390))))</formula>
    </cfRule>
  </conditionalFormatting>
  <conditionalFormatting sqref="N390:O390">
    <cfRule type="containsText" dxfId="9" priority="51662" operator="containsText" text="No">
      <formula>NOT(ISERROR(SEARCH(("No"),(N390))))</formula>
    </cfRule>
  </conditionalFormatting>
  <conditionalFormatting sqref="N390:O390">
    <cfRule type="containsText" dxfId="9" priority="51663" operator="containsText" text="No">
      <formula>NOT(ISERROR(SEARCH(("No"),(N390))))</formula>
    </cfRule>
  </conditionalFormatting>
  <conditionalFormatting sqref="N390:O390">
    <cfRule type="containsText" dxfId="9" priority="51664" operator="containsText" text="No">
      <formula>NOT(ISERROR(SEARCH(("No"),(N390))))</formula>
    </cfRule>
  </conditionalFormatting>
  <conditionalFormatting sqref="N390:O390">
    <cfRule type="containsText" dxfId="9" priority="51665" operator="containsText" text="No">
      <formula>NOT(ISERROR(SEARCH(("No"),(N390))))</formula>
    </cfRule>
  </conditionalFormatting>
  <conditionalFormatting sqref="N390:O390">
    <cfRule type="containsText" dxfId="9" priority="51666" operator="containsText" text="No">
      <formula>NOT(ISERROR(SEARCH(("No"),(N390))))</formula>
    </cfRule>
  </conditionalFormatting>
  <conditionalFormatting sqref="N390:O390">
    <cfRule type="containsText" dxfId="9" priority="51667" operator="containsText" text="No">
      <formula>NOT(ISERROR(SEARCH(("No"),(N390))))</formula>
    </cfRule>
  </conditionalFormatting>
  <conditionalFormatting sqref="N390:O390">
    <cfRule type="containsText" dxfId="9" priority="51668" operator="containsText" text="No">
      <formula>NOT(ISERROR(SEARCH(("No"),(N390))))</formula>
    </cfRule>
  </conditionalFormatting>
  <conditionalFormatting sqref="N390:O390">
    <cfRule type="containsText" dxfId="9" priority="51669" operator="containsText" text="No">
      <formula>NOT(ISERROR(SEARCH(("No"),(N390))))</formula>
    </cfRule>
  </conditionalFormatting>
  <conditionalFormatting sqref="N390:O390">
    <cfRule type="containsText" dxfId="9" priority="51670" operator="containsText" text="No">
      <formula>NOT(ISERROR(SEARCH(("No"),(N390))))</formula>
    </cfRule>
  </conditionalFormatting>
  <conditionalFormatting sqref="N390:O390">
    <cfRule type="containsText" dxfId="9" priority="51671" operator="containsText" text="No">
      <formula>NOT(ISERROR(SEARCH(("No"),(N390))))</formula>
    </cfRule>
  </conditionalFormatting>
  <conditionalFormatting sqref="N390:O390">
    <cfRule type="containsText" dxfId="9" priority="51672" operator="containsText" text="No">
      <formula>NOT(ISERROR(SEARCH(("No"),(N390))))</formula>
    </cfRule>
  </conditionalFormatting>
  <conditionalFormatting sqref="N390:O390">
    <cfRule type="containsText" dxfId="9" priority="51673" operator="containsText" text="No">
      <formula>NOT(ISERROR(SEARCH(("No"),(N390))))</formula>
    </cfRule>
  </conditionalFormatting>
  <conditionalFormatting sqref="N390:O390">
    <cfRule type="containsText" dxfId="9" priority="51674" operator="containsText" text="No">
      <formula>NOT(ISERROR(SEARCH(("No"),(N390))))</formula>
    </cfRule>
  </conditionalFormatting>
  <conditionalFormatting sqref="N390:O390">
    <cfRule type="containsText" dxfId="9" priority="51675" operator="containsText" text="No">
      <formula>NOT(ISERROR(SEARCH(("No"),(N390))))</formula>
    </cfRule>
  </conditionalFormatting>
  <conditionalFormatting sqref="N390:O390">
    <cfRule type="containsText" dxfId="9" priority="51676" operator="containsText" text="No">
      <formula>NOT(ISERROR(SEARCH(("No"),(N390))))</formula>
    </cfRule>
  </conditionalFormatting>
  <conditionalFormatting sqref="N390:O390">
    <cfRule type="containsText" dxfId="9" priority="51677" operator="containsText" text="No">
      <formula>NOT(ISERROR(SEARCH(("No"),(N390))))</formula>
    </cfRule>
  </conditionalFormatting>
  <conditionalFormatting sqref="N390:O390">
    <cfRule type="containsText" dxfId="9" priority="51678" operator="containsText" text="No">
      <formula>NOT(ISERROR(SEARCH(("No"),(N390))))</formula>
    </cfRule>
  </conditionalFormatting>
  <conditionalFormatting sqref="N390:O390">
    <cfRule type="containsText" dxfId="9" priority="51679" operator="containsText" text="No">
      <formula>NOT(ISERROR(SEARCH(("No"),(N390))))</formula>
    </cfRule>
  </conditionalFormatting>
  <conditionalFormatting sqref="N390:O390">
    <cfRule type="containsText" dxfId="9" priority="51680" operator="containsText" text="No">
      <formula>NOT(ISERROR(SEARCH(("No"),(N390))))</formula>
    </cfRule>
  </conditionalFormatting>
  <conditionalFormatting sqref="N390:O390">
    <cfRule type="containsText" dxfId="9" priority="51681" operator="containsText" text="No">
      <formula>NOT(ISERROR(SEARCH(("No"),(N390))))</formula>
    </cfRule>
  </conditionalFormatting>
  <conditionalFormatting sqref="N390:O390">
    <cfRule type="containsText" dxfId="9" priority="51682" operator="containsText" text="No">
      <formula>NOT(ISERROR(SEARCH(("No"),(N390))))</formula>
    </cfRule>
  </conditionalFormatting>
  <conditionalFormatting sqref="N390:O390">
    <cfRule type="containsText" dxfId="9" priority="51683" operator="containsText" text="No">
      <formula>NOT(ISERROR(SEARCH(("No"),(N390))))</formula>
    </cfRule>
  </conditionalFormatting>
  <conditionalFormatting sqref="N390:O390">
    <cfRule type="containsText" dxfId="9" priority="51684" operator="containsText" text="No">
      <formula>NOT(ISERROR(SEARCH(("No"),(N390))))</formula>
    </cfRule>
  </conditionalFormatting>
  <conditionalFormatting sqref="N390:O390">
    <cfRule type="containsText" dxfId="9" priority="51685" operator="containsText" text="No">
      <formula>NOT(ISERROR(SEARCH(("No"),(N390))))</formula>
    </cfRule>
  </conditionalFormatting>
  <conditionalFormatting sqref="N390:O390">
    <cfRule type="containsText" dxfId="9" priority="51686" operator="containsText" text="No">
      <formula>NOT(ISERROR(SEARCH(("No"),(N390))))</formula>
    </cfRule>
  </conditionalFormatting>
  <conditionalFormatting sqref="N390:O390">
    <cfRule type="containsText" dxfId="9" priority="51687" operator="containsText" text="No">
      <formula>NOT(ISERROR(SEARCH(("No"),(N390))))</formula>
    </cfRule>
  </conditionalFormatting>
  <conditionalFormatting sqref="N390:O390">
    <cfRule type="containsText" dxfId="9" priority="51688" operator="containsText" text="No">
      <formula>NOT(ISERROR(SEARCH(("No"),(N390))))</formula>
    </cfRule>
  </conditionalFormatting>
  <conditionalFormatting sqref="N390:O390">
    <cfRule type="containsText" dxfId="9" priority="51689" operator="containsText" text="No">
      <formula>NOT(ISERROR(SEARCH(("No"),(N390))))</formula>
    </cfRule>
  </conditionalFormatting>
  <conditionalFormatting sqref="N390:O390">
    <cfRule type="containsText" dxfId="9" priority="51690" operator="containsText" text="No">
      <formula>NOT(ISERROR(SEARCH(("No"),(N390))))</formula>
    </cfRule>
  </conditionalFormatting>
  <conditionalFormatting sqref="N390:O390">
    <cfRule type="containsText" dxfId="9" priority="51691" operator="containsText" text="No">
      <formula>NOT(ISERROR(SEARCH(("No"),(N390))))</formula>
    </cfRule>
  </conditionalFormatting>
  <conditionalFormatting sqref="N390:O390">
    <cfRule type="containsText" dxfId="9" priority="51692" operator="containsText" text="No">
      <formula>NOT(ISERROR(SEARCH(("No"),(N390))))</formula>
    </cfRule>
  </conditionalFormatting>
  <conditionalFormatting sqref="N390:O390">
    <cfRule type="containsText" dxfId="9" priority="51693" operator="containsText" text="No">
      <formula>NOT(ISERROR(SEARCH(("No"),(N390))))</formula>
    </cfRule>
  </conditionalFormatting>
  <conditionalFormatting sqref="N390:O390">
    <cfRule type="containsText" dxfId="2" priority="51694" operator="containsText" text="Yes">
      <formula>NOT(ISERROR(SEARCH(("Yes"),(N390))))</formula>
    </cfRule>
  </conditionalFormatting>
  <conditionalFormatting sqref="N390:O390">
    <cfRule type="containsText" dxfId="2" priority="51695" operator="containsText" text="Yes">
      <formula>NOT(ISERROR(SEARCH(("Yes"),(N390))))</formula>
    </cfRule>
  </conditionalFormatting>
  <conditionalFormatting sqref="N390:O390">
    <cfRule type="containsText" dxfId="2" priority="51696" operator="containsText" text="Yes">
      <formula>NOT(ISERROR(SEARCH(("Yes"),(N390))))</formula>
    </cfRule>
  </conditionalFormatting>
  <conditionalFormatting sqref="N390:O390">
    <cfRule type="containsText" dxfId="2" priority="51697" operator="containsText" text="Yes">
      <formula>NOT(ISERROR(SEARCH(("Yes"),(N390))))</formula>
    </cfRule>
  </conditionalFormatting>
  <conditionalFormatting sqref="N390:O390">
    <cfRule type="containsText" dxfId="2" priority="51698" operator="containsText" text="Yes">
      <formula>NOT(ISERROR(SEARCH(("Yes"),(N390))))</formula>
    </cfRule>
  </conditionalFormatting>
  <conditionalFormatting sqref="N390:O390">
    <cfRule type="containsText" dxfId="2" priority="51699" operator="containsText" text="Yes">
      <formula>NOT(ISERROR(SEARCH(("Yes"),(N390))))</formula>
    </cfRule>
  </conditionalFormatting>
  <conditionalFormatting sqref="N390:O390">
    <cfRule type="containsText" dxfId="2" priority="51700" operator="containsText" text="Yes">
      <formula>NOT(ISERROR(SEARCH(("Yes"),(N390))))</formula>
    </cfRule>
  </conditionalFormatting>
  <conditionalFormatting sqref="N390:O390">
    <cfRule type="containsText" dxfId="2" priority="51701" operator="containsText" text="Yes">
      <formula>NOT(ISERROR(SEARCH(("Yes"),(N390))))</formula>
    </cfRule>
  </conditionalFormatting>
  <conditionalFormatting sqref="N390:O390">
    <cfRule type="containsText" dxfId="2" priority="51702" operator="containsText" text="Yes">
      <formula>NOT(ISERROR(SEARCH(("Yes"),(N390))))</formula>
    </cfRule>
  </conditionalFormatting>
  <conditionalFormatting sqref="N390:O390">
    <cfRule type="containsText" dxfId="2" priority="51703" operator="containsText" text="Yes">
      <formula>NOT(ISERROR(SEARCH(("Yes"),(N390))))</formula>
    </cfRule>
  </conditionalFormatting>
  <conditionalFormatting sqref="N390:O390">
    <cfRule type="containsText" dxfId="2" priority="51704" operator="containsText" text="Yes">
      <formula>NOT(ISERROR(SEARCH(("Yes"),(N390))))</formula>
    </cfRule>
  </conditionalFormatting>
  <conditionalFormatting sqref="N390:O390">
    <cfRule type="containsText" dxfId="2" priority="51705" operator="containsText" text="Yes">
      <formula>NOT(ISERROR(SEARCH(("Yes"),(N390))))</formula>
    </cfRule>
  </conditionalFormatting>
  <conditionalFormatting sqref="N390:O390">
    <cfRule type="containsText" dxfId="2" priority="51706" operator="containsText" text="Yes">
      <formula>NOT(ISERROR(SEARCH(("Yes"),(N390))))</formula>
    </cfRule>
  </conditionalFormatting>
  <conditionalFormatting sqref="N390:O390">
    <cfRule type="containsText" dxfId="2" priority="51707" operator="containsText" text="Yes">
      <formula>NOT(ISERROR(SEARCH(("Yes"),(N390))))</formula>
    </cfRule>
  </conditionalFormatting>
  <conditionalFormatting sqref="N390:O390">
    <cfRule type="containsText" dxfId="2" priority="51708" operator="containsText" text="Yes">
      <formula>NOT(ISERROR(SEARCH(("Yes"),(N390))))</formula>
    </cfRule>
  </conditionalFormatting>
  <conditionalFormatting sqref="N390:O390">
    <cfRule type="containsText" dxfId="2" priority="51709" operator="containsText" text="Yes">
      <formula>NOT(ISERROR(SEARCH(("Yes"),(N390))))</formula>
    </cfRule>
  </conditionalFormatting>
  <conditionalFormatting sqref="N390:O390">
    <cfRule type="containsText" dxfId="2" priority="51710" operator="containsText" text="Yes">
      <formula>NOT(ISERROR(SEARCH(("Yes"),(N390))))</formula>
    </cfRule>
  </conditionalFormatting>
  <conditionalFormatting sqref="N390:O390">
    <cfRule type="containsText" dxfId="2" priority="51711" operator="containsText" text="Yes">
      <formula>NOT(ISERROR(SEARCH(("Yes"),(N390))))</formula>
    </cfRule>
  </conditionalFormatting>
  <conditionalFormatting sqref="N390:O390">
    <cfRule type="containsText" dxfId="2" priority="51712" operator="containsText" text="Yes">
      <formula>NOT(ISERROR(SEARCH(("Yes"),(N390))))</formula>
    </cfRule>
  </conditionalFormatting>
  <conditionalFormatting sqref="N390:O390">
    <cfRule type="containsText" dxfId="2" priority="51713" operator="containsText" text="Yes">
      <formula>NOT(ISERROR(SEARCH(("Yes"),(N390))))</formula>
    </cfRule>
  </conditionalFormatting>
  <conditionalFormatting sqref="N390:O390">
    <cfRule type="containsText" dxfId="2" priority="51714" operator="containsText" text="Yes">
      <formula>NOT(ISERROR(SEARCH(("Yes"),(N390))))</formula>
    </cfRule>
  </conditionalFormatting>
  <conditionalFormatting sqref="N390:O390">
    <cfRule type="containsText" dxfId="2" priority="51715" operator="containsText" text="Yes">
      <formula>NOT(ISERROR(SEARCH(("Yes"),(N390))))</formula>
    </cfRule>
  </conditionalFormatting>
  <conditionalFormatting sqref="N390:O390">
    <cfRule type="containsText" dxfId="2" priority="51716" operator="containsText" text="Yes">
      <formula>NOT(ISERROR(SEARCH(("Yes"),(N390))))</formula>
    </cfRule>
  </conditionalFormatting>
  <conditionalFormatting sqref="N390:O390">
    <cfRule type="containsText" dxfId="2" priority="51717" operator="containsText" text="Yes">
      <formula>NOT(ISERROR(SEARCH(("Yes"),(N390))))</formula>
    </cfRule>
  </conditionalFormatting>
  <conditionalFormatting sqref="N390:O390">
    <cfRule type="containsText" dxfId="2" priority="51718" operator="containsText" text="Yes">
      <formula>NOT(ISERROR(SEARCH(("Yes"),(N390))))</formula>
    </cfRule>
  </conditionalFormatting>
  <conditionalFormatting sqref="N390:O390">
    <cfRule type="containsText" dxfId="2" priority="51719" operator="containsText" text="Yes">
      <formula>NOT(ISERROR(SEARCH(("Yes"),(N390))))</formula>
    </cfRule>
  </conditionalFormatting>
  <conditionalFormatting sqref="N390:O390">
    <cfRule type="containsText" dxfId="2" priority="51720" operator="containsText" text="Yes">
      <formula>NOT(ISERROR(SEARCH(("Yes"),(N390))))</formula>
    </cfRule>
  </conditionalFormatting>
  <conditionalFormatting sqref="N390:O390">
    <cfRule type="containsText" dxfId="2" priority="51721" operator="containsText" text="Yes">
      <formula>NOT(ISERROR(SEARCH(("Yes"),(N390))))</formula>
    </cfRule>
  </conditionalFormatting>
  <conditionalFormatting sqref="N390:O390">
    <cfRule type="containsText" dxfId="2" priority="51722" operator="containsText" text="Yes">
      <formula>NOT(ISERROR(SEARCH(("Yes"),(N390))))</formula>
    </cfRule>
  </conditionalFormatting>
  <conditionalFormatting sqref="N390:O390">
    <cfRule type="containsText" dxfId="2" priority="51723" operator="containsText" text="Yes">
      <formula>NOT(ISERROR(SEARCH(("Yes"),(N390))))</formula>
    </cfRule>
  </conditionalFormatting>
  <conditionalFormatting sqref="N390:O390">
    <cfRule type="containsText" dxfId="2" priority="51724" operator="containsText" text="Yes">
      <formula>NOT(ISERROR(SEARCH(("Yes"),(N390))))</formula>
    </cfRule>
  </conditionalFormatting>
  <conditionalFormatting sqref="N390:O390">
    <cfRule type="containsText" dxfId="2" priority="51725" operator="containsText" text="Yes">
      <formula>NOT(ISERROR(SEARCH(("Yes"),(N390))))</formula>
    </cfRule>
  </conditionalFormatting>
  <conditionalFormatting sqref="N390:O390">
    <cfRule type="containsText" dxfId="2" priority="51726" operator="containsText" text="Yes">
      <formula>NOT(ISERROR(SEARCH(("Yes"),(N390))))</formula>
    </cfRule>
  </conditionalFormatting>
  <conditionalFormatting sqref="N390:O390">
    <cfRule type="containsText" dxfId="2" priority="51727" operator="containsText" text="Yes">
      <formula>NOT(ISERROR(SEARCH(("Yes"),(N390))))</formula>
    </cfRule>
  </conditionalFormatting>
  <conditionalFormatting sqref="N390:O390">
    <cfRule type="containsText" dxfId="2" priority="51728" operator="containsText" text="Yes">
      <formula>NOT(ISERROR(SEARCH(("Yes"),(N390))))</formula>
    </cfRule>
  </conditionalFormatting>
  <conditionalFormatting sqref="N390:O390">
    <cfRule type="containsText" dxfId="2" priority="51729" operator="containsText" text="Yes">
      <formula>NOT(ISERROR(SEARCH(("Yes"),(N390))))</formula>
    </cfRule>
  </conditionalFormatting>
  <conditionalFormatting sqref="N390:O390">
    <cfRule type="containsText" dxfId="2" priority="51730" operator="containsText" text="Yes">
      <formula>NOT(ISERROR(SEARCH(("Yes"),(N390))))</formula>
    </cfRule>
  </conditionalFormatting>
  <conditionalFormatting sqref="N390:O390">
    <cfRule type="containsText" dxfId="2" priority="51731" operator="containsText" text="Yes">
      <formula>NOT(ISERROR(SEARCH(("Yes"),(N390))))</formula>
    </cfRule>
  </conditionalFormatting>
  <conditionalFormatting sqref="N390:O390">
    <cfRule type="containsText" dxfId="2" priority="51732" operator="containsText" text="Yes">
      <formula>NOT(ISERROR(SEARCH(("Yes"),(N390))))</formula>
    </cfRule>
  </conditionalFormatting>
  <conditionalFormatting sqref="N390:O390">
    <cfRule type="containsText" dxfId="2" priority="51733" operator="containsText" text="Yes">
      <formula>NOT(ISERROR(SEARCH(("Yes"),(N390))))</formula>
    </cfRule>
  </conditionalFormatting>
  <conditionalFormatting sqref="N390:O390">
    <cfRule type="containsText" dxfId="2" priority="51734" operator="containsText" text="Yes">
      <formula>NOT(ISERROR(SEARCH(("Yes"),(N390))))</formula>
    </cfRule>
  </conditionalFormatting>
  <conditionalFormatting sqref="N390:O390">
    <cfRule type="containsText" dxfId="2" priority="51735" operator="containsText" text="Yes">
      <formula>NOT(ISERROR(SEARCH(("Yes"),(N390))))</formula>
    </cfRule>
  </conditionalFormatting>
  <conditionalFormatting sqref="N390:O390">
    <cfRule type="containsText" dxfId="2" priority="51736" operator="containsText" text="Yes">
      <formula>NOT(ISERROR(SEARCH(("Yes"),(N390))))</formula>
    </cfRule>
  </conditionalFormatting>
  <conditionalFormatting sqref="N390:O390">
    <cfRule type="containsText" dxfId="2" priority="51737" operator="containsText" text="Yes">
      <formula>NOT(ISERROR(SEARCH(("Yes"),(N390))))</formula>
    </cfRule>
  </conditionalFormatting>
  <conditionalFormatting sqref="N390:O390">
    <cfRule type="containsText" dxfId="2" priority="51738" operator="containsText" text="Yes">
      <formula>NOT(ISERROR(SEARCH(("Yes"),(N390))))</formula>
    </cfRule>
  </conditionalFormatting>
  <conditionalFormatting sqref="N390:O390">
    <cfRule type="containsText" dxfId="2" priority="51739" operator="containsText" text="Yes">
      <formula>NOT(ISERROR(SEARCH(("Yes"),(N390))))</formula>
    </cfRule>
  </conditionalFormatting>
  <conditionalFormatting sqref="N390:O390">
    <cfRule type="containsText" dxfId="2" priority="51740" operator="containsText" text="Yes">
      <formula>NOT(ISERROR(SEARCH(("Yes"),(N390))))</formula>
    </cfRule>
  </conditionalFormatting>
  <conditionalFormatting sqref="N465">
    <cfRule type="containsText" dxfId="9" priority="51741" operator="containsText" text="No">
      <formula>NOT(ISERROR(SEARCH(("No"),(N465))))</formula>
    </cfRule>
  </conditionalFormatting>
  <conditionalFormatting sqref="N465">
    <cfRule type="containsText" dxfId="2" priority="51742" operator="containsText" text="Yes">
      <formula>NOT(ISERROR(SEARCH(("Yes"),(N465))))</formula>
    </cfRule>
  </conditionalFormatting>
  <conditionalFormatting sqref="O465">
    <cfRule type="containsText" dxfId="9" priority="51743" operator="containsText" text="No">
      <formula>NOT(ISERROR(SEARCH(("No"),(O465))))</formula>
    </cfRule>
  </conditionalFormatting>
  <conditionalFormatting sqref="O465">
    <cfRule type="containsText" dxfId="2" priority="51744" operator="containsText" text="Yes">
      <formula>NOT(ISERROR(SEARCH(("Yes"),(O465))))</formula>
    </cfRule>
  </conditionalFormatting>
  <conditionalFormatting sqref="P465">
    <cfRule type="containsText" dxfId="9" priority="51745" operator="containsText" text="No">
      <formula>NOT(ISERROR(SEARCH(("No"),(P465))))</formula>
    </cfRule>
  </conditionalFormatting>
  <conditionalFormatting sqref="P465">
    <cfRule type="containsText" dxfId="2" priority="51746" operator="containsText" text="Yes">
      <formula>NOT(ISERROR(SEARCH(("Yes"),(P465))))</formula>
    </cfRule>
  </conditionalFormatting>
  <conditionalFormatting sqref="Q465">
    <cfRule type="containsText" dxfId="9" priority="51747" operator="containsText" text="No">
      <formula>NOT(ISERROR(SEARCH(("No"),(Q465))))</formula>
    </cfRule>
  </conditionalFormatting>
  <conditionalFormatting sqref="Q465">
    <cfRule type="containsText" dxfId="2" priority="51748" operator="containsText" text="Yes">
      <formula>NOT(ISERROR(SEARCH(("Yes"),(Q465))))</formula>
    </cfRule>
  </conditionalFormatting>
  <conditionalFormatting sqref="N466:Q501">
    <cfRule type="containsText" dxfId="9" priority="51749" operator="containsText" text="No">
      <formula>NOT(ISERROR(SEARCH(("No"),(N466))))</formula>
    </cfRule>
  </conditionalFormatting>
  <conditionalFormatting sqref="N466:Q501">
    <cfRule type="containsText" dxfId="2" priority="51750" operator="containsText" text="Yes">
      <formula>NOT(ISERROR(SEARCH(("Yes"),(N466))))</formula>
    </cfRule>
  </conditionalFormatting>
  <conditionalFormatting sqref="N502:Q541">
    <cfRule type="containsText" dxfId="9" priority="51751" operator="containsText" text="No">
      <formula>NOT(ISERROR(SEARCH(("No"),(N502))))</formula>
    </cfRule>
  </conditionalFormatting>
  <conditionalFormatting sqref="N502:Q541">
    <cfRule type="containsText" dxfId="2" priority="51752" operator="containsText" text="Yes">
      <formula>NOT(ISERROR(SEARCH(("Yes"),(N502))))</formula>
    </cfRule>
  </conditionalFormatting>
  <conditionalFormatting sqref="N542:Q542">
    <cfRule type="containsText" dxfId="9" priority="51753" operator="containsText" text="No">
      <formula>NOT(ISERROR(SEARCH(("No"),(N542))))</formula>
    </cfRule>
  </conditionalFormatting>
  <conditionalFormatting sqref="N542:Q542">
    <cfRule type="containsText" dxfId="2" priority="51754" operator="containsText" text="Yes">
      <formula>NOT(ISERROR(SEARCH(("Yes"),(N542))))</formula>
    </cfRule>
  </conditionalFormatting>
  <conditionalFormatting sqref="N543:N544">
    <cfRule type="containsText" dxfId="9" priority="51755" operator="containsText" text="No">
      <formula>NOT(ISERROR(SEARCH(("No"),(N543))))</formula>
    </cfRule>
  </conditionalFormatting>
  <conditionalFormatting sqref="N543:N544">
    <cfRule type="containsText" dxfId="2" priority="51756" operator="containsText" text="Yes">
      <formula>NOT(ISERROR(SEARCH(("Yes"),(N543))))</formula>
    </cfRule>
  </conditionalFormatting>
  <conditionalFormatting sqref="O543:O544">
    <cfRule type="containsText" dxfId="9" priority="51757" operator="containsText" text="No">
      <formula>NOT(ISERROR(SEARCH(("No"),(O543))))</formula>
    </cfRule>
  </conditionalFormatting>
  <conditionalFormatting sqref="O543:O544">
    <cfRule type="containsText" dxfId="2" priority="51758" operator="containsText" text="Yes">
      <formula>NOT(ISERROR(SEARCH(("Yes"),(O543))))</formula>
    </cfRule>
  </conditionalFormatting>
  <conditionalFormatting sqref="P543:Q543">
    <cfRule type="containsText" dxfId="9" priority="51759" operator="containsText" text="No">
      <formula>NOT(ISERROR(SEARCH(("No"),(P543))))</formula>
    </cfRule>
  </conditionalFormatting>
  <conditionalFormatting sqref="P543:Q543">
    <cfRule type="containsText" dxfId="2" priority="51760" operator="containsText" text="Yes">
      <formula>NOT(ISERROR(SEARCH(("Yes"),(P543))))</formula>
    </cfRule>
  </conditionalFormatting>
  <conditionalFormatting sqref="P544:Q544">
    <cfRule type="containsText" dxfId="9" priority="51761" operator="containsText" text="No">
      <formula>NOT(ISERROR(SEARCH(("No"),(P544))))</formula>
    </cfRule>
  </conditionalFormatting>
  <conditionalFormatting sqref="P544:Q544">
    <cfRule type="containsText" dxfId="2" priority="51762" operator="containsText" text="Yes">
      <formula>NOT(ISERROR(SEARCH(("Yes"),(P544))))</formula>
    </cfRule>
  </conditionalFormatting>
  <conditionalFormatting sqref="N545:Q545">
    <cfRule type="containsText" dxfId="9" priority="51763" operator="containsText" text="No">
      <formula>NOT(ISERROR(SEARCH(("No"),(N545))))</formula>
    </cfRule>
  </conditionalFormatting>
  <conditionalFormatting sqref="N545:Q545">
    <cfRule type="containsText" dxfId="2" priority="51764" operator="containsText" text="Yes">
      <formula>NOT(ISERROR(SEARCH(("Yes"),(N545))))</formula>
    </cfRule>
  </conditionalFormatting>
  <conditionalFormatting sqref="N547:Q547">
    <cfRule type="containsText" dxfId="9" priority="51765" operator="containsText" text="No">
      <formula>NOT(ISERROR(SEARCH(("No"),(N547))))</formula>
    </cfRule>
  </conditionalFormatting>
  <conditionalFormatting sqref="N547:Q547">
    <cfRule type="containsText" dxfId="2" priority="51766" operator="containsText" text="Yes">
      <formula>NOT(ISERROR(SEARCH(("Yes"),(N547))))</formula>
    </cfRule>
  </conditionalFormatting>
  <conditionalFormatting sqref="N546">
    <cfRule type="containsText" dxfId="9" priority="51767" operator="containsText" text="No">
      <formula>NOT(ISERROR(SEARCH(("No"),(N546))))</formula>
    </cfRule>
  </conditionalFormatting>
  <conditionalFormatting sqref="N546">
    <cfRule type="containsText" dxfId="2" priority="51768" operator="containsText" text="Yes">
      <formula>NOT(ISERROR(SEARCH(("Yes"),(N546))))</formula>
    </cfRule>
  </conditionalFormatting>
  <conditionalFormatting sqref="O546">
    <cfRule type="containsText" dxfId="9" priority="51769" operator="containsText" text="No">
      <formula>NOT(ISERROR(SEARCH(("No"),(O546))))</formula>
    </cfRule>
  </conditionalFormatting>
  <conditionalFormatting sqref="O546">
    <cfRule type="containsText" dxfId="2" priority="51770" operator="containsText" text="Yes">
      <formula>NOT(ISERROR(SEARCH(("Yes"),(O546))))</formula>
    </cfRule>
  </conditionalFormatting>
  <conditionalFormatting sqref="P546:Q546">
    <cfRule type="containsText" dxfId="9" priority="51771" operator="containsText" text="No">
      <formula>NOT(ISERROR(SEARCH(("No"),(P546))))</formula>
    </cfRule>
  </conditionalFormatting>
  <conditionalFormatting sqref="P546:Q546">
    <cfRule type="containsText" dxfId="2" priority="51772" operator="containsText" text="Yes">
      <formula>NOT(ISERROR(SEARCH(("Yes"),(P546))))</formula>
    </cfRule>
  </conditionalFormatting>
  <conditionalFormatting sqref="N548">
    <cfRule type="containsText" dxfId="9" priority="51773" operator="containsText" text="No">
      <formula>NOT(ISERROR(SEARCH(("No"),(N548))))</formula>
    </cfRule>
  </conditionalFormatting>
  <conditionalFormatting sqref="N548">
    <cfRule type="containsText" dxfId="2" priority="51774" operator="containsText" text="Yes">
      <formula>NOT(ISERROR(SEARCH(("Yes"),(N548))))</formula>
    </cfRule>
  </conditionalFormatting>
  <conditionalFormatting sqref="O548">
    <cfRule type="containsText" dxfId="9" priority="51775" operator="containsText" text="No">
      <formula>NOT(ISERROR(SEARCH(("No"),(O548))))</formula>
    </cfRule>
  </conditionalFormatting>
  <conditionalFormatting sqref="O548">
    <cfRule type="containsText" dxfId="2" priority="51776" operator="containsText" text="Yes">
      <formula>NOT(ISERROR(SEARCH(("Yes"),(O548))))</formula>
    </cfRule>
  </conditionalFormatting>
  <conditionalFormatting sqref="P548:Q548">
    <cfRule type="containsText" dxfId="9" priority="51777" operator="containsText" text="No">
      <formula>NOT(ISERROR(SEARCH(("No"),(P548))))</formula>
    </cfRule>
  </conditionalFormatting>
  <conditionalFormatting sqref="P548:Q548">
    <cfRule type="containsText" dxfId="2" priority="51778" operator="containsText" text="Yes">
      <formula>NOT(ISERROR(SEARCH(("Yes"),(P548))))</formula>
    </cfRule>
  </conditionalFormatting>
  <conditionalFormatting sqref="N549:Q549">
    <cfRule type="containsText" dxfId="9" priority="51779" operator="containsText" text="No">
      <formula>NOT(ISERROR(SEARCH(("No"),(N549))))</formula>
    </cfRule>
  </conditionalFormatting>
  <conditionalFormatting sqref="N549:Q549">
    <cfRule type="containsText" dxfId="2" priority="51780" operator="containsText" text="Yes">
      <formula>NOT(ISERROR(SEARCH(("Yes"),(N549))))</formula>
    </cfRule>
  </conditionalFormatting>
  <conditionalFormatting sqref="N550:N560">
    <cfRule type="containsText" dxfId="9" priority="51781" operator="containsText" text="No">
      <formula>NOT(ISERROR(SEARCH(("No"),(N550))))</formula>
    </cfRule>
  </conditionalFormatting>
  <conditionalFormatting sqref="N550:N560">
    <cfRule type="containsText" dxfId="2" priority="51782" operator="containsText" text="Yes">
      <formula>NOT(ISERROR(SEARCH(("Yes"),(N550))))</formula>
    </cfRule>
  </conditionalFormatting>
  <conditionalFormatting sqref="O550:O560">
    <cfRule type="containsText" dxfId="9" priority="51783" operator="containsText" text="No">
      <formula>NOT(ISERROR(SEARCH(("No"),(O550))))</formula>
    </cfRule>
  </conditionalFormatting>
  <conditionalFormatting sqref="O550:O560">
    <cfRule type="containsText" dxfId="2" priority="51784" operator="containsText" text="Yes">
      <formula>NOT(ISERROR(SEARCH(("Yes"),(O550))))</formula>
    </cfRule>
  </conditionalFormatting>
  <conditionalFormatting sqref="P550:Q550">
    <cfRule type="containsText" dxfId="9" priority="51785" operator="containsText" text="No">
      <formula>NOT(ISERROR(SEARCH(("No"),(P550))))</formula>
    </cfRule>
  </conditionalFormatting>
  <conditionalFormatting sqref="P550:Q550">
    <cfRule type="containsText" dxfId="2" priority="51786" operator="containsText" text="Yes">
      <formula>NOT(ISERROR(SEARCH(("Yes"),(P550))))</formula>
    </cfRule>
  </conditionalFormatting>
  <conditionalFormatting sqref="P551:Q553">
    <cfRule type="containsText" dxfId="9" priority="51787" operator="containsText" text="No">
      <formula>NOT(ISERROR(SEARCH(("No"),(P551))))</formula>
    </cfRule>
  </conditionalFormatting>
  <conditionalFormatting sqref="P551:Q553">
    <cfRule type="containsText" dxfId="2" priority="51788" operator="containsText" text="Yes">
      <formula>NOT(ISERROR(SEARCH(("Yes"),(P551))))</formula>
    </cfRule>
  </conditionalFormatting>
  <conditionalFormatting sqref="P554:Q556">
    <cfRule type="containsText" dxfId="9" priority="51789" operator="containsText" text="No">
      <formula>NOT(ISERROR(SEARCH(("No"),(P554))))</formula>
    </cfRule>
  </conditionalFormatting>
  <conditionalFormatting sqref="P554:Q556">
    <cfRule type="containsText" dxfId="2" priority="51790" operator="containsText" text="Yes">
      <formula>NOT(ISERROR(SEARCH(("Yes"),(P554))))</formula>
    </cfRule>
  </conditionalFormatting>
  <conditionalFormatting sqref="P557:Q557">
    <cfRule type="containsText" dxfId="9" priority="51791" operator="containsText" text="No">
      <formula>NOT(ISERROR(SEARCH(("No"),(P557))))</formula>
    </cfRule>
  </conditionalFormatting>
  <conditionalFormatting sqref="P557:Q557">
    <cfRule type="containsText" dxfId="2" priority="51792" operator="containsText" text="Yes">
      <formula>NOT(ISERROR(SEARCH(("Yes"),(P557))))</formula>
    </cfRule>
  </conditionalFormatting>
  <conditionalFormatting sqref="P558:Q558">
    <cfRule type="containsText" dxfId="9" priority="51793" operator="containsText" text="No">
      <formula>NOT(ISERROR(SEARCH(("No"),(P558))))</formula>
    </cfRule>
  </conditionalFormatting>
  <conditionalFormatting sqref="P558:Q558">
    <cfRule type="containsText" dxfId="2" priority="51794" operator="containsText" text="Yes">
      <formula>NOT(ISERROR(SEARCH(("Yes"),(P558))))</formula>
    </cfRule>
  </conditionalFormatting>
  <conditionalFormatting sqref="P559:Q559">
    <cfRule type="containsText" dxfId="9" priority="51795" operator="containsText" text="No">
      <formula>NOT(ISERROR(SEARCH(("No"),(P559))))</formula>
    </cfRule>
  </conditionalFormatting>
  <conditionalFormatting sqref="P559:Q559">
    <cfRule type="containsText" dxfId="2" priority="51796" operator="containsText" text="Yes">
      <formula>NOT(ISERROR(SEARCH(("Yes"),(P559))))</formula>
    </cfRule>
  </conditionalFormatting>
  <conditionalFormatting sqref="P560:Q560">
    <cfRule type="containsText" dxfId="9" priority="51797" operator="containsText" text="No">
      <formula>NOT(ISERROR(SEARCH(("No"),(P560))))</formula>
    </cfRule>
  </conditionalFormatting>
  <conditionalFormatting sqref="P560:Q560">
    <cfRule type="containsText" dxfId="2" priority="51798" operator="containsText" text="Yes">
      <formula>NOT(ISERROR(SEARCH(("Yes"),(P560))))</formula>
    </cfRule>
  </conditionalFormatting>
  <conditionalFormatting sqref="N561:Q561">
    <cfRule type="containsText" dxfId="9" priority="51799" operator="containsText" text="No">
      <formula>NOT(ISERROR(SEARCH(("No"),(N561))))</formula>
    </cfRule>
  </conditionalFormatting>
  <conditionalFormatting sqref="N561:Q561">
    <cfRule type="containsText" dxfId="2" priority="51800" operator="containsText" text="Yes">
      <formula>NOT(ISERROR(SEARCH(("Yes"),(N561))))</formula>
    </cfRule>
  </conditionalFormatting>
  <conditionalFormatting sqref="N562:Q562">
    <cfRule type="containsText" dxfId="9" priority="51801" operator="containsText" text="No">
      <formula>NOT(ISERROR(SEARCH(("No"),(N562))))</formula>
    </cfRule>
  </conditionalFormatting>
  <conditionalFormatting sqref="N562:Q562">
    <cfRule type="containsText" dxfId="2" priority="51802" operator="containsText" text="Yes">
      <formula>NOT(ISERROR(SEARCH(("Yes"),(N562))))</formula>
    </cfRule>
  </conditionalFormatting>
  <conditionalFormatting sqref="N563">
    <cfRule type="containsText" dxfId="9" priority="51803" operator="containsText" text="No">
      <formula>NOT(ISERROR(SEARCH(("No"),(N563))))</formula>
    </cfRule>
  </conditionalFormatting>
  <conditionalFormatting sqref="N563">
    <cfRule type="containsText" dxfId="2" priority="51804" operator="containsText" text="Yes">
      <formula>NOT(ISERROR(SEARCH(("Yes"),(N563))))</formula>
    </cfRule>
  </conditionalFormatting>
  <conditionalFormatting sqref="O563">
    <cfRule type="containsText" dxfId="9" priority="51805" operator="containsText" text="No">
      <formula>NOT(ISERROR(SEARCH(("No"),(O563))))</formula>
    </cfRule>
  </conditionalFormatting>
  <conditionalFormatting sqref="O563">
    <cfRule type="containsText" dxfId="2" priority="51806" operator="containsText" text="Yes">
      <formula>NOT(ISERROR(SEARCH(("Yes"),(O563))))</formula>
    </cfRule>
  </conditionalFormatting>
  <conditionalFormatting sqref="P563:Q563">
    <cfRule type="containsText" dxfId="9" priority="51807" operator="containsText" text="No">
      <formula>NOT(ISERROR(SEARCH(("No"),(P563))))</formula>
    </cfRule>
  </conditionalFormatting>
  <conditionalFormatting sqref="P563:Q563">
    <cfRule type="containsText" dxfId="2" priority="51808" operator="containsText" text="Yes">
      <formula>NOT(ISERROR(SEARCH(("Yes"),(P563))))</formula>
    </cfRule>
  </conditionalFormatting>
  <conditionalFormatting sqref="N564:Q564">
    <cfRule type="containsText" dxfId="9" priority="51809" operator="containsText" text="No">
      <formula>NOT(ISERROR(SEARCH(("No"),(N564))))</formula>
    </cfRule>
  </conditionalFormatting>
  <conditionalFormatting sqref="N564:Q564">
    <cfRule type="containsText" dxfId="2" priority="51810" operator="containsText" text="Yes">
      <formula>NOT(ISERROR(SEARCH(("Yes"),(N564))))</formula>
    </cfRule>
  </conditionalFormatting>
  <conditionalFormatting sqref="N565:Q565">
    <cfRule type="containsText" dxfId="9" priority="51811" operator="containsText" text="No">
      <formula>NOT(ISERROR(SEARCH(("No"),(N565))))</formula>
    </cfRule>
  </conditionalFormatting>
  <conditionalFormatting sqref="N565:Q565">
    <cfRule type="containsText" dxfId="2" priority="51812" operator="containsText" text="Yes">
      <formula>NOT(ISERROR(SEARCH(("Yes"),(N565))))</formula>
    </cfRule>
  </conditionalFormatting>
  <conditionalFormatting sqref="N566">
    <cfRule type="containsText" dxfId="9" priority="51813" operator="containsText" text="No">
      <formula>NOT(ISERROR(SEARCH(("No"),(N566))))</formula>
    </cfRule>
  </conditionalFormatting>
  <conditionalFormatting sqref="N566">
    <cfRule type="containsText" dxfId="2" priority="51814" operator="containsText" text="Yes">
      <formula>NOT(ISERROR(SEARCH(("Yes"),(N566))))</formula>
    </cfRule>
  </conditionalFormatting>
  <conditionalFormatting sqref="O566">
    <cfRule type="containsText" dxfId="9" priority="51815" operator="containsText" text="No">
      <formula>NOT(ISERROR(SEARCH(("No"),(O566))))</formula>
    </cfRule>
  </conditionalFormatting>
  <conditionalFormatting sqref="O566">
    <cfRule type="containsText" dxfId="2" priority="51816" operator="containsText" text="Yes">
      <formula>NOT(ISERROR(SEARCH(("Yes"),(O566))))</formula>
    </cfRule>
  </conditionalFormatting>
  <conditionalFormatting sqref="P566:Q566">
    <cfRule type="containsText" dxfId="9" priority="51817" operator="containsText" text="No">
      <formula>NOT(ISERROR(SEARCH(("No"),(P566))))</formula>
    </cfRule>
  </conditionalFormatting>
  <conditionalFormatting sqref="P566:Q566">
    <cfRule type="containsText" dxfId="2" priority="51818" operator="containsText" text="Yes">
      <formula>NOT(ISERROR(SEARCH(("Yes"),(P566))))</formula>
    </cfRule>
  </conditionalFormatting>
  <conditionalFormatting sqref="N567:Q567">
    <cfRule type="containsText" dxfId="9" priority="51819" operator="containsText" text="No">
      <formula>NOT(ISERROR(SEARCH(("No"),(N567))))</formula>
    </cfRule>
  </conditionalFormatting>
  <conditionalFormatting sqref="N567:Q567">
    <cfRule type="containsText" dxfId="2" priority="51820" operator="containsText" text="Yes">
      <formula>NOT(ISERROR(SEARCH(("Yes"),(N567))))</formula>
    </cfRule>
  </conditionalFormatting>
  <conditionalFormatting sqref="N568:Q568">
    <cfRule type="containsText" dxfId="9" priority="51821" operator="containsText" text="No">
      <formula>NOT(ISERROR(SEARCH(("No"),(N568))))</formula>
    </cfRule>
  </conditionalFormatting>
  <conditionalFormatting sqref="N568:Q568">
    <cfRule type="containsText" dxfId="2" priority="51822" operator="containsText" text="Yes">
      <formula>NOT(ISERROR(SEARCH(("Yes"),(N568))))</formula>
    </cfRule>
  </conditionalFormatting>
  <conditionalFormatting sqref="N569:Q569">
    <cfRule type="containsText" dxfId="9" priority="51823" operator="containsText" text="No">
      <formula>NOT(ISERROR(SEARCH(("No"),(N569))))</formula>
    </cfRule>
  </conditionalFormatting>
  <conditionalFormatting sqref="N569:Q569">
    <cfRule type="containsText" dxfId="2" priority="51824" operator="containsText" text="Yes">
      <formula>NOT(ISERROR(SEARCH(("Yes"),(N569))))</formula>
    </cfRule>
  </conditionalFormatting>
  <conditionalFormatting sqref="N570:Q570">
    <cfRule type="containsText" dxfId="9" priority="51825" operator="containsText" text="No">
      <formula>NOT(ISERROR(SEARCH(("No"),(N570))))</formula>
    </cfRule>
  </conditionalFormatting>
  <conditionalFormatting sqref="N570:Q570">
    <cfRule type="containsText" dxfId="2" priority="51826" operator="containsText" text="Yes">
      <formula>NOT(ISERROR(SEARCH(("Yes"),(N570))))</formula>
    </cfRule>
  </conditionalFormatting>
  <conditionalFormatting sqref="N571:Q571">
    <cfRule type="containsText" dxfId="9" priority="51827" operator="containsText" text="No">
      <formula>NOT(ISERROR(SEARCH(("No"),(N571))))</formula>
    </cfRule>
  </conditionalFormatting>
  <conditionalFormatting sqref="N571:Q571">
    <cfRule type="containsText" dxfId="2" priority="51828" operator="containsText" text="Yes">
      <formula>NOT(ISERROR(SEARCH(("Yes"),(N571))))</formula>
    </cfRule>
  </conditionalFormatting>
  <conditionalFormatting sqref="N572:Q572">
    <cfRule type="containsText" dxfId="9" priority="51829" operator="containsText" text="No">
      <formula>NOT(ISERROR(SEARCH(("No"),(N572))))</formula>
    </cfRule>
  </conditionalFormatting>
  <conditionalFormatting sqref="N572:Q572">
    <cfRule type="containsText" dxfId="2" priority="51830" operator="containsText" text="Yes">
      <formula>NOT(ISERROR(SEARCH(("Yes"),(N572))))</formula>
    </cfRule>
  </conditionalFormatting>
  <conditionalFormatting sqref="N573:Q573">
    <cfRule type="containsText" dxfId="9" priority="51831" operator="containsText" text="No">
      <formula>NOT(ISERROR(SEARCH(("No"),(N573))))</formula>
    </cfRule>
  </conditionalFormatting>
  <conditionalFormatting sqref="N573:Q573">
    <cfRule type="containsText" dxfId="2" priority="51832" operator="containsText" text="Yes">
      <formula>NOT(ISERROR(SEARCH(("Yes"),(N573))))</formula>
    </cfRule>
  </conditionalFormatting>
  <conditionalFormatting sqref="O574:Q574">
    <cfRule type="containsText" dxfId="9" priority="51833" operator="containsText" text="No">
      <formula>NOT(ISERROR(SEARCH(("No"),(O574))))</formula>
    </cfRule>
  </conditionalFormatting>
  <conditionalFormatting sqref="O574:Q574">
    <cfRule type="containsText" dxfId="2" priority="51834" operator="containsText" text="Yes">
      <formula>NOT(ISERROR(SEARCH(("Yes"),(O574))))</formula>
    </cfRule>
  </conditionalFormatting>
  <conditionalFormatting sqref="N574:N576">
    <cfRule type="containsText" dxfId="9" priority="51835" operator="containsText" text="No">
      <formula>NOT(ISERROR(SEARCH(("No"),(N574))))</formula>
    </cfRule>
  </conditionalFormatting>
  <conditionalFormatting sqref="N574:N576">
    <cfRule type="containsText" dxfId="2" priority="51836" operator="containsText" text="Yes">
      <formula>NOT(ISERROR(SEARCH(("Yes"),(N574))))</formula>
    </cfRule>
  </conditionalFormatting>
  <conditionalFormatting sqref="O575:Q575">
    <cfRule type="containsText" dxfId="9" priority="51837" operator="containsText" text="No">
      <formula>NOT(ISERROR(SEARCH(("No"),(O575))))</formula>
    </cfRule>
  </conditionalFormatting>
  <conditionalFormatting sqref="O575:Q575">
    <cfRule type="containsText" dxfId="2" priority="51838" operator="containsText" text="Yes">
      <formula>NOT(ISERROR(SEARCH(("Yes"),(O575))))</formula>
    </cfRule>
  </conditionalFormatting>
  <conditionalFormatting sqref="O576">
    <cfRule type="containsText" dxfId="9" priority="51839" operator="containsText" text="No">
      <formula>NOT(ISERROR(SEARCH(("No"),(O576))))</formula>
    </cfRule>
  </conditionalFormatting>
  <conditionalFormatting sqref="O576">
    <cfRule type="containsText" dxfId="2" priority="51840" operator="containsText" text="Yes">
      <formula>NOT(ISERROR(SEARCH(("Yes"),(O576))))</formula>
    </cfRule>
  </conditionalFormatting>
  <conditionalFormatting sqref="N577">
    <cfRule type="containsText" dxfId="9" priority="51841" operator="containsText" text="No">
      <formula>NOT(ISERROR(SEARCH(("No"),(N577))))</formula>
    </cfRule>
  </conditionalFormatting>
  <conditionalFormatting sqref="N577">
    <cfRule type="containsText" dxfId="2" priority="51842" operator="containsText" text="Yes">
      <formula>NOT(ISERROR(SEARCH(("Yes"),(N577))))</formula>
    </cfRule>
  </conditionalFormatting>
  <conditionalFormatting sqref="O577">
    <cfRule type="containsText" dxfId="9" priority="51843" operator="containsText" text="No">
      <formula>NOT(ISERROR(SEARCH(("No"),(O577))))</formula>
    </cfRule>
  </conditionalFormatting>
  <conditionalFormatting sqref="O577">
    <cfRule type="containsText" dxfId="2" priority="51844" operator="containsText" text="Yes">
      <formula>NOT(ISERROR(SEARCH(("Yes"),(O577))))</formula>
    </cfRule>
  </conditionalFormatting>
  <conditionalFormatting sqref="P577:Q577">
    <cfRule type="containsText" dxfId="9" priority="51845" operator="containsText" text="No">
      <formula>NOT(ISERROR(SEARCH(("No"),(P577))))</formula>
    </cfRule>
  </conditionalFormatting>
  <conditionalFormatting sqref="P577:Q577">
    <cfRule type="containsText" dxfId="2" priority="51846" operator="containsText" text="Yes">
      <formula>NOT(ISERROR(SEARCH(("Yes"),(P577))))</formula>
    </cfRule>
  </conditionalFormatting>
  <conditionalFormatting sqref="N578:Q578">
    <cfRule type="containsText" dxfId="9" priority="51847" operator="containsText" text="No">
      <formula>NOT(ISERROR(SEARCH(("No"),(N578))))</formula>
    </cfRule>
  </conditionalFormatting>
  <conditionalFormatting sqref="N578:Q578">
    <cfRule type="containsText" dxfId="2" priority="51848" operator="containsText" text="Yes">
      <formula>NOT(ISERROR(SEARCH(("Yes"),(N578))))</formula>
    </cfRule>
  </conditionalFormatting>
  <conditionalFormatting sqref="N579">
    <cfRule type="containsText" dxfId="9" priority="51849" operator="containsText" text="No">
      <formula>NOT(ISERROR(SEARCH(("No"),(N579))))</formula>
    </cfRule>
  </conditionalFormatting>
  <conditionalFormatting sqref="N579">
    <cfRule type="containsText" dxfId="2" priority="51850" operator="containsText" text="Yes">
      <formula>NOT(ISERROR(SEARCH(("Yes"),(N579))))</formula>
    </cfRule>
  </conditionalFormatting>
  <conditionalFormatting sqref="O579">
    <cfRule type="containsText" dxfId="9" priority="51851" operator="containsText" text="No">
      <formula>NOT(ISERROR(SEARCH(("No"),(O579))))</formula>
    </cfRule>
  </conditionalFormatting>
  <conditionalFormatting sqref="O579">
    <cfRule type="containsText" dxfId="2" priority="51852" operator="containsText" text="Yes">
      <formula>NOT(ISERROR(SEARCH(("Yes"),(O579))))</formula>
    </cfRule>
  </conditionalFormatting>
  <conditionalFormatting sqref="P579:Q579">
    <cfRule type="containsText" dxfId="9" priority="51853" operator="containsText" text="No">
      <formula>NOT(ISERROR(SEARCH(("No"),(P579))))</formula>
    </cfRule>
  </conditionalFormatting>
  <conditionalFormatting sqref="P579:Q579">
    <cfRule type="containsText" dxfId="2" priority="51854" operator="containsText" text="Yes">
      <formula>NOT(ISERROR(SEARCH(("Yes"),(P579))))</formula>
    </cfRule>
  </conditionalFormatting>
  <conditionalFormatting sqref="O580:Q580">
    <cfRule type="containsText" dxfId="9" priority="51855" operator="containsText" text="No">
      <formula>NOT(ISERROR(SEARCH(("No"),(O580))))</formula>
    </cfRule>
  </conditionalFormatting>
  <conditionalFormatting sqref="O580:Q580">
    <cfRule type="containsText" dxfId="2" priority="51856" operator="containsText" text="Yes">
      <formula>NOT(ISERROR(SEARCH(("Yes"),(O580))))</formula>
    </cfRule>
  </conditionalFormatting>
  <conditionalFormatting sqref="N580:N584">
    <cfRule type="containsText" dxfId="9" priority="51857" operator="containsText" text="No">
      <formula>NOT(ISERROR(SEARCH(("No"),(N580))))</formula>
    </cfRule>
  </conditionalFormatting>
  <conditionalFormatting sqref="N580:N584">
    <cfRule type="containsText" dxfId="2" priority="51858" operator="containsText" text="Yes">
      <formula>NOT(ISERROR(SEARCH(("Yes"),(N580))))</formula>
    </cfRule>
  </conditionalFormatting>
  <conditionalFormatting sqref="O581">
    <cfRule type="containsText" dxfId="9" priority="51859" operator="containsText" text="No">
      <formula>NOT(ISERROR(SEARCH(("No"),(O581))))</formula>
    </cfRule>
  </conditionalFormatting>
  <conditionalFormatting sqref="O581">
    <cfRule type="containsText" dxfId="2" priority="51860" operator="containsText" text="Yes">
      <formula>NOT(ISERROR(SEARCH(("Yes"),(O581))))</formula>
    </cfRule>
  </conditionalFormatting>
  <conditionalFormatting sqref="P581">
    <cfRule type="containsText" dxfId="9" priority="51861" operator="containsText" text="No">
      <formula>NOT(ISERROR(SEARCH(("No"),(P581))))</formula>
    </cfRule>
  </conditionalFormatting>
  <conditionalFormatting sqref="P581">
    <cfRule type="containsText" dxfId="2" priority="51862" operator="containsText" text="Yes">
      <formula>NOT(ISERROR(SEARCH(("Yes"),(P581))))</formula>
    </cfRule>
  </conditionalFormatting>
  <conditionalFormatting sqref="P581">
    <cfRule type="containsText" dxfId="2" priority="51863" operator="containsText" text="Yes">
      <formula>NOT(ISERROR(SEARCH(("Yes"),(P581))))</formula>
    </cfRule>
  </conditionalFormatting>
  <conditionalFormatting sqref="P581">
    <cfRule type="containsText" dxfId="9" priority="51864" operator="containsText" text="No">
      <formula>NOT(ISERROR(SEARCH(("No"),(P581))))</formula>
    </cfRule>
  </conditionalFormatting>
  <conditionalFormatting sqref="P581">
    <cfRule type="containsText" dxfId="2" priority="51865" operator="containsText" text="Yes">
      <formula>NOT(ISERROR(SEARCH(("Yes"),(P581))))</formula>
    </cfRule>
  </conditionalFormatting>
  <conditionalFormatting sqref="P581">
    <cfRule type="containsText" dxfId="9" priority="51866" operator="containsText" text="No">
      <formula>NOT(ISERROR(SEARCH(("No"),(P581))))</formula>
    </cfRule>
  </conditionalFormatting>
  <conditionalFormatting sqref="P581">
    <cfRule type="containsText" dxfId="2" priority="51867" operator="containsText" text="Yes">
      <formula>NOT(ISERROR(SEARCH(("Yes"),(P581))))</formula>
    </cfRule>
  </conditionalFormatting>
  <conditionalFormatting sqref="P581">
    <cfRule type="containsText" dxfId="9" priority="51868" operator="containsText" text="No">
      <formula>NOT(ISERROR(SEARCH(("No"),(P581))))</formula>
    </cfRule>
  </conditionalFormatting>
  <conditionalFormatting sqref="P581">
    <cfRule type="containsText" dxfId="2" priority="51869" operator="containsText" text="Yes">
      <formula>NOT(ISERROR(SEARCH(("Yes"),(P581))))</formula>
    </cfRule>
  </conditionalFormatting>
  <conditionalFormatting sqref="P581">
    <cfRule type="containsText" dxfId="9" priority="51870" operator="containsText" text="No">
      <formula>NOT(ISERROR(SEARCH(("No"),(P581))))</formula>
    </cfRule>
  </conditionalFormatting>
  <conditionalFormatting sqref="P581">
    <cfRule type="containsText" dxfId="2" priority="51871" operator="containsText" text="Yes">
      <formula>NOT(ISERROR(SEARCH(("Yes"),(P581))))</formula>
    </cfRule>
  </conditionalFormatting>
  <conditionalFormatting sqref="P581">
    <cfRule type="containsText" dxfId="9" priority="51872" operator="containsText" text="No">
      <formula>NOT(ISERROR(SEARCH(("No"),(P581))))</formula>
    </cfRule>
  </conditionalFormatting>
  <conditionalFormatting sqref="P581">
    <cfRule type="containsText" dxfId="2" priority="51873" operator="containsText" text="Yes">
      <formula>NOT(ISERROR(SEARCH(("Yes"),(P581))))</formula>
    </cfRule>
  </conditionalFormatting>
  <conditionalFormatting sqref="P581">
    <cfRule type="containsText" dxfId="9" priority="51874" operator="containsText" text="No">
      <formula>NOT(ISERROR(SEARCH(("No"),(P581))))</formula>
    </cfRule>
  </conditionalFormatting>
  <conditionalFormatting sqref="P581">
    <cfRule type="containsText" dxfId="2" priority="51875" operator="containsText" text="Yes">
      <formula>NOT(ISERROR(SEARCH(("Yes"),(P581))))</formula>
    </cfRule>
  </conditionalFormatting>
  <conditionalFormatting sqref="P581">
    <cfRule type="containsText" dxfId="9" priority="51876" operator="containsText" text="No">
      <formula>NOT(ISERROR(SEARCH(("No"),(P581))))</formula>
    </cfRule>
  </conditionalFormatting>
  <conditionalFormatting sqref="P581">
    <cfRule type="containsText" dxfId="2" priority="51877" operator="containsText" text="Yes">
      <formula>NOT(ISERROR(SEARCH(("Yes"),(P581))))</formula>
    </cfRule>
  </conditionalFormatting>
  <conditionalFormatting sqref="P581">
    <cfRule type="containsText" dxfId="9" priority="51878" operator="containsText" text="No">
      <formula>NOT(ISERROR(SEARCH(("No"),(P581))))</formula>
    </cfRule>
  </conditionalFormatting>
  <conditionalFormatting sqref="P581">
    <cfRule type="containsText" dxfId="2" priority="51879" operator="containsText" text="Yes">
      <formula>NOT(ISERROR(SEARCH(("Yes"),(P581))))</formula>
    </cfRule>
  </conditionalFormatting>
  <conditionalFormatting sqref="P581">
    <cfRule type="containsText" dxfId="9" priority="51880" operator="containsText" text="No">
      <formula>NOT(ISERROR(SEARCH(("No"),(P581))))</formula>
    </cfRule>
  </conditionalFormatting>
  <conditionalFormatting sqref="P581">
    <cfRule type="containsText" dxfId="2" priority="51881" operator="containsText" text="Yes">
      <formula>NOT(ISERROR(SEARCH(("Yes"),(P581))))</formula>
    </cfRule>
  </conditionalFormatting>
  <conditionalFormatting sqref="P581">
    <cfRule type="containsText" dxfId="9" priority="51882" operator="containsText" text="No">
      <formula>NOT(ISERROR(SEARCH(("No"),(P581))))</formula>
    </cfRule>
  </conditionalFormatting>
  <conditionalFormatting sqref="P581">
    <cfRule type="containsText" dxfId="2" priority="51883" operator="containsText" text="Yes">
      <formula>NOT(ISERROR(SEARCH(("Yes"),(P581))))</formula>
    </cfRule>
  </conditionalFormatting>
  <conditionalFormatting sqref="P581">
    <cfRule type="containsText" dxfId="9" priority="51884" operator="containsText" text="No">
      <formula>NOT(ISERROR(SEARCH(("No"),(P581))))</formula>
    </cfRule>
  </conditionalFormatting>
  <conditionalFormatting sqref="P581">
    <cfRule type="containsText" dxfId="2" priority="51885" operator="containsText" text="Yes">
      <formula>NOT(ISERROR(SEARCH(("Yes"),(P581))))</formula>
    </cfRule>
  </conditionalFormatting>
  <conditionalFormatting sqref="P581">
    <cfRule type="containsText" dxfId="9" priority="51886" operator="containsText" text="No">
      <formula>NOT(ISERROR(SEARCH(("No"),(P581))))</formula>
    </cfRule>
  </conditionalFormatting>
  <conditionalFormatting sqref="P581">
    <cfRule type="containsText" dxfId="2" priority="51887" operator="containsText" text="Yes">
      <formula>NOT(ISERROR(SEARCH(("Yes"),(P581))))</formula>
    </cfRule>
  </conditionalFormatting>
  <conditionalFormatting sqref="P581">
    <cfRule type="containsText" dxfId="9" priority="51888" operator="containsText" text="No">
      <formula>NOT(ISERROR(SEARCH(("No"),(P581))))</formula>
    </cfRule>
  </conditionalFormatting>
  <conditionalFormatting sqref="P581">
    <cfRule type="containsText" dxfId="2" priority="51889" operator="containsText" text="Yes">
      <formula>NOT(ISERROR(SEARCH(("Yes"),(P581))))</formula>
    </cfRule>
  </conditionalFormatting>
  <conditionalFormatting sqref="P581">
    <cfRule type="containsText" dxfId="9" priority="51890" operator="containsText" text="No">
      <formula>NOT(ISERROR(SEARCH(("No"),(P581))))</formula>
    </cfRule>
  </conditionalFormatting>
  <conditionalFormatting sqref="P581">
    <cfRule type="containsText" dxfId="2" priority="51891" operator="containsText" text="Yes">
      <formula>NOT(ISERROR(SEARCH(("Yes"),(P581))))</formula>
    </cfRule>
  </conditionalFormatting>
  <conditionalFormatting sqref="P581">
    <cfRule type="containsText" dxfId="9" priority="51892" operator="containsText" text="No">
      <formula>NOT(ISERROR(SEARCH(("No"),(P581))))</formula>
    </cfRule>
  </conditionalFormatting>
  <conditionalFormatting sqref="P581">
    <cfRule type="containsText" dxfId="2" priority="51893" operator="containsText" text="Yes">
      <formula>NOT(ISERROR(SEARCH(("Yes"),(P581))))</formula>
    </cfRule>
  </conditionalFormatting>
  <conditionalFormatting sqref="P581">
    <cfRule type="containsText" dxfId="9" priority="51894" operator="containsText" text="No">
      <formula>NOT(ISERROR(SEARCH(("No"),(P581))))</formula>
    </cfRule>
  </conditionalFormatting>
  <conditionalFormatting sqref="P581">
    <cfRule type="containsText" dxfId="2" priority="51895" operator="containsText" text="Yes">
      <formula>NOT(ISERROR(SEARCH(("Yes"),(P581))))</formula>
    </cfRule>
  </conditionalFormatting>
  <conditionalFormatting sqref="P581">
    <cfRule type="containsText" dxfId="9" priority="51896" operator="containsText" text="No">
      <formula>NOT(ISERROR(SEARCH(("No"),(P581))))</formula>
    </cfRule>
  </conditionalFormatting>
  <conditionalFormatting sqref="P581">
    <cfRule type="containsText" dxfId="2" priority="51897" operator="containsText" text="Yes">
      <formula>NOT(ISERROR(SEARCH(("Yes"),(P581))))</formula>
    </cfRule>
  </conditionalFormatting>
  <conditionalFormatting sqref="P581">
    <cfRule type="containsText" dxfId="9" priority="51898" operator="containsText" text="No">
      <formula>NOT(ISERROR(SEARCH(("No"),(P581))))</formula>
    </cfRule>
  </conditionalFormatting>
  <conditionalFormatting sqref="P581">
    <cfRule type="containsText" dxfId="2" priority="51899" operator="containsText" text="Yes">
      <formula>NOT(ISERROR(SEARCH(("Yes"),(P581))))</formula>
    </cfRule>
  </conditionalFormatting>
  <conditionalFormatting sqref="P581">
    <cfRule type="containsText" dxfId="9" priority="51900" operator="containsText" text="No">
      <formula>NOT(ISERROR(SEARCH(("No"),(P581))))</formula>
    </cfRule>
  </conditionalFormatting>
  <conditionalFormatting sqref="P581">
    <cfRule type="containsText" dxfId="2" priority="51901" operator="containsText" text="Yes">
      <formula>NOT(ISERROR(SEARCH(("Yes"),(P581))))</formula>
    </cfRule>
  </conditionalFormatting>
  <conditionalFormatting sqref="P581">
    <cfRule type="containsText" dxfId="9" priority="51902" operator="containsText" text="No">
      <formula>NOT(ISERROR(SEARCH(("No"),(P581))))</formula>
    </cfRule>
  </conditionalFormatting>
  <conditionalFormatting sqref="P581">
    <cfRule type="containsText" dxfId="2" priority="51903" operator="containsText" text="Yes">
      <formula>NOT(ISERROR(SEARCH(("Yes"),(P581))))</formula>
    </cfRule>
  </conditionalFormatting>
  <conditionalFormatting sqref="P581">
    <cfRule type="containsText" dxfId="9" priority="51904" operator="containsText" text="No">
      <formula>NOT(ISERROR(SEARCH(("No"),(P581))))</formula>
    </cfRule>
  </conditionalFormatting>
  <conditionalFormatting sqref="P581">
    <cfRule type="containsText" dxfId="2" priority="51905" operator="containsText" text="Yes">
      <formula>NOT(ISERROR(SEARCH(("Yes"),(P581))))</formula>
    </cfRule>
  </conditionalFormatting>
  <conditionalFormatting sqref="P581">
    <cfRule type="containsText" dxfId="9" priority="51906" operator="containsText" text="No">
      <formula>NOT(ISERROR(SEARCH(("No"),(P581))))</formula>
    </cfRule>
  </conditionalFormatting>
  <conditionalFormatting sqref="P581">
    <cfRule type="containsText" dxfId="2" priority="51907" operator="containsText" text="Yes">
      <formula>NOT(ISERROR(SEARCH(("Yes"),(P581))))</formula>
    </cfRule>
  </conditionalFormatting>
  <conditionalFormatting sqref="P581">
    <cfRule type="containsText" dxfId="9" priority="51908" operator="containsText" text="No">
      <formula>NOT(ISERROR(SEARCH(("No"),(P581))))</formula>
    </cfRule>
  </conditionalFormatting>
  <conditionalFormatting sqref="P581">
    <cfRule type="containsText" dxfId="2" priority="51909" operator="containsText" text="Yes">
      <formula>NOT(ISERROR(SEARCH(("Yes"),(P581))))</formula>
    </cfRule>
  </conditionalFormatting>
  <conditionalFormatting sqref="P581">
    <cfRule type="containsText" dxfId="9" priority="51910" operator="containsText" text="No">
      <formula>NOT(ISERROR(SEARCH(("No"),(P581))))</formula>
    </cfRule>
  </conditionalFormatting>
  <conditionalFormatting sqref="P581">
    <cfRule type="containsText" dxfId="2" priority="51911" operator="containsText" text="Yes">
      <formula>NOT(ISERROR(SEARCH(("Yes"),(P581))))</formula>
    </cfRule>
  </conditionalFormatting>
  <conditionalFormatting sqref="P581">
    <cfRule type="containsText" dxfId="9" priority="51912" operator="containsText" text="No">
      <formula>NOT(ISERROR(SEARCH(("No"),(P581))))</formula>
    </cfRule>
  </conditionalFormatting>
  <conditionalFormatting sqref="P581">
    <cfRule type="containsText" dxfId="2" priority="51913" operator="containsText" text="Yes">
      <formula>NOT(ISERROR(SEARCH(("Yes"),(P581))))</formula>
    </cfRule>
  </conditionalFormatting>
  <conditionalFormatting sqref="P581">
    <cfRule type="containsText" dxfId="9" priority="51914" operator="containsText" text="No">
      <formula>NOT(ISERROR(SEARCH(("No"),(P581))))</formula>
    </cfRule>
  </conditionalFormatting>
  <conditionalFormatting sqref="P581">
    <cfRule type="containsText" dxfId="2" priority="51915" operator="containsText" text="Yes">
      <formula>NOT(ISERROR(SEARCH(("Yes"),(P581))))</formula>
    </cfRule>
  </conditionalFormatting>
  <conditionalFormatting sqref="P581">
    <cfRule type="containsText" dxfId="9" priority="51916" operator="containsText" text="No">
      <formula>NOT(ISERROR(SEARCH(("No"),(P581))))</formula>
    </cfRule>
  </conditionalFormatting>
  <conditionalFormatting sqref="P581">
    <cfRule type="containsText" dxfId="2" priority="51917" operator="containsText" text="Yes">
      <formula>NOT(ISERROR(SEARCH(("Yes"),(P581))))</formula>
    </cfRule>
  </conditionalFormatting>
  <conditionalFormatting sqref="P581">
    <cfRule type="containsText" dxfId="9" priority="51918" operator="containsText" text="No">
      <formula>NOT(ISERROR(SEARCH(("No"),(P581))))</formula>
    </cfRule>
  </conditionalFormatting>
  <conditionalFormatting sqref="P581">
    <cfRule type="containsText" dxfId="2" priority="51919" operator="containsText" text="Yes">
      <formula>NOT(ISERROR(SEARCH(("Yes"),(P581))))</formula>
    </cfRule>
  </conditionalFormatting>
  <conditionalFormatting sqref="P581">
    <cfRule type="containsText" dxfId="9" priority="51920" operator="containsText" text="No">
      <formula>NOT(ISERROR(SEARCH(("No"),(P581))))</formula>
    </cfRule>
  </conditionalFormatting>
  <conditionalFormatting sqref="P581">
    <cfRule type="containsText" dxfId="2" priority="51921" operator="containsText" text="Yes">
      <formula>NOT(ISERROR(SEARCH(("Yes"),(P581))))</formula>
    </cfRule>
  </conditionalFormatting>
  <conditionalFormatting sqref="P581">
    <cfRule type="containsText" dxfId="9" priority="51922" operator="containsText" text="No">
      <formula>NOT(ISERROR(SEARCH(("No"),(P581))))</formula>
    </cfRule>
  </conditionalFormatting>
  <conditionalFormatting sqref="P581">
    <cfRule type="containsText" dxfId="2" priority="51923" operator="containsText" text="Yes">
      <formula>NOT(ISERROR(SEARCH(("Yes"),(P581))))</formula>
    </cfRule>
  </conditionalFormatting>
  <conditionalFormatting sqref="P581">
    <cfRule type="containsText" dxfId="9" priority="51924" operator="containsText" text="No">
      <formula>NOT(ISERROR(SEARCH(("No"),(P581))))</formula>
    </cfRule>
  </conditionalFormatting>
  <conditionalFormatting sqref="P581">
    <cfRule type="containsText" dxfId="2" priority="51925" operator="containsText" text="Yes">
      <formula>NOT(ISERROR(SEARCH(("Yes"),(P581))))</formula>
    </cfRule>
  </conditionalFormatting>
  <conditionalFormatting sqref="P581">
    <cfRule type="containsText" dxfId="9" priority="51926" operator="containsText" text="No">
      <formula>NOT(ISERROR(SEARCH(("No"),(P581))))</formula>
    </cfRule>
  </conditionalFormatting>
  <conditionalFormatting sqref="P581">
    <cfRule type="containsText" dxfId="2" priority="51927" operator="containsText" text="Yes">
      <formula>NOT(ISERROR(SEARCH(("Yes"),(P581))))</formula>
    </cfRule>
  </conditionalFormatting>
  <conditionalFormatting sqref="P581">
    <cfRule type="containsText" dxfId="9" priority="51928" operator="containsText" text="No">
      <formula>NOT(ISERROR(SEARCH(("No"),(P581))))</formula>
    </cfRule>
  </conditionalFormatting>
  <conditionalFormatting sqref="P581">
    <cfRule type="containsText" dxfId="2" priority="51929" operator="containsText" text="Yes">
      <formula>NOT(ISERROR(SEARCH(("Yes"),(P581))))</formula>
    </cfRule>
  </conditionalFormatting>
  <conditionalFormatting sqref="P581">
    <cfRule type="containsText" dxfId="9" priority="51930" operator="containsText" text="No">
      <formula>NOT(ISERROR(SEARCH(("No"),(P581))))</formula>
    </cfRule>
  </conditionalFormatting>
  <conditionalFormatting sqref="P581">
    <cfRule type="containsText" dxfId="2" priority="51931" operator="containsText" text="Yes">
      <formula>NOT(ISERROR(SEARCH(("Yes"),(P581))))</formula>
    </cfRule>
  </conditionalFormatting>
  <conditionalFormatting sqref="P581">
    <cfRule type="containsText" dxfId="9" priority="51932" operator="containsText" text="No">
      <formula>NOT(ISERROR(SEARCH(("No"),(P581))))</formula>
    </cfRule>
  </conditionalFormatting>
  <conditionalFormatting sqref="P581">
    <cfRule type="containsText" dxfId="2" priority="51933" operator="containsText" text="Yes">
      <formula>NOT(ISERROR(SEARCH(("Yes"),(P581))))</formula>
    </cfRule>
  </conditionalFormatting>
  <conditionalFormatting sqref="P581">
    <cfRule type="containsText" dxfId="9" priority="51934" operator="containsText" text="No">
      <formula>NOT(ISERROR(SEARCH(("No"),(P581))))</formula>
    </cfRule>
  </conditionalFormatting>
  <conditionalFormatting sqref="P581">
    <cfRule type="containsText" dxfId="2" priority="51935" operator="containsText" text="Yes">
      <formula>NOT(ISERROR(SEARCH(("Yes"),(P581))))</formula>
    </cfRule>
  </conditionalFormatting>
  <conditionalFormatting sqref="P581">
    <cfRule type="containsText" dxfId="9" priority="51936" operator="containsText" text="No">
      <formula>NOT(ISERROR(SEARCH(("No"),(P581))))</formula>
    </cfRule>
  </conditionalFormatting>
  <conditionalFormatting sqref="P581">
    <cfRule type="containsText" dxfId="2" priority="51937" operator="containsText" text="Yes">
      <formula>NOT(ISERROR(SEARCH(("Yes"),(P581))))</formula>
    </cfRule>
  </conditionalFormatting>
  <conditionalFormatting sqref="P581">
    <cfRule type="containsText" dxfId="9" priority="51938" operator="containsText" text="No">
      <formula>NOT(ISERROR(SEARCH(("No"),(P581))))</formula>
    </cfRule>
  </conditionalFormatting>
  <conditionalFormatting sqref="P581">
    <cfRule type="containsText" dxfId="2" priority="51939" operator="containsText" text="Yes">
      <formula>NOT(ISERROR(SEARCH(("Yes"),(P581))))</formula>
    </cfRule>
  </conditionalFormatting>
  <conditionalFormatting sqref="P581">
    <cfRule type="containsText" dxfId="9" priority="51940" operator="containsText" text="No">
      <formula>NOT(ISERROR(SEARCH(("No"),(P581))))</formula>
    </cfRule>
  </conditionalFormatting>
  <conditionalFormatting sqref="P581">
    <cfRule type="containsText" dxfId="2" priority="51941" operator="containsText" text="Yes">
      <formula>NOT(ISERROR(SEARCH(("Yes"),(P581))))</formula>
    </cfRule>
  </conditionalFormatting>
  <conditionalFormatting sqref="P581">
    <cfRule type="containsText" dxfId="9" priority="51942" operator="containsText" text="No">
      <formula>NOT(ISERROR(SEARCH(("No"),(P581))))</formula>
    </cfRule>
  </conditionalFormatting>
  <conditionalFormatting sqref="P581">
    <cfRule type="containsText" dxfId="2" priority="51943" operator="containsText" text="Yes">
      <formula>NOT(ISERROR(SEARCH(("Yes"),(P581))))</formula>
    </cfRule>
  </conditionalFormatting>
  <conditionalFormatting sqref="P581">
    <cfRule type="containsText" dxfId="9" priority="51944" operator="containsText" text="No">
      <formula>NOT(ISERROR(SEARCH(("No"),(P581))))</formula>
    </cfRule>
  </conditionalFormatting>
  <conditionalFormatting sqref="P581">
    <cfRule type="containsText" dxfId="2" priority="51945" operator="containsText" text="Yes">
      <formula>NOT(ISERROR(SEARCH(("Yes"),(P581))))</formula>
    </cfRule>
  </conditionalFormatting>
  <conditionalFormatting sqref="P581">
    <cfRule type="containsText" dxfId="9" priority="51946" operator="containsText" text="No">
      <formula>NOT(ISERROR(SEARCH(("No"),(P581))))</formula>
    </cfRule>
  </conditionalFormatting>
  <conditionalFormatting sqref="P581">
    <cfRule type="containsText" dxfId="2" priority="51947" operator="containsText" text="Yes">
      <formula>NOT(ISERROR(SEARCH(("Yes"),(P581))))</formula>
    </cfRule>
  </conditionalFormatting>
  <conditionalFormatting sqref="P581">
    <cfRule type="containsText" dxfId="9" priority="51948" operator="containsText" text="No">
      <formula>NOT(ISERROR(SEARCH(("No"),(P581))))</formula>
    </cfRule>
  </conditionalFormatting>
  <conditionalFormatting sqref="P581">
    <cfRule type="containsText" dxfId="2" priority="51949" operator="containsText" text="Yes">
      <formula>NOT(ISERROR(SEARCH(("Yes"),(P581))))</formula>
    </cfRule>
  </conditionalFormatting>
  <conditionalFormatting sqref="P581">
    <cfRule type="containsText" dxfId="9" priority="51950" operator="containsText" text="No">
      <formula>NOT(ISERROR(SEARCH(("No"),(P581))))</formula>
    </cfRule>
  </conditionalFormatting>
  <conditionalFormatting sqref="P581">
    <cfRule type="containsText" dxfId="2" priority="51951" operator="containsText" text="Yes">
      <formula>NOT(ISERROR(SEARCH(("Yes"),(P581))))</formula>
    </cfRule>
  </conditionalFormatting>
  <conditionalFormatting sqref="P581">
    <cfRule type="containsText" dxfId="2" priority="51952" operator="containsText" text="Yes">
      <formula>NOT(ISERROR(SEARCH(("Yes"),(P581))))</formula>
    </cfRule>
  </conditionalFormatting>
  <conditionalFormatting sqref="Q581">
    <cfRule type="containsText" dxfId="9" priority="51953" operator="containsText" text="No">
      <formula>NOT(ISERROR(SEARCH(("No"),(Q581))))</formula>
    </cfRule>
  </conditionalFormatting>
  <conditionalFormatting sqref="Q581">
    <cfRule type="containsText" dxfId="2" priority="51954" operator="containsText" text="Yes">
      <formula>NOT(ISERROR(SEARCH(("Yes"),(Q581))))</formula>
    </cfRule>
  </conditionalFormatting>
  <conditionalFormatting sqref="O582:O584">
    <cfRule type="containsText" dxfId="9" priority="51955" operator="containsText" text="No">
      <formula>NOT(ISERROR(SEARCH(("No"),(O582))))</formula>
    </cfRule>
  </conditionalFormatting>
  <conditionalFormatting sqref="O582:O584">
    <cfRule type="containsText" dxfId="2" priority="51956" operator="containsText" text="Yes">
      <formula>NOT(ISERROR(SEARCH(("Yes"),(O582))))</formula>
    </cfRule>
  </conditionalFormatting>
  <conditionalFormatting sqref="O582:O584">
    <cfRule type="containsText" dxfId="2" priority="51957" operator="containsText" text="Yes">
      <formula>NOT(ISERROR(SEARCH(("Yes"),(O582))))</formula>
    </cfRule>
  </conditionalFormatting>
  <conditionalFormatting sqref="O582:O584">
    <cfRule type="containsText" dxfId="9" priority="51958" operator="containsText" text="No">
      <formula>NOT(ISERROR(SEARCH(("No"),(O582))))</formula>
    </cfRule>
  </conditionalFormatting>
  <conditionalFormatting sqref="O582:O584">
    <cfRule type="containsText" dxfId="2" priority="51959" operator="containsText" text="Yes">
      <formula>NOT(ISERROR(SEARCH(("Yes"),(O582))))</formula>
    </cfRule>
  </conditionalFormatting>
  <conditionalFormatting sqref="O582:O584">
    <cfRule type="containsText" dxfId="9" priority="51960" operator="containsText" text="No">
      <formula>NOT(ISERROR(SEARCH(("No"),(O582))))</formula>
    </cfRule>
  </conditionalFormatting>
  <conditionalFormatting sqref="O582:O584">
    <cfRule type="containsText" dxfId="2" priority="51961" operator="containsText" text="Yes">
      <formula>NOT(ISERROR(SEARCH(("Yes"),(O582))))</formula>
    </cfRule>
  </conditionalFormatting>
  <conditionalFormatting sqref="O582:O584">
    <cfRule type="containsText" dxfId="9" priority="51962" operator="containsText" text="No">
      <formula>NOT(ISERROR(SEARCH(("No"),(O582))))</formula>
    </cfRule>
  </conditionalFormatting>
  <conditionalFormatting sqref="O582:O584">
    <cfRule type="containsText" dxfId="2" priority="51963" operator="containsText" text="Yes">
      <formula>NOT(ISERROR(SEARCH(("Yes"),(O582))))</formula>
    </cfRule>
  </conditionalFormatting>
  <conditionalFormatting sqref="O582:O584">
    <cfRule type="containsText" dxfId="9" priority="51964" operator="containsText" text="No">
      <formula>NOT(ISERROR(SEARCH(("No"),(O582))))</formula>
    </cfRule>
  </conditionalFormatting>
  <conditionalFormatting sqref="O582:O584">
    <cfRule type="containsText" dxfId="2" priority="51965" operator="containsText" text="Yes">
      <formula>NOT(ISERROR(SEARCH(("Yes"),(O582))))</formula>
    </cfRule>
  </conditionalFormatting>
  <conditionalFormatting sqref="O582:O584">
    <cfRule type="containsText" dxfId="9" priority="51966" operator="containsText" text="No">
      <formula>NOT(ISERROR(SEARCH(("No"),(O582))))</formula>
    </cfRule>
  </conditionalFormatting>
  <conditionalFormatting sqref="O582:O584">
    <cfRule type="containsText" dxfId="2" priority="51967" operator="containsText" text="Yes">
      <formula>NOT(ISERROR(SEARCH(("Yes"),(O582))))</formula>
    </cfRule>
  </conditionalFormatting>
  <conditionalFormatting sqref="O582:O584">
    <cfRule type="containsText" dxfId="9" priority="51968" operator="containsText" text="No">
      <formula>NOT(ISERROR(SEARCH(("No"),(O582))))</formula>
    </cfRule>
  </conditionalFormatting>
  <conditionalFormatting sqref="O582:O584">
    <cfRule type="containsText" dxfId="2" priority="51969" operator="containsText" text="Yes">
      <formula>NOT(ISERROR(SEARCH(("Yes"),(O582))))</formula>
    </cfRule>
  </conditionalFormatting>
  <conditionalFormatting sqref="O582:O584">
    <cfRule type="containsText" dxfId="9" priority="51970" operator="containsText" text="No">
      <formula>NOT(ISERROR(SEARCH(("No"),(O582))))</formula>
    </cfRule>
  </conditionalFormatting>
  <conditionalFormatting sqref="O582:O584">
    <cfRule type="containsText" dxfId="2" priority="51971" operator="containsText" text="Yes">
      <formula>NOT(ISERROR(SEARCH(("Yes"),(O582))))</formula>
    </cfRule>
  </conditionalFormatting>
  <conditionalFormatting sqref="O582:O584">
    <cfRule type="containsText" dxfId="9" priority="51972" operator="containsText" text="No">
      <formula>NOT(ISERROR(SEARCH(("No"),(O582))))</formula>
    </cfRule>
  </conditionalFormatting>
  <conditionalFormatting sqref="O582:O584">
    <cfRule type="containsText" dxfId="2" priority="51973" operator="containsText" text="Yes">
      <formula>NOT(ISERROR(SEARCH(("Yes"),(O582))))</formula>
    </cfRule>
  </conditionalFormatting>
  <conditionalFormatting sqref="O582:O584">
    <cfRule type="containsText" dxfId="9" priority="51974" operator="containsText" text="No">
      <formula>NOT(ISERROR(SEARCH(("No"),(O582))))</formula>
    </cfRule>
  </conditionalFormatting>
  <conditionalFormatting sqref="O582:O584">
    <cfRule type="containsText" dxfId="2" priority="51975" operator="containsText" text="Yes">
      <formula>NOT(ISERROR(SEARCH(("Yes"),(O582))))</formula>
    </cfRule>
  </conditionalFormatting>
  <conditionalFormatting sqref="O582:O584">
    <cfRule type="containsText" dxfId="9" priority="51976" operator="containsText" text="No">
      <formula>NOT(ISERROR(SEARCH(("No"),(O582))))</formula>
    </cfRule>
  </conditionalFormatting>
  <conditionalFormatting sqref="O582:O584">
    <cfRule type="containsText" dxfId="2" priority="51977" operator="containsText" text="Yes">
      <formula>NOT(ISERROR(SEARCH(("Yes"),(O582))))</formula>
    </cfRule>
  </conditionalFormatting>
  <conditionalFormatting sqref="O582:O584">
    <cfRule type="containsText" dxfId="9" priority="51978" operator="containsText" text="No">
      <formula>NOT(ISERROR(SEARCH(("No"),(O582))))</formula>
    </cfRule>
  </conditionalFormatting>
  <conditionalFormatting sqref="O582:O584">
    <cfRule type="containsText" dxfId="2" priority="51979" operator="containsText" text="Yes">
      <formula>NOT(ISERROR(SEARCH(("Yes"),(O582))))</formula>
    </cfRule>
  </conditionalFormatting>
  <conditionalFormatting sqref="O582:O584">
    <cfRule type="containsText" dxfId="9" priority="51980" operator="containsText" text="No">
      <formula>NOT(ISERROR(SEARCH(("No"),(O582))))</formula>
    </cfRule>
  </conditionalFormatting>
  <conditionalFormatting sqref="O582:O584">
    <cfRule type="containsText" dxfId="2" priority="51981" operator="containsText" text="Yes">
      <formula>NOT(ISERROR(SEARCH(("Yes"),(O582))))</formula>
    </cfRule>
  </conditionalFormatting>
  <conditionalFormatting sqref="O582:O584">
    <cfRule type="containsText" dxfId="9" priority="51982" operator="containsText" text="No">
      <formula>NOT(ISERROR(SEARCH(("No"),(O582))))</formula>
    </cfRule>
  </conditionalFormatting>
  <conditionalFormatting sqref="O582:O584">
    <cfRule type="containsText" dxfId="2" priority="51983" operator="containsText" text="Yes">
      <formula>NOT(ISERROR(SEARCH(("Yes"),(O582))))</formula>
    </cfRule>
  </conditionalFormatting>
  <conditionalFormatting sqref="O582:O584">
    <cfRule type="containsText" dxfId="9" priority="51984" operator="containsText" text="No">
      <formula>NOT(ISERROR(SEARCH(("No"),(O582))))</formula>
    </cfRule>
  </conditionalFormatting>
  <conditionalFormatting sqref="O582:O584">
    <cfRule type="containsText" dxfId="2" priority="51985" operator="containsText" text="Yes">
      <formula>NOT(ISERROR(SEARCH(("Yes"),(O582))))</formula>
    </cfRule>
  </conditionalFormatting>
  <conditionalFormatting sqref="O582:O584">
    <cfRule type="containsText" dxfId="9" priority="51986" operator="containsText" text="No">
      <formula>NOT(ISERROR(SEARCH(("No"),(O582))))</formula>
    </cfRule>
  </conditionalFormatting>
  <conditionalFormatting sqref="O582:O584">
    <cfRule type="containsText" dxfId="2" priority="51987" operator="containsText" text="Yes">
      <formula>NOT(ISERROR(SEARCH(("Yes"),(O582))))</formula>
    </cfRule>
  </conditionalFormatting>
  <conditionalFormatting sqref="O582:O584">
    <cfRule type="containsText" dxfId="9" priority="51988" operator="containsText" text="No">
      <formula>NOT(ISERROR(SEARCH(("No"),(O582))))</formula>
    </cfRule>
  </conditionalFormatting>
  <conditionalFormatting sqref="O582:O584">
    <cfRule type="containsText" dxfId="2" priority="51989" operator="containsText" text="Yes">
      <formula>NOT(ISERROR(SEARCH(("Yes"),(O582))))</formula>
    </cfRule>
  </conditionalFormatting>
  <conditionalFormatting sqref="O582:O584">
    <cfRule type="containsText" dxfId="9" priority="51990" operator="containsText" text="No">
      <formula>NOT(ISERROR(SEARCH(("No"),(O582))))</formula>
    </cfRule>
  </conditionalFormatting>
  <conditionalFormatting sqref="O582:O584">
    <cfRule type="containsText" dxfId="2" priority="51991" operator="containsText" text="Yes">
      <formula>NOT(ISERROR(SEARCH(("Yes"),(O582))))</formula>
    </cfRule>
  </conditionalFormatting>
  <conditionalFormatting sqref="O582:O584">
    <cfRule type="containsText" dxfId="9" priority="51992" operator="containsText" text="No">
      <formula>NOT(ISERROR(SEARCH(("No"),(O582))))</formula>
    </cfRule>
  </conditionalFormatting>
  <conditionalFormatting sqref="O582:O584">
    <cfRule type="containsText" dxfId="2" priority="51993" operator="containsText" text="Yes">
      <formula>NOT(ISERROR(SEARCH(("Yes"),(O582))))</formula>
    </cfRule>
  </conditionalFormatting>
  <conditionalFormatting sqref="O582:O584">
    <cfRule type="containsText" dxfId="9" priority="51994" operator="containsText" text="No">
      <formula>NOT(ISERROR(SEARCH(("No"),(O582))))</formula>
    </cfRule>
  </conditionalFormatting>
  <conditionalFormatting sqref="O582:O584">
    <cfRule type="containsText" dxfId="2" priority="51995" operator="containsText" text="Yes">
      <formula>NOT(ISERROR(SEARCH(("Yes"),(O582))))</formula>
    </cfRule>
  </conditionalFormatting>
  <conditionalFormatting sqref="O582:O584">
    <cfRule type="containsText" dxfId="9" priority="51996" operator="containsText" text="No">
      <formula>NOT(ISERROR(SEARCH(("No"),(O582))))</formula>
    </cfRule>
  </conditionalFormatting>
  <conditionalFormatting sqref="O582:O584">
    <cfRule type="containsText" dxfId="2" priority="51997" operator="containsText" text="Yes">
      <formula>NOT(ISERROR(SEARCH(("Yes"),(O582))))</formula>
    </cfRule>
  </conditionalFormatting>
  <conditionalFormatting sqref="O582:O584">
    <cfRule type="containsText" dxfId="9" priority="51998" operator="containsText" text="No">
      <formula>NOT(ISERROR(SEARCH(("No"),(O582))))</formula>
    </cfRule>
  </conditionalFormatting>
  <conditionalFormatting sqref="O582:O584">
    <cfRule type="containsText" dxfId="2" priority="51999" operator="containsText" text="Yes">
      <formula>NOT(ISERROR(SEARCH(("Yes"),(O582))))</formula>
    </cfRule>
  </conditionalFormatting>
  <conditionalFormatting sqref="O582:O584">
    <cfRule type="containsText" dxfId="9" priority="52000" operator="containsText" text="No">
      <formula>NOT(ISERROR(SEARCH(("No"),(O582))))</formula>
    </cfRule>
  </conditionalFormatting>
  <conditionalFormatting sqref="O582:O584">
    <cfRule type="containsText" dxfId="2" priority="52001" operator="containsText" text="Yes">
      <formula>NOT(ISERROR(SEARCH(("Yes"),(O582))))</formula>
    </cfRule>
  </conditionalFormatting>
  <conditionalFormatting sqref="O582:O584">
    <cfRule type="containsText" dxfId="9" priority="52002" operator="containsText" text="No">
      <formula>NOT(ISERROR(SEARCH(("No"),(O582))))</formula>
    </cfRule>
  </conditionalFormatting>
  <conditionalFormatting sqref="O582:O584">
    <cfRule type="containsText" dxfId="2" priority="52003" operator="containsText" text="Yes">
      <formula>NOT(ISERROR(SEARCH(("Yes"),(O582))))</formula>
    </cfRule>
  </conditionalFormatting>
  <conditionalFormatting sqref="O582:O584">
    <cfRule type="containsText" dxfId="9" priority="52004" operator="containsText" text="No">
      <formula>NOT(ISERROR(SEARCH(("No"),(O582))))</formula>
    </cfRule>
  </conditionalFormatting>
  <conditionalFormatting sqref="O582:O584">
    <cfRule type="containsText" dxfId="2" priority="52005" operator="containsText" text="Yes">
      <formula>NOT(ISERROR(SEARCH(("Yes"),(O582))))</formula>
    </cfRule>
  </conditionalFormatting>
  <conditionalFormatting sqref="O582:O584">
    <cfRule type="containsText" dxfId="9" priority="52006" operator="containsText" text="No">
      <formula>NOT(ISERROR(SEARCH(("No"),(O582))))</formula>
    </cfRule>
  </conditionalFormatting>
  <conditionalFormatting sqref="O582:O584">
    <cfRule type="containsText" dxfId="2" priority="52007" operator="containsText" text="Yes">
      <formula>NOT(ISERROR(SEARCH(("Yes"),(O582))))</formula>
    </cfRule>
  </conditionalFormatting>
  <conditionalFormatting sqref="O582:O584">
    <cfRule type="containsText" dxfId="9" priority="52008" operator="containsText" text="No">
      <formula>NOT(ISERROR(SEARCH(("No"),(O582))))</formula>
    </cfRule>
  </conditionalFormatting>
  <conditionalFormatting sqref="O582:O584">
    <cfRule type="containsText" dxfId="2" priority="52009" operator="containsText" text="Yes">
      <formula>NOT(ISERROR(SEARCH(("Yes"),(O582))))</formula>
    </cfRule>
  </conditionalFormatting>
  <conditionalFormatting sqref="O582:O584">
    <cfRule type="containsText" dxfId="9" priority="52010" operator="containsText" text="No">
      <formula>NOT(ISERROR(SEARCH(("No"),(O582))))</formula>
    </cfRule>
  </conditionalFormatting>
  <conditionalFormatting sqref="O582:O584">
    <cfRule type="containsText" dxfId="2" priority="52011" operator="containsText" text="Yes">
      <formula>NOT(ISERROR(SEARCH(("Yes"),(O582))))</formula>
    </cfRule>
  </conditionalFormatting>
  <conditionalFormatting sqref="O582:O584">
    <cfRule type="containsText" dxfId="9" priority="52012" operator="containsText" text="No">
      <formula>NOT(ISERROR(SEARCH(("No"),(O582))))</formula>
    </cfRule>
  </conditionalFormatting>
  <conditionalFormatting sqref="O582:O584">
    <cfRule type="containsText" dxfId="2" priority="52013" operator="containsText" text="Yes">
      <formula>NOT(ISERROR(SEARCH(("Yes"),(O582))))</formula>
    </cfRule>
  </conditionalFormatting>
  <conditionalFormatting sqref="O582:O584">
    <cfRule type="containsText" dxfId="9" priority="52014" operator="containsText" text="No">
      <formula>NOT(ISERROR(SEARCH(("No"),(O582))))</formula>
    </cfRule>
  </conditionalFormatting>
  <conditionalFormatting sqref="O582:O584">
    <cfRule type="containsText" dxfId="2" priority="52015" operator="containsText" text="Yes">
      <formula>NOT(ISERROR(SEARCH(("Yes"),(O582))))</formula>
    </cfRule>
  </conditionalFormatting>
  <conditionalFormatting sqref="O582:O584">
    <cfRule type="containsText" dxfId="9" priority="52016" operator="containsText" text="No">
      <formula>NOT(ISERROR(SEARCH(("No"),(O582))))</formula>
    </cfRule>
  </conditionalFormatting>
  <conditionalFormatting sqref="O582:O584">
    <cfRule type="containsText" dxfId="2" priority="52017" operator="containsText" text="Yes">
      <formula>NOT(ISERROR(SEARCH(("Yes"),(O582))))</formula>
    </cfRule>
  </conditionalFormatting>
  <conditionalFormatting sqref="O582:O584">
    <cfRule type="containsText" dxfId="9" priority="52018" operator="containsText" text="No">
      <formula>NOT(ISERROR(SEARCH(("No"),(O582))))</formula>
    </cfRule>
  </conditionalFormatting>
  <conditionalFormatting sqref="O582:O584">
    <cfRule type="containsText" dxfId="2" priority="52019" operator="containsText" text="Yes">
      <formula>NOT(ISERROR(SEARCH(("Yes"),(O582))))</formula>
    </cfRule>
  </conditionalFormatting>
  <conditionalFormatting sqref="O582:O584">
    <cfRule type="containsText" dxfId="9" priority="52020" operator="containsText" text="No">
      <formula>NOT(ISERROR(SEARCH(("No"),(O582))))</formula>
    </cfRule>
  </conditionalFormatting>
  <conditionalFormatting sqref="O582:O584">
    <cfRule type="containsText" dxfId="2" priority="52021" operator="containsText" text="Yes">
      <formula>NOT(ISERROR(SEARCH(("Yes"),(O582))))</formula>
    </cfRule>
  </conditionalFormatting>
  <conditionalFormatting sqref="O582:O584">
    <cfRule type="containsText" dxfId="9" priority="52022" operator="containsText" text="No">
      <formula>NOT(ISERROR(SEARCH(("No"),(O582))))</formula>
    </cfRule>
  </conditionalFormatting>
  <conditionalFormatting sqref="O582:O584">
    <cfRule type="containsText" dxfId="2" priority="52023" operator="containsText" text="Yes">
      <formula>NOT(ISERROR(SEARCH(("Yes"),(O582))))</formula>
    </cfRule>
  </conditionalFormatting>
  <conditionalFormatting sqref="O582:O584">
    <cfRule type="containsText" dxfId="9" priority="52024" operator="containsText" text="No">
      <formula>NOT(ISERROR(SEARCH(("No"),(O582))))</formula>
    </cfRule>
  </conditionalFormatting>
  <conditionalFormatting sqref="O582:O584">
    <cfRule type="containsText" dxfId="2" priority="52025" operator="containsText" text="Yes">
      <formula>NOT(ISERROR(SEARCH(("Yes"),(O582))))</formula>
    </cfRule>
  </conditionalFormatting>
  <conditionalFormatting sqref="O582:O584">
    <cfRule type="containsText" dxfId="9" priority="52026" operator="containsText" text="No">
      <formula>NOT(ISERROR(SEARCH(("No"),(O582))))</formula>
    </cfRule>
  </conditionalFormatting>
  <conditionalFormatting sqref="O582:O584">
    <cfRule type="containsText" dxfId="2" priority="52027" operator="containsText" text="Yes">
      <formula>NOT(ISERROR(SEARCH(("Yes"),(O582))))</formula>
    </cfRule>
  </conditionalFormatting>
  <conditionalFormatting sqref="O582:O584">
    <cfRule type="containsText" dxfId="9" priority="52028" operator="containsText" text="No">
      <formula>NOT(ISERROR(SEARCH(("No"),(O582))))</formula>
    </cfRule>
  </conditionalFormatting>
  <conditionalFormatting sqref="O582:O584">
    <cfRule type="containsText" dxfId="2" priority="52029" operator="containsText" text="Yes">
      <formula>NOT(ISERROR(SEARCH(("Yes"),(O582))))</formula>
    </cfRule>
  </conditionalFormatting>
  <conditionalFormatting sqref="O582:O584">
    <cfRule type="containsText" dxfId="9" priority="52030" operator="containsText" text="No">
      <formula>NOT(ISERROR(SEARCH(("No"),(O582))))</formula>
    </cfRule>
  </conditionalFormatting>
  <conditionalFormatting sqref="O582:O584">
    <cfRule type="containsText" dxfId="2" priority="52031" operator="containsText" text="Yes">
      <formula>NOT(ISERROR(SEARCH(("Yes"),(O582))))</formula>
    </cfRule>
  </conditionalFormatting>
  <conditionalFormatting sqref="O582:O584">
    <cfRule type="containsText" dxfId="9" priority="52032" operator="containsText" text="No">
      <formula>NOT(ISERROR(SEARCH(("No"),(O582))))</formula>
    </cfRule>
  </conditionalFormatting>
  <conditionalFormatting sqref="O582:O584">
    <cfRule type="containsText" dxfId="2" priority="52033" operator="containsText" text="Yes">
      <formula>NOT(ISERROR(SEARCH(("Yes"),(O582))))</formula>
    </cfRule>
  </conditionalFormatting>
  <conditionalFormatting sqref="O582:O584">
    <cfRule type="containsText" dxfId="9" priority="52034" operator="containsText" text="No">
      <formula>NOT(ISERROR(SEARCH(("No"),(O582))))</formula>
    </cfRule>
  </conditionalFormatting>
  <conditionalFormatting sqref="O582:O584">
    <cfRule type="containsText" dxfId="2" priority="52035" operator="containsText" text="Yes">
      <formula>NOT(ISERROR(SEARCH(("Yes"),(O582))))</formula>
    </cfRule>
  </conditionalFormatting>
  <conditionalFormatting sqref="O582:O584">
    <cfRule type="containsText" dxfId="9" priority="52036" operator="containsText" text="No">
      <formula>NOT(ISERROR(SEARCH(("No"),(O582))))</formula>
    </cfRule>
  </conditionalFormatting>
  <conditionalFormatting sqref="O582:O584">
    <cfRule type="containsText" dxfId="2" priority="52037" operator="containsText" text="Yes">
      <formula>NOT(ISERROR(SEARCH(("Yes"),(O582))))</formula>
    </cfRule>
  </conditionalFormatting>
  <conditionalFormatting sqref="O582:O584">
    <cfRule type="containsText" dxfId="9" priority="52038" operator="containsText" text="No">
      <formula>NOT(ISERROR(SEARCH(("No"),(O582))))</formula>
    </cfRule>
  </conditionalFormatting>
  <conditionalFormatting sqref="O582:O584">
    <cfRule type="containsText" dxfId="2" priority="52039" operator="containsText" text="Yes">
      <formula>NOT(ISERROR(SEARCH(("Yes"),(O582))))</formula>
    </cfRule>
  </conditionalFormatting>
  <conditionalFormatting sqref="O582:O584">
    <cfRule type="containsText" dxfId="9" priority="52040" operator="containsText" text="No">
      <formula>NOT(ISERROR(SEARCH(("No"),(O582))))</formula>
    </cfRule>
  </conditionalFormatting>
  <conditionalFormatting sqref="O582:O584">
    <cfRule type="containsText" dxfId="2" priority="52041" operator="containsText" text="Yes">
      <formula>NOT(ISERROR(SEARCH(("Yes"),(O582))))</formula>
    </cfRule>
  </conditionalFormatting>
  <conditionalFormatting sqref="O582:O584">
    <cfRule type="containsText" dxfId="9" priority="52042" operator="containsText" text="No">
      <formula>NOT(ISERROR(SEARCH(("No"),(O582))))</formula>
    </cfRule>
  </conditionalFormatting>
  <conditionalFormatting sqref="O582:O584">
    <cfRule type="containsText" dxfId="2" priority="52043" operator="containsText" text="Yes">
      <formula>NOT(ISERROR(SEARCH(("Yes"),(O582))))</formula>
    </cfRule>
  </conditionalFormatting>
  <conditionalFormatting sqref="O582:O584">
    <cfRule type="containsText" dxfId="9" priority="52044" operator="containsText" text="No">
      <formula>NOT(ISERROR(SEARCH(("No"),(O582))))</formula>
    </cfRule>
  </conditionalFormatting>
  <conditionalFormatting sqref="O582:O584">
    <cfRule type="containsText" dxfId="2" priority="52045" operator="containsText" text="Yes">
      <formula>NOT(ISERROR(SEARCH(("Yes"),(O582))))</formula>
    </cfRule>
  </conditionalFormatting>
  <conditionalFormatting sqref="O582:O584">
    <cfRule type="containsText" dxfId="2" priority="52046" operator="containsText" text="Yes">
      <formula>NOT(ISERROR(SEARCH(("Yes"),(O582))))</formula>
    </cfRule>
  </conditionalFormatting>
  <conditionalFormatting sqref="P582:Q582">
    <cfRule type="containsText" dxfId="9" priority="52047" operator="containsText" text="No">
      <formula>NOT(ISERROR(SEARCH(("No"),(P582))))</formula>
    </cfRule>
  </conditionalFormatting>
  <conditionalFormatting sqref="P582:Q582">
    <cfRule type="containsText" dxfId="2" priority="52048" operator="containsText" text="Yes">
      <formula>NOT(ISERROR(SEARCH(("Yes"),(P582))))</formula>
    </cfRule>
  </conditionalFormatting>
  <conditionalFormatting sqref="P583:Q583">
    <cfRule type="containsText" dxfId="9" priority="52049" operator="containsText" text="No">
      <formula>NOT(ISERROR(SEARCH(("No"),(P583))))</formula>
    </cfRule>
  </conditionalFormatting>
  <conditionalFormatting sqref="P583:Q583">
    <cfRule type="containsText" dxfId="2" priority="52050" operator="containsText" text="Yes">
      <formula>NOT(ISERROR(SEARCH(("Yes"),(P583))))</formula>
    </cfRule>
  </conditionalFormatting>
  <conditionalFormatting sqref="P584:Q584">
    <cfRule type="containsText" dxfId="9" priority="52051" operator="containsText" text="No">
      <formula>NOT(ISERROR(SEARCH(("No"),(P584))))</formula>
    </cfRule>
  </conditionalFormatting>
  <conditionalFormatting sqref="P584:Q584">
    <cfRule type="containsText" dxfId="2" priority="52052" operator="containsText" text="Yes">
      <formula>NOT(ISERROR(SEARCH(("Yes"),(P584))))</formula>
    </cfRule>
  </conditionalFormatting>
  <conditionalFormatting sqref="N585:Q585">
    <cfRule type="containsText" dxfId="9" priority="52053" operator="containsText" text="No">
      <formula>NOT(ISERROR(SEARCH(("No"),(N585))))</formula>
    </cfRule>
  </conditionalFormatting>
  <conditionalFormatting sqref="N585:Q585">
    <cfRule type="containsText" dxfId="2" priority="52054" operator="containsText" text="Yes">
      <formula>NOT(ISERROR(SEARCH(("Yes"),(N585))))</formula>
    </cfRule>
  </conditionalFormatting>
  <conditionalFormatting sqref="N586:Q586">
    <cfRule type="containsText" dxfId="9" priority="52055" operator="containsText" text="No">
      <formula>NOT(ISERROR(SEARCH(("No"),(N586))))</formula>
    </cfRule>
  </conditionalFormatting>
  <conditionalFormatting sqref="N586:Q586">
    <cfRule type="containsText" dxfId="2" priority="52056" operator="containsText" text="Yes">
      <formula>NOT(ISERROR(SEARCH(("Yes"),(N586))))</formula>
    </cfRule>
  </conditionalFormatting>
  <conditionalFormatting sqref="N590:Q590">
    <cfRule type="containsText" dxfId="9" priority="52057" operator="containsText" text="No">
      <formula>NOT(ISERROR(SEARCH(("No"),(N590))))</formula>
    </cfRule>
  </conditionalFormatting>
  <conditionalFormatting sqref="N590:Q590">
    <cfRule type="containsText" dxfId="2" priority="52058" operator="containsText" text="Yes">
      <formula>NOT(ISERROR(SEARCH(("Yes"),(N590))))</formula>
    </cfRule>
  </conditionalFormatting>
  <conditionalFormatting sqref="N592:Q592 N599:Q601 N603:Q603 N606:O607 N611:O611 N613:O613 N616:O616 N620:O622 N634:O640 N642:O642 N644:O644 N646:O646 N652:O652 N655:O656 N658:O658 N662:O662 N664:O665 N671:N673 N675:O675 N678:O678 N680:O680 N682:O683 N686:O687 N689:O689 N691:O691 N693:O697 O628:O631 O670:O673 P606:Q627 P629:Q629 P632:Q669 P671:Q697 U692:V692">
    <cfRule type="containsText" dxfId="9" priority="52059" operator="containsText" text="No">
      <formula>NOT(ISERROR(SEARCH(("No"),(N592))))</formula>
    </cfRule>
  </conditionalFormatting>
  <conditionalFormatting sqref="N592:Q592 N599:Q601 N603:Q603 N606:O607 N611:O611 N613:O613 N616:O616 N620:O622 N634:O640 N642:O642 N644:O644 N646:O646 N652:O652 N655:O656 N658:O658 N662:O662 N664:O665 N671:N673 N675:O675 N678:O678 N680:O680 N682:O683 N686:O687 N689:O689 N691:O691 N693:O697 O628:O631 O670:O673 P606:Q627 P629:Q629 P632:Q669 P671:Q697 U692:V692">
    <cfRule type="containsText" dxfId="2" priority="52060" operator="containsText" text="Yes">
      <formula>NOT(ISERROR(SEARCH(("Yes"),(N592))))</formula>
    </cfRule>
  </conditionalFormatting>
  <conditionalFormatting sqref="P594:Q594">
    <cfRule type="containsText" dxfId="9" priority="52061" operator="containsText" text="No">
      <formula>NOT(ISERROR(SEARCH(("No"),(P594))))</formula>
    </cfRule>
  </conditionalFormatting>
  <conditionalFormatting sqref="P594:Q594">
    <cfRule type="containsText" dxfId="9" priority="52062" operator="containsText" text="No">
      <formula>NOT(ISERROR(SEARCH(("No"),(P594))))</formula>
    </cfRule>
  </conditionalFormatting>
  <conditionalFormatting sqref="P594:Q594">
    <cfRule type="containsText" dxfId="9" priority="52063" operator="containsText" text="No">
      <formula>NOT(ISERROR(SEARCH(("No"),(P594))))</formula>
    </cfRule>
  </conditionalFormatting>
  <conditionalFormatting sqref="P594:Q594">
    <cfRule type="containsText" dxfId="2" priority="52064" operator="containsText" text="Yes">
      <formula>NOT(ISERROR(SEARCH(("Yes"),(P594))))</formula>
    </cfRule>
  </conditionalFormatting>
  <conditionalFormatting sqref="P594:Q594">
    <cfRule type="containsText" dxfId="2" priority="52065" operator="containsText" text="Yes">
      <formula>NOT(ISERROR(SEARCH(("Yes"),(P594))))</formula>
    </cfRule>
  </conditionalFormatting>
  <conditionalFormatting sqref="P594:Q594">
    <cfRule type="containsText" dxfId="2" priority="52066" operator="containsText" text="Yes">
      <formula>NOT(ISERROR(SEARCH(("Yes"),(P594))))</formula>
    </cfRule>
  </conditionalFormatting>
  <conditionalFormatting sqref="P594:Q594">
    <cfRule type="containsText" dxfId="2" priority="52067" operator="containsText" text="Yes">
      <formula>NOT(ISERROR(SEARCH(("Yes"),(P594))))</formula>
    </cfRule>
  </conditionalFormatting>
  <conditionalFormatting sqref="P594:Q594">
    <cfRule type="containsText" dxfId="2" priority="52068" operator="containsText" text="Yes">
      <formula>NOT(ISERROR(SEARCH(("Yes"),(P594))))</formula>
    </cfRule>
  </conditionalFormatting>
  <conditionalFormatting sqref="P594:Q594">
    <cfRule type="containsText" dxfId="9" priority="52069" operator="containsText" text="No">
      <formula>NOT(ISERROR(SEARCH(("No"),(P594))))</formula>
    </cfRule>
  </conditionalFormatting>
  <conditionalFormatting sqref="P594:Q594">
    <cfRule type="containsText" dxfId="9" priority="52070" operator="containsText" text="No">
      <formula>NOT(ISERROR(SEARCH(("No"),(P594))))</formula>
    </cfRule>
  </conditionalFormatting>
  <conditionalFormatting sqref="O594">
    <cfRule type="containsText" dxfId="9" priority="52071" operator="containsText" text="No">
      <formula>NOT(ISERROR(SEARCH(("No"),(O594))))</formula>
    </cfRule>
  </conditionalFormatting>
  <conditionalFormatting sqref="O594">
    <cfRule type="containsText" dxfId="2" priority="52072" operator="containsText" text="Yes">
      <formula>NOT(ISERROR(SEARCH(("Yes"),(O594))))</formula>
    </cfRule>
  </conditionalFormatting>
  <conditionalFormatting sqref="P594:Q594">
    <cfRule type="containsText" dxfId="9" priority="52073" operator="containsText" text="No">
      <formula>NOT(ISERROR(SEARCH(("No"),(P594))))</formula>
    </cfRule>
  </conditionalFormatting>
  <conditionalFormatting sqref="P594:Q594">
    <cfRule type="containsText" dxfId="9" priority="52074" operator="containsText" text="No">
      <formula>NOT(ISERROR(SEARCH(("No"),(P594))))</formula>
    </cfRule>
  </conditionalFormatting>
  <conditionalFormatting sqref="P594:Q594">
    <cfRule type="containsText" dxfId="9" priority="52075" operator="containsText" text="No">
      <formula>NOT(ISERROR(SEARCH(("No"),(P594))))</formula>
    </cfRule>
  </conditionalFormatting>
  <conditionalFormatting sqref="P594:Q594">
    <cfRule type="containsText" dxfId="2" priority="52076" operator="containsText" text="Yes">
      <formula>NOT(ISERROR(SEARCH(("Yes"),(P594))))</formula>
    </cfRule>
  </conditionalFormatting>
  <conditionalFormatting sqref="P594:Q594">
    <cfRule type="containsText" dxfId="2" priority="52077" operator="containsText" text="Yes">
      <formula>NOT(ISERROR(SEARCH(("Yes"),(P594))))</formula>
    </cfRule>
  </conditionalFormatting>
  <conditionalFormatting sqref="P594:Q594">
    <cfRule type="containsText" dxfId="2" priority="52078" operator="containsText" text="Yes">
      <formula>NOT(ISERROR(SEARCH(("Yes"),(P594))))</formula>
    </cfRule>
  </conditionalFormatting>
  <conditionalFormatting sqref="P594:Q594">
    <cfRule type="containsText" dxfId="2" priority="52079" operator="containsText" text="Yes">
      <formula>NOT(ISERROR(SEARCH(("Yes"),(P594))))</formula>
    </cfRule>
  </conditionalFormatting>
  <conditionalFormatting sqref="P594:Q594">
    <cfRule type="containsText" dxfId="2" priority="52080" operator="containsText" text="Yes">
      <formula>NOT(ISERROR(SEARCH(("Yes"),(P594))))</formula>
    </cfRule>
  </conditionalFormatting>
  <conditionalFormatting sqref="P594:Q594">
    <cfRule type="containsText" dxfId="9" priority="52081" operator="containsText" text="No">
      <formula>NOT(ISERROR(SEARCH(("No"),(P594))))</formula>
    </cfRule>
  </conditionalFormatting>
  <conditionalFormatting sqref="P594:Q594">
    <cfRule type="containsText" dxfId="9" priority="52082" operator="containsText" text="No">
      <formula>NOT(ISERROR(SEARCH(("No"),(P594))))</formula>
    </cfRule>
  </conditionalFormatting>
  <dataValidations>
    <dataValidation type="list" allowBlank="1" showErrorMessage="1" sqref="I3:I508 I510:I1539">
      <formula1>SourceData!$A$2:$A$55</formula1>
    </dataValidation>
    <dataValidation type="list" allowBlank="1" showErrorMessage="1" sqref="B3:B508 B510:B3008">
      <formula1>SourceData!$J$2:$J$251</formula1>
    </dataValidation>
    <dataValidation type="list" allowBlank="1" showErrorMessage="1" sqref="J3:J3008">
      <formula1>"Bacc,Rou,Sic Bo"</formula1>
    </dataValidation>
    <dataValidation type="list" allowBlank="1" showErrorMessage="1" sqref="F3:F65 F67:F508 F510:F3008">
      <formula1>SourceData!$M$2:$M$27</formula1>
    </dataValidation>
    <dataValidation type="list" allowBlank="1" showErrorMessage="1" sqref="R3:R60 R61:S61 W204 R62:R207 R208:S208 W277:W283 R209:R363 R364:S364 R365:R367 R368:S368 R369:R373 R374:S374 R375:R508 W692 R510:R3008">
      <formula1>SourceData!$G$2:$G$15</formula1>
    </dataValidation>
    <dataValidation type="list" allowBlank="1" showErrorMessage="1" sqref="S3:S60 S62:S207 S209:S363 S365:S367 S369:S373 S375:S508 S510:S3008">
      <formula1>SourceData!$D$2:$D$51</formula1>
    </dataValidation>
    <dataValidation type="list" allowBlank="1" showErrorMessage="1" sqref="B509 E509:F509 I509 N509:S509">
      <formula1>#REF!</formula1>
    </dataValidation>
    <dataValidation type="list" allowBlank="1" showErrorMessage="1" sqref="E3:E508 E510:E3008">
      <formula1>SourceData!$R$2:$R$1441</formula1>
    </dataValidation>
    <dataValidation type="list" allowBlank="1" showErrorMessage="1" sqref="M3:M354 M356:M3008">
      <formula1>SourceData!$O$2:$O$31</formula1>
    </dataValidation>
    <dataValidation type="list" allowBlank="1" showErrorMessage="1" sqref="U113 U204:V204 U277:V283 N3:Q508 U692:V692 N510:Q3008">
      <formula1>SourceData!$N$3:$N$4</formula1>
    </dataValidation>
  </dataValidations>
  <printOptions/>
  <pageMargins bottom="0.75" footer="0.0" header="0.0" left="0.7" right="0.7" top="0.75"/>
  <pageSetup orientation="portrait"/>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0.0"/>
    <col customWidth="1" min="3" max="3" width="8.71"/>
    <col customWidth="1" min="4" max="4" width="42.43"/>
    <col customWidth="1" min="5" max="5" width="18.57"/>
    <col customWidth="1" min="6" max="6" width="8.71"/>
    <col customWidth="1" min="7" max="7" width="39.14"/>
    <col customWidth="1" min="8" max="8" width="13.43"/>
    <col customWidth="1" min="9" max="9" width="8.71"/>
    <col customWidth="1" min="10" max="10" width="29.29"/>
    <col customWidth="1" min="11" max="11" width="8.71"/>
    <col customWidth="1" min="12" max="12" width="23.0"/>
    <col customWidth="1" min="13" max="13" width="16.86"/>
    <col customWidth="1" min="14" max="14" width="8.71"/>
    <col customWidth="1" min="15" max="15" width="150.14"/>
    <col customWidth="1" min="16" max="20" width="8.71"/>
    <col customWidth="1" min="21" max="21" width="19.29"/>
    <col customWidth="1" min="22" max="22" width="12.29"/>
    <col customWidth="1" min="23" max="26" width="8.71"/>
  </cols>
  <sheetData>
    <row r="1">
      <c r="A1" s="264" t="s">
        <v>111</v>
      </c>
      <c r="B1" s="264" t="s">
        <v>896</v>
      </c>
      <c r="C1" s="264"/>
      <c r="D1" s="264" t="s">
        <v>897</v>
      </c>
      <c r="E1" s="264"/>
      <c r="F1" s="264"/>
      <c r="G1" s="264" t="s">
        <v>898</v>
      </c>
      <c r="H1" s="264"/>
      <c r="I1" s="264"/>
      <c r="J1" s="264" t="s">
        <v>899</v>
      </c>
      <c r="K1" s="264" t="s">
        <v>900</v>
      </c>
      <c r="L1" s="264"/>
      <c r="M1" s="264" t="s">
        <v>901</v>
      </c>
      <c r="N1" s="264"/>
      <c r="O1" s="264" t="s">
        <v>902</v>
      </c>
      <c r="P1" s="264"/>
      <c r="Q1" s="264"/>
      <c r="R1" s="264" t="s">
        <v>903</v>
      </c>
      <c r="S1" s="264"/>
      <c r="T1" s="264"/>
      <c r="U1" s="264" t="s">
        <v>287</v>
      </c>
      <c r="V1" s="264"/>
      <c r="W1" s="264"/>
      <c r="X1" s="264"/>
      <c r="Y1" s="264" t="s">
        <v>96</v>
      </c>
      <c r="Z1" s="264"/>
    </row>
    <row r="2">
      <c r="A2" s="184" t="s">
        <v>114</v>
      </c>
      <c r="B2" s="184" t="s">
        <v>904</v>
      </c>
      <c r="D2" s="51" t="s">
        <v>478</v>
      </c>
      <c r="E2" s="51" t="s">
        <v>905</v>
      </c>
      <c r="G2" s="51" t="s">
        <v>413</v>
      </c>
      <c r="H2" s="51" t="s">
        <v>906</v>
      </c>
      <c r="J2" s="184" t="s">
        <v>452</v>
      </c>
      <c r="K2" s="50">
        <v>0.75</v>
      </c>
      <c r="M2" s="265" t="s">
        <v>306</v>
      </c>
      <c r="N2" s="184" t="s">
        <v>907</v>
      </c>
      <c r="O2" s="32" t="s">
        <v>908</v>
      </c>
      <c r="R2" s="266">
        <v>0.0</v>
      </c>
      <c r="U2" s="150" t="s">
        <v>909</v>
      </c>
      <c r="V2" s="150" t="s">
        <v>910</v>
      </c>
      <c r="Y2" s="267" t="s">
        <v>911</v>
      </c>
      <c r="Z2" s="267" t="s">
        <v>912</v>
      </c>
    </row>
    <row r="3">
      <c r="A3" s="184" t="s">
        <v>122</v>
      </c>
      <c r="B3" s="184" t="s">
        <v>913</v>
      </c>
      <c r="D3" s="51" t="s">
        <v>311</v>
      </c>
      <c r="E3" s="51" t="s">
        <v>905</v>
      </c>
      <c r="G3" s="51" t="s">
        <v>914</v>
      </c>
      <c r="H3" s="51" t="s">
        <v>906</v>
      </c>
      <c r="J3" s="184" t="s">
        <v>349</v>
      </c>
      <c r="K3" s="50">
        <v>1.0</v>
      </c>
      <c r="M3" s="265" t="s">
        <v>343</v>
      </c>
      <c r="N3" s="184" t="s">
        <v>309</v>
      </c>
      <c r="O3" s="43" t="s">
        <v>915</v>
      </c>
      <c r="R3" s="266">
        <v>6.944444444444445E-4</v>
      </c>
      <c r="U3" s="268" t="s">
        <v>452</v>
      </c>
      <c r="V3" s="214" t="s">
        <v>916</v>
      </c>
      <c r="Y3" s="269" t="s">
        <v>114</v>
      </c>
      <c r="Z3" s="269" t="s">
        <v>332</v>
      </c>
    </row>
    <row r="4">
      <c r="A4" s="184" t="s">
        <v>191</v>
      </c>
      <c r="B4" s="184" t="s">
        <v>131</v>
      </c>
      <c r="D4" s="51" t="s">
        <v>462</v>
      </c>
      <c r="E4" s="51" t="s">
        <v>905</v>
      </c>
      <c r="G4" s="51" t="s">
        <v>317</v>
      </c>
      <c r="H4" s="51" t="s">
        <v>906</v>
      </c>
      <c r="J4" s="51" t="s">
        <v>312</v>
      </c>
      <c r="K4" s="50">
        <v>1.0</v>
      </c>
      <c r="M4" s="265" t="s">
        <v>352</v>
      </c>
      <c r="N4" s="184" t="s">
        <v>310</v>
      </c>
      <c r="O4" s="35" t="s">
        <v>687</v>
      </c>
      <c r="R4" s="266">
        <v>0.001388888888888889</v>
      </c>
      <c r="U4" s="268" t="s">
        <v>349</v>
      </c>
      <c r="V4" s="214" t="s">
        <v>350</v>
      </c>
      <c r="Y4" s="270" t="s">
        <v>118</v>
      </c>
      <c r="Z4" s="270" t="s">
        <v>332</v>
      </c>
    </row>
    <row r="5">
      <c r="A5" s="184" t="s">
        <v>130</v>
      </c>
      <c r="B5" s="184" t="s">
        <v>194</v>
      </c>
      <c r="D5" s="184" t="s">
        <v>378</v>
      </c>
      <c r="E5" s="51" t="s">
        <v>905</v>
      </c>
      <c r="G5" s="51" t="s">
        <v>361</v>
      </c>
      <c r="H5" s="51" t="s">
        <v>906</v>
      </c>
      <c r="J5" s="184" t="s">
        <v>303</v>
      </c>
      <c r="K5" s="50">
        <v>0.5</v>
      </c>
      <c r="M5" s="265" t="s">
        <v>396</v>
      </c>
      <c r="O5" s="32" t="s">
        <v>338</v>
      </c>
      <c r="R5" s="266">
        <v>0.00208333333333333</v>
      </c>
      <c r="U5" s="268" t="s">
        <v>312</v>
      </c>
      <c r="V5" s="214" t="s">
        <v>917</v>
      </c>
      <c r="Y5" s="269" t="s">
        <v>918</v>
      </c>
      <c r="Z5" s="269" t="s">
        <v>332</v>
      </c>
    </row>
    <row r="6">
      <c r="A6" s="184" t="s">
        <v>139</v>
      </c>
      <c r="B6" s="184" t="s">
        <v>199</v>
      </c>
      <c r="D6" s="184" t="s">
        <v>488</v>
      </c>
      <c r="E6" s="51" t="s">
        <v>905</v>
      </c>
      <c r="G6" s="51" t="s">
        <v>325</v>
      </c>
      <c r="H6" s="51" t="s">
        <v>906</v>
      </c>
      <c r="J6" s="184" t="s">
        <v>534</v>
      </c>
      <c r="K6" s="50">
        <v>1.0</v>
      </c>
      <c r="M6" s="265" t="s">
        <v>323</v>
      </c>
      <c r="O6" s="32" t="s">
        <v>919</v>
      </c>
      <c r="R6" s="266">
        <v>0.00277777777777778</v>
      </c>
      <c r="U6" s="268" t="s">
        <v>303</v>
      </c>
      <c r="V6" s="214" t="s">
        <v>304</v>
      </c>
      <c r="Y6" s="270" t="s">
        <v>122</v>
      </c>
      <c r="Z6" s="270" t="s">
        <v>332</v>
      </c>
    </row>
    <row r="7">
      <c r="A7" s="184" t="s">
        <v>201</v>
      </c>
      <c r="B7" s="184" t="s">
        <v>202</v>
      </c>
      <c r="D7" s="184" t="s">
        <v>346</v>
      </c>
      <c r="E7" s="51" t="s">
        <v>905</v>
      </c>
      <c r="G7" s="184" t="s">
        <v>378</v>
      </c>
      <c r="H7" s="51" t="s">
        <v>906</v>
      </c>
      <c r="J7" s="51" t="s">
        <v>593</v>
      </c>
      <c r="K7" s="50">
        <v>0.75</v>
      </c>
      <c r="M7" s="265" t="s">
        <v>400</v>
      </c>
      <c r="O7" s="32" t="s">
        <v>920</v>
      </c>
      <c r="R7" s="266">
        <v>0.00347222222222222</v>
      </c>
      <c r="U7" s="268" t="s">
        <v>534</v>
      </c>
      <c r="V7" s="214" t="s">
        <v>921</v>
      </c>
      <c r="Y7" s="269" t="s">
        <v>126</v>
      </c>
      <c r="Z7" s="269" t="s">
        <v>332</v>
      </c>
    </row>
    <row r="8">
      <c r="A8" s="184" t="s">
        <v>146</v>
      </c>
      <c r="B8" s="184" t="s">
        <v>147</v>
      </c>
      <c r="D8" s="184" t="s">
        <v>318</v>
      </c>
      <c r="E8" s="51" t="s">
        <v>905</v>
      </c>
      <c r="G8" s="51" t="s">
        <v>518</v>
      </c>
      <c r="H8" s="51" t="s">
        <v>922</v>
      </c>
      <c r="J8" s="51" t="s">
        <v>923</v>
      </c>
      <c r="K8" s="50">
        <v>1.0</v>
      </c>
      <c r="M8" s="265" t="s">
        <v>376</v>
      </c>
      <c r="O8" s="44" t="s">
        <v>924</v>
      </c>
      <c r="R8" s="266">
        <v>0.00416666666666667</v>
      </c>
      <c r="U8" s="268" t="s">
        <v>593</v>
      </c>
      <c r="V8" s="214" t="s">
        <v>925</v>
      </c>
      <c r="Y8" s="270" t="s">
        <v>191</v>
      </c>
      <c r="Z8" s="270" t="s">
        <v>332</v>
      </c>
    </row>
    <row r="9">
      <c r="A9" s="184" t="s">
        <v>150</v>
      </c>
      <c r="B9" s="184" t="s">
        <v>926</v>
      </c>
      <c r="D9" s="184" t="s">
        <v>347</v>
      </c>
      <c r="E9" s="51" t="s">
        <v>905</v>
      </c>
      <c r="G9" s="184" t="s">
        <v>346</v>
      </c>
      <c r="H9" s="51" t="s">
        <v>922</v>
      </c>
      <c r="J9" s="51" t="s">
        <v>562</v>
      </c>
      <c r="K9" s="50">
        <v>1.0</v>
      </c>
      <c r="M9" s="265" t="s">
        <v>329</v>
      </c>
      <c r="O9" s="32" t="s">
        <v>927</v>
      </c>
      <c r="R9" s="266">
        <v>0.00486111111111111</v>
      </c>
      <c r="U9" s="268"/>
      <c r="V9" s="214"/>
      <c r="Y9" s="269" t="s">
        <v>198</v>
      </c>
      <c r="Z9" s="269" t="s">
        <v>332</v>
      </c>
    </row>
    <row r="10">
      <c r="A10" s="184" t="s">
        <v>154</v>
      </c>
      <c r="B10" s="184" t="s">
        <v>155</v>
      </c>
      <c r="D10" s="184" t="s">
        <v>362</v>
      </c>
      <c r="E10" s="51" t="s">
        <v>905</v>
      </c>
      <c r="G10" s="51" t="s">
        <v>462</v>
      </c>
      <c r="H10" s="51" t="s">
        <v>922</v>
      </c>
      <c r="J10" s="184" t="s">
        <v>928</v>
      </c>
      <c r="K10" s="50">
        <v>1.0</v>
      </c>
      <c r="O10" s="32" t="s">
        <v>929</v>
      </c>
      <c r="R10" s="266">
        <v>0.00555555555555556</v>
      </c>
      <c r="U10" s="268" t="s">
        <v>923</v>
      </c>
      <c r="V10" s="214" t="s">
        <v>930</v>
      </c>
      <c r="Y10" s="270" t="s">
        <v>130</v>
      </c>
      <c r="Z10" s="270" t="s">
        <v>332</v>
      </c>
    </row>
    <row r="11">
      <c r="A11" s="184" t="s">
        <v>162</v>
      </c>
      <c r="B11" s="184" t="s">
        <v>163</v>
      </c>
      <c r="D11" s="184" t="s">
        <v>339</v>
      </c>
      <c r="E11" s="271" t="s">
        <v>931</v>
      </c>
      <c r="G11" s="51"/>
      <c r="H11" s="51"/>
      <c r="J11" s="51" t="s">
        <v>374</v>
      </c>
      <c r="K11" s="50">
        <v>0.75</v>
      </c>
      <c r="M11" s="265"/>
      <c r="O11" s="32" t="s">
        <v>932</v>
      </c>
      <c r="R11" s="266">
        <v>0.00625</v>
      </c>
      <c r="U11" s="268" t="s">
        <v>562</v>
      </c>
      <c r="V11" s="214" t="s">
        <v>933</v>
      </c>
      <c r="Y11" s="269" t="s">
        <v>139</v>
      </c>
      <c r="Z11" s="269" t="s">
        <v>332</v>
      </c>
    </row>
    <row r="12">
      <c r="A12" s="184" t="s">
        <v>164</v>
      </c>
      <c r="B12" s="184" t="s">
        <v>212</v>
      </c>
      <c r="D12" s="184" t="s">
        <v>452</v>
      </c>
      <c r="E12" s="51" t="s">
        <v>931</v>
      </c>
      <c r="G12" s="51"/>
      <c r="H12" s="51"/>
      <c r="J12" s="184" t="s">
        <v>578</v>
      </c>
      <c r="K12" s="50">
        <v>0.75</v>
      </c>
      <c r="M12" s="265"/>
      <c r="O12" s="35" t="s">
        <v>934</v>
      </c>
      <c r="R12" s="266">
        <v>0.00694444444444444</v>
      </c>
      <c r="U12" s="268" t="s">
        <v>659</v>
      </c>
      <c r="V12" s="214" t="s">
        <v>935</v>
      </c>
      <c r="Y12" s="270" t="s">
        <v>201</v>
      </c>
      <c r="Z12" s="270" t="s">
        <v>332</v>
      </c>
    </row>
    <row r="13">
      <c r="A13" s="184" t="s">
        <v>56</v>
      </c>
      <c r="B13" s="272" t="s">
        <v>936</v>
      </c>
      <c r="D13" s="184" t="s">
        <v>326</v>
      </c>
      <c r="E13" s="51" t="s">
        <v>931</v>
      </c>
      <c r="J13" s="51" t="s">
        <v>937</v>
      </c>
      <c r="K13" s="50">
        <v>0.5</v>
      </c>
      <c r="M13" s="265"/>
      <c r="O13" s="32" t="s">
        <v>938</v>
      </c>
      <c r="R13" s="266">
        <v>0.00763888888888889</v>
      </c>
      <c r="U13" s="268" t="s">
        <v>362</v>
      </c>
      <c r="V13" s="214" t="s">
        <v>939</v>
      </c>
      <c r="Y13" s="269" t="s">
        <v>142</v>
      </c>
      <c r="Z13" s="269" t="s">
        <v>332</v>
      </c>
    </row>
    <row r="14">
      <c r="A14" s="184" t="s">
        <v>116</v>
      </c>
      <c r="B14" s="184" t="s">
        <v>117</v>
      </c>
      <c r="D14" s="184" t="s">
        <v>367</v>
      </c>
      <c r="E14" s="51" t="s">
        <v>931</v>
      </c>
      <c r="J14" s="51" t="s">
        <v>729</v>
      </c>
      <c r="K14" s="50">
        <v>1.0</v>
      </c>
      <c r="M14" s="265"/>
      <c r="O14" s="32" t="s">
        <v>696</v>
      </c>
      <c r="R14" s="266">
        <v>0.00833333333333333</v>
      </c>
      <c r="U14" s="268" t="s">
        <v>928</v>
      </c>
      <c r="V14" s="214" t="s">
        <v>940</v>
      </c>
      <c r="Y14" s="270" t="s">
        <v>146</v>
      </c>
      <c r="Z14" s="270" t="s">
        <v>332</v>
      </c>
    </row>
    <row r="15">
      <c r="A15" s="184" t="s">
        <v>120</v>
      </c>
      <c r="B15" s="184" t="s">
        <v>121</v>
      </c>
      <c r="D15" s="184" t="s">
        <v>427</v>
      </c>
      <c r="E15" s="51" t="s">
        <v>931</v>
      </c>
      <c r="J15" s="51" t="s">
        <v>941</v>
      </c>
      <c r="K15" s="50">
        <v>0.75</v>
      </c>
      <c r="M15" s="265"/>
      <c r="O15" s="45" t="s">
        <v>942</v>
      </c>
      <c r="R15" s="266">
        <v>0.00902777777777778</v>
      </c>
      <c r="U15" s="268" t="s">
        <v>374</v>
      </c>
      <c r="V15" s="214" t="s">
        <v>375</v>
      </c>
      <c r="Y15" s="269" t="s">
        <v>150</v>
      </c>
      <c r="Z15" s="269" t="s">
        <v>332</v>
      </c>
    </row>
    <row r="16">
      <c r="A16" s="184" t="s">
        <v>124</v>
      </c>
      <c r="B16" s="184" t="s">
        <v>125</v>
      </c>
      <c r="D16" s="184" t="s">
        <v>321</v>
      </c>
      <c r="E16" s="51" t="s">
        <v>931</v>
      </c>
      <c r="J16" s="184" t="s">
        <v>516</v>
      </c>
      <c r="K16" s="50">
        <v>1.0</v>
      </c>
      <c r="O16" s="32" t="s">
        <v>943</v>
      </c>
      <c r="R16" s="266">
        <v>0.00972222222222222</v>
      </c>
      <c r="U16" s="268" t="s">
        <v>578</v>
      </c>
      <c r="V16" s="214" t="s">
        <v>944</v>
      </c>
      <c r="Y16" s="270" t="s">
        <v>154</v>
      </c>
      <c r="Z16" s="270" t="s">
        <v>332</v>
      </c>
    </row>
    <row r="17">
      <c r="A17" s="184" t="s">
        <v>128</v>
      </c>
      <c r="B17" s="184" t="s">
        <v>129</v>
      </c>
      <c r="D17" s="51" t="s">
        <v>312</v>
      </c>
      <c r="E17" s="51" t="s">
        <v>931</v>
      </c>
      <c r="J17" s="51" t="s">
        <v>945</v>
      </c>
      <c r="K17" s="50">
        <v>1.0</v>
      </c>
      <c r="O17" s="32" t="s">
        <v>946</v>
      </c>
      <c r="R17" s="266">
        <v>0.0104166666666667</v>
      </c>
      <c r="U17" s="268" t="s">
        <v>937</v>
      </c>
      <c r="V17" s="214" t="s">
        <v>947</v>
      </c>
      <c r="Y17" s="269" t="s">
        <v>158</v>
      </c>
      <c r="Z17" s="269" t="s">
        <v>332</v>
      </c>
    </row>
    <row r="18" ht="15.0" customHeight="1">
      <c r="A18" s="184" t="s">
        <v>132</v>
      </c>
      <c r="B18" s="184" t="s">
        <v>133</v>
      </c>
      <c r="D18" s="184" t="s">
        <v>389</v>
      </c>
      <c r="E18" s="51" t="s">
        <v>931</v>
      </c>
      <c r="J18" s="51" t="s">
        <v>507</v>
      </c>
      <c r="K18" s="50">
        <v>0.75</v>
      </c>
      <c r="O18" s="273" t="s">
        <v>948</v>
      </c>
      <c r="R18" s="266">
        <v>0.0111111111111111</v>
      </c>
      <c r="U18" s="268" t="s">
        <v>729</v>
      </c>
      <c r="V18" s="214" t="s">
        <v>949</v>
      </c>
      <c r="Y18" s="270" t="s">
        <v>162</v>
      </c>
      <c r="Z18" s="270" t="s">
        <v>332</v>
      </c>
    </row>
    <row r="19" ht="15.0" customHeight="1">
      <c r="A19" s="184" t="s">
        <v>226</v>
      </c>
      <c r="B19" s="184" t="s">
        <v>227</v>
      </c>
      <c r="D19" s="184" t="s">
        <v>470</v>
      </c>
      <c r="E19" s="51" t="s">
        <v>931</v>
      </c>
      <c r="J19" s="184" t="s">
        <v>950</v>
      </c>
      <c r="K19" s="50">
        <v>0.75</v>
      </c>
      <c r="O19" s="273" t="s">
        <v>951</v>
      </c>
      <c r="R19" s="266">
        <v>0.0118055555555556</v>
      </c>
      <c r="U19" s="268" t="s">
        <v>941</v>
      </c>
      <c r="V19" s="214" t="s">
        <v>952</v>
      </c>
      <c r="Y19" s="269" t="s">
        <v>953</v>
      </c>
      <c r="Z19" s="269" t="s">
        <v>332</v>
      </c>
    </row>
    <row r="20">
      <c r="A20" s="184" t="s">
        <v>229</v>
      </c>
      <c r="B20" s="184" t="s">
        <v>138</v>
      </c>
      <c r="D20" s="184" t="s">
        <v>503</v>
      </c>
      <c r="E20" s="51" t="s">
        <v>931</v>
      </c>
      <c r="J20" s="51" t="s">
        <v>954</v>
      </c>
      <c r="K20" s="50">
        <v>0.75</v>
      </c>
      <c r="O20" s="32" t="s">
        <v>955</v>
      </c>
      <c r="R20" s="266">
        <v>0.0125</v>
      </c>
      <c r="U20" s="268" t="s">
        <v>516</v>
      </c>
      <c r="V20" s="214" t="s">
        <v>956</v>
      </c>
      <c r="Y20" s="270" t="s">
        <v>164</v>
      </c>
      <c r="Z20" s="270" t="s">
        <v>332</v>
      </c>
    </row>
    <row r="21" ht="15.75" customHeight="1">
      <c r="A21" s="184" t="s">
        <v>152</v>
      </c>
      <c r="B21" s="184" t="s">
        <v>153</v>
      </c>
      <c r="D21" s="184" t="s">
        <v>581</v>
      </c>
      <c r="E21" s="51" t="s">
        <v>931</v>
      </c>
      <c r="J21" s="51" t="s">
        <v>341</v>
      </c>
      <c r="K21" s="50">
        <v>1.0</v>
      </c>
      <c r="O21" s="35" t="s">
        <v>957</v>
      </c>
      <c r="R21" s="266">
        <v>0.0131944444444444</v>
      </c>
      <c r="U21" s="268" t="s">
        <v>945</v>
      </c>
      <c r="V21" s="214" t="s">
        <v>958</v>
      </c>
      <c r="Y21" s="269" t="s">
        <v>959</v>
      </c>
      <c r="Z21" s="269" t="s">
        <v>332</v>
      </c>
    </row>
    <row r="22" ht="15.75" customHeight="1">
      <c r="A22" s="184" t="s">
        <v>156</v>
      </c>
      <c r="B22" s="184" t="s">
        <v>232</v>
      </c>
      <c r="D22" s="184"/>
      <c r="E22" s="51"/>
      <c r="J22" s="184" t="s">
        <v>960</v>
      </c>
      <c r="K22" s="50">
        <v>1.0</v>
      </c>
      <c r="O22" s="35" t="s">
        <v>961</v>
      </c>
      <c r="R22" s="266">
        <v>0.0138888888888889</v>
      </c>
      <c r="U22" s="268" t="s">
        <v>507</v>
      </c>
      <c r="V22" s="214" t="s">
        <v>962</v>
      </c>
      <c r="Y22" s="270" t="s">
        <v>166</v>
      </c>
      <c r="Z22" s="270" t="s">
        <v>332</v>
      </c>
    </row>
    <row r="23" ht="15.75" customHeight="1">
      <c r="A23" s="184" t="s">
        <v>58</v>
      </c>
      <c r="B23" s="274" t="s">
        <v>233</v>
      </c>
      <c r="D23" s="51"/>
      <c r="E23" s="51"/>
      <c r="J23" s="184" t="s">
        <v>666</v>
      </c>
      <c r="K23" s="50">
        <v>0.75</v>
      </c>
      <c r="R23" s="266">
        <v>0.0145833333333333</v>
      </c>
      <c r="U23" s="268" t="s">
        <v>428</v>
      </c>
      <c r="V23" s="214" t="s">
        <v>475</v>
      </c>
      <c r="Y23" s="269" t="s">
        <v>963</v>
      </c>
      <c r="Z23" s="269" t="s">
        <v>332</v>
      </c>
    </row>
    <row r="24" ht="15.75" customHeight="1">
      <c r="A24" s="184" t="s">
        <v>66</v>
      </c>
      <c r="B24" s="184" t="s">
        <v>964</v>
      </c>
      <c r="D24" s="51"/>
      <c r="E24" s="51"/>
      <c r="J24" s="184" t="s">
        <v>628</v>
      </c>
      <c r="K24" s="50">
        <v>0.75</v>
      </c>
      <c r="R24" s="266">
        <v>0.0152777777777778</v>
      </c>
      <c r="U24" s="268" t="s">
        <v>950</v>
      </c>
      <c r="V24" s="214" t="s">
        <v>965</v>
      </c>
      <c r="Y24" s="270" t="s">
        <v>56</v>
      </c>
      <c r="Z24" s="270" t="s">
        <v>332</v>
      </c>
    </row>
    <row r="25" ht="15.75" customHeight="1">
      <c r="A25" s="184" t="s">
        <v>68</v>
      </c>
      <c r="B25" s="184" t="s">
        <v>966</v>
      </c>
      <c r="D25" s="51"/>
      <c r="E25" s="51"/>
      <c r="J25" s="51" t="s">
        <v>967</v>
      </c>
      <c r="K25" s="50">
        <v>0.75</v>
      </c>
      <c r="R25" s="266">
        <v>0.0159722222222222</v>
      </c>
      <c r="U25" s="268" t="s">
        <v>954</v>
      </c>
      <c r="V25" s="214" t="s">
        <v>968</v>
      </c>
      <c r="Y25" s="269" t="s">
        <v>116</v>
      </c>
      <c r="Z25" s="269" t="s">
        <v>308</v>
      </c>
    </row>
    <row r="26" ht="15.75" customHeight="1">
      <c r="D26" s="51"/>
      <c r="J26" s="51" t="s">
        <v>969</v>
      </c>
      <c r="K26" s="50">
        <v>0.5</v>
      </c>
      <c r="R26" s="266">
        <v>0.0166666666666667</v>
      </c>
      <c r="U26" s="268" t="s">
        <v>970</v>
      </c>
      <c r="V26" s="214" t="s">
        <v>971</v>
      </c>
      <c r="Y26" s="270" t="s">
        <v>120</v>
      </c>
      <c r="Z26" s="270" t="s">
        <v>308</v>
      </c>
    </row>
    <row r="27" ht="15.75" customHeight="1">
      <c r="D27" s="51"/>
      <c r="J27" s="184" t="s">
        <v>972</v>
      </c>
      <c r="K27" s="50">
        <v>1.0</v>
      </c>
      <c r="R27" s="266">
        <v>0.0173611111111111</v>
      </c>
      <c r="U27" s="268" t="s">
        <v>341</v>
      </c>
      <c r="V27" s="214" t="s">
        <v>342</v>
      </c>
      <c r="Y27" s="269" t="s">
        <v>124</v>
      </c>
      <c r="Z27" s="269" t="s">
        <v>308</v>
      </c>
    </row>
    <row r="28" ht="15.75" customHeight="1">
      <c r="J28" s="184" t="s">
        <v>973</v>
      </c>
      <c r="K28" s="50">
        <v>1.0</v>
      </c>
      <c r="R28" s="266">
        <v>0.0180555555555556</v>
      </c>
      <c r="U28" s="268" t="s">
        <v>960</v>
      </c>
      <c r="V28" s="275" t="s">
        <v>974</v>
      </c>
      <c r="Y28" s="270" t="s">
        <v>128</v>
      </c>
      <c r="Z28" s="270" t="s">
        <v>308</v>
      </c>
    </row>
    <row r="29" ht="15.75" customHeight="1">
      <c r="D29" s="51"/>
      <c r="J29" s="184" t="s">
        <v>414</v>
      </c>
      <c r="K29" s="50">
        <v>0.75</v>
      </c>
      <c r="R29" s="266">
        <v>0.01875</v>
      </c>
      <c r="U29" s="268" t="s">
        <v>666</v>
      </c>
      <c r="V29" s="214" t="s">
        <v>975</v>
      </c>
      <c r="Y29" s="269" t="s">
        <v>132</v>
      </c>
      <c r="Z29" s="269" t="s">
        <v>308</v>
      </c>
    </row>
    <row r="30" ht="15.75" customHeight="1">
      <c r="J30" s="184" t="s">
        <v>976</v>
      </c>
      <c r="K30" s="50">
        <v>1.0</v>
      </c>
      <c r="R30" s="266">
        <v>0.0194444444444444</v>
      </c>
      <c r="U30" s="268"/>
      <c r="V30" s="214"/>
      <c r="Y30" s="270" t="s">
        <v>226</v>
      </c>
      <c r="Z30" s="270" t="s">
        <v>308</v>
      </c>
    </row>
    <row r="31" ht="15.75" customHeight="1">
      <c r="J31" s="51" t="s">
        <v>977</v>
      </c>
      <c r="K31" s="50">
        <v>0.5</v>
      </c>
      <c r="R31" s="266">
        <v>0.0201388888888889</v>
      </c>
      <c r="U31" s="268" t="s">
        <v>628</v>
      </c>
      <c r="V31" s="214" t="s">
        <v>978</v>
      </c>
      <c r="Y31" s="269" t="s">
        <v>229</v>
      </c>
      <c r="Z31" s="269" t="s">
        <v>308</v>
      </c>
    </row>
    <row r="32" ht="15.0" customHeight="1">
      <c r="J32" s="51" t="s">
        <v>425</v>
      </c>
      <c r="K32" s="50">
        <v>0.75</v>
      </c>
      <c r="R32" s="266">
        <v>0.0208333333333333</v>
      </c>
      <c r="U32" s="268" t="s">
        <v>967</v>
      </c>
      <c r="V32" s="214" t="s">
        <v>979</v>
      </c>
      <c r="Y32" s="270" t="s">
        <v>135</v>
      </c>
      <c r="Z32" s="270" t="s">
        <v>308</v>
      </c>
    </row>
    <row r="33" ht="15.75" customHeight="1">
      <c r="J33" s="51" t="s">
        <v>980</v>
      </c>
      <c r="K33" s="50">
        <v>0.5</v>
      </c>
      <c r="R33" s="266">
        <v>0.0215277777777778</v>
      </c>
      <c r="U33" s="268" t="s">
        <v>969</v>
      </c>
      <c r="V33" s="214" t="s">
        <v>981</v>
      </c>
      <c r="Y33" s="269" t="s">
        <v>144</v>
      </c>
      <c r="Z33" s="269" t="s">
        <v>308</v>
      </c>
    </row>
    <row r="34" ht="15.75" customHeight="1">
      <c r="J34" s="184" t="s">
        <v>321</v>
      </c>
      <c r="K34" s="50">
        <v>1.0</v>
      </c>
      <c r="R34" s="266">
        <v>0.0222222222222222</v>
      </c>
      <c r="U34" s="268" t="s">
        <v>972</v>
      </c>
      <c r="V34" s="214" t="s">
        <v>982</v>
      </c>
      <c r="Y34" s="270" t="s">
        <v>148</v>
      </c>
      <c r="Z34" s="270" t="s">
        <v>308</v>
      </c>
    </row>
    <row r="35" ht="15.75" customHeight="1">
      <c r="J35" s="184" t="s">
        <v>384</v>
      </c>
      <c r="K35" s="50">
        <v>1.0</v>
      </c>
      <c r="R35" s="266">
        <v>0.0229166666666667</v>
      </c>
      <c r="U35" s="268" t="s">
        <v>973</v>
      </c>
      <c r="V35" s="214" t="s">
        <v>983</v>
      </c>
      <c r="Y35" s="269" t="s">
        <v>152</v>
      </c>
      <c r="Z35" s="269" t="s">
        <v>308</v>
      </c>
    </row>
    <row r="36" ht="15.75" customHeight="1">
      <c r="J36" s="51" t="s">
        <v>465</v>
      </c>
      <c r="K36" s="50">
        <v>1.0</v>
      </c>
      <c r="R36" s="266">
        <v>0.0236111111111111</v>
      </c>
      <c r="U36" s="268" t="s">
        <v>414</v>
      </c>
      <c r="V36" s="214" t="s">
        <v>984</v>
      </c>
      <c r="Y36" s="270" t="s">
        <v>156</v>
      </c>
      <c r="Z36" s="270" t="s">
        <v>308</v>
      </c>
    </row>
    <row r="37" ht="15.75" customHeight="1">
      <c r="J37" s="184" t="s">
        <v>847</v>
      </c>
      <c r="K37" s="50">
        <v>0.75</v>
      </c>
      <c r="R37" s="266">
        <v>0.0243055555555556</v>
      </c>
      <c r="U37" s="268"/>
      <c r="V37" s="214"/>
      <c r="Y37" s="269" t="s">
        <v>160</v>
      </c>
      <c r="Z37" s="269" t="s">
        <v>308</v>
      </c>
    </row>
    <row r="38" ht="15.75" customHeight="1">
      <c r="E38" s="51"/>
      <c r="J38" s="51" t="s">
        <v>985</v>
      </c>
      <c r="K38" s="50">
        <v>1.0</v>
      </c>
      <c r="R38" s="266">
        <v>0.025</v>
      </c>
      <c r="U38" s="268" t="s">
        <v>977</v>
      </c>
      <c r="V38" s="214" t="s">
        <v>986</v>
      </c>
      <c r="Y38" s="269" t="s">
        <v>58</v>
      </c>
      <c r="Z38" s="269" t="s">
        <v>308</v>
      </c>
    </row>
    <row r="39" ht="15.75" customHeight="1">
      <c r="D39" s="51"/>
      <c r="E39" s="51"/>
      <c r="J39" s="184" t="s">
        <v>987</v>
      </c>
      <c r="K39" s="50">
        <v>0.5</v>
      </c>
      <c r="R39" s="266">
        <v>0.0256944444444444</v>
      </c>
      <c r="U39" s="268" t="s">
        <v>425</v>
      </c>
      <c r="V39" s="214" t="s">
        <v>988</v>
      </c>
      <c r="Y39" s="269" t="s">
        <v>66</v>
      </c>
      <c r="Z39" s="269"/>
    </row>
    <row r="40" ht="15.75" customHeight="1">
      <c r="D40" s="51"/>
      <c r="E40" s="51"/>
      <c r="J40" s="51" t="s">
        <v>637</v>
      </c>
      <c r="K40" s="50">
        <v>1.0</v>
      </c>
      <c r="R40" s="266">
        <v>0.0263888888888889</v>
      </c>
      <c r="U40" s="268" t="s">
        <v>989</v>
      </c>
      <c r="V40" s="214" t="s">
        <v>990</v>
      </c>
      <c r="Y40" s="269" t="s">
        <v>68</v>
      </c>
      <c r="Z40" s="269"/>
    </row>
    <row r="41" ht="15.75" customHeight="1">
      <c r="E41" s="51"/>
      <c r="J41" s="184" t="s">
        <v>389</v>
      </c>
      <c r="K41" s="50">
        <v>1.0</v>
      </c>
      <c r="R41" s="266">
        <v>0.0270833333333333</v>
      </c>
      <c r="U41" s="268" t="s">
        <v>980</v>
      </c>
      <c r="V41" s="214" t="s">
        <v>991</v>
      </c>
      <c r="Y41" s="269"/>
      <c r="Z41" s="269"/>
    </row>
    <row r="42" ht="15.75" customHeight="1">
      <c r="B42" s="184" t="s">
        <v>245</v>
      </c>
      <c r="E42" s="51"/>
      <c r="J42" s="51" t="s">
        <v>644</v>
      </c>
      <c r="K42" s="50">
        <v>1.0</v>
      </c>
      <c r="R42" s="266">
        <v>0.0277777777777778</v>
      </c>
      <c r="U42" s="268" t="s">
        <v>321</v>
      </c>
      <c r="V42" s="214" t="s">
        <v>322</v>
      </c>
      <c r="Y42" s="269"/>
      <c r="Z42" s="269"/>
    </row>
    <row r="43" ht="15.75" customHeight="1">
      <c r="E43" s="51"/>
      <c r="J43" s="184" t="s">
        <v>327</v>
      </c>
      <c r="K43" s="50">
        <v>0.75</v>
      </c>
      <c r="R43" s="266">
        <v>0.0284722222222222</v>
      </c>
      <c r="U43" s="268" t="s">
        <v>384</v>
      </c>
      <c r="V43" s="214" t="s">
        <v>385</v>
      </c>
      <c r="Y43" s="269"/>
      <c r="Z43" s="269"/>
    </row>
    <row r="44" ht="15.75" customHeight="1">
      <c r="E44" s="51"/>
      <c r="J44" s="184" t="s">
        <v>992</v>
      </c>
      <c r="K44" s="50">
        <v>1.0</v>
      </c>
      <c r="R44" s="266">
        <v>0.0291666666666667</v>
      </c>
      <c r="U44" s="268" t="s">
        <v>465</v>
      </c>
      <c r="V44" s="214" t="s">
        <v>993</v>
      </c>
      <c r="Y44" s="269"/>
      <c r="Z44" s="269"/>
    </row>
    <row r="45" ht="15.75" customHeight="1">
      <c r="E45" s="51"/>
      <c r="J45" s="184" t="s">
        <v>582</v>
      </c>
      <c r="K45" s="50">
        <v>0.5</v>
      </c>
      <c r="R45" s="266">
        <v>0.0298611111111111</v>
      </c>
      <c r="U45" s="268" t="s">
        <v>847</v>
      </c>
      <c r="V45" s="214" t="s">
        <v>994</v>
      </c>
      <c r="Y45" s="269"/>
      <c r="Z45" s="269"/>
    </row>
    <row r="46" ht="15.75" customHeight="1">
      <c r="E46" s="51"/>
      <c r="J46" s="272" t="s">
        <v>492</v>
      </c>
      <c r="K46" s="50">
        <v>1.0</v>
      </c>
      <c r="R46" s="266">
        <v>0.0305555555555556</v>
      </c>
      <c r="U46" s="268" t="s">
        <v>623</v>
      </c>
      <c r="V46" s="214" t="s">
        <v>858</v>
      </c>
      <c r="Y46" s="276"/>
      <c r="Z46" s="276"/>
    </row>
    <row r="47" ht="15.75" customHeight="1">
      <c r="J47" s="272" t="s">
        <v>995</v>
      </c>
      <c r="K47" s="50">
        <v>0.75</v>
      </c>
      <c r="R47" s="266">
        <v>0.03125</v>
      </c>
      <c r="U47" s="268" t="s">
        <v>985</v>
      </c>
      <c r="V47" s="214" t="s">
        <v>996</v>
      </c>
    </row>
    <row r="48" ht="15.75" customHeight="1">
      <c r="J48" s="184" t="s">
        <v>734</v>
      </c>
      <c r="K48" s="50">
        <v>0.5</v>
      </c>
      <c r="R48" s="266">
        <v>0.0319444444444444</v>
      </c>
      <c r="U48" s="268"/>
      <c r="V48" s="214"/>
    </row>
    <row r="49" ht="15.75" customHeight="1">
      <c r="J49" s="184" t="s">
        <v>997</v>
      </c>
      <c r="K49" s="50">
        <v>0.75</v>
      </c>
      <c r="R49" s="266">
        <v>0.0326388888888889</v>
      </c>
      <c r="U49" s="268" t="s">
        <v>458</v>
      </c>
      <c r="V49" s="214" t="s">
        <v>998</v>
      </c>
    </row>
    <row r="50" ht="15.75" customHeight="1">
      <c r="J50" s="184" t="s">
        <v>884</v>
      </c>
      <c r="K50" s="50">
        <v>0.5</v>
      </c>
      <c r="R50" s="266">
        <v>0.0333333333333333</v>
      </c>
      <c r="U50" s="268" t="s">
        <v>637</v>
      </c>
      <c r="V50" s="214" t="s">
        <v>999</v>
      </c>
    </row>
    <row r="51" ht="15.75" customHeight="1">
      <c r="J51" s="184" t="s">
        <v>553</v>
      </c>
      <c r="K51" s="50">
        <v>0.75</v>
      </c>
      <c r="R51" s="266">
        <v>0.0340277777777778</v>
      </c>
      <c r="U51" s="268" t="s">
        <v>389</v>
      </c>
      <c r="V51" s="214" t="s">
        <v>1000</v>
      </c>
    </row>
    <row r="52" ht="15.75" customHeight="1">
      <c r="J52" s="184" t="s">
        <v>355</v>
      </c>
      <c r="K52" s="50">
        <v>1.0</v>
      </c>
      <c r="R52" s="266">
        <v>0.0347222222222222</v>
      </c>
      <c r="U52" s="268" t="s">
        <v>644</v>
      </c>
      <c r="V52" s="214" t="s">
        <v>1001</v>
      </c>
    </row>
    <row r="53" ht="15.75" customHeight="1">
      <c r="J53" s="51" t="s">
        <v>1002</v>
      </c>
      <c r="K53" s="50">
        <v>0.75</v>
      </c>
      <c r="R53" s="266">
        <v>0.0354166666666667</v>
      </c>
      <c r="U53" s="268" t="s">
        <v>327</v>
      </c>
      <c r="V53" s="214" t="s">
        <v>328</v>
      </c>
    </row>
    <row r="54" ht="15.75" customHeight="1">
      <c r="J54" s="51" t="s">
        <v>722</v>
      </c>
      <c r="K54" s="50">
        <v>1.0</v>
      </c>
      <c r="R54" s="266">
        <v>0.0361111111111111</v>
      </c>
      <c r="U54" s="268" t="s">
        <v>992</v>
      </c>
      <c r="V54" s="214" t="s">
        <v>1003</v>
      </c>
    </row>
    <row r="55" ht="15.75" customHeight="1">
      <c r="J55" s="184" t="s">
        <v>1004</v>
      </c>
      <c r="K55" s="50">
        <v>1.0</v>
      </c>
      <c r="R55" s="266">
        <v>0.0368055555555556</v>
      </c>
      <c r="U55" s="268" t="s">
        <v>582</v>
      </c>
      <c r="V55" s="214" t="s">
        <v>1005</v>
      </c>
    </row>
    <row r="56" ht="15.75" customHeight="1">
      <c r="J56" s="51" t="s">
        <v>404</v>
      </c>
      <c r="K56" s="50">
        <v>1.0</v>
      </c>
      <c r="R56" s="266">
        <v>0.0375</v>
      </c>
      <c r="U56" s="268" t="s">
        <v>492</v>
      </c>
      <c r="V56" s="214" t="s">
        <v>391</v>
      </c>
    </row>
    <row r="57" ht="15.75" customHeight="1">
      <c r="J57" s="184" t="s">
        <v>530</v>
      </c>
      <c r="K57" s="50">
        <v>1.0</v>
      </c>
      <c r="R57" s="266">
        <v>0.0381944444444444</v>
      </c>
      <c r="U57" s="268" t="s">
        <v>995</v>
      </c>
      <c r="V57" s="214" t="s">
        <v>1006</v>
      </c>
    </row>
    <row r="58" ht="15.75" customHeight="1">
      <c r="J58" s="51" t="s">
        <v>449</v>
      </c>
      <c r="K58" s="50">
        <v>0.75</v>
      </c>
      <c r="R58" s="266">
        <v>0.0388888888888889</v>
      </c>
      <c r="U58" s="268" t="s">
        <v>734</v>
      </c>
      <c r="V58" s="214" t="s">
        <v>869</v>
      </c>
    </row>
    <row r="59" ht="15.75" customHeight="1">
      <c r="J59" s="51" t="s">
        <v>1007</v>
      </c>
      <c r="K59" s="50">
        <v>1.0</v>
      </c>
      <c r="R59" s="266">
        <v>0.0395833333333333</v>
      </c>
      <c r="U59" s="268" t="s">
        <v>997</v>
      </c>
      <c r="V59" s="214" t="s">
        <v>1008</v>
      </c>
    </row>
    <row r="60" ht="15.75" customHeight="1">
      <c r="J60" s="184" t="s">
        <v>709</v>
      </c>
      <c r="K60" s="50">
        <v>1.0</v>
      </c>
      <c r="R60" s="266">
        <v>0.0402777777777778</v>
      </c>
      <c r="U60" s="268" t="s">
        <v>884</v>
      </c>
      <c r="V60" s="214" t="s">
        <v>1009</v>
      </c>
    </row>
    <row r="61" ht="15.75" customHeight="1">
      <c r="J61" s="51" t="s">
        <v>434</v>
      </c>
      <c r="K61" s="50">
        <v>1.0</v>
      </c>
      <c r="R61" s="266">
        <v>0.0409722222222222</v>
      </c>
      <c r="U61" s="268" t="s">
        <v>553</v>
      </c>
      <c r="V61" s="214" t="s">
        <v>1010</v>
      </c>
    </row>
    <row r="62" ht="15.75" customHeight="1">
      <c r="J62" s="51" t="s">
        <v>585</v>
      </c>
      <c r="K62" s="50">
        <v>1.0</v>
      </c>
      <c r="R62" s="266">
        <v>0.0416666666666667</v>
      </c>
      <c r="U62" s="268" t="s">
        <v>355</v>
      </c>
      <c r="V62" s="214" t="s">
        <v>356</v>
      </c>
    </row>
    <row r="63" ht="15.75" customHeight="1">
      <c r="J63" s="51" t="s">
        <v>1011</v>
      </c>
      <c r="K63" s="50">
        <v>0.75</v>
      </c>
      <c r="R63" s="266">
        <v>0.0423611111111111</v>
      </c>
      <c r="U63" s="268"/>
      <c r="V63" s="214"/>
    </row>
    <row r="64" ht="15.75" customHeight="1">
      <c r="J64" s="184" t="s">
        <v>326</v>
      </c>
      <c r="K64" s="50">
        <v>1.0</v>
      </c>
      <c r="R64" s="266">
        <v>0.0430555555555556</v>
      </c>
      <c r="U64" s="268" t="s">
        <v>722</v>
      </c>
      <c r="V64" s="214" t="s">
        <v>1012</v>
      </c>
    </row>
    <row r="65" ht="15.75" customHeight="1">
      <c r="J65" s="184" t="s">
        <v>1013</v>
      </c>
      <c r="K65" s="50">
        <v>0.75</v>
      </c>
      <c r="R65" s="266">
        <v>0.04375</v>
      </c>
      <c r="U65" s="268" t="s">
        <v>1004</v>
      </c>
      <c r="V65" s="214" t="s">
        <v>1014</v>
      </c>
    </row>
    <row r="66" ht="15.75" customHeight="1">
      <c r="J66" s="184" t="s">
        <v>545</v>
      </c>
      <c r="K66" s="50">
        <v>1.0</v>
      </c>
      <c r="R66" s="266">
        <v>0.0444444444444444</v>
      </c>
      <c r="U66" s="268" t="s">
        <v>404</v>
      </c>
      <c r="V66" s="214" t="s">
        <v>1015</v>
      </c>
    </row>
    <row r="67" ht="15.75" customHeight="1">
      <c r="A67" s="277" t="s">
        <v>963</v>
      </c>
      <c r="B67" s="277" t="s">
        <v>687</v>
      </c>
      <c r="J67" s="184" t="s">
        <v>1016</v>
      </c>
      <c r="K67" s="50">
        <v>0.75</v>
      </c>
      <c r="R67" s="266">
        <v>0.0451388888888889</v>
      </c>
      <c r="U67" s="268" t="s">
        <v>530</v>
      </c>
      <c r="V67" s="214" t="s">
        <v>1017</v>
      </c>
    </row>
    <row r="68" ht="15.75" customHeight="1">
      <c r="J68" s="51" t="s">
        <v>521</v>
      </c>
      <c r="K68" s="50">
        <v>1.0</v>
      </c>
      <c r="R68" s="266">
        <v>0.0458333333333333</v>
      </c>
      <c r="U68" s="268" t="s">
        <v>449</v>
      </c>
      <c r="V68" s="214" t="s">
        <v>1018</v>
      </c>
    </row>
    <row r="69" ht="15.75" customHeight="1">
      <c r="J69" s="184" t="s">
        <v>369</v>
      </c>
      <c r="K69" s="50">
        <v>0.5</v>
      </c>
      <c r="R69" s="266">
        <v>0.0465277777777778</v>
      </c>
      <c r="U69" s="268" t="s">
        <v>1007</v>
      </c>
      <c r="V69" s="214" t="s">
        <v>1019</v>
      </c>
    </row>
    <row r="70" ht="15.75" customHeight="1">
      <c r="J70" s="184" t="s">
        <v>689</v>
      </c>
      <c r="K70" s="50">
        <v>1.0</v>
      </c>
      <c r="R70" s="266">
        <v>0.0472222222222222</v>
      </c>
      <c r="U70" s="268" t="s">
        <v>709</v>
      </c>
      <c r="V70" s="214" t="s">
        <v>1020</v>
      </c>
    </row>
    <row r="71" ht="15.75" customHeight="1">
      <c r="J71" s="184" t="s">
        <v>603</v>
      </c>
      <c r="K71" s="50">
        <v>1.0</v>
      </c>
      <c r="R71" s="266">
        <v>0.0479166666666667</v>
      </c>
      <c r="U71" s="268" t="s">
        <v>434</v>
      </c>
      <c r="V71" s="214" t="s">
        <v>1021</v>
      </c>
    </row>
    <row r="72" ht="15.75" customHeight="1">
      <c r="J72" s="51" t="s">
        <v>395</v>
      </c>
      <c r="K72" s="50">
        <v>1.0</v>
      </c>
      <c r="R72" s="266">
        <v>0.0486111111111111</v>
      </c>
      <c r="U72" s="268" t="s">
        <v>585</v>
      </c>
      <c r="V72" s="214" t="s">
        <v>1022</v>
      </c>
    </row>
    <row r="73" ht="15.75" customHeight="1">
      <c r="J73" s="184" t="s">
        <v>453</v>
      </c>
      <c r="K73" s="50">
        <v>0.75</v>
      </c>
      <c r="R73" s="266">
        <v>0.0493055555555556</v>
      </c>
      <c r="U73" s="268" t="s">
        <v>1011</v>
      </c>
      <c r="V73" s="214" t="s">
        <v>1023</v>
      </c>
    </row>
    <row r="74" ht="15.75" customHeight="1">
      <c r="J74" s="184" t="s">
        <v>771</v>
      </c>
      <c r="K74" s="50">
        <v>0.75</v>
      </c>
      <c r="R74" s="266">
        <v>0.05</v>
      </c>
      <c r="U74" s="268"/>
      <c r="V74" s="214"/>
    </row>
    <row r="75" ht="15.75" customHeight="1">
      <c r="J75" s="51" t="s">
        <v>427</v>
      </c>
      <c r="K75" s="50">
        <v>1.0</v>
      </c>
      <c r="R75" s="266">
        <v>0.0506944444444444</v>
      </c>
      <c r="U75" s="268"/>
      <c r="V75" s="214"/>
    </row>
    <row r="76" ht="15.75" customHeight="1">
      <c r="J76" s="51" t="s">
        <v>1024</v>
      </c>
      <c r="K76" s="50">
        <v>1.0</v>
      </c>
      <c r="R76" s="266">
        <v>0.0513888888888889</v>
      </c>
      <c r="U76" s="268" t="s">
        <v>538</v>
      </c>
      <c r="V76" s="214" t="s">
        <v>539</v>
      </c>
    </row>
    <row r="77" ht="15.75" customHeight="1">
      <c r="J77" s="51" t="s">
        <v>1025</v>
      </c>
      <c r="K77" s="50">
        <v>0.75</v>
      </c>
      <c r="R77" s="266">
        <v>0.0520833333333333</v>
      </c>
      <c r="U77" s="268" t="s">
        <v>545</v>
      </c>
      <c r="V77" s="214" t="s">
        <v>1026</v>
      </c>
    </row>
    <row r="78" ht="15.75" customHeight="1">
      <c r="J78" s="51" t="s">
        <v>468</v>
      </c>
      <c r="K78" s="50">
        <v>0.75</v>
      </c>
      <c r="R78" s="266">
        <v>0.0527777777777778</v>
      </c>
      <c r="U78" s="268"/>
      <c r="V78" s="214"/>
    </row>
    <row r="79" ht="15.75" customHeight="1">
      <c r="J79" s="51" t="s">
        <v>363</v>
      </c>
      <c r="K79" s="50">
        <v>1.0</v>
      </c>
      <c r="R79" s="266">
        <v>0.0534722222222222</v>
      </c>
      <c r="U79" s="268" t="s">
        <v>521</v>
      </c>
      <c r="V79" s="214" t="s">
        <v>1027</v>
      </c>
    </row>
    <row r="80" ht="15.75" customHeight="1">
      <c r="J80" s="184" t="s">
        <v>799</v>
      </c>
      <c r="K80" s="50">
        <v>1.0</v>
      </c>
      <c r="R80" s="266">
        <v>0.0541666666666667</v>
      </c>
      <c r="U80" s="268" t="s">
        <v>369</v>
      </c>
      <c r="V80" s="214" t="s">
        <v>370</v>
      </c>
    </row>
    <row r="81" ht="15.75" customHeight="1">
      <c r="J81" s="51" t="s">
        <v>1028</v>
      </c>
      <c r="K81" s="50">
        <v>0.5</v>
      </c>
      <c r="R81" s="266">
        <v>0.0548611111111111</v>
      </c>
      <c r="U81" s="268" t="s">
        <v>689</v>
      </c>
      <c r="V81" s="214" t="s">
        <v>1029</v>
      </c>
    </row>
    <row r="82" ht="15.75" customHeight="1">
      <c r="J82" s="51" t="s">
        <v>1030</v>
      </c>
      <c r="K82" s="50">
        <v>0.75</v>
      </c>
      <c r="R82" s="266">
        <v>0.0555555555555556</v>
      </c>
      <c r="U82" s="268"/>
      <c r="V82" s="214"/>
    </row>
    <row r="83" ht="15.75" customHeight="1">
      <c r="J83" s="184" t="s">
        <v>1031</v>
      </c>
      <c r="K83" s="50">
        <v>0.5</v>
      </c>
      <c r="R83" s="266">
        <v>0.05625</v>
      </c>
      <c r="U83" s="268" t="s">
        <v>603</v>
      </c>
      <c r="V83" s="214" t="s">
        <v>1032</v>
      </c>
    </row>
    <row r="84" ht="15.75" customHeight="1">
      <c r="J84" s="51" t="s">
        <v>418</v>
      </c>
      <c r="K84" s="50">
        <v>0.75</v>
      </c>
      <c r="R84" s="266">
        <v>0.0569444444444444</v>
      </c>
      <c r="U84" s="268" t="s">
        <v>395</v>
      </c>
      <c r="V84" s="214" t="s">
        <v>761</v>
      </c>
    </row>
    <row r="85" ht="15.75" customHeight="1">
      <c r="J85" s="184" t="s">
        <v>581</v>
      </c>
      <c r="K85" s="50">
        <v>0.5</v>
      </c>
      <c r="R85" s="266">
        <v>0.0576388888888889</v>
      </c>
      <c r="U85" s="268" t="s">
        <v>453</v>
      </c>
      <c r="V85" s="214" t="s">
        <v>1033</v>
      </c>
    </row>
    <row r="86" ht="15.75" customHeight="1">
      <c r="J86" s="184" t="s">
        <v>751</v>
      </c>
      <c r="K86" s="50">
        <v>0.75</v>
      </c>
      <c r="R86" s="266">
        <v>0.0583333333333333</v>
      </c>
      <c r="U86" s="268" t="s">
        <v>771</v>
      </c>
      <c r="V86" s="214" t="s">
        <v>1034</v>
      </c>
    </row>
    <row r="87" ht="15.75" customHeight="1">
      <c r="J87" s="51" t="s">
        <v>499</v>
      </c>
      <c r="K87" s="50">
        <v>0.5</v>
      </c>
      <c r="R87" s="266">
        <v>0.0590277777777778</v>
      </c>
      <c r="U87" s="268" t="s">
        <v>559</v>
      </c>
      <c r="V87" s="214" t="s">
        <v>1035</v>
      </c>
    </row>
    <row r="88" ht="15.75" customHeight="1">
      <c r="J88" s="184" t="s">
        <v>1036</v>
      </c>
      <c r="K88" s="50">
        <v>1.0</v>
      </c>
      <c r="R88" s="266">
        <v>0.0597222222222222</v>
      </c>
      <c r="U88" s="268" t="s">
        <v>427</v>
      </c>
      <c r="V88" s="214" t="s">
        <v>1037</v>
      </c>
    </row>
    <row r="89" ht="15.75" customHeight="1">
      <c r="J89" s="51" t="s">
        <v>698</v>
      </c>
      <c r="K89" s="50">
        <v>1.0</v>
      </c>
      <c r="R89" s="266">
        <v>0.0604166666666667</v>
      </c>
      <c r="U89" s="268" t="s">
        <v>1024</v>
      </c>
      <c r="V89" s="214" t="s">
        <v>1038</v>
      </c>
    </row>
    <row r="90" ht="15.75" customHeight="1">
      <c r="J90" s="51" t="s">
        <v>510</v>
      </c>
      <c r="K90" s="50">
        <v>1.0</v>
      </c>
      <c r="R90" s="266">
        <v>0.0611111111111111</v>
      </c>
      <c r="U90" s="268"/>
      <c r="V90" s="214"/>
    </row>
    <row r="91" ht="15.75" customHeight="1">
      <c r="J91" s="184" t="s">
        <v>367</v>
      </c>
      <c r="K91" s="50">
        <v>1.0</v>
      </c>
      <c r="R91" s="266">
        <v>0.0618055555555556</v>
      </c>
      <c r="U91" s="268" t="s">
        <v>1039</v>
      </c>
      <c r="V91" s="214" t="s">
        <v>1040</v>
      </c>
    </row>
    <row r="92" ht="15.75" customHeight="1">
      <c r="J92" s="51" t="s">
        <v>1041</v>
      </c>
      <c r="K92" s="50">
        <v>0.5</v>
      </c>
      <c r="R92" s="266">
        <v>0.0625</v>
      </c>
      <c r="U92" s="268" t="s">
        <v>468</v>
      </c>
      <c r="V92" s="214" t="s">
        <v>1042</v>
      </c>
    </row>
    <row r="93" ht="15.75" customHeight="1">
      <c r="J93" s="184" t="s">
        <v>445</v>
      </c>
      <c r="K93" s="50">
        <v>1.0</v>
      </c>
      <c r="R93" s="266">
        <v>0.0631944444444444</v>
      </c>
      <c r="U93" s="268" t="s">
        <v>363</v>
      </c>
      <c r="V93" s="214" t="s">
        <v>364</v>
      </c>
    </row>
    <row r="94" ht="15.75" customHeight="1">
      <c r="J94" s="51" t="s">
        <v>1043</v>
      </c>
      <c r="K94" s="50">
        <v>1.0</v>
      </c>
      <c r="R94" s="266">
        <v>0.0638888888888889</v>
      </c>
      <c r="U94" s="268" t="s">
        <v>799</v>
      </c>
      <c r="V94" s="214" t="s">
        <v>1044</v>
      </c>
    </row>
    <row r="95" ht="15.75" customHeight="1">
      <c r="J95" s="51" t="s">
        <v>1045</v>
      </c>
      <c r="K95" s="50">
        <v>0.75</v>
      </c>
      <c r="R95" s="266">
        <v>0.0645833333333333</v>
      </c>
      <c r="U95" s="268"/>
      <c r="V95" s="214"/>
    </row>
    <row r="96" ht="15.75" customHeight="1">
      <c r="J96" s="184" t="s">
        <v>1046</v>
      </c>
      <c r="K96" s="50">
        <v>1.0</v>
      </c>
      <c r="R96" s="266">
        <v>0.0652777777777778</v>
      </c>
      <c r="U96" s="268" t="s">
        <v>1030</v>
      </c>
      <c r="V96" s="214" t="s">
        <v>1047</v>
      </c>
    </row>
    <row r="97" ht="15.75" customHeight="1">
      <c r="J97" s="51" t="s">
        <v>1048</v>
      </c>
      <c r="K97" s="50">
        <v>1.0</v>
      </c>
      <c r="R97" s="266">
        <v>0.0659722222222222</v>
      </c>
      <c r="U97" s="268" t="s">
        <v>1031</v>
      </c>
      <c r="V97" s="214" t="s">
        <v>1049</v>
      </c>
    </row>
    <row r="98" ht="15.75" customHeight="1">
      <c r="J98" s="51" t="s">
        <v>1050</v>
      </c>
      <c r="K98" s="50">
        <v>1.0</v>
      </c>
      <c r="R98" s="266">
        <v>0.0666666666666667</v>
      </c>
      <c r="U98" s="268" t="s">
        <v>418</v>
      </c>
      <c r="V98" s="214" t="s">
        <v>1051</v>
      </c>
    </row>
    <row r="99" ht="15.75" customHeight="1">
      <c r="J99" s="51" t="s">
        <v>358</v>
      </c>
      <c r="K99" s="50">
        <v>1.0</v>
      </c>
      <c r="R99" s="266">
        <v>0.0673611111111111</v>
      </c>
      <c r="U99" s="268" t="s">
        <v>581</v>
      </c>
      <c r="V99" s="214" t="s">
        <v>1052</v>
      </c>
    </row>
    <row r="100" ht="15.75" customHeight="1">
      <c r="J100" s="51" t="s">
        <v>1053</v>
      </c>
      <c r="K100" s="50">
        <v>0.75</v>
      </c>
      <c r="R100" s="266">
        <v>0.0680555555555556</v>
      </c>
      <c r="U100" s="268" t="s">
        <v>751</v>
      </c>
      <c r="V100" s="214" t="s">
        <v>1054</v>
      </c>
    </row>
    <row r="101" ht="15.75" customHeight="1">
      <c r="J101" s="51" t="s">
        <v>441</v>
      </c>
      <c r="K101" s="50">
        <v>0.75</v>
      </c>
      <c r="R101" s="266">
        <v>0.06875</v>
      </c>
      <c r="U101" s="268" t="s">
        <v>499</v>
      </c>
      <c r="V101" s="214" t="s">
        <v>1055</v>
      </c>
    </row>
    <row r="102" ht="15.75" customHeight="1">
      <c r="J102" s="184" t="s">
        <v>503</v>
      </c>
      <c r="K102" s="50">
        <v>1.0</v>
      </c>
      <c r="R102" s="266">
        <v>0.0694444444444444</v>
      </c>
      <c r="U102" s="268" t="s">
        <v>1036</v>
      </c>
      <c r="V102" s="214" t="s">
        <v>1056</v>
      </c>
    </row>
    <row r="103" ht="15.75" customHeight="1">
      <c r="J103" s="51" t="s">
        <v>410</v>
      </c>
      <c r="K103" s="50">
        <v>0.5</v>
      </c>
      <c r="R103" s="266">
        <v>0.0701388888888889</v>
      </c>
      <c r="U103" s="268" t="s">
        <v>698</v>
      </c>
      <c r="V103" s="214" t="s">
        <v>1057</v>
      </c>
    </row>
    <row r="104" ht="15.75" customHeight="1">
      <c r="J104" s="184" t="s">
        <v>1058</v>
      </c>
      <c r="K104" s="50">
        <v>1.0</v>
      </c>
      <c r="R104" s="266">
        <v>0.0708333333333333</v>
      </c>
      <c r="U104" s="268" t="s">
        <v>510</v>
      </c>
      <c r="V104" s="214" t="s">
        <v>1059</v>
      </c>
    </row>
    <row r="105" ht="15.75" customHeight="1">
      <c r="J105" s="184" t="s">
        <v>559</v>
      </c>
      <c r="K105" s="184">
        <v>1.0</v>
      </c>
      <c r="R105" s="266">
        <v>0.0715277777777778</v>
      </c>
      <c r="U105" s="268" t="s">
        <v>367</v>
      </c>
      <c r="V105" s="214" t="s">
        <v>1060</v>
      </c>
    </row>
    <row r="106" ht="15.75" customHeight="1">
      <c r="J106" s="184" t="s">
        <v>1061</v>
      </c>
      <c r="K106" s="184">
        <v>1.0</v>
      </c>
      <c r="R106" s="266">
        <v>0.0722222222222222</v>
      </c>
      <c r="U106" s="268" t="s">
        <v>1041</v>
      </c>
      <c r="V106" s="214" t="s">
        <v>1062</v>
      </c>
    </row>
    <row r="107" ht="15.75" customHeight="1">
      <c r="J107" s="184" t="s">
        <v>970</v>
      </c>
      <c r="K107" s="184">
        <v>0.75</v>
      </c>
      <c r="R107" s="266">
        <v>0.0729166666666667</v>
      </c>
      <c r="U107" s="268" t="s">
        <v>445</v>
      </c>
      <c r="V107" s="214" t="s">
        <v>1063</v>
      </c>
    </row>
    <row r="108" ht="15.75" customHeight="1">
      <c r="J108" s="51" t="s">
        <v>458</v>
      </c>
      <c r="K108" s="278">
        <v>0.75</v>
      </c>
      <c r="R108" s="266">
        <v>0.0736111111111111</v>
      </c>
      <c r="U108" s="279" t="s">
        <v>1043</v>
      </c>
      <c r="V108" s="214" t="s">
        <v>1064</v>
      </c>
    </row>
    <row r="109" ht="15.75" customHeight="1">
      <c r="J109" s="51" t="s">
        <v>1065</v>
      </c>
      <c r="K109" s="278">
        <v>0.5</v>
      </c>
      <c r="R109" s="266">
        <v>0.0743055555555556</v>
      </c>
      <c r="U109" s="150" t="s">
        <v>1045</v>
      </c>
      <c r="V109" s="214" t="s">
        <v>1066</v>
      </c>
    </row>
    <row r="110" ht="15.75" customHeight="1">
      <c r="J110" s="184" t="s">
        <v>428</v>
      </c>
      <c r="K110" s="278">
        <v>0.75</v>
      </c>
      <c r="R110" s="266">
        <v>0.075</v>
      </c>
      <c r="U110" s="268" t="s">
        <v>1067</v>
      </c>
      <c r="V110" s="214" t="s">
        <v>1068</v>
      </c>
    </row>
    <row r="111" ht="15.75" customHeight="1">
      <c r="J111" s="51" t="s">
        <v>623</v>
      </c>
      <c r="K111" s="278">
        <v>0.75</v>
      </c>
      <c r="R111" s="266">
        <v>0.0756944444444445</v>
      </c>
      <c r="U111" s="268" t="s">
        <v>480</v>
      </c>
      <c r="V111" s="214" t="s">
        <v>1069</v>
      </c>
    </row>
    <row r="112" ht="15.75" customHeight="1">
      <c r="J112" s="51" t="s">
        <v>538</v>
      </c>
      <c r="K112" s="278">
        <v>0.75</v>
      </c>
      <c r="R112" s="266">
        <v>0.0763888888888889</v>
      </c>
      <c r="U112" s="268"/>
      <c r="V112" s="214"/>
    </row>
    <row r="113" ht="15.75" customHeight="1">
      <c r="J113" s="51" t="s">
        <v>659</v>
      </c>
      <c r="K113" s="278">
        <v>0.75</v>
      </c>
      <c r="R113" s="266">
        <v>0.0770833333333333</v>
      </c>
      <c r="U113" s="268"/>
      <c r="V113" s="214"/>
    </row>
    <row r="114" ht="15.75" customHeight="1">
      <c r="J114" s="184" t="s">
        <v>480</v>
      </c>
      <c r="K114" s="278">
        <v>0.5</v>
      </c>
      <c r="R114" s="266">
        <v>0.0777777777777778</v>
      </c>
      <c r="U114" s="268"/>
      <c r="V114" s="214"/>
    </row>
    <row r="115" ht="15.75" customHeight="1">
      <c r="J115" s="280" t="s">
        <v>489</v>
      </c>
      <c r="K115" s="184">
        <v>1.0</v>
      </c>
      <c r="R115" s="266">
        <v>0.0784722222222222</v>
      </c>
      <c r="U115" s="268" t="s">
        <v>358</v>
      </c>
      <c r="V115" s="214" t="s">
        <v>359</v>
      </c>
    </row>
    <row r="116" ht="15.75" customHeight="1">
      <c r="J116" s="184" t="s">
        <v>787</v>
      </c>
      <c r="K116" s="278">
        <v>0.75</v>
      </c>
      <c r="R116" s="266">
        <v>0.0791666666666667</v>
      </c>
      <c r="U116" s="268" t="s">
        <v>1053</v>
      </c>
      <c r="V116" s="214" t="s">
        <v>1070</v>
      </c>
    </row>
    <row r="117" ht="15.75" customHeight="1">
      <c r="J117" s="184" t="s">
        <v>569</v>
      </c>
      <c r="K117" s="184">
        <v>1.0</v>
      </c>
      <c r="R117" s="266">
        <v>0.0798611111111111</v>
      </c>
      <c r="U117" s="268" t="s">
        <v>441</v>
      </c>
      <c r="V117" s="214" t="s">
        <v>1071</v>
      </c>
    </row>
    <row r="118" ht="15.75" customHeight="1">
      <c r="J118" s="184" t="s">
        <v>989</v>
      </c>
      <c r="K118" s="184">
        <v>1.0</v>
      </c>
      <c r="R118" s="266">
        <v>0.0805555555555556</v>
      </c>
      <c r="U118" s="268" t="s">
        <v>503</v>
      </c>
      <c r="V118" s="214" t="s">
        <v>1072</v>
      </c>
    </row>
    <row r="119" ht="15.75" customHeight="1">
      <c r="J119" s="184" t="s">
        <v>575</v>
      </c>
      <c r="K119" s="184">
        <v>1.0</v>
      </c>
      <c r="R119" s="266">
        <v>0.08125</v>
      </c>
      <c r="U119" s="268" t="s">
        <v>410</v>
      </c>
      <c r="V119" s="214" t="s">
        <v>1073</v>
      </c>
    </row>
    <row r="120" ht="15.75" customHeight="1">
      <c r="J120" s="51" t="s">
        <v>485</v>
      </c>
      <c r="K120" s="184">
        <v>0.5</v>
      </c>
      <c r="R120" s="266">
        <v>0.0819444444444444</v>
      </c>
      <c r="U120" s="268" t="s">
        <v>1058</v>
      </c>
      <c r="V120" s="214" t="s">
        <v>1074</v>
      </c>
    </row>
    <row r="121" ht="15.75" customHeight="1">
      <c r="J121" s="51" t="s">
        <v>613</v>
      </c>
      <c r="K121" s="184">
        <v>1.0</v>
      </c>
      <c r="R121" s="266">
        <v>0.0826388888888889</v>
      </c>
      <c r="U121" s="268" t="s">
        <v>489</v>
      </c>
      <c r="V121" s="214" t="s">
        <v>1075</v>
      </c>
    </row>
    <row r="122" ht="15.75" customHeight="1">
      <c r="J122" s="184" t="s">
        <v>549</v>
      </c>
      <c r="K122" s="184">
        <v>0.75</v>
      </c>
      <c r="R122" s="266">
        <v>0.0833333333333333</v>
      </c>
      <c r="U122" s="150" t="s">
        <v>787</v>
      </c>
      <c r="V122" s="214" t="s">
        <v>1076</v>
      </c>
    </row>
    <row r="123" ht="15.75" customHeight="1">
      <c r="J123" s="184" t="s">
        <v>496</v>
      </c>
      <c r="K123" s="184">
        <v>0.75</v>
      </c>
      <c r="R123" s="266">
        <v>0.0840277777777778</v>
      </c>
      <c r="U123" s="150" t="s">
        <v>569</v>
      </c>
      <c r="V123" s="214" t="s">
        <v>1077</v>
      </c>
    </row>
    <row r="124" ht="15.75" customHeight="1">
      <c r="J124" s="184" t="s">
        <v>1078</v>
      </c>
      <c r="K124" s="184">
        <v>0.75</v>
      </c>
      <c r="R124" s="266">
        <v>0.0847222222222222</v>
      </c>
      <c r="U124" s="268"/>
      <c r="V124" s="214"/>
    </row>
    <row r="125" ht="15.75" customHeight="1">
      <c r="J125" s="184" t="s">
        <v>525</v>
      </c>
      <c r="K125" s="184">
        <v>0.75</v>
      </c>
      <c r="R125" s="266">
        <v>0.0854166666666667</v>
      </c>
      <c r="U125" s="268" t="s">
        <v>485</v>
      </c>
      <c r="V125" s="214" t="s">
        <v>1079</v>
      </c>
    </row>
    <row r="126" ht="15.75" customHeight="1">
      <c r="J126" s="184" t="s">
        <v>1080</v>
      </c>
      <c r="K126" s="184">
        <v>1.0</v>
      </c>
      <c r="R126" s="266">
        <v>0.0861111111111111</v>
      </c>
      <c r="U126" s="150" t="s">
        <v>613</v>
      </c>
      <c r="V126" s="150" t="s">
        <v>1081</v>
      </c>
    </row>
    <row r="127" ht="15.75" customHeight="1">
      <c r="J127" s="184" t="s">
        <v>642</v>
      </c>
      <c r="K127" s="184">
        <v>0.75</v>
      </c>
      <c r="R127" s="266">
        <v>0.0868055555555556</v>
      </c>
      <c r="U127" s="150" t="s">
        <v>549</v>
      </c>
      <c r="V127" s="150" t="s">
        <v>1082</v>
      </c>
    </row>
    <row r="128" ht="15.75" customHeight="1">
      <c r="J128" s="184" t="s">
        <v>436</v>
      </c>
      <c r="K128" s="184">
        <v>0.5</v>
      </c>
      <c r="R128" s="266">
        <v>0.0875</v>
      </c>
      <c r="U128" s="150" t="s">
        <v>496</v>
      </c>
      <c r="V128" s="150" t="s">
        <v>1083</v>
      </c>
    </row>
    <row r="129" ht="15.75" customHeight="1">
      <c r="J129" s="184" t="s">
        <v>651</v>
      </c>
      <c r="K129" s="184">
        <v>1.0</v>
      </c>
      <c r="R129" s="266">
        <v>0.0881944444444445</v>
      </c>
      <c r="U129" s="150" t="s">
        <v>334</v>
      </c>
      <c r="V129" s="150" t="s">
        <v>335</v>
      </c>
    </row>
    <row r="130" ht="15.75" customHeight="1">
      <c r="J130" s="184" t="s">
        <v>314</v>
      </c>
      <c r="K130" s="184">
        <v>0.75</v>
      </c>
      <c r="R130" s="266">
        <v>0.0888888888888889</v>
      </c>
      <c r="U130" s="150" t="s">
        <v>1078</v>
      </c>
      <c r="V130" s="150" t="s">
        <v>1084</v>
      </c>
    </row>
    <row r="131" ht="15.75" customHeight="1">
      <c r="J131" s="184" t="s">
        <v>380</v>
      </c>
      <c r="K131" s="184">
        <v>1.0</v>
      </c>
      <c r="R131" s="266">
        <v>0.0895833333333333</v>
      </c>
      <c r="U131" s="150" t="s">
        <v>1085</v>
      </c>
      <c r="V131" s="150" t="s">
        <v>526</v>
      </c>
    </row>
    <row r="132" ht="15.75" customHeight="1">
      <c r="J132" s="184" t="s">
        <v>334</v>
      </c>
      <c r="K132" s="281">
        <v>0.75</v>
      </c>
      <c r="R132" s="266">
        <v>0.0902777777777778</v>
      </c>
      <c r="U132" s="150" t="s">
        <v>1080</v>
      </c>
      <c r="V132" s="150" t="s">
        <v>1086</v>
      </c>
    </row>
    <row r="133" ht="15.75" customHeight="1">
      <c r="J133" s="282" t="s">
        <v>1087</v>
      </c>
      <c r="K133" s="282">
        <v>1.0</v>
      </c>
      <c r="R133" s="266">
        <v>0.0909722222222222</v>
      </c>
      <c r="U133" s="150" t="s">
        <v>642</v>
      </c>
      <c r="V133" s="150" t="s">
        <v>776</v>
      </c>
    </row>
    <row r="134" ht="15.75" customHeight="1">
      <c r="J134" s="282" t="s">
        <v>1088</v>
      </c>
      <c r="K134" s="281">
        <v>0.75</v>
      </c>
      <c r="R134" s="266">
        <v>0.0916666666666667</v>
      </c>
      <c r="U134" s="150" t="s">
        <v>436</v>
      </c>
      <c r="V134" s="150" t="s">
        <v>1089</v>
      </c>
    </row>
    <row r="135" ht="15.75" customHeight="1">
      <c r="J135" s="282" t="s">
        <v>803</v>
      </c>
      <c r="K135" s="281">
        <v>0.5</v>
      </c>
      <c r="R135" s="266">
        <v>0.0923611111111111</v>
      </c>
      <c r="U135" s="150" t="s">
        <v>651</v>
      </c>
      <c r="V135" s="150" t="s">
        <v>1090</v>
      </c>
    </row>
    <row r="136" ht="15.75" customHeight="1">
      <c r="J136" s="282" t="s">
        <v>1091</v>
      </c>
      <c r="K136" s="281">
        <v>0.5</v>
      </c>
      <c r="R136" s="266">
        <v>0.0930555555555556</v>
      </c>
      <c r="U136" s="150" t="s">
        <v>314</v>
      </c>
      <c r="V136" s="150" t="s">
        <v>315</v>
      </c>
    </row>
    <row r="137" ht="15.75" customHeight="1">
      <c r="J137" s="282" t="s">
        <v>809</v>
      </c>
      <c r="K137" s="282">
        <v>1.0</v>
      </c>
      <c r="R137" s="266">
        <v>0.09375</v>
      </c>
      <c r="U137" s="150" t="s">
        <v>380</v>
      </c>
      <c r="V137" s="150" t="s">
        <v>381</v>
      </c>
    </row>
    <row r="138" ht="15.75" customHeight="1">
      <c r="J138" s="282" t="s">
        <v>1092</v>
      </c>
      <c r="K138" s="281">
        <v>0.75</v>
      </c>
      <c r="R138" s="266">
        <v>0.0944444444444444</v>
      </c>
      <c r="U138" s="234" t="s">
        <v>803</v>
      </c>
      <c r="V138" s="234" t="s">
        <v>1093</v>
      </c>
    </row>
    <row r="139" ht="15.75" customHeight="1">
      <c r="J139" s="282" t="s">
        <v>1094</v>
      </c>
      <c r="K139" s="281">
        <v>0.5</v>
      </c>
      <c r="R139" s="266">
        <v>0.0951388888888889</v>
      </c>
      <c r="U139" s="234" t="s">
        <v>1094</v>
      </c>
      <c r="V139" s="234" t="s">
        <v>828</v>
      </c>
    </row>
    <row r="140" ht="15.75" customHeight="1">
      <c r="J140" s="282" t="s">
        <v>831</v>
      </c>
      <c r="K140" s="282">
        <v>1.0</v>
      </c>
      <c r="R140" s="266">
        <v>0.0958333333333333</v>
      </c>
      <c r="U140" s="234" t="s">
        <v>809</v>
      </c>
      <c r="V140" s="234" t="s">
        <v>1095</v>
      </c>
    </row>
    <row r="141" ht="15.75" customHeight="1">
      <c r="R141" s="266">
        <v>0.0965277777777778</v>
      </c>
      <c r="U141" s="234" t="s">
        <v>831</v>
      </c>
      <c r="V141" s="234" t="s">
        <v>791</v>
      </c>
    </row>
    <row r="142" ht="15.75" customHeight="1">
      <c r="R142" s="266">
        <v>0.0972222222222222</v>
      </c>
      <c r="U142" s="234" t="s">
        <v>1087</v>
      </c>
      <c r="V142" s="234" t="s">
        <v>1096</v>
      </c>
    </row>
    <row r="143" ht="15.75" customHeight="1">
      <c r="R143" s="266">
        <v>0.0979166666666667</v>
      </c>
      <c r="U143" s="234" t="s">
        <v>1088</v>
      </c>
      <c r="V143" s="234" t="s">
        <v>1097</v>
      </c>
    </row>
    <row r="144" ht="15.75" customHeight="1">
      <c r="R144" s="266">
        <v>0.0986111111111111</v>
      </c>
      <c r="U144" s="283" t="s">
        <v>1092</v>
      </c>
      <c r="V144" s="234" t="s">
        <v>1098</v>
      </c>
    </row>
    <row r="145" ht="15.75" customHeight="1">
      <c r="R145" s="266">
        <v>0.0993055555555556</v>
      </c>
      <c r="U145" s="234" t="s">
        <v>1099</v>
      </c>
      <c r="V145" s="150"/>
    </row>
    <row r="146" ht="15.75" customHeight="1">
      <c r="R146" s="266">
        <v>0.1</v>
      </c>
      <c r="U146" s="234" t="s">
        <v>1100</v>
      </c>
      <c r="V146" s="150"/>
    </row>
    <row r="147" ht="15.75" customHeight="1">
      <c r="R147" s="266">
        <v>0.100694444444444</v>
      </c>
      <c r="U147" s="234" t="s">
        <v>1101</v>
      </c>
      <c r="V147" s="150"/>
    </row>
    <row r="148" ht="15.75" customHeight="1">
      <c r="R148" s="266">
        <v>0.101388888888889</v>
      </c>
      <c r="U148" s="234" t="s">
        <v>1102</v>
      </c>
      <c r="V148" s="150"/>
    </row>
    <row r="149" ht="15.75" customHeight="1">
      <c r="R149" s="266">
        <v>0.102083333333333</v>
      </c>
      <c r="U149" s="234" t="s">
        <v>1103</v>
      </c>
      <c r="V149" s="150"/>
    </row>
    <row r="150" ht="15.75" customHeight="1">
      <c r="R150" s="266">
        <v>0.102777777777778</v>
      </c>
      <c r="V150" s="150"/>
    </row>
    <row r="151" ht="15.75" customHeight="1">
      <c r="R151" s="266">
        <v>0.103472222222222</v>
      </c>
      <c r="V151" s="150"/>
    </row>
    <row r="152" ht="15.75" customHeight="1">
      <c r="R152" s="266">
        <v>0.104166666666667</v>
      </c>
      <c r="V152" s="150"/>
    </row>
    <row r="153" ht="15.75" customHeight="1">
      <c r="R153" s="266">
        <v>0.104861111111111</v>
      </c>
      <c r="V153" s="150"/>
    </row>
    <row r="154" ht="15.75" customHeight="1">
      <c r="R154" s="266">
        <v>0.105555555555556</v>
      </c>
      <c r="V154" s="150"/>
    </row>
    <row r="155" ht="15.75" customHeight="1">
      <c r="R155" s="266">
        <v>0.10625</v>
      </c>
      <c r="V155" s="150"/>
    </row>
    <row r="156" ht="15.75" customHeight="1">
      <c r="R156" s="266">
        <v>0.106944444444444</v>
      </c>
      <c r="U156" s="150"/>
      <c r="V156" s="150"/>
    </row>
    <row r="157" ht="15.75" customHeight="1">
      <c r="R157" s="266">
        <v>0.107638888888889</v>
      </c>
      <c r="U157" s="150"/>
      <c r="V157" s="150"/>
    </row>
    <row r="158" ht="15.75" customHeight="1">
      <c r="R158" s="266">
        <v>0.108333333333333</v>
      </c>
      <c r="U158" s="150"/>
      <c r="V158" s="150"/>
    </row>
    <row r="159" ht="15.75" customHeight="1">
      <c r="R159" s="266">
        <v>0.109027777777778</v>
      </c>
      <c r="U159" s="150"/>
      <c r="V159" s="150"/>
    </row>
    <row r="160" ht="15.75" customHeight="1">
      <c r="R160" s="266">
        <v>0.109722222222222</v>
      </c>
      <c r="U160" s="150"/>
      <c r="V160" s="150"/>
    </row>
    <row r="161" ht="15.75" customHeight="1">
      <c r="R161" s="266">
        <v>0.110416666666667</v>
      </c>
      <c r="U161" s="150"/>
      <c r="V161" s="150"/>
    </row>
    <row r="162" ht="15.75" customHeight="1">
      <c r="R162" s="266">
        <v>0.111111111111111</v>
      </c>
      <c r="U162" s="150"/>
      <c r="V162" s="150"/>
    </row>
    <row r="163" ht="15.75" customHeight="1">
      <c r="R163" s="266">
        <v>0.111805555555556</v>
      </c>
      <c r="U163" s="150"/>
      <c r="V163" s="150"/>
    </row>
    <row r="164" ht="15.75" customHeight="1">
      <c r="R164" s="266">
        <v>0.1125</v>
      </c>
      <c r="U164" s="150"/>
      <c r="V164" s="150"/>
    </row>
    <row r="165" ht="15.75" customHeight="1">
      <c r="R165" s="266">
        <v>0.113194444444444</v>
      </c>
      <c r="U165" s="150"/>
      <c r="V165" s="150"/>
    </row>
    <row r="166" ht="15.75" customHeight="1">
      <c r="R166" s="266">
        <v>0.113888888888889</v>
      </c>
      <c r="U166" s="150"/>
      <c r="V166" s="150"/>
    </row>
    <row r="167" ht="15.75" customHeight="1">
      <c r="R167" s="266">
        <v>0.114583333333333</v>
      </c>
      <c r="U167" s="150"/>
      <c r="V167" s="150"/>
    </row>
    <row r="168" ht="15.75" customHeight="1">
      <c r="R168" s="266">
        <v>0.115277777777778</v>
      </c>
      <c r="U168" s="150"/>
      <c r="V168" s="150"/>
    </row>
    <row r="169" ht="15.75" customHeight="1">
      <c r="R169" s="266">
        <v>0.115972222222222</v>
      </c>
      <c r="U169" s="150"/>
      <c r="V169" s="150"/>
    </row>
    <row r="170" ht="15.75" customHeight="1">
      <c r="R170" s="266">
        <v>0.116666666666667</v>
      </c>
      <c r="U170" s="150"/>
      <c r="V170" s="150"/>
    </row>
    <row r="171" ht="15.75" customHeight="1">
      <c r="R171" s="266">
        <v>0.117361111111111</v>
      </c>
      <c r="U171" s="150"/>
      <c r="V171" s="150"/>
    </row>
    <row r="172" ht="15.75" customHeight="1">
      <c r="R172" s="266">
        <v>0.118055555555556</v>
      </c>
      <c r="U172" s="150"/>
      <c r="V172" s="150"/>
    </row>
    <row r="173" ht="15.75" customHeight="1">
      <c r="R173" s="266">
        <v>0.11875</v>
      </c>
      <c r="U173" s="150"/>
      <c r="V173" s="150"/>
    </row>
    <row r="174" ht="15.75" customHeight="1">
      <c r="R174" s="266">
        <v>0.119444444444444</v>
      </c>
      <c r="U174" s="150"/>
      <c r="V174" s="150"/>
    </row>
    <row r="175" ht="15.75" customHeight="1">
      <c r="R175" s="266">
        <v>0.120138888888889</v>
      </c>
      <c r="U175" s="150"/>
      <c r="V175" s="150"/>
    </row>
    <row r="176" ht="15.75" customHeight="1">
      <c r="R176" s="266">
        <v>0.120833333333333</v>
      </c>
      <c r="U176" s="150"/>
      <c r="V176" s="150"/>
    </row>
    <row r="177" ht="15.75" customHeight="1">
      <c r="R177" s="266">
        <v>0.121527777777778</v>
      </c>
      <c r="U177" s="150"/>
      <c r="V177" s="150"/>
    </row>
    <row r="178" ht="15.75" customHeight="1">
      <c r="R178" s="266">
        <v>0.122222222222222</v>
      </c>
      <c r="U178" s="150"/>
      <c r="V178" s="150"/>
    </row>
    <row r="179" ht="15.75" customHeight="1">
      <c r="R179" s="266">
        <v>0.122916666666667</v>
      </c>
      <c r="U179" s="150"/>
      <c r="V179" s="150"/>
    </row>
    <row r="180" ht="15.75" customHeight="1">
      <c r="R180" s="266">
        <v>0.123611111111111</v>
      </c>
      <c r="U180" s="150"/>
      <c r="V180" s="150"/>
    </row>
    <row r="181" ht="15.75" customHeight="1">
      <c r="R181" s="266">
        <v>0.124305555555556</v>
      </c>
      <c r="U181" s="150"/>
      <c r="V181" s="150"/>
    </row>
    <row r="182" ht="15.75" customHeight="1">
      <c r="R182" s="266">
        <v>0.125</v>
      </c>
      <c r="U182" s="150"/>
      <c r="V182" s="150"/>
    </row>
    <row r="183" ht="15.75" customHeight="1">
      <c r="R183" s="266">
        <v>0.125694444444444</v>
      </c>
      <c r="U183" s="150"/>
      <c r="V183" s="150"/>
    </row>
    <row r="184" ht="15.75" customHeight="1">
      <c r="R184" s="266">
        <v>0.126388888888889</v>
      </c>
      <c r="U184" s="150"/>
      <c r="V184" s="150"/>
    </row>
    <row r="185" ht="15.75" customHeight="1">
      <c r="R185" s="266">
        <v>0.127083333333333</v>
      </c>
      <c r="U185" s="150"/>
      <c r="V185" s="150"/>
    </row>
    <row r="186" ht="15.75" customHeight="1">
      <c r="R186" s="266">
        <v>0.127777777777778</v>
      </c>
      <c r="U186" s="150"/>
      <c r="V186" s="150"/>
    </row>
    <row r="187" ht="15.75" customHeight="1">
      <c r="R187" s="266">
        <v>0.128472222222222</v>
      </c>
      <c r="U187" s="150"/>
      <c r="V187" s="150"/>
    </row>
    <row r="188" ht="15.75" customHeight="1">
      <c r="R188" s="266">
        <v>0.129166666666667</v>
      </c>
      <c r="U188" s="150"/>
      <c r="V188" s="150"/>
    </row>
    <row r="189" ht="15.75" customHeight="1">
      <c r="J189" s="51"/>
      <c r="K189" s="51"/>
      <c r="R189" s="266">
        <v>0.129861111111111</v>
      </c>
      <c r="U189" s="150"/>
      <c r="V189" s="150"/>
    </row>
    <row r="190" ht="15.75" customHeight="1">
      <c r="J190" s="51"/>
      <c r="K190" s="51"/>
      <c r="R190" s="266">
        <v>0.130555555555556</v>
      </c>
      <c r="U190" s="150"/>
      <c r="V190" s="150"/>
    </row>
    <row r="191" ht="15.75" customHeight="1">
      <c r="J191" s="51"/>
      <c r="K191" s="51"/>
      <c r="R191" s="266">
        <v>0.13125</v>
      </c>
    </row>
    <row r="192" ht="15.75" customHeight="1">
      <c r="J192" s="51"/>
      <c r="K192" s="51"/>
      <c r="R192" s="266">
        <v>0.131944444444444</v>
      </c>
    </row>
    <row r="193" ht="15.75" customHeight="1">
      <c r="R193" s="266">
        <v>0.132638888888889</v>
      </c>
    </row>
    <row r="194" ht="15.75" customHeight="1">
      <c r="R194" s="266">
        <v>0.133333333333333</v>
      </c>
    </row>
    <row r="195" ht="15.75" customHeight="1">
      <c r="R195" s="266">
        <v>0.134027777777778</v>
      </c>
    </row>
    <row r="196" ht="15.75" customHeight="1">
      <c r="R196" s="266">
        <v>0.134722222222222</v>
      </c>
    </row>
    <row r="197" ht="15.75" customHeight="1">
      <c r="R197" s="266">
        <v>0.135416666666667</v>
      </c>
    </row>
    <row r="198" ht="15.75" customHeight="1">
      <c r="R198" s="266">
        <v>0.136111111111111</v>
      </c>
    </row>
    <row r="199" ht="15.75" customHeight="1">
      <c r="R199" s="266">
        <v>0.136805555555556</v>
      </c>
    </row>
    <row r="200" ht="15.75" customHeight="1">
      <c r="R200" s="266">
        <v>0.1375</v>
      </c>
    </row>
    <row r="201" ht="15.75" customHeight="1">
      <c r="R201" s="266">
        <v>0.138194444444444</v>
      </c>
    </row>
    <row r="202" ht="15.75" customHeight="1">
      <c r="R202" s="266">
        <v>0.138888888888889</v>
      </c>
    </row>
    <row r="203" ht="15.75" customHeight="1">
      <c r="R203" s="266">
        <v>0.139583333333333</v>
      </c>
    </row>
    <row r="204" ht="15.75" customHeight="1">
      <c r="R204" s="266">
        <v>0.140277777777778</v>
      </c>
    </row>
    <row r="205" ht="15.75" customHeight="1">
      <c r="R205" s="266">
        <v>0.140972222222222</v>
      </c>
    </row>
    <row r="206" ht="15.75" customHeight="1">
      <c r="R206" s="266">
        <v>0.141666666666667</v>
      </c>
    </row>
    <row r="207" ht="15.75" customHeight="1">
      <c r="R207" s="266">
        <v>0.142361111111111</v>
      </c>
    </row>
    <row r="208" ht="15.75" customHeight="1">
      <c r="R208" s="266">
        <v>0.143055555555556</v>
      </c>
    </row>
    <row r="209" ht="15.75" customHeight="1">
      <c r="R209" s="266">
        <v>0.14375</v>
      </c>
    </row>
    <row r="210" ht="15.75" customHeight="1">
      <c r="R210" s="266">
        <v>0.144444444444444</v>
      </c>
    </row>
    <row r="211" ht="15.75" customHeight="1">
      <c r="R211" s="266">
        <v>0.145138888888889</v>
      </c>
    </row>
    <row r="212" ht="15.75" customHeight="1">
      <c r="R212" s="266">
        <v>0.145833333333333</v>
      </c>
    </row>
    <row r="213" ht="15.75" customHeight="1">
      <c r="R213" s="266">
        <v>0.146527777777778</v>
      </c>
    </row>
    <row r="214" ht="15.75" customHeight="1">
      <c r="R214" s="266">
        <v>0.147222222222222</v>
      </c>
    </row>
    <row r="215" ht="15.75" customHeight="1">
      <c r="R215" s="266">
        <v>0.147916666666667</v>
      </c>
    </row>
    <row r="216" ht="15.75" customHeight="1">
      <c r="R216" s="266">
        <v>0.148611111111111</v>
      </c>
    </row>
    <row r="217" ht="15.75" customHeight="1">
      <c r="R217" s="266">
        <v>0.149305555555556</v>
      </c>
    </row>
    <row r="218" ht="15.75" customHeight="1">
      <c r="R218" s="266">
        <v>0.15</v>
      </c>
    </row>
    <row r="219" ht="15.75" customHeight="1">
      <c r="R219" s="266">
        <v>0.150694444444444</v>
      </c>
    </row>
    <row r="220" ht="15.75" customHeight="1">
      <c r="R220" s="266">
        <v>0.151388888888889</v>
      </c>
    </row>
    <row r="221" ht="15.75" customHeight="1">
      <c r="R221" s="266">
        <v>0.152083333333333</v>
      </c>
    </row>
    <row r="222" ht="15.75" customHeight="1">
      <c r="R222" s="266">
        <v>0.152777777777778</v>
      </c>
    </row>
    <row r="223" ht="15.75" customHeight="1">
      <c r="R223" s="266">
        <v>0.153472222222222</v>
      </c>
    </row>
    <row r="224" ht="15.75" customHeight="1">
      <c r="R224" s="266">
        <v>0.154166666666667</v>
      </c>
    </row>
    <row r="225" ht="15.75" customHeight="1">
      <c r="R225" s="266">
        <v>0.154861111111111</v>
      </c>
    </row>
    <row r="226" ht="15.75" customHeight="1">
      <c r="R226" s="266">
        <v>0.155555555555556</v>
      </c>
    </row>
    <row r="227" ht="15.75" customHeight="1">
      <c r="R227" s="266">
        <v>0.15625</v>
      </c>
    </row>
    <row r="228" ht="15.75" customHeight="1">
      <c r="R228" s="266">
        <v>0.156944444444444</v>
      </c>
    </row>
    <row r="229" ht="15.75" customHeight="1">
      <c r="R229" s="266">
        <v>0.157638888888889</v>
      </c>
    </row>
    <row r="230" ht="15.75" customHeight="1">
      <c r="R230" s="266">
        <v>0.158333333333333</v>
      </c>
    </row>
    <row r="231" ht="15.75" customHeight="1">
      <c r="R231" s="266">
        <v>0.159027777777778</v>
      </c>
    </row>
    <row r="232" ht="15.75" customHeight="1">
      <c r="R232" s="266">
        <v>0.159722222222222</v>
      </c>
    </row>
    <row r="233" ht="15.75" customHeight="1">
      <c r="R233" s="266">
        <v>0.160416666666667</v>
      </c>
    </row>
    <row r="234" ht="15.75" customHeight="1">
      <c r="R234" s="266">
        <v>0.161111111111111</v>
      </c>
    </row>
    <row r="235" ht="15.75" customHeight="1">
      <c r="R235" s="266">
        <v>0.161805555555556</v>
      </c>
    </row>
    <row r="236" ht="15.75" customHeight="1">
      <c r="R236" s="266">
        <v>0.1625</v>
      </c>
    </row>
    <row r="237" ht="15.75" customHeight="1">
      <c r="R237" s="266">
        <v>0.163194444444444</v>
      </c>
    </row>
    <row r="238" ht="15.75" customHeight="1">
      <c r="R238" s="266">
        <v>0.163888888888889</v>
      </c>
    </row>
    <row r="239" ht="15.75" customHeight="1">
      <c r="R239" s="266">
        <v>0.164583333333333</v>
      </c>
    </row>
    <row r="240" ht="15.75" customHeight="1">
      <c r="R240" s="266">
        <v>0.165277777777778</v>
      </c>
    </row>
    <row r="241" ht="15.75" customHeight="1">
      <c r="R241" s="266">
        <v>0.165972222222222</v>
      </c>
    </row>
    <row r="242" ht="15.75" customHeight="1">
      <c r="R242" s="266">
        <v>0.166666666666667</v>
      </c>
    </row>
    <row r="243" ht="15.75" customHeight="1">
      <c r="R243" s="266">
        <v>0.167361111111111</v>
      </c>
    </row>
    <row r="244" ht="15.75" customHeight="1">
      <c r="R244" s="266">
        <v>0.168055555555556</v>
      </c>
    </row>
    <row r="245" ht="15.75" customHeight="1">
      <c r="R245" s="266">
        <v>0.16875</v>
      </c>
    </row>
    <row r="246" ht="15.75" customHeight="1">
      <c r="R246" s="266">
        <v>0.169444444444444</v>
      </c>
    </row>
    <row r="247" ht="15.75" customHeight="1">
      <c r="R247" s="266">
        <v>0.170138888888889</v>
      </c>
    </row>
    <row r="248" ht="15.75" customHeight="1">
      <c r="R248" s="266">
        <v>0.170833333333333</v>
      </c>
    </row>
    <row r="249" ht="15.75" customHeight="1">
      <c r="R249" s="266">
        <v>0.171527777777778</v>
      </c>
    </row>
    <row r="250" ht="15.75" customHeight="1">
      <c r="R250" s="266">
        <v>0.172222222222222</v>
      </c>
    </row>
    <row r="251" ht="15.75" customHeight="1">
      <c r="R251" s="266">
        <v>0.172916666666667</v>
      </c>
    </row>
    <row r="252" ht="15.75" customHeight="1">
      <c r="R252" s="266">
        <v>0.173611111111111</v>
      </c>
    </row>
    <row r="253" ht="15.75" customHeight="1">
      <c r="R253" s="266">
        <v>0.174305555555556</v>
      </c>
    </row>
    <row r="254" ht="15.75" customHeight="1">
      <c r="R254" s="266">
        <v>0.175</v>
      </c>
    </row>
    <row r="255" ht="15.75" customHeight="1">
      <c r="R255" s="266">
        <v>0.175694444444444</v>
      </c>
    </row>
    <row r="256" ht="15.75" customHeight="1">
      <c r="R256" s="266">
        <v>0.176388888888889</v>
      </c>
    </row>
    <row r="257" ht="15.75" customHeight="1">
      <c r="R257" s="266">
        <v>0.177083333333333</v>
      </c>
    </row>
    <row r="258" ht="15.75" customHeight="1">
      <c r="R258" s="266">
        <v>0.177777777777778</v>
      </c>
    </row>
    <row r="259" ht="15.75" customHeight="1">
      <c r="R259" s="266">
        <v>0.178472222222222</v>
      </c>
    </row>
    <row r="260" ht="15.75" customHeight="1">
      <c r="R260" s="266">
        <v>0.179166666666667</v>
      </c>
    </row>
    <row r="261" ht="15.75" customHeight="1">
      <c r="R261" s="266">
        <v>0.179861111111111</v>
      </c>
    </row>
    <row r="262" ht="15.75" customHeight="1">
      <c r="R262" s="266">
        <v>0.180555555555556</v>
      </c>
    </row>
    <row r="263" ht="15.75" customHeight="1">
      <c r="R263" s="266">
        <v>0.18125</v>
      </c>
    </row>
    <row r="264" ht="15.75" customHeight="1">
      <c r="R264" s="266">
        <v>0.181944444444444</v>
      </c>
    </row>
    <row r="265" ht="15.75" customHeight="1">
      <c r="R265" s="266">
        <v>0.182638888888889</v>
      </c>
    </row>
    <row r="266" ht="15.75" customHeight="1">
      <c r="R266" s="266">
        <v>0.183333333333333</v>
      </c>
    </row>
    <row r="267" ht="15.75" customHeight="1">
      <c r="R267" s="266">
        <v>0.184027777777778</v>
      </c>
    </row>
    <row r="268" ht="15.75" customHeight="1">
      <c r="R268" s="266">
        <v>0.184722222222222</v>
      </c>
    </row>
    <row r="269" ht="15.75" customHeight="1">
      <c r="R269" s="266">
        <v>0.185416666666667</v>
      </c>
    </row>
    <row r="270" ht="15.75" customHeight="1">
      <c r="R270" s="266">
        <v>0.186111111111111</v>
      </c>
    </row>
    <row r="271" ht="15.75" customHeight="1">
      <c r="R271" s="266">
        <v>0.186805555555556</v>
      </c>
    </row>
    <row r="272" ht="15.75" customHeight="1">
      <c r="R272" s="266">
        <v>0.1875</v>
      </c>
    </row>
    <row r="273" ht="15.75" customHeight="1">
      <c r="R273" s="266">
        <v>0.188194444444444</v>
      </c>
    </row>
    <row r="274" ht="15.75" customHeight="1">
      <c r="R274" s="266">
        <v>0.188888888888889</v>
      </c>
    </row>
    <row r="275" ht="15.75" customHeight="1">
      <c r="R275" s="266">
        <v>0.189583333333333</v>
      </c>
    </row>
    <row r="276" ht="15.75" customHeight="1">
      <c r="R276" s="266">
        <v>0.190277777777778</v>
      </c>
    </row>
    <row r="277" ht="15.75" customHeight="1">
      <c r="R277" s="266">
        <v>0.190972222222222</v>
      </c>
    </row>
    <row r="278" ht="15.75" customHeight="1">
      <c r="R278" s="266">
        <v>0.191666666666667</v>
      </c>
    </row>
    <row r="279" ht="15.75" customHeight="1">
      <c r="R279" s="266">
        <v>0.192361111111111</v>
      </c>
    </row>
    <row r="280" ht="15.75" customHeight="1">
      <c r="R280" s="266">
        <v>0.193055555555556</v>
      </c>
    </row>
    <row r="281" ht="15.75" customHeight="1">
      <c r="R281" s="266">
        <v>0.19375</v>
      </c>
    </row>
    <row r="282" ht="15.75" customHeight="1">
      <c r="R282" s="266">
        <v>0.194444444444444</v>
      </c>
    </row>
    <row r="283" ht="15.75" customHeight="1">
      <c r="R283" s="266">
        <v>0.195138888888889</v>
      </c>
    </row>
    <row r="284" ht="15.75" customHeight="1">
      <c r="R284" s="266">
        <v>0.195833333333333</v>
      </c>
    </row>
    <row r="285" ht="15.75" customHeight="1">
      <c r="R285" s="266">
        <v>0.196527777777778</v>
      </c>
    </row>
    <row r="286" ht="15.75" customHeight="1">
      <c r="R286" s="266">
        <v>0.197222222222222</v>
      </c>
    </row>
    <row r="287" ht="15.75" customHeight="1">
      <c r="R287" s="266">
        <v>0.197916666666667</v>
      </c>
    </row>
    <row r="288" ht="15.75" customHeight="1">
      <c r="R288" s="266">
        <v>0.198611111111111</v>
      </c>
    </row>
    <row r="289" ht="15.75" customHeight="1">
      <c r="R289" s="266">
        <v>0.199305555555556</v>
      </c>
    </row>
    <row r="290" ht="15.75" customHeight="1">
      <c r="R290" s="266">
        <v>0.2</v>
      </c>
    </row>
    <row r="291" ht="15.75" customHeight="1">
      <c r="R291" s="266">
        <v>0.200694444444444</v>
      </c>
    </row>
    <row r="292" ht="15.75" customHeight="1">
      <c r="R292" s="266">
        <v>0.201388888888889</v>
      </c>
    </row>
    <row r="293" ht="15.75" customHeight="1">
      <c r="R293" s="266">
        <v>0.202083333333333</v>
      </c>
    </row>
    <row r="294" ht="15.75" customHeight="1">
      <c r="R294" s="266">
        <v>0.202777777777778</v>
      </c>
    </row>
    <row r="295" ht="15.75" customHeight="1">
      <c r="R295" s="266">
        <v>0.203472222222222</v>
      </c>
    </row>
    <row r="296" ht="15.75" customHeight="1">
      <c r="R296" s="266">
        <v>0.204166666666667</v>
      </c>
    </row>
    <row r="297" ht="15.75" customHeight="1">
      <c r="R297" s="266">
        <v>0.204861111111111</v>
      </c>
    </row>
    <row r="298" ht="15.75" customHeight="1">
      <c r="R298" s="266">
        <v>0.205555555555556</v>
      </c>
    </row>
    <row r="299" ht="15.75" customHeight="1">
      <c r="R299" s="266">
        <v>0.20625</v>
      </c>
    </row>
    <row r="300" ht="15.75" customHeight="1">
      <c r="R300" s="266">
        <v>0.206944444444444</v>
      </c>
    </row>
    <row r="301" ht="15.75" customHeight="1">
      <c r="R301" s="266">
        <v>0.207638888888889</v>
      </c>
    </row>
    <row r="302" ht="15.75" customHeight="1">
      <c r="R302" s="266">
        <v>0.208333333333333</v>
      </c>
    </row>
    <row r="303" ht="15.75" customHeight="1">
      <c r="R303" s="266">
        <v>0.209027777777778</v>
      </c>
    </row>
    <row r="304" ht="15.75" customHeight="1">
      <c r="R304" s="266">
        <v>0.209722222222222</v>
      </c>
    </row>
    <row r="305" ht="15.75" customHeight="1">
      <c r="R305" s="266">
        <v>0.210416666666667</v>
      </c>
    </row>
    <row r="306" ht="15.75" customHeight="1">
      <c r="R306" s="266">
        <v>0.211111111111111</v>
      </c>
    </row>
    <row r="307" ht="15.75" customHeight="1">
      <c r="R307" s="266">
        <v>0.211805555555556</v>
      </c>
    </row>
    <row r="308" ht="15.75" customHeight="1">
      <c r="R308" s="266">
        <v>0.2125</v>
      </c>
    </row>
    <row r="309" ht="15.75" customHeight="1">
      <c r="R309" s="266">
        <v>0.213194444444444</v>
      </c>
    </row>
    <row r="310" ht="15.75" customHeight="1">
      <c r="R310" s="266">
        <v>0.213888888888889</v>
      </c>
    </row>
    <row r="311" ht="15.75" customHeight="1">
      <c r="R311" s="266">
        <v>0.214583333333333</v>
      </c>
    </row>
    <row r="312" ht="15.75" customHeight="1">
      <c r="R312" s="266">
        <v>0.215277777777778</v>
      </c>
    </row>
    <row r="313" ht="15.75" customHeight="1">
      <c r="R313" s="266">
        <v>0.215972222222222</v>
      </c>
    </row>
    <row r="314" ht="15.75" customHeight="1">
      <c r="R314" s="266">
        <v>0.216666666666667</v>
      </c>
    </row>
    <row r="315" ht="15.75" customHeight="1">
      <c r="R315" s="266">
        <v>0.217361111111111</v>
      </c>
    </row>
    <row r="316" ht="15.75" customHeight="1">
      <c r="R316" s="266">
        <v>0.218055555555556</v>
      </c>
    </row>
    <row r="317" ht="15.75" customHeight="1">
      <c r="R317" s="266">
        <v>0.21875</v>
      </c>
    </row>
    <row r="318" ht="15.75" customHeight="1">
      <c r="R318" s="266">
        <v>0.219444444444444</v>
      </c>
    </row>
    <row r="319" ht="15.75" customHeight="1">
      <c r="R319" s="266">
        <v>0.220138888888889</v>
      </c>
    </row>
    <row r="320" ht="15.75" customHeight="1">
      <c r="R320" s="266">
        <v>0.220833333333333</v>
      </c>
    </row>
    <row r="321" ht="15.75" customHeight="1">
      <c r="R321" s="266">
        <v>0.221527777777778</v>
      </c>
    </row>
    <row r="322" ht="15.75" customHeight="1">
      <c r="R322" s="266">
        <v>0.222222222222222</v>
      </c>
    </row>
    <row r="323" ht="15.75" customHeight="1">
      <c r="R323" s="266">
        <v>0.222916666666667</v>
      </c>
    </row>
    <row r="324" ht="15.75" customHeight="1">
      <c r="R324" s="266">
        <v>0.223611111111111</v>
      </c>
    </row>
    <row r="325" ht="15.75" customHeight="1">
      <c r="R325" s="266">
        <v>0.224305555555556</v>
      </c>
    </row>
    <row r="326" ht="15.75" customHeight="1">
      <c r="R326" s="266">
        <v>0.225</v>
      </c>
    </row>
    <row r="327" ht="15.75" customHeight="1">
      <c r="R327" s="266">
        <v>0.225694444444444</v>
      </c>
    </row>
    <row r="328" ht="15.75" customHeight="1">
      <c r="R328" s="266">
        <v>0.226388888888889</v>
      </c>
    </row>
    <row r="329" ht="15.75" customHeight="1">
      <c r="R329" s="266">
        <v>0.227083333333333</v>
      </c>
    </row>
    <row r="330" ht="15.75" customHeight="1">
      <c r="R330" s="266">
        <v>0.227777777777778</v>
      </c>
    </row>
    <row r="331" ht="15.75" customHeight="1">
      <c r="R331" s="266">
        <v>0.228472222222222</v>
      </c>
    </row>
    <row r="332" ht="15.75" customHeight="1">
      <c r="R332" s="266">
        <v>0.229166666666667</v>
      </c>
    </row>
    <row r="333" ht="15.75" customHeight="1">
      <c r="R333" s="266">
        <v>0.229861111111111</v>
      </c>
    </row>
    <row r="334" ht="15.75" customHeight="1">
      <c r="R334" s="266">
        <v>0.230555555555556</v>
      </c>
    </row>
    <row r="335" ht="15.75" customHeight="1">
      <c r="R335" s="266">
        <v>0.23125</v>
      </c>
    </row>
    <row r="336" ht="15.75" customHeight="1">
      <c r="R336" s="266">
        <v>0.231944444444444</v>
      </c>
    </row>
    <row r="337" ht="15.75" customHeight="1">
      <c r="R337" s="266">
        <v>0.232638888888889</v>
      </c>
    </row>
    <row r="338" ht="15.75" customHeight="1">
      <c r="R338" s="266">
        <v>0.233333333333333</v>
      </c>
    </row>
    <row r="339" ht="15.75" customHeight="1">
      <c r="R339" s="266">
        <v>0.234027777777778</v>
      </c>
    </row>
    <row r="340" ht="15.75" customHeight="1">
      <c r="R340" s="266">
        <v>0.234722222222222</v>
      </c>
    </row>
    <row r="341" ht="15.75" customHeight="1">
      <c r="R341" s="266">
        <v>0.235416666666667</v>
      </c>
    </row>
    <row r="342" ht="15.75" customHeight="1">
      <c r="R342" s="266">
        <v>0.236111111111111</v>
      </c>
    </row>
    <row r="343" ht="15.75" customHeight="1">
      <c r="R343" s="266">
        <v>0.236805555555556</v>
      </c>
    </row>
    <row r="344" ht="15.75" customHeight="1">
      <c r="R344" s="266">
        <v>0.2375</v>
      </c>
    </row>
    <row r="345" ht="15.75" customHeight="1">
      <c r="R345" s="266">
        <v>0.238194444444444</v>
      </c>
    </row>
    <row r="346" ht="15.75" customHeight="1">
      <c r="R346" s="266">
        <v>0.238888888888889</v>
      </c>
    </row>
    <row r="347" ht="15.75" customHeight="1">
      <c r="R347" s="266">
        <v>0.239583333333333</v>
      </c>
    </row>
    <row r="348" ht="15.75" customHeight="1">
      <c r="R348" s="266">
        <v>0.240277777777778</v>
      </c>
    </row>
    <row r="349" ht="15.75" customHeight="1">
      <c r="R349" s="266">
        <v>0.240972222222222</v>
      </c>
    </row>
    <row r="350" ht="15.75" customHeight="1">
      <c r="R350" s="266">
        <v>0.241666666666667</v>
      </c>
    </row>
    <row r="351" ht="15.75" customHeight="1">
      <c r="R351" s="266">
        <v>0.242361111111111</v>
      </c>
    </row>
    <row r="352" ht="15.75" customHeight="1">
      <c r="R352" s="266">
        <v>0.243055555555556</v>
      </c>
    </row>
    <row r="353" ht="15.75" customHeight="1">
      <c r="R353" s="266">
        <v>0.24375</v>
      </c>
    </row>
    <row r="354" ht="15.75" customHeight="1">
      <c r="R354" s="266">
        <v>0.244444444444444</v>
      </c>
    </row>
    <row r="355" ht="15.75" customHeight="1">
      <c r="R355" s="266">
        <v>0.245138888888889</v>
      </c>
    </row>
    <row r="356" ht="15.75" customHeight="1">
      <c r="R356" s="266">
        <v>0.245833333333333</v>
      </c>
    </row>
    <row r="357" ht="15.75" customHeight="1">
      <c r="R357" s="266">
        <v>0.246527777777778</v>
      </c>
    </row>
    <row r="358" ht="15.75" customHeight="1">
      <c r="R358" s="266">
        <v>0.247222222222222</v>
      </c>
    </row>
    <row r="359" ht="15.75" customHeight="1">
      <c r="R359" s="266">
        <v>0.247916666666667</v>
      </c>
    </row>
    <row r="360" ht="15.75" customHeight="1">
      <c r="R360" s="266">
        <v>0.248611111111111</v>
      </c>
    </row>
    <row r="361" ht="15.75" customHeight="1">
      <c r="R361" s="266">
        <v>0.249305555555556</v>
      </c>
    </row>
    <row r="362" ht="15.75" customHeight="1">
      <c r="R362" s="266">
        <v>0.25</v>
      </c>
    </row>
    <row r="363" ht="15.75" customHeight="1">
      <c r="R363" s="266">
        <v>0.250694444444444</v>
      </c>
    </row>
    <row r="364" ht="15.75" customHeight="1">
      <c r="R364" s="266">
        <v>0.251388888888889</v>
      </c>
    </row>
    <row r="365" ht="15.75" customHeight="1">
      <c r="R365" s="266">
        <v>0.252083333333333</v>
      </c>
    </row>
    <row r="366" ht="15.75" customHeight="1">
      <c r="R366" s="266">
        <v>0.252777777777778</v>
      </c>
    </row>
    <row r="367" ht="15.75" customHeight="1">
      <c r="R367" s="266">
        <v>0.253472222222222</v>
      </c>
    </row>
    <row r="368" ht="15.75" customHeight="1">
      <c r="R368" s="266">
        <v>0.254166666666667</v>
      </c>
    </row>
    <row r="369" ht="15.75" customHeight="1">
      <c r="R369" s="266">
        <v>0.254861111111111</v>
      </c>
    </row>
    <row r="370" ht="15.75" customHeight="1">
      <c r="R370" s="266">
        <v>0.255555555555556</v>
      </c>
    </row>
    <row r="371" ht="15.75" customHeight="1">
      <c r="R371" s="266">
        <v>0.25625</v>
      </c>
    </row>
    <row r="372" ht="15.75" customHeight="1">
      <c r="R372" s="266">
        <v>0.256944444444444</v>
      </c>
    </row>
    <row r="373" ht="15.75" customHeight="1">
      <c r="R373" s="266">
        <v>0.257638888888889</v>
      </c>
    </row>
    <row r="374" ht="15.75" customHeight="1">
      <c r="R374" s="266">
        <v>0.258333333333333</v>
      </c>
    </row>
    <row r="375" ht="15.75" customHeight="1">
      <c r="R375" s="266">
        <v>0.259027777777778</v>
      </c>
    </row>
    <row r="376" ht="15.75" customHeight="1">
      <c r="R376" s="266">
        <v>0.259722222222222</v>
      </c>
    </row>
    <row r="377" ht="15.75" customHeight="1">
      <c r="R377" s="266">
        <v>0.260416666666667</v>
      </c>
    </row>
    <row r="378" ht="15.75" customHeight="1">
      <c r="R378" s="266">
        <v>0.261111111111111</v>
      </c>
    </row>
    <row r="379" ht="15.75" customHeight="1">
      <c r="R379" s="266">
        <v>0.261805555555556</v>
      </c>
    </row>
    <row r="380" ht="15.75" customHeight="1">
      <c r="R380" s="266">
        <v>0.2625</v>
      </c>
    </row>
    <row r="381" ht="15.75" customHeight="1">
      <c r="R381" s="266">
        <v>0.263194444444444</v>
      </c>
    </row>
    <row r="382" ht="15.75" customHeight="1">
      <c r="R382" s="266">
        <v>0.263888888888889</v>
      </c>
    </row>
    <row r="383" ht="15.75" customHeight="1">
      <c r="R383" s="266">
        <v>0.264583333333333</v>
      </c>
    </row>
    <row r="384" ht="15.75" customHeight="1">
      <c r="R384" s="266">
        <v>0.265277777777778</v>
      </c>
    </row>
    <row r="385" ht="15.75" customHeight="1">
      <c r="R385" s="266">
        <v>0.265972222222222</v>
      </c>
    </row>
    <row r="386" ht="15.75" customHeight="1">
      <c r="R386" s="266">
        <v>0.266666666666667</v>
      </c>
    </row>
    <row r="387" ht="15.75" customHeight="1">
      <c r="R387" s="266">
        <v>0.267361111111111</v>
      </c>
    </row>
    <row r="388" ht="15.75" customHeight="1">
      <c r="R388" s="266">
        <v>0.268055555555556</v>
      </c>
    </row>
    <row r="389" ht="15.75" customHeight="1">
      <c r="R389" s="266">
        <v>0.26875</v>
      </c>
    </row>
    <row r="390" ht="15.75" customHeight="1">
      <c r="R390" s="266">
        <v>0.269444444444444</v>
      </c>
    </row>
    <row r="391" ht="15.75" customHeight="1">
      <c r="R391" s="266">
        <v>0.270138888888889</v>
      </c>
    </row>
    <row r="392" ht="15.75" customHeight="1">
      <c r="R392" s="266">
        <v>0.270833333333333</v>
      </c>
    </row>
    <row r="393" ht="15.75" customHeight="1">
      <c r="R393" s="266">
        <v>0.271527777777778</v>
      </c>
    </row>
    <row r="394" ht="15.75" customHeight="1">
      <c r="R394" s="266">
        <v>0.272222222222222</v>
      </c>
    </row>
    <row r="395" ht="15.75" customHeight="1">
      <c r="R395" s="266">
        <v>0.272916666666667</v>
      </c>
    </row>
    <row r="396" ht="15.75" customHeight="1">
      <c r="R396" s="266">
        <v>0.273611111111111</v>
      </c>
    </row>
    <row r="397" ht="15.75" customHeight="1">
      <c r="R397" s="266">
        <v>0.274305555555556</v>
      </c>
    </row>
    <row r="398" ht="15.75" customHeight="1">
      <c r="R398" s="266">
        <v>0.275</v>
      </c>
    </row>
    <row r="399" ht="15.75" customHeight="1">
      <c r="R399" s="266">
        <v>0.275694444444444</v>
      </c>
    </row>
    <row r="400" ht="15.75" customHeight="1">
      <c r="R400" s="266">
        <v>0.276388888888889</v>
      </c>
    </row>
    <row r="401" ht="15.75" customHeight="1">
      <c r="R401" s="266">
        <v>0.277083333333333</v>
      </c>
    </row>
    <row r="402" ht="15.75" customHeight="1">
      <c r="R402" s="266">
        <v>0.277777777777778</v>
      </c>
    </row>
    <row r="403" ht="15.75" customHeight="1">
      <c r="R403" s="266">
        <v>0.278472222222222</v>
      </c>
    </row>
    <row r="404" ht="15.75" customHeight="1">
      <c r="R404" s="266">
        <v>0.279166666666667</v>
      </c>
    </row>
    <row r="405" ht="15.75" customHeight="1">
      <c r="R405" s="266">
        <v>0.279861111111111</v>
      </c>
    </row>
    <row r="406" ht="15.75" customHeight="1">
      <c r="R406" s="266">
        <v>0.280555555555556</v>
      </c>
    </row>
    <row r="407" ht="15.75" customHeight="1">
      <c r="R407" s="266">
        <v>0.28125</v>
      </c>
    </row>
    <row r="408" ht="15.75" customHeight="1">
      <c r="R408" s="266">
        <v>0.281944444444444</v>
      </c>
    </row>
    <row r="409" ht="15.75" customHeight="1">
      <c r="R409" s="266">
        <v>0.282638888888889</v>
      </c>
    </row>
    <row r="410" ht="15.75" customHeight="1">
      <c r="R410" s="266">
        <v>0.283333333333333</v>
      </c>
    </row>
    <row r="411" ht="15.75" customHeight="1">
      <c r="R411" s="266">
        <v>0.284027777777778</v>
      </c>
    </row>
    <row r="412" ht="15.75" customHeight="1">
      <c r="R412" s="266">
        <v>0.284722222222222</v>
      </c>
    </row>
    <row r="413" ht="15.75" customHeight="1">
      <c r="R413" s="266">
        <v>0.285416666666667</v>
      </c>
    </row>
    <row r="414" ht="15.75" customHeight="1">
      <c r="R414" s="266">
        <v>0.286111111111111</v>
      </c>
    </row>
    <row r="415" ht="15.75" customHeight="1">
      <c r="R415" s="266">
        <v>0.286805555555556</v>
      </c>
    </row>
    <row r="416" ht="15.75" customHeight="1">
      <c r="R416" s="266">
        <v>0.2875</v>
      </c>
    </row>
    <row r="417" ht="15.75" customHeight="1">
      <c r="R417" s="266">
        <v>0.288194444444444</v>
      </c>
    </row>
    <row r="418" ht="15.75" customHeight="1">
      <c r="R418" s="266">
        <v>0.288888888888889</v>
      </c>
    </row>
    <row r="419" ht="15.75" customHeight="1">
      <c r="R419" s="266">
        <v>0.289583333333333</v>
      </c>
    </row>
    <row r="420" ht="15.75" customHeight="1">
      <c r="R420" s="266">
        <v>0.290277777777778</v>
      </c>
    </row>
    <row r="421" ht="15.75" customHeight="1">
      <c r="R421" s="266">
        <v>0.290972222222222</v>
      </c>
    </row>
    <row r="422" ht="15.75" customHeight="1">
      <c r="R422" s="266">
        <v>0.291666666666667</v>
      </c>
    </row>
    <row r="423" ht="15.75" customHeight="1">
      <c r="R423" s="266">
        <v>0.292361111111111</v>
      </c>
    </row>
    <row r="424" ht="15.75" customHeight="1">
      <c r="R424" s="266">
        <v>0.293055555555556</v>
      </c>
    </row>
    <row r="425" ht="15.75" customHeight="1">
      <c r="R425" s="266">
        <v>0.29375</v>
      </c>
    </row>
    <row r="426" ht="15.75" customHeight="1">
      <c r="R426" s="266">
        <v>0.294444444444444</v>
      </c>
    </row>
    <row r="427" ht="15.75" customHeight="1">
      <c r="R427" s="266">
        <v>0.295138888888889</v>
      </c>
    </row>
    <row r="428" ht="15.75" customHeight="1">
      <c r="R428" s="266">
        <v>0.295833333333333</v>
      </c>
    </row>
    <row r="429" ht="15.75" customHeight="1">
      <c r="R429" s="266">
        <v>0.296527777777778</v>
      </c>
    </row>
    <row r="430" ht="15.75" customHeight="1">
      <c r="R430" s="266">
        <v>0.297222222222222</v>
      </c>
    </row>
    <row r="431" ht="15.75" customHeight="1">
      <c r="R431" s="266">
        <v>0.297916666666667</v>
      </c>
    </row>
    <row r="432" ht="15.75" customHeight="1">
      <c r="R432" s="266">
        <v>0.298611111111111</v>
      </c>
    </row>
    <row r="433" ht="15.75" customHeight="1">
      <c r="R433" s="266">
        <v>0.299305555555556</v>
      </c>
    </row>
    <row r="434" ht="15.75" customHeight="1">
      <c r="R434" s="266">
        <v>0.3</v>
      </c>
    </row>
    <row r="435" ht="15.75" customHeight="1">
      <c r="R435" s="266">
        <v>0.300694444444444</v>
      </c>
    </row>
    <row r="436" ht="15.75" customHeight="1">
      <c r="R436" s="266">
        <v>0.301388888888889</v>
      </c>
    </row>
    <row r="437" ht="15.75" customHeight="1">
      <c r="R437" s="266">
        <v>0.302083333333333</v>
      </c>
    </row>
    <row r="438" ht="15.75" customHeight="1">
      <c r="R438" s="266">
        <v>0.302777777777778</v>
      </c>
    </row>
    <row r="439" ht="15.75" customHeight="1">
      <c r="R439" s="266">
        <v>0.303472222222222</v>
      </c>
    </row>
    <row r="440" ht="15.75" customHeight="1">
      <c r="R440" s="266">
        <v>0.304166666666667</v>
      </c>
    </row>
    <row r="441" ht="15.75" customHeight="1">
      <c r="R441" s="266">
        <v>0.304861111111111</v>
      </c>
    </row>
    <row r="442" ht="15.75" customHeight="1">
      <c r="R442" s="266">
        <v>0.305555555555556</v>
      </c>
    </row>
    <row r="443" ht="15.75" customHeight="1">
      <c r="R443" s="266">
        <v>0.30625</v>
      </c>
    </row>
    <row r="444" ht="15.75" customHeight="1">
      <c r="R444" s="266">
        <v>0.306944444444444</v>
      </c>
    </row>
    <row r="445" ht="15.75" customHeight="1">
      <c r="R445" s="266">
        <v>0.307638888888889</v>
      </c>
    </row>
    <row r="446" ht="15.75" customHeight="1">
      <c r="R446" s="266">
        <v>0.308333333333333</v>
      </c>
    </row>
    <row r="447" ht="15.75" customHeight="1">
      <c r="R447" s="266">
        <v>0.309027777777778</v>
      </c>
    </row>
    <row r="448" ht="15.75" customHeight="1">
      <c r="R448" s="266">
        <v>0.309722222222222</v>
      </c>
    </row>
    <row r="449" ht="15.75" customHeight="1">
      <c r="R449" s="266">
        <v>0.310416666666667</v>
      </c>
    </row>
    <row r="450" ht="15.75" customHeight="1">
      <c r="R450" s="266">
        <v>0.311111111111111</v>
      </c>
    </row>
    <row r="451" ht="15.75" customHeight="1">
      <c r="R451" s="266">
        <v>0.311805555555556</v>
      </c>
    </row>
    <row r="452" ht="15.75" customHeight="1">
      <c r="R452" s="266">
        <v>0.3125</v>
      </c>
    </row>
    <row r="453" ht="15.75" customHeight="1">
      <c r="R453" s="266">
        <v>0.313194444444444</v>
      </c>
    </row>
    <row r="454" ht="15.75" customHeight="1">
      <c r="R454" s="266">
        <v>0.313888888888889</v>
      </c>
    </row>
    <row r="455" ht="15.75" customHeight="1">
      <c r="R455" s="266">
        <v>0.314583333333333</v>
      </c>
    </row>
    <row r="456" ht="15.75" customHeight="1">
      <c r="R456" s="266">
        <v>0.315277777777778</v>
      </c>
    </row>
    <row r="457" ht="15.75" customHeight="1">
      <c r="R457" s="266">
        <v>0.315972222222222</v>
      </c>
    </row>
    <row r="458" ht="15.75" customHeight="1">
      <c r="R458" s="266">
        <v>0.316666666666667</v>
      </c>
    </row>
    <row r="459" ht="15.75" customHeight="1">
      <c r="R459" s="266">
        <v>0.317361111111111</v>
      </c>
    </row>
    <row r="460" ht="15.75" customHeight="1">
      <c r="R460" s="266">
        <v>0.318055555555556</v>
      </c>
    </row>
    <row r="461" ht="15.75" customHeight="1">
      <c r="R461" s="266">
        <v>0.31875</v>
      </c>
    </row>
    <row r="462" ht="15.75" customHeight="1">
      <c r="R462" s="266">
        <v>0.319444444444444</v>
      </c>
    </row>
    <row r="463" ht="15.75" customHeight="1">
      <c r="R463" s="266">
        <v>0.320138888888889</v>
      </c>
    </row>
    <row r="464" ht="15.75" customHeight="1">
      <c r="R464" s="266">
        <v>0.320833333333333</v>
      </c>
    </row>
    <row r="465" ht="15.75" customHeight="1">
      <c r="R465" s="266">
        <v>0.321527777777778</v>
      </c>
    </row>
    <row r="466" ht="15.75" customHeight="1">
      <c r="R466" s="266">
        <v>0.322222222222222</v>
      </c>
    </row>
    <row r="467" ht="15.75" customHeight="1">
      <c r="R467" s="266">
        <v>0.322916666666667</v>
      </c>
    </row>
    <row r="468" ht="15.75" customHeight="1">
      <c r="R468" s="266">
        <v>0.323611111111111</v>
      </c>
    </row>
    <row r="469" ht="15.75" customHeight="1">
      <c r="R469" s="266">
        <v>0.324305555555556</v>
      </c>
    </row>
    <row r="470" ht="15.75" customHeight="1">
      <c r="R470" s="266">
        <v>0.325</v>
      </c>
    </row>
    <row r="471" ht="15.75" customHeight="1">
      <c r="R471" s="266">
        <v>0.325694444444444</v>
      </c>
    </row>
    <row r="472" ht="15.75" customHeight="1">
      <c r="R472" s="266">
        <v>0.326388888888889</v>
      </c>
    </row>
    <row r="473" ht="15.75" customHeight="1">
      <c r="R473" s="266">
        <v>0.327083333333333</v>
      </c>
    </row>
    <row r="474" ht="15.75" customHeight="1">
      <c r="R474" s="266">
        <v>0.327777777777778</v>
      </c>
    </row>
    <row r="475" ht="15.75" customHeight="1">
      <c r="R475" s="266">
        <v>0.328472222222222</v>
      </c>
    </row>
    <row r="476" ht="15.75" customHeight="1">
      <c r="R476" s="266">
        <v>0.329166666666667</v>
      </c>
    </row>
    <row r="477" ht="15.75" customHeight="1">
      <c r="R477" s="266">
        <v>0.329861111111111</v>
      </c>
    </row>
    <row r="478" ht="15.75" customHeight="1">
      <c r="R478" s="266">
        <v>0.330555555555556</v>
      </c>
    </row>
    <row r="479" ht="15.75" customHeight="1">
      <c r="R479" s="266">
        <v>0.33125</v>
      </c>
    </row>
    <row r="480" ht="15.75" customHeight="1">
      <c r="R480" s="266">
        <v>0.331944444444444</v>
      </c>
    </row>
    <row r="481" ht="15.75" customHeight="1">
      <c r="R481" s="266">
        <v>0.332638888888889</v>
      </c>
    </row>
    <row r="482" ht="15.75" customHeight="1">
      <c r="R482" s="266">
        <v>0.333333333333333</v>
      </c>
    </row>
    <row r="483" ht="15.75" customHeight="1">
      <c r="R483" s="266">
        <v>0.334027777777778</v>
      </c>
    </row>
    <row r="484" ht="15.75" customHeight="1">
      <c r="R484" s="266">
        <v>0.334722222222222</v>
      </c>
    </row>
    <row r="485" ht="15.75" customHeight="1">
      <c r="R485" s="266">
        <v>0.335416666666667</v>
      </c>
    </row>
    <row r="486" ht="15.75" customHeight="1">
      <c r="R486" s="266">
        <v>0.336111111111111</v>
      </c>
    </row>
    <row r="487" ht="15.75" customHeight="1">
      <c r="R487" s="266">
        <v>0.336805555555556</v>
      </c>
    </row>
    <row r="488" ht="15.75" customHeight="1">
      <c r="R488" s="266">
        <v>0.3375</v>
      </c>
    </row>
    <row r="489" ht="15.75" customHeight="1">
      <c r="R489" s="266">
        <v>0.338194444444444</v>
      </c>
    </row>
    <row r="490" ht="15.75" customHeight="1">
      <c r="R490" s="266">
        <v>0.338888888888889</v>
      </c>
    </row>
    <row r="491" ht="15.75" customHeight="1">
      <c r="R491" s="266">
        <v>0.339583333333333</v>
      </c>
    </row>
    <row r="492" ht="15.75" customHeight="1">
      <c r="R492" s="266">
        <v>0.340277777777778</v>
      </c>
    </row>
    <row r="493" ht="15.75" customHeight="1">
      <c r="R493" s="266">
        <v>0.340972222222222</v>
      </c>
    </row>
    <row r="494" ht="15.75" customHeight="1">
      <c r="R494" s="266">
        <v>0.341666666666667</v>
      </c>
    </row>
    <row r="495" ht="15.75" customHeight="1">
      <c r="R495" s="266">
        <v>0.342361111111111</v>
      </c>
    </row>
    <row r="496" ht="15.75" customHeight="1">
      <c r="R496" s="266">
        <v>0.343055555555556</v>
      </c>
    </row>
    <row r="497" ht="15.75" customHeight="1">
      <c r="R497" s="266">
        <v>0.34375</v>
      </c>
    </row>
    <row r="498" ht="15.75" customHeight="1">
      <c r="R498" s="266">
        <v>0.344444444444444</v>
      </c>
    </row>
    <row r="499" ht="15.75" customHeight="1">
      <c r="R499" s="266">
        <v>0.345138888888889</v>
      </c>
    </row>
    <row r="500" ht="15.75" customHeight="1">
      <c r="R500" s="266">
        <v>0.345833333333333</v>
      </c>
    </row>
    <row r="501" ht="15.75" customHeight="1">
      <c r="R501" s="266">
        <v>0.346527777777778</v>
      </c>
    </row>
    <row r="502" ht="15.75" customHeight="1">
      <c r="R502" s="266">
        <v>0.347222222222222</v>
      </c>
    </row>
    <row r="503" ht="15.75" customHeight="1">
      <c r="R503" s="266">
        <v>0.347916666666667</v>
      </c>
    </row>
    <row r="504" ht="15.75" customHeight="1">
      <c r="R504" s="266">
        <v>0.348611111111111</v>
      </c>
    </row>
    <row r="505" ht="15.75" customHeight="1">
      <c r="R505" s="266">
        <v>0.349305555555556</v>
      </c>
    </row>
    <row r="506" ht="15.75" customHeight="1">
      <c r="R506" s="266">
        <v>0.35</v>
      </c>
    </row>
    <row r="507" ht="15.75" customHeight="1">
      <c r="R507" s="266">
        <v>0.350694444444444</v>
      </c>
    </row>
    <row r="508" ht="15.75" customHeight="1">
      <c r="R508" s="266">
        <v>0.351388888888889</v>
      </c>
    </row>
    <row r="509" ht="15.75" customHeight="1">
      <c r="R509" s="266">
        <v>0.352083333333333</v>
      </c>
    </row>
    <row r="510" ht="15.75" customHeight="1">
      <c r="R510" s="266">
        <v>0.352777777777778</v>
      </c>
    </row>
    <row r="511" ht="15.75" customHeight="1">
      <c r="R511" s="266">
        <v>0.353472222222222</v>
      </c>
    </row>
    <row r="512" ht="15.75" customHeight="1">
      <c r="R512" s="266">
        <v>0.354166666666667</v>
      </c>
    </row>
    <row r="513" ht="15.75" customHeight="1">
      <c r="R513" s="266">
        <v>0.354861111111111</v>
      </c>
    </row>
    <row r="514" ht="15.75" customHeight="1">
      <c r="R514" s="266">
        <v>0.355555555555556</v>
      </c>
    </row>
    <row r="515" ht="15.75" customHeight="1">
      <c r="R515" s="266">
        <v>0.35625</v>
      </c>
    </row>
    <row r="516" ht="15.75" customHeight="1">
      <c r="R516" s="266">
        <v>0.356944444444444</v>
      </c>
    </row>
    <row r="517" ht="15.75" customHeight="1">
      <c r="R517" s="266">
        <v>0.357638888888889</v>
      </c>
    </row>
    <row r="518" ht="15.75" customHeight="1">
      <c r="R518" s="266">
        <v>0.358333333333333</v>
      </c>
    </row>
    <row r="519" ht="15.75" customHeight="1">
      <c r="R519" s="266">
        <v>0.359027777777778</v>
      </c>
    </row>
    <row r="520" ht="15.75" customHeight="1">
      <c r="R520" s="266">
        <v>0.359722222222222</v>
      </c>
    </row>
    <row r="521" ht="15.75" customHeight="1">
      <c r="R521" s="266">
        <v>0.360416666666667</v>
      </c>
    </row>
    <row r="522" ht="15.75" customHeight="1">
      <c r="R522" s="266">
        <v>0.361111111111111</v>
      </c>
    </row>
    <row r="523" ht="15.75" customHeight="1">
      <c r="R523" s="266">
        <v>0.361805555555556</v>
      </c>
    </row>
    <row r="524" ht="15.75" customHeight="1">
      <c r="R524" s="266">
        <v>0.3625</v>
      </c>
    </row>
    <row r="525" ht="15.75" customHeight="1">
      <c r="R525" s="266">
        <v>0.363194444444444</v>
      </c>
    </row>
    <row r="526" ht="15.75" customHeight="1">
      <c r="R526" s="266">
        <v>0.363888888888889</v>
      </c>
    </row>
    <row r="527" ht="15.75" customHeight="1">
      <c r="R527" s="266">
        <v>0.364583333333333</v>
      </c>
    </row>
    <row r="528" ht="15.75" customHeight="1">
      <c r="R528" s="266">
        <v>0.365277777777778</v>
      </c>
    </row>
    <row r="529" ht="15.75" customHeight="1">
      <c r="R529" s="266">
        <v>0.365972222222222</v>
      </c>
    </row>
    <row r="530" ht="15.75" customHeight="1">
      <c r="R530" s="266">
        <v>0.366666666666667</v>
      </c>
    </row>
    <row r="531" ht="15.75" customHeight="1">
      <c r="R531" s="266">
        <v>0.367361111111111</v>
      </c>
    </row>
    <row r="532" ht="15.75" customHeight="1">
      <c r="R532" s="266">
        <v>0.368055555555556</v>
      </c>
    </row>
    <row r="533" ht="15.75" customHeight="1">
      <c r="R533" s="266">
        <v>0.36875</v>
      </c>
    </row>
    <row r="534" ht="15.75" customHeight="1">
      <c r="R534" s="266">
        <v>0.369444444444444</v>
      </c>
    </row>
    <row r="535" ht="15.75" customHeight="1">
      <c r="R535" s="266">
        <v>0.370138888888889</v>
      </c>
    </row>
    <row r="536" ht="15.75" customHeight="1">
      <c r="R536" s="266">
        <v>0.370833333333333</v>
      </c>
    </row>
    <row r="537" ht="15.75" customHeight="1">
      <c r="R537" s="266">
        <v>0.371527777777778</v>
      </c>
    </row>
    <row r="538" ht="15.75" customHeight="1">
      <c r="R538" s="266">
        <v>0.372222222222222</v>
      </c>
    </row>
    <row r="539" ht="15.75" customHeight="1">
      <c r="R539" s="266">
        <v>0.372916666666667</v>
      </c>
    </row>
    <row r="540" ht="15.75" customHeight="1">
      <c r="R540" s="266">
        <v>0.373611111111111</v>
      </c>
    </row>
    <row r="541" ht="15.75" customHeight="1">
      <c r="R541" s="266">
        <v>0.374305555555556</v>
      </c>
    </row>
    <row r="542" ht="15.75" customHeight="1">
      <c r="R542" s="266">
        <v>0.375</v>
      </c>
    </row>
    <row r="543" ht="15.75" customHeight="1">
      <c r="R543" s="266">
        <v>0.375694444444444</v>
      </c>
    </row>
    <row r="544" ht="15.75" customHeight="1">
      <c r="R544" s="266">
        <v>0.376388888888889</v>
      </c>
    </row>
    <row r="545" ht="15.75" customHeight="1">
      <c r="R545" s="266">
        <v>0.377083333333333</v>
      </c>
    </row>
    <row r="546" ht="15.75" customHeight="1">
      <c r="R546" s="266">
        <v>0.377777777777778</v>
      </c>
    </row>
    <row r="547" ht="15.75" customHeight="1">
      <c r="R547" s="266">
        <v>0.378472222222222</v>
      </c>
    </row>
    <row r="548" ht="15.75" customHeight="1">
      <c r="R548" s="266">
        <v>0.379166666666667</v>
      </c>
    </row>
    <row r="549" ht="15.75" customHeight="1">
      <c r="R549" s="266">
        <v>0.379861111111111</v>
      </c>
    </row>
    <row r="550" ht="15.75" customHeight="1">
      <c r="R550" s="266">
        <v>0.380555555555556</v>
      </c>
    </row>
    <row r="551" ht="15.75" customHeight="1">
      <c r="R551" s="266">
        <v>0.38125</v>
      </c>
    </row>
    <row r="552" ht="15.75" customHeight="1">
      <c r="R552" s="266">
        <v>0.381944444444444</v>
      </c>
    </row>
    <row r="553" ht="15.75" customHeight="1">
      <c r="R553" s="266">
        <v>0.382638888888889</v>
      </c>
    </row>
    <row r="554" ht="15.75" customHeight="1">
      <c r="R554" s="266">
        <v>0.383333333333333</v>
      </c>
    </row>
    <row r="555" ht="15.75" customHeight="1">
      <c r="R555" s="266">
        <v>0.384027777777778</v>
      </c>
    </row>
    <row r="556" ht="15.75" customHeight="1">
      <c r="R556" s="266">
        <v>0.384722222222222</v>
      </c>
    </row>
    <row r="557" ht="15.75" customHeight="1">
      <c r="R557" s="266">
        <v>0.385416666666667</v>
      </c>
    </row>
    <row r="558" ht="15.75" customHeight="1">
      <c r="R558" s="266">
        <v>0.386111111111111</v>
      </c>
    </row>
    <row r="559" ht="15.75" customHeight="1">
      <c r="R559" s="266">
        <v>0.386805555555556</v>
      </c>
    </row>
    <row r="560" ht="15.75" customHeight="1">
      <c r="R560" s="266">
        <v>0.3875</v>
      </c>
    </row>
    <row r="561" ht="15.75" customHeight="1">
      <c r="R561" s="266">
        <v>0.388194444444444</v>
      </c>
    </row>
    <row r="562" ht="15.75" customHeight="1">
      <c r="R562" s="266">
        <v>0.388888888888889</v>
      </c>
    </row>
    <row r="563" ht="15.75" customHeight="1">
      <c r="R563" s="266">
        <v>0.389583333333333</v>
      </c>
    </row>
    <row r="564" ht="15.75" customHeight="1">
      <c r="R564" s="266">
        <v>0.390277777777778</v>
      </c>
    </row>
    <row r="565" ht="15.75" customHeight="1">
      <c r="R565" s="266">
        <v>0.390972222222222</v>
      </c>
    </row>
    <row r="566" ht="15.75" customHeight="1">
      <c r="R566" s="266">
        <v>0.391666666666667</v>
      </c>
    </row>
    <row r="567" ht="15.75" customHeight="1">
      <c r="R567" s="266">
        <v>0.392361111111111</v>
      </c>
    </row>
    <row r="568" ht="15.75" customHeight="1">
      <c r="R568" s="266">
        <v>0.393055555555556</v>
      </c>
    </row>
    <row r="569" ht="15.75" customHeight="1">
      <c r="R569" s="266">
        <v>0.39375</v>
      </c>
    </row>
    <row r="570" ht="15.75" customHeight="1">
      <c r="R570" s="266">
        <v>0.394444444444444</v>
      </c>
    </row>
    <row r="571" ht="15.75" customHeight="1">
      <c r="R571" s="266">
        <v>0.395138888888889</v>
      </c>
    </row>
    <row r="572" ht="15.75" customHeight="1">
      <c r="R572" s="266">
        <v>0.395833333333333</v>
      </c>
    </row>
    <row r="573" ht="15.75" customHeight="1">
      <c r="R573" s="266">
        <v>0.396527777777778</v>
      </c>
    </row>
    <row r="574" ht="15.75" customHeight="1">
      <c r="R574" s="266">
        <v>0.397222222222222</v>
      </c>
    </row>
    <row r="575" ht="15.75" customHeight="1">
      <c r="R575" s="266">
        <v>0.397916666666667</v>
      </c>
    </row>
    <row r="576" ht="15.75" customHeight="1">
      <c r="R576" s="266">
        <v>0.398611111111111</v>
      </c>
    </row>
    <row r="577" ht="15.75" customHeight="1">
      <c r="R577" s="266">
        <v>0.399305555555556</v>
      </c>
    </row>
    <row r="578" ht="15.75" customHeight="1">
      <c r="R578" s="266">
        <v>0.4</v>
      </c>
    </row>
    <row r="579" ht="15.75" customHeight="1">
      <c r="R579" s="266">
        <v>0.400694444444444</v>
      </c>
    </row>
    <row r="580" ht="15.75" customHeight="1">
      <c r="R580" s="266">
        <v>0.401388888888889</v>
      </c>
    </row>
    <row r="581" ht="15.75" customHeight="1">
      <c r="R581" s="266">
        <v>0.402083333333333</v>
      </c>
    </row>
    <row r="582" ht="15.75" customHeight="1">
      <c r="R582" s="266">
        <v>0.402777777777778</v>
      </c>
    </row>
    <row r="583" ht="15.75" customHeight="1">
      <c r="R583" s="266">
        <v>0.403472222222222</v>
      </c>
    </row>
    <row r="584" ht="15.75" customHeight="1">
      <c r="R584" s="266">
        <v>0.404166666666667</v>
      </c>
    </row>
    <row r="585" ht="15.75" customHeight="1">
      <c r="R585" s="266">
        <v>0.404861111111111</v>
      </c>
    </row>
    <row r="586" ht="15.75" customHeight="1">
      <c r="R586" s="266">
        <v>0.405555555555556</v>
      </c>
    </row>
    <row r="587" ht="15.75" customHeight="1">
      <c r="R587" s="266">
        <v>0.40625</v>
      </c>
    </row>
    <row r="588" ht="15.75" customHeight="1">
      <c r="R588" s="266">
        <v>0.406944444444444</v>
      </c>
    </row>
    <row r="589" ht="15.75" customHeight="1">
      <c r="R589" s="266">
        <v>0.407638888888889</v>
      </c>
    </row>
    <row r="590" ht="15.75" customHeight="1">
      <c r="R590" s="266">
        <v>0.408333333333333</v>
      </c>
    </row>
    <row r="591" ht="15.75" customHeight="1">
      <c r="R591" s="266">
        <v>0.409027777777778</v>
      </c>
    </row>
    <row r="592" ht="15.75" customHeight="1">
      <c r="R592" s="266">
        <v>0.409722222222222</v>
      </c>
    </row>
    <row r="593" ht="15.75" customHeight="1">
      <c r="R593" s="266">
        <v>0.410416666666667</v>
      </c>
    </row>
    <row r="594" ht="15.75" customHeight="1">
      <c r="R594" s="266">
        <v>0.411111111111111</v>
      </c>
    </row>
    <row r="595" ht="15.75" customHeight="1">
      <c r="R595" s="266">
        <v>0.411805555555556</v>
      </c>
    </row>
    <row r="596" ht="15.75" customHeight="1">
      <c r="R596" s="266">
        <v>0.4125</v>
      </c>
    </row>
    <row r="597" ht="15.75" customHeight="1">
      <c r="R597" s="266">
        <v>0.413194444444444</v>
      </c>
    </row>
    <row r="598" ht="15.75" customHeight="1">
      <c r="R598" s="266">
        <v>0.413888888888889</v>
      </c>
    </row>
    <row r="599" ht="15.75" customHeight="1">
      <c r="R599" s="266">
        <v>0.414583333333333</v>
      </c>
    </row>
    <row r="600" ht="15.75" customHeight="1">
      <c r="R600" s="266">
        <v>0.415277777777778</v>
      </c>
    </row>
    <row r="601" ht="15.75" customHeight="1">
      <c r="R601" s="266">
        <v>0.415972222222222</v>
      </c>
    </row>
    <row r="602" ht="15.75" customHeight="1">
      <c r="R602" s="266">
        <v>0.416666666666667</v>
      </c>
    </row>
    <row r="603" ht="15.75" customHeight="1">
      <c r="R603" s="266">
        <v>0.417361111111111</v>
      </c>
    </row>
    <row r="604" ht="15.75" customHeight="1">
      <c r="R604" s="266">
        <v>0.418055555555556</v>
      </c>
    </row>
    <row r="605" ht="15.75" customHeight="1">
      <c r="R605" s="266">
        <v>0.41875</v>
      </c>
    </row>
    <row r="606" ht="15.75" customHeight="1">
      <c r="R606" s="266">
        <v>0.419444444444444</v>
      </c>
    </row>
    <row r="607" ht="15.75" customHeight="1">
      <c r="R607" s="266">
        <v>0.420138888888889</v>
      </c>
    </row>
    <row r="608" ht="15.75" customHeight="1">
      <c r="R608" s="266">
        <v>0.420833333333333</v>
      </c>
    </row>
    <row r="609" ht="15.75" customHeight="1">
      <c r="R609" s="266">
        <v>0.421527777777778</v>
      </c>
    </row>
    <row r="610" ht="15.75" customHeight="1">
      <c r="R610" s="266">
        <v>0.422222222222222</v>
      </c>
    </row>
    <row r="611" ht="15.75" customHeight="1">
      <c r="R611" s="266">
        <v>0.422916666666667</v>
      </c>
    </row>
    <row r="612" ht="15.75" customHeight="1">
      <c r="R612" s="266">
        <v>0.423611111111111</v>
      </c>
    </row>
    <row r="613" ht="15.75" customHeight="1">
      <c r="R613" s="266">
        <v>0.424305555555556</v>
      </c>
    </row>
    <row r="614" ht="15.75" customHeight="1">
      <c r="R614" s="266">
        <v>0.425</v>
      </c>
    </row>
    <row r="615" ht="15.75" customHeight="1">
      <c r="R615" s="266">
        <v>0.425694444444444</v>
      </c>
    </row>
    <row r="616" ht="15.75" customHeight="1">
      <c r="R616" s="266">
        <v>0.426388888888889</v>
      </c>
    </row>
    <row r="617" ht="15.75" customHeight="1">
      <c r="R617" s="266">
        <v>0.427083333333333</v>
      </c>
    </row>
    <row r="618" ht="15.75" customHeight="1">
      <c r="R618" s="266">
        <v>0.427777777777778</v>
      </c>
    </row>
    <row r="619" ht="15.75" customHeight="1">
      <c r="R619" s="266">
        <v>0.428472222222222</v>
      </c>
    </row>
    <row r="620" ht="15.75" customHeight="1">
      <c r="R620" s="266">
        <v>0.429166666666667</v>
      </c>
    </row>
    <row r="621" ht="15.75" customHeight="1">
      <c r="R621" s="266">
        <v>0.429861111111111</v>
      </c>
    </row>
    <row r="622" ht="15.75" customHeight="1">
      <c r="R622" s="266">
        <v>0.430555555555556</v>
      </c>
    </row>
    <row r="623" ht="15.75" customHeight="1">
      <c r="R623" s="266">
        <v>0.43125</v>
      </c>
    </row>
    <row r="624" ht="15.75" customHeight="1">
      <c r="R624" s="266">
        <v>0.431944444444444</v>
      </c>
    </row>
    <row r="625" ht="15.75" customHeight="1">
      <c r="R625" s="266">
        <v>0.432638888888889</v>
      </c>
    </row>
    <row r="626" ht="15.75" customHeight="1">
      <c r="R626" s="266">
        <v>0.433333333333333</v>
      </c>
    </row>
    <row r="627" ht="15.75" customHeight="1">
      <c r="R627" s="266">
        <v>0.434027777777778</v>
      </c>
    </row>
    <row r="628" ht="15.75" customHeight="1">
      <c r="R628" s="266">
        <v>0.434722222222222</v>
      </c>
    </row>
    <row r="629" ht="15.75" customHeight="1">
      <c r="R629" s="266">
        <v>0.435416666666667</v>
      </c>
    </row>
    <row r="630" ht="15.75" customHeight="1">
      <c r="R630" s="266">
        <v>0.436111111111111</v>
      </c>
    </row>
    <row r="631" ht="15.75" customHeight="1">
      <c r="R631" s="266">
        <v>0.436805555555556</v>
      </c>
    </row>
    <row r="632" ht="15.75" customHeight="1">
      <c r="R632" s="266">
        <v>0.4375</v>
      </c>
    </row>
    <row r="633" ht="15.75" customHeight="1">
      <c r="R633" s="266">
        <v>0.438194444444444</v>
      </c>
    </row>
    <row r="634" ht="15.75" customHeight="1">
      <c r="R634" s="266">
        <v>0.438888888888889</v>
      </c>
    </row>
    <row r="635" ht="15.75" customHeight="1">
      <c r="R635" s="266">
        <v>0.439583333333333</v>
      </c>
    </row>
    <row r="636" ht="15.75" customHeight="1">
      <c r="R636" s="266">
        <v>0.440277777777778</v>
      </c>
    </row>
    <row r="637" ht="15.75" customHeight="1">
      <c r="R637" s="266">
        <v>0.440972222222222</v>
      </c>
    </row>
    <row r="638" ht="15.75" customHeight="1">
      <c r="R638" s="266">
        <v>0.441666666666667</v>
      </c>
    </row>
    <row r="639" ht="15.75" customHeight="1">
      <c r="R639" s="266">
        <v>0.442361111111111</v>
      </c>
    </row>
    <row r="640" ht="15.75" customHeight="1">
      <c r="R640" s="266">
        <v>0.443055555555556</v>
      </c>
    </row>
    <row r="641" ht="15.75" customHeight="1">
      <c r="R641" s="266">
        <v>0.44375</v>
      </c>
    </row>
    <row r="642" ht="15.75" customHeight="1">
      <c r="R642" s="266">
        <v>0.444444444444444</v>
      </c>
    </row>
    <row r="643" ht="15.75" customHeight="1">
      <c r="R643" s="266">
        <v>0.445138888888889</v>
      </c>
    </row>
    <row r="644" ht="15.75" customHeight="1">
      <c r="R644" s="266">
        <v>0.445833333333333</v>
      </c>
    </row>
    <row r="645" ht="15.75" customHeight="1">
      <c r="R645" s="266">
        <v>0.446527777777778</v>
      </c>
    </row>
    <row r="646" ht="15.75" customHeight="1">
      <c r="R646" s="266">
        <v>0.447222222222222</v>
      </c>
    </row>
    <row r="647" ht="15.75" customHeight="1">
      <c r="R647" s="266">
        <v>0.447916666666667</v>
      </c>
    </row>
    <row r="648" ht="15.75" customHeight="1">
      <c r="R648" s="266">
        <v>0.448611111111111</v>
      </c>
    </row>
    <row r="649" ht="15.75" customHeight="1">
      <c r="R649" s="266">
        <v>0.449305555555556</v>
      </c>
    </row>
    <row r="650" ht="15.75" customHeight="1">
      <c r="R650" s="266">
        <v>0.45</v>
      </c>
    </row>
    <row r="651" ht="15.75" customHeight="1">
      <c r="R651" s="266">
        <v>0.450694444444444</v>
      </c>
    </row>
    <row r="652" ht="15.75" customHeight="1">
      <c r="R652" s="266">
        <v>0.451388888888889</v>
      </c>
    </row>
    <row r="653" ht="15.75" customHeight="1">
      <c r="R653" s="266">
        <v>0.452083333333333</v>
      </c>
    </row>
    <row r="654" ht="15.75" customHeight="1">
      <c r="R654" s="266">
        <v>0.452777777777778</v>
      </c>
    </row>
    <row r="655" ht="15.75" customHeight="1">
      <c r="R655" s="266">
        <v>0.453472222222222</v>
      </c>
    </row>
    <row r="656" ht="15.75" customHeight="1">
      <c r="R656" s="266">
        <v>0.454166666666667</v>
      </c>
    </row>
    <row r="657" ht="15.75" customHeight="1">
      <c r="R657" s="266">
        <v>0.454861111111111</v>
      </c>
    </row>
    <row r="658" ht="15.75" customHeight="1">
      <c r="R658" s="266">
        <v>0.455555555555556</v>
      </c>
    </row>
    <row r="659" ht="15.75" customHeight="1">
      <c r="R659" s="266">
        <v>0.45625</v>
      </c>
    </row>
    <row r="660" ht="15.75" customHeight="1">
      <c r="R660" s="266">
        <v>0.456944444444444</v>
      </c>
    </row>
    <row r="661" ht="15.75" customHeight="1">
      <c r="R661" s="266">
        <v>0.457638888888889</v>
      </c>
    </row>
    <row r="662" ht="15.75" customHeight="1">
      <c r="R662" s="266">
        <v>0.458333333333333</v>
      </c>
    </row>
    <row r="663" ht="15.75" customHeight="1">
      <c r="R663" s="266">
        <v>0.459027777777778</v>
      </c>
    </row>
    <row r="664" ht="15.75" customHeight="1">
      <c r="R664" s="266">
        <v>0.459722222222222</v>
      </c>
    </row>
    <row r="665" ht="15.75" customHeight="1">
      <c r="R665" s="266">
        <v>0.460416666666667</v>
      </c>
    </row>
    <row r="666" ht="15.75" customHeight="1">
      <c r="R666" s="266">
        <v>0.461111111111111</v>
      </c>
    </row>
    <row r="667" ht="15.75" customHeight="1">
      <c r="R667" s="266">
        <v>0.461805555555556</v>
      </c>
    </row>
    <row r="668" ht="15.75" customHeight="1">
      <c r="R668" s="266">
        <v>0.4625</v>
      </c>
    </row>
    <row r="669" ht="15.75" customHeight="1">
      <c r="R669" s="266">
        <v>0.463194444444444</v>
      </c>
    </row>
    <row r="670" ht="15.75" customHeight="1">
      <c r="R670" s="266">
        <v>0.463888888888889</v>
      </c>
    </row>
    <row r="671" ht="15.75" customHeight="1">
      <c r="R671" s="266">
        <v>0.464583333333333</v>
      </c>
    </row>
    <row r="672" ht="15.75" customHeight="1">
      <c r="R672" s="266">
        <v>0.465277777777778</v>
      </c>
    </row>
    <row r="673" ht="15.75" customHeight="1">
      <c r="R673" s="266">
        <v>0.465972222222222</v>
      </c>
    </row>
    <row r="674" ht="15.75" customHeight="1">
      <c r="R674" s="266">
        <v>0.466666666666667</v>
      </c>
    </row>
    <row r="675" ht="15.75" customHeight="1">
      <c r="R675" s="266">
        <v>0.467361111111111</v>
      </c>
    </row>
    <row r="676" ht="15.75" customHeight="1">
      <c r="R676" s="266">
        <v>0.468055555555556</v>
      </c>
    </row>
    <row r="677" ht="15.75" customHeight="1">
      <c r="R677" s="266">
        <v>0.46875</v>
      </c>
    </row>
    <row r="678" ht="15.75" customHeight="1">
      <c r="R678" s="266">
        <v>0.469444444444444</v>
      </c>
    </row>
    <row r="679" ht="15.75" customHeight="1">
      <c r="R679" s="266">
        <v>0.470138888888889</v>
      </c>
    </row>
    <row r="680" ht="15.75" customHeight="1">
      <c r="R680" s="266">
        <v>0.470833333333333</v>
      </c>
    </row>
    <row r="681" ht="15.75" customHeight="1">
      <c r="R681" s="266">
        <v>0.471527777777778</v>
      </c>
    </row>
    <row r="682" ht="15.75" customHeight="1">
      <c r="R682" s="266">
        <v>0.472222222222222</v>
      </c>
    </row>
    <row r="683" ht="15.75" customHeight="1">
      <c r="R683" s="266">
        <v>0.472916666666667</v>
      </c>
    </row>
    <row r="684" ht="15.75" customHeight="1">
      <c r="R684" s="266">
        <v>0.473611111111111</v>
      </c>
    </row>
    <row r="685" ht="15.75" customHeight="1">
      <c r="R685" s="266">
        <v>0.474305555555556</v>
      </c>
    </row>
    <row r="686" ht="15.75" customHeight="1">
      <c r="R686" s="266">
        <v>0.475</v>
      </c>
    </row>
    <row r="687" ht="15.75" customHeight="1">
      <c r="R687" s="266">
        <v>0.475694444444444</v>
      </c>
    </row>
    <row r="688" ht="15.75" customHeight="1">
      <c r="R688" s="266">
        <v>0.476388888888889</v>
      </c>
    </row>
    <row r="689" ht="15.75" customHeight="1">
      <c r="R689" s="266">
        <v>0.477083333333333</v>
      </c>
    </row>
    <row r="690" ht="15.75" customHeight="1">
      <c r="R690" s="266">
        <v>0.477777777777778</v>
      </c>
    </row>
    <row r="691" ht="15.75" customHeight="1">
      <c r="R691" s="266">
        <v>0.478472222222222</v>
      </c>
    </row>
    <row r="692" ht="15.75" customHeight="1">
      <c r="R692" s="266">
        <v>0.479166666666667</v>
      </c>
    </row>
    <row r="693" ht="15.75" customHeight="1">
      <c r="R693" s="266">
        <v>0.479861111111111</v>
      </c>
    </row>
    <row r="694" ht="15.75" customHeight="1">
      <c r="R694" s="266">
        <v>0.480555555555556</v>
      </c>
    </row>
    <row r="695" ht="15.75" customHeight="1">
      <c r="R695" s="266">
        <v>0.48125</v>
      </c>
    </row>
    <row r="696" ht="15.75" customHeight="1">
      <c r="R696" s="266">
        <v>0.481944444444444</v>
      </c>
    </row>
    <row r="697" ht="15.75" customHeight="1">
      <c r="R697" s="266">
        <v>0.482638888888889</v>
      </c>
    </row>
    <row r="698" ht="15.75" customHeight="1">
      <c r="R698" s="266">
        <v>0.483333333333333</v>
      </c>
    </row>
    <row r="699" ht="15.75" customHeight="1">
      <c r="R699" s="266">
        <v>0.484027777777778</v>
      </c>
    </row>
    <row r="700" ht="15.75" customHeight="1">
      <c r="R700" s="266">
        <v>0.484722222222222</v>
      </c>
    </row>
    <row r="701" ht="15.75" customHeight="1">
      <c r="R701" s="266">
        <v>0.485416666666667</v>
      </c>
    </row>
    <row r="702" ht="15.75" customHeight="1">
      <c r="R702" s="266">
        <v>0.486111111111111</v>
      </c>
    </row>
    <row r="703" ht="15.75" customHeight="1">
      <c r="R703" s="266">
        <v>0.486805555555556</v>
      </c>
    </row>
    <row r="704" ht="15.75" customHeight="1">
      <c r="R704" s="266">
        <v>0.4875</v>
      </c>
    </row>
    <row r="705" ht="15.75" customHeight="1">
      <c r="R705" s="266">
        <v>0.488194444444444</v>
      </c>
    </row>
    <row r="706" ht="15.75" customHeight="1">
      <c r="R706" s="266">
        <v>0.488888888888889</v>
      </c>
    </row>
    <row r="707" ht="15.75" customHeight="1">
      <c r="R707" s="266">
        <v>0.489583333333333</v>
      </c>
    </row>
    <row r="708" ht="15.75" customHeight="1">
      <c r="R708" s="266">
        <v>0.490277777777778</v>
      </c>
    </row>
    <row r="709" ht="15.75" customHeight="1">
      <c r="R709" s="266">
        <v>0.490972222222222</v>
      </c>
    </row>
    <row r="710" ht="15.75" customHeight="1">
      <c r="R710" s="266">
        <v>0.491666666666667</v>
      </c>
    </row>
    <row r="711" ht="15.75" customHeight="1">
      <c r="R711" s="266">
        <v>0.492361111111111</v>
      </c>
    </row>
    <row r="712" ht="15.75" customHeight="1">
      <c r="R712" s="266">
        <v>0.493055555555556</v>
      </c>
    </row>
    <row r="713" ht="15.75" customHeight="1">
      <c r="R713" s="266">
        <v>0.49375</v>
      </c>
    </row>
    <row r="714" ht="15.75" customHeight="1">
      <c r="R714" s="266">
        <v>0.494444444444444</v>
      </c>
    </row>
    <row r="715" ht="15.75" customHeight="1">
      <c r="R715" s="266">
        <v>0.495138888888889</v>
      </c>
    </row>
    <row r="716" ht="15.75" customHeight="1">
      <c r="R716" s="266">
        <v>0.495833333333333</v>
      </c>
    </row>
    <row r="717" ht="15.75" customHeight="1">
      <c r="R717" s="266">
        <v>0.496527777777778</v>
      </c>
    </row>
    <row r="718" ht="15.75" customHeight="1">
      <c r="R718" s="266">
        <v>0.497222222222222</v>
      </c>
    </row>
    <row r="719" ht="15.75" customHeight="1">
      <c r="R719" s="266">
        <v>0.497916666666667</v>
      </c>
    </row>
    <row r="720" ht="15.75" customHeight="1">
      <c r="R720" s="266">
        <v>0.498611111111111</v>
      </c>
    </row>
    <row r="721" ht="15.75" customHeight="1">
      <c r="R721" s="266">
        <v>0.499305555555556</v>
      </c>
    </row>
    <row r="722" ht="15.75" customHeight="1">
      <c r="R722" s="266">
        <v>0.5</v>
      </c>
    </row>
    <row r="723" ht="15.75" customHeight="1">
      <c r="R723" s="266">
        <v>0.500694444444444</v>
      </c>
    </row>
    <row r="724" ht="15.75" customHeight="1">
      <c r="R724" s="266">
        <v>0.501388888888889</v>
      </c>
    </row>
    <row r="725" ht="15.75" customHeight="1">
      <c r="R725" s="266">
        <v>0.502083333333333</v>
      </c>
    </row>
    <row r="726" ht="15.75" customHeight="1">
      <c r="R726" s="266">
        <v>0.502777777777778</v>
      </c>
    </row>
    <row r="727" ht="15.75" customHeight="1">
      <c r="R727" s="266">
        <v>0.503472222222222</v>
      </c>
    </row>
    <row r="728" ht="15.75" customHeight="1">
      <c r="R728" s="266">
        <v>0.504166666666667</v>
      </c>
    </row>
    <row r="729" ht="15.75" customHeight="1">
      <c r="R729" s="266">
        <v>0.504861111111111</v>
      </c>
    </row>
    <row r="730" ht="15.75" customHeight="1">
      <c r="R730" s="266">
        <v>0.505555555555556</v>
      </c>
    </row>
    <row r="731" ht="15.75" customHeight="1">
      <c r="R731" s="266">
        <v>0.50625</v>
      </c>
    </row>
    <row r="732" ht="15.75" customHeight="1">
      <c r="R732" s="266">
        <v>0.506944444444444</v>
      </c>
    </row>
    <row r="733" ht="15.75" customHeight="1">
      <c r="R733" s="266">
        <v>0.507638888888889</v>
      </c>
    </row>
    <row r="734" ht="15.75" customHeight="1">
      <c r="R734" s="266">
        <v>0.508333333333333</v>
      </c>
    </row>
    <row r="735" ht="15.75" customHeight="1">
      <c r="R735" s="266">
        <v>0.509027777777778</v>
      </c>
    </row>
    <row r="736" ht="15.75" customHeight="1">
      <c r="R736" s="266">
        <v>0.509722222222222</v>
      </c>
    </row>
    <row r="737" ht="15.75" customHeight="1">
      <c r="R737" s="266">
        <v>0.510416666666667</v>
      </c>
    </row>
    <row r="738" ht="15.75" customHeight="1">
      <c r="R738" s="266">
        <v>0.511111111111111</v>
      </c>
    </row>
    <row r="739" ht="15.75" customHeight="1">
      <c r="R739" s="266">
        <v>0.511805555555556</v>
      </c>
    </row>
    <row r="740" ht="15.75" customHeight="1">
      <c r="R740" s="266">
        <v>0.5125</v>
      </c>
    </row>
    <row r="741" ht="15.75" customHeight="1">
      <c r="R741" s="266">
        <v>0.513194444444445</v>
      </c>
    </row>
    <row r="742" ht="15.75" customHeight="1">
      <c r="R742" s="266">
        <v>0.513888888888889</v>
      </c>
    </row>
    <row r="743" ht="15.75" customHeight="1">
      <c r="R743" s="266">
        <v>0.514583333333333</v>
      </c>
    </row>
    <row r="744" ht="15.75" customHeight="1">
      <c r="R744" s="266">
        <v>0.515277777777778</v>
      </c>
    </row>
    <row r="745" ht="15.75" customHeight="1">
      <c r="R745" s="266">
        <v>0.515972222222222</v>
      </c>
    </row>
    <row r="746" ht="15.75" customHeight="1">
      <c r="R746" s="266">
        <v>0.516666666666667</v>
      </c>
    </row>
    <row r="747" ht="15.75" customHeight="1">
      <c r="R747" s="266">
        <v>0.517361111111111</v>
      </c>
    </row>
    <row r="748" ht="15.75" customHeight="1">
      <c r="R748" s="266">
        <v>0.518055555555556</v>
      </c>
    </row>
    <row r="749" ht="15.75" customHeight="1">
      <c r="R749" s="266">
        <v>0.51875</v>
      </c>
    </row>
    <row r="750" ht="15.75" customHeight="1">
      <c r="R750" s="266">
        <v>0.519444444444444</v>
      </c>
    </row>
    <row r="751" ht="15.75" customHeight="1">
      <c r="R751" s="266">
        <v>0.520138888888889</v>
      </c>
    </row>
    <row r="752" ht="15.75" customHeight="1">
      <c r="R752" s="266">
        <v>0.520833333333333</v>
      </c>
    </row>
    <row r="753" ht="15.75" customHeight="1">
      <c r="R753" s="266">
        <v>0.521527777777778</v>
      </c>
    </row>
    <row r="754" ht="15.75" customHeight="1">
      <c r="R754" s="266">
        <v>0.522222222222222</v>
      </c>
    </row>
    <row r="755" ht="15.75" customHeight="1">
      <c r="R755" s="266">
        <v>0.522916666666667</v>
      </c>
    </row>
    <row r="756" ht="15.75" customHeight="1">
      <c r="R756" s="266">
        <v>0.523611111111111</v>
      </c>
    </row>
    <row r="757" ht="15.75" customHeight="1">
      <c r="R757" s="266">
        <v>0.524305555555556</v>
      </c>
    </row>
    <row r="758" ht="15.75" customHeight="1">
      <c r="R758" s="266">
        <v>0.525</v>
      </c>
    </row>
    <row r="759" ht="15.75" customHeight="1">
      <c r="R759" s="266">
        <v>0.525694444444444</v>
      </c>
    </row>
    <row r="760" ht="15.75" customHeight="1">
      <c r="R760" s="266">
        <v>0.526388888888889</v>
      </c>
    </row>
    <row r="761" ht="15.75" customHeight="1">
      <c r="R761" s="266">
        <v>0.527083333333333</v>
      </c>
    </row>
    <row r="762" ht="15.75" customHeight="1">
      <c r="R762" s="266">
        <v>0.527777777777778</v>
      </c>
    </row>
    <row r="763" ht="15.75" customHeight="1">
      <c r="R763" s="266">
        <v>0.528472222222222</v>
      </c>
    </row>
    <row r="764" ht="15.75" customHeight="1">
      <c r="R764" s="266">
        <v>0.529166666666667</v>
      </c>
    </row>
    <row r="765" ht="15.75" customHeight="1">
      <c r="R765" s="266">
        <v>0.529861111111111</v>
      </c>
    </row>
    <row r="766" ht="15.75" customHeight="1">
      <c r="R766" s="266">
        <v>0.530555555555556</v>
      </c>
    </row>
    <row r="767" ht="15.75" customHeight="1">
      <c r="R767" s="266">
        <v>0.53125</v>
      </c>
    </row>
    <row r="768" ht="15.75" customHeight="1">
      <c r="R768" s="266">
        <v>0.531944444444444</v>
      </c>
    </row>
    <row r="769" ht="15.75" customHeight="1">
      <c r="R769" s="266">
        <v>0.532638888888889</v>
      </c>
    </row>
    <row r="770" ht="15.75" customHeight="1">
      <c r="R770" s="266">
        <v>0.533333333333333</v>
      </c>
    </row>
    <row r="771" ht="15.75" customHeight="1">
      <c r="R771" s="266">
        <v>0.534027777777778</v>
      </c>
    </row>
    <row r="772" ht="15.75" customHeight="1">
      <c r="R772" s="266">
        <v>0.534722222222222</v>
      </c>
    </row>
    <row r="773" ht="15.75" customHeight="1">
      <c r="R773" s="266">
        <v>0.535416666666667</v>
      </c>
    </row>
    <row r="774" ht="15.75" customHeight="1">
      <c r="R774" s="266">
        <v>0.536111111111111</v>
      </c>
    </row>
    <row r="775" ht="15.75" customHeight="1">
      <c r="R775" s="266">
        <v>0.536805555555556</v>
      </c>
    </row>
    <row r="776" ht="15.75" customHeight="1">
      <c r="R776" s="266">
        <v>0.5375</v>
      </c>
    </row>
    <row r="777" ht="15.75" customHeight="1">
      <c r="R777" s="266">
        <v>0.538194444444444</v>
      </c>
    </row>
    <row r="778" ht="15.75" customHeight="1">
      <c r="R778" s="266">
        <v>0.538888888888889</v>
      </c>
    </row>
    <row r="779" ht="15.75" customHeight="1">
      <c r="R779" s="266">
        <v>0.539583333333333</v>
      </c>
    </row>
    <row r="780" ht="15.75" customHeight="1">
      <c r="R780" s="266">
        <v>0.540277777777778</v>
      </c>
    </row>
    <row r="781" ht="15.75" customHeight="1">
      <c r="R781" s="266">
        <v>0.540972222222222</v>
      </c>
    </row>
    <row r="782" ht="15.75" customHeight="1">
      <c r="R782" s="266">
        <v>0.541666666666667</v>
      </c>
    </row>
    <row r="783" ht="15.75" customHeight="1">
      <c r="R783" s="266">
        <v>0.542361111111111</v>
      </c>
    </row>
    <row r="784" ht="15.75" customHeight="1">
      <c r="R784" s="266">
        <v>0.543055555555556</v>
      </c>
    </row>
    <row r="785" ht="15.75" customHeight="1">
      <c r="R785" s="266">
        <v>0.54375</v>
      </c>
    </row>
    <row r="786" ht="15.75" customHeight="1">
      <c r="R786" s="266">
        <v>0.544444444444445</v>
      </c>
    </row>
    <row r="787" ht="15.75" customHeight="1">
      <c r="R787" s="266">
        <v>0.545138888888889</v>
      </c>
    </row>
    <row r="788" ht="15.75" customHeight="1">
      <c r="R788" s="266">
        <v>0.545833333333333</v>
      </c>
    </row>
    <row r="789" ht="15.75" customHeight="1">
      <c r="R789" s="266">
        <v>0.546527777777778</v>
      </c>
    </row>
    <row r="790" ht="15.75" customHeight="1">
      <c r="R790" s="266">
        <v>0.547222222222222</v>
      </c>
    </row>
    <row r="791" ht="15.75" customHeight="1">
      <c r="R791" s="266">
        <v>0.547916666666667</v>
      </c>
    </row>
    <row r="792" ht="15.75" customHeight="1">
      <c r="R792" s="266">
        <v>0.548611111111111</v>
      </c>
    </row>
    <row r="793" ht="15.75" customHeight="1">
      <c r="R793" s="266">
        <v>0.549305555555556</v>
      </c>
    </row>
    <row r="794" ht="15.75" customHeight="1">
      <c r="R794" s="266">
        <v>0.55</v>
      </c>
    </row>
    <row r="795" ht="15.75" customHeight="1">
      <c r="R795" s="266">
        <v>0.550694444444444</v>
      </c>
    </row>
    <row r="796" ht="15.75" customHeight="1">
      <c r="R796" s="266">
        <v>0.551388888888889</v>
      </c>
    </row>
    <row r="797" ht="15.75" customHeight="1">
      <c r="R797" s="266">
        <v>0.552083333333333</v>
      </c>
    </row>
    <row r="798" ht="15.75" customHeight="1">
      <c r="R798" s="266">
        <v>0.552777777777778</v>
      </c>
    </row>
    <row r="799" ht="15.75" customHeight="1">
      <c r="R799" s="266">
        <v>0.553472222222222</v>
      </c>
    </row>
    <row r="800" ht="15.75" customHeight="1">
      <c r="R800" s="266">
        <v>0.554166666666667</v>
      </c>
    </row>
    <row r="801" ht="15.75" customHeight="1">
      <c r="R801" s="266">
        <v>0.554861111111111</v>
      </c>
    </row>
    <row r="802" ht="15.75" customHeight="1">
      <c r="R802" s="266">
        <v>0.555555555555556</v>
      </c>
    </row>
    <row r="803" ht="15.75" customHeight="1">
      <c r="R803" s="266">
        <v>0.55625</v>
      </c>
    </row>
    <row r="804" ht="15.75" customHeight="1">
      <c r="R804" s="266">
        <v>0.556944444444444</v>
      </c>
    </row>
    <row r="805" ht="15.75" customHeight="1">
      <c r="R805" s="266">
        <v>0.557638888888889</v>
      </c>
    </row>
    <row r="806" ht="15.75" customHeight="1">
      <c r="R806" s="266">
        <v>0.558333333333333</v>
      </c>
    </row>
    <row r="807" ht="15.75" customHeight="1">
      <c r="R807" s="266">
        <v>0.559027777777778</v>
      </c>
    </row>
    <row r="808" ht="15.75" customHeight="1">
      <c r="R808" s="266">
        <v>0.559722222222222</v>
      </c>
    </row>
    <row r="809" ht="15.75" customHeight="1">
      <c r="R809" s="266">
        <v>0.560416666666667</v>
      </c>
    </row>
    <row r="810" ht="15.75" customHeight="1">
      <c r="R810" s="266">
        <v>0.561111111111111</v>
      </c>
    </row>
    <row r="811" ht="15.75" customHeight="1">
      <c r="R811" s="266">
        <v>0.561805555555556</v>
      </c>
    </row>
    <row r="812" ht="15.75" customHeight="1">
      <c r="R812" s="266">
        <v>0.5625</v>
      </c>
    </row>
    <row r="813" ht="15.75" customHeight="1">
      <c r="R813" s="266">
        <v>0.563194444444444</v>
      </c>
    </row>
    <row r="814" ht="15.75" customHeight="1">
      <c r="R814" s="266">
        <v>0.563888888888889</v>
      </c>
    </row>
    <row r="815" ht="15.75" customHeight="1">
      <c r="R815" s="266">
        <v>0.564583333333333</v>
      </c>
    </row>
    <row r="816" ht="15.75" customHeight="1">
      <c r="R816" s="266">
        <v>0.565277777777778</v>
      </c>
    </row>
    <row r="817" ht="15.75" customHeight="1">
      <c r="R817" s="266">
        <v>0.565972222222222</v>
      </c>
    </row>
    <row r="818" ht="15.75" customHeight="1">
      <c r="R818" s="266">
        <v>0.566666666666667</v>
      </c>
    </row>
    <row r="819" ht="15.75" customHeight="1">
      <c r="R819" s="266">
        <v>0.567361111111111</v>
      </c>
    </row>
    <row r="820" ht="15.75" customHeight="1">
      <c r="R820" s="266">
        <v>0.568055555555556</v>
      </c>
    </row>
    <row r="821" ht="15.75" customHeight="1">
      <c r="R821" s="266">
        <v>0.56875</v>
      </c>
    </row>
    <row r="822" ht="15.75" customHeight="1">
      <c r="R822" s="266">
        <v>0.569444444444444</v>
      </c>
    </row>
    <row r="823" ht="15.75" customHeight="1">
      <c r="R823" s="266">
        <v>0.570138888888889</v>
      </c>
    </row>
    <row r="824" ht="15.75" customHeight="1">
      <c r="R824" s="266">
        <v>0.570833333333333</v>
      </c>
    </row>
    <row r="825" ht="15.75" customHeight="1">
      <c r="R825" s="266">
        <v>0.571527777777778</v>
      </c>
    </row>
    <row r="826" ht="15.75" customHeight="1">
      <c r="R826" s="266">
        <v>0.572222222222222</v>
      </c>
    </row>
    <row r="827" ht="15.75" customHeight="1">
      <c r="R827" s="266">
        <v>0.572916666666667</v>
      </c>
    </row>
    <row r="828" ht="15.75" customHeight="1">
      <c r="R828" s="266">
        <v>0.573611111111111</v>
      </c>
    </row>
    <row r="829" ht="15.75" customHeight="1">
      <c r="R829" s="266">
        <v>0.574305555555556</v>
      </c>
    </row>
    <row r="830" ht="15.75" customHeight="1">
      <c r="R830" s="266">
        <v>0.575</v>
      </c>
    </row>
    <row r="831" ht="15.75" customHeight="1">
      <c r="R831" s="266">
        <v>0.575694444444445</v>
      </c>
    </row>
    <row r="832" ht="15.75" customHeight="1">
      <c r="R832" s="266">
        <v>0.576388888888889</v>
      </c>
    </row>
    <row r="833" ht="15.75" customHeight="1">
      <c r="R833" s="266">
        <v>0.577083333333333</v>
      </c>
    </row>
    <row r="834" ht="15.75" customHeight="1">
      <c r="R834" s="266">
        <v>0.577777777777778</v>
      </c>
    </row>
    <row r="835" ht="15.75" customHeight="1">
      <c r="R835" s="266">
        <v>0.578472222222222</v>
      </c>
    </row>
    <row r="836" ht="15.75" customHeight="1">
      <c r="R836" s="266">
        <v>0.579166666666667</v>
      </c>
    </row>
    <row r="837" ht="15.75" customHeight="1">
      <c r="R837" s="266">
        <v>0.579861111111111</v>
      </c>
    </row>
    <row r="838" ht="15.75" customHeight="1">
      <c r="R838" s="266">
        <v>0.580555555555556</v>
      </c>
    </row>
    <row r="839" ht="15.75" customHeight="1">
      <c r="R839" s="266">
        <v>0.58125</v>
      </c>
    </row>
    <row r="840" ht="15.75" customHeight="1">
      <c r="R840" s="266">
        <v>0.581944444444444</v>
      </c>
    </row>
    <row r="841" ht="15.75" customHeight="1">
      <c r="R841" s="266">
        <v>0.582638888888889</v>
      </c>
    </row>
    <row r="842" ht="15.75" customHeight="1">
      <c r="R842" s="266">
        <v>0.583333333333333</v>
      </c>
    </row>
    <row r="843" ht="15.75" customHeight="1">
      <c r="R843" s="266">
        <v>0.584027777777778</v>
      </c>
    </row>
    <row r="844" ht="15.75" customHeight="1">
      <c r="R844" s="266">
        <v>0.584722222222222</v>
      </c>
    </row>
    <row r="845" ht="15.75" customHeight="1">
      <c r="R845" s="266">
        <v>0.585416666666667</v>
      </c>
    </row>
    <row r="846" ht="15.75" customHeight="1">
      <c r="R846" s="266">
        <v>0.586111111111111</v>
      </c>
    </row>
    <row r="847" ht="15.75" customHeight="1">
      <c r="R847" s="266">
        <v>0.586805555555556</v>
      </c>
    </row>
    <row r="848" ht="15.75" customHeight="1">
      <c r="R848" s="266">
        <v>0.5875</v>
      </c>
    </row>
    <row r="849" ht="15.75" customHeight="1">
      <c r="R849" s="266">
        <v>0.588194444444444</v>
      </c>
    </row>
    <row r="850" ht="15.75" customHeight="1">
      <c r="R850" s="266">
        <v>0.588888888888889</v>
      </c>
    </row>
    <row r="851" ht="15.75" customHeight="1">
      <c r="R851" s="266">
        <v>0.589583333333333</v>
      </c>
    </row>
    <row r="852" ht="15.75" customHeight="1">
      <c r="R852" s="266">
        <v>0.590277777777778</v>
      </c>
    </row>
    <row r="853" ht="15.75" customHeight="1">
      <c r="R853" s="266">
        <v>0.590972222222222</v>
      </c>
    </row>
    <row r="854" ht="15.75" customHeight="1">
      <c r="R854" s="266">
        <v>0.591666666666667</v>
      </c>
    </row>
    <row r="855" ht="15.75" customHeight="1">
      <c r="R855" s="266">
        <v>0.592361111111111</v>
      </c>
    </row>
    <row r="856" ht="15.75" customHeight="1">
      <c r="R856" s="266">
        <v>0.593055555555556</v>
      </c>
    </row>
    <row r="857" ht="15.75" customHeight="1">
      <c r="R857" s="266">
        <v>0.59375</v>
      </c>
    </row>
    <row r="858" ht="15.75" customHeight="1">
      <c r="R858" s="266">
        <v>0.594444444444444</v>
      </c>
    </row>
    <row r="859" ht="15.75" customHeight="1">
      <c r="R859" s="266">
        <v>0.595138888888889</v>
      </c>
    </row>
    <row r="860" ht="15.75" customHeight="1">
      <c r="R860" s="266">
        <v>0.595833333333333</v>
      </c>
    </row>
    <row r="861" ht="15.75" customHeight="1">
      <c r="R861" s="266">
        <v>0.596527777777778</v>
      </c>
    </row>
    <row r="862" ht="15.75" customHeight="1">
      <c r="R862" s="266">
        <v>0.597222222222222</v>
      </c>
    </row>
    <row r="863" ht="15.75" customHeight="1">
      <c r="R863" s="266">
        <v>0.597916666666667</v>
      </c>
    </row>
    <row r="864" ht="15.75" customHeight="1">
      <c r="R864" s="266">
        <v>0.598611111111111</v>
      </c>
    </row>
    <row r="865" ht="15.75" customHeight="1">
      <c r="R865" s="266">
        <v>0.599305555555556</v>
      </c>
    </row>
    <row r="866" ht="15.75" customHeight="1">
      <c r="R866" s="266">
        <v>0.6</v>
      </c>
    </row>
    <row r="867" ht="15.75" customHeight="1">
      <c r="R867" s="266">
        <v>0.600694444444444</v>
      </c>
    </row>
    <row r="868" ht="15.75" customHeight="1">
      <c r="R868" s="266">
        <v>0.601388888888889</v>
      </c>
    </row>
    <row r="869" ht="15.75" customHeight="1">
      <c r="R869" s="266">
        <v>0.602083333333333</v>
      </c>
    </row>
    <row r="870" ht="15.75" customHeight="1">
      <c r="R870" s="266">
        <v>0.602777777777778</v>
      </c>
    </row>
    <row r="871" ht="15.75" customHeight="1">
      <c r="R871" s="266">
        <v>0.603472222222222</v>
      </c>
    </row>
    <row r="872" ht="15.75" customHeight="1">
      <c r="R872" s="266">
        <v>0.604166666666667</v>
      </c>
    </row>
    <row r="873" ht="15.75" customHeight="1">
      <c r="R873" s="266">
        <v>0.604861111111111</v>
      </c>
    </row>
    <row r="874" ht="15.75" customHeight="1">
      <c r="R874" s="266">
        <v>0.605555555555556</v>
      </c>
    </row>
    <row r="875" ht="15.75" customHeight="1">
      <c r="R875" s="266">
        <v>0.60625</v>
      </c>
    </row>
    <row r="876" ht="15.75" customHeight="1">
      <c r="R876" s="266">
        <v>0.606944444444445</v>
      </c>
    </row>
    <row r="877" ht="15.75" customHeight="1">
      <c r="R877" s="266">
        <v>0.607638888888889</v>
      </c>
    </row>
    <row r="878" ht="15.75" customHeight="1">
      <c r="R878" s="266">
        <v>0.608333333333333</v>
      </c>
    </row>
    <row r="879" ht="15.75" customHeight="1">
      <c r="R879" s="266">
        <v>0.609027777777778</v>
      </c>
    </row>
    <row r="880" ht="15.75" customHeight="1">
      <c r="R880" s="266">
        <v>0.609722222222222</v>
      </c>
    </row>
    <row r="881" ht="15.75" customHeight="1">
      <c r="R881" s="266">
        <v>0.610416666666667</v>
      </c>
    </row>
    <row r="882" ht="15.75" customHeight="1">
      <c r="R882" s="266">
        <v>0.611111111111111</v>
      </c>
    </row>
    <row r="883" ht="15.75" customHeight="1">
      <c r="R883" s="266">
        <v>0.611805555555556</v>
      </c>
    </row>
    <row r="884" ht="15.75" customHeight="1">
      <c r="R884" s="266">
        <v>0.6125</v>
      </c>
    </row>
    <row r="885" ht="15.75" customHeight="1">
      <c r="R885" s="266">
        <v>0.613194444444444</v>
      </c>
    </row>
    <row r="886" ht="15.75" customHeight="1">
      <c r="R886" s="266">
        <v>0.613888888888889</v>
      </c>
    </row>
    <row r="887" ht="15.75" customHeight="1">
      <c r="R887" s="266">
        <v>0.614583333333333</v>
      </c>
    </row>
    <row r="888" ht="15.75" customHeight="1">
      <c r="R888" s="266">
        <v>0.615277777777778</v>
      </c>
    </row>
    <row r="889" ht="15.75" customHeight="1">
      <c r="R889" s="266">
        <v>0.615972222222222</v>
      </c>
    </row>
    <row r="890" ht="15.75" customHeight="1">
      <c r="R890" s="266">
        <v>0.616666666666667</v>
      </c>
    </row>
    <row r="891" ht="15.75" customHeight="1">
      <c r="R891" s="266">
        <v>0.617361111111111</v>
      </c>
    </row>
    <row r="892" ht="15.75" customHeight="1">
      <c r="R892" s="266">
        <v>0.618055555555556</v>
      </c>
    </row>
    <row r="893" ht="15.75" customHeight="1">
      <c r="R893" s="266">
        <v>0.61875</v>
      </c>
    </row>
    <row r="894" ht="15.75" customHeight="1">
      <c r="R894" s="266">
        <v>0.619444444444444</v>
      </c>
    </row>
    <row r="895" ht="15.75" customHeight="1">
      <c r="R895" s="266">
        <v>0.620138888888889</v>
      </c>
    </row>
    <row r="896" ht="15.75" customHeight="1">
      <c r="R896" s="266">
        <v>0.620833333333333</v>
      </c>
    </row>
    <row r="897" ht="15.75" customHeight="1">
      <c r="R897" s="266">
        <v>0.621527777777778</v>
      </c>
    </row>
    <row r="898" ht="15.75" customHeight="1">
      <c r="R898" s="266">
        <v>0.622222222222222</v>
      </c>
    </row>
    <row r="899" ht="15.75" customHeight="1">
      <c r="R899" s="266">
        <v>0.622916666666667</v>
      </c>
    </row>
    <row r="900" ht="15.75" customHeight="1">
      <c r="R900" s="266">
        <v>0.623611111111111</v>
      </c>
    </row>
    <row r="901" ht="15.75" customHeight="1">
      <c r="R901" s="266">
        <v>0.624305555555556</v>
      </c>
    </row>
    <row r="902" ht="15.75" customHeight="1">
      <c r="R902" s="266">
        <v>0.625</v>
      </c>
    </row>
    <row r="903" ht="15.75" customHeight="1">
      <c r="R903" s="266">
        <v>0.625694444444444</v>
      </c>
    </row>
    <row r="904" ht="15.75" customHeight="1">
      <c r="R904" s="266">
        <v>0.626388888888889</v>
      </c>
    </row>
    <row r="905" ht="15.75" customHeight="1">
      <c r="R905" s="266">
        <v>0.627083333333333</v>
      </c>
    </row>
    <row r="906" ht="15.75" customHeight="1">
      <c r="R906" s="266">
        <v>0.627777777777778</v>
      </c>
    </row>
    <row r="907" ht="15.75" customHeight="1">
      <c r="R907" s="266">
        <v>0.628472222222222</v>
      </c>
    </row>
    <row r="908" ht="15.75" customHeight="1">
      <c r="R908" s="266">
        <v>0.629166666666667</v>
      </c>
    </row>
    <row r="909" ht="15.75" customHeight="1">
      <c r="R909" s="266">
        <v>0.629861111111111</v>
      </c>
    </row>
    <row r="910" ht="15.75" customHeight="1">
      <c r="R910" s="266">
        <v>0.630555555555556</v>
      </c>
    </row>
    <row r="911" ht="15.75" customHeight="1">
      <c r="R911" s="266">
        <v>0.63125</v>
      </c>
    </row>
    <row r="912" ht="15.75" customHeight="1">
      <c r="R912" s="266">
        <v>0.631944444444444</v>
      </c>
    </row>
    <row r="913" ht="15.75" customHeight="1">
      <c r="R913" s="266">
        <v>0.632638888888889</v>
      </c>
    </row>
    <row r="914" ht="15.75" customHeight="1">
      <c r="R914" s="266">
        <v>0.633333333333333</v>
      </c>
    </row>
    <row r="915" ht="15.75" customHeight="1">
      <c r="R915" s="266">
        <v>0.634027777777778</v>
      </c>
    </row>
    <row r="916" ht="15.75" customHeight="1">
      <c r="R916" s="266">
        <v>0.634722222222222</v>
      </c>
    </row>
    <row r="917" ht="15.75" customHeight="1">
      <c r="R917" s="266">
        <v>0.635416666666667</v>
      </c>
    </row>
    <row r="918" ht="15.75" customHeight="1">
      <c r="R918" s="266">
        <v>0.636111111111111</v>
      </c>
    </row>
    <row r="919" ht="15.75" customHeight="1">
      <c r="R919" s="266">
        <v>0.636805555555556</v>
      </c>
    </row>
    <row r="920" ht="15.75" customHeight="1">
      <c r="R920" s="266">
        <v>0.6375</v>
      </c>
    </row>
    <row r="921" ht="15.75" customHeight="1">
      <c r="R921" s="266">
        <v>0.638194444444445</v>
      </c>
    </row>
    <row r="922" ht="15.75" customHeight="1">
      <c r="R922" s="266">
        <v>0.638888888888889</v>
      </c>
    </row>
    <row r="923" ht="15.75" customHeight="1">
      <c r="R923" s="266">
        <v>0.639583333333333</v>
      </c>
    </row>
    <row r="924" ht="15.75" customHeight="1">
      <c r="R924" s="266">
        <v>0.640277777777778</v>
      </c>
    </row>
    <row r="925" ht="15.75" customHeight="1">
      <c r="R925" s="266">
        <v>0.640972222222222</v>
      </c>
    </row>
    <row r="926" ht="15.75" customHeight="1">
      <c r="R926" s="266">
        <v>0.641666666666667</v>
      </c>
    </row>
    <row r="927" ht="15.75" customHeight="1">
      <c r="R927" s="266">
        <v>0.642361111111111</v>
      </c>
    </row>
    <row r="928" ht="15.75" customHeight="1">
      <c r="R928" s="266">
        <v>0.643055555555556</v>
      </c>
    </row>
    <row r="929" ht="15.75" customHeight="1">
      <c r="R929" s="266">
        <v>0.64375</v>
      </c>
    </row>
    <row r="930" ht="15.75" customHeight="1">
      <c r="R930" s="266">
        <v>0.644444444444444</v>
      </c>
    </row>
    <row r="931" ht="15.75" customHeight="1">
      <c r="R931" s="266">
        <v>0.645138888888889</v>
      </c>
    </row>
    <row r="932" ht="15.75" customHeight="1">
      <c r="R932" s="266">
        <v>0.645833333333333</v>
      </c>
    </row>
    <row r="933" ht="15.75" customHeight="1">
      <c r="R933" s="266">
        <v>0.646527777777778</v>
      </c>
    </row>
    <row r="934" ht="15.75" customHeight="1">
      <c r="R934" s="266">
        <v>0.647222222222222</v>
      </c>
    </row>
    <row r="935" ht="15.75" customHeight="1">
      <c r="R935" s="266">
        <v>0.647916666666667</v>
      </c>
    </row>
    <row r="936" ht="15.75" customHeight="1">
      <c r="R936" s="266">
        <v>0.648611111111111</v>
      </c>
    </row>
    <row r="937" ht="15.75" customHeight="1">
      <c r="R937" s="266">
        <v>0.649305555555556</v>
      </c>
    </row>
    <row r="938" ht="15.75" customHeight="1">
      <c r="R938" s="266">
        <v>0.65</v>
      </c>
    </row>
    <row r="939" ht="15.75" customHeight="1">
      <c r="R939" s="266">
        <v>0.650694444444444</v>
      </c>
    </row>
    <row r="940" ht="15.75" customHeight="1">
      <c r="R940" s="266">
        <v>0.651388888888889</v>
      </c>
    </row>
    <row r="941" ht="15.75" customHeight="1">
      <c r="R941" s="266">
        <v>0.652083333333333</v>
      </c>
    </row>
    <row r="942" ht="15.75" customHeight="1">
      <c r="R942" s="266">
        <v>0.652777777777778</v>
      </c>
    </row>
    <row r="943" ht="15.75" customHeight="1">
      <c r="R943" s="266">
        <v>0.653472222222222</v>
      </c>
    </row>
    <row r="944" ht="15.75" customHeight="1">
      <c r="R944" s="266">
        <v>0.654166666666667</v>
      </c>
    </row>
    <row r="945" ht="15.75" customHeight="1">
      <c r="R945" s="266">
        <v>0.654861111111111</v>
      </c>
    </row>
    <row r="946" ht="15.75" customHeight="1">
      <c r="R946" s="266">
        <v>0.655555555555556</v>
      </c>
    </row>
    <row r="947" ht="15.75" customHeight="1">
      <c r="R947" s="266">
        <v>0.65625</v>
      </c>
    </row>
    <row r="948" ht="15.75" customHeight="1">
      <c r="R948" s="266">
        <v>0.656944444444444</v>
      </c>
    </row>
    <row r="949" ht="15.75" customHeight="1">
      <c r="R949" s="266">
        <v>0.657638888888889</v>
      </c>
    </row>
    <row r="950" ht="15.75" customHeight="1">
      <c r="R950" s="266">
        <v>0.658333333333333</v>
      </c>
    </row>
    <row r="951" ht="15.75" customHeight="1">
      <c r="R951" s="266">
        <v>0.659027777777778</v>
      </c>
    </row>
    <row r="952" ht="15.75" customHeight="1">
      <c r="R952" s="266">
        <v>0.659722222222222</v>
      </c>
    </row>
    <row r="953" ht="15.75" customHeight="1">
      <c r="R953" s="266">
        <v>0.660416666666667</v>
      </c>
    </row>
    <row r="954" ht="15.75" customHeight="1">
      <c r="R954" s="266">
        <v>0.661111111111111</v>
      </c>
    </row>
    <row r="955" ht="15.75" customHeight="1">
      <c r="R955" s="266">
        <v>0.661805555555556</v>
      </c>
    </row>
    <row r="956" ht="15.75" customHeight="1">
      <c r="R956" s="266">
        <v>0.6625</v>
      </c>
    </row>
    <row r="957" ht="15.75" customHeight="1">
      <c r="R957" s="266">
        <v>0.663194444444444</v>
      </c>
    </row>
    <row r="958" ht="15.75" customHeight="1">
      <c r="R958" s="266">
        <v>0.663888888888889</v>
      </c>
    </row>
    <row r="959" ht="15.75" customHeight="1">
      <c r="R959" s="266">
        <v>0.664583333333333</v>
      </c>
    </row>
    <row r="960" ht="15.75" customHeight="1">
      <c r="R960" s="266">
        <v>0.665277777777778</v>
      </c>
    </row>
    <row r="961" ht="15.75" customHeight="1">
      <c r="R961" s="266">
        <v>0.665972222222222</v>
      </c>
    </row>
    <row r="962" ht="15.75" customHeight="1">
      <c r="R962" s="266">
        <v>0.666666666666667</v>
      </c>
    </row>
    <row r="963" ht="15.75" customHeight="1">
      <c r="R963" s="266">
        <v>0.667361111111111</v>
      </c>
    </row>
    <row r="964" ht="15.75" customHeight="1">
      <c r="R964" s="266">
        <v>0.668055555555556</v>
      </c>
    </row>
    <row r="965" ht="15.75" customHeight="1">
      <c r="R965" s="266">
        <v>0.66875</v>
      </c>
    </row>
    <row r="966" ht="15.75" customHeight="1">
      <c r="R966" s="266">
        <v>0.669444444444445</v>
      </c>
    </row>
    <row r="967" ht="15.75" customHeight="1">
      <c r="R967" s="266">
        <v>0.670138888888889</v>
      </c>
    </row>
    <row r="968" ht="15.75" customHeight="1">
      <c r="R968" s="266">
        <v>0.670833333333333</v>
      </c>
    </row>
    <row r="969" ht="15.75" customHeight="1">
      <c r="R969" s="266">
        <v>0.671527777777778</v>
      </c>
    </row>
    <row r="970" ht="15.75" customHeight="1">
      <c r="R970" s="266">
        <v>0.672222222222222</v>
      </c>
    </row>
    <row r="971" ht="15.75" customHeight="1">
      <c r="R971" s="266">
        <v>0.672916666666667</v>
      </c>
    </row>
    <row r="972" ht="15.75" customHeight="1">
      <c r="R972" s="266">
        <v>0.673611111111111</v>
      </c>
    </row>
    <row r="973" ht="15.75" customHeight="1">
      <c r="R973" s="266">
        <v>0.674305555555556</v>
      </c>
    </row>
    <row r="974" ht="15.75" customHeight="1">
      <c r="R974" s="266">
        <v>0.675</v>
      </c>
    </row>
    <row r="975" ht="15.75" customHeight="1">
      <c r="R975" s="266">
        <v>0.675694444444444</v>
      </c>
    </row>
    <row r="976" ht="15.75" customHeight="1">
      <c r="R976" s="266">
        <v>0.676388888888889</v>
      </c>
    </row>
    <row r="977" ht="15.75" customHeight="1">
      <c r="R977" s="266">
        <v>0.677083333333333</v>
      </c>
    </row>
    <row r="978" ht="15.75" customHeight="1">
      <c r="R978" s="266">
        <v>0.677777777777778</v>
      </c>
    </row>
    <row r="979" ht="15.75" customHeight="1">
      <c r="R979" s="266">
        <v>0.678472222222222</v>
      </c>
    </row>
    <row r="980" ht="15.75" customHeight="1">
      <c r="R980" s="266">
        <v>0.679166666666667</v>
      </c>
    </row>
    <row r="981" ht="15.75" customHeight="1">
      <c r="R981" s="266">
        <v>0.679861111111111</v>
      </c>
    </row>
    <row r="982" ht="15.75" customHeight="1">
      <c r="R982" s="266">
        <v>0.680555555555556</v>
      </c>
    </row>
    <row r="983" ht="15.75" customHeight="1">
      <c r="R983" s="266">
        <v>0.68125</v>
      </c>
    </row>
    <row r="984" ht="15.75" customHeight="1">
      <c r="R984" s="266">
        <v>0.681944444444444</v>
      </c>
    </row>
    <row r="985" ht="15.75" customHeight="1">
      <c r="R985" s="266">
        <v>0.682638888888889</v>
      </c>
    </row>
    <row r="986" ht="15.75" customHeight="1">
      <c r="R986" s="266">
        <v>0.683333333333333</v>
      </c>
    </row>
    <row r="987" ht="15.75" customHeight="1">
      <c r="R987" s="266">
        <v>0.684027777777778</v>
      </c>
    </row>
    <row r="988" ht="15.75" customHeight="1">
      <c r="R988" s="266">
        <v>0.684722222222222</v>
      </c>
    </row>
    <row r="989" ht="15.75" customHeight="1">
      <c r="R989" s="266">
        <v>0.685416666666667</v>
      </c>
    </row>
    <row r="990" ht="15.75" customHeight="1">
      <c r="R990" s="266">
        <v>0.686111111111111</v>
      </c>
    </row>
    <row r="991" ht="15.75" customHeight="1">
      <c r="R991" s="266">
        <v>0.686805555555556</v>
      </c>
    </row>
    <row r="992" ht="15.75" customHeight="1">
      <c r="R992" s="266">
        <v>0.6875</v>
      </c>
    </row>
    <row r="993" ht="15.75" customHeight="1">
      <c r="R993" s="266">
        <v>0.688194444444444</v>
      </c>
    </row>
    <row r="994" ht="15.75" customHeight="1">
      <c r="R994" s="266">
        <v>0.688888888888889</v>
      </c>
    </row>
    <row r="995" ht="15.75" customHeight="1">
      <c r="R995" s="266">
        <v>0.689583333333333</v>
      </c>
    </row>
    <row r="996" ht="15.75" customHeight="1">
      <c r="R996" s="266">
        <v>0.690277777777778</v>
      </c>
    </row>
    <row r="997" ht="15.75" customHeight="1">
      <c r="R997" s="266">
        <v>0.690972222222222</v>
      </c>
    </row>
    <row r="998" ht="15.75" customHeight="1">
      <c r="R998" s="266">
        <v>0.691666666666667</v>
      </c>
    </row>
    <row r="999" ht="15.75" customHeight="1">
      <c r="R999" s="266">
        <v>0.692361111111111</v>
      </c>
    </row>
    <row r="1000" ht="15.75" customHeight="1">
      <c r="R1000" s="266">
        <v>0.693055555555556</v>
      </c>
    </row>
    <row r="1001" ht="15.75" customHeight="1">
      <c r="R1001" s="266">
        <v>0.69375</v>
      </c>
    </row>
    <row r="1002" ht="15.75" customHeight="1">
      <c r="R1002" s="266">
        <v>0.694444444444444</v>
      </c>
    </row>
    <row r="1003" ht="15.75" customHeight="1">
      <c r="R1003" s="266">
        <v>0.695138888888889</v>
      </c>
    </row>
    <row r="1004" ht="15.75" customHeight="1">
      <c r="R1004" s="266">
        <v>0.695833333333333</v>
      </c>
    </row>
    <row r="1005" ht="15.75" customHeight="1">
      <c r="R1005" s="266">
        <v>0.696527777777778</v>
      </c>
    </row>
    <row r="1006" ht="15.75" customHeight="1">
      <c r="R1006" s="266">
        <v>0.697222222222222</v>
      </c>
    </row>
    <row r="1007" ht="15.75" customHeight="1">
      <c r="R1007" s="266">
        <v>0.697916666666667</v>
      </c>
    </row>
    <row r="1008" ht="15.75" customHeight="1">
      <c r="R1008" s="266">
        <v>0.698611111111111</v>
      </c>
    </row>
    <row r="1009" ht="15.75" customHeight="1">
      <c r="R1009" s="266">
        <v>0.699305555555556</v>
      </c>
    </row>
    <row r="1010" ht="15.75" customHeight="1">
      <c r="R1010" s="266">
        <v>0.7</v>
      </c>
    </row>
    <row r="1011" ht="15.75" customHeight="1">
      <c r="R1011" s="266">
        <v>0.700694444444445</v>
      </c>
    </row>
    <row r="1012" ht="15.75" customHeight="1">
      <c r="R1012" s="266">
        <v>0.701388888888889</v>
      </c>
    </row>
    <row r="1013" ht="15.75" customHeight="1">
      <c r="R1013" s="266">
        <v>0.702083333333333</v>
      </c>
    </row>
    <row r="1014" ht="15.75" customHeight="1">
      <c r="R1014" s="266">
        <v>0.702777777777778</v>
      </c>
    </row>
    <row r="1015" ht="15.75" customHeight="1">
      <c r="R1015" s="266">
        <v>0.703472222222222</v>
      </c>
    </row>
    <row r="1016" ht="15.75" customHeight="1">
      <c r="R1016" s="266">
        <v>0.704166666666667</v>
      </c>
    </row>
    <row r="1017" ht="15.75" customHeight="1">
      <c r="R1017" s="266">
        <v>0.704861111111111</v>
      </c>
    </row>
    <row r="1018" ht="15.75" customHeight="1">
      <c r="R1018" s="266">
        <v>0.705555555555556</v>
      </c>
    </row>
    <row r="1019" ht="15.75" customHeight="1">
      <c r="R1019" s="266">
        <v>0.70625</v>
      </c>
    </row>
    <row r="1020" ht="15.75" customHeight="1">
      <c r="R1020" s="266">
        <v>0.706944444444444</v>
      </c>
    </row>
    <row r="1021" ht="15.75" customHeight="1">
      <c r="R1021" s="266">
        <v>0.707638888888889</v>
      </c>
    </row>
    <row r="1022" ht="15.75" customHeight="1">
      <c r="R1022" s="266">
        <v>0.708333333333333</v>
      </c>
    </row>
    <row r="1023" ht="15.75" customHeight="1">
      <c r="R1023" s="266">
        <v>0.709027777777778</v>
      </c>
    </row>
    <row r="1024" ht="15.75" customHeight="1">
      <c r="R1024" s="266">
        <v>0.709722222222222</v>
      </c>
    </row>
    <row r="1025" ht="15.75" customHeight="1">
      <c r="R1025" s="266">
        <v>0.710416666666667</v>
      </c>
    </row>
    <row r="1026" ht="15.75" customHeight="1">
      <c r="R1026" s="266">
        <v>0.711111111111111</v>
      </c>
    </row>
    <row r="1027" ht="15.75" customHeight="1">
      <c r="R1027" s="266">
        <v>0.711805555555556</v>
      </c>
    </row>
    <row r="1028" ht="15.75" customHeight="1">
      <c r="R1028" s="266">
        <v>0.7125</v>
      </c>
    </row>
    <row r="1029" ht="15.75" customHeight="1">
      <c r="R1029" s="266">
        <v>0.713194444444444</v>
      </c>
    </row>
    <row r="1030" ht="15.75" customHeight="1">
      <c r="R1030" s="266">
        <v>0.713888888888889</v>
      </c>
    </row>
    <row r="1031" ht="15.75" customHeight="1">
      <c r="R1031" s="266">
        <v>0.714583333333333</v>
      </c>
    </row>
    <row r="1032" ht="15.75" customHeight="1">
      <c r="R1032" s="266">
        <v>0.715277777777778</v>
      </c>
    </row>
    <row r="1033" ht="15.75" customHeight="1">
      <c r="R1033" s="266">
        <v>0.715972222222222</v>
      </c>
    </row>
    <row r="1034" ht="15.75" customHeight="1">
      <c r="R1034" s="266">
        <v>0.716666666666667</v>
      </c>
    </row>
    <row r="1035" ht="15.75" customHeight="1">
      <c r="R1035" s="266">
        <v>0.717361111111111</v>
      </c>
    </row>
    <row r="1036" ht="15.75" customHeight="1">
      <c r="R1036" s="266">
        <v>0.718055555555556</v>
      </c>
    </row>
    <row r="1037" ht="15.75" customHeight="1">
      <c r="R1037" s="266">
        <v>0.71875</v>
      </c>
    </row>
    <row r="1038" ht="15.75" customHeight="1">
      <c r="R1038" s="266">
        <v>0.719444444444444</v>
      </c>
    </row>
    <row r="1039" ht="15.75" customHeight="1">
      <c r="R1039" s="266">
        <v>0.720138888888889</v>
      </c>
    </row>
    <row r="1040" ht="15.75" customHeight="1">
      <c r="R1040" s="266">
        <v>0.720833333333333</v>
      </c>
    </row>
    <row r="1041" ht="15.75" customHeight="1">
      <c r="R1041" s="266">
        <v>0.721527777777778</v>
      </c>
    </row>
    <row r="1042" ht="15.75" customHeight="1">
      <c r="R1042" s="266">
        <v>0.722222222222222</v>
      </c>
    </row>
    <row r="1043" ht="15.75" customHeight="1">
      <c r="R1043" s="266">
        <v>0.722916666666667</v>
      </c>
    </row>
    <row r="1044" ht="15.75" customHeight="1">
      <c r="R1044" s="266">
        <v>0.723611111111111</v>
      </c>
    </row>
    <row r="1045" ht="15.75" customHeight="1">
      <c r="R1045" s="266">
        <v>0.724305555555556</v>
      </c>
    </row>
    <row r="1046" ht="15.75" customHeight="1">
      <c r="R1046" s="266">
        <v>0.725</v>
      </c>
    </row>
    <row r="1047" ht="15.75" customHeight="1">
      <c r="R1047" s="266">
        <v>0.725694444444444</v>
      </c>
    </row>
    <row r="1048" ht="15.75" customHeight="1">
      <c r="R1048" s="266">
        <v>0.726388888888889</v>
      </c>
    </row>
    <row r="1049" ht="15.75" customHeight="1">
      <c r="R1049" s="266">
        <v>0.727083333333333</v>
      </c>
    </row>
    <row r="1050" ht="15.75" customHeight="1">
      <c r="R1050" s="266">
        <v>0.727777777777778</v>
      </c>
    </row>
    <row r="1051" ht="15.75" customHeight="1">
      <c r="R1051" s="266">
        <v>0.728472222222222</v>
      </c>
    </row>
    <row r="1052" ht="15.75" customHeight="1">
      <c r="R1052" s="266">
        <v>0.729166666666667</v>
      </c>
    </row>
    <row r="1053" ht="15.75" customHeight="1">
      <c r="R1053" s="266">
        <v>0.729861111111111</v>
      </c>
    </row>
    <row r="1054" ht="15.75" customHeight="1">
      <c r="R1054" s="266">
        <v>0.730555555555556</v>
      </c>
    </row>
    <row r="1055" ht="15.75" customHeight="1">
      <c r="R1055" s="266">
        <v>0.73125</v>
      </c>
    </row>
    <row r="1056" ht="15.75" customHeight="1">
      <c r="R1056" s="266">
        <v>0.731944444444445</v>
      </c>
    </row>
    <row r="1057" ht="15.75" customHeight="1">
      <c r="R1057" s="266">
        <v>0.732638888888889</v>
      </c>
    </row>
    <row r="1058" ht="15.75" customHeight="1">
      <c r="R1058" s="266">
        <v>0.733333333333333</v>
      </c>
    </row>
    <row r="1059" ht="15.75" customHeight="1">
      <c r="R1059" s="266">
        <v>0.734027777777778</v>
      </c>
    </row>
    <row r="1060" ht="15.75" customHeight="1">
      <c r="R1060" s="266">
        <v>0.734722222222222</v>
      </c>
    </row>
    <row r="1061" ht="15.75" customHeight="1">
      <c r="R1061" s="266">
        <v>0.735416666666667</v>
      </c>
    </row>
    <row r="1062" ht="15.75" customHeight="1">
      <c r="R1062" s="266">
        <v>0.736111111111111</v>
      </c>
    </row>
    <row r="1063" ht="15.75" customHeight="1">
      <c r="R1063" s="266">
        <v>0.736805555555556</v>
      </c>
    </row>
    <row r="1064" ht="15.75" customHeight="1">
      <c r="R1064" s="266">
        <v>0.7375</v>
      </c>
    </row>
    <row r="1065" ht="15.75" customHeight="1">
      <c r="R1065" s="266">
        <v>0.738194444444444</v>
      </c>
    </row>
    <row r="1066" ht="15.75" customHeight="1">
      <c r="R1066" s="266">
        <v>0.738888888888889</v>
      </c>
    </row>
    <row r="1067" ht="15.75" customHeight="1">
      <c r="R1067" s="266">
        <v>0.739583333333333</v>
      </c>
    </row>
    <row r="1068" ht="15.75" customHeight="1">
      <c r="R1068" s="266">
        <v>0.740277777777778</v>
      </c>
    </row>
    <row r="1069" ht="15.75" customHeight="1">
      <c r="R1069" s="266">
        <v>0.740972222222222</v>
      </c>
    </row>
    <row r="1070" ht="15.75" customHeight="1">
      <c r="R1070" s="266">
        <v>0.741666666666667</v>
      </c>
    </row>
    <row r="1071" ht="15.75" customHeight="1">
      <c r="R1071" s="266">
        <v>0.742361111111111</v>
      </c>
    </row>
    <row r="1072" ht="15.75" customHeight="1">
      <c r="R1072" s="266">
        <v>0.743055555555556</v>
      </c>
    </row>
    <row r="1073" ht="15.75" customHeight="1">
      <c r="R1073" s="266">
        <v>0.74375</v>
      </c>
    </row>
    <row r="1074" ht="15.75" customHeight="1">
      <c r="R1074" s="266">
        <v>0.744444444444444</v>
      </c>
    </row>
    <row r="1075" ht="15.75" customHeight="1">
      <c r="R1075" s="266">
        <v>0.745138888888889</v>
      </c>
    </row>
    <row r="1076" ht="15.75" customHeight="1">
      <c r="R1076" s="266">
        <v>0.745833333333333</v>
      </c>
    </row>
    <row r="1077" ht="15.75" customHeight="1">
      <c r="R1077" s="266">
        <v>0.746527777777778</v>
      </c>
    </row>
    <row r="1078" ht="15.75" customHeight="1">
      <c r="R1078" s="266">
        <v>0.747222222222222</v>
      </c>
    </row>
    <row r="1079" ht="15.75" customHeight="1">
      <c r="R1079" s="266">
        <v>0.747916666666667</v>
      </c>
    </row>
    <row r="1080" ht="15.75" customHeight="1">
      <c r="R1080" s="266">
        <v>0.748611111111111</v>
      </c>
    </row>
    <row r="1081" ht="15.75" customHeight="1">
      <c r="R1081" s="266">
        <v>0.749305555555556</v>
      </c>
    </row>
    <row r="1082" ht="15.75" customHeight="1">
      <c r="R1082" s="266">
        <v>0.75</v>
      </c>
    </row>
    <row r="1083" ht="15.75" customHeight="1">
      <c r="R1083" s="266">
        <v>0.750694444444444</v>
      </c>
    </row>
    <row r="1084" ht="15.75" customHeight="1">
      <c r="R1084" s="266">
        <v>0.751388888888889</v>
      </c>
    </row>
    <row r="1085" ht="15.75" customHeight="1">
      <c r="R1085" s="266">
        <v>0.752083333333333</v>
      </c>
    </row>
    <row r="1086" ht="15.75" customHeight="1">
      <c r="R1086" s="266">
        <v>0.752777777777778</v>
      </c>
    </row>
    <row r="1087" ht="15.75" customHeight="1">
      <c r="R1087" s="266">
        <v>0.753472222222222</v>
      </c>
    </row>
    <row r="1088" ht="15.75" customHeight="1">
      <c r="R1088" s="266">
        <v>0.754166666666667</v>
      </c>
    </row>
    <row r="1089" ht="15.75" customHeight="1">
      <c r="R1089" s="266">
        <v>0.754861111111111</v>
      </c>
    </row>
    <row r="1090" ht="15.75" customHeight="1">
      <c r="R1090" s="266">
        <v>0.755555555555556</v>
      </c>
    </row>
    <row r="1091" ht="15.75" customHeight="1">
      <c r="R1091" s="266">
        <v>0.75625</v>
      </c>
    </row>
    <row r="1092" ht="15.75" customHeight="1">
      <c r="R1092" s="266">
        <v>0.756944444444444</v>
      </c>
    </row>
    <row r="1093" ht="15.75" customHeight="1">
      <c r="R1093" s="266">
        <v>0.757638888888889</v>
      </c>
    </row>
    <row r="1094" ht="15.75" customHeight="1">
      <c r="R1094" s="266">
        <v>0.758333333333333</v>
      </c>
    </row>
    <row r="1095" ht="15.75" customHeight="1">
      <c r="R1095" s="266">
        <v>0.759027777777778</v>
      </c>
    </row>
    <row r="1096" ht="15.75" customHeight="1">
      <c r="R1096" s="266">
        <v>0.759722222222222</v>
      </c>
    </row>
    <row r="1097" ht="15.75" customHeight="1">
      <c r="R1097" s="266">
        <v>0.760416666666667</v>
      </c>
    </row>
    <row r="1098" ht="15.75" customHeight="1">
      <c r="R1098" s="266">
        <v>0.761111111111111</v>
      </c>
    </row>
    <row r="1099" ht="15.75" customHeight="1">
      <c r="R1099" s="266">
        <v>0.761805555555556</v>
      </c>
    </row>
    <row r="1100" ht="15.75" customHeight="1">
      <c r="R1100" s="266">
        <v>0.7625</v>
      </c>
    </row>
    <row r="1101" ht="15.75" customHeight="1">
      <c r="R1101" s="266">
        <v>0.763194444444445</v>
      </c>
    </row>
    <row r="1102" ht="15.75" customHeight="1">
      <c r="R1102" s="266">
        <v>0.763888888888889</v>
      </c>
    </row>
    <row r="1103" ht="15.75" customHeight="1">
      <c r="R1103" s="266">
        <v>0.764583333333333</v>
      </c>
    </row>
    <row r="1104" ht="15.75" customHeight="1">
      <c r="R1104" s="266">
        <v>0.765277777777778</v>
      </c>
    </row>
    <row r="1105" ht="15.75" customHeight="1">
      <c r="R1105" s="266">
        <v>0.765972222222222</v>
      </c>
    </row>
    <row r="1106" ht="15.75" customHeight="1">
      <c r="R1106" s="266">
        <v>0.766666666666667</v>
      </c>
    </row>
    <row r="1107" ht="15.75" customHeight="1">
      <c r="R1107" s="266">
        <v>0.767361111111111</v>
      </c>
    </row>
    <row r="1108" ht="15.75" customHeight="1">
      <c r="R1108" s="266">
        <v>0.768055555555556</v>
      </c>
    </row>
    <row r="1109" ht="15.75" customHeight="1">
      <c r="R1109" s="266">
        <v>0.76875</v>
      </c>
    </row>
    <row r="1110" ht="15.75" customHeight="1">
      <c r="R1110" s="266">
        <v>0.769444444444444</v>
      </c>
    </row>
    <row r="1111" ht="15.75" customHeight="1">
      <c r="R1111" s="266">
        <v>0.770138888888889</v>
      </c>
    </row>
    <row r="1112" ht="15.75" customHeight="1">
      <c r="R1112" s="266">
        <v>0.770833333333333</v>
      </c>
    </row>
    <row r="1113" ht="15.75" customHeight="1">
      <c r="R1113" s="266">
        <v>0.771527777777778</v>
      </c>
    </row>
    <row r="1114" ht="15.75" customHeight="1">
      <c r="R1114" s="266">
        <v>0.772222222222222</v>
      </c>
    </row>
    <row r="1115" ht="15.75" customHeight="1">
      <c r="R1115" s="266">
        <v>0.772916666666667</v>
      </c>
    </row>
    <row r="1116" ht="15.75" customHeight="1">
      <c r="R1116" s="266">
        <v>0.773611111111111</v>
      </c>
    </row>
    <row r="1117" ht="15.75" customHeight="1">
      <c r="R1117" s="266">
        <v>0.774305555555556</v>
      </c>
    </row>
    <row r="1118" ht="15.75" customHeight="1">
      <c r="R1118" s="266">
        <v>0.775</v>
      </c>
    </row>
    <row r="1119" ht="15.75" customHeight="1">
      <c r="R1119" s="266">
        <v>0.775694444444444</v>
      </c>
    </row>
    <row r="1120" ht="15.75" customHeight="1">
      <c r="R1120" s="266">
        <v>0.776388888888889</v>
      </c>
    </row>
    <row r="1121" ht="15.75" customHeight="1">
      <c r="R1121" s="266">
        <v>0.777083333333333</v>
      </c>
    </row>
    <row r="1122" ht="15.75" customHeight="1">
      <c r="R1122" s="266">
        <v>0.777777777777778</v>
      </c>
    </row>
    <row r="1123" ht="15.75" customHeight="1">
      <c r="R1123" s="266">
        <v>0.778472222222222</v>
      </c>
    </row>
    <row r="1124" ht="15.75" customHeight="1">
      <c r="R1124" s="266">
        <v>0.779166666666667</v>
      </c>
    </row>
    <row r="1125" ht="15.75" customHeight="1">
      <c r="R1125" s="266">
        <v>0.779861111111111</v>
      </c>
    </row>
    <row r="1126" ht="15.75" customHeight="1">
      <c r="R1126" s="266">
        <v>0.780555555555556</v>
      </c>
    </row>
    <row r="1127" ht="15.75" customHeight="1">
      <c r="R1127" s="266">
        <v>0.78125</v>
      </c>
    </row>
    <row r="1128" ht="15.75" customHeight="1">
      <c r="R1128" s="266">
        <v>0.781944444444444</v>
      </c>
    </row>
    <row r="1129" ht="15.75" customHeight="1">
      <c r="R1129" s="266">
        <v>0.782638888888889</v>
      </c>
    </row>
    <row r="1130" ht="15.75" customHeight="1">
      <c r="R1130" s="266">
        <v>0.783333333333333</v>
      </c>
    </row>
    <row r="1131" ht="15.75" customHeight="1">
      <c r="R1131" s="266">
        <v>0.784027777777778</v>
      </c>
    </row>
    <row r="1132" ht="15.75" customHeight="1">
      <c r="R1132" s="266">
        <v>0.784722222222222</v>
      </c>
    </row>
    <row r="1133" ht="15.75" customHeight="1">
      <c r="R1133" s="266">
        <v>0.785416666666667</v>
      </c>
    </row>
    <row r="1134" ht="15.75" customHeight="1">
      <c r="R1134" s="266">
        <v>0.786111111111111</v>
      </c>
    </row>
    <row r="1135" ht="15.75" customHeight="1">
      <c r="R1135" s="266">
        <v>0.786805555555556</v>
      </c>
    </row>
    <row r="1136" ht="15.75" customHeight="1">
      <c r="R1136" s="266">
        <v>0.7875</v>
      </c>
    </row>
    <row r="1137" ht="15.75" customHeight="1">
      <c r="R1137" s="266">
        <v>0.788194444444444</v>
      </c>
    </row>
    <row r="1138" ht="15.75" customHeight="1">
      <c r="R1138" s="266">
        <v>0.788888888888889</v>
      </c>
    </row>
    <row r="1139" ht="15.75" customHeight="1">
      <c r="R1139" s="266">
        <v>0.789583333333333</v>
      </c>
    </row>
    <row r="1140" ht="15.75" customHeight="1">
      <c r="R1140" s="266">
        <v>0.790277777777778</v>
      </c>
    </row>
    <row r="1141" ht="15.75" customHeight="1">
      <c r="R1141" s="266">
        <v>0.790972222222222</v>
      </c>
    </row>
    <row r="1142" ht="15.75" customHeight="1">
      <c r="R1142" s="266">
        <v>0.791666666666667</v>
      </c>
    </row>
    <row r="1143" ht="15.75" customHeight="1">
      <c r="R1143" s="266">
        <v>0.792361111111111</v>
      </c>
    </row>
    <row r="1144" ht="15.75" customHeight="1">
      <c r="R1144" s="266">
        <v>0.793055555555556</v>
      </c>
    </row>
    <row r="1145" ht="15.75" customHeight="1">
      <c r="R1145" s="266">
        <v>0.79375</v>
      </c>
    </row>
    <row r="1146" ht="15.75" customHeight="1">
      <c r="R1146" s="266">
        <v>0.794444444444445</v>
      </c>
    </row>
    <row r="1147" ht="15.75" customHeight="1">
      <c r="R1147" s="266">
        <v>0.795138888888889</v>
      </c>
    </row>
    <row r="1148" ht="15.75" customHeight="1">
      <c r="R1148" s="266">
        <v>0.795833333333333</v>
      </c>
    </row>
    <row r="1149" ht="15.75" customHeight="1">
      <c r="R1149" s="266">
        <v>0.796527777777778</v>
      </c>
    </row>
    <row r="1150" ht="15.75" customHeight="1">
      <c r="R1150" s="266">
        <v>0.797222222222222</v>
      </c>
    </row>
    <row r="1151" ht="15.75" customHeight="1">
      <c r="R1151" s="266">
        <v>0.797916666666667</v>
      </c>
    </row>
    <row r="1152" ht="15.75" customHeight="1">
      <c r="R1152" s="266">
        <v>0.798611111111111</v>
      </c>
    </row>
    <row r="1153" ht="15.75" customHeight="1">
      <c r="R1153" s="266">
        <v>0.799305555555556</v>
      </c>
    </row>
    <row r="1154" ht="15.75" customHeight="1">
      <c r="R1154" s="266">
        <v>0.8</v>
      </c>
    </row>
    <row r="1155" ht="15.75" customHeight="1">
      <c r="R1155" s="266">
        <v>0.800694444444444</v>
      </c>
    </row>
    <row r="1156" ht="15.75" customHeight="1">
      <c r="R1156" s="266">
        <v>0.801388888888889</v>
      </c>
    </row>
    <row r="1157" ht="15.75" customHeight="1">
      <c r="R1157" s="266">
        <v>0.802083333333333</v>
      </c>
    </row>
    <row r="1158" ht="15.75" customHeight="1">
      <c r="R1158" s="266">
        <v>0.802777777777778</v>
      </c>
    </row>
    <row r="1159" ht="15.75" customHeight="1">
      <c r="R1159" s="266">
        <v>0.803472222222222</v>
      </c>
    </row>
    <row r="1160" ht="15.75" customHeight="1">
      <c r="R1160" s="266">
        <v>0.804166666666667</v>
      </c>
    </row>
    <row r="1161" ht="15.75" customHeight="1">
      <c r="R1161" s="266">
        <v>0.804861111111111</v>
      </c>
    </row>
    <row r="1162" ht="15.75" customHeight="1">
      <c r="R1162" s="266">
        <v>0.805555555555556</v>
      </c>
    </row>
    <row r="1163" ht="15.75" customHeight="1">
      <c r="R1163" s="266">
        <v>0.80625</v>
      </c>
    </row>
    <row r="1164" ht="15.75" customHeight="1">
      <c r="R1164" s="266">
        <v>0.806944444444444</v>
      </c>
    </row>
    <row r="1165" ht="15.75" customHeight="1">
      <c r="R1165" s="266">
        <v>0.807638888888889</v>
      </c>
    </row>
    <row r="1166" ht="15.75" customHeight="1">
      <c r="R1166" s="266">
        <v>0.808333333333333</v>
      </c>
    </row>
    <row r="1167" ht="15.75" customHeight="1">
      <c r="R1167" s="266">
        <v>0.809027777777778</v>
      </c>
    </row>
    <row r="1168" ht="15.75" customHeight="1">
      <c r="R1168" s="266">
        <v>0.809722222222222</v>
      </c>
    </row>
    <row r="1169" ht="15.75" customHeight="1">
      <c r="R1169" s="266">
        <v>0.810416666666667</v>
      </c>
    </row>
    <row r="1170" ht="15.75" customHeight="1">
      <c r="R1170" s="266">
        <v>0.811111111111111</v>
      </c>
    </row>
    <row r="1171" ht="15.75" customHeight="1">
      <c r="R1171" s="266">
        <v>0.811805555555556</v>
      </c>
    </row>
    <row r="1172" ht="15.75" customHeight="1">
      <c r="R1172" s="266">
        <v>0.8125</v>
      </c>
    </row>
    <row r="1173" ht="15.75" customHeight="1">
      <c r="R1173" s="266">
        <v>0.813194444444444</v>
      </c>
    </row>
    <row r="1174" ht="15.75" customHeight="1">
      <c r="R1174" s="266">
        <v>0.813888888888889</v>
      </c>
    </row>
    <row r="1175" ht="15.75" customHeight="1">
      <c r="R1175" s="266">
        <v>0.814583333333333</v>
      </c>
    </row>
    <row r="1176" ht="15.75" customHeight="1">
      <c r="R1176" s="266">
        <v>0.815277777777778</v>
      </c>
    </row>
    <row r="1177" ht="15.75" customHeight="1">
      <c r="R1177" s="266">
        <v>0.815972222222222</v>
      </c>
    </row>
    <row r="1178" ht="15.75" customHeight="1">
      <c r="R1178" s="266">
        <v>0.816666666666667</v>
      </c>
    </row>
    <row r="1179" ht="15.75" customHeight="1">
      <c r="R1179" s="266">
        <v>0.817361111111111</v>
      </c>
    </row>
    <row r="1180" ht="15.75" customHeight="1">
      <c r="R1180" s="266">
        <v>0.818055555555556</v>
      </c>
    </row>
    <row r="1181" ht="15.75" customHeight="1">
      <c r="R1181" s="266">
        <v>0.81875</v>
      </c>
    </row>
    <row r="1182" ht="15.75" customHeight="1">
      <c r="R1182" s="266">
        <v>0.819444444444445</v>
      </c>
    </row>
    <row r="1183" ht="15.75" customHeight="1">
      <c r="R1183" s="266">
        <v>0.820138888888889</v>
      </c>
    </row>
    <row r="1184" ht="15.75" customHeight="1">
      <c r="R1184" s="266">
        <v>0.820833333333333</v>
      </c>
    </row>
    <row r="1185" ht="15.75" customHeight="1">
      <c r="R1185" s="266">
        <v>0.821527777777778</v>
      </c>
    </row>
    <row r="1186" ht="15.75" customHeight="1">
      <c r="R1186" s="266">
        <v>0.822222222222222</v>
      </c>
    </row>
    <row r="1187" ht="15.75" customHeight="1">
      <c r="R1187" s="266">
        <v>0.822916666666667</v>
      </c>
    </row>
    <row r="1188" ht="15.75" customHeight="1">
      <c r="R1188" s="266">
        <v>0.823611111111111</v>
      </c>
    </row>
    <row r="1189" ht="15.75" customHeight="1">
      <c r="R1189" s="266">
        <v>0.824305555555556</v>
      </c>
    </row>
    <row r="1190" ht="15.75" customHeight="1">
      <c r="R1190" s="266">
        <v>0.825</v>
      </c>
    </row>
    <row r="1191" ht="15.75" customHeight="1">
      <c r="R1191" s="266">
        <v>0.825694444444445</v>
      </c>
    </row>
    <row r="1192" ht="15.75" customHeight="1">
      <c r="R1192" s="266">
        <v>0.826388888888889</v>
      </c>
    </row>
    <row r="1193" ht="15.75" customHeight="1">
      <c r="R1193" s="266">
        <v>0.827083333333333</v>
      </c>
    </row>
    <row r="1194" ht="15.75" customHeight="1">
      <c r="R1194" s="266">
        <v>0.827777777777778</v>
      </c>
    </row>
    <row r="1195" ht="15.75" customHeight="1">
      <c r="R1195" s="266">
        <v>0.828472222222222</v>
      </c>
    </row>
    <row r="1196" ht="15.75" customHeight="1">
      <c r="R1196" s="266">
        <v>0.829166666666667</v>
      </c>
    </row>
    <row r="1197" ht="15.75" customHeight="1">
      <c r="R1197" s="266">
        <v>0.829861111111111</v>
      </c>
    </row>
    <row r="1198" ht="15.75" customHeight="1">
      <c r="R1198" s="266">
        <v>0.830555555555556</v>
      </c>
    </row>
    <row r="1199" ht="15.75" customHeight="1">
      <c r="R1199" s="266">
        <v>0.83125</v>
      </c>
    </row>
    <row r="1200" ht="15.75" customHeight="1">
      <c r="R1200" s="266">
        <v>0.831944444444444</v>
      </c>
    </row>
    <row r="1201" ht="15.75" customHeight="1">
      <c r="R1201" s="266">
        <v>0.832638888888889</v>
      </c>
    </row>
    <row r="1202" ht="15.75" customHeight="1">
      <c r="R1202" s="266">
        <v>0.833333333333333</v>
      </c>
    </row>
    <row r="1203" ht="15.75" customHeight="1">
      <c r="R1203" s="266">
        <v>0.834027777777778</v>
      </c>
    </row>
    <row r="1204" ht="15.75" customHeight="1">
      <c r="R1204" s="266">
        <v>0.834722222222222</v>
      </c>
    </row>
    <row r="1205" ht="15.75" customHeight="1">
      <c r="R1205" s="266">
        <v>0.835416666666667</v>
      </c>
    </row>
    <row r="1206" ht="15.75" customHeight="1">
      <c r="R1206" s="266">
        <v>0.836111111111111</v>
      </c>
    </row>
    <row r="1207" ht="15.75" customHeight="1">
      <c r="R1207" s="266">
        <v>0.836805555555556</v>
      </c>
    </row>
    <row r="1208" ht="15.75" customHeight="1">
      <c r="R1208" s="266">
        <v>0.8375</v>
      </c>
    </row>
    <row r="1209" ht="15.75" customHeight="1">
      <c r="R1209" s="266">
        <v>0.838194444444444</v>
      </c>
    </row>
    <row r="1210" ht="15.75" customHeight="1">
      <c r="R1210" s="266">
        <v>0.838888888888889</v>
      </c>
    </row>
    <row r="1211" ht="15.75" customHeight="1">
      <c r="R1211" s="266">
        <v>0.839583333333333</v>
      </c>
    </row>
    <row r="1212" ht="15.75" customHeight="1">
      <c r="R1212" s="266">
        <v>0.840277777777778</v>
      </c>
    </row>
    <row r="1213" ht="15.75" customHeight="1">
      <c r="R1213" s="266">
        <v>0.840972222222222</v>
      </c>
    </row>
    <row r="1214" ht="15.75" customHeight="1">
      <c r="R1214" s="266">
        <v>0.841666666666667</v>
      </c>
    </row>
    <row r="1215" ht="15.75" customHeight="1">
      <c r="R1215" s="266">
        <v>0.842361111111111</v>
      </c>
    </row>
    <row r="1216" ht="15.75" customHeight="1">
      <c r="R1216" s="266">
        <v>0.843055555555556</v>
      </c>
    </row>
    <row r="1217" ht="15.75" customHeight="1">
      <c r="R1217" s="266">
        <v>0.84375</v>
      </c>
    </row>
    <row r="1218" ht="15.75" customHeight="1">
      <c r="R1218" s="266">
        <v>0.844444444444444</v>
      </c>
    </row>
    <row r="1219" ht="15.75" customHeight="1">
      <c r="R1219" s="266">
        <v>0.845138888888889</v>
      </c>
    </row>
    <row r="1220" ht="15.75" customHeight="1">
      <c r="R1220" s="266">
        <v>0.845833333333333</v>
      </c>
    </row>
    <row r="1221" ht="15.75" customHeight="1">
      <c r="R1221" s="266">
        <v>0.846527777777778</v>
      </c>
    </row>
    <row r="1222" ht="15.75" customHeight="1">
      <c r="R1222" s="266">
        <v>0.847222222222222</v>
      </c>
    </row>
    <row r="1223" ht="15.75" customHeight="1">
      <c r="R1223" s="266">
        <v>0.847916666666667</v>
      </c>
    </row>
    <row r="1224" ht="15.75" customHeight="1">
      <c r="R1224" s="266">
        <v>0.848611111111111</v>
      </c>
    </row>
    <row r="1225" ht="15.75" customHeight="1">
      <c r="R1225" s="266">
        <v>0.849305555555556</v>
      </c>
    </row>
    <row r="1226" ht="15.75" customHeight="1">
      <c r="R1226" s="266">
        <v>0.85</v>
      </c>
    </row>
    <row r="1227" ht="15.75" customHeight="1">
      <c r="R1227" s="266">
        <v>0.850694444444445</v>
      </c>
    </row>
    <row r="1228" ht="15.75" customHeight="1">
      <c r="R1228" s="266">
        <v>0.851388888888889</v>
      </c>
    </row>
    <row r="1229" ht="15.75" customHeight="1">
      <c r="R1229" s="266">
        <v>0.852083333333333</v>
      </c>
    </row>
    <row r="1230" ht="15.75" customHeight="1">
      <c r="R1230" s="266">
        <v>0.852777777777778</v>
      </c>
    </row>
    <row r="1231" ht="15.75" customHeight="1">
      <c r="R1231" s="266">
        <v>0.853472222222222</v>
      </c>
    </row>
    <row r="1232" ht="15.75" customHeight="1">
      <c r="R1232" s="266">
        <v>0.854166666666667</v>
      </c>
    </row>
    <row r="1233" ht="15.75" customHeight="1">
      <c r="R1233" s="266">
        <v>0.854861111111111</v>
      </c>
    </row>
    <row r="1234" ht="15.75" customHeight="1">
      <c r="R1234" s="266">
        <v>0.855555555555556</v>
      </c>
    </row>
    <row r="1235" ht="15.75" customHeight="1">
      <c r="R1235" s="266">
        <v>0.85625</v>
      </c>
    </row>
    <row r="1236" ht="15.75" customHeight="1">
      <c r="R1236" s="266">
        <v>0.856944444444445</v>
      </c>
    </row>
    <row r="1237" ht="15.75" customHeight="1">
      <c r="R1237" s="266">
        <v>0.857638888888889</v>
      </c>
    </row>
    <row r="1238" ht="15.75" customHeight="1">
      <c r="R1238" s="266">
        <v>0.858333333333333</v>
      </c>
    </row>
    <row r="1239" ht="15.75" customHeight="1">
      <c r="R1239" s="266">
        <v>0.859027777777778</v>
      </c>
    </row>
    <row r="1240" ht="15.75" customHeight="1">
      <c r="R1240" s="266">
        <v>0.859722222222222</v>
      </c>
    </row>
    <row r="1241" ht="15.75" customHeight="1">
      <c r="R1241" s="266">
        <v>0.860416666666667</v>
      </c>
    </row>
    <row r="1242" ht="15.75" customHeight="1">
      <c r="R1242" s="266">
        <v>0.861111111111111</v>
      </c>
    </row>
    <row r="1243" ht="15.75" customHeight="1">
      <c r="R1243" s="266">
        <v>0.861805555555556</v>
      </c>
    </row>
    <row r="1244" ht="15.75" customHeight="1">
      <c r="R1244" s="266">
        <v>0.8625</v>
      </c>
    </row>
    <row r="1245" ht="15.75" customHeight="1">
      <c r="R1245" s="266">
        <v>0.863194444444444</v>
      </c>
    </row>
    <row r="1246" ht="15.75" customHeight="1">
      <c r="R1246" s="266">
        <v>0.863888888888889</v>
      </c>
    </row>
    <row r="1247" ht="15.75" customHeight="1">
      <c r="R1247" s="266">
        <v>0.864583333333333</v>
      </c>
    </row>
    <row r="1248" ht="15.75" customHeight="1">
      <c r="R1248" s="266">
        <v>0.865277777777778</v>
      </c>
    </row>
    <row r="1249" ht="15.75" customHeight="1">
      <c r="R1249" s="266">
        <v>0.865972222222222</v>
      </c>
    </row>
    <row r="1250" ht="15.75" customHeight="1">
      <c r="R1250" s="266">
        <v>0.866666666666667</v>
      </c>
    </row>
    <row r="1251" ht="15.75" customHeight="1">
      <c r="R1251" s="266">
        <v>0.867361111111111</v>
      </c>
    </row>
    <row r="1252" ht="15.75" customHeight="1">
      <c r="R1252" s="266">
        <v>0.868055555555556</v>
      </c>
    </row>
    <row r="1253" ht="15.75" customHeight="1">
      <c r="R1253" s="266">
        <v>0.86875</v>
      </c>
    </row>
    <row r="1254" ht="15.75" customHeight="1">
      <c r="R1254" s="266">
        <v>0.869444444444444</v>
      </c>
    </row>
    <row r="1255" ht="15.75" customHeight="1">
      <c r="R1255" s="266">
        <v>0.870138888888889</v>
      </c>
    </row>
    <row r="1256" ht="15.75" customHeight="1">
      <c r="R1256" s="266">
        <v>0.870833333333333</v>
      </c>
    </row>
    <row r="1257" ht="15.75" customHeight="1">
      <c r="R1257" s="266">
        <v>0.871527777777778</v>
      </c>
    </row>
    <row r="1258" ht="15.75" customHeight="1">
      <c r="R1258" s="266">
        <v>0.872222222222222</v>
      </c>
    </row>
    <row r="1259" ht="15.75" customHeight="1">
      <c r="R1259" s="266">
        <v>0.872916666666667</v>
      </c>
    </row>
    <row r="1260" ht="15.75" customHeight="1">
      <c r="R1260" s="266">
        <v>0.873611111111111</v>
      </c>
    </row>
    <row r="1261" ht="15.75" customHeight="1">
      <c r="R1261" s="266">
        <v>0.874305555555556</v>
      </c>
    </row>
    <row r="1262" ht="15.75" customHeight="1">
      <c r="R1262" s="266">
        <v>0.875</v>
      </c>
    </row>
    <row r="1263" ht="15.75" customHeight="1">
      <c r="R1263" s="266">
        <v>0.875694444444444</v>
      </c>
    </row>
    <row r="1264" ht="15.75" customHeight="1">
      <c r="R1264" s="266">
        <v>0.876388888888889</v>
      </c>
    </row>
    <row r="1265" ht="15.75" customHeight="1">
      <c r="R1265" s="266">
        <v>0.877083333333333</v>
      </c>
    </row>
    <row r="1266" ht="15.75" customHeight="1">
      <c r="R1266" s="266">
        <v>0.877777777777778</v>
      </c>
    </row>
    <row r="1267" ht="15.75" customHeight="1">
      <c r="R1267" s="266">
        <v>0.878472222222222</v>
      </c>
    </row>
    <row r="1268" ht="15.75" customHeight="1">
      <c r="R1268" s="266">
        <v>0.879166666666667</v>
      </c>
    </row>
    <row r="1269" ht="15.75" customHeight="1">
      <c r="R1269" s="266">
        <v>0.879861111111111</v>
      </c>
    </row>
    <row r="1270" ht="15.75" customHeight="1">
      <c r="R1270" s="266">
        <v>0.880555555555556</v>
      </c>
    </row>
    <row r="1271" ht="15.75" customHeight="1">
      <c r="R1271" s="266">
        <v>0.88125</v>
      </c>
    </row>
    <row r="1272" ht="15.75" customHeight="1">
      <c r="R1272" s="266">
        <v>0.881944444444445</v>
      </c>
    </row>
    <row r="1273" ht="15.75" customHeight="1">
      <c r="R1273" s="266">
        <v>0.882638888888889</v>
      </c>
    </row>
    <row r="1274" ht="15.75" customHeight="1">
      <c r="R1274" s="266">
        <v>0.883333333333333</v>
      </c>
    </row>
    <row r="1275" ht="15.75" customHeight="1">
      <c r="R1275" s="266">
        <v>0.884027777777778</v>
      </c>
    </row>
    <row r="1276" ht="15.75" customHeight="1">
      <c r="R1276" s="266">
        <v>0.884722222222222</v>
      </c>
    </row>
    <row r="1277" ht="15.75" customHeight="1">
      <c r="R1277" s="266">
        <v>0.885416666666667</v>
      </c>
    </row>
    <row r="1278" ht="15.75" customHeight="1">
      <c r="R1278" s="266">
        <v>0.886111111111111</v>
      </c>
    </row>
    <row r="1279" ht="15.75" customHeight="1">
      <c r="R1279" s="266">
        <v>0.886805555555556</v>
      </c>
    </row>
    <row r="1280" ht="15.75" customHeight="1">
      <c r="R1280" s="266">
        <v>0.8875</v>
      </c>
    </row>
    <row r="1281" ht="15.75" customHeight="1">
      <c r="R1281" s="266">
        <v>0.888194444444445</v>
      </c>
    </row>
    <row r="1282" ht="15.75" customHeight="1">
      <c r="R1282" s="266">
        <v>0.888888888888889</v>
      </c>
    </row>
    <row r="1283" ht="15.75" customHeight="1">
      <c r="R1283" s="266">
        <v>0.889583333333333</v>
      </c>
    </row>
    <row r="1284" ht="15.75" customHeight="1">
      <c r="R1284" s="266">
        <v>0.890277777777778</v>
      </c>
    </row>
    <row r="1285" ht="15.75" customHeight="1">
      <c r="R1285" s="266">
        <v>0.890972222222222</v>
      </c>
    </row>
    <row r="1286" ht="15.75" customHeight="1">
      <c r="R1286" s="266">
        <v>0.891666666666667</v>
      </c>
    </row>
    <row r="1287" ht="15.75" customHeight="1">
      <c r="R1287" s="266">
        <v>0.892361111111111</v>
      </c>
    </row>
    <row r="1288" ht="15.75" customHeight="1">
      <c r="R1288" s="266">
        <v>0.893055555555556</v>
      </c>
    </row>
    <row r="1289" ht="15.75" customHeight="1">
      <c r="R1289" s="266">
        <v>0.89375</v>
      </c>
    </row>
    <row r="1290" ht="15.75" customHeight="1">
      <c r="R1290" s="266">
        <v>0.894444444444444</v>
      </c>
    </row>
    <row r="1291" ht="15.75" customHeight="1">
      <c r="R1291" s="266">
        <v>0.895138888888889</v>
      </c>
    </row>
    <row r="1292" ht="15.75" customHeight="1">
      <c r="R1292" s="266">
        <v>0.895833333333333</v>
      </c>
    </row>
    <row r="1293" ht="15.75" customHeight="1">
      <c r="R1293" s="266">
        <v>0.896527777777778</v>
      </c>
    </row>
    <row r="1294" ht="15.75" customHeight="1">
      <c r="R1294" s="266">
        <v>0.897222222222222</v>
      </c>
    </row>
    <row r="1295" ht="15.75" customHeight="1">
      <c r="R1295" s="266">
        <v>0.897916666666667</v>
      </c>
    </row>
    <row r="1296" ht="15.75" customHeight="1">
      <c r="R1296" s="266">
        <v>0.898611111111111</v>
      </c>
    </row>
    <row r="1297" ht="15.75" customHeight="1">
      <c r="R1297" s="266">
        <v>0.899305555555556</v>
      </c>
    </row>
    <row r="1298" ht="15.75" customHeight="1">
      <c r="R1298" s="266">
        <v>0.9</v>
      </c>
    </row>
    <row r="1299" ht="15.75" customHeight="1">
      <c r="R1299" s="266">
        <v>0.900694444444444</v>
      </c>
    </row>
    <row r="1300" ht="15.75" customHeight="1">
      <c r="R1300" s="266">
        <v>0.901388888888889</v>
      </c>
    </row>
    <row r="1301" ht="15.75" customHeight="1">
      <c r="R1301" s="266">
        <v>0.902083333333333</v>
      </c>
    </row>
    <row r="1302" ht="15.75" customHeight="1">
      <c r="R1302" s="266">
        <v>0.902777777777778</v>
      </c>
    </row>
    <row r="1303" ht="15.75" customHeight="1">
      <c r="R1303" s="266">
        <v>0.903472222222222</v>
      </c>
    </row>
    <row r="1304" ht="15.75" customHeight="1">
      <c r="R1304" s="266">
        <v>0.904166666666667</v>
      </c>
    </row>
    <row r="1305" ht="15.75" customHeight="1">
      <c r="R1305" s="266">
        <v>0.904861111111111</v>
      </c>
    </row>
    <row r="1306" ht="15.75" customHeight="1">
      <c r="R1306" s="266">
        <v>0.905555555555556</v>
      </c>
    </row>
    <row r="1307" ht="15.75" customHeight="1">
      <c r="R1307" s="266">
        <v>0.90625</v>
      </c>
    </row>
    <row r="1308" ht="15.75" customHeight="1">
      <c r="R1308" s="266">
        <v>0.906944444444444</v>
      </c>
    </row>
    <row r="1309" ht="15.75" customHeight="1">
      <c r="R1309" s="266">
        <v>0.907638888888889</v>
      </c>
    </row>
    <row r="1310" ht="15.75" customHeight="1">
      <c r="R1310" s="266">
        <v>0.908333333333333</v>
      </c>
    </row>
    <row r="1311" ht="15.75" customHeight="1">
      <c r="R1311" s="266">
        <v>0.909027777777778</v>
      </c>
    </row>
    <row r="1312" ht="15.75" customHeight="1">
      <c r="R1312" s="266">
        <v>0.909722222222222</v>
      </c>
    </row>
    <row r="1313" ht="15.75" customHeight="1">
      <c r="R1313" s="266">
        <v>0.910416666666667</v>
      </c>
    </row>
    <row r="1314" ht="15.75" customHeight="1">
      <c r="R1314" s="266">
        <v>0.911111111111111</v>
      </c>
    </row>
    <row r="1315" ht="15.75" customHeight="1">
      <c r="R1315" s="266">
        <v>0.911805555555556</v>
      </c>
    </row>
    <row r="1316" ht="15.75" customHeight="1">
      <c r="R1316" s="266">
        <v>0.9125</v>
      </c>
    </row>
    <row r="1317" ht="15.75" customHeight="1">
      <c r="R1317" s="266">
        <v>0.913194444444445</v>
      </c>
    </row>
    <row r="1318" ht="15.75" customHeight="1">
      <c r="R1318" s="266">
        <v>0.913888888888889</v>
      </c>
    </row>
    <row r="1319" ht="15.75" customHeight="1">
      <c r="R1319" s="266">
        <v>0.914583333333333</v>
      </c>
    </row>
    <row r="1320" ht="15.75" customHeight="1">
      <c r="R1320" s="266">
        <v>0.915277777777778</v>
      </c>
    </row>
    <row r="1321" ht="15.75" customHeight="1">
      <c r="R1321" s="266">
        <v>0.915972222222222</v>
      </c>
    </row>
    <row r="1322" ht="15.75" customHeight="1">
      <c r="R1322" s="266">
        <v>0.916666666666667</v>
      </c>
    </row>
    <row r="1323" ht="15.75" customHeight="1">
      <c r="R1323" s="266">
        <v>0.917361111111111</v>
      </c>
    </row>
    <row r="1324" ht="15.75" customHeight="1">
      <c r="R1324" s="266">
        <v>0.918055555555556</v>
      </c>
    </row>
    <row r="1325" ht="15.75" customHeight="1">
      <c r="R1325" s="266">
        <v>0.91875</v>
      </c>
    </row>
    <row r="1326" ht="15.75" customHeight="1">
      <c r="R1326" s="266">
        <v>0.919444444444445</v>
      </c>
    </row>
    <row r="1327" ht="15.75" customHeight="1">
      <c r="R1327" s="266">
        <v>0.920138888888889</v>
      </c>
    </row>
    <row r="1328" ht="15.75" customHeight="1">
      <c r="R1328" s="266">
        <v>0.920833333333333</v>
      </c>
    </row>
    <row r="1329" ht="15.75" customHeight="1">
      <c r="R1329" s="266">
        <v>0.921527777777778</v>
      </c>
    </row>
    <row r="1330" ht="15.75" customHeight="1">
      <c r="R1330" s="266">
        <v>0.922222222222222</v>
      </c>
    </row>
    <row r="1331" ht="15.75" customHeight="1">
      <c r="R1331" s="266">
        <v>0.922916666666667</v>
      </c>
    </row>
    <row r="1332" ht="15.75" customHeight="1">
      <c r="R1332" s="266">
        <v>0.923611111111111</v>
      </c>
    </row>
    <row r="1333" ht="15.75" customHeight="1">
      <c r="R1333" s="266">
        <v>0.924305555555556</v>
      </c>
    </row>
    <row r="1334" ht="15.75" customHeight="1">
      <c r="R1334" s="266">
        <v>0.925</v>
      </c>
    </row>
    <row r="1335" ht="15.75" customHeight="1">
      <c r="R1335" s="266">
        <v>0.925694444444444</v>
      </c>
    </row>
    <row r="1336" ht="15.75" customHeight="1">
      <c r="R1336" s="266">
        <v>0.926388888888889</v>
      </c>
    </row>
    <row r="1337" ht="15.75" customHeight="1">
      <c r="R1337" s="266">
        <v>0.927083333333333</v>
      </c>
    </row>
    <row r="1338" ht="15.75" customHeight="1">
      <c r="R1338" s="266">
        <v>0.927777777777778</v>
      </c>
    </row>
    <row r="1339" ht="15.75" customHeight="1">
      <c r="R1339" s="266">
        <v>0.928472222222222</v>
      </c>
    </row>
    <row r="1340" ht="15.75" customHeight="1">
      <c r="R1340" s="266">
        <v>0.929166666666667</v>
      </c>
    </row>
    <row r="1341" ht="15.75" customHeight="1">
      <c r="R1341" s="266">
        <v>0.929861111111111</v>
      </c>
    </row>
    <row r="1342" ht="15.75" customHeight="1">
      <c r="R1342" s="266">
        <v>0.930555555555556</v>
      </c>
    </row>
    <row r="1343" ht="15.75" customHeight="1">
      <c r="R1343" s="266">
        <v>0.93125</v>
      </c>
    </row>
    <row r="1344" ht="15.75" customHeight="1">
      <c r="R1344" s="266">
        <v>0.931944444444444</v>
      </c>
    </row>
    <row r="1345" ht="15.75" customHeight="1">
      <c r="R1345" s="266">
        <v>0.932638888888889</v>
      </c>
    </row>
    <row r="1346" ht="15.75" customHeight="1">
      <c r="R1346" s="266">
        <v>0.933333333333333</v>
      </c>
    </row>
    <row r="1347" ht="15.75" customHeight="1">
      <c r="R1347" s="266">
        <v>0.934027777777778</v>
      </c>
    </row>
    <row r="1348" ht="15.75" customHeight="1">
      <c r="R1348" s="266">
        <v>0.934722222222222</v>
      </c>
    </row>
    <row r="1349" ht="15.75" customHeight="1">
      <c r="R1349" s="266">
        <v>0.935416666666667</v>
      </c>
    </row>
    <row r="1350" ht="15.75" customHeight="1">
      <c r="R1350" s="266">
        <v>0.936111111111111</v>
      </c>
    </row>
    <row r="1351" ht="15.75" customHeight="1">
      <c r="R1351" s="266">
        <v>0.936805555555556</v>
      </c>
    </row>
    <row r="1352" ht="15.75" customHeight="1">
      <c r="R1352" s="266">
        <v>0.9375</v>
      </c>
    </row>
    <row r="1353" ht="15.75" customHeight="1">
      <c r="R1353" s="266">
        <v>0.938194444444444</v>
      </c>
    </row>
    <row r="1354" ht="15.75" customHeight="1">
      <c r="R1354" s="266">
        <v>0.938888888888889</v>
      </c>
    </row>
    <row r="1355" ht="15.75" customHeight="1">
      <c r="R1355" s="266">
        <v>0.939583333333333</v>
      </c>
    </row>
    <row r="1356" ht="15.75" customHeight="1">
      <c r="R1356" s="266">
        <v>0.940277777777778</v>
      </c>
    </row>
    <row r="1357" ht="15.75" customHeight="1">
      <c r="R1357" s="266">
        <v>0.940972222222222</v>
      </c>
    </row>
    <row r="1358" ht="15.75" customHeight="1">
      <c r="R1358" s="266">
        <v>0.941666666666667</v>
      </c>
    </row>
    <row r="1359" ht="15.75" customHeight="1">
      <c r="R1359" s="266">
        <v>0.942361111111111</v>
      </c>
    </row>
    <row r="1360" ht="15.75" customHeight="1">
      <c r="R1360" s="266">
        <v>0.943055555555556</v>
      </c>
    </row>
    <row r="1361" ht="15.75" customHeight="1">
      <c r="R1361" s="266">
        <v>0.94375</v>
      </c>
    </row>
    <row r="1362" ht="15.75" customHeight="1">
      <c r="R1362" s="266">
        <v>0.944444444444445</v>
      </c>
    </row>
    <row r="1363" ht="15.75" customHeight="1">
      <c r="R1363" s="266">
        <v>0.945138888888889</v>
      </c>
    </row>
    <row r="1364" ht="15.75" customHeight="1">
      <c r="R1364" s="266">
        <v>0.945833333333333</v>
      </c>
    </row>
    <row r="1365" ht="15.75" customHeight="1">
      <c r="R1365" s="266">
        <v>0.946527777777778</v>
      </c>
    </row>
    <row r="1366" ht="15.75" customHeight="1">
      <c r="R1366" s="266">
        <v>0.947222222222222</v>
      </c>
    </row>
    <row r="1367" ht="15.75" customHeight="1">
      <c r="R1367" s="266">
        <v>0.947916666666667</v>
      </c>
    </row>
    <row r="1368" ht="15.75" customHeight="1">
      <c r="R1368" s="266">
        <v>0.948611111111111</v>
      </c>
    </row>
    <row r="1369" ht="15.75" customHeight="1">
      <c r="R1369" s="266">
        <v>0.949305555555556</v>
      </c>
    </row>
    <row r="1370" ht="15.75" customHeight="1">
      <c r="R1370" s="266">
        <v>0.95</v>
      </c>
    </row>
    <row r="1371" ht="15.75" customHeight="1">
      <c r="R1371" s="266">
        <v>0.950694444444445</v>
      </c>
    </row>
    <row r="1372" ht="15.75" customHeight="1">
      <c r="R1372" s="266">
        <v>0.951388888888889</v>
      </c>
    </row>
    <row r="1373" ht="15.75" customHeight="1">
      <c r="R1373" s="266">
        <v>0.952083333333333</v>
      </c>
    </row>
    <row r="1374" ht="15.75" customHeight="1">
      <c r="R1374" s="266">
        <v>0.952777777777778</v>
      </c>
    </row>
    <row r="1375" ht="15.75" customHeight="1">
      <c r="R1375" s="266">
        <v>0.953472222222222</v>
      </c>
    </row>
    <row r="1376" ht="15.75" customHeight="1">
      <c r="R1376" s="266">
        <v>0.954166666666667</v>
      </c>
    </row>
    <row r="1377" ht="15.75" customHeight="1">
      <c r="R1377" s="266">
        <v>0.954861111111111</v>
      </c>
    </row>
    <row r="1378" ht="15.75" customHeight="1">
      <c r="R1378" s="266">
        <v>0.955555555555556</v>
      </c>
    </row>
    <row r="1379" ht="15.75" customHeight="1">
      <c r="R1379" s="266">
        <v>0.95625</v>
      </c>
    </row>
    <row r="1380" ht="15.75" customHeight="1">
      <c r="R1380" s="266">
        <v>0.956944444444444</v>
      </c>
    </row>
    <row r="1381" ht="15.75" customHeight="1">
      <c r="R1381" s="266">
        <v>0.957638888888889</v>
      </c>
    </row>
    <row r="1382" ht="15.75" customHeight="1">
      <c r="R1382" s="266">
        <v>0.958333333333333</v>
      </c>
    </row>
    <row r="1383" ht="15.75" customHeight="1">
      <c r="R1383" s="266">
        <v>0.959027777777778</v>
      </c>
    </row>
    <row r="1384" ht="15.75" customHeight="1">
      <c r="R1384" s="266">
        <v>0.959722222222222</v>
      </c>
    </row>
    <row r="1385" ht="15.75" customHeight="1">
      <c r="R1385" s="266">
        <v>0.960416666666667</v>
      </c>
    </row>
    <row r="1386" ht="15.75" customHeight="1">
      <c r="R1386" s="266">
        <v>0.961111111111111</v>
      </c>
    </row>
    <row r="1387" ht="15.75" customHeight="1">
      <c r="R1387" s="266">
        <v>0.961805555555556</v>
      </c>
    </row>
    <row r="1388" ht="15.75" customHeight="1">
      <c r="R1388" s="266">
        <v>0.9625</v>
      </c>
    </row>
    <row r="1389" ht="15.75" customHeight="1">
      <c r="R1389" s="266">
        <v>0.963194444444444</v>
      </c>
    </row>
    <row r="1390" ht="15.75" customHeight="1">
      <c r="R1390" s="266">
        <v>0.963888888888889</v>
      </c>
    </row>
    <row r="1391" ht="15.75" customHeight="1">
      <c r="R1391" s="266">
        <v>0.964583333333333</v>
      </c>
    </row>
    <row r="1392" ht="15.75" customHeight="1">
      <c r="R1392" s="266">
        <v>0.965277777777778</v>
      </c>
    </row>
    <row r="1393" ht="15.75" customHeight="1">
      <c r="R1393" s="266">
        <v>0.965972222222222</v>
      </c>
    </row>
    <row r="1394" ht="15.75" customHeight="1">
      <c r="R1394" s="266">
        <v>0.966666666666667</v>
      </c>
    </row>
    <row r="1395" ht="15.75" customHeight="1">
      <c r="R1395" s="266">
        <v>0.967361111111111</v>
      </c>
    </row>
    <row r="1396" ht="15.75" customHeight="1">
      <c r="R1396" s="266">
        <v>0.968055555555556</v>
      </c>
    </row>
    <row r="1397" ht="15.75" customHeight="1">
      <c r="R1397" s="266">
        <v>0.96875</v>
      </c>
    </row>
    <row r="1398" ht="15.75" customHeight="1">
      <c r="R1398" s="266">
        <v>0.969444444444444</v>
      </c>
    </row>
    <row r="1399" ht="15.75" customHeight="1">
      <c r="R1399" s="266">
        <v>0.970138888888889</v>
      </c>
    </row>
    <row r="1400" ht="15.75" customHeight="1">
      <c r="R1400" s="266">
        <v>0.970833333333333</v>
      </c>
    </row>
    <row r="1401" ht="15.75" customHeight="1">
      <c r="R1401" s="266">
        <v>0.971527777777778</v>
      </c>
    </row>
    <row r="1402" ht="15.75" customHeight="1">
      <c r="R1402" s="266">
        <v>0.972222222222222</v>
      </c>
    </row>
    <row r="1403" ht="15.75" customHeight="1">
      <c r="R1403" s="266">
        <v>0.972916666666667</v>
      </c>
    </row>
    <row r="1404" ht="15.75" customHeight="1">
      <c r="R1404" s="266">
        <v>0.973611111111111</v>
      </c>
    </row>
    <row r="1405" ht="15.75" customHeight="1">
      <c r="R1405" s="266">
        <v>0.974305555555556</v>
      </c>
    </row>
    <row r="1406" ht="15.75" customHeight="1">
      <c r="R1406" s="266">
        <v>0.975</v>
      </c>
    </row>
    <row r="1407" ht="15.75" customHeight="1">
      <c r="R1407" s="266">
        <v>0.975694444444445</v>
      </c>
    </row>
    <row r="1408" ht="15.75" customHeight="1">
      <c r="R1408" s="266">
        <v>0.976388888888889</v>
      </c>
    </row>
    <row r="1409" ht="15.75" customHeight="1">
      <c r="R1409" s="266">
        <v>0.977083333333333</v>
      </c>
    </row>
    <row r="1410" ht="15.75" customHeight="1">
      <c r="R1410" s="266">
        <v>0.977777777777778</v>
      </c>
    </row>
    <row r="1411" ht="15.75" customHeight="1">
      <c r="R1411" s="266">
        <v>0.978472222222222</v>
      </c>
    </row>
    <row r="1412" ht="15.75" customHeight="1">
      <c r="R1412" s="266">
        <v>0.979166666666667</v>
      </c>
    </row>
    <row r="1413" ht="15.75" customHeight="1">
      <c r="R1413" s="266">
        <v>0.979861111111111</v>
      </c>
    </row>
    <row r="1414" ht="15.75" customHeight="1">
      <c r="R1414" s="266">
        <v>0.980555555555556</v>
      </c>
    </row>
    <row r="1415" ht="15.75" customHeight="1">
      <c r="R1415" s="266">
        <v>0.98125</v>
      </c>
    </row>
    <row r="1416" ht="15.75" customHeight="1">
      <c r="R1416" s="266">
        <v>0.981944444444445</v>
      </c>
    </row>
    <row r="1417" ht="15.75" customHeight="1">
      <c r="R1417" s="266">
        <v>0.982638888888889</v>
      </c>
    </row>
    <row r="1418" ht="15.75" customHeight="1">
      <c r="R1418" s="266">
        <v>0.983333333333333</v>
      </c>
    </row>
    <row r="1419" ht="15.75" customHeight="1">
      <c r="R1419" s="266">
        <v>0.984027777777778</v>
      </c>
    </row>
    <row r="1420" ht="15.75" customHeight="1">
      <c r="R1420" s="266">
        <v>0.984722222222222</v>
      </c>
    </row>
    <row r="1421" ht="15.75" customHeight="1">
      <c r="R1421" s="266">
        <v>0.985416666666667</v>
      </c>
    </row>
    <row r="1422" ht="15.75" customHeight="1">
      <c r="R1422" s="266">
        <v>0.986111111111111</v>
      </c>
    </row>
    <row r="1423" ht="15.75" customHeight="1">
      <c r="R1423" s="266">
        <v>0.986805555555556</v>
      </c>
    </row>
    <row r="1424" ht="15.75" customHeight="1">
      <c r="R1424" s="266">
        <v>0.9875</v>
      </c>
    </row>
    <row r="1425" ht="15.75" customHeight="1">
      <c r="R1425" s="266">
        <v>0.988194444444444</v>
      </c>
    </row>
    <row r="1426" ht="15.75" customHeight="1">
      <c r="R1426" s="266">
        <v>0.988888888888889</v>
      </c>
    </row>
    <row r="1427" ht="15.75" customHeight="1">
      <c r="R1427" s="266">
        <v>0.989583333333333</v>
      </c>
    </row>
    <row r="1428" ht="15.75" customHeight="1">
      <c r="R1428" s="266">
        <v>0.990277777777778</v>
      </c>
    </row>
    <row r="1429" ht="15.75" customHeight="1">
      <c r="R1429" s="266">
        <v>0.990972222222222</v>
      </c>
    </row>
    <row r="1430" ht="15.75" customHeight="1">
      <c r="R1430" s="266">
        <v>0.991666666666667</v>
      </c>
    </row>
    <row r="1431" ht="15.75" customHeight="1">
      <c r="R1431" s="266">
        <v>0.992361111111111</v>
      </c>
    </row>
    <row r="1432" ht="15.75" customHeight="1">
      <c r="R1432" s="266">
        <v>0.993055555555556</v>
      </c>
    </row>
    <row r="1433" ht="15.75" customHeight="1">
      <c r="R1433" s="266">
        <v>0.99375</v>
      </c>
    </row>
    <row r="1434" ht="15.75" customHeight="1">
      <c r="R1434" s="266">
        <v>0.994444444444444</v>
      </c>
    </row>
    <row r="1435" ht="15.75" customHeight="1">
      <c r="R1435" s="266">
        <v>0.995138888888889</v>
      </c>
    </row>
    <row r="1436" ht="15.75" customHeight="1">
      <c r="R1436" s="266">
        <v>0.995833333333333</v>
      </c>
    </row>
    <row r="1437" ht="15.75" customHeight="1">
      <c r="R1437" s="266">
        <v>0.996527777777778</v>
      </c>
    </row>
    <row r="1438" ht="15.75" customHeight="1">
      <c r="R1438" s="266">
        <v>0.997222222222222</v>
      </c>
    </row>
    <row r="1439" ht="15.75" customHeight="1">
      <c r="R1439" s="266">
        <v>0.997916666666667</v>
      </c>
    </row>
    <row r="1440" ht="15.75" customHeight="1">
      <c r="R1440" s="266">
        <v>0.998611111111111</v>
      </c>
    </row>
    <row r="1441" ht="15.75" customHeight="1">
      <c r="R1441" s="266">
        <v>0.999305555555556</v>
      </c>
    </row>
  </sheetData>
  <conditionalFormatting sqref="V3:V144">
    <cfRule type="expression" dxfId="8" priority="1">
      <formula>COUNTIF($V:$V, V3) &gt; 1</formula>
    </cfRule>
  </conditionalFormatting>
  <dataValidations>
    <dataValidation type="list" allowBlank="1" showErrorMessage="1" sqref="E2:E21">
      <formula1>"Floor Manager,BUFM"</formula1>
    </dataValidation>
  </dataValidations>
  <printOptions/>
  <pageMargins bottom="0.75" footer="0.0" header="0.0" left="0.7" right="0.7" top="0.75"/>
  <pageSetup orientation="portrait"/>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hidden="1" min="1" max="1" width="5.57"/>
    <col customWidth="1" min="2" max="2" width="5.86"/>
    <col customWidth="1" min="3" max="3" width="27.57"/>
    <col customWidth="1" min="4" max="4" width="8.43"/>
    <col customWidth="1" hidden="1" min="5" max="5" width="12.43"/>
    <col customWidth="1" min="6" max="18" width="5.0"/>
    <col customWidth="1" min="19" max="19" width="5.29"/>
    <col customWidth="1" min="20" max="24" width="5.0"/>
    <col customWidth="1" min="25" max="25" width="10.86"/>
    <col customWidth="1" min="26" max="26" width="15.0"/>
    <col customWidth="1" min="27" max="27" width="9.14"/>
    <col customWidth="1" min="28" max="28" width="112.0"/>
  </cols>
  <sheetData>
    <row r="1" ht="32.25" customHeight="1">
      <c r="A1" s="284" t="s">
        <v>1104</v>
      </c>
      <c r="B1" s="285" t="s">
        <v>1105</v>
      </c>
      <c r="C1" s="286" t="s">
        <v>1106</v>
      </c>
      <c r="D1" s="287" t="s">
        <v>86</v>
      </c>
      <c r="E1" s="288" t="s">
        <v>1107</v>
      </c>
      <c r="F1" s="289" t="s">
        <v>116</v>
      </c>
      <c r="G1" s="289" t="s">
        <v>120</v>
      </c>
      <c r="H1" s="289" t="s">
        <v>124</v>
      </c>
      <c r="I1" s="289" t="s">
        <v>128</v>
      </c>
      <c r="J1" s="289" t="s">
        <v>132</v>
      </c>
      <c r="K1" s="289" t="s">
        <v>226</v>
      </c>
      <c r="L1" s="289" t="s">
        <v>229</v>
      </c>
      <c r="M1" s="289" t="s">
        <v>152</v>
      </c>
      <c r="N1" s="289" t="s">
        <v>156</v>
      </c>
      <c r="O1" s="290" t="s">
        <v>114</v>
      </c>
      <c r="P1" s="290" t="s">
        <v>122</v>
      </c>
      <c r="Q1" s="290" t="s">
        <v>191</v>
      </c>
      <c r="R1" s="290" t="s">
        <v>130</v>
      </c>
      <c r="S1" s="290" t="s">
        <v>139</v>
      </c>
      <c r="T1" s="290" t="s">
        <v>201</v>
      </c>
      <c r="U1" s="290" t="s">
        <v>146</v>
      </c>
      <c r="V1" s="290" t="s">
        <v>150</v>
      </c>
      <c r="W1" s="290" t="s">
        <v>154</v>
      </c>
      <c r="X1" s="291" t="s">
        <v>162</v>
      </c>
    </row>
    <row r="2" ht="15.0" customHeight="1">
      <c r="A2" s="292">
        <v>0.0</v>
      </c>
      <c r="B2" s="293">
        <f>SourceData!K2</f>
        <v>0.75</v>
      </c>
      <c r="C2" s="294" t="str">
        <f>SourceData!J2</f>
        <v>Agnes Suvorov</v>
      </c>
      <c r="D2" s="295">
        <f>(COUNTIF(Errors!$B$3:$B$3010,'Error Count Analysis'!C2))-((COUNTIFS(Errors!$B$3:$B$3010,'Error Count Analysis'!C2, (Errors!$I$3:$I$3010),"TV*")))</f>
        <v>0</v>
      </c>
      <c r="E2" s="296">
        <f t="shared" ref="E2:E300" si="1">D2/B2</f>
        <v>0</v>
      </c>
      <c r="F2" s="297">
        <f>COUNTIFS(Errors!$B:$B, $C2, Errors!$I:$I, F$1)</f>
        <v>0</v>
      </c>
      <c r="G2" s="298">
        <f>COUNTIFS(Errors!$B:$B, $C2, Errors!$I:$I, G$1)</f>
        <v>0</v>
      </c>
      <c r="H2" s="298">
        <f>COUNTIFS(Errors!$B:$B, $C2, Errors!$I:$I, H$1)</f>
        <v>0</v>
      </c>
      <c r="I2" s="298">
        <f>COUNTIFS(Errors!$B:$B, $C2, Errors!$I:$I, I$1)</f>
        <v>0</v>
      </c>
      <c r="J2" s="298">
        <f>COUNTIFS(Errors!$B:$B, $C2, Errors!$I:$I, J$1)</f>
        <v>0</v>
      </c>
      <c r="K2" s="298">
        <f>COUNTIFS(Errors!$B:$B, $C2, Errors!$I:$I, K$1)</f>
        <v>0</v>
      </c>
      <c r="L2" s="298">
        <f>COUNTIFS(Errors!$B:$B, $C2, Errors!$I:$I, L$1)</f>
        <v>0</v>
      </c>
      <c r="M2" s="298">
        <f>COUNTIFS(Errors!$B:$B, $C2, Errors!$I:$I, M$1)</f>
        <v>0</v>
      </c>
      <c r="N2" s="298">
        <f>COUNTIFS(Errors!$B:$B, $C2, Errors!$I:$I, N$1)</f>
        <v>0</v>
      </c>
      <c r="O2" s="299">
        <f>COUNTIFS(Errors!$B:$B, $C2, Errors!$I:$I, O$1)</f>
        <v>0</v>
      </c>
      <c r="P2" s="298">
        <f>COUNTIFS(Errors!$B:$B, $C2, Errors!$I:$I, P$1)</f>
        <v>0</v>
      </c>
      <c r="Q2" s="298">
        <f>COUNTIFS(Errors!$B:$B, $C2, Errors!$I:$I, Q$1)</f>
        <v>0</v>
      </c>
      <c r="R2" s="298">
        <f>COUNTIFS(Errors!$B:$B, $C2, Errors!$I:$I, R$1)</f>
        <v>0</v>
      </c>
      <c r="S2" s="298">
        <f>COUNTIFS(Errors!$B:$B, $C2, Errors!$I:$I, S$1)</f>
        <v>0</v>
      </c>
      <c r="T2" s="298">
        <f>COUNTIFS(Errors!$B:$B, $C2, Errors!$I:$I, T$1)</f>
        <v>0</v>
      </c>
      <c r="U2" s="298">
        <f>COUNTIFS(Errors!$B:$B, $C2, Errors!$I:$I, U$1)</f>
        <v>0</v>
      </c>
      <c r="V2" s="298">
        <f>COUNTIFS(Errors!$B:$B, $C2, Errors!$I:$I, V$1)</f>
        <v>0</v>
      </c>
      <c r="W2" s="298">
        <f>COUNTIFS(Errors!$B:$B, $C2, Errors!$I:$I, W$1)</f>
        <v>0</v>
      </c>
      <c r="X2" s="298">
        <f>COUNTIFS(Errors!$B:$B, $C2, Errors!$I:$I, X$1)</f>
        <v>0</v>
      </c>
      <c r="Y2" s="300" t="s">
        <v>1108</v>
      </c>
      <c r="Z2" s="3"/>
      <c r="AA2" s="301" t="s">
        <v>114</v>
      </c>
      <c r="AB2" s="302" t="s">
        <v>904</v>
      </c>
    </row>
    <row r="3" ht="15.0" customHeight="1">
      <c r="A3" s="303">
        <v>0.0</v>
      </c>
      <c r="B3" s="304">
        <f>SourceData!K3</f>
        <v>1</v>
      </c>
      <c r="C3" s="305" t="str">
        <f>SourceData!J3</f>
        <v>Akemi Hashimura</v>
      </c>
      <c r="D3" s="306">
        <f>(COUNTIF(Errors!$B$3:$B$3010,'Error Count Analysis'!C3))-((COUNTIFS(Errors!$B$3:$B$3010,'Error Count Analysis'!C3, (Errors!$I$3:$I$3010),"TV*")))</f>
        <v>1</v>
      </c>
      <c r="E3" s="307">
        <f t="shared" si="1"/>
        <v>1</v>
      </c>
      <c r="F3" s="308">
        <f>COUNTIFS(Errors!$B:$B, $C3, Errors!$I:$I, F$1)</f>
        <v>0</v>
      </c>
      <c r="G3" s="309">
        <f>COUNTIFS(Errors!$B:$B, $C3, Errors!$I:$I, G$1)</f>
        <v>0</v>
      </c>
      <c r="H3" s="309">
        <f>COUNTIFS(Errors!$B:$B, $C3, Errors!$I:$I, H$1)</f>
        <v>0</v>
      </c>
      <c r="I3" s="309">
        <f>COUNTIFS(Errors!$B:$B, $C3, Errors!$I:$I, I$1)</f>
        <v>0</v>
      </c>
      <c r="J3" s="309">
        <f>COUNTIFS(Errors!$B:$B, $C3, Errors!$I:$I, J$1)</f>
        <v>0</v>
      </c>
      <c r="K3" s="309">
        <f>COUNTIFS(Errors!$B:$B, $C3, Errors!$I:$I, K$1)</f>
        <v>0</v>
      </c>
      <c r="L3" s="309">
        <f>COUNTIFS(Errors!$B:$B, $C3, Errors!$I:$I, L$1)</f>
        <v>0</v>
      </c>
      <c r="M3" s="309">
        <f>COUNTIFS(Errors!$B:$B, $C3, Errors!$I:$I, M$1)</f>
        <v>0</v>
      </c>
      <c r="N3" s="309">
        <f>COUNTIFS(Errors!$B:$B, $C3, Errors!$I:$I, N$1)</f>
        <v>0</v>
      </c>
      <c r="O3" s="310">
        <f>COUNTIFS(Errors!$B:$B, $C3, Errors!$I:$I, O$1)</f>
        <v>0</v>
      </c>
      <c r="P3" s="309">
        <f>COUNTIFS(Errors!$B:$B, $C3, Errors!$I:$I, P$1)</f>
        <v>0</v>
      </c>
      <c r="Q3" s="309">
        <f>COUNTIFS(Errors!$B:$B, $C3, Errors!$I:$I, Q$1)</f>
        <v>0</v>
      </c>
      <c r="R3" s="309">
        <f>COUNTIFS(Errors!$B:$B, $C3, Errors!$I:$I, R$1)</f>
        <v>1</v>
      </c>
      <c r="S3" s="309">
        <f>COUNTIFS(Errors!$B:$B, $C3, Errors!$I:$I, S$1)</f>
        <v>0</v>
      </c>
      <c r="T3" s="309">
        <f>COUNTIFS(Errors!$B:$B, $C3, Errors!$I:$I, T$1)</f>
        <v>0</v>
      </c>
      <c r="U3" s="309">
        <f>COUNTIFS(Errors!$B:$B, $C3, Errors!$I:$I, U$1)</f>
        <v>0</v>
      </c>
      <c r="V3" s="309">
        <f>COUNTIFS(Errors!$B:$B, $C3, Errors!$I:$I, V$1)</f>
        <v>0</v>
      </c>
      <c r="W3" s="309">
        <f>COUNTIFS(Errors!$B:$B, $C3, Errors!$I:$I, W$1)</f>
        <v>0</v>
      </c>
      <c r="X3" s="309">
        <f>COUNTIFS(Errors!$B:$B, $C3, Errors!$I:$I, X$1)</f>
        <v>0</v>
      </c>
      <c r="Y3" s="311" t="s">
        <v>1109</v>
      </c>
      <c r="Z3" s="3"/>
      <c r="AA3" s="312" t="s">
        <v>122</v>
      </c>
      <c r="AB3" s="313" t="s">
        <v>913</v>
      </c>
    </row>
    <row r="4" ht="15.0" customHeight="1">
      <c r="A4" s="314">
        <v>0.0</v>
      </c>
      <c r="B4" s="293">
        <f>SourceData!K4</f>
        <v>1</v>
      </c>
      <c r="C4" s="294" t="str">
        <f>SourceData!J4</f>
        <v>Aleksandra Tarasenkova</v>
      </c>
      <c r="D4" s="295">
        <f>(COUNTIF(Errors!$B$3:$B$3010,'Error Count Analysis'!C4))-((COUNTIFS(Errors!$B$3:$B$3010,'Error Count Analysis'!C4, (Errors!$I$3:$I$3010),"TV*")))</f>
        <v>0</v>
      </c>
      <c r="E4" s="296">
        <f t="shared" si="1"/>
        <v>0</v>
      </c>
      <c r="F4" s="297">
        <f>COUNTIFS(Errors!$B:$B, $C4, Errors!$I:$I, F$1)</f>
        <v>0</v>
      </c>
      <c r="G4" s="298">
        <f>COUNTIFS(Errors!$B:$B, $C4, Errors!$I:$I, G$1)</f>
        <v>0</v>
      </c>
      <c r="H4" s="298">
        <f>COUNTIFS(Errors!$B:$B, $C4, Errors!$I:$I, H$1)</f>
        <v>0</v>
      </c>
      <c r="I4" s="298">
        <f>COUNTIFS(Errors!$B:$B, $C4, Errors!$I:$I, I$1)</f>
        <v>0</v>
      </c>
      <c r="J4" s="298">
        <f>COUNTIFS(Errors!$B:$B, $C4, Errors!$I:$I, J$1)</f>
        <v>0</v>
      </c>
      <c r="K4" s="298">
        <f>COUNTIFS(Errors!$B:$B, $C4, Errors!$I:$I, K$1)</f>
        <v>0</v>
      </c>
      <c r="L4" s="298">
        <f>COUNTIFS(Errors!$B:$B, $C4, Errors!$I:$I, L$1)</f>
        <v>0</v>
      </c>
      <c r="M4" s="298">
        <f>COUNTIFS(Errors!$B:$B, $C4, Errors!$I:$I, M$1)</f>
        <v>0</v>
      </c>
      <c r="N4" s="298">
        <f>COUNTIFS(Errors!$B:$B, $C4, Errors!$I:$I, N$1)</f>
        <v>0</v>
      </c>
      <c r="O4" s="299">
        <f>COUNTIFS(Errors!$B:$B, $C4, Errors!$I:$I, O$1)</f>
        <v>0</v>
      </c>
      <c r="P4" s="298">
        <f>COUNTIFS(Errors!$B:$B, $C4, Errors!$I:$I, P$1)</f>
        <v>0</v>
      </c>
      <c r="Q4" s="298">
        <f>COUNTIFS(Errors!$B:$B, $C4, Errors!$I:$I, Q$1)</f>
        <v>0</v>
      </c>
      <c r="R4" s="298">
        <f>COUNTIFS(Errors!$B:$B, $C4, Errors!$I:$I, R$1)</f>
        <v>0</v>
      </c>
      <c r="S4" s="298">
        <f>COUNTIFS(Errors!$B:$B, $C4, Errors!$I:$I, S$1)</f>
        <v>0</v>
      </c>
      <c r="T4" s="298">
        <f>COUNTIFS(Errors!$B:$B, $C4, Errors!$I:$I, T$1)</f>
        <v>0</v>
      </c>
      <c r="U4" s="298">
        <f>COUNTIFS(Errors!$B:$B, $C4, Errors!$I:$I, U$1)</f>
        <v>0</v>
      </c>
      <c r="V4" s="298">
        <f>COUNTIFS(Errors!$B:$B, $C4, Errors!$I:$I, V$1)</f>
        <v>0</v>
      </c>
      <c r="W4" s="298">
        <f>COUNTIFS(Errors!$B:$B, $C4, Errors!$I:$I, W$1)</f>
        <v>0</v>
      </c>
      <c r="X4" s="298">
        <f>COUNTIFS(Errors!$B:$B, $C4, Errors!$I:$I, X$1)</f>
        <v>0</v>
      </c>
      <c r="Y4" s="315" t="s">
        <v>1110</v>
      </c>
      <c r="Z4" s="3"/>
      <c r="AA4" s="312" t="s">
        <v>191</v>
      </c>
      <c r="AB4" s="313" t="s">
        <v>131</v>
      </c>
    </row>
    <row r="5" ht="15.0" customHeight="1">
      <c r="A5" s="303">
        <v>0.0</v>
      </c>
      <c r="B5" s="304">
        <f>SourceData!K5</f>
        <v>0.5</v>
      </c>
      <c r="C5" s="305" t="str">
        <f>SourceData!J5</f>
        <v>Alina Jivoloup</v>
      </c>
      <c r="D5" s="306">
        <f>(COUNTIF(Errors!$B$3:$B$3010,'Error Count Analysis'!C5))-((COUNTIFS(Errors!$B$3:$B$3010,'Error Count Analysis'!C5, (Errors!$I$3:$I$3010),"TV*")))</f>
        <v>1</v>
      </c>
      <c r="E5" s="307">
        <f t="shared" si="1"/>
        <v>2</v>
      </c>
      <c r="F5" s="308">
        <f>COUNTIFS(Errors!$B:$B, $C5, Errors!$I:$I, F$1)</f>
        <v>0</v>
      </c>
      <c r="G5" s="309">
        <f>COUNTIFS(Errors!$B:$B, $C5, Errors!$I:$I, G$1)</f>
        <v>0</v>
      </c>
      <c r="H5" s="309">
        <f>COUNTIFS(Errors!$B:$B, $C5, Errors!$I:$I, H$1)</f>
        <v>0</v>
      </c>
      <c r="I5" s="309">
        <f>COUNTIFS(Errors!$B:$B, $C5, Errors!$I:$I, I$1)</f>
        <v>0</v>
      </c>
      <c r="J5" s="309">
        <f>COUNTIFS(Errors!$B:$B, $C5, Errors!$I:$I, J$1)</f>
        <v>0</v>
      </c>
      <c r="K5" s="309">
        <f>COUNTIFS(Errors!$B:$B, $C5, Errors!$I:$I, K$1)</f>
        <v>0</v>
      </c>
      <c r="L5" s="309">
        <f>COUNTIFS(Errors!$B:$B, $C5, Errors!$I:$I, L$1)</f>
        <v>0</v>
      </c>
      <c r="M5" s="309">
        <f>COUNTIFS(Errors!$B:$B, $C5, Errors!$I:$I, M$1)</f>
        <v>0</v>
      </c>
      <c r="N5" s="309">
        <f>COUNTIFS(Errors!$B:$B, $C5, Errors!$I:$I, N$1)</f>
        <v>1</v>
      </c>
      <c r="O5" s="310">
        <f>COUNTIFS(Errors!$B:$B, $C5, Errors!$I:$I, O$1)</f>
        <v>0</v>
      </c>
      <c r="P5" s="309">
        <f>COUNTIFS(Errors!$B:$B, $C5, Errors!$I:$I, P$1)</f>
        <v>0</v>
      </c>
      <c r="Q5" s="309">
        <f>COUNTIFS(Errors!$B:$B, $C5, Errors!$I:$I, Q$1)</f>
        <v>0</v>
      </c>
      <c r="R5" s="309">
        <f>COUNTIFS(Errors!$B:$B, $C5, Errors!$I:$I, R$1)</f>
        <v>0</v>
      </c>
      <c r="S5" s="309">
        <f>COUNTIFS(Errors!$B:$B, $C5, Errors!$I:$I, S$1)</f>
        <v>0</v>
      </c>
      <c r="T5" s="309">
        <f>COUNTIFS(Errors!$B:$B, $C5, Errors!$I:$I, T$1)</f>
        <v>0</v>
      </c>
      <c r="U5" s="309">
        <f>COUNTIFS(Errors!$B:$B, $C5, Errors!$I:$I, U$1)</f>
        <v>0</v>
      </c>
      <c r="V5" s="309">
        <f>COUNTIFS(Errors!$B:$B, $C5, Errors!$I:$I, V$1)</f>
        <v>0</v>
      </c>
      <c r="W5" s="309">
        <f>COUNTIFS(Errors!$B:$B, $C5, Errors!$I:$I, W$1)</f>
        <v>0</v>
      </c>
      <c r="X5" s="309">
        <f>COUNTIFS(Errors!$B:$B, $C5, Errors!$I:$I, X$1)</f>
        <v>0</v>
      </c>
      <c r="AA5" s="316" t="s">
        <v>130</v>
      </c>
      <c r="AB5" s="317" t="s">
        <v>194</v>
      </c>
    </row>
    <row r="6" ht="15.0" customHeight="1">
      <c r="A6" s="314">
        <v>0.0</v>
      </c>
      <c r="B6" s="293">
        <f>SourceData!K6</f>
        <v>1</v>
      </c>
      <c r="C6" s="294" t="str">
        <f>SourceData!J6</f>
        <v>Alina Kudashova</v>
      </c>
      <c r="D6" s="295">
        <f>(COUNTIF(Errors!$B$3:$B$3010,'Error Count Analysis'!C6))-((COUNTIFS(Errors!$B$3:$B$3010,'Error Count Analysis'!C6, (Errors!$I$3:$I$3010),"TV*")))</f>
        <v>5</v>
      </c>
      <c r="E6" s="296">
        <f t="shared" si="1"/>
        <v>5</v>
      </c>
      <c r="F6" s="297">
        <f>COUNTIFS(Errors!$B:$B, $C6, Errors!$I:$I, F$1)</f>
        <v>0</v>
      </c>
      <c r="G6" s="298">
        <f>COUNTIFS(Errors!$B:$B, $C6, Errors!$I:$I, G$1)</f>
        <v>0</v>
      </c>
      <c r="H6" s="298">
        <f>COUNTIFS(Errors!$B:$B, $C6, Errors!$I:$I, H$1)</f>
        <v>0</v>
      </c>
      <c r="I6" s="298">
        <f>COUNTIFS(Errors!$B:$B, $C6, Errors!$I:$I, I$1)</f>
        <v>0</v>
      </c>
      <c r="J6" s="298">
        <f>COUNTIFS(Errors!$B:$B, $C6, Errors!$I:$I, J$1)</f>
        <v>1</v>
      </c>
      <c r="K6" s="298">
        <f>COUNTIFS(Errors!$B:$B, $C6, Errors!$I:$I, K$1)</f>
        <v>0</v>
      </c>
      <c r="L6" s="298">
        <f>COUNTIFS(Errors!$B:$B, $C6, Errors!$I:$I, L$1)</f>
        <v>0</v>
      </c>
      <c r="M6" s="298">
        <f>COUNTIFS(Errors!$B:$B, $C6, Errors!$I:$I, M$1)</f>
        <v>0</v>
      </c>
      <c r="N6" s="298">
        <f>COUNTIFS(Errors!$B:$B, $C6, Errors!$I:$I, N$1)</f>
        <v>0</v>
      </c>
      <c r="O6" s="299">
        <f>COUNTIFS(Errors!$B:$B, $C6, Errors!$I:$I, O$1)</f>
        <v>0</v>
      </c>
      <c r="P6" s="298">
        <f>COUNTIFS(Errors!$B:$B, $C6, Errors!$I:$I, P$1)</f>
        <v>1</v>
      </c>
      <c r="Q6" s="298">
        <f>COUNTIFS(Errors!$B:$B, $C6, Errors!$I:$I, Q$1)</f>
        <v>0</v>
      </c>
      <c r="R6" s="298">
        <f>COUNTIFS(Errors!$B:$B, $C6, Errors!$I:$I, R$1)</f>
        <v>1</v>
      </c>
      <c r="S6" s="298">
        <f>COUNTIFS(Errors!$B:$B, $C6, Errors!$I:$I, S$1)</f>
        <v>1</v>
      </c>
      <c r="T6" s="298">
        <f>COUNTIFS(Errors!$B:$B, $C6, Errors!$I:$I, T$1)</f>
        <v>1</v>
      </c>
      <c r="U6" s="298">
        <f>COUNTIFS(Errors!$B:$B, $C6, Errors!$I:$I, U$1)</f>
        <v>0</v>
      </c>
      <c r="V6" s="298">
        <f>COUNTIFS(Errors!$B:$B, $C6, Errors!$I:$I, V$1)</f>
        <v>0</v>
      </c>
      <c r="W6" s="298">
        <f>COUNTIFS(Errors!$B:$B, $C6, Errors!$I:$I, W$1)</f>
        <v>0</v>
      </c>
      <c r="X6" s="298">
        <f>COUNTIFS(Errors!$B:$B, $C6, Errors!$I:$I, X$1)</f>
        <v>0</v>
      </c>
      <c r="AA6" s="316" t="s">
        <v>139</v>
      </c>
      <c r="AB6" s="317" t="s">
        <v>199</v>
      </c>
    </row>
    <row r="7" ht="15.0" customHeight="1">
      <c r="A7" s="303">
        <v>0.0</v>
      </c>
      <c r="B7" s="304">
        <f>SourceData!K7</f>
        <v>0.75</v>
      </c>
      <c r="C7" s="305" t="str">
        <f>SourceData!J7</f>
        <v>Alisa Alokhina</v>
      </c>
      <c r="D7" s="306">
        <f>(COUNTIF(Errors!$B$3:$B$3010,'Error Count Analysis'!C7))-((COUNTIFS(Errors!$B$3:$B$3010,'Error Count Analysis'!C7, (Errors!$I$3:$I$3010),"TV*")))</f>
        <v>1</v>
      </c>
      <c r="E7" s="307">
        <f t="shared" si="1"/>
        <v>1.333333333</v>
      </c>
      <c r="F7" s="308">
        <f>COUNTIFS(Errors!$B:$B, $C7, Errors!$I:$I, F$1)</f>
        <v>0</v>
      </c>
      <c r="G7" s="309">
        <f>COUNTIFS(Errors!$B:$B, $C7, Errors!$I:$I, G$1)</f>
        <v>0</v>
      </c>
      <c r="H7" s="309">
        <f>COUNTIFS(Errors!$B:$B, $C7, Errors!$I:$I, H$1)</f>
        <v>0</v>
      </c>
      <c r="I7" s="309">
        <f>COUNTIFS(Errors!$B:$B, $C7, Errors!$I:$I, I$1)</f>
        <v>0</v>
      </c>
      <c r="J7" s="309">
        <f>COUNTIFS(Errors!$B:$B, $C7, Errors!$I:$I, J$1)</f>
        <v>0</v>
      </c>
      <c r="K7" s="309">
        <f>COUNTIFS(Errors!$B:$B, $C7, Errors!$I:$I, K$1)</f>
        <v>0</v>
      </c>
      <c r="L7" s="309">
        <f>COUNTIFS(Errors!$B:$B, $C7, Errors!$I:$I, L$1)</f>
        <v>0</v>
      </c>
      <c r="M7" s="309">
        <f>COUNTIFS(Errors!$B:$B, $C7, Errors!$I:$I, M$1)</f>
        <v>0</v>
      </c>
      <c r="N7" s="309">
        <f>COUNTIFS(Errors!$B:$B, $C7, Errors!$I:$I, N$1)</f>
        <v>0</v>
      </c>
      <c r="O7" s="310">
        <f>COUNTIFS(Errors!$B:$B, $C7, Errors!$I:$I, O$1)</f>
        <v>0</v>
      </c>
      <c r="P7" s="309">
        <f>COUNTIFS(Errors!$B:$B, $C7, Errors!$I:$I, P$1)</f>
        <v>1</v>
      </c>
      <c r="Q7" s="309">
        <f>COUNTIFS(Errors!$B:$B, $C7, Errors!$I:$I, Q$1)</f>
        <v>0</v>
      </c>
      <c r="R7" s="309">
        <f>COUNTIFS(Errors!$B:$B, $C7, Errors!$I:$I, R$1)</f>
        <v>0</v>
      </c>
      <c r="S7" s="309">
        <f>COUNTIFS(Errors!$B:$B, $C7, Errors!$I:$I, S$1)</f>
        <v>0</v>
      </c>
      <c r="T7" s="309">
        <f>COUNTIFS(Errors!$B:$B, $C7, Errors!$I:$I, T$1)</f>
        <v>0</v>
      </c>
      <c r="U7" s="309">
        <f>COUNTIFS(Errors!$B:$B, $C7, Errors!$I:$I, U$1)</f>
        <v>0</v>
      </c>
      <c r="V7" s="309">
        <f>COUNTIFS(Errors!$B:$B, $C7, Errors!$I:$I, V$1)</f>
        <v>0</v>
      </c>
      <c r="W7" s="309">
        <f>COUNTIFS(Errors!$B:$B, $C7, Errors!$I:$I, W$1)</f>
        <v>0</v>
      </c>
      <c r="X7" s="309">
        <f>COUNTIFS(Errors!$B:$B, $C7, Errors!$I:$I, X$1)</f>
        <v>0</v>
      </c>
      <c r="AA7" s="316" t="s">
        <v>201</v>
      </c>
      <c r="AB7" s="318" t="s">
        <v>202</v>
      </c>
    </row>
    <row r="8" ht="15.0" customHeight="1">
      <c r="A8" s="314">
        <v>0.0</v>
      </c>
      <c r="B8" s="293">
        <f>SourceData!K8</f>
        <v>1</v>
      </c>
      <c r="C8" s="294" t="str">
        <f>SourceData!J8</f>
        <v>Anastasia Dronova</v>
      </c>
      <c r="D8" s="295">
        <f>(COUNTIF(Errors!$B$3:$B$3010,'Error Count Analysis'!C8))-((COUNTIFS(Errors!$B$3:$B$3010,'Error Count Analysis'!C8, (Errors!$I$3:$I$3010),"TV*")))</f>
        <v>0</v>
      </c>
      <c r="E8" s="296">
        <f t="shared" si="1"/>
        <v>0</v>
      </c>
      <c r="F8" s="297">
        <f>COUNTIFS(Errors!$B:$B, $C8, Errors!$I:$I, F$1)</f>
        <v>0</v>
      </c>
      <c r="G8" s="298">
        <f>COUNTIFS(Errors!$B:$B, $C8, Errors!$I:$I, G$1)</f>
        <v>0</v>
      </c>
      <c r="H8" s="298">
        <f>COUNTIFS(Errors!$B:$B, $C8, Errors!$I:$I, H$1)</f>
        <v>0</v>
      </c>
      <c r="I8" s="298">
        <f>COUNTIFS(Errors!$B:$B, $C8, Errors!$I:$I, I$1)</f>
        <v>0</v>
      </c>
      <c r="J8" s="298">
        <f>COUNTIFS(Errors!$B:$B, $C8, Errors!$I:$I, J$1)</f>
        <v>0</v>
      </c>
      <c r="K8" s="298">
        <f>COUNTIFS(Errors!$B:$B, $C8, Errors!$I:$I, K$1)</f>
        <v>0</v>
      </c>
      <c r="L8" s="298">
        <f>COUNTIFS(Errors!$B:$B, $C8, Errors!$I:$I, L$1)</f>
        <v>0</v>
      </c>
      <c r="M8" s="298">
        <f>COUNTIFS(Errors!$B:$B, $C8, Errors!$I:$I, M$1)</f>
        <v>0</v>
      </c>
      <c r="N8" s="298">
        <f>COUNTIFS(Errors!$B:$B, $C8, Errors!$I:$I, N$1)</f>
        <v>0</v>
      </c>
      <c r="O8" s="299">
        <f>COUNTIFS(Errors!$B:$B, $C8, Errors!$I:$I, O$1)</f>
        <v>0</v>
      </c>
      <c r="P8" s="298">
        <f>COUNTIFS(Errors!$B:$B, $C8, Errors!$I:$I, P$1)</f>
        <v>0</v>
      </c>
      <c r="Q8" s="298">
        <f>COUNTIFS(Errors!$B:$B, $C8, Errors!$I:$I, Q$1)</f>
        <v>0</v>
      </c>
      <c r="R8" s="298">
        <f>COUNTIFS(Errors!$B:$B, $C8, Errors!$I:$I, R$1)</f>
        <v>0</v>
      </c>
      <c r="S8" s="298">
        <f>COUNTIFS(Errors!$B:$B, $C8, Errors!$I:$I, S$1)</f>
        <v>0</v>
      </c>
      <c r="T8" s="298">
        <f>COUNTIFS(Errors!$B:$B, $C8, Errors!$I:$I, T$1)</f>
        <v>0</v>
      </c>
      <c r="U8" s="298">
        <f>COUNTIFS(Errors!$B:$B, $C8, Errors!$I:$I, U$1)</f>
        <v>0</v>
      </c>
      <c r="V8" s="298">
        <f>COUNTIFS(Errors!$B:$B, $C8, Errors!$I:$I, V$1)</f>
        <v>0</v>
      </c>
      <c r="W8" s="298">
        <f>COUNTIFS(Errors!$B:$B, $C8, Errors!$I:$I, W$1)</f>
        <v>0</v>
      </c>
      <c r="X8" s="298">
        <f>COUNTIFS(Errors!$B:$B, $C8, Errors!$I:$I, X$1)</f>
        <v>0</v>
      </c>
      <c r="AA8" s="316" t="s">
        <v>146</v>
      </c>
      <c r="AB8" s="317" t="s">
        <v>147</v>
      </c>
    </row>
    <row r="9" ht="15.0" customHeight="1">
      <c r="A9" s="303">
        <v>0.0</v>
      </c>
      <c r="B9" s="304">
        <f>SourceData!K9</f>
        <v>1</v>
      </c>
      <c r="C9" s="305" t="str">
        <f>SourceData!J9</f>
        <v>Anastasija Kalašnikova</v>
      </c>
      <c r="D9" s="306">
        <f>(COUNTIF(Errors!$B$3:$B$3010,'Error Count Analysis'!C9))-((COUNTIFS(Errors!$B$3:$B$3010,'Error Count Analysis'!C9, (Errors!$I$3:$I$3010),"TV*")))</f>
        <v>4</v>
      </c>
      <c r="E9" s="307">
        <f t="shared" si="1"/>
        <v>4</v>
      </c>
      <c r="F9" s="308">
        <f>COUNTIFS(Errors!$B:$B, $C9, Errors!$I:$I, F$1)</f>
        <v>0</v>
      </c>
      <c r="G9" s="309">
        <f>COUNTIFS(Errors!$B:$B, $C9, Errors!$I:$I, G$1)</f>
        <v>0</v>
      </c>
      <c r="H9" s="309">
        <f>COUNTIFS(Errors!$B:$B, $C9, Errors!$I:$I, H$1)</f>
        <v>0</v>
      </c>
      <c r="I9" s="309">
        <f>COUNTIFS(Errors!$B:$B, $C9, Errors!$I:$I, I$1)</f>
        <v>0</v>
      </c>
      <c r="J9" s="309">
        <f>COUNTIFS(Errors!$B:$B, $C9, Errors!$I:$I, J$1)</f>
        <v>1</v>
      </c>
      <c r="K9" s="309">
        <f>COUNTIFS(Errors!$B:$B, $C9, Errors!$I:$I, K$1)</f>
        <v>0</v>
      </c>
      <c r="L9" s="309">
        <f>COUNTIFS(Errors!$B:$B, $C9, Errors!$I:$I, L$1)</f>
        <v>0</v>
      </c>
      <c r="M9" s="309">
        <f>COUNTIFS(Errors!$B:$B, $C9, Errors!$I:$I, M$1)</f>
        <v>0</v>
      </c>
      <c r="N9" s="309">
        <f>COUNTIFS(Errors!$B:$B, $C9, Errors!$I:$I, N$1)</f>
        <v>0</v>
      </c>
      <c r="O9" s="310">
        <f>COUNTIFS(Errors!$B:$B, $C9, Errors!$I:$I, O$1)</f>
        <v>1</v>
      </c>
      <c r="P9" s="309">
        <f>COUNTIFS(Errors!$B:$B, $C9, Errors!$I:$I, P$1)</f>
        <v>0</v>
      </c>
      <c r="Q9" s="309">
        <f>COUNTIFS(Errors!$B:$B, $C9, Errors!$I:$I, Q$1)</f>
        <v>0</v>
      </c>
      <c r="R9" s="309">
        <f>COUNTIFS(Errors!$B:$B, $C9, Errors!$I:$I, R$1)</f>
        <v>0</v>
      </c>
      <c r="S9" s="309">
        <f>COUNTIFS(Errors!$B:$B, $C9, Errors!$I:$I, S$1)</f>
        <v>0</v>
      </c>
      <c r="T9" s="309">
        <f>COUNTIFS(Errors!$B:$B, $C9, Errors!$I:$I, T$1)</f>
        <v>1</v>
      </c>
      <c r="U9" s="309">
        <f>COUNTIFS(Errors!$B:$B, $C9, Errors!$I:$I, U$1)</f>
        <v>0</v>
      </c>
      <c r="V9" s="309">
        <f>COUNTIFS(Errors!$B:$B, $C9, Errors!$I:$I, V$1)</f>
        <v>1</v>
      </c>
      <c r="W9" s="309">
        <f>COUNTIFS(Errors!$B:$B, $C9, Errors!$I:$I, W$1)</f>
        <v>0</v>
      </c>
      <c r="X9" s="309">
        <f>COUNTIFS(Errors!$B:$B, $C9, Errors!$I:$I, X$1)</f>
        <v>0</v>
      </c>
      <c r="AA9" s="316" t="s">
        <v>150</v>
      </c>
      <c r="AB9" s="317" t="s">
        <v>926</v>
      </c>
    </row>
    <row r="10" ht="15.0" customHeight="1">
      <c r="A10" s="314">
        <v>0.0</v>
      </c>
      <c r="B10" s="293">
        <f>SourceData!K10</f>
        <v>1</v>
      </c>
      <c r="C10" s="294" t="str">
        <f>SourceData!J10</f>
        <v>Anastassia Ivanova</v>
      </c>
      <c r="D10" s="295">
        <f>(COUNTIF(Errors!$B$3:$B$3010,'Error Count Analysis'!C10))-((COUNTIFS(Errors!$B$3:$B$3010,'Error Count Analysis'!C10, (Errors!$I$3:$I$3010),"TV*")))</f>
        <v>0</v>
      </c>
      <c r="E10" s="296">
        <f t="shared" si="1"/>
        <v>0</v>
      </c>
      <c r="F10" s="297">
        <f>COUNTIFS(Errors!$B:$B, $C10, Errors!$I:$I, F$1)</f>
        <v>0</v>
      </c>
      <c r="G10" s="298">
        <f>COUNTIFS(Errors!$B:$B, $C10, Errors!$I:$I, G$1)</f>
        <v>0</v>
      </c>
      <c r="H10" s="298">
        <f>COUNTIFS(Errors!$B:$B, $C10, Errors!$I:$I, H$1)</f>
        <v>0</v>
      </c>
      <c r="I10" s="298">
        <f>COUNTIFS(Errors!$B:$B, $C10, Errors!$I:$I, I$1)</f>
        <v>0</v>
      </c>
      <c r="J10" s="298">
        <f>COUNTIFS(Errors!$B:$B, $C10, Errors!$I:$I, J$1)</f>
        <v>0</v>
      </c>
      <c r="K10" s="298">
        <f>COUNTIFS(Errors!$B:$B, $C10, Errors!$I:$I, K$1)</f>
        <v>0</v>
      </c>
      <c r="L10" s="298">
        <f>COUNTIFS(Errors!$B:$B, $C10, Errors!$I:$I, L$1)</f>
        <v>0</v>
      </c>
      <c r="M10" s="298">
        <f>COUNTIFS(Errors!$B:$B, $C10, Errors!$I:$I, M$1)</f>
        <v>0</v>
      </c>
      <c r="N10" s="298">
        <f>COUNTIFS(Errors!$B:$B, $C10, Errors!$I:$I, N$1)</f>
        <v>0</v>
      </c>
      <c r="O10" s="299">
        <f>COUNTIFS(Errors!$B:$B, $C10, Errors!$I:$I, O$1)</f>
        <v>0</v>
      </c>
      <c r="P10" s="298">
        <f>COUNTIFS(Errors!$B:$B, $C10, Errors!$I:$I, P$1)</f>
        <v>0</v>
      </c>
      <c r="Q10" s="298">
        <f>COUNTIFS(Errors!$B:$B, $C10, Errors!$I:$I, Q$1)</f>
        <v>0</v>
      </c>
      <c r="R10" s="298">
        <f>COUNTIFS(Errors!$B:$B, $C10, Errors!$I:$I, R$1)</f>
        <v>0</v>
      </c>
      <c r="S10" s="298">
        <f>COUNTIFS(Errors!$B:$B, $C10, Errors!$I:$I, S$1)</f>
        <v>0</v>
      </c>
      <c r="T10" s="298">
        <f>COUNTIFS(Errors!$B:$B, $C10, Errors!$I:$I, T$1)</f>
        <v>0</v>
      </c>
      <c r="U10" s="298">
        <f>COUNTIFS(Errors!$B:$B, $C10, Errors!$I:$I, U$1)</f>
        <v>0</v>
      </c>
      <c r="V10" s="298">
        <f>COUNTIFS(Errors!$B:$B, $C10, Errors!$I:$I, V$1)</f>
        <v>0</v>
      </c>
      <c r="W10" s="298">
        <f>COUNTIFS(Errors!$B:$B, $C10, Errors!$I:$I, W$1)</f>
        <v>0</v>
      </c>
      <c r="X10" s="298">
        <f>COUNTIFS(Errors!$B:$B, $C10, Errors!$I:$I, X$1)</f>
        <v>0</v>
      </c>
      <c r="AA10" s="316" t="s">
        <v>154</v>
      </c>
      <c r="AB10" s="317" t="s">
        <v>155</v>
      </c>
    </row>
    <row r="11" ht="15.0" customHeight="1">
      <c r="A11" s="303">
        <v>0.0</v>
      </c>
      <c r="B11" s="304">
        <f>SourceData!K11</f>
        <v>0.75</v>
      </c>
      <c r="C11" s="305" t="str">
        <f>SourceData!J11</f>
        <v>Anastassija Fomenkova</v>
      </c>
      <c r="D11" s="306">
        <f>(COUNTIF(Errors!$B$3:$B$3010,'Error Count Analysis'!C11))-((COUNTIFS(Errors!$B$3:$B$3010,'Error Count Analysis'!C11, (Errors!$I$3:$I$3010),"TV*")))</f>
        <v>2</v>
      </c>
      <c r="E11" s="307">
        <f t="shared" si="1"/>
        <v>2.666666667</v>
      </c>
      <c r="F11" s="308">
        <f>COUNTIFS(Errors!$B:$B, $C11, Errors!$I:$I, F$1)</f>
        <v>0</v>
      </c>
      <c r="G11" s="309">
        <f>COUNTIFS(Errors!$B:$B, $C11, Errors!$I:$I, G$1)</f>
        <v>0</v>
      </c>
      <c r="H11" s="309">
        <f>COUNTIFS(Errors!$B:$B, $C11, Errors!$I:$I, H$1)</f>
        <v>0</v>
      </c>
      <c r="I11" s="309">
        <f>COUNTIFS(Errors!$B:$B, $C11, Errors!$I:$I, I$1)</f>
        <v>0</v>
      </c>
      <c r="J11" s="309">
        <f>COUNTIFS(Errors!$B:$B, $C11, Errors!$I:$I, J$1)</f>
        <v>1</v>
      </c>
      <c r="K11" s="309">
        <f>COUNTIFS(Errors!$B:$B, $C11, Errors!$I:$I, K$1)</f>
        <v>0</v>
      </c>
      <c r="L11" s="309">
        <f>COUNTIFS(Errors!$B:$B, $C11, Errors!$I:$I, L$1)</f>
        <v>0</v>
      </c>
      <c r="M11" s="309">
        <f>COUNTIFS(Errors!$B:$B, $C11, Errors!$I:$I, M$1)</f>
        <v>0</v>
      </c>
      <c r="N11" s="309">
        <f>COUNTIFS(Errors!$B:$B, $C11, Errors!$I:$I, N$1)</f>
        <v>0</v>
      </c>
      <c r="O11" s="310">
        <f>COUNTIFS(Errors!$B:$B, $C11, Errors!$I:$I, O$1)</f>
        <v>0</v>
      </c>
      <c r="P11" s="309">
        <f>COUNTIFS(Errors!$B:$B, $C11, Errors!$I:$I, P$1)</f>
        <v>0</v>
      </c>
      <c r="Q11" s="309">
        <f>COUNTIFS(Errors!$B:$B, $C11, Errors!$I:$I, Q$1)</f>
        <v>0</v>
      </c>
      <c r="R11" s="309">
        <f>COUNTIFS(Errors!$B:$B, $C11, Errors!$I:$I, R$1)</f>
        <v>0</v>
      </c>
      <c r="S11" s="309">
        <f>COUNTIFS(Errors!$B:$B, $C11, Errors!$I:$I, S$1)</f>
        <v>0</v>
      </c>
      <c r="T11" s="309">
        <f>COUNTIFS(Errors!$B:$B, $C11, Errors!$I:$I, T$1)</f>
        <v>0</v>
      </c>
      <c r="U11" s="309">
        <f>COUNTIFS(Errors!$B:$B, $C11, Errors!$I:$I, U$1)</f>
        <v>0</v>
      </c>
      <c r="V11" s="309">
        <f>COUNTIFS(Errors!$B:$B, $C11, Errors!$I:$I, V$1)</f>
        <v>1</v>
      </c>
      <c r="W11" s="309">
        <f>COUNTIFS(Errors!$B:$B, $C11, Errors!$I:$I, W$1)</f>
        <v>0</v>
      </c>
      <c r="X11" s="309">
        <f>COUNTIFS(Errors!$B:$B, $C11, Errors!$I:$I, X$1)</f>
        <v>0</v>
      </c>
      <c r="AA11" s="316" t="s">
        <v>162</v>
      </c>
      <c r="AB11" s="317" t="s">
        <v>163</v>
      </c>
    </row>
    <row r="12" ht="15.0" customHeight="1">
      <c r="A12" s="314">
        <v>0.0</v>
      </c>
      <c r="B12" s="293">
        <f>SourceData!K12</f>
        <v>0.75</v>
      </c>
      <c r="C12" s="294" t="str">
        <f>SourceData!J12</f>
        <v>Angelina Tuluša</v>
      </c>
      <c r="D12" s="295">
        <f>(COUNTIF(Errors!$B$3:$B$3010,'Error Count Analysis'!C12))-((COUNTIFS(Errors!$B$3:$B$3010,'Error Count Analysis'!C12, (Errors!$I$3:$I$3010),"TV*")))</f>
        <v>0</v>
      </c>
      <c r="E12" s="296">
        <f t="shared" si="1"/>
        <v>0</v>
      </c>
      <c r="F12" s="297">
        <f>COUNTIFS(Errors!$B:$B, $C12, Errors!$I:$I, F$1)</f>
        <v>0</v>
      </c>
      <c r="G12" s="298">
        <f>COUNTIFS(Errors!$B:$B, $C12, Errors!$I:$I, G$1)</f>
        <v>0</v>
      </c>
      <c r="H12" s="298">
        <f>COUNTIFS(Errors!$B:$B, $C12, Errors!$I:$I, H$1)</f>
        <v>0</v>
      </c>
      <c r="I12" s="298">
        <f>COUNTIFS(Errors!$B:$B, $C12, Errors!$I:$I, I$1)</f>
        <v>0</v>
      </c>
      <c r="J12" s="298">
        <f>COUNTIFS(Errors!$B:$B, $C12, Errors!$I:$I, J$1)</f>
        <v>0</v>
      </c>
      <c r="K12" s="298">
        <f>COUNTIFS(Errors!$B:$B, $C12, Errors!$I:$I, K$1)</f>
        <v>0</v>
      </c>
      <c r="L12" s="298">
        <f>COUNTIFS(Errors!$B:$B, $C12, Errors!$I:$I, L$1)</f>
        <v>0</v>
      </c>
      <c r="M12" s="298">
        <f>COUNTIFS(Errors!$B:$B, $C12, Errors!$I:$I, M$1)</f>
        <v>0</v>
      </c>
      <c r="N12" s="298">
        <f>COUNTIFS(Errors!$B:$B, $C12, Errors!$I:$I, N$1)</f>
        <v>0</v>
      </c>
      <c r="O12" s="299">
        <f>COUNTIFS(Errors!$B:$B, $C12, Errors!$I:$I, O$1)</f>
        <v>0</v>
      </c>
      <c r="P12" s="298">
        <f>COUNTIFS(Errors!$B:$B, $C12, Errors!$I:$I, P$1)</f>
        <v>0</v>
      </c>
      <c r="Q12" s="298">
        <f>COUNTIFS(Errors!$B:$B, $C12, Errors!$I:$I, Q$1)</f>
        <v>0</v>
      </c>
      <c r="R12" s="298">
        <f>COUNTIFS(Errors!$B:$B, $C12, Errors!$I:$I, R$1)</f>
        <v>0</v>
      </c>
      <c r="S12" s="298">
        <f>COUNTIFS(Errors!$B:$B, $C12, Errors!$I:$I, S$1)</f>
        <v>0</v>
      </c>
      <c r="T12" s="298">
        <f>COUNTIFS(Errors!$B:$B, $C12, Errors!$I:$I, T$1)</f>
        <v>0</v>
      </c>
      <c r="U12" s="298">
        <f>COUNTIFS(Errors!$B:$B, $C12, Errors!$I:$I, U$1)</f>
        <v>0</v>
      </c>
      <c r="V12" s="298">
        <f>COUNTIFS(Errors!$B:$B, $C12, Errors!$I:$I, V$1)</f>
        <v>0</v>
      </c>
      <c r="W12" s="298">
        <f>COUNTIFS(Errors!$B:$B, $C12, Errors!$I:$I, W$1)</f>
        <v>0</v>
      </c>
      <c r="X12" s="298">
        <f>COUNTIFS(Errors!$B:$B, $C12, Errors!$I:$I, X$1)</f>
        <v>0</v>
      </c>
      <c r="AA12" s="316" t="s">
        <v>56</v>
      </c>
      <c r="AB12" s="319" t="s">
        <v>1111</v>
      </c>
    </row>
    <row r="13" ht="15.0" customHeight="1">
      <c r="A13" s="303">
        <v>0.0</v>
      </c>
      <c r="B13" s="304">
        <f>SourceData!K13</f>
        <v>0.5</v>
      </c>
      <c r="C13" s="305" t="str">
        <f>SourceData!J13</f>
        <v>Angelina Želobetski</v>
      </c>
      <c r="D13" s="306">
        <f>(COUNTIF(Errors!$B$3:$B$3010,'Error Count Analysis'!C13))-((COUNTIFS(Errors!$B$3:$B$3010,'Error Count Analysis'!C13, (Errors!$I$3:$I$3010),"TV*")))</f>
        <v>0</v>
      </c>
      <c r="E13" s="307">
        <f t="shared" si="1"/>
        <v>0</v>
      </c>
      <c r="F13" s="308">
        <f>COUNTIFS(Errors!$B:$B, $C13, Errors!$I:$I, F$1)</f>
        <v>0</v>
      </c>
      <c r="G13" s="309">
        <f>COUNTIFS(Errors!$B:$B, $C13, Errors!$I:$I, G$1)</f>
        <v>0</v>
      </c>
      <c r="H13" s="309">
        <f>COUNTIFS(Errors!$B:$B, $C13, Errors!$I:$I, H$1)</f>
        <v>0</v>
      </c>
      <c r="I13" s="309">
        <f>COUNTIFS(Errors!$B:$B, $C13, Errors!$I:$I, I$1)</f>
        <v>0</v>
      </c>
      <c r="J13" s="309">
        <f>COUNTIFS(Errors!$B:$B, $C13, Errors!$I:$I, J$1)</f>
        <v>0</v>
      </c>
      <c r="K13" s="309">
        <f>COUNTIFS(Errors!$B:$B, $C13, Errors!$I:$I, K$1)</f>
        <v>0</v>
      </c>
      <c r="L13" s="309">
        <f>COUNTIFS(Errors!$B:$B, $C13, Errors!$I:$I, L$1)</f>
        <v>0</v>
      </c>
      <c r="M13" s="309">
        <f>COUNTIFS(Errors!$B:$B, $C13, Errors!$I:$I, M$1)</f>
        <v>0</v>
      </c>
      <c r="N13" s="309">
        <f>COUNTIFS(Errors!$B:$B, $C13, Errors!$I:$I, N$1)</f>
        <v>0</v>
      </c>
      <c r="O13" s="310">
        <f>COUNTIFS(Errors!$B:$B, $C13, Errors!$I:$I, O$1)</f>
        <v>0</v>
      </c>
      <c r="P13" s="309">
        <f>COUNTIFS(Errors!$B:$B, $C13, Errors!$I:$I, P$1)</f>
        <v>0</v>
      </c>
      <c r="Q13" s="309">
        <f>COUNTIFS(Errors!$B:$B, $C13, Errors!$I:$I, Q$1)</f>
        <v>0</v>
      </c>
      <c r="R13" s="309">
        <f>COUNTIFS(Errors!$B:$B, $C13, Errors!$I:$I, R$1)</f>
        <v>0</v>
      </c>
      <c r="S13" s="309">
        <f>COUNTIFS(Errors!$B:$B, $C13, Errors!$I:$I, S$1)</f>
        <v>0</v>
      </c>
      <c r="T13" s="309">
        <f>COUNTIFS(Errors!$B:$B, $C13, Errors!$I:$I, T$1)</f>
        <v>0</v>
      </c>
      <c r="U13" s="309">
        <f>COUNTIFS(Errors!$B:$B, $C13, Errors!$I:$I, U$1)</f>
        <v>0</v>
      </c>
      <c r="V13" s="309">
        <f>COUNTIFS(Errors!$B:$B, $C13, Errors!$I:$I, V$1)</f>
        <v>0</v>
      </c>
      <c r="W13" s="309">
        <f>COUNTIFS(Errors!$B:$B, $C13, Errors!$I:$I, W$1)</f>
        <v>0</v>
      </c>
      <c r="X13" s="309">
        <f>COUNTIFS(Errors!$B:$B, $C13, Errors!$I:$I, X$1)</f>
        <v>0</v>
      </c>
      <c r="AA13" s="316" t="s">
        <v>116</v>
      </c>
      <c r="AB13" s="176" t="s">
        <v>117</v>
      </c>
    </row>
    <row r="14" ht="15.0" customHeight="1">
      <c r="A14" s="314">
        <v>0.0</v>
      </c>
      <c r="B14" s="293">
        <f>SourceData!K14</f>
        <v>1</v>
      </c>
      <c r="C14" s="294" t="str">
        <f>SourceData!J14</f>
        <v>Anna Maslova</v>
      </c>
      <c r="D14" s="295">
        <f>(COUNTIF(Errors!$B$3:$B$3010,'Error Count Analysis'!C14))-((COUNTIFS(Errors!$B$3:$B$3010,'Error Count Analysis'!C14, (Errors!$I$3:$I$3010),"TV*")))</f>
        <v>1</v>
      </c>
      <c r="E14" s="296">
        <f t="shared" si="1"/>
        <v>1</v>
      </c>
      <c r="F14" s="297">
        <f>COUNTIFS(Errors!$B:$B, $C14, Errors!$I:$I, F$1)</f>
        <v>1</v>
      </c>
      <c r="G14" s="298">
        <f>COUNTIFS(Errors!$B:$B, $C14, Errors!$I:$I, G$1)</f>
        <v>0</v>
      </c>
      <c r="H14" s="298">
        <f>COUNTIFS(Errors!$B:$B, $C14, Errors!$I:$I, H$1)</f>
        <v>0</v>
      </c>
      <c r="I14" s="298">
        <f>COUNTIFS(Errors!$B:$B, $C14, Errors!$I:$I, I$1)</f>
        <v>0</v>
      </c>
      <c r="J14" s="298">
        <f>COUNTIFS(Errors!$B:$B, $C14, Errors!$I:$I, J$1)</f>
        <v>0</v>
      </c>
      <c r="K14" s="298">
        <f>COUNTIFS(Errors!$B:$B, $C14, Errors!$I:$I, K$1)</f>
        <v>0</v>
      </c>
      <c r="L14" s="298">
        <f>COUNTIFS(Errors!$B:$B, $C14, Errors!$I:$I, L$1)</f>
        <v>0</v>
      </c>
      <c r="M14" s="298">
        <f>COUNTIFS(Errors!$B:$B, $C14, Errors!$I:$I, M$1)</f>
        <v>0</v>
      </c>
      <c r="N14" s="298">
        <f>COUNTIFS(Errors!$B:$B, $C14, Errors!$I:$I, N$1)</f>
        <v>0</v>
      </c>
      <c r="O14" s="299">
        <f>COUNTIFS(Errors!$B:$B, $C14, Errors!$I:$I, O$1)</f>
        <v>0</v>
      </c>
      <c r="P14" s="298">
        <f>COUNTIFS(Errors!$B:$B, $C14, Errors!$I:$I, P$1)</f>
        <v>0</v>
      </c>
      <c r="Q14" s="298">
        <f>COUNTIFS(Errors!$B:$B, $C14, Errors!$I:$I, Q$1)</f>
        <v>0</v>
      </c>
      <c r="R14" s="298">
        <f>COUNTIFS(Errors!$B:$B, $C14, Errors!$I:$I, R$1)</f>
        <v>0</v>
      </c>
      <c r="S14" s="298">
        <f>COUNTIFS(Errors!$B:$B, $C14, Errors!$I:$I, S$1)</f>
        <v>0</v>
      </c>
      <c r="T14" s="298">
        <f>COUNTIFS(Errors!$B:$B, $C14, Errors!$I:$I, T$1)</f>
        <v>0</v>
      </c>
      <c r="U14" s="298">
        <f>COUNTIFS(Errors!$B:$B, $C14, Errors!$I:$I, U$1)</f>
        <v>0</v>
      </c>
      <c r="V14" s="298">
        <f>COUNTIFS(Errors!$B:$B, $C14, Errors!$I:$I, V$1)</f>
        <v>0</v>
      </c>
      <c r="W14" s="298">
        <f>COUNTIFS(Errors!$B:$B, $C14, Errors!$I:$I, W$1)</f>
        <v>0</v>
      </c>
      <c r="X14" s="298">
        <f>COUNTIFS(Errors!$B:$B, $C14, Errors!$I:$I, X$1)</f>
        <v>0</v>
      </c>
      <c r="AA14" s="316" t="s">
        <v>120</v>
      </c>
      <c r="AB14" s="176" t="s">
        <v>121</v>
      </c>
    </row>
    <row r="15" ht="15.0" customHeight="1">
      <c r="A15" s="303">
        <v>0.0</v>
      </c>
      <c r="B15" s="304">
        <f>SourceData!K15</f>
        <v>0.75</v>
      </c>
      <c r="C15" s="305" t="str">
        <f>SourceData!J15</f>
        <v>Annaliisa Jerlakas</v>
      </c>
      <c r="D15" s="306">
        <f>(COUNTIF(Errors!$B$3:$B$3010,'Error Count Analysis'!C15))-((COUNTIFS(Errors!$B$3:$B$3010,'Error Count Analysis'!C15, (Errors!$I$3:$I$3010),"TV*")))</f>
        <v>0</v>
      </c>
      <c r="E15" s="307">
        <f t="shared" si="1"/>
        <v>0</v>
      </c>
      <c r="F15" s="308">
        <f>COUNTIFS(Errors!$B:$B, $C15, Errors!$I:$I, F$1)</f>
        <v>0</v>
      </c>
      <c r="G15" s="309">
        <f>COUNTIFS(Errors!$B:$B, $C15, Errors!$I:$I, G$1)</f>
        <v>0</v>
      </c>
      <c r="H15" s="309">
        <f>COUNTIFS(Errors!$B:$B, $C15, Errors!$I:$I, H$1)</f>
        <v>0</v>
      </c>
      <c r="I15" s="309">
        <f>COUNTIFS(Errors!$B:$B, $C15, Errors!$I:$I, I$1)</f>
        <v>0</v>
      </c>
      <c r="J15" s="309">
        <f>COUNTIFS(Errors!$B:$B, $C15, Errors!$I:$I, J$1)</f>
        <v>0</v>
      </c>
      <c r="K15" s="309">
        <f>COUNTIFS(Errors!$B:$B, $C15, Errors!$I:$I, K$1)</f>
        <v>0</v>
      </c>
      <c r="L15" s="309">
        <f>COUNTIFS(Errors!$B:$B, $C15, Errors!$I:$I, L$1)</f>
        <v>0</v>
      </c>
      <c r="M15" s="309">
        <f>COUNTIFS(Errors!$B:$B, $C15, Errors!$I:$I, M$1)</f>
        <v>0</v>
      </c>
      <c r="N15" s="309">
        <f>COUNTIFS(Errors!$B:$B, $C15, Errors!$I:$I, N$1)</f>
        <v>0</v>
      </c>
      <c r="O15" s="310">
        <f>COUNTIFS(Errors!$B:$B, $C15, Errors!$I:$I, O$1)</f>
        <v>0</v>
      </c>
      <c r="P15" s="309">
        <f>COUNTIFS(Errors!$B:$B, $C15, Errors!$I:$I, P$1)</f>
        <v>0</v>
      </c>
      <c r="Q15" s="309">
        <f>COUNTIFS(Errors!$B:$B, $C15, Errors!$I:$I, Q$1)</f>
        <v>0</v>
      </c>
      <c r="R15" s="309">
        <f>COUNTIFS(Errors!$B:$B, $C15, Errors!$I:$I, R$1)</f>
        <v>0</v>
      </c>
      <c r="S15" s="309">
        <f>COUNTIFS(Errors!$B:$B, $C15, Errors!$I:$I, S$1)</f>
        <v>0</v>
      </c>
      <c r="T15" s="309">
        <f>COUNTIFS(Errors!$B:$B, $C15, Errors!$I:$I, T$1)</f>
        <v>0</v>
      </c>
      <c r="U15" s="309">
        <f>COUNTIFS(Errors!$B:$B, $C15, Errors!$I:$I, U$1)</f>
        <v>0</v>
      </c>
      <c r="V15" s="309">
        <f>COUNTIFS(Errors!$B:$B, $C15, Errors!$I:$I, V$1)</f>
        <v>0</v>
      </c>
      <c r="W15" s="309">
        <f>COUNTIFS(Errors!$B:$B, $C15, Errors!$I:$I, W$1)</f>
        <v>0</v>
      </c>
      <c r="X15" s="309">
        <f>COUNTIFS(Errors!$B:$B, $C15, Errors!$I:$I, X$1)</f>
        <v>0</v>
      </c>
      <c r="AA15" s="316" t="s">
        <v>124</v>
      </c>
      <c r="AB15" s="176" t="s">
        <v>125</v>
      </c>
    </row>
    <row r="16" ht="15.0" customHeight="1">
      <c r="A16" s="314">
        <v>0.0</v>
      </c>
      <c r="B16" s="293">
        <f>SourceData!K16</f>
        <v>1</v>
      </c>
      <c r="C16" s="294" t="str">
        <f>SourceData!J16</f>
        <v>Anneli Zaitseva</v>
      </c>
      <c r="D16" s="295">
        <f>(COUNTIF(Errors!$B$3:$B$3010,'Error Count Analysis'!C16))-((COUNTIFS(Errors!$B$3:$B$3010,'Error Count Analysis'!C16, (Errors!$I$3:$I$3010),"TV*")))</f>
        <v>2</v>
      </c>
      <c r="E16" s="296">
        <f t="shared" si="1"/>
        <v>2</v>
      </c>
      <c r="F16" s="297">
        <f>COUNTIFS(Errors!$B:$B, $C16, Errors!$I:$I, F$1)</f>
        <v>0</v>
      </c>
      <c r="G16" s="298">
        <f>COUNTIFS(Errors!$B:$B, $C16, Errors!$I:$I, G$1)</f>
        <v>1</v>
      </c>
      <c r="H16" s="298">
        <f>COUNTIFS(Errors!$B:$B, $C16, Errors!$I:$I, H$1)</f>
        <v>0</v>
      </c>
      <c r="I16" s="298">
        <f>COUNTIFS(Errors!$B:$B, $C16, Errors!$I:$I, I$1)</f>
        <v>0</v>
      </c>
      <c r="J16" s="298">
        <f>COUNTIFS(Errors!$B:$B, $C16, Errors!$I:$I, J$1)</f>
        <v>1</v>
      </c>
      <c r="K16" s="298">
        <f>COUNTIFS(Errors!$B:$B, $C16, Errors!$I:$I, K$1)</f>
        <v>0</v>
      </c>
      <c r="L16" s="298">
        <f>COUNTIFS(Errors!$B:$B, $C16, Errors!$I:$I, L$1)</f>
        <v>0</v>
      </c>
      <c r="M16" s="298">
        <f>COUNTIFS(Errors!$B:$B, $C16, Errors!$I:$I, M$1)</f>
        <v>0</v>
      </c>
      <c r="N16" s="298">
        <f>COUNTIFS(Errors!$B:$B, $C16, Errors!$I:$I, N$1)</f>
        <v>0</v>
      </c>
      <c r="O16" s="299">
        <f>COUNTIFS(Errors!$B:$B, $C16, Errors!$I:$I, O$1)</f>
        <v>0</v>
      </c>
      <c r="P16" s="298">
        <f>COUNTIFS(Errors!$B:$B, $C16, Errors!$I:$I, P$1)</f>
        <v>0</v>
      </c>
      <c r="Q16" s="298">
        <f>COUNTIFS(Errors!$B:$B, $C16, Errors!$I:$I, Q$1)</f>
        <v>0</v>
      </c>
      <c r="R16" s="298">
        <f>COUNTIFS(Errors!$B:$B, $C16, Errors!$I:$I, R$1)</f>
        <v>0</v>
      </c>
      <c r="S16" s="298">
        <f>COUNTIFS(Errors!$B:$B, $C16, Errors!$I:$I, S$1)</f>
        <v>0</v>
      </c>
      <c r="T16" s="298">
        <f>COUNTIFS(Errors!$B:$B, $C16, Errors!$I:$I, T$1)</f>
        <v>0</v>
      </c>
      <c r="U16" s="298">
        <f>COUNTIFS(Errors!$B:$B, $C16, Errors!$I:$I, U$1)</f>
        <v>0</v>
      </c>
      <c r="V16" s="298">
        <f>COUNTIFS(Errors!$B:$B, $C16, Errors!$I:$I, V$1)</f>
        <v>0</v>
      </c>
      <c r="W16" s="298">
        <f>COUNTIFS(Errors!$B:$B, $C16, Errors!$I:$I, W$1)</f>
        <v>0</v>
      </c>
      <c r="X16" s="298">
        <f>COUNTIFS(Errors!$B:$B, $C16, Errors!$I:$I, X$1)</f>
        <v>0</v>
      </c>
      <c r="AA16" s="316" t="s">
        <v>128</v>
      </c>
      <c r="AB16" s="176" t="s">
        <v>129</v>
      </c>
    </row>
    <row r="17" ht="15.0" customHeight="1">
      <c r="A17" s="303">
        <v>0.0</v>
      </c>
      <c r="B17" s="304">
        <f>SourceData!K17</f>
        <v>1</v>
      </c>
      <c r="C17" s="305" t="str">
        <f>SourceData!J17</f>
        <v>Anya Kiisk</v>
      </c>
      <c r="D17" s="306">
        <f>(COUNTIF(Errors!$B$3:$B$3010,'Error Count Analysis'!C17))-((COUNTIFS(Errors!$B$3:$B$3010,'Error Count Analysis'!C17, (Errors!$I$3:$I$3010),"TV*")))</f>
        <v>0</v>
      </c>
      <c r="E17" s="307">
        <f t="shared" si="1"/>
        <v>0</v>
      </c>
      <c r="F17" s="308">
        <f>COUNTIFS(Errors!$B:$B, $C17, Errors!$I:$I, F$1)</f>
        <v>0</v>
      </c>
      <c r="G17" s="309">
        <f>COUNTIFS(Errors!$B:$B, $C17, Errors!$I:$I, G$1)</f>
        <v>0</v>
      </c>
      <c r="H17" s="309">
        <f>COUNTIFS(Errors!$B:$B, $C17, Errors!$I:$I, H$1)</f>
        <v>0</v>
      </c>
      <c r="I17" s="309">
        <f>COUNTIFS(Errors!$B:$B, $C17, Errors!$I:$I, I$1)</f>
        <v>0</v>
      </c>
      <c r="J17" s="309">
        <f>COUNTIFS(Errors!$B:$B, $C17, Errors!$I:$I, J$1)</f>
        <v>0</v>
      </c>
      <c r="K17" s="309">
        <f>COUNTIFS(Errors!$B:$B, $C17, Errors!$I:$I, K$1)</f>
        <v>0</v>
      </c>
      <c r="L17" s="309">
        <f>COUNTIFS(Errors!$B:$B, $C17, Errors!$I:$I, L$1)</f>
        <v>0</v>
      </c>
      <c r="M17" s="309">
        <f>COUNTIFS(Errors!$B:$B, $C17, Errors!$I:$I, M$1)</f>
        <v>0</v>
      </c>
      <c r="N17" s="309">
        <f>COUNTIFS(Errors!$B:$B, $C17, Errors!$I:$I, N$1)</f>
        <v>0</v>
      </c>
      <c r="O17" s="310">
        <f>COUNTIFS(Errors!$B:$B, $C17, Errors!$I:$I, O$1)</f>
        <v>0</v>
      </c>
      <c r="P17" s="309">
        <f>COUNTIFS(Errors!$B:$B, $C17, Errors!$I:$I, P$1)</f>
        <v>0</v>
      </c>
      <c r="Q17" s="309">
        <f>COUNTIFS(Errors!$B:$B, $C17, Errors!$I:$I, Q$1)</f>
        <v>0</v>
      </c>
      <c r="R17" s="309">
        <f>COUNTIFS(Errors!$B:$B, $C17, Errors!$I:$I, R$1)</f>
        <v>0</v>
      </c>
      <c r="S17" s="309">
        <f>COUNTIFS(Errors!$B:$B, $C17, Errors!$I:$I, S$1)</f>
        <v>0</v>
      </c>
      <c r="T17" s="309">
        <f>COUNTIFS(Errors!$B:$B, $C17, Errors!$I:$I, T$1)</f>
        <v>0</v>
      </c>
      <c r="U17" s="309">
        <f>COUNTIFS(Errors!$B:$B, $C17, Errors!$I:$I, U$1)</f>
        <v>0</v>
      </c>
      <c r="V17" s="309">
        <f>COUNTIFS(Errors!$B:$B, $C17, Errors!$I:$I, V$1)</f>
        <v>0</v>
      </c>
      <c r="W17" s="309">
        <f>COUNTIFS(Errors!$B:$B, $C17, Errors!$I:$I, W$1)</f>
        <v>0</v>
      </c>
      <c r="X17" s="309">
        <f>COUNTIFS(Errors!$B:$B, $C17, Errors!$I:$I, X$1)</f>
        <v>0</v>
      </c>
      <c r="AA17" s="316" t="s">
        <v>132</v>
      </c>
      <c r="AB17" s="176" t="s">
        <v>133</v>
      </c>
    </row>
    <row r="18" ht="15.0" customHeight="1">
      <c r="A18" s="314">
        <v>0.0</v>
      </c>
      <c r="B18" s="293">
        <f>SourceData!K18</f>
        <v>0.75</v>
      </c>
      <c r="C18" s="294" t="str">
        <f>SourceData!J18</f>
        <v>Apple Jiene Doroja</v>
      </c>
      <c r="D18" s="295">
        <f>(COUNTIF(Errors!$B$3:$B$3010,'Error Count Analysis'!C18))-((COUNTIFS(Errors!$B$3:$B$3010,'Error Count Analysis'!C18, (Errors!$I$3:$I$3010),"TV*")))</f>
        <v>1</v>
      </c>
      <c r="E18" s="296">
        <f t="shared" si="1"/>
        <v>1.333333333</v>
      </c>
      <c r="F18" s="297">
        <f>COUNTIFS(Errors!$B:$B, $C18, Errors!$I:$I, F$1)</f>
        <v>0</v>
      </c>
      <c r="G18" s="298">
        <f>COUNTIFS(Errors!$B:$B, $C18, Errors!$I:$I, G$1)</f>
        <v>0</v>
      </c>
      <c r="H18" s="298">
        <f>COUNTIFS(Errors!$B:$B, $C18, Errors!$I:$I, H$1)</f>
        <v>0</v>
      </c>
      <c r="I18" s="298">
        <f>COUNTIFS(Errors!$B:$B, $C18, Errors!$I:$I, I$1)</f>
        <v>0</v>
      </c>
      <c r="J18" s="298">
        <f>COUNTIFS(Errors!$B:$B, $C18, Errors!$I:$I, J$1)</f>
        <v>0</v>
      </c>
      <c r="K18" s="298">
        <f>COUNTIFS(Errors!$B:$B, $C18, Errors!$I:$I, K$1)</f>
        <v>0</v>
      </c>
      <c r="L18" s="298">
        <f>COUNTIFS(Errors!$B:$B, $C18, Errors!$I:$I, L$1)</f>
        <v>0</v>
      </c>
      <c r="M18" s="298">
        <f>COUNTIFS(Errors!$B:$B, $C18, Errors!$I:$I, M$1)</f>
        <v>0</v>
      </c>
      <c r="N18" s="298">
        <f>COUNTIFS(Errors!$B:$B, $C18, Errors!$I:$I, N$1)</f>
        <v>0</v>
      </c>
      <c r="O18" s="299">
        <f>COUNTIFS(Errors!$B:$B, $C18, Errors!$I:$I, O$1)</f>
        <v>0</v>
      </c>
      <c r="P18" s="298">
        <f>COUNTIFS(Errors!$B:$B, $C18, Errors!$I:$I, P$1)</f>
        <v>0</v>
      </c>
      <c r="Q18" s="298">
        <f>COUNTIFS(Errors!$B:$B, $C18, Errors!$I:$I, Q$1)</f>
        <v>0</v>
      </c>
      <c r="R18" s="298">
        <f>COUNTIFS(Errors!$B:$B, $C18, Errors!$I:$I, R$1)</f>
        <v>0</v>
      </c>
      <c r="S18" s="298">
        <f>COUNTIFS(Errors!$B:$B, $C18, Errors!$I:$I, S$1)</f>
        <v>0</v>
      </c>
      <c r="T18" s="298">
        <f>COUNTIFS(Errors!$B:$B, $C18, Errors!$I:$I, T$1)</f>
        <v>0</v>
      </c>
      <c r="U18" s="298">
        <f>COUNTIFS(Errors!$B:$B, $C18, Errors!$I:$I, U$1)</f>
        <v>0</v>
      </c>
      <c r="V18" s="298">
        <f>COUNTIFS(Errors!$B:$B, $C18, Errors!$I:$I, V$1)</f>
        <v>1</v>
      </c>
      <c r="W18" s="298">
        <f>COUNTIFS(Errors!$B:$B, $C18, Errors!$I:$I, W$1)</f>
        <v>0</v>
      </c>
      <c r="X18" s="298">
        <f>COUNTIFS(Errors!$B:$B, $C18, Errors!$I:$I, X$1)</f>
        <v>0</v>
      </c>
      <c r="AA18" s="320" t="s">
        <v>226</v>
      </c>
      <c r="AB18" s="321" t="s">
        <v>227</v>
      </c>
    </row>
    <row r="19" ht="15.0" customHeight="1">
      <c r="A19" s="303">
        <v>0.0</v>
      </c>
      <c r="B19" s="304">
        <f>SourceData!K19</f>
        <v>0.75</v>
      </c>
      <c r="C19" s="305" t="str">
        <f>SourceData!J19</f>
        <v>Astrid Suvorov</v>
      </c>
      <c r="D19" s="306">
        <f>(COUNTIF(Errors!$B$3:$B$3010,'Error Count Analysis'!C19))-((COUNTIFS(Errors!$B$3:$B$3010,'Error Count Analysis'!C19, (Errors!$I$3:$I$3010),"TV*")))</f>
        <v>0</v>
      </c>
      <c r="E19" s="307">
        <f t="shared" si="1"/>
        <v>0</v>
      </c>
      <c r="F19" s="308">
        <f>COUNTIFS(Errors!$B:$B, $C19, Errors!$I:$I, F$1)</f>
        <v>0</v>
      </c>
      <c r="G19" s="309">
        <f>COUNTIFS(Errors!$B:$B, $C19, Errors!$I:$I, G$1)</f>
        <v>0</v>
      </c>
      <c r="H19" s="309">
        <f>COUNTIFS(Errors!$B:$B, $C19, Errors!$I:$I, H$1)</f>
        <v>0</v>
      </c>
      <c r="I19" s="309">
        <f>COUNTIFS(Errors!$B:$B, $C19, Errors!$I:$I, I$1)</f>
        <v>0</v>
      </c>
      <c r="J19" s="309">
        <f>COUNTIFS(Errors!$B:$B, $C19, Errors!$I:$I, J$1)</f>
        <v>0</v>
      </c>
      <c r="K19" s="309">
        <f>COUNTIFS(Errors!$B:$B, $C19, Errors!$I:$I, K$1)</f>
        <v>0</v>
      </c>
      <c r="L19" s="309">
        <f>COUNTIFS(Errors!$B:$B, $C19, Errors!$I:$I, L$1)</f>
        <v>0</v>
      </c>
      <c r="M19" s="309">
        <f>COUNTIFS(Errors!$B:$B, $C19, Errors!$I:$I, M$1)</f>
        <v>0</v>
      </c>
      <c r="N19" s="309">
        <f>COUNTIFS(Errors!$B:$B, $C19, Errors!$I:$I, N$1)</f>
        <v>0</v>
      </c>
      <c r="O19" s="310">
        <f>COUNTIFS(Errors!$B:$B, $C19, Errors!$I:$I, O$1)</f>
        <v>0</v>
      </c>
      <c r="P19" s="309">
        <f>COUNTIFS(Errors!$B:$B, $C19, Errors!$I:$I, P$1)</f>
        <v>0</v>
      </c>
      <c r="Q19" s="309">
        <f>COUNTIFS(Errors!$B:$B, $C19, Errors!$I:$I, Q$1)</f>
        <v>0</v>
      </c>
      <c r="R19" s="309">
        <f>COUNTIFS(Errors!$B:$B, $C19, Errors!$I:$I, R$1)</f>
        <v>0</v>
      </c>
      <c r="S19" s="309">
        <f>COUNTIFS(Errors!$B:$B, $C19, Errors!$I:$I, S$1)</f>
        <v>0</v>
      </c>
      <c r="T19" s="309">
        <f>COUNTIFS(Errors!$B:$B, $C19, Errors!$I:$I, T$1)</f>
        <v>0</v>
      </c>
      <c r="U19" s="309">
        <f>COUNTIFS(Errors!$B:$B, $C19, Errors!$I:$I, U$1)</f>
        <v>0</v>
      </c>
      <c r="V19" s="309">
        <f>COUNTIFS(Errors!$B:$B, $C19, Errors!$I:$I, V$1)</f>
        <v>0</v>
      </c>
      <c r="W19" s="309">
        <f>COUNTIFS(Errors!$B:$B, $C19, Errors!$I:$I, W$1)</f>
        <v>0</v>
      </c>
      <c r="X19" s="309">
        <f>COUNTIFS(Errors!$B:$B, $C19, Errors!$I:$I, X$1)</f>
        <v>0</v>
      </c>
      <c r="AA19" s="320" t="s">
        <v>229</v>
      </c>
      <c r="AB19" s="176" t="s">
        <v>138</v>
      </c>
    </row>
    <row r="20" ht="15.0" customHeight="1">
      <c r="A20" s="314">
        <v>0.0</v>
      </c>
      <c r="B20" s="293">
        <f>SourceData!K20</f>
        <v>0.75</v>
      </c>
      <c r="C20" s="294" t="str">
        <f>SourceData!J20</f>
        <v>Birgit Eevardi</v>
      </c>
      <c r="D20" s="295">
        <f>(COUNTIF(Errors!$B$3:$B$3010,'Error Count Analysis'!C20))-((COUNTIFS(Errors!$B$3:$B$3010,'Error Count Analysis'!C20, (Errors!$I$3:$I$3010),"TV*")))</f>
        <v>0</v>
      </c>
      <c r="E20" s="296">
        <f t="shared" si="1"/>
        <v>0</v>
      </c>
      <c r="F20" s="297">
        <f>COUNTIFS(Errors!$B:$B, $C20, Errors!$I:$I, F$1)</f>
        <v>0</v>
      </c>
      <c r="G20" s="298">
        <f>COUNTIFS(Errors!$B:$B, $C20, Errors!$I:$I, G$1)</f>
        <v>0</v>
      </c>
      <c r="H20" s="298">
        <f>COUNTIFS(Errors!$B:$B, $C20, Errors!$I:$I, H$1)</f>
        <v>0</v>
      </c>
      <c r="I20" s="298">
        <f>COUNTIFS(Errors!$B:$B, $C20, Errors!$I:$I, I$1)</f>
        <v>0</v>
      </c>
      <c r="J20" s="298">
        <f>COUNTIFS(Errors!$B:$B, $C20, Errors!$I:$I, J$1)</f>
        <v>0</v>
      </c>
      <c r="K20" s="298">
        <f>COUNTIFS(Errors!$B:$B, $C20, Errors!$I:$I, K$1)</f>
        <v>0</v>
      </c>
      <c r="L20" s="298">
        <f>COUNTIFS(Errors!$B:$B, $C20, Errors!$I:$I, L$1)</f>
        <v>0</v>
      </c>
      <c r="M20" s="298">
        <f>COUNTIFS(Errors!$B:$B, $C20, Errors!$I:$I, M$1)</f>
        <v>0</v>
      </c>
      <c r="N20" s="298">
        <f>COUNTIFS(Errors!$B:$B, $C20, Errors!$I:$I, N$1)</f>
        <v>0</v>
      </c>
      <c r="O20" s="299">
        <f>COUNTIFS(Errors!$B:$B, $C20, Errors!$I:$I, O$1)</f>
        <v>0</v>
      </c>
      <c r="P20" s="298">
        <f>COUNTIFS(Errors!$B:$B, $C20, Errors!$I:$I, P$1)</f>
        <v>0</v>
      </c>
      <c r="Q20" s="298">
        <f>COUNTIFS(Errors!$B:$B, $C20, Errors!$I:$I, Q$1)</f>
        <v>0</v>
      </c>
      <c r="R20" s="298">
        <f>COUNTIFS(Errors!$B:$B, $C20, Errors!$I:$I, R$1)</f>
        <v>0</v>
      </c>
      <c r="S20" s="298">
        <f>COUNTIFS(Errors!$B:$B, $C20, Errors!$I:$I, S$1)</f>
        <v>0</v>
      </c>
      <c r="T20" s="298">
        <f>COUNTIFS(Errors!$B:$B, $C20, Errors!$I:$I, T$1)</f>
        <v>0</v>
      </c>
      <c r="U20" s="298">
        <f>COUNTIFS(Errors!$B:$B, $C20, Errors!$I:$I, U$1)</f>
        <v>0</v>
      </c>
      <c r="V20" s="298">
        <f>COUNTIFS(Errors!$B:$B, $C20, Errors!$I:$I, V$1)</f>
        <v>0</v>
      </c>
      <c r="W20" s="298">
        <f>COUNTIFS(Errors!$B:$B, $C20, Errors!$I:$I, W$1)</f>
        <v>0</v>
      </c>
      <c r="X20" s="298">
        <f>COUNTIFS(Errors!$B:$B, $C20, Errors!$I:$I, X$1)</f>
        <v>0</v>
      </c>
      <c r="AA20" s="320" t="s">
        <v>152</v>
      </c>
      <c r="AB20" s="176" t="s">
        <v>153</v>
      </c>
    </row>
    <row r="21" ht="15.0" customHeight="1">
      <c r="A21" s="303">
        <v>0.0</v>
      </c>
      <c r="B21" s="304">
        <f>SourceData!K21</f>
        <v>1</v>
      </c>
      <c r="C21" s="305" t="str">
        <f>SourceData!J21</f>
        <v>Claudine Filatov</v>
      </c>
      <c r="D21" s="306">
        <f>(COUNTIF(Errors!$B$3:$B$3010,'Error Count Analysis'!C21))-((COUNTIFS(Errors!$B$3:$B$3010,'Error Count Analysis'!C21, (Errors!$I$3:$I$3010),"TV*")))</f>
        <v>1</v>
      </c>
      <c r="E21" s="307">
        <f t="shared" si="1"/>
        <v>1</v>
      </c>
      <c r="F21" s="308">
        <f>COUNTIFS(Errors!$B:$B, $C21, Errors!$I:$I, F$1)</f>
        <v>0</v>
      </c>
      <c r="G21" s="309">
        <f>COUNTIFS(Errors!$B:$B, $C21, Errors!$I:$I, G$1)</f>
        <v>0</v>
      </c>
      <c r="H21" s="309">
        <f>COUNTIFS(Errors!$B:$B, $C21, Errors!$I:$I, H$1)</f>
        <v>0</v>
      </c>
      <c r="I21" s="309">
        <f>COUNTIFS(Errors!$B:$B, $C21, Errors!$I:$I, I$1)</f>
        <v>0</v>
      </c>
      <c r="J21" s="309">
        <f>COUNTIFS(Errors!$B:$B, $C21, Errors!$I:$I, J$1)</f>
        <v>0</v>
      </c>
      <c r="K21" s="309">
        <f>COUNTIFS(Errors!$B:$B, $C21, Errors!$I:$I, K$1)</f>
        <v>0</v>
      </c>
      <c r="L21" s="309">
        <f>COUNTIFS(Errors!$B:$B, $C21, Errors!$I:$I, L$1)</f>
        <v>0</v>
      </c>
      <c r="M21" s="309">
        <f>COUNTIFS(Errors!$B:$B, $C21, Errors!$I:$I, M$1)</f>
        <v>0</v>
      </c>
      <c r="N21" s="309">
        <f>COUNTIFS(Errors!$B:$B, $C21, Errors!$I:$I, N$1)</f>
        <v>0</v>
      </c>
      <c r="O21" s="310">
        <f>COUNTIFS(Errors!$B:$B, $C21, Errors!$I:$I, O$1)</f>
        <v>0</v>
      </c>
      <c r="P21" s="309">
        <f>COUNTIFS(Errors!$B:$B, $C21, Errors!$I:$I, P$1)</f>
        <v>0</v>
      </c>
      <c r="Q21" s="309">
        <f>COUNTIFS(Errors!$B:$B, $C21, Errors!$I:$I, Q$1)</f>
        <v>0</v>
      </c>
      <c r="R21" s="309">
        <f>COUNTIFS(Errors!$B:$B, $C21, Errors!$I:$I, R$1)</f>
        <v>0</v>
      </c>
      <c r="S21" s="309">
        <f>COUNTIFS(Errors!$B:$B, $C21, Errors!$I:$I, S$1)</f>
        <v>0</v>
      </c>
      <c r="T21" s="309">
        <f>COUNTIFS(Errors!$B:$B, $C21, Errors!$I:$I, T$1)</f>
        <v>0</v>
      </c>
      <c r="U21" s="309">
        <f>COUNTIFS(Errors!$B:$B, $C21, Errors!$I:$I, U$1)</f>
        <v>0</v>
      </c>
      <c r="V21" s="309">
        <f>COUNTIFS(Errors!$B:$B, $C21, Errors!$I:$I, V$1)</f>
        <v>0</v>
      </c>
      <c r="W21" s="309">
        <f>COUNTIFS(Errors!$B:$B, $C21, Errors!$I:$I, W$1)</f>
        <v>0</v>
      </c>
      <c r="X21" s="309">
        <f>COUNTIFS(Errors!$B:$B, $C21, Errors!$I:$I, X$1)</f>
        <v>1</v>
      </c>
      <c r="AA21" s="320" t="s">
        <v>156</v>
      </c>
      <c r="AB21" s="176" t="s">
        <v>232</v>
      </c>
    </row>
    <row r="22" ht="15.0" customHeight="1">
      <c r="A22" s="314">
        <v>0.0</v>
      </c>
      <c r="B22" s="293">
        <f>SourceData!K22</f>
        <v>1</v>
      </c>
      <c r="C22" s="294" t="str">
        <f>SourceData!J22</f>
        <v>Daniel Pozdeev</v>
      </c>
      <c r="D22" s="295">
        <f>(COUNTIF(Errors!$B$3:$B$3010,'Error Count Analysis'!C22))-((COUNTIFS(Errors!$B$3:$B$3010,'Error Count Analysis'!C22, (Errors!$I$3:$I$3010),"TV*")))</f>
        <v>0</v>
      </c>
      <c r="E22" s="296">
        <f t="shared" si="1"/>
        <v>0</v>
      </c>
      <c r="F22" s="297">
        <f>COUNTIFS(Errors!$B:$B, $C22, Errors!$I:$I, F$1)</f>
        <v>0</v>
      </c>
      <c r="G22" s="298">
        <f>COUNTIFS(Errors!$B:$B, $C22, Errors!$I:$I, G$1)</f>
        <v>0</v>
      </c>
      <c r="H22" s="298">
        <f>COUNTIFS(Errors!$B:$B, $C22, Errors!$I:$I, H$1)</f>
        <v>0</v>
      </c>
      <c r="I22" s="298">
        <f>COUNTIFS(Errors!$B:$B, $C22, Errors!$I:$I, I$1)</f>
        <v>0</v>
      </c>
      <c r="J22" s="298">
        <f>COUNTIFS(Errors!$B:$B, $C22, Errors!$I:$I, J$1)</f>
        <v>0</v>
      </c>
      <c r="K22" s="298">
        <f>COUNTIFS(Errors!$B:$B, $C22, Errors!$I:$I, K$1)</f>
        <v>0</v>
      </c>
      <c r="L22" s="298">
        <f>COUNTIFS(Errors!$B:$B, $C22, Errors!$I:$I, L$1)</f>
        <v>0</v>
      </c>
      <c r="M22" s="298">
        <f>COUNTIFS(Errors!$B:$B, $C22, Errors!$I:$I, M$1)</f>
        <v>0</v>
      </c>
      <c r="N22" s="298">
        <f>COUNTIFS(Errors!$B:$B, $C22, Errors!$I:$I, N$1)</f>
        <v>0</v>
      </c>
      <c r="O22" s="299">
        <f>COUNTIFS(Errors!$B:$B, $C22, Errors!$I:$I, O$1)</f>
        <v>0</v>
      </c>
      <c r="P22" s="298">
        <f>COUNTIFS(Errors!$B:$B, $C22, Errors!$I:$I, P$1)</f>
        <v>0</v>
      </c>
      <c r="Q22" s="298">
        <f>COUNTIFS(Errors!$B:$B, $C22, Errors!$I:$I, Q$1)</f>
        <v>0</v>
      </c>
      <c r="R22" s="298">
        <f>COUNTIFS(Errors!$B:$B, $C22, Errors!$I:$I, R$1)</f>
        <v>0</v>
      </c>
      <c r="S22" s="298">
        <f>COUNTIFS(Errors!$B:$B, $C22, Errors!$I:$I, S$1)</f>
        <v>0</v>
      </c>
      <c r="T22" s="298">
        <f>COUNTIFS(Errors!$B:$B, $C22, Errors!$I:$I, T$1)</f>
        <v>0</v>
      </c>
      <c r="U22" s="298">
        <f>COUNTIFS(Errors!$B:$B, $C22, Errors!$I:$I, U$1)</f>
        <v>0</v>
      </c>
      <c r="V22" s="298">
        <f>COUNTIFS(Errors!$B:$B, $C22, Errors!$I:$I, V$1)</f>
        <v>0</v>
      </c>
      <c r="W22" s="298">
        <f>COUNTIFS(Errors!$B:$B, $C22, Errors!$I:$I, W$1)</f>
        <v>0</v>
      </c>
      <c r="X22" s="298">
        <f>COUNTIFS(Errors!$B:$B, $C22, Errors!$I:$I, X$1)</f>
        <v>0</v>
      </c>
      <c r="AA22" s="320"/>
      <c r="AB22" s="176"/>
    </row>
    <row r="23" ht="15.0" customHeight="1">
      <c r="A23" s="303">
        <v>0.0</v>
      </c>
      <c r="B23" s="304">
        <f>SourceData!K23</f>
        <v>0.75</v>
      </c>
      <c r="C23" s="305" t="str">
        <f>SourceData!J23</f>
        <v>Danylo Baiduhanov</v>
      </c>
      <c r="D23" s="306">
        <f>(COUNTIF(Errors!$B$3:$B$3010,'Error Count Analysis'!C23))-((COUNTIFS(Errors!$B$3:$B$3010,'Error Count Analysis'!C23, (Errors!$I$3:$I$3010),"TV*")))</f>
        <v>3</v>
      </c>
      <c r="E23" s="307">
        <f t="shared" si="1"/>
        <v>4</v>
      </c>
      <c r="F23" s="308">
        <f>COUNTIFS(Errors!$B:$B, $C23, Errors!$I:$I, F$1)</f>
        <v>0</v>
      </c>
      <c r="G23" s="309">
        <f>COUNTIFS(Errors!$B:$B, $C23, Errors!$I:$I, G$1)</f>
        <v>1</v>
      </c>
      <c r="H23" s="309">
        <f>COUNTIFS(Errors!$B:$B, $C23, Errors!$I:$I, H$1)</f>
        <v>1</v>
      </c>
      <c r="I23" s="309">
        <f>COUNTIFS(Errors!$B:$B, $C23, Errors!$I:$I, I$1)</f>
        <v>0</v>
      </c>
      <c r="J23" s="309">
        <f>COUNTIFS(Errors!$B:$B, $C23, Errors!$I:$I, J$1)</f>
        <v>0</v>
      </c>
      <c r="K23" s="309">
        <f>COUNTIFS(Errors!$B:$B, $C23, Errors!$I:$I, K$1)</f>
        <v>0</v>
      </c>
      <c r="L23" s="309">
        <f>COUNTIFS(Errors!$B:$B, $C23, Errors!$I:$I, L$1)</f>
        <v>0</v>
      </c>
      <c r="M23" s="309">
        <f>COUNTIFS(Errors!$B:$B, $C23, Errors!$I:$I, M$1)</f>
        <v>0</v>
      </c>
      <c r="N23" s="309">
        <f>COUNTIFS(Errors!$B:$B, $C23, Errors!$I:$I, N$1)</f>
        <v>0</v>
      </c>
      <c r="O23" s="310">
        <f>COUNTIFS(Errors!$B:$B, $C23, Errors!$I:$I, O$1)</f>
        <v>0</v>
      </c>
      <c r="P23" s="309">
        <f>COUNTIFS(Errors!$B:$B, $C23, Errors!$I:$I, P$1)</f>
        <v>0</v>
      </c>
      <c r="Q23" s="309">
        <f>COUNTIFS(Errors!$B:$B, $C23, Errors!$I:$I, Q$1)</f>
        <v>0</v>
      </c>
      <c r="R23" s="309">
        <f>COUNTIFS(Errors!$B:$B, $C23, Errors!$I:$I, R$1)</f>
        <v>0</v>
      </c>
      <c r="S23" s="309">
        <f>COUNTIFS(Errors!$B:$B, $C23, Errors!$I:$I, S$1)</f>
        <v>0</v>
      </c>
      <c r="T23" s="309">
        <f>COUNTIFS(Errors!$B:$B, $C23, Errors!$I:$I, T$1)</f>
        <v>1</v>
      </c>
      <c r="U23" s="309">
        <f>COUNTIFS(Errors!$B:$B, $C23, Errors!$I:$I, U$1)</f>
        <v>0</v>
      </c>
      <c r="V23" s="309">
        <f>COUNTIFS(Errors!$B:$B, $C23, Errors!$I:$I, V$1)</f>
        <v>0</v>
      </c>
      <c r="W23" s="309">
        <f>COUNTIFS(Errors!$B:$B, $C23, Errors!$I:$I, W$1)</f>
        <v>0</v>
      </c>
      <c r="X23" s="309">
        <f>COUNTIFS(Errors!$B:$B, $C23, Errors!$I:$I, X$1)</f>
        <v>0</v>
      </c>
      <c r="AA23" s="320"/>
      <c r="AB23" s="176"/>
    </row>
    <row r="24" ht="15.0" customHeight="1">
      <c r="A24" s="314">
        <v>0.0</v>
      </c>
      <c r="B24" s="293">
        <f>SourceData!K24</f>
        <v>0.75</v>
      </c>
      <c r="C24" s="294" t="str">
        <f>SourceData!J24</f>
        <v>Darja Kornilova</v>
      </c>
      <c r="D24" s="295">
        <f>(COUNTIF(Errors!$B$3:$B$3010,'Error Count Analysis'!C24))-((COUNTIFS(Errors!$B$3:$B$3010,'Error Count Analysis'!C24, (Errors!$I$3:$I$3010),"TV*")))</f>
        <v>1</v>
      </c>
      <c r="E24" s="296">
        <f t="shared" si="1"/>
        <v>1.333333333</v>
      </c>
      <c r="F24" s="297">
        <f>COUNTIFS(Errors!$B:$B, $C24, Errors!$I:$I, F$1)</f>
        <v>0</v>
      </c>
      <c r="G24" s="298">
        <f>COUNTIFS(Errors!$B:$B, $C24, Errors!$I:$I, G$1)</f>
        <v>0</v>
      </c>
      <c r="H24" s="298">
        <f>COUNTIFS(Errors!$B:$B, $C24, Errors!$I:$I, H$1)</f>
        <v>0</v>
      </c>
      <c r="I24" s="298">
        <f>COUNTIFS(Errors!$B:$B, $C24, Errors!$I:$I, I$1)</f>
        <v>0</v>
      </c>
      <c r="J24" s="298">
        <f>COUNTIFS(Errors!$B:$B, $C24, Errors!$I:$I, J$1)</f>
        <v>0</v>
      </c>
      <c r="K24" s="298">
        <f>COUNTIFS(Errors!$B:$B, $C24, Errors!$I:$I, K$1)</f>
        <v>0</v>
      </c>
      <c r="L24" s="298">
        <f>COUNTIFS(Errors!$B:$B, $C24, Errors!$I:$I, L$1)</f>
        <v>0</v>
      </c>
      <c r="M24" s="298">
        <f>COUNTIFS(Errors!$B:$B, $C24, Errors!$I:$I, M$1)</f>
        <v>0</v>
      </c>
      <c r="N24" s="298">
        <f>COUNTIFS(Errors!$B:$B, $C24, Errors!$I:$I, N$1)</f>
        <v>0</v>
      </c>
      <c r="O24" s="299">
        <f>COUNTIFS(Errors!$B:$B, $C24, Errors!$I:$I, O$1)</f>
        <v>0</v>
      </c>
      <c r="P24" s="298">
        <f>COUNTIFS(Errors!$B:$B, $C24, Errors!$I:$I, P$1)</f>
        <v>1</v>
      </c>
      <c r="Q24" s="298">
        <f>COUNTIFS(Errors!$B:$B, $C24, Errors!$I:$I, Q$1)</f>
        <v>0</v>
      </c>
      <c r="R24" s="298">
        <f>COUNTIFS(Errors!$B:$B, $C24, Errors!$I:$I, R$1)</f>
        <v>0</v>
      </c>
      <c r="S24" s="298">
        <f>COUNTIFS(Errors!$B:$B, $C24, Errors!$I:$I, S$1)</f>
        <v>0</v>
      </c>
      <c r="T24" s="298">
        <f>COUNTIFS(Errors!$B:$B, $C24, Errors!$I:$I, T$1)</f>
        <v>0</v>
      </c>
      <c r="U24" s="298">
        <f>COUNTIFS(Errors!$B:$B, $C24, Errors!$I:$I, U$1)</f>
        <v>0</v>
      </c>
      <c r="V24" s="298">
        <f>COUNTIFS(Errors!$B:$B, $C24, Errors!$I:$I, V$1)</f>
        <v>0</v>
      </c>
      <c r="W24" s="298">
        <f>COUNTIFS(Errors!$B:$B, $C24, Errors!$I:$I, W$1)</f>
        <v>0</v>
      </c>
      <c r="X24" s="298">
        <f>COUNTIFS(Errors!$B:$B, $C24, Errors!$I:$I, X$1)</f>
        <v>0</v>
      </c>
      <c r="AA24" s="320"/>
      <c r="AB24" s="176"/>
    </row>
    <row r="25" ht="15.0" customHeight="1">
      <c r="A25" s="303">
        <v>0.0</v>
      </c>
      <c r="B25" s="304">
        <f>SourceData!K25</f>
        <v>0.75</v>
      </c>
      <c r="C25" s="305" t="str">
        <f>SourceData!J25</f>
        <v>Dia Lee</v>
      </c>
      <c r="D25" s="306">
        <f>(COUNTIF(Errors!$B$3:$B$3010,'Error Count Analysis'!C25))-((COUNTIFS(Errors!$B$3:$B$3010,'Error Count Analysis'!C25, (Errors!$I$3:$I$3010),"TV*")))</f>
        <v>0</v>
      </c>
      <c r="E25" s="307">
        <f t="shared" si="1"/>
        <v>0</v>
      </c>
      <c r="F25" s="308">
        <f>COUNTIFS(Errors!$B:$B, $C25, Errors!$I:$I, F$1)</f>
        <v>0</v>
      </c>
      <c r="G25" s="309">
        <f>COUNTIFS(Errors!$B:$B, $C25, Errors!$I:$I, G$1)</f>
        <v>0</v>
      </c>
      <c r="H25" s="309">
        <f>COUNTIFS(Errors!$B:$B, $C25, Errors!$I:$I, H$1)</f>
        <v>0</v>
      </c>
      <c r="I25" s="309">
        <f>COUNTIFS(Errors!$B:$B, $C25, Errors!$I:$I, I$1)</f>
        <v>0</v>
      </c>
      <c r="J25" s="309">
        <f>COUNTIFS(Errors!$B:$B, $C25, Errors!$I:$I, J$1)</f>
        <v>0</v>
      </c>
      <c r="K25" s="309">
        <f>COUNTIFS(Errors!$B:$B, $C25, Errors!$I:$I, K$1)</f>
        <v>0</v>
      </c>
      <c r="L25" s="309">
        <f>COUNTIFS(Errors!$B:$B, $C25, Errors!$I:$I, L$1)</f>
        <v>0</v>
      </c>
      <c r="M25" s="309">
        <f>COUNTIFS(Errors!$B:$B, $C25, Errors!$I:$I, M$1)</f>
        <v>0</v>
      </c>
      <c r="N25" s="309">
        <f>COUNTIFS(Errors!$B:$B, $C25, Errors!$I:$I, N$1)</f>
        <v>0</v>
      </c>
      <c r="O25" s="310">
        <f>COUNTIFS(Errors!$B:$B, $C25, Errors!$I:$I, O$1)</f>
        <v>0</v>
      </c>
      <c r="P25" s="309">
        <f>COUNTIFS(Errors!$B:$B, $C25, Errors!$I:$I, P$1)</f>
        <v>0</v>
      </c>
      <c r="Q25" s="309">
        <f>COUNTIFS(Errors!$B:$B, $C25, Errors!$I:$I, Q$1)</f>
        <v>0</v>
      </c>
      <c r="R25" s="309">
        <f>COUNTIFS(Errors!$B:$B, $C25, Errors!$I:$I, R$1)</f>
        <v>0</v>
      </c>
      <c r="S25" s="309">
        <f>COUNTIFS(Errors!$B:$B, $C25, Errors!$I:$I, S$1)</f>
        <v>0</v>
      </c>
      <c r="T25" s="309">
        <f>COUNTIFS(Errors!$B:$B, $C25, Errors!$I:$I, T$1)</f>
        <v>0</v>
      </c>
      <c r="U25" s="309">
        <f>COUNTIFS(Errors!$B:$B, $C25, Errors!$I:$I, U$1)</f>
        <v>0</v>
      </c>
      <c r="V25" s="309">
        <f>COUNTIFS(Errors!$B:$B, $C25, Errors!$I:$I, V$1)</f>
        <v>0</v>
      </c>
      <c r="W25" s="309">
        <f>COUNTIFS(Errors!$B:$B, $C25, Errors!$I:$I, W$1)</f>
        <v>0</v>
      </c>
      <c r="X25" s="309">
        <f>COUNTIFS(Errors!$B:$B, $C25, Errors!$I:$I, X$1)</f>
        <v>0</v>
      </c>
      <c r="AA25" s="320"/>
      <c r="AB25" s="176"/>
    </row>
    <row r="26" ht="15.0" customHeight="1">
      <c r="A26" s="314">
        <v>0.0</v>
      </c>
      <c r="B26" s="293">
        <f>SourceData!K26</f>
        <v>0.5</v>
      </c>
      <c r="C26" s="294" t="str">
        <f>SourceData!J26</f>
        <v>Diana Dmitrovskaya</v>
      </c>
      <c r="D26" s="295">
        <f>(COUNTIF(Errors!$B$3:$B$3010,'Error Count Analysis'!C26))-((COUNTIFS(Errors!$B$3:$B$3010,'Error Count Analysis'!C26, (Errors!$I$3:$I$3010),"TV*")))</f>
        <v>0</v>
      </c>
      <c r="E26" s="296">
        <f t="shared" si="1"/>
        <v>0</v>
      </c>
      <c r="F26" s="297">
        <f>COUNTIFS(Errors!$B:$B, $C26, Errors!$I:$I, F$1)</f>
        <v>0</v>
      </c>
      <c r="G26" s="298">
        <f>COUNTIFS(Errors!$B:$B, $C26, Errors!$I:$I, G$1)</f>
        <v>0</v>
      </c>
      <c r="H26" s="298">
        <f>COUNTIFS(Errors!$B:$B, $C26, Errors!$I:$I, H$1)</f>
        <v>0</v>
      </c>
      <c r="I26" s="298">
        <f>COUNTIFS(Errors!$B:$B, $C26, Errors!$I:$I, I$1)</f>
        <v>0</v>
      </c>
      <c r="J26" s="298">
        <f>COUNTIFS(Errors!$B:$B, $C26, Errors!$I:$I, J$1)</f>
        <v>0</v>
      </c>
      <c r="K26" s="298">
        <f>COUNTIFS(Errors!$B:$B, $C26, Errors!$I:$I, K$1)</f>
        <v>0</v>
      </c>
      <c r="L26" s="298">
        <f>COUNTIFS(Errors!$B:$B, $C26, Errors!$I:$I, L$1)</f>
        <v>0</v>
      </c>
      <c r="M26" s="298">
        <f>COUNTIFS(Errors!$B:$B, $C26, Errors!$I:$I, M$1)</f>
        <v>0</v>
      </c>
      <c r="N26" s="298">
        <f>COUNTIFS(Errors!$B:$B, $C26, Errors!$I:$I, N$1)</f>
        <v>0</v>
      </c>
      <c r="O26" s="299">
        <f>COUNTIFS(Errors!$B:$B, $C26, Errors!$I:$I, O$1)</f>
        <v>0</v>
      </c>
      <c r="P26" s="298">
        <f>COUNTIFS(Errors!$B:$B, $C26, Errors!$I:$I, P$1)</f>
        <v>0</v>
      </c>
      <c r="Q26" s="298">
        <f>COUNTIFS(Errors!$B:$B, $C26, Errors!$I:$I, Q$1)</f>
        <v>0</v>
      </c>
      <c r="R26" s="298">
        <f>COUNTIFS(Errors!$B:$B, $C26, Errors!$I:$I, R$1)</f>
        <v>0</v>
      </c>
      <c r="S26" s="298">
        <f>COUNTIFS(Errors!$B:$B, $C26, Errors!$I:$I, S$1)</f>
        <v>0</v>
      </c>
      <c r="T26" s="298">
        <f>COUNTIFS(Errors!$B:$B, $C26, Errors!$I:$I, T$1)</f>
        <v>0</v>
      </c>
      <c r="U26" s="298">
        <f>COUNTIFS(Errors!$B:$B, $C26, Errors!$I:$I, U$1)</f>
        <v>0</v>
      </c>
      <c r="V26" s="298">
        <f>COUNTIFS(Errors!$B:$B, $C26, Errors!$I:$I, V$1)</f>
        <v>0</v>
      </c>
      <c r="W26" s="298">
        <f>COUNTIFS(Errors!$B:$B, $C26, Errors!$I:$I, W$1)</f>
        <v>0</v>
      </c>
      <c r="X26" s="298">
        <f>COUNTIFS(Errors!$B:$B, $C26, Errors!$I:$I, X$1)</f>
        <v>0</v>
      </c>
      <c r="AA26" s="320"/>
      <c r="AB26" s="176"/>
    </row>
    <row r="27" ht="15.0" customHeight="1">
      <c r="A27" s="303">
        <v>0.0</v>
      </c>
      <c r="B27" s="304">
        <f>SourceData!K27</f>
        <v>1</v>
      </c>
      <c r="C27" s="305" t="str">
        <f>SourceData!J27</f>
        <v>Diana Dzitsjuk</v>
      </c>
      <c r="D27" s="306">
        <f>(COUNTIF(Errors!$B$3:$B$3010,'Error Count Analysis'!C27))-((COUNTIFS(Errors!$B$3:$B$3010,'Error Count Analysis'!C27, (Errors!$I$3:$I$3010),"TV*")))</f>
        <v>0</v>
      </c>
      <c r="E27" s="307">
        <f t="shared" si="1"/>
        <v>0</v>
      </c>
      <c r="F27" s="308">
        <f>COUNTIFS(Errors!$B:$B, $C27, Errors!$I:$I, F$1)</f>
        <v>0</v>
      </c>
      <c r="G27" s="309">
        <f>COUNTIFS(Errors!$B:$B, $C27, Errors!$I:$I, G$1)</f>
        <v>0</v>
      </c>
      <c r="H27" s="309">
        <f>COUNTIFS(Errors!$B:$B, $C27, Errors!$I:$I, H$1)</f>
        <v>0</v>
      </c>
      <c r="I27" s="309">
        <f>COUNTIFS(Errors!$B:$B, $C27, Errors!$I:$I, I$1)</f>
        <v>0</v>
      </c>
      <c r="J27" s="309">
        <f>COUNTIFS(Errors!$B:$B, $C27, Errors!$I:$I, J$1)</f>
        <v>0</v>
      </c>
      <c r="K27" s="309">
        <f>COUNTIFS(Errors!$B:$B, $C27, Errors!$I:$I, K$1)</f>
        <v>0</v>
      </c>
      <c r="L27" s="309">
        <f>COUNTIFS(Errors!$B:$B, $C27, Errors!$I:$I, L$1)</f>
        <v>0</v>
      </c>
      <c r="M27" s="309">
        <f>COUNTIFS(Errors!$B:$B, $C27, Errors!$I:$I, M$1)</f>
        <v>0</v>
      </c>
      <c r="N27" s="309">
        <f>COUNTIFS(Errors!$B:$B, $C27, Errors!$I:$I, N$1)</f>
        <v>0</v>
      </c>
      <c r="O27" s="310">
        <f>COUNTIFS(Errors!$B:$B, $C27, Errors!$I:$I, O$1)</f>
        <v>0</v>
      </c>
      <c r="P27" s="309">
        <f>COUNTIFS(Errors!$B:$B, $C27, Errors!$I:$I, P$1)</f>
        <v>0</v>
      </c>
      <c r="Q27" s="309">
        <f>COUNTIFS(Errors!$B:$B, $C27, Errors!$I:$I, Q$1)</f>
        <v>0</v>
      </c>
      <c r="R27" s="309">
        <f>COUNTIFS(Errors!$B:$B, $C27, Errors!$I:$I, R$1)</f>
        <v>0</v>
      </c>
      <c r="S27" s="309">
        <f>COUNTIFS(Errors!$B:$B, $C27, Errors!$I:$I, S$1)</f>
        <v>0</v>
      </c>
      <c r="T27" s="309">
        <f>COUNTIFS(Errors!$B:$B, $C27, Errors!$I:$I, T$1)</f>
        <v>0</v>
      </c>
      <c r="U27" s="309">
        <f>COUNTIFS(Errors!$B:$B, $C27, Errors!$I:$I, U$1)</f>
        <v>0</v>
      </c>
      <c r="V27" s="309">
        <f>COUNTIFS(Errors!$B:$B, $C27, Errors!$I:$I, V$1)</f>
        <v>0</v>
      </c>
      <c r="W27" s="309">
        <f>COUNTIFS(Errors!$B:$B, $C27, Errors!$I:$I, W$1)</f>
        <v>0</v>
      </c>
      <c r="X27" s="309">
        <f>COUNTIFS(Errors!$B:$B, $C27, Errors!$I:$I, X$1)</f>
        <v>0</v>
      </c>
      <c r="AA27" s="320"/>
      <c r="AB27" s="176"/>
    </row>
    <row r="28" ht="15.0" customHeight="1">
      <c r="A28" s="314">
        <v>0.0</v>
      </c>
      <c r="B28" s="293">
        <f>SourceData!K28</f>
        <v>1</v>
      </c>
      <c r="C28" s="294" t="str">
        <f>SourceData!J28</f>
        <v>Diana Karataieva</v>
      </c>
      <c r="D28" s="295">
        <f>(COUNTIF(Errors!$B$3:$B$3010,'Error Count Analysis'!C28))-((COUNTIFS(Errors!$B$3:$B$3010,'Error Count Analysis'!C28, (Errors!$I$3:$I$3010),"TV*")))</f>
        <v>0</v>
      </c>
      <c r="E28" s="296">
        <f t="shared" si="1"/>
        <v>0</v>
      </c>
      <c r="F28" s="297">
        <f>COUNTIFS(Errors!$B:$B, $C28, Errors!$I:$I, F$1)</f>
        <v>0</v>
      </c>
      <c r="G28" s="298">
        <f>COUNTIFS(Errors!$B:$B, $C28, Errors!$I:$I, G$1)</f>
        <v>0</v>
      </c>
      <c r="H28" s="298">
        <f>COUNTIFS(Errors!$B:$B, $C28, Errors!$I:$I, H$1)</f>
        <v>0</v>
      </c>
      <c r="I28" s="298">
        <f>COUNTIFS(Errors!$B:$B, $C28, Errors!$I:$I, I$1)</f>
        <v>0</v>
      </c>
      <c r="J28" s="298">
        <f>COUNTIFS(Errors!$B:$B, $C28, Errors!$I:$I, J$1)</f>
        <v>0</v>
      </c>
      <c r="K28" s="298">
        <f>COUNTIFS(Errors!$B:$B, $C28, Errors!$I:$I, K$1)</f>
        <v>0</v>
      </c>
      <c r="L28" s="298">
        <f>COUNTIFS(Errors!$B:$B, $C28, Errors!$I:$I, L$1)</f>
        <v>0</v>
      </c>
      <c r="M28" s="298">
        <f>COUNTIFS(Errors!$B:$B, $C28, Errors!$I:$I, M$1)</f>
        <v>0</v>
      </c>
      <c r="N28" s="298">
        <f>COUNTIFS(Errors!$B:$B, $C28, Errors!$I:$I, N$1)</f>
        <v>0</v>
      </c>
      <c r="O28" s="299">
        <f>COUNTIFS(Errors!$B:$B, $C28, Errors!$I:$I, O$1)</f>
        <v>0</v>
      </c>
      <c r="P28" s="298">
        <f>COUNTIFS(Errors!$B:$B, $C28, Errors!$I:$I, P$1)</f>
        <v>0</v>
      </c>
      <c r="Q28" s="298">
        <f>COUNTIFS(Errors!$B:$B, $C28, Errors!$I:$I, Q$1)</f>
        <v>0</v>
      </c>
      <c r="R28" s="298">
        <f>COUNTIFS(Errors!$B:$B, $C28, Errors!$I:$I, R$1)</f>
        <v>0</v>
      </c>
      <c r="S28" s="298">
        <f>COUNTIFS(Errors!$B:$B, $C28, Errors!$I:$I, S$1)</f>
        <v>0</v>
      </c>
      <c r="T28" s="298">
        <f>COUNTIFS(Errors!$B:$B, $C28, Errors!$I:$I, T$1)</f>
        <v>0</v>
      </c>
      <c r="U28" s="298">
        <f>COUNTIFS(Errors!$B:$B, $C28, Errors!$I:$I, U$1)</f>
        <v>0</v>
      </c>
      <c r="V28" s="298">
        <f>COUNTIFS(Errors!$B:$B, $C28, Errors!$I:$I, V$1)</f>
        <v>0</v>
      </c>
      <c r="W28" s="298">
        <f>COUNTIFS(Errors!$B:$B, $C28, Errors!$I:$I, W$1)</f>
        <v>0</v>
      </c>
      <c r="X28" s="298">
        <f>COUNTIFS(Errors!$B:$B, $C28, Errors!$I:$I, X$1)</f>
        <v>0</v>
      </c>
      <c r="AA28" s="320"/>
      <c r="AB28" s="176"/>
    </row>
    <row r="29" ht="15.0" customHeight="1">
      <c r="A29" s="303">
        <v>0.0</v>
      </c>
      <c r="B29" s="304">
        <f>SourceData!K29</f>
        <v>0.75</v>
      </c>
      <c r="C29" s="305" t="str">
        <f>SourceData!J29</f>
        <v>Diana Kuzin</v>
      </c>
      <c r="D29" s="306">
        <f>(COUNTIF(Errors!$B$3:$B$3010,'Error Count Analysis'!C29))-((COUNTIFS(Errors!$B$3:$B$3010,'Error Count Analysis'!C29, (Errors!$I$3:$I$3010),"TV*")))</f>
        <v>1</v>
      </c>
      <c r="E29" s="307">
        <f t="shared" si="1"/>
        <v>1.333333333</v>
      </c>
      <c r="F29" s="308">
        <f>COUNTIFS(Errors!$B:$B, $C29, Errors!$I:$I, F$1)</f>
        <v>0</v>
      </c>
      <c r="G29" s="309">
        <f>COUNTIFS(Errors!$B:$B, $C29, Errors!$I:$I, G$1)</f>
        <v>0</v>
      </c>
      <c r="H29" s="309">
        <f>COUNTIFS(Errors!$B:$B, $C29, Errors!$I:$I, H$1)</f>
        <v>1</v>
      </c>
      <c r="I29" s="309">
        <f>COUNTIFS(Errors!$B:$B, $C29, Errors!$I:$I, I$1)</f>
        <v>0</v>
      </c>
      <c r="J29" s="309">
        <f>COUNTIFS(Errors!$B:$B, $C29, Errors!$I:$I, J$1)</f>
        <v>0</v>
      </c>
      <c r="K29" s="309">
        <f>COUNTIFS(Errors!$B:$B, $C29, Errors!$I:$I, K$1)</f>
        <v>0</v>
      </c>
      <c r="L29" s="309">
        <f>COUNTIFS(Errors!$B:$B, $C29, Errors!$I:$I, L$1)</f>
        <v>0</v>
      </c>
      <c r="M29" s="309">
        <f>COUNTIFS(Errors!$B:$B, $C29, Errors!$I:$I, M$1)</f>
        <v>0</v>
      </c>
      <c r="N29" s="309">
        <f>COUNTIFS(Errors!$B:$B, $C29, Errors!$I:$I, N$1)</f>
        <v>0</v>
      </c>
      <c r="O29" s="310">
        <f>COUNTIFS(Errors!$B:$B, $C29, Errors!$I:$I, O$1)</f>
        <v>0</v>
      </c>
      <c r="P29" s="309">
        <f>COUNTIFS(Errors!$B:$B, $C29, Errors!$I:$I, P$1)</f>
        <v>0</v>
      </c>
      <c r="Q29" s="309">
        <f>COUNTIFS(Errors!$B:$B, $C29, Errors!$I:$I, Q$1)</f>
        <v>0</v>
      </c>
      <c r="R29" s="309">
        <f>COUNTIFS(Errors!$B:$B, $C29, Errors!$I:$I, R$1)</f>
        <v>0</v>
      </c>
      <c r="S29" s="309">
        <f>COUNTIFS(Errors!$B:$B, $C29, Errors!$I:$I, S$1)</f>
        <v>0</v>
      </c>
      <c r="T29" s="309">
        <f>COUNTIFS(Errors!$B:$B, $C29, Errors!$I:$I, T$1)</f>
        <v>0</v>
      </c>
      <c r="U29" s="309">
        <f>COUNTIFS(Errors!$B:$B, $C29, Errors!$I:$I, U$1)</f>
        <v>0</v>
      </c>
      <c r="V29" s="309">
        <f>COUNTIFS(Errors!$B:$B, $C29, Errors!$I:$I, V$1)</f>
        <v>0</v>
      </c>
      <c r="W29" s="309">
        <f>COUNTIFS(Errors!$B:$B, $C29, Errors!$I:$I, W$1)</f>
        <v>0</v>
      </c>
      <c r="X29" s="309">
        <f>COUNTIFS(Errors!$B:$B, $C29, Errors!$I:$I, X$1)</f>
        <v>0</v>
      </c>
      <c r="AA29" s="320"/>
      <c r="AB29" s="176"/>
    </row>
    <row r="30" ht="15.0" customHeight="1">
      <c r="A30" s="314">
        <v>0.0</v>
      </c>
      <c r="B30" s="293">
        <f>SourceData!K30</f>
        <v>1</v>
      </c>
      <c r="C30" s="294" t="str">
        <f>SourceData!J30</f>
        <v>Dominykas Nazarenko</v>
      </c>
      <c r="D30" s="295">
        <f>(COUNTIF(Errors!$B$3:$B$3010,'Error Count Analysis'!C30))-((COUNTIFS(Errors!$B$3:$B$3010,'Error Count Analysis'!C30, (Errors!$I$3:$I$3010),"TV*")))</f>
        <v>0</v>
      </c>
      <c r="E30" s="296">
        <f t="shared" si="1"/>
        <v>0</v>
      </c>
      <c r="F30" s="297">
        <f>COUNTIFS(Errors!$B:$B, $C30, Errors!$I:$I, F$1)</f>
        <v>0</v>
      </c>
      <c r="G30" s="298">
        <f>COUNTIFS(Errors!$B:$B, $C30, Errors!$I:$I, G$1)</f>
        <v>0</v>
      </c>
      <c r="H30" s="298">
        <f>COUNTIFS(Errors!$B:$B, $C30, Errors!$I:$I, H$1)</f>
        <v>0</v>
      </c>
      <c r="I30" s="298">
        <f>COUNTIFS(Errors!$B:$B, $C30, Errors!$I:$I, I$1)</f>
        <v>0</v>
      </c>
      <c r="J30" s="298">
        <f>COUNTIFS(Errors!$B:$B, $C30, Errors!$I:$I, J$1)</f>
        <v>0</v>
      </c>
      <c r="K30" s="298">
        <f>COUNTIFS(Errors!$B:$B, $C30, Errors!$I:$I, K$1)</f>
        <v>0</v>
      </c>
      <c r="L30" s="298">
        <f>COUNTIFS(Errors!$B:$B, $C30, Errors!$I:$I, L$1)</f>
        <v>0</v>
      </c>
      <c r="M30" s="298">
        <f>COUNTIFS(Errors!$B:$B, $C30, Errors!$I:$I, M$1)</f>
        <v>0</v>
      </c>
      <c r="N30" s="298">
        <f>COUNTIFS(Errors!$B:$B, $C30, Errors!$I:$I, N$1)</f>
        <v>0</v>
      </c>
      <c r="O30" s="299">
        <f>COUNTIFS(Errors!$B:$B, $C30, Errors!$I:$I, O$1)</f>
        <v>0</v>
      </c>
      <c r="P30" s="298">
        <f>COUNTIFS(Errors!$B:$B, $C30, Errors!$I:$I, P$1)</f>
        <v>0</v>
      </c>
      <c r="Q30" s="298">
        <f>COUNTIFS(Errors!$B:$B, $C30, Errors!$I:$I, Q$1)</f>
        <v>0</v>
      </c>
      <c r="R30" s="298">
        <f>COUNTIFS(Errors!$B:$B, $C30, Errors!$I:$I, R$1)</f>
        <v>0</v>
      </c>
      <c r="S30" s="298">
        <f>COUNTIFS(Errors!$B:$B, $C30, Errors!$I:$I, S$1)</f>
        <v>0</v>
      </c>
      <c r="T30" s="298">
        <f>COUNTIFS(Errors!$B:$B, $C30, Errors!$I:$I, T$1)</f>
        <v>0</v>
      </c>
      <c r="U30" s="298">
        <f>COUNTIFS(Errors!$B:$B, $C30, Errors!$I:$I, U$1)</f>
        <v>0</v>
      </c>
      <c r="V30" s="298">
        <f>COUNTIFS(Errors!$B:$B, $C30, Errors!$I:$I, V$1)</f>
        <v>0</v>
      </c>
      <c r="W30" s="298">
        <f>COUNTIFS(Errors!$B:$B, $C30, Errors!$I:$I, W$1)</f>
        <v>0</v>
      </c>
      <c r="X30" s="298">
        <f>COUNTIFS(Errors!$B:$B, $C30, Errors!$I:$I, X$1)</f>
        <v>0</v>
      </c>
      <c r="AA30" s="320"/>
      <c r="AB30" s="176"/>
    </row>
    <row r="31" ht="15.0" customHeight="1">
      <c r="A31" s="303">
        <v>0.0</v>
      </c>
      <c r="B31" s="304">
        <f>SourceData!K31</f>
        <v>0.5</v>
      </c>
      <c r="C31" s="305" t="str">
        <f>SourceData!J31</f>
        <v>Egor Garmatyuk</v>
      </c>
      <c r="D31" s="306">
        <f>(COUNTIF(Errors!$B$3:$B$3010,'Error Count Analysis'!C31))-((COUNTIFS(Errors!$B$3:$B$3010,'Error Count Analysis'!C31, (Errors!$I$3:$I$3010),"TV*")))</f>
        <v>0</v>
      </c>
      <c r="E31" s="307">
        <f t="shared" si="1"/>
        <v>0</v>
      </c>
      <c r="F31" s="308">
        <f>COUNTIFS(Errors!$B:$B, $C31, Errors!$I:$I, F$1)</f>
        <v>0</v>
      </c>
      <c r="G31" s="309">
        <f>COUNTIFS(Errors!$B:$B, $C31, Errors!$I:$I, G$1)</f>
        <v>0</v>
      </c>
      <c r="H31" s="309">
        <f>COUNTIFS(Errors!$B:$B, $C31, Errors!$I:$I, H$1)</f>
        <v>0</v>
      </c>
      <c r="I31" s="309">
        <f>COUNTIFS(Errors!$B:$B, $C31, Errors!$I:$I, I$1)</f>
        <v>0</v>
      </c>
      <c r="J31" s="309">
        <f>COUNTIFS(Errors!$B:$B, $C31, Errors!$I:$I, J$1)</f>
        <v>0</v>
      </c>
      <c r="K31" s="309">
        <f>COUNTIFS(Errors!$B:$B, $C31, Errors!$I:$I, K$1)</f>
        <v>0</v>
      </c>
      <c r="L31" s="309">
        <f>COUNTIFS(Errors!$B:$B, $C31, Errors!$I:$I, L$1)</f>
        <v>0</v>
      </c>
      <c r="M31" s="309">
        <f>COUNTIFS(Errors!$B:$B, $C31, Errors!$I:$I, M$1)</f>
        <v>0</v>
      </c>
      <c r="N31" s="309">
        <f>COUNTIFS(Errors!$B:$B, $C31, Errors!$I:$I, N$1)</f>
        <v>0</v>
      </c>
      <c r="O31" s="310">
        <f>COUNTIFS(Errors!$B:$B, $C31, Errors!$I:$I, O$1)</f>
        <v>0</v>
      </c>
      <c r="P31" s="309">
        <f>COUNTIFS(Errors!$B:$B, $C31, Errors!$I:$I, P$1)</f>
        <v>0</v>
      </c>
      <c r="Q31" s="309">
        <f>COUNTIFS(Errors!$B:$B, $C31, Errors!$I:$I, Q$1)</f>
        <v>0</v>
      </c>
      <c r="R31" s="309">
        <f>COUNTIFS(Errors!$B:$B, $C31, Errors!$I:$I, R$1)</f>
        <v>0</v>
      </c>
      <c r="S31" s="309">
        <f>COUNTIFS(Errors!$B:$B, $C31, Errors!$I:$I, S$1)</f>
        <v>0</v>
      </c>
      <c r="T31" s="309">
        <f>COUNTIFS(Errors!$B:$B, $C31, Errors!$I:$I, T$1)</f>
        <v>0</v>
      </c>
      <c r="U31" s="309">
        <f>COUNTIFS(Errors!$B:$B, $C31, Errors!$I:$I, U$1)</f>
        <v>0</v>
      </c>
      <c r="V31" s="309">
        <f>COUNTIFS(Errors!$B:$B, $C31, Errors!$I:$I, V$1)</f>
        <v>0</v>
      </c>
      <c r="W31" s="309">
        <f>COUNTIFS(Errors!$B:$B, $C31, Errors!$I:$I, W$1)</f>
        <v>0</v>
      </c>
      <c r="X31" s="309">
        <f>COUNTIFS(Errors!$B:$B, $C31, Errors!$I:$I, X$1)</f>
        <v>0</v>
      </c>
      <c r="AA31" s="322"/>
      <c r="AB31" s="323"/>
    </row>
    <row r="32" ht="15.0" customHeight="1">
      <c r="A32" s="314">
        <v>0.0</v>
      </c>
      <c r="B32" s="293">
        <f>SourceData!K32</f>
        <v>0.75</v>
      </c>
      <c r="C32" s="294" t="str">
        <f>SourceData!J32</f>
        <v>Elena Zimarina</v>
      </c>
      <c r="D32" s="295">
        <f>(COUNTIF(Errors!$B$3:$B$3010,'Error Count Analysis'!C32))-((COUNTIFS(Errors!$B$3:$B$3010,'Error Count Analysis'!C32, (Errors!$I$3:$I$3010),"TV*")))</f>
        <v>1</v>
      </c>
      <c r="E32" s="296">
        <f t="shared" si="1"/>
        <v>1.333333333</v>
      </c>
      <c r="F32" s="297">
        <f>COUNTIFS(Errors!$B:$B, $C32, Errors!$I:$I, F$1)</f>
        <v>0</v>
      </c>
      <c r="G32" s="298">
        <f>COUNTIFS(Errors!$B:$B, $C32, Errors!$I:$I, G$1)</f>
        <v>0</v>
      </c>
      <c r="H32" s="298">
        <f>COUNTIFS(Errors!$B:$B, $C32, Errors!$I:$I, H$1)</f>
        <v>0</v>
      </c>
      <c r="I32" s="298">
        <f>COUNTIFS(Errors!$B:$B, $C32, Errors!$I:$I, I$1)</f>
        <v>0</v>
      </c>
      <c r="J32" s="298">
        <f>COUNTIFS(Errors!$B:$B, $C32, Errors!$I:$I, J$1)</f>
        <v>1</v>
      </c>
      <c r="K32" s="298">
        <f>COUNTIFS(Errors!$B:$B, $C32, Errors!$I:$I, K$1)</f>
        <v>0</v>
      </c>
      <c r="L32" s="298">
        <f>COUNTIFS(Errors!$B:$B, $C32, Errors!$I:$I, L$1)</f>
        <v>0</v>
      </c>
      <c r="M32" s="298">
        <f>COUNTIFS(Errors!$B:$B, $C32, Errors!$I:$I, M$1)</f>
        <v>0</v>
      </c>
      <c r="N32" s="298">
        <f>COUNTIFS(Errors!$B:$B, $C32, Errors!$I:$I, N$1)</f>
        <v>0</v>
      </c>
      <c r="O32" s="299">
        <f>COUNTIFS(Errors!$B:$B, $C32, Errors!$I:$I, O$1)</f>
        <v>0</v>
      </c>
      <c r="P32" s="298">
        <f>COUNTIFS(Errors!$B:$B, $C32, Errors!$I:$I, P$1)</f>
        <v>0</v>
      </c>
      <c r="Q32" s="298">
        <f>COUNTIFS(Errors!$B:$B, $C32, Errors!$I:$I, Q$1)</f>
        <v>0</v>
      </c>
      <c r="R32" s="298">
        <f>COUNTIFS(Errors!$B:$B, $C32, Errors!$I:$I, R$1)</f>
        <v>0</v>
      </c>
      <c r="S32" s="298">
        <f>COUNTIFS(Errors!$B:$B, $C32, Errors!$I:$I, S$1)</f>
        <v>0</v>
      </c>
      <c r="T32" s="298">
        <f>COUNTIFS(Errors!$B:$B, $C32, Errors!$I:$I, T$1)</f>
        <v>0</v>
      </c>
      <c r="U32" s="298">
        <f>COUNTIFS(Errors!$B:$B, $C32, Errors!$I:$I, U$1)</f>
        <v>0</v>
      </c>
      <c r="V32" s="298">
        <f>COUNTIFS(Errors!$B:$B, $C32, Errors!$I:$I, V$1)</f>
        <v>0</v>
      </c>
      <c r="W32" s="298">
        <f>COUNTIFS(Errors!$B:$B, $C32, Errors!$I:$I, W$1)</f>
        <v>0</v>
      </c>
      <c r="X32" s="298">
        <f>COUNTIFS(Errors!$B:$B, $C32, Errors!$I:$I, X$1)</f>
        <v>0</v>
      </c>
      <c r="AA32" s="320"/>
      <c r="AB32" s="318"/>
    </row>
    <row r="33" ht="15.0" customHeight="1">
      <c r="A33" s="303">
        <v>0.0</v>
      </c>
      <c r="B33" s="304">
        <f>SourceData!K33</f>
        <v>0.5</v>
      </c>
      <c r="C33" s="305" t="str">
        <f>SourceData!J33</f>
        <v>Elina Sahkai</v>
      </c>
      <c r="D33" s="306">
        <f>(COUNTIF(Errors!$B$3:$B$3010,'Error Count Analysis'!C33))-((COUNTIFS(Errors!$B$3:$B$3010,'Error Count Analysis'!C33, (Errors!$I$3:$I$3010),"TV*")))</f>
        <v>0</v>
      </c>
      <c r="E33" s="307">
        <f t="shared" si="1"/>
        <v>0</v>
      </c>
      <c r="F33" s="308">
        <f>COUNTIFS(Errors!$B:$B, $C33, Errors!$I:$I, F$1)</f>
        <v>0</v>
      </c>
      <c r="G33" s="309">
        <f>COUNTIFS(Errors!$B:$B, $C33, Errors!$I:$I, G$1)</f>
        <v>0</v>
      </c>
      <c r="H33" s="309">
        <f>COUNTIFS(Errors!$B:$B, $C33, Errors!$I:$I, H$1)</f>
        <v>0</v>
      </c>
      <c r="I33" s="309">
        <f>COUNTIFS(Errors!$B:$B, $C33, Errors!$I:$I, I$1)</f>
        <v>0</v>
      </c>
      <c r="J33" s="309">
        <f>COUNTIFS(Errors!$B:$B, $C33, Errors!$I:$I, J$1)</f>
        <v>0</v>
      </c>
      <c r="K33" s="309">
        <f>COUNTIFS(Errors!$B:$B, $C33, Errors!$I:$I, K$1)</f>
        <v>0</v>
      </c>
      <c r="L33" s="309">
        <f>COUNTIFS(Errors!$B:$B, $C33, Errors!$I:$I, L$1)</f>
        <v>0</v>
      </c>
      <c r="M33" s="309">
        <f>COUNTIFS(Errors!$B:$B, $C33, Errors!$I:$I, M$1)</f>
        <v>0</v>
      </c>
      <c r="N33" s="309">
        <f>COUNTIFS(Errors!$B:$B, $C33, Errors!$I:$I, N$1)</f>
        <v>0</v>
      </c>
      <c r="O33" s="310">
        <f>COUNTIFS(Errors!$B:$B, $C33, Errors!$I:$I, O$1)</f>
        <v>0</v>
      </c>
      <c r="P33" s="309">
        <f>COUNTIFS(Errors!$B:$B, $C33, Errors!$I:$I, P$1)</f>
        <v>0</v>
      </c>
      <c r="Q33" s="309">
        <f>COUNTIFS(Errors!$B:$B, $C33, Errors!$I:$I, Q$1)</f>
        <v>0</v>
      </c>
      <c r="R33" s="309">
        <f>COUNTIFS(Errors!$B:$B, $C33, Errors!$I:$I, R$1)</f>
        <v>0</v>
      </c>
      <c r="S33" s="309">
        <f>COUNTIFS(Errors!$B:$B, $C33, Errors!$I:$I, S$1)</f>
        <v>0</v>
      </c>
      <c r="T33" s="309">
        <f>COUNTIFS(Errors!$B:$B, $C33, Errors!$I:$I, T$1)</f>
        <v>0</v>
      </c>
      <c r="U33" s="309">
        <f>COUNTIFS(Errors!$B:$B, $C33, Errors!$I:$I, U$1)</f>
        <v>0</v>
      </c>
      <c r="V33" s="309">
        <f>COUNTIFS(Errors!$B:$B, $C33, Errors!$I:$I, V$1)</f>
        <v>0</v>
      </c>
      <c r="W33" s="309">
        <f>COUNTIFS(Errors!$B:$B, $C33, Errors!$I:$I, W$1)</f>
        <v>0</v>
      </c>
      <c r="X33" s="309">
        <f>COUNTIFS(Errors!$B:$B, $C33, Errors!$I:$I, X$1)</f>
        <v>0</v>
      </c>
      <c r="AA33" s="324"/>
      <c r="AB33" s="318"/>
    </row>
    <row r="34" ht="15.0" customHeight="1">
      <c r="A34" s="314">
        <v>0.0</v>
      </c>
      <c r="B34" s="293">
        <f>SourceData!K34</f>
        <v>1</v>
      </c>
      <c r="C34" s="294" t="str">
        <f>SourceData!J34</f>
        <v>Elina Varivoda</v>
      </c>
      <c r="D34" s="295">
        <f>(COUNTIF(Errors!$B$3:$B$3010,'Error Count Analysis'!C34))-((COUNTIFS(Errors!$B$3:$B$3010,'Error Count Analysis'!C34, (Errors!$I$3:$I$3010),"TV*")))</f>
        <v>1</v>
      </c>
      <c r="E34" s="296">
        <f t="shared" si="1"/>
        <v>1</v>
      </c>
      <c r="F34" s="297">
        <f>COUNTIFS(Errors!$B:$B, $C34, Errors!$I:$I, F$1)</f>
        <v>0</v>
      </c>
      <c r="G34" s="298">
        <f>COUNTIFS(Errors!$B:$B, $C34, Errors!$I:$I, G$1)</f>
        <v>1</v>
      </c>
      <c r="H34" s="298">
        <f>COUNTIFS(Errors!$B:$B, $C34, Errors!$I:$I, H$1)</f>
        <v>0</v>
      </c>
      <c r="I34" s="298">
        <f>COUNTIFS(Errors!$B:$B, $C34, Errors!$I:$I, I$1)</f>
        <v>0</v>
      </c>
      <c r="J34" s="298">
        <f>COUNTIFS(Errors!$B:$B, $C34, Errors!$I:$I, J$1)</f>
        <v>0</v>
      </c>
      <c r="K34" s="298">
        <f>COUNTIFS(Errors!$B:$B, $C34, Errors!$I:$I, K$1)</f>
        <v>0</v>
      </c>
      <c r="L34" s="298">
        <f>COUNTIFS(Errors!$B:$B, $C34, Errors!$I:$I, L$1)</f>
        <v>0</v>
      </c>
      <c r="M34" s="298">
        <f>COUNTIFS(Errors!$B:$B, $C34, Errors!$I:$I, M$1)</f>
        <v>0</v>
      </c>
      <c r="N34" s="298">
        <f>COUNTIFS(Errors!$B:$B, $C34, Errors!$I:$I, N$1)</f>
        <v>0</v>
      </c>
      <c r="O34" s="299">
        <f>COUNTIFS(Errors!$B:$B, $C34, Errors!$I:$I, O$1)</f>
        <v>0</v>
      </c>
      <c r="P34" s="298">
        <f>COUNTIFS(Errors!$B:$B, $C34, Errors!$I:$I, P$1)</f>
        <v>0</v>
      </c>
      <c r="Q34" s="298">
        <f>COUNTIFS(Errors!$B:$B, $C34, Errors!$I:$I, Q$1)</f>
        <v>0</v>
      </c>
      <c r="R34" s="298">
        <f>COUNTIFS(Errors!$B:$B, $C34, Errors!$I:$I, R$1)</f>
        <v>0</v>
      </c>
      <c r="S34" s="298">
        <f>COUNTIFS(Errors!$B:$B, $C34, Errors!$I:$I, S$1)</f>
        <v>0</v>
      </c>
      <c r="T34" s="298">
        <f>COUNTIFS(Errors!$B:$B, $C34, Errors!$I:$I, T$1)</f>
        <v>0</v>
      </c>
      <c r="U34" s="298">
        <f>COUNTIFS(Errors!$B:$B, $C34, Errors!$I:$I, U$1)</f>
        <v>0</v>
      </c>
      <c r="V34" s="298">
        <f>COUNTIFS(Errors!$B:$B, $C34, Errors!$I:$I, V$1)</f>
        <v>0</v>
      </c>
      <c r="W34" s="298">
        <f>COUNTIFS(Errors!$B:$B, $C34, Errors!$I:$I, W$1)</f>
        <v>0</v>
      </c>
      <c r="X34" s="298">
        <f>COUNTIFS(Errors!$B:$B, $C34, Errors!$I:$I, X$1)</f>
        <v>0</v>
      </c>
    </row>
    <row r="35" ht="15.0" customHeight="1">
      <c r="A35" s="303">
        <v>0.0</v>
      </c>
      <c r="B35" s="304">
        <f>SourceData!K35</f>
        <v>1</v>
      </c>
      <c r="C35" s="305" t="str">
        <f>SourceData!J35</f>
        <v>Elisabeth-Diana Tratšuk</v>
      </c>
      <c r="D35" s="306">
        <f>(COUNTIF(Errors!$B$3:$B$3010,'Error Count Analysis'!C35))-((COUNTIFS(Errors!$B$3:$B$3010,'Error Count Analysis'!C35, (Errors!$I$3:$I$3010),"TV*")))</f>
        <v>2</v>
      </c>
      <c r="E35" s="307">
        <f t="shared" si="1"/>
        <v>2</v>
      </c>
      <c r="F35" s="308">
        <f>COUNTIFS(Errors!$B:$B, $C35, Errors!$I:$I, F$1)</f>
        <v>0</v>
      </c>
      <c r="G35" s="309">
        <f>COUNTIFS(Errors!$B:$B, $C35, Errors!$I:$I, G$1)</f>
        <v>0</v>
      </c>
      <c r="H35" s="309">
        <f>COUNTIFS(Errors!$B:$B, $C35, Errors!$I:$I, H$1)</f>
        <v>0</v>
      </c>
      <c r="I35" s="309">
        <f>COUNTIFS(Errors!$B:$B, $C35, Errors!$I:$I, I$1)</f>
        <v>0</v>
      </c>
      <c r="J35" s="309">
        <f>COUNTIFS(Errors!$B:$B, $C35, Errors!$I:$I, J$1)</f>
        <v>0</v>
      </c>
      <c r="K35" s="309">
        <f>COUNTIFS(Errors!$B:$B, $C35, Errors!$I:$I, K$1)</f>
        <v>0</v>
      </c>
      <c r="L35" s="309">
        <f>COUNTIFS(Errors!$B:$B, $C35, Errors!$I:$I, L$1)</f>
        <v>0</v>
      </c>
      <c r="M35" s="309">
        <f>COUNTIFS(Errors!$B:$B, $C35, Errors!$I:$I, M$1)</f>
        <v>0</v>
      </c>
      <c r="N35" s="309">
        <f>COUNTIFS(Errors!$B:$B, $C35, Errors!$I:$I, N$1)</f>
        <v>0</v>
      </c>
      <c r="O35" s="310">
        <f>COUNTIFS(Errors!$B:$B, $C35, Errors!$I:$I, O$1)</f>
        <v>0</v>
      </c>
      <c r="P35" s="309">
        <f>COUNTIFS(Errors!$B:$B, $C35, Errors!$I:$I, P$1)</f>
        <v>0</v>
      </c>
      <c r="Q35" s="309">
        <f>COUNTIFS(Errors!$B:$B, $C35, Errors!$I:$I, Q$1)</f>
        <v>0</v>
      </c>
      <c r="R35" s="309">
        <f>COUNTIFS(Errors!$B:$B, $C35, Errors!$I:$I, R$1)</f>
        <v>0</v>
      </c>
      <c r="S35" s="309">
        <f>COUNTIFS(Errors!$B:$B, $C35, Errors!$I:$I, S$1)</f>
        <v>0</v>
      </c>
      <c r="T35" s="309">
        <f>COUNTIFS(Errors!$B:$B, $C35, Errors!$I:$I, T$1)</f>
        <v>0</v>
      </c>
      <c r="U35" s="309">
        <f>COUNTIFS(Errors!$B:$B, $C35, Errors!$I:$I, U$1)</f>
        <v>0</v>
      </c>
      <c r="V35" s="309">
        <f>COUNTIFS(Errors!$B:$B, $C35, Errors!$I:$I, V$1)</f>
        <v>2</v>
      </c>
      <c r="W35" s="309">
        <f>COUNTIFS(Errors!$B:$B, $C35, Errors!$I:$I, W$1)</f>
        <v>0</v>
      </c>
      <c r="X35" s="309">
        <f>COUNTIFS(Errors!$B:$B, $C35, Errors!$I:$I, X$1)</f>
        <v>0</v>
      </c>
    </row>
    <row r="36" ht="15.0" customHeight="1">
      <c r="A36" s="314">
        <v>0.0</v>
      </c>
      <c r="B36" s="293">
        <f>SourceData!K36</f>
        <v>1</v>
      </c>
      <c r="C36" s="294" t="str">
        <f>SourceData!J36</f>
        <v>Elizaveta Sofia Reemet</v>
      </c>
      <c r="D36" s="295">
        <f>(COUNTIF(Errors!$B$3:$B$3010,'Error Count Analysis'!C36))-((COUNTIFS(Errors!$B$3:$B$3010,'Error Count Analysis'!C36, (Errors!$I$3:$I$3010),"TV*")))</f>
        <v>1</v>
      </c>
      <c r="E36" s="296">
        <f t="shared" si="1"/>
        <v>1</v>
      </c>
      <c r="F36" s="297">
        <f>COUNTIFS(Errors!$B:$B, $C36, Errors!$I:$I, F$1)</f>
        <v>0</v>
      </c>
      <c r="G36" s="298">
        <f>COUNTIFS(Errors!$B:$B, $C36, Errors!$I:$I, G$1)</f>
        <v>1</v>
      </c>
      <c r="H36" s="298">
        <f>COUNTIFS(Errors!$B:$B, $C36, Errors!$I:$I, H$1)</f>
        <v>0</v>
      </c>
      <c r="I36" s="298">
        <f>COUNTIFS(Errors!$B:$B, $C36, Errors!$I:$I, I$1)</f>
        <v>0</v>
      </c>
      <c r="J36" s="298">
        <f>COUNTIFS(Errors!$B:$B, $C36, Errors!$I:$I, J$1)</f>
        <v>0</v>
      </c>
      <c r="K36" s="298">
        <f>COUNTIFS(Errors!$B:$B, $C36, Errors!$I:$I, K$1)</f>
        <v>0</v>
      </c>
      <c r="L36" s="298">
        <f>COUNTIFS(Errors!$B:$B, $C36, Errors!$I:$I, L$1)</f>
        <v>0</v>
      </c>
      <c r="M36" s="298">
        <f>COUNTIFS(Errors!$B:$B, $C36, Errors!$I:$I, M$1)</f>
        <v>0</v>
      </c>
      <c r="N36" s="298">
        <f>COUNTIFS(Errors!$B:$B, $C36, Errors!$I:$I, N$1)</f>
        <v>0</v>
      </c>
      <c r="O36" s="299">
        <f>COUNTIFS(Errors!$B:$B, $C36, Errors!$I:$I, O$1)</f>
        <v>0</v>
      </c>
      <c r="P36" s="298">
        <f>COUNTIFS(Errors!$B:$B, $C36, Errors!$I:$I, P$1)</f>
        <v>0</v>
      </c>
      <c r="Q36" s="298">
        <f>COUNTIFS(Errors!$B:$B, $C36, Errors!$I:$I, Q$1)</f>
        <v>0</v>
      </c>
      <c r="R36" s="298">
        <f>COUNTIFS(Errors!$B:$B, $C36, Errors!$I:$I, R$1)</f>
        <v>0</v>
      </c>
      <c r="S36" s="298">
        <f>COUNTIFS(Errors!$B:$B, $C36, Errors!$I:$I, S$1)</f>
        <v>0</v>
      </c>
      <c r="T36" s="298">
        <f>COUNTIFS(Errors!$B:$B, $C36, Errors!$I:$I, T$1)</f>
        <v>0</v>
      </c>
      <c r="U36" s="298">
        <f>COUNTIFS(Errors!$B:$B, $C36, Errors!$I:$I, U$1)</f>
        <v>0</v>
      </c>
      <c r="V36" s="298">
        <f>COUNTIFS(Errors!$B:$B, $C36, Errors!$I:$I, V$1)</f>
        <v>0</v>
      </c>
      <c r="W36" s="298">
        <f>COUNTIFS(Errors!$B:$B, $C36, Errors!$I:$I, W$1)</f>
        <v>0</v>
      </c>
      <c r="X36" s="298">
        <f>COUNTIFS(Errors!$B:$B, $C36, Errors!$I:$I, X$1)</f>
        <v>0</v>
      </c>
    </row>
    <row r="37" ht="15.0" customHeight="1">
      <c r="A37" s="303">
        <v>0.0</v>
      </c>
      <c r="B37" s="304">
        <f>SourceData!K37</f>
        <v>0.75</v>
      </c>
      <c r="C37" s="305" t="str">
        <f>SourceData!J37</f>
        <v>Elmira Kashieva</v>
      </c>
      <c r="D37" s="306">
        <f>(COUNTIF(Errors!$B$3:$B$3010,'Error Count Analysis'!C37))-((COUNTIFS(Errors!$B$3:$B$3010,'Error Count Analysis'!C37, (Errors!$I$3:$I$3010),"TV*")))</f>
        <v>1</v>
      </c>
      <c r="E37" s="307">
        <f t="shared" si="1"/>
        <v>1.333333333</v>
      </c>
      <c r="F37" s="308">
        <f>COUNTIFS(Errors!$B:$B, $C37, Errors!$I:$I, F$1)</f>
        <v>0</v>
      </c>
      <c r="G37" s="309">
        <f>COUNTIFS(Errors!$B:$B, $C37, Errors!$I:$I, G$1)</f>
        <v>0</v>
      </c>
      <c r="H37" s="309">
        <f>COUNTIFS(Errors!$B:$B, $C37, Errors!$I:$I, H$1)</f>
        <v>0</v>
      </c>
      <c r="I37" s="309">
        <f>COUNTIFS(Errors!$B:$B, $C37, Errors!$I:$I, I$1)</f>
        <v>0</v>
      </c>
      <c r="J37" s="309">
        <f>COUNTIFS(Errors!$B:$B, $C37, Errors!$I:$I, J$1)</f>
        <v>0</v>
      </c>
      <c r="K37" s="309">
        <f>COUNTIFS(Errors!$B:$B, $C37, Errors!$I:$I, K$1)</f>
        <v>0</v>
      </c>
      <c r="L37" s="309">
        <f>COUNTIFS(Errors!$B:$B, $C37, Errors!$I:$I, L$1)</f>
        <v>0</v>
      </c>
      <c r="M37" s="309">
        <f>COUNTIFS(Errors!$B:$B, $C37, Errors!$I:$I, M$1)</f>
        <v>0</v>
      </c>
      <c r="N37" s="309">
        <f>COUNTIFS(Errors!$B:$B, $C37, Errors!$I:$I, N$1)</f>
        <v>0</v>
      </c>
      <c r="O37" s="310">
        <f>COUNTIFS(Errors!$B:$B, $C37, Errors!$I:$I, O$1)</f>
        <v>0</v>
      </c>
      <c r="P37" s="309">
        <f>COUNTIFS(Errors!$B:$B, $C37, Errors!$I:$I, P$1)</f>
        <v>1</v>
      </c>
      <c r="Q37" s="309">
        <f>COUNTIFS(Errors!$B:$B, $C37, Errors!$I:$I, Q$1)</f>
        <v>0</v>
      </c>
      <c r="R37" s="309">
        <f>COUNTIFS(Errors!$B:$B, $C37, Errors!$I:$I, R$1)</f>
        <v>0</v>
      </c>
      <c r="S37" s="309">
        <f>COUNTIFS(Errors!$B:$B, $C37, Errors!$I:$I, S$1)</f>
        <v>0</v>
      </c>
      <c r="T37" s="309">
        <f>COUNTIFS(Errors!$B:$B, $C37, Errors!$I:$I, T$1)</f>
        <v>0</v>
      </c>
      <c r="U37" s="309">
        <f>COUNTIFS(Errors!$B:$B, $C37, Errors!$I:$I, U$1)</f>
        <v>0</v>
      </c>
      <c r="V37" s="309">
        <f>COUNTIFS(Errors!$B:$B, $C37, Errors!$I:$I, V$1)</f>
        <v>0</v>
      </c>
      <c r="W37" s="309">
        <f>COUNTIFS(Errors!$B:$B, $C37, Errors!$I:$I, W$1)</f>
        <v>0</v>
      </c>
      <c r="X37" s="309">
        <f>COUNTIFS(Errors!$B:$B, $C37, Errors!$I:$I, X$1)</f>
        <v>0</v>
      </c>
    </row>
    <row r="38" ht="15.0" customHeight="1">
      <c r="A38" s="314">
        <v>0.0</v>
      </c>
      <c r="B38" s="293">
        <f>SourceData!K38</f>
        <v>1</v>
      </c>
      <c r="C38" s="294" t="str">
        <f>SourceData!J38</f>
        <v>Eva Nasedkina</v>
      </c>
      <c r="D38" s="295">
        <f>(COUNTIF(Errors!$B$3:$B$3010,'Error Count Analysis'!C38))-((COUNTIFS(Errors!$B$3:$B$3010,'Error Count Analysis'!C38, (Errors!$I$3:$I$3010),"TV*")))</f>
        <v>0</v>
      </c>
      <c r="E38" s="296">
        <f t="shared" si="1"/>
        <v>0</v>
      </c>
      <c r="F38" s="297">
        <f>COUNTIFS(Errors!$B:$B, $C38, Errors!$I:$I, F$1)</f>
        <v>0</v>
      </c>
      <c r="G38" s="298">
        <f>COUNTIFS(Errors!$B:$B, $C38, Errors!$I:$I, G$1)</f>
        <v>0</v>
      </c>
      <c r="H38" s="298">
        <f>COUNTIFS(Errors!$B:$B, $C38, Errors!$I:$I, H$1)</f>
        <v>0</v>
      </c>
      <c r="I38" s="298">
        <f>COUNTIFS(Errors!$B:$B, $C38, Errors!$I:$I, I$1)</f>
        <v>0</v>
      </c>
      <c r="J38" s="298">
        <f>COUNTIFS(Errors!$B:$B, $C38, Errors!$I:$I, J$1)</f>
        <v>0</v>
      </c>
      <c r="K38" s="298">
        <f>COUNTIFS(Errors!$B:$B, $C38, Errors!$I:$I, K$1)</f>
        <v>0</v>
      </c>
      <c r="L38" s="298">
        <f>COUNTIFS(Errors!$B:$B, $C38, Errors!$I:$I, L$1)</f>
        <v>0</v>
      </c>
      <c r="M38" s="298">
        <f>COUNTIFS(Errors!$B:$B, $C38, Errors!$I:$I, M$1)</f>
        <v>0</v>
      </c>
      <c r="N38" s="298">
        <f>COUNTIFS(Errors!$B:$B, $C38, Errors!$I:$I, N$1)</f>
        <v>0</v>
      </c>
      <c r="O38" s="299">
        <f>COUNTIFS(Errors!$B:$B, $C38, Errors!$I:$I, O$1)</f>
        <v>0</v>
      </c>
      <c r="P38" s="298">
        <f>COUNTIFS(Errors!$B:$B, $C38, Errors!$I:$I, P$1)</f>
        <v>0</v>
      </c>
      <c r="Q38" s="298">
        <f>COUNTIFS(Errors!$B:$B, $C38, Errors!$I:$I, Q$1)</f>
        <v>0</v>
      </c>
      <c r="R38" s="298">
        <f>COUNTIFS(Errors!$B:$B, $C38, Errors!$I:$I, R$1)</f>
        <v>0</v>
      </c>
      <c r="S38" s="298">
        <f>COUNTIFS(Errors!$B:$B, $C38, Errors!$I:$I, S$1)</f>
        <v>0</v>
      </c>
      <c r="T38" s="298">
        <f>COUNTIFS(Errors!$B:$B, $C38, Errors!$I:$I, T$1)</f>
        <v>0</v>
      </c>
      <c r="U38" s="298">
        <f>COUNTIFS(Errors!$B:$B, $C38, Errors!$I:$I, U$1)</f>
        <v>0</v>
      </c>
      <c r="V38" s="298">
        <f>COUNTIFS(Errors!$B:$B, $C38, Errors!$I:$I, V$1)</f>
        <v>0</v>
      </c>
      <c r="W38" s="298">
        <f>COUNTIFS(Errors!$B:$B, $C38, Errors!$I:$I, W$1)</f>
        <v>0</v>
      </c>
      <c r="X38" s="298">
        <f>COUNTIFS(Errors!$B:$B, $C38, Errors!$I:$I, X$1)</f>
        <v>0</v>
      </c>
    </row>
    <row r="39" ht="15.0" customHeight="1">
      <c r="A39" s="303">
        <v>0.0</v>
      </c>
      <c r="B39" s="304">
        <f>SourceData!K39</f>
        <v>0.5</v>
      </c>
      <c r="C39" s="305" t="str">
        <f>SourceData!J39</f>
        <v>Evgenia Gammer</v>
      </c>
      <c r="D39" s="306">
        <f>(COUNTIF(Errors!$B$3:$B$3010,'Error Count Analysis'!C39))-((COUNTIFS(Errors!$B$3:$B$3010,'Error Count Analysis'!C39, (Errors!$I$3:$I$3010),"TV*")))</f>
        <v>0</v>
      </c>
      <c r="E39" s="307">
        <f t="shared" si="1"/>
        <v>0</v>
      </c>
      <c r="F39" s="308">
        <f>COUNTIFS(Errors!$B:$B, $C39, Errors!$I:$I, F$1)</f>
        <v>0</v>
      </c>
      <c r="G39" s="309">
        <f>COUNTIFS(Errors!$B:$B, $C39, Errors!$I:$I, G$1)</f>
        <v>0</v>
      </c>
      <c r="H39" s="309">
        <f>COUNTIFS(Errors!$B:$B, $C39, Errors!$I:$I, H$1)</f>
        <v>0</v>
      </c>
      <c r="I39" s="309">
        <f>COUNTIFS(Errors!$B:$B, $C39, Errors!$I:$I, I$1)</f>
        <v>0</v>
      </c>
      <c r="J39" s="309">
        <f>COUNTIFS(Errors!$B:$B, $C39, Errors!$I:$I, J$1)</f>
        <v>0</v>
      </c>
      <c r="K39" s="309">
        <f>COUNTIFS(Errors!$B:$B, $C39, Errors!$I:$I, K$1)</f>
        <v>0</v>
      </c>
      <c r="L39" s="309">
        <f>COUNTIFS(Errors!$B:$B, $C39, Errors!$I:$I, L$1)</f>
        <v>0</v>
      </c>
      <c r="M39" s="309">
        <f>COUNTIFS(Errors!$B:$B, $C39, Errors!$I:$I, M$1)</f>
        <v>0</v>
      </c>
      <c r="N39" s="309">
        <f>COUNTIFS(Errors!$B:$B, $C39, Errors!$I:$I, N$1)</f>
        <v>0</v>
      </c>
      <c r="O39" s="310">
        <f>COUNTIFS(Errors!$B:$B, $C39, Errors!$I:$I, O$1)</f>
        <v>0</v>
      </c>
      <c r="P39" s="309">
        <f>COUNTIFS(Errors!$B:$B, $C39, Errors!$I:$I, P$1)</f>
        <v>0</v>
      </c>
      <c r="Q39" s="309">
        <f>COUNTIFS(Errors!$B:$B, $C39, Errors!$I:$I, Q$1)</f>
        <v>0</v>
      </c>
      <c r="R39" s="309">
        <f>COUNTIFS(Errors!$B:$B, $C39, Errors!$I:$I, R$1)</f>
        <v>0</v>
      </c>
      <c r="S39" s="309">
        <f>COUNTIFS(Errors!$B:$B, $C39, Errors!$I:$I, S$1)</f>
        <v>0</v>
      </c>
      <c r="T39" s="309">
        <f>COUNTIFS(Errors!$B:$B, $C39, Errors!$I:$I, T$1)</f>
        <v>0</v>
      </c>
      <c r="U39" s="309">
        <f>COUNTIFS(Errors!$B:$B, $C39, Errors!$I:$I, U$1)</f>
        <v>0</v>
      </c>
      <c r="V39" s="309">
        <f>COUNTIFS(Errors!$B:$B, $C39, Errors!$I:$I, V$1)</f>
        <v>0</v>
      </c>
      <c r="W39" s="309">
        <f>COUNTIFS(Errors!$B:$B, $C39, Errors!$I:$I, W$1)</f>
        <v>0</v>
      </c>
      <c r="X39" s="309">
        <f>COUNTIFS(Errors!$B:$B, $C39, Errors!$I:$I, X$1)</f>
        <v>0</v>
      </c>
    </row>
    <row r="40" ht="15.0" customHeight="1">
      <c r="A40" s="314">
        <v>0.0</v>
      </c>
      <c r="B40" s="293">
        <f>SourceData!K40</f>
        <v>1</v>
      </c>
      <c r="C40" s="294" t="str">
        <f>SourceData!J40</f>
        <v>Fjodor Leontjev</v>
      </c>
      <c r="D40" s="295">
        <f>(COUNTIF(Errors!$B$3:$B$3010,'Error Count Analysis'!C40))-((COUNTIFS(Errors!$B$3:$B$3010,'Error Count Analysis'!C40, (Errors!$I$3:$I$3010),"TV*")))</f>
        <v>0</v>
      </c>
      <c r="E40" s="296">
        <f t="shared" si="1"/>
        <v>0</v>
      </c>
      <c r="F40" s="297">
        <f>COUNTIFS(Errors!$B:$B, $C40, Errors!$I:$I, F$1)</f>
        <v>0</v>
      </c>
      <c r="G40" s="298">
        <f>COUNTIFS(Errors!$B:$B, $C40, Errors!$I:$I, G$1)</f>
        <v>0</v>
      </c>
      <c r="H40" s="298">
        <f>COUNTIFS(Errors!$B:$B, $C40, Errors!$I:$I, H$1)</f>
        <v>0</v>
      </c>
      <c r="I40" s="298">
        <f>COUNTIFS(Errors!$B:$B, $C40, Errors!$I:$I, I$1)</f>
        <v>0</v>
      </c>
      <c r="J40" s="298">
        <f>COUNTIFS(Errors!$B:$B, $C40, Errors!$I:$I, J$1)</f>
        <v>0</v>
      </c>
      <c r="K40" s="298">
        <f>COUNTIFS(Errors!$B:$B, $C40, Errors!$I:$I, K$1)</f>
        <v>0</v>
      </c>
      <c r="L40" s="298">
        <f>COUNTIFS(Errors!$B:$B, $C40, Errors!$I:$I, L$1)</f>
        <v>0</v>
      </c>
      <c r="M40" s="298">
        <f>COUNTIFS(Errors!$B:$B, $C40, Errors!$I:$I, M$1)</f>
        <v>0</v>
      </c>
      <c r="N40" s="298">
        <f>COUNTIFS(Errors!$B:$B, $C40, Errors!$I:$I, N$1)</f>
        <v>0</v>
      </c>
      <c r="O40" s="299">
        <f>COUNTIFS(Errors!$B:$B, $C40, Errors!$I:$I, O$1)</f>
        <v>0</v>
      </c>
      <c r="P40" s="298">
        <f>COUNTIFS(Errors!$B:$B, $C40, Errors!$I:$I, P$1)</f>
        <v>0</v>
      </c>
      <c r="Q40" s="298">
        <f>COUNTIFS(Errors!$B:$B, $C40, Errors!$I:$I, Q$1)</f>
        <v>0</v>
      </c>
      <c r="R40" s="298">
        <f>COUNTIFS(Errors!$B:$B, $C40, Errors!$I:$I, R$1)</f>
        <v>0</v>
      </c>
      <c r="S40" s="298">
        <f>COUNTIFS(Errors!$B:$B, $C40, Errors!$I:$I, S$1)</f>
        <v>0</v>
      </c>
      <c r="T40" s="298">
        <f>COUNTIFS(Errors!$B:$B, $C40, Errors!$I:$I, T$1)</f>
        <v>0</v>
      </c>
      <c r="U40" s="298">
        <f>COUNTIFS(Errors!$B:$B, $C40, Errors!$I:$I, U$1)</f>
        <v>0</v>
      </c>
      <c r="V40" s="298">
        <f>COUNTIFS(Errors!$B:$B, $C40, Errors!$I:$I, V$1)</f>
        <v>0</v>
      </c>
      <c r="W40" s="298">
        <f>COUNTIFS(Errors!$B:$B, $C40, Errors!$I:$I, W$1)</f>
        <v>0</v>
      </c>
      <c r="X40" s="298">
        <f>COUNTIFS(Errors!$B:$B, $C40, Errors!$I:$I, X$1)</f>
        <v>0</v>
      </c>
    </row>
    <row r="41" ht="15.0" customHeight="1">
      <c r="A41" s="303">
        <v>0.0</v>
      </c>
      <c r="B41" s="304">
        <f>SourceData!K41</f>
        <v>1</v>
      </c>
      <c r="C41" s="305" t="str">
        <f>SourceData!J41</f>
        <v>Greeteli Paama</v>
      </c>
      <c r="D41" s="306">
        <f>(COUNTIF(Errors!$B$3:$B$3010,'Error Count Analysis'!C41))-((COUNTIFS(Errors!$B$3:$B$3010,'Error Count Analysis'!C41, (Errors!$I$3:$I$3010),"TV*")))</f>
        <v>0</v>
      </c>
      <c r="E41" s="307">
        <f t="shared" si="1"/>
        <v>0</v>
      </c>
      <c r="F41" s="308">
        <f>COUNTIFS(Errors!$B:$B, $C41, Errors!$I:$I, F$1)</f>
        <v>0</v>
      </c>
      <c r="G41" s="309">
        <f>COUNTIFS(Errors!$B:$B, $C41, Errors!$I:$I, G$1)</f>
        <v>0</v>
      </c>
      <c r="H41" s="309">
        <f>COUNTIFS(Errors!$B:$B, $C41, Errors!$I:$I, H$1)</f>
        <v>0</v>
      </c>
      <c r="I41" s="309">
        <f>COUNTIFS(Errors!$B:$B, $C41, Errors!$I:$I, I$1)</f>
        <v>0</v>
      </c>
      <c r="J41" s="309">
        <f>COUNTIFS(Errors!$B:$B, $C41, Errors!$I:$I, J$1)</f>
        <v>0</v>
      </c>
      <c r="K41" s="309">
        <f>COUNTIFS(Errors!$B:$B, $C41, Errors!$I:$I, K$1)</f>
        <v>0</v>
      </c>
      <c r="L41" s="309">
        <f>COUNTIFS(Errors!$B:$B, $C41, Errors!$I:$I, L$1)</f>
        <v>0</v>
      </c>
      <c r="M41" s="309">
        <f>COUNTIFS(Errors!$B:$B, $C41, Errors!$I:$I, M$1)</f>
        <v>0</v>
      </c>
      <c r="N41" s="309">
        <f>COUNTIFS(Errors!$B:$B, $C41, Errors!$I:$I, N$1)</f>
        <v>0</v>
      </c>
      <c r="O41" s="310">
        <f>COUNTIFS(Errors!$B:$B, $C41, Errors!$I:$I, O$1)</f>
        <v>0</v>
      </c>
      <c r="P41" s="309">
        <f>COUNTIFS(Errors!$B:$B, $C41, Errors!$I:$I, P$1)</f>
        <v>0</v>
      </c>
      <c r="Q41" s="309">
        <f>COUNTIFS(Errors!$B:$B, $C41, Errors!$I:$I, Q$1)</f>
        <v>0</v>
      </c>
      <c r="R41" s="309">
        <f>COUNTIFS(Errors!$B:$B, $C41, Errors!$I:$I, R$1)</f>
        <v>0</v>
      </c>
      <c r="S41" s="309">
        <f>COUNTIFS(Errors!$B:$B, $C41, Errors!$I:$I, S$1)</f>
        <v>0</v>
      </c>
      <c r="T41" s="309">
        <f>COUNTIFS(Errors!$B:$B, $C41, Errors!$I:$I, T$1)</f>
        <v>0</v>
      </c>
      <c r="U41" s="309">
        <f>COUNTIFS(Errors!$B:$B, $C41, Errors!$I:$I, U$1)</f>
        <v>0</v>
      </c>
      <c r="V41" s="309">
        <f>COUNTIFS(Errors!$B:$B, $C41, Errors!$I:$I, V$1)</f>
        <v>0</v>
      </c>
      <c r="W41" s="309">
        <f>COUNTIFS(Errors!$B:$B, $C41, Errors!$I:$I, W$1)</f>
        <v>0</v>
      </c>
      <c r="X41" s="309">
        <f>COUNTIFS(Errors!$B:$B, $C41, Errors!$I:$I, X$1)</f>
        <v>0</v>
      </c>
    </row>
    <row r="42" ht="15.0" customHeight="1">
      <c r="A42" s="314">
        <v>0.0</v>
      </c>
      <c r="B42" s="293">
        <f>SourceData!K42</f>
        <v>1</v>
      </c>
      <c r="C42" s="294" t="str">
        <f>SourceData!J42</f>
        <v>Grettel Kaljuste</v>
      </c>
      <c r="D42" s="295">
        <f>(COUNTIF(Errors!$B$3:$B$3010,'Error Count Analysis'!C42))-((COUNTIFS(Errors!$B$3:$B$3010,'Error Count Analysis'!C42, (Errors!$I$3:$I$3010),"TV*")))</f>
        <v>2</v>
      </c>
      <c r="E42" s="296">
        <f t="shared" si="1"/>
        <v>2</v>
      </c>
      <c r="F42" s="297">
        <f>COUNTIFS(Errors!$B:$B, $C42, Errors!$I:$I, F$1)</f>
        <v>0</v>
      </c>
      <c r="G42" s="298">
        <f>COUNTIFS(Errors!$B:$B, $C42, Errors!$I:$I, G$1)</f>
        <v>0</v>
      </c>
      <c r="H42" s="298">
        <f>COUNTIFS(Errors!$B:$B, $C42, Errors!$I:$I, H$1)</f>
        <v>0</v>
      </c>
      <c r="I42" s="298">
        <f>COUNTIFS(Errors!$B:$B, $C42, Errors!$I:$I, I$1)</f>
        <v>0</v>
      </c>
      <c r="J42" s="298">
        <f>COUNTIFS(Errors!$B:$B, $C42, Errors!$I:$I, J$1)</f>
        <v>0</v>
      </c>
      <c r="K42" s="298">
        <f>COUNTIFS(Errors!$B:$B, $C42, Errors!$I:$I, K$1)</f>
        <v>0</v>
      </c>
      <c r="L42" s="298">
        <f>COUNTIFS(Errors!$B:$B, $C42, Errors!$I:$I, L$1)</f>
        <v>0</v>
      </c>
      <c r="M42" s="298">
        <f>COUNTIFS(Errors!$B:$B, $C42, Errors!$I:$I, M$1)</f>
        <v>0</v>
      </c>
      <c r="N42" s="298">
        <f>COUNTIFS(Errors!$B:$B, $C42, Errors!$I:$I, N$1)</f>
        <v>0</v>
      </c>
      <c r="O42" s="299">
        <f>COUNTIFS(Errors!$B:$B, $C42, Errors!$I:$I, O$1)</f>
        <v>0</v>
      </c>
      <c r="P42" s="298">
        <f>COUNTIFS(Errors!$B:$B, $C42, Errors!$I:$I, P$1)</f>
        <v>0</v>
      </c>
      <c r="Q42" s="298">
        <f>COUNTIFS(Errors!$B:$B, $C42, Errors!$I:$I, Q$1)</f>
        <v>0</v>
      </c>
      <c r="R42" s="298">
        <f>COUNTIFS(Errors!$B:$B, $C42, Errors!$I:$I, R$1)</f>
        <v>0</v>
      </c>
      <c r="S42" s="298">
        <f>COUNTIFS(Errors!$B:$B, $C42, Errors!$I:$I, S$1)</f>
        <v>0</v>
      </c>
      <c r="T42" s="298">
        <f>COUNTIFS(Errors!$B:$B, $C42, Errors!$I:$I, T$1)</f>
        <v>0</v>
      </c>
      <c r="U42" s="298">
        <f>COUNTIFS(Errors!$B:$B, $C42, Errors!$I:$I, U$1)</f>
        <v>0</v>
      </c>
      <c r="V42" s="298">
        <f>COUNTIFS(Errors!$B:$B, $C42, Errors!$I:$I, V$1)</f>
        <v>2</v>
      </c>
      <c r="W42" s="298">
        <f>COUNTIFS(Errors!$B:$B, $C42, Errors!$I:$I, W$1)</f>
        <v>0</v>
      </c>
      <c r="X42" s="298">
        <f>COUNTIFS(Errors!$B:$B, $C42, Errors!$I:$I, X$1)</f>
        <v>0</v>
      </c>
    </row>
    <row r="43" ht="15.0" customHeight="1">
      <c r="A43" s="303">
        <v>0.0</v>
      </c>
      <c r="B43" s="304">
        <f>SourceData!K43</f>
        <v>0.75</v>
      </c>
      <c r="C43" s="305" t="str">
        <f>SourceData!J43</f>
        <v>Heili Liis Kallasse</v>
      </c>
      <c r="D43" s="306">
        <f>(COUNTIF(Errors!$B$3:$B$3010,'Error Count Analysis'!C43))-((COUNTIFS(Errors!$B$3:$B$3010,'Error Count Analysis'!C43, (Errors!$I$3:$I$3010),"TV*")))</f>
        <v>2</v>
      </c>
      <c r="E43" s="307">
        <f t="shared" si="1"/>
        <v>2.666666667</v>
      </c>
      <c r="F43" s="308">
        <f>COUNTIFS(Errors!$B:$B, $C43, Errors!$I:$I, F$1)</f>
        <v>0</v>
      </c>
      <c r="G43" s="309">
        <f>COUNTIFS(Errors!$B:$B, $C43, Errors!$I:$I, G$1)</f>
        <v>0</v>
      </c>
      <c r="H43" s="309">
        <f>COUNTIFS(Errors!$B:$B, $C43, Errors!$I:$I, H$1)</f>
        <v>1</v>
      </c>
      <c r="I43" s="309">
        <f>COUNTIFS(Errors!$B:$B, $C43, Errors!$I:$I, I$1)</f>
        <v>0</v>
      </c>
      <c r="J43" s="309">
        <f>COUNTIFS(Errors!$B:$B, $C43, Errors!$I:$I, J$1)</f>
        <v>0</v>
      </c>
      <c r="K43" s="309">
        <f>COUNTIFS(Errors!$B:$B, $C43, Errors!$I:$I, K$1)</f>
        <v>0</v>
      </c>
      <c r="L43" s="309">
        <f>COUNTIFS(Errors!$B:$B, $C43, Errors!$I:$I, L$1)</f>
        <v>0</v>
      </c>
      <c r="M43" s="309">
        <f>COUNTIFS(Errors!$B:$B, $C43, Errors!$I:$I, M$1)</f>
        <v>0</v>
      </c>
      <c r="N43" s="309">
        <f>COUNTIFS(Errors!$B:$B, $C43, Errors!$I:$I, N$1)</f>
        <v>0</v>
      </c>
      <c r="O43" s="310">
        <f>COUNTIFS(Errors!$B:$B, $C43, Errors!$I:$I, O$1)</f>
        <v>0</v>
      </c>
      <c r="P43" s="309">
        <f>COUNTIFS(Errors!$B:$B, $C43, Errors!$I:$I, P$1)</f>
        <v>0</v>
      </c>
      <c r="Q43" s="309">
        <f>COUNTIFS(Errors!$B:$B, $C43, Errors!$I:$I, Q$1)</f>
        <v>0</v>
      </c>
      <c r="R43" s="309">
        <f>COUNTIFS(Errors!$B:$B, $C43, Errors!$I:$I, R$1)</f>
        <v>0</v>
      </c>
      <c r="S43" s="309">
        <f>COUNTIFS(Errors!$B:$B, $C43, Errors!$I:$I, S$1)</f>
        <v>0</v>
      </c>
      <c r="T43" s="309">
        <f>COUNTIFS(Errors!$B:$B, $C43, Errors!$I:$I, T$1)</f>
        <v>0</v>
      </c>
      <c r="U43" s="309">
        <f>COUNTIFS(Errors!$B:$B, $C43, Errors!$I:$I, U$1)</f>
        <v>0</v>
      </c>
      <c r="V43" s="309">
        <f>COUNTIFS(Errors!$B:$B, $C43, Errors!$I:$I, V$1)</f>
        <v>1</v>
      </c>
      <c r="W43" s="309">
        <f>COUNTIFS(Errors!$B:$B, $C43, Errors!$I:$I, W$1)</f>
        <v>0</v>
      </c>
      <c r="X43" s="309">
        <f>COUNTIFS(Errors!$B:$B, $C43, Errors!$I:$I, X$1)</f>
        <v>0</v>
      </c>
    </row>
    <row r="44" ht="15.0" customHeight="1">
      <c r="A44" s="314">
        <v>0.0</v>
      </c>
      <c r="B44" s="293">
        <f>SourceData!K44</f>
        <v>1</v>
      </c>
      <c r="C44" s="294" t="str">
        <f>SourceData!J44</f>
        <v>Helina Sootalu</v>
      </c>
      <c r="D44" s="295">
        <f>(COUNTIF(Errors!$B$3:$B$3010,'Error Count Analysis'!C44))-((COUNTIFS(Errors!$B$3:$B$3010,'Error Count Analysis'!C44, (Errors!$I$3:$I$3010),"TV*")))</f>
        <v>0</v>
      </c>
      <c r="E44" s="296">
        <f t="shared" si="1"/>
        <v>0</v>
      </c>
      <c r="F44" s="297">
        <f>COUNTIFS(Errors!$B:$B, $C44, Errors!$I:$I, F$1)</f>
        <v>0</v>
      </c>
      <c r="G44" s="298">
        <f>COUNTIFS(Errors!$B:$B, $C44, Errors!$I:$I, G$1)</f>
        <v>0</v>
      </c>
      <c r="H44" s="298">
        <f>COUNTIFS(Errors!$B:$B, $C44, Errors!$I:$I, H$1)</f>
        <v>0</v>
      </c>
      <c r="I44" s="298">
        <f>COUNTIFS(Errors!$B:$B, $C44, Errors!$I:$I, I$1)</f>
        <v>0</v>
      </c>
      <c r="J44" s="298">
        <f>COUNTIFS(Errors!$B:$B, $C44, Errors!$I:$I, J$1)</f>
        <v>0</v>
      </c>
      <c r="K44" s="298">
        <f>COUNTIFS(Errors!$B:$B, $C44, Errors!$I:$I, K$1)</f>
        <v>0</v>
      </c>
      <c r="L44" s="298">
        <f>COUNTIFS(Errors!$B:$B, $C44, Errors!$I:$I, L$1)</f>
        <v>0</v>
      </c>
      <c r="M44" s="298">
        <f>COUNTIFS(Errors!$B:$B, $C44, Errors!$I:$I, M$1)</f>
        <v>0</v>
      </c>
      <c r="N44" s="298">
        <f>COUNTIFS(Errors!$B:$B, $C44, Errors!$I:$I, N$1)</f>
        <v>0</v>
      </c>
      <c r="O44" s="299">
        <f>COUNTIFS(Errors!$B:$B, $C44, Errors!$I:$I, O$1)</f>
        <v>0</v>
      </c>
      <c r="P44" s="298">
        <f>COUNTIFS(Errors!$B:$B, $C44, Errors!$I:$I, P$1)</f>
        <v>0</v>
      </c>
      <c r="Q44" s="298">
        <f>COUNTIFS(Errors!$B:$B, $C44, Errors!$I:$I, Q$1)</f>
        <v>0</v>
      </c>
      <c r="R44" s="298">
        <f>COUNTIFS(Errors!$B:$B, $C44, Errors!$I:$I, R$1)</f>
        <v>0</v>
      </c>
      <c r="S44" s="298">
        <f>COUNTIFS(Errors!$B:$B, $C44, Errors!$I:$I, S$1)</f>
        <v>0</v>
      </c>
      <c r="T44" s="298">
        <f>COUNTIFS(Errors!$B:$B, $C44, Errors!$I:$I, T$1)</f>
        <v>0</v>
      </c>
      <c r="U44" s="298">
        <f>COUNTIFS(Errors!$B:$B, $C44, Errors!$I:$I, U$1)</f>
        <v>0</v>
      </c>
      <c r="V44" s="298">
        <f>COUNTIFS(Errors!$B:$B, $C44, Errors!$I:$I, V$1)</f>
        <v>0</v>
      </c>
      <c r="W44" s="298">
        <f>COUNTIFS(Errors!$B:$B, $C44, Errors!$I:$I, W$1)</f>
        <v>0</v>
      </c>
      <c r="X44" s="298">
        <f>COUNTIFS(Errors!$B:$B, $C44, Errors!$I:$I, X$1)</f>
        <v>0</v>
      </c>
    </row>
    <row r="45" ht="15.0" customHeight="1">
      <c r="A45" s="303">
        <v>0.0</v>
      </c>
      <c r="B45" s="304">
        <f>SourceData!K45</f>
        <v>0.5</v>
      </c>
      <c r="C45" s="305" t="str">
        <f>SourceData!J45</f>
        <v>Isidora Salcedo de la O</v>
      </c>
      <c r="D45" s="306">
        <f>(COUNTIF(Errors!$B$3:$B$3010,'Error Count Analysis'!C45))-((COUNTIFS(Errors!$B$3:$B$3010,'Error Count Analysis'!C45, (Errors!$I$3:$I$3010),"TV*")))</f>
        <v>1</v>
      </c>
      <c r="E45" s="307">
        <f t="shared" si="1"/>
        <v>2</v>
      </c>
      <c r="F45" s="308">
        <f>COUNTIFS(Errors!$B:$B, $C45, Errors!$I:$I, F$1)</f>
        <v>0</v>
      </c>
      <c r="G45" s="309">
        <f>COUNTIFS(Errors!$B:$B, $C45, Errors!$I:$I, G$1)</f>
        <v>0</v>
      </c>
      <c r="H45" s="309">
        <f>COUNTIFS(Errors!$B:$B, $C45, Errors!$I:$I, H$1)</f>
        <v>0</v>
      </c>
      <c r="I45" s="309">
        <f>COUNTIFS(Errors!$B:$B, $C45, Errors!$I:$I, I$1)</f>
        <v>0</v>
      </c>
      <c r="J45" s="309">
        <f>COUNTIFS(Errors!$B:$B, $C45, Errors!$I:$I, J$1)</f>
        <v>0</v>
      </c>
      <c r="K45" s="309">
        <f>COUNTIFS(Errors!$B:$B, $C45, Errors!$I:$I, K$1)</f>
        <v>0</v>
      </c>
      <c r="L45" s="309">
        <f>COUNTIFS(Errors!$B:$B, $C45, Errors!$I:$I, L$1)</f>
        <v>0</v>
      </c>
      <c r="M45" s="309">
        <f>COUNTIFS(Errors!$B:$B, $C45, Errors!$I:$I, M$1)</f>
        <v>0</v>
      </c>
      <c r="N45" s="309">
        <f>COUNTIFS(Errors!$B:$B, $C45, Errors!$I:$I, N$1)</f>
        <v>0</v>
      </c>
      <c r="O45" s="310">
        <f>COUNTIFS(Errors!$B:$B, $C45, Errors!$I:$I, O$1)</f>
        <v>0</v>
      </c>
      <c r="P45" s="309">
        <f>COUNTIFS(Errors!$B:$B, $C45, Errors!$I:$I, P$1)</f>
        <v>0</v>
      </c>
      <c r="Q45" s="309">
        <f>COUNTIFS(Errors!$B:$B, $C45, Errors!$I:$I, Q$1)</f>
        <v>0</v>
      </c>
      <c r="R45" s="309">
        <f>COUNTIFS(Errors!$B:$B, $C45, Errors!$I:$I, R$1)</f>
        <v>0</v>
      </c>
      <c r="S45" s="309">
        <f>COUNTIFS(Errors!$B:$B, $C45, Errors!$I:$I, S$1)</f>
        <v>1</v>
      </c>
      <c r="T45" s="309">
        <f>COUNTIFS(Errors!$B:$B, $C45, Errors!$I:$I, T$1)</f>
        <v>0</v>
      </c>
      <c r="U45" s="309">
        <f>COUNTIFS(Errors!$B:$B, $C45, Errors!$I:$I, U$1)</f>
        <v>0</v>
      </c>
      <c r="V45" s="309">
        <f>COUNTIFS(Errors!$B:$B, $C45, Errors!$I:$I, V$1)</f>
        <v>0</v>
      </c>
      <c r="W45" s="309">
        <f>COUNTIFS(Errors!$B:$B, $C45, Errors!$I:$I, W$1)</f>
        <v>0</v>
      </c>
      <c r="X45" s="309">
        <f>COUNTIFS(Errors!$B:$B, $C45, Errors!$I:$I, X$1)</f>
        <v>0</v>
      </c>
    </row>
    <row r="46" ht="15.0" customHeight="1">
      <c r="A46" s="314">
        <v>0.0</v>
      </c>
      <c r="B46" s="293">
        <f>SourceData!K46</f>
        <v>1</v>
      </c>
      <c r="C46" s="294" t="str">
        <f>SourceData!J46</f>
        <v>Ivanna Matukhno</v>
      </c>
      <c r="D46" s="295">
        <f>(COUNTIF(Errors!$B$3:$B$3010,'Error Count Analysis'!C46))-((COUNTIFS(Errors!$B$3:$B$3010,'Error Count Analysis'!C46, (Errors!$I$3:$I$3010),"TV*")))</f>
        <v>3</v>
      </c>
      <c r="E46" s="296">
        <f t="shared" si="1"/>
        <v>3</v>
      </c>
      <c r="F46" s="297">
        <f>COUNTIFS(Errors!$B:$B, $C46, Errors!$I:$I, F$1)</f>
        <v>1</v>
      </c>
      <c r="G46" s="298">
        <f>COUNTIFS(Errors!$B:$B, $C46, Errors!$I:$I, G$1)</f>
        <v>2</v>
      </c>
      <c r="H46" s="298">
        <f>COUNTIFS(Errors!$B:$B, $C46, Errors!$I:$I, H$1)</f>
        <v>0</v>
      </c>
      <c r="I46" s="298">
        <f>COUNTIFS(Errors!$B:$B, $C46, Errors!$I:$I, I$1)</f>
        <v>0</v>
      </c>
      <c r="J46" s="298">
        <f>COUNTIFS(Errors!$B:$B, $C46, Errors!$I:$I, J$1)</f>
        <v>0</v>
      </c>
      <c r="K46" s="298">
        <f>COUNTIFS(Errors!$B:$B, $C46, Errors!$I:$I, K$1)</f>
        <v>0</v>
      </c>
      <c r="L46" s="298">
        <f>COUNTIFS(Errors!$B:$B, $C46, Errors!$I:$I, L$1)</f>
        <v>0</v>
      </c>
      <c r="M46" s="298">
        <f>COUNTIFS(Errors!$B:$B, $C46, Errors!$I:$I, M$1)</f>
        <v>0</v>
      </c>
      <c r="N46" s="298">
        <f>COUNTIFS(Errors!$B:$B, $C46, Errors!$I:$I, N$1)</f>
        <v>0</v>
      </c>
      <c r="O46" s="299">
        <f>COUNTIFS(Errors!$B:$B, $C46, Errors!$I:$I, O$1)</f>
        <v>0</v>
      </c>
      <c r="P46" s="298">
        <f>COUNTIFS(Errors!$B:$B, $C46, Errors!$I:$I, P$1)</f>
        <v>0</v>
      </c>
      <c r="Q46" s="298">
        <f>COUNTIFS(Errors!$B:$B, $C46, Errors!$I:$I, Q$1)</f>
        <v>0</v>
      </c>
      <c r="R46" s="298">
        <f>COUNTIFS(Errors!$B:$B, $C46, Errors!$I:$I, R$1)</f>
        <v>0</v>
      </c>
      <c r="S46" s="298">
        <f>COUNTIFS(Errors!$B:$B, $C46, Errors!$I:$I, S$1)</f>
        <v>0</v>
      </c>
      <c r="T46" s="298">
        <f>COUNTIFS(Errors!$B:$B, $C46, Errors!$I:$I, T$1)</f>
        <v>0</v>
      </c>
      <c r="U46" s="298">
        <f>COUNTIFS(Errors!$B:$B, $C46, Errors!$I:$I, U$1)</f>
        <v>0</v>
      </c>
      <c r="V46" s="298">
        <f>COUNTIFS(Errors!$B:$B, $C46, Errors!$I:$I, V$1)</f>
        <v>0</v>
      </c>
      <c r="W46" s="298">
        <f>COUNTIFS(Errors!$B:$B, $C46, Errors!$I:$I, W$1)</f>
        <v>0</v>
      </c>
      <c r="X46" s="298">
        <f>COUNTIFS(Errors!$B:$B, $C46, Errors!$I:$I, X$1)</f>
        <v>0</v>
      </c>
    </row>
    <row r="47" ht="15.0" customHeight="1">
      <c r="A47" s="303">
        <v>0.0</v>
      </c>
      <c r="B47" s="304">
        <f>SourceData!K47</f>
        <v>0.75</v>
      </c>
      <c r="C47" s="305" t="str">
        <f>SourceData!J47</f>
        <v>Jaanek Rits</v>
      </c>
      <c r="D47" s="306">
        <f>(COUNTIF(Errors!$B$3:$B$3010,'Error Count Analysis'!C47))-((COUNTIFS(Errors!$B$3:$B$3010,'Error Count Analysis'!C47, (Errors!$I$3:$I$3010),"TV*")))</f>
        <v>0</v>
      </c>
      <c r="E47" s="307">
        <f t="shared" si="1"/>
        <v>0</v>
      </c>
      <c r="F47" s="308">
        <f>COUNTIFS(Errors!$B:$B, $C47, Errors!$I:$I, F$1)</f>
        <v>0</v>
      </c>
      <c r="G47" s="309">
        <f>COUNTIFS(Errors!$B:$B, $C47, Errors!$I:$I, G$1)</f>
        <v>0</v>
      </c>
      <c r="H47" s="309">
        <f>COUNTIFS(Errors!$B:$B, $C47, Errors!$I:$I, H$1)</f>
        <v>0</v>
      </c>
      <c r="I47" s="309">
        <f>COUNTIFS(Errors!$B:$B, $C47, Errors!$I:$I, I$1)</f>
        <v>0</v>
      </c>
      <c r="J47" s="309">
        <f>COUNTIFS(Errors!$B:$B, $C47, Errors!$I:$I, J$1)</f>
        <v>0</v>
      </c>
      <c r="K47" s="309">
        <f>COUNTIFS(Errors!$B:$B, $C47, Errors!$I:$I, K$1)</f>
        <v>0</v>
      </c>
      <c r="L47" s="309">
        <f>COUNTIFS(Errors!$B:$B, $C47, Errors!$I:$I, L$1)</f>
        <v>0</v>
      </c>
      <c r="M47" s="309">
        <f>COUNTIFS(Errors!$B:$B, $C47, Errors!$I:$I, M$1)</f>
        <v>0</v>
      </c>
      <c r="N47" s="309">
        <f>COUNTIFS(Errors!$B:$B, $C47, Errors!$I:$I, N$1)</f>
        <v>0</v>
      </c>
      <c r="O47" s="310">
        <f>COUNTIFS(Errors!$B:$B, $C47, Errors!$I:$I, O$1)</f>
        <v>0</v>
      </c>
      <c r="P47" s="309">
        <f>COUNTIFS(Errors!$B:$B, $C47, Errors!$I:$I, P$1)</f>
        <v>0</v>
      </c>
      <c r="Q47" s="309">
        <f>COUNTIFS(Errors!$B:$B, $C47, Errors!$I:$I, Q$1)</f>
        <v>0</v>
      </c>
      <c r="R47" s="309">
        <f>COUNTIFS(Errors!$B:$B, $C47, Errors!$I:$I, R$1)</f>
        <v>0</v>
      </c>
      <c r="S47" s="309">
        <f>COUNTIFS(Errors!$B:$B, $C47, Errors!$I:$I, S$1)</f>
        <v>0</v>
      </c>
      <c r="T47" s="309">
        <f>COUNTIFS(Errors!$B:$B, $C47, Errors!$I:$I, T$1)</f>
        <v>0</v>
      </c>
      <c r="U47" s="309">
        <f>COUNTIFS(Errors!$B:$B, $C47, Errors!$I:$I, U$1)</f>
        <v>0</v>
      </c>
      <c r="V47" s="309">
        <f>COUNTIFS(Errors!$B:$B, $C47, Errors!$I:$I, V$1)</f>
        <v>0</v>
      </c>
      <c r="W47" s="309">
        <f>COUNTIFS(Errors!$B:$B, $C47, Errors!$I:$I, W$1)</f>
        <v>0</v>
      </c>
      <c r="X47" s="309">
        <f>COUNTIFS(Errors!$B:$B, $C47, Errors!$I:$I, X$1)</f>
        <v>0</v>
      </c>
    </row>
    <row r="48" ht="15.0" customHeight="1">
      <c r="A48" s="314">
        <v>0.0</v>
      </c>
      <c r="B48" s="293">
        <f>SourceData!K48</f>
        <v>0.5</v>
      </c>
      <c r="C48" s="294" t="str">
        <f>SourceData!J48</f>
        <v>Jana Minjailova</v>
      </c>
      <c r="D48" s="295">
        <f>(COUNTIF(Errors!$B$3:$B$3010,'Error Count Analysis'!C48))-((COUNTIFS(Errors!$B$3:$B$3010,'Error Count Analysis'!C48, (Errors!$I$3:$I$3010),"TV*")))</f>
        <v>2</v>
      </c>
      <c r="E48" s="296">
        <f t="shared" si="1"/>
        <v>4</v>
      </c>
      <c r="F48" s="297">
        <f>COUNTIFS(Errors!$B:$B, $C48, Errors!$I:$I, F$1)</f>
        <v>0</v>
      </c>
      <c r="G48" s="298">
        <f>COUNTIFS(Errors!$B:$B, $C48, Errors!$I:$I, G$1)</f>
        <v>0</v>
      </c>
      <c r="H48" s="298">
        <f>COUNTIFS(Errors!$B:$B, $C48, Errors!$I:$I, H$1)</f>
        <v>0</v>
      </c>
      <c r="I48" s="298">
        <f>COUNTIFS(Errors!$B:$B, $C48, Errors!$I:$I, I$1)</f>
        <v>1</v>
      </c>
      <c r="J48" s="298">
        <f>COUNTIFS(Errors!$B:$B, $C48, Errors!$I:$I, J$1)</f>
        <v>0</v>
      </c>
      <c r="K48" s="298">
        <f>COUNTIFS(Errors!$B:$B, $C48, Errors!$I:$I, K$1)</f>
        <v>0</v>
      </c>
      <c r="L48" s="298">
        <f>COUNTIFS(Errors!$B:$B, $C48, Errors!$I:$I, L$1)</f>
        <v>0</v>
      </c>
      <c r="M48" s="298">
        <f>COUNTIFS(Errors!$B:$B, $C48, Errors!$I:$I, M$1)</f>
        <v>0</v>
      </c>
      <c r="N48" s="298">
        <f>COUNTIFS(Errors!$B:$B, $C48, Errors!$I:$I, N$1)</f>
        <v>0</v>
      </c>
      <c r="O48" s="299">
        <f>COUNTIFS(Errors!$B:$B, $C48, Errors!$I:$I, O$1)</f>
        <v>0</v>
      </c>
      <c r="P48" s="298">
        <f>COUNTIFS(Errors!$B:$B, $C48, Errors!$I:$I, P$1)</f>
        <v>0</v>
      </c>
      <c r="Q48" s="298">
        <f>COUNTIFS(Errors!$B:$B, $C48, Errors!$I:$I, Q$1)</f>
        <v>0</v>
      </c>
      <c r="R48" s="298">
        <f>COUNTIFS(Errors!$B:$B, $C48, Errors!$I:$I, R$1)</f>
        <v>0</v>
      </c>
      <c r="S48" s="298">
        <f>COUNTIFS(Errors!$B:$B, $C48, Errors!$I:$I, S$1)</f>
        <v>1</v>
      </c>
      <c r="T48" s="298">
        <f>COUNTIFS(Errors!$B:$B, $C48, Errors!$I:$I, T$1)</f>
        <v>0</v>
      </c>
      <c r="U48" s="298">
        <f>COUNTIFS(Errors!$B:$B, $C48, Errors!$I:$I, U$1)</f>
        <v>0</v>
      </c>
      <c r="V48" s="298">
        <f>COUNTIFS(Errors!$B:$B, $C48, Errors!$I:$I, V$1)</f>
        <v>0</v>
      </c>
      <c r="W48" s="298">
        <f>COUNTIFS(Errors!$B:$B, $C48, Errors!$I:$I, W$1)</f>
        <v>0</v>
      </c>
      <c r="X48" s="298">
        <f>COUNTIFS(Errors!$B:$B, $C48, Errors!$I:$I, X$1)</f>
        <v>0</v>
      </c>
    </row>
    <row r="49" ht="15.0" customHeight="1">
      <c r="A49" s="303">
        <v>0.0</v>
      </c>
      <c r="B49" s="304">
        <f>SourceData!K49</f>
        <v>0.75</v>
      </c>
      <c r="C49" s="305" t="str">
        <f>SourceData!J49</f>
        <v>Jawan Lepp</v>
      </c>
      <c r="D49" s="306">
        <f>(COUNTIF(Errors!$B$3:$B$3010,'Error Count Analysis'!C49))-((COUNTIFS(Errors!$B$3:$B$3010,'Error Count Analysis'!C49, (Errors!$I$3:$I$3010),"TV*")))</f>
        <v>0</v>
      </c>
      <c r="E49" s="307">
        <f t="shared" si="1"/>
        <v>0</v>
      </c>
      <c r="F49" s="308">
        <f>COUNTIFS(Errors!$B:$B, $C49, Errors!$I:$I, F$1)</f>
        <v>0</v>
      </c>
      <c r="G49" s="309">
        <f>COUNTIFS(Errors!$B:$B, $C49, Errors!$I:$I, G$1)</f>
        <v>0</v>
      </c>
      <c r="H49" s="309">
        <f>COUNTIFS(Errors!$B:$B, $C49, Errors!$I:$I, H$1)</f>
        <v>0</v>
      </c>
      <c r="I49" s="309">
        <f>COUNTIFS(Errors!$B:$B, $C49, Errors!$I:$I, I$1)</f>
        <v>0</v>
      </c>
      <c r="J49" s="309">
        <f>COUNTIFS(Errors!$B:$B, $C49, Errors!$I:$I, J$1)</f>
        <v>0</v>
      </c>
      <c r="K49" s="309">
        <f>COUNTIFS(Errors!$B:$B, $C49, Errors!$I:$I, K$1)</f>
        <v>0</v>
      </c>
      <c r="L49" s="309">
        <f>COUNTIFS(Errors!$B:$B, $C49, Errors!$I:$I, L$1)</f>
        <v>0</v>
      </c>
      <c r="M49" s="309">
        <f>COUNTIFS(Errors!$B:$B, $C49, Errors!$I:$I, M$1)</f>
        <v>0</v>
      </c>
      <c r="N49" s="309">
        <f>COUNTIFS(Errors!$B:$B, $C49, Errors!$I:$I, N$1)</f>
        <v>0</v>
      </c>
      <c r="O49" s="310">
        <f>COUNTIFS(Errors!$B:$B, $C49, Errors!$I:$I, O$1)</f>
        <v>0</v>
      </c>
      <c r="P49" s="309">
        <f>COUNTIFS(Errors!$B:$B, $C49, Errors!$I:$I, P$1)</f>
        <v>0</v>
      </c>
      <c r="Q49" s="309">
        <f>COUNTIFS(Errors!$B:$B, $C49, Errors!$I:$I, Q$1)</f>
        <v>0</v>
      </c>
      <c r="R49" s="309">
        <f>COUNTIFS(Errors!$B:$B, $C49, Errors!$I:$I, R$1)</f>
        <v>0</v>
      </c>
      <c r="S49" s="309">
        <f>COUNTIFS(Errors!$B:$B, $C49, Errors!$I:$I, S$1)</f>
        <v>0</v>
      </c>
      <c r="T49" s="309">
        <f>COUNTIFS(Errors!$B:$B, $C49, Errors!$I:$I, T$1)</f>
        <v>0</v>
      </c>
      <c r="U49" s="309">
        <f>COUNTIFS(Errors!$B:$B, $C49, Errors!$I:$I, U$1)</f>
        <v>0</v>
      </c>
      <c r="V49" s="309">
        <f>COUNTIFS(Errors!$B:$B, $C49, Errors!$I:$I, V$1)</f>
        <v>0</v>
      </c>
      <c r="W49" s="309">
        <f>COUNTIFS(Errors!$B:$B, $C49, Errors!$I:$I, W$1)</f>
        <v>0</v>
      </c>
      <c r="X49" s="309">
        <f>COUNTIFS(Errors!$B:$B, $C49, Errors!$I:$I, X$1)</f>
        <v>0</v>
      </c>
    </row>
    <row r="50" ht="15.0" customHeight="1">
      <c r="A50" s="314">
        <v>0.0</v>
      </c>
      <c r="B50" s="293">
        <f>SourceData!K50</f>
        <v>0.5</v>
      </c>
      <c r="C50" s="294" t="str">
        <f>SourceData!J50</f>
        <v>Jekaterina Ivanova</v>
      </c>
      <c r="D50" s="295">
        <f>(COUNTIF(Errors!$B$3:$B$3010,'Error Count Analysis'!C50))-((COUNTIFS(Errors!$B$3:$B$3010,'Error Count Analysis'!C50, (Errors!$I$3:$I$3010),"TV*")))</f>
        <v>1</v>
      </c>
      <c r="E50" s="296">
        <f t="shared" si="1"/>
        <v>2</v>
      </c>
      <c r="F50" s="297">
        <f>COUNTIFS(Errors!$B:$B, $C50, Errors!$I:$I, F$1)</f>
        <v>0</v>
      </c>
      <c r="G50" s="298">
        <f>COUNTIFS(Errors!$B:$B, $C50, Errors!$I:$I, G$1)</f>
        <v>1</v>
      </c>
      <c r="H50" s="298">
        <f>COUNTIFS(Errors!$B:$B, $C50, Errors!$I:$I, H$1)</f>
        <v>0</v>
      </c>
      <c r="I50" s="298">
        <f>COUNTIFS(Errors!$B:$B, $C50, Errors!$I:$I, I$1)</f>
        <v>0</v>
      </c>
      <c r="J50" s="298">
        <f>COUNTIFS(Errors!$B:$B, $C50, Errors!$I:$I, J$1)</f>
        <v>0</v>
      </c>
      <c r="K50" s="298">
        <f>COUNTIFS(Errors!$B:$B, $C50, Errors!$I:$I, K$1)</f>
        <v>0</v>
      </c>
      <c r="L50" s="298">
        <f>COUNTIFS(Errors!$B:$B, $C50, Errors!$I:$I, L$1)</f>
        <v>0</v>
      </c>
      <c r="M50" s="298">
        <f>COUNTIFS(Errors!$B:$B, $C50, Errors!$I:$I, M$1)</f>
        <v>0</v>
      </c>
      <c r="N50" s="298">
        <f>COUNTIFS(Errors!$B:$B, $C50, Errors!$I:$I, N$1)</f>
        <v>0</v>
      </c>
      <c r="O50" s="299">
        <f>COUNTIFS(Errors!$B:$B, $C50, Errors!$I:$I, O$1)</f>
        <v>0</v>
      </c>
      <c r="P50" s="298">
        <f>COUNTIFS(Errors!$B:$B, $C50, Errors!$I:$I, P$1)</f>
        <v>0</v>
      </c>
      <c r="Q50" s="298">
        <f>COUNTIFS(Errors!$B:$B, $C50, Errors!$I:$I, Q$1)</f>
        <v>0</v>
      </c>
      <c r="R50" s="298">
        <f>COUNTIFS(Errors!$B:$B, $C50, Errors!$I:$I, R$1)</f>
        <v>0</v>
      </c>
      <c r="S50" s="298">
        <f>COUNTIFS(Errors!$B:$B, $C50, Errors!$I:$I, S$1)</f>
        <v>0</v>
      </c>
      <c r="T50" s="298">
        <f>COUNTIFS(Errors!$B:$B, $C50, Errors!$I:$I, T$1)</f>
        <v>0</v>
      </c>
      <c r="U50" s="298">
        <f>COUNTIFS(Errors!$B:$B, $C50, Errors!$I:$I, U$1)</f>
        <v>0</v>
      </c>
      <c r="V50" s="298">
        <f>COUNTIFS(Errors!$B:$B, $C50, Errors!$I:$I, V$1)</f>
        <v>0</v>
      </c>
      <c r="W50" s="298">
        <f>COUNTIFS(Errors!$B:$B, $C50, Errors!$I:$I, W$1)</f>
        <v>0</v>
      </c>
      <c r="X50" s="298">
        <f>COUNTIFS(Errors!$B:$B, $C50, Errors!$I:$I, X$1)</f>
        <v>0</v>
      </c>
    </row>
    <row r="51" ht="15.0" customHeight="1">
      <c r="A51" s="303">
        <v>0.0</v>
      </c>
      <c r="B51" s="304">
        <f>SourceData!K51</f>
        <v>0.75</v>
      </c>
      <c r="C51" s="305" t="str">
        <f>SourceData!J51</f>
        <v>Jekaterina Zalevskaja</v>
      </c>
      <c r="D51" s="306">
        <f>(COUNTIF(Errors!$B$3:$B$3010,'Error Count Analysis'!C51))-((COUNTIFS(Errors!$B$3:$B$3010,'Error Count Analysis'!C51, (Errors!$I$3:$I$3010),"TV*")))</f>
        <v>0</v>
      </c>
      <c r="E51" s="307">
        <f t="shared" si="1"/>
        <v>0</v>
      </c>
      <c r="F51" s="308">
        <f>COUNTIFS(Errors!$B:$B, $C51, Errors!$I:$I, F$1)</f>
        <v>0</v>
      </c>
      <c r="G51" s="309">
        <f>COUNTIFS(Errors!$B:$B, $C51, Errors!$I:$I, G$1)</f>
        <v>0</v>
      </c>
      <c r="H51" s="309">
        <f>COUNTIFS(Errors!$B:$B, $C51, Errors!$I:$I, H$1)</f>
        <v>0</v>
      </c>
      <c r="I51" s="309">
        <f>COUNTIFS(Errors!$B:$B, $C51, Errors!$I:$I, I$1)</f>
        <v>0</v>
      </c>
      <c r="J51" s="309">
        <f>COUNTIFS(Errors!$B:$B, $C51, Errors!$I:$I, J$1)</f>
        <v>0</v>
      </c>
      <c r="K51" s="309">
        <f>COUNTIFS(Errors!$B:$B, $C51, Errors!$I:$I, K$1)</f>
        <v>0</v>
      </c>
      <c r="L51" s="309">
        <f>COUNTIFS(Errors!$B:$B, $C51, Errors!$I:$I, L$1)</f>
        <v>0</v>
      </c>
      <c r="M51" s="309">
        <f>COUNTIFS(Errors!$B:$B, $C51, Errors!$I:$I, M$1)</f>
        <v>0</v>
      </c>
      <c r="N51" s="309">
        <f>COUNTIFS(Errors!$B:$B, $C51, Errors!$I:$I, N$1)</f>
        <v>0</v>
      </c>
      <c r="O51" s="310">
        <f>COUNTIFS(Errors!$B:$B, $C51, Errors!$I:$I, O$1)</f>
        <v>0</v>
      </c>
      <c r="P51" s="309">
        <f>COUNTIFS(Errors!$B:$B, $C51, Errors!$I:$I, P$1)</f>
        <v>0</v>
      </c>
      <c r="Q51" s="309">
        <f>COUNTIFS(Errors!$B:$B, $C51, Errors!$I:$I, Q$1)</f>
        <v>0</v>
      </c>
      <c r="R51" s="309">
        <f>COUNTIFS(Errors!$B:$B, $C51, Errors!$I:$I, R$1)</f>
        <v>0</v>
      </c>
      <c r="S51" s="309">
        <f>COUNTIFS(Errors!$B:$B, $C51, Errors!$I:$I, S$1)</f>
        <v>0</v>
      </c>
      <c r="T51" s="309">
        <f>COUNTIFS(Errors!$B:$B, $C51, Errors!$I:$I, T$1)</f>
        <v>0</v>
      </c>
      <c r="U51" s="309">
        <f>COUNTIFS(Errors!$B:$B, $C51, Errors!$I:$I, U$1)</f>
        <v>0</v>
      </c>
      <c r="V51" s="309">
        <f>COUNTIFS(Errors!$B:$B, $C51, Errors!$I:$I, V$1)</f>
        <v>0</v>
      </c>
      <c r="W51" s="309">
        <f>COUNTIFS(Errors!$B:$B, $C51, Errors!$I:$I, W$1)</f>
        <v>0</v>
      </c>
      <c r="X51" s="309">
        <f>COUNTIFS(Errors!$B:$B, $C51, Errors!$I:$I, X$1)</f>
        <v>0</v>
      </c>
    </row>
    <row r="52" ht="15.0" customHeight="1">
      <c r="A52" s="314">
        <v>0.0</v>
      </c>
      <c r="B52" s="293">
        <f>SourceData!K52</f>
        <v>1</v>
      </c>
      <c r="C52" s="294" t="str">
        <f>SourceData!J52</f>
        <v>Jelizaveta Venkova</v>
      </c>
      <c r="D52" s="295">
        <f>(COUNTIF(Errors!$B$3:$B$3010,'Error Count Analysis'!C52))-((COUNTIFS(Errors!$B$3:$B$3010,'Error Count Analysis'!C52, (Errors!$I$3:$I$3010),"TV*")))</f>
        <v>4</v>
      </c>
      <c r="E52" s="296">
        <f t="shared" si="1"/>
        <v>4</v>
      </c>
      <c r="F52" s="297">
        <f>COUNTIFS(Errors!$B:$B, $C52, Errors!$I:$I, F$1)</f>
        <v>1</v>
      </c>
      <c r="G52" s="298">
        <f>COUNTIFS(Errors!$B:$B, $C52, Errors!$I:$I, G$1)</f>
        <v>1</v>
      </c>
      <c r="H52" s="298">
        <f>COUNTIFS(Errors!$B:$B, $C52, Errors!$I:$I, H$1)</f>
        <v>0</v>
      </c>
      <c r="I52" s="298">
        <f>COUNTIFS(Errors!$B:$B, $C52, Errors!$I:$I, I$1)</f>
        <v>0</v>
      </c>
      <c r="J52" s="298">
        <f>COUNTIFS(Errors!$B:$B, $C52, Errors!$I:$I, J$1)</f>
        <v>0</v>
      </c>
      <c r="K52" s="298">
        <f>COUNTIFS(Errors!$B:$B, $C52, Errors!$I:$I, K$1)</f>
        <v>0</v>
      </c>
      <c r="L52" s="298">
        <f>COUNTIFS(Errors!$B:$B, $C52, Errors!$I:$I, L$1)</f>
        <v>0</v>
      </c>
      <c r="M52" s="298">
        <f>COUNTIFS(Errors!$B:$B, $C52, Errors!$I:$I, M$1)</f>
        <v>0</v>
      </c>
      <c r="N52" s="298">
        <f>COUNTIFS(Errors!$B:$B, $C52, Errors!$I:$I, N$1)</f>
        <v>0</v>
      </c>
      <c r="O52" s="299">
        <f>COUNTIFS(Errors!$B:$B, $C52, Errors!$I:$I, O$1)</f>
        <v>0</v>
      </c>
      <c r="P52" s="298">
        <f>COUNTIFS(Errors!$B:$B, $C52, Errors!$I:$I, P$1)</f>
        <v>1</v>
      </c>
      <c r="Q52" s="298">
        <f>COUNTIFS(Errors!$B:$B, $C52, Errors!$I:$I, Q$1)</f>
        <v>0</v>
      </c>
      <c r="R52" s="298">
        <f>COUNTIFS(Errors!$B:$B, $C52, Errors!$I:$I, R$1)</f>
        <v>0</v>
      </c>
      <c r="S52" s="298">
        <f>COUNTIFS(Errors!$B:$B, $C52, Errors!$I:$I, S$1)</f>
        <v>0</v>
      </c>
      <c r="T52" s="298">
        <f>COUNTIFS(Errors!$B:$B, $C52, Errors!$I:$I, T$1)</f>
        <v>0</v>
      </c>
      <c r="U52" s="298">
        <f>COUNTIFS(Errors!$B:$B, $C52, Errors!$I:$I, U$1)</f>
        <v>0</v>
      </c>
      <c r="V52" s="298">
        <f>COUNTIFS(Errors!$B:$B, $C52, Errors!$I:$I, V$1)</f>
        <v>1</v>
      </c>
      <c r="W52" s="298">
        <f>COUNTIFS(Errors!$B:$B, $C52, Errors!$I:$I, W$1)</f>
        <v>0</v>
      </c>
      <c r="X52" s="298">
        <f>COUNTIFS(Errors!$B:$B, $C52, Errors!$I:$I, X$1)</f>
        <v>0</v>
      </c>
    </row>
    <row r="53" ht="15.0" customHeight="1">
      <c r="A53" s="303">
        <v>0.0</v>
      </c>
      <c r="B53" s="304">
        <f>SourceData!K53</f>
        <v>0.75</v>
      </c>
      <c r="C53" s="305" t="str">
        <f>SourceData!J53</f>
        <v>Jenevive Campus</v>
      </c>
      <c r="D53" s="306">
        <f>(COUNTIF(Errors!$B$3:$B$3010,'Error Count Analysis'!C53))-((COUNTIFS(Errors!$B$3:$B$3010,'Error Count Analysis'!C53, (Errors!$I$3:$I$3010),"TV*")))</f>
        <v>0</v>
      </c>
      <c r="E53" s="307">
        <f t="shared" si="1"/>
        <v>0</v>
      </c>
      <c r="F53" s="308">
        <f>COUNTIFS(Errors!$B:$B, $C53, Errors!$I:$I, F$1)</f>
        <v>0</v>
      </c>
      <c r="G53" s="309">
        <f>COUNTIFS(Errors!$B:$B, $C53, Errors!$I:$I, G$1)</f>
        <v>0</v>
      </c>
      <c r="H53" s="309">
        <f>COUNTIFS(Errors!$B:$B, $C53, Errors!$I:$I, H$1)</f>
        <v>0</v>
      </c>
      <c r="I53" s="309">
        <f>COUNTIFS(Errors!$B:$B, $C53, Errors!$I:$I, I$1)</f>
        <v>0</v>
      </c>
      <c r="J53" s="309">
        <f>COUNTIFS(Errors!$B:$B, $C53, Errors!$I:$I, J$1)</f>
        <v>0</v>
      </c>
      <c r="K53" s="309">
        <f>COUNTIFS(Errors!$B:$B, $C53, Errors!$I:$I, K$1)</f>
        <v>0</v>
      </c>
      <c r="L53" s="309">
        <f>COUNTIFS(Errors!$B:$B, $C53, Errors!$I:$I, L$1)</f>
        <v>0</v>
      </c>
      <c r="M53" s="309">
        <f>COUNTIFS(Errors!$B:$B, $C53, Errors!$I:$I, M$1)</f>
        <v>0</v>
      </c>
      <c r="N53" s="309">
        <f>COUNTIFS(Errors!$B:$B, $C53, Errors!$I:$I, N$1)</f>
        <v>0</v>
      </c>
      <c r="O53" s="310">
        <f>COUNTIFS(Errors!$B:$B, $C53, Errors!$I:$I, O$1)</f>
        <v>0</v>
      </c>
      <c r="P53" s="309">
        <f>COUNTIFS(Errors!$B:$B, $C53, Errors!$I:$I, P$1)</f>
        <v>0</v>
      </c>
      <c r="Q53" s="309">
        <f>COUNTIFS(Errors!$B:$B, $C53, Errors!$I:$I, Q$1)</f>
        <v>0</v>
      </c>
      <c r="R53" s="309">
        <f>COUNTIFS(Errors!$B:$B, $C53, Errors!$I:$I, R$1)</f>
        <v>0</v>
      </c>
      <c r="S53" s="309">
        <f>COUNTIFS(Errors!$B:$B, $C53, Errors!$I:$I, S$1)</f>
        <v>0</v>
      </c>
      <c r="T53" s="309">
        <f>COUNTIFS(Errors!$B:$B, $C53, Errors!$I:$I, T$1)</f>
        <v>0</v>
      </c>
      <c r="U53" s="309">
        <f>COUNTIFS(Errors!$B:$B, $C53, Errors!$I:$I, U$1)</f>
        <v>0</v>
      </c>
      <c r="V53" s="309">
        <f>COUNTIFS(Errors!$B:$B, $C53, Errors!$I:$I, V$1)</f>
        <v>0</v>
      </c>
      <c r="W53" s="309">
        <f>COUNTIFS(Errors!$B:$B, $C53, Errors!$I:$I, W$1)</f>
        <v>0</v>
      </c>
      <c r="X53" s="309">
        <f>COUNTIFS(Errors!$B:$B, $C53, Errors!$I:$I, X$1)</f>
        <v>0</v>
      </c>
    </row>
    <row r="54" ht="15.0" customHeight="1">
      <c r="A54" s="314">
        <v>0.0</v>
      </c>
      <c r="B54" s="293">
        <f>SourceData!K54</f>
        <v>1</v>
      </c>
      <c r="C54" s="294" t="str">
        <f>SourceData!J54</f>
        <v>Kaire Tammoja</v>
      </c>
      <c r="D54" s="295">
        <f>(COUNTIF(Errors!$B$3:$B$3010,'Error Count Analysis'!C54))-((COUNTIFS(Errors!$B$3:$B$3010,'Error Count Analysis'!C54, (Errors!$I$3:$I$3010),"TV*")))</f>
        <v>1</v>
      </c>
      <c r="E54" s="296">
        <f t="shared" si="1"/>
        <v>1</v>
      </c>
      <c r="F54" s="297">
        <f>COUNTIFS(Errors!$B:$B, $C54, Errors!$I:$I, F$1)</f>
        <v>0</v>
      </c>
      <c r="G54" s="298">
        <f>COUNTIFS(Errors!$B:$B, $C54, Errors!$I:$I, G$1)</f>
        <v>1</v>
      </c>
      <c r="H54" s="298">
        <f>COUNTIFS(Errors!$B:$B, $C54, Errors!$I:$I, H$1)</f>
        <v>0</v>
      </c>
      <c r="I54" s="298">
        <f>COUNTIFS(Errors!$B:$B, $C54, Errors!$I:$I, I$1)</f>
        <v>0</v>
      </c>
      <c r="J54" s="298">
        <f>COUNTIFS(Errors!$B:$B, $C54, Errors!$I:$I, J$1)</f>
        <v>0</v>
      </c>
      <c r="K54" s="298">
        <f>COUNTIFS(Errors!$B:$B, $C54, Errors!$I:$I, K$1)</f>
        <v>0</v>
      </c>
      <c r="L54" s="298">
        <f>COUNTIFS(Errors!$B:$B, $C54, Errors!$I:$I, L$1)</f>
        <v>0</v>
      </c>
      <c r="M54" s="298">
        <f>COUNTIFS(Errors!$B:$B, $C54, Errors!$I:$I, M$1)</f>
        <v>0</v>
      </c>
      <c r="N54" s="298">
        <f>COUNTIFS(Errors!$B:$B, $C54, Errors!$I:$I, N$1)</f>
        <v>0</v>
      </c>
      <c r="O54" s="299">
        <f>COUNTIFS(Errors!$B:$B, $C54, Errors!$I:$I, O$1)</f>
        <v>0</v>
      </c>
      <c r="P54" s="298">
        <f>COUNTIFS(Errors!$B:$B, $C54, Errors!$I:$I, P$1)</f>
        <v>0</v>
      </c>
      <c r="Q54" s="298">
        <f>COUNTIFS(Errors!$B:$B, $C54, Errors!$I:$I, Q$1)</f>
        <v>0</v>
      </c>
      <c r="R54" s="298">
        <f>COUNTIFS(Errors!$B:$B, $C54, Errors!$I:$I, R$1)</f>
        <v>0</v>
      </c>
      <c r="S54" s="298">
        <f>COUNTIFS(Errors!$B:$B, $C54, Errors!$I:$I, S$1)</f>
        <v>0</v>
      </c>
      <c r="T54" s="298">
        <f>COUNTIFS(Errors!$B:$B, $C54, Errors!$I:$I, T$1)</f>
        <v>0</v>
      </c>
      <c r="U54" s="298">
        <f>COUNTIFS(Errors!$B:$B, $C54, Errors!$I:$I, U$1)</f>
        <v>0</v>
      </c>
      <c r="V54" s="298">
        <f>COUNTIFS(Errors!$B:$B, $C54, Errors!$I:$I, V$1)</f>
        <v>0</v>
      </c>
      <c r="W54" s="298">
        <f>COUNTIFS(Errors!$B:$B, $C54, Errors!$I:$I, W$1)</f>
        <v>0</v>
      </c>
      <c r="X54" s="298">
        <f>COUNTIFS(Errors!$B:$B, $C54, Errors!$I:$I, X$1)</f>
        <v>0</v>
      </c>
    </row>
    <row r="55" ht="15.0" customHeight="1">
      <c r="A55" s="303">
        <v>0.0</v>
      </c>
      <c r="B55" s="304">
        <f>SourceData!K55</f>
        <v>1</v>
      </c>
      <c r="C55" s="305" t="str">
        <f>SourceData!J55</f>
        <v>Kaisa Helena Rõngelep</v>
      </c>
      <c r="D55" s="306">
        <f>(COUNTIF(Errors!$B$3:$B$3010,'Error Count Analysis'!C55))-((COUNTIFS(Errors!$B$3:$B$3010,'Error Count Analysis'!C55, (Errors!$I$3:$I$3010),"TV*")))</f>
        <v>0</v>
      </c>
      <c r="E55" s="307">
        <f t="shared" si="1"/>
        <v>0</v>
      </c>
      <c r="F55" s="308">
        <f>COUNTIFS(Errors!$B:$B, $C55, Errors!$I:$I, F$1)</f>
        <v>0</v>
      </c>
      <c r="G55" s="309">
        <f>COUNTIFS(Errors!$B:$B, $C55, Errors!$I:$I, G$1)</f>
        <v>0</v>
      </c>
      <c r="H55" s="309">
        <f>COUNTIFS(Errors!$B:$B, $C55, Errors!$I:$I, H$1)</f>
        <v>0</v>
      </c>
      <c r="I55" s="309">
        <f>COUNTIFS(Errors!$B:$B, $C55, Errors!$I:$I, I$1)</f>
        <v>0</v>
      </c>
      <c r="J55" s="309">
        <f>COUNTIFS(Errors!$B:$B, $C55, Errors!$I:$I, J$1)</f>
        <v>0</v>
      </c>
      <c r="K55" s="309">
        <f>COUNTIFS(Errors!$B:$B, $C55, Errors!$I:$I, K$1)</f>
        <v>0</v>
      </c>
      <c r="L55" s="309">
        <f>COUNTIFS(Errors!$B:$B, $C55, Errors!$I:$I, L$1)</f>
        <v>0</v>
      </c>
      <c r="M55" s="309">
        <f>COUNTIFS(Errors!$B:$B, $C55, Errors!$I:$I, M$1)</f>
        <v>0</v>
      </c>
      <c r="N55" s="309">
        <f>COUNTIFS(Errors!$B:$B, $C55, Errors!$I:$I, N$1)</f>
        <v>0</v>
      </c>
      <c r="O55" s="310">
        <f>COUNTIFS(Errors!$B:$B, $C55, Errors!$I:$I, O$1)</f>
        <v>0</v>
      </c>
      <c r="P55" s="309">
        <f>COUNTIFS(Errors!$B:$B, $C55, Errors!$I:$I, P$1)</f>
        <v>0</v>
      </c>
      <c r="Q55" s="309">
        <f>COUNTIFS(Errors!$B:$B, $C55, Errors!$I:$I, Q$1)</f>
        <v>0</v>
      </c>
      <c r="R55" s="309">
        <f>COUNTIFS(Errors!$B:$B, $C55, Errors!$I:$I, R$1)</f>
        <v>0</v>
      </c>
      <c r="S55" s="309">
        <f>COUNTIFS(Errors!$B:$B, $C55, Errors!$I:$I, S$1)</f>
        <v>0</v>
      </c>
      <c r="T55" s="309">
        <f>COUNTIFS(Errors!$B:$B, $C55, Errors!$I:$I, T$1)</f>
        <v>0</v>
      </c>
      <c r="U55" s="309">
        <f>COUNTIFS(Errors!$B:$B, $C55, Errors!$I:$I, U$1)</f>
        <v>0</v>
      </c>
      <c r="V55" s="309">
        <f>COUNTIFS(Errors!$B:$B, $C55, Errors!$I:$I, V$1)</f>
        <v>0</v>
      </c>
      <c r="W55" s="309">
        <f>COUNTIFS(Errors!$B:$B, $C55, Errors!$I:$I, W$1)</f>
        <v>0</v>
      </c>
      <c r="X55" s="309">
        <f>COUNTIFS(Errors!$B:$B, $C55, Errors!$I:$I, X$1)</f>
        <v>0</v>
      </c>
    </row>
    <row r="56" ht="15.0" customHeight="1">
      <c r="A56" s="314">
        <v>0.0</v>
      </c>
      <c r="B56" s="293">
        <f>SourceData!K56</f>
        <v>1</v>
      </c>
      <c r="C56" s="294" t="str">
        <f>SourceData!J56</f>
        <v>Karetti Sakala</v>
      </c>
      <c r="D56" s="295">
        <f>(COUNTIF(Errors!$B$3:$B$3010,'Error Count Analysis'!C56))-((COUNTIFS(Errors!$B$3:$B$3010,'Error Count Analysis'!C56, (Errors!$I$3:$I$3010),"TV*")))</f>
        <v>1</v>
      </c>
      <c r="E56" s="296">
        <f t="shared" si="1"/>
        <v>1</v>
      </c>
      <c r="F56" s="297">
        <f>COUNTIFS(Errors!$B:$B, $C56, Errors!$I:$I, F$1)</f>
        <v>0</v>
      </c>
      <c r="G56" s="298">
        <f>COUNTIFS(Errors!$B:$B, $C56, Errors!$I:$I, G$1)</f>
        <v>1</v>
      </c>
      <c r="H56" s="298">
        <f>COUNTIFS(Errors!$B:$B, $C56, Errors!$I:$I, H$1)</f>
        <v>0</v>
      </c>
      <c r="I56" s="298">
        <f>COUNTIFS(Errors!$B:$B, $C56, Errors!$I:$I, I$1)</f>
        <v>0</v>
      </c>
      <c r="J56" s="298">
        <f>COUNTIFS(Errors!$B:$B, $C56, Errors!$I:$I, J$1)</f>
        <v>0</v>
      </c>
      <c r="K56" s="298">
        <f>COUNTIFS(Errors!$B:$B, $C56, Errors!$I:$I, K$1)</f>
        <v>0</v>
      </c>
      <c r="L56" s="298">
        <f>COUNTIFS(Errors!$B:$B, $C56, Errors!$I:$I, L$1)</f>
        <v>0</v>
      </c>
      <c r="M56" s="298">
        <f>COUNTIFS(Errors!$B:$B, $C56, Errors!$I:$I, M$1)</f>
        <v>0</v>
      </c>
      <c r="N56" s="298">
        <f>COUNTIFS(Errors!$B:$B, $C56, Errors!$I:$I, N$1)</f>
        <v>0</v>
      </c>
      <c r="O56" s="299">
        <f>COUNTIFS(Errors!$B:$B, $C56, Errors!$I:$I, O$1)</f>
        <v>0</v>
      </c>
      <c r="P56" s="298">
        <f>COUNTIFS(Errors!$B:$B, $C56, Errors!$I:$I, P$1)</f>
        <v>0</v>
      </c>
      <c r="Q56" s="298">
        <f>COUNTIFS(Errors!$B:$B, $C56, Errors!$I:$I, Q$1)</f>
        <v>0</v>
      </c>
      <c r="R56" s="298">
        <f>COUNTIFS(Errors!$B:$B, $C56, Errors!$I:$I, R$1)</f>
        <v>0</v>
      </c>
      <c r="S56" s="298">
        <f>COUNTIFS(Errors!$B:$B, $C56, Errors!$I:$I, S$1)</f>
        <v>0</v>
      </c>
      <c r="T56" s="298">
        <f>COUNTIFS(Errors!$B:$B, $C56, Errors!$I:$I, T$1)</f>
        <v>0</v>
      </c>
      <c r="U56" s="298">
        <f>COUNTIFS(Errors!$B:$B, $C56, Errors!$I:$I, U$1)</f>
        <v>0</v>
      </c>
      <c r="V56" s="298">
        <f>COUNTIFS(Errors!$B:$B, $C56, Errors!$I:$I, V$1)</f>
        <v>0</v>
      </c>
      <c r="W56" s="298">
        <f>COUNTIFS(Errors!$B:$B, $C56, Errors!$I:$I, W$1)</f>
        <v>0</v>
      </c>
      <c r="X56" s="298">
        <f>COUNTIFS(Errors!$B:$B, $C56, Errors!$I:$I, X$1)</f>
        <v>0</v>
      </c>
    </row>
    <row r="57" ht="15.0" customHeight="1">
      <c r="A57" s="303">
        <v>0.0</v>
      </c>
      <c r="B57" s="304">
        <f>SourceData!K57</f>
        <v>1</v>
      </c>
      <c r="C57" s="305" t="str">
        <f>SourceData!J57</f>
        <v>Karina Tarasenko</v>
      </c>
      <c r="D57" s="306">
        <f>(COUNTIF(Errors!$B$3:$B$3010,'Error Count Analysis'!C57))-((COUNTIFS(Errors!$B$3:$B$3010,'Error Count Analysis'!C57, (Errors!$I$3:$I$3010),"TV*")))</f>
        <v>3</v>
      </c>
      <c r="E57" s="307">
        <f t="shared" si="1"/>
        <v>3</v>
      </c>
      <c r="F57" s="308">
        <f>COUNTIFS(Errors!$B:$B, $C57, Errors!$I:$I, F$1)</f>
        <v>0</v>
      </c>
      <c r="G57" s="309">
        <f>COUNTIFS(Errors!$B:$B, $C57, Errors!$I:$I, G$1)</f>
        <v>0</v>
      </c>
      <c r="H57" s="309">
        <f>COUNTIFS(Errors!$B:$B, $C57, Errors!$I:$I, H$1)</f>
        <v>0</v>
      </c>
      <c r="I57" s="309">
        <f>COUNTIFS(Errors!$B:$B, $C57, Errors!$I:$I, I$1)</f>
        <v>0</v>
      </c>
      <c r="J57" s="309">
        <f>COUNTIFS(Errors!$B:$B, $C57, Errors!$I:$I, J$1)</f>
        <v>1</v>
      </c>
      <c r="K57" s="309">
        <f>COUNTIFS(Errors!$B:$B, $C57, Errors!$I:$I, K$1)</f>
        <v>0</v>
      </c>
      <c r="L57" s="309">
        <f>COUNTIFS(Errors!$B:$B, $C57, Errors!$I:$I, L$1)</f>
        <v>0</v>
      </c>
      <c r="M57" s="309">
        <f>COUNTIFS(Errors!$B:$B, $C57, Errors!$I:$I, M$1)</f>
        <v>0</v>
      </c>
      <c r="N57" s="309">
        <f>COUNTIFS(Errors!$B:$B, $C57, Errors!$I:$I, N$1)</f>
        <v>0</v>
      </c>
      <c r="O57" s="310">
        <f>COUNTIFS(Errors!$B:$B, $C57, Errors!$I:$I, O$1)</f>
        <v>0</v>
      </c>
      <c r="P57" s="309">
        <f>COUNTIFS(Errors!$B:$B, $C57, Errors!$I:$I, P$1)</f>
        <v>0</v>
      </c>
      <c r="Q57" s="309">
        <f>COUNTIFS(Errors!$B:$B, $C57, Errors!$I:$I, Q$1)</f>
        <v>0</v>
      </c>
      <c r="R57" s="309">
        <f>COUNTIFS(Errors!$B:$B, $C57, Errors!$I:$I, R$1)</f>
        <v>0</v>
      </c>
      <c r="S57" s="309">
        <f>COUNTIFS(Errors!$B:$B, $C57, Errors!$I:$I, S$1)</f>
        <v>0</v>
      </c>
      <c r="T57" s="309">
        <f>COUNTIFS(Errors!$B:$B, $C57, Errors!$I:$I, T$1)</f>
        <v>0</v>
      </c>
      <c r="U57" s="309">
        <f>COUNTIFS(Errors!$B:$B, $C57, Errors!$I:$I, U$1)</f>
        <v>0</v>
      </c>
      <c r="V57" s="309">
        <f>COUNTIFS(Errors!$B:$B, $C57, Errors!$I:$I, V$1)</f>
        <v>2</v>
      </c>
      <c r="W57" s="309">
        <f>COUNTIFS(Errors!$B:$B, $C57, Errors!$I:$I, W$1)</f>
        <v>0</v>
      </c>
      <c r="X57" s="309">
        <f>COUNTIFS(Errors!$B:$B, $C57, Errors!$I:$I, X$1)</f>
        <v>0</v>
      </c>
    </row>
    <row r="58" ht="15.0" customHeight="1">
      <c r="A58" s="314">
        <v>0.0</v>
      </c>
      <c r="B58" s="293">
        <f>SourceData!K58</f>
        <v>0.75</v>
      </c>
      <c r="C58" s="294" t="str">
        <f>SourceData!J58</f>
        <v>Katerina Zahharova</v>
      </c>
      <c r="D58" s="295">
        <f>(COUNTIF(Errors!$B$3:$B$3010,'Error Count Analysis'!C58))-((COUNTIFS(Errors!$B$3:$B$3010,'Error Count Analysis'!C58, (Errors!$I$3:$I$3010),"TV*")))</f>
        <v>1</v>
      </c>
      <c r="E58" s="296">
        <f t="shared" si="1"/>
        <v>1.333333333</v>
      </c>
      <c r="F58" s="297">
        <f>COUNTIFS(Errors!$B:$B, $C58, Errors!$I:$I, F$1)</f>
        <v>0</v>
      </c>
      <c r="G58" s="298">
        <f>COUNTIFS(Errors!$B:$B, $C58, Errors!$I:$I, G$1)</f>
        <v>1</v>
      </c>
      <c r="H58" s="298">
        <f>COUNTIFS(Errors!$B:$B, $C58, Errors!$I:$I, H$1)</f>
        <v>0</v>
      </c>
      <c r="I58" s="298">
        <f>COUNTIFS(Errors!$B:$B, $C58, Errors!$I:$I, I$1)</f>
        <v>0</v>
      </c>
      <c r="J58" s="298">
        <f>COUNTIFS(Errors!$B:$B, $C58, Errors!$I:$I, J$1)</f>
        <v>0</v>
      </c>
      <c r="K58" s="298">
        <f>COUNTIFS(Errors!$B:$B, $C58, Errors!$I:$I, K$1)</f>
        <v>0</v>
      </c>
      <c r="L58" s="298">
        <f>COUNTIFS(Errors!$B:$B, $C58, Errors!$I:$I, L$1)</f>
        <v>0</v>
      </c>
      <c r="M58" s="298">
        <f>COUNTIFS(Errors!$B:$B, $C58, Errors!$I:$I, M$1)</f>
        <v>0</v>
      </c>
      <c r="N58" s="298">
        <f>COUNTIFS(Errors!$B:$B, $C58, Errors!$I:$I, N$1)</f>
        <v>0</v>
      </c>
      <c r="O58" s="299">
        <f>COUNTIFS(Errors!$B:$B, $C58, Errors!$I:$I, O$1)</f>
        <v>0</v>
      </c>
      <c r="P58" s="298">
        <f>COUNTIFS(Errors!$B:$B, $C58, Errors!$I:$I, P$1)</f>
        <v>0</v>
      </c>
      <c r="Q58" s="298">
        <f>COUNTIFS(Errors!$B:$B, $C58, Errors!$I:$I, Q$1)</f>
        <v>0</v>
      </c>
      <c r="R58" s="298">
        <f>COUNTIFS(Errors!$B:$B, $C58, Errors!$I:$I, R$1)</f>
        <v>0</v>
      </c>
      <c r="S58" s="298">
        <f>COUNTIFS(Errors!$B:$B, $C58, Errors!$I:$I, S$1)</f>
        <v>0</v>
      </c>
      <c r="T58" s="298">
        <f>COUNTIFS(Errors!$B:$B, $C58, Errors!$I:$I, T$1)</f>
        <v>0</v>
      </c>
      <c r="U58" s="298">
        <f>COUNTIFS(Errors!$B:$B, $C58, Errors!$I:$I, U$1)</f>
        <v>0</v>
      </c>
      <c r="V58" s="298">
        <f>COUNTIFS(Errors!$B:$B, $C58, Errors!$I:$I, V$1)</f>
        <v>0</v>
      </c>
      <c r="W58" s="298">
        <f>COUNTIFS(Errors!$B:$B, $C58, Errors!$I:$I, W$1)</f>
        <v>0</v>
      </c>
      <c r="X58" s="298">
        <f>COUNTIFS(Errors!$B:$B, $C58, Errors!$I:$I, X$1)</f>
        <v>0</v>
      </c>
    </row>
    <row r="59" ht="15.0" customHeight="1">
      <c r="A59" s="303">
        <v>0.0</v>
      </c>
      <c r="B59" s="304">
        <f>SourceData!K59</f>
        <v>1</v>
      </c>
      <c r="C59" s="305" t="str">
        <f>SourceData!J59</f>
        <v>Kateryna Hantseva</v>
      </c>
      <c r="D59" s="306">
        <f>(COUNTIF(Errors!$B$3:$B$3010,'Error Count Analysis'!C59))-((COUNTIFS(Errors!$B$3:$B$3010,'Error Count Analysis'!C59, (Errors!$I$3:$I$3010),"TV*")))</f>
        <v>0</v>
      </c>
      <c r="E59" s="307">
        <f t="shared" si="1"/>
        <v>0</v>
      </c>
      <c r="F59" s="308">
        <f>COUNTIFS(Errors!$B:$B, $C59, Errors!$I:$I, F$1)</f>
        <v>0</v>
      </c>
      <c r="G59" s="309">
        <f>COUNTIFS(Errors!$B:$B, $C59, Errors!$I:$I, G$1)</f>
        <v>0</v>
      </c>
      <c r="H59" s="309">
        <f>COUNTIFS(Errors!$B:$B, $C59, Errors!$I:$I, H$1)</f>
        <v>0</v>
      </c>
      <c r="I59" s="309">
        <f>COUNTIFS(Errors!$B:$B, $C59, Errors!$I:$I, I$1)</f>
        <v>0</v>
      </c>
      <c r="J59" s="309">
        <f>COUNTIFS(Errors!$B:$B, $C59, Errors!$I:$I, J$1)</f>
        <v>0</v>
      </c>
      <c r="K59" s="309">
        <f>COUNTIFS(Errors!$B:$B, $C59, Errors!$I:$I, K$1)</f>
        <v>0</v>
      </c>
      <c r="L59" s="309">
        <f>COUNTIFS(Errors!$B:$B, $C59, Errors!$I:$I, L$1)</f>
        <v>0</v>
      </c>
      <c r="M59" s="309">
        <f>COUNTIFS(Errors!$B:$B, $C59, Errors!$I:$I, M$1)</f>
        <v>0</v>
      </c>
      <c r="N59" s="309">
        <f>COUNTIFS(Errors!$B:$B, $C59, Errors!$I:$I, N$1)</f>
        <v>0</v>
      </c>
      <c r="O59" s="310">
        <f>COUNTIFS(Errors!$B:$B, $C59, Errors!$I:$I, O$1)</f>
        <v>0</v>
      </c>
      <c r="P59" s="309">
        <f>COUNTIFS(Errors!$B:$B, $C59, Errors!$I:$I, P$1)</f>
        <v>0</v>
      </c>
      <c r="Q59" s="309">
        <f>COUNTIFS(Errors!$B:$B, $C59, Errors!$I:$I, Q$1)</f>
        <v>0</v>
      </c>
      <c r="R59" s="309">
        <f>COUNTIFS(Errors!$B:$B, $C59, Errors!$I:$I, R$1)</f>
        <v>0</v>
      </c>
      <c r="S59" s="309">
        <f>COUNTIFS(Errors!$B:$B, $C59, Errors!$I:$I, S$1)</f>
        <v>0</v>
      </c>
      <c r="T59" s="309">
        <f>COUNTIFS(Errors!$B:$B, $C59, Errors!$I:$I, T$1)</f>
        <v>0</v>
      </c>
      <c r="U59" s="309">
        <f>COUNTIFS(Errors!$B:$B, $C59, Errors!$I:$I, U$1)</f>
        <v>0</v>
      </c>
      <c r="V59" s="309">
        <f>COUNTIFS(Errors!$B:$B, $C59, Errors!$I:$I, V$1)</f>
        <v>0</v>
      </c>
      <c r="W59" s="309">
        <f>COUNTIFS(Errors!$B:$B, $C59, Errors!$I:$I, W$1)</f>
        <v>0</v>
      </c>
      <c r="X59" s="309">
        <f>COUNTIFS(Errors!$B:$B, $C59, Errors!$I:$I, X$1)</f>
        <v>0</v>
      </c>
    </row>
    <row r="60" ht="15.0" customHeight="1">
      <c r="A60" s="314">
        <v>0.0</v>
      </c>
      <c r="B60" s="293">
        <f>SourceData!K60</f>
        <v>1</v>
      </c>
      <c r="C60" s="294" t="str">
        <f>SourceData!J60</f>
        <v>Kateryna Vorona</v>
      </c>
      <c r="D60" s="295">
        <f>(COUNTIF(Errors!$B$3:$B$3010,'Error Count Analysis'!C60))-((COUNTIFS(Errors!$B$3:$B$3010,'Error Count Analysis'!C60, (Errors!$I$3:$I$3010),"TV*")))</f>
        <v>0</v>
      </c>
      <c r="E60" s="296">
        <f t="shared" si="1"/>
        <v>0</v>
      </c>
      <c r="F60" s="297">
        <f>COUNTIFS(Errors!$B:$B, $C60, Errors!$I:$I, F$1)</f>
        <v>0</v>
      </c>
      <c r="G60" s="298">
        <f>COUNTIFS(Errors!$B:$B, $C60, Errors!$I:$I, G$1)</f>
        <v>0</v>
      </c>
      <c r="H60" s="298">
        <f>COUNTIFS(Errors!$B:$B, $C60, Errors!$I:$I, H$1)</f>
        <v>0</v>
      </c>
      <c r="I60" s="298">
        <f>COUNTIFS(Errors!$B:$B, $C60, Errors!$I:$I, I$1)</f>
        <v>0</v>
      </c>
      <c r="J60" s="298">
        <f>COUNTIFS(Errors!$B:$B, $C60, Errors!$I:$I, J$1)</f>
        <v>0</v>
      </c>
      <c r="K60" s="298">
        <f>COUNTIFS(Errors!$B:$B, $C60, Errors!$I:$I, K$1)</f>
        <v>0</v>
      </c>
      <c r="L60" s="298">
        <f>COUNTIFS(Errors!$B:$B, $C60, Errors!$I:$I, L$1)</f>
        <v>0</v>
      </c>
      <c r="M60" s="298">
        <f>COUNTIFS(Errors!$B:$B, $C60, Errors!$I:$I, M$1)</f>
        <v>0</v>
      </c>
      <c r="N60" s="298">
        <f>COUNTIFS(Errors!$B:$B, $C60, Errors!$I:$I, N$1)</f>
        <v>0</v>
      </c>
      <c r="O60" s="299">
        <f>COUNTIFS(Errors!$B:$B, $C60, Errors!$I:$I, O$1)</f>
        <v>0</v>
      </c>
      <c r="P60" s="298">
        <f>COUNTIFS(Errors!$B:$B, $C60, Errors!$I:$I, P$1)</f>
        <v>0</v>
      </c>
      <c r="Q60" s="298">
        <f>COUNTIFS(Errors!$B:$B, $C60, Errors!$I:$I, Q$1)</f>
        <v>0</v>
      </c>
      <c r="R60" s="298">
        <f>COUNTIFS(Errors!$B:$B, $C60, Errors!$I:$I, R$1)</f>
        <v>0</v>
      </c>
      <c r="S60" s="298">
        <f>COUNTIFS(Errors!$B:$B, $C60, Errors!$I:$I, S$1)</f>
        <v>0</v>
      </c>
      <c r="T60" s="298">
        <f>COUNTIFS(Errors!$B:$B, $C60, Errors!$I:$I, T$1)</f>
        <v>0</v>
      </c>
      <c r="U60" s="298">
        <f>COUNTIFS(Errors!$B:$B, $C60, Errors!$I:$I, U$1)</f>
        <v>0</v>
      </c>
      <c r="V60" s="298">
        <f>COUNTIFS(Errors!$B:$B, $C60, Errors!$I:$I, V$1)</f>
        <v>0</v>
      </c>
      <c r="W60" s="298">
        <f>COUNTIFS(Errors!$B:$B, $C60, Errors!$I:$I, W$1)</f>
        <v>0</v>
      </c>
      <c r="X60" s="298">
        <f>COUNTIFS(Errors!$B:$B, $C60, Errors!$I:$I, X$1)</f>
        <v>0</v>
      </c>
    </row>
    <row r="61" ht="15.0" customHeight="1">
      <c r="A61" s="303">
        <v>0.0</v>
      </c>
      <c r="B61" s="304">
        <f>SourceData!K61</f>
        <v>1</v>
      </c>
      <c r="C61" s="305" t="str">
        <f>SourceData!J61</f>
        <v>Keitlin Gruzdova</v>
      </c>
      <c r="D61" s="306">
        <f>(COUNTIF(Errors!$B$3:$B$3010,'Error Count Analysis'!C61))-((COUNTIFS(Errors!$B$3:$B$3010,'Error Count Analysis'!C61, (Errors!$I$3:$I$3010),"TV*")))</f>
        <v>1</v>
      </c>
      <c r="E61" s="307">
        <f t="shared" si="1"/>
        <v>1</v>
      </c>
      <c r="F61" s="308">
        <f>COUNTIFS(Errors!$B:$B, $C61, Errors!$I:$I, F$1)</f>
        <v>0</v>
      </c>
      <c r="G61" s="309">
        <f>COUNTIFS(Errors!$B:$B, $C61, Errors!$I:$I, G$1)</f>
        <v>0</v>
      </c>
      <c r="H61" s="309">
        <f>COUNTIFS(Errors!$B:$B, $C61, Errors!$I:$I, H$1)</f>
        <v>0</v>
      </c>
      <c r="I61" s="309">
        <f>COUNTIFS(Errors!$B:$B, $C61, Errors!$I:$I, I$1)</f>
        <v>0</v>
      </c>
      <c r="J61" s="309">
        <f>COUNTIFS(Errors!$B:$B, $C61, Errors!$I:$I, J$1)</f>
        <v>0</v>
      </c>
      <c r="K61" s="309">
        <f>COUNTIFS(Errors!$B:$B, $C61, Errors!$I:$I, K$1)</f>
        <v>0</v>
      </c>
      <c r="L61" s="309">
        <f>COUNTIFS(Errors!$B:$B, $C61, Errors!$I:$I, L$1)</f>
        <v>0</v>
      </c>
      <c r="M61" s="309">
        <f>COUNTIFS(Errors!$B:$B, $C61, Errors!$I:$I, M$1)</f>
        <v>0</v>
      </c>
      <c r="N61" s="309">
        <f>COUNTIFS(Errors!$B:$B, $C61, Errors!$I:$I, N$1)</f>
        <v>0</v>
      </c>
      <c r="O61" s="310">
        <f>COUNTIFS(Errors!$B:$B, $C61, Errors!$I:$I, O$1)</f>
        <v>0</v>
      </c>
      <c r="P61" s="309">
        <f>COUNTIFS(Errors!$B:$B, $C61, Errors!$I:$I, P$1)</f>
        <v>0</v>
      </c>
      <c r="Q61" s="309">
        <f>COUNTIFS(Errors!$B:$B, $C61, Errors!$I:$I, Q$1)</f>
        <v>0</v>
      </c>
      <c r="R61" s="309">
        <f>COUNTIFS(Errors!$B:$B, $C61, Errors!$I:$I, R$1)</f>
        <v>0</v>
      </c>
      <c r="S61" s="309">
        <f>COUNTIFS(Errors!$B:$B, $C61, Errors!$I:$I, S$1)</f>
        <v>0</v>
      </c>
      <c r="T61" s="309">
        <f>COUNTIFS(Errors!$B:$B, $C61, Errors!$I:$I, T$1)</f>
        <v>0</v>
      </c>
      <c r="U61" s="309">
        <f>COUNTIFS(Errors!$B:$B, $C61, Errors!$I:$I, U$1)</f>
        <v>0</v>
      </c>
      <c r="V61" s="309">
        <f>COUNTIFS(Errors!$B:$B, $C61, Errors!$I:$I, V$1)</f>
        <v>1</v>
      </c>
      <c r="W61" s="309">
        <f>COUNTIFS(Errors!$B:$B, $C61, Errors!$I:$I, W$1)</f>
        <v>0</v>
      </c>
      <c r="X61" s="309">
        <f>COUNTIFS(Errors!$B:$B, $C61, Errors!$I:$I, X$1)</f>
        <v>0</v>
      </c>
    </row>
    <row r="62" ht="15.0" customHeight="1">
      <c r="A62" s="314">
        <v>0.0</v>
      </c>
      <c r="B62" s="293">
        <f>SourceData!K62</f>
        <v>1</v>
      </c>
      <c r="C62" s="294" t="str">
        <f>SourceData!J62</f>
        <v>Kirill Stepanenko</v>
      </c>
      <c r="D62" s="295">
        <f>(COUNTIF(Errors!$B$3:$B$3010,'Error Count Analysis'!C62))-((COUNTIFS(Errors!$B$3:$B$3010,'Error Count Analysis'!C62, (Errors!$I$3:$I$3010),"TV*")))</f>
        <v>0</v>
      </c>
      <c r="E62" s="296">
        <f t="shared" si="1"/>
        <v>0</v>
      </c>
      <c r="F62" s="297">
        <f>COUNTIFS(Errors!$B:$B, $C62, Errors!$I:$I, F$1)</f>
        <v>0</v>
      </c>
      <c r="G62" s="298">
        <f>COUNTIFS(Errors!$B:$B, $C62, Errors!$I:$I, G$1)</f>
        <v>0</v>
      </c>
      <c r="H62" s="298">
        <f>COUNTIFS(Errors!$B:$B, $C62, Errors!$I:$I, H$1)</f>
        <v>0</v>
      </c>
      <c r="I62" s="298">
        <f>COUNTIFS(Errors!$B:$B, $C62, Errors!$I:$I, I$1)</f>
        <v>0</v>
      </c>
      <c r="J62" s="298">
        <f>COUNTIFS(Errors!$B:$B, $C62, Errors!$I:$I, J$1)</f>
        <v>0</v>
      </c>
      <c r="K62" s="298">
        <f>COUNTIFS(Errors!$B:$B, $C62, Errors!$I:$I, K$1)</f>
        <v>0</v>
      </c>
      <c r="L62" s="298">
        <f>COUNTIFS(Errors!$B:$B, $C62, Errors!$I:$I, L$1)</f>
        <v>0</v>
      </c>
      <c r="M62" s="298">
        <f>COUNTIFS(Errors!$B:$B, $C62, Errors!$I:$I, M$1)</f>
        <v>0</v>
      </c>
      <c r="N62" s="298">
        <f>COUNTIFS(Errors!$B:$B, $C62, Errors!$I:$I, N$1)</f>
        <v>0</v>
      </c>
      <c r="O62" s="299">
        <f>COUNTIFS(Errors!$B:$B, $C62, Errors!$I:$I, O$1)</f>
        <v>0</v>
      </c>
      <c r="P62" s="298">
        <f>COUNTIFS(Errors!$B:$B, $C62, Errors!$I:$I, P$1)</f>
        <v>0</v>
      </c>
      <c r="Q62" s="298">
        <f>COUNTIFS(Errors!$B:$B, $C62, Errors!$I:$I, Q$1)</f>
        <v>0</v>
      </c>
      <c r="R62" s="298">
        <f>COUNTIFS(Errors!$B:$B, $C62, Errors!$I:$I, R$1)</f>
        <v>0</v>
      </c>
      <c r="S62" s="298">
        <f>COUNTIFS(Errors!$B:$B, $C62, Errors!$I:$I, S$1)</f>
        <v>0</v>
      </c>
      <c r="T62" s="298">
        <f>COUNTIFS(Errors!$B:$B, $C62, Errors!$I:$I, T$1)</f>
        <v>0</v>
      </c>
      <c r="U62" s="298">
        <f>COUNTIFS(Errors!$B:$B, $C62, Errors!$I:$I, U$1)</f>
        <v>0</v>
      </c>
      <c r="V62" s="298">
        <f>COUNTIFS(Errors!$B:$B, $C62, Errors!$I:$I, V$1)</f>
        <v>0</v>
      </c>
      <c r="W62" s="298">
        <f>COUNTIFS(Errors!$B:$B, $C62, Errors!$I:$I, W$1)</f>
        <v>0</v>
      </c>
      <c r="X62" s="298">
        <f>COUNTIFS(Errors!$B:$B, $C62, Errors!$I:$I, X$1)</f>
        <v>0</v>
      </c>
    </row>
    <row r="63" ht="15.0" customHeight="1">
      <c r="A63" s="303">
        <v>0.0</v>
      </c>
      <c r="B63" s="304">
        <f>SourceData!K63</f>
        <v>0.75</v>
      </c>
      <c r="C63" s="305" t="str">
        <f>SourceData!J63</f>
        <v>Kristian Halquist</v>
      </c>
      <c r="D63" s="306">
        <f>(COUNTIF(Errors!$B$3:$B$3010,'Error Count Analysis'!C63))-((COUNTIFS(Errors!$B$3:$B$3010,'Error Count Analysis'!C63, (Errors!$I$3:$I$3010),"TV*")))</f>
        <v>0</v>
      </c>
      <c r="E63" s="307">
        <f t="shared" si="1"/>
        <v>0</v>
      </c>
      <c r="F63" s="308">
        <f>COUNTIFS(Errors!$B:$B, $C63, Errors!$I:$I, F$1)</f>
        <v>0</v>
      </c>
      <c r="G63" s="309">
        <f>COUNTIFS(Errors!$B:$B, $C63, Errors!$I:$I, G$1)</f>
        <v>0</v>
      </c>
      <c r="H63" s="309">
        <f>COUNTIFS(Errors!$B:$B, $C63, Errors!$I:$I, H$1)</f>
        <v>0</v>
      </c>
      <c r="I63" s="309">
        <f>COUNTIFS(Errors!$B:$B, $C63, Errors!$I:$I, I$1)</f>
        <v>0</v>
      </c>
      <c r="J63" s="309">
        <f>COUNTIFS(Errors!$B:$B, $C63, Errors!$I:$I, J$1)</f>
        <v>0</v>
      </c>
      <c r="K63" s="309">
        <f>COUNTIFS(Errors!$B:$B, $C63, Errors!$I:$I, K$1)</f>
        <v>0</v>
      </c>
      <c r="L63" s="309">
        <f>COUNTIFS(Errors!$B:$B, $C63, Errors!$I:$I, L$1)</f>
        <v>0</v>
      </c>
      <c r="M63" s="309">
        <f>COUNTIFS(Errors!$B:$B, $C63, Errors!$I:$I, M$1)</f>
        <v>0</v>
      </c>
      <c r="N63" s="309">
        <f>COUNTIFS(Errors!$B:$B, $C63, Errors!$I:$I, N$1)</f>
        <v>0</v>
      </c>
      <c r="O63" s="310">
        <f>COUNTIFS(Errors!$B:$B, $C63, Errors!$I:$I, O$1)</f>
        <v>0</v>
      </c>
      <c r="P63" s="309">
        <f>COUNTIFS(Errors!$B:$B, $C63, Errors!$I:$I, P$1)</f>
        <v>0</v>
      </c>
      <c r="Q63" s="309">
        <f>COUNTIFS(Errors!$B:$B, $C63, Errors!$I:$I, Q$1)</f>
        <v>0</v>
      </c>
      <c r="R63" s="309">
        <f>COUNTIFS(Errors!$B:$B, $C63, Errors!$I:$I, R$1)</f>
        <v>0</v>
      </c>
      <c r="S63" s="309">
        <f>COUNTIFS(Errors!$B:$B, $C63, Errors!$I:$I, S$1)</f>
        <v>0</v>
      </c>
      <c r="T63" s="309">
        <f>COUNTIFS(Errors!$B:$B, $C63, Errors!$I:$I, T$1)</f>
        <v>0</v>
      </c>
      <c r="U63" s="309">
        <f>COUNTIFS(Errors!$B:$B, $C63, Errors!$I:$I, U$1)</f>
        <v>0</v>
      </c>
      <c r="V63" s="309">
        <f>COUNTIFS(Errors!$B:$B, $C63, Errors!$I:$I, V$1)</f>
        <v>0</v>
      </c>
      <c r="W63" s="309">
        <f>COUNTIFS(Errors!$B:$B, $C63, Errors!$I:$I, W$1)</f>
        <v>0</v>
      </c>
      <c r="X63" s="309">
        <f>COUNTIFS(Errors!$B:$B, $C63, Errors!$I:$I, X$1)</f>
        <v>0</v>
      </c>
    </row>
    <row r="64" ht="15.0" customHeight="1">
      <c r="A64" s="314">
        <v>0.0</v>
      </c>
      <c r="B64" s="293">
        <f>SourceData!K64</f>
        <v>1</v>
      </c>
      <c r="C64" s="294" t="str">
        <f>SourceData!J64</f>
        <v>Kristina Bobrovskaja</v>
      </c>
      <c r="D64" s="295">
        <f>(COUNTIF(Errors!$B$3:$B$3010,'Error Count Analysis'!C64))-((COUNTIFS(Errors!$B$3:$B$3010,'Error Count Analysis'!C64, (Errors!$I$3:$I$3010),"TV*")))</f>
        <v>0</v>
      </c>
      <c r="E64" s="296">
        <f t="shared" si="1"/>
        <v>0</v>
      </c>
      <c r="F64" s="297">
        <f>COUNTIFS(Errors!$B:$B, $C64, Errors!$I:$I, F$1)</f>
        <v>0</v>
      </c>
      <c r="G64" s="298">
        <f>COUNTIFS(Errors!$B:$B, $C64, Errors!$I:$I, G$1)</f>
        <v>0</v>
      </c>
      <c r="H64" s="298">
        <f>COUNTIFS(Errors!$B:$B, $C64, Errors!$I:$I, H$1)</f>
        <v>0</v>
      </c>
      <c r="I64" s="298">
        <f>COUNTIFS(Errors!$B:$B, $C64, Errors!$I:$I, I$1)</f>
        <v>0</v>
      </c>
      <c r="J64" s="298">
        <f>COUNTIFS(Errors!$B:$B, $C64, Errors!$I:$I, J$1)</f>
        <v>0</v>
      </c>
      <c r="K64" s="298">
        <f>COUNTIFS(Errors!$B:$B, $C64, Errors!$I:$I, K$1)</f>
        <v>0</v>
      </c>
      <c r="L64" s="298">
        <f>COUNTIFS(Errors!$B:$B, $C64, Errors!$I:$I, L$1)</f>
        <v>0</v>
      </c>
      <c r="M64" s="298">
        <f>COUNTIFS(Errors!$B:$B, $C64, Errors!$I:$I, M$1)</f>
        <v>0</v>
      </c>
      <c r="N64" s="298">
        <f>COUNTIFS(Errors!$B:$B, $C64, Errors!$I:$I, N$1)</f>
        <v>0</v>
      </c>
      <c r="O64" s="299">
        <f>COUNTIFS(Errors!$B:$B, $C64, Errors!$I:$I, O$1)</f>
        <v>0</v>
      </c>
      <c r="P64" s="298">
        <f>COUNTIFS(Errors!$B:$B, $C64, Errors!$I:$I, P$1)</f>
        <v>0</v>
      </c>
      <c r="Q64" s="298">
        <f>COUNTIFS(Errors!$B:$B, $C64, Errors!$I:$I, Q$1)</f>
        <v>0</v>
      </c>
      <c r="R64" s="298">
        <f>COUNTIFS(Errors!$B:$B, $C64, Errors!$I:$I, R$1)</f>
        <v>0</v>
      </c>
      <c r="S64" s="298">
        <f>COUNTIFS(Errors!$B:$B, $C64, Errors!$I:$I, S$1)</f>
        <v>0</v>
      </c>
      <c r="T64" s="298">
        <f>COUNTIFS(Errors!$B:$B, $C64, Errors!$I:$I, T$1)</f>
        <v>0</v>
      </c>
      <c r="U64" s="298">
        <f>COUNTIFS(Errors!$B:$B, $C64, Errors!$I:$I, U$1)</f>
        <v>0</v>
      </c>
      <c r="V64" s="298">
        <f>COUNTIFS(Errors!$B:$B, $C64, Errors!$I:$I, V$1)</f>
        <v>0</v>
      </c>
      <c r="W64" s="298">
        <f>COUNTIFS(Errors!$B:$B, $C64, Errors!$I:$I, W$1)</f>
        <v>0</v>
      </c>
      <c r="X64" s="298">
        <f>COUNTIFS(Errors!$B:$B, $C64, Errors!$I:$I, X$1)</f>
        <v>0</v>
      </c>
    </row>
    <row r="65" ht="15.0" customHeight="1">
      <c r="A65" s="303">
        <v>0.0</v>
      </c>
      <c r="B65" s="304">
        <f>SourceData!K65</f>
        <v>0.75</v>
      </c>
      <c r="C65" s="305" t="str">
        <f>SourceData!J65</f>
        <v>Kristjan Viisileht</v>
      </c>
      <c r="D65" s="306">
        <f>(COUNTIF(Errors!$B$3:$B$3010,'Error Count Analysis'!C65))-((COUNTIFS(Errors!$B$3:$B$3010,'Error Count Analysis'!C65, (Errors!$I$3:$I$3010),"TV*")))</f>
        <v>0</v>
      </c>
      <c r="E65" s="307">
        <f t="shared" si="1"/>
        <v>0</v>
      </c>
      <c r="F65" s="308">
        <f>COUNTIFS(Errors!$B:$B, $C65, Errors!$I:$I, F$1)</f>
        <v>0</v>
      </c>
      <c r="G65" s="309">
        <f>COUNTIFS(Errors!$B:$B, $C65, Errors!$I:$I, G$1)</f>
        <v>0</v>
      </c>
      <c r="H65" s="309">
        <f>COUNTIFS(Errors!$B:$B, $C65, Errors!$I:$I, H$1)</f>
        <v>0</v>
      </c>
      <c r="I65" s="309">
        <f>COUNTIFS(Errors!$B:$B, $C65, Errors!$I:$I, I$1)</f>
        <v>0</v>
      </c>
      <c r="J65" s="309">
        <f>COUNTIFS(Errors!$B:$B, $C65, Errors!$I:$I, J$1)</f>
        <v>0</v>
      </c>
      <c r="K65" s="309">
        <f>COUNTIFS(Errors!$B:$B, $C65, Errors!$I:$I, K$1)</f>
        <v>0</v>
      </c>
      <c r="L65" s="309">
        <f>COUNTIFS(Errors!$B:$B, $C65, Errors!$I:$I, L$1)</f>
        <v>0</v>
      </c>
      <c r="M65" s="309">
        <f>COUNTIFS(Errors!$B:$B, $C65, Errors!$I:$I, M$1)</f>
        <v>0</v>
      </c>
      <c r="N65" s="309">
        <f>COUNTIFS(Errors!$B:$B, $C65, Errors!$I:$I, N$1)</f>
        <v>0</v>
      </c>
      <c r="O65" s="310">
        <f>COUNTIFS(Errors!$B:$B, $C65, Errors!$I:$I, O$1)</f>
        <v>0</v>
      </c>
      <c r="P65" s="309">
        <f>COUNTIFS(Errors!$B:$B, $C65, Errors!$I:$I, P$1)</f>
        <v>0</v>
      </c>
      <c r="Q65" s="309">
        <f>COUNTIFS(Errors!$B:$B, $C65, Errors!$I:$I, Q$1)</f>
        <v>0</v>
      </c>
      <c r="R65" s="309">
        <f>COUNTIFS(Errors!$B:$B, $C65, Errors!$I:$I, R$1)</f>
        <v>0</v>
      </c>
      <c r="S65" s="309">
        <f>COUNTIFS(Errors!$B:$B, $C65, Errors!$I:$I, S$1)</f>
        <v>0</v>
      </c>
      <c r="T65" s="309">
        <f>COUNTIFS(Errors!$B:$B, $C65, Errors!$I:$I, T$1)</f>
        <v>0</v>
      </c>
      <c r="U65" s="309">
        <f>COUNTIFS(Errors!$B:$B, $C65, Errors!$I:$I, U$1)</f>
        <v>0</v>
      </c>
      <c r="V65" s="309">
        <f>COUNTIFS(Errors!$B:$B, $C65, Errors!$I:$I, V$1)</f>
        <v>0</v>
      </c>
      <c r="W65" s="309">
        <f>COUNTIFS(Errors!$B:$B, $C65, Errors!$I:$I, W$1)</f>
        <v>0</v>
      </c>
      <c r="X65" s="309">
        <f>COUNTIFS(Errors!$B:$B, $C65, Errors!$I:$I, X$1)</f>
        <v>0</v>
      </c>
    </row>
    <row r="66" ht="15.75" customHeight="1">
      <c r="A66" s="314">
        <v>0.0</v>
      </c>
      <c r="B66" s="293">
        <f>SourceData!K66</f>
        <v>1</v>
      </c>
      <c r="C66" s="294" t="str">
        <f>SourceData!J66</f>
        <v>Kseniia Bukhanko</v>
      </c>
      <c r="D66" s="295">
        <f>(COUNTIF(Errors!$B$3:$B$3010,'Error Count Analysis'!C66))-((COUNTIFS(Errors!$B$3:$B$3010,'Error Count Analysis'!C66, (Errors!$I$3:$I$3010),"TV*")))</f>
        <v>1</v>
      </c>
      <c r="E66" s="296">
        <f t="shared" si="1"/>
        <v>1</v>
      </c>
      <c r="F66" s="297">
        <f>COUNTIFS(Errors!$B:$B, $C66, Errors!$I:$I, F$1)</f>
        <v>0</v>
      </c>
      <c r="G66" s="298">
        <f>COUNTIFS(Errors!$B:$B, $C66, Errors!$I:$I, G$1)</f>
        <v>0</v>
      </c>
      <c r="H66" s="298">
        <f>COUNTIFS(Errors!$B:$B, $C66, Errors!$I:$I, H$1)</f>
        <v>0</v>
      </c>
      <c r="I66" s="298">
        <f>COUNTIFS(Errors!$B:$B, $C66, Errors!$I:$I, I$1)</f>
        <v>0</v>
      </c>
      <c r="J66" s="298">
        <f>COUNTIFS(Errors!$B:$B, $C66, Errors!$I:$I, J$1)</f>
        <v>0</v>
      </c>
      <c r="K66" s="298">
        <f>COUNTIFS(Errors!$B:$B, $C66, Errors!$I:$I, K$1)</f>
        <v>0</v>
      </c>
      <c r="L66" s="298">
        <f>COUNTIFS(Errors!$B:$B, $C66, Errors!$I:$I, L$1)</f>
        <v>0</v>
      </c>
      <c r="M66" s="298">
        <f>COUNTIFS(Errors!$B:$B, $C66, Errors!$I:$I, M$1)</f>
        <v>0</v>
      </c>
      <c r="N66" s="298">
        <f>COUNTIFS(Errors!$B:$B, $C66, Errors!$I:$I, N$1)</f>
        <v>0</v>
      </c>
      <c r="O66" s="299">
        <f>COUNTIFS(Errors!$B:$B, $C66, Errors!$I:$I, O$1)</f>
        <v>0</v>
      </c>
      <c r="P66" s="298">
        <f>COUNTIFS(Errors!$B:$B, $C66, Errors!$I:$I, P$1)</f>
        <v>1</v>
      </c>
      <c r="Q66" s="298">
        <f>COUNTIFS(Errors!$B:$B, $C66, Errors!$I:$I, Q$1)</f>
        <v>0</v>
      </c>
      <c r="R66" s="298">
        <f>COUNTIFS(Errors!$B:$B, $C66, Errors!$I:$I, R$1)</f>
        <v>0</v>
      </c>
      <c r="S66" s="298">
        <f>COUNTIFS(Errors!$B:$B, $C66, Errors!$I:$I, S$1)</f>
        <v>0</v>
      </c>
      <c r="T66" s="298">
        <f>COUNTIFS(Errors!$B:$B, $C66, Errors!$I:$I, T$1)</f>
        <v>0</v>
      </c>
      <c r="U66" s="298">
        <f>COUNTIFS(Errors!$B:$B, $C66, Errors!$I:$I, U$1)</f>
        <v>0</v>
      </c>
      <c r="V66" s="298">
        <f>COUNTIFS(Errors!$B:$B, $C66, Errors!$I:$I, V$1)</f>
        <v>0</v>
      </c>
      <c r="W66" s="298">
        <f>COUNTIFS(Errors!$B:$B, $C66, Errors!$I:$I, W$1)</f>
        <v>0</v>
      </c>
      <c r="X66" s="298">
        <f>COUNTIFS(Errors!$B:$B, $C66, Errors!$I:$I, X$1)</f>
        <v>0</v>
      </c>
    </row>
    <row r="67" ht="15.75" customHeight="1">
      <c r="A67" s="303">
        <v>0.0</v>
      </c>
      <c r="B67" s="304">
        <f>SourceData!K67</f>
        <v>0.75</v>
      </c>
      <c r="C67" s="305" t="str">
        <f>SourceData!J67</f>
        <v>Kyoma Koike</v>
      </c>
      <c r="D67" s="306">
        <f>(COUNTIF(Errors!$B$3:$B$3010,'Error Count Analysis'!C67))-((COUNTIFS(Errors!$B$3:$B$3010,'Error Count Analysis'!C67, (Errors!$I$3:$I$3010),"TV*")))</f>
        <v>0</v>
      </c>
      <c r="E67" s="307">
        <f t="shared" si="1"/>
        <v>0</v>
      </c>
      <c r="F67" s="308">
        <f>COUNTIFS(Errors!$B:$B, $C67, Errors!$I:$I, F$1)</f>
        <v>0</v>
      </c>
      <c r="G67" s="309">
        <f>COUNTIFS(Errors!$B:$B, $C67, Errors!$I:$I, G$1)</f>
        <v>0</v>
      </c>
      <c r="H67" s="309">
        <f>COUNTIFS(Errors!$B:$B, $C67, Errors!$I:$I, H$1)</f>
        <v>0</v>
      </c>
      <c r="I67" s="309">
        <f>COUNTIFS(Errors!$B:$B, $C67, Errors!$I:$I, I$1)</f>
        <v>0</v>
      </c>
      <c r="J67" s="309">
        <f>COUNTIFS(Errors!$B:$B, $C67, Errors!$I:$I, J$1)</f>
        <v>0</v>
      </c>
      <c r="K67" s="309">
        <f>COUNTIFS(Errors!$B:$B, $C67, Errors!$I:$I, K$1)</f>
        <v>0</v>
      </c>
      <c r="L67" s="309">
        <f>COUNTIFS(Errors!$B:$B, $C67, Errors!$I:$I, L$1)</f>
        <v>0</v>
      </c>
      <c r="M67" s="309">
        <f>COUNTIFS(Errors!$B:$B, $C67, Errors!$I:$I, M$1)</f>
        <v>0</v>
      </c>
      <c r="N67" s="309">
        <f>COUNTIFS(Errors!$B:$B, $C67, Errors!$I:$I, N$1)</f>
        <v>0</v>
      </c>
      <c r="O67" s="310">
        <f>COUNTIFS(Errors!$B:$B, $C67, Errors!$I:$I, O$1)</f>
        <v>0</v>
      </c>
      <c r="P67" s="309">
        <f>COUNTIFS(Errors!$B:$B, $C67, Errors!$I:$I, P$1)</f>
        <v>0</v>
      </c>
      <c r="Q67" s="309">
        <f>COUNTIFS(Errors!$B:$B, $C67, Errors!$I:$I, Q$1)</f>
        <v>0</v>
      </c>
      <c r="R67" s="309">
        <f>COUNTIFS(Errors!$B:$B, $C67, Errors!$I:$I, R$1)</f>
        <v>0</v>
      </c>
      <c r="S67" s="309">
        <f>COUNTIFS(Errors!$B:$B, $C67, Errors!$I:$I, S$1)</f>
        <v>0</v>
      </c>
      <c r="T67" s="309">
        <f>COUNTIFS(Errors!$B:$B, $C67, Errors!$I:$I, T$1)</f>
        <v>0</v>
      </c>
      <c r="U67" s="309">
        <f>COUNTIFS(Errors!$B:$B, $C67, Errors!$I:$I, U$1)</f>
        <v>0</v>
      </c>
      <c r="V67" s="309">
        <f>COUNTIFS(Errors!$B:$B, $C67, Errors!$I:$I, V$1)</f>
        <v>0</v>
      </c>
      <c r="W67" s="309">
        <f>COUNTIFS(Errors!$B:$B, $C67, Errors!$I:$I, W$1)</f>
        <v>0</v>
      </c>
      <c r="X67" s="309">
        <f>COUNTIFS(Errors!$B:$B, $C67, Errors!$I:$I, X$1)</f>
        <v>0</v>
      </c>
    </row>
    <row r="68" ht="15.75" customHeight="1">
      <c r="A68" s="314">
        <v>0.0</v>
      </c>
      <c r="B68" s="293">
        <f>SourceData!K68</f>
        <v>1</v>
      </c>
      <c r="C68" s="294" t="str">
        <f>SourceData!J68</f>
        <v>Laurit Kurm</v>
      </c>
      <c r="D68" s="295">
        <f>(COUNTIF(Errors!$B$3:$B$3010,'Error Count Analysis'!C68))-((COUNTIFS(Errors!$B$3:$B$3010,'Error Count Analysis'!C68, (Errors!$I$3:$I$3010),"TV*")))</f>
        <v>3</v>
      </c>
      <c r="E68" s="296">
        <f t="shared" si="1"/>
        <v>3</v>
      </c>
      <c r="F68" s="297">
        <f>COUNTIFS(Errors!$B:$B, $C68, Errors!$I:$I, F$1)</f>
        <v>0</v>
      </c>
      <c r="G68" s="298">
        <f>COUNTIFS(Errors!$B:$B, $C68, Errors!$I:$I, G$1)</f>
        <v>1</v>
      </c>
      <c r="H68" s="298">
        <f>COUNTIFS(Errors!$B:$B, $C68, Errors!$I:$I, H$1)</f>
        <v>0</v>
      </c>
      <c r="I68" s="298">
        <f>COUNTIFS(Errors!$B:$B, $C68, Errors!$I:$I, I$1)</f>
        <v>0</v>
      </c>
      <c r="J68" s="298">
        <f>COUNTIFS(Errors!$B:$B, $C68, Errors!$I:$I, J$1)</f>
        <v>0</v>
      </c>
      <c r="K68" s="298">
        <f>COUNTIFS(Errors!$B:$B, $C68, Errors!$I:$I, K$1)</f>
        <v>0</v>
      </c>
      <c r="L68" s="298">
        <f>COUNTIFS(Errors!$B:$B, $C68, Errors!$I:$I, L$1)</f>
        <v>0</v>
      </c>
      <c r="M68" s="298">
        <f>COUNTIFS(Errors!$B:$B, $C68, Errors!$I:$I, M$1)</f>
        <v>0</v>
      </c>
      <c r="N68" s="298">
        <f>COUNTIFS(Errors!$B:$B, $C68, Errors!$I:$I, N$1)</f>
        <v>0</v>
      </c>
      <c r="O68" s="299">
        <f>COUNTIFS(Errors!$B:$B, $C68, Errors!$I:$I, O$1)</f>
        <v>0</v>
      </c>
      <c r="P68" s="298">
        <f>COUNTIFS(Errors!$B:$B, $C68, Errors!$I:$I, P$1)</f>
        <v>2</v>
      </c>
      <c r="Q68" s="298">
        <f>COUNTIFS(Errors!$B:$B, $C68, Errors!$I:$I, Q$1)</f>
        <v>0</v>
      </c>
      <c r="R68" s="298">
        <f>COUNTIFS(Errors!$B:$B, $C68, Errors!$I:$I, R$1)</f>
        <v>0</v>
      </c>
      <c r="S68" s="298">
        <f>COUNTIFS(Errors!$B:$B, $C68, Errors!$I:$I, S$1)</f>
        <v>0</v>
      </c>
      <c r="T68" s="298">
        <f>COUNTIFS(Errors!$B:$B, $C68, Errors!$I:$I, T$1)</f>
        <v>0</v>
      </c>
      <c r="U68" s="298">
        <f>COUNTIFS(Errors!$B:$B, $C68, Errors!$I:$I, U$1)</f>
        <v>0</v>
      </c>
      <c r="V68" s="298">
        <f>COUNTIFS(Errors!$B:$B, $C68, Errors!$I:$I, V$1)</f>
        <v>0</v>
      </c>
      <c r="W68" s="298">
        <f>COUNTIFS(Errors!$B:$B, $C68, Errors!$I:$I, W$1)</f>
        <v>0</v>
      </c>
      <c r="X68" s="298">
        <f>COUNTIFS(Errors!$B:$B, $C68, Errors!$I:$I, X$1)</f>
        <v>0</v>
      </c>
    </row>
    <row r="69" ht="15.75" customHeight="1">
      <c r="A69" s="303">
        <v>0.0</v>
      </c>
      <c r="B69" s="304">
        <f>SourceData!K69</f>
        <v>0.5</v>
      </c>
      <c r="C69" s="305" t="str">
        <f>SourceData!J69</f>
        <v>Liis-Liisa Gertsjak</v>
      </c>
      <c r="D69" s="306">
        <f>(COUNTIF(Errors!$B$3:$B$3010,'Error Count Analysis'!C69))-((COUNTIFS(Errors!$B$3:$B$3010,'Error Count Analysis'!C69, (Errors!$I$3:$I$3010),"TV*")))</f>
        <v>1</v>
      </c>
      <c r="E69" s="307">
        <f t="shared" si="1"/>
        <v>2</v>
      </c>
      <c r="F69" s="308">
        <f>COUNTIFS(Errors!$B:$B, $C69, Errors!$I:$I, F$1)</f>
        <v>1</v>
      </c>
      <c r="G69" s="309">
        <f>COUNTIFS(Errors!$B:$B, $C69, Errors!$I:$I, G$1)</f>
        <v>0</v>
      </c>
      <c r="H69" s="309">
        <f>COUNTIFS(Errors!$B:$B, $C69, Errors!$I:$I, H$1)</f>
        <v>0</v>
      </c>
      <c r="I69" s="309">
        <f>COUNTIFS(Errors!$B:$B, $C69, Errors!$I:$I, I$1)</f>
        <v>0</v>
      </c>
      <c r="J69" s="309">
        <f>COUNTIFS(Errors!$B:$B, $C69, Errors!$I:$I, J$1)</f>
        <v>0</v>
      </c>
      <c r="K69" s="309">
        <f>COUNTIFS(Errors!$B:$B, $C69, Errors!$I:$I, K$1)</f>
        <v>0</v>
      </c>
      <c r="L69" s="309">
        <f>COUNTIFS(Errors!$B:$B, $C69, Errors!$I:$I, L$1)</f>
        <v>0</v>
      </c>
      <c r="M69" s="309">
        <f>COUNTIFS(Errors!$B:$B, $C69, Errors!$I:$I, M$1)</f>
        <v>0</v>
      </c>
      <c r="N69" s="309">
        <f>COUNTIFS(Errors!$B:$B, $C69, Errors!$I:$I, N$1)</f>
        <v>0</v>
      </c>
      <c r="O69" s="310">
        <f>COUNTIFS(Errors!$B:$B, $C69, Errors!$I:$I, O$1)</f>
        <v>0</v>
      </c>
      <c r="P69" s="309">
        <f>COUNTIFS(Errors!$B:$B, $C69, Errors!$I:$I, P$1)</f>
        <v>0</v>
      </c>
      <c r="Q69" s="309">
        <f>COUNTIFS(Errors!$B:$B, $C69, Errors!$I:$I, Q$1)</f>
        <v>0</v>
      </c>
      <c r="R69" s="309">
        <f>COUNTIFS(Errors!$B:$B, $C69, Errors!$I:$I, R$1)</f>
        <v>0</v>
      </c>
      <c r="S69" s="309">
        <f>COUNTIFS(Errors!$B:$B, $C69, Errors!$I:$I, S$1)</f>
        <v>0</v>
      </c>
      <c r="T69" s="309">
        <f>COUNTIFS(Errors!$B:$B, $C69, Errors!$I:$I, T$1)</f>
        <v>0</v>
      </c>
      <c r="U69" s="309">
        <f>COUNTIFS(Errors!$B:$B, $C69, Errors!$I:$I, U$1)</f>
        <v>0</v>
      </c>
      <c r="V69" s="309">
        <f>COUNTIFS(Errors!$B:$B, $C69, Errors!$I:$I, V$1)</f>
        <v>0</v>
      </c>
      <c r="W69" s="309">
        <f>COUNTIFS(Errors!$B:$B, $C69, Errors!$I:$I, W$1)</f>
        <v>0</v>
      </c>
      <c r="X69" s="309">
        <f>COUNTIFS(Errors!$B:$B, $C69, Errors!$I:$I, X$1)</f>
        <v>0</v>
      </c>
    </row>
    <row r="70" ht="15.75" customHeight="1">
      <c r="A70" s="314">
        <v>0.0</v>
      </c>
      <c r="B70" s="293">
        <f>SourceData!K70</f>
        <v>1</v>
      </c>
      <c r="C70" s="294" t="str">
        <f>SourceData!J70</f>
        <v>Liliia Vorona</v>
      </c>
      <c r="D70" s="295">
        <f>(COUNTIF(Errors!$B$3:$B$3010,'Error Count Analysis'!C70))-((COUNTIFS(Errors!$B$3:$B$3010,'Error Count Analysis'!C70, (Errors!$I$3:$I$3010),"TV*")))</f>
        <v>0</v>
      </c>
      <c r="E70" s="296">
        <f t="shared" si="1"/>
        <v>0</v>
      </c>
      <c r="F70" s="297">
        <f>COUNTIFS(Errors!$B:$B, $C70, Errors!$I:$I, F$1)</f>
        <v>0</v>
      </c>
      <c r="G70" s="298">
        <f>COUNTIFS(Errors!$B:$B, $C70, Errors!$I:$I, G$1)</f>
        <v>0</v>
      </c>
      <c r="H70" s="298">
        <f>COUNTIFS(Errors!$B:$B, $C70, Errors!$I:$I, H$1)</f>
        <v>0</v>
      </c>
      <c r="I70" s="298">
        <f>COUNTIFS(Errors!$B:$B, $C70, Errors!$I:$I, I$1)</f>
        <v>0</v>
      </c>
      <c r="J70" s="298">
        <f>COUNTIFS(Errors!$B:$B, $C70, Errors!$I:$I, J$1)</f>
        <v>0</v>
      </c>
      <c r="K70" s="298">
        <f>COUNTIFS(Errors!$B:$B, $C70, Errors!$I:$I, K$1)</f>
        <v>0</v>
      </c>
      <c r="L70" s="298">
        <f>COUNTIFS(Errors!$B:$B, $C70, Errors!$I:$I, L$1)</f>
        <v>0</v>
      </c>
      <c r="M70" s="298">
        <f>COUNTIFS(Errors!$B:$B, $C70, Errors!$I:$I, M$1)</f>
        <v>0</v>
      </c>
      <c r="N70" s="298">
        <f>COUNTIFS(Errors!$B:$B, $C70, Errors!$I:$I, N$1)</f>
        <v>0</v>
      </c>
      <c r="O70" s="299">
        <f>COUNTIFS(Errors!$B:$B, $C70, Errors!$I:$I, O$1)</f>
        <v>0</v>
      </c>
      <c r="P70" s="298">
        <f>COUNTIFS(Errors!$B:$B, $C70, Errors!$I:$I, P$1)</f>
        <v>0</v>
      </c>
      <c r="Q70" s="298">
        <f>COUNTIFS(Errors!$B:$B, $C70, Errors!$I:$I, Q$1)</f>
        <v>0</v>
      </c>
      <c r="R70" s="298">
        <f>COUNTIFS(Errors!$B:$B, $C70, Errors!$I:$I, R$1)</f>
        <v>0</v>
      </c>
      <c r="S70" s="298">
        <f>COUNTIFS(Errors!$B:$B, $C70, Errors!$I:$I, S$1)</f>
        <v>0</v>
      </c>
      <c r="T70" s="298">
        <f>COUNTIFS(Errors!$B:$B, $C70, Errors!$I:$I, T$1)</f>
        <v>0</v>
      </c>
      <c r="U70" s="298">
        <f>COUNTIFS(Errors!$B:$B, $C70, Errors!$I:$I, U$1)</f>
        <v>0</v>
      </c>
      <c r="V70" s="298">
        <f>COUNTIFS(Errors!$B:$B, $C70, Errors!$I:$I, V$1)</f>
        <v>0</v>
      </c>
      <c r="W70" s="298">
        <f>COUNTIFS(Errors!$B:$B, $C70, Errors!$I:$I, W$1)</f>
        <v>0</v>
      </c>
      <c r="X70" s="298">
        <f>COUNTIFS(Errors!$B:$B, $C70, Errors!$I:$I, X$1)</f>
        <v>0</v>
      </c>
    </row>
    <row r="71" ht="15.75" customHeight="1">
      <c r="A71" s="303">
        <v>0.0</v>
      </c>
      <c r="B71" s="304">
        <f>SourceData!K71</f>
        <v>1</v>
      </c>
      <c r="C71" s="305" t="str">
        <f>SourceData!J71</f>
        <v>Louise Scarlett Vips</v>
      </c>
      <c r="D71" s="306">
        <f>(COUNTIF(Errors!$B$3:$B$3010,'Error Count Analysis'!C71))-((COUNTIFS(Errors!$B$3:$B$3010,'Error Count Analysis'!C71, (Errors!$I$3:$I$3010),"TV*")))</f>
        <v>0</v>
      </c>
      <c r="E71" s="307">
        <f t="shared" si="1"/>
        <v>0</v>
      </c>
      <c r="F71" s="308">
        <f>COUNTIFS(Errors!$B:$B, $C71, Errors!$I:$I, F$1)</f>
        <v>0</v>
      </c>
      <c r="G71" s="309">
        <f>COUNTIFS(Errors!$B:$B, $C71, Errors!$I:$I, G$1)</f>
        <v>0</v>
      </c>
      <c r="H71" s="309">
        <f>COUNTIFS(Errors!$B:$B, $C71, Errors!$I:$I, H$1)</f>
        <v>0</v>
      </c>
      <c r="I71" s="309">
        <f>COUNTIFS(Errors!$B:$B, $C71, Errors!$I:$I, I$1)</f>
        <v>0</v>
      </c>
      <c r="J71" s="309">
        <f>COUNTIFS(Errors!$B:$B, $C71, Errors!$I:$I, J$1)</f>
        <v>0</v>
      </c>
      <c r="K71" s="309">
        <f>COUNTIFS(Errors!$B:$B, $C71, Errors!$I:$I, K$1)</f>
        <v>0</v>
      </c>
      <c r="L71" s="309">
        <f>COUNTIFS(Errors!$B:$B, $C71, Errors!$I:$I, L$1)</f>
        <v>0</v>
      </c>
      <c r="M71" s="309">
        <f>COUNTIFS(Errors!$B:$B, $C71, Errors!$I:$I, M$1)</f>
        <v>0</v>
      </c>
      <c r="N71" s="309">
        <f>COUNTIFS(Errors!$B:$B, $C71, Errors!$I:$I, N$1)</f>
        <v>0</v>
      </c>
      <c r="O71" s="310">
        <f>COUNTIFS(Errors!$B:$B, $C71, Errors!$I:$I, O$1)</f>
        <v>0</v>
      </c>
      <c r="P71" s="309">
        <f>COUNTIFS(Errors!$B:$B, $C71, Errors!$I:$I, P$1)</f>
        <v>0</v>
      </c>
      <c r="Q71" s="309">
        <f>COUNTIFS(Errors!$B:$B, $C71, Errors!$I:$I, Q$1)</f>
        <v>0</v>
      </c>
      <c r="R71" s="309">
        <f>COUNTIFS(Errors!$B:$B, $C71, Errors!$I:$I, R$1)</f>
        <v>0</v>
      </c>
      <c r="S71" s="309">
        <f>COUNTIFS(Errors!$B:$B, $C71, Errors!$I:$I, S$1)</f>
        <v>0</v>
      </c>
      <c r="T71" s="309">
        <f>COUNTIFS(Errors!$B:$B, $C71, Errors!$I:$I, T$1)</f>
        <v>0</v>
      </c>
      <c r="U71" s="309">
        <f>COUNTIFS(Errors!$B:$B, $C71, Errors!$I:$I, U$1)</f>
        <v>0</v>
      </c>
      <c r="V71" s="309">
        <f>COUNTIFS(Errors!$B:$B, $C71, Errors!$I:$I, V$1)</f>
        <v>0</v>
      </c>
      <c r="W71" s="309">
        <f>COUNTIFS(Errors!$B:$B, $C71, Errors!$I:$I, W$1)</f>
        <v>0</v>
      </c>
      <c r="X71" s="309">
        <f>COUNTIFS(Errors!$B:$B, $C71, Errors!$I:$I, X$1)</f>
        <v>0</v>
      </c>
    </row>
    <row r="72" ht="15.75" customHeight="1">
      <c r="A72" s="314">
        <v>0.0</v>
      </c>
      <c r="B72" s="293">
        <f>SourceData!K72</f>
        <v>1</v>
      </c>
      <c r="C72" s="294" t="str">
        <f>SourceData!J72</f>
        <v>Marek Koroljov</v>
      </c>
      <c r="D72" s="295">
        <f>(COUNTIF(Errors!$B$3:$B$3010,'Error Count Analysis'!C72))-((COUNTIFS(Errors!$B$3:$B$3010,'Error Count Analysis'!C72, (Errors!$I$3:$I$3010),"TV*")))</f>
        <v>2</v>
      </c>
      <c r="E72" s="296">
        <f t="shared" si="1"/>
        <v>2</v>
      </c>
      <c r="F72" s="297">
        <f>COUNTIFS(Errors!$B:$B, $C72, Errors!$I:$I, F$1)</f>
        <v>1</v>
      </c>
      <c r="G72" s="298">
        <f>COUNTIFS(Errors!$B:$B, $C72, Errors!$I:$I, G$1)</f>
        <v>1</v>
      </c>
      <c r="H72" s="298">
        <f>COUNTIFS(Errors!$B:$B, $C72, Errors!$I:$I, H$1)</f>
        <v>0</v>
      </c>
      <c r="I72" s="298">
        <f>COUNTIFS(Errors!$B:$B, $C72, Errors!$I:$I, I$1)</f>
        <v>0</v>
      </c>
      <c r="J72" s="298">
        <f>COUNTIFS(Errors!$B:$B, $C72, Errors!$I:$I, J$1)</f>
        <v>0</v>
      </c>
      <c r="K72" s="298">
        <f>COUNTIFS(Errors!$B:$B, $C72, Errors!$I:$I, K$1)</f>
        <v>0</v>
      </c>
      <c r="L72" s="298">
        <f>COUNTIFS(Errors!$B:$B, $C72, Errors!$I:$I, L$1)</f>
        <v>0</v>
      </c>
      <c r="M72" s="298">
        <f>COUNTIFS(Errors!$B:$B, $C72, Errors!$I:$I, M$1)</f>
        <v>0</v>
      </c>
      <c r="N72" s="298">
        <f>COUNTIFS(Errors!$B:$B, $C72, Errors!$I:$I, N$1)</f>
        <v>0</v>
      </c>
      <c r="O72" s="299">
        <f>COUNTIFS(Errors!$B:$B, $C72, Errors!$I:$I, O$1)</f>
        <v>0</v>
      </c>
      <c r="P72" s="298">
        <f>COUNTIFS(Errors!$B:$B, $C72, Errors!$I:$I, P$1)</f>
        <v>0</v>
      </c>
      <c r="Q72" s="298">
        <f>COUNTIFS(Errors!$B:$B, $C72, Errors!$I:$I, Q$1)</f>
        <v>0</v>
      </c>
      <c r="R72" s="298">
        <f>COUNTIFS(Errors!$B:$B, $C72, Errors!$I:$I, R$1)</f>
        <v>0</v>
      </c>
      <c r="S72" s="298">
        <f>COUNTIFS(Errors!$B:$B, $C72, Errors!$I:$I, S$1)</f>
        <v>0</v>
      </c>
      <c r="T72" s="298">
        <f>COUNTIFS(Errors!$B:$B, $C72, Errors!$I:$I, T$1)</f>
        <v>0</v>
      </c>
      <c r="U72" s="298">
        <f>COUNTIFS(Errors!$B:$B, $C72, Errors!$I:$I, U$1)</f>
        <v>0</v>
      </c>
      <c r="V72" s="298">
        <f>COUNTIFS(Errors!$B:$B, $C72, Errors!$I:$I, V$1)</f>
        <v>0</v>
      </c>
      <c r="W72" s="298">
        <f>COUNTIFS(Errors!$B:$B, $C72, Errors!$I:$I, W$1)</f>
        <v>0</v>
      </c>
      <c r="X72" s="298">
        <f>COUNTIFS(Errors!$B:$B, $C72, Errors!$I:$I, X$1)</f>
        <v>0</v>
      </c>
    </row>
    <row r="73" ht="15.75" customHeight="1">
      <c r="A73" s="303">
        <v>0.0</v>
      </c>
      <c r="B73" s="304">
        <f>SourceData!K73</f>
        <v>0.75</v>
      </c>
      <c r="C73" s="305" t="str">
        <f>SourceData!J73</f>
        <v>Maria Solovova</v>
      </c>
      <c r="D73" s="306">
        <f>(COUNTIF(Errors!$B$3:$B$3010,'Error Count Analysis'!C73))-((COUNTIFS(Errors!$B$3:$B$3010,'Error Count Analysis'!C73, (Errors!$I$3:$I$3010),"TV*")))</f>
        <v>3</v>
      </c>
      <c r="E73" s="307">
        <f t="shared" si="1"/>
        <v>4</v>
      </c>
      <c r="F73" s="308">
        <f>COUNTIFS(Errors!$B:$B, $C73, Errors!$I:$I, F$1)</f>
        <v>0</v>
      </c>
      <c r="G73" s="309">
        <f>COUNTIFS(Errors!$B:$B, $C73, Errors!$I:$I, G$1)</f>
        <v>2</v>
      </c>
      <c r="H73" s="309">
        <f>COUNTIFS(Errors!$B:$B, $C73, Errors!$I:$I, H$1)</f>
        <v>0</v>
      </c>
      <c r="I73" s="309">
        <f>COUNTIFS(Errors!$B:$B, $C73, Errors!$I:$I, I$1)</f>
        <v>0</v>
      </c>
      <c r="J73" s="309">
        <f>COUNTIFS(Errors!$B:$B, $C73, Errors!$I:$I, J$1)</f>
        <v>1</v>
      </c>
      <c r="K73" s="309">
        <f>COUNTIFS(Errors!$B:$B, $C73, Errors!$I:$I, K$1)</f>
        <v>0</v>
      </c>
      <c r="L73" s="309">
        <f>COUNTIFS(Errors!$B:$B, $C73, Errors!$I:$I, L$1)</f>
        <v>0</v>
      </c>
      <c r="M73" s="309">
        <f>COUNTIFS(Errors!$B:$B, $C73, Errors!$I:$I, M$1)</f>
        <v>0</v>
      </c>
      <c r="N73" s="309">
        <f>COUNTIFS(Errors!$B:$B, $C73, Errors!$I:$I, N$1)</f>
        <v>0</v>
      </c>
      <c r="O73" s="310">
        <f>COUNTIFS(Errors!$B:$B, $C73, Errors!$I:$I, O$1)</f>
        <v>0</v>
      </c>
      <c r="P73" s="309">
        <f>COUNTIFS(Errors!$B:$B, $C73, Errors!$I:$I, P$1)</f>
        <v>0</v>
      </c>
      <c r="Q73" s="309">
        <f>COUNTIFS(Errors!$B:$B, $C73, Errors!$I:$I, Q$1)</f>
        <v>0</v>
      </c>
      <c r="R73" s="309">
        <f>COUNTIFS(Errors!$B:$B, $C73, Errors!$I:$I, R$1)</f>
        <v>0</v>
      </c>
      <c r="S73" s="309">
        <f>COUNTIFS(Errors!$B:$B, $C73, Errors!$I:$I, S$1)</f>
        <v>0</v>
      </c>
      <c r="T73" s="309">
        <f>COUNTIFS(Errors!$B:$B, $C73, Errors!$I:$I, T$1)</f>
        <v>0</v>
      </c>
      <c r="U73" s="309">
        <f>COUNTIFS(Errors!$B:$B, $C73, Errors!$I:$I, U$1)</f>
        <v>0</v>
      </c>
      <c r="V73" s="309">
        <f>COUNTIFS(Errors!$B:$B, $C73, Errors!$I:$I, V$1)</f>
        <v>0</v>
      </c>
      <c r="W73" s="309">
        <f>COUNTIFS(Errors!$B:$B, $C73, Errors!$I:$I, W$1)</f>
        <v>0</v>
      </c>
      <c r="X73" s="309">
        <f>COUNTIFS(Errors!$B:$B, $C73, Errors!$I:$I, X$1)</f>
        <v>0</v>
      </c>
    </row>
    <row r="74" ht="15.75" customHeight="1">
      <c r="A74" s="314">
        <v>0.0</v>
      </c>
      <c r="B74" s="293">
        <f>SourceData!K74</f>
        <v>0.75</v>
      </c>
      <c r="C74" s="294" t="str">
        <f>SourceData!J74</f>
        <v>Maria Tšekotina</v>
      </c>
      <c r="D74" s="295">
        <f>(COUNTIF(Errors!$B$3:$B$3010,'Error Count Analysis'!C74))-((COUNTIFS(Errors!$B$3:$B$3010,'Error Count Analysis'!C74, (Errors!$I$3:$I$3010),"TV*")))</f>
        <v>1</v>
      </c>
      <c r="E74" s="296">
        <f t="shared" si="1"/>
        <v>1.333333333</v>
      </c>
      <c r="F74" s="297">
        <f>COUNTIFS(Errors!$B:$B, $C74, Errors!$I:$I, F$1)</f>
        <v>0</v>
      </c>
      <c r="G74" s="298">
        <f>COUNTIFS(Errors!$B:$B, $C74, Errors!$I:$I, G$1)</f>
        <v>0</v>
      </c>
      <c r="H74" s="298">
        <f>COUNTIFS(Errors!$B:$B, $C74, Errors!$I:$I, H$1)</f>
        <v>0</v>
      </c>
      <c r="I74" s="298">
        <f>COUNTIFS(Errors!$B:$B, $C74, Errors!$I:$I, I$1)</f>
        <v>0</v>
      </c>
      <c r="J74" s="298">
        <f>COUNTIFS(Errors!$B:$B, $C74, Errors!$I:$I, J$1)</f>
        <v>0</v>
      </c>
      <c r="K74" s="298">
        <f>COUNTIFS(Errors!$B:$B, $C74, Errors!$I:$I, K$1)</f>
        <v>0</v>
      </c>
      <c r="L74" s="298">
        <f>COUNTIFS(Errors!$B:$B, $C74, Errors!$I:$I, L$1)</f>
        <v>0</v>
      </c>
      <c r="M74" s="298">
        <f>COUNTIFS(Errors!$B:$B, $C74, Errors!$I:$I, M$1)</f>
        <v>0</v>
      </c>
      <c r="N74" s="298">
        <f>COUNTIFS(Errors!$B:$B, $C74, Errors!$I:$I, N$1)</f>
        <v>0</v>
      </c>
      <c r="O74" s="299">
        <f>COUNTIFS(Errors!$B:$B, $C74, Errors!$I:$I, O$1)</f>
        <v>0</v>
      </c>
      <c r="P74" s="298">
        <f>COUNTIFS(Errors!$B:$B, $C74, Errors!$I:$I, P$1)</f>
        <v>1</v>
      </c>
      <c r="Q74" s="298">
        <f>COUNTIFS(Errors!$B:$B, $C74, Errors!$I:$I, Q$1)</f>
        <v>0</v>
      </c>
      <c r="R74" s="298">
        <f>COUNTIFS(Errors!$B:$B, $C74, Errors!$I:$I, R$1)</f>
        <v>0</v>
      </c>
      <c r="S74" s="298">
        <f>COUNTIFS(Errors!$B:$B, $C74, Errors!$I:$I, S$1)</f>
        <v>0</v>
      </c>
      <c r="T74" s="298">
        <f>COUNTIFS(Errors!$B:$B, $C74, Errors!$I:$I, T$1)</f>
        <v>0</v>
      </c>
      <c r="U74" s="298">
        <f>COUNTIFS(Errors!$B:$B, $C74, Errors!$I:$I, U$1)</f>
        <v>0</v>
      </c>
      <c r="V74" s="298">
        <f>COUNTIFS(Errors!$B:$B, $C74, Errors!$I:$I, V$1)</f>
        <v>0</v>
      </c>
      <c r="W74" s="298">
        <f>COUNTIFS(Errors!$B:$B, $C74, Errors!$I:$I, W$1)</f>
        <v>0</v>
      </c>
      <c r="X74" s="298">
        <f>COUNTIFS(Errors!$B:$B, $C74, Errors!$I:$I, X$1)</f>
        <v>0</v>
      </c>
    </row>
    <row r="75" ht="15.75" customHeight="1">
      <c r="A75" s="303">
        <v>0.0</v>
      </c>
      <c r="B75" s="304">
        <f>SourceData!K75</f>
        <v>1</v>
      </c>
      <c r="C75" s="305" t="str">
        <f>SourceData!J75</f>
        <v>Mariia Pozniakova</v>
      </c>
      <c r="D75" s="306">
        <f>(COUNTIF(Errors!$B$3:$B$3010,'Error Count Analysis'!C75))-((COUNTIFS(Errors!$B$3:$B$3010,'Error Count Analysis'!C75, (Errors!$I$3:$I$3010),"TV*")))</f>
        <v>1</v>
      </c>
      <c r="E75" s="307">
        <f t="shared" si="1"/>
        <v>1</v>
      </c>
      <c r="F75" s="308">
        <f>COUNTIFS(Errors!$B:$B, $C75, Errors!$I:$I, F$1)</f>
        <v>0</v>
      </c>
      <c r="G75" s="309">
        <f>COUNTIFS(Errors!$B:$B, $C75, Errors!$I:$I, G$1)</f>
        <v>0</v>
      </c>
      <c r="H75" s="309">
        <f>COUNTIFS(Errors!$B:$B, $C75, Errors!$I:$I, H$1)</f>
        <v>0</v>
      </c>
      <c r="I75" s="309">
        <f>COUNTIFS(Errors!$B:$B, $C75, Errors!$I:$I, I$1)</f>
        <v>0</v>
      </c>
      <c r="J75" s="309">
        <f>COUNTIFS(Errors!$B:$B, $C75, Errors!$I:$I, J$1)</f>
        <v>0</v>
      </c>
      <c r="K75" s="309">
        <f>COUNTIFS(Errors!$B:$B, $C75, Errors!$I:$I, K$1)</f>
        <v>0</v>
      </c>
      <c r="L75" s="309">
        <f>COUNTIFS(Errors!$B:$B, $C75, Errors!$I:$I, L$1)</f>
        <v>1</v>
      </c>
      <c r="M75" s="309">
        <f>COUNTIFS(Errors!$B:$B, $C75, Errors!$I:$I, M$1)</f>
        <v>0</v>
      </c>
      <c r="N75" s="309">
        <f>COUNTIFS(Errors!$B:$B, $C75, Errors!$I:$I, N$1)</f>
        <v>0</v>
      </c>
      <c r="O75" s="310">
        <f>COUNTIFS(Errors!$B:$B, $C75, Errors!$I:$I, O$1)</f>
        <v>0</v>
      </c>
      <c r="P75" s="309">
        <f>COUNTIFS(Errors!$B:$B, $C75, Errors!$I:$I, P$1)</f>
        <v>0</v>
      </c>
      <c r="Q75" s="309">
        <f>COUNTIFS(Errors!$B:$B, $C75, Errors!$I:$I, Q$1)</f>
        <v>0</v>
      </c>
      <c r="R75" s="309">
        <f>COUNTIFS(Errors!$B:$B, $C75, Errors!$I:$I, R$1)</f>
        <v>0</v>
      </c>
      <c r="S75" s="309">
        <f>COUNTIFS(Errors!$B:$B, $C75, Errors!$I:$I, S$1)</f>
        <v>0</v>
      </c>
      <c r="T75" s="309">
        <f>COUNTIFS(Errors!$B:$B, $C75, Errors!$I:$I, T$1)</f>
        <v>0</v>
      </c>
      <c r="U75" s="309">
        <f>COUNTIFS(Errors!$B:$B, $C75, Errors!$I:$I, U$1)</f>
        <v>0</v>
      </c>
      <c r="V75" s="309">
        <f>COUNTIFS(Errors!$B:$B, $C75, Errors!$I:$I, V$1)</f>
        <v>0</v>
      </c>
      <c r="W75" s="309">
        <f>COUNTIFS(Errors!$B:$B, $C75, Errors!$I:$I, W$1)</f>
        <v>0</v>
      </c>
      <c r="X75" s="309">
        <f>COUNTIFS(Errors!$B:$B, $C75, Errors!$I:$I, X$1)</f>
        <v>0</v>
      </c>
    </row>
    <row r="76" ht="15.75" customHeight="1">
      <c r="A76" s="314">
        <v>0.0</v>
      </c>
      <c r="B76" s="293">
        <f>SourceData!K76</f>
        <v>1</v>
      </c>
      <c r="C76" s="294" t="str">
        <f>SourceData!J76</f>
        <v>Marina Poleštšuk</v>
      </c>
      <c r="D76" s="295">
        <f>(COUNTIF(Errors!$B$3:$B$3010,'Error Count Analysis'!C76))-((COUNTIFS(Errors!$B$3:$B$3010,'Error Count Analysis'!C76, (Errors!$I$3:$I$3010),"TV*")))</f>
        <v>0</v>
      </c>
      <c r="E76" s="296">
        <f t="shared" si="1"/>
        <v>0</v>
      </c>
      <c r="F76" s="297">
        <f>COUNTIFS(Errors!$B:$B, $C76, Errors!$I:$I, F$1)</f>
        <v>0</v>
      </c>
      <c r="G76" s="298">
        <f>COUNTIFS(Errors!$B:$B, $C76, Errors!$I:$I, G$1)</f>
        <v>0</v>
      </c>
      <c r="H76" s="298">
        <f>COUNTIFS(Errors!$B:$B, $C76, Errors!$I:$I, H$1)</f>
        <v>0</v>
      </c>
      <c r="I76" s="298">
        <f>COUNTIFS(Errors!$B:$B, $C76, Errors!$I:$I, I$1)</f>
        <v>0</v>
      </c>
      <c r="J76" s="298">
        <f>COUNTIFS(Errors!$B:$B, $C76, Errors!$I:$I, J$1)</f>
        <v>0</v>
      </c>
      <c r="K76" s="298">
        <f>COUNTIFS(Errors!$B:$B, $C76, Errors!$I:$I, K$1)</f>
        <v>0</v>
      </c>
      <c r="L76" s="298">
        <f>COUNTIFS(Errors!$B:$B, $C76, Errors!$I:$I, L$1)</f>
        <v>0</v>
      </c>
      <c r="M76" s="298">
        <f>COUNTIFS(Errors!$B:$B, $C76, Errors!$I:$I, M$1)</f>
        <v>0</v>
      </c>
      <c r="N76" s="298">
        <f>COUNTIFS(Errors!$B:$B, $C76, Errors!$I:$I, N$1)</f>
        <v>0</v>
      </c>
      <c r="O76" s="299">
        <f>COUNTIFS(Errors!$B:$B, $C76, Errors!$I:$I, O$1)</f>
        <v>0</v>
      </c>
      <c r="P76" s="298">
        <f>COUNTIFS(Errors!$B:$B, $C76, Errors!$I:$I, P$1)</f>
        <v>0</v>
      </c>
      <c r="Q76" s="298">
        <f>COUNTIFS(Errors!$B:$B, $C76, Errors!$I:$I, Q$1)</f>
        <v>0</v>
      </c>
      <c r="R76" s="298">
        <f>COUNTIFS(Errors!$B:$B, $C76, Errors!$I:$I, R$1)</f>
        <v>0</v>
      </c>
      <c r="S76" s="298">
        <f>COUNTIFS(Errors!$B:$B, $C76, Errors!$I:$I, S$1)</f>
        <v>0</v>
      </c>
      <c r="T76" s="298">
        <f>COUNTIFS(Errors!$B:$B, $C76, Errors!$I:$I, T$1)</f>
        <v>0</v>
      </c>
      <c r="U76" s="298">
        <f>COUNTIFS(Errors!$B:$B, $C76, Errors!$I:$I, U$1)</f>
        <v>0</v>
      </c>
      <c r="V76" s="298">
        <f>COUNTIFS(Errors!$B:$B, $C76, Errors!$I:$I, V$1)</f>
        <v>0</v>
      </c>
      <c r="W76" s="298">
        <f>COUNTIFS(Errors!$B:$B, $C76, Errors!$I:$I, W$1)</f>
        <v>0</v>
      </c>
      <c r="X76" s="298">
        <f>COUNTIFS(Errors!$B:$B, $C76, Errors!$I:$I, X$1)</f>
        <v>0</v>
      </c>
    </row>
    <row r="77" ht="15.75" customHeight="1">
      <c r="A77" s="303">
        <v>0.0</v>
      </c>
      <c r="B77" s="304">
        <f>SourceData!K77</f>
        <v>0.75</v>
      </c>
      <c r="C77" s="305" t="str">
        <f>SourceData!J77</f>
        <v>Merete Tarto</v>
      </c>
      <c r="D77" s="306">
        <f>(COUNTIF(Errors!$B$3:$B$3010,'Error Count Analysis'!C77))-((COUNTIFS(Errors!$B$3:$B$3010,'Error Count Analysis'!C77, (Errors!$I$3:$I$3010),"TV*")))</f>
        <v>0</v>
      </c>
      <c r="E77" s="307">
        <f t="shared" si="1"/>
        <v>0</v>
      </c>
      <c r="F77" s="308">
        <f>COUNTIFS(Errors!$B:$B, $C77, Errors!$I:$I, F$1)</f>
        <v>0</v>
      </c>
      <c r="G77" s="309">
        <f>COUNTIFS(Errors!$B:$B, $C77, Errors!$I:$I, G$1)</f>
        <v>0</v>
      </c>
      <c r="H77" s="309">
        <f>COUNTIFS(Errors!$B:$B, $C77, Errors!$I:$I, H$1)</f>
        <v>0</v>
      </c>
      <c r="I77" s="309">
        <f>COUNTIFS(Errors!$B:$B, $C77, Errors!$I:$I, I$1)</f>
        <v>0</v>
      </c>
      <c r="J77" s="309">
        <f>COUNTIFS(Errors!$B:$B, $C77, Errors!$I:$I, J$1)</f>
        <v>0</v>
      </c>
      <c r="K77" s="309">
        <f>COUNTIFS(Errors!$B:$B, $C77, Errors!$I:$I, K$1)</f>
        <v>0</v>
      </c>
      <c r="L77" s="309">
        <f>COUNTIFS(Errors!$B:$B, $C77, Errors!$I:$I, L$1)</f>
        <v>0</v>
      </c>
      <c r="M77" s="309">
        <f>COUNTIFS(Errors!$B:$B, $C77, Errors!$I:$I, M$1)</f>
        <v>0</v>
      </c>
      <c r="N77" s="309">
        <f>COUNTIFS(Errors!$B:$B, $C77, Errors!$I:$I, N$1)</f>
        <v>0</v>
      </c>
      <c r="O77" s="310">
        <f>COUNTIFS(Errors!$B:$B, $C77, Errors!$I:$I, O$1)</f>
        <v>0</v>
      </c>
      <c r="P77" s="309">
        <f>COUNTIFS(Errors!$B:$B, $C77, Errors!$I:$I, P$1)</f>
        <v>0</v>
      </c>
      <c r="Q77" s="309">
        <f>COUNTIFS(Errors!$B:$B, $C77, Errors!$I:$I, Q$1)</f>
        <v>0</v>
      </c>
      <c r="R77" s="309">
        <f>COUNTIFS(Errors!$B:$B, $C77, Errors!$I:$I, R$1)</f>
        <v>0</v>
      </c>
      <c r="S77" s="309">
        <f>COUNTIFS(Errors!$B:$B, $C77, Errors!$I:$I, S$1)</f>
        <v>0</v>
      </c>
      <c r="T77" s="309">
        <f>COUNTIFS(Errors!$B:$B, $C77, Errors!$I:$I, T$1)</f>
        <v>0</v>
      </c>
      <c r="U77" s="309">
        <f>COUNTIFS(Errors!$B:$B, $C77, Errors!$I:$I, U$1)</f>
        <v>0</v>
      </c>
      <c r="V77" s="309">
        <f>COUNTIFS(Errors!$B:$B, $C77, Errors!$I:$I, V$1)</f>
        <v>0</v>
      </c>
      <c r="W77" s="309">
        <f>COUNTIFS(Errors!$B:$B, $C77, Errors!$I:$I, W$1)</f>
        <v>0</v>
      </c>
      <c r="X77" s="309">
        <f>COUNTIFS(Errors!$B:$B, $C77, Errors!$I:$I, X$1)</f>
        <v>0</v>
      </c>
    </row>
    <row r="78" ht="15.75" customHeight="1">
      <c r="A78" s="314">
        <v>0.0</v>
      </c>
      <c r="B78" s="293">
        <f>SourceData!K78</f>
        <v>0.75</v>
      </c>
      <c r="C78" s="294" t="str">
        <f>SourceData!J78</f>
        <v>Mia Murakas</v>
      </c>
      <c r="D78" s="295">
        <f>(COUNTIF(Errors!$B$3:$B$3010,'Error Count Analysis'!C78))-((COUNTIFS(Errors!$B$3:$B$3010,'Error Count Analysis'!C78, (Errors!$I$3:$I$3010),"TV*")))</f>
        <v>2</v>
      </c>
      <c r="E78" s="296">
        <f t="shared" si="1"/>
        <v>2.666666667</v>
      </c>
      <c r="F78" s="297">
        <f>COUNTIFS(Errors!$B:$B, $C78, Errors!$I:$I, F$1)</f>
        <v>0</v>
      </c>
      <c r="G78" s="298">
        <f>COUNTIFS(Errors!$B:$B, $C78, Errors!$I:$I, G$1)</f>
        <v>0</v>
      </c>
      <c r="H78" s="298">
        <f>COUNTIFS(Errors!$B:$B, $C78, Errors!$I:$I, H$1)</f>
        <v>0</v>
      </c>
      <c r="I78" s="298">
        <f>COUNTIFS(Errors!$B:$B, $C78, Errors!$I:$I, I$1)</f>
        <v>0</v>
      </c>
      <c r="J78" s="298">
        <f>COUNTIFS(Errors!$B:$B, $C78, Errors!$I:$I, J$1)</f>
        <v>0</v>
      </c>
      <c r="K78" s="298">
        <f>COUNTIFS(Errors!$B:$B, $C78, Errors!$I:$I, K$1)</f>
        <v>0</v>
      </c>
      <c r="L78" s="298">
        <f>COUNTIFS(Errors!$B:$B, $C78, Errors!$I:$I, L$1)</f>
        <v>0</v>
      </c>
      <c r="M78" s="298">
        <f>COUNTIFS(Errors!$B:$B, $C78, Errors!$I:$I, M$1)</f>
        <v>0</v>
      </c>
      <c r="N78" s="298">
        <f>COUNTIFS(Errors!$B:$B, $C78, Errors!$I:$I, N$1)</f>
        <v>0</v>
      </c>
      <c r="O78" s="299">
        <f>COUNTIFS(Errors!$B:$B, $C78, Errors!$I:$I, O$1)</f>
        <v>0</v>
      </c>
      <c r="P78" s="298">
        <f>COUNTIFS(Errors!$B:$B, $C78, Errors!$I:$I, P$1)</f>
        <v>2</v>
      </c>
      <c r="Q78" s="298">
        <f>COUNTIFS(Errors!$B:$B, $C78, Errors!$I:$I, Q$1)</f>
        <v>0</v>
      </c>
      <c r="R78" s="298">
        <f>COUNTIFS(Errors!$B:$B, $C78, Errors!$I:$I, R$1)</f>
        <v>0</v>
      </c>
      <c r="S78" s="298">
        <f>COUNTIFS(Errors!$B:$B, $C78, Errors!$I:$I, S$1)</f>
        <v>0</v>
      </c>
      <c r="T78" s="298">
        <f>COUNTIFS(Errors!$B:$B, $C78, Errors!$I:$I, T$1)</f>
        <v>0</v>
      </c>
      <c r="U78" s="298">
        <f>COUNTIFS(Errors!$B:$B, $C78, Errors!$I:$I, U$1)</f>
        <v>0</v>
      </c>
      <c r="V78" s="298">
        <f>COUNTIFS(Errors!$B:$B, $C78, Errors!$I:$I, V$1)</f>
        <v>0</v>
      </c>
      <c r="W78" s="298">
        <f>COUNTIFS(Errors!$B:$B, $C78, Errors!$I:$I, W$1)</f>
        <v>0</v>
      </c>
      <c r="X78" s="298">
        <f>COUNTIFS(Errors!$B:$B, $C78, Errors!$I:$I, X$1)</f>
        <v>0</v>
      </c>
    </row>
    <row r="79" ht="15.75" customHeight="1">
      <c r="A79" s="303">
        <v>0.0</v>
      </c>
      <c r="B79" s="304">
        <f>SourceData!K79</f>
        <v>1</v>
      </c>
      <c r="C79" s="305" t="str">
        <f>SourceData!J79</f>
        <v>Milena Kõiv</v>
      </c>
      <c r="D79" s="306">
        <f>(COUNTIF(Errors!$B$3:$B$3010,'Error Count Analysis'!C79))-((COUNTIFS(Errors!$B$3:$B$3010,'Error Count Analysis'!C79, (Errors!$I$3:$I$3010),"TV*")))</f>
        <v>6</v>
      </c>
      <c r="E79" s="307">
        <f t="shared" si="1"/>
        <v>6</v>
      </c>
      <c r="F79" s="308">
        <f>COUNTIFS(Errors!$B:$B, $C79, Errors!$I:$I, F$1)</f>
        <v>0</v>
      </c>
      <c r="G79" s="309">
        <f>COUNTIFS(Errors!$B:$B, $C79, Errors!$I:$I, G$1)</f>
        <v>3</v>
      </c>
      <c r="H79" s="309">
        <f>COUNTIFS(Errors!$B:$B, $C79, Errors!$I:$I, H$1)</f>
        <v>0</v>
      </c>
      <c r="I79" s="309">
        <f>COUNTIFS(Errors!$B:$B, $C79, Errors!$I:$I, I$1)</f>
        <v>0</v>
      </c>
      <c r="J79" s="309">
        <f>COUNTIFS(Errors!$B:$B, $C79, Errors!$I:$I, J$1)</f>
        <v>1</v>
      </c>
      <c r="K79" s="309">
        <f>COUNTIFS(Errors!$B:$B, $C79, Errors!$I:$I, K$1)</f>
        <v>0</v>
      </c>
      <c r="L79" s="309">
        <f>COUNTIFS(Errors!$B:$B, $C79, Errors!$I:$I, L$1)</f>
        <v>0</v>
      </c>
      <c r="M79" s="309">
        <f>COUNTIFS(Errors!$B:$B, $C79, Errors!$I:$I, M$1)</f>
        <v>0</v>
      </c>
      <c r="N79" s="309">
        <f>COUNTIFS(Errors!$B:$B, $C79, Errors!$I:$I, N$1)</f>
        <v>0</v>
      </c>
      <c r="O79" s="310">
        <f>COUNTIFS(Errors!$B:$B, $C79, Errors!$I:$I, O$1)</f>
        <v>0</v>
      </c>
      <c r="P79" s="309">
        <f>COUNTIFS(Errors!$B:$B, $C79, Errors!$I:$I, P$1)</f>
        <v>0</v>
      </c>
      <c r="Q79" s="309">
        <f>COUNTIFS(Errors!$B:$B, $C79, Errors!$I:$I, Q$1)</f>
        <v>0</v>
      </c>
      <c r="R79" s="309">
        <f>COUNTIFS(Errors!$B:$B, $C79, Errors!$I:$I, R$1)</f>
        <v>0</v>
      </c>
      <c r="S79" s="309">
        <f>COUNTIFS(Errors!$B:$B, $C79, Errors!$I:$I, S$1)</f>
        <v>0</v>
      </c>
      <c r="T79" s="309">
        <f>COUNTIFS(Errors!$B:$B, $C79, Errors!$I:$I, T$1)</f>
        <v>0</v>
      </c>
      <c r="U79" s="309">
        <f>COUNTIFS(Errors!$B:$B, $C79, Errors!$I:$I, U$1)</f>
        <v>0</v>
      </c>
      <c r="V79" s="309">
        <f>COUNTIFS(Errors!$B:$B, $C79, Errors!$I:$I, V$1)</f>
        <v>1</v>
      </c>
      <c r="W79" s="309">
        <f>COUNTIFS(Errors!$B:$B, $C79, Errors!$I:$I, W$1)</f>
        <v>0</v>
      </c>
      <c r="X79" s="309">
        <f>COUNTIFS(Errors!$B:$B, $C79, Errors!$I:$I, X$1)</f>
        <v>0</v>
      </c>
    </row>
    <row r="80" ht="15.75" customHeight="1">
      <c r="A80" s="314">
        <v>0.0</v>
      </c>
      <c r="B80" s="293">
        <f>SourceData!K80</f>
        <v>1</v>
      </c>
      <c r="C80" s="294" t="str">
        <f>SourceData!J80</f>
        <v>Natalija Kravcova</v>
      </c>
      <c r="D80" s="295">
        <f>(COUNTIF(Errors!$B$3:$B$3010,'Error Count Analysis'!C80))-((COUNTIFS(Errors!$B$3:$B$3010,'Error Count Analysis'!C80, (Errors!$I$3:$I$3010),"TV*")))</f>
        <v>1</v>
      </c>
      <c r="E80" s="296">
        <f t="shared" si="1"/>
        <v>1</v>
      </c>
      <c r="F80" s="297">
        <f>COUNTIFS(Errors!$B:$B, $C80, Errors!$I:$I, F$1)</f>
        <v>0</v>
      </c>
      <c r="G80" s="298">
        <f>COUNTIFS(Errors!$B:$B, $C80, Errors!$I:$I, G$1)</f>
        <v>0</v>
      </c>
      <c r="H80" s="298">
        <f>COUNTIFS(Errors!$B:$B, $C80, Errors!$I:$I, H$1)</f>
        <v>0</v>
      </c>
      <c r="I80" s="298">
        <f>COUNTIFS(Errors!$B:$B, $C80, Errors!$I:$I, I$1)</f>
        <v>0</v>
      </c>
      <c r="J80" s="298">
        <f>COUNTIFS(Errors!$B:$B, $C80, Errors!$I:$I, J$1)</f>
        <v>0</v>
      </c>
      <c r="K80" s="298">
        <f>COUNTIFS(Errors!$B:$B, $C80, Errors!$I:$I, K$1)</f>
        <v>0</v>
      </c>
      <c r="L80" s="298">
        <f>COUNTIFS(Errors!$B:$B, $C80, Errors!$I:$I, L$1)</f>
        <v>1</v>
      </c>
      <c r="M80" s="298">
        <f>COUNTIFS(Errors!$B:$B, $C80, Errors!$I:$I, M$1)</f>
        <v>0</v>
      </c>
      <c r="N80" s="298">
        <f>COUNTIFS(Errors!$B:$B, $C80, Errors!$I:$I, N$1)</f>
        <v>0</v>
      </c>
      <c r="O80" s="299">
        <f>COUNTIFS(Errors!$B:$B, $C80, Errors!$I:$I, O$1)</f>
        <v>0</v>
      </c>
      <c r="P80" s="298">
        <f>COUNTIFS(Errors!$B:$B, $C80, Errors!$I:$I, P$1)</f>
        <v>0</v>
      </c>
      <c r="Q80" s="298">
        <f>COUNTIFS(Errors!$B:$B, $C80, Errors!$I:$I, Q$1)</f>
        <v>0</v>
      </c>
      <c r="R80" s="298">
        <f>COUNTIFS(Errors!$B:$B, $C80, Errors!$I:$I, R$1)</f>
        <v>0</v>
      </c>
      <c r="S80" s="298">
        <f>COUNTIFS(Errors!$B:$B, $C80, Errors!$I:$I, S$1)</f>
        <v>0</v>
      </c>
      <c r="T80" s="298">
        <f>COUNTIFS(Errors!$B:$B, $C80, Errors!$I:$I, T$1)</f>
        <v>0</v>
      </c>
      <c r="U80" s="298">
        <f>COUNTIFS(Errors!$B:$B, $C80, Errors!$I:$I, U$1)</f>
        <v>0</v>
      </c>
      <c r="V80" s="298">
        <f>COUNTIFS(Errors!$B:$B, $C80, Errors!$I:$I, V$1)</f>
        <v>0</v>
      </c>
      <c r="W80" s="298">
        <f>COUNTIFS(Errors!$B:$B, $C80, Errors!$I:$I, W$1)</f>
        <v>0</v>
      </c>
      <c r="X80" s="298">
        <f>COUNTIFS(Errors!$B:$B, $C80, Errors!$I:$I, X$1)</f>
        <v>0</v>
      </c>
    </row>
    <row r="81" ht="15.75" customHeight="1">
      <c r="A81" s="303">
        <v>0.0</v>
      </c>
      <c r="B81" s="304">
        <f>SourceData!K81</f>
        <v>0.5</v>
      </c>
      <c r="C81" s="305" t="str">
        <f>SourceData!J81</f>
        <v>Oleksandra Bubnova</v>
      </c>
      <c r="D81" s="306">
        <f>(COUNTIF(Errors!$B$3:$B$3010,'Error Count Analysis'!C81))-((COUNTIFS(Errors!$B$3:$B$3010,'Error Count Analysis'!C81, (Errors!$I$3:$I$3010),"TV*")))</f>
        <v>0</v>
      </c>
      <c r="E81" s="307">
        <f t="shared" si="1"/>
        <v>0</v>
      </c>
      <c r="F81" s="308">
        <f>COUNTIFS(Errors!$B:$B, $C81, Errors!$I:$I, F$1)</f>
        <v>0</v>
      </c>
      <c r="G81" s="309">
        <f>COUNTIFS(Errors!$B:$B, $C81, Errors!$I:$I, G$1)</f>
        <v>0</v>
      </c>
      <c r="H81" s="309">
        <f>COUNTIFS(Errors!$B:$B, $C81, Errors!$I:$I, H$1)</f>
        <v>0</v>
      </c>
      <c r="I81" s="309">
        <f>COUNTIFS(Errors!$B:$B, $C81, Errors!$I:$I, I$1)</f>
        <v>0</v>
      </c>
      <c r="J81" s="309">
        <f>COUNTIFS(Errors!$B:$B, $C81, Errors!$I:$I, J$1)</f>
        <v>0</v>
      </c>
      <c r="K81" s="309">
        <f>COUNTIFS(Errors!$B:$B, $C81, Errors!$I:$I, K$1)</f>
        <v>0</v>
      </c>
      <c r="L81" s="309">
        <f>COUNTIFS(Errors!$B:$B, $C81, Errors!$I:$I, L$1)</f>
        <v>0</v>
      </c>
      <c r="M81" s="309">
        <f>COUNTIFS(Errors!$B:$B, $C81, Errors!$I:$I, M$1)</f>
        <v>0</v>
      </c>
      <c r="N81" s="309">
        <f>COUNTIFS(Errors!$B:$B, $C81, Errors!$I:$I, N$1)</f>
        <v>0</v>
      </c>
      <c r="O81" s="310">
        <f>COUNTIFS(Errors!$B:$B, $C81, Errors!$I:$I, O$1)</f>
        <v>0</v>
      </c>
      <c r="P81" s="309">
        <f>COUNTIFS(Errors!$B:$B, $C81, Errors!$I:$I, P$1)</f>
        <v>0</v>
      </c>
      <c r="Q81" s="309">
        <f>COUNTIFS(Errors!$B:$B, $C81, Errors!$I:$I, Q$1)</f>
        <v>0</v>
      </c>
      <c r="R81" s="309">
        <f>COUNTIFS(Errors!$B:$B, $C81, Errors!$I:$I, R$1)</f>
        <v>0</v>
      </c>
      <c r="S81" s="309">
        <f>COUNTIFS(Errors!$B:$B, $C81, Errors!$I:$I, S$1)</f>
        <v>0</v>
      </c>
      <c r="T81" s="309">
        <f>COUNTIFS(Errors!$B:$B, $C81, Errors!$I:$I, T$1)</f>
        <v>0</v>
      </c>
      <c r="U81" s="309">
        <f>COUNTIFS(Errors!$B:$B, $C81, Errors!$I:$I, U$1)</f>
        <v>0</v>
      </c>
      <c r="V81" s="309">
        <f>COUNTIFS(Errors!$B:$B, $C81, Errors!$I:$I, V$1)</f>
        <v>0</v>
      </c>
      <c r="W81" s="309">
        <f>COUNTIFS(Errors!$B:$B, $C81, Errors!$I:$I, W$1)</f>
        <v>0</v>
      </c>
      <c r="X81" s="309">
        <f>COUNTIFS(Errors!$B:$B, $C81, Errors!$I:$I, X$1)</f>
        <v>0</v>
      </c>
    </row>
    <row r="82" ht="15.75" customHeight="1">
      <c r="A82" s="314">
        <v>0.0</v>
      </c>
      <c r="B82" s="293">
        <f>SourceData!K82</f>
        <v>0.75</v>
      </c>
      <c r="C82" s="294" t="str">
        <f>SourceData!J82</f>
        <v>Oleksandra Korniienko</v>
      </c>
      <c r="D82" s="295">
        <f>(COUNTIF(Errors!$B$3:$B$3010,'Error Count Analysis'!C82))-((COUNTIFS(Errors!$B$3:$B$3010,'Error Count Analysis'!C82, (Errors!$I$3:$I$3010),"TV*")))</f>
        <v>0</v>
      </c>
      <c r="E82" s="296">
        <f t="shared" si="1"/>
        <v>0</v>
      </c>
      <c r="F82" s="297">
        <f>COUNTIFS(Errors!$B:$B, $C82, Errors!$I:$I, F$1)</f>
        <v>0</v>
      </c>
      <c r="G82" s="298">
        <f>COUNTIFS(Errors!$B:$B, $C82, Errors!$I:$I, G$1)</f>
        <v>0</v>
      </c>
      <c r="H82" s="298">
        <f>COUNTIFS(Errors!$B:$B, $C82, Errors!$I:$I, H$1)</f>
        <v>0</v>
      </c>
      <c r="I82" s="298">
        <f>COUNTIFS(Errors!$B:$B, $C82, Errors!$I:$I, I$1)</f>
        <v>0</v>
      </c>
      <c r="J82" s="298">
        <f>COUNTIFS(Errors!$B:$B, $C82, Errors!$I:$I, J$1)</f>
        <v>0</v>
      </c>
      <c r="K82" s="298">
        <f>COUNTIFS(Errors!$B:$B, $C82, Errors!$I:$I, K$1)</f>
        <v>0</v>
      </c>
      <c r="L82" s="298">
        <f>COUNTIFS(Errors!$B:$B, $C82, Errors!$I:$I, L$1)</f>
        <v>0</v>
      </c>
      <c r="M82" s="298">
        <f>COUNTIFS(Errors!$B:$B, $C82, Errors!$I:$I, M$1)</f>
        <v>0</v>
      </c>
      <c r="N82" s="298">
        <f>COUNTIFS(Errors!$B:$B, $C82, Errors!$I:$I, N$1)</f>
        <v>0</v>
      </c>
      <c r="O82" s="299">
        <f>COUNTIFS(Errors!$B:$B, $C82, Errors!$I:$I, O$1)</f>
        <v>0</v>
      </c>
      <c r="P82" s="298">
        <f>COUNTIFS(Errors!$B:$B, $C82, Errors!$I:$I, P$1)</f>
        <v>0</v>
      </c>
      <c r="Q82" s="298">
        <f>COUNTIFS(Errors!$B:$B, $C82, Errors!$I:$I, Q$1)</f>
        <v>0</v>
      </c>
      <c r="R82" s="298">
        <f>COUNTIFS(Errors!$B:$B, $C82, Errors!$I:$I, R$1)</f>
        <v>0</v>
      </c>
      <c r="S82" s="298">
        <f>COUNTIFS(Errors!$B:$B, $C82, Errors!$I:$I, S$1)</f>
        <v>0</v>
      </c>
      <c r="T82" s="298">
        <f>COUNTIFS(Errors!$B:$B, $C82, Errors!$I:$I, T$1)</f>
        <v>0</v>
      </c>
      <c r="U82" s="298">
        <f>COUNTIFS(Errors!$B:$B, $C82, Errors!$I:$I, U$1)</f>
        <v>0</v>
      </c>
      <c r="V82" s="298">
        <f>COUNTIFS(Errors!$B:$B, $C82, Errors!$I:$I, V$1)</f>
        <v>0</v>
      </c>
      <c r="W82" s="298">
        <f>COUNTIFS(Errors!$B:$B, $C82, Errors!$I:$I, W$1)</f>
        <v>0</v>
      </c>
      <c r="X82" s="298">
        <f>COUNTIFS(Errors!$B:$B, $C82, Errors!$I:$I, X$1)</f>
        <v>0</v>
      </c>
    </row>
    <row r="83" ht="15.75" customHeight="1">
      <c r="A83" s="303">
        <v>0.0</v>
      </c>
      <c r="B83" s="304">
        <f>SourceData!K83</f>
        <v>0.5</v>
      </c>
      <c r="C83" s="305" t="str">
        <f>SourceData!J83</f>
        <v>Polina Lillepea</v>
      </c>
      <c r="D83" s="306">
        <f>(COUNTIF(Errors!$B$3:$B$3010,'Error Count Analysis'!C83))-((COUNTIFS(Errors!$B$3:$B$3010,'Error Count Analysis'!C83, (Errors!$I$3:$I$3010),"TV*")))</f>
        <v>0</v>
      </c>
      <c r="E83" s="307">
        <f t="shared" si="1"/>
        <v>0</v>
      </c>
      <c r="F83" s="308">
        <f>COUNTIFS(Errors!$B:$B, $C83, Errors!$I:$I, F$1)</f>
        <v>0</v>
      </c>
      <c r="G83" s="309">
        <f>COUNTIFS(Errors!$B:$B, $C83, Errors!$I:$I, G$1)</f>
        <v>0</v>
      </c>
      <c r="H83" s="309">
        <f>COUNTIFS(Errors!$B:$B, $C83, Errors!$I:$I, H$1)</f>
        <v>0</v>
      </c>
      <c r="I83" s="309">
        <f>COUNTIFS(Errors!$B:$B, $C83, Errors!$I:$I, I$1)</f>
        <v>0</v>
      </c>
      <c r="J83" s="309">
        <f>COUNTIFS(Errors!$B:$B, $C83, Errors!$I:$I, J$1)</f>
        <v>0</v>
      </c>
      <c r="K83" s="309">
        <f>COUNTIFS(Errors!$B:$B, $C83, Errors!$I:$I, K$1)</f>
        <v>0</v>
      </c>
      <c r="L83" s="309">
        <f>COUNTIFS(Errors!$B:$B, $C83, Errors!$I:$I, L$1)</f>
        <v>0</v>
      </c>
      <c r="M83" s="309">
        <f>COUNTIFS(Errors!$B:$B, $C83, Errors!$I:$I, M$1)</f>
        <v>0</v>
      </c>
      <c r="N83" s="309">
        <f>COUNTIFS(Errors!$B:$B, $C83, Errors!$I:$I, N$1)</f>
        <v>0</v>
      </c>
      <c r="O83" s="310">
        <f>COUNTIFS(Errors!$B:$B, $C83, Errors!$I:$I, O$1)</f>
        <v>0</v>
      </c>
      <c r="P83" s="309">
        <f>COUNTIFS(Errors!$B:$B, $C83, Errors!$I:$I, P$1)</f>
        <v>0</v>
      </c>
      <c r="Q83" s="309">
        <f>COUNTIFS(Errors!$B:$B, $C83, Errors!$I:$I, Q$1)</f>
        <v>0</v>
      </c>
      <c r="R83" s="309">
        <f>COUNTIFS(Errors!$B:$B, $C83, Errors!$I:$I, R$1)</f>
        <v>0</v>
      </c>
      <c r="S83" s="309">
        <f>COUNTIFS(Errors!$B:$B, $C83, Errors!$I:$I, S$1)</f>
        <v>0</v>
      </c>
      <c r="T83" s="309">
        <f>COUNTIFS(Errors!$B:$B, $C83, Errors!$I:$I, T$1)</f>
        <v>0</v>
      </c>
      <c r="U83" s="309">
        <f>COUNTIFS(Errors!$B:$B, $C83, Errors!$I:$I, U$1)</f>
        <v>0</v>
      </c>
      <c r="V83" s="309">
        <f>COUNTIFS(Errors!$B:$B, $C83, Errors!$I:$I, V$1)</f>
        <v>0</v>
      </c>
      <c r="W83" s="309">
        <f>COUNTIFS(Errors!$B:$B, $C83, Errors!$I:$I, W$1)</f>
        <v>0</v>
      </c>
      <c r="X83" s="309">
        <f>COUNTIFS(Errors!$B:$B, $C83, Errors!$I:$I, X$1)</f>
        <v>0</v>
      </c>
    </row>
    <row r="84" ht="15.75" customHeight="1">
      <c r="A84" s="314">
        <v>0.0</v>
      </c>
      <c r="B84" s="293">
        <f>SourceData!K84</f>
        <v>0.75</v>
      </c>
      <c r="C84" s="294" t="str">
        <f>SourceData!J84</f>
        <v>Polina Pissareva</v>
      </c>
      <c r="D84" s="295">
        <f>(COUNTIF(Errors!$B$3:$B$3010,'Error Count Analysis'!C84))-((COUNTIFS(Errors!$B$3:$B$3010,'Error Count Analysis'!C84, (Errors!$I$3:$I$3010),"TV*")))</f>
        <v>1</v>
      </c>
      <c r="E84" s="296">
        <f t="shared" si="1"/>
        <v>1.333333333</v>
      </c>
      <c r="F84" s="297">
        <f>COUNTIFS(Errors!$B:$B, $C84, Errors!$I:$I, F$1)</f>
        <v>0</v>
      </c>
      <c r="G84" s="298">
        <f>COUNTIFS(Errors!$B:$B, $C84, Errors!$I:$I, G$1)</f>
        <v>0</v>
      </c>
      <c r="H84" s="298">
        <f>COUNTIFS(Errors!$B:$B, $C84, Errors!$I:$I, H$1)</f>
        <v>0</v>
      </c>
      <c r="I84" s="298">
        <f>COUNTIFS(Errors!$B:$B, $C84, Errors!$I:$I, I$1)</f>
        <v>0</v>
      </c>
      <c r="J84" s="298">
        <f>COUNTIFS(Errors!$B:$B, $C84, Errors!$I:$I, J$1)</f>
        <v>1</v>
      </c>
      <c r="K84" s="298">
        <f>COUNTIFS(Errors!$B:$B, $C84, Errors!$I:$I, K$1)</f>
        <v>0</v>
      </c>
      <c r="L84" s="298">
        <f>COUNTIFS(Errors!$B:$B, $C84, Errors!$I:$I, L$1)</f>
        <v>0</v>
      </c>
      <c r="M84" s="298">
        <f>COUNTIFS(Errors!$B:$B, $C84, Errors!$I:$I, M$1)</f>
        <v>0</v>
      </c>
      <c r="N84" s="298">
        <f>COUNTIFS(Errors!$B:$B, $C84, Errors!$I:$I, N$1)</f>
        <v>0</v>
      </c>
      <c r="O84" s="299">
        <f>COUNTIFS(Errors!$B:$B, $C84, Errors!$I:$I, O$1)</f>
        <v>0</v>
      </c>
      <c r="P84" s="298">
        <f>COUNTIFS(Errors!$B:$B, $C84, Errors!$I:$I, P$1)</f>
        <v>0</v>
      </c>
      <c r="Q84" s="298">
        <f>COUNTIFS(Errors!$B:$B, $C84, Errors!$I:$I, Q$1)</f>
        <v>0</v>
      </c>
      <c r="R84" s="298">
        <f>COUNTIFS(Errors!$B:$B, $C84, Errors!$I:$I, R$1)</f>
        <v>0</v>
      </c>
      <c r="S84" s="298">
        <f>COUNTIFS(Errors!$B:$B, $C84, Errors!$I:$I, S$1)</f>
        <v>0</v>
      </c>
      <c r="T84" s="298">
        <f>COUNTIFS(Errors!$B:$B, $C84, Errors!$I:$I, T$1)</f>
        <v>0</v>
      </c>
      <c r="U84" s="298">
        <f>COUNTIFS(Errors!$B:$B, $C84, Errors!$I:$I, U$1)</f>
        <v>0</v>
      </c>
      <c r="V84" s="298">
        <f>COUNTIFS(Errors!$B:$B, $C84, Errors!$I:$I, V$1)</f>
        <v>0</v>
      </c>
      <c r="W84" s="298">
        <f>COUNTIFS(Errors!$B:$B, $C84, Errors!$I:$I, W$1)</f>
        <v>0</v>
      </c>
      <c r="X84" s="298">
        <f>COUNTIFS(Errors!$B:$B, $C84, Errors!$I:$I, X$1)</f>
        <v>0</v>
      </c>
    </row>
    <row r="85" ht="15.75" customHeight="1">
      <c r="A85" s="305">
        <v>0.0</v>
      </c>
      <c r="B85" s="304">
        <f>SourceData!K85</f>
        <v>0.5</v>
      </c>
      <c r="C85" s="305" t="str">
        <f>SourceData!J85</f>
        <v>Polina Suhhanova</v>
      </c>
      <c r="D85" s="306">
        <f>(COUNTIF(Errors!$B$3:$B$3010,'Error Count Analysis'!C85))-((COUNTIFS(Errors!$B$3:$B$3010,'Error Count Analysis'!C85, (Errors!$I$3:$I$3010),"TV*")))</f>
        <v>0</v>
      </c>
      <c r="E85" s="307">
        <f t="shared" si="1"/>
        <v>0</v>
      </c>
      <c r="F85" s="308">
        <f>COUNTIFS(Errors!$B:$B, $C85, Errors!$I:$I, F$1)</f>
        <v>0</v>
      </c>
      <c r="G85" s="309">
        <f>COUNTIFS(Errors!$B:$B, $C85, Errors!$I:$I, G$1)</f>
        <v>0</v>
      </c>
      <c r="H85" s="309">
        <f>COUNTIFS(Errors!$B:$B, $C85, Errors!$I:$I, H$1)</f>
        <v>0</v>
      </c>
      <c r="I85" s="309">
        <f>COUNTIFS(Errors!$B:$B, $C85, Errors!$I:$I, I$1)</f>
        <v>0</v>
      </c>
      <c r="J85" s="309">
        <f>COUNTIFS(Errors!$B:$B, $C85, Errors!$I:$I, J$1)</f>
        <v>0</v>
      </c>
      <c r="K85" s="309">
        <f>COUNTIFS(Errors!$B:$B, $C85, Errors!$I:$I, K$1)</f>
        <v>0</v>
      </c>
      <c r="L85" s="309">
        <f>COUNTIFS(Errors!$B:$B, $C85, Errors!$I:$I, L$1)</f>
        <v>0</v>
      </c>
      <c r="M85" s="309">
        <f>COUNTIFS(Errors!$B:$B, $C85, Errors!$I:$I, M$1)</f>
        <v>0</v>
      </c>
      <c r="N85" s="309">
        <f>COUNTIFS(Errors!$B:$B, $C85, Errors!$I:$I, N$1)</f>
        <v>0</v>
      </c>
      <c r="O85" s="310">
        <f>COUNTIFS(Errors!$B:$B, $C85, Errors!$I:$I, O$1)</f>
        <v>0</v>
      </c>
      <c r="P85" s="309">
        <f>COUNTIFS(Errors!$B:$B, $C85, Errors!$I:$I, P$1)</f>
        <v>0</v>
      </c>
      <c r="Q85" s="309">
        <f>COUNTIFS(Errors!$B:$B, $C85, Errors!$I:$I, Q$1)</f>
        <v>0</v>
      </c>
      <c r="R85" s="309">
        <f>COUNTIFS(Errors!$B:$B, $C85, Errors!$I:$I, R$1)</f>
        <v>0</v>
      </c>
      <c r="S85" s="309">
        <f>COUNTIFS(Errors!$B:$B, $C85, Errors!$I:$I, S$1)</f>
        <v>0</v>
      </c>
      <c r="T85" s="309">
        <f>COUNTIFS(Errors!$B:$B, $C85, Errors!$I:$I, T$1)</f>
        <v>0</v>
      </c>
      <c r="U85" s="309">
        <f>COUNTIFS(Errors!$B:$B, $C85, Errors!$I:$I, U$1)</f>
        <v>0</v>
      </c>
      <c r="V85" s="309">
        <f>COUNTIFS(Errors!$B:$B, $C85, Errors!$I:$I, V$1)</f>
        <v>0</v>
      </c>
      <c r="W85" s="309">
        <f>COUNTIFS(Errors!$B:$B, $C85, Errors!$I:$I, W$1)</f>
        <v>0</v>
      </c>
      <c r="X85" s="309">
        <f>COUNTIFS(Errors!$B:$B, $C85, Errors!$I:$I, X$1)</f>
        <v>0</v>
      </c>
    </row>
    <row r="86" ht="15.75" customHeight="1">
      <c r="A86" s="325">
        <v>0.0</v>
      </c>
      <c r="B86" s="293">
        <f>SourceData!K86</f>
        <v>0.75</v>
      </c>
      <c r="C86" s="294" t="str">
        <f>SourceData!J86</f>
        <v>Rajosree Das Sristy</v>
      </c>
      <c r="D86" s="295">
        <f>(COUNTIF(Errors!$B$3:$B$3010,'Error Count Analysis'!C86))-((COUNTIFS(Errors!$B$3:$B$3010,'Error Count Analysis'!C86, (Errors!$I$3:$I$3010),"TV*")))</f>
        <v>1</v>
      </c>
      <c r="E86" s="296">
        <f t="shared" si="1"/>
        <v>1.333333333</v>
      </c>
      <c r="F86" s="297">
        <f>COUNTIFS(Errors!$B:$B, $C86, Errors!$I:$I, F$1)</f>
        <v>0</v>
      </c>
      <c r="G86" s="298">
        <f>COUNTIFS(Errors!$B:$B, $C86, Errors!$I:$I, G$1)</f>
        <v>1</v>
      </c>
      <c r="H86" s="298">
        <f>COUNTIFS(Errors!$B:$B, $C86, Errors!$I:$I, H$1)</f>
        <v>0</v>
      </c>
      <c r="I86" s="298">
        <f>COUNTIFS(Errors!$B:$B, $C86, Errors!$I:$I, I$1)</f>
        <v>0</v>
      </c>
      <c r="J86" s="298">
        <f>COUNTIFS(Errors!$B:$B, $C86, Errors!$I:$I, J$1)</f>
        <v>0</v>
      </c>
      <c r="K86" s="298">
        <f>COUNTIFS(Errors!$B:$B, $C86, Errors!$I:$I, K$1)</f>
        <v>0</v>
      </c>
      <c r="L86" s="298">
        <f>COUNTIFS(Errors!$B:$B, $C86, Errors!$I:$I, L$1)</f>
        <v>0</v>
      </c>
      <c r="M86" s="298">
        <f>COUNTIFS(Errors!$B:$B, $C86, Errors!$I:$I, M$1)</f>
        <v>0</v>
      </c>
      <c r="N86" s="298">
        <f>COUNTIFS(Errors!$B:$B, $C86, Errors!$I:$I, N$1)</f>
        <v>0</v>
      </c>
      <c r="O86" s="299">
        <f>COUNTIFS(Errors!$B:$B, $C86, Errors!$I:$I, O$1)</f>
        <v>0</v>
      </c>
      <c r="P86" s="298">
        <f>COUNTIFS(Errors!$B:$B, $C86, Errors!$I:$I, P$1)</f>
        <v>0</v>
      </c>
      <c r="Q86" s="298">
        <f>COUNTIFS(Errors!$B:$B, $C86, Errors!$I:$I, Q$1)</f>
        <v>0</v>
      </c>
      <c r="R86" s="298">
        <f>COUNTIFS(Errors!$B:$B, $C86, Errors!$I:$I, R$1)</f>
        <v>0</v>
      </c>
      <c r="S86" s="298">
        <f>COUNTIFS(Errors!$B:$B, $C86, Errors!$I:$I, S$1)</f>
        <v>0</v>
      </c>
      <c r="T86" s="298">
        <f>COUNTIFS(Errors!$B:$B, $C86, Errors!$I:$I, T$1)</f>
        <v>0</v>
      </c>
      <c r="U86" s="298">
        <f>COUNTIFS(Errors!$B:$B, $C86, Errors!$I:$I, U$1)</f>
        <v>0</v>
      </c>
      <c r="V86" s="298">
        <f>COUNTIFS(Errors!$B:$B, $C86, Errors!$I:$I, V$1)</f>
        <v>0</v>
      </c>
      <c r="W86" s="298">
        <f>COUNTIFS(Errors!$B:$B, $C86, Errors!$I:$I, W$1)</f>
        <v>0</v>
      </c>
      <c r="X86" s="298">
        <f>COUNTIFS(Errors!$B:$B, $C86, Errors!$I:$I, X$1)</f>
        <v>0</v>
      </c>
    </row>
    <row r="87" ht="15.75" customHeight="1">
      <c r="A87" s="305">
        <v>0.0</v>
      </c>
      <c r="B87" s="304">
        <f>SourceData!K87</f>
        <v>0.5</v>
      </c>
      <c r="C87" s="305" t="str">
        <f>SourceData!J87</f>
        <v>Reeli Pao</v>
      </c>
      <c r="D87" s="306">
        <f>(COUNTIF(Errors!$B$3:$B$3010,'Error Count Analysis'!C87))-((COUNTIFS(Errors!$B$3:$B$3010,'Error Count Analysis'!C87, (Errors!$I$3:$I$3010),"TV*")))</f>
        <v>2</v>
      </c>
      <c r="E87" s="307">
        <f t="shared" si="1"/>
        <v>4</v>
      </c>
      <c r="F87" s="308">
        <f>COUNTIFS(Errors!$B:$B, $C87, Errors!$I:$I, F$1)</f>
        <v>0</v>
      </c>
      <c r="G87" s="309">
        <f>COUNTIFS(Errors!$B:$B, $C87, Errors!$I:$I, G$1)</f>
        <v>1</v>
      </c>
      <c r="H87" s="309">
        <f>COUNTIFS(Errors!$B:$B, $C87, Errors!$I:$I, H$1)</f>
        <v>0</v>
      </c>
      <c r="I87" s="309">
        <f>COUNTIFS(Errors!$B:$B, $C87, Errors!$I:$I, I$1)</f>
        <v>0</v>
      </c>
      <c r="J87" s="309">
        <f>COUNTIFS(Errors!$B:$B, $C87, Errors!$I:$I, J$1)</f>
        <v>1</v>
      </c>
      <c r="K87" s="309">
        <f>COUNTIFS(Errors!$B:$B, $C87, Errors!$I:$I, K$1)</f>
        <v>0</v>
      </c>
      <c r="L87" s="309">
        <f>COUNTIFS(Errors!$B:$B, $C87, Errors!$I:$I, L$1)</f>
        <v>0</v>
      </c>
      <c r="M87" s="309">
        <f>COUNTIFS(Errors!$B:$B, $C87, Errors!$I:$I, M$1)</f>
        <v>0</v>
      </c>
      <c r="N87" s="309">
        <f>COUNTIFS(Errors!$B:$B, $C87, Errors!$I:$I, N$1)</f>
        <v>0</v>
      </c>
      <c r="O87" s="310">
        <f>COUNTIFS(Errors!$B:$B, $C87, Errors!$I:$I, O$1)</f>
        <v>0</v>
      </c>
      <c r="P87" s="309">
        <f>COUNTIFS(Errors!$B:$B, $C87, Errors!$I:$I, P$1)</f>
        <v>0</v>
      </c>
      <c r="Q87" s="309">
        <f>COUNTIFS(Errors!$B:$B, $C87, Errors!$I:$I, Q$1)</f>
        <v>0</v>
      </c>
      <c r="R87" s="309">
        <f>COUNTIFS(Errors!$B:$B, $C87, Errors!$I:$I, R$1)</f>
        <v>0</v>
      </c>
      <c r="S87" s="309">
        <f>COUNTIFS(Errors!$B:$B, $C87, Errors!$I:$I, S$1)</f>
        <v>0</v>
      </c>
      <c r="T87" s="309">
        <f>COUNTIFS(Errors!$B:$B, $C87, Errors!$I:$I, T$1)</f>
        <v>0</v>
      </c>
      <c r="U87" s="309">
        <f>COUNTIFS(Errors!$B:$B, $C87, Errors!$I:$I, U$1)</f>
        <v>0</v>
      </c>
      <c r="V87" s="309">
        <f>COUNTIFS(Errors!$B:$B, $C87, Errors!$I:$I, V$1)</f>
        <v>0</v>
      </c>
      <c r="W87" s="309">
        <f>COUNTIFS(Errors!$B:$B, $C87, Errors!$I:$I, W$1)</f>
        <v>0</v>
      </c>
      <c r="X87" s="309">
        <f>COUNTIFS(Errors!$B:$B, $C87, Errors!$I:$I, X$1)</f>
        <v>0</v>
      </c>
    </row>
    <row r="88" ht="15.75" customHeight="1">
      <c r="A88" s="325">
        <v>0.0</v>
      </c>
      <c r="B88" s="293">
        <f>SourceData!K88</f>
        <v>1</v>
      </c>
      <c r="C88" s="294" t="str">
        <f>SourceData!J88</f>
        <v>Reiko Koga</v>
      </c>
      <c r="D88" s="295">
        <f>(COUNTIF(Errors!$B$3:$B$3010,'Error Count Analysis'!C88))-((COUNTIFS(Errors!$B$3:$B$3010,'Error Count Analysis'!C88, (Errors!$I$3:$I$3010),"TV*")))</f>
        <v>0</v>
      </c>
      <c r="E88" s="296">
        <f t="shared" si="1"/>
        <v>0</v>
      </c>
      <c r="F88" s="297">
        <f>COUNTIFS(Errors!$B:$B, $C88, Errors!$I:$I, F$1)</f>
        <v>0</v>
      </c>
      <c r="G88" s="298">
        <f>COUNTIFS(Errors!$B:$B, $C88, Errors!$I:$I, G$1)</f>
        <v>0</v>
      </c>
      <c r="H88" s="298">
        <f>COUNTIFS(Errors!$B:$B, $C88, Errors!$I:$I, H$1)</f>
        <v>0</v>
      </c>
      <c r="I88" s="298">
        <f>COUNTIFS(Errors!$B:$B, $C88, Errors!$I:$I, I$1)</f>
        <v>0</v>
      </c>
      <c r="J88" s="298">
        <f>COUNTIFS(Errors!$B:$B, $C88, Errors!$I:$I, J$1)</f>
        <v>0</v>
      </c>
      <c r="K88" s="298">
        <f>COUNTIFS(Errors!$B:$B, $C88, Errors!$I:$I, K$1)</f>
        <v>0</v>
      </c>
      <c r="L88" s="298">
        <f>COUNTIFS(Errors!$B:$B, $C88, Errors!$I:$I, L$1)</f>
        <v>0</v>
      </c>
      <c r="M88" s="298">
        <f>COUNTIFS(Errors!$B:$B, $C88, Errors!$I:$I, M$1)</f>
        <v>0</v>
      </c>
      <c r="N88" s="298">
        <f>COUNTIFS(Errors!$B:$B, $C88, Errors!$I:$I, N$1)</f>
        <v>0</v>
      </c>
      <c r="O88" s="299">
        <f>COUNTIFS(Errors!$B:$B, $C88, Errors!$I:$I, O$1)</f>
        <v>0</v>
      </c>
      <c r="P88" s="298">
        <f>COUNTIFS(Errors!$B:$B, $C88, Errors!$I:$I, P$1)</f>
        <v>0</v>
      </c>
      <c r="Q88" s="298">
        <f>COUNTIFS(Errors!$B:$B, $C88, Errors!$I:$I, Q$1)</f>
        <v>0</v>
      </c>
      <c r="R88" s="298">
        <f>COUNTIFS(Errors!$B:$B, $C88, Errors!$I:$I, R$1)</f>
        <v>0</v>
      </c>
      <c r="S88" s="298">
        <f>COUNTIFS(Errors!$B:$B, $C88, Errors!$I:$I, S$1)</f>
        <v>0</v>
      </c>
      <c r="T88" s="298">
        <f>COUNTIFS(Errors!$B:$B, $C88, Errors!$I:$I, T$1)</f>
        <v>0</v>
      </c>
      <c r="U88" s="298">
        <f>COUNTIFS(Errors!$B:$B, $C88, Errors!$I:$I, U$1)</f>
        <v>0</v>
      </c>
      <c r="V88" s="298">
        <f>COUNTIFS(Errors!$B:$B, $C88, Errors!$I:$I, V$1)</f>
        <v>0</v>
      </c>
      <c r="W88" s="298">
        <f>COUNTIFS(Errors!$B:$B, $C88, Errors!$I:$I, W$1)</f>
        <v>0</v>
      </c>
      <c r="X88" s="298">
        <f>COUNTIFS(Errors!$B:$B, $C88, Errors!$I:$I, X$1)</f>
        <v>0</v>
      </c>
    </row>
    <row r="89" ht="15.75" customHeight="1">
      <c r="A89" s="305">
        <v>0.0</v>
      </c>
      <c r="B89" s="304">
        <f>SourceData!K89</f>
        <v>1</v>
      </c>
      <c r="C89" s="305" t="str">
        <f>SourceData!J89</f>
        <v>Samantha Paulino Mansibang</v>
      </c>
      <c r="D89" s="306">
        <f>(COUNTIF(Errors!$B$3:$B$3010,'Error Count Analysis'!C89))-((COUNTIFS(Errors!$B$3:$B$3010,'Error Count Analysis'!C89, (Errors!$I$3:$I$3010),"TV*")))</f>
        <v>0</v>
      </c>
      <c r="E89" s="307">
        <f t="shared" si="1"/>
        <v>0</v>
      </c>
      <c r="F89" s="308">
        <f>COUNTIFS(Errors!$B:$B, $C89, Errors!$I:$I, F$1)</f>
        <v>0</v>
      </c>
      <c r="G89" s="309">
        <f>COUNTIFS(Errors!$B:$B, $C89, Errors!$I:$I, G$1)</f>
        <v>0</v>
      </c>
      <c r="H89" s="309">
        <f>COUNTIFS(Errors!$B:$B, $C89, Errors!$I:$I, H$1)</f>
        <v>0</v>
      </c>
      <c r="I89" s="309">
        <f>COUNTIFS(Errors!$B:$B, $C89, Errors!$I:$I, I$1)</f>
        <v>0</v>
      </c>
      <c r="J89" s="309">
        <f>COUNTIFS(Errors!$B:$B, $C89, Errors!$I:$I, J$1)</f>
        <v>0</v>
      </c>
      <c r="K89" s="309">
        <f>COUNTIFS(Errors!$B:$B, $C89, Errors!$I:$I, K$1)</f>
        <v>0</v>
      </c>
      <c r="L89" s="309">
        <f>COUNTIFS(Errors!$B:$B, $C89, Errors!$I:$I, L$1)</f>
        <v>0</v>
      </c>
      <c r="M89" s="309">
        <f>COUNTIFS(Errors!$B:$B, $C89, Errors!$I:$I, M$1)</f>
        <v>0</v>
      </c>
      <c r="N89" s="309">
        <f>COUNTIFS(Errors!$B:$B, $C89, Errors!$I:$I, N$1)</f>
        <v>0</v>
      </c>
      <c r="O89" s="310">
        <f>COUNTIFS(Errors!$B:$B, $C89, Errors!$I:$I, O$1)</f>
        <v>0</v>
      </c>
      <c r="P89" s="309">
        <f>COUNTIFS(Errors!$B:$B, $C89, Errors!$I:$I, P$1)</f>
        <v>0</v>
      </c>
      <c r="Q89" s="309">
        <f>COUNTIFS(Errors!$B:$B, $C89, Errors!$I:$I, Q$1)</f>
        <v>0</v>
      </c>
      <c r="R89" s="309">
        <f>COUNTIFS(Errors!$B:$B, $C89, Errors!$I:$I, R$1)</f>
        <v>0</v>
      </c>
      <c r="S89" s="309">
        <f>COUNTIFS(Errors!$B:$B, $C89, Errors!$I:$I, S$1)</f>
        <v>0</v>
      </c>
      <c r="T89" s="309">
        <f>COUNTIFS(Errors!$B:$B, $C89, Errors!$I:$I, T$1)</f>
        <v>0</v>
      </c>
      <c r="U89" s="309">
        <f>COUNTIFS(Errors!$B:$B, $C89, Errors!$I:$I, U$1)</f>
        <v>0</v>
      </c>
      <c r="V89" s="309">
        <f>COUNTIFS(Errors!$B:$B, $C89, Errors!$I:$I, V$1)</f>
        <v>0</v>
      </c>
      <c r="W89" s="309">
        <f>COUNTIFS(Errors!$B:$B, $C89, Errors!$I:$I, W$1)</f>
        <v>0</v>
      </c>
      <c r="X89" s="309">
        <f>COUNTIFS(Errors!$B:$B, $C89, Errors!$I:$I, X$1)</f>
        <v>0</v>
      </c>
    </row>
    <row r="90" ht="15.75" customHeight="1">
      <c r="A90" s="325">
        <v>0.0</v>
      </c>
      <c r="B90" s="293">
        <f>SourceData!K90</f>
        <v>1</v>
      </c>
      <c r="C90" s="294" t="str">
        <f>SourceData!J90</f>
        <v>Sanita Dolovac</v>
      </c>
      <c r="D90" s="295">
        <f>(COUNTIF(Errors!$B$3:$B$3010,'Error Count Analysis'!C90))-((COUNTIFS(Errors!$B$3:$B$3010,'Error Count Analysis'!C90, (Errors!$I$3:$I$3010),"TV*")))</f>
        <v>3</v>
      </c>
      <c r="E90" s="296">
        <f t="shared" si="1"/>
        <v>3</v>
      </c>
      <c r="F90" s="297">
        <f>COUNTIFS(Errors!$B:$B, $C90, Errors!$I:$I, F$1)</f>
        <v>0</v>
      </c>
      <c r="G90" s="298">
        <f>COUNTIFS(Errors!$B:$B, $C90, Errors!$I:$I, G$1)</f>
        <v>1</v>
      </c>
      <c r="H90" s="298">
        <f>COUNTIFS(Errors!$B:$B, $C90, Errors!$I:$I, H$1)</f>
        <v>0</v>
      </c>
      <c r="I90" s="298">
        <f>COUNTIFS(Errors!$B:$B, $C90, Errors!$I:$I, I$1)</f>
        <v>0</v>
      </c>
      <c r="J90" s="298">
        <f>COUNTIFS(Errors!$B:$B, $C90, Errors!$I:$I, J$1)</f>
        <v>0</v>
      </c>
      <c r="K90" s="298">
        <f>COUNTIFS(Errors!$B:$B, $C90, Errors!$I:$I, K$1)</f>
        <v>0</v>
      </c>
      <c r="L90" s="298">
        <f>COUNTIFS(Errors!$B:$B, $C90, Errors!$I:$I, L$1)</f>
        <v>0</v>
      </c>
      <c r="M90" s="298">
        <f>COUNTIFS(Errors!$B:$B, $C90, Errors!$I:$I, M$1)</f>
        <v>0</v>
      </c>
      <c r="N90" s="298">
        <f>COUNTIFS(Errors!$B:$B, $C90, Errors!$I:$I, N$1)</f>
        <v>0</v>
      </c>
      <c r="O90" s="299">
        <f>COUNTIFS(Errors!$B:$B, $C90, Errors!$I:$I, O$1)</f>
        <v>0</v>
      </c>
      <c r="P90" s="298">
        <f>COUNTIFS(Errors!$B:$B, $C90, Errors!$I:$I, P$1)</f>
        <v>1</v>
      </c>
      <c r="Q90" s="298">
        <f>COUNTIFS(Errors!$B:$B, $C90, Errors!$I:$I, Q$1)</f>
        <v>0</v>
      </c>
      <c r="R90" s="298">
        <f>COUNTIFS(Errors!$B:$B, $C90, Errors!$I:$I, R$1)</f>
        <v>0</v>
      </c>
      <c r="S90" s="298">
        <f>COUNTIFS(Errors!$B:$B, $C90, Errors!$I:$I, S$1)</f>
        <v>0</v>
      </c>
      <c r="T90" s="298">
        <f>COUNTIFS(Errors!$B:$B, $C90, Errors!$I:$I, T$1)</f>
        <v>0</v>
      </c>
      <c r="U90" s="298">
        <f>COUNTIFS(Errors!$B:$B, $C90, Errors!$I:$I, U$1)</f>
        <v>0</v>
      </c>
      <c r="V90" s="298">
        <f>COUNTIFS(Errors!$B:$B, $C90, Errors!$I:$I, V$1)</f>
        <v>1</v>
      </c>
      <c r="W90" s="298">
        <f>COUNTIFS(Errors!$B:$B, $C90, Errors!$I:$I, W$1)</f>
        <v>0</v>
      </c>
      <c r="X90" s="298">
        <f>COUNTIFS(Errors!$B:$B, $C90, Errors!$I:$I, X$1)</f>
        <v>0</v>
      </c>
    </row>
    <row r="91" ht="15.75" customHeight="1">
      <c r="A91" s="305">
        <v>0.0</v>
      </c>
      <c r="B91" s="304">
        <f>SourceData!K91</f>
        <v>1</v>
      </c>
      <c r="C91" s="305" t="str">
        <f>SourceData!J91</f>
        <v>Sergei Tatar</v>
      </c>
      <c r="D91" s="306">
        <f>(COUNTIF(Errors!$B$3:$B$3010,'Error Count Analysis'!C91))-((COUNTIFS(Errors!$B$3:$B$3010,'Error Count Analysis'!C91, (Errors!$I$3:$I$3010),"TV*")))</f>
        <v>1</v>
      </c>
      <c r="E91" s="307">
        <f t="shared" si="1"/>
        <v>1</v>
      </c>
      <c r="F91" s="308">
        <f>COUNTIFS(Errors!$B:$B, $C91, Errors!$I:$I, F$1)</f>
        <v>0</v>
      </c>
      <c r="G91" s="309">
        <f>COUNTIFS(Errors!$B:$B, $C91, Errors!$I:$I, G$1)</f>
        <v>0</v>
      </c>
      <c r="H91" s="309">
        <f>COUNTIFS(Errors!$B:$B, $C91, Errors!$I:$I, H$1)</f>
        <v>0</v>
      </c>
      <c r="I91" s="309">
        <f>COUNTIFS(Errors!$B:$B, $C91, Errors!$I:$I, I$1)</f>
        <v>0</v>
      </c>
      <c r="J91" s="309">
        <f>COUNTIFS(Errors!$B:$B, $C91, Errors!$I:$I, J$1)</f>
        <v>0</v>
      </c>
      <c r="K91" s="309">
        <f>COUNTIFS(Errors!$B:$B, $C91, Errors!$I:$I, K$1)</f>
        <v>0</v>
      </c>
      <c r="L91" s="309">
        <f>COUNTIFS(Errors!$B:$B, $C91, Errors!$I:$I, L$1)</f>
        <v>0</v>
      </c>
      <c r="M91" s="309">
        <f>COUNTIFS(Errors!$B:$B, $C91, Errors!$I:$I, M$1)</f>
        <v>0</v>
      </c>
      <c r="N91" s="309">
        <f>COUNTIFS(Errors!$B:$B, $C91, Errors!$I:$I, N$1)</f>
        <v>0</v>
      </c>
      <c r="O91" s="310">
        <f>COUNTIFS(Errors!$B:$B, $C91, Errors!$I:$I, O$1)</f>
        <v>0</v>
      </c>
      <c r="P91" s="309">
        <f>COUNTIFS(Errors!$B:$B, $C91, Errors!$I:$I, P$1)</f>
        <v>0</v>
      </c>
      <c r="Q91" s="309">
        <f>COUNTIFS(Errors!$B:$B, $C91, Errors!$I:$I, Q$1)</f>
        <v>0</v>
      </c>
      <c r="R91" s="309">
        <f>COUNTIFS(Errors!$B:$B, $C91, Errors!$I:$I, R$1)</f>
        <v>0</v>
      </c>
      <c r="S91" s="309">
        <f>COUNTIFS(Errors!$B:$B, $C91, Errors!$I:$I, S$1)</f>
        <v>0</v>
      </c>
      <c r="T91" s="309">
        <f>COUNTIFS(Errors!$B:$B, $C91, Errors!$I:$I, T$1)</f>
        <v>0</v>
      </c>
      <c r="U91" s="309">
        <f>COUNTIFS(Errors!$B:$B, $C91, Errors!$I:$I, U$1)</f>
        <v>0</v>
      </c>
      <c r="V91" s="309">
        <f>COUNTIFS(Errors!$B:$B, $C91, Errors!$I:$I, V$1)</f>
        <v>1</v>
      </c>
      <c r="W91" s="309">
        <f>COUNTIFS(Errors!$B:$B, $C91, Errors!$I:$I, W$1)</f>
        <v>0</v>
      </c>
      <c r="X91" s="309">
        <f>COUNTIFS(Errors!$B:$B, $C91, Errors!$I:$I, X$1)</f>
        <v>0</v>
      </c>
    </row>
    <row r="92" ht="15.75" customHeight="1">
      <c r="A92" s="325">
        <v>0.0</v>
      </c>
      <c r="B92" s="293">
        <f>SourceData!K92</f>
        <v>0.5</v>
      </c>
      <c r="C92" s="294" t="str">
        <f>SourceData!J92</f>
        <v>Sigmar Sten Kõiv</v>
      </c>
      <c r="D92" s="295">
        <f>(COUNTIF(Errors!$B$3:$B$3010,'Error Count Analysis'!C92))-((COUNTIFS(Errors!$B$3:$B$3010,'Error Count Analysis'!C92, (Errors!$I$3:$I$3010),"TV*")))</f>
        <v>0</v>
      </c>
      <c r="E92" s="296">
        <f t="shared" si="1"/>
        <v>0</v>
      </c>
      <c r="F92" s="297">
        <f>COUNTIFS(Errors!$B:$B, $C92, Errors!$I:$I, F$1)</f>
        <v>0</v>
      </c>
      <c r="G92" s="298">
        <f>COUNTIFS(Errors!$B:$B, $C92, Errors!$I:$I, G$1)</f>
        <v>0</v>
      </c>
      <c r="H92" s="298">
        <f>COUNTIFS(Errors!$B:$B, $C92, Errors!$I:$I, H$1)</f>
        <v>0</v>
      </c>
      <c r="I92" s="298">
        <f>COUNTIFS(Errors!$B:$B, $C92, Errors!$I:$I, I$1)</f>
        <v>0</v>
      </c>
      <c r="J92" s="298">
        <f>COUNTIFS(Errors!$B:$B, $C92, Errors!$I:$I, J$1)</f>
        <v>0</v>
      </c>
      <c r="K92" s="298">
        <f>COUNTIFS(Errors!$B:$B, $C92, Errors!$I:$I, K$1)</f>
        <v>0</v>
      </c>
      <c r="L92" s="298">
        <f>COUNTIFS(Errors!$B:$B, $C92, Errors!$I:$I, L$1)</f>
        <v>0</v>
      </c>
      <c r="M92" s="298">
        <f>COUNTIFS(Errors!$B:$B, $C92, Errors!$I:$I, M$1)</f>
        <v>0</v>
      </c>
      <c r="N92" s="298">
        <f>COUNTIFS(Errors!$B:$B, $C92, Errors!$I:$I, N$1)</f>
        <v>0</v>
      </c>
      <c r="O92" s="299">
        <f>COUNTIFS(Errors!$B:$B, $C92, Errors!$I:$I, O$1)</f>
        <v>0</v>
      </c>
      <c r="P92" s="298">
        <f>COUNTIFS(Errors!$B:$B, $C92, Errors!$I:$I, P$1)</f>
        <v>0</v>
      </c>
      <c r="Q92" s="298">
        <f>COUNTIFS(Errors!$B:$B, $C92, Errors!$I:$I, Q$1)</f>
        <v>0</v>
      </c>
      <c r="R92" s="298">
        <f>COUNTIFS(Errors!$B:$B, $C92, Errors!$I:$I, R$1)</f>
        <v>0</v>
      </c>
      <c r="S92" s="298">
        <f>COUNTIFS(Errors!$B:$B, $C92, Errors!$I:$I, S$1)</f>
        <v>0</v>
      </c>
      <c r="T92" s="298">
        <f>COUNTIFS(Errors!$B:$B, $C92, Errors!$I:$I, T$1)</f>
        <v>0</v>
      </c>
      <c r="U92" s="298">
        <f>COUNTIFS(Errors!$B:$B, $C92, Errors!$I:$I, U$1)</f>
        <v>0</v>
      </c>
      <c r="V92" s="298">
        <f>COUNTIFS(Errors!$B:$B, $C92, Errors!$I:$I, V$1)</f>
        <v>0</v>
      </c>
      <c r="W92" s="298">
        <f>COUNTIFS(Errors!$B:$B, $C92, Errors!$I:$I, W$1)</f>
        <v>0</v>
      </c>
      <c r="X92" s="298">
        <f>COUNTIFS(Errors!$B:$B, $C92, Errors!$I:$I, X$1)</f>
        <v>0</v>
      </c>
    </row>
    <row r="93" ht="15.75" customHeight="1">
      <c r="A93" s="305">
        <v>0.0</v>
      </c>
      <c r="B93" s="304">
        <f>SourceData!K93</f>
        <v>1</v>
      </c>
      <c r="C93" s="305" t="str">
        <f>SourceData!J93</f>
        <v>Sofja Barchan</v>
      </c>
      <c r="D93" s="306">
        <f>(COUNTIF(Errors!$B$3:$B$3010,'Error Count Analysis'!C93))-((COUNTIFS(Errors!$B$3:$B$3010,'Error Count Analysis'!C93, (Errors!$I$3:$I$3010),"TV*")))</f>
        <v>0</v>
      </c>
      <c r="E93" s="307">
        <f t="shared" si="1"/>
        <v>0</v>
      </c>
      <c r="F93" s="308">
        <f>COUNTIFS(Errors!$B:$B, $C93, Errors!$I:$I, F$1)</f>
        <v>0</v>
      </c>
      <c r="G93" s="309">
        <f>COUNTIFS(Errors!$B:$B, $C93, Errors!$I:$I, G$1)</f>
        <v>0</v>
      </c>
      <c r="H93" s="309">
        <f>COUNTIFS(Errors!$B:$B, $C93, Errors!$I:$I, H$1)</f>
        <v>0</v>
      </c>
      <c r="I93" s="309">
        <f>COUNTIFS(Errors!$B:$B, $C93, Errors!$I:$I, I$1)</f>
        <v>0</v>
      </c>
      <c r="J93" s="309">
        <f>COUNTIFS(Errors!$B:$B, $C93, Errors!$I:$I, J$1)</f>
        <v>0</v>
      </c>
      <c r="K93" s="309">
        <f>COUNTIFS(Errors!$B:$B, $C93, Errors!$I:$I, K$1)</f>
        <v>0</v>
      </c>
      <c r="L93" s="309">
        <f>COUNTIFS(Errors!$B:$B, $C93, Errors!$I:$I, L$1)</f>
        <v>0</v>
      </c>
      <c r="M93" s="309">
        <f>COUNTIFS(Errors!$B:$B, $C93, Errors!$I:$I, M$1)</f>
        <v>0</v>
      </c>
      <c r="N93" s="309">
        <f>COUNTIFS(Errors!$B:$B, $C93, Errors!$I:$I, N$1)</f>
        <v>0</v>
      </c>
      <c r="O93" s="310">
        <f>COUNTIFS(Errors!$B:$B, $C93, Errors!$I:$I, O$1)</f>
        <v>0</v>
      </c>
      <c r="P93" s="309">
        <f>COUNTIFS(Errors!$B:$B, $C93, Errors!$I:$I, P$1)</f>
        <v>0</v>
      </c>
      <c r="Q93" s="309">
        <f>COUNTIFS(Errors!$B:$B, $C93, Errors!$I:$I, Q$1)</f>
        <v>0</v>
      </c>
      <c r="R93" s="309">
        <f>COUNTIFS(Errors!$B:$B, $C93, Errors!$I:$I, R$1)</f>
        <v>0</v>
      </c>
      <c r="S93" s="309">
        <f>COUNTIFS(Errors!$B:$B, $C93, Errors!$I:$I, S$1)</f>
        <v>0</v>
      </c>
      <c r="T93" s="309">
        <f>COUNTIFS(Errors!$B:$B, $C93, Errors!$I:$I, T$1)</f>
        <v>0</v>
      </c>
      <c r="U93" s="309">
        <f>COUNTIFS(Errors!$B:$B, $C93, Errors!$I:$I, U$1)</f>
        <v>0</v>
      </c>
      <c r="V93" s="309">
        <f>COUNTIFS(Errors!$B:$B, $C93, Errors!$I:$I, V$1)</f>
        <v>0</v>
      </c>
      <c r="W93" s="309">
        <f>COUNTIFS(Errors!$B:$B, $C93, Errors!$I:$I, W$1)</f>
        <v>0</v>
      </c>
      <c r="X93" s="309">
        <f>COUNTIFS(Errors!$B:$B, $C93, Errors!$I:$I, X$1)</f>
        <v>0</v>
      </c>
    </row>
    <row r="94" ht="15.75" customHeight="1">
      <c r="A94" s="325">
        <v>0.0</v>
      </c>
      <c r="B94" s="293">
        <f>SourceData!K94</f>
        <v>1</v>
      </c>
      <c r="C94" s="294" t="str">
        <f>SourceData!J94</f>
        <v>Taeeun Park</v>
      </c>
      <c r="D94" s="295">
        <f>(COUNTIF(Errors!$B$3:$B$3010,'Error Count Analysis'!C94))-((COUNTIFS(Errors!$B$3:$B$3010,'Error Count Analysis'!C94, (Errors!$I$3:$I$3010),"TV*")))</f>
        <v>0</v>
      </c>
      <c r="E94" s="296">
        <f t="shared" si="1"/>
        <v>0</v>
      </c>
      <c r="F94" s="297">
        <f>COUNTIFS(Errors!$B:$B, $C94, Errors!$I:$I, F$1)</f>
        <v>0</v>
      </c>
      <c r="G94" s="298">
        <f>COUNTIFS(Errors!$B:$B, $C94, Errors!$I:$I, G$1)</f>
        <v>0</v>
      </c>
      <c r="H94" s="298">
        <f>COUNTIFS(Errors!$B:$B, $C94, Errors!$I:$I, H$1)</f>
        <v>0</v>
      </c>
      <c r="I94" s="298">
        <f>COUNTIFS(Errors!$B:$B, $C94, Errors!$I:$I, I$1)</f>
        <v>0</v>
      </c>
      <c r="J94" s="298">
        <f>COUNTIFS(Errors!$B:$B, $C94, Errors!$I:$I, J$1)</f>
        <v>0</v>
      </c>
      <c r="K94" s="298">
        <f>COUNTIFS(Errors!$B:$B, $C94, Errors!$I:$I, K$1)</f>
        <v>0</v>
      </c>
      <c r="L94" s="298">
        <f>COUNTIFS(Errors!$B:$B, $C94, Errors!$I:$I, L$1)</f>
        <v>0</v>
      </c>
      <c r="M94" s="298">
        <f>COUNTIFS(Errors!$B:$B, $C94, Errors!$I:$I, M$1)</f>
        <v>0</v>
      </c>
      <c r="N94" s="298">
        <f>COUNTIFS(Errors!$B:$B, $C94, Errors!$I:$I, N$1)</f>
        <v>0</v>
      </c>
      <c r="O94" s="299">
        <f>COUNTIFS(Errors!$B:$B, $C94, Errors!$I:$I, O$1)</f>
        <v>0</v>
      </c>
      <c r="P94" s="298">
        <f>COUNTIFS(Errors!$B:$B, $C94, Errors!$I:$I, P$1)</f>
        <v>0</v>
      </c>
      <c r="Q94" s="298">
        <f>COUNTIFS(Errors!$B:$B, $C94, Errors!$I:$I, Q$1)</f>
        <v>0</v>
      </c>
      <c r="R94" s="298">
        <f>COUNTIFS(Errors!$B:$B, $C94, Errors!$I:$I, R$1)</f>
        <v>0</v>
      </c>
      <c r="S94" s="298">
        <f>COUNTIFS(Errors!$B:$B, $C94, Errors!$I:$I, S$1)</f>
        <v>0</v>
      </c>
      <c r="T94" s="298">
        <f>COUNTIFS(Errors!$B:$B, $C94, Errors!$I:$I, T$1)</f>
        <v>0</v>
      </c>
      <c r="U94" s="298">
        <f>COUNTIFS(Errors!$B:$B, $C94, Errors!$I:$I, U$1)</f>
        <v>0</v>
      </c>
      <c r="V94" s="298">
        <f>COUNTIFS(Errors!$B:$B, $C94, Errors!$I:$I, V$1)</f>
        <v>0</v>
      </c>
      <c r="W94" s="298">
        <f>COUNTIFS(Errors!$B:$B, $C94, Errors!$I:$I, W$1)</f>
        <v>0</v>
      </c>
      <c r="X94" s="298">
        <f>COUNTIFS(Errors!$B:$B, $C94, Errors!$I:$I, X$1)</f>
        <v>0</v>
      </c>
    </row>
    <row r="95" ht="15.75" customHeight="1">
      <c r="A95" s="305">
        <v>0.0</v>
      </c>
      <c r="B95" s="304">
        <f>SourceData!K95</f>
        <v>0.75</v>
      </c>
      <c r="C95" s="305" t="str">
        <f>SourceData!J95</f>
        <v>Tetiana Blyshchyk</v>
      </c>
      <c r="D95" s="306">
        <f>(COUNTIF(Errors!$B$3:$B$3010,'Error Count Analysis'!C95))-((COUNTIFS(Errors!$B$3:$B$3010,'Error Count Analysis'!C95, (Errors!$I$3:$I$3010),"TV*")))</f>
        <v>0</v>
      </c>
      <c r="E95" s="307">
        <f t="shared" si="1"/>
        <v>0</v>
      </c>
      <c r="F95" s="308">
        <f>COUNTIFS(Errors!$B:$B, $C95, Errors!$I:$I, F$1)</f>
        <v>0</v>
      </c>
      <c r="G95" s="309">
        <f>COUNTIFS(Errors!$B:$B, $C95, Errors!$I:$I, G$1)</f>
        <v>0</v>
      </c>
      <c r="H95" s="309">
        <f>COUNTIFS(Errors!$B:$B, $C95, Errors!$I:$I, H$1)</f>
        <v>0</v>
      </c>
      <c r="I95" s="309">
        <f>COUNTIFS(Errors!$B:$B, $C95, Errors!$I:$I, I$1)</f>
        <v>0</v>
      </c>
      <c r="J95" s="309">
        <f>COUNTIFS(Errors!$B:$B, $C95, Errors!$I:$I, J$1)</f>
        <v>0</v>
      </c>
      <c r="K95" s="309">
        <f>COUNTIFS(Errors!$B:$B, $C95, Errors!$I:$I, K$1)</f>
        <v>0</v>
      </c>
      <c r="L95" s="309">
        <f>COUNTIFS(Errors!$B:$B, $C95, Errors!$I:$I, L$1)</f>
        <v>0</v>
      </c>
      <c r="M95" s="309">
        <f>COUNTIFS(Errors!$B:$B, $C95, Errors!$I:$I, M$1)</f>
        <v>0</v>
      </c>
      <c r="N95" s="309">
        <f>COUNTIFS(Errors!$B:$B, $C95, Errors!$I:$I, N$1)</f>
        <v>0</v>
      </c>
      <c r="O95" s="310">
        <f>COUNTIFS(Errors!$B:$B, $C95, Errors!$I:$I, O$1)</f>
        <v>0</v>
      </c>
      <c r="P95" s="309">
        <f>COUNTIFS(Errors!$B:$B, $C95, Errors!$I:$I, P$1)</f>
        <v>0</v>
      </c>
      <c r="Q95" s="309">
        <f>COUNTIFS(Errors!$B:$B, $C95, Errors!$I:$I, Q$1)</f>
        <v>0</v>
      </c>
      <c r="R95" s="309">
        <f>COUNTIFS(Errors!$B:$B, $C95, Errors!$I:$I, R$1)</f>
        <v>0</v>
      </c>
      <c r="S95" s="309">
        <f>COUNTIFS(Errors!$B:$B, $C95, Errors!$I:$I, S$1)</f>
        <v>0</v>
      </c>
      <c r="T95" s="309">
        <f>COUNTIFS(Errors!$B:$B, $C95, Errors!$I:$I, T$1)</f>
        <v>0</v>
      </c>
      <c r="U95" s="309">
        <f>COUNTIFS(Errors!$B:$B, $C95, Errors!$I:$I, U$1)</f>
        <v>0</v>
      </c>
      <c r="V95" s="309">
        <f>COUNTIFS(Errors!$B:$B, $C95, Errors!$I:$I, V$1)</f>
        <v>0</v>
      </c>
      <c r="W95" s="309">
        <f>COUNTIFS(Errors!$B:$B, $C95, Errors!$I:$I, W$1)</f>
        <v>0</v>
      </c>
      <c r="X95" s="309">
        <f>COUNTIFS(Errors!$B:$B, $C95, Errors!$I:$I, X$1)</f>
        <v>0</v>
      </c>
    </row>
    <row r="96" ht="15.75" customHeight="1">
      <c r="A96" s="325">
        <v>0.0</v>
      </c>
      <c r="B96" s="293">
        <f>SourceData!K96</f>
        <v>1</v>
      </c>
      <c r="C96" s="294" t="str">
        <f>SourceData!J96</f>
        <v>Viktoria Kulik</v>
      </c>
      <c r="D96" s="295">
        <f>(COUNTIF(Errors!$B$3:$B$3010,'Error Count Analysis'!C96))-((COUNTIFS(Errors!$B$3:$B$3010,'Error Count Analysis'!C96, (Errors!$I$3:$I$3010),"TV*")))</f>
        <v>0</v>
      </c>
      <c r="E96" s="296">
        <f t="shared" si="1"/>
        <v>0</v>
      </c>
      <c r="F96" s="297">
        <f>COUNTIFS(Errors!$B:$B, $C96, Errors!$I:$I, F$1)</f>
        <v>0</v>
      </c>
      <c r="G96" s="298">
        <f>COUNTIFS(Errors!$B:$B, $C96, Errors!$I:$I, G$1)</f>
        <v>0</v>
      </c>
      <c r="H96" s="298">
        <f>COUNTIFS(Errors!$B:$B, $C96, Errors!$I:$I, H$1)</f>
        <v>0</v>
      </c>
      <c r="I96" s="298">
        <f>COUNTIFS(Errors!$B:$B, $C96, Errors!$I:$I, I$1)</f>
        <v>0</v>
      </c>
      <c r="J96" s="298">
        <f>COUNTIFS(Errors!$B:$B, $C96, Errors!$I:$I, J$1)</f>
        <v>0</v>
      </c>
      <c r="K96" s="298">
        <f>COUNTIFS(Errors!$B:$B, $C96, Errors!$I:$I, K$1)</f>
        <v>0</v>
      </c>
      <c r="L96" s="298">
        <f>COUNTIFS(Errors!$B:$B, $C96, Errors!$I:$I, L$1)</f>
        <v>0</v>
      </c>
      <c r="M96" s="298">
        <f>COUNTIFS(Errors!$B:$B, $C96, Errors!$I:$I, M$1)</f>
        <v>0</v>
      </c>
      <c r="N96" s="298">
        <f>COUNTIFS(Errors!$B:$B, $C96, Errors!$I:$I, N$1)</f>
        <v>0</v>
      </c>
      <c r="O96" s="299">
        <f>COUNTIFS(Errors!$B:$B, $C96, Errors!$I:$I, O$1)</f>
        <v>0</v>
      </c>
      <c r="P96" s="298">
        <f>COUNTIFS(Errors!$B:$B, $C96, Errors!$I:$I, P$1)</f>
        <v>0</v>
      </c>
      <c r="Q96" s="298">
        <f>COUNTIFS(Errors!$B:$B, $C96, Errors!$I:$I, Q$1)</f>
        <v>0</v>
      </c>
      <c r="R96" s="298">
        <f>COUNTIFS(Errors!$B:$B, $C96, Errors!$I:$I, R$1)</f>
        <v>0</v>
      </c>
      <c r="S96" s="298">
        <f>COUNTIFS(Errors!$B:$B, $C96, Errors!$I:$I, S$1)</f>
        <v>0</v>
      </c>
      <c r="T96" s="298">
        <f>COUNTIFS(Errors!$B:$B, $C96, Errors!$I:$I, T$1)</f>
        <v>0</v>
      </c>
      <c r="U96" s="298">
        <f>COUNTIFS(Errors!$B:$B, $C96, Errors!$I:$I, U$1)</f>
        <v>0</v>
      </c>
      <c r="V96" s="298">
        <f>COUNTIFS(Errors!$B:$B, $C96, Errors!$I:$I, V$1)</f>
        <v>0</v>
      </c>
      <c r="W96" s="298">
        <f>COUNTIFS(Errors!$B:$B, $C96, Errors!$I:$I, W$1)</f>
        <v>0</v>
      </c>
      <c r="X96" s="298">
        <f>COUNTIFS(Errors!$B:$B, $C96, Errors!$I:$I, X$1)</f>
        <v>0</v>
      </c>
    </row>
    <row r="97" ht="15.75" customHeight="1">
      <c r="A97" s="305">
        <v>0.0</v>
      </c>
      <c r="B97" s="304">
        <f>SourceData!K97</f>
        <v>1</v>
      </c>
      <c r="C97" s="305" t="str">
        <f>SourceData!J97</f>
        <v>Viktoriia Marchenko</v>
      </c>
      <c r="D97" s="306">
        <f>(COUNTIF(Errors!$B$3:$B$3010,'Error Count Analysis'!C97))-((COUNTIFS(Errors!$B$3:$B$3010,'Error Count Analysis'!C97, (Errors!$I$3:$I$3010),"TV*")))</f>
        <v>0</v>
      </c>
      <c r="E97" s="307">
        <f t="shared" si="1"/>
        <v>0</v>
      </c>
      <c r="F97" s="308">
        <f>COUNTIFS(Errors!$B:$B, $C97, Errors!$I:$I, F$1)</f>
        <v>0</v>
      </c>
      <c r="G97" s="309">
        <f>COUNTIFS(Errors!$B:$B, $C97, Errors!$I:$I, G$1)</f>
        <v>0</v>
      </c>
      <c r="H97" s="309">
        <f>COUNTIFS(Errors!$B:$B, $C97, Errors!$I:$I, H$1)</f>
        <v>0</v>
      </c>
      <c r="I97" s="309">
        <f>COUNTIFS(Errors!$B:$B, $C97, Errors!$I:$I, I$1)</f>
        <v>0</v>
      </c>
      <c r="J97" s="309">
        <f>COUNTIFS(Errors!$B:$B, $C97, Errors!$I:$I, J$1)</f>
        <v>0</v>
      </c>
      <c r="K97" s="309">
        <f>COUNTIFS(Errors!$B:$B, $C97, Errors!$I:$I, K$1)</f>
        <v>0</v>
      </c>
      <c r="L97" s="309">
        <f>COUNTIFS(Errors!$B:$B, $C97, Errors!$I:$I, L$1)</f>
        <v>0</v>
      </c>
      <c r="M97" s="309">
        <f>COUNTIFS(Errors!$B:$B, $C97, Errors!$I:$I, M$1)</f>
        <v>0</v>
      </c>
      <c r="N97" s="309">
        <f>COUNTIFS(Errors!$B:$B, $C97, Errors!$I:$I, N$1)</f>
        <v>0</v>
      </c>
      <c r="O97" s="310">
        <f>COUNTIFS(Errors!$B:$B, $C97, Errors!$I:$I, O$1)</f>
        <v>0</v>
      </c>
      <c r="P97" s="309">
        <f>COUNTIFS(Errors!$B:$B, $C97, Errors!$I:$I, P$1)</f>
        <v>0</v>
      </c>
      <c r="Q97" s="309">
        <f>COUNTIFS(Errors!$B:$B, $C97, Errors!$I:$I, Q$1)</f>
        <v>0</v>
      </c>
      <c r="R97" s="309">
        <f>COUNTIFS(Errors!$B:$B, $C97, Errors!$I:$I, R$1)</f>
        <v>0</v>
      </c>
      <c r="S97" s="309">
        <f>COUNTIFS(Errors!$B:$B, $C97, Errors!$I:$I, S$1)</f>
        <v>0</v>
      </c>
      <c r="T97" s="309">
        <f>COUNTIFS(Errors!$B:$B, $C97, Errors!$I:$I, T$1)</f>
        <v>0</v>
      </c>
      <c r="U97" s="309">
        <f>COUNTIFS(Errors!$B:$B, $C97, Errors!$I:$I, U$1)</f>
        <v>0</v>
      </c>
      <c r="V97" s="309">
        <f>COUNTIFS(Errors!$B:$B, $C97, Errors!$I:$I, V$1)</f>
        <v>0</v>
      </c>
      <c r="W97" s="309">
        <f>COUNTIFS(Errors!$B:$B, $C97, Errors!$I:$I, W$1)</f>
        <v>0</v>
      </c>
      <c r="X97" s="309">
        <f>COUNTIFS(Errors!$B:$B, $C97, Errors!$I:$I, X$1)</f>
        <v>0</v>
      </c>
    </row>
    <row r="98" ht="15.75" customHeight="1">
      <c r="A98" s="325">
        <v>0.0</v>
      </c>
      <c r="B98" s="293">
        <f>SourceData!K98</f>
        <v>1</v>
      </c>
      <c r="C98" s="294" t="str">
        <f>SourceData!J98</f>
        <v>Virginia Niitmets</v>
      </c>
      <c r="D98" s="295">
        <f>(COUNTIF(Errors!$B$3:$B$3010,'Error Count Analysis'!C98))-((COUNTIFS(Errors!$B$3:$B$3010,'Error Count Analysis'!C98, (Errors!$I$3:$I$3010),"TV*")))</f>
        <v>0</v>
      </c>
      <c r="E98" s="296">
        <f t="shared" si="1"/>
        <v>0</v>
      </c>
      <c r="F98" s="297">
        <f>COUNTIFS(Errors!$B:$B, $C98, Errors!$I:$I, F$1)</f>
        <v>0</v>
      </c>
      <c r="G98" s="298">
        <f>COUNTIFS(Errors!$B:$B, $C98, Errors!$I:$I, G$1)</f>
        <v>0</v>
      </c>
      <c r="H98" s="298">
        <f>COUNTIFS(Errors!$B:$B, $C98, Errors!$I:$I, H$1)</f>
        <v>0</v>
      </c>
      <c r="I98" s="298">
        <f>COUNTIFS(Errors!$B:$B, $C98, Errors!$I:$I, I$1)</f>
        <v>0</v>
      </c>
      <c r="J98" s="298">
        <f>COUNTIFS(Errors!$B:$B, $C98, Errors!$I:$I, J$1)</f>
        <v>0</v>
      </c>
      <c r="K98" s="298">
        <f>COUNTIFS(Errors!$B:$B, $C98, Errors!$I:$I, K$1)</f>
        <v>0</v>
      </c>
      <c r="L98" s="298">
        <f>COUNTIFS(Errors!$B:$B, $C98, Errors!$I:$I, L$1)</f>
        <v>0</v>
      </c>
      <c r="M98" s="298">
        <f>COUNTIFS(Errors!$B:$B, $C98, Errors!$I:$I, M$1)</f>
        <v>0</v>
      </c>
      <c r="N98" s="298">
        <f>COUNTIFS(Errors!$B:$B, $C98, Errors!$I:$I, N$1)</f>
        <v>0</v>
      </c>
      <c r="O98" s="299">
        <f>COUNTIFS(Errors!$B:$B, $C98, Errors!$I:$I, O$1)</f>
        <v>0</v>
      </c>
      <c r="P98" s="298">
        <f>COUNTIFS(Errors!$B:$B, $C98, Errors!$I:$I, P$1)</f>
        <v>0</v>
      </c>
      <c r="Q98" s="298">
        <f>COUNTIFS(Errors!$B:$B, $C98, Errors!$I:$I, Q$1)</f>
        <v>0</v>
      </c>
      <c r="R98" s="298">
        <f>COUNTIFS(Errors!$B:$B, $C98, Errors!$I:$I, R$1)</f>
        <v>0</v>
      </c>
      <c r="S98" s="298">
        <f>COUNTIFS(Errors!$B:$B, $C98, Errors!$I:$I, S$1)</f>
        <v>0</v>
      </c>
      <c r="T98" s="298">
        <f>COUNTIFS(Errors!$B:$B, $C98, Errors!$I:$I, T$1)</f>
        <v>0</v>
      </c>
      <c r="U98" s="298">
        <f>COUNTIFS(Errors!$B:$B, $C98, Errors!$I:$I, U$1)</f>
        <v>0</v>
      </c>
      <c r="V98" s="298">
        <f>COUNTIFS(Errors!$B:$B, $C98, Errors!$I:$I, V$1)</f>
        <v>0</v>
      </c>
      <c r="W98" s="298">
        <f>COUNTIFS(Errors!$B:$B, $C98, Errors!$I:$I, W$1)</f>
        <v>0</v>
      </c>
      <c r="X98" s="298">
        <f>COUNTIFS(Errors!$B:$B, $C98, Errors!$I:$I, X$1)</f>
        <v>0</v>
      </c>
    </row>
    <row r="99" ht="15.75" customHeight="1">
      <c r="A99" s="305">
        <v>0.0</v>
      </c>
      <c r="B99" s="304">
        <f>SourceData!K99</f>
        <v>1</v>
      </c>
      <c r="C99" s="305" t="str">
        <f>SourceData!J99</f>
        <v>Vitaly Bayushkin</v>
      </c>
      <c r="D99" s="306">
        <f>(COUNTIF(Errors!$B$3:$B$3010,'Error Count Analysis'!C99))-((COUNTIFS(Errors!$B$3:$B$3010,'Error Count Analysis'!C99, (Errors!$I$3:$I$3010),"TV*")))</f>
        <v>1</v>
      </c>
      <c r="E99" s="307">
        <f t="shared" si="1"/>
        <v>1</v>
      </c>
      <c r="F99" s="308">
        <f>COUNTIFS(Errors!$B:$B, $C99, Errors!$I:$I, F$1)</f>
        <v>0</v>
      </c>
      <c r="G99" s="309">
        <f>COUNTIFS(Errors!$B:$B, $C99, Errors!$I:$I, G$1)</f>
        <v>1</v>
      </c>
      <c r="H99" s="309">
        <f>COUNTIFS(Errors!$B:$B, $C99, Errors!$I:$I, H$1)</f>
        <v>0</v>
      </c>
      <c r="I99" s="309">
        <f>COUNTIFS(Errors!$B:$B, $C99, Errors!$I:$I, I$1)</f>
        <v>0</v>
      </c>
      <c r="J99" s="309">
        <f>COUNTIFS(Errors!$B:$B, $C99, Errors!$I:$I, J$1)</f>
        <v>0</v>
      </c>
      <c r="K99" s="309">
        <f>COUNTIFS(Errors!$B:$B, $C99, Errors!$I:$I, K$1)</f>
        <v>0</v>
      </c>
      <c r="L99" s="309">
        <f>COUNTIFS(Errors!$B:$B, $C99, Errors!$I:$I, L$1)</f>
        <v>0</v>
      </c>
      <c r="M99" s="309">
        <f>COUNTIFS(Errors!$B:$B, $C99, Errors!$I:$I, M$1)</f>
        <v>0</v>
      </c>
      <c r="N99" s="309">
        <f>COUNTIFS(Errors!$B:$B, $C99, Errors!$I:$I, N$1)</f>
        <v>0</v>
      </c>
      <c r="O99" s="310">
        <f>COUNTIFS(Errors!$B:$B, $C99, Errors!$I:$I, O$1)</f>
        <v>0</v>
      </c>
      <c r="P99" s="309">
        <f>COUNTIFS(Errors!$B:$B, $C99, Errors!$I:$I, P$1)</f>
        <v>0</v>
      </c>
      <c r="Q99" s="309">
        <f>COUNTIFS(Errors!$B:$B, $C99, Errors!$I:$I, Q$1)</f>
        <v>0</v>
      </c>
      <c r="R99" s="309">
        <f>COUNTIFS(Errors!$B:$B, $C99, Errors!$I:$I, R$1)</f>
        <v>0</v>
      </c>
      <c r="S99" s="309">
        <f>COUNTIFS(Errors!$B:$B, $C99, Errors!$I:$I, S$1)</f>
        <v>0</v>
      </c>
      <c r="T99" s="309">
        <f>COUNTIFS(Errors!$B:$B, $C99, Errors!$I:$I, T$1)</f>
        <v>0</v>
      </c>
      <c r="U99" s="309">
        <f>COUNTIFS(Errors!$B:$B, $C99, Errors!$I:$I, U$1)</f>
        <v>0</v>
      </c>
      <c r="V99" s="309">
        <f>COUNTIFS(Errors!$B:$B, $C99, Errors!$I:$I, V$1)</f>
        <v>0</v>
      </c>
      <c r="W99" s="309">
        <f>COUNTIFS(Errors!$B:$B, $C99, Errors!$I:$I, W$1)</f>
        <v>0</v>
      </c>
      <c r="X99" s="309">
        <f>COUNTIFS(Errors!$B:$B, $C99, Errors!$I:$I, X$1)</f>
        <v>0</v>
      </c>
    </row>
    <row r="100" ht="15.75" customHeight="1">
      <c r="A100" s="325">
        <v>0.0</v>
      </c>
      <c r="B100" s="293">
        <f>SourceData!K100</f>
        <v>0.75</v>
      </c>
      <c r="C100" s="294" t="str">
        <f>SourceData!J100</f>
        <v>Vladimir Lukašov</v>
      </c>
      <c r="D100" s="295">
        <f>(COUNTIF(Errors!$B$3:$B$3010,'Error Count Analysis'!C100))-((COUNTIFS(Errors!$B$3:$B$3010,'Error Count Analysis'!C100, (Errors!$I$3:$I$3010),"TV*")))</f>
        <v>0</v>
      </c>
      <c r="E100" s="296">
        <f t="shared" si="1"/>
        <v>0</v>
      </c>
      <c r="F100" s="297">
        <f>COUNTIFS(Errors!$B:$B, $C100, Errors!$I:$I, F$1)</f>
        <v>0</v>
      </c>
      <c r="G100" s="298">
        <f>COUNTIFS(Errors!$B:$B, $C100, Errors!$I:$I, G$1)</f>
        <v>0</v>
      </c>
      <c r="H100" s="298">
        <f>COUNTIFS(Errors!$B:$B, $C100, Errors!$I:$I, H$1)</f>
        <v>0</v>
      </c>
      <c r="I100" s="298">
        <f>COUNTIFS(Errors!$B:$B, $C100, Errors!$I:$I, I$1)</f>
        <v>0</v>
      </c>
      <c r="J100" s="298">
        <f>COUNTIFS(Errors!$B:$B, $C100, Errors!$I:$I, J$1)</f>
        <v>0</v>
      </c>
      <c r="K100" s="298">
        <f>COUNTIFS(Errors!$B:$B, $C100, Errors!$I:$I, K$1)</f>
        <v>0</v>
      </c>
      <c r="L100" s="298">
        <f>COUNTIFS(Errors!$B:$B, $C100, Errors!$I:$I, L$1)</f>
        <v>0</v>
      </c>
      <c r="M100" s="298">
        <f>COUNTIFS(Errors!$B:$B, $C100, Errors!$I:$I, M$1)</f>
        <v>0</v>
      </c>
      <c r="N100" s="298">
        <f>COUNTIFS(Errors!$B:$B, $C100, Errors!$I:$I, N$1)</f>
        <v>0</v>
      </c>
      <c r="O100" s="299">
        <f>COUNTIFS(Errors!$B:$B, $C100, Errors!$I:$I, O$1)</f>
        <v>0</v>
      </c>
      <c r="P100" s="298">
        <f>COUNTIFS(Errors!$B:$B, $C100, Errors!$I:$I, P$1)</f>
        <v>0</v>
      </c>
      <c r="Q100" s="298">
        <f>COUNTIFS(Errors!$B:$B, $C100, Errors!$I:$I, Q$1)</f>
        <v>0</v>
      </c>
      <c r="R100" s="298">
        <f>COUNTIFS(Errors!$B:$B, $C100, Errors!$I:$I, R$1)</f>
        <v>0</v>
      </c>
      <c r="S100" s="298">
        <f>COUNTIFS(Errors!$B:$B, $C100, Errors!$I:$I, S$1)</f>
        <v>0</v>
      </c>
      <c r="T100" s="298">
        <f>COUNTIFS(Errors!$B:$B, $C100, Errors!$I:$I, T$1)</f>
        <v>0</v>
      </c>
      <c r="U100" s="298">
        <f>COUNTIFS(Errors!$B:$B, $C100, Errors!$I:$I, U$1)</f>
        <v>0</v>
      </c>
      <c r="V100" s="298">
        <f>COUNTIFS(Errors!$B:$B, $C100, Errors!$I:$I, V$1)</f>
        <v>0</v>
      </c>
      <c r="W100" s="298">
        <f>COUNTIFS(Errors!$B:$B, $C100, Errors!$I:$I, W$1)</f>
        <v>0</v>
      </c>
      <c r="X100" s="298">
        <f>COUNTIFS(Errors!$B:$B, $C100, Errors!$I:$I, X$1)</f>
        <v>0</v>
      </c>
    </row>
    <row r="101" ht="15.75" customHeight="1">
      <c r="A101" s="305">
        <v>0.0</v>
      </c>
      <c r="B101" s="304">
        <f>SourceData!K101</f>
        <v>0.75</v>
      </c>
      <c r="C101" s="305" t="str">
        <f>SourceData!J101</f>
        <v>Vladimir Petrov</v>
      </c>
      <c r="D101" s="306">
        <f>(COUNTIF(Errors!$B$3:$B$3010,'Error Count Analysis'!C101))-((COUNTIFS(Errors!$B$3:$B$3010,'Error Count Analysis'!C101, (Errors!$I$3:$I$3010),"TV*")))</f>
        <v>2</v>
      </c>
      <c r="E101" s="307">
        <f t="shared" si="1"/>
        <v>2.666666667</v>
      </c>
      <c r="F101" s="308">
        <f>COUNTIFS(Errors!$B:$B, $C101, Errors!$I:$I, F$1)</f>
        <v>0</v>
      </c>
      <c r="G101" s="309">
        <f>COUNTIFS(Errors!$B:$B, $C101, Errors!$I:$I, G$1)</f>
        <v>0</v>
      </c>
      <c r="H101" s="309">
        <f>COUNTIFS(Errors!$B:$B, $C101, Errors!$I:$I, H$1)</f>
        <v>0</v>
      </c>
      <c r="I101" s="309">
        <f>COUNTIFS(Errors!$B:$B, $C101, Errors!$I:$I, I$1)</f>
        <v>0</v>
      </c>
      <c r="J101" s="309">
        <f>COUNTIFS(Errors!$B:$B, $C101, Errors!$I:$I, J$1)</f>
        <v>0</v>
      </c>
      <c r="K101" s="309">
        <f>COUNTIFS(Errors!$B:$B, $C101, Errors!$I:$I, K$1)</f>
        <v>0</v>
      </c>
      <c r="L101" s="309">
        <f>COUNTIFS(Errors!$B:$B, $C101, Errors!$I:$I, L$1)</f>
        <v>0</v>
      </c>
      <c r="M101" s="309">
        <f>COUNTIFS(Errors!$B:$B, $C101, Errors!$I:$I, M$1)</f>
        <v>0</v>
      </c>
      <c r="N101" s="309">
        <f>COUNTIFS(Errors!$B:$B, $C101, Errors!$I:$I, N$1)</f>
        <v>0</v>
      </c>
      <c r="O101" s="310">
        <f>COUNTIFS(Errors!$B:$B, $C101, Errors!$I:$I, O$1)</f>
        <v>0</v>
      </c>
      <c r="P101" s="309">
        <f>COUNTIFS(Errors!$B:$B, $C101, Errors!$I:$I, P$1)</f>
        <v>0</v>
      </c>
      <c r="Q101" s="309">
        <f>COUNTIFS(Errors!$B:$B, $C101, Errors!$I:$I, Q$1)</f>
        <v>0</v>
      </c>
      <c r="R101" s="309">
        <f>COUNTIFS(Errors!$B:$B, $C101, Errors!$I:$I, R$1)</f>
        <v>0</v>
      </c>
      <c r="S101" s="309">
        <f>COUNTIFS(Errors!$B:$B, $C101, Errors!$I:$I, S$1)</f>
        <v>0</v>
      </c>
      <c r="T101" s="309">
        <f>COUNTIFS(Errors!$B:$B, $C101, Errors!$I:$I, T$1)</f>
        <v>0</v>
      </c>
      <c r="U101" s="309">
        <f>COUNTIFS(Errors!$B:$B, $C101, Errors!$I:$I, U$1)</f>
        <v>0</v>
      </c>
      <c r="V101" s="309">
        <f>COUNTIFS(Errors!$B:$B, $C101, Errors!$I:$I, V$1)</f>
        <v>2</v>
      </c>
      <c r="W101" s="309">
        <f>COUNTIFS(Errors!$B:$B, $C101, Errors!$I:$I, W$1)</f>
        <v>0</v>
      </c>
      <c r="X101" s="309">
        <f>COUNTIFS(Errors!$B:$B, $C101, Errors!$I:$I, X$1)</f>
        <v>0</v>
      </c>
    </row>
    <row r="102" ht="15.75" customHeight="1">
      <c r="A102" s="325">
        <v>0.0</v>
      </c>
      <c r="B102" s="293">
        <f>SourceData!K102</f>
        <v>1</v>
      </c>
      <c r="C102" s="294" t="str">
        <f>SourceData!J102</f>
        <v>Vladlena Nikiforova</v>
      </c>
      <c r="D102" s="295">
        <f>(COUNTIF(Errors!$B$3:$B$3010,'Error Count Analysis'!C102))-((COUNTIFS(Errors!$B$3:$B$3010,'Error Count Analysis'!C102, (Errors!$I$3:$I$3010),"TV*")))</f>
        <v>0</v>
      </c>
      <c r="E102" s="296">
        <f t="shared" si="1"/>
        <v>0</v>
      </c>
      <c r="F102" s="297">
        <f>COUNTIFS(Errors!$B:$B, $C102, Errors!$I:$I, F$1)</f>
        <v>0</v>
      </c>
      <c r="G102" s="298">
        <f>COUNTIFS(Errors!$B:$B, $C102, Errors!$I:$I, G$1)</f>
        <v>0</v>
      </c>
      <c r="H102" s="298">
        <f>COUNTIFS(Errors!$B:$B, $C102, Errors!$I:$I, H$1)</f>
        <v>0</v>
      </c>
      <c r="I102" s="298">
        <f>COUNTIFS(Errors!$B:$B, $C102, Errors!$I:$I, I$1)</f>
        <v>0</v>
      </c>
      <c r="J102" s="298">
        <f>COUNTIFS(Errors!$B:$B, $C102, Errors!$I:$I, J$1)</f>
        <v>0</v>
      </c>
      <c r="K102" s="298">
        <f>COUNTIFS(Errors!$B:$B, $C102, Errors!$I:$I, K$1)</f>
        <v>0</v>
      </c>
      <c r="L102" s="298">
        <f>COUNTIFS(Errors!$B:$B, $C102, Errors!$I:$I, L$1)</f>
        <v>0</v>
      </c>
      <c r="M102" s="298">
        <f>COUNTIFS(Errors!$B:$B, $C102, Errors!$I:$I, M$1)</f>
        <v>0</v>
      </c>
      <c r="N102" s="298">
        <f>COUNTIFS(Errors!$B:$B, $C102, Errors!$I:$I, N$1)</f>
        <v>0</v>
      </c>
      <c r="O102" s="299">
        <f>COUNTIFS(Errors!$B:$B, $C102, Errors!$I:$I, O$1)</f>
        <v>0</v>
      </c>
      <c r="P102" s="298">
        <f>COUNTIFS(Errors!$B:$B, $C102, Errors!$I:$I, P$1)</f>
        <v>0</v>
      </c>
      <c r="Q102" s="298">
        <f>COUNTIFS(Errors!$B:$B, $C102, Errors!$I:$I, Q$1)</f>
        <v>0</v>
      </c>
      <c r="R102" s="298">
        <f>COUNTIFS(Errors!$B:$B, $C102, Errors!$I:$I, R$1)</f>
        <v>0</v>
      </c>
      <c r="S102" s="298">
        <f>COUNTIFS(Errors!$B:$B, $C102, Errors!$I:$I, S$1)</f>
        <v>0</v>
      </c>
      <c r="T102" s="298">
        <f>COUNTIFS(Errors!$B:$B, $C102, Errors!$I:$I, T$1)</f>
        <v>0</v>
      </c>
      <c r="U102" s="298">
        <f>COUNTIFS(Errors!$B:$B, $C102, Errors!$I:$I, U$1)</f>
        <v>0</v>
      </c>
      <c r="V102" s="298">
        <f>COUNTIFS(Errors!$B:$B, $C102, Errors!$I:$I, V$1)</f>
        <v>0</v>
      </c>
      <c r="W102" s="298">
        <f>COUNTIFS(Errors!$B:$B, $C102, Errors!$I:$I, W$1)</f>
        <v>0</v>
      </c>
      <c r="X102" s="298">
        <f>COUNTIFS(Errors!$B:$B, $C102, Errors!$I:$I, X$1)</f>
        <v>0</v>
      </c>
    </row>
    <row r="103" ht="15.75" customHeight="1">
      <c r="A103" s="305">
        <v>0.0</v>
      </c>
      <c r="B103" s="304">
        <f>SourceData!K103</f>
        <v>0.5</v>
      </c>
      <c r="C103" s="305" t="str">
        <f>SourceData!J103</f>
        <v>Yukiko Mauer</v>
      </c>
      <c r="D103" s="306">
        <f>(COUNTIF(Errors!$B$3:$B$3010,'Error Count Analysis'!C103))-((COUNTIFS(Errors!$B$3:$B$3010,'Error Count Analysis'!C103, (Errors!$I$3:$I$3010),"TV*")))</f>
        <v>2</v>
      </c>
      <c r="E103" s="307">
        <f t="shared" si="1"/>
        <v>4</v>
      </c>
      <c r="F103" s="308">
        <f>COUNTIFS(Errors!$B:$B, $C103, Errors!$I:$I, F$1)</f>
        <v>0</v>
      </c>
      <c r="G103" s="309">
        <f>COUNTIFS(Errors!$B:$B, $C103, Errors!$I:$I, G$1)</f>
        <v>0</v>
      </c>
      <c r="H103" s="309">
        <f>COUNTIFS(Errors!$B:$B, $C103, Errors!$I:$I, H$1)</f>
        <v>0</v>
      </c>
      <c r="I103" s="309">
        <f>COUNTIFS(Errors!$B:$B, $C103, Errors!$I:$I, I$1)</f>
        <v>0</v>
      </c>
      <c r="J103" s="309">
        <f>COUNTIFS(Errors!$B:$B, $C103, Errors!$I:$I, J$1)</f>
        <v>0</v>
      </c>
      <c r="K103" s="309">
        <f>COUNTIFS(Errors!$B:$B, $C103, Errors!$I:$I, K$1)</f>
        <v>0</v>
      </c>
      <c r="L103" s="309">
        <f>COUNTIFS(Errors!$B:$B, $C103, Errors!$I:$I, L$1)</f>
        <v>0</v>
      </c>
      <c r="M103" s="309">
        <f>COUNTIFS(Errors!$B:$B, $C103, Errors!$I:$I, M$1)</f>
        <v>0</v>
      </c>
      <c r="N103" s="309">
        <f>COUNTIFS(Errors!$B:$B, $C103, Errors!$I:$I, N$1)</f>
        <v>0</v>
      </c>
      <c r="O103" s="310">
        <f>COUNTIFS(Errors!$B:$B, $C103, Errors!$I:$I, O$1)</f>
        <v>0</v>
      </c>
      <c r="P103" s="309">
        <f>COUNTIFS(Errors!$B:$B, $C103, Errors!$I:$I, P$1)</f>
        <v>0</v>
      </c>
      <c r="Q103" s="309">
        <f>COUNTIFS(Errors!$B:$B, $C103, Errors!$I:$I, Q$1)</f>
        <v>0</v>
      </c>
      <c r="R103" s="309">
        <f>COUNTIFS(Errors!$B:$B, $C103, Errors!$I:$I, R$1)</f>
        <v>1</v>
      </c>
      <c r="S103" s="309">
        <f>COUNTIFS(Errors!$B:$B, $C103, Errors!$I:$I, S$1)</f>
        <v>0</v>
      </c>
      <c r="T103" s="309">
        <f>COUNTIFS(Errors!$B:$B, $C103, Errors!$I:$I, T$1)</f>
        <v>0</v>
      </c>
      <c r="U103" s="309">
        <f>COUNTIFS(Errors!$B:$B, $C103, Errors!$I:$I, U$1)</f>
        <v>0</v>
      </c>
      <c r="V103" s="309">
        <f>COUNTIFS(Errors!$B:$B, $C103, Errors!$I:$I, V$1)</f>
        <v>0</v>
      </c>
      <c r="W103" s="309">
        <f>COUNTIFS(Errors!$B:$B, $C103, Errors!$I:$I, W$1)</f>
        <v>0</v>
      </c>
      <c r="X103" s="309">
        <f>COUNTIFS(Errors!$B:$B, $C103, Errors!$I:$I, X$1)</f>
        <v>0</v>
      </c>
    </row>
    <row r="104" ht="15.75" customHeight="1">
      <c r="A104" s="325">
        <v>0.0</v>
      </c>
      <c r="B104" s="293">
        <f>SourceData!K104</f>
        <v>1</v>
      </c>
      <c r="C104" s="294" t="str">
        <f>SourceData!J104</f>
        <v>Yusuf Turabi</v>
      </c>
      <c r="D104" s="295">
        <f>(COUNTIF(Errors!$B$3:$B$3010,'Error Count Analysis'!C104))-((COUNTIFS(Errors!$B$3:$B$3010,'Error Count Analysis'!C104, (Errors!$I$3:$I$3010),"TV*")))</f>
        <v>0</v>
      </c>
      <c r="E104" s="296">
        <f t="shared" si="1"/>
        <v>0</v>
      </c>
      <c r="F104" s="297">
        <f>COUNTIFS(Errors!$B:$B, $C104, Errors!$I:$I, F$1)</f>
        <v>0</v>
      </c>
      <c r="G104" s="298">
        <f>COUNTIFS(Errors!$B:$B, $C104, Errors!$I:$I, G$1)</f>
        <v>0</v>
      </c>
      <c r="H104" s="298">
        <f>COUNTIFS(Errors!$B:$B, $C104, Errors!$I:$I, H$1)</f>
        <v>0</v>
      </c>
      <c r="I104" s="298">
        <f>COUNTIFS(Errors!$B:$B, $C104, Errors!$I:$I, I$1)</f>
        <v>0</v>
      </c>
      <c r="J104" s="298">
        <f>COUNTIFS(Errors!$B:$B, $C104, Errors!$I:$I, J$1)</f>
        <v>0</v>
      </c>
      <c r="K104" s="298">
        <f>COUNTIFS(Errors!$B:$B, $C104, Errors!$I:$I, K$1)</f>
        <v>0</v>
      </c>
      <c r="L104" s="298">
        <f>COUNTIFS(Errors!$B:$B, $C104, Errors!$I:$I, L$1)</f>
        <v>0</v>
      </c>
      <c r="M104" s="298">
        <f>COUNTIFS(Errors!$B:$B, $C104, Errors!$I:$I, M$1)</f>
        <v>0</v>
      </c>
      <c r="N104" s="298">
        <f>COUNTIFS(Errors!$B:$B, $C104, Errors!$I:$I, N$1)</f>
        <v>0</v>
      </c>
      <c r="O104" s="299">
        <f>COUNTIFS(Errors!$B:$B, $C104, Errors!$I:$I, O$1)</f>
        <v>0</v>
      </c>
      <c r="P104" s="298">
        <f>COUNTIFS(Errors!$B:$B, $C104, Errors!$I:$I, P$1)</f>
        <v>0</v>
      </c>
      <c r="Q104" s="298">
        <f>COUNTIFS(Errors!$B:$B, $C104, Errors!$I:$I, Q$1)</f>
        <v>0</v>
      </c>
      <c r="R104" s="298">
        <f>COUNTIFS(Errors!$B:$B, $C104, Errors!$I:$I, R$1)</f>
        <v>0</v>
      </c>
      <c r="S104" s="298">
        <f>COUNTIFS(Errors!$B:$B, $C104, Errors!$I:$I, S$1)</f>
        <v>0</v>
      </c>
      <c r="T104" s="298">
        <f>COUNTIFS(Errors!$B:$B, $C104, Errors!$I:$I, T$1)</f>
        <v>0</v>
      </c>
      <c r="U104" s="298">
        <f>COUNTIFS(Errors!$B:$B, $C104, Errors!$I:$I, U$1)</f>
        <v>0</v>
      </c>
      <c r="V104" s="298">
        <f>COUNTIFS(Errors!$B:$B, $C104, Errors!$I:$I, V$1)</f>
        <v>0</v>
      </c>
      <c r="W104" s="298">
        <f>COUNTIFS(Errors!$B:$B, $C104, Errors!$I:$I, W$1)</f>
        <v>0</v>
      </c>
      <c r="X104" s="298">
        <f>COUNTIFS(Errors!$B:$B, $C104, Errors!$I:$I, X$1)</f>
        <v>0</v>
      </c>
    </row>
    <row r="105" ht="15.75" customHeight="1">
      <c r="A105" s="305">
        <v>0.0</v>
      </c>
      <c r="B105" s="304">
        <f>SourceData!K105</f>
        <v>1</v>
      </c>
      <c r="C105" s="305" t="str">
        <f>SourceData!J105</f>
        <v>Mariia Kolbasova</v>
      </c>
      <c r="D105" s="306">
        <f>(COUNTIF(Errors!$B$3:$B$3010,'Error Count Analysis'!C105))-((COUNTIFS(Errors!$B$3:$B$3010,'Error Count Analysis'!C105, (Errors!$I$3:$I$3010),"TV*")))</f>
        <v>0</v>
      </c>
      <c r="E105" s="307">
        <f t="shared" si="1"/>
        <v>0</v>
      </c>
      <c r="F105" s="308">
        <f>COUNTIFS(Errors!$B:$B, $C105, Errors!$I:$I, F$1)</f>
        <v>0</v>
      </c>
      <c r="G105" s="309">
        <f>COUNTIFS(Errors!$B:$B, $C105, Errors!$I:$I, G$1)</f>
        <v>0</v>
      </c>
      <c r="H105" s="309">
        <f>COUNTIFS(Errors!$B:$B, $C105, Errors!$I:$I, H$1)</f>
        <v>0</v>
      </c>
      <c r="I105" s="309">
        <f>COUNTIFS(Errors!$B:$B, $C105, Errors!$I:$I, I$1)</f>
        <v>0</v>
      </c>
      <c r="J105" s="309">
        <f>COUNTIFS(Errors!$B:$B, $C105, Errors!$I:$I, J$1)</f>
        <v>0</v>
      </c>
      <c r="K105" s="309">
        <f>COUNTIFS(Errors!$B:$B, $C105, Errors!$I:$I, K$1)</f>
        <v>0</v>
      </c>
      <c r="L105" s="309">
        <f>COUNTIFS(Errors!$B:$B, $C105, Errors!$I:$I, L$1)</f>
        <v>0</v>
      </c>
      <c r="M105" s="309">
        <f>COUNTIFS(Errors!$B:$B, $C105, Errors!$I:$I, M$1)</f>
        <v>0</v>
      </c>
      <c r="N105" s="309">
        <f>COUNTIFS(Errors!$B:$B, $C105, Errors!$I:$I, N$1)</f>
        <v>0</v>
      </c>
      <c r="O105" s="310">
        <f>COUNTIFS(Errors!$B:$B, $C105, Errors!$I:$I, O$1)</f>
        <v>0</v>
      </c>
      <c r="P105" s="309">
        <f>COUNTIFS(Errors!$B:$B, $C105, Errors!$I:$I, P$1)</f>
        <v>0</v>
      </c>
      <c r="Q105" s="309">
        <f>COUNTIFS(Errors!$B:$B, $C105, Errors!$I:$I, Q$1)</f>
        <v>0</v>
      </c>
      <c r="R105" s="309">
        <f>COUNTIFS(Errors!$B:$B, $C105, Errors!$I:$I, R$1)</f>
        <v>0</v>
      </c>
      <c r="S105" s="309">
        <f>COUNTIFS(Errors!$B:$B, $C105, Errors!$I:$I, S$1)</f>
        <v>0</v>
      </c>
      <c r="T105" s="309">
        <f>COUNTIFS(Errors!$B:$B, $C105, Errors!$I:$I, T$1)</f>
        <v>0</v>
      </c>
      <c r="U105" s="309">
        <f>COUNTIFS(Errors!$B:$B, $C105, Errors!$I:$I, U$1)</f>
        <v>0</v>
      </c>
      <c r="V105" s="309">
        <f>COUNTIFS(Errors!$B:$B, $C105, Errors!$I:$I, V$1)</f>
        <v>0</v>
      </c>
      <c r="W105" s="309">
        <f>COUNTIFS(Errors!$B:$B, $C105, Errors!$I:$I, W$1)</f>
        <v>0</v>
      </c>
      <c r="X105" s="309">
        <f>COUNTIFS(Errors!$B:$B, $C105, Errors!$I:$I, X$1)</f>
        <v>0</v>
      </c>
    </row>
    <row r="106" ht="15.75" customHeight="1">
      <c r="A106" s="325">
        <v>0.0</v>
      </c>
      <c r="B106" s="293">
        <f>SourceData!K106</f>
        <v>1</v>
      </c>
      <c r="C106" s="294" t="str">
        <f>SourceData!J106</f>
        <v>Amelie Kubi</v>
      </c>
      <c r="D106" s="295">
        <f>(COUNTIF(Errors!$B$3:$B$3010,'Error Count Analysis'!C106))-((COUNTIFS(Errors!$B$3:$B$3010,'Error Count Analysis'!C106, (Errors!$I$3:$I$3010),"TV*")))</f>
        <v>0</v>
      </c>
      <c r="E106" s="296">
        <f t="shared" si="1"/>
        <v>0</v>
      </c>
      <c r="F106" s="297">
        <f>COUNTIFS(Errors!$B:$B, $C106, Errors!$I:$I, F$1)</f>
        <v>0</v>
      </c>
      <c r="G106" s="298">
        <f>COUNTIFS(Errors!$B:$B, $C106, Errors!$I:$I, G$1)</f>
        <v>0</v>
      </c>
      <c r="H106" s="298">
        <f>COUNTIFS(Errors!$B:$B, $C106, Errors!$I:$I, H$1)</f>
        <v>0</v>
      </c>
      <c r="I106" s="298">
        <f>COUNTIFS(Errors!$B:$B, $C106, Errors!$I:$I, I$1)</f>
        <v>0</v>
      </c>
      <c r="J106" s="298">
        <f>COUNTIFS(Errors!$B:$B, $C106, Errors!$I:$I, J$1)</f>
        <v>0</v>
      </c>
      <c r="K106" s="298">
        <f>COUNTIFS(Errors!$B:$B, $C106, Errors!$I:$I, K$1)</f>
        <v>0</v>
      </c>
      <c r="L106" s="298">
        <f>COUNTIFS(Errors!$B:$B, $C106, Errors!$I:$I, L$1)</f>
        <v>0</v>
      </c>
      <c r="M106" s="298">
        <f>COUNTIFS(Errors!$B:$B, $C106, Errors!$I:$I, M$1)</f>
        <v>0</v>
      </c>
      <c r="N106" s="298">
        <f>COUNTIFS(Errors!$B:$B, $C106, Errors!$I:$I, N$1)</f>
        <v>0</v>
      </c>
      <c r="O106" s="299">
        <f>COUNTIFS(Errors!$B:$B, $C106, Errors!$I:$I, O$1)</f>
        <v>0</v>
      </c>
      <c r="P106" s="298">
        <f>COUNTIFS(Errors!$B:$B, $C106, Errors!$I:$I, P$1)</f>
        <v>0</v>
      </c>
      <c r="Q106" s="298">
        <f>COUNTIFS(Errors!$B:$B, $C106, Errors!$I:$I, Q$1)</f>
        <v>0</v>
      </c>
      <c r="R106" s="298">
        <f>COUNTIFS(Errors!$B:$B, $C106, Errors!$I:$I, R$1)</f>
        <v>0</v>
      </c>
      <c r="S106" s="298">
        <f>COUNTIFS(Errors!$B:$B, $C106, Errors!$I:$I, S$1)</f>
        <v>0</v>
      </c>
      <c r="T106" s="298">
        <f>COUNTIFS(Errors!$B:$B, $C106, Errors!$I:$I, T$1)</f>
        <v>0</v>
      </c>
      <c r="U106" s="298">
        <f>COUNTIFS(Errors!$B:$B, $C106, Errors!$I:$I, U$1)</f>
        <v>0</v>
      </c>
      <c r="V106" s="298">
        <f>COUNTIFS(Errors!$B:$B, $C106, Errors!$I:$I, V$1)</f>
        <v>0</v>
      </c>
      <c r="W106" s="298">
        <f>COUNTIFS(Errors!$B:$B, $C106, Errors!$I:$I, W$1)</f>
        <v>0</v>
      </c>
      <c r="X106" s="298">
        <f>COUNTIFS(Errors!$B:$B, $C106, Errors!$I:$I, X$1)</f>
        <v>0</v>
      </c>
    </row>
    <row r="107" ht="15.75" customHeight="1">
      <c r="A107" s="305">
        <v>0.0</v>
      </c>
      <c r="B107" s="304">
        <f>SourceData!K107</f>
        <v>0.75</v>
      </c>
      <c r="C107" s="305" t="str">
        <f>SourceData!J107</f>
        <v>Carina Ysabel Sardua</v>
      </c>
      <c r="D107" s="306">
        <f>(COUNTIF(Errors!$B$3:$B$3010,'Error Count Analysis'!C107))-((COUNTIFS(Errors!$B$3:$B$3010,'Error Count Analysis'!C107, (Errors!$I$3:$I$3010),"TV*")))</f>
        <v>0</v>
      </c>
      <c r="E107" s="307">
        <f t="shared" si="1"/>
        <v>0</v>
      </c>
      <c r="F107" s="308">
        <f>COUNTIFS(Errors!$B:$B, $C107, Errors!$I:$I, F$1)</f>
        <v>0</v>
      </c>
      <c r="G107" s="309">
        <f>COUNTIFS(Errors!$B:$B, $C107, Errors!$I:$I, G$1)</f>
        <v>0</v>
      </c>
      <c r="H107" s="309">
        <f>COUNTIFS(Errors!$B:$B, $C107, Errors!$I:$I, H$1)</f>
        <v>0</v>
      </c>
      <c r="I107" s="309">
        <f>COUNTIFS(Errors!$B:$B, $C107, Errors!$I:$I, I$1)</f>
        <v>0</v>
      </c>
      <c r="J107" s="309">
        <f>COUNTIFS(Errors!$B:$B, $C107, Errors!$I:$I, J$1)</f>
        <v>0</v>
      </c>
      <c r="K107" s="309">
        <f>COUNTIFS(Errors!$B:$B, $C107, Errors!$I:$I, K$1)</f>
        <v>0</v>
      </c>
      <c r="L107" s="309">
        <f>COUNTIFS(Errors!$B:$B, $C107, Errors!$I:$I, L$1)</f>
        <v>0</v>
      </c>
      <c r="M107" s="309">
        <f>COUNTIFS(Errors!$B:$B, $C107, Errors!$I:$I, M$1)</f>
        <v>0</v>
      </c>
      <c r="N107" s="309">
        <f>COUNTIFS(Errors!$B:$B, $C107, Errors!$I:$I, N$1)</f>
        <v>0</v>
      </c>
      <c r="O107" s="310">
        <f>COUNTIFS(Errors!$B:$B, $C107, Errors!$I:$I, O$1)</f>
        <v>0</v>
      </c>
      <c r="P107" s="309">
        <f>COUNTIFS(Errors!$B:$B, $C107, Errors!$I:$I, P$1)</f>
        <v>0</v>
      </c>
      <c r="Q107" s="309">
        <f>COUNTIFS(Errors!$B:$B, $C107, Errors!$I:$I, Q$1)</f>
        <v>0</v>
      </c>
      <c r="R107" s="309">
        <f>COUNTIFS(Errors!$B:$B, $C107, Errors!$I:$I, R$1)</f>
        <v>0</v>
      </c>
      <c r="S107" s="309">
        <f>COUNTIFS(Errors!$B:$B, $C107, Errors!$I:$I, S$1)</f>
        <v>0</v>
      </c>
      <c r="T107" s="309">
        <f>COUNTIFS(Errors!$B:$B, $C107, Errors!$I:$I, T$1)</f>
        <v>0</v>
      </c>
      <c r="U107" s="309">
        <f>COUNTIFS(Errors!$B:$B, $C107, Errors!$I:$I, U$1)</f>
        <v>0</v>
      </c>
      <c r="V107" s="309">
        <f>COUNTIFS(Errors!$B:$B, $C107, Errors!$I:$I, V$1)</f>
        <v>0</v>
      </c>
      <c r="W107" s="309">
        <f>COUNTIFS(Errors!$B:$B, $C107, Errors!$I:$I, W$1)</f>
        <v>0</v>
      </c>
      <c r="X107" s="309">
        <f>COUNTIFS(Errors!$B:$B, $C107, Errors!$I:$I, X$1)</f>
        <v>0</v>
      </c>
    </row>
    <row r="108" ht="15.75" customHeight="1">
      <c r="A108" s="325">
        <v>0.0</v>
      </c>
      <c r="B108" s="293">
        <f>SourceData!K108</f>
        <v>0.75</v>
      </c>
      <c r="C108" s="294" t="str">
        <f>SourceData!J108</f>
        <v>Evita Limareva</v>
      </c>
      <c r="D108" s="295">
        <f>(COUNTIF(Errors!$B$3:$B$3010,'Error Count Analysis'!C108))-((COUNTIFS(Errors!$B$3:$B$3010,'Error Count Analysis'!C108, (Errors!$I$3:$I$3010),"TV*")))</f>
        <v>1</v>
      </c>
      <c r="E108" s="296">
        <f t="shared" si="1"/>
        <v>1.333333333</v>
      </c>
      <c r="F108" s="297">
        <f>COUNTIFS(Errors!$B:$B, $C108, Errors!$I:$I, F$1)</f>
        <v>0</v>
      </c>
      <c r="G108" s="298">
        <f>COUNTIFS(Errors!$B:$B, $C108, Errors!$I:$I, G$1)</f>
        <v>0</v>
      </c>
      <c r="H108" s="298">
        <f>COUNTIFS(Errors!$B:$B, $C108, Errors!$I:$I, H$1)</f>
        <v>0</v>
      </c>
      <c r="I108" s="298">
        <f>COUNTIFS(Errors!$B:$B, $C108, Errors!$I:$I, I$1)</f>
        <v>0</v>
      </c>
      <c r="J108" s="298">
        <f>COUNTIFS(Errors!$B:$B, $C108, Errors!$I:$I, J$1)</f>
        <v>0</v>
      </c>
      <c r="K108" s="298">
        <f>COUNTIFS(Errors!$B:$B, $C108, Errors!$I:$I, K$1)</f>
        <v>0</v>
      </c>
      <c r="L108" s="298">
        <f>COUNTIFS(Errors!$B:$B, $C108, Errors!$I:$I, L$1)</f>
        <v>0</v>
      </c>
      <c r="M108" s="298">
        <f>COUNTIFS(Errors!$B:$B, $C108, Errors!$I:$I, M$1)</f>
        <v>0</v>
      </c>
      <c r="N108" s="298">
        <f>COUNTIFS(Errors!$B:$B, $C108, Errors!$I:$I, N$1)</f>
        <v>0</v>
      </c>
      <c r="O108" s="299">
        <f>COUNTIFS(Errors!$B:$B, $C108, Errors!$I:$I, O$1)</f>
        <v>0</v>
      </c>
      <c r="P108" s="298">
        <f>COUNTIFS(Errors!$B:$B, $C108, Errors!$I:$I, P$1)</f>
        <v>0</v>
      </c>
      <c r="Q108" s="298">
        <f>COUNTIFS(Errors!$B:$B, $C108, Errors!$I:$I, Q$1)</f>
        <v>0</v>
      </c>
      <c r="R108" s="298">
        <f>COUNTIFS(Errors!$B:$B, $C108, Errors!$I:$I, R$1)</f>
        <v>0</v>
      </c>
      <c r="S108" s="298">
        <f>COUNTIFS(Errors!$B:$B, $C108, Errors!$I:$I, S$1)</f>
        <v>1</v>
      </c>
      <c r="T108" s="298">
        <f>COUNTIFS(Errors!$B:$B, $C108, Errors!$I:$I, T$1)</f>
        <v>0</v>
      </c>
      <c r="U108" s="298">
        <f>COUNTIFS(Errors!$B:$B, $C108, Errors!$I:$I, U$1)</f>
        <v>0</v>
      </c>
      <c r="V108" s="298">
        <f>COUNTIFS(Errors!$B:$B, $C108, Errors!$I:$I, V$1)</f>
        <v>0</v>
      </c>
      <c r="W108" s="298">
        <f>COUNTIFS(Errors!$B:$B, $C108, Errors!$I:$I, W$1)</f>
        <v>0</v>
      </c>
      <c r="X108" s="298">
        <f>COUNTIFS(Errors!$B:$B, $C108, Errors!$I:$I, X$1)</f>
        <v>0</v>
      </c>
    </row>
    <row r="109" ht="15.75" customHeight="1">
      <c r="A109" s="305">
        <v>0.0</v>
      </c>
      <c r="B109" s="304">
        <f>SourceData!K109</f>
        <v>0.5</v>
      </c>
      <c r="C109" s="305" t="str">
        <f>SourceData!J109</f>
        <v>Darelyan Pähn</v>
      </c>
      <c r="D109" s="306">
        <f>(COUNTIF(Errors!$B$3:$B$3010,'Error Count Analysis'!C109))-((COUNTIFS(Errors!$B$3:$B$3010,'Error Count Analysis'!C109, (Errors!$I$3:$I$3010),"TV*")))</f>
        <v>0</v>
      </c>
      <c r="E109" s="307">
        <f t="shared" si="1"/>
        <v>0</v>
      </c>
      <c r="F109" s="308">
        <f>COUNTIFS(Errors!$B:$B, $C109, Errors!$I:$I, F$1)</f>
        <v>0</v>
      </c>
      <c r="G109" s="309">
        <f>COUNTIFS(Errors!$B:$B, $C109, Errors!$I:$I, G$1)</f>
        <v>0</v>
      </c>
      <c r="H109" s="309">
        <f>COUNTIFS(Errors!$B:$B, $C109, Errors!$I:$I, H$1)</f>
        <v>0</v>
      </c>
      <c r="I109" s="309">
        <f>COUNTIFS(Errors!$B:$B, $C109, Errors!$I:$I, I$1)</f>
        <v>0</v>
      </c>
      <c r="J109" s="309">
        <f>COUNTIFS(Errors!$B:$B, $C109, Errors!$I:$I, J$1)</f>
        <v>0</v>
      </c>
      <c r="K109" s="309">
        <f>COUNTIFS(Errors!$B:$B, $C109, Errors!$I:$I, K$1)</f>
        <v>0</v>
      </c>
      <c r="L109" s="309">
        <f>COUNTIFS(Errors!$B:$B, $C109, Errors!$I:$I, L$1)</f>
        <v>0</v>
      </c>
      <c r="M109" s="309">
        <f>COUNTIFS(Errors!$B:$B, $C109, Errors!$I:$I, M$1)</f>
        <v>0</v>
      </c>
      <c r="N109" s="309">
        <f>COUNTIFS(Errors!$B:$B, $C109, Errors!$I:$I, N$1)</f>
        <v>0</v>
      </c>
      <c r="O109" s="310">
        <f>COUNTIFS(Errors!$B:$B, $C109, Errors!$I:$I, O$1)</f>
        <v>0</v>
      </c>
      <c r="P109" s="309">
        <f>COUNTIFS(Errors!$B:$B, $C109, Errors!$I:$I, P$1)</f>
        <v>0</v>
      </c>
      <c r="Q109" s="309">
        <f>COUNTIFS(Errors!$B:$B, $C109, Errors!$I:$I, Q$1)</f>
        <v>0</v>
      </c>
      <c r="R109" s="309">
        <f>COUNTIFS(Errors!$B:$B, $C109, Errors!$I:$I, R$1)</f>
        <v>0</v>
      </c>
      <c r="S109" s="309">
        <f>COUNTIFS(Errors!$B:$B, $C109, Errors!$I:$I, S$1)</f>
        <v>0</v>
      </c>
      <c r="T109" s="309">
        <f>COUNTIFS(Errors!$B:$B, $C109, Errors!$I:$I, T$1)</f>
        <v>0</v>
      </c>
      <c r="U109" s="309">
        <f>COUNTIFS(Errors!$B:$B, $C109, Errors!$I:$I, U$1)</f>
        <v>0</v>
      </c>
      <c r="V109" s="309">
        <f>COUNTIFS(Errors!$B:$B, $C109, Errors!$I:$I, V$1)</f>
        <v>0</v>
      </c>
      <c r="W109" s="309">
        <f>COUNTIFS(Errors!$B:$B, $C109, Errors!$I:$I, W$1)</f>
        <v>0</v>
      </c>
      <c r="X109" s="309">
        <f>COUNTIFS(Errors!$B:$B, $C109, Errors!$I:$I, X$1)</f>
        <v>0</v>
      </c>
    </row>
    <row r="110" ht="15.75" customHeight="1">
      <c r="A110" s="325">
        <v>0.0</v>
      </c>
      <c r="B110" s="293">
        <f>SourceData!K110</f>
        <v>0.75</v>
      </c>
      <c r="C110" s="294" t="str">
        <f>SourceData!J110</f>
        <v>Asia Oliinyk</v>
      </c>
      <c r="D110" s="295">
        <f>(COUNTIF(Errors!$B$3:$B$3010,'Error Count Analysis'!C110))-((COUNTIFS(Errors!$B$3:$B$3010,'Error Count Analysis'!C110, (Errors!$I$3:$I$3010),"TV*")))</f>
        <v>2</v>
      </c>
      <c r="E110" s="296">
        <f t="shared" si="1"/>
        <v>2.666666667</v>
      </c>
      <c r="F110" s="297">
        <f>COUNTIFS(Errors!$B:$B, $C110, Errors!$I:$I, F$1)</f>
        <v>0</v>
      </c>
      <c r="G110" s="298">
        <f>COUNTIFS(Errors!$B:$B, $C110, Errors!$I:$I, G$1)</f>
        <v>0</v>
      </c>
      <c r="H110" s="298">
        <f>COUNTIFS(Errors!$B:$B, $C110, Errors!$I:$I, H$1)</f>
        <v>0</v>
      </c>
      <c r="I110" s="298">
        <f>COUNTIFS(Errors!$B:$B, $C110, Errors!$I:$I, I$1)</f>
        <v>0</v>
      </c>
      <c r="J110" s="298">
        <f>COUNTIFS(Errors!$B:$B, $C110, Errors!$I:$I, J$1)</f>
        <v>0</v>
      </c>
      <c r="K110" s="298">
        <f>COUNTIFS(Errors!$B:$B, $C110, Errors!$I:$I, K$1)</f>
        <v>0</v>
      </c>
      <c r="L110" s="298">
        <f>COUNTIFS(Errors!$B:$B, $C110, Errors!$I:$I, L$1)</f>
        <v>0</v>
      </c>
      <c r="M110" s="298">
        <f>COUNTIFS(Errors!$B:$B, $C110, Errors!$I:$I, M$1)</f>
        <v>0</v>
      </c>
      <c r="N110" s="298">
        <f>COUNTIFS(Errors!$B:$B, $C110, Errors!$I:$I, N$1)</f>
        <v>0</v>
      </c>
      <c r="O110" s="299">
        <f>COUNTIFS(Errors!$B:$B, $C110, Errors!$I:$I, O$1)</f>
        <v>1</v>
      </c>
      <c r="P110" s="298">
        <f>COUNTIFS(Errors!$B:$B, $C110, Errors!$I:$I, P$1)</f>
        <v>0</v>
      </c>
      <c r="Q110" s="298">
        <f>COUNTIFS(Errors!$B:$B, $C110, Errors!$I:$I, Q$1)</f>
        <v>1</v>
      </c>
      <c r="R110" s="298">
        <f>COUNTIFS(Errors!$B:$B, $C110, Errors!$I:$I, R$1)</f>
        <v>0</v>
      </c>
      <c r="S110" s="298">
        <f>COUNTIFS(Errors!$B:$B, $C110, Errors!$I:$I, S$1)</f>
        <v>0</v>
      </c>
      <c r="T110" s="298">
        <f>COUNTIFS(Errors!$B:$B, $C110, Errors!$I:$I, T$1)</f>
        <v>0</v>
      </c>
      <c r="U110" s="298">
        <f>COUNTIFS(Errors!$B:$B, $C110, Errors!$I:$I, U$1)</f>
        <v>0</v>
      </c>
      <c r="V110" s="298">
        <f>COUNTIFS(Errors!$B:$B, $C110, Errors!$I:$I, V$1)</f>
        <v>0</v>
      </c>
      <c r="W110" s="298">
        <f>COUNTIFS(Errors!$B:$B, $C110, Errors!$I:$I, W$1)</f>
        <v>0</v>
      </c>
      <c r="X110" s="298">
        <f>COUNTIFS(Errors!$B:$B, $C110, Errors!$I:$I, X$1)</f>
        <v>0</v>
      </c>
    </row>
    <row r="111" ht="15.75" customHeight="1">
      <c r="A111" s="305">
        <v>0.0</v>
      </c>
      <c r="B111" s="304">
        <f>SourceData!K111</f>
        <v>0.75</v>
      </c>
      <c r="C111" s="305" t="str">
        <f>SourceData!J111</f>
        <v>Emilia Laanjärv</v>
      </c>
      <c r="D111" s="306">
        <f>(COUNTIF(Errors!$B$3:$B$3010,'Error Count Analysis'!C111))-((COUNTIFS(Errors!$B$3:$B$3010,'Error Count Analysis'!C111, (Errors!$I$3:$I$3010),"TV*")))</f>
        <v>2</v>
      </c>
      <c r="E111" s="307">
        <f t="shared" si="1"/>
        <v>2.666666667</v>
      </c>
      <c r="F111" s="308">
        <f>COUNTIFS(Errors!$B:$B, $C111, Errors!$I:$I, F$1)</f>
        <v>0</v>
      </c>
      <c r="G111" s="309">
        <f>COUNTIFS(Errors!$B:$B, $C111, Errors!$I:$I, G$1)</f>
        <v>1</v>
      </c>
      <c r="H111" s="309">
        <f>COUNTIFS(Errors!$B:$B, $C111, Errors!$I:$I, H$1)</f>
        <v>0</v>
      </c>
      <c r="I111" s="309">
        <f>COUNTIFS(Errors!$B:$B, $C111, Errors!$I:$I, I$1)</f>
        <v>0</v>
      </c>
      <c r="J111" s="309">
        <f>COUNTIFS(Errors!$B:$B, $C111, Errors!$I:$I, J$1)</f>
        <v>1</v>
      </c>
      <c r="K111" s="309">
        <f>COUNTIFS(Errors!$B:$B, $C111, Errors!$I:$I, K$1)</f>
        <v>0</v>
      </c>
      <c r="L111" s="309">
        <f>COUNTIFS(Errors!$B:$B, $C111, Errors!$I:$I, L$1)</f>
        <v>0</v>
      </c>
      <c r="M111" s="309">
        <f>COUNTIFS(Errors!$B:$B, $C111, Errors!$I:$I, M$1)</f>
        <v>0</v>
      </c>
      <c r="N111" s="309">
        <f>COUNTIFS(Errors!$B:$B, $C111, Errors!$I:$I, N$1)</f>
        <v>0</v>
      </c>
      <c r="O111" s="310">
        <f>COUNTIFS(Errors!$B:$B, $C111, Errors!$I:$I, O$1)</f>
        <v>0</v>
      </c>
      <c r="P111" s="309">
        <f>COUNTIFS(Errors!$B:$B, $C111, Errors!$I:$I, P$1)</f>
        <v>0</v>
      </c>
      <c r="Q111" s="309">
        <f>COUNTIFS(Errors!$B:$B, $C111, Errors!$I:$I, Q$1)</f>
        <v>0</v>
      </c>
      <c r="R111" s="309">
        <f>COUNTIFS(Errors!$B:$B, $C111, Errors!$I:$I, R$1)</f>
        <v>0</v>
      </c>
      <c r="S111" s="309">
        <f>COUNTIFS(Errors!$B:$B, $C111, Errors!$I:$I, S$1)</f>
        <v>0</v>
      </c>
      <c r="T111" s="309">
        <f>COUNTIFS(Errors!$B:$B, $C111, Errors!$I:$I, T$1)</f>
        <v>0</v>
      </c>
      <c r="U111" s="309">
        <f>COUNTIFS(Errors!$B:$B, $C111, Errors!$I:$I, U$1)</f>
        <v>0</v>
      </c>
      <c r="V111" s="309">
        <f>COUNTIFS(Errors!$B:$B, $C111, Errors!$I:$I, V$1)</f>
        <v>0</v>
      </c>
      <c r="W111" s="309">
        <f>COUNTIFS(Errors!$B:$B, $C111, Errors!$I:$I, W$1)</f>
        <v>0</v>
      </c>
      <c r="X111" s="309">
        <f>COUNTIFS(Errors!$B:$B, $C111, Errors!$I:$I, X$1)</f>
        <v>0</v>
      </c>
    </row>
    <row r="112" ht="15.75" customHeight="1">
      <c r="A112" s="325">
        <v>0.0</v>
      </c>
      <c r="B112" s="293">
        <f>SourceData!K112</f>
        <v>0.75</v>
      </c>
      <c r="C112" s="294" t="str">
        <f>SourceData!J112</f>
        <v>Ksenia Ivanova</v>
      </c>
      <c r="D112" s="295">
        <f>(COUNTIF(Errors!$B$3:$B$3010,'Error Count Analysis'!C112))-((COUNTIFS(Errors!$B$3:$B$3010,'Error Count Analysis'!C112, (Errors!$I$3:$I$3010),"TV*")))</f>
        <v>0</v>
      </c>
      <c r="E112" s="296">
        <f t="shared" si="1"/>
        <v>0</v>
      </c>
      <c r="F112" s="297">
        <f>COUNTIFS(Errors!$B:$B, $C112, Errors!$I:$I, F$1)</f>
        <v>0</v>
      </c>
      <c r="G112" s="298">
        <f>COUNTIFS(Errors!$B:$B, $C112, Errors!$I:$I, G$1)</f>
        <v>0</v>
      </c>
      <c r="H112" s="298">
        <f>COUNTIFS(Errors!$B:$B, $C112, Errors!$I:$I, H$1)</f>
        <v>0</v>
      </c>
      <c r="I112" s="298">
        <f>COUNTIFS(Errors!$B:$B, $C112, Errors!$I:$I, I$1)</f>
        <v>0</v>
      </c>
      <c r="J112" s="298">
        <f>COUNTIFS(Errors!$B:$B, $C112, Errors!$I:$I, J$1)</f>
        <v>0</v>
      </c>
      <c r="K112" s="298">
        <f>COUNTIFS(Errors!$B:$B, $C112, Errors!$I:$I, K$1)</f>
        <v>0</v>
      </c>
      <c r="L112" s="298">
        <f>COUNTIFS(Errors!$B:$B, $C112, Errors!$I:$I, L$1)</f>
        <v>0</v>
      </c>
      <c r="M112" s="298">
        <f>COUNTIFS(Errors!$B:$B, $C112, Errors!$I:$I, M$1)</f>
        <v>0</v>
      </c>
      <c r="N112" s="298">
        <f>COUNTIFS(Errors!$B:$B, $C112, Errors!$I:$I, N$1)</f>
        <v>0</v>
      </c>
      <c r="O112" s="299">
        <f>COUNTIFS(Errors!$B:$B, $C112, Errors!$I:$I, O$1)</f>
        <v>0</v>
      </c>
      <c r="P112" s="298">
        <f>COUNTIFS(Errors!$B:$B, $C112, Errors!$I:$I, P$1)</f>
        <v>0</v>
      </c>
      <c r="Q112" s="298">
        <f>COUNTIFS(Errors!$B:$B, $C112, Errors!$I:$I, Q$1)</f>
        <v>0</v>
      </c>
      <c r="R112" s="298">
        <f>COUNTIFS(Errors!$B:$B, $C112, Errors!$I:$I, R$1)</f>
        <v>0</v>
      </c>
      <c r="S112" s="298">
        <f>COUNTIFS(Errors!$B:$B, $C112, Errors!$I:$I, S$1)</f>
        <v>0</v>
      </c>
      <c r="T112" s="298">
        <f>COUNTIFS(Errors!$B:$B, $C112, Errors!$I:$I, T$1)</f>
        <v>0</v>
      </c>
      <c r="U112" s="298">
        <f>COUNTIFS(Errors!$B:$B, $C112, Errors!$I:$I, U$1)</f>
        <v>0</v>
      </c>
      <c r="V112" s="298">
        <f>COUNTIFS(Errors!$B:$B, $C112, Errors!$I:$I, V$1)</f>
        <v>0</v>
      </c>
      <c r="W112" s="298">
        <f>COUNTIFS(Errors!$B:$B, $C112, Errors!$I:$I, W$1)</f>
        <v>0</v>
      </c>
      <c r="X112" s="298">
        <f>COUNTIFS(Errors!$B:$B, $C112, Errors!$I:$I, X$1)</f>
        <v>0</v>
      </c>
    </row>
    <row r="113" ht="15.75" customHeight="1">
      <c r="A113" s="305">
        <v>0.0</v>
      </c>
      <c r="B113" s="304">
        <f>SourceData!K113</f>
        <v>0.75</v>
      </c>
      <c r="C113" s="305" t="str">
        <f>SourceData!J113</f>
        <v>Anastasiya Kurylina</v>
      </c>
      <c r="D113" s="306">
        <f>(COUNTIF(Errors!$B$3:$B$3010,'Error Count Analysis'!C113))-((COUNTIFS(Errors!$B$3:$B$3010,'Error Count Analysis'!C113, (Errors!$I$3:$I$3010),"TV*")))</f>
        <v>3</v>
      </c>
      <c r="E113" s="307">
        <f t="shared" si="1"/>
        <v>4</v>
      </c>
      <c r="F113" s="308">
        <f>COUNTIFS(Errors!$B:$B, $C113, Errors!$I:$I, F$1)</f>
        <v>0</v>
      </c>
      <c r="G113" s="309">
        <f>COUNTIFS(Errors!$B:$B, $C113, Errors!$I:$I, G$1)</f>
        <v>0</v>
      </c>
      <c r="H113" s="309">
        <f>COUNTIFS(Errors!$B:$B, $C113, Errors!$I:$I, H$1)</f>
        <v>0</v>
      </c>
      <c r="I113" s="309">
        <f>COUNTIFS(Errors!$B:$B, $C113, Errors!$I:$I, I$1)</f>
        <v>0</v>
      </c>
      <c r="J113" s="309">
        <f>COUNTIFS(Errors!$B:$B, $C113, Errors!$I:$I, J$1)</f>
        <v>0</v>
      </c>
      <c r="K113" s="309">
        <f>COUNTIFS(Errors!$B:$B, $C113, Errors!$I:$I, K$1)</f>
        <v>0</v>
      </c>
      <c r="L113" s="309">
        <f>COUNTIFS(Errors!$B:$B, $C113, Errors!$I:$I, L$1)</f>
        <v>0</v>
      </c>
      <c r="M113" s="309">
        <f>COUNTIFS(Errors!$B:$B, $C113, Errors!$I:$I, M$1)</f>
        <v>0</v>
      </c>
      <c r="N113" s="309">
        <f>COUNTIFS(Errors!$B:$B, $C113, Errors!$I:$I, N$1)</f>
        <v>0</v>
      </c>
      <c r="O113" s="310">
        <f>COUNTIFS(Errors!$B:$B, $C113, Errors!$I:$I, O$1)</f>
        <v>0</v>
      </c>
      <c r="P113" s="309">
        <f>COUNTIFS(Errors!$B:$B, $C113, Errors!$I:$I, P$1)</f>
        <v>0</v>
      </c>
      <c r="Q113" s="309">
        <f>COUNTIFS(Errors!$B:$B, $C113, Errors!$I:$I, Q$1)</f>
        <v>0</v>
      </c>
      <c r="R113" s="309">
        <f>COUNTIFS(Errors!$B:$B, $C113, Errors!$I:$I, R$1)</f>
        <v>0</v>
      </c>
      <c r="S113" s="309">
        <f>COUNTIFS(Errors!$B:$B, $C113, Errors!$I:$I, S$1)</f>
        <v>1</v>
      </c>
      <c r="T113" s="309">
        <f>COUNTIFS(Errors!$B:$B, $C113, Errors!$I:$I, T$1)</f>
        <v>0</v>
      </c>
      <c r="U113" s="309">
        <f>COUNTIFS(Errors!$B:$B, $C113, Errors!$I:$I, U$1)</f>
        <v>0</v>
      </c>
      <c r="V113" s="309">
        <f>COUNTIFS(Errors!$B:$B, $C113, Errors!$I:$I, V$1)</f>
        <v>2</v>
      </c>
      <c r="W113" s="309">
        <f>COUNTIFS(Errors!$B:$B, $C113, Errors!$I:$I, W$1)</f>
        <v>0</v>
      </c>
      <c r="X113" s="309">
        <f>COUNTIFS(Errors!$B:$B, $C113, Errors!$I:$I, X$1)</f>
        <v>0</v>
      </c>
    </row>
    <row r="114" ht="15.75" customHeight="1">
      <c r="A114" s="325">
        <v>0.0</v>
      </c>
      <c r="B114" s="293">
        <f>SourceData!K114</f>
        <v>0.5</v>
      </c>
      <c r="C114" s="294" t="str">
        <f>SourceData!J114</f>
        <v>Valeria Novikova</v>
      </c>
      <c r="D114" s="295">
        <f>(COUNTIF(Errors!$B$3:$B$3010,'Error Count Analysis'!C114))-((COUNTIFS(Errors!$B$3:$B$3010,'Error Count Analysis'!C114, (Errors!$I$3:$I$3010),"TV*")))</f>
        <v>1</v>
      </c>
      <c r="E114" s="296">
        <f t="shared" si="1"/>
        <v>2</v>
      </c>
      <c r="F114" s="297">
        <f>COUNTIFS(Errors!$B:$B, $C114, Errors!$I:$I, F$1)</f>
        <v>0</v>
      </c>
      <c r="G114" s="298">
        <f>COUNTIFS(Errors!$B:$B, $C114, Errors!$I:$I, G$1)</f>
        <v>1</v>
      </c>
      <c r="H114" s="298">
        <f>COUNTIFS(Errors!$B:$B, $C114, Errors!$I:$I, H$1)</f>
        <v>0</v>
      </c>
      <c r="I114" s="298">
        <f>COUNTIFS(Errors!$B:$B, $C114, Errors!$I:$I, I$1)</f>
        <v>0</v>
      </c>
      <c r="J114" s="298">
        <f>COUNTIFS(Errors!$B:$B, $C114, Errors!$I:$I, J$1)</f>
        <v>0</v>
      </c>
      <c r="K114" s="298">
        <f>COUNTIFS(Errors!$B:$B, $C114, Errors!$I:$I, K$1)</f>
        <v>0</v>
      </c>
      <c r="L114" s="298">
        <f>COUNTIFS(Errors!$B:$B, $C114, Errors!$I:$I, L$1)</f>
        <v>0</v>
      </c>
      <c r="M114" s="298">
        <f>COUNTIFS(Errors!$B:$B, $C114, Errors!$I:$I, M$1)</f>
        <v>0</v>
      </c>
      <c r="N114" s="298">
        <f>COUNTIFS(Errors!$B:$B, $C114, Errors!$I:$I, N$1)</f>
        <v>0</v>
      </c>
      <c r="O114" s="299">
        <f>COUNTIFS(Errors!$B:$B, $C114, Errors!$I:$I, O$1)</f>
        <v>0</v>
      </c>
      <c r="P114" s="298">
        <f>COUNTIFS(Errors!$B:$B, $C114, Errors!$I:$I, P$1)</f>
        <v>0</v>
      </c>
      <c r="Q114" s="298">
        <f>COUNTIFS(Errors!$B:$B, $C114, Errors!$I:$I, Q$1)</f>
        <v>0</v>
      </c>
      <c r="R114" s="298">
        <f>COUNTIFS(Errors!$B:$B, $C114, Errors!$I:$I, R$1)</f>
        <v>0</v>
      </c>
      <c r="S114" s="298">
        <f>COUNTIFS(Errors!$B:$B, $C114, Errors!$I:$I, S$1)</f>
        <v>0</v>
      </c>
      <c r="T114" s="298">
        <f>COUNTIFS(Errors!$B:$B, $C114, Errors!$I:$I, T$1)</f>
        <v>0</v>
      </c>
      <c r="U114" s="298">
        <f>COUNTIFS(Errors!$B:$B, $C114, Errors!$I:$I, U$1)</f>
        <v>0</v>
      </c>
      <c r="V114" s="298">
        <f>COUNTIFS(Errors!$B:$B, $C114, Errors!$I:$I, V$1)</f>
        <v>0</v>
      </c>
      <c r="W114" s="298">
        <f>COUNTIFS(Errors!$B:$B, $C114, Errors!$I:$I, W$1)</f>
        <v>0</v>
      </c>
      <c r="X114" s="298">
        <f>COUNTIFS(Errors!$B:$B, $C114, Errors!$I:$I, X$1)</f>
        <v>0</v>
      </c>
    </row>
    <row r="115" ht="15.75" customHeight="1">
      <c r="A115" s="305">
        <v>0.0</v>
      </c>
      <c r="B115" s="304">
        <f>SourceData!K115</f>
        <v>1</v>
      </c>
      <c r="C115" s="305" t="str">
        <f>SourceData!J115</f>
        <v>Liva Ozolina</v>
      </c>
      <c r="D115" s="306">
        <f>(COUNTIF(Errors!$B$3:$B$3010,'Error Count Analysis'!C115))-((COUNTIFS(Errors!$B$3:$B$3010,'Error Count Analysis'!C115, (Errors!$I$3:$I$3010),"TV*")))</f>
        <v>3</v>
      </c>
      <c r="E115" s="307">
        <f t="shared" si="1"/>
        <v>3</v>
      </c>
      <c r="F115" s="308">
        <f>COUNTIFS(Errors!$B:$B, $C115, Errors!$I:$I, F$1)</f>
        <v>0</v>
      </c>
      <c r="G115" s="309">
        <f>COUNTIFS(Errors!$B:$B, $C115, Errors!$I:$I, G$1)</f>
        <v>0</v>
      </c>
      <c r="H115" s="309">
        <f>COUNTIFS(Errors!$B:$B, $C115, Errors!$I:$I, H$1)</f>
        <v>0</v>
      </c>
      <c r="I115" s="309">
        <f>COUNTIFS(Errors!$B:$B, $C115, Errors!$I:$I, I$1)</f>
        <v>1</v>
      </c>
      <c r="J115" s="309">
        <f>COUNTIFS(Errors!$B:$B, $C115, Errors!$I:$I, J$1)</f>
        <v>0</v>
      </c>
      <c r="K115" s="309">
        <f>COUNTIFS(Errors!$B:$B, $C115, Errors!$I:$I, K$1)</f>
        <v>0</v>
      </c>
      <c r="L115" s="309">
        <f>COUNTIFS(Errors!$B:$B, $C115, Errors!$I:$I, L$1)</f>
        <v>0</v>
      </c>
      <c r="M115" s="309">
        <f>COUNTIFS(Errors!$B:$B, $C115, Errors!$I:$I, M$1)</f>
        <v>0</v>
      </c>
      <c r="N115" s="309">
        <f>COUNTIFS(Errors!$B:$B, $C115, Errors!$I:$I, N$1)</f>
        <v>0</v>
      </c>
      <c r="O115" s="310">
        <f>COUNTIFS(Errors!$B:$B, $C115, Errors!$I:$I, O$1)</f>
        <v>0</v>
      </c>
      <c r="P115" s="309">
        <f>COUNTIFS(Errors!$B:$B, $C115, Errors!$I:$I, P$1)</f>
        <v>0</v>
      </c>
      <c r="Q115" s="309">
        <f>COUNTIFS(Errors!$B:$B, $C115, Errors!$I:$I, Q$1)</f>
        <v>0</v>
      </c>
      <c r="R115" s="309">
        <f>COUNTIFS(Errors!$B:$B, $C115, Errors!$I:$I, R$1)</f>
        <v>0</v>
      </c>
      <c r="S115" s="309">
        <f>COUNTIFS(Errors!$B:$B, $C115, Errors!$I:$I, S$1)</f>
        <v>0</v>
      </c>
      <c r="T115" s="309">
        <f>COUNTIFS(Errors!$B:$B, $C115, Errors!$I:$I, T$1)</f>
        <v>0</v>
      </c>
      <c r="U115" s="309">
        <f>COUNTIFS(Errors!$B:$B, $C115, Errors!$I:$I, U$1)</f>
        <v>0</v>
      </c>
      <c r="V115" s="309">
        <f>COUNTIFS(Errors!$B:$B, $C115, Errors!$I:$I, V$1)</f>
        <v>2</v>
      </c>
      <c r="W115" s="309">
        <f>COUNTIFS(Errors!$B:$B, $C115, Errors!$I:$I, W$1)</f>
        <v>0</v>
      </c>
      <c r="X115" s="309">
        <f>COUNTIFS(Errors!$B:$B, $C115, Errors!$I:$I, X$1)</f>
        <v>0</v>
      </c>
    </row>
    <row r="116" ht="15.75" customHeight="1">
      <c r="A116" s="325">
        <v>0.0</v>
      </c>
      <c r="B116" s="293">
        <f>SourceData!K116</f>
        <v>0.75</v>
      </c>
      <c r="C116" s="294" t="str">
        <f>SourceData!J116</f>
        <v>Nikol Tulaidan</v>
      </c>
      <c r="D116" s="295">
        <f>(COUNTIF(Errors!$B$3:$B$3010,'Error Count Analysis'!C116))-((COUNTIFS(Errors!$B$3:$B$3010,'Error Count Analysis'!C116, (Errors!$I$3:$I$3010),"TV*")))</f>
        <v>1</v>
      </c>
      <c r="E116" s="296">
        <f t="shared" si="1"/>
        <v>1.333333333</v>
      </c>
      <c r="F116" s="297">
        <f>COUNTIFS(Errors!$B:$B, $C116, Errors!$I:$I, F$1)</f>
        <v>0</v>
      </c>
      <c r="G116" s="298">
        <f>COUNTIFS(Errors!$B:$B, $C116, Errors!$I:$I, G$1)</f>
        <v>0</v>
      </c>
      <c r="H116" s="298">
        <f>COUNTIFS(Errors!$B:$B, $C116, Errors!$I:$I, H$1)</f>
        <v>0</v>
      </c>
      <c r="I116" s="298">
        <f>COUNTIFS(Errors!$B:$B, $C116, Errors!$I:$I, I$1)</f>
        <v>0</v>
      </c>
      <c r="J116" s="298">
        <f>COUNTIFS(Errors!$B:$B, $C116, Errors!$I:$I, J$1)</f>
        <v>0</v>
      </c>
      <c r="K116" s="298">
        <f>COUNTIFS(Errors!$B:$B, $C116, Errors!$I:$I, K$1)</f>
        <v>0</v>
      </c>
      <c r="L116" s="298">
        <f>COUNTIFS(Errors!$B:$B, $C116, Errors!$I:$I, L$1)</f>
        <v>0</v>
      </c>
      <c r="M116" s="298">
        <f>COUNTIFS(Errors!$B:$B, $C116, Errors!$I:$I, M$1)</f>
        <v>0</v>
      </c>
      <c r="N116" s="298">
        <f>COUNTIFS(Errors!$B:$B, $C116, Errors!$I:$I, N$1)</f>
        <v>0</v>
      </c>
      <c r="O116" s="299">
        <f>COUNTIFS(Errors!$B:$B, $C116, Errors!$I:$I, O$1)</f>
        <v>0</v>
      </c>
      <c r="P116" s="298">
        <f>COUNTIFS(Errors!$B:$B, $C116, Errors!$I:$I, P$1)</f>
        <v>0</v>
      </c>
      <c r="Q116" s="298">
        <f>COUNTIFS(Errors!$B:$B, $C116, Errors!$I:$I, Q$1)</f>
        <v>0</v>
      </c>
      <c r="R116" s="298">
        <f>COUNTIFS(Errors!$B:$B, $C116, Errors!$I:$I, R$1)</f>
        <v>0</v>
      </c>
      <c r="S116" s="298">
        <f>COUNTIFS(Errors!$B:$B, $C116, Errors!$I:$I, S$1)</f>
        <v>0</v>
      </c>
      <c r="T116" s="298">
        <f>COUNTIFS(Errors!$B:$B, $C116, Errors!$I:$I, T$1)</f>
        <v>0</v>
      </c>
      <c r="U116" s="298">
        <f>COUNTIFS(Errors!$B:$B, $C116, Errors!$I:$I, U$1)</f>
        <v>0</v>
      </c>
      <c r="V116" s="298">
        <f>COUNTIFS(Errors!$B:$B, $C116, Errors!$I:$I, V$1)</f>
        <v>0</v>
      </c>
      <c r="W116" s="298">
        <f>COUNTIFS(Errors!$B:$B, $C116, Errors!$I:$I, W$1)</f>
        <v>0</v>
      </c>
      <c r="X116" s="298">
        <f>COUNTIFS(Errors!$B:$B, $C116, Errors!$I:$I, X$1)</f>
        <v>1</v>
      </c>
    </row>
    <row r="117" ht="15.75" customHeight="1">
      <c r="A117" s="305">
        <v>0.0</v>
      </c>
      <c r="B117" s="304">
        <f>SourceData!K117</f>
        <v>1</v>
      </c>
      <c r="C117" s="305" t="str">
        <f>SourceData!J117</f>
        <v>Kristina Derkach</v>
      </c>
      <c r="D117" s="306">
        <f>(COUNTIF(Errors!$B$3:$B$3010,'Error Count Analysis'!C117))-((COUNTIFS(Errors!$B$3:$B$3010,'Error Count Analysis'!C117, (Errors!$I$3:$I$3010),"TV*")))</f>
        <v>8</v>
      </c>
      <c r="E117" s="307">
        <f t="shared" si="1"/>
        <v>8</v>
      </c>
      <c r="F117" s="308">
        <f>COUNTIFS(Errors!$B:$B, $C117, Errors!$I:$I, F$1)</f>
        <v>1</v>
      </c>
      <c r="G117" s="309">
        <f>COUNTIFS(Errors!$B:$B, $C117, Errors!$I:$I, G$1)</f>
        <v>0</v>
      </c>
      <c r="H117" s="309">
        <f>COUNTIFS(Errors!$B:$B, $C117, Errors!$I:$I, H$1)</f>
        <v>0</v>
      </c>
      <c r="I117" s="309">
        <f>COUNTIFS(Errors!$B:$B, $C117, Errors!$I:$I, I$1)</f>
        <v>0</v>
      </c>
      <c r="J117" s="309">
        <f>COUNTIFS(Errors!$B:$B, $C117, Errors!$I:$I, J$1)</f>
        <v>1</v>
      </c>
      <c r="K117" s="309">
        <f>COUNTIFS(Errors!$B:$B, $C117, Errors!$I:$I, K$1)</f>
        <v>0</v>
      </c>
      <c r="L117" s="309">
        <f>COUNTIFS(Errors!$B:$B, $C117, Errors!$I:$I, L$1)</f>
        <v>0</v>
      </c>
      <c r="M117" s="309">
        <f>COUNTIFS(Errors!$B:$B, $C117, Errors!$I:$I, M$1)</f>
        <v>0</v>
      </c>
      <c r="N117" s="309">
        <f>COUNTIFS(Errors!$B:$B, $C117, Errors!$I:$I, N$1)</f>
        <v>0</v>
      </c>
      <c r="O117" s="310">
        <f>COUNTIFS(Errors!$B:$B, $C117, Errors!$I:$I, O$1)</f>
        <v>3</v>
      </c>
      <c r="P117" s="309">
        <f>COUNTIFS(Errors!$B:$B, $C117, Errors!$I:$I, P$1)</f>
        <v>0</v>
      </c>
      <c r="Q117" s="309">
        <f>COUNTIFS(Errors!$B:$B, $C117, Errors!$I:$I, Q$1)</f>
        <v>0</v>
      </c>
      <c r="R117" s="309">
        <f>COUNTIFS(Errors!$B:$B, $C117, Errors!$I:$I, R$1)</f>
        <v>0</v>
      </c>
      <c r="S117" s="309">
        <f>COUNTIFS(Errors!$B:$B, $C117, Errors!$I:$I, S$1)</f>
        <v>0</v>
      </c>
      <c r="T117" s="309">
        <f>COUNTIFS(Errors!$B:$B, $C117, Errors!$I:$I, T$1)</f>
        <v>0</v>
      </c>
      <c r="U117" s="309">
        <f>COUNTIFS(Errors!$B:$B, $C117, Errors!$I:$I, U$1)</f>
        <v>0</v>
      </c>
      <c r="V117" s="309">
        <f>COUNTIFS(Errors!$B:$B, $C117, Errors!$I:$I, V$1)</f>
        <v>2</v>
      </c>
      <c r="W117" s="309">
        <f>COUNTIFS(Errors!$B:$B, $C117, Errors!$I:$I, W$1)</f>
        <v>0</v>
      </c>
      <c r="X117" s="309">
        <f>COUNTIFS(Errors!$B:$B, $C117, Errors!$I:$I, X$1)</f>
        <v>1</v>
      </c>
    </row>
    <row r="118" ht="15.75" customHeight="1">
      <c r="A118" s="325">
        <v>0.0</v>
      </c>
      <c r="B118" s="293">
        <f>SourceData!K118</f>
        <v>1</v>
      </c>
      <c r="C118" s="294" t="str">
        <f>SourceData!J118</f>
        <v>Eliise Jõgar</v>
      </c>
      <c r="D118" s="295">
        <f>(COUNTIF(Errors!$B$3:$B$3010,'Error Count Analysis'!C118))-((COUNTIFS(Errors!$B$3:$B$3010,'Error Count Analysis'!C118, (Errors!$I$3:$I$3010),"TV*")))</f>
        <v>0</v>
      </c>
      <c r="E118" s="296">
        <f t="shared" si="1"/>
        <v>0</v>
      </c>
      <c r="F118" s="297">
        <f>COUNTIFS(Errors!$B:$B, $C118, Errors!$I:$I, F$1)</f>
        <v>0</v>
      </c>
      <c r="G118" s="298">
        <f>COUNTIFS(Errors!$B:$B, $C118, Errors!$I:$I, G$1)</f>
        <v>0</v>
      </c>
      <c r="H118" s="298">
        <f>COUNTIFS(Errors!$B:$B, $C118, Errors!$I:$I, H$1)</f>
        <v>0</v>
      </c>
      <c r="I118" s="298">
        <f>COUNTIFS(Errors!$B:$B, $C118, Errors!$I:$I, I$1)</f>
        <v>0</v>
      </c>
      <c r="J118" s="298">
        <f>COUNTIFS(Errors!$B:$B, $C118, Errors!$I:$I, J$1)</f>
        <v>0</v>
      </c>
      <c r="K118" s="298">
        <f>COUNTIFS(Errors!$B:$B, $C118, Errors!$I:$I, K$1)</f>
        <v>0</v>
      </c>
      <c r="L118" s="298">
        <f>COUNTIFS(Errors!$B:$B, $C118, Errors!$I:$I, L$1)</f>
        <v>0</v>
      </c>
      <c r="M118" s="298">
        <f>COUNTIFS(Errors!$B:$B, $C118, Errors!$I:$I, M$1)</f>
        <v>0</v>
      </c>
      <c r="N118" s="298">
        <f>COUNTIFS(Errors!$B:$B, $C118, Errors!$I:$I, N$1)</f>
        <v>0</v>
      </c>
      <c r="O118" s="299">
        <f>COUNTIFS(Errors!$B:$B, $C118, Errors!$I:$I, O$1)</f>
        <v>0</v>
      </c>
      <c r="P118" s="298">
        <f>COUNTIFS(Errors!$B:$B, $C118, Errors!$I:$I, P$1)</f>
        <v>0</v>
      </c>
      <c r="Q118" s="298">
        <f>COUNTIFS(Errors!$B:$B, $C118, Errors!$I:$I, Q$1)</f>
        <v>0</v>
      </c>
      <c r="R118" s="298">
        <f>COUNTIFS(Errors!$B:$B, $C118, Errors!$I:$I, R$1)</f>
        <v>0</v>
      </c>
      <c r="S118" s="298">
        <f>COUNTIFS(Errors!$B:$B, $C118, Errors!$I:$I, S$1)</f>
        <v>0</v>
      </c>
      <c r="T118" s="298">
        <f>COUNTIFS(Errors!$B:$B, $C118, Errors!$I:$I, T$1)</f>
        <v>0</v>
      </c>
      <c r="U118" s="298">
        <f>COUNTIFS(Errors!$B:$B, $C118, Errors!$I:$I, U$1)</f>
        <v>0</v>
      </c>
      <c r="V118" s="298">
        <f>COUNTIFS(Errors!$B:$B, $C118, Errors!$I:$I, V$1)</f>
        <v>0</v>
      </c>
      <c r="W118" s="298">
        <f>COUNTIFS(Errors!$B:$B, $C118, Errors!$I:$I, W$1)</f>
        <v>0</v>
      </c>
      <c r="X118" s="298">
        <f>COUNTIFS(Errors!$B:$B, $C118, Errors!$I:$I, X$1)</f>
        <v>0</v>
      </c>
    </row>
    <row r="119" ht="15.75" customHeight="1">
      <c r="A119" s="305">
        <v>0.0</v>
      </c>
      <c r="B119" s="304">
        <f>SourceData!K119</f>
        <v>1</v>
      </c>
      <c r="C119" s="305" t="str">
        <f>SourceData!J119</f>
        <v>Crystal Vanessa Viba</v>
      </c>
      <c r="D119" s="306">
        <f>(COUNTIF(Errors!$B$3:$B$3010,'Error Count Analysis'!C119))-((COUNTIFS(Errors!$B$3:$B$3010,'Error Count Analysis'!C119, (Errors!$I$3:$I$3010),"TV*")))</f>
        <v>1</v>
      </c>
      <c r="E119" s="307">
        <f t="shared" si="1"/>
        <v>1</v>
      </c>
      <c r="F119" s="308">
        <f>COUNTIFS(Errors!$B:$B, $C119, Errors!$I:$I, F$1)</f>
        <v>0</v>
      </c>
      <c r="G119" s="309">
        <f>COUNTIFS(Errors!$B:$B, $C119, Errors!$I:$I, G$1)</f>
        <v>1</v>
      </c>
      <c r="H119" s="309">
        <f>COUNTIFS(Errors!$B:$B, $C119, Errors!$I:$I, H$1)</f>
        <v>0</v>
      </c>
      <c r="I119" s="309">
        <f>COUNTIFS(Errors!$B:$B, $C119, Errors!$I:$I, I$1)</f>
        <v>0</v>
      </c>
      <c r="J119" s="309">
        <f>COUNTIFS(Errors!$B:$B, $C119, Errors!$I:$I, J$1)</f>
        <v>0</v>
      </c>
      <c r="K119" s="309">
        <f>COUNTIFS(Errors!$B:$B, $C119, Errors!$I:$I, K$1)</f>
        <v>0</v>
      </c>
      <c r="L119" s="309">
        <f>COUNTIFS(Errors!$B:$B, $C119, Errors!$I:$I, L$1)</f>
        <v>0</v>
      </c>
      <c r="M119" s="309">
        <f>COUNTIFS(Errors!$B:$B, $C119, Errors!$I:$I, M$1)</f>
        <v>0</v>
      </c>
      <c r="N119" s="309">
        <f>COUNTIFS(Errors!$B:$B, $C119, Errors!$I:$I, N$1)</f>
        <v>0</v>
      </c>
      <c r="O119" s="310">
        <f>COUNTIFS(Errors!$B:$B, $C119, Errors!$I:$I, O$1)</f>
        <v>0</v>
      </c>
      <c r="P119" s="309">
        <f>COUNTIFS(Errors!$B:$B, $C119, Errors!$I:$I, P$1)</f>
        <v>0</v>
      </c>
      <c r="Q119" s="309">
        <f>COUNTIFS(Errors!$B:$B, $C119, Errors!$I:$I, Q$1)</f>
        <v>0</v>
      </c>
      <c r="R119" s="309">
        <f>COUNTIFS(Errors!$B:$B, $C119, Errors!$I:$I, R$1)</f>
        <v>0</v>
      </c>
      <c r="S119" s="309">
        <f>COUNTIFS(Errors!$B:$B, $C119, Errors!$I:$I, S$1)</f>
        <v>0</v>
      </c>
      <c r="T119" s="309">
        <f>COUNTIFS(Errors!$B:$B, $C119, Errors!$I:$I, T$1)</f>
        <v>0</v>
      </c>
      <c r="U119" s="309">
        <f>COUNTIFS(Errors!$B:$B, $C119, Errors!$I:$I, U$1)</f>
        <v>0</v>
      </c>
      <c r="V119" s="309">
        <f>COUNTIFS(Errors!$B:$B, $C119, Errors!$I:$I, V$1)</f>
        <v>0</v>
      </c>
      <c r="W119" s="309">
        <f>COUNTIFS(Errors!$B:$B, $C119, Errors!$I:$I, W$1)</f>
        <v>0</v>
      </c>
      <c r="X119" s="309">
        <f>COUNTIFS(Errors!$B:$B, $C119, Errors!$I:$I, X$1)</f>
        <v>0</v>
      </c>
    </row>
    <row r="120" ht="15.75" customHeight="1">
      <c r="A120" s="325">
        <v>0.0</v>
      </c>
      <c r="B120" s="293">
        <f>SourceData!K120</f>
        <v>0.5</v>
      </c>
      <c r="C120" s="294" t="str">
        <f>SourceData!J120</f>
        <v>Anna Ševtšenko</v>
      </c>
      <c r="D120" s="295">
        <f>(COUNTIF(Errors!$B$3:$B$3010,'Error Count Analysis'!C120))-((COUNTIFS(Errors!$B$3:$B$3010,'Error Count Analysis'!C120, (Errors!$I$3:$I$3010),"TV*")))</f>
        <v>1</v>
      </c>
      <c r="E120" s="296">
        <f t="shared" si="1"/>
        <v>2</v>
      </c>
      <c r="F120" s="297">
        <f>COUNTIFS(Errors!$B:$B, $C120, Errors!$I:$I, F$1)</f>
        <v>0</v>
      </c>
      <c r="G120" s="298">
        <f>COUNTIFS(Errors!$B:$B, $C120, Errors!$I:$I, G$1)</f>
        <v>0</v>
      </c>
      <c r="H120" s="298">
        <f>COUNTIFS(Errors!$B:$B, $C120, Errors!$I:$I, H$1)</f>
        <v>0</v>
      </c>
      <c r="I120" s="298">
        <f>COUNTIFS(Errors!$B:$B, $C120, Errors!$I:$I, I$1)</f>
        <v>0</v>
      </c>
      <c r="J120" s="298">
        <f>COUNTIFS(Errors!$B:$B, $C120, Errors!$I:$I, J$1)</f>
        <v>0</v>
      </c>
      <c r="K120" s="298">
        <f>COUNTIFS(Errors!$B:$B, $C120, Errors!$I:$I, K$1)</f>
        <v>0</v>
      </c>
      <c r="L120" s="298">
        <f>COUNTIFS(Errors!$B:$B, $C120, Errors!$I:$I, L$1)</f>
        <v>0</v>
      </c>
      <c r="M120" s="298">
        <f>COUNTIFS(Errors!$B:$B, $C120, Errors!$I:$I, M$1)</f>
        <v>0</v>
      </c>
      <c r="N120" s="298">
        <f>COUNTIFS(Errors!$B:$B, $C120, Errors!$I:$I, N$1)</f>
        <v>0</v>
      </c>
      <c r="O120" s="299">
        <f>COUNTIFS(Errors!$B:$B, $C120, Errors!$I:$I, O$1)</f>
        <v>0</v>
      </c>
      <c r="P120" s="298">
        <f>COUNTIFS(Errors!$B:$B, $C120, Errors!$I:$I, P$1)</f>
        <v>0</v>
      </c>
      <c r="Q120" s="298">
        <f>COUNTIFS(Errors!$B:$B, $C120, Errors!$I:$I, Q$1)</f>
        <v>0</v>
      </c>
      <c r="R120" s="298">
        <f>COUNTIFS(Errors!$B:$B, $C120, Errors!$I:$I, R$1)</f>
        <v>0</v>
      </c>
      <c r="S120" s="298">
        <f>COUNTIFS(Errors!$B:$B, $C120, Errors!$I:$I, S$1)</f>
        <v>1</v>
      </c>
      <c r="T120" s="298">
        <f>COUNTIFS(Errors!$B:$B, $C120, Errors!$I:$I, T$1)</f>
        <v>0</v>
      </c>
      <c r="U120" s="298">
        <f>COUNTIFS(Errors!$B:$B, $C120, Errors!$I:$I, U$1)</f>
        <v>0</v>
      </c>
      <c r="V120" s="298">
        <f>COUNTIFS(Errors!$B:$B, $C120, Errors!$I:$I, V$1)</f>
        <v>0</v>
      </c>
      <c r="W120" s="298">
        <f>COUNTIFS(Errors!$B:$B, $C120, Errors!$I:$I, W$1)</f>
        <v>0</v>
      </c>
      <c r="X120" s="298">
        <f>COUNTIFS(Errors!$B:$B, $C120, Errors!$I:$I, X$1)</f>
        <v>0</v>
      </c>
    </row>
    <row r="121" ht="15.75" customHeight="1">
      <c r="A121" s="305">
        <v>0.0</v>
      </c>
      <c r="B121" s="304">
        <f>SourceData!K121</f>
        <v>1</v>
      </c>
      <c r="C121" s="305" t="str">
        <f>SourceData!J121</f>
        <v>Arabella Pastak </v>
      </c>
      <c r="D121" s="306">
        <f>(COUNTIF(Errors!$B$3:$B$3010,'Error Count Analysis'!C121))-((COUNTIFS(Errors!$B$3:$B$3010,'Error Count Analysis'!C121, (Errors!$I$3:$I$3010),"TV*")))</f>
        <v>4</v>
      </c>
      <c r="E121" s="307">
        <f t="shared" si="1"/>
        <v>4</v>
      </c>
      <c r="F121" s="308">
        <f>COUNTIFS(Errors!$B:$B, $C121, Errors!$I:$I, F$1)</f>
        <v>0</v>
      </c>
      <c r="G121" s="309">
        <f>COUNTIFS(Errors!$B:$B, $C121, Errors!$I:$I, G$1)</f>
        <v>1</v>
      </c>
      <c r="H121" s="309">
        <f>COUNTIFS(Errors!$B:$B, $C121, Errors!$I:$I, H$1)</f>
        <v>0</v>
      </c>
      <c r="I121" s="309">
        <f>COUNTIFS(Errors!$B:$B, $C121, Errors!$I:$I, I$1)</f>
        <v>0</v>
      </c>
      <c r="J121" s="309">
        <f>COUNTIFS(Errors!$B:$B, $C121, Errors!$I:$I, J$1)</f>
        <v>2</v>
      </c>
      <c r="K121" s="309">
        <f>COUNTIFS(Errors!$B:$B, $C121, Errors!$I:$I, K$1)</f>
        <v>0</v>
      </c>
      <c r="L121" s="309">
        <f>COUNTIFS(Errors!$B:$B, $C121, Errors!$I:$I, L$1)</f>
        <v>0</v>
      </c>
      <c r="M121" s="309">
        <f>COUNTIFS(Errors!$B:$B, $C121, Errors!$I:$I, M$1)</f>
        <v>0</v>
      </c>
      <c r="N121" s="309">
        <f>COUNTIFS(Errors!$B:$B, $C121, Errors!$I:$I, N$1)</f>
        <v>1</v>
      </c>
      <c r="O121" s="310">
        <f>COUNTIFS(Errors!$B:$B, $C121, Errors!$I:$I, O$1)</f>
        <v>0</v>
      </c>
      <c r="P121" s="309">
        <f>COUNTIFS(Errors!$B:$B, $C121, Errors!$I:$I, P$1)</f>
        <v>0</v>
      </c>
      <c r="Q121" s="309">
        <f>COUNTIFS(Errors!$B:$B, $C121, Errors!$I:$I, Q$1)</f>
        <v>0</v>
      </c>
      <c r="R121" s="309">
        <f>COUNTIFS(Errors!$B:$B, $C121, Errors!$I:$I, R$1)</f>
        <v>0</v>
      </c>
      <c r="S121" s="309">
        <f>COUNTIFS(Errors!$B:$B, $C121, Errors!$I:$I, S$1)</f>
        <v>0</v>
      </c>
      <c r="T121" s="309">
        <f>COUNTIFS(Errors!$B:$B, $C121, Errors!$I:$I, T$1)</f>
        <v>0</v>
      </c>
      <c r="U121" s="309">
        <f>COUNTIFS(Errors!$B:$B, $C121, Errors!$I:$I, U$1)</f>
        <v>0</v>
      </c>
      <c r="V121" s="309">
        <f>COUNTIFS(Errors!$B:$B, $C121, Errors!$I:$I, V$1)</f>
        <v>0</v>
      </c>
      <c r="W121" s="309">
        <f>COUNTIFS(Errors!$B:$B, $C121, Errors!$I:$I, W$1)</f>
        <v>0</v>
      </c>
      <c r="X121" s="309">
        <f>COUNTIFS(Errors!$B:$B, $C121, Errors!$I:$I, X$1)</f>
        <v>0</v>
      </c>
    </row>
    <row r="122" ht="15.75" customHeight="1">
      <c r="A122" s="325">
        <v>0.0</v>
      </c>
      <c r="B122" s="293">
        <f>SourceData!K122</f>
        <v>0.75</v>
      </c>
      <c r="C122" s="294" t="str">
        <f>SourceData!J122</f>
        <v>Isabel Köhler</v>
      </c>
      <c r="D122" s="295">
        <f>(COUNTIF(Errors!$B$3:$B$3010,'Error Count Analysis'!C122))-((COUNTIFS(Errors!$B$3:$B$3010,'Error Count Analysis'!C122, (Errors!$I$3:$I$3010),"TV*")))</f>
        <v>4</v>
      </c>
      <c r="E122" s="296">
        <f t="shared" si="1"/>
        <v>5.333333333</v>
      </c>
      <c r="F122" s="297">
        <f>COUNTIFS(Errors!$B:$B, $C122, Errors!$I:$I, F$1)</f>
        <v>1</v>
      </c>
      <c r="G122" s="298">
        <f>COUNTIFS(Errors!$B:$B, $C122, Errors!$I:$I, G$1)</f>
        <v>0</v>
      </c>
      <c r="H122" s="298">
        <f>COUNTIFS(Errors!$B:$B, $C122, Errors!$I:$I, H$1)</f>
        <v>0</v>
      </c>
      <c r="I122" s="298">
        <f>COUNTIFS(Errors!$B:$B, $C122, Errors!$I:$I, I$1)</f>
        <v>0</v>
      </c>
      <c r="J122" s="298">
        <f>COUNTIFS(Errors!$B:$B, $C122, Errors!$I:$I, J$1)</f>
        <v>2</v>
      </c>
      <c r="K122" s="298">
        <f>COUNTIFS(Errors!$B:$B, $C122, Errors!$I:$I, K$1)</f>
        <v>0</v>
      </c>
      <c r="L122" s="298">
        <f>COUNTIFS(Errors!$B:$B, $C122, Errors!$I:$I, L$1)</f>
        <v>0</v>
      </c>
      <c r="M122" s="298">
        <f>COUNTIFS(Errors!$B:$B, $C122, Errors!$I:$I, M$1)</f>
        <v>0</v>
      </c>
      <c r="N122" s="298">
        <f>COUNTIFS(Errors!$B:$B, $C122, Errors!$I:$I, N$1)</f>
        <v>0</v>
      </c>
      <c r="O122" s="299">
        <f>COUNTIFS(Errors!$B:$B, $C122, Errors!$I:$I, O$1)</f>
        <v>0</v>
      </c>
      <c r="P122" s="298">
        <f>COUNTIFS(Errors!$B:$B, $C122, Errors!$I:$I, P$1)</f>
        <v>0</v>
      </c>
      <c r="Q122" s="298">
        <f>COUNTIFS(Errors!$B:$B, $C122, Errors!$I:$I, Q$1)</f>
        <v>0</v>
      </c>
      <c r="R122" s="298">
        <f>COUNTIFS(Errors!$B:$B, $C122, Errors!$I:$I, R$1)</f>
        <v>0</v>
      </c>
      <c r="S122" s="298">
        <f>COUNTIFS(Errors!$B:$B, $C122, Errors!$I:$I, S$1)</f>
        <v>1</v>
      </c>
      <c r="T122" s="298">
        <f>COUNTIFS(Errors!$B:$B, $C122, Errors!$I:$I, T$1)</f>
        <v>0</v>
      </c>
      <c r="U122" s="298">
        <f>COUNTIFS(Errors!$B:$B, $C122, Errors!$I:$I, U$1)</f>
        <v>0</v>
      </c>
      <c r="V122" s="298">
        <f>COUNTIFS(Errors!$B:$B, $C122, Errors!$I:$I, V$1)</f>
        <v>0</v>
      </c>
      <c r="W122" s="298">
        <f>COUNTIFS(Errors!$B:$B, $C122, Errors!$I:$I, W$1)</f>
        <v>0</v>
      </c>
      <c r="X122" s="298">
        <f>COUNTIFS(Errors!$B:$B, $C122, Errors!$I:$I, X$1)</f>
        <v>0</v>
      </c>
    </row>
    <row r="123" ht="15.75" customHeight="1">
      <c r="A123" s="305">
        <v>0.0</v>
      </c>
      <c r="B123" s="304">
        <f>SourceData!K123</f>
        <v>0.75</v>
      </c>
      <c r="C123" s="305" t="str">
        <f>SourceData!J123</f>
        <v>Caroly Lepp</v>
      </c>
      <c r="D123" s="306">
        <f>(COUNTIF(Errors!$B$3:$B$3010,'Error Count Analysis'!C123))-((COUNTIFS(Errors!$B$3:$B$3010,'Error Count Analysis'!C123, (Errors!$I$3:$I$3010),"TV*")))</f>
        <v>3</v>
      </c>
      <c r="E123" s="307">
        <f t="shared" si="1"/>
        <v>4</v>
      </c>
      <c r="F123" s="308">
        <f>COUNTIFS(Errors!$B:$B, $C123, Errors!$I:$I, F$1)</f>
        <v>0</v>
      </c>
      <c r="G123" s="309">
        <f>COUNTIFS(Errors!$B:$B, $C123, Errors!$I:$I, G$1)</f>
        <v>1</v>
      </c>
      <c r="H123" s="309">
        <f>COUNTIFS(Errors!$B:$B, $C123, Errors!$I:$I, H$1)</f>
        <v>0</v>
      </c>
      <c r="I123" s="309">
        <f>COUNTIFS(Errors!$B:$B, $C123, Errors!$I:$I, I$1)</f>
        <v>0</v>
      </c>
      <c r="J123" s="309">
        <f>COUNTIFS(Errors!$B:$B, $C123, Errors!$I:$I, J$1)</f>
        <v>1</v>
      </c>
      <c r="K123" s="309">
        <f>COUNTIFS(Errors!$B:$B, $C123, Errors!$I:$I, K$1)</f>
        <v>0</v>
      </c>
      <c r="L123" s="309">
        <f>COUNTIFS(Errors!$B:$B, $C123, Errors!$I:$I, L$1)</f>
        <v>0</v>
      </c>
      <c r="M123" s="309">
        <f>COUNTIFS(Errors!$B:$B, $C123, Errors!$I:$I, M$1)</f>
        <v>0</v>
      </c>
      <c r="N123" s="309">
        <f>COUNTIFS(Errors!$B:$B, $C123, Errors!$I:$I, N$1)</f>
        <v>0</v>
      </c>
      <c r="O123" s="310">
        <f>COUNTIFS(Errors!$B:$B, $C123, Errors!$I:$I, O$1)</f>
        <v>0</v>
      </c>
      <c r="P123" s="309">
        <f>COUNTIFS(Errors!$B:$B, $C123, Errors!$I:$I, P$1)</f>
        <v>0</v>
      </c>
      <c r="Q123" s="309">
        <f>COUNTIFS(Errors!$B:$B, $C123, Errors!$I:$I, Q$1)</f>
        <v>0</v>
      </c>
      <c r="R123" s="309">
        <f>COUNTIFS(Errors!$B:$B, $C123, Errors!$I:$I, R$1)</f>
        <v>0</v>
      </c>
      <c r="S123" s="309">
        <f>COUNTIFS(Errors!$B:$B, $C123, Errors!$I:$I, S$1)</f>
        <v>1</v>
      </c>
      <c r="T123" s="309">
        <f>COUNTIFS(Errors!$B:$B, $C123, Errors!$I:$I, T$1)</f>
        <v>0</v>
      </c>
      <c r="U123" s="309">
        <f>COUNTIFS(Errors!$B:$B, $C123, Errors!$I:$I, U$1)</f>
        <v>0</v>
      </c>
      <c r="V123" s="309">
        <f>COUNTIFS(Errors!$B:$B, $C123, Errors!$I:$I, V$1)</f>
        <v>0</v>
      </c>
      <c r="W123" s="309">
        <f>COUNTIFS(Errors!$B:$B, $C123, Errors!$I:$I, W$1)</f>
        <v>0</v>
      </c>
      <c r="X123" s="309">
        <f>COUNTIFS(Errors!$B:$B, $C123, Errors!$I:$I, X$1)</f>
        <v>0</v>
      </c>
    </row>
    <row r="124" ht="15.75" customHeight="1">
      <c r="A124" s="325">
        <v>0.0</v>
      </c>
      <c r="B124" s="293">
        <f>SourceData!K124</f>
        <v>0.75</v>
      </c>
      <c r="C124" s="294" t="str">
        <f>SourceData!J124</f>
        <v>Sofiia Hrytsiuk</v>
      </c>
      <c r="D124" s="295">
        <f>(COUNTIF(Errors!$B$3:$B$3010,'Error Count Analysis'!C124))-((COUNTIFS(Errors!$B$3:$B$3010,'Error Count Analysis'!C124, (Errors!$I$3:$I$3010),"TV*")))</f>
        <v>0</v>
      </c>
      <c r="E124" s="296">
        <f t="shared" si="1"/>
        <v>0</v>
      </c>
      <c r="F124" s="297">
        <f>COUNTIFS(Errors!$B:$B, $C124, Errors!$I:$I, F$1)</f>
        <v>0</v>
      </c>
      <c r="G124" s="298">
        <f>COUNTIFS(Errors!$B:$B, $C124, Errors!$I:$I, G$1)</f>
        <v>0</v>
      </c>
      <c r="H124" s="298">
        <f>COUNTIFS(Errors!$B:$B, $C124, Errors!$I:$I, H$1)</f>
        <v>0</v>
      </c>
      <c r="I124" s="298">
        <f>COUNTIFS(Errors!$B:$B, $C124, Errors!$I:$I, I$1)</f>
        <v>0</v>
      </c>
      <c r="J124" s="298">
        <f>COUNTIFS(Errors!$B:$B, $C124, Errors!$I:$I, J$1)</f>
        <v>0</v>
      </c>
      <c r="K124" s="298">
        <f>COUNTIFS(Errors!$B:$B, $C124, Errors!$I:$I, K$1)</f>
        <v>0</v>
      </c>
      <c r="L124" s="298">
        <f>COUNTIFS(Errors!$B:$B, $C124, Errors!$I:$I, L$1)</f>
        <v>0</v>
      </c>
      <c r="M124" s="298">
        <f>COUNTIFS(Errors!$B:$B, $C124, Errors!$I:$I, M$1)</f>
        <v>0</v>
      </c>
      <c r="N124" s="298">
        <f>COUNTIFS(Errors!$B:$B, $C124, Errors!$I:$I, N$1)</f>
        <v>0</v>
      </c>
      <c r="O124" s="299">
        <f>COUNTIFS(Errors!$B:$B, $C124, Errors!$I:$I, O$1)</f>
        <v>0</v>
      </c>
      <c r="P124" s="298">
        <f>COUNTIFS(Errors!$B:$B, $C124, Errors!$I:$I, P$1)</f>
        <v>0</v>
      </c>
      <c r="Q124" s="298">
        <f>COUNTIFS(Errors!$B:$B, $C124, Errors!$I:$I, Q$1)</f>
        <v>0</v>
      </c>
      <c r="R124" s="298">
        <f>COUNTIFS(Errors!$B:$B, $C124, Errors!$I:$I, R$1)</f>
        <v>0</v>
      </c>
      <c r="S124" s="298">
        <f>COUNTIFS(Errors!$B:$B, $C124, Errors!$I:$I, S$1)</f>
        <v>0</v>
      </c>
      <c r="T124" s="298">
        <f>COUNTIFS(Errors!$B:$B, $C124, Errors!$I:$I, T$1)</f>
        <v>0</v>
      </c>
      <c r="U124" s="298">
        <f>COUNTIFS(Errors!$B:$B, $C124, Errors!$I:$I, U$1)</f>
        <v>0</v>
      </c>
      <c r="V124" s="298">
        <f>COUNTIFS(Errors!$B:$B, $C124, Errors!$I:$I, V$1)</f>
        <v>0</v>
      </c>
      <c r="W124" s="298">
        <f>COUNTIFS(Errors!$B:$B, $C124, Errors!$I:$I, W$1)</f>
        <v>0</v>
      </c>
      <c r="X124" s="298">
        <f>COUNTIFS(Errors!$B:$B, $C124, Errors!$I:$I, X$1)</f>
        <v>0</v>
      </c>
    </row>
    <row r="125" ht="15.75" customHeight="1">
      <c r="A125" s="305">
        <v>0.0</v>
      </c>
      <c r="B125" s="304">
        <f>SourceData!K125</f>
        <v>0.75</v>
      </c>
      <c r="C125" s="305" t="str">
        <f>SourceData!J125</f>
        <v>Aleksandra Onri</v>
      </c>
      <c r="D125" s="306">
        <f>(COUNTIF(Errors!$B$3:$B$3010,'Error Count Analysis'!C125))-((COUNTIFS(Errors!$B$3:$B$3010,'Error Count Analysis'!C125, (Errors!$I$3:$I$3010),"TV*")))</f>
        <v>2</v>
      </c>
      <c r="E125" s="307">
        <f t="shared" si="1"/>
        <v>2.666666667</v>
      </c>
      <c r="F125" s="308">
        <f>COUNTIFS(Errors!$B:$B, $C125, Errors!$I:$I, F$1)</f>
        <v>0</v>
      </c>
      <c r="G125" s="309">
        <f>COUNTIFS(Errors!$B:$B, $C125, Errors!$I:$I, G$1)</f>
        <v>0</v>
      </c>
      <c r="H125" s="309">
        <f>COUNTIFS(Errors!$B:$B, $C125, Errors!$I:$I, H$1)</f>
        <v>0</v>
      </c>
      <c r="I125" s="309">
        <f>COUNTIFS(Errors!$B:$B, $C125, Errors!$I:$I, I$1)</f>
        <v>0</v>
      </c>
      <c r="J125" s="309">
        <f>COUNTIFS(Errors!$B:$B, $C125, Errors!$I:$I, J$1)</f>
        <v>0</v>
      </c>
      <c r="K125" s="309">
        <f>COUNTIFS(Errors!$B:$B, $C125, Errors!$I:$I, K$1)</f>
        <v>0</v>
      </c>
      <c r="L125" s="309">
        <f>COUNTIFS(Errors!$B:$B, $C125, Errors!$I:$I, L$1)</f>
        <v>0</v>
      </c>
      <c r="M125" s="309">
        <f>COUNTIFS(Errors!$B:$B, $C125, Errors!$I:$I, M$1)</f>
        <v>0</v>
      </c>
      <c r="N125" s="309">
        <f>COUNTIFS(Errors!$B:$B, $C125, Errors!$I:$I, N$1)</f>
        <v>0</v>
      </c>
      <c r="O125" s="310">
        <f>COUNTIFS(Errors!$B:$B, $C125, Errors!$I:$I, O$1)</f>
        <v>0</v>
      </c>
      <c r="P125" s="309">
        <f>COUNTIFS(Errors!$B:$B, $C125, Errors!$I:$I, P$1)</f>
        <v>0</v>
      </c>
      <c r="Q125" s="309">
        <f>COUNTIFS(Errors!$B:$B, $C125, Errors!$I:$I, Q$1)</f>
        <v>0</v>
      </c>
      <c r="R125" s="309">
        <f>COUNTIFS(Errors!$B:$B, $C125, Errors!$I:$I, R$1)</f>
        <v>0</v>
      </c>
      <c r="S125" s="309">
        <f>COUNTIFS(Errors!$B:$B, $C125, Errors!$I:$I, S$1)</f>
        <v>1</v>
      </c>
      <c r="T125" s="309">
        <f>COUNTIFS(Errors!$B:$B, $C125, Errors!$I:$I, T$1)</f>
        <v>0</v>
      </c>
      <c r="U125" s="309">
        <f>COUNTIFS(Errors!$B:$B, $C125, Errors!$I:$I, U$1)</f>
        <v>0</v>
      </c>
      <c r="V125" s="309">
        <f>COUNTIFS(Errors!$B:$B, $C125, Errors!$I:$I, V$1)</f>
        <v>1</v>
      </c>
      <c r="W125" s="309">
        <f>COUNTIFS(Errors!$B:$B, $C125, Errors!$I:$I, W$1)</f>
        <v>0</v>
      </c>
      <c r="X125" s="309">
        <f>COUNTIFS(Errors!$B:$B, $C125, Errors!$I:$I, X$1)</f>
        <v>0</v>
      </c>
    </row>
    <row r="126" ht="15.75" customHeight="1">
      <c r="A126" s="325">
        <v>0.0</v>
      </c>
      <c r="B126" s="293">
        <f>SourceData!K126</f>
        <v>1</v>
      </c>
      <c r="C126" s="294" t="str">
        <f>SourceData!J126</f>
        <v>Andrea Arsova</v>
      </c>
      <c r="D126" s="295">
        <f>(COUNTIF(Errors!$B$3:$B$3010,'Error Count Analysis'!C126))-((COUNTIFS(Errors!$B$3:$B$3010,'Error Count Analysis'!C126, (Errors!$I$3:$I$3010),"TV*")))</f>
        <v>0</v>
      </c>
      <c r="E126" s="296">
        <f t="shared" si="1"/>
        <v>0</v>
      </c>
      <c r="F126" s="297">
        <f>COUNTIFS(Errors!$B:$B, $C126, Errors!$I:$I, F$1)</f>
        <v>0</v>
      </c>
      <c r="G126" s="298">
        <f>COUNTIFS(Errors!$B:$B, $C126, Errors!$I:$I, G$1)</f>
        <v>0</v>
      </c>
      <c r="H126" s="298">
        <f>COUNTIFS(Errors!$B:$B, $C126, Errors!$I:$I, H$1)</f>
        <v>0</v>
      </c>
      <c r="I126" s="298">
        <f>COUNTIFS(Errors!$B:$B, $C126, Errors!$I:$I, I$1)</f>
        <v>0</v>
      </c>
      <c r="J126" s="298">
        <f>COUNTIFS(Errors!$B:$B, $C126, Errors!$I:$I, J$1)</f>
        <v>0</v>
      </c>
      <c r="K126" s="298">
        <f>COUNTIFS(Errors!$B:$B, $C126, Errors!$I:$I, K$1)</f>
        <v>0</v>
      </c>
      <c r="L126" s="298">
        <f>COUNTIFS(Errors!$B:$B, $C126, Errors!$I:$I, L$1)</f>
        <v>0</v>
      </c>
      <c r="M126" s="298">
        <f>COUNTIFS(Errors!$B:$B, $C126, Errors!$I:$I, M$1)</f>
        <v>0</v>
      </c>
      <c r="N126" s="298">
        <f>COUNTIFS(Errors!$B:$B, $C126, Errors!$I:$I, N$1)</f>
        <v>0</v>
      </c>
      <c r="O126" s="299">
        <f>COUNTIFS(Errors!$B:$B, $C126, Errors!$I:$I, O$1)</f>
        <v>0</v>
      </c>
      <c r="P126" s="298">
        <f>COUNTIFS(Errors!$B:$B, $C126, Errors!$I:$I, P$1)</f>
        <v>0</v>
      </c>
      <c r="Q126" s="298">
        <f>COUNTIFS(Errors!$B:$B, $C126, Errors!$I:$I, Q$1)</f>
        <v>0</v>
      </c>
      <c r="R126" s="298">
        <f>COUNTIFS(Errors!$B:$B, $C126, Errors!$I:$I, R$1)</f>
        <v>0</v>
      </c>
      <c r="S126" s="298">
        <f>COUNTIFS(Errors!$B:$B, $C126, Errors!$I:$I, S$1)</f>
        <v>0</v>
      </c>
      <c r="T126" s="298">
        <f>COUNTIFS(Errors!$B:$B, $C126, Errors!$I:$I, T$1)</f>
        <v>0</v>
      </c>
      <c r="U126" s="298">
        <f>COUNTIFS(Errors!$B:$B, $C126, Errors!$I:$I, U$1)</f>
        <v>0</v>
      </c>
      <c r="V126" s="298">
        <f>COUNTIFS(Errors!$B:$B, $C126, Errors!$I:$I, V$1)</f>
        <v>0</v>
      </c>
      <c r="W126" s="298">
        <f>COUNTIFS(Errors!$B:$B, $C126, Errors!$I:$I, W$1)</f>
        <v>0</v>
      </c>
      <c r="X126" s="298">
        <f>COUNTIFS(Errors!$B:$B, $C126, Errors!$I:$I, X$1)</f>
        <v>0</v>
      </c>
    </row>
    <row r="127" ht="15.75" customHeight="1">
      <c r="A127" s="305">
        <v>0.0</v>
      </c>
      <c r="B127" s="304">
        <f>SourceData!K127</f>
        <v>0.75</v>
      </c>
      <c r="C127" s="305" t="str">
        <f>SourceData!J127</f>
        <v>Olha Kyrychenko</v>
      </c>
      <c r="D127" s="306">
        <f>(COUNTIF(Errors!$B$3:$B$3010,'Error Count Analysis'!C127))-((COUNTIFS(Errors!$B$3:$B$3010,'Error Count Analysis'!C127, (Errors!$I$3:$I$3010),"TV*")))</f>
        <v>1</v>
      </c>
      <c r="E127" s="307">
        <f t="shared" si="1"/>
        <v>1.333333333</v>
      </c>
      <c r="F127" s="308">
        <f>COUNTIFS(Errors!$B:$B, $C127, Errors!$I:$I, F$1)</f>
        <v>0</v>
      </c>
      <c r="G127" s="309">
        <f>COUNTIFS(Errors!$B:$B, $C127, Errors!$I:$I, G$1)</f>
        <v>0</v>
      </c>
      <c r="H127" s="309">
        <f>COUNTIFS(Errors!$B:$B, $C127, Errors!$I:$I, H$1)</f>
        <v>0</v>
      </c>
      <c r="I127" s="309">
        <f>COUNTIFS(Errors!$B:$B, $C127, Errors!$I:$I, I$1)</f>
        <v>0</v>
      </c>
      <c r="J127" s="309">
        <f>COUNTIFS(Errors!$B:$B, $C127, Errors!$I:$I, J$1)</f>
        <v>1</v>
      </c>
      <c r="K127" s="309">
        <f>COUNTIFS(Errors!$B:$B, $C127, Errors!$I:$I, K$1)</f>
        <v>0</v>
      </c>
      <c r="L127" s="309">
        <f>COUNTIFS(Errors!$B:$B, $C127, Errors!$I:$I, L$1)</f>
        <v>0</v>
      </c>
      <c r="M127" s="309">
        <f>COUNTIFS(Errors!$B:$B, $C127, Errors!$I:$I, M$1)</f>
        <v>0</v>
      </c>
      <c r="N127" s="309">
        <f>COUNTIFS(Errors!$B:$B, $C127, Errors!$I:$I, N$1)</f>
        <v>0</v>
      </c>
      <c r="O127" s="310">
        <f>COUNTIFS(Errors!$B:$B, $C127, Errors!$I:$I, O$1)</f>
        <v>0</v>
      </c>
      <c r="P127" s="309">
        <f>COUNTIFS(Errors!$B:$B, $C127, Errors!$I:$I, P$1)</f>
        <v>0</v>
      </c>
      <c r="Q127" s="309">
        <f>COUNTIFS(Errors!$B:$B, $C127, Errors!$I:$I, Q$1)</f>
        <v>0</v>
      </c>
      <c r="R127" s="309">
        <f>COUNTIFS(Errors!$B:$B, $C127, Errors!$I:$I, R$1)</f>
        <v>0</v>
      </c>
      <c r="S127" s="309">
        <f>COUNTIFS(Errors!$B:$B, $C127, Errors!$I:$I, S$1)</f>
        <v>0</v>
      </c>
      <c r="T127" s="309">
        <f>COUNTIFS(Errors!$B:$B, $C127, Errors!$I:$I, T$1)</f>
        <v>0</v>
      </c>
      <c r="U127" s="309">
        <f>COUNTIFS(Errors!$B:$B, $C127, Errors!$I:$I, U$1)</f>
        <v>0</v>
      </c>
      <c r="V127" s="309">
        <f>COUNTIFS(Errors!$B:$B, $C127, Errors!$I:$I, V$1)</f>
        <v>0</v>
      </c>
      <c r="W127" s="309">
        <f>COUNTIFS(Errors!$B:$B, $C127, Errors!$I:$I, W$1)</f>
        <v>0</v>
      </c>
      <c r="X127" s="309">
        <f>COUNTIFS(Errors!$B:$B, $C127, Errors!$I:$I, X$1)</f>
        <v>0</v>
      </c>
    </row>
    <row r="128" ht="15.75" customHeight="1">
      <c r="A128" s="325">
        <v>0.0</v>
      </c>
      <c r="B128" s="293">
        <f>SourceData!K128</f>
        <v>0.5</v>
      </c>
      <c r="C128" s="294" t="str">
        <f>SourceData!J128</f>
        <v>Maria Vatsom</v>
      </c>
      <c r="D128" s="295">
        <f>(COUNTIF(Errors!$B$3:$B$3010,'Error Count Analysis'!C128))-((COUNTIFS(Errors!$B$3:$B$3010,'Error Count Analysis'!C128, (Errors!$I$3:$I$3010),"TV*")))</f>
        <v>3</v>
      </c>
      <c r="E128" s="296">
        <f t="shared" si="1"/>
        <v>6</v>
      </c>
      <c r="F128" s="297">
        <f>COUNTIFS(Errors!$B:$B, $C128, Errors!$I:$I, F$1)</f>
        <v>0</v>
      </c>
      <c r="G128" s="298">
        <f>COUNTIFS(Errors!$B:$B, $C128, Errors!$I:$I, G$1)</f>
        <v>2</v>
      </c>
      <c r="H128" s="298">
        <f>COUNTIFS(Errors!$B:$B, $C128, Errors!$I:$I, H$1)</f>
        <v>0</v>
      </c>
      <c r="I128" s="298">
        <f>COUNTIFS(Errors!$B:$B, $C128, Errors!$I:$I, I$1)</f>
        <v>0</v>
      </c>
      <c r="J128" s="298">
        <f>COUNTIFS(Errors!$B:$B, $C128, Errors!$I:$I, J$1)</f>
        <v>0</v>
      </c>
      <c r="K128" s="298">
        <f>COUNTIFS(Errors!$B:$B, $C128, Errors!$I:$I, K$1)</f>
        <v>0</v>
      </c>
      <c r="L128" s="298">
        <f>COUNTIFS(Errors!$B:$B, $C128, Errors!$I:$I, L$1)</f>
        <v>0</v>
      </c>
      <c r="M128" s="298">
        <f>COUNTIFS(Errors!$B:$B, $C128, Errors!$I:$I, M$1)</f>
        <v>0</v>
      </c>
      <c r="N128" s="298">
        <f>COUNTIFS(Errors!$B:$B, $C128, Errors!$I:$I, N$1)</f>
        <v>0</v>
      </c>
      <c r="O128" s="299">
        <f>COUNTIFS(Errors!$B:$B, $C128, Errors!$I:$I, O$1)</f>
        <v>0</v>
      </c>
      <c r="P128" s="298">
        <f>COUNTIFS(Errors!$B:$B, $C128, Errors!$I:$I, P$1)</f>
        <v>0</v>
      </c>
      <c r="Q128" s="298">
        <f>COUNTIFS(Errors!$B:$B, $C128, Errors!$I:$I, Q$1)</f>
        <v>0</v>
      </c>
      <c r="R128" s="298">
        <f>COUNTIFS(Errors!$B:$B, $C128, Errors!$I:$I, R$1)</f>
        <v>0</v>
      </c>
      <c r="S128" s="298">
        <f>COUNTIFS(Errors!$B:$B, $C128, Errors!$I:$I, S$1)</f>
        <v>1</v>
      </c>
      <c r="T128" s="298">
        <f>COUNTIFS(Errors!$B:$B, $C128, Errors!$I:$I, T$1)</f>
        <v>0</v>
      </c>
      <c r="U128" s="298">
        <f>COUNTIFS(Errors!$B:$B, $C128, Errors!$I:$I, U$1)</f>
        <v>0</v>
      </c>
      <c r="V128" s="298">
        <f>COUNTIFS(Errors!$B:$B, $C128, Errors!$I:$I, V$1)</f>
        <v>0</v>
      </c>
      <c r="W128" s="298">
        <f>COUNTIFS(Errors!$B:$B, $C128, Errors!$I:$I, W$1)</f>
        <v>0</v>
      </c>
      <c r="X128" s="298">
        <f>COUNTIFS(Errors!$B:$B, $C128, Errors!$I:$I, X$1)</f>
        <v>0</v>
      </c>
    </row>
    <row r="129" ht="15.75" customHeight="1">
      <c r="A129" s="305">
        <v>0.0</v>
      </c>
      <c r="B129" s="304">
        <f>SourceData!K129</f>
        <v>1</v>
      </c>
      <c r="C129" s="305" t="str">
        <f>SourceData!J129</f>
        <v>Inna Tarakanova</v>
      </c>
      <c r="D129" s="306">
        <f>(COUNTIF(Errors!$B$3:$B$3010,'Error Count Analysis'!C129))-((COUNTIFS(Errors!$B$3:$B$3010,'Error Count Analysis'!C129, (Errors!$I$3:$I$3010),"TV*")))</f>
        <v>0</v>
      </c>
      <c r="E129" s="307">
        <f t="shared" si="1"/>
        <v>0</v>
      </c>
      <c r="F129" s="308">
        <f>COUNTIFS(Errors!$B:$B, $C129, Errors!$I:$I, F$1)</f>
        <v>0</v>
      </c>
      <c r="G129" s="309">
        <f>COUNTIFS(Errors!$B:$B, $C129, Errors!$I:$I, G$1)</f>
        <v>0</v>
      </c>
      <c r="H129" s="309">
        <f>COUNTIFS(Errors!$B:$B, $C129, Errors!$I:$I, H$1)</f>
        <v>0</v>
      </c>
      <c r="I129" s="309">
        <f>COUNTIFS(Errors!$B:$B, $C129, Errors!$I:$I, I$1)</f>
        <v>0</v>
      </c>
      <c r="J129" s="309">
        <f>COUNTIFS(Errors!$B:$B, $C129, Errors!$I:$I, J$1)</f>
        <v>0</v>
      </c>
      <c r="K129" s="309">
        <f>COUNTIFS(Errors!$B:$B, $C129, Errors!$I:$I, K$1)</f>
        <v>0</v>
      </c>
      <c r="L129" s="309">
        <f>COUNTIFS(Errors!$B:$B, $C129, Errors!$I:$I, L$1)</f>
        <v>0</v>
      </c>
      <c r="M129" s="309">
        <f>COUNTIFS(Errors!$B:$B, $C129, Errors!$I:$I, M$1)</f>
        <v>0</v>
      </c>
      <c r="N129" s="309">
        <f>COUNTIFS(Errors!$B:$B, $C129, Errors!$I:$I, N$1)</f>
        <v>0</v>
      </c>
      <c r="O129" s="310">
        <f>COUNTIFS(Errors!$B:$B, $C129, Errors!$I:$I, O$1)</f>
        <v>0</v>
      </c>
      <c r="P129" s="309">
        <f>COUNTIFS(Errors!$B:$B, $C129, Errors!$I:$I, P$1)</f>
        <v>0</v>
      </c>
      <c r="Q129" s="309">
        <f>COUNTIFS(Errors!$B:$B, $C129, Errors!$I:$I, Q$1)</f>
        <v>0</v>
      </c>
      <c r="R129" s="309">
        <f>COUNTIFS(Errors!$B:$B, $C129, Errors!$I:$I, R$1)</f>
        <v>0</v>
      </c>
      <c r="S129" s="309">
        <f>COUNTIFS(Errors!$B:$B, $C129, Errors!$I:$I, S$1)</f>
        <v>0</v>
      </c>
      <c r="T129" s="309">
        <f>COUNTIFS(Errors!$B:$B, $C129, Errors!$I:$I, T$1)</f>
        <v>0</v>
      </c>
      <c r="U129" s="309">
        <f>COUNTIFS(Errors!$B:$B, $C129, Errors!$I:$I, U$1)</f>
        <v>0</v>
      </c>
      <c r="V129" s="309">
        <f>COUNTIFS(Errors!$B:$B, $C129, Errors!$I:$I, V$1)</f>
        <v>0</v>
      </c>
      <c r="W129" s="309">
        <f>COUNTIFS(Errors!$B:$B, $C129, Errors!$I:$I, W$1)</f>
        <v>0</v>
      </c>
      <c r="X129" s="309">
        <f>COUNTIFS(Errors!$B:$B, $C129, Errors!$I:$I, X$1)</f>
        <v>0</v>
      </c>
    </row>
    <row r="130" ht="15.75" customHeight="1">
      <c r="A130" s="325">
        <v>0.0</v>
      </c>
      <c r="B130" s="293">
        <f>SourceData!K130</f>
        <v>0.75</v>
      </c>
      <c r="C130" s="294" t="str">
        <f>SourceData!J130</f>
        <v>Kirke Kirs</v>
      </c>
      <c r="D130" s="295">
        <f>(COUNTIF(Errors!$B$3:$B$3010,'Error Count Analysis'!C130))-((COUNTIFS(Errors!$B$3:$B$3010,'Error Count Analysis'!C130, (Errors!$I$3:$I$3010),"TV*")))</f>
        <v>4</v>
      </c>
      <c r="E130" s="296">
        <f t="shared" si="1"/>
        <v>5.333333333</v>
      </c>
      <c r="F130" s="297">
        <f>COUNTIFS(Errors!$B:$B, $C130, Errors!$I:$I, F$1)</f>
        <v>0</v>
      </c>
      <c r="G130" s="298">
        <f>COUNTIFS(Errors!$B:$B, $C130, Errors!$I:$I, G$1)</f>
        <v>0</v>
      </c>
      <c r="H130" s="298">
        <f>COUNTIFS(Errors!$B:$B, $C130, Errors!$I:$I, H$1)</f>
        <v>0</v>
      </c>
      <c r="I130" s="298">
        <f>COUNTIFS(Errors!$B:$B, $C130, Errors!$I:$I, I$1)</f>
        <v>0</v>
      </c>
      <c r="J130" s="298">
        <f>COUNTIFS(Errors!$B:$B, $C130, Errors!$I:$I, J$1)</f>
        <v>4</v>
      </c>
      <c r="K130" s="298">
        <f>COUNTIFS(Errors!$B:$B, $C130, Errors!$I:$I, K$1)</f>
        <v>0</v>
      </c>
      <c r="L130" s="298">
        <f>COUNTIFS(Errors!$B:$B, $C130, Errors!$I:$I, L$1)</f>
        <v>0</v>
      </c>
      <c r="M130" s="298">
        <f>COUNTIFS(Errors!$B:$B, $C130, Errors!$I:$I, M$1)</f>
        <v>0</v>
      </c>
      <c r="N130" s="298">
        <f>COUNTIFS(Errors!$B:$B, $C130, Errors!$I:$I, N$1)</f>
        <v>0</v>
      </c>
      <c r="O130" s="299">
        <f>COUNTIFS(Errors!$B:$B, $C130, Errors!$I:$I, O$1)</f>
        <v>0</v>
      </c>
      <c r="P130" s="298">
        <f>COUNTIFS(Errors!$B:$B, $C130, Errors!$I:$I, P$1)</f>
        <v>0</v>
      </c>
      <c r="Q130" s="298">
        <f>COUNTIFS(Errors!$B:$B, $C130, Errors!$I:$I, Q$1)</f>
        <v>0</v>
      </c>
      <c r="R130" s="298">
        <f>COUNTIFS(Errors!$B:$B, $C130, Errors!$I:$I, R$1)</f>
        <v>0</v>
      </c>
      <c r="S130" s="298">
        <f>COUNTIFS(Errors!$B:$B, $C130, Errors!$I:$I, S$1)</f>
        <v>0</v>
      </c>
      <c r="T130" s="298">
        <f>COUNTIFS(Errors!$B:$B, $C130, Errors!$I:$I, T$1)</f>
        <v>0</v>
      </c>
      <c r="U130" s="298">
        <f>COUNTIFS(Errors!$B:$B, $C130, Errors!$I:$I, U$1)</f>
        <v>0</v>
      </c>
      <c r="V130" s="298">
        <f>COUNTIFS(Errors!$B:$B, $C130, Errors!$I:$I, V$1)</f>
        <v>0</v>
      </c>
      <c r="W130" s="298">
        <f>COUNTIFS(Errors!$B:$B, $C130, Errors!$I:$I, W$1)</f>
        <v>0</v>
      </c>
      <c r="X130" s="298">
        <f>COUNTIFS(Errors!$B:$B, $C130, Errors!$I:$I, X$1)</f>
        <v>0</v>
      </c>
    </row>
    <row r="131" ht="15.75" customHeight="1">
      <c r="A131" s="305">
        <v>0.0</v>
      </c>
      <c r="B131" s="304">
        <f>SourceData!K131</f>
        <v>1</v>
      </c>
      <c r="C131" s="305" t="str">
        <f>SourceData!J131</f>
        <v>Alicia Bel-Haj </v>
      </c>
      <c r="D131" s="306">
        <f>(COUNTIF(Errors!$B$3:$B$3010,'Error Count Analysis'!C131))-((COUNTIFS(Errors!$B$3:$B$3010,'Error Count Analysis'!C131, (Errors!$I$3:$I$3010),"TV*")))</f>
        <v>6</v>
      </c>
      <c r="E131" s="307">
        <f t="shared" si="1"/>
        <v>6</v>
      </c>
      <c r="F131" s="308">
        <f>COUNTIFS(Errors!$B:$B, $C131, Errors!$I:$I, F$1)</f>
        <v>4</v>
      </c>
      <c r="G131" s="309">
        <f>COUNTIFS(Errors!$B:$B, $C131, Errors!$I:$I, G$1)</f>
        <v>0</v>
      </c>
      <c r="H131" s="309">
        <f>COUNTIFS(Errors!$B:$B, $C131, Errors!$I:$I, H$1)</f>
        <v>0</v>
      </c>
      <c r="I131" s="309">
        <f>COUNTIFS(Errors!$B:$B, $C131, Errors!$I:$I, I$1)</f>
        <v>0</v>
      </c>
      <c r="J131" s="309">
        <f>COUNTIFS(Errors!$B:$B, $C131, Errors!$I:$I, J$1)</f>
        <v>0</v>
      </c>
      <c r="K131" s="309">
        <f>COUNTIFS(Errors!$B:$B, $C131, Errors!$I:$I, K$1)</f>
        <v>0</v>
      </c>
      <c r="L131" s="309">
        <f>COUNTIFS(Errors!$B:$B, $C131, Errors!$I:$I, L$1)</f>
        <v>0</v>
      </c>
      <c r="M131" s="309">
        <f>COUNTIFS(Errors!$B:$B, $C131, Errors!$I:$I, M$1)</f>
        <v>0</v>
      </c>
      <c r="N131" s="309">
        <f>COUNTIFS(Errors!$B:$B, $C131, Errors!$I:$I, N$1)</f>
        <v>0</v>
      </c>
      <c r="O131" s="310">
        <f>COUNTIFS(Errors!$B:$B, $C131, Errors!$I:$I, O$1)</f>
        <v>0</v>
      </c>
      <c r="P131" s="309">
        <f>COUNTIFS(Errors!$B:$B, $C131, Errors!$I:$I, P$1)</f>
        <v>0</v>
      </c>
      <c r="Q131" s="309">
        <f>COUNTIFS(Errors!$B:$B, $C131, Errors!$I:$I, Q$1)</f>
        <v>0</v>
      </c>
      <c r="R131" s="309">
        <f>COUNTIFS(Errors!$B:$B, $C131, Errors!$I:$I, R$1)</f>
        <v>0</v>
      </c>
      <c r="S131" s="309">
        <f>COUNTIFS(Errors!$B:$B, $C131, Errors!$I:$I, S$1)</f>
        <v>1</v>
      </c>
      <c r="T131" s="309">
        <f>COUNTIFS(Errors!$B:$B, $C131, Errors!$I:$I, T$1)</f>
        <v>0</v>
      </c>
      <c r="U131" s="309">
        <f>COUNTIFS(Errors!$B:$B, $C131, Errors!$I:$I, U$1)</f>
        <v>0</v>
      </c>
      <c r="V131" s="309">
        <f>COUNTIFS(Errors!$B:$B, $C131, Errors!$I:$I, V$1)</f>
        <v>1</v>
      </c>
      <c r="W131" s="309">
        <f>COUNTIFS(Errors!$B:$B, $C131, Errors!$I:$I, W$1)</f>
        <v>0</v>
      </c>
      <c r="X131" s="309">
        <f>COUNTIFS(Errors!$B:$B, $C131, Errors!$I:$I, X$1)</f>
        <v>0</v>
      </c>
    </row>
    <row r="132" ht="15.75" customHeight="1">
      <c r="A132" s="325">
        <v>0.0</v>
      </c>
      <c r="B132" s="293">
        <f>SourceData!K132</f>
        <v>0.75</v>
      </c>
      <c r="C132" s="294" t="str">
        <f>SourceData!J132</f>
        <v>Valeria Pomerants</v>
      </c>
      <c r="D132" s="295">
        <f>(COUNTIF(Errors!$B$3:$B$3010,'Error Count Analysis'!C132))-((COUNTIFS(Errors!$B$3:$B$3010,'Error Count Analysis'!C132, (Errors!$I$3:$I$3010),"TV*")))</f>
        <v>3</v>
      </c>
      <c r="E132" s="296">
        <f t="shared" si="1"/>
        <v>4</v>
      </c>
      <c r="F132" s="297">
        <f>COUNTIFS(Errors!$B:$B, $C132, Errors!$I:$I, F$1)</f>
        <v>0</v>
      </c>
      <c r="G132" s="298">
        <f>COUNTIFS(Errors!$B:$B, $C132, Errors!$I:$I, G$1)</f>
        <v>1</v>
      </c>
      <c r="H132" s="298">
        <f>COUNTIFS(Errors!$B:$B, $C132, Errors!$I:$I, H$1)</f>
        <v>0</v>
      </c>
      <c r="I132" s="298">
        <f>COUNTIFS(Errors!$B:$B, $C132, Errors!$I:$I, I$1)</f>
        <v>0</v>
      </c>
      <c r="J132" s="298">
        <f>COUNTIFS(Errors!$B:$B, $C132, Errors!$I:$I, J$1)</f>
        <v>1</v>
      </c>
      <c r="K132" s="298">
        <f>COUNTIFS(Errors!$B:$B, $C132, Errors!$I:$I, K$1)</f>
        <v>0</v>
      </c>
      <c r="L132" s="298">
        <f>COUNTIFS(Errors!$B:$B, $C132, Errors!$I:$I, L$1)</f>
        <v>1</v>
      </c>
      <c r="M132" s="298">
        <f>COUNTIFS(Errors!$B:$B, $C132, Errors!$I:$I, M$1)</f>
        <v>0</v>
      </c>
      <c r="N132" s="298">
        <f>COUNTIFS(Errors!$B:$B, $C132, Errors!$I:$I, N$1)</f>
        <v>0</v>
      </c>
      <c r="O132" s="299">
        <f>COUNTIFS(Errors!$B:$B, $C132, Errors!$I:$I, O$1)</f>
        <v>0</v>
      </c>
      <c r="P132" s="298">
        <f>COUNTIFS(Errors!$B:$B, $C132, Errors!$I:$I, P$1)</f>
        <v>0</v>
      </c>
      <c r="Q132" s="298">
        <f>COUNTIFS(Errors!$B:$B, $C132, Errors!$I:$I, Q$1)</f>
        <v>0</v>
      </c>
      <c r="R132" s="298">
        <f>COUNTIFS(Errors!$B:$B, $C132, Errors!$I:$I, R$1)</f>
        <v>0</v>
      </c>
      <c r="S132" s="298">
        <f>COUNTIFS(Errors!$B:$B, $C132, Errors!$I:$I, S$1)</f>
        <v>0</v>
      </c>
      <c r="T132" s="298">
        <f>COUNTIFS(Errors!$B:$B, $C132, Errors!$I:$I, T$1)</f>
        <v>0</v>
      </c>
      <c r="U132" s="298">
        <f>COUNTIFS(Errors!$B:$B, $C132, Errors!$I:$I, U$1)</f>
        <v>0</v>
      </c>
      <c r="V132" s="298">
        <f>COUNTIFS(Errors!$B:$B, $C132, Errors!$I:$I, V$1)</f>
        <v>0</v>
      </c>
      <c r="W132" s="298">
        <f>COUNTIFS(Errors!$B:$B, $C132, Errors!$I:$I, W$1)</f>
        <v>0</v>
      </c>
      <c r="X132" s="298">
        <f>COUNTIFS(Errors!$B:$B, $C132, Errors!$I:$I, X$1)</f>
        <v>0</v>
      </c>
    </row>
    <row r="133" ht="15.75" customHeight="1">
      <c r="A133" s="305">
        <v>0.0</v>
      </c>
      <c r="B133" s="304">
        <f>SourceData!K133</f>
        <v>1</v>
      </c>
      <c r="C133" s="305" t="str">
        <f>SourceData!J133</f>
        <v>Miia Kerov</v>
      </c>
      <c r="D133" s="306">
        <f>(COUNTIF(Errors!$B$3:$B$3010,'Error Count Analysis'!C133))-((COUNTIFS(Errors!$B$3:$B$3010,'Error Count Analysis'!C133, (Errors!$I$3:$I$3010),"TV*")))</f>
        <v>0</v>
      </c>
      <c r="E133" s="307">
        <f t="shared" si="1"/>
        <v>0</v>
      </c>
      <c r="F133" s="308">
        <f>COUNTIFS(Errors!$B:$B, $C133, Errors!$I:$I, F$1)</f>
        <v>0</v>
      </c>
      <c r="G133" s="309">
        <f>COUNTIFS(Errors!$B:$B, $C133, Errors!$I:$I, G$1)</f>
        <v>0</v>
      </c>
      <c r="H133" s="309">
        <f>COUNTIFS(Errors!$B:$B, $C133, Errors!$I:$I, H$1)</f>
        <v>0</v>
      </c>
      <c r="I133" s="309">
        <f>COUNTIFS(Errors!$B:$B, $C133, Errors!$I:$I, I$1)</f>
        <v>0</v>
      </c>
      <c r="J133" s="309">
        <f>COUNTIFS(Errors!$B:$B, $C133, Errors!$I:$I, J$1)</f>
        <v>0</v>
      </c>
      <c r="K133" s="309">
        <f>COUNTIFS(Errors!$B:$B, $C133, Errors!$I:$I, K$1)</f>
        <v>0</v>
      </c>
      <c r="L133" s="309">
        <f>COUNTIFS(Errors!$B:$B, $C133, Errors!$I:$I, L$1)</f>
        <v>0</v>
      </c>
      <c r="M133" s="309">
        <f>COUNTIFS(Errors!$B:$B, $C133, Errors!$I:$I, M$1)</f>
        <v>0</v>
      </c>
      <c r="N133" s="309">
        <f>COUNTIFS(Errors!$B:$B, $C133, Errors!$I:$I, N$1)</f>
        <v>0</v>
      </c>
      <c r="O133" s="310">
        <f>COUNTIFS(Errors!$B:$B, $C133, Errors!$I:$I, O$1)</f>
        <v>0</v>
      </c>
      <c r="P133" s="309">
        <f>COUNTIFS(Errors!$B:$B, $C133, Errors!$I:$I, P$1)</f>
        <v>0</v>
      </c>
      <c r="Q133" s="309">
        <f>COUNTIFS(Errors!$B:$B, $C133, Errors!$I:$I, Q$1)</f>
        <v>0</v>
      </c>
      <c r="R133" s="309">
        <f>COUNTIFS(Errors!$B:$B, $C133, Errors!$I:$I, R$1)</f>
        <v>0</v>
      </c>
      <c r="S133" s="309">
        <f>COUNTIFS(Errors!$B:$B, $C133, Errors!$I:$I, S$1)</f>
        <v>0</v>
      </c>
      <c r="T133" s="309">
        <f>COUNTIFS(Errors!$B:$B, $C133, Errors!$I:$I, T$1)</f>
        <v>0</v>
      </c>
      <c r="U133" s="309">
        <f>COUNTIFS(Errors!$B:$B, $C133, Errors!$I:$I, U$1)</f>
        <v>0</v>
      </c>
      <c r="V133" s="309">
        <f>COUNTIFS(Errors!$B:$B, $C133, Errors!$I:$I, V$1)</f>
        <v>0</v>
      </c>
      <c r="W133" s="309">
        <f>COUNTIFS(Errors!$B:$B, $C133, Errors!$I:$I, W$1)</f>
        <v>0</v>
      </c>
      <c r="X133" s="309">
        <f>COUNTIFS(Errors!$B:$B, $C133, Errors!$I:$I, X$1)</f>
        <v>0</v>
      </c>
    </row>
    <row r="134" ht="15.75" customHeight="1">
      <c r="A134" s="325">
        <v>0.0</v>
      </c>
      <c r="B134" s="293">
        <f>SourceData!K134</f>
        <v>0.75</v>
      </c>
      <c r="C134" s="294" t="str">
        <f>SourceData!J134</f>
        <v>Anita Medvedeva</v>
      </c>
      <c r="D134" s="295">
        <f>(COUNTIF(Errors!$B$3:$B$3010,'Error Count Analysis'!C134))-((COUNTIFS(Errors!$B$3:$B$3010,'Error Count Analysis'!C134, (Errors!$I$3:$I$3010),"TV*")))</f>
        <v>0</v>
      </c>
      <c r="E134" s="296">
        <f t="shared" si="1"/>
        <v>0</v>
      </c>
      <c r="F134" s="297">
        <f>COUNTIFS(Errors!$B:$B, $C134, Errors!$I:$I, F$1)</f>
        <v>0</v>
      </c>
      <c r="G134" s="298">
        <f>COUNTIFS(Errors!$B:$B, $C134, Errors!$I:$I, G$1)</f>
        <v>0</v>
      </c>
      <c r="H134" s="298">
        <f>COUNTIFS(Errors!$B:$B, $C134, Errors!$I:$I, H$1)</f>
        <v>0</v>
      </c>
      <c r="I134" s="298">
        <f>COUNTIFS(Errors!$B:$B, $C134, Errors!$I:$I, I$1)</f>
        <v>0</v>
      </c>
      <c r="J134" s="298">
        <f>COUNTIFS(Errors!$B:$B, $C134, Errors!$I:$I, J$1)</f>
        <v>0</v>
      </c>
      <c r="K134" s="298">
        <f>COUNTIFS(Errors!$B:$B, $C134, Errors!$I:$I, K$1)</f>
        <v>0</v>
      </c>
      <c r="L134" s="298">
        <f>COUNTIFS(Errors!$B:$B, $C134, Errors!$I:$I, L$1)</f>
        <v>0</v>
      </c>
      <c r="M134" s="298">
        <f>COUNTIFS(Errors!$B:$B, $C134, Errors!$I:$I, M$1)</f>
        <v>0</v>
      </c>
      <c r="N134" s="298">
        <f>COUNTIFS(Errors!$B:$B, $C134, Errors!$I:$I, N$1)</f>
        <v>0</v>
      </c>
      <c r="O134" s="299">
        <f>COUNTIFS(Errors!$B:$B, $C134, Errors!$I:$I, O$1)</f>
        <v>0</v>
      </c>
      <c r="P134" s="298">
        <f>COUNTIFS(Errors!$B:$B, $C134, Errors!$I:$I, P$1)</f>
        <v>0</v>
      </c>
      <c r="Q134" s="298">
        <f>COUNTIFS(Errors!$B:$B, $C134, Errors!$I:$I, Q$1)</f>
        <v>0</v>
      </c>
      <c r="R134" s="298">
        <f>COUNTIFS(Errors!$B:$B, $C134, Errors!$I:$I, R$1)</f>
        <v>0</v>
      </c>
      <c r="S134" s="298">
        <f>COUNTIFS(Errors!$B:$B, $C134, Errors!$I:$I, S$1)</f>
        <v>0</v>
      </c>
      <c r="T134" s="298">
        <f>COUNTIFS(Errors!$B:$B, $C134, Errors!$I:$I, T$1)</f>
        <v>0</v>
      </c>
      <c r="U134" s="298">
        <f>COUNTIFS(Errors!$B:$B, $C134, Errors!$I:$I, U$1)</f>
        <v>0</v>
      </c>
      <c r="V134" s="298">
        <f>COUNTIFS(Errors!$B:$B, $C134, Errors!$I:$I, V$1)</f>
        <v>0</v>
      </c>
      <c r="W134" s="298">
        <f>COUNTIFS(Errors!$B:$B, $C134, Errors!$I:$I, W$1)</f>
        <v>0</v>
      </c>
      <c r="X134" s="298">
        <f>COUNTIFS(Errors!$B:$B, $C134, Errors!$I:$I, X$1)</f>
        <v>0</v>
      </c>
    </row>
    <row r="135" ht="15.75" customHeight="1">
      <c r="A135" s="305">
        <v>0.0</v>
      </c>
      <c r="B135" s="304">
        <f>SourceData!K135</f>
        <v>0.5</v>
      </c>
      <c r="C135" s="305" t="str">
        <f>SourceData!J135</f>
        <v>Aleksandra Borovkova</v>
      </c>
      <c r="D135" s="306">
        <f>(COUNTIF(Errors!$B$3:$B$3010,'Error Count Analysis'!C135))-((COUNTIFS(Errors!$B$3:$B$3010,'Error Count Analysis'!C135, (Errors!$I$3:$I$3010),"TV*")))</f>
        <v>2</v>
      </c>
      <c r="E135" s="307">
        <f t="shared" si="1"/>
        <v>4</v>
      </c>
      <c r="F135" s="308">
        <f>COUNTIFS(Errors!$B:$B, $C135, Errors!$I:$I, F$1)</f>
        <v>1</v>
      </c>
      <c r="G135" s="309">
        <f>COUNTIFS(Errors!$B:$B, $C135, Errors!$I:$I, G$1)</f>
        <v>1</v>
      </c>
      <c r="H135" s="309">
        <f>COUNTIFS(Errors!$B:$B, $C135, Errors!$I:$I, H$1)</f>
        <v>0</v>
      </c>
      <c r="I135" s="309">
        <f>COUNTIFS(Errors!$B:$B, $C135, Errors!$I:$I, I$1)</f>
        <v>0</v>
      </c>
      <c r="J135" s="309">
        <f>COUNTIFS(Errors!$B:$B, $C135, Errors!$I:$I, J$1)</f>
        <v>0</v>
      </c>
      <c r="K135" s="309">
        <f>COUNTIFS(Errors!$B:$B, $C135, Errors!$I:$I, K$1)</f>
        <v>0</v>
      </c>
      <c r="L135" s="309">
        <f>COUNTIFS(Errors!$B:$B, $C135, Errors!$I:$I, L$1)</f>
        <v>0</v>
      </c>
      <c r="M135" s="309">
        <f>COUNTIFS(Errors!$B:$B, $C135, Errors!$I:$I, M$1)</f>
        <v>0</v>
      </c>
      <c r="N135" s="309">
        <f>COUNTIFS(Errors!$B:$B, $C135, Errors!$I:$I, N$1)</f>
        <v>0</v>
      </c>
      <c r="O135" s="310">
        <f>COUNTIFS(Errors!$B:$B, $C135, Errors!$I:$I, O$1)</f>
        <v>0</v>
      </c>
      <c r="P135" s="309">
        <f>COUNTIFS(Errors!$B:$B, $C135, Errors!$I:$I, P$1)</f>
        <v>0</v>
      </c>
      <c r="Q135" s="309">
        <f>COUNTIFS(Errors!$B:$B, $C135, Errors!$I:$I, Q$1)</f>
        <v>0</v>
      </c>
      <c r="R135" s="309">
        <f>COUNTIFS(Errors!$B:$B, $C135, Errors!$I:$I, R$1)</f>
        <v>0</v>
      </c>
      <c r="S135" s="309">
        <f>COUNTIFS(Errors!$B:$B, $C135, Errors!$I:$I, S$1)</f>
        <v>0</v>
      </c>
      <c r="T135" s="309">
        <f>COUNTIFS(Errors!$B:$B, $C135, Errors!$I:$I, T$1)</f>
        <v>0</v>
      </c>
      <c r="U135" s="309">
        <f>COUNTIFS(Errors!$B:$B, $C135, Errors!$I:$I, U$1)</f>
        <v>0</v>
      </c>
      <c r="V135" s="309">
        <f>COUNTIFS(Errors!$B:$B, $C135, Errors!$I:$I, V$1)</f>
        <v>0</v>
      </c>
      <c r="W135" s="309">
        <f>COUNTIFS(Errors!$B:$B, $C135, Errors!$I:$I, W$1)</f>
        <v>0</v>
      </c>
      <c r="X135" s="309">
        <f>COUNTIFS(Errors!$B:$B, $C135, Errors!$I:$I, X$1)</f>
        <v>0</v>
      </c>
    </row>
    <row r="136" ht="15.75" customHeight="1">
      <c r="A136" s="325">
        <v>0.0</v>
      </c>
      <c r="B136" s="293">
        <f>SourceData!K136</f>
        <v>0.5</v>
      </c>
      <c r="C136" s="294" t="str">
        <f>SourceData!J136</f>
        <v>Anete Li Ljäkin</v>
      </c>
      <c r="D136" s="295">
        <f>(COUNTIF(Errors!$B$3:$B$3010,'Error Count Analysis'!C136))-((COUNTIFS(Errors!$B$3:$B$3010,'Error Count Analysis'!C136, (Errors!$I$3:$I$3010),"TV*")))</f>
        <v>0</v>
      </c>
      <c r="E136" s="296">
        <f t="shared" si="1"/>
        <v>0</v>
      </c>
      <c r="F136" s="297">
        <f>COUNTIFS(Errors!$B:$B, $C136, Errors!$I:$I, F$1)</f>
        <v>0</v>
      </c>
      <c r="G136" s="298">
        <f>COUNTIFS(Errors!$B:$B, $C136, Errors!$I:$I, G$1)</f>
        <v>0</v>
      </c>
      <c r="H136" s="298">
        <f>COUNTIFS(Errors!$B:$B, $C136, Errors!$I:$I, H$1)</f>
        <v>0</v>
      </c>
      <c r="I136" s="298">
        <f>COUNTIFS(Errors!$B:$B, $C136, Errors!$I:$I, I$1)</f>
        <v>0</v>
      </c>
      <c r="J136" s="298">
        <f>COUNTIFS(Errors!$B:$B, $C136, Errors!$I:$I, J$1)</f>
        <v>0</v>
      </c>
      <c r="K136" s="298">
        <f>COUNTIFS(Errors!$B:$B, $C136, Errors!$I:$I, K$1)</f>
        <v>0</v>
      </c>
      <c r="L136" s="298">
        <f>COUNTIFS(Errors!$B:$B, $C136, Errors!$I:$I, L$1)</f>
        <v>0</v>
      </c>
      <c r="M136" s="298">
        <f>COUNTIFS(Errors!$B:$B, $C136, Errors!$I:$I, M$1)</f>
        <v>0</v>
      </c>
      <c r="N136" s="298">
        <f>COUNTIFS(Errors!$B:$B, $C136, Errors!$I:$I, N$1)</f>
        <v>0</v>
      </c>
      <c r="O136" s="299">
        <f>COUNTIFS(Errors!$B:$B, $C136, Errors!$I:$I, O$1)</f>
        <v>0</v>
      </c>
      <c r="P136" s="298">
        <f>COUNTIFS(Errors!$B:$B, $C136, Errors!$I:$I, P$1)</f>
        <v>0</v>
      </c>
      <c r="Q136" s="298">
        <f>COUNTIFS(Errors!$B:$B, $C136, Errors!$I:$I, Q$1)</f>
        <v>0</v>
      </c>
      <c r="R136" s="298">
        <f>COUNTIFS(Errors!$B:$B, $C136, Errors!$I:$I, R$1)</f>
        <v>0</v>
      </c>
      <c r="S136" s="298">
        <f>COUNTIFS(Errors!$B:$B, $C136, Errors!$I:$I, S$1)</f>
        <v>0</v>
      </c>
      <c r="T136" s="298">
        <f>COUNTIFS(Errors!$B:$B, $C136, Errors!$I:$I, T$1)</f>
        <v>0</v>
      </c>
      <c r="U136" s="298">
        <f>COUNTIFS(Errors!$B:$B, $C136, Errors!$I:$I, U$1)</f>
        <v>0</v>
      </c>
      <c r="V136" s="298">
        <f>COUNTIFS(Errors!$B:$B, $C136, Errors!$I:$I, V$1)</f>
        <v>0</v>
      </c>
      <c r="W136" s="298">
        <f>COUNTIFS(Errors!$B:$B, $C136, Errors!$I:$I, W$1)</f>
        <v>0</v>
      </c>
      <c r="X136" s="298">
        <f>COUNTIFS(Errors!$B:$B, $C136, Errors!$I:$I, X$1)</f>
        <v>0</v>
      </c>
    </row>
    <row r="137" ht="15.75" customHeight="1">
      <c r="A137" s="305">
        <v>0.0</v>
      </c>
      <c r="B137" s="304">
        <f>SourceData!K137</f>
        <v>1</v>
      </c>
      <c r="C137" s="305" t="str">
        <f>SourceData!J137</f>
        <v>Sandra Kuulre</v>
      </c>
      <c r="D137" s="306">
        <f>(COUNTIF(Errors!$B$3:$B$3010,'Error Count Analysis'!C137))-((COUNTIFS(Errors!$B$3:$B$3010,'Error Count Analysis'!C137, (Errors!$I$3:$I$3010),"TV*")))</f>
        <v>2</v>
      </c>
      <c r="E137" s="307">
        <f t="shared" si="1"/>
        <v>2</v>
      </c>
      <c r="F137" s="308">
        <f>COUNTIFS(Errors!$B:$B, $C137, Errors!$I:$I, F$1)</f>
        <v>0</v>
      </c>
      <c r="G137" s="309">
        <f>COUNTIFS(Errors!$B:$B, $C137, Errors!$I:$I, G$1)</f>
        <v>1</v>
      </c>
      <c r="H137" s="309">
        <f>COUNTIFS(Errors!$B:$B, $C137, Errors!$I:$I, H$1)</f>
        <v>0</v>
      </c>
      <c r="I137" s="309">
        <f>COUNTIFS(Errors!$B:$B, $C137, Errors!$I:$I, I$1)</f>
        <v>0</v>
      </c>
      <c r="J137" s="309">
        <f>COUNTIFS(Errors!$B:$B, $C137, Errors!$I:$I, J$1)</f>
        <v>1</v>
      </c>
      <c r="K137" s="309">
        <f>COUNTIFS(Errors!$B:$B, $C137, Errors!$I:$I, K$1)</f>
        <v>0</v>
      </c>
      <c r="L137" s="309">
        <f>COUNTIFS(Errors!$B:$B, $C137, Errors!$I:$I, L$1)</f>
        <v>0</v>
      </c>
      <c r="M137" s="309">
        <f>COUNTIFS(Errors!$B:$B, $C137, Errors!$I:$I, M$1)</f>
        <v>0</v>
      </c>
      <c r="N137" s="309">
        <f>COUNTIFS(Errors!$B:$B, $C137, Errors!$I:$I, N$1)</f>
        <v>0</v>
      </c>
      <c r="O137" s="310">
        <f>COUNTIFS(Errors!$B:$B, $C137, Errors!$I:$I, O$1)</f>
        <v>0</v>
      </c>
      <c r="P137" s="309">
        <f>COUNTIFS(Errors!$B:$B, $C137, Errors!$I:$I, P$1)</f>
        <v>0</v>
      </c>
      <c r="Q137" s="309">
        <f>COUNTIFS(Errors!$B:$B, $C137, Errors!$I:$I, Q$1)</f>
        <v>0</v>
      </c>
      <c r="R137" s="309">
        <f>COUNTIFS(Errors!$B:$B, $C137, Errors!$I:$I, R$1)</f>
        <v>0</v>
      </c>
      <c r="S137" s="309">
        <f>COUNTIFS(Errors!$B:$B, $C137, Errors!$I:$I, S$1)</f>
        <v>0</v>
      </c>
      <c r="T137" s="309">
        <f>COUNTIFS(Errors!$B:$B, $C137, Errors!$I:$I, T$1)</f>
        <v>0</v>
      </c>
      <c r="U137" s="309">
        <f>COUNTIFS(Errors!$B:$B, $C137, Errors!$I:$I, U$1)</f>
        <v>0</v>
      </c>
      <c r="V137" s="309">
        <f>COUNTIFS(Errors!$B:$B, $C137, Errors!$I:$I, V$1)</f>
        <v>0</v>
      </c>
      <c r="W137" s="309">
        <f>COUNTIFS(Errors!$B:$B, $C137, Errors!$I:$I, W$1)</f>
        <v>0</v>
      </c>
      <c r="X137" s="309">
        <f>COUNTIFS(Errors!$B:$B, $C137, Errors!$I:$I, X$1)</f>
        <v>0</v>
      </c>
    </row>
    <row r="138" ht="15.75" customHeight="1">
      <c r="A138" s="325">
        <v>0.0</v>
      </c>
      <c r="B138" s="293">
        <f>SourceData!K138</f>
        <v>0.75</v>
      </c>
      <c r="C138" s="294" t="str">
        <f>SourceData!J138</f>
        <v>Aleksandra Plikhta</v>
      </c>
      <c r="D138" s="295">
        <f>(COUNTIF(Errors!$B$3:$B$3010,'Error Count Analysis'!C138))-((COUNTIFS(Errors!$B$3:$B$3010,'Error Count Analysis'!C138, (Errors!$I$3:$I$3010),"TV*")))</f>
        <v>0</v>
      </c>
      <c r="E138" s="296">
        <f t="shared" si="1"/>
        <v>0</v>
      </c>
      <c r="F138" s="297">
        <f>COUNTIFS(Errors!$B:$B, $C138, Errors!$I:$I, F$1)</f>
        <v>0</v>
      </c>
      <c r="G138" s="298">
        <f>COUNTIFS(Errors!$B:$B, $C138, Errors!$I:$I, G$1)</f>
        <v>0</v>
      </c>
      <c r="H138" s="298">
        <f>COUNTIFS(Errors!$B:$B, $C138, Errors!$I:$I, H$1)</f>
        <v>0</v>
      </c>
      <c r="I138" s="298">
        <f>COUNTIFS(Errors!$B:$B, $C138, Errors!$I:$I, I$1)</f>
        <v>0</v>
      </c>
      <c r="J138" s="298">
        <f>COUNTIFS(Errors!$B:$B, $C138, Errors!$I:$I, J$1)</f>
        <v>0</v>
      </c>
      <c r="K138" s="298">
        <f>COUNTIFS(Errors!$B:$B, $C138, Errors!$I:$I, K$1)</f>
        <v>0</v>
      </c>
      <c r="L138" s="298">
        <f>COUNTIFS(Errors!$B:$B, $C138, Errors!$I:$I, L$1)</f>
        <v>0</v>
      </c>
      <c r="M138" s="298">
        <f>COUNTIFS(Errors!$B:$B, $C138, Errors!$I:$I, M$1)</f>
        <v>0</v>
      </c>
      <c r="N138" s="298">
        <f>COUNTIFS(Errors!$B:$B, $C138, Errors!$I:$I, N$1)</f>
        <v>0</v>
      </c>
      <c r="O138" s="299">
        <f>COUNTIFS(Errors!$B:$B, $C138, Errors!$I:$I, O$1)</f>
        <v>0</v>
      </c>
      <c r="P138" s="298">
        <f>COUNTIFS(Errors!$B:$B, $C138, Errors!$I:$I, P$1)</f>
        <v>0</v>
      </c>
      <c r="Q138" s="298">
        <f>COUNTIFS(Errors!$B:$B, $C138, Errors!$I:$I, Q$1)</f>
        <v>0</v>
      </c>
      <c r="R138" s="298">
        <f>COUNTIFS(Errors!$B:$B, $C138, Errors!$I:$I, R$1)</f>
        <v>0</v>
      </c>
      <c r="S138" s="298">
        <f>COUNTIFS(Errors!$B:$B, $C138, Errors!$I:$I, S$1)</f>
        <v>0</v>
      </c>
      <c r="T138" s="298">
        <f>COUNTIFS(Errors!$B:$B, $C138, Errors!$I:$I, T$1)</f>
        <v>0</v>
      </c>
      <c r="U138" s="298">
        <f>COUNTIFS(Errors!$B:$B, $C138, Errors!$I:$I, U$1)</f>
        <v>0</v>
      </c>
      <c r="V138" s="298">
        <f>COUNTIFS(Errors!$B:$B, $C138, Errors!$I:$I, V$1)</f>
        <v>0</v>
      </c>
      <c r="W138" s="298">
        <f>COUNTIFS(Errors!$B:$B, $C138, Errors!$I:$I, W$1)</f>
        <v>0</v>
      </c>
      <c r="X138" s="298">
        <f>COUNTIFS(Errors!$B:$B, $C138, Errors!$I:$I, X$1)</f>
        <v>0</v>
      </c>
    </row>
    <row r="139" ht="15.75" customHeight="1">
      <c r="A139" s="305">
        <v>0.0</v>
      </c>
      <c r="B139" s="304">
        <f>SourceData!K139</f>
        <v>0.5</v>
      </c>
      <c r="C139" s="305" t="str">
        <f>SourceData!J139</f>
        <v>Kea-Lisette Toomberg</v>
      </c>
      <c r="D139" s="306">
        <f>(COUNTIF(Errors!$B$3:$B$3010,'Error Count Analysis'!C139))-((COUNTIFS(Errors!$B$3:$B$3010,'Error Count Analysis'!C139, (Errors!$I$3:$I$3010),"TV*")))</f>
        <v>0</v>
      </c>
      <c r="E139" s="307">
        <f t="shared" si="1"/>
        <v>0</v>
      </c>
      <c r="F139" s="308">
        <f>COUNTIFS(Errors!$B:$B, $C139, Errors!$I:$I, F$1)</f>
        <v>0</v>
      </c>
      <c r="G139" s="309">
        <f>COUNTIFS(Errors!$B:$B, $C139, Errors!$I:$I, G$1)</f>
        <v>0</v>
      </c>
      <c r="H139" s="309">
        <f>COUNTIFS(Errors!$B:$B, $C139, Errors!$I:$I, H$1)</f>
        <v>0</v>
      </c>
      <c r="I139" s="309">
        <f>COUNTIFS(Errors!$B:$B, $C139, Errors!$I:$I, I$1)</f>
        <v>0</v>
      </c>
      <c r="J139" s="309">
        <f>COUNTIFS(Errors!$B:$B, $C139, Errors!$I:$I, J$1)</f>
        <v>0</v>
      </c>
      <c r="K139" s="309">
        <f>COUNTIFS(Errors!$B:$B, $C139, Errors!$I:$I, K$1)</f>
        <v>0</v>
      </c>
      <c r="L139" s="309">
        <f>COUNTIFS(Errors!$B:$B, $C139, Errors!$I:$I, L$1)</f>
        <v>0</v>
      </c>
      <c r="M139" s="309">
        <f>COUNTIFS(Errors!$B:$B, $C139, Errors!$I:$I, M$1)</f>
        <v>0</v>
      </c>
      <c r="N139" s="309">
        <f>COUNTIFS(Errors!$B:$B, $C139, Errors!$I:$I, N$1)</f>
        <v>0</v>
      </c>
      <c r="O139" s="310">
        <f>COUNTIFS(Errors!$B:$B, $C139, Errors!$I:$I, O$1)</f>
        <v>0</v>
      </c>
      <c r="P139" s="309">
        <f>COUNTIFS(Errors!$B:$B, $C139, Errors!$I:$I, P$1)</f>
        <v>0</v>
      </c>
      <c r="Q139" s="309">
        <f>COUNTIFS(Errors!$B:$B, $C139, Errors!$I:$I, Q$1)</f>
        <v>0</v>
      </c>
      <c r="R139" s="309">
        <f>COUNTIFS(Errors!$B:$B, $C139, Errors!$I:$I, R$1)</f>
        <v>0</v>
      </c>
      <c r="S139" s="309">
        <f>COUNTIFS(Errors!$B:$B, $C139, Errors!$I:$I, S$1)</f>
        <v>0</v>
      </c>
      <c r="T139" s="309">
        <f>COUNTIFS(Errors!$B:$B, $C139, Errors!$I:$I, T$1)</f>
        <v>0</v>
      </c>
      <c r="U139" s="309">
        <f>COUNTIFS(Errors!$B:$B, $C139, Errors!$I:$I, U$1)</f>
        <v>0</v>
      </c>
      <c r="V139" s="309">
        <f>COUNTIFS(Errors!$B:$B, $C139, Errors!$I:$I, V$1)</f>
        <v>0</v>
      </c>
      <c r="W139" s="309">
        <f>COUNTIFS(Errors!$B:$B, $C139, Errors!$I:$I, W$1)</f>
        <v>0</v>
      </c>
      <c r="X139" s="309">
        <f>COUNTIFS(Errors!$B:$B, $C139, Errors!$I:$I, X$1)</f>
        <v>0</v>
      </c>
    </row>
    <row r="140" ht="15.75" customHeight="1">
      <c r="A140" s="325">
        <v>0.0</v>
      </c>
      <c r="B140" s="293">
        <f>SourceData!K140</f>
        <v>1</v>
      </c>
      <c r="C140" s="294" t="str">
        <f>SourceData!J140</f>
        <v>Karina Jõgi</v>
      </c>
      <c r="D140" s="295">
        <f>(COUNTIF(Errors!$B$3:$B$3010,'Error Count Analysis'!C140))-((COUNTIFS(Errors!$B$3:$B$3010,'Error Count Analysis'!C140, (Errors!$I$3:$I$3010),"TV*")))</f>
        <v>4</v>
      </c>
      <c r="E140" s="296">
        <f t="shared" si="1"/>
        <v>4</v>
      </c>
      <c r="F140" s="297">
        <f>COUNTIFS(Errors!$B:$B, $C140, Errors!$I:$I, F$1)</f>
        <v>2</v>
      </c>
      <c r="G140" s="298">
        <f>COUNTIFS(Errors!$B:$B, $C140, Errors!$I:$I, G$1)</f>
        <v>1</v>
      </c>
      <c r="H140" s="298">
        <f>COUNTIFS(Errors!$B:$B, $C140, Errors!$I:$I, H$1)</f>
        <v>0</v>
      </c>
      <c r="I140" s="298">
        <f>COUNTIFS(Errors!$B:$B, $C140, Errors!$I:$I, I$1)</f>
        <v>0</v>
      </c>
      <c r="J140" s="298">
        <f>COUNTIFS(Errors!$B:$B, $C140, Errors!$I:$I, J$1)</f>
        <v>0</v>
      </c>
      <c r="K140" s="298">
        <f>COUNTIFS(Errors!$B:$B, $C140, Errors!$I:$I, K$1)</f>
        <v>0</v>
      </c>
      <c r="L140" s="298">
        <f>COUNTIFS(Errors!$B:$B, $C140, Errors!$I:$I, L$1)</f>
        <v>0</v>
      </c>
      <c r="M140" s="298">
        <f>COUNTIFS(Errors!$B:$B, $C140, Errors!$I:$I, M$1)</f>
        <v>0</v>
      </c>
      <c r="N140" s="298">
        <f>COUNTIFS(Errors!$B:$B, $C140, Errors!$I:$I, N$1)</f>
        <v>0</v>
      </c>
      <c r="O140" s="299">
        <f>COUNTIFS(Errors!$B:$B, $C140, Errors!$I:$I, O$1)</f>
        <v>0</v>
      </c>
      <c r="P140" s="298">
        <f>COUNTIFS(Errors!$B:$B, $C140, Errors!$I:$I, P$1)</f>
        <v>0</v>
      </c>
      <c r="Q140" s="298">
        <f>COUNTIFS(Errors!$B:$B, $C140, Errors!$I:$I, Q$1)</f>
        <v>0</v>
      </c>
      <c r="R140" s="298">
        <f>COUNTIFS(Errors!$B:$B, $C140, Errors!$I:$I, R$1)</f>
        <v>0</v>
      </c>
      <c r="S140" s="298">
        <f>COUNTIFS(Errors!$B:$B, $C140, Errors!$I:$I, S$1)</f>
        <v>0</v>
      </c>
      <c r="T140" s="298">
        <f>COUNTIFS(Errors!$B:$B, $C140, Errors!$I:$I, T$1)</f>
        <v>0</v>
      </c>
      <c r="U140" s="298">
        <f>COUNTIFS(Errors!$B:$B, $C140, Errors!$I:$I, U$1)</f>
        <v>0</v>
      </c>
      <c r="V140" s="298">
        <f>COUNTIFS(Errors!$B:$B, $C140, Errors!$I:$I, V$1)</f>
        <v>1</v>
      </c>
      <c r="W140" s="298">
        <f>COUNTIFS(Errors!$B:$B, $C140, Errors!$I:$I, W$1)</f>
        <v>0</v>
      </c>
      <c r="X140" s="298">
        <f>COUNTIFS(Errors!$B:$B, $C140, Errors!$I:$I, X$1)</f>
        <v>0</v>
      </c>
    </row>
    <row r="141" ht="15.75" customHeight="1">
      <c r="A141" s="305">
        <v>0.0</v>
      </c>
      <c r="B141" s="304" t="str">
        <f>SourceData!K141</f>
        <v/>
      </c>
      <c r="C141" s="305" t="str">
        <f>SourceData!J141</f>
        <v/>
      </c>
      <c r="D141" s="306">
        <f>(COUNTIF(Errors!$B$3:$B$3010,'Error Count Analysis'!C141))-((COUNTIFS(Errors!$B$3:$B$3010,'Error Count Analysis'!C141, (Errors!$I$3:$I$3010),"TV*")))</f>
        <v>0</v>
      </c>
      <c r="E141" s="307" t="str">
        <f t="shared" si="1"/>
        <v>#DIV/0!</v>
      </c>
      <c r="F141" s="308">
        <f>COUNTIFS(Errors!$B:$B, $C141, Errors!$I:$I, F$1)</f>
        <v>0</v>
      </c>
      <c r="G141" s="309">
        <f>COUNTIFS(Errors!$B:$B, $C141, Errors!$I:$I, G$1)</f>
        <v>0</v>
      </c>
      <c r="H141" s="309">
        <f>COUNTIFS(Errors!$B:$B, $C141, Errors!$I:$I, H$1)</f>
        <v>0</v>
      </c>
      <c r="I141" s="309">
        <f>COUNTIFS(Errors!$B:$B, $C141, Errors!$I:$I, I$1)</f>
        <v>0</v>
      </c>
      <c r="J141" s="309">
        <f>COUNTIFS(Errors!$B:$B, $C141, Errors!$I:$I, J$1)</f>
        <v>0</v>
      </c>
      <c r="K141" s="309">
        <f>COUNTIFS(Errors!$B:$B, $C141, Errors!$I:$I, K$1)</f>
        <v>0</v>
      </c>
      <c r="L141" s="309">
        <f>COUNTIFS(Errors!$B:$B, $C141, Errors!$I:$I, L$1)</f>
        <v>0</v>
      </c>
      <c r="M141" s="309">
        <f>COUNTIFS(Errors!$B:$B, $C141, Errors!$I:$I, M$1)</f>
        <v>0</v>
      </c>
      <c r="N141" s="309">
        <f>COUNTIFS(Errors!$B:$B, $C141, Errors!$I:$I, N$1)</f>
        <v>0</v>
      </c>
      <c r="O141" s="310">
        <f>COUNTIFS(Errors!$B:$B, $C141, Errors!$I:$I, O$1)</f>
        <v>0</v>
      </c>
      <c r="P141" s="309">
        <f>COUNTIFS(Errors!$B:$B, $C141, Errors!$I:$I, P$1)</f>
        <v>0</v>
      </c>
      <c r="Q141" s="309">
        <f>COUNTIFS(Errors!$B:$B, $C141, Errors!$I:$I, Q$1)</f>
        <v>0</v>
      </c>
      <c r="R141" s="309">
        <f>COUNTIFS(Errors!$B:$B, $C141, Errors!$I:$I, R$1)</f>
        <v>0</v>
      </c>
      <c r="S141" s="309">
        <f>COUNTIFS(Errors!$B:$B, $C141, Errors!$I:$I, S$1)</f>
        <v>0</v>
      </c>
      <c r="T141" s="309">
        <f>COUNTIFS(Errors!$B:$B, $C141, Errors!$I:$I, T$1)</f>
        <v>0</v>
      </c>
      <c r="U141" s="309">
        <f>COUNTIFS(Errors!$B:$B, $C141, Errors!$I:$I, U$1)</f>
        <v>0</v>
      </c>
      <c r="V141" s="309">
        <f>COUNTIFS(Errors!$B:$B, $C141, Errors!$I:$I, V$1)</f>
        <v>0</v>
      </c>
      <c r="W141" s="309">
        <f>COUNTIFS(Errors!$B:$B, $C141, Errors!$I:$I, W$1)</f>
        <v>0</v>
      </c>
      <c r="X141" s="309">
        <f>COUNTIFS(Errors!$B:$B, $C141, Errors!$I:$I, X$1)</f>
        <v>0</v>
      </c>
    </row>
    <row r="142" ht="15.75" customHeight="1">
      <c r="A142" s="325">
        <v>0.0</v>
      </c>
      <c r="B142" s="293" t="str">
        <f>SourceData!K142</f>
        <v/>
      </c>
      <c r="C142" s="294" t="str">
        <f>SourceData!J142</f>
        <v/>
      </c>
      <c r="D142" s="295">
        <f>(COUNTIF(Errors!$B$3:$B$3010,'Error Count Analysis'!C142))-((COUNTIFS(Errors!$B$3:$B$3010,'Error Count Analysis'!C142, (Errors!$I$3:$I$3010),"TV*")))</f>
        <v>0</v>
      </c>
      <c r="E142" s="296" t="str">
        <f t="shared" si="1"/>
        <v>#DIV/0!</v>
      </c>
      <c r="F142" s="297">
        <f>COUNTIFS(Errors!$B:$B, $C142, Errors!$I:$I, F$1)</f>
        <v>0</v>
      </c>
      <c r="G142" s="298">
        <f>COUNTIFS(Errors!$B:$B, $C142, Errors!$I:$I, G$1)</f>
        <v>0</v>
      </c>
      <c r="H142" s="298">
        <f>COUNTIFS(Errors!$B:$B, $C142, Errors!$I:$I, H$1)</f>
        <v>0</v>
      </c>
      <c r="I142" s="298">
        <f>COUNTIFS(Errors!$B:$B, $C142, Errors!$I:$I, I$1)</f>
        <v>0</v>
      </c>
      <c r="J142" s="298">
        <f>COUNTIFS(Errors!$B:$B, $C142, Errors!$I:$I, J$1)</f>
        <v>0</v>
      </c>
      <c r="K142" s="298">
        <f>COUNTIFS(Errors!$B:$B, $C142, Errors!$I:$I, K$1)</f>
        <v>0</v>
      </c>
      <c r="L142" s="298">
        <f>COUNTIFS(Errors!$B:$B, $C142, Errors!$I:$I, L$1)</f>
        <v>0</v>
      </c>
      <c r="M142" s="298">
        <f>COUNTIFS(Errors!$B:$B, $C142, Errors!$I:$I, M$1)</f>
        <v>0</v>
      </c>
      <c r="N142" s="298">
        <f>COUNTIFS(Errors!$B:$B, $C142, Errors!$I:$I, N$1)</f>
        <v>0</v>
      </c>
      <c r="O142" s="299">
        <f>COUNTIFS(Errors!$B:$B, $C142, Errors!$I:$I, O$1)</f>
        <v>0</v>
      </c>
      <c r="P142" s="298">
        <f>COUNTIFS(Errors!$B:$B, $C142, Errors!$I:$I, P$1)</f>
        <v>0</v>
      </c>
      <c r="Q142" s="298">
        <f>COUNTIFS(Errors!$B:$B, $C142, Errors!$I:$I, Q$1)</f>
        <v>0</v>
      </c>
      <c r="R142" s="298">
        <f>COUNTIFS(Errors!$B:$B, $C142, Errors!$I:$I, R$1)</f>
        <v>0</v>
      </c>
      <c r="S142" s="298">
        <f>COUNTIFS(Errors!$B:$B, $C142, Errors!$I:$I, S$1)</f>
        <v>0</v>
      </c>
      <c r="T142" s="298">
        <f>COUNTIFS(Errors!$B:$B, $C142, Errors!$I:$I, T$1)</f>
        <v>0</v>
      </c>
      <c r="U142" s="298">
        <f>COUNTIFS(Errors!$B:$B, $C142, Errors!$I:$I, U$1)</f>
        <v>0</v>
      </c>
      <c r="V142" s="298">
        <f>COUNTIFS(Errors!$B:$B, $C142, Errors!$I:$I, V$1)</f>
        <v>0</v>
      </c>
      <c r="W142" s="298">
        <f>COUNTIFS(Errors!$B:$B, $C142, Errors!$I:$I, W$1)</f>
        <v>0</v>
      </c>
      <c r="X142" s="298">
        <f>COUNTIFS(Errors!$B:$B, $C142, Errors!$I:$I, X$1)</f>
        <v>0</v>
      </c>
    </row>
    <row r="143" ht="15.75" customHeight="1">
      <c r="A143" s="305">
        <v>0.0</v>
      </c>
      <c r="B143" s="304" t="str">
        <f>SourceData!K143</f>
        <v/>
      </c>
      <c r="C143" s="305" t="str">
        <f>SourceData!J143</f>
        <v/>
      </c>
      <c r="D143" s="306">
        <f>(COUNTIF(Errors!$B$3:$B$3010,'Error Count Analysis'!C143))-((COUNTIFS(Errors!$B$3:$B$3010,'Error Count Analysis'!C143, (Errors!$I$3:$I$3010),"TV*")))</f>
        <v>0</v>
      </c>
      <c r="E143" s="307" t="str">
        <f t="shared" si="1"/>
        <v>#DIV/0!</v>
      </c>
      <c r="F143" s="308">
        <f>COUNTIFS(Errors!$B:$B, $C143, Errors!$I:$I, F$1)</f>
        <v>0</v>
      </c>
      <c r="G143" s="309">
        <f>COUNTIFS(Errors!$B:$B, $C143, Errors!$I:$I, G$1)</f>
        <v>0</v>
      </c>
      <c r="H143" s="309">
        <f>COUNTIFS(Errors!$B:$B, $C143, Errors!$I:$I, H$1)</f>
        <v>0</v>
      </c>
      <c r="I143" s="309">
        <f>COUNTIFS(Errors!$B:$B, $C143, Errors!$I:$I, I$1)</f>
        <v>0</v>
      </c>
      <c r="J143" s="309">
        <f>COUNTIFS(Errors!$B:$B, $C143, Errors!$I:$I, J$1)</f>
        <v>0</v>
      </c>
      <c r="K143" s="309">
        <f>COUNTIFS(Errors!$B:$B, $C143, Errors!$I:$I, K$1)</f>
        <v>0</v>
      </c>
      <c r="L143" s="309">
        <f>COUNTIFS(Errors!$B:$B, $C143, Errors!$I:$I, L$1)</f>
        <v>0</v>
      </c>
      <c r="M143" s="309">
        <f>COUNTIFS(Errors!$B:$B, $C143, Errors!$I:$I, M$1)</f>
        <v>0</v>
      </c>
      <c r="N143" s="309">
        <f>COUNTIFS(Errors!$B:$B, $C143, Errors!$I:$I, N$1)</f>
        <v>0</v>
      </c>
      <c r="O143" s="310">
        <f>COUNTIFS(Errors!$B:$B, $C143, Errors!$I:$I, O$1)</f>
        <v>0</v>
      </c>
      <c r="P143" s="309">
        <f>COUNTIFS(Errors!$B:$B, $C143, Errors!$I:$I, P$1)</f>
        <v>0</v>
      </c>
      <c r="Q143" s="309">
        <f>COUNTIFS(Errors!$B:$B, $C143, Errors!$I:$I, Q$1)</f>
        <v>0</v>
      </c>
      <c r="R143" s="309">
        <f>COUNTIFS(Errors!$B:$B, $C143, Errors!$I:$I, R$1)</f>
        <v>0</v>
      </c>
      <c r="S143" s="309">
        <f>COUNTIFS(Errors!$B:$B, $C143, Errors!$I:$I, S$1)</f>
        <v>0</v>
      </c>
      <c r="T143" s="309">
        <f>COUNTIFS(Errors!$B:$B, $C143, Errors!$I:$I, T$1)</f>
        <v>0</v>
      </c>
      <c r="U143" s="309">
        <f>COUNTIFS(Errors!$B:$B, $C143, Errors!$I:$I, U$1)</f>
        <v>0</v>
      </c>
      <c r="V143" s="309">
        <f>COUNTIFS(Errors!$B:$B, $C143, Errors!$I:$I, V$1)</f>
        <v>0</v>
      </c>
      <c r="W143" s="309">
        <f>COUNTIFS(Errors!$B:$B, $C143, Errors!$I:$I, W$1)</f>
        <v>0</v>
      </c>
      <c r="X143" s="309">
        <f>COUNTIFS(Errors!$B:$B, $C143, Errors!$I:$I, X$1)</f>
        <v>0</v>
      </c>
    </row>
    <row r="144" ht="15.75" customHeight="1">
      <c r="A144" s="325">
        <v>0.0</v>
      </c>
      <c r="B144" s="293" t="str">
        <f>SourceData!K144</f>
        <v/>
      </c>
      <c r="C144" s="294" t="str">
        <f>SourceData!J144</f>
        <v/>
      </c>
      <c r="D144" s="295">
        <f>(COUNTIF(Errors!$B$3:$B$3010,'Error Count Analysis'!C144))-((COUNTIFS(Errors!$B$3:$B$3010,'Error Count Analysis'!C144, (Errors!$I$3:$I$3010),"TV*")))</f>
        <v>0</v>
      </c>
      <c r="E144" s="296" t="str">
        <f t="shared" si="1"/>
        <v>#DIV/0!</v>
      </c>
      <c r="F144" s="297">
        <f>COUNTIFS(Errors!$B:$B, $C144, Errors!$I:$I, F$1)</f>
        <v>0</v>
      </c>
      <c r="G144" s="298">
        <f>COUNTIFS(Errors!$B:$B, $C144, Errors!$I:$I, G$1)</f>
        <v>0</v>
      </c>
      <c r="H144" s="298">
        <f>COUNTIFS(Errors!$B:$B, $C144, Errors!$I:$I, H$1)</f>
        <v>0</v>
      </c>
      <c r="I144" s="298">
        <f>COUNTIFS(Errors!$B:$B, $C144, Errors!$I:$I, I$1)</f>
        <v>0</v>
      </c>
      <c r="J144" s="298">
        <f>COUNTIFS(Errors!$B:$B, $C144, Errors!$I:$I, J$1)</f>
        <v>0</v>
      </c>
      <c r="K144" s="298">
        <f>COUNTIFS(Errors!$B:$B, $C144, Errors!$I:$I, K$1)</f>
        <v>0</v>
      </c>
      <c r="L144" s="298">
        <f>COUNTIFS(Errors!$B:$B, $C144, Errors!$I:$I, L$1)</f>
        <v>0</v>
      </c>
      <c r="M144" s="298">
        <f>COUNTIFS(Errors!$B:$B, $C144, Errors!$I:$I, M$1)</f>
        <v>0</v>
      </c>
      <c r="N144" s="298">
        <f>COUNTIFS(Errors!$B:$B, $C144, Errors!$I:$I, N$1)</f>
        <v>0</v>
      </c>
      <c r="O144" s="299">
        <f>COUNTIFS(Errors!$B:$B, $C144, Errors!$I:$I, O$1)</f>
        <v>0</v>
      </c>
      <c r="P144" s="298">
        <f>COUNTIFS(Errors!$B:$B, $C144, Errors!$I:$I, P$1)</f>
        <v>0</v>
      </c>
      <c r="Q144" s="298">
        <f>COUNTIFS(Errors!$B:$B, $C144, Errors!$I:$I, Q$1)</f>
        <v>0</v>
      </c>
      <c r="R144" s="298">
        <f>COUNTIFS(Errors!$B:$B, $C144, Errors!$I:$I, R$1)</f>
        <v>0</v>
      </c>
      <c r="S144" s="298">
        <f>COUNTIFS(Errors!$B:$B, $C144, Errors!$I:$I, S$1)</f>
        <v>0</v>
      </c>
      <c r="T144" s="298">
        <f>COUNTIFS(Errors!$B:$B, $C144, Errors!$I:$I, T$1)</f>
        <v>0</v>
      </c>
      <c r="U144" s="298">
        <f>COUNTIFS(Errors!$B:$B, $C144, Errors!$I:$I, U$1)</f>
        <v>0</v>
      </c>
      <c r="V144" s="298">
        <f>COUNTIFS(Errors!$B:$B, $C144, Errors!$I:$I, V$1)</f>
        <v>0</v>
      </c>
      <c r="W144" s="298">
        <f>COUNTIFS(Errors!$B:$B, $C144, Errors!$I:$I, W$1)</f>
        <v>0</v>
      </c>
      <c r="X144" s="298">
        <f>COUNTIFS(Errors!$B:$B, $C144, Errors!$I:$I, X$1)</f>
        <v>0</v>
      </c>
    </row>
    <row r="145" ht="15.75" customHeight="1">
      <c r="A145" s="305">
        <v>0.0</v>
      </c>
      <c r="B145" s="304" t="str">
        <f>SourceData!K145</f>
        <v/>
      </c>
      <c r="C145" s="305" t="str">
        <f>SourceData!J145</f>
        <v/>
      </c>
      <c r="D145" s="306">
        <f>(COUNTIF(Errors!$B$3:$B$3010,'Error Count Analysis'!C145))-((COUNTIFS(Errors!$B$3:$B$3010,'Error Count Analysis'!C145, (Errors!$I$3:$I$3010),"TV*")))</f>
        <v>0</v>
      </c>
      <c r="E145" s="307" t="str">
        <f t="shared" si="1"/>
        <v>#DIV/0!</v>
      </c>
      <c r="F145" s="308">
        <f>COUNTIFS(Errors!$B:$B, $C145, Errors!$I:$I, F$1)</f>
        <v>0</v>
      </c>
      <c r="G145" s="309">
        <f>COUNTIFS(Errors!$B:$B, $C145, Errors!$I:$I, G$1)</f>
        <v>0</v>
      </c>
      <c r="H145" s="309">
        <f>COUNTIFS(Errors!$B:$B, $C145, Errors!$I:$I, H$1)</f>
        <v>0</v>
      </c>
      <c r="I145" s="309">
        <f>COUNTIFS(Errors!$B:$B, $C145, Errors!$I:$I, I$1)</f>
        <v>0</v>
      </c>
      <c r="J145" s="309">
        <f>COUNTIFS(Errors!$B:$B, $C145, Errors!$I:$I, J$1)</f>
        <v>0</v>
      </c>
      <c r="K145" s="309">
        <f>COUNTIFS(Errors!$B:$B, $C145, Errors!$I:$I, K$1)</f>
        <v>0</v>
      </c>
      <c r="L145" s="309">
        <f>COUNTIFS(Errors!$B:$B, $C145, Errors!$I:$I, L$1)</f>
        <v>0</v>
      </c>
      <c r="M145" s="309">
        <f>COUNTIFS(Errors!$B:$B, $C145, Errors!$I:$I, M$1)</f>
        <v>0</v>
      </c>
      <c r="N145" s="309">
        <f>COUNTIFS(Errors!$B:$B, $C145, Errors!$I:$I, N$1)</f>
        <v>0</v>
      </c>
      <c r="O145" s="310">
        <f>COUNTIFS(Errors!$B:$B, $C145, Errors!$I:$I, O$1)</f>
        <v>0</v>
      </c>
      <c r="P145" s="309">
        <f>COUNTIFS(Errors!$B:$B, $C145, Errors!$I:$I, P$1)</f>
        <v>0</v>
      </c>
      <c r="Q145" s="309">
        <f>COUNTIFS(Errors!$B:$B, $C145, Errors!$I:$I, Q$1)</f>
        <v>0</v>
      </c>
      <c r="R145" s="309">
        <f>COUNTIFS(Errors!$B:$B, $C145, Errors!$I:$I, R$1)</f>
        <v>0</v>
      </c>
      <c r="S145" s="309">
        <f>COUNTIFS(Errors!$B:$B, $C145, Errors!$I:$I, S$1)</f>
        <v>0</v>
      </c>
      <c r="T145" s="309">
        <f>COUNTIFS(Errors!$B:$B, $C145, Errors!$I:$I, T$1)</f>
        <v>0</v>
      </c>
      <c r="U145" s="309">
        <f>COUNTIFS(Errors!$B:$B, $C145, Errors!$I:$I, U$1)</f>
        <v>0</v>
      </c>
      <c r="V145" s="309">
        <f>COUNTIFS(Errors!$B:$B, $C145, Errors!$I:$I, V$1)</f>
        <v>0</v>
      </c>
      <c r="W145" s="309">
        <f>COUNTIFS(Errors!$B:$B, $C145, Errors!$I:$I, W$1)</f>
        <v>0</v>
      </c>
      <c r="X145" s="309">
        <f>COUNTIFS(Errors!$B:$B, $C145, Errors!$I:$I, X$1)</f>
        <v>0</v>
      </c>
    </row>
    <row r="146" ht="15.75" customHeight="1">
      <c r="A146" s="325">
        <v>0.0</v>
      </c>
      <c r="B146" s="293" t="str">
        <f>SourceData!K146</f>
        <v/>
      </c>
      <c r="C146" s="294" t="str">
        <f>SourceData!J146</f>
        <v/>
      </c>
      <c r="D146" s="295">
        <f>(COUNTIF(Errors!$B$3:$B$3010,'Error Count Analysis'!C146))-((COUNTIFS(Errors!$B$3:$B$3010,'Error Count Analysis'!C146, (Errors!$I$3:$I$3010),"TV*")))</f>
        <v>0</v>
      </c>
      <c r="E146" s="296" t="str">
        <f t="shared" si="1"/>
        <v>#DIV/0!</v>
      </c>
      <c r="F146" s="297">
        <f>COUNTIFS(Errors!$B:$B, $C146, Errors!$I:$I, F$1)</f>
        <v>0</v>
      </c>
      <c r="G146" s="298">
        <f>COUNTIFS(Errors!$B:$B, $C146, Errors!$I:$I, G$1)</f>
        <v>0</v>
      </c>
      <c r="H146" s="298">
        <f>COUNTIFS(Errors!$B:$B, $C146, Errors!$I:$I, H$1)</f>
        <v>0</v>
      </c>
      <c r="I146" s="298">
        <f>COUNTIFS(Errors!$B:$B, $C146, Errors!$I:$I, I$1)</f>
        <v>0</v>
      </c>
      <c r="J146" s="298">
        <f>COUNTIFS(Errors!$B:$B, $C146, Errors!$I:$I, J$1)</f>
        <v>0</v>
      </c>
      <c r="K146" s="298">
        <f>COUNTIFS(Errors!$B:$B, $C146, Errors!$I:$I, K$1)</f>
        <v>0</v>
      </c>
      <c r="L146" s="298">
        <f>COUNTIFS(Errors!$B:$B, $C146, Errors!$I:$I, L$1)</f>
        <v>0</v>
      </c>
      <c r="M146" s="298">
        <f>COUNTIFS(Errors!$B:$B, $C146, Errors!$I:$I, M$1)</f>
        <v>0</v>
      </c>
      <c r="N146" s="298">
        <f>COUNTIFS(Errors!$B:$B, $C146, Errors!$I:$I, N$1)</f>
        <v>0</v>
      </c>
      <c r="O146" s="299">
        <f>COUNTIFS(Errors!$B:$B, $C146, Errors!$I:$I, O$1)</f>
        <v>0</v>
      </c>
      <c r="P146" s="298">
        <f>COUNTIFS(Errors!$B:$B, $C146, Errors!$I:$I, P$1)</f>
        <v>0</v>
      </c>
      <c r="Q146" s="298">
        <f>COUNTIFS(Errors!$B:$B, $C146, Errors!$I:$I, Q$1)</f>
        <v>0</v>
      </c>
      <c r="R146" s="298">
        <f>COUNTIFS(Errors!$B:$B, $C146, Errors!$I:$I, R$1)</f>
        <v>0</v>
      </c>
      <c r="S146" s="298">
        <f>COUNTIFS(Errors!$B:$B, $C146, Errors!$I:$I, S$1)</f>
        <v>0</v>
      </c>
      <c r="T146" s="298">
        <f>COUNTIFS(Errors!$B:$B, $C146, Errors!$I:$I, T$1)</f>
        <v>0</v>
      </c>
      <c r="U146" s="298">
        <f>COUNTIFS(Errors!$B:$B, $C146, Errors!$I:$I, U$1)</f>
        <v>0</v>
      </c>
      <c r="V146" s="298">
        <f>COUNTIFS(Errors!$B:$B, $C146, Errors!$I:$I, V$1)</f>
        <v>0</v>
      </c>
      <c r="W146" s="298">
        <f>COUNTIFS(Errors!$B:$B, $C146, Errors!$I:$I, W$1)</f>
        <v>0</v>
      </c>
      <c r="X146" s="298">
        <f>COUNTIFS(Errors!$B:$B, $C146, Errors!$I:$I, X$1)</f>
        <v>0</v>
      </c>
    </row>
    <row r="147" ht="15.75" customHeight="1">
      <c r="A147" s="305">
        <v>0.0</v>
      </c>
      <c r="B147" s="304" t="str">
        <f>SourceData!K147</f>
        <v/>
      </c>
      <c r="C147" s="305" t="str">
        <f>SourceData!J147</f>
        <v/>
      </c>
      <c r="D147" s="306">
        <f>(COUNTIF(Errors!$B$3:$B$3010,'Error Count Analysis'!C147))-((COUNTIFS(Errors!$B$3:$B$3010,'Error Count Analysis'!C147, (Errors!$I$3:$I$3010),"TV*")))</f>
        <v>0</v>
      </c>
      <c r="E147" s="307" t="str">
        <f t="shared" si="1"/>
        <v>#DIV/0!</v>
      </c>
      <c r="F147" s="308">
        <f>COUNTIFS(Errors!$B:$B, $C147, Errors!$I:$I, F$1)</f>
        <v>0</v>
      </c>
      <c r="G147" s="309">
        <f>COUNTIFS(Errors!$B:$B, $C147, Errors!$I:$I, G$1)</f>
        <v>0</v>
      </c>
      <c r="H147" s="309">
        <f>COUNTIFS(Errors!$B:$B, $C147, Errors!$I:$I, H$1)</f>
        <v>0</v>
      </c>
      <c r="I147" s="309">
        <f>COUNTIFS(Errors!$B:$B, $C147, Errors!$I:$I, I$1)</f>
        <v>0</v>
      </c>
      <c r="J147" s="309">
        <f>COUNTIFS(Errors!$B:$B, $C147, Errors!$I:$I, J$1)</f>
        <v>0</v>
      </c>
      <c r="K147" s="309">
        <f>COUNTIFS(Errors!$B:$B, $C147, Errors!$I:$I, K$1)</f>
        <v>0</v>
      </c>
      <c r="L147" s="309">
        <f>COUNTIFS(Errors!$B:$B, $C147, Errors!$I:$I, L$1)</f>
        <v>0</v>
      </c>
      <c r="M147" s="309">
        <f>COUNTIFS(Errors!$B:$B, $C147, Errors!$I:$I, M$1)</f>
        <v>0</v>
      </c>
      <c r="N147" s="309">
        <f>COUNTIFS(Errors!$B:$B, $C147, Errors!$I:$I, N$1)</f>
        <v>0</v>
      </c>
      <c r="O147" s="310">
        <f>COUNTIFS(Errors!$B:$B, $C147, Errors!$I:$I, O$1)</f>
        <v>0</v>
      </c>
      <c r="P147" s="309">
        <f>COUNTIFS(Errors!$B:$B, $C147, Errors!$I:$I, P$1)</f>
        <v>0</v>
      </c>
      <c r="Q147" s="309">
        <f>COUNTIFS(Errors!$B:$B, $C147, Errors!$I:$I, Q$1)</f>
        <v>0</v>
      </c>
      <c r="R147" s="309">
        <f>COUNTIFS(Errors!$B:$B, $C147, Errors!$I:$I, R$1)</f>
        <v>0</v>
      </c>
      <c r="S147" s="309">
        <f>COUNTIFS(Errors!$B:$B, $C147, Errors!$I:$I, S$1)</f>
        <v>0</v>
      </c>
      <c r="T147" s="309">
        <f>COUNTIFS(Errors!$B:$B, $C147, Errors!$I:$I, T$1)</f>
        <v>0</v>
      </c>
      <c r="U147" s="309">
        <f>COUNTIFS(Errors!$B:$B, $C147, Errors!$I:$I, U$1)</f>
        <v>0</v>
      </c>
      <c r="V147" s="309">
        <f>COUNTIFS(Errors!$B:$B, $C147, Errors!$I:$I, V$1)</f>
        <v>0</v>
      </c>
      <c r="W147" s="309">
        <f>COUNTIFS(Errors!$B:$B, $C147, Errors!$I:$I, W$1)</f>
        <v>0</v>
      </c>
      <c r="X147" s="309">
        <f>COUNTIFS(Errors!$B:$B, $C147, Errors!$I:$I, X$1)</f>
        <v>0</v>
      </c>
    </row>
    <row r="148" ht="15.75" customHeight="1">
      <c r="A148" s="325">
        <v>0.0</v>
      </c>
      <c r="B148" s="293" t="str">
        <f>SourceData!K148</f>
        <v/>
      </c>
      <c r="C148" s="294" t="str">
        <f>SourceData!J148</f>
        <v/>
      </c>
      <c r="D148" s="295">
        <f>(COUNTIF(Errors!$B$3:$B$3010,'Error Count Analysis'!C148))-((COUNTIFS(Errors!$B$3:$B$3010,'Error Count Analysis'!C148, (Errors!$I$3:$I$3010),"TV*")))</f>
        <v>0</v>
      </c>
      <c r="E148" s="296" t="str">
        <f t="shared" si="1"/>
        <v>#DIV/0!</v>
      </c>
      <c r="F148" s="297">
        <f>COUNTIFS(Errors!$B:$B, $C148, Errors!$I:$I, F$1)</f>
        <v>0</v>
      </c>
      <c r="G148" s="298">
        <f>COUNTIFS(Errors!$B:$B, $C148, Errors!$I:$I, G$1)</f>
        <v>0</v>
      </c>
      <c r="H148" s="298">
        <f>COUNTIFS(Errors!$B:$B, $C148, Errors!$I:$I, H$1)</f>
        <v>0</v>
      </c>
      <c r="I148" s="298">
        <f>COUNTIFS(Errors!$B:$B, $C148, Errors!$I:$I, I$1)</f>
        <v>0</v>
      </c>
      <c r="J148" s="298">
        <f>COUNTIFS(Errors!$B:$B, $C148, Errors!$I:$I, J$1)</f>
        <v>0</v>
      </c>
      <c r="K148" s="298">
        <f>COUNTIFS(Errors!$B:$B, $C148, Errors!$I:$I, K$1)</f>
        <v>0</v>
      </c>
      <c r="L148" s="298">
        <f>COUNTIFS(Errors!$B:$B, $C148, Errors!$I:$I, L$1)</f>
        <v>0</v>
      </c>
      <c r="M148" s="298">
        <f>COUNTIFS(Errors!$B:$B, $C148, Errors!$I:$I, M$1)</f>
        <v>0</v>
      </c>
      <c r="N148" s="298">
        <f>COUNTIFS(Errors!$B:$B, $C148, Errors!$I:$I, N$1)</f>
        <v>0</v>
      </c>
      <c r="O148" s="299">
        <f>COUNTIFS(Errors!$B:$B, $C148, Errors!$I:$I, O$1)</f>
        <v>0</v>
      </c>
      <c r="P148" s="298">
        <f>COUNTIFS(Errors!$B:$B, $C148, Errors!$I:$I, P$1)</f>
        <v>0</v>
      </c>
      <c r="Q148" s="298">
        <f>COUNTIFS(Errors!$B:$B, $C148, Errors!$I:$I, Q$1)</f>
        <v>0</v>
      </c>
      <c r="R148" s="298">
        <f>COUNTIFS(Errors!$B:$B, $C148, Errors!$I:$I, R$1)</f>
        <v>0</v>
      </c>
      <c r="S148" s="298">
        <f>COUNTIFS(Errors!$B:$B, $C148, Errors!$I:$I, S$1)</f>
        <v>0</v>
      </c>
      <c r="T148" s="298">
        <f>COUNTIFS(Errors!$B:$B, $C148, Errors!$I:$I, T$1)</f>
        <v>0</v>
      </c>
      <c r="U148" s="298">
        <f>COUNTIFS(Errors!$B:$B, $C148, Errors!$I:$I, U$1)</f>
        <v>0</v>
      </c>
      <c r="V148" s="298">
        <f>COUNTIFS(Errors!$B:$B, $C148, Errors!$I:$I, V$1)</f>
        <v>0</v>
      </c>
      <c r="W148" s="298">
        <f>COUNTIFS(Errors!$B:$B, $C148, Errors!$I:$I, W$1)</f>
        <v>0</v>
      </c>
      <c r="X148" s="298">
        <f>COUNTIFS(Errors!$B:$B, $C148, Errors!$I:$I, X$1)</f>
        <v>0</v>
      </c>
    </row>
    <row r="149" ht="15.75" customHeight="1">
      <c r="A149" s="305">
        <v>0.0</v>
      </c>
      <c r="B149" s="304" t="str">
        <f>SourceData!K149</f>
        <v/>
      </c>
      <c r="C149" s="305" t="str">
        <f>SourceData!J149</f>
        <v/>
      </c>
      <c r="D149" s="306">
        <f>(COUNTIF(Errors!$B$3:$B$3010,'Error Count Analysis'!C149))-((COUNTIFS(Errors!$B$3:$B$3010,'Error Count Analysis'!C149, (Errors!$I$3:$I$3010),"TV*")))</f>
        <v>0</v>
      </c>
      <c r="E149" s="307" t="str">
        <f t="shared" si="1"/>
        <v>#DIV/0!</v>
      </c>
      <c r="F149" s="308">
        <f>COUNTIFS(Errors!$B:$B, $C149, Errors!$I:$I, F$1)</f>
        <v>0</v>
      </c>
      <c r="G149" s="309">
        <f>COUNTIFS(Errors!$B:$B, $C149, Errors!$I:$I, G$1)</f>
        <v>0</v>
      </c>
      <c r="H149" s="309">
        <f>COUNTIFS(Errors!$B:$B, $C149, Errors!$I:$I, H$1)</f>
        <v>0</v>
      </c>
      <c r="I149" s="309">
        <f>COUNTIFS(Errors!$B:$B, $C149, Errors!$I:$I, I$1)</f>
        <v>0</v>
      </c>
      <c r="J149" s="309">
        <f>COUNTIFS(Errors!$B:$B, $C149, Errors!$I:$I, J$1)</f>
        <v>0</v>
      </c>
      <c r="K149" s="309">
        <f>COUNTIFS(Errors!$B:$B, $C149, Errors!$I:$I, K$1)</f>
        <v>0</v>
      </c>
      <c r="L149" s="309">
        <f>COUNTIFS(Errors!$B:$B, $C149, Errors!$I:$I, L$1)</f>
        <v>0</v>
      </c>
      <c r="M149" s="309">
        <f>COUNTIFS(Errors!$B:$B, $C149, Errors!$I:$I, M$1)</f>
        <v>0</v>
      </c>
      <c r="N149" s="309">
        <f>COUNTIFS(Errors!$B:$B, $C149, Errors!$I:$I, N$1)</f>
        <v>0</v>
      </c>
      <c r="O149" s="310">
        <f>COUNTIFS(Errors!$B:$B, $C149, Errors!$I:$I, O$1)</f>
        <v>0</v>
      </c>
      <c r="P149" s="309">
        <f>COUNTIFS(Errors!$B:$B, $C149, Errors!$I:$I, P$1)</f>
        <v>0</v>
      </c>
      <c r="Q149" s="309">
        <f>COUNTIFS(Errors!$B:$B, $C149, Errors!$I:$I, Q$1)</f>
        <v>0</v>
      </c>
      <c r="R149" s="309">
        <f>COUNTIFS(Errors!$B:$B, $C149, Errors!$I:$I, R$1)</f>
        <v>0</v>
      </c>
      <c r="S149" s="309">
        <f>COUNTIFS(Errors!$B:$B, $C149, Errors!$I:$I, S$1)</f>
        <v>0</v>
      </c>
      <c r="T149" s="309">
        <f>COUNTIFS(Errors!$B:$B, $C149, Errors!$I:$I, T$1)</f>
        <v>0</v>
      </c>
      <c r="U149" s="309">
        <f>COUNTIFS(Errors!$B:$B, $C149, Errors!$I:$I, U$1)</f>
        <v>0</v>
      </c>
      <c r="V149" s="309">
        <f>COUNTIFS(Errors!$B:$B, $C149, Errors!$I:$I, V$1)</f>
        <v>0</v>
      </c>
      <c r="W149" s="309">
        <f>COUNTIFS(Errors!$B:$B, $C149, Errors!$I:$I, W$1)</f>
        <v>0</v>
      </c>
      <c r="X149" s="309">
        <f>COUNTIFS(Errors!$B:$B, $C149, Errors!$I:$I, X$1)</f>
        <v>0</v>
      </c>
    </row>
    <row r="150" ht="15.75" customHeight="1">
      <c r="A150" s="325">
        <v>0.0</v>
      </c>
      <c r="B150" s="293" t="str">
        <f>SourceData!K150</f>
        <v/>
      </c>
      <c r="C150" s="294" t="str">
        <f>SourceData!J150</f>
        <v/>
      </c>
      <c r="D150" s="295">
        <f>(COUNTIF(Errors!$B$3:$B$3010,'Error Count Analysis'!C150))-((COUNTIFS(Errors!$B$3:$B$3010,'Error Count Analysis'!C150, (Errors!$I$3:$I$3010),"TV*")))</f>
        <v>0</v>
      </c>
      <c r="E150" s="296" t="str">
        <f t="shared" si="1"/>
        <v>#DIV/0!</v>
      </c>
      <c r="F150" s="297">
        <f>COUNTIFS(Errors!$B:$B, $C150, Errors!$I:$I, F$1)</f>
        <v>0</v>
      </c>
      <c r="G150" s="298">
        <f>COUNTIFS(Errors!$B:$B, $C150, Errors!$I:$I, G$1)</f>
        <v>0</v>
      </c>
      <c r="H150" s="298">
        <f>COUNTIFS(Errors!$B:$B, $C150, Errors!$I:$I, H$1)</f>
        <v>0</v>
      </c>
      <c r="I150" s="298">
        <f>COUNTIFS(Errors!$B:$B, $C150, Errors!$I:$I, I$1)</f>
        <v>0</v>
      </c>
      <c r="J150" s="298">
        <f>COUNTIFS(Errors!$B:$B, $C150, Errors!$I:$I, J$1)</f>
        <v>0</v>
      </c>
      <c r="K150" s="298">
        <f>COUNTIFS(Errors!$B:$B, $C150, Errors!$I:$I, K$1)</f>
        <v>0</v>
      </c>
      <c r="L150" s="298">
        <f>COUNTIFS(Errors!$B:$B, $C150, Errors!$I:$I, L$1)</f>
        <v>0</v>
      </c>
      <c r="M150" s="298">
        <f>COUNTIFS(Errors!$B:$B, $C150, Errors!$I:$I, M$1)</f>
        <v>0</v>
      </c>
      <c r="N150" s="298">
        <f>COUNTIFS(Errors!$B:$B, $C150, Errors!$I:$I, N$1)</f>
        <v>0</v>
      </c>
      <c r="O150" s="299">
        <f>COUNTIFS(Errors!$B:$B, $C150, Errors!$I:$I, O$1)</f>
        <v>0</v>
      </c>
      <c r="P150" s="298">
        <f>COUNTIFS(Errors!$B:$B, $C150, Errors!$I:$I, P$1)</f>
        <v>0</v>
      </c>
      <c r="Q150" s="298">
        <f>COUNTIFS(Errors!$B:$B, $C150, Errors!$I:$I, Q$1)</f>
        <v>0</v>
      </c>
      <c r="R150" s="298">
        <f>COUNTIFS(Errors!$B:$B, $C150, Errors!$I:$I, R$1)</f>
        <v>0</v>
      </c>
      <c r="S150" s="298">
        <f>COUNTIFS(Errors!$B:$B, $C150, Errors!$I:$I, S$1)</f>
        <v>0</v>
      </c>
      <c r="T150" s="298">
        <f>COUNTIFS(Errors!$B:$B, $C150, Errors!$I:$I, T$1)</f>
        <v>0</v>
      </c>
      <c r="U150" s="298">
        <f>COUNTIFS(Errors!$B:$B, $C150, Errors!$I:$I, U$1)</f>
        <v>0</v>
      </c>
      <c r="V150" s="298">
        <f>COUNTIFS(Errors!$B:$B, $C150, Errors!$I:$I, V$1)</f>
        <v>0</v>
      </c>
      <c r="W150" s="298">
        <f>COUNTIFS(Errors!$B:$B, $C150, Errors!$I:$I, W$1)</f>
        <v>0</v>
      </c>
      <c r="X150" s="298">
        <f>COUNTIFS(Errors!$B:$B, $C150, Errors!$I:$I, X$1)</f>
        <v>0</v>
      </c>
    </row>
    <row r="151" ht="15.75" customHeight="1">
      <c r="A151" s="305">
        <v>0.0</v>
      </c>
      <c r="B151" s="304" t="str">
        <f>SourceData!K151</f>
        <v/>
      </c>
      <c r="C151" s="305" t="str">
        <f>SourceData!J151</f>
        <v/>
      </c>
      <c r="D151" s="306">
        <f>(COUNTIF(Errors!$B$3:$B$3010,'Error Count Analysis'!C151))-((COUNTIFS(Errors!$B$3:$B$3010,'Error Count Analysis'!C151, (Errors!$I$3:$I$3010),"TV*")))</f>
        <v>0</v>
      </c>
      <c r="E151" s="307" t="str">
        <f t="shared" si="1"/>
        <v>#DIV/0!</v>
      </c>
      <c r="F151" s="308">
        <f>COUNTIFS(Errors!$B:$B, $C151, Errors!$I:$I, F$1)</f>
        <v>0</v>
      </c>
      <c r="G151" s="309">
        <f>COUNTIFS(Errors!$B:$B, $C151, Errors!$I:$I, G$1)</f>
        <v>0</v>
      </c>
      <c r="H151" s="309">
        <f>COUNTIFS(Errors!$B:$B, $C151, Errors!$I:$I, H$1)</f>
        <v>0</v>
      </c>
      <c r="I151" s="309">
        <f>COUNTIFS(Errors!$B:$B, $C151, Errors!$I:$I, I$1)</f>
        <v>0</v>
      </c>
      <c r="J151" s="309">
        <f>COUNTIFS(Errors!$B:$B, $C151, Errors!$I:$I, J$1)</f>
        <v>0</v>
      </c>
      <c r="K151" s="309">
        <f>COUNTIFS(Errors!$B:$B, $C151, Errors!$I:$I, K$1)</f>
        <v>0</v>
      </c>
      <c r="L151" s="309">
        <f>COUNTIFS(Errors!$B:$B, $C151, Errors!$I:$I, L$1)</f>
        <v>0</v>
      </c>
      <c r="M151" s="309">
        <f>COUNTIFS(Errors!$B:$B, $C151, Errors!$I:$I, M$1)</f>
        <v>0</v>
      </c>
      <c r="N151" s="309">
        <f>COUNTIFS(Errors!$B:$B, $C151, Errors!$I:$I, N$1)</f>
        <v>0</v>
      </c>
      <c r="O151" s="310">
        <f>COUNTIFS(Errors!$B:$B, $C151, Errors!$I:$I, O$1)</f>
        <v>0</v>
      </c>
      <c r="P151" s="309">
        <f>COUNTIFS(Errors!$B:$B, $C151, Errors!$I:$I, P$1)</f>
        <v>0</v>
      </c>
      <c r="Q151" s="309">
        <f>COUNTIFS(Errors!$B:$B, $C151, Errors!$I:$I, Q$1)</f>
        <v>0</v>
      </c>
      <c r="R151" s="309">
        <f>COUNTIFS(Errors!$B:$B, $C151, Errors!$I:$I, R$1)</f>
        <v>0</v>
      </c>
      <c r="S151" s="309">
        <f>COUNTIFS(Errors!$B:$B, $C151, Errors!$I:$I, S$1)</f>
        <v>0</v>
      </c>
      <c r="T151" s="309">
        <f>COUNTIFS(Errors!$B:$B, $C151, Errors!$I:$I, T$1)</f>
        <v>0</v>
      </c>
      <c r="U151" s="309">
        <f>COUNTIFS(Errors!$B:$B, $C151, Errors!$I:$I, U$1)</f>
        <v>0</v>
      </c>
      <c r="V151" s="309">
        <f>COUNTIFS(Errors!$B:$B, $C151, Errors!$I:$I, V$1)</f>
        <v>0</v>
      </c>
      <c r="W151" s="309">
        <f>COUNTIFS(Errors!$B:$B, $C151, Errors!$I:$I, W$1)</f>
        <v>0</v>
      </c>
      <c r="X151" s="309">
        <f>COUNTIFS(Errors!$B:$B, $C151, Errors!$I:$I, X$1)</f>
        <v>0</v>
      </c>
    </row>
    <row r="152" ht="15.75" customHeight="1">
      <c r="A152" s="325">
        <v>0.0</v>
      </c>
      <c r="B152" s="293" t="str">
        <f>SourceData!K152</f>
        <v/>
      </c>
      <c r="C152" s="294" t="str">
        <f>SourceData!J152</f>
        <v/>
      </c>
      <c r="D152" s="295">
        <f>(COUNTIF(Errors!$B$3:$B$3010,'Error Count Analysis'!C152))-((COUNTIFS(Errors!$B$3:$B$3010,'Error Count Analysis'!C152, (Errors!$I$3:$I$3010),"TV*")))</f>
        <v>0</v>
      </c>
      <c r="E152" s="296" t="str">
        <f t="shared" si="1"/>
        <v>#DIV/0!</v>
      </c>
      <c r="F152" s="297">
        <f>COUNTIFS(Errors!$B:$B, $C152, Errors!$I:$I, F$1)</f>
        <v>0</v>
      </c>
      <c r="G152" s="298">
        <f>COUNTIFS(Errors!$B:$B, $C152, Errors!$I:$I, G$1)</f>
        <v>0</v>
      </c>
      <c r="H152" s="298">
        <f>COUNTIFS(Errors!$B:$B, $C152, Errors!$I:$I, H$1)</f>
        <v>0</v>
      </c>
      <c r="I152" s="298">
        <f>COUNTIFS(Errors!$B:$B, $C152, Errors!$I:$I, I$1)</f>
        <v>0</v>
      </c>
      <c r="J152" s="298">
        <f>COUNTIFS(Errors!$B:$B, $C152, Errors!$I:$I, J$1)</f>
        <v>0</v>
      </c>
      <c r="K152" s="298">
        <f>COUNTIFS(Errors!$B:$B, $C152, Errors!$I:$I, K$1)</f>
        <v>0</v>
      </c>
      <c r="L152" s="298">
        <f>COUNTIFS(Errors!$B:$B, $C152, Errors!$I:$I, L$1)</f>
        <v>0</v>
      </c>
      <c r="M152" s="298">
        <f>COUNTIFS(Errors!$B:$B, $C152, Errors!$I:$I, M$1)</f>
        <v>0</v>
      </c>
      <c r="N152" s="298">
        <f>COUNTIFS(Errors!$B:$B, $C152, Errors!$I:$I, N$1)</f>
        <v>0</v>
      </c>
      <c r="O152" s="299">
        <f>COUNTIFS(Errors!$B:$B, $C152, Errors!$I:$I, O$1)</f>
        <v>0</v>
      </c>
      <c r="P152" s="298">
        <f>COUNTIFS(Errors!$B:$B, $C152, Errors!$I:$I, P$1)</f>
        <v>0</v>
      </c>
      <c r="Q152" s="298">
        <f>COUNTIFS(Errors!$B:$B, $C152, Errors!$I:$I, Q$1)</f>
        <v>0</v>
      </c>
      <c r="R152" s="298">
        <f>COUNTIFS(Errors!$B:$B, $C152, Errors!$I:$I, R$1)</f>
        <v>0</v>
      </c>
      <c r="S152" s="298">
        <f>COUNTIFS(Errors!$B:$B, $C152, Errors!$I:$I, S$1)</f>
        <v>0</v>
      </c>
      <c r="T152" s="298">
        <f>COUNTIFS(Errors!$B:$B, $C152, Errors!$I:$I, T$1)</f>
        <v>0</v>
      </c>
      <c r="U152" s="298">
        <f>COUNTIFS(Errors!$B:$B, $C152, Errors!$I:$I, U$1)</f>
        <v>0</v>
      </c>
      <c r="V152" s="298">
        <f>COUNTIFS(Errors!$B:$B, $C152, Errors!$I:$I, V$1)</f>
        <v>0</v>
      </c>
      <c r="W152" s="298">
        <f>COUNTIFS(Errors!$B:$B, $C152, Errors!$I:$I, W$1)</f>
        <v>0</v>
      </c>
      <c r="X152" s="298">
        <f>COUNTIFS(Errors!$B:$B, $C152, Errors!$I:$I, X$1)</f>
        <v>0</v>
      </c>
    </row>
    <row r="153" ht="15.75" customHeight="1">
      <c r="A153" s="305">
        <v>0.0</v>
      </c>
      <c r="B153" s="304" t="str">
        <f>SourceData!K153</f>
        <v/>
      </c>
      <c r="C153" s="305" t="str">
        <f>SourceData!J153</f>
        <v/>
      </c>
      <c r="D153" s="306">
        <f>(COUNTIF(Errors!$B$3:$B$3010,'Error Count Analysis'!C153))-((COUNTIFS(Errors!$B$3:$B$3010,'Error Count Analysis'!C153, (Errors!$I$3:$I$3010),"TV*")))</f>
        <v>0</v>
      </c>
      <c r="E153" s="307" t="str">
        <f t="shared" si="1"/>
        <v>#DIV/0!</v>
      </c>
      <c r="F153" s="308">
        <f>COUNTIFS(Errors!$B:$B, $C153, Errors!$I:$I, F$1)</f>
        <v>0</v>
      </c>
      <c r="G153" s="309">
        <f>COUNTIFS(Errors!$B:$B, $C153, Errors!$I:$I, G$1)</f>
        <v>0</v>
      </c>
      <c r="H153" s="309">
        <f>COUNTIFS(Errors!$B:$B, $C153, Errors!$I:$I, H$1)</f>
        <v>0</v>
      </c>
      <c r="I153" s="309">
        <f>COUNTIFS(Errors!$B:$B, $C153, Errors!$I:$I, I$1)</f>
        <v>0</v>
      </c>
      <c r="J153" s="309">
        <f>COUNTIFS(Errors!$B:$B, $C153, Errors!$I:$I, J$1)</f>
        <v>0</v>
      </c>
      <c r="K153" s="309">
        <f>COUNTIFS(Errors!$B:$B, $C153, Errors!$I:$I, K$1)</f>
        <v>0</v>
      </c>
      <c r="L153" s="309">
        <f>COUNTIFS(Errors!$B:$B, $C153, Errors!$I:$I, L$1)</f>
        <v>0</v>
      </c>
      <c r="M153" s="309">
        <f>COUNTIFS(Errors!$B:$B, $C153, Errors!$I:$I, M$1)</f>
        <v>0</v>
      </c>
      <c r="N153" s="309">
        <f>COUNTIFS(Errors!$B:$B, $C153, Errors!$I:$I, N$1)</f>
        <v>0</v>
      </c>
      <c r="O153" s="310">
        <f>COUNTIFS(Errors!$B:$B, $C153, Errors!$I:$I, O$1)</f>
        <v>0</v>
      </c>
      <c r="P153" s="309">
        <f>COUNTIFS(Errors!$B:$B, $C153, Errors!$I:$I, P$1)</f>
        <v>0</v>
      </c>
      <c r="Q153" s="309">
        <f>COUNTIFS(Errors!$B:$B, $C153, Errors!$I:$I, Q$1)</f>
        <v>0</v>
      </c>
      <c r="R153" s="309">
        <f>COUNTIFS(Errors!$B:$B, $C153, Errors!$I:$I, R$1)</f>
        <v>0</v>
      </c>
      <c r="S153" s="309">
        <f>COUNTIFS(Errors!$B:$B, $C153, Errors!$I:$I, S$1)</f>
        <v>0</v>
      </c>
      <c r="T153" s="309">
        <f>COUNTIFS(Errors!$B:$B, $C153, Errors!$I:$I, T$1)</f>
        <v>0</v>
      </c>
      <c r="U153" s="309">
        <f>COUNTIFS(Errors!$B:$B, $C153, Errors!$I:$I, U$1)</f>
        <v>0</v>
      </c>
      <c r="V153" s="309">
        <f>COUNTIFS(Errors!$B:$B, $C153, Errors!$I:$I, V$1)</f>
        <v>0</v>
      </c>
      <c r="W153" s="309">
        <f>COUNTIFS(Errors!$B:$B, $C153, Errors!$I:$I, W$1)</f>
        <v>0</v>
      </c>
      <c r="X153" s="309">
        <f>COUNTIFS(Errors!$B:$B, $C153, Errors!$I:$I, X$1)</f>
        <v>0</v>
      </c>
    </row>
    <row r="154" ht="15.75" customHeight="1">
      <c r="A154" s="325">
        <v>0.0</v>
      </c>
      <c r="B154" s="293" t="str">
        <f>SourceData!K154</f>
        <v/>
      </c>
      <c r="C154" s="294" t="str">
        <f>SourceData!J154</f>
        <v/>
      </c>
      <c r="D154" s="295">
        <f>(COUNTIF(Errors!$B$3:$B$3010,'Error Count Analysis'!C154))-((COUNTIFS(Errors!$B$3:$B$3010,'Error Count Analysis'!C154, (Errors!$I$3:$I$3010),"TV*")))</f>
        <v>0</v>
      </c>
      <c r="E154" s="296" t="str">
        <f t="shared" si="1"/>
        <v>#DIV/0!</v>
      </c>
      <c r="F154" s="297">
        <f>COUNTIFS(Errors!$B:$B, $C154, Errors!$I:$I, F$1)</f>
        <v>0</v>
      </c>
      <c r="G154" s="298">
        <f>COUNTIFS(Errors!$B:$B, $C154, Errors!$I:$I, G$1)</f>
        <v>0</v>
      </c>
      <c r="H154" s="298">
        <f>COUNTIFS(Errors!$B:$B, $C154, Errors!$I:$I, H$1)</f>
        <v>0</v>
      </c>
      <c r="I154" s="298">
        <f>COUNTIFS(Errors!$B:$B, $C154, Errors!$I:$I, I$1)</f>
        <v>0</v>
      </c>
      <c r="J154" s="298">
        <f>COUNTIFS(Errors!$B:$B, $C154, Errors!$I:$I, J$1)</f>
        <v>0</v>
      </c>
      <c r="K154" s="298">
        <f>COUNTIFS(Errors!$B:$B, $C154, Errors!$I:$I, K$1)</f>
        <v>0</v>
      </c>
      <c r="L154" s="298">
        <f>COUNTIFS(Errors!$B:$B, $C154, Errors!$I:$I, L$1)</f>
        <v>0</v>
      </c>
      <c r="M154" s="298">
        <f>COUNTIFS(Errors!$B:$B, $C154, Errors!$I:$I, M$1)</f>
        <v>0</v>
      </c>
      <c r="N154" s="298">
        <f>COUNTIFS(Errors!$B:$B, $C154, Errors!$I:$I, N$1)</f>
        <v>0</v>
      </c>
      <c r="O154" s="299">
        <f>COUNTIFS(Errors!$B:$B, $C154, Errors!$I:$I, O$1)</f>
        <v>0</v>
      </c>
      <c r="P154" s="298">
        <f>COUNTIFS(Errors!$B:$B, $C154, Errors!$I:$I, P$1)</f>
        <v>0</v>
      </c>
      <c r="Q154" s="298">
        <f>COUNTIFS(Errors!$B:$B, $C154, Errors!$I:$I, Q$1)</f>
        <v>0</v>
      </c>
      <c r="R154" s="298">
        <f>COUNTIFS(Errors!$B:$B, $C154, Errors!$I:$I, R$1)</f>
        <v>0</v>
      </c>
      <c r="S154" s="298">
        <f>COUNTIFS(Errors!$B:$B, $C154, Errors!$I:$I, S$1)</f>
        <v>0</v>
      </c>
      <c r="T154" s="298">
        <f>COUNTIFS(Errors!$B:$B, $C154, Errors!$I:$I, T$1)</f>
        <v>0</v>
      </c>
      <c r="U154" s="298">
        <f>COUNTIFS(Errors!$B:$B, $C154, Errors!$I:$I, U$1)</f>
        <v>0</v>
      </c>
      <c r="V154" s="298">
        <f>COUNTIFS(Errors!$B:$B, $C154, Errors!$I:$I, V$1)</f>
        <v>0</v>
      </c>
      <c r="W154" s="298">
        <f>COUNTIFS(Errors!$B:$B, $C154, Errors!$I:$I, W$1)</f>
        <v>0</v>
      </c>
      <c r="X154" s="298">
        <f>COUNTIFS(Errors!$B:$B, $C154, Errors!$I:$I, X$1)</f>
        <v>0</v>
      </c>
    </row>
    <row r="155" ht="15.75" customHeight="1">
      <c r="A155" s="305">
        <v>0.0</v>
      </c>
      <c r="B155" s="325" t="str">
        <f>SourceData!K155</f>
        <v/>
      </c>
      <c r="C155" s="305" t="str">
        <f>SourceData!J154</f>
        <v/>
      </c>
      <c r="D155" s="298">
        <f>(COUNTIF(Errors!$B$3:$B$3010,'[1]Error Count Analysis'!C155))-((COUNTIFS(Errors!$B$3:$B$3010,'[1]Error Count Analysis'!C155, (Errors!$I$3:$I$3010),"TV*")))</f>
        <v>0</v>
      </c>
      <c r="E155" s="305" t="str">
        <f t="shared" si="1"/>
        <v>#DIV/0!</v>
      </c>
      <c r="F155" s="278"/>
      <c r="G155" s="278"/>
      <c r="H155" s="278"/>
      <c r="I155" s="278"/>
      <c r="J155" s="278"/>
      <c r="K155" s="278"/>
      <c r="L155" s="278"/>
      <c r="M155" s="278"/>
      <c r="N155" s="309">
        <f>COUNTIFS(Errors!$B:$B, $C155, Errors!$I:$I, N$1)</f>
        <v>0</v>
      </c>
      <c r="O155" s="278"/>
      <c r="P155" s="278"/>
      <c r="Q155" s="278"/>
      <c r="R155" s="278"/>
      <c r="S155" s="278"/>
      <c r="T155" s="278"/>
      <c r="U155" s="278"/>
      <c r="V155" s="278"/>
      <c r="W155" s="278"/>
      <c r="X155" s="278"/>
    </row>
    <row r="156" ht="15.75" customHeight="1">
      <c r="A156" s="325">
        <v>0.0</v>
      </c>
      <c r="B156" s="325" t="str">
        <f>SourceData!K156</f>
        <v/>
      </c>
      <c r="C156" s="294" t="str">
        <f>SourceData!J154</f>
        <v/>
      </c>
      <c r="D156" s="298">
        <f>(COUNTIF(Errors!$B$3:$B$3010,'[1]Error Count Analysis'!C156))-((COUNTIFS(Errors!$B$3:$B$3010,'[1]Error Count Analysis'!C156, (Errors!$I$3:$I$3010),"TV*")))</f>
        <v>0</v>
      </c>
      <c r="E156" s="325" t="str">
        <f t="shared" si="1"/>
        <v>#DIV/0!</v>
      </c>
      <c r="F156" s="278"/>
      <c r="G156" s="278"/>
      <c r="H156" s="278"/>
      <c r="I156" s="278"/>
      <c r="J156" s="278"/>
      <c r="K156" s="278"/>
      <c r="L156" s="278"/>
      <c r="M156" s="278"/>
      <c r="N156" s="298">
        <f>COUNTIFS(Errors!$B:$B, $C156, Errors!$I:$I, N$1)</f>
        <v>0</v>
      </c>
      <c r="O156" s="278"/>
      <c r="P156" s="278"/>
      <c r="Q156" s="278"/>
      <c r="R156" s="278"/>
      <c r="S156" s="278"/>
      <c r="T156" s="278"/>
      <c r="U156" s="278"/>
      <c r="V156" s="278"/>
      <c r="W156" s="278"/>
      <c r="X156" s="278"/>
    </row>
    <row r="157" ht="15.75" customHeight="1">
      <c r="A157" s="305">
        <v>0.0</v>
      </c>
      <c r="B157" s="325" t="str">
        <f>SourceData!K157</f>
        <v/>
      </c>
      <c r="C157" s="305" t="str">
        <f>SourceData!J156</f>
        <v/>
      </c>
      <c r="D157" s="298">
        <f>(COUNTIF(Errors!$B$3:$B$3010,'[1]Error Count Analysis'!C157))-((COUNTIFS(Errors!$B$3:$B$3010,'[1]Error Count Analysis'!C157, (Errors!$I$3:$I$3010),"TV*")))</f>
        <v>0</v>
      </c>
      <c r="E157" s="305" t="str">
        <f t="shared" si="1"/>
        <v>#DIV/0!</v>
      </c>
      <c r="F157" s="278"/>
      <c r="G157" s="278"/>
      <c r="H157" s="278"/>
      <c r="I157" s="278"/>
      <c r="J157" s="278"/>
      <c r="K157" s="278"/>
      <c r="L157" s="278"/>
      <c r="M157" s="278"/>
      <c r="N157" s="309">
        <f>COUNTIFS(Errors!$B:$B, $C157, Errors!$I:$I, N$1)</f>
        <v>0</v>
      </c>
      <c r="O157" s="278"/>
      <c r="P157" s="278"/>
      <c r="Q157" s="278"/>
      <c r="R157" s="278"/>
      <c r="S157" s="278"/>
      <c r="T157" s="278"/>
      <c r="U157" s="278"/>
      <c r="V157" s="278"/>
      <c r="W157" s="278"/>
      <c r="X157" s="278"/>
    </row>
    <row r="158" ht="15.75" customHeight="1">
      <c r="A158" s="325">
        <v>0.0</v>
      </c>
      <c r="B158" s="325" t="str">
        <f>SourceData!K158</f>
        <v/>
      </c>
      <c r="C158" s="294" t="str">
        <f>SourceData!J156</f>
        <v/>
      </c>
      <c r="D158" s="298">
        <f>(COUNTIF(Errors!$B$3:$B$3010,'[1]Error Count Analysis'!C158))-((COUNTIFS(Errors!$B$3:$B$3010,'[1]Error Count Analysis'!C158, (Errors!$I$3:$I$3010),"TV*")))</f>
        <v>0</v>
      </c>
      <c r="E158" s="325" t="str">
        <f t="shared" si="1"/>
        <v>#DIV/0!</v>
      </c>
      <c r="F158" s="278"/>
      <c r="G158" s="278"/>
      <c r="H158" s="278"/>
      <c r="I158" s="278"/>
      <c r="J158" s="278"/>
      <c r="K158" s="278"/>
      <c r="L158" s="278"/>
      <c r="M158" s="278"/>
      <c r="N158" s="298">
        <f>COUNTIFS(Errors!$B:$B, $C158, Errors!$I:$I, N$1)</f>
        <v>0</v>
      </c>
      <c r="O158" s="278"/>
      <c r="P158" s="278"/>
      <c r="Q158" s="278"/>
      <c r="R158" s="278"/>
      <c r="S158" s="278"/>
      <c r="T158" s="278"/>
      <c r="U158" s="278"/>
      <c r="V158" s="278"/>
      <c r="W158" s="278"/>
      <c r="X158" s="278"/>
    </row>
    <row r="159" ht="15.75" customHeight="1">
      <c r="A159" s="305">
        <v>0.0</v>
      </c>
      <c r="B159" s="325" t="str">
        <f>SourceData!K159</f>
        <v/>
      </c>
      <c r="C159" s="305" t="str">
        <f>SourceData!J158</f>
        <v/>
      </c>
      <c r="D159" s="298">
        <f>(COUNTIF(Errors!$B$3:$B$3010,'[1]Error Count Analysis'!C159))-((COUNTIFS(Errors!$B$3:$B$3010,'[1]Error Count Analysis'!C159, (Errors!$I$3:$I$3010),"TV*")))</f>
        <v>0</v>
      </c>
      <c r="E159" s="305" t="str">
        <f t="shared" si="1"/>
        <v>#DIV/0!</v>
      </c>
      <c r="F159" s="278"/>
      <c r="G159" s="278"/>
      <c r="H159" s="278"/>
      <c r="I159" s="278"/>
      <c r="J159" s="278"/>
      <c r="K159" s="278"/>
      <c r="L159" s="278"/>
      <c r="M159" s="278"/>
      <c r="N159" s="309">
        <f>COUNTIFS(Errors!$B:$B, $C159, Errors!$I:$I, N$1)</f>
        <v>0</v>
      </c>
      <c r="O159" s="278"/>
      <c r="P159" s="278"/>
      <c r="Q159" s="278"/>
      <c r="R159" s="278"/>
      <c r="S159" s="278"/>
      <c r="T159" s="278"/>
      <c r="U159" s="278"/>
      <c r="V159" s="278"/>
      <c r="W159" s="278"/>
      <c r="X159" s="278"/>
    </row>
    <row r="160" ht="15.75" customHeight="1">
      <c r="A160" s="325">
        <v>0.0</v>
      </c>
      <c r="B160" s="325" t="str">
        <f>SourceData!K160</f>
        <v/>
      </c>
      <c r="C160" s="294" t="str">
        <f>SourceData!J158</f>
        <v/>
      </c>
      <c r="D160" s="298">
        <f>(COUNTIF(Errors!$B$3:$B$3010,'[1]Error Count Analysis'!C160))-((COUNTIFS(Errors!$B$3:$B$3010,'[1]Error Count Analysis'!C160, (Errors!$I$3:$I$3010),"TV*")))</f>
        <v>0</v>
      </c>
      <c r="E160" s="325" t="str">
        <f t="shared" si="1"/>
        <v>#DIV/0!</v>
      </c>
      <c r="F160" s="278"/>
      <c r="G160" s="278"/>
      <c r="H160" s="278"/>
      <c r="I160" s="278"/>
      <c r="J160" s="278"/>
      <c r="K160" s="278"/>
      <c r="L160" s="278"/>
      <c r="M160" s="278"/>
      <c r="N160" s="298">
        <f>COUNTIFS(Errors!$B:$B, $C160, Errors!$I:$I, N$1)</f>
        <v>0</v>
      </c>
      <c r="O160" s="278"/>
      <c r="P160" s="278"/>
      <c r="Q160" s="278"/>
      <c r="R160" s="278"/>
      <c r="S160" s="278"/>
      <c r="T160" s="278"/>
      <c r="U160" s="278"/>
      <c r="V160" s="278"/>
      <c r="W160" s="278"/>
      <c r="X160" s="278"/>
    </row>
    <row r="161" ht="15.75" customHeight="1">
      <c r="A161" s="305">
        <v>0.0</v>
      </c>
      <c r="B161" s="325" t="str">
        <f>SourceData!K161</f>
        <v/>
      </c>
      <c r="C161" s="305" t="str">
        <f>SourceData!J160</f>
        <v/>
      </c>
      <c r="D161" s="298">
        <f>(COUNTIF(Errors!$B$3:$B$3010,'[1]Error Count Analysis'!C161))-((COUNTIFS(Errors!$B$3:$B$3010,'[1]Error Count Analysis'!C161, (Errors!$I$3:$I$3010),"TV*")))</f>
        <v>0</v>
      </c>
      <c r="E161" s="305" t="str">
        <f t="shared" si="1"/>
        <v>#DIV/0!</v>
      </c>
      <c r="F161" s="278"/>
      <c r="G161" s="278"/>
      <c r="H161" s="278"/>
      <c r="I161" s="278"/>
      <c r="J161" s="278"/>
      <c r="K161" s="278"/>
      <c r="L161" s="278"/>
      <c r="M161" s="278"/>
      <c r="N161" s="309">
        <f>COUNTIFS(Errors!$B:$B, $C161, Errors!$I:$I, N$1)</f>
        <v>0</v>
      </c>
      <c r="O161" s="278"/>
      <c r="P161" s="278"/>
      <c r="Q161" s="278"/>
      <c r="R161" s="278"/>
      <c r="S161" s="278"/>
      <c r="T161" s="278"/>
      <c r="U161" s="278"/>
      <c r="V161" s="278"/>
      <c r="W161" s="278"/>
      <c r="X161" s="278"/>
    </row>
    <row r="162" ht="15.75" customHeight="1">
      <c r="A162" s="325">
        <v>0.0</v>
      </c>
      <c r="B162" s="325" t="str">
        <f>SourceData!K162</f>
        <v/>
      </c>
      <c r="C162" s="294" t="str">
        <f>SourceData!J160</f>
        <v/>
      </c>
      <c r="D162" s="298">
        <f>(COUNTIF(Errors!$B$3:$B$3010,'[1]Error Count Analysis'!C162))-((COUNTIFS(Errors!$B$3:$B$3010,'[1]Error Count Analysis'!C162, (Errors!$I$3:$I$3010),"TV*")))</f>
        <v>0</v>
      </c>
      <c r="E162" s="325" t="str">
        <f t="shared" si="1"/>
        <v>#DIV/0!</v>
      </c>
      <c r="F162" s="278"/>
      <c r="G162" s="278"/>
      <c r="H162" s="278"/>
      <c r="I162" s="278"/>
      <c r="J162" s="278"/>
      <c r="K162" s="278"/>
      <c r="L162" s="278"/>
      <c r="M162" s="278"/>
      <c r="N162" s="298">
        <f>COUNTIFS(Errors!$B:$B, $C162, Errors!$I:$I, N$1)</f>
        <v>0</v>
      </c>
      <c r="O162" s="278"/>
      <c r="P162" s="278"/>
      <c r="Q162" s="278"/>
      <c r="R162" s="278"/>
      <c r="S162" s="278"/>
      <c r="T162" s="278"/>
      <c r="U162" s="278"/>
      <c r="V162" s="278"/>
      <c r="W162" s="278"/>
      <c r="X162" s="278"/>
    </row>
    <row r="163" ht="15.75" customHeight="1">
      <c r="A163" s="305">
        <v>0.0</v>
      </c>
      <c r="B163" s="325" t="str">
        <f>SourceData!K163</f>
        <v/>
      </c>
      <c r="C163" s="305" t="str">
        <f>SourceData!J162</f>
        <v/>
      </c>
      <c r="D163" s="298">
        <f>(COUNTIF(Errors!$B$3:$B$3010,'[1]Error Count Analysis'!C163))-((COUNTIFS(Errors!$B$3:$B$3010,'[1]Error Count Analysis'!C163, (Errors!$I$3:$I$3010),"TV*")))</f>
        <v>0</v>
      </c>
      <c r="E163" s="305" t="str">
        <f t="shared" si="1"/>
        <v>#DIV/0!</v>
      </c>
      <c r="F163" s="278"/>
      <c r="G163" s="278"/>
      <c r="H163" s="278"/>
      <c r="I163" s="278"/>
      <c r="J163" s="278"/>
      <c r="K163" s="278"/>
      <c r="L163" s="278"/>
      <c r="M163" s="278"/>
      <c r="N163" s="309">
        <f>COUNTIFS(Errors!$B:$B, $C163, Errors!$I:$I, N$1)</f>
        <v>0</v>
      </c>
      <c r="O163" s="278"/>
      <c r="P163" s="278"/>
      <c r="Q163" s="278"/>
      <c r="R163" s="278"/>
      <c r="S163" s="278"/>
      <c r="T163" s="278"/>
      <c r="U163" s="278"/>
      <c r="V163" s="278"/>
      <c r="W163" s="278"/>
      <c r="X163" s="278"/>
    </row>
    <row r="164" ht="15.75" customHeight="1">
      <c r="A164" s="325">
        <v>0.0</v>
      </c>
      <c r="B164" s="325" t="str">
        <f>SourceData!K164</f>
        <v/>
      </c>
      <c r="C164" s="294" t="str">
        <f>SourceData!J162</f>
        <v/>
      </c>
      <c r="D164" s="298">
        <f>(COUNTIF(Errors!$B$3:$B$3010,'[1]Error Count Analysis'!C164))-((COUNTIFS(Errors!$B$3:$B$3010,'[1]Error Count Analysis'!C164, (Errors!$I$3:$I$3010),"TV*")))</f>
        <v>0</v>
      </c>
      <c r="E164" s="325" t="str">
        <f t="shared" si="1"/>
        <v>#DIV/0!</v>
      </c>
      <c r="F164" s="278"/>
      <c r="G164" s="278"/>
      <c r="H164" s="278"/>
      <c r="I164" s="278"/>
      <c r="J164" s="278"/>
      <c r="K164" s="278"/>
      <c r="L164" s="278"/>
      <c r="M164" s="278"/>
      <c r="N164" s="298">
        <f>COUNTIFS(Errors!$B:$B, $C164, Errors!$I:$I, N$1)</f>
        <v>0</v>
      </c>
      <c r="O164" s="278"/>
      <c r="P164" s="278"/>
      <c r="Q164" s="278"/>
      <c r="R164" s="278"/>
      <c r="S164" s="278"/>
      <c r="T164" s="278"/>
      <c r="U164" s="278"/>
      <c r="V164" s="278"/>
      <c r="W164" s="278"/>
      <c r="X164" s="278"/>
    </row>
    <row r="165" ht="15.75" customHeight="1">
      <c r="A165" s="305">
        <v>0.0</v>
      </c>
      <c r="B165" s="325" t="str">
        <f>SourceData!K165</f>
        <v/>
      </c>
      <c r="C165" s="305" t="str">
        <f>SourceData!J164</f>
        <v/>
      </c>
      <c r="D165" s="298">
        <f>(COUNTIF(Errors!$B$3:$B$3010,'[1]Error Count Analysis'!C165))-((COUNTIFS(Errors!$B$3:$B$3010,'[1]Error Count Analysis'!C165, (Errors!$I$3:$I$3010),"TV*")))</f>
        <v>0</v>
      </c>
      <c r="E165" s="305" t="str">
        <f t="shared" si="1"/>
        <v>#DIV/0!</v>
      </c>
      <c r="F165" s="278"/>
      <c r="G165" s="278"/>
      <c r="H165" s="278"/>
      <c r="I165" s="278"/>
      <c r="J165" s="278"/>
      <c r="K165" s="278"/>
      <c r="L165" s="278"/>
      <c r="M165" s="278"/>
      <c r="N165" s="309">
        <f>COUNTIFS(Errors!$B:$B, $C165, Errors!$I:$I, N$1)</f>
        <v>0</v>
      </c>
      <c r="O165" s="278"/>
      <c r="P165" s="278"/>
      <c r="Q165" s="278"/>
      <c r="R165" s="278"/>
      <c r="S165" s="278"/>
      <c r="T165" s="278"/>
      <c r="U165" s="278"/>
      <c r="V165" s="278"/>
      <c r="W165" s="278"/>
      <c r="X165" s="278"/>
    </row>
    <row r="166" ht="15.75" customHeight="1">
      <c r="A166" s="325">
        <v>0.0</v>
      </c>
      <c r="B166" s="325" t="str">
        <f>SourceData!K166</f>
        <v/>
      </c>
      <c r="C166" s="294" t="str">
        <f>SourceData!J164</f>
        <v/>
      </c>
      <c r="D166" s="298">
        <f>(COUNTIF(Errors!$B$3:$B$3010,'[1]Error Count Analysis'!C166))-((COUNTIFS(Errors!$B$3:$B$3010,'[1]Error Count Analysis'!C166, (Errors!$I$3:$I$3010),"TV*")))</f>
        <v>0</v>
      </c>
      <c r="E166" s="325" t="str">
        <f t="shared" si="1"/>
        <v>#DIV/0!</v>
      </c>
      <c r="F166" s="278"/>
      <c r="G166" s="278"/>
      <c r="H166" s="278"/>
      <c r="I166" s="278"/>
      <c r="J166" s="278"/>
      <c r="K166" s="278"/>
      <c r="L166" s="278"/>
      <c r="M166" s="278"/>
      <c r="N166" s="298">
        <f>COUNTIFS(Errors!$B:$B, $C166, Errors!$I:$I, N$1)</f>
        <v>0</v>
      </c>
      <c r="O166" s="278"/>
      <c r="P166" s="278"/>
      <c r="Q166" s="278"/>
      <c r="R166" s="278"/>
      <c r="S166" s="278"/>
      <c r="T166" s="278"/>
      <c r="U166" s="278"/>
      <c r="V166" s="278"/>
      <c r="W166" s="278"/>
      <c r="X166" s="278"/>
    </row>
    <row r="167" ht="15.75" customHeight="1">
      <c r="A167" s="305">
        <v>0.0</v>
      </c>
      <c r="B167" s="325" t="str">
        <f>SourceData!K167</f>
        <v/>
      </c>
      <c r="C167" s="305" t="str">
        <f>SourceData!J166</f>
        <v/>
      </c>
      <c r="D167" s="298">
        <f>(COUNTIF(Errors!$B$3:$B$3010,'[1]Error Count Analysis'!C167))-((COUNTIFS(Errors!$B$3:$B$3010,'[1]Error Count Analysis'!C167, (Errors!$I$3:$I$3010),"TV*")))</f>
        <v>0</v>
      </c>
      <c r="E167" s="305" t="str">
        <f t="shared" si="1"/>
        <v>#DIV/0!</v>
      </c>
      <c r="F167" s="278"/>
      <c r="G167" s="278"/>
      <c r="H167" s="278"/>
      <c r="I167" s="278"/>
      <c r="J167" s="278"/>
      <c r="K167" s="278"/>
      <c r="L167" s="278"/>
      <c r="M167" s="278"/>
      <c r="N167" s="309">
        <f>COUNTIFS(Errors!$B:$B, $C167, Errors!$I:$I, N$1)</f>
        <v>0</v>
      </c>
      <c r="O167" s="278"/>
      <c r="P167" s="278"/>
      <c r="Q167" s="278"/>
      <c r="R167" s="278"/>
      <c r="S167" s="278"/>
      <c r="T167" s="278"/>
      <c r="U167" s="278"/>
      <c r="V167" s="278"/>
      <c r="W167" s="278"/>
      <c r="X167" s="278"/>
    </row>
    <row r="168" ht="15.75" customHeight="1">
      <c r="A168" s="325">
        <v>0.0</v>
      </c>
      <c r="B168" s="325" t="str">
        <f>SourceData!K168</f>
        <v/>
      </c>
      <c r="C168" s="294" t="str">
        <f>SourceData!J166</f>
        <v/>
      </c>
      <c r="D168" s="298">
        <f>(COUNTIF(Errors!$B$3:$B$3010,'[1]Error Count Analysis'!C168))-((COUNTIFS(Errors!$B$3:$B$3010,'[1]Error Count Analysis'!C168, (Errors!$I$3:$I$3010),"TV*")))</f>
        <v>0</v>
      </c>
      <c r="E168" s="325" t="str">
        <f t="shared" si="1"/>
        <v>#DIV/0!</v>
      </c>
      <c r="F168" s="278"/>
      <c r="G168" s="278"/>
      <c r="H168" s="278"/>
      <c r="I168" s="278"/>
      <c r="J168" s="278"/>
      <c r="K168" s="278"/>
      <c r="L168" s="278"/>
      <c r="M168" s="278"/>
      <c r="N168" s="298">
        <f>COUNTIFS(Errors!$B:$B, $C168, Errors!$I:$I, N$1)</f>
        <v>0</v>
      </c>
      <c r="O168" s="278"/>
      <c r="P168" s="278"/>
      <c r="Q168" s="278"/>
      <c r="R168" s="278"/>
      <c r="S168" s="278"/>
      <c r="T168" s="278"/>
      <c r="U168" s="278"/>
      <c r="V168" s="278"/>
      <c r="W168" s="278"/>
      <c r="X168" s="278"/>
    </row>
    <row r="169" ht="15.75" customHeight="1">
      <c r="A169" s="305">
        <v>0.0</v>
      </c>
      <c r="B169" s="325" t="str">
        <f>SourceData!K169</f>
        <v/>
      </c>
      <c r="C169" s="305" t="str">
        <f>SourceData!J168</f>
        <v/>
      </c>
      <c r="D169" s="298">
        <f>(COUNTIF(Errors!$B$3:$B$3010,'[1]Error Count Analysis'!C169))-((COUNTIFS(Errors!$B$3:$B$3010,'[1]Error Count Analysis'!C169, (Errors!$I$3:$I$3010),"TV*")))</f>
        <v>0</v>
      </c>
      <c r="E169" s="305" t="str">
        <f t="shared" si="1"/>
        <v>#DIV/0!</v>
      </c>
      <c r="F169" s="278"/>
      <c r="G169" s="278"/>
      <c r="H169" s="278"/>
      <c r="I169" s="278"/>
      <c r="J169" s="278"/>
      <c r="K169" s="278"/>
      <c r="L169" s="278"/>
      <c r="M169" s="278"/>
      <c r="N169" s="309">
        <f>COUNTIFS(Errors!$B:$B, $C169, Errors!$I:$I, N$1)</f>
        <v>0</v>
      </c>
      <c r="O169" s="278"/>
      <c r="P169" s="278"/>
      <c r="Q169" s="278"/>
      <c r="R169" s="278"/>
      <c r="S169" s="278"/>
      <c r="T169" s="278"/>
      <c r="U169" s="278"/>
      <c r="V169" s="278"/>
      <c r="W169" s="278"/>
      <c r="X169" s="278"/>
    </row>
    <row r="170" ht="15.75" customHeight="1">
      <c r="A170" s="325">
        <v>0.0</v>
      </c>
      <c r="B170" s="325" t="str">
        <f>SourceData!K170</f>
        <v/>
      </c>
      <c r="C170" s="294" t="str">
        <f>SourceData!J168</f>
        <v/>
      </c>
      <c r="D170" s="298">
        <f>(COUNTIF(Errors!$B$3:$B$3010,'[1]Error Count Analysis'!C170))-((COUNTIFS(Errors!$B$3:$B$3010,'[1]Error Count Analysis'!C170, (Errors!$I$3:$I$3010),"TV*")))</f>
        <v>0</v>
      </c>
      <c r="E170" s="325" t="str">
        <f t="shared" si="1"/>
        <v>#DIV/0!</v>
      </c>
      <c r="F170" s="278"/>
      <c r="G170" s="278"/>
      <c r="H170" s="278"/>
      <c r="I170" s="278"/>
      <c r="J170" s="278"/>
      <c r="K170" s="278"/>
      <c r="L170" s="278"/>
      <c r="M170" s="278"/>
      <c r="N170" s="298">
        <f>COUNTIFS(Errors!$B:$B, $C170, Errors!$I:$I, N$1)</f>
        <v>0</v>
      </c>
      <c r="O170" s="278"/>
      <c r="P170" s="278"/>
      <c r="Q170" s="278"/>
      <c r="R170" s="278"/>
      <c r="S170" s="278"/>
      <c r="T170" s="278"/>
      <c r="U170" s="278"/>
      <c r="V170" s="278"/>
      <c r="W170" s="278"/>
      <c r="X170" s="278"/>
    </row>
    <row r="171" ht="15.75" customHeight="1">
      <c r="A171" s="305">
        <v>0.0</v>
      </c>
      <c r="B171" s="325" t="str">
        <f>SourceData!K171</f>
        <v/>
      </c>
      <c r="C171" s="305" t="str">
        <f>SourceData!J170</f>
        <v/>
      </c>
      <c r="D171" s="298">
        <f>(COUNTIF(Errors!$B$3:$B$3010,'[1]Error Count Analysis'!C171))-((COUNTIFS(Errors!$B$3:$B$3010,'[1]Error Count Analysis'!C171, (Errors!$I$3:$I$3010),"TV*")))</f>
        <v>0</v>
      </c>
      <c r="E171" s="305" t="str">
        <f t="shared" si="1"/>
        <v>#DIV/0!</v>
      </c>
      <c r="F171" s="278" t="str">
        <f>COUNTIFS([2]Errors!$B:$B, $C171, [2]Errors!$H:$H, F$1)</f>
        <v>#ERROR!</v>
      </c>
      <c r="G171" s="278" t="str">
        <f>COUNTIFS([2]Errors!$B:$B, $C171, [2]Errors!$H:$H, G$1)</f>
        <v>#ERROR!</v>
      </c>
      <c r="H171" s="278" t="str">
        <f>COUNTIFS([2]Errors!$B:$B, $C171, [2]Errors!$H:$H, H$1)</f>
        <v>#ERROR!</v>
      </c>
      <c r="I171" s="278" t="str">
        <f>COUNTIFS([2]Errors!$B:$B, $C171, [2]Errors!$H:$H, I$1)</f>
        <v>#ERROR!</v>
      </c>
      <c r="J171" s="278" t="str">
        <f>COUNTIFS([2]Errors!$B:$B, $C171, [2]Errors!$H:$H, J$1)</f>
        <v>#ERROR!</v>
      </c>
      <c r="K171" s="278" t="str">
        <f>COUNTIFS([2]Errors!$B:$B, $C171, [2]Errors!$H:$H, K$1)</f>
        <v>#ERROR!</v>
      </c>
      <c r="L171" s="278" t="str">
        <f>COUNTIFS([2]Errors!$B:$B, $C171, [2]Errors!$H:$H, L$1)</f>
        <v>#ERROR!</v>
      </c>
      <c r="M171" s="278" t="str">
        <f>COUNTIFS([2]Errors!$B:$B, $C171, [2]Errors!$H:$H, M$1)</f>
        <v>#ERROR!</v>
      </c>
      <c r="N171" s="309">
        <f>COUNTIFS(Errors!$B:$B, $C171, Errors!$I:$I, N$1)</f>
        <v>0</v>
      </c>
      <c r="O171" s="278" t="str">
        <f>COUNTIFS([2]Errors!$B:$B, $C171, [2]Errors!$H:$H, O$1)</f>
        <v>#ERROR!</v>
      </c>
      <c r="P171" s="278" t="str">
        <f>COUNTIFS([2]Errors!$B:$B, $C171, [2]Errors!$H:$H, P$1)</f>
        <v>#ERROR!</v>
      </c>
      <c r="Q171" s="278" t="str">
        <f>COUNTIFS([2]Errors!$B:$B, $C171, [2]Errors!$H:$H, Q$1)</f>
        <v>#ERROR!</v>
      </c>
      <c r="R171" s="278" t="str">
        <f>COUNTIFS([2]Errors!$B:$B, $C171, [2]Errors!$H:$H, R$1)</f>
        <v>#ERROR!</v>
      </c>
      <c r="S171" s="278" t="str">
        <f>COUNTIFS([2]Errors!$B:$B, $C171, [2]Errors!$H:$H, S$1)</f>
        <v>#ERROR!</v>
      </c>
      <c r="T171" s="278" t="str">
        <f>COUNTIFS([2]Errors!$B:$B, $C171, [2]Errors!$H:$H, T$1)</f>
        <v>#ERROR!</v>
      </c>
      <c r="U171" s="278" t="str">
        <f>COUNTIFS([2]Errors!$B:$B, $C171, [2]Errors!$H:$H, U$1)</f>
        <v>#ERROR!</v>
      </c>
      <c r="V171" s="278" t="str">
        <f>COUNTIFS([2]Errors!$B:$B, $C171, [2]Errors!$H:$H, V$1)</f>
        <v>#ERROR!</v>
      </c>
      <c r="W171" s="278" t="str">
        <f>COUNTIFS([2]Errors!$B:$B, $C171, [2]Errors!$H:$H, W$1)</f>
        <v>#ERROR!</v>
      </c>
      <c r="X171" s="278" t="str">
        <f>COUNTIFS([2]Errors!$B:$B, $C171, [2]Errors!$H:$H, X$1)</f>
        <v>#ERROR!</v>
      </c>
    </row>
    <row r="172" ht="15.75" customHeight="1">
      <c r="A172" s="325">
        <v>0.0</v>
      </c>
      <c r="B172" s="325" t="str">
        <f>SourceData!K172</f>
        <v/>
      </c>
      <c r="C172" s="294" t="str">
        <f>SourceData!J170</f>
        <v/>
      </c>
      <c r="D172" s="298">
        <f>(COUNTIF(Errors!$B$3:$B$3010,'[1]Error Count Analysis'!C172))-((COUNTIFS(Errors!$B$3:$B$3010,'[1]Error Count Analysis'!C172, (Errors!$I$3:$I$3010),"TV*")))</f>
        <v>0</v>
      </c>
      <c r="E172" s="325" t="str">
        <f t="shared" si="1"/>
        <v>#DIV/0!</v>
      </c>
      <c r="F172" s="278" t="str">
        <f>COUNTIFS([2]Errors!$B:$B, $C172, [2]Errors!$H:$H, F$1)</f>
        <v>#ERROR!</v>
      </c>
      <c r="G172" s="278" t="str">
        <f>COUNTIFS([2]Errors!$B:$B, $C172, [2]Errors!$H:$H, G$1)</f>
        <v>#ERROR!</v>
      </c>
      <c r="H172" s="278" t="str">
        <f>COUNTIFS([2]Errors!$B:$B, $C172, [2]Errors!$H:$H, H$1)</f>
        <v>#ERROR!</v>
      </c>
      <c r="I172" s="278" t="str">
        <f>COUNTIFS([2]Errors!$B:$B, $C172, [2]Errors!$H:$H, I$1)</f>
        <v>#ERROR!</v>
      </c>
      <c r="J172" s="278" t="str">
        <f>COUNTIFS([2]Errors!$B:$B, $C172, [2]Errors!$H:$H, J$1)</f>
        <v>#ERROR!</v>
      </c>
      <c r="K172" s="278" t="str">
        <f>COUNTIFS([2]Errors!$B:$B, $C172, [2]Errors!$H:$H, K$1)</f>
        <v>#ERROR!</v>
      </c>
      <c r="L172" s="278" t="str">
        <f>COUNTIFS([2]Errors!$B:$B, $C172, [2]Errors!$H:$H, L$1)</f>
        <v>#ERROR!</v>
      </c>
      <c r="M172" s="278" t="str">
        <f>COUNTIFS([2]Errors!$B:$B, $C172, [2]Errors!$H:$H, M$1)</f>
        <v>#ERROR!</v>
      </c>
      <c r="N172" s="298">
        <f>COUNTIFS(Errors!$B:$B, $C172, Errors!$I:$I, N$1)</f>
        <v>0</v>
      </c>
      <c r="O172" s="278" t="str">
        <f>COUNTIFS([2]Errors!$B:$B, $C172, [2]Errors!$H:$H, O$1)</f>
        <v>#ERROR!</v>
      </c>
      <c r="P172" s="278" t="str">
        <f>COUNTIFS([2]Errors!$B:$B, $C172, [2]Errors!$H:$H, P$1)</f>
        <v>#ERROR!</v>
      </c>
      <c r="Q172" s="278" t="str">
        <f>COUNTIFS([2]Errors!$B:$B, $C172, [2]Errors!$H:$H, Q$1)</f>
        <v>#ERROR!</v>
      </c>
      <c r="R172" s="278" t="str">
        <f>COUNTIFS([2]Errors!$B:$B, $C172, [2]Errors!$H:$H, R$1)</f>
        <v>#ERROR!</v>
      </c>
      <c r="S172" s="278" t="str">
        <f>COUNTIFS([2]Errors!$B:$B, $C172, [2]Errors!$H:$H, S$1)</f>
        <v>#ERROR!</v>
      </c>
      <c r="T172" s="278" t="str">
        <f>COUNTIFS([2]Errors!$B:$B, $C172, [2]Errors!$H:$H, T$1)</f>
        <v>#ERROR!</v>
      </c>
      <c r="U172" s="278" t="str">
        <f>COUNTIFS([2]Errors!$B:$B, $C172, [2]Errors!$H:$H, U$1)</f>
        <v>#ERROR!</v>
      </c>
      <c r="V172" s="278" t="str">
        <f>COUNTIFS([2]Errors!$B:$B, $C172, [2]Errors!$H:$H, V$1)</f>
        <v>#ERROR!</v>
      </c>
      <c r="W172" s="278" t="str">
        <f>COUNTIFS([2]Errors!$B:$B, $C172, [2]Errors!$H:$H, W$1)</f>
        <v>#ERROR!</v>
      </c>
      <c r="X172" s="278" t="str">
        <f>COUNTIFS([2]Errors!$B:$B, $C172, [2]Errors!$H:$H, X$1)</f>
        <v>#ERROR!</v>
      </c>
    </row>
    <row r="173" ht="15.75" customHeight="1">
      <c r="A173" s="305">
        <v>0.0</v>
      </c>
      <c r="B173" s="325" t="str">
        <f>SourceData!K173</f>
        <v/>
      </c>
      <c r="C173" s="305" t="str">
        <f>SourceData!J172</f>
        <v/>
      </c>
      <c r="D173" s="298">
        <f>(COUNTIF(Errors!$B$3:$B$3010,'[1]Error Count Analysis'!C173))-((COUNTIFS(Errors!$B$3:$B$3010,'[1]Error Count Analysis'!C173, (Errors!$I$3:$I$3010),"TV*")))</f>
        <v>0</v>
      </c>
      <c r="E173" s="305" t="str">
        <f t="shared" si="1"/>
        <v>#DIV/0!</v>
      </c>
      <c r="F173" s="278" t="str">
        <f>COUNTIFS([2]Errors!$B:$B, $C173, [2]Errors!$H:$H, F$1)</f>
        <v>#ERROR!</v>
      </c>
      <c r="G173" s="278" t="str">
        <f>COUNTIFS([2]Errors!$B:$B, $C173, [2]Errors!$H:$H, G$1)</f>
        <v>#ERROR!</v>
      </c>
      <c r="H173" s="278" t="str">
        <f>COUNTIFS([2]Errors!$B:$B, $C173, [2]Errors!$H:$H, H$1)</f>
        <v>#ERROR!</v>
      </c>
      <c r="I173" s="278" t="str">
        <f>COUNTIFS([2]Errors!$B:$B, $C173, [2]Errors!$H:$H, I$1)</f>
        <v>#ERROR!</v>
      </c>
      <c r="J173" s="278" t="str">
        <f>COUNTIFS([2]Errors!$B:$B, $C173, [2]Errors!$H:$H, J$1)</f>
        <v>#ERROR!</v>
      </c>
      <c r="K173" s="278" t="str">
        <f>COUNTIFS([2]Errors!$B:$B, $C173, [2]Errors!$H:$H, K$1)</f>
        <v>#ERROR!</v>
      </c>
      <c r="L173" s="278" t="str">
        <f>COUNTIFS([2]Errors!$B:$B, $C173, [2]Errors!$H:$H, L$1)</f>
        <v>#ERROR!</v>
      </c>
      <c r="M173" s="278" t="str">
        <f>COUNTIFS([2]Errors!$B:$B, $C173, [2]Errors!$H:$H, M$1)</f>
        <v>#ERROR!</v>
      </c>
      <c r="N173" s="309">
        <f>COUNTIFS(Errors!$B:$B, $C173, Errors!$I:$I, N$1)</f>
        <v>0</v>
      </c>
      <c r="O173" s="278" t="str">
        <f>COUNTIFS([2]Errors!$B:$B, $C173, [2]Errors!$H:$H, O$1)</f>
        <v>#ERROR!</v>
      </c>
      <c r="P173" s="278" t="str">
        <f>COUNTIFS([2]Errors!$B:$B, $C173, [2]Errors!$H:$H, P$1)</f>
        <v>#ERROR!</v>
      </c>
      <c r="Q173" s="278" t="str">
        <f>COUNTIFS([2]Errors!$B:$B, $C173, [2]Errors!$H:$H, Q$1)</f>
        <v>#ERROR!</v>
      </c>
      <c r="R173" s="278" t="str">
        <f>COUNTIFS([2]Errors!$B:$B, $C173, [2]Errors!$H:$H, R$1)</f>
        <v>#ERROR!</v>
      </c>
      <c r="S173" s="278" t="str">
        <f>COUNTIFS([2]Errors!$B:$B, $C173, [2]Errors!$H:$H, S$1)</f>
        <v>#ERROR!</v>
      </c>
      <c r="T173" s="278" t="str">
        <f>COUNTIFS([2]Errors!$B:$B, $C173, [2]Errors!$H:$H, T$1)</f>
        <v>#ERROR!</v>
      </c>
      <c r="U173" s="278" t="str">
        <f>COUNTIFS([2]Errors!$B:$B, $C173, [2]Errors!$H:$H, U$1)</f>
        <v>#ERROR!</v>
      </c>
      <c r="V173" s="278" t="str">
        <f>COUNTIFS([2]Errors!$B:$B, $C173, [2]Errors!$H:$H, V$1)</f>
        <v>#ERROR!</v>
      </c>
      <c r="W173" s="278" t="str">
        <f>COUNTIFS([2]Errors!$B:$B, $C173, [2]Errors!$H:$H, W$1)</f>
        <v>#ERROR!</v>
      </c>
      <c r="X173" s="278" t="str">
        <f>COUNTIFS([2]Errors!$B:$B, $C173, [2]Errors!$H:$H, X$1)</f>
        <v>#ERROR!</v>
      </c>
    </row>
    <row r="174" ht="15.75" customHeight="1">
      <c r="A174" s="325">
        <v>0.0</v>
      </c>
      <c r="B174" s="325" t="str">
        <f>SourceData!K174</f>
        <v/>
      </c>
      <c r="C174" s="294" t="str">
        <f>SourceData!J172</f>
        <v/>
      </c>
      <c r="D174" s="298">
        <f>(COUNTIF(Errors!$B$3:$B$3010,'[1]Error Count Analysis'!C174))-((COUNTIFS(Errors!$B$3:$B$3010,'[1]Error Count Analysis'!C174, (Errors!$I$3:$I$3010),"TV*")))</f>
        <v>0</v>
      </c>
      <c r="E174" s="325" t="str">
        <f t="shared" si="1"/>
        <v>#DIV/0!</v>
      </c>
      <c r="F174" s="278" t="str">
        <f>COUNTIFS([2]Errors!$B:$B, $C174, [2]Errors!$H:$H, F$1)</f>
        <v>#ERROR!</v>
      </c>
      <c r="G174" s="278" t="str">
        <f>COUNTIFS([2]Errors!$B:$B, $C174, [2]Errors!$H:$H, G$1)</f>
        <v>#ERROR!</v>
      </c>
      <c r="H174" s="278" t="str">
        <f>COUNTIFS([2]Errors!$B:$B, $C174, [2]Errors!$H:$H, H$1)</f>
        <v>#ERROR!</v>
      </c>
      <c r="I174" s="278" t="str">
        <f>COUNTIFS([2]Errors!$B:$B, $C174, [2]Errors!$H:$H, I$1)</f>
        <v>#ERROR!</v>
      </c>
      <c r="J174" s="278" t="str">
        <f>COUNTIFS([2]Errors!$B:$B, $C174, [2]Errors!$H:$H, J$1)</f>
        <v>#ERROR!</v>
      </c>
      <c r="K174" s="278" t="str">
        <f>COUNTIFS([2]Errors!$B:$B, $C174, [2]Errors!$H:$H, K$1)</f>
        <v>#ERROR!</v>
      </c>
      <c r="L174" s="278" t="str">
        <f>COUNTIFS([2]Errors!$B:$B, $C174, [2]Errors!$H:$H, L$1)</f>
        <v>#ERROR!</v>
      </c>
      <c r="M174" s="278" t="str">
        <f>COUNTIFS([2]Errors!$B:$B, $C174, [2]Errors!$H:$H, M$1)</f>
        <v>#ERROR!</v>
      </c>
      <c r="N174" s="298">
        <f>COUNTIFS(Errors!$B:$B, $C174, Errors!$I:$I, N$1)</f>
        <v>0</v>
      </c>
      <c r="O174" s="278" t="str">
        <f>COUNTIFS([2]Errors!$B:$B, $C174, [2]Errors!$H:$H, O$1)</f>
        <v>#ERROR!</v>
      </c>
      <c r="P174" s="278" t="str">
        <f>COUNTIFS([2]Errors!$B:$B, $C174, [2]Errors!$H:$H, P$1)</f>
        <v>#ERROR!</v>
      </c>
      <c r="Q174" s="278" t="str">
        <f>COUNTIFS([2]Errors!$B:$B, $C174, [2]Errors!$H:$H, Q$1)</f>
        <v>#ERROR!</v>
      </c>
      <c r="R174" s="278" t="str">
        <f>COUNTIFS([2]Errors!$B:$B, $C174, [2]Errors!$H:$H, R$1)</f>
        <v>#ERROR!</v>
      </c>
      <c r="S174" s="278" t="str">
        <f>COUNTIFS([2]Errors!$B:$B, $C174, [2]Errors!$H:$H, S$1)</f>
        <v>#ERROR!</v>
      </c>
      <c r="T174" s="278" t="str">
        <f>COUNTIFS([2]Errors!$B:$B, $C174, [2]Errors!$H:$H, T$1)</f>
        <v>#ERROR!</v>
      </c>
      <c r="U174" s="278" t="str">
        <f>COUNTIFS([2]Errors!$B:$B, $C174, [2]Errors!$H:$H, U$1)</f>
        <v>#ERROR!</v>
      </c>
      <c r="V174" s="278" t="str">
        <f>COUNTIFS([2]Errors!$B:$B, $C174, [2]Errors!$H:$H, V$1)</f>
        <v>#ERROR!</v>
      </c>
      <c r="W174" s="278" t="str">
        <f>COUNTIFS([2]Errors!$B:$B, $C174, [2]Errors!$H:$H, W$1)</f>
        <v>#ERROR!</v>
      </c>
      <c r="X174" s="278" t="str">
        <f>COUNTIFS([2]Errors!$B:$B, $C174, [2]Errors!$H:$H, X$1)</f>
        <v>#ERROR!</v>
      </c>
    </row>
    <row r="175" ht="15.75" customHeight="1">
      <c r="A175" s="305">
        <v>0.0</v>
      </c>
      <c r="B175" s="325" t="str">
        <f>SourceData!K175</f>
        <v/>
      </c>
      <c r="C175" s="305" t="str">
        <f>SourceData!J174</f>
        <v/>
      </c>
      <c r="D175" s="298">
        <f>(COUNTIF(Errors!$B$3:$B$3010,'[1]Error Count Analysis'!C175))-((COUNTIFS(Errors!$B$3:$B$3010,'[1]Error Count Analysis'!C175, (Errors!$I$3:$I$3010),"TV*")))</f>
        <v>0</v>
      </c>
      <c r="E175" s="305" t="str">
        <f t="shared" si="1"/>
        <v>#DIV/0!</v>
      </c>
      <c r="F175" s="278" t="str">
        <f>COUNTIFS([2]Errors!$B:$B, $C175, [2]Errors!$H:$H, F$1)</f>
        <v>#ERROR!</v>
      </c>
      <c r="G175" s="278" t="str">
        <f>COUNTIFS([2]Errors!$B:$B, $C175, [2]Errors!$H:$H, G$1)</f>
        <v>#ERROR!</v>
      </c>
      <c r="H175" s="278" t="str">
        <f>COUNTIFS([2]Errors!$B:$B, $C175, [2]Errors!$H:$H, H$1)</f>
        <v>#ERROR!</v>
      </c>
      <c r="I175" s="278" t="str">
        <f>COUNTIFS([2]Errors!$B:$B, $C175, [2]Errors!$H:$H, I$1)</f>
        <v>#ERROR!</v>
      </c>
      <c r="J175" s="278" t="str">
        <f>COUNTIFS([2]Errors!$B:$B, $C175, [2]Errors!$H:$H, J$1)</f>
        <v>#ERROR!</v>
      </c>
      <c r="K175" s="278" t="str">
        <f>COUNTIFS([2]Errors!$B:$B, $C175, [2]Errors!$H:$H, K$1)</f>
        <v>#ERROR!</v>
      </c>
      <c r="L175" s="278" t="str">
        <f>COUNTIFS([2]Errors!$B:$B, $C175, [2]Errors!$H:$H, L$1)</f>
        <v>#ERROR!</v>
      </c>
      <c r="M175" s="278" t="str">
        <f>COUNTIFS([2]Errors!$B:$B, $C175, [2]Errors!$H:$H, M$1)</f>
        <v>#ERROR!</v>
      </c>
      <c r="N175" s="309">
        <f>COUNTIFS(Errors!$B:$B, $C175, Errors!$I:$I, N$1)</f>
        <v>0</v>
      </c>
      <c r="O175" s="278" t="str">
        <f>COUNTIFS([2]Errors!$B:$B, $C175, [2]Errors!$H:$H, O$1)</f>
        <v>#ERROR!</v>
      </c>
      <c r="P175" s="278" t="str">
        <f>COUNTIFS([2]Errors!$B:$B, $C175, [2]Errors!$H:$H, P$1)</f>
        <v>#ERROR!</v>
      </c>
      <c r="Q175" s="278" t="str">
        <f>COUNTIFS([2]Errors!$B:$B, $C175, [2]Errors!$H:$H, Q$1)</f>
        <v>#ERROR!</v>
      </c>
      <c r="R175" s="278" t="str">
        <f>COUNTIFS([2]Errors!$B:$B, $C175, [2]Errors!$H:$H, R$1)</f>
        <v>#ERROR!</v>
      </c>
      <c r="S175" s="278" t="str">
        <f>COUNTIFS([2]Errors!$B:$B, $C175, [2]Errors!$H:$H, S$1)</f>
        <v>#ERROR!</v>
      </c>
      <c r="T175" s="278" t="str">
        <f>COUNTIFS([2]Errors!$B:$B, $C175, [2]Errors!$H:$H, T$1)</f>
        <v>#ERROR!</v>
      </c>
      <c r="U175" s="278" t="str">
        <f>COUNTIFS([2]Errors!$B:$B, $C175, [2]Errors!$H:$H, U$1)</f>
        <v>#ERROR!</v>
      </c>
      <c r="V175" s="278" t="str">
        <f>COUNTIFS([2]Errors!$B:$B, $C175, [2]Errors!$H:$H, V$1)</f>
        <v>#ERROR!</v>
      </c>
      <c r="W175" s="278" t="str">
        <f>COUNTIFS([2]Errors!$B:$B, $C175, [2]Errors!$H:$H, W$1)</f>
        <v>#ERROR!</v>
      </c>
      <c r="X175" s="278" t="str">
        <f>COUNTIFS([2]Errors!$B:$B, $C175, [2]Errors!$H:$H, X$1)</f>
        <v>#ERROR!</v>
      </c>
    </row>
    <row r="176" ht="15.75" customHeight="1">
      <c r="A176" s="325">
        <v>0.0</v>
      </c>
      <c r="B176" s="325" t="str">
        <f>SourceData!K176</f>
        <v/>
      </c>
      <c r="C176" s="294" t="str">
        <f>SourceData!J174</f>
        <v/>
      </c>
      <c r="D176" s="298">
        <f>(COUNTIF(Errors!$B$3:$B$3010,'[1]Error Count Analysis'!C176))-((COUNTIFS(Errors!$B$3:$B$3010,'[1]Error Count Analysis'!C176, (Errors!$I$3:$I$3010),"TV*")))</f>
        <v>0</v>
      </c>
      <c r="E176" s="325" t="str">
        <f t="shared" si="1"/>
        <v>#DIV/0!</v>
      </c>
      <c r="F176" s="278" t="str">
        <f>COUNTIFS([2]Errors!$B:$B, $C176, [2]Errors!$H:$H, F$1)</f>
        <v>#ERROR!</v>
      </c>
      <c r="G176" s="278" t="str">
        <f>COUNTIFS([2]Errors!$B:$B, $C176, [2]Errors!$H:$H, G$1)</f>
        <v>#ERROR!</v>
      </c>
      <c r="H176" s="278" t="str">
        <f>COUNTIFS([2]Errors!$B:$B, $C176, [2]Errors!$H:$H, H$1)</f>
        <v>#ERROR!</v>
      </c>
      <c r="I176" s="278" t="str">
        <f>COUNTIFS([2]Errors!$B:$B, $C176, [2]Errors!$H:$H, I$1)</f>
        <v>#ERROR!</v>
      </c>
      <c r="J176" s="278" t="str">
        <f>COUNTIFS([2]Errors!$B:$B, $C176, [2]Errors!$H:$H, J$1)</f>
        <v>#ERROR!</v>
      </c>
      <c r="K176" s="278" t="str">
        <f>COUNTIFS([2]Errors!$B:$B, $C176, [2]Errors!$H:$H, K$1)</f>
        <v>#ERROR!</v>
      </c>
      <c r="L176" s="278" t="str">
        <f>COUNTIFS([2]Errors!$B:$B, $C176, [2]Errors!$H:$H, L$1)</f>
        <v>#ERROR!</v>
      </c>
      <c r="M176" s="278" t="str">
        <f>COUNTIFS([2]Errors!$B:$B, $C176, [2]Errors!$H:$H, M$1)</f>
        <v>#ERROR!</v>
      </c>
      <c r="N176" s="298">
        <f>COUNTIFS(Errors!$B:$B, $C176, Errors!$I:$I, N$1)</f>
        <v>0</v>
      </c>
      <c r="O176" s="278" t="str">
        <f>COUNTIFS([2]Errors!$B:$B, $C176, [2]Errors!$H:$H, O$1)</f>
        <v>#ERROR!</v>
      </c>
      <c r="P176" s="278" t="str">
        <f>COUNTIFS([2]Errors!$B:$B, $C176, [2]Errors!$H:$H, P$1)</f>
        <v>#ERROR!</v>
      </c>
      <c r="Q176" s="278" t="str">
        <f>COUNTIFS([2]Errors!$B:$B, $C176, [2]Errors!$H:$H, Q$1)</f>
        <v>#ERROR!</v>
      </c>
      <c r="R176" s="278" t="str">
        <f>COUNTIFS([2]Errors!$B:$B, $C176, [2]Errors!$H:$H, R$1)</f>
        <v>#ERROR!</v>
      </c>
      <c r="S176" s="278" t="str">
        <f>COUNTIFS([2]Errors!$B:$B, $C176, [2]Errors!$H:$H, S$1)</f>
        <v>#ERROR!</v>
      </c>
      <c r="T176" s="278" t="str">
        <f>COUNTIFS([2]Errors!$B:$B, $C176, [2]Errors!$H:$H, T$1)</f>
        <v>#ERROR!</v>
      </c>
      <c r="U176" s="278" t="str">
        <f>COUNTIFS([2]Errors!$B:$B, $C176, [2]Errors!$H:$H, U$1)</f>
        <v>#ERROR!</v>
      </c>
      <c r="V176" s="278" t="str">
        <f>COUNTIFS([2]Errors!$B:$B, $C176, [2]Errors!$H:$H, V$1)</f>
        <v>#ERROR!</v>
      </c>
      <c r="W176" s="278" t="str">
        <f>COUNTIFS([2]Errors!$B:$B, $C176, [2]Errors!$H:$H, W$1)</f>
        <v>#ERROR!</v>
      </c>
      <c r="X176" s="278" t="str">
        <f>COUNTIFS([2]Errors!$B:$B, $C176, [2]Errors!$H:$H, X$1)</f>
        <v>#ERROR!</v>
      </c>
    </row>
    <row r="177" ht="15.75" customHeight="1">
      <c r="A177" s="305">
        <v>0.0</v>
      </c>
      <c r="B177" s="325" t="str">
        <f>SourceData!K177</f>
        <v/>
      </c>
      <c r="C177" s="305" t="str">
        <f>SourceData!J176</f>
        <v/>
      </c>
      <c r="D177" s="298">
        <f>(COUNTIF(Errors!$B$3:$B$3010,'[1]Error Count Analysis'!C177))-((COUNTIFS(Errors!$B$3:$B$3010,'[1]Error Count Analysis'!C177, (Errors!$I$3:$I$3010),"TV*")))</f>
        <v>0</v>
      </c>
      <c r="E177" s="305" t="str">
        <f t="shared" si="1"/>
        <v>#DIV/0!</v>
      </c>
      <c r="F177" s="278" t="str">
        <f>COUNTIFS([2]Errors!$B:$B, $C177, [2]Errors!$H:$H, F$1)</f>
        <v>#ERROR!</v>
      </c>
      <c r="G177" s="278" t="str">
        <f>COUNTIFS([2]Errors!$B:$B, $C177, [2]Errors!$H:$H, G$1)</f>
        <v>#ERROR!</v>
      </c>
      <c r="H177" s="278" t="str">
        <f>COUNTIFS([2]Errors!$B:$B, $C177, [2]Errors!$H:$H, H$1)</f>
        <v>#ERROR!</v>
      </c>
      <c r="I177" s="278" t="str">
        <f>COUNTIFS([2]Errors!$B:$B, $C177, [2]Errors!$H:$H, I$1)</f>
        <v>#ERROR!</v>
      </c>
      <c r="J177" s="278" t="str">
        <f>COUNTIFS([2]Errors!$B:$B, $C177, [2]Errors!$H:$H, J$1)</f>
        <v>#ERROR!</v>
      </c>
      <c r="K177" s="278" t="str">
        <f>COUNTIFS([2]Errors!$B:$B, $C177, [2]Errors!$H:$H, K$1)</f>
        <v>#ERROR!</v>
      </c>
      <c r="L177" s="278" t="str">
        <f>COUNTIFS([2]Errors!$B:$B, $C177, [2]Errors!$H:$H, L$1)</f>
        <v>#ERROR!</v>
      </c>
      <c r="M177" s="278" t="str">
        <f>COUNTIFS([2]Errors!$B:$B, $C177, [2]Errors!$H:$H, M$1)</f>
        <v>#ERROR!</v>
      </c>
      <c r="N177" s="309">
        <f>COUNTIFS(Errors!$B:$B, $C177, Errors!$I:$I, N$1)</f>
        <v>0</v>
      </c>
      <c r="O177" s="278" t="str">
        <f>COUNTIFS([2]Errors!$B:$B, $C177, [2]Errors!$H:$H, O$1)</f>
        <v>#ERROR!</v>
      </c>
      <c r="P177" s="278" t="str">
        <f>COUNTIFS([2]Errors!$B:$B, $C177, [2]Errors!$H:$H, P$1)</f>
        <v>#ERROR!</v>
      </c>
      <c r="Q177" s="278" t="str">
        <f>COUNTIFS([2]Errors!$B:$B, $C177, [2]Errors!$H:$H, Q$1)</f>
        <v>#ERROR!</v>
      </c>
      <c r="R177" s="278" t="str">
        <f>COUNTIFS([2]Errors!$B:$B, $C177, [2]Errors!$H:$H, R$1)</f>
        <v>#ERROR!</v>
      </c>
      <c r="S177" s="278" t="str">
        <f>COUNTIFS([2]Errors!$B:$B, $C177, [2]Errors!$H:$H, S$1)</f>
        <v>#ERROR!</v>
      </c>
      <c r="T177" s="278" t="str">
        <f>COUNTIFS([2]Errors!$B:$B, $C177, [2]Errors!$H:$H, T$1)</f>
        <v>#ERROR!</v>
      </c>
      <c r="U177" s="278" t="str">
        <f>COUNTIFS([2]Errors!$B:$B, $C177, [2]Errors!$H:$H, U$1)</f>
        <v>#ERROR!</v>
      </c>
      <c r="V177" s="278" t="str">
        <f>COUNTIFS([2]Errors!$B:$B, $C177, [2]Errors!$H:$H, V$1)</f>
        <v>#ERROR!</v>
      </c>
      <c r="W177" s="278" t="str">
        <f>COUNTIFS([2]Errors!$B:$B, $C177, [2]Errors!$H:$H, W$1)</f>
        <v>#ERROR!</v>
      </c>
      <c r="X177" s="278" t="str">
        <f>COUNTIFS([2]Errors!$B:$B, $C177, [2]Errors!$H:$H, X$1)</f>
        <v>#ERROR!</v>
      </c>
    </row>
    <row r="178" ht="15.75" customHeight="1">
      <c r="A178" s="325">
        <v>0.0</v>
      </c>
      <c r="B178" s="325" t="str">
        <f>SourceData!K178</f>
        <v/>
      </c>
      <c r="C178" s="294" t="str">
        <f>SourceData!J176</f>
        <v/>
      </c>
      <c r="D178" s="298">
        <f>(COUNTIF(Errors!$B$3:$B$3010,'[1]Error Count Analysis'!C178))-((COUNTIFS(Errors!$B$3:$B$3010,'[1]Error Count Analysis'!C178, (Errors!$I$3:$I$3010),"TV*")))</f>
        <v>0</v>
      </c>
      <c r="E178" s="325" t="str">
        <f t="shared" si="1"/>
        <v>#DIV/0!</v>
      </c>
      <c r="F178" s="278" t="str">
        <f>COUNTIFS([2]Errors!$B:$B, $C178, [2]Errors!$H:$H, F$1)</f>
        <v>#ERROR!</v>
      </c>
      <c r="G178" s="278" t="str">
        <f>COUNTIFS([2]Errors!$B:$B, $C178, [2]Errors!$H:$H, G$1)</f>
        <v>#ERROR!</v>
      </c>
      <c r="H178" s="278" t="str">
        <f>COUNTIFS([2]Errors!$B:$B, $C178, [2]Errors!$H:$H, H$1)</f>
        <v>#ERROR!</v>
      </c>
      <c r="I178" s="278" t="str">
        <f>COUNTIFS([2]Errors!$B:$B, $C178, [2]Errors!$H:$H, I$1)</f>
        <v>#ERROR!</v>
      </c>
      <c r="J178" s="278" t="str">
        <f>COUNTIFS([2]Errors!$B:$B, $C178, [2]Errors!$H:$H, J$1)</f>
        <v>#ERROR!</v>
      </c>
      <c r="K178" s="278" t="str">
        <f>COUNTIFS([2]Errors!$B:$B, $C178, [2]Errors!$H:$H, K$1)</f>
        <v>#ERROR!</v>
      </c>
      <c r="L178" s="278" t="str">
        <f>COUNTIFS([2]Errors!$B:$B, $C178, [2]Errors!$H:$H, L$1)</f>
        <v>#ERROR!</v>
      </c>
      <c r="M178" s="278" t="str">
        <f>COUNTIFS([2]Errors!$B:$B, $C178, [2]Errors!$H:$H, M$1)</f>
        <v>#ERROR!</v>
      </c>
      <c r="N178" s="298">
        <f>COUNTIFS(Errors!$B:$B, $C178, Errors!$I:$I, N$1)</f>
        <v>0</v>
      </c>
      <c r="O178" s="278" t="str">
        <f>COUNTIFS([2]Errors!$B:$B, $C178, [2]Errors!$H:$H, O$1)</f>
        <v>#ERROR!</v>
      </c>
      <c r="P178" s="278" t="str">
        <f>COUNTIFS([2]Errors!$B:$B, $C178, [2]Errors!$H:$H, P$1)</f>
        <v>#ERROR!</v>
      </c>
      <c r="Q178" s="278" t="str">
        <f>COUNTIFS([2]Errors!$B:$B, $C178, [2]Errors!$H:$H, Q$1)</f>
        <v>#ERROR!</v>
      </c>
      <c r="R178" s="278" t="str">
        <f>COUNTIFS([2]Errors!$B:$B, $C178, [2]Errors!$H:$H, R$1)</f>
        <v>#ERROR!</v>
      </c>
      <c r="S178" s="278" t="str">
        <f>COUNTIFS([2]Errors!$B:$B, $C178, [2]Errors!$H:$H, S$1)</f>
        <v>#ERROR!</v>
      </c>
      <c r="T178" s="278" t="str">
        <f>COUNTIFS([2]Errors!$B:$B, $C178, [2]Errors!$H:$H, T$1)</f>
        <v>#ERROR!</v>
      </c>
      <c r="U178" s="278" t="str">
        <f>COUNTIFS([2]Errors!$B:$B, $C178, [2]Errors!$H:$H, U$1)</f>
        <v>#ERROR!</v>
      </c>
      <c r="V178" s="278" t="str">
        <f>COUNTIFS([2]Errors!$B:$B, $C178, [2]Errors!$H:$H, V$1)</f>
        <v>#ERROR!</v>
      </c>
      <c r="W178" s="278" t="str">
        <f>COUNTIFS([2]Errors!$B:$B, $C178, [2]Errors!$H:$H, W$1)</f>
        <v>#ERROR!</v>
      </c>
      <c r="X178" s="278" t="str">
        <f>COUNTIFS([2]Errors!$B:$B, $C178, [2]Errors!$H:$H, X$1)</f>
        <v>#ERROR!</v>
      </c>
    </row>
    <row r="179" ht="15.75" customHeight="1">
      <c r="A179" s="305">
        <v>0.0</v>
      </c>
      <c r="B179" s="325" t="str">
        <f>SourceData!K179</f>
        <v/>
      </c>
      <c r="C179" s="305" t="str">
        <f>SourceData!J178</f>
        <v/>
      </c>
      <c r="D179" s="298">
        <f>(COUNTIF(Errors!$B$3:$B$3010,'[1]Error Count Analysis'!C179))-((COUNTIFS(Errors!$B$3:$B$3010,'[1]Error Count Analysis'!C179, (Errors!$I$3:$I$3010),"TV*")))</f>
        <v>0</v>
      </c>
      <c r="E179" s="305" t="str">
        <f t="shared" si="1"/>
        <v>#DIV/0!</v>
      </c>
      <c r="F179" s="278" t="str">
        <f>COUNTIFS([2]Errors!$B:$B, $C179, [2]Errors!$H:$H, F$1)</f>
        <v>#ERROR!</v>
      </c>
      <c r="G179" s="278" t="str">
        <f>COUNTIFS([2]Errors!$B:$B, $C179, [2]Errors!$H:$H, G$1)</f>
        <v>#ERROR!</v>
      </c>
      <c r="H179" s="278" t="str">
        <f>COUNTIFS([2]Errors!$B:$B, $C179, [2]Errors!$H:$H, H$1)</f>
        <v>#ERROR!</v>
      </c>
      <c r="I179" s="278" t="str">
        <f>COUNTIFS([2]Errors!$B:$B, $C179, [2]Errors!$H:$H, I$1)</f>
        <v>#ERROR!</v>
      </c>
      <c r="J179" s="278" t="str">
        <f>COUNTIFS([2]Errors!$B:$B, $C179, [2]Errors!$H:$H, J$1)</f>
        <v>#ERROR!</v>
      </c>
      <c r="K179" s="278" t="str">
        <f>COUNTIFS([2]Errors!$B:$B, $C179, [2]Errors!$H:$H, K$1)</f>
        <v>#ERROR!</v>
      </c>
      <c r="L179" s="278" t="str">
        <f>COUNTIFS([2]Errors!$B:$B, $C179, [2]Errors!$H:$H, L$1)</f>
        <v>#ERROR!</v>
      </c>
      <c r="M179" s="278" t="str">
        <f>COUNTIFS([2]Errors!$B:$B, $C179, [2]Errors!$H:$H, M$1)</f>
        <v>#ERROR!</v>
      </c>
      <c r="N179" s="309">
        <f>COUNTIFS(Errors!$B:$B, $C179, Errors!$I:$I, N$1)</f>
        <v>0</v>
      </c>
      <c r="O179" s="278" t="str">
        <f>COUNTIFS([2]Errors!$B:$B, $C179, [2]Errors!$H:$H, O$1)</f>
        <v>#ERROR!</v>
      </c>
      <c r="P179" s="278" t="str">
        <f>COUNTIFS([2]Errors!$B:$B, $C179, [2]Errors!$H:$H, P$1)</f>
        <v>#ERROR!</v>
      </c>
      <c r="Q179" s="278" t="str">
        <f>COUNTIFS([2]Errors!$B:$B, $C179, [2]Errors!$H:$H, Q$1)</f>
        <v>#ERROR!</v>
      </c>
      <c r="R179" s="278" t="str">
        <f>COUNTIFS([2]Errors!$B:$B, $C179, [2]Errors!$H:$H, R$1)</f>
        <v>#ERROR!</v>
      </c>
      <c r="S179" s="278" t="str">
        <f>COUNTIFS([2]Errors!$B:$B, $C179, [2]Errors!$H:$H, S$1)</f>
        <v>#ERROR!</v>
      </c>
      <c r="T179" s="278" t="str">
        <f>COUNTIFS([2]Errors!$B:$B, $C179, [2]Errors!$H:$H, T$1)</f>
        <v>#ERROR!</v>
      </c>
      <c r="U179" s="278" t="str">
        <f>COUNTIFS([2]Errors!$B:$B, $C179, [2]Errors!$H:$H, U$1)</f>
        <v>#ERROR!</v>
      </c>
      <c r="V179" s="278" t="str">
        <f>COUNTIFS([2]Errors!$B:$B, $C179, [2]Errors!$H:$H, V$1)</f>
        <v>#ERROR!</v>
      </c>
      <c r="W179" s="278" t="str">
        <f>COUNTIFS([2]Errors!$B:$B, $C179, [2]Errors!$H:$H, W$1)</f>
        <v>#ERROR!</v>
      </c>
      <c r="X179" s="278" t="str">
        <f>COUNTIFS([2]Errors!$B:$B, $C179, [2]Errors!$H:$H, X$1)</f>
        <v>#ERROR!</v>
      </c>
    </row>
    <row r="180" ht="15.75" customHeight="1">
      <c r="A180" s="325">
        <v>0.0</v>
      </c>
      <c r="B180" s="325" t="str">
        <f>SourceData!K180</f>
        <v/>
      </c>
      <c r="C180" s="294" t="str">
        <f>SourceData!J178</f>
        <v/>
      </c>
      <c r="D180" s="298">
        <f>(COUNTIF(Errors!$B$3:$B$3010,'[1]Error Count Analysis'!C180))-((COUNTIFS(Errors!$B$3:$B$3010,'[1]Error Count Analysis'!C180, (Errors!$I$3:$I$3010),"TV*")))</f>
        <v>0</v>
      </c>
      <c r="E180" s="325" t="str">
        <f t="shared" si="1"/>
        <v>#DIV/0!</v>
      </c>
      <c r="F180" s="278" t="str">
        <f>COUNTIFS([2]Errors!$B:$B, $C180, [2]Errors!$H:$H, F$1)</f>
        <v>#ERROR!</v>
      </c>
      <c r="G180" s="278" t="str">
        <f>COUNTIFS([2]Errors!$B:$B, $C180, [2]Errors!$H:$H, G$1)</f>
        <v>#ERROR!</v>
      </c>
      <c r="H180" s="278" t="str">
        <f>COUNTIFS([2]Errors!$B:$B, $C180, [2]Errors!$H:$H, H$1)</f>
        <v>#ERROR!</v>
      </c>
      <c r="I180" s="278" t="str">
        <f>COUNTIFS([2]Errors!$B:$B, $C180, [2]Errors!$H:$H, I$1)</f>
        <v>#ERROR!</v>
      </c>
      <c r="J180" s="278" t="str">
        <f>COUNTIFS([2]Errors!$B:$B, $C180, [2]Errors!$H:$H, J$1)</f>
        <v>#ERROR!</v>
      </c>
      <c r="K180" s="278" t="str">
        <f>COUNTIFS([2]Errors!$B:$B, $C180, [2]Errors!$H:$H, K$1)</f>
        <v>#ERROR!</v>
      </c>
      <c r="L180" s="278" t="str">
        <f>COUNTIFS([2]Errors!$B:$B, $C180, [2]Errors!$H:$H, L$1)</f>
        <v>#ERROR!</v>
      </c>
      <c r="M180" s="278" t="str">
        <f>COUNTIFS([2]Errors!$B:$B, $C180, [2]Errors!$H:$H, M$1)</f>
        <v>#ERROR!</v>
      </c>
      <c r="N180" s="298">
        <f>COUNTIFS(Errors!$B:$B, $C180, Errors!$I:$I, N$1)</f>
        <v>0</v>
      </c>
      <c r="O180" s="278" t="str">
        <f>COUNTIFS([2]Errors!$B:$B, $C180, [2]Errors!$H:$H, O$1)</f>
        <v>#ERROR!</v>
      </c>
      <c r="P180" s="278" t="str">
        <f>COUNTIFS([2]Errors!$B:$B, $C180, [2]Errors!$H:$H, P$1)</f>
        <v>#ERROR!</v>
      </c>
      <c r="Q180" s="278" t="str">
        <f>COUNTIFS([2]Errors!$B:$B, $C180, [2]Errors!$H:$H, Q$1)</f>
        <v>#ERROR!</v>
      </c>
      <c r="R180" s="278" t="str">
        <f>COUNTIFS([2]Errors!$B:$B, $C180, [2]Errors!$H:$H, R$1)</f>
        <v>#ERROR!</v>
      </c>
      <c r="S180" s="278" t="str">
        <f>COUNTIFS([2]Errors!$B:$B, $C180, [2]Errors!$H:$H, S$1)</f>
        <v>#ERROR!</v>
      </c>
      <c r="T180" s="278" t="str">
        <f>COUNTIFS([2]Errors!$B:$B, $C180, [2]Errors!$H:$H, T$1)</f>
        <v>#ERROR!</v>
      </c>
      <c r="U180" s="278" t="str">
        <f>COUNTIFS([2]Errors!$B:$B, $C180, [2]Errors!$H:$H, U$1)</f>
        <v>#ERROR!</v>
      </c>
      <c r="V180" s="278" t="str">
        <f>COUNTIFS([2]Errors!$B:$B, $C180, [2]Errors!$H:$H, V$1)</f>
        <v>#ERROR!</v>
      </c>
      <c r="W180" s="278" t="str">
        <f>COUNTIFS([2]Errors!$B:$B, $C180, [2]Errors!$H:$H, W$1)</f>
        <v>#ERROR!</v>
      </c>
      <c r="X180" s="278" t="str">
        <f>COUNTIFS([2]Errors!$B:$B, $C180, [2]Errors!$H:$H, X$1)</f>
        <v>#ERROR!</v>
      </c>
    </row>
    <row r="181" ht="15.75" customHeight="1">
      <c r="A181" s="305">
        <v>0.0</v>
      </c>
      <c r="B181" s="325" t="str">
        <f>SourceData!K181</f>
        <v/>
      </c>
      <c r="C181" s="305" t="str">
        <f>SourceData!J180</f>
        <v/>
      </c>
      <c r="D181" s="298">
        <f>(COUNTIF(Errors!$B$3:$B$3010,'[1]Error Count Analysis'!C181))-((COUNTIFS(Errors!$B$3:$B$3010,'[1]Error Count Analysis'!C181, (Errors!$I$3:$I$3010),"TV*")))</f>
        <v>0</v>
      </c>
      <c r="E181" s="305" t="str">
        <f t="shared" si="1"/>
        <v>#DIV/0!</v>
      </c>
      <c r="F181" s="278" t="str">
        <f>COUNTIFS([2]Errors!$B:$B, $C181, [2]Errors!$H:$H, F$1)</f>
        <v>#ERROR!</v>
      </c>
      <c r="G181" s="278" t="str">
        <f>COUNTIFS([2]Errors!$B:$B, $C181, [2]Errors!$H:$H, G$1)</f>
        <v>#ERROR!</v>
      </c>
      <c r="H181" s="278" t="str">
        <f>COUNTIFS([2]Errors!$B:$B, $C181, [2]Errors!$H:$H, H$1)</f>
        <v>#ERROR!</v>
      </c>
      <c r="I181" s="278" t="str">
        <f>COUNTIFS([2]Errors!$B:$B, $C181, [2]Errors!$H:$H, I$1)</f>
        <v>#ERROR!</v>
      </c>
      <c r="J181" s="278" t="str">
        <f>COUNTIFS([2]Errors!$B:$B, $C181, [2]Errors!$H:$H, J$1)</f>
        <v>#ERROR!</v>
      </c>
      <c r="K181" s="278" t="str">
        <f>COUNTIFS([2]Errors!$B:$B, $C181, [2]Errors!$H:$H, K$1)</f>
        <v>#ERROR!</v>
      </c>
      <c r="L181" s="278" t="str">
        <f>COUNTIFS([2]Errors!$B:$B, $C181, [2]Errors!$H:$H, L$1)</f>
        <v>#ERROR!</v>
      </c>
      <c r="M181" s="278" t="str">
        <f>COUNTIFS([2]Errors!$B:$B, $C181, [2]Errors!$H:$H, M$1)</f>
        <v>#ERROR!</v>
      </c>
      <c r="N181" s="309">
        <f>COUNTIFS(Errors!$B:$B, $C181, Errors!$I:$I, N$1)</f>
        <v>0</v>
      </c>
      <c r="O181" s="278" t="str">
        <f>COUNTIFS([2]Errors!$B:$B, $C181, [2]Errors!$H:$H, O$1)</f>
        <v>#ERROR!</v>
      </c>
      <c r="P181" s="278" t="str">
        <f>COUNTIFS([2]Errors!$B:$B, $C181, [2]Errors!$H:$H, P$1)</f>
        <v>#ERROR!</v>
      </c>
      <c r="Q181" s="278" t="str">
        <f>COUNTIFS([2]Errors!$B:$B, $C181, [2]Errors!$H:$H, Q$1)</f>
        <v>#ERROR!</v>
      </c>
      <c r="R181" s="278" t="str">
        <f>COUNTIFS([2]Errors!$B:$B, $C181, [2]Errors!$H:$H, R$1)</f>
        <v>#ERROR!</v>
      </c>
      <c r="S181" s="278" t="str">
        <f>COUNTIFS([2]Errors!$B:$B, $C181, [2]Errors!$H:$H, S$1)</f>
        <v>#ERROR!</v>
      </c>
      <c r="T181" s="278" t="str">
        <f>COUNTIFS([2]Errors!$B:$B, $C181, [2]Errors!$H:$H, T$1)</f>
        <v>#ERROR!</v>
      </c>
      <c r="U181" s="278" t="str">
        <f>COUNTIFS([2]Errors!$B:$B, $C181, [2]Errors!$H:$H, U$1)</f>
        <v>#ERROR!</v>
      </c>
      <c r="V181" s="278" t="str">
        <f>COUNTIFS([2]Errors!$B:$B, $C181, [2]Errors!$H:$H, V$1)</f>
        <v>#ERROR!</v>
      </c>
      <c r="W181" s="278" t="str">
        <f>COUNTIFS([2]Errors!$B:$B, $C181, [2]Errors!$H:$H, W$1)</f>
        <v>#ERROR!</v>
      </c>
      <c r="X181" s="278" t="str">
        <f>COUNTIFS([2]Errors!$B:$B, $C181, [2]Errors!$H:$H, X$1)</f>
        <v>#ERROR!</v>
      </c>
    </row>
    <row r="182" ht="15.75" customHeight="1">
      <c r="A182" s="325">
        <v>0.0</v>
      </c>
      <c r="B182" s="325" t="str">
        <f>SourceData!K182</f>
        <v/>
      </c>
      <c r="C182" s="294" t="str">
        <f>SourceData!J180</f>
        <v/>
      </c>
      <c r="D182" s="298">
        <f>(COUNTIF(Errors!$B$3:$B$3010,'[1]Error Count Analysis'!C182))-((COUNTIFS(Errors!$B$3:$B$3010,'[1]Error Count Analysis'!C182, (Errors!$I$3:$I$3010),"TV*")))</f>
        <v>0</v>
      </c>
      <c r="E182" s="325" t="str">
        <f t="shared" si="1"/>
        <v>#DIV/0!</v>
      </c>
      <c r="F182" s="278" t="str">
        <f>COUNTIFS([2]Errors!$B:$B, $C182, [2]Errors!$H:$H, F$1)</f>
        <v>#ERROR!</v>
      </c>
      <c r="G182" s="278" t="str">
        <f>COUNTIFS([2]Errors!$B:$B, $C182, [2]Errors!$H:$H, G$1)</f>
        <v>#ERROR!</v>
      </c>
      <c r="H182" s="278" t="str">
        <f>COUNTIFS([2]Errors!$B:$B, $C182, [2]Errors!$H:$H, H$1)</f>
        <v>#ERROR!</v>
      </c>
      <c r="I182" s="278" t="str">
        <f>COUNTIFS([2]Errors!$B:$B, $C182, [2]Errors!$H:$H, I$1)</f>
        <v>#ERROR!</v>
      </c>
      <c r="J182" s="278" t="str">
        <f>COUNTIFS([2]Errors!$B:$B, $C182, [2]Errors!$H:$H, J$1)</f>
        <v>#ERROR!</v>
      </c>
      <c r="K182" s="278" t="str">
        <f>COUNTIFS([2]Errors!$B:$B, $C182, [2]Errors!$H:$H, K$1)</f>
        <v>#ERROR!</v>
      </c>
      <c r="L182" s="278" t="str">
        <f>COUNTIFS([2]Errors!$B:$B, $C182, [2]Errors!$H:$H, L$1)</f>
        <v>#ERROR!</v>
      </c>
      <c r="M182" s="278" t="str">
        <f>COUNTIFS([2]Errors!$B:$B, $C182, [2]Errors!$H:$H, M$1)</f>
        <v>#ERROR!</v>
      </c>
      <c r="N182" s="298">
        <f>COUNTIFS(Errors!$B:$B, $C182, Errors!$I:$I, N$1)</f>
        <v>0</v>
      </c>
      <c r="O182" s="278" t="str">
        <f>COUNTIFS([2]Errors!$B:$B, $C182, [2]Errors!$H:$H, O$1)</f>
        <v>#ERROR!</v>
      </c>
      <c r="P182" s="278" t="str">
        <f>COUNTIFS([2]Errors!$B:$B, $C182, [2]Errors!$H:$H, P$1)</f>
        <v>#ERROR!</v>
      </c>
      <c r="Q182" s="278" t="str">
        <f>COUNTIFS([2]Errors!$B:$B, $C182, [2]Errors!$H:$H, Q$1)</f>
        <v>#ERROR!</v>
      </c>
      <c r="R182" s="278" t="str">
        <f>COUNTIFS([2]Errors!$B:$B, $C182, [2]Errors!$H:$H, R$1)</f>
        <v>#ERROR!</v>
      </c>
      <c r="S182" s="278" t="str">
        <f>COUNTIFS([2]Errors!$B:$B, $C182, [2]Errors!$H:$H, S$1)</f>
        <v>#ERROR!</v>
      </c>
      <c r="T182" s="278" t="str">
        <f>COUNTIFS([2]Errors!$B:$B, $C182, [2]Errors!$H:$H, T$1)</f>
        <v>#ERROR!</v>
      </c>
      <c r="U182" s="278" t="str">
        <f>COUNTIFS([2]Errors!$B:$B, $C182, [2]Errors!$H:$H, U$1)</f>
        <v>#ERROR!</v>
      </c>
      <c r="V182" s="278" t="str">
        <f>COUNTIFS([2]Errors!$B:$B, $C182, [2]Errors!$H:$H, V$1)</f>
        <v>#ERROR!</v>
      </c>
      <c r="W182" s="278" t="str">
        <f>COUNTIFS([2]Errors!$B:$B, $C182, [2]Errors!$H:$H, W$1)</f>
        <v>#ERROR!</v>
      </c>
      <c r="X182" s="278" t="str">
        <f>COUNTIFS([2]Errors!$B:$B, $C182, [2]Errors!$H:$H, X$1)</f>
        <v>#ERROR!</v>
      </c>
    </row>
    <row r="183" ht="15.75" customHeight="1">
      <c r="A183" s="305">
        <v>0.0</v>
      </c>
      <c r="B183" s="325" t="str">
        <f>SourceData!K183</f>
        <v/>
      </c>
      <c r="C183" s="305" t="str">
        <f>SourceData!J182</f>
        <v/>
      </c>
      <c r="D183" s="298">
        <f>(COUNTIF(Errors!$B$3:$B$3010,'[1]Error Count Analysis'!C183))-((COUNTIFS(Errors!$B$3:$B$3010,'[1]Error Count Analysis'!C183, (Errors!$I$3:$I$3010),"TV*")))</f>
        <v>0</v>
      </c>
      <c r="E183" s="305" t="str">
        <f t="shared" si="1"/>
        <v>#DIV/0!</v>
      </c>
      <c r="F183" s="278" t="str">
        <f>COUNTIFS([2]Errors!$B:$B, $C183, [2]Errors!$H:$H, F$1)</f>
        <v>#ERROR!</v>
      </c>
      <c r="G183" s="278" t="str">
        <f>COUNTIFS([2]Errors!$B:$B, $C183, [2]Errors!$H:$H, G$1)</f>
        <v>#ERROR!</v>
      </c>
      <c r="H183" s="278" t="str">
        <f>COUNTIFS([2]Errors!$B:$B, $C183, [2]Errors!$H:$H, H$1)</f>
        <v>#ERROR!</v>
      </c>
      <c r="I183" s="278" t="str">
        <f>COUNTIFS([2]Errors!$B:$B, $C183, [2]Errors!$H:$H, I$1)</f>
        <v>#ERROR!</v>
      </c>
      <c r="J183" s="278" t="str">
        <f>COUNTIFS([2]Errors!$B:$B, $C183, [2]Errors!$H:$H, J$1)</f>
        <v>#ERROR!</v>
      </c>
      <c r="K183" s="278" t="str">
        <f>COUNTIFS([2]Errors!$B:$B, $C183, [2]Errors!$H:$H, K$1)</f>
        <v>#ERROR!</v>
      </c>
      <c r="L183" s="278" t="str">
        <f>COUNTIFS([2]Errors!$B:$B, $C183, [2]Errors!$H:$H, L$1)</f>
        <v>#ERROR!</v>
      </c>
      <c r="M183" s="278" t="str">
        <f>COUNTIFS([2]Errors!$B:$B, $C183, [2]Errors!$H:$H, M$1)</f>
        <v>#ERROR!</v>
      </c>
      <c r="N183" s="309">
        <f>COUNTIFS(Errors!$B:$B, $C183, Errors!$I:$I, N$1)</f>
        <v>0</v>
      </c>
      <c r="O183" s="278" t="str">
        <f>COUNTIFS([2]Errors!$B:$B, $C183, [2]Errors!$H:$H, O$1)</f>
        <v>#ERROR!</v>
      </c>
      <c r="P183" s="278" t="str">
        <f>COUNTIFS([2]Errors!$B:$B, $C183, [2]Errors!$H:$H, P$1)</f>
        <v>#ERROR!</v>
      </c>
      <c r="Q183" s="278" t="str">
        <f>COUNTIFS([2]Errors!$B:$B, $C183, [2]Errors!$H:$H, Q$1)</f>
        <v>#ERROR!</v>
      </c>
      <c r="R183" s="278" t="str">
        <f>COUNTIFS([2]Errors!$B:$B, $C183, [2]Errors!$H:$H, R$1)</f>
        <v>#ERROR!</v>
      </c>
      <c r="S183" s="278" t="str">
        <f>COUNTIFS([2]Errors!$B:$B, $C183, [2]Errors!$H:$H, S$1)</f>
        <v>#ERROR!</v>
      </c>
      <c r="T183" s="278" t="str">
        <f>COUNTIFS([2]Errors!$B:$B, $C183, [2]Errors!$H:$H, T$1)</f>
        <v>#ERROR!</v>
      </c>
      <c r="U183" s="278" t="str">
        <f>COUNTIFS([2]Errors!$B:$B, $C183, [2]Errors!$H:$H, U$1)</f>
        <v>#ERROR!</v>
      </c>
      <c r="V183" s="278" t="str">
        <f>COUNTIFS([2]Errors!$B:$B, $C183, [2]Errors!$H:$H, V$1)</f>
        <v>#ERROR!</v>
      </c>
      <c r="W183" s="278" t="str">
        <f>COUNTIFS([2]Errors!$B:$B, $C183, [2]Errors!$H:$H, W$1)</f>
        <v>#ERROR!</v>
      </c>
      <c r="X183" s="278" t="str">
        <f>COUNTIFS([2]Errors!$B:$B, $C183, [2]Errors!$H:$H, X$1)</f>
        <v>#ERROR!</v>
      </c>
    </row>
    <row r="184" ht="15.75" customHeight="1">
      <c r="A184" s="325">
        <v>0.0</v>
      </c>
      <c r="B184" s="325" t="str">
        <f>SourceData!K184</f>
        <v/>
      </c>
      <c r="C184" s="294" t="str">
        <f>SourceData!J182</f>
        <v/>
      </c>
      <c r="D184" s="298">
        <f>(COUNTIF(Errors!$B$3:$B$3010,'[1]Error Count Analysis'!C184))-((COUNTIFS(Errors!$B$3:$B$3010,'[1]Error Count Analysis'!C184, (Errors!$I$3:$I$3010),"TV*")))</f>
        <v>0</v>
      </c>
      <c r="E184" s="325" t="str">
        <f t="shared" si="1"/>
        <v>#DIV/0!</v>
      </c>
      <c r="F184" s="278" t="str">
        <f>COUNTIFS([2]Errors!$B:$B, $C184, [2]Errors!$H:$H, F$1)</f>
        <v>#ERROR!</v>
      </c>
      <c r="G184" s="278" t="str">
        <f>COUNTIFS([2]Errors!$B:$B, $C184, [2]Errors!$H:$H, G$1)</f>
        <v>#ERROR!</v>
      </c>
      <c r="H184" s="278" t="str">
        <f>COUNTIFS([2]Errors!$B:$B, $C184, [2]Errors!$H:$H, H$1)</f>
        <v>#ERROR!</v>
      </c>
      <c r="I184" s="278" t="str">
        <f>COUNTIFS([2]Errors!$B:$B, $C184, [2]Errors!$H:$H, I$1)</f>
        <v>#ERROR!</v>
      </c>
      <c r="J184" s="278" t="str">
        <f>COUNTIFS([2]Errors!$B:$B, $C184, [2]Errors!$H:$H, J$1)</f>
        <v>#ERROR!</v>
      </c>
      <c r="K184" s="278" t="str">
        <f>COUNTIFS([2]Errors!$B:$B, $C184, [2]Errors!$H:$H, K$1)</f>
        <v>#ERROR!</v>
      </c>
      <c r="L184" s="278" t="str">
        <f>COUNTIFS([2]Errors!$B:$B, $C184, [2]Errors!$H:$H, L$1)</f>
        <v>#ERROR!</v>
      </c>
      <c r="M184" s="278" t="str">
        <f>COUNTIFS([2]Errors!$B:$B, $C184, [2]Errors!$H:$H, M$1)</f>
        <v>#ERROR!</v>
      </c>
      <c r="N184" s="298">
        <f>COUNTIFS(Errors!$B:$B, $C184, Errors!$I:$I, N$1)</f>
        <v>0</v>
      </c>
      <c r="O184" s="278" t="str">
        <f>COUNTIFS([2]Errors!$B:$B, $C184, [2]Errors!$H:$H, O$1)</f>
        <v>#ERROR!</v>
      </c>
      <c r="P184" s="278" t="str">
        <f>COUNTIFS([2]Errors!$B:$B, $C184, [2]Errors!$H:$H, P$1)</f>
        <v>#ERROR!</v>
      </c>
      <c r="Q184" s="278" t="str">
        <f>COUNTIFS([2]Errors!$B:$B, $C184, [2]Errors!$H:$H, Q$1)</f>
        <v>#ERROR!</v>
      </c>
      <c r="R184" s="278" t="str">
        <f>COUNTIFS([2]Errors!$B:$B, $C184, [2]Errors!$H:$H, R$1)</f>
        <v>#ERROR!</v>
      </c>
      <c r="S184" s="278" t="str">
        <f>COUNTIFS([2]Errors!$B:$B, $C184, [2]Errors!$H:$H, S$1)</f>
        <v>#ERROR!</v>
      </c>
      <c r="T184" s="278" t="str">
        <f>COUNTIFS([2]Errors!$B:$B, $C184, [2]Errors!$H:$H, T$1)</f>
        <v>#ERROR!</v>
      </c>
      <c r="U184" s="278" t="str">
        <f>COUNTIFS([2]Errors!$B:$B, $C184, [2]Errors!$H:$H, U$1)</f>
        <v>#ERROR!</v>
      </c>
      <c r="V184" s="278" t="str">
        <f>COUNTIFS([2]Errors!$B:$B, $C184, [2]Errors!$H:$H, V$1)</f>
        <v>#ERROR!</v>
      </c>
      <c r="W184" s="278" t="str">
        <f>COUNTIFS([2]Errors!$B:$B, $C184, [2]Errors!$H:$H, W$1)</f>
        <v>#ERROR!</v>
      </c>
      <c r="X184" s="278" t="str">
        <f>COUNTIFS([2]Errors!$B:$B, $C184, [2]Errors!$H:$H, X$1)</f>
        <v>#ERROR!</v>
      </c>
    </row>
    <row r="185" ht="15.75" customHeight="1">
      <c r="A185" s="305">
        <v>0.0</v>
      </c>
      <c r="B185" s="325" t="str">
        <f>SourceData!K185</f>
        <v/>
      </c>
      <c r="C185" s="305" t="str">
        <f>SourceData!J184</f>
        <v/>
      </c>
      <c r="D185" s="298">
        <f>(COUNTIF(Errors!$B$3:$B$3010,'[1]Error Count Analysis'!C185))-((COUNTIFS(Errors!$B$3:$B$3010,'[1]Error Count Analysis'!C185, (Errors!$I$3:$I$3010),"TV*")))</f>
        <v>0</v>
      </c>
      <c r="E185" s="305" t="str">
        <f t="shared" si="1"/>
        <v>#DIV/0!</v>
      </c>
      <c r="F185" s="278" t="str">
        <f>COUNTIFS([2]Errors!$B:$B, $C185, [2]Errors!$H:$H, F$1)</f>
        <v>#ERROR!</v>
      </c>
      <c r="G185" s="278" t="str">
        <f>COUNTIFS([2]Errors!$B:$B, $C185, [2]Errors!$H:$H, G$1)</f>
        <v>#ERROR!</v>
      </c>
      <c r="H185" s="278" t="str">
        <f>COUNTIFS([2]Errors!$B:$B, $C185, [2]Errors!$H:$H, H$1)</f>
        <v>#ERROR!</v>
      </c>
      <c r="I185" s="278" t="str">
        <f>COUNTIFS([2]Errors!$B:$B, $C185, [2]Errors!$H:$H, I$1)</f>
        <v>#ERROR!</v>
      </c>
      <c r="J185" s="278" t="str">
        <f>COUNTIFS([2]Errors!$B:$B, $C185, [2]Errors!$H:$H, J$1)</f>
        <v>#ERROR!</v>
      </c>
      <c r="K185" s="278" t="str">
        <f>COUNTIFS([2]Errors!$B:$B, $C185, [2]Errors!$H:$H, K$1)</f>
        <v>#ERROR!</v>
      </c>
      <c r="L185" s="278" t="str">
        <f>COUNTIFS([2]Errors!$B:$B, $C185, [2]Errors!$H:$H, L$1)</f>
        <v>#ERROR!</v>
      </c>
      <c r="M185" s="278" t="str">
        <f>COUNTIFS([2]Errors!$B:$B, $C185, [2]Errors!$H:$H, M$1)</f>
        <v>#ERROR!</v>
      </c>
      <c r="N185" s="309">
        <f>COUNTIFS(Errors!$B:$B, $C185, Errors!$I:$I, N$1)</f>
        <v>0</v>
      </c>
      <c r="O185" s="278" t="str">
        <f>COUNTIFS([2]Errors!$B:$B, $C185, [2]Errors!$H:$H, O$1)</f>
        <v>#ERROR!</v>
      </c>
      <c r="P185" s="278" t="str">
        <f>COUNTIFS([2]Errors!$B:$B, $C185, [2]Errors!$H:$H, P$1)</f>
        <v>#ERROR!</v>
      </c>
      <c r="Q185" s="278" t="str">
        <f>COUNTIFS([2]Errors!$B:$B, $C185, [2]Errors!$H:$H, Q$1)</f>
        <v>#ERROR!</v>
      </c>
      <c r="R185" s="278" t="str">
        <f>COUNTIFS([2]Errors!$B:$B, $C185, [2]Errors!$H:$H, R$1)</f>
        <v>#ERROR!</v>
      </c>
      <c r="S185" s="278" t="str">
        <f>COUNTIFS([2]Errors!$B:$B, $C185, [2]Errors!$H:$H, S$1)</f>
        <v>#ERROR!</v>
      </c>
      <c r="T185" s="278" t="str">
        <f>COUNTIFS([2]Errors!$B:$B, $C185, [2]Errors!$H:$H, T$1)</f>
        <v>#ERROR!</v>
      </c>
      <c r="U185" s="278" t="str">
        <f>COUNTIFS([2]Errors!$B:$B, $C185, [2]Errors!$H:$H, U$1)</f>
        <v>#ERROR!</v>
      </c>
      <c r="V185" s="278" t="str">
        <f>COUNTIFS([2]Errors!$B:$B, $C185, [2]Errors!$H:$H, V$1)</f>
        <v>#ERROR!</v>
      </c>
      <c r="W185" s="278" t="str">
        <f>COUNTIFS([2]Errors!$B:$B, $C185, [2]Errors!$H:$H, W$1)</f>
        <v>#ERROR!</v>
      </c>
      <c r="X185" s="278" t="str">
        <f>COUNTIFS([2]Errors!$B:$B, $C185, [2]Errors!$H:$H, X$1)</f>
        <v>#ERROR!</v>
      </c>
    </row>
    <row r="186" ht="15.75" customHeight="1">
      <c r="A186" s="325">
        <v>0.0</v>
      </c>
      <c r="B186" s="325" t="str">
        <f>SourceData!K186</f>
        <v/>
      </c>
      <c r="C186" s="294" t="str">
        <f>SourceData!J184</f>
        <v/>
      </c>
      <c r="D186" s="298">
        <f>(COUNTIF(Errors!$B$3:$B$3010,'[1]Error Count Analysis'!C186))-((COUNTIFS(Errors!$B$3:$B$3010,'[1]Error Count Analysis'!C186, (Errors!$I$3:$I$3010),"TV*")))</f>
        <v>0</v>
      </c>
      <c r="E186" s="325" t="str">
        <f t="shared" si="1"/>
        <v>#DIV/0!</v>
      </c>
      <c r="F186" s="278" t="str">
        <f>COUNTIFS([2]Errors!$B:$B, $C186, [2]Errors!$H:$H, F$1)</f>
        <v>#ERROR!</v>
      </c>
      <c r="G186" s="278" t="str">
        <f>COUNTIFS([2]Errors!$B:$B, $C186, [2]Errors!$H:$H, G$1)</f>
        <v>#ERROR!</v>
      </c>
      <c r="H186" s="278" t="str">
        <f>COUNTIFS([2]Errors!$B:$B, $C186, [2]Errors!$H:$H, H$1)</f>
        <v>#ERROR!</v>
      </c>
      <c r="I186" s="278" t="str">
        <f>COUNTIFS([2]Errors!$B:$B, $C186, [2]Errors!$H:$H, I$1)</f>
        <v>#ERROR!</v>
      </c>
      <c r="J186" s="278" t="str">
        <f>COUNTIFS([2]Errors!$B:$B, $C186, [2]Errors!$H:$H, J$1)</f>
        <v>#ERROR!</v>
      </c>
      <c r="K186" s="278" t="str">
        <f>COUNTIFS([2]Errors!$B:$B, $C186, [2]Errors!$H:$H, K$1)</f>
        <v>#ERROR!</v>
      </c>
      <c r="L186" s="278" t="str">
        <f>COUNTIFS([2]Errors!$B:$B, $C186, [2]Errors!$H:$H, L$1)</f>
        <v>#ERROR!</v>
      </c>
      <c r="M186" s="278" t="str">
        <f>COUNTIFS([2]Errors!$B:$B, $C186, [2]Errors!$H:$H, M$1)</f>
        <v>#ERROR!</v>
      </c>
      <c r="N186" s="298">
        <f>COUNTIFS(Errors!$B:$B, $C186, Errors!$I:$I, N$1)</f>
        <v>0</v>
      </c>
      <c r="O186" s="278" t="str">
        <f>COUNTIFS([2]Errors!$B:$B, $C186, [2]Errors!$H:$H, O$1)</f>
        <v>#ERROR!</v>
      </c>
      <c r="P186" s="278" t="str">
        <f>COUNTIFS([2]Errors!$B:$B, $C186, [2]Errors!$H:$H, P$1)</f>
        <v>#ERROR!</v>
      </c>
      <c r="Q186" s="278" t="str">
        <f>COUNTIFS([2]Errors!$B:$B, $C186, [2]Errors!$H:$H, Q$1)</f>
        <v>#ERROR!</v>
      </c>
      <c r="R186" s="278" t="str">
        <f>COUNTIFS([2]Errors!$B:$B, $C186, [2]Errors!$H:$H, R$1)</f>
        <v>#ERROR!</v>
      </c>
      <c r="S186" s="278" t="str">
        <f>COUNTIFS([2]Errors!$B:$B, $C186, [2]Errors!$H:$H, S$1)</f>
        <v>#ERROR!</v>
      </c>
      <c r="T186" s="278" t="str">
        <f>COUNTIFS([2]Errors!$B:$B, $C186, [2]Errors!$H:$H, T$1)</f>
        <v>#ERROR!</v>
      </c>
      <c r="U186" s="278" t="str">
        <f>COUNTIFS([2]Errors!$B:$B, $C186, [2]Errors!$H:$H, U$1)</f>
        <v>#ERROR!</v>
      </c>
      <c r="V186" s="278" t="str">
        <f>COUNTIFS([2]Errors!$B:$B, $C186, [2]Errors!$H:$H, V$1)</f>
        <v>#ERROR!</v>
      </c>
      <c r="W186" s="278" t="str">
        <f>COUNTIFS([2]Errors!$B:$B, $C186, [2]Errors!$H:$H, W$1)</f>
        <v>#ERROR!</v>
      </c>
      <c r="X186" s="278" t="str">
        <f>COUNTIFS([2]Errors!$B:$B, $C186, [2]Errors!$H:$H, X$1)</f>
        <v>#ERROR!</v>
      </c>
    </row>
    <row r="187" ht="15.75" customHeight="1">
      <c r="A187" s="305">
        <v>0.0</v>
      </c>
      <c r="B187" s="325" t="str">
        <f>SourceData!K187</f>
        <v/>
      </c>
      <c r="C187" s="305" t="str">
        <f>SourceData!J186</f>
        <v/>
      </c>
      <c r="D187" s="298">
        <f>(COUNTIF(Errors!$B$3:$B$3010,'[1]Error Count Analysis'!C187))-((COUNTIFS(Errors!$B$3:$B$3010,'[1]Error Count Analysis'!C187, (Errors!$I$3:$I$3010),"TV*")))</f>
        <v>0</v>
      </c>
      <c r="E187" s="305" t="str">
        <f t="shared" si="1"/>
        <v>#DIV/0!</v>
      </c>
      <c r="F187" s="278" t="str">
        <f>COUNTIFS([2]Errors!$B:$B, $C187, [2]Errors!$H:$H, F$1)</f>
        <v>#ERROR!</v>
      </c>
      <c r="G187" s="278" t="str">
        <f>COUNTIFS([2]Errors!$B:$B, $C187, [2]Errors!$H:$H, G$1)</f>
        <v>#ERROR!</v>
      </c>
      <c r="H187" s="278" t="str">
        <f>COUNTIFS([2]Errors!$B:$B, $C187, [2]Errors!$H:$H, H$1)</f>
        <v>#ERROR!</v>
      </c>
      <c r="I187" s="278" t="str">
        <f>COUNTIFS([2]Errors!$B:$B, $C187, [2]Errors!$H:$H, I$1)</f>
        <v>#ERROR!</v>
      </c>
      <c r="J187" s="278" t="str">
        <f>COUNTIFS([2]Errors!$B:$B, $C187, [2]Errors!$H:$H, J$1)</f>
        <v>#ERROR!</v>
      </c>
      <c r="K187" s="278" t="str">
        <f>COUNTIFS([2]Errors!$B:$B, $C187, [2]Errors!$H:$H, K$1)</f>
        <v>#ERROR!</v>
      </c>
      <c r="L187" s="278" t="str">
        <f>COUNTIFS([2]Errors!$B:$B, $C187, [2]Errors!$H:$H, L$1)</f>
        <v>#ERROR!</v>
      </c>
      <c r="M187" s="278" t="str">
        <f>COUNTIFS([2]Errors!$B:$B, $C187, [2]Errors!$H:$H, M$1)</f>
        <v>#ERROR!</v>
      </c>
      <c r="N187" s="309">
        <f>COUNTIFS(Errors!$B:$B, $C187, Errors!$I:$I, N$1)</f>
        <v>0</v>
      </c>
      <c r="O187" s="278" t="str">
        <f>COUNTIFS([2]Errors!$B:$B, $C187, [2]Errors!$H:$H, O$1)</f>
        <v>#ERROR!</v>
      </c>
      <c r="P187" s="278" t="str">
        <f>COUNTIFS([2]Errors!$B:$B, $C187, [2]Errors!$H:$H, P$1)</f>
        <v>#ERROR!</v>
      </c>
      <c r="Q187" s="278" t="str">
        <f>COUNTIFS([2]Errors!$B:$B, $C187, [2]Errors!$H:$H, Q$1)</f>
        <v>#ERROR!</v>
      </c>
      <c r="R187" s="278" t="str">
        <f>COUNTIFS([2]Errors!$B:$B, $C187, [2]Errors!$H:$H, R$1)</f>
        <v>#ERROR!</v>
      </c>
      <c r="S187" s="278" t="str">
        <f>COUNTIFS([2]Errors!$B:$B, $C187, [2]Errors!$H:$H, S$1)</f>
        <v>#ERROR!</v>
      </c>
      <c r="T187" s="278" t="str">
        <f>COUNTIFS([2]Errors!$B:$B, $C187, [2]Errors!$H:$H, T$1)</f>
        <v>#ERROR!</v>
      </c>
      <c r="U187" s="278" t="str">
        <f>COUNTIFS([2]Errors!$B:$B, $C187, [2]Errors!$H:$H, U$1)</f>
        <v>#ERROR!</v>
      </c>
      <c r="V187" s="278" t="str">
        <f>COUNTIFS([2]Errors!$B:$B, $C187, [2]Errors!$H:$H, V$1)</f>
        <v>#ERROR!</v>
      </c>
      <c r="W187" s="278" t="str">
        <f>COUNTIFS([2]Errors!$B:$B, $C187, [2]Errors!$H:$H, W$1)</f>
        <v>#ERROR!</v>
      </c>
      <c r="X187" s="278" t="str">
        <f>COUNTIFS([2]Errors!$B:$B, $C187, [2]Errors!$H:$H, X$1)</f>
        <v>#ERROR!</v>
      </c>
    </row>
    <row r="188" ht="15.75" customHeight="1">
      <c r="A188" s="325">
        <v>0.0</v>
      </c>
      <c r="B188" s="325" t="str">
        <f>SourceData!K188</f>
        <v/>
      </c>
      <c r="C188" s="294" t="str">
        <f>SourceData!J186</f>
        <v/>
      </c>
      <c r="D188" s="298">
        <f>(COUNTIF(Errors!$B$3:$B$3010,'[1]Error Count Analysis'!C188))-((COUNTIFS(Errors!$B$3:$B$3010,'[1]Error Count Analysis'!C188, (Errors!$I$3:$I$3010),"TV*")))</f>
        <v>0</v>
      </c>
      <c r="E188" s="325" t="str">
        <f t="shared" si="1"/>
        <v>#DIV/0!</v>
      </c>
      <c r="F188" s="278" t="str">
        <f>COUNTIFS([2]Errors!$B:$B, $C188, [2]Errors!$H:$H, F$1)</f>
        <v>#ERROR!</v>
      </c>
      <c r="G188" s="278" t="str">
        <f>COUNTIFS([2]Errors!$B:$B, $C188, [2]Errors!$H:$H, G$1)</f>
        <v>#ERROR!</v>
      </c>
      <c r="H188" s="278" t="str">
        <f>COUNTIFS([2]Errors!$B:$B, $C188, [2]Errors!$H:$H, H$1)</f>
        <v>#ERROR!</v>
      </c>
      <c r="I188" s="278" t="str">
        <f>COUNTIFS([2]Errors!$B:$B, $C188, [2]Errors!$H:$H, I$1)</f>
        <v>#ERROR!</v>
      </c>
      <c r="J188" s="278" t="str">
        <f>COUNTIFS([2]Errors!$B:$B, $C188, [2]Errors!$H:$H, J$1)</f>
        <v>#ERROR!</v>
      </c>
      <c r="K188" s="278" t="str">
        <f>COUNTIFS([2]Errors!$B:$B, $C188, [2]Errors!$H:$H, K$1)</f>
        <v>#ERROR!</v>
      </c>
      <c r="L188" s="278" t="str">
        <f>COUNTIFS([2]Errors!$B:$B, $C188, [2]Errors!$H:$H, L$1)</f>
        <v>#ERROR!</v>
      </c>
      <c r="M188" s="278" t="str">
        <f>COUNTIFS([2]Errors!$B:$B, $C188, [2]Errors!$H:$H, M$1)</f>
        <v>#ERROR!</v>
      </c>
      <c r="N188" s="298">
        <f>COUNTIFS(Errors!$B:$B, $C188, Errors!$I:$I, N$1)</f>
        <v>0</v>
      </c>
      <c r="O188" s="278" t="str">
        <f>COUNTIFS([2]Errors!$B:$B, $C188, [2]Errors!$H:$H, O$1)</f>
        <v>#ERROR!</v>
      </c>
      <c r="P188" s="278" t="str">
        <f>COUNTIFS([2]Errors!$B:$B, $C188, [2]Errors!$H:$H, P$1)</f>
        <v>#ERROR!</v>
      </c>
      <c r="Q188" s="278" t="str">
        <f>COUNTIFS([2]Errors!$B:$B, $C188, [2]Errors!$H:$H, Q$1)</f>
        <v>#ERROR!</v>
      </c>
      <c r="R188" s="278" t="str">
        <f>COUNTIFS([2]Errors!$B:$B, $C188, [2]Errors!$H:$H, R$1)</f>
        <v>#ERROR!</v>
      </c>
      <c r="S188" s="278" t="str">
        <f>COUNTIFS([2]Errors!$B:$B, $C188, [2]Errors!$H:$H, S$1)</f>
        <v>#ERROR!</v>
      </c>
      <c r="T188" s="278" t="str">
        <f>COUNTIFS([2]Errors!$B:$B, $C188, [2]Errors!$H:$H, T$1)</f>
        <v>#ERROR!</v>
      </c>
      <c r="U188" s="278" t="str">
        <f>COUNTIFS([2]Errors!$B:$B, $C188, [2]Errors!$H:$H, U$1)</f>
        <v>#ERROR!</v>
      </c>
      <c r="V188" s="278" t="str">
        <f>COUNTIFS([2]Errors!$B:$B, $C188, [2]Errors!$H:$H, V$1)</f>
        <v>#ERROR!</v>
      </c>
      <c r="W188" s="278" t="str">
        <f>COUNTIFS([2]Errors!$B:$B, $C188, [2]Errors!$H:$H, W$1)</f>
        <v>#ERROR!</v>
      </c>
      <c r="X188" s="278" t="str">
        <f>COUNTIFS([2]Errors!$B:$B, $C188, [2]Errors!$H:$H, X$1)</f>
        <v>#ERROR!</v>
      </c>
    </row>
    <row r="189" ht="15.75" customHeight="1">
      <c r="A189" s="305">
        <v>0.0</v>
      </c>
      <c r="B189" s="325" t="str">
        <f>SourceData!K189</f>
        <v/>
      </c>
      <c r="C189" s="305" t="str">
        <f>SourceData!J188</f>
        <v/>
      </c>
      <c r="D189" s="298">
        <f>(COUNTIF(Errors!$B$3:$B$3010,'[1]Error Count Analysis'!C189))-((COUNTIFS(Errors!$B$3:$B$3010,'[1]Error Count Analysis'!C189, (Errors!$I$3:$I$3010),"TV*")))</f>
        <v>0</v>
      </c>
      <c r="E189" s="305" t="str">
        <f t="shared" si="1"/>
        <v>#DIV/0!</v>
      </c>
      <c r="F189" s="278" t="str">
        <f>COUNTIFS([2]Errors!$B:$B, $C189, [2]Errors!$H:$H, F$1)</f>
        <v>#ERROR!</v>
      </c>
      <c r="G189" s="278" t="str">
        <f>COUNTIFS([2]Errors!$B:$B, $C189, [2]Errors!$H:$H, G$1)</f>
        <v>#ERROR!</v>
      </c>
      <c r="H189" s="278" t="str">
        <f>COUNTIFS([2]Errors!$B:$B, $C189, [2]Errors!$H:$H, H$1)</f>
        <v>#ERROR!</v>
      </c>
      <c r="I189" s="278" t="str">
        <f>COUNTIFS([2]Errors!$B:$B, $C189, [2]Errors!$H:$H, I$1)</f>
        <v>#ERROR!</v>
      </c>
      <c r="J189" s="278" t="str">
        <f>COUNTIFS([2]Errors!$B:$B, $C189, [2]Errors!$H:$H, J$1)</f>
        <v>#ERROR!</v>
      </c>
      <c r="K189" s="278" t="str">
        <f>COUNTIFS([2]Errors!$B:$B, $C189, [2]Errors!$H:$H, K$1)</f>
        <v>#ERROR!</v>
      </c>
      <c r="L189" s="278" t="str">
        <f>COUNTIFS([2]Errors!$B:$B, $C189, [2]Errors!$H:$H, L$1)</f>
        <v>#ERROR!</v>
      </c>
      <c r="M189" s="278" t="str">
        <f>COUNTIFS([2]Errors!$B:$B, $C189, [2]Errors!$H:$H, M$1)</f>
        <v>#ERROR!</v>
      </c>
      <c r="N189" s="309">
        <f>COUNTIFS(Errors!$B:$B, $C189, Errors!$I:$I, N$1)</f>
        <v>0</v>
      </c>
      <c r="O189" s="278" t="str">
        <f>COUNTIFS([2]Errors!$B:$B, $C189, [2]Errors!$H:$H, O$1)</f>
        <v>#ERROR!</v>
      </c>
      <c r="P189" s="278" t="str">
        <f>COUNTIFS([2]Errors!$B:$B, $C189, [2]Errors!$H:$H, P$1)</f>
        <v>#ERROR!</v>
      </c>
      <c r="Q189" s="278" t="str">
        <f>COUNTIFS([2]Errors!$B:$B, $C189, [2]Errors!$H:$H, Q$1)</f>
        <v>#ERROR!</v>
      </c>
      <c r="R189" s="278" t="str">
        <f>COUNTIFS([2]Errors!$B:$B, $C189, [2]Errors!$H:$H, R$1)</f>
        <v>#ERROR!</v>
      </c>
      <c r="S189" s="278" t="str">
        <f>COUNTIFS([2]Errors!$B:$B, $C189, [2]Errors!$H:$H, S$1)</f>
        <v>#ERROR!</v>
      </c>
      <c r="T189" s="278" t="str">
        <f>COUNTIFS([2]Errors!$B:$B, $C189, [2]Errors!$H:$H, T$1)</f>
        <v>#ERROR!</v>
      </c>
      <c r="U189" s="278" t="str">
        <f>COUNTIFS([2]Errors!$B:$B, $C189, [2]Errors!$H:$H, U$1)</f>
        <v>#ERROR!</v>
      </c>
      <c r="V189" s="278" t="str">
        <f>COUNTIFS([2]Errors!$B:$B, $C189, [2]Errors!$H:$H, V$1)</f>
        <v>#ERROR!</v>
      </c>
      <c r="W189" s="278" t="str">
        <f>COUNTIFS([2]Errors!$B:$B, $C189, [2]Errors!$H:$H, W$1)</f>
        <v>#ERROR!</v>
      </c>
      <c r="X189" s="278" t="str">
        <f>COUNTIFS([2]Errors!$B:$B, $C189, [2]Errors!$H:$H, X$1)</f>
        <v>#ERROR!</v>
      </c>
    </row>
    <row r="190" ht="15.75" customHeight="1">
      <c r="A190" s="325">
        <v>0.0</v>
      </c>
      <c r="B190" s="325" t="str">
        <f>SourceData!K190</f>
        <v/>
      </c>
      <c r="C190" s="294" t="str">
        <f>SourceData!J188</f>
        <v/>
      </c>
      <c r="D190" s="298">
        <f>(COUNTIF(Errors!$B$3:$B$3010,'[1]Error Count Analysis'!C190))-((COUNTIFS(Errors!$B$3:$B$3010,'[1]Error Count Analysis'!C190, (Errors!$I$3:$I$3010),"TV*")))</f>
        <v>0</v>
      </c>
      <c r="E190" s="325" t="str">
        <f t="shared" si="1"/>
        <v>#DIV/0!</v>
      </c>
      <c r="F190" s="278" t="str">
        <f>COUNTIFS([2]Errors!$B:$B, $C190, [2]Errors!$H:$H, F$1)</f>
        <v>#ERROR!</v>
      </c>
      <c r="G190" s="278" t="str">
        <f>COUNTIFS([2]Errors!$B:$B, $C190, [2]Errors!$H:$H, G$1)</f>
        <v>#ERROR!</v>
      </c>
      <c r="H190" s="278" t="str">
        <f>COUNTIFS([2]Errors!$B:$B, $C190, [2]Errors!$H:$H, H$1)</f>
        <v>#ERROR!</v>
      </c>
      <c r="I190" s="278" t="str">
        <f>COUNTIFS([2]Errors!$B:$B, $C190, [2]Errors!$H:$H, I$1)</f>
        <v>#ERROR!</v>
      </c>
      <c r="J190" s="278" t="str">
        <f>COUNTIFS([2]Errors!$B:$B, $C190, [2]Errors!$H:$H, J$1)</f>
        <v>#ERROR!</v>
      </c>
      <c r="K190" s="278" t="str">
        <f>COUNTIFS([2]Errors!$B:$B, $C190, [2]Errors!$H:$H, K$1)</f>
        <v>#ERROR!</v>
      </c>
      <c r="L190" s="278" t="str">
        <f>COUNTIFS([2]Errors!$B:$B, $C190, [2]Errors!$H:$H, L$1)</f>
        <v>#ERROR!</v>
      </c>
      <c r="M190" s="278" t="str">
        <f>COUNTIFS([2]Errors!$B:$B, $C190, [2]Errors!$H:$H, M$1)</f>
        <v>#ERROR!</v>
      </c>
      <c r="N190" s="298">
        <f>COUNTIFS(Errors!$B:$B, $C190, Errors!$I:$I, N$1)</f>
        <v>0</v>
      </c>
      <c r="O190" s="278" t="str">
        <f>COUNTIFS([2]Errors!$B:$B, $C190, [2]Errors!$H:$H, O$1)</f>
        <v>#ERROR!</v>
      </c>
      <c r="P190" s="278" t="str">
        <f>COUNTIFS([2]Errors!$B:$B, $C190, [2]Errors!$H:$H, P$1)</f>
        <v>#ERROR!</v>
      </c>
      <c r="Q190" s="278" t="str">
        <f>COUNTIFS([2]Errors!$B:$B, $C190, [2]Errors!$H:$H, Q$1)</f>
        <v>#ERROR!</v>
      </c>
      <c r="R190" s="278" t="str">
        <f>COUNTIFS([2]Errors!$B:$B, $C190, [2]Errors!$H:$H, R$1)</f>
        <v>#ERROR!</v>
      </c>
      <c r="S190" s="278" t="str">
        <f>COUNTIFS([2]Errors!$B:$B, $C190, [2]Errors!$H:$H, S$1)</f>
        <v>#ERROR!</v>
      </c>
      <c r="T190" s="278" t="str">
        <f>COUNTIFS([2]Errors!$B:$B, $C190, [2]Errors!$H:$H, T$1)</f>
        <v>#ERROR!</v>
      </c>
      <c r="U190" s="278" t="str">
        <f>COUNTIFS([2]Errors!$B:$B, $C190, [2]Errors!$H:$H, U$1)</f>
        <v>#ERROR!</v>
      </c>
      <c r="V190" s="278" t="str">
        <f>COUNTIFS([2]Errors!$B:$B, $C190, [2]Errors!$H:$H, V$1)</f>
        <v>#ERROR!</v>
      </c>
      <c r="W190" s="278" t="str">
        <f>COUNTIFS([2]Errors!$B:$B, $C190, [2]Errors!$H:$H, W$1)</f>
        <v>#ERROR!</v>
      </c>
      <c r="X190" s="278" t="str">
        <f>COUNTIFS([2]Errors!$B:$B, $C190, [2]Errors!$H:$H, X$1)</f>
        <v>#ERROR!</v>
      </c>
    </row>
    <row r="191" ht="15.75" customHeight="1">
      <c r="A191" s="305">
        <v>0.0</v>
      </c>
      <c r="B191" s="325" t="str">
        <f>SourceData!K191</f>
        <v/>
      </c>
      <c r="C191" s="305" t="str">
        <f>SourceData!J190</f>
        <v/>
      </c>
      <c r="D191" s="298">
        <f>(COUNTIF(Errors!$B$3:$B$3010,'[1]Error Count Analysis'!C191))-((COUNTIFS(Errors!$B$3:$B$3010,'[1]Error Count Analysis'!C191, (Errors!$I$3:$I$3010),"TV*")))</f>
        <v>0</v>
      </c>
      <c r="E191" s="305" t="str">
        <f t="shared" si="1"/>
        <v>#DIV/0!</v>
      </c>
      <c r="F191" s="278" t="str">
        <f>COUNTIFS([2]Errors!$B:$B, $C191, [2]Errors!$H:$H, F$1)</f>
        <v>#ERROR!</v>
      </c>
      <c r="G191" s="278" t="str">
        <f>COUNTIFS([2]Errors!$B:$B, $C191, [2]Errors!$H:$H, G$1)</f>
        <v>#ERROR!</v>
      </c>
      <c r="H191" s="278" t="str">
        <f>COUNTIFS([2]Errors!$B:$B, $C191, [2]Errors!$H:$H, H$1)</f>
        <v>#ERROR!</v>
      </c>
      <c r="I191" s="278" t="str">
        <f>COUNTIFS([2]Errors!$B:$B, $C191, [2]Errors!$H:$H, I$1)</f>
        <v>#ERROR!</v>
      </c>
      <c r="J191" s="278" t="str">
        <f>COUNTIFS([2]Errors!$B:$B, $C191, [2]Errors!$H:$H, J$1)</f>
        <v>#ERROR!</v>
      </c>
      <c r="K191" s="278" t="str">
        <f>COUNTIFS([2]Errors!$B:$B, $C191, [2]Errors!$H:$H, K$1)</f>
        <v>#ERROR!</v>
      </c>
      <c r="L191" s="278" t="str">
        <f>COUNTIFS([2]Errors!$B:$B, $C191, [2]Errors!$H:$H, L$1)</f>
        <v>#ERROR!</v>
      </c>
      <c r="M191" s="278" t="str">
        <f>COUNTIFS([2]Errors!$B:$B, $C191, [2]Errors!$H:$H, M$1)</f>
        <v>#ERROR!</v>
      </c>
      <c r="N191" s="309">
        <f>COUNTIFS(Errors!$B:$B, $C191, Errors!$I:$I, N$1)</f>
        <v>0</v>
      </c>
      <c r="O191" s="278" t="str">
        <f>COUNTIFS([2]Errors!$B:$B, $C191, [2]Errors!$H:$H, O$1)</f>
        <v>#ERROR!</v>
      </c>
      <c r="P191" s="278" t="str">
        <f>COUNTIFS([2]Errors!$B:$B, $C191, [2]Errors!$H:$H, P$1)</f>
        <v>#ERROR!</v>
      </c>
      <c r="Q191" s="278" t="str">
        <f>COUNTIFS([2]Errors!$B:$B, $C191, [2]Errors!$H:$H, Q$1)</f>
        <v>#ERROR!</v>
      </c>
      <c r="R191" s="278" t="str">
        <f>COUNTIFS([2]Errors!$B:$B, $C191, [2]Errors!$H:$H, R$1)</f>
        <v>#ERROR!</v>
      </c>
      <c r="S191" s="278" t="str">
        <f>COUNTIFS([2]Errors!$B:$B, $C191, [2]Errors!$H:$H, S$1)</f>
        <v>#ERROR!</v>
      </c>
      <c r="T191" s="278" t="str">
        <f>COUNTIFS([2]Errors!$B:$B, $C191, [2]Errors!$H:$H, T$1)</f>
        <v>#ERROR!</v>
      </c>
      <c r="U191" s="278" t="str">
        <f>COUNTIFS([2]Errors!$B:$B, $C191, [2]Errors!$H:$H, U$1)</f>
        <v>#ERROR!</v>
      </c>
      <c r="V191" s="278" t="str">
        <f>COUNTIFS([2]Errors!$B:$B, $C191, [2]Errors!$H:$H, V$1)</f>
        <v>#ERROR!</v>
      </c>
      <c r="W191" s="278" t="str">
        <f>COUNTIFS([2]Errors!$B:$B, $C191, [2]Errors!$H:$H, W$1)</f>
        <v>#ERROR!</v>
      </c>
      <c r="X191" s="278" t="str">
        <f>COUNTIFS([2]Errors!$B:$B, $C191, [2]Errors!$H:$H, X$1)</f>
        <v>#ERROR!</v>
      </c>
    </row>
    <row r="192" ht="15.75" customHeight="1">
      <c r="A192" s="325">
        <v>0.0</v>
      </c>
      <c r="B192" s="325" t="str">
        <f>SourceData!K192</f>
        <v/>
      </c>
      <c r="C192" s="294" t="str">
        <f>SourceData!J190</f>
        <v/>
      </c>
      <c r="D192" s="298">
        <f>(COUNTIF(Errors!$B$3:$B$3010,'[1]Error Count Analysis'!C192))-((COUNTIFS(Errors!$B$3:$B$3010,'[1]Error Count Analysis'!C192, (Errors!$I$3:$I$3010),"TV*")))</f>
        <v>0</v>
      </c>
      <c r="E192" s="325" t="str">
        <f t="shared" si="1"/>
        <v>#DIV/0!</v>
      </c>
      <c r="F192" s="278" t="str">
        <f>COUNTIFS([2]Errors!$B:$B, $C192, [2]Errors!$H:$H, F$1)</f>
        <v>#ERROR!</v>
      </c>
      <c r="G192" s="278" t="str">
        <f>COUNTIFS([2]Errors!$B:$B, $C192, [2]Errors!$H:$H, G$1)</f>
        <v>#ERROR!</v>
      </c>
      <c r="H192" s="278" t="str">
        <f>COUNTIFS([2]Errors!$B:$B, $C192, [2]Errors!$H:$H, H$1)</f>
        <v>#ERROR!</v>
      </c>
      <c r="I192" s="278" t="str">
        <f>COUNTIFS([2]Errors!$B:$B, $C192, [2]Errors!$H:$H, I$1)</f>
        <v>#ERROR!</v>
      </c>
      <c r="J192" s="278" t="str">
        <f>COUNTIFS([2]Errors!$B:$B, $C192, [2]Errors!$H:$H, J$1)</f>
        <v>#ERROR!</v>
      </c>
      <c r="K192" s="278" t="str">
        <f>COUNTIFS([2]Errors!$B:$B, $C192, [2]Errors!$H:$H, K$1)</f>
        <v>#ERROR!</v>
      </c>
      <c r="L192" s="278" t="str">
        <f>COUNTIFS([2]Errors!$B:$B, $C192, [2]Errors!$H:$H, L$1)</f>
        <v>#ERROR!</v>
      </c>
      <c r="M192" s="278" t="str">
        <f>COUNTIFS([2]Errors!$B:$B, $C192, [2]Errors!$H:$H, M$1)</f>
        <v>#ERROR!</v>
      </c>
      <c r="N192" s="298">
        <f>COUNTIFS(Errors!$B:$B, $C192, Errors!$I:$I, N$1)</f>
        <v>0</v>
      </c>
      <c r="O192" s="278" t="str">
        <f>COUNTIFS([2]Errors!$B:$B, $C192, [2]Errors!$H:$H, O$1)</f>
        <v>#ERROR!</v>
      </c>
      <c r="P192" s="278" t="str">
        <f>COUNTIFS([2]Errors!$B:$B, $C192, [2]Errors!$H:$H, P$1)</f>
        <v>#ERROR!</v>
      </c>
      <c r="Q192" s="278" t="str">
        <f>COUNTIFS([2]Errors!$B:$B, $C192, [2]Errors!$H:$H, Q$1)</f>
        <v>#ERROR!</v>
      </c>
      <c r="R192" s="278" t="str">
        <f>COUNTIFS([2]Errors!$B:$B, $C192, [2]Errors!$H:$H, R$1)</f>
        <v>#ERROR!</v>
      </c>
      <c r="S192" s="278" t="str">
        <f>COUNTIFS([2]Errors!$B:$B, $C192, [2]Errors!$H:$H, S$1)</f>
        <v>#ERROR!</v>
      </c>
      <c r="T192" s="278" t="str">
        <f>COUNTIFS([2]Errors!$B:$B, $C192, [2]Errors!$H:$H, T$1)</f>
        <v>#ERROR!</v>
      </c>
      <c r="U192" s="278" t="str">
        <f>COUNTIFS([2]Errors!$B:$B, $C192, [2]Errors!$H:$H, U$1)</f>
        <v>#ERROR!</v>
      </c>
      <c r="V192" s="278" t="str">
        <f>COUNTIFS([2]Errors!$B:$B, $C192, [2]Errors!$H:$H, V$1)</f>
        <v>#ERROR!</v>
      </c>
      <c r="W192" s="278" t="str">
        <f>COUNTIFS([2]Errors!$B:$B, $C192, [2]Errors!$H:$H, W$1)</f>
        <v>#ERROR!</v>
      </c>
      <c r="X192" s="278" t="str">
        <f>COUNTIFS([2]Errors!$B:$B, $C192, [2]Errors!$H:$H, X$1)</f>
        <v>#ERROR!</v>
      </c>
    </row>
    <row r="193" ht="15.75" customHeight="1">
      <c r="A193" s="305">
        <v>0.0</v>
      </c>
      <c r="B193" s="325" t="str">
        <f>SourceData!K193</f>
        <v/>
      </c>
      <c r="C193" s="305" t="str">
        <f>SourceData!J192</f>
        <v/>
      </c>
      <c r="D193" s="298">
        <f>(COUNTIF(Errors!$B$3:$B$3010,'[1]Error Count Analysis'!C193))-((COUNTIFS(Errors!$B$3:$B$3010,'[1]Error Count Analysis'!C193, (Errors!$I$3:$I$3010),"TV*")))</f>
        <v>0</v>
      </c>
      <c r="E193" s="305" t="str">
        <f t="shared" si="1"/>
        <v>#DIV/0!</v>
      </c>
      <c r="F193" s="278" t="str">
        <f>COUNTIFS([2]Errors!$B:$B, $C193, [2]Errors!$H:$H, F$1)</f>
        <v>#ERROR!</v>
      </c>
      <c r="G193" s="278" t="str">
        <f>COUNTIFS([2]Errors!$B:$B, $C193, [2]Errors!$H:$H, G$1)</f>
        <v>#ERROR!</v>
      </c>
      <c r="H193" s="278" t="str">
        <f>COUNTIFS([2]Errors!$B:$B, $C193, [2]Errors!$H:$H, H$1)</f>
        <v>#ERROR!</v>
      </c>
      <c r="I193" s="278" t="str">
        <f>COUNTIFS([2]Errors!$B:$B, $C193, [2]Errors!$H:$H, I$1)</f>
        <v>#ERROR!</v>
      </c>
      <c r="J193" s="278" t="str">
        <f>COUNTIFS([2]Errors!$B:$B, $C193, [2]Errors!$H:$H, J$1)</f>
        <v>#ERROR!</v>
      </c>
      <c r="K193" s="278" t="str">
        <f>COUNTIFS([2]Errors!$B:$B, $C193, [2]Errors!$H:$H, K$1)</f>
        <v>#ERROR!</v>
      </c>
      <c r="L193" s="278" t="str">
        <f>COUNTIFS([2]Errors!$B:$B, $C193, [2]Errors!$H:$H, L$1)</f>
        <v>#ERROR!</v>
      </c>
      <c r="M193" s="278" t="str">
        <f>COUNTIFS([2]Errors!$B:$B, $C193, [2]Errors!$H:$H, M$1)</f>
        <v>#ERROR!</v>
      </c>
      <c r="N193" s="309">
        <f>COUNTIFS(Errors!$B:$B, $C193, Errors!$I:$I, N$1)</f>
        <v>0</v>
      </c>
      <c r="O193" s="278" t="str">
        <f>COUNTIFS([2]Errors!$B:$B, $C193, [2]Errors!$H:$H, O$1)</f>
        <v>#ERROR!</v>
      </c>
      <c r="P193" s="278" t="str">
        <f>COUNTIFS([2]Errors!$B:$B, $C193, [2]Errors!$H:$H, P$1)</f>
        <v>#ERROR!</v>
      </c>
      <c r="Q193" s="278" t="str">
        <f>COUNTIFS([2]Errors!$B:$B, $C193, [2]Errors!$H:$H, Q$1)</f>
        <v>#ERROR!</v>
      </c>
      <c r="R193" s="278" t="str">
        <f>COUNTIFS([2]Errors!$B:$B, $C193, [2]Errors!$H:$H, R$1)</f>
        <v>#ERROR!</v>
      </c>
      <c r="S193" s="278" t="str">
        <f>COUNTIFS([2]Errors!$B:$B, $C193, [2]Errors!$H:$H, S$1)</f>
        <v>#ERROR!</v>
      </c>
      <c r="T193" s="278" t="str">
        <f>COUNTIFS([2]Errors!$B:$B, $C193, [2]Errors!$H:$H, T$1)</f>
        <v>#ERROR!</v>
      </c>
      <c r="U193" s="278" t="str">
        <f>COUNTIFS([2]Errors!$B:$B, $C193, [2]Errors!$H:$H, U$1)</f>
        <v>#ERROR!</v>
      </c>
      <c r="V193" s="278" t="str">
        <f>COUNTIFS([2]Errors!$B:$B, $C193, [2]Errors!$H:$H, V$1)</f>
        <v>#ERROR!</v>
      </c>
      <c r="W193" s="278" t="str">
        <f>COUNTIFS([2]Errors!$B:$B, $C193, [2]Errors!$H:$H, W$1)</f>
        <v>#ERROR!</v>
      </c>
      <c r="X193" s="278" t="str">
        <f>COUNTIFS([2]Errors!$B:$B, $C193, [2]Errors!$H:$H, X$1)</f>
        <v>#ERROR!</v>
      </c>
    </row>
    <row r="194" ht="15.75" customHeight="1">
      <c r="A194" s="325">
        <v>0.0</v>
      </c>
      <c r="B194" s="325" t="str">
        <f>SourceData!K194</f>
        <v/>
      </c>
      <c r="C194" s="294" t="str">
        <f>SourceData!J192</f>
        <v/>
      </c>
      <c r="D194" s="298">
        <f>(COUNTIF(Errors!$B$3:$B$3010,'[1]Error Count Analysis'!C194))-((COUNTIFS(Errors!$B$3:$B$3010,'[1]Error Count Analysis'!C194, (Errors!$I$3:$I$3010),"TV*")))</f>
        <v>0</v>
      </c>
      <c r="E194" s="325" t="str">
        <f t="shared" si="1"/>
        <v>#DIV/0!</v>
      </c>
      <c r="F194" s="278" t="str">
        <f>COUNTIFS([2]Errors!$B:$B, $C194, [2]Errors!$H:$H, F$1)</f>
        <v>#ERROR!</v>
      </c>
      <c r="G194" s="278" t="str">
        <f>COUNTIFS([2]Errors!$B:$B, $C194, [2]Errors!$H:$H, G$1)</f>
        <v>#ERROR!</v>
      </c>
      <c r="H194" s="278" t="str">
        <f>COUNTIFS([2]Errors!$B:$B, $C194, [2]Errors!$H:$H, H$1)</f>
        <v>#ERROR!</v>
      </c>
      <c r="I194" s="278" t="str">
        <f>COUNTIFS([2]Errors!$B:$B, $C194, [2]Errors!$H:$H, I$1)</f>
        <v>#ERROR!</v>
      </c>
      <c r="J194" s="278" t="str">
        <f>COUNTIFS([2]Errors!$B:$B, $C194, [2]Errors!$H:$H, J$1)</f>
        <v>#ERROR!</v>
      </c>
      <c r="K194" s="278" t="str">
        <f>COUNTIFS([2]Errors!$B:$B, $C194, [2]Errors!$H:$H, K$1)</f>
        <v>#ERROR!</v>
      </c>
      <c r="L194" s="278" t="str">
        <f>COUNTIFS([2]Errors!$B:$B, $C194, [2]Errors!$H:$H, L$1)</f>
        <v>#ERROR!</v>
      </c>
      <c r="M194" s="278" t="str">
        <f>COUNTIFS([2]Errors!$B:$B, $C194, [2]Errors!$H:$H, M$1)</f>
        <v>#ERROR!</v>
      </c>
      <c r="N194" s="298">
        <f>COUNTIFS(Errors!$B:$B, $C194, Errors!$I:$I, N$1)</f>
        <v>0</v>
      </c>
      <c r="O194" s="278" t="str">
        <f>COUNTIFS([2]Errors!$B:$B, $C194, [2]Errors!$H:$H, O$1)</f>
        <v>#ERROR!</v>
      </c>
      <c r="P194" s="278" t="str">
        <f>COUNTIFS([2]Errors!$B:$B, $C194, [2]Errors!$H:$H, P$1)</f>
        <v>#ERROR!</v>
      </c>
      <c r="Q194" s="278" t="str">
        <f>COUNTIFS([2]Errors!$B:$B, $C194, [2]Errors!$H:$H, Q$1)</f>
        <v>#ERROR!</v>
      </c>
      <c r="R194" s="278" t="str">
        <f>COUNTIFS([2]Errors!$B:$B, $C194, [2]Errors!$H:$H, R$1)</f>
        <v>#ERROR!</v>
      </c>
      <c r="S194" s="278" t="str">
        <f>COUNTIFS([2]Errors!$B:$B, $C194, [2]Errors!$H:$H, S$1)</f>
        <v>#ERROR!</v>
      </c>
      <c r="T194" s="278" t="str">
        <f>COUNTIFS([2]Errors!$B:$B, $C194, [2]Errors!$H:$H, T$1)</f>
        <v>#ERROR!</v>
      </c>
      <c r="U194" s="278" t="str">
        <f>COUNTIFS([2]Errors!$B:$B, $C194, [2]Errors!$H:$H, U$1)</f>
        <v>#ERROR!</v>
      </c>
      <c r="V194" s="278" t="str">
        <f>COUNTIFS([2]Errors!$B:$B, $C194, [2]Errors!$H:$H, V$1)</f>
        <v>#ERROR!</v>
      </c>
      <c r="W194" s="278" t="str">
        <f>COUNTIFS([2]Errors!$B:$B, $C194, [2]Errors!$H:$H, W$1)</f>
        <v>#ERROR!</v>
      </c>
      <c r="X194" s="278" t="str">
        <f>COUNTIFS([2]Errors!$B:$B, $C194, [2]Errors!$H:$H, X$1)</f>
        <v>#ERROR!</v>
      </c>
    </row>
    <row r="195" ht="15.75" customHeight="1">
      <c r="A195" s="305">
        <v>0.0</v>
      </c>
      <c r="B195" s="325" t="str">
        <f>SourceData!K195</f>
        <v/>
      </c>
      <c r="C195" s="305" t="str">
        <f>SourceData!J194</f>
        <v/>
      </c>
      <c r="D195" s="298">
        <f>(COUNTIF(Errors!$B$3:$B$3010,'[1]Error Count Analysis'!C195))-((COUNTIFS(Errors!$B$3:$B$3010,'[1]Error Count Analysis'!C195, (Errors!$I$3:$I$3010),"TV*")))</f>
        <v>0</v>
      </c>
      <c r="E195" s="305" t="str">
        <f t="shared" si="1"/>
        <v>#DIV/0!</v>
      </c>
      <c r="F195" s="278" t="str">
        <f>COUNTIFS([2]Errors!$B:$B, $C195, [2]Errors!$H:$H, F$1)</f>
        <v>#ERROR!</v>
      </c>
      <c r="G195" s="278" t="str">
        <f>COUNTIFS([2]Errors!$B:$B, $C195, [2]Errors!$H:$H, G$1)</f>
        <v>#ERROR!</v>
      </c>
      <c r="H195" s="278" t="str">
        <f>COUNTIFS([2]Errors!$B:$B, $C195, [2]Errors!$H:$H, H$1)</f>
        <v>#ERROR!</v>
      </c>
      <c r="I195" s="278" t="str">
        <f>COUNTIFS([2]Errors!$B:$B, $C195, [2]Errors!$H:$H, I$1)</f>
        <v>#ERROR!</v>
      </c>
      <c r="J195" s="278" t="str">
        <f>COUNTIFS([2]Errors!$B:$B, $C195, [2]Errors!$H:$H, J$1)</f>
        <v>#ERROR!</v>
      </c>
      <c r="K195" s="278" t="str">
        <f>COUNTIFS([2]Errors!$B:$B, $C195, [2]Errors!$H:$H, K$1)</f>
        <v>#ERROR!</v>
      </c>
      <c r="L195" s="278" t="str">
        <f>COUNTIFS([2]Errors!$B:$B, $C195, [2]Errors!$H:$H, L$1)</f>
        <v>#ERROR!</v>
      </c>
      <c r="M195" s="278" t="str">
        <f>COUNTIFS([2]Errors!$B:$B, $C195, [2]Errors!$H:$H, M$1)</f>
        <v>#ERROR!</v>
      </c>
      <c r="N195" s="309">
        <f>COUNTIFS(Errors!$B:$B, $C195, Errors!$I:$I, N$1)</f>
        <v>0</v>
      </c>
      <c r="O195" s="278" t="str">
        <f>COUNTIFS([2]Errors!$B:$B, $C195, [2]Errors!$H:$H, O$1)</f>
        <v>#ERROR!</v>
      </c>
      <c r="P195" s="278" t="str">
        <f>COUNTIFS([2]Errors!$B:$B, $C195, [2]Errors!$H:$H, P$1)</f>
        <v>#ERROR!</v>
      </c>
      <c r="Q195" s="278" t="str">
        <f>COUNTIFS([2]Errors!$B:$B, $C195, [2]Errors!$H:$H, Q$1)</f>
        <v>#ERROR!</v>
      </c>
      <c r="R195" s="278" t="str">
        <f>COUNTIFS([2]Errors!$B:$B, $C195, [2]Errors!$H:$H, R$1)</f>
        <v>#ERROR!</v>
      </c>
      <c r="S195" s="278" t="str">
        <f>COUNTIFS([2]Errors!$B:$B, $C195, [2]Errors!$H:$H, S$1)</f>
        <v>#ERROR!</v>
      </c>
      <c r="T195" s="278" t="str">
        <f>COUNTIFS([2]Errors!$B:$B, $C195, [2]Errors!$H:$H, T$1)</f>
        <v>#ERROR!</v>
      </c>
      <c r="U195" s="278" t="str">
        <f>COUNTIFS([2]Errors!$B:$B, $C195, [2]Errors!$H:$H, U$1)</f>
        <v>#ERROR!</v>
      </c>
      <c r="V195" s="278" t="str">
        <f>COUNTIFS([2]Errors!$B:$B, $C195, [2]Errors!$H:$H, V$1)</f>
        <v>#ERROR!</v>
      </c>
      <c r="W195" s="278" t="str">
        <f>COUNTIFS([2]Errors!$B:$B, $C195, [2]Errors!$H:$H, W$1)</f>
        <v>#ERROR!</v>
      </c>
      <c r="X195" s="278" t="str">
        <f>COUNTIFS([2]Errors!$B:$B, $C195, [2]Errors!$H:$H, X$1)</f>
        <v>#ERROR!</v>
      </c>
    </row>
    <row r="196" ht="15.75" customHeight="1">
      <c r="A196" s="325">
        <v>0.0</v>
      </c>
      <c r="B196" s="325" t="str">
        <f>SourceData!K196</f>
        <v/>
      </c>
      <c r="C196" s="294" t="str">
        <f>SourceData!J194</f>
        <v/>
      </c>
      <c r="D196" s="298">
        <f>(COUNTIF(Errors!$B$3:$B$3010,'[1]Error Count Analysis'!C196))-((COUNTIFS(Errors!$B$3:$B$3010,'[1]Error Count Analysis'!C196, (Errors!$I$3:$I$3010),"TV*")))</f>
        <v>0</v>
      </c>
      <c r="E196" s="325" t="str">
        <f t="shared" si="1"/>
        <v>#DIV/0!</v>
      </c>
      <c r="F196" s="278" t="str">
        <f>COUNTIFS([2]Errors!$B:$B, $C196, [2]Errors!$H:$H, F$1)</f>
        <v>#ERROR!</v>
      </c>
      <c r="G196" s="278" t="str">
        <f>COUNTIFS([2]Errors!$B:$B, $C196, [2]Errors!$H:$H, G$1)</f>
        <v>#ERROR!</v>
      </c>
      <c r="H196" s="278" t="str">
        <f>COUNTIFS([2]Errors!$B:$B, $C196, [2]Errors!$H:$H, H$1)</f>
        <v>#ERROR!</v>
      </c>
      <c r="I196" s="278" t="str">
        <f>COUNTIFS([2]Errors!$B:$B, $C196, [2]Errors!$H:$H, I$1)</f>
        <v>#ERROR!</v>
      </c>
      <c r="J196" s="278" t="str">
        <f>COUNTIFS([2]Errors!$B:$B, $C196, [2]Errors!$H:$H, J$1)</f>
        <v>#ERROR!</v>
      </c>
      <c r="K196" s="278" t="str">
        <f>COUNTIFS([2]Errors!$B:$B, $C196, [2]Errors!$H:$H, K$1)</f>
        <v>#ERROR!</v>
      </c>
      <c r="L196" s="278" t="str">
        <f>COUNTIFS([2]Errors!$B:$B, $C196, [2]Errors!$H:$H, L$1)</f>
        <v>#ERROR!</v>
      </c>
      <c r="M196" s="278" t="str">
        <f>COUNTIFS([2]Errors!$B:$B, $C196, [2]Errors!$H:$H, M$1)</f>
        <v>#ERROR!</v>
      </c>
      <c r="N196" s="298">
        <f>COUNTIFS(Errors!$B:$B, $C196, Errors!$I:$I, N$1)</f>
        <v>0</v>
      </c>
      <c r="O196" s="278" t="str">
        <f>COUNTIFS([2]Errors!$B:$B, $C196, [2]Errors!$H:$H, O$1)</f>
        <v>#ERROR!</v>
      </c>
      <c r="P196" s="278" t="str">
        <f>COUNTIFS([2]Errors!$B:$B, $C196, [2]Errors!$H:$H, P$1)</f>
        <v>#ERROR!</v>
      </c>
      <c r="Q196" s="278" t="str">
        <f>COUNTIFS([2]Errors!$B:$B, $C196, [2]Errors!$H:$H, Q$1)</f>
        <v>#ERROR!</v>
      </c>
      <c r="R196" s="278" t="str">
        <f>COUNTIFS([2]Errors!$B:$B, $C196, [2]Errors!$H:$H, R$1)</f>
        <v>#ERROR!</v>
      </c>
      <c r="S196" s="278" t="str">
        <f>COUNTIFS([2]Errors!$B:$B, $C196, [2]Errors!$H:$H, S$1)</f>
        <v>#ERROR!</v>
      </c>
      <c r="T196" s="278" t="str">
        <f>COUNTIFS([2]Errors!$B:$B, $C196, [2]Errors!$H:$H, T$1)</f>
        <v>#ERROR!</v>
      </c>
      <c r="U196" s="278" t="str">
        <f>COUNTIFS([2]Errors!$B:$B, $C196, [2]Errors!$H:$H, U$1)</f>
        <v>#ERROR!</v>
      </c>
      <c r="V196" s="278" t="str">
        <f>COUNTIFS([2]Errors!$B:$B, $C196, [2]Errors!$H:$H, V$1)</f>
        <v>#ERROR!</v>
      </c>
      <c r="W196" s="278" t="str">
        <f>COUNTIFS([2]Errors!$B:$B, $C196, [2]Errors!$H:$H, W$1)</f>
        <v>#ERROR!</v>
      </c>
      <c r="X196" s="278" t="str">
        <f>COUNTIFS([2]Errors!$B:$B, $C196, [2]Errors!$H:$H, X$1)</f>
        <v>#ERROR!</v>
      </c>
    </row>
    <row r="197" ht="15.75" customHeight="1">
      <c r="A197" s="305">
        <v>0.0</v>
      </c>
      <c r="B197" s="325" t="str">
        <f>SourceData!K197</f>
        <v/>
      </c>
      <c r="C197" s="305" t="str">
        <f>SourceData!J196</f>
        <v/>
      </c>
      <c r="D197" s="298">
        <f>(COUNTIF(Errors!$B$3:$B$3010,'[1]Error Count Analysis'!C197))-((COUNTIFS(Errors!$B$3:$B$3010,'[1]Error Count Analysis'!C197, (Errors!$I$3:$I$3010),"TV*")))</f>
        <v>0</v>
      </c>
      <c r="E197" s="305" t="str">
        <f t="shared" si="1"/>
        <v>#DIV/0!</v>
      </c>
      <c r="F197" s="278" t="str">
        <f>COUNTIFS([2]Errors!$B:$B, $C197, [2]Errors!$H:$H, F$1)</f>
        <v>#ERROR!</v>
      </c>
      <c r="G197" s="278" t="str">
        <f>COUNTIFS([2]Errors!$B:$B, $C197, [2]Errors!$H:$H, G$1)</f>
        <v>#ERROR!</v>
      </c>
      <c r="H197" s="278" t="str">
        <f>COUNTIFS([2]Errors!$B:$B, $C197, [2]Errors!$H:$H, H$1)</f>
        <v>#ERROR!</v>
      </c>
      <c r="I197" s="278" t="str">
        <f>COUNTIFS([2]Errors!$B:$B, $C197, [2]Errors!$H:$H, I$1)</f>
        <v>#ERROR!</v>
      </c>
      <c r="J197" s="278" t="str">
        <f>COUNTIFS([2]Errors!$B:$B, $C197, [2]Errors!$H:$H, J$1)</f>
        <v>#ERROR!</v>
      </c>
      <c r="K197" s="278" t="str">
        <f>COUNTIFS([2]Errors!$B:$B, $C197, [2]Errors!$H:$H, K$1)</f>
        <v>#ERROR!</v>
      </c>
      <c r="L197" s="278" t="str">
        <f>COUNTIFS([2]Errors!$B:$B, $C197, [2]Errors!$H:$H, L$1)</f>
        <v>#ERROR!</v>
      </c>
      <c r="M197" s="278" t="str">
        <f>COUNTIFS([2]Errors!$B:$B, $C197, [2]Errors!$H:$H, M$1)</f>
        <v>#ERROR!</v>
      </c>
      <c r="N197" s="309">
        <f>COUNTIFS(Errors!$B:$B, $C197, Errors!$I:$I, N$1)</f>
        <v>0</v>
      </c>
      <c r="O197" s="278" t="str">
        <f>COUNTIFS([2]Errors!$B:$B, $C197, [2]Errors!$H:$H, O$1)</f>
        <v>#ERROR!</v>
      </c>
      <c r="P197" s="278" t="str">
        <f>COUNTIFS([2]Errors!$B:$B, $C197, [2]Errors!$H:$H, P$1)</f>
        <v>#ERROR!</v>
      </c>
      <c r="Q197" s="278" t="str">
        <f>COUNTIFS([2]Errors!$B:$B, $C197, [2]Errors!$H:$H, Q$1)</f>
        <v>#ERROR!</v>
      </c>
      <c r="R197" s="278" t="str">
        <f>COUNTIFS([2]Errors!$B:$B, $C197, [2]Errors!$H:$H, R$1)</f>
        <v>#ERROR!</v>
      </c>
      <c r="S197" s="278" t="str">
        <f>COUNTIFS([2]Errors!$B:$B, $C197, [2]Errors!$H:$H, S$1)</f>
        <v>#ERROR!</v>
      </c>
      <c r="T197" s="278" t="str">
        <f>COUNTIFS([2]Errors!$B:$B, $C197, [2]Errors!$H:$H, T$1)</f>
        <v>#ERROR!</v>
      </c>
      <c r="U197" s="278" t="str">
        <f>COUNTIFS([2]Errors!$B:$B, $C197, [2]Errors!$H:$H, U$1)</f>
        <v>#ERROR!</v>
      </c>
      <c r="V197" s="278" t="str">
        <f>COUNTIFS([2]Errors!$B:$B, $C197, [2]Errors!$H:$H, V$1)</f>
        <v>#ERROR!</v>
      </c>
      <c r="W197" s="278" t="str">
        <f>COUNTIFS([2]Errors!$B:$B, $C197, [2]Errors!$H:$H, W$1)</f>
        <v>#ERROR!</v>
      </c>
      <c r="X197" s="278" t="str">
        <f>COUNTIFS([2]Errors!$B:$B, $C197, [2]Errors!$H:$H, X$1)</f>
        <v>#ERROR!</v>
      </c>
    </row>
    <row r="198" ht="15.75" customHeight="1">
      <c r="A198" s="325">
        <v>0.0</v>
      </c>
      <c r="B198" s="325" t="str">
        <f>SourceData!K198</f>
        <v/>
      </c>
      <c r="C198" s="294" t="str">
        <f>SourceData!J196</f>
        <v/>
      </c>
      <c r="D198" s="298">
        <f>(COUNTIF(Errors!$B$3:$B$3010,'[1]Error Count Analysis'!C198))-((COUNTIFS(Errors!$B$3:$B$3010,'[1]Error Count Analysis'!C198, (Errors!$I$3:$I$3010),"TV*")))</f>
        <v>0</v>
      </c>
      <c r="E198" s="325" t="str">
        <f t="shared" si="1"/>
        <v>#DIV/0!</v>
      </c>
      <c r="F198" s="278" t="str">
        <f>COUNTIFS([2]Errors!$B:$B, $C198, [2]Errors!$H:$H, F$1)</f>
        <v>#ERROR!</v>
      </c>
      <c r="G198" s="278" t="str">
        <f>COUNTIFS([2]Errors!$B:$B, $C198, [2]Errors!$H:$H, G$1)</f>
        <v>#ERROR!</v>
      </c>
      <c r="H198" s="278" t="str">
        <f>COUNTIFS([2]Errors!$B:$B, $C198, [2]Errors!$H:$H, H$1)</f>
        <v>#ERROR!</v>
      </c>
      <c r="I198" s="278" t="str">
        <f>COUNTIFS([2]Errors!$B:$B, $C198, [2]Errors!$H:$H, I$1)</f>
        <v>#ERROR!</v>
      </c>
      <c r="J198" s="278" t="str">
        <f>COUNTIFS([2]Errors!$B:$B, $C198, [2]Errors!$H:$H, J$1)</f>
        <v>#ERROR!</v>
      </c>
      <c r="K198" s="278" t="str">
        <f>COUNTIFS([2]Errors!$B:$B, $C198, [2]Errors!$H:$H, K$1)</f>
        <v>#ERROR!</v>
      </c>
      <c r="L198" s="278" t="str">
        <f>COUNTIFS([2]Errors!$B:$B, $C198, [2]Errors!$H:$H, L$1)</f>
        <v>#ERROR!</v>
      </c>
      <c r="M198" s="278" t="str">
        <f>COUNTIFS([2]Errors!$B:$B, $C198, [2]Errors!$H:$H, M$1)</f>
        <v>#ERROR!</v>
      </c>
      <c r="N198" s="298">
        <f>COUNTIFS(Errors!$B:$B, $C198, Errors!$I:$I, N$1)</f>
        <v>0</v>
      </c>
      <c r="O198" s="278" t="str">
        <f>COUNTIFS([2]Errors!$B:$B, $C198, [2]Errors!$H:$H, O$1)</f>
        <v>#ERROR!</v>
      </c>
      <c r="P198" s="278" t="str">
        <f>COUNTIFS([2]Errors!$B:$B, $C198, [2]Errors!$H:$H, P$1)</f>
        <v>#ERROR!</v>
      </c>
      <c r="Q198" s="278" t="str">
        <f>COUNTIFS([2]Errors!$B:$B, $C198, [2]Errors!$H:$H, Q$1)</f>
        <v>#ERROR!</v>
      </c>
      <c r="R198" s="278" t="str">
        <f>COUNTIFS([2]Errors!$B:$B, $C198, [2]Errors!$H:$H, R$1)</f>
        <v>#ERROR!</v>
      </c>
      <c r="S198" s="278" t="str">
        <f>COUNTIFS([2]Errors!$B:$B, $C198, [2]Errors!$H:$H, S$1)</f>
        <v>#ERROR!</v>
      </c>
      <c r="T198" s="278" t="str">
        <f>COUNTIFS([2]Errors!$B:$B, $C198, [2]Errors!$H:$H, T$1)</f>
        <v>#ERROR!</v>
      </c>
      <c r="U198" s="278" t="str">
        <f>COUNTIFS([2]Errors!$B:$B, $C198, [2]Errors!$H:$H, U$1)</f>
        <v>#ERROR!</v>
      </c>
      <c r="V198" s="278" t="str">
        <f>COUNTIFS([2]Errors!$B:$B, $C198, [2]Errors!$H:$H, V$1)</f>
        <v>#ERROR!</v>
      </c>
      <c r="W198" s="278" t="str">
        <f>COUNTIFS([2]Errors!$B:$B, $C198, [2]Errors!$H:$H, W$1)</f>
        <v>#ERROR!</v>
      </c>
      <c r="X198" s="278" t="str">
        <f>COUNTIFS([2]Errors!$B:$B, $C198, [2]Errors!$H:$H, X$1)</f>
        <v>#ERROR!</v>
      </c>
    </row>
    <row r="199" ht="15.75" customHeight="1">
      <c r="A199" s="305">
        <v>0.0</v>
      </c>
      <c r="B199" s="325" t="str">
        <f>SourceData!K199</f>
        <v/>
      </c>
      <c r="C199" s="305" t="str">
        <f>SourceData!J198</f>
        <v/>
      </c>
      <c r="D199" s="298">
        <f>(COUNTIF(Errors!$B$3:$B$3010,'[1]Error Count Analysis'!C199))-((COUNTIFS(Errors!$B$3:$B$3010,'[1]Error Count Analysis'!C199, (Errors!$I$3:$I$3010),"TV*")))</f>
        <v>0</v>
      </c>
      <c r="E199" s="305" t="str">
        <f t="shared" si="1"/>
        <v>#DIV/0!</v>
      </c>
      <c r="F199" s="278" t="str">
        <f>COUNTIFS([2]Errors!$B:$B, $C199, [2]Errors!$H:$H, F$1)</f>
        <v>#ERROR!</v>
      </c>
      <c r="G199" s="278" t="str">
        <f>COUNTIFS([2]Errors!$B:$B, $C199, [2]Errors!$H:$H, G$1)</f>
        <v>#ERROR!</v>
      </c>
      <c r="H199" s="278" t="str">
        <f>COUNTIFS([2]Errors!$B:$B, $C199, [2]Errors!$H:$H, H$1)</f>
        <v>#ERROR!</v>
      </c>
      <c r="I199" s="278" t="str">
        <f>COUNTIFS([2]Errors!$B:$B, $C199, [2]Errors!$H:$H, I$1)</f>
        <v>#ERROR!</v>
      </c>
      <c r="J199" s="278" t="str">
        <f>COUNTIFS([2]Errors!$B:$B, $C199, [2]Errors!$H:$H, J$1)</f>
        <v>#ERROR!</v>
      </c>
      <c r="K199" s="278" t="str">
        <f>COUNTIFS([2]Errors!$B:$B, $C199, [2]Errors!$H:$H, K$1)</f>
        <v>#ERROR!</v>
      </c>
      <c r="L199" s="278" t="str">
        <f>COUNTIFS([2]Errors!$B:$B, $C199, [2]Errors!$H:$H, L$1)</f>
        <v>#ERROR!</v>
      </c>
      <c r="M199" s="278" t="str">
        <f>COUNTIFS([2]Errors!$B:$B, $C199, [2]Errors!$H:$H, M$1)</f>
        <v>#ERROR!</v>
      </c>
      <c r="N199" s="309">
        <f>COUNTIFS(Errors!$B:$B, $C199, Errors!$I:$I, N$1)</f>
        <v>0</v>
      </c>
      <c r="O199" s="278" t="str">
        <f>COUNTIFS([2]Errors!$B:$B, $C199, [2]Errors!$H:$H, O$1)</f>
        <v>#ERROR!</v>
      </c>
      <c r="P199" s="278" t="str">
        <f>COUNTIFS([2]Errors!$B:$B, $C199, [2]Errors!$H:$H, P$1)</f>
        <v>#ERROR!</v>
      </c>
      <c r="Q199" s="278" t="str">
        <f>COUNTIFS([2]Errors!$B:$B, $C199, [2]Errors!$H:$H, Q$1)</f>
        <v>#ERROR!</v>
      </c>
      <c r="R199" s="278" t="str">
        <f>COUNTIFS([2]Errors!$B:$B, $C199, [2]Errors!$H:$H, R$1)</f>
        <v>#ERROR!</v>
      </c>
      <c r="S199" s="278" t="str">
        <f>COUNTIFS([2]Errors!$B:$B, $C199, [2]Errors!$H:$H, S$1)</f>
        <v>#ERROR!</v>
      </c>
      <c r="T199" s="278" t="str">
        <f>COUNTIFS([2]Errors!$B:$B, $C199, [2]Errors!$H:$H, T$1)</f>
        <v>#ERROR!</v>
      </c>
      <c r="U199" s="278" t="str">
        <f>COUNTIFS([2]Errors!$B:$B, $C199, [2]Errors!$H:$H, U$1)</f>
        <v>#ERROR!</v>
      </c>
      <c r="V199" s="278" t="str">
        <f>COUNTIFS([2]Errors!$B:$B, $C199, [2]Errors!$H:$H, V$1)</f>
        <v>#ERROR!</v>
      </c>
      <c r="W199" s="278" t="str">
        <f>COUNTIFS([2]Errors!$B:$B, $C199, [2]Errors!$H:$H, W$1)</f>
        <v>#ERROR!</v>
      </c>
      <c r="X199" s="278" t="str">
        <f>COUNTIFS([2]Errors!$B:$B, $C199, [2]Errors!$H:$H, X$1)</f>
        <v>#ERROR!</v>
      </c>
    </row>
    <row r="200" ht="15.75" customHeight="1">
      <c r="A200" s="325">
        <v>0.0</v>
      </c>
      <c r="B200" s="325" t="str">
        <f>SourceData!K200</f>
        <v/>
      </c>
      <c r="C200" s="294" t="str">
        <f>SourceData!J198</f>
        <v/>
      </c>
      <c r="D200" s="298">
        <f>(COUNTIF(Errors!$B$3:$B$3010,'[1]Error Count Analysis'!C200))-((COUNTIFS(Errors!$B$3:$B$3010,'[1]Error Count Analysis'!C200, (Errors!$I$3:$I$3010),"TV*")))</f>
        <v>0</v>
      </c>
      <c r="E200" s="325" t="str">
        <f t="shared" si="1"/>
        <v>#DIV/0!</v>
      </c>
      <c r="F200" s="278" t="str">
        <f>COUNTIFS([2]Errors!$B:$B, $C200, [2]Errors!$H:$H, F$1)</f>
        <v>#ERROR!</v>
      </c>
      <c r="G200" s="278" t="str">
        <f>COUNTIFS([2]Errors!$B:$B, $C200, [2]Errors!$H:$H, G$1)</f>
        <v>#ERROR!</v>
      </c>
      <c r="H200" s="278" t="str">
        <f>COUNTIFS([2]Errors!$B:$B, $C200, [2]Errors!$H:$H, H$1)</f>
        <v>#ERROR!</v>
      </c>
      <c r="I200" s="278" t="str">
        <f>COUNTIFS([2]Errors!$B:$B, $C200, [2]Errors!$H:$H, I$1)</f>
        <v>#ERROR!</v>
      </c>
      <c r="J200" s="278" t="str">
        <f>COUNTIFS([2]Errors!$B:$B, $C200, [2]Errors!$H:$H, J$1)</f>
        <v>#ERROR!</v>
      </c>
      <c r="K200" s="278" t="str">
        <f>COUNTIFS([2]Errors!$B:$B, $C200, [2]Errors!$H:$H, K$1)</f>
        <v>#ERROR!</v>
      </c>
      <c r="L200" s="278" t="str">
        <f>COUNTIFS([2]Errors!$B:$B, $C200, [2]Errors!$H:$H, L$1)</f>
        <v>#ERROR!</v>
      </c>
      <c r="M200" s="278" t="str">
        <f>COUNTIFS([2]Errors!$B:$B, $C200, [2]Errors!$H:$H, M$1)</f>
        <v>#ERROR!</v>
      </c>
      <c r="N200" s="298">
        <f>COUNTIFS(Errors!$B:$B, $C200, Errors!$I:$I, N$1)</f>
        <v>0</v>
      </c>
      <c r="O200" s="278" t="str">
        <f>COUNTIFS([2]Errors!$B:$B, $C200, [2]Errors!$H:$H, O$1)</f>
        <v>#ERROR!</v>
      </c>
      <c r="P200" s="278" t="str">
        <f>COUNTIFS([2]Errors!$B:$B, $C200, [2]Errors!$H:$H, P$1)</f>
        <v>#ERROR!</v>
      </c>
      <c r="Q200" s="278" t="str">
        <f>COUNTIFS([2]Errors!$B:$B, $C200, [2]Errors!$H:$H, Q$1)</f>
        <v>#ERROR!</v>
      </c>
      <c r="R200" s="278" t="str">
        <f>COUNTIFS([2]Errors!$B:$B, $C200, [2]Errors!$H:$H, R$1)</f>
        <v>#ERROR!</v>
      </c>
      <c r="S200" s="278" t="str">
        <f>COUNTIFS([2]Errors!$B:$B, $C200, [2]Errors!$H:$H, S$1)</f>
        <v>#ERROR!</v>
      </c>
      <c r="T200" s="278" t="str">
        <f>COUNTIFS([2]Errors!$B:$B, $C200, [2]Errors!$H:$H, T$1)</f>
        <v>#ERROR!</v>
      </c>
      <c r="U200" s="278" t="str">
        <f>COUNTIFS([2]Errors!$B:$B, $C200, [2]Errors!$H:$H, U$1)</f>
        <v>#ERROR!</v>
      </c>
      <c r="V200" s="278" t="str">
        <f>COUNTIFS([2]Errors!$B:$B, $C200, [2]Errors!$H:$H, V$1)</f>
        <v>#ERROR!</v>
      </c>
      <c r="W200" s="278" t="str">
        <f>COUNTIFS([2]Errors!$B:$B, $C200, [2]Errors!$H:$H, W$1)</f>
        <v>#ERROR!</v>
      </c>
      <c r="X200" s="278" t="str">
        <f>COUNTIFS([2]Errors!$B:$B, $C200, [2]Errors!$H:$H, X$1)</f>
        <v>#ERROR!</v>
      </c>
    </row>
    <row r="201" ht="15.75" customHeight="1">
      <c r="A201" s="305">
        <v>0.0</v>
      </c>
      <c r="B201" s="325" t="str">
        <f>SourceData!K201</f>
        <v/>
      </c>
      <c r="C201" s="305" t="str">
        <f>SourceData!J200</f>
        <v/>
      </c>
      <c r="D201" s="298">
        <f>(COUNTIF(Errors!$B$3:$B$3010,'[1]Error Count Analysis'!C201))-((COUNTIFS(Errors!$B$3:$B$3010,'[1]Error Count Analysis'!C201, (Errors!$I$3:$I$3010),"TV*")))</f>
        <v>0</v>
      </c>
      <c r="E201" s="305" t="str">
        <f t="shared" si="1"/>
        <v>#DIV/0!</v>
      </c>
      <c r="F201" s="278" t="str">
        <f>COUNTIFS([2]Errors!$B:$B, $C201, [2]Errors!$H:$H, F$1)</f>
        <v>#ERROR!</v>
      </c>
      <c r="G201" s="278" t="str">
        <f>COUNTIFS([2]Errors!$B:$B, $C201, [2]Errors!$H:$H, G$1)</f>
        <v>#ERROR!</v>
      </c>
      <c r="H201" s="278" t="str">
        <f>COUNTIFS([2]Errors!$B:$B, $C201, [2]Errors!$H:$H, H$1)</f>
        <v>#ERROR!</v>
      </c>
      <c r="I201" s="278" t="str">
        <f>COUNTIFS([2]Errors!$B:$B, $C201, [2]Errors!$H:$H, I$1)</f>
        <v>#ERROR!</v>
      </c>
      <c r="J201" s="278" t="str">
        <f>COUNTIFS([2]Errors!$B:$B, $C201, [2]Errors!$H:$H, J$1)</f>
        <v>#ERROR!</v>
      </c>
      <c r="K201" s="278" t="str">
        <f>COUNTIFS([2]Errors!$B:$B, $C201, [2]Errors!$H:$H, K$1)</f>
        <v>#ERROR!</v>
      </c>
      <c r="L201" s="278" t="str">
        <f>COUNTIFS([2]Errors!$B:$B, $C201, [2]Errors!$H:$H, L$1)</f>
        <v>#ERROR!</v>
      </c>
      <c r="M201" s="278" t="str">
        <f>COUNTIFS([2]Errors!$B:$B, $C201, [2]Errors!$H:$H, M$1)</f>
        <v>#ERROR!</v>
      </c>
      <c r="N201" s="309">
        <f>COUNTIFS(Errors!$B:$B, $C201, Errors!$I:$I, N$1)</f>
        <v>0</v>
      </c>
      <c r="O201" s="278" t="str">
        <f>COUNTIFS([2]Errors!$B:$B, $C201, [2]Errors!$H:$H, O$1)</f>
        <v>#ERROR!</v>
      </c>
      <c r="P201" s="278" t="str">
        <f>COUNTIFS([2]Errors!$B:$B, $C201, [2]Errors!$H:$H, P$1)</f>
        <v>#ERROR!</v>
      </c>
      <c r="Q201" s="278" t="str">
        <f>COUNTIFS([2]Errors!$B:$B, $C201, [2]Errors!$H:$H, Q$1)</f>
        <v>#ERROR!</v>
      </c>
      <c r="R201" s="278" t="str">
        <f>COUNTIFS([2]Errors!$B:$B, $C201, [2]Errors!$H:$H, R$1)</f>
        <v>#ERROR!</v>
      </c>
      <c r="S201" s="278" t="str">
        <f>COUNTIFS([2]Errors!$B:$B, $C201, [2]Errors!$H:$H, S$1)</f>
        <v>#ERROR!</v>
      </c>
      <c r="T201" s="278" t="str">
        <f>COUNTIFS([2]Errors!$B:$B, $C201, [2]Errors!$H:$H, T$1)</f>
        <v>#ERROR!</v>
      </c>
      <c r="U201" s="278" t="str">
        <f>COUNTIFS([2]Errors!$B:$B, $C201, [2]Errors!$H:$H, U$1)</f>
        <v>#ERROR!</v>
      </c>
      <c r="V201" s="278" t="str">
        <f>COUNTIFS([2]Errors!$B:$B, $C201, [2]Errors!$H:$H, V$1)</f>
        <v>#ERROR!</v>
      </c>
      <c r="W201" s="278" t="str">
        <f>COUNTIFS([2]Errors!$B:$B, $C201, [2]Errors!$H:$H, W$1)</f>
        <v>#ERROR!</v>
      </c>
      <c r="X201" s="278" t="str">
        <f>COUNTIFS([2]Errors!$B:$B, $C201, [2]Errors!$H:$H, X$1)</f>
        <v>#ERROR!</v>
      </c>
    </row>
    <row r="202" ht="15.75" customHeight="1">
      <c r="A202" s="325">
        <v>0.0</v>
      </c>
      <c r="B202" s="325" t="str">
        <f>SourceData!K202</f>
        <v/>
      </c>
      <c r="C202" s="294" t="str">
        <f>SourceData!J200</f>
        <v/>
      </c>
      <c r="D202" s="298">
        <f>(COUNTIF(Errors!$B$3:$B$3010,'[1]Error Count Analysis'!C202))-((COUNTIFS(Errors!$B$3:$B$3010,'[1]Error Count Analysis'!C202, (Errors!$I$3:$I$3010),"TV*")))</f>
        <v>0</v>
      </c>
      <c r="E202" s="325" t="str">
        <f t="shared" si="1"/>
        <v>#DIV/0!</v>
      </c>
      <c r="F202" s="278" t="str">
        <f>COUNTIFS([2]Errors!$B:$B, $C202, [2]Errors!$H:$H, F$1)</f>
        <v>#ERROR!</v>
      </c>
      <c r="G202" s="278" t="str">
        <f>COUNTIFS([2]Errors!$B:$B, $C202, [2]Errors!$H:$H, G$1)</f>
        <v>#ERROR!</v>
      </c>
      <c r="H202" s="278" t="str">
        <f>COUNTIFS([2]Errors!$B:$B, $C202, [2]Errors!$H:$H, H$1)</f>
        <v>#ERROR!</v>
      </c>
      <c r="I202" s="278" t="str">
        <f>COUNTIFS([2]Errors!$B:$B, $C202, [2]Errors!$H:$H, I$1)</f>
        <v>#ERROR!</v>
      </c>
      <c r="J202" s="278" t="str">
        <f>COUNTIFS([2]Errors!$B:$B, $C202, [2]Errors!$H:$H, J$1)</f>
        <v>#ERROR!</v>
      </c>
      <c r="K202" s="278" t="str">
        <f>COUNTIFS([2]Errors!$B:$B, $C202, [2]Errors!$H:$H, K$1)</f>
        <v>#ERROR!</v>
      </c>
      <c r="L202" s="278" t="str">
        <f>COUNTIFS([2]Errors!$B:$B, $C202, [2]Errors!$H:$H, L$1)</f>
        <v>#ERROR!</v>
      </c>
      <c r="M202" s="278" t="str">
        <f>COUNTIFS([2]Errors!$B:$B, $C202, [2]Errors!$H:$H, M$1)</f>
        <v>#ERROR!</v>
      </c>
      <c r="N202" s="298">
        <f>COUNTIFS(Errors!$B:$B, $C202, Errors!$I:$I, N$1)</f>
        <v>0</v>
      </c>
      <c r="O202" s="278" t="str">
        <f>COUNTIFS([2]Errors!$B:$B, $C202, [2]Errors!$H:$H, O$1)</f>
        <v>#ERROR!</v>
      </c>
      <c r="P202" s="278" t="str">
        <f>COUNTIFS([2]Errors!$B:$B, $C202, [2]Errors!$H:$H, P$1)</f>
        <v>#ERROR!</v>
      </c>
      <c r="Q202" s="278" t="str">
        <f>COUNTIFS([2]Errors!$B:$B, $C202, [2]Errors!$H:$H, Q$1)</f>
        <v>#ERROR!</v>
      </c>
      <c r="R202" s="278" t="str">
        <f>COUNTIFS([2]Errors!$B:$B, $C202, [2]Errors!$H:$H, R$1)</f>
        <v>#ERROR!</v>
      </c>
      <c r="S202" s="278" t="str">
        <f>COUNTIFS([2]Errors!$B:$B, $C202, [2]Errors!$H:$H, S$1)</f>
        <v>#ERROR!</v>
      </c>
      <c r="T202" s="278" t="str">
        <f>COUNTIFS([2]Errors!$B:$B, $C202, [2]Errors!$H:$H, T$1)</f>
        <v>#ERROR!</v>
      </c>
      <c r="U202" s="278" t="str">
        <f>COUNTIFS([2]Errors!$B:$B, $C202, [2]Errors!$H:$H, U$1)</f>
        <v>#ERROR!</v>
      </c>
      <c r="V202" s="278" t="str">
        <f>COUNTIFS([2]Errors!$B:$B, $C202, [2]Errors!$H:$H, V$1)</f>
        <v>#ERROR!</v>
      </c>
      <c r="W202" s="278" t="str">
        <f>COUNTIFS([2]Errors!$B:$B, $C202, [2]Errors!$H:$H, W$1)</f>
        <v>#ERROR!</v>
      </c>
      <c r="X202" s="278" t="str">
        <f>COUNTIFS([2]Errors!$B:$B, $C202, [2]Errors!$H:$H, X$1)</f>
        <v>#ERROR!</v>
      </c>
    </row>
    <row r="203" ht="15.75" customHeight="1">
      <c r="A203" s="305">
        <v>0.0</v>
      </c>
      <c r="B203" s="325" t="str">
        <f>SourceData!K203</f>
        <v/>
      </c>
      <c r="C203" s="305" t="str">
        <f>SourceData!J202</f>
        <v/>
      </c>
      <c r="D203" s="298">
        <f>(COUNTIF(Errors!$B$3:$B$3010,'[1]Error Count Analysis'!C203))-((COUNTIFS(Errors!$B$3:$B$3010,'[1]Error Count Analysis'!C203, (Errors!$I$3:$I$3010),"TV*")))</f>
        <v>0</v>
      </c>
      <c r="E203" s="305" t="str">
        <f t="shared" si="1"/>
        <v>#DIV/0!</v>
      </c>
      <c r="F203" s="278" t="str">
        <f>COUNTIFS([2]Errors!$B:$B, $C203, [2]Errors!$H:$H, F$1)</f>
        <v>#ERROR!</v>
      </c>
      <c r="G203" s="278" t="str">
        <f>COUNTIFS([2]Errors!$B:$B, $C203, [2]Errors!$H:$H, G$1)</f>
        <v>#ERROR!</v>
      </c>
      <c r="H203" s="278" t="str">
        <f>COUNTIFS([2]Errors!$B:$B, $C203, [2]Errors!$H:$H, H$1)</f>
        <v>#ERROR!</v>
      </c>
      <c r="I203" s="278" t="str">
        <f>COUNTIFS([2]Errors!$B:$B, $C203, [2]Errors!$H:$H, I$1)</f>
        <v>#ERROR!</v>
      </c>
      <c r="J203" s="278" t="str">
        <f>COUNTIFS([2]Errors!$B:$B, $C203, [2]Errors!$H:$H, J$1)</f>
        <v>#ERROR!</v>
      </c>
      <c r="K203" s="278" t="str">
        <f>COUNTIFS([2]Errors!$B:$B, $C203, [2]Errors!$H:$H, K$1)</f>
        <v>#ERROR!</v>
      </c>
      <c r="L203" s="278" t="str">
        <f>COUNTIFS([2]Errors!$B:$B, $C203, [2]Errors!$H:$H, L$1)</f>
        <v>#ERROR!</v>
      </c>
      <c r="M203" s="278" t="str">
        <f>COUNTIFS([2]Errors!$B:$B, $C203, [2]Errors!$H:$H, M$1)</f>
        <v>#ERROR!</v>
      </c>
      <c r="N203" s="309">
        <f>COUNTIFS(Errors!$B:$B, $C203, Errors!$I:$I, N$1)</f>
        <v>0</v>
      </c>
      <c r="O203" s="278" t="str">
        <f>COUNTIFS([2]Errors!$B:$B, $C203, [2]Errors!$H:$H, O$1)</f>
        <v>#ERROR!</v>
      </c>
      <c r="P203" s="278" t="str">
        <f>COUNTIFS([2]Errors!$B:$B, $C203, [2]Errors!$H:$H, P$1)</f>
        <v>#ERROR!</v>
      </c>
      <c r="Q203" s="278" t="str">
        <f>COUNTIFS([2]Errors!$B:$B, $C203, [2]Errors!$H:$H, Q$1)</f>
        <v>#ERROR!</v>
      </c>
      <c r="R203" s="278" t="str">
        <f>COUNTIFS([2]Errors!$B:$B, $C203, [2]Errors!$H:$H, R$1)</f>
        <v>#ERROR!</v>
      </c>
      <c r="S203" s="278" t="str">
        <f>COUNTIFS([2]Errors!$B:$B, $C203, [2]Errors!$H:$H, S$1)</f>
        <v>#ERROR!</v>
      </c>
      <c r="T203" s="278" t="str">
        <f>COUNTIFS([2]Errors!$B:$B, $C203, [2]Errors!$H:$H, T$1)</f>
        <v>#ERROR!</v>
      </c>
      <c r="U203" s="278" t="str">
        <f>COUNTIFS([2]Errors!$B:$B, $C203, [2]Errors!$H:$H, U$1)</f>
        <v>#ERROR!</v>
      </c>
      <c r="V203" s="278" t="str">
        <f>COUNTIFS([2]Errors!$B:$B, $C203, [2]Errors!$H:$H, V$1)</f>
        <v>#ERROR!</v>
      </c>
      <c r="W203" s="278" t="str">
        <f>COUNTIFS([2]Errors!$B:$B, $C203, [2]Errors!$H:$H, W$1)</f>
        <v>#ERROR!</v>
      </c>
      <c r="X203" s="278" t="str">
        <f>COUNTIFS([2]Errors!$B:$B, $C203, [2]Errors!$H:$H, X$1)</f>
        <v>#ERROR!</v>
      </c>
    </row>
    <row r="204" ht="15.75" customHeight="1">
      <c r="A204" s="325">
        <v>0.0</v>
      </c>
      <c r="B204" s="325" t="str">
        <f>SourceData!K204</f>
        <v/>
      </c>
      <c r="C204" s="294" t="str">
        <f>SourceData!J202</f>
        <v/>
      </c>
      <c r="D204" s="298">
        <f>(COUNTIF(Errors!$B$3:$B$3010,'[1]Error Count Analysis'!C204))-((COUNTIFS(Errors!$B$3:$B$3010,'[1]Error Count Analysis'!C204, (Errors!$I$3:$I$3010),"TV*")))</f>
        <v>0</v>
      </c>
      <c r="E204" s="325" t="str">
        <f t="shared" si="1"/>
        <v>#DIV/0!</v>
      </c>
      <c r="F204" s="278" t="str">
        <f>COUNTIFS([2]Errors!$B:$B, $C204, [2]Errors!$H:$H, F$1)</f>
        <v>#ERROR!</v>
      </c>
      <c r="G204" s="278" t="str">
        <f>COUNTIFS([2]Errors!$B:$B, $C204, [2]Errors!$H:$H, G$1)</f>
        <v>#ERROR!</v>
      </c>
      <c r="H204" s="278" t="str">
        <f>COUNTIFS([2]Errors!$B:$B, $C204, [2]Errors!$H:$H, H$1)</f>
        <v>#ERROR!</v>
      </c>
      <c r="I204" s="278" t="str">
        <f>COUNTIFS([2]Errors!$B:$B, $C204, [2]Errors!$H:$H, I$1)</f>
        <v>#ERROR!</v>
      </c>
      <c r="J204" s="278" t="str">
        <f>COUNTIFS([2]Errors!$B:$B, $C204, [2]Errors!$H:$H, J$1)</f>
        <v>#ERROR!</v>
      </c>
      <c r="K204" s="278" t="str">
        <f>COUNTIFS([2]Errors!$B:$B, $C204, [2]Errors!$H:$H, K$1)</f>
        <v>#ERROR!</v>
      </c>
      <c r="L204" s="278" t="str">
        <f>COUNTIFS([2]Errors!$B:$B, $C204, [2]Errors!$H:$H, L$1)</f>
        <v>#ERROR!</v>
      </c>
      <c r="M204" s="278" t="str">
        <f>COUNTIFS([2]Errors!$B:$B, $C204, [2]Errors!$H:$H, M$1)</f>
        <v>#ERROR!</v>
      </c>
      <c r="N204" s="298">
        <f>COUNTIFS(Errors!$B:$B, $C204, Errors!$I:$I, N$1)</f>
        <v>0</v>
      </c>
      <c r="O204" s="278" t="str">
        <f>COUNTIFS([2]Errors!$B:$B, $C204, [2]Errors!$H:$H, O$1)</f>
        <v>#ERROR!</v>
      </c>
      <c r="P204" s="278" t="str">
        <f>COUNTIFS([2]Errors!$B:$B, $C204, [2]Errors!$H:$H, P$1)</f>
        <v>#ERROR!</v>
      </c>
      <c r="Q204" s="278" t="str">
        <f>COUNTIFS([2]Errors!$B:$B, $C204, [2]Errors!$H:$H, Q$1)</f>
        <v>#ERROR!</v>
      </c>
      <c r="R204" s="278" t="str">
        <f>COUNTIFS([2]Errors!$B:$B, $C204, [2]Errors!$H:$H, R$1)</f>
        <v>#ERROR!</v>
      </c>
      <c r="S204" s="278" t="str">
        <f>COUNTIFS([2]Errors!$B:$B, $C204, [2]Errors!$H:$H, S$1)</f>
        <v>#ERROR!</v>
      </c>
      <c r="T204" s="278" t="str">
        <f>COUNTIFS([2]Errors!$B:$B, $C204, [2]Errors!$H:$H, T$1)</f>
        <v>#ERROR!</v>
      </c>
      <c r="U204" s="278" t="str">
        <f>COUNTIFS([2]Errors!$B:$B, $C204, [2]Errors!$H:$H, U$1)</f>
        <v>#ERROR!</v>
      </c>
      <c r="V204" s="278" t="str">
        <f>COUNTIFS([2]Errors!$B:$B, $C204, [2]Errors!$H:$H, V$1)</f>
        <v>#ERROR!</v>
      </c>
      <c r="W204" s="278" t="str">
        <f>COUNTIFS([2]Errors!$B:$B, $C204, [2]Errors!$H:$H, W$1)</f>
        <v>#ERROR!</v>
      </c>
      <c r="X204" s="278" t="str">
        <f>COUNTIFS([2]Errors!$B:$B, $C204, [2]Errors!$H:$H, X$1)</f>
        <v>#ERROR!</v>
      </c>
    </row>
    <row r="205" ht="15.75" customHeight="1">
      <c r="A205" s="305">
        <v>0.0</v>
      </c>
      <c r="B205" s="325" t="str">
        <f>SourceData!K205</f>
        <v/>
      </c>
      <c r="C205" s="305" t="str">
        <f>SourceData!J204</f>
        <v/>
      </c>
      <c r="D205" s="298">
        <f>(COUNTIF(Errors!$B$3:$B$3010,'[1]Error Count Analysis'!C205))-((COUNTIFS(Errors!$B$3:$B$3010,'[1]Error Count Analysis'!C205, (Errors!$I$3:$I$3010),"TV*")))</f>
        <v>0</v>
      </c>
      <c r="E205" s="305" t="str">
        <f t="shared" si="1"/>
        <v>#DIV/0!</v>
      </c>
      <c r="F205" s="278" t="str">
        <f>COUNTIFS([2]Errors!$B:$B, $C205, [2]Errors!$H:$H, F$1)</f>
        <v>#ERROR!</v>
      </c>
      <c r="G205" s="278" t="str">
        <f>COUNTIFS([2]Errors!$B:$B, $C205, [2]Errors!$H:$H, G$1)</f>
        <v>#ERROR!</v>
      </c>
      <c r="H205" s="278" t="str">
        <f>COUNTIFS([2]Errors!$B:$B, $C205, [2]Errors!$H:$H, H$1)</f>
        <v>#ERROR!</v>
      </c>
      <c r="I205" s="278" t="str">
        <f>COUNTIFS([2]Errors!$B:$B, $C205, [2]Errors!$H:$H, I$1)</f>
        <v>#ERROR!</v>
      </c>
      <c r="J205" s="278" t="str">
        <f>COUNTIFS([2]Errors!$B:$B, $C205, [2]Errors!$H:$H, J$1)</f>
        <v>#ERROR!</v>
      </c>
      <c r="K205" s="278" t="str">
        <f>COUNTIFS([2]Errors!$B:$B, $C205, [2]Errors!$H:$H, K$1)</f>
        <v>#ERROR!</v>
      </c>
      <c r="L205" s="278" t="str">
        <f>COUNTIFS([2]Errors!$B:$B, $C205, [2]Errors!$H:$H, L$1)</f>
        <v>#ERROR!</v>
      </c>
      <c r="M205" s="278" t="str">
        <f>COUNTIFS([2]Errors!$B:$B, $C205, [2]Errors!$H:$H, M$1)</f>
        <v>#ERROR!</v>
      </c>
      <c r="N205" s="309">
        <f>COUNTIFS(Errors!$B:$B, $C205, Errors!$I:$I, N$1)</f>
        <v>0</v>
      </c>
      <c r="O205" s="278" t="str">
        <f>COUNTIFS([2]Errors!$B:$B, $C205, [2]Errors!$H:$H, O$1)</f>
        <v>#ERROR!</v>
      </c>
      <c r="P205" s="278" t="str">
        <f>COUNTIFS([2]Errors!$B:$B, $C205, [2]Errors!$H:$H, P$1)</f>
        <v>#ERROR!</v>
      </c>
      <c r="Q205" s="278" t="str">
        <f>COUNTIFS([2]Errors!$B:$B, $C205, [2]Errors!$H:$H, Q$1)</f>
        <v>#ERROR!</v>
      </c>
      <c r="R205" s="278" t="str">
        <f>COUNTIFS([2]Errors!$B:$B, $C205, [2]Errors!$H:$H, R$1)</f>
        <v>#ERROR!</v>
      </c>
      <c r="S205" s="278" t="str">
        <f>COUNTIFS([2]Errors!$B:$B, $C205, [2]Errors!$H:$H, S$1)</f>
        <v>#ERROR!</v>
      </c>
      <c r="T205" s="278" t="str">
        <f>COUNTIFS([2]Errors!$B:$B, $C205, [2]Errors!$H:$H, T$1)</f>
        <v>#ERROR!</v>
      </c>
      <c r="U205" s="278" t="str">
        <f>COUNTIFS([2]Errors!$B:$B, $C205, [2]Errors!$H:$H, U$1)</f>
        <v>#ERROR!</v>
      </c>
      <c r="V205" s="278" t="str">
        <f>COUNTIFS([2]Errors!$B:$B, $C205, [2]Errors!$H:$H, V$1)</f>
        <v>#ERROR!</v>
      </c>
      <c r="W205" s="278" t="str">
        <f>COUNTIFS([2]Errors!$B:$B, $C205, [2]Errors!$H:$H, W$1)</f>
        <v>#ERROR!</v>
      </c>
      <c r="X205" s="278" t="str">
        <f>COUNTIFS([2]Errors!$B:$B, $C205, [2]Errors!$H:$H, X$1)</f>
        <v>#ERROR!</v>
      </c>
    </row>
    <row r="206" ht="15.75" customHeight="1">
      <c r="A206" s="325">
        <v>0.0</v>
      </c>
      <c r="B206" s="325" t="str">
        <f>SourceData!K206</f>
        <v/>
      </c>
      <c r="C206" s="294" t="str">
        <f>SourceData!J204</f>
        <v/>
      </c>
      <c r="D206" s="298">
        <f>(COUNTIF(Errors!$B$3:$B$3010,'[1]Error Count Analysis'!C206))-((COUNTIFS(Errors!$B$3:$B$3010,'[1]Error Count Analysis'!C206, (Errors!$I$3:$I$3010),"TV*")))</f>
        <v>0</v>
      </c>
      <c r="E206" s="325" t="str">
        <f t="shared" si="1"/>
        <v>#DIV/0!</v>
      </c>
      <c r="F206" s="278" t="str">
        <f>COUNTIFS([2]Errors!$B:$B, $C206, [2]Errors!$H:$H, F$1)</f>
        <v>#ERROR!</v>
      </c>
      <c r="G206" s="278" t="str">
        <f>COUNTIFS([2]Errors!$B:$B, $C206, [2]Errors!$H:$H, G$1)</f>
        <v>#ERROR!</v>
      </c>
      <c r="H206" s="278" t="str">
        <f>COUNTIFS([2]Errors!$B:$B, $C206, [2]Errors!$H:$H, H$1)</f>
        <v>#ERROR!</v>
      </c>
      <c r="I206" s="278" t="str">
        <f>COUNTIFS([2]Errors!$B:$B, $C206, [2]Errors!$H:$H, I$1)</f>
        <v>#ERROR!</v>
      </c>
      <c r="J206" s="278" t="str">
        <f>COUNTIFS([2]Errors!$B:$B, $C206, [2]Errors!$H:$H, J$1)</f>
        <v>#ERROR!</v>
      </c>
      <c r="K206" s="278" t="str">
        <f>COUNTIFS([2]Errors!$B:$B, $C206, [2]Errors!$H:$H, K$1)</f>
        <v>#ERROR!</v>
      </c>
      <c r="L206" s="278" t="str">
        <f>COUNTIFS([2]Errors!$B:$B, $C206, [2]Errors!$H:$H, L$1)</f>
        <v>#ERROR!</v>
      </c>
      <c r="M206" s="278" t="str">
        <f>COUNTIFS([2]Errors!$B:$B, $C206, [2]Errors!$H:$H, M$1)</f>
        <v>#ERROR!</v>
      </c>
      <c r="N206" s="298">
        <f>COUNTIFS(Errors!$B:$B, $C206, Errors!$I:$I, N$1)</f>
        <v>0</v>
      </c>
      <c r="O206" s="278" t="str">
        <f>COUNTIFS([2]Errors!$B:$B, $C206, [2]Errors!$H:$H, O$1)</f>
        <v>#ERROR!</v>
      </c>
      <c r="P206" s="278" t="str">
        <f>COUNTIFS([2]Errors!$B:$B, $C206, [2]Errors!$H:$H, P$1)</f>
        <v>#ERROR!</v>
      </c>
      <c r="Q206" s="278" t="str">
        <f>COUNTIFS([2]Errors!$B:$B, $C206, [2]Errors!$H:$H, Q$1)</f>
        <v>#ERROR!</v>
      </c>
      <c r="R206" s="278" t="str">
        <f>COUNTIFS([2]Errors!$B:$B, $C206, [2]Errors!$H:$H, R$1)</f>
        <v>#ERROR!</v>
      </c>
      <c r="S206" s="278" t="str">
        <f>COUNTIFS([2]Errors!$B:$B, $C206, [2]Errors!$H:$H, S$1)</f>
        <v>#ERROR!</v>
      </c>
      <c r="T206" s="278" t="str">
        <f>COUNTIFS([2]Errors!$B:$B, $C206, [2]Errors!$H:$H, T$1)</f>
        <v>#ERROR!</v>
      </c>
      <c r="U206" s="278" t="str">
        <f>COUNTIFS([2]Errors!$B:$B, $C206, [2]Errors!$H:$H, U$1)</f>
        <v>#ERROR!</v>
      </c>
      <c r="V206" s="278" t="str">
        <f>COUNTIFS([2]Errors!$B:$B, $C206, [2]Errors!$H:$H, V$1)</f>
        <v>#ERROR!</v>
      </c>
      <c r="W206" s="278" t="str">
        <f>COUNTIFS([2]Errors!$B:$B, $C206, [2]Errors!$H:$H, W$1)</f>
        <v>#ERROR!</v>
      </c>
      <c r="X206" s="278" t="str">
        <f>COUNTIFS([2]Errors!$B:$B, $C206, [2]Errors!$H:$H, X$1)</f>
        <v>#ERROR!</v>
      </c>
    </row>
    <row r="207" ht="15.75" customHeight="1">
      <c r="A207" s="305">
        <v>0.0</v>
      </c>
      <c r="B207" s="325" t="str">
        <f>SourceData!K207</f>
        <v/>
      </c>
      <c r="C207" s="305" t="str">
        <f>SourceData!J206</f>
        <v/>
      </c>
      <c r="D207" s="298">
        <f>(COUNTIF(Errors!$B$3:$B$3010,'[1]Error Count Analysis'!C207))-((COUNTIFS(Errors!$B$3:$B$3010,'[1]Error Count Analysis'!C207, (Errors!$I$3:$I$3010),"TV*")))</f>
        <v>0</v>
      </c>
      <c r="E207" s="305" t="str">
        <f t="shared" si="1"/>
        <v>#DIV/0!</v>
      </c>
      <c r="F207" s="278" t="str">
        <f>COUNTIFS([2]Errors!$B:$B, $C207, [2]Errors!$H:$H, F$1)</f>
        <v>#ERROR!</v>
      </c>
      <c r="G207" s="278" t="str">
        <f>COUNTIFS([2]Errors!$B:$B, $C207, [2]Errors!$H:$H, G$1)</f>
        <v>#ERROR!</v>
      </c>
      <c r="H207" s="278" t="str">
        <f>COUNTIFS([2]Errors!$B:$B, $C207, [2]Errors!$H:$H, H$1)</f>
        <v>#ERROR!</v>
      </c>
      <c r="I207" s="278" t="str">
        <f>COUNTIFS([2]Errors!$B:$B, $C207, [2]Errors!$H:$H, I$1)</f>
        <v>#ERROR!</v>
      </c>
      <c r="J207" s="278" t="str">
        <f>COUNTIFS([2]Errors!$B:$B, $C207, [2]Errors!$H:$H, J$1)</f>
        <v>#ERROR!</v>
      </c>
      <c r="K207" s="278" t="str">
        <f>COUNTIFS([2]Errors!$B:$B, $C207, [2]Errors!$H:$H, K$1)</f>
        <v>#ERROR!</v>
      </c>
      <c r="L207" s="278" t="str">
        <f>COUNTIFS([2]Errors!$B:$B, $C207, [2]Errors!$H:$H, L$1)</f>
        <v>#ERROR!</v>
      </c>
      <c r="M207" s="278" t="str">
        <f>COUNTIFS([2]Errors!$B:$B, $C207, [2]Errors!$H:$H, M$1)</f>
        <v>#ERROR!</v>
      </c>
      <c r="N207" s="309">
        <f>COUNTIFS(Errors!$B:$B, $C207, Errors!$I:$I, N$1)</f>
        <v>0</v>
      </c>
      <c r="O207" s="278" t="str">
        <f>COUNTIFS([2]Errors!$B:$B, $C207, [2]Errors!$H:$H, O$1)</f>
        <v>#ERROR!</v>
      </c>
      <c r="P207" s="278" t="str">
        <f>COUNTIFS([2]Errors!$B:$B, $C207, [2]Errors!$H:$H, P$1)</f>
        <v>#ERROR!</v>
      </c>
      <c r="Q207" s="278" t="str">
        <f>COUNTIFS([2]Errors!$B:$B, $C207, [2]Errors!$H:$H, Q$1)</f>
        <v>#ERROR!</v>
      </c>
      <c r="R207" s="278" t="str">
        <f>COUNTIFS([2]Errors!$B:$B, $C207, [2]Errors!$H:$H, R$1)</f>
        <v>#ERROR!</v>
      </c>
      <c r="S207" s="278" t="str">
        <f>COUNTIFS([2]Errors!$B:$B, $C207, [2]Errors!$H:$H, S$1)</f>
        <v>#ERROR!</v>
      </c>
      <c r="T207" s="278" t="str">
        <f>COUNTIFS([2]Errors!$B:$B, $C207, [2]Errors!$H:$H, T$1)</f>
        <v>#ERROR!</v>
      </c>
      <c r="U207" s="278" t="str">
        <f>COUNTIFS([2]Errors!$B:$B, $C207, [2]Errors!$H:$H, U$1)</f>
        <v>#ERROR!</v>
      </c>
      <c r="V207" s="278" t="str">
        <f>COUNTIFS([2]Errors!$B:$B, $C207, [2]Errors!$H:$H, V$1)</f>
        <v>#ERROR!</v>
      </c>
      <c r="W207" s="278" t="str">
        <f>COUNTIFS([2]Errors!$B:$B, $C207, [2]Errors!$H:$H, W$1)</f>
        <v>#ERROR!</v>
      </c>
      <c r="X207" s="278" t="str">
        <f>COUNTIFS([2]Errors!$B:$B, $C207, [2]Errors!$H:$H, X$1)</f>
        <v>#ERROR!</v>
      </c>
    </row>
    <row r="208" ht="15.75" customHeight="1">
      <c r="A208" s="325">
        <v>0.0</v>
      </c>
      <c r="B208" s="325" t="str">
        <f>SourceData!K208</f>
        <v/>
      </c>
      <c r="C208" s="294" t="str">
        <f>SourceData!J206</f>
        <v/>
      </c>
      <c r="D208" s="298">
        <f>(COUNTIF(Errors!$B$3:$B$3010,'[1]Error Count Analysis'!C208))-((COUNTIFS(Errors!$B$3:$B$3010,'[1]Error Count Analysis'!C208, (Errors!$I$3:$I$3010),"TV*")))</f>
        <v>0</v>
      </c>
      <c r="E208" s="325" t="str">
        <f t="shared" si="1"/>
        <v>#DIV/0!</v>
      </c>
      <c r="F208" s="278" t="str">
        <f>COUNTIFS([2]Errors!$B:$B, $C208, [2]Errors!$H:$H, F$1)</f>
        <v>#ERROR!</v>
      </c>
      <c r="G208" s="278" t="str">
        <f>COUNTIFS([2]Errors!$B:$B, $C208, [2]Errors!$H:$H, G$1)</f>
        <v>#ERROR!</v>
      </c>
      <c r="H208" s="278" t="str">
        <f>COUNTIFS([2]Errors!$B:$B, $C208, [2]Errors!$H:$H, H$1)</f>
        <v>#ERROR!</v>
      </c>
      <c r="I208" s="278" t="str">
        <f>COUNTIFS([2]Errors!$B:$B, $C208, [2]Errors!$H:$H, I$1)</f>
        <v>#ERROR!</v>
      </c>
      <c r="J208" s="278" t="str">
        <f>COUNTIFS([2]Errors!$B:$B, $C208, [2]Errors!$H:$H, J$1)</f>
        <v>#ERROR!</v>
      </c>
      <c r="K208" s="278" t="str">
        <f>COUNTIFS([2]Errors!$B:$B, $C208, [2]Errors!$H:$H, K$1)</f>
        <v>#ERROR!</v>
      </c>
      <c r="L208" s="278" t="str">
        <f>COUNTIFS([2]Errors!$B:$B, $C208, [2]Errors!$H:$H, L$1)</f>
        <v>#ERROR!</v>
      </c>
      <c r="M208" s="278" t="str">
        <f>COUNTIFS([2]Errors!$B:$B, $C208, [2]Errors!$H:$H, M$1)</f>
        <v>#ERROR!</v>
      </c>
      <c r="N208" s="298">
        <f>COUNTIFS(Errors!$B:$B, $C208, Errors!$I:$I, N$1)</f>
        <v>0</v>
      </c>
      <c r="O208" s="278" t="str">
        <f>COUNTIFS([2]Errors!$B:$B, $C208, [2]Errors!$H:$H, O$1)</f>
        <v>#ERROR!</v>
      </c>
      <c r="P208" s="278" t="str">
        <f>COUNTIFS([2]Errors!$B:$B, $C208, [2]Errors!$H:$H, P$1)</f>
        <v>#ERROR!</v>
      </c>
      <c r="Q208" s="278" t="str">
        <f>COUNTIFS([2]Errors!$B:$B, $C208, [2]Errors!$H:$H, Q$1)</f>
        <v>#ERROR!</v>
      </c>
      <c r="R208" s="278" t="str">
        <f>COUNTIFS([2]Errors!$B:$B, $C208, [2]Errors!$H:$H, R$1)</f>
        <v>#ERROR!</v>
      </c>
      <c r="S208" s="278" t="str">
        <f>COUNTIFS([2]Errors!$B:$B, $C208, [2]Errors!$H:$H, S$1)</f>
        <v>#ERROR!</v>
      </c>
      <c r="T208" s="278" t="str">
        <f>COUNTIFS([2]Errors!$B:$B, $C208, [2]Errors!$H:$H, T$1)</f>
        <v>#ERROR!</v>
      </c>
      <c r="U208" s="278" t="str">
        <f>COUNTIFS([2]Errors!$B:$B, $C208, [2]Errors!$H:$H, U$1)</f>
        <v>#ERROR!</v>
      </c>
      <c r="V208" s="278" t="str">
        <f>COUNTIFS([2]Errors!$B:$B, $C208, [2]Errors!$H:$H, V$1)</f>
        <v>#ERROR!</v>
      </c>
      <c r="W208" s="278" t="str">
        <f>COUNTIFS([2]Errors!$B:$B, $C208, [2]Errors!$H:$H, W$1)</f>
        <v>#ERROR!</v>
      </c>
      <c r="X208" s="278" t="str">
        <f>COUNTIFS([2]Errors!$B:$B, $C208, [2]Errors!$H:$H, X$1)</f>
        <v>#ERROR!</v>
      </c>
    </row>
    <row r="209" ht="15.75" customHeight="1">
      <c r="A209" s="305">
        <v>0.0</v>
      </c>
      <c r="B209" s="325" t="str">
        <f>SourceData!K209</f>
        <v/>
      </c>
      <c r="C209" s="305" t="str">
        <f>SourceData!J208</f>
        <v/>
      </c>
      <c r="D209" s="298">
        <f>(COUNTIF(Errors!$B$3:$B$3010,'[1]Error Count Analysis'!C209))-((COUNTIFS(Errors!$B$3:$B$3010,'[1]Error Count Analysis'!C209, (Errors!$I$3:$I$3010),"TV*")))</f>
        <v>0</v>
      </c>
      <c r="E209" s="305" t="str">
        <f t="shared" si="1"/>
        <v>#DIV/0!</v>
      </c>
      <c r="F209" s="278" t="str">
        <f>COUNTIFS([2]Errors!$B:$B, $C209, [2]Errors!$H:$H, F$1)</f>
        <v>#ERROR!</v>
      </c>
      <c r="G209" s="278" t="str">
        <f>COUNTIFS([2]Errors!$B:$B, $C209, [2]Errors!$H:$H, G$1)</f>
        <v>#ERROR!</v>
      </c>
      <c r="H209" s="278" t="str">
        <f>COUNTIFS([2]Errors!$B:$B, $C209, [2]Errors!$H:$H, H$1)</f>
        <v>#ERROR!</v>
      </c>
      <c r="I209" s="278" t="str">
        <f>COUNTIFS([2]Errors!$B:$B, $C209, [2]Errors!$H:$H, I$1)</f>
        <v>#ERROR!</v>
      </c>
      <c r="J209" s="278" t="str">
        <f>COUNTIFS([2]Errors!$B:$B, $C209, [2]Errors!$H:$H, J$1)</f>
        <v>#ERROR!</v>
      </c>
      <c r="K209" s="278" t="str">
        <f>COUNTIFS([2]Errors!$B:$B, $C209, [2]Errors!$H:$H, K$1)</f>
        <v>#ERROR!</v>
      </c>
      <c r="L209" s="278" t="str">
        <f>COUNTIFS([2]Errors!$B:$B, $C209, [2]Errors!$H:$H, L$1)</f>
        <v>#ERROR!</v>
      </c>
      <c r="M209" s="278" t="str">
        <f>COUNTIFS([2]Errors!$B:$B, $C209, [2]Errors!$H:$H, M$1)</f>
        <v>#ERROR!</v>
      </c>
      <c r="N209" s="309">
        <f>COUNTIFS(Errors!$B:$B, $C209, Errors!$I:$I, N$1)</f>
        <v>0</v>
      </c>
      <c r="O209" s="278" t="str">
        <f>COUNTIFS([2]Errors!$B:$B, $C209, [2]Errors!$H:$H, O$1)</f>
        <v>#ERROR!</v>
      </c>
      <c r="P209" s="278" t="str">
        <f>COUNTIFS([2]Errors!$B:$B, $C209, [2]Errors!$H:$H, P$1)</f>
        <v>#ERROR!</v>
      </c>
      <c r="Q209" s="278" t="str">
        <f>COUNTIFS([2]Errors!$B:$B, $C209, [2]Errors!$H:$H, Q$1)</f>
        <v>#ERROR!</v>
      </c>
      <c r="R209" s="278" t="str">
        <f>COUNTIFS([2]Errors!$B:$B, $C209, [2]Errors!$H:$H, R$1)</f>
        <v>#ERROR!</v>
      </c>
      <c r="S209" s="278" t="str">
        <f>COUNTIFS([2]Errors!$B:$B, $C209, [2]Errors!$H:$H, S$1)</f>
        <v>#ERROR!</v>
      </c>
      <c r="T209" s="278" t="str">
        <f>COUNTIFS([2]Errors!$B:$B, $C209, [2]Errors!$H:$H, T$1)</f>
        <v>#ERROR!</v>
      </c>
      <c r="U209" s="278" t="str">
        <f>COUNTIFS([2]Errors!$B:$B, $C209, [2]Errors!$H:$H, U$1)</f>
        <v>#ERROR!</v>
      </c>
      <c r="V209" s="278" t="str">
        <f>COUNTIFS([2]Errors!$B:$B, $C209, [2]Errors!$H:$H, V$1)</f>
        <v>#ERROR!</v>
      </c>
      <c r="W209" s="278" t="str">
        <f>COUNTIFS([2]Errors!$B:$B, $C209, [2]Errors!$H:$H, W$1)</f>
        <v>#ERROR!</v>
      </c>
      <c r="X209" s="278" t="str">
        <f>COUNTIFS([2]Errors!$B:$B, $C209, [2]Errors!$H:$H, X$1)</f>
        <v>#ERROR!</v>
      </c>
    </row>
    <row r="210" ht="15.75" customHeight="1">
      <c r="A210" s="325">
        <v>0.0</v>
      </c>
      <c r="B210" s="325" t="str">
        <f>SourceData!K210</f>
        <v/>
      </c>
      <c r="C210" s="294" t="str">
        <f>SourceData!J208</f>
        <v/>
      </c>
      <c r="D210" s="298">
        <f>(COUNTIF(Errors!$B$3:$B$3010,'[1]Error Count Analysis'!C210))-((COUNTIFS(Errors!$B$3:$B$3010,'[1]Error Count Analysis'!C210, (Errors!$I$3:$I$3010),"TV*")))</f>
        <v>0</v>
      </c>
      <c r="E210" s="325" t="str">
        <f t="shared" si="1"/>
        <v>#DIV/0!</v>
      </c>
      <c r="F210" s="278" t="str">
        <f>COUNTIFS([2]Errors!$B:$B, $C210, [2]Errors!$H:$H, F$1)</f>
        <v>#ERROR!</v>
      </c>
      <c r="G210" s="278" t="str">
        <f>COUNTIFS([2]Errors!$B:$B, $C210, [2]Errors!$H:$H, G$1)</f>
        <v>#ERROR!</v>
      </c>
      <c r="H210" s="278" t="str">
        <f>COUNTIFS([2]Errors!$B:$B, $C210, [2]Errors!$H:$H, H$1)</f>
        <v>#ERROR!</v>
      </c>
      <c r="I210" s="278" t="str">
        <f>COUNTIFS([2]Errors!$B:$B, $C210, [2]Errors!$H:$H, I$1)</f>
        <v>#ERROR!</v>
      </c>
      <c r="J210" s="278" t="str">
        <f>COUNTIFS([2]Errors!$B:$B, $C210, [2]Errors!$H:$H, J$1)</f>
        <v>#ERROR!</v>
      </c>
      <c r="K210" s="278" t="str">
        <f>COUNTIFS([2]Errors!$B:$B, $C210, [2]Errors!$H:$H, K$1)</f>
        <v>#ERROR!</v>
      </c>
      <c r="L210" s="278" t="str">
        <f>COUNTIFS([2]Errors!$B:$B, $C210, [2]Errors!$H:$H, L$1)</f>
        <v>#ERROR!</v>
      </c>
      <c r="M210" s="278" t="str">
        <f>COUNTIFS([2]Errors!$B:$B, $C210, [2]Errors!$H:$H, M$1)</f>
        <v>#ERROR!</v>
      </c>
      <c r="N210" s="298">
        <f>COUNTIFS(Errors!$B:$B, $C210, Errors!$I:$I, N$1)</f>
        <v>0</v>
      </c>
      <c r="O210" s="278" t="str">
        <f>COUNTIFS([2]Errors!$B:$B, $C210, [2]Errors!$H:$H, O$1)</f>
        <v>#ERROR!</v>
      </c>
      <c r="P210" s="278" t="str">
        <f>COUNTIFS([2]Errors!$B:$B, $C210, [2]Errors!$H:$H, P$1)</f>
        <v>#ERROR!</v>
      </c>
      <c r="Q210" s="278" t="str">
        <f>COUNTIFS([2]Errors!$B:$B, $C210, [2]Errors!$H:$H, Q$1)</f>
        <v>#ERROR!</v>
      </c>
      <c r="R210" s="278" t="str">
        <f>COUNTIFS([2]Errors!$B:$B, $C210, [2]Errors!$H:$H, R$1)</f>
        <v>#ERROR!</v>
      </c>
      <c r="S210" s="278" t="str">
        <f>COUNTIFS([2]Errors!$B:$B, $C210, [2]Errors!$H:$H, S$1)</f>
        <v>#ERROR!</v>
      </c>
      <c r="T210" s="278" t="str">
        <f>COUNTIFS([2]Errors!$B:$B, $C210, [2]Errors!$H:$H, T$1)</f>
        <v>#ERROR!</v>
      </c>
      <c r="U210" s="278" t="str">
        <f>COUNTIFS([2]Errors!$B:$B, $C210, [2]Errors!$H:$H, U$1)</f>
        <v>#ERROR!</v>
      </c>
      <c r="V210" s="278" t="str">
        <f>COUNTIFS([2]Errors!$B:$B, $C210, [2]Errors!$H:$H, V$1)</f>
        <v>#ERROR!</v>
      </c>
      <c r="W210" s="278" t="str">
        <f>COUNTIFS([2]Errors!$B:$B, $C210, [2]Errors!$H:$H, W$1)</f>
        <v>#ERROR!</v>
      </c>
      <c r="X210" s="278" t="str">
        <f>COUNTIFS([2]Errors!$B:$B, $C210, [2]Errors!$H:$H, X$1)</f>
        <v>#ERROR!</v>
      </c>
    </row>
    <row r="211" ht="15.75" customHeight="1">
      <c r="A211" s="305">
        <v>0.0</v>
      </c>
      <c r="B211" s="325" t="str">
        <f>SourceData!K211</f>
        <v/>
      </c>
      <c r="C211" s="305" t="str">
        <f>SourceData!J210</f>
        <v/>
      </c>
      <c r="D211" s="298">
        <f>(COUNTIF(Errors!$B$3:$B$3010,'[1]Error Count Analysis'!C211))-((COUNTIFS(Errors!$B$3:$B$3010,'[1]Error Count Analysis'!C211, (Errors!$I$3:$I$3010),"TV*")))</f>
        <v>0</v>
      </c>
      <c r="E211" s="305" t="str">
        <f t="shared" si="1"/>
        <v>#DIV/0!</v>
      </c>
      <c r="F211" s="278" t="str">
        <f>COUNTIFS([2]Errors!$B:$B, $C211, [2]Errors!$H:$H, F$1)</f>
        <v>#ERROR!</v>
      </c>
      <c r="G211" s="278" t="str">
        <f>COUNTIFS([2]Errors!$B:$B, $C211, [2]Errors!$H:$H, G$1)</f>
        <v>#ERROR!</v>
      </c>
      <c r="H211" s="278" t="str">
        <f>COUNTIFS([2]Errors!$B:$B, $C211, [2]Errors!$H:$H, H$1)</f>
        <v>#ERROR!</v>
      </c>
      <c r="I211" s="278" t="str">
        <f>COUNTIFS([2]Errors!$B:$B, $C211, [2]Errors!$H:$H, I$1)</f>
        <v>#ERROR!</v>
      </c>
      <c r="J211" s="278" t="str">
        <f>COUNTIFS([2]Errors!$B:$B, $C211, [2]Errors!$H:$H, J$1)</f>
        <v>#ERROR!</v>
      </c>
      <c r="K211" s="278" t="str">
        <f>COUNTIFS([2]Errors!$B:$B, $C211, [2]Errors!$H:$H, K$1)</f>
        <v>#ERROR!</v>
      </c>
      <c r="L211" s="278" t="str">
        <f>COUNTIFS([2]Errors!$B:$B, $C211, [2]Errors!$H:$H, L$1)</f>
        <v>#ERROR!</v>
      </c>
      <c r="M211" s="278" t="str">
        <f>COUNTIFS([2]Errors!$B:$B, $C211, [2]Errors!$H:$H, M$1)</f>
        <v>#ERROR!</v>
      </c>
      <c r="N211" s="309">
        <f>COUNTIFS(Errors!$B:$B, $C211, Errors!$I:$I, N$1)</f>
        <v>0</v>
      </c>
      <c r="O211" s="278" t="str">
        <f>COUNTIFS([2]Errors!$B:$B, $C211, [2]Errors!$H:$H, O$1)</f>
        <v>#ERROR!</v>
      </c>
      <c r="P211" s="278" t="str">
        <f>COUNTIFS([2]Errors!$B:$B, $C211, [2]Errors!$H:$H, P$1)</f>
        <v>#ERROR!</v>
      </c>
      <c r="Q211" s="278" t="str">
        <f>COUNTIFS([2]Errors!$B:$B, $C211, [2]Errors!$H:$H, Q$1)</f>
        <v>#ERROR!</v>
      </c>
      <c r="R211" s="278" t="str">
        <f>COUNTIFS([2]Errors!$B:$B, $C211, [2]Errors!$H:$H, R$1)</f>
        <v>#ERROR!</v>
      </c>
      <c r="S211" s="278" t="str">
        <f>COUNTIFS([2]Errors!$B:$B, $C211, [2]Errors!$H:$H, S$1)</f>
        <v>#ERROR!</v>
      </c>
      <c r="T211" s="278" t="str">
        <f>COUNTIFS([2]Errors!$B:$B, $C211, [2]Errors!$H:$H, T$1)</f>
        <v>#ERROR!</v>
      </c>
      <c r="U211" s="278" t="str">
        <f>COUNTIFS([2]Errors!$B:$B, $C211, [2]Errors!$H:$H, U$1)</f>
        <v>#ERROR!</v>
      </c>
      <c r="V211" s="278" t="str">
        <f>COUNTIFS([2]Errors!$B:$B, $C211, [2]Errors!$H:$H, V$1)</f>
        <v>#ERROR!</v>
      </c>
      <c r="W211" s="278" t="str">
        <f>COUNTIFS([2]Errors!$B:$B, $C211, [2]Errors!$H:$H, W$1)</f>
        <v>#ERROR!</v>
      </c>
      <c r="X211" s="278" t="str">
        <f>COUNTIFS([2]Errors!$B:$B, $C211, [2]Errors!$H:$H, X$1)</f>
        <v>#ERROR!</v>
      </c>
    </row>
    <row r="212" ht="15.75" customHeight="1">
      <c r="A212" s="325">
        <v>0.0</v>
      </c>
      <c r="B212" s="325" t="str">
        <f>SourceData!K212</f>
        <v/>
      </c>
      <c r="C212" s="294" t="str">
        <f>SourceData!J210</f>
        <v/>
      </c>
      <c r="D212" s="298">
        <f>(COUNTIF(Errors!$B$3:$B$3010,'[1]Error Count Analysis'!C212))-((COUNTIFS(Errors!$B$3:$B$3010,'[1]Error Count Analysis'!C212, (Errors!$I$3:$I$3010),"TV*")))</f>
        <v>0</v>
      </c>
      <c r="E212" s="325" t="str">
        <f t="shared" si="1"/>
        <v>#DIV/0!</v>
      </c>
      <c r="F212" s="278" t="str">
        <f>COUNTIFS([2]Errors!$B:$B, $C212, [2]Errors!$H:$H, F$1)</f>
        <v>#ERROR!</v>
      </c>
      <c r="G212" s="278" t="str">
        <f>COUNTIFS([2]Errors!$B:$B, $C212, [2]Errors!$H:$H, G$1)</f>
        <v>#ERROR!</v>
      </c>
      <c r="H212" s="278" t="str">
        <f>COUNTIFS([2]Errors!$B:$B, $C212, [2]Errors!$H:$H, H$1)</f>
        <v>#ERROR!</v>
      </c>
      <c r="I212" s="278" t="str">
        <f>COUNTIFS([2]Errors!$B:$B, $C212, [2]Errors!$H:$H, I$1)</f>
        <v>#ERROR!</v>
      </c>
      <c r="J212" s="278" t="str">
        <f>COUNTIFS([2]Errors!$B:$B, $C212, [2]Errors!$H:$H, J$1)</f>
        <v>#ERROR!</v>
      </c>
      <c r="K212" s="278" t="str">
        <f>COUNTIFS([2]Errors!$B:$B, $C212, [2]Errors!$H:$H, K$1)</f>
        <v>#ERROR!</v>
      </c>
      <c r="L212" s="278" t="str">
        <f>COUNTIFS([2]Errors!$B:$B, $C212, [2]Errors!$H:$H, L$1)</f>
        <v>#ERROR!</v>
      </c>
      <c r="M212" s="278" t="str">
        <f>COUNTIFS([2]Errors!$B:$B, $C212, [2]Errors!$H:$H, M$1)</f>
        <v>#ERROR!</v>
      </c>
      <c r="N212" s="298">
        <f>COUNTIFS(Errors!$B:$B, $C212, Errors!$I:$I, N$1)</f>
        <v>0</v>
      </c>
      <c r="O212" s="278" t="str">
        <f>COUNTIFS([2]Errors!$B:$B, $C212, [2]Errors!$H:$H, O$1)</f>
        <v>#ERROR!</v>
      </c>
      <c r="P212" s="278" t="str">
        <f>COUNTIFS([2]Errors!$B:$B, $C212, [2]Errors!$H:$H, P$1)</f>
        <v>#ERROR!</v>
      </c>
      <c r="Q212" s="278" t="str">
        <f>COUNTIFS([2]Errors!$B:$B, $C212, [2]Errors!$H:$H, Q$1)</f>
        <v>#ERROR!</v>
      </c>
      <c r="R212" s="278" t="str">
        <f>COUNTIFS([2]Errors!$B:$B, $C212, [2]Errors!$H:$H, R$1)</f>
        <v>#ERROR!</v>
      </c>
      <c r="S212" s="278" t="str">
        <f>COUNTIFS([2]Errors!$B:$B, $C212, [2]Errors!$H:$H, S$1)</f>
        <v>#ERROR!</v>
      </c>
      <c r="T212" s="278" t="str">
        <f>COUNTIFS([2]Errors!$B:$B, $C212, [2]Errors!$H:$H, T$1)</f>
        <v>#ERROR!</v>
      </c>
      <c r="U212" s="278" t="str">
        <f>COUNTIFS([2]Errors!$B:$B, $C212, [2]Errors!$H:$H, U$1)</f>
        <v>#ERROR!</v>
      </c>
      <c r="V212" s="278" t="str">
        <f>COUNTIFS([2]Errors!$B:$B, $C212, [2]Errors!$H:$H, V$1)</f>
        <v>#ERROR!</v>
      </c>
      <c r="W212" s="278" t="str">
        <f>COUNTIFS([2]Errors!$B:$B, $C212, [2]Errors!$H:$H, W$1)</f>
        <v>#ERROR!</v>
      </c>
      <c r="X212" s="278" t="str">
        <f>COUNTIFS([2]Errors!$B:$B, $C212, [2]Errors!$H:$H, X$1)</f>
        <v>#ERROR!</v>
      </c>
    </row>
    <row r="213" ht="15.75" customHeight="1">
      <c r="A213" s="305">
        <v>0.0</v>
      </c>
      <c r="B213" s="325" t="str">
        <f>SourceData!K213</f>
        <v/>
      </c>
      <c r="C213" s="305" t="str">
        <f>SourceData!J212</f>
        <v/>
      </c>
      <c r="D213" s="298">
        <f>(COUNTIF(Errors!$B$3:$B$3010,'[1]Error Count Analysis'!C213))-((COUNTIFS(Errors!$B$3:$B$3010,'[1]Error Count Analysis'!C213, (Errors!$I$3:$I$3010),"TV*")))</f>
        <v>0</v>
      </c>
      <c r="E213" s="305" t="str">
        <f t="shared" si="1"/>
        <v>#DIV/0!</v>
      </c>
      <c r="F213" s="278" t="str">
        <f>COUNTIFS([2]Errors!$B:$B, $C213, [2]Errors!$H:$H, F$1)</f>
        <v>#ERROR!</v>
      </c>
      <c r="G213" s="278" t="str">
        <f>COUNTIFS([2]Errors!$B:$B, $C213, [2]Errors!$H:$H, G$1)</f>
        <v>#ERROR!</v>
      </c>
      <c r="H213" s="278" t="str">
        <f>COUNTIFS([2]Errors!$B:$B, $C213, [2]Errors!$H:$H, H$1)</f>
        <v>#ERROR!</v>
      </c>
      <c r="I213" s="278" t="str">
        <f>COUNTIFS([2]Errors!$B:$B, $C213, [2]Errors!$H:$H, I$1)</f>
        <v>#ERROR!</v>
      </c>
      <c r="J213" s="278" t="str">
        <f>COUNTIFS([2]Errors!$B:$B, $C213, [2]Errors!$H:$H, J$1)</f>
        <v>#ERROR!</v>
      </c>
      <c r="K213" s="278" t="str">
        <f>COUNTIFS([2]Errors!$B:$B, $C213, [2]Errors!$H:$H, K$1)</f>
        <v>#ERROR!</v>
      </c>
      <c r="L213" s="278" t="str">
        <f>COUNTIFS([2]Errors!$B:$B, $C213, [2]Errors!$H:$H, L$1)</f>
        <v>#ERROR!</v>
      </c>
      <c r="M213" s="278" t="str">
        <f>COUNTIFS([2]Errors!$B:$B, $C213, [2]Errors!$H:$H, M$1)</f>
        <v>#ERROR!</v>
      </c>
      <c r="N213" s="309">
        <f>COUNTIFS(Errors!$B:$B, $C213, Errors!$I:$I, N$1)</f>
        <v>0</v>
      </c>
      <c r="O213" s="278" t="str">
        <f>COUNTIFS([2]Errors!$B:$B, $C213, [2]Errors!$H:$H, O$1)</f>
        <v>#ERROR!</v>
      </c>
      <c r="P213" s="278" t="str">
        <f>COUNTIFS([2]Errors!$B:$B, $C213, [2]Errors!$H:$H, P$1)</f>
        <v>#ERROR!</v>
      </c>
      <c r="Q213" s="278" t="str">
        <f>COUNTIFS([2]Errors!$B:$B, $C213, [2]Errors!$H:$H, Q$1)</f>
        <v>#ERROR!</v>
      </c>
      <c r="R213" s="278" t="str">
        <f>COUNTIFS([2]Errors!$B:$B, $C213, [2]Errors!$H:$H, R$1)</f>
        <v>#ERROR!</v>
      </c>
      <c r="S213" s="278" t="str">
        <f>COUNTIFS([2]Errors!$B:$B, $C213, [2]Errors!$H:$H, S$1)</f>
        <v>#ERROR!</v>
      </c>
      <c r="T213" s="278" t="str">
        <f>COUNTIFS([2]Errors!$B:$B, $C213, [2]Errors!$H:$H, T$1)</f>
        <v>#ERROR!</v>
      </c>
      <c r="U213" s="278" t="str">
        <f>COUNTIFS([2]Errors!$B:$B, $C213, [2]Errors!$H:$H, U$1)</f>
        <v>#ERROR!</v>
      </c>
      <c r="V213" s="278" t="str">
        <f>COUNTIFS([2]Errors!$B:$B, $C213, [2]Errors!$H:$H, V$1)</f>
        <v>#ERROR!</v>
      </c>
      <c r="W213" s="278" t="str">
        <f>COUNTIFS([2]Errors!$B:$B, $C213, [2]Errors!$H:$H, W$1)</f>
        <v>#ERROR!</v>
      </c>
      <c r="X213" s="278" t="str">
        <f>COUNTIFS([2]Errors!$B:$B, $C213, [2]Errors!$H:$H, X$1)</f>
        <v>#ERROR!</v>
      </c>
    </row>
    <row r="214" ht="15.75" customHeight="1">
      <c r="A214" s="325">
        <v>0.0</v>
      </c>
      <c r="B214" s="325" t="str">
        <f>SourceData!K214</f>
        <v/>
      </c>
      <c r="C214" s="294" t="str">
        <f>SourceData!J212</f>
        <v/>
      </c>
      <c r="D214" s="298">
        <f>(COUNTIF(Errors!$B$3:$B$3010,'[1]Error Count Analysis'!C214))-((COUNTIFS(Errors!$B$3:$B$3010,'[1]Error Count Analysis'!C214, (Errors!$I$3:$I$3010),"TV*")))</f>
        <v>0</v>
      </c>
      <c r="E214" s="325" t="str">
        <f t="shared" si="1"/>
        <v>#DIV/0!</v>
      </c>
      <c r="F214" s="278" t="str">
        <f>COUNTIFS([2]Errors!$B:$B, $C214, [2]Errors!$H:$H, F$1)</f>
        <v>#ERROR!</v>
      </c>
      <c r="G214" s="278" t="str">
        <f>COUNTIFS([2]Errors!$B:$B, $C214, [2]Errors!$H:$H, G$1)</f>
        <v>#ERROR!</v>
      </c>
      <c r="H214" s="278" t="str">
        <f>COUNTIFS([2]Errors!$B:$B, $C214, [2]Errors!$H:$H, H$1)</f>
        <v>#ERROR!</v>
      </c>
      <c r="I214" s="278" t="str">
        <f>COUNTIFS([2]Errors!$B:$B, $C214, [2]Errors!$H:$H, I$1)</f>
        <v>#ERROR!</v>
      </c>
      <c r="J214" s="278" t="str">
        <f>COUNTIFS([2]Errors!$B:$B, $C214, [2]Errors!$H:$H, J$1)</f>
        <v>#ERROR!</v>
      </c>
      <c r="K214" s="278" t="str">
        <f>COUNTIFS([2]Errors!$B:$B, $C214, [2]Errors!$H:$H, K$1)</f>
        <v>#ERROR!</v>
      </c>
      <c r="L214" s="278" t="str">
        <f>COUNTIFS([2]Errors!$B:$B, $C214, [2]Errors!$H:$H, L$1)</f>
        <v>#ERROR!</v>
      </c>
      <c r="M214" s="278" t="str">
        <f>COUNTIFS([2]Errors!$B:$B, $C214, [2]Errors!$H:$H, M$1)</f>
        <v>#ERROR!</v>
      </c>
      <c r="N214" s="298">
        <f>COUNTIFS(Errors!$B:$B, $C214, Errors!$I:$I, N$1)</f>
        <v>0</v>
      </c>
      <c r="O214" s="278" t="str">
        <f>COUNTIFS([2]Errors!$B:$B, $C214, [2]Errors!$H:$H, O$1)</f>
        <v>#ERROR!</v>
      </c>
      <c r="P214" s="278" t="str">
        <f>COUNTIFS([2]Errors!$B:$B, $C214, [2]Errors!$H:$H, P$1)</f>
        <v>#ERROR!</v>
      </c>
      <c r="Q214" s="278" t="str">
        <f>COUNTIFS([2]Errors!$B:$B, $C214, [2]Errors!$H:$H, Q$1)</f>
        <v>#ERROR!</v>
      </c>
      <c r="R214" s="278" t="str">
        <f>COUNTIFS([2]Errors!$B:$B, $C214, [2]Errors!$H:$H, R$1)</f>
        <v>#ERROR!</v>
      </c>
      <c r="S214" s="278" t="str">
        <f>COUNTIFS([2]Errors!$B:$B, $C214, [2]Errors!$H:$H, S$1)</f>
        <v>#ERROR!</v>
      </c>
      <c r="T214" s="278" t="str">
        <f>COUNTIFS([2]Errors!$B:$B, $C214, [2]Errors!$H:$H, T$1)</f>
        <v>#ERROR!</v>
      </c>
      <c r="U214" s="278" t="str">
        <f>COUNTIFS([2]Errors!$B:$B, $C214, [2]Errors!$H:$H, U$1)</f>
        <v>#ERROR!</v>
      </c>
      <c r="V214" s="278" t="str">
        <f>COUNTIFS([2]Errors!$B:$B, $C214, [2]Errors!$H:$H, V$1)</f>
        <v>#ERROR!</v>
      </c>
      <c r="W214" s="278" t="str">
        <f>COUNTIFS([2]Errors!$B:$B, $C214, [2]Errors!$H:$H, W$1)</f>
        <v>#ERROR!</v>
      </c>
      <c r="X214" s="278" t="str">
        <f>COUNTIFS([2]Errors!$B:$B, $C214, [2]Errors!$H:$H, X$1)</f>
        <v>#ERROR!</v>
      </c>
    </row>
    <row r="215" ht="15.75" customHeight="1">
      <c r="A215" s="305">
        <v>0.0</v>
      </c>
      <c r="B215" s="325" t="str">
        <f>SourceData!K215</f>
        <v/>
      </c>
      <c r="C215" s="305" t="str">
        <f>SourceData!J214</f>
        <v/>
      </c>
      <c r="D215" s="298">
        <f>(COUNTIF(Errors!$B$3:$B$3010,'[1]Error Count Analysis'!C215))-((COUNTIFS(Errors!$B$3:$B$3010,'[1]Error Count Analysis'!C215, (Errors!$I$3:$I$3010),"TV*")))</f>
        <v>0</v>
      </c>
      <c r="E215" s="305" t="str">
        <f t="shared" si="1"/>
        <v>#DIV/0!</v>
      </c>
      <c r="F215" s="278" t="str">
        <f>COUNTIFS([2]Errors!$B:$B, $C215, [2]Errors!$H:$H, F$1)</f>
        <v>#ERROR!</v>
      </c>
      <c r="G215" s="278" t="str">
        <f>COUNTIFS([2]Errors!$B:$B, $C215, [2]Errors!$H:$H, G$1)</f>
        <v>#ERROR!</v>
      </c>
      <c r="H215" s="278" t="str">
        <f>COUNTIFS([2]Errors!$B:$B, $C215, [2]Errors!$H:$H, H$1)</f>
        <v>#ERROR!</v>
      </c>
      <c r="I215" s="278" t="str">
        <f>COUNTIFS([2]Errors!$B:$B, $C215, [2]Errors!$H:$H, I$1)</f>
        <v>#ERROR!</v>
      </c>
      <c r="J215" s="278" t="str">
        <f>COUNTIFS([2]Errors!$B:$B, $C215, [2]Errors!$H:$H, J$1)</f>
        <v>#ERROR!</v>
      </c>
      <c r="K215" s="278" t="str">
        <f>COUNTIFS([2]Errors!$B:$B, $C215, [2]Errors!$H:$H, K$1)</f>
        <v>#ERROR!</v>
      </c>
      <c r="L215" s="278" t="str">
        <f>COUNTIFS([2]Errors!$B:$B, $C215, [2]Errors!$H:$H, L$1)</f>
        <v>#ERROR!</v>
      </c>
      <c r="M215" s="278" t="str">
        <f>COUNTIFS([2]Errors!$B:$B, $C215, [2]Errors!$H:$H, M$1)</f>
        <v>#ERROR!</v>
      </c>
      <c r="N215" s="309">
        <f>COUNTIFS(Errors!$B:$B, $C215, Errors!$I:$I, N$1)</f>
        <v>0</v>
      </c>
      <c r="O215" s="278" t="str">
        <f>COUNTIFS([2]Errors!$B:$B, $C215, [2]Errors!$H:$H, O$1)</f>
        <v>#ERROR!</v>
      </c>
      <c r="P215" s="278" t="str">
        <f>COUNTIFS([2]Errors!$B:$B, $C215, [2]Errors!$H:$H, P$1)</f>
        <v>#ERROR!</v>
      </c>
      <c r="Q215" s="278" t="str">
        <f>COUNTIFS([2]Errors!$B:$B, $C215, [2]Errors!$H:$H, Q$1)</f>
        <v>#ERROR!</v>
      </c>
      <c r="R215" s="278" t="str">
        <f>COUNTIFS([2]Errors!$B:$B, $C215, [2]Errors!$H:$H, R$1)</f>
        <v>#ERROR!</v>
      </c>
      <c r="S215" s="278" t="str">
        <f>COUNTIFS([2]Errors!$B:$B, $C215, [2]Errors!$H:$H, S$1)</f>
        <v>#ERROR!</v>
      </c>
      <c r="T215" s="278" t="str">
        <f>COUNTIFS([2]Errors!$B:$B, $C215, [2]Errors!$H:$H, T$1)</f>
        <v>#ERROR!</v>
      </c>
      <c r="U215" s="278" t="str">
        <f>COUNTIFS([2]Errors!$B:$B, $C215, [2]Errors!$H:$H, U$1)</f>
        <v>#ERROR!</v>
      </c>
      <c r="V215" s="278" t="str">
        <f>COUNTIFS([2]Errors!$B:$B, $C215, [2]Errors!$H:$H, V$1)</f>
        <v>#ERROR!</v>
      </c>
      <c r="W215" s="278" t="str">
        <f>COUNTIFS([2]Errors!$B:$B, $C215, [2]Errors!$H:$H, W$1)</f>
        <v>#ERROR!</v>
      </c>
      <c r="X215" s="278" t="str">
        <f>COUNTIFS([2]Errors!$B:$B, $C215, [2]Errors!$H:$H, X$1)</f>
        <v>#ERROR!</v>
      </c>
    </row>
    <row r="216" ht="15.75" customHeight="1">
      <c r="A216" s="325">
        <v>0.0</v>
      </c>
      <c r="B216" s="325" t="str">
        <f>SourceData!K216</f>
        <v/>
      </c>
      <c r="C216" s="294" t="str">
        <f>SourceData!J214</f>
        <v/>
      </c>
      <c r="D216" s="298">
        <f>(COUNTIF(Errors!$B$3:$B$3010,'[1]Error Count Analysis'!C216))-((COUNTIFS(Errors!$B$3:$B$3010,'[1]Error Count Analysis'!C216, (Errors!$I$3:$I$3010),"TV*")))</f>
        <v>0</v>
      </c>
      <c r="E216" s="325" t="str">
        <f t="shared" si="1"/>
        <v>#DIV/0!</v>
      </c>
      <c r="F216" s="278" t="str">
        <f>COUNTIFS([2]Errors!$B:$B, $C216, [2]Errors!$H:$H, F$1)</f>
        <v>#ERROR!</v>
      </c>
      <c r="G216" s="278" t="str">
        <f>COUNTIFS([2]Errors!$B:$B, $C216, [2]Errors!$H:$H, G$1)</f>
        <v>#ERROR!</v>
      </c>
      <c r="H216" s="278" t="str">
        <f>COUNTIFS([2]Errors!$B:$B, $C216, [2]Errors!$H:$H, H$1)</f>
        <v>#ERROR!</v>
      </c>
      <c r="I216" s="278" t="str">
        <f>COUNTIFS([2]Errors!$B:$B, $C216, [2]Errors!$H:$H, I$1)</f>
        <v>#ERROR!</v>
      </c>
      <c r="J216" s="278" t="str">
        <f>COUNTIFS([2]Errors!$B:$B, $C216, [2]Errors!$H:$H, J$1)</f>
        <v>#ERROR!</v>
      </c>
      <c r="K216" s="278" t="str">
        <f>COUNTIFS([2]Errors!$B:$B, $C216, [2]Errors!$H:$H, K$1)</f>
        <v>#ERROR!</v>
      </c>
      <c r="L216" s="278" t="str">
        <f>COUNTIFS([2]Errors!$B:$B, $C216, [2]Errors!$H:$H, L$1)</f>
        <v>#ERROR!</v>
      </c>
      <c r="M216" s="278" t="str">
        <f>COUNTIFS([2]Errors!$B:$B, $C216, [2]Errors!$H:$H, M$1)</f>
        <v>#ERROR!</v>
      </c>
      <c r="N216" s="298">
        <f>COUNTIFS(Errors!$B:$B, $C216, Errors!$I:$I, N$1)</f>
        <v>0</v>
      </c>
      <c r="O216" s="278" t="str">
        <f>COUNTIFS([2]Errors!$B:$B, $C216, [2]Errors!$H:$H, O$1)</f>
        <v>#ERROR!</v>
      </c>
      <c r="P216" s="278" t="str">
        <f>COUNTIFS([2]Errors!$B:$B, $C216, [2]Errors!$H:$H, P$1)</f>
        <v>#ERROR!</v>
      </c>
      <c r="Q216" s="278" t="str">
        <f>COUNTIFS([2]Errors!$B:$B, $C216, [2]Errors!$H:$H, Q$1)</f>
        <v>#ERROR!</v>
      </c>
      <c r="R216" s="278" t="str">
        <f>COUNTIFS([2]Errors!$B:$B, $C216, [2]Errors!$H:$H, R$1)</f>
        <v>#ERROR!</v>
      </c>
      <c r="S216" s="278" t="str">
        <f>COUNTIFS([2]Errors!$B:$B, $C216, [2]Errors!$H:$H, S$1)</f>
        <v>#ERROR!</v>
      </c>
      <c r="T216" s="278" t="str">
        <f>COUNTIFS([2]Errors!$B:$B, $C216, [2]Errors!$H:$H, T$1)</f>
        <v>#ERROR!</v>
      </c>
      <c r="U216" s="278" t="str">
        <f>COUNTIFS([2]Errors!$B:$B, $C216, [2]Errors!$H:$H, U$1)</f>
        <v>#ERROR!</v>
      </c>
      <c r="V216" s="278" t="str">
        <f>COUNTIFS([2]Errors!$B:$B, $C216, [2]Errors!$H:$H, V$1)</f>
        <v>#ERROR!</v>
      </c>
      <c r="W216" s="278" t="str">
        <f>COUNTIFS([2]Errors!$B:$B, $C216, [2]Errors!$H:$H, W$1)</f>
        <v>#ERROR!</v>
      </c>
      <c r="X216" s="278" t="str">
        <f>COUNTIFS([2]Errors!$B:$B, $C216, [2]Errors!$H:$H, X$1)</f>
        <v>#ERROR!</v>
      </c>
    </row>
    <row r="217" ht="15.75" customHeight="1">
      <c r="A217" s="305">
        <v>0.0</v>
      </c>
      <c r="B217" s="325" t="str">
        <f>SourceData!K217</f>
        <v/>
      </c>
      <c r="C217" s="305" t="str">
        <f>SourceData!J216</f>
        <v/>
      </c>
      <c r="D217" s="298">
        <f>(COUNTIF(Errors!$B$3:$B$3010,'[1]Error Count Analysis'!C217))-((COUNTIFS(Errors!$B$3:$B$3010,'[1]Error Count Analysis'!C217, (Errors!$I$3:$I$3010),"TV*")))</f>
        <v>0</v>
      </c>
      <c r="E217" s="305" t="str">
        <f t="shared" si="1"/>
        <v>#DIV/0!</v>
      </c>
      <c r="F217" s="278" t="str">
        <f>COUNTIFS([2]Errors!$B:$B, $C217, [2]Errors!$H:$H, F$1)</f>
        <v>#ERROR!</v>
      </c>
      <c r="G217" s="278" t="str">
        <f>COUNTIFS([2]Errors!$B:$B, $C217, [2]Errors!$H:$H, G$1)</f>
        <v>#ERROR!</v>
      </c>
      <c r="H217" s="278" t="str">
        <f>COUNTIFS([2]Errors!$B:$B, $C217, [2]Errors!$H:$H, H$1)</f>
        <v>#ERROR!</v>
      </c>
      <c r="I217" s="278" t="str">
        <f>COUNTIFS([2]Errors!$B:$B, $C217, [2]Errors!$H:$H, I$1)</f>
        <v>#ERROR!</v>
      </c>
      <c r="J217" s="278" t="str">
        <f>COUNTIFS([2]Errors!$B:$B, $C217, [2]Errors!$H:$H, J$1)</f>
        <v>#ERROR!</v>
      </c>
      <c r="K217" s="278" t="str">
        <f>COUNTIFS([2]Errors!$B:$B, $C217, [2]Errors!$H:$H, K$1)</f>
        <v>#ERROR!</v>
      </c>
      <c r="L217" s="278" t="str">
        <f>COUNTIFS([2]Errors!$B:$B, $C217, [2]Errors!$H:$H, L$1)</f>
        <v>#ERROR!</v>
      </c>
      <c r="M217" s="278" t="str">
        <f>COUNTIFS([2]Errors!$B:$B, $C217, [2]Errors!$H:$H, M$1)</f>
        <v>#ERROR!</v>
      </c>
      <c r="N217" s="309">
        <f>COUNTIFS(Errors!$B:$B, $C217, Errors!$I:$I, N$1)</f>
        <v>0</v>
      </c>
      <c r="O217" s="278" t="str">
        <f>COUNTIFS([2]Errors!$B:$B, $C217, [2]Errors!$H:$H, O$1)</f>
        <v>#ERROR!</v>
      </c>
      <c r="P217" s="278" t="str">
        <f>COUNTIFS([2]Errors!$B:$B, $C217, [2]Errors!$H:$H, P$1)</f>
        <v>#ERROR!</v>
      </c>
      <c r="Q217" s="278" t="str">
        <f>COUNTIFS([2]Errors!$B:$B, $C217, [2]Errors!$H:$H, Q$1)</f>
        <v>#ERROR!</v>
      </c>
      <c r="R217" s="278" t="str">
        <f>COUNTIFS([2]Errors!$B:$B, $C217, [2]Errors!$H:$H, R$1)</f>
        <v>#ERROR!</v>
      </c>
      <c r="S217" s="278" t="str">
        <f>COUNTIFS([2]Errors!$B:$B, $C217, [2]Errors!$H:$H, S$1)</f>
        <v>#ERROR!</v>
      </c>
      <c r="T217" s="278" t="str">
        <f>COUNTIFS([2]Errors!$B:$B, $C217, [2]Errors!$H:$H, T$1)</f>
        <v>#ERROR!</v>
      </c>
      <c r="U217" s="278" t="str">
        <f>COUNTIFS([2]Errors!$B:$B, $C217, [2]Errors!$H:$H, U$1)</f>
        <v>#ERROR!</v>
      </c>
      <c r="V217" s="278" t="str">
        <f>COUNTIFS([2]Errors!$B:$B, $C217, [2]Errors!$H:$H, V$1)</f>
        <v>#ERROR!</v>
      </c>
      <c r="W217" s="278" t="str">
        <f>COUNTIFS([2]Errors!$B:$B, $C217, [2]Errors!$H:$H, W$1)</f>
        <v>#ERROR!</v>
      </c>
      <c r="X217" s="278" t="str">
        <f>COUNTIFS([2]Errors!$B:$B, $C217, [2]Errors!$H:$H, X$1)</f>
        <v>#ERROR!</v>
      </c>
    </row>
    <row r="218" ht="15.75" customHeight="1">
      <c r="A218" s="325">
        <v>0.0</v>
      </c>
      <c r="B218" s="325" t="str">
        <f>SourceData!K218</f>
        <v/>
      </c>
      <c r="C218" s="294" t="str">
        <f>SourceData!J216</f>
        <v/>
      </c>
      <c r="D218" s="298">
        <f>(COUNTIF(Errors!$B$3:$B$3010,'[1]Error Count Analysis'!C218))-((COUNTIFS(Errors!$B$3:$B$3010,'[1]Error Count Analysis'!C218, (Errors!$I$3:$I$3010),"TV*")))</f>
        <v>0</v>
      </c>
      <c r="E218" s="325" t="str">
        <f t="shared" si="1"/>
        <v>#DIV/0!</v>
      </c>
      <c r="F218" s="278" t="str">
        <f>COUNTIFS([2]Errors!$B:$B, $C218, [2]Errors!$H:$H, F$1)</f>
        <v>#ERROR!</v>
      </c>
      <c r="G218" s="278" t="str">
        <f>COUNTIFS([2]Errors!$B:$B, $C218, [2]Errors!$H:$H, G$1)</f>
        <v>#ERROR!</v>
      </c>
      <c r="H218" s="278" t="str">
        <f>COUNTIFS([2]Errors!$B:$B, $C218, [2]Errors!$H:$H, H$1)</f>
        <v>#ERROR!</v>
      </c>
      <c r="I218" s="278" t="str">
        <f>COUNTIFS([2]Errors!$B:$B, $C218, [2]Errors!$H:$H, I$1)</f>
        <v>#ERROR!</v>
      </c>
      <c r="J218" s="278" t="str">
        <f>COUNTIFS([2]Errors!$B:$B, $C218, [2]Errors!$H:$H, J$1)</f>
        <v>#ERROR!</v>
      </c>
      <c r="K218" s="278" t="str">
        <f>COUNTIFS([2]Errors!$B:$B, $C218, [2]Errors!$H:$H, K$1)</f>
        <v>#ERROR!</v>
      </c>
      <c r="L218" s="278" t="str">
        <f>COUNTIFS([2]Errors!$B:$B, $C218, [2]Errors!$H:$H, L$1)</f>
        <v>#ERROR!</v>
      </c>
      <c r="M218" s="278" t="str">
        <f>COUNTIFS([2]Errors!$B:$B, $C218, [2]Errors!$H:$H, M$1)</f>
        <v>#ERROR!</v>
      </c>
      <c r="N218" s="298">
        <f>COUNTIFS(Errors!$B:$B, $C218, Errors!$I:$I, N$1)</f>
        <v>0</v>
      </c>
      <c r="O218" s="278" t="str">
        <f>COUNTIFS([2]Errors!$B:$B, $C218, [2]Errors!$H:$H, O$1)</f>
        <v>#ERROR!</v>
      </c>
      <c r="P218" s="278" t="str">
        <f>COUNTIFS([2]Errors!$B:$B, $C218, [2]Errors!$H:$H, P$1)</f>
        <v>#ERROR!</v>
      </c>
      <c r="Q218" s="278" t="str">
        <f>COUNTIFS([2]Errors!$B:$B, $C218, [2]Errors!$H:$H, Q$1)</f>
        <v>#ERROR!</v>
      </c>
      <c r="R218" s="278" t="str">
        <f>COUNTIFS([2]Errors!$B:$B, $C218, [2]Errors!$H:$H, R$1)</f>
        <v>#ERROR!</v>
      </c>
      <c r="S218" s="278" t="str">
        <f>COUNTIFS([2]Errors!$B:$B, $C218, [2]Errors!$H:$H, S$1)</f>
        <v>#ERROR!</v>
      </c>
      <c r="T218" s="278" t="str">
        <f>COUNTIFS([2]Errors!$B:$B, $C218, [2]Errors!$H:$H, T$1)</f>
        <v>#ERROR!</v>
      </c>
      <c r="U218" s="278" t="str">
        <f>COUNTIFS([2]Errors!$B:$B, $C218, [2]Errors!$H:$H, U$1)</f>
        <v>#ERROR!</v>
      </c>
      <c r="V218" s="278" t="str">
        <f>COUNTIFS([2]Errors!$B:$B, $C218, [2]Errors!$H:$H, V$1)</f>
        <v>#ERROR!</v>
      </c>
      <c r="W218" s="278" t="str">
        <f>COUNTIFS([2]Errors!$B:$B, $C218, [2]Errors!$H:$H, W$1)</f>
        <v>#ERROR!</v>
      </c>
      <c r="X218" s="278" t="str">
        <f>COUNTIFS([2]Errors!$B:$B, $C218, [2]Errors!$H:$H, X$1)</f>
        <v>#ERROR!</v>
      </c>
    </row>
    <row r="219" ht="15.75" customHeight="1">
      <c r="A219" s="305">
        <v>0.0</v>
      </c>
      <c r="B219" s="325" t="str">
        <f>SourceData!K219</f>
        <v/>
      </c>
      <c r="C219" s="305" t="str">
        <f>SourceData!J218</f>
        <v/>
      </c>
      <c r="D219" s="298">
        <f>(COUNTIF(Errors!$B$3:$B$3010,'[1]Error Count Analysis'!C219))-((COUNTIFS(Errors!$B$3:$B$3010,'[1]Error Count Analysis'!C219, (Errors!$I$3:$I$3010),"TV*")))</f>
        <v>0</v>
      </c>
      <c r="E219" s="305" t="str">
        <f t="shared" si="1"/>
        <v>#DIV/0!</v>
      </c>
      <c r="F219" s="278" t="str">
        <f>COUNTIFS([2]Errors!$B:$B, $C219, [2]Errors!$H:$H, F$1)</f>
        <v>#ERROR!</v>
      </c>
      <c r="G219" s="278" t="str">
        <f>COUNTIFS([2]Errors!$B:$B, $C219, [2]Errors!$H:$H, G$1)</f>
        <v>#ERROR!</v>
      </c>
      <c r="H219" s="278" t="str">
        <f>COUNTIFS([2]Errors!$B:$B, $C219, [2]Errors!$H:$H, H$1)</f>
        <v>#ERROR!</v>
      </c>
      <c r="I219" s="278" t="str">
        <f>COUNTIFS([2]Errors!$B:$B, $C219, [2]Errors!$H:$H, I$1)</f>
        <v>#ERROR!</v>
      </c>
      <c r="J219" s="278" t="str">
        <f>COUNTIFS([2]Errors!$B:$B, $C219, [2]Errors!$H:$H, J$1)</f>
        <v>#ERROR!</v>
      </c>
      <c r="K219" s="278" t="str">
        <f>COUNTIFS([2]Errors!$B:$B, $C219, [2]Errors!$H:$H, K$1)</f>
        <v>#ERROR!</v>
      </c>
      <c r="L219" s="278" t="str">
        <f>COUNTIFS([2]Errors!$B:$B, $C219, [2]Errors!$H:$H, L$1)</f>
        <v>#ERROR!</v>
      </c>
      <c r="M219" s="278" t="str">
        <f>COUNTIFS([2]Errors!$B:$B, $C219, [2]Errors!$H:$H, M$1)</f>
        <v>#ERROR!</v>
      </c>
      <c r="N219" s="309">
        <f>COUNTIFS(Errors!$B:$B, $C219, Errors!$I:$I, N$1)</f>
        <v>0</v>
      </c>
      <c r="O219" s="278" t="str">
        <f>COUNTIFS([2]Errors!$B:$B, $C219, [2]Errors!$H:$H, O$1)</f>
        <v>#ERROR!</v>
      </c>
      <c r="P219" s="278" t="str">
        <f>COUNTIFS([2]Errors!$B:$B, $C219, [2]Errors!$H:$H, P$1)</f>
        <v>#ERROR!</v>
      </c>
      <c r="Q219" s="278" t="str">
        <f>COUNTIFS([2]Errors!$B:$B, $C219, [2]Errors!$H:$H, Q$1)</f>
        <v>#ERROR!</v>
      </c>
      <c r="R219" s="278" t="str">
        <f>COUNTIFS([2]Errors!$B:$B, $C219, [2]Errors!$H:$H, R$1)</f>
        <v>#ERROR!</v>
      </c>
      <c r="S219" s="278" t="str">
        <f>COUNTIFS([2]Errors!$B:$B, $C219, [2]Errors!$H:$H, S$1)</f>
        <v>#ERROR!</v>
      </c>
      <c r="T219" s="278" t="str">
        <f>COUNTIFS([2]Errors!$B:$B, $C219, [2]Errors!$H:$H, T$1)</f>
        <v>#ERROR!</v>
      </c>
      <c r="U219" s="278" t="str">
        <f>COUNTIFS([2]Errors!$B:$B, $C219, [2]Errors!$H:$H, U$1)</f>
        <v>#ERROR!</v>
      </c>
      <c r="V219" s="278" t="str">
        <f>COUNTIFS([2]Errors!$B:$B, $C219, [2]Errors!$H:$H, V$1)</f>
        <v>#ERROR!</v>
      </c>
      <c r="W219" s="278" t="str">
        <f>COUNTIFS([2]Errors!$B:$B, $C219, [2]Errors!$H:$H, W$1)</f>
        <v>#ERROR!</v>
      </c>
      <c r="X219" s="278" t="str">
        <f>COUNTIFS([2]Errors!$B:$B, $C219, [2]Errors!$H:$H, X$1)</f>
        <v>#ERROR!</v>
      </c>
    </row>
    <row r="220" ht="15.75" customHeight="1">
      <c r="A220" s="325">
        <v>0.0</v>
      </c>
      <c r="B220" s="325" t="str">
        <f>SourceData!K220</f>
        <v/>
      </c>
      <c r="C220" s="294" t="str">
        <f>SourceData!J218</f>
        <v/>
      </c>
      <c r="D220" s="298">
        <f>(COUNTIF(Errors!$B$3:$B$3010,'[1]Error Count Analysis'!C220))-((COUNTIFS(Errors!$B$3:$B$3010,'[1]Error Count Analysis'!C220, (Errors!$I$3:$I$3010),"TV*")))</f>
        <v>0</v>
      </c>
      <c r="E220" s="325" t="str">
        <f t="shared" si="1"/>
        <v>#DIV/0!</v>
      </c>
      <c r="F220" s="278" t="str">
        <f>COUNTIFS([2]Errors!$B:$B, $C220, [2]Errors!$H:$H, F$1)</f>
        <v>#ERROR!</v>
      </c>
      <c r="G220" s="278" t="str">
        <f>COUNTIFS([2]Errors!$B:$B, $C220, [2]Errors!$H:$H, G$1)</f>
        <v>#ERROR!</v>
      </c>
      <c r="H220" s="278" t="str">
        <f>COUNTIFS([2]Errors!$B:$B, $C220, [2]Errors!$H:$H, H$1)</f>
        <v>#ERROR!</v>
      </c>
      <c r="I220" s="278" t="str">
        <f>COUNTIFS([2]Errors!$B:$B, $C220, [2]Errors!$H:$H, I$1)</f>
        <v>#ERROR!</v>
      </c>
      <c r="J220" s="278" t="str">
        <f>COUNTIFS([2]Errors!$B:$B, $C220, [2]Errors!$H:$H, J$1)</f>
        <v>#ERROR!</v>
      </c>
      <c r="K220" s="278" t="str">
        <f>COUNTIFS([2]Errors!$B:$B, $C220, [2]Errors!$H:$H, K$1)</f>
        <v>#ERROR!</v>
      </c>
      <c r="L220" s="278" t="str">
        <f>COUNTIFS([2]Errors!$B:$B, $C220, [2]Errors!$H:$H, L$1)</f>
        <v>#ERROR!</v>
      </c>
      <c r="M220" s="278" t="str">
        <f>COUNTIFS([2]Errors!$B:$B, $C220, [2]Errors!$H:$H, M$1)</f>
        <v>#ERROR!</v>
      </c>
      <c r="N220" s="298">
        <f>COUNTIFS(Errors!$B:$B, $C220, Errors!$I:$I, N$1)</f>
        <v>0</v>
      </c>
      <c r="O220" s="278" t="str">
        <f>COUNTIFS([2]Errors!$B:$B, $C220, [2]Errors!$H:$H, O$1)</f>
        <v>#ERROR!</v>
      </c>
      <c r="P220" s="278" t="str">
        <f>COUNTIFS([2]Errors!$B:$B, $C220, [2]Errors!$H:$H, P$1)</f>
        <v>#ERROR!</v>
      </c>
      <c r="Q220" s="278" t="str">
        <f>COUNTIFS([2]Errors!$B:$B, $C220, [2]Errors!$H:$H, Q$1)</f>
        <v>#ERROR!</v>
      </c>
      <c r="R220" s="278" t="str">
        <f>COUNTIFS([2]Errors!$B:$B, $C220, [2]Errors!$H:$H, R$1)</f>
        <v>#ERROR!</v>
      </c>
      <c r="S220" s="278" t="str">
        <f>COUNTIFS([2]Errors!$B:$B, $C220, [2]Errors!$H:$H, S$1)</f>
        <v>#ERROR!</v>
      </c>
      <c r="T220" s="278" t="str">
        <f>COUNTIFS([2]Errors!$B:$B, $C220, [2]Errors!$H:$H, T$1)</f>
        <v>#ERROR!</v>
      </c>
      <c r="U220" s="278" t="str">
        <f>COUNTIFS([2]Errors!$B:$B, $C220, [2]Errors!$H:$H, U$1)</f>
        <v>#ERROR!</v>
      </c>
      <c r="V220" s="278" t="str">
        <f>COUNTIFS([2]Errors!$B:$B, $C220, [2]Errors!$H:$H, V$1)</f>
        <v>#ERROR!</v>
      </c>
      <c r="W220" s="278" t="str">
        <f>COUNTIFS([2]Errors!$B:$B, $C220, [2]Errors!$H:$H, W$1)</f>
        <v>#ERROR!</v>
      </c>
      <c r="X220" s="278" t="str">
        <f>COUNTIFS([2]Errors!$B:$B, $C220, [2]Errors!$H:$H, X$1)</f>
        <v>#ERROR!</v>
      </c>
    </row>
    <row r="221" ht="15.75" customHeight="1">
      <c r="A221" s="305">
        <v>0.0</v>
      </c>
      <c r="B221" s="325" t="str">
        <f>SourceData!K221</f>
        <v/>
      </c>
      <c r="C221" s="305" t="str">
        <f>SourceData!J220</f>
        <v/>
      </c>
      <c r="D221" s="298">
        <f>(COUNTIF(Errors!$B$3:$B$3010,'[1]Error Count Analysis'!C221))-((COUNTIFS(Errors!$B$3:$B$3010,'[1]Error Count Analysis'!C221, (Errors!$I$3:$I$3010),"TV*")))</f>
        <v>0</v>
      </c>
      <c r="E221" s="305" t="str">
        <f t="shared" si="1"/>
        <v>#DIV/0!</v>
      </c>
      <c r="F221" s="278" t="str">
        <f>COUNTIFS([2]Errors!$B:$B, $C221, [2]Errors!$H:$H, F$1)</f>
        <v>#ERROR!</v>
      </c>
      <c r="G221" s="278" t="str">
        <f>COUNTIFS([2]Errors!$B:$B, $C221, [2]Errors!$H:$H, G$1)</f>
        <v>#ERROR!</v>
      </c>
      <c r="H221" s="278" t="str">
        <f>COUNTIFS([2]Errors!$B:$B, $C221, [2]Errors!$H:$H, H$1)</f>
        <v>#ERROR!</v>
      </c>
      <c r="I221" s="278" t="str">
        <f>COUNTIFS([2]Errors!$B:$B, $C221, [2]Errors!$H:$H, I$1)</f>
        <v>#ERROR!</v>
      </c>
      <c r="J221" s="278" t="str">
        <f>COUNTIFS([2]Errors!$B:$B, $C221, [2]Errors!$H:$H, J$1)</f>
        <v>#ERROR!</v>
      </c>
      <c r="K221" s="278" t="str">
        <f>COUNTIFS([2]Errors!$B:$B, $C221, [2]Errors!$H:$H, K$1)</f>
        <v>#ERROR!</v>
      </c>
      <c r="L221" s="278" t="str">
        <f>COUNTIFS([2]Errors!$B:$B, $C221, [2]Errors!$H:$H, L$1)</f>
        <v>#ERROR!</v>
      </c>
      <c r="M221" s="278" t="str">
        <f>COUNTIFS([2]Errors!$B:$B, $C221, [2]Errors!$H:$H, M$1)</f>
        <v>#ERROR!</v>
      </c>
      <c r="N221" s="309">
        <f>COUNTIFS(Errors!$B:$B, $C221, Errors!$I:$I, N$1)</f>
        <v>0</v>
      </c>
      <c r="O221" s="278" t="str">
        <f>COUNTIFS([2]Errors!$B:$B, $C221, [2]Errors!$H:$H, O$1)</f>
        <v>#ERROR!</v>
      </c>
      <c r="P221" s="278" t="str">
        <f>COUNTIFS([2]Errors!$B:$B, $C221, [2]Errors!$H:$H, P$1)</f>
        <v>#ERROR!</v>
      </c>
      <c r="Q221" s="278" t="str">
        <f>COUNTIFS([2]Errors!$B:$B, $C221, [2]Errors!$H:$H, Q$1)</f>
        <v>#ERROR!</v>
      </c>
      <c r="R221" s="278" t="str">
        <f>COUNTIFS([2]Errors!$B:$B, $C221, [2]Errors!$H:$H, R$1)</f>
        <v>#ERROR!</v>
      </c>
      <c r="S221" s="278" t="str">
        <f>COUNTIFS([2]Errors!$B:$B, $C221, [2]Errors!$H:$H, S$1)</f>
        <v>#ERROR!</v>
      </c>
      <c r="T221" s="278" t="str">
        <f>COUNTIFS([2]Errors!$B:$B, $C221, [2]Errors!$H:$H, T$1)</f>
        <v>#ERROR!</v>
      </c>
      <c r="U221" s="278" t="str">
        <f>COUNTIFS([2]Errors!$B:$B, $C221, [2]Errors!$H:$H, U$1)</f>
        <v>#ERROR!</v>
      </c>
      <c r="V221" s="278" t="str">
        <f>COUNTIFS([2]Errors!$B:$B, $C221, [2]Errors!$H:$H, V$1)</f>
        <v>#ERROR!</v>
      </c>
      <c r="W221" s="278" t="str">
        <f>COUNTIFS([2]Errors!$B:$B, $C221, [2]Errors!$H:$H, W$1)</f>
        <v>#ERROR!</v>
      </c>
      <c r="X221" s="278" t="str">
        <f>COUNTIFS([2]Errors!$B:$B, $C221, [2]Errors!$H:$H, X$1)</f>
        <v>#ERROR!</v>
      </c>
    </row>
    <row r="222" ht="15.75" customHeight="1">
      <c r="A222" s="325">
        <v>0.0</v>
      </c>
      <c r="B222" s="325" t="str">
        <f>SourceData!K222</f>
        <v/>
      </c>
      <c r="C222" s="294" t="str">
        <f>SourceData!J220</f>
        <v/>
      </c>
      <c r="D222" s="298">
        <f>(COUNTIF(Errors!$B$3:$B$3010,'[1]Error Count Analysis'!C222))-((COUNTIFS(Errors!$B$3:$B$3010,'[1]Error Count Analysis'!C222, (Errors!$I$3:$I$3010),"TV*")))</f>
        <v>0</v>
      </c>
      <c r="E222" s="325" t="str">
        <f t="shared" si="1"/>
        <v>#DIV/0!</v>
      </c>
      <c r="F222" s="278" t="str">
        <f>COUNTIFS([2]Errors!$B:$B, $C222, [2]Errors!$H:$H, F$1)</f>
        <v>#ERROR!</v>
      </c>
      <c r="G222" s="278" t="str">
        <f>COUNTIFS([2]Errors!$B:$B, $C222, [2]Errors!$H:$H, G$1)</f>
        <v>#ERROR!</v>
      </c>
      <c r="H222" s="278" t="str">
        <f>COUNTIFS([2]Errors!$B:$B, $C222, [2]Errors!$H:$H, H$1)</f>
        <v>#ERROR!</v>
      </c>
      <c r="I222" s="278" t="str">
        <f>COUNTIFS([2]Errors!$B:$B, $C222, [2]Errors!$H:$H, I$1)</f>
        <v>#ERROR!</v>
      </c>
      <c r="J222" s="278" t="str">
        <f>COUNTIFS([2]Errors!$B:$B, $C222, [2]Errors!$H:$H, J$1)</f>
        <v>#ERROR!</v>
      </c>
      <c r="K222" s="278" t="str">
        <f>COUNTIFS([2]Errors!$B:$B, $C222, [2]Errors!$H:$H, K$1)</f>
        <v>#ERROR!</v>
      </c>
      <c r="L222" s="278" t="str">
        <f>COUNTIFS([2]Errors!$B:$B, $C222, [2]Errors!$H:$H, L$1)</f>
        <v>#ERROR!</v>
      </c>
      <c r="M222" s="278" t="str">
        <f>COUNTIFS([2]Errors!$B:$B, $C222, [2]Errors!$H:$H, M$1)</f>
        <v>#ERROR!</v>
      </c>
      <c r="N222" s="298">
        <f>COUNTIFS(Errors!$B:$B, $C222, Errors!$I:$I, N$1)</f>
        <v>0</v>
      </c>
      <c r="O222" s="278" t="str">
        <f>COUNTIFS([2]Errors!$B:$B, $C222, [2]Errors!$H:$H, O$1)</f>
        <v>#ERROR!</v>
      </c>
      <c r="P222" s="278" t="str">
        <f>COUNTIFS([2]Errors!$B:$B, $C222, [2]Errors!$H:$H, P$1)</f>
        <v>#ERROR!</v>
      </c>
      <c r="Q222" s="278" t="str">
        <f>COUNTIFS([2]Errors!$B:$B, $C222, [2]Errors!$H:$H, Q$1)</f>
        <v>#ERROR!</v>
      </c>
      <c r="R222" s="278" t="str">
        <f>COUNTIFS([2]Errors!$B:$B, $C222, [2]Errors!$H:$H, R$1)</f>
        <v>#ERROR!</v>
      </c>
      <c r="S222" s="278" t="str">
        <f>COUNTIFS([2]Errors!$B:$B, $C222, [2]Errors!$H:$H, S$1)</f>
        <v>#ERROR!</v>
      </c>
      <c r="T222" s="278" t="str">
        <f>COUNTIFS([2]Errors!$B:$B, $C222, [2]Errors!$H:$H, T$1)</f>
        <v>#ERROR!</v>
      </c>
      <c r="U222" s="278" t="str">
        <f>COUNTIFS([2]Errors!$B:$B, $C222, [2]Errors!$H:$H, U$1)</f>
        <v>#ERROR!</v>
      </c>
      <c r="V222" s="278" t="str">
        <f>COUNTIFS([2]Errors!$B:$B, $C222, [2]Errors!$H:$H, V$1)</f>
        <v>#ERROR!</v>
      </c>
      <c r="W222" s="278" t="str">
        <f>COUNTIFS([2]Errors!$B:$B, $C222, [2]Errors!$H:$H, W$1)</f>
        <v>#ERROR!</v>
      </c>
      <c r="X222" s="278" t="str">
        <f>COUNTIFS([2]Errors!$B:$B, $C222, [2]Errors!$H:$H, X$1)</f>
        <v>#ERROR!</v>
      </c>
    </row>
    <row r="223" ht="15.75" customHeight="1">
      <c r="A223" s="305">
        <v>0.0</v>
      </c>
      <c r="B223" s="325" t="str">
        <f>SourceData!K223</f>
        <v/>
      </c>
      <c r="C223" s="305" t="str">
        <f>SourceData!J222</f>
        <v/>
      </c>
      <c r="D223" s="298">
        <f>(COUNTIF(Errors!$B$3:$B$3010,'[1]Error Count Analysis'!C223))-((COUNTIFS(Errors!$B$3:$B$3010,'[1]Error Count Analysis'!C223, (Errors!$I$3:$I$3010),"TV*")))</f>
        <v>0</v>
      </c>
      <c r="E223" s="305" t="str">
        <f t="shared" si="1"/>
        <v>#DIV/0!</v>
      </c>
      <c r="F223" s="278" t="str">
        <f>COUNTIFS([2]Errors!$B:$B, $C223, [2]Errors!$H:$H, F$1)</f>
        <v>#ERROR!</v>
      </c>
      <c r="G223" s="278" t="str">
        <f>COUNTIFS([2]Errors!$B:$B, $C223, [2]Errors!$H:$H, G$1)</f>
        <v>#ERROR!</v>
      </c>
      <c r="H223" s="278" t="str">
        <f>COUNTIFS([2]Errors!$B:$B, $C223, [2]Errors!$H:$H, H$1)</f>
        <v>#ERROR!</v>
      </c>
      <c r="I223" s="278" t="str">
        <f>COUNTIFS([2]Errors!$B:$B, $C223, [2]Errors!$H:$H, I$1)</f>
        <v>#ERROR!</v>
      </c>
      <c r="J223" s="278" t="str">
        <f>COUNTIFS([2]Errors!$B:$B, $C223, [2]Errors!$H:$H, J$1)</f>
        <v>#ERROR!</v>
      </c>
      <c r="K223" s="278" t="str">
        <f>COUNTIFS([2]Errors!$B:$B, $C223, [2]Errors!$H:$H, K$1)</f>
        <v>#ERROR!</v>
      </c>
      <c r="L223" s="278" t="str">
        <f>COUNTIFS([2]Errors!$B:$B, $C223, [2]Errors!$H:$H, L$1)</f>
        <v>#ERROR!</v>
      </c>
      <c r="M223" s="278" t="str">
        <f>COUNTIFS([2]Errors!$B:$B, $C223, [2]Errors!$H:$H, M$1)</f>
        <v>#ERROR!</v>
      </c>
      <c r="N223" s="309">
        <f>COUNTIFS(Errors!$B:$B, $C223, Errors!$I:$I, N$1)</f>
        <v>0</v>
      </c>
      <c r="O223" s="278" t="str">
        <f>COUNTIFS([2]Errors!$B:$B, $C223, [2]Errors!$H:$H, O$1)</f>
        <v>#ERROR!</v>
      </c>
      <c r="P223" s="278" t="str">
        <f>COUNTIFS([2]Errors!$B:$B, $C223, [2]Errors!$H:$H, P$1)</f>
        <v>#ERROR!</v>
      </c>
      <c r="Q223" s="278" t="str">
        <f>COUNTIFS([2]Errors!$B:$B, $C223, [2]Errors!$H:$H, Q$1)</f>
        <v>#ERROR!</v>
      </c>
      <c r="R223" s="278" t="str">
        <f>COUNTIFS([2]Errors!$B:$B, $C223, [2]Errors!$H:$H, R$1)</f>
        <v>#ERROR!</v>
      </c>
      <c r="S223" s="278" t="str">
        <f>COUNTIFS([2]Errors!$B:$B, $C223, [2]Errors!$H:$H, S$1)</f>
        <v>#ERROR!</v>
      </c>
      <c r="T223" s="278" t="str">
        <f>COUNTIFS([2]Errors!$B:$B, $C223, [2]Errors!$H:$H, T$1)</f>
        <v>#ERROR!</v>
      </c>
      <c r="U223" s="278" t="str">
        <f>COUNTIFS([2]Errors!$B:$B, $C223, [2]Errors!$H:$H, U$1)</f>
        <v>#ERROR!</v>
      </c>
      <c r="V223" s="278" t="str">
        <f>COUNTIFS([2]Errors!$B:$B, $C223, [2]Errors!$H:$H, V$1)</f>
        <v>#ERROR!</v>
      </c>
      <c r="W223" s="278" t="str">
        <f>COUNTIFS([2]Errors!$B:$B, $C223, [2]Errors!$H:$H, W$1)</f>
        <v>#ERROR!</v>
      </c>
      <c r="X223" s="278" t="str">
        <f>COUNTIFS([2]Errors!$B:$B, $C223, [2]Errors!$H:$H, X$1)</f>
        <v>#ERROR!</v>
      </c>
    </row>
    <row r="224" ht="15.75" customHeight="1">
      <c r="A224" s="325">
        <v>0.0</v>
      </c>
      <c r="B224" s="325" t="str">
        <f>SourceData!K224</f>
        <v/>
      </c>
      <c r="C224" s="294" t="str">
        <f>SourceData!J222</f>
        <v/>
      </c>
      <c r="D224" s="298">
        <f>(COUNTIF(Errors!$B$3:$B$3010,'[1]Error Count Analysis'!C224))-((COUNTIFS(Errors!$B$3:$B$3010,'[1]Error Count Analysis'!C224, (Errors!$I$3:$I$3010),"TV*")))</f>
        <v>0</v>
      </c>
      <c r="E224" s="325" t="str">
        <f t="shared" si="1"/>
        <v>#DIV/0!</v>
      </c>
      <c r="F224" s="278" t="str">
        <f>COUNTIFS([2]Errors!$B:$B, $C224, [2]Errors!$H:$H, F$1)</f>
        <v>#ERROR!</v>
      </c>
      <c r="G224" s="278" t="str">
        <f>COUNTIFS([2]Errors!$B:$B, $C224, [2]Errors!$H:$H, G$1)</f>
        <v>#ERROR!</v>
      </c>
      <c r="H224" s="278" t="str">
        <f>COUNTIFS([2]Errors!$B:$B, $C224, [2]Errors!$H:$H, H$1)</f>
        <v>#ERROR!</v>
      </c>
      <c r="I224" s="278" t="str">
        <f>COUNTIFS([2]Errors!$B:$B, $C224, [2]Errors!$H:$H, I$1)</f>
        <v>#ERROR!</v>
      </c>
      <c r="J224" s="278" t="str">
        <f>COUNTIFS([2]Errors!$B:$B, $C224, [2]Errors!$H:$H, J$1)</f>
        <v>#ERROR!</v>
      </c>
      <c r="K224" s="278" t="str">
        <f>COUNTIFS([2]Errors!$B:$B, $C224, [2]Errors!$H:$H, K$1)</f>
        <v>#ERROR!</v>
      </c>
      <c r="L224" s="278" t="str">
        <f>COUNTIFS([2]Errors!$B:$B, $C224, [2]Errors!$H:$H, L$1)</f>
        <v>#ERROR!</v>
      </c>
      <c r="M224" s="278" t="str">
        <f>COUNTIFS([2]Errors!$B:$B, $C224, [2]Errors!$H:$H, M$1)</f>
        <v>#ERROR!</v>
      </c>
      <c r="N224" s="298">
        <f>COUNTIFS(Errors!$B:$B, $C224, Errors!$I:$I, N$1)</f>
        <v>0</v>
      </c>
      <c r="O224" s="278" t="str">
        <f>COUNTIFS([2]Errors!$B:$B, $C224, [2]Errors!$H:$H, O$1)</f>
        <v>#ERROR!</v>
      </c>
      <c r="P224" s="278" t="str">
        <f>COUNTIFS([2]Errors!$B:$B, $C224, [2]Errors!$H:$H, P$1)</f>
        <v>#ERROR!</v>
      </c>
      <c r="Q224" s="278" t="str">
        <f>COUNTIFS([2]Errors!$B:$B, $C224, [2]Errors!$H:$H, Q$1)</f>
        <v>#ERROR!</v>
      </c>
      <c r="R224" s="278" t="str">
        <f>COUNTIFS([2]Errors!$B:$B, $C224, [2]Errors!$H:$H, R$1)</f>
        <v>#ERROR!</v>
      </c>
      <c r="S224" s="278" t="str">
        <f>COUNTIFS([2]Errors!$B:$B, $C224, [2]Errors!$H:$H, S$1)</f>
        <v>#ERROR!</v>
      </c>
      <c r="T224" s="278" t="str">
        <f>COUNTIFS([2]Errors!$B:$B, $C224, [2]Errors!$H:$H, T$1)</f>
        <v>#ERROR!</v>
      </c>
      <c r="U224" s="278" t="str">
        <f>COUNTIFS([2]Errors!$B:$B, $C224, [2]Errors!$H:$H, U$1)</f>
        <v>#ERROR!</v>
      </c>
      <c r="V224" s="278" t="str">
        <f>COUNTIFS([2]Errors!$B:$B, $C224, [2]Errors!$H:$H, V$1)</f>
        <v>#ERROR!</v>
      </c>
      <c r="W224" s="278" t="str">
        <f>COUNTIFS([2]Errors!$B:$B, $C224, [2]Errors!$H:$H, W$1)</f>
        <v>#ERROR!</v>
      </c>
      <c r="X224" s="278" t="str">
        <f>COUNTIFS([2]Errors!$B:$B, $C224, [2]Errors!$H:$H, X$1)</f>
        <v>#ERROR!</v>
      </c>
    </row>
    <row r="225" ht="15.75" customHeight="1">
      <c r="A225" s="305">
        <v>0.0</v>
      </c>
      <c r="B225" s="325" t="str">
        <f>SourceData!K225</f>
        <v/>
      </c>
      <c r="C225" s="305" t="str">
        <f>SourceData!J224</f>
        <v/>
      </c>
      <c r="D225" s="298">
        <f>(COUNTIF(Errors!$B$3:$B$3010,'[1]Error Count Analysis'!C225))-((COUNTIFS(Errors!$B$3:$B$3010,'[1]Error Count Analysis'!C225, (Errors!$I$3:$I$3010),"TV*")))</f>
        <v>0</v>
      </c>
      <c r="E225" s="305" t="str">
        <f t="shared" si="1"/>
        <v>#DIV/0!</v>
      </c>
      <c r="F225" s="278" t="str">
        <f>COUNTIFS([2]Errors!$B:$B, $C225, [2]Errors!$H:$H, F$1)</f>
        <v>#ERROR!</v>
      </c>
      <c r="G225" s="278" t="str">
        <f>COUNTIFS([2]Errors!$B:$B, $C225, [2]Errors!$H:$H, G$1)</f>
        <v>#ERROR!</v>
      </c>
      <c r="H225" s="278" t="str">
        <f>COUNTIFS([2]Errors!$B:$B, $C225, [2]Errors!$H:$H, H$1)</f>
        <v>#ERROR!</v>
      </c>
      <c r="I225" s="278" t="str">
        <f>COUNTIFS([2]Errors!$B:$B, $C225, [2]Errors!$H:$H, I$1)</f>
        <v>#ERROR!</v>
      </c>
      <c r="J225" s="278" t="str">
        <f>COUNTIFS([2]Errors!$B:$B, $C225, [2]Errors!$H:$H, J$1)</f>
        <v>#ERROR!</v>
      </c>
      <c r="K225" s="278" t="str">
        <f>COUNTIFS([2]Errors!$B:$B, $C225, [2]Errors!$H:$H, K$1)</f>
        <v>#ERROR!</v>
      </c>
      <c r="L225" s="278" t="str">
        <f>COUNTIFS([2]Errors!$B:$B, $C225, [2]Errors!$H:$H, L$1)</f>
        <v>#ERROR!</v>
      </c>
      <c r="M225" s="278" t="str">
        <f>COUNTIFS([2]Errors!$B:$B, $C225, [2]Errors!$H:$H, M$1)</f>
        <v>#ERROR!</v>
      </c>
      <c r="N225" s="309">
        <f>COUNTIFS(Errors!$B:$B, $C225, Errors!$I:$I, N$1)</f>
        <v>0</v>
      </c>
      <c r="O225" s="278" t="str">
        <f>COUNTIFS([2]Errors!$B:$B, $C225, [2]Errors!$H:$H, O$1)</f>
        <v>#ERROR!</v>
      </c>
      <c r="P225" s="278" t="str">
        <f>COUNTIFS([2]Errors!$B:$B, $C225, [2]Errors!$H:$H, P$1)</f>
        <v>#ERROR!</v>
      </c>
      <c r="Q225" s="278" t="str">
        <f>COUNTIFS([2]Errors!$B:$B, $C225, [2]Errors!$H:$H, Q$1)</f>
        <v>#ERROR!</v>
      </c>
      <c r="R225" s="278" t="str">
        <f>COUNTIFS([2]Errors!$B:$B, $C225, [2]Errors!$H:$H, R$1)</f>
        <v>#ERROR!</v>
      </c>
      <c r="S225" s="278" t="str">
        <f>COUNTIFS([2]Errors!$B:$B, $C225, [2]Errors!$H:$H, S$1)</f>
        <v>#ERROR!</v>
      </c>
      <c r="T225" s="278" t="str">
        <f>COUNTIFS([2]Errors!$B:$B, $C225, [2]Errors!$H:$H, T$1)</f>
        <v>#ERROR!</v>
      </c>
      <c r="U225" s="278" t="str">
        <f>COUNTIFS([2]Errors!$B:$B, $C225, [2]Errors!$H:$H, U$1)</f>
        <v>#ERROR!</v>
      </c>
      <c r="V225" s="278" t="str">
        <f>COUNTIFS([2]Errors!$B:$B, $C225, [2]Errors!$H:$H, V$1)</f>
        <v>#ERROR!</v>
      </c>
      <c r="W225" s="278" t="str">
        <f>COUNTIFS([2]Errors!$B:$B, $C225, [2]Errors!$H:$H, W$1)</f>
        <v>#ERROR!</v>
      </c>
      <c r="X225" s="278" t="str">
        <f>COUNTIFS([2]Errors!$B:$B, $C225, [2]Errors!$H:$H, X$1)</f>
        <v>#ERROR!</v>
      </c>
    </row>
    <row r="226" ht="15.75" customHeight="1">
      <c r="A226" s="325">
        <v>0.0</v>
      </c>
      <c r="B226" s="325" t="str">
        <f>SourceData!K226</f>
        <v/>
      </c>
      <c r="C226" s="294" t="str">
        <f>SourceData!J224</f>
        <v/>
      </c>
      <c r="D226" s="298">
        <f>(COUNTIF(Errors!$B$3:$B$3010,'[1]Error Count Analysis'!C226))-((COUNTIFS(Errors!$B$3:$B$3010,'[1]Error Count Analysis'!C226, (Errors!$I$3:$I$3010),"TV*")))</f>
        <v>0</v>
      </c>
      <c r="E226" s="325" t="str">
        <f t="shared" si="1"/>
        <v>#DIV/0!</v>
      </c>
      <c r="F226" s="278" t="str">
        <f>COUNTIFS([2]Errors!$B:$B, $C226, [2]Errors!$H:$H, F$1)</f>
        <v>#ERROR!</v>
      </c>
      <c r="G226" s="278" t="str">
        <f>COUNTIFS([2]Errors!$B:$B, $C226, [2]Errors!$H:$H, G$1)</f>
        <v>#ERROR!</v>
      </c>
      <c r="H226" s="278" t="str">
        <f>COUNTIFS([2]Errors!$B:$B, $C226, [2]Errors!$H:$H, H$1)</f>
        <v>#ERROR!</v>
      </c>
      <c r="I226" s="278" t="str">
        <f>COUNTIFS([2]Errors!$B:$B, $C226, [2]Errors!$H:$H, I$1)</f>
        <v>#ERROR!</v>
      </c>
      <c r="J226" s="278" t="str">
        <f>COUNTIFS([2]Errors!$B:$B, $C226, [2]Errors!$H:$H, J$1)</f>
        <v>#ERROR!</v>
      </c>
      <c r="K226" s="278" t="str">
        <f>COUNTIFS([2]Errors!$B:$B, $C226, [2]Errors!$H:$H, K$1)</f>
        <v>#ERROR!</v>
      </c>
      <c r="L226" s="278" t="str">
        <f>COUNTIFS([2]Errors!$B:$B, $C226, [2]Errors!$H:$H, L$1)</f>
        <v>#ERROR!</v>
      </c>
      <c r="M226" s="278" t="str">
        <f>COUNTIFS([2]Errors!$B:$B, $C226, [2]Errors!$H:$H, M$1)</f>
        <v>#ERROR!</v>
      </c>
      <c r="N226" s="298">
        <f>COUNTIFS(Errors!$B:$B, $C226, Errors!$I:$I, N$1)</f>
        <v>0</v>
      </c>
      <c r="O226" s="278" t="str">
        <f>COUNTIFS([2]Errors!$B:$B, $C226, [2]Errors!$H:$H, O$1)</f>
        <v>#ERROR!</v>
      </c>
      <c r="P226" s="278" t="str">
        <f>COUNTIFS([2]Errors!$B:$B, $C226, [2]Errors!$H:$H, P$1)</f>
        <v>#ERROR!</v>
      </c>
      <c r="Q226" s="278" t="str">
        <f>COUNTIFS([2]Errors!$B:$B, $C226, [2]Errors!$H:$H, Q$1)</f>
        <v>#ERROR!</v>
      </c>
      <c r="R226" s="278" t="str">
        <f>COUNTIFS([2]Errors!$B:$B, $C226, [2]Errors!$H:$H, R$1)</f>
        <v>#ERROR!</v>
      </c>
      <c r="S226" s="278" t="str">
        <f>COUNTIFS([2]Errors!$B:$B, $C226, [2]Errors!$H:$H, S$1)</f>
        <v>#ERROR!</v>
      </c>
      <c r="T226" s="278" t="str">
        <f>COUNTIFS([2]Errors!$B:$B, $C226, [2]Errors!$H:$H, T$1)</f>
        <v>#ERROR!</v>
      </c>
      <c r="U226" s="278" t="str">
        <f>COUNTIFS([2]Errors!$B:$B, $C226, [2]Errors!$H:$H, U$1)</f>
        <v>#ERROR!</v>
      </c>
      <c r="V226" s="278" t="str">
        <f>COUNTIFS([2]Errors!$B:$B, $C226, [2]Errors!$H:$H, V$1)</f>
        <v>#ERROR!</v>
      </c>
      <c r="W226" s="278" t="str">
        <f>COUNTIFS([2]Errors!$B:$B, $C226, [2]Errors!$H:$H, W$1)</f>
        <v>#ERROR!</v>
      </c>
      <c r="X226" s="278" t="str">
        <f>COUNTIFS([2]Errors!$B:$B, $C226, [2]Errors!$H:$H, X$1)</f>
        <v>#ERROR!</v>
      </c>
    </row>
    <row r="227" ht="15.75" customHeight="1">
      <c r="A227" s="305">
        <v>0.0</v>
      </c>
      <c r="B227" s="325" t="str">
        <f>SourceData!K227</f>
        <v/>
      </c>
      <c r="C227" s="305" t="str">
        <f>SourceData!J226</f>
        <v/>
      </c>
      <c r="D227" s="298">
        <f>(COUNTIF(Errors!$B$3:$B$3010,'[1]Error Count Analysis'!C227))-((COUNTIFS(Errors!$B$3:$B$3010,'[1]Error Count Analysis'!C227, (Errors!$I$3:$I$3010),"TV*")))</f>
        <v>0</v>
      </c>
      <c r="E227" s="305" t="str">
        <f t="shared" si="1"/>
        <v>#DIV/0!</v>
      </c>
      <c r="F227" s="278" t="str">
        <f>COUNTIFS([2]Errors!$B:$B, $C227, [2]Errors!$H:$H, F$1)</f>
        <v>#ERROR!</v>
      </c>
      <c r="G227" s="278" t="str">
        <f>COUNTIFS([2]Errors!$B:$B, $C227, [2]Errors!$H:$H, G$1)</f>
        <v>#ERROR!</v>
      </c>
      <c r="H227" s="278" t="str">
        <f>COUNTIFS([2]Errors!$B:$B, $C227, [2]Errors!$H:$H, H$1)</f>
        <v>#ERROR!</v>
      </c>
      <c r="I227" s="278" t="str">
        <f>COUNTIFS([2]Errors!$B:$B, $C227, [2]Errors!$H:$H, I$1)</f>
        <v>#ERROR!</v>
      </c>
      <c r="J227" s="278" t="str">
        <f>COUNTIFS([2]Errors!$B:$B, $C227, [2]Errors!$H:$H, J$1)</f>
        <v>#ERROR!</v>
      </c>
      <c r="K227" s="278" t="str">
        <f>COUNTIFS([2]Errors!$B:$B, $C227, [2]Errors!$H:$H, K$1)</f>
        <v>#ERROR!</v>
      </c>
      <c r="L227" s="278" t="str">
        <f>COUNTIFS([2]Errors!$B:$B, $C227, [2]Errors!$H:$H, L$1)</f>
        <v>#ERROR!</v>
      </c>
      <c r="M227" s="278" t="str">
        <f>COUNTIFS([2]Errors!$B:$B, $C227, [2]Errors!$H:$H, M$1)</f>
        <v>#ERROR!</v>
      </c>
      <c r="N227" s="309">
        <f>COUNTIFS(Errors!$B:$B, $C227, Errors!$I:$I, N$1)</f>
        <v>0</v>
      </c>
      <c r="O227" s="278" t="str">
        <f>COUNTIFS([2]Errors!$B:$B, $C227, [2]Errors!$H:$H, O$1)</f>
        <v>#ERROR!</v>
      </c>
      <c r="P227" s="278" t="str">
        <f>COUNTIFS([2]Errors!$B:$B, $C227, [2]Errors!$H:$H, P$1)</f>
        <v>#ERROR!</v>
      </c>
      <c r="Q227" s="278" t="str">
        <f>COUNTIFS([2]Errors!$B:$B, $C227, [2]Errors!$H:$H, Q$1)</f>
        <v>#ERROR!</v>
      </c>
      <c r="R227" s="278" t="str">
        <f>COUNTIFS([2]Errors!$B:$B, $C227, [2]Errors!$H:$H, R$1)</f>
        <v>#ERROR!</v>
      </c>
      <c r="S227" s="278" t="str">
        <f>COUNTIFS([2]Errors!$B:$B, $C227, [2]Errors!$H:$H, S$1)</f>
        <v>#ERROR!</v>
      </c>
      <c r="T227" s="278" t="str">
        <f>COUNTIFS([2]Errors!$B:$B, $C227, [2]Errors!$H:$H, T$1)</f>
        <v>#ERROR!</v>
      </c>
      <c r="U227" s="278" t="str">
        <f>COUNTIFS([2]Errors!$B:$B, $C227, [2]Errors!$H:$H, U$1)</f>
        <v>#ERROR!</v>
      </c>
      <c r="V227" s="278" t="str">
        <f>COUNTIFS([2]Errors!$B:$B, $C227, [2]Errors!$H:$H, V$1)</f>
        <v>#ERROR!</v>
      </c>
      <c r="W227" s="278" t="str">
        <f>COUNTIFS([2]Errors!$B:$B, $C227, [2]Errors!$H:$H, W$1)</f>
        <v>#ERROR!</v>
      </c>
      <c r="X227" s="278" t="str">
        <f>COUNTIFS([2]Errors!$B:$B, $C227, [2]Errors!$H:$H, X$1)</f>
        <v>#ERROR!</v>
      </c>
    </row>
    <row r="228" ht="15.75" customHeight="1">
      <c r="A228" s="325">
        <v>0.0</v>
      </c>
      <c r="B228" s="325" t="str">
        <f>SourceData!K228</f>
        <v/>
      </c>
      <c r="C228" s="294" t="str">
        <f>SourceData!J226</f>
        <v/>
      </c>
      <c r="D228" s="298">
        <f>(COUNTIF(Errors!$B$3:$B$3010,'[1]Error Count Analysis'!C228))-((COUNTIFS(Errors!$B$3:$B$3010,'[1]Error Count Analysis'!C228, (Errors!$I$3:$I$3010),"TV*")))</f>
        <v>0</v>
      </c>
      <c r="E228" s="325" t="str">
        <f t="shared" si="1"/>
        <v>#DIV/0!</v>
      </c>
      <c r="F228" s="278" t="str">
        <f>COUNTIFS([2]Errors!$B:$B, $C228, [2]Errors!$H:$H, F$1)</f>
        <v>#ERROR!</v>
      </c>
      <c r="G228" s="278" t="str">
        <f>COUNTIFS([2]Errors!$B:$B, $C228, [2]Errors!$H:$H, G$1)</f>
        <v>#ERROR!</v>
      </c>
      <c r="H228" s="278" t="str">
        <f>COUNTIFS([2]Errors!$B:$B, $C228, [2]Errors!$H:$H, H$1)</f>
        <v>#ERROR!</v>
      </c>
      <c r="I228" s="278" t="str">
        <f>COUNTIFS([2]Errors!$B:$B, $C228, [2]Errors!$H:$H, I$1)</f>
        <v>#ERROR!</v>
      </c>
      <c r="J228" s="278" t="str">
        <f>COUNTIFS([2]Errors!$B:$B, $C228, [2]Errors!$H:$H, J$1)</f>
        <v>#ERROR!</v>
      </c>
      <c r="K228" s="278" t="str">
        <f>COUNTIFS([2]Errors!$B:$B, $C228, [2]Errors!$H:$H, K$1)</f>
        <v>#ERROR!</v>
      </c>
      <c r="L228" s="278" t="str">
        <f>COUNTIFS([2]Errors!$B:$B, $C228, [2]Errors!$H:$H, L$1)</f>
        <v>#ERROR!</v>
      </c>
      <c r="M228" s="278" t="str">
        <f>COUNTIFS([2]Errors!$B:$B, $C228, [2]Errors!$H:$H, M$1)</f>
        <v>#ERROR!</v>
      </c>
      <c r="N228" s="298">
        <f>COUNTIFS(Errors!$B:$B, $C228, Errors!$I:$I, N$1)</f>
        <v>0</v>
      </c>
      <c r="O228" s="278" t="str">
        <f>COUNTIFS([2]Errors!$B:$B, $C228, [2]Errors!$H:$H, O$1)</f>
        <v>#ERROR!</v>
      </c>
      <c r="P228" s="278" t="str">
        <f>COUNTIFS([2]Errors!$B:$B, $C228, [2]Errors!$H:$H, P$1)</f>
        <v>#ERROR!</v>
      </c>
      <c r="Q228" s="278" t="str">
        <f>COUNTIFS([2]Errors!$B:$B, $C228, [2]Errors!$H:$H, Q$1)</f>
        <v>#ERROR!</v>
      </c>
      <c r="R228" s="278" t="str">
        <f>COUNTIFS([2]Errors!$B:$B, $C228, [2]Errors!$H:$H, R$1)</f>
        <v>#ERROR!</v>
      </c>
      <c r="S228" s="278" t="str">
        <f>COUNTIFS([2]Errors!$B:$B, $C228, [2]Errors!$H:$H, S$1)</f>
        <v>#ERROR!</v>
      </c>
      <c r="T228" s="278" t="str">
        <f>COUNTIFS([2]Errors!$B:$B, $C228, [2]Errors!$H:$H, T$1)</f>
        <v>#ERROR!</v>
      </c>
      <c r="U228" s="278" t="str">
        <f>COUNTIFS([2]Errors!$B:$B, $C228, [2]Errors!$H:$H, U$1)</f>
        <v>#ERROR!</v>
      </c>
      <c r="V228" s="278" t="str">
        <f>COUNTIFS([2]Errors!$B:$B, $C228, [2]Errors!$H:$H, V$1)</f>
        <v>#ERROR!</v>
      </c>
      <c r="W228" s="278" t="str">
        <f>COUNTIFS([2]Errors!$B:$B, $C228, [2]Errors!$H:$H, W$1)</f>
        <v>#ERROR!</v>
      </c>
      <c r="X228" s="278" t="str">
        <f>COUNTIFS([2]Errors!$B:$B, $C228, [2]Errors!$H:$H, X$1)</f>
        <v>#ERROR!</v>
      </c>
    </row>
    <row r="229" ht="15.75" customHeight="1">
      <c r="A229" s="305">
        <v>0.0</v>
      </c>
      <c r="B229" s="325" t="str">
        <f>SourceData!K229</f>
        <v/>
      </c>
      <c r="C229" s="305" t="str">
        <f>SourceData!J228</f>
        <v/>
      </c>
      <c r="D229" s="298">
        <f>(COUNTIF(Errors!$B$3:$B$3010,'[1]Error Count Analysis'!C229))-((COUNTIFS(Errors!$B$3:$B$3010,'[1]Error Count Analysis'!C229, (Errors!$I$3:$I$3010),"TV*")))</f>
        <v>0</v>
      </c>
      <c r="E229" s="305" t="str">
        <f t="shared" si="1"/>
        <v>#DIV/0!</v>
      </c>
      <c r="F229" s="278" t="str">
        <f>COUNTIFS([2]Errors!$B:$B, $C229, [2]Errors!$H:$H, F$1)</f>
        <v>#ERROR!</v>
      </c>
      <c r="G229" s="278" t="str">
        <f>COUNTIFS([2]Errors!$B:$B, $C229, [2]Errors!$H:$H, G$1)</f>
        <v>#ERROR!</v>
      </c>
      <c r="H229" s="278" t="str">
        <f>COUNTIFS([2]Errors!$B:$B, $C229, [2]Errors!$H:$H, H$1)</f>
        <v>#ERROR!</v>
      </c>
      <c r="I229" s="278" t="str">
        <f>COUNTIFS([2]Errors!$B:$B, $C229, [2]Errors!$H:$H, I$1)</f>
        <v>#ERROR!</v>
      </c>
      <c r="J229" s="278" t="str">
        <f>COUNTIFS([2]Errors!$B:$B, $C229, [2]Errors!$H:$H, J$1)</f>
        <v>#ERROR!</v>
      </c>
      <c r="K229" s="278" t="str">
        <f>COUNTIFS([2]Errors!$B:$B, $C229, [2]Errors!$H:$H, K$1)</f>
        <v>#ERROR!</v>
      </c>
      <c r="L229" s="278" t="str">
        <f>COUNTIFS([2]Errors!$B:$B, $C229, [2]Errors!$H:$H, L$1)</f>
        <v>#ERROR!</v>
      </c>
      <c r="M229" s="278" t="str">
        <f>COUNTIFS([2]Errors!$B:$B, $C229, [2]Errors!$H:$H, M$1)</f>
        <v>#ERROR!</v>
      </c>
      <c r="N229" s="309">
        <f>COUNTIFS(Errors!$B:$B, $C229, Errors!$I:$I, N$1)</f>
        <v>0</v>
      </c>
      <c r="O229" s="278" t="str">
        <f>COUNTIFS([2]Errors!$B:$B, $C229, [2]Errors!$H:$H, O$1)</f>
        <v>#ERROR!</v>
      </c>
      <c r="P229" s="278" t="str">
        <f>COUNTIFS([2]Errors!$B:$B, $C229, [2]Errors!$H:$H, P$1)</f>
        <v>#ERROR!</v>
      </c>
      <c r="Q229" s="278" t="str">
        <f>COUNTIFS([2]Errors!$B:$B, $C229, [2]Errors!$H:$H, Q$1)</f>
        <v>#ERROR!</v>
      </c>
      <c r="R229" s="278" t="str">
        <f>COUNTIFS([2]Errors!$B:$B, $C229, [2]Errors!$H:$H, R$1)</f>
        <v>#ERROR!</v>
      </c>
      <c r="S229" s="278" t="str">
        <f>COUNTIFS([2]Errors!$B:$B, $C229, [2]Errors!$H:$H, S$1)</f>
        <v>#ERROR!</v>
      </c>
      <c r="T229" s="278" t="str">
        <f>COUNTIFS([2]Errors!$B:$B, $C229, [2]Errors!$H:$H, T$1)</f>
        <v>#ERROR!</v>
      </c>
      <c r="U229" s="278" t="str">
        <f>COUNTIFS([2]Errors!$B:$B, $C229, [2]Errors!$H:$H, U$1)</f>
        <v>#ERROR!</v>
      </c>
      <c r="V229" s="278" t="str">
        <f>COUNTIFS([2]Errors!$B:$B, $C229, [2]Errors!$H:$H, V$1)</f>
        <v>#ERROR!</v>
      </c>
      <c r="W229" s="278" t="str">
        <f>COUNTIFS([2]Errors!$B:$B, $C229, [2]Errors!$H:$H, W$1)</f>
        <v>#ERROR!</v>
      </c>
      <c r="X229" s="278" t="str">
        <f>COUNTIFS([2]Errors!$B:$B, $C229, [2]Errors!$H:$H, X$1)</f>
        <v>#ERROR!</v>
      </c>
    </row>
    <row r="230" ht="15.75" customHeight="1">
      <c r="A230" s="325">
        <v>0.0</v>
      </c>
      <c r="B230" s="325" t="str">
        <f>SourceData!K230</f>
        <v/>
      </c>
      <c r="C230" s="294" t="str">
        <f>SourceData!J228</f>
        <v/>
      </c>
      <c r="D230" s="298">
        <f>(COUNTIF(Errors!$B$3:$B$3010,'[1]Error Count Analysis'!C230))-((COUNTIFS(Errors!$B$3:$B$3010,'[1]Error Count Analysis'!C230, (Errors!$I$3:$I$3010),"TV*")))</f>
        <v>0</v>
      </c>
      <c r="E230" s="325" t="str">
        <f t="shared" si="1"/>
        <v>#DIV/0!</v>
      </c>
      <c r="F230" s="278" t="str">
        <f>COUNTIFS([2]Errors!$B:$B, $C230, [2]Errors!$H:$H, F$1)</f>
        <v>#ERROR!</v>
      </c>
      <c r="G230" s="278" t="str">
        <f>COUNTIFS([2]Errors!$B:$B, $C230, [2]Errors!$H:$H, G$1)</f>
        <v>#ERROR!</v>
      </c>
      <c r="H230" s="278" t="str">
        <f>COUNTIFS([2]Errors!$B:$B, $C230, [2]Errors!$H:$H, H$1)</f>
        <v>#ERROR!</v>
      </c>
      <c r="I230" s="278" t="str">
        <f>COUNTIFS([2]Errors!$B:$B, $C230, [2]Errors!$H:$H, I$1)</f>
        <v>#ERROR!</v>
      </c>
      <c r="J230" s="278" t="str">
        <f>COUNTIFS([2]Errors!$B:$B, $C230, [2]Errors!$H:$H, J$1)</f>
        <v>#ERROR!</v>
      </c>
      <c r="K230" s="278" t="str">
        <f>COUNTIFS([2]Errors!$B:$B, $C230, [2]Errors!$H:$H, K$1)</f>
        <v>#ERROR!</v>
      </c>
      <c r="L230" s="278" t="str">
        <f>COUNTIFS([2]Errors!$B:$B, $C230, [2]Errors!$H:$H, L$1)</f>
        <v>#ERROR!</v>
      </c>
      <c r="M230" s="278" t="str">
        <f>COUNTIFS([2]Errors!$B:$B, $C230, [2]Errors!$H:$H, M$1)</f>
        <v>#ERROR!</v>
      </c>
      <c r="N230" s="298">
        <f>COUNTIFS(Errors!$B:$B, $C230, Errors!$I:$I, N$1)</f>
        <v>0</v>
      </c>
      <c r="O230" s="278" t="str">
        <f>COUNTIFS([2]Errors!$B:$B, $C230, [2]Errors!$H:$H, O$1)</f>
        <v>#ERROR!</v>
      </c>
      <c r="P230" s="278" t="str">
        <f>COUNTIFS([2]Errors!$B:$B, $C230, [2]Errors!$H:$H, P$1)</f>
        <v>#ERROR!</v>
      </c>
      <c r="Q230" s="278" t="str">
        <f>COUNTIFS([2]Errors!$B:$B, $C230, [2]Errors!$H:$H, Q$1)</f>
        <v>#ERROR!</v>
      </c>
      <c r="R230" s="278" t="str">
        <f>COUNTIFS([2]Errors!$B:$B, $C230, [2]Errors!$H:$H, R$1)</f>
        <v>#ERROR!</v>
      </c>
      <c r="S230" s="278" t="str">
        <f>COUNTIFS([2]Errors!$B:$B, $C230, [2]Errors!$H:$H, S$1)</f>
        <v>#ERROR!</v>
      </c>
      <c r="T230" s="278" t="str">
        <f>COUNTIFS([2]Errors!$B:$B, $C230, [2]Errors!$H:$H, T$1)</f>
        <v>#ERROR!</v>
      </c>
      <c r="U230" s="278" t="str">
        <f>COUNTIFS([2]Errors!$B:$B, $C230, [2]Errors!$H:$H, U$1)</f>
        <v>#ERROR!</v>
      </c>
      <c r="V230" s="278" t="str">
        <f>COUNTIFS([2]Errors!$B:$B, $C230, [2]Errors!$H:$H, V$1)</f>
        <v>#ERROR!</v>
      </c>
      <c r="W230" s="278" t="str">
        <f>COUNTIFS([2]Errors!$B:$B, $C230, [2]Errors!$H:$H, W$1)</f>
        <v>#ERROR!</v>
      </c>
      <c r="X230" s="278" t="str">
        <f>COUNTIFS([2]Errors!$B:$B, $C230, [2]Errors!$H:$H, X$1)</f>
        <v>#ERROR!</v>
      </c>
    </row>
    <row r="231" ht="15.75" customHeight="1">
      <c r="A231" s="305">
        <v>0.0</v>
      </c>
      <c r="B231" s="325" t="str">
        <f>SourceData!K231</f>
        <v/>
      </c>
      <c r="C231" s="305" t="str">
        <f>SourceData!J230</f>
        <v/>
      </c>
      <c r="D231" s="298">
        <f>(COUNTIF(Errors!$B$3:$B$3010,'[1]Error Count Analysis'!C231))-((COUNTIFS(Errors!$B$3:$B$3010,'[1]Error Count Analysis'!C231, (Errors!$I$3:$I$3010),"TV*")))</f>
        <v>0</v>
      </c>
      <c r="E231" s="305" t="str">
        <f t="shared" si="1"/>
        <v>#DIV/0!</v>
      </c>
      <c r="F231" s="278" t="str">
        <f>COUNTIFS([2]Errors!$B:$B, $C231, [2]Errors!$H:$H, F$1)</f>
        <v>#ERROR!</v>
      </c>
      <c r="G231" s="278" t="str">
        <f>COUNTIFS([2]Errors!$B:$B, $C231, [2]Errors!$H:$H, G$1)</f>
        <v>#ERROR!</v>
      </c>
      <c r="H231" s="278" t="str">
        <f>COUNTIFS([2]Errors!$B:$B, $C231, [2]Errors!$H:$H, H$1)</f>
        <v>#ERROR!</v>
      </c>
      <c r="I231" s="278" t="str">
        <f>COUNTIFS([2]Errors!$B:$B, $C231, [2]Errors!$H:$H, I$1)</f>
        <v>#ERROR!</v>
      </c>
      <c r="J231" s="278" t="str">
        <f>COUNTIFS([2]Errors!$B:$B, $C231, [2]Errors!$H:$H, J$1)</f>
        <v>#ERROR!</v>
      </c>
      <c r="K231" s="278" t="str">
        <f>COUNTIFS([2]Errors!$B:$B, $C231, [2]Errors!$H:$H, K$1)</f>
        <v>#ERROR!</v>
      </c>
      <c r="L231" s="278" t="str">
        <f>COUNTIFS([2]Errors!$B:$B, $C231, [2]Errors!$H:$H, L$1)</f>
        <v>#ERROR!</v>
      </c>
      <c r="M231" s="278" t="str">
        <f>COUNTIFS([2]Errors!$B:$B, $C231, [2]Errors!$H:$H, M$1)</f>
        <v>#ERROR!</v>
      </c>
      <c r="N231" s="309">
        <f>COUNTIFS(Errors!$B:$B, $C231, Errors!$I:$I, N$1)</f>
        <v>0</v>
      </c>
      <c r="O231" s="278" t="str">
        <f>COUNTIFS([2]Errors!$B:$B, $C231, [2]Errors!$H:$H, O$1)</f>
        <v>#ERROR!</v>
      </c>
      <c r="P231" s="278" t="str">
        <f>COUNTIFS([2]Errors!$B:$B, $C231, [2]Errors!$H:$H, P$1)</f>
        <v>#ERROR!</v>
      </c>
      <c r="Q231" s="278" t="str">
        <f>COUNTIFS([2]Errors!$B:$B, $C231, [2]Errors!$H:$H, Q$1)</f>
        <v>#ERROR!</v>
      </c>
      <c r="R231" s="278" t="str">
        <f>COUNTIFS([2]Errors!$B:$B, $C231, [2]Errors!$H:$H, R$1)</f>
        <v>#ERROR!</v>
      </c>
      <c r="S231" s="278" t="str">
        <f>COUNTIFS([2]Errors!$B:$B, $C231, [2]Errors!$H:$H, S$1)</f>
        <v>#ERROR!</v>
      </c>
      <c r="T231" s="278" t="str">
        <f>COUNTIFS([2]Errors!$B:$B, $C231, [2]Errors!$H:$H, T$1)</f>
        <v>#ERROR!</v>
      </c>
      <c r="U231" s="278" t="str">
        <f>COUNTIFS([2]Errors!$B:$B, $C231, [2]Errors!$H:$H, U$1)</f>
        <v>#ERROR!</v>
      </c>
      <c r="V231" s="278" t="str">
        <f>COUNTIFS([2]Errors!$B:$B, $C231, [2]Errors!$H:$H, V$1)</f>
        <v>#ERROR!</v>
      </c>
      <c r="W231" s="278" t="str">
        <f>COUNTIFS([2]Errors!$B:$B, $C231, [2]Errors!$H:$H, W$1)</f>
        <v>#ERROR!</v>
      </c>
      <c r="X231" s="278" t="str">
        <f>COUNTIFS([2]Errors!$B:$B, $C231, [2]Errors!$H:$H, X$1)</f>
        <v>#ERROR!</v>
      </c>
    </row>
    <row r="232" ht="15.75" customHeight="1">
      <c r="A232" s="325">
        <v>0.0</v>
      </c>
      <c r="B232" s="325" t="str">
        <f>SourceData!K232</f>
        <v/>
      </c>
      <c r="C232" s="294" t="str">
        <f>SourceData!J230</f>
        <v/>
      </c>
      <c r="D232" s="298">
        <f>(COUNTIF(Errors!$B$3:$B$3010,'[1]Error Count Analysis'!C232))-((COUNTIFS(Errors!$B$3:$B$3010,'[1]Error Count Analysis'!C232, (Errors!$I$3:$I$3010),"TV*")))</f>
        <v>0</v>
      </c>
      <c r="E232" s="325" t="str">
        <f t="shared" si="1"/>
        <v>#DIV/0!</v>
      </c>
      <c r="F232" s="278" t="str">
        <f>COUNTIFS([2]Errors!$B:$B, $C232, [2]Errors!$H:$H, F$1)</f>
        <v>#ERROR!</v>
      </c>
      <c r="G232" s="278" t="str">
        <f>COUNTIFS([2]Errors!$B:$B, $C232, [2]Errors!$H:$H, G$1)</f>
        <v>#ERROR!</v>
      </c>
      <c r="H232" s="278" t="str">
        <f>COUNTIFS([2]Errors!$B:$B, $C232, [2]Errors!$H:$H, H$1)</f>
        <v>#ERROR!</v>
      </c>
      <c r="I232" s="278" t="str">
        <f>COUNTIFS([2]Errors!$B:$B, $C232, [2]Errors!$H:$H, I$1)</f>
        <v>#ERROR!</v>
      </c>
      <c r="J232" s="278" t="str">
        <f>COUNTIFS([2]Errors!$B:$B, $C232, [2]Errors!$H:$H, J$1)</f>
        <v>#ERROR!</v>
      </c>
      <c r="K232" s="278" t="str">
        <f>COUNTIFS([2]Errors!$B:$B, $C232, [2]Errors!$H:$H, K$1)</f>
        <v>#ERROR!</v>
      </c>
      <c r="L232" s="278" t="str">
        <f>COUNTIFS([2]Errors!$B:$B, $C232, [2]Errors!$H:$H, L$1)</f>
        <v>#ERROR!</v>
      </c>
      <c r="M232" s="278" t="str">
        <f>COUNTIFS([2]Errors!$B:$B, $C232, [2]Errors!$H:$H, M$1)</f>
        <v>#ERROR!</v>
      </c>
      <c r="N232" s="298">
        <f>COUNTIFS(Errors!$B:$B, $C232, Errors!$I:$I, N$1)</f>
        <v>0</v>
      </c>
      <c r="O232" s="278" t="str">
        <f>COUNTIFS([2]Errors!$B:$B, $C232, [2]Errors!$H:$H, O$1)</f>
        <v>#ERROR!</v>
      </c>
      <c r="P232" s="278" t="str">
        <f>COUNTIFS([2]Errors!$B:$B, $C232, [2]Errors!$H:$H, P$1)</f>
        <v>#ERROR!</v>
      </c>
      <c r="Q232" s="278" t="str">
        <f>COUNTIFS([2]Errors!$B:$B, $C232, [2]Errors!$H:$H, Q$1)</f>
        <v>#ERROR!</v>
      </c>
      <c r="R232" s="278" t="str">
        <f>COUNTIFS([2]Errors!$B:$B, $C232, [2]Errors!$H:$H, R$1)</f>
        <v>#ERROR!</v>
      </c>
      <c r="S232" s="278" t="str">
        <f>COUNTIFS([2]Errors!$B:$B, $C232, [2]Errors!$H:$H, S$1)</f>
        <v>#ERROR!</v>
      </c>
      <c r="T232" s="278" t="str">
        <f>COUNTIFS([2]Errors!$B:$B, $C232, [2]Errors!$H:$H, T$1)</f>
        <v>#ERROR!</v>
      </c>
      <c r="U232" s="278" t="str">
        <f>COUNTIFS([2]Errors!$B:$B, $C232, [2]Errors!$H:$H, U$1)</f>
        <v>#ERROR!</v>
      </c>
      <c r="V232" s="278" t="str">
        <f>COUNTIFS([2]Errors!$B:$B, $C232, [2]Errors!$H:$H, V$1)</f>
        <v>#ERROR!</v>
      </c>
      <c r="W232" s="278" t="str">
        <f>COUNTIFS([2]Errors!$B:$B, $C232, [2]Errors!$H:$H, W$1)</f>
        <v>#ERROR!</v>
      </c>
      <c r="X232" s="278" t="str">
        <f>COUNTIFS([2]Errors!$B:$B, $C232, [2]Errors!$H:$H, X$1)</f>
        <v>#ERROR!</v>
      </c>
    </row>
    <row r="233" ht="15.75" customHeight="1">
      <c r="A233" s="305">
        <v>0.0</v>
      </c>
      <c r="B233" s="325" t="str">
        <f>SourceData!K233</f>
        <v/>
      </c>
      <c r="C233" s="305" t="str">
        <f>SourceData!J232</f>
        <v/>
      </c>
      <c r="D233" s="298">
        <f>(COUNTIF(Errors!$B$3:$B$3010,'[1]Error Count Analysis'!C233))-((COUNTIFS(Errors!$B$3:$B$3010,'[1]Error Count Analysis'!C233, (Errors!$I$3:$I$3010),"TV*")))</f>
        <v>0</v>
      </c>
      <c r="E233" s="305" t="str">
        <f t="shared" si="1"/>
        <v>#DIV/0!</v>
      </c>
      <c r="F233" s="278" t="str">
        <f>COUNTIFS([2]Errors!$B:$B, $C233, [2]Errors!$H:$H, F$1)</f>
        <v>#ERROR!</v>
      </c>
      <c r="G233" s="278" t="str">
        <f>COUNTIFS([2]Errors!$B:$B, $C233, [2]Errors!$H:$H, G$1)</f>
        <v>#ERROR!</v>
      </c>
      <c r="H233" s="278" t="str">
        <f>COUNTIFS([2]Errors!$B:$B, $C233, [2]Errors!$H:$H, H$1)</f>
        <v>#ERROR!</v>
      </c>
      <c r="I233" s="278" t="str">
        <f>COUNTIFS([2]Errors!$B:$B, $C233, [2]Errors!$H:$H, I$1)</f>
        <v>#ERROR!</v>
      </c>
      <c r="J233" s="278" t="str">
        <f>COUNTIFS([2]Errors!$B:$B, $C233, [2]Errors!$H:$H, J$1)</f>
        <v>#ERROR!</v>
      </c>
      <c r="K233" s="278" t="str">
        <f>COUNTIFS([2]Errors!$B:$B, $C233, [2]Errors!$H:$H, K$1)</f>
        <v>#ERROR!</v>
      </c>
      <c r="L233" s="278" t="str">
        <f>COUNTIFS([2]Errors!$B:$B, $C233, [2]Errors!$H:$H, L$1)</f>
        <v>#ERROR!</v>
      </c>
      <c r="M233" s="278" t="str">
        <f>COUNTIFS([2]Errors!$B:$B, $C233, [2]Errors!$H:$H, M$1)</f>
        <v>#ERROR!</v>
      </c>
      <c r="N233" s="309">
        <f>COUNTIFS(Errors!$B:$B, $C233, Errors!$I:$I, N$1)</f>
        <v>0</v>
      </c>
      <c r="O233" s="278" t="str">
        <f>COUNTIFS([2]Errors!$B:$B, $C233, [2]Errors!$H:$H, O$1)</f>
        <v>#ERROR!</v>
      </c>
      <c r="P233" s="278" t="str">
        <f>COUNTIFS([2]Errors!$B:$B, $C233, [2]Errors!$H:$H, P$1)</f>
        <v>#ERROR!</v>
      </c>
      <c r="Q233" s="278" t="str">
        <f>COUNTIFS([2]Errors!$B:$B, $C233, [2]Errors!$H:$H, Q$1)</f>
        <v>#ERROR!</v>
      </c>
      <c r="R233" s="278" t="str">
        <f>COUNTIFS([2]Errors!$B:$B, $C233, [2]Errors!$H:$H, R$1)</f>
        <v>#ERROR!</v>
      </c>
      <c r="S233" s="278" t="str">
        <f>COUNTIFS([2]Errors!$B:$B, $C233, [2]Errors!$H:$H, S$1)</f>
        <v>#ERROR!</v>
      </c>
      <c r="T233" s="278" t="str">
        <f>COUNTIFS([2]Errors!$B:$B, $C233, [2]Errors!$H:$H, T$1)</f>
        <v>#ERROR!</v>
      </c>
      <c r="U233" s="278" t="str">
        <f>COUNTIFS([2]Errors!$B:$B, $C233, [2]Errors!$H:$H, U$1)</f>
        <v>#ERROR!</v>
      </c>
      <c r="V233" s="278" t="str">
        <f>COUNTIFS([2]Errors!$B:$B, $C233, [2]Errors!$H:$H, V$1)</f>
        <v>#ERROR!</v>
      </c>
      <c r="W233" s="278" t="str">
        <f>COUNTIFS([2]Errors!$B:$B, $C233, [2]Errors!$H:$H, W$1)</f>
        <v>#ERROR!</v>
      </c>
      <c r="X233" s="278" t="str">
        <f>COUNTIFS([2]Errors!$B:$B, $C233, [2]Errors!$H:$H, X$1)</f>
        <v>#ERROR!</v>
      </c>
    </row>
    <row r="234" ht="15.75" customHeight="1">
      <c r="A234" s="325">
        <v>0.0</v>
      </c>
      <c r="B234" s="325" t="str">
        <f>SourceData!K234</f>
        <v/>
      </c>
      <c r="C234" s="294" t="str">
        <f>SourceData!J232</f>
        <v/>
      </c>
      <c r="D234" s="298">
        <f>(COUNTIF(Errors!$B$3:$B$3010,'[1]Error Count Analysis'!C234))-((COUNTIFS(Errors!$B$3:$B$3010,'[1]Error Count Analysis'!C234, (Errors!$I$3:$I$3010),"TV*")))</f>
        <v>0</v>
      </c>
      <c r="E234" s="325" t="str">
        <f t="shared" si="1"/>
        <v>#DIV/0!</v>
      </c>
      <c r="F234" s="278" t="str">
        <f>COUNTIFS([2]Errors!$B:$B, $C234, [2]Errors!$H:$H, F$1)</f>
        <v>#ERROR!</v>
      </c>
      <c r="G234" s="278" t="str">
        <f>COUNTIFS([2]Errors!$B:$B, $C234, [2]Errors!$H:$H, G$1)</f>
        <v>#ERROR!</v>
      </c>
      <c r="H234" s="278" t="str">
        <f>COUNTIFS([2]Errors!$B:$B, $C234, [2]Errors!$H:$H, H$1)</f>
        <v>#ERROR!</v>
      </c>
      <c r="I234" s="278" t="str">
        <f>COUNTIFS([2]Errors!$B:$B, $C234, [2]Errors!$H:$H, I$1)</f>
        <v>#ERROR!</v>
      </c>
      <c r="J234" s="278" t="str">
        <f>COUNTIFS([2]Errors!$B:$B, $C234, [2]Errors!$H:$H, J$1)</f>
        <v>#ERROR!</v>
      </c>
      <c r="K234" s="278" t="str">
        <f>COUNTIFS([2]Errors!$B:$B, $C234, [2]Errors!$H:$H, K$1)</f>
        <v>#ERROR!</v>
      </c>
      <c r="L234" s="278" t="str">
        <f>COUNTIFS([2]Errors!$B:$B, $C234, [2]Errors!$H:$H, L$1)</f>
        <v>#ERROR!</v>
      </c>
      <c r="M234" s="278" t="str">
        <f>COUNTIFS([2]Errors!$B:$B, $C234, [2]Errors!$H:$H, M$1)</f>
        <v>#ERROR!</v>
      </c>
      <c r="N234" s="298">
        <f>COUNTIFS(Errors!$B:$B, $C234, Errors!$I:$I, N$1)</f>
        <v>0</v>
      </c>
      <c r="O234" s="278" t="str">
        <f>COUNTIFS([2]Errors!$B:$B, $C234, [2]Errors!$H:$H, O$1)</f>
        <v>#ERROR!</v>
      </c>
      <c r="P234" s="278" t="str">
        <f>COUNTIFS([2]Errors!$B:$B, $C234, [2]Errors!$H:$H, P$1)</f>
        <v>#ERROR!</v>
      </c>
      <c r="Q234" s="278" t="str">
        <f>COUNTIFS([2]Errors!$B:$B, $C234, [2]Errors!$H:$H, Q$1)</f>
        <v>#ERROR!</v>
      </c>
      <c r="R234" s="278" t="str">
        <f>COUNTIFS([2]Errors!$B:$B, $C234, [2]Errors!$H:$H, R$1)</f>
        <v>#ERROR!</v>
      </c>
      <c r="S234" s="278" t="str">
        <f>COUNTIFS([2]Errors!$B:$B, $C234, [2]Errors!$H:$H, S$1)</f>
        <v>#ERROR!</v>
      </c>
      <c r="T234" s="278" t="str">
        <f>COUNTIFS([2]Errors!$B:$B, $C234, [2]Errors!$H:$H, T$1)</f>
        <v>#ERROR!</v>
      </c>
      <c r="U234" s="278" t="str">
        <f>COUNTIFS([2]Errors!$B:$B, $C234, [2]Errors!$H:$H, U$1)</f>
        <v>#ERROR!</v>
      </c>
      <c r="V234" s="278" t="str">
        <f>COUNTIFS([2]Errors!$B:$B, $C234, [2]Errors!$H:$H, V$1)</f>
        <v>#ERROR!</v>
      </c>
      <c r="W234" s="278" t="str">
        <f>COUNTIFS([2]Errors!$B:$B, $C234, [2]Errors!$H:$H, W$1)</f>
        <v>#ERROR!</v>
      </c>
      <c r="X234" s="278" t="str">
        <f>COUNTIFS([2]Errors!$B:$B, $C234, [2]Errors!$H:$H, X$1)</f>
        <v>#ERROR!</v>
      </c>
    </row>
    <row r="235" ht="15.75" customHeight="1">
      <c r="A235" s="305">
        <v>0.0</v>
      </c>
      <c r="B235" s="325" t="str">
        <f>SourceData!K235</f>
        <v/>
      </c>
      <c r="C235" s="305" t="str">
        <f>SourceData!J234</f>
        <v/>
      </c>
      <c r="D235" s="298">
        <f>(COUNTIF(Errors!$B$3:$B$3010,'[1]Error Count Analysis'!C235))-((COUNTIFS(Errors!$B$3:$B$3010,'[1]Error Count Analysis'!C235, (Errors!$I$3:$I$3010),"TV*")))</f>
        <v>0</v>
      </c>
      <c r="E235" s="305" t="str">
        <f t="shared" si="1"/>
        <v>#DIV/0!</v>
      </c>
      <c r="F235" s="278" t="str">
        <f>COUNTIFS([2]Errors!$B:$B, $C235, [2]Errors!$H:$H, F$1)</f>
        <v>#ERROR!</v>
      </c>
      <c r="G235" s="278" t="str">
        <f>COUNTIFS([2]Errors!$B:$B, $C235, [2]Errors!$H:$H, G$1)</f>
        <v>#ERROR!</v>
      </c>
      <c r="H235" s="278" t="str">
        <f>COUNTIFS([2]Errors!$B:$B, $C235, [2]Errors!$H:$H, H$1)</f>
        <v>#ERROR!</v>
      </c>
      <c r="I235" s="278" t="str">
        <f>COUNTIFS([2]Errors!$B:$B, $C235, [2]Errors!$H:$H, I$1)</f>
        <v>#ERROR!</v>
      </c>
      <c r="J235" s="278" t="str">
        <f>COUNTIFS([2]Errors!$B:$B, $C235, [2]Errors!$H:$H, J$1)</f>
        <v>#ERROR!</v>
      </c>
      <c r="K235" s="278" t="str">
        <f>COUNTIFS([2]Errors!$B:$B, $C235, [2]Errors!$H:$H, K$1)</f>
        <v>#ERROR!</v>
      </c>
      <c r="L235" s="278" t="str">
        <f>COUNTIFS([2]Errors!$B:$B, $C235, [2]Errors!$H:$H, L$1)</f>
        <v>#ERROR!</v>
      </c>
      <c r="M235" s="278" t="str">
        <f>COUNTIFS([2]Errors!$B:$B, $C235, [2]Errors!$H:$H, M$1)</f>
        <v>#ERROR!</v>
      </c>
      <c r="N235" s="309">
        <f>COUNTIFS(Errors!$B:$B, $C235, Errors!$I:$I, N$1)</f>
        <v>0</v>
      </c>
      <c r="O235" s="278" t="str">
        <f>COUNTIFS([2]Errors!$B:$B, $C235, [2]Errors!$H:$H, O$1)</f>
        <v>#ERROR!</v>
      </c>
      <c r="P235" s="278" t="str">
        <f>COUNTIFS([2]Errors!$B:$B, $C235, [2]Errors!$H:$H, P$1)</f>
        <v>#ERROR!</v>
      </c>
      <c r="Q235" s="278" t="str">
        <f>COUNTIFS([2]Errors!$B:$B, $C235, [2]Errors!$H:$H, Q$1)</f>
        <v>#ERROR!</v>
      </c>
      <c r="R235" s="278" t="str">
        <f>COUNTIFS([2]Errors!$B:$B, $C235, [2]Errors!$H:$H, R$1)</f>
        <v>#ERROR!</v>
      </c>
      <c r="S235" s="278" t="str">
        <f>COUNTIFS([2]Errors!$B:$B, $C235, [2]Errors!$H:$H, S$1)</f>
        <v>#ERROR!</v>
      </c>
      <c r="T235" s="278" t="str">
        <f>COUNTIFS([2]Errors!$B:$B, $C235, [2]Errors!$H:$H, T$1)</f>
        <v>#ERROR!</v>
      </c>
      <c r="U235" s="278" t="str">
        <f>COUNTIFS([2]Errors!$B:$B, $C235, [2]Errors!$H:$H, U$1)</f>
        <v>#ERROR!</v>
      </c>
      <c r="V235" s="278" t="str">
        <f>COUNTIFS([2]Errors!$B:$B, $C235, [2]Errors!$H:$H, V$1)</f>
        <v>#ERROR!</v>
      </c>
      <c r="W235" s="278" t="str">
        <f>COUNTIFS([2]Errors!$B:$B, $C235, [2]Errors!$H:$H, W$1)</f>
        <v>#ERROR!</v>
      </c>
      <c r="X235" s="278" t="str">
        <f>COUNTIFS([2]Errors!$B:$B, $C235, [2]Errors!$H:$H, X$1)</f>
        <v>#ERROR!</v>
      </c>
    </row>
    <row r="236" ht="15.75" customHeight="1">
      <c r="A236" s="325">
        <v>0.0</v>
      </c>
      <c r="B236" s="325" t="str">
        <f>SourceData!K236</f>
        <v/>
      </c>
      <c r="C236" s="294" t="str">
        <f>SourceData!J234</f>
        <v/>
      </c>
      <c r="D236" s="298">
        <f>(COUNTIF(Errors!$B$3:$B$3010,'[1]Error Count Analysis'!C236))-((COUNTIFS(Errors!$B$3:$B$3010,'[1]Error Count Analysis'!C236, (Errors!$I$3:$I$3010),"TV*")))</f>
        <v>0</v>
      </c>
      <c r="E236" s="325" t="str">
        <f t="shared" si="1"/>
        <v>#DIV/0!</v>
      </c>
      <c r="F236" s="278" t="str">
        <f>COUNTIFS([2]Errors!$B:$B, $C236, [2]Errors!$H:$H, F$1)</f>
        <v>#ERROR!</v>
      </c>
      <c r="G236" s="278" t="str">
        <f>COUNTIFS([2]Errors!$B:$B, $C236, [2]Errors!$H:$H, G$1)</f>
        <v>#ERROR!</v>
      </c>
      <c r="H236" s="278" t="str">
        <f>COUNTIFS([2]Errors!$B:$B, $C236, [2]Errors!$H:$H, H$1)</f>
        <v>#ERROR!</v>
      </c>
      <c r="I236" s="278" t="str">
        <f>COUNTIFS([2]Errors!$B:$B, $C236, [2]Errors!$H:$H, I$1)</f>
        <v>#ERROR!</v>
      </c>
      <c r="J236" s="278" t="str">
        <f>COUNTIFS([2]Errors!$B:$B, $C236, [2]Errors!$H:$H, J$1)</f>
        <v>#ERROR!</v>
      </c>
      <c r="K236" s="278" t="str">
        <f>COUNTIFS([2]Errors!$B:$B, $C236, [2]Errors!$H:$H, K$1)</f>
        <v>#ERROR!</v>
      </c>
      <c r="L236" s="278" t="str">
        <f>COUNTIFS([2]Errors!$B:$B, $C236, [2]Errors!$H:$H, L$1)</f>
        <v>#ERROR!</v>
      </c>
      <c r="M236" s="278" t="str">
        <f>COUNTIFS([2]Errors!$B:$B, $C236, [2]Errors!$H:$H, M$1)</f>
        <v>#ERROR!</v>
      </c>
      <c r="N236" s="298">
        <f>COUNTIFS(Errors!$B:$B, $C236, Errors!$I:$I, N$1)</f>
        <v>0</v>
      </c>
      <c r="O236" s="278" t="str">
        <f>COUNTIFS([2]Errors!$B:$B, $C236, [2]Errors!$H:$H, O$1)</f>
        <v>#ERROR!</v>
      </c>
      <c r="P236" s="278" t="str">
        <f>COUNTIFS([2]Errors!$B:$B, $C236, [2]Errors!$H:$H, P$1)</f>
        <v>#ERROR!</v>
      </c>
      <c r="Q236" s="278" t="str">
        <f>COUNTIFS([2]Errors!$B:$B, $C236, [2]Errors!$H:$H, Q$1)</f>
        <v>#ERROR!</v>
      </c>
      <c r="R236" s="278" t="str">
        <f>COUNTIFS([2]Errors!$B:$B, $C236, [2]Errors!$H:$H, R$1)</f>
        <v>#ERROR!</v>
      </c>
      <c r="S236" s="278" t="str">
        <f>COUNTIFS([2]Errors!$B:$B, $C236, [2]Errors!$H:$H, S$1)</f>
        <v>#ERROR!</v>
      </c>
      <c r="T236" s="278" t="str">
        <f>COUNTIFS([2]Errors!$B:$B, $C236, [2]Errors!$H:$H, T$1)</f>
        <v>#ERROR!</v>
      </c>
      <c r="U236" s="278" t="str">
        <f>COUNTIFS([2]Errors!$B:$B, $C236, [2]Errors!$H:$H, U$1)</f>
        <v>#ERROR!</v>
      </c>
      <c r="V236" s="278" t="str">
        <f>COUNTIFS([2]Errors!$B:$B, $C236, [2]Errors!$H:$H, V$1)</f>
        <v>#ERROR!</v>
      </c>
      <c r="W236" s="278" t="str">
        <f>COUNTIFS([2]Errors!$B:$B, $C236, [2]Errors!$H:$H, W$1)</f>
        <v>#ERROR!</v>
      </c>
      <c r="X236" s="278" t="str">
        <f>COUNTIFS([2]Errors!$B:$B, $C236, [2]Errors!$H:$H, X$1)</f>
        <v>#ERROR!</v>
      </c>
    </row>
    <row r="237" ht="15.75" customHeight="1">
      <c r="A237" s="305">
        <v>0.0</v>
      </c>
      <c r="B237" s="325" t="str">
        <f>SourceData!K237</f>
        <v/>
      </c>
      <c r="C237" s="305" t="str">
        <f>SourceData!J236</f>
        <v/>
      </c>
      <c r="D237" s="298">
        <f>(COUNTIF(Errors!$B$3:$B$3010,'[1]Error Count Analysis'!C237))-((COUNTIFS(Errors!$B$3:$B$3010,'[1]Error Count Analysis'!C237, (Errors!$I$3:$I$3010),"TV*")))</f>
        <v>0</v>
      </c>
      <c r="E237" s="305" t="str">
        <f t="shared" si="1"/>
        <v>#DIV/0!</v>
      </c>
      <c r="F237" s="278" t="str">
        <f>COUNTIFS([2]Errors!$B:$B, $C237, [2]Errors!$H:$H, F$1)</f>
        <v>#ERROR!</v>
      </c>
      <c r="G237" s="278" t="str">
        <f>COUNTIFS([2]Errors!$B:$B, $C237, [2]Errors!$H:$H, G$1)</f>
        <v>#ERROR!</v>
      </c>
      <c r="H237" s="278" t="str">
        <f>COUNTIFS([2]Errors!$B:$B, $C237, [2]Errors!$H:$H, H$1)</f>
        <v>#ERROR!</v>
      </c>
      <c r="I237" s="278" t="str">
        <f>COUNTIFS([2]Errors!$B:$B, $C237, [2]Errors!$H:$H, I$1)</f>
        <v>#ERROR!</v>
      </c>
      <c r="J237" s="278" t="str">
        <f>COUNTIFS([2]Errors!$B:$B, $C237, [2]Errors!$H:$H, J$1)</f>
        <v>#ERROR!</v>
      </c>
      <c r="K237" s="278" t="str">
        <f>COUNTIFS([2]Errors!$B:$B, $C237, [2]Errors!$H:$H, K$1)</f>
        <v>#ERROR!</v>
      </c>
      <c r="L237" s="278" t="str">
        <f>COUNTIFS([2]Errors!$B:$B, $C237, [2]Errors!$H:$H, L$1)</f>
        <v>#ERROR!</v>
      </c>
      <c r="M237" s="278" t="str">
        <f>COUNTIFS([2]Errors!$B:$B, $C237, [2]Errors!$H:$H, M$1)</f>
        <v>#ERROR!</v>
      </c>
      <c r="N237" s="309">
        <f>COUNTIFS(Errors!$B:$B, $C237, Errors!$I:$I, N$1)</f>
        <v>0</v>
      </c>
      <c r="O237" s="278" t="str">
        <f>COUNTIFS([2]Errors!$B:$B, $C237, [2]Errors!$H:$H, O$1)</f>
        <v>#ERROR!</v>
      </c>
      <c r="P237" s="278" t="str">
        <f>COUNTIFS([2]Errors!$B:$B, $C237, [2]Errors!$H:$H, P$1)</f>
        <v>#ERROR!</v>
      </c>
      <c r="Q237" s="278" t="str">
        <f>COUNTIFS([2]Errors!$B:$B, $C237, [2]Errors!$H:$H, Q$1)</f>
        <v>#ERROR!</v>
      </c>
      <c r="R237" s="278" t="str">
        <f>COUNTIFS([2]Errors!$B:$B, $C237, [2]Errors!$H:$H, R$1)</f>
        <v>#ERROR!</v>
      </c>
      <c r="S237" s="278" t="str">
        <f>COUNTIFS([2]Errors!$B:$B, $C237, [2]Errors!$H:$H, S$1)</f>
        <v>#ERROR!</v>
      </c>
      <c r="T237" s="278" t="str">
        <f>COUNTIFS([2]Errors!$B:$B, $C237, [2]Errors!$H:$H, T$1)</f>
        <v>#ERROR!</v>
      </c>
      <c r="U237" s="278" t="str">
        <f>COUNTIFS([2]Errors!$B:$B, $C237, [2]Errors!$H:$H, U$1)</f>
        <v>#ERROR!</v>
      </c>
      <c r="V237" s="278" t="str">
        <f>COUNTIFS([2]Errors!$B:$B, $C237, [2]Errors!$H:$H, V$1)</f>
        <v>#ERROR!</v>
      </c>
      <c r="W237" s="278" t="str">
        <f>COUNTIFS([2]Errors!$B:$B, $C237, [2]Errors!$H:$H, W$1)</f>
        <v>#ERROR!</v>
      </c>
      <c r="X237" s="278" t="str">
        <f>COUNTIFS([2]Errors!$B:$B, $C237, [2]Errors!$H:$H, X$1)</f>
        <v>#ERROR!</v>
      </c>
    </row>
    <row r="238" ht="15.75" customHeight="1">
      <c r="A238" s="325">
        <v>0.0</v>
      </c>
      <c r="B238" s="325" t="str">
        <f>SourceData!K238</f>
        <v/>
      </c>
      <c r="C238" s="294" t="str">
        <f>SourceData!J236</f>
        <v/>
      </c>
      <c r="D238" s="298">
        <f>(COUNTIF(Errors!$B$3:$B$3010,'[1]Error Count Analysis'!C238))-((COUNTIFS(Errors!$B$3:$B$3010,'[1]Error Count Analysis'!C238, (Errors!$I$3:$I$3010),"TV*")))</f>
        <v>0</v>
      </c>
      <c r="E238" s="325" t="str">
        <f t="shared" si="1"/>
        <v>#DIV/0!</v>
      </c>
      <c r="F238" s="278" t="str">
        <f>COUNTIFS([2]Errors!$B:$B, $C238, [2]Errors!$H:$H, F$1)</f>
        <v>#ERROR!</v>
      </c>
      <c r="G238" s="278" t="str">
        <f>COUNTIFS([2]Errors!$B:$B, $C238, [2]Errors!$H:$H, G$1)</f>
        <v>#ERROR!</v>
      </c>
      <c r="H238" s="278" t="str">
        <f>COUNTIFS([2]Errors!$B:$B, $C238, [2]Errors!$H:$H, H$1)</f>
        <v>#ERROR!</v>
      </c>
      <c r="I238" s="278" t="str">
        <f>COUNTIFS([2]Errors!$B:$B, $C238, [2]Errors!$H:$H, I$1)</f>
        <v>#ERROR!</v>
      </c>
      <c r="J238" s="278" t="str">
        <f>COUNTIFS([2]Errors!$B:$B, $C238, [2]Errors!$H:$H, J$1)</f>
        <v>#ERROR!</v>
      </c>
      <c r="K238" s="278" t="str">
        <f>COUNTIFS([2]Errors!$B:$B, $C238, [2]Errors!$H:$H, K$1)</f>
        <v>#ERROR!</v>
      </c>
      <c r="L238" s="278" t="str">
        <f>COUNTIFS([2]Errors!$B:$B, $C238, [2]Errors!$H:$H, L$1)</f>
        <v>#ERROR!</v>
      </c>
      <c r="M238" s="278" t="str">
        <f>COUNTIFS([2]Errors!$B:$B, $C238, [2]Errors!$H:$H, M$1)</f>
        <v>#ERROR!</v>
      </c>
      <c r="N238" s="298">
        <f>COUNTIFS(Errors!$B:$B, $C238, Errors!$I:$I, N$1)</f>
        <v>0</v>
      </c>
      <c r="O238" s="278" t="str">
        <f>COUNTIFS([2]Errors!$B:$B, $C238, [2]Errors!$H:$H, O$1)</f>
        <v>#ERROR!</v>
      </c>
      <c r="P238" s="278" t="str">
        <f>COUNTIFS([2]Errors!$B:$B, $C238, [2]Errors!$H:$H, P$1)</f>
        <v>#ERROR!</v>
      </c>
      <c r="Q238" s="278" t="str">
        <f>COUNTIFS([2]Errors!$B:$B, $C238, [2]Errors!$H:$H, Q$1)</f>
        <v>#ERROR!</v>
      </c>
      <c r="R238" s="278" t="str">
        <f>COUNTIFS([2]Errors!$B:$B, $C238, [2]Errors!$H:$H, R$1)</f>
        <v>#ERROR!</v>
      </c>
      <c r="S238" s="278" t="str">
        <f>COUNTIFS([2]Errors!$B:$B, $C238, [2]Errors!$H:$H, S$1)</f>
        <v>#ERROR!</v>
      </c>
      <c r="T238" s="278" t="str">
        <f>COUNTIFS([2]Errors!$B:$B, $C238, [2]Errors!$H:$H, T$1)</f>
        <v>#ERROR!</v>
      </c>
      <c r="U238" s="278" t="str">
        <f>COUNTIFS([2]Errors!$B:$B, $C238, [2]Errors!$H:$H, U$1)</f>
        <v>#ERROR!</v>
      </c>
      <c r="V238" s="278" t="str">
        <f>COUNTIFS([2]Errors!$B:$B, $C238, [2]Errors!$H:$H, V$1)</f>
        <v>#ERROR!</v>
      </c>
      <c r="W238" s="278" t="str">
        <f>COUNTIFS([2]Errors!$B:$B, $C238, [2]Errors!$H:$H, W$1)</f>
        <v>#ERROR!</v>
      </c>
      <c r="X238" s="278" t="str">
        <f>COUNTIFS([2]Errors!$B:$B, $C238, [2]Errors!$H:$H, X$1)</f>
        <v>#ERROR!</v>
      </c>
    </row>
    <row r="239" ht="15.75" customHeight="1">
      <c r="A239" s="305">
        <v>0.0</v>
      </c>
      <c r="B239" s="325" t="str">
        <f>SourceData!K239</f>
        <v/>
      </c>
      <c r="C239" s="305" t="str">
        <f>SourceData!J238</f>
        <v/>
      </c>
      <c r="D239" s="298">
        <f>(COUNTIF(Errors!$B$3:$B$3010,'[1]Error Count Analysis'!C239))-((COUNTIFS(Errors!$B$3:$B$3010,'[1]Error Count Analysis'!C239, (Errors!$I$3:$I$3010),"TV*")))</f>
        <v>0</v>
      </c>
      <c r="E239" s="305" t="str">
        <f t="shared" si="1"/>
        <v>#DIV/0!</v>
      </c>
      <c r="F239" s="278" t="str">
        <f>COUNTIFS([2]Errors!$B:$B, $C239, [2]Errors!$H:$H, F$1)</f>
        <v>#ERROR!</v>
      </c>
      <c r="G239" s="278" t="str">
        <f>COUNTIFS([2]Errors!$B:$B, $C239, [2]Errors!$H:$H, G$1)</f>
        <v>#ERROR!</v>
      </c>
      <c r="H239" s="278" t="str">
        <f>COUNTIFS([2]Errors!$B:$B, $C239, [2]Errors!$H:$H, H$1)</f>
        <v>#ERROR!</v>
      </c>
      <c r="I239" s="278" t="str">
        <f>COUNTIFS([2]Errors!$B:$B, $C239, [2]Errors!$H:$H, I$1)</f>
        <v>#ERROR!</v>
      </c>
      <c r="J239" s="278" t="str">
        <f>COUNTIFS([2]Errors!$B:$B, $C239, [2]Errors!$H:$H, J$1)</f>
        <v>#ERROR!</v>
      </c>
      <c r="K239" s="278" t="str">
        <f>COUNTIFS([2]Errors!$B:$B, $C239, [2]Errors!$H:$H, K$1)</f>
        <v>#ERROR!</v>
      </c>
      <c r="L239" s="278" t="str">
        <f>COUNTIFS([2]Errors!$B:$B, $C239, [2]Errors!$H:$H, L$1)</f>
        <v>#ERROR!</v>
      </c>
      <c r="M239" s="278" t="str">
        <f>COUNTIFS([2]Errors!$B:$B, $C239, [2]Errors!$H:$H, M$1)</f>
        <v>#ERROR!</v>
      </c>
      <c r="N239" s="309">
        <f>COUNTIFS(Errors!$B:$B, $C239, Errors!$I:$I, N$1)</f>
        <v>0</v>
      </c>
      <c r="O239" s="278" t="str">
        <f>COUNTIFS([2]Errors!$B:$B, $C239, [2]Errors!$H:$H, O$1)</f>
        <v>#ERROR!</v>
      </c>
      <c r="P239" s="278" t="str">
        <f>COUNTIFS([2]Errors!$B:$B, $C239, [2]Errors!$H:$H, P$1)</f>
        <v>#ERROR!</v>
      </c>
      <c r="Q239" s="278" t="str">
        <f>COUNTIFS([2]Errors!$B:$B, $C239, [2]Errors!$H:$H, Q$1)</f>
        <v>#ERROR!</v>
      </c>
      <c r="R239" s="278" t="str">
        <f>COUNTIFS([2]Errors!$B:$B, $C239, [2]Errors!$H:$H, R$1)</f>
        <v>#ERROR!</v>
      </c>
      <c r="S239" s="278" t="str">
        <f>COUNTIFS([2]Errors!$B:$B, $C239, [2]Errors!$H:$H, S$1)</f>
        <v>#ERROR!</v>
      </c>
      <c r="T239" s="278" t="str">
        <f>COUNTIFS([2]Errors!$B:$B, $C239, [2]Errors!$H:$H, T$1)</f>
        <v>#ERROR!</v>
      </c>
      <c r="U239" s="278" t="str">
        <f>COUNTIFS([2]Errors!$B:$B, $C239, [2]Errors!$H:$H, U$1)</f>
        <v>#ERROR!</v>
      </c>
      <c r="V239" s="278" t="str">
        <f>COUNTIFS([2]Errors!$B:$B, $C239, [2]Errors!$H:$H, V$1)</f>
        <v>#ERROR!</v>
      </c>
      <c r="W239" s="278" t="str">
        <f>COUNTIFS([2]Errors!$B:$B, $C239, [2]Errors!$H:$H, W$1)</f>
        <v>#ERROR!</v>
      </c>
      <c r="X239" s="278" t="str">
        <f>COUNTIFS([2]Errors!$B:$B, $C239, [2]Errors!$H:$H, X$1)</f>
        <v>#ERROR!</v>
      </c>
    </row>
    <row r="240" ht="15.75" customHeight="1">
      <c r="A240" s="325">
        <v>0.0</v>
      </c>
      <c r="B240" s="325" t="str">
        <f>SourceData!K240</f>
        <v/>
      </c>
      <c r="C240" s="294" t="str">
        <f>SourceData!J238</f>
        <v/>
      </c>
      <c r="D240" s="298">
        <f>(COUNTIF(Errors!$B$3:$B$3010,'[1]Error Count Analysis'!C240))-((COUNTIFS(Errors!$B$3:$B$3010,'[1]Error Count Analysis'!C240, (Errors!$I$3:$I$3010),"TV*")))</f>
        <v>0</v>
      </c>
      <c r="E240" s="325" t="str">
        <f t="shared" si="1"/>
        <v>#DIV/0!</v>
      </c>
      <c r="F240" s="278" t="str">
        <f>COUNTIFS([2]Errors!$B:$B, $C240, [2]Errors!$H:$H, F$1)</f>
        <v>#ERROR!</v>
      </c>
      <c r="G240" s="278" t="str">
        <f>COUNTIFS([2]Errors!$B:$B, $C240, [2]Errors!$H:$H, G$1)</f>
        <v>#ERROR!</v>
      </c>
      <c r="H240" s="278" t="str">
        <f>COUNTIFS([2]Errors!$B:$B, $C240, [2]Errors!$H:$H, H$1)</f>
        <v>#ERROR!</v>
      </c>
      <c r="I240" s="278" t="str">
        <f>COUNTIFS([2]Errors!$B:$B, $C240, [2]Errors!$H:$H, I$1)</f>
        <v>#ERROR!</v>
      </c>
      <c r="J240" s="278" t="str">
        <f>COUNTIFS([2]Errors!$B:$B, $C240, [2]Errors!$H:$H, J$1)</f>
        <v>#ERROR!</v>
      </c>
      <c r="K240" s="278" t="str">
        <f>COUNTIFS([2]Errors!$B:$B, $C240, [2]Errors!$H:$H, K$1)</f>
        <v>#ERROR!</v>
      </c>
      <c r="L240" s="278" t="str">
        <f>COUNTIFS([2]Errors!$B:$B, $C240, [2]Errors!$H:$H, L$1)</f>
        <v>#ERROR!</v>
      </c>
      <c r="M240" s="278" t="str">
        <f>COUNTIFS([2]Errors!$B:$B, $C240, [2]Errors!$H:$H, M$1)</f>
        <v>#ERROR!</v>
      </c>
      <c r="N240" s="298">
        <f>COUNTIFS(Errors!$B:$B, $C240, Errors!$I:$I, N$1)</f>
        <v>0</v>
      </c>
      <c r="O240" s="278" t="str">
        <f>COUNTIFS([2]Errors!$B:$B, $C240, [2]Errors!$H:$H, O$1)</f>
        <v>#ERROR!</v>
      </c>
      <c r="P240" s="278" t="str">
        <f>COUNTIFS([2]Errors!$B:$B, $C240, [2]Errors!$H:$H, P$1)</f>
        <v>#ERROR!</v>
      </c>
      <c r="Q240" s="278" t="str">
        <f>COUNTIFS([2]Errors!$B:$B, $C240, [2]Errors!$H:$H, Q$1)</f>
        <v>#ERROR!</v>
      </c>
      <c r="R240" s="278" t="str">
        <f>COUNTIFS([2]Errors!$B:$B, $C240, [2]Errors!$H:$H, R$1)</f>
        <v>#ERROR!</v>
      </c>
      <c r="S240" s="278" t="str">
        <f>COUNTIFS([2]Errors!$B:$B, $C240, [2]Errors!$H:$H, S$1)</f>
        <v>#ERROR!</v>
      </c>
      <c r="T240" s="278" t="str">
        <f>COUNTIFS([2]Errors!$B:$B, $C240, [2]Errors!$H:$H, T$1)</f>
        <v>#ERROR!</v>
      </c>
      <c r="U240" s="278" t="str">
        <f>COUNTIFS([2]Errors!$B:$B, $C240, [2]Errors!$H:$H, U$1)</f>
        <v>#ERROR!</v>
      </c>
      <c r="V240" s="278" t="str">
        <f>COUNTIFS([2]Errors!$B:$B, $C240, [2]Errors!$H:$H, V$1)</f>
        <v>#ERROR!</v>
      </c>
      <c r="W240" s="278" t="str">
        <f>COUNTIFS([2]Errors!$B:$B, $C240, [2]Errors!$H:$H, W$1)</f>
        <v>#ERROR!</v>
      </c>
      <c r="X240" s="278" t="str">
        <f>COUNTIFS([2]Errors!$B:$B, $C240, [2]Errors!$H:$H, X$1)</f>
        <v>#ERROR!</v>
      </c>
    </row>
    <row r="241" ht="15.75" customHeight="1">
      <c r="A241" s="305">
        <v>0.0</v>
      </c>
      <c r="B241" s="325" t="str">
        <f>SourceData!K241</f>
        <v/>
      </c>
      <c r="C241" s="305" t="str">
        <f>SourceData!J240</f>
        <v/>
      </c>
      <c r="D241" s="298">
        <f>(COUNTIF(Errors!$B$3:$B$3010,'[1]Error Count Analysis'!C241))-((COUNTIFS(Errors!$B$3:$B$3010,'[1]Error Count Analysis'!C241, (Errors!$I$3:$I$3010),"TV*")))</f>
        <v>0</v>
      </c>
      <c r="E241" s="305" t="str">
        <f t="shared" si="1"/>
        <v>#DIV/0!</v>
      </c>
      <c r="F241" s="278" t="str">
        <f>COUNTIFS([2]Errors!$B:$B, $C241, [2]Errors!$H:$H, F$1)</f>
        <v>#ERROR!</v>
      </c>
      <c r="G241" s="278" t="str">
        <f>COUNTIFS([2]Errors!$B:$B, $C241, [2]Errors!$H:$H, G$1)</f>
        <v>#ERROR!</v>
      </c>
      <c r="H241" s="278" t="str">
        <f>COUNTIFS([2]Errors!$B:$B, $C241, [2]Errors!$H:$H, H$1)</f>
        <v>#ERROR!</v>
      </c>
      <c r="I241" s="278" t="str">
        <f>COUNTIFS([2]Errors!$B:$B, $C241, [2]Errors!$H:$H, I$1)</f>
        <v>#ERROR!</v>
      </c>
      <c r="J241" s="278" t="str">
        <f>COUNTIFS([2]Errors!$B:$B, $C241, [2]Errors!$H:$H, J$1)</f>
        <v>#ERROR!</v>
      </c>
      <c r="K241" s="278" t="str">
        <f>COUNTIFS([2]Errors!$B:$B, $C241, [2]Errors!$H:$H, K$1)</f>
        <v>#ERROR!</v>
      </c>
      <c r="L241" s="278" t="str">
        <f>COUNTIFS([2]Errors!$B:$B, $C241, [2]Errors!$H:$H, L$1)</f>
        <v>#ERROR!</v>
      </c>
      <c r="M241" s="278" t="str">
        <f>COUNTIFS([2]Errors!$B:$B, $C241, [2]Errors!$H:$H, M$1)</f>
        <v>#ERROR!</v>
      </c>
      <c r="N241" s="309">
        <f>COUNTIFS(Errors!$B:$B, $C241, Errors!$I:$I, N$1)</f>
        <v>0</v>
      </c>
      <c r="O241" s="278" t="str">
        <f>COUNTIFS([2]Errors!$B:$B, $C241, [2]Errors!$H:$H, O$1)</f>
        <v>#ERROR!</v>
      </c>
      <c r="P241" s="278" t="str">
        <f>COUNTIFS([2]Errors!$B:$B, $C241, [2]Errors!$H:$H, P$1)</f>
        <v>#ERROR!</v>
      </c>
      <c r="Q241" s="278" t="str">
        <f>COUNTIFS([2]Errors!$B:$B, $C241, [2]Errors!$H:$H, Q$1)</f>
        <v>#ERROR!</v>
      </c>
      <c r="R241" s="278" t="str">
        <f>COUNTIFS([2]Errors!$B:$B, $C241, [2]Errors!$H:$H, R$1)</f>
        <v>#ERROR!</v>
      </c>
      <c r="S241" s="278" t="str">
        <f>COUNTIFS([2]Errors!$B:$B, $C241, [2]Errors!$H:$H, S$1)</f>
        <v>#ERROR!</v>
      </c>
      <c r="T241" s="278" t="str">
        <f>COUNTIFS([2]Errors!$B:$B, $C241, [2]Errors!$H:$H, T$1)</f>
        <v>#ERROR!</v>
      </c>
      <c r="U241" s="278" t="str">
        <f>COUNTIFS([2]Errors!$B:$B, $C241, [2]Errors!$H:$H, U$1)</f>
        <v>#ERROR!</v>
      </c>
      <c r="V241" s="278" t="str">
        <f>COUNTIFS([2]Errors!$B:$B, $C241, [2]Errors!$H:$H, V$1)</f>
        <v>#ERROR!</v>
      </c>
      <c r="W241" s="278" t="str">
        <f>COUNTIFS([2]Errors!$B:$B, $C241, [2]Errors!$H:$H, W$1)</f>
        <v>#ERROR!</v>
      </c>
      <c r="X241" s="278" t="str">
        <f>COUNTIFS([2]Errors!$B:$B, $C241, [2]Errors!$H:$H, X$1)</f>
        <v>#ERROR!</v>
      </c>
    </row>
    <row r="242" ht="15.75" customHeight="1">
      <c r="A242" s="325">
        <v>0.0</v>
      </c>
      <c r="B242" s="325" t="str">
        <f>SourceData!K242</f>
        <v/>
      </c>
      <c r="C242" s="294" t="str">
        <f>SourceData!J240</f>
        <v/>
      </c>
      <c r="D242" s="298">
        <f>(COUNTIF(Errors!$B$3:$B$3010,'[1]Error Count Analysis'!C242))-((COUNTIFS(Errors!$B$3:$B$3010,'[1]Error Count Analysis'!C242, (Errors!$I$3:$I$3010),"TV*")))</f>
        <v>0</v>
      </c>
      <c r="E242" s="325" t="str">
        <f t="shared" si="1"/>
        <v>#DIV/0!</v>
      </c>
      <c r="F242" s="278" t="str">
        <f>COUNTIFS([2]Errors!$B:$B, $C242, [2]Errors!$H:$H, F$1)</f>
        <v>#ERROR!</v>
      </c>
      <c r="G242" s="278" t="str">
        <f>COUNTIFS([2]Errors!$B:$B, $C242, [2]Errors!$H:$H, G$1)</f>
        <v>#ERROR!</v>
      </c>
      <c r="H242" s="278" t="str">
        <f>COUNTIFS([2]Errors!$B:$B, $C242, [2]Errors!$H:$H, H$1)</f>
        <v>#ERROR!</v>
      </c>
      <c r="I242" s="278" t="str">
        <f>COUNTIFS([2]Errors!$B:$B, $C242, [2]Errors!$H:$H, I$1)</f>
        <v>#ERROR!</v>
      </c>
      <c r="J242" s="278" t="str">
        <f>COUNTIFS([2]Errors!$B:$B, $C242, [2]Errors!$H:$H, J$1)</f>
        <v>#ERROR!</v>
      </c>
      <c r="K242" s="278" t="str">
        <f>COUNTIFS([2]Errors!$B:$B, $C242, [2]Errors!$H:$H, K$1)</f>
        <v>#ERROR!</v>
      </c>
      <c r="L242" s="278" t="str">
        <f>COUNTIFS([2]Errors!$B:$B, $C242, [2]Errors!$H:$H, L$1)</f>
        <v>#ERROR!</v>
      </c>
      <c r="M242" s="278" t="str">
        <f>COUNTIFS([2]Errors!$B:$B, $C242, [2]Errors!$H:$H, M$1)</f>
        <v>#ERROR!</v>
      </c>
      <c r="N242" s="298">
        <f>COUNTIFS(Errors!$B:$B, $C242, Errors!$I:$I, N$1)</f>
        <v>0</v>
      </c>
      <c r="O242" s="278" t="str">
        <f>COUNTIFS([2]Errors!$B:$B, $C242, [2]Errors!$H:$H, O$1)</f>
        <v>#ERROR!</v>
      </c>
      <c r="P242" s="278" t="str">
        <f>COUNTIFS([2]Errors!$B:$B, $C242, [2]Errors!$H:$H, P$1)</f>
        <v>#ERROR!</v>
      </c>
      <c r="Q242" s="278" t="str">
        <f>COUNTIFS([2]Errors!$B:$B, $C242, [2]Errors!$H:$H, Q$1)</f>
        <v>#ERROR!</v>
      </c>
      <c r="R242" s="278" t="str">
        <f>COUNTIFS([2]Errors!$B:$B, $C242, [2]Errors!$H:$H, R$1)</f>
        <v>#ERROR!</v>
      </c>
      <c r="S242" s="278" t="str">
        <f>COUNTIFS([2]Errors!$B:$B, $C242, [2]Errors!$H:$H, S$1)</f>
        <v>#ERROR!</v>
      </c>
      <c r="T242" s="278" t="str">
        <f>COUNTIFS([2]Errors!$B:$B, $C242, [2]Errors!$H:$H, T$1)</f>
        <v>#ERROR!</v>
      </c>
      <c r="U242" s="278" t="str">
        <f>COUNTIFS([2]Errors!$B:$B, $C242, [2]Errors!$H:$H, U$1)</f>
        <v>#ERROR!</v>
      </c>
      <c r="V242" s="278" t="str">
        <f>COUNTIFS([2]Errors!$B:$B, $C242, [2]Errors!$H:$H, V$1)</f>
        <v>#ERROR!</v>
      </c>
      <c r="W242" s="278" t="str">
        <f>COUNTIFS([2]Errors!$B:$B, $C242, [2]Errors!$H:$H, W$1)</f>
        <v>#ERROR!</v>
      </c>
      <c r="X242" s="278" t="str">
        <f>COUNTIFS([2]Errors!$B:$B, $C242, [2]Errors!$H:$H, X$1)</f>
        <v>#ERROR!</v>
      </c>
    </row>
    <row r="243" ht="15.75" customHeight="1">
      <c r="A243" s="305">
        <v>0.0</v>
      </c>
      <c r="B243" s="325" t="str">
        <f>SourceData!K243</f>
        <v/>
      </c>
      <c r="C243" s="305" t="str">
        <f>SourceData!J242</f>
        <v/>
      </c>
      <c r="D243" s="298">
        <f>(COUNTIF(Errors!$B$3:$B$3010,'[1]Error Count Analysis'!C243))-((COUNTIFS(Errors!$B$3:$B$3010,'[1]Error Count Analysis'!C243, (Errors!$I$3:$I$3010),"TV*")))</f>
        <v>0</v>
      </c>
      <c r="E243" s="305" t="str">
        <f t="shared" si="1"/>
        <v>#DIV/0!</v>
      </c>
      <c r="F243" s="278" t="str">
        <f>COUNTIFS([2]Errors!$B:$B, $C243, [2]Errors!$H:$H, F$1)</f>
        <v>#ERROR!</v>
      </c>
      <c r="G243" s="278" t="str">
        <f>COUNTIFS([2]Errors!$B:$B, $C243, [2]Errors!$H:$H, G$1)</f>
        <v>#ERROR!</v>
      </c>
      <c r="H243" s="278" t="str">
        <f>COUNTIFS([2]Errors!$B:$B, $C243, [2]Errors!$H:$H, H$1)</f>
        <v>#ERROR!</v>
      </c>
      <c r="I243" s="278" t="str">
        <f>COUNTIFS([2]Errors!$B:$B, $C243, [2]Errors!$H:$H, I$1)</f>
        <v>#ERROR!</v>
      </c>
      <c r="J243" s="278" t="str">
        <f>COUNTIFS([2]Errors!$B:$B, $C243, [2]Errors!$H:$H, J$1)</f>
        <v>#ERROR!</v>
      </c>
      <c r="K243" s="278" t="str">
        <f>COUNTIFS([2]Errors!$B:$B, $C243, [2]Errors!$H:$H, K$1)</f>
        <v>#ERROR!</v>
      </c>
      <c r="L243" s="278" t="str">
        <f>COUNTIFS([2]Errors!$B:$B, $C243, [2]Errors!$H:$H, L$1)</f>
        <v>#ERROR!</v>
      </c>
      <c r="M243" s="278" t="str">
        <f>COUNTIFS([2]Errors!$B:$B, $C243, [2]Errors!$H:$H, M$1)</f>
        <v>#ERROR!</v>
      </c>
      <c r="N243" s="309">
        <f>COUNTIFS(Errors!$B:$B, $C243, Errors!$I:$I, N$1)</f>
        <v>0</v>
      </c>
      <c r="O243" s="278" t="str">
        <f>COUNTIFS([2]Errors!$B:$B, $C243, [2]Errors!$H:$H, O$1)</f>
        <v>#ERROR!</v>
      </c>
      <c r="P243" s="278" t="str">
        <f>COUNTIFS([2]Errors!$B:$B, $C243, [2]Errors!$H:$H, P$1)</f>
        <v>#ERROR!</v>
      </c>
      <c r="Q243" s="278" t="str">
        <f>COUNTIFS([2]Errors!$B:$B, $C243, [2]Errors!$H:$H, Q$1)</f>
        <v>#ERROR!</v>
      </c>
      <c r="R243" s="278" t="str">
        <f>COUNTIFS([2]Errors!$B:$B, $C243, [2]Errors!$H:$H, R$1)</f>
        <v>#ERROR!</v>
      </c>
      <c r="S243" s="278" t="str">
        <f>COUNTIFS([2]Errors!$B:$B, $C243, [2]Errors!$H:$H, S$1)</f>
        <v>#ERROR!</v>
      </c>
      <c r="T243" s="278" t="str">
        <f>COUNTIFS([2]Errors!$B:$B, $C243, [2]Errors!$H:$H, T$1)</f>
        <v>#ERROR!</v>
      </c>
      <c r="U243" s="278" t="str">
        <f>COUNTIFS([2]Errors!$B:$B, $C243, [2]Errors!$H:$H, U$1)</f>
        <v>#ERROR!</v>
      </c>
      <c r="V243" s="278" t="str">
        <f>COUNTIFS([2]Errors!$B:$B, $C243, [2]Errors!$H:$H, V$1)</f>
        <v>#ERROR!</v>
      </c>
      <c r="W243" s="278" t="str">
        <f>COUNTIFS([2]Errors!$B:$B, $C243, [2]Errors!$H:$H, W$1)</f>
        <v>#ERROR!</v>
      </c>
      <c r="X243" s="278" t="str">
        <f>COUNTIFS([2]Errors!$B:$B, $C243, [2]Errors!$H:$H, X$1)</f>
        <v>#ERROR!</v>
      </c>
    </row>
    <row r="244" ht="15.75" customHeight="1">
      <c r="A244" s="325">
        <v>0.0</v>
      </c>
      <c r="B244" s="325" t="str">
        <f>SourceData!K244</f>
        <v/>
      </c>
      <c r="C244" s="294" t="str">
        <f>SourceData!J242</f>
        <v/>
      </c>
      <c r="D244" s="298">
        <f>(COUNTIF(Errors!$B$3:$B$3010,'[1]Error Count Analysis'!C244))-((COUNTIFS(Errors!$B$3:$B$3010,'[1]Error Count Analysis'!C244, (Errors!$I$3:$I$3010),"TV*")))</f>
        <v>0</v>
      </c>
      <c r="E244" s="325" t="str">
        <f t="shared" si="1"/>
        <v>#DIV/0!</v>
      </c>
      <c r="F244" s="278" t="str">
        <f>COUNTIFS([2]Errors!$B:$B, $C244, [2]Errors!$H:$H, F$1)</f>
        <v>#ERROR!</v>
      </c>
      <c r="G244" s="278" t="str">
        <f>COUNTIFS([2]Errors!$B:$B, $C244, [2]Errors!$H:$H, G$1)</f>
        <v>#ERROR!</v>
      </c>
      <c r="H244" s="278" t="str">
        <f>COUNTIFS([2]Errors!$B:$B, $C244, [2]Errors!$H:$H, H$1)</f>
        <v>#ERROR!</v>
      </c>
      <c r="I244" s="278" t="str">
        <f>COUNTIFS([2]Errors!$B:$B, $C244, [2]Errors!$H:$H, I$1)</f>
        <v>#ERROR!</v>
      </c>
      <c r="J244" s="278" t="str">
        <f>COUNTIFS([2]Errors!$B:$B, $C244, [2]Errors!$H:$H, J$1)</f>
        <v>#ERROR!</v>
      </c>
      <c r="K244" s="278" t="str">
        <f>COUNTIFS([2]Errors!$B:$B, $C244, [2]Errors!$H:$H, K$1)</f>
        <v>#ERROR!</v>
      </c>
      <c r="L244" s="278" t="str">
        <f>COUNTIFS([2]Errors!$B:$B, $C244, [2]Errors!$H:$H, L$1)</f>
        <v>#ERROR!</v>
      </c>
      <c r="M244" s="278" t="str">
        <f>COUNTIFS([2]Errors!$B:$B, $C244, [2]Errors!$H:$H, M$1)</f>
        <v>#ERROR!</v>
      </c>
      <c r="N244" s="298">
        <f>COUNTIFS(Errors!$B:$B, $C244, Errors!$I:$I, N$1)</f>
        <v>0</v>
      </c>
      <c r="O244" s="278" t="str">
        <f>COUNTIFS([2]Errors!$B:$B, $C244, [2]Errors!$H:$H, O$1)</f>
        <v>#ERROR!</v>
      </c>
      <c r="P244" s="278" t="str">
        <f>COUNTIFS([2]Errors!$B:$B, $C244, [2]Errors!$H:$H, P$1)</f>
        <v>#ERROR!</v>
      </c>
      <c r="Q244" s="278" t="str">
        <f>COUNTIFS([2]Errors!$B:$B, $C244, [2]Errors!$H:$H, Q$1)</f>
        <v>#ERROR!</v>
      </c>
      <c r="R244" s="278" t="str">
        <f>COUNTIFS([2]Errors!$B:$B, $C244, [2]Errors!$H:$H, R$1)</f>
        <v>#ERROR!</v>
      </c>
      <c r="S244" s="278" t="str">
        <f>COUNTIFS([2]Errors!$B:$B, $C244, [2]Errors!$H:$H, S$1)</f>
        <v>#ERROR!</v>
      </c>
      <c r="T244" s="278" t="str">
        <f>COUNTIFS([2]Errors!$B:$B, $C244, [2]Errors!$H:$H, T$1)</f>
        <v>#ERROR!</v>
      </c>
      <c r="U244" s="278" t="str">
        <f>COUNTIFS([2]Errors!$B:$B, $C244, [2]Errors!$H:$H, U$1)</f>
        <v>#ERROR!</v>
      </c>
      <c r="V244" s="278" t="str">
        <f>COUNTIFS([2]Errors!$B:$B, $C244, [2]Errors!$H:$H, V$1)</f>
        <v>#ERROR!</v>
      </c>
      <c r="W244" s="278" t="str">
        <f>COUNTIFS([2]Errors!$B:$B, $C244, [2]Errors!$H:$H, W$1)</f>
        <v>#ERROR!</v>
      </c>
      <c r="X244" s="278" t="str">
        <f>COUNTIFS([2]Errors!$B:$B, $C244, [2]Errors!$H:$H, X$1)</f>
        <v>#ERROR!</v>
      </c>
    </row>
    <row r="245" ht="15.75" customHeight="1">
      <c r="A245" s="305">
        <v>0.0</v>
      </c>
      <c r="B245" s="325" t="str">
        <f>SourceData!K245</f>
        <v/>
      </c>
      <c r="C245" s="305" t="str">
        <f>SourceData!J244</f>
        <v/>
      </c>
      <c r="D245" s="298">
        <f>(COUNTIF(Errors!$B$3:$B$3010,'[1]Error Count Analysis'!C245))-((COUNTIFS(Errors!$B$3:$B$3010,'[1]Error Count Analysis'!C245, (Errors!$I$3:$I$3010),"TV*")))</f>
        <v>0</v>
      </c>
      <c r="E245" s="305" t="str">
        <f t="shared" si="1"/>
        <v>#DIV/0!</v>
      </c>
      <c r="F245" s="278" t="str">
        <f>COUNTIFS([2]Errors!$B:$B, $C245, [2]Errors!$H:$H, F$1)</f>
        <v>#ERROR!</v>
      </c>
      <c r="G245" s="278" t="str">
        <f>COUNTIFS([2]Errors!$B:$B, $C245, [2]Errors!$H:$H, G$1)</f>
        <v>#ERROR!</v>
      </c>
      <c r="H245" s="278" t="str">
        <f>COUNTIFS([2]Errors!$B:$B, $C245, [2]Errors!$H:$H, H$1)</f>
        <v>#ERROR!</v>
      </c>
      <c r="I245" s="278" t="str">
        <f>COUNTIFS([2]Errors!$B:$B, $C245, [2]Errors!$H:$H, I$1)</f>
        <v>#ERROR!</v>
      </c>
      <c r="J245" s="278" t="str">
        <f>COUNTIFS([2]Errors!$B:$B, $C245, [2]Errors!$H:$H, J$1)</f>
        <v>#ERROR!</v>
      </c>
      <c r="K245" s="278" t="str">
        <f>COUNTIFS([2]Errors!$B:$B, $C245, [2]Errors!$H:$H, K$1)</f>
        <v>#ERROR!</v>
      </c>
      <c r="L245" s="278" t="str">
        <f>COUNTIFS([2]Errors!$B:$B, $C245, [2]Errors!$H:$H, L$1)</f>
        <v>#ERROR!</v>
      </c>
      <c r="M245" s="278" t="str">
        <f>COUNTIFS([2]Errors!$B:$B, $C245, [2]Errors!$H:$H, M$1)</f>
        <v>#ERROR!</v>
      </c>
      <c r="N245" s="309">
        <f>COUNTIFS(Errors!$B:$B, $C245, Errors!$I:$I, N$1)</f>
        <v>0</v>
      </c>
      <c r="O245" s="278" t="str">
        <f>COUNTIFS([2]Errors!$B:$B, $C245, [2]Errors!$H:$H, O$1)</f>
        <v>#ERROR!</v>
      </c>
      <c r="P245" s="278" t="str">
        <f>COUNTIFS([2]Errors!$B:$B, $C245, [2]Errors!$H:$H, P$1)</f>
        <v>#ERROR!</v>
      </c>
      <c r="Q245" s="278" t="str">
        <f>COUNTIFS([2]Errors!$B:$B, $C245, [2]Errors!$H:$H, Q$1)</f>
        <v>#ERROR!</v>
      </c>
      <c r="R245" s="278" t="str">
        <f>COUNTIFS([2]Errors!$B:$B, $C245, [2]Errors!$H:$H, R$1)</f>
        <v>#ERROR!</v>
      </c>
      <c r="S245" s="278" t="str">
        <f>COUNTIFS([2]Errors!$B:$B, $C245, [2]Errors!$H:$H, S$1)</f>
        <v>#ERROR!</v>
      </c>
      <c r="T245" s="278" t="str">
        <f>COUNTIFS([2]Errors!$B:$B, $C245, [2]Errors!$H:$H, T$1)</f>
        <v>#ERROR!</v>
      </c>
      <c r="U245" s="278" t="str">
        <f>COUNTIFS([2]Errors!$B:$B, $C245, [2]Errors!$H:$H, U$1)</f>
        <v>#ERROR!</v>
      </c>
      <c r="V245" s="278" t="str">
        <f>COUNTIFS([2]Errors!$B:$B, $C245, [2]Errors!$H:$H, V$1)</f>
        <v>#ERROR!</v>
      </c>
      <c r="W245" s="278" t="str">
        <f>COUNTIFS([2]Errors!$B:$B, $C245, [2]Errors!$H:$H, W$1)</f>
        <v>#ERROR!</v>
      </c>
      <c r="X245" s="278" t="str">
        <f>COUNTIFS([2]Errors!$B:$B, $C245, [2]Errors!$H:$H, X$1)</f>
        <v>#ERROR!</v>
      </c>
    </row>
    <row r="246" ht="15.75" customHeight="1">
      <c r="A246" s="325">
        <v>0.0</v>
      </c>
      <c r="B246" s="325" t="str">
        <f>SourceData!K246</f>
        <v/>
      </c>
      <c r="C246" s="294" t="str">
        <f>SourceData!J244</f>
        <v/>
      </c>
      <c r="D246" s="298">
        <f>(COUNTIF(Errors!$B$3:$B$3010,'[1]Error Count Analysis'!C246))-((COUNTIFS(Errors!$B$3:$B$3010,'[1]Error Count Analysis'!C246, (Errors!$I$3:$I$3010),"TV*")))</f>
        <v>0</v>
      </c>
      <c r="E246" s="325" t="str">
        <f t="shared" si="1"/>
        <v>#DIV/0!</v>
      </c>
      <c r="F246" s="278" t="str">
        <f>COUNTIFS([2]Errors!$B:$B, $C246, [2]Errors!$H:$H, F$1)</f>
        <v>#ERROR!</v>
      </c>
      <c r="G246" s="278" t="str">
        <f>COUNTIFS([2]Errors!$B:$B, $C246, [2]Errors!$H:$H, G$1)</f>
        <v>#ERROR!</v>
      </c>
      <c r="H246" s="278" t="str">
        <f>COUNTIFS([2]Errors!$B:$B, $C246, [2]Errors!$H:$H, H$1)</f>
        <v>#ERROR!</v>
      </c>
      <c r="I246" s="278" t="str">
        <f>COUNTIFS([2]Errors!$B:$B, $C246, [2]Errors!$H:$H, I$1)</f>
        <v>#ERROR!</v>
      </c>
      <c r="J246" s="278" t="str">
        <f>COUNTIFS([2]Errors!$B:$B, $C246, [2]Errors!$H:$H, J$1)</f>
        <v>#ERROR!</v>
      </c>
      <c r="K246" s="278" t="str">
        <f>COUNTIFS([2]Errors!$B:$B, $C246, [2]Errors!$H:$H, K$1)</f>
        <v>#ERROR!</v>
      </c>
      <c r="L246" s="278" t="str">
        <f>COUNTIFS([2]Errors!$B:$B, $C246, [2]Errors!$H:$H, L$1)</f>
        <v>#ERROR!</v>
      </c>
      <c r="M246" s="278" t="str">
        <f>COUNTIFS([2]Errors!$B:$B, $C246, [2]Errors!$H:$H, M$1)</f>
        <v>#ERROR!</v>
      </c>
      <c r="N246" s="298">
        <f>COUNTIFS(Errors!$B:$B, $C246, Errors!$I:$I, N$1)</f>
        <v>0</v>
      </c>
      <c r="O246" s="278" t="str">
        <f>COUNTIFS([2]Errors!$B:$B, $C246, [2]Errors!$H:$H, O$1)</f>
        <v>#ERROR!</v>
      </c>
      <c r="P246" s="278" t="str">
        <f>COUNTIFS([2]Errors!$B:$B, $C246, [2]Errors!$H:$H, P$1)</f>
        <v>#ERROR!</v>
      </c>
      <c r="Q246" s="278" t="str">
        <f>COUNTIFS([2]Errors!$B:$B, $C246, [2]Errors!$H:$H, Q$1)</f>
        <v>#ERROR!</v>
      </c>
      <c r="R246" s="278" t="str">
        <f>COUNTIFS([2]Errors!$B:$B, $C246, [2]Errors!$H:$H, R$1)</f>
        <v>#ERROR!</v>
      </c>
      <c r="S246" s="278" t="str">
        <f>COUNTIFS([2]Errors!$B:$B, $C246, [2]Errors!$H:$H, S$1)</f>
        <v>#ERROR!</v>
      </c>
      <c r="T246" s="278" t="str">
        <f>COUNTIFS([2]Errors!$B:$B, $C246, [2]Errors!$H:$H, T$1)</f>
        <v>#ERROR!</v>
      </c>
      <c r="U246" s="278" t="str">
        <f>COUNTIFS([2]Errors!$B:$B, $C246, [2]Errors!$H:$H, U$1)</f>
        <v>#ERROR!</v>
      </c>
      <c r="V246" s="278" t="str">
        <f>COUNTIFS([2]Errors!$B:$B, $C246, [2]Errors!$H:$H, V$1)</f>
        <v>#ERROR!</v>
      </c>
      <c r="W246" s="278" t="str">
        <f>COUNTIFS([2]Errors!$B:$B, $C246, [2]Errors!$H:$H, W$1)</f>
        <v>#ERROR!</v>
      </c>
      <c r="X246" s="278" t="str">
        <f>COUNTIFS([2]Errors!$B:$B, $C246, [2]Errors!$H:$H, X$1)</f>
        <v>#ERROR!</v>
      </c>
    </row>
    <row r="247" ht="15.75" customHeight="1">
      <c r="A247" s="305">
        <v>0.0</v>
      </c>
      <c r="B247" s="325" t="str">
        <f>SourceData!K247</f>
        <v/>
      </c>
      <c r="C247" s="305" t="str">
        <f>SourceData!J246</f>
        <v/>
      </c>
      <c r="D247" s="298">
        <f>(COUNTIF(Errors!$B$3:$B$3010,'[1]Error Count Analysis'!C247))-((COUNTIFS(Errors!$B$3:$B$3010,'[1]Error Count Analysis'!C247, (Errors!$I$3:$I$3010),"TV*")))</f>
        <v>0</v>
      </c>
      <c r="E247" s="305" t="str">
        <f t="shared" si="1"/>
        <v>#DIV/0!</v>
      </c>
      <c r="F247" s="278" t="str">
        <f>COUNTIFS([2]Errors!$B:$B, $C247, [2]Errors!$H:$H, F$1)</f>
        <v>#ERROR!</v>
      </c>
      <c r="G247" s="278" t="str">
        <f>COUNTIFS([2]Errors!$B:$B, $C247, [2]Errors!$H:$H, G$1)</f>
        <v>#ERROR!</v>
      </c>
      <c r="H247" s="278" t="str">
        <f>COUNTIFS([2]Errors!$B:$B, $C247, [2]Errors!$H:$H, H$1)</f>
        <v>#ERROR!</v>
      </c>
      <c r="I247" s="278" t="str">
        <f>COUNTIFS([2]Errors!$B:$B, $C247, [2]Errors!$H:$H, I$1)</f>
        <v>#ERROR!</v>
      </c>
      <c r="J247" s="278" t="str">
        <f>COUNTIFS([2]Errors!$B:$B, $C247, [2]Errors!$H:$H, J$1)</f>
        <v>#ERROR!</v>
      </c>
      <c r="K247" s="278" t="str">
        <f>COUNTIFS([2]Errors!$B:$B, $C247, [2]Errors!$H:$H, K$1)</f>
        <v>#ERROR!</v>
      </c>
      <c r="L247" s="278" t="str">
        <f>COUNTIFS([2]Errors!$B:$B, $C247, [2]Errors!$H:$H, L$1)</f>
        <v>#ERROR!</v>
      </c>
      <c r="M247" s="278" t="str">
        <f>COUNTIFS([2]Errors!$B:$B, $C247, [2]Errors!$H:$H, M$1)</f>
        <v>#ERROR!</v>
      </c>
      <c r="N247" s="309">
        <f>COUNTIFS(Errors!$B:$B, $C247, Errors!$I:$I, N$1)</f>
        <v>0</v>
      </c>
      <c r="O247" s="278" t="str">
        <f>COUNTIFS([2]Errors!$B:$B, $C247, [2]Errors!$H:$H, O$1)</f>
        <v>#ERROR!</v>
      </c>
      <c r="P247" s="278" t="str">
        <f>COUNTIFS([2]Errors!$B:$B, $C247, [2]Errors!$H:$H, P$1)</f>
        <v>#ERROR!</v>
      </c>
      <c r="Q247" s="278" t="str">
        <f>COUNTIFS([2]Errors!$B:$B, $C247, [2]Errors!$H:$H, Q$1)</f>
        <v>#ERROR!</v>
      </c>
      <c r="R247" s="278" t="str">
        <f>COUNTIFS([2]Errors!$B:$B, $C247, [2]Errors!$H:$H, R$1)</f>
        <v>#ERROR!</v>
      </c>
      <c r="S247" s="278" t="str">
        <f>COUNTIFS([2]Errors!$B:$B, $C247, [2]Errors!$H:$H, S$1)</f>
        <v>#ERROR!</v>
      </c>
      <c r="T247" s="278" t="str">
        <f>COUNTIFS([2]Errors!$B:$B, $C247, [2]Errors!$H:$H, T$1)</f>
        <v>#ERROR!</v>
      </c>
      <c r="U247" s="278" t="str">
        <f>COUNTIFS([2]Errors!$B:$B, $C247, [2]Errors!$H:$H, U$1)</f>
        <v>#ERROR!</v>
      </c>
      <c r="V247" s="278" t="str">
        <f>COUNTIFS([2]Errors!$B:$B, $C247, [2]Errors!$H:$H, V$1)</f>
        <v>#ERROR!</v>
      </c>
      <c r="W247" s="278" t="str">
        <f>COUNTIFS([2]Errors!$B:$B, $C247, [2]Errors!$H:$H, W$1)</f>
        <v>#ERROR!</v>
      </c>
      <c r="X247" s="278" t="str">
        <f>COUNTIFS([2]Errors!$B:$B, $C247, [2]Errors!$H:$H, X$1)</f>
        <v>#ERROR!</v>
      </c>
    </row>
    <row r="248" ht="15.75" customHeight="1">
      <c r="A248" s="325">
        <v>0.0</v>
      </c>
      <c r="B248" s="325" t="str">
        <f>SourceData!K248</f>
        <v/>
      </c>
      <c r="C248" s="294" t="str">
        <f>SourceData!J246</f>
        <v/>
      </c>
      <c r="D248" s="298">
        <f>(COUNTIF(Errors!$B$3:$B$3010,'[1]Error Count Analysis'!C248))-((COUNTIFS(Errors!$B$3:$B$3010,'[1]Error Count Analysis'!C248, (Errors!$I$3:$I$3010),"TV*")))</f>
        <v>0</v>
      </c>
      <c r="E248" s="325" t="str">
        <f t="shared" si="1"/>
        <v>#DIV/0!</v>
      </c>
      <c r="F248" s="278" t="str">
        <f>COUNTIFS([2]Errors!$B:$B, $C248, [2]Errors!$H:$H, F$1)</f>
        <v>#ERROR!</v>
      </c>
      <c r="G248" s="278" t="str">
        <f>COUNTIFS([2]Errors!$B:$B, $C248, [2]Errors!$H:$H, G$1)</f>
        <v>#ERROR!</v>
      </c>
      <c r="H248" s="278" t="str">
        <f>COUNTIFS([2]Errors!$B:$B, $C248, [2]Errors!$H:$H, H$1)</f>
        <v>#ERROR!</v>
      </c>
      <c r="I248" s="278" t="str">
        <f>COUNTIFS([2]Errors!$B:$B, $C248, [2]Errors!$H:$H, I$1)</f>
        <v>#ERROR!</v>
      </c>
      <c r="J248" s="278" t="str">
        <f>COUNTIFS([2]Errors!$B:$B, $C248, [2]Errors!$H:$H, J$1)</f>
        <v>#ERROR!</v>
      </c>
      <c r="K248" s="278" t="str">
        <f>COUNTIFS([2]Errors!$B:$B, $C248, [2]Errors!$H:$H, K$1)</f>
        <v>#ERROR!</v>
      </c>
      <c r="L248" s="278" t="str">
        <f>COUNTIFS([2]Errors!$B:$B, $C248, [2]Errors!$H:$H, L$1)</f>
        <v>#ERROR!</v>
      </c>
      <c r="M248" s="278" t="str">
        <f>COUNTIFS([2]Errors!$B:$B, $C248, [2]Errors!$H:$H, M$1)</f>
        <v>#ERROR!</v>
      </c>
      <c r="N248" s="298">
        <f>COUNTIFS(Errors!$B:$B, $C248, Errors!$I:$I, N$1)</f>
        <v>0</v>
      </c>
      <c r="O248" s="278" t="str">
        <f>COUNTIFS([2]Errors!$B:$B, $C248, [2]Errors!$H:$H, O$1)</f>
        <v>#ERROR!</v>
      </c>
      <c r="P248" s="278" t="str">
        <f>COUNTIFS([2]Errors!$B:$B, $C248, [2]Errors!$H:$H, P$1)</f>
        <v>#ERROR!</v>
      </c>
      <c r="Q248" s="278" t="str">
        <f>COUNTIFS([2]Errors!$B:$B, $C248, [2]Errors!$H:$H, Q$1)</f>
        <v>#ERROR!</v>
      </c>
      <c r="R248" s="278" t="str">
        <f>COUNTIFS([2]Errors!$B:$B, $C248, [2]Errors!$H:$H, R$1)</f>
        <v>#ERROR!</v>
      </c>
      <c r="S248" s="278" t="str">
        <f>COUNTIFS([2]Errors!$B:$B, $C248, [2]Errors!$H:$H, S$1)</f>
        <v>#ERROR!</v>
      </c>
      <c r="T248" s="278" t="str">
        <f>COUNTIFS([2]Errors!$B:$B, $C248, [2]Errors!$H:$H, T$1)</f>
        <v>#ERROR!</v>
      </c>
      <c r="U248" s="278" t="str">
        <f>COUNTIFS([2]Errors!$B:$B, $C248, [2]Errors!$H:$H, U$1)</f>
        <v>#ERROR!</v>
      </c>
      <c r="V248" s="278" t="str">
        <f>COUNTIFS([2]Errors!$B:$B, $C248, [2]Errors!$H:$H, V$1)</f>
        <v>#ERROR!</v>
      </c>
      <c r="W248" s="278" t="str">
        <f>COUNTIFS([2]Errors!$B:$B, $C248, [2]Errors!$H:$H, W$1)</f>
        <v>#ERROR!</v>
      </c>
      <c r="X248" s="278" t="str">
        <f>COUNTIFS([2]Errors!$B:$B, $C248, [2]Errors!$H:$H, X$1)</f>
        <v>#ERROR!</v>
      </c>
    </row>
    <row r="249" ht="15.75" customHeight="1">
      <c r="A249" s="305">
        <v>0.0</v>
      </c>
      <c r="B249" s="325" t="str">
        <f>SourceData!K249</f>
        <v/>
      </c>
      <c r="C249" s="305" t="str">
        <f>SourceData!J248</f>
        <v/>
      </c>
      <c r="D249" s="298">
        <f>(COUNTIF(Errors!$B$3:$B$3010,'[1]Error Count Analysis'!C249))-((COUNTIFS(Errors!$B$3:$B$3010,'[1]Error Count Analysis'!C249, (Errors!$I$3:$I$3010),"TV*")))</f>
        <v>0</v>
      </c>
      <c r="E249" s="305" t="str">
        <f t="shared" si="1"/>
        <v>#DIV/0!</v>
      </c>
      <c r="F249" s="278" t="str">
        <f>COUNTIFS([2]Errors!$B:$B, $C249, [2]Errors!$H:$H, F$1)</f>
        <v>#ERROR!</v>
      </c>
      <c r="G249" s="278" t="str">
        <f>COUNTIFS([2]Errors!$B:$B, $C249, [2]Errors!$H:$H, G$1)</f>
        <v>#ERROR!</v>
      </c>
      <c r="H249" s="278" t="str">
        <f>COUNTIFS([2]Errors!$B:$B, $C249, [2]Errors!$H:$H, H$1)</f>
        <v>#ERROR!</v>
      </c>
      <c r="I249" s="278" t="str">
        <f>COUNTIFS([2]Errors!$B:$B, $C249, [2]Errors!$H:$H, I$1)</f>
        <v>#ERROR!</v>
      </c>
      <c r="J249" s="278" t="str">
        <f>COUNTIFS([2]Errors!$B:$B, $C249, [2]Errors!$H:$H, J$1)</f>
        <v>#ERROR!</v>
      </c>
      <c r="K249" s="278" t="str">
        <f>COUNTIFS([2]Errors!$B:$B, $C249, [2]Errors!$H:$H, K$1)</f>
        <v>#ERROR!</v>
      </c>
      <c r="L249" s="278" t="str">
        <f>COUNTIFS([2]Errors!$B:$B, $C249, [2]Errors!$H:$H, L$1)</f>
        <v>#ERROR!</v>
      </c>
      <c r="M249" s="278" t="str">
        <f>COUNTIFS([2]Errors!$B:$B, $C249, [2]Errors!$H:$H, M$1)</f>
        <v>#ERROR!</v>
      </c>
      <c r="N249" s="309">
        <f>COUNTIFS(Errors!$B:$B, $C249, Errors!$I:$I, N$1)</f>
        <v>0</v>
      </c>
      <c r="O249" s="278" t="str">
        <f>COUNTIFS([2]Errors!$B:$B, $C249, [2]Errors!$H:$H, O$1)</f>
        <v>#ERROR!</v>
      </c>
      <c r="P249" s="278" t="str">
        <f>COUNTIFS([2]Errors!$B:$B, $C249, [2]Errors!$H:$H, P$1)</f>
        <v>#ERROR!</v>
      </c>
      <c r="Q249" s="278" t="str">
        <f>COUNTIFS([2]Errors!$B:$B, $C249, [2]Errors!$H:$H, Q$1)</f>
        <v>#ERROR!</v>
      </c>
      <c r="R249" s="278" t="str">
        <f>COUNTIFS([2]Errors!$B:$B, $C249, [2]Errors!$H:$H, R$1)</f>
        <v>#ERROR!</v>
      </c>
      <c r="S249" s="278" t="str">
        <f>COUNTIFS([2]Errors!$B:$B, $C249, [2]Errors!$H:$H, S$1)</f>
        <v>#ERROR!</v>
      </c>
      <c r="T249" s="278" t="str">
        <f>COUNTIFS([2]Errors!$B:$B, $C249, [2]Errors!$H:$H, T$1)</f>
        <v>#ERROR!</v>
      </c>
      <c r="U249" s="278" t="str">
        <f>COUNTIFS([2]Errors!$B:$B, $C249, [2]Errors!$H:$H, U$1)</f>
        <v>#ERROR!</v>
      </c>
      <c r="V249" s="278" t="str">
        <f>COUNTIFS([2]Errors!$B:$B, $C249, [2]Errors!$H:$H, V$1)</f>
        <v>#ERROR!</v>
      </c>
      <c r="W249" s="278" t="str">
        <f>COUNTIFS([2]Errors!$B:$B, $C249, [2]Errors!$H:$H, W$1)</f>
        <v>#ERROR!</v>
      </c>
      <c r="X249" s="278" t="str">
        <f>COUNTIFS([2]Errors!$B:$B, $C249, [2]Errors!$H:$H, X$1)</f>
        <v>#ERROR!</v>
      </c>
    </row>
    <row r="250" ht="15.75" customHeight="1">
      <c r="A250" s="325">
        <v>0.0</v>
      </c>
      <c r="B250" s="325" t="str">
        <f>SourceData!K250</f>
        <v/>
      </c>
      <c r="C250" s="294" t="str">
        <f>SourceData!J248</f>
        <v/>
      </c>
      <c r="D250" s="298">
        <f>(COUNTIF(Errors!$B$3:$B$3010,'[1]Error Count Analysis'!C250))-((COUNTIFS(Errors!$B$3:$B$3010,'[1]Error Count Analysis'!C250, (Errors!$I$3:$I$3010),"TV*")))</f>
        <v>0</v>
      </c>
      <c r="E250" s="325" t="str">
        <f t="shared" si="1"/>
        <v>#DIV/0!</v>
      </c>
      <c r="F250" s="278" t="str">
        <f>COUNTIFS([2]Errors!$B:$B, $C250, [2]Errors!$H:$H, F$1)</f>
        <v>#ERROR!</v>
      </c>
      <c r="G250" s="278" t="str">
        <f>COUNTIFS([2]Errors!$B:$B, $C250, [2]Errors!$H:$H, G$1)</f>
        <v>#ERROR!</v>
      </c>
      <c r="H250" s="278" t="str">
        <f>COUNTIFS([2]Errors!$B:$B, $C250, [2]Errors!$H:$H, H$1)</f>
        <v>#ERROR!</v>
      </c>
      <c r="I250" s="278" t="str">
        <f>COUNTIFS([2]Errors!$B:$B, $C250, [2]Errors!$H:$H, I$1)</f>
        <v>#ERROR!</v>
      </c>
      <c r="J250" s="278" t="str">
        <f>COUNTIFS([2]Errors!$B:$B, $C250, [2]Errors!$H:$H, J$1)</f>
        <v>#ERROR!</v>
      </c>
      <c r="K250" s="278" t="str">
        <f>COUNTIFS([2]Errors!$B:$B, $C250, [2]Errors!$H:$H, K$1)</f>
        <v>#ERROR!</v>
      </c>
      <c r="L250" s="278" t="str">
        <f>COUNTIFS([2]Errors!$B:$B, $C250, [2]Errors!$H:$H, L$1)</f>
        <v>#ERROR!</v>
      </c>
      <c r="M250" s="278" t="str">
        <f>COUNTIFS([2]Errors!$B:$B, $C250, [2]Errors!$H:$H, M$1)</f>
        <v>#ERROR!</v>
      </c>
      <c r="N250" s="298">
        <f>COUNTIFS(Errors!$B:$B, $C250, Errors!$I:$I, N$1)</f>
        <v>0</v>
      </c>
      <c r="O250" s="278" t="str">
        <f>COUNTIFS([2]Errors!$B:$B, $C250, [2]Errors!$H:$H, O$1)</f>
        <v>#ERROR!</v>
      </c>
      <c r="P250" s="278" t="str">
        <f>COUNTIFS([2]Errors!$B:$B, $C250, [2]Errors!$H:$H, P$1)</f>
        <v>#ERROR!</v>
      </c>
      <c r="Q250" s="278" t="str">
        <f>COUNTIFS([2]Errors!$B:$B, $C250, [2]Errors!$H:$H, Q$1)</f>
        <v>#ERROR!</v>
      </c>
      <c r="R250" s="278" t="str">
        <f>COUNTIFS([2]Errors!$B:$B, $C250, [2]Errors!$H:$H, R$1)</f>
        <v>#ERROR!</v>
      </c>
      <c r="S250" s="278" t="str">
        <f>COUNTIFS([2]Errors!$B:$B, $C250, [2]Errors!$H:$H, S$1)</f>
        <v>#ERROR!</v>
      </c>
      <c r="T250" s="278" t="str">
        <f>COUNTIFS([2]Errors!$B:$B, $C250, [2]Errors!$H:$H, T$1)</f>
        <v>#ERROR!</v>
      </c>
      <c r="U250" s="278" t="str">
        <f>COUNTIFS([2]Errors!$B:$B, $C250, [2]Errors!$H:$H, U$1)</f>
        <v>#ERROR!</v>
      </c>
      <c r="V250" s="278" t="str">
        <f>COUNTIFS([2]Errors!$B:$B, $C250, [2]Errors!$H:$H, V$1)</f>
        <v>#ERROR!</v>
      </c>
      <c r="W250" s="278" t="str">
        <f>COUNTIFS([2]Errors!$B:$B, $C250, [2]Errors!$H:$H, W$1)</f>
        <v>#ERROR!</v>
      </c>
      <c r="X250" s="278" t="str">
        <f>COUNTIFS([2]Errors!$B:$B, $C250, [2]Errors!$H:$H, X$1)</f>
        <v>#ERROR!</v>
      </c>
    </row>
    <row r="251" ht="15.75" customHeight="1">
      <c r="A251" s="305">
        <v>0.0</v>
      </c>
      <c r="B251" s="325" t="str">
        <f>SourceData!K251</f>
        <v/>
      </c>
      <c r="C251" s="305" t="str">
        <f>SourceData!J250</f>
        <v/>
      </c>
      <c r="D251" s="298">
        <f>(COUNTIF(Errors!$B$3:$B$3010,'[1]Error Count Analysis'!C251))-((COUNTIFS(Errors!$B$3:$B$3010,'[1]Error Count Analysis'!C251, (Errors!$I$3:$I$3010),"TV*")))</f>
        <v>0</v>
      </c>
      <c r="E251" s="305" t="str">
        <f t="shared" si="1"/>
        <v>#DIV/0!</v>
      </c>
      <c r="F251" s="278" t="str">
        <f>COUNTIFS([2]Errors!$B:$B, $C251, [2]Errors!$H:$H, F$1)</f>
        <v>#ERROR!</v>
      </c>
      <c r="G251" s="278" t="str">
        <f>COUNTIFS([2]Errors!$B:$B, $C251, [2]Errors!$H:$H, G$1)</f>
        <v>#ERROR!</v>
      </c>
      <c r="H251" s="278" t="str">
        <f>COUNTIFS([2]Errors!$B:$B, $C251, [2]Errors!$H:$H, H$1)</f>
        <v>#ERROR!</v>
      </c>
      <c r="I251" s="278" t="str">
        <f>COUNTIFS([2]Errors!$B:$B, $C251, [2]Errors!$H:$H, I$1)</f>
        <v>#ERROR!</v>
      </c>
      <c r="J251" s="278" t="str">
        <f>COUNTIFS([2]Errors!$B:$B, $C251, [2]Errors!$H:$H, J$1)</f>
        <v>#ERROR!</v>
      </c>
      <c r="K251" s="278" t="str">
        <f>COUNTIFS([2]Errors!$B:$B, $C251, [2]Errors!$H:$H, K$1)</f>
        <v>#ERROR!</v>
      </c>
      <c r="L251" s="278" t="str">
        <f>COUNTIFS([2]Errors!$B:$B, $C251, [2]Errors!$H:$H, L$1)</f>
        <v>#ERROR!</v>
      </c>
      <c r="M251" s="278" t="str">
        <f>COUNTIFS([2]Errors!$B:$B, $C251, [2]Errors!$H:$H, M$1)</f>
        <v>#ERROR!</v>
      </c>
      <c r="N251" s="309">
        <f>COUNTIFS(Errors!$B:$B, $C251, Errors!$I:$I, N$1)</f>
        <v>0</v>
      </c>
      <c r="O251" s="278" t="str">
        <f>COUNTIFS([2]Errors!$B:$B, $C251, [2]Errors!$H:$H, O$1)</f>
        <v>#ERROR!</v>
      </c>
      <c r="P251" s="278" t="str">
        <f>COUNTIFS([2]Errors!$B:$B, $C251, [2]Errors!$H:$H, P$1)</f>
        <v>#ERROR!</v>
      </c>
      <c r="Q251" s="278" t="str">
        <f>COUNTIFS([2]Errors!$B:$B, $C251, [2]Errors!$H:$H, Q$1)</f>
        <v>#ERROR!</v>
      </c>
      <c r="R251" s="278" t="str">
        <f>COUNTIFS([2]Errors!$B:$B, $C251, [2]Errors!$H:$H, R$1)</f>
        <v>#ERROR!</v>
      </c>
      <c r="S251" s="278" t="str">
        <f>COUNTIFS([2]Errors!$B:$B, $C251, [2]Errors!$H:$H, S$1)</f>
        <v>#ERROR!</v>
      </c>
      <c r="T251" s="278" t="str">
        <f>COUNTIFS([2]Errors!$B:$B, $C251, [2]Errors!$H:$H, T$1)</f>
        <v>#ERROR!</v>
      </c>
      <c r="U251" s="278" t="str">
        <f>COUNTIFS([2]Errors!$B:$B, $C251, [2]Errors!$H:$H, U$1)</f>
        <v>#ERROR!</v>
      </c>
      <c r="V251" s="278" t="str">
        <f>COUNTIFS([2]Errors!$B:$B, $C251, [2]Errors!$H:$H, V$1)</f>
        <v>#ERROR!</v>
      </c>
      <c r="W251" s="278" t="str">
        <f>COUNTIFS([2]Errors!$B:$B, $C251, [2]Errors!$H:$H, W$1)</f>
        <v>#ERROR!</v>
      </c>
      <c r="X251" s="278" t="str">
        <f>COUNTIFS([2]Errors!$B:$B, $C251, [2]Errors!$H:$H, X$1)</f>
        <v>#ERROR!</v>
      </c>
    </row>
    <row r="252" ht="15.75" customHeight="1">
      <c r="A252" s="325">
        <v>0.0</v>
      </c>
      <c r="B252" s="325" t="str">
        <f>SourceData!K252</f>
        <v/>
      </c>
      <c r="C252" s="294" t="str">
        <f>SourceData!J250</f>
        <v/>
      </c>
      <c r="D252" s="298">
        <f>(COUNTIF(Errors!$B$3:$B$3010,'[1]Error Count Analysis'!C252))-((COUNTIFS(Errors!$B$3:$B$3010,'[1]Error Count Analysis'!C252, (Errors!$I$3:$I$3010),"TV*")))</f>
        <v>0</v>
      </c>
      <c r="E252" s="325" t="str">
        <f t="shared" si="1"/>
        <v>#DIV/0!</v>
      </c>
      <c r="F252" s="278" t="str">
        <f>COUNTIFS([2]Errors!$B:$B, $C252, [2]Errors!$H:$H, F$1)</f>
        <v>#ERROR!</v>
      </c>
      <c r="G252" s="278" t="str">
        <f>COUNTIFS([2]Errors!$B:$B, $C252, [2]Errors!$H:$H, G$1)</f>
        <v>#ERROR!</v>
      </c>
      <c r="H252" s="278" t="str">
        <f>COUNTIFS([2]Errors!$B:$B, $C252, [2]Errors!$H:$H, H$1)</f>
        <v>#ERROR!</v>
      </c>
      <c r="I252" s="278" t="str">
        <f>COUNTIFS([2]Errors!$B:$B, $C252, [2]Errors!$H:$H, I$1)</f>
        <v>#ERROR!</v>
      </c>
      <c r="J252" s="278" t="str">
        <f>COUNTIFS([2]Errors!$B:$B, $C252, [2]Errors!$H:$H, J$1)</f>
        <v>#ERROR!</v>
      </c>
      <c r="K252" s="278" t="str">
        <f>COUNTIFS([2]Errors!$B:$B, $C252, [2]Errors!$H:$H, K$1)</f>
        <v>#ERROR!</v>
      </c>
      <c r="L252" s="278" t="str">
        <f>COUNTIFS([2]Errors!$B:$B, $C252, [2]Errors!$H:$H, L$1)</f>
        <v>#ERROR!</v>
      </c>
      <c r="M252" s="278" t="str">
        <f>COUNTIFS([2]Errors!$B:$B, $C252, [2]Errors!$H:$H, M$1)</f>
        <v>#ERROR!</v>
      </c>
      <c r="N252" s="298">
        <f>COUNTIFS(Errors!$B:$B, $C252, Errors!$I:$I, N$1)</f>
        <v>0</v>
      </c>
      <c r="O252" s="278" t="str">
        <f>COUNTIFS([2]Errors!$B:$B, $C252, [2]Errors!$H:$H, O$1)</f>
        <v>#ERROR!</v>
      </c>
      <c r="P252" s="278" t="str">
        <f>COUNTIFS([2]Errors!$B:$B, $C252, [2]Errors!$H:$H, P$1)</f>
        <v>#ERROR!</v>
      </c>
      <c r="Q252" s="278" t="str">
        <f>COUNTIFS([2]Errors!$B:$B, $C252, [2]Errors!$H:$H, Q$1)</f>
        <v>#ERROR!</v>
      </c>
      <c r="R252" s="278" t="str">
        <f>COUNTIFS([2]Errors!$B:$B, $C252, [2]Errors!$H:$H, R$1)</f>
        <v>#ERROR!</v>
      </c>
      <c r="S252" s="278" t="str">
        <f>COUNTIFS([2]Errors!$B:$B, $C252, [2]Errors!$H:$H, S$1)</f>
        <v>#ERROR!</v>
      </c>
      <c r="T252" s="278" t="str">
        <f>COUNTIFS([2]Errors!$B:$B, $C252, [2]Errors!$H:$H, T$1)</f>
        <v>#ERROR!</v>
      </c>
      <c r="U252" s="278" t="str">
        <f>COUNTIFS([2]Errors!$B:$B, $C252, [2]Errors!$H:$H, U$1)</f>
        <v>#ERROR!</v>
      </c>
      <c r="V252" s="278" t="str">
        <f>COUNTIFS([2]Errors!$B:$B, $C252, [2]Errors!$H:$H, V$1)</f>
        <v>#ERROR!</v>
      </c>
      <c r="W252" s="278" t="str">
        <f>COUNTIFS([2]Errors!$B:$B, $C252, [2]Errors!$H:$H, W$1)</f>
        <v>#ERROR!</v>
      </c>
      <c r="X252" s="278" t="str">
        <f>COUNTIFS([2]Errors!$B:$B, $C252, [2]Errors!$H:$H, X$1)</f>
        <v>#ERROR!</v>
      </c>
    </row>
    <row r="253" ht="15.75" customHeight="1">
      <c r="A253" s="305">
        <v>0.0</v>
      </c>
      <c r="B253" s="325" t="str">
        <f>SourceData!K253</f>
        <v/>
      </c>
      <c r="C253" s="305" t="str">
        <f>SourceData!J252</f>
        <v/>
      </c>
      <c r="D253" s="298">
        <f>(COUNTIF(Errors!$B$3:$B$3010,'[1]Error Count Analysis'!C253))-((COUNTIFS(Errors!$B$3:$B$3010,'[1]Error Count Analysis'!C253, (Errors!$I$3:$I$3010),"TV*")))</f>
        <v>0</v>
      </c>
      <c r="E253" s="305" t="str">
        <f t="shared" si="1"/>
        <v>#DIV/0!</v>
      </c>
      <c r="F253" s="278" t="str">
        <f>COUNTIFS([2]Errors!$B:$B, $C253, [2]Errors!$H:$H, F$1)</f>
        <v>#ERROR!</v>
      </c>
      <c r="G253" s="278" t="str">
        <f>COUNTIFS([2]Errors!$B:$B, $C253, [2]Errors!$H:$H, G$1)</f>
        <v>#ERROR!</v>
      </c>
      <c r="H253" s="278" t="str">
        <f>COUNTIFS([2]Errors!$B:$B, $C253, [2]Errors!$H:$H, H$1)</f>
        <v>#ERROR!</v>
      </c>
      <c r="I253" s="278" t="str">
        <f>COUNTIFS([2]Errors!$B:$B, $C253, [2]Errors!$H:$H, I$1)</f>
        <v>#ERROR!</v>
      </c>
      <c r="J253" s="278" t="str">
        <f>COUNTIFS([2]Errors!$B:$B, $C253, [2]Errors!$H:$H, J$1)</f>
        <v>#ERROR!</v>
      </c>
      <c r="K253" s="278" t="str">
        <f>COUNTIFS([2]Errors!$B:$B, $C253, [2]Errors!$H:$H, K$1)</f>
        <v>#ERROR!</v>
      </c>
      <c r="L253" s="278" t="str">
        <f>COUNTIFS([2]Errors!$B:$B, $C253, [2]Errors!$H:$H, L$1)</f>
        <v>#ERROR!</v>
      </c>
      <c r="M253" s="278" t="str">
        <f>COUNTIFS([2]Errors!$B:$B, $C253, [2]Errors!$H:$H, M$1)</f>
        <v>#ERROR!</v>
      </c>
      <c r="N253" s="309">
        <f>COUNTIFS(Errors!$B:$B, $C253, Errors!$I:$I, N$1)</f>
        <v>0</v>
      </c>
      <c r="O253" s="278" t="str">
        <f>COUNTIFS([2]Errors!$B:$B, $C253, [2]Errors!$H:$H, O$1)</f>
        <v>#ERROR!</v>
      </c>
      <c r="P253" s="278" t="str">
        <f>COUNTIFS([2]Errors!$B:$B, $C253, [2]Errors!$H:$H, P$1)</f>
        <v>#ERROR!</v>
      </c>
      <c r="Q253" s="278" t="str">
        <f>COUNTIFS([2]Errors!$B:$B, $C253, [2]Errors!$H:$H, Q$1)</f>
        <v>#ERROR!</v>
      </c>
      <c r="R253" s="278" t="str">
        <f>COUNTIFS([2]Errors!$B:$B, $C253, [2]Errors!$H:$H, R$1)</f>
        <v>#ERROR!</v>
      </c>
      <c r="S253" s="278" t="str">
        <f>COUNTIFS([2]Errors!$B:$B, $C253, [2]Errors!$H:$H, S$1)</f>
        <v>#ERROR!</v>
      </c>
      <c r="T253" s="278" t="str">
        <f>COUNTIFS([2]Errors!$B:$B, $C253, [2]Errors!$H:$H, T$1)</f>
        <v>#ERROR!</v>
      </c>
      <c r="U253" s="278" t="str">
        <f>COUNTIFS([2]Errors!$B:$B, $C253, [2]Errors!$H:$H, U$1)</f>
        <v>#ERROR!</v>
      </c>
      <c r="V253" s="278" t="str">
        <f>COUNTIFS([2]Errors!$B:$B, $C253, [2]Errors!$H:$H, V$1)</f>
        <v>#ERROR!</v>
      </c>
      <c r="W253" s="278" t="str">
        <f>COUNTIFS([2]Errors!$B:$B, $C253, [2]Errors!$H:$H, W$1)</f>
        <v>#ERROR!</v>
      </c>
      <c r="X253" s="278" t="str">
        <f>COUNTIFS([2]Errors!$B:$B, $C253, [2]Errors!$H:$H, X$1)</f>
        <v>#ERROR!</v>
      </c>
    </row>
    <row r="254" ht="15.75" customHeight="1">
      <c r="A254" s="325">
        <v>0.0</v>
      </c>
      <c r="B254" s="325" t="str">
        <f>SourceData!K254</f>
        <v/>
      </c>
      <c r="C254" s="294" t="str">
        <f>SourceData!J252</f>
        <v/>
      </c>
      <c r="D254" s="298">
        <f>(COUNTIF(Errors!$B$3:$B$3010,'[1]Error Count Analysis'!C254))-((COUNTIFS(Errors!$B$3:$B$3010,'[1]Error Count Analysis'!C254, (Errors!$I$3:$I$3010),"TV*")))</f>
        <v>0</v>
      </c>
      <c r="E254" s="325" t="str">
        <f t="shared" si="1"/>
        <v>#DIV/0!</v>
      </c>
      <c r="F254" s="278" t="str">
        <f>COUNTIFS([2]Errors!$B:$B, $C254, [2]Errors!$H:$H, F$1)</f>
        <v>#ERROR!</v>
      </c>
      <c r="G254" s="278" t="str">
        <f>COUNTIFS([2]Errors!$B:$B, $C254, [2]Errors!$H:$H, G$1)</f>
        <v>#ERROR!</v>
      </c>
      <c r="H254" s="278" t="str">
        <f>COUNTIFS([2]Errors!$B:$B, $C254, [2]Errors!$H:$H, H$1)</f>
        <v>#ERROR!</v>
      </c>
      <c r="I254" s="278" t="str">
        <f>COUNTIFS([2]Errors!$B:$B, $C254, [2]Errors!$H:$H, I$1)</f>
        <v>#ERROR!</v>
      </c>
      <c r="J254" s="278" t="str">
        <f>COUNTIFS([2]Errors!$B:$B, $C254, [2]Errors!$H:$H, J$1)</f>
        <v>#ERROR!</v>
      </c>
      <c r="K254" s="278" t="str">
        <f>COUNTIFS([2]Errors!$B:$B, $C254, [2]Errors!$H:$H, K$1)</f>
        <v>#ERROR!</v>
      </c>
      <c r="L254" s="278" t="str">
        <f>COUNTIFS([2]Errors!$B:$B, $C254, [2]Errors!$H:$H, L$1)</f>
        <v>#ERROR!</v>
      </c>
      <c r="M254" s="278" t="str">
        <f>COUNTIFS([2]Errors!$B:$B, $C254, [2]Errors!$H:$H, M$1)</f>
        <v>#ERROR!</v>
      </c>
      <c r="N254" s="298">
        <f>COUNTIFS(Errors!$B:$B, $C254, Errors!$I:$I, N$1)</f>
        <v>0</v>
      </c>
      <c r="O254" s="278" t="str">
        <f>COUNTIFS([2]Errors!$B:$B, $C254, [2]Errors!$H:$H, O$1)</f>
        <v>#ERROR!</v>
      </c>
      <c r="P254" s="278" t="str">
        <f>COUNTIFS([2]Errors!$B:$B, $C254, [2]Errors!$H:$H, P$1)</f>
        <v>#ERROR!</v>
      </c>
      <c r="Q254" s="278" t="str">
        <f>COUNTIFS([2]Errors!$B:$B, $C254, [2]Errors!$H:$H, Q$1)</f>
        <v>#ERROR!</v>
      </c>
      <c r="R254" s="278" t="str">
        <f>COUNTIFS([2]Errors!$B:$B, $C254, [2]Errors!$H:$H, R$1)</f>
        <v>#ERROR!</v>
      </c>
      <c r="S254" s="278" t="str">
        <f>COUNTIFS([2]Errors!$B:$B, $C254, [2]Errors!$H:$H, S$1)</f>
        <v>#ERROR!</v>
      </c>
      <c r="T254" s="278" t="str">
        <f>COUNTIFS([2]Errors!$B:$B, $C254, [2]Errors!$H:$H, T$1)</f>
        <v>#ERROR!</v>
      </c>
      <c r="U254" s="278" t="str">
        <f>COUNTIFS([2]Errors!$B:$B, $C254, [2]Errors!$H:$H, U$1)</f>
        <v>#ERROR!</v>
      </c>
      <c r="V254" s="278" t="str">
        <f>COUNTIFS([2]Errors!$B:$B, $C254, [2]Errors!$H:$H, V$1)</f>
        <v>#ERROR!</v>
      </c>
      <c r="W254" s="278" t="str">
        <f>COUNTIFS([2]Errors!$B:$B, $C254, [2]Errors!$H:$H, W$1)</f>
        <v>#ERROR!</v>
      </c>
      <c r="X254" s="278" t="str">
        <f>COUNTIFS([2]Errors!$B:$B, $C254, [2]Errors!$H:$H, X$1)</f>
        <v>#ERROR!</v>
      </c>
    </row>
    <row r="255" ht="15.75" customHeight="1">
      <c r="A255" s="305">
        <v>0.0</v>
      </c>
      <c r="B255" s="325" t="str">
        <f>SourceData!K255</f>
        <v/>
      </c>
      <c r="C255" s="305" t="str">
        <f>SourceData!J254</f>
        <v/>
      </c>
      <c r="D255" s="298">
        <f>(COUNTIF(Errors!$B$3:$B$3010,'[1]Error Count Analysis'!C255))-((COUNTIFS(Errors!$B$3:$B$3010,'[1]Error Count Analysis'!C255, (Errors!$I$3:$I$3010),"TV*")))</f>
        <v>0</v>
      </c>
      <c r="E255" s="305" t="str">
        <f t="shared" si="1"/>
        <v>#DIV/0!</v>
      </c>
      <c r="F255" s="278" t="str">
        <f>COUNTIFS([2]Errors!$B:$B, $C255, [2]Errors!$H:$H, F$1)</f>
        <v>#ERROR!</v>
      </c>
      <c r="G255" s="278" t="str">
        <f>COUNTIFS([2]Errors!$B:$B, $C255, [2]Errors!$H:$H, G$1)</f>
        <v>#ERROR!</v>
      </c>
      <c r="H255" s="278" t="str">
        <f>COUNTIFS([2]Errors!$B:$B, $C255, [2]Errors!$H:$H, H$1)</f>
        <v>#ERROR!</v>
      </c>
      <c r="I255" s="278" t="str">
        <f>COUNTIFS([2]Errors!$B:$B, $C255, [2]Errors!$H:$H, I$1)</f>
        <v>#ERROR!</v>
      </c>
      <c r="J255" s="278" t="str">
        <f>COUNTIFS([2]Errors!$B:$B, $C255, [2]Errors!$H:$H, J$1)</f>
        <v>#ERROR!</v>
      </c>
      <c r="K255" s="278" t="str">
        <f>COUNTIFS([2]Errors!$B:$B, $C255, [2]Errors!$H:$H, K$1)</f>
        <v>#ERROR!</v>
      </c>
      <c r="L255" s="278" t="str">
        <f>COUNTIFS([2]Errors!$B:$B, $C255, [2]Errors!$H:$H, L$1)</f>
        <v>#ERROR!</v>
      </c>
      <c r="M255" s="278" t="str">
        <f>COUNTIFS([2]Errors!$B:$B, $C255, [2]Errors!$H:$H, M$1)</f>
        <v>#ERROR!</v>
      </c>
      <c r="N255" s="309">
        <f>COUNTIFS(Errors!$B:$B, $C255, Errors!$I:$I, N$1)</f>
        <v>0</v>
      </c>
      <c r="O255" s="278" t="str">
        <f>COUNTIFS([2]Errors!$B:$B, $C255, [2]Errors!$H:$H, O$1)</f>
        <v>#ERROR!</v>
      </c>
      <c r="P255" s="278" t="str">
        <f>COUNTIFS([2]Errors!$B:$B, $C255, [2]Errors!$H:$H, P$1)</f>
        <v>#ERROR!</v>
      </c>
      <c r="Q255" s="278" t="str">
        <f>COUNTIFS([2]Errors!$B:$B, $C255, [2]Errors!$H:$H, Q$1)</f>
        <v>#ERROR!</v>
      </c>
      <c r="R255" s="278" t="str">
        <f>COUNTIFS([2]Errors!$B:$B, $C255, [2]Errors!$H:$H, R$1)</f>
        <v>#ERROR!</v>
      </c>
      <c r="S255" s="278" t="str">
        <f>COUNTIFS([2]Errors!$B:$B, $C255, [2]Errors!$H:$H, S$1)</f>
        <v>#ERROR!</v>
      </c>
      <c r="T255" s="278" t="str">
        <f>COUNTIFS([2]Errors!$B:$B, $C255, [2]Errors!$H:$H, T$1)</f>
        <v>#ERROR!</v>
      </c>
      <c r="U255" s="278" t="str">
        <f>COUNTIFS([2]Errors!$B:$B, $C255, [2]Errors!$H:$H, U$1)</f>
        <v>#ERROR!</v>
      </c>
      <c r="V255" s="278" t="str">
        <f>COUNTIFS([2]Errors!$B:$B, $C255, [2]Errors!$H:$H, V$1)</f>
        <v>#ERROR!</v>
      </c>
      <c r="W255" s="278" t="str">
        <f>COUNTIFS([2]Errors!$B:$B, $C255, [2]Errors!$H:$H, W$1)</f>
        <v>#ERROR!</v>
      </c>
      <c r="X255" s="278" t="str">
        <f>COUNTIFS([2]Errors!$B:$B, $C255, [2]Errors!$H:$H, X$1)</f>
        <v>#ERROR!</v>
      </c>
    </row>
    <row r="256" ht="15.75" customHeight="1">
      <c r="A256" s="325">
        <v>0.0</v>
      </c>
      <c r="B256" s="325" t="str">
        <f>SourceData!K256</f>
        <v/>
      </c>
      <c r="C256" s="294" t="str">
        <f>SourceData!J254</f>
        <v/>
      </c>
      <c r="D256" s="298">
        <f>(COUNTIF(Errors!$B$3:$B$3010,'[1]Error Count Analysis'!C256))-((COUNTIFS(Errors!$B$3:$B$3010,'[1]Error Count Analysis'!C256, (Errors!$I$3:$I$3010),"TV*")))</f>
        <v>0</v>
      </c>
      <c r="E256" s="325" t="str">
        <f t="shared" si="1"/>
        <v>#DIV/0!</v>
      </c>
      <c r="F256" s="278" t="str">
        <f>COUNTIFS([2]Errors!$B:$B, $C256, [2]Errors!$H:$H, F$1)</f>
        <v>#ERROR!</v>
      </c>
      <c r="G256" s="278" t="str">
        <f>COUNTIFS([2]Errors!$B:$B, $C256, [2]Errors!$H:$H, G$1)</f>
        <v>#ERROR!</v>
      </c>
      <c r="H256" s="278" t="str">
        <f>COUNTIFS([2]Errors!$B:$B, $C256, [2]Errors!$H:$H, H$1)</f>
        <v>#ERROR!</v>
      </c>
      <c r="I256" s="278" t="str">
        <f>COUNTIFS([2]Errors!$B:$B, $C256, [2]Errors!$H:$H, I$1)</f>
        <v>#ERROR!</v>
      </c>
      <c r="J256" s="278" t="str">
        <f>COUNTIFS([2]Errors!$B:$B, $C256, [2]Errors!$H:$H, J$1)</f>
        <v>#ERROR!</v>
      </c>
      <c r="K256" s="278" t="str">
        <f>COUNTIFS([2]Errors!$B:$B, $C256, [2]Errors!$H:$H, K$1)</f>
        <v>#ERROR!</v>
      </c>
      <c r="L256" s="278" t="str">
        <f>COUNTIFS([2]Errors!$B:$B, $C256, [2]Errors!$H:$H, L$1)</f>
        <v>#ERROR!</v>
      </c>
      <c r="M256" s="278" t="str">
        <f>COUNTIFS([2]Errors!$B:$B, $C256, [2]Errors!$H:$H, M$1)</f>
        <v>#ERROR!</v>
      </c>
      <c r="N256" s="298">
        <f>COUNTIFS(Errors!$B:$B, $C256, Errors!$I:$I, N$1)</f>
        <v>0</v>
      </c>
      <c r="O256" s="278" t="str">
        <f>COUNTIFS([2]Errors!$B:$B, $C256, [2]Errors!$H:$H, O$1)</f>
        <v>#ERROR!</v>
      </c>
      <c r="P256" s="278" t="str">
        <f>COUNTIFS([2]Errors!$B:$B, $C256, [2]Errors!$H:$H, P$1)</f>
        <v>#ERROR!</v>
      </c>
      <c r="Q256" s="278" t="str">
        <f>COUNTIFS([2]Errors!$B:$B, $C256, [2]Errors!$H:$H, Q$1)</f>
        <v>#ERROR!</v>
      </c>
      <c r="R256" s="278" t="str">
        <f>COUNTIFS([2]Errors!$B:$B, $C256, [2]Errors!$H:$H, R$1)</f>
        <v>#ERROR!</v>
      </c>
      <c r="S256" s="278" t="str">
        <f>COUNTIFS([2]Errors!$B:$B, $C256, [2]Errors!$H:$H, S$1)</f>
        <v>#ERROR!</v>
      </c>
      <c r="T256" s="278" t="str">
        <f>COUNTIFS([2]Errors!$B:$B, $C256, [2]Errors!$H:$H, T$1)</f>
        <v>#ERROR!</v>
      </c>
      <c r="U256" s="278" t="str">
        <f>COUNTIFS([2]Errors!$B:$B, $C256, [2]Errors!$H:$H, U$1)</f>
        <v>#ERROR!</v>
      </c>
      <c r="V256" s="278" t="str">
        <f>COUNTIFS([2]Errors!$B:$B, $C256, [2]Errors!$H:$H, V$1)</f>
        <v>#ERROR!</v>
      </c>
      <c r="W256" s="278" t="str">
        <f>COUNTIFS([2]Errors!$B:$B, $C256, [2]Errors!$H:$H, W$1)</f>
        <v>#ERROR!</v>
      </c>
      <c r="X256" s="278" t="str">
        <f>COUNTIFS([2]Errors!$B:$B, $C256, [2]Errors!$H:$H, X$1)</f>
        <v>#ERROR!</v>
      </c>
    </row>
    <row r="257" ht="15.75" customHeight="1">
      <c r="A257" s="305">
        <v>0.0</v>
      </c>
      <c r="B257" s="325" t="str">
        <f>SourceData!K257</f>
        <v/>
      </c>
      <c r="C257" s="305" t="str">
        <f>SourceData!J256</f>
        <v/>
      </c>
      <c r="D257" s="298">
        <f>(COUNTIF(Errors!$B$3:$B$3010,'[1]Error Count Analysis'!C257))-((COUNTIFS(Errors!$B$3:$B$3010,'[1]Error Count Analysis'!C257, (Errors!$I$3:$I$3010),"TV*")))</f>
        <v>0</v>
      </c>
      <c r="E257" s="305" t="str">
        <f t="shared" si="1"/>
        <v>#DIV/0!</v>
      </c>
      <c r="F257" s="278" t="str">
        <f>COUNTIFS([2]Errors!$B:$B, $C257, [2]Errors!$H:$H, F$1)</f>
        <v>#ERROR!</v>
      </c>
      <c r="G257" s="278" t="str">
        <f>COUNTIFS([2]Errors!$B:$B, $C257, [2]Errors!$H:$H, G$1)</f>
        <v>#ERROR!</v>
      </c>
      <c r="H257" s="278" t="str">
        <f>COUNTIFS([2]Errors!$B:$B, $C257, [2]Errors!$H:$H, H$1)</f>
        <v>#ERROR!</v>
      </c>
      <c r="I257" s="278" t="str">
        <f>COUNTIFS([2]Errors!$B:$B, $C257, [2]Errors!$H:$H, I$1)</f>
        <v>#ERROR!</v>
      </c>
      <c r="J257" s="278" t="str">
        <f>COUNTIFS([2]Errors!$B:$B, $C257, [2]Errors!$H:$H, J$1)</f>
        <v>#ERROR!</v>
      </c>
      <c r="K257" s="278" t="str">
        <f>COUNTIFS([2]Errors!$B:$B, $C257, [2]Errors!$H:$H, K$1)</f>
        <v>#ERROR!</v>
      </c>
      <c r="L257" s="278" t="str">
        <f>COUNTIFS([2]Errors!$B:$B, $C257, [2]Errors!$H:$H, L$1)</f>
        <v>#ERROR!</v>
      </c>
      <c r="M257" s="278" t="str">
        <f>COUNTIFS([2]Errors!$B:$B, $C257, [2]Errors!$H:$H, M$1)</f>
        <v>#ERROR!</v>
      </c>
      <c r="N257" s="309">
        <f>COUNTIFS(Errors!$B:$B, $C257, Errors!$I:$I, N$1)</f>
        <v>0</v>
      </c>
      <c r="O257" s="278" t="str">
        <f>COUNTIFS([2]Errors!$B:$B, $C257, [2]Errors!$H:$H, O$1)</f>
        <v>#ERROR!</v>
      </c>
      <c r="P257" s="278" t="str">
        <f>COUNTIFS([2]Errors!$B:$B, $C257, [2]Errors!$H:$H, P$1)</f>
        <v>#ERROR!</v>
      </c>
      <c r="Q257" s="278" t="str">
        <f>COUNTIFS([2]Errors!$B:$B, $C257, [2]Errors!$H:$H, Q$1)</f>
        <v>#ERROR!</v>
      </c>
      <c r="R257" s="278" t="str">
        <f>COUNTIFS([2]Errors!$B:$B, $C257, [2]Errors!$H:$H, R$1)</f>
        <v>#ERROR!</v>
      </c>
      <c r="S257" s="278" t="str">
        <f>COUNTIFS([2]Errors!$B:$B, $C257, [2]Errors!$H:$H, S$1)</f>
        <v>#ERROR!</v>
      </c>
      <c r="T257" s="278" t="str">
        <f>COUNTIFS([2]Errors!$B:$B, $C257, [2]Errors!$H:$H, T$1)</f>
        <v>#ERROR!</v>
      </c>
      <c r="U257" s="278" t="str">
        <f>COUNTIFS([2]Errors!$B:$B, $C257, [2]Errors!$H:$H, U$1)</f>
        <v>#ERROR!</v>
      </c>
      <c r="V257" s="278" t="str">
        <f>COUNTIFS([2]Errors!$B:$B, $C257, [2]Errors!$H:$H, V$1)</f>
        <v>#ERROR!</v>
      </c>
      <c r="W257" s="278" t="str">
        <f>COUNTIFS([2]Errors!$B:$B, $C257, [2]Errors!$H:$H, W$1)</f>
        <v>#ERROR!</v>
      </c>
      <c r="X257" s="278" t="str">
        <f>COUNTIFS([2]Errors!$B:$B, $C257, [2]Errors!$H:$H, X$1)</f>
        <v>#ERROR!</v>
      </c>
    </row>
    <row r="258" ht="15.75" customHeight="1">
      <c r="A258" s="325">
        <v>0.0</v>
      </c>
      <c r="B258" s="325" t="str">
        <f>SourceData!K258</f>
        <v/>
      </c>
      <c r="C258" s="294" t="str">
        <f>SourceData!J256</f>
        <v/>
      </c>
      <c r="D258" s="298">
        <f>(COUNTIF(Errors!$B$3:$B$3010,'[1]Error Count Analysis'!C258))-((COUNTIFS(Errors!$B$3:$B$3010,'[1]Error Count Analysis'!C258, (Errors!$I$3:$I$3010),"TV*")))</f>
        <v>0</v>
      </c>
      <c r="E258" s="325" t="str">
        <f t="shared" si="1"/>
        <v>#DIV/0!</v>
      </c>
      <c r="F258" s="278" t="str">
        <f>COUNTIFS([2]Errors!$B:$B, $C258, [2]Errors!$H:$H, F$1)</f>
        <v>#ERROR!</v>
      </c>
      <c r="G258" s="278" t="str">
        <f>COUNTIFS([2]Errors!$B:$B, $C258, [2]Errors!$H:$H, G$1)</f>
        <v>#ERROR!</v>
      </c>
      <c r="H258" s="278" t="str">
        <f>COUNTIFS([2]Errors!$B:$B, $C258, [2]Errors!$H:$H, H$1)</f>
        <v>#ERROR!</v>
      </c>
      <c r="I258" s="278" t="str">
        <f>COUNTIFS([2]Errors!$B:$B, $C258, [2]Errors!$H:$H, I$1)</f>
        <v>#ERROR!</v>
      </c>
      <c r="J258" s="278" t="str">
        <f>COUNTIFS([2]Errors!$B:$B, $C258, [2]Errors!$H:$H, J$1)</f>
        <v>#ERROR!</v>
      </c>
      <c r="K258" s="278" t="str">
        <f>COUNTIFS([2]Errors!$B:$B, $C258, [2]Errors!$H:$H, K$1)</f>
        <v>#ERROR!</v>
      </c>
      <c r="L258" s="278" t="str">
        <f>COUNTIFS([2]Errors!$B:$B, $C258, [2]Errors!$H:$H, L$1)</f>
        <v>#ERROR!</v>
      </c>
      <c r="M258" s="278" t="str">
        <f>COUNTIFS([2]Errors!$B:$B, $C258, [2]Errors!$H:$H, M$1)</f>
        <v>#ERROR!</v>
      </c>
      <c r="N258" s="298">
        <f>COUNTIFS(Errors!$B:$B, $C258, Errors!$I:$I, N$1)</f>
        <v>0</v>
      </c>
      <c r="O258" s="278" t="str">
        <f>COUNTIFS([2]Errors!$B:$B, $C258, [2]Errors!$H:$H, O$1)</f>
        <v>#ERROR!</v>
      </c>
      <c r="P258" s="278" t="str">
        <f>COUNTIFS([2]Errors!$B:$B, $C258, [2]Errors!$H:$H, P$1)</f>
        <v>#ERROR!</v>
      </c>
      <c r="Q258" s="278" t="str">
        <f>COUNTIFS([2]Errors!$B:$B, $C258, [2]Errors!$H:$H, Q$1)</f>
        <v>#ERROR!</v>
      </c>
      <c r="R258" s="278" t="str">
        <f>COUNTIFS([2]Errors!$B:$B, $C258, [2]Errors!$H:$H, R$1)</f>
        <v>#ERROR!</v>
      </c>
      <c r="S258" s="278" t="str">
        <f>COUNTIFS([2]Errors!$B:$B, $C258, [2]Errors!$H:$H, S$1)</f>
        <v>#ERROR!</v>
      </c>
      <c r="T258" s="278" t="str">
        <f>COUNTIFS([2]Errors!$B:$B, $C258, [2]Errors!$H:$H, T$1)</f>
        <v>#ERROR!</v>
      </c>
      <c r="U258" s="278" t="str">
        <f>COUNTIFS([2]Errors!$B:$B, $C258, [2]Errors!$H:$H, U$1)</f>
        <v>#ERROR!</v>
      </c>
      <c r="V258" s="278" t="str">
        <f>COUNTIFS([2]Errors!$B:$B, $C258, [2]Errors!$H:$H, V$1)</f>
        <v>#ERROR!</v>
      </c>
      <c r="W258" s="278" t="str">
        <f>COUNTIFS([2]Errors!$B:$B, $C258, [2]Errors!$H:$H, W$1)</f>
        <v>#ERROR!</v>
      </c>
      <c r="X258" s="278" t="str">
        <f>COUNTIFS([2]Errors!$B:$B, $C258, [2]Errors!$H:$H, X$1)</f>
        <v>#ERROR!</v>
      </c>
    </row>
    <row r="259" ht="15.75" customHeight="1">
      <c r="A259" s="305">
        <v>0.0</v>
      </c>
      <c r="B259" s="325" t="str">
        <f>SourceData!K259</f>
        <v/>
      </c>
      <c r="C259" s="305" t="str">
        <f>SourceData!J258</f>
        <v/>
      </c>
      <c r="D259" s="298">
        <f>(COUNTIF(Errors!$B$3:$B$3010,'[1]Error Count Analysis'!C259))-((COUNTIFS(Errors!$B$3:$B$3010,'[1]Error Count Analysis'!C259, (Errors!$I$3:$I$3010),"TV*")))</f>
        <v>0</v>
      </c>
      <c r="E259" s="305" t="str">
        <f t="shared" si="1"/>
        <v>#DIV/0!</v>
      </c>
      <c r="F259" s="278" t="str">
        <f>COUNTIFS([2]Errors!$B:$B, $C259, [2]Errors!$H:$H, F$1)</f>
        <v>#ERROR!</v>
      </c>
      <c r="G259" s="278" t="str">
        <f>COUNTIFS([2]Errors!$B:$B, $C259, [2]Errors!$H:$H, G$1)</f>
        <v>#ERROR!</v>
      </c>
      <c r="H259" s="278" t="str">
        <f>COUNTIFS([2]Errors!$B:$B, $C259, [2]Errors!$H:$H, H$1)</f>
        <v>#ERROR!</v>
      </c>
      <c r="I259" s="278" t="str">
        <f>COUNTIFS([2]Errors!$B:$B, $C259, [2]Errors!$H:$H, I$1)</f>
        <v>#ERROR!</v>
      </c>
      <c r="J259" s="278" t="str">
        <f>COUNTIFS([2]Errors!$B:$B, $C259, [2]Errors!$H:$H, J$1)</f>
        <v>#ERROR!</v>
      </c>
      <c r="K259" s="278" t="str">
        <f>COUNTIFS([2]Errors!$B:$B, $C259, [2]Errors!$H:$H, K$1)</f>
        <v>#ERROR!</v>
      </c>
      <c r="L259" s="278" t="str">
        <f>COUNTIFS([2]Errors!$B:$B, $C259, [2]Errors!$H:$H, L$1)</f>
        <v>#ERROR!</v>
      </c>
      <c r="M259" s="278" t="str">
        <f>COUNTIFS([2]Errors!$B:$B, $C259, [2]Errors!$H:$H, M$1)</f>
        <v>#ERROR!</v>
      </c>
      <c r="N259" s="309">
        <f>COUNTIFS(Errors!$B:$B, $C259, Errors!$I:$I, N$1)</f>
        <v>0</v>
      </c>
      <c r="O259" s="278" t="str">
        <f>COUNTIFS([2]Errors!$B:$B, $C259, [2]Errors!$H:$H, O$1)</f>
        <v>#ERROR!</v>
      </c>
      <c r="P259" s="278" t="str">
        <f>COUNTIFS([2]Errors!$B:$B, $C259, [2]Errors!$H:$H, P$1)</f>
        <v>#ERROR!</v>
      </c>
      <c r="Q259" s="278" t="str">
        <f>COUNTIFS([2]Errors!$B:$B, $C259, [2]Errors!$H:$H, Q$1)</f>
        <v>#ERROR!</v>
      </c>
      <c r="R259" s="278" t="str">
        <f>COUNTIFS([2]Errors!$B:$B, $C259, [2]Errors!$H:$H, R$1)</f>
        <v>#ERROR!</v>
      </c>
      <c r="S259" s="278" t="str">
        <f>COUNTIFS([2]Errors!$B:$B, $C259, [2]Errors!$H:$H, S$1)</f>
        <v>#ERROR!</v>
      </c>
      <c r="T259" s="278" t="str">
        <f>COUNTIFS([2]Errors!$B:$B, $C259, [2]Errors!$H:$H, T$1)</f>
        <v>#ERROR!</v>
      </c>
      <c r="U259" s="278" t="str">
        <f>COUNTIFS([2]Errors!$B:$B, $C259, [2]Errors!$H:$H, U$1)</f>
        <v>#ERROR!</v>
      </c>
      <c r="V259" s="278" t="str">
        <f>COUNTIFS([2]Errors!$B:$B, $C259, [2]Errors!$H:$H, V$1)</f>
        <v>#ERROR!</v>
      </c>
      <c r="W259" s="278" t="str">
        <f>COUNTIFS([2]Errors!$B:$B, $C259, [2]Errors!$H:$H, W$1)</f>
        <v>#ERROR!</v>
      </c>
      <c r="X259" s="278" t="str">
        <f>COUNTIFS([2]Errors!$B:$B, $C259, [2]Errors!$H:$H, X$1)</f>
        <v>#ERROR!</v>
      </c>
    </row>
    <row r="260" ht="15.75" customHeight="1">
      <c r="A260" s="325">
        <v>0.0</v>
      </c>
      <c r="B260" s="325" t="str">
        <f>SourceData!K260</f>
        <v/>
      </c>
      <c r="C260" s="294" t="str">
        <f>SourceData!J258</f>
        <v/>
      </c>
      <c r="D260" s="298">
        <f>(COUNTIF(Errors!$B$3:$B$3010,'[1]Error Count Analysis'!C260))-((COUNTIFS(Errors!$B$3:$B$3010,'[1]Error Count Analysis'!C260, (Errors!$I$3:$I$3010),"TV*")))</f>
        <v>0</v>
      </c>
      <c r="E260" s="325" t="str">
        <f t="shared" si="1"/>
        <v>#DIV/0!</v>
      </c>
      <c r="F260" s="278" t="str">
        <f>COUNTIFS([2]Errors!$B:$B, $C260, [2]Errors!$H:$H, F$1)</f>
        <v>#ERROR!</v>
      </c>
      <c r="G260" s="278" t="str">
        <f>COUNTIFS([2]Errors!$B:$B, $C260, [2]Errors!$H:$H, G$1)</f>
        <v>#ERROR!</v>
      </c>
      <c r="H260" s="278" t="str">
        <f>COUNTIFS([2]Errors!$B:$B, $C260, [2]Errors!$H:$H, H$1)</f>
        <v>#ERROR!</v>
      </c>
      <c r="I260" s="278" t="str">
        <f>COUNTIFS([2]Errors!$B:$B, $C260, [2]Errors!$H:$H, I$1)</f>
        <v>#ERROR!</v>
      </c>
      <c r="J260" s="278" t="str">
        <f>COUNTIFS([2]Errors!$B:$B, $C260, [2]Errors!$H:$H, J$1)</f>
        <v>#ERROR!</v>
      </c>
      <c r="K260" s="278" t="str">
        <f>COUNTIFS([2]Errors!$B:$B, $C260, [2]Errors!$H:$H, K$1)</f>
        <v>#ERROR!</v>
      </c>
      <c r="L260" s="278" t="str">
        <f>COUNTIFS([2]Errors!$B:$B, $C260, [2]Errors!$H:$H, L$1)</f>
        <v>#ERROR!</v>
      </c>
      <c r="M260" s="278" t="str">
        <f>COUNTIFS([2]Errors!$B:$B, $C260, [2]Errors!$H:$H, M$1)</f>
        <v>#ERROR!</v>
      </c>
      <c r="N260" s="298">
        <f>COUNTIFS(Errors!$B:$B, $C260, Errors!$I:$I, N$1)</f>
        <v>0</v>
      </c>
      <c r="O260" s="278" t="str">
        <f>COUNTIFS([2]Errors!$B:$B, $C260, [2]Errors!$H:$H, O$1)</f>
        <v>#ERROR!</v>
      </c>
      <c r="P260" s="278" t="str">
        <f>COUNTIFS([2]Errors!$B:$B, $C260, [2]Errors!$H:$H, P$1)</f>
        <v>#ERROR!</v>
      </c>
      <c r="Q260" s="278" t="str">
        <f>COUNTIFS([2]Errors!$B:$B, $C260, [2]Errors!$H:$H, Q$1)</f>
        <v>#ERROR!</v>
      </c>
      <c r="R260" s="278" t="str">
        <f>COUNTIFS([2]Errors!$B:$B, $C260, [2]Errors!$H:$H, R$1)</f>
        <v>#ERROR!</v>
      </c>
      <c r="S260" s="278" t="str">
        <f>COUNTIFS([2]Errors!$B:$B, $C260, [2]Errors!$H:$H, S$1)</f>
        <v>#ERROR!</v>
      </c>
      <c r="T260" s="278" t="str">
        <f>COUNTIFS([2]Errors!$B:$B, $C260, [2]Errors!$H:$H, T$1)</f>
        <v>#ERROR!</v>
      </c>
      <c r="U260" s="278" t="str">
        <f>COUNTIFS([2]Errors!$B:$B, $C260, [2]Errors!$H:$H, U$1)</f>
        <v>#ERROR!</v>
      </c>
      <c r="V260" s="278" t="str">
        <f>COUNTIFS([2]Errors!$B:$B, $C260, [2]Errors!$H:$H, V$1)</f>
        <v>#ERROR!</v>
      </c>
      <c r="W260" s="278" t="str">
        <f>COUNTIFS([2]Errors!$B:$B, $C260, [2]Errors!$H:$H, W$1)</f>
        <v>#ERROR!</v>
      </c>
      <c r="X260" s="278" t="str">
        <f>COUNTIFS([2]Errors!$B:$B, $C260, [2]Errors!$H:$H, X$1)</f>
        <v>#ERROR!</v>
      </c>
    </row>
    <row r="261" ht="15.75" customHeight="1">
      <c r="A261" s="305">
        <v>0.0</v>
      </c>
      <c r="B261" s="325" t="str">
        <f>SourceData!K261</f>
        <v/>
      </c>
      <c r="C261" s="305" t="str">
        <f>SourceData!J260</f>
        <v/>
      </c>
      <c r="D261" s="298">
        <f>(COUNTIF(Errors!$B$3:$B$3010,'[1]Error Count Analysis'!C261))-((COUNTIFS(Errors!$B$3:$B$3010,'[1]Error Count Analysis'!C261, (Errors!$I$3:$I$3010),"TV*")))</f>
        <v>0</v>
      </c>
      <c r="E261" s="305" t="str">
        <f t="shared" si="1"/>
        <v>#DIV/0!</v>
      </c>
      <c r="F261" s="278" t="str">
        <f>COUNTIFS([2]Errors!$B:$B, $C261, [2]Errors!$H:$H, F$1)</f>
        <v>#ERROR!</v>
      </c>
      <c r="G261" s="278" t="str">
        <f>COUNTIFS([2]Errors!$B:$B, $C261, [2]Errors!$H:$H, G$1)</f>
        <v>#ERROR!</v>
      </c>
      <c r="H261" s="278" t="str">
        <f>COUNTIFS([2]Errors!$B:$B, $C261, [2]Errors!$H:$H, H$1)</f>
        <v>#ERROR!</v>
      </c>
      <c r="I261" s="278" t="str">
        <f>COUNTIFS([2]Errors!$B:$B, $C261, [2]Errors!$H:$H, I$1)</f>
        <v>#ERROR!</v>
      </c>
      <c r="J261" s="278" t="str">
        <f>COUNTIFS([2]Errors!$B:$B, $C261, [2]Errors!$H:$H, J$1)</f>
        <v>#ERROR!</v>
      </c>
      <c r="K261" s="278" t="str">
        <f>COUNTIFS([2]Errors!$B:$B, $C261, [2]Errors!$H:$H, K$1)</f>
        <v>#ERROR!</v>
      </c>
      <c r="L261" s="278" t="str">
        <f>COUNTIFS([2]Errors!$B:$B, $C261, [2]Errors!$H:$H, L$1)</f>
        <v>#ERROR!</v>
      </c>
      <c r="M261" s="278" t="str">
        <f>COUNTIFS([2]Errors!$B:$B, $C261, [2]Errors!$H:$H, M$1)</f>
        <v>#ERROR!</v>
      </c>
      <c r="N261" s="309">
        <f>COUNTIFS(Errors!$B:$B, $C261, Errors!$I:$I, N$1)</f>
        <v>0</v>
      </c>
      <c r="O261" s="278" t="str">
        <f>COUNTIFS([2]Errors!$B:$B, $C261, [2]Errors!$H:$H, O$1)</f>
        <v>#ERROR!</v>
      </c>
      <c r="P261" s="278" t="str">
        <f>COUNTIFS([2]Errors!$B:$B, $C261, [2]Errors!$H:$H, P$1)</f>
        <v>#ERROR!</v>
      </c>
      <c r="Q261" s="278" t="str">
        <f>COUNTIFS([2]Errors!$B:$B, $C261, [2]Errors!$H:$H, Q$1)</f>
        <v>#ERROR!</v>
      </c>
      <c r="R261" s="278" t="str">
        <f>COUNTIFS([2]Errors!$B:$B, $C261, [2]Errors!$H:$H, R$1)</f>
        <v>#ERROR!</v>
      </c>
      <c r="S261" s="278" t="str">
        <f>COUNTIFS([2]Errors!$B:$B, $C261, [2]Errors!$H:$H, S$1)</f>
        <v>#ERROR!</v>
      </c>
      <c r="T261" s="278" t="str">
        <f>COUNTIFS([2]Errors!$B:$B, $C261, [2]Errors!$H:$H, T$1)</f>
        <v>#ERROR!</v>
      </c>
      <c r="U261" s="278" t="str">
        <f>COUNTIFS([2]Errors!$B:$B, $C261, [2]Errors!$H:$H, U$1)</f>
        <v>#ERROR!</v>
      </c>
      <c r="V261" s="278" t="str">
        <f>COUNTIFS([2]Errors!$B:$B, $C261, [2]Errors!$H:$H, V$1)</f>
        <v>#ERROR!</v>
      </c>
      <c r="W261" s="278" t="str">
        <f>COUNTIFS([2]Errors!$B:$B, $C261, [2]Errors!$H:$H, W$1)</f>
        <v>#ERROR!</v>
      </c>
      <c r="X261" s="278" t="str">
        <f>COUNTIFS([2]Errors!$B:$B, $C261, [2]Errors!$H:$H, X$1)</f>
        <v>#ERROR!</v>
      </c>
    </row>
    <row r="262" ht="15.75" customHeight="1">
      <c r="A262" s="325">
        <v>0.0</v>
      </c>
      <c r="B262" s="325" t="str">
        <f>SourceData!K262</f>
        <v/>
      </c>
      <c r="C262" s="294" t="str">
        <f>SourceData!J260</f>
        <v/>
      </c>
      <c r="D262" s="298">
        <f>(COUNTIF(Errors!$B$3:$B$3010,'[1]Error Count Analysis'!C262))-((COUNTIFS(Errors!$B$3:$B$3010,'[1]Error Count Analysis'!C262, (Errors!$I$3:$I$3010),"TV*")))</f>
        <v>0</v>
      </c>
      <c r="E262" s="325" t="str">
        <f t="shared" si="1"/>
        <v>#DIV/0!</v>
      </c>
      <c r="F262" s="278" t="str">
        <f>COUNTIFS([2]Errors!$B:$B, $C262, [2]Errors!$H:$H, F$1)</f>
        <v>#ERROR!</v>
      </c>
      <c r="G262" s="278" t="str">
        <f>COUNTIFS([2]Errors!$B:$B, $C262, [2]Errors!$H:$H, G$1)</f>
        <v>#ERROR!</v>
      </c>
      <c r="H262" s="278" t="str">
        <f>COUNTIFS([2]Errors!$B:$B, $C262, [2]Errors!$H:$H, H$1)</f>
        <v>#ERROR!</v>
      </c>
      <c r="I262" s="278" t="str">
        <f>COUNTIFS([2]Errors!$B:$B, $C262, [2]Errors!$H:$H, I$1)</f>
        <v>#ERROR!</v>
      </c>
      <c r="J262" s="278" t="str">
        <f>COUNTIFS([2]Errors!$B:$B, $C262, [2]Errors!$H:$H, J$1)</f>
        <v>#ERROR!</v>
      </c>
      <c r="K262" s="278" t="str">
        <f>COUNTIFS([2]Errors!$B:$B, $C262, [2]Errors!$H:$H, K$1)</f>
        <v>#ERROR!</v>
      </c>
      <c r="L262" s="278" t="str">
        <f>COUNTIFS([2]Errors!$B:$B, $C262, [2]Errors!$H:$H, L$1)</f>
        <v>#ERROR!</v>
      </c>
      <c r="M262" s="278" t="str">
        <f>COUNTIFS([2]Errors!$B:$B, $C262, [2]Errors!$H:$H, M$1)</f>
        <v>#ERROR!</v>
      </c>
      <c r="N262" s="298">
        <f>COUNTIFS(Errors!$B:$B, $C262, Errors!$I:$I, N$1)</f>
        <v>0</v>
      </c>
      <c r="O262" s="278" t="str">
        <f>COUNTIFS([2]Errors!$B:$B, $C262, [2]Errors!$H:$H, O$1)</f>
        <v>#ERROR!</v>
      </c>
      <c r="P262" s="278" t="str">
        <f>COUNTIFS([2]Errors!$B:$B, $C262, [2]Errors!$H:$H, P$1)</f>
        <v>#ERROR!</v>
      </c>
      <c r="Q262" s="278" t="str">
        <f>COUNTIFS([2]Errors!$B:$B, $C262, [2]Errors!$H:$H, Q$1)</f>
        <v>#ERROR!</v>
      </c>
      <c r="R262" s="278" t="str">
        <f>COUNTIFS([2]Errors!$B:$B, $C262, [2]Errors!$H:$H, R$1)</f>
        <v>#ERROR!</v>
      </c>
      <c r="S262" s="278" t="str">
        <f>COUNTIFS([2]Errors!$B:$B, $C262, [2]Errors!$H:$H, S$1)</f>
        <v>#ERROR!</v>
      </c>
      <c r="T262" s="278" t="str">
        <f>COUNTIFS([2]Errors!$B:$B, $C262, [2]Errors!$H:$H, T$1)</f>
        <v>#ERROR!</v>
      </c>
      <c r="U262" s="278" t="str">
        <f>COUNTIFS([2]Errors!$B:$B, $C262, [2]Errors!$H:$H, U$1)</f>
        <v>#ERROR!</v>
      </c>
      <c r="V262" s="278" t="str">
        <f>COUNTIFS([2]Errors!$B:$B, $C262, [2]Errors!$H:$H, V$1)</f>
        <v>#ERROR!</v>
      </c>
      <c r="W262" s="278" t="str">
        <f>COUNTIFS([2]Errors!$B:$B, $C262, [2]Errors!$H:$H, W$1)</f>
        <v>#ERROR!</v>
      </c>
      <c r="X262" s="278" t="str">
        <f>COUNTIFS([2]Errors!$B:$B, $C262, [2]Errors!$H:$H, X$1)</f>
        <v>#ERROR!</v>
      </c>
    </row>
    <row r="263" ht="15.75" customHeight="1">
      <c r="A263" s="305">
        <v>0.0</v>
      </c>
      <c r="B263" s="325" t="str">
        <f>SourceData!K263</f>
        <v/>
      </c>
      <c r="C263" s="305" t="str">
        <f>SourceData!J262</f>
        <v/>
      </c>
      <c r="D263" s="298">
        <f>(COUNTIF(Errors!$B$3:$B$3010,'[1]Error Count Analysis'!C263))-((COUNTIFS(Errors!$B$3:$B$3010,'[1]Error Count Analysis'!C263, (Errors!$I$3:$I$3010),"TV*")))</f>
        <v>0</v>
      </c>
      <c r="E263" s="305" t="str">
        <f t="shared" si="1"/>
        <v>#DIV/0!</v>
      </c>
      <c r="F263" s="278" t="str">
        <f>COUNTIFS([2]Errors!$B:$B, $C263, [2]Errors!$H:$H, F$1)</f>
        <v>#ERROR!</v>
      </c>
      <c r="G263" s="278" t="str">
        <f>COUNTIFS([2]Errors!$B:$B, $C263, [2]Errors!$H:$H, G$1)</f>
        <v>#ERROR!</v>
      </c>
      <c r="H263" s="278" t="str">
        <f>COUNTIFS([2]Errors!$B:$B, $C263, [2]Errors!$H:$H, H$1)</f>
        <v>#ERROR!</v>
      </c>
      <c r="I263" s="278" t="str">
        <f>COUNTIFS([2]Errors!$B:$B, $C263, [2]Errors!$H:$H, I$1)</f>
        <v>#ERROR!</v>
      </c>
      <c r="J263" s="278" t="str">
        <f>COUNTIFS([2]Errors!$B:$B, $C263, [2]Errors!$H:$H, J$1)</f>
        <v>#ERROR!</v>
      </c>
      <c r="K263" s="278" t="str">
        <f>COUNTIFS([2]Errors!$B:$B, $C263, [2]Errors!$H:$H, K$1)</f>
        <v>#ERROR!</v>
      </c>
      <c r="L263" s="278" t="str">
        <f>COUNTIFS([2]Errors!$B:$B, $C263, [2]Errors!$H:$H, L$1)</f>
        <v>#ERROR!</v>
      </c>
      <c r="M263" s="278" t="str">
        <f>COUNTIFS([2]Errors!$B:$B, $C263, [2]Errors!$H:$H, M$1)</f>
        <v>#ERROR!</v>
      </c>
      <c r="N263" s="309">
        <f>COUNTIFS(Errors!$B:$B, $C263, Errors!$I:$I, N$1)</f>
        <v>0</v>
      </c>
      <c r="O263" s="278" t="str">
        <f>COUNTIFS([2]Errors!$B:$B, $C263, [2]Errors!$H:$H, O$1)</f>
        <v>#ERROR!</v>
      </c>
      <c r="P263" s="278" t="str">
        <f>COUNTIFS([2]Errors!$B:$B, $C263, [2]Errors!$H:$H, P$1)</f>
        <v>#ERROR!</v>
      </c>
      <c r="Q263" s="278" t="str">
        <f>COUNTIFS([2]Errors!$B:$B, $C263, [2]Errors!$H:$H, Q$1)</f>
        <v>#ERROR!</v>
      </c>
      <c r="R263" s="278" t="str">
        <f>COUNTIFS([2]Errors!$B:$B, $C263, [2]Errors!$H:$H, R$1)</f>
        <v>#ERROR!</v>
      </c>
      <c r="S263" s="278" t="str">
        <f>COUNTIFS([2]Errors!$B:$B, $C263, [2]Errors!$H:$H, S$1)</f>
        <v>#ERROR!</v>
      </c>
      <c r="T263" s="278" t="str">
        <f>COUNTIFS([2]Errors!$B:$B, $C263, [2]Errors!$H:$H, T$1)</f>
        <v>#ERROR!</v>
      </c>
      <c r="U263" s="278" t="str">
        <f>COUNTIFS([2]Errors!$B:$B, $C263, [2]Errors!$H:$H, U$1)</f>
        <v>#ERROR!</v>
      </c>
      <c r="V263" s="278" t="str">
        <f>COUNTIFS([2]Errors!$B:$B, $C263, [2]Errors!$H:$H, V$1)</f>
        <v>#ERROR!</v>
      </c>
      <c r="W263" s="278" t="str">
        <f>COUNTIFS([2]Errors!$B:$B, $C263, [2]Errors!$H:$H, W$1)</f>
        <v>#ERROR!</v>
      </c>
      <c r="X263" s="278" t="str">
        <f>COUNTIFS([2]Errors!$B:$B, $C263, [2]Errors!$H:$H, X$1)</f>
        <v>#ERROR!</v>
      </c>
    </row>
    <row r="264" ht="15.75" customHeight="1">
      <c r="A264" s="325">
        <v>0.0</v>
      </c>
      <c r="B264" s="325" t="str">
        <f>SourceData!K264</f>
        <v/>
      </c>
      <c r="C264" s="294" t="str">
        <f>SourceData!J262</f>
        <v/>
      </c>
      <c r="D264" s="298">
        <f>(COUNTIF(Errors!$B$3:$B$3010,'[1]Error Count Analysis'!C264))-((COUNTIFS(Errors!$B$3:$B$3010,'[1]Error Count Analysis'!C264, (Errors!$I$3:$I$3010),"TV*")))</f>
        <v>0</v>
      </c>
      <c r="E264" s="325" t="str">
        <f t="shared" si="1"/>
        <v>#DIV/0!</v>
      </c>
      <c r="F264" s="278" t="str">
        <f>COUNTIFS([2]Errors!$B:$B, $C264, [2]Errors!$H:$H, F$1)</f>
        <v>#ERROR!</v>
      </c>
      <c r="G264" s="278" t="str">
        <f>COUNTIFS([2]Errors!$B:$B, $C264, [2]Errors!$H:$H, G$1)</f>
        <v>#ERROR!</v>
      </c>
      <c r="H264" s="278" t="str">
        <f>COUNTIFS([2]Errors!$B:$B, $C264, [2]Errors!$H:$H, H$1)</f>
        <v>#ERROR!</v>
      </c>
      <c r="I264" s="278" t="str">
        <f>COUNTIFS([2]Errors!$B:$B, $C264, [2]Errors!$H:$H, I$1)</f>
        <v>#ERROR!</v>
      </c>
      <c r="J264" s="278" t="str">
        <f>COUNTIFS([2]Errors!$B:$B, $C264, [2]Errors!$H:$H, J$1)</f>
        <v>#ERROR!</v>
      </c>
      <c r="K264" s="278" t="str">
        <f>COUNTIFS([2]Errors!$B:$B, $C264, [2]Errors!$H:$H, K$1)</f>
        <v>#ERROR!</v>
      </c>
      <c r="L264" s="278" t="str">
        <f>COUNTIFS([2]Errors!$B:$B, $C264, [2]Errors!$H:$H, L$1)</f>
        <v>#ERROR!</v>
      </c>
      <c r="M264" s="278" t="str">
        <f>COUNTIFS([2]Errors!$B:$B, $C264, [2]Errors!$H:$H, M$1)</f>
        <v>#ERROR!</v>
      </c>
      <c r="N264" s="298">
        <f>COUNTIFS(Errors!$B:$B, $C264, Errors!$I:$I, N$1)</f>
        <v>0</v>
      </c>
      <c r="O264" s="278" t="str">
        <f>COUNTIFS([2]Errors!$B:$B, $C264, [2]Errors!$H:$H, O$1)</f>
        <v>#ERROR!</v>
      </c>
      <c r="P264" s="278" t="str">
        <f>COUNTIFS([2]Errors!$B:$B, $C264, [2]Errors!$H:$H, P$1)</f>
        <v>#ERROR!</v>
      </c>
      <c r="Q264" s="278" t="str">
        <f>COUNTIFS([2]Errors!$B:$B, $C264, [2]Errors!$H:$H, Q$1)</f>
        <v>#ERROR!</v>
      </c>
      <c r="R264" s="278" t="str">
        <f>COUNTIFS([2]Errors!$B:$B, $C264, [2]Errors!$H:$H, R$1)</f>
        <v>#ERROR!</v>
      </c>
      <c r="S264" s="278" t="str">
        <f>COUNTIFS([2]Errors!$B:$B, $C264, [2]Errors!$H:$H, S$1)</f>
        <v>#ERROR!</v>
      </c>
      <c r="T264" s="278" t="str">
        <f>COUNTIFS([2]Errors!$B:$B, $C264, [2]Errors!$H:$H, T$1)</f>
        <v>#ERROR!</v>
      </c>
      <c r="U264" s="278" t="str">
        <f>COUNTIFS([2]Errors!$B:$B, $C264, [2]Errors!$H:$H, U$1)</f>
        <v>#ERROR!</v>
      </c>
      <c r="V264" s="278" t="str">
        <f>COUNTIFS([2]Errors!$B:$B, $C264, [2]Errors!$H:$H, V$1)</f>
        <v>#ERROR!</v>
      </c>
      <c r="W264" s="278" t="str">
        <f>COUNTIFS([2]Errors!$B:$B, $C264, [2]Errors!$H:$H, W$1)</f>
        <v>#ERROR!</v>
      </c>
      <c r="X264" s="278" t="str">
        <f>COUNTIFS([2]Errors!$B:$B, $C264, [2]Errors!$H:$H, X$1)</f>
        <v>#ERROR!</v>
      </c>
    </row>
    <row r="265" ht="15.75" customHeight="1">
      <c r="A265" s="305">
        <v>0.0</v>
      </c>
      <c r="B265" s="325" t="str">
        <f>SourceData!K265</f>
        <v/>
      </c>
      <c r="C265" s="305" t="str">
        <f>SourceData!J264</f>
        <v/>
      </c>
      <c r="D265" s="298">
        <f>(COUNTIF(Errors!$B$3:$B$3010,'[1]Error Count Analysis'!C265))-((COUNTIFS(Errors!$B$3:$B$3010,'[1]Error Count Analysis'!C265, (Errors!$I$3:$I$3010),"TV*")))</f>
        <v>0</v>
      </c>
      <c r="E265" s="305" t="str">
        <f t="shared" si="1"/>
        <v>#DIV/0!</v>
      </c>
      <c r="F265" s="278" t="str">
        <f>COUNTIFS([2]Errors!$B:$B, $C265, [2]Errors!$H:$H, F$1)</f>
        <v>#ERROR!</v>
      </c>
      <c r="G265" s="278" t="str">
        <f>COUNTIFS([2]Errors!$B:$B, $C265, [2]Errors!$H:$H, G$1)</f>
        <v>#ERROR!</v>
      </c>
      <c r="H265" s="278" t="str">
        <f>COUNTIFS([2]Errors!$B:$B, $C265, [2]Errors!$H:$H, H$1)</f>
        <v>#ERROR!</v>
      </c>
      <c r="I265" s="278" t="str">
        <f>COUNTIFS([2]Errors!$B:$B, $C265, [2]Errors!$H:$H, I$1)</f>
        <v>#ERROR!</v>
      </c>
      <c r="J265" s="278" t="str">
        <f>COUNTIFS([2]Errors!$B:$B, $C265, [2]Errors!$H:$H, J$1)</f>
        <v>#ERROR!</v>
      </c>
      <c r="K265" s="278" t="str">
        <f>COUNTIFS([2]Errors!$B:$B, $C265, [2]Errors!$H:$H, K$1)</f>
        <v>#ERROR!</v>
      </c>
      <c r="L265" s="278" t="str">
        <f>COUNTIFS([2]Errors!$B:$B, $C265, [2]Errors!$H:$H, L$1)</f>
        <v>#ERROR!</v>
      </c>
      <c r="M265" s="278" t="str">
        <f>COUNTIFS([2]Errors!$B:$B, $C265, [2]Errors!$H:$H, M$1)</f>
        <v>#ERROR!</v>
      </c>
      <c r="N265" s="309">
        <f>COUNTIFS(Errors!$B:$B, $C265, Errors!$I:$I, N$1)</f>
        <v>0</v>
      </c>
      <c r="O265" s="278" t="str">
        <f>COUNTIFS([2]Errors!$B:$B, $C265, [2]Errors!$H:$H, O$1)</f>
        <v>#ERROR!</v>
      </c>
      <c r="P265" s="278" t="str">
        <f>COUNTIFS([2]Errors!$B:$B, $C265, [2]Errors!$H:$H, P$1)</f>
        <v>#ERROR!</v>
      </c>
      <c r="Q265" s="278" t="str">
        <f>COUNTIFS([2]Errors!$B:$B, $C265, [2]Errors!$H:$H, Q$1)</f>
        <v>#ERROR!</v>
      </c>
      <c r="R265" s="278" t="str">
        <f>COUNTIFS([2]Errors!$B:$B, $C265, [2]Errors!$H:$H, R$1)</f>
        <v>#ERROR!</v>
      </c>
      <c r="S265" s="278" t="str">
        <f>COUNTIFS([2]Errors!$B:$B, $C265, [2]Errors!$H:$H, S$1)</f>
        <v>#ERROR!</v>
      </c>
      <c r="T265" s="278" t="str">
        <f>COUNTIFS([2]Errors!$B:$B, $C265, [2]Errors!$H:$H, T$1)</f>
        <v>#ERROR!</v>
      </c>
      <c r="U265" s="278" t="str">
        <f>COUNTIFS([2]Errors!$B:$B, $C265, [2]Errors!$H:$H, U$1)</f>
        <v>#ERROR!</v>
      </c>
      <c r="V265" s="278" t="str">
        <f>COUNTIFS([2]Errors!$B:$B, $C265, [2]Errors!$H:$H, V$1)</f>
        <v>#ERROR!</v>
      </c>
      <c r="W265" s="278" t="str">
        <f>COUNTIFS([2]Errors!$B:$B, $C265, [2]Errors!$H:$H, W$1)</f>
        <v>#ERROR!</v>
      </c>
      <c r="X265" s="278" t="str">
        <f>COUNTIFS([2]Errors!$B:$B, $C265, [2]Errors!$H:$H, X$1)</f>
        <v>#ERROR!</v>
      </c>
    </row>
    <row r="266" ht="15.75" customHeight="1">
      <c r="A266" s="325">
        <v>0.0</v>
      </c>
      <c r="B266" s="325" t="str">
        <f>SourceData!K266</f>
        <v/>
      </c>
      <c r="C266" s="294" t="str">
        <f>SourceData!J264</f>
        <v/>
      </c>
      <c r="D266" s="298">
        <f>(COUNTIF(Errors!$B$3:$B$3010,'[1]Error Count Analysis'!C266))-((COUNTIFS(Errors!$B$3:$B$3010,'[1]Error Count Analysis'!C266, (Errors!$I$3:$I$3010),"TV*")))</f>
        <v>0</v>
      </c>
      <c r="E266" s="325" t="str">
        <f t="shared" si="1"/>
        <v>#DIV/0!</v>
      </c>
      <c r="F266" s="278" t="str">
        <f>COUNTIFS([2]Errors!$B:$B, $C266, [2]Errors!$H:$H, F$1)</f>
        <v>#ERROR!</v>
      </c>
      <c r="G266" s="278" t="str">
        <f>COUNTIFS([2]Errors!$B:$B, $C266, [2]Errors!$H:$H, G$1)</f>
        <v>#ERROR!</v>
      </c>
      <c r="H266" s="278" t="str">
        <f>COUNTIFS([2]Errors!$B:$B, $C266, [2]Errors!$H:$H, H$1)</f>
        <v>#ERROR!</v>
      </c>
      <c r="I266" s="278" t="str">
        <f>COUNTIFS([2]Errors!$B:$B, $C266, [2]Errors!$H:$H, I$1)</f>
        <v>#ERROR!</v>
      </c>
      <c r="J266" s="278" t="str">
        <f>COUNTIFS([2]Errors!$B:$B, $C266, [2]Errors!$H:$H, J$1)</f>
        <v>#ERROR!</v>
      </c>
      <c r="K266" s="278" t="str">
        <f>COUNTIFS([2]Errors!$B:$B, $C266, [2]Errors!$H:$H, K$1)</f>
        <v>#ERROR!</v>
      </c>
      <c r="L266" s="278" t="str">
        <f>COUNTIFS([2]Errors!$B:$B, $C266, [2]Errors!$H:$H, L$1)</f>
        <v>#ERROR!</v>
      </c>
      <c r="M266" s="278" t="str">
        <f>COUNTIFS([2]Errors!$B:$B, $C266, [2]Errors!$H:$H, M$1)</f>
        <v>#ERROR!</v>
      </c>
      <c r="N266" s="298">
        <f>COUNTIFS(Errors!$B:$B, $C266, Errors!$I:$I, N$1)</f>
        <v>0</v>
      </c>
      <c r="O266" s="278" t="str">
        <f>COUNTIFS([2]Errors!$B:$B, $C266, [2]Errors!$H:$H, O$1)</f>
        <v>#ERROR!</v>
      </c>
      <c r="P266" s="278" t="str">
        <f>COUNTIFS([2]Errors!$B:$B, $C266, [2]Errors!$H:$H, P$1)</f>
        <v>#ERROR!</v>
      </c>
      <c r="Q266" s="278" t="str">
        <f>COUNTIFS([2]Errors!$B:$B, $C266, [2]Errors!$H:$H, Q$1)</f>
        <v>#ERROR!</v>
      </c>
      <c r="R266" s="278" t="str">
        <f>COUNTIFS([2]Errors!$B:$B, $C266, [2]Errors!$H:$H, R$1)</f>
        <v>#ERROR!</v>
      </c>
      <c r="S266" s="278" t="str">
        <f>COUNTIFS([2]Errors!$B:$B, $C266, [2]Errors!$H:$H, S$1)</f>
        <v>#ERROR!</v>
      </c>
      <c r="T266" s="278" t="str">
        <f>COUNTIFS([2]Errors!$B:$B, $C266, [2]Errors!$H:$H, T$1)</f>
        <v>#ERROR!</v>
      </c>
      <c r="U266" s="278" t="str">
        <f>COUNTIFS([2]Errors!$B:$B, $C266, [2]Errors!$H:$H, U$1)</f>
        <v>#ERROR!</v>
      </c>
      <c r="V266" s="278" t="str">
        <f>COUNTIFS([2]Errors!$B:$B, $C266, [2]Errors!$H:$H, V$1)</f>
        <v>#ERROR!</v>
      </c>
      <c r="W266" s="278" t="str">
        <f>COUNTIFS([2]Errors!$B:$B, $C266, [2]Errors!$H:$H, W$1)</f>
        <v>#ERROR!</v>
      </c>
      <c r="X266" s="278" t="str">
        <f>COUNTIFS([2]Errors!$B:$B, $C266, [2]Errors!$H:$H, X$1)</f>
        <v>#ERROR!</v>
      </c>
    </row>
    <row r="267" ht="15.75" customHeight="1">
      <c r="A267" s="305">
        <v>0.0</v>
      </c>
      <c r="B267" s="325" t="str">
        <f>SourceData!K267</f>
        <v/>
      </c>
      <c r="C267" s="305" t="str">
        <f>SourceData!J266</f>
        <v/>
      </c>
      <c r="D267" s="298">
        <f>(COUNTIF(Errors!$B$3:$B$3010,'[1]Error Count Analysis'!C267))-((COUNTIFS(Errors!$B$3:$B$3010,'[1]Error Count Analysis'!C267, (Errors!$I$3:$I$3010),"TV*")))</f>
        <v>0</v>
      </c>
      <c r="E267" s="305" t="str">
        <f t="shared" si="1"/>
        <v>#DIV/0!</v>
      </c>
      <c r="F267" s="278" t="str">
        <f>COUNTIFS([2]Errors!$B:$B, $C267, [2]Errors!$H:$H, F$1)</f>
        <v>#ERROR!</v>
      </c>
      <c r="G267" s="278" t="str">
        <f>COUNTIFS([2]Errors!$B:$B, $C267, [2]Errors!$H:$H, G$1)</f>
        <v>#ERROR!</v>
      </c>
      <c r="H267" s="278" t="str">
        <f>COUNTIFS([2]Errors!$B:$B, $C267, [2]Errors!$H:$H, H$1)</f>
        <v>#ERROR!</v>
      </c>
      <c r="I267" s="278" t="str">
        <f>COUNTIFS([2]Errors!$B:$B, $C267, [2]Errors!$H:$H, I$1)</f>
        <v>#ERROR!</v>
      </c>
      <c r="J267" s="278" t="str">
        <f>COUNTIFS([2]Errors!$B:$B, $C267, [2]Errors!$H:$H, J$1)</f>
        <v>#ERROR!</v>
      </c>
      <c r="K267" s="278" t="str">
        <f>COUNTIFS([2]Errors!$B:$B, $C267, [2]Errors!$H:$H, K$1)</f>
        <v>#ERROR!</v>
      </c>
      <c r="L267" s="278" t="str">
        <f>COUNTIFS([2]Errors!$B:$B, $C267, [2]Errors!$H:$H, L$1)</f>
        <v>#ERROR!</v>
      </c>
      <c r="M267" s="278" t="str">
        <f>COUNTIFS([2]Errors!$B:$B, $C267, [2]Errors!$H:$H, M$1)</f>
        <v>#ERROR!</v>
      </c>
      <c r="N267" s="309">
        <f>COUNTIFS(Errors!$B:$B, $C267, Errors!$I:$I, N$1)</f>
        <v>0</v>
      </c>
      <c r="O267" s="278" t="str">
        <f>COUNTIFS([2]Errors!$B:$B, $C267, [2]Errors!$H:$H, O$1)</f>
        <v>#ERROR!</v>
      </c>
      <c r="P267" s="278" t="str">
        <f>COUNTIFS([2]Errors!$B:$B, $C267, [2]Errors!$H:$H, P$1)</f>
        <v>#ERROR!</v>
      </c>
      <c r="Q267" s="278" t="str">
        <f>COUNTIFS([2]Errors!$B:$B, $C267, [2]Errors!$H:$H, Q$1)</f>
        <v>#ERROR!</v>
      </c>
      <c r="R267" s="278" t="str">
        <f>COUNTIFS([2]Errors!$B:$B, $C267, [2]Errors!$H:$H, R$1)</f>
        <v>#ERROR!</v>
      </c>
      <c r="S267" s="278" t="str">
        <f>COUNTIFS([2]Errors!$B:$B, $C267, [2]Errors!$H:$H, S$1)</f>
        <v>#ERROR!</v>
      </c>
      <c r="T267" s="278" t="str">
        <f>COUNTIFS([2]Errors!$B:$B, $C267, [2]Errors!$H:$H, T$1)</f>
        <v>#ERROR!</v>
      </c>
      <c r="U267" s="278" t="str">
        <f>COUNTIFS([2]Errors!$B:$B, $C267, [2]Errors!$H:$H, U$1)</f>
        <v>#ERROR!</v>
      </c>
      <c r="V267" s="278" t="str">
        <f>COUNTIFS([2]Errors!$B:$B, $C267, [2]Errors!$H:$H, V$1)</f>
        <v>#ERROR!</v>
      </c>
      <c r="W267" s="278" t="str">
        <f>COUNTIFS([2]Errors!$B:$B, $C267, [2]Errors!$H:$H, W$1)</f>
        <v>#ERROR!</v>
      </c>
      <c r="X267" s="278" t="str">
        <f>COUNTIFS([2]Errors!$B:$B, $C267, [2]Errors!$H:$H, X$1)</f>
        <v>#ERROR!</v>
      </c>
    </row>
    <row r="268" ht="15.75" customHeight="1">
      <c r="A268" s="325">
        <v>0.0</v>
      </c>
      <c r="B268" s="325" t="str">
        <f>SourceData!K268</f>
        <v/>
      </c>
      <c r="C268" s="294" t="str">
        <f>SourceData!J266</f>
        <v/>
      </c>
      <c r="D268" s="298">
        <f>(COUNTIF(Errors!$B$3:$B$3010,'[1]Error Count Analysis'!C268))-((COUNTIFS(Errors!$B$3:$B$3010,'[1]Error Count Analysis'!C268, (Errors!$I$3:$I$3010),"TV*")))</f>
        <v>0</v>
      </c>
      <c r="E268" s="325" t="str">
        <f t="shared" si="1"/>
        <v>#DIV/0!</v>
      </c>
      <c r="F268" s="278" t="str">
        <f>COUNTIFS([2]Errors!$B:$B, $C268, [2]Errors!$H:$H, F$1)</f>
        <v>#ERROR!</v>
      </c>
      <c r="G268" s="278" t="str">
        <f>COUNTIFS([2]Errors!$B:$B, $C268, [2]Errors!$H:$H, G$1)</f>
        <v>#ERROR!</v>
      </c>
      <c r="H268" s="278" t="str">
        <f>COUNTIFS([2]Errors!$B:$B, $C268, [2]Errors!$H:$H, H$1)</f>
        <v>#ERROR!</v>
      </c>
      <c r="I268" s="278" t="str">
        <f>COUNTIFS([2]Errors!$B:$B, $C268, [2]Errors!$H:$H, I$1)</f>
        <v>#ERROR!</v>
      </c>
      <c r="J268" s="278" t="str">
        <f>COUNTIFS([2]Errors!$B:$B, $C268, [2]Errors!$H:$H, J$1)</f>
        <v>#ERROR!</v>
      </c>
      <c r="K268" s="278" t="str">
        <f>COUNTIFS([2]Errors!$B:$B, $C268, [2]Errors!$H:$H, K$1)</f>
        <v>#ERROR!</v>
      </c>
      <c r="L268" s="278" t="str">
        <f>COUNTIFS([2]Errors!$B:$B, $C268, [2]Errors!$H:$H, L$1)</f>
        <v>#ERROR!</v>
      </c>
      <c r="M268" s="278" t="str">
        <f>COUNTIFS([2]Errors!$B:$B, $C268, [2]Errors!$H:$H, M$1)</f>
        <v>#ERROR!</v>
      </c>
      <c r="N268" s="298">
        <f>COUNTIFS(Errors!$B:$B, $C268, Errors!$I:$I, N$1)</f>
        <v>0</v>
      </c>
      <c r="O268" s="278" t="str">
        <f>COUNTIFS([2]Errors!$B:$B, $C268, [2]Errors!$H:$H, O$1)</f>
        <v>#ERROR!</v>
      </c>
      <c r="P268" s="278" t="str">
        <f>COUNTIFS([2]Errors!$B:$B, $C268, [2]Errors!$H:$H, P$1)</f>
        <v>#ERROR!</v>
      </c>
      <c r="Q268" s="278" t="str">
        <f>COUNTIFS([2]Errors!$B:$B, $C268, [2]Errors!$H:$H, Q$1)</f>
        <v>#ERROR!</v>
      </c>
      <c r="R268" s="278" t="str">
        <f>COUNTIFS([2]Errors!$B:$B, $C268, [2]Errors!$H:$H, R$1)</f>
        <v>#ERROR!</v>
      </c>
      <c r="S268" s="278" t="str">
        <f>COUNTIFS([2]Errors!$B:$B, $C268, [2]Errors!$H:$H, S$1)</f>
        <v>#ERROR!</v>
      </c>
      <c r="T268" s="278" t="str">
        <f>COUNTIFS([2]Errors!$B:$B, $C268, [2]Errors!$H:$H, T$1)</f>
        <v>#ERROR!</v>
      </c>
      <c r="U268" s="278" t="str">
        <f>COUNTIFS([2]Errors!$B:$B, $C268, [2]Errors!$H:$H, U$1)</f>
        <v>#ERROR!</v>
      </c>
      <c r="V268" s="278" t="str">
        <f>COUNTIFS([2]Errors!$B:$B, $C268, [2]Errors!$H:$H, V$1)</f>
        <v>#ERROR!</v>
      </c>
      <c r="W268" s="278" t="str">
        <f>COUNTIFS([2]Errors!$B:$B, $C268, [2]Errors!$H:$H, W$1)</f>
        <v>#ERROR!</v>
      </c>
      <c r="X268" s="278" t="str">
        <f>COUNTIFS([2]Errors!$B:$B, $C268, [2]Errors!$H:$H, X$1)</f>
        <v>#ERROR!</v>
      </c>
    </row>
    <row r="269" ht="15.75" customHeight="1">
      <c r="A269" s="305">
        <v>0.0</v>
      </c>
      <c r="B269" s="325" t="str">
        <f>SourceData!K269</f>
        <v/>
      </c>
      <c r="C269" s="305" t="str">
        <f>SourceData!J268</f>
        <v/>
      </c>
      <c r="D269" s="298">
        <f>(COUNTIF(Errors!$B$3:$B$3010,'[1]Error Count Analysis'!C269))-((COUNTIFS(Errors!$B$3:$B$3010,'[1]Error Count Analysis'!C269, (Errors!$I$3:$I$3010),"TV*")))</f>
        <v>0</v>
      </c>
      <c r="E269" s="305" t="str">
        <f t="shared" si="1"/>
        <v>#DIV/0!</v>
      </c>
      <c r="F269" s="278" t="str">
        <f>COUNTIFS([2]Errors!$B:$B, $C269, [2]Errors!$H:$H, F$1)</f>
        <v>#ERROR!</v>
      </c>
      <c r="G269" s="278" t="str">
        <f>COUNTIFS([2]Errors!$B:$B, $C269, [2]Errors!$H:$H, G$1)</f>
        <v>#ERROR!</v>
      </c>
      <c r="H269" s="278" t="str">
        <f>COUNTIFS([2]Errors!$B:$B, $C269, [2]Errors!$H:$H, H$1)</f>
        <v>#ERROR!</v>
      </c>
      <c r="I269" s="278" t="str">
        <f>COUNTIFS([2]Errors!$B:$B, $C269, [2]Errors!$H:$H, I$1)</f>
        <v>#ERROR!</v>
      </c>
      <c r="J269" s="278" t="str">
        <f>COUNTIFS([2]Errors!$B:$B, $C269, [2]Errors!$H:$H, J$1)</f>
        <v>#ERROR!</v>
      </c>
      <c r="K269" s="278" t="str">
        <f>COUNTIFS([2]Errors!$B:$B, $C269, [2]Errors!$H:$H, K$1)</f>
        <v>#ERROR!</v>
      </c>
      <c r="L269" s="278" t="str">
        <f>COUNTIFS([2]Errors!$B:$B, $C269, [2]Errors!$H:$H, L$1)</f>
        <v>#ERROR!</v>
      </c>
      <c r="M269" s="278" t="str">
        <f>COUNTIFS([2]Errors!$B:$B, $C269, [2]Errors!$H:$H, M$1)</f>
        <v>#ERROR!</v>
      </c>
      <c r="N269" s="309">
        <f>COUNTIFS(Errors!$B:$B, $C269, Errors!$I:$I, N$1)</f>
        <v>0</v>
      </c>
      <c r="O269" s="278" t="str">
        <f>COUNTIFS([2]Errors!$B:$B, $C269, [2]Errors!$H:$H, O$1)</f>
        <v>#ERROR!</v>
      </c>
      <c r="P269" s="278" t="str">
        <f>COUNTIFS([2]Errors!$B:$B, $C269, [2]Errors!$H:$H, P$1)</f>
        <v>#ERROR!</v>
      </c>
      <c r="Q269" s="278" t="str">
        <f>COUNTIFS([2]Errors!$B:$B, $C269, [2]Errors!$H:$H, Q$1)</f>
        <v>#ERROR!</v>
      </c>
      <c r="R269" s="278" t="str">
        <f>COUNTIFS([2]Errors!$B:$B, $C269, [2]Errors!$H:$H, R$1)</f>
        <v>#ERROR!</v>
      </c>
      <c r="S269" s="278" t="str">
        <f>COUNTIFS([2]Errors!$B:$B, $C269, [2]Errors!$H:$H, S$1)</f>
        <v>#ERROR!</v>
      </c>
      <c r="T269" s="278" t="str">
        <f>COUNTIFS([2]Errors!$B:$B, $C269, [2]Errors!$H:$H, T$1)</f>
        <v>#ERROR!</v>
      </c>
      <c r="U269" s="278" t="str">
        <f>COUNTIFS([2]Errors!$B:$B, $C269, [2]Errors!$H:$H, U$1)</f>
        <v>#ERROR!</v>
      </c>
      <c r="V269" s="278" t="str">
        <f>COUNTIFS([2]Errors!$B:$B, $C269, [2]Errors!$H:$H, V$1)</f>
        <v>#ERROR!</v>
      </c>
      <c r="W269" s="278" t="str">
        <f>COUNTIFS([2]Errors!$B:$B, $C269, [2]Errors!$H:$H, W$1)</f>
        <v>#ERROR!</v>
      </c>
      <c r="X269" s="278" t="str">
        <f>COUNTIFS([2]Errors!$B:$B, $C269, [2]Errors!$H:$H, X$1)</f>
        <v>#ERROR!</v>
      </c>
    </row>
    <row r="270" ht="15.75" customHeight="1">
      <c r="A270" s="325">
        <v>0.0</v>
      </c>
      <c r="B270" s="325" t="str">
        <f>SourceData!K270</f>
        <v/>
      </c>
      <c r="C270" s="294" t="str">
        <f>SourceData!J268</f>
        <v/>
      </c>
      <c r="D270" s="298">
        <f>(COUNTIF(Errors!$B$3:$B$3010,'[1]Error Count Analysis'!C270))-((COUNTIFS(Errors!$B$3:$B$3010,'[1]Error Count Analysis'!C270, (Errors!$I$3:$I$3010),"TV*")))</f>
        <v>0</v>
      </c>
      <c r="E270" s="325" t="str">
        <f t="shared" si="1"/>
        <v>#DIV/0!</v>
      </c>
      <c r="F270" s="278" t="str">
        <f>COUNTIFS([2]Errors!$B:$B, $C270, [2]Errors!$H:$H, F$1)</f>
        <v>#ERROR!</v>
      </c>
      <c r="G270" s="278" t="str">
        <f>COUNTIFS([2]Errors!$B:$B, $C270, [2]Errors!$H:$H, G$1)</f>
        <v>#ERROR!</v>
      </c>
      <c r="H270" s="278" t="str">
        <f>COUNTIFS([2]Errors!$B:$B, $C270, [2]Errors!$H:$H, H$1)</f>
        <v>#ERROR!</v>
      </c>
      <c r="I270" s="278" t="str">
        <f>COUNTIFS([2]Errors!$B:$B, $C270, [2]Errors!$H:$H, I$1)</f>
        <v>#ERROR!</v>
      </c>
      <c r="J270" s="278" t="str">
        <f>COUNTIFS([2]Errors!$B:$B, $C270, [2]Errors!$H:$H, J$1)</f>
        <v>#ERROR!</v>
      </c>
      <c r="K270" s="278" t="str">
        <f>COUNTIFS([2]Errors!$B:$B, $C270, [2]Errors!$H:$H, K$1)</f>
        <v>#ERROR!</v>
      </c>
      <c r="L270" s="278" t="str">
        <f>COUNTIFS([2]Errors!$B:$B, $C270, [2]Errors!$H:$H, L$1)</f>
        <v>#ERROR!</v>
      </c>
      <c r="M270" s="278" t="str">
        <f>COUNTIFS([2]Errors!$B:$B, $C270, [2]Errors!$H:$H, M$1)</f>
        <v>#ERROR!</v>
      </c>
      <c r="N270" s="298">
        <f>COUNTIFS(Errors!$B:$B, $C270, Errors!$I:$I, N$1)</f>
        <v>0</v>
      </c>
      <c r="O270" s="278" t="str">
        <f>COUNTIFS([2]Errors!$B:$B, $C270, [2]Errors!$H:$H, O$1)</f>
        <v>#ERROR!</v>
      </c>
      <c r="P270" s="278" t="str">
        <f>COUNTIFS([2]Errors!$B:$B, $C270, [2]Errors!$H:$H, P$1)</f>
        <v>#ERROR!</v>
      </c>
      <c r="Q270" s="278" t="str">
        <f>COUNTIFS([2]Errors!$B:$B, $C270, [2]Errors!$H:$H, Q$1)</f>
        <v>#ERROR!</v>
      </c>
      <c r="R270" s="278" t="str">
        <f>COUNTIFS([2]Errors!$B:$B, $C270, [2]Errors!$H:$H, R$1)</f>
        <v>#ERROR!</v>
      </c>
      <c r="S270" s="278" t="str">
        <f>COUNTIFS([2]Errors!$B:$B, $C270, [2]Errors!$H:$H, S$1)</f>
        <v>#ERROR!</v>
      </c>
      <c r="T270" s="278" t="str">
        <f>COUNTIFS([2]Errors!$B:$B, $C270, [2]Errors!$H:$H, T$1)</f>
        <v>#ERROR!</v>
      </c>
      <c r="U270" s="278" t="str">
        <f>COUNTIFS([2]Errors!$B:$B, $C270, [2]Errors!$H:$H, U$1)</f>
        <v>#ERROR!</v>
      </c>
      <c r="V270" s="278" t="str">
        <f>COUNTIFS([2]Errors!$B:$B, $C270, [2]Errors!$H:$H, V$1)</f>
        <v>#ERROR!</v>
      </c>
      <c r="W270" s="278" t="str">
        <f>COUNTIFS([2]Errors!$B:$B, $C270, [2]Errors!$H:$H, W$1)</f>
        <v>#ERROR!</v>
      </c>
      <c r="X270" s="278" t="str">
        <f>COUNTIFS([2]Errors!$B:$B, $C270, [2]Errors!$H:$H, X$1)</f>
        <v>#ERROR!</v>
      </c>
    </row>
    <row r="271" ht="15.75" customHeight="1">
      <c r="A271" s="305">
        <v>0.0</v>
      </c>
      <c r="B271" s="325" t="str">
        <f>SourceData!K271</f>
        <v/>
      </c>
      <c r="C271" s="305" t="str">
        <f>SourceData!J270</f>
        <v/>
      </c>
      <c r="D271" s="298">
        <f>(COUNTIF(Errors!$B$3:$B$3010,'[1]Error Count Analysis'!C271))-((COUNTIFS(Errors!$B$3:$B$3010,'[1]Error Count Analysis'!C271, (Errors!$I$3:$I$3010),"TV*")))</f>
        <v>0</v>
      </c>
      <c r="E271" s="305" t="str">
        <f t="shared" si="1"/>
        <v>#DIV/0!</v>
      </c>
      <c r="F271" s="278" t="str">
        <f>COUNTIFS([2]Errors!$B:$B, $C271, [2]Errors!$H:$H, F$1)</f>
        <v>#ERROR!</v>
      </c>
      <c r="G271" s="278" t="str">
        <f>COUNTIFS([2]Errors!$B:$B, $C271, [2]Errors!$H:$H, G$1)</f>
        <v>#ERROR!</v>
      </c>
      <c r="H271" s="278" t="str">
        <f>COUNTIFS([2]Errors!$B:$B, $C271, [2]Errors!$H:$H, H$1)</f>
        <v>#ERROR!</v>
      </c>
      <c r="I271" s="278" t="str">
        <f>COUNTIFS([2]Errors!$B:$B, $C271, [2]Errors!$H:$H, I$1)</f>
        <v>#ERROR!</v>
      </c>
      <c r="J271" s="278" t="str">
        <f>COUNTIFS([2]Errors!$B:$B, $C271, [2]Errors!$H:$H, J$1)</f>
        <v>#ERROR!</v>
      </c>
      <c r="K271" s="278" t="str">
        <f>COUNTIFS([2]Errors!$B:$B, $C271, [2]Errors!$H:$H, K$1)</f>
        <v>#ERROR!</v>
      </c>
      <c r="L271" s="278" t="str">
        <f>COUNTIFS([2]Errors!$B:$B, $C271, [2]Errors!$H:$H, L$1)</f>
        <v>#ERROR!</v>
      </c>
      <c r="M271" s="278" t="str">
        <f>COUNTIFS([2]Errors!$B:$B, $C271, [2]Errors!$H:$H, M$1)</f>
        <v>#ERROR!</v>
      </c>
      <c r="N271" s="309">
        <f>COUNTIFS(Errors!$B:$B, $C271, Errors!$I:$I, N$1)</f>
        <v>0</v>
      </c>
      <c r="O271" s="278" t="str">
        <f>COUNTIFS([2]Errors!$B:$B, $C271, [2]Errors!$H:$H, O$1)</f>
        <v>#ERROR!</v>
      </c>
      <c r="P271" s="278" t="str">
        <f>COUNTIFS([2]Errors!$B:$B, $C271, [2]Errors!$H:$H, P$1)</f>
        <v>#ERROR!</v>
      </c>
      <c r="Q271" s="278" t="str">
        <f>COUNTIFS([2]Errors!$B:$B, $C271, [2]Errors!$H:$H, Q$1)</f>
        <v>#ERROR!</v>
      </c>
      <c r="R271" s="278" t="str">
        <f>COUNTIFS([2]Errors!$B:$B, $C271, [2]Errors!$H:$H, R$1)</f>
        <v>#ERROR!</v>
      </c>
      <c r="S271" s="278" t="str">
        <f>COUNTIFS([2]Errors!$B:$B, $C271, [2]Errors!$H:$H, S$1)</f>
        <v>#ERROR!</v>
      </c>
      <c r="T271" s="278" t="str">
        <f>COUNTIFS([2]Errors!$B:$B, $C271, [2]Errors!$H:$H, T$1)</f>
        <v>#ERROR!</v>
      </c>
      <c r="U271" s="278" t="str">
        <f>COUNTIFS([2]Errors!$B:$B, $C271, [2]Errors!$H:$H, U$1)</f>
        <v>#ERROR!</v>
      </c>
      <c r="V271" s="278" t="str">
        <f>COUNTIFS([2]Errors!$B:$B, $C271, [2]Errors!$H:$H, V$1)</f>
        <v>#ERROR!</v>
      </c>
      <c r="W271" s="278" t="str">
        <f>COUNTIFS([2]Errors!$B:$B, $C271, [2]Errors!$H:$H, W$1)</f>
        <v>#ERROR!</v>
      </c>
      <c r="X271" s="278" t="str">
        <f>COUNTIFS([2]Errors!$B:$B, $C271, [2]Errors!$H:$H, X$1)</f>
        <v>#ERROR!</v>
      </c>
    </row>
    <row r="272" ht="15.75" customHeight="1">
      <c r="A272" s="325">
        <v>0.0</v>
      </c>
      <c r="B272" s="325" t="str">
        <f>SourceData!K272</f>
        <v/>
      </c>
      <c r="C272" s="294" t="str">
        <f>SourceData!J270</f>
        <v/>
      </c>
      <c r="D272" s="298">
        <f>(COUNTIF(Errors!$B$3:$B$3010,'[1]Error Count Analysis'!C272))-((COUNTIFS(Errors!$B$3:$B$3010,'[1]Error Count Analysis'!C272, (Errors!$I$3:$I$3010),"TV*")))</f>
        <v>0</v>
      </c>
      <c r="E272" s="325" t="str">
        <f t="shared" si="1"/>
        <v>#DIV/0!</v>
      </c>
      <c r="F272" s="278" t="str">
        <f>COUNTIFS([2]Errors!$B:$B, $C272, [2]Errors!$H:$H, F$1)</f>
        <v>#ERROR!</v>
      </c>
      <c r="G272" s="278" t="str">
        <f>COUNTIFS([2]Errors!$B:$B, $C272, [2]Errors!$H:$H, G$1)</f>
        <v>#ERROR!</v>
      </c>
      <c r="H272" s="278" t="str">
        <f>COUNTIFS([2]Errors!$B:$B, $C272, [2]Errors!$H:$H, H$1)</f>
        <v>#ERROR!</v>
      </c>
      <c r="I272" s="278" t="str">
        <f>COUNTIFS([2]Errors!$B:$B, $C272, [2]Errors!$H:$H, I$1)</f>
        <v>#ERROR!</v>
      </c>
      <c r="J272" s="278" t="str">
        <f>COUNTIFS([2]Errors!$B:$B, $C272, [2]Errors!$H:$H, J$1)</f>
        <v>#ERROR!</v>
      </c>
      <c r="K272" s="278" t="str">
        <f>COUNTIFS([2]Errors!$B:$B, $C272, [2]Errors!$H:$H, K$1)</f>
        <v>#ERROR!</v>
      </c>
      <c r="L272" s="278" t="str">
        <f>COUNTIFS([2]Errors!$B:$B, $C272, [2]Errors!$H:$H, L$1)</f>
        <v>#ERROR!</v>
      </c>
      <c r="M272" s="278" t="str">
        <f>COUNTIFS([2]Errors!$B:$B, $C272, [2]Errors!$H:$H, M$1)</f>
        <v>#ERROR!</v>
      </c>
      <c r="N272" s="298">
        <f>COUNTIFS(Errors!$B:$B, $C272, Errors!$I:$I, N$1)</f>
        <v>0</v>
      </c>
      <c r="O272" s="278" t="str">
        <f>COUNTIFS([2]Errors!$B:$B, $C272, [2]Errors!$H:$H, O$1)</f>
        <v>#ERROR!</v>
      </c>
      <c r="P272" s="278" t="str">
        <f>COUNTIFS([2]Errors!$B:$B, $C272, [2]Errors!$H:$H, P$1)</f>
        <v>#ERROR!</v>
      </c>
      <c r="Q272" s="278" t="str">
        <f>COUNTIFS([2]Errors!$B:$B, $C272, [2]Errors!$H:$H, Q$1)</f>
        <v>#ERROR!</v>
      </c>
      <c r="R272" s="278" t="str">
        <f>COUNTIFS([2]Errors!$B:$B, $C272, [2]Errors!$H:$H, R$1)</f>
        <v>#ERROR!</v>
      </c>
      <c r="S272" s="278" t="str">
        <f>COUNTIFS([2]Errors!$B:$B, $C272, [2]Errors!$H:$H, S$1)</f>
        <v>#ERROR!</v>
      </c>
      <c r="T272" s="278" t="str">
        <f>COUNTIFS([2]Errors!$B:$B, $C272, [2]Errors!$H:$H, T$1)</f>
        <v>#ERROR!</v>
      </c>
      <c r="U272" s="278" t="str">
        <f>COUNTIFS([2]Errors!$B:$B, $C272, [2]Errors!$H:$H, U$1)</f>
        <v>#ERROR!</v>
      </c>
      <c r="V272" s="278" t="str">
        <f>COUNTIFS([2]Errors!$B:$B, $C272, [2]Errors!$H:$H, V$1)</f>
        <v>#ERROR!</v>
      </c>
      <c r="W272" s="278" t="str">
        <f>COUNTIFS([2]Errors!$B:$B, $C272, [2]Errors!$H:$H, W$1)</f>
        <v>#ERROR!</v>
      </c>
      <c r="X272" s="278" t="str">
        <f>COUNTIFS([2]Errors!$B:$B, $C272, [2]Errors!$H:$H, X$1)</f>
        <v>#ERROR!</v>
      </c>
    </row>
    <row r="273" ht="15.75" customHeight="1">
      <c r="A273" s="305">
        <v>0.0</v>
      </c>
      <c r="B273" s="325" t="str">
        <f>SourceData!K273</f>
        <v/>
      </c>
      <c r="C273" s="305" t="str">
        <f>SourceData!J272</f>
        <v/>
      </c>
      <c r="D273" s="298">
        <f>(COUNTIF(Errors!$B$3:$B$3010,'[1]Error Count Analysis'!C273))-((COUNTIFS(Errors!$B$3:$B$3010,'[1]Error Count Analysis'!C273, (Errors!$I$3:$I$3010),"TV*")))</f>
        <v>0</v>
      </c>
      <c r="E273" s="305" t="str">
        <f t="shared" si="1"/>
        <v>#DIV/0!</v>
      </c>
      <c r="F273" s="278" t="str">
        <f>COUNTIFS([2]Errors!$B:$B, $C273, [2]Errors!$H:$H, F$1)</f>
        <v>#ERROR!</v>
      </c>
      <c r="G273" s="278" t="str">
        <f>COUNTIFS([2]Errors!$B:$B, $C273, [2]Errors!$H:$H, G$1)</f>
        <v>#ERROR!</v>
      </c>
      <c r="H273" s="278" t="str">
        <f>COUNTIFS([2]Errors!$B:$B, $C273, [2]Errors!$H:$H, H$1)</f>
        <v>#ERROR!</v>
      </c>
      <c r="I273" s="278" t="str">
        <f>COUNTIFS([2]Errors!$B:$B, $C273, [2]Errors!$H:$H, I$1)</f>
        <v>#ERROR!</v>
      </c>
      <c r="J273" s="278" t="str">
        <f>COUNTIFS([2]Errors!$B:$B, $C273, [2]Errors!$H:$H, J$1)</f>
        <v>#ERROR!</v>
      </c>
      <c r="K273" s="278" t="str">
        <f>COUNTIFS([2]Errors!$B:$B, $C273, [2]Errors!$H:$H, K$1)</f>
        <v>#ERROR!</v>
      </c>
      <c r="L273" s="278" t="str">
        <f>COUNTIFS([2]Errors!$B:$B, $C273, [2]Errors!$H:$H, L$1)</f>
        <v>#ERROR!</v>
      </c>
      <c r="M273" s="278" t="str">
        <f>COUNTIFS([2]Errors!$B:$B, $C273, [2]Errors!$H:$H, M$1)</f>
        <v>#ERROR!</v>
      </c>
      <c r="N273" s="309">
        <f>COUNTIFS(Errors!$B:$B, $C273, Errors!$I:$I, N$1)</f>
        <v>0</v>
      </c>
      <c r="O273" s="278" t="str">
        <f>COUNTIFS([2]Errors!$B:$B, $C273, [2]Errors!$H:$H, O$1)</f>
        <v>#ERROR!</v>
      </c>
      <c r="P273" s="278" t="str">
        <f>COUNTIFS([2]Errors!$B:$B, $C273, [2]Errors!$H:$H, P$1)</f>
        <v>#ERROR!</v>
      </c>
      <c r="Q273" s="278" t="str">
        <f>COUNTIFS([2]Errors!$B:$B, $C273, [2]Errors!$H:$H, Q$1)</f>
        <v>#ERROR!</v>
      </c>
      <c r="R273" s="278" t="str">
        <f>COUNTIFS([2]Errors!$B:$B, $C273, [2]Errors!$H:$H, R$1)</f>
        <v>#ERROR!</v>
      </c>
      <c r="S273" s="278" t="str">
        <f>COUNTIFS([2]Errors!$B:$B, $C273, [2]Errors!$H:$H, S$1)</f>
        <v>#ERROR!</v>
      </c>
      <c r="T273" s="278" t="str">
        <f>COUNTIFS([2]Errors!$B:$B, $C273, [2]Errors!$H:$H, T$1)</f>
        <v>#ERROR!</v>
      </c>
      <c r="U273" s="278" t="str">
        <f>COUNTIFS([2]Errors!$B:$B, $C273, [2]Errors!$H:$H, U$1)</f>
        <v>#ERROR!</v>
      </c>
      <c r="V273" s="278" t="str">
        <f>COUNTIFS([2]Errors!$B:$B, $C273, [2]Errors!$H:$H, V$1)</f>
        <v>#ERROR!</v>
      </c>
      <c r="W273" s="278" t="str">
        <f>COUNTIFS([2]Errors!$B:$B, $C273, [2]Errors!$H:$H, W$1)</f>
        <v>#ERROR!</v>
      </c>
      <c r="X273" s="278" t="str">
        <f>COUNTIFS([2]Errors!$B:$B, $C273, [2]Errors!$H:$H, X$1)</f>
        <v>#ERROR!</v>
      </c>
    </row>
    <row r="274" ht="15.75" customHeight="1">
      <c r="A274" s="325">
        <v>0.0</v>
      </c>
      <c r="B274" s="325" t="str">
        <f>SourceData!K274</f>
        <v/>
      </c>
      <c r="C274" s="294" t="str">
        <f>SourceData!J272</f>
        <v/>
      </c>
      <c r="D274" s="298">
        <f>(COUNTIF(Errors!$B$3:$B$3010,'[1]Error Count Analysis'!C274))-((COUNTIFS(Errors!$B$3:$B$3010,'[1]Error Count Analysis'!C274, (Errors!$I$3:$I$3010),"TV*")))</f>
        <v>0</v>
      </c>
      <c r="E274" s="325" t="str">
        <f t="shared" si="1"/>
        <v>#DIV/0!</v>
      </c>
      <c r="F274" s="278" t="str">
        <f>COUNTIFS([2]Errors!$B:$B, $C274, [2]Errors!$H:$H, F$1)</f>
        <v>#ERROR!</v>
      </c>
      <c r="G274" s="278" t="str">
        <f>COUNTIFS([2]Errors!$B:$B, $C274, [2]Errors!$H:$H, G$1)</f>
        <v>#ERROR!</v>
      </c>
      <c r="H274" s="278" t="str">
        <f>COUNTIFS([2]Errors!$B:$B, $C274, [2]Errors!$H:$H, H$1)</f>
        <v>#ERROR!</v>
      </c>
      <c r="I274" s="278" t="str">
        <f>COUNTIFS([2]Errors!$B:$B, $C274, [2]Errors!$H:$H, I$1)</f>
        <v>#ERROR!</v>
      </c>
      <c r="J274" s="278" t="str">
        <f>COUNTIFS([2]Errors!$B:$B, $C274, [2]Errors!$H:$H, J$1)</f>
        <v>#ERROR!</v>
      </c>
      <c r="K274" s="278" t="str">
        <f>COUNTIFS([2]Errors!$B:$B, $C274, [2]Errors!$H:$H, K$1)</f>
        <v>#ERROR!</v>
      </c>
      <c r="L274" s="278" t="str">
        <f>COUNTIFS([2]Errors!$B:$B, $C274, [2]Errors!$H:$H, L$1)</f>
        <v>#ERROR!</v>
      </c>
      <c r="M274" s="278" t="str">
        <f>COUNTIFS([2]Errors!$B:$B, $C274, [2]Errors!$H:$H, M$1)</f>
        <v>#ERROR!</v>
      </c>
      <c r="N274" s="298">
        <f>COUNTIFS(Errors!$B:$B, $C274, Errors!$I:$I, N$1)</f>
        <v>0</v>
      </c>
      <c r="O274" s="278" t="str">
        <f>COUNTIFS([2]Errors!$B:$B, $C274, [2]Errors!$H:$H, O$1)</f>
        <v>#ERROR!</v>
      </c>
      <c r="P274" s="278" t="str">
        <f>COUNTIFS([2]Errors!$B:$B, $C274, [2]Errors!$H:$H, P$1)</f>
        <v>#ERROR!</v>
      </c>
      <c r="Q274" s="278" t="str">
        <f>COUNTIFS([2]Errors!$B:$B, $C274, [2]Errors!$H:$H, Q$1)</f>
        <v>#ERROR!</v>
      </c>
      <c r="R274" s="278" t="str">
        <f>COUNTIFS([2]Errors!$B:$B, $C274, [2]Errors!$H:$H, R$1)</f>
        <v>#ERROR!</v>
      </c>
      <c r="S274" s="278" t="str">
        <f>COUNTIFS([2]Errors!$B:$B, $C274, [2]Errors!$H:$H, S$1)</f>
        <v>#ERROR!</v>
      </c>
      <c r="T274" s="278" t="str">
        <f>COUNTIFS([2]Errors!$B:$B, $C274, [2]Errors!$H:$H, T$1)</f>
        <v>#ERROR!</v>
      </c>
      <c r="U274" s="278" t="str">
        <f>COUNTIFS([2]Errors!$B:$B, $C274, [2]Errors!$H:$H, U$1)</f>
        <v>#ERROR!</v>
      </c>
      <c r="V274" s="278" t="str">
        <f>COUNTIFS([2]Errors!$B:$B, $C274, [2]Errors!$H:$H, V$1)</f>
        <v>#ERROR!</v>
      </c>
      <c r="W274" s="278" t="str">
        <f>COUNTIFS([2]Errors!$B:$B, $C274, [2]Errors!$H:$H, W$1)</f>
        <v>#ERROR!</v>
      </c>
      <c r="X274" s="278" t="str">
        <f>COUNTIFS([2]Errors!$B:$B, $C274, [2]Errors!$H:$H, X$1)</f>
        <v>#ERROR!</v>
      </c>
    </row>
    <row r="275" ht="15.75" customHeight="1">
      <c r="A275" s="305">
        <v>0.0</v>
      </c>
      <c r="B275" s="325" t="str">
        <f>SourceData!K275</f>
        <v/>
      </c>
      <c r="C275" s="305" t="str">
        <f>SourceData!J274</f>
        <v/>
      </c>
      <c r="D275" s="298">
        <f>(COUNTIF(Errors!$B$3:$B$3010,'[1]Error Count Analysis'!C275))-((COUNTIFS(Errors!$B$3:$B$3010,'[1]Error Count Analysis'!C275, (Errors!$I$3:$I$3010),"TV*")))</f>
        <v>0</v>
      </c>
      <c r="E275" s="305" t="str">
        <f t="shared" si="1"/>
        <v>#DIV/0!</v>
      </c>
      <c r="F275" s="278" t="str">
        <f>COUNTIFS([2]Errors!$B:$B, $C275, [2]Errors!$H:$H, F$1)</f>
        <v>#ERROR!</v>
      </c>
      <c r="G275" s="278" t="str">
        <f>COUNTIFS([2]Errors!$B:$B, $C275, [2]Errors!$H:$H, G$1)</f>
        <v>#ERROR!</v>
      </c>
      <c r="H275" s="278" t="str">
        <f>COUNTIFS([2]Errors!$B:$B, $C275, [2]Errors!$H:$H, H$1)</f>
        <v>#ERROR!</v>
      </c>
      <c r="I275" s="278" t="str">
        <f>COUNTIFS([2]Errors!$B:$B, $C275, [2]Errors!$H:$H, I$1)</f>
        <v>#ERROR!</v>
      </c>
      <c r="J275" s="278" t="str">
        <f>COUNTIFS([2]Errors!$B:$B, $C275, [2]Errors!$H:$H, J$1)</f>
        <v>#ERROR!</v>
      </c>
      <c r="K275" s="278" t="str">
        <f>COUNTIFS([2]Errors!$B:$B, $C275, [2]Errors!$H:$H, K$1)</f>
        <v>#ERROR!</v>
      </c>
      <c r="L275" s="278" t="str">
        <f>COUNTIFS([2]Errors!$B:$B, $C275, [2]Errors!$H:$H, L$1)</f>
        <v>#ERROR!</v>
      </c>
      <c r="M275" s="278" t="str">
        <f>COUNTIFS([2]Errors!$B:$B, $C275, [2]Errors!$H:$H, M$1)</f>
        <v>#ERROR!</v>
      </c>
      <c r="N275" s="309">
        <f>COUNTIFS(Errors!$B:$B, $C275, Errors!$I:$I, N$1)</f>
        <v>0</v>
      </c>
      <c r="O275" s="278" t="str">
        <f>COUNTIFS([2]Errors!$B:$B, $C275, [2]Errors!$H:$H, O$1)</f>
        <v>#ERROR!</v>
      </c>
      <c r="P275" s="278" t="str">
        <f>COUNTIFS([2]Errors!$B:$B, $C275, [2]Errors!$H:$H, P$1)</f>
        <v>#ERROR!</v>
      </c>
      <c r="Q275" s="278" t="str">
        <f>COUNTIFS([2]Errors!$B:$B, $C275, [2]Errors!$H:$H, Q$1)</f>
        <v>#ERROR!</v>
      </c>
      <c r="R275" s="278" t="str">
        <f>COUNTIFS([2]Errors!$B:$B, $C275, [2]Errors!$H:$H, R$1)</f>
        <v>#ERROR!</v>
      </c>
      <c r="S275" s="278" t="str">
        <f>COUNTIFS([2]Errors!$B:$B, $C275, [2]Errors!$H:$H, S$1)</f>
        <v>#ERROR!</v>
      </c>
      <c r="T275" s="278" t="str">
        <f>COUNTIFS([2]Errors!$B:$B, $C275, [2]Errors!$H:$H, T$1)</f>
        <v>#ERROR!</v>
      </c>
      <c r="U275" s="278" t="str">
        <f>COUNTIFS([2]Errors!$B:$B, $C275, [2]Errors!$H:$H, U$1)</f>
        <v>#ERROR!</v>
      </c>
      <c r="V275" s="278" t="str">
        <f>COUNTIFS([2]Errors!$B:$B, $C275, [2]Errors!$H:$H, V$1)</f>
        <v>#ERROR!</v>
      </c>
      <c r="W275" s="278" t="str">
        <f>COUNTIFS([2]Errors!$B:$B, $C275, [2]Errors!$H:$H, W$1)</f>
        <v>#ERROR!</v>
      </c>
      <c r="X275" s="278" t="str">
        <f>COUNTIFS([2]Errors!$B:$B, $C275, [2]Errors!$H:$H, X$1)</f>
        <v>#ERROR!</v>
      </c>
    </row>
    <row r="276" ht="15.75" customHeight="1">
      <c r="A276" s="325">
        <v>0.0</v>
      </c>
      <c r="B276" s="325" t="str">
        <f>SourceData!K276</f>
        <v/>
      </c>
      <c r="C276" s="294" t="str">
        <f>SourceData!J274</f>
        <v/>
      </c>
      <c r="D276" s="298">
        <f>(COUNTIF(Errors!$B$3:$B$3010,'[1]Error Count Analysis'!C276))-((COUNTIFS(Errors!$B$3:$B$3010,'[1]Error Count Analysis'!C276, (Errors!$I$3:$I$3010),"TV*")))</f>
        <v>0</v>
      </c>
      <c r="E276" s="325" t="str">
        <f t="shared" si="1"/>
        <v>#DIV/0!</v>
      </c>
      <c r="F276" s="278" t="str">
        <f>COUNTIFS([2]Errors!$B:$B, $C276, [2]Errors!$H:$H, F$1)</f>
        <v>#ERROR!</v>
      </c>
      <c r="G276" s="278" t="str">
        <f>COUNTIFS([2]Errors!$B:$B, $C276, [2]Errors!$H:$H, G$1)</f>
        <v>#ERROR!</v>
      </c>
      <c r="H276" s="278" t="str">
        <f>COUNTIFS([2]Errors!$B:$B, $C276, [2]Errors!$H:$H, H$1)</f>
        <v>#ERROR!</v>
      </c>
      <c r="I276" s="278" t="str">
        <f>COUNTIFS([2]Errors!$B:$B, $C276, [2]Errors!$H:$H, I$1)</f>
        <v>#ERROR!</v>
      </c>
      <c r="J276" s="278" t="str">
        <f>COUNTIFS([2]Errors!$B:$B, $C276, [2]Errors!$H:$H, J$1)</f>
        <v>#ERROR!</v>
      </c>
      <c r="K276" s="278" t="str">
        <f>COUNTIFS([2]Errors!$B:$B, $C276, [2]Errors!$H:$H, K$1)</f>
        <v>#ERROR!</v>
      </c>
      <c r="L276" s="278" t="str">
        <f>COUNTIFS([2]Errors!$B:$B, $C276, [2]Errors!$H:$H, L$1)</f>
        <v>#ERROR!</v>
      </c>
      <c r="M276" s="278" t="str">
        <f>COUNTIFS([2]Errors!$B:$B, $C276, [2]Errors!$H:$H, M$1)</f>
        <v>#ERROR!</v>
      </c>
      <c r="N276" s="298">
        <f>COUNTIFS(Errors!$B:$B, $C276, Errors!$I:$I, N$1)</f>
        <v>0</v>
      </c>
      <c r="O276" s="278" t="str">
        <f>COUNTIFS([2]Errors!$B:$B, $C276, [2]Errors!$H:$H, O$1)</f>
        <v>#ERROR!</v>
      </c>
      <c r="P276" s="278" t="str">
        <f>COUNTIFS([2]Errors!$B:$B, $C276, [2]Errors!$H:$H, P$1)</f>
        <v>#ERROR!</v>
      </c>
      <c r="Q276" s="278" t="str">
        <f>COUNTIFS([2]Errors!$B:$B, $C276, [2]Errors!$H:$H, Q$1)</f>
        <v>#ERROR!</v>
      </c>
      <c r="R276" s="278" t="str">
        <f>COUNTIFS([2]Errors!$B:$B, $C276, [2]Errors!$H:$H, R$1)</f>
        <v>#ERROR!</v>
      </c>
      <c r="S276" s="278" t="str">
        <f>COUNTIFS([2]Errors!$B:$B, $C276, [2]Errors!$H:$H, S$1)</f>
        <v>#ERROR!</v>
      </c>
      <c r="T276" s="278" t="str">
        <f>COUNTIFS([2]Errors!$B:$B, $C276, [2]Errors!$H:$H, T$1)</f>
        <v>#ERROR!</v>
      </c>
      <c r="U276" s="278" t="str">
        <f>COUNTIFS([2]Errors!$B:$B, $C276, [2]Errors!$H:$H, U$1)</f>
        <v>#ERROR!</v>
      </c>
      <c r="V276" s="278" t="str">
        <f>COUNTIFS([2]Errors!$B:$B, $C276, [2]Errors!$H:$H, V$1)</f>
        <v>#ERROR!</v>
      </c>
      <c r="W276" s="278" t="str">
        <f>COUNTIFS([2]Errors!$B:$B, $C276, [2]Errors!$H:$H, W$1)</f>
        <v>#ERROR!</v>
      </c>
      <c r="X276" s="278" t="str">
        <f>COUNTIFS([2]Errors!$B:$B, $C276, [2]Errors!$H:$H, X$1)</f>
        <v>#ERROR!</v>
      </c>
    </row>
    <row r="277" ht="15.75" customHeight="1">
      <c r="A277" s="305">
        <v>0.0</v>
      </c>
      <c r="B277" s="325" t="str">
        <f>SourceData!K277</f>
        <v/>
      </c>
      <c r="C277" s="305" t="str">
        <f>SourceData!J276</f>
        <v/>
      </c>
      <c r="D277" s="298">
        <f>(COUNTIF(Errors!$B$3:$B$3010,'[1]Error Count Analysis'!C277))-((COUNTIFS(Errors!$B$3:$B$3010,'[1]Error Count Analysis'!C277, (Errors!$I$3:$I$3010),"TV*")))</f>
        <v>0</v>
      </c>
      <c r="E277" s="305" t="str">
        <f t="shared" si="1"/>
        <v>#DIV/0!</v>
      </c>
      <c r="F277" s="278" t="str">
        <f>COUNTIFS([2]Errors!$B:$B, $C277, [2]Errors!$H:$H, F$1)</f>
        <v>#ERROR!</v>
      </c>
      <c r="G277" s="278" t="str">
        <f>COUNTIFS([2]Errors!$B:$B, $C277, [2]Errors!$H:$H, G$1)</f>
        <v>#ERROR!</v>
      </c>
      <c r="H277" s="278" t="str">
        <f>COUNTIFS([2]Errors!$B:$B, $C277, [2]Errors!$H:$H, H$1)</f>
        <v>#ERROR!</v>
      </c>
      <c r="I277" s="278" t="str">
        <f>COUNTIFS([2]Errors!$B:$B, $C277, [2]Errors!$H:$H, I$1)</f>
        <v>#ERROR!</v>
      </c>
      <c r="J277" s="278" t="str">
        <f>COUNTIFS([2]Errors!$B:$B, $C277, [2]Errors!$H:$H, J$1)</f>
        <v>#ERROR!</v>
      </c>
      <c r="K277" s="278" t="str">
        <f>COUNTIFS([2]Errors!$B:$B, $C277, [2]Errors!$H:$H, K$1)</f>
        <v>#ERROR!</v>
      </c>
      <c r="L277" s="278" t="str">
        <f>COUNTIFS([2]Errors!$B:$B, $C277, [2]Errors!$H:$H, L$1)</f>
        <v>#ERROR!</v>
      </c>
      <c r="M277" s="278" t="str">
        <f>COUNTIFS([2]Errors!$B:$B, $C277, [2]Errors!$H:$H, M$1)</f>
        <v>#ERROR!</v>
      </c>
      <c r="N277" s="309">
        <f>COUNTIFS(Errors!$B:$B, $C277, Errors!$I:$I, N$1)</f>
        <v>0</v>
      </c>
      <c r="O277" s="278" t="str">
        <f>COUNTIFS([2]Errors!$B:$B, $C277, [2]Errors!$H:$H, O$1)</f>
        <v>#ERROR!</v>
      </c>
      <c r="P277" s="278" t="str">
        <f>COUNTIFS([2]Errors!$B:$B, $C277, [2]Errors!$H:$H, P$1)</f>
        <v>#ERROR!</v>
      </c>
      <c r="Q277" s="278" t="str">
        <f>COUNTIFS([2]Errors!$B:$B, $C277, [2]Errors!$H:$H, Q$1)</f>
        <v>#ERROR!</v>
      </c>
      <c r="R277" s="278" t="str">
        <f>COUNTIFS([2]Errors!$B:$B, $C277, [2]Errors!$H:$H, R$1)</f>
        <v>#ERROR!</v>
      </c>
      <c r="S277" s="278" t="str">
        <f>COUNTIFS([2]Errors!$B:$B, $C277, [2]Errors!$H:$H, S$1)</f>
        <v>#ERROR!</v>
      </c>
      <c r="T277" s="278" t="str">
        <f>COUNTIFS([2]Errors!$B:$B, $C277, [2]Errors!$H:$H, T$1)</f>
        <v>#ERROR!</v>
      </c>
      <c r="U277" s="278" t="str">
        <f>COUNTIFS([2]Errors!$B:$B, $C277, [2]Errors!$H:$H, U$1)</f>
        <v>#ERROR!</v>
      </c>
      <c r="V277" s="278" t="str">
        <f>COUNTIFS([2]Errors!$B:$B, $C277, [2]Errors!$H:$H, V$1)</f>
        <v>#ERROR!</v>
      </c>
      <c r="W277" s="278" t="str">
        <f>COUNTIFS([2]Errors!$B:$B, $C277, [2]Errors!$H:$H, W$1)</f>
        <v>#ERROR!</v>
      </c>
      <c r="X277" s="278" t="str">
        <f>COUNTIFS([2]Errors!$B:$B, $C277, [2]Errors!$H:$H, X$1)</f>
        <v>#ERROR!</v>
      </c>
    </row>
    <row r="278" ht="15.75" customHeight="1">
      <c r="A278" s="325">
        <v>0.0</v>
      </c>
      <c r="B278" s="325" t="str">
        <f>SourceData!K278</f>
        <v/>
      </c>
      <c r="C278" s="294" t="str">
        <f>SourceData!J276</f>
        <v/>
      </c>
      <c r="D278" s="298">
        <f>(COUNTIF(Errors!$B$3:$B$3010,'[1]Error Count Analysis'!C278))-((COUNTIFS(Errors!$B$3:$B$3010,'[1]Error Count Analysis'!C278, (Errors!$I$3:$I$3010),"TV*")))</f>
        <v>0</v>
      </c>
      <c r="E278" s="325" t="str">
        <f t="shared" si="1"/>
        <v>#DIV/0!</v>
      </c>
      <c r="F278" s="278" t="str">
        <f>COUNTIFS([2]Errors!$B:$B, $C278, [2]Errors!$H:$H, F$1)</f>
        <v>#ERROR!</v>
      </c>
      <c r="G278" s="278" t="str">
        <f>COUNTIFS([2]Errors!$B:$B, $C278, [2]Errors!$H:$H, G$1)</f>
        <v>#ERROR!</v>
      </c>
      <c r="H278" s="278" t="str">
        <f>COUNTIFS([2]Errors!$B:$B, $C278, [2]Errors!$H:$H, H$1)</f>
        <v>#ERROR!</v>
      </c>
      <c r="I278" s="278" t="str">
        <f>COUNTIFS([2]Errors!$B:$B, $C278, [2]Errors!$H:$H, I$1)</f>
        <v>#ERROR!</v>
      </c>
      <c r="J278" s="278" t="str">
        <f>COUNTIFS([2]Errors!$B:$B, $C278, [2]Errors!$H:$H, J$1)</f>
        <v>#ERROR!</v>
      </c>
      <c r="K278" s="278" t="str">
        <f>COUNTIFS([2]Errors!$B:$B, $C278, [2]Errors!$H:$H, K$1)</f>
        <v>#ERROR!</v>
      </c>
      <c r="L278" s="278" t="str">
        <f>COUNTIFS([2]Errors!$B:$B, $C278, [2]Errors!$H:$H, L$1)</f>
        <v>#ERROR!</v>
      </c>
      <c r="M278" s="278" t="str">
        <f>COUNTIFS([2]Errors!$B:$B, $C278, [2]Errors!$H:$H, M$1)</f>
        <v>#ERROR!</v>
      </c>
      <c r="N278" s="298">
        <f>COUNTIFS(Errors!$B:$B, $C278, Errors!$I:$I, N$1)</f>
        <v>0</v>
      </c>
      <c r="O278" s="278" t="str">
        <f>COUNTIFS([2]Errors!$B:$B, $C278, [2]Errors!$H:$H, O$1)</f>
        <v>#ERROR!</v>
      </c>
      <c r="P278" s="278" t="str">
        <f>COUNTIFS([2]Errors!$B:$B, $C278, [2]Errors!$H:$H, P$1)</f>
        <v>#ERROR!</v>
      </c>
      <c r="Q278" s="278" t="str">
        <f>COUNTIFS([2]Errors!$B:$B, $C278, [2]Errors!$H:$H, Q$1)</f>
        <v>#ERROR!</v>
      </c>
      <c r="R278" s="278" t="str">
        <f>COUNTIFS([2]Errors!$B:$B, $C278, [2]Errors!$H:$H, R$1)</f>
        <v>#ERROR!</v>
      </c>
      <c r="S278" s="278" t="str">
        <f>COUNTIFS([2]Errors!$B:$B, $C278, [2]Errors!$H:$H, S$1)</f>
        <v>#ERROR!</v>
      </c>
      <c r="T278" s="278" t="str">
        <f>COUNTIFS([2]Errors!$B:$B, $C278, [2]Errors!$H:$H, T$1)</f>
        <v>#ERROR!</v>
      </c>
      <c r="U278" s="278" t="str">
        <f>COUNTIFS([2]Errors!$B:$B, $C278, [2]Errors!$H:$H, U$1)</f>
        <v>#ERROR!</v>
      </c>
      <c r="V278" s="278" t="str">
        <f>COUNTIFS([2]Errors!$B:$B, $C278, [2]Errors!$H:$H, V$1)</f>
        <v>#ERROR!</v>
      </c>
      <c r="W278" s="278" t="str">
        <f>COUNTIFS([2]Errors!$B:$B, $C278, [2]Errors!$H:$H, W$1)</f>
        <v>#ERROR!</v>
      </c>
      <c r="X278" s="278" t="str">
        <f>COUNTIFS([2]Errors!$B:$B, $C278, [2]Errors!$H:$H, X$1)</f>
        <v>#ERROR!</v>
      </c>
    </row>
    <row r="279" ht="15.75" customHeight="1">
      <c r="A279" s="305">
        <v>0.0</v>
      </c>
      <c r="B279" s="325" t="str">
        <f>SourceData!K279</f>
        <v/>
      </c>
      <c r="C279" s="305" t="str">
        <f>SourceData!J278</f>
        <v/>
      </c>
      <c r="D279" s="298">
        <f>(COUNTIF(Errors!$B$3:$B$3010,'[1]Error Count Analysis'!C279))-((COUNTIFS(Errors!$B$3:$B$3010,'[1]Error Count Analysis'!C279, (Errors!$I$3:$I$3010),"TV*")))</f>
        <v>0</v>
      </c>
      <c r="E279" s="305" t="str">
        <f t="shared" si="1"/>
        <v>#DIV/0!</v>
      </c>
      <c r="F279" s="278" t="str">
        <f>COUNTIFS([2]Errors!$B:$B, $C279, [2]Errors!$H:$H, F$1)</f>
        <v>#ERROR!</v>
      </c>
      <c r="G279" s="278" t="str">
        <f>COUNTIFS([2]Errors!$B:$B, $C279, [2]Errors!$H:$H, G$1)</f>
        <v>#ERROR!</v>
      </c>
      <c r="H279" s="278" t="str">
        <f>COUNTIFS([2]Errors!$B:$B, $C279, [2]Errors!$H:$H, H$1)</f>
        <v>#ERROR!</v>
      </c>
      <c r="I279" s="278" t="str">
        <f>COUNTIFS([2]Errors!$B:$B, $C279, [2]Errors!$H:$H, I$1)</f>
        <v>#ERROR!</v>
      </c>
      <c r="J279" s="278" t="str">
        <f>COUNTIFS([2]Errors!$B:$B, $C279, [2]Errors!$H:$H, J$1)</f>
        <v>#ERROR!</v>
      </c>
      <c r="K279" s="278" t="str">
        <f>COUNTIFS([2]Errors!$B:$B, $C279, [2]Errors!$H:$H, K$1)</f>
        <v>#ERROR!</v>
      </c>
      <c r="L279" s="278" t="str">
        <f>COUNTIFS([2]Errors!$B:$B, $C279, [2]Errors!$H:$H, L$1)</f>
        <v>#ERROR!</v>
      </c>
      <c r="M279" s="278" t="str">
        <f>COUNTIFS([2]Errors!$B:$B, $C279, [2]Errors!$H:$H, M$1)</f>
        <v>#ERROR!</v>
      </c>
      <c r="N279" s="309">
        <f>COUNTIFS(Errors!$B:$B, $C279, Errors!$I:$I, N$1)</f>
        <v>0</v>
      </c>
      <c r="O279" s="278" t="str">
        <f>COUNTIFS([2]Errors!$B:$B, $C279, [2]Errors!$H:$H, O$1)</f>
        <v>#ERROR!</v>
      </c>
      <c r="P279" s="278" t="str">
        <f>COUNTIFS([2]Errors!$B:$B, $C279, [2]Errors!$H:$H, P$1)</f>
        <v>#ERROR!</v>
      </c>
      <c r="Q279" s="278" t="str">
        <f>COUNTIFS([2]Errors!$B:$B, $C279, [2]Errors!$H:$H, Q$1)</f>
        <v>#ERROR!</v>
      </c>
      <c r="R279" s="278" t="str">
        <f>COUNTIFS([2]Errors!$B:$B, $C279, [2]Errors!$H:$H, R$1)</f>
        <v>#ERROR!</v>
      </c>
      <c r="S279" s="278" t="str">
        <f>COUNTIFS([2]Errors!$B:$B, $C279, [2]Errors!$H:$H, S$1)</f>
        <v>#ERROR!</v>
      </c>
      <c r="T279" s="278" t="str">
        <f>COUNTIFS([2]Errors!$B:$B, $C279, [2]Errors!$H:$H, T$1)</f>
        <v>#ERROR!</v>
      </c>
      <c r="U279" s="278" t="str">
        <f>COUNTIFS([2]Errors!$B:$B, $C279, [2]Errors!$H:$H, U$1)</f>
        <v>#ERROR!</v>
      </c>
      <c r="V279" s="278" t="str">
        <f>COUNTIFS([2]Errors!$B:$B, $C279, [2]Errors!$H:$H, V$1)</f>
        <v>#ERROR!</v>
      </c>
      <c r="W279" s="278" t="str">
        <f>COUNTIFS([2]Errors!$B:$B, $C279, [2]Errors!$H:$H, W$1)</f>
        <v>#ERROR!</v>
      </c>
      <c r="X279" s="278" t="str">
        <f>COUNTIFS([2]Errors!$B:$B, $C279, [2]Errors!$H:$H, X$1)</f>
        <v>#ERROR!</v>
      </c>
    </row>
    <row r="280" ht="15.75" customHeight="1">
      <c r="A280" s="325">
        <v>0.0</v>
      </c>
      <c r="B280" s="325" t="str">
        <f>SourceData!K280</f>
        <v/>
      </c>
      <c r="C280" s="294" t="str">
        <f>SourceData!J278</f>
        <v/>
      </c>
      <c r="D280" s="298">
        <f>(COUNTIF(Errors!$B$3:$B$3010,'[1]Error Count Analysis'!C280))-((COUNTIFS(Errors!$B$3:$B$3010,'[1]Error Count Analysis'!C280, (Errors!$I$3:$I$3010),"TV*")))</f>
        <v>0</v>
      </c>
      <c r="E280" s="325" t="str">
        <f t="shared" si="1"/>
        <v>#DIV/0!</v>
      </c>
      <c r="F280" s="278" t="str">
        <f>COUNTIFS([2]Errors!$B:$B, $C280, [2]Errors!$H:$H, F$1)</f>
        <v>#ERROR!</v>
      </c>
      <c r="G280" s="278" t="str">
        <f>COUNTIFS([2]Errors!$B:$B, $C280, [2]Errors!$H:$H, G$1)</f>
        <v>#ERROR!</v>
      </c>
      <c r="H280" s="278" t="str">
        <f>COUNTIFS([2]Errors!$B:$B, $C280, [2]Errors!$H:$H, H$1)</f>
        <v>#ERROR!</v>
      </c>
      <c r="I280" s="278" t="str">
        <f>COUNTIFS([2]Errors!$B:$B, $C280, [2]Errors!$H:$H, I$1)</f>
        <v>#ERROR!</v>
      </c>
      <c r="J280" s="278" t="str">
        <f>COUNTIFS([2]Errors!$B:$B, $C280, [2]Errors!$H:$H, J$1)</f>
        <v>#ERROR!</v>
      </c>
      <c r="K280" s="278" t="str">
        <f>COUNTIFS([2]Errors!$B:$B, $C280, [2]Errors!$H:$H, K$1)</f>
        <v>#ERROR!</v>
      </c>
      <c r="L280" s="278" t="str">
        <f>COUNTIFS([2]Errors!$B:$B, $C280, [2]Errors!$H:$H, L$1)</f>
        <v>#ERROR!</v>
      </c>
      <c r="M280" s="278" t="str">
        <f>COUNTIFS([2]Errors!$B:$B, $C280, [2]Errors!$H:$H, M$1)</f>
        <v>#ERROR!</v>
      </c>
      <c r="N280" s="298">
        <f>COUNTIFS(Errors!$B:$B, $C280, Errors!$I:$I, N$1)</f>
        <v>0</v>
      </c>
      <c r="O280" s="278" t="str">
        <f>COUNTIFS([2]Errors!$B:$B, $C280, [2]Errors!$H:$H, O$1)</f>
        <v>#ERROR!</v>
      </c>
      <c r="P280" s="278" t="str">
        <f>COUNTIFS([2]Errors!$B:$B, $C280, [2]Errors!$H:$H, P$1)</f>
        <v>#ERROR!</v>
      </c>
      <c r="Q280" s="278" t="str">
        <f>COUNTIFS([2]Errors!$B:$B, $C280, [2]Errors!$H:$H, Q$1)</f>
        <v>#ERROR!</v>
      </c>
      <c r="R280" s="278" t="str">
        <f>COUNTIFS([2]Errors!$B:$B, $C280, [2]Errors!$H:$H, R$1)</f>
        <v>#ERROR!</v>
      </c>
      <c r="S280" s="278" t="str">
        <f>COUNTIFS([2]Errors!$B:$B, $C280, [2]Errors!$H:$H, S$1)</f>
        <v>#ERROR!</v>
      </c>
      <c r="T280" s="278" t="str">
        <f>COUNTIFS([2]Errors!$B:$B, $C280, [2]Errors!$H:$H, T$1)</f>
        <v>#ERROR!</v>
      </c>
      <c r="U280" s="278" t="str">
        <f>COUNTIFS([2]Errors!$B:$B, $C280, [2]Errors!$H:$H, U$1)</f>
        <v>#ERROR!</v>
      </c>
      <c r="V280" s="278" t="str">
        <f>COUNTIFS([2]Errors!$B:$B, $C280, [2]Errors!$H:$H, V$1)</f>
        <v>#ERROR!</v>
      </c>
      <c r="W280" s="278" t="str">
        <f>COUNTIFS([2]Errors!$B:$B, $C280, [2]Errors!$H:$H, W$1)</f>
        <v>#ERROR!</v>
      </c>
      <c r="X280" s="278" t="str">
        <f>COUNTIFS([2]Errors!$B:$B, $C280, [2]Errors!$H:$H, X$1)</f>
        <v>#ERROR!</v>
      </c>
    </row>
    <row r="281" ht="15.75" customHeight="1">
      <c r="A281" s="305">
        <v>0.0</v>
      </c>
      <c r="B281" s="325" t="str">
        <f>SourceData!K281</f>
        <v/>
      </c>
      <c r="C281" s="305" t="str">
        <f>SourceData!J280</f>
        <v/>
      </c>
      <c r="D281" s="298">
        <f>(COUNTIF(Errors!$B$3:$B$3010,'[1]Error Count Analysis'!C281))-((COUNTIFS(Errors!$B$3:$B$3010,'[1]Error Count Analysis'!C281, (Errors!$I$3:$I$3010),"TV*")))</f>
        <v>0</v>
      </c>
      <c r="E281" s="305" t="str">
        <f t="shared" si="1"/>
        <v>#DIV/0!</v>
      </c>
      <c r="F281" s="278" t="str">
        <f>COUNTIFS([2]Errors!$B:$B, $C281, [2]Errors!$H:$H, F$1)</f>
        <v>#ERROR!</v>
      </c>
      <c r="G281" s="278" t="str">
        <f>COUNTIFS([2]Errors!$B:$B, $C281, [2]Errors!$H:$H, G$1)</f>
        <v>#ERROR!</v>
      </c>
      <c r="H281" s="278" t="str">
        <f>COUNTIFS([2]Errors!$B:$B, $C281, [2]Errors!$H:$H, H$1)</f>
        <v>#ERROR!</v>
      </c>
      <c r="I281" s="278" t="str">
        <f>COUNTIFS([2]Errors!$B:$B, $C281, [2]Errors!$H:$H, I$1)</f>
        <v>#ERROR!</v>
      </c>
      <c r="J281" s="278" t="str">
        <f>COUNTIFS([2]Errors!$B:$B, $C281, [2]Errors!$H:$H, J$1)</f>
        <v>#ERROR!</v>
      </c>
      <c r="K281" s="278" t="str">
        <f>COUNTIFS([2]Errors!$B:$B, $C281, [2]Errors!$H:$H, K$1)</f>
        <v>#ERROR!</v>
      </c>
      <c r="L281" s="278" t="str">
        <f>COUNTIFS([2]Errors!$B:$B, $C281, [2]Errors!$H:$H, L$1)</f>
        <v>#ERROR!</v>
      </c>
      <c r="M281" s="278" t="str">
        <f>COUNTIFS([2]Errors!$B:$B, $C281, [2]Errors!$H:$H, M$1)</f>
        <v>#ERROR!</v>
      </c>
      <c r="N281" s="309">
        <f>COUNTIFS(Errors!$B:$B, $C281, Errors!$I:$I, N$1)</f>
        <v>0</v>
      </c>
      <c r="O281" s="278" t="str">
        <f>COUNTIFS([2]Errors!$B:$B, $C281, [2]Errors!$H:$H, O$1)</f>
        <v>#ERROR!</v>
      </c>
      <c r="P281" s="278" t="str">
        <f>COUNTIFS([2]Errors!$B:$B, $C281, [2]Errors!$H:$H, P$1)</f>
        <v>#ERROR!</v>
      </c>
      <c r="Q281" s="278" t="str">
        <f>COUNTIFS([2]Errors!$B:$B, $C281, [2]Errors!$H:$H, Q$1)</f>
        <v>#ERROR!</v>
      </c>
      <c r="R281" s="278" t="str">
        <f>COUNTIFS([2]Errors!$B:$B, $C281, [2]Errors!$H:$H, R$1)</f>
        <v>#ERROR!</v>
      </c>
      <c r="S281" s="278" t="str">
        <f>COUNTIFS([2]Errors!$B:$B, $C281, [2]Errors!$H:$H, S$1)</f>
        <v>#ERROR!</v>
      </c>
      <c r="T281" s="278" t="str">
        <f>COUNTIFS([2]Errors!$B:$B, $C281, [2]Errors!$H:$H, T$1)</f>
        <v>#ERROR!</v>
      </c>
      <c r="U281" s="278" t="str">
        <f>COUNTIFS([2]Errors!$B:$B, $C281, [2]Errors!$H:$H, U$1)</f>
        <v>#ERROR!</v>
      </c>
      <c r="V281" s="278" t="str">
        <f>COUNTIFS([2]Errors!$B:$B, $C281, [2]Errors!$H:$H, V$1)</f>
        <v>#ERROR!</v>
      </c>
      <c r="W281" s="278" t="str">
        <f>COUNTIFS([2]Errors!$B:$B, $C281, [2]Errors!$H:$H, W$1)</f>
        <v>#ERROR!</v>
      </c>
      <c r="X281" s="278" t="str">
        <f>COUNTIFS([2]Errors!$B:$B, $C281, [2]Errors!$H:$H, X$1)</f>
        <v>#ERROR!</v>
      </c>
    </row>
    <row r="282" ht="15.75" customHeight="1">
      <c r="A282" s="325">
        <v>0.0</v>
      </c>
      <c r="B282" s="325" t="str">
        <f>SourceData!K282</f>
        <v/>
      </c>
      <c r="C282" s="294" t="str">
        <f>SourceData!J280</f>
        <v/>
      </c>
      <c r="D282" s="298">
        <f>(COUNTIF(Errors!$B$3:$B$3010,'[1]Error Count Analysis'!C282))-((COUNTIFS(Errors!$B$3:$B$3010,'[1]Error Count Analysis'!C282, (Errors!$I$3:$I$3010),"TV*")))</f>
        <v>0</v>
      </c>
      <c r="E282" s="325" t="str">
        <f t="shared" si="1"/>
        <v>#DIV/0!</v>
      </c>
      <c r="F282" s="278" t="str">
        <f>COUNTIFS([2]Errors!$B:$B, $C282, [2]Errors!$H:$H, F$1)</f>
        <v>#ERROR!</v>
      </c>
      <c r="G282" s="278" t="str">
        <f>COUNTIFS([2]Errors!$B:$B, $C282, [2]Errors!$H:$H, G$1)</f>
        <v>#ERROR!</v>
      </c>
      <c r="H282" s="278" t="str">
        <f>COUNTIFS([2]Errors!$B:$B, $C282, [2]Errors!$H:$H, H$1)</f>
        <v>#ERROR!</v>
      </c>
      <c r="I282" s="278" t="str">
        <f>COUNTIFS([2]Errors!$B:$B, $C282, [2]Errors!$H:$H, I$1)</f>
        <v>#ERROR!</v>
      </c>
      <c r="J282" s="278" t="str">
        <f>COUNTIFS([2]Errors!$B:$B, $C282, [2]Errors!$H:$H, J$1)</f>
        <v>#ERROR!</v>
      </c>
      <c r="K282" s="278" t="str">
        <f>COUNTIFS([2]Errors!$B:$B, $C282, [2]Errors!$H:$H, K$1)</f>
        <v>#ERROR!</v>
      </c>
      <c r="L282" s="278" t="str">
        <f>COUNTIFS([2]Errors!$B:$B, $C282, [2]Errors!$H:$H, L$1)</f>
        <v>#ERROR!</v>
      </c>
      <c r="M282" s="278" t="str">
        <f>COUNTIFS([2]Errors!$B:$B, $C282, [2]Errors!$H:$H, M$1)</f>
        <v>#ERROR!</v>
      </c>
      <c r="N282" s="298">
        <f>COUNTIFS(Errors!$B:$B, $C282, Errors!$I:$I, N$1)</f>
        <v>0</v>
      </c>
      <c r="O282" s="278" t="str">
        <f>COUNTIFS([2]Errors!$B:$B, $C282, [2]Errors!$H:$H, O$1)</f>
        <v>#ERROR!</v>
      </c>
      <c r="P282" s="278" t="str">
        <f>COUNTIFS([2]Errors!$B:$B, $C282, [2]Errors!$H:$H, P$1)</f>
        <v>#ERROR!</v>
      </c>
      <c r="Q282" s="278" t="str">
        <f>COUNTIFS([2]Errors!$B:$B, $C282, [2]Errors!$H:$H, Q$1)</f>
        <v>#ERROR!</v>
      </c>
      <c r="R282" s="278" t="str">
        <f>COUNTIFS([2]Errors!$B:$B, $C282, [2]Errors!$H:$H, R$1)</f>
        <v>#ERROR!</v>
      </c>
      <c r="S282" s="278" t="str">
        <f>COUNTIFS([2]Errors!$B:$B, $C282, [2]Errors!$H:$H, S$1)</f>
        <v>#ERROR!</v>
      </c>
      <c r="T282" s="278" t="str">
        <f>COUNTIFS([2]Errors!$B:$B, $C282, [2]Errors!$H:$H, T$1)</f>
        <v>#ERROR!</v>
      </c>
      <c r="U282" s="278" t="str">
        <f>COUNTIFS([2]Errors!$B:$B, $C282, [2]Errors!$H:$H, U$1)</f>
        <v>#ERROR!</v>
      </c>
      <c r="V282" s="278" t="str">
        <f>COUNTIFS([2]Errors!$B:$B, $C282, [2]Errors!$H:$H, V$1)</f>
        <v>#ERROR!</v>
      </c>
      <c r="W282" s="278" t="str">
        <f>COUNTIFS([2]Errors!$B:$B, $C282, [2]Errors!$H:$H, W$1)</f>
        <v>#ERROR!</v>
      </c>
      <c r="X282" s="278" t="str">
        <f>COUNTIFS([2]Errors!$B:$B, $C282, [2]Errors!$H:$H, X$1)</f>
        <v>#ERROR!</v>
      </c>
    </row>
    <row r="283" ht="15.75" customHeight="1">
      <c r="A283" s="305">
        <v>0.0</v>
      </c>
      <c r="B283" s="325" t="str">
        <f>SourceData!K283</f>
        <v/>
      </c>
      <c r="C283" s="305" t="str">
        <f>SourceData!J282</f>
        <v/>
      </c>
      <c r="D283" s="298">
        <f>(COUNTIF(Errors!$B$3:$B$3010,'[1]Error Count Analysis'!C283))-((COUNTIFS(Errors!$B$3:$B$3010,'[1]Error Count Analysis'!C283, (Errors!$I$3:$I$3010),"TV*")))</f>
        <v>0</v>
      </c>
      <c r="E283" s="305" t="str">
        <f t="shared" si="1"/>
        <v>#DIV/0!</v>
      </c>
      <c r="F283" s="278" t="str">
        <f>COUNTIFS([2]Errors!$B:$B, $C283, [2]Errors!$H:$H, F$1)</f>
        <v>#ERROR!</v>
      </c>
      <c r="G283" s="278" t="str">
        <f>COUNTIFS([2]Errors!$B:$B, $C283, [2]Errors!$H:$H, G$1)</f>
        <v>#ERROR!</v>
      </c>
      <c r="H283" s="278" t="str">
        <f>COUNTIFS([2]Errors!$B:$B, $C283, [2]Errors!$H:$H, H$1)</f>
        <v>#ERROR!</v>
      </c>
      <c r="I283" s="278" t="str">
        <f>COUNTIFS([2]Errors!$B:$B, $C283, [2]Errors!$H:$H, I$1)</f>
        <v>#ERROR!</v>
      </c>
      <c r="J283" s="278" t="str">
        <f>COUNTIFS([2]Errors!$B:$B, $C283, [2]Errors!$H:$H, J$1)</f>
        <v>#ERROR!</v>
      </c>
      <c r="K283" s="278" t="str">
        <f>COUNTIFS([2]Errors!$B:$B, $C283, [2]Errors!$H:$H, K$1)</f>
        <v>#ERROR!</v>
      </c>
      <c r="L283" s="278" t="str">
        <f>COUNTIFS([2]Errors!$B:$B, $C283, [2]Errors!$H:$H, L$1)</f>
        <v>#ERROR!</v>
      </c>
      <c r="M283" s="278" t="str">
        <f>COUNTIFS([2]Errors!$B:$B, $C283, [2]Errors!$H:$H, M$1)</f>
        <v>#ERROR!</v>
      </c>
      <c r="N283" s="309">
        <f>COUNTIFS(Errors!$B:$B, $C283, Errors!$I:$I, N$1)</f>
        <v>0</v>
      </c>
      <c r="O283" s="278" t="str">
        <f>COUNTIFS([2]Errors!$B:$B, $C283, [2]Errors!$H:$H, O$1)</f>
        <v>#ERROR!</v>
      </c>
      <c r="P283" s="278" t="str">
        <f>COUNTIFS([2]Errors!$B:$B, $C283, [2]Errors!$H:$H, P$1)</f>
        <v>#ERROR!</v>
      </c>
      <c r="Q283" s="278" t="str">
        <f>COUNTIFS([2]Errors!$B:$B, $C283, [2]Errors!$H:$H, Q$1)</f>
        <v>#ERROR!</v>
      </c>
      <c r="R283" s="278" t="str">
        <f>COUNTIFS([2]Errors!$B:$B, $C283, [2]Errors!$H:$H, R$1)</f>
        <v>#ERROR!</v>
      </c>
      <c r="S283" s="278" t="str">
        <f>COUNTIFS([2]Errors!$B:$B, $C283, [2]Errors!$H:$H, S$1)</f>
        <v>#ERROR!</v>
      </c>
      <c r="T283" s="278" t="str">
        <f>COUNTIFS([2]Errors!$B:$B, $C283, [2]Errors!$H:$H, T$1)</f>
        <v>#ERROR!</v>
      </c>
      <c r="U283" s="278" t="str">
        <f>COUNTIFS([2]Errors!$B:$B, $C283, [2]Errors!$H:$H, U$1)</f>
        <v>#ERROR!</v>
      </c>
      <c r="V283" s="278" t="str">
        <f>COUNTIFS([2]Errors!$B:$B, $C283, [2]Errors!$H:$H, V$1)</f>
        <v>#ERROR!</v>
      </c>
      <c r="W283" s="278" t="str">
        <f>COUNTIFS([2]Errors!$B:$B, $C283, [2]Errors!$H:$H, W$1)</f>
        <v>#ERROR!</v>
      </c>
      <c r="X283" s="278" t="str">
        <f>COUNTIFS([2]Errors!$B:$B, $C283, [2]Errors!$H:$H, X$1)</f>
        <v>#ERROR!</v>
      </c>
    </row>
    <row r="284" ht="15.75" customHeight="1">
      <c r="A284" s="325">
        <v>0.0</v>
      </c>
      <c r="B284" s="325" t="str">
        <f>SourceData!K284</f>
        <v/>
      </c>
      <c r="C284" s="294" t="str">
        <f>SourceData!J282</f>
        <v/>
      </c>
      <c r="D284" s="298">
        <f>(COUNTIF(Errors!$B$3:$B$3010,'[1]Error Count Analysis'!C284))-((COUNTIFS(Errors!$B$3:$B$3010,'[1]Error Count Analysis'!C284, (Errors!$I$3:$I$3010),"TV*")))</f>
        <v>0</v>
      </c>
      <c r="E284" s="325" t="str">
        <f t="shared" si="1"/>
        <v>#DIV/0!</v>
      </c>
      <c r="F284" s="278" t="str">
        <f>COUNTIFS([2]Errors!$B:$B, $C284, [2]Errors!$H:$H, F$1)</f>
        <v>#ERROR!</v>
      </c>
      <c r="G284" s="278" t="str">
        <f>COUNTIFS([2]Errors!$B:$B, $C284, [2]Errors!$H:$H, G$1)</f>
        <v>#ERROR!</v>
      </c>
      <c r="H284" s="278" t="str">
        <f>COUNTIFS([2]Errors!$B:$B, $C284, [2]Errors!$H:$H, H$1)</f>
        <v>#ERROR!</v>
      </c>
      <c r="I284" s="278" t="str">
        <f>COUNTIFS([2]Errors!$B:$B, $C284, [2]Errors!$H:$H, I$1)</f>
        <v>#ERROR!</v>
      </c>
      <c r="J284" s="278" t="str">
        <f>COUNTIFS([2]Errors!$B:$B, $C284, [2]Errors!$H:$H, J$1)</f>
        <v>#ERROR!</v>
      </c>
      <c r="K284" s="278" t="str">
        <f>COUNTIFS([2]Errors!$B:$B, $C284, [2]Errors!$H:$H, K$1)</f>
        <v>#ERROR!</v>
      </c>
      <c r="L284" s="278" t="str">
        <f>COUNTIFS([2]Errors!$B:$B, $C284, [2]Errors!$H:$H, L$1)</f>
        <v>#ERROR!</v>
      </c>
      <c r="M284" s="278" t="str">
        <f>COUNTIFS([2]Errors!$B:$B, $C284, [2]Errors!$H:$H, M$1)</f>
        <v>#ERROR!</v>
      </c>
      <c r="N284" s="298">
        <f>COUNTIFS(Errors!$B:$B, $C284, Errors!$I:$I, N$1)</f>
        <v>0</v>
      </c>
      <c r="O284" s="278" t="str">
        <f>COUNTIFS([2]Errors!$B:$B, $C284, [2]Errors!$H:$H, O$1)</f>
        <v>#ERROR!</v>
      </c>
      <c r="P284" s="278" t="str">
        <f>COUNTIFS([2]Errors!$B:$B, $C284, [2]Errors!$H:$H, P$1)</f>
        <v>#ERROR!</v>
      </c>
      <c r="Q284" s="278" t="str">
        <f>COUNTIFS([2]Errors!$B:$B, $C284, [2]Errors!$H:$H, Q$1)</f>
        <v>#ERROR!</v>
      </c>
      <c r="R284" s="278" t="str">
        <f>COUNTIFS([2]Errors!$B:$B, $C284, [2]Errors!$H:$H, R$1)</f>
        <v>#ERROR!</v>
      </c>
      <c r="S284" s="278" t="str">
        <f>COUNTIFS([2]Errors!$B:$B, $C284, [2]Errors!$H:$H, S$1)</f>
        <v>#ERROR!</v>
      </c>
      <c r="T284" s="278" t="str">
        <f>COUNTIFS([2]Errors!$B:$B, $C284, [2]Errors!$H:$H, T$1)</f>
        <v>#ERROR!</v>
      </c>
      <c r="U284" s="278" t="str">
        <f>COUNTIFS([2]Errors!$B:$B, $C284, [2]Errors!$H:$H, U$1)</f>
        <v>#ERROR!</v>
      </c>
      <c r="V284" s="278" t="str">
        <f>COUNTIFS([2]Errors!$B:$B, $C284, [2]Errors!$H:$H, V$1)</f>
        <v>#ERROR!</v>
      </c>
      <c r="W284" s="278" t="str">
        <f>COUNTIFS([2]Errors!$B:$B, $C284, [2]Errors!$H:$H, W$1)</f>
        <v>#ERROR!</v>
      </c>
      <c r="X284" s="278" t="str">
        <f>COUNTIFS([2]Errors!$B:$B, $C284, [2]Errors!$H:$H, X$1)</f>
        <v>#ERROR!</v>
      </c>
    </row>
    <row r="285" ht="15.75" customHeight="1">
      <c r="A285" s="305">
        <v>0.0</v>
      </c>
      <c r="B285" s="325" t="str">
        <f>SourceData!K285</f>
        <v/>
      </c>
      <c r="C285" s="305" t="str">
        <f>SourceData!J284</f>
        <v/>
      </c>
      <c r="D285" s="298">
        <f>(COUNTIF(Errors!$B$3:$B$3010,'[1]Error Count Analysis'!C285))-((COUNTIFS(Errors!$B$3:$B$3010,'[1]Error Count Analysis'!C285, (Errors!$I$3:$I$3010),"TV*")))</f>
        <v>0</v>
      </c>
      <c r="E285" s="305" t="str">
        <f t="shared" si="1"/>
        <v>#DIV/0!</v>
      </c>
      <c r="F285" s="278" t="str">
        <f>COUNTIFS([2]Errors!$B:$B, $C285, [2]Errors!$H:$H, F$1)</f>
        <v>#ERROR!</v>
      </c>
      <c r="G285" s="278" t="str">
        <f>COUNTIFS([2]Errors!$B:$B, $C285, [2]Errors!$H:$H, G$1)</f>
        <v>#ERROR!</v>
      </c>
      <c r="H285" s="278" t="str">
        <f>COUNTIFS([2]Errors!$B:$B, $C285, [2]Errors!$H:$H, H$1)</f>
        <v>#ERROR!</v>
      </c>
      <c r="I285" s="278" t="str">
        <f>COUNTIFS([2]Errors!$B:$B, $C285, [2]Errors!$H:$H, I$1)</f>
        <v>#ERROR!</v>
      </c>
      <c r="J285" s="278" t="str">
        <f>COUNTIFS([2]Errors!$B:$B, $C285, [2]Errors!$H:$H, J$1)</f>
        <v>#ERROR!</v>
      </c>
      <c r="K285" s="278" t="str">
        <f>COUNTIFS([2]Errors!$B:$B, $C285, [2]Errors!$H:$H, K$1)</f>
        <v>#ERROR!</v>
      </c>
      <c r="L285" s="278" t="str">
        <f>COUNTIFS([2]Errors!$B:$B, $C285, [2]Errors!$H:$H, L$1)</f>
        <v>#ERROR!</v>
      </c>
      <c r="M285" s="278" t="str">
        <f>COUNTIFS([2]Errors!$B:$B, $C285, [2]Errors!$H:$H, M$1)</f>
        <v>#ERROR!</v>
      </c>
      <c r="N285" s="309">
        <f>COUNTIFS(Errors!$B:$B, $C285, Errors!$I:$I, N$1)</f>
        <v>0</v>
      </c>
      <c r="O285" s="278" t="str">
        <f>COUNTIFS([2]Errors!$B:$B, $C285, [2]Errors!$H:$H, O$1)</f>
        <v>#ERROR!</v>
      </c>
      <c r="P285" s="278" t="str">
        <f>COUNTIFS([2]Errors!$B:$B, $C285, [2]Errors!$H:$H, P$1)</f>
        <v>#ERROR!</v>
      </c>
      <c r="Q285" s="278" t="str">
        <f>COUNTIFS([2]Errors!$B:$B, $C285, [2]Errors!$H:$H, Q$1)</f>
        <v>#ERROR!</v>
      </c>
      <c r="R285" s="278" t="str">
        <f>COUNTIFS([2]Errors!$B:$B, $C285, [2]Errors!$H:$H, R$1)</f>
        <v>#ERROR!</v>
      </c>
      <c r="S285" s="278" t="str">
        <f>COUNTIFS([2]Errors!$B:$B, $C285, [2]Errors!$H:$H, S$1)</f>
        <v>#ERROR!</v>
      </c>
      <c r="T285" s="278" t="str">
        <f>COUNTIFS([2]Errors!$B:$B, $C285, [2]Errors!$H:$H, T$1)</f>
        <v>#ERROR!</v>
      </c>
      <c r="U285" s="278" t="str">
        <f>COUNTIFS([2]Errors!$B:$B, $C285, [2]Errors!$H:$H, U$1)</f>
        <v>#ERROR!</v>
      </c>
      <c r="V285" s="278" t="str">
        <f>COUNTIFS([2]Errors!$B:$B, $C285, [2]Errors!$H:$H, V$1)</f>
        <v>#ERROR!</v>
      </c>
      <c r="W285" s="278" t="str">
        <f>COUNTIFS([2]Errors!$B:$B, $C285, [2]Errors!$H:$H, W$1)</f>
        <v>#ERROR!</v>
      </c>
      <c r="X285" s="278" t="str">
        <f>COUNTIFS([2]Errors!$B:$B, $C285, [2]Errors!$H:$H, X$1)</f>
        <v>#ERROR!</v>
      </c>
    </row>
    <row r="286" ht="15.75" customHeight="1">
      <c r="A286" s="325">
        <v>0.0</v>
      </c>
      <c r="B286" s="325" t="str">
        <f>SourceData!K286</f>
        <v/>
      </c>
      <c r="C286" s="294" t="str">
        <f>SourceData!J284</f>
        <v/>
      </c>
      <c r="D286" s="298">
        <f>(COUNTIF(Errors!$B$3:$B$3010,'[1]Error Count Analysis'!C286))-((COUNTIFS(Errors!$B$3:$B$3010,'[1]Error Count Analysis'!C286, (Errors!$I$3:$I$3010),"TV*")))</f>
        <v>0</v>
      </c>
      <c r="E286" s="325" t="str">
        <f t="shared" si="1"/>
        <v>#DIV/0!</v>
      </c>
      <c r="F286" s="278" t="str">
        <f>COUNTIFS([2]Errors!$B:$B, $C286, [2]Errors!$H:$H, F$1)</f>
        <v>#ERROR!</v>
      </c>
      <c r="G286" s="278" t="str">
        <f>COUNTIFS([2]Errors!$B:$B, $C286, [2]Errors!$H:$H, G$1)</f>
        <v>#ERROR!</v>
      </c>
      <c r="H286" s="278" t="str">
        <f>COUNTIFS([2]Errors!$B:$B, $C286, [2]Errors!$H:$H, H$1)</f>
        <v>#ERROR!</v>
      </c>
      <c r="I286" s="278" t="str">
        <f>COUNTIFS([2]Errors!$B:$B, $C286, [2]Errors!$H:$H, I$1)</f>
        <v>#ERROR!</v>
      </c>
      <c r="J286" s="278" t="str">
        <f>COUNTIFS([2]Errors!$B:$B, $C286, [2]Errors!$H:$H, J$1)</f>
        <v>#ERROR!</v>
      </c>
      <c r="K286" s="278" t="str">
        <f>COUNTIFS([2]Errors!$B:$B, $C286, [2]Errors!$H:$H, K$1)</f>
        <v>#ERROR!</v>
      </c>
      <c r="L286" s="278" t="str">
        <f>COUNTIFS([2]Errors!$B:$B, $C286, [2]Errors!$H:$H, L$1)</f>
        <v>#ERROR!</v>
      </c>
      <c r="M286" s="278" t="str">
        <f>COUNTIFS([2]Errors!$B:$B, $C286, [2]Errors!$H:$H, M$1)</f>
        <v>#ERROR!</v>
      </c>
      <c r="N286" s="298">
        <f>COUNTIFS(Errors!$B:$B, $C286, Errors!$I:$I, N$1)</f>
        <v>0</v>
      </c>
      <c r="O286" s="278" t="str">
        <f>COUNTIFS([2]Errors!$B:$B, $C286, [2]Errors!$H:$H, O$1)</f>
        <v>#ERROR!</v>
      </c>
      <c r="P286" s="278" t="str">
        <f>COUNTIFS([2]Errors!$B:$B, $C286, [2]Errors!$H:$H, P$1)</f>
        <v>#ERROR!</v>
      </c>
      <c r="Q286" s="278" t="str">
        <f>COUNTIFS([2]Errors!$B:$B, $C286, [2]Errors!$H:$H, Q$1)</f>
        <v>#ERROR!</v>
      </c>
      <c r="R286" s="278" t="str">
        <f>COUNTIFS([2]Errors!$B:$B, $C286, [2]Errors!$H:$H, R$1)</f>
        <v>#ERROR!</v>
      </c>
      <c r="S286" s="278" t="str">
        <f>COUNTIFS([2]Errors!$B:$B, $C286, [2]Errors!$H:$H, S$1)</f>
        <v>#ERROR!</v>
      </c>
      <c r="T286" s="278" t="str">
        <f>COUNTIFS([2]Errors!$B:$B, $C286, [2]Errors!$H:$H, T$1)</f>
        <v>#ERROR!</v>
      </c>
      <c r="U286" s="278" t="str">
        <f>COUNTIFS([2]Errors!$B:$B, $C286, [2]Errors!$H:$H, U$1)</f>
        <v>#ERROR!</v>
      </c>
      <c r="V286" s="278" t="str">
        <f>COUNTIFS([2]Errors!$B:$B, $C286, [2]Errors!$H:$H, V$1)</f>
        <v>#ERROR!</v>
      </c>
      <c r="W286" s="278" t="str">
        <f>COUNTIFS([2]Errors!$B:$B, $C286, [2]Errors!$H:$H, W$1)</f>
        <v>#ERROR!</v>
      </c>
      <c r="X286" s="278" t="str">
        <f>COUNTIFS([2]Errors!$B:$B, $C286, [2]Errors!$H:$H, X$1)</f>
        <v>#ERROR!</v>
      </c>
    </row>
    <row r="287" ht="15.75" customHeight="1">
      <c r="A287" s="305">
        <v>0.0</v>
      </c>
      <c r="B287" s="325" t="str">
        <f>SourceData!K287</f>
        <v/>
      </c>
      <c r="C287" s="305" t="str">
        <f>SourceData!J286</f>
        <v/>
      </c>
      <c r="D287" s="298">
        <f>(COUNTIF(Errors!$B$3:$B$3010,'[1]Error Count Analysis'!C287))-((COUNTIFS(Errors!$B$3:$B$3010,'[1]Error Count Analysis'!C287, (Errors!$I$3:$I$3010),"TV*")))</f>
        <v>0</v>
      </c>
      <c r="E287" s="305" t="str">
        <f t="shared" si="1"/>
        <v>#DIV/0!</v>
      </c>
      <c r="F287" s="278" t="str">
        <f>COUNTIFS([2]Errors!$B:$B, $C287, [2]Errors!$H:$H, F$1)</f>
        <v>#ERROR!</v>
      </c>
      <c r="G287" s="278" t="str">
        <f>COUNTIFS([2]Errors!$B:$B, $C287, [2]Errors!$H:$H, G$1)</f>
        <v>#ERROR!</v>
      </c>
      <c r="H287" s="278" t="str">
        <f>COUNTIFS([2]Errors!$B:$B, $C287, [2]Errors!$H:$H, H$1)</f>
        <v>#ERROR!</v>
      </c>
      <c r="I287" s="278" t="str">
        <f>COUNTIFS([2]Errors!$B:$B, $C287, [2]Errors!$H:$H, I$1)</f>
        <v>#ERROR!</v>
      </c>
      <c r="J287" s="278" t="str">
        <f>COUNTIFS([2]Errors!$B:$B, $C287, [2]Errors!$H:$H, J$1)</f>
        <v>#ERROR!</v>
      </c>
      <c r="K287" s="278" t="str">
        <f>COUNTIFS([2]Errors!$B:$B, $C287, [2]Errors!$H:$H, K$1)</f>
        <v>#ERROR!</v>
      </c>
      <c r="L287" s="278" t="str">
        <f>COUNTIFS([2]Errors!$B:$B, $C287, [2]Errors!$H:$H, L$1)</f>
        <v>#ERROR!</v>
      </c>
      <c r="M287" s="278" t="str">
        <f>COUNTIFS([2]Errors!$B:$B, $C287, [2]Errors!$H:$H, M$1)</f>
        <v>#ERROR!</v>
      </c>
      <c r="N287" s="309">
        <f>COUNTIFS(Errors!$B:$B, $C287, Errors!$I:$I, N$1)</f>
        <v>0</v>
      </c>
      <c r="O287" s="278" t="str">
        <f>COUNTIFS([2]Errors!$B:$B, $C287, [2]Errors!$H:$H, O$1)</f>
        <v>#ERROR!</v>
      </c>
      <c r="P287" s="278" t="str">
        <f>COUNTIFS([2]Errors!$B:$B, $C287, [2]Errors!$H:$H, P$1)</f>
        <v>#ERROR!</v>
      </c>
      <c r="Q287" s="278" t="str">
        <f>COUNTIFS([2]Errors!$B:$B, $C287, [2]Errors!$H:$H, Q$1)</f>
        <v>#ERROR!</v>
      </c>
      <c r="R287" s="278" t="str">
        <f>COUNTIFS([2]Errors!$B:$B, $C287, [2]Errors!$H:$H, R$1)</f>
        <v>#ERROR!</v>
      </c>
      <c r="S287" s="278" t="str">
        <f>COUNTIFS([2]Errors!$B:$B, $C287, [2]Errors!$H:$H, S$1)</f>
        <v>#ERROR!</v>
      </c>
      <c r="T287" s="278" t="str">
        <f>COUNTIFS([2]Errors!$B:$B, $C287, [2]Errors!$H:$H, T$1)</f>
        <v>#ERROR!</v>
      </c>
      <c r="U287" s="278" t="str">
        <f>COUNTIFS([2]Errors!$B:$B, $C287, [2]Errors!$H:$H, U$1)</f>
        <v>#ERROR!</v>
      </c>
      <c r="V287" s="278" t="str">
        <f>COUNTIFS([2]Errors!$B:$B, $C287, [2]Errors!$H:$H, V$1)</f>
        <v>#ERROR!</v>
      </c>
      <c r="W287" s="278" t="str">
        <f>COUNTIFS([2]Errors!$B:$B, $C287, [2]Errors!$H:$H, W$1)</f>
        <v>#ERROR!</v>
      </c>
      <c r="X287" s="278" t="str">
        <f>COUNTIFS([2]Errors!$B:$B, $C287, [2]Errors!$H:$H, X$1)</f>
        <v>#ERROR!</v>
      </c>
    </row>
    <row r="288" ht="15.75" customHeight="1">
      <c r="A288" s="325">
        <v>0.0</v>
      </c>
      <c r="B288" s="325" t="str">
        <f>SourceData!K288</f>
        <v/>
      </c>
      <c r="C288" s="294" t="str">
        <f>SourceData!J286</f>
        <v/>
      </c>
      <c r="D288" s="298">
        <f>(COUNTIF(Errors!$B$3:$B$3010,'[1]Error Count Analysis'!C288))-((COUNTIFS(Errors!$B$3:$B$3010,'[1]Error Count Analysis'!C288, (Errors!$I$3:$I$3010),"TV*")))</f>
        <v>0</v>
      </c>
      <c r="E288" s="325" t="str">
        <f t="shared" si="1"/>
        <v>#DIV/0!</v>
      </c>
      <c r="F288" s="278" t="str">
        <f>COUNTIFS([2]Errors!$B:$B, $C288, [2]Errors!$H:$H, F$1)</f>
        <v>#ERROR!</v>
      </c>
      <c r="G288" s="278" t="str">
        <f>COUNTIFS([2]Errors!$B:$B, $C288, [2]Errors!$H:$H, G$1)</f>
        <v>#ERROR!</v>
      </c>
      <c r="H288" s="278" t="str">
        <f>COUNTIFS([2]Errors!$B:$B, $C288, [2]Errors!$H:$H, H$1)</f>
        <v>#ERROR!</v>
      </c>
      <c r="I288" s="278" t="str">
        <f>COUNTIFS([2]Errors!$B:$B, $C288, [2]Errors!$H:$H, I$1)</f>
        <v>#ERROR!</v>
      </c>
      <c r="J288" s="278" t="str">
        <f>COUNTIFS([2]Errors!$B:$B, $C288, [2]Errors!$H:$H, J$1)</f>
        <v>#ERROR!</v>
      </c>
      <c r="K288" s="278" t="str">
        <f>COUNTIFS([2]Errors!$B:$B, $C288, [2]Errors!$H:$H, K$1)</f>
        <v>#ERROR!</v>
      </c>
      <c r="L288" s="278" t="str">
        <f>COUNTIFS([2]Errors!$B:$B, $C288, [2]Errors!$H:$H, L$1)</f>
        <v>#ERROR!</v>
      </c>
      <c r="M288" s="278" t="str">
        <f>COUNTIFS([2]Errors!$B:$B, $C288, [2]Errors!$H:$H, M$1)</f>
        <v>#ERROR!</v>
      </c>
      <c r="N288" s="298">
        <f>COUNTIFS(Errors!$B:$B, $C288, Errors!$I:$I, N$1)</f>
        <v>0</v>
      </c>
      <c r="O288" s="278" t="str">
        <f>COUNTIFS([2]Errors!$B:$B, $C288, [2]Errors!$H:$H, O$1)</f>
        <v>#ERROR!</v>
      </c>
      <c r="P288" s="278" t="str">
        <f>COUNTIFS([2]Errors!$B:$B, $C288, [2]Errors!$H:$H, P$1)</f>
        <v>#ERROR!</v>
      </c>
      <c r="Q288" s="278" t="str">
        <f>COUNTIFS([2]Errors!$B:$B, $C288, [2]Errors!$H:$H, Q$1)</f>
        <v>#ERROR!</v>
      </c>
      <c r="R288" s="278" t="str">
        <f>COUNTIFS([2]Errors!$B:$B, $C288, [2]Errors!$H:$H, R$1)</f>
        <v>#ERROR!</v>
      </c>
      <c r="S288" s="278" t="str">
        <f>COUNTIFS([2]Errors!$B:$B, $C288, [2]Errors!$H:$H, S$1)</f>
        <v>#ERROR!</v>
      </c>
      <c r="T288" s="278" t="str">
        <f>COUNTIFS([2]Errors!$B:$B, $C288, [2]Errors!$H:$H, T$1)</f>
        <v>#ERROR!</v>
      </c>
      <c r="U288" s="278" t="str">
        <f>COUNTIFS([2]Errors!$B:$B, $C288, [2]Errors!$H:$H, U$1)</f>
        <v>#ERROR!</v>
      </c>
      <c r="V288" s="278" t="str">
        <f>COUNTIFS([2]Errors!$B:$B, $C288, [2]Errors!$H:$H, V$1)</f>
        <v>#ERROR!</v>
      </c>
      <c r="W288" s="278" t="str">
        <f>COUNTIFS([2]Errors!$B:$B, $C288, [2]Errors!$H:$H, W$1)</f>
        <v>#ERROR!</v>
      </c>
      <c r="X288" s="278" t="str">
        <f>COUNTIFS([2]Errors!$B:$B, $C288, [2]Errors!$H:$H, X$1)</f>
        <v>#ERROR!</v>
      </c>
    </row>
    <row r="289" ht="15.75" customHeight="1">
      <c r="A289" s="305">
        <v>0.0</v>
      </c>
      <c r="B289" s="325" t="str">
        <f>SourceData!K289</f>
        <v/>
      </c>
      <c r="C289" s="305" t="str">
        <f>SourceData!J288</f>
        <v/>
      </c>
      <c r="D289" s="298">
        <f>(COUNTIF(Errors!$B$3:$B$3010,'[1]Error Count Analysis'!C289))-((COUNTIFS(Errors!$B$3:$B$3010,'[1]Error Count Analysis'!C289, (Errors!$I$3:$I$3010),"TV*")))</f>
        <v>0</v>
      </c>
      <c r="E289" s="305" t="str">
        <f t="shared" si="1"/>
        <v>#DIV/0!</v>
      </c>
      <c r="F289" s="278" t="str">
        <f>COUNTIFS([2]Errors!$B:$B, $C289, [2]Errors!$H:$H, F$1)</f>
        <v>#ERROR!</v>
      </c>
      <c r="G289" s="278" t="str">
        <f>COUNTIFS([2]Errors!$B:$B, $C289, [2]Errors!$H:$H, G$1)</f>
        <v>#ERROR!</v>
      </c>
      <c r="H289" s="278" t="str">
        <f>COUNTIFS([2]Errors!$B:$B, $C289, [2]Errors!$H:$H, H$1)</f>
        <v>#ERROR!</v>
      </c>
      <c r="I289" s="278" t="str">
        <f>COUNTIFS([2]Errors!$B:$B, $C289, [2]Errors!$H:$H, I$1)</f>
        <v>#ERROR!</v>
      </c>
      <c r="J289" s="278" t="str">
        <f>COUNTIFS([2]Errors!$B:$B, $C289, [2]Errors!$H:$H, J$1)</f>
        <v>#ERROR!</v>
      </c>
      <c r="K289" s="278" t="str">
        <f>COUNTIFS([2]Errors!$B:$B, $C289, [2]Errors!$H:$H, K$1)</f>
        <v>#ERROR!</v>
      </c>
      <c r="L289" s="278" t="str">
        <f>COUNTIFS([2]Errors!$B:$B, $C289, [2]Errors!$H:$H, L$1)</f>
        <v>#ERROR!</v>
      </c>
      <c r="M289" s="278" t="str">
        <f>COUNTIFS([2]Errors!$B:$B, $C289, [2]Errors!$H:$H, M$1)</f>
        <v>#ERROR!</v>
      </c>
      <c r="N289" s="309">
        <f>COUNTIFS(Errors!$B:$B, $C289, Errors!$I:$I, N$1)</f>
        <v>0</v>
      </c>
      <c r="O289" s="278" t="str">
        <f>COUNTIFS([2]Errors!$B:$B, $C289, [2]Errors!$H:$H, O$1)</f>
        <v>#ERROR!</v>
      </c>
      <c r="P289" s="278" t="str">
        <f>COUNTIFS([2]Errors!$B:$B, $C289, [2]Errors!$H:$H, P$1)</f>
        <v>#ERROR!</v>
      </c>
      <c r="Q289" s="278" t="str">
        <f>COUNTIFS([2]Errors!$B:$B, $C289, [2]Errors!$H:$H, Q$1)</f>
        <v>#ERROR!</v>
      </c>
      <c r="R289" s="278" t="str">
        <f>COUNTIFS([2]Errors!$B:$B, $C289, [2]Errors!$H:$H, R$1)</f>
        <v>#ERROR!</v>
      </c>
      <c r="S289" s="278" t="str">
        <f>COUNTIFS([2]Errors!$B:$B, $C289, [2]Errors!$H:$H, S$1)</f>
        <v>#ERROR!</v>
      </c>
      <c r="T289" s="278" t="str">
        <f>COUNTIFS([2]Errors!$B:$B, $C289, [2]Errors!$H:$H, T$1)</f>
        <v>#ERROR!</v>
      </c>
      <c r="U289" s="278" t="str">
        <f>COUNTIFS([2]Errors!$B:$B, $C289, [2]Errors!$H:$H, U$1)</f>
        <v>#ERROR!</v>
      </c>
      <c r="V289" s="278" t="str">
        <f>COUNTIFS([2]Errors!$B:$B, $C289, [2]Errors!$H:$H, V$1)</f>
        <v>#ERROR!</v>
      </c>
      <c r="W289" s="278" t="str">
        <f>COUNTIFS([2]Errors!$B:$B, $C289, [2]Errors!$H:$H, W$1)</f>
        <v>#ERROR!</v>
      </c>
      <c r="X289" s="278" t="str">
        <f>COUNTIFS([2]Errors!$B:$B, $C289, [2]Errors!$H:$H, X$1)</f>
        <v>#ERROR!</v>
      </c>
    </row>
    <row r="290" ht="15.75" customHeight="1">
      <c r="A290" s="325">
        <v>0.0</v>
      </c>
      <c r="B290" s="325" t="str">
        <f>SourceData!K290</f>
        <v/>
      </c>
      <c r="C290" s="294" t="str">
        <f>SourceData!J288</f>
        <v/>
      </c>
      <c r="D290" s="298">
        <f>(COUNTIF(Errors!$B$3:$B$3010,'[1]Error Count Analysis'!C290))-((COUNTIFS(Errors!$B$3:$B$3010,'[1]Error Count Analysis'!C290, (Errors!$I$3:$I$3010),"TV*")))</f>
        <v>0</v>
      </c>
      <c r="E290" s="325" t="str">
        <f t="shared" si="1"/>
        <v>#DIV/0!</v>
      </c>
      <c r="F290" s="278" t="str">
        <f>COUNTIFS([2]Errors!$B:$B, $C290, [2]Errors!$H:$H, F$1)</f>
        <v>#ERROR!</v>
      </c>
      <c r="G290" s="278" t="str">
        <f>COUNTIFS([2]Errors!$B:$B, $C290, [2]Errors!$H:$H, G$1)</f>
        <v>#ERROR!</v>
      </c>
      <c r="H290" s="278" t="str">
        <f>COUNTIFS([2]Errors!$B:$B, $C290, [2]Errors!$H:$H, H$1)</f>
        <v>#ERROR!</v>
      </c>
      <c r="I290" s="278" t="str">
        <f>COUNTIFS([2]Errors!$B:$B, $C290, [2]Errors!$H:$H, I$1)</f>
        <v>#ERROR!</v>
      </c>
      <c r="J290" s="278" t="str">
        <f>COUNTIFS([2]Errors!$B:$B, $C290, [2]Errors!$H:$H, J$1)</f>
        <v>#ERROR!</v>
      </c>
      <c r="K290" s="278" t="str">
        <f>COUNTIFS([2]Errors!$B:$B, $C290, [2]Errors!$H:$H, K$1)</f>
        <v>#ERROR!</v>
      </c>
      <c r="L290" s="278" t="str">
        <f>COUNTIFS([2]Errors!$B:$B, $C290, [2]Errors!$H:$H, L$1)</f>
        <v>#ERROR!</v>
      </c>
      <c r="M290" s="278" t="str">
        <f>COUNTIFS([2]Errors!$B:$B, $C290, [2]Errors!$H:$H, M$1)</f>
        <v>#ERROR!</v>
      </c>
      <c r="N290" s="298">
        <f>COUNTIFS(Errors!$B:$B, $C290, Errors!$I:$I, N$1)</f>
        <v>0</v>
      </c>
      <c r="O290" s="278" t="str">
        <f>COUNTIFS([2]Errors!$B:$B, $C290, [2]Errors!$H:$H, O$1)</f>
        <v>#ERROR!</v>
      </c>
      <c r="P290" s="278" t="str">
        <f>COUNTIFS([2]Errors!$B:$B, $C290, [2]Errors!$H:$H, P$1)</f>
        <v>#ERROR!</v>
      </c>
      <c r="Q290" s="278" t="str">
        <f>COUNTIFS([2]Errors!$B:$B, $C290, [2]Errors!$H:$H, Q$1)</f>
        <v>#ERROR!</v>
      </c>
      <c r="R290" s="278" t="str">
        <f>COUNTIFS([2]Errors!$B:$B, $C290, [2]Errors!$H:$H, R$1)</f>
        <v>#ERROR!</v>
      </c>
      <c r="S290" s="278" t="str">
        <f>COUNTIFS([2]Errors!$B:$B, $C290, [2]Errors!$H:$H, S$1)</f>
        <v>#ERROR!</v>
      </c>
      <c r="T290" s="278" t="str">
        <f>COUNTIFS([2]Errors!$B:$B, $C290, [2]Errors!$H:$H, T$1)</f>
        <v>#ERROR!</v>
      </c>
      <c r="U290" s="278" t="str">
        <f>COUNTIFS([2]Errors!$B:$B, $C290, [2]Errors!$H:$H, U$1)</f>
        <v>#ERROR!</v>
      </c>
      <c r="V290" s="278" t="str">
        <f>COUNTIFS([2]Errors!$B:$B, $C290, [2]Errors!$H:$H, V$1)</f>
        <v>#ERROR!</v>
      </c>
      <c r="W290" s="278" t="str">
        <f>COUNTIFS([2]Errors!$B:$B, $C290, [2]Errors!$H:$H, W$1)</f>
        <v>#ERROR!</v>
      </c>
      <c r="X290" s="278" t="str">
        <f>COUNTIFS([2]Errors!$B:$B, $C290, [2]Errors!$H:$H, X$1)</f>
        <v>#ERROR!</v>
      </c>
    </row>
    <row r="291" ht="15.75" customHeight="1">
      <c r="A291" s="305">
        <v>0.0</v>
      </c>
      <c r="B291" s="325" t="str">
        <f>SourceData!K291</f>
        <v/>
      </c>
      <c r="C291" s="305" t="str">
        <f>SourceData!J290</f>
        <v/>
      </c>
      <c r="D291" s="298">
        <f>(COUNTIF(Errors!$B$3:$B$3010,'[1]Error Count Analysis'!C291))-((COUNTIFS(Errors!$B$3:$B$3010,'[1]Error Count Analysis'!C291, (Errors!$I$3:$I$3010),"TV*")))</f>
        <v>0</v>
      </c>
      <c r="E291" s="305" t="str">
        <f t="shared" si="1"/>
        <v>#DIV/0!</v>
      </c>
      <c r="F291" s="278" t="str">
        <f>COUNTIFS([2]Errors!$B:$B, $C291, [2]Errors!$H:$H, F$1)</f>
        <v>#ERROR!</v>
      </c>
      <c r="G291" s="278" t="str">
        <f>COUNTIFS([2]Errors!$B:$B, $C291, [2]Errors!$H:$H, G$1)</f>
        <v>#ERROR!</v>
      </c>
      <c r="H291" s="278" t="str">
        <f>COUNTIFS([2]Errors!$B:$B, $C291, [2]Errors!$H:$H, H$1)</f>
        <v>#ERROR!</v>
      </c>
      <c r="I291" s="278" t="str">
        <f>COUNTIFS([2]Errors!$B:$B, $C291, [2]Errors!$H:$H, I$1)</f>
        <v>#ERROR!</v>
      </c>
      <c r="J291" s="278" t="str">
        <f>COUNTIFS([2]Errors!$B:$B, $C291, [2]Errors!$H:$H, J$1)</f>
        <v>#ERROR!</v>
      </c>
      <c r="K291" s="278" t="str">
        <f>COUNTIFS([2]Errors!$B:$B, $C291, [2]Errors!$H:$H, K$1)</f>
        <v>#ERROR!</v>
      </c>
      <c r="L291" s="278" t="str">
        <f>COUNTIFS([2]Errors!$B:$B, $C291, [2]Errors!$H:$H, L$1)</f>
        <v>#ERROR!</v>
      </c>
      <c r="M291" s="278" t="str">
        <f>COUNTIFS([2]Errors!$B:$B, $C291, [2]Errors!$H:$H, M$1)</f>
        <v>#ERROR!</v>
      </c>
      <c r="N291" s="309">
        <f>COUNTIFS(Errors!$B:$B, $C291, Errors!$I:$I, N$1)</f>
        <v>0</v>
      </c>
      <c r="O291" s="278" t="str">
        <f>COUNTIFS([2]Errors!$B:$B, $C291, [2]Errors!$H:$H, O$1)</f>
        <v>#ERROR!</v>
      </c>
      <c r="P291" s="278" t="str">
        <f>COUNTIFS([2]Errors!$B:$B, $C291, [2]Errors!$H:$H, P$1)</f>
        <v>#ERROR!</v>
      </c>
      <c r="Q291" s="278" t="str">
        <f>COUNTIFS([2]Errors!$B:$B, $C291, [2]Errors!$H:$H, Q$1)</f>
        <v>#ERROR!</v>
      </c>
      <c r="R291" s="278" t="str">
        <f>COUNTIFS([2]Errors!$B:$B, $C291, [2]Errors!$H:$H, R$1)</f>
        <v>#ERROR!</v>
      </c>
      <c r="S291" s="278" t="str">
        <f>COUNTIFS([2]Errors!$B:$B, $C291, [2]Errors!$H:$H, S$1)</f>
        <v>#ERROR!</v>
      </c>
      <c r="T291" s="278" t="str">
        <f>COUNTIFS([2]Errors!$B:$B, $C291, [2]Errors!$H:$H, T$1)</f>
        <v>#ERROR!</v>
      </c>
      <c r="U291" s="278" t="str">
        <f>COUNTIFS([2]Errors!$B:$B, $C291, [2]Errors!$H:$H, U$1)</f>
        <v>#ERROR!</v>
      </c>
      <c r="V291" s="278" t="str">
        <f>COUNTIFS([2]Errors!$B:$B, $C291, [2]Errors!$H:$H, V$1)</f>
        <v>#ERROR!</v>
      </c>
      <c r="W291" s="278" t="str">
        <f>COUNTIFS([2]Errors!$B:$B, $C291, [2]Errors!$H:$H, W$1)</f>
        <v>#ERROR!</v>
      </c>
      <c r="X291" s="278" t="str">
        <f>COUNTIFS([2]Errors!$B:$B, $C291, [2]Errors!$H:$H, X$1)</f>
        <v>#ERROR!</v>
      </c>
    </row>
    <row r="292" ht="15.75" customHeight="1">
      <c r="A292" s="325">
        <v>0.0</v>
      </c>
      <c r="B292" s="325" t="str">
        <f>SourceData!K292</f>
        <v/>
      </c>
      <c r="C292" s="294" t="str">
        <f>SourceData!J290</f>
        <v/>
      </c>
      <c r="D292" s="298">
        <f>(COUNTIF(Errors!$B$3:$B$3010,'[1]Error Count Analysis'!C292))-((COUNTIFS(Errors!$B$3:$B$3010,'[1]Error Count Analysis'!C292, (Errors!$I$3:$I$3010),"TV*")))</f>
        <v>0</v>
      </c>
      <c r="E292" s="325" t="str">
        <f t="shared" si="1"/>
        <v>#DIV/0!</v>
      </c>
      <c r="F292" s="278" t="str">
        <f>COUNTIFS([2]Errors!$B:$B, $C292, [2]Errors!$H:$H, F$1)</f>
        <v>#ERROR!</v>
      </c>
      <c r="G292" s="278" t="str">
        <f>COUNTIFS([2]Errors!$B:$B, $C292, [2]Errors!$H:$H, G$1)</f>
        <v>#ERROR!</v>
      </c>
      <c r="H292" s="278" t="str">
        <f>COUNTIFS([2]Errors!$B:$B, $C292, [2]Errors!$H:$H, H$1)</f>
        <v>#ERROR!</v>
      </c>
      <c r="I292" s="278" t="str">
        <f>COUNTIFS([2]Errors!$B:$B, $C292, [2]Errors!$H:$H, I$1)</f>
        <v>#ERROR!</v>
      </c>
      <c r="J292" s="278" t="str">
        <f>COUNTIFS([2]Errors!$B:$B, $C292, [2]Errors!$H:$H, J$1)</f>
        <v>#ERROR!</v>
      </c>
      <c r="K292" s="278" t="str">
        <f>COUNTIFS([2]Errors!$B:$B, $C292, [2]Errors!$H:$H, K$1)</f>
        <v>#ERROR!</v>
      </c>
      <c r="L292" s="278" t="str">
        <f>COUNTIFS([2]Errors!$B:$B, $C292, [2]Errors!$H:$H, L$1)</f>
        <v>#ERROR!</v>
      </c>
      <c r="M292" s="278" t="str">
        <f>COUNTIFS([2]Errors!$B:$B, $C292, [2]Errors!$H:$H, M$1)</f>
        <v>#ERROR!</v>
      </c>
      <c r="N292" s="298">
        <f>COUNTIFS(Errors!$B:$B, $C292, Errors!$I:$I, N$1)</f>
        <v>0</v>
      </c>
      <c r="O292" s="278" t="str">
        <f>COUNTIFS([2]Errors!$B:$B, $C292, [2]Errors!$H:$H, O$1)</f>
        <v>#ERROR!</v>
      </c>
      <c r="P292" s="278" t="str">
        <f>COUNTIFS([2]Errors!$B:$B, $C292, [2]Errors!$H:$H, P$1)</f>
        <v>#ERROR!</v>
      </c>
      <c r="Q292" s="278" t="str">
        <f>COUNTIFS([2]Errors!$B:$B, $C292, [2]Errors!$H:$H, Q$1)</f>
        <v>#ERROR!</v>
      </c>
      <c r="R292" s="278" t="str">
        <f>COUNTIFS([2]Errors!$B:$B, $C292, [2]Errors!$H:$H, R$1)</f>
        <v>#ERROR!</v>
      </c>
      <c r="S292" s="278" t="str">
        <f>COUNTIFS([2]Errors!$B:$B, $C292, [2]Errors!$H:$H, S$1)</f>
        <v>#ERROR!</v>
      </c>
      <c r="T292" s="278" t="str">
        <f>COUNTIFS([2]Errors!$B:$B, $C292, [2]Errors!$H:$H, T$1)</f>
        <v>#ERROR!</v>
      </c>
      <c r="U292" s="278" t="str">
        <f>COUNTIFS([2]Errors!$B:$B, $C292, [2]Errors!$H:$H, U$1)</f>
        <v>#ERROR!</v>
      </c>
      <c r="V292" s="278" t="str">
        <f>COUNTIFS([2]Errors!$B:$B, $C292, [2]Errors!$H:$H, V$1)</f>
        <v>#ERROR!</v>
      </c>
      <c r="W292" s="278" t="str">
        <f>COUNTIFS([2]Errors!$B:$B, $C292, [2]Errors!$H:$H, W$1)</f>
        <v>#ERROR!</v>
      </c>
      <c r="X292" s="278" t="str">
        <f>COUNTIFS([2]Errors!$B:$B, $C292, [2]Errors!$H:$H, X$1)</f>
        <v>#ERROR!</v>
      </c>
    </row>
    <row r="293" ht="15.75" customHeight="1">
      <c r="A293" s="305">
        <v>0.0</v>
      </c>
      <c r="B293" s="325" t="str">
        <f>SourceData!K293</f>
        <v/>
      </c>
      <c r="C293" s="305" t="str">
        <f>SourceData!J292</f>
        <v/>
      </c>
      <c r="D293" s="298">
        <f>(COUNTIF(Errors!$B$3:$B$3010,'[1]Error Count Analysis'!C293))-((COUNTIFS(Errors!$B$3:$B$3010,'[1]Error Count Analysis'!C293, (Errors!$I$3:$I$3010),"TV*")))</f>
        <v>0</v>
      </c>
      <c r="E293" s="305" t="str">
        <f t="shared" si="1"/>
        <v>#DIV/0!</v>
      </c>
      <c r="F293" s="278" t="str">
        <f>COUNTIFS([2]Errors!$B:$B, $C293, [2]Errors!$H:$H, F$1)</f>
        <v>#ERROR!</v>
      </c>
      <c r="G293" s="278" t="str">
        <f>COUNTIFS([2]Errors!$B:$B, $C293, [2]Errors!$H:$H, G$1)</f>
        <v>#ERROR!</v>
      </c>
      <c r="H293" s="278" t="str">
        <f>COUNTIFS([2]Errors!$B:$B, $C293, [2]Errors!$H:$H, H$1)</f>
        <v>#ERROR!</v>
      </c>
      <c r="I293" s="278" t="str">
        <f>COUNTIFS([2]Errors!$B:$B, $C293, [2]Errors!$H:$H, I$1)</f>
        <v>#ERROR!</v>
      </c>
      <c r="J293" s="278" t="str">
        <f>COUNTIFS([2]Errors!$B:$B, $C293, [2]Errors!$H:$H, J$1)</f>
        <v>#ERROR!</v>
      </c>
      <c r="K293" s="278" t="str">
        <f>COUNTIFS([2]Errors!$B:$B, $C293, [2]Errors!$H:$H, K$1)</f>
        <v>#ERROR!</v>
      </c>
      <c r="L293" s="278" t="str">
        <f>COUNTIFS([2]Errors!$B:$B, $C293, [2]Errors!$H:$H, L$1)</f>
        <v>#ERROR!</v>
      </c>
      <c r="M293" s="278" t="str">
        <f>COUNTIFS([2]Errors!$B:$B, $C293, [2]Errors!$H:$H, M$1)</f>
        <v>#ERROR!</v>
      </c>
      <c r="N293" s="309">
        <f>COUNTIFS(Errors!$B:$B, $C293, Errors!$I:$I, N$1)</f>
        <v>0</v>
      </c>
      <c r="O293" s="278" t="str">
        <f>COUNTIFS([2]Errors!$B:$B, $C293, [2]Errors!$H:$H, O$1)</f>
        <v>#ERROR!</v>
      </c>
      <c r="P293" s="278" t="str">
        <f>COUNTIFS([2]Errors!$B:$B, $C293, [2]Errors!$H:$H, P$1)</f>
        <v>#ERROR!</v>
      </c>
      <c r="Q293" s="278" t="str">
        <f>COUNTIFS([2]Errors!$B:$B, $C293, [2]Errors!$H:$H, Q$1)</f>
        <v>#ERROR!</v>
      </c>
      <c r="R293" s="278" t="str">
        <f>COUNTIFS([2]Errors!$B:$B, $C293, [2]Errors!$H:$H, R$1)</f>
        <v>#ERROR!</v>
      </c>
      <c r="S293" s="278" t="str">
        <f>COUNTIFS([2]Errors!$B:$B, $C293, [2]Errors!$H:$H, S$1)</f>
        <v>#ERROR!</v>
      </c>
      <c r="T293" s="278" t="str">
        <f>COUNTIFS([2]Errors!$B:$B, $C293, [2]Errors!$H:$H, T$1)</f>
        <v>#ERROR!</v>
      </c>
      <c r="U293" s="278" t="str">
        <f>COUNTIFS([2]Errors!$B:$B, $C293, [2]Errors!$H:$H, U$1)</f>
        <v>#ERROR!</v>
      </c>
      <c r="V293" s="278" t="str">
        <f>COUNTIFS([2]Errors!$B:$B, $C293, [2]Errors!$H:$H, V$1)</f>
        <v>#ERROR!</v>
      </c>
      <c r="W293" s="278" t="str">
        <f>COUNTIFS([2]Errors!$B:$B, $C293, [2]Errors!$H:$H, W$1)</f>
        <v>#ERROR!</v>
      </c>
      <c r="X293" s="278" t="str">
        <f>COUNTIFS([2]Errors!$B:$B, $C293, [2]Errors!$H:$H, X$1)</f>
        <v>#ERROR!</v>
      </c>
    </row>
    <row r="294" ht="15.75" customHeight="1">
      <c r="A294" s="325">
        <v>0.0</v>
      </c>
      <c r="B294" s="325" t="str">
        <f>SourceData!K294</f>
        <v/>
      </c>
      <c r="C294" s="294" t="str">
        <f>SourceData!J292</f>
        <v/>
      </c>
      <c r="D294" s="298">
        <f>(COUNTIF(Errors!$B$3:$B$3010,'[1]Error Count Analysis'!C294))-((COUNTIFS(Errors!$B$3:$B$3010,'[1]Error Count Analysis'!C294, (Errors!$I$3:$I$3010),"TV*")))</f>
        <v>0</v>
      </c>
      <c r="E294" s="325" t="str">
        <f t="shared" si="1"/>
        <v>#DIV/0!</v>
      </c>
      <c r="F294" s="278" t="str">
        <f>COUNTIFS([2]Errors!$B:$B, $C294, [2]Errors!$H:$H, F$1)</f>
        <v>#ERROR!</v>
      </c>
      <c r="G294" s="278" t="str">
        <f>COUNTIFS([2]Errors!$B:$B, $C294, [2]Errors!$H:$H, G$1)</f>
        <v>#ERROR!</v>
      </c>
      <c r="H294" s="278" t="str">
        <f>COUNTIFS([2]Errors!$B:$B, $C294, [2]Errors!$H:$H, H$1)</f>
        <v>#ERROR!</v>
      </c>
      <c r="I294" s="278" t="str">
        <f>COUNTIFS([2]Errors!$B:$B, $C294, [2]Errors!$H:$H, I$1)</f>
        <v>#ERROR!</v>
      </c>
      <c r="J294" s="278" t="str">
        <f>COUNTIFS([2]Errors!$B:$B, $C294, [2]Errors!$H:$H, J$1)</f>
        <v>#ERROR!</v>
      </c>
      <c r="K294" s="278" t="str">
        <f>COUNTIFS([2]Errors!$B:$B, $C294, [2]Errors!$H:$H, K$1)</f>
        <v>#ERROR!</v>
      </c>
      <c r="L294" s="278" t="str">
        <f>COUNTIFS([2]Errors!$B:$B, $C294, [2]Errors!$H:$H, L$1)</f>
        <v>#ERROR!</v>
      </c>
      <c r="M294" s="278" t="str">
        <f>COUNTIFS([2]Errors!$B:$B, $C294, [2]Errors!$H:$H, M$1)</f>
        <v>#ERROR!</v>
      </c>
      <c r="N294" s="298">
        <f>COUNTIFS(Errors!$B:$B, $C294, Errors!$I:$I, N$1)</f>
        <v>0</v>
      </c>
      <c r="O294" s="278" t="str">
        <f>COUNTIFS([2]Errors!$B:$B, $C294, [2]Errors!$H:$H, O$1)</f>
        <v>#ERROR!</v>
      </c>
      <c r="P294" s="278" t="str">
        <f>COUNTIFS([2]Errors!$B:$B, $C294, [2]Errors!$H:$H, P$1)</f>
        <v>#ERROR!</v>
      </c>
      <c r="Q294" s="278" t="str">
        <f>COUNTIFS([2]Errors!$B:$B, $C294, [2]Errors!$H:$H, Q$1)</f>
        <v>#ERROR!</v>
      </c>
      <c r="R294" s="278" t="str">
        <f>COUNTIFS([2]Errors!$B:$B, $C294, [2]Errors!$H:$H, R$1)</f>
        <v>#ERROR!</v>
      </c>
      <c r="S294" s="278" t="str">
        <f>COUNTIFS([2]Errors!$B:$B, $C294, [2]Errors!$H:$H, S$1)</f>
        <v>#ERROR!</v>
      </c>
      <c r="T294" s="278" t="str">
        <f>COUNTIFS([2]Errors!$B:$B, $C294, [2]Errors!$H:$H, T$1)</f>
        <v>#ERROR!</v>
      </c>
      <c r="U294" s="278" t="str">
        <f>COUNTIFS([2]Errors!$B:$B, $C294, [2]Errors!$H:$H, U$1)</f>
        <v>#ERROR!</v>
      </c>
      <c r="V294" s="278" t="str">
        <f>COUNTIFS([2]Errors!$B:$B, $C294, [2]Errors!$H:$H, V$1)</f>
        <v>#ERROR!</v>
      </c>
      <c r="W294" s="278" t="str">
        <f>COUNTIFS([2]Errors!$B:$B, $C294, [2]Errors!$H:$H, W$1)</f>
        <v>#ERROR!</v>
      </c>
      <c r="X294" s="278" t="str">
        <f>COUNTIFS([2]Errors!$B:$B, $C294, [2]Errors!$H:$H, X$1)</f>
        <v>#ERROR!</v>
      </c>
    </row>
    <row r="295" ht="15.75" customHeight="1">
      <c r="A295" s="305">
        <v>0.0</v>
      </c>
      <c r="B295" s="325" t="str">
        <f>SourceData!K295</f>
        <v/>
      </c>
      <c r="C295" s="305" t="str">
        <f>SourceData!J294</f>
        <v/>
      </c>
      <c r="D295" s="298">
        <f>(COUNTIF(Errors!$B$3:$B$3010,'[1]Error Count Analysis'!C295))-((COUNTIFS(Errors!$B$3:$B$3010,'[1]Error Count Analysis'!C295, (Errors!$I$3:$I$3010),"TV*")))</f>
        <v>0</v>
      </c>
      <c r="E295" s="305" t="str">
        <f t="shared" si="1"/>
        <v>#DIV/0!</v>
      </c>
      <c r="F295" s="278" t="str">
        <f>COUNTIFS([2]Errors!$B:$B, $C295, [2]Errors!$H:$H, F$1)</f>
        <v>#ERROR!</v>
      </c>
      <c r="G295" s="278" t="str">
        <f>COUNTIFS([2]Errors!$B:$B, $C295, [2]Errors!$H:$H, G$1)</f>
        <v>#ERROR!</v>
      </c>
      <c r="H295" s="278" t="str">
        <f>COUNTIFS([2]Errors!$B:$B, $C295, [2]Errors!$H:$H, H$1)</f>
        <v>#ERROR!</v>
      </c>
      <c r="I295" s="278" t="str">
        <f>COUNTIFS([2]Errors!$B:$B, $C295, [2]Errors!$H:$H, I$1)</f>
        <v>#ERROR!</v>
      </c>
      <c r="J295" s="278" t="str">
        <f>COUNTIFS([2]Errors!$B:$B, $C295, [2]Errors!$H:$H, J$1)</f>
        <v>#ERROR!</v>
      </c>
      <c r="K295" s="278" t="str">
        <f>COUNTIFS([2]Errors!$B:$B, $C295, [2]Errors!$H:$H, K$1)</f>
        <v>#ERROR!</v>
      </c>
      <c r="L295" s="278" t="str">
        <f>COUNTIFS([2]Errors!$B:$B, $C295, [2]Errors!$H:$H, L$1)</f>
        <v>#ERROR!</v>
      </c>
      <c r="M295" s="278" t="str">
        <f>COUNTIFS([2]Errors!$B:$B, $C295, [2]Errors!$H:$H, M$1)</f>
        <v>#ERROR!</v>
      </c>
      <c r="N295" s="309">
        <f>COUNTIFS(Errors!$B:$B, $C295, Errors!$I:$I, N$1)</f>
        <v>0</v>
      </c>
      <c r="O295" s="278" t="str">
        <f>COUNTIFS([2]Errors!$B:$B, $C295, [2]Errors!$H:$H, O$1)</f>
        <v>#ERROR!</v>
      </c>
      <c r="P295" s="278" t="str">
        <f>COUNTIFS([2]Errors!$B:$B, $C295, [2]Errors!$H:$H, P$1)</f>
        <v>#ERROR!</v>
      </c>
      <c r="Q295" s="278" t="str">
        <f>COUNTIFS([2]Errors!$B:$B, $C295, [2]Errors!$H:$H, Q$1)</f>
        <v>#ERROR!</v>
      </c>
      <c r="R295" s="278" t="str">
        <f>COUNTIFS([2]Errors!$B:$B, $C295, [2]Errors!$H:$H, R$1)</f>
        <v>#ERROR!</v>
      </c>
      <c r="S295" s="278" t="str">
        <f>COUNTIFS([2]Errors!$B:$B, $C295, [2]Errors!$H:$H, S$1)</f>
        <v>#ERROR!</v>
      </c>
      <c r="T295" s="278" t="str">
        <f>COUNTIFS([2]Errors!$B:$B, $C295, [2]Errors!$H:$H, T$1)</f>
        <v>#ERROR!</v>
      </c>
      <c r="U295" s="278" t="str">
        <f>COUNTIFS([2]Errors!$B:$B, $C295, [2]Errors!$H:$H, U$1)</f>
        <v>#ERROR!</v>
      </c>
      <c r="V295" s="278" t="str">
        <f>COUNTIFS([2]Errors!$B:$B, $C295, [2]Errors!$H:$H, V$1)</f>
        <v>#ERROR!</v>
      </c>
      <c r="W295" s="278" t="str">
        <f>COUNTIFS([2]Errors!$B:$B, $C295, [2]Errors!$H:$H, W$1)</f>
        <v>#ERROR!</v>
      </c>
      <c r="X295" s="278" t="str">
        <f>COUNTIFS([2]Errors!$B:$B, $C295, [2]Errors!$H:$H, X$1)</f>
        <v>#ERROR!</v>
      </c>
    </row>
    <row r="296" ht="15.75" customHeight="1">
      <c r="A296" s="325">
        <v>0.0</v>
      </c>
      <c r="B296" s="325" t="str">
        <f>SourceData!K296</f>
        <v/>
      </c>
      <c r="C296" s="294" t="str">
        <f>SourceData!J294</f>
        <v/>
      </c>
      <c r="D296" s="298">
        <f>(COUNTIF(Errors!$B$3:$B$3010,'[1]Error Count Analysis'!C296))-((COUNTIFS(Errors!$B$3:$B$3010,'[1]Error Count Analysis'!C296, (Errors!$I$3:$I$3010),"TV*")))</f>
        <v>0</v>
      </c>
      <c r="E296" s="325" t="str">
        <f t="shared" si="1"/>
        <v>#DIV/0!</v>
      </c>
      <c r="F296" s="278" t="str">
        <f>COUNTIFS([2]Errors!$B:$B, $C296, [2]Errors!$H:$H, F$1)</f>
        <v>#ERROR!</v>
      </c>
      <c r="G296" s="278" t="str">
        <f>COUNTIFS([2]Errors!$B:$B, $C296, [2]Errors!$H:$H, G$1)</f>
        <v>#ERROR!</v>
      </c>
      <c r="H296" s="278" t="str">
        <f>COUNTIFS([2]Errors!$B:$B, $C296, [2]Errors!$H:$H, H$1)</f>
        <v>#ERROR!</v>
      </c>
      <c r="I296" s="278" t="str">
        <f>COUNTIFS([2]Errors!$B:$B, $C296, [2]Errors!$H:$H, I$1)</f>
        <v>#ERROR!</v>
      </c>
      <c r="J296" s="278" t="str">
        <f>COUNTIFS([2]Errors!$B:$B, $C296, [2]Errors!$H:$H, J$1)</f>
        <v>#ERROR!</v>
      </c>
      <c r="K296" s="278" t="str">
        <f>COUNTIFS([2]Errors!$B:$B, $C296, [2]Errors!$H:$H, K$1)</f>
        <v>#ERROR!</v>
      </c>
      <c r="L296" s="278" t="str">
        <f>COUNTIFS([2]Errors!$B:$B, $C296, [2]Errors!$H:$H, L$1)</f>
        <v>#ERROR!</v>
      </c>
      <c r="M296" s="278" t="str">
        <f>COUNTIFS([2]Errors!$B:$B, $C296, [2]Errors!$H:$H, M$1)</f>
        <v>#ERROR!</v>
      </c>
      <c r="N296" s="298">
        <f>COUNTIFS(Errors!$B:$B, $C296, Errors!$I:$I, N$1)</f>
        <v>0</v>
      </c>
      <c r="O296" s="278" t="str">
        <f>COUNTIFS([2]Errors!$B:$B, $C296, [2]Errors!$H:$H, O$1)</f>
        <v>#ERROR!</v>
      </c>
      <c r="P296" s="278" t="str">
        <f>COUNTIFS([2]Errors!$B:$B, $C296, [2]Errors!$H:$H, P$1)</f>
        <v>#ERROR!</v>
      </c>
      <c r="Q296" s="278" t="str">
        <f>COUNTIFS([2]Errors!$B:$B, $C296, [2]Errors!$H:$H, Q$1)</f>
        <v>#ERROR!</v>
      </c>
      <c r="R296" s="278" t="str">
        <f>COUNTIFS([2]Errors!$B:$B, $C296, [2]Errors!$H:$H, R$1)</f>
        <v>#ERROR!</v>
      </c>
      <c r="S296" s="278" t="str">
        <f>COUNTIFS([2]Errors!$B:$B, $C296, [2]Errors!$H:$H, S$1)</f>
        <v>#ERROR!</v>
      </c>
      <c r="T296" s="278" t="str">
        <f>COUNTIFS([2]Errors!$B:$B, $C296, [2]Errors!$H:$H, T$1)</f>
        <v>#ERROR!</v>
      </c>
      <c r="U296" s="278" t="str">
        <f>COUNTIFS([2]Errors!$B:$B, $C296, [2]Errors!$H:$H, U$1)</f>
        <v>#ERROR!</v>
      </c>
      <c r="V296" s="278" t="str">
        <f>COUNTIFS([2]Errors!$B:$B, $C296, [2]Errors!$H:$H, V$1)</f>
        <v>#ERROR!</v>
      </c>
      <c r="W296" s="278" t="str">
        <f>COUNTIFS([2]Errors!$B:$B, $C296, [2]Errors!$H:$H, W$1)</f>
        <v>#ERROR!</v>
      </c>
      <c r="X296" s="278" t="str">
        <f>COUNTIFS([2]Errors!$B:$B, $C296, [2]Errors!$H:$H, X$1)</f>
        <v>#ERROR!</v>
      </c>
    </row>
    <row r="297" ht="15.75" customHeight="1">
      <c r="A297" s="305">
        <v>0.0</v>
      </c>
      <c r="B297" s="325" t="str">
        <f>SourceData!K297</f>
        <v/>
      </c>
      <c r="C297" s="305" t="str">
        <f>SourceData!J296</f>
        <v/>
      </c>
      <c r="D297" s="298">
        <f>(COUNTIF(Errors!$B$3:$B$3010,'[1]Error Count Analysis'!C297))-((COUNTIFS(Errors!$B$3:$B$3010,'[1]Error Count Analysis'!C297, (Errors!$I$3:$I$3010),"TV*")))</f>
        <v>0</v>
      </c>
      <c r="E297" s="305" t="str">
        <f t="shared" si="1"/>
        <v>#DIV/0!</v>
      </c>
      <c r="F297" s="278" t="str">
        <f>COUNTIFS([2]Errors!$B:$B, $C297, [2]Errors!$H:$H, F$1)</f>
        <v>#ERROR!</v>
      </c>
      <c r="G297" s="278" t="str">
        <f>COUNTIFS([2]Errors!$B:$B, $C297, [2]Errors!$H:$H, G$1)</f>
        <v>#ERROR!</v>
      </c>
      <c r="H297" s="278" t="str">
        <f>COUNTIFS([2]Errors!$B:$B, $C297, [2]Errors!$H:$H, H$1)</f>
        <v>#ERROR!</v>
      </c>
      <c r="I297" s="278" t="str">
        <f>COUNTIFS([2]Errors!$B:$B, $C297, [2]Errors!$H:$H, I$1)</f>
        <v>#ERROR!</v>
      </c>
      <c r="J297" s="278" t="str">
        <f>COUNTIFS([2]Errors!$B:$B, $C297, [2]Errors!$H:$H, J$1)</f>
        <v>#ERROR!</v>
      </c>
      <c r="K297" s="278" t="str">
        <f>COUNTIFS([2]Errors!$B:$B, $C297, [2]Errors!$H:$H, K$1)</f>
        <v>#ERROR!</v>
      </c>
      <c r="L297" s="278" t="str">
        <f>COUNTIFS([2]Errors!$B:$B, $C297, [2]Errors!$H:$H, L$1)</f>
        <v>#ERROR!</v>
      </c>
      <c r="M297" s="278" t="str">
        <f>COUNTIFS([2]Errors!$B:$B, $C297, [2]Errors!$H:$H, M$1)</f>
        <v>#ERROR!</v>
      </c>
      <c r="N297" s="309">
        <f>COUNTIFS(Errors!$B:$B, $C297, Errors!$I:$I, N$1)</f>
        <v>0</v>
      </c>
      <c r="O297" s="278" t="str">
        <f>COUNTIFS([2]Errors!$B:$B, $C297, [2]Errors!$H:$H, O$1)</f>
        <v>#ERROR!</v>
      </c>
      <c r="P297" s="278" t="str">
        <f>COUNTIFS([2]Errors!$B:$B, $C297, [2]Errors!$H:$H, P$1)</f>
        <v>#ERROR!</v>
      </c>
      <c r="Q297" s="278" t="str">
        <f>COUNTIFS([2]Errors!$B:$B, $C297, [2]Errors!$H:$H, Q$1)</f>
        <v>#ERROR!</v>
      </c>
      <c r="R297" s="278" t="str">
        <f>COUNTIFS([2]Errors!$B:$B, $C297, [2]Errors!$H:$H, R$1)</f>
        <v>#ERROR!</v>
      </c>
      <c r="S297" s="278" t="str">
        <f>COUNTIFS([2]Errors!$B:$B, $C297, [2]Errors!$H:$H, S$1)</f>
        <v>#ERROR!</v>
      </c>
      <c r="T297" s="278" t="str">
        <f>COUNTIFS([2]Errors!$B:$B, $C297, [2]Errors!$H:$H, T$1)</f>
        <v>#ERROR!</v>
      </c>
      <c r="U297" s="278" t="str">
        <f>COUNTIFS([2]Errors!$B:$B, $C297, [2]Errors!$H:$H, U$1)</f>
        <v>#ERROR!</v>
      </c>
      <c r="V297" s="278" t="str">
        <f>COUNTIFS([2]Errors!$B:$B, $C297, [2]Errors!$H:$H, V$1)</f>
        <v>#ERROR!</v>
      </c>
      <c r="W297" s="278" t="str">
        <f>COUNTIFS([2]Errors!$B:$B, $C297, [2]Errors!$H:$H, W$1)</f>
        <v>#ERROR!</v>
      </c>
      <c r="X297" s="278" t="str">
        <f>COUNTIFS([2]Errors!$B:$B, $C297, [2]Errors!$H:$H, X$1)</f>
        <v>#ERROR!</v>
      </c>
    </row>
    <row r="298" ht="15.75" customHeight="1">
      <c r="A298" s="325">
        <v>0.0</v>
      </c>
      <c r="B298" s="325" t="str">
        <f>SourceData!K298</f>
        <v/>
      </c>
      <c r="C298" s="294" t="str">
        <f>SourceData!J296</f>
        <v/>
      </c>
      <c r="D298" s="298">
        <f>(COUNTIF(Errors!$B$3:$B$3010,'[1]Error Count Analysis'!C298))-((COUNTIFS(Errors!$B$3:$B$3010,'[1]Error Count Analysis'!C298, (Errors!$I$3:$I$3010),"TV*")))</f>
        <v>0</v>
      </c>
      <c r="E298" s="325" t="str">
        <f t="shared" si="1"/>
        <v>#DIV/0!</v>
      </c>
      <c r="F298" s="278" t="str">
        <f>COUNTIFS([2]Errors!$B:$B, $C298, [2]Errors!$H:$H, F$1)</f>
        <v>#ERROR!</v>
      </c>
      <c r="G298" s="278" t="str">
        <f>COUNTIFS([2]Errors!$B:$B, $C298, [2]Errors!$H:$H, G$1)</f>
        <v>#ERROR!</v>
      </c>
      <c r="H298" s="278" t="str">
        <f>COUNTIFS([2]Errors!$B:$B, $C298, [2]Errors!$H:$H, H$1)</f>
        <v>#ERROR!</v>
      </c>
      <c r="I298" s="278" t="str">
        <f>COUNTIFS([2]Errors!$B:$B, $C298, [2]Errors!$H:$H, I$1)</f>
        <v>#ERROR!</v>
      </c>
      <c r="J298" s="278" t="str">
        <f>COUNTIFS([2]Errors!$B:$B, $C298, [2]Errors!$H:$H, J$1)</f>
        <v>#ERROR!</v>
      </c>
      <c r="K298" s="278" t="str">
        <f>COUNTIFS([2]Errors!$B:$B, $C298, [2]Errors!$H:$H, K$1)</f>
        <v>#ERROR!</v>
      </c>
      <c r="L298" s="278" t="str">
        <f>COUNTIFS([2]Errors!$B:$B, $C298, [2]Errors!$H:$H, L$1)</f>
        <v>#ERROR!</v>
      </c>
      <c r="M298" s="278" t="str">
        <f>COUNTIFS([2]Errors!$B:$B, $C298, [2]Errors!$H:$H, M$1)</f>
        <v>#ERROR!</v>
      </c>
      <c r="N298" s="298">
        <f>COUNTIFS(Errors!$B:$B, $C298, Errors!$I:$I, N$1)</f>
        <v>0</v>
      </c>
      <c r="O298" s="278" t="str">
        <f>COUNTIFS([2]Errors!$B:$B, $C298, [2]Errors!$H:$H, O$1)</f>
        <v>#ERROR!</v>
      </c>
      <c r="P298" s="278" t="str">
        <f>COUNTIFS([2]Errors!$B:$B, $C298, [2]Errors!$H:$H, P$1)</f>
        <v>#ERROR!</v>
      </c>
      <c r="Q298" s="278" t="str">
        <f>COUNTIFS([2]Errors!$B:$B, $C298, [2]Errors!$H:$H, Q$1)</f>
        <v>#ERROR!</v>
      </c>
      <c r="R298" s="278" t="str">
        <f>COUNTIFS([2]Errors!$B:$B, $C298, [2]Errors!$H:$H, R$1)</f>
        <v>#ERROR!</v>
      </c>
      <c r="S298" s="278" t="str">
        <f>COUNTIFS([2]Errors!$B:$B, $C298, [2]Errors!$H:$H, S$1)</f>
        <v>#ERROR!</v>
      </c>
      <c r="T298" s="278" t="str">
        <f>COUNTIFS([2]Errors!$B:$B, $C298, [2]Errors!$H:$H, T$1)</f>
        <v>#ERROR!</v>
      </c>
      <c r="U298" s="278" t="str">
        <f>COUNTIFS([2]Errors!$B:$B, $C298, [2]Errors!$H:$H, U$1)</f>
        <v>#ERROR!</v>
      </c>
      <c r="V298" s="278" t="str">
        <f>COUNTIFS([2]Errors!$B:$B, $C298, [2]Errors!$H:$H, V$1)</f>
        <v>#ERROR!</v>
      </c>
      <c r="W298" s="278" t="str">
        <f>COUNTIFS([2]Errors!$B:$B, $C298, [2]Errors!$H:$H, W$1)</f>
        <v>#ERROR!</v>
      </c>
      <c r="X298" s="278" t="str">
        <f>COUNTIFS([2]Errors!$B:$B, $C298, [2]Errors!$H:$H, X$1)</f>
        <v>#ERROR!</v>
      </c>
    </row>
    <row r="299" ht="15.75" customHeight="1">
      <c r="A299" s="305">
        <v>0.0</v>
      </c>
      <c r="B299" s="325" t="str">
        <f>SourceData!K299</f>
        <v/>
      </c>
      <c r="C299" s="305" t="str">
        <f>SourceData!J298</f>
        <v/>
      </c>
      <c r="D299" s="298">
        <f>(COUNTIF(Errors!$B$3:$B$3010,'[1]Error Count Analysis'!C299))-((COUNTIFS(Errors!$B$3:$B$3010,'[1]Error Count Analysis'!C299, (Errors!$I$3:$I$3010),"TV*")))</f>
        <v>0</v>
      </c>
      <c r="E299" s="305" t="str">
        <f t="shared" si="1"/>
        <v>#DIV/0!</v>
      </c>
      <c r="F299" s="278" t="str">
        <f>COUNTIFS([2]Errors!$B:$B, $C299, [2]Errors!$H:$H, F$1)</f>
        <v>#ERROR!</v>
      </c>
      <c r="G299" s="278" t="str">
        <f>COUNTIFS([2]Errors!$B:$B, $C299, [2]Errors!$H:$H, G$1)</f>
        <v>#ERROR!</v>
      </c>
      <c r="H299" s="278" t="str">
        <f>COUNTIFS([2]Errors!$B:$B, $C299, [2]Errors!$H:$H, H$1)</f>
        <v>#ERROR!</v>
      </c>
      <c r="I299" s="278" t="str">
        <f>COUNTIFS([2]Errors!$B:$B, $C299, [2]Errors!$H:$H, I$1)</f>
        <v>#ERROR!</v>
      </c>
      <c r="J299" s="278" t="str">
        <f>COUNTIFS([2]Errors!$B:$B, $C299, [2]Errors!$H:$H, J$1)</f>
        <v>#ERROR!</v>
      </c>
      <c r="K299" s="278" t="str">
        <f>COUNTIFS([2]Errors!$B:$B, $C299, [2]Errors!$H:$H, K$1)</f>
        <v>#ERROR!</v>
      </c>
      <c r="L299" s="278" t="str">
        <f>COUNTIFS([2]Errors!$B:$B, $C299, [2]Errors!$H:$H, L$1)</f>
        <v>#ERROR!</v>
      </c>
      <c r="M299" s="278" t="str">
        <f>COUNTIFS([2]Errors!$B:$B, $C299, [2]Errors!$H:$H, M$1)</f>
        <v>#ERROR!</v>
      </c>
      <c r="N299" s="309">
        <f>COUNTIFS(Errors!$B:$B, $C299, Errors!$I:$I, N$1)</f>
        <v>0</v>
      </c>
      <c r="O299" s="278" t="str">
        <f>COUNTIFS([2]Errors!$B:$B, $C299, [2]Errors!$H:$H, O$1)</f>
        <v>#ERROR!</v>
      </c>
      <c r="P299" s="278" t="str">
        <f>COUNTIFS([2]Errors!$B:$B, $C299, [2]Errors!$H:$H, P$1)</f>
        <v>#ERROR!</v>
      </c>
      <c r="Q299" s="278" t="str">
        <f>COUNTIFS([2]Errors!$B:$B, $C299, [2]Errors!$H:$H, Q$1)</f>
        <v>#ERROR!</v>
      </c>
      <c r="R299" s="278" t="str">
        <f>COUNTIFS([2]Errors!$B:$B, $C299, [2]Errors!$H:$H, R$1)</f>
        <v>#ERROR!</v>
      </c>
      <c r="S299" s="278" t="str">
        <f>COUNTIFS([2]Errors!$B:$B, $C299, [2]Errors!$H:$H, S$1)</f>
        <v>#ERROR!</v>
      </c>
      <c r="T299" s="278" t="str">
        <f>COUNTIFS([2]Errors!$B:$B, $C299, [2]Errors!$H:$H, T$1)</f>
        <v>#ERROR!</v>
      </c>
      <c r="U299" s="278" t="str">
        <f>COUNTIFS([2]Errors!$B:$B, $C299, [2]Errors!$H:$H, U$1)</f>
        <v>#ERROR!</v>
      </c>
      <c r="V299" s="278" t="str">
        <f>COUNTIFS([2]Errors!$B:$B, $C299, [2]Errors!$H:$H, V$1)</f>
        <v>#ERROR!</v>
      </c>
      <c r="W299" s="278" t="str">
        <f>COUNTIFS([2]Errors!$B:$B, $C299, [2]Errors!$H:$H, W$1)</f>
        <v>#ERROR!</v>
      </c>
      <c r="X299" s="278" t="str">
        <f>COUNTIFS([2]Errors!$B:$B, $C299, [2]Errors!$H:$H, X$1)</f>
        <v>#ERROR!</v>
      </c>
    </row>
    <row r="300" ht="15.75" customHeight="1">
      <c r="A300" s="325">
        <v>0.0</v>
      </c>
      <c r="B300" s="325" t="str">
        <f>SourceData!K300</f>
        <v/>
      </c>
      <c r="C300" s="294" t="str">
        <f>SourceData!J298</f>
        <v/>
      </c>
      <c r="D300" s="298">
        <f>(COUNTIF(Errors!$B$3:$B$3010,'[1]Error Count Analysis'!C300))-((COUNTIFS(Errors!$B$3:$B$3010,'[1]Error Count Analysis'!C300, (Errors!$I$3:$I$3010),"TV*")))</f>
        <v>0</v>
      </c>
      <c r="E300" s="325" t="str">
        <f t="shared" si="1"/>
        <v>#DIV/0!</v>
      </c>
      <c r="F300" s="278" t="str">
        <f>COUNTIFS([2]Errors!$B:$B, $C300, [2]Errors!$H:$H, F$1)</f>
        <v>#ERROR!</v>
      </c>
      <c r="G300" s="278" t="str">
        <f>COUNTIFS([2]Errors!$B:$B, $C300, [2]Errors!$H:$H, G$1)</f>
        <v>#ERROR!</v>
      </c>
      <c r="H300" s="278" t="str">
        <f>COUNTIFS([2]Errors!$B:$B, $C300, [2]Errors!$H:$H, H$1)</f>
        <v>#ERROR!</v>
      </c>
      <c r="I300" s="278" t="str">
        <f>COUNTIFS([2]Errors!$B:$B, $C300, [2]Errors!$H:$H, I$1)</f>
        <v>#ERROR!</v>
      </c>
      <c r="J300" s="278" t="str">
        <f>COUNTIFS([2]Errors!$B:$B, $C300, [2]Errors!$H:$H, J$1)</f>
        <v>#ERROR!</v>
      </c>
      <c r="K300" s="278" t="str">
        <f>COUNTIFS([2]Errors!$B:$B, $C300, [2]Errors!$H:$H, K$1)</f>
        <v>#ERROR!</v>
      </c>
      <c r="L300" s="278" t="str">
        <f>COUNTIFS([2]Errors!$B:$B, $C300, [2]Errors!$H:$H, L$1)</f>
        <v>#ERROR!</v>
      </c>
      <c r="M300" s="278" t="str">
        <f>COUNTIFS([2]Errors!$B:$B, $C300, [2]Errors!$H:$H, M$1)</f>
        <v>#ERROR!</v>
      </c>
      <c r="N300" s="298">
        <f>COUNTIFS(Errors!$B:$B, $C300, Errors!$I:$I, N$1)</f>
        <v>0</v>
      </c>
      <c r="O300" s="278" t="str">
        <f>COUNTIFS([2]Errors!$B:$B, $C300, [2]Errors!$H:$H, O$1)</f>
        <v>#ERROR!</v>
      </c>
      <c r="P300" s="278" t="str">
        <f>COUNTIFS([2]Errors!$B:$B, $C300, [2]Errors!$H:$H, P$1)</f>
        <v>#ERROR!</v>
      </c>
      <c r="Q300" s="278" t="str">
        <f>COUNTIFS([2]Errors!$B:$B, $C300, [2]Errors!$H:$H, Q$1)</f>
        <v>#ERROR!</v>
      </c>
      <c r="R300" s="278" t="str">
        <f>COUNTIFS([2]Errors!$B:$B, $C300, [2]Errors!$H:$H, R$1)</f>
        <v>#ERROR!</v>
      </c>
      <c r="S300" s="278" t="str">
        <f>COUNTIFS([2]Errors!$B:$B, $C300, [2]Errors!$H:$H, S$1)</f>
        <v>#ERROR!</v>
      </c>
      <c r="T300" s="278" t="str">
        <f>COUNTIFS([2]Errors!$B:$B, $C300, [2]Errors!$H:$H, T$1)</f>
        <v>#ERROR!</v>
      </c>
      <c r="U300" s="278" t="str">
        <f>COUNTIFS([2]Errors!$B:$B, $C300, [2]Errors!$H:$H, U$1)</f>
        <v>#ERROR!</v>
      </c>
      <c r="V300" s="278" t="str">
        <f>COUNTIFS([2]Errors!$B:$B, $C300, [2]Errors!$H:$H, V$1)</f>
        <v>#ERROR!</v>
      </c>
      <c r="W300" s="278" t="str">
        <f>COUNTIFS([2]Errors!$B:$B, $C300, [2]Errors!$H:$H, W$1)</f>
        <v>#ERROR!</v>
      </c>
      <c r="X300" s="278" t="str">
        <f>COUNTIFS([2]Errors!$B:$B, $C300, [2]Errors!$H:$H, X$1)</f>
        <v>#ERROR!</v>
      </c>
    </row>
    <row r="301" ht="15.75" customHeight="1">
      <c r="B301" s="278"/>
      <c r="C301" s="278"/>
      <c r="D301" s="278"/>
      <c r="F301" s="278"/>
      <c r="G301" s="278"/>
      <c r="H301" s="278"/>
      <c r="I301" s="278"/>
      <c r="J301" s="278"/>
      <c r="K301" s="278"/>
      <c r="L301" s="278"/>
      <c r="M301" s="278"/>
      <c r="N301" s="278"/>
      <c r="O301" s="278"/>
      <c r="P301" s="278"/>
      <c r="Q301" s="278"/>
      <c r="R301" s="278"/>
      <c r="S301" s="278"/>
      <c r="T301" s="278"/>
      <c r="U301" s="278"/>
      <c r="V301" s="278"/>
      <c r="W301" s="278"/>
      <c r="X301" s="278"/>
    </row>
    <row r="302" ht="15.75" customHeight="1">
      <c r="B302" s="278"/>
      <c r="C302" s="278"/>
      <c r="D302" s="278"/>
      <c r="F302" s="278"/>
      <c r="G302" s="278"/>
      <c r="H302" s="278"/>
      <c r="I302" s="278"/>
      <c r="J302" s="278"/>
      <c r="K302" s="278"/>
      <c r="L302" s="278"/>
      <c r="M302" s="278"/>
      <c r="N302" s="278"/>
      <c r="O302" s="278"/>
      <c r="P302" s="278"/>
      <c r="Q302" s="278"/>
      <c r="R302" s="278"/>
      <c r="S302" s="278"/>
      <c r="T302" s="278"/>
      <c r="U302" s="278"/>
      <c r="V302" s="278"/>
      <c r="W302" s="278"/>
      <c r="X302" s="278"/>
    </row>
    <row r="303" ht="15.75" customHeight="1">
      <c r="B303" s="278"/>
      <c r="C303" s="278"/>
      <c r="D303" s="278"/>
      <c r="F303" s="278"/>
      <c r="G303" s="278"/>
      <c r="H303" s="278"/>
      <c r="I303" s="278"/>
      <c r="J303" s="278"/>
      <c r="K303" s="278"/>
      <c r="L303" s="278"/>
      <c r="M303" s="278"/>
      <c r="N303" s="278"/>
      <c r="O303" s="278"/>
      <c r="P303" s="278"/>
      <c r="Q303" s="278"/>
      <c r="R303" s="278"/>
      <c r="S303" s="278"/>
      <c r="T303" s="278"/>
      <c r="U303" s="278"/>
      <c r="V303" s="278"/>
      <c r="W303" s="278"/>
      <c r="X303" s="278"/>
    </row>
    <row r="304" ht="15.75" customHeight="1">
      <c r="B304" s="278"/>
      <c r="C304" s="278"/>
      <c r="D304" s="278"/>
      <c r="F304" s="278"/>
      <c r="G304" s="278"/>
      <c r="H304" s="278"/>
      <c r="I304" s="278"/>
      <c r="J304" s="278"/>
      <c r="K304" s="278"/>
      <c r="L304" s="278"/>
      <c r="M304" s="278"/>
      <c r="N304" s="278"/>
      <c r="O304" s="278"/>
      <c r="P304" s="278"/>
      <c r="Q304" s="278"/>
      <c r="R304" s="278"/>
      <c r="S304" s="278"/>
      <c r="T304" s="278"/>
      <c r="U304" s="278"/>
      <c r="V304" s="278"/>
      <c r="W304" s="278"/>
      <c r="X304" s="278"/>
    </row>
    <row r="305" ht="15.75" customHeight="1">
      <c r="B305" s="278"/>
      <c r="C305" s="278"/>
      <c r="D305" s="278"/>
      <c r="F305" s="278"/>
      <c r="G305" s="278"/>
      <c r="H305" s="278"/>
      <c r="I305" s="278"/>
      <c r="J305" s="278"/>
      <c r="K305" s="278"/>
      <c r="L305" s="278"/>
      <c r="M305" s="278"/>
      <c r="N305" s="278"/>
      <c r="O305" s="278"/>
      <c r="P305" s="278"/>
      <c r="Q305" s="278"/>
      <c r="R305" s="278"/>
      <c r="S305" s="278"/>
      <c r="T305" s="278"/>
      <c r="U305" s="278"/>
      <c r="V305" s="278"/>
      <c r="W305" s="278"/>
      <c r="X305" s="278"/>
    </row>
    <row r="306" ht="15.75" customHeight="1">
      <c r="B306" s="278"/>
      <c r="C306" s="278"/>
      <c r="D306" s="278"/>
      <c r="F306" s="278"/>
      <c r="G306" s="278"/>
      <c r="H306" s="278"/>
      <c r="I306" s="278"/>
      <c r="J306" s="278"/>
      <c r="K306" s="278"/>
      <c r="L306" s="278"/>
      <c r="M306" s="278"/>
      <c r="N306" s="278"/>
      <c r="O306" s="278"/>
      <c r="P306" s="278"/>
      <c r="Q306" s="278"/>
      <c r="R306" s="278"/>
      <c r="S306" s="278"/>
      <c r="T306" s="278"/>
      <c r="U306" s="278"/>
      <c r="V306" s="278"/>
      <c r="W306" s="278"/>
      <c r="X306" s="278"/>
    </row>
    <row r="307" ht="15.75" customHeight="1">
      <c r="B307" s="278"/>
      <c r="C307" s="278"/>
      <c r="D307" s="278"/>
      <c r="F307" s="278"/>
      <c r="G307" s="278"/>
      <c r="H307" s="278"/>
      <c r="I307" s="278"/>
      <c r="J307" s="278"/>
      <c r="K307" s="278"/>
      <c r="L307" s="278"/>
      <c r="M307" s="278"/>
      <c r="N307" s="278"/>
      <c r="O307" s="278"/>
      <c r="P307" s="278"/>
      <c r="Q307" s="278"/>
      <c r="R307" s="278"/>
      <c r="S307" s="278"/>
      <c r="T307" s="278"/>
      <c r="U307" s="278"/>
      <c r="V307" s="278"/>
      <c r="W307" s="278"/>
      <c r="X307" s="278"/>
    </row>
    <row r="308" ht="15.75" customHeight="1">
      <c r="B308" s="278"/>
      <c r="C308" s="278"/>
      <c r="D308" s="278"/>
      <c r="F308" s="278"/>
      <c r="G308" s="278"/>
      <c r="H308" s="278"/>
      <c r="I308" s="278"/>
      <c r="J308" s="278"/>
      <c r="K308" s="278"/>
      <c r="L308" s="278"/>
      <c r="M308" s="278"/>
      <c r="N308" s="278"/>
      <c r="O308" s="278"/>
      <c r="P308" s="278"/>
      <c r="Q308" s="278"/>
      <c r="R308" s="278"/>
      <c r="S308" s="278"/>
      <c r="T308" s="278"/>
      <c r="U308" s="278"/>
      <c r="V308" s="278"/>
      <c r="W308" s="278"/>
      <c r="X308" s="278"/>
    </row>
    <row r="309" ht="15.75" customHeight="1">
      <c r="B309" s="278"/>
      <c r="C309" s="278"/>
      <c r="D309" s="278"/>
      <c r="F309" s="278"/>
      <c r="G309" s="278"/>
      <c r="H309" s="278"/>
      <c r="I309" s="278"/>
      <c r="J309" s="278"/>
      <c r="K309" s="278"/>
      <c r="L309" s="278"/>
      <c r="M309" s="278"/>
      <c r="N309" s="278"/>
      <c r="O309" s="278"/>
      <c r="P309" s="278"/>
      <c r="Q309" s="278"/>
      <c r="R309" s="278"/>
      <c r="S309" s="278"/>
      <c r="T309" s="278"/>
      <c r="U309" s="278"/>
      <c r="V309" s="278"/>
      <c r="W309" s="278"/>
      <c r="X309" s="278"/>
    </row>
    <row r="310" ht="15.75" customHeight="1">
      <c r="B310" s="278"/>
      <c r="C310" s="278"/>
      <c r="D310" s="278"/>
      <c r="F310" s="278"/>
      <c r="G310" s="278"/>
      <c r="H310" s="278"/>
      <c r="I310" s="278"/>
      <c r="J310" s="278"/>
      <c r="K310" s="278"/>
      <c r="L310" s="278"/>
      <c r="M310" s="278"/>
      <c r="N310" s="278"/>
      <c r="O310" s="278"/>
      <c r="P310" s="278"/>
      <c r="Q310" s="278"/>
      <c r="R310" s="278"/>
      <c r="S310" s="278"/>
      <c r="T310" s="278"/>
      <c r="U310" s="278"/>
      <c r="V310" s="278"/>
      <c r="W310" s="278"/>
      <c r="X310" s="278"/>
    </row>
    <row r="311" ht="15.75" customHeight="1">
      <c r="B311" s="278"/>
      <c r="C311" s="278"/>
      <c r="D311" s="278"/>
      <c r="F311" s="278"/>
      <c r="G311" s="278"/>
      <c r="H311" s="278"/>
      <c r="I311" s="278"/>
      <c r="J311" s="278"/>
      <c r="K311" s="278"/>
      <c r="L311" s="278"/>
      <c r="M311" s="278"/>
      <c r="N311" s="278"/>
      <c r="O311" s="278"/>
      <c r="P311" s="278"/>
      <c r="Q311" s="278"/>
      <c r="R311" s="278"/>
      <c r="S311" s="278"/>
      <c r="T311" s="278"/>
      <c r="U311" s="278"/>
      <c r="V311" s="278"/>
      <c r="W311" s="278"/>
      <c r="X311" s="278"/>
    </row>
    <row r="312" ht="15.75" customHeight="1">
      <c r="B312" s="278"/>
      <c r="C312" s="278"/>
      <c r="D312" s="278"/>
      <c r="F312" s="278"/>
      <c r="G312" s="278"/>
      <c r="H312" s="278"/>
      <c r="I312" s="278"/>
      <c r="J312" s="278"/>
      <c r="K312" s="278"/>
      <c r="L312" s="278"/>
      <c r="M312" s="278"/>
      <c r="N312" s="278"/>
      <c r="O312" s="278"/>
      <c r="P312" s="278"/>
      <c r="Q312" s="278"/>
      <c r="R312" s="278"/>
      <c r="S312" s="278"/>
      <c r="T312" s="278"/>
      <c r="U312" s="278"/>
      <c r="V312" s="278"/>
      <c r="W312" s="278"/>
      <c r="X312" s="278"/>
    </row>
    <row r="313" ht="15.75" customHeight="1">
      <c r="B313" s="278"/>
      <c r="C313" s="278"/>
      <c r="D313" s="278"/>
      <c r="F313" s="278"/>
      <c r="G313" s="278"/>
      <c r="H313" s="278"/>
      <c r="I313" s="278"/>
      <c r="J313" s="278"/>
      <c r="K313" s="278"/>
      <c r="L313" s="278"/>
      <c r="M313" s="278"/>
      <c r="N313" s="278"/>
      <c r="O313" s="278"/>
      <c r="P313" s="278"/>
      <c r="Q313" s="278"/>
      <c r="R313" s="278"/>
      <c r="S313" s="278"/>
      <c r="T313" s="278"/>
      <c r="U313" s="278"/>
      <c r="V313" s="278"/>
      <c r="W313" s="278"/>
      <c r="X313" s="278"/>
    </row>
    <row r="314" ht="15.75" customHeight="1">
      <c r="B314" s="278"/>
      <c r="C314" s="278"/>
      <c r="D314" s="278"/>
      <c r="F314" s="278"/>
      <c r="G314" s="278"/>
      <c r="H314" s="278"/>
      <c r="I314" s="278"/>
      <c r="J314" s="278"/>
      <c r="K314" s="278"/>
      <c r="L314" s="278"/>
      <c r="M314" s="278"/>
      <c r="N314" s="278"/>
      <c r="O314" s="278"/>
      <c r="P314" s="278"/>
      <c r="Q314" s="278"/>
      <c r="R314" s="278"/>
      <c r="S314" s="278"/>
      <c r="T314" s="278"/>
      <c r="U314" s="278"/>
      <c r="V314" s="278"/>
      <c r="W314" s="278"/>
      <c r="X314" s="278"/>
    </row>
    <row r="315" ht="15.75" customHeight="1">
      <c r="B315" s="278"/>
      <c r="C315" s="278"/>
      <c r="D315" s="278"/>
      <c r="F315" s="278"/>
      <c r="G315" s="278"/>
      <c r="H315" s="278"/>
      <c r="I315" s="278"/>
      <c r="J315" s="278"/>
      <c r="K315" s="278"/>
      <c r="L315" s="278"/>
      <c r="M315" s="278"/>
      <c r="N315" s="278"/>
      <c r="O315" s="278"/>
      <c r="P315" s="278"/>
      <c r="Q315" s="278"/>
      <c r="R315" s="278"/>
      <c r="S315" s="278"/>
      <c r="T315" s="278"/>
      <c r="U315" s="278"/>
      <c r="V315" s="278"/>
      <c r="W315" s="278"/>
      <c r="X315" s="278"/>
    </row>
    <row r="316" ht="15.75" customHeight="1">
      <c r="B316" s="278"/>
      <c r="C316" s="278"/>
      <c r="D316" s="278"/>
      <c r="F316" s="278"/>
      <c r="G316" s="278"/>
      <c r="H316" s="278"/>
      <c r="I316" s="278"/>
      <c r="J316" s="278"/>
      <c r="K316" s="278"/>
      <c r="L316" s="278"/>
      <c r="M316" s="278"/>
      <c r="N316" s="278"/>
      <c r="O316" s="278"/>
      <c r="P316" s="278"/>
      <c r="Q316" s="278"/>
      <c r="R316" s="278"/>
      <c r="S316" s="278"/>
      <c r="T316" s="278"/>
      <c r="U316" s="278"/>
      <c r="V316" s="278"/>
      <c r="W316" s="278"/>
      <c r="X316" s="278"/>
    </row>
    <row r="317" ht="15.75" customHeight="1">
      <c r="B317" s="278"/>
      <c r="C317" s="278"/>
      <c r="D317" s="278"/>
      <c r="F317" s="278"/>
      <c r="G317" s="278"/>
      <c r="H317" s="278"/>
      <c r="I317" s="278"/>
      <c r="J317" s="278"/>
      <c r="K317" s="278"/>
      <c r="L317" s="278"/>
      <c r="M317" s="278"/>
      <c r="N317" s="278"/>
      <c r="O317" s="278"/>
      <c r="P317" s="278"/>
      <c r="Q317" s="278"/>
      <c r="R317" s="278"/>
      <c r="S317" s="278"/>
      <c r="T317" s="278"/>
      <c r="U317" s="278"/>
      <c r="V317" s="278"/>
      <c r="W317" s="278"/>
      <c r="X317" s="278"/>
    </row>
    <row r="318" ht="15.75" customHeight="1">
      <c r="B318" s="278"/>
      <c r="C318" s="278"/>
      <c r="D318" s="278"/>
      <c r="F318" s="278"/>
      <c r="G318" s="278"/>
      <c r="H318" s="278"/>
      <c r="I318" s="278"/>
      <c r="J318" s="278"/>
      <c r="K318" s="278"/>
      <c r="L318" s="278"/>
      <c r="M318" s="278"/>
      <c r="N318" s="278"/>
      <c r="O318" s="278"/>
      <c r="P318" s="278"/>
      <c r="Q318" s="278"/>
      <c r="R318" s="278"/>
      <c r="S318" s="278"/>
      <c r="T318" s="278"/>
      <c r="U318" s="278"/>
      <c r="V318" s="278"/>
      <c r="W318" s="278"/>
      <c r="X318" s="278"/>
    </row>
    <row r="319" ht="15.75" customHeight="1">
      <c r="B319" s="278"/>
      <c r="C319" s="278"/>
      <c r="D319" s="278"/>
      <c r="F319" s="278"/>
      <c r="G319" s="278"/>
      <c r="H319" s="278"/>
      <c r="I319" s="278"/>
      <c r="J319" s="278"/>
      <c r="K319" s="278"/>
      <c r="L319" s="278"/>
      <c r="M319" s="278"/>
      <c r="N319" s="278"/>
      <c r="O319" s="278"/>
      <c r="P319" s="278"/>
      <c r="Q319" s="278"/>
      <c r="R319" s="278"/>
      <c r="S319" s="278"/>
      <c r="T319" s="278"/>
      <c r="U319" s="278"/>
      <c r="V319" s="278"/>
      <c r="W319" s="278"/>
      <c r="X319" s="278"/>
    </row>
    <row r="320" ht="15.75" customHeight="1">
      <c r="B320" s="278"/>
      <c r="C320" s="278"/>
      <c r="D320" s="278"/>
      <c r="F320" s="278"/>
      <c r="G320" s="278"/>
      <c r="H320" s="278"/>
      <c r="I320" s="278"/>
      <c r="J320" s="278"/>
      <c r="K320" s="278"/>
      <c r="L320" s="278"/>
      <c r="M320" s="278"/>
      <c r="N320" s="278"/>
      <c r="O320" s="278"/>
      <c r="P320" s="278"/>
      <c r="Q320" s="278"/>
      <c r="R320" s="278"/>
      <c r="S320" s="278"/>
      <c r="T320" s="278"/>
      <c r="U320" s="278"/>
      <c r="V320" s="278"/>
      <c r="W320" s="278"/>
      <c r="X320" s="278"/>
    </row>
    <row r="321" ht="15.75" customHeight="1">
      <c r="B321" s="278"/>
      <c r="C321" s="278"/>
      <c r="D321" s="278"/>
      <c r="F321" s="278"/>
      <c r="G321" s="278"/>
      <c r="H321" s="278"/>
      <c r="I321" s="278"/>
      <c r="J321" s="278"/>
      <c r="K321" s="278"/>
      <c r="L321" s="278"/>
      <c r="M321" s="278"/>
      <c r="N321" s="278"/>
      <c r="O321" s="278"/>
      <c r="P321" s="278"/>
      <c r="Q321" s="278"/>
      <c r="R321" s="278"/>
      <c r="S321" s="278"/>
      <c r="T321" s="278"/>
      <c r="U321" s="278"/>
      <c r="V321" s="278"/>
      <c r="W321" s="278"/>
      <c r="X321" s="278"/>
    </row>
    <row r="322" ht="15.75" customHeight="1">
      <c r="B322" s="278"/>
      <c r="C322" s="278"/>
      <c r="D322" s="278"/>
      <c r="F322" s="278"/>
      <c r="G322" s="278"/>
      <c r="H322" s="278"/>
      <c r="I322" s="278"/>
      <c r="J322" s="278"/>
      <c r="K322" s="278"/>
      <c r="L322" s="278"/>
      <c r="M322" s="278"/>
      <c r="N322" s="278"/>
      <c r="O322" s="278"/>
      <c r="P322" s="278"/>
      <c r="Q322" s="278"/>
      <c r="R322" s="278"/>
      <c r="S322" s="278"/>
      <c r="T322" s="278"/>
      <c r="U322" s="278"/>
      <c r="V322" s="278"/>
      <c r="W322" s="278"/>
      <c r="X322" s="278"/>
    </row>
    <row r="323" ht="15.75" customHeight="1">
      <c r="B323" s="278"/>
      <c r="C323" s="278"/>
      <c r="D323" s="278"/>
      <c r="F323" s="278"/>
      <c r="G323" s="278"/>
      <c r="H323" s="278"/>
      <c r="I323" s="278"/>
      <c r="J323" s="278"/>
      <c r="K323" s="278"/>
      <c r="L323" s="278"/>
      <c r="M323" s="278"/>
      <c r="N323" s="278"/>
      <c r="O323" s="278"/>
      <c r="P323" s="278"/>
      <c r="Q323" s="278"/>
      <c r="R323" s="278"/>
      <c r="S323" s="278"/>
      <c r="T323" s="278"/>
      <c r="U323" s="278"/>
      <c r="V323" s="278"/>
      <c r="W323" s="278"/>
      <c r="X323" s="278"/>
    </row>
    <row r="324" ht="15.75" customHeight="1">
      <c r="B324" s="278"/>
      <c r="C324" s="278"/>
      <c r="D324" s="278"/>
      <c r="F324" s="278"/>
      <c r="G324" s="278"/>
      <c r="H324" s="278"/>
      <c r="I324" s="278"/>
      <c r="J324" s="278"/>
      <c r="K324" s="278"/>
      <c r="L324" s="278"/>
      <c r="M324" s="278"/>
      <c r="N324" s="278"/>
      <c r="O324" s="278"/>
      <c r="P324" s="278"/>
      <c r="Q324" s="278"/>
      <c r="R324" s="278"/>
      <c r="S324" s="278"/>
      <c r="T324" s="278"/>
      <c r="U324" s="278"/>
      <c r="V324" s="278"/>
      <c r="W324" s="278"/>
      <c r="X324" s="278"/>
    </row>
    <row r="325" ht="15.75" customHeight="1">
      <c r="B325" s="278"/>
      <c r="C325" s="278"/>
      <c r="D325" s="278"/>
      <c r="F325" s="278"/>
      <c r="G325" s="278"/>
      <c r="H325" s="278"/>
      <c r="I325" s="278"/>
      <c r="J325" s="278"/>
      <c r="K325" s="278"/>
      <c r="L325" s="278"/>
      <c r="M325" s="278"/>
      <c r="N325" s="278"/>
      <c r="O325" s="278"/>
      <c r="P325" s="278"/>
      <c r="Q325" s="278"/>
      <c r="R325" s="278"/>
      <c r="S325" s="278"/>
      <c r="T325" s="278"/>
      <c r="U325" s="278"/>
      <c r="V325" s="278"/>
      <c r="W325" s="278"/>
      <c r="X325" s="278"/>
    </row>
    <row r="326" ht="15.75" customHeight="1">
      <c r="B326" s="278"/>
      <c r="C326" s="278"/>
      <c r="D326" s="278"/>
      <c r="F326" s="278"/>
      <c r="G326" s="278"/>
      <c r="H326" s="278"/>
      <c r="I326" s="278"/>
      <c r="J326" s="278"/>
      <c r="K326" s="278"/>
      <c r="L326" s="278"/>
      <c r="M326" s="278"/>
      <c r="N326" s="278"/>
      <c r="O326" s="278"/>
      <c r="P326" s="278"/>
      <c r="Q326" s="278"/>
      <c r="R326" s="278"/>
      <c r="S326" s="278"/>
      <c r="T326" s="278"/>
      <c r="U326" s="278"/>
      <c r="V326" s="278"/>
      <c r="W326" s="278"/>
      <c r="X326" s="278"/>
    </row>
    <row r="327" ht="15.75" customHeight="1">
      <c r="B327" s="278"/>
      <c r="C327" s="278"/>
      <c r="D327" s="278"/>
      <c r="F327" s="278"/>
      <c r="G327" s="278"/>
      <c r="H327" s="278"/>
      <c r="I327" s="278"/>
      <c r="J327" s="278"/>
      <c r="K327" s="278"/>
      <c r="L327" s="278"/>
      <c r="M327" s="278"/>
      <c r="N327" s="278"/>
      <c r="O327" s="278"/>
      <c r="P327" s="278"/>
      <c r="Q327" s="278"/>
      <c r="R327" s="278"/>
      <c r="S327" s="278"/>
      <c r="T327" s="278"/>
      <c r="U327" s="278"/>
      <c r="V327" s="278"/>
      <c r="W327" s="278"/>
      <c r="X327" s="278"/>
    </row>
    <row r="328" ht="15.75" customHeight="1">
      <c r="B328" s="278"/>
      <c r="C328" s="278"/>
      <c r="D328" s="278"/>
      <c r="F328" s="278"/>
      <c r="G328" s="278"/>
      <c r="H328" s="278"/>
      <c r="I328" s="278"/>
      <c r="J328" s="278"/>
      <c r="K328" s="278"/>
      <c r="L328" s="278"/>
      <c r="M328" s="278"/>
      <c r="N328" s="278"/>
      <c r="O328" s="278"/>
      <c r="P328" s="278"/>
      <c r="Q328" s="278"/>
      <c r="R328" s="278"/>
      <c r="S328" s="278"/>
      <c r="T328" s="278"/>
      <c r="U328" s="278"/>
      <c r="V328" s="278"/>
      <c r="W328" s="278"/>
      <c r="X328" s="278"/>
    </row>
    <row r="329" ht="15.75" customHeight="1">
      <c r="B329" s="278"/>
      <c r="C329" s="278"/>
      <c r="D329" s="278"/>
      <c r="F329" s="278"/>
      <c r="G329" s="278"/>
      <c r="H329" s="278"/>
      <c r="I329" s="278"/>
      <c r="J329" s="278"/>
      <c r="K329" s="278"/>
      <c r="L329" s="278"/>
      <c r="M329" s="278"/>
      <c r="N329" s="278"/>
      <c r="O329" s="278"/>
      <c r="P329" s="278"/>
      <c r="Q329" s="278"/>
      <c r="R329" s="278"/>
      <c r="S329" s="278"/>
      <c r="T329" s="278"/>
      <c r="U329" s="278"/>
      <c r="V329" s="278"/>
      <c r="W329" s="278"/>
      <c r="X329" s="278"/>
    </row>
    <row r="330" ht="15.75" customHeight="1">
      <c r="B330" s="278"/>
      <c r="C330" s="278"/>
      <c r="D330" s="278"/>
      <c r="F330" s="278"/>
      <c r="G330" s="278"/>
      <c r="H330" s="278"/>
      <c r="I330" s="278"/>
      <c r="J330" s="278"/>
      <c r="K330" s="278"/>
      <c r="L330" s="278"/>
      <c r="M330" s="278"/>
      <c r="N330" s="278"/>
      <c r="O330" s="278"/>
      <c r="P330" s="278"/>
      <c r="Q330" s="278"/>
      <c r="R330" s="278"/>
      <c r="S330" s="278"/>
      <c r="T330" s="278"/>
      <c r="U330" s="278"/>
      <c r="V330" s="278"/>
      <c r="W330" s="278"/>
      <c r="X330" s="278"/>
    </row>
    <row r="331" ht="15.75" customHeight="1">
      <c r="B331" s="278"/>
      <c r="C331" s="278"/>
      <c r="D331" s="278"/>
      <c r="F331" s="278"/>
      <c r="G331" s="278"/>
      <c r="H331" s="278"/>
      <c r="I331" s="278"/>
      <c r="J331" s="278"/>
      <c r="K331" s="278"/>
      <c r="L331" s="278"/>
      <c r="M331" s="278"/>
      <c r="N331" s="278"/>
      <c r="O331" s="278"/>
      <c r="P331" s="278"/>
      <c r="Q331" s="278"/>
      <c r="R331" s="278"/>
      <c r="S331" s="278"/>
      <c r="T331" s="278"/>
      <c r="U331" s="278"/>
      <c r="V331" s="278"/>
      <c r="W331" s="278"/>
      <c r="X331" s="278"/>
    </row>
    <row r="332" ht="15.75" customHeight="1">
      <c r="B332" s="278"/>
      <c r="C332" s="278"/>
      <c r="D332" s="278"/>
      <c r="F332" s="278"/>
      <c r="G332" s="278"/>
      <c r="H332" s="278"/>
      <c r="I332" s="278"/>
      <c r="J332" s="278"/>
      <c r="K332" s="278"/>
      <c r="L332" s="278"/>
      <c r="M332" s="278"/>
      <c r="N332" s="278"/>
      <c r="O332" s="278"/>
      <c r="P332" s="278"/>
      <c r="Q332" s="278"/>
      <c r="R332" s="278"/>
      <c r="S332" s="278"/>
      <c r="T332" s="278"/>
      <c r="U332" s="278"/>
      <c r="V332" s="278"/>
      <c r="W332" s="278"/>
      <c r="X332" s="278"/>
    </row>
    <row r="333" ht="15.75" customHeight="1">
      <c r="B333" s="278"/>
      <c r="C333" s="278"/>
      <c r="D333" s="278"/>
      <c r="F333" s="278"/>
      <c r="G333" s="278"/>
      <c r="H333" s="278"/>
      <c r="I333" s="278"/>
      <c r="J333" s="278"/>
      <c r="K333" s="278"/>
      <c r="L333" s="278"/>
      <c r="M333" s="278"/>
      <c r="N333" s="278"/>
      <c r="O333" s="278"/>
      <c r="P333" s="278"/>
      <c r="Q333" s="278"/>
      <c r="R333" s="278"/>
      <c r="S333" s="278"/>
      <c r="T333" s="278"/>
      <c r="U333" s="278"/>
      <c r="V333" s="278"/>
      <c r="W333" s="278"/>
      <c r="X333" s="278"/>
    </row>
    <row r="334" ht="15.75" customHeight="1">
      <c r="B334" s="278"/>
      <c r="C334" s="278"/>
      <c r="D334" s="278"/>
      <c r="F334" s="278"/>
      <c r="G334" s="278"/>
      <c r="H334" s="278"/>
      <c r="I334" s="278"/>
      <c r="J334" s="278"/>
      <c r="K334" s="278"/>
      <c r="L334" s="278"/>
      <c r="M334" s="278"/>
      <c r="N334" s="278"/>
      <c r="O334" s="278"/>
      <c r="P334" s="278"/>
      <c r="Q334" s="278"/>
      <c r="R334" s="278"/>
      <c r="S334" s="278"/>
      <c r="T334" s="278"/>
      <c r="U334" s="278"/>
      <c r="V334" s="278"/>
      <c r="W334" s="278"/>
      <c r="X334" s="278"/>
    </row>
    <row r="335" ht="15.75" customHeight="1">
      <c r="B335" s="278"/>
      <c r="C335" s="278"/>
      <c r="D335" s="278"/>
      <c r="F335" s="278"/>
      <c r="G335" s="278"/>
      <c r="H335" s="278"/>
      <c r="I335" s="278"/>
      <c r="J335" s="278"/>
      <c r="K335" s="278"/>
      <c r="L335" s="278"/>
      <c r="M335" s="278"/>
      <c r="N335" s="278"/>
      <c r="O335" s="278"/>
      <c r="P335" s="278"/>
      <c r="Q335" s="278"/>
      <c r="R335" s="278"/>
      <c r="S335" s="278"/>
      <c r="T335" s="278"/>
      <c r="U335" s="278"/>
      <c r="V335" s="278"/>
      <c r="W335" s="278"/>
      <c r="X335" s="278"/>
    </row>
    <row r="336" ht="15.75" customHeight="1">
      <c r="B336" s="278"/>
      <c r="C336" s="278"/>
      <c r="D336" s="278"/>
      <c r="F336" s="278"/>
      <c r="G336" s="278"/>
      <c r="H336" s="278"/>
      <c r="I336" s="278"/>
      <c r="J336" s="278"/>
      <c r="K336" s="278"/>
      <c r="L336" s="278"/>
      <c r="M336" s="278"/>
      <c r="N336" s="278"/>
      <c r="O336" s="278"/>
      <c r="P336" s="278"/>
      <c r="Q336" s="278"/>
      <c r="R336" s="278"/>
      <c r="S336" s="278"/>
      <c r="T336" s="278"/>
      <c r="U336" s="278"/>
      <c r="V336" s="278"/>
      <c r="W336" s="278"/>
      <c r="X336" s="278"/>
    </row>
    <row r="337" ht="15.75" customHeight="1">
      <c r="B337" s="278"/>
      <c r="C337" s="278"/>
      <c r="D337" s="278"/>
      <c r="F337" s="278"/>
      <c r="G337" s="278"/>
      <c r="H337" s="278"/>
      <c r="I337" s="278"/>
      <c r="J337" s="278"/>
      <c r="K337" s="278"/>
      <c r="L337" s="278"/>
      <c r="M337" s="278"/>
      <c r="N337" s="278"/>
      <c r="O337" s="278"/>
      <c r="P337" s="278"/>
      <c r="Q337" s="278"/>
      <c r="R337" s="278"/>
      <c r="S337" s="278"/>
      <c r="T337" s="278"/>
      <c r="U337" s="278"/>
      <c r="V337" s="278"/>
      <c r="W337" s="278"/>
      <c r="X337" s="278"/>
    </row>
    <row r="338" ht="15.75" customHeight="1">
      <c r="B338" s="278"/>
      <c r="C338" s="278"/>
      <c r="D338" s="278"/>
      <c r="F338" s="278"/>
      <c r="G338" s="278"/>
      <c r="H338" s="278"/>
      <c r="I338" s="278"/>
      <c r="J338" s="278"/>
      <c r="K338" s="278"/>
      <c r="L338" s="278"/>
      <c r="M338" s="278"/>
      <c r="N338" s="278"/>
      <c r="O338" s="278"/>
      <c r="P338" s="278"/>
      <c r="Q338" s="278"/>
      <c r="R338" s="278"/>
      <c r="S338" s="278"/>
      <c r="T338" s="278"/>
      <c r="U338" s="278"/>
      <c r="V338" s="278"/>
      <c r="W338" s="278"/>
      <c r="X338" s="278"/>
    </row>
    <row r="339" ht="15.75" customHeight="1">
      <c r="B339" s="278"/>
      <c r="C339" s="278"/>
      <c r="D339" s="278"/>
      <c r="F339" s="278"/>
      <c r="G339" s="278"/>
      <c r="H339" s="278"/>
      <c r="I339" s="278"/>
      <c r="J339" s="278"/>
      <c r="K339" s="278"/>
      <c r="L339" s="278"/>
      <c r="M339" s="278"/>
      <c r="N339" s="278"/>
      <c r="O339" s="278"/>
      <c r="P339" s="278"/>
      <c r="Q339" s="278"/>
      <c r="R339" s="278"/>
      <c r="S339" s="278"/>
      <c r="T339" s="278"/>
      <c r="U339" s="278"/>
      <c r="V339" s="278"/>
      <c r="W339" s="278"/>
      <c r="X339" s="278"/>
    </row>
    <row r="340" ht="15.75" customHeight="1">
      <c r="B340" s="278"/>
      <c r="C340" s="278"/>
      <c r="D340" s="278"/>
      <c r="F340" s="278"/>
      <c r="G340" s="278"/>
      <c r="H340" s="278"/>
      <c r="I340" s="278"/>
      <c r="J340" s="278"/>
      <c r="K340" s="278"/>
      <c r="L340" s="278"/>
      <c r="M340" s="278"/>
      <c r="N340" s="278"/>
      <c r="O340" s="278"/>
      <c r="P340" s="278"/>
      <c r="Q340" s="278"/>
      <c r="R340" s="278"/>
      <c r="S340" s="278"/>
      <c r="T340" s="278"/>
      <c r="U340" s="278"/>
      <c r="V340" s="278"/>
      <c r="W340" s="278"/>
      <c r="X340" s="278"/>
    </row>
    <row r="341" ht="15.75" customHeight="1">
      <c r="B341" s="278"/>
      <c r="C341" s="278"/>
      <c r="D341" s="278"/>
      <c r="F341" s="278"/>
      <c r="G341" s="278"/>
      <c r="H341" s="278"/>
      <c r="I341" s="278"/>
      <c r="J341" s="278"/>
      <c r="K341" s="278"/>
      <c r="L341" s="278"/>
      <c r="M341" s="278"/>
      <c r="N341" s="278"/>
      <c r="O341" s="278"/>
      <c r="P341" s="278"/>
      <c r="Q341" s="278"/>
      <c r="R341" s="278"/>
      <c r="S341" s="278"/>
      <c r="T341" s="278"/>
      <c r="U341" s="278"/>
      <c r="V341" s="278"/>
      <c r="W341" s="278"/>
      <c r="X341" s="278"/>
    </row>
    <row r="342" ht="15.75" customHeight="1">
      <c r="B342" s="278"/>
      <c r="C342" s="278"/>
      <c r="D342" s="278"/>
      <c r="F342" s="278"/>
      <c r="G342" s="278"/>
      <c r="H342" s="278"/>
      <c r="I342" s="278"/>
      <c r="J342" s="278"/>
      <c r="K342" s="278"/>
      <c r="L342" s="278"/>
      <c r="M342" s="278"/>
      <c r="N342" s="278"/>
      <c r="O342" s="278"/>
      <c r="P342" s="278"/>
      <c r="Q342" s="278"/>
      <c r="R342" s="278"/>
      <c r="S342" s="278"/>
      <c r="T342" s="278"/>
      <c r="U342" s="278"/>
      <c r="V342" s="278"/>
      <c r="W342" s="278"/>
      <c r="X342" s="278"/>
    </row>
    <row r="343" ht="15.75" customHeight="1">
      <c r="B343" s="278"/>
      <c r="C343" s="278"/>
      <c r="D343" s="278"/>
      <c r="F343" s="278"/>
      <c r="G343" s="278"/>
      <c r="H343" s="278"/>
      <c r="I343" s="278"/>
      <c r="J343" s="278"/>
      <c r="K343" s="278"/>
      <c r="L343" s="278"/>
      <c r="M343" s="278"/>
      <c r="N343" s="278"/>
      <c r="O343" s="278"/>
      <c r="P343" s="278"/>
      <c r="Q343" s="278"/>
      <c r="R343" s="278"/>
      <c r="S343" s="278"/>
      <c r="T343" s="278"/>
      <c r="U343" s="278"/>
      <c r="V343" s="278"/>
      <c r="W343" s="278"/>
      <c r="X343" s="278"/>
    </row>
    <row r="344" ht="15.75" customHeight="1">
      <c r="B344" s="278"/>
      <c r="C344" s="278"/>
      <c r="D344" s="278"/>
      <c r="F344" s="278"/>
      <c r="G344" s="278"/>
      <c r="H344" s="278"/>
      <c r="I344" s="278"/>
      <c r="J344" s="278"/>
      <c r="K344" s="278"/>
      <c r="L344" s="278"/>
      <c r="M344" s="278"/>
      <c r="N344" s="278"/>
      <c r="O344" s="278"/>
      <c r="P344" s="278"/>
      <c r="Q344" s="278"/>
      <c r="R344" s="278"/>
      <c r="S344" s="278"/>
      <c r="T344" s="278"/>
      <c r="U344" s="278"/>
      <c r="V344" s="278"/>
      <c r="W344" s="278"/>
      <c r="X344" s="278"/>
    </row>
    <row r="345" ht="15.75" customHeight="1">
      <c r="B345" s="278"/>
      <c r="C345" s="278"/>
      <c r="D345" s="278"/>
      <c r="F345" s="278"/>
      <c r="G345" s="278"/>
      <c r="H345" s="278"/>
      <c r="I345" s="278"/>
      <c r="J345" s="278"/>
      <c r="K345" s="278"/>
      <c r="L345" s="278"/>
      <c r="M345" s="278"/>
      <c r="N345" s="278"/>
      <c r="O345" s="278"/>
      <c r="P345" s="278"/>
      <c r="Q345" s="278"/>
      <c r="R345" s="278"/>
      <c r="S345" s="278"/>
      <c r="T345" s="278"/>
      <c r="U345" s="278"/>
      <c r="V345" s="278"/>
      <c r="W345" s="278"/>
      <c r="X345" s="278"/>
    </row>
    <row r="346" ht="15.75" customHeight="1">
      <c r="B346" s="278"/>
      <c r="C346" s="278"/>
      <c r="D346" s="278"/>
      <c r="F346" s="278"/>
      <c r="G346" s="278"/>
      <c r="H346" s="278"/>
      <c r="I346" s="278"/>
      <c r="J346" s="278"/>
      <c r="K346" s="278"/>
      <c r="L346" s="278"/>
      <c r="M346" s="278"/>
      <c r="N346" s="278"/>
      <c r="O346" s="278"/>
      <c r="P346" s="278"/>
      <c r="Q346" s="278"/>
      <c r="R346" s="278"/>
      <c r="S346" s="278"/>
      <c r="T346" s="278"/>
      <c r="U346" s="278"/>
      <c r="V346" s="278"/>
      <c r="W346" s="278"/>
      <c r="X346" s="278"/>
    </row>
    <row r="347" ht="15.75" customHeight="1">
      <c r="B347" s="278"/>
      <c r="C347" s="278"/>
      <c r="D347" s="278"/>
      <c r="F347" s="278"/>
      <c r="G347" s="278"/>
      <c r="H347" s="278"/>
      <c r="I347" s="278"/>
      <c r="J347" s="278"/>
      <c r="K347" s="278"/>
      <c r="L347" s="278"/>
      <c r="M347" s="278"/>
      <c r="N347" s="278"/>
      <c r="O347" s="278"/>
      <c r="P347" s="278"/>
      <c r="Q347" s="278"/>
      <c r="R347" s="278"/>
      <c r="S347" s="278"/>
      <c r="T347" s="278"/>
      <c r="U347" s="278"/>
      <c r="V347" s="278"/>
      <c r="W347" s="278"/>
      <c r="X347" s="278"/>
    </row>
    <row r="348" ht="15.75" customHeight="1">
      <c r="B348" s="278"/>
      <c r="C348" s="278"/>
      <c r="D348" s="278"/>
      <c r="F348" s="278"/>
      <c r="G348" s="278"/>
      <c r="H348" s="278"/>
      <c r="I348" s="278"/>
      <c r="J348" s="278"/>
      <c r="K348" s="278"/>
      <c r="L348" s="278"/>
      <c r="M348" s="278"/>
      <c r="N348" s="278"/>
      <c r="O348" s="278"/>
      <c r="P348" s="278"/>
      <c r="Q348" s="278"/>
      <c r="R348" s="278"/>
      <c r="S348" s="278"/>
      <c r="T348" s="278"/>
      <c r="U348" s="278"/>
      <c r="V348" s="278"/>
      <c r="W348" s="278"/>
      <c r="X348" s="278"/>
    </row>
    <row r="349" ht="15.75" customHeight="1">
      <c r="B349" s="278"/>
      <c r="C349" s="278"/>
      <c r="D349" s="278"/>
      <c r="F349" s="278"/>
      <c r="G349" s="278"/>
      <c r="H349" s="278"/>
      <c r="I349" s="278"/>
      <c r="J349" s="278"/>
      <c r="K349" s="278"/>
      <c r="L349" s="278"/>
      <c r="M349" s="278"/>
      <c r="N349" s="278"/>
      <c r="O349" s="278"/>
      <c r="P349" s="278"/>
      <c r="Q349" s="278"/>
      <c r="R349" s="278"/>
      <c r="S349" s="278"/>
      <c r="T349" s="278"/>
      <c r="U349" s="278"/>
      <c r="V349" s="278"/>
      <c r="W349" s="278"/>
      <c r="X349" s="278"/>
    </row>
    <row r="350" ht="15.75" customHeight="1">
      <c r="B350" s="278"/>
      <c r="C350" s="278"/>
      <c r="D350" s="278"/>
      <c r="F350" s="278"/>
      <c r="G350" s="278"/>
      <c r="H350" s="278"/>
      <c r="I350" s="278"/>
      <c r="J350" s="278"/>
      <c r="K350" s="278"/>
      <c r="L350" s="278"/>
      <c r="M350" s="278"/>
      <c r="N350" s="278"/>
      <c r="O350" s="278"/>
      <c r="P350" s="278"/>
      <c r="Q350" s="278"/>
      <c r="R350" s="278"/>
      <c r="S350" s="278"/>
      <c r="T350" s="278"/>
      <c r="U350" s="278"/>
      <c r="V350" s="278"/>
      <c r="W350" s="278"/>
      <c r="X350" s="278"/>
    </row>
    <row r="351" ht="15.75" customHeight="1">
      <c r="B351" s="278"/>
      <c r="C351" s="278"/>
      <c r="D351" s="278"/>
      <c r="F351" s="278"/>
      <c r="G351" s="278"/>
      <c r="H351" s="278"/>
      <c r="I351" s="278"/>
      <c r="J351" s="278"/>
      <c r="K351" s="278"/>
      <c r="L351" s="278"/>
      <c r="M351" s="278"/>
      <c r="N351" s="278"/>
      <c r="O351" s="278"/>
      <c r="P351" s="278"/>
      <c r="Q351" s="278"/>
      <c r="R351" s="278"/>
      <c r="S351" s="278"/>
      <c r="T351" s="278"/>
      <c r="U351" s="278"/>
      <c r="V351" s="278"/>
      <c r="W351" s="278"/>
      <c r="X351" s="278"/>
    </row>
    <row r="352" ht="15.75" customHeight="1">
      <c r="B352" s="278"/>
      <c r="C352" s="278"/>
      <c r="D352" s="278"/>
      <c r="F352" s="278"/>
      <c r="G352" s="278"/>
      <c r="H352" s="278"/>
      <c r="I352" s="278"/>
      <c r="J352" s="278"/>
      <c r="K352" s="278"/>
      <c r="L352" s="278"/>
      <c r="M352" s="278"/>
      <c r="N352" s="278"/>
      <c r="O352" s="278"/>
      <c r="P352" s="278"/>
      <c r="Q352" s="278"/>
      <c r="R352" s="278"/>
      <c r="S352" s="278"/>
      <c r="T352" s="278"/>
      <c r="U352" s="278"/>
      <c r="V352" s="278"/>
      <c r="W352" s="278"/>
      <c r="X352" s="278"/>
    </row>
    <row r="353" ht="15.75" customHeight="1">
      <c r="B353" s="278"/>
      <c r="C353" s="278"/>
      <c r="D353" s="278"/>
      <c r="F353" s="278"/>
      <c r="G353" s="278"/>
      <c r="H353" s="278"/>
      <c r="I353" s="278"/>
      <c r="J353" s="278"/>
      <c r="K353" s="278"/>
      <c r="L353" s="278"/>
      <c r="M353" s="278"/>
      <c r="N353" s="278"/>
      <c r="O353" s="278"/>
      <c r="P353" s="278"/>
      <c r="Q353" s="278"/>
      <c r="R353" s="278"/>
      <c r="S353" s="278"/>
      <c r="T353" s="278"/>
      <c r="U353" s="278"/>
      <c r="V353" s="278"/>
      <c r="W353" s="278"/>
      <c r="X353" s="278"/>
    </row>
    <row r="354" ht="15.75" customHeight="1">
      <c r="B354" s="278"/>
      <c r="C354" s="278"/>
      <c r="D354" s="278"/>
      <c r="F354" s="278"/>
      <c r="G354" s="278"/>
      <c r="H354" s="278"/>
      <c r="I354" s="278"/>
      <c r="J354" s="278"/>
      <c r="K354" s="278"/>
      <c r="L354" s="278"/>
      <c r="M354" s="278"/>
      <c r="N354" s="278"/>
      <c r="O354" s="278"/>
      <c r="P354" s="278"/>
      <c r="Q354" s="278"/>
      <c r="R354" s="278"/>
      <c r="S354" s="278"/>
      <c r="T354" s="278"/>
      <c r="U354" s="278"/>
      <c r="V354" s="278"/>
      <c r="W354" s="278"/>
      <c r="X354" s="278"/>
    </row>
    <row r="355" ht="15.75" customHeight="1">
      <c r="B355" s="278"/>
      <c r="C355" s="278"/>
      <c r="D355" s="278"/>
      <c r="F355" s="278"/>
      <c r="G355" s="278"/>
      <c r="H355" s="278"/>
      <c r="I355" s="278"/>
      <c r="J355" s="278"/>
      <c r="K355" s="278"/>
      <c r="L355" s="278"/>
      <c r="M355" s="278"/>
      <c r="N355" s="278"/>
      <c r="O355" s="278"/>
      <c r="P355" s="278"/>
      <c r="Q355" s="278"/>
      <c r="R355" s="278"/>
      <c r="S355" s="278"/>
      <c r="T355" s="278"/>
      <c r="U355" s="278"/>
      <c r="V355" s="278"/>
      <c r="W355" s="278"/>
      <c r="X355" s="278"/>
    </row>
    <row r="356" ht="15.75" customHeight="1">
      <c r="B356" s="278"/>
      <c r="C356" s="278"/>
      <c r="D356" s="278"/>
      <c r="F356" s="278"/>
      <c r="G356" s="278"/>
      <c r="H356" s="278"/>
      <c r="I356" s="278"/>
      <c r="J356" s="278"/>
      <c r="K356" s="278"/>
      <c r="L356" s="278"/>
      <c r="M356" s="278"/>
      <c r="N356" s="278"/>
      <c r="O356" s="278"/>
      <c r="P356" s="278"/>
      <c r="Q356" s="278"/>
      <c r="R356" s="278"/>
      <c r="S356" s="278"/>
      <c r="T356" s="278"/>
      <c r="U356" s="278"/>
      <c r="V356" s="278"/>
      <c r="W356" s="278"/>
      <c r="X356" s="278"/>
    </row>
    <row r="357" ht="15.75" customHeight="1">
      <c r="B357" s="278"/>
      <c r="C357" s="278"/>
      <c r="D357" s="278"/>
      <c r="F357" s="278"/>
      <c r="G357" s="278"/>
      <c r="H357" s="278"/>
      <c r="I357" s="278"/>
      <c r="J357" s="278"/>
      <c r="K357" s="278"/>
      <c r="L357" s="278"/>
      <c r="M357" s="278"/>
      <c r="N357" s="278"/>
      <c r="O357" s="278"/>
      <c r="P357" s="278"/>
      <c r="Q357" s="278"/>
      <c r="R357" s="278"/>
      <c r="S357" s="278"/>
      <c r="T357" s="278"/>
      <c r="U357" s="278"/>
      <c r="V357" s="278"/>
      <c r="W357" s="278"/>
      <c r="X357" s="278"/>
    </row>
    <row r="358" ht="15.75" customHeight="1">
      <c r="B358" s="278"/>
      <c r="C358" s="278"/>
      <c r="D358" s="278"/>
      <c r="F358" s="278"/>
      <c r="G358" s="278"/>
      <c r="H358" s="278"/>
      <c r="I358" s="278"/>
      <c r="J358" s="278"/>
      <c r="K358" s="278"/>
      <c r="L358" s="278"/>
      <c r="M358" s="278"/>
      <c r="N358" s="278"/>
      <c r="O358" s="278"/>
      <c r="P358" s="278"/>
      <c r="Q358" s="278"/>
      <c r="R358" s="278"/>
      <c r="S358" s="278"/>
      <c r="T358" s="278"/>
      <c r="U358" s="278"/>
      <c r="V358" s="278"/>
      <c r="W358" s="278"/>
      <c r="X358" s="278"/>
    </row>
    <row r="359" ht="15.75" customHeight="1">
      <c r="B359" s="278"/>
      <c r="C359" s="278"/>
      <c r="D359" s="278"/>
      <c r="F359" s="278"/>
      <c r="G359" s="278"/>
      <c r="H359" s="278"/>
      <c r="I359" s="278"/>
      <c r="J359" s="278"/>
      <c r="K359" s="278"/>
      <c r="L359" s="278"/>
      <c r="M359" s="278"/>
      <c r="N359" s="278"/>
      <c r="O359" s="278"/>
      <c r="P359" s="278"/>
      <c r="Q359" s="278"/>
      <c r="R359" s="278"/>
      <c r="S359" s="278"/>
      <c r="T359" s="278"/>
      <c r="U359" s="278"/>
      <c r="V359" s="278"/>
      <c r="W359" s="278"/>
      <c r="X359" s="278"/>
    </row>
    <row r="360" ht="15.75" customHeight="1">
      <c r="B360" s="278"/>
      <c r="C360" s="278"/>
      <c r="D360" s="278"/>
      <c r="F360" s="278"/>
      <c r="G360" s="278"/>
      <c r="H360" s="278"/>
      <c r="I360" s="278"/>
      <c r="J360" s="278"/>
      <c r="K360" s="278"/>
      <c r="L360" s="278"/>
      <c r="M360" s="278"/>
      <c r="N360" s="278"/>
      <c r="O360" s="278"/>
      <c r="P360" s="278"/>
      <c r="Q360" s="278"/>
      <c r="R360" s="278"/>
      <c r="S360" s="278"/>
      <c r="T360" s="278"/>
      <c r="U360" s="278"/>
      <c r="V360" s="278"/>
      <c r="W360" s="278"/>
      <c r="X360" s="278"/>
    </row>
    <row r="361" ht="15.75" customHeight="1">
      <c r="B361" s="278"/>
      <c r="C361" s="278"/>
      <c r="D361" s="278"/>
      <c r="F361" s="278"/>
      <c r="G361" s="278"/>
      <c r="H361" s="278"/>
      <c r="I361" s="278"/>
      <c r="J361" s="278"/>
      <c r="K361" s="278"/>
      <c r="L361" s="278"/>
      <c r="M361" s="278"/>
      <c r="N361" s="278"/>
      <c r="O361" s="278"/>
      <c r="P361" s="278"/>
      <c r="Q361" s="278"/>
      <c r="R361" s="278"/>
      <c r="S361" s="278"/>
      <c r="T361" s="278"/>
      <c r="U361" s="278"/>
      <c r="V361" s="278"/>
      <c r="W361" s="278"/>
      <c r="X361" s="278"/>
    </row>
    <row r="362" ht="15.75" customHeight="1">
      <c r="B362" s="278"/>
      <c r="C362" s="278"/>
      <c r="D362" s="278"/>
      <c r="F362" s="278"/>
      <c r="G362" s="278"/>
      <c r="H362" s="278"/>
      <c r="I362" s="278"/>
      <c r="J362" s="278"/>
      <c r="K362" s="278"/>
      <c r="L362" s="278"/>
      <c r="M362" s="278"/>
      <c r="N362" s="278"/>
      <c r="O362" s="278"/>
      <c r="P362" s="278"/>
      <c r="Q362" s="278"/>
      <c r="R362" s="278"/>
      <c r="S362" s="278"/>
      <c r="T362" s="278"/>
      <c r="U362" s="278"/>
      <c r="V362" s="278"/>
      <c r="W362" s="278"/>
      <c r="X362" s="278"/>
    </row>
    <row r="363" ht="15.75" customHeight="1">
      <c r="B363" s="278"/>
      <c r="C363" s="278"/>
      <c r="D363" s="278"/>
      <c r="F363" s="278"/>
      <c r="G363" s="278"/>
      <c r="H363" s="278"/>
      <c r="I363" s="278"/>
      <c r="J363" s="278"/>
      <c r="K363" s="278"/>
      <c r="L363" s="278"/>
      <c r="M363" s="278"/>
      <c r="N363" s="278"/>
      <c r="O363" s="278"/>
      <c r="P363" s="278"/>
      <c r="Q363" s="278"/>
      <c r="R363" s="278"/>
      <c r="S363" s="278"/>
      <c r="T363" s="278"/>
      <c r="U363" s="278"/>
      <c r="V363" s="278"/>
      <c r="W363" s="278"/>
      <c r="X363" s="278"/>
    </row>
    <row r="364" ht="15.75" customHeight="1">
      <c r="B364" s="278"/>
      <c r="C364" s="278"/>
      <c r="D364" s="278"/>
      <c r="F364" s="278"/>
      <c r="G364" s="278"/>
      <c r="H364" s="278"/>
      <c r="I364" s="278"/>
      <c r="J364" s="278"/>
      <c r="K364" s="278"/>
      <c r="L364" s="278"/>
      <c r="M364" s="278"/>
      <c r="N364" s="278"/>
      <c r="O364" s="278"/>
      <c r="P364" s="278"/>
      <c r="Q364" s="278"/>
      <c r="R364" s="278"/>
      <c r="S364" s="278"/>
      <c r="T364" s="278"/>
      <c r="U364" s="278"/>
      <c r="V364" s="278"/>
      <c r="W364" s="278"/>
      <c r="X364" s="278"/>
    </row>
    <row r="365" ht="15.75" customHeight="1">
      <c r="B365" s="278"/>
      <c r="C365" s="278"/>
      <c r="D365" s="278"/>
      <c r="F365" s="278"/>
      <c r="G365" s="278"/>
      <c r="H365" s="278"/>
      <c r="I365" s="278"/>
      <c r="J365" s="278"/>
      <c r="K365" s="278"/>
      <c r="L365" s="278"/>
      <c r="M365" s="278"/>
      <c r="N365" s="278"/>
      <c r="O365" s="278"/>
      <c r="P365" s="278"/>
      <c r="Q365" s="278"/>
      <c r="R365" s="278"/>
      <c r="S365" s="278"/>
      <c r="T365" s="278"/>
      <c r="U365" s="278"/>
      <c r="V365" s="278"/>
      <c r="W365" s="278"/>
      <c r="X365" s="278"/>
    </row>
    <row r="366" ht="15.75" customHeight="1">
      <c r="B366" s="278"/>
      <c r="C366" s="278"/>
      <c r="D366" s="278"/>
      <c r="F366" s="278"/>
      <c r="G366" s="278"/>
      <c r="H366" s="278"/>
      <c r="I366" s="278"/>
      <c r="J366" s="278"/>
      <c r="K366" s="278"/>
      <c r="L366" s="278"/>
      <c r="M366" s="278"/>
      <c r="N366" s="278"/>
      <c r="O366" s="278"/>
      <c r="P366" s="278"/>
      <c r="Q366" s="278"/>
      <c r="R366" s="278"/>
      <c r="S366" s="278"/>
      <c r="T366" s="278"/>
      <c r="U366" s="278"/>
      <c r="V366" s="278"/>
      <c r="W366" s="278"/>
      <c r="X366" s="278"/>
    </row>
    <row r="367" ht="15.75" customHeight="1">
      <c r="B367" s="278"/>
      <c r="C367" s="278"/>
      <c r="D367" s="278"/>
      <c r="F367" s="278"/>
      <c r="G367" s="278"/>
      <c r="H367" s="278"/>
      <c r="I367" s="278"/>
      <c r="J367" s="278"/>
      <c r="K367" s="278"/>
      <c r="L367" s="278"/>
      <c r="M367" s="278"/>
      <c r="N367" s="278"/>
      <c r="O367" s="278"/>
      <c r="P367" s="278"/>
      <c r="Q367" s="278"/>
      <c r="R367" s="278"/>
      <c r="S367" s="278"/>
      <c r="T367" s="278"/>
      <c r="U367" s="278"/>
      <c r="V367" s="278"/>
      <c r="W367" s="278"/>
      <c r="X367" s="278"/>
    </row>
    <row r="368" ht="15.75" customHeight="1">
      <c r="B368" s="278"/>
      <c r="C368" s="278"/>
      <c r="D368" s="278"/>
      <c r="F368" s="278"/>
      <c r="G368" s="278"/>
      <c r="H368" s="278"/>
      <c r="I368" s="278"/>
      <c r="J368" s="278"/>
      <c r="K368" s="278"/>
      <c r="L368" s="278"/>
      <c r="M368" s="278"/>
      <c r="N368" s="278"/>
      <c r="O368" s="278"/>
      <c r="P368" s="278"/>
      <c r="Q368" s="278"/>
      <c r="R368" s="278"/>
      <c r="S368" s="278"/>
      <c r="T368" s="278"/>
      <c r="U368" s="278"/>
      <c r="V368" s="278"/>
      <c r="W368" s="278"/>
      <c r="X368" s="278"/>
    </row>
    <row r="369" ht="15.75" customHeight="1">
      <c r="B369" s="278"/>
      <c r="C369" s="278"/>
      <c r="D369" s="278"/>
      <c r="F369" s="278"/>
      <c r="G369" s="278"/>
      <c r="H369" s="278"/>
      <c r="I369" s="278"/>
      <c r="J369" s="278"/>
      <c r="K369" s="278"/>
      <c r="L369" s="278"/>
      <c r="M369" s="278"/>
      <c r="N369" s="278"/>
      <c r="O369" s="278"/>
      <c r="P369" s="278"/>
      <c r="Q369" s="278"/>
      <c r="R369" s="278"/>
      <c r="S369" s="278"/>
      <c r="T369" s="278"/>
      <c r="U369" s="278"/>
      <c r="V369" s="278"/>
      <c r="W369" s="278"/>
      <c r="X369" s="278"/>
    </row>
    <row r="370" ht="15.75" customHeight="1">
      <c r="B370" s="278"/>
      <c r="C370" s="278"/>
      <c r="D370" s="278"/>
      <c r="F370" s="278"/>
      <c r="G370" s="278"/>
      <c r="H370" s="278"/>
      <c r="I370" s="278"/>
      <c r="J370" s="278"/>
      <c r="K370" s="278"/>
      <c r="L370" s="278"/>
      <c r="M370" s="278"/>
      <c r="N370" s="278"/>
      <c r="O370" s="278"/>
      <c r="P370" s="278"/>
      <c r="Q370" s="278"/>
      <c r="R370" s="278"/>
      <c r="S370" s="278"/>
      <c r="T370" s="278"/>
      <c r="U370" s="278"/>
      <c r="V370" s="278"/>
      <c r="W370" s="278"/>
      <c r="X370" s="278"/>
    </row>
    <row r="371" ht="15.75" customHeight="1">
      <c r="B371" s="278"/>
      <c r="C371" s="278"/>
      <c r="D371" s="278"/>
      <c r="F371" s="278"/>
      <c r="G371" s="278"/>
      <c r="H371" s="278"/>
      <c r="I371" s="278"/>
      <c r="J371" s="278"/>
      <c r="K371" s="278"/>
      <c r="L371" s="278"/>
      <c r="M371" s="278"/>
      <c r="N371" s="278"/>
      <c r="O371" s="278"/>
      <c r="P371" s="278"/>
      <c r="Q371" s="278"/>
      <c r="R371" s="278"/>
      <c r="S371" s="278"/>
      <c r="T371" s="278"/>
      <c r="U371" s="278"/>
      <c r="V371" s="278"/>
      <c r="W371" s="278"/>
      <c r="X371" s="278"/>
    </row>
    <row r="372" ht="15.75" customHeight="1">
      <c r="B372" s="278"/>
      <c r="C372" s="278"/>
      <c r="D372" s="278"/>
      <c r="F372" s="278"/>
      <c r="G372" s="278"/>
      <c r="H372" s="278"/>
      <c r="I372" s="278"/>
      <c r="J372" s="278"/>
      <c r="K372" s="278"/>
      <c r="L372" s="278"/>
      <c r="M372" s="278"/>
      <c r="N372" s="278"/>
      <c r="O372" s="278"/>
      <c r="P372" s="278"/>
      <c r="Q372" s="278"/>
      <c r="R372" s="278"/>
      <c r="S372" s="278"/>
      <c r="T372" s="278"/>
      <c r="U372" s="278"/>
      <c r="V372" s="278"/>
      <c r="W372" s="278"/>
      <c r="X372" s="278"/>
    </row>
    <row r="373" ht="15.75" customHeight="1">
      <c r="B373" s="278"/>
      <c r="C373" s="278"/>
      <c r="D373" s="278"/>
      <c r="F373" s="278"/>
      <c r="G373" s="278"/>
      <c r="H373" s="278"/>
      <c r="I373" s="278"/>
      <c r="J373" s="278"/>
      <c r="K373" s="278"/>
      <c r="L373" s="278"/>
      <c r="M373" s="278"/>
      <c r="N373" s="278"/>
      <c r="O373" s="278"/>
      <c r="P373" s="278"/>
      <c r="Q373" s="278"/>
      <c r="R373" s="278"/>
      <c r="S373" s="278"/>
      <c r="T373" s="278"/>
      <c r="U373" s="278"/>
      <c r="V373" s="278"/>
      <c r="W373" s="278"/>
      <c r="X373" s="278"/>
    </row>
    <row r="374" ht="15.75" customHeight="1">
      <c r="B374" s="278"/>
      <c r="C374" s="278"/>
      <c r="D374" s="278"/>
      <c r="F374" s="278"/>
      <c r="G374" s="278"/>
      <c r="H374" s="278"/>
      <c r="I374" s="278"/>
      <c r="J374" s="278"/>
      <c r="K374" s="278"/>
      <c r="L374" s="278"/>
      <c r="M374" s="278"/>
      <c r="N374" s="278"/>
      <c r="O374" s="278"/>
      <c r="P374" s="278"/>
      <c r="Q374" s="278"/>
      <c r="R374" s="278"/>
      <c r="S374" s="278"/>
      <c r="T374" s="278"/>
      <c r="U374" s="278"/>
      <c r="V374" s="278"/>
      <c r="W374" s="278"/>
      <c r="X374" s="278"/>
    </row>
    <row r="375" ht="15.75" customHeight="1">
      <c r="B375" s="278"/>
      <c r="C375" s="278"/>
      <c r="D375" s="278"/>
      <c r="F375" s="278"/>
      <c r="G375" s="278"/>
      <c r="H375" s="278"/>
      <c r="I375" s="278"/>
      <c r="J375" s="278"/>
      <c r="K375" s="278"/>
      <c r="L375" s="278"/>
      <c r="M375" s="278"/>
      <c r="N375" s="278"/>
      <c r="O375" s="278"/>
      <c r="P375" s="278"/>
      <c r="Q375" s="278"/>
      <c r="R375" s="278"/>
      <c r="S375" s="278"/>
      <c r="T375" s="278"/>
      <c r="U375" s="278"/>
      <c r="V375" s="278"/>
      <c r="W375" s="278"/>
      <c r="X375" s="278"/>
    </row>
    <row r="376" ht="15.75" customHeight="1">
      <c r="B376" s="278"/>
      <c r="C376" s="278"/>
      <c r="D376" s="278"/>
      <c r="F376" s="278"/>
      <c r="G376" s="278"/>
      <c r="H376" s="278"/>
      <c r="I376" s="278"/>
      <c r="J376" s="278"/>
      <c r="K376" s="278"/>
      <c r="L376" s="278"/>
      <c r="M376" s="278"/>
      <c r="N376" s="278"/>
      <c r="O376" s="278"/>
      <c r="P376" s="278"/>
      <c r="Q376" s="278"/>
      <c r="R376" s="278"/>
      <c r="S376" s="278"/>
      <c r="T376" s="278"/>
      <c r="U376" s="278"/>
      <c r="V376" s="278"/>
      <c r="W376" s="278"/>
      <c r="X376" s="278"/>
    </row>
    <row r="377" ht="15.75" customHeight="1">
      <c r="B377" s="278"/>
      <c r="C377" s="278"/>
      <c r="D377" s="278"/>
      <c r="F377" s="278"/>
      <c r="G377" s="278"/>
      <c r="H377" s="278"/>
      <c r="I377" s="278"/>
      <c r="J377" s="278"/>
      <c r="K377" s="278"/>
      <c r="L377" s="278"/>
      <c r="M377" s="278"/>
      <c r="N377" s="278"/>
      <c r="O377" s="278"/>
      <c r="P377" s="278"/>
      <c r="Q377" s="278"/>
      <c r="R377" s="278"/>
      <c r="S377" s="278"/>
      <c r="T377" s="278"/>
      <c r="U377" s="278"/>
      <c r="V377" s="278"/>
      <c r="W377" s="278"/>
      <c r="X377" s="278"/>
    </row>
    <row r="378" ht="15.75" customHeight="1">
      <c r="B378" s="278"/>
      <c r="C378" s="278"/>
      <c r="D378" s="278"/>
      <c r="F378" s="278"/>
      <c r="G378" s="278"/>
      <c r="H378" s="278"/>
      <c r="I378" s="278"/>
      <c r="J378" s="278"/>
      <c r="K378" s="278"/>
      <c r="L378" s="278"/>
      <c r="M378" s="278"/>
      <c r="N378" s="278"/>
      <c r="O378" s="278"/>
      <c r="P378" s="278"/>
      <c r="Q378" s="278"/>
      <c r="R378" s="278"/>
      <c r="S378" s="278"/>
      <c r="T378" s="278"/>
      <c r="U378" s="278"/>
      <c r="V378" s="278"/>
      <c r="W378" s="278"/>
      <c r="X378" s="278"/>
    </row>
    <row r="379" ht="15.75" customHeight="1">
      <c r="B379" s="278"/>
      <c r="C379" s="278"/>
      <c r="D379" s="278"/>
      <c r="F379" s="278"/>
      <c r="G379" s="278"/>
      <c r="H379" s="278"/>
      <c r="I379" s="278"/>
      <c r="J379" s="278"/>
      <c r="K379" s="278"/>
      <c r="L379" s="278"/>
      <c r="M379" s="278"/>
      <c r="N379" s="278"/>
      <c r="O379" s="278"/>
      <c r="P379" s="278"/>
      <c r="Q379" s="278"/>
      <c r="R379" s="278"/>
      <c r="S379" s="278"/>
      <c r="T379" s="278"/>
      <c r="U379" s="278"/>
      <c r="V379" s="278"/>
      <c r="W379" s="278"/>
      <c r="X379" s="278"/>
    </row>
    <row r="380" ht="15.75" customHeight="1">
      <c r="B380" s="278"/>
      <c r="C380" s="278"/>
      <c r="D380" s="278"/>
      <c r="F380" s="278"/>
      <c r="G380" s="278"/>
      <c r="H380" s="278"/>
      <c r="I380" s="278"/>
      <c r="J380" s="278"/>
      <c r="K380" s="278"/>
      <c r="L380" s="278"/>
      <c r="M380" s="278"/>
      <c r="N380" s="278"/>
      <c r="O380" s="278"/>
      <c r="P380" s="278"/>
      <c r="Q380" s="278"/>
      <c r="R380" s="278"/>
      <c r="S380" s="278"/>
      <c r="T380" s="278"/>
      <c r="U380" s="278"/>
      <c r="V380" s="278"/>
      <c r="W380" s="278"/>
      <c r="X380" s="278"/>
    </row>
    <row r="381" ht="15.75" customHeight="1">
      <c r="B381" s="278"/>
      <c r="C381" s="278"/>
      <c r="D381" s="278"/>
      <c r="F381" s="278"/>
      <c r="G381" s="278"/>
      <c r="H381" s="278"/>
      <c r="I381" s="278"/>
      <c r="J381" s="278"/>
      <c r="K381" s="278"/>
      <c r="L381" s="278"/>
      <c r="M381" s="278"/>
      <c r="N381" s="278"/>
      <c r="O381" s="278"/>
      <c r="P381" s="278"/>
      <c r="Q381" s="278"/>
      <c r="R381" s="278"/>
      <c r="S381" s="278"/>
      <c r="T381" s="278"/>
      <c r="U381" s="278"/>
      <c r="V381" s="278"/>
      <c r="W381" s="278"/>
      <c r="X381" s="278"/>
    </row>
    <row r="382" ht="15.75" customHeight="1">
      <c r="B382" s="278"/>
      <c r="C382" s="278"/>
      <c r="D382" s="278"/>
      <c r="F382" s="278"/>
      <c r="G382" s="278"/>
      <c r="H382" s="278"/>
      <c r="I382" s="278"/>
      <c r="J382" s="278"/>
      <c r="K382" s="278"/>
      <c r="L382" s="278"/>
      <c r="M382" s="278"/>
      <c r="N382" s="278"/>
      <c r="O382" s="278"/>
      <c r="P382" s="278"/>
      <c r="Q382" s="278"/>
      <c r="R382" s="278"/>
      <c r="S382" s="278"/>
      <c r="T382" s="278"/>
      <c r="U382" s="278"/>
      <c r="V382" s="278"/>
      <c r="W382" s="278"/>
      <c r="X382" s="278"/>
    </row>
    <row r="383" ht="15.75" customHeight="1">
      <c r="B383" s="278"/>
      <c r="C383" s="278"/>
      <c r="D383" s="278"/>
      <c r="F383" s="278"/>
      <c r="G383" s="278"/>
      <c r="H383" s="278"/>
      <c r="I383" s="278"/>
      <c r="J383" s="278"/>
      <c r="K383" s="278"/>
      <c r="L383" s="278"/>
      <c r="M383" s="278"/>
      <c r="N383" s="278"/>
      <c r="O383" s="278"/>
      <c r="P383" s="278"/>
      <c r="Q383" s="278"/>
      <c r="R383" s="278"/>
      <c r="S383" s="278"/>
      <c r="T383" s="278"/>
      <c r="U383" s="278"/>
      <c r="V383" s="278"/>
      <c r="W383" s="278"/>
      <c r="X383" s="278"/>
    </row>
    <row r="384" ht="15.75" customHeight="1">
      <c r="B384" s="278"/>
      <c r="C384" s="278"/>
      <c r="D384" s="278"/>
      <c r="F384" s="278"/>
      <c r="G384" s="278"/>
      <c r="H384" s="278"/>
      <c r="I384" s="278"/>
      <c r="J384" s="278"/>
      <c r="K384" s="278"/>
      <c r="L384" s="278"/>
      <c r="M384" s="278"/>
      <c r="N384" s="278"/>
      <c r="O384" s="278"/>
      <c r="P384" s="278"/>
      <c r="Q384" s="278"/>
      <c r="R384" s="278"/>
      <c r="S384" s="278"/>
      <c r="T384" s="278"/>
      <c r="U384" s="278"/>
      <c r="V384" s="278"/>
      <c r="W384" s="278"/>
      <c r="X384" s="278"/>
    </row>
    <row r="385" ht="15.75" customHeight="1">
      <c r="B385" s="278"/>
      <c r="C385" s="278"/>
      <c r="D385" s="278"/>
      <c r="F385" s="278"/>
      <c r="G385" s="278"/>
      <c r="H385" s="278"/>
      <c r="I385" s="278"/>
      <c r="J385" s="278"/>
      <c r="K385" s="278"/>
      <c r="L385" s="278"/>
      <c r="M385" s="278"/>
      <c r="N385" s="278"/>
      <c r="O385" s="278"/>
      <c r="P385" s="278"/>
      <c r="Q385" s="278"/>
      <c r="R385" s="278"/>
      <c r="S385" s="278"/>
      <c r="T385" s="278"/>
      <c r="U385" s="278"/>
      <c r="V385" s="278"/>
      <c r="W385" s="278"/>
      <c r="X385" s="278"/>
    </row>
    <row r="386" ht="15.75" customHeight="1">
      <c r="B386" s="278"/>
      <c r="C386" s="278"/>
      <c r="D386" s="278"/>
      <c r="F386" s="278"/>
      <c r="G386" s="278"/>
      <c r="H386" s="278"/>
      <c r="I386" s="278"/>
      <c r="J386" s="278"/>
      <c r="K386" s="278"/>
      <c r="L386" s="278"/>
      <c r="M386" s="278"/>
      <c r="N386" s="278"/>
      <c r="O386" s="278"/>
      <c r="P386" s="278"/>
      <c r="Q386" s="278"/>
      <c r="R386" s="278"/>
      <c r="S386" s="278"/>
      <c r="T386" s="278"/>
      <c r="U386" s="278"/>
      <c r="V386" s="278"/>
      <c r="W386" s="278"/>
      <c r="X386" s="278"/>
    </row>
    <row r="387" ht="15.75" customHeight="1">
      <c r="B387" s="278"/>
      <c r="C387" s="278"/>
      <c r="D387" s="278"/>
      <c r="F387" s="278"/>
      <c r="G387" s="278"/>
      <c r="H387" s="278"/>
      <c r="I387" s="278"/>
      <c r="J387" s="278"/>
      <c r="K387" s="278"/>
      <c r="L387" s="278"/>
      <c r="M387" s="278"/>
      <c r="N387" s="278"/>
      <c r="O387" s="278"/>
      <c r="P387" s="278"/>
      <c r="Q387" s="278"/>
      <c r="R387" s="278"/>
      <c r="S387" s="278"/>
      <c r="T387" s="278"/>
      <c r="U387" s="278"/>
      <c r="V387" s="278"/>
      <c r="W387" s="278"/>
      <c r="X387" s="278"/>
    </row>
    <row r="388" ht="15.75" customHeight="1">
      <c r="B388" s="278"/>
      <c r="C388" s="278"/>
      <c r="D388" s="278"/>
      <c r="F388" s="278"/>
      <c r="G388" s="278"/>
      <c r="H388" s="278"/>
      <c r="I388" s="278"/>
      <c r="J388" s="278"/>
      <c r="K388" s="278"/>
      <c r="L388" s="278"/>
      <c r="M388" s="278"/>
      <c r="N388" s="278"/>
      <c r="O388" s="278"/>
      <c r="P388" s="278"/>
      <c r="Q388" s="278"/>
      <c r="R388" s="278"/>
      <c r="S388" s="278"/>
      <c r="T388" s="278"/>
      <c r="U388" s="278"/>
      <c r="V388" s="278"/>
      <c r="W388" s="278"/>
      <c r="X388" s="278"/>
    </row>
    <row r="389" ht="15.75" customHeight="1">
      <c r="B389" s="278"/>
      <c r="C389" s="278"/>
      <c r="D389" s="278"/>
      <c r="F389" s="278"/>
      <c r="G389" s="278"/>
      <c r="H389" s="278"/>
      <c r="I389" s="278"/>
      <c r="J389" s="278"/>
      <c r="K389" s="278"/>
      <c r="L389" s="278"/>
      <c r="M389" s="278"/>
      <c r="N389" s="278"/>
      <c r="O389" s="278"/>
      <c r="P389" s="278"/>
      <c r="Q389" s="278"/>
      <c r="R389" s="278"/>
      <c r="S389" s="278"/>
      <c r="T389" s="278"/>
      <c r="U389" s="278"/>
      <c r="V389" s="278"/>
      <c r="W389" s="278"/>
      <c r="X389" s="278"/>
    </row>
    <row r="390" ht="15.75" customHeight="1">
      <c r="B390" s="278"/>
      <c r="C390" s="278"/>
      <c r="D390" s="278"/>
      <c r="F390" s="278"/>
      <c r="G390" s="278"/>
      <c r="H390" s="278"/>
      <c r="I390" s="278"/>
      <c r="J390" s="278"/>
      <c r="K390" s="278"/>
      <c r="L390" s="278"/>
      <c r="M390" s="278"/>
      <c r="N390" s="278"/>
      <c r="O390" s="278"/>
      <c r="P390" s="278"/>
      <c r="Q390" s="278"/>
      <c r="R390" s="278"/>
      <c r="S390" s="278"/>
      <c r="T390" s="278"/>
      <c r="U390" s="278"/>
      <c r="V390" s="278"/>
      <c r="W390" s="278"/>
      <c r="X390" s="278"/>
    </row>
    <row r="391" ht="15.75" customHeight="1">
      <c r="B391" s="278"/>
      <c r="C391" s="278"/>
      <c r="D391" s="278"/>
      <c r="F391" s="278"/>
      <c r="G391" s="278"/>
      <c r="H391" s="278"/>
      <c r="I391" s="278"/>
      <c r="J391" s="278"/>
      <c r="K391" s="278"/>
      <c r="L391" s="278"/>
      <c r="M391" s="278"/>
      <c r="N391" s="278"/>
      <c r="O391" s="278"/>
      <c r="P391" s="278"/>
      <c r="Q391" s="278"/>
      <c r="R391" s="278"/>
      <c r="S391" s="278"/>
      <c r="T391" s="278"/>
      <c r="U391" s="278"/>
      <c r="V391" s="278"/>
      <c r="W391" s="278"/>
      <c r="X391" s="278"/>
    </row>
    <row r="392" ht="15.75" customHeight="1">
      <c r="B392" s="278"/>
      <c r="C392" s="278"/>
      <c r="D392" s="278"/>
      <c r="F392" s="278"/>
      <c r="G392" s="278"/>
      <c r="H392" s="278"/>
      <c r="I392" s="278"/>
      <c r="J392" s="278"/>
      <c r="K392" s="278"/>
      <c r="L392" s="278"/>
      <c r="M392" s="278"/>
      <c r="N392" s="278"/>
      <c r="O392" s="278"/>
      <c r="P392" s="278"/>
      <c r="Q392" s="278"/>
      <c r="R392" s="278"/>
      <c r="S392" s="278"/>
      <c r="T392" s="278"/>
      <c r="U392" s="278"/>
      <c r="V392" s="278"/>
      <c r="W392" s="278"/>
      <c r="X392" s="278"/>
    </row>
    <row r="393" ht="15.75" customHeight="1">
      <c r="B393" s="278"/>
      <c r="C393" s="278"/>
      <c r="D393" s="278"/>
      <c r="F393" s="278"/>
      <c r="G393" s="278"/>
      <c r="H393" s="278"/>
      <c r="I393" s="278"/>
      <c r="J393" s="278"/>
      <c r="K393" s="278"/>
      <c r="L393" s="278"/>
      <c r="M393" s="278"/>
      <c r="N393" s="278"/>
      <c r="O393" s="278"/>
      <c r="P393" s="278"/>
      <c r="Q393" s="278"/>
      <c r="R393" s="278"/>
      <c r="S393" s="278"/>
      <c r="T393" s="278"/>
      <c r="U393" s="278"/>
      <c r="V393" s="278"/>
      <c r="W393" s="278"/>
      <c r="X393" s="278"/>
    </row>
    <row r="394" ht="15.75" customHeight="1">
      <c r="B394" s="278"/>
      <c r="C394" s="278"/>
      <c r="D394" s="278"/>
      <c r="F394" s="278"/>
      <c r="G394" s="278"/>
      <c r="H394" s="278"/>
      <c r="I394" s="278"/>
      <c r="J394" s="278"/>
      <c r="K394" s="278"/>
      <c r="L394" s="278"/>
      <c r="M394" s="278"/>
      <c r="N394" s="278"/>
      <c r="O394" s="278"/>
      <c r="P394" s="278"/>
      <c r="Q394" s="278"/>
      <c r="R394" s="278"/>
      <c r="S394" s="278"/>
      <c r="T394" s="278"/>
      <c r="U394" s="278"/>
      <c r="V394" s="278"/>
      <c r="W394" s="278"/>
      <c r="X394" s="278"/>
    </row>
    <row r="395" ht="15.75" customHeight="1">
      <c r="B395" s="278"/>
      <c r="C395" s="278"/>
      <c r="D395" s="278"/>
      <c r="F395" s="278"/>
      <c r="G395" s="278"/>
      <c r="H395" s="278"/>
      <c r="I395" s="278"/>
      <c r="J395" s="278"/>
      <c r="K395" s="278"/>
      <c r="L395" s="278"/>
      <c r="M395" s="278"/>
      <c r="N395" s="278"/>
      <c r="O395" s="278"/>
      <c r="P395" s="278"/>
      <c r="Q395" s="278"/>
      <c r="R395" s="278"/>
      <c r="S395" s="278"/>
      <c r="T395" s="278"/>
      <c r="U395" s="278"/>
      <c r="V395" s="278"/>
      <c r="W395" s="278"/>
      <c r="X395" s="278"/>
    </row>
    <row r="396" ht="15.75" customHeight="1">
      <c r="B396" s="278"/>
      <c r="C396" s="278"/>
      <c r="D396" s="278"/>
      <c r="F396" s="278"/>
      <c r="G396" s="278"/>
      <c r="H396" s="278"/>
      <c r="I396" s="278"/>
      <c r="J396" s="278"/>
      <c r="K396" s="278"/>
      <c r="L396" s="278"/>
      <c r="M396" s="278"/>
      <c r="N396" s="278"/>
      <c r="O396" s="278"/>
      <c r="P396" s="278"/>
      <c r="Q396" s="278"/>
      <c r="R396" s="278"/>
      <c r="S396" s="278"/>
      <c r="T396" s="278"/>
      <c r="U396" s="278"/>
      <c r="V396" s="278"/>
      <c r="W396" s="278"/>
      <c r="X396" s="278"/>
    </row>
    <row r="397" ht="15.75" customHeight="1">
      <c r="B397" s="278"/>
      <c r="C397" s="278"/>
      <c r="D397" s="278"/>
      <c r="F397" s="278"/>
      <c r="G397" s="278"/>
      <c r="H397" s="278"/>
      <c r="I397" s="278"/>
      <c r="J397" s="278"/>
      <c r="K397" s="278"/>
      <c r="L397" s="278"/>
      <c r="M397" s="278"/>
      <c r="N397" s="278"/>
      <c r="O397" s="278"/>
      <c r="P397" s="278"/>
      <c r="Q397" s="278"/>
      <c r="R397" s="278"/>
      <c r="S397" s="278"/>
      <c r="T397" s="278"/>
      <c r="U397" s="278"/>
      <c r="V397" s="278"/>
      <c r="W397" s="278"/>
      <c r="X397" s="278"/>
    </row>
    <row r="398" ht="15.75" customHeight="1">
      <c r="B398" s="278"/>
      <c r="C398" s="278"/>
      <c r="D398" s="278"/>
      <c r="F398" s="278"/>
      <c r="G398" s="278"/>
      <c r="H398" s="278"/>
      <c r="I398" s="278"/>
      <c r="J398" s="278"/>
      <c r="K398" s="278"/>
      <c r="L398" s="278"/>
      <c r="M398" s="278"/>
      <c r="N398" s="278"/>
      <c r="O398" s="278"/>
      <c r="P398" s="278"/>
      <c r="Q398" s="278"/>
      <c r="R398" s="278"/>
      <c r="S398" s="278"/>
      <c r="T398" s="278"/>
      <c r="U398" s="278"/>
      <c r="V398" s="278"/>
      <c r="W398" s="278"/>
      <c r="X398" s="278"/>
    </row>
    <row r="399" ht="15.75" customHeight="1">
      <c r="B399" s="278"/>
      <c r="C399" s="278"/>
      <c r="D399" s="278"/>
      <c r="F399" s="278"/>
      <c r="G399" s="278"/>
      <c r="H399" s="278"/>
      <c r="I399" s="278"/>
      <c r="J399" s="278"/>
      <c r="K399" s="278"/>
      <c r="L399" s="278"/>
      <c r="M399" s="278"/>
      <c r="N399" s="278"/>
      <c r="O399" s="278"/>
      <c r="P399" s="278"/>
      <c r="Q399" s="278"/>
      <c r="R399" s="278"/>
      <c r="S399" s="278"/>
      <c r="T399" s="278"/>
      <c r="U399" s="278"/>
      <c r="V399" s="278"/>
      <c r="W399" s="278"/>
      <c r="X399" s="278"/>
    </row>
    <row r="400" ht="15.75" customHeight="1">
      <c r="B400" s="278"/>
      <c r="C400" s="278"/>
      <c r="D400" s="278"/>
      <c r="F400" s="278"/>
      <c r="G400" s="278"/>
      <c r="H400" s="278"/>
      <c r="I400" s="278"/>
      <c r="J400" s="278"/>
      <c r="K400" s="278"/>
      <c r="L400" s="278"/>
      <c r="M400" s="278"/>
      <c r="N400" s="278"/>
      <c r="O400" s="278"/>
      <c r="P400" s="278"/>
      <c r="Q400" s="278"/>
      <c r="R400" s="278"/>
      <c r="S400" s="278"/>
      <c r="T400" s="278"/>
      <c r="U400" s="278"/>
      <c r="V400" s="278"/>
      <c r="W400" s="278"/>
      <c r="X400" s="278"/>
    </row>
    <row r="401" ht="15.75" customHeight="1">
      <c r="B401" s="278"/>
      <c r="C401" s="278"/>
      <c r="D401" s="278"/>
      <c r="F401" s="278"/>
      <c r="G401" s="278"/>
      <c r="H401" s="278"/>
      <c r="I401" s="278"/>
      <c r="J401" s="278"/>
      <c r="K401" s="278"/>
      <c r="L401" s="278"/>
      <c r="M401" s="278"/>
      <c r="N401" s="278"/>
      <c r="O401" s="278"/>
      <c r="P401" s="278"/>
      <c r="Q401" s="278"/>
      <c r="R401" s="278"/>
      <c r="S401" s="278"/>
      <c r="T401" s="278"/>
      <c r="U401" s="278"/>
      <c r="V401" s="278"/>
      <c r="W401" s="278"/>
      <c r="X401" s="278"/>
    </row>
    <row r="402" ht="15.75" customHeight="1">
      <c r="B402" s="278"/>
      <c r="C402" s="278"/>
      <c r="D402" s="278"/>
      <c r="F402" s="278"/>
      <c r="G402" s="278"/>
      <c r="H402" s="278"/>
      <c r="I402" s="278"/>
      <c r="J402" s="278"/>
      <c r="K402" s="278"/>
      <c r="L402" s="278"/>
      <c r="M402" s="278"/>
      <c r="N402" s="278"/>
      <c r="O402" s="278"/>
      <c r="P402" s="278"/>
      <c r="Q402" s="278"/>
      <c r="R402" s="278"/>
      <c r="S402" s="278"/>
      <c r="T402" s="278"/>
      <c r="U402" s="278"/>
      <c r="V402" s="278"/>
      <c r="W402" s="278"/>
      <c r="X402" s="278"/>
    </row>
    <row r="403" ht="15.75" customHeight="1">
      <c r="B403" s="278"/>
      <c r="C403" s="278"/>
      <c r="D403" s="278"/>
      <c r="F403" s="278"/>
      <c r="G403" s="278"/>
      <c r="H403" s="278"/>
      <c r="I403" s="278"/>
      <c r="J403" s="278"/>
      <c r="K403" s="278"/>
      <c r="L403" s="278"/>
      <c r="M403" s="278"/>
      <c r="N403" s="278"/>
      <c r="O403" s="278"/>
      <c r="P403" s="278"/>
      <c r="Q403" s="278"/>
      <c r="R403" s="278"/>
      <c r="S403" s="278"/>
      <c r="T403" s="278"/>
      <c r="U403" s="278"/>
      <c r="V403" s="278"/>
      <c r="W403" s="278"/>
      <c r="X403" s="278"/>
    </row>
    <row r="404" ht="15.75" customHeight="1">
      <c r="B404" s="278"/>
      <c r="C404" s="278"/>
      <c r="D404" s="278"/>
      <c r="F404" s="278"/>
      <c r="G404" s="278"/>
      <c r="H404" s="278"/>
      <c r="I404" s="278"/>
      <c r="J404" s="278"/>
      <c r="K404" s="278"/>
      <c r="L404" s="278"/>
      <c r="M404" s="278"/>
      <c r="N404" s="278"/>
      <c r="O404" s="278"/>
      <c r="P404" s="278"/>
      <c r="Q404" s="278"/>
      <c r="R404" s="278"/>
      <c r="S404" s="278"/>
      <c r="T404" s="278"/>
      <c r="U404" s="278"/>
      <c r="V404" s="278"/>
      <c r="W404" s="278"/>
      <c r="X404" s="278"/>
    </row>
    <row r="405" ht="15.75" customHeight="1">
      <c r="B405" s="278"/>
      <c r="C405" s="278"/>
      <c r="D405" s="278"/>
      <c r="F405" s="278"/>
      <c r="G405" s="278"/>
      <c r="H405" s="278"/>
      <c r="I405" s="278"/>
      <c r="J405" s="278"/>
      <c r="K405" s="278"/>
      <c r="L405" s="278"/>
      <c r="M405" s="278"/>
      <c r="N405" s="278"/>
      <c r="O405" s="278"/>
      <c r="P405" s="278"/>
      <c r="Q405" s="278"/>
      <c r="R405" s="278"/>
      <c r="S405" s="278"/>
      <c r="T405" s="278"/>
      <c r="U405" s="278"/>
      <c r="V405" s="278"/>
      <c r="W405" s="278"/>
      <c r="X405" s="278"/>
    </row>
    <row r="406" ht="15.75" customHeight="1">
      <c r="B406" s="278"/>
      <c r="C406" s="278"/>
      <c r="D406" s="278"/>
      <c r="F406" s="278"/>
      <c r="G406" s="278"/>
      <c r="H406" s="278"/>
      <c r="I406" s="278"/>
      <c r="J406" s="278"/>
      <c r="K406" s="278"/>
      <c r="L406" s="278"/>
      <c r="M406" s="278"/>
      <c r="N406" s="278"/>
      <c r="O406" s="278"/>
      <c r="P406" s="278"/>
      <c r="Q406" s="278"/>
      <c r="R406" s="278"/>
      <c r="S406" s="278"/>
      <c r="T406" s="278"/>
      <c r="U406" s="278"/>
      <c r="V406" s="278"/>
      <c r="W406" s="278"/>
      <c r="X406" s="278"/>
    </row>
    <row r="407" ht="15.75" customHeight="1">
      <c r="B407" s="278"/>
      <c r="C407" s="278"/>
      <c r="D407" s="278"/>
      <c r="F407" s="278"/>
      <c r="G407" s="278"/>
      <c r="H407" s="278"/>
      <c r="I407" s="278"/>
      <c r="J407" s="278"/>
      <c r="K407" s="278"/>
      <c r="L407" s="278"/>
      <c r="M407" s="278"/>
      <c r="N407" s="278"/>
      <c r="O407" s="278"/>
      <c r="P407" s="278"/>
      <c r="Q407" s="278"/>
      <c r="R407" s="278"/>
      <c r="S407" s="278"/>
      <c r="T407" s="278"/>
      <c r="U407" s="278"/>
      <c r="V407" s="278"/>
      <c r="W407" s="278"/>
      <c r="X407" s="278"/>
    </row>
    <row r="408" ht="15.75" customHeight="1">
      <c r="B408" s="278"/>
      <c r="C408" s="278"/>
      <c r="D408" s="278"/>
      <c r="F408" s="278"/>
      <c r="G408" s="278"/>
      <c r="H408" s="278"/>
      <c r="I408" s="278"/>
      <c r="J408" s="278"/>
      <c r="K408" s="278"/>
      <c r="L408" s="278"/>
      <c r="M408" s="278"/>
      <c r="N408" s="278"/>
      <c r="O408" s="278"/>
      <c r="P408" s="278"/>
      <c r="Q408" s="278"/>
      <c r="R408" s="278"/>
      <c r="S408" s="278"/>
      <c r="T408" s="278"/>
      <c r="U408" s="278"/>
      <c r="V408" s="278"/>
      <c r="W408" s="278"/>
      <c r="X408" s="278"/>
    </row>
    <row r="409" ht="15.75" customHeight="1">
      <c r="B409" s="278"/>
      <c r="C409" s="278"/>
      <c r="D409" s="278"/>
      <c r="F409" s="278"/>
      <c r="G409" s="278"/>
      <c r="H409" s="278"/>
      <c r="I409" s="278"/>
      <c r="J409" s="278"/>
      <c r="K409" s="278"/>
      <c r="L409" s="278"/>
      <c r="M409" s="278"/>
      <c r="N409" s="278"/>
      <c r="O409" s="278"/>
      <c r="P409" s="278"/>
      <c r="Q409" s="278"/>
      <c r="R409" s="278"/>
      <c r="S409" s="278"/>
      <c r="T409" s="278"/>
      <c r="U409" s="278"/>
      <c r="V409" s="278"/>
      <c r="W409" s="278"/>
      <c r="X409" s="278"/>
    </row>
    <row r="410" ht="15.75" customHeight="1">
      <c r="B410" s="278"/>
      <c r="C410" s="278"/>
      <c r="D410" s="278"/>
      <c r="F410" s="278"/>
      <c r="G410" s="278"/>
      <c r="H410" s="278"/>
      <c r="I410" s="278"/>
      <c r="J410" s="278"/>
      <c r="K410" s="278"/>
      <c r="L410" s="278"/>
      <c r="M410" s="278"/>
      <c r="N410" s="278"/>
      <c r="O410" s="278"/>
      <c r="P410" s="278"/>
      <c r="Q410" s="278"/>
      <c r="R410" s="278"/>
      <c r="S410" s="278"/>
      <c r="T410" s="278"/>
      <c r="U410" s="278"/>
      <c r="V410" s="278"/>
      <c r="W410" s="278"/>
      <c r="X410" s="278"/>
    </row>
    <row r="411" ht="15.75" customHeight="1">
      <c r="B411" s="278"/>
      <c r="C411" s="278"/>
      <c r="D411" s="278"/>
      <c r="F411" s="278"/>
      <c r="G411" s="278"/>
      <c r="H411" s="278"/>
      <c r="I411" s="278"/>
      <c r="J411" s="278"/>
      <c r="K411" s="278"/>
      <c r="L411" s="278"/>
      <c r="M411" s="278"/>
      <c r="N411" s="278"/>
      <c r="O411" s="278"/>
      <c r="P411" s="278"/>
      <c r="Q411" s="278"/>
      <c r="R411" s="278"/>
      <c r="S411" s="278"/>
      <c r="T411" s="278"/>
      <c r="U411" s="278"/>
      <c r="V411" s="278"/>
      <c r="W411" s="278"/>
      <c r="X411" s="278"/>
    </row>
    <row r="412" ht="15.75" customHeight="1">
      <c r="B412" s="278"/>
      <c r="C412" s="278"/>
      <c r="D412" s="278"/>
      <c r="F412" s="278"/>
      <c r="G412" s="278"/>
      <c r="H412" s="278"/>
      <c r="I412" s="278"/>
      <c r="J412" s="278"/>
      <c r="K412" s="278"/>
      <c r="L412" s="278"/>
      <c r="M412" s="278"/>
      <c r="N412" s="278"/>
      <c r="O412" s="278"/>
      <c r="P412" s="278"/>
      <c r="Q412" s="278"/>
      <c r="R412" s="278"/>
      <c r="S412" s="278"/>
      <c r="T412" s="278"/>
      <c r="U412" s="278"/>
      <c r="V412" s="278"/>
      <c r="W412" s="278"/>
      <c r="X412" s="278"/>
    </row>
    <row r="413" ht="15.75" customHeight="1">
      <c r="B413" s="278"/>
      <c r="C413" s="278"/>
      <c r="D413" s="278"/>
      <c r="F413" s="278"/>
      <c r="G413" s="278"/>
      <c r="H413" s="278"/>
      <c r="I413" s="278"/>
      <c r="J413" s="278"/>
      <c r="K413" s="278"/>
      <c r="L413" s="278"/>
      <c r="M413" s="278"/>
      <c r="N413" s="278"/>
      <c r="O413" s="278"/>
      <c r="P413" s="278"/>
      <c r="Q413" s="278"/>
      <c r="R413" s="278"/>
      <c r="S413" s="278"/>
      <c r="T413" s="278"/>
      <c r="U413" s="278"/>
      <c r="V413" s="278"/>
      <c r="W413" s="278"/>
      <c r="X413" s="278"/>
    </row>
    <row r="414" ht="15.75" customHeight="1">
      <c r="B414" s="278"/>
      <c r="C414" s="278"/>
      <c r="D414" s="278"/>
      <c r="F414" s="278"/>
      <c r="G414" s="278"/>
      <c r="H414" s="278"/>
      <c r="I414" s="278"/>
      <c r="J414" s="278"/>
      <c r="K414" s="278"/>
      <c r="L414" s="278"/>
      <c r="M414" s="278"/>
      <c r="N414" s="278"/>
      <c r="O414" s="278"/>
      <c r="P414" s="278"/>
      <c r="Q414" s="278"/>
      <c r="R414" s="278"/>
      <c r="S414" s="278"/>
      <c r="T414" s="278"/>
      <c r="U414" s="278"/>
      <c r="V414" s="278"/>
      <c r="W414" s="278"/>
      <c r="X414" s="278"/>
    </row>
    <row r="415" ht="15.75" customHeight="1">
      <c r="B415" s="278"/>
      <c r="C415" s="278"/>
      <c r="D415" s="278"/>
      <c r="F415" s="278"/>
      <c r="G415" s="278"/>
      <c r="H415" s="278"/>
      <c r="I415" s="278"/>
      <c r="J415" s="278"/>
      <c r="K415" s="278"/>
      <c r="L415" s="278"/>
      <c r="M415" s="278"/>
      <c r="N415" s="278"/>
      <c r="O415" s="278"/>
      <c r="P415" s="278"/>
      <c r="Q415" s="278"/>
      <c r="R415" s="278"/>
      <c r="S415" s="278"/>
      <c r="T415" s="278"/>
      <c r="U415" s="278"/>
      <c r="V415" s="278"/>
      <c r="W415" s="278"/>
      <c r="X415" s="278"/>
    </row>
    <row r="416" ht="15.75" customHeight="1">
      <c r="B416" s="278"/>
      <c r="C416" s="278"/>
      <c r="D416" s="278"/>
      <c r="F416" s="278"/>
      <c r="G416" s="278"/>
      <c r="H416" s="278"/>
      <c r="I416" s="278"/>
      <c r="J416" s="278"/>
      <c r="K416" s="278"/>
      <c r="L416" s="278"/>
      <c r="M416" s="278"/>
      <c r="N416" s="278"/>
      <c r="O416" s="278"/>
      <c r="P416" s="278"/>
      <c r="Q416" s="278"/>
      <c r="R416" s="278"/>
      <c r="S416" s="278"/>
      <c r="T416" s="278"/>
      <c r="U416" s="278"/>
      <c r="V416" s="278"/>
      <c r="W416" s="278"/>
      <c r="X416" s="278"/>
    </row>
    <row r="417" ht="15.75" customHeight="1">
      <c r="B417" s="278"/>
      <c r="C417" s="278"/>
      <c r="D417" s="278"/>
      <c r="F417" s="278"/>
      <c r="G417" s="278"/>
      <c r="H417" s="278"/>
      <c r="I417" s="278"/>
      <c r="J417" s="278"/>
      <c r="K417" s="278"/>
      <c r="L417" s="278"/>
      <c r="M417" s="278"/>
      <c r="N417" s="278"/>
      <c r="O417" s="278"/>
      <c r="P417" s="278"/>
      <c r="Q417" s="278"/>
      <c r="R417" s="278"/>
      <c r="S417" s="278"/>
      <c r="T417" s="278"/>
      <c r="U417" s="278"/>
      <c r="V417" s="278"/>
      <c r="W417" s="278"/>
      <c r="X417" s="278"/>
    </row>
    <row r="418" ht="15.75" customHeight="1">
      <c r="B418" s="278"/>
      <c r="C418" s="278"/>
      <c r="D418" s="278"/>
      <c r="F418" s="278"/>
      <c r="G418" s="278"/>
      <c r="H418" s="278"/>
      <c r="I418" s="278"/>
      <c r="J418" s="278"/>
      <c r="K418" s="278"/>
      <c r="L418" s="278"/>
      <c r="M418" s="278"/>
      <c r="N418" s="278"/>
      <c r="O418" s="278"/>
      <c r="P418" s="278"/>
      <c r="Q418" s="278"/>
      <c r="R418" s="278"/>
      <c r="S418" s="278"/>
      <c r="T418" s="278"/>
      <c r="U418" s="278"/>
      <c r="V418" s="278"/>
      <c r="W418" s="278"/>
      <c r="X418" s="278"/>
    </row>
    <row r="419" ht="15.75" customHeight="1">
      <c r="B419" s="278"/>
      <c r="C419" s="278"/>
      <c r="D419" s="278"/>
      <c r="F419" s="278"/>
      <c r="G419" s="278"/>
      <c r="H419" s="278"/>
      <c r="I419" s="278"/>
      <c r="J419" s="278"/>
      <c r="K419" s="278"/>
      <c r="L419" s="278"/>
      <c r="M419" s="278"/>
      <c r="N419" s="278"/>
      <c r="O419" s="278"/>
      <c r="P419" s="278"/>
      <c r="Q419" s="278"/>
      <c r="R419" s="278"/>
      <c r="S419" s="278"/>
      <c r="T419" s="278"/>
      <c r="U419" s="278"/>
      <c r="V419" s="278"/>
      <c r="W419" s="278"/>
      <c r="X419" s="278"/>
    </row>
    <row r="420" ht="15.75" customHeight="1">
      <c r="B420" s="278"/>
      <c r="C420" s="278"/>
      <c r="D420" s="278"/>
      <c r="F420" s="278"/>
      <c r="G420" s="278"/>
      <c r="H420" s="278"/>
      <c r="I420" s="278"/>
      <c r="J420" s="278"/>
      <c r="K420" s="278"/>
      <c r="L420" s="278"/>
      <c r="M420" s="278"/>
      <c r="N420" s="278"/>
      <c r="O420" s="278"/>
      <c r="P420" s="278"/>
      <c r="Q420" s="278"/>
      <c r="R420" s="278"/>
      <c r="S420" s="278"/>
      <c r="T420" s="278"/>
      <c r="U420" s="278"/>
      <c r="V420" s="278"/>
      <c r="W420" s="278"/>
      <c r="X420" s="278"/>
    </row>
    <row r="421" ht="15.75" customHeight="1">
      <c r="B421" s="278"/>
      <c r="C421" s="278"/>
      <c r="D421" s="278"/>
      <c r="F421" s="278"/>
      <c r="G421" s="278"/>
      <c r="H421" s="278"/>
      <c r="I421" s="278"/>
      <c r="J421" s="278"/>
      <c r="K421" s="278"/>
      <c r="L421" s="278"/>
      <c r="M421" s="278"/>
      <c r="N421" s="278"/>
      <c r="O421" s="278"/>
      <c r="P421" s="278"/>
      <c r="Q421" s="278"/>
      <c r="R421" s="278"/>
      <c r="S421" s="278"/>
      <c r="T421" s="278"/>
      <c r="U421" s="278"/>
      <c r="V421" s="278"/>
      <c r="W421" s="278"/>
      <c r="X421" s="278"/>
    </row>
    <row r="422" ht="15.75" customHeight="1">
      <c r="B422" s="278"/>
      <c r="C422" s="278"/>
      <c r="D422" s="278"/>
      <c r="F422" s="278"/>
      <c r="G422" s="278"/>
      <c r="H422" s="278"/>
      <c r="I422" s="278"/>
      <c r="J422" s="278"/>
      <c r="K422" s="278"/>
      <c r="L422" s="278"/>
      <c r="M422" s="278"/>
      <c r="N422" s="278"/>
      <c r="O422" s="278"/>
      <c r="P422" s="278"/>
      <c r="Q422" s="278"/>
      <c r="R422" s="278"/>
      <c r="S422" s="278"/>
      <c r="T422" s="278"/>
      <c r="U422" s="278"/>
      <c r="V422" s="278"/>
      <c r="W422" s="278"/>
      <c r="X422" s="278"/>
    </row>
    <row r="423" ht="15.75" customHeight="1">
      <c r="B423" s="278"/>
      <c r="C423" s="278"/>
      <c r="D423" s="278"/>
      <c r="F423" s="278"/>
      <c r="G423" s="278"/>
      <c r="H423" s="278"/>
      <c r="I423" s="278"/>
      <c r="J423" s="278"/>
      <c r="K423" s="278"/>
      <c r="L423" s="278"/>
      <c r="M423" s="278"/>
      <c r="N423" s="278"/>
      <c r="O423" s="278"/>
      <c r="P423" s="278"/>
      <c r="Q423" s="278"/>
      <c r="R423" s="278"/>
      <c r="S423" s="278"/>
      <c r="T423" s="278"/>
      <c r="U423" s="278"/>
      <c r="V423" s="278"/>
      <c r="W423" s="278"/>
      <c r="X423" s="278"/>
    </row>
    <row r="424" ht="15.75" customHeight="1">
      <c r="B424" s="278"/>
      <c r="C424" s="278"/>
      <c r="D424" s="278"/>
      <c r="F424" s="278"/>
      <c r="G424" s="278"/>
      <c r="H424" s="278"/>
      <c r="I424" s="278"/>
      <c r="J424" s="278"/>
      <c r="K424" s="278"/>
      <c r="L424" s="278"/>
      <c r="M424" s="278"/>
      <c r="N424" s="278"/>
      <c r="O424" s="278"/>
      <c r="P424" s="278"/>
      <c r="Q424" s="278"/>
      <c r="R424" s="278"/>
      <c r="S424" s="278"/>
      <c r="T424" s="278"/>
      <c r="U424" s="278"/>
      <c r="V424" s="278"/>
      <c r="W424" s="278"/>
      <c r="X424" s="278"/>
    </row>
    <row r="425" ht="15.75" customHeight="1">
      <c r="B425" s="278"/>
      <c r="C425" s="278"/>
      <c r="D425" s="278"/>
      <c r="F425" s="278"/>
      <c r="G425" s="278"/>
      <c r="H425" s="278"/>
      <c r="I425" s="278"/>
      <c r="J425" s="278"/>
      <c r="K425" s="278"/>
      <c r="L425" s="278"/>
      <c r="M425" s="278"/>
      <c r="N425" s="278"/>
      <c r="O425" s="278"/>
      <c r="P425" s="278"/>
      <c r="Q425" s="278"/>
      <c r="R425" s="278"/>
      <c r="S425" s="278"/>
      <c r="T425" s="278"/>
      <c r="U425" s="278"/>
      <c r="V425" s="278"/>
      <c r="W425" s="278"/>
      <c r="X425" s="278"/>
    </row>
    <row r="426" ht="15.75" customHeight="1">
      <c r="B426" s="278"/>
      <c r="C426" s="278"/>
      <c r="D426" s="278"/>
      <c r="F426" s="278"/>
      <c r="G426" s="278"/>
      <c r="H426" s="278"/>
      <c r="I426" s="278"/>
      <c r="J426" s="278"/>
      <c r="K426" s="278"/>
      <c r="L426" s="278"/>
      <c r="M426" s="278"/>
      <c r="N426" s="278"/>
      <c r="O426" s="278"/>
      <c r="P426" s="278"/>
      <c r="Q426" s="278"/>
      <c r="R426" s="278"/>
      <c r="S426" s="278"/>
      <c r="T426" s="278"/>
      <c r="U426" s="278"/>
      <c r="V426" s="278"/>
      <c r="W426" s="278"/>
      <c r="X426" s="278"/>
    </row>
    <row r="427" ht="15.75" customHeight="1">
      <c r="B427" s="278"/>
      <c r="C427" s="278"/>
      <c r="D427" s="278"/>
      <c r="F427" s="278"/>
      <c r="G427" s="278"/>
      <c r="H427" s="278"/>
      <c r="I427" s="278"/>
      <c r="J427" s="278"/>
      <c r="K427" s="278"/>
      <c r="L427" s="278"/>
      <c r="M427" s="278"/>
      <c r="N427" s="278"/>
      <c r="O427" s="278"/>
      <c r="P427" s="278"/>
      <c r="Q427" s="278"/>
      <c r="R427" s="278"/>
      <c r="S427" s="278"/>
      <c r="T427" s="278"/>
      <c r="U427" s="278"/>
      <c r="V427" s="278"/>
      <c r="W427" s="278"/>
      <c r="X427" s="278"/>
    </row>
    <row r="428" ht="15.75" customHeight="1">
      <c r="B428" s="278"/>
      <c r="C428" s="278"/>
      <c r="D428" s="278"/>
      <c r="F428" s="278"/>
      <c r="G428" s="278"/>
      <c r="H428" s="278"/>
      <c r="I428" s="278"/>
      <c r="J428" s="278"/>
      <c r="K428" s="278"/>
      <c r="L428" s="278"/>
      <c r="M428" s="278"/>
      <c r="N428" s="278"/>
      <c r="O428" s="278"/>
      <c r="P428" s="278"/>
      <c r="Q428" s="278"/>
      <c r="R428" s="278"/>
      <c r="S428" s="278"/>
      <c r="T428" s="278"/>
      <c r="U428" s="278"/>
      <c r="V428" s="278"/>
      <c r="W428" s="278"/>
      <c r="X428" s="278"/>
    </row>
    <row r="429" ht="15.75" customHeight="1">
      <c r="B429" s="278"/>
      <c r="C429" s="278"/>
      <c r="D429" s="278"/>
      <c r="F429" s="278"/>
      <c r="G429" s="278"/>
      <c r="H429" s="278"/>
      <c r="I429" s="278"/>
      <c r="J429" s="278"/>
      <c r="K429" s="278"/>
      <c r="L429" s="278"/>
      <c r="M429" s="278"/>
      <c r="N429" s="278"/>
      <c r="O429" s="278"/>
      <c r="P429" s="278"/>
      <c r="Q429" s="278"/>
      <c r="R429" s="278"/>
      <c r="S429" s="278"/>
      <c r="T429" s="278"/>
      <c r="U429" s="278"/>
      <c r="V429" s="278"/>
      <c r="W429" s="278"/>
      <c r="X429" s="278"/>
    </row>
    <row r="430" ht="15.75" customHeight="1">
      <c r="B430" s="278"/>
      <c r="C430" s="278"/>
      <c r="D430" s="278"/>
      <c r="F430" s="278"/>
      <c r="G430" s="278"/>
      <c r="H430" s="278"/>
      <c r="I430" s="278"/>
      <c r="J430" s="278"/>
      <c r="K430" s="278"/>
      <c r="L430" s="278"/>
      <c r="M430" s="278"/>
      <c r="N430" s="278"/>
      <c r="O430" s="278"/>
      <c r="P430" s="278"/>
      <c r="Q430" s="278"/>
      <c r="R430" s="278"/>
      <c r="S430" s="278"/>
      <c r="T430" s="278"/>
      <c r="U430" s="278"/>
      <c r="V430" s="278"/>
      <c r="W430" s="278"/>
      <c r="X430" s="278"/>
    </row>
    <row r="431" ht="15.75" customHeight="1">
      <c r="B431" s="278"/>
      <c r="C431" s="278"/>
      <c r="D431" s="278"/>
      <c r="F431" s="278"/>
      <c r="G431" s="278"/>
      <c r="H431" s="278"/>
      <c r="I431" s="278"/>
      <c r="J431" s="278"/>
      <c r="K431" s="278"/>
      <c r="L431" s="278"/>
      <c r="M431" s="278"/>
      <c r="N431" s="278"/>
      <c r="O431" s="278"/>
      <c r="P431" s="278"/>
      <c r="Q431" s="278"/>
      <c r="R431" s="278"/>
      <c r="S431" s="278"/>
      <c r="T431" s="278"/>
      <c r="U431" s="278"/>
      <c r="V431" s="278"/>
      <c r="W431" s="278"/>
      <c r="X431" s="278"/>
    </row>
    <row r="432" ht="15.75" customHeight="1">
      <c r="B432" s="278"/>
      <c r="C432" s="278"/>
      <c r="D432" s="278"/>
      <c r="F432" s="278"/>
      <c r="G432" s="278"/>
      <c r="H432" s="278"/>
      <c r="I432" s="278"/>
      <c r="J432" s="278"/>
      <c r="K432" s="278"/>
      <c r="L432" s="278"/>
      <c r="M432" s="278"/>
      <c r="N432" s="278"/>
      <c r="O432" s="278"/>
      <c r="P432" s="278"/>
      <c r="Q432" s="278"/>
      <c r="R432" s="278"/>
      <c r="S432" s="278"/>
      <c r="T432" s="278"/>
      <c r="U432" s="278"/>
      <c r="V432" s="278"/>
      <c r="W432" s="278"/>
      <c r="X432" s="278"/>
    </row>
    <row r="433" ht="15.75" customHeight="1">
      <c r="B433" s="278"/>
      <c r="C433" s="278"/>
      <c r="D433" s="278"/>
      <c r="F433" s="278"/>
      <c r="G433" s="278"/>
      <c r="H433" s="278"/>
      <c r="I433" s="278"/>
      <c r="J433" s="278"/>
      <c r="K433" s="278"/>
      <c r="L433" s="278"/>
      <c r="M433" s="278"/>
      <c r="N433" s="278"/>
      <c r="O433" s="278"/>
      <c r="P433" s="278"/>
      <c r="Q433" s="278"/>
      <c r="R433" s="278"/>
      <c r="S433" s="278"/>
      <c r="T433" s="278"/>
      <c r="U433" s="278"/>
      <c r="V433" s="278"/>
      <c r="W433" s="278"/>
      <c r="X433" s="278"/>
    </row>
    <row r="434" ht="15.75" customHeight="1">
      <c r="B434" s="278"/>
      <c r="C434" s="278"/>
      <c r="D434" s="278"/>
      <c r="F434" s="278"/>
      <c r="G434" s="278"/>
      <c r="H434" s="278"/>
      <c r="I434" s="278"/>
      <c r="J434" s="278"/>
      <c r="K434" s="278"/>
      <c r="L434" s="278"/>
      <c r="M434" s="278"/>
      <c r="N434" s="278"/>
      <c r="O434" s="278"/>
      <c r="P434" s="278"/>
      <c r="Q434" s="278"/>
      <c r="R434" s="278"/>
      <c r="S434" s="278"/>
      <c r="T434" s="278"/>
      <c r="U434" s="278"/>
      <c r="V434" s="278"/>
      <c r="W434" s="278"/>
      <c r="X434" s="278"/>
    </row>
    <row r="435" ht="15.75" customHeight="1">
      <c r="B435" s="278"/>
      <c r="C435" s="278"/>
      <c r="D435" s="278"/>
      <c r="F435" s="278"/>
      <c r="G435" s="278"/>
      <c r="H435" s="278"/>
      <c r="I435" s="278"/>
      <c r="J435" s="278"/>
      <c r="K435" s="278"/>
      <c r="L435" s="278"/>
      <c r="M435" s="278"/>
      <c r="N435" s="278"/>
      <c r="O435" s="278"/>
      <c r="P435" s="278"/>
      <c r="Q435" s="278"/>
      <c r="R435" s="278"/>
      <c r="S435" s="278"/>
      <c r="T435" s="278"/>
      <c r="U435" s="278"/>
      <c r="V435" s="278"/>
      <c r="W435" s="278"/>
      <c r="X435" s="278"/>
    </row>
    <row r="436" ht="15.75" customHeight="1">
      <c r="B436" s="278"/>
      <c r="C436" s="278"/>
      <c r="D436" s="278"/>
      <c r="F436" s="278"/>
      <c r="G436" s="278"/>
      <c r="H436" s="278"/>
      <c r="I436" s="278"/>
      <c r="J436" s="278"/>
      <c r="K436" s="278"/>
      <c r="L436" s="278"/>
      <c r="M436" s="278"/>
      <c r="N436" s="278"/>
      <c r="O436" s="278"/>
      <c r="P436" s="278"/>
      <c r="Q436" s="278"/>
      <c r="R436" s="278"/>
      <c r="S436" s="278"/>
      <c r="T436" s="278"/>
      <c r="U436" s="278"/>
      <c r="V436" s="278"/>
      <c r="W436" s="278"/>
      <c r="X436" s="278"/>
    </row>
    <row r="437" ht="15.75" customHeight="1">
      <c r="B437" s="278"/>
      <c r="C437" s="278"/>
      <c r="D437" s="278"/>
      <c r="F437" s="278"/>
      <c r="G437" s="278"/>
      <c r="H437" s="278"/>
      <c r="I437" s="278"/>
      <c r="J437" s="278"/>
      <c r="K437" s="278"/>
      <c r="L437" s="278"/>
      <c r="M437" s="278"/>
      <c r="N437" s="278"/>
      <c r="O437" s="278"/>
      <c r="P437" s="278"/>
      <c r="Q437" s="278"/>
      <c r="R437" s="278"/>
      <c r="S437" s="278"/>
      <c r="T437" s="278"/>
      <c r="U437" s="278"/>
      <c r="V437" s="278"/>
      <c r="W437" s="278"/>
      <c r="X437" s="278"/>
    </row>
    <row r="438" ht="15.75" customHeight="1">
      <c r="B438" s="278"/>
      <c r="C438" s="278"/>
      <c r="D438" s="278"/>
      <c r="F438" s="278"/>
      <c r="G438" s="278"/>
      <c r="H438" s="278"/>
      <c r="I438" s="278"/>
      <c r="J438" s="278"/>
      <c r="K438" s="278"/>
      <c r="L438" s="278"/>
      <c r="M438" s="278"/>
      <c r="N438" s="278"/>
      <c r="O438" s="278"/>
      <c r="P438" s="278"/>
      <c r="Q438" s="278"/>
      <c r="R438" s="278"/>
      <c r="S438" s="278"/>
      <c r="T438" s="278"/>
      <c r="U438" s="278"/>
      <c r="V438" s="278"/>
      <c r="W438" s="278"/>
      <c r="X438" s="278"/>
    </row>
    <row r="439" ht="15.75" customHeight="1">
      <c r="B439" s="278"/>
      <c r="C439" s="278"/>
      <c r="D439" s="278"/>
      <c r="F439" s="278"/>
      <c r="G439" s="278"/>
      <c r="H439" s="278"/>
      <c r="I439" s="278"/>
      <c r="J439" s="278"/>
      <c r="K439" s="278"/>
      <c r="L439" s="278"/>
      <c r="M439" s="278"/>
      <c r="N439" s="278"/>
      <c r="O439" s="278"/>
      <c r="P439" s="278"/>
      <c r="Q439" s="278"/>
      <c r="R439" s="278"/>
      <c r="S439" s="278"/>
      <c r="T439" s="278"/>
      <c r="U439" s="278"/>
      <c r="V439" s="278"/>
      <c r="W439" s="278"/>
      <c r="X439" s="278"/>
    </row>
    <row r="440" ht="15.75" customHeight="1">
      <c r="B440" s="278"/>
      <c r="C440" s="278"/>
      <c r="D440" s="278"/>
      <c r="F440" s="278"/>
      <c r="G440" s="278"/>
      <c r="H440" s="278"/>
      <c r="I440" s="278"/>
      <c r="J440" s="278"/>
      <c r="K440" s="278"/>
      <c r="L440" s="278"/>
      <c r="M440" s="278"/>
      <c r="N440" s="278"/>
      <c r="O440" s="278"/>
      <c r="P440" s="278"/>
      <c r="Q440" s="278"/>
      <c r="R440" s="278"/>
      <c r="S440" s="278"/>
      <c r="T440" s="278"/>
      <c r="U440" s="278"/>
      <c r="V440" s="278"/>
      <c r="W440" s="278"/>
      <c r="X440" s="278"/>
    </row>
    <row r="441" ht="15.75" customHeight="1">
      <c r="B441" s="278"/>
      <c r="C441" s="278"/>
      <c r="D441" s="278"/>
      <c r="F441" s="278"/>
      <c r="G441" s="278"/>
      <c r="H441" s="278"/>
      <c r="I441" s="278"/>
      <c r="J441" s="278"/>
      <c r="K441" s="278"/>
      <c r="L441" s="278"/>
      <c r="M441" s="278"/>
      <c r="N441" s="278"/>
      <c r="O441" s="278"/>
      <c r="P441" s="278"/>
      <c r="Q441" s="278"/>
      <c r="R441" s="278"/>
      <c r="S441" s="278"/>
      <c r="T441" s="278"/>
      <c r="U441" s="278"/>
      <c r="V441" s="278"/>
      <c r="W441" s="278"/>
      <c r="X441" s="278"/>
    </row>
    <row r="442" ht="15.75" customHeight="1">
      <c r="B442" s="278"/>
      <c r="C442" s="278"/>
      <c r="D442" s="278"/>
      <c r="F442" s="278"/>
      <c r="G442" s="278"/>
      <c r="H442" s="278"/>
      <c r="I442" s="278"/>
      <c r="J442" s="278"/>
      <c r="K442" s="278"/>
      <c r="L442" s="278"/>
      <c r="M442" s="278"/>
      <c r="N442" s="278"/>
      <c r="O442" s="278"/>
      <c r="P442" s="278"/>
      <c r="Q442" s="278"/>
      <c r="R442" s="278"/>
      <c r="S442" s="278"/>
      <c r="T442" s="278"/>
      <c r="U442" s="278"/>
      <c r="V442" s="278"/>
      <c r="W442" s="278"/>
      <c r="X442" s="278"/>
    </row>
    <row r="443" ht="15.75" customHeight="1">
      <c r="B443" s="278"/>
      <c r="C443" s="278"/>
      <c r="D443" s="278"/>
      <c r="F443" s="278"/>
      <c r="G443" s="278"/>
      <c r="H443" s="278"/>
      <c r="I443" s="278"/>
      <c r="J443" s="278"/>
      <c r="K443" s="278"/>
      <c r="L443" s="278"/>
      <c r="M443" s="278"/>
      <c r="N443" s="278"/>
      <c r="O443" s="278"/>
      <c r="P443" s="278"/>
      <c r="Q443" s="278"/>
      <c r="R443" s="278"/>
      <c r="S443" s="278"/>
      <c r="T443" s="278"/>
      <c r="U443" s="278"/>
      <c r="V443" s="278"/>
      <c r="W443" s="278"/>
      <c r="X443" s="278"/>
    </row>
    <row r="444" ht="15.75" customHeight="1">
      <c r="B444" s="278"/>
      <c r="C444" s="278"/>
      <c r="D444" s="278"/>
      <c r="F444" s="278"/>
      <c r="G444" s="278"/>
      <c r="H444" s="278"/>
      <c r="I444" s="278"/>
      <c r="J444" s="278"/>
      <c r="K444" s="278"/>
      <c r="L444" s="278"/>
      <c r="M444" s="278"/>
      <c r="N444" s="278"/>
      <c r="O444" s="278"/>
      <c r="P444" s="278"/>
      <c r="Q444" s="278"/>
      <c r="R444" s="278"/>
      <c r="S444" s="278"/>
      <c r="T444" s="278"/>
      <c r="U444" s="278"/>
      <c r="V444" s="278"/>
      <c r="W444" s="278"/>
      <c r="X444" s="278"/>
    </row>
    <row r="445" ht="15.75" customHeight="1">
      <c r="B445" s="278"/>
      <c r="C445" s="278"/>
      <c r="D445" s="278"/>
      <c r="F445" s="278"/>
      <c r="G445" s="278"/>
      <c r="H445" s="278"/>
      <c r="I445" s="278"/>
      <c r="J445" s="278"/>
      <c r="K445" s="278"/>
      <c r="L445" s="278"/>
      <c r="M445" s="278"/>
      <c r="N445" s="278"/>
      <c r="O445" s="278"/>
      <c r="P445" s="278"/>
      <c r="Q445" s="278"/>
      <c r="R445" s="278"/>
      <c r="S445" s="278"/>
      <c r="T445" s="278"/>
      <c r="U445" s="278"/>
      <c r="V445" s="278"/>
      <c r="W445" s="278"/>
      <c r="X445" s="278"/>
    </row>
    <row r="446" ht="15.75" customHeight="1">
      <c r="B446" s="278"/>
      <c r="C446" s="278"/>
      <c r="D446" s="278"/>
      <c r="F446" s="278"/>
      <c r="G446" s="278"/>
      <c r="H446" s="278"/>
      <c r="I446" s="278"/>
      <c r="J446" s="278"/>
      <c r="K446" s="278"/>
      <c r="L446" s="278"/>
      <c r="M446" s="278"/>
      <c r="N446" s="278"/>
      <c r="O446" s="278"/>
      <c r="P446" s="278"/>
      <c r="Q446" s="278"/>
      <c r="R446" s="278"/>
      <c r="S446" s="278"/>
      <c r="T446" s="278"/>
      <c r="U446" s="278"/>
      <c r="V446" s="278"/>
      <c r="W446" s="278"/>
      <c r="X446" s="278"/>
    </row>
    <row r="447" ht="15.75" customHeight="1">
      <c r="B447" s="278"/>
      <c r="C447" s="278"/>
      <c r="D447" s="278"/>
      <c r="F447" s="278"/>
      <c r="G447" s="278"/>
      <c r="H447" s="278"/>
      <c r="I447" s="278"/>
      <c r="J447" s="278"/>
      <c r="K447" s="278"/>
      <c r="L447" s="278"/>
      <c r="M447" s="278"/>
      <c r="N447" s="278"/>
      <c r="O447" s="278"/>
      <c r="P447" s="278"/>
      <c r="Q447" s="278"/>
      <c r="R447" s="278"/>
      <c r="S447" s="278"/>
      <c r="T447" s="278"/>
      <c r="U447" s="278"/>
      <c r="V447" s="278"/>
      <c r="W447" s="278"/>
      <c r="X447" s="278"/>
    </row>
    <row r="448" ht="15.75" customHeight="1">
      <c r="B448" s="278"/>
      <c r="C448" s="278"/>
      <c r="D448" s="278"/>
      <c r="F448" s="278"/>
      <c r="G448" s="278"/>
      <c r="H448" s="278"/>
      <c r="I448" s="278"/>
      <c r="J448" s="278"/>
      <c r="K448" s="278"/>
      <c r="L448" s="278"/>
      <c r="M448" s="278"/>
      <c r="N448" s="278"/>
      <c r="O448" s="278"/>
      <c r="P448" s="278"/>
      <c r="Q448" s="278"/>
      <c r="R448" s="278"/>
      <c r="S448" s="278"/>
      <c r="T448" s="278"/>
      <c r="U448" s="278"/>
      <c r="V448" s="278"/>
      <c r="W448" s="278"/>
      <c r="X448" s="278"/>
    </row>
    <row r="449" ht="15.75" customHeight="1">
      <c r="B449" s="278"/>
      <c r="C449" s="278"/>
      <c r="D449" s="278"/>
      <c r="F449" s="278"/>
      <c r="G449" s="278"/>
      <c r="H449" s="278"/>
      <c r="I449" s="278"/>
      <c r="J449" s="278"/>
      <c r="K449" s="278"/>
      <c r="L449" s="278"/>
      <c r="M449" s="278"/>
      <c r="N449" s="278"/>
      <c r="O449" s="278"/>
      <c r="P449" s="278"/>
      <c r="Q449" s="278"/>
      <c r="R449" s="278"/>
      <c r="S449" s="278"/>
      <c r="T449" s="278"/>
      <c r="U449" s="278"/>
      <c r="V449" s="278"/>
      <c r="W449" s="278"/>
      <c r="X449" s="278"/>
    </row>
    <row r="450" ht="15.75" customHeight="1">
      <c r="B450" s="278"/>
      <c r="C450" s="278"/>
      <c r="D450" s="278"/>
      <c r="F450" s="278"/>
      <c r="G450" s="278"/>
      <c r="H450" s="278"/>
      <c r="I450" s="278"/>
      <c r="J450" s="278"/>
      <c r="K450" s="278"/>
      <c r="L450" s="278"/>
      <c r="M450" s="278"/>
      <c r="N450" s="278"/>
      <c r="O450" s="278"/>
      <c r="P450" s="278"/>
      <c r="Q450" s="278"/>
      <c r="R450" s="278"/>
      <c r="S450" s="278"/>
      <c r="T450" s="278"/>
      <c r="U450" s="278"/>
      <c r="V450" s="278"/>
      <c r="W450" s="278"/>
      <c r="X450" s="278"/>
    </row>
    <row r="451" ht="15.75" customHeight="1">
      <c r="B451" s="278"/>
      <c r="C451" s="278"/>
      <c r="D451" s="278"/>
      <c r="F451" s="278"/>
      <c r="G451" s="278"/>
      <c r="H451" s="278"/>
      <c r="I451" s="278"/>
      <c r="J451" s="278"/>
      <c r="K451" s="278"/>
      <c r="L451" s="278"/>
      <c r="M451" s="278"/>
      <c r="N451" s="278"/>
      <c r="O451" s="278"/>
      <c r="P451" s="278"/>
      <c r="Q451" s="278"/>
      <c r="R451" s="278"/>
      <c r="S451" s="278"/>
      <c r="T451" s="278"/>
      <c r="U451" s="278"/>
      <c r="V451" s="278"/>
      <c r="W451" s="278"/>
      <c r="X451" s="278"/>
    </row>
    <row r="452" ht="15.75" customHeight="1">
      <c r="B452" s="278"/>
      <c r="C452" s="278"/>
      <c r="D452" s="278"/>
      <c r="F452" s="278"/>
      <c r="G452" s="278"/>
      <c r="H452" s="278"/>
      <c r="I452" s="278"/>
      <c r="J452" s="278"/>
      <c r="K452" s="278"/>
      <c r="L452" s="278"/>
      <c r="M452" s="278"/>
      <c r="N452" s="278"/>
      <c r="O452" s="278"/>
      <c r="P452" s="278"/>
      <c r="Q452" s="278"/>
      <c r="R452" s="278"/>
      <c r="S452" s="278"/>
      <c r="T452" s="278"/>
      <c r="U452" s="278"/>
      <c r="V452" s="278"/>
      <c r="W452" s="278"/>
      <c r="X452" s="278"/>
    </row>
    <row r="453" ht="15.75" customHeight="1">
      <c r="B453" s="278"/>
      <c r="C453" s="278"/>
      <c r="D453" s="278"/>
      <c r="F453" s="278"/>
      <c r="G453" s="278"/>
      <c r="H453" s="278"/>
      <c r="I453" s="278"/>
      <c r="J453" s="278"/>
      <c r="K453" s="278"/>
      <c r="L453" s="278"/>
      <c r="M453" s="278"/>
      <c r="N453" s="278"/>
      <c r="O453" s="278"/>
      <c r="P453" s="278"/>
      <c r="Q453" s="278"/>
      <c r="R453" s="278"/>
      <c r="S453" s="278"/>
      <c r="T453" s="278"/>
      <c r="U453" s="278"/>
      <c r="V453" s="278"/>
      <c r="W453" s="278"/>
      <c r="X453" s="278"/>
    </row>
    <row r="454" ht="15.75" customHeight="1">
      <c r="B454" s="278"/>
      <c r="C454" s="278"/>
      <c r="D454" s="278"/>
      <c r="F454" s="278"/>
      <c r="G454" s="278"/>
      <c r="H454" s="278"/>
      <c r="I454" s="278"/>
      <c r="J454" s="278"/>
      <c r="K454" s="278"/>
      <c r="L454" s="278"/>
      <c r="M454" s="278"/>
      <c r="N454" s="278"/>
      <c r="O454" s="278"/>
      <c r="P454" s="278"/>
      <c r="Q454" s="278"/>
      <c r="R454" s="278"/>
      <c r="S454" s="278"/>
      <c r="T454" s="278"/>
      <c r="U454" s="278"/>
      <c r="V454" s="278"/>
      <c r="W454" s="278"/>
      <c r="X454" s="278"/>
    </row>
    <row r="455" ht="15.75" customHeight="1">
      <c r="B455" s="278"/>
      <c r="C455" s="278"/>
      <c r="D455" s="278"/>
      <c r="F455" s="278"/>
      <c r="G455" s="278"/>
      <c r="H455" s="278"/>
      <c r="I455" s="278"/>
      <c r="J455" s="278"/>
      <c r="K455" s="278"/>
      <c r="L455" s="278"/>
      <c r="M455" s="278"/>
      <c r="N455" s="278"/>
      <c r="O455" s="278"/>
      <c r="P455" s="278"/>
      <c r="Q455" s="278"/>
      <c r="R455" s="278"/>
      <c r="S455" s="278"/>
      <c r="T455" s="278"/>
      <c r="U455" s="278"/>
      <c r="V455" s="278"/>
      <c r="W455" s="278"/>
      <c r="X455" s="278"/>
    </row>
    <row r="456" ht="15.75" customHeight="1">
      <c r="B456" s="278"/>
      <c r="C456" s="278"/>
      <c r="D456" s="278"/>
      <c r="F456" s="278"/>
      <c r="G456" s="278"/>
      <c r="H456" s="278"/>
      <c r="I456" s="278"/>
      <c r="J456" s="278"/>
      <c r="K456" s="278"/>
      <c r="L456" s="278"/>
      <c r="M456" s="278"/>
      <c r="N456" s="278"/>
      <c r="O456" s="278"/>
      <c r="P456" s="278"/>
      <c r="Q456" s="278"/>
      <c r="R456" s="278"/>
      <c r="S456" s="278"/>
      <c r="T456" s="278"/>
      <c r="U456" s="278"/>
      <c r="V456" s="278"/>
      <c r="W456" s="278"/>
      <c r="X456" s="278"/>
    </row>
    <row r="457" ht="15.75" customHeight="1">
      <c r="B457" s="278"/>
      <c r="C457" s="278"/>
      <c r="D457" s="278"/>
      <c r="F457" s="278"/>
      <c r="G457" s="278"/>
      <c r="H457" s="278"/>
      <c r="I457" s="278"/>
      <c r="J457" s="278"/>
      <c r="K457" s="278"/>
      <c r="L457" s="278"/>
      <c r="M457" s="278"/>
      <c r="N457" s="278"/>
      <c r="O457" s="278"/>
      <c r="P457" s="278"/>
      <c r="Q457" s="278"/>
      <c r="R457" s="278"/>
      <c r="S457" s="278"/>
      <c r="T457" s="278"/>
      <c r="U457" s="278"/>
      <c r="V457" s="278"/>
      <c r="W457" s="278"/>
      <c r="X457" s="278"/>
    </row>
    <row r="458" ht="15.75" customHeight="1">
      <c r="B458" s="278"/>
      <c r="C458" s="278"/>
      <c r="D458" s="278"/>
      <c r="F458" s="278"/>
      <c r="G458" s="278"/>
      <c r="H458" s="278"/>
      <c r="I458" s="278"/>
      <c r="J458" s="278"/>
      <c r="K458" s="278"/>
      <c r="L458" s="278"/>
      <c r="M458" s="278"/>
      <c r="N458" s="278"/>
      <c r="O458" s="278"/>
      <c r="P458" s="278"/>
      <c r="Q458" s="278"/>
      <c r="R458" s="278"/>
      <c r="S458" s="278"/>
      <c r="T458" s="278"/>
      <c r="U458" s="278"/>
      <c r="V458" s="278"/>
      <c r="W458" s="278"/>
      <c r="X458" s="278"/>
    </row>
    <row r="459" ht="15.75" customHeight="1">
      <c r="B459" s="278"/>
      <c r="C459" s="278"/>
      <c r="D459" s="278"/>
      <c r="F459" s="278"/>
      <c r="G459" s="278"/>
      <c r="H459" s="278"/>
      <c r="I459" s="278"/>
      <c r="J459" s="278"/>
      <c r="K459" s="278"/>
      <c r="L459" s="278"/>
      <c r="M459" s="278"/>
      <c r="N459" s="278"/>
      <c r="O459" s="278"/>
      <c r="P459" s="278"/>
      <c r="Q459" s="278"/>
      <c r="R459" s="278"/>
      <c r="S459" s="278"/>
      <c r="T459" s="278"/>
      <c r="U459" s="278"/>
      <c r="V459" s="278"/>
      <c r="W459" s="278"/>
      <c r="X459" s="278"/>
    </row>
    <row r="460" ht="15.75" customHeight="1">
      <c r="B460" s="278"/>
      <c r="C460" s="278"/>
      <c r="D460" s="278"/>
      <c r="F460" s="278"/>
      <c r="G460" s="278"/>
      <c r="H460" s="278"/>
      <c r="I460" s="278"/>
      <c r="J460" s="278"/>
      <c r="K460" s="278"/>
      <c r="L460" s="278"/>
      <c r="M460" s="278"/>
      <c r="N460" s="278"/>
      <c r="O460" s="278"/>
      <c r="P460" s="278"/>
      <c r="Q460" s="278"/>
      <c r="R460" s="278"/>
      <c r="S460" s="278"/>
      <c r="T460" s="278"/>
      <c r="U460" s="278"/>
      <c r="V460" s="278"/>
      <c r="W460" s="278"/>
      <c r="X460" s="278"/>
    </row>
    <row r="461" ht="15.75" customHeight="1">
      <c r="B461" s="278"/>
      <c r="C461" s="278"/>
      <c r="D461" s="278"/>
      <c r="F461" s="278"/>
      <c r="G461" s="278"/>
      <c r="H461" s="278"/>
      <c r="I461" s="278"/>
      <c r="J461" s="278"/>
      <c r="K461" s="278"/>
      <c r="L461" s="278"/>
      <c r="M461" s="278"/>
      <c r="N461" s="278"/>
      <c r="O461" s="278"/>
      <c r="P461" s="278"/>
      <c r="Q461" s="278"/>
      <c r="R461" s="278"/>
      <c r="S461" s="278"/>
      <c r="T461" s="278"/>
      <c r="U461" s="278"/>
      <c r="V461" s="278"/>
      <c r="W461" s="278"/>
      <c r="X461" s="278"/>
    </row>
    <row r="462" ht="15.75" customHeight="1">
      <c r="B462" s="278"/>
      <c r="C462" s="278"/>
      <c r="D462" s="278"/>
      <c r="F462" s="278"/>
      <c r="G462" s="278"/>
      <c r="H462" s="278"/>
      <c r="I462" s="278"/>
      <c r="J462" s="278"/>
      <c r="K462" s="278"/>
      <c r="L462" s="278"/>
      <c r="M462" s="278"/>
      <c r="N462" s="278"/>
      <c r="O462" s="278"/>
      <c r="P462" s="278"/>
      <c r="Q462" s="278"/>
      <c r="R462" s="278"/>
      <c r="S462" s="278"/>
      <c r="T462" s="278"/>
      <c r="U462" s="278"/>
      <c r="V462" s="278"/>
      <c r="W462" s="278"/>
      <c r="X462" s="278"/>
    </row>
    <row r="463" ht="15.75" customHeight="1">
      <c r="B463" s="278"/>
      <c r="C463" s="278"/>
      <c r="D463" s="278"/>
      <c r="F463" s="278"/>
      <c r="G463" s="278"/>
      <c r="H463" s="278"/>
      <c r="I463" s="278"/>
      <c r="J463" s="278"/>
      <c r="K463" s="278"/>
      <c r="L463" s="278"/>
      <c r="M463" s="278"/>
      <c r="N463" s="278"/>
      <c r="O463" s="278"/>
      <c r="P463" s="278"/>
      <c r="Q463" s="278"/>
      <c r="R463" s="278"/>
      <c r="S463" s="278"/>
      <c r="T463" s="278"/>
      <c r="U463" s="278"/>
      <c r="V463" s="278"/>
      <c r="W463" s="278"/>
      <c r="X463" s="278"/>
    </row>
    <row r="464" ht="15.75" customHeight="1">
      <c r="B464" s="278"/>
      <c r="C464" s="278"/>
      <c r="D464" s="278"/>
      <c r="F464" s="278"/>
      <c r="G464" s="278"/>
      <c r="H464" s="278"/>
      <c r="I464" s="278"/>
      <c r="J464" s="278"/>
      <c r="K464" s="278"/>
      <c r="L464" s="278"/>
      <c r="M464" s="278"/>
      <c r="N464" s="278"/>
      <c r="O464" s="278"/>
      <c r="P464" s="278"/>
      <c r="Q464" s="278"/>
      <c r="R464" s="278"/>
      <c r="S464" s="278"/>
      <c r="T464" s="278"/>
      <c r="U464" s="278"/>
      <c r="V464" s="278"/>
      <c r="W464" s="278"/>
      <c r="X464" s="278"/>
    </row>
    <row r="465" ht="15.75" customHeight="1">
      <c r="B465" s="278"/>
      <c r="C465" s="278"/>
      <c r="D465" s="278"/>
      <c r="F465" s="278"/>
      <c r="G465" s="278"/>
      <c r="H465" s="278"/>
      <c r="I465" s="278"/>
      <c r="J465" s="278"/>
      <c r="K465" s="278"/>
      <c r="L465" s="278"/>
      <c r="M465" s="278"/>
      <c r="N465" s="278"/>
      <c r="O465" s="278"/>
      <c r="P465" s="278"/>
      <c r="Q465" s="278"/>
      <c r="R465" s="278"/>
      <c r="S465" s="278"/>
      <c r="T465" s="278"/>
      <c r="U465" s="278"/>
      <c r="V465" s="278"/>
      <c r="W465" s="278"/>
      <c r="X465" s="278"/>
    </row>
    <row r="466" ht="15.75" customHeight="1">
      <c r="B466" s="278"/>
      <c r="C466" s="278"/>
      <c r="D466" s="278"/>
      <c r="F466" s="278"/>
      <c r="G466" s="278"/>
      <c r="H466" s="278"/>
      <c r="I466" s="278"/>
      <c r="J466" s="278"/>
      <c r="K466" s="278"/>
      <c r="L466" s="278"/>
      <c r="M466" s="278"/>
      <c r="N466" s="278"/>
      <c r="O466" s="278"/>
      <c r="P466" s="278"/>
      <c r="Q466" s="278"/>
      <c r="R466" s="278"/>
      <c r="S466" s="278"/>
      <c r="T466" s="278"/>
      <c r="U466" s="278"/>
      <c r="V466" s="278"/>
      <c r="W466" s="278"/>
      <c r="X466" s="278"/>
    </row>
    <row r="467" ht="15.75" customHeight="1">
      <c r="B467" s="278"/>
      <c r="C467" s="278"/>
      <c r="D467" s="278"/>
      <c r="F467" s="278"/>
      <c r="G467" s="278"/>
      <c r="H467" s="278"/>
      <c r="I467" s="278"/>
      <c r="J467" s="278"/>
      <c r="K467" s="278"/>
      <c r="L467" s="278"/>
      <c r="M467" s="278"/>
      <c r="N467" s="278"/>
      <c r="O467" s="278"/>
      <c r="P467" s="278"/>
      <c r="Q467" s="278"/>
      <c r="R467" s="278"/>
      <c r="S467" s="278"/>
      <c r="T467" s="278"/>
      <c r="U467" s="278"/>
      <c r="V467" s="278"/>
      <c r="W467" s="278"/>
      <c r="X467" s="278"/>
    </row>
    <row r="468" ht="15.75" customHeight="1">
      <c r="B468" s="278"/>
      <c r="C468" s="278"/>
      <c r="D468" s="278"/>
      <c r="F468" s="278"/>
      <c r="G468" s="278"/>
      <c r="H468" s="278"/>
      <c r="I468" s="278"/>
      <c r="J468" s="278"/>
      <c r="K468" s="278"/>
      <c r="L468" s="278"/>
      <c r="M468" s="278"/>
      <c r="N468" s="278"/>
      <c r="O468" s="278"/>
      <c r="P468" s="278"/>
      <c r="Q468" s="278"/>
      <c r="R468" s="278"/>
      <c r="S468" s="278"/>
      <c r="T468" s="278"/>
      <c r="U468" s="278"/>
      <c r="V468" s="278"/>
      <c r="W468" s="278"/>
      <c r="X468" s="278"/>
    </row>
    <row r="469" ht="15.75" customHeight="1">
      <c r="B469" s="278"/>
      <c r="C469" s="278"/>
      <c r="D469" s="278"/>
      <c r="F469" s="278"/>
      <c r="G469" s="278"/>
      <c r="H469" s="278"/>
      <c r="I469" s="278"/>
      <c r="J469" s="278"/>
      <c r="K469" s="278"/>
      <c r="L469" s="278"/>
      <c r="M469" s="278"/>
      <c r="N469" s="278"/>
      <c r="O469" s="278"/>
      <c r="P469" s="278"/>
      <c r="Q469" s="278"/>
      <c r="R469" s="278"/>
      <c r="S469" s="278"/>
      <c r="T469" s="278"/>
      <c r="U469" s="278"/>
      <c r="V469" s="278"/>
      <c r="W469" s="278"/>
      <c r="X469" s="278"/>
    </row>
    <row r="470" ht="15.75" customHeight="1">
      <c r="B470" s="278"/>
      <c r="C470" s="278"/>
      <c r="D470" s="278"/>
      <c r="F470" s="278"/>
      <c r="G470" s="278"/>
      <c r="H470" s="278"/>
      <c r="I470" s="278"/>
      <c r="J470" s="278"/>
      <c r="K470" s="278"/>
      <c r="L470" s="278"/>
      <c r="M470" s="278"/>
      <c r="N470" s="278"/>
      <c r="O470" s="278"/>
      <c r="P470" s="278"/>
      <c r="Q470" s="278"/>
      <c r="R470" s="278"/>
      <c r="S470" s="278"/>
      <c r="T470" s="278"/>
      <c r="U470" s="278"/>
      <c r="V470" s="278"/>
      <c r="W470" s="278"/>
      <c r="X470" s="278"/>
    </row>
    <row r="471" ht="15.75" customHeight="1">
      <c r="B471" s="278"/>
      <c r="C471" s="278"/>
      <c r="D471" s="278"/>
      <c r="F471" s="278"/>
      <c r="G471" s="278"/>
      <c r="H471" s="278"/>
      <c r="I471" s="278"/>
      <c r="J471" s="278"/>
      <c r="K471" s="278"/>
      <c r="L471" s="278"/>
      <c r="M471" s="278"/>
      <c r="N471" s="278"/>
      <c r="O471" s="278"/>
      <c r="P471" s="278"/>
      <c r="Q471" s="278"/>
      <c r="R471" s="278"/>
      <c r="S471" s="278"/>
      <c r="T471" s="278"/>
      <c r="U471" s="278"/>
      <c r="V471" s="278"/>
      <c r="W471" s="278"/>
      <c r="X471" s="278"/>
    </row>
    <row r="472" ht="15.75" customHeight="1">
      <c r="B472" s="278"/>
      <c r="C472" s="278"/>
      <c r="D472" s="278"/>
      <c r="F472" s="278"/>
      <c r="G472" s="278"/>
      <c r="H472" s="278"/>
      <c r="I472" s="278"/>
      <c r="J472" s="278"/>
      <c r="K472" s="278"/>
      <c r="L472" s="278"/>
      <c r="M472" s="278"/>
      <c r="N472" s="278"/>
      <c r="O472" s="278"/>
      <c r="P472" s="278"/>
      <c r="Q472" s="278"/>
      <c r="R472" s="278"/>
      <c r="S472" s="278"/>
      <c r="T472" s="278"/>
      <c r="U472" s="278"/>
      <c r="V472" s="278"/>
      <c r="W472" s="278"/>
      <c r="X472" s="278"/>
    </row>
    <row r="473" ht="15.75" customHeight="1">
      <c r="B473" s="278"/>
      <c r="C473" s="278"/>
      <c r="D473" s="278"/>
      <c r="F473" s="278"/>
      <c r="G473" s="278"/>
      <c r="H473" s="278"/>
      <c r="I473" s="278"/>
      <c r="J473" s="278"/>
      <c r="K473" s="278"/>
      <c r="L473" s="278"/>
      <c r="M473" s="278"/>
      <c r="N473" s="278"/>
      <c r="O473" s="278"/>
      <c r="P473" s="278"/>
      <c r="Q473" s="278"/>
      <c r="R473" s="278"/>
      <c r="S473" s="278"/>
      <c r="T473" s="278"/>
      <c r="U473" s="278"/>
      <c r="V473" s="278"/>
      <c r="W473" s="278"/>
      <c r="X473" s="278"/>
    </row>
    <row r="474" ht="15.75" customHeight="1">
      <c r="B474" s="278"/>
      <c r="C474" s="278"/>
      <c r="D474" s="278"/>
      <c r="F474" s="278"/>
      <c r="G474" s="278"/>
      <c r="H474" s="278"/>
      <c r="I474" s="278"/>
      <c r="J474" s="278"/>
      <c r="K474" s="278"/>
      <c r="L474" s="278"/>
      <c r="M474" s="278"/>
      <c r="N474" s="278"/>
      <c r="O474" s="278"/>
      <c r="P474" s="278"/>
      <c r="Q474" s="278"/>
      <c r="R474" s="278"/>
      <c r="S474" s="278"/>
      <c r="T474" s="278"/>
      <c r="U474" s="278"/>
      <c r="V474" s="278"/>
      <c r="W474" s="278"/>
      <c r="X474" s="278"/>
    </row>
    <row r="475" ht="15.75" customHeight="1">
      <c r="B475" s="278"/>
      <c r="C475" s="278"/>
      <c r="D475" s="278"/>
      <c r="F475" s="278"/>
      <c r="G475" s="278"/>
      <c r="H475" s="278"/>
      <c r="I475" s="278"/>
      <c r="J475" s="278"/>
      <c r="K475" s="278"/>
      <c r="L475" s="278"/>
      <c r="M475" s="278"/>
      <c r="N475" s="278"/>
      <c r="O475" s="278"/>
      <c r="P475" s="278"/>
      <c r="Q475" s="278"/>
      <c r="R475" s="278"/>
      <c r="S475" s="278"/>
      <c r="T475" s="278"/>
      <c r="U475" s="278"/>
      <c r="V475" s="278"/>
      <c r="W475" s="278"/>
      <c r="X475" s="278"/>
    </row>
    <row r="476" ht="15.75" customHeight="1">
      <c r="B476" s="278"/>
      <c r="C476" s="278"/>
      <c r="D476" s="278"/>
      <c r="F476" s="278"/>
      <c r="G476" s="278"/>
      <c r="H476" s="278"/>
      <c r="I476" s="278"/>
      <c r="J476" s="278"/>
      <c r="K476" s="278"/>
      <c r="L476" s="278"/>
      <c r="M476" s="278"/>
      <c r="N476" s="278"/>
      <c r="O476" s="278"/>
      <c r="P476" s="278"/>
      <c r="Q476" s="278"/>
      <c r="R476" s="278"/>
      <c r="S476" s="278"/>
      <c r="T476" s="278"/>
      <c r="U476" s="278"/>
      <c r="V476" s="278"/>
      <c r="W476" s="278"/>
      <c r="X476" s="278"/>
    </row>
    <row r="477" ht="15.75" customHeight="1">
      <c r="B477" s="278"/>
      <c r="C477" s="278"/>
      <c r="D477" s="278"/>
      <c r="F477" s="278"/>
      <c r="G477" s="278"/>
      <c r="H477" s="278"/>
      <c r="I477" s="278"/>
      <c r="J477" s="278"/>
      <c r="K477" s="278"/>
      <c r="L477" s="278"/>
      <c r="M477" s="278"/>
      <c r="N477" s="278"/>
      <c r="O477" s="278"/>
      <c r="P477" s="278"/>
      <c r="Q477" s="278"/>
      <c r="R477" s="278"/>
      <c r="S477" s="278"/>
      <c r="T477" s="278"/>
      <c r="U477" s="278"/>
      <c r="V477" s="278"/>
      <c r="W477" s="278"/>
      <c r="X477" s="278"/>
    </row>
    <row r="478" ht="15.75" customHeight="1">
      <c r="B478" s="278"/>
      <c r="C478" s="278"/>
      <c r="D478" s="278"/>
      <c r="F478" s="278"/>
      <c r="G478" s="278"/>
      <c r="H478" s="278"/>
      <c r="I478" s="278"/>
      <c r="J478" s="278"/>
      <c r="K478" s="278"/>
      <c r="L478" s="278"/>
      <c r="M478" s="278"/>
      <c r="N478" s="278"/>
      <c r="O478" s="278"/>
      <c r="P478" s="278"/>
      <c r="Q478" s="278"/>
      <c r="R478" s="278"/>
      <c r="S478" s="278"/>
      <c r="T478" s="278"/>
      <c r="U478" s="278"/>
      <c r="V478" s="278"/>
      <c r="W478" s="278"/>
      <c r="X478" s="278"/>
    </row>
    <row r="479" ht="15.75" customHeight="1">
      <c r="B479" s="278"/>
      <c r="C479" s="278"/>
      <c r="D479" s="278"/>
      <c r="F479" s="278"/>
      <c r="G479" s="278"/>
      <c r="H479" s="278"/>
      <c r="I479" s="278"/>
      <c r="J479" s="278"/>
      <c r="K479" s="278"/>
      <c r="L479" s="278"/>
      <c r="M479" s="278"/>
      <c r="N479" s="278"/>
      <c r="O479" s="278"/>
      <c r="P479" s="278"/>
      <c r="Q479" s="278"/>
      <c r="R479" s="278"/>
      <c r="S479" s="278"/>
      <c r="T479" s="278"/>
      <c r="U479" s="278"/>
      <c r="V479" s="278"/>
      <c r="W479" s="278"/>
      <c r="X479" s="278"/>
    </row>
    <row r="480" ht="15.75" customHeight="1">
      <c r="B480" s="278"/>
      <c r="C480" s="278"/>
      <c r="D480" s="278"/>
      <c r="F480" s="278"/>
      <c r="G480" s="278"/>
      <c r="H480" s="278"/>
      <c r="I480" s="278"/>
      <c r="J480" s="278"/>
      <c r="K480" s="278"/>
      <c r="L480" s="278"/>
      <c r="M480" s="278"/>
      <c r="N480" s="278"/>
      <c r="O480" s="278"/>
      <c r="P480" s="278"/>
      <c r="Q480" s="278"/>
      <c r="R480" s="278"/>
      <c r="S480" s="278"/>
      <c r="T480" s="278"/>
      <c r="U480" s="278"/>
      <c r="V480" s="278"/>
      <c r="W480" s="278"/>
      <c r="X480" s="278"/>
    </row>
    <row r="481" ht="15.75" customHeight="1">
      <c r="B481" s="278"/>
      <c r="C481" s="278"/>
      <c r="D481" s="278"/>
      <c r="F481" s="278"/>
      <c r="G481" s="278"/>
      <c r="H481" s="278"/>
      <c r="I481" s="278"/>
      <c r="J481" s="278"/>
      <c r="K481" s="278"/>
      <c r="L481" s="278"/>
      <c r="M481" s="278"/>
      <c r="N481" s="278"/>
      <c r="O481" s="278"/>
      <c r="P481" s="278"/>
      <c r="Q481" s="278"/>
      <c r="R481" s="278"/>
      <c r="S481" s="278"/>
      <c r="T481" s="278"/>
      <c r="U481" s="278"/>
      <c r="V481" s="278"/>
      <c r="W481" s="278"/>
      <c r="X481" s="278"/>
    </row>
    <row r="482" ht="15.75" customHeight="1">
      <c r="B482" s="278"/>
      <c r="C482" s="278"/>
      <c r="D482" s="278"/>
      <c r="F482" s="278"/>
      <c r="G482" s="278"/>
      <c r="H482" s="278"/>
      <c r="I482" s="278"/>
      <c r="J482" s="278"/>
      <c r="K482" s="278"/>
      <c r="L482" s="278"/>
      <c r="M482" s="278"/>
      <c r="N482" s="278"/>
      <c r="O482" s="278"/>
      <c r="P482" s="278"/>
      <c r="Q482" s="278"/>
      <c r="R482" s="278"/>
      <c r="S482" s="278"/>
      <c r="T482" s="278"/>
      <c r="U482" s="278"/>
      <c r="V482" s="278"/>
      <c r="W482" s="278"/>
      <c r="X482" s="278"/>
    </row>
    <row r="483" ht="15.75" customHeight="1">
      <c r="B483" s="278"/>
      <c r="C483" s="278"/>
      <c r="D483" s="278"/>
      <c r="F483" s="278"/>
      <c r="G483" s="278"/>
      <c r="H483" s="278"/>
      <c r="I483" s="278"/>
      <c r="J483" s="278"/>
      <c r="K483" s="278"/>
      <c r="L483" s="278"/>
      <c r="M483" s="278"/>
      <c r="N483" s="278"/>
      <c r="O483" s="278"/>
      <c r="P483" s="278"/>
      <c r="Q483" s="278"/>
      <c r="R483" s="278"/>
      <c r="S483" s="278"/>
      <c r="T483" s="278"/>
      <c r="U483" s="278"/>
      <c r="V483" s="278"/>
      <c r="W483" s="278"/>
      <c r="X483" s="278"/>
    </row>
    <row r="484" ht="15.75" customHeight="1">
      <c r="B484" s="278"/>
      <c r="C484" s="278"/>
      <c r="D484" s="278"/>
      <c r="F484" s="278"/>
      <c r="G484" s="278"/>
      <c r="H484" s="278"/>
      <c r="I484" s="278"/>
      <c r="J484" s="278"/>
      <c r="K484" s="278"/>
      <c r="L484" s="278"/>
      <c r="M484" s="278"/>
      <c r="N484" s="278"/>
      <c r="O484" s="278"/>
      <c r="P484" s="278"/>
      <c r="Q484" s="278"/>
      <c r="R484" s="278"/>
      <c r="S484" s="278"/>
      <c r="T484" s="278"/>
      <c r="U484" s="278"/>
      <c r="V484" s="278"/>
      <c r="W484" s="278"/>
      <c r="X484" s="278"/>
    </row>
    <row r="485" ht="15.75" customHeight="1">
      <c r="B485" s="278"/>
      <c r="C485" s="278"/>
      <c r="D485" s="278"/>
      <c r="F485" s="278"/>
      <c r="G485" s="278"/>
      <c r="H485" s="278"/>
      <c r="I485" s="278"/>
      <c r="J485" s="278"/>
      <c r="K485" s="278"/>
      <c r="L485" s="278"/>
      <c r="M485" s="278"/>
      <c r="N485" s="278"/>
      <c r="O485" s="278"/>
      <c r="P485" s="278"/>
      <c r="Q485" s="278"/>
      <c r="R485" s="278"/>
      <c r="S485" s="278"/>
      <c r="T485" s="278"/>
      <c r="U485" s="278"/>
      <c r="V485" s="278"/>
      <c r="W485" s="278"/>
      <c r="X485" s="278"/>
    </row>
    <row r="486" ht="15.75" customHeight="1">
      <c r="B486" s="278"/>
      <c r="C486" s="278"/>
      <c r="D486" s="278"/>
      <c r="F486" s="278"/>
      <c r="G486" s="278"/>
      <c r="H486" s="278"/>
      <c r="I486" s="278"/>
      <c r="J486" s="278"/>
      <c r="K486" s="278"/>
      <c r="L486" s="278"/>
      <c r="M486" s="278"/>
      <c r="N486" s="278"/>
      <c r="O486" s="278"/>
      <c r="P486" s="278"/>
      <c r="Q486" s="278"/>
      <c r="R486" s="278"/>
      <c r="S486" s="278"/>
      <c r="T486" s="278"/>
      <c r="U486" s="278"/>
      <c r="V486" s="278"/>
      <c r="W486" s="278"/>
      <c r="X486" s="278"/>
    </row>
    <row r="487" ht="15.75" customHeight="1">
      <c r="B487" s="278"/>
      <c r="C487" s="278"/>
      <c r="D487" s="278"/>
      <c r="F487" s="278"/>
      <c r="G487" s="278"/>
      <c r="H487" s="278"/>
      <c r="I487" s="278"/>
      <c r="J487" s="278"/>
      <c r="K487" s="278"/>
      <c r="L487" s="278"/>
      <c r="M487" s="278"/>
      <c r="N487" s="278"/>
      <c r="O487" s="278"/>
      <c r="P487" s="278"/>
      <c r="Q487" s="278"/>
      <c r="R487" s="278"/>
      <c r="S487" s="278"/>
      <c r="T487" s="278"/>
      <c r="U487" s="278"/>
      <c r="V487" s="278"/>
      <c r="W487" s="278"/>
      <c r="X487" s="278"/>
    </row>
    <row r="488" ht="15.75" customHeight="1">
      <c r="B488" s="278"/>
      <c r="C488" s="278"/>
      <c r="D488" s="278"/>
      <c r="F488" s="278"/>
      <c r="G488" s="278"/>
      <c r="H488" s="278"/>
      <c r="I488" s="278"/>
      <c r="J488" s="278"/>
      <c r="K488" s="278"/>
      <c r="L488" s="278"/>
      <c r="M488" s="278"/>
      <c r="N488" s="278"/>
      <c r="O488" s="278"/>
      <c r="P488" s="278"/>
      <c r="Q488" s="278"/>
      <c r="R488" s="278"/>
      <c r="S488" s="278"/>
      <c r="T488" s="278"/>
      <c r="U488" s="278"/>
      <c r="V488" s="278"/>
      <c r="W488" s="278"/>
      <c r="X488" s="278"/>
    </row>
    <row r="489" ht="15.75" customHeight="1">
      <c r="B489" s="278"/>
      <c r="C489" s="278"/>
      <c r="D489" s="278"/>
      <c r="F489" s="278"/>
      <c r="G489" s="278"/>
      <c r="H489" s="278"/>
      <c r="I489" s="278"/>
      <c r="J489" s="278"/>
      <c r="K489" s="278"/>
      <c r="L489" s="278"/>
      <c r="M489" s="278"/>
      <c r="N489" s="278"/>
      <c r="O489" s="278"/>
      <c r="P489" s="278"/>
      <c r="Q489" s="278"/>
      <c r="R489" s="278"/>
      <c r="S489" s="278"/>
      <c r="T489" s="278"/>
      <c r="U489" s="278"/>
      <c r="V489" s="278"/>
      <c r="W489" s="278"/>
      <c r="X489" s="278"/>
    </row>
    <row r="490" ht="15.75" customHeight="1">
      <c r="B490" s="278"/>
      <c r="C490" s="278"/>
      <c r="D490" s="278"/>
      <c r="F490" s="278"/>
      <c r="G490" s="278"/>
      <c r="H490" s="278"/>
      <c r="I490" s="278"/>
      <c r="J490" s="278"/>
      <c r="K490" s="278"/>
      <c r="L490" s="278"/>
      <c r="M490" s="278"/>
      <c r="N490" s="278"/>
      <c r="O490" s="278"/>
      <c r="P490" s="278"/>
      <c r="Q490" s="278"/>
      <c r="R490" s="278"/>
      <c r="S490" s="278"/>
      <c r="T490" s="278"/>
      <c r="U490" s="278"/>
      <c r="V490" s="278"/>
      <c r="W490" s="278"/>
      <c r="X490" s="278"/>
    </row>
    <row r="491" ht="15.75" customHeight="1">
      <c r="B491" s="278"/>
      <c r="C491" s="278"/>
      <c r="D491" s="278"/>
      <c r="F491" s="278"/>
      <c r="G491" s="278"/>
      <c r="H491" s="278"/>
      <c r="I491" s="278"/>
      <c r="J491" s="278"/>
      <c r="K491" s="278"/>
      <c r="L491" s="278"/>
      <c r="M491" s="278"/>
      <c r="N491" s="278"/>
      <c r="O491" s="278"/>
      <c r="P491" s="278"/>
      <c r="Q491" s="278"/>
      <c r="R491" s="278"/>
      <c r="S491" s="278"/>
      <c r="T491" s="278"/>
      <c r="U491" s="278"/>
      <c r="V491" s="278"/>
      <c r="W491" s="278"/>
      <c r="X491" s="278"/>
    </row>
    <row r="492" ht="15.75" customHeight="1">
      <c r="B492" s="278"/>
      <c r="C492" s="278"/>
      <c r="D492" s="278"/>
      <c r="F492" s="278"/>
      <c r="G492" s="278"/>
      <c r="H492" s="278"/>
      <c r="I492" s="278"/>
      <c r="J492" s="278"/>
      <c r="K492" s="278"/>
      <c r="L492" s="278"/>
      <c r="M492" s="278"/>
      <c r="N492" s="278"/>
      <c r="O492" s="278"/>
      <c r="P492" s="278"/>
      <c r="Q492" s="278"/>
      <c r="R492" s="278"/>
      <c r="S492" s="278"/>
      <c r="T492" s="278"/>
      <c r="U492" s="278"/>
      <c r="V492" s="278"/>
      <c r="W492" s="278"/>
      <c r="X492" s="278"/>
    </row>
    <row r="493" ht="15.75" customHeight="1">
      <c r="B493" s="278"/>
      <c r="C493" s="278"/>
      <c r="D493" s="278"/>
      <c r="F493" s="278"/>
      <c r="G493" s="278"/>
      <c r="H493" s="278"/>
      <c r="I493" s="278"/>
      <c r="J493" s="278"/>
      <c r="K493" s="278"/>
      <c r="L493" s="278"/>
      <c r="M493" s="278"/>
      <c r="N493" s="278"/>
      <c r="O493" s="278"/>
      <c r="P493" s="278"/>
      <c r="Q493" s="278"/>
      <c r="R493" s="278"/>
      <c r="S493" s="278"/>
      <c r="T493" s="278"/>
      <c r="U493" s="278"/>
      <c r="V493" s="278"/>
      <c r="W493" s="278"/>
      <c r="X493" s="278"/>
    </row>
    <row r="494" ht="15.75" customHeight="1">
      <c r="B494" s="278"/>
      <c r="C494" s="278"/>
      <c r="D494" s="278"/>
      <c r="F494" s="278"/>
      <c r="G494" s="278"/>
      <c r="H494" s="278"/>
      <c r="I494" s="278"/>
      <c r="J494" s="278"/>
      <c r="K494" s="278"/>
      <c r="L494" s="278"/>
      <c r="M494" s="278"/>
      <c r="N494" s="278"/>
      <c r="O494" s="278"/>
      <c r="P494" s="278"/>
      <c r="Q494" s="278"/>
      <c r="R494" s="278"/>
      <c r="S494" s="278"/>
      <c r="T494" s="278"/>
      <c r="U494" s="278"/>
      <c r="V494" s="278"/>
      <c r="W494" s="278"/>
      <c r="X494" s="278"/>
    </row>
    <row r="495" ht="15.75" customHeight="1">
      <c r="B495" s="278"/>
      <c r="C495" s="278"/>
      <c r="D495" s="278"/>
      <c r="F495" s="278"/>
      <c r="G495" s="278"/>
      <c r="H495" s="278"/>
      <c r="I495" s="278"/>
      <c r="J495" s="278"/>
      <c r="K495" s="278"/>
      <c r="L495" s="278"/>
      <c r="M495" s="278"/>
      <c r="N495" s="278"/>
      <c r="O495" s="278"/>
      <c r="P495" s="278"/>
      <c r="Q495" s="278"/>
      <c r="R495" s="278"/>
      <c r="S495" s="278"/>
      <c r="T495" s="278"/>
      <c r="U495" s="278"/>
      <c r="V495" s="278"/>
      <c r="W495" s="278"/>
      <c r="X495" s="278"/>
    </row>
    <row r="496" ht="15.75" customHeight="1">
      <c r="B496" s="278"/>
      <c r="C496" s="278"/>
      <c r="D496" s="278"/>
      <c r="F496" s="278"/>
      <c r="G496" s="278"/>
      <c r="H496" s="278"/>
      <c r="I496" s="278"/>
      <c r="J496" s="278"/>
      <c r="K496" s="278"/>
      <c r="L496" s="278"/>
      <c r="M496" s="278"/>
      <c r="N496" s="278"/>
      <c r="O496" s="278"/>
      <c r="P496" s="278"/>
      <c r="Q496" s="278"/>
      <c r="R496" s="278"/>
      <c r="S496" s="278"/>
      <c r="T496" s="278"/>
      <c r="U496" s="278"/>
      <c r="V496" s="278"/>
      <c r="W496" s="278"/>
      <c r="X496" s="278"/>
    </row>
    <row r="497" ht="15.75" customHeight="1">
      <c r="B497" s="278"/>
      <c r="C497" s="278"/>
      <c r="D497" s="278"/>
      <c r="F497" s="278"/>
      <c r="G497" s="278"/>
      <c r="H497" s="278"/>
      <c r="I497" s="278"/>
      <c r="J497" s="278"/>
      <c r="K497" s="278"/>
      <c r="L497" s="278"/>
      <c r="M497" s="278"/>
      <c r="N497" s="278"/>
      <c r="O497" s="278"/>
      <c r="P497" s="278"/>
      <c r="Q497" s="278"/>
      <c r="R497" s="278"/>
      <c r="S497" s="278"/>
      <c r="T497" s="278"/>
      <c r="U497" s="278"/>
      <c r="V497" s="278"/>
      <c r="W497" s="278"/>
      <c r="X497" s="278"/>
    </row>
    <row r="498" ht="15.75" customHeight="1">
      <c r="B498" s="278"/>
      <c r="C498" s="278"/>
      <c r="D498" s="278"/>
      <c r="F498" s="278"/>
      <c r="G498" s="278"/>
      <c r="H498" s="278"/>
      <c r="I498" s="278"/>
      <c r="J498" s="278"/>
      <c r="K498" s="278"/>
      <c r="L498" s="278"/>
      <c r="M498" s="278"/>
      <c r="N498" s="278"/>
      <c r="O498" s="278"/>
      <c r="P498" s="278"/>
      <c r="Q498" s="278"/>
      <c r="R498" s="278"/>
      <c r="S498" s="278"/>
      <c r="T498" s="278"/>
      <c r="U498" s="278"/>
      <c r="V498" s="278"/>
      <c r="W498" s="278"/>
      <c r="X498" s="278"/>
    </row>
    <row r="499" ht="15.75" customHeight="1">
      <c r="B499" s="278"/>
      <c r="C499" s="278"/>
      <c r="D499" s="278"/>
      <c r="F499" s="278"/>
      <c r="G499" s="278"/>
      <c r="H499" s="278"/>
      <c r="I499" s="278"/>
      <c r="J499" s="278"/>
      <c r="K499" s="278"/>
      <c r="L499" s="278"/>
      <c r="M499" s="278"/>
      <c r="N499" s="278"/>
      <c r="O499" s="278"/>
      <c r="P499" s="278"/>
      <c r="Q499" s="278"/>
      <c r="R499" s="278"/>
      <c r="S499" s="278"/>
      <c r="T499" s="278"/>
      <c r="U499" s="278"/>
      <c r="V499" s="278"/>
      <c r="W499" s="278"/>
      <c r="X499" s="278"/>
    </row>
    <row r="500" ht="15.75" customHeight="1">
      <c r="B500" s="278"/>
      <c r="C500" s="278"/>
      <c r="D500" s="278"/>
      <c r="F500" s="278"/>
      <c r="G500" s="278"/>
      <c r="H500" s="278"/>
      <c r="I500" s="278"/>
      <c r="J500" s="278"/>
      <c r="K500" s="278"/>
      <c r="L500" s="278"/>
      <c r="M500" s="278"/>
      <c r="N500" s="278"/>
      <c r="O500" s="278"/>
      <c r="P500" s="278"/>
      <c r="Q500" s="278"/>
      <c r="R500" s="278"/>
      <c r="S500" s="278"/>
      <c r="T500" s="278"/>
      <c r="U500" s="278"/>
      <c r="V500" s="278"/>
      <c r="W500" s="278"/>
      <c r="X500" s="278"/>
    </row>
    <row r="501" ht="15.75" customHeight="1">
      <c r="B501" s="278"/>
      <c r="C501" s="278"/>
      <c r="D501" s="278"/>
      <c r="F501" s="278"/>
      <c r="G501" s="278"/>
      <c r="H501" s="278"/>
      <c r="I501" s="278"/>
      <c r="J501" s="278"/>
      <c r="K501" s="278"/>
      <c r="L501" s="278"/>
      <c r="M501" s="278"/>
      <c r="N501" s="278"/>
      <c r="O501" s="278"/>
      <c r="P501" s="278"/>
      <c r="Q501" s="278"/>
      <c r="R501" s="278"/>
      <c r="S501" s="278"/>
      <c r="T501" s="278"/>
      <c r="U501" s="278"/>
      <c r="V501" s="278"/>
      <c r="W501" s="278"/>
      <c r="X501" s="278"/>
    </row>
    <row r="502" ht="15.75" customHeight="1">
      <c r="B502" s="278"/>
      <c r="C502" s="278"/>
      <c r="D502" s="278"/>
      <c r="F502" s="278"/>
      <c r="G502" s="278"/>
      <c r="H502" s="278"/>
      <c r="I502" s="278"/>
      <c r="J502" s="278"/>
      <c r="K502" s="278"/>
      <c r="L502" s="278"/>
      <c r="M502" s="278"/>
      <c r="N502" s="278"/>
      <c r="O502" s="278"/>
      <c r="P502" s="278"/>
      <c r="Q502" s="278"/>
      <c r="R502" s="278"/>
      <c r="S502" s="278"/>
      <c r="T502" s="278"/>
      <c r="U502" s="278"/>
      <c r="V502" s="278"/>
      <c r="W502" s="278"/>
      <c r="X502" s="278"/>
    </row>
    <row r="503" ht="15.75" customHeight="1">
      <c r="B503" s="278"/>
      <c r="C503" s="278"/>
      <c r="D503" s="278"/>
      <c r="F503" s="278"/>
      <c r="G503" s="278"/>
      <c r="H503" s="278"/>
      <c r="I503" s="278"/>
      <c r="J503" s="278"/>
      <c r="K503" s="278"/>
      <c r="L503" s="278"/>
      <c r="M503" s="278"/>
      <c r="N503" s="278"/>
      <c r="O503" s="278"/>
      <c r="P503" s="278"/>
      <c r="Q503" s="278"/>
      <c r="R503" s="278"/>
      <c r="S503" s="278"/>
      <c r="T503" s="278"/>
      <c r="U503" s="278"/>
      <c r="V503" s="278"/>
      <c r="W503" s="278"/>
      <c r="X503" s="278"/>
    </row>
    <row r="504" ht="15.75" customHeight="1">
      <c r="B504" s="278"/>
      <c r="C504" s="278"/>
      <c r="D504" s="278"/>
      <c r="F504" s="278"/>
      <c r="G504" s="278"/>
      <c r="H504" s="278"/>
      <c r="I504" s="278"/>
      <c r="J504" s="278"/>
      <c r="K504" s="278"/>
      <c r="L504" s="278"/>
      <c r="M504" s="278"/>
      <c r="N504" s="278"/>
      <c r="O504" s="278"/>
      <c r="P504" s="278"/>
      <c r="Q504" s="278"/>
      <c r="R504" s="278"/>
      <c r="S504" s="278"/>
      <c r="T504" s="278"/>
      <c r="U504" s="278"/>
      <c r="V504" s="278"/>
      <c r="W504" s="278"/>
      <c r="X504" s="278"/>
    </row>
    <row r="505" ht="15.75" customHeight="1">
      <c r="B505" s="278"/>
      <c r="C505" s="278"/>
      <c r="D505" s="278"/>
      <c r="F505" s="278"/>
      <c r="G505" s="278"/>
      <c r="H505" s="278"/>
      <c r="I505" s="278"/>
      <c r="J505" s="278"/>
      <c r="K505" s="278"/>
      <c r="L505" s="278"/>
      <c r="M505" s="278"/>
      <c r="N505" s="278"/>
      <c r="O505" s="278"/>
      <c r="P505" s="278"/>
      <c r="Q505" s="278"/>
      <c r="R505" s="278"/>
      <c r="S505" s="278"/>
      <c r="T505" s="278"/>
      <c r="U505" s="278"/>
      <c r="V505" s="278"/>
      <c r="W505" s="278"/>
      <c r="X505" s="278"/>
    </row>
    <row r="506" ht="15.75" customHeight="1">
      <c r="B506" s="278"/>
      <c r="C506" s="278"/>
      <c r="D506" s="278"/>
      <c r="F506" s="278"/>
      <c r="G506" s="278"/>
      <c r="H506" s="278"/>
      <c r="I506" s="278"/>
      <c r="J506" s="278"/>
      <c r="K506" s="278"/>
      <c r="L506" s="278"/>
      <c r="M506" s="278"/>
      <c r="N506" s="278"/>
      <c r="O506" s="278"/>
      <c r="P506" s="278"/>
      <c r="Q506" s="278"/>
      <c r="R506" s="278"/>
      <c r="S506" s="278"/>
      <c r="T506" s="278"/>
      <c r="U506" s="278"/>
      <c r="V506" s="278"/>
      <c r="W506" s="278"/>
      <c r="X506" s="278"/>
    </row>
    <row r="507" ht="15.75" customHeight="1">
      <c r="B507" s="278"/>
      <c r="C507" s="278"/>
      <c r="D507" s="278"/>
      <c r="F507" s="278"/>
      <c r="G507" s="278"/>
      <c r="H507" s="278"/>
      <c r="I507" s="278"/>
      <c r="J507" s="278"/>
      <c r="K507" s="278"/>
      <c r="L507" s="278"/>
      <c r="M507" s="278"/>
      <c r="N507" s="278"/>
      <c r="O507" s="278"/>
      <c r="P507" s="278"/>
      <c r="Q507" s="278"/>
      <c r="R507" s="278"/>
      <c r="S507" s="278"/>
      <c r="T507" s="278"/>
      <c r="U507" s="278"/>
      <c r="V507" s="278"/>
      <c r="W507" s="278"/>
      <c r="X507" s="278"/>
    </row>
    <row r="508" ht="15.75" customHeight="1">
      <c r="B508" s="278"/>
      <c r="C508" s="278"/>
      <c r="D508" s="278"/>
      <c r="F508" s="278"/>
      <c r="G508" s="278"/>
      <c r="H508" s="278"/>
      <c r="I508" s="278"/>
      <c r="J508" s="278"/>
      <c r="K508" s="278"/>
      <c r="L508" s="278"/>
      <c r="M508" s="278"/>
      <c r="N508" s="278"/>
      <c r="O508" s="278"/>
      <c r="P508" s="278"/>
      <c r="Q508" s="278"/>
      <c r="R508" s="278"/>
      <c r="S508" s="278"/>
      <c r="T508" s="278"/>
      <c r="U508" s="278"/>
      <c r="V508" s="278"/>
      <c r="W508" s="278"/>
      <c r="X508" s="278"/>
    </row>
    <row r="509" ht="15.75" customHeight="1">
      <c r="B509" s="278"/>
      <c r="C509" s="278"/>
      <c r="D509" s="278"/>
      <c r="F509" s="278"/>
      <c r="G509" s="278"/>
      <c r="H509" s="278"/>
      <c r="I509" s="278"/>
      <c r="J509" s="278"/>
      <c r="K509" s="278"/>
      <c r="L509" s="278"/>
      <c r="M509" s="278"/>
      <c r="N509" s="278"/>
      <c r="O509" s="278"/>
      <c r="P509" s="278"/>
      <c r="Q509" s="278"/>
      <c r="R509" s="278"/>
      <c r="S509" s="278"/>
      <c r="T509" s="278"/>
      <c r="U509" s="278"/>
      <c r="V509" s="278"/>
      <c r="W509" s="278"/>
      <c r="X509" s="278"/>
    </row>
    <row r="510" ht="15.75" customHeight="1">
      <c r="B510" s="278"/>
      <c r="C510" s="278"/>
      <c r="D510" s="278"/>
      <c r="F510" s="278"/>
      <c r="G510" s="278"/>
      <c r="H510" s="278"/>
      <c r="I510" s="278"/>
      <c r="J510" s="278"/>
      <c r="K510" s="278"/>
      <c r="L510" s="278"/>
      <c r="M510" s="278"/>
      <c r="N510" s="278"/>
      <c r="O510" s="278"/>
      <c r="P510" s="278"/>
      <c r="Q510" s="278"/>
      <c r="R510" s="278"/>
      <c r="S510" s="278"/>
      <c r="T510" s="278"/>
      <c r="U510" s="278"/>
      <c r="V510" s="278"/>
      <c r="W510" s="278"/>
      <c r="X510" s="278"/>
    </row>
    <row r="511" ht="15.75" customHeight="1">
      <c r="B511" s="278"/>
      <c r="C511" s="278"/>
      <c r="D511" s="278"/>
      <c r="F511" s="278"/>
      <c r="G511" s="278"/>
      <c r="H511" s="278"/>
      <c r="I511" s="278"/>
      <c r="J511" s="278"/>
      <c r="K511" s="278"/>
      <c r="L511" s="278"/>
      <c r="M511" s="278"/>
      <c r="N511" s="278"/>
      <c r="O511" s="278"/>
      <c r="P511" s="278"/>
      <c r="Q511" s="278"/>
      <c r="R511" s="278"/>
      <c r="S511" s="278"/>
      <c r="T511" s="278"/>
      <c r="U511" s="278"/>
      <c r="V511" s="278"/>
      <c r="W511" s="278"/>
      <c r="X511" s="278"/>
    </row>
    <row r="512" ht="15.75" customHeight="1">
      <c r="B512" s="278"/>
      <c r="C512" s="278"/>
      <c r="D512" s="278"/>
      <c r="F512" s="278"/>
      <c r="G512" s="278"/>
      <c r="H512" s="278"/>
      <c r="I512" s="278"/>
      <c r="J512" s="278"/>
      <c r="K512" s="278"/>
      <c r="L512" s="278"/>
      <c r="M512" s="278"/>
      <c r="N512" s="278"/>
      <c r="O512" s="278"/>
      <c r="P512" s="278"/>
      <c r="Q512" s="278"/>
      <c r="R512" s="278"/>
      <c r="S512" s="278"/>
      <c r="T512" s="278"/>
      <c r="U512" s="278"/>
      <c r="V512" s="278"/>
      <c r="W512" s="278"/>
      <c r="X512" s="278"/>
    </row>
    <row r="513" ht="15.75" customHeight="1">
      <c r="B513" s="278"/>
      <c r="C513" s="278"/>
      <c r="D513" s="278"/>
      <c r="F513" s="278"/>
      <c r="G513" s="278"/>
      <c r="H513" s="278"/>
      <c r="I513" s="278"/>
      <c r="J513" s="278"/>
      <c r="K513" s="278"/>
      <c r="L513" s="278"/>
      <c r="M513" s="278"/>
      <c r="N513" s="278"/>
      <c r="O513" s="278"/>
      <c r="P513" s="278"/>
      <c r="Q513" s="278"/>
      <c r="R513" s="278"/>
      <c r="S513" s="278"/>
      <c r="T513" s="278"/>
      <c r="U513" s="278"/>
      <c r="V513" s="278"/>
      <c r="W513" s="278"/>
      <c r="X513" s="278"/>
    </row>
    <row r="514" ht="15.75" customHeight="1">
      <c r="B514" s="278"/>
      <c r="C514" s="278"/>
      <c r="D514" s="278"/>
      <c r="F514" s="278"/>
      <c r="G514" s="278"/>
      <c r="H514" s="278"/>
      <c r="I514" s="278"/>
      <c r="J514" s="278"/>
      <c r="K514" s="278"/>
      <c r="L514" s="278"/>
      <c r="M514" s="278"/>
      <c r="N514" s="278"/>
      <c r="O514" s="278"/>
      <c r="P514" s="278"/>
      <c r="Q514" s="278"/>
      <c r="R514" s="278"/>
      <c r="S514" s="278"/>
      <c r="T514" s="278"/>
      <c r="U514" s="278"/>
      <c r="V514" s="278"/>
      <c r="W514" s="278"/>
      <c r="X514" s="278"/>
    </row>
    <row r="515" ht="15.75" customHeight="1">
      <c r="B515" s="278"/>
      <c r="C515" s="278"/>
      <c r="D515" s="278"/>
      <c r="F515" s="278"/>
      <c r="G515" s="278"/>
      <c r="H515" s="278"/>
      <c r="I515" s="278"/>
      <c r="J515" s="278"/>
      <c r="K515" s="278"/>
      <c r="L515" s="278"/>
      <c r="M515" s="278"/>
      <c r="N515" s="278"/>
      <c r="O515" s="278"/>
      <c r="P515" s="278"/>
      <c r="Q515" s="278"/>
      <c r="R515" s="278"/>
      <c r="S515" s="278"/>
      <c r="T515" s="278"/>
      <c r="U515" s="278"/>
      <c r="V515" s="278"/>
      <c r="W515" s="278"/>
      <c r="X515" s="278"/>
    </row>
    <row r="516" ht="15.75" customHeight="1">
      <c r="B516" s="278"/>
      <c r="C516" s="278"/>
      <c r="D516" s="278"/>
      <c r="F516" s="278"/>
      <c r="G516" s="278"/>
      <c r="H516" s="278"/>
      <c r="I516" s="278"/>
      <c r="J516" s="278"/>
      <c r="K516" s="278"/>
      <c r="L516" s="278"/>
      <c r="M516" s="278"/>
      <c r="N516" s="278"/>
      <c r="O516" s="278"/>
      <c r="P516" s="278"/>
      <c r="Q516" s="278"/>
      <c r="R516" s="278"/>
      <c r="S516" s="278"/>
      <c r="T516" s="278"/>
      <c r="U516" s="278"/>
      <c r="V516" s="278"/>
      <c r="W516" s="278"/>
      <c r="X516" s="278"/>
    </row>
    <row r="517" ht="15.75" customHeight="1">
      <c r="B517" s="278"/>
      <c r="C517" s="278"/>
      <c r="D517" s="278"/>
      <c r="F517" s="278"/>
      <c r="G517" s="278"/>
      <c r="H517" s="278"/>
      <c r="I517" s="278"/>
      <c r="J517" s="278"/>
      <c r="K517" s="278"/>
      <c r="L517" s="278"/>
      <c r="M517" s="278"/>
      <c r="N517" s="278"/>
      <c r="O517" s="278"/>
      <c r="P517" s="278"/>
      <c r="Q517" s="278"/>
      <c r="R517" s="278"/>
      <c r="S517" s="278"/>
      <c r="T517" s="278"/>
      <c r="U517" s="278"/>
      <c r="V517" s="278"/>
      <c r="W517" s="278"/>
      <c r="X517" s="278"/>
    </row>
    <row r="518" ht="15.75" customHeight="1">
      <c r="B518" s="278"/>
      <c r="C518" s="278"/>
      <c r="D518" s="278"/>
      <c r="F518" s="278"/>
      <c r="G518" s="278"/>
      <c r="H518" s="278"/>
      <c r="I518" s="278"/>
      <c r="J518" s="278"/>
      <c r="K518" s="278"/>
      <c r="L518" s="278"/>
      <c r="M518" s="278"/>
      <c r="N518" s="278"/>
      <c r="O518" s="278"/>
      <c r="P518" s="278"/>
      <c r="Q518" s="278"/>
      <c r="R518" s="278"/>
      <c r="S518" s="278"/>
      <c r="T518" s="278"/>
      <c r="U518" s="278"/>
      <c r="V518" s="278"/>
      <c r="W518" s="278"/>
      <c r="X518" s="278"/>
    </row>
    <row r="519" ht="15.75" customHeight="1">
      <c r="B519" s="278"/>
      <c r="C519" s="278"/>
      <c r="D519" s="278"/>
      <c r="F519" s="278"/>
      <c r="G519" s="278"/>
      <c r="H519" s="278"/>
      <c r="I519" s="278"/>
      <c r="J519" s="278"/>
      <c r="K519" s="278"/>
      <c r="L519" s="278"/>
      <c r="M519" s="278"/>
      <c r="N519" s="278"/>
      <c r="O519" s="278"/>
      <c r="P519" s="278"/>
      <c r="Q519" s="278"/>
      <c r="R519" s="278"/>
      <c r="S519" s="278"/>
      <c r="T519" s="278"/>
      <c r="U519" s="278"/>
      <c r="V519" s="278"/>
      <c r="W519" s="278"/>
      <c r="X519" s="278"/>
    </row>
    <row r="520" ht="15.75" customHeight="1">
      <c r="B520" s="278"/>
      <c r="C520" s="278"/>
      <c r="D520" s="278"/>
      <c r="F520" s="278"/>
      <c r="G520" s="278"/>
      <c r="H520" s="278"/>
      <c r="I520" s="278"/>
      <c r="J520" s="278"/>
      <c r="K520" s="278"/>
      <c r="L520" s="278"/>
      <c r="M520" s="278"/>
      <c r="N520" s="278"/>
      <c r="O520" s="278"/>
      <c r="P520" s="278"/>
      <c r="Q520" s="278"/>
      <c r="R520" s="278"/>
      <c r="S520" s="278"/>
      <c r="T520" s="278"/>
      <c r="U520" s="278"/>
      <c r="V520" s="278"/>
      <c r="W520" s="278"/>
      <c r="X520" s="278"/>
    </row>
    <row r="521" ht="15.75" customHeight="1">
      <c r="B521" s="278"/>
      <c r="C521" s="278"/>
      <c r="D521" s="278"/>
      <c r="F521" s="278"/>
      <c r="G521" s="278"/>
      <c r="H521" s="278"/>
      <c r="I521" s="278"/>
      <c r="J521" s="278"/>
      <c r="K521" s="278"/>
      <c r="L521" s="278"/>
      <c r="M521" s="278"/>
      <c r="N521" s="278"/>
      <c r="O521" s="278"/>
      <c r="P521" s="278"/>
      <c r="Q521" s="278"/>
      <c r="R521" s="278"/>
      <c r="S521" s="278"/>
      <c r="T521" s="278"/>
      <c r="U521" s="278"/>
      <c r="V521" s="278"/>
      <c r="W521" s="278"/>
      <c r="X521" s="278"/>
    </row>
    <row r="522" ht="15.75" customHeight="1">
      <c r="B522" s="278"/>
      <c r="C522" s="278"/>
      <c r="D522" s="278"/>
      <c r="F522" s="278"/>
      <c r="G522" s="278"/>
      <c r="H522" s="278"/>
      <c r="I522" s="278"/>
      <c r="J522" s="278"/>
      <c r="K522" s="278"/>
      <c r="L522" s="278"/>
      <c r="M522" s="278"/>
      <c r="N522" s="278"/>
      <c r="O522" s="278"/>
      <c r="P522" s="278"/>
      <c r="Q522" s="278"/>
      <c r="R522" s="278"/>
      <c r="S522" s="278"/>
      <c r="T522" s="278"/>
      <c r="U522" s="278"/>
      <c r="V522" s="278"/>
      <c r="W522" s="278"/>
      <c r="X522" s="278"/>
    </row>
    <row r="523" ht="15.75" customHeight="1">
      <c r="B523" s="278"/>
      <c r="C523" s="278"/>
      <c r="D523" s="278"/>
      <c r="F523" s="278"/>
      <c r="G523" s="278"/>
      <c r="H523" s="278"/>
      <c r="I523" s="278"/>
      <c r="J523" s="278"/>
      <c r="K523" s="278"/>
      <c r="L523" s="278"/>
      <c r="M523" s="278"/>
      <c r="N523" s="278"/>
      <c r="O523" s="278"/>
      <c r="P523" s="278"/>
      <c r="Q523" s="278"/>
      <c r="R523" s="278"/>
      <c r="S523" s="278"/>
      <c r="T523" s="278"/>
      <c r="U523" s="278"/>
      <c r="V523" s="278"/>
      <c r="W523" s="278"/>
      <c r="X523" s="278"/>
    </row>
    <row r="524" ht="15.75" customHeight="1">
      <c r="B524" s="278"/>
      <c r="C524" s="278"/>
      <c r="D524" s="278"/>
      <c r="F524" s="278"/>
      <c r="G524" s="278"/>
      <c r="H524" s="278"/>
      <c r="I524" s="278"/>
      <c r="J524" s="278"/>
      <c r="K524" s="278"/>
      <c r="L524" s="278"/>
      <c r="M524" s="278"/>
      <c r="N524" s="278"/>
      <c r="O524" s="278"/>
      <c r="P524" s="278"/>
      <c r="Q524" s="278"/>
      <c r="R524" s="278"/>
      <c r="S524" s="278"/>
      <c r="T524" s="278"/>
      <c r="U524" s="278"/>
      <c r="V524" s="278"/>
      <c r="W524" s="278"/>
      <c r="X524" s="278"/>
    </row>
    <row r="525" ht="15.75" customHeight="1">
      <c r="B525" s="278"/>
      <c r="C525" s="278"/>
      <c r="D525" s="278"/>
      <c r="F525" s="278"/>
      <c r="G525" s="278"/>
      <c r="H525" s="278"/>
      <c r="I525" s="278"/>
      <c r="J525" s="278"/>
      <c r="K525" s="278"/>
      <c r="L525" s="278"/>
      <c r="M525" s="278"/>
      <c r="N525" s="278"/>
      <c r="O525" s="278"/>
      <c r="P525" s="278"/>
      <c r="Q525" s="278"/>
      <c r="R525" s="278"/>
      <c r="S525" s="278"/>
      <c r="T525" s="278"/>
      <c r="U525" s="278"/>
      <c r="V525" s="278"/>
      <c r="W525" s="278"/>
      <c r="X525" s="278"/>
    </row>
    <row r="526" ht="15.75" customHeight="1">
      <c r="B526" s="278"/>
      <c r="C526" s="278"/>
      <c r="D526" s="278"/>
      <c r="F526" s="278"/>
      <c r="G526" s="278"/>
      <c r="H526" s="278"/>
      <c r="I526" s="278"/>
      <c r="J526" s="278"/>
      <c r="K526" s="278"/>
      <c r="L526" s="278"/>
      <c r="M526" s="278"/>
      <c r="N526" s="278"/>
      <c r="O526" s="278"/>
      <c r="P526" s="278"/>
      <c r="Q526" s="278"/>
      <c r="R526" s="278"/>
      <c r="S526" s="278"/>
      <c r="T526" s="278"/>
      <c r="U526" s="278"/>
      <c r="V526" s="278"/>
      <c r="W526" s="278"/>
      <c r="X526" s="278"/>
    </row>
    <row r="527" ht="15.75" customHeight="1">
      <c r="B527" s="278"/>
      <c r="C527" s="278"/>
      <c r="D527" s="278"/>
      <c r="F527" s="278"/>
      <c r="G527" s="278"/>
      <c r="H527" s="278"/>
      <c r="I527" s="278"/>
      <c r="J527" s="278"/>
      <c r="K527" s="278"/>
      <c r="L527" s="278"/>
      <c r="M527" s="278"/>
      <c r="N527" s="278"/>
      <c r="O527" s="278"/>
      <c r="P527" s="278"/>
      <c r="Q527" s="278"/>
      <c r="R527" s="278"/>
      <c r="S527" s="278"/>
      <c r="T527" s="278"/>
      <c r="U527" s="278"/>
      <c r="V527" s="278"/>
      <c r="W527" s="278"/>
      <c r="X527" s="278"/>
    </row>
    <row r="528" ht="15.75" customHeight="1">
      <c r="B528" s="278"/>
      <c r="C528" s="278"/>
      <c r="D528" s="278"/>
      <c r="F528" s="278"/>
      <c r="G528" s="278"/>
      <c r="H528" s="278"/>
      <c r="I528" s="278"/>
      <c r="J528" s="278"/>
      <c r="K528" s="278"/>
      <c r="L528" s="278"/>
      <c r="M528" s="278"/>
      <c r="N528" s="278"/>
      <c r="O528" s="278"/>
      <c r="P528" s="278"/>
      <c r="Q528" s="278"/>
      <c r="R528" s="278"/>
      <c r="S528" s="278"/>
      <c r="T528" s="278"/>
      <c r="U528" s="278"/>
      <c r="V528" s="278"/>
      <c r="W528" s="278"/>
      <c r="X528" s="278"/>
    </row>
    <row r="529" ht="15.75" customHeight="1">
      <c r="B529" s="278"/>
      <c r="C529" s="278"/>
      <c r="D529" s="278"/>
      <c r="F529" s="278"/>
      <c r="G529" s="278"/>
      <c r="H529" s="278"/>
      <c r="I529" s="278"/>
      <c r="J529" s="278"/>
      <c r="K529" s="278"/>
      <c r="L529" s="278"/>
      <c r="M529" s="278"/>
      <c r="N529" s="278"/>
      <c r="O529" s="278"/>
      <c r="P529" s="278"/>
      <c r="Q529" s="278"/>
      <c r="R529" s="278"/>
      <c r="S529" s="278"/>
      <c r="T529" s="278"/>
      <c r="U529" s="278"/>
      <c r="V529" s="278"/>
      <c r="W529" s="278"/>
      <c r="X529" s="278"/>
    </row>
    <row r="530" ht="15.75" customHeight="1">
      <c r="B530" s="278"/>
      <c r="C530" s="278"/>
      <c r="D530" s="278"/>
      <c r="F530" s="278"/>
      <c r="G530" s="278"/>
      <c r="H530" s="278"/>
      <c r="I530" s="278"/>
      <c r="J530" s="278"/>
      <c r="K530" s="278"/>
      <c r="L530" s="278"/>
      <c r="M530" s="278"/>
      <c r="N530" s="278"/>
      <c r="O530" s="278"/>
      <c r="P530" s="278"/>
      <c r="Q530" s="278"/>
      <c r="R530" s="278"/>
      <c r="S530" s="278"/>
      <c r="T530" s="278"/>
      <c r="U530" s="278"/>
      <c r="V530" s="278"/>
      <c r="W530" s="278"/>
      <c r="X530" s="278"/>
    </row>
    <row r="531" ht="15.75" customHeight="1">
      <c r="B531" s="278"/>
      <c r="C531" s="278"/>
      <c r="D531" s="278"/>
      <c r="F531" s="278"/>
      <c r="G531" s="278"/>
      <c r="H531" s="278"/>
      <c r="I531" s="278"/>
      <c r="J531" s="278"/>
      <c r="K531" s="278"/>
      <c r="L531" s="278"/>
      <c r="M531" s="278"/>
      <c r="N531" s="278"/>
      <c r="O531" s="278"/>
      <c r="P531" s="278"/>
      <c r="Q531" s="278"/>
      <c r="R531" s="278"/>
      <c r="S531" s="278"/>
      <c r="T531" s="278"/>
      <c r="U531" s="278"/>
      <c r="V531" s="278"/>
      <c r="W531" s="278"/>
      <c r="X531" s="278"/>
    </row>
    <row r="532" ht="15.75" customHeight="1">
      <c r="B532" s="278"/>
      <c r="C532" s="278"/>
      <c r="D532" s="278"/>
      <c r="F532" s="278"/>
      <c r="G532" s="278"/>
      <c r="H532" s="278"/>
      <c r="I532" s="278"/>
      <c r="J532" s="278"/>
      <c r="K532" s="278"/>
      <c r="L532" s="278"/>
      <c r="M532" s="278"/>
      <c r="N532" s="278"/>
      <c r="O532" s="278"/>
      <c r="P532" s="278"/>
      <c r="Q532" s="278"/>
      <c r="R532" s="278"/>
      <c r="S532" s="278"/>
      <c r="T532" s="278"/>
      <c r="U532" s="278"/>
      <c r="V532" s="278"/>
      <c r="W532" s="278"/>
      <c r="X532" s="278"/>
    </row>
    <row r="533" ht="15.75" customHeight="1">
      <c r="B533" s="278"/>
      <c r="C533" s="278"/>
      <c r="D533" s="278"/>
      <c r="F533" s="278"/>
      <c r="G533" s="278"/>
      <c r="H533" s="278"/>
      <c r="I533" s="278"/>
      <c r="J533" s="278"/>
      <c r="K533" s="278"/>
      <c r="L533" s="278"/>
      <c r="M533" s="278"/>
      <c r="N533" s="278"/>
      <c r="O533" s="278"/>
      <c r="P533" s="278"/>
      <c r="Q533" s="278"/>
      <c r="R533" s="278"/>
      <c r="S533" s="278"/>
      <c r="T533" s="278"/>
      <c r="U533" s="278"/>
      <c r="V533" s="278"/>
      <c r="W533" s="278"/>
      <c r="X533" s="278"/>
    </row>
    <row r="534" ht="15.75" customHeight="1">
      <c r="B534" s="278"/>
      <c r="C534" s="278"/>
      <c r="D534" s="278"/>
      <c r="F534" s="278"/>
      <c r="G534" s="278"/>
      <c r="H534" s="278"/>
      <c r="I534" s="278"/>
      <c r="J534" s="278"/>
      <c r="K534" s="278"/>
      <c r="L534" s="278"/>
      <c r="M534" s="278"/>
      <c r="N534" s="278"/>
      <c r="O534" s="278"/>
      <c r="P534" s="278"/>
      <c r="Q534" s="278"/>
      <c r="R534" s="278"/>
      <c r="S534" s="278"/>
      <c r="T534" s="278"/>
      <c r="U534" s="278"/>
      <c r="V534" s="278"/>
      <c r="W534" s="278"/>
      <c r="X534" s="278"/>
    </row>
    <row r="535" ht="15.75" customHeight="1">
      <c r="B535" s="278"/>
      <c r="C535" s="278"/>
      <c r="D535" s="278"/>
      <c r="F535" s="278"/>
      <c r="G535" s="278"/>
      <c r="H535" s="278"/>
      <c r="I535" s="278"/>
      <c r="J535" s="278"/>
      <c r="K535" s="278"/>
      <c r="L535" s="278"/>
      <c r="M535" s="278"/>
      <c r="N535" s="278"/>
      <c r="O535" s="278"/>
      <c r="P535" s="278"/>
      <c r="Q535" s="278"/>
      <c r="R535" s="278"/>
      <c r="S535" s="278"/>
      <c r="T535" s="278"/>
      <c r="U535" s="278"/>
      <c r="V535" s="278"/>
      <c r="W535" s="278"/>
      <c r="X535" s="278"/>
    </row>
    <row r="536" ht="15.75" customHeight="1">
      <c r="B536" s="278"/>
      <c r="C536" s="278"/>
      <c r="D536" s="278"/>
      <c r="F536" s="278"/>
      <c r="G536" s="278"/>
      <c r="H536" s="278"/>
      <c r="I536" s="278"/>
      <c r="J536" s="278"/>
      <c r="K536" s="278"/>
      <c r="L536" s="278"/>
      <c r="M536" s="278"/>
      <c r="N536" s="278"/>
      <c r="O536" s="278"/>
      <c r="P536" s="278"/>
      <c r="Q536" s="278"/>
      <c r="R536" s="278"/>
      <c r="S536" s="278"/>
      <c r="T536" s="278"/>
      <c r="U536" s="278"/>
      <c r="V536" s="278"/>
      <c r="W536" s="278"/>
      <c r="X536" s="278"/>
    </row>
    <row r="537" ht="15.75" customHeight="1">
      <c r="B537" s="278"/>
      <c r="C537" s="278"/>
      <c r="D537" s="278"/>
      <c r="F537" s="278"/>
      <c r="G537" s="278"/>
      <c r="H537" s="278"/>
      <c r="I537" s="278"/>
      <c r="J537" s="278"/>
      <c r="K537" s="278"/>
      <c r="L537" s="278"/>
      <c r="M537" s="278"/>
      <c r="N537" s="278"/>
      <c r="O537" s="278"/>
      <c r="P537" s="278"/>
      <c r="Q537" s="278"/>
      <c r="R537" s="278"/>
      <c r="S537" s="278"/>
      <c r="T537" s="278"/>
      <c r="U537" s="278"/>
      <c r="V537" s="278"/>
      <c r="W537" s="278"/>
      <c r="X537" s="278"/>
    </row>
    <row r="538" ht="15.75" customHeight="1">
      <c r="B538" s="278"/>
      <c r="C538" s="278"/>
      <c r="D538" s="278"/>
      <c r="F538" s="278"/>
      <c r="G538" s="278"/>
      <c r="H538" s="278"/>
      <c r="I538" s="278"/>
      <c r="J538" s="278"/>
      <c r="K538" s="278"/>
      <c r="L538" s="278"/>
      <c r="M538" s="278"/>
      <c r="N538" s="278"/>
      <c r="O538" s="278"/>
      <c r="P538" s="278"/>
      <c r="Q538" s="278"/>
      <c r="R538" s="278"/>
      <c r="S538" s="278"/>
      <c r="T538" s="278"/>
      <c r="U538" s="278"/>
      <c r="V538" s="278"/>
      <c r="W538" s="278"/>
      <c r="X538" s="278"/>
    </row>
    <row r="539" ht="15.75" customHeight="1">
      <c r="B539" s="278"/>
      <c r="C539" s="278"/>
      <c r="D539" s="278"/>
      <c r="F539" s="278"/>
      <c r="G539" s="278"/>
      <c r="H539" s="278"/>
      <c r="I539" s="278"/>
      <c r="J539" s="278"/>
      <c r="K539" s="278"/>
      <c r="L539" s="278"/>
      <c r="M539" s="278"/>
      <c r="N539" s="278"/>
      <c r="O539" s="278"/>
      <c r="P539" s="278"/>
      <c r="Q539" s="278"/>
      <c r="R539" s="278"/>
      <c r="S539" s="278"/>
      <c r="T539" s="278"/>
      <c r="U539" s="278"/>
      <c r="V539" s="278"/>
      <c r="W539" s="278"/>
      <c r="X539" s="278"/>
    </row>
    <row r="540" ht="15.75" customHeight="1">
      <c r="B540" s="278"/>
      <c r="C540" s="278"/>
      <c r="D540" s="278"/>
      <c r="F540" s="278"/>
      <c r="G540" s="278"/>
      <c r="H540" s="278"/>
      <c r="I540" s="278"/>
      <c r="J540" s="278"/>
      <c r="K540" s="278"/>
      <c r="L540" s="278"/>
      <c r="M540" s="278"/>
      <c r="N540" s="278"/>
      <c r="O540" s="278"/>
      <c r="P540" s="278"/>
      <c r="Q540" s="278"/>
      <c r="R540" s="278"/>
      <c r="S540" s="278"/>
      <c r="T540" s="278"/>
      <c r="U540" s="278"/>
      <c r="V540" s="278"/>
      <c r="W540" s="278"/>
      <c r="X540" s="278"/>
    </row>
    <row r="541" ht="15.75" customHeight="1">
      <c r="B541" s="278"/>
      <c r="C541" s="278"/>
      <c r="D541" s="278"/>
      <c r="F541" s="278"/>
      <c r="G541" s="278"/>
      <c r="H541" s="278"/>
      <c r="I541" s="278"/>
      <c r="J541" s="278"/>
      <c r="K541" s="278"/>
      <c r="L541" s="278"/>
      <c r="M541" s="278"/>
      <c r="N541" s="278"/>
      <c r="O541" s="278"/>
      <c r="P541" s="278"/>
      <c r="Q541" s="278"/>
      <c r="R541" s="278"/>
      <c r="S541" s="278"/>
      <c r="T541" s="278"/>
      <c r="U541" s="278"/>
      <c r="V541" s="278"/>
      <c r="W541" s="278"/>
      <c r="X541" s="278"/>
    </row>
    <row r="542" ht="15.75" customHeight="1">
      <c r="B542" s="278"/>
      <c r="C542" s="278"/>
      <c r="D542" s="278"/>
      <c r="F542" s="278"/>
      <c r="G542" s="278"/>
      <c r="H542" s="278"/>
      <c r="I542" s="278"/>
      <c r="J542" s="278"/>
      <c r="K542" s="278"/>
      <c r="L542" s="278"/>
      <c r="M542" s="278"/>
      <c r="N542" s="278"/>
      <c r="O542" s="278"/>
      <c r="P542" s="278"/>
      <c r="Q542" s="278"/>
      <c r="R542" s="278"/>
      <c r="S542" s="278"/>
      <c r="T542" s="278"/>
      <c r="U542" s="278"/>
      <c r="V542" s="278"/>
      <c r="W542" s="278"/>
      <c r="X542" s="278"/>
    </row>
    <row r="543" ht="15.75" customHeight="1">
      <c r="B543" s="278"/>
      <c r="C543" s="278"/>
      <c r="D543" s="278"/>
      <c r="F543" s="278"/>
      <c r="G543" s="278"/>
      <c r="H543" s="278"/>
      <c r="I543" s="278"/>
      <c r="J543" s="278"/>
      <c r="K543" s="278"/>
      <c r="L543" s="278"/>
      <c r="M543" s="278"/>
      <c r="N543" s="278"/>
      <c r="O543" s="278"/>
      <c r="P543" s="278"/>
      <c r="Q543" s="278"/>
      <c r="R543" s="278"/>
      <c r="S543" s="278"/>
      <c r="T543" s="278"/>
      <c r="U543" s="278"/>
      <c r="V543" s="278"/>
      <c r="W543" s="278"/>
      <c r="X543" s="278"/>
    </row>
    <row r="544" ht="15.75" customHeight="1">
      <c r="B544" s="278"/>
      <c r="C544" s="278"/>
      <c r="D544" s="278"/>
      <c r="F544" s="278"/>
      <c r="G544" s="278"/>
      <c r="H544" s="278"/>
      <c r="I544" s="278"/>
      <c r="J544" s="278"/>
      <c r="K544" s="278"/>
      <c r="L544" s="278"/>
      <c r="M544" s="278"/>
      <c r="N544" s="278"/>
      <c r="O544" s="278"/>
      <c r="P544" s="278"/>
      <c r="Q544" s="278"/>
      <c r="R544" s="278"/>
      <c r="S544" s="278"/>
      <c r="T544" s="278"/>
      <c r="U544" s="278"/>
      <c r="V544" s="278"/>
      <c r="W544" s="278"/>
      <c r="X544" s="278"/>
    </row>
    <row r="545" ht="15.75" customHeight="1">
      <c r="B545" s="278"/>
      <c r="C545" s="278"/>
      <c r="D545" s="278"/>
      <c r="F545" s="278"/>
      <c r="G545" s="278"/>
      <c r="H545" s="278"/>
      <c r="I545" s="278"/>
      <c r="J545" s="278"/>
      <c r="K545" s="278"/>
      <c r="L545" s="278"/>
      <c r="M545" s="278"/>
      <c r="N545" s="278"/>
      <c r="O545" s="278"/>
      <c r="P545" s="278"/>
      <c r="Q545" s="278"/>
      <c r="R545" s="278"/>
      <c r="S545" s="278"/>
      <c r="T545" s="278"/>
      <c r="U545" s="278"/>
      <c r="V545" s="278"/>
      <c r="W545" s="278"/>
      <c r="X545" s="278"/>
    </row>
    <row r="546" ht="15.75" customHeight="1">
      <c r="B546" s="278"/>
      <c r="C546" s="278"/>
      <c r="D546" s="278"/>
      <c r="F546" s="278"/>
      <c r="G546" s="278"/>
      <c r="H546" s="278"/>
      <c r="I546" s="278"/>
      <c r="J546" s="278"/>
      <c r="K546" s="278"/>
      <c r="L546" s="278"/>
      <c r="M546" s="278"/>
      <c r="N546" s="278"/>
      <c r="O546" s="278"/>
      <c r="P546" s="278"/>
      <c r="Q546" s="278"/>
      <c r="R546" s="278"/>
      <c r="S546" s="278"/>
      <c r="T546" s="278"/>
      <c r="U546" s="278"/>
      <c r="V546" s="278"/>
      <c r="W546" s="278"/>
      <c r="X546" s="278"/>
    </row>
    <row r="547" ht="15.75" customHeight="1">
      <c r="B547" s="278"/>
      <c r="C547" s="278"/>
      <c r="D547" s="278"/>
      <c r="F547" s="278"/>
      <c r="G547" s="278"/>
      <c r="H547" s="278"/>
      <c r="I547" s="278"/>
      <c r="J547" s="278"/>
      <c r="K547" s="278"/>
      <c r="L547" s="278"/>
      <c r="M547" s="278"/>
      <c r="N547" s="278"/>
      <c r="O547" s="278"/>
      <c r="P547" s="278"/>
      <c r="Q547" s="278"/>
      <c r="R547" s="278"/>
      <c r="S547" s="278"/>
      <c r="T547" s="278"/>
      <c r="U547" s="278"/>
      <c r="V547" s="278"/>
      <c r="W547" s="278"/>
      <c r="X547" s="278"/>
    </row>
    <row r="548" ht="15.75" customHeight="1">
      <c r="B548" s="278"/>
      <c r="C548" s="278"/>
      <c r="D548" s="278"/>
      <c r="F548" s="278"/>
      <c r="G548" s="278"/>
      <c r="H548" s="278"/>
      <c r="I548" s="278"/>
      <c r="J548" s="278"/>
      <c r="K548" s="278"/>
      <c r="L548" s="278"/>
      <c r="M548" s="278"/>
      <c r="N548" s="278"/>
      <c r="O548" s="278"/>
      <c r="P548" s="278"/>
      <c r="Q548" s="278"/>
      <c r="R548" s="278"/>
      <c r="S548" s="278"/>
      <c r="T548" s="278"/>
      <c r="U548" s="278"/>
      <c r="V548" s="278"/>
      <c r="W548" s="278"/>
      <c r="X548" s="278"/>
    </row>
    <row r="549" ht="15.75" customHeight="1">
      <c r="B549" s="278"/>
      <c r="C549" s="278"/>
      <c r="D549" s="278"/>
      <c r="F549" s="278"/>
      <c r="G549" s="278"/>
      <c r="H549" s="278"/>
      <c r="I549" s="278"/>
      <c r="J549" s="278"/>
      <c r="K549" s="278"/>
      <c r="L549" s="278"/>
      <c r="M549" s="278"/>
      <c r="N549" s="278"/>
      <c r="O549" s="278"/>
      <c r="P549" s="278"/>
      <c r="Q549" s="278"/>
      <c r="R549" s="278"/>
      <c r="S549" s="278"/>
      <c r="T549" s="278"/>
      <c r="U549" s="278"/>
      <c r="V549" s="278"/>
      <c r="W549" s="278"/>
      <c r="X549" s="278"/>
    </row>
    <row r="550" ht="15.75" customHeight="1">
      <c r="B550" s="278"/>
      <c r="C550" s="278"/>
      <c r="D550" s="278"/>
      <c r="F550" s="278"/>
      <c r="G550" s="278"/>
      <c r="H550" s="278"/>
      <c r="I550" s="278"/>
      <c r="J550" s="278"/>
      <c r="K550" s="278"/>
      <c r="L550" s="278"/>
      <c r="M550" s="278"/>
      <c r="N550" s="278"/>
      <c r="O550" s="278"/>
      <c r="P550" s="278"/>
      <c r="Q550" s="278"/>
      <c r="R550" s="278"/>
      <c r="S550" s="278"/>
      <c r="T550" s="278"/>
      <c r="U550" s="278"/>
      <c r="V550" s="278"/>
      <c r="W550" s="278"/>
      <c r="X550" s="278"/>
    </row>
    <row r="551" ht="15.75" customHeight="1">
      <c r="B551" s="278"/>
      <c r="C551" s="278"/>
      <c r="D551" s="278"/>
      <c r="F551" s="278"/>
      <c r="G551" s="278"/>
      <c r="H551" s="278"/>
      <c r="I551" s="278"/>
      <c r="J551" s="278"/>
      <c r="K551" s="278"/>
      <c r="L551" s="278"/>
      <c r="M551" s="278"/>
      <c r="N551" s="278"/>
      <c r="O551" s="278"/>
      <c r="P551" s="278"/>
      <c r="Q551" s="278"/>
      <c r="R551" s="278"/>
      <c r="S551" s="278"/>
      <c r="T551" s="278"/>
      <c r="U551" s="278"/>
      <c r="V551" s="278"/>
      <c r="W551" s="278"/>
      <c r="X551" s="278"/>
    </row>
    <row r="552" ht="15.75" customHeight="1">
      <c r="B552" s="278"/>
      <c r="C552" s="278"/>
      <c r="D552" s="278"/>
      <c r="F552" s="278"/>
      <c r="G552" s="278"/>
      <c r="H552" s="278"/>
      <c r="I552" s="278"/>
      <c r="J552" s="278"/>
      <c r="K552" s="278"/>
      <c r="L552" s="278"/>
      <c r="M552" s="278"/>
      <c r="N552" s="278"/>
      <c r="O552" s="278"/>
      <c r="P552" s="278"/>
      <c r="Q552" s="278"/>
      <c r="R552" s="278"/>
      <c r="S552" s="278"/>
      <c r="T552" s="278"/>
      <c r="U552" s="278"/>
      <c r="V552" s="278"/>
      <c r="W552" s="278"/>
      <c r="X552" s="278"/>
    </row>
    <row r="553" ht="15.75" customHeight="1">
      <c r="B553" s="278"/>
      <c r="C553" s="278"/>
      <c r="D553" s="278"/>
      <c r="F553" s="278"/>
      <c r="G553" s="278"/>
      <c r="H553" s="278"/>
      <c r="I553" s="278"/>
      <c r="J553" s="278"/>
      <c r="K553" s="278"/>
      <c r="L553" s="278"/>
      <c r="M553" s="278"/>
      <c r="N553" s="278"/>
      <c r="O553" s="278"/>
      <c r="P553" s="278"/>
      <c r="Q553" s="278"/>
      <c r="R553" s="278"/>
      <c r="S553" s="278"/>
      <c r="T553" s="278"/>
      <c r="U553" s="278"/>
      <c r="V553" s="278"/>
      <c r="W553" s="278"/>
      <c r="X553" s="278"/>
    </row>
    <row r="554" ht="15.75" customHeight="1">
      <c r="B554" s="278"/>
      <c r="C554" s="278"/>
      <c r="D554" s="278"/>
      <c r="F554" s="278"/>
      <c r="G554" s="278"/>
      <c r="H554" s="278"/>
      <c r="I554" s="278"/>
      <c r="J554" s="278"/>
      <c r="K554" s="278"/>
      <c r="L554" s="278"/>
      <c r="M554" s="278"/>
      <c r="N554" s="278"/>
      <c r="O554" s="278"/>
      <c r="P554" s="278"/>
      <c r="Q554" s="278"/>
      <c r="R554" s="278"/>
      <c r="S554" s="278"/>
      <c r="T554" s="278"/>
      <c r="U554" s="278"/>
      <c r="V554" s="278"/>
      <c r="W554" s="278"/>
      <c r="X554" s="278"/>
    </row>
    <row r="555" ht="15.75" customHeight="1">
      <c r="B555" s="278"/>
      <c r="C555" s="278"/>
      <c r="D555" s="278"/>
      <c r="F555" s="278"/>
      <c r="G555" s="278"/>
      <c r="H555" s="278"/>
      <c r="I555" s="278"/>
      <c r="J555" s="278"/>
      <c r="K555" s="278"/>
      <c r="L555" s="278"/>
      <c r="M555" s="278"/>
      <c r="N555" s="278"/>
      <c r="O555" s="278"/>
      <c r="P555" s="278"/>
      <c r="Q555" s="278"/>
      <c r="R555" s="278"/>
      <c r="S555" s="278"/>
      <c r="T555" s="278"/>
      <c r="U555" s="278"/>
      <c r="V555" s="278"/>
      <c r="W555" s="278"/>
      <c r="X555" s="278"/>
    </row>
    <row r="556" ht="15.75" customHeight="1">
      <c r="B556" s="278"/>
      <c r="C556" s="278"/>
      <c r="D556" s="278"/>
      <c r="F556" s="278"/>
      <c r="G556" s="278"/>
      <c r="H556" s="278"/>
      <c r="I556" s="278"/>
      <c r="J556" s="278"/>
      <c r="K556" s="278"/>
      <c r="L556" s="278"/>
      <c r="M556" s="278"/>
      <c r="N556" s="278"/>
      <c r="O556" s="278"/>
      <c r="P556" s="278"/>
      <c r="Q556" s="278"/>
      <c r="R556" s="278"/>
      <c r="S556" s="278"/>
      <c r="T556" s="278"/>
      <c r="U556" s="278"/>
      <c r="V556" s="278"/>
      <c r="W556" s="278"/>
      <c r="X556" s="278"/>
    </row>
    <row r="557" ht="15.75" customHeight="1">
      <c r="B557" s="278"/>
      <c r="C557" s="278"/>
      <c r="D557" s="278"/>
      <c r="F557" s="278"/>
      <c r="G557" s="278"/>
      <c r="H557" s="278"/>
      <c r="I557" s="278"/>
      <c r="J557" s="278"/>
      <c r="K557" s="278"/>
      <c r="L557" s="278"/>
      <c r="M557" s="278"/>
      <c r="N557" s="278"/>
      <c r="O557" s="278"/>
      <c r="P557" s="278"/>
      <c r="Q557" s="278"/>
      <c r="R557" s="278"/>
      <c r="S557" s="278"/>
      <c r="T557" s="278"/>
      <c r="U557" s="278"/>
      <c r="V557" s="278"/>
      <c r="W557" s="278"/>
      <c r="X557" s="278"/>
    </row>
    <row r="558" ht="15.75" customHeight="1">
      <c r="B558" s="278"/>
      <c r="C558" s="278"/>
      <c r="D558" s="278"/>
      <c r="F558" s="278"/>
      <c r="G558" s="278"/>
      <c r="H558" s="278"/>
      <c r="I558" s="278"/>
      <c r="J558" s="278"/>
      <c r="K558" s="278"/>
      <c r="L558" s="278"/>
      <c r="M558" s="278"/>
      <c r="N558" s="278"/>
      <c r="O558" s="278"/>
      <c r="P558" s="278"/>
      <c r="Q558" s="278"/>
      <c r="R558" s="278"/>
      <c r="S558" s="278"/>
      <c r="T558" s="278"/>
      <c r="U558" s="278"/>
      <c r="V558" s="278"/>
      <c r="W558" s="278"/>
      <c r="X558" s="278"/>
    </row>
    <row r="559" ht="15.75" customHeight="1">
      <c r="B559" s="278"/>
      <c r="C559" s="278"/>
      <c r="D559" s="278"/>
      <c r="F559" s="278"/>
      <c r="G559" s="278"/>
      <c r="H559" s="278"/>
      <c r="I559" s="278"/>
      <c r="J559" s="278"/>
      <c r="K559" s="278"/>
      <c r="L559" s="278"/>
      <c r="M559" s="278"/>
      <c r="N559" s="278"/>
      <c r="O559" s="278"/>
      <c r="P559" s="278"/>
      <c r="Q559" s="278"/>
      <c r="R559" s="278"/>
      <c r="S559" s="278"/>
      <c r="T559" s="278"/>
      <c r="U559" s="278"/>
      <c r="V559" s="278"/>
      <c r="W559" s="278"/>
      <c r="X559" s="278"/>
    </row>
    <row r="560" ht="15.75" customHeight="1">
      <c r="B560" s="278"/>
      <c r="C560" s="278"/>
      <c r="D560" s="278"/>
      <c r="F560" s="278"/>
      <c r="G560" s="278"/>
      <c r="H560" s="278"/>
      <c r="I560" s="278"/>
      <c r="J560" s="278"/>
      <c r="K560" s="278"/>
      <c r="L560" s="278"/>
      <c r="M560" s="278"/>
      <c r="N560" s="278"/>
      <c r="O560" s="278"/>
      <c r="P560" s="278"/>
      <c r="Q560" s="278"/>
      <c r="R560" s="278"/>
      <c r="S560" s="278"/>
      <c r="T560" s="278"/>
      <c r="U560" s="278"/>
      <c r="V560" s="278"/>
      <c r="W560" s="278"/>
      <c r="X560" s="278"/>
    </row>
    <row r="561" ht="15.75" customHeight="1">
      <c r="B561" s="278"/>
      <c r="C561" s="278"/>
      <c r="D561" s="278"/>
      <c r="F561" s="278"/>
      <c r="G561" s="278"/>
      <c r="H561" s="278"/>
      <c r="I561" s="278"/>
      <c r="J561" s="278"/>
      <c r="K561" s="278"/>
      <c r="L561" s="278"/>
      <c r="M561" s="278"/>
      <c r="N561" s="278"/>
      <c r="O561" s="278"/>
      <c r="P561" s="278"/>
      <c r="Q561" s="278"/>
      <c r="R561" s="278"/>
      <c r="S561" s="278"/>
      <c r="T561" s="278"/>
      <c r="U561" s="278"/>
      <c r="V561" s="278"/>
      <c r="W561" s="278"/>
      <c r="X561" s="278"/>
    </row>
    <row r="562" ht="15.75" customHeight="1">
      <c r="B562" s="278"/>
      <c r="C562" s="278"/>
      <c r="D562" s="278"/>
      <c r="F562" s="278"/>
      <c r="G562" s="278"/>
      <c r="H562" s="278"/>
      <c r="I562" s="278"/>
      <c r="J562" s="278"/>
      <c r="K562" s="278"/>
      <c r="L562" s="278"/>
      <c r="M562" s="278"/>
      <c r="N562" s="278"/>
      <c r="O562" s="278"/>
      <c r="P562" s="278"/>
      <c r="Q562" s="278"/>
      <c r="R562" s="278"/>
      <c r="S562" s="278"/>
      <c r="T562" s="278"/>
      <c r="U562" s="278"/>
      <c r="V562" s="278"/>
      <c r="W562" s="278"/>
      <c r="X562" s="278"/>
    </row>
    <row r="563" ht="15.75" customHeight="1">
      <c r="B563" s="278"/>
      <c r="C563" s="278"/>
      <c r="D563" s="278"/>
      <c r="F563" s="278"/>
      <c r="G563" s="278"/>
      <c r="H563" s="278"/>
      <c r="I563" s="278"/>
      <c r="J563" s="278"/>
      <c r="K563" s="278"/>
      <c r="L563" s="278"/>
      <c r="M563" s="278"/>
      <c r="N563" s="278"/>
      <c r="O563" s="278"/>
      <c r="P563" s="278"/>
      <c r="Q563" s="278"/>
      <c r="R563" s="278"/>
      <c r="S563" s="278"/>
      <c r="T563" s="278"/>
      <c r="U563" s="278"/>
      <c r="V563" s="278"/>
      <c r="W563" s="278"/>
      <c r="X563" s="278"/>
    </row>
    <row r="564" ht="15.75" customHeight="1">
      <c r="B564" s="278"/>
      <c r="C564" s="278"/>
      <c r="D564" s="278"/>
      <c r="F564" s="278"/>
      <c r="G564" s="278"/>
      <c r="H564" s="278"/>
      <c r="I564" s="278"/>
      <c r="J564" s="278"/>
      <c r="K564" s="278"/>
      <c r="L564" s="278"/>
      <c r="M564" s="278"/>
      <c r="N564" s="278"/>
      <c r="O564" s="278"/>
      <c r="P564" s="278"/>
      <c r="Q564" s="278"/>
      <c r="R564" s="278"/>
      <c r="S564" s="278"/>
      <c r="T564" s="278"/>
      <c r="U564" s="278"/>
      <c r="V564" s="278"/>
      <c r="W564" s="278"/>
      <c r="X564" s="278"/>
    </row>
    <row r="565" ht="15.75" customHeight="1">
      <c r="B565" s="278"/>
      <c r="C565" s="278"/>
      <c r="D565" s="278"/>
      <c r="F565" s="278"/>
      <c r="G565" s="278"/>
      <c r="H565" s="278"/>
      <c r="I565" s="278"/>
      <c r="J565" s="278"/>
      <c r="K565" s="278"/>
      <c r="L565" s="278"/>
      <c r="M565" s="278"/>
      <c r="N565" s="278"/>
      <c r="O565" s="278"/>
      <c r="P565" s="278"/>
      <c r="Q565" s="278"/>
      <c r="R565" s="278"/>
      <c r="S565" s="278"/>
      <c r="T565" s="278"/>
      <c r="U565" s="278"/>
      <c r="V565" s="278"/>
      <c r="W565" s="278"/>
      <c r="X565" s="278"/>
    </row>
    <row r="566" ht="15.75" customHeight="1">
      <c r="B566" s="278"/>
      <c r="C566" s="278"/>
      <c r="D566" s="278"/>
      <c r="F566" s="278"/>
      <c r="G566" s="278"/>
      <c r="H566" s="278"/>
      <c r="I566" s="278"/>
      <c r="J566" s="278"/>
      <c r="K566" s="278"/>
      <c r="L566" s="278"/>
      <c r="M566" s="278"/>
      <c r="N566" s="278"/>
      <c r="O566" s="278"/>
      <c r="P566" s="278"/>
      <c r="Q566" s="278"/>
      <c r="R566" s="278"/>
      <c r="S566" s="278"/>
      <c r="T566" s="278"/>
      <c r="U566" s="278"/>
      <c r="V566" s="278"/>
      <c r="W566" s="278"/>
      <c r="X566" s="278"/>
    </row>
    <row r="567" ht="15.75" customHeight="1">
      <c r="B567" s="278"/>
      <c r="C567" s="278"/>
      <c r="D567" s="278"/>
      <c r="F567" s="278"/>
      <c r="G567" s="278"/>
      <c r="H567" s="278"/>
      <c r="I567" s="278"/>
      <c r="J567" s="278"/>
      <c r="K567" s="278"/>
      <c r="L567" s="278"/>
      <c r="M567" s="278"/>
      <c r="N567" s="278"/>
      <c r="O567" s="278"/>
      <c r="P567" s="278"/>
      <c r="Q567" s="278"/>
      <c r="R567" s="278"/>
      <c r="S567" s="278"/>
      <c r="T567" s="278"/>
      <c r="U567" s="278"/>
      <c r="V567" s="278"/>
      <c r="W567" s="278"/>
      <c r="X567" s="278"/>
    </row>
    <row r="568" ht="15.75" customHeight="1">
      <c r="B568" s="278"/>
      <c r="C568" s="278"/>
      <c r="D568" s="278"/>
      <c r="F568" s="278"/>
      <c r="G568" s="278"/>
      <c r="H568" s="278"/>
      <c r="I568" s="278"/>
      <c r="J568" s="278"/>
      <c r="K568" s="278"/>
      <c r="L568" s="278"/>
      <c r="M568" s="278"/>
      <c r="N568" s="278"/>
      <c r="O568" s="278"/>
      <c r="P568" s="278"/>
      <c r="Q568" s="278"/>
      <c r="R568" s="278"/>
      <c r="S568" s="278"/>
      <c r="T568" s="278"/>
      <c r="U568" s="278"/>
      <c r="V568" s="278"/>
      <c r="W568" s="278"/>
      <c r="X568" s="278"/>
    </row>
    <row r="569" ht="15.75" customHeight="1">
      <c r="B569" s="278"/>
      <c r="C569" s="278"/>
      <c r="D569" s="278"/>
      <c r="F569" s="278"/>
      <c r="G569" s="278"/>
      <c r="H569" s="278"/>
      <c r="I569" s="278"/>
      <c r="J569" s="278"/>
      <c r="K569" s="278"/>
      <c r="L569" s="278"/>
      <c r="M569" s="278"/>
      <c r="N569" s="278"/>
      <c r="O569" s="278"/>
      <c r="P569" s="278"/>
      <c r="Q569" s="278"/>
      <c r="R569" s="278"/>
      <c r="S569" s="278"/>
      <c r="T569" s="278"/>
      <c r="U569" s="278"/>
      <c r="V569" s="278"/>
      <c r="W569" s="278"/>
      <c r="X569" s="278"/>
    </row>
    <row r="570" ht="15.75" customHeight="1">
      <c r="B570" s="278"/>
      <c r="C570" s="278"/>
      <c r="D570" s="278"/>
      <c r="F570" s="278"/>
      <c r="G570" s="278"/>
      <c r="H570" s="278"/>
      <c r="I570" s="278"/>
      <c r="J570" s="278"/>
      <c r="K570" s="278"/>
      <c r="L570" s="278"/>
      <c r="M570" s="278"/>
      <c r="N570" s="278"/>
      <c r="O570" s="278"/>
      <c r="P570" s="278"/>
      <c r="Q570" s="278"/>
      <c r="R570" s="278"/>
      <c r="S570" s="278"/>
      <c r="T570" s="278"/>
      <c r="U570" s="278"/>
      <c r="V570" s="278"/>
      <c r="W570" s="278"/>
      <c r="X570" s="278"/>
    </row>
    <row r="571" ht="15.75" customHeight="1">
      <c r="B571" s="278"/>
      <c r="C571" s="278"/>
      <c r="D571" s="278"/>
      <c r="F571" s="278"/>
      <c r="G571" s="278"/>
      <c r="H571" s="278"/>
      <c r="I571" s="278"/>
      <c r="J571" s="278"/>
      <c r="K571" s="278"/>
      <c r="L571" s="278"/>
      <c r="M571" s="278"/>
      <c r="N571" s="278"/>
      <c r="O571" s="278"/>
      <c r="P571" s="278"/>
      <c r="Q571" s="278"/>
      <c r="R571" s="278"/>
      <c r="S571" s="278"/>
      <c r="T571" s="278"/>
      <c r="U571" s="278"/>
      <c r="V571" s="278"/>
      <c r="W571" s="278"/>
      <c r="X571" s="278"/>
    </row>
    <row r="572" ht="15.75" customHeight="1">
      <c r="B572" s="278"/>
      <c r="C572" s="278"/>
      <c r="D572" s="278"/>
      <c r="F572" s="278"/>
      <c r="G572" s="278"/>
      <c r="H572" s="278"/>
      <c r="I572" s="278"/>
      <c r="J572" s="278"/>
      <c r="K572" s="278"/>
      <c r="L572" s="278"/>
      <c r="M572" s="278"/>
      <c r="N572" s="278"/>
      <c r="O572" s="278"/>
      <c r="P572" s="278"/>
      <c r="Q572" s="278"/>
      <c r="R572" s="278"/>
      <c r="S572" s="278"/>
      <c r="T572" s="278"/>
      <c r="U572" s="278"/>
      <c r="V572" s="278"/>
      <c r="W572" s="278"/>
      <c r="X572" s="278"/>
    </row>
    <row r="573" ht="15.75" customHeight="1">
      <c r="B573" s="278"/>
      <c r="C573" s="278"/>
      <c r="D573" s="278"/>
      <c r="F573" s="278"/>
      <c r="G573" s="278"/>
      <c r="H573" s="278"/>
      <c r="I573" s="278"/>
      <c r="J573" s="278"/>
      <c r="K573" s="278"/>
      <c r="L573" s="278"/>
      <c r="M573" s="278"/>
      <c r="N573" s="278"/>
      <c r="O573" s="278"/>
      <c r="P573" s="278"/>
      <c r="Q573" s="278"/>
      <c r="R573" s="278"/>
      <c r="S573" s="278"/>
      <c r="T573" s="278"/>
      <c r="U573" s="278"/>
      <c r="V573" s="278"/>
      <c r="W573" s="278"/>
      <c r="X573" s="278"/>
    </row>
    <row r="574" ht="15.75" customHeight="1">
      <c r="B574" s="278"/>
      <c r="C574" s="278"/>
      <c r="D574" s="278"/>
      <c r="F574" s="278"/>
      <c r="G574" s="278"/>
      <c r="H574" s="278"/>
      <c r="I574" s="278"/>
      <c r="J574" s="278"/>
      <c r="K574" s="278"/>
      <c r="L574" s="278"/>
      <c r="M574" s="278"/>
      <c r="N574" s="278"/>
      <c r="O574" s="278"/>
      <c r="P574" s="278"/>
      <c r="Q574" s="278"/>
      <c r="R574" s="278"/>
      <c r="S574" s="278"/>
      <c r="T574" s="278"/>
      <c r="U574" s="278"/>
      <c r="V574" s="278"/>
      <c r="W574" s="278"/>
      <c r="X574" s="278"/>
    </row>
    <row r="575" ht="15.75" customHeight="1">
      <c r="B575" s="278"/>
      <c r="C575" s="278"/>
      <c r="D575" s="278"/>
      <c r="F575" s="278"/>
      <c r="G575" s="278"/>
      <c r="H575" s="278"/>
      <c r="I575" s="278"/>
      <c r="J575" s="278"/>
      <c r="K575" s="278"/>
      <c r="L575" s="278"/>
      <c r="M575" s="278"/>
      <c r="N575" s="278"/>
      <c r="O575" s="278"/>
      <c r="P575" s="278"/>
      <c r="Q575" s="278"/>
      <c r="R575" s="278"/>
      <c r="S575" s="278"/>
      <c r="T575" s="278"/>
      <c r="U575" s="278"/>
      <c r="V575" s="278"/>
      <c r="W575" s="278"/>
      <c r="X575" s="278"/>
    </row>
    <row r="576" ht="15.75" customHeight="1">
      <c r="B576" s="278"/>
      <c r="C576" s="278"/>
      <c r="D576" s="278"/>
      <c r="F576" s="278"/>
      <c r="G576" s="278"/>
      <c r="H576" s="278"/>
      <c r="I576" s="278"/>
      <c r="J576" s="278"/>
      <c r="K576" s="278"/>
      <c r="L576" s="278"/>
      <c r="M576" s="278"/>
      <c r="N576" s="278"/>
      <c r="O576" s="278"/>
      <c r="P576" s="278"/>
      <c r="Q576" s="278"/>
      <c r="R576" s="278"/>
      <c r="S576" s="278"/>
      <c r="T576" s="278"/>
      <c r="U576" s="278"/>
      <c r="V576" s="278"/>
      <c r="W576" s="278"/>
      <c r="X576" s="278"/>
    </row>
    <row r="577" ht="15.75" customHeight="1">
      <c r="B577" s="278"/>
      <c r="C577" s="278"/>
      <c r="D577" s="278"/>
      <c r="F577" s="278"/>
      <c r="G577" s="278"/>
      <c r="H577" s="278"/>
      <c r="I577" s="278"/>
      <c r="J577" s="278"/>
      <c r="K577" s="278"/>
      <c r="L577" s="278"/>
      <c r="M577" s="278"/>
      <c r="N577" s="278"/>
      <c r="O577" s="278"/>
      <c r="P577" s="278"/>
      <c r="Q577" s="278"/>
      <c r="R577" s="278"/>
      <c r="S577" s="278"/>
      <c r="T577" s="278"/>
      <c r="U577" s="278"/>
      <c r="V577" s="278"/>
      <c r="W577" s="278"/>
      <c r="X577" s="278"/>
    </row>
    <row r="578" ht="15.75" customHeight="1">
      <c r="B578" s="278"/>
      <c r="C578" s="278"/>
      <c r="D578" s="278"/>
      <c r="F578" s="278"/>
      <c r="G578" s="278"/>
      <c r="H578" s="278"/>
      <c r="I578" s="278"/>
      <c r="J578" s="278"/>
      <c r="K578" s="278"/>
      <c r="L578" s="278"/>
      <c r="M578" s="278"/>
      <c r="N578" s="278"/>
      <c r="O578" s="278"/>
      <c r="P578" s="278"/>
      <c r="Q578" s="278"/>
      <c r="R578" s="278"/>
      <c r="S578" s="278"/>
      <c r="T578" s="278"/>
      <c r="U578" s="278"/>
      <c r="V578" s="278"/>
      <c r="W578" s="278"/>
      <c r="X578" s="278"/>
    </row>
    <row r="579" ht="15.75" customHeight="1">
      <c r="B579" s="278"/>
      <c r="C579" s="278"/>
      <c r="D579" s="278"/>
      <c r="F579" s="278"/>
      <c r="G579" s="278"/>
      <c r="H579" s="278"/>
      <c r="I579" s="278"/>
      <c r="J579" s="278"/>
      <c r="K579" s="278"/>
      <c r="L579" s="278"/>
      <c r="M579" s="278"/>
      <c r="N579" s="278"/>
      <c r="O579" s="278"/>
      <c r="P579" s="278"/>
      <c r="Q579" s="278"/>
      <c r="R579" s="278"/>
      <c r="S579" s="278"/>
      <c r="T579" s="278"/>
      <c r="U579" s="278"/>
      <c r="V579" s="278"/>
      <c r="W579" s="278"/>
      <c r="X579" s="278"/>
    </row>
    <row r="580" ht="15.75" customHeight="1">
      <c r="B580" s="278"/>
      <c r="C580" s="278"/>
      <c r="D580" s="278"/>
      <c r="F580" s="278"/>
      <c r="G580" s="278"/>
      <c r="H580" s="278"/>
      <c r="I580" s="278"/>
      <c r="J580" s="278"/>
      <c r="K580" s="278"/>
      <c r="L580" s="278"/>
      <c r="M580" s="278"/>
      <c r="N580" s="278"/>
      <c r="O580" s="278"/>
      <c r="P580" s="278"/>
      <c r="Q580" s="278"/>
      <c r="R580" s="278"/>
      <c r="S580" s="278"/>
      <c r="T580" s="278"/>
      <c r="U580" s="278"/>
      <c r="V580" s="278"/>
      <c r="W580" s="278"/>
      <c r="X580" s="278"/>
    </row>
    <row r="581" ht="15.75" customHeight="1">
      <c r="B581" s="278"/>
      <c r="C581" s="278"/>
      <c r="D581" s="278"/>
      <c r="F581" s="278"/>
      <c r="G581" s="278"/>
      <c r="H581" s="278"/>
      <c r="I581" s="278"/>
      <c r="J581" s="278"/>
      <c r="K581" s="278"/>
      <c r="L581" s="278"/>
      <c r="M581" s="278"/>
      <c r="N581" s="278"/>
      <c r="O581" s="278"/>
      <c r="P581" s="278"/>
      <c r="Q581" s="278"/>
      <c r="R581" s="278"/>
      <c r="S581" s="278"/>
      <c r="T581" s="278"/>
      <c r="U581" s="278"/>
      <c r="V581" s="278"/>
      <c r="W581" s="278"/>
      <c r="X581" s="278"/>
    </row>
    <row r="582" ht="15.75" customHeight="1">
      <c r="B582" s="278"/>
      <c r="C582" s="278"/>
      <c r="D582" s="278"/>
      <c r="F582" s="278"/>
      <c r="G582" s="278"/>
      <c r="H582" s="278"/>
      <c r="I582" s="278"/>
      <c r="J582" s="278"/>
      <c r="K582" s="278"/>
      <c r="L582" s="278"/>
      <c r="M582" s="278"/>
      <c r="N582" s="278"/>
      <c r="O582" s="278"/>
      <c r="P582" s="278"/>
      <c r="Q582" s="278"/>
      <c r="R582" s="278"/>
      <c r="S582" s="278"/>
      <c r="T582" s="278"/>
      <c r="U582" s="278"/>
      <c r="V582" s="278"/>
      <c r="W582" s="278"/>
      <c r="X582" s="278"/>
    </row>
    <row r="583" ht="15.75" customHeight="1">
      <c r="B583" s="278"/>
      <c r="C583" s="278"/>
      <c r="D583" s="278"/>
      <c r="F583" s="278"/>
      <c r="G583" s="278"/>
      <c r="H583" s="278"/>
      <c r="I583" s="278"/>
      <c r="J583" s="278"/>
      <c r="K583" s="278"/>
      <c r="L583" s="278"/>
      <c r="M583" s="278"/>
      <c r="N583" s="278"/>
      <c r="O583" s="278"/>
      <c r="P583" s="278"/>
      <c r="Q583" s="278"/>
      <c r="R583" s="278"/>
      <c r="S583" s="278"/>
      <c r="T583" s="278"/>
      <c r="U583" s="278"/>
      <c r="V583" s="278"/>
      <c r="W583" s="278"/>
      <c r="X583" s="278"/>
    </row>
    <row r="584" ht="15.75" customHeight="1">
      <c r="B584" s="278"/>
      <c r="C584" s="278"/>
      <c r="D584" s="278"/>
      <c r="F584" s="278"/>
      <c r="G584" s="278"/>
      <c r="H584" s="278"/>
      <c r="I584" s="278"/>
      <c r="J584" s="278"/>
      <c r="K584" s="278"/>
      <c r="L584" s="278"/>
      <c r="M584" s="278"/>
      <c r="N584" s="278"/>
      <c r="O584" s="278"/>
      <c r="P584" s="278"/>
      <c r="Q584" s="278"/>
      <c r="R584" s="278"/>
      <c r="S584" s="278"/>
      <c r="T584" s="278"/>
      <c r="U584" s="278"/>
      <c r="V584" s="278"/>
      <c r="W584" s="278"/>
      <c r="X584" s="278"/>
    </row>
    <row r="585" ht="15.75" customHeight="1">
      <c r="B585" s="278"/>
      <c r="C585" s="278"/>
      <c r="D585" s="278"/>
      <c r="F585" s="278"/>
      <c r="G585" s="278"/>
      <c r="H585" s="278"/>
      <c r="I585" s="278"/>
      <c r="J585" s="278"/>
      <c r="K585" s="278"/>
      <c r="L585" s="278"/>
      <c r="M585" s="278"/>
      <c r="N585" s="278"/>
      <c r="O585" s="278"/>
      <c r="P585" s="278"/>
      <c r="Q585" s="278"/>
      <c r="R585" s="278"/>
      <c r="S585" s="278"/>
      <c r="T585" s="278"/>
      <c r="U585" s="278"/>
      <c r="V585" s="278"/>
      <c r="W585" s="278"/>
      <c r="X585" s="278"/>
    </row>
    <row r="586" ht="15.75" customHeight="1">
      <c r="B586" s="278"/>
      <c r="C586" s="278"/>
      <c r="D586" s="278"/>
      <c r="F586" s="278"/>
      <c r="G586" s="278"/>
      <c r="H586" s="278"/>
      <c r="I586" s="278"/>
      <c r="J586" s="278"/>
      <c r="K586" s="278"/>
      <c r="L586" s="278"/>
      <c r="M586" s="278"/>
      <c r="N586" s="278"/>
      <c r="O586" s="278"/>
      <c r="P586" s="278"/>
      <c r="Q586" s="278"/>
      <c r="R586" s="278"/>
      <c r="S586" s="278"/>
      <c r="T586" s="278"/>
      <c r="U586" s="278"/>
      <c r="V586" s="278"/>
      <c r="W586" s="278"/>
      <c r="X586" s="278"/>
    </row>
    <row r="587" ht="15.75" customHeight="1">
      <c r="B587" s="278"/>
      <c r="C587" s="278"/>
      <c r="D587" s="278"/>
      <c r="F587" s="278"/>
      <c r="G587" s="278"/>
      <c r="H587" s="278"/>
      <c r="I587" s="278"/>
      <c r="J587" s="278"/>
      <c r="K587" s="278"/>
      <c r="L587" s="278"/>
      <c r="M587" s="278"/>
      <c r="N587" s="278"/>
      <c r="O587" s="278"/>
      <c r="P587" s="278"/>
      <c r="Q587" s="278"/>
      <c r="R587" s="278"/>
      <c r="S587" s="278"/>
      <c r="T587" s="278"/>
      <c r="U587" s="278"/>
      <c r="V587" s="278"/>
      <c r="W587" s="278"/>
      <c r="X587" s="278"/>
    </row>
    <row r="588" ht="15.75" customHeight="1">
      <c r="B588" s="278"/>
      <c r="C588" s="278"/>
      <c r="D588" s="278"/>
      <c r="F588" s="278"/>
      <c r="G588" s="278"/>
      <c r="H588" s="278"/>
      <c r="I588" s="278"/>
      <c r="J588" s="278"/>
      <c r="K588" s="278"/>
      <c r="L588" s="278"/>
      <c r="M588" s="278"/>
      <c r="N588" s="278"/>
      <c r="O588" s="278"/>
      <c r="P588" s="278"/>
      <c r="Q588" s="278"/>
      <c r="R588" s="278"/>
      <c r="S588" s="278"/>
      <c r="T588" s="278"/>
      <c r="U588" s="278"/>
      <c r="V588" s="278"/>
      <c r="W588" s="278"/>
      <c r="X588" s="278"/>
    </row>
    <row r="589" ht="15.75" customHeight="1">
      <c r="B589" s="278"/>
      <c r="C589" s="278"/>
      <c r="D589" s="278"/>
      <c r="F589" s="278"/>
      <c r="G589" s="278"/>
      <c r="H589" s="278"/>
      <c r="I589" s="278"/>
      <c r="J589" s="278"/>
      <c r="K589" s="278"/>
      <c r="L589" s="278"/>
      <c r="M589" s="278"/>
      <c r="N589" s="278"/>
      <c r="O589" s="278"/>
      <c r="P589" s="278"/>
      <c r="Q589" s="278"/>
      <c r="R589" s="278"/>
      <c r="S589" s="278"/>
      <c r="T589" s="278"/>
      <c r="U589" s="278"/>
      <c r="V589" s="278"/>
      <c r="W589" s="278"/>
      <c r="X589" s="278"/>
    </row>
    <row r="590" ht="15.75" customHeight="1">
      <c r="B590" s="278"/>
      <c r="C590" s="278"/>
      <c r="D590" s="278"/>
      <c r="F590" s="278"/>
      <c r="G590" s="278"/>
      <c r="H590" s="278"/>
      <c r="I590" s="278"/>
      <c r="J590" s="278"/>
      <c r="K590" s="278"/>
      <c r="L590" s="278"/>
      <c r="M590" s="278"/>
      <c r="N590" s="278"/>
      <c r="O590" s="278"/>
      <c r="P590" s="278"/>
      <c r="Q590" s="278"/>
      <c r="R590" s="278"/>
      <c r="S590" s="278"/>
      <c r="T590" s="278"/>
      <c r="U590" s="278"/>
      <c r="V590" s="278"/>
      <c r="W590" s="278"/>
      <c r="X590" s="278"/>
    </row>
    <row r="591" ht="15.75" customHeight="1">
      <c r="B591" s="278"/>
      <c r="C591" s="278"/>
      <c r="D591" s="278"/>
      <c r="F591" s="278"/>
      <c r="G591" s="278"/>
      <c r="H591" s="278"/>
      <c r="I591" s="278"/>
      <c r="J591" s="278"/>
      <c r="K591" s="278"/>
      <c r="L591" s="278"/>
      <c r="M591" s="278"/>
      <c r="N591" s="278"/>
      <c r="O591" s="278"/>
      <c r="P591" s="278"/>
      <c r="Q591" s="278"/>
      <c r="R591" s="278"/>
      <c r="S591" s="278"/>
      <c r="T591" s="278"/>
      <c r="U591" s="278"/>
      <c r="V591" s="278"/>
      <c r="W591" s="278"/>
      <c r="X591" s="278"/>
    </row>
    <row r="592" ht="15.75" customHeight="1">
      <c r="B592" s="278"/>
      <c r="C592" s="278"/>
      <c r="D592" s="278"/>
      <c r="F592" s="278"/>
      <c r="G592" s="278"/>
      <c r="H592" s="278"/>
      <c r="I592" s="278"/>
      <c r="J592" s="278"/>
      <c r="K592" s="278"/>
      <c r="L592" s="278"/>
      <c r="M592" s="278"/>
      <c r="N592" s="278"/>
      <c r="O592" s="278"/>
      <c r="P592" s="278"/>
      <c r="Q592" s="278"/>
      <c r="R592" s="278"/>
      <c r="S592" s="278"/>
      <c r="T592" s="278"/>
      <c r="U592" s="278"/>
      <c r="V592" s="278"/>
      <c r="W592" s="278"/>
      <c r="X592" s="278"/>
    </row>
    <row r="593" ht="15.75" customHeight="1">
      <c r="B593" s="278"/>
      <c r="C593" s="278"/>
      <c r="D593" s="278"/>
      <c r="F593" s="278"/>
      <c r="G593" s="278"/>
      <c r="H593" s="278"/>
      <c r="I593" s="278"/>
      <c r="J593" s="278"/>
      <c r="K593" s="278"/>
      <c r="L593" s="278"/>
      <c r="M593" s="278"/>
      <c r="N593" s="278"/>
      <c r="O593" s="278"/>
      <c r="P593" s="278"/>
      <c r="Q593" s="278"/>
      <c r="R593" s="278"/>
      <c r="S593" s="278"/>
      <c r="T593" s="278"/>
      <c r="U593" s="278"/>
      <c r="V593" s="278"/>
      <c r="W593" s="278"/>
      <c r="X593" s="278"/>
    </row>
    <row r="594" ht="15.75" customHeight="1">
      <c r="B594" s="278"/>
      <c r="C594" s="278"/>
      <c r="D594" s="278"/>
      <c r="F594" s="278"/>
      <c r="G594" s="278"/>
      <c r="H594" s="278"/>
      <c r="I594" s="278"/>
      <c r="J594" s="278"/>
      <c r="K594" s="278"/>
      <c r="L594" s="278"/>
      <c r="M594" s="278"/>
      <c r="N594" s="278"/>
      <c r="O594" s="278"/>
      <c r="P594" s="278"/>
      <c r="Q594" s="278"/>
      <c r="R594" s="278"/>
      <c r="S594" s="278"/>
      <c r="T594" s="278"/>
      <c r="U594" s="278"/>
      <c r="V594" s="278"/>
      <c r="W594" s="278"/>
      <c r="X594" s="278"/>
    </row>
    <row r="595" ht="15.75" customHeight="1">
      <c r="B595" s="278"/>
      <c r="C595" s="278"/>
      <c r="D595" s="278"/>
      <c r="F595" s="278"/>
      <c r="G595" s="278"/>
      <c r="H595" s="278"/>
      <c r="I595" s="278"/>
      <c r="J595" s="278"/>
      <c r="K595" s="278"/>
      <c r="L595" s="278"/>
      <c r="M595" s="278"/>
      <c r="N595" s="278"/>
      <c r="O595" s="278"/>
      <c r="P595" s="278"/>
      <c r="Q595" s="278"/>
      <c r="R595" s="278"/>
      <c r="S595" s="278"/>
      <c r="T595" s="278"/>
      <c r="U595" s="278"/>
      <c r="V595" s="278"/>
      <c r="W595" s="278"/>
      <c r="X595" s="278"/>
    </row>
    <row r="596" ht="15.75" customHeight="1">
      <c r="B596" s="278"/>
      <c r="C596" s="278"/>
      <c r="D596" s="278"/>
      <c r="F596" s="278"/>
      <c r="G596" s="278"/>
      <c r="H596" s="278"/>
      <c r="I596" s="278"/>
      <c r="J596" s="278"/>
      <c r="K596" s="278"/>
      <c r="L596" s="278"/>
      <c r="M596" s="278"/>
      <c r="N596" s="278"/>
      <c r="O596" s="278"/>
      <c r="P596" s="278"/>
      <c r="Q596" s="278"/>
      <c r="R596" s="278"/>
      <c r="S596" s="278"/>
      <c r="T596" s="278"/>
      <c r="U596" s="278"/>
      <c r="V596" s="278"/>
      <c r="W596" s="278"/>
      <c r="X596" s="278"/>
    </row>
    <row r="597" ht="15.75" customHeight="1">
      <c r="B597" s="278"/>
      <c r="C597" s="278"/>
      <c r="D597" s="278"/>
      <c r="F597" s="278"/>
      <c r="G597" s="278"/>
      <c r="H597" s="278"/>
      <c r="I597" s="278"/>
      <c r="J597" s="278"/>
      <c r="K597" s="278"/>
      <c r="L597" s="278"/>
      <c r="M597" s="278"/>
      <c r="N597" s="278"/>
      <c r="O597" s="278"/>
      <c r="P597" s="278"/>
      <c r="Q597" s="278"/>
      <c r="R597" s="278"/>
      <c r="S597" s="278"/>
      <c r="T597" s="278"/>
      <c r="U597" s="278"/>
      <c r="V597" s="278"/>
      <c r="W597" s="278"/>
      <c r="X597" s="278"/>
    </row>
    <row r="598" ht="15.75" customHeight="1">
      <c r="B598" s="278"/>
      <c r="C598" s="278"/>
      <c r="D598" s="278"/>
      <c r="F598" s="278"/>
      <c r="G598" s="278"/>
      <c r="H598" s="278"/>
      <c r="I598" s="278"/>
      <c r="J598" s="278"/>
      <c r="K598" s="278"/>
      <c r="L598" s="278"/>
      <c r="M598" s="278"/>
      <c r="N598" s="278"/>
      <c r="O598" s="278"/>
      <c r="P598" s="278"/>
      <c r="Q598" s="278"/>
      <c r="R598" s="278"/>
      <c r="S598" s="278"/>
      <c r="T598" s="278"/>
      <c r="U598" s="278"/>
      <c r="V598" s="278"/>
      <c r="W598" s="278"/>
      <c r="X598" s="278"/>
    </row>
    <row r="599" ht="15.75" customHeight="1">
      <c r="B599" s="278"/>
      <c r="C599" s="278"/>
      <c r="D599" s="278"/>
      <c r="F599" s="278"/>
      <c r="G599" s="278"/>
      <c r="H599" s="278"/>
      <c r="I599" s="278"/>
      <c r="J599" s="278"/>
      <c r="K599" s="278"/>
      <c r="L599" s="278"/>
      <c r="M599" s="278"/>
      <c r="N599" s="278"/>
      <c r="O599" s="278"/>
      <c r="P599" s="278"/>
      <c r="Q599" s="278"/>
      <c r="R599" s="278"/>
      <c r="S599" s="278"/>
      <c r="T599" s="278"/>
      <c r="U599" s="278"/>
      <c r="V599" s="278"/>
      <c r="W599" s="278"/>
      <c r="X599" s="278"/>
    </row>
    <row r="600" ht="15.75" customHeight="1">
      <c r="B600" s="278"/>
      <c r="C600" s="278"/>
      <c r="D600" s="278"/>
      <c r="F600" s="278"/>
      <c r="G600" s="278"/>
      <c r="H600" s="278"/>
      <c r="I600" s="278"/>
      <c r="J600" s="278"/>
      <c r="K600" s="278"/>
      <c r="L600" s="278"/>
      <c r="M600" s="278"/>
      <c r="N600" s="278"/>
      <c r="O600" s="278"/>
      <c r="P600" s="278"/>
      <c r="Q600" s="278"/>
      <c r="R600" s="278"/>
      <c r="S600" s="278"/>
      <c r="T600" s="278"/>
      <c r="U600" s="278"/>
      <c r="V600" s="278"/>
      <c r="W600" s="278"/>
      <c r="X600" s="278"/>
    </row>
    <row r="601" ht="15.75" customHeight="1">
      <c r="B601" s="278"/>
      <c r="C601" s="278"/>
      <c r="D601" s="278"/>
      <c r="F601" s="278"/>
      <c r="G601" s="278"/>
      <c r="H601" s="278"/>
      <c r="I601" s="278"/>
      <c r="J601" s="278"/>
      <c r="K601" s="278"/>
      <c r="L601" s="278"/>
      <c r="M601" s="278"/>
      <c r="N601" s="278"/>
      <c r="O601" s="278"/>
      <c r="P601" s="278"/>
      <c r="Q601" s="278"/>
      <c r="R601" s="278"/>
      <c r="S601" s="278"/>
      <c r="T601" s="278"/>
      <c r="U601" s="278"/>
      <c r="V601" s="278"/>
      <c r="W601" s="278"/>
      <c r="X601" s="278"/>
    </row>
    <row r="602" ht="15.75" customHeight="1">
      <c r="B602" s="278"/>
      <c r="C602" s="278"/>
      <c r="D602" s="278"/>
      <c r="F602" s="278"/>
      <c r="G602" s="278"/>
      <c r="H602" s="278"/>
      <c r="I602" s="278"/>
      <c r="J602" s="278"/>
      <c r="K602" s="278"/>
      <c r="L602" s="278"/>
      <c r="M602" s="278"/>
      <c r="N602" s="278"/>
      <c r="O602" s="278"/>
      <c r="P602" s="278"/>
      <c r="Q602" s="278"/>
      <c r="R602" s="278"/>
      <c r="S602" s="278"/>
      <c r="T602" s="278"/>
      <c r="U602" s="278"/>
      <c r="V602" s="278"/>
      <c r="W602" s="278"/>
      <c r="X602" s="278"/>
    </row>
    <row r="603" ht="15.75" customHeight="1">
      <c r="B603" s="278"/>
      <c r="C603" s="278"/>
      <c r="D603" s="278"/>
      <c r="F603" s="278"/>
      <c r="G603" s="278"/>
      <c r="H603" s="278"/>
      <c r="I603" s="278"/>
      <c r="J603" s="278"/>
      <c r="K603" s="278"/>
      <c r="L603" s="278"/>
      <c r="M603" s="278"/>
      <c r="N603" s="278"/>
      <c r="O603" s="278"/>
      <c r="P603" s="278"/>
      <c r="Q603" s="278"/>
      <c r="R603" s="278"/>
      <c r="S603" s="278"/>
      <c r="T603" s="278"/>
      <c r="U603" s="278"/>
      <c r="V603" s="278"/>
      <c r="W603" s="278"/>
      <c r="X603" s="278"/>
    </row>
    <row r="604" ht="15.75" customHeight="1">
      <c r="B604" s="278"/>
      <c r="C604" s="278"/>
      <c r="D604" s="278"/>
      <c r="F604" s="278"/>
      <c r="G604" s="278"/>
      <c r="H604" s="278"/>
      <c r="I604" s="278"/>
      <c r="J604" s="278"/>
      <c r="K604" s="278"/>
      <c r="L604" s="278"/>
      <c r="M604" s="278"/>
      <c r="N604" s="278"/>
      <c r="O604" s="278"/>
      <c r="P604" s="278"/>
      <c r="Q604" s="278"/>
      <c r="R604" s="278"/>
      <c r="S604" s="278"/>
      <c r="T604" s="278"/>
      <c r="U604" s="278"/>
      <c r="V604" s="278"/>
      <c r="W604" s="278"/>
      <c r="X604" s="278"/>
    </row>
    <row r="605" ht="15.75" customHeight="1">
      <c r="B605" s="278"/>
      <c r="C605" s="278"/>
      <c r="D605" s="278"/>
      <c r="F605" s="278"/>
      <c r="G605" s="278"/>
      <c r="H605" s="278"/>
      <c r="I605" s="278"/>
      <c r="J605" s="278"/>
      <c r="K605" s="278"/>
      <c r="L605" s="278"/>
      <c r="M605" s="278"/>
      <c r="N605" s="278"/>
      <c r="O605" s="278"/>
      <c r="P605" s="278"/>
      <c r="Q605" s="278"/>
      <c r="R605" s="278"/>
      <c r="S605" s="278"/>
      <c r="T605" s="278"/>
      <c r="U605" s="278"/>
      <c r="V605" s="278"/>
      <c r="W605" s="278"/>
      <c r="X605" s="278"/>
    </row>
    <row r="606" ht="15.75" customHeight="1">
      <c r="B606" s="278"/>
      <c r="C606" s="278"/>
      <c r="D606" s="278"/>
      <c r="F606" s="278"/>
      <c r="G606" s="278"/>
      <c r="H606" s="278"/>
      <c r="I606" s="278"/>
      <c r="J606" s="278"/>
      <c r="K606" s="278"/>
      <c r="L606" s="278"/>
      <c r="M606" s="278"/>
      <c r="N606" s="278"/>
      <c r="O606" s="278"/>
      <c r="P606" s="278"/>
      <c r="Q606" s="278"/>
      <c r="R606" s="278"/>
      <c r="S606" s="278"/>
      <c r="T606" s="278"/>
      <c r="U606" s="278"/>
      <c r="V606" s="278"/>
      <c r="W606" s="278"/>
      <c r="X606" s="278"/>
    </row>
    <row r="607" ht="15.75" customHeight="1">
      <c r="B607" s="278"/>
      <c r="C607" s="278"/>
      <c r="D607" s="278"/>
      <c r="F607" s="278"/>
      <c r="G607" s="278"/>
      <c r="H607" s="278"/>
      <c r="I607" s="278"/>
      <c r="J607" s="278"/>
      <c r="K607" s="278"/>
      <c r="L607" s="278"/>
      <c r="M607" s="278"/>
      <c r="N607" s="278"/>
      <c r="O607" s="278"/>
      <c r="P607" s="278"/>
      <c r="Q607" s="278"/>
      <c r="R607" s="278"/>
      <c r="S607" s="278"/>
      <c r="T607" s="278"/>
      <c r="U607" s="278"/>
      <c r="V607" s="278"/>
      <c r="W607" s="278"/>
      <c r="X607" s="278"/>
    </row>
    <row r="608" ht="15.75" customHeight="1">
      <c r="B608" s="278"/>
      <c r="C608" s="278"/>
      <c r="D608" s="278"/>
      <c r="F608" s="278"/>
      <c r="G608" s="278"/>
      <c r="H608" s="278"/>
      <c r="I608" s="278"/>
      <c r="J608" s="278"/>
      <c r="K608" s="278"/>
      <c r="L608" s="278"/>
      <c r="M608" s="278"/>
      <c r="N608" s="278"/>
      <c r="O608" s="278"/>
      <c r="P608" s="278"/>
      <c r="Q608" s="278"/>
      <c r="R608" s="278"/>
      <c r="S608" s="278"/>
      <c r="T608" s="278"/>
      <c r="U608" s="278"/>
      <c r="V608" s="278"/>
      <c r="W608" s="278"/>
      <c r="X608" s="278"/>
    </row>
    <row r="609" ht="15.75" customHeight="1">
      <c r="B609" s="278"/>
      <c r="C609" s="278"/>
      <c r="D609" s="278"/>
      <c r="F609" s="278"/>
      <c r="G609" s="278"/>
      <c r="H609" s="278"/>
      <c r="I609" s="278"/>
      <c r="J609" s="278"/>
      <c r="K609" s="278"/>
      <c r="L609" s="278"/>
      <c r="M609" s="278"/>
      <c r="N609" s="278"/>
      <c r="O609" s="278"/>
      <c r="P609" s="278"/>
      <c r="Q609" s="278"/>
      <c r="R609" s="278"/>
      <c r="S609" s="278"/>
      <c r="T609" s="278"/>
      <c r="U609" s="278"/>
      <c r="V609" s="278"/>
      <c r="W609" s="278"/>
      <c r="X609" s="278"/>
    </row>
    <row r="610" ht="15.75" customHeight="1">
      <c r="B610" s="278"/>
      <c r="C610" s="278"/>
      <c r="D610" s="278"/>
      <c r="F610" s="278"/>
      <c r="G610" s="278"/>
      <c r="H610" s="278"/>
      <c r="I610" s="278"/>
      <c r="J610" s="278"/>
      <c r="K610" s="278"/>
      <c r="L610" s="278"/>
      <c r="M610" s="278"/>
      <c r="N610" s="278"/>
      <c r="O610" s="278"/>
      <c r="P610" s="278"/>
      <c r="Q610" s="278"/>
      <c r="R610" s="278"/>
      <c r="S610" s="278"/>
      <c r="T610" s="278"/>
      <c r="U610" s="278"/>
      <c r="V610" s="278"/>
      <c r="W610" s="278"/>
      <c r="X610" s="278"/>
    </row>
    <row r="611" ht="15.75" customHeight="1">
      <c r="B611" s="278"/>
      <c r="C611" s="278"/>
      <c r="D611" s="278"/>
      <c r="F611" s="278"/>
      <c r="G611" s="278"/>
      <c r="H611" s="278"/>
      <c r="I611" s="278"/>
      <c r="J611" s="278"/>
      <c r="K611" s="278"/>
      <c r="L611" s="278"/>
      <c r="M611" s="278"/>
      <c r="N611" s="278"/>
      <c r="O611" s="278"/>
      <c r="P611" s="278"/>
      <c r="Q611" s="278"/>
      <c r="R611" s="278"/>
      <c r="S611" s="278"/>
      <c r="T611" s="278"/>
      <c r="U611" s="278"/>
      <c r="V611" s="278"/>
      <c r="W611" s="278"/>
      <c r="X611" s="278"/>
    </row>
    <row r="612" ht="15.75" customHeight="1">
      <c r="B612" s="278"/>
      <c r="C612" s="278"/>
      <c r="D612" s="278"/>
      <c r="F612" s="278"/>
      <c r="G612" s="278"/>
      <c r="H612" s="278"/>
      <c r="I612" s="278"/>
      <c r="J612" s="278"/>
      <c r="K612" s="278"/>
      <c r="L612" s="278"/>
      <c r="M612" s="278"/>
      <c r="N612" s="278"/>
      <c r="O612" s="278"/>
      <c r="P612" s="278"/>
      <c r="Q612" s="278"/>
      <c r="R612" s="278"/>
      <c r="S612" s="278"/>
      <c r="T612" s="278"/>
      <c r="U612" s="278"/>
      <c r="V612" s="278"/>
      <c r="W612" s="278"/>
      <c r="X612" s="278"/>
    </row>
    <row r="613" ht="15.75" customHeight="1">
      <c r="B613" s="278"/>
      <c r="C613" s="278"/>
      <c r="D613" s="278"/>
      <c r="F613" s="278"/>
      <c r="G613" s="278"/>
      <c r="H613" s="278"/>
      <c r="I613" s="278"/>
      <c r="J613" s="278"/>
      <c r="K613" s="278"/>
      <c r="L613" s="278"/>
      <c r="M613" s="278"/>
      <c r="N613" s="278"/>
      <c r="O613" s="278"/>
      <c r="P613" s="278"/>
      <c r="Q613" s="278"/>
      <c r="R613" s="278"/>
      <c r="S613" s="278"/>
      <c r="T613" s="278"/>
      <c r="U613" s="278"/>
      <c r="V613" s="278"/>
      <c r="W613" s="278"/>
      <c r="X613" s="278"/>
    </row>
    <row r="614" ht="15.75" customHeight="1">
      <c r="B614" s="278"/>
      <c r="C614" s="278"/>
      <c r="D614" s="278"/>
      <c r="F614" s="278"/>
      <c r="G614" s="278"/>
      <c r="H614" s="278"/>
      <c r="I614" s="278"/>
      <c r="J614" s="278"/>
      <c r="K614" s="278"/>
      <c r="L614" s="278"/>
      <c r="M614" s="278"/>
      <c r="N614" s="278"/>
      <c r="O614" s="278"/>
      <c r="P614" s="278"/>
      <c r="Q614" s="278"/>
      <c r="R614" s="278"/>
      <c r="S614" s="278"/>
      <c r="T614" s="278"/>
      <c r="U614" s="278"/>
      <c r="V614" s="278"/>
      <c r="W614" s="278"/>
      <c r="X614" s="278"/>
    </row>
    <row r="615" ht="15.75" customHeight="1">
      <c r="B615" s="278"/>
      <c r="C615" s="278"/>
      <c r="D615" s="278"/>
      <c r="F615" s="278"/>
      <c r="G615" s="278"/>
      <c r="H615" s="278"/>
      <c r="I615" s="278"/>
      <c r="J615" s="278"/>
      <c r="K615" s="278"/>
      <c r="L615" s="278"/>
      <c r="M615" s="278"/>
      <c r="N615" s="278"/>
      <c r="O615" s="278"/>
      <c r="P615" s="278"/>
      <c r="Q615" s="278"/>
      <c r="R615" s="278"/>
      <c r="S615" s="278"/>
      <c r="T615" s="278"/>
      <c r="U615" s="278"/>
      <c r="V615" s="278"/>
      <c r="W615" s="278"/>
      <c r="X615" s="278"/>
    </row>
    <row r="616" ht="15.75" customHeight="1">
      <c r="B616" s="278"/>
      <c r="C616" s="278"/>
      <c r="D616" s="278"/>
      <c r="F616" s="278"/>
      <c r="G616" s="278"/>
      <c r="H616" s="278"/>
      <c r="I616" s="278"/>
      <c r="J616" s="278"/>
      <c r="K616" s="278"/>
      <c r="L616" s="278"/>
      <c r="M616" s="278"/>
      <c r="N616" s="278"/>
      <c r="O616" s="278"/>
      <c r="P616" s="278"/>
      <c r="Q616" s="278"/>
      <c r="R616" s="278"/>
      <c r="S616" s="278"/>
      <c r="T616" s="278"/>
      <c r="U616" s="278"/>
      <c r="V616" s="278"/>
      <c r="W616" s="278"/>
      <c r="X616" s="278"/>
    </row>
    <row r="617" ht="15.75" customHeight="1">
      <c r="B617" s="278"/>
      <c r="C617" s="278"/>
      <c r="D617" s="278"/>
      <c r="F617" s="278"/>
      <c r="G617" s="278"/>
      <c r="H617" s="278"/>
      <c r="I617" s="278"/>
      <c r="J617" s="278"/>
      <c r="K617" s="278"/>
      <c r="L617" s="278"/>
      <c r="M617" s="278"/>
      <c r="N617" s="278"/>
      <c r="O617" s="278"/>
      <c r="P617" s="278"/>
      <c r="Q617" s="278"/>
      <c r="R617" s="278"/>
      <c r="S617" s="278"/>
      <c r="T617" s="278"/>
      <c r="U617" s="278"/>
      <c r="V617" s="278"/>
      <c r="W617" s="278"/>
      <c r="X617" s="278"/>
    </row>
    <row r="618" ht="15.75" customHeight="1">
      <c r="B618" s="278"/>
      <c r="C618" s="278"/>
      <c r="D618" s="278"/>
      <c r="F618" s="278"/>
      <c r="G618" s="278"/>
      <c r="H618" s="278"/>
      <c r="I618" s="278"/>
      <c r="J618" s="278"/>
      <c r="K618" s="278"/>
      <c r="L618" s="278"/>
      <c r="M618" s="278"/>
      <c r="N618" s="278"/>
      <c r="O618" s="278"/>
      <c r="P618" s="278"/>
      <c r="Q618" s="278"/>
      <c r="R618" s="278"/>
      <c r="S618" s="278"/>
      <c r="T618" s="278"/>
      <c r="U618" s="278"/>
      <c r="V618" s="278"/>
      <c r="W618" s="278"/>
      <c r="X618" s="278"/>
    </row>
    <row r="619" ht="15.75" customHeight="1">
      <c r="B619" s="278"/>
      <c r="C619" s="278"/>
      <c r="D619" s="278"/>
      <c r="F619" s="278"/>
      <c r="G619" s="278"/>
      <c r="H619" s="278"/>
      <c r="I619" s="278"/>
      <c r="J619" s="278"/>
      <c r="K619" s="278"/>
      <c r="L619" s="278"/>
      <c r="M619" s="278"/>
      <c r="N619" s="278"/>
      <c r="O619" s="278"/>
      <c r="P619" s="278"/>
      <c r="Q619" s="278"/>
      <c r="R619" s="278"/>
      <c r="S619" s="278"/>
      <c r="T619" s="278"/>
      <c r="U619" s="278"/>
      <c r="V619" s="278"/>
      <c r="W619" s="278"/>
      <c r="X619" s="278"/>
    </row>
    <row r="620" ht="15.75" customHeight="1">
      <c r="B620" s="278"/>
      <c r="C620" s="278"/>
      <c r="D620" s="278"/>
      <c r="F620" s="278"/>
      <c r="G620" s="278"/>
      <c r="H620" s="278"/>
      <c r="I620" s="278"/>
      <c r="J620" s="278"/>
      <c r="K620" s="278"/>
      <c r="L620" s="278"/>
      <c r="M620" s="278"/>
      <c r="N620" s="278"/>
      <c r="O620" s="278"/>
      <c r="P620" s="278"/>
      <c r="Q620" s="278"/>
      <c r="R620" s="278"/>
      <c r="S620" s="278"/>
      <c r="T620" s="278"/>
      <c r="U620" s="278"/>
      <c r="V620" s="278"/>
      <c r="W620" s="278"/>
      <c r="X620" s="278"/>
    </row>
    <row r="621" ht="15.75" customHeight="1">
      <c r="B621" s="278"/>
      <c r="C621" s="278"/>
      <c r="D621" s="278"/>
      <c r="F621" s="278"/>
      <c r="G621" s="278"/>
      <c r="H621" s="278"/>
      <c r="I621" s="278"/>
      <c r="J621" s="278"/>
      <c r="K621" s="278"/>
      <c r="L621" s="278"/>
      <c r="M621" s="278"/>
      <c r="N621" s="278"/>
      <c r="O621" s="278"/>
      <c r="P621" s="278"/>
      <c r="Q621" s="278"/>
      <c r="R621" s="278"/>
      <c r="S621" s="278"/>
      <c r="T621" s="278"/>
      <c r="U621" s="278"/>
      <c r="V621" s="278"/>
      <c r="W621" s="278"/>
      <c r="X621" s="278"/>
    </row>
    <row r="622" ht="15.75" customHeight="1">
      <c r="B622" s="278"/>
      <c r="C622" s="278"/>
      <c r="D622" s="278"/>
      <c r="F622" s="278"/>
      <c r="G622" s="278"/>
      <c r="H622" s="278"/>
      <c r="I622" s="278"/>
      <c r="J622" s="278"/>
      <c r="K622" s="278"/>
      <c r="L622" s="278"/>
      <c r="M622" s="278"/>
      <c r="N622" s="278"/>
      <c r="O622" s="278"/>
      <c r="P622" s="278"/>
      <c r="Q622" s="278"/>
      <c r="R622" s="278"/>
      <c r="S622" s="278"/>
      <c r="T622" s="278"/>
      <c r="U622" s="278"/>
      <c r="V622" s="278"/>
      <c r="W622" s="278"/>
      <c r="X622" s="278"/>
    </row>
    <row r="623" ht="15.75" customHeight="1">
      <c r="B623" s="278"/>
      <c r="C623" s="278"/>
      <c r="D623" s="278"/>
      <c r="F623" s="278"/>
      <c r="G623" s="278"/>
      <c r="H623" s="278"/>
      <c r="I623" s="278"/>
      <c r="J623" s="278"/>
      <c r="K623" s="278"/>
      <c r="L623" s="278"/>
      <c r="M623" s="278"/>
      <c r="N623" s="278"/>
      <c r="O623" s="278"/>
      <c r="P623" s="278"/>
      <c r="Q623" s="278"/>
      <c r="R623" s="278"/>
      <c r="S623" s="278"/>
      <c r="T623" s="278"/>
      <c r="U623" s="278"/>
      <c r="V623" s="278"/>
      <c r="W623" s="278"/>
      <c r="X623" s="278"/>
    </row>
    <row r="624" ht="15.75" customHeight="1">
      <c r="B624" s="278"/>
      <c r="C624" s="278"/>
      <c r="D624" s="278"/>
      <c r="F624" s="278"/>
      <c r="G624" s="278"/>
      <c r="H624" s="278"/>
      <c r="I624" s="278"/>
      <c r="J624" s="278"/>
      <c r="K624" s="278"/>
      <c r="L624" s="278"/>
      <c r="M624" s="278"/>
      <c r="N624" s="278"/>
      <c r="O624" s="278"/>
      <c r="P624" s="278"/>
      <c r="Q624" s="278"/>
      <c r="R624" s="278"/>
      <c r="S624" s="278"/>
      <c r="T624" s="278"/>
      <c r="U624" s="278"/>
      <c r="V624" s="278"/>
      <c r="W624" s="278"/>
      <c r="X624" s="278"/>
    </row>
    <row r="625" ht="15.75" customHeight="1">
      <c r="B625" s="278"/>
      <c r="C625" s="278"/>
      <c r="D625" s="278"/>
      <c r="F625" s="278"/>
      <c r="G625" s="278"/>
      <c r="H625" s="278"/>
      <c r="I625" s="278"/>
      <c r="J625" s="278"/>
      <c r="K625" s="278"/>
      <c r="L625" s="278"/>
      <c r="M625" s="278"/>
      <c r="N625" s="278"/>
      <c r="O625" s="278"/>
      <c r="P625" s="278"/>
      <c r="Q625" s="278"/>
      <c r="R625" s="278"/>
      <c r="S625" s="278"/>
      <c r="T625" s="278"/>
      <c r="U625" s="278"/>
      <c r="V625" s="278"/>
      <c r="W625" s="278"/>
      <c r="X625" s="278"/>
    </row>
    <row r="626" ht="15.75" customHeight="1">
      <c r="B626" s="278"/>
      <c r="C626" s="278"/>
      <c r="D626" s="278"/>
      <c r="F626" s="278"/>
      <c r="G626" s="278"/>
      <c r="H626" s="278"/>
      <c r="I626" s="278"/>
      <c r="J626" s="278"/>
      <c r="K626" s="278"/>
      <c r="L626" s="278"/>
      <c r="M626" s="278"/>
      <c r="N626" s="278"/>
      <c r="O626" s="278"/>
      <c r="P626" s="278"/>
      <c r="Q626" s="278"/>
      <c r="R626" s="278"/>
      <c r="S626" s="278"/>
      <c r="T626" s="278"/>
      <c r="U626" s="278"/>
      <c r="V626" s="278"/>
      <c r="W626" s="278"/>
      <c r="X626" s="278"/>
    </row>
    <row r="627" ht="15.75" customHeight="1">
      <c r="B627" s="278"/>
      <c r="C627" s="278"/>
      <c r="D627" s="278"/>
      <c r="F627" s="278"/>
      <c r="G627" s="278"/>
      <c r="H627" s="278"/>
      <c r="I627" s="278"/>
      <c r="J627" s="278"/>
      <c r="K627" s="278"/>
      <c r="L627" s="278"/>
      <c r="M627" s="278"/>
      <c r="N627" s="278"/>
      <c r="O627" s="278"/>
      <c r="P627" s="278"/>
      <c r="Q627" s="278"/>
      <c r="R627" s="278"/>
      <c r="S627" s="278"/>
      <c r="T627" s="278"/>
      <c r="U627" s="278"/>
      <c r="V627" s="278"/>
      <c r="W627" s="278"/>
      <c r="X627" s="278"/>
    </row>
    <row r="628" ht="15.75" customHeight="1">
      <c r="B628" s="278"/>
      <c r="C628" s="278"/>
      <c r="D628" s="278"/>
      <c r="F628" s="278"/>
      <c r="G628" s="278"/>
      <c r="H628" s="278"/>
      <c r="I628" s="278"/>
      <c r="J628" s="278"/>
      <c r="K628" s="278"/>
      <c r="L628" s="278"/>
      <c r="M628" s="278"/>
      <c r="N628" s="278"/>
      <c r="O628" s="278"/>
      <c r="P628" s="278"/>
      <c r="Q628" s="278"/>
      <c r="R628" s="278"/>
      <c r="S628" s="278"/>
      <c r="T628" s="278"/>
      <c r="U628" s="278"/>
      <c r="V628" s="278"/>
      <c r="W628" s="278"/>
      <c r="X628" s="278"/>
    </row>
    <row r="629" ht="15.75" customHeight="1">
      <c r="B629" s="278"/>
      <c r="C629" s="278"/>
      <c r="D629" s="278"/>
      <c r="F629" s="278"/>
      <c r="G629" s="278"/>
      <c r="H629" s="278"/>
      <c r="I629" s="278"/>
      <c r="J629" s="278"/>
      <c r="K629" s="278"/>
      <c r="L629" s="278"/>
      <c r="M629" s="278"/>
      <c r="N629" s="278"/>
      <c r="O629" s="278"/>
      <c r="P629" s="278"/>
      <c r="Q629" s="278"/>
      <c r="R629" s="278"/>
      <c r="S629" s="278"/>
      <c r="T629" s="278"/>
      <c r="U629" s="278"/>
      <c r="V629" s="278"/>
      <c r="W629" s="278"/>
      <c r="X629" s="278"/>
    </row>
    <row r="630" ht="15.75" customHeight="1">
      <c r="B630" s="278"/>
      <c r="C630" s="278"/>
      <c r="D630" s="278"/>
      <c r="F630" s="278"/>
      <c r="G630" s="278"/>
      <c r="H630" s="278"/>
      <c r="I630" s="278"/>
      <c r="J630" s="278"/>
      <c r="K630" s="278"/>
      <c r="L630" s="278"/>
      <c r="M630" s="278"/>
      <c r="N630" s="278"/>
      <c r="O630" s="278"/>
      <c r="P630" s="278"/>
      <c r="Q630" s="278"/>
      <c r="R630" s="278"/>
      <c r="S630" s="278"/>
      <c r="T630" s="278"/>
      <c r="U630" s="278"/>
      <c r="V630" s="278"/>
      <c r="W630" s="278"/>
      <c r="X630" s="278"/>
    </row>
    <row r="631" ht="15.75" customHeight="1">
      <c r="B631" s="278"/>
      <c r="C631" s="278"/>
      <c r="D631" s="278"/>
      <c r="F631" s="278"/>
      <c r="G631" s="278"/>
      <c r="H631" s="278"/>
      <c r="I631" s="278"/>
      <c r="J631" s="278"/>
      <c r="K631" s="278"/>
      <c r="L631" s="278"/>
      <c r="M631" s="278"/>
      <c r="N631" s="278"/>
      <c r="O631" s="278"/>
      <c r="P631" s="278"/>
      <c r="Q631" s="278"/>
      <c r="R631" s="278"/>
      <c r="S631" s="278"/>
      <c r="T631" s="278"/>
      <c r="U631" s="278"/>
      <c r="V631" s="278"/>
      <c r="W631" s="278"/>
      <c r="X631" s="278"/>
    </row>
    <row r="632" ht="15.75" customHeight="1">
      <c r="B632" s="278"/>
      <c r="C632" s="278"/>
      <c r="D632" s="278"/>
      <c r="F632" s="278"/>
      <c r="G632" s="278"/>
      <c r="H632" s="278"/>
      <c r="I632" s="278"/>
      <c r="J632" s="278"/>
      <c r="K632" s="278"/>
      <c r="L632" s="278"/>
      <c r="M632" s="278"/>
      <c r="N632" s="278"/>
      <c r="O632" s="278"/>
      <c r="P632" s="278"/>
      <c r="Q632" s="278"/>
      <c r="R632" s="278"/>
      <c r="S632" s="278"/>
      <c r="T632" s="278"/>
      <c r="U632" s="278"/>
      <c r="V632" s="278"/>
      <c r="W632" s="278"/>
      <c r="X632" s="278"/>
    </row>
    <row r="633" ht="15.75" customHeight="1">
      <c r="B633" s="278"/>
      <c r="C633" s="278"/>
      <c r="D633" s="278"/>
      <c r="F633" s="278"/>
      <c r="G633" s="278"/>
      <c r="H633" s="278"/>
      <c r="I633" s="278"/>
      <c r="J633" s="278"/>
      <c r="K633" s="278"/>
      <c r="L633" s="278"/>
      <c r="M633" s="278"/>
      <c r="N633" s="278"/>
      <c r="O633" s="278"/>
      <c r="P633" s="278"/>
      <c r="Q633" s="278"/>
      <c r="R633" s="278"/>
      <c r="S633" s="278"/>
      <c r="T633" s="278"/>
      <c r="U633" s="278"/>
      <c r="V633" s="278"/>
      <c r="W633" s="278"/>
      <c r="X633" s="278"/>
    </row>
    <row r="634" ht="15.75" customHeight="1">
      <c r="B634" s="278"/>
      <c r="C634" s="278"/>
      <c r="D634" s="278"/>
      <c r="F634" s="278"/>
      <c r="G634" s="278"/>
      <c r="H634" s="278"/>
      <c r="I634" s="278"/>
      <c r="J634" s="278"/>
      <c r="K634" s="278"/>
      <c r="L634" s="278"/>
      <c r="M634" s="278"/>
      <c r="N634" s="278"/>
      <c r="O634" s="278"/>
      <c r="P634" s="278"/>
      <c r="Q634" s="278"/>
      <c r="R634" s="278"/>
      <c r="S634" s="278"/>
      <c r="T634" s="278"/>
      <c r="U634" s="278"/>
      <c r="V634" s="278"/>
      <c r="W634" s="278"/>
      <c r="X634" s="278"/>
    </row>
    <row r="635" ht="15.75" customHeight="1">
      <c r="B635" s="278"/>
      <c r="C635" s="278"/>
      <c r="D635" s="278"/>
      <c r="F635" s="278"/>
      <c r="G635" s="278"/>
      <c r="H635" s="278"/>
      <c r="I635" s="278"/>
      <c r="J635" s="278"/>
      <c r="K635" s="278"/>
      <c r="L635" s="278"/>
      <c r="M635" s="278"/>
      <c r="N635" s="278"/>
      <c r="O635" s="278"/>
      <c r="P635" s="278"/>
      <c r="Q635" s="278"/>
      <c r="R635" s="278"/>
      <c r="S635" s="278"/>
      <c r="T635" s="278"/>
      <c r="U635" s="278"/>
      <c r="V635" s="278"/>
      <c r="W635" s="278"/>
      <c r="X635" s="278"/>
    </row>
    <row r="636" ht="15.75" customHeight="1">
      <c r="B636" s="278"/>
      <c r="C636" s="278"/>
      <c r="D636" s="278"/>
      <c r="F636" s="278"/>
      <c r="G636" s="278"/>
      <c r="H636" s="278"/>
      <c r="I636" s="278"/>
      <c r="J636" s="278"/>
      <c r="K636" s="278"/>
      <c r="L636" s="278"/>
      <c r="M636" s="278"/>
      <c r="N636" s="278"/>
      <c r="O636" s="278"/>
      <c r="P636" s="278"/>
      <c r="Q636" s="278"/>
      <c r="R636" s="278"/>
      <c r="S636" s="278"/>
      <c r="T636" s="278"/>
      <c r="U636" s="278"/>
      <c r="V636" s="278"/>
      <c r="W636" s="278"/>
      <c r="X636" s="278"/>
    </row>
    <row r="637" ht="15.75" customHeight="1">
      <c r="B637" s="278"/>
      <c r="C637" s="278"/>
      <c r="D637" s="278"/>
      <c r="F637" s="278"/>
      <c r="G637" s="278"/>
      <c r="H637" s="278"/>
      <c r="I637" s="278"/>
      <c r="J637" s="278"/>
      <c r="K637" s="278"/>
      <c r="L637" s="278"/>
      <c r="M637" s="278"/>
      <c r="N637" s="278"/>
      <c r="O637" s="278"/>
      <c r="P637" s="278"/>
      <c r="Q637" s="278"/>
      <c r="R637" s="278"/>
      <c r="S637" s="278"/>
      <c r="T637" s="278"/>
      <c r="U637" s="278"/>
      <c r="V637" s="278"/>
      <c r="W637" s="278"/>
      <c r="X637" s="278"/>
    </row>
    <row r="638" ht="15.75" customHeight="1">
      <c r="B638" s="278"/>
      <c r="C638" s="278"/>
      <c r="D638" s="278"/>
      <c r="F638" s="278"/>
      <c r="G638" s="278"/>
      <c r="H638" s="278"/>
      <c r="I638" s="278"/>
      <c r="J638" s="278"/>
      <c r="K638" s="278"/>
      <c r="L638" s="278"/>
      <c r="M638" s="278"/>
      <c r="N638" s="278"/>
      <c r="O638" s="278"/>
      <c r="P638" s="278"/>
      <c r="Q638" s="278"/>
      <c r="R638" s="278"/>
      <c r="S638" s="278"/>
      <c r="T638" s="278"/>
      <c r="U638" s="278"/>
      <c r="V638" s="278"/>
      <c r="W638" s="278"/>
      <c r="X638" s="278"/>
    </row>
    <row r="639" ht="15.75" customHeight="1">
      <c r="B639" s="278"/>
      <c r="C639" s="278"/>
      <c r="D639" s="278"/>
      <c r="F639" s="278"/>
      <c r="G639" s="278"/>
      <c r="H639" s="278"/>
      <c r="I639" s="278"/>
      <c r="J639" s="278"/>
      <c r="K639" s="278"/>
      <c r="L639" s="278"/>
      <c r="M639" s="278"/>
      <c r="N639" s="278"/>
      <c r="O639" s="278"/>
      <c r="P639" s="278"/>
      <c r="Q639" s="278"/>
      <c r="R639" s="278"/>
      <c r="S639" s="278"/>
      <c r="T639" s="278"/>
      <c r="U639" s="278"/>
      <c r="V639" s="278"/>
      <c r="W639" s="278"/>
      <c r="X639" s="278"/>
    </row>
    <row r="640" ht="15.75" customHeight="1">
      <c r="B640" s="278"/>
      <c r="C640" s="278"/>
      <c r="D640" s="278"/>
      <c r="F640" s="278"/>
      <c r="G640" s="278"/>
      <c r="H640" s="278"/>
      <c r="I640" s="278"/>
      <c r="J640" s="278"/>
      <c r="K640" s="278"/>
      <c r="L640" s="278"/>
      <c r="M640" s="278"/>
      <c r="N640" s="278"/>
      <c r="O640" s="278"/>
      <c r="P640" s="278"/>
      <c r="Q640" s="278"/>
      <c r="R640" s="278"/>
      <c r="S640" s="278"/>
      <c r="T640" s="278"/>
      <c r="U640" s="278"/>
      <c r="V640" s="278"/>
      <c r="W640" s="278"/>
      <c r="X640" s="278"/>
    </row>
    <row r="641" ht="15.75" customHeight="1">
      <c r="B641" s="278"/>
      <c r="C641" s="278"/>
      <c r="D641" s="278"/>
      <c r="F641" s="278"/>
      <c r="G641" s="278"/>
      <c r="H641" s="278"/>
      <c r="I641" s="278"/>
      <c r="J641" s="278"/>
      <c r="K641" s="278"/>
      <c r="L641" s="278"/>
      <c r="M641" s="278"/>
      <c r="N641" s="278"/>
      <c r="O641" s="278"/>
      <c r="P641" s="278"/>
      <c r="Q641" s="278"/>
      <c r="R641" s="278"/>
      <c r="S641" s="278"/>
      <c r="T641" s="278"/>
      <c r="U641" s="278"/>
      <c r="V641" s="278"/>
      <c r="W641" s="278"/>
      <c r="X641" s="278"/>
    </row>
    <row r="642" ht="15.75" customHeight="1">
      <c r="B642" s="278"/>
      <c r="C642" s="278"/>
      <c r="D642" s="278"/>
      <c r="F642" s="278"/>
      <c r="G642" s="278"/>
      <c r="H642" s="278"/>
      <c r="I642" s="278"/>
      <c r="J642" s="278"/>
      <c r="K642" s="278"/>
      <c r="L642" s="278"/>
      <c r="M642" s="278"/>
      <c r="N642" s="278"/>
      <c r="O642" s="278"/>
      <c r="P642" s="278"/>
      <c r="Q642" s="278"/>
      <c r="R642" s="278"/>
      <c r="S642" s="278"/>
      <c r="T642" s="278"/>
      <c r="U642" s="278"/>
      <c r="V642" s="278"/>
      <c r="W642" s="278"/>
      <c r="X642" s="278"/>
    </row>
    <row r="643" ht="15.75" customHeight="1">
      <c r="B643" s="278"/>
      <c r="C643" s="278"/>
      <c r="D643" s="278"/>
      <c r="F643" s="278"/>
      <c r="G643" s="278"/>
      <c r="H643" s="278"/>
      <c r="I643" s="278"/>
      <c r="J643" s="278"/>
      <c r="K643" s="278"/>
      <c r="L643" s="278"/>
      <c r="M643" s="278"/>
      <c r="N643" s="278"/>
      <c r="O643" s="278"/>
      <c r="P643" s="278"/>
      <c r="Q643" s="278"/>
      <c r="R643" s="278"/>
      <c r="S643" s="278"/>
      <c r="T643" s="278"/>
      <c r="U643" s="278"/>
      <c r="V643" s="278"/>
      <c r="W643" s="278"/>
      <c r="X643" s="278"/>
    </row>
    <row r="644" ht="15.75" customHeight="1">
      <c r="B644" s="278"/>
      <c r="C644" s="278"/>
      <c r="D644" s="278"/>
      <c r="F644" s="278"/>
      <c r="G644" s="278"/>
      <c r="H644" s="278"/>
      <c r="I644" s="278"/>
      <c r="J644" s="278"/>
      <c r="K644" s="278"/>
      <c r="L644" s="278"/>
      <c r="M644" s="278"/>
      <c r="N644" s="278"/>
      <c r="O644" s="278"/>
      <c r="P644" s="278"/>
      <c r="Q644" s="278"/>
      <c r="R644" s="278"/>
      <c r="S644" s="278"/>
      <c r="T644" s="278"/>
      <c r="U644" s="278"/>
      <c r="V644" s="278"/>
      <c r="W644" s="278"/>
      <c r="X644" s="278"/>
    </row>
    <row r="645" ht="15.75" customHeight="1">
      <c r="B645" s="278"/>
      <c r="C645" s="278"/>
      <c r="D645" s="278"/>
      <c r="F645" s="278"/>
      <c r="G645" s="278"/>
      <c r="H645" s="278"/>
      <c r="I645" s="278"/>
      <c r="J645" s="278"/>
      <c r="K645" s="278"/>
      <c r="L645" s="278"/>
      <c r="M645" s="278"/>
      <c r="N645" s="278"/>
      <c r="O645" s="278"/>
      <c r="P645" s="278"/>
      <c r="Q645" s="278"/>
      <c r="R645" s="278"/>
      <c r="S645" s="278"/>
      <c r="T645" s="278"/>
      <c r="U645" s="278"/>
      <c r="V645" s="278"/>
      <c r="W645" s="278"/>
      <c r="X645" s="278"/>
    </row>
    <row r="646" ht="15.75" customHeight="1">
      <c r="B646" s="278"/>
      <c r="C646" s="278"/>
      <c r="D646" s="278"/>
      <c r="F646" s="278"/>
      <c r="G646" s="278"/>
      <c r="H646" s="278"/>
      <c r="I646" s="278"/>
      <c r="J646" s="278"/>
      <c r="K646" s="278"/>
      <c r="L646" s="278"/>
      <c r="M646" s="278"/>
      <c r="N646" s="278"/>
      <c r="O646" s="278"/>
      <c r="P646" s="278"/>
      <c r="Q646" s="278"/>
      <c r="R646" s="278"/>
      <c r="S646" s="278"/>
      <c r="T646" s="278"/>
      <c r="U646" s="278"/>
      <c r="V646" s="278"/>
      <c r="W646" s="278"/>
      <c r="X646" s="278"/>
    </row>
    <row r="647" ht="15.75" customHeight="1">
      <c r="B647" s="278"/>
      <c r="C647" s="278"/>
      <c r="D647" s="278"/>
      <c r="F647" s="278"/>
      <c r="G647" s="278"/>
      <c r="H647" s="278"/>
      <c r="I647" s="278"/>
      <c r="J647" s="278"/>
      <c r="K647" s="278"/>
      <c r="L647" s="278"/>
      <c r="M647" s="278"/>
      <c r="N647" s="278"/>
      <c r="O647" s="278"/>
      <c r="P647" s="278"/>
      <c r="Q647" s="278"/>
      <c r="R647" s="278"/>
      <c r="S647" s="278"/>
      <c r="T647" s="278"/>
      <c r="U647" s="278"/>
      <c r="V647" s="278"/>
      <c r="W647" s="278"/>
      <c r="X647" s="278"/>
    </row>
    <row r="648" ht="15.75" customHeight="1">
      <c r="B648" s="278"/>
      <c r="C648" s="278"/>
      <c r="D648" s="278"/>
      <c r="F648" s="278"/>
      <c r="G648" s="278"/>
      <c r="H648" s="278"/>
      <c r="I648" s="278"/>
      <c r="J648" s="278"/>
      <c r="K648" s="278"/>
      <c r="L648" s="278"/>
      <c r="M648" s="278"/>
      <c r="N648" s="278"/>
      <c r="O648" s="278"/>
      <c r="P648" s="278"/>
      <c r="Q648" s="278"/>
      <c r="R648" s="278"/>
      <c r="S648" s="278"/>
      <c r="T648" s="278"/>
      <c r="U648" s="278"/>
      <c r="V648" s="278"/>
      <c r="W648" s="278"/>
      <c r="X648" s="278"/>
    </row>
    <row r="649" ht="15.75" customHeight="1">
      <c r="B649" s="278"/>
      <c r="C649" s="278"/>
      <c r="D649" s="278"/>
      <c r="F649" s="278"/>
      <c r="G649" s="278"/>
      <c r="H649" s="278"/>
      <c r="I649" s="278"/>
      <c r="J649" s="278"/>
      <c r="K649" s="278"/>
      <c r="L649" s="278"/>
      <c r="M649" s="278"/>
      <c r="N649" s="278"/>
      <c r="O649" s="278"/>
      <c r="P649" s="278"/>
      <c r="Q649" s="278"/>
      <c r="R649" s="278"/>
      <c r="S649" s="278"/>
      <c r="T649" s="278"/>
      <c r="U649" s="278"/>
      <c r="V649" s="278"/>
      <c r="W649" s="278"/>
      <c r="X649" s="278"/>
    </row>
    <row r="650" ht="15.75" customHeight="1">
      <c r="B650" s="278"/>
      <c r="C650" s="278"/>
      <c r="D650" s="278"/>
      <c r="F650" s="278"/>
      <c r="G650" s="278"/>
      <c r="H650" s="278"/>
      <c r="I650" s="278"/>
      <c r="J650" s="278"/>
      <c r="K650" s="278"/>
      <c r="L650" s="278"/>
      <c r="M650" s="278"/>
      <c r="N650" s="278"/>
      <c r="O650" s="278"/>
      <c r="P650" s="278"/>
      <c r="Q650" s="278"/>
      <c r="R650" s="278"/>
      <c r="S650" s="278"/>
      <c r="T650" s="278"/>
      <c r="U650" s="278"/>
      <c r="V650" s="278"/>
      <c r="W650" s="278"/>
      <c r="X650" s="278"/>
    </row>
    <row r="651" ht="15.75" customHeight="1">
      <c r="B651" s="278"/>
      <c r="C651" s="278"/>
      <c r="D651" s="278"/>
      <c r="F651" s="278"/>
      <c r="G651" s="278"/>
      <c r="H651" s="278"/>
      <c r="I651" s="278"/>
      <c r="J651" s="278"/>
      <c r="K651" s="278"/>
      <c r="L651" s="278"/>
      <c r="M651" s="278"/>
      <c r="N651" s="278"/>
      <c r="O651" s="278"/>
      <c r="P651" s="278"/>
      <c r="Q651" s="278"/>
      <c r="R651" s="278"/>
      <c r="S651" s="278"/>
      <c r="T651" s="278"/>
      <c r="U651" s="278"/>
      <c r="V651" s="278"/>
      <c r="W651" s="278"/>
      <c r="X651" s="278"/>
    </row>
    <row r="652" ht="15.75" customHeight="1">
      <c r="B652" s="278"/>
      <c r="C652" s="278"/>
      <c r="D652" s="278"/>
      <c r="F652" s="278"/>
      <c r="G652" s="278"/>
      <c r="H652" s="278"/>
      <c r="I652" s="278"/>
      <c r="J652" s="278"/>
      <c r="K652" s="278"/>
      <c r="L652" s="278"/>
      <c r="M652" s="278"/>
      <c r="N652" s="278"/>
      <c r="O652" s="278"/>
      <c r="P652" s="278"/>
      <c r="Q652" s="278"/>
      <c r="R652" s="278"/>
      <c r="S652" s="278"/>
      <c r="T652" s="278"/>
      <c r="U652" s="278"/>
      <c r="V652" s="278"/>
      <c r="W652" s="278"/>
      <c r="X652" s="278"/>
    </row>
    <row r="653" ht="15.75" customHeight="1">
      <c r="B653" s="278"/>
      <c r="C653" s="278"/>
      <c r="D653" s="278"/>
      <c r="F653" s="278"/>
      <c r="G653" s="278"/>
      <c r="H653" s="278"/>
      <c r="I653" s="278"/>
      <c r="J653" s="278"/>
      <c r="K653" s="278"/>
      <c r="L653" s="278"/>
      <c r="M653" s="278"/>
      <c r="N653" s="278"/>
      <c r="O653" s="278"/>
      <c r="P653" s="278"/>
      <c r="Q653" s="278"/>
      <c r="R653" s="278"/>
      <c r="S653" s="278"/>
      <c r="T653" s="278"/>
      <c r="U653" s="278"/>
      <c r="V653" s="278"/>
      <c r="W653" s="278"/>
      <c r="X653" s="278"/>
    </row>
    <row r="654" ht="15.75" customHeight="1">
      <c r="B654" s="278"/>
      <c r="C654" s="278"/>
      <c r="D654" s="278"/>
      <c r="F654" s="278"/>
      <c r="G654" s="278"/>
      <c r="H654" s="278"/>
      <c r="I654" s="278"/>
      <c r="J654" s="278"/>
      <c r="K654" s="278"/>
      <c r="L654" s="278"/>
      <c r="M654" s="278"/>
      <c r="N654" s="278"/>
      <c r="O654" s="278"/>
      <c r="P654" s="278"/>
      <c r="Q654" s="278"/>
      <c r="R654" s="278"/>
      <c r="S654" s="278"/>
      <c r="T654" s="278"/>
      <c r="U654" s="278"/>
      <c r="V654" s="278"/>
      <c r="W654" s="278"/>
      <c r="X654" s="278"/>
    </row>
    <row r="655" ht="15.75" customHeight="1">
      <c r="B655" s="278"/>
      <c r="C655" s="278"/>
      <c r="D655" s="278"/>
      <c r="F655" s="278"/>
      <c r="G655" s="278"/>
      <c r="H655" s="278"/>
      <c r="I655" s="278"/>
      <c r="J655" s="278"/>
      <c r="K655" s="278"/>
      <c r="L655" s="278"/>
      <c r="M655" s="278"/>
      <c r="N655" s="278"/>
      <c r="O655" s="278"/>
      <c r="P655" s="278"/>
      <c r="Q655" s="278"/>
      <c r="R655" s="278"/>
      <c r="S655" s="278"/>
      <c r="T655" s="278"/>
      <c r="U655" s="278"/>
      <c r="V655" s="278"/>
      <c r="W655" s="278"/>
      <c r="X655" s="278"/>
    </row>
    <row r="656" ht="15.75" customHeight="1">
      <c r="B656" s="278"/>
      <c r="C656" s="278"/>
      <c r="D656" s="278"/>
      <c r="F656" s="278"/>
      <c r="G656" s="278"/>
      <c r="H656" s="278"/>
      <c r="I656" s="278"/>
      <c r="J656" s="278"/>
      <c r="K656" s="278"/>
      <c r="L656" s="278"/>
      <c r="M656" s="278"/>
      <c r="N656" s="278"/>
      <c r="O656" s="278"/>
      <c r="P656" s="278"/>
      <c r="Q656" s="278"/>
      <c r="R656" s="278"/>
      <c r="S656" s="278"/>
      <c r="T656" s="278"/>
      <c r="U656" s="278"/>
      <c r="V656" s="278"/>
      <c r="W656" s="278"/>
      <c r="X656" s="278"/>
    </row>
    <row r="657" ht="15.75" customHeight="1">
      <c r="B657" s="278"/>
      <c r="C657" s="278"/>
      <c r="D657" s="278"/>
      <c r="F657" s="278"/>
      <c r="G657" s="278"/>
      <c r="H657" s="278"/>
      <c r="I657" s="278"/>
      <c r="J657" s="278"/>
      <c r="K657" s="278"/>
      <c r="L657" s="278"/>
      <c r="M657" s="278"/>
      <c r="N657" s="278"/>
      <c r="O657" s="278"/>
      <c r="P657" s="278"/>
      <c r="Q657" s="278"/>
      <c r="R657" s="278"/>
      <c r="S657" s="278"/>
      <c r="T657" s="278"/>
      <c r="U657" s="278"/>
      <c r="V657" s="278"/>
      <c r="W657" s="278"/>
      <c r="X657" s="278"/>
    </row>
    <row r="658" ht="15.75" customHeight="1">
      <c r="B658" s="278"/>
      <c r="C658" s="278"/>
      <c r="D658" s="278"/>
      <c r="F658" s="278"/>
      <c r="G658" s="278"/>
      <c r="H658" s="278"/>
      <c r="I658" s="278"/>
      <c r="J658" s="278"/>
      <c r="K658" s="278"/>
      <c r="L658" s="278"/>
      <c r="M658" s="278"/>
      <c r="N658" s="278"/>
      <c r="O658" s="278"/>
      <c r="P658" s="278"/>
      <c r="Q658" s="278"/>
      <c r="R658" s="278"/>
      <c r="S658" s="278"/>
      <c r="T658" s="278"/>
      <c r="U658" s="278"/>
      <c r="V658" s="278"/>
      <c r="W658" s="278"/>
      <c r="X658" s="278"/>
    </row>
    <row r="659" ht="15.75" customHeight="1">
      <c r="B659" s="278"/>
      <c r="C659" s="278"/>
      <c r="D659" s="278"/>
      <c r="F659" s="278"/>
      <c r="G659" s="278"/>
      <c r="H659" s="278"/>
      <c r="I659" s="278"/>
      <c r="J659" s="278"/>
      <c r="K659" s="278"/>
      <c r="L659" s="278"/>
      <c r="M659" s="278"/>
      <c r="N659" s="278"/>
      <c r="O659" s="278"/>
      <c r="P659" s="278"/>
      <c r="Q659" s="278"/>
      <c r="R659" s="278"/>
      <c r="S659" s="278"/>
      <c r="T659" s="278"/>
      <c r="U659" s="278"/>
      <c r="V659" s="278"/>
      <c r="W659" s="278"/>
      <c r="X659" s="278"/>
    </row>
    <row r="660" ht="15.75" customHeight="1">
      <c r="B660" s="278"/>
      <c r="C660" s="278"/>
      <c r="D660" s="278"/>
      <c r="F660" s="278"/>
      <c r="G660" s="278"/>
      <c r="H660" s="278"/>
      <c r="I660" s="278"/>
      <c r="J660" s="278"/>
      <c r="K660" s="278"/>
      <c r="L660" s="278"/>
      <c r="M660" s="278"/>
      <c r="N660" s="278"/>
      <c r="O660" s="278"/>
      <c r="P660" s="278"/>
      <c r="Q660" s="278"/>
      <c r="R660" s="278"/>
      <c r="S660" s="278"/>
      <c r="T660" s="278"/>
      <c r="U660" s="278"/>
      <c r="V660" s="278"/>
      <c r="W660" s="278"/>
      <c r="X660" s="278"/>
    </row>
    <row r="661" ht="15.75" customHeight="1">
      <c r="B661" s="278"/>
      <c r="C661" s="278"/>
      <c r="D661" s="278"/>
      <c r="F661" s="278"/>
      <c r="G661" s="278"/>
      <c r="H661" s="278"/>
      <c r="I661" s="278"/>
      <c r="J661" s="278"/>
      <c r="K661" s="278"/>
      <c r="L661" s="278"/>
      <c r="M661" s="278"/>
      <c r="N661" s="278"/>
      <c r="O661" s="278"/>
      <c r="P661" s="278"/>
      <c r="Q661" s="278"/>
      <c r="R661" s="278"/>
      <c r="S661" s="278"/>
      <c r="T661" s="278"/>
      <c r="U661" s="278"/>
      <c r="V661" s="278"/>
      <c r="W661" s="278"/>
      <c r="X661" s="278"/>
    </row>
    <row r="662" ht="15.75" customHeight="1">
      <c r="B662" s="278"/>
      <c r="C662" s="278"/>
      <c r="D662" s="278"/>
      <c r="F662" s="278"/>
      <c r="G662" s="278"/>
      <c r="H662" s="278"/>
      <c r="I662" s="278"/>
      <c r="J662" s="278"/>
      <c r="K662" s="278"/>
      <c r="L662" s="278"/>
      <c r="M662" s="278"/>
      <c r="N662" s="278"/>
      <c r="O662" s="278"/>
      <c r="P662" s="278"/>
      <c r="Q662" s="278"/>
      <c r="R662" s="278"/>
      <c r="S662" s="278"/>
      <c r="T662" s="278"/>
      <c r="U662" s="278"/>
      <c r="V662" s="278"/>
      <c r="W662" s="278"/>
      <c r="X662" s="278"/>
    </row>
    <row r="663" ht="15.75" customHeight="1">
      <c r="B663" s="278"/>
      <c r="C663" s="278"/>
      <c r="D663" s="278"/>
      <c r="F663" s="278"/>
      <c r="G663" s="278"/>
      <c r="H663" s="278"/>
      <c r="I663" s="278"/>
      <c r="J663" s="278"/>
      <c r="K663" s="278"/>
      <c r="L663" s="278"/>
      <c r="M663" s="278"/>
      <c r="N663" s="278"/>
      <c r="O663" s="278"/>
      <c r="P663" s="278"/>
      <c r="Q663" s="278"/>
      <c r="R663" s="278"/>
      <c r="S663" s="278"/>
      <c r="T663" s="278"/>
      <c r="U663" s="278"/>
      <c r="V663" s="278"/>
      <c r="W663" s="278"/>
      <c r="X663" s="278"/>
    </row>
    <row r="664" ht="15.75" customHeight="1">
      <c r="B664" s="278"/>
      <c r="C664" s="278"/>
      <c r="D664" s="278"/>
      <c r="F664" s="278"/>
      <c r="G664" s="278"/>
      <c r="H664" s="278"/>
      <c r="I664" s="278"/>
      <c r="J664" s="278"/>
      <c r="K664" s="278"/>
      <c r="L664" s="278"/>
      <c r="M664" s="278"/>
      <c r="N664" s="278"/>
      <c r="O664" s="278"/>
      <c r="P664" s="278"/>
      <c r="Q664" s="278"/>
      <c r="R664" s="278"/>
      <c r="S664" s="278"/>
      <c r="T664" s="278"/>
      <c r="U664" s="278"/>
      <c r="V664" s="278"/>
      <c r="W664" s="278"/>
      <c r="X664" s="278"/>
    </row>
    <row r="665" ht="15.75" customHeight="1">
      <c r="B665" s="278"/>
      <c r="C665" s="278"/>
      <c r="D665" s="278"/>
      <c r="F665" s="278"/>
      <c r="G665" s="278"/>
      <c r="H665" s="278"/>
      <c r="I665" s="278"/>
      <c r="J665" s="278"/>
      <c r="K665" s="278"/>
      <c r="L665" s="278"/>
      <c r="M665" s="278"/>
      <c r="N665" s="278"/>
      <c r="O665" s="278"/>
      <c r="P665" s="278"/>
      <c r="Q665" s="278"/>
      <c r="R665" s="278"/>
      <c r="S665" s="278"/>
      <c r="T665" s="278"/>
      <c r="U665" s="278"/>
      <c r="V665" s="278"/>
      <c r="W665" s="278"/>
      <c r="X665" s="278"/>
    </row>
    <row r="666" ht="15.75" customHeight="1">
      <c r="B666" s="278"/>
      <c r="C666" s="278"/>
      <c r="D666" s="278"/>
      <c r="F666" s="278"/>
      <c r="G666" s="278"/>
      <c r="H666" s="278"/>
      <c r="I666" s="278"/>
      <c r="J666" s="278"/>
      <c r="K666" s="278"/>
      <c r="L666" s="278"/>
      <c r="M666" s="278"/>
      <c r="N666" s="278"/>
      <c r="O666" s="278"/>
      <c r="P666" s="278"/>
      <c r="Q666" s="278"/>
      <c r="R666" s="278"/>
      <c r="S666" s="278"/>
      <c r="T666" s="278"/>
      <c r="U666" s="278"/>
      <c r="V666" s="278"/>
      <c r="W666" s="278"/>
      <c r="X666" s="278"/>
    </row>
    <row r="667" ht="15.75" customHeight="1">
      <c r="B667" s="278"/>
      <c r="C667" s="278"/>
      <c r="D667" s="278"/>
      <c r="F667" s="278"/>
      <c r="G667" s="278"/>
      <c r="H667" s="278"/>
      <c r="I667" s="278"/>
      <c r="J667" s="278"/>
      <c r="K667" s="278"/>
      <c r="L667" s="278"/>
      <c r="M667" s="278"/>
      <c r="N667" s="278"/>
      <c r="O667" s="278"/>
      <c r="P667" s="278"/>
      <c r="Q667" s="278"/>
      <c r="R667" s="278"/>
      <c r="S667" s="278"/>
      <c r="T667" s="278"/>
      <c r="U667" s="278"/>
      <c r="V667" s="278"/>
      <c r="W667" s="278"/>
      <c r="X667" s="278"/>
    </row>
    <row r="668" ht="15.75" customHeight="1">
      <c r="B668" s="278"/>
      <c r="C668" s="278"/>
      <c r="D668" s="278"/>
      <c r="F668" s="278"/>
      <c r="G668" s="278"/>
      <c r="H668" s="278"/>
      <c r="I668" s="278"/>
      <c r="J668" s="278"/>
      <c r="K668" s="278"/>
      <c r="L668" s="278"/>
      <c r="M668" s="278"/>
      <c r="N668" s="278"/>
      <c r="O668" s="278"/>
      <c r="P668" s="278"/>
      <c r="Q668" s="278"/>
      <c r="R668" s="278"/>
      <c r="S668" s="278"/>
      <c r="T668" s="278"/>
      <c r="U668" s="278"/>
      <c r="V668" s="278"/>
      <c r="W668" s="278"/>
      <c r="X668" s="278"/>
    </row>
    <row r="669" ht="15.75" customHeight="1">
      <c r="B669" s="278"/>
      <c r="C669" s="278"/>
      <c r="D669" s="278"/>
      <c r="F669" s="278"/>
      <c r="G669" s="278"/>
      <c r="H669" s="278"/>
      <c r="I669" s="278"/>
      <c r="J669" s="278"/>
      <c r="K669" s="278"/>
      <c r="L669" s="278"/>
      <c r="M669" s="278"/>
      <c r="N669" s="278"/>
      <c r="O669" s="278"/>
      <c r="P669" s="278"/>
      <c r="Q669" s="278"/>
      <c r="R669" s="278"/>
      <c r="S669" s="278"/>
      <c r="T669" s="278"/>
      <c r="U669" s="278"/>
      <c r="V669" s="278"/>
      <c r="W669" s="278"/>
      <c r="X669" s="278"/>
    </row>
    <row r="670" ht="15.75" customHeight="1">
      <c r="B670" s="278"/>
      <c r="C670" s="278"/>
      <c r="D670" s="278"/>
      <c r="F670" s="278"/>
      <c r="G670" s="278"/>
      <c r="H670" s="278"/>
      <c r="I670" s="278"/>
      <c r="J670" s="278"/>
      <c r="K670" s="278"/>
      <c r="L670" s="278"/>
      <c r="M670" s="278"/>
      <c r="N670" s="278"/>
      <c r="O670" s="278"/>
      <c r="P670" s="278"/>
      <c r="Q670" s="278"/>
      <c r="R670" s="278"/>
      <c r="S670" s="278"/>
      <c r="T670" s="278"/>
      <c r="U670" s="278"/>
      <c r="V670" s="278"/>
      <c r="W670" s="278"/>
      <c r="X670" s="278"/>
    </row>
    <row r="671" ht="15.75" customHeight="1">
      <c r="B671" s="278"/>
      <c r="C671" s="278"/>
      <c r="D671" s="278"/>
      <c r="F671" s="278"/>
      <c r="G671" s="278"/>
      <c r="H671" s="278"/>
      <c r="I671" s="278"/>
      <c r="J671" s="278"/>
      <c r="K671" s="278"/>
      <c r="L671" s="278"/>
      <c r="M671" s="278"/>
      <c r="N671" s="278"/>
      <c r="O671" s="278"/>
      <c r="P671" s="278"/>
      <c r="Q671" s="278"/>
      <c r="R671" s="278"/>
      <c r="S671" s="278"/>
      <c r="T671" s="278"/>
      <c r="U671" s="278"/>
      <c r="V671" s="278"/>
      <c r="W671" s="278"/>
      <c r="X671" s="278"/>
    </row>
    <row r="672" ht="15.75" customHeight="1">
      <c r="B672" s="278"/>
      <c r="C672" s="278"/>
      <c r="D672" s="278"/>
      <c r="F672" s="278"/>
      <c r="G672" s="278"/>
      <c r="H672" s="278"/>
      <c r="I672" s="278"/>
      <c r="J672" s="278"/>
      <c r="K672" s="278"/>
      <c r="L672" s="278"/>
      <c r="M672" s="278"/>
      <c r="N672" s="278"/>
      <c r="O672" s="278"/>
      <c r="P672" s="278"/>
      <c r="Q672" s="278"/>
      <c r="R672" s="278"/>
      <c r="S672" s="278"/>
      <c r="T672" s="278"/>
      <c r="U672" s="278"/>
      <c r="V672" s="278"/>
      <c r="W672" s="278"/>
      <c r="X672" s="278"/>
    </row>
    <row r="673" ht="15.75" customHeight="1">
      <c r="B673" s="278"/>
      <c r="C673" s="278"/>
      <c r="D673" s="278"/>
      <c r="F673" s="278"/>
      <c r="G673" s="278"/>
      <c r="H673" s="278"/>
      <c r="I673" s="278"/>
      <c r="J673" s="278"/>
      <c r="K673" s="278"/>
      <c r="L673" s="278"/>
      <c r="M673" s="278"/>
      <c r="N673" s="278"/>
      <c r="O673" s="278"/>
      <c r="P673" s="278"/>
      <c r="Q673" s="278"/>
      <c r="R673" s="278"/>
      <c r="S673" s="278"/>
      <c r="T673" s="278"/>
      <c r="U673" s="278"/>
      <c r="V673" s="278"/>
      <c r="W673" s="278"/>
      <c r="X673" s="278"/>
    </row>
    <row r="674" ht="15.75" customHeight="1">
      <c r="B674" s="278"/>
      <c r="C674" s="278"/>
      <c r="D674" s="278"/>
      <c r="F674" s="278"/>
      <c r="G674" s="278"/>
      <c r="H674" s="278"/>
      <c r="I674" s="278"/>
      <c r="J674" s="278"/>
      <c r="K674" s="278"/>
      <c r="L674" s="278"/>
      <c r="M674" s="278"/>
      <c r="N674" s="278"/>
      <c r="O674" s="278"/>
      <c r="P674" s="278"/>
      <c r="Q674" s="278"/>
      <c r="R674" s="278"/>
      <c r="S674" s="278"/>
      <c r="T674" s="278"/>
      <c r="U674" s="278"/>
      <c r="V674" s="278"/>
      <c r="W674" s="278"/>
      <c r="X674" s="278"/>
    </row>
    <row r="675" ht="15.75" customHeight="1">
      <c r="B675" s="278"/>
      <c r="C675" s="278"/>
      <c r="D675" s="278"/>
      <c r="F675" s="278"/>
      <c r="G675" s="278"/>
      <c r="H675" s="278"/>
      <c r="I675" s="278"/>
      <c r="J675" s="278"/>
      <c r="K675" s="278"/>
      <c r="L675" s="278"/>
      <c r="M675" s="278"/>
      <c r="N675" s="278"/>
      <c r="O675" s="278"/>
      <c r="P675" s="278"/>
      <c r="Q675" s="278"/>
      <c r="R675" s="278"/>
      <c r="S675" s="278"/>
      <c r="T675" s="278"/>
      <c r="U675" s="278"/>
      <c r="V675" s="278"/>
      <c r="W675" s="278"/>
      <c r="X675" s="278"/>
    </row>
    <row r="676" ht="15.75" customHeight="1">
      <c r="B676" s="278"/>
      <c r="C676" s="278"/>
      <c r="D676" s="278"/>
      <c r="F676" s="278"/>
      <c r="G676" s="278"/>
      <c r="H676" s="278"/>
      <c r="I676" s="278"/>
      <c r="J676" s="278"/>
      <c r="K676" s="278"/>
      <c r="L676" s="278"/>
      <c r="M676" s="278"/>
      <c r="N676" s="278"/>
      <c r="O676" s="278"/>
      <c r="P676" s="278"/>
      <c r="Q676" s="278"/>
      <c r="R676" s="278"/>
      <c r="S676" s="278"/>
      <c r="T676" s="278"/>
      <c r="U676" s="278"/>
      <c r="V676" s="278"/>
      <c r="W676" s="278"/>
      <c r="X676" s="278"/>
    </row>
    <row r="677" ht="15.75" customHeight="1">
      <c r="B677" s="278"/>
      <c r="C677" s="278"/>
      <c r="D677" s="278"/>
      <c r="F677" s="278"/>
      <c r="G677" s="278"/>
      <c r="H677" s="278"/>
      <c r="I677" s="278"/>
      <c r="J677" s="278"/>
      <c r="K677" s="278"/>
      <c r="L677" s="278"/>
      <c r="M677" s="278"/>
      <c r="N677" s="278"/>
      <c r="O677" s="278"/>
      <c r="P677" s="278"/>
      <c r="Q677" s="278"/>
      <c r="R677" s="278"/>
      <c r="S677" s="278"/>
      <c r="T677" s="278"/>
      <c r="U677" s="278"/>
      <c r="V677" s="278"/>
      <c r="W677" s="278"/>
      <c r="X677" s="278"/>
    </row>
    <row r="678" ht="15.75" customHeight="1">
      <c r="B678" s="278"/>
      <c r="C678" s="278"/>
      <c r="D678" s="278"/>
      <c r="F678" s="278"/>
      <c r="G678" s="278"/>
      <c r="H678" s="278"/>
      <c r="I678" s="278"/>
      <c r="J678" s="278"/>
      <c r="K678" s="278"/>
      <c r="L678" s="278"/>
      <c r="M678" s="278"/>
      <c r="N678" s="278"/>
      <c r="O678" s="278"/>
      <c r="P678" s="278"/>
      <c r="Q678" s="278"/>
      <c r="R678" s="278"/>
      <c r="S678" s="278"/>
      <c r="T678" s="278"/>
      <c r="U678" s="278"/>
      <c r="V678" s="278"/>
      <c r="W678" s="278"/>
      <c r="X678" s="278"/>
    </row>
    <row r="679" ht="15.75" customHeight="1">
      <c r="B679" s="278"/>
      <c r="C679" s="278"/>
      <c r="D679" s="278"/>
      <c r="F679" s="278"/>
      <c r="G679" s="278"/>
      <c r="H679" s="278"/>
      <c r="I679" s="278"/>
      <c r="J679" s="278"/>
      <c r="K679" s="278"/>
      <c r="L679" s="278"/>
      <c r="M679" s="278"/>
      <c r="N679" s="278"/>
      <c r="O679" s="278"/>
      <c r="P679" s="278"/>
      <c r="Q679" s="278"/>
      <c r="R679" s="278"/>
      <c r="S679" s="278"/>
      <c r="T679" s="278"/>
      <c r="U679" s="278"/>
      <c r="V679" s="278"/>
      <c r="W679" s="278"/>
      <c r="X679" s="278"/>
    </row>
    <row r="680" ht="15.75" customHeight="1">
      <c r="B680" s="278"/>
      <c r="C680" s="278"/>
      <c r="D680" s="278"/>
      <c r="F680" s="278"/>
      <c r="G680" s="278"/>
      <c r="H680" s="278"/>
      <c r="I680" s="278"/>
      <c r="J680" s="278"/>
      <c r="K680" s="278"/>
      <c r="L680" s="278"/>
      <c r="M680" s="278"/>
      <c r="N680" s="278"/>
      <c r="O680" s="278"/>
      <c r="P680" s="278"/>
      <c r="Q680" s="278"/>
      <c r="R680" s="278"/>
      <c r="S680" s="278"/>
      <c r="T680" s="278"/>
      <c r="U680" s="278"/>
      <c r="V680" s="278"/>
      <c r="W680" s="278"/>
      <c r="X680" s="278"/>
    </row>
    <row r="681" ht="15.75" customHeight="1">
      <c r="B681" s="278"/>
      <c r="C681" s="278"/>
      <c r="D681" s="278"/>
      <c r="F681" s="278"/>
      <c r="G681" s="278"/>
      <c r="H681" s="278"/>
      <c r="I681" s="278"/>
      <c r="J681" s="278"/>
      <c r="K681" s="278"/>
      <c r="L681" s="278"/>
      <c r="M681" s="278"/>
      <c r="N681" s="278"/>
      <c r="O681" s="278"/>
      <c r="P681" s="278"/>
      <c r="Q681" s="278"/>
      <c r="R681" s="278"/>
      <c r="S681" s="278"/>
      <c r="T681" s="278"/>
      <c r="U681" s="278"/>
      <c r="V681" s="278"/>
      <c r="W681" s="278"/>
      <c r="X681" s="278"/>
    </row>
    <row r="682" ht="15.75" customHeight="1">
      <c r="B682" s="278"/>
      <c r="C682" s="278"/>
      <c r="D682" s="278"/>
      <c r="F682" s="278"/>
      <c r="G682" s="278"/>
      <c r="H682" s="278"/>
      <c r="I682" s="278"/>
      <c r="J682" s="278"/>
      <c r="K682" s="278"/>
      <c r="L682" s="278"/>
      <c r="M682" s="278"/>
      <c r="N682" s="278"/>
      <c r="O682" s="278"/>
      <c r="P682" s="278"/>
      <c r="Q682" s="278"/>
      <c r="R682" s="278"/>
      <c r="S682" s="278"/>
      <c r="T682" s="278"/>
      <c r="U682" s="278"/>
      <c r="V682" s="278"/>
      <c r="W682" s="278"/>
      <c r="X682" s="278"/>
    </row>
    <row r="683" ht="15.75" customHeight="1">
      <c r="B683" s="278"/>
      <c r="C683" s="278"/>
      <c r="D683" s="278"/>
      <c r="F683" s="278"/>
      <c r="G683" s="278"/>
      <c r="H683" s="278"/>
      <c r="I683" s="278"/>
      <c r="J683" s="278"/>
      <c r="K683" s="278"/>
      <c r="L683" s="278"/>
      <c r="M683" s="278"/>
      <c r="N683" s="278"/>
      <c r="O683" s="278"/>
      <c r="P683" s="278"/>
      <c r="Q683" s="278"/>
      <c r="R683" s="278"/>
      <c r="S683" s="278"/>
      <c r="T683" s="278"/>
      <c r="U683" s="278"/>
      <c r="V683" s="278"/>
      <c r="W683" s="278"/>
      <c r="X683" s="278"/>
    </row>
    <row r="684" ht="15.75" customHeight="1">
      <c r="B684" s="278"/>
      <c r="C684" s="278"/>
      <c r="D684" s="278"/>
      <c r="F684" s="278"/>
      <c r="G684" s="278"/>
      <c r="H684" s="278"/>
      <c r="I684" s="278"/>
      <c r="J684" s="278"/>
      <c r="K684" s="278"/>
      <c r="L684" s="278"/>
      <c r="M684" s="278"/>
      <c r="N684" s="278"/>
      <c r="O684" s="278"/>
      <c r="P684" s="278"/>
      <c r="Q684" s="278"/>
      <c r="R684" s="278"/>
      <c r="S684" s="278"/>
      <c r="T684" s="278"/>
      <c r="U684" s="278"/>
      <c r="V684" s="278"/>
      <c r="W684" s="278"/>
      <c r="X684" s="278"/>
    </row>
    <row r="685" ht="15.75" customHeight="1">
      <c r="B685" s="278"/>
      <c r="C685" s="278"/>
      <c r="D685" s="278"/>
      <c r="F685" s="278"/>
      <c r="G685" s="278"/>
      <c r="H685" s="278"/>
      <c r="I685" s="278"/>
      <c r="J685" s="278"/>
      <c r="K685" s="278"/>
      <c r="L685" s="278"/>
      <c r="M685" s="278"/>
      <c r="N685" s="278"/>
      <c r="O685" s="278"/>
      <c r="P685" s="278"/>
      <c r="Q685" s="278"/>
      <c r="R685" s="278"/>
      <c r="S685" s="278"/>
      <c r="T685" s="278"/>
      <c r="U685" s="278"/>
      <c r="V685" s="278"/>
      <c r="W685" s="278"/>
      <c r="X685" s="278"/>
    </row>
    <row r="686" ht="15.75" customHeight="1">
      <c r="B686" s="278"/>
      <c r="C686" s="278"/>
      <c r="D686" s="278"/>
      <c r="F686" s="278"/>
      <c r="G686" s="278"/>
      <c r="H686" s="278"/>
      <c r="I686" s="278"/>
      <c r="J686" s="278"/>
      <c r="K686" s="278"/>
      <c r="L686" s="278"/>
      <c r="M686" s="278"/>
      <c r="N686" s="278"/>
      <c r="O686" s="278"/>
      <c r="P686" s="278"/>
      <c r="Q686" s="278"/>
      <c r="R686" s="278"/>
      <c r="S686" s="278"/>
      <c r="T686" s="278"/>
      <c r="U686" s="278"/>
      <c r="V686" s="278"/>
      <c r="W686" s="278"/>
      <c r="X686" s="278"/>
    </row>
    <row r="687" ht="15.75" customHeight="1">
      <c r="B687" s="278"/>
      <c r="C687" s="278"/>
      <c r="D687" s="278"/>
      <c r="F687" s="278"/>
      <c r="G687" s="278"/>
      <c r="H687" s="278"/>
      <c r="I687" s="278"/>
      <c r="J687" s="278"/>
      <c r="K687" s="278"/>
      <c r="L687" s="278"/>
      <c r="M687" s="278"/>
      <c r="N687" s="278"/>
      <c r="O687" s="278"/>
      <c r="P687" s="278"/>
      <c r="Q687" s="278"/>
      <c r="R687" s="278"/>
      <c r="S687" s="278"/>
      <c r="T687" s="278"/>
      <c r="U687" s="278"/>
      <c r="V687" s="278"/>
      <c r="W687" s="278"/>
      <c r="X687" s="278"/>
    </row>
    <row r="688" ht="15.75" customHeight="1">
      <c r="B688" s="278"/>
      <c r="C688" s="278"/>
      <c r="D688" s="278"/>
      <c r="F688" s="278"/>
      <c r="G688" s="278"/>
      <c r="H688" s="278"/>
      <c r="I688" s="278"/>
      <c r="J688" s="278"/>
      <c r="K688" s="278"/>
      <c r="L688" s="278"/>
      <c r="M688" s="278"/>
      <c r="N688" s="278"/>
      <c r="O688" s="278"/>
      <c r="P688" s="278"/>
      <c r="Q688" s="278"/>
      <c r="R688" s="278"/>
      <c r="S688" s="278"/>
      <c r="T688" s="278"/>
      <c r="U688" s="278"/>
      <c r="V688" s="278"/>
      <c r="W688" s="278"/>
      <c r="X688" s="278"/>
    </row>
    <row r="689" ht="15.75" customHeight="1">
      <c r="B689" s="278"/>
      <c r="C689" s="278"/>
      <c r="D689" s="278"/>
      <c r="F689" s="278"/>
      <c r="G689" s="278"/>
      <c r="H689" s="278"/>
      <c r="I689" s="278"/>
      <c r="J689" s="278"/>
      <c r="K689" s="278"/>
      <c r="L689" s="278"/>
      <c r="M689" s="278"/>
      <c r="N689" s="278"/>
      <c r="O689" s="278"/>
      <c r="P689" s="278"/>
      <c r="Q689" s="278"/>
      <c r="R689" s="278"/>
      <c r="S689" s="278"/>
      <c r="T689" s="278"/>
      <c r="U689" s="278"/>
      <c r="V689" s="278"/>
      <c r="W689" s="278"/>
      <c r="X689" s="278"/>
    </row>
    <row r="690" ht="15.75" customHeight="1">
      <c r="B690" s="278"/>
      <c r="C690" s="278"/>
      <c r="D690" s="278"/>
      <c r="F690" s="278"/>
      <c r="G690" s="278"/>
      <c r="H690" s="278"/>
      <c r="I690" s="278"/>
      <c r="J690" s="278"/>
      <c r="K690" s="278"/>
      <c r="L690" s="278"/>
      <c r="M690" s="278"/>
      <c r="N690" s="278"/>
      <c r="O690" s="278"/>
      <c r="P690" s="278"/>
      <c r="Q690" s="278"/>
      <c r="R690" s="278"/>
      <c r="S690" s="278"/>
      <c r="T690" s="278"/>
      <c r="U690" s="278"/>
      <c r="V690" s="278"/>
      <c r="W690" s="278"/>
      <c r="X690" s="278"/>
    </row>
    <row r="691" ht="15.75" customHeight="1">
      <c r="B691" s="278"/>
      <c r="C691" s="278"/>
      <c r="D691" s="278"/>
      <c r="F691" s="278"/>
      <c r="G691" s="278"/>
      <c r="H691" s="278"/>
      <c r="I691" s="278"/>
      <c r="J691" s="278"/>
      <c r="K691" s="278"/>
      <c r="L691" s="278"/>
      <c r="M691" s="278"/>
      <c r="N691" s="278"/>
      <c r="O691" s="278"/>
      <c r="P691" s="278"/>
      <c r="Q691" s="278"/>
      <c r="R691" s="278"/>
      <c r="S691" s="278"/>
      <c r="T691" s="278"/>
      <c r="U691" s="278"/>
      <c r="V691" s="278"/>
      <c r="W691" s="278"/>
      <c r="X691" s="278"/>
    </row>
    <row r="692" ht="15.75" customHeight="1">
      <c r="B692" s="278"/>
      <c r="C692" s="278"/>
      <c r="D692" s="278"/>
      <c r="F692" s="278"/>
      <c r="G692" s="278"/>
      <c r="H692" s="278"/>
      <c r="I692" s="278"/>
      <c r="J692" s="278"/>
      <c r="K692" s="278"/>
      <c r="L692" s="278"/>
      <c r="M692" s="278"/>
      <c r="N692" s="278"/>
      <c r="O692" s="278"/>
      <c r="P692" s="278"/>
      <c r="Q692" s="278"/>
      <c r="R692" s="278"/>
      <c r="S692" s="278"/>
      <c r="T692" s="278"/>
      <c r="U692" s="278"/>
      <c r="V692" s="278"/>
      <c r="W692" s="278"/>
      <c r="X692" s="278"/>
    </row>
    <row r="693" ht="15.75" customHeight="1">
      <c r="B693" s="278"/>
      <c r="C693" s="278"/>
      <c r="D693" s="278"/>
      <c r="F693" s="278"/>
      <c r="G693" s="278"/>
      <c r="H693" s="278"/>
      <c r="I693" s="278"/>
      <c r="J693" s="278"/>
      <c r="K693" s="278"/>
      <c r="L693" s="278"/>
      <c r="M693" s="278"/>
      <c r="N693" s="278"/>
      <c r="O693" s="278"/>
      <c r="P693" s="278"/>
      <c r="Q693" s="278"/>
      <c r="R693" s="278"/>
      <c r="S693" s="278"/>
      <c r="T693" s="278"/>
      <c r="U693" s="278"/>
      <c r="V693" s="278"/>
      <c r="W693" s="278"/>
      <c r="X693" s="278"/>
    </row>
    <row r="694" ht="15.75" customHeight="1">
      <c r="B694" s="278"/>
      <c r="C694" s="278"/>
      <c r="D694" s="278"/>
      <c r="F694" s="278"/>
      <c r="G694" s="278"/>
      <c r="H694" s="278"/>
      <c r="I694" s="278"/>
      <c r="J694" s="278"/>
      <c r="K694" s="278"/>
      <c r="L694" s="278"/>
      <c r="M694" s="278"/>
      <c r="N694" s="278"/>
      <c r="O694" s="278"/>
      <c r="P694" s="278"/>
      <c r="Q694" s="278"/>
      <c r="R694" s="278"/>
      <c r="S694" s="278"/>
      <c r="T694" s="278"/>
      <c r="U694" s="278"/>
      <c r="V694" s="278"/>
      <c r="W694" s="278"/>
      <c r="X694" s="278"/>
    </row>
    <row r="695" ht="15.75" customHeight="1">
      <c r="B695" s="278"/>
      <c r="C695" s="278"/>
      <c r="D695" s="278"/>
      <c r="F695" s="278"/>
      <c r="G695" s="278"/>
      <c r="H695" s="278"/>
      <c r="I695" s="278"/>
      <c r="J695" s="278"/>
      <c r="K695" s="278"/>
      <c r="L695" s="278"/>
      <c r="M695" s="278"/>
      <c r="N695" s="278"/>
      <c r="O695" s="278"/>
      <c r="P695" s="278"/>
      <c r="Q695" s="278"/>
      <c r="R695" s="278"/>
      <c r="S695" s="278"/>
      <c r="T695" s="278"/>
      <c r="U695" s="278"/>
      <c r="V695" s="278"/>
      <c r="W695" s="278"/>
      <c r="X695" s="278"/>
    </row>
    <row r="696" ht="15.75" customHeight="1">
      <c r="B696" s="278"/>
      <c r="C696" s="278"/>
      <c r="D696" s="278"/>
      <c r="F696" s="278"/>
      <c r="G696" s="278"/>
      <c r="H696" s="278"/>
      <c r="I696" s="278"/>
      <c r="J696" s="278"/>
      <c r="K696" s="278"/>
      <c r="L696" s="278"/>
      <c r="M696" s="278"/>
      <c r="N696" s="278"/>
      <c r="O696" s="278"/>
      <c r="P696" s="278"/>
      <c r="Q696" s="278"/>
      <c r="R696" s="278"/>
      <c r="S696" s="278"/>
      <c r="T696" s="278"/>
      <c r="U696" s="278"/>
      <c r="V696" s="278"/>
      <c r="W696" s="278"/>
      <c r="X696" s="278"/>
    </row>
    <row r="697" ht="15.75" customHeight="1">
      <c r="B697" s="278"/>
      <c r="C697" s="278"/>
      <c r="D697" s="278"/>
      <c r="F697" s="278"/>
      <c r="G697" s="278"/>
      <c r="H697" s="278"/>
      <c r="I697" s="278"/>
      <c r="J697" s="278"/>
      <c r="K697" s="278"/>
      <c r="L697" s="278"/>
      <c r="M697" s="278"/>
      <c r="N697" s="278"/>
      <c r="O697" s="278"/>
      <c r="P697" s="278"/>
      <c r="Q697" s="278"/>
      <c r="R697" s="278"/>
      <c r="S697" s="278"/>
      <c r="T697" s="278"/>
      <c r="U697" s="278"/>
      <c r="V697" s="278"/>
      <c r="W697" s="278"/>
      <c r="X697" s="278"/>
    </row>
    <row r="698" ht="15.75" customHeight="1">
      <c r="B698" s="278"/>
      <c r="C698" s="278"/>
      <c r="D698" s="278"/>
      <c r="F698" s="278"/>
      <c r="G698" s="278"/>
      <c r="H698" s="278"/>
      <c r="I698" s="278"/>
      <c r="J698" s="278"/>
      <c r="K698" s="278"/>
      <c r="L698" s="278"/>
      <c r="M698" s="278"/>
      <c r="N698" s="278"/>
      <c r="O698" s="278"/>
      <c r="P698" s="278"/>
      <c r="Q698" s="278"/>
      <c r="R698" s="278"/>
      <c r="S698" s="278"/>
      <c r="T698" s="278"/>
      <c r="U698" s="278"/>
      <c r="V698" s="278"/>
      <c r="W698" s="278"/>
      <c r="X698" s="278"/>
    </row>
    <row r="699" ht="15.75" customHeight="1">
      <c r="B699" s="278"/>
      <c r="C699" s="278"/>
      <c r="D699" s="278"/>
      <c r="F699" s="278"/>
      <c r="G699" s="278"/>
      <c r="H699" s="278"/>
      <c r="I699" s="278"/>
      <c r="J699" s="278"/>
      <c r="K699" s="278"/>
      <c r="L699" s="278"/>
      <c r="M699" s="278"/>
      <c r="N699" s="278"/>
      <c r="O699" s="278"/>
      <c r="P699" s="278"/>
      <c r="Q699" s="278"/>
      <c r="R699" s="278"/>
      <c r="S699" s="278"/>
      <c r="T699" s="278"/>
      <c r="U699" s="278"/>
      <c r="V699" s="278"/>
      <c r="W699" s="278"/>
      <c r="X699" s="278"/>
    </row>
    <row r="700" ht="15.75" customHeight="1">
      <c r="B700" s="278"/>
      <c r="C700" s="278"/>
      <c r="D700" s="278"/>
      <c r="F700" s="278"/>
      <c r="G700" s="278"/>
      <c r="H700" s="278"/>
      <c r="I700" s="278"/>
      <c r="J700" s="278"/>
      <c r="K700" s="278"/>
      <c r="L700" s="278"/>
      <c r="M700" s="278"/>
      <c r="N700" s="278"/>
      <c r="O700" s="278"/>
      <c r="P700" s="278"/>
      <c r="Q700" s="278"/>
      <c r="R700" s="278"/>
      <c r="S700" s="278"/>
      <c r="T700" s="278"/>
      <c r="U700" s="278"/>
      <c r="V700" s="278"/>
      <c r="W700" s="278"/>
      <c r="X700" s="278"/>
    </row>
    <row r="701" ht="15.75" customHeight="1">
      <c r="B701" s="278"/>
      <c r="C701" s="278"/>
      <c r="D701" s="278"/>
      <c r="F701" s="278"/>
      <c r="G701" s="278"/>
      <c r="H701" s="278"/>
      <c r="I701" s="278"/>
      <c r="J701" s="278"/>
      <c r="K701" s="278"/>
      <c r="L701" s="278"/>
      <c r="M701" s="278"/>
      <c r="N701" s="278"/>
      <c r="O701" s="278"/>
      <c r="P701" s="278"/>
      <c r="Q701" s="278"/>
      <c r="R701" s="278"/>
      <c r="S701" s="278"/>
      <c r="T701" s="278"/>
      <c r="U701" s="278"/>
      <c r="V701" s="278"/>
      <c r="W701" s="278"/>
      <c r="X701" s="278"/>
    </row>
    <row r="702" ht="15.75" customHeight="1">
      <c r="B702" s="278"/>
      <c r="C702" s="278"/>
      <c r="D702" s="278"/>
      <c r="F702" s="278"/>
      <c r="G702" s="278"/>
      <c r="H702" s="278"/>
      <c r="I702" s="278"/>
      <c r="J702" s="278"/>
      <c r="K702" s="278"/>
      <c r="L702" s="278"/>
      <c r="M702" s="278"/>
      <c r="N702" s="278"/>
      <c r="O702" s="278"/>
      <c r="P702" s="278"/>
      <c r="Q702" s="278"/>
      <c r="R702" s="278"/>
      <c r="S702" s="278"/>
      <c r="T702" s="278"/>
      <c r="U702" s="278"/>
      <c r="V702" s="278"/>
      <c r="W702" s="278"/>
      <c r="X702" s="278"/>
    </row>
    <row r="703" ht="15.75" customHeight="1">
      <c r="B703" s="278"/>
      <c r="C703" s="278"/>
      <c r="D703" s="278"/>
      <c r="F703" s="278"/>
      <c r="G703" s="278"/>
      <c r="H703" s="278"/>
      <c r="I703" s="278"/>
      <c r="J703" s="278"/>
      <c r="K703" s="278"/>
      <c r="L703" s="278"/>
      <c r="M703" s="278"/>
      <c r="N703" s="278"/>
      <c r="O703" s="278"/>
      <c r="P703" s="278"/>
      <c r="Q703" s="278"/>
      <c r="R703" s="278"/>
      <c r="S703" s="278"/>
      <c r="T703" s="278"/>
      <c r="U703" s="278"/>
      <c r="V703" s="278"/>
      <c r="W703" s="278"/>
      <c r="X703" s="278"/>
    </row>
    <row r="704" ht="15.75" customHeight="1">
      <c r="B704" s="278"/>
      <c r="C704" s="278"/>
      <c r="D704" s="278"/>
      <c r="F704" s="278"/>
      <c r="G704" s="278"/>
      <c r="H704" s="278"/>
      <c r="I704" s="278"/>
      <c r="J704" s="278"/>
      <c r="K704" s="278"/>
      <c r="L704" s="278"/>
      <c r="M704" s="278"/>
      <c r="N704" s="278"/>
      <c r="O704" s="278"/>
      <c r="P704" s="278"/>
      <c r="Q704" s="278"/>
      <c r="R704" s="278"/>
      <c r="S704" s="278"/>
      <c r="T704" s="278"/>
      <c r="U704" s="278"/>
      <c r="V704" s="278"/>
      <c r="W704" s="278"/>
      <c r="X704" s="278"/>
    </row>
    <row r="705" ht="15.75" customHeight="1">
      <c r="B705" s="278"/>
      <c r="C705" s="278"/>
      <c r="D705" s="278"/>
      <c r="F705" s="278"/>
      <c r="G705" s="278"/>
      <c r="H705" s="278"/>
      <c r="I705" s="278"/>
      <c r="J705" s="278"/>
      <c r="K705" s="278"/>
      <c r="L705" s="278"/>
      <c r="M705" s="278"/>
      <c r="N705" s="278"/>
      <c r="O705" s="278"/>
      <c r="P705" s="278"/>
      <c r="Q705" s="278"/>
      <c r="R705" s="278"/>
      <c r="S705" s="278"/>
      <c r="T705" s="278"/>
      <c r="U705" s="278"/>
      <c r="V705" s="278"/>
      <c r="W705" s="278"/>
      <c r="X705" s="278"/>
    </row>
    <row r="706" ht="15.75" customHeight="1">
      <c r="B706" s="278"/>
      <c r="C706" s="278"/>
      <c r="D706" s="278"/>
      <c r="F706" s="278"/>
      <c r="G706" s="278"/>
      <c r="H706" s="278"/>
      <c r="I706" s="278"/>
      <c r="J706" s="278"/>
      <c r="K706" s="278"/>
      <c r="L706" s="278"/>
      <c r="M706" s="278"/>
      <c r="N706" s="278"/>
      <c r="O706" s="278"/>
      <c r="P706" s="278"/>
      <c r="Q706" s="278"/>
      <c r="R706" s="278"/>
      <c r="S706" s="278"/>
      <c r="T706" s="278"/>
      <c r="U706" s="278"/>
      <c r="V706" s="278"/>
      <c r="W706" s="278"/>
      <c r="X706" s="278"/>
    </row>
    <row r="707" ht="15.75" customHeight="1">
      <c r="B707" s="278"/>
      <c r="C707" s="278"/>
      <c r="D707" s="278"/>
      <c r="F707" s="278"/>
      <c r="G707" s="278"/>
      <c r="H707" s="278"/>
      <c r="I707" s="278"/>
      <c r="J707" s="278"/>
      <c r="K707" s="278"/>
      <c r="L707" s="278"/>
      <c r="M707" s="278"/>
      <c r="N707" s="278"/>
      <c r="O707" s="278"/>
      <c r="P707" s="278"/>
      <c r="Q707" s="278"/>
      <c r="R707" s="278"/>
      <c r="S707" s="278"/>
      <c r="T707" s="278"/>
      <c r="U707" s="278"/>
      <c r="V707" s="278"/>
      <c r="W707" s="278"/>
      <c r="X707" s="278"/>
    </row>
    <row r="708" ht="15.75" customHeight="1">
      <c r="B708" s="278"/>
      <c r="C708" s="278"/>
      <c r="D708" s="278"/>
      <c r="F708" s="278"/>
      <c r="G708" s="278"/>
      <c r="H708" s="278"/>
      <c r="I708" s="278"/>
      <c r="J708" s="278"/>
      <c r="K708" s="278"/>
      <c r="L708" s="278"/>
      <c r="M708" s="278"/>
      <c r="N708" s="278"/>
      <c r="O708" s="278"/>
      <c r="P708" s="278"/>
      <c r="Q708" s="278"/>
      <c r="R708" s="278"/>
      <c r="S708" s="278"/>
      <c r="T708" s="278"/>
      <c r="U708" s="278"/>
      <c r="V708" s="278"/>
      <c r="W708" s="278"/>
      <c r="X708" s="278"/>
    </row>
    <row r="709" ht="15.75" customHeight="1">
      <c r="B709" s="278"/>
      <c r="C709" s="278"/>
      <c r="D709" s="278"/>
      <c r="F709" s="278"/>
      <c r="G709" s="278"/>
      <c r="H709" s="278"/>
      <c r="I709" s="278"/>
      <c r="J709" s="278"/>
      <c r="K709" s="278"/>
      <c r="L709" s="278"/>
      <c r="M709" s="278"/>
      <c r="N709" s="278"/>
      <c r="O709" s="278"/>
      <c r="P709" s="278"/>
      <c r="Q709" s="278"/>
      <c r="R709" s="278"/>
      <c r="S709" s="278"/>
      <c r="T709" s="278"/>
      <c r="U709" s="278"/>
      <c r="V709" s="278"/>
      <c r="W709" s="278"/>
      <c r="X709" s="278"/>
    </row>
    <row r="710" ht="15.75" customHeight="1">
      <c r="B710" s="278"/>
      <c r="C710" s="278"/>
      <c r="D710" s="278"/>
      <c r="F710" s="278"/>
      <c r="G710" s="278"/>
      <c r="H710" s="278"/>
      <c r="I710" s="278"/>
      <c r="J710" s="278"/>
      <c r="K710" s="278"/>
      <c r="L710" s="278"/>
      <c r="M710" s="278"/>
      <c r="N710" s="278"/>
      <c r="O710" s="278"/>
      <c r="P710" s="278"/>
      <c r="Q710" s="278"/>
      <c r="R710" s="278"/>
      <c r="S710" s="278"/>
      <c r="T710" s="278"/>
      <c r="U710" s="278"/>
      <c r="V710" s="278"/>
      <c r="W710" s="278"/>
      <c r="X710" s="278"/>
    </row>
    <row r="711" ht="15.75" customHeight="1">
      <c r="B711" s="278"/>
      <c r="C711" s="278"/>
      <c r="D711" s="278"/>
      <c r="F711" s="278"/>
      <c r="G711" s="278"/>
      <c r="H711" s="278"/>
      <c r="I711" s="278"/>
      <c r="J711" s="278"/>
      <c r="K711" s="278"/>
      <c r="L711" s="278"/>
      <c r="M711" s="278"/>
      <c r="N711" s="278"/>
      <c r="O711" s="278"/>
      <c r="P711" s="278"/>
      <c r="Q711" s="278"/>
      <c r="R711" s="278"/>
      <c r="S711" s="278"/>
      <c r="T711" s="278"/>
      <c r="U711" s="278"/>
      <c r="V711" s="278"/>
      <c r="W711" s="278"/>
      <c r="X711" s="278"/>
    </row>
    <row r="712" ht="15.75" customHeight="1">
      <c r="B712" s="278"/>
      <c r="C712" s="278"/>
      <c r="D712" s="278"/>
      <c r="F712" s="278"/>
      <c r="G712" s="278"/>
      <c r="H712" s="278"/>
      <c r="I712" s="278"/>
      <c r="J712" s="278"/>
      <c r="K712" s="278"/>
      <c r="L712" s="278"/>
      <c r="M712" s="278"/>
      <c r="N712" s="278"/>
      <c r="O712" s="278"/>
      <c r="P712" s="278"/>
      <c r="Q712" s="278"/>
      <c r="R712" s="278"/>
      <c r="S712" s="278"/>
      <c r="T712" s="278"/>
      <c r="U712" s="278"/>
      <c r="V712" s="278"/>
      <c r="W712" s="278"/>
      <c r="X712" s="278"/>
    </row>
    <row r="713" ht="15.75" customHeight="1">
      <c r="B713" s="278"/>
      <c r="C713" s="278"/>
      <c r="D713" s="278"/>
      <c r="F713" s="278"/>
      <c r="G713" s="278"/>
      <c r="H713" s="278"/>
      <c r="I713" s="278"/>
      <c r="J713" s="278"/>
      <c r="K713" s="278"/>
      <c r="L713" s="278"/>
      <c r="M713" s="278"/>
      <c r="N713" s="278"/>
      <c r="O713" s="278"/>
      <c r="P713" s="278"/>
      <c r="Q713" s="278"/>
      <c r="R713" s="278"/>
      <c r="S713" s="278"/>
      <c r="T713" s="278"/>
      <c r="U713" s="278"/>
      <c r="V713" s="278"/>
      <c r="W713" s="278"/>
      <c r="X713" s="278"/>
    </row>
    <row r="714" ht="15.75" customHeight="1">
      <c r="B714" s="278"/>
      <c r="C714" s="278"/>
      <c r="D714" s="278"/>
      <c r="F714" s="278"/>
      <c r="G714" s="278"/>
      <c r="H714" s="278"/>
      <c r="I714" s="278"/>
      <c r="J714" s="278"/>
      <c r="K714" s="278"/>
      <c r="L714" s="278"/>
      <c r="M714" s="278"/>
      <c r="N714" s="278"/>
      <c r="O714" s="278"/>
      <c r="P714" s="278"/>
      <c r="Q714" s="278"/>
      <c r="R714" s="278"/>
      <c r="S714" s="278"/>
      <c r="T714" s="278"/>
      <c r="U714" s="278"/>
      <c r="V714" s="278"/>
      <c r="W714" s="278"/>
      <c r="X714" s="278"/>
    </row>
    <row r="715" ht="15.75" customHeight="1">
      <c r="B715" s="278"/>
      <c r="C715" s="278"/>
      <c r="D715" s="278"/>
      <c r="F715" s="278"/>
      <c r="G715" s="278"/>
      <c r="H715" s="278"/>
      <c r="I715" s="278"/>
      <c r="J715" s="278"/>
      <c r="K715" s="278"/>
      <c r="L715" s="278"/>
      <c r="M715" s="278"/>
      <c r="N715" s="278"/>
      <c r="O715" s="278"/>
      <c r="P715" s="278"/>
      <c r="Q715" s="278"/>
      <c r="R715" s="278"/>
      <c r="S715" s="278"/>
      <c r="T715" s="278"/>
      <c r="U715" s="278"/>
      <c r="V715" s="278"/>
      <c r="W715" s="278"/>
      <c r="X715" s="278"/>
    </row>
    <row r="716" ht="15.75" customHeight="1">
      <c r="B716" s="278"/>
      <c r="C716" s="278"/>
      <c r="D716" s="278"/>
      <c r="F716" s="278"/>
      <c r="G716" s="278"/>
      <c r="H716" s="278"/>
      <c r="I716" s="278"/>
      <c r="J716" s="278"/>
      <c r="K716" s="278"/>
      <c r="L716" s="278"/>
      <c r="M716" s="278"/>
      <c r="N716" s="278"/>
      <c r="O716" s="278"/>
      <c r="P716" s="278"/>
      <c r="Q716" s="278"/>
      <c r="R716" s="278"/>
      <c r="S716" s="278"/>
      <c r="T716" s="278"/>
      <c r="U716" s="278"/>
      <c r="V716" s="278"/>
      <c r="W716" s="278"/>
      <c r="X716" s="278"/>
    </row>
    <row r="717" ht="15.75" customHeight="1">
      <c r="B717" s="278"/>
      <c r="C717" s="278"/>
      <c r="D717" s="278"/>
      <c r="F717" s="278"/>
      <c r="G717" s="278"/>
      <c r="H717" s="278"/>
      <c r="I717" s="278"/>
      <c r="J717" s="278"/>
      <c r="K717" s="278"/>
      <c r="L717" s="278"/>
      <c r="M717" s="278"/>
      <c r="N717" s="278"/>
      <c r="O717" s="278"/>
      <c r="P717" s="278"/>
      <c r="Q717" s="278"/>
      <c r="R717" s="278"/>
      <c r="S717" s="278"/>
      <c r="T717" s="278"/>
      <c r="U717" s="278"/>
      <c r="V717" s="278"/>
      <c r="W717" s="278"/>
      <c r="X717" s="278"/>
    </row>
    <row r="718" ht="15.75" customHeight="1">
      <c r="B718" s="278"/>
      <c r="C718" s="278"/>
      <c r="D718" s="278"/>
      <c r="F718" s="278"/>
      <c r="G718" s="278"/>
      <c r="H718" s="278"/>
      <c r="I718" s="278"/>
      <c r="J718" s="278"/>
      <c r="K718" s="278"/>
      <c r="L718" s="278"/>
      <c r="M718" s="278"/>
      <c r="N718" s="278"/>
      <c r="O718" s="278"/>
      <c r="P718" s="278"/>
      <c r="Q718" s="278"/>
      <c r="R718" s="278"/>
      <c r="S718" s="278"/>
      <c r="T718" s="278"/>
      <c r="U718" s="278"/>
      <c r="V718" s="278"/>
      <c r="W718" s="278"/>
      <c r="X718" s="278"/>
    </row>
    <row r="719" ht="15.75" customHeight="1">
      <c r="B719" s="278"/>
      <c r="C719" s="278"/>
      <c r="D719" s="278"/>
      <c r="F719" s="278"/>
      <c r="G719" s="278"/>
      <c r="H719" s="278"/>
      <c r="I719" s="278"/>
      <c r="J719" s="278"/>
      <c r="K719" s="278"/>
      <c r="L719" s="278"/>
      <c r="M719" s="278"/>
      <c r="N719" s="278"/>
      <c r="O719" s="278"/>
      <c r="P719" s="278"/>
      <c r="Q719" s="278"/>
      <c r="R719" s="278"/>
      <c r="S719" s="278"/>
      <c r="T719" s="278"/>
      <c r="U719" s="278"/>
      <c r="V719" s="278"/>
      <c r="W719" s="278"/>
      <c r="X719" s="278"/>
    </row>
    <row r="720" ht="15.75" customHeight="1">
      <c r="B720" s="278"/>
      <c r="C720" s="278"/>
      <c r="D720" s="278"/>
      <c r="F720" s="278"/>
      <c r="G720" s="278"/>
      <c r="H720" s="278"/>
      <c r="I720" s="278"/>
      <c r="J720" s="278"/>
      <c r="K720" s="278"/>
      <c r="L720" s="278"/>
      <c r="M720" s="278"/>
      <c r="N720" s="278"/>
      <c r="O720" s="278"/>
      <c r="P720" s="278"/>
      <c r="Q720" s="278"/>
      <c r="R720" s="278"/>
      <c r="S720" s="278"/>
      <c r="T720" s="278"/>
      <c r="U720" s="278"/>
      <c r="V720" s="278"/>
      <c r="W720" s="278"/>
      <c r="X720" s="278"/>
    </row>
    <row r="721" ht="15.75" customHeight="1">
      <c r="B721" s="278"/>
      <c r="C721" s="278"/>
      <c r="D721" s="278"/>
      <c r="F721" s="278"/>
      <c r="G721" s="278"/>
      <c r="H721" s="278"/>
      <c r="I721" s="278"/>
      <c r="J721" s="278"/>
      <c r="K721" s="278"/>
      <c r="L721" s="278"/>
      <c r="M721" s="278"/>
      <c r="N721" s="278"/>
      <c r="O721" s="278"/>
      <c r="P721" s="278"/>
      <c r="Q721" s="278"/>
      <c r="R721" s="278"/>
      <c r="S721" s="278"/>
      <c r="T721" s="278"/>
      <c r="U721" s="278"/>
      <c r="V721" s="278"/>
      <c r="W721" s="278"/>
      <c r="X721" s="278"/>
    </row>
    <row r="722" ht="15.75" customHeight="1">
      <c r="B722" s="278"/>
      <c r="C722" s="278"/>
      <c r="D722" s="278"/>
      <c r="F722" s="278"/>
      <c r="G722" s="278"/>
      <c r="H722" s="278"/>
      <c r="I722" s="278"/>
      <c r="J722" s="278"/>
      <c r="K722" s="278"/>
      <c r="L722" s="278"/>
      <c r="M722" s="278"/>
      <c r="N722" s="278"/>
      <c r="O722" s="278"/>
      <c r="P722" s="278"/>
      <c r="Q722" s="278"/>
      <c r="R722" s="278"/>
      <c r="S722" s="278"/>
      <c r="T722" s="278"/>
      <c r="U722" s="278"/>
      <c r="V722" s="278"/>
      <c r="W722" s="278"/>
      <c r="X722" s="278"/>
    </row>
    <row r="723" ht="15.75" customHeight="1">
      <c r="B723" s="278"/>
      <c r="C723" s="278"/>
      <c r="D723" s="278"/>
      <c r="F723" s="278"/>
      <c r="G723" s="278"/>
      <c r="H723" s="278"/>
      <c r="I723" s="278"/>
      <c r="J723" s="278"/>
      <c r="K723" s="278"/>
      <c r="L723" s="278"/>
      <c r="M723" s="278"/>
      <c r="N723" s="278"/>
      <c r="O723" s="278"/>
      <c r="P723" s="278"/>
      <c r="Q723" s="278"/>
      <c r="R723" s="278"/>
      <c r="S723" s="278"/>
      <c r="T723" s="278"/>
      <c r="U723" s="278"/>
      <c r="V723" s="278"/>
      <c r="W723" s="278"/>
      <c r="X723" s="278"/>
    </row>
    <row r="724" ht="15.75" customHeight="1">
      <c r="B724" s="278"/>
      <c r="C724" s="278"/>
      <c r="D724" s="278"/>
      <c r="F724" s="278"/>
      <c r="G724" s="278"/>
      <c r="H724" s="278"/>
      <c r="I724" s="278"/>
      <c r="J724" s="278"/>
      <c r="K724" s="278"/>
      <c r="L724" s="278"/>
      <c r="M724" s="278"/>
      <c r="N724" s="278"/>
      <c r="O724" s="278"/>
      <c r="P724" s="278"/>
      <c r="Q724" s="278"/>
      <c r="R724" s="278"/>
      <c r="S724" s="278"/>
      <c r="T724" s="278"/>
      <c r="U724" s="278"/>
      <c r="V724" s="278"/>
      <c r="W724" s="278"/>
      <c r="X724" s="278"/>
    </row>
    <row r="725" ht="15.75" customHeight="1">
      <c r="B725" s="278"/>
      <c r="C725" s="278"/>
      <c r="D725" s="278"/>
      <c r="F725" s="278"/>
      <c r="G725" s="278"/>
      <c r="H725" s="278"/>
      <c r="I725" s="278"/>
      <c r="J725" s="278"/>
      <c r="K725" s="278"/>
      <c r="L725" s="278"/>
      <c r="M725" s="278"/>
      <c r="N725" s="278"/>
      <c r="O725" s="278"/>
      <c r="P725" s="278"/>
      <c r="Q725" s="278"/>
      <c r="R725" s="278"/>
      <c r="S725" s="278"/>
      <c r="T725" s="278"/>
      <c r="U725" s="278"/>
      <c r="V725" s="278"/>
      <c r="W725" s="278"/>
      <c r="X725" s="278"/>
    </row>
    <row r="726" ht="15.75" customHeight="1">
      <c r="B726" s="278"/>
      <c r="C726" s="278"/>
      <c r="D726" s="278"/>
      <c r="F726" s="278"/>
      <c r="G726" s="278"/>
      <c r="H726" s="278"/>
      <c r="I726" s="278"/>
      <c r="J726" s="278"/>
      <c r="K726" s="278"/>
      <c r="L726" s="278"/>
      <c r="M726" s="278"/>
      <c r="N726" s="278"/>
      <c r="O726" s="278"/>
      <c r="P726" s="278"/>
      <c r="Q726" s="278"/>
      <c r="R726" s="278"/>
      <c r="S726" s="278"/>
      <c r="T726" s="278"/>
      <c r="U726" s="278"/>
      <c r="V726" s="278"/>
      <c r="W726" s="278"/>
      <c r="X726" s="278"/>
    </row>
    <row r="727" ht="15.75" customHeight="1">
      <c r="B727" s="278"/>
      <c r="C727" s="278"/>
      <c r="D727" s="278"/>
      <c r="F727" s="278"/>
      <c r="G727" s="278"/>
      <c r="H727" s="278"/>
      <c r="I727" s="278"/>
      <c r="J727" s="278"/>
      <c r="K727" s="278"/>
      <c r="L727" s="278"/>
      <c r="M727" s="278"/>
      <c r="N727" s="278"/>
      <c r="O727" s="278"/>
      <c r="P727" s="278"/>
      <c r="Q727" s="278"/>
      <c r="R727" s="278"/>
      <c r="S727" s="278"/>
      <c r="T727" s="278"/>
      <c r="U727" s="278"/>
      <c r="V727" s="278"/>
      <c r="W727" s="278"/>
      <c r="X727" s="278"/>
    </row>
    <row r="728" ht="15.75" customHeight="1">
      <c r="B728" s="278"/>
      <c r="C728" s="278"/>
      <c r="D728" s="278"/>
      <c r="F728" s="278"/>
      <c r="G728" s="278"/>
      <c r="H728" s="278"/>
      <c r="I728" s="278"/>
      <c r="J728" s="278"/>
      <c r="K728" s="278"/>
      <c r="L728" s="278"/>
      <c r="M728" s="278"/>
      <c r="N728" s="278"/>
      <c r="O728" s="278"/>
      <c r="P728" s="278"/>
      <c r="Q728" s="278"/>
      <c r="R728" s="278"/>
      <c r="S728" s="278"/>
      <c r="T728" s="278"/>
      <c r="U728" s="278"/>
      <c r="V728" s="278"/>
      <c r="W728" s="278"/>
      <c r="X728" s="278"/>
    </row>
    <row r="729" ht="15.75" customHeight="1">
      <c r="B729" s="278"/>
      <c r="C729" s="278"/>
      <c r="D729" s="278"/>
      <c r="F729" s="278"/>
      <c r="G729" s="278"/>
      <c r="H729" s="278"/>
      <c r="I729" s="278"/>
      <c r="J729" s="278"/>
      <c r="K729" s="278"/>
      <c r="L729" s="278"/>
      <c r="M729" s="278"/>
      <c r="N729" s="278"/>
      <c r="O729" s="278"/>
      <c r="P729" s="278"/>
      <c r="Q729" s="278"/>
      <c r="R729" s="278"/>
      <c r="S729" s="278"/>
      <c r="T729" s="278"/>
      <c r="U729" s="278"/>
      <c r="V729" s="278"/>
      <c r="W729" s="278"/>
      <c r="X729" s="278"/>
    </row>
    <row r="730" ht="15.75" customHeight="1">
      <c r="B730" s="278"/>
      <c r="C730" s="278"/>
      <c r="D730" s="278"/>
      <c r="F730" s="278"/>
      <c r="G730" s="278"/>
      <c r="H730" s="278"/>
      <c r="I730" s="278"/>
      <c r="J730" s="278"/>
      <c r="K730" s="278"/>
      <c r="L730" s="278"/>
      <c r="M730" s="278"/>
      <c r="N730" s="278"/>
      <c r="O730" s="278"/>
      <c r="P730" s="278"/>
      <c r="Q730" s="278"/>
      <c r="R730" s="278"/>
      <c r="S730" s="278"/>
      <c r="T730" s="278"/>
      <c r="U730" s="278"/>
      <c r="V730" s="278"/>
      <c r="W730" s="278"/>
      <c r="X730" s="278"/>
    </row>
    <row r="731" ht="15.75" customHeight="1">
      <c r="B731" s="278"/>
      <c r="C731" s="278"/>
      <c r="D731" s="278"/>
      <c r="F731" s="278"/>
      <c r="G731" s="278"/>
      <c r="H731" s="278"/>
      <c r="I731" s="278"/>
      <c r="J731" s="278"/>
      <c r="K731" s="278"/>
      <c r="L731" s="278"/>
      <c r="M731" s="278"/>
      <c r="N731" s="278"/>
      <c r="O731" s="278"/>
      <c r="P731" s="278"/>
      <c r="Q731" s="278"/>
      <c r="R731" s="278"/>
      <c r="S731" s="278"/>
      <c r="T731" s="278"/>
      <c r="U731" s="278"/>
      <c r="V731" s="278"/>
      <c r="W731" s="278"/>
      <c r="X731" s="278"/>
    </row>
    <row r="732" ht="15.75" customHeight="1">
      <c r="B732" s="278"/>
      <c r="C732" s="278"/>
      <c r="D732" s="278"/>
      <c r="F732" s="278"/>
      <c r="G732" s="278"/>
      <c r="H732" s="278"/>
      <c r="I732" s="278"/>
      <c r="J732" s="278"/>
      <c r="K732" s="278"/>
      <c r="L732" s="278"/>
      <c r="M732" s="278"/>
      <c r="N732" s="278"/>
      <c r="O732" s="278"/>
      <c r="P732" s="278"/>
      <c r="Q732" s="278"/>
      <c r="R732" s="278"/>
      <c r="S732" s="278"/>
      <c r="T732" s="278"/>
      <c r="U732" s="278"/>
      <c r="V732" s="278"/>
      <c r="W732" s="278"/>
      <c r="X732" s="278"/>
    </row>
    <row r="733" ht="15.75" customHeight="1">
      <c r="B733" s="278"/>
      <c r="C733" s="278"/>
      <c r="D733" s="278"/>
      <c r="F733" s="278"/>
      <c r="G733" s="278"/>
      <c r="H733" s="278"/>
      <c r="I733" s="278"/>
      <c r="J733" s="278"/>
      <c r="K733" s="278"/>
      <c r="L733" s="278"/>
      <c r="M733" s="278"/>
      <c r="N733" s="278"/>
      <c r="O733" s="278"/>
      <c r="P733" s="278"/>
      <c r="Q733" s="278"/>
      <c r="R733" s="278"/>
      <c r="S733" s="278"/>
      <c r="T733" s="278"/>
      <c r="U733" s="278"/>
      <c r="V733" s="278"/>
      <c r="W733" s="278"/>
      <c r="X733" s="278"/>
    </row>
    <row r="734" ht="15.75" customHeight="1">
      <c r="B734" s="278"/>
      <c r="C734" s="278"/>
      <c r="D734" s="278"/>
      <c r="F734" s="278"/>
      <c r="G734" s="278"/>
      <c r="H734" s="278"/>
      <c r="I734" s="278"/>
      <c r="J734" s="278"/>
      <c r="K734" s="278"/>
      <c r="L734" s="278"/>
      <c r="M734" s="278"/>
      <c r="N734" s="278"/>
      <c r="O734" s="278"/>
      <c r="P734" s="278"/>
      <c r="Q734" s="278"/>
      <c r="R734" s="278"/>
      <c r="S734" s="278"/>
      <c r="T734" s="278"/>
      <c r="U734" s="278"/>
      <c r="V734" s="278"/>
      <c r="W734" s="278"/>
      <c r="X734" s="278"/>
    </row>
    <row r="735" ht="15.75" customHeight="1">
      <c r="B735" s="278"/>
      <c r="C735" s="278"/>
      <c r="D735" s="278"/>
      <c r="F735" s="278"/>
      <c r="G735" s="278"/>
      <c r="H735" s="278"/>
      <c r="I735" s="278"/>
      <c r="J735" s="278"/>
      <c r="K735" s="278"/>
      <c r="L735" s="278"/>
      <c r="M735" s="278"/>
      <c r="N735" s="278"/>
      <c r="O735" s="278"/>
      <c r="P735" s="278"/>
      <c r="Q735" s="278"/>
      <c r="R735" s="278"/>
      <c r="S735" s="278"/>
      <c r="T735" s="278"/>
      <c r="U735" s="278"/>
      <c r="V735" s="278"/>
      <c r="W735" s="278"/>
      <c r="X735" s="278"/>
    </row>
    <row r="736" ht="15.75" customHeight="1">
      <c r="B736" s="278"/>
      <c r="C736" s="278"/>
      <c r="D736" s="278"/>
      <c r="F736" s="278"/>
      <c r="G736" s="278"/>
      <c r="H736" s="278"/>
      <c r="I736" s="278"/>
      <c r="J736" s="278"/>
      <c r="K736" s="278"/>
      <c r="L736" s="278"/>
      <c r="M736" s="278"/>
      <c r="N736" s="278"/>
      <c r="O736" s="278"/>
      <c r="P736" s="278"/>
      <c r="Q736" s="278"/>
      <c r="R736" s="278"/>
      <c r="S736" s="278"/>
      <c r="T736" s="278"/>
      <c r="U736" s="278"/>
      <c r="V736" s="278"/>
      <c r="W736" s="278"/>
      <c r="X736" s="278"/>
    </row>
    <row r="737" ht="15.75" customHeight="1">
      <c r="B737" s="278"/>
      <c r="C737" s="278"/>
      <c r="D737" s="278"/>
      <c r="F737" s="278"/>
      <c r="G737" s="278"/>
      <c r="H737" s="278"/>
      <c r="I737" s="278"/>
      <c r="J737" s="278"/>
      <c r="K737" s="278"/>
      <c r="L737" s="278"/>
      <c r="M737" s="278"/>
      <c r="N737" s="278"/>
      <c r="O737" s="278"/>
      <c r="P737" s="278"/>
      <c r="Q737" s="278"/>
      <c r="R737" s="278"/>
      <c r="S737" s="278"/>
      <c r="T737" s="278"/>
      <c r="U737" s="278"/>
      <c r="V737" s="278"/>
      <c r="W737" s="278"/>
      <c r="X737" s="278"/>
    </row>
    <row r="738" ht="15.75" customHeight="1">
      <c r="B738" s="278"/>
      <c r="C738" s="278"/>
      <c r="D738" s="278"/>
      <c r="F738" s="278"/>
      <c r="G738" s="278"/>
      <c r="H738" s="278"/>
      <c r="I738" s="278"/>
      <c r="J738" s="278"/>
      <c r="K738" s="278"/>
      <c r="L738" s="278"/>
      <c r="M738" s="278"/>
      <c r="N738" s="278"/>
      <c r="O738" s="278"/>
      <c r="P738" s="278"/>
      <c r="Q738" s="278"/>
      <c r="R738" s="278"/>
      <c r="S738" s="278"/>
      <c r="T738" s="278"/>
      <c r="U738" s="278"/>
      <c r="V738" s="278"/>
      <c r="W738" s="278"/>
      <c r="X738" s="278"/>
    </row>
    <row r="739" ht="15.75" customHeight="1">
      <c r="B739" s="278"/>
      <c r="C739" s="278"/>
      <c r="D739" s="278"/>
      <c r="F739" s="278"/>
      <c r="G739" s="278"/>
      <c r="H739" s="278"/>
      <c r="I739" s="278"/>
      <c r="J739" s="278"/>
      <c r="K739" s="278"/>
      <c r="L739" s="278"/>
      <c r="M739" s="278"/>
      <c r="N739" s="278"/>
      <c r="O739" s="278"/>
      <c r="P739" s="278"/>
      <c r="Q739" s="278"/>
      <c r="R739" s="278"/>
      <c r="S739" s="278"/>
      <c r="T739" s="278"/>
      <c r="U739" s="278"/>
      <c r="V739" s="278"/>
      <c r="W739" s="278"/>
      <c r="X739" s="278"/>
    </row>
    <row r="740" ht="15.75" customHeight="1">
      <c r="B740" s="278"/>
      <c r="C740" s="278"/>
      <c r="D740" s="278"/>
      <c r="F740" s="278"/>
      <c r="G740" s="278"/>
      <c r="H740" s="278"/>
      <c r="I740" s="278"/>
      <c r="J740" s="278"/>
      <c r="K740" s="278"/>
      <c r="L740" s="278"/>
      <c r="M740" s="278"/>
      <c r="N740" s="278"/>
      <c r="O740" s="278"/>
      <c r="P740" s="278"/>
      <c r="Q740" s="278"/>
      <c r="R740" s="278"/>
      <c r="S740" s="278"/>
      <c r="T740" s="278"/>
      <c r="U740" s="278"/>
      <c r="V740" s="278"/>
      <c r="W740" s="278"/>
      <c r="X740" s="278"/>
    </row>
    <row r="741" ht="15.75" customHeight="1">
      <c r="B741" s="278"/>
      <c r="C741" s="278"/>
      <c r="D741" s="278"/>
      <c r="F741" s="278"/>
      <c r="G741" s="278"/>
      <c r="H741" s="278"/>
      <c r="I741" s="278"/>
      <c r="J741" s="278"/>
      <c r="K741" s="278"/>
      <c r="L741" s="278"/>
      <c r="M741" s="278"/>
      <c r="N741" s="278"/>
      <c r="O741" s="278"/>
      <c r="P741" s="278"/>
      <c r="Q741" s="278"/>
      <c r="R741" s="278"/>
      <c r="S741" s="278"/>
      <c r="T741" s="278"/>
      <c r="U741" s="278"/>
      <c r="V741" s="278"/>
      <c r="W741" s="278"/>
      <c r="X741" s="278"/>
    </row>
    <row r="742" ht="15.75" customHeight="1">
      <c r="B742" s="278"/>
      <c r="C742" s="278"/>
      <c r="D742" s="278"/>
      <c r="F742" s="278"/>
      <c r="G742" s="278"/>
      <c r="H742" s="278"/>
      <c r="I742" s="278"/>
      <c r="J742" s="278"/>
      <c r="K742" s="278"/>
      <c r="L742" s="278"/>
      <c r="M742" s="278"/>
      <c r="N742" s="278"/>
      <c r="O742" s="278"/>
      <c r="P742" s="278"/>
      <c r="Q742" s="278"/>
      <c r="R742" s="278"/>
      <c r="S742" s="278"/>
      <c r="T742" s="278"/>
      <c r="U742" s="278"/>
      <c r="V742" s="278"/>
      <c r="W742" s="278"/>
      <c r="X742" s="278"/>
    </row>
    <row r="743" ht="15.75" customHeight="1">
      <c r="B743" s="278"/>
      <c r="C743" s="278"/>
      <c r="D743" s="278"/>
      <c r="F743" s="278"/>
      <c r="G743" s="278"/>
      <c r="H743" s="278"/>
      <c r="I743" s="278"/>
      <c r="J743" s="278"/>
      <c r="K743" s="278"/>
      <c r="L743" s="278"/>
      <c r="M743" s="278"/>
      <c r="N743" s="278"/>
      <c r="O743" s="278"/>
      <c r="P743" s="278"/>
      <c r="Q743" s="278"/>
      <c r="R743" s="278"/>
      <c r="S743" s="278"/>
      <c r="T743" s="278"/>
      <c r="U743" s="278"/>
      <c r="V743" s="278"/>
      <c r="W743" s="278"/>
      <c r="X743" s="278"/>
    </row>
    <row r="744" ht="15.75" customHeight="1">
      <c r="B744" s="278"/>
      <c r="C744" s="278"/>
      <c r="D744" s="278"/>
      <c r="F744" s="278"/>
      <c r="G744" s="278"/>
      <c r="H744" s="278"/>
      <c r="I744" s="278"/>
      <c r="J744" s="278"/>
      <c r="K744" s="278"/>
      <c r="L744" s="278"/>
      <c r="M744" s="278"/>
      <c r="N744" s="278"/>
      <c r="O744" s="278"/>
      <c r="P744" s="278"/>
      <c r="Q744" s="278"/>
      <c r="R744" s="278"/>
      <c r="S744" s="278"/>
      <c r="T744" s="278"/>
      <c r="U744" s="278"/>
      <c r="V744" s="278"/>
      <c r="W744" s="278"/>
      <c r="X744" s="278"/>
    </row>
    <row r="745" ht="15.75" customHeight="1">
      <c r="B745" s="278"/>
      <c r="C745" s="278"/>
      <c r="D745" s="278"/>
      <c r="F745" s="278"/>
      <c r="G745" s="278"/>
      <c r="H745" s="278"/>
      <c r="I745" s="278"/>
      <c r="J745" s="278"/>
      <c r="K745" s="278"/>
      <c r="L745" s="278"/>
      <c r="M745" s="278"/>
      <c r="N745" s="278"/>
      <c r="O745" s="278"/>
      <c r="P745" s="278"/>
      <c r="Q745" s="278"/>
      <c r="R745" s="278"/>
      <c r="S745" s="278"/>
      <c r="T745" s="278"/>
      <c r="U745" s="278"/>
      <c r="V745" s="278"/>
      <c r="W745" s="278"/>
      <c r="X745" s="278"/>
    </row>
    <row r="746" ht="15.75" customHeight="1">
      <c r="B746" s="278"/>
      <c r="C746" s="278"/>
      <c r="D746" s="278"/>
      <c r="F746" s="278"/>
      <c r="G746" s="278"/>
      <c r="H746" s="278"/>
      <c r="I746" s="278"/>
      <c r="J746" s="278"/>
      <c r="K746" s="278"/>
      <c r="L746" s="278"/>
      <c r="M746" s="278"/>
      <c r="N746" s="278"/>
      <c r="O746" s="278"/>
      <c r="P746" s="278"/>
      <c r="Q746" s="278"/>
      <c r="R746" s="278"/>
      <c r="S746" s="278"/>
      <c r="T746" s="278"/>
      <c r="U746" s="278"/>
      <c r="V746" s="278"/>
      <c r="W746" s="278"/>
      <c r="X746" s="278"/>
    </row>
    <row r="747" ht="15.75" customHeight="1">
      <c r="B747" s="278"/>
      <c r="C747" s="278"/>
      <c r="D747" s="278"/>
      <c r="F747" s="278"/>
      <c r="G747" s="278"/>
      <c r="H747" s="278"/>
      <c r="I747" s="278"/>
      <c r="J747" s="278"/>
      <c r="K747" s="278"/>
      <c r="L747" s="278"/>
      <c r="M747" s="278"/>
      <c r="N747" s="278"/>
      <c r="O747" s="278"/>
      <c r="P747" s="278"/>
      <c r="Q747" s="278"/>
      <c r="R747" s="278"/>
      <c r="S747" s="278"/>
      <c r="T747" s="278"/>
      <c r="U747" s="278"/>
      <c r="V747" s="278"/>
      <c r="W747" s="278"/>
      <c r="X747" s="278"/>
    </row>
    <row r="748" ht="15.75" customHeight="1">
      <c r="B748" s="278"/>
      <c r="C748" s="278"/>
      <c r="D748" s="278"/>
      <c r="F748" s="278"/>
      <c r="G748" s="278"/>
      <c r="H748" s="278"/>
      <c r="I748" s="278"/>
      <c r="J748" s="278"/>
      <c r="K748" s="278"/>
      <c r="L748" s="278"/>
      <c r="M748" s="278"/>
      <c r="N748" s="278"/>
      <c r="O748" s="278"/>
      <c r="P748" s="278"/>
      <c r="Q748" s="278"/>
      <c r="R748" s="278"/>
      <c r="S748" s="278"/>
      <c r="T748" s="278"/>
      <c r="U748" s="278"/>
      <c r="V748" s="278"/>
      <c r="W748" s="278"/>
      <c r="X748" s="278"/>
    </row>
    <row r="749" ht="15.75" customHeight="1">
      <c r="B749" s="278"/>
      <c r="C749" s="278"/>
      <c r="D749" s="278"/>
      <c r="F749" s="278"/>
      <c r="G749" s="278"/>
      <c r="H749" s="278"/>
      <c r="I749" s="278"/>
      <c r="J749" s="278"/>
      <c r="K749" s="278"/>
      <c r="L749" s="278"/>
      <c r="M749" s="278"/>
      <c r="N749" s="278"/>
      <c r="O749" s="278"/>
      <c r="P749" s="278"/>
      <c r="Q749" s="278"/>
      <c r="R749" s="278"/>
      <c r="S749" s="278"/>
      <c r="T749" s="278"/>
      <c r="U749" s="278"/>
      <c r="V749" s="278"/>
      <c r="W749" s="278"/>
      <c r="X749" s="278"/>
    </row>
    <row r="750" ht="15.75" customHeight="1">
      <c r="B750" s="278"/>
      <c r="C750" s="278"/>
      <c r="D750" s="278"/>
      <c r="F750" s="278"/>
      <c r="G750" s="278"/>
      <c r="H750" s="278"/>
      <c r="I750" s="278"/>
      <c r="J750" s="278"/>
      <c r="K750" s="278"/>
      <c r="L750" s="278"/>
      <c r="M750" s="278"/>
      <c r="N750" s="278"/>
      <c r="O750" s="278"/>
      <c r="P750" s="278"/>
      <c r="Q750" s="278"/>
      <c r="R750" s="278"/>
      <c r="S750" s="278"/>
      <c r="T750" s="278"/>
      <c r="U750" s="278"/>
      <c r="V750" s="278"/>
      <c r="W750" s="278"/>
      <c r="X750" s="278"/>
    </row>
    <row r="751" ht="15.75" customHeight="1">
      <c r="B751" s="278"/>
      <c r="C751" s="278"/>
      <c r="D751" s="278"/>
      <c r="F751" s="278"/>
      <c r="G751" s="278"/>
      <c r="H751" s="278"/>
      <c r="I751" s="278"/>
      <c r="J751" s="278"/>
      <c r="K751" s="278"/>
      <c r="L751" s="278"/>
      <c r="M751" s="278"/>
      <c r="N751" s="278"/>
      <c r="O751" s="278"/>
      <c r="P751" s="278"/>
      <c r="Q751" s="278"/>
      <c r="R751" s="278"/>
      <c r="S751" s="278"/>
      <c r="T751" s="278"/>
      <c r="U751" s="278"/>
      <c r="V751" s="278"/>
      <c r="W751" s="278"/>
      <c r="X751" s="278"/>
    </row>
    <row r="752" ht="15.75" customHeight="1">
      <c r="B752" s="278"/>
      <c r="C752" s="278"/>
      <c r="D752" s="278"/>
      <c r="F752" s="278"/>
      <c r="G752" s="278"/>
      <c r="H752" s="278"/>
      <c r="I752" s="278"/>
      <c r="J752" s="278"/>
      <c r="K752" s="278"/>
      <c r="L752" s="278"/>
      <c r="M752" s="278"/>
      <c r="N752" s="278"/>
      <c r="O752" s="278"/>
      <c r="P752" s="278"/>
      <c r="Q752" s="278"/>
      <c r="R752" s="278"/>
      <c r="S752" s="278"/>
      <c r="T752" s="278"/>
      <c r="U752" s="278"/>
      <c r="V752" s="278"/>
      <c r="W752" s="278"/>
      <c r="X752" s="278"/>
    </row>
    <row r="753" ht="15.75" customHeight="1">
      <c r="B753" s="278"/>
      <c r="C753" s="278"/>
      <c r="D753" s="278"/>
      <c r="F753" s="278"/>
      <c r="G753" s="278"/>
      <c r="H753" s="278"/>
      <c r="I753" s="278"/>
      <c r="J753" s="278"/>
      <c r="K753" s="278"/>
      <c r="L753" s="278"/>
      <c r="M753" s="278"/>
      <c r="N753" s="278"/>
      <c r="O753" s="278"/>
      <c r="P753" s="278"/>
      <c r="Q753" s="278"/>
      <c r="R753" s="278"/>
      <c r="S753" s="278"/>
      <c r="T753" s="278"/>
      <c r="U753" s="278"/>
      <c r="V753" s="278"/>
      <c r="W753" s="278"/>
      <c r="X753" s="278"/>
    </row>
    <row r="754" ht="15.75" customHeight="1">
      <c r="B754" s="278"/>
      <c r="C754" s="278"/>
      <c r="D754" s="278"/>
      <c r="F754" s="278"/>
      <c r="G754" s="278"/>
      <c r="H754" s="278"/>
      <c r="I754" s="278"/>
      <c r="J754" s="278"/>
      <c r="K754" s="278"/>
      <c r="L754" s="278"/>
      <c r="M754" s="278"/>
      <c r="N754" s="278"/>
      <c r="O754" s="278"/>
      <c r="P754" s="278"/>
      <c r="Q754" s="278"/>
      <c r="R754" s="278"/>
      <c r="S754" s="278"/>
      <c r="T754" s="278"/>
      <c r="U754" s="278"/>
      <c r="V754" s="278"/>
      <c r="W754" s="278"/>
      <c r="X754" s="278"/>
    </row>
    <row r="755" ht="15.75" customHeight="1">
      <c r="B755" s="278"/>
      <c r="C755" s="278"/>
      <c r="D755" s="278"/>
      <c r="F755" s="278"/>
      <c r="G755" s="278"/>
      <c r="H755" s="278"/>
      <c r="I755" s="278"/>
      <c r="J755" s="278"/>
      <c r="K755" s="278"/>
      <c r="L755" s="278"/>
      <c r="M755" s="278"/>
      <c r="N755" s="278"/>
      <c r="O755" s="278"/>
      <c r="P755" s="278"/>
      <c r="Q755" s="278"/>
      <c r="R755" s="278"/>
      <c r="S755" s="278"/>
      <c r="T755" s="278"/>
      <c r="U755" s="278"/>
      <c r="V755" s="278"/>
      <c r="W755" s="278"/>
      <c r="X755" s="278"/>
    </row>
    <row r="756" ht="15.75" customHeight="1">
      <c r="B756" s="278"/>
      <c r="C756" s="278"/>
      <c r="D756" s="278"/>
      <c r="F756" s="278"/>
      <c r="G756" s="278"/>
      <c r="H756" s="278"/>
      <c r="I756" s="278"/>
      <c r="J756" s="278"/>
      <c r="K756" s="278"/>
      <c r="L756" s="278"/>
      <c r="M756" s="278"/>
      <c r="N756" s="278"/>
      <c r="O756" s="278"/>
      <c r="P756" s="278"/>
      <c r="Q756" s="278"/>
      <c r="R756" s="278"/>
      <c r="S756" s="278"/>
      <c r="T756" s="278"/>
      <c r="U756" s="278"/>
      <c r="V756" s="278"/>
      <c r="W756" s="278"/>
      <c r="X756" s="278"/>
    </row>
    <row r="757" ht="15.75" customHeight="1">
      <c r="B757" s="278"/>
      <c r="C757" s="278"/>
      <c r="D757" s="278"/>
      <c r="F757" s="278"/>
      <c r="G757" s="278"/>
      <c r="H757" s="278"/>
      <c r="I757" s="278"/>
      <c r="J757" s="278"/>
      <c r="K757" s="278"/>
      <c r="L757" s="278"/>
      <c r="M757" s="278"/>
      <c r="N757" s="278"/>
      <c r="O757" s="278"/>
      <c r="P757" s="278"/>
      <c r="Q757" s="278"/>
      <c r="R757" s="278"/>
      <c r="S757" s="278"/>
      <c r="T757" s="278"/>
      <c r="U757" s="278"/>
      <c r="V757" s="278"/>
      <c r="W757" s="278"/>
      <c r="X757" s="278"/>
    </row>
    <row r="758" ht="15.75" customHeight="1">
      <c r="B758" s="278"/>
      <c r="C758" s="278"/>
      <c r="D758" s="278"/>
      <c r="F758" s="278"/>
      <c r="G758" s="278"/>
      <c r="H758" s="278"/>
      <c r="I758" s="278"/>
      <c r="J758" s="278"/>
      <c r="K758" s="278"/>
      <c r="L758" s="278"/>
      <c r="M758" s="278"/>
      <c r="N758" s="278"/>
      <c r="O758" s="278"/>
      <c r="P758" s="278"/>
      <c r="Q758" s="278"/>
      <c r="R758" s="278"/>
      <c r="S758" s="278"/>
      <c r="T758" s="278"/>
      <c r="U758" s="278"/>
      <c r="V758" s="278"/>
      <c r="W758" s="278"/>
      <c r="X758" s="278"/>
    </row>
    <row r="759" ht="15.75" customHeight="1">
      <c r="B759" s="278"/>
      <c r="C759" s="278"/>
      <c r="D759" s="278"/>
      <c r="F759" s="278"/>
      <c r="G759" s="278"/>
      <c r="H759" s="278"/>
      <c r="I759" s="278"/>
      <c r="J759" s="278"/>
      <c r="K759" s="278"/>
      <c r="L759" s="278"/>
      <c r="M759" s="278"/>
      <c r="N759" s="278"/>
      <c r="O759" s="278"/>
      <c r="P759" s="278"/>
      <c r="Q759" s="278"/>
      <c r="R759" s="278"/>
      <c r="S759" s="278"/>
      <c r="T759" s="278"/>
      <c r="U759" s="278"/>
      <c r="V759" s="278"/>
      <c r="W759" s="278"/>
      <c r="X759" s="278"/>
    </row>
    <row r="760" ht="15.75" customHeight="1">
      <c r="B760" s="278"/>
      <c r="C760" s="278"/>
      <c r="D760" s="278"/>
      <c r="F760" s="278"/>
      <c r="G760" s="278"/>
      <c r="H760" s="278"/>
      <c r="I760" s="278"/>
      <c r="J760" s="278"/>
      <c r="K760" s="278"/>
      <c r="L760" s="278"/>
      <c r="M760" s="278"/>
      <c r="N760" s="278"/>
      <c r="O760" s="278"/>
      <c r="P760" s="278"/>
      <c r="Q760" s="278"/>
      <c r="R760" s="278"/>
      <c r="S760" s="278"/>
      <c r="T760" s="278"/>
      <c r="U760" s="278"/>
      <c r="V760" s="278"/>
      <c r="W760" s="278"/>
      <c r="X760" s="278"/>
    </row>
    <row r="761" ht="15.75" customHeight="1">
      <c r="B761" s="278"/>
      <c r="C761" s="278"/>
      <c r="D761" s="278"/>
      <c r="F761" s="278"/>
      <c r="G761" s="278"/>
      <c r="H761" s="278"/>
      <c r="I761" s="278"/>
      <c r="J761" s="278"/>
      <c r="K761" s="278"/>
      <c r="L761" s="278"/>
      <c r="M761" s="278"/>
      <c r="N761" s="278"/>
      <c r="O761" s="278"/>
      <c r="P761" s="278"/>
      <c r="Q761" s="278"/>
      <c r="R761" s="278"/>
      <c r="S761" s="278"/>
      <c r="T761" s="278"/>
      <c r="U761" s="278"/>
      <c r="V761" s="278"/>
      <c r="W761" s="278"/>
      <c r="X761" s="278"/>
    </row>
    <row r="762" ht="15.75" customHeight="1">
      <c r="B762" s="278"/>
      <c r="C762" s="278"/>
      <c r="D762" s="278"/>
      <c r="F762" s="278"/>
      <c r="G762" s="278"/>
      <c r="H762" s="278"/>
      <c r="I762" s="278"/>
      <c r="J762" s="278"/>
      <c r="K762" s="278"/>
      <c r="L762" s="278"/>
      <c r="M762" s="278"/>
      <c r="N762" s="278"/>
      <c r="O762" s="278"/>
      <c r="P762" s="278"/>
      <c r="Q762" s="278"/>
      <c r="R762" s="278"/>
      <c r="S762" s="278"/>
      <c r="T762" s="278"/>
      <c r="U762" s="278"/>
      <c r="V762" s="278"/>
      <c r="W762" s="278"/>
      <c r="X762" s="278"/>
    </row>
    <row r="763" ht="15.75" customHeight="1">
      <c r="B763" s="278"/>
      <c r="C763" s="278"/>
      <c r="D763" s="278"/>
      <c r="F763" s="278"/>
      <c r="G763" s="278"/>
      <c r="H763" s="278"/>
      <c r="I763" s="278"/>
      <c r="J763" s="278"/>
      <c r="K763" s="278"/>
      <c r="L763" s="278"/>
      <c r="M763" s="278"/>
      <c r="N763" s="278"/>
      <c r="O763" s="278"/>
      <c r="P763" s="278"/>
      <c r="Q763" s="278"/>
      <c r="R763" s="278"/>
      <c r="S763" s="278"/>
      <c r="T763" s="278"/>
      <c r="U763" s="278"/>
      <c r="V763" s="278"/>
      <c r="W763" s="278"/>
      <c r="X763" s="278"/>
    </row>
    <row r="764" ht="15.75" customHeight="1">
      <c r="B764" s="278"/>
      <c r="C764" s="278"/>
      <c r="D764" s="278"/>
      <c r="F764" s="278"/>
      <c r="G764" s="278"/>
      <c r="H764" s="278"/>
      <c r="I764" s="278"/>
      <c r="J764" s="278"/>
      <c r="K764" s="278"/>
      <c r="L764" s="278"/>
      <c r="M764" s="278"/>
      <c r="N764" s="278"/>
      <c r="O764" s="278"/>
      <c r="P764" s="278"/>
      <c r="Q764" s="278"/>
      <c r="R764" s="278"/>
      <c r="S764" s="278"/>
      <c r="T764" s="278"/>
      <c r="U764" s="278"/>
      <c r="V764" s="278"/>
      <c r="W764" s="278"/>
      <c r="X764" s="278"/>
    </row>
    <row r="765" ht="15.75" customHeight="1">
      <c r="B765" s="278"/>
      <c r="C765" s="278"/>
      <c r="D765" s="278"/>
      <c r="F765" s="278"/>
      <c r="G765" s="278"/>
      <c r="H765" s="278"/>
      <c r="I765" s="278"/>
      <c r="J765" s="278"/>
      <c r="K765" s="278"/>
      <c r="L765" s="278"/>
      <c r="M765" s="278"/>
      <c r="N765" s="278"/>
      <c r="O765" s="278"/>
      <c r="P765" s="278"/>
      <c r="Q765" s="278"/>
      <c r="R765" s="278"/>
      <c r="S765" s="278"/>
      <c r="T765" s="278"/>
      <c r="U765" s="278"/>
      <c r="V765" s="278"/>
      <c r="W765" s="278"/>
      <c r="X765" s="278"/>
    </row>
    <row r="766" ht="15.75" customHeight="1">
      <c r="B766" s="278"/>
      <c r="C766" s="278"/>
      <c r="D766" s="278"/>
      <c r="F766" s="278"/>
      <c r="G766" s="278"/>
      <c r="H766" s="278"/>
      <c r="I766" s="278"/>
      <c r="J766" s="278"/>
      <c r="K766" s="278"/>
      <c r="L766" s="278"/>
      <c r="M766" s="278"/>
      <c r="N766" s="278"/>
      <c r="O766" s="278"/>
      <c r="P766" s="278"/>
      <c r="Q766" s="278"/>
      <c r="R766" s="278"/>
      <c r="S766" s="278"/>
      <c r="T766" s="278"/>
      <c r="U766" s="278"/>
      <c r="V766" s="278"/>
      <c r="W766" s="278"/>
      <c r="X766" s="278"/>
    </row>
    <row r="767" ht="15.75" customHeight="1">
      <c r="B767" s="278"/>
      <c r="C767" s="278"/>
      <c r="D767" s="278"/>
      <c r="F767" s="278"/>
      <c r="G767" s="278"/>
      <c r="H767" s="278"/>
      <c r="I767" s="278"/>
      <c r="J767" s="278"/>
      <c r="K767" s="278"/>
      <c r="L767" s="278"/>
      <c r="M767" s="278"/>
      <c r="N767" s="278"/>
      <c r="O767" s="278"/>
      <c r="P767" s="278"/>
      <c r="Q767" s="278"/>
      <c r="R767" s="278"/>
      <c r="S767" s="278"/>
      <c r="T767" s="278"/>
      <c r="U767" s="278"/>
      <c r="V767" s="278"/>
      <c r="W767" s="278"/>
      <c r="X767" s="278"/>
    </row>
    <row r="768" ht="15.75" customHeight="1">
      <c r="B768" s="278"/>
      <c r="C768" s="278"/>
      <c r="D768" s="278"/>
      <c r="F768" s="278"/>
      <c r="G768" s="278"/>
      <c r="H768" s="278"/>
      <c r="I768" s="278"/>
      <c r="J768" s="278"/>
      <c r="K768" s="278"/>
      <c r="L768" s="278"/>
      <c r="M768" s="278"/>
      <c r="N768" s="278"/>
      <c r="O768" s="278"/>
      <c r="P768" s="278"/>
      <c r="Q768" s="278"/>
      <c r="R768" s="278"/>
      <c r="S768" s="278"/>
      <c r="T768" s="278"/>
      <c r="U768" s="278"/>
      <c r="V768" s="278"/>
      <c r="W768" s="278"/>
      <c r="X768" s="278"/>
    </row>
    <row r="769" ht="15.75" customHeight="1">
      <c r="B769" s="278"/>
      <c r="C769" s="278"/>
      <c r="D769" s="278"/>
      <c r="F769" s="278"/>
      <c r="G769" s="278"/>
      <c r="H769" s="278"/>
      <c r="I769" s="278"/>
      <c r="J769" s="278"/>
      <c r="K769" s="278"/>
      <c r="L769" s="278"/>
      <c r="M769" s="278"/>
      <c r="N769" s="278"/>
      <c r="O769" s="278"/>
      <c r="P769" s="278"/>
      <c r="Q769" s="278"/>
      <c r="R769" s="278"/>
      <c r="S769" s="278"/>
      <c r="T769" s="278"/>
      <c r="U769" s="278"/>
      <c r="V769" s="278"/>
      <c r="W769" s="278"/>
      <c r="X769" s="278"/>
    </row>
    <row r="770" ht="15.75" customHeight="1">
      <c r="B770" s="278"/>
      <c r="C770" s="278"/>
      <c r="D770" s="278"/>
      <c r="F770" s="278"/>
      <c r="G770" s="278"/>
      <c r="H770" s="278"/>
      <c r="I770" s="278"/>
      <c r="J770" s="278"/>
      <c r="K770" s="278"/>
      <c r="L770" s="278"/>
      <c r="M770" s="278"/>
      <c r="N770" s="278"/>
      <c r="O770" s="278"/>
      <c r="P770" s="278"/>
      <c r="Q770" s="278"/>
      <c r="R770" s="278"/>
      <c r="S770" s="278"/>
      <c r="T770" s="278"/>
      <c r="U770" s="278"/>
      <c r="V770" s="278"/>
      <c r="W770" s="278"/>
      <c r="X770" s="278"/>
    </row>
    <row r="771" ht="15.75" customHeight="1">
      <c r="B771" s="278"/>
      <c r="C771" s="278"/>
      <c r="D771" s="278"/>
      <c r="F771" s="278"/>
      <c r="G771" s="278"/>
      <c r="H771" s="278"/>
      <c r="I771" s="278"/>
      <c r="J771" s="278"/>
      <c r="K771" s="278"/>
      <c r="L771" s="278"/>
      <c r="M771" s="278"/>
      <c r="N771" s="278"/>
      <c r="O771" s="278"/>
      <c r="P771" s="278"/>
      <c r="Q771" s="278"/>
      <c r="R771" s="278"/>
      <c r="S771" s="278"/>
      <c r="T771" s="278"/>
      <c r="U771" s="278"/>
      <c r="V771" s="278"/>
      <c r="W771" s="278"/>
      <c r="X771" s="278"/>
    </row>
    <row r="772" ht="15.75" customHeight="1">
      <c r="B772" s="278"/>
      <c r="C772" s="278"/>
      <c r="D772" s="278"/>
      <c r="F772" s="278"/>
      <c r="G772" s="278"/>
      <c r="H772" s="278"/>
      <c r="I772" s="278"/>
      <c r="J772" s="278"/>
      <c r="K772" s="278"/>
      <c r="L772" s="278"/>
      <c r="M772" s="278"/>
      <c r="N772" s="278"/>
      <c r="O772" s="278"/>
      <c r="P772" s="278"/>
      <c r="Q772" s="278"/>
      <c r="R772" s="278"/>
      <c r="S772" s="278"/>
      <c r="T772" s="278"/>
      <c r="U772" s="278"/>
      <c r="V772" s="278"/>
      <c r="W772" s="278"/>
      <c r="X772" s="278"/>
    </row>
    <row r="773" ht="15.75" customHeight="1">
      <c r="B773" s="278"/>
      <c r="C773" s="278"/>
      <c r="D773" s="278"/>
      <c r="F773" s="278"/>
      <c r="G773" s="278"/>
      <c r="H773" s="278"/>
      <c r="I773" s="278"/>
      <c r="J773" s="278"/>
      <c r="K773" s="278"/>
      <c r="L773" s="278"/>
      <c r="M773" s="278"/>
      <c r="N773" s="278"/>
      <c r="O773" s="278"/>
      <c r="P773" s="278"/>
      <c r="Q773" s="278"/>
      <c r="R773" s="278"/>
      <c r="S773" s="278"/>
      <c r="T773" s="278"/>
      <c r="U773" s="278"/>
      <c r="V773" s="278"/>
      <c r="W773" s="278"/>
      <c r="X773" s="278"/>
    </row>
    <row r="774" ht="15.75" customHeight="1">
      <c r="B774" s="278"/>
      <c r="C774" s="278"/>
      <c r="D774" s="278"/>
      <c r="F774" s="278"/>
      <c r="G774" s="278"/>
      <c r="H774" s="278"/>
      <c r="I774" s="278"/>
      <c r="J774" s="278"/>
      <c r="K774" s="278"/>
      <c r="L774" s="278"/>
      <c r="M774" s="278"/>
      <c r="N774" s="278"/>
      <c r="O774" s="278"/>
      <c r="P774" s="278"/>
      <c r="Q774" s="278"/>
      <c r="R774" s="278"/>
      <c r="S774" s="278"/>
      <c r="T774" s="278"/>
      <c r="U774" s="278"/>
      <c r="V774" s="278"/>
      <c r="W774" s="278"/>
      <c r="X774" s="278"/>
    </row>
    <row r="775" ht="15.75" customHeight="1">
      <c r="B775" s="278"/>
      <c r="C775" s="278"/>
      <c r="D775" s="278"/>
      <c r="F775" s="278"/>
      <c r="G775" s="278"/>
      <c r="H775" s="278"/>
      <c r="I775" s="278"/>
      <c r="J775" s="278"/>
      <c r="K775" s="278"/>
      <c r="L775" s="278"/>
      <c r="M775" s="278"/>
      <c r="N775" s="278"/>
      <c r="O775" s="278"/>
      <c r="P775" s="278"/>
      <c r="Q775" s="278"/>
      <c r="R775" s="278"/>
      <c r="S775" s="278"/>
      <c r="T775" s="278"/>
      <c r="U775" s="278"/>
      <c r="V775" s="278"/>
      <c r="W775" s="278"/>
      <c r="X775" s="278"/>
    </row>
    <row r="776" ht="15.75" customHeight="1">
      <c r="B776" s="278"/>
      <c r="C776" s="278"/>
      <c r="D776" s="278"/>
      <c r="F776" s="278"/>
      <c r="G776" s="278"/>
      <c r="H776" s="278"/>
      <c r="I776" s="278"/>
      <c r="J776" s="278"/>
      <c r="K776" s="278"/>
      <c r="L776" s="278"/>
      <c r="M776" s="278"/>
      <c r="N776" s="278"/>
      <c r="O776" s="278"/>
      <c r="P776" s="278"/>
      <c r="Q776" s="278"/>
      <c r="R776" s="278"/>
      <c r="S776" s="278"/>
      <c r="T776" s="278"/>
      <c r="U776" s="278"/>
      <c r="V776" s="278"/>
      <c r="W776" s="278"/>
      <c r="X776" s="278"/>
    </row>
    <row r="777" ht="15.75" customHeight="1">
      <c r="B777" s="278"/>
      <c r="C777" s="278"/>
      <c r="D777" s="278"/>
      <c r="F777" s="278"/>
      <c r="G777" s="278"/>
      <c r="H777" s="278"/>
      <c r="I777" s="278"/>
      <c r="J777" s="278"/>
      <c r="K777" s="278"/>
      <c r="L777" s="278"/>
      <c r="M777" s="278"/>
      <c r="N777" s="278"/>
      <c r="O777" s="278"/>
      <c r="P777" s="278"/>
      <c r="Q777" s="278"/>
      <c r="R777" s="278"/>
      <c r="S777" s="278"/>
      <c r="T777" s="278"/>
      <c r="U777" s="278"/>
      <c r="V777" s="278"/>
      <c r="W777" s="278"/>
      <c r="X777" s="278"/>
    </row>
    <row r="778" ht="15.75" customHeight="1">
      <c r="B778" s="278"/>
      <c r="C778" s="278"/>
      <c r="D778" s="278"/>
      <c r="F778" s="278"/>
      <c r="G778" s="278"/>
      <c r="H778" s="278"/>
      <c r="I778" s="278"/>
      <c r="J778" s="278"/>
      <c r="K778" s="278"/>
      <c r="L778" s="278"/>
      <c r="M778" s="278"/>
      <c r="N778" s="278"/>
      <c r="O778" s="278"/>
      <c r="P778" s="278"/>
      <c r="Q778" s="278"/>
      <c r="R778" s="278"/>
      <c r="S778" s="278"/>
      <c r="T778" s="278"/>
      <c r="U778" s="278"/>
      <c r="V778" s="278"/>
      <c r="W778" s="278"/>
      <c r="X778" s="278"/>
    </row>
    <row r="779" ht="15.75" customHeight="1">
      <c r="B779" s="278"/>
      <c r="C779" s="278"/>
      <c r="D779" s="278"/>
      <c r="F779" s="278"/>
      <c r="G779" s="278"/>
      <c r="H779" s="278"/>
      <c r="I779" s="278"/>
      <c r="J779" s="278"/>
      <c r="K779" s="278"/>
      <c r="L779" s="278"/>
      <c r="M779" s="278"/>
      <c r="N779" s="278"/>
      <c r="O779" s="278"/>
      <c r="P779" s="278"/>
      <c r="Q779" s="278"/>
      <c r="R779" s="278"/>
      <c r="S779" s="278"/>
      <c r="T779" s="278"/>
      <c r="U779" s="278"/>
      <c r="V779" s="278"/>
      <c r="W779" s="278"/>
      <c r="X779" s="278"/>
    </row>
    <row r="780" ht="15.75" customHeight="1">
      <c r="B780" s="278"/>
      <c r="C780" s="278"/>
      <c r="D780" s="278"/>
      <c r="F780" s="278"/>
      <c r="G780" s="278"/>
      <c r="H780" s="278"/>
      <c r="I780" s="278"/>
      <c r="J780" s="278"/>
      <c r="K780" s="278"/>
      <c r="L780" s="278"/>
      <c r="M780" s="278"/>
      <c r="N780" s="278"/>
      <c r="O780" s="278"/>
      <c r="P780" s="278"/>
      <c r="Q780" s="278"/>
      <c r="R780" s="278"/>
      <c r="S780" s="278"/>
      <c r="T780" s="278"/>
      <c r="U780" s="278"/>
      <c r="V780" s="278"/>
      <c r="W780" s="278"/>
      <c r="X780" s="278"/>
    </row>
    <row r="781" ht="15.75" customHeight="1">
      <c r="B781" s="278"/>
      <c r="C781" s="278"/>
      <c r="D781" s="278"/>
      <c r="F781" s="278"/>
      <c r="G781" s="278"/>
      <c r="H781" s="278"/>
      <c r="I781" s="278"/>
      <c r="J781" s="278"/>
      <c r="K781" s="278"/>
      <c r="L781" s="278"/>
      <c r="M781" s="278"/>
      <c r="N781" s="278"/>
      <c r="O781" s="278"/>
      <c r="P781" s="278"/>
      <c r="Q781" s="278"/>
      <c r="R781" s="278"/>
      <c r="S781" s="278"/>
      <c r="T781" s="278"/>
      <c r="U781" s="278"/>
      <c r="V781" s="278"/>
      <c r="W781" s="278"/>
      <c r="X781" s="278"/>
    </row>
    <row r="782" ht="15.75" customHeight="1">
      <c r="B782" s="278"/>
      <c r="C782" s="278"/>
      <c r="D782" s="278"/>
      <c r="F782" s="278"/>
      <c r="G782" s="278"/>
      <c r="H782" s="278"/>
      <c r="I782" s="278"/>
      <c r="J782" s="278"/>
      <c r="K782" s="278"/>
      <c r="L782" s="278"/>
      <c r="M782" s="278"/>
      <c r="N782" s="278"/>
      <c r="O782" s="278"/>
      <c r="P782" s="278"/>
      <c r="Q782" s="278"/>
      <c r="R782" s="278"/>
      <c r="S782" s="278"/>
      <c r="T782" s="278"/>
      <c r="U782" s="278"/>
      <c r="V782" s="278"/>
      <c r="W782" s="278"/>
      <c r="X782" s="278"/>
    </row>
    <row r="783" ht="15.75" customHeight="1">
      <c r="B783" s="278"/>
      <c r="C783" s="278"/>
      <c r="D783" s="278"/>
      <c r="F783" s="278"/>
      <c r="G783" s="278"/>
      <c r="H783" s="278"/>
      <c r="I783" s="278"/>
      <c r="J783" s="278"/>
      <c r="K783" s="278"/>
      <c r="L783" s="278"/>
      <c r="M783" s="278"/>
      <c r="N783" s="278"/>
      <c r="O783" s="278"/>
      <c r="P783" s="278"/>
      <c r="Q783" s="278"/>
      <c r="R783" s="278"/>
      <c r="S783" s="278"/>
      <c r="T783" s="278"/>
      <c r="U783" s="278"/>
      <c r="V783" s="278"/>
      <c r="W783" s="278"/>
      <c r="X783" s="278"/>
    </row>
    <row r="784" ht="15.75" customHeight="1">
      <c r="B784" s="278"/>
      <c r="C784" s="278"/>
      <c r="D784" s="278"/>
      <c r="F784" s="278"/>
      <c r="G784" s="278"/>
      <c r="H784" s="278"/>
      <c r="I784" s="278"/>
      <c r="J784" s="278"/>
      <c r="K784" s="278"/>
      <c r="L784" s="278"/>
      <c r="M784" s="278"/>
      <c r="N784" s="278"/>
      <c r="O784" s="278"/>
      <c r="P784" s="278"/>
      <c r="Q784" s="278"/>
      <c r="R784" s="278"/>
      <c r="S784" s="278"/>
      <c r="T784" s="278"/>
      <c r="U784" s="278"/>
      <c r="V784" s="278"/>
      <c r="W784" s="278"/>
      <c r="X784" s="278"/>
    </row>
    <row r="785" ht="15.75" customHeight="1">
      <c r="B785" s="278"/>
      <c r="C785" s="278"/>
      <c r="D785" s="278"/>
      <c r="F785" s="278"/>
      <c r="G785" s="278"/>
      <c r="H785" s="278"/>
      <c r="I785" s="278"/>
      <c r="J785" s="278"/>
      <c r="K785" s="278"/>
      <c r="L785" s="278"/>
      <c r="M785" s="278"/>
      <c r="N785" s="278"/>
      <c r="O785" s="278"/>
      <c r="P785" s="278"/>
      <c r="Q785" s="278"/>
      <c r="R785" s="278"/>
      <c r="S785" s="278"/>
      <c r="T785" s="278"/>
      <c r="U785" s="278"/>
      <c r="V785" s="278"/>
      <c r="W785" s="278"/>
      <c r="X785" s="278"/>
    </row>
    <row r="786" ht="15.75" customHeight="1">
      <c r="B786" s="278"/>
      <c r="C786" s="278"/>
      <c r="D786" s="278"/>
      <c r="F786" s="278"/>
      <c r="G786" s="278"/>
      <c r="H786" s="278"/>
      <c r="I786" s="278"/>
      <c r="J786" s="278"/>
      <c r="K786" s="278"/>
      <c r="L786" s="278"/>
      <c r="M786" s="278"/>
      <c r="N786" s="278"/>
      <c r="O786" s="278"/>
      <c r="P786" s="278"/>
      <c r="Q786" s="278"/>
      <c r="R786" s="278"/>
      <c r="S786" s="278"/>
      <c r="T786" s="278"/>
      <c r="U786" s="278"/>
      <c r="V786" s="278"/>
      <c r="W786" s="278"/>
      <c r="X786" s="278"/>
    </row>
    <row r="787" ht="15.75" customHeight="1">
      <c r="B787" s="278"/>
      <c r="C787" s="278"/>
      <c r="D787" s="278"/>
      <c r="F787" s="278"/>
      <c r="G787" s="278"/>
      <c r="H787" s="278"/>
      <c r="I787" s="278"/>
      <c r="J787" s="278"/>
      <c r="K787" s="278"/>
      <c r="L787" s="278"/>
      <c r="M787" s="278"/>
      <c r="N787" s="278"/>
      <c r="O787" s="278"/>
      <c r="P787" s="278"/>
      <c r="Q787" s="278"/>
      <c r="R787" s="278"/>
      <c r="S787" s="278"/>
      <c r="T787" s="278"/>
      <c r="U787" s="278"/>
      <c r="V787" s="278"/>
      <c r="W787" s="278"/>
      <c r="X787" s="278"/>
    </row>
    <row r="788" ht="15.75" customHeight="1">
      <c r="B788" s="278"/>
      <c r="C788" s="278"/>
      <c r="D788" s="278"/>
      <c r="F788" s="278"/>
      <c r="G788" s="278"/>
      <c r="H788" s="278"/>
      <c r="I788" s="278"/>
      <c r="J788" s="278"/>
      <c r="K788" s="278"/>
      <c r="L788" s="278"/>
      <c r="M788" s="278"/>
      <c r="N788" s="278"/>
      <c r="O788" s="278"/>
      <c r="P788" s="278"/>
      <c r="Q788" s="278"/>
      <c r="R788" s="278"/>
      <c r="S788" s="278"/>
      <c r="T788" s="278"/>
      <c r="U788" s="278"/>
      <c r="V788" s="278"/>
      <c r="W788" s="278"/>
      <c r="X788" s="278"/>
    </row>
    <row r="789" ht="15.75" customHeight="1">
      <c r="B789" s="278"/>
      <c r="C789" s="278"/>
      <c r="D789" s="278"/>
      <c r="F789" s="278"/>
      <c r="G789" s="278"/>
      <c r="H789" s="278"/>
      <c r="I789" s="278"/>
      <c r="J789" s="278"/>
      <c r="K789" s="278"/>
      <c r="L789" s="278"/>
      <c r="M789" s="278"/>
      <c r="N789" s="278"/>
      <c r="O789" s="278"/>
      <c r="P789" s="278"/>
      <c r="Q789" s="278"/>
      <c r="R789" s="278"/>
      <c r="S789" s="278"/>
      <c r="T789" s="278"/>
      <c r="U789" s="278"/>
      <c r="V789" s="278"/>
      <c r="W789" s="278"/>
      <c r="X789" s="278"/>
    </row>
    <row r="790" ht="15.75" customHeight="1">
      <c r="B790" s="278"/>
      <c r="C790" s="278"/>
      <c r="D790" s="278"/>
      <c r="F790" s="278"/>
      <c r="G790" s="278"/>
      <c r="H790" s="278"/>
      <c r="I790" s="278"/>
      <c r="J790" s="278"/>
      <c r="K790" s="278"/>
      <c r="L790" s="278"/>
      <c r="M790" s="278"/>
      <c r="N790" s="278"/>
      <c r="O790" s="278"/>
      <c r="P790" s="278"/>
      <c r="Q790" s="278"/>
      <c r="R790" s="278"/>
      <c r="S790" s="278"/>
      <c r="T790" s="278"/>
      <c r="U790" s="278"/>
      <c r="V790" s="278"/>
      <c r="W790" s="278"/>
      <c r="X790" s="278"/>
    </row>
    <row r="791" ht="15.75" customHeight="1">
      <c r="B791" s="278"/>
      <c r="C791" s="278"/>
      <c r="D791" s="278"/>
      <c r="F791" s="278"/>
      <c r="G791" s="278"/>
      <c r="H791" s="278"/>
      <c r="I791" s="278"/>
      <c r="J791" s="278"/>
      <c r="K791" s="278"/>
      <c r="L791" s="278"/>
      <c r="M791" s="278"/>
      <c r="N791" s="278"/>
      <c r="O791" s="278"/>
      <c r="P791" s="278"/>
      <c r="Q791" s="278"/>
      <c r="R791" s="278"/>
      <c r="S791" s="278"/>
      <c r="T791" s="278"/>
      <c r="U791" s="278"/>
      <c r="V791" s="278"/>
      <c r="W791" s="278"/>
      <c r="X791" s="278"/>
    </row>
    <row r="792" ht="15.75" customHeight="1">
      <c r="B792" s="278"/>
      <c r="C792" s="278"/>
      <c r="D792" s="278"/>
      <c r="F792" s="278"/>
      <c r="G792" s="278"/>
      <c r="H792" s="278"/>
      <c r="I792" s="278"/>
      <c r="J792" s="278"/>
      <c r="K792" s="278"/>
      <c r="L792" s="278"/>
      <c r="M792" s="278"/>
      <c r="N792" s="278"/>
      <c r="O792" s="278"/>
      <c r="P792" s="278"/>
      <c r="Q792" s="278"/>
      <c r="R792" s="278"/>
      <c r="S792" s="278"/>
      <c r="T792" s="278"/>
      <c r="U792" s="278"/>
      <c r="V792" s="278"/>
      <c r="W792" s="278"/>
      <c r="X792" s="278"/>
    </row>
    <row r="793" ht="15.75" customHeight="1">
      <c r="B793" s="278"/>
      <c r="C793" s="278"/>
      <c r="D793" s="278"/>
      <c r="F793" s="278"/>
      <c r="G793" s="278"/>
      <c r="H793" s="278"/>
      <c r="I793" s="278"/>
      <c r="J793" s="278"/>
      <c r="K793" s="278"/>
      <c r="L793" s="278"/>
      <c r="M793" s="278"/>
      <c r="N793" s="278"/>
      <c r="O793" s="278"/>
      <c r="P793" s="278"/>
      <c r="Q793" s="278"/>
      <c r="R793" s="278"/>
      <c r="S793" s="278"/>
      <c r="T793" s="278"/>
      <c r="U793" s="278"/>
      <c r="V793" s="278"/>
      <c r="W793" s="278"/>
      <c r="X793" s="278"/>
    </row>
    <row r="794" ht="15.75" customHeight="1">
      <c r="B794" s="278"/>
      <c r="C794" s="278"/>
      <c r="D794" s="278"/>
      <c r="F794" s="278"/>
      <c r="G794" s="278"/>
      <c r="H794" s="278"/>
      <c r="I794" s="278"/>
      <c r="J794" s="278"/>
      <c r="K794" s="278"/>
      <c r="L794" s="278"/>
      <c r="M794" s="278"/>
      <c r="N794" s="278"/>
      <c r="O794" s="278"/>
      <c r="P794" s="278"/>
      <c r="Q794" s="278"/>
      <c r="R794" s="278"/>
      <c r="S794" s="278"/>
      <c r="T794" s="278"/>
      <c r="U794" s="278"/>
      <c r="V794" s="278"/>
      <c r="W794" s="278"/>
      <c r="X794" s="278"/>
    </row>
    <row r="795" ht="15.75" customHeight="1">
      <c r="B795" s="278"/>
      <c r="C795" s="278"/>
      <c r="D795" s="278"/>
      <c r="F795" s="278"/>
      <c r="G795" s="278"/>
      <c r="H795" s="278"/>
      <c r="I795" s="278"/>
      <c r="J795" s="278"/>
      <c r="K795" s="278"/>
      <c r="L795" s="278"/>
      <c r="M795" s="278"/>
      <c r="N795" s="278"/>
      <c r="O795" s="278"/>
      <c r="P795" s="278"/>
      <c r="Q795" s="278"/>
      <c r="R795" s="278"/>
      <c r="S795" s="278"/>
      <c r="T795" s="278"/>
      <c r="U795" s="278"/>
      <c r="V795" s="278"/>
      <c r="W795" s="278"/>
      <c r="X795" s="278"/>
    </row>
    <row r="796" ht="15.75" customHeight="1">
      <c r="B796" s="278"/>
      <c r="C796" s="278"/>
      <c r="D796" s="278"/>
      <c r="F796" s="278"/>
      <c r="G796" s="278"/>
      <c r="H796" s="278"/>
      <c r="I796" s="278"/>
      <c r="J796" s="278"/>
      <c r="K796" s="278"/>
      <c r="L796" s="278"/>
      <c r="M796" s="278"/>
      <c r="N796" s="278"/>
      <c r="O796" s="278"/>
      <c r="P796" s="278"/>
      <c r="Q796" s="278"/>
      <c r="R796" s="278"/>
      <c r="S796" s="278"/>
      <c r="T796" s="278"/>
      <c r="U796" s="278"/>
      <c r="V796" s="278"/>
      <c r="W796" s="278"/>
      <c r="X796" s="278"/>
    </row>
    <row r="797" ht="15.75" customHeight="1">
      <c r="B797" s="278"/>
      <c r="C797" s="278"/>
      <c r="D797" s="278"/>
      <c r="F797" s="278"/>
      <c r="G797" s="278"/>
      <c r="H797" s="278"/>
      <c r="I797" s="278"/>
      <c r="J797" s="278"/>
      <c r="K797" s="278"/>
      <c r="L797" s="278"/>
      <c r="M797" s="278"/>
      <c r="N797" s="278"/>
      <c r="O797" s="278"/>
      <c r="P797" s="278"/>
      <c r="Q797" s="278"/>
      <c r="R797" s="278"/>
      <c r="S797" s="278"/>
      <c r="T797" s="278"/>
      <c r="U797" s="278"/>
      <c r="V797" s="278"/>
      <c r="W797" s="278"/>
      <c r="X797" s="278"/>
    </row>
    <row r="798" ht="15.75" customHeight="1">
      <c r="B798" s="278"/>
      <c r="C798" s="278"/>
      <c r="D798" s="278"/>
      <c r="F798" s="278"/>
      <c r="G798" s="278"/>
      <c r="H798" s="278"/>
      <c r="I798" s="278"/>
      <c r="J798" s="278"/>
      <c r="K798" s="278"/>
      <c r="L798" s="278"/>
      <c r="M798" s="278"/>
      <c r="N798" s="278"/>
      <c r="O798" s="278"/>
      <c r="P798" s="278"/>
      <c r="Q798" s="278"/>
      <c r="R798" s="278"/>
      <c r="S798" s="278"/>
      <c r="T798" s="278"/>
      <c r="U798" s="278"/>
      <c r="V798" s="278"/>
      <c r="W798" s="278"/>
      <c r="X798" s="278"/>
    </row>
    <row r="799" ht="15.75" customHeight="1">
      <c r="B799" s="278"/>
      <c r="C799" s="278"/>
      <c r="D799" s="278"/>
      <c r="F799" s="278"/>
      <c r="G799" s="278"/>
      <c r="H799" s="278"/>
      <c r="I799" s="278"/>
      <c r="J799" s="278"/>
      <c r="K799" s="278"/>
      <c r="L799" s="278"/>
      <c r="M799" s="278"/>
      <c r="N799" s="278"/>
      <c r="O799" s="278"/>
      <c r="P799" s="278"/>
      <c r="Q799" s="278"/>
      <c r="R799" s="278"/>
      <c r="S799" s="278"/>
      <c r="T799" s="278"/>
      <c r="U799" s="278"/>
      <c r="V799" s="278"/>
      <c r="W799" s="278"/>
      <c r="X799" s="278"/>
    </row>
    <row r="800" ht="15.75" customHeight="1">
      <c r="B800" s="278"/>
      <c r="C800" s="278"/>
      <c r="D800" s="278"/>
      <c r="F800" s="278"/>
      <c r="G800" s="278"/>
      <c r="H800" s="278"/>
      <c r="I800" s="278"/>
      <c r="J800" s="278"/>
      <c r="K800" s="278"/>
      <c r="L800" s="278"/>
      <c r="M800" s="278"/>
      <c r="N800" s="278"/>
      <c r="O800" s="278"/>
      <c r="P800" s="278"/>
      <c r="Q800" s="278"/>
      <c r="R800" s="278"/>
      <c r="S800" s="278"/>
      <c r="T800" s="278"/>
      <c r="U800" s="278"/>
      <c r="V800" s="278"/>
      <c r="W800" s="278"/>
      <c r="X800" s="278"/>
    </row>
    <row r="801" ht="15.75" customHeight="1">
      <c r="B801" s="278"/>
      <c r="C801" s="278"/>
      <c r="D801" s="278"/>
      <c r="F801" s="278"/>
      <c r="G801" s="278"/>
      <c r="H801" s="278"/>
      <c r="I801" s="278"/>
      <c r="J801" s="278"/>
      <c r="K801" s="278"/>
      <c r="L801" s="278"/>
      <c r="M801" s="278"/>
      <c r="N801" s="278"/>
      <c r="O801" s="278"/>
      <c r="P801" s="278"/>
      <c r="Q801" s="278"/>
      <c r="R801" s="278"/>
      <c r="S801" s="278"/>
      <c r="T801" s="278"/>
      <c r="U801" s="278"/>
      <c r="V801" s="278"/>
      <c r="W801" s="278"/>
      <c r="X801" s="278"/>
    </row>
    <row r="802" ht="15.75" customHeight="1">
      <c r="B802" s="278"/>
      <c r="C802" s="278"/>
      <c r="D802" s="278"/>
      <c r="F802" s="278"/>
      <c r="G802" s="278"/>
      <c r="H802" s="278"/>
      <c r="I802" s="278"/>
      <c r="J802" s="278"/>
      <c r="K802" s="278"/>
      <c r="L802" s="278"/>
      <c r="M802" s="278"/>
      <c r="N802" s="278"/>
      <c r="O802" s="278"/>
      <c r="P802" s="278"/>
      <c r="Q802" s="278"/>
      <c r="R802" s="278"/>
      <c r="S802" s="278"/>
      <c r="T802" s="278"/>
      <c r="U802" s="278"/>
      <c r="V802" s="278"/>
      <c r="W802" s="278"/>
      <c r="X802" s="278"/>
    </row>
    <row r="803" ht="15.75" customHeight="1">
      <c r="B803" s="278"/>
      <c r="C803" s="278"/>
      <c r="D803" s="278"/>
      <c r="F803" s="278"/>
      <c r="G803" s="278"/>
      <c r="H803" s="278"/>
      <c r="I803" s="278"/>
      <c r="J803" s="278"/>
      <c r="K803" s="278"/>
      <c r="L803" s="278"/>
      <c r="M803" s="278"/>
      <c r="N803" s="278"/>
      <c r="O803" s="278"/>
      <c r="P803" s="278"/>
      <c r="Q803" s="278"/>
      <c r="R803" s="278"/>
      <c r="S803" s="278"/>
      <c r="T803" s="278"/>
      <c r="U803" s="278"/>
      <c r="V803" s="278"/>
      <c r="W803" s="278"/>
      <c r="X803" s="278"/>
    </row>
    <row r="804" ht="15.75" customHeight="1">
      <c r="B804" s="278"/>
      <c r="C804" s="278"/>
      <c r="D804" s="278"/>
      <c r="F804" s="278"/>
      <c r="G804" s="278"/>
      <c r="H804" s="278"/>
      <c r="I804" s="278"/>
      <c r="J804" s="278"/>
      <c r="K804" s="278"/>
      <c r="L804" s="278"/>
      <c r="M804" s="278"/>
      <c r="N804" s="278"/>
      <c r="O804" s="278"/>
      <c r="P804" s="278"/>
      <c r="Q804" s="278"/>
      <c r="R804" s="278"/>
      <c r="S804" s="278"/>
      <c r="T804" s="278"/>
      <c r="U804" s="278"/>
      <c r="V804" s="278"/>
      <c r="W804" s="278"/>
      <c r="X804" s="278"/>
    </row>
    <row r="805" ht="15.75" customHeight="1">
      <c r="B805" s="278"/>
      <c r="C805" s="278"/>
      <c r="D805" s="278"/>
      <c r="F805" s="278"/>
      <c r="G805" s="278"/>
      <c r="H805" s="278"/>
      <c r="I805" s="278"/>
      <c r="J805" s="278"/>
      <c r="K805" s="278"/>
      <c r="L805" s="278"/>
      <c r="M805" s="278"/>
      <c r="N805" s="278"/>
      <c r="O805" s="278"/>
      <c r="P805" s="278"/>
      <c r="Q805" s="278"/>
      <c r="R805" s="278"/>
      <c r="S805" s="278"/>
      <c r="T805" s="278"/>
      <c r="U805" s="278"/>
      <c r="V805" s="278"/>
      <c r="W805" s="278"/>
      <c r="X805" s="278"/>
    </row>
    <row r="806" ht="15.75" customHeight="1">
      <c r="B806" s="278"/>
      <c r="C806" s="278"/>
      <c r="D806" s="278"/>
      <c r="F806" s="278"/>
      <c r="G806" s="278"/>
      <c r="H806" s="278"/>
      <c r="I806" s="278"/>
      <c r="J806" s="278"/>
      <c r="K806" s="278"/>
      <c r="L806" s="278"/>
      <c r="M806" s="278"/>
      <c r="N806" s="278"/>
      <c r="O806" s="278"/>
      <c r="P806" s="278"/>
      <c r="Q806" s="278"/>
      <c r="R806" s="278"/>
      <c r="S806" s="278"/>
      <c r="T806" s="278"/>
      <c r="U806" s="278"/>
      <c r="V806" s="278"/>
      <c r="W806" s="278"/>
      <c r="X806" s="278"/>
    </row>
    <row r="807" ht="15.75" customHeight="1">
      <c r="B807" s="278"/>
      <c r="C807" s="278"/>
      <c r="D807" s="278"/>
      <c r="F807" s="278"/>
      <c r="G807" s="278"/>
      <c r="H807" s="278"/>
      <c r="I807" s="278"/>
      <c r="J807" s="278"/>
      <c r="K807" s="278"/>
      <c r="L807" s="278"/>
      <c r="M807" s="278"/>
      <c r="N807" s="278"/>
      <c r="O807" s="278"/>
      <c r="P807" s="278"/>
      <c r="Q807" s="278"/>
      <c r="R807" s="278"/>
      <c r="S807" s="278"/>
      <c r="T807" s="278"/>
      <c r="U807" s="278"/>
      <c r="V807" s="278"/>
      <c r="W807" s="278"/>
      <c r="X807" s="278"/>
    </row>
    <row r="808" ht="15.75" customHeight="1">
      <c r="B808" s="278"/>
      <c r="C808" s="278"/>
      <c r="D808" s="278"/>
      <c r="F808" s="278"/>
      <c r="G808" s="278"/>
      <c r="H808" s="278"/>
      <c r="I808" s="278"/>
      <c r="J808" s="278"/>
      <c r="K808" s="278"/>
      <c r="L808" s="278"/>
      <c r="M808" s="278"/>
      <c r="N808" s="278"/>
      <c r="O808" s="278"/>
      <c r="P808" s="278"/>
      <c r="Q808" s="278"/>
      <c r="R808" s="278"/>
      <c r="S808" s="278"/>
      <c r="T808" s="278"/>
      <c r="U808" s="278"/>
      <c r="V808" s="278"/>
      <c r="W808" s="278"/>
      <c r="X808" s="278"/>
    </row>
    <row r="809" ht="15.75" customHeight="1">
      <c r="B809" s="278"/>
      <c r="C809" s="278"/>
      <c r="D809" s="278"/>
      <c r="F809" s="278"/>
      <c r="G809" s="278"/>
      <c r="H809" s="278"/>
      <c r="I809" s="278"/>
      <c r="J809" s="278"/>
      <c r="K809" s="278"/>
      <c r="L809" s="278"/>
      <c r="M809" s="278"/>
      <c r="N809" s="278"/>
      <c r="O809" s="278"/>
      <c r="P809" s="278"/>
      <c r="Q809" s="278"/>
      <c r="R809" s="278"/>
      <c r="S809" s="278"/>
      <c r="T809" s="278"/>
      <c r="U809" s="278"/>
      <c r="V809" s="278"/>
      <c r="W809" s="278"/>
      <c r="X809" s="278"/>
    </row>
    <row r="810" ht="15.75" customHeight="1">
      <c r="B810" s="278"/>
      <c r="C810" s="278"/>
      <c r="D810" s="278"/>
      <c r="F810" s="278"/>
      <c r="G810" s="278"/>
      <c r="H810" s="278"/>
      <c r="I810" s="278"/>
      <c r="J810" s="278"/>
      <c r="K810" s="278"/>
      <c r="L810" s="278"/>
      <c r="M810" s="278"/>
      <c r="N810" s="278"/>
      <c r="O810" s="278"/>
      <c r="P810" s="278"/>
      <c r="Q810" s="278"/>
      <c r="R810" s="278"/>
      <c r="S810" s="278"/>
      <c r="T810" s="278"/>
      <c r="U810" s="278"/>
      <c r="V810" s="278"/>
      <c r="W810" s="278"/>
      <c r="X810" s="278"/>
    </row>
    <row r="811" ht="15.75" customHeight="1">
      <c r="B811" s="278"/>
      <c r="C811" s="278"/>
      <c r="D811" s="278"/>
      <c r="F811" s="278"/>
      <c r="G811" s="278"/>
      <c r="H811" s="278"/>
      <c r="I811" s="278"/>
      <c r="J811" s="278"/>
      <c r="K811" s="278"/>
      <c r="L811" s="278"/>
      <c r="M811" s="278"/>
      <c r="N811" s="278"/>
      <c r="O811" s="278"/>
      <c r="P811" s="278"/>
      <c r="Q811" s="278"/>
      <c r="R811" s="278"/>
      <c r="S811" s="278"/>
      <c r="T811" s="278"/>
      <c r="U811" s="278"/>
      <c r="V811" s="278"/>
      <c r="W811" s="278"/>
      <c r="X811" s="278"/>
    </row>
    <row r="812" ht="15.75" customHeight="1">
      <c r="B812" s="278"/>
      <c r="C812" s="278"/>
      <c r="D812" s="278"/>
      <c r="F812" s="278"/>
      <c r="G812" s="278"/>
      <c r="H812" s="278"/>
      <c r="I812" s="278"/>
      <c r="J812" s="278"/>
      <c r="K812" s="278"/>
      <c r="L812" s="278"/>
      <c r="M812" s="278"/>
      <c r="N812" s="278"/>
      <c r="O812" s="278"/>
      <c r="P812" s="278"/>
      <c r="Q812" s="278"/>
      <c r="R812" s="278"/>
      <c r="S812" s="278"/>
      <c r="T812" s="278"/>
      <c r="U812" s="278"/>
      <c r="V812" s="278"/>
      <c r="W812" s="278"/>
      <c r="X812" s="278"/>
    </row>
    <row r="813" ht="15.75" customHeight="1">
      <c r="B813" s="278"/>
      <c r="C813" s="278"/>
      <c r="D813" s="278"/>
      <c r="F813" s="278"/>
      <c r="G813" s="278"/>
      <c r="H813" s="278"/>
      <c r="I813" s="278"/>
      <c r="J813" s="278"/>
      <c r="K813" s="278"/>
      <c r="L813" s="278"/>
      <c r="M813" s="278"/>
      <c r="N813" s="278"/>
      <c r="O813" s="278"/>
      <c r="P813" s="278"/>
      <c r="Q813" s="278"/>
      <c r="R813" s="278"/>
      <c r="S813" s="278"/>
      <c r="T813" s="278"/>
      <c r="U813" s="278"/>
      <c r="V813" s="278"/>
      <c r="W813" s="278"/>
      <c r="X813" s="278"/>
    </row>
    <row r="814" ht="15.75" customHeight="1">
      <c r="B814" s="278"/>
      <c r="C814" s="278"/>
      <c r="D814" s="278"/>
      <c r="F814" s="278"/>
      <c r="G814" s="278"/>
      <c r="H814" s="278"/>
      <c r="I814" s="278"/>
      <c r="J814" s="278"/>
      <c r="K814" s="278"/>
      <c r="L814" s="278"/>
      <c r="M814" s="278"/>
      <c r="N814" s="278"/>
      <c r="O814" s="278"/>
      <c r="P814" s="278"/>
      <c r="Q814" s="278"/>
      <c r="R814" s="278"/>
      <c r="S814" s="278"/>
      <c r="T814" s="278"/>
      <c r="U814" s="278"/>
      <c r="V814" s="278"/>
      <c r="W814" s="278"/>
      <c r="X814" s="278"/>
    </row>
    <row r="815" ht="15.75" customHeight="1">
      <c r="B815" s="278"/>
      <c r="C815" s="278"/>
      <c r="D815" s="278"/>
      <c r="F815" s="278"/>
      <c r="G815" s="278"/>
      <c r="H815" s="278"/>
      <c r="I815" s="278"/>
      <c r="J815" s="278"/>
      <c r="K815" s="278"/>
      <c r="L815" s="278"/>
      <c r="M815" s="278"/>
      <c r="N815" s="278"/>
      <c r="O815" s="278"/>
      <c r="P815" s="278"/>
      <c r="Q815" s="278"/>
      <c r="R815" s="278"/>
      <c r="S815" s="278"/>
      <c r="T815" s="278"/>
      <c r="U815" s="278"/>
      <c r="V815" s="278"/>
      <c r="W815" s="278"/>
      <c r="X815" s="278"/>
    </row>
    <row r="816" ht="15.75" customHeight="1">
      <c r="B816" s="278"/>
      <c r="C816" s="278"/>
      <c r="D816" s="278"/>
      <c r="F816" s="278"/>
      <c r="G816" s="278"/>
      <c r="H816" s="278"/>
      <c r="I816" s="278"/>
      <c r="J816" s="278"/>
      <c r="K816" s="278"/>
      <c r="L816" s="278"/>
      <c r="M816" s="278"/>
      <c r="N816" s="278"/>
      <c r="O816" s="278"/>
      <c r="P816" s="278"/>
      <c r="Q816" s="278"/>
      <c r="R816" s="278"/>
      <c r="S816" s="278"/>
      <c r="T816" s="278"/>
      <c r="U816" s="278"/>
      <c r="V816" s="278"/>
      <c r="W816" s="278"/>
      <c r="X816" s="278"/>
    </row>
    <row r="817" ht="15.75" customHeight="1">
      <c r="B817" s="278"/>
      <c r="C817" s="278"/>
      <c r="D817" s="278"/>
      <c r="F817" s="278"/>
      <c r="G817" s="278"/>
      <c r="H817" s="278"/>
      <c r="I817" s="278"/>
      <c r="J817" s="278"/>
      <c r="K817" s="278"/>
      <c r="L817" s="278"/>
      <c r="M817" s="278"/>
      <c r="N817" s="278"/>
      <c r="O817" s="278"/>
      <c r="P817" s="278"/>
      <c r="Q817" s="278"/>
      <c r="R817" s="278"/>
      <c r="S817" s="278"/>
      <c r="T817" s="278"/>
      <c r="U817" s="278"/>
      <c r="V817" s="278"/>
      <c r="W817" s="278"/>
      <c r="X817" s="278"/>
    </row>
    <row r="818" ht="15.75" customHeight="1">
      <c r="B818" s="278"/>
      <c r="C818" s="278"/>
      <c r="D818" s="278"/>
      <c r="F818" s="278"/>
      <c r="G818" s="278"/>
      <c r="H818" s="278"/>
      <c r="I818" s="278"/>
      <c r="J818" s="278"/>
      <c r="K818" s="278"/>
      <c r="L818" s="278"/>
      <c r="M818" s="278"/>
      <c r="N818" s="278"/>
      <c r="O818" s="278"/>
      <c r="P818" s="278"/>
      <c r="Q818" s="278"/>
      <c r="R818" s="278"/>
      <c r="S818" s="278"/>
      <c r="T818" s="278"/>
      <c r="U818" s="278"/>
      <c r="V818" s="278"/>
      <c r="W818" s="278"/>
      <c r="X818" s="278"/>
    </row>
    <row r="819" ht="15.75" customHeight="1">
      <c r="B819" s="278"/>
      <c r="C819" s="278"/>
      <c r="D819" s="278"/>
      <c r="F819" s="278"/>
      <c r="G819" s="278"/>
      <c r="H819" s="278"/>
      <c r="I819" s="278"/>
      <c r="J819" s="278"/>
      <c r="K819" s="278"/>
      <c r="L819" s="278"/>
      <c r="M819" s="278"/>
      <c r="N819" s="278"/>
      <c r="O819" s="278"/>
      <c r="P819" s="278"/>
      <c r="Q819" s="278"/>
      <c r="R819" s="278"/>
      <c r="S819" s="278"/>
      <c r="T819" s="278"/>
      <c r="U819" s="278"/>
      <c r="V819" s="278"/>
      <c r="W819" s="278"/>
      <c r="X819" s="278"/>
    </row>
    <row r="820" ht="15.75" customHeight="1">
      <c r="B820" s="278"/>
      <c r="C820" s="278"/>
      <c r="D820" s="278"/>
      <c r="F820" s="278"/>
      <c r="G820" s="278"/>
      <c r="H820" s="278"/>
      <c r="I820" s="278"/>
      <c r="J820" s="278"/>
      <c r="K820" s="278"/>
      <c r="L820" s="278"/>
      <c r="M820" s="278"/>
      <c r="N820" s="278"/>
      <c r="O820" s="278"/>
      <c r="P820" s="278"/>
      <c r="Q820" s="278"/>
      <c r="R820" s="278"/>
      <c r="S820" s="278"/>
      <c r="T820" s="278"/>
      <c r="U820" s="278"/>
      <c r="V820" s="278"/>
      <c r="W820" s="278"/>
      <c r="X820" s="278"/>
    </row>
    <row r="821" ht="15.75" customHeight="1">
      <c r="B821" s="278"/>
      <c r="C821" s="278"/>
      <c r="D821" s="278"/>
      <c r="F821" s="278"/>
      <c r="G821" s="278"/>
      <c r="H821" s="278"/>
      <c r="I821" s="278"/>
      <c r="J821" s="278"/>
      <c r="K821" s="278"/>
      <c r="L821" s="278"/>
      <c r="M821" s="278"/>
      <c r="N821" s="278"/>
      <c r="O821" s="278"/>
      <c r="P821" s="278"/>
      <c r="Q821" s="278"/>
      <c r="R821" s="278"/>
      <c r="S821" s="278"/>
      <c r="T821" s="278"/>
      <c r="U821" s="278"/>
      <c r="V821" s="278"/>
      <c r="W821" s="278"/>
      <c r="X821" s="278"/>
    </row>
    <row r="822" ht="15.75" customHeight="1">
      <c r="B822" s="278"/>
      <c r="C822" s="278"/>
      <c r="D822" s="278"/>
      <c r="F822" s="278"/>
      <c r="G822" s="278"/>
      <c r="H822" s="278"/>
      <c r="I822" s="278"/>
      <c r="J822" s="278"/>
      <c r="K822" s="278"/>
      <c r="L822" s="278"/>
      <c r="M822" s="278"/>
      <c r="N822" s="278"/>
      <c r="O822" s="278"/>
      <c r="P822" s="278"/>
      <c r="Q822" s="278"/>
      <c r="R822" s="278"/>
      <c r="S822" s="278"/>
      <c r="T822" s="278"/>
      <c r="U822" s="278"/>
      <c r="V822" s="278"/>
      <c r="W822" s="278"/>
      <c r="X822" s="278"/>
    </row>
    <row r="823" ht="15.75" customHeight="1">
      <c r="B823" s="278"/>
      <c r="C823" s="278"/>
      <c r="D823" s="278"/>
      <c r="F823" s="278"/>
      <c r="G823" s="278"/>
      <c r="H823" s="278"/>
      <c r="I823" s="278"/>
      <c r="J823" s="278"/>
      <c r="K823" s="278"/>
      <c r="L823" s="278"/>
      <c r="M823" s="278"/>
      <c r="N823" s="278"/>
      <c r="O823" s="278"/>
      <c r="P823" s="278"/>
      <c r="Q823" s="278"/>
      <c r="R823" s="278"/>
      <c r="S823" s="278"/>
      <c r="T823" s="278"/>
      <c r="U823" s="278"/>
      <c r="V823" s="278"/>
      <c r="W823" s="278"/>
      <c r="X823" s="278"/>
    </row>
    <row r="824" ht="15.75" customHeight="1">
      <c r="B824" s="278"/>
      <c r="C824" s="278"/>
      <c r="D824" s="278"/>
      <c r="F824" s="278"/>
      <c r="G824" s="278"/>
      <c r="H824" s="278"/>
      <c r="I824" s="278"/>
      <c r="J824" s="278"/>
      <c r="K824" s="278"/>
      <c r="L824" s="278"/>
      <c r="M824" s="278"/>
      <c r="N824" s="278"/>
      <c r="O824" s="278"/>
      <c r="P824" s="278"/>
      <c r="Q824" s="278"/>
      <c r="R824" s="278"/>
      <c r="S824" s="278"/>
      <c r="T824" s="278"/>
      <c r="U824" s="278"/>
      <c r="V824" s="278"/>
      <c r="W824" s="278"/>
      <c r="X824" s="278"/>
    </row>
    <row r="825" ht="15.75" customHeight="1">
      <c r="B825" s="278"/>
      <c r="C825" s="278"/>
      <c r="D825" s="278"/>
      <c r="F825" s="278"/>
      <c r="G825" s="278"/>
      <c r="H825" s="278"/>
      <c r="I825" s="278"/>
      <c r="J825" s="278"/>
      <c r="K825" s="278"/>
      <c r="L825" s="278"/>
      <c r="M825" s="278"/>
      <c r="N825" s="278"/>
      <c r="O825" s="278"/>
      <c r="P825" s="278"/>
      <c r="Q825" s="278"/>
      <c r="R825" s="278"/>
      <c r="S825" s="278"/>
      <c r="T825" s="278"/>
      <c r="U825" s="278"/>
      <c r="V825" s="278"/>
      <c r="W825" s="278"/>
      <c r="X825" s="278"/>
    </row>
    <row r="826" ht="15.75" customHeight="1">
      <c r="B826" s="278"/>
      <c r="C826" s="278"/>
      <c r="D826" s="278"/>
      <c r="F826" s="278"/>
      <c r="G826" s="278"/>
      <c r="H826" s="278"/>
      <c r="I826" s="278"/>
      <c r="J826" s="278"/>
      <c r="K826" s="278"/>
      <c r="L826" s="278"/>
      <c r="M826" s="278"/>
      <c r="N826" s="278"/>
      <c r="O826" s="278"/>
      <c r="P826" s="278"/>
      <c r="Q826" s="278"/>
      <c r="R826" s="278"/>
      <c r="S826" s="278"/>
      <c r="T826" s="278"/>
      <c r="U826" s="278"/>
      <c r="V826" s="278"/>
      <c r="W826" s="278"/>
      <c r="X826" s="278"/>
    </row>
    <row r="827" ht="15.75" customHeight="1">
      <c r="B827" s="278"/>
      <c r="C827" s="278"/>
      <c r="D827" s="278"/>
      <c r="F827" s="278"/>
      <c r="G827" s="278"/>
      <c r="H827" s="278"/>
      <c r="I827" s="278"/>
      <c r="J827" s="278"/>
      <c r="K827" s="278"/>
      <c r="L827" s="278"/>
      <c r="M827" s="278"/>
      <c r="N827" s="278"/>
      <c r="O827" s="278"/>
      <c r="P827" s="278"/>
      <c r="Q827" s="278"/>
      <c r="R827" s="278"/>
      <c r="S827" s="278"/>
      <c r="T827" s="278"/>
      <c r="U827" s="278"/>
      <c r="V827" s="278"/>
      <c r="W827" s="278"/>
      <c r="X827" s="278"/>
    </row>
    <row r="828" ht="15.75" customHeight="1">
      <c r="B828" s="278"/>
      <c r="C828" s="278"/>
      <c r="D828" s="278"/>
      <c r="F828" s="278"/>
      <c r="G828" s="278"/>
      <c r="H828" s="278"/>
      <c r="I828" s="278"/>
      <c r="J828" s="278"/>
      <c r="K828" s="278"/>
      <c r="L828" s="278"/>
      <c r="M828" s="278"/>
      <c r="N828" s="278"/>
      <c r="O828" s="278"/>
      <c r="P828" s="278"/>
      <c r="Q828" s="278"/>
      <c r="R828" s="278"/>
      <c r="S828" s="278"/>
      <c r="T828" s="278"/>
      <c r="U828" s="278"/>
      <c r="V828" s="278"/>
      <c r="W828" s="278"/>
      <c r="X828" s="278"/>
    </row>
    <row r="829" ht="15.75" customHeight="1">
      <c r="B829" s="278"/>
      <c r="C829" s="278"/>
      <c r="D829" s="278"/>
      <c r="F829" s="278"/>
      <c r="G829" s="278"/>
      <c r="H829" s="278"/>
      <c r="I829" s="278"/>
      <c r="J829" s="278"/>
      <c r="K829" s="278"/>
      <c r="L829" s="278"/>
      <c r="M829" s="278"/>
      <c r="N829" s="278"/>
      <c r="O829" s="278"/>
      <c r="P829" s="278"/>
      <c r="Q829" s="278"/>
      <c r="R829" s="278"/>
      <c r="S829" s="278"/>
      <c r="T829" s="278"/>
      <c r="U829" s="278"/>
      <c r="V829" s="278"/>
      <c r="W829" s="278"/>
      <c r="X829" s="278"/>
    </row>
    <row r="830" ht="15.75" customHeight="1">
      <c r="B830" s="278"/>
      <c r="C830" s="278"/>
      <c r="D830" s="278"/>
      <c r="F830" s="278"/>
      <c r="G830" s="278"/>
      <c r="H830" s="278"/>
      <c r="I830" s="278"/>
      <c r="J830" s="278"/>
      <c r="K830" s="278"/>
      <c r="L830" s="278"/>
      <c r="M830" s="278"/>
      <c r="N830" s="278"/>
      <c r="O830" s="278"/>
      <c r="P830" s="278"/>
      <c r="Q830" s="278"/>
      <c r="R830" s="278"/>
      <c r="S830" s="278"/>
      <c r="T830" s="278"/>
      <c r="U830" s="278"/>
      <c r="V830" s="278"/>
      <c r="W830" s="278"/>
      <c r="X830" s="278"/>
    </row>
    <row r="831" ht="15.75" customHeight="1">
      <c r="B831" s="278"/>
      <c r="C831" s="278"/>
      <c r="D831" s="278"/>
      <c r="F831" s="278"/>
      <c r="G831" s="278"/>
      <c r="H831" s="278"/>
      <c r="I831" s="278"/>
      <c r="J831" s="278"/>
      <c r="K831" s="278"/>
      <c r="L831" s="278"/>
      <c r="M831" s="278"/>
      <c r="N831" s="278"/>
      <c r="O831" s="278"/>
      <c r="P831" s="278"/>
      <c r="Q831" s="278"/>
      <c r="R831" s="278"/>
      <c r="S831" s="278"/>
      <c r="T831" s="278"/>
      <c r="U831" s="278"/>
      <c r="V831" s="278"/>
      <c r="W831" s="278"/>
      <c r="X831" s="278"/>
    </row>
    <row r="832" ht="15.75" customHeight="1">
      <c r="B832" s="278"/>
      <c r="C832" s="278"/>
      <c r="D832" s="278"/>
      <c r="F832" s="278"/>
      <c r="G832" s="278"/>
      <c r="H832" s="278"/>
      <c r="I832" s="278"/>
      <c r="J832" s="278"/>
      <c r="K832" s="278"/>
      <c r="L832" s="278"/>
      <c r="M832" s="278"/>
      <c r="N832" s="278"/>
      <c r="O832" s="278"/>
      <c r="P832" s="278"/>
      <c r="Q832" s="278"/>
      <c r="R832" s="278"/>
      <c r="S832" s="278"/>
      <c r="T832" s="278"/>
      <c r="U832" s="278"/>
      <c r="V832" s="278"/>
      <c r="W832" s="278"/>
      <c r="X832" s="278"/>
    </row>
    <row r="833" ht="15.75" customHeight="1">
      <c r="B833" s="278"/>
      <c r="C833" s="278"/>
      <c r="D833" s="278"/>
      <c r="F833" s="278"/>
      <c r="G833" s="278"/>
      <c r="H833" s="278"/>
      <c r="I833" s="278"/>
      <c r="J833" s="278"/>
      <c r="K833" s="278"/>
      <c r="L833" s="278"/>
      <c r="M833" s="278"/>
      <c r="N833" s="278"/>
      <c r="O833" s="278"/>
      <c r="P833" s="278"/>
      <c r="Q833" s="278"/>
      <c r="R833" s="278"/>
      <c r="S833" s="278"/>
      <c r="T833" s="278"/>
      <c r="U833" s="278"/>
      <c r="V833" s="278"/>
      <c r="W833" s="278"/>
      <c r="X833" s="278"/>
    </row>
    <row r="834" ht="15.75" customHeight="1">
      <c r="B834" s="278"/>
      <c r="C834" s="278"/>
      <c r="D834" s="278"/>
      <c r="F834" s="278"/>
      <c r="G834" s="278"/>
      <c r="H834" s="278"/>
      <c r="I834" s="278"/>
      <c r="J834" s="278"/>
      <c r="K834" s="278"/>
      <c r="L834" s="278"/>
      <c r="M834" s="278"/>
      <c r="N834" s="278"/>
      <c r="O834" s="278"/>
      <c r="P834" s="278"/>
      <c r="Q834" s="278"/>
      <c r="R834" s="278"/>
      <c r="S834" s="278"/>
      <c r="T834" s="278"/>
      <c r="U834" s="278"/>
      <c r="V834" s="278"/>
      <c r="W834" s="278"/>
      <c r="X834" s="278"/>
    </row>
    <row r="835" ht="15.75" customHeight="1">
      <c r="B835" s="278"/>
      <c r="C835" s="278"/>
      <c r="D835" s="278"/>
      <c r="F835" s="278"/>
      <c r="G835" s="278"/>
      <c r="H835" s="278"/>
      <c r="I835" s="278"/>
      <c r="J835" s="278"/>
      <c r="K835" s="278"/>
      <c r="L835" s="278"/>
      <c r="M835" s="278"/>
      <c r="N835" s="278"/>
      <c r="O835" s="278"/>
      <c r="P835" s="278"/>
      <c r="Q835" s="278"/>
      <c r="R835" s="278"/>
      <c r="S835" s="278"/>
      <c r="T835" s="278"/>
      <c r="U835" s="278"/>
      <c r="V835" s="278"/>
      <c r="W835" s="278"/>
      <c r="X835" s="278"/>
    </row>
    <row r="836" ht="15.75" customHeight="1">
      <c r="B836" s="278"/>
      <c r="C836" s="278"/>
      <c r="D836" s="278"/>
      <c r="F836" s="278"/>
      <c r="G836" s="278"/>
      <c r="H836" s="278"/>
      <c r="I836" s="278"/>
      <c r="J836" s="278"/>
      <c r="K836" s="278"/>
      <c r="L836" s="278"/>
      <c r="M836" s="278"/>
      <c r="N836" s="278"/>
      <c r="O836" s="278"/>
      <c r="P836" s="278"/>
      <c r="Q836" s="278"/>
      <c r="R836" s="278"/>
      <c r="S836" s="278"/>
      <c r="T836" s="278"/>
      <c r="U836" s="278"/>
      <c r="V836" s="278"/>
      <c r="W836" s="278"/>
      <c r="X836" s="278"/>
    </row>
    <row r="837" ht="15.75" customHeight="1">
      <c r="B837" s="278"/>
      <c r="C837" s="278"/>
      <c r="D837" s="278"/>
      <c r="F837" s="278"/>
      <c r="G837" s="278"/>
      <c r="H837" s="278"/>
      <c r="I837" s="278"/>
      <c r="J837" s="278"/>
      <c r="K837" s="278"/>
      <c r="L837" s="278"/>
      <c r="M837" s="278"/>
      <c r="N837" s="278"/>
      <c r="O837" s="278"/>
      <c r="P837" s="278"/>
      <c r="Q837" s="278"/>
      <c r="R837" s="278"/>
      <c r="S837" s="278"/>
      <c r="T837" s="278"/>
      <c r="U837" s="278"/>
      <c r="V837" s="278"/>
      <c r="W837" s="278"/>
      <c r="X837" s="278"/>
    </row>
    <row r="838" ht="15.75" customHeight="1">
      <c r="B838" s="278"/>
      <c r="C838" s="278"/>
      <c r="D838" s="278"/>
      <c r="F838" s="278"/>
      <c r="G838" s="278"/>
      <c r="H838" s="278"/>
      <c r="I838" s="278"/>
      <c r="J838" s="278"/>
      <c r="K838" s="278"/>
      <c r="L838" s="278"/>
      <c r="M838" s="278"/>
      <c r="N838" s="278"/>
      <c r="O838" s="278"/>
      <c r="P838" s="278"/>
      <c r="Q838" s="278"/>
      <c r="R838" s="278"/>
      <c r="S838" s="278"/>
      <c r="T838" s="278"/>
      <c r="U838" s="278"/>
      <c r="V838" s="278"/>
      <c r="W838" s="278"/>
      <c r="X838" s="278"/>
    </row>
    <row r="839" ht="15.75" customHeight="1">
      <c r="B839" s="278"/>
      <c r="C839" s="278"/>
      <c r="D839" s="278"/>
      <c r="F839" s="278"/>
      <c r="G839" s="278"/>
      <c r="H839" s="278"/>
      <c r="I839" s="278"/>
      <c r="J839" s="278"/>
      <c r="K839" s="278"/>
      <c r="L839" s="278"/>
      <c r="M839" s="278"/>
      <c r="N839" s="278"/>
      <c r="O839" s="278"/>
      <c r="P839" s="278"/>
      <c r="Q839" s="278"/>
      <c r="R839" s="278"/>
      <c r="S839" s="278"/>
      <c r="T839" s="278"/>
      <c r="U839" s="278"/>
      <c r="V839" s="278"/>
      <c r="W839" s="278"/>
      <c r="X839" s="278"/>
    </row>
    <row r="840" ht="15.75" customHeight="1">
      <c r="B840" s="278"/>
      <c r="C840" s="278"/>
      <c r="D840" s="278"/>
      <c r="F840" s="278"/>
      <c r="G840" s="278"/>
      <c r="H840" s="278"/>
      <c r="I840" s="278"/>
      <c r="J840" s="278"/>
      <c r="K840" s="278"/>
      <c r="L840" s="278"/>
      <c r="M840" s="278"/>
      <c r="N840" s="278"/>
      <c r="O840" s="278"/>
      <c r="P840" s="278"/>
      <c r="Q840" s="278"/>
      <c r="R840" s="278"/>
      <c r="S840" s="278"/>
      <c r="T840" s="278"/>
      <c r="U840" s="278"/>
      <c r="V840" s="278"/>
      <c r="W840" s="278"/>
      <c r="X840" s="278"/>
    </row>
    <row r="841" ht="15.75" customHeight="1">
      <c r="B841" s="278"/>
      <c r="C841" s="278"/>
      <c r="D841" s="278"/>
      <c r="F841" s="278"/>
      <c r="G841" s="278"/>
      <c r="H841" s="278"/>
      <c r="I841" s="278"/>
      <c r="J841" s="278"/>
      <c r="K841" s="278"/>
      <c r="L841" s="278"/>
      <c r="M841" s="278"/>
      <c r="N841" s="278"/>
      <c r="O841" s="278"/>
      <c r="P841" s="278"/>
      <c r="Q841" s="278"/>
      <c r="R841" s="278"/>
      <c r="S841" s="278"/>
      <c r="T841" s="278"/>
      <c r="U841" s="278"/>
      <c r="V841" s="278"/>
      <c r="W841" s="278"/>
      <c r="X841" s="278"/>
    </row>
    <row r="842" ht="15.75" customHeight="1">
      <c r="B842" s="278"/>
      <c r="C842" s="278"/>
      <c r="D842" s="278"/>
      <c r="F842" s="278"/>
      <c r="G842" s="278"/>
      <c r="H842" s="278"/>
      <c r="I842" s="278"/>
      <c r="J842" s="278"/>
      <c r="K842" s="278"/>
      <c r="L842" s="278"/>
      <c r="M842" s="278"/>
      <c r="N842" s="278"/>
      <c r="O842" s="278"/>
      <c r="P842" s="278"/>
      <c r="Q842" s="278"/>
      <c r="R842" s="278"/>
      <c r="S842" s="278"/>
      <c r="T842" s="278"/>
      <c r="U842" s="278"/>
      <c r="V842" s="278"/>
      <c r="W842" s="278"/>
      <c r="X842" s="278"/>
    </row>
    <row r="843" ht="15.75" customHeight="1">
      <c r="B843" s="278"/>
      <c r="C843" s="278"/>
      <c r="D843" s="278"/>
      <c r="F843" s="278"/>
      <c r="G843" s="278"/>
      <c r="H843" s="278"/>
      <c r="I843" s="278"/>
      <c r="J843" s="278"/>
      <c r="K843" s="278"/>
      <c r="L843" s="278"/>
      <c r="M843" s="278"/>
      <c r="N843" s="278"/>
      <c r="O843" s="278"/>
      <c r="P843" s="278"/>
      <c r="Q843" s="278"/>
      <c r="R843" s="278"/>
      <c r="S843" s="278"/>
      <c r="T843" s="278"/>
      <c r="U843" s="278"/>
      <c r="V843" s="278"/>
      <c r="W843" s="278"/>
      <c r="X843" s="278"/>
    </row>
    <row r="844" ht="15.75" customHeight="1">
      <c r="B844" s="278"/>
      <c r="C844" s="278"/>
      <c r="D844" s="278"/>
      <c r="F844" s="278"/>
      <c r="G844" s="278"/>
      <c r="H844" s="278"/>
      <c r="I844" s="278"/>
      <c r="J844" s="278"/>
      <c r="K844" s="278"/>
      <c r="L844" s="278"/>
      <c r="M844" s="278"/>
      <c r="N844" s="278"/>
      <c r="O844" s="278"/>
      <c r="P844" s="278"/>
      <c r="Q844" s="278"/>
      <c r="R844" s="278"/>
      <c r="S844" s="278"/>
      <c r="T844" s="278"/>
      <c r="U844" s="278"/>
      <c r="V844" s="278"/>
      <c r="W844" s="278"/>
      <c r="X844" s="278"/>
    </row>
    <row r="845" ht="15.75" customHeight="1">
      <c r="B845" s="278"/>
      <c r="C845" s="278"/>
      <c r="D845" s="278"/>
      <c r="F845" s="278"/>
      <c r="G845" s="278"/>
      <c r="H845" s="278"/>
      <c r="I845" s="278"/>
      <c r="J845" s="278"/>
      <c r="K845" s="278"/>
      <c r="L845" s="278"/>
      <c r="M845" s="278"/>
      <c r="N845" s="278"/>
      <c r="O845" s="278"/>
      <c r="P845" s="278"/>
      <c r="Q845" s="278"/>
      <c r="R845" s="278"/>
      <c r="S845" s="278"/>
      <c r="T845" s="278"/>
      <c r="U845" s="278"/>
      <c r="V845" s="278"/>
      <c r="W845" s="278"/>
      <c r="X845" s="278"/>
    </row>
    <row r="846" ht="15.75" customHeight="1">
      <c r="B846" s="278"/>
      <c r="C846" s="278"/>
      <c r="D846" s="278"/>
      <c r="F846" s="278"/>
      <c r="G846" s="278"/>
      <c r="H846" s="278"/>
      <c r="I846" s="278"/>
      <c r="J846" s="278"/>
      <c r="K846" s="278"/>
      <c r="L846" s="278"/>
      <c r="M846" s="278"/>
      <c r="N846" s="278"/>
      <c r="O846" s="278"/>
      <c r="P846" s="278"/>
      <c r="Q846" s="278"/>
      <c r="R846" s="278"/>
      <c r="S846" s="278"/>
      <c r="T846" s="278"/>
      <c r="U846" s="278"/>
      <c r="V846" s="278"/>
      <c r="W846" s="278"/>
      <c r="X846" s="278"/>
    </row>
    <row r="847" ht="15.75" customHeight="1">
      <c r="B847" s="278"/>
      <c r="C847" s="278"/>
      <c r="D847" s="278"/>
      <c r="F847" s="278"/>
      <c r="G847" s="278"/>
      <c r="H847" s="278"/>
      <c r="I847" s="278"/>
      <c r="J847" s="278"/>
      <c r="K847" s="278"/>
      <c r="L847" s="278"/>
      <c r="M847" s="278"/>
      <c r="N847" s="278"/>
      <c r="O847" s="278"/>
      <c r="P847" s="278"/>
      <c r="Q847" s="278"/>
      <c r="R847" s="278"/>
      <c r="S847" s="278"/>
      <c r="T847" s="278"/>
      <c r="U847" s="278"/>
      <c r="V847" s="278"/>
      <c r="W847" s="278"/>
      <c r="X847" s="278"/>
    </row>
    <row r="848" ht="15.75" customHeight="1">
      <c r="B848" s="278"/>
      <c r="C848" s="278"/>
      <c r="D848" s="278"/>
      <c r="F848" s="278"/>
      <c r="G848" s="278"/>
      <c r="H848" s="278"/>
      <c r="I848" s="278"/>
      <c r="J848" s="278"/>
      <c r="K848" s="278"/>
      <c r="L848" s="278"/>
      <c r="M848" s="278"/>
      <c r="N848" s="278"/>
      <c r="O848" s="278"/>
      <c r="P848" s="278"/>
      <c r="Q848" s="278"/>
      <c r="R848" s="278"/>
      <c r="S848" s="278"/>
      <c r="T848" s="278"/>
      <c r="U848" s="278"/>
      <c r="V848" s="278"/>
      <c r="W848" s="278"/>
      <c r="X848" s="278"/>
    </row>
    <row r="849" ht="15.75" customHeight="1">
      <c r="B849" s="278"/>
      <c r="C849" s="278"/>
      <c r="D849" s="278"/>
      <c r="F849" s="278"/>
      <c r="G849" s="278"/>
      <c r="H849" s="278"/>
      <c r="I849" s="278"/>
      <c r="J849" s="278"/>
      <c r="K849" s="278"/>
      <c r="L849" s="278"/>
      <c r="M849" s="278"/>
      <c r="N849" s="278"/>
      <c r="O849" s="278"/>
      <c r="P849" s="278"/>
      <c r="Q849" s="278"/>
      <c r="R849" s="278"/>
      <c r="S849" s="278"/>
      <c r="T849" s="278"/>
      <c r="U849" s="278"/>
      <c r="V849" s="278"/>
      <c r="W849" s="278"/>
      <c r="X849" s="278"/>
    </row>
    <row r="850" ht="15.75" customHeight="1">
      <c r="B850" s="278"/>
      <c r="C850" s="278"/>
      <c r="D850" s="278"/>
      <c r="F850" s="278"/>
      <c r="G850" s="278"/>
      <c r="H850" s="278"/>
      <c r="I850" s="278"/>
      <c r="J850" s="278"/>
      <c r="K850" s="278"/>
      <c r="L850" s="278"/>
      <c r="M850" s="278"/>
      <c r="N850" s="278"/>
      <c r="O850" s="278"/>
      <c r="P850" s="278"/>
      <c r="Q850" s="278"/>
      <c r="R850" s="278"/>
      <c r="S850" s="278"/>
      <c r="T850" s="278"/>
      <c r="U850" s="278"/>
      <c r="V850" s="278"/>
      <c r="W850" s="278"/>
      <c r="X850" s="278"/>
    </row>
    <row r="851" ht="15.75" customHeight="1">
      <c r="B851" s="278"/>
      <c r="C851" s="278"/>
      <c r="D851" s="278"/>
      <c r="F851" s="278"/>
      <c r="G851" s="278"/>
      <c r="H851" s="278"/>
      <c r="I851" s="278"/>
      <c r="J851" s="278"/>
      <c r="K851" s="278"/>
      <c r="L851" s="278"/>
      <c r="M851" s="278"/>
      <c r="N851" s="278"/>
      <c r="O851" s="278"/>
      <c r="P851" s="278"/>
      <c r="Q851" s="278"/>
      <c r="R851" s="278"/>
      <c r="S851" s="278"/>
      <c r="T851" s="278"/>
      <c r="U851" s="278"/>
      <c r="V851" s="278"/>
      <c r="W851" s="278"/>
      <c r="X851" s="278"/>
    </row>
    <row r="852" ht="15.75" customHeight="1">
      <c r="B852" s="278"/>
      <c r="C852" s="278"/>
      <c r="D852" s="278"/>
      <c r="F852" s="278"/>
      <c r="G852" s="278"/>
      <c r="H852" s="278"/>
      <c r="I852" s="278"/>
      <c r="J852" s="278"/>
      <c r="K852" s="278"/>
      <c r="L852" s="278"/>
      <c r="M852" s="278"/>
      <c r="N852" s="278"/>
      <c r="O852" s="278"/>
      <c r="P852" s="278"/>
      <c r="Q852" s="278"/>
      <c r="R852" s="278"/>
      <c r="S852" s="278"/>
      <c r="T852" s="278"/>
      <c r="U852" s="278"/>
      <c r="V852" s="278"/>
      <c r="W852" s="278"/>
      <c r="X852" s="278"/>
    </row>
    <row r="853" ht="15.75" customHeight="1">
      <c r="B853" s="278"/>
      <c r="C853" s="278"/>
      <c r="D853" s="278"/>
      <c r="F853" s="278"/>
      <c r="G853" s="278"/>
      <c r="H853" s="278"/>
      <c r="I853" s="278"/>
      <c r="J853" s="278"/>
      <c r="K853" s="278"/>
      <c r="L853" s="278"/>
      <c r="M853" s="278"/>
      <c r="N853" s="278"/>
      <c r="O853" s="278"/>
      <c r="P853" s="278"/>
      <c r="Q853" s="278"/>
      <c r="R853" s="278"/>
      <c r="S853" s="278"/>
      <c r="T853" s="278"/>
      <c r="U853" s="278"/>
      <c r="V853" s="278"/>
      <c r="W853" s="278"/>
      <c r="X853" s="278"/>
    </row>
    <row r="854" ht="15.75" customHeight="1">
      <c r="B854" s="278"/>
      <c r="C854" s="278"/>
      <c r="D854" s="278"/>
      <c r="F854" s="278"/>
      <c r="G854" s="278"/>
      <c r="H854" s="278"/>
      <c r="I854" s="278"/>
      <c r="J854" s="278"/>
      <c r="K854" s="278"/>
      <c r="L854" s="278"/>
      <c r="M854" s="278"/>
      <c r="N854" s="278"/>
      <c r="O854" s="278"/>
      <c r="P854" s="278"/>
      <c r="Q854" s="278"/>
      <c r="R854" s="278"/>
      <c r="S854" s="278"/>
      <c r="T854" s="278"/>
      <c r="U854" s="278"/>
      <c r="V854" s="278"/>
      <c r="W854" s="278"/>
      <c r="X854" s="278"/>
    </row>
    <row r="855" ht="15.75" customHeight="1">
      <c r="B855" s="278"/>
      <c r="C855" s="278"/>
      <c r="D855" s="278"/>
      <c r="F855" s="278"/>
      <c r="G855" s="278"/>
      <c r="H855" s="278"/>
      <c r="I855" s="278"/>
      <c r="J855" s="278"/>
      <c r="K855" s="278"/>
      <c r="L855" s="278"/>
      <c r="M855" s="278"/>
      <c r="N855" s="278"/>
      <c r="O855" s="278"/>
      <c r="P855" s="278"/>
      <c r="Q855" s="278"/>
      <c r="R855" s="278"/>
      <c r="S855" s="278"/>
      <c r="T855" s="278"/>
      <c r="U855" s="278"/>
      <c r="V855" s="278"/>
      <c r="W855" s="278"/>
      <c r="X855" s="278"/>
    </row>
    <row r="856" ht="15.75" customHeight="1">
      <c r="B856" s="278"/>
      <c r="C856" s="278"/>
      <c r="D856" s="278"/>
      <c r="F856" s="278"/>
      <c r="G856" s="278"/>
      <c r="H856" s="278"/>
      <c r="I856" s="278"/>
      <c r="J856" s="278"/>
      <c r="K856" s="278"/>
      <c r="L856" s="278"/>
      <c r="M856" s="278"/>
      <c r="N856" s="278"/>
      <c r="O856" s="278"/>
      <c r="P856" s="278"/>
      <c r="Q856" s="278"/>
      <c r="R856" s="278"/>
      <c r="S856" s="278"/>
      <c r="T856" s="278"/>
      <c r="U856" s="278"/>
      <c r="V856" s="278"/>
      <c r="W856" s="278"/>
      <c r="X856" s="278"/>
    </row>
    <row r="857" ht="15.75" customHeight="1">
      <c r="B857" s="278"/>
      <c r="C857" s="278"/>
      <c r="D857" s="278"/>
      <c r="F857" s="278"/>
      <c r="G857" s="278"/>
      <c r="H857" s="278"/>
      <c r="I857" s="278"/>
      <c r="J857" s="278"/>
      <c r="K857" s="278"/>
      <c r="L857" s="278"/>
      <c r="M857" s="278"/>
      <c r="N857" s="278"/>
      <c r="O857" s="278"/>
      <c r="P857" s="278"/>
      <c r="Q857" s="278"/>
      <c r="R857" s="278"/>
      <c r="S857" s="278"/>
      <c r="T857" s="278"/>
      <c r="U857" s="278"/>
      <c r="V857" s="278"/>
      <c r="W857" s="278"/>
      <c r="X857" s="278"/>
    </row>
    <row r="858" ht="15.75" customHeight="1">
      <c r="B858" s="278"/>
      <c r="C858" s="278"/>
      <c r="D858" s="278"/>
      <c r="F858" s="278"/>
      <c r="G858" s="278"/>
      <c r="H858" s="278"/>
      <c r="I858" s="278"/>
      <c r="J858" s="278"/>
      <c r="K858" s="278"/>
      <c r="L858" s="278"/>
      <c r="M858" s="278"/>
      <c r="N858" s="278"/>
      <c r="O858" s="278"/>
      <c r="P858" s="278"/>
      <c r="Q858" s="278"/>
      <c r="R858" s="278"/>
      <c r="S858" s="278"/>
      <c r="T858" s="278"/>
      <c r="U858" s="278"/>
      <c r="V858" s="278"/>
      <c r="W858" s="278"/>
      <c r="X858" s="278"/>
    </row>
    <row r="859" ht="15.75" customHeight="1">
      <c r="B859" s="278"/>
      <c r="C859" s="278"/>
      <c r="D859" s="278"/>
      <c r="F859" s="278"/>
      <c r="G859" s="278"/>
      <c r="H859" s="278"/>
      <c r="I859" s="278"/>
      <c r="J859" s="278"/>
      <c r="K859" s="278"/>
      <c r="L859" s="278"/>
      <c r="M859" s="278"/>
      <c r="N859" s="278"/>
      <c r="O859" s="278"/>
      <c r="P859" s="278"/>
      <c r="Q859" s="278"/>
      <c r="R859" s="278"/>
      <c r="S859" s="278"/>
      <c r="T859" s="278"/>
      <c r="U859" s="278"/>
      <c r="V859" s="278"/>
      <c r="W859" s="278"/>
      <c r="X859" s="278"/>
    </row>
    <row r="860" ht="15.75" customHeight="1">
      <c r="B860" s="278"/>
      <c r="C860" s="278"/>
      <c r="D860" s="278"/>
      <c r="F860" s="278"/>
      <c r="G860" s="278"/>
      <c r="H860" s="278"/>
      <c r="I860" s="278"/>
      <c r="J860" s="278"/>
      <c r="K860" s="278"/>
      <c r="L860" s="278"/>
      <c r="M860" s="278"/>
      <c r="N860" s="278"/>
      <c r="O860" s="278"/>
      <c r="P860" s="278"/>
      <c r="Q860" s="278"/>
      <c r="R860" s="278"/>
      <c r="S860" s="278"/>
      <c r="T860" s="278"/>
      <c r="U860" s="278"/>
      <c r="V860" s="278"/>
      <c r="W860" s="278"/>
      <c r="X860" s="278"/>
    </row>
    <row r="861" ht="15.75" customHeight="1">
      <c r="B861" s="278"/>
      <c r="C861" s="278"/>
      <c r="D861" s="278"/>
      <c r="F861" s="278"/>
      <c r="G861" s="278"/>
      <c r="H861" s="278"/>
      <c r="I861" s="278"/>
      <c r="J861" s="278"/>
      <c r="K861" s="278"/>
      <c r="L861" s="278"/>
      <c r="M861" s="278"/>
      <c r="N861" s="278"/>
      <c r="O861" s="278"/>
      <c r="P861" s="278"/>
      <c r="Q861" s="278"/>
      <c r="R861" s="278"/>
      <c r="S861" s="278"/>
      <c r="T861" s="278"/>
      <c r="U861" s="278"/>
      <c r="V861" s="278"/>
      <c r="W861" s="278"/>
      <c r="X861" s="278"/>
    </row>
    <row r="862" ht="15.75" customHeight="1">
      <c r="B862" s="278"/>
      <c r="C862" s="278"/>
      <c r="D862" s="278"/>
      <c r="F862" s="278"/>
      <c r="G862" s="278"/>
      <c r="H862" s="278"/>
      <c r="I862" s="278"/>
      <c r="J862" s="278"/>
      <c r="K862" s="278"/>
      <c r="L862" s="278"/>
      <c r="M862" s="278"/>
      <c r="N862" s="278"/>
      <c r="O862" s="278"/>
      <c r="P862" s="278"/>
      <c r="Q862" s="278"/>
      <c r="R862" s="278"/>
      <c r="S862" s="278"/>
      <c r="T862" s="278"/>
      <c r="U862" s="278"/>
      <c r="V862" s="278"/>
      <c r="W862" s="278"/>
      <c r="X862" s="278"/>
    </row>
    <row r="863" ht="15.75" customHeight="1">
      <c r="B863" s="278"/>
      <c r="C863" s="278"/>
      <c r="D863" s="278"/>
      <c r="F863" s="278"/>
      <c r="G863" s="278"/>
      <c r="H863" s="278"/>
      <c r="I863" s="278"/>
      <c r="J863" s="278"/>
      <c r="K863" s="278"/>
      <c r="L863" s="278"/>
      <c r="M863" s="278"/>
      <c r="N863" s="278"/>
      <c r="O863" s="278"/>
      <c r="P863" s="278"/>
      <c r="Q863" s="278"/>
      <c r="R863" s="278"/>
      <c r="S863" s="278"/>
      <c r="T863" s="278"/>
      <c r="U863" s="278"/>
      <c r="V863" s="278"/>
      <c r="W863" s="278"/>
      <c r="X863" s="278"/>
    </row>
    <row r="864" ht="15.75" customHeight="1">
      <c r="B864" s="278"/>
      <c r="C864" s="278"/>
      <c r="D864" s="278"/>
      <c r="F864" s="278"/>
      <c r="G864" s="278"/>
      <c r="H864" s="278"/>
      <c r="I864" s="278"/>
      <c r="J864" s="278"/>
      <c r="K864" s="278"/>
      <c r="L864" s="278"/>
      <c r="M864" s="278"/>
      <c r="N864" s="278"/>
      <c r="O864" s="278"/>
      <c r="P864" s="278"/>
      <c r="Q864" s="278"/>
      <c r="R864" s="278"/>
      <c r="S864" s="278"/>
      <c r="T864" s="278"/>
      <c r="U864" s="278"/>
      <c r="V864" s="278"/>
      <c r="W864" s="278"/>
      <c r="X864" s="278"/>
    </row>
    <row r="865" ht="15.75" customHeight="1">
      <c r="B865" s="278"/>
      <c r="C865" s="278"/>
      <c r="D865" s="278"/>
      <c r="F865" s="278"/>
      <c r="G865" s="278"/>
      <c r="H865" s="278"/>
      <c r="I865" s="278"/>
      <c r="J865" s="278"/>
      <c r="K865" s="278"/>
      <c r="L865" s="278"/>
      <c r="M865" s="278"/>
      <c r="N865" s="278"/>
      <c r="O865" s="278"/>
      <c r="P865" s="278"/>
      <c r="Q865" s="278"/>
      <c r="R865" s="278"/>
      <c r="S865" s="278"/>
      <c r="T865" s="278"/>
      <c r="U865" s="278"/>
      <c r="V865" s="278"/>
      <c r="W865" s="278"/>
      <c r="X865" s="278"/>
    </row>
    <row r="866" ht="15.75" customHeight="1">
      <c r="B866" s="278"/>
      <c r="C866" s="278"/>
      <c r="D866" s="278"/>
      <c r="F866" s="278"/>
      <c r="G866" s="278"/>
      <c r="H866" s="278"/>
      <c r="I866" s="278"/>
      <c r="J866" s="278"/>
      <c r="K866" s="278"/>
      <c r="L866" s="278"/>
      <c r="M866" s="278"/>
      <c r="N866" s="278"/>
      <c r="O866" s="278"/>
      <c r="P866" s="278"/>
      <c r="Q866" s="278"/>
      <c r="R866" s="278"/>
      <c r="S866" s="278"/>
      <c r="T866" s="278"/>
      <c r="U866" s="278"/>
      <c r="V866" s="278"/>
      <c r="W866" s="278"/>
      <c r="X866" s="278"/>
    </row>
    <row r="867" ht="15.75" customHeight="1">
      <c r="B867" s="278"/>
      <c r="C867" s="278"/>
      <c r="D867" s="278"/>
      <c r="F867" s="278"/>
      <c r="G867" s="278"/>
      <c r="H867" s="278"/>
      <c r="I867" s="278"/>
      <c r="J867" s="278"/>
      <c r="K867" s="278"/>
      <c r="L867" s="278"/>
      <c r="M867" s="278"/>
      <c r="N867" s="278"/>
      <c r="O867" s="278"/>
      <c r="P867" s="278"/>
      <c r="Q867" s="278"/>
      <c r="R867" s="278"/>
      <c r="S867" s="278"/>
      <c r="T867" s="278"/>
      <c r="U867" s="278"/>
      <c r="V867" s="278"/>
      <c r="W867" s="278"/>
      <c r="X867" s="278"/>
    </row>
    <row r="868" ht="15.75" customHeight="1">
      <c r="B868" s="278"/>
      <c r="C868" s="278"/>
      <c r="D868" s="278"/>
      <c r="F868" s="278"/>
      <c r="G868" s="278"/>
      <c r="H868" s="278"/>
      <c r="I868" s="278"/>
      <c r="J868" s="278"/>
      <c r="K868" s="278"/>
      <c r="L868" s="278"/>
      <c r="M868" s="278"/>
      <c r="N868" s="278"/>
      <c r="O868" s="278"/>
      <c r="P868" s="278"/>
      <c r="Q868" s="278"/>
      <c r="R868" s="278"/>
      <c r="S868" s="278"/>
      <c r="T868" s="278"/>
      <c r="U868" s="278"/>
      <c r="V868" s="278"/>
      <c r="W868" s="278"/>
      <c r="X868" s="278"/>
    </row>
    <row r="869" ht="15.75" customHeight="1">
      <c r="B869" s="278"/>
      <c r="C869" s="278"/>
      <c r="D869" s="278"/>
      <c r="F869" s="278"/>
      <c r="G869" s="278"/>
      <c r="H869" s="278"/>
      <c r="I869" s="278"/>
      <c r="J869" s="278"/>
      <c r="K869" s="278"/>
      <c r="L869" s="278"/>
      <c r="M869" s="278"/>
      <c r="N869" s="278"/>
      <c r="O869" s="278"/>
      <c r="P869" s="278"/>
      <c r="Q869" s="278"/>
      <c r="R869" s="278"/>
      <c r="S869" s="278"/>
      <c r="T869" s="278"/>
      <c r="U869" s="278"/>
      <c r="V869" s="278"/>
      <c r="W869" s="278"/>
      <c r="X869" s="278"/>
    </row>
    <row r="870" ht="15.75" customHeight="1">
      <c r="B870" s="278"/>
      <c r="C870" s="278"/>
      <c r="D870" s="278"/>
      <c r="F870" s="278"/>
      <c r="G870" s="278"/>
      <c r="H870" s="278"/>
      <c r="I870" s="278"/>
      <c r="J870" s="278"/>
      <c r="K870" s="278"/>
      <c r="L870" s="278"/>
      <c r="M870" s="278"/>
      <c r="N870" s="278"/>
      <c r="O870" s="278"/>
      <c r="P870" s="278"/>
      <c r="Q870" s="278"/>
      <c r="R870" s="278"/>
      <c r="S870" s="278"/>
      <c r="T870" s="278"/>
      <c r="U870" s="278"/>
      <c r="V870" s="278"/>
      <c r="W870" s="278"/>
      <c r="X870" s="278"/>
    </row>
    <row r="871" ht="15.75" customHeight="1">
      <c r="B871" s="278"/>
      <c r="C871" s="278"/>
      <c r="D871" s="278"/>
      <c r="F871" s="278"/>
      <c r="G871" s="278"/>
      <c r="H871" s="278"/>
      <c r="I871" s="278"/>
      <c r="J871" s="278"/>
      <c r="K871" s="278"/>
      <c r="L871" s="278"/>
      <c r="M871" s="278"/>
      <c r="N871" s="278"/>
      <c r="O871" s="278"/>
      <c r="P871" s="278"/>
      <c r="Q871" s="278"/>
      <c r="R871" s="278"/>
      <c r="S871" s="278"/>
      <c r="T871" s="278"/>
      <c r="U871" s="278"/>
      <c r="V871" s="278"/>
      <c r="W871" s="278"/>
      <c r="X871" s="278"/>
    </row>
    <row r="872" ht="15.75" customHeight="1">
      <c r="B872" s="278"/>
      <c r="C872" s="278"/>
      <c r="D872" s="278"/>
      <c r="F872" s="278"/>
      <c r="G872" s="278"/>
      <c r="H872" s="278"/>
      <c r="I872" s="278"/>
      <c r="J872" s="278"/>
      <c r="K872" s="278"/>
      <c r="L872" s="278"/>
      <c r="M872" s="278"/>
      <c r="N872" s="278"/>
      <c r="O872" s="278"/>
      <c r="P872" s="278"/>
      <c r="Q872" s="278"/>
      <c r="R872" s="278"/>
      <c r="S872" s="278"/>
      <c r="T872" s="278"/>
      <c r="U872" s="278"/>
      <c r="V872" s="278"/>
      <c r="W872" s="278"/>
      <c r="X872" s="278"/>
    </row>
    <row r="873" ht="15.75" customHeight="1">
      <c r="B873" s="278"/>
      <c r="C873" s="278"/>
      <c r="D873" s="278"/>
      <c r="F873" s="278"/>
      <c r="G873" s="278"/>
      <c r="H873" s="278"/>
      <c r="I873" s="278"/>
      <c r="J873" s="278"/>
      <c r="K873" s="278"/>
      <c r="L873" s="278"/>
      <c r="M873" s="278"/>
      <c r="N873" s="278"/>
      <c r="O873" s="278"/>
      <c r="P873" s="278"/>
      <c r="Q873" s="278"/>
      <c r="R873" s="278"/>
      <c r="S873" s="278"/>
      <c r="T873" s="278"/>
      <c r="U873" s="278"/>
      <c r="V873" s="278"/>
      <c r="W873" s="278"/>
      <c r="X873" s="278"/>
    </row>
    <row r="874" ht="15.75" customHeight="1">
      <c r="B874" s="278"/>
      <c r="C874" s="278"/>
      <c r="D874" s="278"/>
      <c r="F874" s="278"/>
      <c r="G874" s="278"/>
      <c r="H874" s="278"/>
      <c r="I874" s="278"/>
      <c r="J874" s="278"/>
      <c r="K874" s="278"/>
      <c r="L874" s="278"/>
      <c r="M874" s="278"/>
      <c r="N874" s="278"/>
      <c r="O874" s="278"/>
      <c r="P874" s="278"/>
      <c r="Q874" s="278"/>
      <c r="R874" s="278"/>
      <c r="S874" s="278"/>
      <c r="T874" s="278"/>
      <c r="U874" s="278"/>
      <c r="V874" s="278"/>
      <c r="W874" s="278"/>
      <c r="X874" s="278"/>
    </row>
    <row r="875" ht="15.75" customHeight="1">
      <c r="B875" s="278"/>
      <c r="C875" s="278"/>
      <c r="D875" s="278"/>
      <c r="F875" s="278"/>
      <c r="G875" s="278"/>
      <c r="H875" s="278"/>
      <c r="I875" s="278"/>
      <c r="J875" s="278"/>
      <c r="K875" s="278"/>
      <c r="L875" s="278"/>
      <c r="M875" s="278"/>
      <c r="N875" s="278"/>
      <c r="O875" s="278"/>
      <c r="P875" s="278"/>
      <c r="Q875" s="278"/>
      <c r="R875" s="278"/>
      <c r="S875" s="278"/>
      <c r="T875" s="278"/>
      <c r="U875" s="278"/>
      <c r="V875" s="278"/>
      <c r="W875" s="278"/>
      <c r="X875" s="278"/>
    </row>
    <row r="876" ht="15.75" customHeight="1">
      <c r="B876" s="278"/>
      <c r="C876" s="278"/>
      <c r="D876" s="278"/>
      <c r="F876" s="278"/>
      <c r="G876" s="278"/>
      <c r="H876" s="278"/>
      <c r="I876" s="278"/>
      <c r="J876" s="278"/>
      <c r="K876" s="278"/>
      <c r="L876" s="278"/>
      <c r="M876" s="278"/>
      <c r="N876" s="278"/>
      <c r="O876" s="278"/>
      <c r="P876" s="278"/>
      <c r="Q876" s="278"/>
      <c r="R876" s="278"/>
      <c r="S876" s="278"/>
      <c r="T876" s="278"/>
      <c r="U876" s="278"/>
      <c r="V876" s="278"/>
      <c r="W876" s="278"/>
      <c r="X876" s="278"/>
    </row>
    <row r="877" ht="15.75" customHeight="1">
      <c r="B877" s="278"/>
      <c r="C877" s="278"/>
      <c r="D877" s="278"/>
      <c r="F877" s="278"/>
      <c r="G877" s="278"/>
      <c r="H877" s="278"/>
      <c r="I877" s="278"/>
      <c r="J877" s="278"/>
      <c r="K877" s="278"/>
      <c r="L877" s="278"/>
      <c r="M877" s="278"/>
      <c r="N877" s="278"/>
      <c r="O877" s="278"/>
      <c r="P877" s="278"/>
      <c r="Q877" s="278"/>
      <c r="R877" s="278"/>
      <c r="S877" s="278"/>
      <c r="T877" s="278"/>
      <c r="U877" s="278"/>
      <c r="V877" s="278"/>
      <c r="W877" s="278"/>
      <c r="X877" s="278"/>
    </row>
    <row r="878" ht="15.75" customHeight="1">
      <c r="B878" s="278"/>
      <c r="C878" s="278"/>
      <c r="D878" s="278"/>
      <c r="F878" s="278"/>
      <c r="G878" s="278"/>
      <c r="H878" s="278"/>
      <c r="I878" s="278"/>
      <c r="J878" s="278"/>
      <c r="K878" s="278"/>
      <c r="L878" s="278"/>
      <c r="M878" s="278"/>
      <c r="N878" s="278"/>
      <c r="O878" s="278"/>
      <c r="P878" s="278"/>
      <c r="Q878" s="278"/>
      <c r="R878" s="278"/>
      <c r="S878" s="278"/>
      <c r="T878" s="278"/>
      <c r="U878" s="278"/>
      <c r="V878" s="278"/>
      <c r="W878" s="278"/>
      <c r="X878" s="278"/>
    </row>
    <row r="879" ht="15.75" customHeight="1">
      <c r="B879" s="278"/>
      <c r="C879" s="278"/>
      <c r="D879" s="278"/>
      <c r="F879" s="278"/>
      <c r="G879" s="278"/>
      <c r="H879" s="278"/>
      <c r="I879" s="278"/>
      <c r="J879" s="278"/>
      <c r="K879" s="278"/>
      <c r="L879" s="278"/>
      <c r="M879" s="278"/>
      <c r="N879" s="278"/>
      <c r="O879" s="278"/>
      <c r="P879" s="278"/>
      <c r="Q879" s="278"/>
      <c r="R879" s="278"/>
      <c r="S879" s="278"/>
      <c r="T879" s="278"/>
      <c r="U879" s="278"/>
      <c r="V879" s="278"/>
      <c r="W879" s="278"/>
      <c r="X879" s="278"/>
    </row>
    <row r="880" ht="15.75" customHeight="1">
      <c r="B880" s="278"/>
      <c r="C880" s="278"/>
      <c r="D880" s="278"/>
      <c r="F880" s="278"/>
      <c r="G880" s="278"/>
      <c r="H880" s="278"/>
      <c r="I880" s="278"/>
      <c r="J880" s="278"/>
      <c r="K880" s="278"/>
      <c r="L880" s="278"/>
      <c r="M880" s="278"/>
      <c r="N880" s="278"/>
      <c r="O880" s="278"/>
      <c r="P880" s="278"/>
      <c r="Q880" s="278"/>
      <c r="R880" s="278"/>
      <c r="S880" s="278"/>
      <c r="T880" s="278"/>
      <c r="U880" s="278"/>
      <c r="V880" s="278"/>
      <c r="W880" s="278"/>
      <c r="X880" s="278"/>
    </row>
    <row r="881" ht="15.75" customHeight="1">
      <c r="B881" s="278"/>
      <c r="C881" s="278"/>
      <c r="D881" s="278"/>
      <c r="F881" s="278"/>
      <c r="G881" s="278"/>
      <c r="H881" s="278"/>
      <c r="I881" s="278"/>
      <c r="J881" s="278"/>
      <c r="K881" s="278"/>
      <c r="L881" s="278"/>
      <c r="M881" s="278"/>
      <c r="N881" s="278"/>
      <c r="O881" s="278"/>
      <c r="P881" s="278"/>
      <c r="Q881" s="278"/>
      <c r="R881" s="278"/>
      <c r="S881" s="278"/>
      <c r="T881" s="278"/>
      <c r="U881" s="278"/>
      <c r="V881" s="278"/>
      <c r="W881" s="278"/>
      <c r="X881" s="278"/>
    </row>
    <row r="882" ht="15.75" customHeight="1">
      <c r="B882" s="278"/>
      <c r="C882" s="278"/>
      <c r="D882" s="278"/>
      <c r="F882" s="278"/>
      <c r="G882" s="278"/>
      <c r="H882" s="278"/>
      <c r="I882" s="278"/>
      <c r="J882" s="278"/>
      <c r="K882" s="278"/>
      <c r="L882" s="278"/>
      <c r="M882" s="278"/>
      <c r="N882" s="278"/>
      <c r="O882" s="278"/>
      <c r="P882" s="278"/>
      <c r="Q882" s="278"/>
      <c r="R882" s="278"/>
      <c r="S882" s="278"/>
      <c r="T882" s="278"/>
      <c r="U882" s="278"/>
      <c r="V882" s="278"/>
      <c r="W882" s="278"/>
      <c r="X882" s="278"/>
    </row>
    <row r="883" ht="15.75" customHeight="1">
      <c r="B883" s="278"/>
      <c r="C883" s="278"/>
      <c r="D883" s="278"/>
      <c r="F883" s="278"/>
      <c r="G883" s="278"/>
      <c r="H883" s="278"/>
      <c r="I883" s="278"/>
      <c r="J883" s="278"/>
      <c r="K883" s="278"/>
      <c r="L883" s="278"/>
      <c r="M883" s="278"/>
      <c r="N883" s="278"/>
      <c r="O883" s="278"/>
      <c r="P883" s="278"/>
      <c r="Q883" s="278"/>
      <c r="R883" s="278"/>
      <c r="S883" s="278"/>
      <c r="T883" s="278"/>
      <c r="U883" s="278"/>
      <c r="V883" s="278"/>
      <c r="W883" s="278"/>
      <c r="X883" s="278"/>
    </row>
    <row r="884" ht="15.75" customHeight="1">
      <c r="B884" s="278"/>
      <c r="C884" s="278"/>
      <c r="D884" s="278"/>
      <c r="F884" s="278"/>
      <c r="G884" s="278"/>
      <c r="H884" s="278"/>
      <c r="I884" s="278"/>
      <c r="J884" s="278"/>
      <c r="K884" s="278"/>
      <c r="L884" s="278"/>
      <c r="M884" s="278"/>
      <c r="N884" s="278"/>
      <c r="O884" s="278"/>
      <c r="P884" s="278"/>
      <c r="Q884" s="278"/>
      <c r="R884" s="278"/>
      <c r="S884" s="278"/>
      <c r="T884" s="278"/>
      <c r="U884" s="278"/>
      <c r="V884" s="278"/>
      <c r="W884" s="278"/>
      <c r="X884" s="278"/>
    </row>
    <row r="885" ht="15.75" customHeight="1">
      <c r="B885" s="278"/>
      <c r="C885" s="278"/>
      <c r="D885" s="278"/>
      <c r="F885" s="278"/>
      <c r="G885" s="278"/>
      <c r="H885" s="278"/>
      <c r="I885" s="278"/>
      <c r="J885" s="278"/>
      <c r="K885" s="278"/>
      <c r="L885" s="278"/>
      <c r="M885" s="278"/>
      <c r="N885" s="278"/>
      <c r="O885" s="278"/>
      <c r="P885" s="278"/>
      <c r="Q885" s="278"/>
      <c r="R885" s="278"/>
      <c r="S885" s="278"/>
      <c r="T885" s="278"/>
      <c r="U885" s="278"/>
      <c r="V885" s="278"/>
      <c r="W885" s="278"/>
      <c r="X885" s="278"/>
    </row>
    <row r="886" ht="15.75" customHeight="1">
      <c r="B886" s="278"/>
      <c r="C886" s="278"/>
      <c r="D886" s="278"/>
      <c r="F886" s="278"/>
      <c r="G886" s="278"/>
      <c r="H886" s="278"/>
      <c r="I886" s="278"/>
      <c r="J886" s="278"/>
      <c r="K886" s="278"/>
      <c r="L886" s="278"/>
      <c r="M886" s="278"/>
      <c r="N886" s="278"/>
      <c r="O886" s="278"/>
      <c r="P886" s="278"/>
      <c r="Q886" s="278"/>
      <c r="R886" s="278"/>
      <c r="S886" s="278"/>
      <c r="T886" s="278"/>
      <c r="U886" s="278"/>
      <c r="V886" s="278"/>
      <c r="W886" s="278"/>
      <c r="X886" s="278"/>
    </row>
    <row r="887" ht="15.75" customHeight="1">
      <c r="B887" s="278"/>
      <c r="C887" s="278"/>
      <c r="D887" s="278"/>
      <c r="F887" s="278"/>
      <c r="G887" s="278"/>
      <c r="H887" s="278"/>
      <c r="I887" s="278"/>
      <c r="J887" s="278"/>
      <c r="K887" s="278"/>
      <c r="L887" s="278"/>
      <c r="M887" s="278"/>
      <c r="N887" s="278"/>
      <c r="O887" s="278"/>
      <c r="P887" s="278"/>
      <c r="Q887" s="278"/>
      <c r="R887" s="278"/>
      <c r="S887" s="278"/>
      <c r="T887" s="278"/>
      <c r="U887" s="278"/>
      <c r="V887" s="278"/>
      <c r="W887" s="278"/>
      <c r="X887" s="278"/>
    </row>
    <row r="888" ht="15.75" customHeight="1">
      <c r="B888" s="278"/>
      <c r="C888" s="278"/>
      <c r="D888" s="278"/>
      <c r="F888" s="278"/>
      <c r="G888" s="278"/>
      <c r="H888" s="278"/>
      <c r="I888" s="278"/>
      <c r="J888" s="278"/>
      <c r="K888" s="278"/>
      <c r="L888" s="278"/>
      <c r="M888" s="278"/>
      <c r="N888" s="278"/>
      <c r="O888" s="278"/>
      <c r="P888" s="278"/>
      <c r="Q888" s="278"/>
      <c r="R888" s="278"/>
      <c r="S888" s="278"/>
      <c r="T888" s="278"/>
      <c r="U888" s="278"/>
      <c r="V888" s="278"/>
      <c r="W888" s="278"/>
      <c r="X888" s="278"/>
    </row>
    <row r="889" ht="15.75" customHeight="1">
      <c r="B889" s="278"/>
      <c r="C889" s="278"/>
      <c r="D889" s="278"/>
      <c r="F889" s="278"/>
      <c r="G889" s="278"/>
      <c r="H889" s="278"/>
      <c r="I889" s="278"/>
      <c r="J889" s="278"/>
      <c r="K889" s="278"/>
      <c r="L889" s="278"/>
      <c r="M889" s="278"/>
      <c r="N889" s="278"/>
      <c r="O889" s="278"/>
      <c r="P889" s="278"/>
      <c r="Q889" s="278"/>
      <c r="R889" s="278"/>
      <c r="S889" s="278"/>
      <c r="T889" s="278"/>
      <c r="U889" s="278"/>
      <c r="V889" s="278"/>
      <c r="W889" s="278"/>
      <c r="X889" s="278"/>
    </row>
    <row r="890" ht="15.75" customHeight="1">
      <c r="B890" s="278"/>
      <c r="C890" s="278"/>
      <c r="D890" s="278"/>
      <c r="F890" s="278"/>
      <c r="G890" s="278"/>
      <c r="H890" s="278"/>
      <c r="I890" s="278"/>
      <c r="J890" s="278"/>
      <c r="K890" s="278"/>
      <c r="L890" s="278"/>
      <c r="M890" s="278"/>
      <c r="N890" s="278"/>
      <c r="O890" s="278"/>
      <c r="P890" s="278"/>
      <c r="Q890" s="278"/>
      <c r="R890" s="278"/>
      <c r="S890" s="278"/>
      <c r="T890" s="278"/>
      <c r="U890" s="278"/>
      <c r="V890" s="278"/>
      <c r="W890" s="278"/>
      <c r="X890" s="278"/>
    </row>
    <row r="891" ht="15.75" customHeight="1">
      <c r="B891" s="278"/>
      <c r="C891" s="278"/>
      <c r="D891" s="278"/>
      <c r="F891" s="278"/>
      <c r="G891" s="278"/>
      <c r="H891" s="278"/>
      <c r="I891" s="278"/>
      <c r="J891" s="278"/>
      <c r="K891" s="278"/>
      <c r="L891" s="278"/>
      <c r="M891" s="278"/>
      <c r="N891" s="278"/>
      <c r="O891" s="278"/>
      <c r="P891" s="278"/>
      <c r="Q891" s="278"/>
      <c r="R891" s="278"/>
      <c r="S891" s="278"/>
      <c r="T891" s="278"/>
      <c r="U891" s="278"/>
      <c r="V891" s="278"/>
      <c r="W891" s="278"/>
      <c r="X891" s="278"/>
    </row>
    <row r="892" ht="15.75" customHeight="1">
      <c r="B892" s="278"/>
      <c r="C892" s="278"/>
      <c r="D892" s="278"/>
      <c r="F892" s="278"/>
      <c r="G892" s="278"/>
      <c r="H892" s="278"/>
      <c r="I892" s="278"/>
      <c r="J892" s="278"/>
      <c r="K892" s="278"/>
      <c r="L892" s="278"/>
      <c r="M892" s="278"/>
      <c r="N892" s="278"/>
      <c r="O892" s="278"/>
      <c r="P892" s="278"/>
      <c r="Q892" s="278"/>
      <c r="R892" s="278"/>
      <c r="S892" s="278"/>
      <c r="T892" s="278"/>
      <c r="U892" s="278"/>
      <c r="V892" s="278"/>
      <c r="W892" s="278"/>
      <c r="X892" s="278"/>
    </row>
    <row r="893" ht="15.75" customHeight="1">
      <c r="B893" s="278"/>
      <c r="C893" s="278"/>
      <c r="D893" s="278"/>
      <c r="F893" s="278"/>
      <c r="G893" s="278"/>
      <c r="H893" s="278"/>
      <c r="I893" s="278"/>
      <c r="J893" s="278"/>
      <c r="K893" s="278"/>
      <c r="L893" s="278"/>
      <c r="M893" s="278"/>
      <c r="N893" s="278"/>
      <c r="O893" s="278"/>
      <c r="P893" s="278"/>
      <c r="Q893" s="278"/>
      <c r="R893" s="278"/>
      <c r="S893" s="278"/>
      <c r="T893" s="278"/>
      <c r="U893" s="278"/>
      <c r="V893" s="278"/>
      <c r="W893" s="278"/>
      <c r="X893" s="278"/>
    </row>
    <row r="894" ht="15.75" customHeight="1">
      <c r="B894" s="278"/>
      <c r="C894" s="278"/>
      <c r="D894" s="278"/>
      <c r="F894" s="278"/>
      <c r="G894" s="278"/>
      <c r="H894" s="278"/>
      <c r="I894" s="278"/>
      <c r="J894" s="278"/>
      <c r="K894" s="278"/>
      <c r="L894" s="278"/>
      <c r="M894" s="278"/>
      <c r="N894" s="278"/>
      <c r="O894" s="278"/>
      <c r="P894" s="278"/>
      <c r="Q894" s="278"/>
      <c r="R894" s="278"/>
      <c r="S894" s="278"/>
      <c r="T894" s="278"/>
      <c r="U894" s="278"/>
      <c r="V894" s="278"/>
      <c r="W894" s="278"/>
      <c r="X894" s="278"/>
    </row>
    <row r="895" ht="15.75" customHeight="1">
      <c r="B895" s="278"/>
      <c r="C895" s="278"/>
      <c r="D895" s="278"/>
      <c r="F895" s="278"/>
      <c r="G895" s="278"/>
      <c r="H895" s="278"/>
      <c r="I895" s="278"/>
      <c r="J895" s="278"/>
      <c r="K895" s="278"/>
      <c r="L895" s="278"/>
      <c r="M895" s="278"/>
      <c r="N895" s="278"/>
      <c r="O895" s="278"/>
      <c r="P895" s="278"/>
      <c r="Q895" s="278"/>
      <c r="R895" s="278"/>
      <c r="S895" s="278"/>
      <c r="T895" s="278"/>
      <c r="U895" s="278"/>
      <c r="V895" s="278"/>
      <c r="W895" s="278"/>
      <c r="X895" s="278"/>
    </row>
    <row r="896" ht="15.75" customHeight="1">
      <c r="B896" s="278"/>
      <c r="C896" s="278"/>
      <c r="D896" s="278"/>
      <c r="F896" s="278"/>
      <c r="G896" s="278"/>
      <c r="H896" s="278"/>
      <c r="I896" s="278"/>
      <c r="J896" s="278"/>
      <c r="K896" s="278"/>
      <c r="L896" s="278"/>
      <c r="M896" s="278"/>
      <c r="N896" s="278"/>
      <c r="O896" s="278"/>
      <c r="P896" s="278"/>
      <c r="Q896" s="278"/>
      <c r="R896" s="278"/>
      <c r="S896" s="278"/>
      <c r="T896" s="278"/>
      <c r="U896" s="278"/>
      <c r="V896" s="278"/>
      <c r="W896" s="278"/>
      <c r="X896" s="278"/>
    </row>
    <row r="897" ht="15.75" customHeight="1">
      <c r="B897" s="278"/>
      <c r="C897" s="278"/>
      <c r="D897" s="278"/>
      <c r="F897" s="278"/>
      <c r="G897" s="278"/>
      <c r="H897" s="278"/>
      <c r="I897" s="278"/>
      <c r="J897" s="278"/>
      <c r="K897" s="278"/>
      <c r="L897" s="278"/>
      <c r="M897" s="278"/>
      <c r="N897" s="278"/>
      <c r="O897" s="278"/>
      <c r="P897" s="278"/>
      <c r="Q897" s="278"/>
      <c r="R897" s="278"/>
      <c r="S897" s="278"/>
      <c r="T897" s="278"/>
      <c r="U897" s="278"/>
      <c r="V897" s="278"/>
      <c r="W897" s="278"/>
      <c r="X897" s="278"/>
    </row>
    <row r="898" ht="15.75" customHeight="1">
      <c r="B898" s="278"/>
      <c r="C898" s="278"/>
      <c r="D898" s="278"/>
      <c r="F898" s="278"/>
      <c r="G898" s="278"/>
      <c r="H898" s="278"/>
      <c r="I898" s="278"/>
      <c r="J898" s="278"/>
      <c r="K898" s="278"/>
      <c r="L898" s="278"/>
      <c r="M898" s="278"/>
      <c r="N898" s="278"/>
      <c r="O898" s="278"/>
      <c r="P898" s="278"/>
      <c r="Q898" s="278"/>
      <c r="R898" s="278"/>
      <c r="S898" s="278"/>
      <c r="T898" s="278"/>
      <c r="U898" s="278"/>
      <c r="V898" s="278"/>
      <c r="W898" s="278"/>
      <c r="X898" s="278"/>
    </row>
    <row r="899" ht="15.75" customHeight="1">
      <c r="B899" s="278"/>
      <c r="C899" s="278"/>
      <c r="D899" s="278"/>
      <c r="F899" s="278"/>
      <c r="G899" s="278"/>
      <c r="H899" s="278"/>
      <c r="I899" s="278"/>
      <c r="J899" s="278"/>
      <c r="K899" s="278"/>
      <c r="L899" s="278"/>
      <c r="M899" s="278"/>
      <c r="N899" s="278"/>
      <c r="O899" s="278"/>
      <c r="P899" s="278"/>
      <c r="Q899" s="278"/>
      <c r="R899" s="278"/>
      <c r="S899" s="278"/>
      <c r="T899" s="278"/>
      <c r="U899" s="278"/>
      <c r="V899" s="278"/>
      <c r="W899" s="278"/>
      <c r="X899" s="278"/>
    </row>
    <row r="900" ht="15.75" customHeight="1">
      <c r="B900" s="278"/>
      <c r="C900" s="278"/>
      <c r="D900" s="278"/>
      <c r="F900" s="278"/>
      <c r="G900" s="278"/>
      <c r="H900" s="278"/>
      <c r="I900" s="278"/>
      <c r="J900" s="278"/>
      <c r="K900" s="278"/>
      <c r="L900" s="278"/>
      <c r="M900" s="278"/>
      <c r="N900" s="278"/>
      <c r="O900" s="278"/>
      <c r="P900" s="278"/>
      <c r="Q900" s="278"/>
      <c r="R900" s="278"/>
      <c r="S900" s="278"/>
      <c r="T900" s="278"/>
      <c r="U900" s="278"/>
      <c r="V900" s="278"/>
      <c r="W900" s="278"/>
      <c r="X900" s="278"/>
    </row>
    <row r="901" ht="15.75" customHeight="1">
      <c r="B901" s="278"/>
      <c r="C901" s="278"/>
      <c r="D901" s="278"/>
      <c r="F901" s="278"/>
      <c r="G901" s="278"/>
      <c r="H901" s="278"/>
      <c r="I901" s="278"/>
      <c r="J901" s="278"/>
      <c r="K901" s="278"/>
      <c r="L901" s="278"/>
      <c r="M901" s="278"/>
      <c r="N901" s="278"/>
      <c r="O901" s="278"/>
      <c r="P901" s="278"/>
      <c r="Q901" s="278"/>
      <c r="R901" s="278"/>
      <c r="S901" s="278"/>
      <c r="T901" s="278"/>
      <c r="U901" s="278"/>
      <c r="V901" s="278"/>
      <c r="W901" s="278"/>
      <c r="X901" s="278"/>
    </row>
    <row r="902" ht="15.75" customHeight="1">
      <c r="B902" s="278"/>
      <c r="C902" s="278"/>
      <c r="D902" s="278"/>
      <c r="F902" s="278"/>
      <c r="G902" s="278"/>
      <c r="H902" s="278"/>
      <c r="I902" s="278"/>
      <c r="J902" s="278"/>
      <c r="K902" s="278"/>
      <c r="L902" s="278"/>
      <c r="M902" s="278"/>
      <c r="N902" s="278"/>
      <c r="O902" s="278"/>
      <c r="P902" s="278"/>
      <c r="Q902" s="278"/>
      <c r="R902" s="278"/>
      <c r="S902" s="278"/>
      <c r="T902" s="278"/>
      <c r="U902" s="278"/>
      <c r="V902" s="278"/>
      <c r="W902" s="278"/>
      <c r="X902" s="278"/>
    </row>
    <row r="903" ht="15.75" customHeight="1">
      <c r="B903" s="278"/>
      <c r="C903" s="278"/>
      <c r="D903" s="278"/>
      <c r="F903" s="278"/>
      <c r="G903" s="278"/>
      <c r="H903" s="278"/>
      <c r="I903" s="278"/>
      <c r="J903" s="278"/>
      <c r="K903" s="278"/>
      <c r="L903" s="278"/>
      <c r="M903" s="278"/>
      <c r="N903" s="278"/>
      <c r="O903" s="278"/>
      <c r="P903" s="278"/>
      <c r="Q903" s="278"/>
      <c r="R903" s="278"/>
      <c r="S903" s="278"/>
      <c r="T903" s="278"/>
      <c r="U903" s="278"/>
      <c r="V903" s="278"/>
      <c r="W903" s="278"/>
      <c r="X903" s="278"/>
    </row>
    <row r="904" ht="15.75" customHeight="1">
      <c r="B904" s="278"/>
      <c r="C904" s="278"/>
      <c r="D904" s="278"/>
      <c r="F904" s="278"/>
      <c r="G904" s="278"/>
      <c r="H904" s="278"/>
      <c r="I904" s="278"/>
      <c r="J904" s="278"/>
      <c r="K904" s="278"/>
      <c r="L904" s="278"/>
      <c r="M904" s="278"/>
      <c r="N904" s="278"/>
      <c r="O904" s="278"/>
      <c r="P904" s="278"/>
      <c r="Q904" s="278"/>
      <c r="R904" s="278"/>
      <c r="S904" s="278"/>
      <c r="T904" s="278"/>
      <c r="U904" s="278"/>
      <c r="V904" s="278"/>
      <c r="W904" s="278"/>
      <c r="X904" s="278"/>
    </row>
    <row r="905" ht="15.75" customHeight="1">
      <c r="B905" s="278"/>
      <c r="C905" s="278"/>
      <c r="D905" s="278"/>
      <c r="F905" s="278"/>
      <c r="G905" s="278"/>
      <c r="H905" s="278"/>
      <c r="I905" s="278"/>
      <c r="J905" s="278"/>
      <c r="K905" s="278"/>
      <c r="L905" s="278"/>
      <c r="M905" s="278"/>
      <c r="N905" s="278"/>
      <c r="O905" s="278"/>
      <c r="P905" s="278"/>
      <c r="Q905" s="278"/>
      <c r="R905" s="278"/>
      <c r="S905" s="278"/>
      <c r="T905" s="278"/>
      <c r="U905" s="278"/>
      <c r="V905" s="278"/>
      <c r="W905" s="278"/>
      <c r="X905" s="278"/>
    </row>
    <row r="906" ht="15.75" customHeight="1">
      <c r="B906" s="278"/>
      <c r="C906" s="278"/>
      <c r="D906" s="278"/>
      <c r="F906" s="278"/>
      <c r="G906" s="278"/>
      <c r="H906" s="278"/>
      <c r="I906" s="278"/>
      <c r="J906" s="278"/>
      <c r="K906" s="278"/>
      <c r="L906" s="278"/>
      <c r="M906" s="278"/>
      <c r="N906" s="278"/>
      <c r="O906" s="278"/>
      <c r="P906" s="278"/>
      <c r="Q906" s="278"/>
      <c r="R906" s="278"/>
      <c r="S906" s="278"/>
      <c r="T906" s="278"/>
      <c r="U906" s="278"/>
      <c r="V906" s="278"/>
      <c r="W906" s="278"/>
      <c r="X906" s="278"/>
    </row>
    <row r="907" ht="15.75" customHeight="1">
      <c r="B907" s="278"/>
      <c r="C907" s="278"/>
      <c r="D907" s="278"/>
      <c r="F907" s="278"/>
      <c r="G907" s="278"/>
      <c r="H907" s="278"/>
      <c r="I907" s="278"/>
      <c r="J907" s="278"/>
      <c r="K907" s="278"/>
      <c r="L907" s="278"/>
      <c r="M907" s="278"/>
      <c r="N907" s="278"/>
      <c r="O907" s="278"/>
      <c r="P907" s="278"/>
      <c r="Q907" s="278"/>
      <c r="R907" s="278"/>
      <c r="S907" s="278"/>
      <c r="T907" s="278"/>
      <c r="U907" s="278"/>
      <c r="V907" s="278"/>
      <c r="W907" s="278"/>
      <c r="X907" s="278"/>
    </row>
    <row r="908" ht="15.75" customHeight="1">
      <c r="B908" s="278"/>
      <c r="C908" s="278"/>
      <c r="D908" s="278"/>
      <c r="F908" s="278"/>
      <c r="G908" s="278"/>
      <c r="H908" s="278"/>
      <c r="I908" s="278"/>
      <c r="J908" s="278"/>
      <c r="K908" s="278"/>
      <c r="L908" s="278"/>
      <c r="M908" s="278"/>
      <c r="N908" s="278"/>
      <c r="O908" s="278"/>
      <c r="P908" s="278"/>
      <c r="Q908" s="278"/>
      <c r="R908" s="278"/>
      <c r="S908" s="278"/>
      <c r="T908" s="278"/>
      <c r="U908" s="278"/>
      <c r="V908" s="278"/>
      <c r="W908" s="278"/>
      <c r="X908" s="278"/>
    </row>
    <row r="909" ht="15.75" customHeight="1">
      <c r="B909" s="278"/>
      <c r="C909" s="278"/>
      <c r="D909" s="278"/>
      <c r="F909" s="278"/>
      <c r="G909" s="278"/>
      <c r="H909" s="278"/>
      <c r="I909" s="278"/>
      <c r="J909" s="278"/>
      <c r="K909" s="278"/>
      <c r="L909" s="278"/>
      <c r="M909" s="278"/>
      <c r="N909" s="278"/>
      <c r="O909" s="278"/>
      <c r="P909" s="278"/>
      <c r="Q909" s="278"/>
      <c r="R909" s="278"/>
      <c r="S909" s="278"/>
      <c r="T909" s="278"/>
      <c r="U909" s="278"/>
      <c r="V909" s="278"/>
      <c r="W909" s="278"/>
      <c r="X909" s="278"/>
    </row>
    <row r="910" ht="15.75" customHeight="1">
      <c r="B910" s="278"/>
      <c r="C910" s="278"/>
      <c r="D910" s="278"/>
      <c r="F910" s="278"/>
      <c r="G910" s="278"/>
      <c r="H910" s="278"/>
      <c r="I910" s="278"/>
      <c r="J910" s="278"/>
      <c r="K910" s="278"/>
      <c r="L910" s="278"/>
      <c r="M910" s="278"/>
      <c r="N910" s="278"/>
      <c r="O910" s="278"/>
      <c r="P910" s="278"/>
      <c r="Q910" s="278"/>
      <c r="R910" s="278"/>
      <c r="S910" s="278"/>
      <c r="T910" s="278"/>
      <c r="U910" s="278"/>
      <c r="V910" s="278"/>
      <c r="W910" s="278"/>
      <c r="X910" s="278"/>
    </row>
    <row r="911" ht="15.75" customHeight="1">
      <c r="B911" s="278"/>
      <c r="C911" s="278"/>
      <c r="D911" s="278"/>
      <c r="F911" s="278"/>
      <c r="G911" s="278"/>
      <c r="H911" s="278"/>
      <c r="I911" s="278"/>
      <c r="J911" s="278"/>
      <c r="K911" s="278"/>
      <c r="L911" s="278"/>
      <c r="M911" s="278"/>
      <c r="N911" s="278"/>
      <c r="O911" s="278"/>
      <c r="P911" s="278"/>
      <c r="Q911" s="278"/>
      <c r="R911" s="278"/>
      <c r="S911" s="278"/>
      <c r="T911" s="278"/>
      <c r="U911" s="278"/>
      <c r="V911" s="278"/>
      <c r="W911" s="278"/>
      <c r="X911" s="278"/>
    </row>
    <row r="912" ht="15.75" customHeight="1">
      <c r="B912" s="278"/>
      <c r="C912" s="278"/>
      <c r="D912" s="278"/>
      <c r="F912" s="278"/>
      <c r="G912" s="278"/>
      <c r="H912" s="278"/>
      <c r="I912" s="278"/>
      <c r="J912" s="278"/>
      <c r="K912" s="278"/>
      <c r="L912" s="278"/>
      <c r="M912" s="278"/>
      <c r="N912" s="278"/>
      <c r="O912" s="278"/>
      <c r="P912" s="278"/>
      <c r="Q912" s="278"/>
      <c r="R912" s="278"/>
      <c r="S912" s="278"/>
      <c r="T912" s="278"/>
      <c r="U912" s="278"/>
      <c r="V912" s="278"/>
      <c r="W912" s="278"/>
      <c r="X912" s="278"/>
    </row>
    <row r="913" ht="15.75" customHeight="1">
      <c r="B913" s="278"/>
      <c r="C913" s="278"/>
      <c r="D913" s="278"/>
      <c r="F913" s="278"/>
      <c r="G913" s="278"/>
      <c r="H913" s="278"/>
      <c r="I913" s="278"/>
      <c r="J913" s="278"/>
      <c r="K913" s="278"/>
      <c r="L913" s="278"/>
      <c r="M913" s="278"/>
      <c r="N913" s="278"/>
      <c r="O913" s="278"/>
      <c r="P913" s="278"/>
      <c r="Q913" s="278"/>
      <c r="R913" s="278"/>
      <c r="S913" s="278"/>
      <c r="T913" s="278"/>
      <c r="U913" s="278"/>
      <c r="V913" s="278"/>
      <c r="W913" s="278"/>
      <c r="X913" s="278"/>
    </row>
    <row r="914" ht="15.75" customHeight="1">
      <c r="B914" s="278"/>
      <c r="C914" s="278"/>
      <c r="D914" s="278"/>
      <c r="F914" s="278"/>
      <c r="G914" s="278"/>
      <c r="H914" s="278"/>
      <c r="I914" s="278"/>
      <c r="J914" s="278"/>
      <c r="K914" s="278"/>
      <c r="L914" s="278"/>
      <c r="M914" s="278"/>
      <c r="N914" s="278"/>
      <c r="O914" s="278"/>
      <c r="P914" s="278"/>
      <c r="Q914" s="278"/>
      <c r="R914" s="278"/>
      <c r="S914" s="278"/>
      <c r="T914" s="278"/>
      <c r="U914" s="278"/>
      <c r="V914" s="278"/>
      <c r="W914" s="278"/>
      <c r="X914" s="278"/>
    </row>
    <row r="915" ht="15.75" customHeight="1">
      <c r="B915" s="278"/>
      <c r="C915" s="278"/>
      <c r="D915" s="278"/>
      <c r="F915" s="278"/>
      <c r="G915" s="278"/>
      <c r="H915" s="278"/>
      <c r="I915" s="278"/>
      <c r="J915" s="278"/>
      <c r="K915" s="278"/>
      <c r="L915" s="278"/>
      <c r="M915" s="278"/>
      <c r="N915" s="278"/>
      <c r="O915" s="278"/>
      <c r="P915" s="278"/>
      <c r="Q915" s="278"/>
      <c r="R915" s="278"/>
      <c r="S915" s="278"/>
      <c r="T915" s="278"/>
      <c r="U915" s="278"/>
      <c r="V915" s="278"/>
      <c r="W915" s="278"/>
      <c r="X915" s="278"/>
    </row>
    <row r="916" ht="15.75" customHeight="1">
      <c r="B916" s="278"/>
      <c r="C916" s="278"/>
      <c r="D916" s="278"/>
      <c r="F916" s="278"/>
      <c r="G916" s="278"/>
      <c r="H916" s="278"/>
      <c r="I916" s="278"/>
      <c r="J916" s="278"/>
      <c r="K916" s="278"/>
      <c r="L916" s="278"/>
      <c r="M916" s="278"/>
      <c r="N916" s="278"/>
      <c r="O916" s="278"/>
      <c r="P916" s="278"/>
      <c r="Q916" s="278"/>
      <c r="R916" s="278"/>
      <c r="S916" s="278"/>
      <c r="T916" s="278"/>
      <c r="U916" s="278"/>
      <c r="V916" s="278"/>
      <c r="W916" s="278"/>
      <c r="X916" s="278"/>
    </row>
    <row r="917" ht="15.75" customHeight="1">
      <c r="B917" s="278"/>
      <c r="C917" s="278"/>
      <c r="D917" s="278"/>
      <c r="F917" s="278"/>
      <c r="G917" s="278"/>
      <c r="H917" s="278"/>
      <c r="I917" s="278"/>
      <c r="J917" s="278"/>
      <c r="K917" s="278"/>
      <c r="L917" s="278"/>
      <c r="M917" s="278"/>
      <c r="N917" s="278"/>
      <c r="O917" s="278"/>
      <c r="P917" s="278"/>
      <c r="Q917" s="278"/>
      <c r="R917" s="278"/>
      <c r="S917" s="278"/>
      <c r="T917" s="278"/>
      <c r="U917" s="278"/>
      <c r="V917" s="278"/>
      <c r="W917" s="278"/>
      <c r="X917" s="278"/>
    </row>
    <row r="918" ht="15.75" customHeight="1">
      <c r="B918" s="278"/>
      <c r="C918" s="278"/>
      <c r="D918" s="278"/>
      <c r="F918" s="278"/>
      <c r="G918" s="278"/>
      <c r="H918" s="278"/>
      <c r="I918" s="278"/>
      <c r="J918" s="278"/>
      <c r="K918" s="278"/>
      <c r="L918" s="278"/>
      <c r="M918" s="278"/>
      <c r="N918" s="278"/>
      <c r="O918" s="278"/>
      <c r="P918" s="278"/>
      <c r="Q918" s="278"/>
      <c r="R918" s="278"/>
      <c r="S918" s="278"/>
      <c r="T918" s="278"/>
      <c r="U918" s="278"/>
      <c r="V918" s="278"/>
      <c r="W918" s="278"/>
      <c r="X918" s="278"/>
    </row>
    <row r="919" ht="15.75" customHeight="1">
      <c r="B919" s="278"/>
      <c r="C919" s="278"/>
      <c r="D919" s="278"/>
      <c r="F919" s="278"/>
      <c r="G919" s="278"/>
      <c r="H919" s="278"/>
      <c r="I919" s="278"/>
      <c r="J919" s="278"/>
      <c r="K919" s="278"/>
      <c r="L919" s="278"/>
      <c r="M919" s="278"/>
      <c r="N919" s="278"/>
      <c r="O919" s="278"/>
      <c r="P919" s="278"/>
      <c r="Q919" s="278"/>
      <c r="R919" s="278"/>
      <c r="S919" s="278"/>
      <c r="T919" s="278"/>
      <c r="U919" s="278"/>
      <c r="V919" s="278"/>
      <c r="W919" s="278"/>
      <c r="X919" s="278"/>
    </row>
    <row r="920" ht="15.75" customHeight="1">
      <c r="B920" s="278"/>
      <c r="C920" s="278"/>
      <c r="D920" s="278"/>
      <c r="F920" s="278"/>
      <c r="G920" s="278"/>
      <c r="H920" s="278"/>
      <c r="I920" s="278"/>
      <c r="J920" s="278"/>
      <c r="K920" s="278"/>
      <c r="L920" s="278"/>
      <c r="M920" s="278"/>
      <c r="N920" s="278"/>
      <c r="O920" s="278"/>
      <c r="P920" s="278"/>
      <c r="Q920" s="278"/>
      <c r="R920" s="278"/>
      <c r="S920" s="278"/>
      <c r="T920" s="278"/>
      <c r="U920" s="278"/>
      <c r="V920" s="278"/>
      <c r="W920" s="278"/>
      <c r="X920" s="278"/>
    </row>
    <row r="921" ht="15.75" customHeight="1">
      <c r="B921" s="278"/>
      <c r="C921" s="278"/>
      <c r="D921" s="278"/>
      <c r="F921" s="278"/>
      <c r="G921" s="278"/>
      <c r="H921" s="278"/>
      <c r="I921" s="278"/>
      <c r="J921" s="278"/>
      <c r="K921" s="278"/>
      <c r="L921" s="278"/>
      <c r="M921" s="278"/>
      <c r="N921" s="278"/>
      <c r="O921" s="278"/>
      <c r="P921" s="278"/>
      <c r="Q921" s="278"/>
      <c r="R921" s="278"/>
      <c r="S921" s="278"/>
      <c r="T921" s="278"/>
      <c r="U921" s="278"/>
      <c r="V921" s="278"/>
      <c r="W921" s="278"/>
      <c r="X921" s="278"/>
    </row>
    <row r="922" ht="15.75" customHeight="1">
      <c r="B922" s="278"/>
      <c r="C922" s="278"/>
      <c r="D922" s="278"/>
      <c r="F922" s="278"/>
      <c r="G922" s="278"/>
      <c r="H922" s="278"/>
      <c r="I922" s="278"/>
      <c r="J922" s="278"/>
      <c r="K922" s="278"/>
      <c r="L922" s="278"/>
      <c r="M922" s="278"/>
      <c r="N922" s="278"/>
      <c r="O922" s="278"/>
      <c r="P922" s="278"/>
      <c r="Q922" s="278"/>
      <c r="R922" s="278"/>
      <c r="S922" s="278"/>
      <c r="T922" s="278"/>
      <c r="U922" s="278"/>
      <c r="V922" s="278"/>
      <c r="W922" s="278"/>
      <c r="X922" s="278"/>
    </row>
    <row r="923" ht="15.75" customHeight="1">
      <c r="B923" s="278"/>
      <c r="C923" s="278"/>
      <c r="D923" s="278"/>
      <c r="F923" s="278"/>
      <c r="G923" s="278"/>
      <c r="H923" s="278"/>
      <c r="I923" s="278"/>
      <c r="J923" s="278"/>
      <c r="K923" s="278"/>
      <c r="L923" s="278"/>
      <c r="M923" s="278"/>
      <c r="N923" s="278"/>
      <c r="O923" s="278"/>
      <c r="P923" s="278"/>
      <c r="Q923" s="278"/>
      <c r="R923" s="278"/>
      <c r="S923" s="278"/>
      <c r="T923" s="278"/>
      <c r="U923" s="278"/>
      <c r="V923" s="278"/>
      <c r="W923" s="278"/>
      <c r="X923" s="278"/>
    </row>
    <row r="924" ht="15.75" customHeight="1">
      <c r="B924" s="278"/>
      <c r="C924" s="278"/>
      <c r="D924" s="278"/>
      <c r="F924" s="278"/>
      <c r="G924" s="278"/>
      <c r="H924" s="278"/>
      <c r="I924" s="278"/>
      <c r="J924" s="278"/>
      <c r="K924" s="278"/>
      <c r="L924" s="278"/>
      <c r="M924" s="278"/>
      <c r="N924" s="278"/>
      <c r="O924" s="278"/>
      <c r="P924" s="278"/>
      <c r="Q924" s="278"/>
      <c r="R924" s="278"/>
      <c r="S924" s="278"/>
      <c r="T924" s="278"/>
      <c r="U924" s="278"/>
      <c r="V924" s="278"/>
      <c r="W924" s="278"/>
      <c r="X924" s="278"/>
    </row>
    <row r="925" ht="15.75" customHeight="1">
      <c r="B925" s="278"/>
      <c r="C925" s="278"/>
      <c r="D925" s="278"/>
      <c r="F925" s="278"/>
      <c r="G925" s="278"/>
      <c r="H925" s="278"/>
      <c r="I925" s="278"/>
      <c r="J925" s="278"/>
      <c r="K925" s="278"/>
      <c r="L925" s="278"/>
      <c r="M925" s="278"/>
      <c r="N925" s="278"/>
      <c r="O925" s="278"/>
      <c r="P925" s="278"/>
      <c r="Q925" s="278"/>
      <c r="R925" s="278"/>
      <c r="S925" s="278"/>
      <c r="T925" s="278"/>
      <c r="U925" s="278"/>
      <c r="V925" s="278"/>
      <c r="W925" s="278"/>
      <c r="X925" s="278"/>
    </row>
    <row r="926" ht="15.75" customHeight="1">
      <c r="B926" s="278"/>
      <c r="C926" s="278"/>
      <c r="D926" s="278"/>
      <c r="F926" s="278"/>
      <c r="G926" s="278"/>
      <c r="H926" s="278"/>
      <c r="I926" s="278"/>
      <c r="J926" s="278"/>
      <c r="K926" s="278"/>
      <c r="L926" s="278"/>
      <c r="M926" s="278"/>
      <c r="N926" s="278"/>
      <c r="O926" s="278"/>
      <c r="P926" s="278"/>
      <c r="Q926" s="278"/>
      <c r="R926" s="278"/>
      <c r="S926" s="278"/>
      <c r="T926" s="278"/>
      <c r="U926" s="278"/>
      <c r="V926" s="278"/>
      <c r="W926" s="278"/>
      <c r="X926" s="278"/>
    </row>
    <row r="927" ht="15.75" customHeight="1">
      <c r="B927" s="278"/>
      <c r="C927" s="278"/>
      <c r="D927" s="278"/>
      <c r="F927" s="278"/>
      <c r="G927" s="278"/>
      <c r="H927" s="278"/>
      <c r="I927" s="278"/>
      <c r="J927" s="278"/>
      <c r="K927" s="278"/>
      <c r="L927" s="278"/>
      <c r="M927" s="278"/>
      <c r="N927" s="278"/>
      <c r="O927" s="278"/>
      <c r="P927" s="278"/>
      <c r="Q927" s="278"/>
      <c r="R927" s="278"/>
      <c r="S927" s="278"/>
      <c r="T927" s="278"/>
      <c r="U927" s="278"/>
      <c r="V927" s="278"/>
      <c r="W927" s="278"/>
      <c r="X927" s="278"/>
    </row>
    <row r="928" ht="15.75" customHeight="1">
      <c r="B928" s="278"/>
      <c r="C928" s="278"/>
      <c r="D928" s="278"/>
      <c r="F928" s="278"/>
      <c r="G928" s="278"/>
      <c r="H928" s="278"/>
      <c r="I928" s="278"/>
      <c r="J928" s="278"/>
      <c r="K928" s="278"/>
      <c r="L928" s="278"/>
      <c r="M928" s="278"/>
      <c r="N928" s="278"/>
      <c r="O928" s="278"/>
      <c r="P928" s="278"/>
      <c r="Q928" s="278"/>
      <c r="R928" s="278"/>
      <c r="S928" s="278"/>
      <c r="T928" s="278"/>
      <c r="U928" s="278"/>
      <c r="V928" s="278"/>
      <c r="W928" s="278"/>
      <c r="X928" s="278"/>
    </row>
    <row r="929" ht="15.75" customHeight="1">
      <c r="B929" s="278"/>
      <c r="C929" s="278"/>
      <c r="D929" s="278"/>
      <c r="F929" s="278"/>
      <c r="G929" s="278"/>
      <c r="H929" s="278"/>
      <c r="I929" s="278"/>
      <c r="J929" s="278"/>
      <c r="K929" s="278"/>
      <c r="L929" s="278"/>
      <c r="M929" s="278"/>
      <c r="N929" s="278"/>
      <c r="O929" s="278"/>
      <c r="P929" s="278"/>
      <c r="Q929" s="278"/>
      <c r="R929" s="278"/>
      <c r="S929" s="278"/>
      <c r="T929" s="278"/>
      <c r="U929" s="278"/>
      <c r="V929" s="278"/>
      <c r="W929" s="278"/>
      <c r="X929" s="278"/>
    </row>
    <row r="930" ht="15.75" customHeight="1">
      <c r="B930" s="278"/>
      <c r="C930" s="278"/>
      <c r="D930" s="278"/>
      <c r="F930" s="278"/>
      <c r="G930" s="278"/>
      <c r="H930" s="278"/>
      <c r="I930" s="278"/>
      <c r="J930" s="278"/>
      <c r="K930" s="278"/>
      <c r="L930" s="278"/>
      <c r="M930" s="278"/>
      <c r="N930" s="278"/>
      <c r="O930" s="278"/>
      <c r="P930" s="278"/>
      <c r="Q930" s="278"/>
      <c r="R930" s="278"/>
      <c r="S930" s="278"/>
      <c r="T930" s="278"/>
      <c r="U930" s="278"/>
      <c r="V930" s="278"/>
      <c r="W930" s="278"/>
      <c r="X930" s="278"/>
    </row>
    <row r="931" ht="15.75" customHeight="1">
      <c r="B931" s="278"/>
      <c r="C931" s="278"/>
      <c r="D931" s="278"/>
      <c r="F931" s="278"/>
      <c r="G931" s="278"/>
      <c r="H931" s="278"/>
      <c r="I931" s="278"/>
      <c r="J931" s="278"/>
      <c r="K931" s="278"/>
      <c r="L931" s="278"/>
      <c r="M931" s="278"/>
      <c r="N931" s="278"/>
      <c r="O931" s="278"/>
      <c r="P931" s="278"/>
      <c r="Q931" s="278"/>
      <c r="R931" s="278"/>
      <c r="S931" s="278"/>
      <c r="T931" s="278"/>
      <c r="U931" s="278"/>
      <c r="V931" s="278"/>
      <c r="W931" s="278"/>
      <c r="X931" s="278"/>
    </row>
    <row r="932" ht="15.75" customHeight="1">
      <c r="B932" s="278"/>
      <c r="C932" s="278"/>
      <c r="D932" s="278"/>
      <c r="F932" s="278"/>
      <c r="G932" s="278"/>
      <c r="H932" s="278"/>
      <c r="I932" s="278"/>
      <c r="J932" s="278"/>
      <c r="K932" s="278"/>
      <c r="L932" s="278"/>
      <c r="M932" s="278"/>
      <c r="N932" s="278"/>
      <c r="O932" s="278"/>
      <c r="P932" s="278"/>
      <c r="Q932" s="278"/>
      <c r="R932" s="278"/>
      <c r="S932" s="278"/>
      <c r="T932" s="278"/>
      <c r="U932" s="278"/>
      <c r="V932" s="278"/>
      <c r="W932" s="278"/>
      <c r="X932" s="278"/>
    </row>
    <row r="933" ht="15.75" customHeight="1">
      <c r="B933" s="278"/>
      <c r="C933" s="278"/>
      <c r="D933" s="278"/>
      <c r="F933" s="278"/>
      <c r="G933" s="278"/>
      <c r="H933" s="278"/>
      <c r="I933" s="278"/>
      <c r="J933" s="278"/>
      <c r="K933" s="278"/>
      <c r="L933" s="278"/>
      <c r="M933" s="278"/>
      <c r="N933" s="278"/>
      <c r="O933" s="278"/>
      <c r="P933" s="278"/>
      <c r="Q933" s="278"/>
      <c r="R933" s="278"/>
      <c r="S933" s="278"/>
      <c r="T933" s="278"/>
      <c r="U933" s="278"/>
      <c r="V933" s="278"/>
      <c r="W933" s="278"/>
      <c r="X933" s="278"/>
    </row>
    <row r="934" ht="15.75" customHeight="1">
      <c r="B934" s="278"/>
      <c r="C934" s="278"/>
      <c r="D934" s="278"/>
      <c r="F934" s="278"/>
      <c r="G934" s="278"/>
      <c r="H934" s="278"/>
      <c r="I934" s="278"/>
      <c r="J934" s="278"/>
      <c r="K934" s="278"/>
      <c r="L934" s="278"/>
      <c r="M934" s="278"/>
      <c r="N934" s="278"/>
      <c r="O934" s="278"/>
      <c r="P934" s="278"/>
      <c r="Q934" s="278"/>
      <c r="R934" s="278"/>
      <c r="S934" s="278"/>
      <c r="T934" s="278"/>
      <c r="U934" s="278"/>
      <c r="V934" s="278"/>
      <c r="W934" s="278"/>
      <c r="X934" s="278"/>
    </row>
    <row r="935" ht="15.75" customHeight="1">
      <c r="B935" s="278"/>
      <c r="C935" s="278"/>
      <c r="D935" s="278"/>
      <c r="F935" s="278"/>
      <c r="G935" s="278"/>
      <c r="H935" s="278"/>
      <c r="I935" s="278"/>
      <c r="J935" s="278"/>
      <c r="K935" s="278"/>
      <c r="L935" s="278"/>
      <c r="M935" s="278"/>
      <c r="N935" s="278"/>
      <c r="O935" s="278"/>
      <c r="P935" s="278"/>
      <c r="Q935" s="278"/>
      <c r="R935" s="278"/>
      <c r="S935" s="278"/>
      <c r="T935" s="278"/>
      <c r="U935" s="278"/>
      <c r="V935" s="278"/>
      <c r="W935" s="278"/>
      <c r="X935" s="278"/>
    </row>
    <row r="936" ht="15.75" customHeight="1">
      <c r="B936" s="278"/>
      <c r="C936" s="278"/>
      <c r="D936" s="278"/>
      <c r="F936" s="278"/>
      <c r="G936" s="278"/>
      <c r="H936" s="278"/>
      <c r="I936" s="278"/>
      <c r="J936" s="278"/>
      <c r="K936" s="278"/>
      <c r="L936" s="278"/>
      <c r="M936" s="278"/>
      <c r="N936" s="278"/>
      <c r="O936" s="278"/>
      <c r="P936" s="278"/>
      <c r="Q936" s="278"/>
      <c r="R936" s="278"/>
      <c r="S936" s="278"/>
      <c r="T936" s="278"/>
      <c r="U936" s="278"/>
      <c r="V936" s="278"/>
      <c r="W936" s="278"/>
      <c r="X936" s="278"/>
    </row>
    <row r="937" ht="15.75" customHeight="1">
      <c r="B937" s="278"/>
      <c r="C937" s="278"/>
      <c r="D937" s="278"/>
      <c r="F937" s="278"/>
      <c r="G937" s="278"/>
      <c r="H937" s="278"/>
      <c r="I937" s="278"/>
      <c r="J937" s="278"/>
      <c r="K937" s="278"/>
      <c r="L937" s="278"/>
      <c r="M937" s="278"/>
      <c r="N937" s="278"/>
      <c r="O937" s="278"/>
      <c r="P937" s="278"/>
      <c r="Q937" s="278"/>
      <c r="R937" s="278"/>
      <c r="S937" s="278"/>
      <c r="T937" s="278"/>
      <c r="U937" s="278"/>
      <c r="V937" s="278"/>
      <c r="W937" s="278"/>
      <c r="X937" s="278"/>
    </row>
    <row r="938" ht="15.75" customHeight="1">
      <c r="B938" s="278"/>
      <c r="C938" s="278"/>
      <c r="D938" s="278"/>
      <c r="F938" s="278"/>
      <c r="G938" s="278"/>
      <c r="H938" s="278"/>
      <c r="I938" s="278"/>
      <c r="J938" s="278"/>
      <c r="K938" s="278"/>
      <c r="L938" s="278"/>
      <c r="M938" s="278"/>
      <c r="N938" s="278"/>
      <c r="O938" s="278"/>
      <c r="P938" s="278"/>
      <c r="Q938" s="278"/>
      <c r="R938" s="278"/>
      <c r="S938" s="278"/>
      <c r="T938" s="278"/>
      <c r="U938" s="278"/>
      <c r="V938" s="278"/>
      <c r="W938" s="278"/>
      <c r="X938" s="278"/>
    </row>
    <row r="939" ht="15.75" customHeight="1">
      <c r="B939" s="278"/>
      <c r="C939" s="278"/>
      <c r="D939" s="278"/>
      <c r="F939" s="278"/>
      <c r="G939" s="278"/>
      <c r="H939" s="278"/>
      <c r="I939" s="278"/>
      <c r="J939" s="278"/>
      <c r="K939" s="278"/>
      <c r="L939" s="278"/>
      <c r="M939" s="278"/>
      <c r="N939" s="278"/>
      <c r="O939" s="278"/>
      <c r="P939" s="278"/>
      <c r="Q939" s="278"/>
      <c r="R939" s="278"/>
      <c r="S939" s="278"/>
      <c r="T939" s="278"/>
      <c r="U939" s="278"/>
      <c r="V939" s="278"/>
      <c r="W939" s="278"/>
      <c r="X939" s="278"/>
    </row>
    <row r="940" ht="15.75" customHeight="1">
      <c r="B940" s="278"/>
      <c r="C940" s="278"/>
      <c r="D940" s="278"/>
      <c r="F940" s="278"/>
      <c r="G940" s="278"/>
      <c r="H940" s="278"/>
      <c r="I940" s="278"/>
      <c r="J940" s="278"/>
      <c r="K940" s="278"/>
      <c r="L940" s="278"/>
      <c r="M940" s="278"/>
      <c r="N940" s="278"/>
      <c r="O940" s="278"/>
      <c r="P940" s="278"/>
      <c r="Q940" s="278"/>
      <c r="R940" s="278"/>
      <c r="S940" s="278"/>
      <c r="T940" s="278"/>
      <c r="U940" s="278"/>
      <c r="V940" s="278"/>
      <c r="W940" s="278"/>
      <c r="X940" s="278"/>
    </row>
    <row r="941" ht="15.75" customHeight="1">
      <c r="B941" s="278"/>
      <c r="C941" s="278"/>
      <c r="D941" s="278"/>
      <c r="F941" s="278"/>
      <c r="G941" s="278"/>
      <c r="H941" s="278"/>
      <c r="I941" s="278"/>
      <c r="J941" s="278"/>
      <c r="K941" s="278"/>
      <c r="L941" s="278"/>
      <c r="M941" s="278"/>
      <c r="N941" s="278"/>
      <c r="O941" s="278"/>
      <c r="P941" s="278"/>
      <c r="Q941" s="278"/>
      <c r="R941" s="278"/>
      <c r="S941" s="278"/>
      <c r="T941" s="278"/>
      <c r="U941" s="278"/>
      <c r="V941" s="278"/>
      <c r="W941" s="278"/>
      <c r="X941" s="278"/>
    </row>
    <row r="942" ht="15.75" customHeight="1">
      <c r="B942" s="278"/>
      <c r="C942" s="278"/>
      <c r="D942" s="278"/>
      <c r="F942" s="278"/>
      <c r="G942" s="278"/>
      <c r="H942" s="278"/>
      <c r="I942" s="278"/>
      <c r="J942" s="278"/>
      <c r="K942" s="278"/>
      <c r="L942" s="278"/>
      <c r="M942" s="278"/>
      <c r="N942" s="278"/>
      <c r="O942" s="278"/>
      <c r="P942" s="278"/>
      <c r="Q942" s="278"/>
      <c r="R942" s="278"/>
      <c r="S942" s="278"/>
      <c r="T942" s="278"/>
      <c r="U942" s="278"/>
      <c r="V942" s="278"/>
      <c r="W942" s="278"/>
      <c r="X942" s="278"/>
    </row>
    <row r="943" ht="15.75" customHeight="1">
      <c r="B943" s="278"/>
      <c r="C943" s="278"/>
      <c r="D943" s="278"/>
      <c r="F943" s="278"/>
      <c r="G943" s="278"/>
      <c r="H943" s="278"/>
      <c r="I943" s="278"/>
      <c r="J943" s="278"/>
      <c r="K943" s="278"/>
      <c r="L943" s="278"/>
      <c r="M943" s="278"/>
      <c r="N943" s="278"/>
      <c r="O943" s="278"/>
      <c r="P943" s="278"/>
      <c r="Q943" s="278"/>
      <c r="R943" s="278"/>
      <c r="S943" s="278"/>
      <c r="T943" s="278"/>
      <c r="U943" s="278"/>
      <c r="V943" s="278"/>
      <c r="W943" s="278"/>
      <c r="X943" s="278"/>
    </row>
    <row r="944" ht="15.75" customHeight="1">
      <c r="B944" s="278"/>
      <c r="C944" s="278"/>
      <c r="D944" s="278"/>
      <c r="F944" s="278"/>
      <c r="G944" s="278"/>
      <c r="H944" s="278"/>
      <c r="I944" s="278"/>
      <c r="J944" s="278"/>
      <c r="K944" s="278"/>
      <c r="L944" s="278"/>
      <c r="M944" s="278"/>
      <c r="N944" s="278"/>
      <c r="O944" s="278"/>
      <c r="P944" s="278"/>
      <c r="Q944" s="278"/>
      <c r="R944" s="278"/>
      <c r="S944" s="278"/>
      <c r="T944" s="278"/>
      <c r="U944" s="278"/>
      <c r="V944" s="278"/>
      <c r="W944" s="278"/>
      <c r="X944" s="278"/>
    </row>
    <row r="945" ht="15.75" customHeight="1">
      <c r="B945" s="278"/>
      <c r="C945" s="278"/>
      <c r="D945" s="278"/>
      <c r="F945" s="278"/>
      <c r="G945" s="278"/>
      <c r="H945" s="278"/>
      <c r="I945" s="278"/>
      <c r="J945" s="278"/>
      <c r="K945" s="278"/>
      <c r="L945" s="278"/>
      <c r="M945" s="278"/>
      <c r="N945" s="278"/>
      <c r="O945" s="278"/>
      <c r="P945" s="278"/>
      <c r="Q945" s="278"/>
      <c r="R945" s="278"/>
      <c r="S945" s="278"/>
      <c r="T945" s="278"/>
      <c r="U945" s="278"/>
      <c r="V945" s="278"/>
      <c r="W945" s="278"/>
      <c r="X945" s="278"/>
    </row>
    <row r="946" ht="15.75" customHeight="1">
      <c r="B946" s="278"/>
      <c r="C946" s="278"/>
      <c r="D946" s="278"/>
      <c r="F946" s="278"/>
      <c r="G946" s="278"/>
      <c r="H946" s="278"/>
      <c r="I946" s="278"/>
      <c r="J946" s="278"/>
      <c r="K946" s="278"/>
      <c r="L946" s="278"/>
      <c r="M946" s="278"/>
      <c r="N946" s="278"/>
      <c r="O946" s="278"/>
      <c r="P946" s="278"/>
      <c r="Q946" s="278"/>
      <c r="R946" s="278"/>
      <c r="S946" s="278"/>
      <c r="T946" s="278"/>
      <c r="U946" s="278"/>
      <c r="V946" s="278"/>
      <c r="W946" s="278"/>
      <c r="X946" s="278"/>
    </row>
    <row r="947" ht="15.75" customHeight="1">
      <c r="B947" s="278"/>
      <c r="C947" s="278"/>
      <c r="D947" s="278"/>
      <c r="F947" s="278"/>
      <c r="G947" s="278"/>
      <c r="H947" s="278"/>
      <c r="I947" s="278"/>
      <c r="J947" s="278"/>
      <c r="K947" s="278"/>
      <c r="L947" s="278"/>
      <c r="M947" s="278"/>
      <c r="N947" s="278"/>
      <c r="O947" s="278"/>
      <c r="P947" s="278"/>
      <c r="Q947" s="278"/>
      <c r="R947" s="278"/>
      <c r="S947" s="278"/>
      <c r="T947" s="278"/>
      <c r="U947" s="278"/>
      <c r="V947" s="278"/>
      <c r="W947" s="278"/>
      <c r="X947" s="278"/>
    </row>
    <row r="948" ht="15.75" customHeight="1">
      <c r="B948" s="278"/>
      <c r="C948" s="278"/>
      <c r="D948" s="278"/>
      <c r="F948" s="278"/>
      <c r="G948" s="278"/>
      <c r="H948" s="278"/>
      <c r="I948" s="278"/>
      <c r="J948" s="278"/>
      <c r="K948" s="278"/>
      <c r="L948" s="278"/>
      <c r="M948" s="278"/>
      <c r="N948" s="278"/>
      <c r="O948" s="278"/>
      <c r="P948" s="278"/>
      <c r="Q948" s="278"/>
      <c r="R948" s="278"/>
      <c r="S948" s="278"/>
      <c r="T948" s="278"/>
      <c r="U948" s="278"/>
      <c r="V948" s="278"/>
      <c r="W948" s="278"/>
      <c r="X948" s="278"/>
    </row>
    <row r="949" ht="15.75" customHeight="1">
      <c r="B949" s="278"/>
      <c r="C949" s="278"/>
      <c r="D949" s="278"/>
      <c r="F949" s="278"/>
      <c r="G949" s="278"/>
      <c r="H949" s="278"/>
      <c r="I949" s="278"/>
      <c r="J949" s="278"/>
      <c r="K949" s="278"/>
      <c r="L949" s="278"/>
      <c r="M949" s="278"/>
      <c r="N949" s="278"/>
      <c r="O949" s="278"/>
      <c r="P949" s="278"/>
      <c r="Q949" s="278"/>
      <c r="R949" s="278"/>
      <c r="S949" s="278"/>
      <c r="T949" s="278"/>
      <c r="U949" s="278"/>
      <c r="V949" s="278"/>
      <c r="W949" s="278"/>
      <c r="X949" s="278"/>
    </row>
    <row r="950" ht="15.75" customHeight="1">
      <c r="B950" s="278"/>
      <c r="C950" s="278"/>
      <c r="D950" s="278"/>
      <c r="F950" s="278"/>
      <c r="G950" s="278"/>
      <c r="H950" s="278"/>
      <c r="I950" s="278"/>
      <c r="J950" s="278"/>
      <c r="K950" s="278"/>
      <c r="L950" s="278"/>
      <c r="M950" s="278"/>
      <c r="N950" s="278"/>
      <c r="O950" s="278"/>
      <c r="P950" s="278"/>
      <c r="Q950" s="278"/>
      <c r="R950" s="278"/>
      <c r="S950" s="278"/>
      <c r="T950" s="278"/>
      <c r="U950" s="278"/>
      <c r="V950" s="278"/>
      <c r="W950" s="278"/>
      <c r="X950" s="278"/>
    </row>
    <row r="951" ht="15.75" customHeight="1">
      <c r="B951" s="278"/>
      <c r="C951" s="278"/>
      <c r="D951" s="278"/>
      <c r="F951" s="278"/>
      <c r="G951" s="278"/>
      <c r="H951" s="278"/>
      <c r="I951" s="278"/>
      <c r="J951" s="278"/>
      <c r="K951" s="278"/>
      <c r="L951" s="278"/>
      <c r="M951" s="278"/>
      <c r="N951" s="278"/>
      <c r="O951" s="278"/>
      <c r="P951" s="278"/>
      <c r="Q951" s="278"/>
      <c r="R951" s="278"/>
      <c r="S951" s="278"/>
      <c r="T951" s="278"/>
      <c r="U951" s="278"/>
      <c r="V951" s="278"/>
      <c r="W951" s="278"/>
      <c r="X951" s="278"/>
    </row>
    <row r="952" ht="15.75" customHeight="1">
      <c r="B952" s="278"/>
      <c r="C952" s="278"/>
      <c r="D952" s="278"/>
      <c r="F952" s="278"/>
      <c r="G952" s="278"/>
      <c r="H952" s="278"/>
      <c r="I952" s="278"/>
      <c r="J952" s="278"/>
      <c r="K952" s="278"/>
      <c r="L952" s="278"/>
      <c r="M952" s="278"/>
      <c r="N952" s="278"/>
      <c r="O952" s="278"/>
      <c r="P952" s="278"/>
      <c r="Q952" s="278"/>
      <c r="R952" s="278"/>
      <c r="S952" s="278"/>
      <c r="T952" s="278"/>
      <c r="U952" s="278"/>
      <c r="V952" s="278"/>
      <c r="W952" s="278"/>
      <c r="X952" s="278"/>
    </row>
    <row r="953" ht="15.75" customHeight="1">
      <c r="B953" s="278"/>
      <c r="C953" s="278"/>
      <c r="D953" s="278"/>
      <c r="F953" s="278"/>
      <c r="G953" s="278"/>
      <c r="H953" s="278"/>
      <c r="I953" s="278"/>
      <c r="J953" s="278"/>
      <c r="K953" s="278"/>
      <c r="L953" s="278"/>
      <c r="M953" s="278"/>
      <c r="N953" s="278"/>
      <c r="O953" s="278"/>
      <c r="P953" s="278"/>
      <c r="Q953" s="278"/>
      <c r="R953" s="278"/>
      <c r="S953" s="278"/>
      <c r="T953" s="278"/>
      <c r="U953" s="278"/>
      <c r="V953" s="278"/>
      <c r="W953" s="278"/>
      <c r="X953" s="278"/>
    </row>
    <row r="954" ht="15.75" customHeight="1">
      <c r="B954" s="278"/>
      <c r="C954" s="278"/>
      <c r="D954" s="278"/>
      <c r="F954" s="278"/>
      <c r="G954" s="278"/>
      <c r="H954" s="278"/>
      <c r="I954" s="278"/>
      <c r="J954" s="278"/>
      <c r="K954" s="278"/>
      <c r="L954" s="278"/>
      <c r="M954" s="278"/>
      <c r="N954" s="278"/>
      <c r="O954" s="278"/>
      <c r="P954" s="278"/>
      <c r="Q954" s="278"/>
      <c r="R954" s="278"/>
      <c r="S954" s="278"/>
      <c r="T954" s="278"/>
      <c r="U954" s="278"/>
      <c r="V954" s="278"/>
      <c r="W954" s="278"/>
      <c r="X954" s="278"/>
    </row>
    <row r="955" ht="15.75" customHeight="1">
      <c r="B955" s="278"/>
      <c r="C955" s="278"/>
      <c r="D955" s="278"/>
      <c r="F955" s="278"/>
      <c r="G955" s="278"/>
      <c r="H955" s="278"/>
      <c r="I955" s="278"/>
      <c r="J955" s="278"/>
      <c r="K955" s="278"/>
      <c r="L955" s="278"/>
      <c r="M955" s="278"/>
      <c r="N955" s="278"/>
      <c r="O955" s="278"/>
      <c r="P955" s="278"/>
      <c r="Q955" s="278"/>
      <c r="R955" s="278"/>
      <c r="S955" s="278"/>
      <c r="T955" s="278"/>
      <c r="U955" s="278"/>
      <c r="V955" s="278"/>
      <c r="W955" s="278"/>
      <c r="X955" s="278"/>
    </row>
    <row r="956" ht="15.75" customHeight="1">
      <c r="B956" s="278"/>
      <c r="C956" s="278"/>
      <c r="D956" s="278"/>
      <c r="F956" s="278"/>
      <c r="G956" s="278"/>
      <c r="H956" s="278"/>
      <c r="I956" s="278"/>
      <c r="J956" s="278"/>
      <c r="K956" s="278"/>
      <c r="L956" s="278"/>
      <c r="M956" s="278"/>
      <c r="N956" s="278"/>
      <c r="O956" s="278"/>
      <c r="P956" s="278"/>
      <c r="Q956" s="278"/>
      <c r="R956" s="278"/>
      <c r="S956" s="278"/>
      <c r="T956" s="278"/>
      <c r="U956" s="278"/>
      <c r="V956" s="278"/>
      <c r="W956" s="278"/>
      <c r="X956" s="278"/>
    </row>
    <row r="957" ht="15.75" customHeight="1">
      <c r="B957" s="278"/>
      <c r="C957" s="278"/>
      <c r="D957" s="278"/>
      <c r="F957" s="278"/>
      <c r="G957" s="278"/>
      <c r="H957" s="278"/>
      <c r="I957" s="278"/>
      <c r="J957" s="278"/>
      <c r="K957" s="278"/>
      <c r="L957" s="278"/>
      <c r="M957" s="278"/>
      <c r="N957" s="278"/>
      <c r="O957" s="278"/>
      <c r="P957" s="278"/>
      <c r="Q957" s="278"/>
      <c r="R957" s="278"/>
      <c r="S957" s="278"/>
      <c r="T957" s="278"/>
      <c r="U957" s="278"/>
      <c r="V957" s="278"/>
      <c r="W957" s="278"/>
      <c r="X957" s="278"/>
    </row>
    <row r="958" ht="15.75" customHeight="1">
      <c r="B958" s="278"/>
      <c r="C958" s="278"/>
      <c r="D958" s="278"/>
      <c r="F958" s="278"/>
      <c r="G958" s="278"/>
      <c r="H958" s="278"/>
      <c r="I958" s="278"/>
      <c r="J958" s="278"/>
      <c r="K958" s="278"/>
      <c r="L958" s="278"/>
      <c r="M958" s="278"/>
      <c r="N958" s="278"/>
      <c r="O958" s="278"/>
      <c r="P958" s="278"/>
      <c r="Q958" s="278"/>
      <c r="R958" s="278"/>
      <c r="S958" s="278"/>
      <c r="T958" s="278"/>
      <c r="U958" s="278"/>
      <c r="V958" s="278"/>
      <c r="W958" s="278"/>
      <c r="X958" s="278"/>
    </row>
    <row r="959" ht="15.75" customHeight="1">
      <c r="B959" s="278"/>
      <c r="C959" s="278"/>
      <c r="D959" s="278"/>
      <c r="F959" s="278"/>
      <c r="G959" s="278"/>
      <c r="H959" s="278"/>
      <c r="I959" s="278"/>
      <c r="J959" s="278"/>
      <c r="K959" s="278"/>
      <c r="L959" s="278"/>
      <c r="M959" s="278"/>
      <c r="N959" s="278"/>
      <c r="O959" s="278"/>
      <c r="P959" s="278"/>
      <c r="Q959" s="278"/>
      <c r="R959" s="278"/>
      <c r="S959" s="278"/>
      <c r="T959" s="278"/>
      <c r="U959" s="278"/>
      <c r="V959" s="278"/>
      <c r="W959" s="278"/>
      <c r="X959" s="278"/>
    </row>
    <row r="960" ht="15.75" customHeight="1">
      <c r="B960" s="278"/>
      <c r="C960" s="278"/>
      <c r="D960" s="278"/>
      <c r="F960" s="278"/>
      <c r="G960" s="278"/>
      <c r="H960" s="278"/>
      <c r="I960" s="278"/>
      <c r="J960" s="278"/>
      <c r="K960" s="278"/>
      <c r="L960" s="278"/>
      <c r="M960" s="278"/>
      <c r="N960" s="278"/>
      <c r="O960" s="278"/>
      <c r="P960" s="278"/>
      <c r="Q960" s="278"/>
      <c r="R960" s="278"/>
      <c r="S960" s="278"/>
      <c r="T960" s="278"/>
      <c r="U960" s="278"/>
      <c r="V960" s="278"/>
      <c r="W960" s="278"/>
      <c r="X960" s="278"/>
    </row>
    <row r="961" ht="15.75" customHeight="1">
      <c r="B961" s="278"/>
      <c r="C961" s="278"/>
      <c r="D961" s="278"/>
      <c r="F961" s="278"/>
      <c r="G961" s="278"/>
      <c r="H961" s="278"/>
      <c r="I961" s="278"/>
      <c r="J961" s="278"/>
      <c r="K961" s="278"/>
      <c r="L961" s="278"/>
      <c r="M961" s="278"/>
      <c r="N961" s="278"/>
      <c r="O961" s="278"/>
      <c r="P961" s="278"/>
      <c r="Q961" s="278"/>
      <c r="R961" s="278"/>
      <c r="S961" s="278"/>
      <c r="T961" s="278"/>
      <c r="U961" s="278"/>
      <c r="V961" s="278"/>
      <c r="W961" s="278"/>
      <c r="X961" s="278"/>
    </row>
    <row r="962" ht="15.75" customHeight="1">
      <c r="B962" s="278"/>
      <c r="C962" s="278"/>
      <c r="D962" s="278"/>
      <c r="F962" s="278"/>
      <c r="G962" s="278"/>
      <c r="H962" s="278"/>
      <c r="I962" s="278"/>
      <c r="J962" s="278"/>
      <c r="K962" s="278"/>
      <c r="L962" s="278"/>
      <c r="M962" s="278"/>
      <c r="N962" s="278"/>
      <c r="O962" s="278"/>
      <c r="P962" s="278"/>
      <c r="Q962" s="278"/>
      <c r="R962" s="278"/>
      <c r="S962" s="278"/>
      <c r="T962" s="278"/>
      <c r="U962" s="278"/>
      <c r="V962" s="278"/>
      <c r="W962" s="278"/>
      <c r="X962" s="278"/>
    </row>
    <row r="963" ht="15.75" customHeight="1">
      <c r="B963" s="278"/>
      <c r="C963" s="278"/>
      <c r="D963" s="278"/>
      <c r="F963" s="278"/>
      <c r="G963" s="278"/>
      <c r="H963" s="278"/>
      <c r="I963" s="278"/>
      <c r="J963" s="278"/>
      <c r="K963" s="278"/>
      <c r="L963" s="278"/>
      <c r="M963" s="278"/>
      <c r="N963" s="278"/>
      <c r="O963" s="278"/>
      <c r="P963" s="278"/>
      <c r="Q963" s="278"/>
      <c r="R963" s="278"/>
      <c r="S963" s="278"/>
      <c r="T963" s="278"/>
      <c r="U963" s="278"/>
      <c r="V963" s="278"/>
      <c r="W963" s="278"/>
      <c r="X963" s="278"/>
    </row>
    <row r="964" ht="15.75" customHeight="1">
      <c r="B964" s="278"/>
      <c r="C964" s="278"/>
      <c r="D964" s="278"/>
      <c r="F964" s="278"/>
      <c r="G964" s="278"/>
      <c r="H964" s="278"/>
      <c r="I964" s="278"/>
      <c r="J964" s="278"/>
      <c r="K964" s="278"/>
      <c r="L964" s="278"/>
      <c r="M964" s="278"/>
      <c r="N964" s="278"/>
      <c r="O964" s="278"/>
      <c r="P964" s="278"/>
      <c r="Q964" s="278"/>
      <c r="R964" s="278"/>
      <c r="S964" s="278"/>
      <c r="T964" s="278"/>
      <c r="U964" s="278"/>
      <c r="V964" s="278"/>
      <c r="W964" s="278"/>
      <c r="X964" s="278"/>
    </row>
    <row r="965" ht="15.75" customHeight="1">
      <c r="B965" s="278"/>
      <c r="C965" s="278"/>
      <c r="D965" s="278"/>
      <c r="F965" s="278"/>
      <c r="G965" s="278"/>
      <c r="H965" s="278"/>
      <c r="I965" s="278"/>
      <c r="J965" s="278"/>
      <c r="K965" s="278"/>
      <c r="L965" s="278"/>
      <c r="M965" s="278"/>
      <c r="N965" s="278"/>
      <c r="O965" s="278"/>
      <c r="P965" s="278"/>
      <c r="Q965" s="278"/>
      <c r="R965" s="278"/>
      <c r="S965" s="278"/>
      <c r="T965" s="278"/>
      <c r="U965" s="278"/>
      <c r="V965" s="278"/>
      <c r="W965" s="278"/>
      <c r="X965" s="278"/>
    </row>
    <row r="966" ht="15.75" customHeight="1">
      <c r="B966" s="278"/>
      <c r="C966" s="278"/>
      <c r="D966" s="278"/>
      <c r="F966" s="278"/>
      <c r="G966" s="278"/>
      <c r="H966" s="278"/>
      <c r="I966" s="278"/>
      <c r="J966" s="278"/>
      <c r="K966" s="278"/>
      <c r="L966" s="278"/>
      <c r="M966" s="278"/>
      <c r="N966" s="278"/>
      <c r="O966" s="278"/>
      <c r="P966" s="278"/>
      <c r="Q966" s="278"/>
      <c r="R966" s="278"/>
      <c r="S966" s="278"/>
      <c r="T966" s="278"/>
      <c r="U966" s="278"/>
      <c r="V966" s="278"/>
      <c r="W966" s="278"/>
      <c r="X966" s="278"/>
    </row>
    <row r="967" ht="15.75" customHeight="1">
      <c r="B967" s="278"/>
      <c r="C967" s="278"/>
      <c r="D967" s="278"/>
      <c r="F967" s="278"/>
      <c r="G967" s="278"/>
      <c r="H967" s="278"/>
      <c r="I967" s="278"/>
      <c r="J967" s="278"/>
      <c r="K967" s="278"/>
      <c r="L967" s="278"/>
      <c r="M967" s="278"/>
      <c r="N967" s="278"/>
      <c r="O967" s="278"/>
      <c r="P967" s="278"/>
      <c r="Q967" s="278"/>
      <c r="R967" s="278"/>
      <c r="S967" s="278"/>
      <c r="T967" s="278"/>
      <c r="U967" s="278"/>
      <c r="V967" s="278"/>
      <c r="W967" s="278"/>
      <c r="X967" s="278"/>
    </row>
    <row r="968" ht="15.75" customHeight="1">
      <c r="B968" s="278"/>
      <c r="C968" s="278"/>
      <c r="D968" s="278"/>
      <c r="F968" s="278"/>
      <c r="G968" s="278"/>
      <c r="H968" s="278"/>
      <c r="I968" s="278"/>
      <c r="J968" s="278"/>
      <c r="K968" s="278"/>
      <c r="L968" s="278"/>
      <c r="M968" s="278"/>
      <c r="N968" s="278"/>
      <c r="O968" s="278"/>
      <c r="P968" s="278"/>
      <c r="Q968" s="278"/>
      <c r="R968" s="278"/>
      <c r="S968" s="278"/>
      <c r="T968" s="278"/>
      <c r="U968" s="278"/>
      <c r="V968" s="278"/>
      <c r="W968" s="278"/>
      <c r="X968" s="278"/>
    </row>
    <row r="969" ht="15.75" customHeight="1">
      <c r="B969" s="278"/>
      <c r="C969" s="278"/>
      <c r="D969" s="278"/>
      <c r="F969" s="278"/>
      <c r="G969" s="278"/>
      <c r="H969" s="278"/>
      <c r="I969" s="278"/>
      <c r="J969" s="278"/>
      <c r="K969" s="278"/>
      <c r="L969" s="278"/>
      <c r="M969" s="278"/>
      <c r="N969" s="278"/>
      <c r="O969" s="278"/>
      <c r="P969" s="278"/>
      <c r="Q969" s="278"/>
      <c r="R969" s="278"/>
      <c r="S969" s="278"/>
      <c r="T969" s="278"/>
      <c r="U969" s="278"/>
      <c r="V969" s="278"/>
      <c r="W969" s="278"/>
      <c r="X969" s="278"/>
    </row>
    <row r="970" ht="15.75" customHeight="1">
      <c r="B970" s="278"/>
      <c r="C970" s="278"/>
      <c r="D970" s="278"/>
      <c r="F970" s="278"/>
      <c r="G970" s="278"/>
      <c r="H970" s="278"/>
      <c r="I970" s="278"/>
      <c r="J970" s="278"/>
      <c r="K970" s="278"/>
      <c r="L970" s="278"/>
      <c r="M970" s="278"/>
      <c r="N970" s="278"/>
      <c r="O970" s="278"/>
      <c r="P970" s="278"/>
      <c r="Q970" s="278"/>
      <c r="R970" s="278"/>
      <c r="S970" s="278"/>
      <c r="T970" s="278"/>
      <c r="U970" s="278"/>
      <c r="V970" s="278"/>
      <c r="W970" s="278"/>
      <c r="X970" s="278"/>
    </row>
    <row r="971" ht="15.75" customHeight="1">
      <c r="B971" s="278"/>
      <c r="C971" s="278"/>
      <c r="D971" s="278"/>
      <c r="F971" s="278"/>
      <c r="G971" s="278"/>
      <c r="H971" s="278"/>
      <c r="I971" s="278"/>
      <c r="J971" s="278"/>
      <c r="K971" s="278"/>
      <c r="L971" s="278"/>
      <c r="M971" s="278"/>
      <c r="N971" s="278"/>
      <c r="O971" s="278"/>
      <c r="P971" s="278"/>
      <c r="Q971" s="278"/>
      <c r="R971" s="278"/>
      <c r="S971" s="278"/>
      <c r="T971" s="278"/>
      <c r="U971" s="278"/>
      <c r="V971" s="278"/>
      <c r="W971" s="278"/>
      <c r="X971" s="278"/>
    </row>
    <row r="972" ht="15.75" customHeight="1">
      <c r="B972" s="278"/>
      <c r="C972" s="278"/>
      <c r="D972" s="278"/>
      <c r="F972" s="278"/>
      <c r="G972" s="278"/>
      <c r="H972" s="278"/>
      <c r="I972" s="278"/>
      <c r="J972" s="278"/>
      <c r="K972" s="278"/>
      <c r="L972" s="278"/>
      <c r="M972" s="278"/>
      <c r="N972" s="278"/>
      <c r="O972" s="278"/>
      <c r="P972" s="278"/>
      <c r="Q972" s="278"/>
      <c r="R972" s="278"/>
      <c r="S972" s="278"/>
      <c r="T972" s="278"/>
      <c r="U972" s="278"/>
      <c r="V972" s="278"/>
      <c r="W972" s="278"/>
      <c r="X972" s="278"/>
    </row>
    <row r="973" ht="15.75" customHeight="1">
      <c r="B973" s="278"/>
      <c r="C973" s="278"/>
      <c r="D973" s="278"/>
      <c r="F973" s="278"/>
      <c r="G973" s="278"/>
      <c r="H973" s="278"/>
      <c r="I973" s="278"/>
      <c r="J973" s="278"/>
      <c r="K973" s="278"/>
      <c r="L973" s="278"/>
      <c r="M973" s="278"/>
      <c r="N973" s="278"/>
      <c r="O973" s="278"/>
      <c r="P973" s="278"/>
      <c r="Q973" s="278"/>
      <c r="R973" s="278"/>
      <c r="S973" s="278"/>
      <c r="T973" s="278"/>
      <c r="U973" s="278"/>
      <c r="V973" s="278"/>
      <c r="W973" s="278"/>
      <c r="X973" s="278"/>
    </row>
    <row r="974" ht="15.75" customHeight="1">
      <c r="B974" s="278"/>
      <c r="C974" s="278"/>
      <c r="D974" s="278"/>
      <c r="F974" s="278"/>
      <c r="G974" s="278"/>
      <c r="H974" s="278"/>
      <c r="I974" s="278"/>
      <c r="J974" s="278"/>
      <c r="K974" s="278"/>
      <c r="L974" s="278"/>
      <c r="M974" s="278"/>
      <c r="N974" s="278"/>
      <c r="O974" s="278"/>
      <c r="P974" s="278"/>
      <c r="Q974" s="278"/>
      <c r="R974" s="278"/>
      <c r="S974" s="278"/>
      <c r="T974" s="278"/>
      <c r="U974" s="278"/>
      <c r="V974" s="278"/>
      <c r="W974" s="278"/>
      <c r="X974" s="278"/>
    </row>
    <row r="975" ht="15.75" customHeight="1">
      <c r="B975" s="278"/>
      <c r="C975" s="278"/>
      <c r="D975" s="278"/>
      <c r="F975" s="278"/>
      <c r="G975" s="278"/>
      <c r="H975" s="278"/>
      <c r="I975" s="278"/>
      <c r="J975" s="278"/>
      <c r="K975" s="278"/>
      <c r="L975" s="278"/>
      <c r="M975" s="278"/>
      <c r="N975" s="278"/>
      <c r="O975" s="278"/>
      <c r="P975" s="278"/>
      <c r="Q975" s="278"/>
      <c r="R975" s="278"/>
      <c r="S975" s="278"/>
      <c r="T975" s="278"/>
      <c r="U975" s="278"/>
      <c r="V975" s="278"/>
      <c r="W975" s="278"/>
      <c r="X975" s="278"/>
    </row>
    <row r="976" ht="15.75" customHeight="1">
      <c r="B976" s="278"/>
      <c r="C976" s="278"/>
      <c r="D976" s="278"/>
      <c r="F976" s="278"/>
      <c r="G976" s="278"/>
      <c r="H976" s="278"/>
      <c r="I976" s="278"/>
      <c r="J976" s="278"/>
      <c r="K976" s="278"/>
      <c r="L976" s="278"/>
      <c r="M976" s="278"/>
      <c r="N976" s="278"/>
      <c r="O976" s="278"/>
      <c r="P976" s="278"/>
      <c r="Q976" s="278"/>
      <c r="R976" s="278"/>
      <c r="S976" s="278"/>
      <c r="T976" s="278"/>
      <c r="U976" s="278"/>
      <c r="V976" s="278"/>
      <c r="W976" s="278"/>
      <c r="X976" s="278"/>
    </row>
    <row r="977" ht="15.75" customHeight="1">
      <c r="B977" s="278"/>
      <c r="C977" s="278"/>
      <c r="D977" s="278"/>
      <c r="F977" s="278"/>
      <c r="G977" s="278"/>
      <c r="H977" s="278"/>
      <c r="I977" s="278"/>
      <c r="J977" s="278"/>
      <c r="K977" s="278"/>
      <c r="L977" s="278"/>
      <c r="M977" s="278"/>
      <c r="N977" s="278"/>
      <c r="O977" s="278"/>
      <c r="P977" s="278"/>
      <c r="Q977" s="278"/>
      <c r="R977" s="278"/>
      <c r="S977" s="278"/>
      <c r="T977" s="278"/>
      <c r="U977" s="278"/>
      <c r="V977" s="278"/>
      <c r="W977" s="278"/>
      <c r="X977" s="278"/>
    </row>
    <row r="978" ht="15.75" customHeight="1">
      <c r="B978" s="278"/>
      <c r="C978" s="278"/>
      <c r="D978" s="278"/>
      <c r="F978" s="278"/>
      <c r="G978" s="278"/>
      <c r="H978" s="278"/>
      <c r="I978" s="278"/>
      <c r="J978" s="278"/>
      <c r="K978" s="278"/>
      <c r="L978" s="278"/>
      <c r="M978" s="278"/>
      <c r="N978" s="278"/>
      <c r="O978" s="278"/>
      <c r="P978" s="278"/>
      <c r="Q978" s="278"/>
      <c r="R978" s="278"/>
      <c r="S978" s="278"/>
      <c r="T978" s="278"/>
      <c r="U978" s="278"/>
      <c r="V978" s="278"/>
      <c r="W978" s="278"/>
      <c r="X978" s="278"/>
    </row>
    <row r="979" ht="15.75" customHeight="1">
      <c r="B979" s="278"/>
      <c r="C979" s="278"/>
      <c r="D979" s="278"/>
      <c r="F979" s="278"/>
      <c r="G979" s="278"/>
      <c r="H979" s="278"/>
      <c r="I979" s="278"/>
      <c r="J979" s="278"/>
      <c r="K979" s="278"/>
      <c r="L979" s="278"/>
      <c r="M979" s="278"/>
      <c r="N979" s="278"/>
      <c r="O979" s="278"/>
      <c r="P979" s="278"/>
      <c r="Q979" s="278"/>
      <c r="R979" s="278"/>
      <c r="S979" s="278"/>
      <c r="T979" s="278"/>
      <c r="U979" s="278"/>
      <c r="V979" s="278"/>
      <c r="W979" s="278"/>
      <c r="X979" s="278"/>
    </row>
    <row r="980" ht="15.75" customHeight="1">
      <c r="B980" s="278"/>
      <c r="C980" s="278"/>
      <c r="D980" s="278"/>
      <c r="F980" s="278"/>
      <c r="G980" s="278"/>
      <c r="H980" s="278"/>
      <c r="I980" s="278"/>
      <c r="J980" s="278"/>
      <c r="K980" s="278"/>
      <c r="L980" s="278"/>
      <c r="M980" s="278"/>
      <c r="N980" s="278"/>
      <c r="O980" s="278"/>
      <c r="P980" s="278"/>
      <c r="Q980" s="278"/>
      <c r="R980" s="278"/>
      <c r="S980" s="278"/>
      <c r="T980" s="278"/>
      <c r="U980" s="278"/>
      <c r="V980" s="278"/>
      <c r="W980" s="278"/>
      <c r="X980" s="278"/>
    </row>
    <row r="981" ht="15.75" customHeight="1">
      <c r="B981" s="278"/>
      <c r="C981" s="278"/>
      <c r="D981" s="278"/>
      <c r="F981" s="278"/>
      <c r="G981" s="278"/>
      <c r="H981" s="278"/>
      <c r="I981" s="278"/>
      <c r="J981" s="278"/>
      <c r="K981" s="278"/>
      <c r="L981" s="278"/>
      <c r="M981" s="278"/>
      <c r="N981" s="278"/>
      <c r="O981" s="278"/>
      <c r="P981" s="278"/>
      <c r="Q981" s="278"/>
      <c r="R981" s="278"/>
      <c r="S981" s="278"/>
      <c r="T981" s="278"/>
      <c r="U981" s="278"/>
      <c r="V981" s="278"/>
      <c r="W981" s="278"/>
      <c r="X981" s="278"/>
    </row>
    <row r="982" ht="15.75" customHeight="1">
      <c r="B982" s="278"/>
      <c r="C982" s="278"/>
      <c r="D982" s="278"/>
      <c r="F982" s="278"/>
      <c r="G982" s="278"/>
      <c r="H982" s="278"/>
      <c r="I982" s="278"/>
      <c r="J982" s="278"/>
      <c r="K982" s="278"/>
      <c r="L982" s="278"/>
      <c r="M982" s="278"/>
      <c r="N982" s="278"/>
      <c r="O982" s="278"/>
      <c r="P982" s="278"/>
      <c r="Q982" s="278"/>
      <c r="R982" s="278"/>
      <c r="S982" s="278"/>
      <c r="T982" s="278"/>
      <c r="U982" s="278"/>
      <c r="V982" s="278"/>
      <c r="W982" s="278"/>
      <c r="X982" s="278"/>
    </row>
    <row r="983" ht="15.75" customHeight="1">
      <c r="B983" s="278"/>
      <c r="C983" s="278"/>
      <c r="D983" s="278"/>
      <c r="F983" s="278"/>
      <c r="G983" s="278"/>
      <c r="H983" s="278"/>
      <c r="I983" s="278"/>
      <c r="J983" s="278"/>
      <c r="K983" s="278"/>
      <c r="L983" s="278"/>
      <c r="M983" s="278"/>
      <c r="N983" s="278"/>
      <c r="O983" s="278"/>
      <c r="P983" s="278"/>
      <c r="Q983" s="278"/>
      <c r="R983" s="278"/>
      <c r="S983" s="278"/>
      <c r="T983" s="278"/>
      <c r="U983" s="278"/>
      <c r="V983" s="278"/>
      <c r="W983" s="278"/>
      <c r="X983" s="278"/>
    </row>
    <row r="984" ht="15.75" customHeight="1">
      <c r="B984" s="278"/>
      <c r="C984" s="278"/>
      <c r="D984" s="278"/>
      <c r="F984" s="278"/>
      <c r="G984" s="278"/>
      <c r="H984" s="278"/>
      <c r="I984" s="278"/>
      <c r="J984" s="278"/>
      <c r="K984" s="278"/>
      <c r="L984" s="278"/>
      <c r="M984" s="278"/>
      <c r="N984" s="278"/>
      <c r="O984" s="278"/>
      <c r="P984" s="278"/>
      <c r="Q984" s="278"/>
      <c r="R984" s="278"/>
      <c r="S984" s="278"/>
      <c r="T984" s="278"/>
      <c r="U984" s="278"/>
      <c r="V984" s="278"/>
      <c r="W984" s="278"/>
      <c r="X984" s="278"/>
    </row>
    <row r="985" ht="15.75" customHeight="1">
      <c r="B985" s="278"/>
      <c r="C985" s="278"/>
      <c r="D985" s="278"/>
      <c r="F985" s="278"/>
      <c r="G985" s="278"/>
      <c r="H985" s="278"/>
      <c r="I985" s="278"/>
      <c r="J985" s="278"/>
      <c r="K985" s="278"/>
      <c r="L985" s="278"/>
      <c r="M985" s="278"/>
      <c r="N985" s="278"/>
      <c r="O985" s="278"/>
      <c r="P985" s="278"/>
      <c r="Q985" s="278"/>
      <c r="R985" s="278"/>
      <c r="S985" s="278"/>
      <c r="T985" s="278"/>
      <c r="U985" s="278"/>
      <c r="V985" s="278"/>
      <c r="W985" s="278"/>
      <c r="X985" s="278"/>
    </row>
    <row r="986" ht="15.75" customHeight="1">
      <c r="B986" s="278"/>
      <c r="C986" s="278"/>
      <c r="D986" s="278"/>
      <c r="F986" s="278"/>
      <c r="G986" s="278"/>
      <c r="H986" s="278"/>
      <c r="I986" s="278"/>
      <c r="J986" s="278"/>
      <c r="K986" s="278"/>
      <c r="L986" s="278"/>
      <c r="M986" s="278"/>
      <c r="N986" s="278"/>
      <c r="O986" s="278"/>
      <c r="P986" s="278"/>
      <c r="Q986" s="278"/>
      <c r="R986" s="278"/>
      <c r="S986" s="278"/>
      <c r="T986" s="278"/>
      <c r="U986" s="278"/>
      <c r="V986" s="278"/>
      <c r="W986" s="278"/>
      <c r="X986" s="278"/>
    </row>
    <row r="987" ht="15.75" customHeight="1">
      <c r="B987" s="278"/>
      <c r="C987" s="278"/>
      <c r="D987" s="278"/>
      <c r="F987" s="278"/>
      <c r="G987" s="278"/>
      <c r="H987" s="278"/>
      <c r="I987" s="278"/>
      <c r="J987" s="278"/>
      <c r="K987" s="278"/>
      <c r="L987" s="278"/>
      <c r="M987" s="278"/>
      <c r="N987" s="278"/>
      <c r="O987" s="278"/>
      <c r="P987" s="278"/>
      <c r="Q987" s="278"/>
      <c r="R987" s="278"/>
      <c r="S987" s="278"/>
      <c r="T987" s="278"/>
      <c r="U987" s="278"/>
      <c r="V987" s="278"/>
      <c r="W987" s="278"/>
      <c r="X987" s="278"/>
    </row>
    <row r="988" ht="15.75" customHeight="1">
      <c r="B988" s="278"/>
      <c r="C988" s="278"/>
      <c r="D988" s="278"/>
      <c r="F988" s="278"/>
      <c r="G988" s="278"/>
      <c r="H988" s="278"/>
      <c r="I988" s="278"/>
      <c r="J988" s="278"/>
      <c r="K988" s="278"/>
      <c r="L988" s="278"/>
      <c r="M988" s="278"/>
      <c r="N988" s="278"/>
      <c r="O988" s="278"/>
      <c r="P988" s="278"/>
      <c r="Q988" s="278"/>
      <c r="R988" s="278"/>
      <c r="S988" s="278"/>
      <c r="T988" s="278"/>
      <c r="U988" s="278"/>
      <c r="V988" s="278"/>
      <c r="W988" s="278"/>
      <c r="X988" s="278"/>
    </row>
    <row r="989" ht="15.75" customHeight="1">
      <c r="B989" s="278"/>
      <c r="C989" s="278"/>
      <c r="D989" s="278"/>
      <c r="F989" s="278"/>
      <c r="G989" s="278"/>
      <c r="H989" s="278"/>
      <c r="I989" s="278"/>
      <c r="J989" s="278"/>
      <c r="K989" s="278"/>
      <c r="L989" s="278"/>
      <c r="M989" s="278"/>
      <c r="N989" s="278"/>
      <c r="O989" s="278"/>
      <c r="P989" s="278"/>
      <c r="Q989" s="278"/>
      <c r="R989" s="278"/>
      <c r="S989" s="278"/>
      <c r="T989" s="278"/>
      <c r="U989" s="278"/>
      <c r="V989" s="278"/>
      <c r="W989" s="278"/>
      <c r="X989" s="278"/>
    </row>
    <row r="990" ht="15.75" customHeight="1">
      <c r="B990" s="278"/>
      <c r="C990" s="278"/>
      <c r="D990" s="278"/>
      <c r="F990" s="278"/>
      <c r="G990" s="278"/>
      <c r="H990" s="278"/>
      <c r="I990" s="278"/>
      <c r="J990" s="278"/>
      <c r="K990" s="278"/>
      <c r="L990" s="278"/>
      <c r="M990" s="278"/>
      <c r="N990" s="278"/>
      <c r="O990" s="278"/>
      <c r="P990" s="278"/>
      <c r="Q990" s="278"/>
      <c r="R990" s="278"/>
      <c r="S990" s="278"/>
      <c r="T990" s="278"/>
      <c r="U990" s="278"/>
      <c r="V990" s="278"/>
      <c r="W990" s="278"/>
      <c r="X990" s="278"/>
    </row>
    <row r="991" ht="15.75" customHeight="1">
      <c r="B991" s="278"/>
      <c r="C991" s="278"/>
      <c r="D991" s="278"/>
      <c r="F991" s="278"/>
      <c r="G991" s="278"/>
      <c r="H991" s="278"/>
      <c r="I991" s="278"/>
      <c r="J991" s="278"/>
      <c r="K991" s="278"/>
      <c r="L991" s="278"/>
      <c r="M991" s="278"/>
      <c r="N991" s="278"/>
      <c r="O991" s="278"/>
      <c r="P991" s="278"/>
      <c r="Q991" s="278"/>
      <c r="R991" s="278"/>
      <c r="S991" s="278"/>
      <c r="T991" s="278"/>
      <c r="U991" s="278"/>
      <c r="V991" s="278"/>
      <c r="W991" s="278"/>
      <c r="X991" s="278"/>
    </row>
    <row r="992" ht="15.75" customHeight="1">
      <c r="B992" s="278"/>
      <c r="C992" s="278"/>
      <c r="D992" s="278"/>
      <c r="F992" s="278"/>
      <c r="G992" s="278"/>
      <c r="H992" s="278"/>
      <c r="I992" s="278"/>
      <c r="J992" s="278"/>
      <c r="K992" s="278"/>
      <c r="L992" s="278"/>
      <c r="M992" s="278"/>
      <c r="N992" s="278"/>
      <c r="O992" s="278"/>
      <c r="P992" s="278"/>
      <c r="Q992" s="278"/>
      <c r="R992" s="278"/>
      <c r="S992" s="278"/>
      <c r="T992" s="278"/>
      <c r="U992" s="278"/>
      <c r="V992" s="278"/>
      <c r="W992" s="278"/>
      <c r="X992" s="278"/>
    </row>
    <row r="993" ht="15.75" customHeight="1">
      <c r="B993" s="278"/>
      <c r="C993" s="278"/>
      <c r="D993" s="278"/>
      <c r="F993" s="278"/>
      <c r="G993" s="278"/>
      <c r="H993" s="278"/>
      <c r="I993" s="278"/>
      <c r="J993" s="278"/>
      <c r="K993" s="278"/>
      <c r="L993" s="278"/>
      <c r="M993" s="278"/>
      <c r="N993" s="278"/>
      <c r="O993" s="278"/>
      <c r="P993" s="278"/>
      <c r="Q993" s="278"/>
      <c r="R993" s="278"/>
      <c r="S993" s="278"/>
      <c r="T993" s="278"/>
      <c r="U993" s="278"/>
      <c r="V993" s="278"/>
      <c r="W993" s="278"/>
      <c r="X993" s="278"/>
    </row>
    <row r="994" ht="15.75" customHeight="1">
      <c r="B994" s="278"/>
      <c r="C994" s="278"/>
      <c r="D994" s="278"/>
      <c r="F994" s="278"/>
      <c r="G994" s="278"/>
      <c r="H994" s="278"/>
      <c r="I994" s="278"/>
      <c r="J994" s="278"/>
      <c r="K994" s="278"/>
      <c r="L994" s="278"/>
      <c r="M994" s="278"/>
      <c r="N994" s="278"/>
      <c r="O994" s="278"/>
      <c r="P994" s="278"/>
      <c r="Q994" s="278"/>
      <c r="R994" s="278"/>
      <c r="S994" s="278"/>
      <c r="T994" s="278"/>
      <c r="U994" s="278"/>
      <c r="V994" s="278"/>
      <c r="W994" s="278"/>
      <c r="X994" s="278"/>
    </row>
    <row r="995" ht="15.75" customHeight="1">
      <c r="B995" s="278"/>
      <c r="C995" s="278"/>
      <c r="D995" s="278"/>
      <c r="F995" s="278"/>
      <c r="G995" s="278"/>
      <c r="H995" s="278"/>
      <c r="I995" s="278"/>
      <c r="J995" s="278"/>
      <c r="K995" s="278"/>
      <c r="L995" s="278"/>
      <c r="M995" s="278"/>
      <c r="N995" s="278"/>
      <c r="O995" s="278"/>
      <c r="P995" s="278"/>
      <c r="Q995" s="278"/>
      <c r="R995" s="278"/>
      <c r="S995" s="278"/>
      <c r="T995" s="278"/>
      <c r="U995" s="278"/>
      <c r="V995" s="278"/>
      <c r="W995" s="278"/>
      <c r="X995" s="278"/>
    </row>
    <row r="996" ht="15.75" customHeight="1">
      <c r="B996" s="278"/>
      <c r="C996" s="278"/>
      <c r="D996" s="278"/>
      <c r="F996" s="278"/>
      <c r="G996" s="278"/>
      <c r="H996" s="278"/>
      <c r="I996" s="278"/>
      <c r="J996" s="278"/>
      <c r="K996" s="278"/>
      <c r="L996" s="278"/>
      <c r="M996" s="278"/>
      <c r="N996" s="278"/>
      <c r="O996" s="278"/>
      <c r="P996" s="278"/>
      <c r="Q996" s="278"/>
      <c r="R996" s="278"/>
      <c r="S996" s="278"/>
      <c r="T996" s="278"/>
      <c r="U996" s="278"/>
      <c r="V996" s="278"/>
      <c r="W996" s="278"/>
      <c r="X996" s="278"/>
    </row>
    <row r="997" ht="15.75" customHeight="1">
      <c r="B997" s="278"/>
      <c r="C997" s="278"/>
      <c r="D997" s="278"/>
      <c r="F997" s="278"/>
      <c r="G997" s="278"/>
      <c r="H997" s="278"/>
      <c r="I997" s="278"/>
      <c r="J997" s="278"/>
      <c r="K997" s="278"/>
      <c r="L997" s="278"/>
      <c r="M997" s="278"/>
      <c r="N997" s="278"/>
      <c r="O997" s="278"/>
      <c r="P997" s="278"/>
      <c r="Q997" s="278"/>
      <c r="R997" s="278"/>
      <c r="S997" s="278"/>
      <c r="T997" s="278"/>
      <c r="U997" s="278"/>
      <c r="V997" s="278"/>
      <c r="W997" s="278"/>
      <c r="X997" s="278"/>
    </row>
    <row r="998" ht="15.75" customHeight="1">
      <c r="B998" s="278"/>
      <c r="C998" s="278"/>
      <c r="D998" s="278"/>
      <c r="F998" s="278"/>
      <c r="G998" s="278"/>
      <c r="H998" s="278"/>
      <c r="I998" s="278"/>
      <c r="J998" s="278"/>
      <c r="K998" s="278"/>
      <c r="L998" s="278"/>
      <c r="M998" s="278"/>
      <c r="N998" s="278"/>
      <c r="O998" s="278"/>
      <c r="P998" s="278"/>
      <c r="Q998" s="278"/>
      <c r="R998" s="278"/>
      <c r="S998" s="278"/>
      <c r="T998" s="278"/>
      <c r="U998" s="278"/>
      <c r="V998" s="278"/>
      <c r="W998" s="278"/>
      <c r="X998" s="278"/>
    </row>
    <row r="999" ht="15.75" customHeight="1">
      <c r="B999" s="278"/>
      <c r="C999" s="278"/>
      <c r="D999" s="278"/>
      <c r="F999" s="278"/>
      <c r="G999" s="278"/>
      <c r="H999" s="278"/>
      <c r="I999" s="278"/>
      <c r="J999" s="278"/>
      <c r="K999" s="278"/>
      <c r="L999" s="278"/>
      <c r="M999" s="278"/>
      <c r="N999" s="278"/>
      <c r="O999" s="278"/>
      <c r="P999" s="278"/>
      <c r="Q999" s="278"/>
      <c r="R999" s="278"/>
      <c r="S999" s="278"/>
      <c r="T999" s="278"/>
      <c r="U999" s="278"/>
      <c r="V999" s="278"/>
      <c r="W999" s="278"/>
      <c r="X999" s="278"/>
    </row>
    <row r="1000" ht="15.75" customHeight="1">
      <c r="B1000" s="278"/>
      <c r="C1000" s="278"/>
      <c r="D1000" s="278"/>
      <c r="F1000" s="278"/>
      <c r="G1000" s="278"/>
      <c r="H1000" s="278"/>
      <c r="I1000" s="278"/>
      <c r="J1000" s="278"/>
      <c r="K1000" s="278"/>
      <c r="L1000" s="278"/>
      <c r="M1000" s="278"/>
      <c r="N1000" s="278"/>
      <c r="O1000" s="278"/>
      <c r="P1000" s="278"/>
      <c r="Q1000" s="278"/>
      <c r="R1000" s="278"/>
      <c r="S1000" s="278"/>
      <c r="T1000" s="278"/>
      <c r="U1000" s="278"/>
      <c r="V1000" s="278"/>
      <c r="W1000" s="278"/>
      <c r="X1000" s="278"/>
    </row>
  </sheetData>
  <mergeCells count="3">
    <mergeCell ref="Y2:Z2"/>
    <mergeCell ref="Y3:Z3"/>
    <mergeCell ref="Y4:Z4"/>
  </mergeCells>
  <conditionalFormatting sqref="D2:D300">
    <cfRule type="cellIs" dxfId="10" priority="1" operator="greaterThanOrEqual">
      <formula>5</formula>
    </cfRule>
  </conditionalFormatting>
  <conditionalFormatting sqref="D2:D300">
    <cfRule type="cellIs" dxfId="11" priority="2" operator="between">
      <formula>3</formula>
      <formula>4</formula>
    </cfRule>
  </conditionalFormatting>
  <conditionalFormatting sqref="C2:C300">
    <cfRule type="expression" dxfId="10" priority="3">
      <formula>$D2&gt;=5</formula>
    </cfRule>
  </conditionalFormatting>
  <conditionalFormatting sqref="C2:C300">
    <cfRule type="expression" dxfId="11" priority="4">
      <formula>AND(D2&gt;=3, D2&lt;=4)</formula>
    </cfRule>
  </conditionalFormatting>
  <conditionalFormatting sqref="F2:X154 N155:N300">
    <cfRule type="cellIs" dxfId="12" priority="5" operator="greaterThan">
      <formula>0</formula>
    </cfRule>
  </conditionalFormatting>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hidden="1" min="1" max="1" width="10.43"/>
    <col customWidth="1" min="2" max="2" width="24.29"/>
    <col customWidth="1" min="3" max="3" width="14.29"/>
    <col customWidth="1" min="4" max="4" width="15.71"/>
    <col customWidth="1" min="5" max="5" width="15.29"/>
    <col customWidth="1" min="6" max="26" width="8.71"/>
  </cols>
  <sheetData>
    <row r="1">
      <c r="A1" s="326" t="s">
        <v>1104</v>
      </c>
      <c r="B1" s="326" t="s">
        <v>1106</v>
      </c>
      <c r="C1" s="326" t="s">
        <v>1105</v>
      </c>
      <c r="D1" s="326" t="s">
        <v>86</v>
      </c>
      <c r="E1" s="326" t="s">
        <v>1107</v>
      </c>
    </row>
    <row r="2">
      <c r="A2" s="325">
        <v>0.0</v>
      </c>
      <c r="B2" s="325" t="str">
        <f>SourceData!J2</f>
        <v>Agnes Suvorov</v>
      </c>
      <c r="C2" s="325">
        <f>SourceData!K2</f>
        <v>0.75</v>
      </c>
      <c r="D2" s="325">
        <f>(COUNTIF(Errors!$B$3:$B$3009,'Error Count'!B2))-((COUNTIFS(Errors!$B$3:$B$3009,'Error Count'!B2, (Errors!$I$3:$I$3009),"TV*")))</f>
        <v>0</v>
      </c>
      <c r="E2" s="325">
        <f t="shared" ref="E2:E300" si="1">D2/C2</f>
        <v>0</v>
      </c>
    </row>
    <row r="3">
      <c r="A3" s="305">
        <v>0.0</v>
      </c>
      <c r="B3" s="305" t="str">
        <f>SourceData!J3</f>
        <v>Akemi Hashimura</v>
      </c>
      <c r="C3" s="305">
        <f>SourceData!K3</f>
        <v>1</v>
      </c>
      <c r="D3" s="305">
        <f>(COUNTIF(Errors!$B$3:$B$3009,'Error Count'!B3))-((COUNTIFS(Errors!$B$3:$B$3009,'Error Count'!B3, (Errors!$I$3:$I$3009),"TV*")))</f>
        <v>1</v>
      </c>
      <c r="E3" s="305">
        <f t="shared" si="1"/>
        <v>1</v>
      </c>
    </row>
    <row r="4">
      <c r="A4" s="325">
        <v>0.0</v>
      </c>
      <c r="B4" s="325" t="str">
        <f>SourceData!J4</f>
        <v>Aleksandra Tarasenkova</v>
      </c>
      <c r="C4" s="325">
        <f>SourceData!K4</f>
        <v>1</v>
      </c>
      <c r="D4" s="325">
        <f>(COUNTIF(Errors!$B$3:$B$3009,'Error Count'!B4))-((COUNTIFS(Errors!$B$3:$B$3009,'Error Count'!B4, (Errors!$I$3:$I$3009),"TV*")))</f>
        <v>0</v>
      </c>
      <c r="E4" s="325">
        <f t="shared" si="1"/>
        <v>0</v>
      </c>
    </row>
    <row r="5">
      <c r="A5" s="305">
        <v>0.0</v>
      </c>
      <c r="B5" s="305" t="str">
        <f>SourceData!J5</f>
        <v>Alina Jivoloup</v>
      </c>
      <c r="C5" s="305">
        <f>SourceData!K5</f>
        <v>0.5</v>
      </c>
      <c r="D5" s="305">
        <f>(COUNTIF(Errors!$B$3:$B$3009,'Error Count'!B5))-((COUNTIFS(Errors!$B$3:$B$3009,'Error Count'!B5, (Errors!$I$3:$I$3009),"TV*")))</f>
        <v>1</v>
      </c>
      <c r="E5" s="305">
        <f t="shared" si="1"/>
        <v>2</v>
      </c>
    </row>
    <row r="6">
      <c r="A6" s="325">
        <v>0.0</v>
      </c>
      <c r="B6" s="325" t="str">
        <f>SourceData!J6</f>
        <v>Alina Kudashova</v>
      </c>
      <c r="C6" s="325">
        <f>SourceData!K6</f>
        <v>1</v>
      </c>
      <c r="D6" s="325">
        <f>(COUNTIF(Errors!$B$3:$B$3009,'Error Count'!B6))-((COUNTIFS(Errors!$B$3:$B$3009,'Error Count'!B6, (Errors!$I$3:$I$3009),"TV*")))</f>
        <v>5</v>
      </c>
      <c r="E6" s="325">
        <f t="shared" si="1"/>
        <v>5</v>
      </c>
    </row>
    <row r="7">
      <c r="A7" s="305">
        <v>0.0</v>
      </c>
      <c r="B7" s="305" t="str">
        <f>SourceData!J7</f>
        <v>Alisa Alokhina</v>
      </c>
      <c r="C7" s="305">
        <f>SourceData!K7</f>
        <v>0.75</v>
      </c>
      <c r="D7" s="305">
        <f>(COUNTIF(Errors!$B$3:$B$3009,'Error Count'!B7))-((COUNTIFS(Errors!$B$3:$B$3009,'Error Count'!B7, (Errors!$I$3:$I$3009),"TV*")))</f>
        <v>1</v>
      </c>
      <c r="E7" s="305">
        <f t="shared" si="1"/>
        <v>1.333333333</v>
      </c>
    </row>
    <row r="8">
      <c r="A8" s="325">
        <v>0.0</v>
      </c>
      <c r="B8" s="325" t="str">
        <f>SourceData!J8</f>
        <v>Anastasia Dronova</v>
      </c>
      <c r="C8" s="325">
        <f>SourceData!K8</f>
        <v>1</v>
      </c>
      <c r="D8" s="325">
        <f>(COUNTIF(Errors!$B$3:$B$3009,'Error Count'!B8))-((COUNTIFS(Errors!$B$3:$B$3009,'Error Count'!B8, (Errors!$I$3:$I$3009),"TV*")))</f>
        <v>0</v>
      </c>
      <c r="E8" s="325">
        <f t="shared" si="1"/>
        <v>0</v>
      </c>
    </row>
    <row r="9">
      <c r="A9" s="305">
        <v>0.0</v>
      </c>
      <c r="B9" s="305" t="str">
        <f>SourceData!J9</f>
        <v>Anastasija Kalašnikova</v>
      </c>
      <c r="C9" s="305">
        <f>SourceData!K9</f>
        <v>1</v>
      </c>
      <c r="D9" s="305">
        <f>(COUNTIF(Errors!$B$3:$B$3009,'Error Count'!B9))-((COUNTIFS(Errors!$B$3:$B$3009,'Error Count'!B9, (Errors!$I$3:$I$3009),"TV*")))</f>
        <v>4</v>
      </c>
      <c r="E9" s="305">
        <f t="shared" si="1"/>
        <v>4</v>
      </c>
    </row>
    <row r="10">
      <c r="A10" s="325">
        <v>0.0</v>
      </c>
      <c r="B10" s="325" t="str">
        <f>SourceData!J10</f>
        <v>Anastassia Ivanova</v>
      </c>
      <c r="C10" s="325">
        <f>SourceData!K10</f>
        <v>1</v>
      </c>
      <c r="D10" s="325">
        <f>(COUNTIF(Errors!$B$3:$B$3009,'Error Count'!B10))-((COUNTIFS(Errors!$B$3:$B$3009,'Error Count'!B10, (Errors!$I$3:$I$3009),"TV*")))</f>
        <v>0</v>
      </c>
      <c r="E10" s="325">
        <f t="shared" si="1"/>
        <v>0</v>
      </c>
    </row>
    <row r="11">
      <c r="A11" s="305">
        <v>0.0</v>
      </c>
      <c r="B11" s="305" t="str">
        <f>SourceData!J11</f>
        <v>Anastassija Fomenkova</v>
      </c>
      <c r="C11" s="305">
        <f>SourceData!K11</f>
        <v>0.75</v>
      </c>
      <c r="D11" s="305">
        <f>(COUNTIF(Errors!$B$3:$B$3009,'Error Count'!B11))-((COUNTIFS(Errors!$B$3:$B$3009,'Error Count'!B11, (Errors!$I$3:$I$3009),"TV*")))</f>
        <v>2</v>
      </c>
      <c r="E11" s="305">
        <f t="shared" si="1"/>
        <v>2.666666667</v>
      </c>
    </row>
    <row r="12">
      <c r="A12" s="325">
        <v>0.0</v>
      </c>
      <c r="B12" s="325" t="str">
        <f>SourceData!J12</f>
        <v>Angelina Tuluša</v>
      </c>
      <c r="C12" s="325">
        <f>SourceData!K12</f>
        <v>0.75</v>
      </c>
      <c r="D12" s="325">
        <f>(COUNTIF(Errors!$B$3:$B$3009,'Error Count'!B12))-((COUNTIFS(Errors!$B$3:$B$3009,'Error Count'!B12, (Errors!$I$3:$I$3009),"TV*")))</f>
        <v>0</v>
      </c>
      <c r="E12" s="325">
        <f t="shared" si="1"/>
        <v>0</v>
      </c>
    </row>
    <row r="13">
      <c r="A13" s="305">
        <v>0.0</v>
      </c>
      <c r="B13" s="305" t="str">
        <f>SourceData!J13</f>
        <v>Angelina Želobetski</v>
      </c>
      <c r="C13" s="305">
        <f>SourceData!K13</f>
        <v>0.5</v>
      </c>
      <c r="D13" s="305">
        <f>(COUNTIF(Errors!$B$3:$B$3009,'Error Count'!B13))-((COUNTIFS(Errors!$B$3:$B$3009,'Error Count'!B13, (Errors!$I$3:$I$3009),"TV*")))</f>
        <v>0</v>
      </c>
      <c r="E13" s="305">
        <f t="shared" si="1"/>
        <v>0</v>
      </c>
    </row>
    <row r="14">
      <c r="A14" s="325">
        <v>0.0</v>
      </c>
      <c r="B14" s="325" t="str">
        <f>SourceData!J14</f>
        <v>Anna Maslova</v>
      </c>
      <c r="C14" s="325">
        <f>SourceData!K14</f>
        <v>1</v>
      </c>
      <c r="D14" s="325">
        <f>(COUNTIF(Errors!$B$3:$B$3009,'Error Count'!B14))-((COUNTIFS(Errors!$B$3:$B$3009,'Error Count'!B14, (Errors!$I$3:$I$3009),"TV*")))</f>
        <v>1</v>
      </c>
      <c r="E14" s="325">
        <f t="shared" si="1"/>
        <v>1</v>
      </c>
    </row>
    <row r="15">
      <c r="A15" s="305">
        <v>0.0</v>
      </c>
      <c r="B15" s="305" t="str">
        <f>SourceData!J15</f>
        <v>Annaliisa Jerlakas</v>
      </c>
      <c r="C15" s="305">
        <f>SourceData!K15</f>
        <v>0.75</v>
      </c>
      <c r="D15" s="305">
        <f>(COUNTIF(Errors!$B$3:$B$3009,'Error Count'!B15))-((COUNTIFS(Errors!$B$3:$B$3009,'Error Count'!B15, (Errors!$I$3:$I$3009),"TV*")))</f>
        <v>0</v>
      </c>
      <c r="E15" s="305">
        <f t="shared" si="1"/>
        <v>0</v>
      </c>
    </row>
    <row r="16">
      <c r="A16" s="325">
        <v>0.0</v>
      </c>
      <c r="B16" s="325" t="str">
        <f>SourceData!J16</f>
        <v>Anneli Zaitseva</v>
      </c>
      <c r="C16" s="325">
        <f>SourceData!K16</f>
        <v>1</v>
      </c>
      <c r="D16" s="325">
        <f>(COUNTIF(Errors!$B$3:$B$3009,'Error Count'!B16))-((COUNTIFS(Errors!$B$3:$B$3009,'Error Count'!B16, (Errors!$I$3:$I$3009),"TV*")))</f>
        <v>2</v>
      </c>
      <c r="E16" s="325">
        <f t="shared" si="1"/>
        <v>2</v>
      </c>
    </row>
    <row r="17">
      <c r="A17" s="305">
        <v>0.0</v>
      </c>
      <c r="B17" s="305" t="str">
        <f>SourceData!J17</f>
        <v>Anya Kiisk</v>
      </c>
      <c r="C17" s="305">
        <f>SourceData!K17</f>
        <v>1</v>
      </c>
      <c r="D17" s="305">
        <f>(COUNTIF(Errors!$B$3:$B$3009,'Error Count'!B17))-((COUNTIFS(Errors!$B$3:$B$3009,'Error Count'!B17, (Errors!$I$3:$I$3009),"TV*")))</f>
        <v>0</v>
      </c>
      <c r="E17" s="305">
        <f t="shared" si="1"/>
        <v>0</v>
      </c>
    </row>
    <row r="18">
      <c r="A18" s="325">
        <v>0.0</v>
      </c>
      <c r="B18" s="325" t="str">
        <f>SourceData!J18</f>
        <v>Apple Jiene Doroja</v>
      </c>
      <c r="C18" s="325">
        <f>SourceData!K18</f>
        <v>0.75</v>
      </c>
      <c r="D18" s="325">
        <f>(COUNTIF(Errors!$B$3:$B$3009,'Error Count'!B18))-((COUNTIFS(Errors!$B$3:$B$3009,'Error Count'!B18, (Errors!$I$3:$I$3009),"TV*")))</f>
        <v>1</v>
      </c>
      <c r="E18" s="325">
        <f t="shared" si="1"/>
        <v>1.333333333</v>
      </c>
    </row>
    <row r="19">
      <c r="A19" s="305">
        <v>0.0</v>
      </c>
      <c r="B19" s="305" t="str">
        <f>SourceData!J19</f>
        <v>Astrid Suvorov</v>
      </c>
      <c r="C19" s="305">
        <f>SourceData!K19</f>
        <v>0.75</v>
      </c>
      <c r="D19" s="305">
        <f>(COUNTIF(Errors!$B$3:$B$3009,'Error Count'!B19))-((COUNTIFS(Errors!$B$3:$B$3009,'Error Count'!B19, (Errors!$I$3:$I$3009),"TV*")))</f>
        <v>0</v>
      </c>
      <c r="E19" s="305">
        <f t="shared" si="1"/>
        <v>0</v>
      </c>
    </row>
    <row r="20">
      <c r="A20" s="325">
        <v>0.0</v>
      </c>
      <c r="B20" s="325" t="str">
        <f>SourceData!J20</f>
        <v>Birgit Eevardi</v>
      </c>
      <c r="C20" s="325">
        <f>SourceData!K20</f>
        <v>0.75</v>
      </c>
      <c r="D20" s="325">
        <f>(COUNTIF(Errors!$B$3:$B$3009,'Error Count'!B20))-((COUNTIFS(Errors!$B$3:$B$3009,'Error Count'!B20, (Errors!$I$3:$I$3009),"TV*")))</f>
        <v>0</v>
      </c>
      <c r="E20" s="325">
        <f t="shared" si="1"/>
        <v>0</v>
      </c>
    </row>
    <row r="21" ht="15.75" customHeight="1">
      <c r="A21" s="305">
        <v>0.0</v>
      </c>
      <c r="B21" s="305" t="str">
        <f>SourceData!J21</f>
        <v>Claudine Filatov</v>
      </c>
      <c r="C21" s="305">
        <f>SourceData!K21</f>
        <v>1</v>
      </c>
      <c r="D21" s="305">
        <f>(COUNTIF(Errors!$B$3:$B$3009,'Error Count'!B21))-((COUNTIFS(Errors!$B$3:$B$3009,'Error Count'!B21, (Errors!$I$3:$I$3009),"TV*")))</f>
        <v>1</v>
      </c>
      <c r="E21" s="305">
        <f t="shared" si="1"/>
        <v>1</v>
      </c>
    </row>
    <row r="22" ht="15.75" customHeight="1">
      <c r="A22" s="325">
        <v>0.0</v>
      </c>
      <c r="B22" s="325" t="str">
        <f>SourceData!J22</f>
        <v>Daniel Pozdeev</v>
      </c>
      <c r="C22" s="325">
        <f>SourceData!K22</f>
        <v>1</v>
      </c>
      <c r="D22" s="325">
        <f>(COUNTIF(Errors!$B$3:$B$3009,'Error Count'!B22))-((COUNTIFS(Errors!$B$3:$B$3009,'Error Count'!B22, (Errors!$I$3:$I$3009),"TV*")))</f>
        <v>0</v>
      </c>
      <c r="E22" s="325">
        <f t="shared" si="1"/>
        <v>0</v>
      </c>
    </row>
    <row r="23" ht="15.75" customHeight="1">
      <c r="A23" s="305">
        <v>0.0</v>
      </c>
      <c r="B23" s="305" t="str">
        <f>SourceData!J23</f>
        <v>Danylo Baiduhanov</v>
      </c>
      <c r="C23" s="305">
        <f>SourceData!K23</f>
        <v>0.75</v>
      </c>
      <c r="D23" s="305">
        <f>(COUNTIF(Errors!$B$3:$B$3009,'Error Count'!B23))-((COUNTIFS(Errors!$B$3:$B$3009,'Error Count'!B23, (Errors!$I$3:$I$3009),"TV*")))</f>
        <v>3</v>
      </c>
      <c r="E23" s="305">
        <f t="shared" si="1"/>
        <v>4</v>
      </c>
    </row>
    <row r="24" ht="15.75" customHeight="1">
      <c r="A24" s="325">
        <v>0.0</v>
      </c>
      <c r="B24" s="325" t="str">
        <f>SourceData!J24</f>
        <v>Darja Kornilova</v>
      </c>
      <c r="C24" s="325">
        <f>SourceData!K24</f>
        <v>0.75</v>
      </c>
      <c r="D24" s="325">
        <f>(COUNTIF(Errors!$B$3:$B$3009,'Error Count'!B24))-((COUNTIFS(Errors!$B$3:$B$3009,'Error Count'!B24, (Errors!$I$3:$I$3009),"TV*")))</f>
        <v>1</v>
      </c>
      <c r="E24" s="325">
        <f t="shared" si="1"/>
        <v>1.333333333</v>
      </c>
    </row>
    <row r="25" ht="15.75" customHeight="1">
      <c r="A25" s="305">
        <v>0.0</v>
      </c>
      <c r="B25" s="305" t="str">
        <f>SourceData!J25</f>
        <v>Dia Lee</v>
      </c>
      <c r="C25" s="305">
        <f>SourceData!K25</f>
        <v>0.75</v>
      </c>
      <c r="D25" s="305">
        <f>(COUNTIF(Errors!$B$3:$B$3009,'Error Count'!B25))-((COUNTIFS(Errors!$B$3:$B$3009,'Error Count'!B25, (Errors!$I$3:$I$3009),"TV*")))</f>
        <v>0</v>
      </c>
      <c r="E25" s="305">
        <f t="shared" si="1"/>
        <v>0</v>
      </c>
    </row>
    <row r="26" ht="15.75" customHeight="1">
      <c r="A26" s="325">
        <v>0.0</v>
      </c>
      <c r="B26" s="325" t="str">
        <f>SourceData!J26</f>
        <v>Diana Dmitrovskaya</v>
      </c>
      <c r="C26" s="325">
        <f>SourceData!K26</f>
        <v>0.5</v>
      </c>
      <c r="D26" s="325">
        <f>(COUNTIF(Errors!$B$3:$B$3009,'Error Count'!B26))-((COUNTIFS(Errors!$B$3:$B$3009,'Error Count'!B26, (Errors!$I$3:$I$3009),"TV*")))</f>
        <v>0</v>
      </c>
      <c r="E26" s="325">
        <f t="shared" si="1"/>
        <v>0</v>
      </c>
    </row>
    <row r="27" ht="15.75" customHeight="1">
      <c r="A27" s="305">
        <v>0.0</v>
      </c>
      <c r="B27" s="305" t="str">
        <f>SourceData!J27</f>
        <v>Diana Dzitsjuk</v>
      </c>
      <c r="C27" s="305">
        <f>SourceData!K27</f>
        <v>1</v>
      </c>
      <c r="D27" s="305">
        <f>(COUNTIF(Errors!$B$3:$B$3009,'Error Count'!B27))-((COUNTIFS(Errors!$B$3:$B$3009,'Error Count'!B27, (Errors!$I$3:$I$3009),"TV*")))</f>
        <v>0</v>
      </c>
      <c r="E27" s="305">
        <f t="shared" si="1"/>
        <v>0</v>
      </c>
    </row>
    <row r="28" ht="15.75" customHeight="1">
      <c r="A28" s="325">
        <v>0.0</v>
      </c>
      <c r="B28" s="325" t="str">
        <f>SourceData!J28</f>
        <v>Diana Karataieva</v>
      </c>
      <c r="C28" s="325">
        <f>SourceData!K28</f>
        <v>1</v>
      </c>
      <c r="D28" s="325">
        <f>(COUNTIF(Errors!$B$3:$B$3009,'Error Count'!B28))-((COUNTIFS(Errors!$B$3:$B$3009,'Error Count'!B28, (Errors!$I$3:$I$3009),"TV*")))</f>
        <v>0</v>
      </c>
      <c r="E28" s="325">
        <f t="shared" si="1"/>
        <v>0</v>
      </c>
    </row>
    <row r="29" ht="15.75" customHeight="1">
      <c r="A29" s="305">
        <v>0.0</v>
      </c>
      <c r="B29" s="305" t="str">
        <f>SourceData!J29</f>
        <v>Diana Kuzin</v>
      </c>
      <c r="C29" s="305">
        <f>SourceData!K29</f>
        <v>0.75</v>
      </c>
      <c r="D29" s="305">
        <f>(COUNTIF(Errors!$B$3:$B$3009,'Error Count'!B29))-((COUNTIFS(Errors!$B$3:$B$3009,'Error Count'!B29, (Errors!$I$3:$I$3009),"TV*")))</f>
        <v>1</v>
      </c>
      <c r="E29" s="305">
        <f t="shared" si="1"/>
        <v>1.333333333</v>
      </c>
    </row>
    <row r="30" ht="15.75" customHeight="1">
      <c r="A30" s="325">
        <v>0.0</v>
      </c>
      <c r="B30" s="325" t="str">
        <f>SourceData!J30</f>
        <v>Dominykas Nazarenko</v>
      </c>
      <c r="C30" s="325">
        <f>SourceData!K30</f>
        <v>1</v>
      </c>
      <c r="D30" s="325">
        <f>(COUNTIF(Errors!$B$3:$B$3009,'Error Count'!B30))-((COUNTIFS(Errors!$B$3:$B$3009,'Error Count'!B30, (Errors!$I$3:$I$3009),"TV*")))</f>
        <v>0</v>
      </c>
      <c r="E30" s="325">
        <f t="shared" si="1"/>
        <v>0</v>
      </c>
    </row>
    <row r="31" ht="15.75" customHeight="1">
      <c r="A31" s="305">
        <v>0.0</v>
      </c>
      <c r="B31" s="305" t="str">
        <f>SourceData!J31</f>
        <v>Egor Garmatyuk</v>
      </c>
      <c r="C31" s="305">
        <f>SourceData!K31</f>
        <v>0.5</v>
      </c>
      <c r="D31" s="305">
        <f>(COUNTIF(Errors!$B$3:$B$3009,'Error Count'!B31))-((COUNTIFS(Errors!$B$3:$B$3009,'Error Count'!B31, (Errors!$I$3:$I$3009),"TV*")))</f>
        <v>0</v>
      </c>
      <c r="E31" s="305">
        <f t="shared" si="1"/>
        <v>0</v>
      </c>
    </row>
    <row r="32" ht="15.75" customHeight="1">
      <c r="A32" s="325">
        <v>0.0</v>
      </c>
      <c r="B32" s="325" t="str">
        <f>SourceData!J32</f>
        <v>Elena Zimarina</v>
      </c>
      <c r="C32" s="325">
        <f>SourceData!K32</f>
        <v>0.75</v>
      </c>
      <c r="D32" s="325">
        <f>(COUNTIF(Errors!$B$3:$B$3009,'Error Count'!B32))-((COUNTIFS(Errors!$B$3:$B$3009,'Error Count'!B32, (Errors!$I$3:$I$3009),"TV*")))</f>
        <v>1</v>
      </c>
      <c r="E32" s="325">
        <f t="shared" si="1"/>
        <v>1.333333333</v>
      </c>
    </row>
    <row r="33" ht="15.75" customHeight="1">
      <c r="A33" s="305">
        <v>0.0</v>
      </c>
      <c r="B33" s="305" t="str">
        <f>SourceData!J33</f>
        <v>Elina Sahkai</v>
      </c>
      <c r="C33" s="305">
        <f>SourceData!K33</f>
        <v>0.5</v>
      </c>
      <c r="D33" s="305">
        <f>(COUNTIF(Errors!$B$3:$B$3009,'Error Count'!B33))-((COUNTIFS(Errors!$B$3:$B$3009,'Error Count'!B33, (Errors!$I$3:$I$3009),"TV*")))</f>
        <v>0</v>
      </c>
      <c r="E33" s="305">
        <f t="shared" si="1"/>
        <v>0</v>
      </c>
    </row>
    <row r="34" ht="15.75" customHeight="1">
      <c r="A34" s="325">
        <v>0.0</v>
      </c>
      <c r="B34" s="325" t="str">
        <f>SourceData!J34</f>
        <v>Elina Varivoda</v>
      </c>
      <c r="C34" s="325">
        <f>SourceData!K34</f>
        <v>1</v>
      </c>
      <c r="D34" s="325">
        <f>(COUNTIF(Errors!$B$3:$B$3009,'Error Count'!B34))-((COUNTIFS(Errors!$B$3:$B$3009,'Error Count'!B34, (Errors!$I$3:$I$3009),"TV*")))</f>
        <v>1</v>
      </c>
      <c r="E34" s="325">
        <f t="shared" si="1"/>
        <v>1</v>
      </c>
    </row>
    <row r="35" ht="15.75" customHeight="1">
      <c r="A35" s="305">
        <v>0.0</v>
      </c>
      <c r="B35" s="305" t="str">
        <f>SourceData!J35</f>
        <v>Elisabeth-Diana Tratšuk</v>
      </c>
      <c r="C35" s="305">
        <f>SourceData!K35</f>
        <v>1</v>
      </c>
      <c r="D35" s="305">
        <f>(COUNTIF(Errors!$B$3:$B$3009,'Error Count'!B35))-((COUNTIFS(Errors!$B$3:$B$3009,'Error Count'!B35, (Errors!$I$3:$I$3009),"TV*")))</f>
        <v>2</v>
      </c>
      <c r="E35" s="305">
        <f t="shared" si="1"/>
        <v>2</v>
      </c>
    </row>
    <row r="36" ht="15.75" customHeight="1">
      <c r="A36" s="325">
        <v>0.0</v>
      </c>
      <c r="B36" s="325" t="str">
        <f>SourceData!J36</f>
        <v>Elizaveta Sofia Reemet</v>
      </c>
      <c r="C36" s="325">
        <f>SourceData!K36</f>
        <v>1</v>
      </c>
      <c r="D36" s="325">
        <f>(COUNTIF(Errors!$B$3:$B$3009,'Error Count'!B36))-((COUNTIFS(Errors!$B$3:$B$3009,'Error Count'!B36, (Errors!$I$3:$I$3009),"TV*")))</f>
        <v>1</v>
      </c>
      <c r="E36" s="325">
        <f t="shared" si="1"/>
        <v>1</v>
      </c>
    </row>
    <row r="37" ht="15.75" customHeight="1">
      <c r="A37" s="305">
        <v>0.0</v>
      </c>
      <c r="B37" s="305" t="str">
        <f>SourceData!J37</f>
        <v>Elmira Kashieva</v>
      </c>
      <c r="C37" s="305">
        <f>SourceData!K37</f>
        <v>0.75</v>
      </c>
      <c r="D37" s="305">
        <f>(COUNTIF(Errors!$B$3:$B$3009,'Error Count'!B37))-((COUNTIFS(Errors!$B$3:$B$3009,'Error Count'!B37, (Errors!$I$3:$I$3009),"TV*")))</f>
        <v>1</v>
      </c>
      <c r="E37" s="305">
        <f t="shared" si="1"/>
        <v>1.333333333</v>
      </c>
    </row>
    <row r="38" ht="15.75" customHeight="1">
      <c r="A38" s="325">
        <v>0.0</v>
      </c>
      <c r="B38" s="325" t="str">
        <f>SourceData!J38</f>
        <v>Eva Nasedkina</v>
      </c>
      <c r="C38" s="325">
        <f>SourceData!K38</f>
        <v>1</v>
      </c>
      <c r="D38" s="325">
        <f>(COUNTIF(Errors!$B$3:$B$3009,'Error Count'!B38))-((COUNTIFS(Errors!$B$3:$B$3009,'Error Count'!B38, (Errors!$I$3:$I$3009),"TV*")))</f>
        <v>0</v>
      </c>
      <c r="E38" s="325">
        <f t="shared" si="1"/>
        <v>0</v>
      </c>
    </row>
    <row r="39" ht="15.75" customHeight="1">
      <c r="A39" s="305">
        <v>0.0</v>
      </c>
      <c r="B39" s="305" t="str">
        <f>SourceData!J39</f>
        <v>Evgenia Gammer</v>
      </c>
      <c r="C39" s="305">
        <f>SourceData!K39</f>
        <v>0.5</v>
      </c>
      <c r="D39" s="305">
        <f>(COUNTIF(Errors!$B$3:$B$3009,'Error Count'!B39))-((COUNTIFS(Errors!$B$3:$B$3009,'Error Count'!B39, (Errors!$I$3:$I$3009),"TV*")))</f>
        <v>0</v>
      </c>
      <c r="E39" s="305">
        <f t="shared" si="1"/>
        <v>0</v>
      </c>
    </row>
    <row r="40" ht="15.75" customHeight="1">
      <c r="A40" s="325">
        <v>0.0</v>
      </c>
      <c r="B40" s="325" t="str">
        <f>SourceData!J40</f>
        <v>Fjodor Leontjev</v>
      </c>
      <c r="C40" s="325">
        <f>SourceData!K40</f>
        <v>1</v>
      </c>
      <c r="D40" s="325">
        <f>(COUNTIF(Errors!$B$3:$B$3009,'Error Count'!B40))-((COUNTIFS(Errors!$B$3:$B$3009,'Error Count'!B40, (Errors!$I$3:$I$3009),"TV*")))</f>
        <v>0</v>
      </c>
      <c r="E40" s="325">
        <f t="shared" si="1"/>
        <v>0</v>
      </c>
    </row>
    <row r="41" ht="15.75" customHeight="1">
      <c r="A41" s="305">
        <v>0.0</v>
      </c>
      <c r="B41" s="305" t="str">
        <f>SourceData!J41</f>
        <v>Greeteli Paama</v>
      </c>
      <c r="C41" s="305">
        <f>SourceData!K41</f>
        <v>1</v>
      </c>
      <c r="D41" s="305">
        <f>(COUNTIF(Errors!$B$3:$B$3009,'Error Count'!B41))-((COUNTIFS(Errors!$B$3:$B$3009,'Error Count'!B41, (Errors!$I$3:$I$3009),"TV*")))</f>
        <v>0</v>
      </c>
      <c r="E41" s="305">
        <f t="shared" si="1"/>
        <v>0</v>
      </c>
    </row>
    <row r="42" ht="15.75" customHeight="1">
      <c r="A42" s="325">
        <v>0.0</v>
      </c>
      <c r="B42" s="325" t="str">
        <f>SourceData!J42</f>
        <v>Grettel Kaljuste</v>
      </c>
      <c r="C42" s="325">
        <f>SourceData!K42</f>
        <v>1</v>
      </c>
      <c r="D42" s="325">
        <f>(COUNTIF(Errors!$B$3:$B$3009,'Error Count'!B42))-((COUNTIFS(Errors!$B$3:$B$3009,'Error Count'!B42, (Errors!$I$3:$I$3009),"TV*")))</f>
        <v>2</v>
      </c>
      <c r="E42" s="325">
        <f t="shared" si="1"/>
        <v>2</v>
      </c>
    </row>
    <row r="43" ht="15.75" customHeight="1">
      <c r="A43" s="305">
        <v>0.0</v>
      </c>
      <c r="B43" s="305" t="str">
        <f>SourceData!J43</f>
        <v>Heili Liis Kallasse</v>
      </c>
      <c r="C43" s="305">
        <f>SourceData!K43</f>
        <v>0.75</v>
      </c>
      <c r="D43" s="305">
        <f>(COUNTIF(Errors!$B$3:$B$3009,'Error Count'!B43))-((COUNTIFS(Errors!$B$3:$B$3009,'Error Count'!B43, (Errors!$I$3:$I$3009),"TV*")))</f>
        <v>2</v>
      </c>
      <c r="E43" s="305">
        <f t="shared" si="1"/>
        <v>2.666666667</v>
      </c>
    </row>
    <row r="44" ht="15.75" customHeight="1">
      <c r="A44" s="325">
        <v>0.0</v>
      </c>
      <c r="B44" s="325" t="str">
        <f>SourceData!J44</f>
        <v>Helina Sootalu</v>
      </c>
      <c r="C44" s="325">
        <f>SourceData!K44</f>
        <v>1</v>
      </c>
      <c r="D44" s="325">
        <f>(COUNTIF(Errors!$B$3:$B$3009,'Error Count'!B44))-((COUNTIFS(Errors!$B$3:$B$3009,'Error Count'!B44, (Errors!$I$3:$I$3009),"TV*")))</f>
        <v>0</v>
      </c>
      <c r="E44" s="325">
        <f t="shared" si="1"/>
        <v>0</v>
      </c>
    </row>
    <row r="45" ht="15.75" customHeight="1">
      <c r="A45" s="305">
        <v>0.0</v>
      </c>
      <c r="B45" s="305" t="str">
        <f>SourceData!J45</f>
        <v>Isidora Salcedo de la O</v>
      </c>
      <c r="C45" s="305">
        <f>SourceData!K45</f>
        <v>0.5</v>
      </c>
      <c r="D45" s="305">
        <f>(COUNTIF(Errors!$B$3:$B$3009,'Error Count'!B45))-((COUNTIFS(Errors!$B$3:$B$3009,'Error Count'!B45, (Errors!$I$3:$I$3009),"TV*")))</f>
        <v>1</v>
      </c>
      <c r="E45" s="305">
        <f t="shared" si="1"/>
        <v>2</v>
      </c>
    </row>
    <row r="46" ht="15.75" customHeight="1">
      <c r="A46" s="325">
        <v>0.0</v>
      </c>
      <c r="B46" s="325" t="str">
        <f>SourceData!J46</f>
        <v>Ivanna Matukhno</v>
      </c>
      <c r="C46" s="325">
        <f>SourceData!K46</f>
        <v>1</v>
      </c>
      <c r="D46" s="325">
        <f>(COUNTIF(Errors!$B$3:$B$3009,'Error Count'!B46))-((COUNTIFS(Errors!$B$3:$B$3009,'Error Count'!B46, (Errors!$I$3:$I$3009),"TV*")))</f>
        <v>3</v>
      </c>
      <c r="E46" s="325">
        <f t="shared" si="1"/>
        <v>3</v>
      </c>
    </row>
    <row r="47" ht="15.75" customHeight="1">
      <c r="A47" s="305">
        <v>0.0</v>
      </c>
      <c r="B47" s="305" t="str">
        <f>SourceData!J47</f>
        <v>Jaanek Rits</v>
      </c>
      <c r="C47" s="305">
        <f>SourceData!K47</f>
        <v>0.75</v>
      </c>
      <c r="D47" s="305">
        <f>(COUNTIF(Errors!$B$3:$B$3009,'Error Count'!B47))-((COUNTIFS(Errors!$B$3:$B$3009,'Error Count'!B47, (Errors!$I$3:$I$3009),"TV*")))</f>
        <v>0</v>
      </c>
      <c r="E47" s="305">
        <f t="shared" si="1"/>
        <v>0</v>
      </c>
    </row>
    <row r="48" ht="15.75" customHeight="1">
      <c r="A48" s="325">
        <v>0.0</v>
      </c>
      <c r="B48" s="325" t="str">
        <f>SourceData!J48</f>
        <v>Jana Minjailova</v>
      </c>
      <c r="C48" s="325">
        <f>SourceData!K48</f>
        <v>0.5</v>
      </c>
      <c r="D48" s="325">
        <f>(COUNTIF(Errors!$B$3:$B$3009,'Error Count'!B48))-((COUNTIFS(Errors!$B$3:$B$3009,'Error Count'!B48, (Errors!$I$3:$I$3009),"TV*")))</f>
        <v>2</v>
      </c>
      <c r="E48" s="325">
        <f t="shared" si="1"/>
        <v>4</v>
      </c>
    </row>
    <row r="49" ht="15.75" customHeight="1">
      <c r="A49" s="305">
        <v>0.0</v>
      </c>
      <c r="B49" s="305" t="str">
        <f>SourceData!J49</f>
        <v>Jawan Lepp</v>
      </c>
      <c r="C49" s="305">
        <f>SourceData!K49</f>
        <v>0.75</v>
      </c>
      <c r="D49" s="305">
        <f>(COUNTIF(Errors!$B$3:$B$3009,'Error Count'!B49))-((COUNTIFS(Errors!$B$3:$B$3009,'Error Count'!B49, (Errors!$I$3:$I$3009),"TV*")))</f>
        <v>0</v>
      </c>
      <c r="E49" s="305">
        <f t="shared" si="1"/>
        <v>0</v>
      </c>
    </row>
    <row r="50" ht="15.75" customHeight="1">
      <c r="A50" s="325">
        <v>0.0</v>
      </c>
      <c r="B50" s="325" t="str">
        <f>SourceData!J50</f>
        <v>Jekaterina Ivanova</v>
      </c>
      <c r="C50" s="325">
        <f>SourceData!K50</f>
        <v>0.5</v>
      </c>
      <c r="D50" s="325">
        <f>(COUNTIF(Errors!$B$3:$B$3009,'Error Count'!B50))-((COUNTIFS(Errors!$B$3:$B$3009,'Error Count'!B50, (Errors!$I$3:$I$3009),"TV*")))</f>
        <v>1</v>
      </c>
      <c r="E50" s="325">
        <f t="shared" si="1"/>
        <v>2</v>
      </c>
    </row>
    <row r="51" ht="15.75" customHeight="1">
      <c r="A51" s="305">
        <v>0.0</v>
      </c>
      <c r="B51" s="305" t="str">
        <f>SourceData!J51</f>
        <v>Jekaterina Zalevskaja</v>
      </c>
      <c r="C51" s="305">
        <f>SourceData!K51</f>
        <v>0.75</v>
      </c>
      <c r="D51" s="305">
        <f>(COUNTIF(Errors!$B$3:$B$3009,'Error Count'!B51))-((COUNTIFS(Errors!$B$3:$B$3009,'Error Count'!B51, (Errors!$I$3:$I$3009),"TV*")))</f>
        <v>0</v>
      </c>
      <c r="E51" s="305">
        <f t="shared" si="1"/>
        <v>0</v>
      </c>
    </row>
    <row r="52" ht="15.75" customHeight="1">
      <c r="A52" s="325">
        <v>0.0</v>
      </c>
      <c r="B52" s="325" t="str">
        <f>SourceData!J52</f>
        <v>Jelizaveta Venkova</v>
      </c>
      <c r="C52" s="325">
        <f>SourceData!K52</f>
        <v>1</v>
      </c>
      <c r="D52" s="325">
        <f>(COUNTIF(Errors!$B$3:$B$3009,'Error Count'!B52))-((COUNTIFS(Errors!$B$3:$B$3009,'Error Count'!B52, (Errors!$I$3:$I$3009),"TV*")))</f>
        <v>4</v>
      </c>
      <c r="E52" s="325">
        <f t="shared" si="1"/>
        <v>4</v>
      </c>
    </row>
    <row r="53" ht="15.75" customHeight="1">
      <c r="A53" s="305">
        <v>0.0</v>
      </c>
      <c r="B53" s="305" t="str">
        <f>SourceData!J53</f>
        <v>Jenevive Campus</v>
      </c>
      <c r="C53" s="305">
        <f>SourceData!K53</f>
        <v>0.75</v>
      </c>
      <c r="D53" s="305">
        <f>(COUNTIF(Errors!$B$3:$B$3009,'Error Count'!B53))-((COUNTIFS(Errors!$B$3:$B$3009,'Error Count'!B53, (Errors!$I$3:$I$3009),"TV*")))</f>
        <v>0</v>
      </c>
      <c r="E53" s="305">
        <f t="shared" si="1"/>
        <v>0</v>
      </c>
    </row>
    <row r="54" ht="15.75" customHeight="1">
      <c r="A54" s="325">
        <v>0.0</v>
      </c>
      <c r="B54" s="325" t="str">
        <f>SourceData!J54</f>
        <v>Kaire Tammoja</v>
      </c>
      <c r="C54" s="325">
        <f>SourceData!K54</f>
        <v>1</v>
      </c>
      <c r="D54" s="325">
        <f>(COUNTIF(Errors!$B$3:$B$3009,'Error Count'!B54))-((COUNTIFS(Errors!$B$3:$B$3009,'Error Count'!B54, (Errors!$I$3:$I$3009),"TV*")))</f>
        <v>1</v>
      </c>
      <c r="E54" s="325">
        <f t="shared" si="1"/>
        <v>1</v>
      </c>
    </row>
    <row r="55" ht="15.75" customHeight="1">
      <c r="A55" s="305">
        <v>0.0</v>
      </c>
      <c r="B55" s="305" t="str">
        <f>SourceData!J55</f>
        <v>Kaisa Helena Rõngelep</v>
      </c>
      <c r="C55" s="305">
        <f>SourceData!K55</f>
        <v>1</v>
      </c>
      <c r="D55" s="305">
        <f>(COUNTIF(Errors!$B$3:$B$3009,'Error Count'!B55))-((COUNTIFS(Errors!$B$3:$B$3009,'Error Count'!B55, (Errors!$I$3:$I$3009),"TV*")))</f>
        <v>0</v>
      </c>
      <c r="E55" s="305">
        <f t="shared" si="1"/>
        <v>0</v>
      </c>
    </row>
    <row r="56" ht="15.75" customHeight="1">
      <c r="A56" s="325">
        <v>0.0</v>
      </c>
      <c r="B56" s="325" t="str">
        <f>SourceData!J56</f>
        <v>Karetti Sakala</v>
      </c>
      <c r="C56" s="325">
        <f>SourceData!K56</f>
        <v>1</v>
      </c>
      <c r="D56" s="325">
        <f>(COUNTIF(Errors!$B$3:$B$3009,'Error Count'!B56))-((COUNTIFS(Errors!$B$3:$B$3009,'Error Count'!B56, (Errors!$I$3:$I$3009),"TV*")))</f>
        <v>1</v>
      </c>
      <c r="E56" s="325">
        <f t="shared" si="1"/>
        <v>1</v>
      </c>
    </row>
    <row r="57" ht="15.75" customHeight="1">
      <c r="A57" s="305">
        <v>0.0</v>
      </c>
      <c r="B57" s="305" t="str">
        <f>SourceData!J57</f>
        <v>Karina Tarasenko</v>
      </c>
      <c r="C57" s="305">
        <f>SourceData!K57</f>
        <v>1</v>
      </c>
      <c r="D57" s="305">
        <f>(COUNTIF(Errors!$B$3:$B$3009,'Error Count'!B57))-((COUNTIFS(Errors!$B$3:$B$3009,'Error Count'!B57, (Errors!$I$3:$I$3009),"TV*")))</f>
        <v>3</v>
      </c>
      <c r="E57" s="305">
        <f t="shared" si="1"/>
        <v>3</v>
      </c>
    </row>
    <row r="58" ht="15.75" customHeight="1">
      <c r="A58" s="325">
        <v>0.0</v>
      </c>
      <c r="B58" s="325" t="str">
        <f>SourceData!J58</f>
        <v>Katerina Zahharova</v>
      </c>
      <c r="C58" s="325">
        <f>SourceData!K58</f>
        <v>0.75</v>
      </c>
      <c r="D58" s="325">
        <f>(COUNTIF(Errors!$B$3:$B$3009,'Error Count'!B58))-((COUNTIFS(Errors!$B$3:$B$3009,'Error Count'!B58, (Errors!$I$3:$I$3009),"TV*")))</f>
        <v>1</v>
      </c>
      <c r="E58" s="325">
        <f t="shared" si="1"/>
        <v>1.333333333</v>
      </c>
    </row>
    <row r="59" ht="15.75" customHeight="1">
      <c r="A59" s="305">
        <v>0.0</v>
      </c>
      <c r="B59" s="305" t="str">
        <f>SourceData!J59</f>
        <v>Kateryna Hantseva</v>
      </c>
      <c r="C59" s="305">
        <f>SourceData!K59</f>
        <v>1</v>
      </c>
      <c r="D59" s="305">
        <f>(COUNTIF(Errors!$B$3:$B$3009,'Error Count'!B59))-((COUNTIFS(Errors!$B$3:$B$3009,'Error Count'!B59, (Errors!$I$3:$I$3009),"TV*")))</f>
        <v>0</v>
      </c>
      <c r="E59" s="305">
        <f t="shared" si="1"/>
        <v>0</v>
      </c>
    </row>
    <row r="60" ht="15.75" customHeight="1">
      <c r="A60" s="325">
        <v>0.0</v>
      </c>
      <c r="B60" s="325" t="str">
        <f>SourceData!J60</f>
        <v>Kateryna Vorona</v>
      </c>
      <c r="C60" s="325">
        <f>SourceData!K60</f>
        <v>1</v>
      </c>
      <c r="D60" s="325">
        <f>(COUNTIF(Errors!$B$3:$B$3009,'Error Count'!B60))-((COUNTIFS(Errors!$B$3:$B$3009,'Error Count'!B60, (Errors!$I$3:$I$3009),"TV*")))</f>
        <v>0</v>
      </c>
      <c r="E60" s="325">
        <f t="shared" si="1"/>
        <v>0</v>
      </c>
    </row>
    <row r="61" ht="15.75" customHeight="1">
      <c r="A61" s="305">
        <v>0.0</v>
      </c>
      <c r="B61" s="305" t="str">
        <f>SourceData!J61</f>
        <v>Keitlin Gruzdova</v>
      </c>
      <c r="C61" s="305">
        <f>SourceData!K61</f>
        <v>1</v>
      </c>
      <c r="D61" s="305">
        <f>(COUNTIF(Errors!$B$3:$B$3009,'Error Count'!B61))-((COUNTIFS(Errors!$B$3:$B$3009,'Error Count'!B61, (Errors!$I$3:$I$3009),"TV*")))</f>
        <v>1</v>
      </c>
      <c r="E61" s="305">
        <f t="shared" si="1"/>
        <v>1</v>
      </c>
    </row>
    <row r="62" ht="15.75" customHeight="1">
      <c r="A62" s="325">
        <v>0.0</v>
      </c>
      <c r="B62" s="325" t="str">
        <f>SourceData!J62</f>
        <v>Kirill Stepanenko</v>
      </c>
      <c r="C62" s="325">
        <f>SourceData!K62</f>
        <v>1</v>
      </c>
      <c r="D62" s="325">
        <f>(COUNTIF(Errors!$B$3:$B$3009,'Error Count'!B62))-((COUNTIFS(Errors!$B$3:$B$3009,'Error Count'!B62, (Errors!$I$3:$I$3009),"TV*")))</f>
        <v>0</v>
      </c>
      <c r="E62" s="325">
        <f t="shared" si="1"/>
        <v>0</v>
      </c>
    </row>
    <row r="63" ht="15.75" customHeight="1">
      <c r="A63" s="305">
        <v>0.0</v>
      </c>
      <c r="B63" s="305" t="str">
        <f>SourceData!J63</f>
        <v>Kristian Halquist</v>
      </c>
      <c r="C63" s="305">
        <f>SourceData!K63</f>
        <v>0.75</v>
      </c>
      <c r="D63" s="305">
        <f>(COUNTIF(Errors!$B$3:$B$3009,'Error Count'!B63))-((COUNTIFS(Errors!$B$3:$B$3009,'Error Count'!B63, (Errors!$I$3:$I$3009),"TV*")))</f>
        <v>0</v>
      </c>
      <c r="E63" s="305">
        <f t="shared" si="1"/>
        <v>0</v>
      </c>
    </row>
    <row r="64" ht="15.75" customHeight="1">
      <c r="A64" s="325">
        <v>0.0</v>
      </c>
      <c r="B64" s="325" t="str">
        <f>SourceData!J64</f>
        <v>Kristina Bobrovskaja</v>
      </c>
      <c r="C64" s="325">
        <f>SourceData!K64</f>
        <v>1</v>
      </c>
      <c r="D64" s="325">
        <f>(COUNTIF(Errors!$B$3:$B$3009,'Error Count'!B64))-((COUNTIFS(Errors!$B$3:$B$3009,'Error Count'!B64, (Errors!$I$3:$I$3009),"TV*")))</f>
        <v>0</v>
      </c>
      <c r="E64" s="325">
        <f t="shared" si="1"/>
        <v>0</v>
      </c>
    </row>
    <row r="65" ht="15.75" customHeight="1">
      <c r="A65" s="305">
        <v>0.0</v>
      </c>
      <c r="B65" s="305" t="str">
        <f>SourceData!J65</f>
        <v>Kristjan Viisileht</v>
      </c>
      <c r="C65" s="305">
        <f>SourceData!K65</f>
        <v>0.75</v>
      </c>
      <c r="D65" s="305">
        <f>(COUNTIF(Errors!$B$3:$B$3009,'Error Count'!B65))-((COUNTIFS(Errors!$B$3:$B$3009,'Error Count'!B65, (Errors!$I$3:$I$3009),"TV*")))</f>
        <v>0</v>
      </c>
      <c r="E65" s="305">
        <f t="shared" si="1"/>
        <v>0</v>
      </c>
    </row>
    <row r="66" ht="15.75" customHeight="1">
      <c r="A66" s="325">
        <v>0.0</v>
      </c>
      <c r="B66" s="325" t="str">
        <f>SourceData!J66</f>
        <v>Kseniia Bukhanko</v>
      </c>
      <c r="C66" s="325">
        <f>SourceData!K66</f>
        <v>1</v>
      </c>
      <c r="D66" s="325">
        <f>(COUNTIF(Errors!$B$3:$B$3009,'Error Count'!B66))-((COUNTIFS(Errors!$B$3:$B$3009,'Error Count'!B66, (Errors!$I$3:$I$3009),"TV*")))</f>
        <v>1</v>
      </c>
      <c r="E66" s="325">
        <f t="shared" si="1"/>
        <v>1</v>
      </c>
    </row>
    <row r="67" ht="15.75" customHeight="1">
      <c r="A67" s="305">
        <v>0.0</v>
      </c>
      <c r="B67" s="305" t="str">
        <f>SourceData!J67</f>
        <v>Kyoma Koike</v>
      </c>
      <c r="C67" s="305">
        <f>SourceData!K67</f>
        <v>0.75</v>
      </c>
      <c r="D67" s="305">
        <f>(COUNTIF(Errors!$B$3:$B$3009,'Error Count'!B67))-((COUNTIFS(Errors!$B$3:$B$3009,'Error Count'!B67, (Errors!$I$3:$I$3009),"TV*")))</f>
        <v>0</v>
      </c>
      <c r="E67" s="305">
        <f t="shared" si="1"/>
        <v>0</v>
      </c>
    </row>
    <row r="68" ht="15.75" customHeight="1">
      <c r="A68" s="325">
        <v>0.0</v>
      </c>
      <c r="B68" s="325" t="str">
        <f>SourceData!J68</f>
        <v>Laurit Kurm</v>
      </c>
      <c r="C68" s="325">
        <f>SourceData!K68</f>
        <v>1</v>
      </c>
      <c r="D68" s="325">
        <f>(COUNTIF(Errors!$B$3:$B$3009,'Error Count'!B68))-((COUNTIFS(Errors!$B$3:$B$3009,'Error Count'!B68, (Errors!$I$3:$I$3009),"TV*")))</f>
        <v>3</v>
      </c>
      <c r="E68" s="325">
        <f t="shared" si="1"/>
        <v>3</v>
      </c>
    </row>
    <row r="69" ht="15.75" customHeight="1">
      <c r="A69" s="305">
        <v>0.0</v>
      </c>
      <c r="B69" s="305" t="str">
        <f>SourceData!J69</f>
        <v>Liis-Liisa Gertsjak</v>
      </c>
      <c r="C69" s="305">
        <f>SourceData!K69</f>
        <v>0.5</v>
      </c>
      <c r="D69" s="305">
        <f>(COUNTIF(Errors!$B$3:$B$3009,'Error Count'!B69))-((COUNTIFS(Errors!$B$3:$B$3009,'Error Count'!B69, (Errors!$I$3:$I$3009),"TV*")))</f>
        <v>1</v>
      </c>
      <c r="E69" s="305">
        <f t="shared" si="1"/>
        <v>2</v>
      </c>
    </row>
    <row r="70" ht="15.75" customHeight="1">
      <c r="A70" s="325">
        <v>0.0</v>
      </c>
      <c r="B70" s="325" t="str">
        <f>SourceData!J70</f>
        <v>Liliia Vorona</v>
      </c>
      <c r="C70" s="325">
        <f>SourceData!K70</f>
        <v>1</v>
      </c>
      <c r="D70" s="325">
        <f>(COUNTIF(Errors!$B$3:$B$3009,'Error Count'!B70))-((COUNTIFS(Errors!$B$3:$B$3009,'Error Count'!B70, (Errors!$I$3:$I$3009),"TV*")))</f>
        <v>0</v>
      </c>
      <c r="E70" s="325">
        <f t="shared" si="1"/>
        <v>0</v>
      </c>
    </row>
    <row r="71" ht="15.75" customHeight="1">
      <c r="A71" s="305">
        <v>0.0</v>
      </c>
      <c r="B71" s="305" t="str">
        <f>SourceData!J71</f>
        <v>Louise Scarlett Vips</v>
      </c>
      <c r="C71" s="305">
        <f>SourceData!K71</f>
        <v>1</v>
      </c>
      <c r="D71" s="305">
        <f>(COUNTIF(Errors!$B$3:$B$3009,'Error Count'!B71))-((COUNTIFS(Errors!$B$3:$B$3009,'Error Count'!B71, (Errors!$I$3:$I$3009),"TV*")))</f>
        <v>0</v>
      </c>
      <c r="E71" s="305">
        <f t="shared" si="1"/>
        <v>0</v>
      </c>
    </row>
    <row r="72" ht="15.75" customHeight="1">
      <c r="A72" s="325">
        <v>0.0</v>
      </c>
      <c r="B72" s="325" t="str">
        <f>SourceData!J72</f>
        <v>Marek Koroljov</v>
      </c>
      <c r="C72" s="325">
        <f>SourceData!K72</f>
        <v>1</v>
      </c>
      <c r="D72" s="325">
        <f>(COUNTIF(Errors!$B$3:$B$3009,'Error Count'!B72))-((COUNTIFS(Errors!$B$3:$B$3009,'Error Count'!B72, (Errors!$I$3:$I$3009),"TV*")))</f>
        <v>2</v>
      </c>
      <c r="E72" s="325">
        <f t="shared" si="1"/>
        <v>2</v>
      </c>
    </row>
    <row r="73" ht="15.75" customHeight="1">
      <c r="A73" s="305">
        <v>0.0</v>
      </c>
      <c r="B73" s="305" t="str">
        <f>SourceData!J73</f>
        <v>Maria Solovova</v>
      </c>
      <c r="C73" s="305">
        <f>SourceData!K73</f>
        <v>0.75</v>
      </c>
      <c r="D73" s="305">
        <f>(COUNTIF(Errors!$B$3:$B$3009,'Error Count'!B73))-((COUNTIFS(Errors!$B$3:$B$3009,'Error Count'!B73, (Errors!$I$3:$I$3009),"TV*")))</f>
        <v>3</v>
      </c>
      <c r="E73" s="305">
        <f t="shared" si="1"/>
        <v>4</v>
      </c>
    </row>
    <row r="74" ht="15.75" customHeight="1">
      <c r="A74" s="325">
        <v>0.0</v>
      </c>
      <c r="B74" s="325" t="str">
        <f>SourceData!J74</f>
        <v>Maria Tšekotina</v>
      </c>
      <c r="C74" s="325">
        <f>SourceData!K74</f>
        <v>0.75</v>
      </c>
      <c r="D74" s="325">
        <f>(COUNTIF(Errors!$B$3:$B$3009,'Error Count'!B74))-((COUNTIFS(Errors!$B$3:$B$3009,'Error Count'!B74, (Errors!$I$3:$I$3009),"TV*")))</f>
        <v>1</v>
      </c>
      <c r="E74" s="325">
        <f t="shared" si="1"/>
        <v>1.333333333</v>
      </c>
    </row>
    <row r="75" ht="15.75" customHeight="1">
      <c r="A75" s="305">
        <v>0.0</v>
      </c>
      <c r="B75" s="305" t="str">
        <f>SourceData!J75</f>
        <v>Mariia Pozniakova</v>
      </c>
      <c r="C75" s="305">
        <f>SourceData!K75</f>
        <v>1</v>
      </c>
      <c r="D75" s="305">
        <f>(COUNTIF(Errors!$B$3:$B$3009,'Error Count'!B75))-((COUNTIFS(Errors!$B$3:$B$3009,'Error Count'!B75, (Errors!$I$3:$I$3009),"TV*")))</f>
        <v>1</v>
      </c>
      <c r="E75" s="305">
        <f t="shared" si="1"/>
        <v>1</v>
      </c>
    </row>
    <row r="76" ht="15.75" customHeight="1">
      <c r="A76" s="325">
        <v>0.0</v>
      </c>
      <c r="B76" s="325" t="str">
        <f>SourceData!J76</f>
        <v>Marina Poleštšuk</v>
      </c>
      <c r="C76" s="325">
        <f>SourceData!K76</f>
        <v>1</v>
      </c>
      <c r="D76" s="325">
        <f>(COUNTIF(Errors!$B$3:$B$3009,'Error Count'!B76))-((COUNTIFS(Errors!$B$3:$B$3009,'Error Count'!B76, (Errors!$I$3:$I$3009),"TV*")))</f>
        <v>0</v>
      </c>
      <c r="E76" s="325">
        <f t="shared" si="1"/>
        <v>0</v>
      </c>
    </row>
    <row r="77" ht="15.75" customHeight="1">
      <c r="A77" s="305">
        <v>0.0</v>
      </c>
      <c r="B77" s="305" t="str">
        <f>SourceData!J77</f>
        <v>Merete Tarto</v>
      </c>
      <c r="C77" s="305">
        <f>SourceData!K77</f>
        <v>0.75</v>
      </c>
      <c r="D77" s="305">
        <f>(COUNTIF(Errors!$B$3:$B$3009,'Error Count'!B77))-((COUNTIFS(Errors!$B$3:$B$3009,'Error Count'!B77, (Errors!$I$3:$I$3009),"TV*")))</f>
        <v>0</v>
      </c>
      <c r="E77" s="305">
        <f t="shared" si="1"/>
        <v>0</v>
      </c>
    </row>
    <row r="78" ht="15.75" customHeight="1">
      <c r="A78" s="325">
        <v>0.0</v>
      </c>
      <c r="B78" s="325" t="str">
        <f>SourceData!J78</f>
        <v>Mia Murakas</v>
      </c>
      <c r="C78" s="325">
        <f>SourceData!K78</f>
        <v>0.75</v>
      </c>
      <c r="D78" s="325">
        <f>(COUNTIF(Errors!$B$3:$B$3009,'Error Count'!B78))-((COUNTIFS(Errors!$B$3:$B$3009,'Error Count'!B78, (Errors!$I$3:$I$3009),"TV*")))</f>
        <v>2</v>
      </c>
      <c r="E78" s="325">
        <f t="shared" si="1"/>
        <v>2.666666667</v>
      </c>
    </row>
    <row r="79" ht="15.75" customHeight="1">
      <c r="A79" s="305">
        <v>0.0</v>
      </c>
      <c r="B79" s="305" t="str">
        <f>SourceData!J79</f>
        <v>Milena Kõiv</v>
      </c>
      <c r="C79" s="305">
        <f>SourceData!K79</f>
        <v>1</v>
      </c>
      <c r="D79" s="305">
        <f>(COUNTIF(Errors!$B$3:$B$3009,'Error Count'!B79))-((COUNTIFS(Errors!$B$3:$B$3009,'Error Count'!B79, (Errors!$I$3:$I$3009),"TV*")))</f>
        <v>6</v>
      </c>
      <c r="E79" s="305">
        <f t="shared" si="1"/>
        <v>6</v>
      </c>
    </row>
    <row r="80" ht="15.75" customHeight="1">
      <c r="A80" s="325">
        <v>0.0</v>
      </c>
      <c r="B80" s="325" t="str">
        <f>SourceData!J80</f>
        <v>Natalija Kravcova</v>
      </c>
      <c r="C80" s="325">
        <f>SourceData!K80</f>
        <v>1</v>
      </c>
      <c r="D80" s="325">
        <f>(COUNTIF(Errors!$B$3:$B$3009,'Error Count'!B80))-((COUNTIFS(Errors!$B$3:$B$3009,'Error Count'!B80, (Errors!$I$3:$I$3009),"TV*")))</f>
        <v>1</v>
      </c>
      <c r="E80" s="325">
        <f t="shared" si="1"/>
        <v>1</v>
      </c>
    </row>
    <row r="81" ht="15.75" customHeight="1">
      <c r="A81" s="305">
        <v>0.0</v>
      </c>
      <c r="B81" s="305" t="str">
        <f>SourceData!J81</f>
        <v>Oleksandra Bubnova</v>
      </c>
      <c r="C81" s="305">
        <f>SourceData!K81</f>
        <v>0.5</v>
      </c>
      <c r="D81" s="305">
        <f>(COUNTIF(Errors!$B$3:$B$3009,'Error Count'!B81))-((COUNTIFS(Errors!$B$3:$B$3009,'Error Count'!B81, (Errors!$I$3:$I$3009),"TV*")))</f>
        <v>0</v>
      </c>
      <c r="E81" s="305">
        <f t="shared" si="1"/>
        <v>0</v>
      </c>
    </row>
    <row r="82" ht="15.75" customHeight="1">
      <c r="A82" s="325">
        <v>0.0</v>
      </c>
      <c r="B82" s="325" t="str">
        <f>SourceData!J82</f>
        <v>Oleksandra Korniienko</v>
      </c>
      <c r="C82" s="325">
        <f>SourceData!K82</f>
        <v>0.75</v>
      </c>
      <c r="D82" s="325">
        <f>(COUNTIF(Errors!$B$3:$B$3009,'Error Count'!B82))-((COUNTIFS(Errors!$B$3:$B$3009,'Error Count'!B82, (Errors!$I$3:$I$3009),"TV*")))</f>
        <v>0</v>
      </c>
      <c r="E82" s="325">
        <f t="shared" si="1"/>
        <v>0</v>
      </c>
    </row>
    <row r="83" ht="15.75" customHeight="1">
      <c r="A83" s="305">
        <v>0.0</v>
      </c>
      <c r="B83" s="305" t="str">
        <f>SourceData!J83</f>
        <v>Polina Lillepea</v>
      </c>
      <c r="C83" s="305">
        <f>SourceData!K83</f>
        <v>0.5</v>
      </c>
      <c r="D83" s="305">
        <f>(COUNTIF(Errors!$B$3:$B$3009,'Error Count'!B83))-((COUNTIFS(Errors!$B$3:$B$3009,'Error Count'!B83, (Errors!$I$3:$I$3009),"TV*")))</f>
        <v>0</v>
      </c>
      <c r="E83" s="305">
        <f t="shared" si="1"/>
        <v>0</v>
      </c>
    </row>
    <row r="84" ht="15.75" customHeight="1">
      <c r="A84" s="325">
        <v>0.0</v>
      </c>
      <c r="B84" s="325" t="str">
        <f>SourceData!J84</f>
        <v>Polina Pissareva</v>
      </c>
      <c r="C84" s="325">
        <f>SourceData!K84</f>
        <v>0.75</v>
      </c>
      <c r="D84" s="325">
        <f>(COUNTIF(Errors!$B$3:$B$3009,'Error Count'!B84))-((COUNTIFS(Errors!$B$3:$B$3009,'Error Count'!B84, (Errors!$I$3:$I$3009),"TV*")))</f>
        <v>1</v>
      </c>
      <c r="E84" s="325">
        <f t="shared" si="1"/>
        <v>1.333333333</v>
      </c>
    </row>
    <row r="85" ht="15.75" customHeight="1">
      <c r="A85" s="305">
        <v>0.0</v>
      </c>
      <c r="B85" s="305" t="str">
        <f>SourceData!J85</f>
        <v>Polina Suhhanova</v>
      </c>
      <c r="C85" s="305">
        <f>SourceData!K85</f>
        <v>0.5</v>
      </c>
      <c r="D85" s="305">
        <f>(COUNTIF(Errors!$B$3:$B$3009,'Error Count'!B85))-((COUNTIFS(Errors!$B$3:$B$3009,'Error Count'!B85, (Errors!$I$3:$I$3009),"TV*")))</f>
        <v>0</v>
      </c>
      <c r="E85" s="305">
        <f t="shared" si="1"/>
        <v>0</v>
      </c>
    </row>
    <row r="86" ht="15.75" customHeight="1">
      <c r="A86" s="325">
        <v>0.0</v>
      </c>
      <c r="B86" s="325" t="str">
        <f>SourceData!J86</f>
        <v>Rajosree Das Sristy</v>
      </c>
      <c r="C86" s="325">
        <f>SourceData!K86</f>
        <v>0.75</v>
      </c>
      <c r="D86" s="325">
        <f>(COUNTIF(Errors!$B$3:$B$3009,'Error Count'!B86))-((COUNTIFS(Errors!$B$3:$B$3009,'Error Count'!B86, (Errors!$I$3:$I$3009),"TV*")))</f>
        <v>1</v>
      </c>
      <c r="E86" s="325">
        <f t="shared" si="1"/>
        <v>1.333333333</v>
      </c>
    </row>
    <row r="87" ht="15.75" customHeight="1">
      <c r="A87" s="305">
        <v>0.0</v>
      </c>
      <c r="B87" s="305" t="str">
        <f>SourceData!J87</f>
        <v>Reeli Pao</v>
      </c>
      <c r="C87" s="305">
        <f>SourceData!K87</f>
        <v>0.5</v>
      </c>
      <c r="D87" s="305">
        <f>(COUNTIF(Errors!$B$3:$B$3009,'Error Count'!B87))-((COUNTIFS(Errors!$B$3:$B$3009,'Error Count'!B87, (Errors!$I$3:$I$3009),"TV*")))</f>
        <v>2</v>
      </c>
      <c r="E87" s="305">
        <f t="shared" si="1"/>
        <v>4</v>
      </c>
    </row>
    <row r="88" ht="15.75" customHeight="1">
      <c r="A88" s="325">
        <v>0.0</v>
      </c>
      <c r="B88" s="325" t="str">
        <f>SourceData!J88</f>
        <v>Reiko Koga</v>
      </c>
      <c r="C88" s="325">
        <f>SourceData!K88</f>
        <v>1</v>
      </c>
      <c r="D88" s="325">
        <f>(COUNTIF(Errors!$B$3:$B$3009,'Error Count'!B88))-((COUNTIFS(Errors!$B$3:$B$3009,'Error Count'!B88, (Errors!$I$3:$I$3009),"TV*")))</f>
        <v>0</v>
      </c>
      <c r="E88" s="325">
        <f t="shared" si="1"/>
        <v>0</v>
      </c>
    </row>
    <row r="89" ht="15.75" customHeight="1">
      <c r="A89" s="305">
        <v>0.0</v>
      </c>
      <c r="B89" s="305" t="str">
        <f>SourceData!J89</f>
        <v>Samantha Paulino Mansibang</v>
      </c>
      <c r="C89" s="305">
        <f>SourceData!K89</f>
        <v>1</v>
      </c>
      <c r="D89" s="305">
        <f>(COUNTIF(Errors!$B$3:$B$3009,'Error Count'!B89))-((COUNTIFS(Errors!$B$3:$B$3009,'Error Count'!B89, (Errors!$I$3:$I$3009),"TV*")))</f>
        <v>0</v>
      </c>
      <c r="E89" s="305">
        <f t="shared" si="1"/>
        <v>0</v>
      </c>
    </row>
    <row r="90" ht="15.75" customHeight="1">
      <c r="A90" s="325">
        <v>0.0</v>
      </c>
      <c r="B90" s="325" t="str">
        <f>SourceData!J90</f>
        <v>Sanita Dolovac</v>
      </c>
      <c r="C90" s="325">
        <f>SourceData!K90</f>
        <v>1</v>
      </c>
      <c r="D90" s="325">
        <f>(COUNTIF(Errors!$B$3:$B$3009,'Error Count'!B90))-((COUNTIFS(Errors!$B$3:$B$3009,'Error Count'!B90, (Errors!$I$3:$I$3009),"TV*")))</f>
        <v>3</v>
      </c>
      <c r="E90" s="325">
        <f t="shared" si="1"/>
        <v>3</v>
      </c>
    </row>
    <row r="91" ht="15.75" customHeight="1">
      <c r="A91" s="305">
        <v>0.0</v>
      </c>
      <c r="B91" s="305" t="str">
        <f>SourceData!J91</f>
        <v>Sergei Tatar</v>
      </c>
      <c r="C91" s="305">
        <f>SourceData!K91</f>
        <v>1</v>
      </c>
      <c r="D91" s="305">
        <f>(COUNTIF(Errors!$B$3:$B$3009,'Error Count'!B91))-((COUNTIFS(Errors!$B$3:$B$3009,'Error Count'!B91, (Errors!$I$3:$I$3009),"TV*")))</f>
        <v>1</v>
      </c>
      <c r="E91" s="305">
        <f t="shared" si="1"/>
        <v>1</v>
      </c>
    </row>
    <row r="92" ht="15.75" customHeight="1">
      <c r="A92" s="325">
        <v>0.0</v>
      </c>
      <c r="B92" s="325" t="str">
        <f>SourceData!J92</f>
        <v>Sigmar Sten Kõiv</v>
      </c>
      <c r="C92" s="325">
        <f>SourceData!K92</f>
        <v>0.5</v>
      </c>
      <c r="D92" s="325">
        <f>(COUNTIF(Errors!$B$3:$B$3009,'Error Count'!B92))-((COUNTIFS(Errors!$B$3:$B$3009,'Error Count'!B92, (Errors!$I$3:$I$3009),"TV*")))</f>
        <v>0</v>
      </c>
      <c r="E92" s="325">
        <f t="shared" si="1"/>
        <v>0</v>
      </c>
    </row>
    <row r="93" ht="15.75" customHeight="1">
      <c r="A93" s="305">
        <v>0.0</v>
      </c>
      <c r="B93" s="305" t="str">
        <f>SourceData!J93</f>
        <v>Sofja Barchan</v>
      </c>
      <c r="C93" s="305">
        <f>SourceData!K93</f>
        <v>1</v>
      </c>
      <c r="D93" s="305">
        <f>(COUNTIF(Errors!$B$3:$B$3009,'Error Count'!B93))-((COUNTIFS(Errors!$B$3:$B$3009,'Error Count'!B93, (Errors!$I$3:$I$3009),"TV*")))</f>
        <v>0</v>
      </c>
      <c r="E93" s="305">
        <f t="shared" si="1"/>
        <v>0</v>
      </c>
    </row>
    <row r="94" ht="15.75" customHeight="1">
      <c r="A94" s="325">
        <v>0.0</v>
      </c>
      <c r="B94" s="325" t="str">
        <f>SourceData!J94</f>
        <v>Taeeun Park</v>
      </c>
      <c r="C94" s="325">
        <f>SourceData!K94</f>
        <v>1</v>
      </c>
      <c r="D94" s="325">
        <f>(COUNTIF(Errors!$B$3:$B$3009,'Error Count'!B94))-((COUNTIFS(Errors!$B$3:$B$3009,'Error Count'!B94, (Errors!$I$3:$I$3009),"TV*")))</f>
        <v>0</v>
      </c>
      <c r="E94" s="325">
        <f t="shared" si="1"/>
        <v>0</v>
      </c>
    </row>
    <row r="95" ht="15.75" customHeight="1">
      <c r="A95" s="305">
        <v>0.0</v>
      </c>
      <c r="B95" s="305" t="str">
        <f>SourceData!J95</f>
        <v>Tetiana Blyshchyk</v>
      </c>
      <c r="C95" s="305">
        <f>SourceData!K95</f>
        <v>0.75</v>
      </c>
      <c r="D95" s="305">
        <f>(COUNTIF(Errors!$B$3:$B$3009,'Error Count'!B95))-((COUNTIFS(Errors!$B$3:$B$3009,'Error Count'!B95, (Errors!$I$3:$I$3009),"TV*")))</f>
        <v>0</v>
      </c>
      <c r="E95" s="305">
        <f t="shared" si="1"/>
        <v>0</v>
      </c>
    </row>
    <row r="96" ht="15.75" customHeight="1">
      <c r="A96" s="325">
        <v>0.0</v>
      </c>
      <c r="B96" s="325" t="str">
        <f>SourceData!J96</f>
        <v>Viktoria Kulik</v>
      </c>
      <c r="C96" s="325">
        <f>SourceData!K96</f>
        <v>1</v>
      </c>
      <c r="D96" s="325">
        <f>(COUNTIF(Errors!$B$3:$B$3009,'Error Count'!B96))-((COUNTIFS(Errors!$B$3:$B$3009,'Error Count'!B96, (Errors!$I$3:$I$3009),"TV*")))</f>
        <v>0</v>
      </c>
      <c r="E96" s="325">
        <f t="shared" si="1"/>
        <v>0</v>
      </c>
    </row>
    <row r="97" ht="15.75" customHeight="1">
      <c r="A97" s="305">
        <v>0.0</v>
      </c>
      <c r="B97" s="305" t="str">
        <f>SourceData!J97</f>
        <v>Viktoriia Marchenko</v>
      </c>
      <c r="C97" s="305">
        <f>SourceData!K97</f>
        <v>1</v>
      </c>
      <c r="D97" s="305">
        <f>(COUNTIF(Errors!$B$3:$B$3009,'Error Count'!B97))-((COUNTIFS(Errors!$B$3:$B$3009,'Error Count'!B97, (Errors!$I$3:$I$3009),"TV*")))</f>
        <v>0</v>
      </c>
      <c r="E97" s="305">
        <f t="shared" si="1"/>
        <v>0</v>
      </c>
    </row>
    <row r="98" ht="15.75" customHeight="1">
      <c r="A98" s="325">
        <v>0.0</v>
      </c>
      <c r="B98" s="325" t="str">
        <f>SourceData!J98</f>
        <v>Virginia Niitmets</v>
      </c>
      <c r="C98" s="325">
        <f>SourceData!K98</f>
        <v>1</v>
      </c>
      <c r="D98" s="325">
        <f>(COUNTIF(Errors!$B$3:$B$3009,'Error Count'!B98))-((COUNTIFS(Errors!$B$3:$B$3009,'Error Count'!B98, (Errors!$I$3:$I$3009),"TV*")))</f>
        <v>0</v>
      </c>
      <c r="E98" s="325">
        <f t="shared" si="1"/>
        <v>0</v>
      </c>
    </row>
    <row r="99" ht="15.75" customHeight="1">
      <c r="A99" s="305">
        <v>0.0</v>
      </c>
      <c r="B99" s="305" t="str">
        <f>SourceData!J99</f>
        <v>Vitaly Bayushkin</v>
      </c>
      <c r="C99" s="305">
        <f>SourceData!K99</f>
        <v>1</v>
      </c>
      <c r="D99" s="305">
        <f>(COUNTIF(Errors!$B$3:$B$3009,'Error Count'!B99))-((COUNTIFS(Errors!$B$3:$B$3009,'Error Count'!B99, (Errors!$I$3:$I$3009),"TV*")))</f>
        <v>1</v>
      </c>
      <c r="E99" s="305">
        <f t="shared" si="1"/>
        <v>1</v>
      </c>
    </row>
    <row r="100" ht="15.75" customHeight="1">
      <c r="A100" s="325">
        <v>0.0</v>
      </c>
      <c r="B100" s="325" t="str">
        <f>SourceData!J100</f>
        <v>Vladimir Lukašov</v>
      </c>
      <c r="C100" s="325">
        <f>SourceData!K100</f>
        <v>0.75</v>
      </c>
      <c r="D100" s="325">
        <f>(COUNTIF(Errors!$B$3:$B$3009,'Error Count'!B100))-((COUNTIFS(Errors!$B$3:$B$3009,'Error Count'!B100, (Errors!$I$3:$I$3009),"TV*")))</f>
        <v>0</v>
      </c>
      <c r="E100" s="325">
        <f t="shared" si="1"/>
        <v>0</v>
      </c>
    </row>
    <row r="101" ht="15.75" customHeight="1">
      <c r="A101" s="305">
        <v>0.0</v>
      </c>
      <c r="B101" s="305" t="str">
        <f>SourceData!J101</f>
        <v>Vladimir Petrov</v>
      </c>
      <c r="C101" s="305">
        <f>SourceData!K101</f>
        <v>0.75</v>
      </c>
      <c r="D101" s="305">
        <f>(COUNTIF(Errors!$B$3:$B$3009,'Error Count'!B101))-((COUNTIFS(Errors!$B$3:$B$3009,'Error Count'!B101, (Errors!$I$3:$I$3009),"TV*")))</f>
        <v>2</v>
      </c>
      <c r="E101" s="305">
        <f t="shared" si="1"/>
        <v>2.666666667</v>
      </c>
    </row>
    <row r="102" ht="15.75" customHeight="1">
      <c r="A102" s="325">
        <v>0.0</v>
      </c>
      <c r="B102" s="325" t="str">
        <f>SourceData!J102</f>
        <v>Vladlena Nikiforova</v>
      </c>
      <c r="C102" s="325">
        <f>SourceData!K102</f>
        <v>1</v>
      </c>
      <c r="D102" s="325">
        <f>(COUNTIF(Errors!$B$3:$B$3009,'Error Count'!B102))-((COUNTIFS(Errors!$B$3:$B$3009,'Error Count'!B102, (Errors!$I$3:$I$3009),"TV*")))</f>
        <v>0</v>
      </c>
      <c r="E102" s="325">
        <f t="shared" si="1"/>
        <v>0</v>
      </c>
    </row>
    <row r="103" ht="15.75" customHeight="1">
      <c r="A103" s="305">
        <v>0.0</v>
      </c>
      <c r="B103" s="305" t="str">
        <f>SourceData!J103</f>
        <v>Yukiko Mauer</v>
      </c>
      <c r="C103" s="305">
        <f>SourceData!K103</f>
        <v>0.5</v>
      </c>
      <c r="D103" s="305">
        <f>(COUNTIF(Errors!$B$3:$B$3009,'Error Count'!B103))-((COUNTIFS(Errors!$B$3:$B$3009,'Error Count'!B103, (Errors!$I$3:$I$3009),"TV*")))</f>
        <v>2</v>
      </c>
      <c r="E103" s="305">
        <f t="shared" si="1"/>
        <v>4</v>
      </c>
    </row>
    <row r="104" ht="15.75" customHeight="1">
      <c r="A104" s="325">
        <v>0.0</v>
      </c>
      <c r="B104" s="325" t="str">
        <f>SourceData!J104</f>
        <v>Yusuf Turabi</v>
      </c>
      <c r="C104" s="325">
        <f>SourceData!K104</f>
        <v>1</v>
      </c>
      <c r="D104" s="325">
        <f>(COUNTIF(Errors!$B$3:$B$3009,'Error Count'!B104))-((COUNTIFS(Errors!$B$3:$B$3009,'Error Count'!B104, (Errors!$I$3:$I$3009),"TV*")))</f>
        <v>0</v>
      </c>
      <c r="E104" s="325">
        <f t="shared" si="1"/>
        <v>0</v>
      </c>
    </row>
    <row r="105" ht="15.75" customHeight="1">
      <c r="A105" s="305">
        <v>0.0</v>
      </c>
      <c r="B105" s="305" t="str">
        <f>SourceData!J105</f>
        <v>Mariia Kolbasova</v>
      </c>
      <c r="C105" s="305">
        <f>SourceData!K105</f>
        <v>1</v>
      </c>
      <c r="D105" s="305">
        <f>(COUNTIF(Errors!$B$3:$B$3009,'Error Count'!B105))-((COUNTIFS(Errors!$B$3:$B$3009,'Error Count'!B105, (Errors!$I$3:$I$3009),"TV*")))</f>
        <v>0</v>
      </c>
      <c r="E105" s="305">
        <f t="shared" si="1"/>
        <v>0</v>
      </c>
    </row>
    <row r="106" ht="15.75" customHeight="1">
      <c r="A106" s="325">
        <v>0.0</v>
      </c>
      <c r="B106" s="325" t="str">
        <f>SourceData!J106</f>
        <v>Amelie Kubi</v>
      </c>
      <c r="C106" s="325">
        <f>SourceData!K106</f>
        <v>1</v>
      </c>
      <c r="D106" s="325">
        <f>(COUNTIF(Errors!$B$3:$B$3009,'Error Count'!B106))-((COUNTIFS(Errors!$B$3:$B$3009,'Error Count'!B106, (Errors!$I$3:$I$3009),"TV*")))</f>
        <v>0</v>
      </c>
      <c r="E106" s="325">
        <f t="shared" si="1"/>
        <v>0</v>
      </c>
    </row>
    <row r="107" ht="15.75" customHeight="1">
      <c r="A107" s="305">
        <v>0.0</v>
      </c>
      <c r="B107" s="305" t="str">
        <f>SourceData!J107</f>
        <v>Carina Ysabel Sardua</v>
      </c>
      <c r="C107" s="305">
        <f>SourceData!K107</f>
        <v>0.75</v>
      </c>
      <c r="D107" s="305">
        <f>(COUNTIF(Errors!$B$3:$B$3009,'Error Count'!B107))-((COUNTIFS(Errors!$B$3:$B$3009,'Error Count'!B107, (Errors!$I$3:$I$3009),"TV*")))</f>
        <v>0</v>
      </c>
      <c r="E107" s="305">
        <f t="shared" si="1"/>
        <v>0</v>
      </c>
    </row>
    <row r="108" ht="15.75" customHeight="1">
      <c r="A108" s="325">
        <v>0.0</v>
      </c>
      <c r="B108" s="325" t="str">
        <f>SourceData!J108</f>
        <v>Evita Limareva</v>
      </c>
      <c r="C108" s="325">
        <f>SourceData!K108</f>
        <v>0.75</v>
      </c>
      <c r="D108" s="325">
        <f>(COUNTIF(Errors!$B$3:$B$3009,'Error Count'!B108))-((COUNTIFS(Errors!$B$3:$B$3009,'Error Count'!B108, (Errors!$I$3:$I$3009),"TV*")))</f>
        <v>1</v>
      </c>
      <c r="E108" s="325">
        <f t="shared" si="1"/>
        <v>1.333333333</v>
      </c>
    </row>
    <row r="109" ht="15.75" customHeight="1">
      <c r="A109" s="305">
        <v>0.0</v>
      </c>
      <c r="B109" s="305" t="str">
        <f>SourceData!J109</f>
        <v>Darelyan Pähn</v>
      </c>
      <c r="C109" s="305">
        <f>SourceData!K109</f>
        <v>0.5</v>
      </c>
      <c r="D109" s="305">
        <f>(COUNTIF(Errors!$B$3:$B$3009,'Error Count'!B109))-((COUNTIFS(Errors!$B$3:$B$3009,'Error Count'!B109, (Errors!$I$3:$I$3009),"TV*")))</f>
        <v>0</v>
      </c>
      <c r="E109" s="305">
        <f t="shared" si="1"/>
        <v>0</v>
      </c>
    </row>
    <row r="110" ht="15.75" customHeight="1">
      <c r="A110" s="325">
        <v>0.0</v>
      </c>
      <c r="B110" s="325" t="str">
        <f>SourceData!J110</f>
        <v>Asia Oliinyk</v>
      </c>
      <c r="C110" s="325">
        <f>SourceData!K110</f>
        <v>0.75</v>
      </c>
      <c r="D110" s="325">
        <f>(COUNTIF(Errors!$B$3:$B$3009,'Error Count'!B110))-((COUNTIFS(Errors!$B$3:$B$3009,'Error Count'!B110, (Errors!$I$3:$I$3009),"TV*")))</f>
        <v>2</v>
      </c>
      <c r="E110" s="325">
        <f t="shared" si="1"/>
        <v>2.666666667</v>
      </c>
    </row>
    <row r="111" ht="15.75" customHeight="1">
      <c r="A111" s="305">
        <v>0.0</v>
      </c>
      <c r="B111" s="305" t="str">
        <f>SourceData!J111</f>
        <v>Emilia Laanjärv</v>
      </c>
      <c r="C111" s="305">
        <f>SourceData!K111</f>
        <v>0.75</v>
      </c>
      <c r="D111" s="305">
        <f>(COUNTIF(Errors!$B$3:$B$3009,'Error Count'!B111))-((COUNTIFS(Errors!$B$3:$B$3009,'Error Count'!B111, (Errors!$I$3:$I$3009),"TV*")))</f>
        <v>2</v>
      </c>
      <c r="E111" s="305">
        <f t="shared" si="1"/>
        <v>2.666666667</v>
      </c>
    </row>
    <row r="112" ht="15.75" customHeight="1">
      <c r="A112" s="325">
        <v>0.0</v>
      </c>
      <c r="B112" s="325" t="str">
        <f>SourceData!J112</f>
        <v>Ksenia Ivanova</v>
      </c>
      <c r="C112" s="325">
        <f>SourceData!K112</f>
        <v>0.75</v>
      </c>
      <c r="D112" s="325">
        <f>(COUNTIF(Errors!$B$3:$B$3009,'Error Count'!B112))-((COUNTIFS(Errors!$B$3:$B$3009,'Error Count'!B112, (Errors!$I$3:$I$3009),"TV*")))</f>
        <v>0</v>
      </c>
      <c r="E112" s="325">
        <f t="shared" si="1"/>
        <v>0</v>
      </c>
    </row>
    <row r="113" ht="15.75" customHeight="1">
      <c r="A113" s="305">
        <v>0.0</v>
      </c>
      <c r="B113" s="305" t="str">
        <f>SourceData!J113</f>
        <v>Anastasiya Kurylina</v>
      </c>
      <c r="C113" s="305">
        <f>SourceData!K113</f>
        <v>0.75</v>
      </c>
      <c r="D113" s="305">
        <f>(COUNTIF(Errors!$B$3:$B$3009,'Error Count'!B113))-((COUNTIFS(Errors!$B$3:$B$3009,'Error Count'!B113, (Errors!$I$3:$I$3009),"TV*")))</f>
        <v>3</v>
      </c>
      <c r="E113" s="305">
        <f t="shared" si="1"/>
        <v>4</v>
      </c>
    </row>
    <row r="114" ht="15.75" customHeight="1">
      <c r="A114" s="325">
        <v>0.0</v>
      </c>
      <c r="B114" s="325" t="str">
        <f>SourceData!J114</f>
        <v>Valeria Novikova</v>
      </c>
      <c r="C114" s="325">
        <f>SourceData!K114</f>
        <v>0.5</v>
      </c>
      <c r="D114" s="325">
        <f>(COUNTIF(Errors!$B$3:$B$3009,'Error Count'!B114))-((COUNTIFS(Errors!$B$3:$B$3009,'Error Count'!B114, (Errors!$I$3:$I$3009),"TV*")))</f>
        <v>1</v>
      </c>
      <c r="E114" s="325">
        <f t="shared" si="1"/>
        <v>2</v>
      </c>
    </row>
    <row r="115" ht="15.75" customHeight="1">
      <c r="A115" s="305">
        <v>0.0</v>
      </c>
      <c r="B115" s="305" t="str">
        <f>SourceData!J115</f>
        <v>Liva Ozolina</v>
      </c>
      <c r="C115" s="305">
        <f>SourceData!K115</f>
        <v>1</v>
      </c>
      <c r="D115" s="305">
        <f>(COUNTIF(Errors!$B$3:$B$3009,'Error Count'!B115))-((COUNTIFS(Errors!$B$3:$B$3009,'Error Count'!B115, (Errors!$I$3:$I$3009),"TV*")))</f>
        <v>3</v>
      </c>
      <c r="E115" s="305">
        <f t="shared" si="1"/>
        <v>3</v>
      </c>
    </row>
    <row r="116" ht="15.75" customHeight="1">
      <c r="A116" s="325">
        <v>0.0</v>
      </c>
      <c r="B116" s="325" t="str">
        <f>SourceData!J116</f>
        <v>Nikol Tulaidan</v>
      </c>
      <c r="C116" s="325">
        <f>SourceData!K116</f>
        <v>0.75</v>
      </c>
      <c r="D116" s="325">
        <f>(COUNTIF(Errors!$B$3:$B$3009,'Error Count'!B116))-((COUNTIFS(Errors!$B$3:$B$3009,'Error Count'!B116, (Errors!$I$3:$I$3009),"TV*")))</f>
        <v>1</v>
      </c>
      <c r="E116" s="325">
        <f t="shared" si="1"/>
        <v>1.333333333</v>
      </c>
    </row>
    <row r="117" ht="15.75" customHeight="1">
      <c r="A117" s="305">
        <v>0.0</v>
      </c>
      <c r="B117" s="305" t="str">
        <f>SourceData!J117</f>
        <v>Kristina Derkach</v>
      </c>
      <c r="C117" s="305">
        <f>SourceData!K117</f>
        <v>1</v>
      </c>
      <c r="D117" s="305">
        <f>(COUNTIF(Errors!$B$3:$B$3009,'Error Count'!B117))-((COUNTIFS(Errors!$B$3:$B$3009,'Error Count'!B117, (Errors!$I$3:$I$3009),"TV*")))</f>
        <v>8</v>
      </c>
      <c r="E117" s="305">
        <f t="shared" si="1"/>
        <v>8</v>
      </c>
    </row>
    <row r="118" ht="15.75" customHeight="1">
      <c r="A118" s="325">
        <v>0.0</v>
      </c>
      <c r="B118" s="325" t="str">
        <f>SourceData!J118</f>
        <v>Eliise Jõgar</v>
      </c>
      <c r="C118" s="325">
        <f>SourceData!K118</f>
        <v>1</v>
      </c>
      <c r="D118" s="325">
        <f>(COUNTIF(Errors!$B$3:$B$3009,'Error Count'!B118))-((COUNTIFS(Errors!$B$3:$B$3009,'Error Count'!B118, (Errors!$I$3:$I$3009),"TV*")))</f>
        <v>0</v>
      </c>
      <c r="E118" s="325">
        <f t="shared" si="1"/>
        <v>0</v>
      </c>
    </row>
    <row r="119" ht="15.75" customHeight="1">
      <c r="A119" s="305">
        <v>0.0</v>
      </c>
      <c r="B119" s="305" t="str">
        <f>SourceData!J119</f>
        <v>Crystal Vanessa Viba</v>
      </c>
      <c r="C119" s="305">
        <f>SourceData!K119</f>
        <v>1</v>
      </c>
      <c r="D119" s="305">
        <f>(COUNTIF(Errors!$B$3:$B$3009,'Error Count'!B119))-((COUNTIFS(Errors!$B$3:$B$3009,'Error Count'!B119, (Errors!$I$3:$I$3009),"TV*")))</f>
        <v>1</v>
      </c>
      <c r="E119" s="305">
        <f t="shared" si="1"/>
        <v>1</v>
      </c>
    </row>
    <row r="120" ht="15.75" customHeight="1">
      <c r="A120" s="325">
        <v>0.0</v>
      </c>
      <c r="B120" s="325" t="str">
        <f>SourceData!J120</f>
        <v>Anna Ševtšenko</v>
      </c>
      <c r="C120" s="325">
        <f>SourceData!K120</f>
        <v>0.5</v>
      </c>
      <c r="D120" s="325">
        <f>(COUNTIF(Errors!$B$3:$B$3009,'Error Count'!B120))-((COUNTIFS(Errors!$B$3:$B$3009,'Error Count'!B120, (Errors!$I$3:$I$3009),"TV*")))</f>
        <v>1</v>
      </c>
      <c r="E120" s="325">
        <f t="shared" si="1"/>
        <v>2</v>
      </c>
    </row>
    <row r="121" ht="15.75" customHeight="1">
      <c r="A121" s="305">
        <v>0.0</v>
      </c>
      <c r="B121" s="305" t="str">
        <f>SourceData!J121</f>
        <v>Arabella Pastak </v>
      </c>
      <c r="C121" s="305">
        <f>SourceData!K121</f>
        <v>1</v>
      </c>
      <c r="D121" s="305">
        <f>(COUNTIF(Errors!$B$3:$B$3009,'Error Count'!B121))-((COUNTIFS(Errors!$B$3:$B$3009,'Error Count'!B121, (Errors!$I$3:$I$3009),"TV*")))</f>
        <v>4</v>
      </c>
      <c r="E121" s="305">
        <f t="shared" si="1"/>
        <v>4</v>
      </c>
    </row>
    <row r="122" ht="15.75" customHeight="1">
      <c r="A122" s="325">
        <v>0.0</v>
      </c>
      <c r="B122" s="325" t="str">
        <f>SourceData!J122</f>
        <v>Isabel Köhler</v>
      </c>
      <c r="C122" s="325">
        <f>SourceData!K122</f>
        <v>0.75</v>
      </c>
      <c r="D122" s="325">
        <f>(COUNTIF(Errors!$B$3:$B$3009,'Error Count'!B122))-((COUNTIFS(Errors!$B$3:$B$3009,'Error Count'!B122, (Errors!$I$3:$I$3009),"TV*")))</f>
        <v>4</v>
      </c>
      <c r="E122" s="325">
        <f t="shared" si="1"/>
        <v>5.333333333</v>
      </c>
    </row>
    <row r="123" ht="15.75" customHeight="1">
      <c r="A123" s="305">
        <v>0.0</v>
      </c>
      <c r="B123" s="305" t="str">
        <f>SourceData!J123</f>
        <v>Caroly Lepp</v>
      </c>
      <c r="C123" s="305">
        <f>SourceData!K123</f>
        <v>0.75</v>
      </c>
      <c r="D123" s="305">
        <f>(COUNTIF(Errors!$B$3:$B$3009,'Error Count'!B123))-((COUNTIFS(Errors!$B$3:$B$3009,'Error Count'!B123, (Errors!$I$3:$I$3009),"TV*")))</f>
        <v>3</v>
      </c>
      <c r="E123" s="305">
        <f t="shared" si="1"/>
        <v>4</v>
      </c>
    </row>
    <row r="124" ht="15.75" customHeight="1">
      <c r="A124" s="325">
        <v>0.0</v>
      </c>
      <c r="B124" s="325" t="str">
        <f>SourceData!J124</f>
        <v>Sofiia Hrytsiuk</v>
      </c>
      <c r="C124" s="325">
        <f>SourceData!K124</f>
        <v>0.75</v>
      </c>
      <c r="D124" s="325">
        <f>(COUNTIF(Errors!$B$3:$B$3009,'Error Count'!B124))-((COUNTIFS(Errors!$B$3:$B$3009,'Error Count'!B124, (Errors!$I$3:$I$3009),"TV*")))</f>
        <v>0</v>
      </c>
      <c r="E124" s="325">
        <f t="shared" si="1"/>
        <v>0</v>
      </c>
    </row>
    <row r="125" ht="15.75" customHeight="1">
      <c r="A125" s="305">
        <v>0.0</v>
      </c>
      <c r="B125" s="305" t="str">
        <f>SourceData!J125</f>
        <v>Aleksandra Onri</v>
      </c>
      <c r="C125" s="305">
        <f>SourceData!K125</f>
        <v>0.75</v>
      </c>
      <c r="D125" s="305">
        <f>(COUNTIF(Errors!$B$3:$B$3009,'Error Count'!B125))-((COUNTIFS(Errors!$B$3:$B$3009,'Error Count'!B125, (Errors!$I$3:$I$3009),"TV*")))</f>
        <v>2</v>
      </c>
      <c r="E125" s="305">
        <f t="shared" si="1"/>
        <v>2.666666667</v>
      </c>
    </row>
    <row r="126" ht="15.75" customHeight="1">
      <c r="A126" s="325">
        <v>0.0</v>
      </c>
      <c r="B126" s="325" t="str">
        <f>SourceData!J126</f>
        <v>Andrea Arsova</v>
      </c>
      <c r="C126" s="325">
        <f>SourceData!K126</f>
        <v>1</v>
      </c>
      <c r="D126" s="325">
        <f>(COUNTIF(Errors!$B$3:$B$3009,'Error Count'!B126))-((COUNTIFS(Errors!$B$3:$B$3009,'Error Count'!B126, (Errors!$I$3:$I$3009),"TV*")))</f>
        <v>0</v>
      </c>
      <c r="E126" s="325">
        <f t="shared" si="1"/>
        <v>0</v>
      </c>
    </row>
    <row r="127" ht="15.75" customHeight="1">
      <c r="A127" s="305">
        <v>0.0</v>
      </c>
      <c r="B127" s="305" t="str">
        <f>SourceData!J127</f>
        <v>Olha Kyrychenko</v>
      </c>
      <c r="C127" s="305">
        <f>SourceData!K127</f>
        <v>0.75</v>
      </c>
      <c r="D127" s="305">
        <f>(COUNTIF(Errors!$B$3:$B$3009,'Error Count'!B127))-((COUNTIFS(Errors!$B$3:$B$3009,'Error Count'!B127, (Errors!$I$3:$I$3009),"TV*")))</f>
        <v>1</v>
      </c>
      <c r="E127" s="305">
        <f t="shared" si="1"/>
        <v>1.333333333</v>
      </c>
    </row>
    <row r="128" ht="15.75" customHeight="1">
      <c r="A128" s="325">
        <v>0.0</v>
      </c>
      <c r="B128" s="325" t="str">
        <f>SourceData!J128</f>
        <v>Maria Vatsom</v>
      </c>
      <c r="C128" s="325">
        <f>SourceData!K128</f>
        <v>0.5</v>
      </c>
      <c r="D128" s="325">
        <f>(COUNTIF(Errors!$B$3:$B$3009,'Error Count'!B128))-((COUNTIFS(Errors!$B$3:$B$3009,'Error Count'!B128, (Errors!$I$3:$I$3009),"TV*")))</f>
        <v>3</v>
      </c>
      <c r="E128" s="325">
        <f t="shared" si="1"/>
        <v>6</v>
      </c>
    </row>
    <row r="129" ht="15.75" customHeight="1">
      <c r="A129" s="305">
        <v>0.0</v>
      </c>
      <c r="B129" s="305" t="str">
        <f>SourceData!J129</f>
        <v>Inna Tarakanova</v>
      </c>
      <c r="C129" s="305">
        <f>SourceData!K129</f>
        <v>1</v>
      </c>
      <c r="D129" s="305">
        <f>(COUNTIF(Errors!$B$3:$B$3009,'Error Count'!B129))-((COUNTIFS(Errors!$B$3:$B$3009,'Error Count'!B129, (Errors!$I$3:$I$3009),"TV*")))</f>
        <v>0</v>
      </c>
      <c r="E129" s="305">
        <f t="shared" si="1"/>
        <v>0</v>
      </c>
    </row>
    <row r="130" ht="15.75" customHeight="1">
      <c r="A130" s="325">
        <v>0.0</v>
      </c>
      <c r="B130" s="325" t="str">
        <f>SourceData!J130</f>
        <v>Kirke Kirs</v>
      </c>
      <c r="C130" s="325">
        <f>SourceData!K130</f>
        <v>0.75</v>
      </c>
      <c r="D130" s="325">
        <f>(COUNTIF(Errors!$B$3:$B$3009,'Error Count'!B130))-((COUNTIFS(Errors!$B$3:$B$3009,'Error Count'!B130, (Errors!$I$3:$I$3009),"TV*")))</f>
        <v>4</v>
      </c>
      <c r="E130" s="325">
        <f t="shared" si="1"/>
        <v>5.333333333</v>
      </c>
    </row>
    <row r="131" ht="15.75" customHeight="1">
      <c r="A131" s="305">
        <v>0.0</v>
      </c>
      <c r="B131" s="305" t="str">
        <f>SourceData!J131</f>
        <v>Alicia Bel-Haj </v>
      </c>
      <c r="C131" s="305">
        <f>SourceData!K131</f>
        <v>1</v>
      </c>
      <c r="D131" s="305">
        <f>(COUNTIF(Errors!$B$3:$B$3009,'Error Count'!B131))-((COUNTIFS(Errors!$B$3:$B$3009,'Error Count'!B131, (Errors!$I$3:$I$3009),"TV*")))</f>
        <v>6</v>
      </c>
      <c r="E131" s="305">
        <f t="shared" si="1"/>
        <v>6</v>
      </c>
    </row>
    <row r="132" ht="15.75" customHeight="1">
      <c r="A132" s="325">
        <v>0.0</v>
      </c>
      <c r="B132" s="325" t="str">
        <f>SourceData!J132</f>
        <v>Valeria Pomerants</v>
      </c>
      <c r="C132" s="325">
        <f>SourceData!K132</f>
        <v>0.75</v>
      </c>
      <c r="D132" s="325">
        <f>(COUNTIF(Errors!$B$3:$B$3009,'Error Count'!B132))-((COUNTIFS(Errors!$B$3:$B$3009,'Error Count'!B132, (Errors!$I$3:$I$3009),"TV*")))</f>
        <v>3</v>
      </c>
      <c r="E132" s="325">
        <f t="shared" si="1"/>
        <v>4</v>
      </c>
    </row>
    <row r="133" ht="15.75" customHeight="1">
      <c r="A133" s="305">
        <v>0.0</v>
      </c>
      <c r="B133" s="305" t="str">
        <f>SourceData!J133</f>
        <v>Miia Kerov</v>
      </c>
      <c r="C133" s="305">
        <f>SourceData!K133</f>
        <v>1</v>
      </c>
      <c r="D133" s="305">
        <f>(COUNTIF(Errors!$B$3:$B$3009,'Error Count'!B133))-((COUNTIFS(Errors!$B$3:$B$3009,'Error Count'!B133, (Errors!$I$3:$I$3009),"TV*")))</f>
        <v>0</v>
      </c>
      <c r="E133" s="305">
        <f t="shared" si="1"/>
        <v>0</v>
      </c>
    </row>
    <row r="134" ht="15.75" customHeight="1">
      <c r="A134" s="325">
        <v>0.0</v>
      </c>
      <c r="B134" s="325" t="str">
        <f>SourceData!J134</f>
        <v>Anita Medvedeva</v>
      </c>
      <c r="C134" s="325">
        <f>SourceData!K134</f>
        <v>0.75</v>
      </c>
      <c r="D134" s="325">
        <f>(COUNTIF(Errors!$B$3:$B$3009,'Error Count'!B134))-((COUNTIFS(Errors!$B$3:$B$3009,'Error Count'!B134, (Errors!$I$3:$I$3009),"TV*")))</f>
        <v>0</v>
      </c>
      <c r="E134" s="325">
        <f t="shared" si="1"/>
        <v>0</v>
      </c>
    </row>
    <row r="135" ht="15.75" customHeight="1">
      <c r="A135" s="305">
        <v>0.0</v>
      </c>
      <c r="B135" s="305" t="str">
        <f>SourceData!J135</f>
        <v>Aleksandra Borovkova</v>
      </c>
      <c r="C135" s="305">
        <f>SourceData!K135</f>
        <v>0.5</v>
      </c>
      <c r="D135" s="305">
        <f>(COUNTIF(Errors!$B$3:$B$3009,'Error Count'!B135))-((COUNTIFS(Errors!$B$3:$B$3009,'Error Count'!B135, (Errors!$I$3:$I$3009),"TV*")))</f>
        <v>2</v>
      </c>
      <c r="E135" s="305">
        <f t="shared" si="1"/>
        <v>4</v>
      </c>
    </row>
    <row r="136" ht="15.75" customHeight="1">
      <c r="A136" s="325">
        <v>0.0</v>
      </c>
      <c r="B136" s="325" t="str">
        <f>SourceData!J136</f>
        <v>Anete Li Ljäkin</v>
      </c>
      <c r="C136" s="325">
        <f>SourceData!K136</f>
        <v>0.5</v>
      </c>
      <c r="D136" s="325">
        <f>(COUNTIF(Errors!$B$3:$B$3009,'Error Count'!B136))-((COUNTIFS(Errors!$B$3:$B$3009,'Error Count'!B136, (Errors!$I$3:$I$3009),"TV*")))</f>
        <v>0</v>
      </c>
      <c r="E136" s="325">
        <f t="shared" si="1"/>
        <v>0</v>
      </c>
    </row>
    <row r="137" ht="15.75" customHeight="1">
      <c r="A137" s="305">
        <v>0.0</v>
      </c>
      <c r="B137" s="305" t="str">
        <f>SourceData!J137</f>
        <v>Sandra Kuulre</v>
      </c>
      <c r="C137" s="305">
        <f>SourceData!K137</f>
        <v>1</v>
      </c>
      <c r="D137" s="305">
        <f>(COUNTIF(Errors!$B$3:$B$3009,'Error Count'!B137))-((COUNTIFS(Errors!$B$3:$B$3009,'Error Count'!B137, (Errors!$I$3:$I$3009),"TV*")))</f>
        <v>2</v>
      </c>
      <c r="E137" s="305">
        <f t="shared" si="1"/>
        <v>2</v>
      </c>
    </row>
    <row r="138" ht="15.75" customHeight="1">
      <c r="A138" s="325">
        <v>0.0</v>
      </c>
      <c r="B138" s="325" t="str">
        <f>SourceData!J138</f>
        <v>Aleksandra Plikhta</v>
      </c>
      <c r="C138" s="325">
        <f>SourceData!K138</f>
        <v>0.75</v>
      </c>
      <c r="D138" s="325">
        <f>(COUNTIF(Errors!$B$3:$B$3009,'Error Count'!B138))-((COUNTIFS(Errors!$B$3:$B$3009,'Error Count'!B138, (Errors!$I$3:$I$3009),"TV*")))</f>
        <v>0</v>
      </c>
      <c r="E138" s="325">
        <f t="shared" si="1"/>
        <v>0</v>
      </c>
    </row>
    <row r="139" ht="15.75" customHeight="1">
      <c r="A139" s="305">
        <v>0.0</v>
      </c>
      <c r="B139" s="305" t="str">
        <f>SourceData!J139</f>
        <v>Kea-Lisette Toomberg</v>
      </c>
      <c r="C139" s="305">
        <f>SourceData!K139</f>
        <v>0.5</v>
      </c>
      <c r="D139" s="305">
        <f>(COUNTIF(Errors!$B$3:$B$3009,'Error Count'!B139))-((COUNTIFS(Errors!$B$3:$B$3009,'Error Count'!B139, (Errors!$I$3:$I$3009),"TV*")))</f>
        <v>0</v>
      </c>
      <c r="E139" s="305">
        <f t="shared" si="1"/>
        <v>0</v>
      </c>
    </row>
    <row r="140" ht="15.75" customHeight="1">
      <c r="A140" s="325">
        <v>0.0</v>
      </c>
      <c r="B140" s="325" t="str">
        <f>SourceData!J140</f>
        <v>Karina Jõgi</v>
      </c>
      <c r="C140" s="325">
        <f>SourceData!K140</f>
        <v>1</v>
      </c>
      <c r="D140" s="325">
        <f>(COUNTIF(Errors!$B$3:$B$3009,'Error Count'!B140))-((COUNTIFS(Errors!$B$3:$B$3009,'Error Count'!B140, (Errors!$I$3:$I$3009),"TV*")))</f>
        <v>4</v>
      </c>
      <c r="E140" s="325">
        <f t="shared" si="1"/>
        <v>4</v>
      </c>
    </row>
    <row r="141" ht="15.75" customHeight="1">
      <c r="A141" s="305">
        <v>0.0</v>
      </c>
      <c r="B141" s="305" t="str">
        <f>SourceData!J141</f>
        <v/>
      </c>
      <c r="C141" s="305" t="str">
        <f>SourceData!K141</f>
        <v/>
      </c>
      <c r="D141" s="305">
        <f>(COUNTIF(Errors!$B$3:$B$3009,'Error Count'!B141))-((COUNTIFS(Errors!$B$3:$B$3009,'Error Count'!B141, (Errors!$I$3:$I$3009),"TV*")))</f>
        <v>0</v>
      </c>
      <c r="E141" s="305" t="str">
        <f t="shared" si="1"/>
        <v>#DIV/0!</v>
      </c>
    </row>
    <row r="142" ht="15.75" customHeight="1">
      <c r="A142" s="325">
        <v>0.0</v>
      </c>
      <c r="B142" s="325" t="str">
        <f>SourceData!J142</f>
        <v/>
      </c>
      <c r="C142" s="325" t="str">
        <f>SourceData!K142</f>
        <v/>
      </c>
      <c r="D142" s="325">
        <f>(COUNTIF(Errors!$B$3:$B$3009,'Error Count'!B142))-((COUNTIFS(Errors!$B$3:$B$3009,'Error Count'!B142, (Errors!$I$3:$I$3009),"TV*")))</f>
        <v>0</v>
      </c>
      <c r="E142" s="325" t="str">
        <f t="shared" si="1"/>
        <v>#DIV/0!</v>
      </c>
    </row>
    <row r="143" ht="15.75" customHeight="1">
      <c r="A143" s="305">
        <v>0.0</v>
      </c>
      <c r="B143" s="305" t="str">
        <f>SourceData!J143</f>
        <v/>
      </c>
      <c r="C143" s="305" t="str">
        <f>SourceData!K143</f>
        <v/>
      </c>
      <c r="D143" s="305">
        <f>(COUNTIF(Errors!$B$3:$B$3009,'Error Count'!B143))-((COUNTIFS(Errors!$B$3:$B$3009,'Error Count'!B143, (Errors!$I$3:$I$3009),"TV*")))</f>
        <v>0</v>
      </c>
      <c r="E143" s="305" t="str">
        <f t="shared" si="1"/>
        <v>#DIV/0!</v>
      </c>
    </row>
    <row r="144" ht="15.75" customHeight="1">
      <c r="A144" s="325">
        <v>0.0</v>
      </c>
      <c r="B144" s="325" t="str">
        <f>SourceData!J144</f>
        <v/>
      </c>
      <c r="C144" s="325" t="str">
        <f>SourceData!K144</f>
        <v/>
      </c>
      <c r="D144" s="325">
        <f>(COUNTIF(Errors!$B$3:$B$3009,'Error Count'!B144))-((COUNTIFS(Errors!$B$3:$B$3009,'Error Count'!B144, (Errors!$I$3:$I$3009),"TV*")))</f>
        <v>0</v>
      </c>
      <c r="E144" s="325" t="str">
        <f t="shared" si="1"/>
        <v>#DIV/0!</v>
      </c>
    </row>
    <row r="145" ht="15.75" customHeight="1">
      <c r="A145" s="305">
        <v>0.0</v>
      </c>
      <c r="B145" s="305" t="str">
        <f>SourceData!J145</f>
        <v/>
      </c>
      <c r="C145" s="305" t="str">
        <f>SourceData!K145</f>
        <v/>
      </c>
      <c r="D145" s="305">
        <f>(COUNTIF(Errors!$B$3:$B$3009,'Error Count'!B145))-((COUNTIFS(Errors!$B$3:$B$3009,'Error Count'!B145, (Errors!$I$3:$I$3009),"TV*")))</f>
        <v>0</v>
      </c>
      <c r="E145" s="305" t="str">
        <f t="shared" si="1"/>
        <v>#DIV/0!</v>
      </c>
    </row>
    <row r="146" ht="15.75" customHeight="1">
      <c r="A146" s="325">
        <v>0.0</v>
      </c>
      <c r="B146" s="325" t="str">
        <f>SourceData!J146</f>
        <v/>
      </c>
      <c r="C146" s="325" t="str">
        <f>SourceData!K146</f>
        <v/>
      </c>
      <c r="D146" s="325">
        <f>(COUNTIF(Errors!$B$3:$B$3009,'Error Count'!B146))-((COUNTIFS(Errors!$B$3:$B$3009,'Error Count'!B146, (Errors!$I$3:$I$3009),"TV*")))</f>
        <v>0</v>
      </c>
      <c r="E146" s="325" t="str">
        <f t="shared" si="1"/>
        <v>#DIV/0!</v>
      </c>
    </row>
    <row r="147" ht="15.75" customHeight="1">
      <c r="A147" s="305">
        <v>0.0</v>
      </c>
      <c r="B147" s="305" t="str">
        <f>SourceData!J147</f>
        <v/>
      </c>
      <c r="C147" s="305" t="str">
        <f>SourceData!K147</f>
        <v/>
      </c>
      <c r="D147" s="305">
        <f>(COUNTIF(Errors!$B$3:$B$3009,'Error Count'!B147))-((COUNTIFS(Errors!$B$3:$B$3009,'Error Count'!B147, (Errors!$I$3:$I$3009),"TV*")))</f>
        <v>0</v>
      </c>
      <c r="E147" s="305" t="str">
        <f t="shared" si="1"/>
        <v>#DIV/0!</v>
      </c>
    </row>
    <row r="148" ht="15.75" customHeight="1">
      <c r="A148" s="325">
        <v>0.0</v>
      </c>
      <c r="B148" s="325" t="str">
        <f>SourceData!J148</f>
        <v/>
      </c>
      <c r="C148" s="325" t="str">
        <f>SourceData!K148</f>
        <v/>
      </c>
      <c r="D148" s="325">
        <f>(COUNTIF(Errors!$B$3:$B$3009,'Error Count'!B148))-((COUNTIFS(Errors!$B$3:$B$3009,'Error Count'!B148, (Errors!$I$3:$I$3009),"TV*")))</f>
        <v>0</v>
      </c>
      <c r="E148" s="325" t="str">
        <f t="shared" si="1"/>
        <v>#DIV/0!</v>
      </c>
    </row>
    <row r="149" ht="15.75" customHeight="1">
      <c r="A149" s="305">
        <v>0.0</v>
      </c>
      <c r="B149" s="305" t="str">
        <f>SourceData!J149</f>
        <v/>
      </c>
      <c r="C149" s="305" t="str">
        <f>SourceData!K149</f>
        <v/>
      </c>
      <c r="D149" s="305">
        <f>(COUNTIF(Errors!$B$3:$B$3009,'Error Count'!B149))-((COUNTIFS(Errors!$B$3:$B$3009,'Error Count'!B149, (Errors!$I$3:$I$3009),"TV*")))</f>
        <v>0</v>
      </c>
      <c r="E149" s="305" t="str">
        <f t="shared" si="1"/>
        <v>#DIV/0!</v>
      </c>
    </row>
    <row r="150" ht="15.75" customHeight="1">
      <c r="A150" s="325">
        <v>0.0</v>
      </c>
      <c r="B150" s="325" t="str">
        <f>SourceData!J150</f>
        <v/>
      </c>
      <c r="C150" s="325" t="str">
        <f>SourceData!K150</f>
        <v/>
      </c>
      <c r="D150" s="325">
        <f>(COUNTIF(Errors!$B$3:$B$3009,'Error Count'!B150))-((COUNTIFS(Errors!$B$3:$B$3009,'Error Count'!B150, (Errors!$I$3:$I$3009),"TV*")))</f>
        <v>0</v>
      </c>
      <c r="E150" s="325" t="str">
        <f t="shared" si="1"/>
        <v>#DIV/0!</v>
      </c>
    </row>
    <row r="151" ht="15.75" customHeight="1">
      <c r="A151" s="305">
        <v>0.0</v>
      </c>
      <c r="B151" s="305" t="str">
        <f>SourceData!J151</f>
        <v/>
      </c>
      <c r="C151" s="305" t="str">
        <f>SourceData!K151</f>
        <v/>
      </c>
      <c r="D151" s="305">
        <f>(COUNTIF(Errors!$B$3:$B$3009,'Error Count'!B151))-((COUNTIFS(Errors!$B$3:$B$3009,'Error Count'!B151, (Errors!$I$3:$I$3009),"TV*")))</f>
        <v>0</v>
      </c>
      <c r="E151" s="305" t="str">
        <f t="shared" si="1"/>
        <v>#DIV/0!</v>
      </c>
    </row>
    <row r="152" ht="15.75" customHeight="1">
      <c r="A152" s="325">
        <v>0.0</v>
      </c>
      <c r="B152" s="325" t="str">
        <f>SourceData!J152</f>
        <v/>
      </c>
      <c r="C152" s="325" t="str">
        <f>SourceData!K152</f>
        <v/>
      </c>
      <c r="D152" s="325">
        <f>(COUNTIF(Errors!$B$3:$B$3009,'Error Count'!B152))-((COUNTIFS(Errors!$B$3:$B$3009,'Error Count'!B152, (Errors!$I$3:$I$3009),"TV*")))</f>
        <v>0</v>
      </c>
      <c r="E152" s="325" t="str">
        <f t="shared" si="1"/>
        <v>#DIV/0!</v>
      </c>
    </row>
    <row r="153" ht="15.75" customHeight="1">
      <c r="A153" s="305">
        <v>0.0</v>
      </c>
      <c r="B153" s="305" t="str">
        <f>SourceData!J153</f>
        <v/>
      </c>
      <c r="C153" s="305" t="str">
        <f>SourceData!K153</f>
        <v/>
      </c>
      <c r="D153" s="305">
        <f>(COUNTIF(Errors!$B$3:$B$3009,'Error Count'!B153))-((COUNTIFS(Errors!$B$3:$B$3009,'Error Count'!B153, (Errors!$I$3:$I$3009),"TV*")))</f>
        <v>0</v>
      </c>
      <c r="E153" s="305" t="str">
        <f t="shared" si="1"/>
        <v>#DIV/0!</v>
      </c>
    </row>
    <row r="154" ht="15.75" customHeight="1">
      <c r="A154" s="325">
        <v>0.0</v>
      </c>
      <c r="B154" s="325" t="str">
        <f>SourceData!J154</f>
        <v/>
      </c>
      <c r="C154" s="325" t="str">
        <f>SourceData!K154</f>
        <v/>
      </c>
      <c r="D154" s="325">
        <f>(COUNTIF(Errors!$B$3:$B$3009,'Error Count'!B154))-((COUNTIFS(Errors!$B$3:$B$3009,'Error Count'!B154, (Errors!$I$3:$I$3009),"TV*")))</f>
        <v>0</v>
      </c>
      <c r="E154" s="325" t="str">
        <f t="shared" si="1"/>
        <v>#DIV/0!</v>
      </c>
    </row>
    <row r="155" ht="15.75" customHeight="1">
      <c r="A155" s="305">
        <v>0.0</v>
      </c>
      <c r="B155" s="305" t="str">
        <f>SourceData!J155</f>
        <v/>
      </c>
      <c r="C155" s="305" t="str">
        <f>SourceData!K155</f>
        <v/>
      </c>
      <c r="D155" s="305">
        <f>(COUNTIF(Errors!$B$3:$B$3009,'Error Count'!B155))-((COUNTIFS(Errors!$B$3:$B$3009,'Error Count'!B155, (Errors!$I$3:$I$3009),"TV*")))</f>
        <v>0</v>
      </c>
      <c r="E155" s="305" t="str">
        <f t="shared" si="1"/>
        <v>#DIV/0!</v>
      </c>
    </row>
    <row r="156" ht="15.75" customHeight="1">
      <c r="A156" s="325">
        <v>0.0</v>
      </c>
      <c r="B156" s="325" t="str">
        <f>SourceData!J156</f>
        <v/>
      </c>
      <c r="C156" s="325" t="str">
        <f>SourceData!K156</f>
        <v/>
      </c>
      <c r="D156" s="325">
        <f>(COUNTIF(Errors!$B$3:$B$3009,'Error Count'!B156))-((COUNTIFS(Errors!$B$3:$B$3009,'Error Count'!B156, (Errors!$I$3:$I$3009),"TV*")))</f>
        <v>0</v>
      </c>
      <c r="E156" s="325" t="str">
        <f t="shared" si="1"/>
        <v>#DIV/0!</v>
      </c>
    </row>
    <row r="157" ht="15.75" customHeight="1">
      <c r="A157" s="305">
        <v>0.0</v>
      </c>
      <c r="B157" s="305" t="str">
        <f>SourceData!J157</f>
        <v/>
      </c>
      <c r="C157" s="305" t="str">
        <f>SourceData!K157</f>
        <v/>
      </c>
      <c r="D157" s="305">
        <f>(COUNTIF(Errors!$B$3:$B$3009,'Error Count'!B157))-((COUNTIFS(Errors!$B$3:$B$3009,'Error Count'!B157, (Errors!$I$3:$I$3009),"TV*")))</f>
        <v>0</v>
      </c>
      <c r="E157" s="305" t="str">
        <f t="shared" si="1"/>
        <v>#DIV/0!</v>
      </c>
    </row>
    <row r="158" ht="15.75" customHeight="1">
      <c r="A158" s="325">
        <v>0.0</v>
      </c>
      <c r="B158" s="325" t="str">
        <f>SourceData!J158</f>
        <v/>
      </c>
      <c r="C158" s="325" t="str">
        <f>SourceData!K158</f>
        <v/>
      </c>
      <c r="D158" s="325">
        <f>(COUNTIF(Errors!$B$3:$B$3009,'Error Count'!B158))-((COUNTIFS(Errors!$B$3:$B$3009,'Error Count'!B158, (Errors!$I$3:$I$3009),"TV*")))</f>
        <v>0</v>
      </c>
      <c r="E158" s="325" t="str">
        <f t="shared" si="1"/>
        <v>#DIV/0!</v>
      </c>
    </row>
    <row r="159" ht="15.75" customHeight="1">
      <c r="A159" s="305">
        <v>0.0</v>
      </c>
      <c r="B159" s="305" t="str">
        <f>SourceData!J159</f>
        <v/>
      </c>
      <c r="C159" s="305" t="str">
        <f>SourceData!K159</f>
        <v/>
      </c>
      <c r="D159" s="305">
        <f>(COUNTIF(Errors!$B$3:$B$3009,'Error Count'!B159))-((COUNTIFS(Errors!$B$3:$B$3009,'Error Count'!B159, (Errors!$I$3:$I$3009),"TV*")))</f>
        <v>0</v>
      </c>
      <c r="E159" s="305" t="str">
        <f t="shared" si="1"/>
        <v>#DIV/0!</v>
      </c>
    </row>
    <row r="160" ht="15.75" customHeight="1">
      <c r="A160" s="325">
        <v>0.0</v>
      </c>
      <c r="B160" s="325" t="str">
        <f>SourceData!J160</f>
        <v/>
      </c>
      <c r="C160" s="325" t="str">
        <f>SourceData!K160</f>
        <v/>
      </c>
      <c r="D160" s="325">
        <f>(COUNTIF(Errors!$B$3:$B$3009,'Error Count'!B160))-((COUNTIFS(Errors!$B$3:$B$3009,'Error Count'!B160, (Errors!$I$3:$I$3009),"TV*")))</f>
        <v>0</v>
      </c>
      <c r="E160" s="325" t="str">
        <f t="shared" si="1"/>
        <v>#DIV/0!</v>
      </c>
    </row>
    <row r="161" ht="15.75" customHeight="1">
      <c r="A161" s="305">
        <v>0.0</v>
      </c>
      <c r="B161" s="305" t="str">
        <f>SourceData!J161</f>
        <v/>
      </c>
      <c r="C161" s="305" t="str">
        <f>SourceData!K161</f>
        <v/>
      </c>
      <c r="D161" s="305">
        <f>(COUNTIF(Errors!$B$3:$B$3009,'Error Count'!B161))-((COUNTIFS(Errors!$B$3:$B$3009,'Error Count'!B161, (Errors!$I$3:$I$3009),"TV*")))</f>
        <v>0</v>
      </c>
      <c r="E161" s="305" t="str">
        <f t="shared" si="1"/>
        <v>#DIV/0!</v>
      </c>
    </row>
    <row r="162" ht="15.75" customHeight="1">
      <c r="A162" s="325">
        <v>0.0</v>
      </c>
      <c r="B162" s="325" t="str">
        <f>SourceData!J162</f>
        <v/>
      </c>
      <c r="C162" s="325" t="str">
        <f>SourceData!K162</f>
        <v/>
      </c>
      <c r="D162" s="325">
        <f>(COUNTIF(Errors!$B$3:$B$3009,'Error Count'!B162))-((COUNTIFS(Errors!$B$3:$B$3009,'Error Count'!B162, (Errors!$I$3:$I$3009),"TV*")))</f>
        <v>0</v>
      </c>
      <c r="E162" s="325" t="str">
        <f t="shared" si="1"/>
        <v>#DIV/0!</v>
      </c>
    </row>
    <row r="163" ht="15.75" customHeight="1">
      <c r="A163" s="305">
        <v>0.0</v>
      </c>
      <c r="B163" s="305" t="str">
        <f>SourceData!J163</f>
        <v/>
      </c>
      <c r="C163" s="305" t="str">
        <f>SourceData!K163</f>
        <v/>
      </c>
      <c r="D163" s="305">
        <f>(COUNTIF(Errors!$B$3:$B$3009,'Error Count'!B163))-((COUNTIFS(Errors!$B$3:$B$3009,'Error Count'!B163, (Errors!$I$3:$I$3009),"TV*")))</f>
        <v>0</v>
      </c>
      <c r="E163" s="305" t="str">
        <f t="shared" si="1"/>
        <v>#DIV/0!</v>
      </c>
    </row>
    <row r="164" ht="15.75" customHeight="1">
      <c r="A164" s="325">
        <v>0.0</v>
      </c>
      <c r="B164" s="325" t="str">
        <f>SourceData!J164</f>
        <v/>
      </c>
      <c r="C164" s="325" t="str">
        <f>SourceData!K164</f>
        <v/>
      </c>
      <c r="D164" s="325">
        <f>(COUNTIF(Errors!$B$3:$B$3009,'Error Count'!B164))-((COUNTIFS(Errors!$B$3:$B$3009,'Error Count'!B164, (Errors!$I$3:$I$3009),"TV*")))</f>
        <v>0</v>
      </c>
      <c r="E164" s="325" t="str">
        <f t="shared" si="1"/>
        <v>#DIV/0!</v>
      </c>
    </row>
    <row r="165" ht="15.75" customHeight="1">
      <c r="A165" s="305">
        <v>0.0</v>
      </c>
      <c r="B165" s="305" t="str">
        <f>SourceData!J165</f>
        <v/>
      </c>
      <c r="C165" s="305" t="str">
        <f>SourceData!K165</f>
        <v/>
      </c>
      <c r="D165" s="305">
        <f>(COUNTIF(Errors!$B$3:$B$3009,'Error Count'!B165))-((COUNTIFS(Errors!$B$3:$B$3009,'Error Count'!B165, (Errors!$I$3:$I$3009),"TV*")))</f>
        <v>0</v>
      </c>
      <c r="E165" s="305" t="str">
        <f t="shared" si="1"/>
        <v>#DIV/0!</v>
      </c>
    </row>
    <row r="166" ht="15.75" customHeight="1">
      <c r="A166" s="325">
        <v>0.0</v>
      </c>
      <c r="B166" s="325" t="str">
        <f>SourceData!J166</f>
        <v/>
      </c>
      <c r="C166" s="325" t="str">
        <f>SourceData!K166</f>
        <v/>
      </c>
      <c r="D166" s="325">
        <f>(COUNTIF(Errors!$B$3:$B$3009,'Error Count'!B166))-((COUNTIFS(Errors!$B$3:$B$3009,'Error Count'!B166, (Errors!$I$3:$I$3009),"TV*")))</f>
        <v>0</v>
      </c>
      <c r="E166" s="325" t="str">
        <f t="shared" si="1"/>
        <v>#DIV/0!</v>
      </c>
    </row>
    <row r="167" ht="15.75" customHeight="1">
      <c r="A167" s="305">
        <v>0.0</v>
      </c>
      <c r="B167" s="305" t="str">
        <f>SourceData!J167</f>
        <v/>
      </c>
      <c r="C167" s="305" t="str">
        <f>SourceData!K167</f>
        <v/>
      </c>
      <c r="D167" s="305">
        <f>(COUNTIF(Errors!$B$3:$B$3009,'Error Count'!B167))-((COUNTIFS(Errors!$B$3:$B$3009,'Error Count'!B167, (Errors!$I$3:$I$3009),"TV*")))</f>
        <v>0</v>
      </c>
      <c r="E167" s="305" t="str">
        <f t="shared" si="1"/>
        <v>#DIV/0!</v>
      </c>
    </row>
    <row r="168" ht="15.75" customHeight="1">
      <c r="A168" s="325">
        <v>0.0</v>
      </c>
      <c r="B168" s="325" t="str">
        <f>SourceData!J168</f>
        <v/>
      </c>
      <c r="C168" s="325" t="str">
        <f>SourceData!K168</f>
        <v/>
      </c>
      <c r="D168" s="325">
        <f>(COUNTIF(Errors!$B$3:$B$3009,'Error Count'!B168))-((COUNTIFS(Errors!$B$3:$B$3009,'Error Count'!B168, (Errors!$I$3:$I$3009),"TV*")))</f>
        <v>0</v>
      </c>
      <c r="E168" s="325" t="str">
        <f t="shared" si="1"/>
        <v>#DIV/0!</v>
      </c>
    </row>
    <row r="169" ht="15.75" customHeight="1">
      <c r="A169" s="305">
        <v>0.0</v>
      </c>
      <c r="B169" s="305" t="str">
        <f>SourceData!J169</f>
        <v/>
      </c>
      <c r="C169" s="305" t="str">
        <f>SourceData!K169</f>
        <v/>
      </c>
      <c r="D169" s="305">
        <f>(COUNTIF(Errors!$B$3:$B$3009,'Error Count'!B169))-((COUNTIFS(Errors!$B$3:$B$3009,'Error Count'!B169, (Errors!$I$3:$I$3009),"TV*")))</f>
        <v>0</v>
      </c>
      <c r="E169" s="305" t="str">
        <f t="shared" si="1"/>
        <v>#DIV/0!</v>
      </c>
    </row>
    <row r="170" ht="15.75" customHeight="1">
      <c r="A170" s="325">
        <v>0.0</v>
      </c>
      <c r="B170" s="325" t="str">
        <f>SourceData!J170</f>
        <v/>
      </c>
      <c r="C170" s="325" t="str">
        <f>SourceData!K170</f>
        <v/>
      </c>
      <c r="D170" s="325">
        <f>(COUNTIF(Errors!$B$3:$B$3009,'Error Count'!B170))-((COUNTIFS(Errors!$B$3:$B$3009,'Error Count'!B170, (Errors!$I$3:$I$3009),"TV*")))</f>
        <v>0</v>
      </c>
      <c r="E170" s="325" t="str">
        <f t="shared" si="1"/>
        <v>#DIV/0!</v>
      </c>
    </row>
    <row r="171" ht="15.75" customHeight="1">
      <c r="A171" s="305">
        <v>0.0</v>
      </c>
      <c r="B171" s="305" t="str">
        <f>SourceData!J171</f>
        <v/>
      </c>
      <c r="C171" s="305" t="str">
        <f>SourceData!K171</f>
        <v/>
      </c>
      <c r="D171" s="305">
        <f>(COUNTIF(Errors!$B$3:$B$3009,'Error Count'!B171))-((COUNTIFS(Errors!$B$3:$B$3009,'Error Count'!B171, (Errors!$I$3:$I$3009),"TV*")))</f>
        <v>0</v>
      </c>
      <c r="E171" s="305" t="str">
        <f t="shared" si="1"/>
        <v>#DIV/0!</v>
      </c>
    </row>
    <row r="172" ht="15.75" customHeight="1">
      <c r="A172" s="325">
        <v>0.0</v>
      </c>
      <c r="B172" s="325" t="str">
        <f>SourceData!J172</f>
        <v/>
      </c>
      <c r="C172" s="325" t="str">
        <f>SourceData!K172</f>
        <v/>
      </c>
      <c r="D172" s="325">
        <f>(COUNTIF(Errors!$B$3:$B$3009,'Error Count'!B172))-((COUNTIFS(Errors!$B$3:$B$3009,'Error Count'!B172, (Errors!$I$3:$I$3009),"TV*")))</f>
        <v>0</v>
      </c>
      <c r="E172" s="325" t="str">
        <f t="shared" si="1"/>
        <v>#DIV/0!</v>
      </c>
    </row>
    <row r="173" ht="15.75" customHeight="1">
      <c r="A173" s="305">
        <v>0.0</v>
      </c>
      <c r="B173" s="305" t="str">
        <f>SourceData!J173</f>
        <v/>
      </c>
      <c r="C173" s="305" t="str">
        <f>SourceData!K173</f>
        <v/>
      </c>
      <c r="D173" s="305">
        <f>(COUNTIF(Errors!$B$3:$B$3009,'Error Count'!B173))-((COUNTIFS(Errors!$B$3:$B$3009,'Error Count'!B173, (Errors!$I$3:$I$3009),"TV*")))</f>
        <v>0</v>
      </c>
      <c r="E173" s="305" t="str">
        <f t="shared" si="1"/>
        <v>#DIV/0!</v>
      </c>
    </row>
    <row r="174" ht="15.75" customHeight="1">
      <c r="A174" s="325">
        <v>0.0</v>
      </c>
      <c r="B174" s="325" t="str">
        <f>SourceData!J174</f>
        <v/>
      </c>
      <c r="C174" s="325" t="str">
        <f>SourceData!K174</f>
        <v/>
      </c>
      <c r="D174" s="325">
        <f>(COUNTIF(Errors!$B$3:$B$3009,'Error Count'!B174))-((COUNTIFS(Errors!$B$3:$B$3009,'Error Count'!B174, (Errors!$I$3:$I$3009),"TV*")))</f>
        <v>0</v>
      </c>
      <c r="E174" s="325" t="str">
        <f t="shared" si="1"/>
        <v>#DIV/0!</v>
      </c>
    </row>
    <row r="175" ht="15.75" customHeight="1">
      <c r="A175" s="305">
        <v>0.0</v>
      </c>
      <c r="B175" s="305" t="str">
        <f>SourceData!J175</f>
        <v/>
      </c>
      <c r="C175" s="305" t="str">
        <f>SourceData!K175</f>
        <v/>
      </c>
      <c r="D175" s="305">
        <f>(COUNTIF(Errors!$B$3:$B$3009,'Error Count'!B175))-((COUNTIFS(Errors!$B$3:$B$3009,'Error Count'!B175, (Errors!$I$3:$I$3009),"TV*")))</f>
        <v>0</v>
      </c>
      <c r="E175" s="305" t="str">
        <f t="shared" si="1"/>
        <v>#DIV/0!</v>
      </c>
    </row>
    <row r="176" ht="15.75" customHeight="1">
      <c r="A176" s="325">
        <v>0.0</v>
      </c>
      <c r="B176" s="325" t="str">
        <f>SourceData!J176</f>
        <v/>
      </c>
      <c r="C176" s="325" t="str">
        <f>SourceData!K176</f>
        <v/>
      </c>
      <c r="D176" s="325">
        <f>(COUNTIF(Errors!$B$3:$B$3009,'Error Count'!B176))-((COUNTIFS(Errors!$B$3:$B$3009,'Error Count'!B176, (Errors!$I$3:$I$3009),"TV*")))</f>
        <v>0</v>
      </c>
      <c r="E176" s="325" t="str">
        <f t="shared" si="1"/>
        <v>#DIV/0!</v>
      </c>
    </row>
    <row r="177" ht="15.75" customHeight="1">
      <c r="A177" s="305">
        <v>0.0</v>
      </c>
      <c r="B177" s="305" t="str">
        <f>SourceData!J177</f>
        <v/>
      </c>
      <c r="C177" s="305" t="str">
        <f>SourceData!K177</f>
        <v/>
      </c>
      <c r="D177" s="305">
        <f>(COUNTIF(Errors!$B$3:$B$3009,'Error Count'!B177))-((COUNTIFS(Errors!$B$3:$B$3009,'Error Count'!B177, (Errors!$I$3:$I$3009),"TV*")))</f>
        <v>0</v>
      </c>
      <c r="E177" s="305" t="str">
        <f t="shared" si="1"/>
        <v>#DIV/0!</v>
      </c>
    </row>
    <row r="178" ht="15.75" customHeight="1">
      <c r="A178" s="325">
        <v>0.0</v>
      </c>
      <c r="B178" s="325" t="str">
        <f>SourceData!J178</f>
        <v/>
      </c>
      <c r="C178" s="325" t="str">
        <f>SourceData!K178</f>
        <v/>
      </c>
      <c r="D178" s="325">
        <f>(COUNTIF(Errors!$B$3:$B$3009,'Error Count'!B178))-((COUNTIFS(Errors!$B$3:$B$3009,'Error Count'!B178, (Errors!$I$3:$I$3009),"TV*")))</f>
        <v>0</v>
      </c>
      <c r="E178" s="325" t="str">
        <f t="shared" si="1"/>
        <v>#DIV/0!</v>
      </c>
    </row>
    <row r="179" ht="15.75" customHeight="1">
      <c r="A179" s="305">
        <v>0.0</v>
      </c>
      <c r="B179" s="305" t="str">
        <f>SourceData!J179</f>
        <v/>
      </c>
      <c r="C179" s="305" t="str">
        <f>SourceData!K179</f>
        <v/>
      </c>
      <c r="D179" s="305">
        <f>(COUNTIF(Errors!$B$3:$B$3009,'Error Count'!B179))-((COUNTIFS(Errors!$B$3:$B$3009,'Error Count'!B179, (Errors!$I$3:$I$3009),"TV*")))</f>
        <v>0</v>
      </c>
      <c r="E179" s="305" t="str">
        <f t="shared" si="1"/>
        <v>#DIV/0!</v>
      </c>
    </row>
    <row r="180" ht="15.75" customHeight="1">
      <c r="A180" s="325">
        <v>0.0</v>
      </c>
      <c r="B180" s="325" t="str">
        <f>SourceData!J180</f>
        <v/>
      </c>
      <c r="C180" s="325" t="str">
        <f>SourceData!K180</f>
        <v/>
      </c>
      <c r="D180" s="325">
        <f>(COUNTIF(Errors!$B$3:$B$3009,'Error Count'!B180))-((COUNTIFS(Errors!$B$3:$B$3009,'Error Count'!B180, (Errors!$I$3:$I$3009),"TV*")))</f>
        <v>0</v>
      </c>
      <c r="E180" s="325" t="str">
        <f t="shared" si="1"/>
        <v>#DIV/0!</v>
      </c>
    </row>
    <row r="181" ht="15.75" customHeight="1">
      <c r="A181" s="305">
        <v>0.0</v>
      </c>
      <c r="B181" s="305" t="str">
        <f>SourceData!J181</f>
        <v/>
      </c>
      <c r="C181" s="305" t="str">
        <f>SourceData!K181</f>
        <v/>
      </c>
      <c r="D181" s="305">
        <f>(COUNTIF(Errors!$B$3:$B$3009,'Error Count'!B181))-((COUNTIFS(Errors!$B$3:$B$3009,'Error Count'!B181, (Errors!$I$3:$I$3009),"TV*")))</f>
        <v>0</v>
      </c>
      <c r="E181" s="305" t="str">
        <f t="shared" si="1"/>
        <v>#DIV/0!</v>
      </c>
    </row>
    <row r="182" ht="15.75" customHeight="1">
      <c r="A182" s="325">
        <v>0.0</v>
      </c>
      <c r="B182" s="325" t="str">
        <f>SourceData!J182</f>
        <v/>
      </c>
      <c r="C182" s="325" t="str">
        <f>SourceData!K182</f>
        <v/>
      </c>
      <c r="D182" s="325">
        <f>(COUNTIF(Errors!$B$3:$B$3009,'Error Count'!B182))-((COUNTIFS(Errors!$B$3:$B$3009,'Error Count'!B182, (Errors!$I$3:$I$3009),"TV*")))</f>
        <v>0</v>
      </c>
      <c r="E182" s="325" t="str">
        <f t="shared" si="1"/>
        <v>#DIV/0!</v>
      </c>
    </row>
    <row r="183" ht="15.75" customHeight="1">
      <c r="A183" s="305">
        <v>0.0</v>
      </c>
      <c r="B183" s="305" t="str">
        <f>SourceData!J183</f>
        <v/>
      </c>
      <c r="C183" s="305" t="str">
        <f>SourceData!K183</f>
        <v/>
      </c>
      <c r="D183" s="305">
        <f>(COUNTIF(Errors!$B$3:$B$3009,'Error Count'!B183))-((COUNTIFS(Errors!$B$3:$B$3009,'Error Count'!B183, (Errors!$I$3:$I$3009),"TV*")))</f>
        <v>0</v>
      </c>
      <c r="E183" s="305" t="str">
        <f t="shared" si="1"/>
        <v>#DIV/0!</v>
      </c>
    </row>
    <row r="184" ht="15.75" customHeight="1">
      <c r="A184" s="325">
        <v>0.0</v>
      </c>
      <c r="B184" s="325" t="str">
        <f>SourceData!J184</f>
        <v/>
      </c>
      <c r="C184" s="325" t="str">
        <f>SourceData!K184</f>
        <v/>
      </c>
      <c r="D184" s="325">
        <f>(COUNTIF(Errors!$B$3:$B$3009,'Error Count'!B184))-((COUNTIFS(Errors!$B$3:$B$3009,'Error Count'!B184, (Errors!$I$3:$I$3009),"TV*")))</f>
        <v>0</v>
      </c>
      <c r="E184" s="325" t="str">
        <f t="shared" si="1"/>
        <v>#DIV/0!</v>
      </c>
    </row>
    <row r="185" ht="15.75" customHeight="1">
      <c r="A185" s="305">
        <v>0.0</v>
      </c>
      <c r="B185" s="305" t="str">
        <f>SourceData!J185</f>
        <v/>
      </c>
      <c r="C185" s="305" t="str">
        <f>SourceData!K185</f>
        <v/>
      </c>
      <c r="D185" s="305">
        <f>(COUNTIF(Errors!$B$3:$B$3009,'Error Count'!B185))-((COUNTIFS(Errors!$B$3:$B$3009,'Error Count'!B185, (Errors!$I$3:$I$3009),"TV*")))</f>
        <v>0</v>
      </c>
      <c r="E185" s="305" t="str">
        <f t="shared" si="1"/>
        <v>#DIV/0!</v>
      </c>
    </row>
    <row r="186" ht="15.75" customHeight="1">
      <c r="A186" s="325">
        <v>0.0</v>
      </c>
      <c r="B186" s="325" t="str">
        <f>SourceData!J186</f>
        <v/>
      </c>
      <c r="C186" s="325" t="str">
        <f>SourceData!K186</f>
        <v/>
      </c>
      <c r="D186" s="325">
        <f>(COUNTIF(Errors!$B$3:$B$3009,'Error Count'!B186))-((COUNTIFS(Errors!$B$3:$B$3009,'Error Count'!B186, (Errors!$I$3:$I$3009),"TV*")))</f>
        <v>0</v>
      </c>
      <c r="E186" s="325" t="str">
        <f t="shared" si="1"/>
        <v>#DIV/0!</v>
      </c>
    </row>
    <row r="187" ht="15.75" customHeight="1">
      <c r="A187" s="305">
        <v>0.0</v>
      </c>
      <c r="B187" s="305" t="str">
        <f>SourceData!J187</f>
        <v/>
      </c>
      <c r="C187" s="305" t="str">
        <f>SourceData!K187</f>
        <v/>
      </c>
      <c r="D187" s="305">
        <f>(COUNTIF(Errors!$B$3:$B$3009,'Error Count'!B187))-((COUNTIFS(Errors!$B$3:$B$3009,'Error Count'!B187, (Errors!$I$3:$I$3009),"TV*")))</f>
        <v>0</v>
      </c>
      <c r="E187" s="305" t="str">
        <f t="shared" si="1"/>
        <v>#DIV/0!</v>
      </c>
    </row>
    <row r="188" ht="15.75" customHeight="1">
      <c r="A188" s="325">
        <v>0.0</v>
      </c>
      <c r="B188" s="325" t="str">
        <f>SourceData!J188</f>
        <v/>
      </c>
      <c r="C188" s="325" t="str">
        <f>SourceData!K188</f>
        <v/>
      </c>
      <c r="D188" s="325">
        <f>(COUNTIF(Errors!$B$3:$B$3009,'Error Count'!B188))-((COUNTIFS(Errors!$B$3:$B$3009,'Error Count'!B188, (Errors!$I$3:$I$3009),"TV*")))</f>
        <v>0</v>
      </c>
      <c r="E188" s="325" t="str">
        <f t="shared" si="1"/>
        <v>#DIV/0!</v>
      </c>
    </row>
    <row r="189" ht="15.75" customHeight="1">
      <c r="A189" s="305">
        <v>0.0</v>
      </c>
      <c r="B189" s="305" t="str">
        <f>SourceData!J189</f>
        <v/>
      </c>
      <c r="C189" s="305" t="str">
        <f>SourceData!K189</f>
        <v/>
      </c>
      <c r="D189" s="305">
        <f>(COUNTIF(Errors!$B$3:$B$3009,'Error Count'!B189))-((COUNTIFS(Errors!$B$3:$B$3009,'Error Count'!B189, (Errors!$I$3:$I$3009),"TV*")))</f>
        <v>0</v>
      </c>
      <c r="E189" s="305" t="str">
        <f t="shared" si="1"/>
        <v>#DIV/0!</v>
      </c>
    </row>
    <row r="190" ht="15.75" customHeight="1">
      <c r="A190" s="325">
        <v>0.0</v>
      </c>
      <c r="B190" s="325" t="str">
        <f>SourceData!J190</f>
        <v/>
      </c>
      <c r="C190" s="325" t="str">
        <f>SourceData!K190</f>
        <v/>
      </c>
      <c r="D190" s="325">
        <f>(COUNTIF(Errors!$B$3:$B$3009,'Error Count'!B190))-((COUNTIFS(Errors!$B$3:$B$3009,'Error Count'!B190, (Errors!$I$3:$I$3009),"TV*")))</f>
        <v>0</v>
      </c>
      <c r="E190" s="325" t="str">
        <f t="shared" si="1"/>
        <v>#DIV/0!</v>
      </c>
    </row>
    <row r="191" ht="15.75" customHeight="1">
      <c r="A191" s="305">
        <v>0.0</v>
      </c>
      <c r="B191" s="305" t="str">
        <f>SourceData!J191</f>
        <v/>
      </c>
      <c r="C191" s="305" t="str">
        <f>SourceData!K191</f>
        <v/>
      </c>
      <c r="D191" s="305">
        <f>(COUNTIF(Errors!$B$3:$B$3009,'Error Count'!B191))-((COUNTIFS(Errors!$B$3:$B$3009,'Error Count'!B191, (Errors!$I$3:$I$3009),"TV*")))</f>
        <v>0</v>
      </c>
      <c r="E191" s="305" t="str">
        <f t="shared" si="1"/>
        <v>#DIV/0!</v>
      </c>
    </row>
    <row r="192" ht="15.75" customHeight="1">
      <c r="A192" s="325">
        <v>0.0</v>
      </c>
      <c r="B192" s="325" t="str">
        <f>SourceData!J192</f>
        <v/>
      </c>
      <c r="C192" s="325" t="str">
        <f>SourceData!K192</f>
        <v/>
      </c>
      <c r="D192" s="325">
        <f>(COUNTIF(Errors!$B$3:$B$3009,'Error Count'!B192))-((COUNTIFS(Errors!$B$3:$B$3009,'Error Count'!B192, (Errors!$I$3:$I$3009),"TV*")))</f>
        <v>0</v>
      </c>
      <c r="E192" s="325" t="str">
        <f t="shared" si="1"/>
        <v>#DIV/0!</v>
      </c>
    </row>
    <row r="193" ht="15.75" customHeight="1">
      <c r="A193" s="305">
        <v>0.0</v>
      </c>
      <c r="B193" s="305" t="str">
        <f>SourceData!J193</f>
        <v/>
      </c>
      <c r="C193" s="305" t="str">
        <f>SourceData!K193</f>
        <v/>
      </c>
      <c r="D193" s="305">
        <f>(COUNTIF(Errors!$B$3:$B$3009,'Error Count'!B193))-((COUNTIFS(Errors!$B$3:$B$3009,'Error Count'!B193, (Errors!$I$3:$I$3009),"TV*")))</f>
        <v>0</v>
      </c>
      <c r="E193" s="305" t="str">
        <f t="shared" si="1"/>
        <v>#DIV/0!</v>
      </c>
    </row>
    <row r="194" ht="15.75" customHeight="1">
      <c r="A194" s="325">
        <v>0.0</v>
      </c>
      <c r="B194" s="325" t="str">
        <f>SourceData!J194</f>
        <v/>
      </c>
      <c r="C194" s="325" t="str">
        <f>SourceData!K194</f>
        <v/>
      </c>
      <c r="D194" s="325">
        <f>(COUNTIF(Errors!$B$3:$B$3009,'Error Count'!B194))-((COUNTIFS(Errors!$B$3:$B$3009,'Error Count'!B194, (Errors!$I$3:$I$3009),"TV*")))</f>
        <v>0</v>
      </c>
      <c r="E194" s="325" t="str">
        <f t="shared" si="1"/>
        <v>#DIV/0!</v>
      </c>
    </row>
    <row r="195" ht="15.75" customHeight="1">
      <c r="A195" s="305">
        <v>0.0</v>
      </c>
      <c r="B195" s="305" t="str">
        <f>SourceData!J195</f>
        <v/>
      </c>
      <c r="C195" s="305" t="str">
        <f>SourceData!K195</f>
        <v/>
      </c>
      <c r="D195" s="305">
        <f>(COUNTIF(Errors!$B$3:$B$3009,'Error Count'!B195))-((COUNTIFS(Errors!$B$3:$B$3009,'Error Count'!B195, (Errors!$I$3:$I$3009),"TV*")))</f>
        <v>0</v>
      </c>
      <c r="E195" s="305" t="str">
        <f t="shared" si="1"/>
        <v>#DIV/0!</v>
      </c>
    </row>
    <row r="196" ht="15.75" customHeight="1">
      <c r="A196" s="325">
        <v>0.0</v>
      </c>
      <c r="B196" s="325" t="str">
        <f>SourceData!J196</f>
        <v/>
      </c>
      <c r="C196" s="325" t="str">
        <f>SourceData!K196</f>
        <v/>
      </c>
      <c r="D196" s="325">
        <f>(COUNTIF(Errors!$B$3:$B$3009,'Error Count'!B196))-((COUNTIFS(Errors!$B$3:$B$3009,'Error Count'!B196, (Errors!$I$3:$I$3009),"TV*")))</f>
        <v>0</v>
      </c>
      <c r="E196" s="325" t="str">
        <f t="shared" si="1"/>
        <v>#DIV/0!</v>
      </c>
    </row>
    <row r="197" ht="15.75" customHeight="1">
      <c r="A197" s="305">
        <v>0.0</v>
      </c>
      <c r="B197" s="305" t="str">
        <f>SourceData!J197</f>
        <v/>
      </c>
      <c r="C197" s="305" t="str">
        <f>SourceData!K197</f>
        <v/>
      </c>
      <c r="D197" s="305">
        <f>(COUNTIF(Errors!$B$3:$B$3009,'Error Count'!B197))-((COUNTIFS(Errors!$B$3:$B$3009,'Error Count'!B197, (Errors!$I$3:$I$3009),"TV*")))</f>
        <v>0</v>
      </c>
      <c r="E197" s="305" t="str">
        <f t="shared" si="1"/>
        <v>#DIV/0!</v>
      </c>
    </row>
    <row r="198" ht="15.75" customHeight="1">
      <c r="A198" s="325">
        <v>0.0</v>
      </c>
      <c r="B198" s="325" t="str">
        <f>SourceData!J198</f>
        <v/>
      </c>
      <c r="C198" s="325" t="str">
        <f>SourceData!K198</f>
        <v/>
      </c>
      <c r="D198" s="325">
        <f>(COUNTIF(Errors!$B$3:$B$3009,'Error Count'!B198))-((COUNTIFS(Errors!$B$3:$B$3009,'Error Count'!B198, (Errors!$I$3:$I$3009),"TV*")))</f>
        <v>0</v>
      </c>
      <c r="E198" s="325" t="str">
        <f t="shared" si="1"/>
        <v>#DIV/0!</v>
      </c>
    </row>
    <row r="199" ht="15.75" customHeight="1">
      <c r="A199" s="305">
        <v>0.0</v>
      </c>
      <c r="B199" s="305" t="str">
        <f>SourceData!J199</f>
        <v/>
      </c>
      <c r="C199" s="305" t="str">
        <f>SourceData!K199</f>
        <v/>
      </c>
      <c r="D199" s="305">
        <f>(COUNTIF(Errors!$B$3:$B$3009,'Error Count'!B199))-((COUNTIFS(Errors!$B$3:$B$3009,'Error Count'!B199, (Errors!$I$3:$I$3009),"TV*")))</f>
        <v>0</v>
      </c>
      <c r="E199" s="305" t="str">
        <f t="shared" si="1"/>
        <v>#DIV/0!</v>
      </c>
    </row>
    <row r="200" ht="15.75" customHeight="1">
      <c r="A200" s="325">
        <v>0.0</v>
      </c>
      <c r="B200" s="325" t="str">
        <f>SourceData!J200</f>
        <v/>
      </c>
      <c r="C200" s="325" t="str">
        <f>SourceData!K200</f>
        <v/>
      </c>
      <c r="D200" s="325">
        <f>(COUNTIF(Errors!$B$3:$B$3009,'Error Count'!B200))-((COUNTIFS(Errors!$B$3:$B$3009,'Error Count'!B200, (Errors!$I$3:$I$3009),"TV*")))</f>
        <v>0</v>
      </c>
      <c r="E200" s="325" t="str">
        <f t="shared" si="1"/>
        <v>#DIV/0!</v>
      </c>
    </row>
    <row r="201" ht="15.75" customHeight="1">
      <c r="A201" s="305">
        <v>0.0</v>
      </c>
      <c r="B201" s="305" t="str">
        <f>SourceData!J201</f>
        <v/>
      </c>
      <c r="C201" s="305" t="str">
        <f>SourceData!K201</f>
        <v/>
      </c>
      <c r="D201" s="305">
        <f>(COUNTIF(Errors!$B$3:$B$3009,'Error Count'!B201))-((COUNTIFS(Errors!$B$3:$B$3009,'Error Count'!B201, (Errors!$I$3:$I$3009),"TV*")))</f>
        <v>0</v>
      </c>
      <c r="E201" s="305" t="str">
        <f t="shared" si="1"/>
        <v>#DIV/0!</v>
      </c>
    </row>
    <row r="202" ht="15.75" customHeight="1">
      <c r="A202" s="325">
        <v>0.0</v>
      </c>
      <c r="B202" s="325" t="str">
        <f>SourceData!J202</f>
        <v/>
      </c>
      <c r="C202" s="325" t="str">
        <f>SourceData!K202</f>
        <v/>
      </c>
      <c r="D202" s="325">
        <f>(COUNTIF(Errors!$B$3:$B$3009,'Error Count'!B202))-((COUNTIFS(Errors!$B$3:$B$3009,'Error Count'!B202, (Errors!$I$3:$I$3009),"TV*")))</f>
        <v>0</v>
      </c>
      <c r="E202" s="325" t="str">
        <f t="shared" si="1"/>
        <v>#DIV/0!</v>
      </c>
    </row>
    <row r="203" ht="15.75" customHeight="1">
      <c r="A203" s="305">
        <v>0.0</v>
      </c>
      <c r="B203" s="305" t="str">
        <f>SourceData!J203</f>
        <v/>
      </c>
      <c r="C203" s="305" t="str">
        <f>SourceData!K203</f>
        <v/>
      </c>
      <c r="D203" s="305">
        <f>(COUNTIF(Errors!$B$3:$B$3009,'Error Count'!B203))-((COUNTIFS(Errors!$B$3:$B$3009,'Error Count'!B203, (Errors!$I$3:$I$3009),"TV*")))</f>
        <v>0</v>
      </c>
      <c r="E203" s="305" t="str">
        <f t="shared" si="1"/>
        <v>#DIV/0!</v>
      </c>
    </row>
    <row r="204" ht="15.75" customHeight="1">
      <c r="A204" s="325">
        <v>0.0</v>
      </c>
      <c r="B204" s="325" t="str">
        <f>SourceData!J204</f>
        <v/>
      </c>
      <c r="C204" s="325" t="str">
        <f>SourceData!K204</f>
        <v/>
      </c>
      <c r="D204" s="325">
        <f>(COUNTIF(Errors!$B$3:$B$3009,'Error Count'!B204))-((COUNTIFS(Errors!$B$3:$B$3009,'Error Count'!B204, (Errors!$I$3:$I$3009),"TV*")))</f>
        <v>0</v>
      </c>
      <c r="E204" s="325" t="str">
        <f t="shared" si="1"/>
        <v>#DIV/0!</v>
      </c>
    </row>
    <row r="205" ht="15.75" customHeight="1">
      <c r="A205" s="305">
        <v>0.0</v>
      </c>
      <c r="B205" s="305" t="str">
        <f>SourceData!J205</f>
        <v/>
      </c>
      <c r="C205" s="305" t="str">
        <f>SourceData!K205</f>
        <v/>
      </c>
      <c r="D205" s="305">
        <f>(COUNTIF(Errors!$B$3:$B$3009,'Error Count'!B205))-((COUNTIFS(Errors!$B$3:$B$3009,'Error Count'!B205, (Errors!$I$3:$I$3009),"TV*")))</f>
        <v>0</v>
      </c>
      <c r="E205" s="305" t="str">
        <f t="shared" si="1"/>
        <v>#DIV/0!</v>
      </c>
    </row>
    <row r="206" ht="15.75" customHeight="1">
      <c r="A206" s="325">
        <v>0.0</v>
      </c>
      <c r="B206" s="325" t="str">
        <f>SourceData!J206</f>
        <v/>
      </c>
      <c r="C206" s="325" t="str">
        <f>SourceData!K206</f>
        <v/>
      </c>
      <c r="D206" s="325">
        <f>(COUNTIF(Errors!$B$3:$B$3009,'Error Count'!B206))-((COUNTIFS(Errors!$B$3:$B$3009,'Error Count'!B206, (Errors!$I$3:$I$3009),"TV*")))</f>
        <v>0</v>
      </c>
      <c r="E206" s="325" t="str">
        <f t="shared" si="1"/>
        <v>#DIV/0!</v>
      </c>
    </row>
    <row r="207" ht="15.75" customHeight="1">
      <c r="A207" s="305">
        <v>0.0</v>
      </c>
      <c r="B207" s="305" t="str">
        <f>SourceData!J207</f>
        <v/>
      </c>
      <c r="C207" s="305" t="str">
        <f>SourceData!K207</f>
        <v/>
      </c>
      <c r="D207" s="305">
        <f>(COUNTIF(Errors!$B$3:$B$3009,'Error Count'!B207))-((COUNTIFS(Errors!$B$3:$B$3009,'Error Count'!B207, (Errors!$I$3:$I$3009),"TV*")))</f>
        <v>0</v>
      </c>
      <c r="E207" s="305" t="str">
        <f t="shared" si="1"/>
        <v>#DIV/0!</v>
      </c>
    </row>
    <row r="208" ht="15.75" customHeight="1">
      <c r="A208" s="325">
        <v>0.0</v>
      </c>
      <c r="B208" s="325" t="str">
        <f>SourceData!J208</f>
        <v/>
      </c>
      <c r="C208" s="325" t="str">
        <f>SourceData!K208</f>
        <v/>
      </c>
      <c r="D208" s="325">
        <f>(COUNTIF(Errors!$B$3:$B$3009,'Error Count'!B208))-((COUNTIFS(Errors!$B$3:$B$3009,'Error Count'!B208, (Errors!$I$3:$I$3009),"TV*")))</f>
        <v>0</v>
      </c>
      <c r="E208" s="325" t="str">
        <f t="shared" si="1"/>
        <v>#DIV/0!</v>
      </c>
    </row>
    <row r="209" ht="15.75" customHeight="1">
      <c r="A209" s="305">
        <v>0.0</v>
      </c>
      <c r="B209" s="305" t="str">
        <f>SourceData!J209</f>
        <v/>
      </c>
      <c r="C209" s="305" t="str">
        <f>SourceData!K209</f>
        <v/>
      </c>
      <c r="D209" s="305">
        <f>(COUNTIF(Errors!$B$3:$B$3009,'Error Count'!B209))-((COUNTIFS(Errors!$B$3:$B$3009,'Error Count'!B209, (Errors!$I$3:$I$3009),"TV*")))</f>
        <v>0</v>
      </c>
      <c r="E209" s="305" t="str">
        <f t="shared" si="1"/>
        <v>#DIV/0!</v>
      </c>
    </row>
    <row r="210" ht="15.75" customHeight="1">
      <c r="A210" s="325">
        <v>0.0</v>
      </c>
      <c r="B210" s="325" t="str">
        <f>SourceData!J210</f>
        <v/>
      </c>
      <c r="C210" s="325" t="str">
        <f>SourceData!K210</f>
        <v/>
      </c>
      <c r="D210" s="325">
        <f>(COUNTIF(Errors!$B$3:$B$3009,'Error Count'!B210))-((COUNTIFS(Errors!$B$3:$B$3009,'Error Count'!B210, (Errors!$I$3:$I$3009),"TV*")))</f>
        <v>0</v>
      </c>
      <c r="E210" s="325" t="str">
        <f t="shared" si="1"/>
        <v>#DIV/0!</v>
      </c>
    </row>
    <row r="211" ht="15.75" customHeight="1">
      <c r="A211" s="305">
        <v>0.0</v>
      </c>
      <c r="B211" s="305" t="str">
        <f>SourceData!J211</f>
        <v/>
      </c>
      <c r="C211" s="305" t="str">
        <f>SourceData!K211</f>
        <v/>
      </c>
      <c r="D211" s="305">
        <f>(COUNTIF(Errors!$B$3:$B$3009,'Error Count'!B211))-((COUNTIFS(Errors!$B$3:$B$3009,'Error Count'!B211, (Errors!$I$3:$I$3009),"TV*")))</f>
        <v>0</v>
      </c>
      <c r="E211" s="305" t="str">
        <f t="shared" si="1"/>
        <v>#DIV/0!</v>
      </c>
    </row>
    <row r="212" ht="15.75" customHeight="1">
      <c r="A212" s="325">
        <v>0.0</v>
      </c>
      <c r="B212" s="325" t="str">
        <f>SourceData!J212</f>
        <v/>
      </c>
      <c r="C212" s="325" t="str">
        <f>SourceData!K212</f>
        <v/>
      </c>
      <c r="D212" s="325">
        <f>(COUNTIF(Errors!$B$3:$B$3009,'Error Count'!B212))-((COUNTIFS(Errors!$B$3:$B$3009,'Error Count'!B212, (Errors!$I$3:$I$3009),"TV*")))</f>
        <v>0</v>
      </c>
      <c r="E212" s="325" t="str">
        <f t="shared" si="1"/>
        <v>#DIV/0!</v>
      </c>
    </row>
    <row r="213" ht="15.75" customHeight="1">
      <c r="A213" s="305">
        <v>0.0</v>
      </c>
      <c r="B213" s="305" t="str">
        <f>SourceData!J213</f>
        <v/>
      </c>
      <c r="C213" s="305" t="str">
        <f>SourceData!K213</f>
        <v/>
      </c>
      <c r="D213" s="305">
        <f>(COUNTIF(Errors!$B$3:$B$3009,'Error Count'!B213))-((COUNTIFS(Errors!$B$3:$B$3009,'Error Count'!B213, (Errors!$I$3:$I$3009),"TV*")))</f>
        <v>0</v>
      </c>
      <c r="E213" s="305" t="str">
        <f t="shared" si="1"/>
        <v>#DIV/0!</v>
      </c>
    </row>
    <row r="214" ht="15.75" customHeight="1">
      <c r="A214" s="325">
        <v>0.0</v>
      </c>
      <c r="B214" s="325" t="str">
        <f>SourceData!J214</f>
        <v/>
      </c>
      <c r="C214" s="325" t="str">
        <f>SourceData!K214</f>
        <v/>
      </c>
      <c r="D214" s="325">
        <f>(COUNTIF(Errors!$B$3:$B$3009,'Error Count'!B214))-((COUNTIFS(Errors!$B$3:$B$3009,'Error Count'!B214, (Errors!$I$3:$I$3009),"TV*")))</f>
        <v>0</v>
      </c>
      <c r="E214" s="325" t="str">
        <f t="shared" si="1"/>
        <v>#DIV/0!</v>
      </c>
    </row>
    <row r="215" ht="15.75" customHeight="1">
      <c r="A215" s="305">
        <v>0.0</v>
      </c>
      <c r="B215" s="305" t="str">
        <f>SourceData!J215</f>
        <v/>
      </c>
      <c r="C215" s="305" t="str">
        <f>SourceData!K215</f>
        <v/>
      </c>
      <c r="D215" s="305">
        <f>(COUNTIF(Errors!$B$3:$B$3009,'Error Count'!B215))-((COUNTIFS(Errors!$B$3:$B$3009,'Error Count'!B215, (Errors!$I$3:$I$3009),"TV*")))</f>
        <v>0</v>
      </c>
      <c r="E215" s="305" t="str">
        <f t="shared" si="1"/>
        <v>#DIV/0!</v>
      </c>
    </row>
    <row r="216" ht="15.75" customHeight="1">
      <c r="A216" s="325">
        <v>0.0</v>
      </c>
      <c r="B216" s="325" t="str">
        <f>SourceData!J216</f>
        <v/>
      </c>
      <c r="C216" s="325" t="str">
        <f>SourceData!K216</f>
        <v/>
      </c>
      <c r="D216" s="325">
        <f>(COUNTIF(Errors!$B$3:$B$3009,'Error Count'!B216))-((COUNTIFS(Errors!$B$3:$B$3009,'Error Count'!B216, (Errors!$I$3:$I$3009),"TV*")))</f>
        <v>0</v>
      </c>
      <c r="E216" s="325" t="str">
        <f t="shared" si="1"/>
        <v>#DIV/0!</v>
      </c>
    </row>
    <row r="217" ht="15.75" customHeight="1">
      <c r="A217" s="305">
        <v>0.0</v>
      </c>
      <c r="B217" s="305" t="str">
        <f>SourceData!J217</f>
        <v/>
      </c>
      <c r="C217" s="305" t="str">
        <f>SourceData!K217</f>
        <v/>
      </c>
      <c r="D217" s="305">
        <f>(COUNTIF(Errors!$B$3:$B$3009,'Error Count'!B217))-((COUNTIFS(Errors!$B$3:$B$3009,'Error Count'!B217, (Errors!$I$3:$I$3009),"TV*")))</f>
        <v>0</v>
      </c>
      <c r="E217" s="305" t="str">
        <f t="shared" si="1"/>
        <v>#DIV/0!</v>
      </c>
    </row>
    <row r="218" ht="15.75" customHeight="1">
      <c r="A218" s="325">
        <v>0.0</v>
      </c>
      <c r="B218" s="325" t="str">
        <f>SourceData!J218</f>
        <v/>
      </c>
      <c r="C218" s="325" t="str">
        <f>SourceData!K218</f>
        <v/>
      </c>
      <c r="D218" s="325">
        <f>(COUNTIF(Errors!$B$3:$B$3009,'Error Count'!B218))-((COUNTIFS(Errors!$B$3:$B$3009,'Error Count'!B218, (Errors!$I$3:$I$3009),"TV*")))</f>
        <v>0</v>
      </c>
      <c r="E218" s="325" t="str">
        <f t="shared" si="1"/>
        <v>#DIV/0!</v>
      </c>
    </row>
    <row r="219" ht="15.75" customHeight="1">
      <c r="A219" s="305">
        <v>0.0</v>
      </c>
      <c r="B219" s="305" t="str">
        <f>SourceData!J219</f>
        <v/>
      </c>
      <c r="C219" s="305" t="str">
        <f>SourceData!K219</f>
        <v/>
      </c>
      <c r="D219" s="305">
        <f>(COUNTIF(Errors!$B$3:$B$3009,'Error Count'!B219))-((COUNTIFS(Errors!$B$3:$B$3009,'Error Count'!B219, (Errors!$I$3:$I$3009),"TV*")))</f>
        <v>0</v>
      </c>
      <c r="E219" s="305" t="str">
        <f t="shared" si="1"/>
        <v>#DIV/0!</v>
      </c>
    </row>
    <row r="220" ht="15.75" customHeight="1">
      <c r="A220" s="325">
        <v>0.0</v>
      </c>
      <c r="B220" s="325" t="str">
        <f>SourceData!J220</f>
        <v/>
      </c>
      <c r="C220" s="325" t="str">
        <f>SourceData!K220</f>
        <v/>
      </c>
      <c r="D220" s="325">
        <f>(COUNTIF(Errors!$B$3:$B$3009,'Error Count'!B220))-((COUNTIFS(Errors!$B$3:$B$3009,'Error Count'!B220, (Errors!$I$3:$I$3009),"TV*")))</f>
        <v>0</v>
      </c>
      <c r="E220" s="325" t="str">
        <f t="shared" si="1"/>
        <v>#DIV/0!</v>
      </c>
    </row>
    <row r="221" ht="15.75" customHeight="1">
      <c r="A221" s="305">
        <v>0.0</v>
      </c>
      <c r="B221" s="305" t="str">
        <f>SourceData!J221</f>
        <v/>
      </c>
      <c r="C221" s="305" t="str">
        <f>SourceData!K221</f>
        <v/>
      </c>
      <c r="D221" s="305">
        <f>(COUNTIF(Errors!$B$3:$B$3009,'Error Count'!B221))-((COUNTIFS(Errors!$B$3:$B$3009,'Error Count'!B221, (Errors!$I$3:$I$3009),"TV*")))</f>
        <v>0</v>
      </c>
      <c r="E221" s="305" t="str">
        <f t="shared" si="1"/>
        <v>#DIV/0!</v>
      </c>
    </row>
    <row r="222" ht="15.75" customHeight="1">
      <c r="A222" s="325">
        <v>0.0</v>
      </c>
      <c r="B222" s="325" t="str">
        <f>SourceData!J222</f>
        <v/>
      </c>
      <c r="C222" s="325" t="str">
        <f>SourceData!K222</f>
        <v/>
      </c>
      <c r="D222" s="325">
        <f>(COUNTIF(Errors!$B$3:$B$3009,'Error Count'!B222))-((COUNTIFS(Errors!$B$3:$B$3009,'Error Count'!B222, (Errors!$I$3:$I$3009),"TV*")))</f>
        <v>0</v>
      </c>
      <c r="E222" s="325" t="str">
        <f t="shared" si="1"/>
        <v>#DIV/0!</v>
      </c>
    </row>
    <row r="223" ht="15.75" customHeight="1">
      <c r="A223" s="305">
        <v>0.0</v>
      </c>
      <c r="B223" s="305" t="str">
        <f>SourceData!J223</f>
        <v/>
      </c>
      <c r="C223" s="305" t="str">
        <f>SourceData!K223</f>
        <v/>
      </c>
      <c r="D223" s="305">
        <f>(COUNTIF(Errors!$B$3:$B$3009,'Error Count'!B223))-((COUNTIFS(Errors!$B$3:$B$3009,'Error Count'!B223, (Errors!$I$3:$I$3009),"TV*")))</f>
        <v>0</v>
      </c>
      <c r="E223" s="305" t="str">
        <f t="shared" si="1"/>
        <v>#DIV/0!</v>
      </c>
    </row>
    <row r="224" ht="15.75" customHeight="1">
      <c r="A224" s="325">
        <v>0.0</v>
      </c>
      <c r="B224" s="325" t="str">
        <f>SourceData!J224</f>
        <v/>
      </c>
      <c r="C224" s="325" t="str">
        <f>SourceData!K224</f>
        <v/>
      </c>
      <c r="D224" s="325">
        <f>(COUNTIF(Errors!$B$3:$B$3009,'Error Count'!B224))-((COUNTIFS(Errors!$B$3:$B$3009,'Error Count'!B224, (Errors!$I$3:$I$3009),"TV*")))</f>
        <v>0</v>
      </c>
      <c r="E224" s="325" t="str">
        <f t="shared" si="1"/>
        <v>#DIV/0!</v>
      </c>
    </row>
    <row r="225" ht="15.75" customHeight="1">
      <c r="A225" s="305">
        <v>0.0</v>
      </c>
      <c r="B225" s="305" t="str">
        <f>SourceData!J225</f>
        <v/>
      </c>
      <c r="C225" s="305" t="str">
        <f>SourceData!K225</f>
        <v/>
      </c>
      <c r="D225" s="305">
        <f>(COUNTIF(Errors!$B$3:$B$3009,'Error Count'!B225))-((COUNTIFS(Errors!$B$3:$B$3009,'Error Count'!B225, (Errors!$I$3:$I$3009),"TV*")))</f>
        <v>0</v>
      </c>
      <c r="E225" s="305" t="str">
        <f t="shared" si="1"/>
        <v>#DIV/0!</v>
      </c>
    </row>
    <row r="226" ht="15.75" customHeight="1">
      <c r="A226" s="325">
        <v>0.0</v>
      </c>
      <c r="B226" s="325" t="str">
        <f>SourceData!J226</f>
        <v/>
      </c>
      <c r="C226" s="325" t="str">
        <f>SourceData!K226</f>
        <v/>
      </c>
      <c r="D226" s="325">
        <f>(COUNTIF(Errors!$B$3:$B$3009,'Error Count'!B226))-((COUNTIFS(Errors!$B$3:$B$3009,'Error Count'!B226, (Errors!$I$3:$I$3009),"TV*")))</f>
        <v>0</v>
      </c>
      <c r="E226" s="325" t="str">
        <f t="shared" si="1"/>
        <v>#DIV/0!</v>
      </c>
    </row>
    <row r="227" ht="15.75" customHeight="1">
      <c r="A227" s="305">
        <v>0.0</v>
      </c>
      <c r="B227" s="305" t="str">
        <f>SourceData!J227</f>
        <v/>
      </c>
      <c r="C227" s="305" t="str">
        <f>SourceData!K227</f>
        <v/>
      </c>
      <c r="D227" s="305">
        <f>(COUNTIF(Errors!$B$3:$B$3009,'Error Count'!B227))-((COUNTIFS(Errors!$B$3:$B$3009,'Error Count'!B227, (Errors!$I$3:$I$3009),"TV*")))</f>
        <v>0</v>
      </c>
      <c r="E227" s="305" t="str">
        <f t="shared" si="1"/>
        <v>#DIV/0!</v>
      </c>
    </row>
    <row r="228" ht="15.75" customHeight="1">
      <c r="A228" s="325">
        <v>0.0</v>
      </c>
      <c r="B228" s="325" t="str">
        <f>SourceData!J228</f>
        <v/>
      </c>
      <c r="C228" s="325" t="str">
        <f>SourceData!K228</f>
        <v/>
      </c>
      <c r="D228" s="325">
        <f>(COUNTIF(Errors!$B$3:$B$3009,'Error Count'!B228))-((COUNTIFS(Errors!$B$3:$B$3009,'Error Count'!B228, (Errors!$I$3:$I$3009),"TV*")))</f>
        <v>0</v>
      </c>
      <c r="E228" s="325" t="str">
        <f t="shared" si="1"/>
        <v>#DIV/0!</v>
      </c>
    </row>
    <row r="229" ht="15.75" customHeight="1">
      <c r="A229" s="305">
        <v>0.0</v>
      </c>
      <c r="B229" s="305" t="str">
        <f>SourceData!J229</f>
        <v/>
      </c>
      <c r="C229" s="305" t="str">
        <f>SourceData!K229</f>
        <v/>
      </c>
      <c r="D229" s="305">
        <f>(COUNTIF(Errors!$B$3:$B$3009,'Error Count'!B229))-((COUNTIFS(Errors!$B$3:$B$3009,'Error Count'!B229, (Errors!$I$3:$I$3009),"TV*")))</f>
        <v>0</v>
      </c>
      <c r="E229" s="305" t="str">
        <f t="shared" si="1"/>
        <v>#DIV/0!</v>
      </c>
    </row>
    <row r="230" ht="15.75" customHeight="1">
      <c r="A230" s="325">
        <v>0.0</v>
      </c>
      <c r="B230" s="325" t="str">
        <f>SourceData!J230</f>
        <v/>
      </c>
      <c r="C230" s="325" t="str">
        <f>SourceData!K230</f>
        <v/>
      </c>
      <c r="D230" s="325">
        <f>(COUNTIF(Errors!$B$3:$B$3009,'Error Count'!B230))-((COUNTIFS(Errors!$B$3:$B$3009,'Error Count'!B230, (Errors!$I$3:$I$3009),"TV*")))</f>
        <v>0</v>
      </c>
      <c r="E230" s="325" t="str">
        <f t="shared" si="1"/>
        <v>#DIV/0!</v>
      </c>
    </row>
    <row r="231" ht="15.75" customHeight="1">
      <c r="A231" s="305">
        <v>0.0</v>
      </c>
      <c r="B231" s="305" t="str">
        <f>SourceData!J231</f>
        <v/>
      </c>
      <c r="C231" s="305" t="str">
        <f>SourceData!K231</f>
        <v/>
      </c>
      <c r="D231" s="305">
        <f>(COUNTIF(Errors!$B$3:$B$3009,'Error Count'!B231))-((COUNTIFS(Errors!$B$3:$B$3009,'Error Count'!B231, (Errors!$I$3:$I$3009),"TV*")))</f>
        <v>0</v>
      </c>
      <c r="E231" s="305" t="str">
        <f t="shared" si="1"/>
        <v>#DIV/0!</v>
      </c>
    </row>
    <row r="232" ht="15.75" customHeight="1">
      <c r="A232" s="325">
        <v>0.0</v>
      </c>
      <c r="B232" s="325" t="str">
        <f>SourceData!J232</f>
        <v/>
      </c>
      <c r="C232" s="325" t="str">
        <f>SourceData!K232</f>
        <v/>
      </c>
      <c r="D232" s="325">
        <f>(COUNTIF(Errors!$B$3:$B$3009,'Error Count'!B232))-((COUNTIFS(Errors!$B$3:$B$3009,'Error Count'!B232, (Errors!$I$3:$I$3009),"TV*")))</f>
        <v>0</v>
      </c>
      <c r="E232" s="325" t="str">
        <f t="shared" si="1"/>
        <v>#DIV/0!</v>
      </c>
    </row>
    <row r="233" ht="15.75" customHeight="1">
      <c r="A233" s="305">
        <v>0.0</v>
      </c>
      <c r="B233" s="305" t="str">
        <f>SourceData!J233</f>
        <v/>
      </c>
      <c r="C233" s="305" t="str">
        <f>SourceData!K233</f>
        <v/>
      </c>
      <c r="D233" s="305">
        <f>(COUNTIF(Errors!$B$3:$B$3009,'Error Count'!B233))-((COUNTIFS(Errors!$B$3:$B$3009,'Error Count'!B233, (Errors!$I$3:$I$3009),"TV*")))</f>
        <v>0</v>
      </c>
      <c r="E233" s="305" t="str">
        <f t="shared" si="1"/>
        <v>#DIV/0!</v>
      </c>
    </row>
    <row r="234" ht="15.75" customHeight="1">
      <c r="A234" s="325">
        <v>0.0</v>
      </c>
      <c r="B234" s="325" t="str">
        <f>SourceData!J234</f>
        <v/>
      </c>
      <c r="C234" s="325" t="str">
        <f>SourceData!K234</f>
        <v/>
      </c>
      <c r="D234" s="325">
        <f>(COUNTIF(Errors!$B$3:$B$3009,'Error Count'!B234))-((COUNTIFS(Errors!$B$3:$B$3009,'Error Count'!B234, (Errors!$I$3:$I$3009),"TV*")))</f>
        <v>0</v>
      </c>
      <c r="E234" s="325" t="str">
        <f t="shared" si="1"/>
        <v>#DIV/0!</v>
      </c>
    </row>
    <row r="235" ht="15.75" customHeight="1">
      <c r="A235" s="305">
        <v>0.0</v>
      </c>
      <c r="B235" s="305" t="str">
        <f>SourceData!J235</f>
        <v/>
      </c>
      <c r="C235" s="305" t="str">
        <f>SourceData!K235</f>
        <v/>
      </c>
      <c r="D235" s="305">
        <f>(COUNTIF(Errors!$B$3:$B$3009,'Error Count'!B235))-((COUNTIFS(Errors!$B$3:$B$3009,'Error Count'!B235, (Errors!$I$3:$I$3009),"TV*")))</f>
        <v>0</v>
      </c>
      <c r="E235" s="305" t="str">
        <f t="shared" si="1"/>
        <v>#DIV/0!</v>
      </c>
    </row>
    <row r="236" ht="15.75" customHeight="1">
      <c r="A236" s="325">
        <v>0.0</v>
      </c>
      <c r="B236" s="325" t="str">
        <f>SourceData!J236</f>
        <v/>
      </c>
      <c r="C236" s="325" t="str">
        <f>SourceData!K236</f>
        <v/>
      </c>
      <c r="D236" s="325">
        <f>(COUNTIF(Errors!$B$3:$B$3009,'Error Count'!B236))-((COUNTIFS(Errors!$B$3:$B$3009,'Error Count'!B236, (Errors!$I$3:$I$3009),"TV*")))</f>
        <v>0</v>
      </c>
      <c r="E236" s="325" t="str">
        <f t="shared" si="1"/>
        <v>#DIV/0!</v>
      </c>
    </row>
    <row r="237" ht="15.75" customHeight="1">
      <c r="A237" s="305">
        <v>0.0</v>
      </c>
      <c r="B237" s="305" t="str">
        <f>SourceData!J237</f>
        <v/>
      </c>
      <c r="C237" s="305" t="str">
        <f>SourceData!K237</f>
        <v/>
      </c>
      <c r="D237" s="305">
        <f>(COUNTIF(Errors!$B$3:$B$3009,'Error Count'!B237))-((COUNTIFS(Errors!$B$3:$B$3009,'Error Count'!B237, (Errors!$I$3:$I$3009),"TV*")))</f>
        <v>0</v>
      </c>
      <c r="E237" s="305" t="str">
        <f t="shared" si="1"/>
        <v>#DIV/0!</v>
      </c>
    </row>
    <row r="238" ht="15.75" customHeight="1">
      <c r="A238" s="325">
        <v>0.0</v>
      </c>
      <c r="B238" s="325" t="str">
        <f>SourceData!J238</f>
        <v/>
      </c>
      <c r="C238" s="325" t="str">
        <f>SourceData!K238</f>
        <v/>
      </c>
      <c r="D238" s="325">
        <f>(COUNTIF(Errors!$B$3:$B$3009,'Error Count'!B238))-((COUNTIFS(Errors!$B$3:$B$3009,'Error Count'!B238, (Errors!$I$3:$I$3009),"TV*")))</f>
        <v>0</v>
      </c>
      <c r="E238" s="325" t="str">
        <f t="shared" si="1"/>
        <v>#DIV/0!</v>
      </c>
    </row>
    <row r="239" ht="15.75" customHeight="1">
      <c r="A239" s="305">
        <v>0.0</v>
      </c>
      <c r="B239" s="305" t="str">
        <f>SourceData!J239</f>
        <v/>
      </c>
      <c r="C239" s="305" t="str">
        <f>SourceData!K239</f>
        <v/>
      </c>
      <c r="D239" s="305">
        <f>(COUNTIF(Errors!$B$3:$B$3009,'Error Count'!B239))-((COUNTIFS(Errors!$B$3:$B$3009,'Error Count'!B239, (Errors!$I$3:$I$3009),"TV*")))</f>
        <v>0</v>
      </c>
      <c r="E239" s="305" t="str">
        <f t="shared" si="1"/>
        <v>#DIV/0!</v>
      </c>
    </row>
    <row r="240" ht="15.75" customHeight="1">
      <c r="A240" s="325">
        <v>0.0</v>
      </c>
      <c r="B240" s="325" t="str">
        <f>SourceData!J240</f>
        <v/>
      </c>
      <c r="C240" s="325" t="str">
        <f>SourceData!K240</f>
        <v/>
      </c>
      <c r="D240" s="325">
        <f>(COUNTIF(Errors!$B$3:$B$3009,'Error Count'!B240))-((COUNTIFS(Errors!$B$3:$B$3009,'Error Count'!B240, (Errors!$I$3:$I$3009),"TV*")))</f>
        <v>0</v>
      </c>
      <c r="E240" s="325" t="str">
        <f t="shared" si="1"/>
        <v>#DIV/0!</v>
      </c>
    </row>
    <row r="241" ht="15.75" customHeight="1">
      <c r="A241" s="305">
        <v>0.0</v>
      </c>
      <c r="B241" s="305" t="str">
        <f>SourceData!J241</f>
        <v/>
      </c>
      <c r="C241" s="305" t="str">
        <f>SourceData!K241</f>
        <v/>
      </c>
      <c r="D241" s="305">
        <f>(COUNTIF(Errors!$B$3:$B$3009,'Error Count'!B241))-((COUNTIFS(Errors!$B$3:$B$3009,'Error Count'!B241, (Errors!$I$3:$I$3009),"TV*")))</f>
        <v>0</v>
      </c>
      <c r="E241" s="305" t="str">
        <f t="shared" si="1"/>
        <v>#DIV/0!</v>
      </c>
    </row>
    <row r="242" ht="15.75" customHeight="1">
      <c r="A242" s="325">
        <v>0.0</v>
      </c>
      <c r="B242" s="325" t="str">
        <f>SourceData!J242</f>
        <v/>
      </c>
      <c r="C242" s="325" t="str">
        <f>SourceData!K242</f>
        <v/>
      </c>
      <c r="D242" s="325">
        <f>(COUNTIF(Errors!$B$3:$B$3009,'Error Count'!B242))-((COUNTIFS(Errors!$B$3:$B$3009,'Error Count'!B242, (Errors!$I$3:$I$3009),"TV*")))</f>
        <v>0</v>
      </c>
      <c r="E242" s="325" t="str">
        <f t="shared" si="1"/>
        <v>#DIV/0!</v>
      </c>
    </row>
    <row r="243" ht="15.75" customHeight="1">
      <c r="A243" s="305">
        <v>0.0</v>
      </c>
      <c r="B243" s="305" t="str">
        <f>SourceData!J243</f>
        <v/>
      </c>
      <c r="C243" s="305" t="str">
        <f>SourceData!K243</f>
        <v/>
      </c>
      <c r="D243" s="305">
        <f>(COUNTIF(Errors!$B$3:$B$3009,'Error Count'!B243))-((COUNTIFS(Errors!$B$3:$B$3009,'Error Count'!B243, (Errors!$I$3:$I$3009),"TV*")))</f>
        <v>0</v>
      </c>
      <c r="E243" s="305" t="str">
        <f t="shared" si="1"/>
        <v>#DIV/0!</v>
      </c>
    </row>
    <row r="244" ht="15.75" customHeight="1">
      <c r="A244" s="325">
        <v>0.0</v>
      </c>
      <c r="B244" s="325" t="str">
        <f>SourceData!J244</f>
        <v/>
      </c>
      <c r="C244" s="325" t="str">
        <f>SourceData!K244</f>
        <v/>
      </c>
      <c r="D244" s="325">
        <f>(COUNTIF(Errors!$B$3:$B$3009,'Error Count'!B244))-((COUNTIFS(Errors!$B$3:$B$3009,'Error Count'!B244, (Errors!$I$3:$I$3009),"TV*")))</f>
        <v>0</v>
      </c>
      <c r="E244" s="325" t="str">
        <f t="shared" si="1"/>
        <v>#DIV/0!</v>
      </c>
    </row>
    <row r="245" ht="15.75" customHeight="1">
      <c r="A245" s="305">
        <v>0.0</v>
      </c>
      <c r="B245" s="305" t="str">
        <f>SourceData!J245</f>
        <v/>
      </c>
      <c r="C245" s="305" t="str">
        <f>SourceData!K245</f>
        <v/>
      </c>
      <c r="D245" s="305">
        <f>(COUNTIF(Errors!$B$3:$B$3009,'Error Count'!B245))-((COUNTIFS(Errors!$B$3:$B$3009,'Error Count'!B245, (Errors!$I$3:$I$3009),"TV*")))</f>
        <v>0</v>
      </c>
      <c r="E245" s="305" t="str">
        <f t="shared" si="1"/>
        <v>#DIV/0!</v>
      </c>
    </row>
    <row r="246" ht="15.75" customHeight="1">
      <c r="A246" s="325">
        <v>0.0</v>
      </c>
      <c r="B246" s="325" t="str">
        <f>SourceData!J246</f>
        <v/>
      </c>
      <c r="C246" s="325" t="str">
        <f>SourceData!K246</f>
        <v/>
      </c>
      <c r="D246" s="325">
        <f>(COUNTIF(Errors!$B$3:$B$3009,'Error Count'!B246))-((COUNTIFS(Errors!$B$3:$B$3009,'Error Count'!B246, (Errors!$I$3:$I$3009),"TV*")))</f>
        <v>0</v>
      </c>
      <c r="E246" s="325" t="str">
        <f t="shared" si="1"/>
        <v>#DIV/0!</v>
      </c>
    </row>
    <row r="247" ht="15.75" customHeight="1">
      <c r="A247" s="305">
        <v>0.0</v>
      </c>
      <c r="B247" s="305" t="str">
        <f>SourceData!J247</f>
        <v/>
      </c>
      <c r="C247" s="305" t="str">
        <f>SourceData!K247</f>
        <v/>
      </c>
      <c r="D247" s="305">
        <f>(COUNTIF(Errors!$B$3:$B$3009,'Error Count'!B247))-((COUNTIFS(Errors!$B$3:$B$3009,'Error Count'!B247, (Errors!$I$3:$I$3009),"TV*")))</f>
        <v>0</v>
      </c>
      <c r="E247" s="305" t="str">
        <f t="shared" si="1"/>
        <v>#DIV/0!</v>
      </c>
    </row>
    <row r="248" ht="15.75" customHeight="1">
      <c r="A248" s="325">
        <v>0.0</v>
      </c>
      <c r="B248" s="325" t="str">
        <f>SourceData!J248</f>
        <v/>
      </c>
      <c r="C248" s="325" t="str">
        <f>SourceData!K248</f>
        <v/>
      </c>
      <c r="D248" s="325">
        <f>(COUNTIF(Errors!$B$3:$B$3009,'Error Count'!B248))-((COUNTIFS(Errors!$B$3:$B$3009,'Error Count'!B248, (Errors!$I$3:$I$3009),"TV*")))</f>
        <v>0</v>
      </c>
      <c r="E248" s="325" t="str">
        <f t="shared" si="1"/>
        <v>#DIV/0!</v>
      </c>
    </row>
    <row r="249" ht="15.75" customHeight="1">
      <c r="A249" s="305">
        <v>0.0</v>
      </c>
      <c r="B249" s="305" t="str">
        <f>SourceData!J249</f>
        <v/>
      </c>
      <c r="C249" s="305" t="str">
        <f>SourceData!K249</f>
        <v/>
      </c>
      <c r="D249" s="305">
        <f>(COUNTIF(Errors!$B$3:$B$3009,'Error Count'!B249))-((COUNTIFS(Errors!$B$3:$B$3009,'Error Count'!B249, (Errors!$I$3:$I$3009),"TV*")))</f>
        <v>0</v>
      </c>
      <c r="E249" s="305" t="str">
        <f t="shared" si="1"/>
        <v>#DIV/0!</v>
      </c>
    </row>
    <row r="250" ht="15.75" customHeight="1">
      <c r="A250" s="325">
        <v>0.0</v>
      </c>
      <c r="B250" s="325" t="str">
        <f>SourceData!J250</f>
        <v/>
      </c>
      <c r="C250" s="325" t="str">
        <f>SourceData!K250</f>
        <v/>
      </c>
      <c r="D250" s="325">
        <f>(COUNTIF(Errors!$B$3:$B$3009,'Error Count'!B250))-((COUNTIFS(Errors!$B$3:$B$3009,'Error Count'!B250, (Errors!$I$3:$I$3009),"TV*")))</f>
        <v>0</v>
      </c>
      <c r="E250" s="325" t="str">
        <f t="shared" si="1"/>
        <v>#DIV/0!</v>
      </c>
    </row>
    <row r="251" ht="15.75" customHeight="1">
      <c r="A251" s="305">
        <v>0.0</v>
      </c>
      <c r="B251" s="305" t="str">
        <f>SourceData!J251</f>
        <v/>
      </c>
      <c r="C251" s="305" t="str">
        <f>SourceData!K251</f>
        <v/>
      </c>
      <c r="D251" s="305">
        <f>(COUNTIF(Errors!$B$3:$B$3009,'Error Count'!B251))-((COUNTIFS(Errors!$B$3:$B$3009,'Error Count'!B251, (Errors!$I$3:$I$3009),"TV*")))</f>
        <v>0</v>
      </c>
      <c r="E251" s="305" t="str">
        <f t="shared" si="1"/>
        <v>#DIV/0!</v>
      </c>
    </row>
    <row r="252" ht="15.75" customHeight="1">
      <c r="A252" s="325">
        <v>0.0</v>
      </c>
      <c r="B252" s="325" t="str">
        <f>SourceData!J252</f>
        <v/>
      </c>
      <c r="C252" s="325" t="str">
        <f>SourceData!K252</f>
        <v/>
      </c>
      <c r="D252" s="325">
        <f>(COUNTIF(Errors!$B$3:$B$3009,'Error Count'!B252))-((COUNTIFS(Errors!$B$3:$B$3009,'Error Count'!B252, (Errors!$I$3:$I$3009),"TV*")))</f>
        <v>0</v>
      </c>
      <c r="E252" s="325" t="str">
        <f t="shared" si="1"/>
        <v>#DIV/0!</v>
      </c>
    </row>
    <row r="253" ht="15.75" customHeight="1">
      <c r="A253" s="305">
        <v>0.0</v>
      </c>
      <c r="B253" s="305" t="str">
        <f>SourceData!J253</f>
        <v/>
      </c>
      <c r="C253" s="305" t="str">
        <f>SourceData!K253</f>
        <v/>
      </c>
      <c r="D253" s="305">
        <f>(COUNTIF(Errors!$B$3:$B$3009,'Error Count'!B253))-((COUNTIFS(Errors!$B$3:$B$3009,'Error Count'!B253, (Errors!$I$3:$I$3009),"TV*")))</f>
        <v>0</v>
      </c>
      <c r="E253" s="305" t="str">
        <f t="shared" si="1"/>
        <v>#DIV/0!</v>
      </c>
    </row>
    <row r="254" ht="15.75" customHeight="1">
      <c r="A254" s="325">
        <v>0.0</v>
      </c>
      <c r="B254" s="325" t="str">
        <f>SourceData!J254</f>
        <v/>
      </c>
      <c r="C254" s="325" t="str">
        <f>SourceData!K254</f>
        <v/>
      </c>
      <c r="D254" s="325">
        <f>(COUNTIF(Errors!$B$3:$B$3009,'Error Count'!B254))-((COUNTIFS(Errors!$B$3:$B$3009,'Error Count'!B254, (Errors!$I$3:$I$3009),"TV*")))</f>
        <v>0</v>
      </c>
      <c r="E254" s="325" t="str">
        <f t="shared" si="1"/>
        <v>#DIV/0!</v>
      </c>
    </row>
    <row r="255" ht="15.75" customHeight="1">
      <c r="A255" s="305">
        <v>0.0</v>
      </c>
      <c r="B255" s="305" t="str">
        <f>SourceData!J255</f>
        <v/>
      </c>
      <c r="C255" s="305" t="str">
        <f>SourceData!K255</f>
        <v/>
      </c>
      <c r="D255" s="305">
        <f>(COUNTIF(Errors!$B$3:$B$3009,'Error Count'!B255))-((COUNTIFS(Errors!$B$3:$B$3009,'Error Count'!B255, (Errors!$I$3:$I$3009),"TV*")))</f>
        <v>0</v>
      </c>
      <c r="E255" s="305" t="str">
        <f t="shared" si="1"/>
        <v>#DIV/0!</v>
      </c>
    </row>
    <row r="256" ht="15.75" customHeight="1">
      <c r="A256" s="325">
        <v>0.0</v>
      </c>
      <c r="B256" s="325" t="str">
        <f>SourceData!J256</f>
        <v/>
      </c>
      <c r="C256" s="325" t="str">
        <f>SourceData!K256</f>
        <v/>
      </c>
      <c r="D256" s="325">
        <f>(COUNTIF(Errors!$B$3:$B$3009,'Error Count'!B256))-((COUNTIFS(Errors!$B$3:$B$3009,'Error Count'!B256, (Errors!$I$3:$I$3009),"TV*")))</f>
        <v>0</v>
      </c>
      <c r="E256" s="325" t="str">
        <f t="shared" si="1"/>
        <v>#DIV/0!</v>
      </c>
    </row>
    <row r="257" ht="15.75" customHeight="1">
      <c r="A257" s="305">
        <v>0.0</v>
      </c>
      <c r="B257" s="305" t="str">
        <f>SourceData!J257</f>
        <v/>
      </c>
      <c r="C257" s="305" t="str">
        <f>SourceData!K257</f>
        <v/>
      </c>
      <c r="D257" s="305">
        <f>(COUNTIF(Errors!$B$3:$B$3009,'Error Count'!B257))-((COUNTIFS(Errors!$B$3:$B$3009,'Error Count'!B257, (Errors!$I$3:$I$3009),"TV*")))</f>
        <v>0</v>
      </c>
      <c r="E257" s="305" t="str">
        <f t="shared" si="1"/>
        <v>#DIV/0!</v>
      </c>
    </row>
    <row r="258" ht="15.75" customHeight="1">
      <c r="A258" s="325">
        <v>0.0</v>
      </c>
      <c r="B258" s="325" t="str">
        <f>SourceData!J258</f>
        <v/>
      </c>
      <c r="C258" s="325" t="str">
        <f>SourceData!K258</f>
        <v/>
      </c>
      <c r="D258" s="325">
        <f>(COUNTIF(Errors!$B$3:$B$3009,'Error Count'!B258))-((COUNTIFS(Errors!$B$3:$B$3009,'Error Count'!B258, (Errors!$I$3:$I$3009),"TV*")))</f>
        <v>0</v>
      </c>
      <c r="E258" s="325" t="str">
        <f t="shared" si="1"/>
        <v>#DIV/0!</v>
      </c>
    </row>
    <row r="259" ht="15.75" customHeight="1">
      <c r="A259" s="305">
        <v>0.0</v>
      </c>
      <c r="B259" s="305" t="str">
        <f>SourceData!J259</f>
        <v/>
      </c>
      <c r="C259" s="305" t="str">
        <f>SourceData!K259</f>
        <v/>
      </c>
      <c r="D259" s="305">
        <f>(COUNTIF(Errors!$B$3:$B$3009,'Error Count'!B259))-((COUNTIFS(Errors!$B$3:$B$3009,'Error Count'!B259, (Errors!$I$3:$I$3009),"TV*")))</f>
        <v>0</v>
      </c>
      <c r="E259" s="305" t="str">
        <f t="shared" si="1"/>
        <v>#DIV/0!</v>
      </c>
    </row>
    <row r="260" ht="15.75" customHeight="1">
      <c r="A260" s="325">
        <v>0.0</v>
      </c>
      <c r="B260" s="325" t="str">
        <f>SourceData!J260</f>
        <v/>
      </c>
      <c r="C260" s="325" t="str">
        <f>SourceData!K260</f>
        <v/>
      </c>
      <c r="D260" s="325">
        <f>(COUNTIF(Errors!$B$3:$B$3009,'Error Count'!B260))-((COUNTIFS(Errors!$B$3:$B$3009,'Error Count'!B260, (Errors!$I$3:$I$3009),"TV*")))</f>
        <v>0</v>
      </c>
      <c r="E260" s="325" t="str">
        <f t="shared" si="1"/>
        <v>#DIV/0!</v>
      </c>
    </row>
    <row r="261" ht="15.75" customHeight="1">
      <c r="A261" s="305">
        <v>0.0</v>
      </c>
      <c r="B261" s="305" t="str">
        <f>SourceData!J261</f>
        <v/>
      </c>
      <c r="C261" s="305" t="str">
        <f>SourceData!K261</f>
        <v/>
      </c>
      <c r="D261" s="305">
        <f>(COUNTIF(Errors!$B$3:$B$3009,'Error Count'!B261))-((COUNTIFS(Errors!$B$3:$B$3009,'Error Count'!B261, (Errors!$I$3:$I$3009),"TV*")))</f>
        <v>0</v>
      </c>
      <c r="E261" s="305" t="str">
        <f t="shared" si="1"/>
        <v>#DIV/0!</v>
      </c>
    </row>
    <row r="262" ht="15.75" customHeight="1">
      <c r="A262" s="325">
        <v>0.0</v>
      </c>
      <c r="B262" s="325" t="str">
        <f>SourceData!J262</f>
        <v/>
      </c>
      <c r="C262" s="325" t="str">
        <f>SourceData!K262</f>
        <v/>
      </c>
      <c r="D262" s="325">
        <f>(COUNTIF(Errors!$B$3:$B$3009,'Error Count'!B262))-((COUNTIFS(Errors!$B$3:$B$3009,'Error Count'!B262, (Errors!$I$3:$I$3009),"TV*")))</f>
        <v>0</v>
      </c>
      <c r="E262" s="325" t="str">
        <f t="shared" si="1"/>
        <v>#DIV/0!</v>
      </c>
    </row>
    <row r="263" ht="15.75" customHeight="1">
      <c r="A263" s="305">
        <v>0.0</v>
      </c>
      <c r="B263" s="305" t="str">
        <f>SourceData!J263</f>
        <v/>
      </c>
      <c r="C263" s="305" t="str">
        <f>SourceData!K263</f>
        <v/>
      </c>
      <c r="D263" s="305">
        <f>(COUNTIF(Errors!$B$3:$B$3009,'Error Count'!B263))-((COUNTIFS(Errors!$B$3:$B$3009,'Error Count'!B263, (Errors!$I$3:$I$3009),"TV*")))</f>
        <v>0</v>
      </c>
      <c r="E263" s="305" t="str">
        <f t="shared" si="1"/>
        <v>#DIV/0!</v>
      </c>
    </row>
    <row r="264" ht="15.75" customHeight="1">
      <c r="A264" s="325">
        <v>0.0</v>
      </c>
      <c r="B264" s="325" t="str">
        <f>SourceData!J264</f>
        <v/>
      </c>
      <c r="C264" s="325" t="str">
        <f>SourceData!K264</f>
        <v/>
      </c>
      <c r="D264" s="325">
        <f>(COUNTIF(Errors!$B$3:$B$3009,'Error Count'!B264))-((COUNTIFS(Errors!$B$3:$B$3009,'Error Count'!B264, (Errors!$I$3:$I$3009),"TV*")))</f>
        <v>0</v>
      </c>
      <c r="E264" s="325" t="str">
        <f t="shared" si="1"/>
        <v>#DIV/0!</v>
      </c>
    </row>
    <row r="265" ht="15.75" customHeight="1">
      <c r="A265" s="305">
        <v>0.0</v>
      </c>
      <c r="B265" s="305" t="str">
        <f>SourceData!J265</f>
        <v/>
      </c>
      <c r="C265" s="305" t="str">
        <f>SourceData!K265</f>
        <v/>
      </c>
      <c r="D265" s="305">
        <f>(COUNTIF(Errors!$B$3:$B$3009,'Error Count'!B265))-((COUNTIFS(Errors!$B$3:$B$3009,'Error Count'!B265, (Errors!$I$3:$I$3009),"TV*")))</f>
        <v>0</v>
      </c>
      <c r="E265" s="305" t="str">
        <f t="shared" si="1"/>
        <v>#DIV/0!</v>
      </c>
    </row>
    <row r="266" ht="15.75" customHeight="1">
      <c r="A266" s="325">
        <v>0.0</v>
      </c>
      <c r="B266" s="325" t="str">
        <f>SourceData!J266</f>
        <v/>
      </c>
      <c r="C266" s="325" t="str">
        <f>SourceData!K266</f>
        <v/>
      </c>
      <c r="D266" s="325">
        <f>(COUNTIF(Errors!$B$3:$B$3009,'Error Count'!B266))-((COUNTIFS(Errors!$B$3:$B$3009,'Error Count'!B266, (Errors!$I$3:$I$3009),"TV*")))</f>
        <v>0</v>
      </c>
      <c r="E266" s="325" t="str">
        <f t="shared" si="1"/>
        <v>#DIV/0!</v>
      </c>
    </row>
    <row r="267" ht="15.75" customHeight="1">
      <c r="A267" s="305">
        <v>0.0</v>
      </c>
      <c r="B267" s="305" t="str">
        <f>SourceData!J267</f>
        <v/>
      </c>
      <c r="C267" s="305" t="str">
        <f>SourceData!K267</f>
        <v/>
      </c>
      <c r="D267" s="305">
        <f>(COUNTIF(Errors!$B$3:$B$3009,'Error Count'!B267))-((COUNTIFS(Errors!$B$3:$B$3009,'Error Count'!B267, (Errors!$I$3:$I$3009),"TV*")))</f>
        <v>0</v>
      </c>
      <c r="E267" s="305" t="str">
        <f t="shared" si="1"/>
        <v>#DIV/0!</v>
      </c>
    </row>
    <row r="268" ht="15.75" customHeight="1">
      <c r="A268" s="325">
        <v>0.0</v>
      </c>
      <c r="B268" s="325" t="str">
        <f>SourceData!J268</f>
        <v/>
      </c>
      <c r="C268" s="325" t="str">
        <f>SourceData!K268</f>
        <v/>
      </c>
      <c r="D268" s="325">
        <f>(COUNTIF(Errors!$B$3:$B$3009,'Error Count'!B268))-((COUNTIFS(Errors!$B$3:$B$3009,'Error Count'!B268, (Errors!$I$3:$I$3009),"TV*")))</f>
        <v>0</v>
      </c>
      <c r="E268" s="325" t="str">
        <f t="shared" si="1"/>
        <v>#DIV/0!</v>
      </c>
    </row>
    <row r="269" ht="15.75" customHeight="1">
      <c r="A269" s="305">
        <v>0.0</v>
      </c>
      <c r="B269" s="305" t="str">
        <f>SourceData!J269</f>
        <v/>
      </c>
      <c r="C269" s="305" t="str">
        <f>SourceData!K269</f>
        <v/>
      </c>
      <c r="D269" s="305">
        <f>(COUNTIF(Errors!$B$3:$B$3009,'Error Count'!B269))-((COUNTIFS(Errors!$B$3:$B$3009,'Error Count'!B269, (Errors!$I$3:$I$3009),"TV*")))</f>
        <v>0</v>
      </c>
      <c r="E269" s="305" t="str">
        <f t="shared" si="1"/>
        <v>#DIV/0!</v>
      </c>
    </row>
    <row r="270" ht="15.75" customHeight="1">
      <c r="A270" s="325">
        <v>0.0</v>
      </c>
      <c r="B270" s="325" t="str">
        <f>SourceData!J270</f>
        <v/>
      </c>
      <c r="C270" s="325" t="str">
        <f>SourceData!K270</f>
        <v/>
      </c>
      <c r="D270" s="325">
        <f>(COUNTIF(Errors!$B$3:$B$3009,'Error Count'!B270))-((COUNTIFS(Errors!$B$3:$B$3009,'Error Count'!B270, (Errors!$I$3:$I$3009),"TV*")))</f>
        <v>0</v>
      </c>
      <c r="E270" s="325" t="str">
        <f t="shared" si="1"/>
        <v>#DIV/0!</v>
      </c>
    </row>
    <row r="271" ht="15.75" customHeight="1">
      <c r="A271" s="305">
        <v>0.0</v>
      </c>
      <c r="B271" s="305" t="str">
        <f>SourceData!J271</f>
        <v/>
      </c>
      <c r="C271" s="305" t="str">
        <f>SourceData!K271</f>
        <v/>
      </c>
      <c r="D271" s="305">
        <f>(COUNTIF(Errors!$B$3:$B$3009,'Error Count'!B271))-((COUNTIFS(Errors!$B$3:$B$3009,'Error Count'!B271, (Errors!$I$3:$I$3009),"TV*")))</f>
        <v>0</v>
      </c>
      <c r="E271" s="305" t="str">
        <f t="shared" si="1"/>
        <v>#DIV/0!</v>
      </c>
    </row>
    <row r="272" ht="15.75" customHeight="1">
      <c r="A272" s="325">
        <v>0.0</v>
      </c>
      <c r="B272" s="325" t="str">
        <f>SourceData!J272</f>
        <v/>
      </c>
      <c r="C272" s="325" t="str">
        <f>SourceData!K272</f>
        <v/>
      </c>
      <c r="D272" s="325">
        <f>(COUNTIF(Errors!$B$3:$B$3009,'Error Count'!B272))-((COUNTIFS(Errors!$B$3:$B$3009,'Error Count'!B272, (Errors!$I$3:$I$3009),"TV*")))</f>
        <v>0</v>
      </c>
      <c r="E272" s="325" t="str">
        <f t="shared" si="1"/>
        <v>#DIV/0!</v>
      </c>
    </row>
    <row r="273" ht="15.75" customHeight="1">
      <c r="A273" s="305">
        <v>0.0</v>
      </c>
      <c r="B273" s="305" t="str">
        <f>SourceData!J273</f>
        <v/>
      </c>
      <c r="C273" s="305" t="str">
        <f>SourceData!K273</f>
        <v/>
      </c>
      <c r="D273" s="305">
        <f>(COUNTIF(Errors!$B$3:$B$3009,'Error Count'!B273))-((COUNTIFS(Errors!$B$3:$B$3009,'Error Count'!B273, (Errors!$I$3:$I$3009),"TV*")))</f>
        <v>0</v>
      </c>
      <c r="E273" s="305" t="str">
        <f t="shared" si="1"/>
        <v>#DIV/0!</v>
      </c>
    </row>
    <row r="274" ht="15.75" customHeight="1">
      <c r="A274" s="325">
        <v>0.0</v>
      </c>
      <c r="B274" s="325" t="str">
        <f>SourceData!J274</f>
        <v/>
      </c>
      <c r="C274" s="325" t="str">
        <f>SourceData!K274</f>
        <v/>
      </c>
      <c r="D274" s="325">
        <f>(COUNTIF(Errors!$B$3:$B$3009,'Error Count'!B274))-((COUNTIFS(Errors!$B$3:$B$3009,'Error Count'!B274, (Errors!$I$3:$I$3009),"TV*")))</f>
        <v>0</v>
      </c>
      <c r="E274" s="325" t="str">
        <f t="shared" si="1"/>
        <v>#DIV/0!</v>
      </c>
    </row>
    <row r="275" ht="15.75" customHeight="1">
      <c r="A275" s="305">
        <v>0.0</v>
      </c>
      <c r="B275" s="305" t="str">
        <f>SourceData!J275</f>
        <v/>
      </c>
      <c r="C275" s="305" t="str">
        <f>SourceData!K275</f>
        <v/>
      </c>
      <c r="D275" s="305">
        <f>(COUNTIF(Errors!$B$3:$B$3009,'Error Count'!B275))-((COUNTIFS(Errors!$B$3:$B$3009,'Error Count'!B275, (Errors!$I$3:$I$3009),"TV*")))</f>
        <v>0</v>
      </c>
      <c r="E275" s="305" t="str">
        <f t="shared" si="1"/>
        <v>#DIV/0!</v>
      </c>
    </row>
    <row r="276" ht="15.75" customHeight="1">
      <c r="A276" s="325">
        <v>0.0</v>
      </c>
      <c r="B276" s="325" t="str">
        <f>SourceData!J276</f>
        <v/>
      </c>
      <c r="C276" s="325" t="str">
        <f>SourceData!K276</f>
        <v/>
      </c>
      <c r="D276" s="325">
        <f>(COUNTIF(Errors!$B$3:$B$3009,'Error Count'!B276))-((COUNTIFS(Errors!$B$3:$B$3009,'Error Count'!B276, (Errors!$I$3:$I$3009),"TV*")))</f>
        <v>0</v>
      </c>
      <c r="E276" s="325" t="str">
        <f t="shared" si="1"/>
        <v>#DIV/0!</v>
      </c>
    </row>
    <row r="277" ht="15.75" customHeight="1">
      <c r="A277" s="305">
        <v>0.0</v>
      </c>
      <c r="B277" s="305" t="str">
        <f>SourceData!J277</f>
        <v/>
      </c>
      <c r="C277" s="305" t="str">
        <f>SourceData!K277</f>
        <v/>
      </c>
      <c r="D277" s="305">
        <f>(COUNTIF(Errors!$B$3:$B$3009,'Error Count'!B277))-((COUNTIFS(Errors!$B$3:$B$3009,'Error Count'!B277, (Errors!$I$3:$I$3009),"TV*")))</f>
        <v>0</v>
      </c>
      <c r="E277" s="305" t="str">
        <f t="shared" si="1"/>
        <v>#DIV/0!</v>
      </c>
    </row>
    <row r="278" ht="15.75" customHeight="1">
      <c r="A278" s="325">
        <v>0.0</v>
      </c>
      <c r="B278" s="325" t="str">
        <f>SourceData!J278</f>
        <v/>
      </c>
      <c r="C278" s="325" t="str">
        <f>SourceData!K278</f>
        <v/>
      </c>
      <c r="D278" s="325">
        <f>(COUNTIF(Errors!$B$3:$B$3009,'Error Count'!B278))-((COUNTIFS(Errors!$B$3:$B$3009,'Error Count'!B278, (Errors!$I$3:$I$3009),"TV*")))</f>
        <v>0</v>
      </c>
      <c r="E278" s="325" t="str">
        <f t="shared" si="1"/>
        <v>#DIV/0!</v>
      </c>
    </row>
    <row r="279" ht="15.75" customHeight="1">
      <c r="A279" s="305">
        <v>0.0</v>
      </c>
      <c r="B279" s="305" t="str">
        <f>SourceData!J279</f>
        <v/>
      </c>
      <c r="C279" s="305" t="str">
        <f>SourceData!K279</f>
        <v/>
      </c>
      <c r="D279" s="305">
        <f>(COUNTIF(Errors!$B$3:$B$3009,'Error Count'!B279))-((COUNTIFS(Errors!$B$3:$B$3009,'Error Count'!B279, (Errors!$I$3:$I$3009),"TV*")))</f>
        <v>0</v>
      </c>
      <c r="E279" s="305" t="str">
        <f t="shared" si="1"/>
        <v>#DIV/0!</v>
      </c>
    </row>
    <row r="280" ht="15.75" customHeight="1">
      <c r="A280" s="325">
        <v>0.0</v>
      </c>
      <c r="B280" s="325" t="str">
        <f>SourceData!J280</f>
        <v/>
      </c>
      <c r="C280" s="325" t="str">
        <f>SourceData!K280</f>
        <v/>
      </c>
      <c r="D280" s="325">
        <f>(COUNTIF(Errors!$B$3:$B$3009,'Error Count'!B280))-((COUNTIFS(Errors!$B$3:$B$3009,'Error Count'!B280, (Errors!$I$3:$I$3009),"TV*")))</f>
        <v>0</v>
      </c>
      <c r="E280" s="325" t="str">
        <f t="shared" si="1"/>
        <v>#DIV/0!</v>
      </c>
    </row>
    <row r="281" ht="15.75" customHeight="1">
      <c r="A281" s="305">
        <v>0.0</v>
      </c>
      <c r="B281" s="305" t="str">
        <f>SourceData!J281</f>
        <v/>
      </c>
      <c r="C281" s="305" t="str">
        <f>SourceData!K281</f>
        <v/>
      </c>
      <c r="D281" s="305">
        <f>(COUNTIF(Errors!$B$3:$B$3009,'Error Count'!B281))-((COUNTIFS(Errors!$B$3:$B$3009,'Error Count'!B281, (Errors!$I$3:$I$3009),"TV*")))</f>
        <v>0</v>
      </c>
      <c r="E281" s="305" t="str">
        <f t="shared" si="1"/>
        <v>#DIV/0!</v>
      </c>
    </row>
    <row r="282" ht="15.75" customHeight="1">
      <c r="A282" s="325">
        <v>0.0</v>
      </c>
      <c r="B282" s="325" t="str">
        <f>SourceData!J282</f>
        <v/>
      </c>
      <c r="C282" s="325" t="str">
        <f>SourceData!K282</f>
        <v/>
      </c>
      <c r="D282" s="325">
        <f>(COUNTIF(Errors!$B$3:$B$3009,'Error Count'!B282))-((COUNTIFS(Errors!$B$3:$B$3009,'Error Count'!B282, (Errors!$I$3:$I$3009),"TV*")))</f>
        <v>0</v>
      </c>
      <c r="E282" s="325" t="str">
        <f t="shared" si="1"/>
        <v>#DIV/0!</v>
      </c>
    </row>
    <row r="283" ht="15.75" customHeight="1">
      <c r="A283" s="305">
        <v>0.0</v>
      </c>
      <c r="B283" s="305" t="str">
        <f>SourceData!J283</f>
        <v/>
      </c>
      <c r="C283" s="305" t="str">
        <f>SourceData!K283</f>
        <v/>
      </c>
      <c r="D283" s="305">
        <f>(COUNTIF(Errors!$B$3:$B$3009,'Error Count'!B283))-((COUNTIFS(Errors!$B$3:$B$3009,'Error Count'!B283, (Errors!$I$3:$I$3009),"TV*")))</f>
        <v>0</v>
      </c>
      <c r="E283" s="305" t="str">
        <f t="shared" si="1"/>
        <v>#DIV/0!</v>
      </c>
    </row>
    <row r="284" ht="15.75" customHeight="1">
      <c r="A284" s="325">
        <v>0.0</v>
      </c>
      <c r="B284" s="325" t="str">
        <f>SourceData!J284</f>
        <v/>
      </c>
      <c r="C284" s="325" t="str">
        <f>SourceData!K284</f>
        <v/>
      </c>
      <c r="D284" s="325">
        <f>(COUNTIF(Errors!$B$3:$B$3009,'Error Count'!B284))-((COUNTIFS(Errors!$B$3:$B$3009,'Error Count'!B284, (Errors!$I$3:$I$3009),"TV*")))</f>
        <v>0</v>
      </c>
      <c r="E284" s="325" t="str">
        <f t="shared" si="1"/>
        <v>#DIV/0!</v>
      </c>
    </row>
    <row r="285" ht="15.75" customHeight="1">
      <c r="A285" s="305">
        <v>0.0</v>
      </c>
      <c r="B285" s="305" t="str">
        <f>SourceData!J285</f>
        <v/>
      </c>
      <c r="C285" s="305" t="str">
        <f>SourceData!K285</f>
        <v/>
      </c>
      <c r="D285" s="305">
        <f>(COUNTIF(Errors!$B$3:$B$3009,'Error Count'!B285))-((COUNTIFS(Errors!$B$3:$B$3009,'Error Count'!B285, (Errors!$I$3:$I$3009),"TV*")))</f>
        <v>0</v>
      </c>
      <c r="E285" s="305" t="str">
        <f t="shared" si="1"/>
        <v>#DIV/0!</v>
      </c>
    </row>
    <row r="286" ht="15.75" customHeight="1">
      <c r="A286" s="325">
        <v>0.0</v>
      </c>
      <c r="B286" s="325" t="str">
        <f>SourceData!J286</f>
        <v/>
      </c>
      <c r="C286" s="325" t="str">
        <f>SourceData!K286</f>
        <v/>
      </c>
      <c r="D286" s="325">
        <f>(COUNTIF(Errors!$B$3:$B$3009,'Error Count'!B286))-((COUNTIFS(Errors!$B$3:$B$3009,'Error Count'!B286, (Errors!$I$3:$I$3009),"TV*")))</f>
        <v>0</v>
      </c>
      <c r="E286" s="325" t="str">
        <f t="shared" si="1"/>
        <v>#DIV/0!</v>
      </c>
    </row>
    <row r="287" ht="15.75" customHeight="1">
      <c r="A287" s="305">
        <v>0.0</v>
      </c>
      <c r="B287" s="305" t="str">
        <f>SourceData!J287</f>
        <v/>
      </c>
      <c r="C287" s="305" t="str">
        <f>SourceData!K287</f>
        <v/>
      </c>
      <c r="D287" s="305">
        <f>(COUNTIF(Errors!$B$3:$B$3009,'Error Count'!B287))-((COUNTIFS(Errors!$B$3:$B$3009,'Error Count'!B287, (Errors!$I$3:$I$3009),"TV*")))</f>
        <v>0</v>
      </c>
      <c r="E287" s="305" t="str">
        <f t="shared" si="1"/>
        <v>#DIV/0!</v>
      </c>
    </row>
    <row r="288" ht="15.75" customHeight="1">
      <c r="A288" s="325">
        <v>0.0</v>
      </c>
      <c r="B288" s="325" t="str">
        <f>SourceData!J288</f>
        <v/>
      </c>
      <c r="C288" s="325" t="str">
        <f>SourceData!K288</f>
        <v/>
      </c>
      <c r="D288" s="325">
        <f>(COUNTIF(Errors!$B$3:$B$3009,'Error Count'!B288))-((COUNTIFS(Errors!$B$3:$B$3009,'Error Count'!B288, (Errors!$I$3:$I$3009),"TV*")))</f>
        <v>0</v>
      </c>
      <c r="E288" s="325" t="str">
        <f t="shared" si="1"/>
        <v>#DIV/0!</v>
      </c>
    </row>
    <row r="289" ht="15.75" customHeight="1">
      <c r="A289" s="305">
        <v>0.0</v>
      </c>
      <c r="B289" s="305" t="str">
        <f>SourceData!J289</f>
        <v/>
      </c>
      <c r="C289" s="305" t="str">
        <f>SourceData!K289</f>
        <v/>
      </c>
      <c r="D289" s="305">
        <f>(COUNTIF(Errors!$B$3:$B$3009,'Error Count'!B289))-((COUNTIFS(Errors!$B$3:$B$3009,'Error Count'!B289, (Errors!$I$3:$I$3009),"TV*")))</f>
        <v>0</v>
      </c>
      <c r="E289" s="305" t="str">
        <f t="shared" si="1"/>
        <v>#DIV/0!</v>
      </c>
    </row>
    <row r="290" ht="15.75" customHeight="1">
      <c r="A290" s="325">
        <v>0.0</v>
      </c>
      <c r="B290" s="325" t="str">
        <f>SourceData!J290</f>
        <v/>
      </c>
      <c r="C290" s="325" t="str">
        <f>SourceData!K290</f>
        <v/>
      </c>
      <c r="D290" s="325">
        <f>(COUNTIF(Errors!$B$3:$B$3009,'Error Count'!B290))-((COUNTIFS(Errors!$B$3:$B$3009,'Error Count'!B290, (Errors!$I$3:$I$3009),"TV*")))</f>
        <v>0</v>
      </c>
      <c r="E290" s="325" t="str">
        <f t="shared" si="1"/>
        <v>#DIV/0!</v>
      </c>
    </row>
    <row r="291" ht="15.75" customHeight="1">
      <c r="A291" s="305">
        <v>0.0</v>
      </c>
      <c r="B291" s="305" t="str">
        <f>SourceData!J291</f>
        <v/>
      </c>
      <c r="C291" s="305" t="str">
        <f>SourceData!K291</f>
        <v/>
      </c>
      <c r="D291" s="305">
        <f>(COUNTIF(Errors!$B$3:$B$3009,'Error Count'!B291))-((COUNTIFS(Errors!$B$3:$B$3009,'Error Count'!B291, (Errors!$I$3:$I$3009),"TV*")))</f>
        <v>0</v>
      </c>
      <c r="E291" s="305" t="str">
        <f t="shared" si="1"/>
        <v>#DIV/0!</v>
      </c>
    </row>
    <row r="292" ht="15.75" customHeight="1">
      <c r="A292" s="325">
        <v>0.0</v>
      </c>
      <c r="B292" s="325" t="str">
        <f>SourceData!J292</f>
        <v/>
      </c>
      <c r="C292" s="325" t="str">
        <f>SourceData!K292</f>
        <v/>
      </c>
      <c r="D292" s="325">
        <f>(COUNTIF(Errors!$B$3:$B$3009,'Error Count'!B292))-((COUNTIFS(Errors!$B$3:$B$3009,'Error Count'!B292, (Errors!$I$3:$I$3009),"TV*")))</f>
        <v>0</v>
      </c>
      <c r="E292" s="325" t="str">
        <f t="shared" si="1"/>
        <v>#DIV/0!</v>
      </c>
    </row>
    <row r="293" ht="15.75" customHeight="1">
      <c r="A293" s="305">
        <v>0.0</v>
      </c>
      <c r="B293" s="305" t="str">
        <f>SourceData!J293</f>
        <v/>
      </c>
      <c r="C293" s="305" t="str">
        <f>SourceData!K293</f>
        <v/>
      </c>
      <c r="D293" s="305">
        <f>(COUNTIF(Errors!$B$3:$B$3009,'Error Count'!B293))-((COUNTIFS(Errors!$B$3:$B$3009,'Error Count'!B293, (Errors!$I$3:$I$3009),"TV*")))</f>
        <v>0</v>
      </c>
      <c r="E293" s="305" t="str">
        <f t="shared" si="1"/>
        <v>#DIV/0!</v>
      </c>
    </row>
    <row r="294" ht="15.75" customHeight="1">
      <c r="A294" s="325">
        <v>0.0</v>
      </c>
      <c r="B294" s="325" t="str">
        <f>SourceData!J294</f>
        <v/>
      </c>
      <c r="C294" s="325" t="str">
        <f>SourceData!K294</f>
        <v/>
      </c>
      <c r="D294" s="325">
        <f>(COUNTIF(Errors!$B$3:$B$3009,'Error Count'!B294))-((COUNTIFS(Errors!$B$3:$B$3009,'Error Count'!B294, (Errors!$I$3:$I$3009),"TV*")))</f>
        <v>0</v>
      </c>
      <c r="E294" s="325" t="str">
        <f t="shared" si="1"/>
        <v>#DIV/0!</v>
      </c>
    </row>
    <row r="295" ht="15.75" customHeight="1">
      <c r="A295" s="305">
        <v>0.0</v>
      </c>
      <c r="B295" s="305" t="str">
        <f>SourceData!J295</f>
        <v/>
      </c>
      <c r="C295" s="305" t="str">
        <f>SourceData!K295</f>
        <v/>
      </c>
      <c r="D295" s="305">
        <f>(COUNTIF(Errors!$B$3:$B$3009,'Error Count'!B295))-((COUNTIFS(Errors!$B$3:$B$3009,'Error Count'!B295, (Errors!$I$3:$I$3009),"TV*")))</f>
        <v>0</v>
      </c>
      <c r="E295" s="305" t="str">
        <f t="shared" si="1"/>
        <v>#DIV/0!</v>
      </c>
    </row>
    <row r="296" ht="15.75" customHeight="1">
      <c r="A296" s="325">
        <v>0.0</v>
      </c>
      <c r="B296" s="325" t="str">
        <f>SourceData!J296</f>
        <v/>
      </c>
      <c r="C296" s="325" t="str">
        <f>SourceData!K296</f>
        <v/>
      </c>
      <c r="D296" s="325">
        <f>(COUNTIF(Errors!$B$3:$B$3009,'Error Count'!B296))-((COUNTIFS(Errors!$B$3:$B$3009,'Error Count'!B296, (Errors!$I$3:$I$3009),"TV*")))</f>
        <v>0</v>
      </c>
      <c r="E296" s="325" t="str">
        <f t="shared" si="1"/>
        <v>#DIV/0!</v>
      </c>
    </row>
    <row r="297" ht="15.75" customHeight="1">
      <c r="A297" s="305">
        <v>0.0</v>
      </c>
      <c r="B297" s="305" t="str">
        <f>SourceData!J297</f>
        <v/>
      </c>
      <c r="C297" s="305" t="str">
        <f>SourceData!K297</f>
        <v/>
      </c>
      <c r="D297" s="305">
        <f>(COUNTIF(Errors!$B$3:$B$3009,'Error Count'!B297))-((COUNTIFS(Errors!$B$3:$B$3009,'Error Count'!B297, (Errors!$I$3:$I$3009),"TV*")))</f>
        <v>0</v>
      </c>
      <c r="E297" s="305" t="str">
        <f t="shared" si="1"/>
        <v>#DIV/0!</v>
      </c>
    </row>
    <row r="298" ht="15.75" customHeight="1">
      <c r="A298" s="325">
        <v>0.0</v>
      </c>
      <c r="B298" s="325" t="str">
        <f>SourceData!J298</f>
        <v/>
      </c>
      <c r="C298" s="325" t="str">
        <f>SourceData!K298</f>
        <v/>
      </c>
      <c r="D298" s="325">
        <f>(COUNTIF(Errors!$B$3:$B$3009,'Error Count'!B298))-((COUNTIFS(Errors!$B$3:$B$3009,'Error Count'!B298, (Errors!$I$3:$I$3009),"TV*")))</f>
        <v>0</v>
      </c>
      <c r="E298" s="325" t="str">
        <f t="shared" si="1"/>
        <v>#DIV/0!</v>
      </c>
    </row>
    <row r="299" ht="15.75" customHeight="1">
      <c r="A299" s="305">
        <v>0.0</v>
      </c>
      <c r="B299" s="305" t="str">
        <f>SourceData!J299</f>
        <v/>
      </c>
      <c r="C299" s="305" t="str">
        <f>SourceData!K299</f>
        <v/>
      </c>
      <c r="D299" s="305">
        <f>(COUNTIF(Errors!$B$3:$B$3009,'Error Count'!B299))-((COUNTIFS(Errors!$B$3:$B$3009,'Error Count'!B299, (Errors!$I$3:$I$3009),"TV*")))</f>
        <v>0</v>
      </c>
      <c r="E299" s="305" t="str">
        <f t="shared" si="1"/>
        <v>#DIV/0!</v>
      </c>
    </row>
    <row r="300" ht="15.75" customHeight="1">
      <c r="A300" s="325">
        <v>0.0</v>
      </c>
      <c r="B300" s="325" t="str">
        <f>SourceData!J300</f>
        <v/>
      </c>
      <c r="C300" s="325" t="str">
        <f>SourceData!K300</f>
        <v/>
      </c>
      <c r="D300" s="325">
        <f>(COUNTIF(Errors!$B$3:$B$3009,'Error Count'!B300))-((COUNTIFS(Errors!$B$3:$B$3009,'Error Count'!B300, (Errors!$I$3:$I$3009),"TV*")))</f>
        <v>0</v>
      </c>
      <c r="E300" s="325" t="str">
        <f t="shared" si="1"/>
        <v>#DIV/0!</v>
      </c>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2020-09-20T15:15:00Z</dcterms:created>
  <dc:creator>Saifur Rahman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0x01010089A3E539FD41A14DA8FD70AD55FACDF7</vt:lpwstr>
  </property>
  <property fmtid="{D5CDD505-2E9C-101B-9397-08002B2CF9AE}" pid="3" name="Order">
    <vt:r8>992200.0</vt:r8>
  </property>
  <property fmtid="{D5CDD505-2E9C-101B-9397-08002B2CF9AE}" pid="4" name="_ExtendedDescription">
    <vt:lpwstr/>
  </property>
  <property fmtid="{D5CDD505-2E9C-101B-9397-08002B2CF9AE}" pid="5" name="ComplianceAssetId">
    <vt:lpwstr/>
  </property>
  <property fmtid="{D5CDD505-2E9C-101B-9397-08002B2CF9AE}" pid="6" name="TriggerFlowInfo">
    <vt:lpwstr/>
  </property>
  <property fmtid="{D5CDD505-2E9C-101B-9397-08002B2CF9AE}" pid="7" name="MediaServiceImageTags">
    <vt:lpwstr/>
  </property>
  <property fmtid="{D5CDD505-2E9C-101B-9397-08002B2CF9AE}" pid="8" name="xd_ProgID">
    <vt:lpwstr/>
  </property>
  <property fmtid="{D5CDD505-2E9C-101B-9397-08002B2CF9AE}" pid="9" name="TemplateUrl">
    <vt:lpwstr/>
  </property>
  <property fmtid="{D5CDD505-2E9C-101B-9397-08002B2CF9AE}" pid="10" name="xd_Signature">
    <vt:bool>false</vt:bool>
  </property>
  <property fmtid="{D5CDD505-2E9C-101B-9397-08002B2CF9AE}" pid="11" name="_SourceUrl">
    <vt:lpwstr/>
  </property>
  <property fmtid="{D5CDD505-2E9C-101B-9397-08002B2CF9AE}" pid="12" name="_SharedFileIndex">
    <vt:lpwstr/>
  </property>
</Properties>
</file>